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Dossiers" sheetId="1" state="visible" r:id="rId1"/>
    <sheet name="Gantt" sheetId="2" state="visible" r:id="rId2"/>
    <sheet name="Planning" sheetId="3" state="visible" r:id="rId3"/>
    <sheet name="Tableau de bord" sheetId="4" state="visible" r:id="rId4"/>
    <sheet name="Suivi" sheetId="5" state="visible" r:id="rId5"/>
    <sheet name="Instructions" sheetId="6" state="visible" r:id="rId6"/>
    <sheet name="Paramètres" sheetId="7" state="visible" r:id="rId7"/>
    <sheet name="Tableau1" sheetId="8" state="hidden" r:id="rId8"/>
  </sheets>
  <definedNames>
    <definedName name="_xlnm._FilterDatabase" localSheetId="0" hidden="1">'Dossiers'!$B$3:$G$60</definedName>
    <definedName name="_xlnm._FilterDatabase" localSheetId="2" hidden="1">'Planning'!$A$3:$K$3183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d"/>
    <numFmt numFmtId="165" formatCode="dd/mm/yy"/>
    <numFmt numFmtId="166" formatCode="dd/mm/yyyy"/>
  </numFmts>
  <fonts count="25">
    <font>
      <name val="Calibri"/>
      <charset val="1"/>
      <family val="2"/>
      <color theme="1"/>
      <sz val="11"/>
    </font>
    <font>
      <name val="Calibri"/>
      <charset val="1"/>
      <b val="1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b val="1"/>
      <sz val="13"/>
    </font>
    <font>
      <name val="Calibri"/>
      <charset val="1"/>
      <color rgb="FF0563C1"/>
      <sz val="11"/>
      <u val="single"/>
    </font>
    <font>
      <name val="Calibri"/>
      <charset val="1"/>
      <b val="1"/>
      <color rgb="FFFF0000"/>
      <sz val="11"/>
    </font>
    <font>
      <b val="1"/>
      <sz val="11"/>
    </font>
    <font>
      <b val="1"/>
      <color rgb="00FFFFFF"/>
      <sz val="12"/>
    </font>
    <font>
      <b val="1"/>
      <sz val="12"/>
    </font>
    <font>
      <i val="1"/>
      <color rgb="00808080"/>
      <sz val="8"/>
    </font>
    <font>
      <b val="1"/>
      <sz val="8"/>
    </font>
    <font>
      <sz val="8"/>
    </font>
    <font>
      <color rgb="00FFFFFF"/>
      <sz val="1"/>
    </font>
    <font>
      <b val="1"/>
      <sz val="9"/>
    </font>
    <font>
      <b val="1"/>
    </font>
    <font>
      <i val="1"/>
      <sz val="9"/>
    </font>
    <font>
      <b val="1"/>
      <color rgb="00C00000"/>
      <sz val="9"/>
    </font>
    <font>
      <b val="1"/>
      <color rgb="007030A0"/>
      <sz val="9"/>
    </font>
    <font>
      <sz val="9"/>
    </font>
    <font>
      <i val="1"/>
      <sz val="8"/>
    </font>
    <font>
      <b val="1"/>
      <sz val="13"/>
    </font>
    <font>
      <b val="1"/>
      <sz val="10"/>
    </font>
    <font>
      <b val="1"/>
      <color rgb="00FFFFFF"/>
      <sz val="9"/>
    </font>
  </fonts>
  <fills count="24">
    <fill>
      <patternFill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D9D9D9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7E6E6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404040"/>
      </patternFill>
    </fill>
    <fill>
      <patternFill patternType="solid">
        <fgColor rgb="008FAADC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9000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00B0F0"/>
      </patternFill>
    </fill>
    <fill>
      <patternFill patternType="solid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9" fontId="0" fillId="0" borderId="0" pivotButton="0" quotePrefix="0" xfId="0"/>
    <xf numFmtId="0" fontId="6" fillId="0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1" fillId="0" borderId="2" pivotButton="0" quotePrefix="0" xfId="0"/>
    <xf numFmtId="14" fontId="1" fillId="0" borderId="2" pivotButton="0" quotePrefix="0" xfId="0"/>
    <xf numFmtId="0" fontId="0" fillId="0" borderId="2" pivotButton="0" quotePrefix="0" xfId="0"/>
    <xf numFmtId="14" fontId="0" fillId="0" borderId="2" pivotButton="0" quotePrefix="0" xfId="0"/>
    <xf numFmtId="14" fontId="7" fillId="0" borderId="2" applyAlignment="1" pivotButton="0" quotePrefix="0" xfId="0">
      <alignment horizontal="left"/>
    </xf>
    <xf numFmtId="0" fontId="8" fillId="0" borderId="0" pivotButton="0" quotePrefix="0" xfId="0"/>
    <xf numFmtId="0" fontId="9" fillId="5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horizontal="center"/>
    </xf>
    <xf numFmtId="0" fontId="15" fillId="0" borderId="0" pivotButton="0" quotePrefix="0" xfId="0"/>
    <xf numFmtId="164" fontId="13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166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7" fillId="0" borderId="0" pivotButton="0" quotePrefix="0" xfId="0"/>
    <xf numFmtId="0" fontId="18" fillId="0" borderId="0" pivotButton="0" quotePrefix="0" xfId="0"/>
    <xf numFmtId="165" fontId="18" fillId="0" borderId="0" pivotButton="0" quotePrefix="0" xfId="0"/>
    <xf numFmtId="0" fontId="20" fillId="0" borderId="0" applyAlignment="1" pivotButton="0" quotePrefix="0" xfId="0">
      <alignment horizontal="center"/>
    </xf>
    <xf numFmtId="0" fontId="19" fillId="0" borderId="0" pivotButton="0" quotePrefix="0" xfId="0"/>
    <xf numFmtId="165" fontId="19" fillId="0" borderId="0" pivotButton="0" quotePrefix="0" xfId="0"/>
    <xf numFmtId="166" fontId="2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0" fontId="0" fillId="11" borderId="0" pivotButton="0" quotePrefix="0" xfId="0"/>
    <xf numFmtId="0" fontId="20" fillId="0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21" fillId="0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22" fillId="0" borderId="0" pivotButton="0" quotePrefix="0" xfId="0"/>
    <xf numFmtId="0" fontId="23" fillId="0" borderId="0" pivotButton="0" quotePrefix="0" xfId="0"/>
    <xf numFmtId="166" fontId="0" fillId="23" borderId="0" pivotButton="0" quotePrefix="0" xfId="0"/>
    <xf numFmtId="0" fontId="24" fillId="5" borderId="0" applyAlignment="1" pivotButton="0" quotePrefix="0" xfId="0">
      <alignment horizontal="center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1F3864"/>
        </patternFill>
      </fill>
    </dxf>
    <dxf>
      <fill>
        <patternFill patternType="solid">
          <bgColor rgb="FF4472C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E7E6E6"/>
        </patternFill>
      </fill>
    </dxf>
    <dxf>
      <font>
        <b val="1"/>
      </font>
    </dxf>
    <dxf>
      <fill>
        <patternFill patternType="solid">
          <bgColor rgb="FF1F3864"/>
        </patternFill>
      </fill>
    </dxf>
    <dxf>
      <fill>
        <patternFill patternType="solid">
          <bgColor rgb="FF4472C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30A0"/>
        </patternFill>
      </fill>
    </dxf>
    <dxf>
      <font>
        <b val="1"/>
        <color rgb="00C00000"/>
        <sz val="10"/>
      </font>
    </dxf>
    <dxf>
      <font>
        <b val="1"/>
        <color rgb="007030A0"/>
        <sz val="10"/>
      </font>
    </dxf>
    <dxf>
      <fill>
        <patternFill patternType="solid">
          <bgColor rgb="FF8FAADC"/>
        </patternFill>
      </fill>
    </dxf>
    <dxf>
      <fill>
        <patternFill patternType="solid">
          <bgColor rgb="FF2E75B6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BF9000"/>
        </patternFill>
      </fill>
    </dxf>
    <dxf>
      <fill>
        <patternFill patternType="solid">
          <bgColor rgb="FFC55A11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40404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404040"/>
        </patternFill>
      </fill>
    </dxf>
    <dxf>
      <fill>
        <patternFill patternType="solid"/>
      </fill>
    </dxf>
    <dxf>
      <fill>
        <patternFill patternType="solid">
          <bgColor rgb="FFFF0000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2F2F2"/>
        </patternFill>
      </fill>
    </dxf>
    <dxf>
      <font>
        <b val="1"/>
        <color rgb="009C0006"/>
      </font>
      <fill>
        <patternFill patternType="solid">
          <bgColor rgb="FFFFC7CE"/>
        </patternFill>
      </fill>
    </dxf>
    <dxf>
      <font>
        <i val="1"/>
        <strike val="1"/>
        <color rgb="0070AD47"/>
      </font>
    </dxf>
    <dxf>
      <font>
        <color rgb="00BFBFBF"/>
      </font>
    </dxf>
    <dxf>
      <font>
        <b val="1"/>
        <color rgb="00375623"/>
      </font>
      <fill>
        <patternFill patternType="solid"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tabSelected="1" zoomScaleNormal="100" workbookViewId="0">
      <pane ySplit="3" topLeftCell="A4" activePane="bottomLeft" state="frozen"/>
      <selection pane="bottomLeft" activeCell="F13" sqref="F13"/>
    </sheetView>
  </sheetViews>
  <sheetFormatPr baseColWidth="10" defaultColWidth="8.6640625" defaultRowHeight="14.4"/>
  <cols>
    <col width="6" customWidth="1" min="1" max="1"/>
    <col width="18" customWidth="1" min="2" max="2"/>
    <col width="36" customWidth="1" min="3" max="3"/>
    <col width="15" customWidth="1" min="4" max="4"/>
    <col width="50" customWidth="1" min="5" max="5"/>
    <col width="11.6640625" customWidth="1" min="6" max="6"/>
    <col width="13.77734375" customWidth="1" min="7" max="7"/>
  </cols>
  <sheetData>
    <row r="1">
      <c r="A1" s="15" t="inlineStr">
        <is>
          <t>DOSSIERS</t>
        </is>
      </c>
      <c r="C1" s="2" t="inlineStr">
        <is>
          <t>NE PAS SUPPRIMER DE LIGNE ENTIERE</t>
        </is>
      </c>
      <c r="E1" s="2" t="inlineStr">
        <is>
          <t>NE PAS TOUCHER AUX ZONES GRISEES</t>
        </is>
      </c>
    </row>
    <row r="2">
      <c r="A2" s="3" t="inlineStr">
        <is>
          <t>Une ligne par dossier : référence, nom, date de début, date CS et date Jury. Son bloc apparaît alors automatiquement dans Suivi et dans le tableau de bord.</t>
        </is>
      </c>
      <c r="B2" s="3" t="n"/>
      <c r="C2" s="3" t="n"/>
      <c r="D2" s="3" t="n"/>
      <c r="E2" s="3" t="n"/>
    </row>
    <row r="3">
      <c r="A3" s="15" t="inlineStr">
        <is>
          <t>N°</t>
        </is>
      </c>
      <c r="B3" s="15" t="inlineStr">
        <is>
          <t>Référence</t>
        </is>
      </c>
      <c r="C3" s="15" t="inlineStr">
        <is>
          <t>Nom / intitulé</t>
        </is>
      </c>
      <c r="D3" s="15" t="inlineStr">
        <is>
          <t>Date de début</t>
        </is>
      </c>
      <c r="E3" s="15" t="inlineStr">
        <is>
          <t>Libellé (calcul)</t>
        </is>
      </c>
      <c r="F3" s="4" t="inlineStr">
        <is>
          <t>Date CS</t>
        </is>
      </c>
      <c r="G3" s="4" t="inlineStr">
        <is>
          <t>Date Jury</t>
        </is>
      </c>
    </row>
    <row r="4">
      <c r="A4" t="n">
        <v>1</v>
      </c>
      <c r="B4" t="inlineStr">
        <is>
          <t>TEST GFF</t>
        </is>
      </c>
      <c r="C4" t="inlineStr">
        <is>
          <t>ABCDEFGH</t>
        </is>
      </c>
      <c r="D4" s="5" t="n">
        <v>46307</v>
      </c>
      <c r="E4" s="6">
        <f>IF(ISNUMBER(D4),A4&amp;" · "&amp;B4&amp;IF(C4&lt;&gt;""," · "&amp;C4,""),IF(B4&amp;C4&lt;&gt;"","(date de début à renseigner)",""))</f>
        <v/>
      </c>
      <c r="F4" s="5" t="n">
        <v>46304</v>
      </c>
      <c r="G4" s="5" t="n">
        <v>46307</v>
      </c>
    </row>
    <row r="5">
      <c r="A5" t="n">
        <v>2</v>
      </c>
      <c r="B5" t="inlineStr">
        <is>
          <t>TEST GFF</t>
        </is>
      </c>
      <c r="C5" t="inlineStr">
        <is>
          <t>ABCDEFG</t>
        </is>
      </c>
      <c r="D5" s="5" t="n">
        <v>46307</v>
      </c>
      <c r="E5" s="6">
        <f>IF(ISNUMBER(D5),A5&amp;" · "&amp;B5&amp;IF(C5&lt;&gt;""," · "&amp;C5,""),IF(B5&amp;C5&lt;&gt;"","(date de début à renseigner)",""))</f>
        <v/>
      </c>
      <c r="F5" s="5" t="n">
        <v>46335</v>
      </c>
      <c r="G5" s="5" t="n">
        <v>46343</v>
      </c>
    </row>
    <row r="6">
      <c r="A6" t="n">
        <v>3</v>
      </c>
      <c r="B6" t="inlineStr">
        <is>
          <t>TEST GFF</t>
        </is>
      </c>
      <c r="C6" t="inlineStr">
        <is>
          <t>ABCDEF</t>
        </is>
      </c>
      <c r="D6" s="5" t="n">
        <v>46307</v>
      </c>
      <c r="E6" s="6">
        <f>IF(ISNUMBER(D6),A6&amp;" · "&amp;B6&amp;IF(C6&lt;&gt;""," · "&amp;C6,""),IF(B6&amp;C6&lt;&gt;"","(date de début à renseigner)",""))</f>
        <v/>
      </c>
      <c r="F6" s="5" t="n">
        <v>46336</v>
      </c>
      <c r="G6" s="5" t="n">
        <v>46344</v>
      </c>
    </row>
    <row r="7">
      <c r="A7" t="n">
        <v>4</v>
      </c>
      <c r="D7" s="5" t="n"/>
      <c r="E7" s="6">
        <f>IF(ISNUMBER(D7),A7&amp;" · "&amp;B7&amp;IF(C7&lt;&gt;""," · "&amp;C7,""),IF(B7&amp;C7&lt;&gt;"","(date de début à renseigner)",""))</f>
        <v/>
      </c>
      <c r="F7" s="5" t="n"/>
      <c r="G7" s="5" t="n"/>
    </row>
    <row r="8">
      <c r="A8" t="n">
        <v>5</v>
      </c>
      <c r="D8" s="5" t="n"/>
      <c r="E8" s="6">
        <f>IF(ISNUMBER(D8),A8&amp;" · "&amp;B8&amp;IF(C8&lt;&gt;""," · "&amp;C8,""),IF(B8&amp;C8&lt;&gt;"","(date de début à renseigner)",""))</f>
        <v/>
      </c>
      <c r="F8" s="5" t="n"/>
      <c r="G8" s="5" t="n"/>
    </row>
    <row r="9">
      <c r="A9" t="n">
        <v>6</v>
      </c>
      <c r="D9" s="5" t="n"/>
      <c r="E9" s="6">
        <f>IF(ISNUMBER(D9),A9&amp;" · "&amp;B9&amp;IF(C9&lt;&gt;""," · "&amp;C9,""),IF(B9&amp;C9&lt;&gt;"","(date de début à renseigner)",""))</f>
        <v/>
      </c>
      <c r="F9" s="5" t="n"/>
      <c r="G9" s="5" t="n"/>
    </row>
    <row r="10">
      <c r="A10" t="n">
        <v>7</v>
      </c>
      <c r="D10" s="5" t="n"/>
      <c r="E10" s="6">
        <f>IF(ISNUMBER(D10),A10&amp;" · "&amp;B10&amp;IF(C10&lt;&gt;""," · "&amp;C10,""),IF(B10&amp;C10&lt;&gt;"","(date de début à renseigner)",""))</f>
        <v/>
      </c>
      <c r="F10" s="5" t="n"/>
      <c r="G10" s="5" t="n"/>
    </row>
    <row r="11">
      <c r="A11" t="n">
        <v>8</v>
      </c>
      <c r="D11" s="5" t="n"/>
      <c r="E11" s="6">
        <f>IF(ISNUMBER(D11),A11&amp;" · "&amp;B11&amp;IF(C11&lt;&gt;""," · "&amp;C11,""),IF(B11&amp;C11&lt;&gt;"","(date de début à renseigner)",""))</f>
        <v/>
      </c>
      <c r="F11" s="5" t="n"/>
      <c r="G11" s="5" t="n"/>
    </row>
    <row r="12">
      <c r="A12" t="n">
        <v>9</v>
      </c>
      <c r="D12" s="5" t="n"/>
      <c r="E12" s="6">
        <f>IF(ISNUMBER(D12),A12&amp;" · "&amp;B12&amp;IF(C12&lt;&gt;""," · "&amp;C12,""),IF(B12&amp;C12&lt;&gt;"","(date de début à renseigner)",""))</f>
        <v/>
      </c>
      <c r="F12" s="5" t="n"/>
      <c r="G12" s="5" t="n"/>
    </row>
    <row r="13">
      <c r="A13" t="n">
        <v>10</v>
      </c>
      <c r="D13" s="5" t="n"/>
      <c r="E13" s="6">
        <f>IF(ISNUMBER(D13),A13&amp;" · "&amp;B13&amp;IF(C13&lt;&gt;""," · "&amp;C13,""),IF(B13&amp;C13&lt;&gt;"","(date de début à renseigner)",""))</f>
        <v/>
      </c>
      <c r="F13" s="5" t="n"/>
      <c r="G13" s="5" t="n"/>
    </row>
    <row r="14">
      <c r="A14" t="n">
        <v>11</v>
      </c>
      <c r="D14" s="5" t="n"/>
      <c r="E14" s="6">
        <f>IF(ISNUMBER(D14),A14&amp;" · "&amp;B14&amp;IF(C14&lt;&gt;""," · "&amp;C14,""),IF(B14&amp;C14&lt;&gt;"","(date de début à renseigner)",""))</f>
        <v/>
      </c>
      <c r="F14" s="5" t="n"/>
      <c r="G14" s="5" t="n"/>
    </row>
    <row r="15">
      <c r="A15" t="n">
        <v>12</v>
      </c>
      <c r="D15" s="5" t="n"/>
      <c r="E15" s="6">
        <f>IF(ISNUMBER(D15),A15&amp;" · "&amp;B15&amp;IF(C15&lt;&gt;""," · "&amp;C15,""),IF(B15&amp;C15&lt;&gt;"","(date de début à renseigner)",""))</f>
        <v/>
      </c>
      <c r="F15" s="5" t="n"/>
      <c r="G15" s="5" t="n"/>
    </row>
    <row r="16">
      <c r="A16" t="n">
        <v>13</v>
      </c>
      <c r="D16" s="5" t="n"/>
      <c r="E16" s="6">
        <f>IF(ISNUMBER(D16),A16&amp;" · "&amp;B16&amp;IF(C16&lt;&gt;""," · "&amp;C16,""),IF(B16&amp;C16&lt;&gt;"","(date de début à renseigner)",""))</f>
        <v/>
      </c>
      <c r="F16" s="5" t="n"/>
      <c r="G16" s="5" t="n"/>
    </row>
    <row r="17">
      <c r="A17" t="n">
        <v>14</v>
      </c>
      <c r="D17" s="5" t="n"/>
      <c r="E17" s="6">
        <f>IF(ISNUMBER(D17),A17&amp;" · "&amp;B17&amp;IF(C17&lt;&gt;""," · "&amp;C17,""),IF(B17&amp;C17&lt;&gt;"","(date de début à renseigner)",""))</f>
        <v/>
      </c>
      <c r="F17" s="5" t="n"/>
      <c r="G17" s="5" t="n"/>
    </row>
    <row r="18">
      <c r="A18" t="n">
        <v>15</v>
      </c>
      <c r="D18" s="5" t="n"/>
      <c r="E18" s="6">
        <f>IF(ISNUMBER(D18),A18&amp;" · "&amp;B18&amp;IF(C18&lt;&gt;""," · "&amp;C18,""),IF(B18&amp;C18&lt;&gt;"","(date de début à renseigner)",""))</f>
        <v/>
      </c>
      <c r="F18" s="5" t="n"/>
      <c r="G18" s="5" t="n"/>
    </row>
    <row r="19">
      <c r="A19" t="n">
        <v>16</v>
      </c>
      <c r="D19" s="5" t="n"/>
      <c r="E19" s="6">
        <f>IF(ISNUMBER(D19),A19&amp;" · "&amp;B19&amp;IF(C19&lt;&gt;""," · "&amp;C19,""),IF(B19&amp;C19&lt;&gt;"","(date de début à renseigner)",""))</f>
        <v/>
      </c>
      <c r="F19" s="5" t="n"/>
      <c r="G19" s="5" t="n"/>
    </row>
    <row r="20">
      <c r="A20" t="n">
        <v>17</v>
      </c>
      <c r="D20" s="5" t="n"/>
      <c r="E20" s="6">
        <f>IF(ISNUMBER(D20),A20&amp;" · "&amp;B20&amp;IF(C20&lt;&gt;""," · "&amp;C20,""),IF(B20&amp;C20&lt;&gt;"","(date de début à renseigner)",""))</f>
        <v/>
      </c>
      <c r="F20" s="5" t="n"/>
      <c r="G20" s="5" t="n"/>
    </row>
    <row r="21">
      <c r="A21" t="n">
        <v>18</v>
      </c>
      <c r="D21" s="5" t="n"/>
      <c r="E21" s="6">
        <f>IF(ISNUMBER(D21),A21&amp;" · "&amp;B21&amp;IF(C21&lt;&gt;""," · "&amp;C21,""),IF(B21&amp;C21&lt;&gt;"","(date de début à renseigner)",""))</f>
        <v/>
      </c>
      <c r="F21" s="5" t="n"/>
      <c r="G21" s="5" t="n"/>
    </row>
    <row r="22">
      <c r="A22" t="n">
        <v>19</v>
      </c>
      <c r="D22" s="5" t="n"/>
      <c r="E22" s="6">
        <f>IF(ISNUMBER(D22),A22&amp;" · "&amp;B22&amp;IF(C22&lt;&gt;""," · "&amp;C22,""),IF(B22&amp;C22&lt;&gt;"","(date de début à renseigner)",""))</f>
        <v/>
      </c>
      <c r="F22" s="5" t="n"/>
      <c r="G22" s="5" t="n"/>
    </row>
    <row r="23">
      <c r="A23" t="n">
        <v>20</v>
      </c>
      <c r="D23" s="5" t="n"/>
      <c r="E23" s="6">
        <f>IF(ISNUMBER(D23),A23&amp;" · "&amp;B23&amp;IF(C23&lt;&gt;""," · "&amp;C23,""),IF(B23&amp;C23&lt;&gt;"","(date de début à renseigner)",""))</f>
        <v/>
      </c>
      <c r="F23" s="5" t="n"/>
      <c r="G23" s="5" t="n"/>
    </row>
    <row r="24">
      <c r="A24" t="n">
        <v>21</v>
      </c>
      <c r="D24" s="5" t="n"/>
      <c r="E24" s="6">
        <f>IF(ISNUMBER(D24),A24&amp;" · "&amp;B24&amp;IF(C24&lt;&gt;""," · "&amp;C24,""),IF(B24&amp;C24&lt;&gt;"","(date de début à renseigner)",""))</f>
        <v/>
      </c>
      <c r="F24" s="5" t="n"/>
      <c r="G24" s="5" t="n"/>
    </row>
    <row r="25">
      <c r="A25" t="n">
        <v>22</v>
      </c>
      <c r="D25" s="5" t="n"/>
      <c r="E25" s="6">
        <f>IF(ISNUMBER(D25),A25&amp;" · "&amp;B25&amp;IF(C25&lt;&gt;""," · "&amp;C25,""),IF(B25&amp;C25&lt;&gt;"","(date de début à renseigner)",""))</f>
        <v/>
      </c>
      <c r="F25" s="5" t="n"/>
      <c r="G25" s="5" t="n"/>
    </row>
    <row r="26">
      <c r="A26" t="n">
        <v>23</v>
      </c>
      <c r="D26" s="5" t="n"/>
      <c r="E26" s="6">
        <f>IF(ISNUMBER(D26),A26&amp;" · "&amp;B26&amp;IF(C26&lt;&gt;""," · "&amp;C26,""),IF(B26&amp;C26&lt;&gt;"","(date de début à renseigner)",""))</f>
        <v/>
      </c>
      <c r="F26" s="5" t="n"/>
      <c r="G26" s="5" t="n"/>
    </row>
    <row r="27">
      <c r="A27" t="n">
        <v>24</v>
      </c>
      <c r="D27" s="5" t="n"/>
      <c r="E27" s="6">
        <f>IF(ISNUMBER(D27),A27&amp;" · "&amp;B27&amp;IF(C27&lt;&gt;""," · "&amp;C27,""),IF(B27&amp;C27&lt;&gt;"","(date de début à renseigner)",""))</f>
        <v/>
      </c>
      <c r="F27" s="5" t="n"/>
      <c r="G27" s="5" t="n"/>
    </row>
    <row r="28">
      <c r="A28" t="n">
        <v>25</v>
      </c>
      <c r="D28" s="5" t="n"/>
      <c r="E28" s="6">
        <f>IF(ISNUMBER(D28),A28&amp;" · "&amp;B28&amp;IF(C28&lt;&gt;""," · "&amp;C28,""),IF(B28&amp;C28&lt;&gt;"","(date de début à renseigner)",""))</f>
        <v/>
      </c>
      <c r="F28" s="5" t="n"/>
      <c r="G28" s="5" t="n"/>
    </row>
    <row r="29">
      <c r="A29" t="n">
        <v>26</v>
      </c>
      <c r="D29" s="5" t="n"/>
      <c r="E29" s="6">
        <f>IF(ISNUMBER(D29),A29&amp;" · "&amp;B29&amp;IF(C29&lt;&gt;""," · "&amp;C29,""),IF(B29&amp;C29&lt;&gt;"","(date de début à renseigner)",""))</f>
        <v/>
      </c>
      <c r="F29" s="5" t="n"/>
      <c r="G29" s="5" t="n"/>
    </row>
    <row r="30">
      <c r="A30" t="n">
        <v>27</v>
      </c>
      <c r="D30" s="5" t="n"/>
      <c r="E30" s="6">
        <f>IF(ISNUMBER(D30),A30&amp;" · "&amp;B30&amp;IF(C30&lt;&gt;""," · "&amp;C30,""),IF(B30&amp;C30&lt;&gt;"","(date de début à renseigner)",""))</f>
        <v/>
      </c>
      <c r="F30" s="5" t="n"/>
      <c r="G30" s="5" t="n"/>
    </row>
    <row r="31">
      <c r="A31" t="n">
        <v>28</v>
      </c>
      <c r="D31" s="5" t="n"/>
      <c r="E31" s="6">
        <f>IF(ISNUMBER(D31),A31&amp;" · "&amp;B31&amp;IF(C31&lt;&gt;""," · "&amp;C31,""),IF(B31&amp;C31&lt;&gt;"","(date de début à renseigner)",""))</f>
        <v/>
      </c>
      <c r="F31" s="5" t="n"/>
      <c r="G31" s="5" t="n"/>
    </row>
    <row r="32">
      <c r="A32" t="n">
        <v>29</v>
      </c>
      <c r="D32" s="5" t="n"/>
      <c r="E32" s="6">
        <f>IF(ISNUMBER(D32),A32&amp;" · "&amp;B32&amp;IF(C32&lt;&gt;""," · "&amp;C32,""),IF(B32&amp;C32&lt;&gt;"","(date de début à renseigner)",""))</f>
        <v/>
      </c>
      <c r="F32" s="5" t="n"/>
      <c r="G32" s="5" t="n"/>
    </row>
    <row r="33">
      <c r="A33" t="n">
        <v>30</v>
      </c>
      <c r="D33" s="5" t="n"/>
      <c r="E33" s="6">
        <f>IF(ISNUMBER(D33),A33&amp;" · "&amp;B33&amp;IF(C33&lt;&gt;""," · "&amp;C33,""),IF(B33&amp;C33&lt;&gt;"","(date de début à renseigner)",""))</f>
        <v/>
      </c>
      <c r="F33" s="5" t="n"/>
      <c r="G33" s="5" t="n"/>
    </row>
    <row r="34">
      <c r="A34" t="n">
        <v>31</v>
      </c>
      <c r="D34" s="5" t="n"/>
      <c r="E34" s="6">
        <f>IF(ISNUMBER(D34),A34&amp;" · "&amp;B34&amp;IF(C34&lt;&gt;""," · "&amp;C34,""),IF(B34&amp;C34&lt;&gt;"","(date de début à renseigner)",""))</f>
        <v/>
      </c>
      <c r="F34" s="5" t="n"/>
      <c r="G34" s="5" t="n"/>
    </row>
    <row r="35">
      <c r="A35" t="n">
        <v>32</v>
      </c>
      <c r="D35" s="5" t="n"/>
      <c r="E35" s="6">
        <f>IF(ISNUMBER(D35),A35&amp;" · "&amp;B35&amp;IF(C35&lt;&gt;""," · "&amp;C35,""),IF(B35&amp;C35&lt;&gt;"","(date de début à renseigner)",""))</f>
        <v/>
      </c>
      <c r="F35" s="5" t="n"/>
      <c r="G35" s="5" t="n"/>
    </row>
    <row r="36">
      <c r="A36" t="n">
        <v>33</v>
      </c>
      <c r="D36" s="5" t="n"/>
      <c r="E36" s="6">
        <f>IF(ISNUMBER(D36),A36&amp;" · "&amp;B36&amp;IF(C36&lt;&gt;""," · "&amp;C36,""),IF(B36&amp;C36&lt;&gt;"","(date de début à renseigner)",""))</f>
        <v/>
      </c>
      <c r="F36" s="5" t="n"/>
      <c r="G36" s="5" t="n"/>
    </row>
    <row r="37">
      <c r="A37" t="n">
        <v>34</v>
      </c>
      <c r="D37" s="5" t="n"/>
      <c r="E37" s="6">
        <f>IF(ISNUMBER(D37),A37&amp;" · "&amp;B37&amp;IF(C37&lt;&gt;""," · "&amp;C37,""),IF(B37&amp;C37&lt;&gt;"","(date de début à renseigner)",""))</f>
        <v/>
      </c>
      <c r="F37" s="5" t="n"/>
      <c r="G37" s="5" t="n"/>
    </row>
    <row r="38">
      <c r="A38" t="n">
        <v>35</v>
      </c>
      <c r="D38" s="5" t="n"/>
      <c r="E38" s="6">
        <f>IF(ISNUMBER(D38),A38&amp;" · "&amp;B38&amp;IF(C38&lt;&gt;""," · "&amp;C38,""),IF(B38&amp;C38&lt;&gt;"","(date de début à renseigner)",""))</f>
        <v/>
      </c>
      <c r="F38" s="5" t="n"/>
      <c r="G38" s="5" t="n"/>
    </row>
    <row r="39">
      <c r="A39" t="n">
        <v>36</v>
      </c>
      <c r="D39" s="5" t="n"/>
      <c r="E39" s="6">
        <f>IF(ISNUMBER(D39),A39&amp;" · "&amp;B39&amp;IF(C39&lt;&gt;""," · "&amp;C39,""),IF(B39&amp;C39&lt;&gt;"","(date de début à renseigner)",""))</f>
        <v/>
      </c>
      <c r="F39" s="5" t="n"/>
      <c r="G39" s="5" t="n"/>
    </row>
    <row r="40">
      <c r="A40" t="n">
        <v>37</v>
      </c>
      <c r="D40" s="5" t="n"/>
      <c r="E40" s="6">
        <f>IF(ISNUMBER(D40),A40&amp;" · "&amp;B40&amp;IF(C40&lt;&gt;""," · "&amp;C40,""),IF(B40&amp;C40&lt;&gt;"","(date de début à renseigner)",""))</f>
        <v/>
      </c>
      <c r="F40" s="5" t="n"/>
      <c r="G40" s="5" t="n"/>
    </row>
    <row r="41">
      <c r="A41" t="n">
        <v>38</v>
      </c>
      <c r="D41" s="5" t="n"/>
      <c r="E41" s="6">
        <f>IF(ISNUMBER(D41),A41&amp;" · "&amp;B41&amp;IF(C41&lt;&gt;""," · "&amp;C41,""),IF(B41&amp;C41&lt;&gt;"","(date de début à renseigner)",""))</f>
        <v/>
      </c>
      <c r="F41" s="5" t="n"/>
      <c r="G41" s="5" t="n"/>
    </row>
    <row r="42">
      <c r="A42" t="n">
        <v>39</v>
      </c>
      <c r="D42" s="5" t="n"/>
      <c r="E42" s="6">
        <f>IF(ISNUMBER(D42),A42&amp;" · "&amp;B42&amp;IF(C42&lt;&gt;""," · "&amp;C42,""),IF(B42&amp;C42&lt;&gt;"","(date de début à renseigner)",""))</f>
        <v/>
      </c>
      <c r="F42" s="5" t="n"/>
      <c r="G42" s="5" t="n"/>
    </row>
    <row r="43">
      <c r="A43" t="n">
        <v>40</v>
      </c>
      <c r="D43" s="5" t="n"/>
      <c r="E43" s="6">
        <f>IF(ISNUMBER(D43),A43&amp;" · "&amp;B43&amp;IF(C43&lt;&gt;""," · "&amp;C43,""),IF(B43&amp;C43&lt;&gt;"","(date de début à renseigner)",""))</f>
        <v/>
      </c>
      <c r="F43" s="5" t="n"/>
      <c r="G43" s="5" t="n"/>
    </row>
    <row r="44">
      <c r="A44" t="n">
        <v>41</v>
      </c>
      <c r="D44" s="5" t="n"/>
      <c r="E44" s="6">
        <f>IF(ISNUMBER(D44),A44&amp;" · "&amp;B44&amp;IF(C44&lt;&gt;""," · "&amp;C44,""),IF(B44&amp;C44&lt;&gt;"","(date de début à renseigner)",""))</f>
        <v/>
      </c>
      <c r="F44" s="5" t="n"/>
      <c r="G44" s="5" t="n"/>
    </row>
    <row r="45">
      <c r="A45" t="n">
        <v>42</v>
      </c>
      <c r="D45" s="5" t="n"/>
      <c r="E45" s="6">
        <f>IF(ISNUMBER(D45),A45&amp;" · "&amp;B45&amp;IF(C45&lt;&gt;""," · "&amp;C45,""),IF(B45&amp;C45&lt;&gt;"","(date de début à renseigner)",""))</f>
        <v/>
      </c>
      <c r="F45" s="5" t="n"/>
      <c r="G45" s="5" t="n"/>
    </row>
    <row r="46">
      <c r="A46" t="n">
        <v>43</v>
      </c>
      <c r="D46" s="5" t="n"/>
      <c r="E46" s="6">
        <f>IF(ISNUMBER(D46),A46&amp;" · "&amp;B46&amp;IF(C46&lt;&gt;""," · "&amp;C46,""),IF(B46&amp;C46&lt;&gt;"","(date de début à renseigner)",""))</f>
        <v/>
      </c>
      <c r="F46" s="5" t="n"/>
      <c r="G46" s="5" t="n"/>
    </row>
    <row r="47">
      <c r="A47" t="n">
        <v>44</v>
      </c>
      <c r="D47" s="5" t="n"/>
      <c r="E47" s="6">
        <f>IF(ISNUMBER(D47),A47&amp;" · "&amp;B47&amp;IF(C47&lt;&gt;""," · "&amp;C47,""),IF(B47&amp;C47&lt;&gt;"","(date de début à renseigner)",""))</f>
        <v/>
      </c>
      <c r="F47" s="5" t="n"/>
      <c r="G47" s="5" t="n"/>
    </row>
    <row r="48">
      <c r="A48" t="n">
        <v>45</v>
      </c>
      <c r="D48" s="5" t="n"/>
      <c r="E48" s="6">
        <f>IF(ISNUMBER(D48),A48&amp;" · "&amp;B48&amp;IF(C48&lt;&gt;""," · "&amp;C48,""),IF(B48&amp;C48&lt;&gt;"","(date de début à renseigner)",""))</f>
        <v/>
      </c>
      <c r="F48" s="5" t="n"/>
      <c r="G48" s="5" t="n"/>
    </row>
    <row r="49">
      <c r="A49" t="n">
        <v>46</v>
      </c>
      <c r="D49" s="5" t="n"/>
      <c r="E49" s="6">
        <f>IF(ISNUMBER(D49),A49&amp;" · "&amp;B49&amp;IF(C49&lt;&gt;""," · "&amp;C49,""),IF(B49&amp;C49&lt;&gt;"","(date de début à renseigner)",""))</f>
        <v/>
      </c>
      <c r="F49" s="5" t="n"/>
      <c r="G49" s="5" t="n"/>
    </row>
    <row r="50">
      <c r="A50" t="n">
        <v>47</v>
      </c>
      <c r="D50" s="5" t="n"/>
      <c r="E50" s="6">
        <f>IF(ISNUMBER(D50),A50&amp;" · "&amp;B50&amp;IF(C50&lt;&gt;""," · "&amp;C50,""),IF(B50&amp;C50&lt;&gt;"","(date de début à renseigner)",""))</f>
        <v/>
      </c>
      <c r="F50" s="5" t="n"/>
      <c r="G50" s="5" t="n"/>
    </row>
    <row r="51">
      <c r="A51" t="n">
        <v>48</v>
      </c>
      <c r="D51" s="5" t="n"/>
      <c r="E51" s="6">
        <f>IF(ISNUMBER(D51),A51&amp;" · "&amp;B51&amp;IF(C51&lt;&gt;""," · "&amp;C51,""),IF(B51&amp;C51&lt;&gt;"","(date de début à renseigner)",""))</f>
        <v/>
      </c>
      <c r="F51" s="5" t="n"/>
      <c r="G51" s="5" t="n"/>
    </row>
    <row r="52">
      <c r="A52" t="n">
        <v>49</v>
      </c>
      <c r="D52" s="5" t="n"/>
      <c r="E52" s="6">
        <f>IF(ISNUMBER(D52),A52&amp;" · "&amp;B52&amp;IF(C52&lt;&gt;""," · "&amp;C52,""),IF(B52&amp;C52&lt;&gt;"","(date de début à renseigner)",""))</f>
        <v/>
      </c>
      <c r="F52" s="5" t="n"/>
      <c r="G52" s="5" t="n"/>
    </row>
    <row r="53">
      <c r="A53" t="n">
        <v>50</v>
      </c>
      <c r="D53" s="5" t="n"/>
      <c r="E53" s="6">
        <f>IF(ISNUMBER(D53),A53&amp;" · "&amp;B53&amp;IF(C53&lt;&gt;""," · "&amp;C53,""),IF(B53&amp;C53&lt;&gt;"","(date de début à renseigner)",""))</f>
        <v/>
      </c>
      <c r="F53" s="5" t="n"/>
      <c r="G53" s="5" t="n"/>
    </row>
    <row r="54">
      <c r="A54" t="n">
        <v>51</v>
      </c>
      <c r="D54" s="5" t="n"/>
      <c r="E54" s="6">
        <f>IF(ISNUMBER(D54),A54&amp;" · "&amp;B54&amp;IF(C54&lt;&gt;""," · "&amp;C54,""),IF(B54&amp;C54&lt;&gt;"","(date de début à renseigner)",""))</f>
        <v/>
      </c>
      <c r="F54" s="5" t="n"/>
      <c r="G54" s="5" t="n"/>
    </row>
    <row r="55">
      <c r="A55" t="n">
        <v>52</v>
      </c>
      <c r="D55" s="5" t="n"/>
      <c r="E55" s="6">
        <f>IF(ISNUMBER(D55),A55&amp;" · "&amp;B55&amp;IF(C55&lt;&gt;""," · "&amp;C55,""),IF(B55&amp;C55&lt;&gt;"","(date de début à renseigner)",""))</f>
        <v/>
      </c>
      <c r="F55" s="5" t="n"/>
      <c r="G55" s="5" t="n"/>
    </row>
    <row r="56">
      <c r="A56" t="n">
        <v>53</v>
      </c>
      <c r="D56" s="5" t="n"/>
      <c r="E56" s="6">
        <f>IF(ISNUMBER(D56),A56&amp;" · "&amp;B56&amp;IF(C56&lt;&gt;""," · "&amp;C56,""),IF(B56&amp;C56&lt;&gt;"","(date de début à renseigner)",""))</f>
        <v/>
      </c>
      <c r="F56" s="5" t="n"/>
      <c r="G56" s="5" t="n"/>
    </row>
    <row r="57">
      <c r="A57" t="n">
        <v>54</v>
      </c>
      <c r="D57" s="5" t="n"/>
      <c r="E57" s="6">
        <f>IF(ISNUMBER(D57),A57&amp;" · "&amp;B57&amp;IF(C57&lt;&gt;""," · "&amp;C57,""),IF(B57&amp;C57&lt;&gt;"","(date de début à renseigner)",""))</f>
        <v/>
      </c>
      <c r="F57" s="5" t="n"/>
      <c r="G57" s="5" t="n"/>
    </row>
    <row r="58">
      <c r="A58" t="n">
        <v>55</v>
      </c>
      <c r="D58" s="5" t="n"/>
      <c r="E58" s="6">
        <f>IF(ISNUMBER(D58),A58&amp;" · "&amp;B58&amp;IF(C58&lt;&gt;""," · "&amp;C58,""),IF(B58&amp;C58&lt;&gt;"","(date de début à renseigner)",""))</f>
        <v/>
      </c>
      <c r="F58" s="5" t="n"/>
      <c r="G58" s="5" t="n"/>
    </row>
    <row r="59">
      <c r="A59" t="n">
        <v>56</v>
      </c>
      <c r="D59" s="5" t="n"/>
      <c r="E59" s="6">
        <f>IF(ISNUMBER(D59),A59&amp;" · "&amp;B59&amp;IF(C59&lt;&gt;""," · "&amp;C59,""),IF(B59&amp;C59&lt;&gt;"","(date de début à renseigner)",""))</f>
        <v/>
      </c>
      <c r="F59" s="5" t="n"/>
      <c r="G59" s="5" t="n"/>
    </row>
    <row r="60">
      <c r="A60" t="n">
        <v>57</v>
      </c>
      <c r="D60" s="5" t="n"/>
      <c r="E60" s="6">
        <f>IF(ISNUMBER(D60),A60&amp;" · "&amp;B60&amp;IF(C60&lt;&gt;""," · "&amp;C60,""),IF(B60&amp;C60&lt;&gt;"","(date de début à renseigner)",""))</f>
        <v/>
      </c>
      <c r="F60" s="5" t="n"/>
      <c r="G60" s="5" t="n"/>
    </row>
    <row r="61">
      <c r="A61" t="n">
        <v>58</v>
      </c>
      <c r="D61" s="5" t="n"/>
      <c r="E61" s="6">
        <f>IF(ISNUMBER(D61),A61&amp;" · "&amp;B61&amp;IF(C61&lt;&gt;""," · "&amp;C61,""),IF(B61&amp;C61&lt;&gt;"","(date de début à renseigner)",""))</f>
        <v/>
      </c>
      <c r="F61" s="5" t="n"/>
      <c r="G61" s="5" t="n"/>
    </row>
    <row r="62">
      <c r="A62" t="n">
        <v>59</v>
      </c>
      <c r="D62" s="5" t="n"/>
      <c r="E62" s="6">
        <f>IF(ISNUMBER(D62),A62&amp;" · "&amp;B62&amp;IF(C62&lt;&gt;""," · "&amp;C62,""),IF(B62&amp;C62&lt;&gt;"","(date de début à renseigner)",""))</f>
        <v/>
      </c>
      <c r="F62" s="5" t="n"/>
      <c r="G62" s="5" t="n"/>
    </row>
    <row r="63">
      <c r="A63" t="n">
        <v>60</v>
      </c>
      <c r="D63" s="5" t="n"/>
      <c r="E63" s="6">
        <f>IF(ISNUMBER(D63),A63&amp;" · "&amp;B63&amp;IF(C63&lt;&gt;""," · "&amp;C63,""),IF(B63&amp;C63&lt;&gt;"","(date de début à renseigner)",""))</f>
        <v/>
      </c>
      <c r="F63" s="5" t="n"/>
      <c r="G63" s="5" t="n"/>
    </row>
  </sheetData>
  <autoFilter ref="B3:G60">
    <sortState ref="B4:G63">
      <sortCondition ref="F3:F60"/>
    </sortState>
  </autoFilter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P72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3" max="3"/>
    <col width="1.5" customWidth="1" min="4" max="4"/>
    <col width="9" customWidth="1" min="5" max="5"/>
    <col width="9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hidden="1" width="2.3" customWidth="1" min="15" max="15"/>
    <col hidden="1"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  <col width="2.3" customWidth="1" min="120" max="120"/>
    <col width="2.3" customWidth="1" min="121" max="121"/>
    <col width="2.3" customWidth="1" min="122" max="122"/>
    <col width="2.3" customWidth="1" min="123" max="123"/>
    <col width="2.3" customWidth="1" min="124" max="124"/>
    <col width="2.3" customWidth="1" min="125" max="125"/>
    <col width="2.3" customWidth="1" min="126" max="126"/>
    <col width="2.3" customWidth="1" min="127" max="127"/>
    <col width="2.3" customWidth="1" min="128" max="128"/>
    <col width="2.3" customWidth="1" min="129" max="129"/>
    <col width="2.3" customWidth="1" min="130" max="130"/>
    <col width="2.3" customWidth="1" min="131" max="131"/>
    <col width="2.3" customWidth="1" min="132" max="132"/>
    <col width="2.3" customWidth="1" min="133" max="133"/>
    <col width="2.3" customWidth="1" min="134" max="134"/>
    <col width="2.3" customWidth="1" min="135" max="135"/>
    <col width="2.3" customWidth="1" min="136" max="136"/>
    <col width="2.3" customWidth="1" min="137" max="137"/>
    <col width="2.3" customWidth="1" min="138" max="138"/>
    <col width="2.3" customWidth="1" min="139" max="139"/>
    <col width="2.3" customWidth="1" min="140" max="140"/>
    <col width="2.3" customWidth="1" min="141" max="141"/>
    <col width="2.3" customWidth="1" min="142" max="142"/>
    <col width="2.3" customWidth="1" min="143" max="143"/>
    <col width="2.3" customWidth="1" min="144" max="144"/>
    <col width="2.3" customWidth="1" min="145" max="145"/>
    <col width="2.3" customWidth="1" min="146" max="146"/>
  </cols>
  <sheetData>
    <row r="1">
      <c r="A1" s="21" t="inlineStr">
        <is>
          <t>Dossier affiché :</t>
        </is>
      </c>
      <c r="C1" s="22" t="n">
        <v>1</v>
      </c>
      <c r="D1" s="23">
        <f>IFERROR(INDEX(Dossiers!$E$4:$E$63,$C$1),"—")</f>
        <v/>
      </c>
    </row>
    <row r="2">
      <c r="A2" s="24" t="inlineStr">
        <is>
          <t>N° de dossier (1 à 60) — liste déroulante en C1</t>
        </is>
      </c>
      <c r="B2" s="30" t="inlineStr">
        <is>
          <t>Origine calendrier (auto) :</t>
        </is>
      </c>
      <c r="C2" s="30">
        <f>IFERROR(MIN(INDEX(Dossiers!$D$4:$D$63,$C$1),INDEX(Dossiers!$F$4:$F$63,$C$1),INDEX(Dossiers!$G$4:$G$63,$C$1))-3,INDEX(Dossiers!$D$4:$D$63,$C$1))</f>
        <v/>
      </c>
    </row>
    <row r="3">
      <c r="G3" s="25">
        <f>IF(DAY(G$4)=1,TEXT(G$4,"mmm aa"),"")</f>
        <v/>
      </c>
      <c r="H3" s="25">
        <f>IF(DAY(H$4)=1,TEXT(H$4,"mmm aa"),"")</f>
        <v/>
      </c>
      <c r="I3" s="25">
        <f>IF(DAY(I$4)=1,TEXT(I$4,"mmm aa"),"")</f>
        <v/>
      </c>
      <c r="J3" s="25">
        <f>IF(DAY(J$4)=1,TEXT(J$4,"mmm aa"),"")</f>
        <v/>
      </c>
      <c r="K3" s="25">
        <f>IF(DAY(K$4)=1,TEXT(K$4,"mmm aa"),"")</f>
        <v/>
      </c>
      <c r="L3" s="25">
        <f>IF(DAY(L$4)=1,TEXT(L$4,"mmm aa"),"")</f>
        <v/>
      </c>
      <c r="M3" s="25">
        <f>IF(DAY(M$4)=1,TEXT(M$4,"mmm aa"),"")</f>
        <v/>
      </c>
      <c r="N3" s="25">
        <f>IF(DAY(N$4)=1,TEXT(N$4,"mmm aa"),"")</f>
        <v/>
      </c>
      <c r="O3" s="25">
        <f>IF(DAY(O$4)=1,TEXT(O$4,"mmm aa"),"")</f>
        <v/>
      </c>
      <c r="P3" s="25">
        <f>IF(DAY(P$4)=1,TEXT(P$4,"mmm aa"),"")</f>
        <v/>
      </c>
      <c r="Q3" s="25">
        <f>IF(DAY(Q$4)=1,TEXT(Q$4,"mmm aa"),"")</f>
        <v/>
      </c>
      <c r="R3" s="25">
        <f>IF(DAY(R$4)=1,TEXT(R$4,"mmm aa"),"")</f>
        <v/>
      </c>
      <c r="S3" s="25">
        <f>IF(DAY(S$4)=1,TEXT(S$4,"mmm aa"),"")</f>
        <v/>
      </c>
      <c r="T3" s="25">
        <f>IF(DAY(T$4)=1,TEXT(T$4,"mmm aa"),"")</f>
        <v/>
      </c>
      <c r="U3" s="25">
        <f>IF(DAY(U$4)=1,TEXT(U$4,"mmm aa"),"")</f>
        <v/>
      </c>
      <c r="V3" s="25">
        <f>IF(DAY(V$4)=1,TEXT(V$4,"mmm aa"),"")</f>
        <v/>
      </c>
      <c r="W3" s="25">
        <f>IF(DAY(W$4)=1,TEXT(W$4,"mmm aa"),"")</f>
        <v/>
      </c>
      <c r="X3" s="25">
        <f>IF(DAY(X$4)=1,TEXT(X$4,"mmm aa"),"")</f>
        <v/>
      </c>
      <c r="Y3" s="25">
        <f>IF(DAY(Y$4)=1,TEXT(Y$4,"mmm aa"),"")</f>
        <v/>
      </c>
      <c r="Z3" s="25">
        <f>IF(DAY(Z$4)=1,TEXT(Z$4,"mmm aa"),"")</f>
        <v/>
      </c>
      <c r="AA3" s="25">
        <f>IF(DAY(AA$4)=1,TEXT(AA$4,"mmm aa"),"")</f>
        <v/>
      </c>
      <c r="AB3" s="25">
        <f>IF(DAY(AB$4)=1,TEXT(AB$4,"mmm aa"),"")</f>
        <v/>
      </c>
      <c r="AC3" s="25">
        <f>IF(DAY(AC$4)=1,TEXT(AC$4,"mmm aa"),"")</f>
        <v/>
      </c>
      <c r="AD3" s="25">
        <f>IF(DAY(AD$4)=1,TEXT(AD$4,"mmm aa"),"")</f>
        <v/>
      </c>
      <c r="AE3" s="25">
        <f>IF(DAY(AE$4)=1,TEXT(AE$4,"mmm aa"),"")</f>
        <v/>
      </c>
      <c r="AF3" s="25">
        <f>IF(DAY(AF$4)=1,TEXT(AF$4,"mmm aa"),"")</f>
        <v/>
      </c>
      <c r="AG3" s="25">
        <f>IF(DAY(AG$4)=1,TEXT(AG$4,"mmm aa"),"")</f>
        <v/>
      </c>
      <c r="AH3" s="25">
        <f>IF(DAY(AH$4)=1,TEXT(AH$4,"mmm aa"),"")</f>
        <v/>
      </c>
      <c r="AI3" s="25">
        <f>IF(DAY(AI$4)=1,TEXT(AI$4,"mmm aa"),"")</f>
        <v/>
      </c>
      <c r="AJ3" s="25">
        <f>IF(DAY(AJ$4)=1,TEXT(AJ$4,"mmm aa"),"")</f>
        <v/>
      </c>
      <c r="AK3" s="25">
        <f>IF(DAY(AK$4)=1,TEXT(AK$4,"mmm aa"),"")</f>
        <v/>
      </c>
      <c r="AL3" s="25">
        <f>IF(DAY(AL$4)=1,TEXT(AL$4,"mmm aa"),"")</f>
        <v/>
      </c>
      <c r="AM3" s="25">
        <f>IF(DAY(AM$4)=1,TEXT(AM$4,"mmm aa"),"")</f>
        <v/>
      </c>
      <c r="AN3" s="25">
        <f>IF(DAY(AN$4)=1,TEXT(AN$4,"mmm aa"),"")</f>
        <v/>
      </c>
      <c r="AO3" s="25">
        <f>IF(DAY(AO$4)=1,TEXT(AO$4,"mmm aa"),"")</f>
        <v/>
      </c>
      <c r="AP3" s="25">
        <f>IF(DAY(AP$4)=1,TEXT(AP$4,"mmm aa"),"")</f>
        <v/>
      </c>
      <c r="AQ3" s="25">
        <f>IF(DAY(AQ$4)=1,TEXT(AQ$4,"mmm aa"),"")</f>
        <v/>
      </c>
      <c r="AR3" s="25">
        <f>IF(DAY(AR$4)=1,TEXT(AR$4,"mmm aa"),"")</f>
        <v/>
      </c>
      <c r="AS3" s="25">
        <f>IF(DAY(AS$4)=1,TEXT(AS$4,"mmm aa"),"")</f>
        <v/>
      </c>
      <c r="AT3" s="25">
        <f>IF(DAY(AT$4)=1,TEXT(AT$4,"mmm aa"),"")</f>
        <v/>
      </c>
      <c r="AU3" s="25">
        <f>IF(DAY(AU$4)=1,TEXT(AU$4,"mmm aa"),"")</f>
        <v/>
      </c>
      <c r="AV3" s="25">
        <f>IF(DAY(AV$4)=1,TEXT(AV$4,"mmm aa"),"")</f>
        <v/>
      </c>
      <c r="AW3" s="25">
        <f>IF(DAY(AW$4)=1,TEXT(AW$4,"mmm aa"),"")</f>
        <v/>
      </c>
      <c r="AX3" s="25">
        <f>IF(DAY(AX$4)=1,TEXT(AX$4,"mmm aa"),"")</f>
        <v/>
      </c>
      <c r="AY3" s="25">
        <f>IF(DAY(AY$4)=1,TEXT(AY$4,"mmm aa"),"")</f>
        <v/>
      </c>
      <c r="AZ3" s="25">
        <f>IF(DAY(AZ$4)=1,TEXT(AZ$4,"mmm aa"),"")</f>
        <v/>
      </c>
      <c r="BA3" s="25">
        <f>IF(DAY(BA$4)=1,TEXT(BA$4,"mmm aa"),"")</f>
        <v/>
      </c>
      <c r="BB3" s="25">
        <f>IF(DAY(BB$4)=1,TEXT(BB$4,"mmm aa"),"")</f>
        <v/>
      </c>
      <c r="BC3" s="25">
        <f>IF(DAY(BC$4)=1,TEXT(BC$4,"mmm aa"),"")</f>
        <v/>
      </c>
      <c r="BD3" s="25">
        <f>IF(DAY(BD$4)=1,TEXT(BD$4,"mmm aa"),"")</f>
        <v/>
      </c>
      <c r="BE3" s="25">
        <f>IF(DAY(BE$4)=1,TEXT(BE$4,"mmm aa"),"")</f>
        <v/>
      </c>
      <c r="BF3" s="25">
        <f>IF(DAY(BF$4)=1,TEXT(BF$4,"mmm aa"),"")</f>
        <v/>
      </c>
      <c r="BG3" s="25">
        <f>IF(DAY(BG$4)=1,TEXT(BG$4,"mmm aa"),"")</f>
        <v/>
      </c>
      <c r="BH3" s="25">
        <f>IF(DAY(BH$4)=1,TEXT(BH$4,"mmm aa"),"")</f>
        <v/>
      </c>
      <c r="BI3" s="25">
        <f>IF(DAY(BI$4)=1,TEXT(BI$4,"mmm aa"),"")</f>
        <v/>
      </c>
      <c r="BJ3" s="25">
        <f>IF(DAY(BJ$4)=1,TEXT(BJ$4,"mmm aa"),"")</f>
        <v/>
      </c>
      <c r="BK3" s="25">
        <f>IF(DAY(BK$4)=1,TEXT(BK$4,"mmm aa"),"")</f>
        <v/>
      </c>
      <c r="BL3" s="25">
        <f>IF(DAY(BL$4)=1,TEXT(BL$4,"mmm aa"),"")</f>
        <v/>
      </c>
      <c r="BM3" s="25">
        <f>IF(DAY(BM$4)=1,TEXT(BM$4,"mmm aa"),"")</f>
        <v/>
      </c>
      <c r="BN3" s="25">
        <f>IF(DAY(BN$4)=1,TEXT(BN$4,"mmm aa"),"")</f>
        <v/>
      </c>
      <c r="BO3" s="25">
        <f>IF(DAY(BO$4)=1,TEXT(BO$4,"mmm aa"),"")</f>
        <v/>
      </c>
      <c r="BP3" s="25">
        <f>IF(DAY(BP$4)=1,TEXT(BP$4,"mmm aa"),"")</f>
        <v/>
      </c>
      <c r="BQ3" s="25">
        <f>IF(DAY(BQ$4)=1,TEXT(BQ$4,"mmm aa"),"")</f>
        <v/>
      </c>
      <c r="BR3" s="25">
        <f>IF(DAY(BR$4)=1,TEXT(BR$4,"mmm aa"),"")</f>
        <v/>
      </c>
      <c r="BS3" s="25">
        <f>IF(DAY(BS$4)=1,TEXT(BS$4,"mmm aa"),"")</f>
        <v/>
      </c>
      <c r="BT3" s="25">
        <f>IF(DAY(BT$4)=1,TEXT(BT$4,"mmm aa"),"")</f>
        <v/>
      </c>
      <c r="BU3" s="25">
        <f>IF(DAY(BU$4)=1,TEXT(BU$4,"mmm aa"),"")</f>
        <v/>
      </c>
      <c r="BV3" s="25">
        <f>IF(DAY(BV$4)=1,TEXT(BV$4,"mmm aa"),"")</f>
        <v/>
      </c>
      <c r="BW3" s="25">
        <f>IF(DAY(BW$4)=1,TEXT(BW$4,"mmm aa"),"")</f>
        <v/>
      </c>
      <c r="BX3" s="25">
        <f>IF(DAY(BX$4)=1,TEXT(BX$4,"mmm aa"),"")</f>
        <v/>
      </c>
      <c r="BY3" s="25">
        <f>IF(DAY(BY$4)=1,TEXT(BY$4,"mmm aa"),"")</f>
        <v/>
      </c>
      <c r="BZ3" s="25">
        <f>IF(DAY(BZ$4)=1,TEXT(BZ$4,"mmm aa"),"")</f>
        <v/>
      </c>
      <c r="CA3" s="25">
        <f>IF(DAY(CA$4)=1,TEXT(CA$4,"mmm aa"),"")</f>
        <v/>
      </c>
      <c r="CB3" s="25">
        <f>IF(DAY(CB$4)=1,TEXT(CB$4,"mmm aa"),"")</f>
        <v/>
      </c>
      <c r="CC3" s="25">
        <f>IF(DAY(CC$4)=1,TEXT(CC$4,"mmm aa"),"")</f>
        <v/>
      </c>
      <c r="CD3" s="25">
        <f>IF(DAY(CD$4)=1,TEXT(CD$4,"mmm aa"),"")</f>
        <v/>
      </c>
      <c r="CE3" s="25">
        <f>IF(DAY(CE$4)=1,TEXT(CE$4,"mmm aa"),"")</f>
        <v/>
      </c>
      <c r="CF3" s="25">
        <f>IF(DAY(CF$4)=1,TEXT(CF$4,"mmm aa"),"")</f>
        <v/>
      </c>
      <c r="CG3" s="25">
        <f>IF(DAY(CG$4)=1,TEXT(CG$4,"mmm aa"),"")</f>
        <v/>
      </c>
      <c r="CH3" s="25">
        <f>IF(DAY(CH$4)=1,TEXT(CH$4,"mmm aa"),"")</f>
        <v/>
      </c>
      <c r="CI3" s="25">
        <f>IF(DAY(CI$4)=1,TEXT(CI$4,"mmm aa"),"")</f>
        <v/>
      </c>
      <c r="CJ3" s="25">
        <f>IF(DAY(CJ$4)=1,TEXT(CJ$4,"mmm aa"),"")</f>
        <v/>
      </c>
      <c r="CK3" s="25">
        <f>IF(DAY(CK$4)=1,TEXT(CK$4,"mmm aa"),"")</f>
        <v/>
      </c>
      <c r="CL3" s="25">
        <f>IF(DAY(CL$4)=1,TEXT(CL$4,"mmm aa"),"")</f>
        <v/>
      </c>
      <c r="CM3" s="25">
        <f>IF(DAY(CM$4)=1,TEXT(CM$4,"mmm aa"),"")</f>
        <v/>
      </c>
      <c r="CN3" s="25">
        <f>IF(DAY(CN$4)=1,TEXT(CN$4,"mmm aa"),"")</f>
        <v/>
      </c>
      <c r="CO3" s="25">
        <f>IF(DAY(CO$4)=1,TEXT(CO$4,"mmm aa"),"")</f>
        <v/>
      </c>
      <c r="CP3" s="25">
        <f>IF(DAY(CP$4)=1,TEXT(CP$4,"mmm aa"),"")</f>
        <v/>
      </c>
      <c r="CQ3" s="25">
        <f>IF(DAY(CQ$4)=1,TEXT(CQ$4,"mmm aa"),"")</f>
        <v/>
      </c>
      <c r="CR3" s="25">
        <f>IF(DAY(CR$4)=1,TEXT(CR$4,"mmm aa"),"")</f>
        <v/>
      </c>
      <c r="CS3" s="25">
        <f>IF(DAY(CS$4)=1,TEXT(CS$4,"mmm aa"),"")</f>
        <v/>
      </c>
      <c r="CT3" s="25">
        <f>IF(DAY(CT$4)=1,TEXT(CT$4,"mmm aa"),"")</f>
        <v/>
      </c>
      <c r="CU3" s="25">
        <f>IF(DAY(CU$4)=1,TEXT(CU$4,"mmm aa"),"")</f>
        <v/>
      </c>
      <c r="CV3" s="25">
        <f>IF(DAY(CV$4)=1,TEXT(CV$4,"mmm aa"),"")</f>
        <v/>
      </c>
      <c r="CW3" s="25">
        <f>IF(DAY(CW$4)=1,TEXT(CW$4,"mmm aa"),"")</f>
        <v/>
      </c>
      <c r="CX3" s="25">
        <f>IF(DAY(CX$4)=1,TEXT(CX$4,"mmm aa"),"")</f>
        <v/>
      </c>
      <c r="CY3" s="25">
        <f>IF(DAY(CY$4)=1,TEXT(CY$4,"mmm aa"),"")</f>
        <v/>
      </c>
      <c r="CZ3" s="25">
        <f>IF(DAY(CZ$4)=1,TEXT(CZ$4,"mmm aa"),"")</f>
        <v/>
      </c>
      <c r="DA3" s="25">
        <f>IF(DAY(DA$4)=1,TEXT(DA$4,"mmm aa"),"")</f>
        <v/>
      </c>
      <c r="DB3" s="25">
        <f>IF(DAY(DB$4)=1,TEXT(DB$4,"mmm aa"),"")</f>
        <v/>
      </c>
      <c r="DC3" s="25">
        <f>IF(DAY(DC$4)=1,TEXT(DC$4,"mmm aa"),"")</f>
        <v/>
      </c>
      <c r="DD3" s="25">
        <f>IF(DAY(DD$4)=1,TEXT(DD$4,"mmm aa"),"")</f>
        <v/>
      </c>
      <c r="DE3" s="25">
        <f>IF(DAY(DE$4)=1,TEXT(DE$4,"mmm aa"),"")</f>
        <v/>
      </c>
      <c r="DF3" s="25">
        <f>IF(DAY(DF$4)=1,TEXT(DF$4,"mmm aa"),"")</f>
        <v/>
      </c>
      <c r="DG3" s="25">
        <f>IF(DAY(DG$4)=1,TEXT(DG$4,"mmm aa"),"")</f>
        <v/>
      </c>
      <c r="DH3" s="25">
        <f>IF(DAY(DH$4)=1,TEXT(DH$4,"mmm aa"),"")</f>
        <v/>
      </c>
      <c r="DI3" s="25">
        <f>IF(DAY(DI$4)=1,TEXT(DI$4,"mmm aa"),"")</f>
        <v/>
      </c>
      <c r="DJ3" s="25">
        <f>IF(DAY(DJ$4)=1,TEXT(DJ$4,"mmm aa"),"")</f>
        <v/>
      </c>
      <c r="DK3" s="25">
        <f>IF(DAY(DK$4)=1,TEXT(DK$4,"mmm aa"),"")</f>
        <v/>
      </c>
      <c r="DL3" s="25">
        <f>IF(DAY(DL$4)=1,TEXT(DL$4,"mmm aa"),"")</f>
        <v/>
      </c>
      <c r="DM3" s="25">
        <f>IF(DAY(DM$4)=1,TEXT(DM$4,"mmm aa"),"")</f>
        <v/>
      </c>
      <c r="DN3" s="25">
        <f>IF(DAY(DN$4)=1,TEXT(DN$4,"mmm aa"),"")</f>
        <v/>
      </c>
      <c r="DO3" s="25">
        <f>IF(DAY(DO$4)=1,TEXT(DO$4,"mmm aa"),"")</f>
        <v/>
      </c>
      <c r="DP3" s="25">
        <f>IF(DAY(DP$4)=1,TEXT(DP$4,"mmm aa"),"")</f>
        <v/>
      </c>
      <c r="DQ3" s="25">
        <f>IF(DAY(DQ$4)=1,TEXT(DQ$4,"mmm aa"),"")</f>
        <v/>
      </c>
      <c r="DR3" s="25">
        <f>IF(DAY(DR$4)=1,TEXT(DR$4,"mmm aa"),"")</f>
        <v/>
      </c>
      <c r="DS3" s="25">
        <f>IF(DAY(DS$4)=1,TEXT(DS$4,"mmm aa"),"")</f>
        <v/>
      </c>
      <c r="DT3" s="25">
        <f>IF(DAY(DT$4)=1,TEXT(DT$4,"mmm aa"),"")</f>
        <v/>
      </c>
      <c r="DU3" s="25">
        <f>IF(DAY(DU$4)=1,TEXT(DU$4,"mmm aa"),"")</f>
        <v/>
      </c>
      <c r="DV3" s="25">
        <f>IF(DAY(DV$4)=1,TEXT(DV$4,"mmm aa"),"")</f>
        <v/>
      </c>
      <c r="DW3" s="25">
        <f>IF(DAY(DW$4)=1,TEXT(DW$4,"mmm aa"),"")</f>
        <v/>
      </c>
      <c r="DX3" s="25">
        <f>IF(DAY(DX$4)=1,TEXT(DX$4,"mmm aa"),"")</f>
        <v/>
      </c>
      <c r="DY3" s="25">
        <f>IF(DAY(DY$4)=1,TEXT(DY$4,"mmm aa"),"")</f>
        <v/>
      </c>
      <c r="DZ3" s="25">
        <f>IF(DAY(DZ$4)=1,TEXT(DZ$4,"mmm aa"),"")</f>
        <v/>
      </c>
      <c r="EA3" s="25">
        <f>IF(DAY(EA$4)=1,TEXT(EA$4,"mmm aa"),"")</f>
        <v/>
      </c>
      <c r="EB3" s="25">
        <f>IF(DAY(EB$4)=1,TEXT(EB$4,"mmm aa"),"")</f>
        <v/>
      </c>
      <c r="EC3" s="25">
        <f>IF(DAY(EC$4)=1,TEXT(EC$4,"mmm aa"),"")</f>
        <v/>
      </c>
      <c r="ED3" s="25">
        <f>IF(DAY(ED$4)=1,TEXT(ED$4,"mmm aa"),"")</f>
        <v/>
      </c>
      <c r="EE3" s="25">
        <f>IF(DAY(EE$4)=1,TEXT(EE$4,"mmm aa"),"")</f>
        <v/>
      </c>
      <c r="EF3" s="25">
        <f>IF(DAY(EF$4)=1,TEXT(EF$4,"mmm aa"),"")</f>
        <v/>
      </c>
      <c r="EG3" s="25">
        <f>IF(DAY(EG$4)=1,TEXT(EG$4,"mmm aa"),"")</f>
        <v/>
      </c>
      <c r="EH3" s="25">
        <f>IF(DAY(EH$4)=1,TEXT(EH$4,"mmm aa"),"")</f>
        <v/>
      </c>
      <c r="EI3" s="25">
        <f>IF(DAY(EI$4)=1,TEXT(EI$4,"mmm aa"),"")</f>
        <v/>
      </c>
      <c r="EJ3" s="25">
        <f>IF(DAY(EJ$4)=1,TEXT(EJ$4,"mmm aa"),"")</f>
        <v/>
      </c>
      <c r="EK3" s="25">
        <f>IF(DAY(EK$4)=1,TEXT(EK$4,"mmm aa"),"")</f>
        <v/>
      </c>
      <c r="EL3" s="25">
        <f>IF(DAY(EL$4)=1,TEXT(EL$4,"mmm aa"),"")</f>
        <v/>
      </c>
      <c r="EM3" s="25">
        <f>IF(DAY(EM$4)=1,TEXT(EM$4,"mmm aa"),"")</f>
        <v/>
      </c>
      <c r="EN3" s="25">
        <f>IF(DAY(EN$4)=1,TEXT(EN$4,"mmm aa"),"")</f>
        <v/>
      </c>
      <c r="EO3" s="25">
        <f>IF(DAY(EO$4)=1,TEXT(EO$4,"mmm aa"),"")</f>
        <v/>
      </c>
      <c r="EP3" s="25">
        <f>IF(DAY(EP$4)=1,TEXT(EP$4,"mmm aa"),"")</f>
        <v/>
      </c>
    </row>
    <row r="4">
      <c r="A4" s="26" t="inlineStr">
        <is>
          <t>ID</t>
        </is>
      </c>
      <c r="C4" s="26" t="inlineStr">
        <is>
          <t>Étape</t>
        </is>
      </c>
      <c r="E4" s="26" t="inlineStr">
        <is>
          <t>Début</t>
        </is>
      </c>
      <c r="F4" s="26" t="inlineStr">
        <is>
          <t>Fin</t>
        </is>
      </c>
      <c r="G4" s="27">
        <f>$C$2</f>
        <v/>
      </c>
      <c r="H4" s="27">
        <f>G4+1</f>
        <v/>
      </c>
      <c r="I4" s="27">
        <f>H4+1</f>
        <v/>
      </c>
      <c r="J4" s="27">
        <f>I4+1</f>
        <v/>
      </c>
      <c r="K4" s="27">
        <f>J4+1</f>
        <v/>
      </c>
      <c r="L4" s="27">
        <f>K4+1</f>
        <v/>
      </c>
      <c r="M4" s="27">
        <f>L4+1</f>
        <v/>
      </c>
      <c r="N4" s="27">
        <f>M4+1</f>
        <v/>
      </c>
      <c r="O4" s="27">
        <f>N4+1</f>
        <v/>
      </c>
      <c r="P4" s="27">
        <f>O4+1</f>
        <v/>
      </c>
      <c r="Q4" s="27">
        <f>P4+1</f>
        <v/>
      </c>
      <c r="R4" s="27">
        <f>Q4+1</f>
        <v/>
      </c>
      <c r="S4" s="27">
        <f>R4+1</f>
        <v/>
      </c>
      <c r="T4" s="27">
        <f>S4+1</f>
        <v/>
      </c>
      <c r="U4" s="27">
        <f>T4+1</f>
        <v/>
      </c>
      <c r="V4" s="27">
        <f>U4+1</f>
        <v/>
      </c>
      <c r="W4" s="27">
        <f>V4+1</f>
        <v/>
      </c>
      <c r="X4" s="27">
        <f>W4+1</f>
        <v/>
      </c>
      <c r="Y4" s="27">
        <f>X4+1</f>
        <v/>
      </c>
      <c r="Z4" s="27">
        <f>Y4+1</f>
        <v/>
      </c>
      <c r="AA4" s="27">
        <f>Z4+1</f>
        <v/>
      </c>
      <c r="AB4" s="27">
        <f>AA4+1</f>
        <v/>
      </c>
      <c r="AC4" s="27">
        <f>AB4+1</f>
        <v/>
      </c>
      <c r="AD4" s="27">
        <f>AC4+1</f>
        <v/>
      </c>
      <c r="AE4" s="27">
        <f>AD4+1</f>
        <v/>
      </c>
      <c r="AF4" s="27">
        <f>AE4+1</f>
        <v/>
      </c>
      <c r="AG4" s="27">
        <f>AF4+1</f>
        <v/>
      </c>
      <c r="AH4" s="27">
        <f>AG4+1</f>
        <v/>
      </c>
      <c r="AI4" s="27">
        <f>AH4+1</f>
        <v/>
      </c>
      <c r="AJ4" s="27">
        <f>AI4+1</f>
        <v/>
      </c>
      <c r="AK4" s="27">
        <f>AJ4+1</f>
        <v/>
      </c>
      <c r="AL4" s="27">
        <f>AK4+1</f>
        <v/>
      </c>
      <c r="AM4" s="27">
        <f>AL4+1</f>
        <v/>
      </c>
      <c r="AN4" s="27">
        <f>AM4+1</f>
        <v/>
      </c>
      <c r="AO4" s="27">
        <f>AN4+1</f>
        <v/>
      </c>
      <c r="AP4" s="27">
        <f>AO4+1</f>
        <v/>
      </c>
      <c r="AQ4" s="27">
        <f>AP4+1</f>
        <v/>
      </c>
      <c r="AR4" s="27">
        <f>AQ4+1</f>
        <v/>
      </c>
      <c r="AS4" s="27">
        <f>AR4+1</f>
        <v/>
      </c>
      <c r="AT4" s="27">
        <f>AS4+1</f>
        <v/>
      </c>
      <c r="AU4" s="27">
        <f>AT4+1</f>
        <v/>
      </c>
      <c r="AV4" s="27">
        <f>AU4+1</f>
        <v/>
      </c>
      <c r="AW4" s="27">
        <f>AV4+1</f>
        <v/>
      </c>
      <c r="AX4" s="27">
        <f>AW4+1</f>
        <v/>
      </c>
      <c r="AY4" s="27">
        <f>AX4+1</f>
        <v/>
      </c>
      <c r="AZ4" s="27">
        <f>AY4+1</f>
        <v/>
      </c>
      <c r="BA4" s="27">
        <f>AZ4+1</f>
        <v/>
      </c>
      <c r="BB4" s="27">
        <f>BA4+1</f>
        <v/>
      </c>
      <c r="BC4" s="27">
        <f>BB4+1</f>
        <v/>
      </c>
      <c r="BD4" s="27">
        <f>BC4+1</f>
        <v/>
      </c>
      <c r="BE4" s="27">
        <f>BD4+1</f>
        <v/>
      </c>
      <c r="BF4" s="27">
        <f>BE4+1</f>
        <v/>
      </c>
      <c r="BG4" s="27">
        <f>BF4+1</f>
        <v/>
      </c>
      <c r="BH4" s="27">
        <f>BG4+1</f>
        <v/>
      </c>
      <c r="BI4" s="27">
        <f>BH4+1</f>
        <v/>
      </c>
      <c r="BJ4" s="27">
        <f>BI4+1</f>
        <v/>
      </c>
      <c r="BK4" s="27">
        <f>BJ4+1</f>
        <v/>
      </c>
      <c r="BL4" s="27">
        <f>BK4+1</f>
        <v/>
      </c>
      <c r="BM4" s="27">
        <f>BL4+1</f>
        <v/>
      </c>
      <c r="BN4" s="27">
        <f>BM4+1</f>
        <v/>
      </c>
      <c r="BO4" s="27">
        <f>BN4+1</f>
        <v/>
      </c>
      <c r="BP4" s="27">
        <f>BO4+1</f>
        <v/>
      </c>
      <c r="BQ4" s="27">
        <f>BP4+1</f>
        <v/>
      </c>
      <c r="BR4" s="27">
        <f>BQ4+1</f>
        <v/>
      </c>
      <c r="BS4" s="27">
        <f>BR4+1</f>
        <v/>
      </c>
      <c r="BT4" s="27">
        <f>BS4+1</f>
        <v/>
      </c>
      <c r="BU4" s="27">
        <f>BT4+1</f>
        <v/>
      </c>
      <c r="BV4" s="27">
        <f>BU4+1</f>
        <v/>
      </c>
      <c r="BW4" s="27">
        <f>BV4+1</f>
        <v/>
      </c>
      <c r="BX4" s="27">
        <f>BW4+1</f>
        <v/>
      </c>
      <c r="BY4" s="27">
        <f>BX4+1</f>
        <v/>
      </c>
      <c r="BZ4" s="27">
        <f>BY4+1</f>
        <v/>
      </c>
      <c r="CA4" s="27">
        <f>BZ4+1</f>
        <v/>
      </c>
      <c r="CB4" s="27">
        <f>CA4+1</f>
        <v/>
      </c>
      <c r="CC4" s="27">
        <f>CB4+1</f>
        <v/>
      </c>
      <c r="CD4" s="27">
        <f>CC4+1</f>
        <v/>
      </c>
      <c r="CE4" s="27">
        <f>CD4+1</f>
        <v/>
      </c>
      <c r="CF4" s="27">
        <f>CE4+1</f>
        <v/>
      </c>
      <c r="CG4" s="27">
        <f>CF4+1</f>
        <v/>
      </c>
      <c r="CH4" s="27">
        <f>CG4+1</f>
        <v/>
      </c>
      <c r="CI4" s="27">
        <f>CH4+1</f>
        <v/>
      </c>
      <c r="CJ4" s="27">
        <f>CI4+1</f>
        <v/>
      </c>
      <c r="CK4" s="27">
        <f>CJ4+1</f>
        <v/>
      </c>
      <c r="CL4" s="27">
        <f>CK4+1</f>
        <v/>
      </c>
      <c r="CM4" s="27">
        <f>CL4+1</f>
        <v/>
      </c>
      <c r="CN4" s="27">
        <f>CM4+1</f>
        <v/>
      </c>
      <c r="CO4" s="27">
        <f>CN4+1</f>
        <v/>
      </c>
      <c r="CP4" s="27">
        <f>CO4+1</f>
        <v/>
      </c>
      <c r="CQ4" s="27">
        <f>CP4+1</f>
        <v/>
      </c>
      <c r="CR4" s="27">
        <f>CQ4+1</f>
        <v/>
      </c>
      <c r="CS4" s="27">
        <f>CR4+1</f>
        <v/>
      </c>
      <c r="CT4" s="27">
        <f>CS4+1</f>
        <v/>
      </c>
      <c r="CU4" s="27">
        <f>CT4+1</f>
        <v/>
      </c>
      <c r="CV4" s="27">
        <f>CU4+1</f>
        <v/>
      </c>
      <c r="CW4" s="27">
        <f>CV4+1</f>
        <v/>
      </c>
      <c r="CX4" s="27">
        <f>CW4+1</f>
        <v/>
      </c>
      <c r="CY4" s="27">
        <f>CX4+1</f>
        <v/>
      </c>
      <c r="CZ4" s="27">
        <f>CY4+1</f>
        <v/>
      </c>
      <c r="DA4" s="27">
        <f>CZ4+1</f>
        <v/>
      </c>
      <c r="DB4" s="27">
        <f>DA4+1</f>
        <v/>
      </c>
      <c r="DC4" s="27">
        <f>DB4+1</f>
        <v/>
      </c>
      <c r="DD4" s="27">
        <f>DC4+1</f>
        <v/>
      </c>
      <c r="DE4" s="27">
        <f>DD4+1</f>
        <v/>
      </c>
      <c r="DF4" s="27">
        <f>DE4+1</f>
        <v/>
      </c>
      <c r="DG4" s="27">
        <f>DF4+1</f>
        <v/>
      </c>
      <c r="DH4" s="27">
        <f>DG4+1</f>
        <v/>
      </c>
      <c r="DI4" s="27">
        <f>DH4+1</f>
        <v/>
      </c>
      <c r="DJ4" s="27">
        <f>DI4+1</f>
        <v/>
      </c>
      <c r="DK4" s="27">
        <f>DJ4+1</f>
        <v/>
      </c>
      <c r="DL4" s="27">
        <f>DK4+1</f>
        <v/>
      </c>
      <c r="DM4" s="27">
        <f>DL4+1</f>
        <v/>
      </c>
      <c r="DN4" s="27">
        <f>DM4+1</f>
        <v/>
      </c>
      <c r="DO4" s="27">
        <f>DN4+1</f>
        <v/>
      </c>
      <c r="DP4" s="27">
        <f>DO4+1</f>
        <v/>
      </c>
      <c r="DQ4" s="27">
        <f>DP4+1</f>
        <v/>
      </c>
      <c r="DR4" s="27">
        <f>DQ4+1</f>
        <v/>
      </c>
      <c r="DS4" s="27">
        <f>DR4+1</f>
        <v/>
      </c>
      <c r="DT4" s="27">
        <f>DS4+1</f>
        <v/>
      </c>
      <c r="DU4" s="27">
        <f>DT4+1</f>
        <v/>
      </c>
      <c r="DV4" s="27">
        <f>DU4+1</f>
        <v/>
      </c>
      <c r="DW4" s="27">
        <f>DV4+1</f>
        <v/>
      </c>
      <c r="DX4" s="27">
        <f>DW4+1</f>
        <v/>
      </c>
      <c r="DY4" s="27">
        <f>DX4+1</f>
        <v/>
      </c>
      <c r="DZ4" s="27">
        <f>DY4+1</f>
        <v/>
      </c>
      <c r="EA4" s="27">
        <f>DZ4+1</f>
        <v/>
      </c>
      <c r="EB4" s="27">
        <f>EA4+1</f>
        <v/>
      </c>
      <c r="EC4" s="27">
        <f>EB4+1</f>
        <v/>
      </c>
      <c r="ED4" s="27">
        <f>EC4+1</f>
        <v/>
      </c>
      <c r="EE4" s="27">
        <f>ED4+1</f>
        <v/>
      </c>
      <c r="EF4" s="27">
        <f>EE4+1</f>
        <v/>
      </c>
      <c r="EG4" s="27">
        <f>EF4+1</f>
        <v/>
      </c>
      <c r="EH4" s="27">
        <f>EG4+1</f>
        <v/>
      </c>
      <c r="EI4" s="27">
        <f>EH4+1</f>
        <v/>
      </c>
      <c r="EJ4" s="27">
        <f>EI4+1</f>
        <v/>
      </c>
      <c r="EK4" s="27">
        <f>EJ4+1</f>
        <v/>
      </c>
      <c r="EL4" s="27">
        <f>EK4+1</f>
        <v/>
      </c>
      <c r="EM4" s="27">
        <f>EL4+1</f>
        <v/>
      </c>
      <c r="EN4" s="27">
        <f>EM4+1</f>
        <v/>
      </c>
      <c r="EO4" s="27">
        <f>EN4+1</f>
        <v/>
      </c>
      <c r="EP4" s="27">
        <f>EO4+1</f>
        <v/>
      </c>
    </row>
    <row r="5">
      <c r="A5" s="28">
        <f>IFERROR(INDEX(Suivi!$B:$B,5+($C$1-1)*54),"")</f>
        <v/>
      </c>
      <c r="C5">
        <f>IFERROR(IF(INDEX(Suivi!$D:$D,5+($C$1-1)*54)="",INDEX(Suivi!$C:$C,5+($C$1-1)*54),INDEX(Suivi!$D:$D,5+($C$1-1)*54)),"")</f>
        <v/>
      </c>
      <c r="E5" s="29">
        <f>IFERROR(INDEX(Suivi!$E:$E,5+($C$1-1)*54),"")</f>
        <v/>
      </c>
      <c r="F5" s="29">
        <f>IFERROR(INDEX(Suivi!$F:$F,5+($C$1-1)*54),"")</f>
        <v/>
      </c>
      <c r="O5" s="30">
        <f>IFERROR(IF(ISNUMBER($A5),1,VALUE(LEFT(SUBSTITUTE(TEXT($A5,"@"),",","."),FIND(".",SUBSTITUTE(TEXT($A5,"@"),",",".")&amp;".0")-1))),"")</f>
        <v/>
      </c>
      <c r="P5" s="30">
        <f>IFERROR(INDEX(Suivi!$G:$G,5+($C$1-1)*54),"")</f>
        <v/>
      </c>
    </row>
    <row r="6">
      <c r="A6" s="28">
        <f>IFERROR(INDEX(Suivi!$B:$B,6+($C$1-1)*54),"")</f>
        <v/>
      </c>
      <c r="C6">
        <f>IFERROR(IF(INDEX(Suivi!$D:$D,6+($C$1-1)*54)="",INDEX(Suivi!$C:$C,6+($C$1-1)*54),INDEX(Suivi!$D:$D,6+($C$1-1)*54)),"")</f>
        <v/>
      </c>
      <c r="E6" s="29">
        <f>IFERROR(INDEX(Suivi!$E:$E,6+($C$1-1)*54),"")</f>
        <v/>
      </c>
      <c r="F6" s="29">
        <f>IFERROR(INDEX(Suivi!$F:$F,6+($C$1-1)*54),"")</f>
        <v/>
      </c>
      <c r="O6" s="30">
        <f>IFERROR(IF(ISNUMBER($A6),1,VALUE(LEFT(SUBSTITUTE(TEXT($A6,"@"),",","."),FIND(".",SUBSTITUTE(TEXT($A6,"@"),",",".")&amp;".0")-1))),"")</f>
        <v/>
      </c>
      <c r="P6" s="30">
        <f>IFERROR(INDEX(Suivi!$G:$G,6+($C$1-1)*54),"")</f>
        <v/>
      </c>
    </row>
    <row r="7">
      <c r="A7" s="28">
        <f>IFERROR(INDEX(Suivi!$B:$B,7+($C$1-1)*54),"")</f>
        <v/>
      </c>
      <c r="C7">
        <f>IFERROR(IF(INDEX(Suivi!$D:$D,7+($C$1-1)*54)="",INDEX(Suivi!$C:$C,7+($C$1-1)*54),INDEX(Suivi!$D:$D,7+($C$1-1)*54)),"")</f>
        <v/>
      </c>
      <c r="E7" s="29">
        <f>IFERROR(INDEX(Suivi!$E:$E,7+($C$1-1)*54),"")</f>
        <v/>
      </c>
      <c r="F7" s="29">
        <f>IFERROR(INDEX(Suivi!$F:$F,7+($C$1-1)*54),"")</f>
        <v/>
      </c>
      <c r="O7" s="30">
        <f>IFERROR(IF(ISNUMBER($A7),1,VALUE(LEFT(SUBSTITUTE(TEXT($A7,"@"),",","."),FIND(".",SUBSTITUTE(TEXT($A7,"@"),",",".")&amp;".0")-1))),"")</f>
        <v/>
      </c>
      <c r="P7" s="30">
        <f>IFERROR(INDEX(Suivi!$G:$G,7+($C$1-1)*54),"")</f>
        <v/>
      </c>
    </row>
    <row r="8">
      <c r="A8" s="28">
        <f>IFERROR(INDEX(Suivi!$B:$B,8+($C$1-1)*54),"")</f>
        <v/>
      </c>
      <c r="C8">
        <f>IFERROR(IF(INDEX(Suivi!$D:$D,8+($C$1-1)*54)="",INDEX(Suivi!$C:$C,8+($C$1-1)*54),INDEX(Suivi!$D:$D,8+($C$1-1)*54)),"")</f>
        <v/>
      </c>
      <c r="E8" s="29">
        <f>IFERROR(INDEX(Suivi!$E:$E,8+($C$1-1)*54),"")</f>
        <v/>
      </c>
      <c r="F8" s="29">
        <f>IFERROR(INDEX(Suivi!$F:$F,8+($C$1-1)*54),"")</f>
        <v/>
      </c>
      <c r="O8" s="30">
        <f>IFERROR(IF(ISNUMBER($A8),1,VALUE(LEFT(SUBSTITUTE(TEXT($A8,"@"),",","."),FIND(".",SUBSTITUTE(TEXT($A8,"@"),",",".")&amp;".0")-1))),"")</f>
        <v/>
      </c>
      <c r="P8" s="30">
        <f>IFERROR(INDEX(Suivi!$G:$G,8+($C$1-1)*54),"")</f>
        <v/>
      </c>
    </row>
    <row r="9">
      <c r="A9" s="28">
        <f>IFERROR(INDEX(Suivi!$B:$B,9+($C$1-1)*54),"")</f>
        <v/>
      </c>
      <c r="C9">
        <f>IFERROR(IF(INDEX(Suivi!$D:$D,9+($C$1-1)*54)="",INDEX(Suivi!$C:$C,9+($C$1-1)*54),INDEX(Suivi!$D:$D,9+($C$1-1)*54)),"")</f>
        <v/>
      </c>
      <c r="E9" s="29">
        <f>IFERROR(INDEX(Suivi!$E:$E,9+($C$1-1)*54),"")</f>
        <v/>
      </c>
      <c r="F9" s="29">
        <f>IFERROR(INDEX(Suivi!$F:$F,9+($C$1-1)*54),"")</f>
        <v/>
      </c>
      <c r="O9" s="30">
        <f>IFERROR(IF(ISNUMBER($A9),1,VALUE(LEFT(SUBSTITUTE(TEXT($A9,"@"),",","."),FIND(".",SUBSTITUTE(TEXT($A9,"@"),",",".")&amp;".0")-1))),"")</f>
        <v/>
      </c>
      <c r="P9" s="30">
        <f>IFERROR(INDEX(Suivi!$G:$G,9+($C$1-1)*54),"")</f>
        <v/>
      </c>
    </row>
    <row r="10">
      <c r="A10" s="28">
        <f>IFERROR(INDEX(Suivi!$B:$B,10+($C$1-1)*54),"")</f>
        <v/>
      </c>
      <c r="C10">
        <f>IFERROR(IF(INDEX(Suivi!$D:$D,10+($C$1-1)*54)="",INDEX(Suivi!$C:$C,10+($C$1-1)*54),INDEX(Suivi!$D:$D,10+($C$1-1)*54)),"")</f>
        <v/>
      </c>
      <c r="E10" s="29">
        <f>IFERROR(INDEX(Suivi!$E:$E,10+($C$1-1)*54),"")</f>
        <v/>
      </c>
      <c r="F10" s="29">
        <f>IFERROR(INDEX(Suivi!$F:$F,10+($C$1-1)*54),"")</f>
        <v/>
      </c>
      <c r="O10" s="30">
        <f>IFERROR(IF(ISNUMBER($A10),1,VALUE(LEFT(SUBSTITUTE(TEXT($A10,"@"),",","."),FIND(".",SUBSTITUTE(TEXT($A10,"@"),",",".")&amp;".0")-1))),"")</f>
        <v/>
      </c>
      <c r="P10" s="30">
        <f>IFERROR(INDEX(Suivi!$G:$G,10+($C$1-1)*54),"")</f>
        <v/>
      </c>
    </row>
    <row r="11">
      <c r="A11" s="28">
        <f>IFERROR(INDEX(Suivi!$B:$B,11+($C$1-1)*54),"")</f>
        <v/>
      </c>
      <c r="C11">
        <f>IFERROR(IF(INDEX(Suivi!$D:$D,11+($C$1-1)*54)="",INDEX(Suivi!$C:$C,11+($C$1-1)*54),INDEX(Suivi!$D:$D,11+($C$1-1)*54)),"")</f>
        <v/>
      </c>
      <c r="E11" s="29">
        <f>IFERROR(INDEX(Suivi!$E:$E,11+($C$1-1)*54),"")</f>
        <v/>
      </c>
      <c r="F11" s="29">
        <f>IFERROR(INDEX(Suivi!$F:$F,11+($C$1-1)*54),"")</f>
        <v/>
      </c>
      <c r="O11" s="30">
        <f>IFERROR(IF(ISNUMBER($A11),1,VALUE(LEFT(SUBSTITUTE(TEXT($A11,"@"),",","."),FIND(".",SUBSTITUTE(TEXT($A11,"@"),",",".")&amp;".0")-1))),"")</f>
        <v/>
      </c>
      <c r="P11" s="30">
        <f>IFERROR(INDEX(Suivi!$G:$G,11+($C$1-1)*54),"")</f>
        <v/>
      </c>
    </row>
    <row r="12">
      <c r="A12" s="28">
        <f>IFERROR(INDEX(Suivi!$B:$B,12+($C$1-1)*54),"")</f>
        <v/>
      </c>
      <c r="C12">
        <f>IFERROR(IF(INDEX(Suivi!$D:$D,12+($C$1-1)*54)="",INDEX(Suivi!$C:$C,12+($C$1-1)*54),INDEX(Suivi!$D:$D,12+($C$1-1)*54)),"")</f>
        <v/>
      </c>
      <c r="E12" s="29">
        <f>IFERROR(INDEX(Suivi!$E:$E,12+($C$1-1)*54),"")</f>
        <v/>
      </c>
      <c r="F12" s="29">
        <f>IFERROR(INDEX(Suivi!$F:$F,12+($C$1-1)*54),"")</f>
        <v/>
      </c>
      <c r="O12" s="30">
        <f>IFERROR(IF(ISNUMBER($A12),1,VALUE(LEFT(SUBSTITUTE(TEXT($A12,"@"),",","."),FIND(".",SUBSTITUTE(TEXT($A12,"@"),",",".")&amp;".0")-1))),"")</f>
        <v/>
      </c>
      <c r="P12" s="30">
        <f>IFERROR(INDEX(Suivi!$G:$G,12+($C$1-1)*54),"")</f>
        <v/>
      </c>
    </row>
    <row r="13">
      <c r="A13" s="28">
        <f>IFERROR(INDEX(Suivi!$B:$B,13+($C$1-1)*54),"")</f>
        <v/>
      </c>
      <c r="C13">
        <f>IFERROR(IF(INDEX(Suivi!$D:$D,13+($C$1-1)*54)="",INDEX(Suivi!$C:$C,13+($C$1-1)*54),INDEX(Suivi!$D:$D,13+($C$1-1)*54)),"")</f>
        <v/>
      </c>
      <c r="E13" s="29">
        <f>IFERROR(INDEX(Suivi!$E:$E,13+($C$1-1)*54),"")</f>
        <v/>
      </c>
      <c r="F13" s="29">
        <f>IFERROR(INDEX(Suivi!$F:$F,13+($C$1-1)*54),"")</f>
        <v/>
      </c>
      <c r="O13" s="30">
        <f>IFERROR(IF(ISNUMBER($A13),1,VALUE(LEFT(SUBSTITUTE(TEXT($A13,"@"),",","."),FIND(".",SUBSTITUTE(TEXT($A13,"@"),",",".")&amp;".0")-1))),"")</f>
        <v/>
      </c>
      <c r="P13" s="30">
        <f>IFERROR(INDEX(Suivi!$G:$G,13+($C$1-1)*54),"")</f>
        <v/>
      </c>
    </row>
    <row r="14">
      <c r="A14" s="28">
        <f>IFERROR(INDEX(Suivi!$B:$B,14+($C$1-1)*54),"")</f>
        <v/>
      </c>
      <c r="C14">
        <f>IFERROR(IF(INDEX(Suivi!$D:$D,14+($C$1-1)*54)="",INDEX(Suivi!$C:$C,14+($C$1-1)*54),INDEX(Suivi!$D:$D,14+($C$1-1)*54)),"")</f>
        <v/>
      </c>
      <c r="E14" s="29">
        <f>IFERROR(INDEX(Suivi!$E:$E,14+($C$1-1)*54),"")</f>
        <v/>
      </c>
      <c r="F14" s="29">
        <f>IFERROR(INDEX(Suivi!$F:$F,14+($C$1-1)*54),"")</f>
        <v/>
      </c>
      <c r="O14" s="30">
        <f>IFERROR(IF(ISNUMBER($A14),1,VALUE(LEFT(SUBSTITUTE(TEXT($A14,"@"),",","."),FIND(".",SUBSTITUTE(TEXT($A14,"@"),",",".")&amp;".0")-1))),"")</f>
        <v/>
      </c>
      <c r="P14" s="30">
        <f>IFERROR(INDEX(Suivi!$G:$G,14+($C$1-1)*54),"")</f>
        <v/>
      </c>
    </row>
    <row r="15">
      <c r="A15" s="28">
        <f>IFERROR(INDEX(Suivi!$B:$B,15+($C$1-1)*54),"")</f>
        <v/>
      </c>
      <c r="C15">
        <f>IFERROR(IF(INDEX(Suivi!$D:$D,15+($C$1-1)*54)="",INDEX(Suivi!$C:$C,15+($C$1-1)*54),INDEX(Suivi!$D:$D,15+($C$1-1)*54)),"")</f>
        <v/>
      </c>
      <c r="E15" s="29">
        <f>IFERROR(INDEX(Suivi!$E:$E,15+($C$1-1)*54),"")</f>
        <v/>
      </c>
      <c r="F15" s="29">
        <f>IFERROR(INDEX(Suivi!$F:$F,15+($C$1-1)*54),"")</f>
        <v/>
      </c>
      <c r="O15" s="30">
        <f>IFERROR(IF(ISNUMBER($A15),1,VALUE(LEFT(SUBSTITUTE(TEXT($A15,"@"),",","."),FIND(".",SUBSTITUTE(TEXT($A15,"@"),",",".")&amp;".0")-1))),"")</f>
        <v/>
      </c>
      <c r="P15" s="30">
        <f>IFERROR(INDEX(Suivi!$G:$G,15+($C$1-1)*54),"")</f>
        <v/>
      </c>
    </row>
    <row r="16">
      <c r="A16" s="28">
        <f>IFERROR(INDEX(Suivi!$B:$B,16+($C$1-1)*54),"")</f>
        <v/>
      </c>
      <c r="C16">
        <f>IFERROR(IF(INDEX(Suivi!$D:$D,16+($C$1-1)*54)="",INDEX(Suivi!$C:$C,16+($C$1-1)*54),INDEX(Suivi!$D:$D,16+($C$1-1)*54)),"")</f>
        <v/>
      </c>
      <c r="E16" s="29">
        <f>IFERROR(INDEX(Suivi!$E:$E,16+($C$1-1)*54),"")</f>
        <v/>
      </c>
      <c r="F16" s="29">
        <f>IFERROR(INDEX(Suivi!$F:$F,16+($C$1-1)*54),"")</f>
        <v/>
      </c>
      <c r="O16" s="30">
        <f>IFERROR(IF(ISNUMBER($A16),1,VALUE(LEFT(SUBSTITUTE(TEXT($A16,"@"),",","."),FIND(".",SUBSTITUTE(TEXT($A16,"@"),",",".")&amp;".0")-1))),"")</f>
        <v/>
      </c>
      <c r="P16" s="30">
        <f>IFERROR(INDEX(Suivi!$G:$G,16+($C$1-1)*54),"")</f>
        <v/>
      </c>
    </row>
    <row r="17">
      <c r="A17" s="28">
        <f>IFERROR(INDEX(Suivi!$B:$B,17+($C$1-1)*54),"")</f>
        <v/>
      </c>
      <c r="C17">
        <f>IFERROR(IF(INDEX(Suivi!$D:$D,17+($C$1-1)*54)="",INDEX(Suivi!$C:$C,17+($C$1-1)*54),INDEX(Suivi!$D:$D,17+($C$1-1)*54)),"")</f>
        <v/>
      </c>
      <c r="E17" s="29">
        <f>IFERROR(INDEX(Suivi!$E:$E,17+($C$1-1)*54),"")</f>
        <v/>
      </c>
      <c r="F17" s="29">
        <f>IFERROR(INDEX(Suivi!$F:$F,17+($C$1-1)*54),"")</f>
        <v/>
      </c>
      <c r="O17" s="30">
        <f>IFERROR(IF(ISNUMBER($A17),1,VALUE(LEFT(SUBSTITUTE(TEXT($A17,"@"),",","."),FIND(".",SUBSTITUTE(TEXT($A17,"@"),",",".")&amp;".0")-1))),"")</f>
        <v/>
      </c>
      <c r="P17" s="30">
        <f>IFERROR(INDEX(Suivi!$G:$G,17+($C$1-1)*54),"")</f>
        <v/>
      </c>
    </row>
    <row r="18">
      <c r="A18" s="28">
        <f>IFERROR(INDEX(Suivi!$B:$B,18+($C$1-1)*54),"")</f>
        <v/>
      </c>
      <c r="C18">
        <f>IFERROR(IF(INDEX(Suivi!$D:$D,18+($C$1-1)*54)="",INDEX(Suivi!$C:$C,18+($C$1-1)*54),INDEX(Suivi!$D:$D,18+($C$1-1)*54)),"")</f>
        <v/>
      </c>
      <c r="E18" s="29">
        <f>IFERROR(INDEX(Suivi!$E:$E,18+($C$1-1)*54),"")</f>
        <v/>
      </c>
      <c r="F18" s="29">
        <f>IFERROR(INDEX(Suivi!$F:$F,18+($C$1-1)*54),"")</f>
        <v/>
      </c>
      <c r="O18" s="30">
        <f>IFERROR(IF(ISNUMBER($A18),1,VALUE(LEFT(SUBSTITUTE(TEXT($A18,"@"),",","."),FIND(".",SUBSTITUTE(TEXT($A18,"@"),",",".")&amp;".0")-1))),"")</f>
        <v/>
      </c>
      <c r="P18" s="30">
        <f>IFERROR(INDEX(Suivi!$G:$G,18+($C$1-1)*54),"")</f>
        <v/>
      </c>
    </row>
    <row r="19">
      <c r="A19" s="28">
        <f>IFERROR(INDEX(Suivi!$B:$B,19+($C$1-1)*54),"")</f>
        <v/>
      </c>
      <c r="C19">
        <f>IFERROR(IF(INDEX(Suivi!$D:$D,19+($C$1-1)*54)="",INDEX(Suivi!$C:$C,19+($C$1-1)*54),INDEX(Suivi!$D:$D,19+($C$1-1)*54)),"")</f>
        <v/>
      </c>
      <c r="E19" s="29">
        <f>IFERROR(INDEX(Suivi!$E:$E,19+($C$1-1)*54),"")</f>
        <v/>
      </c>
      <c r="F19" s="29">
        <f>IFERROR(INDEX(Suivi!$F:$F,19+($C$1-1)*54),"")</f>
        <v/>
      </c>
      <c r="O19" s="30">
        <f>IFERROR(IF(ISNUMBER($A19),1,VALUE(LEFT(SUBSTITUTE(TEXT($A19,"@"),",","."),FIND(".",SUBSTITUTE(TEXT($A19,"@"),",",".")&amp;".0")-1))),"")</f>
        <v/>
      </c>
      <c r="P19" s="30">
        <f>IFERROR(INDEX(Suivi!$G:$G,19+($C$1-1)*54),"")</f>
        <v/>
      </c>
    </row>
    <row r="20">
      <c r="A20" s="28">
        <f>IFERROR(INDEX(Suivi!$B:$B,20+($C$1-1)*54),"")</f>
        <v/>
      </c>
      <c r="C20">
        <f>IFERROR(IF(INDEX(Suivi!$D:$D,20+($C$1-1)*54)="",INDEX(Suivi!$C:$C,20+($C$1-1)*54),INDEX(Suivi!$D:$D,20+($C$1-1)*54)),"")</f>
        <v/>
      </c>
      <c r="E20" s="29">
        <f>IFERROR(INDEX(Suivi!$E:$E,20+($C$1-1)*54),"")</f>
        <v/>
      </c>
      <c r="F20" s="29">
        <f>IFERROR(INDEX(Suivi!$F:$F,20+($C$1-1)*54),"")</f>
        <v/>
      </c>
      <c r="O20" s="30">
        <f>IFERROR(IF(ISNUMBER($A20),1,VALUE(LEFT(SUBSTITUTE(TEXT($A20,"@"),",","."),FIND(".",SUBSTITUTE(TEXT($A20,"@"),",",".")&amp;".0")-1))),"")</f>
        <v/>
      </c>
      <c r="P20" s="30">
        <f>IFERROR(INDEX(Suivi!$G:$G,20+($C$1-1)*54),"")</f>
        <v/>
      </c>
    </row>
    <row r="21">
      <c r="A21" s="28">
        <f>IFERROR(INDEX(Suivi!$B:$B,21+($C$1-1)*54),"")</f>
        <v/>
      </c>
      <c r="C21">
        <f>IFERROR(IF(INDEX(Suivi!$D:$D,21+($C$1-1)*54)="",INDEX(Suivi!$C:$C,21+($C$1-1)*54),INDEX(Suivi!$D:$D,21+($C$1-1)*54)),"")</f>
        <v/>
      </c>
      <c r="E21" s="29">
        <f>IFERROR(INDEX(Suivi!$E:$E,21+($C$1-1)*54),"")</f>
        <v/>
      </c>
      <c r="F21" s="29">
        <f>IFERROR(INDEX(Suivi!$F:$F,21+($C$1-1)*54),"")</f>
        <v/>
      </c>
      <c r="O21" s="30">
        <f>IFERROR(IF(ISNUMBER($A21),1,VALUE(LEFT(SUBSTITUTE(TEXT($A21,"@"),",","."),FIND(".",SUBSTITUTE(TEXT($A21,"@"),",",".")&amp;".0")-1))),"")</f>
        <v/>
      </c>
      <c r="P21" s="30">
        <f>IFERROR(INDEX(Suivi!$G:$G,21+($C$1-1)*54),"")</f>
        <v/>
      </c>
    </row>
    <row r="22">
      <c r="A22" s="28">
        <f>IFERROR(INDEX(Suivi!$B:$B,22+($C$1-1)*54),"")</f>
        <v/>
      </c>
      <c r="C22">
        <f>IFERROR(IF(INDEX(Suivi!$D:$D,22+($C$1-1)*54)="",INDEX(Suivi!$C:$C,22+($C$1-1)*54),INDEX(Suivi!$D:$D,22+($C$1-1)*54)),"")</f>
        <v/>
      </c>
      <c r="E22" s="29">
        <f>IFERROR(INDEX(Suivi!$E:$E,22+($C$1-1)*54),"")</f>
        <v/>
      </c>
      <c r="F22" s="29">
        <f>IFERROR(INDEX(Suivi!$F:$F,22+($C$1-1)*54),"")</f>
        <v/>
      </c>
      <c r="O22" s="30">
        <f>IFERROR(IF(ISNUMBER($A22),1,VALUE(LEFT(SUBSTITUTE(TEXT($A22,"@"),",","."),FIND(".",SUBSTITUTE(TEXT($A22,"@"),",",".")&amp;".0")-1))),"")</f>
        <v/>
      </c>
      <c r="P22" s="30">
        <f>IFERROR(INDEX(Suivi!$G:$G,22+($C$1-1)*54),"")</f>
        <v/>
      </c>
    </row>
    <row r="23">
      <c r="A23" s="28">
        <f>IFERROR(INDEX(Suivi!$B:$B,23+($C$1-1)*54),"")</f>
        <v/>
      </c>
      <c r="C23">
        <f>IFERROR(IF(INDEX(Suivi!$D:$D,23+($C$1-1)*54)="",INDEX(Suivi!$C:$C,23+($C$1-1)*54),INDEX(Suivi!$D:$D,23+($C$1-1)*54)),"")</f>
        <v/>
      </c>
      <c r="E23" s="29">
        <f>IFERROR(INDEX(Suivi!$E:$E,23+($C$1-1)*54),"")</f>
        <v/>
      </c>
      <c r="F23" s="29">
        <f>IFERROR(INDEX(Suivi!$F:$F,23+($C$1-1)*54),"")</f>
        <v/>
      </c>
      <c r="O23" s="30">
        <f>IFERROR(IF(ISNUMBER($A23),1,VALUE(LEFT(SUBSTITUTE(TEXT($A23,"@"),",","."),FIND(".",SUBSTITUTE(TEXT($A23,"@"),",",".")&amp;".0")-1))),"")</f>
        <v/>
      </c>
      <c r="P23" s="30">
        <f>IFERROR(INDEX(Suivi!$G:$G,23+($C$1-1)*54),"")</f>
        <v/>
      </c>
    </row>
    <row r="24">
      <c r="A24" s="28">
        <f>IFERROR(INDEX(Suivi!$B:$B,24+($C$1-1)*54),"")</f>
        <v/>
      </c>
      <c r="C24">
        <f>IFERROR(IF(INDEX(Suivi!$D:$D,24+($C$1-1)*54)="",INDEX(Suivi!$C:$C,24+($C$1-1)*54),INDEX(Suivi!$D:$D,24+($C$1-1)*54)),"")</f>
        <v/>
      </c>
      <c r="E24" s="29">
        <f>IFERROR(INDEX(Suivi!$E:$E,24+($C$1-1)*54),"")</f>
        <v/>
      </c>
      <c r="F24" s="29">
        <f>IFERROR(INDEX(Suivi!$F:$F,24+($C$1-1)*54),"")</f>
        <v/>
      </c>
      <c r="O24" s="30">
        <f>IFERROR(IF(ISNUMBER($A24),1,VALUE(LEFT(SUBSTITUTE(TEXT($A24,"@"),",","."),FIND(".",SUBSTITUTE(TEXT($A24,"@"),",",".")&amp;".0")-1))),"")</f>
        <v/>
      </c>
      <c r="P24" s="30">
        <f>IFERROR(INDEX(Suivi!$G:$G,24+($C$1-1)*54),"")</f>
        <v/>
      </c>
    </row>
    <row r="25">
      <c r="A25" s="28">
        <f>IFERROR(INDEX(Suivi!$B:$B,25+($C$1-1)*54),"")</f>
        <v/>
      </c>
      <c r="C25">
        <f>IFERROR(IF(INDEX(Suivi!$D:$D,25+($C$1-1)*54)="",INDEX(Suivi!$C:$C,25+($C$1-1)*54),INDEX(Suivi!$D:$D,25+($C$1-1)*54)),"")</f>
        <v/>
      </c>
      <c r="E25" s="29">
        <f>IFERROR(INDEX(Suivi!$E:$E,25+($C$1-1)*54),"")</f>
        <v/>
      </c>
      <c r="F25" s="29">
        <f>IFERROR(INDEX(Suivi!$F:$F,25+($C$1-1)*54),"")</f>
        <v/>
      </c>
      <c r="O25" s="30">
        <f>IFERROR(IF(ISNUMBER($A25),1,VALUE(LEFT(SUBSTITUTE(TEXT($A25,"@"),",","."),FIND(".",SUBSTITUTE(TEXT($A25,"@"),",",".")&amp;".0")-1))),"")</f>
        <v/>
      </c>
      <c r="P25" s="30">
        <f>IFERROR(INDEX(Suivi!$G:$G,25+($C$1-1)*54),"")</f>
        <v/>
      </c>
    </row>
    <row r="26">
      <c r="A26" s="28">
        <f>IFERROR(INDEX(Suivi!$B:$B,26+($C$1-1)*54),"")</f>
        <v/>
      </c>
      <c r="C26">
        <f>IFERROR(IF(INDEX(Suivi!$D:$D,26+($C$1-1)*54)="",INDEX(Suivi!$C:$C,26+($C$1-1)*54),INDEX(Suivi!$D:$D,26+($C$1-1)*54)),"")</f>
        <v/>
      </c>
      <c r="E26" s="29">
        <f>IFERROR(INDEX(Suivi!$E:$E,26+($C$1-1)*54),"")</f>
        <v/>
      </c>
      <c r="F26" s="29">
        <f>IFERROR(INDEX(Suivi!$F:$F,26+($C$1-1)*54),"")</f>
        <v/>
      </c>
      <c r="O26" s="30">
        <f>IFERROR(IF(ISNUMBER($A26),1,VALUE(LEFT(SUBSTITUTE(TEXT($A26,"@"),",","."),FIND(".",SUBSTITUTE(TEXT($A26,"@"),",",".")&amp;".0")-1))),"")</f>
        <v/>
      </c>
      <c r="P26" s="30">
        <f>IFERROR(INDEX(Suivi!$G:$G,26+($C$1-1)*54),"")</f>
        <v/>
      </c>
    </row>
    <row r="27">
      <c r="A27" s="28">
        <f>IFERROR(INDEX(Suivi!$B:$B,27+($C$1-1)*54),"")</f>
        <v/>
      </c>
      <c r="C27">
        <f>IFERROR(IF(INDEX(Suivi!$D:$D,27+($C$1-1)*54)="",INDEX(Suivi!$C:$C,27+($C$1-1)*54),INDEX(Suivi!$D:$D,27+($C$1-1)*54)),"")</f>
        <v/>
      </c>
      <c r="E27" s="29">
        <f>IFERROR(INDEX(Suivi!$E:$E,27+($C$1-1)*54),"")</f>
        <v/>
      </c>
      <c r="F27" s="29">
        <f>IFERROR(INDEX(Suivi!$F:$F,27+($C$1-1)*54),"")</f>
        <v/>
      </c>
      <c r="O27" s="30">
        <f>IFERROR(IF(ISNUMBER($A27),1,VALUE(LEFT(SUBSTITUTE(TEXT($A27,"@"),",","."),FIND(".",SUBSTITUTE(TEXT($A27,"@"),",",".")&amp;".0")-1))),"")</f>
        <v/>
      </c>
      <c r="P27" s="30">
        <f>IFERROR(INDEX(Suivi!$G:$G,27+($C$1-1)*54),"")</f>
        <v/>
      </c>
    </row>
    <row r="28">
      <c r="A28" s="28">
        <f>IFERROR(INDEX(Suivi!$B:$B,28+($C$1-1)*54),"")</f>
        <v/>
      </c>
      <c r="C28">
        <f>IFERROR(IF(INDEX(Suivi!$D:$D,28+($C$1-1)*54)="",INDEX(Suivi!$C:$C,28+($C$1-1)*54),INDEX(Suivi!$D:$D,28+($C$1-1)*54)),"")</f>
        <v/>
      </c>
      <c r="E28" s="29">
        <f>IFERROR(INDEX(Suivi!$E:$E,28+($C$1-1)*54),"")</f>
        <v/>
      </c>
      <c r="F28" s="29">
        <f>IFERROR(INDEX(Suivi!$F:$F,28+($C$1-1)*54),"")</f>
        <v/>
      </c>
      <c r="O28" s="30">
        <f>IFERROR(IF(ISNUMBER($A28),1,VALUE(LEFT(SUBSTITUTE(TEXT($A28,"@"),",","."),FIND(".",SUBSTITUTE(TEXT($A28,"@"),",",".")&amp;".0")-1))),"")</f>
        <v/>
      </c>
      <c r="P28" s="30">
        <f>IFERROR(INDEX(Suivi!$G:$G,28+($C$1-1)*54),"")</f>
        <v/>
      </c>
    </row>
    <row r="29">
      <c r="A29" s="28">
        <f>IFERROR(INDEX(Suivi!$B:$B,29+($C$1-1)*54),"")</f>
        <v/>
      </c>
      <c r="C29">
        <f>IFERROR(IF(INDEX(Suivi!$D:$D,29+($C$1-1)*54)="",INDEX(Suivi!$C:$C,29+($C$1-1)*54),INDEX(Suivi!$D:$D,29+($C$1-1)*54)),"")</f>
        <v/>
      </c>
      <c r="E29" s="29">
        <f>IFERROR(INDEX(Suivi!$E:$E,29+($C$1-1)*54),"")</f>
        <v/>
      </c>
      <c r="F29" s="29">
        <f>IFERROR(INDEX(Suivi!$F:$F,29+($C$1-1)*54),"")</f>
        <v/>
      </c>
      <c r="O29" s="30">
        <f>IFERROR(IF(ISNUMBER($A29),1,VALUE(LEFT(SUBSTITUTE(TEXT($A29,"@"),",","."),FIND(".",SUBSTITUTE(TEXT($A29,"@"),",",".")&amp;".0")-1))),"")</f>
        <v/>
      </c>
      <c r="P29" s="30">
        <f>IFERROR(INDEX(Suivi!$G:$G,29+($C$1-1)*54),"")</f>
        <v/>
      </c>
    </row>
    <row r="30">
      <c r="A30" s="28">
        <f>IFERROR(INDEX(Suivi!$B:$B,30+($C$1-1)*54),"")</f>
        <v/>
      </c>
      <c r="C30">
        <f>IFERROR(IF(INDEX(Suivi!$D:$D,30+($C$1-1)*54)="",INDEX(Suivi!$C:$C,30+($C$1-1)*54),INDEX(Suivi!$D:$D,30+($C$1-1)*54)),"")</f>
        <v/>
      </c>
      <c r="E30" s="29">
        <f>IFERROR(INDEX(Suivi!$E:$E,30+($C$1-1)*54),"")</f>
        <v/>
      </c>
      <c r="F30" s="29">
        <f>IFERROR(INDEX(Suivi!$F:$F,30+($C$1-1)*54),"")</f>
        <v/>
      </c>
      <c r="O30" s="30">
        <f>IFERROR(IF(ISNUMBER($A30),1,VALUE(LEFT(SUBSTITUTE(TEXT($A30,"@"),",","."),FIND(".",SUBSTITUTE(TEXT($A30,"@"),",",".")&amp;".0")-1))),"")</f>
        <v/>
      </c>
      <c r="P30" s="30">
        <f>IFERROR(INDEX(Suivi!$G:$G,30+($C$1-1)*54),"")</f>
        <v/>
      </c>
    </row>
    <row r="31">
      <c r="A31" s="28">
        <f>IFERROR(INDEX(Suivi!$B:$B,31+($C$1-1)*54),"")</f>
        <v/>
      </c>
      <c r="C31">
        <f>IFERROR(IF(INDEX(Suivi!$D:$D,31+($C$1-1)*54)="",INDEX(Suivi!$C:$C,31+($C$1-1)*54),INDEX(Suivi!$D:$D,31+($C$1-1)*54)),"")</f>
        <v/>
      </c>
      <c r="E31" s="29">
        <f>IFERROR(INDEX(Suivi!$E:$E,31+($C$1-1)*54),"")</f>
        <v/>
      </c>
      <c r="F31" s="29">
        <f>IFERROR(INDEX(Suivi!$F:$F,31+($C$1-1)*54),"")</f>
        <v/>
      </c>
      <c r="O31" s="30">
        <f>IFERROR(IF(ISNUMBER($A31),1,VALUE(LEFT(SUBSTITUTE(TEXT($A31,"@"),",","."),FIND(".",SUBSTITUTE(TEXT($A31,"@"),",",".")&amp;".0")-1))),"")</f>
        <v/>
      </c>
      <c r="P31" s="30">
        <f>IFERROR(INDEX(Suivi!$G:$G,31+($C$1-1)*54),"")</f>
        <v/>
      </c>
    </row>
    <row r="32">
      <c r="A32" s="28">
        <f>IFERROR(INDEX(Suivi!$B:$B,32+($C$1-1)*54),"")</f>
        <v/>
      </c>
      <c r="C32">
        <f>IFERROR(IF(INDEX(Suivi!$D:$D,32+($C$1-1)*54)="",INDEX(Suivi!$C:$C,32+($C$1-1)*54),INDEX(Suivi!$D:$D,32+($C$1-1)*54)),"")</f>
        <v/>
      </c>
      <c r="E32" s="29">
        <f>IFERROR(INDEX(Suivi!$E:$E,32+($C$1-1)*54),"")</f>
        <v/>
      </c>
      <c r="F32" s="29">
        <f>IFERROR(INDEX(Suivi!$F:$F,32+($C$1-1)*54),"")</f>
        <v/>
      </c>
      <c r="O32" s="30">
        <f>IFERROR(IF(ISNUMBER($A32),1,VALUE(LEFT(SUBSTITUTE(TEXT($A32,"@"),",","."),FIND(".",SUBSTITUTE(TEXT($A32,"@"),",",".")&amp;".0")-1))),"")</f>
        <v/>
      </c>
      <c r="P32" s="30">
        <f>IFERROR(INDEX(Suivi!$G:$G,32+($C$1-1)*54),"")</f>
        <v/>
      </c>
    </row>
    <row r="33">
      <c r="A33" s="28">
        <f>IFERROR(INDEX(Suivi!$B:$B,33+($C$1-1)*54),"")</f>
        <v/>
      </c>
      <c r="C33">
        <f>IFERROR(IF(INDEX(Suivi!$D:$D,33+($C$1-1)*54)="",INDEX(Suivi!$C:$C,33+($C$1-1)*54),INDEX(Suivi!$D:$D,33+($C$1-1)*54)),"")</f>
        <v/>
      </c>
      <c r="E33" s="29">
        <f>IFERROR(INDEX(Suivi!$E:$E,33+($C$1-1)*54),"")</f>
        <v/>
      </c>
      <c r="F33" s="29">
        <f>IFERROR(INDEX(Suivi!$F:$F,33+($C$1-1)*54),"")</f>
        <v/>
      </c>
      <c r="O33" s="30">
        <f>IFERROR(IF(ISNUMBER($A33),1,VALUE(LEFT(SUBSTITUTE(TEXT($A33,"@"),",","."),FIND(".",SUBSTITUTE(TEXT($A33,"@"),",",".")&amp;".0")-1))),"")</f>
        <v/>
      </c>
      <c r="P33" s="30">
        <f>IFERROR(INDEX(Suivi!$G:$G,33+($C$1-1)*54),"")</f>
        <v/>
      </c>
    </row>
    <row r="34">
      <c r="A34" s="28">
        <f>IFERROR(INDEX(Suivi!$B:$B,34+($C$1-1)*54),"")</f>
        <v/>
      </c>
      <c r="C34">
        <f>IFERROR(IF(INDEX(Suivi!$D:$D,34+($C$1-1)*54)="",INDEX(Suivi!$C:$C,34+($C$1-1)*54),INDEX(Suivi!$D:$D,34+($C$1-1)*54)),"")</f>
        <v/>
      </c>
      <c r="E34" s="29">
        <f>IFERROR(INDEX(Suivi!$E:$E,34+($C$1-1)*54),"")</f>
        <v/>
      </c>
      <c r="F34" s="29">
        <f>IFERROR(INDEX(Suivi!$F:$F,34+($C$1-1)*54),"")</f>
        <v/>
      </c>
      <c r="O34" s="30">
        <f>IFERROR(IF(ISNUMBER($A34),1,VALUE(LEFT(SUBSTITUTE(TEXT($A34,"@"),",","."),FIND(".",SUBSTITUTE(TEXT($A34,"@"),",",".")&amp;".0")-1))),"")</f>
        <v/>
      </c>
      <c r="P34" s="30">
        <f>IFERROR(INDEX(Suivi!$G:$G,34+($C$1-1)*54),"")</f>
        <v/>
      </c>
    </row>
    <row r="35">
      <c r="A35" s="28">
        <f>IFERROR(INDEX(Suivi!$B:$B,35+($C$1-1)*54),"")</f>
        <v/>
      </c>
      <c r="C35">
        <f>IFERROR(IF(INDEX(Suivi!$D:$D,35+($C$1-1)*54)="",INDEX(Suivi!$C:$C,35+($C$1-1)*54),INDEX(Suivi!$D:$D,35+($C$1-1)*54)),"")</f>
        <v/>
      </c>
      <c r="E35" s="29">
        <f>IFERROR(INDEX(Suivi!$E:$E,35+($C$1-1)*54),"")</f>
        <v/>
      </c>
      <c r="F35" s="29">
        <f>IFERROR(INDEX(Suivi!$F:$F,35+($C$1-1)*54),"")</f>
        <v/>
      </c>
      <c r="O35" s="30">
        <f>IFERROR(IF(ISNUMBER($A35),1,VALUE(LEFT(SUBSTITUTE(TEXT($A35,"@"),",","."),FIND(".",SUBSTITUTE(TEXT($A35,"@"),",",".")&amp;".0")-1))),"")</f>
        <v/>
      </c>
      <c r="P35" s="30">
        <f>IFERROR(INDEX(Suivi!$G:$G,35+($C$1-1)*54),"")</f>
        <v/>
      </c>
    </row>
    <row r="36">
      <c r="A36" s="28">
        <f>IFERROR(INDEX(Suivi!$B:$B,36+($C$1-1)*54),"")</f>
        <v/>
      </c>
      <c r="C36">
        <f>IFERROR(IF(INDEX(Suivi!$D:$D,36+($C$1-1)*54)="",INDEX(Suivi!$C:$C,36+($C$1-1)*54),INDEX(Suivi!$D:$D,36+($C$1-1)*54)),"")</f>
        <v/>
      </c>
      <c r="E36" s="29">
        <f>IFERROR(INDEX(Suivi!$E:$E,36+($C$1-1)*54),"")</f>
        <v/>
      </c>
      <c r="F36" s="29">
        <f>IFERROR(INDEX(Suivi!$F:$F,36+($C$1-1)*54),"")</f>
        <v/>
      </c>
      <c r="O36" s="30">
        <f>IFERROR(IF(ISNUMBER($A36),1,VALUE(LEFT(SUBSTITUTE(TEXT($A36,"@"),",","."),FIND(".",SUBSTITUTE(TEXT($A36,"@"),",",".")&amp;".0")-1))),"")</f>
        <v/>
      </c>
      <c r="P36" s="30">
        <f>IFERROR(INDEX(Suivi!$G:$G,36+($C$1-1)*54),"")</f>
        <v/>
      </c>
    </row>
    <row r="37">
      <c r="A37" s="28">
        <f>IFERROR(INDEX(Suivi!$B:$B,37+($C$1-1)*54),"")</f>
        <v/>
      </c>
      <c r="C37">
        <f>IFERROR(IF(INDEX(Suivi!$D:$D,37+($C$1-1)*54)="",INDEX(Suivi!$C:$C,37+($C$1-1)*54),INDEX(Suivi!$D:$D,37+($C$1-1)*54)),"")</f>
        <v/>
      </c>
      <c r="E37" s="29">
        <f>IFERROR(INDEX(Suivi!$E:$E,37+($C$1-1)*54),"")</f>
        <v/>
      </c>
      <c r="F37" s="29">
        <f>IFERROR(INDEX(Suivi!$F:$F,37+($C$1-1)*54),"")</f>
        <v/>
      </c>
      <c r="O37" s="30">
        <f>IFERROR(IF(ISNUMBER($A37),1,VALUE(LEFT(SUBSTITUTE(TEXT($A37,"@"),",","."),FIND(".",SUBSTITUTE(TEXT($A37,"@"),",",".")&amp;".0")-1))),"")</f>
        <v/>
      </c>
      <c r="P37" s="30">
        <f>IFERROR(INDEX(Suivi!$G:$G,37+($C$1-1)*54),"")</f>
        <v/>
      </c>
    </row>
    <row r="38">
      <c r="A38" s="28">
        <f>IFERROR(INDEX(Suivi!$B:$B,38+($C$1-1)*54),"")</f>
        <v/>
      </c>
      <c r="C38">
        <f>IFERROR(IF(INDEX(Suivi!$D:$D,38+($C$1-1)*54)="",INDEX(Suivi!$C:$C,38+($C$1-1)*54),INDEX(Suivi!$D:$D,38+($C$1-1)*54)),"")</f>
        <v/>
      </c>
      <c r="E38" s="29">
        <f>IFERROR(INDEX(Suivi!$E:$E,38+($C$1-1)*54),"")</f>
        <v/>
      </c>
      <c r="F38" s="29">
        <f>IFERROR(INDEX(Suivi!$F:$F,38+($C$1-1)*54),"")</f>
        <v/>
      </c>
      <c r="O38" s="30">
        <f>IFERROR(IF(ISNUMBER($A38),1,VALUE(LEFT(SUBSTITUTE(TEXT($A38,"@"),",","."),FIND(".",SUBSTITUTE(TEXT($A38,"@"),",",".")&amp;".0")-1))),"")</f>
        <v/>
      </c>
      <c r="P38" s="30">
        <f>IFERROR(INDEX(Suivi!$G:$G,38+($C$1-1)*54),"")</f>
        <v/>
      </c>
    </row>
    <row r="39">
      <c r="A39" s="28">
        <f>IFERROR(INDEX(Suivi!$B:$B,39+($C$1-1)*54),"")</f>
        <v/>
      </c>
      <c r="C39">
        <f>IFERROR(IF(INDEX(Suivi!$D:$D,39+($C$1-1)*54)="",INDEX(Suivi!$C:$C,39+($C$1-1)*54),INDEX(Suivi!$D:$D,39+($C$1-1)*54)),"")</f>
        <v/>
      </c>
      <c r="E39" s="29">
        <f>IFERROR(INDEX(Suivi!$E:$E,39+($C$1-1)*54),"")</f>
        <v/>
      </c>
      <c r="F39" s="29">
        <f>IFERROR(INDEX(Suivi!$F:$F,39+($C$1-1)*54),"")</f>
        <v/>
      </c>
      <c r="O39" s="30">
        <f>IFERROR(IF(ISNUMBER($A39),1,VALUE(LEFT(SUBSTITUTE(TEXT($A39,"@"),",","."),FIND(".",SUBSTITUTE(TEXT($A39,"@"),",",".")&amp;".0")-1))),"")</f>
        <v/>
      </c>
      <c r="P39" s="30">
        <f>IFERROR(INDEX(Suivi!$G:$G,39+($C$1-1)*54),"")</f>
        <v/>
      </c>
    </row>
    <row r="40">
      <c r="A40" s="28">
        <f>IFERROR(INDEX(Suivi!$B:$B,40+($C$1-1)*54),"")</f>
        <v/>
      </c>
      <c r="C40">
        <f>IFERROR(IF(INDEX(Suivi!$D:$D,40+($C$1-1)*54)="",INDEX(Suivi!$C:$C,40+($C$1-1)*54),INDEX(Suivi!$D:$D,40+($C$1-1)*54)),"")</f>
        <v/>
      </c>
      <c r="E40" s="29">
        <f>IFERROR(INDEX(Suivi!$E:$E,40+($C$1-1)*54),"")</f>
        <v/>
      </c>
      <c r="F40" s="29">
        <f>IFERROR(INDEX(Suivi!$F:$F,40+($C$1-1)*54),"")</f>
        <v/>
      </c>
      <c r="O40" s="30">
        <f>IFERROR(IF(ISNUMBER($A40),1,VALUE(LEFT(SUBSTITUTE(TEXT($A40,"@"),",","."),FIND(".",SUBSTITUTE(TEXT($A40,"@"),",",".")&amp;".0")-1))),"")</f>
        <v/>
      </c>
      <c r="P40" s="30">
        <f>IFERROR(INDEX(Suivi!$G:$G,40+($C$1-1)*54),"")</f>
        <v/>
      </c>
    </row>
    <row r="41">
      <c r="A41" s="28">
        <f>IFERROR(INDEX(Suivi!$B:$B,41+($C$1-1)*54),"")</f>
        <v/>
      </c>
      <c r="C41">
        <f>IFERROR(IF(INDEX(Suivi!$D:$D,41+($C$1-1)*54)="",INDEX(Suivi!$C:$C,41+($C$1-1)*54),INDEX(Suivi!$D:$D,41+($C$1-1)*54)),"")</f>
        <v/>
      </c>
      <c r="E41" s="29">
        <f>IFERROR(INDEX(Suivi!$E:$E,41+($C$1-1)*54),"")</f>
        <v/>
      </c>
      <c r="F41" s="29">
        <f>IFERROR(INDEX(Suivi!$F:$F,41+($C$1-1)*54),"")</f>
        <v/>
      </c>
      <c r="O41" s="30">
        <f>IFERROR(IF(ISNUMBER($A41),1,VALUE(LEFT(SUBSTITUTE(TEXT($A41,"@"),",","."),FIND(".",SUBSTITUTE(TEXT($A41,"@"),",",".")&amp;".0")-1))),"")</f>
        <v/>
      </c>
      <c r="P41" s="30">
        <f>IFERROR(INDEX(Suivi!$G:$G,41+($C$1-1)*54),"")</f>
        <v/>
      </c>
    </row>
    <row r="42">
      <c r="A42" s="28">
        <f>IFERROR(INDEX(Suivi!$B:$B,42+($C$1-1)*54),"")</f>
        <v/>
      </c>
      <c r="C42">
        <f>IFERROR(IF(INDEX(Suivi!$D:$D,42+($C$1-1)*54)="",INDEX(Suivi!$C:$C,42+($C$1-1)*54),INDEX(Suivi!$D:$D,42+($C$1-1)*54)),"")</f>
        <v/>
      </c>
      <c r="E42" s="29">
        <f>IFERROR(INDEX(Suivi!$E:$E,42+($C$1-1)*54),"")</f>
        <v/>
      </c>
      <c r="F42" s="29">
        <f>IFERROR(INDEX(Suivi!$F:$F,42+($C$1-1)*54),"")</f>
        <v/>
      </c>
      <c r="O42" s="30">
        <f>IFERROR(IF(ISNUMBER($A42),1,VALUE(LEFT(SUBSTITUTE(TEXT($A42,"@"),",","."),FIND(".",SUBSTITUTE(TEXT($A42,"@"),",",".")&amp;".0")-1))),"")</f>
        <v/>
      </c>
      <c r="P42" s="30">
        <f>IFERROR(INDEX(Suivi!$G:$G,42+($C$1-1)*54),"")</f>
        <v/>
      </c>
    </row>
    <row r="43">
      <c r="A43" s="28">
        <f>IFERROR(INDEX(Suivi!$B:$B,43+($C$1-1)*54),"")</f>
        <v/>
      </c>
      <c r="C43">
        <f>IFERROR(IF(INDEX(Suivi!$D:$D,43+($C$1-1)*54)="",INDEX(Suivi!$C:$C,43+($C$1-1)*54),INDEX(Suivi!$D:$D,43+($C$1-1)*54)),"")</f>
        <v/>
      </c>
      <c r="E43" s="29">
        <f>IFERROR(INDEX(Suivi!$E:$E,43+($C$1-1)*54),"")</f>
        <v/>
      </c>
      <c r="F43" s="29">
        <f>IFERROR(INDEX(Suivi!$F:$F,43+($C$1-1)*54),"")</f>
        <v/>
      </c>
      <c r="O43" s="30">
        <f>IFERROR(IF(ISNUMBER($A43),1,VALUE(LEFT(SUBSTITUTE(TEXT($A43,"@"),",","."),FIND(".",SUBSTITUTE(TEXT($A43,"@"),",",".")&amp;".0")-1))),"")</f>
        <v/>
      </c>
      <c r="P43" s="30">
        <f>IFERROR(INDEX(Suivi!$G:$G,43+($C$1-1)*54),"")</f>
        <v/>
      </c>
    </row>
    <row r="44">
      <c r="A44" s="28">
        <f>IFERROR(INDEX(Suivi!$B:$B,44+($C$1-1)*54),"")</f>
        <v/>
      </c>
      <c r="C44">
        <f>IFERROR(IF(INDEX(Suivi!$D:$D,44+($C$1-1)*54)="",INDEX(Suivi!$C:$C,44+($C$1-1)*54),INDEX(Suivi!$D:$D,44+($C$1-1)*54)),"")</f>
        <v/>
      </c>
      <c r="E44" s="29">
        <f>IFERROR(INDEX(Suivi!$E:$E,44+($C$1-1)*54),"")</f>
        <v/>
      </c>
      <c r="F44" s="29">
        <f>IFERROR(INDEX(Suivi!$F:$F,44+($C$1-1)*54),"")</f>
        <v/>
      </c>
      <c r="O44" s="30">
        <f>IFERROR(IF(ISNUMBER($A44),1,VALUE(LEFT(SUBSTITUTE(TEXT($A44,"@"),",","."),FIND(".",SUBSTITUTE(TEXT($A44,"@"),",",".")&amp;".0")-1))),"")</f>
        <v/>
      </c>
      <c r="P44" s="30">
        <f>IFERROR(INDEX(Suivi!$G:$G,44+($C$1-1)*54),"")</f>
        <v/>
      </c>
    </row>
    <row r="45">
      <c r="A45" s="28">
        <f>IFERROR(INDEX(Suivi!$B:$B,45+($C$1-1)*54),"")</f>
        <v/>
      </c>
      <c r="C45">
        <f>IFERROR(IF(INDEX(Suivi!$D:$D,45+($C$1-1)*54)="",INDEX(Suivi!$C:$C,45+($C$1-1)*54),INDEX(Suivi!$D:$D,45+($C$1-1)*54)),"")</f>
        <v/>
      </c>
      <c r="E45" s="29">
        <f>IFERROR(INDEX(Suivi!$E:$E,45+($C$1-1)*54),"")</f>
        <v/>
      </c>
      <c r="F45" s="29">
        <f>IFERROR(INDEX(Suivi!$F:$F,45+($C$1-1)*54),"")</f>
        <v/>
      </c>
      <c r="O45" s="30">
        <f>IFERROR(IF(ISNUMBER($A45),1,VALUE(LEFT(SUBSTITUTE(TEXT($A45,"@"),",","."),FIND(".",SUBSTITUTE(TEXT($A45,"@"),",",".")&amp;".0")-1))),"")</f>
        <v/>
      </c>
      <c r="P45" s="30">
        <f>IFERROR(INDEX(Suivi!$G:$G,45+($C$1-1)*54),"")</f>
        <v/>
      </c>
    </row>
    <row r="46">
      <c r="A46" s="28">
        <f>IFERROR(INDEX(Suivi!$B:$B,46+($C$1-1)*54),"")</f>
        <v/>
      </c>
      <c r="C46">
        <f>IFERROR(IF(INDEX(Suivi!$D:$D,46+($C$1-1)*54)="",INDEX(Suivi!$C:$C,46+($C$1-1)*54),INDEX(Suivi!$D:$D,46+($C$1-1)*54)),"")</f>
        <v/>
      </c>
      <c r="E46" s="29">
        <f>IFERROR(INDEX(Suivi!$E:$E,46+($C$1-1)*54),"")</f>
        <v/>
      </c>
      <c r="F46" s="29">
        <f>IFERROR(INDEX(Suivi!$F:$F,46+($C$1-1)*54),"")</f>
        <v/>
      </c>
      <c r="O46" s="30">
        <f>IFERROR(IF(ISNUMBER($A46),1,VALUE(LEFT(SUBSTITUTE(TEXT($A46,"@"),",","."),FIND(".",SUBSTITUTE(TEXT($A46,"@"),",",".")&amp;".0")-1))),"")</f>
        <v/>
      </c>
      <c r="P46" s="30">
        <f>IFERROR(INDEX(Suivi!$G:$G,46+($C$1-1)*54),"")</f>
        <v/>
      </c>
    </row>
    <row r="47">
      <c r="A47" s="28">
        <f>IFERROR(INDEX(Suivi!$B:$B,47+($C$1-1)*54),"")</f>
        <v/>
      </c>
      <c r="C47">
        <f>IFERROR(IF(INDEX(Suivi!$D:$D,47+($C$1-1)*54)="",INDEX(Suivi!$C:$C,47+($C$1-1)*54),INDEX(Suivi!$D:$D,47+($C$1-1)*54)),"")</f>
        <v/>
      </c>
      <c r="E47" s="29">
        <f>IFERROR(INDEX(Suivi!$E:$E,47+($C$1-1)*54),"")</f>
        <v/>
      </c>
      <c r="F47" s="29">
        <f>IFERROR(INDEX(Suivi!$F:$F,47+($C$1-1)*54),"")</f>
        <v/>
      </c>
      <c r="O47" s="30">
        <f>IFERROR(IF(ISNUMBER($A47),1,VALUE(LEFT(SUBSTITUTE(TEXT($A47,"@"),",","."),FIND(".",SUBSTITUTE(TEXT($A47,"@"),",",".")&amp;".0")-1))),"")</f>
        <v/>
      </c>
      <c r="P47" s="30">
        <f>IFERROR(INDEX(Suivi!$G:$G,47+($C$1-1)*54),"")</f>
        <v/>
      </c>
    </row>
    <row r="48">
      <c r="A48" s="28">
        <f>IFERROR(INDEX(Suivi!$B:$B,48+($C$1-1)*54),"")</f>
        <v/>
      </c>
      <c r="C48">
        <f>IFERROR(IF(INDEX(Suivi!$D:$D,48+($C$1-1)*54)="",INDEX(Suivi!$C:$C,48+($C$1-1)*54),INDEX(Suivi!$D:$D,48+($C$1-1)*54)),"")</f>
        <v/>
      </c>
      <c r="E48" s="29">
        <f>IFERROR(INDEX(Suivi!$E:$E,48+($C$1-1)*54),"")</f>
        <v/>
      </c>
      <c r="F48" s="29">
        <f>IFERROR(INDEX(Suivi!$F:$F,48+($C$1-1)*54),"")</f>
        <v/>
      </c>
      <c r="O48" s="30">
        <f>IFERROR(IF(ISNUMBER($A48),1,VALUE(LEFT(SUBSTITUTE(TEXT($A48,"@"),",","."),FIND(".",SUBSTITUTE(TEXT($A48,"@"),",",".")&amp;".0")-1))),"")</f>
        <v/>
      </c>
      <c r="P48" s="30">
        <f>IFERROR(INDEX(Suivi!$G:$G,48+($C$1-1)*54),"")</f>
        <v/>
      </c>
    </row>
    <row r="49">
      <c r="A49" s="28">
        <f>IFERROR(INDEX(Suivi!$B:$B,49+($C$1-1)*54),"")</f>
        <v/>
      </c>
      <c r="C49">
        <f>IFERROR(IF(INDEX(Suivi!$D:$D,49+($C$1-1)*54)="",INDEX(Suivi!$C:$C,49+($C$1-1)*54),INDEX(Suivi!$D:$D,49+($C$1-1)*54)),"")</f>
        <v/>
      </c>
      <c r="E49" s="29">
        <f>IFERROR(INDEX(Suivi!$E:$E,49+($C$1-1)*54),"")</f>
        <v/>
      </c>
      <c r="F49" s="29">
        <f>IFERROR(INDEX(Suivi!$F:$F,49+($C$1-1)*54),"")</f>
        <v/>
      </c>
      <c r="O49" s="30">
        <f>IFERROR(IF(ISNUMBER($A49),1,VALUE(LEFT(SUBSTITUTE(TEXT($A49,"@"),",","."),FIND(".",SUBSTITUTE(TEXT($A49,"@"),",",".")&amp;".0")-1))),"")</f>
        <v/>
      </c>
      <c r="P49" s="30">
        <f>IFERROR(INDEX(Suivi!$G:$G,49+($C$1-1)*54),"")</f>
        <v/>
      </c>
    </row>
    <row r="50">
      <c r="A50" s="28">
        <f>IFERROR(INDEX(Suivi!$B:$B,50+($C$1-1)*54),"")</f>
        <v/>
      </c>
      <c r="C50">
        <f>IFERROR(IF(INDEX(Suivi!$D:$D,50+($C$1-1)*54)="",INDEX(Suivi!$C:$C,50+($C$1-1)*54),INDEX(Suivi!$D:$D,50+($C$1-1)*54)),"")</f>
        <v/>
      </c>
      <c r="E50" s="29">
        <f>IFERROR(INDEX(Suivi!$E:$E,50+($C$1-1)*54),"")</f>
        <v/>
      </c>
      <c r="F50" s="29">
        <f>IFERROR(INDEX(Suivi!$F:$F,50+($C$1-1)*54),"")</f>
        <v/>
      </c>
      <c r="O50" s="30">
        <f>IFERROR(IF(ISNUMBER($A50),1,VALUE(LEFT(SUBSTITUTE(TEXT($A50,"@"),",","."),FIND(".",SUBSTITUTE(TEXT($A50,"@"),",",".")&amp;".0")-1))),"")</f>
        <v/>
      </c>
      <c r="P50" s="30">
        <f>IFERROR(INDEX(Suivi!$G:$G,50+($C$1-1)*54),"")</f>
        <v/>
      </c>
    </row>
    <row r="51">
      <c r="A51" s="28">
        <f>IFERROR(INDEX(Suivi!$B:$B,51+($C$1-1)*54),"")</f>
        <v/>
      </c>
      <c r="C51">
        <f>IFERROR(IF(INDEX(Suivi!$D:$D,51+($C$1-1)*54)="",INDEX(Suivi!$C:$C,51+($C$1-1)*54),INDEX(Suivi!$D:$D,51+($C$1-1)*54)),"")</f>
        <v/>
      </c>
      <c r="E51" s="29">
        <f>IFERROR(INDEX(Suivi!$E:$E,51+($C$1-1)*54),"")</f>
        <v/>
      </c>
      <c r="F51" s="29">
        <f>IFERROR(INDEX(Suivi!$F:$F,51+($C$1-1)*54),"")</f>
        <v/>
      </c>
      <c r="O51" s="30">
        <f>IFERROR(IF(ISNUMBER($A51),1,VALUE(LEFT(SUBSTITUTE(TEXT($A51,"@"),",","."),FIND(".",SUBSTITUTE(TEXT($A51,"@"),",",".")&amp;".0")-1))),"")</f>
        <v/>
      </c>
      <c r="P51" s="30">
        <f>IFERROR(INDEX(Suivi!$G:$G,51+($C$1-1)*54),"")</f>
        <v/>
      </c>
    </row>
    <row r="52">
      <c r="A52" s="28">
        <f>IFERROR(INDEX(Suivi!$B:$B,52+($C$1-1)*54),"")</f>
        <v/>
      </c>
      <c r="C52">
        <f>IFERROR(IF(INDEX(Suivi!$D:$D,52+($C$1-1)*54)="",INDEX(Suivi!$C:$C,52+($C$1-1)*54),INDEX(Suivi!$D:$D,52+($C$1-1)*54)),"")</f>
        <v/>
      </c>
      <c r="E52" s="29">
        <f>IFERROR(INDEX(Suivi!$E:$E,52+($C$1-1)*54),"")</f>
        <v/>
      </c>
      <c r="F52" s="29">
        <f>IFERROR(INDEX(Suivi!$F:$F,52+($C$1-1)*54),"")</f>
        <v/>
      </c>
      <c r="O52" s="30">
        <f>IFERROR(IF(ISNUMBER($A52),1,VALUE(LEFT(SUBSTITUTE(TEXT($A52,"@"),",","."),FIND(".",SUBSTITUTE(TEXT($A52,"@"),",",".")&amp;".0")-1))),"")</f>
        <v/>
      </c>
      <c r="P52" s="30">
        <f>IFERROR(INDEX(Suivi!$G:$G,52+($C$1-1)*54),"")</f>
        <v/>
      </c>
    </row>
    <row r="53">
      <c r="A53" s="28">
        <f>IFERROR(INDEX(Suivi!$B:$B,53+($C$1-1)*54),"")</f>
        <v/>
      </c>
      <c r="C53">
        <f>IFERROR(IF(INDEX(Suivi!$D:$D,53+($C$1-1)*54)="",INDEX(Suivi!$C:$C,53+($C$1-1)*54),INDEX(Suivi!$D:$D,53+($C$1-1)*54)),"")</f>
        <v/>
      </c>
      <c r="E53" s="29">
        <f>IFERROR(INDEX(Suivi!$E:$E,53+($C$1-1)*54),"")</f>
        <v/>
      </c>
      <c r="F53" s="29">
        <f>IFERROR(INDEX(Suivi!$F:$F,53+($C$1-1)*54),"")</f>
        <v/>
      </c>
      <c r="O53" s="30">
        <f>IFERROR(IF(ISNUMBER($A53),1,VALUE(LEFT(SUBSTITUTE(TEXT($A53,"@"),",","."),FIND(".",SUBSTITUTE(TEXT($A53,"@"),",",".")&amp;".0")-1))),"")</f>
        <v/>
      </c>
      <c r="P53" s="30">
        <f>IFERROR(INDEX(Suivi!$G:$G,53+($C$1-1)*54),"")</f>
        <v/>
      </c>
    </row>
    <row r="54">
      <c r="A54" s="28">
        <f>IFERROR(INDEX(Suivi!$B:$B,54+($C$1-1)*54),"")</f>
        <v/>
      </c>
      <c r="C54">
        <f>IFERROR(IF(INDEX(Suivi!$D:$D,54+($C$1-1)*54)="",INDEX(Suivi!$C:$C,54+($C$1-1)*54),INDEX(Suivi!$D:$D,54+($C$1-1)*54)),"")</f>
        <v/>
      </c>
      <c r="E54" s="29">
        <f>IFERROR(INDEX(Suivi!$E:$E,54+($C$1-1)*54),"")</f>
        <v/>
      </c>
      <c r="F54" s="29">
        <f>IFERROR(INDEX(Suivi!$F:$F,54+($C$1-1)*54),"")</f>
        <v/>
      </c>
      <c r="O54" s="30">
        <f>IFERROR(IF(ISNUMBER($A54),1,VALUE(LEFT(SUBSTITUTE(TEXT($A54,"@"),",","."),FIND(".",SUBSTITUTE(TEXT($A54,"@"),",",".")&amp;".0")-1))),"")</f>
        <v/>
      </c>
      <c r="P54" s="30">
        <f>IFERROR(INDEX(Suivi!$G:$G,54+($C$1-1)*54),"")</f>
        <v/>
      </c>
    </row>
    <row r="55">
      <c r="A55" s="28">
        <f>IFERROR(INDEX(Suivi!$B:$B,55+($C$1-1)*54),"")</f>
        <v/>
      </c>
      <c r="C55">
        <f>IFERROR(IF(INDEX(Suivi!$D:$D,55+($C$1-1)*54)="",INDEX(Suivi!$C:$C,55+($C$1-1)*54),INDEX(Suivi!$D:$D,55+($C$1-1)*54)),"")</f>
        <v/>
      </c>
      <c r="E55" s="29">
        <f>IFERROR(INDEX(Suivi!$E:$E,55+($C$1-1)*54),"")</f>
        <v/>
      </c>
      <c r="F55" s="29">
        <f>IFERROR(INDEX(Suivi!$F:$F,55+($C$1-1)*54),"")</f>
        <v/>
      </c>
      <c r="O55" s="30">
        <f>IFERROR(IF(ISNUMBER($A55),1,VALUE(LEFT(SUBSTITUTE(TEXT($A55,"@"),",","."),FIND(".",SUBSTITUTE(TEXT($A55,"@"),",",".")&amp;".0")-1))),"")</f>
        <v/>
      </c>
      <c r="P55" s="30">
        <f>IFERROR(INDEX(Suivi!$G:$G,55+($C$1-1)*54),"")</f>
        <v/>
      </c>
    </row>
    <row r="56">
      <c r="A56" s="28">
        <f>IFERROR(INDEX(Suivi!$B:$B,56+($C$1-1)*54),"")</f>
        <v/>
      </c>
      <c r="C56">
        <f>IFERROR(IF(INDEX(Suivi!$D:$D,56+($C$1-1)*54)="",INDEX(Suivi!$C:$C,56+($C$1-1)*54),INDEX(Suivi!$D:$D,56+($C$1-1)*54)),"")</f>
        <v/>
      </c>
      <c r="E56" s="29">
        <f>IFERROR(INDEX(Suivi!$E:$E,56+($C$1-1)*54),"")</f>
        <v/>
      </c>
      <c r="F56" s="29">
        <f>IFERROR(INDEX(Suivi!$F:$F,56+($C$1-1)*54),"")</f>
        <v/>
      </c>
      <c r="O56" s="30">
        <f>IFERROR(IF(ISNUMBER($A56),1,VALUE(LEFT(SUBSTITUTE(TEXT($A56,"@"),",","."),FIND(".",SUBSTITUTE(TEXT($A56,"@"),",",".")&amp;".0")-1))),"")</f>
        <v/>
      </c>
      <c r="P56" s="30">
        <f>IFERROR(INDEX(Suivi!$G:$G,56+($C$1-1)*54),"")</f>
        <v/>
      </c>
    </row>
    <row r="57">
      <c r="A57" s="28">
        <f>IFERROR(INDEX(Suivi!$B:$B,57+($C$1-1)*54),"")</f>
        <v/>
      </c>
      <c r="C57">
        <f>IFERROR(IF(INDEX(Suivi!$D:$D,57+($C$1-1)*54)="",INDEX(Suivi!$C:$C,57+($C$1-1)*54),INDEX(Suivi!$D:$D,57+($C$1-1)*54)),"")</f>
        <v/>
      </c>
      <c r="E57" s="29">
        <f>IFERROR(INDEX(Suivi!$E:$E,57+($C$1-1)*54),"")</f>
        <v/>
      </c>
      <c r="F57" s="29">
        <f>IFERROR(INDEX(Suivi!$F:$F,57+($C$1-1)*54),"")</f>
        <v/>
      </c>
      <c r="O57" s="30">
        <f>IFERROR(IF(ISNUMBER($A57),1,VALUE(LEFT(SUBSTITUTE(TEXT($A57,"@"),",","."),FIND(".",SUBSTITUTE(TEXT($A57,"@"),",",".")&amp;".0")-1))),"")</f>
        <v/>
      </c>
      <c r="P57" s="30">
        <f>IFERROR(INDEX(Suivi!$G:$G,57+($C$1-1)*54),"")</f>
        <v/>
      </c>
    </row>
    <row r="58">
      <c r="C58" s="40" t="inlineStr">
        <is>
          <t>Jalon CS :</t>
        </is>
      </c>
      <c r="E58" s="41">
        <f>IFERROR(INDEX(Dossiers!$F$4:$F$63,$C$1),"")</f>
        <v/>
      </c>
      <c r="G58" s="46">
        <f>IF($E$58="","",IF(G$4=$E$58,"◆CS",""))</f>
        <v/>
      </c>
      <c r="H58" s="46">
        <f>IF($E$58="","",IF(H$4=$E$58,"◆CS",""))</f>
        <v/>
      </c>
      <c r="I58" s="46">
        <f>IF($E$58="","",IF(I$4=$E$58,"◆CS",""))</f>
        <v/>
      </c>
      <c r="J58" s="46">
        <f>IF($E$58="","",IF(J$4=$E$58,"◆CS",""))</f>
        <v/>
      </c>
      <c r="K58" s="46">
        <f>IF($E$58="","",IF(K$4=$E$58,"◆CS",""))</f>
        <v/>
      </c>
      <c r="L58" s="46">
        <f>IF($E$58="","",IF(L$4=$E$58,"◆CS",""))</f>
        <v/>
      </c>
      <c r="M58" s="46">
        <f>IF($E$58="","",IF(M$4=$E$58,"◆CS",""))</f>
        <v/>
      </c>
      <c r="N58" s="46">
        <f>IF($E$58="","",IF(N$4=$E$58,"◆CS",""))</f>
        <v/>
      </c>
      <c r="O58" s="46">
        <f>IF($E$58="","",IF(O$4=$E$58,"◆CS",""))</f>
        <v/>
      </c>
      <c r="P58" s="46">
        <f>IF($E$58="","",IF(P$4=$E$58,"◆CS",""))</f>
        <v/>
      </c>
      <c r="Q58" s="46">
        <f>IF($E$58="","",IF(Q$4=$E$58,"◆CS",""))</f>
        <v/>
      </c>
      <c r="R58" s="46">
        <f>IF($E$58="","",IF(R$4=$E$58,"◆CS",""))</f>
        <v/>
      </c>
      <c r="S58" s="46">
        <f>IF($E$58="","",IF(S$4=$E$58,"◆CS",""))</f>
        <v/>
      </c>
      <c r="T58" s="46">
        <f>IF($E$58="","",IF(T$4=$E$58,"◆CS",""))</f>
        <v/>
      </c>
      <c r="U58" s="46">
        <f>IF($E$58="","",IF(U$4=$E$58,"◆CS",""))</f>
        <v/>
      </c>
      <c r="V58" s="46">
        <f>IF($E$58="","",IF(V$4=$E$58,"◆CS",""))</f>
        <v/>
      </c>
      <c r="W58" s="46">
        <f>IF($E$58="","",IF(W$4=$E$58,"◆CS",""))</f>
        <v/>
      </c>
      <c r="X58" s="46">
        <f>IF($E$58="","",IF(X$4=$E$58,"◆CS",""))</f>
        <v/>
      </c>
      <c r="Y58" s="46">
        <f>IF($E$58="","",IF(Y$4=$E$58,"◆CS",""))</f>
        <v/>
      </c>
      <c r="Z58" s="46">
        <f>IF($E$58="","",IF(Z$4=$E$58,"◆CS",""))</f>
        <v/>
      </c>
      <c r="AA58" s="46">
        <f>IF($E$58="","",IF(AA$4=$E$58,"◆CS",""))</f>
        <v/>
      </c>
      <c r="AB58" s="46">
        <f>IF($E$58="","",IF(AB$4=$E$58,"◆CS",""))</f>
        <v/>
      </c>
      <c r="AC58" s="46">
        <f>IF($E$58="","",IF(AC$4=$E$58,"◆CS",""))</f>
        <v/>
      </c>
      <c r="AD58" s="46">
        <f>IF($E$58="","",IF(AD$4=$E$58,"◆CS",""))</f>
        <v/>
      </c>
      <c r="AE58" s="46">
        <f>IF($E$58="","",IF(AE$4=$E$58,"◆CS",""))</f>
        <v/>
      </c>
      <c r="AF58" s="46">
        <f>IF($E$58="","",IF(AF$4=$E$58,"◆CS",""))</f>
        <v/>
      </c>
      <c r="AG58" s="46">
        <f>IF($E$58="","",IF(AG$4=$E$58,"◆CS",""))</f>
        <v/>
      </c>
      <c r="AH58" s="46">
        <f>IF($E$58="","",IF(AH$4=$E$58,"◆CS",""))</f>
        <v/>
      </c>
      <c r="AI58" s="46">
        <f>IF($E$58="","",IF(AI$4=$E$58,"◆CS",""))</f>
        <v/>
      </c>
      <c r="AJ58" s="46">
        <f>IF($E$58="","",IF(AJ$4=$E$58,"◆CS",""))</f>
        <v/>
      </c>
      <c r="AK58" s="46">
        <f>IF($E$58="","",IF(AK$4=$E$58,"◆CS",""))</f>
        <v/>
      </c>
      <c r="AL58" s="46">
        <f>IF($E$58="","",IF(AL$4=$E$58,"◆CS",""))</f>
        <v/>
      </c>
      <c r="AM58" s="46">
        <f>IF($E$58="","",IF(AM$4=$E$58,"◆CS",""))</f>
        <v/>
      </c>
      <c r="AN58" s="46">
        <f>IF($E$58="","",IF(AN$4=$E$58,"◆CS",""))</f>
        <v/>
      </c>
      <c r="AO58" s="46">
        <f>IF($E$58="","",IF(AO$4=$E$58,"◆CS",""))</f>
        <v/>
      </c>
      <c r="AP58" s="46">
        <f>IF($E$58="","",IF(AP$4=$E$58,"◆CS",""))</f>
        <v/>
      </c>
      <c r="AQ58" s="46">
        <f>IF($E$58="","",IF(AQ$4=$E$58,"◆CS",""))</f>
        <v/>
      </c>
      <c r="AR58" s="46">
        <f>IF($E$58="","",IF(AR$4=$E$58,"◆CS",""))</f>
        <v/>
      </c>
      <c r="AS58" s="46">
        <f>IF($E$58="","",IF(AS$4=$E$58,"◆CS",""))</f>
        <v/>
      </c>
      <c r="AT58" s="46">
        <f>IF($E$58="","",IF(AT$4=$E$58,"◆CS",""))</f>
        <v/>
      </c>
      <c r="AU58" s="46">
        <f>IF($E$58="","",IF(AU$4=$E$58,"◆CS",""))</f>
        <v/>
      </c>
      <c r="AV58" s="46">
        <f>IF($E$58="","",IF(AV$4=$E$58,"◆CS",""))</f>
        <v/>
      </c>
      <c r="AW58" s="46">
        <f>IF($E$58="","",IF(AW$4=$E$58,"◆CS",""))</f>
        <v/>
      </c>
      <c r="AX58" s="46">
        <f>IF($E$58="","",IF(AX$4=$E$58,"◆CS",""))</f>
        <v/>
      </c>
      <c r="AY58" s="46">
        <f>IF($E$58="","",IF(AY$4=$E$58,"◆CS",""))</f>
        <v/>
      </c>
      <c r="AZ58" s="46">
        <f>IF($E$58="","",IF(AZ$4=$E$58,"◆CS",""))</f>
        <v/>
      </c>
      <c r="BA58" s="46">
        <f>IF($E$58="","",IF(BA$4=$E$58,"◆CS",""))</f>
        <v/>
      </c>
      <c r="BB58" s="46">
        <f>IF($E$58="","",IF(BB$4=$E$58,"◆CS",""))</f>
        <v/>
      </c>
      <c r="BC58" s="46">
        <f>IF($E$58="","",IF(BC$4=$E$58,"◆CS",""))</f>
        <v/>
      </c>
      <c r="BD58" s="46">
        <f>IF($E$58="","",IF(BD$4=$E$58,"◆CS",""))</f>
        <v/>
      </c>
      <c r="BE58" s="46">
        <f>IF($E$58="","",IF(BE$4=$E$58,"◆CS",""))</f>
        <v/>
      </c>
      <c r="BF58" s="46">
        <f>IF($E$58="","",IF(BF$4=$E$58,"◆CS",""))</f>
        <v/>
      </c>
      <c r="BG58" s="46">
        <f>IF($E$58="","",IF(BG$4=$E$58,"◆CS",""))</f>
        <v/>
      </c>
      <c r="BH58" s="46">
        <f>IF($E$58="","",IF(BH$4=$E$58,"◆CS",""))</f>
        <v/>
      </c>
      <c r="BI58" s="46">
        <f>IF($E$58="","",IF(BI$4=$E$58,"◆CS",""))</f>
        <v/>
      </c>
      <c r="BJ58" s="46">
        <f>IF($E$58="","",IF(BJ$4=$E$58,"◆CS",""))</f>
        <v/>
      </c>
      <c r="BK58" s="46">
        <f>IF($E$58="","",IF(BK$4=$E$58,"◆CS",""))</f>
        <v/>
      </c>
      <c r="BL58" s="46">
        <f>IF($E$58="","",IF(BL$4=$E$58,"◆CS",""))</f>
        <v/>
      </c>
      <c r="BM58" s="46">
        <f>IF($E$58="","",IF(BM$4=$E$58,"◆CS",""))</f>
        <v/>
      </c>
      <c r="BN58" s="46">
        <f>IF($E$58="","",IF(BN$4=$E$58,"◆CS",""))</f>
        <v/>
      </c>
      <c r="BO58" s="46">
        <f>IF($E$58="","",IF(BO$4=$E$58,"◆CS",""))</f>
        <v/>
      </c>
      <c r="BP58" s="46">
        <f>IF($E$58="","",IF(BP$4=$E$58,"◆CS",""))</f>
        <v/>
      </c>
      <c r="BQ58" s="46">
        <f>IF($E$58="","",IF(BQ$4=$E$58,"◆CS",""))</f>
        <v/>
      </c>
      <c r="BR58" s="46">
        <f>IF($E$58="","",IF(BR$4=$E$58,"◆CS",""))</f>
        <v/>
      </c>
      <c r="BS58" s="46">
        <f>IF($E$58="","",IF(BS$4=$E$58,"◆CS",""))</f>
        <v/>
      </c>
      <c r="BT58" s="46">
        <f>IF($E$58="","",IF(BT$4=$E$58,"◆CS",""))</f>
        <v/>
      </c>
      <c r="BU58" s="46">
        <f>IF($E$58="","",IF(BU$4=$E$58,"◆CS",""))</f>
        <v/>
      </c>
      <c r="BV58" s="46">
        <f>IF($E$58="","",IF(BV$4=$E$58,"◆CS",""))</f>
        <v/>
      </c>
      <c r="BW58" s="46">
        <f>IF($E$58="","",IF(BW$4=$E$58,"◆CS",""))</f>
        <v/>
      </c>
      <c r="BX58" s="46">
        <f>IF($E$58="","",IF(BX$4=$E$58,"◆CS",""))</f>
        <v/>
      </c>
      <c r="BY58" s="46">
        <f>IF($E$58="","",IF(BY$4=$E$58,"◆CS",""))</f>
        <v/>
      </c>
      <c r="BZ58" s="46">
        <f>IF($E$58="","",IF(BZ$4=$E$58,"◆CS",""))</f>
        <v/>
      </c>
      <c r="CA58" s="46">
        <f>IF($E$58="","",IF(CA$4=$E$58,"◆CS",""))</f>
        <v/>
      </c>
      <c r="CB58" s="46">
        <f>IF($E$58="","",IF(CB$4=$E$58,"◆CS",""))</f>
        <v/>
      </c>
      <c r="CC58" s="46">
        <f>IF($E$58="","",IF(CC$4=$E$58,"◆CS",""))</f>
        <v/>
      </c>
      <c r="CD58" s="46">
        <f>IF($E$58="","",IF(CD$4=$E$58,"◆CS",""))</f>
        <v/>
      </c>
      <c r="CE58" s="46">
        <f>IF($E$58="","",IF(CE$4=$E$58,"◆CS",""))</f>
        <v/>
      </c>
      <c r="CF58" s="46">
        <f>IF($E$58="","",IF(CF$4=$E$58,"◆CS",""))</f>
        <v/>
      </c>
      <c r="CG58" s="46">
        <f>IF($E$58="","",IF(CG$4=$E$58,"◆CS",""))</f>
        <v/>
      </c>
      <c r="CH58" s="46">
        <f>IF($E$58="","",IF(CH$4=$E$58,"◆CS",""))</f>
        <v/>
      </c>
      <c r="CI58" s="46">
        <f>IF($E$58="","",IF(CI$4=$E$58,"◆CS",""))</f>
        <v/>
      </c>
      <c r="CJ58" s="46">
        <f>IF($E$58="","",IF(CJ$4=$E$58,"◆CS",""))</f>
        <v/>
      </c>
      <c r="CK58" s="46">
        <f>IF($E$58="","",IF(CK$4=$E$58,"◆CS",""))</f>
        <v/>
      </c>
      <c r="CL58" s="46">
        <f>IF($E$58="","",IF(CL$4=$E$58,"◆CS",""))</f>
        <v/>
      </c>
      <c r="CM58" s="46">
        <f>IF($E$58="","",IF(CM$4=$E$58,"◆CS",""))</f>
        <v/>
      </c>
      <c r="CN58" s="46">
        <f>IF($E$58="","",IF(CN$4=$E$58,"◆CS",""))</f>
        <v/>
      </c>
      <c r="CO58" s="46">
        <f>IF($E$58="","",IF(CO$4=$E$58,"◆CS",""))</f>
        <v/>
      </c>
      <c r="CP58" s="46">
        <f>IF($E$58="","",IF(CP$4=$E$58,"◆CS",""))</f>
        <v/>
      </c>
      <c r="CQ58" s="46">
        <f>IF($E$58="","",IF(CQ$4=$E$58,"◆CS",""))</f>
        <v/>
      </c>
      <c r="CR58" s="46">
        <f>IF($E$58="","",IF(CR$4=$E$58,"◆CS",""))</f>
        <v/>
      </c>
      <c r="CS58" s="46">
        <f>IF($E$58="","",IF(CS$4=$E$58,"◆CS",""))</f>
        <v/>
      </c>
      <c r="CT58" s="46">
        <f>IF($E$58="","",IF(CT$4=$E$58,"◆CS",""))</f>
        <v/>
      </c>
      <c r="CU58" s="46">
        <f>IF($E$58="","",IF(CU$4=$E$58,"◆CS",""))</f>
        <v/>
      </c>
      <c r="CV58" s="46">
        <f>IF($E$58="","",IF(CV$4=$E$58,"◆CS",""))</f>
        <v/>
      </c>
      <c r="CW58" s="46">
        <f>IF($E$58="","",IF(CW$4=$E$58,"◆CS",""))</f>
        <v/>
      </c>
      <c r="CX58" s="46">
        <f>IF($E$58="","",IF(CX$4=$E$58,"◆CS",""))</f>
        <v/>
      </c>
      <c r="CY58" s="46">
        <f>IF($E$58="","",IF(CY$4=$E$58,"◆CS",""))</f>
        <v/>
      </c>
      <c r="CZ58" s="46">
        <f>IF($E$58="","",IF(CZ$4=$E$58,"◆CS",""))</f>
        <v/>
      </c>
      <c r="DA58" s="46">
        <f>IF($E$58="","",IF(DA$4=$E$58,"◆CS",""))</f>
        <v/>
      </c>
      <c r="DB58" s="46">
        <f>IF($E$58="","",IF(DB$4=$E$58,"◆CS",""))</f>
        <v/>
      </c>
      <c r="DC58" s="46">
        <f>IF($E$58="","",IF(DC$4=$E$58,"◆CS",""))</f>
        <v/>
      </c>
      <c r="DD58" s="46">
        <f>IF($E$58="","",IF(DD$4=$E$58,"◆CS",""))</f>
        <v/>
      </c>
      <c r="DE58" s="46">
        <f>IF($E$58="","",IF(DE$4=$E$58,"◆CS",""))</f>
        <v/>
      </c>
      <c r="DF58" s="46">
        <f>IF($E$58="","",IF(DF$4=$E$58,"◆CS",""))</f>
        <v/>
      </c>
      <c r="DG58" s="46">
        <f>IF($E$58="","",IF(DG$4=$E$58,"◆CS",""))</f>
        <v/>
      </c>
      <c r="DH58" s="46">
        <f>IF($E$58="","",IF(DH$4=$E$58,"◆CS",""))</f>
        <v/>
      </c>
      <c r="DI58" s="46">
        <f>IF($E$58="","",IF(DI$4=$E$58,"◆CS",""))</f>
        <v/>
      </c>
      <c r="DJ58" s="46">
        <f>IF($E$58="","",IF(DJ$4=$E$58,"◆CS",""))</f>
        <v/>
      </c>
      <c r="DK58" s="46">
        <f>IF($E$58="","",IF(DK$4=$E$58,"◆CS",""))</f>
        <v/>
      </c>
      <c r="DL58" s="46">
        <f>IF($E$58="","",IF(DL$4=$E$58,"◆CS",""))</f>
        <v/>
      </c>
      <c r="DM58" s="46">
        <f>IF($E$58="","",IF(DM$4=$E$58,"◆CS",""))</f>
        <v/>
      </c>
      <c r="DN58" s="46">
        <f>IF($E$58="","",IF(DN$4=$E$58,"◆CS",""))</f>
        <v/>
      </c>
      <c r="DO58" s="46">
        <f>IF($E$58="","",IF(DO$4=$E$58,"◆CS",""))</f>
        <v/>
      </c>
      <c r="DP58" s="46">
        <f>IF($E$58="","",IF(DP$4=$E$58,"◆CS",""))</f>
        <v/>
      </c>
      <c r="DQ58" s="46">
        <f>IF($E$58="","",IF(DQ$4=$E$58,"◆CS",""))</f>
        <v/>
      </c>
      <c r="DR58" s="46">
        <f>IF($E$58="","",IF(DR$4=$E$58,"◆CS",""))</f>
        <v/>
      </c>
      <c r="DS58" s="46">
        <f>IF($E$58="","",IF(DS$4=$E$58,"◆CS",""))</f>
        <v/>
      </c>
      <c r="DT58" s="46">
        <f>IF($E$58="","",IF(DT$4=$E$58,"◆CS",""))</f>
        <v/>
      </c>
      <c r="DU58" s="46">
        <f>IF($E$58="","",IF(DU$4=$E$58,"◆CS",""))</f>
        <v/>
      </c>
      <c r="DV58" s="46">
        <f>IF($E$58="","",IF(DV$4=$E$58,"◆CS",""))</f>
        <v/>
      </c>
      <c r="DW58" s="46">
        <f>IF($E$58="","",IF(DW$4=$E$58,"◆CS",""))</f>
        <v/>
      </c>
      <c r="DX58" s="46">
        <f>IF($E$58="","",IF(DX$4=$E$58,"◆CS",""))</f>
        <v/>
      </c>
      <c r="DY58" s="46">
        <f>IF($E$58="","",IF(DY$4=$E$58,"◆CS",""))</f>
        <v/>
      </c>
      <c r="DZ58" s="46">
        <f>IF($E$58="","",IF(DZ$4=$E$58,"◆CS",""))</f>
        <v/>
      </c>
      <c r="EA58" s="46">
        <f>IF($E$58="","",IF(EA$4=$E$58,"◆CS",""))</f>
        <v/>
      </c>
      <c r="EB58" s="46">
        <f>IF($E$58="","",IF(EB$4=$E$58,"◆CS",""))</f>
        <v/>
      </c>
      <c r="EC58" s="46">
        <f>IF($E$58="","",IF(EC$4=$E$58,"◆CS",""))</f>
        <v/>
      </c>
      <c r="ED58" s="46">
        <f>IF($E$58="","",IF(ED$4=$E$58,"◆CS",""))</f>
        <v/>
      </c>
      <c r="EE58" s="46">
        <f>IF($E$58="","",IF(EE$4=$E$58,"◆CS",""))</f>
        <v/>
      </c>
      <c r="EF58" s="46">
        <f>IF($E$58="","",IF(EF$4=$E$58,"◆CS",""))</f>
        <v/>
      </c>
      <c r="EG58" s="46">
        <f>IF($E$58="","",IF(EG$4=$E$58,"◆CS",""))</f>
        <v/>
      </c>
      <c r="EH58" s="46">
        <f>IF($E$58="","",IF(EH$4=$E$58,"◆CS",""))</f>
        <v/>
      </c>
      <c r="EI58" s="46">
        <f>IF($E$58="","",IF(EI$4=$E$58,"◆CS",""))</f>
        <v/>
      </c>
      <c r="EJ58" s="46">
        <f>IF($E$58="","",IF(EJ$4=$E$58,"◆CS",""))</f>
        <v/>
      </c>
      <c r="EK58" s="46">
        <f>IF($E$58="","",IF(EK$4=$E$58,"◆CS",""))</f>
        <v/>
      </c>
      <c r="EL58" s="46">
        <f>IF($E$58="","",IF(EL$4=$E$58,"◆CS",""))</f>
        <v/>
      </c>
      <c r="EM58" s="46">
        <f>IF($E$58="","",IF(EM$4=$E$58,"◆CS",""))</f>
        <v/>
      </c>
      <c r="EN58" s="46">
        <f>IF($E$58="","",IF(EN$4=$E$58,"◆CS",""))</f>
        <v/>
      </c>
      <c r="EO58" s="46">
        <f>IF($E$58="","",IF(EO$4=$E$58,"◆CS",""))</f>
        <v/>
      </c>
      <c r="EP58" s="46">
        <f>IF($E$58="","",IF(EP$4=$E$58,"◆CS",""))</f>
        <v/>
      </c>
    </row>
    <row r="59">
      <c r="C59" s="43" t="inlineStr">
        <is>
          <t>Jalon Jury :</t>
        </is>
      </c>
      <c r="E59" s="44">
        <f>IFERROR(INDEX(Dossiers!$G$4:$G$63,$C$1),"")</f>
        <v/>
      </c>
      <c r="G59" s="47">
        <f>IF($E$59="","",IF(G$4=$E$59,"◆JURY",""))</f>
        <v/>
      </c>
      <c r="H59" s="46">
        <f>IF($E$59="","",IF(H$4=$E$59,"◆JURY",""))</f>
        <v/>
      </c>
      <c r="I59" s="46">
        <f>IF($E$59="","",IF(I$4=$E$59,"◆JURY",""))</f>
        <v/>
      </c>
      <c r="J59" s="46">
        <f>IF($E$59="","",IF(J$4=$E$59,"◆JURY",""))</f>
        <v/>
      </c>
      <c r="K59" s="46">
        <f>IF($E$59="","",IF(K$4=$E$59,"◆JURY",""))</f>
        <v/>
      </c>
      <c r="L59" s="46">
        <f>IF($E$59="","",IF(L$4=$E$59,"◆JURY",""))</f>
        <v/>
      </c>
      <c r="M59" s="46">
        <f>IF($E$59="","",IF(M$4=$E$59,"◆JURY",""))</f>
        <v/>
      </c>
      <c r="N59" s="46">
        <f>IF($E$59="","",IF(N$4=$E$59,"◆JURY",""))</f>
        <v/>
      </c>
      <c r="O59" s="46">
        <f>IF($E$59="","",IF(O$4=$E$59,"◆JURY",""))</f>
        <v/>
      </c>
      <c r="P59" s="46">
        <f>IF($E$59="","",IF(P$4=$E$59,"◆JURY",""))</f>
        <v/>
      </c>
      <c r="Q59" s="46">
        <f>IF($E$59="","",IF(Q$4=$E$59,"◆JURY",""))</f>
        <v/>
      </c>
      <c r="R59" s="46">
        <f>IF($E$59="","",IF(R$4=$E$59,"◆JURY",""))</f>
        <v/>
      </c>
      <c r="S59" s="46">
        <f>IF($E$59="","",IF(S$4=$E$59,"◆JURY",""))</f>
        <v/>
      </c>
      <c r="T59" s="46">
        <f>IF($E$59="","",IF(T$4=$E$59,"◆JURY",""))</f>
        <v/>
      </c>
      <c r="U59" s="46">
        <f>IF($E$59="","",IF(U$4=$E$59,"◆JURY",""))</f>
        <v/>
      </c>
      <c r="V59" s="46">
        <f>IF($E$59="","",IF(V$4=$E$59,"◆JURY",""))</f>
        <v/>
      </c>
      <c r="W59" s="46">
        <f>IF($E$59="","",IF(W$4=$E$59,"◆JURY",""))</f>
        <v/>
      </c>
      <c r="X59" s="46">
        <f>IF($E$59="","",IF(X$4=$E$59,"◆JURY",""))</f>
        <v/>
      </c>
      <c r="Y59" s="46">
        <f>IF($E$59="","",IF(Y$4=$E$59,"◆JURY",""))</f>
        <v/>
      </c>
      <c r="Z59" s="46">
        <f>IF($E$59="","",IF(Z$4=$E$59,"◆JURY",""))</f>
        <v/>
      </c>
      <c r="AA59" s="46">
        <f>IF($E$59="","",IF(AA$4=$E$59,"◆JURY",""))</f>
        <v/>
      </c>
      <c r="AB59" s="46">
        <f>IF($E$59="","",IF(AB$4=$E$59,"◆JURY",""))</f>
        <v/>
      </c>
      <c r="AC59" s="46">
        <f>IF($E$59="","",IF(AC$4=$E$59,"◆JURY",""))</f>
        <v/>
      </c>
      <c r="AD59" s="46">
        <f>IF($E$59="","",IF(AD$4=$E$59,"◆JURY",""))</f>
        <v/>
      </c>
      <c r="AE59" s="46">
        <f>IF($E$59="","",IF(AE$4=$E$59,"◆JURY",""))</f>
        <v/>
      </c>
      <c r="AF59" s="46">
        <f>IF($E$59="","",IF(AF$4=$E$59,"◆JURY",""))</f>
        <v/>
      </c>
      <c r="AG59" s="46">
        <f>IF($E$59="","",IF(AG$4=$E$59,"◆JURY",""))</f>
        <v/>
      </c>
      <c r="AH59" s="46">
        <f>IF($E$59="","",IF(AH$4=$E$59,"◆JURY",""))</f>
        <v/>
      </c>
      <c r="AI59" s="46">
        <f>IF($E$59="","",IF(AI$4=$E$59,"◆JURY",""))</f>
        <v/>
      </c>
      <c r="AJ59" s="46">
        <f>IF($E$59="","",IF(AJ$4=$E$59,"◆JURY",""))</f>
        <v/>
      </c>
      <c r="AK59" s="46">
        <f>IF($E$59="","",IF(AK$4=$E$59,"◆JURY",""))</f>
        <v/>
      </c>
      <c r="AL59" s="46">
        <f>IF($E$59="","",IF(AL$4=$E$59,"◆JURY",""))</f>
        <v/>
      </c>
      <c r="AM59" s="46">
        <f>IF($E$59="","",IF(AM$4=$E$59,"◆JURY",""))</f>
        <v/>
      </c>
      <c r="AN59" s="46">
        <f>IF($E$59="","",IF(AN$4=$E$59,"◆JURY",""))</f>
        <v/>
      </c>
      <c r="AO59" s="46">
        <f>IF($E$59="","",IF(AO$4=$E$59,"◆JURY",""))</f>
        <v/>
      </c>
      <c r="AP59" s="46">
        <f>IF($E$59="","",IF(AP$4=$E$59,"◆JURY",""))</f>
        <v/>
      </c>
      <c r="AQ59" s="46">
        <f>IF($E$59="","",IF(AQ$4=$E$59,"◆JURY",""))</f>
        <v/>
      </c>
      <c r="AR59" s="46">
        <f>IF($E$59="","",IF(AR$4=$E$59,"◆JURY",""))</f>
        <v/>
      </c>
      <c r="AS59" s="46">
        <f>IF($E$59="","",IF(AS$4=$E$59,"◆JURY",""))</f>
        <v/>
      </c>
      <c r="AT59" s="46">
        <f>IF($E$59="","",IF(AT$4=$E$59,"◆JURY",""))</f>
        <v/>
      </c>
      <c r="AU59" s="46">
        <f>IF($E$59="","",IF(AU$4=$E$59,"◆JURY",""))</f>
        <v/>
      </c>
      <c r="AV59" s="46">
        <f>IF($E$59="","",IF(AV$4=$E$59,"◆JURY",""))</f>
        <v/>
      </c>
      <c r="AW59" s="46">
        <f>IF($E$59="","",IF(AW$4=$E$59,"◆JURY",""))</f>
        <v/>
      </c>
      <c r="AX59" s="46">
        <f>IF($E$59="","",IF(AX$4=$E$59,"◆JURY",""))</f>
        <v/>
      </c>
      <c r="AY59" s="46">
        <f>IF($E$59="","",IF(AY$4=$E$59,"◆JURY",""))</f>
        <v/>
      </c>
      <c r="AZ59" s="46">
        <f>IF($E$59="","",IF(AZ$4=$E$59,"◆JURY",""))</f>
        <v/>
      </c>
      <c r="BA59" s="46">
        <f>IF($E$59="","",IF(BA$4=$E$59,"◆JURY",""))</f>
        <v/>
      </c>
      <c r="BB59" s="46">
        <f>IF($E$59="","",IF(BB$4=$E$59,"◆JURY",""))</f>
        <v/>
      </c>
      <c r="BC59" s="46">
        <f>IF($E$59="","",IF(BC$4=$E$59,"◆JURY",""))</f>
        <v/>
      </c>
      <c r="BD59" s="46">
        <f>IF($E$59="","",IF(BD$4=$E$59,"◆JURY",""))</f>
        <v/>
      </c>
      <c r="BE59" s="46">
        <f>IF($E$59="","",IF(BE$4=$E$59,"◆JURY",""))</f>
        <v/>
      </c>
      <c r="BF59" s="46">
        <f>IF($E$59="","",IF(BF$4=$E$59,"◆JURY",""))</f>
        <v/>
      </c>
      <c r="BG59" s="46">
        <f>IF($E$59="","",IF(BG$4=$E$59,"◆JURY",""))</f>
        <v/>
      </c>
      <c r="BH59" s="46">
        <f>IF($E$59="","",IF(BH$4=$E$59,"◆JURY",""))</f>
        <v/>
      </c>
      <c r="BI59" s="46">
        <f>IF($E$59="","",IF(BI$4=$E$59,"◆JURY",""))</f>
        <v/>
      </c>
      <c r="BJ59" s="46">
        <f>IF($E$59="","",IF(BJ$4=$E$59,"◆JURY",""))</f>
        <v/>
      </c>
      <c r="BK59" s="46">
        <f>IF($E$59="","",IF(BK$4=$E$59,"◆JURY",""))</f>
        <v/>
      </c>
      <c r="BL59" s="46">
        <f>IF($E$59="","",IF(BL$4=$E$59,"◆JURY",""))</f>
        <v/>
      </c>
      <c r="BM59" s="46">
        <f>IF($E$59="","",IF(BM$4=$E$59,"◆JURY",""))</f>
        <v/>
      </c>
      <c r="BN59" s="46">
        <f>IF($E$59="","",IF(BN$4=$E$59,"◆JURY",""))</f>
        <v/>
      </c>
      <c r="BO59" s="46">
        <f>IF($E$59="","",IF(BO$4=$E$59,"◆JURY",""))</f>
        <v/>
      </c>
      <c r="BP59" s="46">
        <f>IF($E$59="","",IF(BP$4=$E$59,"◆JURY",""))</f>
        <v/>
      </c>
      <c r="BQ59" s="46">
        <f>IF($E$59="","",IF(BQ$4=$E$59,"◆JURY",""))</f>
        <v/>
      </c>
      <c r="BR59" s="46">
        <f>IF($E$59="","",IF(BR$4=$E$59,"◆JURY",""))</f>
        <v/>
      </c>
      <c r="BS59" s="46">
        <f>IF($E$59="","",IF(BS$4=$E$59,"◆JURY",""))</f>
        <v/>
      </c>
      <c r="BT59" s="46">
        <f>IF($E$59="","",IF(BT$4=$E$59,"◆JURY",""))</f>
        <v/>
      </c>
      <c r="BU59" s="46">
        <f>IF($E$59="","",IF(BU$4=$E$59,"◆JURY",""))</f>
        <v/>
      </c>
      <c r="BV59" s="46">
        <f>IF($E$59="","",IF(BV$4=$E$59,"◆JURY",""))</f>
        <v/>
      </c>
      <c r="BW59" s="46">
        <f>IF($E$59="","",IF(BW$4=$E$59,"◆JURY",""))</f>
        <v/>
      </c>
      <c r="BX59" s="46">
        <f>IF($E$59="","",IF(BX$4=$E$59,"◆JURY",""))</f>
        <v/>
      </c>
      <c r="BY59" s="46">
        <f>IF($E$59="","",IF(BY$4=$E$59,"◆JURY",""))</f>
        <v/>
      </c>
      <c r="BZ59" s="46">
        <f>IF($E$59="","",IF(BZ$4=$E$59,"◆JURY",""))</f>
        <v/>
      </c>
      <c r="CA59" s="46">
        <f>IF($E$59="","",IF(CA$4=$E$59,"◆JURY",""))</f>
        <v/>
      </c>
      <c r="CB59" s="46">
        <f>IF($E$59="","",IF(CB$4=$E$59,"◆JURY",""))</f>
        <v/>
      </c>
      <c r="CC59" s="46">
        <f>IF($E$59="","",IF(CC$4=$E$59,"◆JURY",""))</f>
        <v/>
      </c>
      <c r="CD59" s="46">
        <f>IF($E$59="","",IF(CD$4=$E$59,"◆JURY",""))</f>
        <v/>
      </c>
      <c r="CE59" s="46">
        <f>IF($E$59="","",IF(CE$4=$E$59,"◆JURY",""))</f>
        <v/>
      </c>
      <c r="CF59" s="46">
        <f>IF($E$59="","",IF(CF$4=$E$59,"◆JURY",""))</f>
        <v/>
      </c>
      <c r="CG59" s="46">
        <f>IF($E$59="","",IF(CG$4=$E$59,"◆JURY",""))</f>
        <v/>
      </c>
      <c r="CH59" s="46">
        <f>IF($E$59="","",IF(CH$4=$E$59,"◆JURY",""))</f>
        <v/>
      </c>
      <c r="CI59" s="46">
        <f>IF($E$59="","",IF(CI$4=$E$59,"◆JURY",""))</f>
        <v/>
      </c>
      <c r="CJ59" s="46">
        <f>IF($E$59="","",IF(CJ$4=$E$59,"◆JURY",""))</f>
        <v/>
      </c>
      <c r="CK59" s="46">
        <f>IF($E$59="","",IF(CK$4=$E$59,"◆JURY",""))</f>
        <v/>
      </c>
      <c r="CL59" s="46">
        <f>IF($E$59="","",IF(CL$4=$E$59,"◆JURY",""))</f>
        <v/>
      </c>
      <c r="CM59" s="46">
        <f>IF($E$59="","",IF(CM$4=$E$59,"◆JURY",""))</f>
        <v/>
      </c>
      <c r="CN59" s="46">
        <f>IF($E$59="","",IF(CN$4=$E$59,"◆JURY",""))</f>
        <v/>
      </c>
      <c r="CO59" s="46">
        <f>IF($E$59="","",IF(CO$4=$E$59,"◆JURY",""))</f>
        <v/>
      </c>
      <c r="CP59" s="46">
        <f>IF($E$59="","",IF(CP$4=$E$59,"◆JURY",""))</f>
        <v/>
      </c>
      <c r="CQ59" s="46">
        <f>IF($E$59="","",IF(CQ$4=$E$59,"◆JURY",""))</f>
        <v/>
      </c>
      <c r="CR59" s="46">
        <f>IF($E$59="","",IF(CR$4=$E$59,"◆JURY",""))</f>
        <v/>
      </c>
      <c r="CS59" s="46">
        <f>IF($E$59="","",IF(CS$4=$E$59,"◆JURY",""))</f>
        <v/>
      </c>
      <c r="CT59" s="46">
        <f>IF($E$59="","",IF(CT$4=$E$59,"◆JURY",""))</f>
        <v/>
      </c>
      <c r="CU59" s="46">
        <f>IF($E$59="","",IF(CU$4=$E$59,"◆JURY",""))</f>
        <v/>
      </c>
      <c r="CV59" s="46">
        <f>IF($E$59="","",IF(CV$4=$E$59,"◆JURY",""))</f>
        <v/>
      </c>
      <c r="CW59" s="46">
        <f>IF($E$59="","",IF(CW$4=$E$59,"◆JURY",""))</f>
        <v/>
      </c>
      <c r="CX59" s="46">
        <f>IF($E$59="","",IF(CX$4=$E$59,"◆JURY",""))</f>
        <v/>
      </c>
      <c r="CY59" s="46">
        <f>IF($E$59="","",IF(CY$4=$E$59,"◆JURY",""))</f>
        <v/>
      </c>
      <c r="CZ59" s="46">
        <f>IF($E$59="","",IF(CZ$4=$E$59,"◆JURY",""))</f>
        <v/>
      </c>
      <c r="DA59" s="46">
        <f>IF($E$59="","",IF(DA$4=$E$59,"◆JURY",""))</f>
        <v/>
      </c>
      <c r="DB59" s="46">
        <f>IF($E$59="","",IF(DB$4=$E$59,"◆JURY",""))</f>
        <v/>
      </c>
      <c r="DC59" s="46">
        <f>IF($E$59="","",IF(DC$4=$E$59,"◆JURY",""))</f>
        <v/>
      </c>
      <c r="DD59" s="46">
        <f>IF($E$59="","",IF(DD$4=$E$59,"◆JURY",""))</f>
        <v/>
      </c>
      <c r="DE59" s="46">
        <f>IF($E$59="","",IF(DE$4=$E$59,"◆JURY",""))</f>
        <v/>
      </c>
      <c r="DF59" s="46">
        <f>IF($E$59="","",IF(DF$4=$E$59,"◆JURY",""))</f>
        <v/>
      </c>
      <c r="DG59" s="46">
        <f>IF($E$59="","",IF(DG$4=$E$59,"◆JURY",""))</f>
        <v/>
      </c>
      <c r="DH59" s="46">
        <f>IF($E$59="","",IF(DH$4=$E$59,"◆JURY",""))</f>
        <v/>
      </c>
      <c r="DI59" s="46">
        <f>IF($E$59="","",IF(DI$4=$E$59,"◆JURY",""))</f>
        <v/>
      </c>
      <c r="DJ59" s="46">
        <f>IF($E$59="","",IF(DJ$4=$E$59,"◆JURY",""))</f>
        <v/>
      </c>
      <c r="DK59" s="46">
        <f>IF($E$59="","",IF(DK$4=$E$59,"◆JURY",""))</f>
        <v/>
      </c>
      <c r="DL59" s="46">
        <f>IF($E$59="","",IF(DL$4=$E$59,"◆JURY",""))</f>
        <v/>
      </c>
      <c r="DM59" s="46">
        <f>IF($E$59="","",IF(DM$4=$E$59,"◆JURY",""))</f>
        <v/>
      </c>
      <c r="DN59" s="46">
        <f>IF($E$59="","",IF(DN$4=$E$59,"◆JURY",""))</f>
        <v/>
      </c>
      <c r="DO59" s="46">
        <f>IF($E$59="","",IF(DO$4=$E$59,"◆JURY",""))</f>
        <v/>
      </c>
      <c r="DP59" s="46">
        <f>IF($E$59="","",IF(DP$4=$E$59,"◆JURY",""))</f>
        <v/>
      </c>
      <c r="DQ59" s="46">
        <f>IF($E$59="","",IF(DQ$4=$E$59,"◆JURY",""))</f>
        <v/>
      </c>
      <c r="DR59" s="46">
        <f>IF($E$59="","",IF(DR$4=$E$59,"◆JURY",""))</f>
        <v/>
      </c>
      <c r="DS59" s="46">
        <f>IF($E$59="","",IF(DS$4=$E$59,"◆JURY",""))</f>
        <v/>
      </c>
      <c r="DT59" s="46">
        <f>IF($E$59="","",IF(DT$4=$E$59,"◆JURY",""))</f>
        <v/>
      </c>
      <c r="DU59" s="46">
        <f>IF($E$59="","",IF(DU$4=$E$59,"◆JURY",""))</f>
        <v/>
      </c>
      <c r="DV59" s="46">
        <f>IF($E$59="","",IF(DV$4=$E$59,"◆JURY",""))</f>
        <v/>
      </c>
      <c r="DW59" s="46">
        <f>IF($E$59="","",IF(DW$4=$E$59,"◆JURY",""))</f>
        <v/>
      </c>
      <c r="DX59" s="46">
        <f>IF($E$59="","",IF(DX$4=$E$59,"◆JURY",""))</f>
        <v/>
      </c>
      <c r="DY59" s="46">
        <f>IF($E$59="","",IF(DY$4=$E$59,"◆JURY",""))</f>
        <v/>
      </c>
      <c r="DZ59" s="46">
        <f>IF($E$59="","",IF(DZ$4=$E$59,"◆JURY",""))</f>
        <v/>
      </c>
      <c r="EA59" s="46">
        <f>IF($E$59="","",IF(EA$4=$E$59,"◆JURY",""))</f>
        <v/>
      </c>
      <c r="EB59" s="46">
        <f>IF($E$59="","",IF(EB$4=$E$59,"◆JURY",""))</f>
        <v/>
      </c>
      <c r="EC59" s="46">
        <f>IF($E$59="","",IF(EC$4=$E$59,"◆JURY",""))</f>
        <v/>
      </c>
      <c r="ED59" s="46">
        <f>IF($E$59="","",IF(ED$4=$E$59,"◆JURY",""))</f>
        <v/>
      </c>
      <c r="EE59" s="46">
        <f>IF($E$59="","",IF(EE$4=$E$59,"◆JURY",""))</f>
        <v/>
      </c>
      <c r="EF59" s="46">
        <f>IF($E$59="","",IF(EF$4=$E$59,"◆JURY",""))</f>
        <v/>
      </c>
      <c r="EG59" s="46">
        <f>IF($E$59="","",IF(EG$4=$E$59,"◆JURY",""))</f>
        <v/>
      </c>
      <c r="EH59" s="46">
        <f>IF($E$59="","",IF(EH$4=$E$59,"◆JURY",""))</f>
        <v/>
      </c>
      <c r="EI59" s="46">
        <f>IF($E$59="","",IF(EI$4=$E$59,"◆JURY",""))</f>
        <v/>
      </c>
      <c r="EJ59" s="46">
        <f>IF($E$59="","",IF(EJ$4=$E$59,"◆JURY",""))</f>
        <v/>
      </c>
      <c r="EK59" s="46">
        <f>IF($E$59="","",IF(EK$4=$E$59,"◆JURY",""))</f>
        <v/>
      </c>
      <c r="EL59" s="46">
        <f>IF($E$59="","",IF(EL$4=$E$59,"◆JURY",""))</f>
        <v/>
      </c>
      <c r="EM59" s="46">
        <f>IF($E$59="","",IF(EM$4=$E$59,"◆JURY",""))</f>
        <v/>
      </c>
      <c r="EN59" s="46">
        <f>IF($E$59="","",IF(EN$4=$E$59,"◆JURY",""))</f>
        <v/>
      </c>
      <c r="EO59" s="46">
        <f>IF($E$59="","",IF(EO$4=$E$59,"◆JURY",""))</f>
        <v/>
      </c>
      <c r="EP59" s="46">
        <f>IF($E$59="","",IF(EP$4=$E$59,"◆JURY",""))</f>
        <v/>
      </c>
    </row>
    <row r="61">
      <c r="C61" s="31" t="inlineStr">
        <is>
          <t>Légende :</t>
        </is>
      </c>
      <c r="G61" s="61" t="n"/>
      <c r="H61" s="49" t="inlineStr">
        <is>
          <t>Macro-étape (synthèse)</t>
        </is>
      </c>
    </row>
    <row r="62">
      <c r="G62" s="56" t="n"/>
      <c r="H62" s="49" t="inlineStr">
        <is>
          <t>1 · Demande de recrutement</t>
        </is>
      </c>
    </row>
    <row r="63">
      <c r="G63" s="57" t="n"/>
      <c r="H63" s="49" t="inlineStr">
        <is>
          <t>2 · Publicité</t>
        </is>
      </c>
    </row>
    <row r="64">
      <c r="G64" s="38" t="n"/>
      <c r="H64" s="49" t="inlineStr">
        <is>
          <t>3 · Choix candidats CS</t>
        </is>
      </c>
    </row>
    <row r="65">
      <c r="G65" s="58" t="n"/>
      <c r="H65" s="49" t="inlineStr">
        <is>
          <t>4 · Choix candidats Jury</t>
        </is>
      </c>
    </row>
    <row r="66">
      <c r="G66" s="59" t="n"/>
      <c r="H66" s="49" t="inlineStr">
        <is>
          <t>5 · Jury</t>
        </is>
      </c>
    </row>
    <row r="67">
      <c r="G67" s="37" t="n"/>
      <c r="H67" s="49" t="inlineStr">
        <is>
          <t>6 · Procédure</t>
        </is>
      </c>
    </row>
    <row r="68">
      <c r="C68" s="39" t="inlineStr">
        <is>
          <t>Gantt dynamique : changez le dossier en C1 ou modifiez Dossiers / Paramètres / Suivi.</t>
        </is>
      </c>
      <c r="G68" s="36" t="n"/>
      <c r="H68" s="49" t="inlineStr">
        <is>
          <t>Alerte retard</t>
        </is>
      </c>
    </row>
    <row r="69">
      <c r="G69" s="36" t="n"/>
      <c r="H69" s="49" t="inlineStr">
        <is>
          <t>◆ Date CS</t>
        </is>
      </c>
    </row>
    <row r="70">
      <c r="G70" s="37" t="n"/>
      <c r="H70" s="49" t="inlineStr">
        <is>
          <t>◆ Date Jury</t>
        </is>
      </c>
    </row>
    <row r="72">
      <c r="C72" s="55" t="inlineStr">
        <is>
          <t>Le calendrier démarre automatiquement avant le début du dossier pour inclure les jalons CS/Jury.</t>
        </is>
      </c>
    </row>
  </sheetData>
  <mergeCells count="1">
    <mergeCell ref="D1:N1"/>
  </mergeCells>
  <conditionalFormatting sqref="G5:EP57">
    <cfRule type="expression" priority="1" dxfId="19" stopIfTrue="1">
      <formula>AND($P5="Alerte retard",G$4&lt;=$F5,G$4&gt;=$E5)</formula>
    </cfRule>
    <cfRule type="expression" priority="2" dxfId="52" stopIfTrue="1">
      <formula>AND(ISNUMBER($E5),ISNUMBER($A5),G$4&gt;=$E5,G$4&lt;=$F5)</formula>
    </cfRule>
    <cfRule type="expression" priority="3" dxfId="41" stopIfTrue="1">
      <formula>AND(ISNUMBER($E5),$O5=1,G$4&gt;=$E5,G$4&lt;=$F5)</formula>
    </cfRule>
    <cfRule type="expression" priority="4" dxfId="42" stopIfTrue="1">
      <formula>AND(ISNUMBER($E5),$O5=2,G$4&gt;=$E5,G$4&lt;=$F5)</formula>
    </cfRule>
    <cfRule type="expression" priority="5" dxfId="18" stopIfTrue="1">
      <formula>AND(ISNUMBER($E5),$O5=3,G$4&gt;=$E5,G$4&lt;=$F5)</formula>
    </cfRule>
    <cfRule type="expression" priority="6" dxfId="44" stopIfTrue="1">
      <formula>AND(ISNUMBER($E5),$O5=4,G$4&gt;=$E5,G$4&lt;=$F5)</formula>
    </cfRule>
    <cfRule type="expression" priority="7" dxfId="45" stopIfTrue="1">
      <formula>AND(ISNUMBER($E5),$O5=5,G$4&gt;=$E5,G$4&lt;=$F5)</formula>
    </cfRule>
    <cfRule type="expression" priority="8" dxfId="20" stopIfTrue="1">
      <formula>AND(ISNUMBER($E5),$O5=6,G$4&gt;=$E5,G$4&lt;=$F5)</formula>
    </cfRule>
    <cfRule type="expression" priority="13" dxfId="19">
      <formula>AND(ISNUMBER($E$58),G$4=$E$58)</formula>
    </cfRule>
    <cfRule type="expression" priority="14" dxfId="20">
      <formula>AND(ISNUMBER($E$59),G$4=$E$59)</formula>
    </cfRule>
  </conditionalFormatting>
  <conditionalFormatting sqref="G3:EP59">
    <cfRule type="expression" priority="9" dxfId="40">
      <formula>OR(WEEKDAY(G$4,2)=6,WEEKDAY(G$4,2)=7)</formula>
    </cfRule>
  </conditionalFormatting>
  <conditionalFormatting sqref="A5:F57">
    <cfRule type="expression" priority="10" dxfId="22">
      <formula>ISNUMBER($A5)</formula>
    </cfRule>
  </conditionalFormatting>
  <conditionalFormatting sqref="G58:EP58">
    <cfRule type="expression" priority="11" dxfId="19">
      <formula>AND(ISNUMBER($E$58),G$4=$E$58)</formula>
    </cfRule>
  </conditionalFormatting>
  <conditionalFormatting sqref="G59:EP59">
    <cfRule type="expression" priority="12" dxfId="20">
      <formula>AND(ISNUMBER($E$59),G$4=$E$59)</formula>
    </cfRule>
  </conditionalFormatting>
  <dataValidations count="1">
    <dataValidation sqref="C1" showDropDown="0" showInputMessage="0" showErrorMessage="0" allowBlank="0" type="list">
      <formula1>=Dossiers!$A$4:$A$63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34" customWidth="1" min="3" max="3"/>
    <col width="9" customWidth="1" min="4" max="4"/>
    <col width="9" customWidth="1" min="5" max="5"/>
    <col width="13" customWidth="1" min="6" max="6"/>
    <col width="6" customWidth="1" min="7" max="7"/>
    <col width="14" customWidth="1" min="8" max="8"/>
    <col width="9" customWidth="1" min="9" max="9"/>
    <col width="9" customWidth="1" min="10" max="10"/>
    <col width="9" customWidth="1" min="11" max="11"/>
  </cols>
  <sheetData>
    <row r="1">
      <c r="A1" s="62" t="inlineStr">
        <is>
          <t>PLANNING GLISSANT — Tâches à faire, dossier par dossier</t>
        </is>
      </c>
    </row>
    <row r="2">
      <c r="A2" s="24" t="inlineStr">
        <is>
          <t>Modifiez la date en D2 pour faire glisser la fenêtre d'un mois.</t>
        </is>
      </c>
      <c r="C2" s="63" t="inlineStr">
        <is>
          <t>Date de référence :</t>
        </is>
      </c>
      <c r="D2" s="64">
        <f>TODAY()</f>
        <v/>
      </c>
      <c r="E2" s="63" t="inlineStr">
        <is>
          <t>Fin de période :</t>
        </is>
      </c>
      <c r="F2" s="64">
        <f>D2+30</f>
        <v/>
      </c>
    </row>
    <row r="3">
      <c r="A3" s="65" t="inlineStr">
        <is>
          <t>Dossier</t>
        </is>
      </c>
      <c r="B3" s="65" t="inlineStr">
        <is>
          <t>ID</t>
        </is>
      </c>
      <c r="C3" s="65" t="inlineStr">
        <is>
          <t>Étape</t>
        </is>
      </c>
      <c r="D3" s="65" t="inlineStr">
        <is>
          <t>Début</t>
        </is>
      </c>
      <c r="E3" s="65" t="inlineStr">
        <is>
          <t>Fin</t>
        </is>
      </c>
      <c r="F3" s="65" t="inlineStr">
        <is>
          <t>Statut</t>
        </is>
      </c>
      <c r="G3" s="65" t="inlineStr">
        <is>
          <t>Fait ?</t>
        </is>
      </c>
      <c r="H3" s="65" t="inlineStr">
        <is>
          <t>Période</t>
        </is>
      </c>
      <c r="I3" s="65" t="inlineStr">
        <is>
          <t>Retard</t>
        </is>
      </c>
      <c r="J3" s="65" t="inlineStr">
        <is>
          <t>Date CS</t>
        </is>
      </c>
      <c r="K3" s="65" t="inlineStr">
        <is>
          <t>Date Jury</t>
        </is>
      </c>
    </row>
    <row r="4">
      <c r="A4">
        <f>IF($B4="","",INDEX(Dossiers!$E$4:$E$63,1))</f>
        <v/>
      </c>
      <c r="B4">
        <f>IF(INDEX(Suivi!$B:$B,5)="","",INDEX(Suivi!$B:$B,5))</f>
        <v/>
      </c>
      <c r="C4">
        <f>IF($B4="","",IF(INDEX(Suivi!$D:$D,5)="",INDEX(Suivi!$C:$C,5),INDEX(Suivi!$D:$D,5)))</f>
        <v/>
      </c>
      <c r="D4" s="29">
        <f>IF($B4="","",INDEX(Suivi!$E:$E,5))</f>
        <v/>
      </c>
      <c r="E4" s="29">
        <f>IF($B4="","",INDEX(Suivi!$F:$F,5))</f>
        <v/>
      </c>
      <c r="F4">
        <f>IF($B4="","",INDEX(Suivi!$G:$G,5))</f>
        <v/>
      </c>
      <c r="H4">
        <f>IF(OR($B4="",NOT(ISNUMBER($D4))),"",IF($E4&lt;$D$2,"Passé",IF($D4&gt;$F$2,"À venir","Dans la période")))</f>
        <v/>
      </c>
      <c r="I4">
        <f>IF(OR($B4="",NOT(ISNUMBER($D4))),"",IF(AND($E4&lt;$D$2,$G4&lt;&gt;"X",$F4&lt;&gt;"Réalisé",$F4&lt;&gt;"Clôturé"),"RETARD",""))</f>
        <v/>
      </c>
      <c r="J4" s="29">
        <f>IF($B4="","",IF(INDEX(Dossiers!$F$4:$F$63,1)="","",INDEX(Dossiers!$F$4:$F$63,1)))</f>
        <v/>
      </c>
      <c r="K4" s="29">
        <f>IF($B4="","",IF(INDEX(Dossiers!$G$4:$G$63,1)="","",INDEX(Dossiers!$G$4:$G$63,1)))</f>
        <v/>
      </c>
    </row>
    <row r="5">
      <c r="A5">
        <f>IF($B5="","",INDEX(Dossiers!$E$4:$E$63,1))</f>
        <v/>
      </c>
      <c r="B5">
        <f>IF(INDEX(Suivi!$B:$B,6)="","",INDEX(Suivi!$B:$B,6))</f>
        <v/>
      </c>
      <c r="C5">
        <f>IF($B5="","",IF(INDEX(Suivi!$D:$D,6)="",INDEX(Suivi!$C:$C,6),INDEX(Suivi!$D:$D,6)))</f>
        <v/>
      </c>
      <c r="D5" s="29">
        <f>IF($B5="","",INDEX(Suivi!$E:$E,6))</f>
        <v/>
      </c>
      <c r="E5" s="29">
        <f>IF($B5="","",INDEX(Suivi!$F:$F,6))</f>
        <v/>
      </c>
      <c r="F5">
        <f>IF($B5="","",INDEX(Suivi!$G:$G,6))</f>
        <v/>
      </c>
      <c r="H5">
        <f>IF(OR($B5="",NOT(ISNUMBER($D5))),"",IF($E5&lt;$D$2,"Passé",IF($D5&gt;$F$2,"À venir","Dans la période")))</f>
        <v/>
      </c>
      <c r="I5">
        <f>IF(OR($B5="",NOT(ISNUMBER($D5))),"",IF(AND($E5&lt;$D$2,$G5&lt;&gt;"X",$F5&lt;&gt;"Réalisé",$F5&lt;&gt;"Clôturé"),"RETARD",""))</f>
        <v/>
      </c>
      <c r="J5" s="29">
        <f>IF($B5="","",IF(INDEX(Dossiers!$F$4:$F$63,1)="","",INDEX(Dossiers!$F$4:$F$63,1)))</f>
        <v/>
      </c>
      <c r="K5" s="29">
        <f>IF($B5="","",IF(INDEX(Dossiers!$G$4:$G$63,1)="","",INDEX(Dossiers!$G$4:$G$63,1)))</f>
        <v/>
      </c>
    </row>
    <row r="6">
      <c r="A6">
        <f>IF($B6="","",INDEX(Dossiers!$E$4:$E$63,1))</f>
        <v/>
      </c>
      <c r="B6">
        <f>IF(INDEX(Suivi!$B:$B,7)="","",INDEX(Suivi!$B:$B,7))</f>
        <v/>
      </c>
      <c r="C6">
        <f>IF($B6="","",IF(INDEX(Suivi!$D:$D,7)="",INDEX(Suivi!$C:$C,7),INDEX(Suivi!$D:$D,7)))</f>
        <v/>
      </c>
      <c r="D6" s="29">
        <f>IF($B6="","",INDEX(Suivi!$E:$E,7))</f>
        <v/>
      </c>
      <c r="E6" s="29">
        <f>IF($B6="","",INDEX(Suivi!$F:$F,7))</f>
        <v/>
      </c>
      <c r="F6">
        <f>IF($B6="","",INDEX(Suivi!$G:$G,7))</f>
        <v/>
      </c>
      <c r="H6">
        <f>IF(OR($B6="",NOT(ISNUMBER($D6))),"",IF($E6&lt;$D$2,"Passé",IF($D6&gt;$F$2,"À venir","Dans la période")))</f>
        <v/>
      </c>
      <c r="I6">
        <f>IF(OR($B6="",NOT(ISNUMBER($D6))),"",IF(AND($E6&lt;$D$2,$G6&lt;&gt;"X",$F6&lt;&gt;"Réalisé",$F6&lt;&gt;"Clôturé"),"RETARD",""))</f>
        <v/>
      </c>
      <c r="J6" s="29">
        <f>IF($B6="","",IF(INDEX(Dossiers!$F$4:$F$63,1)="","",INDEX(Dossiers!$F$4:$F$63,1)))</f>
        <v/>
      </c>
      <c r="K6" s="29">
        <f>IF($B6="","",IF(INDEX(Dossiers!$G$4:$G$63,1)="","",INDEX(Dossiers!$G$4:$G$63,1)))</f>
        <v/>
      </c>
    </row>
    <row r="7">
      <c r="A7">
        <f>IF($B7="","",INDEX(Dossiers!$E$4:$E$63,1))</f>
        <v/>
      </c>
      <c r="B7">
        <f>IF(INDEX(Suivi!$B:$B,8)="","",INDEX(Suivi!$B:$B,8))</f>
        <v/>
      </c>
      <c r="C7">
        <f>IF($B7="","",IF(INDEX(Suivi!$D:$D,8)="",INDEX(Suivi!$C:$C,8),INDEX(Suivi!$D:$D,8)))</f>
        <v/>
      </c>
      <c r="D7" s="29">
        <f>IF($B7="","",INDEX(Suivi!$E:$E,8))</f>
        <v/>
      </c>
      <c r="E7" s="29">
        <f>IF($B7="","",INDEX(Suivi!$F:$F,8))</f>
        <v/>
      </c>
      <c r="F7">
        <f>IF($B7="","",INDEX(Suivi!$G:$G,8))</f>
        <v/>
      </c>
      <c r="H7">
        <f>IF(OR($B7="",NOT(ISNUMBER($D7))),"",IF($E7&lt;$D$2,"Passé",IF($D7&gt;$F$2,"À venir","Dans la période")))</f>
        <v/>
      </c>
      <c r="I7">
        <f>IF(OR($B7="",NOT(ISNUMBER($D7))),"",IF(AND($E7&lt;$D$2,$G7&lt;&gt;"X",$F7&lt;&gt;"Réalisé",$F7&lt;&gt;"Clôturé"),"RETARD",""))</f>
        <v/>
      </c>
      <c r="J7" s="29">
        <f>IF($B7="","",IF(INDEX(Dossiers!$F$4:$F$63,1)="","",INDEX(Dossiers!$F$4:$F$63,1)))</f>
        <v/>
      </c>
      <c r="K7" s="29">
        <f>IF($B7="","",IF(INDEX(Dossiers!$G$4:$G$63,1)="","",INDEX(Dossiers!$G$4:$G$63,1)))</f>
        <v/>
      </c>
    </row>
    <row r="8">
      <c r="A8">
        <f>IF($B8="","",INDEX(Dossiers!$E$4:$E$63,1))</f>
        <v/>
      </c>
      <c r="B8">
        <f>IF(INDEX(Suivi!$B:$B,9)="","",INDEX(Suivi!$B:$B,9))</f>
        <v/>
      </c>
      <c r="C8">
        <f>IF($B8="","",IF(INDEX(Suivi!$D:$D,9)="",INDEX(Suivi!$C:$C,9),INDEX(Suivi!$D:$D,9)))</f>
        <v/>
      </c>
      <c r="D8" s="29">
        <f>IF($B8="","",INDEX(Suivi!$E:$E,9))</f>
        <v/>
      </c>
      <c r="E8" s="29">
        <f>IF($B8="","",INDEX(Suivi!$F:$F,9))</f>
        <v/>
      </c>
      <c r="F8">
        <f>IF($B8="","",INDEX(Suivi!$G:$G,9))</f>
        <v/>
      </c>
      <c r="H8">
        <f>IF(OR($B8="",NOT(ISNUMBER($D8))),"",IF($E8&lt;$D$2,"Passé",IF($D8&gt;$F$2,"À venir","Dans la période")))</f>
        <v/>
      </c>
      <c r="I8">
        <f>IF(OR($B8="",NOT(ISNUMBER($D8))),"",IF(AND($E8&lt;$D$2,$G8&lt;&gt;"X",$F8&lt;&gt;"Réalisé",$F8&lt;&gt;"Clôturé"),"RETARD",""))</f>
        <v/>
      </c>
      <c r="J8" s="29">
        <f>IF($B8="","",IF(INDEX(Dossiers!$F$4:$F$63,1)="","",INDEX(Dossiers!$F$4:$F$63,1)))</f>
        <v/>
      </c>
      <c r="K8" s="29">
        <f>IF($B8="","",IF(INDEX(Dossiers!$G$4:$G$63,1)="","",INDEX(Dossiers!$G$4:$G$63,1)))</f>
        <v/>
      </c>
    </row>
    <row r="9">
      <c r="A9">
        <f>IF($B9="","",INDEX(Dossiers!$E$4:$E$63,1))</f>
        <v/>
      </c>
      <c r="B9">
        <f>IF(INDEX(Suivi!$B:$B,10)="","",INDEX(Suivi!$B:$B,10))</f>
        <v/>
      </c>
      <c r="C9">
        <f>IF($B9="","",IF(INDEX(Suivi!$D:$D,10)="",INDEX(Suivi!$C:$C,10),INDEX(Suivi!$D:$D,10)))</f>
        <v/>
      </c>
      <c r="D9" s="29">
        <f>IF($B9="","",INDEX(Suivi!$E:$E,10))</f>
        <v/>
      </c>
      <c r="E9" s="29">
        <f>IF($B9="","",INDEX(Suivi!$F:$F,10))</f>
        <v/>
      </c>
      <c r="F9">
        <f>IF($B9="","",INDEX(Suivi!$G:$G,10))</f>
        <v/>
      </c>
      <c r="H9">
        <f>IF(OR($B9="",NOT(ISNUMBER($D9))),"",IF($E9&lt;$D$2,"Passé",IF($D9&gt;$F$2,"À venir","Dans la période")))</f>
        <v/>
      </c>
      <c r="I9">
        <f>IF(OR($B9="",NOT(ISNUMBER($D9))),"",IF(AND($E9&lt;$D$2,$G9&lt;&gt;"X",$F9&lt;&gt;"Réalisé",$F9&lt;&gt;"Clôturé"),"RETARD",""))</f>
        <v/>
      </c>
      <c r="J9" s="29">
        <f>IF($B9="","",IF(INDEX(Dossiers!$F$4:$F$63,1)="","",INDEX(Dossiers!$F$4:$F$63,1)))</f>
        <v/>
      </c>
      <c r="K9" s="29">
        <f>IF($B9="","",IF(INDEX(Dossiers!$G$4:$G$63,1)="","",INDEX(Dossiers!$G$4:$G$63,1)))</f>
        <v/>
      </c>
    </row>
    <row r="10">
      <c r="A10">
        <f>IF($B10="","",INDEX(Dossiers!$E$4:$E$63,1))</f>
        <v/>
      </c>
      <c r="B10">
        <f>IF(INDEX(Suivi!$B:$B,11)="","",INDEX(Suivi!$B:$B,11))</f>
        <v/>
      </c>
      <c r="C10">
        <f>IF($B10="","",IF(INDEX(Suivi!$D:$D,11)="",INDEX(Suivi!$C:$C,11),INDEX(Suivi!$D:$D,11)))</f>
        <v/>
      </c>
      <c r="D10" s="29">
        <f>IF($B10="","",INDEX(Suivi!$E:$E,11))</f>
        <v/>
      </c>
      <c r="E10" s="29">
        <f>IF($B10="","",INDEX(Suivi!$F:$F,11))</f>
        <v/>
      </c>
      <c r="F10">
        <f>IF($B10="","",INDEX(Suivi!$G:$G,11))</f>
        <v/>
      </c>
      <c r="H10">
        <f>IF(OR($B10="",NOT(ISNUMBER($D10))),"",IF($E10&lt;$D$2,"Passé",IF($D10&gt;$F$2,"À venir","Dans la période")))</f>
        <v/>
      </c>
      <c r="I10">
        <f>IF(OR($B10="",NOT(ISNUMBER($D10))),"",IF(AND($E10&lt;$D$2,$G10&lt;&gt;"X",$F10&lt;&gt;"Réalisé",$F10&lt;&gt;"Clôturé"),"RETARD",""))</f>
        <v/>
      </c>
      <c r="J10" s="29">
        <f>IF($B10="","",IF(INDEX(Dossiers!$F$4:$F$63,1)="","",INDEX(Dossiers!$F$4:$F$63,1)))</f>
        <v/>
      </c>
      <c r="K10" s="29">
        <f>IF($B10="","",IF(INDEX(Dossiers!$G$4:$G$63,1)="","",INDEX(Dossiers!$G$4:$G$63,1)))</f>
        <v/>
      </c>
    </row>
    <row r="11">
      <c r="A11">
        <f>IF($B11="","",INDEX(Dossiers!$E$4:$E$63,1))</f>
        <v/>
      </c>
      <c r="B11">
        <f>IF(INDEX(Suivi!$B:$B,12)="","",INDEX(Suivi!$B:$B,12))</f>
        <v/>
      </c>
      <c r="C11">
        <f>IF($B11="","",IF(INDEX(Suivi!$D:$D,12)="",INDEX(Suivi!$C:$C,12),INDEX(Suivi!$D:$D,12)))</f>
        <v/>
      </c>
      <c r="D11" s="29">
        <f>IF($B11="","",INDEX(Suivi!$E:$E,12))</f>
        <v/>
      </c>
      <c r="E11" s="29">
        <f>IF($B11="","",INDEX(Suivi!$F:$F,12))</f>
        <v/>
      </c>
      <c r="F11">
        <f>IF($B11="","",INDEX(Suivi!$G:$G,12))</f>
        <v/>
      </c>
      <c r="H11">
        <f>IF(OR($B11="",NOT(ISNUMBER($D11))),"",IF($E11&lt;$D$2,"Passé",IF($D11&gt;$F$2,"À venir","Dans la période")))</f>
        <v/>
      </c>
      <c r="I11">
        <f>IF(OR($B11="",NOT(ISNUMBER($D11))),"",IF(AND($E11&lt;$D$2,$G11&lt;&gt;"X",$F11&lt;&gt;"Réalisé",$F11&lt;&gt;"Clôturé"),"RETARD",""))</f>
        <v/>
      </c>
      <c r="J11" s="29">
        <f>IF($B11="","",IF(INDEX(Dossiers!$F$4:$F$63,1)="","",INDEX(Dossiers!$F$4:$F$63,1)))</f>
        <v/>
      </c>
      <c r="K11" s="29">
        <f>IF($B11="","",IF(INDEX(Dossiers!$G$4:$G$63,1)="","",INDEX(Dossiers!$G$4:$G$63,1)))</f>
        <v/>
      </c>
    </row>
    <row r="12">
      <c r="A12">
        <f>IF($B12="","",INDEX(Dossiers!$E$4:$E$63,1))</f>
        <v/>
      </c>
      <c r="B12">
        <f>IF(INDEX(Suivi!$B:$B,13)="","",INDEX(Suivi!$B:$B,13))</f>
        <v/>
      </c>
      <c r="C12">
        <f>IF($B12="","",IF(INDEX(Suivi!$D:$D,13)="",INDEX(Suivi!$C:$C,13),INDEX(Suivi!$D:$D,13)))</f>
        <v/>
      </c>
      <c r="D12" s="29">
        <f>IF($B12="","",INDEX(Suivi!$E:$E,13))</f>
        <v/>
      </c>
      <c r="E12" s="29">
        <f>IF($B12="","",INDEX(Suivi!$F:$F,13))</f>
        <v/>
      </c>
      <c r="F12">
        <f>IF($B12="","",INDEX(Suivi!$G:$G,13))</f>
        <v/>
      </c>
      <c r="H12">
        <f>IF(OR($B12="",NOT(ISNUMBER($D12))),"",IF($E12&lt;$D$2,"Passé",IF($D12&gt;$F$2,"À venir","Dans la période")))</f>
        <v/>
      </c>
      <c r="I12">
        <f>IF(OR($B12="",NOT(ISNUMBER($D12))),"",IF(AND($E12&lt;$D$2,$G12&lt;&gt;"X",$F12&lt;&gt;"Réalisé",$F12&lt;&gt;"Clôturé"),"RETARD",""))</f>
        <v/>
      </c>
      <c r="J12" s="29">
        <f>IF($B12="","",IF(INDEX(Dossiers!$F$4:$F$63,1)="","",INDEX(Dossiers!$F$4:$F$63,1)))</f>
        <v/>
      </c>
      <c r="K12" s="29">
        <f>IF($B12="","",IF(INDEX(Dossiers!$G$4:$G$63,1)="","",INDEX(Dossiers!$G$4:$G$63,1)))</f>
        <v/>
      </c>
    </row>
    <row r="13">
      <c r="A13">
        <f>IF($B13="","",INDEX(Dossiers!$E$4:$E$63,1))</f>
        <v/>
      </c>
      <c r="B13">
        <f>IF(INDEX(Suivi!$B:$B,14)="","",INDEX(Suivi!$B:$B,14))</f>
        <v/>
      </c>
      <c r="C13">
        <f>IF($B13="","",IF(INDEX(Suivi!$D:$D,14)="",INDEX(Suivi!$C:$C,14),INDEX(Suivi!$D:$D,14)))</f>
        <v/>
      </c>
      <c r="D13" s="29">
        <f>IF($B13="","",INDEX(Suivi!$E:$E,14))</f>
        <v/>
      </c>
      <c r="E13" s="29">
        <f>IF($B13="","",INDEX(Suivi!$F:$F,14))</f>
        <v/>
      </c>
      <c r="F13">
        <f>IF($B13="","",INDEX(Suivi!$G:$G,14))</f>
        <v/>
      </c>
      <c r="H13">
        <f>IF(OR($B13="",NOT(ISNUMBER($D13))),"",IF($E13&lt;$D$2,"Passé",IF($D13&gt;$F$2,"À venir","Dans la période")))</f>
        <v/>
      </c>
      <c r="I13">
        <f>IF(OR($B13="",NOT(ISNUMBER($D13))),"",IF(AND($E13&lt;$D$2,$G13&lt;&gt;"X",$F13&lt;&gt;"Réalisé",$F13&lt;&gt;"Clôturé"),"RETARD",""))</f>
        <v/>
      </c>
      <c r="J13" s="29">
        <f>IF($B13="","",IF(INDEX(Dossiers!$F$4:$F$63,1)="","",INDEX(Dossiers!$F$4:$F$63,1)))</f>
        <v/>
      </c>
      <c r="K13" s="29">
        <f>IF($B13="","",IF(INDEX(Dossiers!$G$4:$G$63,1)="","",INDEX(Dossiers!$G$4:$G$63,1)))</f>
        <v/>
      </c>
    </row>
    <row r="14">
      <c r="A14">
        <f>IF($B14="","",INDEX(Dossiers!$E$4:$E$63,1))</f>
        <v/>
      </c>
      <c r="B14">
        <f>IF(INDEX(Suivi!$B:$B,15)="","",INDEX(Suivi!$B:$B,15))</f>
        <v/>
      </c>
      <c r="C14">
        <f>IF($B14="","",IF(INDEX(Suivi!$D:$D,15)="",INDEX(Suivi!$C:$C,15),INDEX(Suivi!$D:$D,15)))</f>
        <v/>
      </c>
      <c r="D14" s="29">
        <f>IF($B14="","",INDEX(Suivi!$E:$E,15))</f>
        <v/>
      </c>
      <c r="E14" s="29">
        <f>IF($B14="","",INDEX(Suivi!$F:$F,15))</f>
        <v/>
      </c>
      <c r="F14">
        <f>IF($B14="","",INDEX(Suivi!$G:$G,15))</f>
        <v/>
      </c>
      <c r="H14">
        <f>IF(OR($B14="",NOT(ISNUMBER($D14))),"",IF($E14&lt;$D$2,"Passé",IF($D14&gt;$F$2,"À venir","Dans la période")))</f>
        <v/>
      </c>
      <c r="I14">
        <f>IF(OR($B14="",NOT(ISNUMBER($D14))),"",IF(AND($E14&lt;$D$2,$G14&lt;&gt;"X",$F14&lt;&gt;"Réalisé",$F14&lt;&gt;"Clôturé"),"RETARD",""))</f>
        <v/>
      </c>
      <c r="J14" s="29">
        <f>IF($B14="","",IF(INDEX(Dossiers!$F$4:$F$63,1)="","",INDEX(Dossiers!$F$4:$F$63,1)))</f>
        <v/>
      </c>
      <c r="K14" s="29">
        <f>IF($B14="","",IF(INDEX(Dossiers!$G$4:$G$63,1)="","",INDEX(Dossiers!$G$4:$G$63,1)))</f>
        <v/>
      </c>
    </row>
    <row r="15">
      <c r="A15">
        <f>IF($B15="","",INDEX(Dossiers!$E$4:$E$63,1))</f>
        <v/>
      </c>
      <c r="B15">
        <f>IF(INDEX(Suivi!$B:$B,16)="","",INDEX(Suivi!$B:$B,16))</f>
        <v/>
      </c>
      <c r="C15">
        <f>IF($B15="","",IF(INDEX(Suivi!$D:$D,16)="",INDEX(Suivi!$C:$C,16),INDEX(Suivi!$D:$D,16)))</f>
        <v/>
      </c>
      <c r="D15" s="29">
        <f>IF($B15="","",INDEX(Suivi!$E:$E,16))</f>
        <v/>
      </c>
      <c r="E15" s="29">
        <f>IF($B15="","",INDEX(Suivi!$F:$F,16))</f>
        <v/>
      </c>
      <c r="F15">
        <f>IF($B15="","",INDEX(Suivi!$G:$G,16))</f>
        <v/>
      </c>
      <c r="H15">
        <f>IF(OR($B15="",NOT(ISNUMBER($D15))),"",IF($E15&lt;$D$2,"Passé",IF($D15&gt;$F$2,"À venir","Dans la période")))</f>
        <v/>
      </c>
      <c r="I15">
        <f>IF(OR($B15="",NOT(ISNUMBER($D15))),"",IF(AND($E15&lt;$D$2,$G15&lt;&gt;"X",$F15&lt;&gt;"Réalisé",$F15&lt;&gt;"Clôturé"),"RETARD",""))</f>
        <v/>
      </c>
      <c r="J15" s="29">
        <f>IF($B15="","",IF(INDEX(Dossiers!$F$4:$F$63,1)="","",INDEX(Dossiers!$F$4:$F$63,1)))</f>
        <v/>
      </c>
      <c r="K15" s="29">
        <f>IF($B15="","",IF(INDEX(Dossiers!$G$4:$G$63,1)="","",INDEX(Dossiers!$G$4:$G$63,1)))</f>
        <v/>
      </c>
    </row>
    <row r="16">
      <c r="A16">
        <f>IF($B16="","",INDEX(Dossiers!$E$4:$E$63,1))</f>
        <v/>
      </c>
      <c r="B16">
        <f>IF(INDEX(Suivi!$B:$B,17)="","",INDEX(Suivi!$B:$B,17))</f>
        <v/>
      </c>
      <c r="C16">
        <f>IF($B16="","",IF(INDEX(Suivi!$D:$D,17)="",INDEX(Suivi!$C:$C,17),INDEX(Suivi!$D:$D,17)))</f>
        <v/>
      </c>
      <c r="D16" s="29">
        <f>IF($B16="","",INDEX(Suivi!$E:$E,17))</f>
        <v/>
      </c>
      <c r="E16" s="29">
        <f>IF($B16="","",INDEX(Suivi!$F:$F,17))</f>
        <v/>
      </c>
      <c r="F16">
        <f>IF($B16="","",INDEX(Suivi!$G:$G,17))</f>
        <v/>
      </c>
      <c r="H16">
        <f>IF(OR($B16="",NOT(ISNUMBER($D16))),"",IF($E16&lt;$D$2,"Passé",IF($D16&gt;$F$2,"À venir","Dans la période")))</f>
        <v/>
      </c>
      <c r="I16">
        <f>IF(OR($B16="",NOT(ISNUMBER($D16))),"",IF(AND($E16&lt;$D$2,$G16&lt;&gt;"X",$F16&lt;&gt;"Réalisé",$F16&lt;&gt;"Clôturé"),"RETARD",""))</f>
        <v/>
      </c>
      <c r="J16" s="29">
        <f>IF($B16="","",IF(INDEX(Dossiers!$F$4:$F$63,1)="","",INDEX(Dossiers!$F$4:$F$63,1)))</f>
        <v/>
      </c>
      <c r="K16" s="29">
        <f>IF($B16="","",IF(INDEX(Dossiers!$G$4:$G$63,1)="","",INDEX(Dossiers!$G$4:$G$63,1)))</f>
        <v/>
      </c>
    </row>
    <row r="17">
      <c r="A17">
        <f>IF($B17="","",INDEX(Dossiers!$E$4:$E$63,1))</f>
        <v/>
      </c>
      <c r="B17">
        <f>IF(INDEX(Suivi!$B:$B,18)="","",INDEX(Suivi!$B:$B,18))</f>
        <v/>
      </c>
      <c r="C17">
        <f>IF($B17="","",IF(INDEX(Suivi!$D:$D,18)="",INDEX(Suivi!$C:$C,18),INDEX(Suivi!$D:$D,18)))</f>
        <v/>
      </c>
      <c r="D17" s="29">
        <f>IF($B17="","",INDEX(Suivi!$E:$E,18))</f>
        <v/>
      </c>
      <c r="E17" s="29">
        <f>IF($B17="","",INDEX(Suivi!$F:$F,18))</f>
        <v/>
      </c>
      <c r="F17">
        <f>IF($B17="","",INDEX(Suivi!$G:$G,18))</f>
        <v/>
      </c>
      <c r="H17">
        <f>IF(OR($B17="",NOT(ISNUMBER($D17))),"",IF($E17&lt;$D$2,"Passé",IF($D17&gt;$F$2,"À venir","Dans la période")))</f>
        <v/>
      </c>
      <c r="I17">
        <f>IF(OR($B17="",NOT(ISNUMBER($D17))),"",IF(AND($E17&lt;$D$2,$G17&lt;&gt;"X",$F17&lt;&gt;"Réalisé",$F17&lt;&gt;"Clôturé"),"RETARD",""))</f>
        <v/>
      </c>
      <c r="J17" s="29">
        <f>IF($B17="","",IF(INDEX(Dossiers!$F$4:$F$63,1)="","",INDEX(Dossiers!$F$4:$F$63,1)))</f>
        <v/>
      </c>
      <c r="K17" s="29">
        <f>IF($B17="","",IF(INDEX(Dossiers!$G$4:$G$63,1)="","",INDEX(Dossiers!$G$4:$G$63,1)))</f>
        <v/>
      </c>
    </row>
    <row r="18">
      <c r="A18">
        <f>IF($B18="","",INDEX(Dossiers!$E$4:$E$63,1))</f>
        <v/>
      </c>
      <c r="B18">
        <f>IF(INDEX(Suivi!$B:$B,19)="","",INDEX(Suivi!$B:$B,19))</f>
        <v/>
      </c>
      <c r="C18">
        <f>IF($B18="","",IF(INDEX(Suivi!$D:$D,19)="",INDEX(Suivi!$C:$C,19),INDEX(Suivi!$D:$D,19)))</f>
        <v/>
      </c>
      <c r="D18" s="29">
        <f>IF($B18="","",INDEX(Suivi!$E:$E,19))</f>
        <v/>
      </c>
      <c r="E18" s="29">
        <f>IF($B18="","",INDEX(Suivi!$F:$F,19))</f>
        <v/>
      </c>
      <c r="F18">
        <f>IF($B18="","",INDEX(Suivi!$G:$G,19))</f>
        <v/>
      </c>
      <c r="H18">
        <f>IF(OR($B18="",NOT(ISNUMBER($D18))),"",IF($E18&lt;$D$2,"Passé",IF($D18&gt;$F$2,"À venir","Dans la période")))</f>
        <v/>
      </c>
      <c r="I18">
        <f>IF(OR($B18="",NOT(ISNUMBER($D18))),"",IF(AND($E18&lt;$D$2,$G18&lt;&gt;"X",$F18&lt;&gt;"Réalisé",$F18&lt;&gt;"Clôturé"),"RETARD",""))</f>
        <v/>
      </c>
      <c r="J18" s="29">
        <f>IF($B18="","",IF(INDEX(Dossiers!$F$4:$F$63,1)="","",INDEX(Dossiers!$F$4:$F$63,1)))</f>
        <v/>
      </c>
      <c r="K18" s="29">
        <f>IF($B18="","",IF(INDEX(Dossiers!$G$4:$G$63,1)="","",INDEX(Dossiers!$G$4:$G$63,1)))</f>
        <v/>
      </c>
    </row>
    <row r="19">
      <c r="A19">
        <f>IF($B19="","",INDEX(Dossiers!$E$4:$E$63,1))</f>
        <v/>
      </c>
      <c r="B19">
        <f>IF(INDEX(Suivi!$B:$B,20)="","",INDEX(Suivi!$B:$B,20))</f>
        <v/>
      </c>
      <c r="C19">
        <f>IF($B19="","",IF(INDEX(Suivi!$D:$D,20)="",INDEX(Suivi!$C:$C,20),INDEX(Suivi!$D:$D,20)))</f>
        <v/>
      </c>
      <c r="D19" s="29">
        <f>IF($B19="","",INDEX(Suivi!$E:$E,20))</f>
        <v/>
      </c>
      <c r="E19" s="29">
        <f>IF($B19="","",INDEX(Suivi!$F:$F,20))</f>
        <v/>
      </c>
      <c r="F19">
        <f>IF($B19="","",INDEX(Suivi!$G:$G,20))</f>
        <v/>
      </c>
      <c r="H19">
        <f>IF(OR($B19="",NOT(ISNUMBER($D19))),"",IF($E19&lt;$D$2,"Passé",IF($D19&gt;$F$2,"À venir","Dans la période")))</f>
        <v/>
      </c>
      <c r="I19">
        <f>IF(OR($B19="",NOT(ISNUMBER($D19))),"",IF(AND($E19&lt;$D$2,$G19&lt;&gt;"X",$F19&lt;&gt;"Réalisé",$F19&lt;&gt;"Clôturé"),"RETARD",""))</f>
        <v/>
      </c>
      <c r="J19" s="29">
        <f>IF($B19="","",IF(INDEX(Dossiers!$F$4:$F$63,1)="","",INDEX(Dossiers!$F$4:$F$63,1)))</f>
        <v/>
      </c>
      <c r="K19" s="29">
        <f>IF($B19="","",IF(INDEX(Dossiers!$G$4:$G$63,1)="","",INDEX(Dossiers!$G$4:$G$63,1)))</f>
        <v/>
      </c>
    </row>
    <row r="20">
      <c r="A20">
        <f>IF($B20="","",INDEX(Dossiers!$E$4:$E$63,1))</f>
        <v/>
      </c>
      <c r="B20">
        <f>IF(INDEX(Suivi!$B:$B,21)="","",INDEX(Suivi!$B:$B,21))</f>
        <v/>
      </c>
      <c r="C20">
        <f>IF($B20="","",IF(INDEX(Suivi!$D:$D,21)="",INDEX(Suivi!$C:$C,21),INDEX(Suivi!$D:$D,21)))</f>
        <v/>
      </c>
      <c r="D20" s="29">
        <f>IF($B20="","",INDEX(Suivi!$E:$E,21))</f>
        <v/>
      </c>
      <c r="E20" s="29">
        <f>IF($B20="","",INDEX(Suivi!$F:$F,21))</f>
        <v/>
      </c>
      <c r="F20">
        <f>IF($B20="","",INDEX(Suivi!$G:$G,21))</f>
        <v/>
      </c>
      <c r="H20">
        <f>IF(OR($B20="",NOT(ISNUMBER($D20))),"",IF($E20&lt;$D$2,"Passé",IF($D20&gt;$F$2,"À venir","Dans la période")))</f>
        <v/>
      </c>
      <c r="I20">
        <f>IF(OR($B20="",NOT(ISNUMBER($D20))),"",IF(AND($E20&lt;$D$2,$G20&lt;&gt;"X",$F20&lt;&gt;"Réalisé",$F20&lt;&gt;"Clôturé"),"RETARD",""))</f>
        <v/>
      </c>
      <c r="J20" s="29">
        <f>IF($B20="","",IF(INDEX(Dossiers!$F$4:$F$63,1)="","",INDEX(Dossiers!$F$4:$F$63,1)))</f>
        <v/>
      </c>
      <c r="K20" s="29">
        <f>IF($B20="","",IF(INDEX(Dossiers!$G$4:$G$63,1)="","",INDEX(Dossiers!$G$4:$G$63,1)))</f>
        <v/>
      </c>
    </row>
    <row r="21">
      <c r="A21">
        <f>IF($B21="","",INDEX(Dossiers!$E$4:$E$63,1))</f>
        <v/>
      </c>
      <c r="B21">
        <f>IF(INDEX(Suivi!$B:$B,22)="","",INDEX(Suivi!$B:$B,22))</f>
        <v/>
      </c>
      <c r="C21">
        <f>IF($B21="","",IF(INDEX(Suivi!$D:$D,22)="",INDEX(Suivi!$C:$C,22),INDEX(Suivi!$D:$D,22)))</f>
        <v/>
      </c>
      <c r="D21" s="29">
        <f>IF($B21="","",INDEX(Suivi!$E:$E,22))</f>
        <v/>
      </c>
      <c r="E21" s="29">
        <f>IF($B21="","",INDEX(Suivi!$F:$F,22))</f>
        <v/>
      </c>
      <c r="F21">
        <f>IF($B21="","",INDEX(Suivi!$G:$G,22))</f>
        <v/>
      </c>
      <c r="H21">
        <f>IF(OR($B21="",NOT(ISNUMBER($D21))),"",IF($E21&lt;$D$2,"Passé",IF($D21&gt;$F$2,"À venir","Dans la période")))</f>
        <v/>
      </c>
      <c r="I21">
        <f>IF(OR($B21="",NOT(ISNUMBER($D21))),"",IF(AND($E21&lt;$D$2,$G21&lt;&gt;"X",$F21&lt;&gt;"Réalisé",$F21&lt;&gt;"Clôturé"),"RETARD",""))</f>
        <v/>
      </c>
      <c r="J21" s="29">
        <f>IF($B21="","",IF(INDEX(Dossiers!$F$4:$F$63,1)="","",INDEX(Dossiers!$F$4:$F$63,1)))</f>
        <v/>
      </c>
      <c r="K21" s="29">
        <f>IF($B21="","",IF(INDEX(Dossiers!$G$4:$G$63,1)="","",INDEX(Dossiers!$G$4:$G$63,1)))</f>
        <v/>
      </c>
    </row>
    <row r="22">
      <c r="A22">
        <f>IF($B22="","",INDEX(Dossiers!$E$4:$E$63,1))</f>
        <v/>
      </c>
      <c r="B22">
        <f>IF(INDEX(Suivi!$B:$B,23)="","",INDEX(Suivi!$B:$B,23))</f>
        <v/>
      </c>
      <c r="C22">
        <f>IF($B22="","",IF(INDEX(Suivi!$D:$D,23)="",INDEX(Suivi!$C:$C,23),INDEX(Suivi!$D:$D,23)))</f>
        <v/>
      </c>
      <c r="D22" s="29">
        <f>IF($B22="","",INDEX(Suivi!$E:$E,23))</f>
        <v/>
      </c>
      <c r="E22" s="29">
        <f>IF($B22="","",INDEX(Suivi!$F:$F,23))</f>
        <v/>
      </c>
      <c r="F22">
        <f>IF($B22="","",INDEX(Suivi!$G:$G,23))</f>
        <v/>
      </c>
      <c r="H22">
        <f>IF(OR($B22="",NOT(ISNUMBER($D22))),"",IF($E22&lt;$D$2,"Passé",IF($D22&gt;$F$2,"À venir","Dans la période")))</f>
        <v/>
      </c>
      <c r="I22">
        <f>IF(OR($B22="",NOT(ISNUMBER($D22))),"",IF(AND($E22&lt;$D$2,$G22&lt;&gt;"X",$F22&lt;&gt;"Réalisé",$F22&lt;&gt;"Clôturé"),"RETARD",""))</f>
        <v/>
      </c>
      <c r="J22" s="29">
        <f>IF($B22="","",IF(INDEX(Dossiers!$F$4:$F$63,1)="","",INDEX(Dossiers!$F$4:$F$63,1)))</f>
        <v/>
      </c>
      <c r="K22" s="29">
        <f>IF($B22="","",IF(INDEX(Dossiers!$G$4:$G$63,1)="","",INDEX(Dossiers!$G$4:$G$63,1)))</f>
        <v/>
      </c>
    </row>
    <row r="23">
      <c r="A23">
        <f>IF($B23="","",INDEX(Dossiers!$E$4:$E$63,1))</f>
        <v/>
      </c>
      <c r="B23">
        <f>IF(INDEX(Suivi!$B:$B,24)="","",INDEX(Suivi!$B:$B,24))</f>
        <v/>
      </c>
      <c r="C23">
        <f>IF($B23="","",IF(INDEX(Suivi!$D:$D,24)="",INDEX(Suivi!$C:$C,24),INDEX(Suivi!$D:$D,24)))</f>
        <v/>
      </c>
      <c r="D23" s="29">
        <f>IF($B23="","",INDEX(Suivi!$E:$E,24))</f>
        <v/>
      </c>
      <c r="E23" s="29">
        <f>IF($B23="","",INDEX(Suivi!$F:$F,24))</f>
        <v/>
      </c>
      <c r="F23">
        <f>IF($B23="","",INDEX(Suivi!$G:$G,24))</f>
        <v/>
      </c>
      <c r="H23">
        <f>IF(OR($B23="",NOT(ISNUMBER($D23))),"",IF($E23&lt;$D$2,"Passé",IF($D23&gt;$F$2,"À venir","Dans la période")))</f>
        <v/>
      </c>
      <c r="I23">
        <f>IF(OR($B23="",NOT(ISNUMBER($D23))),"",IF(AND($E23&lt;$D$2,$G23&lt;&gt;"X",$F23&lt;&gt;"Réalisé",$F23&lt;&gt;"Clôturé"),"RETARD",""))</f>
        <v/>
      </c>
      <c r="J23" s="29">
        <f>IF($B23="","",IF(INDEX(Dossiers!$F$4:$F$63,1)="","",INDEX(Dossiers!$F$4:$F$63,1)))</f>
        <v/>
      </c>
      <c r="K23" s="29">
        <f>IF($B23="","",IF(INDEX(Dossiers!$G$4:$G$63,1)="","",INDEX(Dossiers!$G$4:$G$63,1)))</f>
        <v/>
      </c>
    </row>
    <row r="24">
      <c r="A24">
        <f>IF($B24="","",INDEX(Dossiers!$E$4:$E$63,1))</f>
        <v/>
      </c>
      <c r="B24">
        <f>IF(INDEX(Suivi!$B:$B,25)="","",INDEX(Suivi!$B:$B,25))</f>
        <v/>
      </c>
      <c r="C24">
        <f>IF($B24="","",IF(INDEX(Suivi!$D:$D,25)="",INDEX(Suivi!$C:$C,25),INDEX(Suivi!$D:$D,25)))</f>
        <v/>
      </c>
      <c r="D24" s="29">
        <f>IF($B24="","",INDEX(Suivi!$E:$E,25))</f>
        <v/>
      </c>
      <c r="E24" s="29">
        <f>IF($B24="","",INDEX(Suivi!$F:$F,25))</f>
        <v/>
      </c>
      <c r="F24">
        <f>IF($B24="","",INDEX(Suivi!$G:$G,25))</f>
        <v/>
      </c>
      <c r="H24">
        <f>IF(OR($B24="",NOT(ISNUMBER($D24))),"",IF($E24&lt;$D$2,"Passé",IF($D24&gt;$F$2,"À venir","Dans la période")))</f>
        <v/>
      </c>
      <c r="I24">
        <f>IF(OR($B24="",NOT(ISNUMBER($D24))),"",IF(AND($E24&lt;$D$2,$G24&lt;&gt;"X",$F24&lt;&gt;"Réalisé",$F24&lt;&gt;"Clôturé"),"RETARD",""))</f>
        <v/>
      </c>
      <c r="J24" s="29">
        <f>IF($B24="","",IF(INDEX(Dossiers!$F$4:$F$63,1)="","",INDEX(Dossiers!$F$4:$F$63,1)))</f>
        <v/>
      </c>
      <c r="K24" s="29">
        <f>IF($B24="","",IF(INDEX(Dossiers!$G$4:$G$63,1)="","",INDEX(Dossiers!$G$4:$G$63,1)))</f>
        <v/>
      </c>
    </row>
    <row r="25">
      <c r="A25">
        <f>IF($B25="","",INDEX(Dossiers!$E$4:$E$63,1))</f>
        <v/>
      </c>
      <c r="B25">
        <f>IF(INDEX(Suivi!$B:$B,26)="","",INDEX(Suivi!$B:$B,26))</f>
        <v/>
      </c>
      <c r="C25">
        <f>IF($B25="","",IF(INDEX(Suivi!$D:$D,26)="",INDEX(Suivi!$C:$C,26),INDEX(Suivi!$D:$D,26)))</f>
        <v/>
      </c>
      <c r="D25" s="29">
        <f>IF($B25="","",INDEX(Suivi!$E:$E,26))</f>
        <v/>
      </c>
      <c r="E25" s="29">
        <f>IF($B25="","",INDEX(Suivi!$F:$F,26))</f>
        <v/>
      </c>
      <c r="F25">
        <f>IF($B25="","",INDEX(Suivi!$G:$G,26))</f>
        <v/>
      </c>
      <c r="H25">
        <f>IF(OR($B25="",NOT(ISNUMBER($D25))),"",IF($E25&lt;$D$2,"Passé",IF($D25&gt;$F$2,"À venir","Dans la période")))</f>
        <v/>
      </c>
      <c r="I25">
        <f>IF(OR($B25="",NOT(ISNUMBER($D25))),"",IF(AND($E25&lt;$D$2,$G25&lt;&gt;"X",$F25&lt;&gt;"Réalisé",$F25&lt;&gt;"Clôturé"),"RETARD",""))</f>
        <v/>
      </c>
      <c r="J25" s="29">
        <f>IF($B25="","",IF(INDEX(Dossiers!$F$4:$F$63,1)="","",INDEX(Dossiers!$F$4:$F$63,1)))</f>
        <v/>
      </c>
      <c r="K25" s="29">
        <f>IF($B25="","",IF(INDEX(Dossiers!$G$4:$G$63,1)="","",INDEX(Dossiers!$G$4:$G$63,1)))</f>
        <v/>
      </c>
    </row>
    <row r="26">
      <c r="A26">
        <f>IF($B26="","",INDEX(Dossiers!$E$4:$E$63,1))</f>
        <v/>
      </c>
      <c r="B26">
        <f>IF(INDEX(Suivi!$B:$B,27)="","",INDEX(Suivi!$B:$B,27))</f>
        <v/>
      </c>
      <c r="C26">
        <f>IF($B26="","",IF(INDEX(Suivi!$D:$D,27)="",INDEX(Suivi!$C:$C,27),INDEX(Suivi!$D:$D,27)))</f>
        <v/>
      </c>
      <c r="D26" s="29">
        <f>IF($B26="","",INDEX(Suivi!$E:$E,27))</f>
        <v/>
      </c>
      <c r="E26" s="29">
        <f>IF($B26="","",INDEX(Suivi!$F:$F,27))</f>
        <v/>
      </c>
      <c r="F26">
        <f>IF($B26="","",INDEX(Suivi!$G:$G,27))</f>
        <v/>
      </c>
      <c r="H26">
        <f>IF(OR($B26="",NOT(ISNUMBER($D26))),"",IF($E26&lt;$D$2,"Passé",IF($D26&gt;$F$2,"À venir","Dans la période")))</f>
        <v/>
      </c>
      <c r="I26">
        <f>IF(OR($B26="",NOT(ISNUMBER($D26))),"",IF(AND($E26&lt;$D$2,$G26&lt;&gt;"X",$F26&lt;&gt;"Réalisé",$F26&lt;&gt;"Clôturé"),"RETARD",""))</f>
        <v/>
      </c>
      <c r="J26" s="29">
        <f>IF($B26="","",IF(INDEX(Dossiers!$F$4:$F$63,1)="","",INDEX(Dossiers!$F$4:$F$63,1)))</f>
        <v/>
      </c>
      <c r="K26" s="29">
        <f>IF($B26="","",IF(INDEX(Dossiers!$G$4:$G$63,1)="","",INDEX(Dossiers!$G$4:$G$63,1)))</f>
        <v/>
      </c>
    </row>
    <row r="27">
      <c r="A27">
        <f>IF($B27="","",INDEX(Dossiers!$E$4:$E$63,1))</f>
        <v/>
      </c>
      <c r="B27">
        <f>IF(INDEX(Suivi!$B:$B,28)="","",INDEX(Suivi!$B:$B,28))</f>
        <v/>
      </c>
      <c r="C27">
        <f>IF($B27="","",IF(INDEX(Suivi!$D:$D,28)="",INDEX(Suivi!$C:$C,28),INDEX(Suivi!$D:$D,28)))</f>
        <v/>
      </c>
      <c r="D27" s="29">
        <f>IF($B27="","",INDEX(Suivi!$E:$E,28))</f>
        <v/>
      </c>
      <c r="E27" s="29">
        <f>IF($B27="","",INDEX(Suivi!$F:$F,28))</f>
        <v/>
      </c>
      <c r="F27">
        <f>IF($B27="","",INDEX(Suivi!$G:$G,28))</f>
        <v/>
      </c>
      <c r="H27">
        <f>IF(OR($B27="",NOT(ISNUMBER($D27))),"",IF($E27&lt;$D$2,"Passé",IF($D27&gt;$F$2,"À venir","Dans la période")))</f>
        <v/>
      </c>
      <c r="I27">
        <f>IF(OR($B27="",NOT(ISNUMBER($D27))),"",IF(AND($E27&lt;$D$2,$G27&lt;&gt;"X",$F27&lt;&gt;"Réalisé",$F27&lt;&gt;"Clôturé"),"RETARD",""))</f>
        <v/>
      </c>
      <c r="J27" s="29">
        <f>IF($B27="","",IF(INDEX(Dossiers!$F$4:$F$63,1)="","",INDEX(Dossiers!$F$4:$F$63,1)))</f>
        <v/>
      </c>
      <c r="K27" s="29">
        <f>IF($B27="","",IF(INDEX(Dossiers!$G$4:$G$63,1)="","",INDEX(Dossiers!$G$4:$G$63,1)))</f>
        <v/>
      </c>
    </row>
    <row r="28">
      <c r="A28">
        <f>IF($B28="","",INDEX(Dossiers!$E$4:$E$63,1))</f>
        <v/>
      </c>
      <c r="B28">
        <f>IF(INDEX(Suivi!$B:$B,29)="","",INDEX(Suivi!$B:$B,29))</f>
        <v/>
      </c>
      <c r="C28">
        <f>IF($B28="","",IF(INDEX(Suivi!$D:$D,29)="",INDEX(Suivi!$C:$C,29),INDEX(Suivi!$D:$D,29)))</f>
        <v/>
      </c>
      <c r="D28" s="29">
        <f>IF($B28="","",INDEX(Suivi!$E:$E,29))</f>
        <v/>
      </c>
      <c r="E28" s="29">
        <f>IF($B28="","",INDEX(Suivi!$F:$F,29))</f>
        <v/>
      </c>
      <c r="F28">
        <f>IF($B28="","",INDEX(Suivi!$G:$G,29))</f>
        <v/>
      </c>
      <c r="H28">
        <f>IF(OR($B28="",NOT(ISNUMBER($D28))),"",IF($E28&lt;$D$2,"Passé",IF($D28&gt;$F$2,"À venir","Dans la période")))</f>
        <v/>
      </c>
      <c r="I28">
        <f>IF(OR($B28="",NOT(ISNUMBER($D28))),"",IF(AND($E28&lt;$D$2,$G28&lt;&gt;"X",$F28&lt;&gt;"Réalisé",$F28&lt;&gt;"Clôturé"),"RETARD",""))</f>
        <v/>
      </c>
      <c r="J28" s="29">
        <f>IF($B28="","",IF(INDEX(Dossiers!$F$4:$F$63,1)="","",INDEX(Dossiers!$F$4:$F$63,1)))</f>
        <v/>
      </c>
      <c r="K28" s="29">
        <f>IF($B28="","",IF(INDEX(Dossiers!$G$4:$G$63,1)="","",INDEX(Dossiers!$G$4:$G$63,1)))</f>
        <v/>
      </c>
    </row>
    <row r="29">
      <c r="A29">
        <f>IF($B29="","",INDEX(Dossiers!$E$4:$E$63,1))</f>
        <v/>
      </c>
      <c r="B29">
        <f>IF(INDEX(Suivi!$B:$B,30)="","",INDEX(Suivi!$B:$B,30))</f>
        <v/>
      </c>
      <c r="C29">
        <f>IF($B29="","",IF(INDEX(Suivi!$D:$D,30)="",INDEX(Suivi!$C:$C,30),INDEX(Suivi!$D:$D,30)))</f>
        <v/>
      </c>
      <c r="D29" s="29">
        <f>IF($B29="","",INDEX(Suivi!$E:$E,30))</f>
        <v/>
      </c>
      <c r="E29" s="29">
        <f>IF($B29="","",INDEX(Suivi!$F:$F,30))</f>
        <v/>
      </c>
      <c r="F29">
        <f>IF($B29="","",INDEX(Suivi!$G:$G,30))</f>
        <v/>
      </c>
      <c r="H29">
        <f>IF(OR($B29="",NOT(ISNUMBER($D29))),"",IF($E29&lt;$D$2,"Passé",IF($D29&gt;$F$2,"À venir","Dans la période")))</f>
        <v/>
      </c>
      <c r="I29">
        <f>IF(OR($B29="",NOT(ISNUMBER($D29))),"",IF(AND($E29&lt;$D$2,$G29&lt;&gt;"X",$F29&lt;&gt;"Réalisé",$F29&lt;&gt;"Clôturé"),"RETARD",""))</f>
        <v/>
      </c>
      <c r="J29" s="29">
        <f>IF($B29="","",IF(INDEX(Dossiers!$F$4:$F$63,1)="","",INDEX(Dossiers!$F$4:$F$63,1)))</f>
        <v/>
      </c>
      <c r="K29" s="29">
        <f>IF($B29="","",IF(INDEX(Dossiers!$G$4:$G$63,1)="","",INDEX(Dossiers!$G$4:$G$63,1)))</f>
        <v/>
      </c>
    </row>
    <row r="30">
      <c r="A30">
        <f>IF($B30="","",INDEX(Dossiers!$E$4:$E$63,1))</f>
        <v/>
      </c>
      <c r="B30">
        <f>IF(INDEX(Suivi!$B:$B,31)="","",INDEX(Suivi!$B:$B,31))</f>
        <v/>
      </c>
      <c r="C30">
        <f>IF($B30="","",IF(INDEX(Suivi!$D:$D,31)="",INDEX(Suivi!$C:$C,31),INDEX(Suivi!$D:$D,31)))</f>
        <v/>
      </c>
      <c r="D30" s="29">
        <f>IF($B30="","",INDEX(Suivi!$E:$E,31))</f>
        <v/>
      </c>
      <c r="E30" s="29">
        <f>IF($B30="","",INDEX(Suivi!$F:$F,31))</f>
        <v/>
      </c>
      <c r="F30">
        <f>IF($B30="","",INDEX(Suivi!$G:$G,31))</f>
        <v/>
      </c>
      <c r="H30">
        <f>IF(OR($B30="",NOT(ISNUMBER($D30))),"",IF($E30&lt;$D$2,"Passé",IF($D30&gt;$F$2,"À venir","Dans la période")))</f>
        <v/>
      </c>
      <c r="I30">
        <f>IF(OR($B30="",NOT(ISNUMBER($D30))),"",IF(AND($E30&lt;$D$2,$G30&lt;&gt;"X",$F30&lt;&gt;"Réalisé",$F30&lt;&gt;"Clôturé"),"RETARD",""))</f>
        <v/>
      </c>
      <c r="J30" s="29">
        <f>IF($B30="","",IF(INDEX(Dossiers!$F$4:$F$63,1)="","",INDEX(Dossiers!$F$4:$F$63,1)))</f>
        <v/>
      </c>
      <c r="K30" s="29">
        <f>IF($B30="","",IF(INDEX(Dossiers!$G$4:$G$63,1)="","",INDEX(Dossiers!$G$4:$G$63,1)))</f>
        <v/>
      </c>
    </row>
    <row r="31">
      <c r="A31">
        <f>IF($B31="","",INDEX(Dossiers!$E$4:$E$63,1))</f>
        <v/>
      </c>
      <c r="B31">
        <f>IF(INDEX(Suivi!$B:$B,32)="","",INDEX(Suivi!$B:$B,32))</f>
        <v/>
      </c>
      <c r="C31">
        <f>IF($B31="","",IF(INDEX(Suivi!$D:$D,32)="",INDEX(Suivi!$C:$C,32),INDEX(Suivi!$D:$D,32)))</f>
        <v/>
      </c>
      <c r="D31" s="29">
        <f>IF($B31="","",INDEX(Suivi!$E:$E,32))</f>
        <v/>
      </c>
      <c r="E31" s="29">
        <f>IF($B31="","",INDEX(Suivi!$F:$F,32))</f>
        <v/>
      </c>
      <c r="F31">
        <f>IF($B31="","",INDEX(Suivi!$G:$G,32))</f>
        <v/>
      </c>
      <c r="H31">
        <f>IF(OR($B31="",NOT(ISNUMBER($D31))),"",IF($E31&lt;$D$2,"Passé",IF($D31&gt;$F$2,"À venir","Dans la période")))</f>
        <v/>
      </c>
      <c r="I31">
        <f>IF(OR($B31="",NOT(ISNUMBER($D31))),"",IF(AND($E31&lt;$D$2,$G31&lt;&gt;"X",$F31&lt;&gt;"Réalisé",$F31&lt;&gt;"Clôturé"),"RETARD",""))</f>
        <v/>
      </c>
      <c r="J31" s="29">
        <f>IF($B31="","",IF(INDEX(Dossiers!$F$4:$F$63,1)="","",INDEX(Dossiers!$F$4:$F$63,1)))</f>
        <v/>
      </c>
      <c r="K31" s="29">
        <f>IF($B31="","",IF(INDEX(Dossiers!$G$4:$G$63,1)="","",INDEX(Dossiers!$G$4:$G$63,1)))</f>
        <v/>
      </c>
    </row>
    <row r="32">
      <c r="A32">
        <f>IF($B32="","",INDEX(Dossiers!$E$4:$E$63,1))</f>
        <v/>
      </c>
      <c r="B32">
        <f>IF(INDEX(Suivi!$B:$B,33)="","",INDEX(Suivi!$B:$B,33))</f>
        <v/>
      </c>
      <c r="C32">
        <f>IF($B32="","",IF(INDEX(Suivi!$D:$D,33)="",INDEX(Suivi!$C:$C,33),INDEX(Suivi!$D:$D,33)))</f>
        <v/>
      </c>
      <c r="D32" s="29">
        <f>IF($B32="","",INDEX(Suivi!$E:$E,33))</f>
        <v/>
      </c>
      <c r="E32" s="29">
        <f>IF($B32="","",INDEX(Suivi!$F:$F,33))</f>
        <v/>
      </c>
      <c r="F32">
        <f>IF($B32="","",INDEX(Suivi!$G:$G,33))</f>
        <v/>
      </c>
      <c r="H32">
        <f>IF(OR($B32="",NOT(ISNUMBER($D32))),"",IF($E32&lt;$D$2,"Passé",IF($D32&gt;$F$2,"À venir","Dans la période")))</f>
        <v/>
      </c>
      <c r="I32">
        <f>IF(OR($B32="",NOT(ISNUMBER($D32))),"",IF(AND($E32&lt;$D$2,$G32&lt;&gt;"X",$F32&lt;&gt;"Réalisé",$F32&lt;&gt;"Clôturé"),"RETARD",""))</f>
        <v/>
      </c>
      <c r="J32" s="29">
        <f>IF($B32="","",IF(INDEX(Dossiers!$F$4:$F$63,1)="","",INDEX(Dossiers!$F$4:$F$63,1)))</f>
        <v/>
      </c>
      <c r="K32" s="29">
        <f>IF($B32="","",IF(INDEX(Dossiers!$G$4:$G$63,1)="","",INDEX(Dossiers!$G$4:$G$63,1)))</f>
        <v/>
      </c>
    </row>
    <row r="33">
      <c r="A33">
        <f>IF($B33="","",INDEX(Dossiers!$E$4:$E$63,1))</f>
        <v/>
      </c>
      <c r="B33">
        <f>IF(INDEX(Suivi!$B:$B,34)="","",INDEX(Suivi!$B:$B,34))</f>
        <v/>
      </c>
      <c r="C33">
        <f>IF($B33="","",IF(INDEX(Suivi!$D:$D,34)="",INDEX(Suivi!$C:$C,34),INDEX(Suivi!$D:$D,34)))</f>
        <v/>
      </c>
      <c r="D33" s="29">
        <f>IF($B33="","",INDEX(Suivi!$E:$E,34))</f>
        <v/>
      </c>
      <c r="E33" s="29">
        <f>IF($B33="","",INDEX(Suivi!$F:$F,34))</f>
        <v/>
      </c>
      <c r="F33">
        <f>IF($B33="","",INDEX(Suivi!$G:$G,34))</f>
        <v/>
      </c>
      <c r="H33">
        <f>IF(OR($B33="",NOT(ISNUMBER($D33))),"",IF($E33&lt;$D$2,"Passé",IF($D33&gt;$F$2,"À venir","Dans la période")))</f>
        <v/>
      </c>
      <c r="I33">
        <f>IF(OR($B33="",NOT(ISNUMBER($D33))),"",IF(AND($E33&lt;$D$2,$G33&lt;&gt;"X",$F33&lt;&gt;"Réalisé",$F33&lt;&gt;"Clôturé"),"RETARD",""))</f>
        <v/>
      </c>
      <c r="J33" s="29">
        <f>IF($B33="","",IF(INDEX(Dossiers!$F$4:$F$63,1)="","",INDEX(Dossiers!$F$4:$F$63,1)))</f>
        <v/>
      </c>
      <c r="K33" s="29">
        <f>IF($B33="","",IF(INDEX(Dossiers!$G$4:$G$63,1)="","",INDEX(Dossiers!$G$4:$G$63,1)))</f>
        <v/>
      </c>
    </row>
    <row r="34">
      <c r="A34">
        <f>IF($B34="","",INDEX(Dossiers!$E$4:$E$63,1))</f>
        <v/>
      </c>
      <c r="B34">
        <f>IF(INDEX(Suivi!$B:$B,35)="","",INDEX(Suivi!$B:$B,35))</f>
        <v/>
      </c>
      <c r="C34">
        <f>IF($B34="","",IF(INDEX(Suivi!$D:$D,35)="",INDEX(Suivi!$C:$C,35),INDEX(Suivi!$D:$D,35)))</f>
        <v/>
      </c>
      <c r="D34" s="29">
        <f>IF($B34="","",INDEX(Suivi!$E:$E,35))</f>
        <v/>
      </c>
      <c r="E34" s="29">
        <f>IF($B34="","",INDEX(Suivi!$F:$F,35))</f>
        <v/>
      </c>
      <c r="F34">
        <f>IF($B34="","",INDEX(Suivi!$G:$G,35))</f>
        <v/>
      </c>
      <c r="H34">
        <f>IF(OR($B34="",NOT(ISNUMBER($D34))),"",IF($E34&lt;$D$2,"Passé",IF($D34&gt;$F$2,"À venir","Dans la période")))</f>
        <v/>
      </c>
      <c r="I34">
        <f>IF(OR($B34="",NOT(ISNUMBER($D34))),"",IF(AND($E34&lt;$D$2,$G34&lt;&gt;"X",$F34&lt;&gt;"Réalisé",$F34&lt;&gt;"Clôturé"),"RETARD",""))</f>
        <v/>
      </c>
      <c r="J34" s="29">
        <f>IF($B34="","",IF(INDEX(Dossiers!$F$4:$F$63,1)="","",INDEX(Dossiers!$F$4:$F$63,1)))</f>
        <v/>
      </c>
      <c r="K34" s="29">
        <f>IF($B34="","",IF(INDEX(Dossiers!$G$4:$G$63,1)="","",INDEX(Dossiers!$G$4:$G$63,1)))</f>
        <v/>
      </c>
    </row>
    <row r="35">
      <c r="A35">
        <f>IF($B35="","",INDEX(Dossiers!$E$4:$E$63,1))</f>
        <v/>
      </c>
      <c r="B35">
        <f>IF(INDEX(Suivi!$B:$B,36)="","",INDEX(Suivi!$B:$B,36))</f>
        <v/>
      </c>
      <c r="C35">
        <f>IF($B35="","",IF(INDEX(Suivi!$D:$D,36)="",INDEX(Suivi!$C:$C,36),INDEX(Suivi!$D:$D,36)))</f>
        <v/>
      </c>
      <c r="D35" s="29">
        <f>IF($B35="","",INDEX(Suivi!$E:$E,36))</f>
        <v/>
      </c>
      <c r="E35" s="29">
        <f>IF($B35="","",INDEX(Suivi!$F:$F,36))</f>
        <v/>
      </c>
      <c r="F35">
        <f>IF($B35="","",INDEX(Suivi!$G:$G,36))</f>
        <v/>
      </c>
      <c r="H35">
        <f>IF(OR($B35="",NOT(ISNUMBER($D35))),"",IF($E35&lt;$D$2,"Passé",IF($D35&gt;$F$2,"À venir","Dans la période")))</f>
        <v/>
      </c>
      <c r="I35">
        <f>IF(OR($B35="",NOT(ISNUMBER($D35))),"",IF(AND($E35&lt;$D$2,$G35&lt;&gt;"X",$F35&lt;&gt;"Réalisé",$F35&lt;&gt;"Clôturé"),"RETARD",""))</f>
        <v/>
      </c>
      <c r="J35" s="29">
        <f>IF($B35="","",IF(INDEX(Dossiers!$F$4:$F$63,1)="","",INDEX(Dossiers!$F$4:$F$63,1)))</f>
        <v/>
      </c>
      <c r="K35" s="29">
        <f>IF($B35="","",IF(INDEX(Dossiers!$G$4:$G$63,1)="","",INDEX(Dossiers!$G$4:$G$63,1)))</f>
        <v/>
      </c>
    </row>
    <row r="36">
      <c r="A36">
        <f>IF($B36="","",INDEX(Dossiers!$E$4:$E$63,1))</f>
        <v/>
      </c>
      <c r="B36">
        <f>IF(INDEX(Suivi!$B:$B,37)="","",INDEX(Suivi!$B:$B,37))</f>
        <v/>
      </c>
      <c r="C36">
        <f>IF($B36="","",IF(INDEX(Suivi!$D:$D,37)="",INDEX(Suivi!$C:$C,37),INDEX(Suivi!$D:$D,37)))</f>
        <v/>
      </c>
      <c r="D36" s="29">
        <f>IF($B36="","",INDEX(Suivi!$E:$E,37))</f>
        <v/>
      </c>
      <c r="E36" s="29">
        <f>IF($B36="","",INDEX(Suivi!$F:$F,37))</f>
        <v/>
      </c>
      <c r="F36">
        <f>IF($B36="","",INDEX(Suivi!$G:$G,37))</f>
        <v/>
      </c>
      <c r="H36">
        <f>IF(OR($B36="",NOT(ISNUMBER($D36))),"",IF($E36&lt;$D$2,"Passé",IF($D36&gt;$F$2,"À venir","Dans la période")))</f>
        <v/>
      </c>
      <c r="I36">
        <f>IF(OR($B36="",NOT(ISNUMBER($D36))),"",IF(AND($E36&lt;$D$2,$G36&lt;&gt;"X",$F36&lt;&gt;"Réalisé",$F36&lt;&gt;"Clôturé"),"RETARD",""))</f>
        <v/>
      </c>
      <c r="J36" s="29">
        <f>IF($B36="","",IF(INDEX(Dossiers!$F$4:$F$63,1)="","",INDEX(Dossiers!$F$4:$F$63,1)))</f>
        <v/>
      </c>
      <c r="K36" s="29">
        <f>IF($B36="","",IF(INDEX(Dossiers!$G$4:$G$63,1)="","",INDEX(Dossiers!$G$4:$G$63,1)))</f>
        <v/>
      </c>
    </row>
    <row r="37">
      <c r="A37">
        <f>IF($B37="","",INDEX(Dossiers!$E$4:$E$63,1))</f>
        <v/>
      </c>
      <c r="B37">
        <f>IF(INDEX(Suivi!$B:$B,38)="","",INDEX(Suivi!$B:$B,38))</f>
        <v/>
      </c>
      <c r="C37">
        <f>IF($B37="","",IF(INDEX(Suivi!$D:$D,38)="",INDEX(Suivi!$C:$C,38),INDEX(Suivi!$D:$D,38)))</f>
        <v/>
      </c>
      <c r="D37" s="29">
        <f>IF($B37="","",INDEX(Suivi!$E:$E,38))</f>
        <v/>
      </c>
      <c r="E37" s="29">
        <f>IF($B37="","",INDEX(Suivi!$F:$F,38))</f>
        <v/>
      </c>
      <c r="F37">
        <f>IF($B37="","",INDEX(Suivi!$G:$G,38))</f>
        <v/>
      </c>
      <c r="H37">
        <f>IF(OR($B37="",NOT(ISNUMBER($D37))),"",IF($E37&lt;$D$2,"Passé",IF($D37&gt;$F$2,"À venir","Dans la période")))</f>
        <v/>
      </c>
      <c r="I37">
        <f>IF(OR($B37="",NOT(ISNUMBER($D37))),"",IF(AND($E37&lt;$D$2,$G37&lt;&gt;"X",$F37&lt;&gt;"Réalisé",$F37&lt;&gt;"Clôturé"),"RETARD",""))</f>
        <v/>
      </c>
      <c r="J37" s="29">
        <f>IF($B37="","",IF(INDEX(Dossiers!$F$4:$F$63,1)="","",INDEX(Dossiers!$F$4:$F$63,1)))</f>
        <v/>
      </c>
      <c r="K37" s="29">
        <f>IF($B37="","",IF(INDEX(Dossiers!$G$4:$G$63,1)="","",INDEX(Dossiers!$G$4:$G$63,1)))</f>
        <v/>
      </c>
    </row>
    <row r="38">
      <c r="A38">
        <f>IF($B38="","",INDEX(Dossiers!$E$4:$E$63,1))</f>
        <v/>
      </c>
      <c r="B38">
        <f>IF(INDEX(Suivi!$B:$B,39)="","",INDEX(Suivi!$B:$B,39))</f>
        <v/>
      </c>
      <c r="C38">
        <f>IF($B38="","",IF(INDEX(Suivi!$D:$D,39)="",INDEX(Suivi!$C:$C,39),INDEX(Suivi!$D:$D,39)))</f>
        <v/>
      </c>
      <c r="D38" s="29">
        <f>IF($B38="","",INDEX(Suivi!$E:$E,39))</f>
        <v/>
      </c>
      <c r="E38" s="29">
        <f>IF($B38="","",INDEX(Suivi!$F:$F,39))</f>
        <v/>
      </c>
      <c r="F38">
        <f>IF($B38="","",INDEX(Suivi!$G:$G,39))</f>
        <v/>
      </c>
      <c r="H38">
        <f>IF(OR($B38="",NOT(ISNUMBER($D38))),"",IF($E38&lt;$D$2,"Passé",IF($D38&gt;$F$2,"À venir","Dans la période")))</f>
        <v/>
      </c>
      <c r="I38">
        <f>IF(OR($B38="",NOT(ISNUMBER($D38))),"",IF(AND($E38&lt;$D$2,$G38&lt;&gt;"X",$F38&lt;&gt;"Réalisé",$F38&lt;&gt;"Clôturé"),"RETARD",""))</f>
        <v/>
      </c>
      <c r="J38" s="29">
        <f>IF($B38="","",IF(INDEX(Dossiers!$F$4:$F$63,1)="","",INDEX(Dossiers!$F$4:$F$63,1)))</f>
        <v/>
      </c>
      <c r="K38" s="29">
        <f>IF($B38="","",IF(INDEX(Dossiers!$G$4:$G$63,1)="","",INDEX(Dossiers!$G$4:$G$63,1)))</f>
        <v/>
      </c>
    </row>
    <row r="39">
      <c r="A39">
        <f>IF($B39="","",INDEX(Dossiers!$E$4:$E$63,1))</f>
        <v/>
      </c>
      <c r="B39">
        <f>IF(INDEX(Suivi!$B:$B,40)="","",INDEX(Suivi!$B:$B,40))</f>
        <v/>
      </c>
      <c r="C39">
        <f>IF($B39="","",IF(INDEX(Suivi!$D:$D,40)="",INDEX(Suivi!$C:$C,40),INDEX(Suivi!$D:$D,40)))</f>
        <v/>
      </c>
      <c r="D39" s="29">
        <f>IF($B39="","",INDEX(Suivi!$E:$E,40))</f>
        <v/>
      </c>
      <c r="E39" s="29">
        <f>IF($B39="","",INDEX(Suivi!$F:$F,40))</f>
        <v/>
      </c>
      <c r="F39">
        <f>IF($B39="","",INDEX(Suivi!$G:$G,40))</f>
        <v/>
      </c>
      <c r="H39">
        <f>IF(OR($B39="",NOT(ISNUMBER($D39))),"",IF($E39&lt;$D$2,"Passé",IF($D39&gt;$F$2,"À venir","Dans la période")))</f>
        <v/>
      </c>
      <c r="I39">
        <f>IF(OR($B39="",NOT(ISNUMBER($D39))),"",IF(AND($E39&lt;$D$2,$G39&lt;&gt;"X",$F39&lt;&gt;"Réalisé",$F39&lt;&gt;"Clôturé"),"RETARD",""))</f>
        <v/>
      </c>
      <c r="J39" s="29">
        <f>IF($B39="","",IF(INDEX(Dossiers!$F$4:$F$63,1)="","",INDEX(Dossiers!$F$4:$F$63,1)))</f>
        <v/>
      </c>
      <c r="K39" s="29">
        <f>IF($B39="","",IF(INDEX(Dossiers!$G$4:$G$63,1)="","",INDEX(Dossiers!$G$4:$G$63,1)))</f>
        <v/>
      </c>
    </row>
    <row r="40">
      <c r="A40">
        <f>IF($B40="","",INDEX(Dossiers!$E$4:$E$63,1))</f>
        <v/>
      </c>
      <c r="B40">
        <f>IF(INDEX(Suivi!$B:$B,41)="","",INDEX(Suivi!$B:$B,41))</f>
        <v/>
      </c>
      <c r="C40">
        <f>IF($B40="","",IF(INDEX(Suivi!$D:$D,41)="",INDEX(Suivi!$C:$C,41),INDEX(Suivi!$D:$D,41)))</f>
        <v/>
      </c>
      <c r="D40" s="29">
        <f>IF($B40="","",INDEX(Suivi!$E:$E,41))</f>
        <v/>
      </c>
      <c r="E40" s="29">
        <f>IF($B40="","",INDEX(Suivi!$F:$F,41))</f>
        <v/>
      </c>
      <c r="F40">
        <f>IF($B40="","",INDEX(Suivi!$G:$G,41))</f>
        <v/>
      </c>
      <c r="H40">
        <f>IF(OR($B40="",NOT(ISNUMBER($D40))),"",IF($E40&lt;$D$2,"Passé",IF($D40&gt;$F$2,"À venir","Dans la période")))</f>
        <v/>
      </c>
      <c r="I40">
        <f>IF(OR($B40="",NOT(ISNUMBER($D40))),"",IF(AND($E40&lt;$D$2,$G40&lt;&gt;"X",$F40&lt;&gt;"Réalisé",$F40&lt;&gt;"Clôturé"),"RETARD",""))</f>
        <v/>
      </c>
      <c r="J40" s="29">
        <f>IF($B40="","",IF(INDEX(Dossiers!$F$4:$F$63,1)="","",INDEX(Dossiers!$F$4:$F$63,1)))</f>
        <v/>
      </c>
      <c r="K40" s="29">
        <f>IF($B40="","",IF(INDEX(Dossiers!$G$4:$G$63,1)="","",INDEX(Dossiers!$G$4:$G$63,1)))</f>
        <v/>
      </c>
    </row>
    <row r="41">
      <c r="A41">
        <f>IF($B41="","",INDEX(Dossiers!$E$4:$E$63,1))</f>
        <v/>
      </c>
      <c r="B41">
        <f>IF(INDEX(Suivi!$B:$B,42)="","",INDEX(Suivi!$B:$B,42))</f>
        <v/>
      </c>
      <c r="C41">
        <f>IF($B41="","",IF(INDEX(Suivi!$D:$D,42)="",INDEX(Suivi!$C:$C,42),INDEX(Suivi!$D:$D,42)))</f>
        <v/>
      </c>
      <c r="D41" s="29">
        <f>IF($B41="","",INDEX(Suivi!$E:$E,42))</f>
        <v/>
      </c>
      <c r="E41" s="29">
        <f>IF($B41="","",INDEX(Suivi!$F:$F,42))</f>
        <v/>
      </c>
      <c r="F41">
        <f>IF($B41="","",INDEX(Suivi!$G:$G,42))</f>
        <v/>
      </c>
      <c r="H41">
        <f>IF(OR($B41="",NOT(ISNUMBER($D41))),"",IF($E41&lt;$D$2,"Passé",IF($D41&gt;$F$2,"À venir","Dans la période")))</f>
        <v/>
      </c>
      <c r="I41">
        <f>IF(OR($B41="",NOT(ISNUMBER($D41))),"",IF(AND($E41&lt;$D$2,$G41&lt;&gt;"X",$F41&lt;&gt;"Réalisé",$F41&lt;&gt;"Clôturé"),"RETARD",""))</f>
        <v/>
      </c>
      <c r="J41" s="29">
        <f>IF($B41="","",IF(INDEX(Dossiers!$F$4:$F$63,1)="","",INDEX(Dossiers!$F$4:$F$63,1)))</f>
        <v/>
      </c>
      <c r="K41" s="29">
        <f>IF($B41="","",IF(INDEX(Dossiers!$G$4:$G$63,1)="","",INDEX(Dossiers!$G$4:$G$63,1)))</f>
        <v/>
      </c>
    </row>
    <row r="42">
      <c r="A42">
        <f>IF($B42="","",INDEX(Dossiers!$E$4:$E$63,1))</f>
        <v/>
      </c>
      <c r="B42">
        <f>IF(INDEX(Suivi!$B:$B,43)="","",INDEX(Suivi!$B:$B,43))</f>
        <v/>
      </c>
      <c r="C42">
        <f>IF($B42="","",IF(INDEX(Suivi!$D:$D,43)="",INDEX(Suivi!$C:$C,43),INDEX(Suivi!$D:$D,43)))</f>
        <v/>
      </c>
      <c r="D42" s="29">
        <f>IF($B42="","",INDEX(Suivi!$E:$E,43))</f>
        <v/>
      </c>
      <c r="E42" s="29">
        <f>IF($B42="","",INDEX(Suivi!$F:$F,43))</f>
        <v/>
      </c>
      <c r="F42">
        <f>IF($B42="","",INDEX(Suivi!$G:$G,43))</f>
        <v/>
      </c>
      <c r="H42">
        <f>IF(OR($B42="",NOT(ISNUMBER($D42))),"",IF($E42&lt;$D$2,"Passé",IF($D42&gt;$F$2,"À venir","Dans la période")))</f>
        <v/>
      </c>
      <c r="I42">
        <f>IF(OR($B42="",NOT(ISNUMBER($D42))),"",IF(AND($E42&lt;$D$2,$G42&lt;&gt;"X",$F42&lt;&gt;"Réalisé",$F42&lt;&gt;"Clôturé"),"RETARD",""))</f>
        <v/>
      </c>
      <c r="J42" s="29">
        <f>IF($B42="","",IF(INDEX(Dossiers!$F$4:$F$63,1)="","",INDEX(Dossiers!$F$4:$F$63,1)))</f>
        <v/>
      </c>
      <c r="K42" s="29">
        <f>IF($B42="","",IF(INDEX(Dossiers!$G$4:$G$63,1)="","",INDEX(Dossiers!$G$4:$G$63,1)))</f>
        <v/>
      </c>
    </row>
    <row r="43">
      <c r="A43">
        <f>IF($B43="","",INDEX(Dossiers!$E$4:$E$63,1))</f>
        <v/>
      </c>
      <c r="B43">
        <f>IF(INDEX(Suivi!$B:$B,44)="","",INDEX(Suivi!$B:$B,44))</f>
        <v/>
      </c>
      <c r="C43">
        <f>IF($B43="","",IF(INDEX(Suivi!$D:$D,44)="",INDEX(Suivi!$C:$C,44),INDEX(Suivi!$D:$D,44)))</f>
        <v/>
      </c>
      <c r="D43" s="29">
        <f>IF($B43="","",INDEX(Suivi!$E:$E,44))</f>
        <v/>
      </c>
      <c r="E43" s="29">
        <f>IF($B43="","",INDEX(Suivi!$F:$F,44))</f>
        <v/>
      </c>
      <c r="F43">
        <f>IF($B43="","",INDEX(Suivi!$G:$G,44))</f>
        <v/>
      </c>
      <c r="H43">
        <f>IF(OR($B43="",NOT(ISNUMBER($D43))),"",IF($E43&lt;$D$2,"Passé",IF($D43&gt;$F$2,"À venir","Dans la période")))</f>
        <v/>
      </c>
      <c r="I43">
        <f>IF(OR($B43="",NOT(ISNUMBER($D43))),"",IF(AND($E43&lt;$D$2,$G43&lt;&gt;"X",$F43&lt;&gt;"Réalisé",$F43&lt;&gt;"Clôturé"),"RETARD",""))</f>
        <v/>
      </c>
      <c r="J43" s="29">
        <f>IF($B43="","",IF(INDEX(Dossiers!$F$4:$F$63,1)="","",INDEX(Dossiers!$F$4:$F$63,1)))</f>
        <v/>
      </c>
      <c r="K43" s="29">
        <f>IF($B43="","",IF(INDEX(Dossiers!$G$4:$G$63,1)="","",INDEX(Dossiers!$G$4:$G$63,1)))</f>
        <v/>
      </c>
    </row>
    <row r="44">
      <c r="A44">
        <f>IF($B44="","",INDEX(Dossiers!$E$4:$E$63,1))</f>
        <v/>
      </c>
      <c r="B44">
        <f>IF(INDEX(Suivi!$B:$B,45)="","",INDEX(Suivi!$B:$B,45))</f>
        <v/>
      </c>
      <c r="C44">
        <f>IF($B44="","",IF(INDEX(Suivi!$D:$D,45)="",INDEX(Suivi!$C:$C,45),INDEX(Suivi!$D:$D,45)))</f>
        <v/>
      </c>
      <c r="D44" s="29">
        <f>IF($B44="","",INDEX(Suivi!$E:$E,45))</f>
        <v/>
      </c>
      <c r="E44" s="29">
        <f>IF($B44="","",INDEX(Suivi!$F:$F,45))</f>
        <v/>
      </c>
      <c r="F44">
        <f>IF($B44="","",INDEX(Suivi!$G:$G,45))</f>
        <v/>
      </c>
      <c r="H44">
        <f>IF(OR($B44="",NOT(ISNUMBER($D44))),"",IF($E44&lt;$D$2,"Passé",IF($D44&gt;$F$2,"À venir","Dans la période")))</f>
        <v/>
      </c>
      <c r="I44">
        <f>IF(OR($B44="",NOT(ISNUMBER($D44))),"",IF(AND($E44&lt;$D$2,$G44&lt;&gt;"X",$F44&lt;&gt;"Réalisé",$F44&lt;&gt;"Clôturé"),"RETARD",""))</f>
        <v/>
      </c>
      <c r="J44" s="29">
        <f>IF($B44="","",IF(INDEX(Dossiers!$F$4:$F$63,1)="","",INDEX(Dossiers!$F$4:$F$63,1)))</f>
        <v/>
      </c>
      <c r="K44" s="29">
        <f>IF($B44="","",IF(INDEX(Dossiers!$G$4:$G$63,1)="","",INDEX(Dossiers!$G$4:$G$63,1)))</f>
        <v/>
      </c>
    </row>
    <row r="45">
      <c r="A45">
        <f>IF($B45="","",INDEX(Dossiers!$E$4:$E$63,1))</f>
        <v/>
      </c>
      <c r="B45">
        <f>IF(INDEX(Suivi!$B:$B,46)="","",INDEX(Suivi!$B:$B,46))</f>
        <v/>
      </c>
      <c r="C45">
        <f>IF($B45="","",IF(INDEX(Suivi!$D:$D,46)="",INDEX(Suivi!$C:$C,46),INDEX(Suivi!$D:$D,46)))</f>
        <v/>
      </c>
      <c r="D45" s="29">
        <f>IF($B45="","",INDEX(Suivi!$E:$E,46))</f>
        <v/>
      </c>
      <c r="E45" s="29">
        <f>IF($B45="","",INDEX(Suivi!$F:$F,46))</f>
        <v/>
      </c>
      <c r="F45">
        <f>IF($B45="","",INDEX(Suivi!$G:$G,46))</f>
        <v/>
      </c>
      <c r="H45">
        <f>IF(OR($B45="",NOT(ISNUMBER($D45))),"",IF($E45&lt;$D$2,"Passé",IF($D45&gt;$F$2,"À venir","Dans la période")))</f>
        <v/>
      </c>
      <c r="I45">
        <f>IF(OR($B45="",NOT(ISNUMBER($D45))),"",IF(AND($E45&lt;$D$2,$G45&lt;&gt;"X",$F45&lt;&gt;"Réalisé",$F45&lt;&gt;"Clôturé"),"RETARD",""))</f>
        <v/>
      </c>
      <c r="J45" s="29">
        <f>IF($B45="","",IF(INDEX(Dossiers!$F$4:$F$63,1)="","",INDEX(Dossiers!$F$4:$F$63,1)))</f>
        <v/>
      </c>
      <c r="K45" s="29">
        <f>IF($B45="","",IF(INDEX(Dossiers!$G$4:$G$63,1)="","",INDEX(Dossiers!$G$4:$G$63,1)))</f>
        <v/>
      </c>
    </row>
    <row r="46">
      <c r="A46">
        <f>IF($B46="","",INDEX(Dossiers!$E$4:$E$63,1))</f>
        <v/>
      </c>
      <c r="B46">
        <f>IF(INDEX(Suivi!$B:$B,47)="","",INDEX(Suivi!$B:$B,47))</f>
        <v/>
      </c>
      <c r="C46">
        <f>IF($B46="","",IF(INDEX(Suivi!$D:$D,47)="",INDEX(Suivi!$C:$C,47),INDEX(Suivi!$D:$D,47)))</f>
        <v/>
      </c>
      <c r="D46" s="29">
        <f>IF($B46="","",INDEX(Suivi!$E:$E,47))</f>
        <v/>
      </c>
      <c r="E46" s="29">
        <f>IF($B46="","",INDEX(Suivi!$F:$F,47))</f>
        <v/>
      </c>
      <c r="F46">
        <f>IF($B46="","",INDEX(Suivi!$G:$G,47))</f>
        <v/>
      </c>
      <c r="H46">
        <f>IF(OR($B46="",NOT(ISNUMBER($D46))),"",IF($E46&lt;$D$2,"Passé",IF($D46&gt;$F$2,"À venir","Dans la période")))</f>
        <v/>
      </c>
      <c r="I46">
        <f>IF(OR($B46="",NOT(ISNUMBER($D46))),"",IF(AND($E46&lt;$D$2,$G46&lt;&gt;"X",$F46&lt;&gt;"Réalisé",$F46&lt;&gt;"Clôturé"),"RETARD",""))</f>
        <v/>
      </c>
      <c r="J46" s="29">
        <f>IF($B46="","",IF(INDEX(Dossiers!$F$4:$F$63,1)="","",INDEX(Dossiers!$F$4:$F$63,1)))</f>
        <v/>
      </c>
      <c r="K46" s="29">
        <f>IF($B46="","",IF(INDEX(Dossiers!$G$4:$G$63,1)="","",INDEX(Dossiers!$G$4:$G$63,1)))</f>
        <v/>
      </c>
    </row>
    <row r="47">
      <c r="A47">
        <f>IF($B47="","",INDEX(Dossiers!$E$4:$E$63,1))</f>
        <v/>
      </c>
      <c r="B47">
        <f>IF(INDEX(Suivi!$B:$B,48)="","",INDEX(Suivi!$B:$B,48))</f>
        <v/>
      </c>
      <c r="C47">
        <f>IF($B47="","",IF(INDEX(Suivi!$D:$D,48)="",INDEX(Suivi!$C:$C,48),INDEX(Suivi!$D:$D,48)))</f>
        <v/>
      </c>
      <c r="D47" s="29">
        <f>IF($B47="","",INDEX(Suivi!$E:$E,48))</f>
        <v/>
      </c>
      <c r="E47" s="29">
        <f>IF($B47="","",INDEX(Suivi!$F:$F,48))</f>
        <v/>
      </c>
      <c r="F47">
        <f>IF($B47="","",INDEX(Suivi!$G:$G,48))</f>
        <v/>
      </c>
      <c r="H47">
        <f>IF(OR($B47="",NOT(ISNUMBER($D47))),"",IF($E47&lt;$D$2,"Passé",IF($D47&gt;$F$2,"À venir","Dans la période")))</f>
        <v/>
      </c>
      <c r="I47">
        <f>IF(OR($B47="",NOT(ISNUMBER($D47))),"",IF(AND($E47&lt;$D$2,$G47&lt;&gt;"X",$F47&lt;&gt;"Réalisé",$F47&lt;&gt;"Clôturé"),"RETARD",""))</f>
        <v/>
      </c>
      <c r="J47" s="29">
        <f>IF($B47="","",IF(INDEX(Dossiers!$F$4:$F$63,1)="","",INDEX(Dossiers!$F$4:$F$63,1)))</f>
        <v/>
      </c>
      <c r="K47" s="29">
        <f>IF($B47="","",IF(INDEX(Dossiers!$G$4:$G$63,1)="","",INDEX(Dossiers!$G$4:$G$63,1)))</f>
        <v/>
      </c>
    </row>
    <row r="48">
      <c r="A48">
        <f>IF($B48="","",INDEX(Dossiers!$E$4:$E$63,1))</f>
        <v/>
      </c>
      <c r="B48">
        <f>IF(INDEX(Suivi!$B:$B,49)="","",INDEX(Suivi!$B:$B,49))</f>
        <v/>
      </c>
      <c r="C48">
        <f>IF($B48="","",IF(INDEX(Suivi!$D:$D,49)="",INDEX(Suivi!$C:$C,49),INDEX(Suivi!$D:$D,49)))</f>
        <v/>
      </c>
      <c r="D48" s="29">
        <f>IF($B48="","",INDEX(Suivi!$E:$E,49))</f>
        <v/>
      </c>
      <c r="E48" s="29">
        <f>IF($B48="","",INDEX(Suivi!$F:$F,49))</f>
        <v/>
      </c>
      <c r="F48">
        <f>IF($B48="","",INDEX(Suivi!$G:$G,49))</f>
        <v/>
      </c>
      <c r="H48">
        <f>IF(OR($B48="",NOT(ISNUMBER($D48))),"",IF($E48&lt;$D$2,"Passé",IF($D48&gt;$F$2,"À venir","Dans la période")))</f>
        <v/>
      </c>
      <c r="I48">
        <f>IF(OR($B48="",NOT(ISNUMBER($D48))),"",IF(AND($E48&lt;$D$2,$G48&lt;&gt;"X",$F48&lt;&gt;"Réalisé",$F48&lt;&gt;"Clôturé"),"RETARD",""))</f>
        <v/>
      </c>
      <c r="J48" s="29">
        <f>IF($B48="","",IF(INDEX(Dossiers!$F$4:$F$63,1)="","",INDEX(Dossiers!$F$4:$F$63,1)))</f>
        <v/>
      </c>
      <c r="K48" s="29">
        <f>IF($B48="","",IF(INDEX(Dossiers!$G$4:$G$63,1)="","",INDEX(Dossiers!$G$4:$G$63,1)))</f>
        <v/>
      </c>
    </row>
    <row r="49">
      <c r="A49">
        <f>IF($B49="","",INDEX(Dossiers!$E$4:$E$63,1))</f>
        <v/>
      </c>
      <c r="B49">
        <f>IF(INDEX(Suivi!$B:$B,50)="","",INDEX(Suivi!$B:$B,50))</f>
        <v/>
      </c>
      <c r="C49">
        <f>IF($B49="","",IF(INDEX(Suivi!$D:$D,50)="",INDEX(Suivi!$C:$C,50),INDEX(Suivi!$D:$D,50)))</f>
        <v/>
      </c>
      <c r="D49" s="29">
        <f>IF($B49="","",INDEX(Suivi!$E:$E,50))</f>
        <v/>
      </c>
      <c r="E49" s="29">
        <f>IF($B49="","",INDEX(Suivi!$F:$F,50))</f>
        <v/>
      </c>
      <c r="F49">
        <f>IF($B49="","",INDEX(Suivi!$G:$G,50))</f>
        <v/>
      </c>
      <c r="H49">
        <f>IF(OR($B49="",NOT(ISNUMBER($D49))),"",IF($E49&lt;$D$2,"Passé",IF($D49&gt;$F$2,"À venir","Dans la période")))</f>
        <v/>
      </c>
      <c r="I49">
        <f>IF(OR($B49="",NOT(ISNUMBER($D49))),"",IF(AND($E49&lt;$D$2,$G49&lt;&gt;"X",$F49&lt;&gt;"Réalisé",$F49&lt;&gt;"Clôturé"),"RETARD",""))</f>
        <v/>
      </c>
      <c r="J49" s="29">
        <f>IF($B49="","",IF(INDEX(Dossiers!$F$4:$F$63,1)="","",INDEX(Dossiers!$F$4:$F$63,1)))</f>
        <v/>
      </c>
      <c r="K49" s="29">
        <f>IF($B49="","",IF(INDEX(Dossiers!$G$4:$G$63,1)="","",INDEX(Dossiers!$G$4:$G$63,1)))</f>
        <v/>
      </c>
    </row>
    <row r="50">
      <c r="A50">
        <f>IF($B50="","",INDEX(Dossiers!$E$4:$E$63,1))</f>
        <v/>
      </c>
      <c r="B50">
        <f>IF(INDEX(Suivi!$B:$B,51)="","",INDEX(Suivi!$B:$B,51))</f>
        <v/>
      </c>
      <c r="C50">
        <f>IF($B50="","",IF(INDEX(Suivi!$D:$D,51)="",INDEX(Suivi!$C:$C,51),INDEX(Suivi!$D:$D,51)))</f>
        <v/>
      </c>
      <c r="D50" s="29">
        <f>IF($B50="","",INDEX(Suivi!$E:$E,51))</f>
        <v/>
      </c>
      <c r="E50" s="29">
        <f>IF($B50="","",INDEX(Suivi!$F:$F,51))</f>
        <v/>
      </c>
      <c r="F50">
        <f>IF($B50="","",INDEX(Suivi!$G:$G,51))</f>
        <v/>
      </c>
      <c r="H50">
        <f>IF(OR($B50="",NOT(ISNUMBER($D50))),"",IF($E50&lt;$D$2,"Passé",IF($D50&gt;$F$2,"À venir","Dans la période")))</f>
        <v/>
      </c>
      <c r="I50">
        <f>IF(OR($B50="",NOT(ISNUMBER($D50))),"",IF(AND($E50&lt;$D$2,$G50&lt;&gt;"X",$F50&lt;&gt;"Réalisé",$F50&lt;&gt;"Clôturé"),"RETARD",""))</f>
        <v/>
      </c>
      <c r="J50" s="29">
        <f>IF($B50="","",IF(INDEX(Dossiers!$F$4:$F$63,1)="","",INDEX(Dossiers!$F$4:$F$63,1)))</f>
        <v/>
      </c>
      <c r="K50" s="29">
        <f>IF($B50="","",IF(INDEX(Dossiers!$G$4:$G$63,1)="","",INDEX(Dossiers!$G$4:$G$63,1)))</f>
        <v/>
      </c>
    </row>
    <row r="51">
      <c r="A51">
        <f>IF($B51="","",INDEX(Dossiers!$E$4:$E$63,1))</f>
        <v/>
      </c>
      <c r="B51">
        <f>IF(INDEX(Suivi!$B:$B,52)="","",INDEX(Suivi!$B:$B,52))</f>
        <v/>
      </c>
      <c r="C51">
        <f>IF($B51="","",IF(INDEX(Suivi!$D:$D,52)="",INDEX(Suivi!$C:$C,52),INDEX(Suivi!$D:$D,52)))</f>
        <v/>
      </c>
      <c r="D51" s="29">
        <f>IF($B51="","",INDEX(Suivi!$E:$E,52))</f>
        <v/>
      </c>
      <c r="E51" s="29">
        <f>IF($B51="","",INDEX(Suivi!$F:$F,52))</f>
        <v/>
      </c>
      <c r="F51">
        <f>IF($B51="","",INDEX(Suivi!$G:$G,52))</f>
        <v/>
      </c>
      <c r="H51">
        <f>IF(OR($B51="",NOT(ISNUMBER($D51))),"",IF($E51&lt;$D$2,"Passé",IF($D51&gt;$F$2,"À venir","Dans la période")))</f>
        <v/>
      </c>
      <c r="I51">
        <f>IF(OR($B51="",NOT(ISNUMBER($D51))),"",IF(AND($E51&lt;$D$2,$G51&lt;&gt;"X",$F51&lt;&gt;"Réalisé",$F51&lt;&gt;"Clôturé"),"RETARD",""))</f>
        <v/>
      </c>
      <c r="J51" s="29">
        <f>IF($B51="","",IF(INDEX(Dossiers!$F$4:$F$63,1)="","",INDEX(Dossiers!$F$4:$F$63,1)))</f>
        <v/>
      </c>
      <c r="K51" s="29">
        <f>IF($B51="","",IF(INDEX(Dossiers!$G$4:$G$63,1)="","",INDEX(Dossiers!$G$4:$G$63,1)))</f>
        <v/>
      </c>
    </row>
    <row r="52">
      <c r="A52">
        <f>IF($B52="","",INDEX(Dossiers!$E$4:$E$63,1))</f>
        <v/>
      </c>
      <c r="B52">
        <f>IF(INDEX(Suivi!$B:$B,53)="","",INDEX(Suivi!$B:$B,53))</f>
        <v/>
      </c>
      <c r="C52">
        <f>IF($B52="","",IF(INDEX(Suivi!$D:$D,53)="",INDEX(Suivi!$C:$C,53),INDEX(Suivi!$D:$D,53)))</f>
        <v/>
      </c>
      <c r="D52" s="29">
        <f>IF($B52="","",INDEX(Suivi!$E:$E,53))</f>
        <v/>
      </c>
      <c r="E52" s="29">
        <f>IF($B52="","",INDEX(Suivi!$F:$F,53))</f>
        <v/>
      </c>
      <c r="F52">
        <f>IF($B52="","",INDEX(Suivi!$G:$G,53))</f>
        <v/>
      </c>
      <c r="H52">
        <f>IF(OR($B52="",NOT(ISNUMBER($D52))),"",IF($E52&lt;$D$2,"Passé",IF($D52&gt;$F$2,"À venir","Dans la période")))</f>
        <v/>
      </c>
      <c r="I52">
        <f>IF(OR($B52="",NOT(ISNUMBER($D52))),"",IF(AND($E52&lt;$D$2,$G52&lt;&gt;"X",$F52&lt;&gt;"Réalisé",$F52&lt;&gt;"Clôturé"),"RETARD",""))</f>
        <v/>
      </c>
      <c r="J52" s="29">
        <f>IF($B52="","",IF(INDEX(Dossiers!$F$4:$F$63,1)="","",INDEX(Dossiers!$F$4:$F$63,1)))</f>
        <v/>
      </c>
      <c r="K52" s="29">
        <f>IF($B52="","",IF(INDEX(Dossiers!$G$4:$G$63,1)="","",INDEX(Dossiers!$G$4:$G$63,1)))</f>
        <v/>
      </c>
    </row>
    <row r="53">
      <c r="A53">
        <f>IF($B53="","",INDEX(Dossiers!$E$4:$E$63,1))</f>
        <v/>
      </c>
      <c r="B53">
        <f>IF(INDEX(Suivi!$B:$B,54)="","",INDEX(Suivi!$B:$B,54))</f>
        <v/>
      </c>
      <c r="C53">
        <f>IF($B53="","",IF(INDEX(Suivi!$D:$D,54)="",INDEX(Suivi!$C:$C,54),INDEX(Suivi!$D:$D,54)))</f>
        <v/>
      </c>
      <c r="D53" s="29">
        <f>IF($B53="","",INDEX(Suivi!$E:$E,54))</f>
        <v/>
      </c>
      <c r="E53" s="29">
        <f>IF($B53="","",INDEX(Suivi!$F:$F,54))</f>
        <v/>
      </c>
      <c r="F53">
        <f>IF($B53="","",INDEX(Suivi!$G:$G,54))</f>
        <v/>
      </c>
      <c r="H53">
        <f>IF(OR($B53="",NOT(ISNUMBER($D53))),"",IF($E53&lt;$D$2,"Passé",IF($D53&gt;$F$2,"À venir","Dans la période")))</f>
        <v/>
      </c>
      <c r="I53">
        <f>IF(OR($B53="",NOT(ISNUMBER($D53))),"",IF(AND($E53&lt;$D$2,$G53&lt;&gt;"X",$F53&lt;&gt;"Réalisé",$F53&lt;&gt;"Clôturé"),"RETARD",""))</f>
        <v/>
      </c>
      <c r="J53" s="29">
        <f>IF($B53="","",IF(INDEX(Dossiers!$F$4:$F$63,1)="","",INDEX(Dossiers!$F$4:$F$63,1)))</f>
        <v/>
      </c>
      <c r="K53" s="29">
        <f>IF($B53="","",IF(INDEX(Dossiers!$G$4:$G$63,1)="","",INDEX(Dossiers!$G$4:$G$63,1)))</f>
        <v/>
      </c>
    </row>
    <row r="54">
      <c r="A54">
        <f>IF($B54="","",INDEX(Dossiers!$E$4:$E$63,1))</f>
        <v/>
      </c>
      <c r="B54">
        <f>IF(INDEX(Suivi!$B:$B,55)="","",INDEX(Suivi!$B:$B,55))</f>
        <v/>
      </c>
      <c r="C54">
        <f>IF($B54="","",IF(INDEX(Suivi!$D:$D,55)="",INDEX(Suivi!$C:$C,55),INDEX(Suivi!$D:$D,55)))</f>
        <v/>
      </c>
      <c r="D54" s="29">
        <f>IF($B54="","",INDEX(Suivi!$E:$E,55))</f>
        <v/>
      </c>
      <c r="E54" s="29">
        <f>IF($B54="","",INDEX(Suivi!$F:$F,55))</f>
        <v/>
      </c>
      <c r="F54">
        <f>IF($B54="","",INDEX(Suivi!$G:$G,55))</f>
        <v/>
      </c>
      <c r="H54">
        <f>IF(OR($B54="",NOT(ISNUMBER($D54))),"",IF($E54&lt;$D$2,"Passé",IF($D54&gt;$F$2,"À venir","Dans la période")))</f>
        <v/>
      </c>
      <c r="I54">
        <f>IF(OR($B54="",NOT(ISNUMBER($D54))),"",IF(AND($E54&lt;$D$2,$G54&lt;&gt;"X",$F54&lt;&gt;"Réalisé",$F54&lt;&gt;"Clôturé"),"RETARD",""))</f>
        <v/>
      </c>
      <c r="J54" s="29">
        <f>IF($B54="","",IF(INDEX(Dossiers!$F$4:$F$63,1)="","",INDEX(Dossiers!$F$4:$F$63,1)))</f>
        <v/>
      </c>
      <c r="K54" s="29">
        <f>IF($B54="","",IF(INDEX(Dossiers!$G$4:$G$63,1)="","",INDEX(Dossiers!$G$4:$G$63,1)))</f>
        <v/>
      </c>
    </row>
    <row r="55">
      <c r="A55">
        <f>IF($B55="","",INDEX(Dossiers!$E$4:$E$63,1))</f>
        <v/>
      </c>
      <c r="B55">
        <f>IF(INDEX(Suivi!$B:$B,56)="","",INDEX(Suivi!$B:$B,56))</f>
        <v/>
      </c>
      <c r="C55">
        <f>IF($B55="","",IF(INDEX(Suivi!$D:$D,56)="",INDEX(Suivi!$C:$C,56),INDEX(Suivi!$D:$D,56)))</f>
        <v/>
      </c>
      <c r="D55" s="29">
        <f>IF($B55="","",INDEX(Suivi!$E:$E,56))</f>
        <v/>
      </c>
      <c r="E55" s="29">
        <f>IF($B55="","",INDEX(Suivi!$F:$F,56))</f>
        <v/>
      </c>
      <c r="F55">
        <f>IF($B55="","",INDEX(Suivi!$G:$G,56))</f>
        <v/>
      </c>
      <c r="H55">
        <f>IF(OR($B55="",NOT(ISNUMBER($D55))),"",IF($E55&lt;$D$2,"Passé",IF($D55&gt;$F$2,"À venir","Dans la période")))</f>
        <v/>
      </c>
      <c r="I55">
        <f>IF(OR($B55="",NOT(ISNUMBER($D55))),"",IF(AND($E55&lt;$D$2,$G55&lt;&gt;"X",$F55&lt;&gt;"Réalisé",$F55&lt;&gt;"Clôturé"),"RETARD",""))</f>
        <v/>
      </c>
      <c r="J55" s="29">
        <f>IF($B55="","",IF(INDEX(Dossiers!$F$4:$F$63,1)="","",INDEX(Dossiers!$F$4:$F$63,1)))</f>
        <v/>
      </c>
      <c r="K55" s="29">
        <f>IF($B55="","",IF(INDEX(Dossiers!$G$4:$G$63,1)="","",INDEX(Dossiers!$G$4:$G$63,1)))</f>
        <v/>
      </c>
    </row>
    <row r="56">
      <c r="A56">
        <f>IF($B56="","",INDEX(Dossiers!$E$4:$E$63,1))</f>
        <v/>
      </c>
      <c r="B56">
        <f>IF(INDEX(Suivi!$B:$B,57)="","",INDEX(Suivi!$B:$B,57))</f>
        <v/>
      </c>
      <c r="C56">
        <f>IF($B56="","",IF(INDEX(Suivi!$D:$D,57)="",INDEX(Suivi!$C:$C,57),INDEX(Suivi!$D:$D,57)))</f>
        <v/>
      </c>
      <c r="D56" s="29">
        <f>IF($B56="","",INDEX(Suivi!$E:$E,57))</f>
        <v/>
      </c>
      <c r="E56" s="29">
        <f>IF($B56="","",INDEX(Suivi!$F:$F,57))</f>
        <v/>
      </c>
      <c r="F56">
        <f>IF($B56="","",INDEX(Suivi!$G:$G,57))</f>
        <v/>
      </c>
      <c r="H56">
        <f>IF(OR($B56="",NOT(ISNUMBER($D56))),"",IF($E56&lt;$D$2,"Passé",IF($D56&gt;$F$2,"À venir","Dans la période")))</f>
        <v/>
      </c>
      <c r="I56">
        <f>IF(OR($B56="",NOT(ISNUMBER($D56))),"",IF(AND($E56&lt;$D$2,$G56&lt;&gt;"X",$F56&lt;&gt;"Réalisé",$F56&lt;&gt;"Clôturé"),"RETARD",""))</f>
        <v/>
      </c>
      <c r="J56" s="29">
        <f>IF($B56="","",IF(INDEX(Dossiers!$F$4:$F$63,1)="","",INDEX(Dossiers!$F$4:$F$63,1)))</f>
        <v/>
      </c>
      <c r="K56" s="29">
        <f>IF($B56="","",IF(INDEX(Dossiers!$G$4:$G$63,1)="","",INDEX(Dossiers!$G$4:$G$63,1)))</f>
        <v/>
      </c>
    </row>
    <row r="57">
      <c r="A57">
        <f>IF($B57="","",INDEX(Dossiers!$E$4:$E$63,2))</f>
        <v/>
      </c>
      <c r="B57">
        <f>IF(INDEX(Suivi!$B:$B,59)="","",INDEX(Suivi!$B:$B,59))</f>
        <v/>
      </c>
      <c r="C57">
        <f>IF($B57="","",IF(INDEX(Suivi!$D:$D,59)="",INDEX(Suivi!$C:$C,59),INDEX(Suivi!$D:$D,59)))</f>
        <v/>
      </c>
      <c r="D57" s="29">
        <f>IF($B57="","",INDEX(Suivi!$E:$E,59))</f>
        <v/>
      </c>
      <c r="E57" s="29">
        <f>IF($B57="","",INDEX(Suivi!$F:$F,59))</f>
        <v/>
      </c>
      <c r="F57">
        <f>IF($B57="","",INDEX(Suivi!$G:$G,59))</f>
        <v/>
      </c>
      <c r="H57">
        <f>IF(OR($B57="",NOT(ISNUMBER($D57))),"",IF($E57&lt;$D$2,"Passé",IF($D57&gt;$F$2,"À venir","Dans la période")))</f>
        <v/>
      </c>
      <c r="I57">
        <f>IF(OR($B57="",NOT(ISNUMBER($D57))),"",IF(AND($E57&lt;$D$2,$G57&lt;&gt;"X",$F57&lt;&gt;"Réalisé",$F57&lt;&gt;"Clôturé"),"RETARD",""))</f>
        <v/>
      </c>
      <c r="J57" s="29">
        <f>IF($B57="","",IF(INDEX(Dossiers!$F$4:$F$63,2)="","",INDEX(Dossiers!$F$4:$F$63,2)))</f>
        <v/>
      </c>
      <c r="K57" s="29">
        <f>IF($B57="","",IF(INDEX(Dossiers!$G$4:$G$63,2)="","",INDEX(Dossiers!$G$4:$G$63,2)))</f>
        <v/>
      </c>
    </row>
    <row r="58">
      <c r="A58">
        <f>IF($B58="","",INDEX(Dossiers!$E$4:$E$63,2))</f>
        <v/>
      </c>
      <c r="B58">
        <f>IF(INDEX(Suivi!$B:$B,60)="","",INDEX(Suivi!$B:$B,60))</f>
        <v/>
      </c>
      <c r="C58">
        <f>IF($B58="","",IF(INDEX(Suivi!$D:$D,60)="",INDEX(Suivi!$C:$C,60),INDEX(Suivi!$D:$D,60)))</f>
        <v/>
      </c>
      <c r="D58" s="29">
        <f>IF($B58="","",INDEX(Suivi!$E:$E,60))</f>
        <v/>
      </c>
      <c r="E58" s="29">
        <f>IF($B58="","",INDEX(Suivi!$F:$F,60))</f>
        <v/>
      </c>
      <c r="F58">
        <f>IF($B58="","",INDEX(Suivi!$G:$G,60))</f>
        <v/>
      </c>
      <c r="H58">
        <f>IF(OR($B58="",NOT(ISNUMBER($D58))),"",IF($E58&lt;$D$2,"Passé",IF($D58&gt;$F$2,"À venir","Dans la période")))</f>
        <v/>
      </c>
      <c r="I58">
        <f>IF(OR($B58="",NOT(ISNUMBER($D58))),"",IF(AND($E58&lt;$D$2,$G58&lt;&gt;"X",$F58&lt;&gt;"Réalisé",$F58&lt;&gt;"Clôturé"),"RETARD",""))</f>
        <v/>
      </c>
      <c r="J58" s="29">
        <f>IF($B58="","",IF(INDEX(Dossiers!$F$4:$F$63,2)="","",INDEX(Dossiers!$F$4:$F$63,2)))</f>
        <v/>
      </c>
      <c r="K58" s="29">
        <f>IF($B58="","",IF(INDEX(Dossiers!$G$4:$G$63,2)="","",INDEX(Dossiers!$G$4:$G$63,2)))</f>
        <v/>
      </c>
    </row>
    <row r="59">
      <c r="A59">
        <f>IF($B59="","",INDEX(Dossiers!$E$4:$E$63,2))</f>
        <v/>
      </c>
      <c r="B59">
        <f>IF(INDEX(Suivi!$B:$B,61)="","",INDEX(Suivi!$B:$B,61))</f>
        <v/>
      </c>
      <c r="C59">
        <f>IF($B59="","",IF(INDEX(Suivi!$D:$D,61)="",INDEX(Suivi!$C:$C,61),INDEX(Suivi!$D:$D,61)))</f>
        <v/>
      </c>
      <c r="D59" s="29">
        <f>IF($B59="","",INDEX(Suivi!$E:$E,61))</f>
        <v/>
      </c>
      <c r="E59" s="29">
        <f>IF($B59="","",INDEX(Suivi!$F:$F,61))</f>
        <v/>
      </c>
      <c r="F59">
        <f>IF($B59="","",INDEX(Suivi!$G:$G,61))</f>
        <v/>
      </c>
      <c r="H59">
        <f>IF(OR($B59="",NOT(ISNUMBER($D59))),"",IF($E59&lt;$D$2,"Passé",IF($D59&gt;$F$2,"À venir","Dans la période")))</f>
        <v/>
      </c>
      <c r="I59">
        <f>IF(OR($B59="",NOT(ISNUMBER($D59))),"",IF(AND($E59&lt;$D$2,$G59&lt;&gt;"X",$F59&lt;&gt;"Réalisé",$F59&lt;&gt;"Clôturé"),"RETARD",""))</f>
        <v/>
      </c>
      <c r="J59" s="29">
        <f>IF($B59="","",IF(INDEX(Dossiers!$F$4:$F$63,2)="","",INDEX(Dossiers!$F$4:$F$63,2)))</f>
        <v/>
      </c>
      <c r="K59" s="29">
        <f>IF($B59="","",IF(INDEX(Dossiers!$G$4:$G$63,2)="","",INDEX(Dossiers!$G$4:$G$63,2)))</f>
        <v/>
      </c>
    </row>
    <row r="60">
      <c r="A60">
        <f>IF($B60="","",INDEX(Dossiers!$E$4:$E$63,2))</f>
        <v/>
      </c>
      <c r="B60">
        <f>IF(INDEX(Suivi!$B:$B,62)="","",INDEX(Suivi!$B:$B,62))</f>
        <v/>
      </c>
      <c r="C60">
        <f>IF($B60="","",IF(INDEX(Suivi!$D:$D,62)="",INDEX(Suivi!$C:$C,62),INDEX(Suivi!$D:$D,62)))</f>
        <v/>
      </c>
      <c r="D60" s="29">
        <f>IF($B60="","",INDEX(Suivi!$E:$E,62))</f>
        <v/>
      </c>
      <c r="E60" s="29">
        <f>IF($B60="","",INDEX(Suivi!$F:$F,62))</f>
        <v/>
      </c>
      <c r="F60">
        <f>IF($B60="","",INDEX(Suivi!$G:$G,62))</f>
        <v/>
      </c>
      <c r="H60">
        <f>IF(OR($B60="",NOT(ISNUMBER($D60))),"",IF($E60&lt;$D$2,"Passé",IF($D60&gt;$F$2,"À venir","Dans la période")))</f>
        <v/>
      </c>
      <c r="I60">
        <f>IF(OR($B60="",NOT(ISNUMBER($D60))),"",IF(AND($E60&lt;$D$2,$G60&lt;&gt;"X",$F60&lt;&gt;"Réalisé",$F60&lt;&gt;"Clôturé"),"RETARD",""))</f>
        <v/>
      </c>
      <c r="J60" s="29">
        <f>IF($B60="","",IF(INDEX(Dossiers!$F$4:$F$63,2)="","",INDEX(Dossiers!$F$4:$F$63,2)))</f>
        <v/>
      </c>
      <c r="K60" s="29">
        <f>IF($B60="","",IF(INDEX(Dossiers!$G$4:$G$63,2)="","",INDEX(Dossiers!$G$4:$G$63,2)))</f>
        <v/>
      </c>
    </row>
    <row r="61">
      <c r="A61">
        <f>IF($B61="","",INDEX(Dossiers!$E$4:$E$63,2))</f>
        <v/>
      </c>
      <c r="B61">
        <f>IF(INDEX(Suivi!$B:$B,63)="","",INDEX(Suivi!$B:$B,63))</f>
        <v/>
      </c>
      <c r="C61">
        <f>IF($B61="","",IF(INDEX(Suivi!$D:$D,63)="",INDEX(Suivi!$C:$C,63),INDEX(Suivi!$D:$D,63)))</f>
        <v/>
      </c>
      <c r="D61" s="29">
        <f>IF($B61="","",INDEX(Suivi!$E:$E,63))</f>
        <v/>
      </c>
      <c r="E61" s="29">
        <f>IF($B61="","",INDEX(Suivi!$F:$F,63))</f>
        <v/>
      </c>
      <c r="F61">
        <f>IF($B61="","",INDEX(Suivi!$G:$G,63))</f>
        <v/>
      </c>
      <c r="H61">
        <f>IF(OR($B61="",NOT(ISNUMBER($D61))),"",IF($E61&lt;$D$2,"Passé",IF($D61&gt;$F$2,"À venir","Dans la période")))</f>
        <v/>
      </c>
      <c r="I61">
        <f>IF(OR($B61="",NOT(ISNUMBER($D61))),"",IF(AND($E61&lt;$D$2,$G61&lt;&gt;"X",$F61&lt;&gt;"Réalisé",$F61&lt;&gt;"Clôturé"),"RETARD",""))</f>
        <v/>
      </c>
      <c r="J61" s="29">
        <f>IF($B61="","",IF(INDEX(Dossiers!$F$4:$F$63,2)="","",INDEX(Dossiers!$F$4:$F$63,2)))</f>
        <v/>
      </c>
      <c r="K61" s="29">
        <f>IF($B61="","",IF(INDEX(Dossiers!$G$4:$G$63,2)="","",INDEX(Dossiers!$G$4:$G$63,2)))</f>
        <v/>
      </c>
    </row>
    <row r="62">
      <c r="A62">
        <f>IF($B62="","",INDEX(Dossiers!$E$4:$E$63,2))</f>
        <v/>
      </c>
      <c r="B62">
        <f>IF(INDEX(Suivi!$B:$B,64)="","",INDEX(Suivi!$B:$B,64))</f>
        <v/>
      </c>
      <c r="C62">
        <f>IF($B62="","",IF(INDEX(Suivi!$D:$D,64)="",INDEX(Suivi!$C:$C,64),INDEX(Suivi!$D:$D,64)))</f>
        <v/>
      </c>
      <c r="D62" s="29">
        <f>IF($B62="","",INDEX(Suivi!$E:$E,64))</f>
        <v/>
      </c>
      <c r="E62" s="29">
        <f>IF($B62="","",INDEX(Suivi!$F:$F,64))</f>
        <v/>
      </c>
      <c r="F62">
        <f>IF($B62="","",INDEX(Suivi!$G:$G,64))</f>
        <v/>
      </c>
      <c r="H62">
        <f>IF(OR($B62="",NOT(ISNUMBER($D62))),"",IF($E62&lt;$D$2,"Passé",IF($D62&gt;$F$2,"À venir","Dans la période")))</f>
        <v/>
      </c>
      <c r="I62">
        <f>IF(OR($B62="",NOT(ISNUMBER($D62))),"",IF(AND($E62&lt;$D$2,$G62&lt;&gt;"X",$F62&lt;&gt;"Réalisé",$F62&lt;&gt;"Clôturé"),"RETARD",""))</f>
        <v/>
      </c>
      <c r="J62" s="29">
        <f>IF($B62="","",IF(INDEX(Dossiers!$F$4:$F$63,2)="","",INDEX(Dossiers!$F$4:$F$63,2)))</f>
        <v/>
      </c>
      <c r="K62" s="29">
        <f>IF($B62="","",IF(INDEX(Dossiers!$G$4:$G$63,2)="","",INDEX(Dossiers!$G$4:$G$63,2)))</f>
        <v/>
      </c>
    </row>
    <row r="63">
      <c r="A63">
        <f>IF($B63="","",INDEX(Dossiers!$E$4:$E$63,2))</f>
        <v/>
      </c>
      <c r="B63">
        <f>IF(INDEX(Suivi!$B:$B,65)="","",INDEX(Suivi!$B:$B,65))</f>
        <v/>
      </c>
      <c r="C63">
        <f>IF($B63="","",IF(INDEX(Suivi!$D:$D,65)="",INDEX(Suivi!$C:$C,65),INDEX(Suivi!$D:$D,65)))</f>
        <v/>
      </c>
      <c r="D63" s="29">
        <f>IF($B63="","",INDEX(Suivi!$E:$E,65))</f>
        <v/>
      </c>
      <c r="E63" s="29">
        <f>IF($B63="","",INDEX(Suivi!$F:$F,65))</f>
        <v/>
      </c>
      <c r="F63">
        <f>IF($B63="","",INDEX(Suivi!$G:$G,65))</f>
        <v/>
      </c>
      <c r="H63">
        <f>IF(OR($B63="",NOT(ISNUMBER($D63))),"",IF($E63&lt;$D$2,"Passé",IF($D63&gt;$F$2,"À venir","Dans la période")))</f>
        <v/>
      </c>
      <c r="I63">
        <f>IF(OR($B63="",NOT(ISNUMBER($D63))),"",IF(AND($E63&lt;$D$2,$G63&lt;&gt;"X",$F63&lt;&gt;"Réalisé",$F63&lt;&gt;"Clôturé"),"RETARD",""))</f>
        <v/>
      </c>
      <c r="J63" s="29">
        <f>IF($B63="","",IF(INDEX(Dossiers!$F$4:$F$63,2)="","",INDEX(Dossiers!$F$4:$F$63,2)))</f>
        <v/>
      </c>
      <c r="K63" s="29">
        <f>IF($B63="","",IF(INDEX(Dossiers!$G$4:$G$63,2)="","",INDEX(Dossiers!$G$4:$G$63,2)))</f>
        <v/>
      </c>
    </row>
    <row r="64">
      <c r="A64">
        <f>IF($B64="","",INDEX(Dossiers!$E$4:$E$63,2))</f>
        <v/>
      </c>
      <c r="B64">
        <f>IF(INDEX(Suivi!$B:$B,66)="","",INDEX(Suivi!$B:$B,66))</f>
        <v/>
      </c>
      <c r="C64">
        <f>IF($B64="","",IF(INDEX(Suivi!$D:$D,66)="",INDEX(Suivi!$C:$C,66),INDEX(Suivi!$D:$D,66)))</f>
        <v/>
      </c>
      <c r="D64" s="29">
        <f>IF($B64="","",INDEX(Suivi!$E:$E,66))</f>
        <v/>
      </c>
      <c r="E64" s="29">
        <f>IF($B64="","",INDEX(Suivi!$F:$F,66))</f>
        <v/>
      </c>
      <c r="F64">
        <f>IF($B64="","",INDEX(Suivi!$G:$G,66))</f>
        <v/>
      </c>
      <c r="H64">
        <f>IF(OR($B64="",NOT(ISNUMBER($D64))),"",IF($E64&lt;$D$2,"Passé",IF($D64&gt;$F$2,"À venir","Dans la période")))</f>
        <v/>
      </c>
      <c r="I64">
        <f>IF(OR($B64="",NOT(ISNUMBER($D64))),"",IF(AND($E64&lt;$D$2,$G64&lt;&gt;"X",$F64&lt;&gt;"Réalisé",$F64&lt;&gt;"Clôturé"),"RETARD",""))</f>
        <v/>
      </c>
      <c r="J64" s="29">
        <f>IF($B64="","",IF(INDEX(Dossiers!$F$4:$F$63,2)="","",INDEX(Dossiers!$F$4:$F$63,2)))</f>
        <v/>
      </c>
      <c r="K64" s="29">
        <f>IF($B64="","",IF(INDEX(Dossiers!$G$4:$G$63,2)="","",INDEX(Dossiers!$G$4:$G$63,2)))</f>
        <v/>
      </c>
    </row>
    <row r="65">
      <c r="A65">
        <f>IF($B65="","",INDEX(Dossiers!$E$4:$E$63,2))</f>
        <v/>
      </c>
      <c r="B65">
        <f>IF(INDEX(Suivi!$B:$B,67)="","",INDEX(Suivi!$B:$B,67))</f>
        <v/>
      </c>
      <c r="C65">
        <f>IF($B65="","",IF(INDEX(Suivi!$D:$D,67)="",INDEX(Suivi!$C:$C,67),INDEX(Suivi!$D:$D,67)))</f>
        <v/>
      </c>
      <c r="D65" s="29">
        <f>IF($B65="","",INDEX(Suivi!$E:$E,67))</f>
        <v/>
      </c>
      <c r="E65" s="29">
        <f>IF($B65="","",INDEX(Suivi!$F:$F,67))</f>
        <v/>
      </c>
      <c r="F65">
        <f>IF($B65="","",INDEX(Suivi!$G:$G,67))</f>
        <v/>
      </c>
      <c r="H65">
        <f>IF(OR($B65="",NOT(ISNUMBER($D65))),"",IF($E65&lt;$D$2,"Passé",IF($D65&gt;$F$2,"À venir","Dans la période")))</f>
        <v/>
      </c>
      <c r="I65">
        <f>IF(OR($B65="",NOT(ISNUMBER($D65))),"",IF(AND($E65&lt;$D$2,$G65&lt;&gt;"X",$F65&lt;&gt;"Réalisé",$F65&lt;&gt;"Clôturé"),"RETARD",""))</f>
        <v/>
      </c>
      <c r="J65" s="29">
        <f>IF($B65="","",IF(INDEX(Dossiers!$F$4:$F$63,2)="","",INDEX(Dossiers!$F$4:$F$63,2)))</f>
        <v/>
      </c>
      <c r="K65" s="29">
        <f>IF($B65="","",IF(INDEX(Dossiers!$G$4:$G$63,2)="","",INDEX(Dossiers!$G$4:$G$63,2)))</f>
        <v/>
      </c>
    </row>
    <row r="66">
      <c r="A66">
        <f>IF($B66="","",INDEX(Dossiers!$E$4:$E$63,2))</f>
        <v/>
      </c>
      <c r="B66">
        <f>IF(INDEX(Suivi!$B:$B,68)="","",INDEX(Suivi!$B:$B,68))</f>
        <v/>
      </c>
      <c r="C66">
        <f>IF($B66="","",IF(INDEX(Suivi!$D:$D,68)="",INDEX(Suivi!$C:$C,68),INDEX(Suivi!$D:$D,68)))</f>
        <v/>
      </c>
      <c r="D66" s="29">
        <f>IF($B66="","",INDEX(Suivi!$E:$E,68))</f>
        <v/>
      </c>
      <c r="E66" s="29">
        <f>IF($B66="","",INDEX(Suivi!$F:$F,68))</f>
        <v/>
      </c>
      <c r="F66">
        <f>IF($B66="","",INDEX(Suivi!$G:$G,68))</f>
        <v/>
      </c>
      <c r="H66">
        <f>IF(OR($B66="",NOT(ISNUMBER($D66))),"",IF($E66&lt;$D$2,"Passé",IF($D66&gt;$F$2,"À venir","Dans la période")))</f>
        <v/>
      </c>
      <c r="I66">
        <f>IF(OR($B66="",NOT(ISNUMBER($D66))),"",IF(AND($E66&lt;$D$2,$G66&lt;&gt;"X",$F66&lt;&gt;"Réalisé",$F66&lt;&gt;"Clôturé"),"RETARD",""))</f>
        <v/>
      </c>
      <c r="J66" s="29">
        <f>IF($B66="","",IF(INDEX(Dossiers!$F$4:$F$63,2)="","",INDEX(Dossiers!$F$4:$F$63,2)))</f>
        <v/>
      </c>
      <c r="K66" s="29">
        <f>IF($B66="","",IF(INDEX(Dossiers!$G$4:$G$63,2)="","",INDEX(Dossiers!$G$4:$G$63,2)))</f>
        <v/>
      </c>
    </row>
    <row r="67">
      <c r="A67">
        <f>IF($B67="","",INDEX(Dossiers!$E$4:$E$63,2))</f>
        <v/>
      </c>
      <c r="B67">
        <f>IF(INDEX(Suivi!$B:$B,69)="","",INDEX(Suivi!$B:$B,69))</f>
        <v/>
      </c>
      <c r="C67">
        <f>IF($B67="","",IF(INDEX(Suivi!$D:$D,69)="",INDEX(Suivi!$C:$C,69),INDEX(Suivi!$D:$D,69)))</f>
        <v/>
      </c>
      <c r="D67" s="29">
        <f>IF($B67="","",INDEX(Suivi!$E:$E,69))</f>
        <v/>
      </c>
      <c r="E67" s="29">
        <f>IF($B67="","",INDEX(Suivi!$F:$F,69))</f>
        <v/>
      </c>
      <c r="F67">
        <f>IF($B67="","",INDEX(Suivi!$G:$G,69))</f>
        <v/>
      </c>
      <c r="H67">
        <f>IF(OR($B67="",NOT(ISNUMBER($D67))),"",IF($E67&lt;$D$2,"Passé",IF($D67&gt;$F$2,"À venir","Dans la période")))</f>
        <v/>
      </c>
      <c r="I67">
        <f>IF(OR($B67="",NOT(ISNUMBER($D67))),"",IF(AND($E67&lt;$D$2,$G67&lt;&gt;"X",$F67&lt;&gt;"Réalisé",$F67&lt;&gt;"Clôturé"),"RETARD",""))</f>
        <v/>
      </c>
      <c r="J67" s="29">
        <f>IF($B67="","",IF(INDEX(Dossiers!$F$4:$F$63,2)="","",INDEX(Dossiers!$F$4:$F$63,2)))</f>
        <v/>
      </c>
      <c r="K67" s="29">
        <f>IF($B67="","",IF(INDEX(Dossiers!$G$4:$G$63,2)="","",INDEX(Dossiers!$G$4:$G$63,2)))</f>
        <v/>
      </c>
    </row>
    <row r="68">
      <c r="A68">
        <f>IF($B68="","",INDEX(Dossiers!$E$4:$E$63,2))</f>
        <v/>
      </c>
      <c r="B68">
        <f>IF(INDEX(Suivi!$B:$B,70)="","",INDEX(Suivi!$B:$B,70))</f>
        <v/>
      </c>
      <c r="C68">
        <f>IF($B68="","",IF(INDEX(Suivi!$D:$D,70)="",INDEX(Suivi!$C:$C,70),INDEX(Suivi!$D:$D,70)))</f>
        <v/>
      </c>
      <c r="D68" s="29">
        <f>IF($B68="","",INDEX(Suivi!$E:$E,70))</f>
        <v/>
      </c>
      <c r="E68" s="29">
        <f>IF($B68="","",INDEX(Suivi!$F:$F,70))</f>
        <v/>
      </c>
      <c r="F68">
        <f>IF($B68="","",INDEX(Suivi!$G:$G,70))</f>
        <v/>
      </c>
      <c r="H68">
        <f>IF(OR($B68="",NOT(ISNUMBER($D68))),"",IF($E68&lt;$D$2,"Passé",IF($D68&gt;$F$2,"À venir","Dans la période")))</f>
        <v/>
      </c>
      <c r="I68">
        <f>IF(OR($B68="",NOT(ISNUMBER($D68))),"",IF(AND($E68&lt;$D$2,$G68&lt;&gt;"X",$F68&lt;&gt;"Réalisé",$F68&lt;&gt;"Clôturé"),"RETARD",""))</f>
        <v/>
      </c>
      <c r="J68" s="29">
        <f>IF($B68="","",IF(INDEX(Dossiers!$F$4:$F$63,2)="","",INDEX(Dossiers!$F$4:$F$63,2)))</f>
        <v/>
      </c>
      <c r="K68" s="29">
        <f>IF($B68="","",IF(INDEX(Dossiers!$G$4:$G$63,2)="","",INDEX(Dossiers!$G$4:$G$63,2)))</f>
        <v/>
      </c>
    </row>
    <row r="69">
      <c r="A69">
        <f>IF($B69="","",INDEX(Dossiers!$E$4:$E$63,2))</f>
        <v/>
      </c>
      <c r="B69">
        <f>IF(INDEX(Suivi!$B:$B,71)="","",INDEX(Suivi!$B:$B,71))</f>
        <v/>
      </c>
      <c r="C69">
        <f>IF($B69="","",IF(INDEX(Suivi!$D:$D,71)="",INDEX(Suivi!$C:$C,71),INDEX(Suivi!$D:$D,71)))</f>
        <v/>
      </c>
      <c r="D69" s="29">
        <f>IF($B69="","",INDEX(Suivi!$E:$E,71))</f>
        <v/>
      </c>
      <c r="E69" s="29">
        <f>IF($B69="","",INDEX(Suivi!$F:$F,71))</f>
        <v/>
      </c>
      <c r="F69">
        <f>IF($B69="","",INDEX(Suivi!$G:$G,71))</f>
        <v/>
      </c>
      <c r="H69">
        <f>IF(OR($B69="",NOT(ISNUMBER($D69))),"",IF($E69&lt;$D$2,"Passé",IF($D69&gt;$F$2,"À venir","Dans la période")))</f>
        <v/>
      </c>
      <c r="I69">
        <f>IF(OR($B69="",NOT(ISNUMBER($D69))),"",IF(AND($E69&lt;$D$2,$G69&lt;&gt;"X",$F69&lt;&gt;"Réalisé",$F69&lt;&gt;"Clôturé"),"RETARD",""))</f>
        <v/>
      </c>
      <c r="J69" s="29">
        <f>IF($B69="","",IF(INDEX(Dossiers!$F$4:$F$63,2)="","",INDEX(Dossiers!$F$4:$F$63,2)))</f>
        <v/>
      </c>
      <c r="K69" s="29">
        <f>IF($B69="","",IF(INDEX(Dossiers!$G$4:$G$63,2)="","",INDEX(Dossiers!$G$4:$G$63,2)))</f>
        <v/>
      </c>
    </row>
    <row r="70">
      <c r="A70">
        <f>IF($B70="","",INDEX(Dossiers!$E$4:$E$63,2))</f>
        <v/>
      </c>
      <c r="B70">
        <f>IF(INDEX(Suivi!$B:$B,72)="","",INDEX(Suivi!$B:$B,72))</f>
        <v/>
      </c>
      <c r="C70">
        <f>IF($B70="","",IF(INDEX(Suivi!$D:$D,72)="",INDEX(Suivi!$C:$C,72),INDEX(Suivi!$D:$D,72)))</f>
        <v/>
      </c>
      <c r="D70" s="29">
        <f>IF($B70="","",INDEX(Suivi!$E:$E,72))</f>
        <v/>
      </c>
      <c r="E70" s="29">
        <f>IF($B70="","",INDEX(Suivi!$F:$F,72))</f>
        <v/>
      </c>
      <c r="F70">
        <f>IF($B70="","",INDEX(Suivi!$G:$G,72))</f>
        <v/>
      </c>
      <c r="H70">
        <f>IF(OR($B70="",NOT(ISNUMBER($D70))),"",IF($E70&lt;$D$2,"Passé",IF($D70&gt;$F$2,"À venir","Dans la période")))</f>
        <v/>
      </c>
      <c r="I70">
        <f>IF(OR($B70="",NOT(ISNUMBER($D70))),"",IF(AND($E70&lt;$D$2,$G70&lt;&gt;"X",$F70&lt;&gt;"Réalisé",$F70&lt;&gt;"Clôturé"),"RETARD",""))</f>
        <v/>
      </c>
      <c r="J70" s="29">
        <f>IF($B70="","",IF(INDEX(Dossiers!$F$4:$F$63,2)="","",INDEX(Dossiers!$F$4:$F$63,2)))</f>
        <v/>
      </c>
      <c r="K70" s="29">
        <f>IF($B70="","",IF(INDEX(Dossiers!$G$4:$G$63,2)="","",INDEX(Dossiers!$G$4:$G$63,2)))</f>
        <v/>
      </c>
    </row>
    <row r="71">
      <c r="A71">
        <f>IF($B71="","",INDEX(Dossiers!$E$4:$E$63,2))</f>
        <v/>
      </c>
      <c r="B71">
        <f>IF(INDEX(Suivi!$B:$B,73)="","",INDEX(Suivi!$B:$B,73))</f>
        <v/>
      </c>
      <c r="C71">
        <f>IF($B71="","",IF(INDEX(Suivi!$D:$D,73)="",INDEX(Suivi!$C:$C,73),INDEX(Suivi!$D:$D,73)))</f>
        <v/>
      </c>
      <c r="D71" s="29">
        <f>IF($B71="","",INDEX(Suivi!$E:$E,73))</f>
        <v/>
      </c>
      <c r="E71" s="29">
        <f>IF($B71="","",INDEX(Suivi!$F:$F,73))</f>
        <v/>
      </c>
      <c r="F71">
        <f>IF($B71="","",INDEX(Suivi!$G:$G,73))</f>
        <v/>
      </c>
      <c r="H71">
        <f>IF(OR($B71="",NOT(ISNUMBER($D71))),"",IF($E71&lt;$D$2,"Passé",IF($D71&gt;$F$2,"À venir","Dans la période")))</f>
        <v/>
      </c>
      <c r="I71">
        <f>IF(OR($B71="",NOT(ISNUMBER($D71))),"",IF(AND($E71&lt;$D$2,$G71&lt;&gt;"X",$F71&lt;&gt;"Réalisé",$F71&lt;&gt;"Clôturé"),"RETARD",""))</f>
        <v/>
      </c>
      <c r="J71" s="29">
        <f>IF($B71="","",IF(INDEX(Dossiers!$F$4:$F$63,2)="","",INDEX(Dossiers!$F$4:$F$63,2)))</f>
        <v/>
      </c>
      <c r="K71" s="29">
        <f>IF($B71="","",IF(INDEX(Dossiers!$G$4:$G$63,2)="","",INDEX(Dossiers!$G$4:$G$63,2)))</f>
        <v/>
      </c>
    </row>
    <row r="72">
      <c r="A72">
        <f>IF($B72="","",INDEX(Dossiers!$E$4:$E$63,2))</f>
        <v/>
      </c>
      <c r="B72">
        <f>IF(INDEX(Suivi!$B:$B,74)="","",INDEX(Suivi!$B:$B,74))</f>
        <v/>
      </c>
      <c r="C72">
        <f>IF($B72="","",IF(INDEX(Suivi!$D:$D,74)="",INDEX(Suivi!$C:$C,74),INDEX(Suivi!$D:$D,74)))</f>
        <v/>
      </c>
      <c r="D72" s="29">
        <f>IF($B72="","",INDEX(Suivi!$E:$E,74))</f>
        <v/>
      </c>
      <c r="E72" s="29">
        <f>IF($B72="","",INDEX(Suivi!$F:$F,74))</f>
        <v/>
      </c>
      <c r="F72">
        <f>IF($B72="","",INDEX(Suivi!$G:$G,74))</f>
        <v/>
      </c>
      <c r="H72">
        <f>IF(OR($B72="",NOT(ISNUMBER($D72))),"",IF($E72&lt;$D$2,"Passé",IF($D72&gt;$F$2,"À venir","Dans la période")))</f>
        <v/>
      </c>
      <c r="I72">
        <f>IF(OR($B72="",NOT(ISNUMBER($D72))),"",IF(AND($E72&lt;$D$2,$G72&lt;&gt;"X",$F72&lt;&gt;"Réalisé",$F72&lt;&gt;"Clôturé"),"RETARD",""))</f>
        <v/>
      </c>
      <c r="J72" s="29">
        <f>IF($B72="","",IF(INDEX(Dossiers!$F$4:$F$63,2)="","",INDEX(Dossiers!$F$4:$F$63,2)))</f>
        <v/>
      </c>
      <c r="K72" s="29">
        <f>IF($B72="","",IF(INDEX(Dossiers!$G$4:$G$63,2)="","",INDEX(Dossiers!$G$4:$G$63,2)))</f>
        <v/>
      </c>
    </row>
    <row r="73">
      <c r="A73">
        <f>IF($B73="","",INDEX(Dossiers!$E$4:$E$63,2))</f>
        <v/>
      </c>
      <c r="B73">
        <f>IF(INDEX(Suivi!$B:$B,75)="","",INDEX(Suivi!$B:$B,75))</f>
        <v/>
      </c>
      <c r="C73">
        <f>IF($B73="","",IF(INDEX(Suivi!$D:$D,75)="",INDEX(Suivi!$C:$C,75),INDEX(Suivi!$D:$D,75)))</f>
        <v/>
      </c>
      <c r="D73" s="29">
        <f>IF($B73="","",INDEX(Suivi!$E:$E,75))</f>
        <v/>
      </c>
      <c r="E73" s="29">
        <f>IF($B73="","",INDEX(Suivi!$F:$F,75))</f>
        <v/>
      </c>
      <c r="F73">
        <f>IF($B73="","",INDEX(Suivi!$G:$G,75))</f>
        <v/>
      </c>
      <c r="H73">
        <f>IF(OR($B73="",NOT(ISNUMBER($D73))),"",IF($E73&lt;$D$2,"Passé",IF($D73&gt;$F$2,"À venir","Dans la période")))</f>
        <v/>
      </c>
      <c r="I73">
        <f>IF(OR($B73="",NOT(ISNUMBER($D73))),"",IF(AND($E73&lt;$D$2,$G73&lt;&gt;"X",$F73&lt;&gt;"Réalisé",$F73&lt;&gt;"Clôturé"),"RETARD",""))</f>
        <v/>
      </c>
      <c r="J73" s="29">
        <f>IF($B73="","",IF(INDEX(Dossiers!$F$4:$F$63,2)="","",INDEX(Dossiers!$F$4:$F$63,2)))</f>
        <v/>
      </c>
      <c r="K73" s="29">
        <f>IF($B73="","",IF(INDEX(Dossiers!$G$4:$G$63,2)="","",INDEX(Dossiers!$G$4:$G$63,2)))</f>
        <v/>
      </c>
    </row>
    <row r="74">
      <c r="A74">
        <f>IF($B74="","",INDEX(Dossiers!$E$4:$E$63,2))</f>
        <v/>
      </c>
      <c r="B74">
        <f>IF(INDEX(Suivi!$B:$B,76)="","",INDEX(Suivi!$B:$B,76))</f>
        <v/>
      </c>
      <c r="C74">
        <f>IF($B74="","",IF(INDEX(Suivi!$D:$D,76)="",INDEX(Suivi!$C:$C,76),INDEX(Suivi!$D:$D,76)))</f>
        <v/>
      </c>
      <c r="D74" s="29">
        <f>IF($B74="","",INDEX(Suivi!$E:$E,76))</f>
        <v/>
      </c>
      <c r="E74" s="29">
        <f>IF($B74="","",INDEX(Suivi!$F:$F,76))</f>
        <v/>
      </c>
      <c r="F74">
        <f>IF($B74="","",INDEX(Suivi!$G:$G,76))</f>
        <v/>
      </c>
      <c r="H74">
        <f>IF(OR($B74="",NOT(ISNUMBER($D74))),"",IF($E74&lt;$D$2,"Passé",IF($D74&gt;$F$2,"À venir","Dans la période")))</f>
        <v/>
      </c>
      <c r="I74">
        <f>IF(OR($B74="",NOT(ISNUMBER($D74))),"",IF(AND($E74&lt;$D$2,$G74&lt;&gt;"X",$F74&lt;&gt;"Réalisé",$F74&lt;&gt;"Clôturé"),"RETARD",""))</f>
        <v/>
      </c>
      <c r="J74" s="29">
        <f>IF($B74="","",IF(INDEX(Dossiers!$F$4:$F$63,2)="","",INDEX(Dossiers!$F$4:$F$63,2)))</f>
        <v/>
      </c>
      <c r="K74" s="29">
        <f>IF($B74="","",IF(INDEX(Dossiers!$G$4:$G$63,2)="","",INDEX(Dossiers!$G$4:$G$63,2)))</f>
        <v/>
      </c>
    </row>
    <row r="75">
      <c r="A75">
        <f>IF($B75="","",INDEX(Dossiers!$E$4:$E$63,2))</f>
        <v/>
      </c>
      <c r="B75">
        <f>IF(INDEX(Suivi!$B:$B,77)="","",INDEX(Suivi!$B:$B,77))</f>
        <v/>
      </c>
      <c r="C75">
        <f>IF($B75="","",IF(INDEX(Suivi!$D:$D,77)="",INDEX(Suivi!$C:$C,77),INDEX(Suivi!$D:$D,77)))</f>
        <v/>
      </c>
      <c r="D75" s="29">
        <f>IF($B75="","",INDEX(Suivi!$E:$E,77))</f>
        <v/>
      </c>
      <c r="E75" s="29">
        <f>IF($B75="","",INDEX(Suivi!$F:$F,77))</f>
        <v/>
      </c>
      <c r="F75">
        <f>IF($B75="","",INDEX(Suivi!$G:$G,77))</f>
        <v/>
      </c>
      <c r="H75">
        <f>IF(OR($B75="",NOT(ISNUMBER($D75))),"",IF($E75&lt;$D$2,"Passé",IF($D75&gt;$F$2,"À venir","Dans la période")))</f>
        <v/>
      </c>
      <c r="I75">
        <f>IF(OR($B75="",NOT(ISNUMBER($D75))),"",IF(AND($E75&lt;$D$2,$G75&lt;&gt;"X",$F75&lt;&gt;"Réalisé",$F75&lt;&gt;"Clôturé"),"RETARD",""))</f>
        <v/>
      </c>
      <c r="J75" s="29">
        <f>IF($B75="","",IF(INDEX(Dossiers!$F$4:$F$63,2)="","",INDEX(Dossiers!$F$4:$F$63,2)))</f>
        <v/>
      </c>
      <c r="K75" s="29">
        <f>IF($B75="","",IF(INDEX(Dossiers!$G$4:$G$63,2)="","",INDEX(Dossiers!$G$4:$G$63,2)))</f>
        <v/>
      </c>
    </row>
    <row r="76">
      <c r="A76">
        <f>IF($B76="","",INDEX(Dossiers!$E$4:$E$63,2))</f>
        <v/>
      </c>
      <c r="B76">
        <f>IF(INDEX(Suivi!$B:$B,78)="","",INDEX(Suivi!$B:$B,78))</f>
        <v/>
      </c>
      <c r="C76">
        <f>IF($B76="","",IF(INDEX(Suivi!$D:$D,78)="",INDEX(Suivi!$C:$C,78),INDEX(Suivi!$D:$D,78)))</f>
        <v/>
      </c>
      <c r="D76" s="29">
        <f>IF($B76="","",INDEX(Suivi!$E:$E,78))</f>
        <v/>
      </c>
      <c r="E76" s="29">
        <f>IF($B76="","",INDEX(Suivi!$F:$F,78))</f>
        <v/>
      </c>
      <c r="F76">
        <f>IF($B76="","",INDEX(Suivi!$G:$G,78))</f>
        <v/>
      </c>
      <c r="H76">
        <f>IF(OR($B76="",NOT(ISNUMBER($D76))),"",IF($E76&lt;$D$2,"Passé",IF($D76&gt;$F$2,"À venir","Dans la période")))</f>
        <v/>
      </c>
      <c r="I76">
        <f>IF(OR($B76="",NOT(ISNUMBER($D76))),"",IF(AND($E76&lt;$D$2,$G76&lt;&gt;"X",$F76&lt;&gt;"Réalisé",$F76&lt;&gt;"Clôturé"),"RETARD",""))</f>
        <v/>
      </c>
      <c r="J76" s="29">
        <f>IF($B76="","",IF(INDEX(Dossiers!$F$4:$F$63,2)="","",INDEX(Dossiers!$F$4:$F$63,2)))</f>
        <v/>
      </c>
      <c r="K76" s="29">
        <f>IF($B76="","",IF(INDEX(Dossiers!$G$4:$G$63,2)="","",INDEX(Dossiers!$G$4:$G$63,2)))</f>
        <v/>
      </c>
    </row>
    <row r="77">
      <c r="A77">
        <f>IF($B77="","",INDEX(Dossiers!$E$4:$E$63,2))</f>
        <v/>
      </c>
      <c r="B77">
        <f>IF(INDEX(Suivi!$B:$B,79)="","",INDEX(Suivi!$B:$B,79))</f>
        <v/>
      </c>
      <c r="C77">
        <f>IF($B77="","",IF(INDEX(Suivi!$D:$D,79)="",INDEX(Suivi!$C:$C,79),INDEX(Suivi!$D:$D,79)))</f>
        <v/>
      </c>
      <c r="D77" s="29">
        <f>IF($B77="","",INDEX(Suivi!$E:$E,79))</f>
        <v/>
      </c>
      <c r="E77" s="29">
        <f>IF($B77="","",INDEX(Suivi!$F:$F,79))</f>
        <v/>
      </c>
      <c r="F77">
        <f>IF($B77="","",INDEX(Suivi!$G:$G,79))</f>
        <v/>
      </c>
      <c r="H77">
        <f>IF(OR($B77="",NOT(ISNUMBER($D77))),"",IF($E77&lt;$D$2,"Passé",IF($D77&gt;$F$2,"À venir","Dans la période")))</f>
        <v/>
      </c>
      <c r="I77">
        <f>IF(OR($B77="",NOT(ISNUMBER($D77))),"",IF(AND($E77&lt;$D$2,$G77&lt;&gt;"X",$F77&lt;&gt;"Réalisé",$F77&lt;&gt;"Clôturé"),"RETARD",""))</f>
        <v/>
      </c>
      <c r="J77" s="29">
        <f>IF($B77="","",IF(INDEX(Dossiers!$F$4:$F$63,2)="","",INDEX(Dossiers!$F$4:$F$63,2)))</f>
        <v/>
      </c>
      <c r="K77" s="29">
        <f>IF($B77="","",IF(INDEX(Dossiers!$G$4:$G$63,2)="","",INDEX(Dossiers!$G$4:$G$63,2)))</f>
        <v/>
      </c>
    </row>
    <row r="78">
      <c r="A78">
        <f>IF($B78="","",INDEX(Dossiers!$E$4:$E$63,2))</f>
        <v/>
      </c>
      <c r="B78">
        <f>IF(INDEX(Suivi!$B:$B,80)="","",INDEX(Suivi!$B:$B,80))</f>
        <v/>
      </c>
      <c r="C78">
        <f>IF($B78="","",IF(INDEX(Suivi!$D:$D,80)="",INDEX(Suivi!$C:$C,80),INDEX(Suivi!$D:$D,80)))</f>
        <v/>
      </c>
      <c r="D78" s="29">
        <f>IF($B78="","",INDEX(Suivi!$E:$E,80))</f>
        <v/>
      </c>
      <c r="E78" s="29">
        <f>IF($B78="","",INDEX(Suivi!$F:$F,80))</f>
        <v/>
      </c>
      <c r="F78">
        <f>IF($B78="","",INDEX(Suivi!$G:$G,80))</f>
        <v/>
      </c>
      <c r="H78">
        <f>IF(OR($B78="",NOT(ISNUMBER($D78))),"",IF($E78&lt;$D$2,"Passé",IF($D78&gt;$F$2,"À venir","Dans la période")))</f>
        <v/>
      </c>
      <c r="I78">
        <f>IF(OR($B78="",NOT(ISNUMBER($D78))),"",IF(AND($E78&lt;$D$2,$G78&lt;&gt;"X",$F78&lt;&gt;"Réalisé",$F78&lt;&gt;"Clôturé"),"RETARD",""))</f>
        <v/>
      </c>
      <c r="J78" s="29">
        <f>IF($B78="","",IF(INDEX(Dossiers!$F$4:$F$63,2)="","",INDEX(Dossiers!$F$4:$F$63,2)))</f>
        <v/>
      </c>
      <c r="K78" s="29">
        <f>IF($B78="","",IF(INDEX(Dossiers!$G$4:$G$63,2)="","",INDEX(Dossiers!$G$4:$G$63,2)))</f>
        <v/>
      </c>
    </row>
    <row r="79">
      <c r="A79">
        <f>IF($B79="","",INDEX(Dossiers!$E$4:$E$63,2))</f>
        <v/>
      </c>
      <c r="B79">
        <f>IF(INDEX(Suivi!$B:$B,81)="","",INDEX(Suivi!$B:$B,81))</f>
        <v/>
      </c>
      <c r="C79">
        <f>IF($B79="","",IF(INDEX(Suivi!$D:$D,81)="",INDEX(Suivi!$C:$C,81),INDEX(Suivi!$D:$D,81)))</f>
        <v/>
      </c>
      <c r="D79" s="29">
        <f>IF($B79="","",INDEX(Suivi!$E:$E,81))</f>
        <v/>
      </c>
      <c r="E79" s="29">
        <f>IF($B79="","",INDEX(Suivi!$F:$F,81))</f>
        <v/>
      </c>
      <c r="F79">
        <f>IF($B79="","",INDEX(Suivi!$G:$G,81))</f>
        <v/>
      </c>
      <c r="H79">
        <f>IF(OR($B79="",NOT(ISNUMBER($D79))),"",IF($E79&lt;$D$2,"Passé",IF($D79&gt;$F$2,"À venir","Dans la période")))</f>
        <v/>
      </c>
      <c r="I79">
        <f>IF(OR($B79="",NOT(ISNUMBER($D79))),"",IF(AND($E79&lt;$D$2,$G79&lt;&gt;"X",$F79&lt;&gt;"Réalisé",$F79&lt;&gt;"Clôturé"),"RETARD",""))</f>
        <v/>
      </c>
      <c r="J79" s="29">
        <f>IF($B79="","",IF(INDEX(Dossiers!$F$4:$F$63,2)="","",INDEX(Dossiers!$F$4:$F$63,2)))</f>
        <v/>
      </c>
      <c r="K79" s="29">
        <f>IF($B79="","",IF(INDEX(Dossiers!$G$4:$G$63,2)="","",INDEX(Dossiers!$G$4:$G$63,2)))</f>
        <v/>
      </c>
    </row>
    <row r="80">
      <c r="A80">
        <f>IF($B80="","",INDEX(Dossiers!$E$4:$E$63,2))</f>
        <v/>
      </c>
      <c r="B80">
        <f>IF(INDEX(Suivi!$B:$B,82)="","",INDEX(Suivi!$B:$B,82))</f>
        <v/>
      </c>
      <c r="C80">
        <f>IF($B80="","",IF(INDEX(Suivi!$D:$D,82)="",INDEX(Suivi!$C:$C,82),INDEX(Suivi!$D:$D,82)))</f>
        <v/>
      </c>
      <c r="D80" s="29">
        <f>IF($B80="","",INDEX(Suivi!$E:$E,82))</f>
        <v/>
      </c>
      <c r="E80" s="29">
        <f>IF($B80="","",INDEX(Suivi!$F:$F,82))</f>
        <v/>
      </c>
      <c r="F80">
        <f>IF($B80="","",INDEX(Suivi!$G:$G,82))</f>
        <v/>
      </c>
      <c r="H80">
        <f>IF(OR($B80="",NOT(ISNUMBER($D80))),"",IF($E80&lt;$D$2,"Passé",IF($D80&gt;$F$2,"À venir","Dans la période")))</f>
        <v/>
      </c>
      <c r="I80">
        <f>IF(OR($B80="",NOT(ISNUMBER($D80))),"",IF(AND($E80&lt;$D$2,$G80&lt;&gt;"X",$F80&lt;&gt;"Réalisé",$F80&lt;&gt;"Clôturé"),"RETARD",""))</f>
        <v/>
      </c>
      <c r="J80" s="29">
        <f>IF($B80="","",IF(INDEX(Dossiers!$F$4:$F$63,2)="","",INDEX(Dossiers!$F$4:$F$63,2)))</f>
        <v/>
      </c>
      <c r="K80" s="29">
        <f>IF($B80="","",IF(INDEX(Dossiers!$G$4:$G$63,2)="","",INDEX(Dossiers!$G$4:$G$63,2)))</f>
        <v/>
      </c>
    </row>
    <row r="81">
      <c r="A81">
        <f>IF($B81="","",INDEX(Dossiers!$E$4:$E$63,2))</f>
        <v/>
      </c>
      <c r="B81">
        <f>IF(INDEX(Suivi!$B:$B,83)="","",INDEX(Suivi!$B:$B,83))</f>
        <v/>
      </c>
      <c r="C81">
        <f>IF($B81="","",IF(INDEX(Suivi!$D:$D,83)="",INDEX(Suivi!$C:$C,83),INDEX(Suivi!$D:$D,83)))</f>
        <v/>
      </c>
      <c r="D81" s="29">
        <f>IF($B81="","",INDEX(Suivi!$E:$E,83))</f>
        <v/>
      </c>
      <c r="E81" s="29">
        <f>IF($B81="","",INDEX(Suivi!$F:$F,83))</f>
        <v/>
      </c>
      <c r="F81">
        <f>IF($B81="","",INDEX(Suivi!$G:$G,83))</f>
        <v/>
      </c>
      <c r="H81">
        <f>IF(OR($B81="",NOT(ISNUMBER($D81))),"",IF($E81&lt;$D$2,"Passé",IF($D81&gt;$F$2,"À venir","Dans la période")))</f>
        <v/>
      </c>
      <c r="I81">
        <f>IF(OR($B81="",NOT(ISNUMBER($D81))),"",IF(AND($E81&lt;$D$2,$G81&lt;&gt;"X",$F81&lt;&gt;"Réalisé",$F81&lt;&gt;"Clôturé"),"RETARD",""))</f>
        <v/>
      </c>
      <c r="J81" s="29">
        <f>IF($B81="","",IF(INDEX(Dossiers!$F$4:$F$63,2)="","",INDEX(Dossiers!$F$4:$F$63,2)))</f>
        <v/>
      </c>
      <c r="K81" s="29">
        <f>IF($B81="","",IF(INDEX(Dossiers!$G$4:$G$63,2)="","",INDEX(Dossiers!$G$4:$G$63,2)))</f>
        <v/>
      </c>
    </row>
    <row r="82">
      <c r="A82">
        <f>IF($B82="","",INDEX(Dossiers!$E$4:$E$63,2))</f>
        <v/>
      </c>
      <c r="B82">
        <f>IF(INDEX(Suivi!$B:$B,84)="","",INDEX(Suivi!$B:$B,84))</f>
        <v/>
      </c>
      <c r="C82">
        <f>IF($B82="","",IF(INDEX(Suivi!$D:$D,84)="",INDEX(Suivi!$C:$C,84),INDEX(Suivi!$D:$D,84)))</f>
        <v/>
      </c>
      <c r="D82" s="29">
        <f>IF($B82="","",INDEX(Suivi!$E:$E,84))</f>
        <v/>
      </c>
      <c r="E82" s="29">
        <f>IF($B82="","",INDEX(Suivi!$F:$F,84))</f>
        <v/>
      </c>
      <c r="F82">
        <f>IF($B82="","",INDEX(Suivi!$G:$G,84))</f>
        <v/>
      </c>
      <c r="H82">
        <f>IF(OR($B82="",NOT(ISNUMBER($D82))),"",IF($E82&lt;$D$2,"Passé",IF($D82&gt;$F$2,"À venir","Dans la période")))</f>
        <v/>
      </c>
      <c r="I82">
        <f>IF(OR($B82="",NOT(ISNUMBER($D82))),"",IF(AND($E82&lt;$D$2,$G82&lt;&gt;"X",$F82&lt;&gt;"Réalisé",$F82&lt;&gt;"Clôturé"),"RETARD",""))</f>
        <v/>
      </c>
      <c r="J82" s="29">
        <f>IF($B82="","",IF(INDEX(Dossiers!$F$4:$F$63,2)="","",INDEX(Dossiers!$F$4:$F$63,2)))</f>
        <v/>
      </c>
      <c r="K82" s="29">
        <f>IF($B82="","",IF(INDEX(Dossiers!$G$4:$G$63,2)="","",INDEX(Dossiers!$G$4:$G$63,2)))</f>
        <v/>
      </c>
    </row>
    <row r="83">
      <c r="A83">
        <f>IF($B83="","",INDEX(Dossiers!$E$4:$E$63,2))</f>
        <v/>
      </c>
      <c r="B83">
        <f>IF(INDEX(Suivi!$B:$B,85)="","",INDEX(Suivi!$B:$B,85))</f>
        <v/>
      </c>
      <c r="C83">
        <f>IF($B83="","",IF(INDEX(Suivi!$D:$D,85)="",INDEX(Suivi!$C:$C,85),INDEX(Suivi!$D:$D,85)))</f>
        <v/>
      </c>
      <c r="D83" s="29">
        <f>IF($B83="","",INDEX(Suivi!$E:$E,85))</f>
        <v/>
      </c>
      <c r="E83" s="29">
        <f>IF($B83="","",INDEX(Suivi!$F:$F,85))</f>
        <v/>
      </c>
      <c r="F83">
        <f>IF($B83="","",INDEX(Suivi!$G:$G,85))</f>
        <v/>
      </c>
      <c r="H83">
        <f>IF(OR($B83="",NOT(ISNUMBER($D83))),"",IF($E83&lt;$D$2,"Passé",IF($D83&gt;$F$2,"À venir","Dans la période")))</f>
        <v/>
      </c>
      <c r="I83">
        <f>IF(OR($B83="",NOT(ISNUMBER($D83))),"",IF(AND($E83&lt;$D$2,$G83&lt;&gt;"X",$F83&lt;&gt;"Réalisé",$F83&lt;&gt;"Clôturé"),"RETARD",""))</f>
        <v/>
      </c>
      <c r="J83" s="29">
        <f>IF($B83="","",IF(INDEX(Dossiers!$F$4:$F$63,2)="","",INDEX(Dossiers!$F$4:$F$63,2)))</f>
        <v/>
      </c>
      <c r="K83" s="29">
        <f>IF($B83="","",IF(INDEX(Dossiers!$G$4:$G$63,2)="","",INDEX(Dossiers!$G$4:$G$63,2)))</f>
        <v/>
      </c>
    </row>
    <row r="84">
      <c r="A84">
        <f>IF($B84="","",INDEX(Dossiers!$E$4:$E$63,2))</f>
        <v/>
      </c>
      <c r="B84">
        <f>IF(INDEX(Suivi!$B:$B,86)="","",INDEX(Suivi!$B:$B,86))</f>
        <v/>
      </c>
      <c r="C84">
        <f>IF($B84="","",IF(INDEX(Suivi!$D:$D,86)="",INDEX(Suivi!$C:$C,86),INDEX(Suivi!$D:$D,86)))</f>
        <v/>
      </c>
      <c r="D84" s="29">
        <f>IF($B84="","",INDEX(Suivi!$E:$E,86))</f>
        <v/>
      </c>
      <c r="E84" s="29">
        <f>IF($B84="","",INDEX(Suivi!$F:$F,86))</f>
        <v/>
      </c>
      <c r="F84">
        <f>IF($B84="","",INDEX(Suivi!$G:$G,86))</f>
        <v/>
      </c>
      <c r="H84">
        <f>IF(OR($B84="",NOT(ISNUMBER($D84))),"",IF($E84&lt;$D$2,"Passé",IF($D84&gt;$F$2,"À venir","Dans la période")))</f>
        <v/>
      </c>
      <c r="I84">
        <f>IF(OR($B84="",NOT(ISNUMBER($D84))),"",IF(AND($E84&lt;$D$2,$G84&lt;&gt;"X",$F84&lt;&gt;"Réalisé",$F84&lt;&gt;"Clôturé"),"RETARD",""))</f>
        <v/>
      </c>
      <c r="J84" s="29">
        <f>IF($B84="","",IF(INDEX(Dossiers!$F$4:$F$63,2)="","",INDEX(Dossiers!$F$4:$F$63,2)))</f>
        <v/>
      </c>
      <c r="K84" s="29">
        <f>IF($B84="","",IF(INDEX(Dossiers!$G$4:$G$63,2)="","",INDEX(Dossiers!$G$4:$G$63,2)))</f>
        <v/>
      </c>
    </row>
    <row r="85">
      <c r="A85">
        <f>IF($B85="","",INDEX(Dossiers!$E$4:$E$63,2))</f>
        <v/>
      </c>
      <c r="B85">
        <f>IF(INDEX(Suivi!$B:$B,87)="","",INDEX(Suivi!$B:$B,87))</f>
        <v/>
      </c>
      <c r="C85">
        <f>IF($B85="","",IF(INDEX(Suivi!$D:$D,87)="",INDEX(Suivi!$C:$C,87),INDEX(Suivi!$D:$D,87)))</f>
        <v/>
      </c>
      <c r="D85" s="29">
        <f>IF($B85="","",INDEX(Suivi!$E:$E,87))</f>
        <v/>
      </c>
      <c r="E85" s="29">
        <f>IF($B85="","",INDEX(Suivi!$F:$F,87))</f>
        <v/>
      </c>
      <c r="F85">
        <f>IF($B85="","",INDEX(Suivi!$G:$G,87))</f>
        <v/>
      </c>
      <c r="H85">
        <f>IF(OR($B85="",NOT(ISNUMBER($D85))),"",IF($E85&lt;$D$2,"Passé",IF($D85&gt;$F$2,"À venir","Dans la période")))</f>
        <v/>
      </c>
      <c r="I85">
        <f>IF(OR($B85="",NOT(ISNUMBER($D85))),"",IF(AND($E85&lt;$D$2,$G85&lt;&gt;"X",$F85&lt;&gt;"Réalisé",$F85&lt;&gt;"Clôturé"),"RETARD",""))</f>
        <v/>
      </c>
      <c r="J85" s="29">
        <f>IF($B85="","",IF(INDEX(Dossiers!$F$4:$F$63,2)="","",INDEX(Dossiers!$F$4:$F$63,2)))</f>
        <v/>
      </c>
      <c r="K85" s="29">
        <f>IF($B85="","",IF(INDEX(Dossiers!$G$4:$G$63,2)="","",INDEX(Dossiers!$G$4:$G$63,2)))</f>
        <v/>
      </c>
    </row>
    <row r="86">
      <c r="A86">
        <f>IF($B86="","",INDEX(Dossiers!$E$4:$E$63,2))</f>
        <v/>
      </c>
      <c r="B86">
        <f>IF(INDEX(Suivi!$B:$B,88)="","",INDEX(Suivi!$B:$B,88))</f>
        <v/>
      </c>
      <c r="C86">
        <f>IF($B86="","",IF(INDEX(Suivi!$D:$D,88)="",INDEX(Suivi!$C:$C,88),INDEX(Suivi!$D:$D,88)))</f>
        <v/>
      </c>
      <c r="D86" s="29">
        <f>IF($B86="","",INDEX(Suivi!$E:$E,88))</f>
        <v/>
      </c>
      <c r="E86" s="29">
        <f>IF($B86="","",INDEX(Suivi!$F:$F,88))</f>
        <v/>
      </c>
      <c r="F86">
        <f>IF($B86="","",INDEX(Suivi!$G:$G,88))</f>
        <v/>
      </c>
      <c r="H86">
        <f>IF(OR($B86="",NOT(ISNUMBER($D86))),"",IF($E86&lt;$D$2,"Passé",IF($D86&gt;$F$2,"À venir","Dans la période")))</f>
        <v/>
      </c>
      <c r="I86">
        <f>IF(OR($B86="",NOT(ISNUMBER($D86))),"",IF(AND($E86&lt;$D$2,$G86&lt;&gt;"X",$F86&lt;&gt;"Réalisé",$F86&lt;&gt;"Clôturé"),"RETARD",""))</f>
        <v/>
      </c>
      <c r="J86" s="29">
        <f>IF($B86="","",IF(INDEX(Dossiers!$F$4:$F$63,2)="","",INDEX(Dossiers!$F$4:$F$63,2)))</f>
        <v/>
      </c>
      <c r="K86" s="29">
        <f>IF($B86="","",IF(INDEX(Dossiers!$G$4:$G$63,2)="","",INDEX(Dossiers!$G$4:$G$63,2)))</f>
        <v/>
      </c>
    </row>
    <row r="87">
      <c r="A87">
        <f>IF($B87="","",INDEX(Dossiers!$E$4:$E$63,2))</f>
        <v/>
      </c>
      <c r="B87">
        <f>IF(INDEX(Suivi!$B:$B,89)="","",INDEX(Suivi!$B:$B,89))</f>
        <v/>
      </c>
      <c r="C87">
        <f>IF($B87="","",IF(INDEX(Suivi!$D:$D,89)="",INDEX(Suivi!$C:$C,89),INDEX(Suivi!$D:$D,89)))</f>
        <v/>
      </c>
      <c r="D87" s="29">
        <f>IF($B87="","",INDEX(Suivi!$E:$E,89))</f>
        <v/>
      </c>
      <c r="E87" s="29">
        <f>IF($B87="","",INDEX(Suivi!$F:$F,89))</f>
        <v/>
      </c>
      <c r="F87">
        <f>IF($B87="","",INDEX(Suivi!$G:$G,89))</f>
        <v/>
      </c>
      <c r="H87">
        <f>IF(OR($B87="",NOT(ISNUMBER($D87))),"",IF($E87&lt;$D$2,"Passé",IF($D87&gt;$F$2,"À venir","Dans la période")))</f>
        <v/>
      </c>
      <c r="I87">
        <f>IF(OR($B87="",NOT(ISNUMBER($D87))),"",IF(AND($E87&lt;$D$2,$G87&lt;&gt;"X",$F87&lt;&gt;"Réalisé",$F87&lt;&gt;"Clôturé"),"RETARD",""))</f>
        <v/>
      </c>
      <c r="J87" s="29">
        <f>IF($B87="","",IF(INDEX(Dossiers!$F$4:$F$63,2)="","",INDEX(Dossiers!$F$4:$F$63,2)))</f>
        <v/>
      </c>
      <c r="K87" s="29">
        <f>IF($B87="","",IF(INDEX(Dossiers!$G$4:$G$63,2)="","",INDEX(Dossiers!$G$4:$G$63,2)))</f>
        <v/>
      </c>
    </row>
    <row r="88">
      <c r="A88">
        <f>IF($B88="","",INDEX(Dossiers!$E$4:$E$63,2))</f>
        <v/>
      </c>
      <c r="B88">
        <f>IF(INDEX(Suivi!$B:$B,90)="","",INDEX(Suivi!$B:$B,90))</f>
        <v/>
      </c>
      <c r="C88">
        <f>IF($B88="","",IF(INDEX(Suivi!$D:$D,90)="",INDEX(Suivi!$C:$C,90),INDEX(Suivi!$D:$D,90)))</f>
        <v/>
      </c>
      <c r="D88" s="29">
        <f>IF($B88="","",INDEX(Suivi!$E:$E,90))</f>
        <v/>
      </c>
      <c r="E88" s="29">
        <f>IF($B88="","",INDEX(Suivi!$F:$F,90))</f>
        <v/>
      </c>
      <c r="F88">
        <f>IF($B88="","",INDEX(Suivi!$G:$G,90))</f>
        <v/>
      </c>
      <c r="H88">
        <f>IF(OR($B88="",NOT(ISNUMBER($D88))),"",IF($E88&lt;$D$2,"Passé",IF($D88&gt;$F$2,"À venir","Dans la période")))</f>
        <v/>
      </c>
      <c r="I88">
        <f>IF(OR($B88="",NOT(ISNUMBER($D88))),"",IF(AND($E88&lt;$D$2,$G88&lt;&gt;"X",$F88&lt;&gt;"Réalisé",$F88&lt;&gt;"Clôturé"),"RETARD",""))</f>
        <v/>
      </c>
      <c r="J88" s="29">
        <f>IF($B88="","",IF(INDEX(Dossiers!$F$4:$F$63,2)="","",INDEX(Dossiers!$F$4:$F$63,2)))</f>
        <v/>
      </c>
      <c r="K88" s="29">
        <f>IF($B88="","",IF(INDEX(Dossiers!$G$4:$G$63,2)="","",INDEX(Dossiers!$G$4:$G$63,2)))</f>
        <v/>
      </c>
    </row>
    <row r="89">
      <c r="A89">
        <f>IF($B89="","",INDEX(Dossiers!$E$4:$E$63,2))</f>
        <v/>
      </c>
      <c r="B89">
        <f>IF(INDEX(Suivi!$B:$B,91)="","",INDEX(Suivi!$B:$B,91))</f>
        <v/>
      </c>
      <c r="C89">
        <f>IF($B89="","",IF(INDEX(Suivi!$D:$D,91)="",INDEX(Suivi!$C:$C,91),INDEX(Suivi!$D:$D,91)))</f>
        <v/>
      </c>
      <c r="D89" s="29">
        <f>IF($B89="","",INDEX(Suivi!$E:$E,91))</f>
        <v/>
      </c>
      <c r="E89" s="29">
        <f>IF($B89="","",INDEX(Suivi!$F:$F,91))</f>
        <v/>
      </c>
      <c r="F89">
        <f>IF($B89="","",INDEX(Suivi!$G:$G,91))</f>
        <v/>
      </c>
      <c r="H89">
        <f>IF(OR($B89="",NOT(ISNUMBER($D89))),"",IF($E89&lt;$D$2,"Passé",IF($D89&gt;$F$2,"À venir","Dans la période")))</f>
        <v/>
      </c>
      <c r="I89">
        <f>IF(OR($B89="",NOT(ISNUMBER($D89))),"",IF(AND($E89&lt;$D$2,$G89&lt;&gt;"X",$F89&lt;&gt;"Réalisé",$F89&lt;&gt;"Clôturé"),"RETARD",""))</f>
        <v/>
      </c>
      <c r="J89" s="29">
        <f>IF($B89="","",IF(INDEX(Dossiers!$F$4:$F$63,2)="","",INDEX(Dossiers!$F$4:$F$63,2)))</f>
        <v/>
      </c>
      <c r="K89" s="29">
        <f>IF($B89="","",IF(INDEX(Dossiers!$G$4:$G$63,2)="","",INDEX(Dossiers!$G$4:$G$63,2)))</f>
        <v/>
      </c>
    </row>
    <row r="90">
      <c r="A90">
        <f>IF($B90="","",INDEX(Dossiers!$E$4:$E$63,2))</f>
        <v/>
      </c>
      <c r="B90">
        <f>IF(INDEX(Suivi!$B:$B,92)="","",INDEX(Suivi!$B:$B,92))</f>
        <v/>
      </c>
      <c r="C90">
        <f>IF($B90="","",IF(INDEX(Suivi!$D:$D,92)="",INDEX(Suivi!$C:$C,92),INDEX(Suivi!$D:$D,92)))</f>
        <v/>
      </c>
      <c r="D90" s="29">
        <f>IF($B90="","",INDEX(Suivi!$E:$E,92))</f>
        <v/>
      </c>
      <c r="E90" s="29">
        <f>IF($B90="","",INDEX(Suivi!$F:$F,92))</f>
        <v/>
      </c>
      <c r="F90">
        <f>IF($B90="","",INDEX(Suivi!$G:$G,92))</f>
        <v/>
      </c>
      <c r="H90">
        <f>IF(OR($B90="",NOT(ISNUMBER($D90))),"",IF($E90&lt;$D$2,"Passé",IF($D90&gt;$F$2,"À venir","Dans la période")))</f>
        <v/>
      </c>
      <c r="I90">
        <f>IF(OR($B90="",NOT(ISNUMBER($D90))),"",IF(AND($E90&lt;$D$2,$G90&lt;&gt;"X",$F90&lt;&gt;"Réalisé",$F90&lt;&gt;"Clôturé"),"RETARD",""))</f>
        <v/>
      </c>
      <c r="J90" s="29">
        <f>IF($B90="","",IF(INDEX(Dossiers!$F$4:$F$63,2)="","",INDEX(Dossiers!$F$4:$F$63,2)))</f>
        <v/>
      </c>
      <c r="K90" s="29">
        <f>IF($B90="","",IF(INDEX(Dossiers!$G$4:$G$63,2)="","",INDEX(Dossiers!$G$4:$G$63,2)))</f>
        <v/>
      </c>
    </row>
    <row r="91">
      <c r="A91">
        <f>IF($B91="","",INDEX(Dossiers!$E$4:$E$63,2))</f>
        <v/>
      </c>
      <c r="B91">
        <f>IF(INDEX(Suivi!$B:$B,93)="","",INDEX(Suivi!$B:$B,93))</f>
        <v/>
      </c>
      <c r="C91">
        <f>IF($B91="","",IF(INDEX(Suivi!$D:$D,93)="",INDEX(Suivi!$C:$C,93),INDEX(Suivi!$D:$D,93)))</f>
        <v/>
      </c>
      <c r="D91" s="29">
        <f>IF($B91="","",INDEX(Suivi!$E:$E,93))</f>
        <v/>
      </c>
      <c r="E91" s="29">
        <f>IF($B91="","",INDEX(Suivi!$F:$F,93))</f>
        <v/>
      </c>
      <c r="F91">
        <f>IF($B91="","",INDEX(Suivi!$G:$G,93))</f>
        <v/>
      </c>
      <c r="H91">
        <f>IF(OR($B91="",NOT(ISNUMBER($D91))),"",IF($E91&lt;$D$2,"Passé",IF($D91&gt;$F$2,"À venir","Dans la période")))</f>
        <v/>
      </c>
      <c r="I91">
        <f>IF(OR($B91="",NOT(ISNUMBER($D91))),"",IF(AND($E91&lt;$D$2,$G91&lt;&gt;"X",$F91&lt;&gt;"Réalisé",$F91&lt;&gt;"Clôturé"),"RETARD",""))</f>
        <v/>
      </c>
      <c r="J91" s="29">
        <f>IF($B91="","",IF(INDEX(Dossiers!$F$4:$F$63,2)="","",INDEX(Dossiers!$F$4:$F$63,2)))</f>
        <v/>
      </c>
      <c r="K91" s="29">
        <f>IF($B91="","",IF(INDEX(Dossiers!$G$4:$G$63,2)="","",INDEX(Dossiers!$G$4:$G$63,2)))</f>
        <v/>
      </c>
    </row>
    <row r="92">
      <c r="A92">
        <f>IF($B92="","",INDEX(Dossiers!$E$4:$E$63,2))</f>
        <v/>
      </c>
      <c r="B92">
        <f>IF(INDEX(Suivi!$B:$B,94)="","",INDEX(Suivi!$B:$B,94))</f>
        <v/>
      </c>
      <c r="C92">
        <f>IF($B92="","",IF(INDEX(Suivi!$D:$D,94)="",INDEX(Suivi!$C:$C,94),INDEX(Suivi!$D:$D,94)))</f>
        <v/>
      </c>
      <c r="D92" s="29">
        <f>IF($B92="","",INDEX(Suivi!$E:$E,94))</f>
        <v/>
      </c>
      <c r="E92" s="29">
        <f>IF($B92="","",INDEX(Suivi!$F:$F,94))</f>
        <v/>
      </c>
      <c r="F92">
        <f>IF($B92="","",INDEX(Suivi!$G:$G,94))</f>
        <v/>
      </c>
      <c r="H92">
        <f>IF(OR($B92="",NOT(ISNUMBER($D92))),"",IF($E92&lt;$D$2,"Passé",IF($D92&gt;$F$2,"À venir","Dans la période")))</f>
        <v/>
      </c>
      <c r="I92">
        <f>IF(OR($B92="",NOT(ISNUMBER($D92))),"",IF(AND($E92&lt;$D$2,$G92&lt;&gt;"X",$F92&lt;&gt;"Réalisé",$F92&lt;&gt;"Clôturé"),"RETARD",""))</f>
        <v/>
      </c>
      <c r="J92" s="29">
        <f>IF($B92="","",IF(INDEX(Dossiers!$F$4:$F$63,2)="","",INDEX(Dossiers!$F$4:$F$63,2)))</f>
        <v/>
      </c>
      <c r="K92" s="29">
        <f>IF($B92="","",IF(INDEX(Dossiers!$G$4:$G$63,2)="","",INDEX(Dossiers!$G$4:$G$63,2)))</f>
        <v/>
      </c>
    </row>
    <row r="93">
      <c r="A93">
        <f>IF($B93="","",INDEX(Dossiers!$E$4:$E$63,2))</f>
        <v/>
      </c>
      <c r="B93">
        <f>IF(INDEX(Suivi!$B:$B,95)="","",INDEX(Suivi!$B:$B,95))</f>
        <v/>
      </c>
      <c r="C93">
        <f>IF($B93="","",IF(INDEX(Suivi!$D:$D,95)="",INDEX(Suivi!$C:$C,95),INDEX(Suivi!$D:$D,95)))</f>
        <v/>
      </c>
      <c r="D93" s="29">
        <f>IF($B93="","",INDEX(Suivi!$E:$E,95))</f>
        <v/>
      </c>
      <c r="E93" s="29">
        <f>IF($B93="","",INDEX(Suivi!$F:$F,95))</f>
        <v/>
      </c>
      <c r="F93">
        <f>IF($B93="","",INDEX(Suivi!$G:$G,95))</f>
        <v/>
      </c>
      <c r="H93">
        <f>IF(OR($B93="",NOT(ISNUMBER($D93))),"",IF($E93&lt;$D$2,"Passé",IF($D93&gt;$F$2,"À venir","Dans la période")))</f>
        <v/>
      </c>
      <c r="I93">
        <f>IF(OR($B93="",NOT(ISNUMBER($D93))),"",IF(AND($E93&lt;$D$2,$G93&lt;&gt;"X",$F93&lt;&gt;"Réalisé",$F93&lt;&gt;"Clôturé"),"RETARD",""))</f>
        <v/>
      </c>
      <c r="J93" s="29">
        <f>IF($B93="","",IF(INDEX(Dossiers!$F$4:$F$63,2)="","",INDEX(Dossiers!$F$4:$F$63,2)))</f>
        <v/>
      </c>
      <c r="K93" s="29">
        <f>IF($B93="","",IF(INDEX(Dossiers!$G$4:$G$63,2)="","",INDEX(Dossiers!$G$4:$G$63,2)))</f>
        <v/>
      </c>
    </row>
    <row r="94">
      <c r="A94">
        <f>IF($B94="","",INDEX(Dossiers!$E$4:$E$63,2))</f>
        <v/>
      </c>
      <c r="B94">
        <f>IF(INDEX(Suivi!$B:$B,96)="","",INDEX(Suivi!$B:$B,96))</f>
        <v/>
      </c>
      <c r="C94">
        <f>IF($B94="","",IF(INDEX(Suivi!$D:$D,96)="",INDEX(Suivi!$C:$C,96),INDEX(Suivi!$D:$D,96)))</f>
        <v/>
      </c>
      <c r="D94" s="29">
        <f>IF($B94="","",INDEX(Suivi!$E:$E,96))</f>
        <v/>
      </c>
      <c r="E94" s="29">
        <f>IF($B94="","",INDEX(Suivi!$F:$F,96))</f>
        <v/>
      </c>
      <c r="F94">
        <f>IF($B94="","",INDEX(Suivi!$G:$G,96))</f>
        <v/>
      </c>
      <c r="H94">
        <f>IF(OR($B94="",NOT(ISNUMBER($D94))),"",IF($E94&lt;$D$2,"Passé",IF($D94&gt;$F$2,"À venir","Dans la période")))</f>
        <v/>
      </c>
      <c r="I94">
        <f>IF(OR($B94="",NOT(ISNUMBER($D94))),"",IF(AND($E94&lt;$D$2,$G94&lt;&gt;"X",$F94&lt;&gt;"Réalisé",$F94&lt;&gt;"Clôturé"),"RETARD",""))</f>
        <v/>
      </c>
      <c r="J94" s="29">
        <f>IF($B94="","",IF(INDEX(Dossiers!$F$4:$F$63,2)="","",INDEX(Dossiers!$F$4:$F$63,2)))</f>
        <v/>
      </c>
      <c r="K94" s="29">
        <f>IF($B94="","",IF(INDEX(Dossiers!$G$4:$G$63,2)="","",INDEX(Dossiers!$G$4:$G$63,2)))</f>
        <v/>
      </c>
    </row>
    <row r="95">
      <c r="A95">
        <f>IF($B95="","",INDEX(Dossiers!$E$4:$E$63,2))</f>
        <v/>
      </c>
      <c r="B95">
        <f>IF(INDEX(Suivi!$B:$B,97)="","",INDEX(Suivi!$B:$B,97))</f>
        <v/>
      </c>
      <c r="C95">
        <f>IF($B95="","",IF(INDEX(Suivi!$D:$D,97)="",INDEX(Suivi!$C:$C,97),INDEX(Suivi!$D:$D,97)))</f>
        <v/>
      </c>
      <c r="D95" s="29">
        <f>IF($B95="","",INDEX(Suivi!$E:$E,97))</f>
        <v/>
      </c>
      <c r="E95" s="29">
        <f>IF($B95="","",INDEX(Suivi!$F:$F,97))</f>
        <v/>
      </c>
      <c r="F95">
        <f>IF($B95="","",INDEX(Suivi!$G:$G,97))</f>
        <v/>
      </c>
      <c r="H95">
        <f>IF(OR($B95="",NOT(ISNUMBER($D95))),"",IF($E95&lt;$D$2,"Passé",IF($D95&gt;$F$2,"À venir","Dans la période")))</f>
        <v/>
      </c>
      <c r="I95">
        <f>IF(OR($B95="",NOT(ISNUMBER($D95))),"",IF(AND($E95&lt;$D$2,$G95&lt;&gt;"X",$F95&lt;&gt;"Réalisé",$F95&lt;&gt;"Clôturé"),"RETARD",""))</f>
        <v/>
      </c>
      <c r="J95" s="29">
        <f>IF($B95="","",IF(INDEX(Dossiers!$F$4:$F$63,2)="","",INDEX(Dossiers!$F$4:$F$63,2)))</f>
        <v/>
      </c>
      <c r="K95" s="29">
        <f>IF($B95="","",IF(INDEX(Dossiers!$G$4:$G$63,2)="","",INDEX(Dossiers!$G$4:$G$63,2)))</f>
        <v/>
      </c>
    </row>
    <row r="96">
      <c r="A96">
        <f>IF($B96="","",INDEX(Dossiers!$E$4:$E$63,2))</f>
        <v/>
      </c>
      <c r="B96">
        <f>IF(INDEX(Suivi!$B:$B,98)="","",INDEX(Suivi!$B:$B,98))</f>
        <v/>
      </c>
      <c r="C96">
        <f>IF($B96="","",IF(INDEX(Suivi!$D:$D,98)="",INDEX(Suivi!$C:$C,98),INDEX(Suivi!$D:$D,98)))</f>
        <v/>
      </c>
      <c r="D96" s="29">
        <f>IF($B96="","",INDEX(Suivi!$E:$E,98))</f>
        <v/>
      </c>
      <c r="E96" s="29">
        <f>IF($B96="","",INDEX(Suivi!$F:$F,98))</f>
        <v/>
      </c>
      <c r="F96">
        <f>IF($B96="","",INDEX(Suivi!$G:$G,98))</f>
        <v/>
      </c>
      <c r="H96">
        <f>IF(OR($B96="",NOT(ISNUMBER($D96))),"",IF($E96&lt;$D$2,"Passé",IF($D96&gt;$F$2,"À venir","Dans la période")))</f>
        <v/>
      </c>
      <c r="I96">
        <f>IF(OR($B96="",NOT(ISNUMBER($D96))),"",IF(AND($E96&lt;$D$2,$G96&lt;&gt;"X",$F96&lt;&gt;"Réalisé",$F96&lt;&gt;"Clôturé"),"RETARD",""))</f>
        <v/>
      </c>
      <c r="J96" s="29">
        <f>IF($B96="","",IF(INDEX(Dossiers!$F$4:$F$63,2)="","",INDEX(Dossiers!$F$4:$F$63,2)))</f>
        <v/>
      </c>
      <c r="K96" s="29">
        <f>IF($B96="","",IF(INDEX(Dossiers!$G$4:$G$63,2)="","",INDEX(Dossiers!$G$4:$G$63,2)))</f>
        <v/>
      </c>
    </row>
    <row r="97">
      <c r="A97">
        <f>IF($B97="","",INDEX(Dossiers!$E$4:$E$63,2))</f>
        <v/>
      </c>
      <c r="B97">
        <f>IF(INDEX(Suivi!$B:$B,99)="","",INDEX(Suivi!$B:$B,99))</f>
        <v/>
      </c>
      <c r="C97">
        <f>IF($B97="","",IF(INDEX(Suivi!$D:$D,99)="",INDEX(Suivi!$C:$C,99),INDEX(Suivi!$D:$D,99)))</f>
        <v/>
      </c>
      <c r="D97" s="29">
        <f>IF($B97="","",INDEX(Suivi!$E:$E,99))</f>
        <v/>
      </c>
      <c r="E97" s="29">
        <f>IF($B97="","",INDEX(Suivi!$F:$F,99))</f>
        <v/>
      </c>
      <c r="F97">
        <f>IF($B97="","",INDEX(Suivi!$G:$G,99))</f>
        <v/>
      </c>
      <c r="H97">
        <f>IF(OR($B97="",NOT(ISNUMBER($D97))),"",IF($E97&lt;$D$2,"Passé",IF($D97&gt;$F$2,"À venir","Dans la période")))</f>
        <v/>
      </c>
      <c r="I97">
        <f>IF(OR($B97="",NOT(ISNUMBER($D97))),"",IF(AND($E97&lt;$D$2,$G97&lt;&gt;"X",$F97&lt;&gt;"Réalisé",$F97&lt;&gt;"Clôturé"),"RETARD",""))</f>
        <v/>
      </c>
      <c r="J97" s="29">
        <f>IF($B97="","",IF(INDEX(Dossiers!$F$4:$F$63,2)="","",INDEX(Dossiers!$F$4:$F$63,2)))</f>
        <v/>
      </c>
      <c r="K97" s="29">
        <f>IF($B97="","",IF(INDEX(Dossiers!$G$4:$G$63,2)="","",INDEX(Dossiers!$G$4:$G$63,2)))</f>
        <v/>
      </c>
    </row>
    <row r="98">
      <c r="A98">
        <f>IF($B98="","",INDEX(Dossiers!$E$4:$E$63,2))</f>
        <v/>
      </c>
      <c r="B98">
        <f>IF(INDEX(Suivi!$B:$B,100)="","",INDEX(Suivi!$B:$B,100))</f>
        <v/>
      </c>
      <c r="C98">
        <f>IF($B98="","",IF(INDEX(Suivi!$D:$D,100)="",INDEX(Suivi!$C:$C,100),INDEX(Suivi!$D:$D,100)))</f>
        <v/>
      </c>
      <c r="D98" s="29">
        <f>IF($B98="","",INDEX(Suivi!$E:$E,100))</f>
        <v/>
      </c>
      <c r="E98" s="29">
        <f>IF($B98="","",INDEX(Suivi!$F:$F,100))</f>
        <v/>
      </c>
      <c r="F98">
        <f>IF($B98="","",INDEX(Suivi!$G:$G,100))</f>
        <v/>
      </c>
      <c r="H98">
        <f>IF(OR($B98="",NOT(ISNUMBER($D98))),"",IF($E98&lt;$D$2,"Passé",IF($D98&gt;$F$2,"À venir","Dans la période")))</f>
        <v/>
      </c>
      <c r="I98">
        <f>IF(OR($B98="",NOT(ISNUMBER($D98))),"",IF(AND($E98&lt;$D$2,$G98&lt;&gt;"X",$F98&lt;&gt;"Réalisé",$F98&lt;&gt;"Clôturé"),"RETARD",""))</f>
        <v/>
      </c>
      <c r="J98" s="29">
        <f>IF($B98="","",IF(INDEX(Dossiers!$F$4:$F$63,2)="","",INDEX(Dossiers!$F$4:$F$63,2)))</f>
        <v/>
      </c>
      <c r="K98" s="29">
        <f>IF($B98="","",IF(INDEX(Dossiers!$G$4:$G$63,2)="","",INDEX(Dossiers!$G$4:$G$63,2)))</f>
        <v/>
      </c>
    </row>
    <row r="99">
      <c r="A99">
        <f>IF($B99="","",INDEX(Dossiers!$E$4:$E$63,2))</f>
        <v/>
      </c>
      <c r="B99">
        <f>IF(INDEX(Suivi!$B:$B,101)="","",INDEX(Suivi!$B:$B,101))</f>
        <v/>
      </c>
      <c r="C99">
        <f>IF($B99="","",IF(INDEX(Suivi!$D:$D,101)="",INDEX(Suivi!$C:$C,101),INDEX(Suivi!$D:$D,101)))</f>
        <v/>
      </c>
      <c r="D99" s="29">
        <f>IF($B99="","",INDEX(Suivi!$E:$E,101))</f>
        <v/>
      </c>
      <c r="E99" s="29">
        <f>IF($B99="","",INDEX(Suivi!$F:$F,101))</f>
        <v/>
      </c>
      <c r="F99">
        <f>IF($B99="","",INDEX(Suivi!$G:$G,101))</f>
        <v/>
      </c>
      <c r="H99">
        <f>IF(OR($B99="",NOT(ISNUMBER($D99))),"",IF($E99&lt;$D$2,"Passé",IF($D99&gt;$F$2,"À venir","Dans la période")))</f>
        <v/>
      </c>
      <c r="I99">
        <f>IF(OR($B99="",NOT(ISNUMBER($D99))),"",IF(AND($E99&lt;$D$2,$G99&lt;&gt;"X",$F99&lt;&gt;"Réalisé",$F99&lt;&gt;"Clôturé"),"RETARD",""))</f>
        <v/>
      </c>
      <c r="J99" s="29">
        <f>IF($B99="","",IF(INDEX(Dossiers!$F$4:$F$63,2)="","",INDEX(Dossiers!$F$4:$F$63,2)))</f>
        <v/>
      </c>
      <c r="K99" s="29">
        <f>IF($B99="","",IF(INDEX(Dossiers!$G$4:$G$63,2)="","",INDEX(Dossiers!$G$4:$G$63,2)))</f>
        <v/>
      </c>
    </row>
    <row r="100">
      <c r="A100">
        <f>IF($B100="","",INDEX(Dossiers!$E$4:$E$63,2))</f>
        <v/>
      </c>
      <c r="B100">
        <f>IF(INDEX(Suivi!$B:$B,102)="","",INDEX(Suivi!$B:$B,102))</f>
        <v/>
      </c>
      <c r="C100">
        <f>IF($B100="","",IF(INDEX(Suivi!$D:$D,102)="",INDEX(Suivi!$C:$C,102),INDEX(Suivi!$D:$D,102)))</f>
        <v/>
      </c>
      <c r="D100" s="29">
        <f>IF($B100="","",INDEX(Suivi!$E:$E,102))</f>
        <v/>
      </c>
      <c r="E100" s="29">
        <f>IF($B100="","",INDEX(Suivi!$F:$F,102))</f>
        <v/>
      </c>
      <c r="F100">
        <f>IF($B100="","",INDEX(Suivi!$G:$G,102))</f>
        <v/>
      </c>
      <c r="H100">
        <f>IF(OR($B100="",NOT(ISNUMBER($D100))),"",IF($E100&lt;$D$2,"Passé",IF($D100&gt;$F$2,"À venir","Dans la période")))</f>
        <v/>
      </c>
      <c r="I100">
        <f>IF(OR($B100="",NOT(ISNUMBER($D100))),"",IF(AND($E100&lt;$D$2,$G100&lt;&gt;"X",$F100&lt;&gt;"Réalisé",$F100&lt;&gt;"Clôturé"),"RETARD",""))</f>
        <v/>
      </c>
      <c r="J100" s="29">
        <f>IF($B100="","",IF(INDEX(Dossiers!$F$4:$F$63,2)="","",INDEX(Dossiers!$F$4:$F$63,2)))</f>
        <v/>
      </c>
      <c r="K100" s="29">
        <f>IF($B100="","",IF(INDEX(Dossiers!$G$4:$G$63,2)="","",INDEX(Dossiers!$G$4:$G$63,2)))</f>
        <v/>
      </c>
    </row>
    <row r="101">
      <c r="A101">
        <f>IF($B101="","",INDEX(Dossiers!$E$4:$E$63,2))</f>
        <v/>
      </c>
      <c r="B101">
        <f>IF(INDEX(Suivi!$B:$B,103)="","",INDEX(Suivi!$B:$B,103))</f>
        <v/>
      </c>
      <c r="C101">
        <f>IF($B101="","",IF(INDEX(Suivi!$D:$D,103)="",INDEX(Suivi!$C:$C,103),INDEX(Suivi!$D:$D,103)))</f>
        <v/>
      </c>
      <c r="D101" s="29">
        <f>IF($B101="","",INDEX(Suivi!$E:$E,103))</f>
        <v/>
      </c>
      <c r="E101" s="29">
        <f>IF($B101="","",INDEX(Suivi!$F:$F,103))</f>
        <v/>
      </c>
      <c r="F101">
        <f>IF($B101="","",INDEX(Suivi!$G:$G,103))</f>
        <v/>
      </c>
      <c r="H101">
        <f>IF(OR($B101="",NOT(ISNUMBER($D101))),"",IF($E101&lt;$D$2,"Passé",IF($D101&gt;$F$2,"À venir","Dans la période")))</f>
        <v/>
      </c>
      <c r="I101">
        <f>IF(OR($B101="",NOT(ISNUMBER($D101))),"",IF(AND($E101&lt;$D$2,$G101&lt;&gt;"X",$F101&lt;&gt;"Réalisé",$F101&lt;&gt;"Clôturé"),"RETARD",""))</f>
        <v/>
      </c>
      <c r="J101" s="29">
        <f>IF($B101="","",IF(INDEX(Dossiers!$F$4:$F$63,2)="","",INDEX(Dossiers!$F$4:$F$63,2)))</f>
        <v/>
      </c>
      <c r="K101" s="29">
        <f>IF($B101="","",IF(INDEX(Dossiers!$G$4:$G$63,2)="","",INDEX(Dossiers!$G$4:$G$63,2)))</f>
        <v/>
      </c>
    </row>
    <row r="102">
      <c r="A102">
        <f>IF($B102="","",INDEX(Dossiers!$E$4:$E$63,2))</f>
        <v/>
      </c>
      <c r="B102">
        <f>IF(INDEX(Suivi!$B:$B,104)="","",INDEX(Suivi!$B:$B,104))</f>
        <v/>
      </c>
      <c r="C102">
        <f>IF($B102="","",IF(INDEX(Suivi!$D:$D,104)="",INDEX(Suivi!$C:$C,104),INDEX(Suivi!$D:$D,104)))</f>
        <v/>
      </c>
      <c r="D102" s="29">
        <f>IF($B102="","",INDEX(Suivi!$E:$E,104))</f>
        <v/>
      </c>
      <c r="E102" s="29">
        <f>IF($B102="","",INDEX(Suivi!$F:$F,104))</f>
        <v/>
      </c>
      <c r="F102">
        <f>IF($B102="","",INDEX(Suivi!$G:$G,104))</f>
        <v/>
      </c>
      <c r="H102">
        <f>IF(OR($B102="",NOT(ISNUMBER($D102))),"",IF($E102&lt;$D$2,"Passé",IF($D102&gt;$F$2,"À venir","Dans la période")))</f>
        <v/>
      </c>
      <c r="I102">
        <f>IF(OR($B102="",NOT(ISNUMBER($D102))),"",IF(AND($E102&lt;$D$2,$G102&lt;&gt;"X",$F102&lt;&gt;"Réalisé",$F102&lt;&gt;"Clôturé"),"RETARD",""))</f>
        <v/>
      </c>
      <c r="J102" s="29">
        <f>IF($B102="","",IF(INDEX(Dossiers!$F$4:$F$63,2)="","",INDEX(Dossiers!$F$4:$F$63,2)))</f>
        <v/>
      </c>
      <c r="K102" s="29">
        <f>IF($B102="","",IF(INDEX(Dossiers!$G$4:$G$63,2)="","",INDEX(Dossiers!$G$4:$G$63,2)))</f>
        <v/>
      </c>
    </row>
    <row r="103">
      <c r="A103">
        <f>IF($B103="","",INDEX(Dossiers!$E$4:$E$63,2))</f>
        <v/>
      </c>
      <c r="B103">
        <f>IF(INDEX(Suivi!$B:$B,105)="","",INDEX(Suivi!$B:$B,105))</f>
        <v/>
      </c>
      <c r="C103">
        <f>IF($B103="","",IF(INDEX(Suivi!$D:$D,105)="",INDEX(Suivi!$C:$C,105),INDEX(Suivi!$D:$D,105)))</f>
        <v/>
      </c>
      <c r="D103" s="29">
        <f>IF($B103="","",INDEX(Suivi!$E:$E,105))</f>
        <v/>
      </c>
      <c r="E103" s="29">
        <f>IF($B103="","",INDEX(Suivi!$F:$F,105))</f>
        <v/>
      </c>
      <c r="F103">
        <f>IF($B103="","",INDEX(Suivi!$G:$G,105))</f>
        <v/>
      </c>
      <c r="H103">
        <f>IF(OR($B103="",NOT(ISNUMBER($D103))),"",IF($E103&lt;$D$2,"Passé",IF($D103&gt;$F$2,"À venir","Dans la période")))</f>
        <v/>
      </c>
      <c r="I103">
        <f>IF(OR($B103="",NOT(ISNUMBER($D103))),"",IF(AND($E103&lt;$D$2,$G103&lt;&gt;"X",$F103&lt;&gt;"Réalisé",$F103&lt;&gt;"Clôturé"),"RETARD",""))</f>
        <v/>
      </c>
      <c r="J103" s="29">
        <f>IF($B103="","",IF(INDEX(Dossiers!$F$4:$F$63,2)="","",INDEX(Dossiers!$F$4:$F$63,2)))</f>
        <v/>
      </c>
      <c r="K103" s="29">
        <f>IF($B103="","",IF(INDEX(Dossiers!$G$4:$G$63,2)="","",INDEX(Dossiers!$G$4:$G$63,2)))</f>
        <v/>
      </c>
    </row>
    <row r="104">
      <c r="A104">
        <f>IF($B104="","",INDEX(Dossiers!$E$4:$E$63,2))</f>
        <v/>
      </c>
      <c r="B104">
        <f>IF(INDEX(Suivi!$B:$B,106)="","",INDEX(Suivi!$B:$B,106))</f>
        <v/>
      </c>
      <c r="C104">
        <f>IF($B104="","",IF(INDEX(Suivi!$D:$D,106)="",INDEX(Suivi!$C:$C,106),INDEX(Suivi!$D:$D,106)))</f>
        <v/>
      </c>
      <c r="D104" s="29">
        <f>IF($B104="","",INDEX(Suivi!$E:$E,106))</f>
        <v/>
      </c>
      <c r="E104" s="29">
        <f>IF($B104="","",INDEX(Suivi!$F:$F,106))</f>
        <v/>
      </c>
      <c r="F104">
        <f>IF($B104="","",INDEX(Suivi!$G:$G,106))</f>
        <v/>
      </c>
      <c r="H104">
        <f>IF(OR($B104="",NOT(ISNUMBER($D104))),"",IF($E104&lt;$D$2,"Passé",IF($D104&gt;$F$2,"À venir","Dans la période")))</f>
        <v/>
      </c>
      <c r="I104">
        <f>IF(OR($B104="",NOT(ISNUMBER($D104))),"",IF(AND($E104&lt;$D$2,$G104&lt;&gt;"X",$F104&lt;&gt;"Réalisé",$F104&lt;&gt;"Clôturé"),"RETARD",""))</f>
        <v/>
      </c>
      <c r="J104" s="29">
        <f>IF($B104="","",IF(INDEX(Dossiers!$F$4:$F$63,2)="","",INDEX(Dossiers!$F$4:$F$63,2)))</f>
        <v/>
      </c>
      <c r="K104" s="29">
        <f>IF($B104="","",IF(INDEX(Dossiers!$G$4:$G$63,2)="","",INDEX(Dossiers!$G$4:$G$63,2)))</f>
        <v/>
      </c>
    </row>
    <row r="105">
      <c r="A105">
        <f>IF($B105="","",INDEX(Dossiers!$E$4:$E$63,2))</f>
        <v/>
      </c>
      <c r="B105">
        <f>IF(INDEX(Suivi!$B:$B,107)="","",INDEX(Suivi!$B:$B,107))</f>
        <v/>
      </c>
      <c r="C105">
        <f>IF($B105="","",IF(INDEX(Suivi!$D:$D,107)="",INDEX(Suivi!$C:$C,107),INDEX(Suivi!$D:$D,107)))</f>
        <v/>
      </c>
      <c r="D105" s="29">
        <f>IF($B105="","",INDEX(Suivi!$E:$E,107))</f>
        <v/>
      </c>
      <c r="E105" s="29">
        <f>IF($B105="","",INDEX(Suivi!$F:$F,107))</f>
        <v/>
      </c>
      <c r="F105">
        <f>IF($B105="","",INDEX(Suivi!$G:$G,107))</f>
        <v/>
      </c>
      <c r="H105">
        <f>IF(OR($B105="",NOT(ISNUMBER($D105))),"",IF($E105&lt;$D$2,"Passé",IF($D105&gt;$F$2,"À venir","Dans la période")))</f>
        <v/>
      </c>
      <c r="I105">
        <f>IF(OR($B105="",NOT(ISNUMBER($D105))),"",IF(AND($E105&lt;$D$2,$G105&lt;&gt;"X",$F105&lt;&gt;"Réalisé",$F105&lt;&gt;"Clôturé"),"RETARD",""))</f>
        <v/>
      </c>
      <c r="J105" s="29">
        <f>IF($B105="","",IF(INDEX(Dossiers!$F$4:$F$63,2)="","",INDEX(Dossiers!$F$4:$F$63,2)))</f>
        <v/>
      </c>
      <c r="K105" s="29">
        <f>IF($B105="","",IF(INDEX(Dossiers!$G$4:$G$63,2)="","",INDEX(Dossiers!$G$4:$G$63,2)))</f>
        <v/>
      </c>
    </row>
    <row r="106">
      <c r="A106">
        <f>IF($B106="","",INDEX(Dossiers!$E$4:$E$63,2))</f>
        <v/>
      </c>
      <c r="B106">
        <f>IF(INDEX(Suivi!$B:$B,108)="","",INDEX(Suivi!$B:$B,108))</f>
        <v/>
      </c>
      <c r="C106">
        <f>IF($B106="","",IF(INDEX(Suivi!$D:$D,108)="",INDEX(Suivi!$C:$C,108),INDEX(Suivi!$D:$D,108)))</f>
        <v/>
      </c>
      <c r="D106" s="29">
        <f>IF($B106="","",INDEX(Suivi!$E:$E,108))</f>
        <v/>
      </c>
      <c r="E106" s="29">
        <f>IF($B106="","",INDEX(Suivi!$F:$F,108))</f>
        <v/>
      </c>
      <c r="F106">
        <f>IF($B106="","",INDEX(Suivi!$G:$G,108))</f>
        <v/>
      </c>
      <c r="H106">
        <f>IF(OR($B106="",NOT(ISNUMBER($D106))),"",IF($E106&lt;$D$2,"Passé",IF($D106&gt;$F$2,"À venir","Dans la période")))</f>
        <v/>
      </c>
      <c r="I106">
        <f>IF(OR($B106="",NOT(ISNUMBER($D106))),"",IF(AND($E106&lt;$D$2,$G106&lt;&gt;"X",$F106&lt;&gt;"Réalisé",$F106&lt;&gt;"Clôturé"),"RETARD",""))</f>
        <v/>
      </c>
      <c r="J106" s="29">
        <f>IF($B106="","",IF(INDEX(Dossiers!$F$4:$F$63,2)="","",INDEX(Dossiers!$F$4:$F$63,2)))</f>
        <v/>
      </c>
      <c r="K106" s="29">
        <f>IF($B106="","",IF(INDEX(Dossiers!$G$4:$G$63,2)="","",INDEX(Dossiers!$G$4:$G$63,2)))</f>
        <v/>
      </c>
    </row>
    <row r="107">
      <c r="A107">
        <f>IF($B107="","",INDEX(Dossiers!$E$4:$E$63,2))</f>
        <v/>
      </c>
      <c r="B107">
        <f>IF(INDEX(Suivi!$B:$B,109)="","",INDEX(Suivi!$B:$B,109))</f>
        <v/>
      </c>
      <c r="C107">
        <f>IF($B107="","",IF(INDEX(Suivi!$D:$D,109)="",INDEX(Suivi!$C:$C,109),INDEX(Suivi!$D:$D,109)))</f>
        <v/>
      </c>
      <c r="D107" s="29">
        <f>IF($B107="","",INDEX(Suivi!$E:$E,109))</f>
        <v/>
      </c>
      <c r="E107" s="29">
        <f>IF($B107="","",INDEX(Suivi!$F:$F,109))</f>
        <v/>
      </c>
      <c r="F107">
        <f>IF($B107="","",INDEX(Suivi!$G:$G,109))</f>
        <v/>
      </c>
      <c r="H107">
        <f>IF(OR($B107="",NOT(ISNUMBER($D107))),"",IF($E107&lt;$D$2,"Passé",IF($D107&gt;$F$2,"À venir","Dans la période")))</f>
        <v/>
      </c>
      <c r="I107">
        <f>IF(OR($B107="",NOT(ISNUMBER($D107))),"",IF(AND($E107&lt;$D$2,$G107&lt;&gt;"X",$F107&lt;&gt;"Réalisé",$F107&lt;&gt;"Clôturé"),"RETARD",""))</f>
        <v/>
      </c>
      <c r="J107" s="29">
        <f>IF($B107="","",IF(INDEX(Dossiers!$F$4:$F$63,2)="","",INDEX(Dossiers!$F$4:$F$63,2)))</f>
        <v/>
      </c>
      <c r="K107" s="29">
        <f>IF($B107="","",IF(INDEX(Dossiers!$G$4:$G$63,2)="","",INDEX(Dossiers!$G$4:$G$63,2)))</f>
        <v/>
      </c>
    </row>
    <row r="108">
      <c r="A108">
        <f>IF($B108="","",INDEX(Dossiers!$E$4:$E$63,2))</f>
        <v/>
      </c>
      <c r="B108">
        <f>IF(INDEX(Suivi!$B:$B,110)="","",INDEX(Suivi!$B:$B,110))</f>
        <v/>
      </c>
      <c r="C108">
        <f>IF($B108="","",IF(INDEX(Suivi!$D:$D,110)="",INDEX(Suivi!$C:$C,110),INDEX(Suivi!$D:$D,110)))</f>
        <v/>
      </c>
      <c r="D108" s="29">
        <f>IF($B108="","",INDEX(Suivi!$E:$E,110))</f>
        <v/>
      </c>
      <c r="E108" s="29">
        <f>IF($B108="","",INDEX(Suivi!$F:$F,110))</f>
        <v/>
      </c>
      <c r="F108">
        <f>IF($B108="","",INDEX(Suivi!$G:$G,110))</f>
        <v/>
      </c>
      <c r="H108">
        <f>IF(OR($B108="",NOT(ISNUMBER($D108))),"",IF($E108&lt;$D$2,"Passé",IF($D108&gt;$F$2,"À venir","Dans la période")))</f>
        <v/>
      </c>
      <c r="I108">
        <f>IF(OR($B108="",NOT(ISNUMBER($D108))),"",IF(AND($E108&lt;$D$2,$G108&lt;&gt;"X",$F108&lt;&gt;"Réalisé",$F108&lt;&gt;"Clôturé"),"RETARD",""))</f>
        <v/>
      </c>
      <c r="J108" s="29">
        <f>IF($B108="","",IF(INDEX(Dossiers!$F$4:$F$63,2)="","",INDEX(Dossiers!$F$4:$F$63,2)))</f>
        <v/>
      </c>
      <c r="K108" s="29">
        <f>IF($B108="","",IF(INDEX(Dossiers!$G$4:$G$63,2)="","",INDEX(Dossiers!$G$4:$G$63,2)))</f>
        <v/>
      </c>
    </row>
    <row r="109">
      <c r="A109">
        <f>IF($B109="","",INDEX(Dossiers!$E$4:$E$63,2))</f>
        <v/>
      </c>
      <c r="B109">
        <f>IF(INDEX(Suivi!$B:$B,111)="","",INDEX(Suivi!$B:$B,111))</f>
        <v/>
      </c>
      <c r="C109">
        <f>IF($B109="","",IF(INDEX(Suivi!$D:$D,111)="",INDEX(Suivi!$C:$C,111),INDEX(Suivi!$D:$D,111)))</f>
        <v/>
      </c>
      <c r="D109" s="29">
        <f>IF($B109="","",INDEX(Suivi!$E:$E,111))</f>
        <v/>
      </c>
      <c r="E109" s="29">
        <f>IF($B109="","",INDEX(Suivi!$F:$F,111))</f>
        <v/>
      </c>
      <c r="F109">
        <f>IF($B109="","",INDEX(Suivi!$G:$G,111))</f>
        <v/>
      </c>
      <c r="H109">
        <f>IF(OR($B109="",NOT(ISNUMBER($D109))),"",IF($E109&lt;$D$2,"Passé",IF($D109&gt;$F$2,"À venir","Dans la période")))</f>
        <v/>
      </c>
      <c r="I109">
        <f>IF(OR($B109="",NOT(ISNUMBER($D109))),"",IF(AND($E109&lt;$D$2,$G109&lt;&gt;"X",$F109&lt;&gt;"Réalisé",$F109&lt;&gt;"Clôturé"),"RETARD",""))</f>
        <v/>
      </c>
      <c r="J109" s="29">
        <f>IF($B109="","",IF(INDEX(Dossiers!$F$4:$F$63,2)="","",INDEX(Dossiers!$F$4:$F$63,2)))</f>
        <v/>
      </c>
      <c r="K109" s="29">
        <f>IF($B109="","",IF(INDEX(Dossiers!$G$4:$G$63,2)="","",INDEX(Dossiers!$G$4:$G$63,2)))</f>
        <v/>
      </c>
    </row>
    <row r="110">
      <c r="A110">
        <f>IF($B110="","",INDEX(Dossiers!$E$4:$E$63,3))</f>
        <v/>
      </c>
      <c r="B110">
        <f>IF(INDEX(Suivi!$B:$B,113)="","",INDEX(Suivi!$B:$B,113))</f>
        <v/>
      </c>
      <c r="C110">
        <f>IF($B110="","",IF(INDEX(Suivi!$D:$D,113)="",INDEX(Suivi!$C:$C,113),INDEX(Suivi!$D:$D,113)))</f>
        <v/>
      </c>
      <c r="D110" s="29">
        <f>IF($B110="","",INDEX(Suivi!$E:$E,113))</f>
        <v/>
      </c>
      <c r="E110" s="29">
        <f>IF($B110="","",INDEX(Suivi!$F:$F,113))</f>
        <v/>
      </c>
      <c r="F110">
        <f>IF($B110="","",INDEX(Suivi!$G:$G,113))</f>
        <v/>
      </c>
      <c r="H110">
        <f>IF(OR($B110="",NOT(ISNUMBER($D110))),"",IF($E110&lt;$D$2,"Passé",IF($D110&gt;$F$2,"À venir","Dans la période")))</f>
        <v/>
      </c>
      <c r="I110">
        <f>IF(OR($B110="",NOT(ISNUMBER($D110))),"",IF(AND($E110&lt;$D$2,$G110&lt;&gt;"X",$F110&lt;&gt;"Réalisé",$F110&lt;&gt;"Clôturé"),"RETARD",""))</f>
        <v/>
      </c>
      <c r="J110" s="29">
        <f>IF($B110="","",IF(INDEX(Dossiers!$F$4:$F$63,3)="","",INDEX(Dossiers!$F$4:$F$63,3)))</f>
        <v/>
      </c>
      <c r="K110" s="29">
        <f>IF($B110="","",IF(INDEX(Dossiers!$G$4:$G$63,3)="","",INDEX(Dossiers!$G$4:$G$63,3)))</f>
        <v/>
      </c>
    </row>
    <row r="111">
      <c r="A111">
        <f>IF($B111="","",INDEX(Dossiers!$E$4:$E$63,3))</f>
        <v/>
      </c>
      <c r="B111">
        <f>IF(INDEX(Suivi!$B:$B,114)="","",INDEX(Suivi!$B:$B,114))</f>
        <v/>
      </c>
      <c r="C111">
        <f>IF($B111="","",IF(INDEX(Suivi!$D:$D,114)="",INDEX(Suivi!$C:$C,114),INDEX(Suivi!$D:$D,114)))</f>
        <v/>
      </c>
      <c r="D111" s="29">
        <f>IF($B111="","",INDEX(Suivi!$E:$E,114))</f>
        <v/>
      </c>
      <c r="E111" s="29">
        <f>IF($B111="","",INDEX(Suivi!$F:$F,114))</f>
        <v/>
      </c>
      <c r="F111">
        <f>IF($B111="","",INDEX(Suivi!$G:$G,114))</f>
        <v/>
      </c>
      <c r="H111">
        <f>IF(OR($B111="",NOT(ISNUMBER($D111))),"",IF($E111&lt;$D$2,"Passé",IF($D111&gt;$F$2,"À venir","Dans la période")))</f>
        <v/>
      </c>
      <c r="I111">
        <f>IF(OR($B111="",NOT(ISNUMBER($D111))),"",IF(AND($E111&lt;$D$2,$G111&lt;&gt;"X",$F111&lt;&gt;"Réalisé",$F111&lt;&gt;"Clôturé"),"RETARD",""))</f>
        <v/>
      </c>
      <c r="J111" s="29">
        <f>IF($B111="","",IF(INDEX(Dossiers!$F$4:$F$63,3)="","",INDEX(Dossiers!$F$4:$F$63,3)))</f>
        <v/>
      </c>
      <c r="K111" s="29">
        <f>IF($B111="","",IF(INDEX(Dossiers!$G$4:$G$63,3)="","",INDEX(Dossiers!$G$4:$G$63,3)))</f>
        <v/>
      </c>
    </row>
    <row r="112">
      <c r="A112">
        <f>IF($B112="","",INDEX(Dossiers!$E$4:$E$63,3))</f>
        <v/>
      </c>
      <c r="B112">
        <f>IF(INDEX(Suivi!$B:$B,115)="","",INDEX(Suivi!$B:$B,115))</f>
        <v/>
      </c>
      <c r="C112">
        <f>IF($B112="","",IF(INDEX(Suivi!$D:$D,115)="",INDEX(Suivi!$C:$C,115),INDEX(Suivi!$D:$D,115)))</f>
        <v/>
      </c>
      <c r="D112" s="29">
        <f>IF($B112="","",INDEX(Suivi!$E:$E,115))</f>
        <v/>
      </c>
      <c r="E112" s="29">
        <f>IF($B112="","",INDEX(Suivi!$F:$F,115))</f>
        <v/>
      </c>
      <c r="F112">
        <f>IF($B112="","",INDEX(Suivi!$G:$G,115))</f>
        <v/>
      </c>
      <c r="H112">
        <f>IF(OR($B112="",NOT(ISNUMBER($D112))),"",IF($E112&lt;$D$2,"Passé",IF($D112&gt;$F$2,"À venir","Dans la période")))</f>
        <v/>
      </c>
      <c r="I112">
        <f>IF(OR($B112="",NOT(ISNUMBER($D112))),"",IF(AND($E112&lt;$D$2,$G112&lt;&gt;"X",$F112&lt;&gt;"Réalisé",$F112&lt;&gt;"Clôturé"),"RETARD",""))</f>
        <v/>
      </c>
      <c r="J112" s="29">
        <f>IF($B112="","",IF(INDEX(Dossiers!$F$4:$F$63,3)="","",INDEX(Dossiers!$F$4:$F$63,3)))</f>
        <v/>
      </c>
      <c r="K112" s="29">
        <f>IF($B112="","",IF(INDEX(Dossiers!$G$4:$G$63,3)="","",INDEX(Dossiers!$G$4:$G$63,3)))</f>
        <v/>
      </c>
    </row>
    <row r="113">
      <c r="A113">
        <f>IF($B113="","",INDEX(Dossiers!$E$4:$E$63,3))</f>
        <v/>
      </c>
      <c r="B113">
        <f>IF(INDEX(Suivi!$B:$B,116)="","",INDEX(Suivi!$B:$B,116))</f>
        <v/>
      </c>
      <c r="C113">
        <f>IF($B113="","",IF(INDEX(Suivi!$D:$D,116)="",INDEX(Suivi!$C:$C,116),INDEX(Suivi!$D:$D,116)))</f>
        <v/>
      </c>
      <c r="D113" s="29">
        <f>IF($B113="","",INDEX(Suivi!$E:$E,116))</f>
        <v/>
      </c>
      <c r="E113" s="29">
        <f>IF($B113="","",INDEX(Suivi!$F:$F,116))</f>
        <v/>
      </c>
      <c r="F113">
        <f>IF($B113="","",INDEX(Suivi!$G:$G,116))</f>
        <v/>
      </c>
      <c r="H113">
        <f>IF(OR($B113="",NOT(ISNUMBER($D113))),"",IF($E113&lt;$D$2,"Passé",IF($D113&gt;$F$2,"À venir","Dans la période")))</f>
        <v/>
      </c>
      <c r="I113">
        <f>IF(OR($B113="",NOT(ISNUMBER($D113))),"",IF(AND($E113&lt;$D$2,$G113&lt;&gt;"X",$F113&lt;&gt;"Réalisé",$F113&lt;&gt;"Clôturé"),"RETARD",""))</f>
        <v/>
      </c>
      <c r="J113" s="29">
        <f>IF($B113="","",IF(INDEX(Dossiers!$F$4:$F$63,3)="","",INDEX(Dossiers!$F$4:$F$63,3)))</f>
        <v/>
      </c>
      <c r="K113" s="29">
        <f>IF($B113="","",IF(INDEX(Dossiers!$G$4:$G$63,3)="","",INDEX(Dossiers!$G$4:$G$63,3)))</f>
        <v/>
      </c>
    </row>
    <row r="114">
      <c r="A114">
        <f>IF($B114="","",INDEX(Dossiers!$E$4:$E$63,3))</f>
        <v/>
      </c>
      <c r="B114">
        <f>IF(INDEX(Suivi!$B:$B,117)="","",INDEX(Suivi!$B:$B,117))</f>
        <v/>
      </c>
      <c r="C114">
        <f>IF($B114="","",IF(INDEX(Suivi!$D:$D,117)="",INDEX(Suivi!$C:$C,117),INDEX(Suivi!$D:$D,117)))</f>
        <v/>
      </c>
      <c r="D114" s="29">
        <f>IF($B114="","",INDEX(Suivi!$E:$E,117))</f>
        <v/>
      </c>
      <c r="E114" s="29">
        <f>IF($B114="","",INDEX(Suivi!$F:$F,117))</f>
        <v/>
      </c>
      <c r="F114">
        <f>IF($B114="","",INDEX(Suivi!$G:$G,117))</f>
        <v/>
      </c>
      <c r="H114">
        <f>IF(OR($B114="",NOT(ISNUMBER($D114))),"",IF($E114&lt;$D$2,"Passé",IF($D114&gt;$F$2,"À venir","Dans la période")))</f>
        <v/>
      </c>
      <c r="I114">
        <f>IF(OR($B114="",NOT(ISNUMBER($D114))),"",IF(AND($E114&lt;$D$2,$G114&lt;&gt;"X",$F114&lt;&gt;"Réalisé",$F114&lt;&gt;"Clôturé"),"RETARD",""))</f>
        <v/>
      </c>
      <c r="J114" s="29">
        <f>IF($B114="","",IF(INDEX(Dossiers!$F$4:$F$63,3)="","",INDEX(Dossiers!$F$4:$F$63,3)))</f>
        <v/>
      </c>
      <c r="K114" s="29">
        <f>IF($B114="","",IF(INDEX(Dossiers!$G$4:$G$63,3)="","",INDEX(Dossiers!$G$4:$G$63,3)))</f>
        <v/>
      </c>
    </row>
    <row r="115">
      <c r="A115">
        <f>IF($B115="","",INDEX(Dossiers!$E$4:$E$63,3))</f>
        <v/>
      </c>
      <c r="B115">
        <f>IF(INDEX(Suivi!$B:$B,118)="","",INDEX(Suivi!$B:$B,118))</f>
        <v/>
      </c>
      <c r="C115">
        <f>IF($B115="","",IF(INDEX(Suivi!$D:$D,118)="",INDEX(Suivi!$C:$C,118),INDEX(Suivi!$D:$D,118)))</f>
        <v/>
      </c>
      <c r="D115" s="29">
        <f>IF($B115="","",INDEX(Suivi!$E:$E,118))</f>
        <v/>
      </c>
      <c r="E115" s="29">
        <f>IF($B115="","",INDEX(Suivi!$F:$F,118))</f>
        <v/>
      </c>
      <c r="F115">
        <f>IF($B115="","",INDEX(Suivi!$G:$G,118))</f>
        <v/>
      </c>
      <c r="H115">
        <f>IF(OR($B115="",NOT(ISNUMBER($D115))),"",IF($E115&lt;$D$2,"Passé",IF($D115&gt;$F$2,"À venir","Dans la période")))</f>
        <v/>
      </c>
      <c r="I115">
        <f>IF(OR($B115="",NOT(ISNUMBER($D115))),"",IF(AND($E115&lt;$D$2,$G115&lt;&gt;"X",$F115&lt;&gt;"Réalisé",$F115&lt;&gt;"Clôturé"),"RETARD",""))</f>
        <v/>
      </c>
      <c r="J115" s="29">
        <f>IF($B115="","",IF(INDEX(Dossiers!$F$4:$F$63,3)="","",INDEX(Dossiers!$F$4:$F$63,3)))</f>
        <v/>
      </c>
      <c r="K115" s="29">
        <f>IF($B115="","",IF(INDEX(Dossiers!$G$4:$G$63,3)="","",INDEX(Dossiers!$G$4:$G$63,3)))</f>
        <v/>
      </c>
    </row>
    <row r="116">
      <c r="A116">
        <f>IF($B116="","",INDEX(Dossiers!$E$4:$E$63,3))</f>
        <v/>
      </c>
      <c r="B116">
        <f>IF(INDEX(Suivi!$B:$B,119)="","",INDEX(Suivi!$B:$B,119))</f>
        <v/>
      </c>
      <c r="C116">
        <f>IF($B116="","",IF(INDEX(Suivi!$D:$D,119)="",INDEX(Suivi!$C:$C,119),INDEX(Suivi!$D:$D,119)))</f>
        <v/>
      </c>
      <c r="D116" s="29">
        <f>IF($B116="","",INDEX(Suivi!$E:$E,119))</f>
        <v/>
      </c>
      <c r="E116" s="29">
        <f>IF($B116="","",INDEX(Suivi!$F:$F,119))</f>
        <v/>
      </c>
      <c r="F116">
        <f>IF($B116="","",INDEX(Suivi!$G:$G,119))</f>
        <v/>
      </c>
      <c r="H116">
        <f>IF(OR($B116="",NOT(ISNUMBER($D116))),"",IF($E116&lt;$D$2,"Passé",IF($D116&gt;$F$2,"À venir","Dans la période")))</f>
        <v/>
      </c>
      <c r="I116">
        <f>IF(OR($B116="",NOT(ISNUMBER($D116))),"",IF(AND($E116&lt;$D$2,$G116&lt;&gt;"X",$F116&lt;&gt;"Réalisé",$F116&lt;&gt;"Clôturé"),"RETARD",""))</f>
        <v/>
      </c>
      <c r="J116" s="29">
        <f>IF($B116="","",IF(INDEX(Dossiers!$F$4:$F$63,3)="","",INDEX(Dossiers!$F$4:$F$63,3)))</f>
        <v/>
      </c>
      <c r="K116" s="29">
        <f>IF($B116="","",IF(INDEX(Dossiers!$G$4:$G$63,3)="","",INDEX(Dossiers!$G$4:$G$63,3)))</f>
        <v/>
      </c>
    </row>
    <row r="117">
      <c r="A117">
        <f>IF($B117="","",INDEX(Dossiers!$E$4:$E$63,3))</f>
        <v/>
      </c>
      <c r="B117">
        <f>IF(INDEX(Suivi!$B:$B,120)="","",INDEX(Suivi!$B:$B,120))</f>
        <v/>
      </c>
      <c r="C117">
        <f>IF($B117="","",IF(INDEX(Suivi!$D:$D,120)="",INDEX(Suivi!$C:$C,120),INDEX(Suivi!$D:$D,120)))</f>
        <v/>
      </c>
      <c r="D117" s="29">
        <f>IF($B117="","",INDEX(Suivi!$E:$E,120))</f>
        <v/>
      </c>
      <c r="E117" s="29">
        <f>IF($B117="","",INDEX(Suivi!$F:$F,120))</f>
        <v/>
      </c>
      <c r="F117">
        <f>IF($B117="","",INDEX(Suivi!$G:$G,120))</f>
        <v/>
      </c>
      <c r="H117">
        <f>IF(OR($B117="",NOT(ISNUMBER($D117))),"",IF($E117&lt;$D$2,"Passé",IF($D117&gt;$F$2,"À venir","Dans la période")))</f>
        <v/>
      </c>
      <c r="I117">
        <f>IF(OR($B117="",NOT(ISNUMBER($D117))),"",IF(AND($E117&lt;$D$2,$G117&lt;&gt;"X",$F117&lt;&gt;"Réalisé",$F117&lt;&gt;"Clôturé"),"RETARD",""))</f>
        <v/>
      </c>
      <c r="J117" s="29">
        <f>IF($B117="","",IF(INDEX(Dossiers!$F$4:$F$63,3)="","",INDEX(Dossiers!$F$4:$F$63,3)))</f>
        <v/>
      </c>
      <c r="K117" s="29">
        <f>IF($B117="","",IF(INDEX(Dossiers!$G$4:$G$63,3)="","",INDEX(Dossiers!$G$4:$G$63,3)))</f>
        <v/>
      </c>
    </row>
    <row r="118">
      <c r="A118">
        <f>IF($B118="","",INDEX(Dossiers!$E$4:$E$63,3))</f>
        <v/>
      </c>
      <c r="B118">
        <f>IF(INDEX(Suivi!$B:$B,121)="","",INDEX(Suivi!$B:$B,121))</f>
        <v/>
      </c>
      <c r="C118">
        <f>IF($B118="","",IF(INDEX(Suivi!$D:$D,121)="",INDEX(Suivi!$C:$C,121),INDEX(Suivi!$D:$D,121)))</f>
        <v/>
      </c>
      <c r="D118" s="29">
        <f>IF($B118="","",INDEX(Suivi!$E:$E,121))</f>
        <v/>
      </c>
      <c r="E118" s="29">
        <f>IF($B118="","",INDEX(Suivi!$F:$F,121))</f>
        <v/>
      </c>
      <c r="F118">
        <f>IF($B118="","",INDEX(Suivi!$G:$G,121))</f>
        <v/>
      </c>
      <c r="H118">
        <f>IF(OR($B118="",NOT(ISNUMBER($D118))),"",IF($E118&lt;$D$2,"Passé",IF($D118&gt;$F$2,"À venir","Dans la période")))</f>
        <v/>
      </c>
      <c r="I118">
        <f>IF(OR($B118="",NOT(ISNUMBER($D118))),"",IF(AND($E118&lt;$D$2,$G118&lt;&gt;"X",$F118&lt;&gt;"Réalisé",$F118&lt;&gt;"Clôturé"),"RETARD",""))</f>
        <v/>
      </c>
      <c r="J118" s="29">
        <f>IF($B118="","",IF(INDEX(Dossiers!$F$4:$F$63,3)="","",INDEX(Dossiers!$F$4:$F$63,3)))</f>
        <v/>
      </c>
      <c r="K118" s="29">
        <f>IF($B118="","",IF(INDEX(Dossiers!$G$4:$G$63,3)="","",INDEX(Dossiers!$G$4:$G$63,3)))</f>
        <v/>
      </c>
    </row>
    <row r="119">
      <c r="A119">
        <f>IF($B119="","",INDEX(Dossiers!$E$4:$E$63,3))</f>
        <v/>
      </c>
      <c r="B119">
        <f>IF(INDEX(Suivi!$B:$B,122)="","",INDEX(Suivi!$B:$B,122))</f>
        <v/>
      </c>
      <c r="C119">
        <f>IF($B119="","",IF(INDEX(Suivi!$D:$D,122)="",INDEX(Suivi!$C:$C,122),INDEX(Suivi!$D:$D,122)))</f>
        <v/>
      </c>
      <c r="D119" s="29">
        <f>IF($B119="","",INDEX(Suivi!$E:$E,122))</f>
        <v/>
      </c>
      <c r="E119" s="29">
        <f>IF($B119="","",INDEX(Suivi!$F:$F,122))</f>
        <v/>
      </c>
      <c r="F119">
        <f>IF($B119="","",INDEX(Suivi!$G:$G,122))</f>
        <v/>
      </c>
      <c r="H119">
        <f>IF(OR($B119="",NOT(ISNUMBER($D119))),"",IF($E119&lt;$D$2,"Passé",IF($D119&gt;$F$2,"À venir","Dans la période")))</f>
        <v/>
      </c>
      <c r="I119">
        <f>IF(OR($B119="",NOT(ISNUMBER($D119))),"",IF(AND($E119&lt;$D$2,$G119&lt;&gt;"X",$F119&lt;&gt;"Réalisé",$F119&lt;&gt;"Clôturé"),"RETARD",""))</f>
        <v/>
      </c>
      <c r="J119" s="29">
        <f>IF($B119="","",IF(INDEX(Dossiers!$F$4:$F$63,3)="","",INDEX(Dossiers!$F$4:$F$63,3)))</f>
        <v/>
      </c>
      <c r="K119" s="29">
        <f>IF($B119="","",IF(INDEX(Dossiers!$G$4:$G$63,3)="","",INDEX(Dossiers!$G$4:$G$63,3)))</f>
        <v/>
      </c>
    </row>
    <row r="120">
      <c r="A120">
        <f>IF($B120="","",INDEX(Dossiers!$E$4:$E$63,3))</f>
        <v/>
      </c>
      <c r="B120">
        <f>IF(INDEX(Suivi!$B:$B,123)="","",INDEX(Suivi!$B:$B,123))</f>
        <v/>
      </c>
      <c r="C120">
        <f>IF($B120="","",IF(INDEX(Suivi!$D:$D,123)="",INDEX(Suivi!$C:$C,123),INDEX(Suivi!$D:$D,123)))</f>
        <v/>
      </c>
      <c r="D120" s="29">
        <f>IF($B120="","",INDEX(Suivi!$E:$E,123))</f>
        <v/>
      </c>
      <c r="E120" s="29">
        <f>IF($B120="","",INDEX(Suivi!$F:$F,123))</f>
        <v/>
      </c>
      <c r="F120">
        <f>IF($B120="","",INDEX(Suivi!$G:$G,123))</f>
        <v/>
      </c>
      <c r="H120">
        <f>IF(OR($B120="",NOT(ISNUMBER($D120))),"",IF($E120&lt;$D$2,"Passé",IF($D120&gt;$F$2,"À venir","Dans la période")))</f>
        <v/>
      </c>
      <c r="I120">
        <f>IF(OR($B120="",NOT(ISNUMBER($D120))),"",IF(AND($E120&lt;$D$2,$G120&lt;&gt;"X",$F120&lt;&gt;"Réalisé",$F120&lt;&gt;"Clôturé"),"RETARD",""))</f>
        <v/>
      </c>
      <c r="J120" s="29">
        <f>IF($B120="","",IF(INDEX(Dossiers!$F$4:$F$63,3)="","",INDEX(Dossiers!$F$4:$F$63,3)))</f>
        <v/>
      </c>
      <c r="K120" s="29">
        <f>IF($B120="","",IF(INDEX(Dossiers!$G$4:$G$63,3)="","",INDEX(Dossiers!$G$4:$G$63,3)))</f>
        <v/>
      </c>
    </row>
    <row r="121">
      <c r="A121">
        <f>IF($B121="","",INDEX(Dossiers!$E$4:$E$63,3))</f>
        <v/>
      </c>
      <c r="B121">
        <f>IF(INDEX(Suivi!$B:$B,124)="","",INDEX(Suivi!$B:$B,124))</f>
        <v/>
      </c>
      <c r="C121">
        <f>IF($B121="","",IF(INDEX(Suivi!$D:$D,124)="",INDEX(Suivi!$C:$C,124),INDEX(Suivi!$D:$D,124)))</f>
        <v/>
      </c>
      <c r="D121" s="29">
        <f>IF($B121="","",INDEX(Suivi!$E:$E,124))</f>
        <v/>
      </c>
      <c r="E121" s="29">
        <f>IF($B121="","",INDEX(Suivi!$F:$F,124))</f>
        <v/>
      </c>
      <c r="F121">
        <f>IF($B121="","",INDEX(Suivi!$G:$G,124))</f>
        <v/>
      </c>
      <c r="H121">
        <f>IF(OR($B121="",NOT(ISNUMBER($D121))),"",IF($E121&lt;$D$2,"Passé",IF($D121&gt;$F$2,"À venir","Dans la période")))</f>
        <v/>
      </c>
      <c r="I121">
        <f>IF(OR($B121="",NOT(ISNUMBER($D121))),"",IF(AND($E121&lt;$D$2,$G121&lt;&gt;"X",$F121&lt;&gt;"Réalisé",$F121&lt;&gt;"Clôturé"),"RETARD",""))</f>
        <v/>
      </c>
      <c r="J121" s="29">
        <f>IF($B121="","",IF(INDEX(Dossiers!$F$4:$F$63,3)="","",INDEX(Dossiers!$F$4:$F$63,3)))</f>
        <v/>
      </c>
      <c r="K121" s="29">
        <f>IF($B121="","",IF(INDEX(Dossiers!$G$4:$G$63,3)="","",INDEX(Dossiers!$G$4:$G$63,3)))</f>
        <v/>
      </c>
    </row>
    <row r="122">
      <c r="A122">
        <f>IF($B122="","",INDEX(Dossiers!$E$4:$E$63,3))</f>
        <v/>
      </c>
      <c r="B122">
        <f>IF(INDEX(Suivi!$B:$B,125)="","",INDEX(Suivi!$B:$B,125))</f>
        <v/>
      </c>
      <c r="C122">
        <f>IF($B122="","",IF(INDEX(Suivi!$D:$D,125)="",INDEX(Suivi!$C:$C,125),INDEX(Suivi!$D:$D,125)))</f>
        <v/>
      </c>
      <c r="D122" s="29">
        <f>IF($B122="","",INDEX(Suivi!$E:$E,125))</f>
        <v/>
      </c>
      <c r="E122" s="29">
        <f>IF($B122="","",INDEX(Suivi!$F:$F,125))</f>
        <v/>
      </c>
      <c r="F122">
        <f>IF($B122="","",INDEX(Suivi!$G:$G,125))</f>
        <v/>
      </c>
      <c r="H122">
        <f>IF(OR($B122="",NOT(ISNUMBER($D122))),"",IF($E122&lt;$D$2,"Passé",IF($D122&gt;$F$2,"À venir","Dans la période")))</f>
        <v/>
      </c>
      <c r="I122">
        <f>IF(OR($B122="",NOT(ISNUMBER($D122))),"",IF(AND($E122&lt;$D$2,$G122&lt;&gt;"X",$F122&lt;&gt;"Réalisé",$F122&lt;&gt;"Clôturé"),"RETARD",""))</f>
        <v/>
      </c>
      <c r="J122" s="29">
        <f>IF($B122="","",IF(INDEX(Dossiers!$F$4:$F$63,3)="","",INDEX(Dossiers!$F$4:$F$63,3)))</f>
        <v/>
      </c>
      <c r="K122" s="29">
        <f>IF($B122="","",IF(INDEX(Dossiers!$G$4:$G$63,3)="","",INDEX(Dossiers!$G$4:$G$63,3)))</f>
        <v/>
      </c>
    </row>
    <row r="123">
      <c r="A123">
        <f>IF($B123="","",INDEX(Dossiers!$E$4:$E$63,3))</f>
        <v/>
      </c>
      <c r="B123">
        <f>IF(INDEX(Suivi!$B:$B,126)="","",INDEX(Suivi!$B:$B,126))</f>
        <v/>
      </c>
      <c r="C123">
        <f>IF($B123="","",IF(INDEX(Suivi!$D:$D,126)="",INDEX(Suivi!$C:$C,126),INDEX(Suivi!$D:$D,126)))</f>
        <v/>
      </c>
      <c r="D123" s="29">
        <f>IF($B123="","",INDEX(Suivi!$E:$E,126))</f>
        <v/>
      </c>
      <c r="E123" s="29">
        <f>IF($B123="","",INDEX(Suivi!$F:$F,126))</f>
        <v/>
      </c>
      <c r="F123">
        <f>IF($B123="","",INDEX(Suivi!$G:$G,126))</f>
        <v/>
      </c>
      <c r="H123">
        <f>IF(OR($B123="",NOT(ISNUMBER($D123))),"",IF($E123&lt;$D$2,"Passé",IF($D123&gt;$F$2,"À venir","Dans la période")))</f>
        <v/>
      </c>
      <c r="I123">
        <f>IF(OR($B123="",NOT(ISNUMBER($D123))),"",IF(AND($E123&lt;$D$2,$G123&lt;&gt;"X",$F123&lt;&gt;"Réalisé",$F123&lt;&gt;"Clôturé"),"RETARD",""))</f>
        <v/>
      </c>
      <c r="J123" s="29">
        <f>IF($B123="","",IF(INDEX(Dossiers!$F$4:$F$63,3)="","",INDEX(Dossiers!$F$4:$F$63,3)))</f>
        <v/>
      </c>
      <c r="K123" s="29">
        <f>IF($B123="","",IF(INDEX(Dossiers!$G$4:$G$63,3)="","",INDEX(Dossiers!$G$4:$G$63,3)))</f>
        <v/>
      </c>
    </row>
    <row r="124">
      <c r="A124">
        <f>IF($B124="","",INDEX(Dossiers!$E$4:$E$63,3))</f>
        <v/>
      </c>
      <c r="B124">
        <f>IF(INDEX(Suivi!$B:$B,127)="","",INDEX(Suivi!$B:$B,127))</f>
        <v/>
      </c>
      <c r="C124">
        <f>IF($B124="","",IF(INDEX(Suivi!$D:$D,127)="",INDEX(Suivi!$C:$C,127),INDEX(Suivi!$D:$D,127)))</f>
        <v/>
      </c>
      <c r="D124" s="29">
        <f>IF($B124="","",INDEX(Suivi!$E:$E,127))</f>
        <v/>
      </c>
      <c r="E124" s="29">
        <f>IF($B124="","",INDEX(Suivi!$F:$F,127))</f>
        <v/>
      </c>
      <c r="F124">
        <f>IF($B124="","",INDEX(Suivi!$G:$G,127))</f>
        <v/>
      </c>
      <c r="H124">
        <f>IF(OR($B124="",NOT(ISNUMBER($D124))),"",IF($E124&lt;$D$2,"Passé",IF($D124&gt;$F$2,"À venir","Dans la période")))</f>
        <v/>
      </c>
      <c r="I124">
        <f>IF(OR($B124="",NOT(ISNUMBER($D124))),"",IF(AND($E124&lt;$D$2,$G124&lt;&gt;"X",$F124&lt;&gt;"Réalisé",$F124&lt;&gt;"Clôturé"),"RETARD",""))</f>
        <v/>
      </c>
      <c r="J124" s="29">
        <f>IF($B124="","",IF(INDEX(Dossiers!$F$4:$F$63,3)="","",INDEX(Dossiers!$F$4:$F$63,3)))</f>
        <v/>
      </c>
      <c r="K124" s="29">
        <f>IF($B124="","",IF(INDEX(Dossiers!$G$4:$G$63,3)="","",INDEX(Dossiers!$G$4:$G$63,3)))</f>
        <v/>
      </c>
    </row>
    <row r="125">
      <c r="A125">
        <f>IF($B125="","",INDEX(Dossiers!$E$4:$E$63,3))</f>
        <v/>
      </c>
      <c r="B125">
        <f>IF(INDEX(Suivi!$B:$B,128)="","",INDEX(Suivi!$B:$B,128))</f>
        <v/>
      </c>
      <c r="C125">
        <f>IF($B125="","",IF(INDEX(Suivi!$D:$D,128)="",INDEX(Suivi!$C:$C,128),INDEX(Suivi!$D:$D,128)))</f>
        <v/>
      </c>
      <c r="D125" s="29">
        <f>IF($B125="","",INDEX(Suivi!$E:$E,128))</f>
        <v/>
      </c>
      <c r="E125" s="29">
        <f>IF($B125="","",INDEX(Suivi!$F:$F,128))</f>
        <v/>
      </c>
      <c r="F125">
        <f>IF($B125="","",INDEX(Suivi!$G:$G,128))</f>
        <v/>
      </c>
      <c r="H125">
        <f>IF(OR($B125="",NOT(ISNUMBER($D125))),"",IF($E125&lt;$D$2,"Passé",IF($D125&gt;$F$2,"À venir","Dans la période")))</f>
        <v/>
      </c>
      <c r="I125">
        <f>IF(OR($B125="",NOT(ISNUMBER($D125))),"",IF(AND($E125&lt;$D$2,$G125&lt;&gt;"X",$F125&lt;&gt;"Réalisé",$F125&lt;&gt;"Clôturé"),"RETARD",""))</f>
        <v/>
      </c>
      <c r="J125" s="29">
        <f>IF($B125="","",IF(INDEX(Dossiers!$F$4:$F$63,3)="","",INDEX(Dossiers!$F$4:$F$63,3)))</f>
        <v/>
      </c>
      <c r="K125" s="29">
        <f>IF($B125="","",IF(INDEX(Dossiers!$G$4:$G$63,3)="","",INDEX(Dossiers!$G$4:$G$63,3)))</f>
        <v/>
      </c>
    </row>
    <row r="126">
      <c r="A126">
        <f>IF($B126="","",INDEX(Dossiers!$E$4:$E$63,3))</f>
        <v/>
      </c>
      <c r="B126">
        <f>IF(INDEX(Suivi!$B:$B,129)="","",INDEX(Suivi!$B:$B,129))</f>
        <v/>
      </c>
      <c r="C126">
        <f>IF($B126="","",IF(INDEX(Suivi!$D:$D,129)="",INDEX(Suivi!$C:$C,129),INDEX(Suivi!$D:$D,129)))</f>
        <v/>
      </c>
      <c r="D126" s="29">
        <f>IF($B126="","",INDEX(Suivi!$E:$E,129))</f>
        <v/>
      </c>
      <c r="E126" s="29">
        <f>IF($B126="","",INDEX(Suivi!$F:$F,129))</f>
        <v/>
      </c>
      <c r="F126">
        <f>IF($B126="","",INDEX(Suivi!$G:$G,129))</f>
        <v/>
      </c>
      <c r="H126">
        <f>IF(OR($B126="",NOT(ISNUMBER($D126))),"",IF($E126&lt;$D$2,"Passé",IF($D126&gt;$F$2,"À venir","Dans la période")))</f>
        <v/>
      </c>
      <c r="I126">
        <f>IF(OR($B126="",NOT(ISNUMBER($D126))),"",IF(AND($E126&lt;$D$2,$G126&lt;&gt;"X",$F126&lt;&gt;"Réalisé",$F126&lt;&gt;"Clôturé"),"RETARD",""))</f>
        <v/>
      </c>
      <c r="J126" s="29">
        <f>IF($B126="","",IF(INDEX(Dossiers!$F$4:$F$63,3)="","",INDEX(Dossiers!$F$4:$F$63,3)))</f>
        <v/>
      </c>
      <c r="K126" s="29">
        <f>IF($B126="","",IF(INDEX(Dossiers!$G$4:$G$63,3)="","",INDEX(Dossiers!$G$4:$G$63,3)))</f>
        <v/>
      </c>
    </row>
    <row r="127">
      <c r="A127">
        <f>IF($B127="","",INDEX(Dossiers!$E$4:$E$63,3))</f>
        <v/>
      </c>
      <c r="B127">
        <f>IF(INDEX(Suivi!$B:$B,130)="","",INDEX(Suivi!$B:$B,130))</f>
        <v/>
      </c>
      <c r="C127">
        <f>IF($B127="","",IF(INDEX(Suivi!$D:$D,130)="",INDEX(Suivi!$C:$C,130),INDEX(Suivi!$D:$D,130)))</f>
        <v/>
      </c>
      <c r="D127" s="29">
        <f>IF($B127="","",INDEX(Suivi!$E:$E,130))</f>
        <v/>
      </c>
      <c r="E127" s="29">
        <f>IF($B127="","",INDEX(Suivi!$F:$F,130))</f>
        <v/>
      </c>
      <c r="F127">
        <f>IF($B127="","",INDEX(Suivi!$G:$G,130))</f>
        <v/>
      </c>
      <c r="H127">
        <f>IF(OR($B127="",NOT(ISNUMBER($D127))),"",IF($E127&lt;$D$2,"Passé",IF($D127&gt;$F$2,"À venir","Dans la période")))</f>
        <v/>
      </c>
      <c r="I127">
        <f>IF(OR($B127="",NOT(ISNUMBER($D127))),"",IF(AND($E127&lt;$D$2,$G127&lt;&gt;"X",$F127&lt;&gt;"Réalisé",$F127&lt;&gt;"Clôturé"),"RETARD",""))</f>
        <v/>
      </c>
      <c r="J127" s="29">
        <f>IF($B127="","",IF(INDEX(Dossiers!$F$4:$F$63,3)="","",INDEX(Dossiers!$F$4:$F$63,3)))</f>
        <v/>
      </c>
      <c r="K127" s="29">
        <f>IF($B127="","",IF(INDEX(Dossiers!$G$4:$G$63,3)="","",INDEX(Dossiers!$G$4:$G$63,3)))</f>
        <v/>
      </c>
    </row>
    <row r="128">
      <c r="A128">
        <f>IF($B128="","",INDEX(Dossiers!$E$4:$E$63,3))</f>
        <v/>
      </c>
      <c r="B128">
        <f>IF(INDEX(Suivi!$B:$B,131)="","",INDEX(Suivi!$B:$B,131))</f>
        <v/>
      </c>
      <c r="C128">
        <f>IF($B128="","",IF(INDEX(Suivi!$D:$D,131)="",INDEX(Suivi!$C:$C,131),INDEX(Suivi!$D:$D,131)))</f>
        <v/>
      </c>
      <c r="D128" s="29">
        <f>IF($B128="","",INDEX(Suivi!$E:$E,131))</f>
        <v/>
      </c>
      <c r="E128" s="29">
        <f>IF($B128="","",INDEX(Suivi!$F:$F,131))</f>
        <v/>
      </c>
      <c r="F128">
        <f>IF($B128="","",INDEX(Suivi!$G:$G,131))</f>
        <v/>
      </c>
      <c r="H128">
        <f>IF(OR($B128="",NOT(ISNUMBER($D128))),"",IF($E128&lt;$D$2,"Passé",IF($D128&gt;$F$2,"À venir","Dans la période")))</f>
        <v/>
      </c>
      <c r="I128">
        <f>IF(OR($B128="",NOT(ISNUMBER($D128))),"",IF(AND($E128&lt;$D$2,$G128&lt;&gt;"X",$F128&lt;&gt;"Réalisé",$F128&lt;&gt;"Clôturé"),"RETARD",""))</f>
        <v/>
      </c>
      <c r="J128" s="29">
        <f>IF($B128="","",IF(INDEX(Dossiers!$F$4:$F$63,3)="","",INDEX(Dossiers!$F$4:$F$63,3)))</f>
        <v/>
      </c>
      <c r="K128" s="29">
        <f>IF($B128="","",IF(INDEX(Dossiers!$G$4:$G$63,3)="","",INDEX(Dossiers!$G$4:$G$63,3)))</f>
        <v/>
      </c>
    </row>
    <row r="129">
      <c r="A129">
        <f>IF($B129="","",INDEX(Dossiers!$E$4:$E$63,3))</f>
        <v/>
      </c>
      <c r="B129">
        <f>IF(INDEX(Suivi!$B:$B,132)="","",INDEX(Suivi!$B:$B,132))</f>
        <v/>
      </c>
      <c r="C129">
        <f>IF($B129="","",IF(INDEX(Suivi!$D:$D,132)="",INDEX(Suivi!$C:$C,132),INDEX(Suivi!$D:$D,132)))</f>
        <v/>
      </c>
      <c r="D129" s="29">
        <f>IF($B129="","",INDEX(Suivi!$E:$E,132))</f>
        <v/>
      </c>
      <c r="E129" s="29">
        <f>IF($B129="","",INDEX(Suivi!$F:$F,132))</f>
        <v/>
      </c>
      <c r="F129">
        <f>IF($B129="","",INDEX(Suivi!$G:$G,132))</f>
        <v/>
      </c>
      <c r="H129">
        <f>IF(OR($B129="",NOT(ISNUMBER($D129))),"",IF($E129&lt;$D$2,"Passé",IF($D129&gt;$F$2,"À venir","Dans la période")))</f>
        <v/>
      </c>
      <c r="I129">
        <f>IF(OR($B129="",NOT(ISNUMBER($D129))),"",IF(AND($E129&lt;$D$2,$G129&lt;&gt;"X",$F129&lt;&gt;"Réalisé",$F129&lt;&gt;"Clôturé"),"RETARD",""))</f>
        <v/>
      </c>
      <c r="J129" s="29">
        <f>IF($B129="","",IF(INDEX(Dossiers!$F$4:$F$63,3)="","",INDEX(Dossiers!$F$4:$F$63,3)))</f>
        <v/>
      </c>
      <c r="K129" s="29">
        <f>IF($B129="","",IF(INDEX(Dossiers!$G$4:$G$63,3)="","",INDEX(Dossiers!$G$4:$G$63,3)))</f>
        <v/>
      </c>
    </row>
    <row r="130">
      <c r="A130">
        <f>IF($B130="","",INDEX(Dossiers!$E$4:$E$63,3))</f>
        <v/>
      </c>
      <c r="B130">
        <f>IF(INDEX(Suivi!$B:$B,133)="","",INDEX(Suivi!$B:$B,133))</f>
        <v/>
      </c>
      <c r="C130">
        <f>IF($B130="","",IF(INDEX(Suivi!$D:$D,133)="",INDEX(Suivi!$C:$C,133),INDEX(Suivi!$D:$D,133)))</f>
        <v/>
      </c>
      <c r="D130" s="29">
        <f>IF($B130="","",INDEX(Suivi!$E:$E,133))</f>
        <v/>
      </c>
      <c r="E130" s="29">
        <f>IF($B130="","",INDEX(Suivi!$F:$F,133))</f>
        <v/>
      </c>
      <c r="F130">
        <f>IF($B130="","",INDEX(Suivi!$G:$G,133))</f>
        <v/>
      </c>
      <c r="H130">
        <f>IF(OR($B130="",NOT(ISNUMBER($D130))),"",IF($E130&lt;$D$2,"Passé",IF($D130&gt;$F$2,"À venir","Dans la période")))</f>
        <v/>
      </c>
      <c r="I130">
        <f>IF(OR($B130="",NOT(ISNUMBER($D130))),"",IF(AND($E130&lt;$D$2,$G130&lt;&gt;"X",$F130&lt;&gt;"Réalisé",$F130&lt;&gt;"Clôturé"),"RETARD",""))</f>
        <v/>
      </c>
      <c r="J130" s="29">
        <f>IF($B130="","",IF(INDEX(Dossiers!$F$4:$F$63,3)="","",INDEX(Dossiers!$F$4:$F$63,3)))</f>
        <v/>
      </c>
      <c r="K130" s="29">
        <f>IF($B130="","",IF(INDEX(Dossiers!$G$4:$G$63,3)="","",INDEX(Dossiers!$G$4:$G$63,3)))</f>
        <v/>
      </c>
    </row>
    <row r="131">
      <c r="A131">
        <f>IF($B131="","",INDEX(Dossiers!$E$4:$E$63,3))</f>
        <v/>
      </c>
      <c r="B131">
        <f>IF(INDEX(Suivi!$B:$B,134)="","",INDEX(Suivi!$B:$B,134))</f>
        <v/>
      </c>
      <c r="C131">
        <f>IF($B131="","",IF(INDEX(Suivi!$D:$D,134)="",INDEX(Suivi!$C:$C,134),INDEX(Suivi!$D:$D,134)))</f>
        <v/>
      </c>
      <c r="D131" s="29">
        <f>IF($B131="","",INDEX(Suivi!$E:$E,134))</f>
        <v/>
      </c>
      <c r="E131" s="29">
        <f>IF($B131="","",INDEX(Suivi!$F:$F,134))</f>
        <v/>
      </c>
      <c r="F131">
        <f>IF($B131="","",INDEX(Suivi!$G:$G,134))</f>
        <v/>
      </c>
      <c r="H131">
        <f>IF(OR($B131="",NOT(ISNUMBER($D131))),"",IF($E131&lt;$D$2,"Passé",IF($D131&gt;$F$2,"À venir","Dans la période")))</f>
        <v/>
      </c>
      <c r="I131">
        <f>IF(OR($B131="",NOT(ISNUMBER($D131))),"",IF(AND($E131&lt;$D$2,$G131&lt;&gt;"X",$F131&lt;&gt;"Réalisé",$F131&lt;&gt;"Clôturé"),"RETARD",""))</f>
        <v/>
      </c>
      <c r="J131" s="29">
        <f>IF($B131="","",IF(INDEX(Dossiers!$F$4:$F$63,3)="","",INDEX(Dossiers!$F$4:$F$63,3)))</f>
        <v/>
      </c>
      <c r="K131" s="29">
        <f>IF($B131="","",IF(INDEX(Dossiers!$G$4:$G$63,3)="","",INDEX(Dossiers!$G$4:$G$63,3)))</f>
        <v/>
      </c>
    </row>
    <row r="132">
      <c r="A132">
        <f>IF($B132="","",INDEX(Dossiers!$E$4:$E$63,3))</f>
        <v/>
      </c>
      <c r="B132">
        <f>IF(INDEX(Suivi!$B:$B,135)="","",INDEX(Suivi!$B:$B,135))</f>
        <v/>
      </c>
      <c r="C132">
        <f>IF($B132="","",IF(INDEX(Suivi!$D:$D,135)="",INDEX(Suivi!$C:$C,135),INDEX(Suivi!$D:$D,135)))</f>
        <v/>
      </c>
      <c r="D132" s="29">
        <f>IF($B132="","",INDEX(Suivi!$E:$E,135))</f>
        <v/>
      </c>
      <c r="E132" s="29">
        <f>IF($B132="","",INDEX(Suivi!$F:$F,135))</f>
        <v/>
      </c>
      <c r="F132">
        <f>IF($B132="","",INDEX(Suivi!$G:$G,135))</f>
        <v/>
      </c>
      <c r="H132">
        <f>IF(OR($B132="",NOT(ISNUMBER($D132))),"",IF($E132&lt;$D$2,"Passé",IF($D132&gt;$F$2,"À venir","Dans la période")))</f>
        <v/>
      </c>
      <c r="I132">
        <f>IF(OR($B132="",NOT(ISNUMBER($D132))),"",IF(AND($E132&lt;$D$2,$G132&lt;&gt;"X",$F132&lt;&gt;"Réalisé",$F132&lt;&gt;"Clôturé"),"RETARD",""))</f>
        <v/>
      </c>
      <c r="J132" s="29">
        <f>IF($B132="","",IF(INDEX(Dossiers!$F$4:$F$63,3)="","",INDEX(Dossiers!$F$4:$F$63,3)))</f>
        <v/>
      </c>
      <c r="K132" s="29">
        <f>IF($B132="","",IF(INDEX(Dossiers!$G$4:$G$63,3)="","",INDEX(Dossiers!$G$4:$G$63,3)))</f>
        <v/>
      </c>
    </row>
    <row r="133">
      <c r="A133">
        <f>IF($B133="","",INDEX(Dossiers!$E$4:$E$63,3))</f>
        <v/>
      </c>
      <c r="B133">
        <f>IF(INDEX(Suivi!$B:$B,136)="","",INDEX(Suivi!$B:$B,136))</f>
        <v/>
      </c>
      <c r="C133">
        <f>IF($B133="","",IF(INDEX(Suivi!$D:$D,136)="",INDEX(Suivi!$C:$C,136),INDEX(Suivi!$D:$D,136)))</f>
        <v/>
      </c>
      <c r="D133" s="29">
        <f>IF($B133="","",INDEX(Suivi!$E:$E,136))</f>
        <v/>
      </c>
      <c r="E133" s="29">
        <f>IF($B133="","",INDEX(Suivi!$F:$F,136))</f>
        <v/>
      </c>
      <c r="F133">
        <f>IF($B133="","",INDEX(Suivi!$G:$G,136))</f>
        <v/>
      </c>
      <c r="H133">
        <f>IF(OR($B133="",NOT(ISNUMBER($D133))),"",IF($E133&lt;$D$2,"Passé",IF($D133&gt;$F$2,"À venir","Dans la période")))</f>
        <v/>
      </c>
      <c r="I133">
        <f>IF(OR($B133="",NOT(ISNUMBER($D133))),"",IF(AND($E133&lt;$D$2,$G133&lt;&gt;"X",$F133&lt;&gt;"Réalisé",$F133&lt;&gt;"Clôturé"),"RETARD",""))</f>
        <v/>
      </c>
      <c r="J133" s="29">
        <f>IF($B133="","",IF(INDEX(Dossiers!$F$4:$F$63,3)="","",INDEX(Dossiers!$F$4:$F$63,3)))</f>
        <v/>
      </c>
      <c r="K133" s="29">
        <f>IF($B133="","",IF(INDEX(Dossiers!$G$4:$G$63,3)="","",INDEX(Dossiers!$G$4:$G$63,3)))</f>
        <v/>
      </c>
    </row>
    <row r="134">
      <c r="A134">
        <f>IF($B134="","",INDEX(Dossiers!$E$4:$E$63,3))</f>
        <v/>
      </c>
      <c r="B134">
        <f>IF(INDEX(Suivi!$B:$B,137)="","",INDEX(Suivi!$B:$B,137))</f>
        <v/>
      </c>
      <c r="C134">
        <f>IF($B134="","",IF(INDEX(Suivi!$D:$D,137)="",INDEX(Suivi!$C:$C,137),INDEX(Suivi!$D:$D,137)))</f>
        <v/>
      </c>
      <c r="D134" s="29">
        <f>IF($B134="","",INDEX(Suivi!$E:$E,137))</f>
        <v/>
      </c>
      <c r="E134" s="29">
        <f>IF($B134="","",INDEX(Suivi!$F:$F,137))</f>
        <v/>
      </c>
      <c r="F134">
        <f>IF($B134="","",INDEX(Suivi!$G:$G,137))</f>
        <v/>
      </c>
      <c r="H134">
        <f>IF(OR($B134="",NOT(ISNUMBER($D134))),"",IF($E134&lt;$D$2,"Passé",IF($D134&gt;$F$2,"À venir","Dans la période")))</f>
        <v/>
      </c>
      <c r="I134">
        <f>IF(OR($B134="",NOT(ISNUMBER($D134))),"",IF(AND($E134&lt;$D$2,$G134&lt;&gt;"X",$F134&lt;&gt;"Réalisé",$F134&lt;&gt;"Clôturé"),"RETARD",""))</f>
        <v/>
      </c>
      <c r="J134" s="29">
        <f>IF($B134="","",IF(INDEX(Dossiers!$F$4:$F$63,3)="","",INDEX(Dossiers!$F$4:$F$63,3)))</f>
        <v/>
      </c>
      <c r="K134" s="29">
        <f>IF($B134="","",IF(INDEX(Dossiers!$G$4:$G$63,3)="","",INDEX(Dossiers!$G$4:$G$63,3)))</f>
        <v/>
      </c>
    </row>
    <row r="135">
      <c r="A135">
        <f>IF($B135="","",INDEX(Dossiers!$E$4:$E$63,3))</f>
        <v/>
      </c>
      <c r="B135">
        <f>IF(INDEX(Suivi!$B:$B,138)="","",INDEX(Suivi!$B:$B,138))</f>
        <v/>
      </c>
      <c r="C135">
        <f>IF($B135="","",IF(INDEX(Suivi!$D:$D,138)="",INDEX(Suivi!$C:$C,138),INDEX(Suivi!$D:$D,138)))</f>
        <v/>
      </c>
      <c r="D135" s="29">
        <f>IF($B135="","",INDEX(Suivi!$E:$E,138))</f>
        <v/>
      </c>
      <c r="E135" s="29">
        <f>IF($B135="","",INDEX(Suivi!$F:$F,138))</f>
        <v/>
      </c>
      <c r="F135">
        <f>IF($B135="","",INDEX(Suivi!$G:$G,138))</f>
        <v/>
      </c>
      <c r="H135">
        <f>IF(OR($B135="",NOT(ISNUMBER($D135))),"",IF($E135&lt;$D$2,"Passé",IF($D135&gt;$F$2,"À venir","Dans la période")))</f>
        <v/>
      </c>
      <c r="I135">
        <f>IF(OR($B135="",NOT(ISNUMBER($D135))),"",IF(AND($E135&lt;$D$2,$G135&lt;&gt;"X",$F135&lt;&gt;"Réalisé",$F135&lt;&gt;"Clôturé"),"RETARD",""))</f>
        <v/>
      </c>
      <c r="J135" s="29">
        <f>IF($B135="","",IF(INDEX(Dossiers!$F$4:$F$63,3)="","",INDEX(Dossiers!$F$4:$F$63,3)))</f>
        <v/>
      </c>
      <c r="K135" s="29">
        <f>IF($B135="","",IF(INDEX(Dossiers!$G$4:$G$63,3)="","",INDEX(Dossiers!$G$4:$G$63,3)))</f>
        <v/>
      </c>
    </row>
    <row r="136">
      <c r="A136">
        <f>IF($B136="","",INDEX(Dossiers!$E$4:$E$63,3))</f>
        <v/>
      </c>
      <c r="B136">
        <f>IF(INDEX(Suivi!$B:$B,139)="","",INDEX(Suivi!$B:$B,139))</f>
        <v/>
      </c>
      <c r="C136">
        <f>IF($B136="","",IF(INDEX(Suivi!$D:$D,139)="",INDEX(Suivi!$C:$C,139),INDEX(Suivi!$D:$D,139)))</f>
        <v/>
      </c>
      <c r="D136" s="29">
        <f>IF($B136="","",INDEX(Suivi!$E:$E,139))</f>
        <v/>
      </c>
      <c r="E136" s="29">
        <f>IF($B136="","",INDEX(Suivi!$F:$F,139))</f>
        <v/>
      </c>
      <c r="F136">
        <f>IF($B136="","",INDEX(Suivi!$G:$G,139))</f>
        <v/>
      </c>
      <c r="H136">
        <f>IF(OR($B136="",NOT(ISNUMBER($D136))),"",IF($E136&lt;$D$2,"Passé",IF($D136&gt;$F$2,"À venir","Dans la période")))</f>
        <v/>
      </c>
      <c r="I136">
        <f>IF(OR($B136="",NOT(ISNUMBER($D136))),"",IF(AND($E136&lt;$D$2,$G136&lt;&gt;"X",$F136&lt;&gt;"Réalisé",$F136&lt;&gt;"Clôturé"),"RETARD",""))</f>
        <v/>
      </c>
      <c r="J136" s="29">
        <f>IF($B136="","",IF(INDEX(Dossiers!$F$4:$F$63,3)="","",INDEX(Dossiers!$F$4:$F$63,3)))</f>
        <v/>
      </c>
      <c r="K136" s="29">
        <f>IF($B136="","",IF(INDEX(Dossiers!$G$4:$G$63,3)="","",INDEX(Dossiers!$G$4:$G$63,3)))</f>
        <v/>
      </c>
    </row>
    <row r="137">
      <c r="A137">
        <f>IF($B137="","",INDEX(Dossiers!$E$4:$E$63,3))</f>
        <v/>
      </c>
      <c r="B137">
        <f>IF(INDEX(Suivi!$B:$B,140)="","",INDEX(Suivi!$B:$B,140))</f>
        <v/>
      </c>
      <c r="C137">
        <f>IF($B137="","",IF(INDEX(Suivi!$D:$D,140)="",INDEX(Suivi!$C:$C,140),INDEX(Suivi!$D:$D,140)))</f>
        <v/>
      </c>
      <c r="D137" s="29">
        <f>IF($B137="","",INDEX(Suivi!$E:$E,140))</f>
        <v/>
      </c>
      <c r="E137" s="29">
        <f>IF($B137="","",INDEX(Suivi!$F:$F,140))</f>
        <v/>
      </c>
      <c r="F137">
        <f>IF($B137="","",INDEX(Suivi!$G:$G,140))</f>
        <v/>
      </c>
      <c r="H137">
        <f>IF(OR($B137="",NOT(ISNUMBER($D137))),"",IF($E137&lt;$D$2,"Passé",IF($D137&gt;$F$2,"À venir","Dans la période")))</f>
        <v/>
      </c>
      <c r="I137">
        <f>IF(OR($B137="",NOT(ISNUMBER($D137))),"",IF(AND($E137&lt;$D$2,$G137&lt;&gt;"X",$F137&lt;&gt;"Réalisé",$F137&lt;&gt;"Clôturé"),"RETARD",""))</f>
        <v/>
      </c>
      <c r="J137" s="29">
        <f>IF($B137="","",IF(INDEX(Dossiers!$F$4:$F$63,3)="","",INDEX(Dossiers!$F$4:$F$63,3)))</f>
        <v/>
      </c>
      <c r="K137" s="29">
        <f>IF($B137="","",IF(INDEX(Dossiers!$G$4:$G$63,3)="","",INDEX(Dossiers!$G$4:$G$63,3)))</f>
        <v/>
      </c>
    </row>
    <row r="138">
      <c r="A138">
        <f>IF($B138="","",INDEX(Dossiers!$E$4:$E$63,3))</f>
        <v/>
      </c>
      <c r="B138">
        <f>IF(INDEX(Suivi!$B:$B,141)="","",INDEX(Suivi!$B:$B,141))</f>
        <v/>
      </c>
      <c r="C138">
        <f>IF($B138="","",IF(INDEX(Suivi!$D:$D,141)="",INDEX(Suivi!$C:$C,141),INDEX(Suivi!$D:$D,141)))</f>
        <v/>
      </c>
      <c r="D138" s="29">
        <f>IF($B138="","",INDEX(Suivi!$E:$E,141))</f>
        <v/>
      </c>
      <c r="E138" s="29">
        <f>IF($B138="","",INDEX(Suivi!$F:$F,141))</f>
        <v/>
      </c>
      <c r="F138">
        <f>IF($B138="","",INDEX(Suivi!$G:$G,141))</f>
        <v/>
      </c>
      <c r="H138">
        <f>IF(OR($B138="",NOT(ISNUMBER($D138))),"",IF($E138&lt;$D$2,"Passé",IF($D138&gt;$F$2,"À venir","Dans la période")))</f>
        <v/>
      </c>
      <c r="I138">
        <f>IF(OR($B138="",NOT(ISNUMBER($D138))),"",IF(AND($E138&lt;$D$2,$G138&lt;&gt;"X",$F138&lt;&gt;"Réalisé",$F138&lt;&gt;"Clôturé"),"RETARD",""))</f>
        <v/>
      </c>
      <c r="J138" s="29">
        <f>IF($B138="","",IF(INDEX(Dossiers!$F$4:$F$63,3)="","",INDEX(Dossiers!$F$4:$F$63,3)))</f>
        <v/>
      </c>
      <c r="K138" s="29">
        <f>IF($B138="","",IF(INDEX(Dossiers!$G$4:$G$63,3)="","",INDEX(Dossiers!$G$4:$G$63,3)))</f>
        <v/>
      </c>
    </row>
    <row r="139">
      <c r="A139">
        <f>IF($B139="","",INDEX(Dossiers!$E$4:$E$63,3))</f>
        <v/>
      </c>
      <c r="B139">
        <f>IF(INDEX(Suivi!$B:$B,142)="","",INDEX(Suivi!$B:$B,142))</f>
        <v/>
      </c>
      <c r="C139">
        <f>IF($B139="","",IF(INDEX(Suivi!$D:$D,142)="",INDEX(Suivi!$C:$C,142),INDEX(Suivi!$D:$D,142)))</f>
        <v/>
      </c>
      <c r="D139" s="29">
        <f>IF($B139="","",INDEX(Suivi!$E:$E,142))</f>
        <v/>
      </c>
      <c r="E139" s="29">
        <f>IF($B139="","",INDEX(Suivi!$F:$F,142))</f>
        <v/>
      </c>
      <c r="F139">
        <f>IF($B139="","",INDEX(Suivi!$G:$G,142))</f>
        <v/>
      </c>
      <c r="H139">
        <f>IF(OR($B139="",NOT(ISNUMBER($D139))),"",IF($E139&lt;$D$2,"Passé",IF($D139&gt;$F$2,"À venir","Dans la période")))</f>
        <v/>
      </c>
      <c r="I139">
        <f>IF(OR($B139="",NOT(ISNUMBER($D139))),"",IF(AND($E139&lt;$D$2,$G139&lt;&gt;"X",$F139&lt;&gt;"Réalisé",$F139&lt;&gt;"Clôturé"),"RETARD",""))</f>
        <v/>
      </c>
      <c r="J139" s="29">
        <f>IF($B139="","",IF(INDEX(Dossiers!$F$4:$F$63,3)="","",INDEX(Dossiers!$F$4:$F$63,3)))</f>
        <v/>
      </c>
      <c r="K139" s="29">
        <f>IF($B139="","",IF(INDEX(Dossiers!$G$4:$G$63,3)="","",INDEX(Dossiers!$G$4:$G$63,3)))</f>
        <v/>
      </c>
    </row>
    <row r="140">
      <c r="A140">
        <f>IF($B140="","",INDEX(Dossiers!$E$4:$E$63,3))</f>
        <v/>
      </c>
      <c r="B140">
        <f>IF(INDEX(Suivi!$B:$B,143)="","",INDEX(Suivi!$B:$B,143))</f>
        <v/>
      </c>
      <c r="C140">
        <f>IF($B140="","",IF(INDEX(Suivi!$D:$D,143)="",INDEX(Suivi!$C:$C,143),INDEX(Suivi!$D:$D,143)))</f>
        <v/>
      </c>
      <c r="D140" s="29">
        <f>IF($B140="","",INDEX(Suivi!$E:$E,143))</f>
        <v/>
      </c>
      <c r="E140" s="29">
        <f>IF($B140="","",INDEX(Suivi!$F:$F,143))</f>
        <v/>
      </c>
      <c r="F140">
        <f>IF($B140="","",INDEX(Suivi!$G:$G,143))</f>
        <v/>
      </c>
      <c r="H140">
        <f>IF(OR($B140="",NOT(ISNUMBER($D140))),"",IF($E140&lt;$D$2,"Passé",IF($D140&gt;$F$2,"À venir","Dans la période")))</f>
        <v/>
      </c>
      <c r="I140">
        <f>IF(OR($B140="",NOT(ISNUMBER($D140))),"",IF(AND($E140&lt;$D$2,$G140&lt;&gt;"X",$F140&lt;&gt;"Réalisé",$F140&lt;&gt;"Clôturé"),"RETARD",""))</f>
        <v/>
      </c>
      <c r="J140" s="29">
        <f>IF($B140="","",IF(INDEX(Dossiers!$F$4:$F$63,3)="","",INDEX(Dossiers!$F$4:$F$63,3)))</f>
        <v/>
      </c>
      <c r="K140" s="29">
        <f>IF($B140="","",IF(INDEX(Dossiers!$G$4:$G$63,3)="","",INDEX(Dossiers!$G$4:$G$63,3)))</f>
        <v/>
      </c>
    </row>
    <row r="141">
      <c r="A141">
        <f>IF($B141="","",INDEX(Dossiers!$E$4:$E$63,3))</f>
        <v/>
      </c>
      <c r="B141">
        <f>IF(INDEX(Suivi!$B:$B,144)="","",INDEX(Suivi!$B:$B,144))</f>
        <v/>
      </c>
      <c r="C141">
        <f>IF($B141="","",IF(INDEX(Suivi!$D:$D,144)="",INDEX(Suivi!$C:$C,144),INDEX(Suivi!$D:$D,144)))</f>
        <v/>
      </c>
      <c r="D141" s="29">
        <f>IF($B141="","",INDEX(Suivi!$E:$E,144))</f>
        <v/>
      </c>
      <c r="E141" s="29">
        <f>IF($B141="","",INDEX(Suivi!$F:$F,144))</f>
        <v/>
      </c>
      <c r="F141">
        <f>IF($B141="","",INDEX(Suivi!$G:$G,144))</f>
        <v/>
      </c>
      <c r="H141">
        <f>IF(OR($B141="",NOT(ISNUMBER($D141))),"",IF($E141&lt;$D$2,"Passé",IF($D141&gt;$F$2,"À venir","Dans la période")))</f>
        <v/>
      </c>
      <c r="I141">
        <f>IF(OR($B141="",NOT(ISNUMBER($D141))),"",IF(AND($E141&lt;$D$2,$G141&lt;&gt;"X",$F141&lt;&gt;"Réalisé",$F141&lt;&gt;"Clôturé"),"RETARD",""))</f>
        <v/>
      </c>
      <c r="J141" s="29">
        <f>IF($B141="","",IF(INDEX(Dossiers!$F$4:$F$63,3)="","",INDEX(Dossiers!$F$4:$F$63,3)))</f>
        <v/>
      </c>
      <c r="K141" s="29">
        <f>IF($B141="","",IF(INDEX(Dossiers!$G$4:$G$63,3)="","",INDEX(Dossiers!$G$4:$G$63,3)))</f>
        <v/>
      </c>
    </row>
    <row r="142">
      <c r="A142">
        <f>IF($B142="","",INDEX(Dossiers!$E$4:$E$63,3))</f>
        <v/>
      </c>
      <c r="B142">
        <f>IF(INDEX(Suivi!$B:$B,145)="","",INDEX(Suivi!$B:$B,145))</f>
        <v/>
      </c>
      <c r="C142">
        <f>IF($B142="","",IF(INDEX(Suivi!$D:$D,145)="",INDEX(Suivi!$C:$C,145),INDEX(Suivi!$D:$D,145)))</f>
        <v/>
      </c>
      <c r="D142" s="29">
        <f>IF($B142="","",INDEX(Suivi!$E:$E,145))</f>
        <v/>
      </c>
      <c r="E142" s="29">
        <f>IF($B142="","",INDEX(Suivi!$F:$F,145))</f>
        <v/>
      </c>
      <c r="F142">
        <f>IF($B142="","",INDEX(Suivi!$G:$G,145))</f>
        <v/>
      </c>
      <c r="H142">
        <f>IF(OR($B142="",NOT(ISNUMBER($D142))),"",IF($E142&lt;$D$2,"Passé",IF($D142&gt;$F$2,"À venir","Dans la période")))</f>
        <v/>
      </c>
      <c r="I142">
        <f>IF(OR($B142="",NOT(ISNUMBER($D142))),"",IF(AND($E142&lt;$D$2,$G142&lt;&gt;"X",$F142&lt;&gt;"Réalisé",$F142&lt;&gt;"Clôturé"),"RETARD",""))</f>
        <v/>
      </c>
      <c r="J142" s="29">
        <f>IF($B142="","",IF(INDEX(Dossiers!$F$4:$F$63,3)="","",INDEX(Dossiers!$F$4:$F$63,3)))</f>
        <v/>
      </c>
      <c r="K142" s="29">
        <f>IF($B142="","",IF(INDEX(Dossiers!$G$4:$G$63,3)="","",INDEX(Dossiers!$G$4:$G$63,3)))</f>
        <v/>
      </c>
    </row>
    <row r="143">
      <c r="A143">
        <f>IF($B143="","",INDEX(Dossiers!$E$4:$E$63,3))</f>
        <v/>
      </c>
      <c r="B143">
        <f>IF(INDEX(Suivi!$B:$B,146)="","",INDEX(Suivi!$B:$B,146))</f>
        <v/>
      </c>
      <c r="C143">
        <f>IF($B143="","",IF(INDEX(Suivi!$D:$D,146)="",INDEX(Suivi!$C:$C,146),INDEX(Suivi!$D:$D,146)))</f>
        <v/>
      </c>
      <c r="D143" s="29">
        <f>IF($B143="","",INDEX(Suivi!$E:$E,146))</f>
        <v/>
      </c>
      <c r="E143" s="29">
        <f>IF($B143="","",INDEX(Suivi!$F:$F,146))</f>
        <v/>
      </c>
      <c r="F143">
        <f>IF($B143="","",INDEX(Suivi!$G:$G,146))</f>
        <v/>
      </c>
      <c r="H143">
        <f>IF(OR($B143="",NOT(ISNUMBER($D143))),"",IF($E143&lt;$D$2,"Passé",IF($D143&gt;$F$2,"À venir","Dans la période")))</f>
        <v/>
      </c>
      <c r="I143">
        <f>IF(OR($B143="",NOT(ISNUMBER($D143))),"",IF(AND($E143&lt;$D$2,$G143&lt;&gt;"X",$F143&lt;&gt;"Réalisé",$F143&lt;&gt;"Clôturé"),"RETARD",""))</f>
        <v/>
      </c>
      <c r="J143" s="29">
        <f>IF($B143="","",IF(INDEX(Dossiers!$F$4:$F$63,3)="","",INDEX(Dossiers!$F$4:$F$63,3)))</f>
        <v/>
      </c>
      <c r="K143" s="29">
        <f>IF($B143="","",IF(INDEX(Dossiers!$G$4:$G$63,3)="","",INDEX(Dossiers!$G$4:$G$63,3)))</f>
        <v/>
      </c>
    </row>
    <row r="144">
      <c r="A144">
        <f>IF($B144="","",INDEX(Dossiers!$E$4:$E$63,3))</f>
        <v/>
      </c>
      <c r="B144">
        <f>IF(INDEX(Suivi!$B:$B,147)="","",INDEX(Suivi!$B:$B,147))</f>
        <v/>
      </c>
      <c r="C144">
        <f>IF($B144="","",IF(INDEX(Suivi!$D:$D,147)="",INDEX(Suivi!$C:$C,147),INDEX(Suivi!$D:$D,147)))</f>
        <v/>
      </c>
      <c r="D144" s="29">
        <f>IF($B144="","",INDEX(Suivi!$E:$E,147))</f>
        <v/>
      </c>
      <c r="E144" s="29">
        <f>IF($B144="","",INDEX(Suivi!$F:$F,147))</f>
        <v/>
      </c>
      <c r="F144">
        <f>IF($B144="","",INDEX(Suivi!$G:$G,147))</f>
        <v/>
      </c>
      <c r="H144">
        <f>IF(OR($B144="",NOT(ISNUMBER($D144))),"",IF($E144&lt;$D$2,"Passé",IF($D144&gt;$F$2,"À venir","Dans la période")))</f>
        <v/>
      </c>
      <c r="I144">
        <f>IF(OR($B144="",NOT(ISNUMBER($D144))),"",IF(AND($E144&lt;$D$2,$G144&lt;&gt;"X",$F144&lt;&gt;"Réalisé",$F144&lt;&gt;"Clôturé"),"RETARD",""))</f>
        <v/>
      </c>
      <c r="J144" s="29">
        <f>IF($B144="","",IF(INDEX(Dossiers!$F$4:$F$63,3)="","",INDEX(Dossiers!$F$4:$F$63,3)))</f>
        <v/>
      </c>
      <c r="K144" s="29">
        <f>IF($B144="","",IF(INDEX(Dossiers!$G$4:$G$63,3)="","",INDEX(Dossiers!$G$4:$G$63,3)))</f>
        <v/>
      </c>
    </row>
    <row r="145">
      <c r="A145">
        <f>IF($B145="","",INDEX(Dossiers!$E$4:$E$63,3))</f>
        <v/>
      </c>
      <c r="B145">
        <f>IF(INDEX(Suivi!$B:$B,148)="","",INDEX(Suivi!$B:$B,148))</f>
        <v/>
      </c>
      <c r="C145">
        <f>IF($B145="","",IF(INDEX(Suivi!$D:$D,148)="",INDEX(Suivi!$C:$C,148),INDEX(Suivi!$D:$D,148)))</f>
        <v/>
      </c>
      <c r="D145" s="29">
        <f>IF($B145="","",INDEX(Suivi!$E:$E,148))</f>
        <v/>
      </c>
      <c r="E145" s="29">
        <f>IF($B145="","",INDEX(Suivi!$F:$F,148))</f>
        <v/>
      </c>
      <c r="F145">
        <f>IF($B145="","",INDEX(Suivi!$G:$G,148))</f>
        <v/>
      </c>
      <c r="H145">
        <f>IF(OR($B145="",NOT(ISNUMBER($D145))),"",IF($E145&lt;$D$2,"Passé",IF($D145&gt;$F$2,"À venir","Dans la période")))</f>
        <v/>
      </c>
      <c r="I145">
        <f>IF(OR($B145="",NOT(ISNUMBER($D145))),"",IF(AND($E145&lt;$D$2,$G145&lt;&gt;"X",$F145&lt;&gt;"Réalisé",$F145&lt;&gt;"Clôturé"),"RETARD",""))</f>
        <v/>
      </c>
      <c r="J145" s="29">
        <f>IF($B145="","",IF(INDEX(Dossiers!$F$4:$F$63,3)="","",INDEX(Dossiers!$F$4:$F$63,3)))</f>
        <v/>
      </c>
      <c r="K145" s="29">
        <f>IF($B145="","",IF(INDEX(Dossiers!$G$4:$G$63,3)="","",INDEX(Dossiers!$G$4:$G$63,3)))</f>
        <v/>
      </c>
    </row>
    <row r="146">
      <c r="A146">
        <f>IF($B146="","",INDEX(Dossiers!$E$4:$E$63,3))</f>
        <v/>
      </c>
      <c r="B146">
        <f>IF(INDEX(Suivi!$B:$B,149)="","",INDEX(Suivi!$B:$B,149))</f>
        <v/>
      </c>
      <c r="C146">
        <f>IF($B146="","",IF(INDEX(Suivi!$D:$D,149)="",INDEX(Suivi!$C:$C,149),INDEX(Suivi!$D:$D,149)))</f>
        <v/>
      </c>
      <c r="D146" s="29">
        <f>IF($B146="","",INDEX(Suivi!$E:$E,149))</f>
        <v/>
      </c>
      <c r="E146" s="29">
        <f>IF($B146="","",INDEX(Suivi!$F:$F,149))</f>
        <v/>
      </c>
      <c r="F146">
        <f>IF($B146="","",INDEX(Suivi!$G:$G,149))</f>
        <v/>
      </c>
      <c r="H146">
        <f>IF(OR($B146="",NOT(ISNUMBER($D146))),"",IF($E146&lt;$D$2,"Passé",IF($D146&gt;$F$2,"À venir","Dans la période")))</f>
        <v/>
      </c>
      <c r="I146">
        <f>IF(OR($B146="",NOT(ISNUMBER($D146))),"",IF(AND($E146&lt;$D$2,$G146&lt;&gt;"X",$F146&lt;&gt;"Réalisé",$F146&lt;&gt;"Clôturé"),"RETARD",""))</f>
        <v/>
      </c>
      <c r="J146" s="29">
        <f>IF($B146="","",IF(INDEX(Dossiers!$F$4:$F$63,3)="","",INDEX(Dossiers!$F$4:$F$63,3)))</f>
        <v/>
      </c>
      <c r="K146" s="29">
        <f>IF($B146="","",IF(INDEX(Dossiers!$G$4:$G$63,3)="","",INDEX(Dossiers!$G$4:$G$63,3)))</f>
        <v/>
      </c>
    </row>
    <row r="147">
      <c r="A147">
        <f>IF($B147="","",INDEX(Dossiers!$E$4:$E$63,3))</f>
        <v/>
      </c>
      <c r="B147">
        <f>IF(INDEX(Suivi!$B:$B,150)="","",INDEX(Suivi!$B:$B,150))</f>
        <v/>
      </c>
      <c r="C147">
        <f>IF($B147="","",IF(INDEX(Suivi!$D:$D,150)="",INDEX(Suivi!$C:$C,150),INDEX(Suivi!$D:$D,150)))</f>
        <v/>
      </c>
      <c r="D147" s="29">
        <f>IF($B147="","",INDEX(Suivi!$E:$E,150))</f>
        <v/>
      </c>
      <c r="E147" s="29">
        <f>IF($B147="","",INDEX(Suivi!$F:$F,150))</f>
        <v/>
      </c>
      <c r="F147">
        <f>IF($B147="","",INDEX(Suivi!$G:$G,150))</f>
        <v/>
      </c>
      <c r="H147">
        <f>IF(OR($B147="",NOT(ISNUMBER($D147))),"",IF($E147&lt;$D$2,"Passé",IF($D147&gt;$F$2,"À venir","Dans la période")))</f>
        <v/>
      </c>
      <c r="I147">
        <f>IF(OR($B147="",NOT(ISNUMBER($D147))),"",IF(AND($E147&lt;$D$2,$G147&lt;&gt;"X",$F147&lt;&gt;"Réalisé",$F147&lt;&gt;"Clôturé"),"RETARD",""))</f>
        <v/>
      </c>
      <c r="J147" s="29">
        <f>IF($B147="","",IF(INDEX(Dossiers!$F$4:$F$63,3)="","",INDEX(Dossiers!$F$4:$F$63,3)))</f>
        <v/>
      </c>
      <c r="K147" s="29">
        <f>IF($B147="","",IF(INDEX(Dossiers!$G$4:$G$63,3)="","",INDEX(Dossiers!$G$4:$G$63,3)))</f>
        <v/>
      </c>
    </row>
    <row r="148">
      <c r="A148">
        <f>IF($B148="","",INDEX(Dossiers!$E$4:$E$63,3))</f>
        <v/>
      </c>
      <c r="B148">
        <f>IF(INDEX(Suivi!$B:$B,151)="","",INDEX(Suivi!$B:$B,151))</f>
        <v/>
      </c>
      <c r="C148">
        <f>IF($B148="","",IF(INDEX(Suivi!$D:$D,151)="",INDEX(Suivi!$C:$C,151),INDEX(Suivi!$D:$D,151)))</f>
        <v/>
      </c>
      <c r="D148" s="29">
        <f>IF($B148="","",INDEX(Suivi!$E:$E,151))</f>
        <v/>
      </c>
      <c r="E148" s="29">
        <f>IF($B148="","",INDEX(Suivi!$F:$F,151))</f>
        <v/>
      </c>
      <c r="F148">
        <f>IF($B148="","",INDEX(Suivi!$G:$G,151))</f>
        <v/>
      </c>
      <c r="H148">
        <f>IF(OR($B148="",NOT(ISNUMBER($D148))),"",IF($E148&lt;$D$2,"Passé",IF($D148&gt;$F$2,"À venir","Dans la période")))</f>
        <v/>
      </c>
      <c r="I148">
        <f>IF(OR($B148="",NOT(ISNUMBER($D148))),"",IF(AND($E148&lt;$D$2,$G148&lt;&gt;"X",$F148&lt;&gt;"Réalisé",$F148&lt;&gt;"Clôturé"),"RETARD",""))</f>
        <v/>
      </c>
      <c r="J148" s="29">
        <f>IF($B148="","",IF(INDEX(Dossiers!$F$4:$F$63,3)="","",INDEX(Dossiers!$F$4:$F$63,3)))</f>
        <v/>
      </c>
      <c r="K148" s="29">
        <f>IF($B148="","",IF(INDEX(Dossiers!$G$4:$G$63,3)="","",INDEX(Dossiers!$G$4:$G$63,3)))</f>
        <v/>
      </c>
    </row>
    <row r="149">
      <c r="A149">
        <f>IF($B149="","",INDEX(Dossiers!$E$4:$E$63,3))</f>
        <v/>
      </c>
      <c r="B149">
        <f>IF(INDEX(Suivi!$B:$B,152)="","",INDEX(Suivi!$B:$B,152))</f>
        <v/>
      </c>
      <c r="C149">
        <f>IF($B149="","",IF(INDEX(Suivi!$D:$D,152)="",INDEX(Suivi!$C:$C,152),INDEX(Suivi!$D:$D,152)))</f>
        <v/>
      </c>
      <c r="D149" s="29">
        <f>IF($B149="","",INDEX(Suivi!$E:$E,152))</f>
        <v/>
      </c>
      <c r="E149" s="29">
        <f>IF($B149="","",INDEX(Suivi!$F:$F,152))</f>
        <v/>
      </c>
      <c r="F149">
        <f>IF($B149="","",INDEX(Suivi!$G:$G,152))</f>
        <v/>
      </c>
      <c r="H149">
        <f>IF(OR($B149="",NOT(ISNUMBER($D149))),"",IF($E149&lt;$D$2,"Passé",IF($D149&gt;$F$2,"À venir","Dans la période")))</f>
        <v/>
      </c>
      <c r="I149">
        <f>IF(OR($B149="",NOT(ISNUMBER($D149))),"",IF(AND($E149&lt;$D$2,$G149&lt;&gt;"X",$F149&lt;&gt;"Réalisé",$F149&lt;&gt;"Clôturé"),"RETARD",""))</f>
        <v/>
      </c>
      <c r="J149" s="29">
        <f>IF($B149="","",IF(INDEX(Dossiers!$F$4:$F$63,3)="","",INDEX(Dossiers!$F$4:$F$63,3)))</f>
        <v/>
      </c>
      <c r="K149" s="29">
        <f>IF($B149="","",IF(INDEX(Dossiers!$G$4:$G$63,3)="","",INDEX(Dossiers!$G$4:$G$63,3)))</f>
        <v/>
      </c>
    </row>
    <row r="150">
      <c r="A150">
        <f>IF($B150="","",INDEX(Dossiers!$E$4:$E$63,3))</f>
        <v/>
      </c>
      <c r="B150">
        <f>IF(INDEX(Suivi!$B:$B,153)="","",INDEX(Suivi!$B:$B,153))</f>
        <v/>
      </c>
      <c r="C150">
        <f>IF($B150="","",IF(INDEX(Suivi!$D:$D,153)="",INDEX(Suivi!$C:$C,153),INDEX(Suivi!$D:$D,153)))</f>
        <v/>
      </c>
      <c r="D150" s="29">
        <f>IF($B150="","",INDEX(Suivi!$E:$E,153))</f>
        <v/>
      </c>
      <c r="E150" s="29">
        <f>IF($B150="","",INDEX(Suivi!$F:$F,153))</f>
        <v/>
      </c>
      <c r="F150">
        <f>IF($B150="","",INDEX(Suivi!$G:$G,153))</f>
        <v/>
      </c>
      <c r="H150">
        <f>IF(OR($B150="",NOT(ISNUMBER($D150))),"",IF($E150&lt;$D$2,"Passé",IF($D150&gt;$F$2,"À venir","Dans la période")))</f>
        <v/>
      </c>
      <c r="I150">
        <f>IF(OR($B150="",NOT(ISNUMBER($D150))),"",IF(AND($E150&lt;$D$2,$G150&lt;&gt;"X",$F150&lt;&gt;"Réalisé",$F150&lt;&gt;"Clôturé"),"RETARD",""))</f>
        <v/>
      </c>
      <c r="J150" s="29">
        <f>IF($B150="","",IF(INDEX(Dossiers!$F$4:$F$63,3)="","",INDEX(Dossiers!$F$4:$F$63,3)))</f>
        <v/>
      </c>
      <c r="K150" s="29">
        <f>IF($B150="","",IF(INDEX(Dossiers!$G$4:$G$63,3)="","",INDEX(Dossiers!$G$4:$G$63,3)))</f>
        <v/>
      </c>
    </row>
    <row r="151">
      <c r="A151">
        <f>IF($B151="","",INDEX(Dossiers!$E$4:$E$63,3))</f>
        <v/>
      </c>
      <c r="B151">
        <f>IF(INDEX(Suivi!$B:$B,154)="","",INDEX(Suivi!$B:$B,154))</f>
        <v/>
      </c>
      <c r="C151">
        <f>IF($B151="","",IF(INDEX(Suivi!$D:$D,154)="",INDEX(Suivi!$C:$C,154),INDEX(Suivi!$D:$D,154)))</f>
        <v/>
      </c>
      <c r="D151" s="29">
        <f>IF($B151="","",INDEX(Suivi!$E:$E,154))</f>
        <v/>
      </c>
      <c r="E151" s="29">
        <f>IF($B151="","",INDEX(Suivi!$F:$F,154))</f>
        <v/>
      </c>
      <c r="F151">
        <f>IF($B151="","",INDEX(Suivi!$G:$G,154))</f>
        <v/>
      </c>
      <c r="H151">
        <f>IF(OR($B151="",NOT(ISNUMBER($D151))),"",IF($E151&lt;$D$2,"Passé",IF($D151&gt;$F$2,"À venir","Dans la période")))</f>
        <v/>
      </c>
      <c r="I151">
        <f>IF(OR($B151="",NOT(ISNUMBER($D151))),"",IF(AND($E151&lt;$D$2,$G151&lt;&gt;"X",$F151&lt;&gt;"Réalisé",$F151&lt;&gt;"Clôturé"),"RETARD",""))</f>
        <v/>
      </c>
      <c r="J151" s="29">
        <f>IF($B151="","",IF(INDEX(Dossiers!$F$4:$F$63,3)="","",INDEX(Dossiers!$F$4:$F$63,3)))</f>
        <v/>
      </c>
      <c r="K151" s="29">
        <f>IF($B151="","",IF(INDEX(Dossiers!$G$4:$G$63,3)="","",INDEX(Dossiers!$G$4:$G$63,3)))</f>
        <v/>
      </c>
    </row>
    <row r="152">
      <c r="A152">
        <f>IF($B152="","",INDEX(Dossiers!$E$4:$E$63,3))</f>
        <v/>
      </c>
      <c r="B152">
        <f>IF(INDEX(Suivi!$B:$B,155)="","",INDEX(Suivi!$B:$B,155))</f>
        <v/>
      </c>
      <c r="C152">
        <f>IF($B152="","",IF(INDEX(Suivi!$D:$D,155)="",INDEX(Suivi!$C:$C,155),INDEX(Suivi!$D:$D,155)))</f>
        <v/>
      </c>
      <c r="D152" s="29">
        <f>IF($B152="","",INDEX(Suivi!$E:$E,155))</f>
        <v/>
      </c>
      <c r="E152" s="29">
        <f>IF($B152="","",INDEX(Suivi!$F:$F,155))</f>
        <v/>
      </c>
      <c r="F152">
        <f>IF($B152="","",INDEX(Suivi!$G:$G,155))</f>
        <v/>
      </c>
      <c r="H152">
        <f>IF(OR($B152="",NOT(ISNUMBER($D152))),"",IF($E152&lt;$D$2,"Passé",IF($D152&gt;$F$2,"À venir","Dans la période")))</f>
        <v/>
      </c>
      <c r="I152">
        <f>IF(OR($B152="",NOT(ISNUMBER($D152))),"",IF(AND($E152&lt;$D$2,$G152&lt;&gt;"X",$F152&lt;&gt;"Réalisé",$F152&lt;&gt;"Clôturé"),"RETARD",""))</f>
        <v/>
      </c>
      <c r="J152" s="29">
        <f>IF($B152="","",IF(INDEX(Dossiers!$F$4:$F$63,3)="","",INDEX(Dossiers!$F$4:$F$63,3)))</f>
        <v/>
      </c>
      <c r="K152" s="29">
        <f>IF($B152="","",IF(INDEX(Dossiers!$G$4:$G$63,3)="","",INDEX(Dossiers!$G$4:$G$63,3)))</f>
        <v/>
      </c>
    </row>
    <row r="153">
      <c r="A153">
        <f>IF($B153="","",INDEX(Dossiers!$E$4:$E$63,3))</f>
        <v/>
      </c>
      <c r="B153">
        <f>IF(INDEX(Suivi!$B:$B,156)="","",INDEX(Suivi!$B:$B,156))</f>
        <v/>
      </c>
      <c r="C153">
        <f>IF($B153="","",IF(INDEX(Suivi!$D:$D,156)="",INDEX(Suivi!$C:$C,156),INDEX(Suivi!$D:$D,156)))</f>
        <v/>
      </c>
      <c r="D153" s="29">
        <f>IF($B153="","",INDEX(Suivi!$E:$E,156))</f>
        <v/>
      </c>
      <c r="E153" s="29">
        <f>IF($B153="","",INDEX(Suivi!$F:$F,156))</f>
        <v/>
      </c>
      <c r="F153">
        <f>IF($B153="","",INDEX(Suivi!$G:$G,156))</f>
        <v/>
      </c>
      <c r="H153">
        <f>IF(OR($B153="",NOT(ISNUMBER($D153))),"",IF($E153&lt;$D$2,"Passé",IF($D153&gt;$F$2,"À venir","Dans la période")))</f>
        <v/>
      </c>
      <c r="I153">
        <f>IF(OR($B153="",NOT(ISNUMBER($D153))),"",IF(AND($E153&lt;$D$2,$G153&lt;&gt;"X",$F153&lt;&gt;"Réalisé",$F153&lt;&gt;"Clôturé"),"RETARD",""))</f>
        <v/>
      </c>
      <c r="J153" s="29">
        <f>IF($B153="","",IF(INDEX(Dossiers!$F$4:$F$63,3)="","",INDEX(Dossiers!$F$4:$F$63,3)))</f>
        <v/>
      </c>
      <c r="K153" s="29">
        <f>IF($B153="","",IF(INDEX(Dossiers!$G$4:$G$63,3)="","",INDEX(Dossiers!$G$4:$G$63,3)))</f>
        <v/>
      </c>
    </row>
    <row r="154">
      <c r="A154">
        <f>IF($B154="","",INDEX(Dossiers!$E$4:$E$63,3))</f>
        <v/>
      </c>
      <c r="B154">
        <f>IF(INDEX(Suivi!$B:$B,157)="","",INDEX(Suivi!$B:$B,157))</f>
        <v/>
      </c>
      <c r="C154">
        <f>IF($B154="","",IF(INDEX(Suivi!$D:$D,157)="",INDEX(Suivi!$C:$C,157),INDEX(Suivi!$D:$D,157)))</f>
        <v/>
      </c>
      <c r="D154" s="29">
        <f>IF($B154="","",INDEX(Suivi!$E:$E,157))</f>
        <v/>
      </c>
      <c r="E154" s="29">
        <f>IF($B154="","",INDEX(Suivi!$F:$F,157))</f>
        <v/>
      </c>
      <c r="F154">
        <f>IF($B154="","",INDEX(Suivi!$G:$G,157))</f>
        <v/>
      </c>
      <c r="H154">
        <f>IF(OR($B154="",NOT(ISNUMBER($D154))),"",IF($E154&lt;$D$2,"Passé",IF($D154&gt;$F$2,"À venir","Dans la période")))</f>
        <v/>
      </c>
      <c r="I154">
        <f>IF(OR($B154="",NOT(ISNUMBER($D154))),"",IF(AND($E154&lt;$D$2,$G154&lt;&gt;"X",$F154&lt;&gt;"Réalisé",$F154&lt;&gt;"Clôturé"),"RETARD",""))</f>
        <v/>
      </c>
      <c r="J154" s="29">
        <f>IF($B154="","",IF(INDEX(Dossiers!$F$4:$F$63,3)="","",INDEX(Dossiers!$F$4:$F$63,3)))</f>
        <v/>
      </c>
      <c r="K154" s="29">
        <f>IF($B154="","",IF(INDEX(Dossiers!$G$4:$G$63,3)="","",INDEX(Dossiers!$G$4:$G$63,3)))</f>
        <v/>
      </c>
    </row>
    <row r="155">
      <c r="A155">
        <f>IF($B155="","",INDEX(Dossiers!$E$4:$E$63,3))</f>
        <v/>
      </c>
      <c r="B155">
        <f>IF(INDEX(Suivi!$B:$B,158)="","",INDEX(Suivi!$B:$B,158))</f>
        <v/>
      </c>
      <c r="C155">
        <f>IF($B155="","",IF(INDEX(Suivi!$D:$D,158)="",INDEX(Suivi!$C:$C,158),INDEX(Suivi!$D:$D,158)))</f>
        <v/>
      </c>
      <c r="D155" s="29">
        <f>IF($B155="","",INDEX(Suivi!$E:$E,158))</f>
        <v/>
      </c>
      <c r="E155" s="29">
        <f>IF($B155="","",INDEX(Suivi!$F:$F,158))</f>
        <v/>
      </c>
      <c r="F155">
        <f>IF($B155="","",INDEX(Suivi!$G:$G,158))</f>
        <v/>
      </c>
      <c r="H155">
        <f>IF(OR($B155="",NOT(ISNUMBER($D155))),"",IF($E155&lt;$D$2,"Passé",IF($D155&gt;$F$2,"À venir","Dans la période")))</f>
        <v/>
      </c>
      <c r="I155">
        <f>IF(OR($B155="",NOT(ISNUMBER($D155))),"",IF(AND($E155&lt;$D$2,$G155&lt;&gt;"X",$F155&lt;&gt;"Réalisé",$F155&lt;&gt;"Clôturé"),"RETARD",""))</f>
        <v/>
      </c>
      <c r="J155" s="29">
        <f>IF($B155="","",IF(INDEX(Dossiers!$F$4:$F$63,3)="","",INDEX(Dossiers!$F$4:$F$63,3)))</f>
        <v/>
      </c>
      <c r="K155" s="29">
        <f>IF($B155="","",IF(INDEX(Dossiers!$G$4:$G$63,3)="","",INDEX(Dossiers!$G$4:$G$63,3)))</f>
        <v/>
      </c>
    </row>
    <row r="156">
      <c r="A156">
        <f>IF($B156="","",INDEX(Dossiers!$E$4:$E$63,3))</f>
        <v/>
      </c>
      <c r="B156">
        <f>IF(INDEX(Suivi!$B:$B,159)="","",INDEX(Suivi!$B:$B,159))</f>
        <v/>
      </c>
      <c r="C156">
        <f>IF($B156="","",IF(INDEX(Suivi!$D:$D,159)="",INDEX(Suivi!$C:$C,159),INDEX(Suivi!$D:$D,159)))</f>
        <v/>
      </c>
      <c r="D156" s="29">
        <f>IF($B156="","",INDEX(Suivi!$E:$E,159))</f>
        <v/>
      </c>
      <c r="E156" s="29">
        <f>IF($B156="","",INDEX(Suivi!$F:$F,159))</f>
        <v/>
      </c>
      <c r="F156">
        <f>IF($B156="","",INDEX(Suivi!$G:$G,159))</f>
        <v/>
      </c>
      <c r="H156">
        <f>IF(OR($B156="",NOT(ISNUMBER($D156))),"",IF($E156&lt;$D$2,"Passé",IF($D156&gt;$F$2,"À venir","Dans la période")))</f>
        <v/>
      </c>
      <c r="I156">
        <f>IF(OR($B156="",NOT(ISNUMBER($D156))),"",IF(AND($E156&lt;$D$2,$G156&lt;&gt;"X",$F156&lt;&gt;"Réalisé",$F156&lt;&gt;"Clôturé"),"RETARD",""))</f>
        <v/>
      </c>
      <c r="J156" s="29">
        <f>IF($B156="","",IF(INDEX(Dossiers!$F$4:$F$63,3)="","",INDEX(Dossiers!$F$4:$F$63,3)))</f>
        <v/>
      </c>
      <c r="K156" s="29">
        <f>IF($B156="","",IF(INDEX(Dossiers!$G$4:$G$63,3)="","",INDEX(Dossiers!$G$4:$G$63,3)))</f>
        <v/>
      </c>
    </row>
    <row r="157">
      <c r="A157">
        <f>IF($B157="","",INDEX(Dossiers!$E$4:$E$63,3))</f>
        <v/>
      </c>
      <c r="B157">
        <f>IF(INDEX(Suivi!$B:$B,160)="","",INDEX(Suivi!$B:$B,160))</f>
        <v/>
      </c>
      <c r="C157">
        <f>IF($B157="","",IF(INDEX(Suivi!$D:$D,160)="",INDEX(Suivi!$C:$C,160),INDEX(Suivi!$D:$D,160)))</f>
        <v/>
      </c>
      <c r="D157" s="29">
        <f>IF($B157="","",INDEX(Suivi!$E:$E,160))</f>
        <v/>
      </c>
      <c r="E157" s="29">
        <f>IF($B157="","",INDEX(Suivi!$F:$F,160))</f>
        <v/>
      </c>
      <c r="F157">
        <f>IF($B157="","",INDEX(Suivi!$G:$G,160))</f>
        <v/>
      </c>
      <c r="H157">
        <f>IF(OR($B157="",NOT(ISNUMBER($D157))),"",IF($E157&lt;$D$2,"Passé",IF($D157&gt;$F$2,"À venir","Dans la période")))</f>
        <v/>
      </c>
      <c r="I157">
        <f>IF(OR($B157="",NOT(ISNUMBER($D157))),"",IF(AND($E157&lt;$D$2,$G157&lt;&gt;"X",$F157&lt;&gt;"Réalisé",$F157&lt;&gt;"Clôturé"),"RETARD",""))</f>
        <v/>
      </c>
      <c r="J157" s="29">
        <f>IF($B157="","",IF(INDEX(Dossiers!$F$4:$F$63,3)="","",INDEX(Dossiers!$F$4:$F$63,3)))</f>
        <v/>
      </c>
      <c r="K157" s="29">
        <f>IF($B157="","",IF(INDEX(Dossiers!$G$4:$G$63,3)="","",INDEX(Dossiers!$G$4:$G$63,3)))</f>
        <v/>
      </c>
    </row>
    <row r="158">
      <c r="A158">
        <f>IF($B158="","",INDEX(Dossiers!$E$4:$E$63,3))</f>
        <v/>
      </c>
      <c r="B158">
        <f>IF(INDEX(Suivi!$B:$B,161)="","",INDEX(Suivi!$B:$B,161))</f>
        <v/>
      </c>
      <c r="C158">
        <f>IF($B158="","",IF(INDEX(Suivi!$D:$D,161)="",INDEX(Suivi!$C:$C,161),INDEX(Suivi!$D:$D,161)))</f>
        <v/>
      </c>
      <c r="D158" s="29">
        <f>IF($B158="","",INDEX(Suivi!$E:$E,161))</f>
        <v/>
      </c>
      <c r="E158" s="29">
        <f>IF($B158="","",INDEX(Suivi!$F:$F,161))</f>
        <v/>
      </c>
      <c r="F158">
        <f>IF($B158="","",INDEX(Suivi!$G:$G,161))</f>
        <v/>
      </c>
      <c r="H158">
        <f>IF(OR($B158="",NOT(ISNUMBER($D158))),"",IF($E158&lt;$D$2,"Passé",IF($D158&gt;$F$2,"À venir","Dans la période")))</f>
        <v/>
      </c>
      <c r="I158">
        <f>IF(OR($B158="",NOT(ISNUMBER($D158))),"",IF(AND($E158&lt;$D$2,$G158&lt;&gt;"X",$F158&lt;&gt;"Réalisé",$F158&lt;&gt;"Clôturé"),"RETARD",""))</f>
        <v/>
      </c>
      <c r="J158" s="29">
        <f>IF($B158="","",IF(INDEX(Dossiers!$F$4:$F$63,3)="","",INDEX(Dossiers!$F$4:$F$63,3)))</f>
        <v/>
      </c>
      <c r="K158" s="29">
        <f>IF($B158="","",IF(INDEX(Dossiers!$G$4:$G$63,3)="","",INDEX(Dossiers!$G$4:$G$63,3)))</f>
        <v/>
      </c>
    </row>
    <row r="159">
      <c r="A159">
        <f>IF($B159="","",INDEX(Dossiers!$E$4:$E$63,3))</f>
        <v/>
      </c>
      <c r="B159">
        <f>IF(INDEX(Suivi!$B:$B,162)="","",INDEX(Suivi!$B:$B,162))</f>
        <v/>
      </c>
      <c r="C159">
        <f>IF($B159="","",IF(INDEX(Suivi!$D:$D,162)="",INDEX(Suivi!$C:$C,162),INDEX(Suivi!$D:$D,162)))</f>
        <v/>
      </c>
      <c r="D159" s="29">
        <f>IF($B159="","",INDEX(Suivi!$E:$E,162))</f>
        <v/>
      </c>
      <c r="E159" s="29">
        <f>IF($B159="","",INDEX(Suivi!$F:$F,162))</f>
        <v/>
      </c>
      <c r="F159">
        <f>IF($B159="","",INDEX(Suivi!$G:$G,162))</f>
        <v/>
      </c>
      <c r="H159">
        <f>IF(OR($B159="",NOT(ISNUMBER($D159))),"",IF($E159&lt;$D$2,"Passé",IF($D159&gt;$F$2,"À venir","Dans la période")))</f>
        <v/>
      </c>
      <c r="I159">
        <f>IF(OR($B159="",NOT(ISNUMBER($D159))),"",IF(AND($E159&lt;$D$2,$G159&lt;&gt;"X",$F159&lt;&gt;"Réalisé",$F159&lt;&gt;"Clôturé"),"RETARD",""))</f>
        <v/>
      </c>
      <c r="J159" s="29">
        <f>IF($B159="","",IF(INDEX(Dossiers!$F$4:$F$63,3)="","",INDEX(Dossiers!$F$4:$F$63,3)))</f>
        <v/>
      </c>
      <c r="K159" s="29">
        <f>IF($B159="","",IF(INDEX(Dossiers!$G$4:$G$63,3)="","",INDEX(Dossiers!$G$4:$G$63,3)))</f>
        <v/>
      </c>
    </row>
    <row r="160">
      <c r="A160">
        <f>IF($B160="","",INDEX(Dossiers!$E$4:$E$63,3))</f>
        <v/>
      </c>
      <c r="B160">
        <f>IF(INDEX(Suivi!$B:$B,163)="","",INDEX(Suivi!$B:$B,163))</f>
        <v/>
      </c>
      <c r="C160">
        <f>IF($B160="","",IF(INDEX(Suivi!$D:$D,163)="",INDEX(Suivi!$C:$C,163),INDEX(Suivi!$D:$D,163)))</f>
        <v/>
      </c>
      <c r="D160" s="29">
        <f>IF($B160="","",INDEX(Suivi!$E:$E,163))</f>
        <v/>
      </c>
      <c r="E160" s="29">
        <f>IF($B160="","",INDEX(Suivi!$F:$F,163))</f>
        <v/>
      </c>
      <c r="F160">
        <f>IF($B160="","",INDEX(Suivi!$G:$G,163))</f>
        <v/>
      </c>
      <c r="H160">
        <f>IF(OR($B160="",NOT(ISNUMBER($D160))),"",IF($E160&lt;$D$2,"Passé",IF($D160&gt;$F$2,"À venir","Dans la période")))</f>
        <v/>
      </c>
      <c r="I160">
        <f>IF(OR($B160="",NOT(ISNUMBER($D160))),"",IF(AND($E160&lt;$D$2,$G160&lt;&gt;"X",$F160&lt;&gt;"Réalisé",$F160&lt;&gt;"Clôturé"),"RETARD",""))</f>
        <v/>
      </c>
      <c r="J160" s="29">
        <f>IF($B160="","",IF(INDEX(Dossiers!$F$4:$F$63,3)="","",INDEX(Dossiers!$F$4:$F$63,3)))</f>
        <v/>
      </c>
      <c r="K160" s="29">
        <f>IF($B160="","",IF(INDEX(Dossiers!$G$4:$G$63,3)="","",INDEX(Dossiers!$G$4:$G$63,3)))</f>
        <v/>
      </c>
    </row>
    <row r="161">
      <c r="A161">
        <f>IF($B161="","",INDEX(Dossiers!$E$4:$E$63,3))</f>
        <v/>
      </c>
      <c r="B161">
        <f>IF(INDEX(Suivi!$B:$B,164)="","",INDEX(Suivi!$B:$B,164))</f>
        <v/>
      </c>
      <c r="C161">
        <f>IF($B161="","",IF(INDEX(Suivi!$D:$D,164)="",INDEX(Suivi!$C:$C,164),INDEX(Suivi!$D:$D,164)))</f>
        <v/>
      </c>
      <c r="D161" s="29">
        <f>IF($B161="","",INDEX(Suivi!$E:$E,164))</f>
        <v/>
      </c>
      <c r="E161" s="29">
        <f>IF($B161="","",INDEX(Suivi!$F:$F,164))</f>
        <v/>
      </c>
      <c r="F161">
        <f>IF($B161="","",INDEX(Suivi!$G:$G,164))</f>
        <v/>
      </c>
      <c r="H161">
        <f>IF(OR($B161="",NOT(ISNUMBER($D161))),"",IF($E161&lt;$D$2,"Passé",IF($D161&gt;$F$2,"À venir","Dans la période")))</f>
        <v/>
      </c>
      <c r="I161">
        <f>IF(OR($B161="",NOT(ISNUMBER($D161))),"",IF(AND($E161&lt;$D$2,$G161&lt;&gt;"X",$F161&lt;&gt;"Réalisé",$F161&lt;&gt;"Clôturé"),"RETARD",""))</f>
        <v/>
      </c>
      <c r="J161" s="29">
        <f>IF($B161="","",IF(INDEX(Dossiers!$F$4:$F$63,3)="","",INDEX(Dossiers!$F$4:$F$63,3)))</f>
        <v/>
      </c>
      <c r="K161" s="29">
        <f>IF($B161="","",IF(INDEX(Dossiers!$G$4:$G$63,3)="","",INDEX(Dossiers!$G$4:$G$63,3)))</f>
        <v/>
      </c>
    </row>
    <row r="162">
      <c r="A162">
        <f>IF($B162="","",INDEX(Dossiers!$E$4:$E$63,3))</f>
        <v/>
      </c>
      <c r="B162">
        <f>IF(INDEX(Suivi!$B:$B,165)="","",INDEX(Suivi!$B:$B,165))</f>
        <v/>
      </c>
      <c r="C162">
        <f>IF($B162="","",IF(INDEX(Suivi!$D:$D,165)="",INDEX(Suivi!$C:$C,165),INDEX(Suivi!$D:$D,165)))</f>
        <v/>
      </c>
      <c r="D162" s="29">
        <f>IF($B162="","",INDEX(Suivi!$E:$E,165))</f>
        <v/>
      </c>
      <c r="E162" s="29">
        <f>IF($B162="","",INDEX(Suivi!$F:$F,165))</f>
        <v/>
      </c>
      <c r="F162">
        <f>IF($B162="","",INDEX(Suivi!$G:$G,165))</f>
        <v/>
      </c>
      <c r="H162">
        <f>IF(OR($B162="",NOT(ISNUMBER($D162))),"",IF($E162&lt;$D$2,"Passé",IF($D162&gt;$F$2,"À venir","Dans la période")))</f>
        <v/>
      </c>
      <c r="I162">
        <f>IF(OR($B162="",NOT(ISNUMBER($D162))),"",IF(AND($E162&lt;$D$2,$G162&lt;&gt;"X",$F162&lt;&gt;"Réalisé",$F162&lt;&gt;"Clôturé"),"RETARD",""))</f>
        <v/>
      </c>
      <c r="J162" s="29">
        <f>IF($B162="","",IF(INDEX(Dossiers!$F$4:$F$63,3)="","",INDEX(Dossiers!$F$4:$F$63,3)))</f>
        <v/>
      </c>
      <c r="K162" s="29">
        <f>IF($B162="","",IF(INDEX(Dossiers!$G$4:$G$63,3)="","",INDEX(Dossiers!$G$4:$G$63,3)))</f>
        <v/>
      </c>
    </row>
    <row r="163">
      <c r="A163">
        <f>IF($B163="","",INDEX(Dossiers!$E$4:$E$63,4))</f>
        <v/>
      </c>
      <c r="B163">
        <f>IF(INDEX(Suivi!$B:$B,167)="","",INDEX(Suivi!$B:$B,167))</f>
        <v/>
      </c>
      <c r="C163">
        <f>IF($B163="","",IF(INDEX(Suivi!$D:$D,167)="",INDEX(Suivi!$C:$C,167),INDEX(Suivi!$D:$D,167)))</f>
        <v/>
      </c>
      <c r="D163" s="29">
        <f>IF($B163="","",INDEX(Suivi!$E:$E,167))</f>
        <v/>
      </c>
      <c r="E163" s="29">
        <f>IF($B163="","",INDEX(Suivi!$F:$F,167))</f>
        <v/>
      </c>
      <c r="F163">
        <f>IF($B163="","",INDEX(Suivi!$G:$G,167))</f>
        <v/>
      </c>
      <c r="H163">
        <f>IF(OR($B163="",NOT(ISNUMBER($D163))),"",IF($E163&lt;$D$2,"Passé",IF($D163&gt;$F$2,"À venir","Dans la période")))</f>
        <v/>
      </c>
      <c r="I163">
        <f>IF(OR($B163="",NOT(ISNUMBER($D163))),"",IF(AND($E163&lt;$D$2,$G163&lt;&gt;"X",$F163&lt;&gt;"Réalisé",$F163&lt;&gt;"Clôturé"),"RETARD",""))</f>
        <v/>
      </c>
      <c r="J163" s="29">
        <f>IF($B163="","",IF(INDEX(Dossiers!$F$4:$F$63,4)="","",INDEX(Dossiers!$F$4:$F$63,4)))</f>
        <v/>
      </c>
      <c r="K163" s="29">
        <f>IF($B163="","",IF(INDEX(Dossiers!$G$4:$G$63,4)="","",INDEX(Dossiers!$G$4:$G$63,4)))</f>
        <v/>
      </c>
    </row>
    <row r="164">
      <c r="A164">
        <f>IF($B164="","",INDEX(Dossiers!$E$4:$E$63,4))</f>
        <v/>
      </c>
      <c r="B164">
        <f>IF(INDEX(Suivi!$B:$B,168)="","",INDEX(Suivi!$B:$B,168))</f>
        <v/>
      </c>
      <c r="C164">
        <f>IF($B164="","",IF(INDEX(Suivi!$D:$D,168)="",INDEX(Suivi!$C:$C,168),INDEX(Suivi!$D:$D,168)))</f>
        <v/>
      </c>
      <c r="D164" s="29">
        <f>IF($B164="","",INDEX(Suivi!$E:$E,168))</f>
        <v/>
      </c>
      <c r="E164" s="29">
        <f>IF($B164="","",INDEX(Suivi!$F:$F,168))</f>
        <v/>
      </c>
      <c r="F164">
        <f>IF($B164="","",INDEX(Suivi!$G:$G,168))</f>
        <v/>
      </c>
      <c r="H164">
        <f>IF(OR($B164="",NOT(ISNUMBER($D164))),"",IF($E164&lt;$D$2,"Passé",IF($D164&gt;$F$2,"À venir","Dans la période")))</f>
        <v/>
      </c>
      <c r="I164">
        <f>IF(OR($B164="",NOT(ISNUMBER($D164))),"",IF(AND($E164&lt;$D$2,$G164&lt;&gt;"X",$F164&lt;&gt;"Réalisé",$F164&lt;&gt;"Clôturé"),"RETARD",""))</f>
        <v/>
      </c>
      <c r="J164" s="29">
        <f>IF($B164="","",IF(INDEX(Dossiers!$F$4:$F$63,4)="","",INDEX(Dossiers!$F$4:$F$63,4)))</f>
        <v/>
      </c>
      <c r="K164" s="29">
        <f>IF($B164="","",IF(INDEX(Dossiers!$G$4:$G$63,4)="","",INDEX(Dossiers!$G$4:$G$63,4)))</f>
        <v/>
      </c>
    </row>
    <row r="165">
      <c r="A165">
        <f>IF($B165="","",INDEX(Dossiers!$E$4:$E$63,4))</f>
        <v/>
      </c>
      <c r="B165">
        <f>IF(INDEX(Suivi!$B:$B,169)="","",INDEX(Suivi!$B:$B,169))</f>
        <v/>
      </c>
      <c r="C165">
        <f>IF($B165="","",IF(INDEX(Suivi!$D:$D,169)="",INDEX(Suivi!$C:$C,169),INDEX(Suivi!$D:$D,169)))</f>
        <v/>
      </c>
      <c r="D165" s="29">
        <f>IF($B165="","",INDEX(Suivi!$E:$E,169))</f>
        <v/>
      </c>
      <c r="E165" s="29">
        <f>IF($B165="","",INDEX(Suivi!$F:$F,169))</f>
        <v/>
      </c>
      <c r="F165">
        <f>IF($B165="","",INDEX(Suivi!$G:$G,169))</f>
        <v/>
      </c>
      <c r="H165">
        <f>IF(OR($B165="",NOT(ISNUMBER($D165))),"",IF($E165&lt;$D$2,"Passé",IF($D165&gt;$F$2,"À venir","Dans la période")))</f>
        <v/>
      </c>
      <c r="I165">
        <f>IF(OR($B165="",NOT(ISNUMBER($D165))),"",IF(AND($E165&lt;$D$2,$G165&lt;&gt;"X",$F165&lt;&gt;"Réalisé",$F165&lt;&gt;"Clôturé"),"RETARD",""))</f>
        <v/>
      </c>
      <c r="J165" s="29">
        <f>IF($B165="","",IF(INDEX(Dossiers!$F$4:$F$63,4)="","",INDEX(Dossiers!$F$4:$F$63,4)))</f>
        <v/>
      </c>
      <c r="K165" s="29">
        <f>IF($B165="","",IF(INDEX(Dossiers!$G$4:$G$63,4)="","",INDEX(Dossiers!$G$4:$G$63,4)))</f>
        <v/>
      </c>
    </row>
    <row r="166">
      <c r="A166">
        <f>IF($B166="","",INDEX(Dossiers!$E$4:$E$63,4))</f>
        <v/>
      </c>
      <c r="B166">
        <f>IF(INDEX(Suivi!$B:$B,170)="","",INDEX(Suivi!$B:$B,170))</f>
        <v/>
      </c>
      <c r="C166">
        <f>IF($B166="","",IF(INDEX(Suivi!$D:$D,170)="",INDEX(Suivi!$C:$C,170),INDEX(Suivi!$D:$D,170)))</f>
        <v/>
      </c>
      <c r="D166" s="29">
        <f>IF($B166="","",INDEX(Suivi!$E:$E,170))</f>
        <v/>
      </c>
      <c r="E166" s="29">
        <f>IF($B166="","",INDEX(Suivi!$F:$F,170))</f>
        <v/>
      </c>
      <c r="F166">
        <f>IF($B166="","",INDEX(Suivi!$G:$G,170))</f>
        <v/>
      </c>
      <c r="H166">
        <f>IF(OR($B166="",NOT(ISNUMBER($D166))),"",IF($E166&lt;$D$2,"Passé",IF($D166&gt;$F$2,"À venir","Dans la période")))</f>
        <v/>
      </c>
      <c r="I166">
        <f>IF(OR($B166="",NOT(ISNUMBER($D166))),"",IF(AND($E166&lt;$D$2,$G166&lt;&gt;"X",$F166&lt;&gt;"Réalisé",$F166&lt;&gt;"Clôturé"),"RETARD",""))</f>
        <v/>
      </c>
      <c r="J166" s="29">
        <f>IF($B166="","",IF(INDEX(Dossiers!$F$4:$F$63,4)="","",INDEX(Dossiers!$F$4:$F$63,4)))</f>
        <v/>
      </c>
      <c r="K166" s="29">
        <f>IF($B166="","",IF(INDEX(Dossiers!$G$4:$G$63,4)="","",INDEX(Dossiers!$G$4:$G$63,4)))</f>
        <v/>
      </c>
    </row>
    <row r="167">
      <c r="A167">
        <f>IF($B167="","",INDEX(Dossiers!$E$4:$E$63,4))</f>
        <v/>
      </c>
      <c r="B167">
        <f>IF(INDEX(Suivi!$B:$B,171)="","",INDEX(Suivi!$B:$B,171))</f>
        <v/>
      </c>
      <c r="C167">
        <f>IF($B167="","",IF(INDEX(Suivi!$D:$D,171)="",INDEX(Suivi!$C:$C,171),INDEX(Suivi!$D:$D,171)))</f>
        <v/>
      </c>
      <c r="D167" s="29">
        <f>IF($B167="","",INDEX(Suivi!$E:$E,171))</f>
        <v/>
      </c>
      <c r="E167" s="29">
        <f>IF($B167="","",INDEX(Suivi!$F:$F,171))</f>
        <v/>
      </c>
      <c r="F167">
        <f>IF($B167="","",INDEX(Suivi!$G:$G,171))</f>
        <v/>
      </c>
      <c r="H167">
        <f>IF(OR($B167="",NOT(ISNUMBER($D167))),"",IF($E167&lt;$D$2,"Passé",IF($D167&gt;$F$2,"À venir","Dans la période")))</f>
        <v/>
      </c>
      <c r="I167">
        <f>IF(OR($B167="",NOT(ISNUMBER($D167))),"",IF(AND($E167&lt;$D$2,$G167&lt;&gt;"X",$F167&lt;&gt;"Réalisé",$F167&lt;&gt;"Clôturé"),"RETARD",""))</f>
        <v/>
      </c>
      <c r="J167" s="29">
        <f>IF($B167="","",IF(INDEX(Dossiers!$F$4:$F$63,4)="","",INDEX(Dossiers!$F$4:$F$63,4)))</f>
        <v/>
      </c>
      <c r="K167" s="29">
        <f>IF($B167="","",IF(INDEX(Dossiers!$G$4:$G$63,4)="","",INDEX(Dossiers!$G$4:$G$63,4)))</f>
        <v/>
      </c>
    </row>
    <row r="168">
      <c r="A168">
        <f>IF($B168="","",INDEX(Dossiers!$E$4:$E$63,4))</f>
        <v/>
      </c>
      <c r="B168">
        <f>IF(INDEX(Suivi!$B:$B,172)="","",INDEX(Suivi!$B:$B,172))</f>
        <v/>
      </c>
      <c r="C168">
        <f>IF($B168="","",IF(INDEX(Suivi!$D:$D,172)="",INDEX(Suivi!$C:$C,172),INDEX(Suivi!$D:$D,172)))</f>
        <v/>
      </c>
      <c r="D168" s="29">
        <f>IF($B168="","",INDEX(Suivi!$E:$E,172))</f>
        <v/>
      </c>
      <c r="E168" s="29">
        <f>IF($B168="","",INDEX(Suivi!$F:$F,172))</f>
        <v/>
      </c>
      <c r="F168">
        <f>IF($B168="","",INDEX(Suivi!$G:$G,172))</f>
        <v/>
      </c>
      <c r="H168">
        <f>IF(OR($B168="",NOT(ISNUMBER($D168))),"",IF($E168&lt;$D$2,"Passé",IF($D168&gt;$F$2,"À venir","Dans la période")))</f>
        <v/>
      </c>
      <c r="I168">
        <f>IF(OR($B168="",NOT(ISNUMBER($D168))),"",IF(AND($E168&lt;$D$2,$G168&lt;&gt;"X",$F168&lt;&gt;"Réalisé",$F168&lt;&gt;"Clôturé"),"RETARD",""))</f>
        <v/>
      </c>
      <c r="J168" s="29">
        <f>IF($B168="","",IF(INDEX(Dossiers!$F$4:$F$63,4)="","",INDEX(Dossiers!$F$4:$F$63,4)))</f>
        <v/>
      </c>
      <c r="K168" s="29">
        <f>IF($B168="","",IF(INDEX(Dossiers!$G$4:$G$63,4)="","",INDEX(Dossiers!$G$4:$G$63,4)))</f>
        <v/>
      </c>
    </row>
    <row r="169">
      <c r="A169">
        <f>IF($B169="","",INDEX(Dossiers!$E$4:$E$63,4))</f>
        <v/>
      </c>
      <c r="B169">
        <f>IF(INDEX(Suivi!$B:$B,173)="","",INDEX(Suivi!$B:$B,173))</f>
        <v/>
      </c>
      <c r="C169">
        <f>IF($B169="","",IF(INDEX(Suivi!$D:$D,173)="",INDEX(Suivi!$C:$C,173),INDEX(Suivi!$D:$D,173)))</f>
        <v/>
      </c>
      <c r="D169" s="29">
        <f>IF($B169="","",INDEX(Suivi!$E:$E,173))</f>
        <v/>
      </c>
      <c r="E169" s="29">
        <f>IF($B169="","",INDEX(Suivi!$F:$F,173))</f>
        <v/>
      </c>
      <c r="F169">
        <f>IF($B169="","",INDEX(Suivi!$G:$G,173))</f>
        <v/>
      </c>
      <c r="H169">
        <f>IF(OR($B169="",NOT(ISNUMBER($D169))),"",IF($E169&lt;$D$2,"Passé",IF($D169&gt;$F$2,"À venir","Dans la période")))</f>
        <v/>
      </c>
      <c r="I169">
        <f>IF(OR($B169="",NOT(ISNUMBER($D169))),"",IF(AND($E169&lt;$D$2,$G169&lt;&gt;"X",$F169&lt;&gt;"Réalisé",$F169&lt;&gt;"Clôturé"),"RETARD",""))</f>
        <v/>
      </c>
      <c r="J169" s="29">
        <f>IF($B169="","",IF(INDEX(Dossiers!$F$4:$F$63,4)="","",INDEX(Dossiers!$F$4:$F$63,4)))</f>
        <v/>
      </c>
      <c r="K169" s="29">
        <f>IF($B169="","",IF(INDEX(Dossiers!$G$4:$G$63,4)="","",INDEX(Dossiers!$G$4:$G$63,4)))</f>
        <v/>
      </c>
    </row>
    <row r="170">
      <c r="A170">
        <f>IF($B170="","",INDEX(Dossiers!$E$4:$E$63,4))</f>
        <v/>
      </c>
      <c r="B170">
        <f>IF(INDEX(Suivi!$B:$B,174)="","",INDEX(Suivi!$B:$B,174))</f>
        <v/>
      </c>
      <c r="C170">
        <f>IF($B170="","",IF(INDEX(Suivi!$D:$D,174)="",INDEX(Suivi!$C:$C,174),INDEX(Suivi!$D:$D,174)))</f>
        <v/>
      </c>
      <c r="D170" s="29">
        <f>IF($B170="","",INDEX(Suivi!$E:$E,174))</f>
        <v/>
      </c>
      <c r="E170" s="29">
        <f>IF($B170="","",INDEX(Suivi!$F:$F,174))</f>
        <v/>
      </c>
      <c r="F170">
        <f>IF($B170="","",INDEX(Suivi!$G:$G,174))</f>
        <v/>
      </c>
      <c r="H170">
        <f>IF(OR($B170="",NOT(ISNUMBER($D170))),"",IF($E170&lt;$D$2,"Passé",IF($D170&gt;$F$2,"À venir","Dans la période")))</f>
        <v/>
      </c>
      <c r="I170">
        <f>IF(OR($B170="",NOT(ISNUMBER($D170))),"",IF(AND($E170&lt;$D$2,$G170&lt;&gt;"X",$F170&lt;&gt;"Réalisé",$F170&lt;&gt;"Clôturé"),"RETARD",""))</f>
        <v/>
      </c>
      <c r="J170" s="29">
        <f>IF($B170="","",IF(INDEX(Dossiers!$F$4:$F$63,4)="","",INDEX(Dossiers!$F$4:$F$63,4)))</f>
        <v/>
      </c>
      <c r="K170" s="29">
        <f>IF($B170="","",IF(INDEX(Dossiers!$G$4:$G$63,4)="","",INDEX(Dossiers!$G$4:$G$63,4)))</f>
        <v/>
      </c>
    </row>
    <row r="171">
      <c r="A171">
        <f>IF($B171="","",INDEX(Dossiers!$E$4:$E$63,4))</f>
        <v/>
      </c>
      <c r="B171">
        <f>IF(INDEX(Suivi!$B:$B,175)="","",INDEX(Suivi!$B:$B,175))</f>
        <v/>
      </c>
      <c r="C171">
        <f>IF($B171="","",IF(INDEX(Suivi!$D:$D,175)="",INDEX(Suivi!$C:$C,175),INDEX(Suivi!$D:$D,175)))</f>
        <v/>
      </c>
      <c r="D171" s="29">
        <f>IF($B171="","",INDEX(Suivi!$E:$E,175))</f>
        <v/>
      </c>
      <c r="E171" s="29">
        <f>IF($B171="","",INDEX(Suivi!$F:$F,175))</f>
        <v/>
      </c>
      <c r="F171">
        <f>IF($B171="","",INDEX(Suivi!$G:$G,175))</f>
        <v/>
      </c>
      <c r="H171">
        <f>IF(OR($B171="",NOT(ISNUMBER($D171))),"",IF($E171&lt;$D$2,"Passé",IF($D171&gt;$F$2,"À venir","Dans la période")))</f>
        <v/>
      </c>
      <c r="I171">
        <f>IF(OR($B171="",NOT(ISNUMBER($D171))),"",IF(AND($E171&lt;$D$2,$G171&lt;&gt;"X",$F171&lt;&gt;"Réalisé",$F171&lt;&gt;"Clôturé"),"RETARD",""))</f>
        <v/>
      </c>
      <c r="J171" s="29">
        <f>IF($B171="","",IF(INDEX(Dossiers!$F$4:$F$63,4)="","",INDEX(Dossiers!$F$4:$F$63,4)))</f>
        <v/>
      </c>
      <c r="K171" s="29">
        <f>IF($B171="","",IF(INDEX(Dossiers!$G$4:$G$63,4)="","",INDEX(Dossiers!$G$4:$G$63,4)))</f>
        <v/>
      </c>
    </row>
    <row r="172">
      <c r="A172">
        <f>IF($B172="","",INDEX(Dossiers!$E$4:$E$63,4))</f>
        <v/>
      </c>
      <c r="B172">
        <f>IF(INDEX(Suivi!$B:$B,176)="","",INDEX(Suivi!$B:$B,176))</f>
        <v/>
      </c>
      <c r="C172">
        <f>IF($B172="","",IF(INDEX(Suivi!$D:$D,176)="",INDEX(Suivi!$C:$C,176),INDEX(Suivi!$D:$D,176)))</f>
        <v/>
      </c>
      <c r="D172" s="29">
        <f>IF($B172="","",INDEX(Suivi!$E:$E,176))</f>
        <v/>
      </c>
      <c r="E172" s="29">
        <f>IF($B172="","",INDEX(Suivi!$F:$F,176))</f>
        <v/>
      </c>
      <c r="F172">
        <f>IF($B172="","",INDEX(Suivi!$G:$G,176))</f>
        <v/>
      </c>
      <c r="H172">
        <f>IF(OR($B172="",NOT(ISNUMBER($D172))),"",IF($E172&lt;$D$2,"Passé",IF($D172&gt;$F$2,"À venir","Dans la période")))</f>
        <v/>
      </c>
      <c r="I172">
        <f>IF(OR($B172="",NOT(ISNUMBER($D172))),"",IF(AND($E172&lt;$D$2,$G172&lt;&gt;"X",$F172&lt;&gt;"Réalisé",$F172&lt;&gt;"Clôturé"),"RETARD",""))</f>
        <v/>
      </c>
      <c r="J172" s="29">
        <f>IF($B172="","",IF(INDEX(Dossiers!$F$4:$F$63,4)="","",INDEX(Dossiers!$F$4:$F$63,4)))</f>
        <v/>
      </c>
      <c r="K172" s="29">
        <f>IF($B172="","",IF(INDEX(Dossiers!$G$4:$G$63,4)="","",INDEX(Dossiers!$G$4:$G$63,4)))</f>
        <v/>
      </c>
    </row>
    <row r="173">
      <c r="A173">
        <f>IF($B173="","",INDEX(Dossiers!$E$4:$E$63,4))</f>
        <v/>
      </c>
      <c r="B173">
        <f>IF(INDEX(Suivi!$B:$B,177)="","",INDEX(Suivi!$B:$B,177))</f>
        <v/>
      </c>
      <c r="C173">
        <f>IF($B173="","",IF(INDEX(Suivi!$D:$D,177)="",INDEX(Suivi!$C:$C,177),INDEX(Suivi!$D:$D,177)))</f>
        <v/>
      </c>
      <c r="D173" s="29">
        <f>IF($B173="","",INDEX(Suivi!$E:$E,177))</f>
        <v/>
      </c>
      <c r="E173" s="29">
        <f>IF($B173="","",INDEX(Suivi!$F:$F,177))</f>
        <v/>
      </c>
      <c r="F173">
        <f>IF($B173="","",INDEX(Suivi!$G:$G,177))</f>
        <v/>
      </c>
      <c r="H173">
        <f>IF(OR($B173="",NOT(ISNUMBER($D173))),"",IF($E173&lt;$D$2,"Passé",IF($D173&gt;$F$2,"À venir","Dans la période")))</f>
        <v/>
      </c>
      <c r="I173">
        <f>IF(OR($B173="",NOT(ISNUMBER($D173))),"",IF(AND($E173&lt;$D$2,$G173&lt;&gt;"X",$F173&lt;&gt;"Réalisé",$F173&lt;&gt;"Clôturé"),"RETARD",""))</f>
        <v/>
      </c>
      <c r="J173" s="29">
        <f>IF($B173="","",IF(INDEX(Dossiers!$F$4:$F$63,4)="","",INDEX(Dossiers!$F$4:$F$63,4)))</f>
        <v/>
      </c>
      <c r="K173" s="29">
        <f>IF($B173="","",IF(INDEX(Dossiers!$G$4:$G$63,4)="","",INDEX(Dossiers!$G$4:$G$63,4)))</f>
        <v/>
      </c>
    </row>
    <row r="174">
      <c r="A174">
        <f>IF($B174="","",INDEX(Dossiers!$E$4:$E$63,4))</f>
        <v/>
      </c>
      <c r="B174">
        <f>IF(INDEX(Suivi!$B:$B,178)="","",INDEX(Suivi!$B:$B,178))</f>
        <v/>
      </c>
      <c r="C174">
        <f>IF($B174="","",IF(INDEX(Suivi!$D:$D,178)="",INDEX(Suivi!$C:$C,178),INDEX(Suivi!$D:$D,178)))</f>
        <v/>
      </c>
      <c r="D174" s="29">
        <f>IF($B174="","",INDEX(Suivi!$E:$E,178))</f>
        <v/>
      </c>
      <c r="E174" s="29">
        <f>IF($B174="","",INDEX(Suivi!$F:$F,178))</f>
        <v/>
      </c>
      <c r="F174">
        <f>IF($B174="","",INDEX(Suivi!$G:$G,178))</f>
        <v/>
      </c>
      <c r="H174">
        <f>IF(OR($B174="",NOT(ISNUMBER($D174))),"",IF($E174&lt;$D$2,"Passé",IF($D174&gt;$F$2,"À venir","Dans la période")))</f>
        <v/>
      </c>
      <c r="I174">
        <f>IF(OR($B174="",NOT(ISNUMBER($D174))),"",IF(AND($E174&lt;$D$2,$G174&lt;&gt;"X",$F174&lt;&gt;"Réalisé",$F174&lt;&gt;"Clôturé"),"RETARD",""))</f>
        <v/>
      </c>
      <c r="J174" s="29">
        <f>IF($B174="","",IF(INDEX(Dossiers!$F$4:$F$63,4)="","",INDEX(Dossiers!$F$4:$F$63,4)))</f>
        <v/>
      </c>
      <c r="K174" s="29">
        <f>IF($B174="","",IF(INDEX(Dossiers!$G$4:$G$63,4)="","",INDEX(Dossiers!$G$4:$G$63,4)))</f>
        <v/>
      </c>
    </row>
    <row r="175">
      <c r="A175">
        <f>IF($B175="","",INDEX(Dossiers!$E$4:$E$63,4))</f>
        <v/>
      </c>
      <c r="B175">
        <f>IF(INDEX(Suivi!$B:$B,179)="","",INDEX(Suivi!$B:$B,179))</f>
        <v/>
      </c>
      <c r="C175">
        <f>IF($B175="","",IF(INDEX(Suivi!$D:$D,179)="",INDEX(Suivi!$C:$C,179),INDEX(Suivi!$D:$D,179)))</f>
        <v/>
      </c>
      <c r="D175" s="29">
        <f>IF($B175="","",INDEX(Suivi!$E:$E,179))</f>
        <v/>
      </c>
      <c r="E175" s="29">
        <f>IF($B175="","",INDEX(Suivi!$F:$F,179))</f>
        <v/>
      </c>
      <c r="F175">
        <f>IF($B175="","",INDEX(Suivi!$G:$G,179))</f>
        <v/>
      </c>
      <c r="H175">
        <f>IF(OR($B175="",NOT(ISNUMBER($D175))),"",IF($E175&lt;$D$2,"Passé",IF($D175&gt;$F$2,"À venir","Dans la période")))</f>
        <v/>
      </c>
      <c r="I175">
        <f>IF(OR($B175="",NOT(ISNUMBER($D175))),"",IF(AND($E175&lt;$D$2,$G175&lt;&gt;"X",$F175&lt;&gt;"Réalisé",$F175&lt;&gt;"Clôturé"),"RETARD",""))</f>
        <v/>
      </c>
      <c r="J175" s="29">
        <f>IF($B175="","",IF(INDEX(Dossiers!$F$4:$F$63,4)="","",INDEX(Dossiers!$F$4:$F$63,4)))</f>
        <v/>
      </c>
      <c r="K175" s="29">
        <f>IF($B175="","",IF(INDEX(Dossiers!$G$4:$G$63,4)="","",INDEX(Dossiers!$G$4:$G$63,4)))</f>
        <v/>
      </c>
    </row>
    <row r="176">
      <c r="A176">
        <f>IF($B176="","",INDEX(Dossiers!$E$4:$E$63,4))</f>
        <v/>
      </c>
      <c r="B176">
        <f>IF(INDEX(Suivi!$B:$B,180)="","",INDEX(Suivi!$B:$B,180))</f>
        <v/>
      </c>
      <c r="C176">
        <f>IF($B176="","",IF(INDEX(Suivi!$D:$D,180)="",INDEX(Suivi!$C:$C,180),INDEX(Suivi!$D:$D,180)))</f>
        <v/>
      </c>
      <c r="D176" s="29">
        <f>IF($B176="","",INDEX(Suivi!$E:$E,180))</f>
        <v/>
      </c>
      <c r="E176" s="29">
        <f>IF($B176="","",INDEX(Suivi!$F:$F,180))</f>
        <v/>
      </c>
      <c r="F176">
        <f>IF($B176="","",INDEX(Suivi!$G:$G,180))</f>
        <v/>
      </c>
      <c r="H176">
        <f>IF(OR($B176="",NOT(ISNUMBER($D176))),"",IF($E176&lt;$D$2,"Passé",IF($D176&gt;$F$2,"À venir","Dans la période")))</f>
        <v/>
      </c>
      <c r="I176">
        <f>IF(OR($B176="",NOT(ISNUMBER($D176))),"",IF(AND($E176&lt;$D$2,$G176&lt;&gt;"X",$F176&lt;&gt;"Réalisé",$F176&lt;&gt;"Clôturé"),"RETARD",""))</f>
        <v/>
      </c>
      <c r="J176" s="29">
        <f>IF($B176="","",IF(INDEX(Dossiers!$F$4:$F$63,4)="","",INDEX(Dossiers!$F$4:$F$63,4)))</f>
        <v/>
      </c>
      <c r="K176" s="29">
        <f>IF($B176="","",IF(INDEX(Dossiers!$G$4:$G$63,4)="","",INDEX(Dossiers!$G$4:$G$63,4)))</f>
        <v/>
      </c>
    </row>
    <row r="177">
      <c r="A177">
        <f>IF($B177="","",INDEX(Dossiers!$E$4:$E$63,4))</f>
        <v/>
      </c>
      <c r="B177">
        <f>IF(INDEX(Suivi!$B:$B,181)="","",INDEX(Suivi!$B:$B,181))</f>
        <v/>
      </c>
      <c r="C177">
        <f>IF($B177="","",IF(INDEX(Suivi!$D:$D,181)="",INDEX(Suivi!$C:$C,181),INDEX(Suivi!$D:$D,181)))</f>
        <v/>
      </c>
      <c r="D177" s="29">
        <f>IF($B177="","",INDEX(Suivi!$E:$E,181))</f>
        <v/>
      </c>
      <c r="E177" s="29">
        <f>IF($B177="","",INDEX(Suivi!$F:$F,181))</f>
        <v/>
      </c>
      <c r="F177">
        <f>IF($B177="","",INDEX(Suivi!$G:$G,181))</f>
        <v/>
      </c>
      <c r="H177">
        <f>IF(OR($B177="",NOT(ISNUMBER($D177))),"",IF($E177&lt;$D$2,"Passé",IF($D177&gt;$F$2,"À venir","Dans la période")))</f>
        <v/>
      </c>
      <c r="I177">
        <f>IF(OR($B177="",NOT(ISNUMBER($D177))),"",IF(AND($E177&lt;$D$2,$G177&lt;&gt;"X",$F177&lt;&gt;"Réalisé",$F177&lt;&gt;"Clôturé"),"RETARD",""))</f>
        <v/>
      </c>
      <c r="J177" s="29">
        <f>IF($B177="","",IF(INDEX(Dossiers!$F$4:$F$63,4)="","",INDEX(Dossiers!$F$4:$F$63,4)))</f>
        <v/>
      </c>
      <c r="K177" s="29">
        <f>IF($B177="","",IF(INDEX(Dossiers!$G$4:$G$63,4)="","",INDEX(Dossiers!$G$4:$G$63,4)))</f>
        <v/>
      </c>
    </row>
    <row r="178">
      <c r="A178">
        <f>IF($B178="","",INDEX(Dossiers!$E$4:$E$63,4))</f>
        <v/>
      </c>
      <c r="B178">
        <f>IF(INDEX(Suivi!$B:$B,182)="","",INDEX(Suivi!$B:$B,182))</f>
        <v/>
      </c>
      <c r="C178">
        <f>IF($B178="","",IF(INDEX(Suivi!$D:$D,182)="",INDEX(Suivi!$C:$C,182),INDEX(Suivi!$D:$D,182)))</f>
        <v/>
      </c>
      <c r="D178" s="29">
        <f>IF($B178="","",INDEX(Suivi!$E:$E,182))</f>
        <v/>
      </c>
      <c r="E178" s="29">
        <f>IF($B178="","",INDEX(Suivi!$F:$F,182))</f>
        <v/>
      </c>
      <c r="F178">
        <f>IF($B178="","",INDEX(Suivi!$G:$G,182))</f>
        <v/>
      </c>
      <c r="H178">
        <f>IF(OR($B178="",NOT(ISNUMBER($D178))),"",IF($E178&lt;$D$2,"Passé",IF($D178&gt;$F$2,"À venir","Dans la période")))</f>
        <v/>
      </c>
      <c r="I178">
        <f>IF(OR($B178="",NOT(ISNUMBER($D178))),"",IF(AND($E178&lt;$D$2,$G178&lt;&gt;"X",$F178&lt;&gt;"Réalisé",$F178&lt;&gt;"Clôturé"),"RETARD",""))</f>
        <v/>
      </c>
      <c r="J178" s="29">
        <f>IF($B178="","",IF(INDEX(Dossiers!$F$4:$F$63,4)="","",INDEX(Dossiers!$F$4:$F$63,4)))</f>
        <v/>
      </c>
      <c r="K178" s="29">
        <f>IF($B178="","",IF(INDEX(Dossiers!$G$4:$G$63,4)="","",INDEX(Dossiers!$G$4:$G$63,4)))</f>
        <v/>
      </c>
    </row>
    <row r="179">
      <c r="A179">
        <f>IF($B179="","",INDEX(Dossiers!$E$4:$E$63,4))</f>
        <v/>
      </c>
      <c r="B179">
        <f>IF(INDEX(Suivi!$B:$B,183)="","",INDEX(Suivi!$B:$B,183))</f>
        <v/>
      </c>
      <c r="C179">
        <f>IF($B179="","",IF(INDEX(Suivi!$D:$D,183)="",INDEX(Suivi!$C:$C,183),INDEX(Suivi!$D:$D,183)))</f>
        <v/>
      </c>
      <c r="D179" s="29">
        <f>IF($B179="","",INDEX(Suivi!$E:$E,183))</f>
        <v/>
      </c>
      <c r="E179" s="29">
        <f>IF($B179="","",INDEX(Suivi!$F:$F,183))</f>
        <v/>
      </c>
      <c r="F179">
        <f>IF($B179="","",INDEX(Suivi!$G:$G,183))</f>
        <v/>
      </c>
      <c r="H179">
        <f>IF(OR($B179="",NOT(ISNUMBER($D179))),"",IF($E179&lt;$D$2,"Passé",IF($D179&gt;$F$2,"À venir","Dans la période")))</f>
        <v/>
      </c>
      <c r="I179">
        <f>IF(OR($B179="",NOT(ISNUMBER($D179))),"",IF(AND($E179&lt;$D$2,$G179&lt;&gt;"X",$F179&lt;&gt;"Réalisé",$F179&lt;&gt;"Clôturé"),"RETARD",""))</f>
        <v/>
      </c>
      <c r="J179" s="29">
        <f>IF($B179="","",IF(INDEX(Dossiers!$F$4:$F$63,4)="","",INDEX(Dossiers!$F$4:$F$63,4)))</f>
        <v/>
      </c>
      <c r="K179" s="29">
        <f>IF($B179="","",IF(INDEX(Dossiers!$G$4:$G$63,4)="","",INDEX(Dossiers!$G$4:$G$63,4)))</f>
        <v/>
      </c>
    </row>
    <row r="180">
      <c r="A180">
        <f>IF($B180="","",INDEX(Dossiers!$E$4:$E$63,4))</f>
        <v/>
      </c>
      <c r="B180">
        <f>IF(INDEX(Suivi!$B:$B,184)="","",INDEX(Suivi!$B:$B,184))</f>
        <v/>
      </c>
      <c r="C180">
        <f>IF($B180="","",IF(INDEX(Suivi!$D:$D,184)="",INDEX(Suivi!$C:$C,184),INDEX(Suivi!$D:$D,184)))</f>
        <v/>
      </c>
      <c r="D180" s="29">
        <f>IF($B180="","",INDEX(Suivi!$E:$E,184))</f>
        <v/>
      </c>
      <c r="E180" s="29">
        <f>IF($B180="","",INDEX(Suivi!$F:$F,184))</f>
        <v/>
      </c>
      <c r="F180">
        <f>IF($B180="","",INDEX(Suivi!$G:$G,184))</f>
        <v/>
      </c>
      <c r="H180">
        <f>IF(OR($B180="",NOT(ISNUMBER($D180))),"",IF($E180&lt;$D$2,"Passé",IF($D180&gt;$F$2,"À venir","Dans la période")))</f>
        <v/>
      </c>
      <c r="I180">
        <f>IF(OR($B180="",NOT(ISNUMBER($D180))),"",IF(AND($E180&lt;$D$2,$G180&lt;&gt;"X",$F180&lt;&gt;"Réalisé",$F180&lt;&gt;"Clôturé"),"RETARD",""))</f>
        <v/>
      </c>
      <c r="J180" s="29">
        <f>IF($B180="","",IF(INDEX(Dossiers!$F$4:$F$63,4)="","",INDEX(Dossiers!$F$4:$F$63,4)))</f>
        <v/>
      </c>
      <c r="K180" s="29">
        <f>IF($B180="","",IF(INDEX(Dossiers!$G$4:$G$63,4)="","",INDEX(Dossiers!$G$4:$G$63,4)))</f>
        <v/>
      </c>
    </row>
    <row r="181">
      <c r="A181">
        <f>IF($B181="","",INDEX(Dossiers!$E$4:$E$63,4))</f>
        <v/>
      </c>
      <c r="B181">
        <f>IF(INDEX(Suivi!$B:$B,185)="","",INDEX(Suivi!$B:$B,185))</f>
        <v/>
      </c>
      <c r="C181">
        <f>IF($B181="","",IF(INDEX(Suivi!$D:$D,185)="",INDEX(Suivi!$C:$C,185),INDEX(Suivi!$D:$D,185)))</f>
        <v/>
      </c>
      <c r="D181" s="29">
        <f>IF($B181="","",INDEX(Suivi!$E:$E,185))</f>
        <v/>
      </c>
      <c r="E181" s="29">
        <f>IF($B181="","",INDEX(Suivi!$F:$F,185))</f>
        <v/>
      </c>
      <c r="F181">
        <f>IF($B181="","",INDEX(Suivi!$G:$G,185))</f>
        <v/>
      </c>
      <c r="H181">
        <f>IF(OR($B181="",NOT(ISNUMBER($D181))),"",IF($E181&lt;$D$2,"Passé",IF($D181&gt;$F$2,"À venir","Dans la période")))</f>
        <v/>
      </c>
      <c r="I181">
        <f>IF(OR($B181="",NOT(ISNUMBER($D181))),"",IF(AND($E181&lt;$D$2,$G181&lt;&gt;"X",$F181&lt;&gt;"Réalisé",$F181&lt;&gt;"Clôturé"),"RETARD",""))</f>
        <v/>
      </c>
      <c r="J181" s="29">
        <f>IF($B181="","",IF(INDEX(Dossiers!$F$4:$F$63,4)="","",INDEX(Dossiers!$F$4:$F$63,4)))</f>
        <v/>
      </c>
      <c r="K181" s="29">
        <f>IF($B181="","",IF(INDEX(Dossiers!$G$4:$G$63,4)="","",INDEX(Dossiers!$G$4:$G$63,4)))</f>
        <v/>
      </c>
    </row>
    <row r="182">
      <c r="A182">
        <f>IF($B182="","",INDEX(Dossiers!$E$4:$E$63,4))</f>
        <v/>
      </c>
      <c r="B182">
        <f>IF(INDEX(Suivi!$B:$B,186)="","",INDEX(Suivi!$B:$B,186))</f>
        <v/>
      </c>
      <c r="C182">
        <f>IF($B182="","",IF(INDEX(Suivi!$D:$D,186)="",INDEX(Suivi!$C:$C,186),INDEX(Suivi!$D:$D,186)))</f>
        <v/>
      </c>
      <c r="D182" s="29">
        <f>IF($B182="","",INDEX(Suivi!$E:$E,186))</f>
        <v/>
      </c>
      <c r="E182" s="29">
        <f>IF($B182="","",INDEX(Suivi!$F:$F,186))</f>
        <v/>
      </c>
      <c r="F182">
        <f>IF($B182="","",INDEX(Suivi!$G:$G,186))</f>
        <v/>
      </c>
      <c r="H182">
        <f>IF(OR($B182="",NOT(ISNUMBER($D182))),"",IF($E182&lt;$D$2,"Passé",IF($D182&gt;$F$2,"À venir","Dans la période")))</f>
        <v/>
      </c>
      <c r="I182">
        <f>IF(OR($B182="",NOT(ISNUMBER($D182))),"",IF(AND($E182&lt;$D$2,$G182&lt;&gt;"X",$F182&lt;&gt;"Réalisé",$F182&lt;&gt;"Clôturé"),"RETARD",""))</f>
        <v/>
      </c>
      <c r="J182" s="29">
        <f>IF($B182="","",IF(INDEX(Dossiers!$F$4:$F$63,4)="","",INDEX(Dossiers!$F$4:$F$63,4)))</f>
        <v/>
      </c>
      <c r="K182" s="29">
        <f>IF($B182="","",IF(INDEX(Dossiers!$G$4:$G$63,4)="","",INDEX(Dossiers!$G$4:$G$63,4)))</f>
        <v/>
      </c>
    </row>
    <row r="183">
      <c r="A183">
        <f>IF($B183="","",INDEX(Dossiers!$E$4:$E$63,4))</f>
        <v/>
      </c>
      <c r="B183">
        <f>IF(INDEX(Suivi!$B:$B,187)="","",INDEX(Suivi!$B:$B,187))</f>
        <v/>
      </c>
      <c r="C183">
        <f>IF($B183="","",IF(INDEX(Suivi!$D:$D,187)="",INDEX(Suivi!$C:$C,187),INDEX(Suivi!$D:$D,187)))</f>
        <v/>
      </c>
      <c r="D183" s="29">
        <f>IF($B183="","",INDEX(Suivi!$E:$E,187))</f>
        <v/>
      </c>
      <c r="E183" s="29">
        <f>IF($B183="","",INDEX(Suivi!$F:$F,187))</f>
        <v/>
      </c>
      <c r="F183">
        <f>IF($B183="","",INDEX(Suivi!$G:$G,187))</f>
        <v/>
      </c>
      <c r="H183">
        <f>IF(OR($B183="",NOT(ISNUMBER($D183))),"",IF($E183&lt;$D$2,"Passé",IF($D183&gt;$F$2,"À venir","Dans la période")))</f>
        <v/>
      </c>
      <c r="I183">
        <f>IF(OR($B183="",NOT(ISNUMBER($D183))),"",IF(AND($E183&lt;$D$2,$G183&lt;&gt;"X",$F183&lt;&gt;"Réalisé",$F183&lt;&gt;"Clôturé"),"RETARD",""))</f>
        <v/>
      </c>
      <c r="J183" s="29">
        <f>IF($B183="","",IF(INDEX(Dossiers!$F$4:$F$63,4)="","",INDEX(Dossiers!$F$4:$F$63,4)))</f>
        <v/>
      </c>
      <c r="K183" s="29">
        <f>IF($B183="","",IF(INDEX(Dossiers!$G$4:$G$63,4)="","",INDEX(Dossiers!$G$4:$G$63,4)))</f>
        <v/>
      </c>
    </row>
    <row r="184">
      <c r="A184">
        <f>IF($B184="","",INDEX(Dossiers!$E$4:$E$63,4))</f>
        <v/>
      </c>
      <c r="B184">
        <f>IF(INDEX(Suivi!$B:$B,188)="","",INDEX(Suivi!$B:$B,188))</f>
        <v/>
      </c>
      <c r="C184">
        <f>IF($B184="","",IF(INDEX(Suivi!$D:$D,188)="",INDEX(Suivi!$C:$C,188),INDEX(Suivi!$D:$D,188)))</f>
        <v/>
      </c>
      <c r="D184" s="29">
        <f>IF($B184="","",INDEX(Suivi!$E:$E,188))</f>
        <v/>
      </c>
      <c r="E184" s="29">
        <f>IF($B184="","",INDEX(Suivi!$F:$F,188))</f>
        <v/>
      </c>
      <c r="F184">
        <f>IF($B184="","",INDEX(Suivi!$G:$G,188))</f>
        <v/>
      </c>
      <c r="H184">
        <f>IF(OR($B184="",NOT(ISNUMBER($D184))),"",IF($E184&lt;$D$2,"Passé",IF($D184&gt;$F$2,"À venir","Dans la période")))</f>
        <v/>
      </c>
      <c r="I184">
        <f>IF(OR($B184="",NOT(ISNUMBER($D184))),"",IF(AND($E184&lt;$D$2,$G184&lt;&gt;"X",$F184&lt;&gt;"Réalisé",$F184&lt;&gt;"Clôturé"),"RETARD",""))</f>
        <v/>
      </c>
      <c r="J184" s="29">
        <f>IF($B184="","",IF(INDEX(Dossiers!$F$4:$F$63,4)="","",INDEX(Dossiers!$F$4:$F$63,4)))</f>
        <v/>
      </c>
      <c r="K184" s="29">
        <f>IF($B184="","",IF(INDEX(Dossiers!$G$4:$G$63,4)="","",INDEX(Dossiers!$G$4:$G$63,4)))</f>
        <v/>
      </c>
    </row>
    <row r="185">
      <c r="A185">
        <f>IF($B185="","",INDEX(Dossiers!$E$4:$E$63,4))</f>
        <v/>
      </c>
      <c r="B185">
        <f>IF(INDEX(Suivi!$B:$B,189)="","",INDEX(Suivi!$B:$B,189))</f>
        <v/>
      </c>
      <c r="C185">
        <f>IF($B185="","",IF(INDEX(Suivi!$D:$D,189)="",INDEX(Suivi!$C:$C,189),INDEX(Suivi!$D:$D,189)))</f>
        <v/>
      </c>
      <c r="D185" s="29">
        <f>IF($B185="","",INDEX(Suivi!$E:$E,189))</f>
        <v/>
      </c>
      <c r="E185" s="29">
        <f>IF($B185="","",INDEX(Suivi!$F:$F,189))</f>
        <v/>
      </c>
      <c r="F185">
        <f>IF($B185="","",INDEX(Suivi!$G:$G,189))</f>
        <v/>
      </c>
      <c r="H185">
        <f>IF(OR($B185="",NOT(ISNUMBER($D185))),"",IF($E185&lt;$D$2,"Passé",IF($D185&gt;$F$2,"À venir","Dans la période")))</f>
        <v/>
      </c>
      <c r="I185">
        <f>IF(OR($B185="",NOT(ISNUMBER($D185))),"",IF(AND($E185&lt;$D$2,$G185&lt;&gt;"X",$F185&lt;&gt;"Réalisé",$F185&lt;&gt;"Clôturé"),"RETARD",""))</f>
        <v/>
      </c>
      <c r="J185" s="29">
        <f>IF($B185="","",IF(INDEX(Dossiers!$F$4:$F$63,4)="","",INDEX(Dossiers!$F$4:$F$63,4)))</f>
        <v/>
      </c>
      <c r="K185" s="29">
        <f>IF($B185="","",IF(INDEX(Dossiers!$G$4:$G$63,4)="","",INDEX(Dossiers!$G$4:$G$63,4)))</f>
        <v/>
      </c>
    </row>
    <row r="186">
      <c r="A186">
        <f>IF($B186="","",INDEX(Dossiers!$E$4:$E$63,4))</f>
        <v/>
      </c>
      <c r="B186">
        <f>IF(INDEX(Suivi!$B:$B,190)="","",INDEX(Suivi!$B:$B,190))</f>
        <v/>
      </c>
      <c r="C186">
        <f>IF($B186="","",IF(INDEX(Suivi!$D:$D,190)="",INDEX(Suivi!$C:$C,190),INDEX(Suivi!$D:$D,190)))</f>
        <v/>
      </c>
      <c r="D186" s="29">
        <f>IF($B186="","",INDEX(Suivi!$E:$E,190))</f>
        <v/>
      </c>
      <c r="E186" s="29">
        <f>IF($B186="","",INDEX(Suivi!$F:$F,190))</f>
        <v/>
      </c>
      <c r="F186">
        <f>IF($B186="","",INDEX(Suivi!$G:$G,190))</f>
        <v/>
      </c>
      <c r="H186">
        <f>IF(OR($B186="",NOT(ISNUMBER($D186))),"",IF($E186&lt;$D$2,"Passé",IF($D186&gt;$F$2,"À venir","Dans la période")))</f>
        <v/>
      </c>
      <c r="I186">
        <f>IF(OR($B186="",NOT(ISNUMBER($D186))),"",IF(AND($E186&lt;$D$2,$G186&lt;&gt;"X",$F186&lt;&gt;"Réalisé",$F186&lt;&gt;"Clôturé"),"RETARD",""))</f>
        <v/>
      </c>
      <c r="J186" s="29">
        <f>IF($B186="","",IF(INDEX(Dossiers!$F$4:$F$63,4)="","",INDEX(Dossiers!$F$4:$F$63,4)))</f>
        <v/>
      </c>
      <c r="K186" s="29">
        <f>IF($B186="","",IF(INDEX(Dossiers!$G$4:$G$63,4)="","",INDEX(Dossiers!$G$4:$G$63,4)))</f>
        <v/>
      </c>
    </row>
    <row r="187">
      <c r="A187">
        <f>IF($B187="","",INDEX(Dossiers!$E$4:$E$63,4))</f>
        <v/>
      </c>
      <c r="B187">
        <f>IF(INDEX(Suivi!$B:$B,191)="","",INDEX(Suivi!$B:$B,191))</f>
        <v/>
      </c>
      <c r="C187">
        <f>IF($B187="","",IF(INDEX(Suivi!$D:$D,191)="",INDEX(Suivi!$C:$C,191),INDEX(Suivi!$D:$D,191)))</f>
        <v/>
      </c>
      <c r="D187" s="29">
        <f>IF($B187="","",INDEX(Suivi!$E:$E,191))</f>
        <v/>
      </c>
      <c r="E187" s="29">
        <f>IF($B187="","",INDEX(Suivi!$F:$F,191))</f>
        <v/>
      </c>
      <c r="F187">
        <f>IF($B187="","",INDEX(Suivi!$G:$G,191))</f>
        <v/>
      </c>
      <c r="H187">
        <f>IF(OR($B187="",NOT(ISNUMBER($D187))),"",IF($E187&lt;$D$2,"Passé",IF($D187&gt;$F$2,"À venir","Dans la période")))</f>
        <v/>
      </c>
      <c r="I187">
        <f>IF(OR($B187="",NOT(ISNUMBER($D187))),"",IF(AND($E187&lt;$D$2,$G187&lt;&gt;"X",$F187&lt;&gt;"Réalisé",$F187&lt;&gt;"Clôturé"),"RETARD",""))</f>
        <v/>
      </c>
      <c r="J187" s="29">
        <f>IF($B187="","",IF(INDEX(Dossiers!$F$4:$F$63,4)="","",INDEX(Dossiers!$F$4:$F$63,4)))</f>
        <v/>
      </c>
      <c r="K187" s="29">
        <f>IF($B187="","",IF(INDEX(Dossiers!$G$4:$G$63,4)="","",INDEX(Dossiers!$G$4:$G$63,4)))</f>
        <v/>
      </c>
    </row>
    <row r="188">
      <c r="A188">
        <f>IF($B188="","",INDEX(Dossiers!$E$4:$E$63,4))</f>
        <v/>
      </c>
      <c r="B188">
        <f>IF(INDEX(Suivi!$B:$B,192)="","",INDEX(Suivi!$B:$B,192))</f>
        <v/>
      </c>
      <c r="C188">
        <f>IF($B188="","",IF(INDEX(Suivi!$D:$D,192)="",INDEX(Suivi!$C:$C,192),INDEX(Suivi!$D:$D,192)))</f>
        <v/>
      </c>
      <c r="D188" s="29">
        <f>IF($B188="","",INDEX(Suivi!$E:$E,192))</f>
        <v/>
      </c>
      <c r="E188" s="29">
        <f>IF($B188="","",INDEX(Suivi!$F:$F,192))</f>
        <v/>
      </c>
      <c r="F188">
        <f>IF($B188="","",INDEX(Suivi!$G:$G,192))</f>
        <v/>
      </c>
      <c r="H188">
        <f>IF(OR($B188="",NOT(ISNUMBER($D188))),"",IF($E188&lt;$D$2,"Passé",IF($D188&gt;$F$2,"À venir","Dans la période")))</f>
        <v/>
      </c>
      <c r="I188">
        <f>IF(OR($B188="",NOT(ISNUMBER($D188))),"",IF(AND($E188&lt;$D$2,$G188&lt;&gt;"X",$F188&lt;&gt;"Réalisé",$F188&lt;&gt;"Clôturé"),"RETARD",""))</f>
        <v/>
      </c>
      <c r="J188" s="29">
        <f>IF($B188="","",IF(INDEX(Dossiers!$F$4:$F$63,4)="","",INDEX(Dossiers!$F$4:$F$63,4)))</f>
        <v/>
      </c>
      <c r="K188" s="29">
        <f>IF($B188="","",IF(INDEX(Dossiers!$G$4:$G$63,4)="","",INDEX(Dossiers!$G$4:$G$63,4)))</f>
        <v/>
      </c>
    </row>
    <row r="189">
      <c r="A189">
        <f>IF($B189="","",INDEX(Dossiers!$E$4:$E$63,4))</f>
        <v/>
      </c>
      <c r="B189">
        <f>IF(INDEX(Suivi!$B:$B,193)="","",INDEX(Suivi!$B:$B,193))</f>
        <v/>
      </c>
      <c r="C189">
        <f>IF($B189="","",IF(INDEX(Suivi!$D:$D,193)="",INDEX(Suivi!$C:$C,193),INDEX(Suivi!$D:$D,193)))</f>
        <v/>
      </c>
      <c r="D189" s="29">
        <f>IF($B189="","",INDEX(Suivi!$E:$E,193))</f>
        <v/>
      </c>
      <c r="E189" s="29">
        <f>IF($B189="","",INDEX(Suivi!$F:$F,193))</f>
        <v/>
      </c>
      <c r="F189">
        <f>IF($B189="","",INDEX(Suivi!$G:$G,193))</f>
        <v/>
      </c>
      <c r="H189">
        <f>IF(OR($B189="",NOT(ISNUMBER($D189))),"",IF($E189&lt;$D$2,"Passé",IF($D189&gt;$F$2,"À venir","Dans la période")))</f>
        <v/>
      </c>
      <c r="I189">
        <f>IF(OR($B189="",NOT(ISNUMBER($D189))),"",IF(AND($E189&lt;$D$2,$G189&lt;&gt;"X",$F189&lt;&gt;"Réalisé",$F189&lt;&gt;"Clôturé"),"RETARD",""))</f>
        <v/>
      </c>
      <c r="J189" s="29">
        <f>IF($B189="","",IF(INDEX(Dossiers!$F$4:$F$63,4)="","",INDEX(Dossiers!$F$4:$F$63,4)))</f>
        <v/>
      </c>
      <c r="K189" s="29">
        <f>IF($B189="","",IF(INDEX(Dossiers!$G$4:$G$63,4)="","",INDEX(Dossiers!$G$4:$G$63,4)))</f>
        <v/>
      </c>
    </row>
    <row r="190">
      <c r="A190">
        <f>IF($B190="","",INDEX(Dossiers!$E$4:$E$63,4))</f>
        <v/>
      </c>
      <c r="B190">
        <f>IF(INDEX(Suivi!$B:$B,194)="","",INDEX(Suivi!$B:$B,194))</f>
        <v/>
      </c>
      <c r="C190">
        <f>IF($B190="","",IF(INDEX(Suivi!$D:$D,194)="",INDEX(Suivi!$C:$C,194),INDEX(Suivi!$D:$D,194)))</f>
        <v/>
      </c>
      <c r="D190" s="29">
        <f>IF($B190="","",INDEX(Suivi!$E:$E,194))</f>
        <v/>
      </c>
      <c r="E190" s="29">
        <f>IF($B190="","",INDEX(Suivi!$F:$F,194))</f>
        <v/>
      </c>
      <c r="F190">
        <f>IF($B190="","",INDEX(Suivi!$G:$G,194))</f>
        <v/>
      </c>
      <c r="H190">
        <f>IF(OR($B190="",NOT(ISNUMBER($D190))),"",IF($E190&lt;$D$2,"Passé",IF($D190&gt;$F$2,"À venir","Dans la période")))</f>
        <v/>
      </c>
      <c r="I190">
        <f>IF(OR($B190="",NOT(ISNUMBER($D190))),"",IF(AND($E190&lt;$D$2,$G190&lt;&gt;"X",$F190&lt;&gt;"Réalisé",$F190&lt;&gt;"Clôturé"),"RETARD",""))</f>
        <v/>
      </c>
      <c r="J190" s="29">
        <f>IF($B190="","",IF(INDEX(Dossiers!$F$4:$F$63,4)="","",INDEX(Dossiers!$F$4:$F$63,4)))</f>
        <v/>
      </c>
      <c r="K190" s="29">
        <f>IF($B190="","",IF(INDEX(Dossiers!$G$4:$G$63,4)="","",INDEX(Dossiers!$G$4:$G$63,4)))</f>
        <v/>
      </c>
    </row>
    <row r="191">
      <c r="A191">
        <f>IF($B191="","",INDEX(Dossiers!$E$4:$E$63,4))</f>
        <v/>
      </c>
      <c r="B191">
        <f>IF(INDEX(Suivi!$B:$B,195)="","",INDEX(Suivi!$B:$B,195))</f>
        <v/>
      </c>
      <c r="C191">
        <f>IF($B191="","",IF(INDEX(Suivi!$D:$D,195)="",INDEX(Suivi!$C:$C,195),INDEX(Suivi!$D:$D,195)))</f>
        <v/>
      </c>
      <c r="D191" s="29">
        <f>IF($B191="","",INDEX(Suivi!$E:$E,195))</f>
        <v/>
      </c>
      <c r="E191" s="29">
        <f>IF($B191="","",INDEX(Suivi!$F:$F,195))</f>
        <v/>
      </c>
      <c r="F191">
        <f>IF($B191="","",INDEX(Suivi!$G:$G,195))</f>
        <v/>
      </c>
      <c r="H191">
        <f>IF(OR($B191="",NOT(ISNUMBER($D191))),"",IF($E191&lt;$D$2,"Passé",IF($D191&gt;$F$2,"À venir","Dans la période")))</f>
        <v/>
      </c>
      <c r="I191">
        <f>IF(OR($B191="",NOT(ISNUMBER($D191))),"",IF(AND($E191&lt;$D$2,$G191&lt;&gt;"X",$F191&lt;&gt;"Réalisé",$F191&lt;&gt;"Clôturé"),"RETARD",""))</f>
        <v/>
      </c>
      <c r="J191" s="29">
        <f>IF($B191="","",IF(INDEX(Dossiers!$F$4:$F$63,4)="","",INDEX(Dossiers!$F$4:$F$63,4)))</f>
        <v/>
      </c>
      <c r="K191" s="29">
        <f>IF($B191="","",IF(INDEX(Dossiers!$G$4:$G$63,4)="","",INDEX(Dossiers!$G$4:$G$63,4)))</f>
        <v/>
      </c>
    </row>
    <row r="192">
      <c r="A192">
        <f>IF($B192="","",INDEX(Dossiers!$E$4:$E$63,4))</f>
        <v/>
      </c>
      <c r="B192">
        <f>IF(INDEX(Suivi!$B:$B,196)="","",INDEX(Suivi!$B:$B,196))</f>
        <v/>
      </c>
      <c r="C192">
        <f>IF($B192="","",IF(INDEX(Suivi!$D:$D,196)="",INDEX(Suivi!$C:$C,196),INDEX(Suivi!$D:$D,196)))</f>
        <v/>
      </c>
      <c r="D192" s="29">
        <f>IF($B192="","",INDEX(Suivi!$E:$E,196))</f>
        <v/>
      </c>
      <c r="E192" s="29">
        <f>IF($B192="","",INDEX(Suivi!$F:$F,196))</f>
        <v/>
      </c>
      <c r="F192">
        <f>IF($B192="","",INDEX(Suivi!$G:$G,196))</f>
        <v/>
      </c>
      <c r="H192">
        <f>IF(OR($B192="",NOT(ISNUMBER($D192))),"",IF($E192&lt;$D$2,"Passé",IF($D192&gt;$F$2,"À venir","Dans la période")))</f>
        <v/>
      </c>
      <c r="I192">
        <f>IF(OR($B192="",NOT(ISNUMBER($D192))),"",IF(AND($E192&lt;$D$2,$G192&lt;&gt;"X",$F192&lt;&gt;"Réalisé",$F192&lt;&gt;"Clôturé"),"RETARD",""))</f>
        <v/>
      </c>
      <c r="J192" s="29">
        <f>IF($B192="","",IF(INDEX(Dossiers!$F$4:$F$63,4)="","",INDEX(Dossiers!$F$4:$F$63,4)))</f>
        <v/>
      </c>
      <c r="K192" s="29">
        <f>IF($B192="","",IF(INDEX(Dossiers!$G$4:$G$63,4)="","",INDEX(Dossiers!$G$4:$G$63,4)))</f>
        <v/>
      </c>
    </row>
    <row r="193">
      <c r="A193">
        <f>IF($B193="","",INDEX(Dossiers!$E$4:$E$63,4))</f>
        <v/>
      </c>
      <c r="B193">
        <f>IF(INDEX(Suivi!$B:$B,197)="","",INDEX(Suivi!$B:$B,197))</f>
        <v/>
      </c>
      <c r="C193">
        <f>IF($B193="","",IF(INDEX(Suivi!$D:$D,197)="",INDEX(Suivi!$C:$C,197),INDEX(Suivi!$D:$D,197)))</f>
        <v/>
      </c>
      <c r="D193" s="29">
        <f>IF($B193="","",INDEX(Suivi!$E:$E,197))</f>
        <v/>
      </c>
      <c r="E193" s="29">
        <f>IF($B193="","",INDEX(Suivi!$F:$F,197))</f>
        <v/>
      </c>
      <c r="F193">
        <f>IF($B193="","",INDEX(Suivi!$G:$G,197))</f>
        <v/>
      </c>
      <c r="H193">
        <f>IF(OR($B193="",NOT(ISNUMBER($D193))),"",IF($E193&lt;$D$2,"Passé",IF($D193&gt;$F$2,"À venir","Dans la période")))</f>
        <v/>
      </c>
      <c r="I193">
        <f>IF(OR($B193="",NOT(ISNUMBER($D193))),"",IF(AND($E193&lt;$D$2,$G193&lt;&gt;"X",$F193&lt;&gt;"Réalisé",$F193&lt;&gt;"Clôturé"),"RETARD",""))</f>
        <v/>
      </c>
      <c r="J193" s="29">
        <f>IF($B193="","",IF(INDEX(Dossiers!$F$4:$F$63,4)="","",INDEX(Dossiers!$F$4:$F$63,4)))</f>
        <v/>
      </c>
      <c r="K193" s="29">
        <f>IF($B193="","",IF(INDEX(Dossiers!$G$4:$G$63,4)="","",INDEX(Dossiers!$G$4:$G$63,4)))</f>
        <v/>
      </c>
    </row>
    <row r="194">
      <c r="A194">
        <f>IF($B194="","",INDEX(Dossiers!$E$4:$E$63,4))</f>
        <v/>
      </c>
      <c r="B194">
        <f>IF(INDEX(Suivi!$B:$B,198)="","",INDEX(Suivi!$B:$B,198))</f>
        <v/>
      </c>
      <c r="C194">
        <f>IF($B194="","",IF(INDEX(Suivi!$D:$D,198)="",INDEX(Suivi!$C:$C,198),INDEX(Suivi!$D:$D,198)))</f>
        <v/>
      </c>
      <c r="D194" s="29">
        <f>IF($B194="","",INDEX(Suivi!$E:$E,198))</f>
        <v/>
      </c>
      <c r="E194" s="29">
        <f>IF($B194="","",INDEX(Suivi!$F:$F,198))</f>
        <v/>
      </c>
      <c r="F194">
        <f>IF($B194="","",INDEX(Suivi!$G:$G,198))</f>
        <v/>
      </c>
      <c r="H194">
        <f>IF(OR($B194="",NOT(ISNUMBER($D194))),"",IF($E194&lt;$D$2,"Passé",IF($D194&gt;$F$2,"À venir","Dans la période")))</f>
        <v/>
      </c>
      <c r="I194">
        <f>IF(OR($B194="",NOT(ISNUMBER($D194))),"",IF(AND($E194&lt;$D$2,$G194&lt;&gt;"X",$F194&lt;&gt;"Réalisé",$F194&lt;&gt;"Clôturé"),"RETARD",""))</f>
        <v/>
      </c>
      <c r="J194" s="29">
        <f>IF($B194="","",IF(INDEX(Dossiers!$F$4:$F$63,4)="","",INDEX(Dossiers!$F$4:$F$63,4)))</f>
        <v/>
      </c>
      <c r="K194" s="29">
        <f>IF($B194="","",IF(INDEX(Dossiers!$G$4:$G$63,4)="","",INDEX(Dossiers!$G$4:$G$63,4)))</f>
        <v/>
      </c>
    </row>
    <row r="195">
      <c r="A195">
        <f>IF($B195="","",INDEX(Dossiers!$E$4:$E$63,4))</f>
        <v/>
      </c>
      <c r="B195">
        <f>IF(INDEX(Suivi!$B:$B,199)="","",INDEX(Suivi!$B:$B,199))</f>
        <v/>
      </c>
      <c r="C195">
        <f>IF($B195="","",IF(INDEX(Suivi!$D:$D,199)="",INDEX(Suivi!$C:$C,199),INDEX(Suivi!$D:$D,199)))</f>
        <v/>
      </c>
      <c r="D195" s="29">
        <f>IF($B195="","",INDEX(Suivi!$E:$E,199))</f>
        <v/>
      </c>
      <c r="E195" s="29">
        <f>IF($B195="","",INDEX(Suivi!$F:$F,199))</f>
        <v/>
      </c>
      <c r="F195">
        <f>IF($B195="","",INDEX(Suivi!$G:$G,199))</f>
        <v/>
      </c>
      <c r="H195">
        <f>IF(OR($B195="",NOT(ISNUMBER($D195))),"",IF($E195&lt;$D$2,"Passé",IF($D195&gt;$F$2,"À venir","Dans la période")))</f>
        <v/>
      </c>
      <c r="I195">
        <f>IF(OR($B195="",NOT(ISNUMBER($D195))),"",IF(AND($E195&lt;$D$2,$G195&lt;&gt;"X",$F195&lt;&gt;"Réalisé",$F195&lt;&gt;"Clôturé"),"RETARD",""))</f>
        <v/>
      </c>
      <c r="J195" s="29">
        <f>IF($B195="","",IF(INDEX(Dossiers!$F$4:$F$63,4)="","",INDEX(Dossiers!$F$4:$F$63,4)))</f>
        <v/>
      </c>
      <c r="K195" s="29">
        <f>IF($B195="","",IF(INDEX(Dossiers!$G$4:$G$63,4)="","",INDEX(Dossiers!$G$4:$G$63,4)))</f>
        <v/>
      </c>
    </row>
    <row r="196">
      <c r="A196">
        <f>IF($B196="","",INDEX(Dossiers!$E$4:$E$63,4))</f>
        <v/>
      </c>
      <c r="B196">
        <f>IF(INDEX(Suivi!$B:$B,200)="","",INDEX(Suivi!$B:$B,200))</f>
        <v/>
      </c>
      <c r="C196">
        <f>IF($B196="","",IF(INDEX(Suivi!$D:$D,200)="",INDEX(Suivi!$C:$C,200),INDEX(Suivi!$D:$D,200)))</f>
        <v/>
      </c>
      <c r="D196" s="29">
        <f>IF($B196="","",INDEX(Suivi!$E:$E,200))</f>
        <v/>
      </c>
      <c r="E196" s="29">
        <f>IF($B196="","",INDEX(Suivi!$F:$F,200))</f>
        <v/>
      </c>
      <c r="F196">
        <f>IF($B196="","",INDEX(Suivi!$G:$G,200))</f>
        <v/>
      </c>
      <c r="H196">
        <f>IF(OR($B196="",NOT(ISNUMBER($D196))),"",IF($E196&lt;$D$2,"Passé",IF($D196&gt;$F$2,"À venir","Dans la période")))</f>
        <v/>
      </c>
      <c r="I196">
        <f>IF(OR($B196="",NOT(ISNUMBER($D196))),"",IF(AND($E196&lt;$D$2,$G196&lt;&gt;"X",$F196&lt;&gt;"Réalisé",$F196&lt;&gt;"Clôturé"),"RETARD",""))</f>
        <v/>
      </c>
      <c r="J196" s="29">
        <f>IF($B196="","",IF(INDEX(Dossiers!$F$4:$F$63,4)="","",INDEX(Dossiers!$F$4:$F$63,4)))</f>
        <v/>
      </c>
      <c r="K196" s="29">
        <f>IF($B196="","",IF(INDEX(Dossiers!$G$4:$G$63,4)="","",INDEX(Dossiers!$G$4:$G$63,4)))</f>
        <v/>
      </c>
    </row>
    <row r="197">
      <c r="A197">
        <f>IF($B197="","",INDEX(Dossiers!$E$4:$E$63,4))</f>
        <v/>
      </c>
      <c r="B197">
        <f>IF(INDEX(Suivi!$B:$B,201)="","",INDEX(Suivi!$B:$B,201))</f>
        <v/>
      </c>
      <c r="C197">
        <f>IF($B197="","",IF(INDEX(Suivi!$D:$D,201)="",INDEX(Suivi!$C:$C,201),INDEX(Suivi!$D:$D,201)))</f>
        <v/>
      </c>
      <c r="D197" s="29">
        <f>IF($B197="","",INDEX(Suivi!$E:$E,201))</f>
        <v/>
      </c>
      <c r="E197" s="29">
        <f>IF($B197="","",INDEX(Suivi!$F:$F,201))</f>
        <v/>
      </c>
      <c r="F197">
        <f>IF($B197="","",INDEX(Suivi!$G:$G,201))</f>
        <v/>
      </c>
      <c r="H197">
        <f>IF(OR($B197="",NOT(ISNUMBER($D197))),"",IF($E197&lt;$D$2,"Passé",IF($D197&gt;$F$2,"À venir","Dans la période")))</f>
        <v/>
      </c>
      <c r="I197">
        <f>IF(OR($B197="",NOT(ISNUMBER($D197))),"",IF(AND($E197&lt;$D$2,$G197&lt;&gt;"X",$F197&lt;&gt;"Réalisé",$F197&lt;&gt;"Clôturé"),"RETARD",""))</f>
        <v/>
      </c>
      <c r="J197" s="29">
        <f>IF($B197="","",IF(INDEX(Dossiers!$F$4:$F$63,4)="","",INDEX(Dossiers!$F$4:$F$63,4)))</f>
        <v/>
      </c>
      <c r="K197" s="29">
        <f>IF($B197="","",IF(INDEX(Dossiers!$G$4:$G$63,4)="","",INDEX(Dossiers!$G$4:$G$63,4)))</f>
        <v/>
      </c>
    </row>
    <row r="198">
      <c r="A198">
        <f>IF($B198="","",INDEX(Dossiers!$E$4:$E$63,4))</f>
        <v/>
      </c>
      <c r="B198">
        <f>IF(INDEX(Suivi!$B:$B,202)="","",INDEX(Suivi!$B:$B,202))</f>
        <v/>
      </c>
      <c r="C198">
        <f>IF($B198="","",IF(INDEX(Suivi!$D:$D,202)="",INDEX(Suivi!$C:$C,202),INDEX(Suivi!$D:$D,202)))</f>
        <v/>
      </c>
      <c r="D198" s="29">
        <f>IF($B198="","",INDEX(Suivi!$E:$E,202))</f>
        <v/>
      </c>
      <c r="E198" s="29">
        <f>IF($B198="","",INDEX(Suivi!$F:$F,202))</f>
        <v/>
      </c>
      <c r="F198">
        <f>IF($B198="","",INDEX(Suivi!$G:$G,202))</f>
        <v/>
      </c>
      <c r="H198">
        <f>IF(OR($B198="",NOT(ISNUMBER($D198))),"",IF($E198&lt;$D$2,"Passé",IF($D198&gt;$F$2,"À venir","Dans la période")))</f>
        <v/>
      </c>
      <c r="I198">
        <f>IF(OR($B198="",NOT(ISNUMBER($D198))),"",IF(AND($E198&lt;$D$2,$G198&lt;&gt;"X",$F198&lt;&gt;"Réalisé",$F198&lt;&gt;"Clôturé"),"RETARD",""))</f>
        <v/>
      </c>
      <c r="J198" s="29">
        <f>IF($B198="","",IF(INDEX(Dossiers!$F$4:$F$63,4)="","",INDEX(Dossiers!$F$4:$F$63,4)))</f>
        <v/>
      </c>
      <c r="K198" s="29">
        <f>IF($B198="","",IF(INDEX(Dossiers!$G$4:$G$63,4)="","",INDEX(Dossiers!$G$4:$G$63,4)))</f>
        <v/>
      </c>
    </row>
    <row r="199">
      <c r="A199">
        <f>IF($B199="","",INDEX(Dossiers!$E$4:$E$63,4))</f>
        <v/>
      </c>
      <c r="B199">
        <f>IF(INDEX(Suivi!$B:$B,203)="","",INDEX(Suivi!$B:$B,203))</f>
        <v/>
      </c>
      <c r="C199">
        <f>IF($B199="","",IF(INDEX(Suivi!$D:$D,203)="",INDEX(Suivi!$C:$C,203),INDEX(Suivi!$D:$D,203)))</f>
        <v/>
      </c>
      <c r="D199" s="29">
        <f>IF($B199="","",INDEX(Suivi!$E:$E,203))</f>
        <v/>
      </c>
      <c r="E199" s="29">
        <f>IF($B199="","",INDEX(Suivi!$F:$F,203))</f>
        <v/>
      </c>
      <c r="F199">
        <f>IF($B199="","",INDEX(Suivi!$G:$G,203))</f>
        <v/>
      </c>
      <c r="H199">
        <f>IF(OR($B199="",NOT(ISNUMBER($D199))),"",IF($E199&lt;$D$2,"Passé",IF($D199&gt;$F$2,"À venir","Dans la période")))</f>
        <v/>
      </c>
      <c r="I199">
        <f>IF(OR($B199="",NOT(ISNUMBER($D199))),"",IF(AND($E199&lt;$D$2,$G199&lt;&gt;"X",$F199&lt;&gt;"Réalisé",$F199&lt;&gt;"Clôturé"),"RETARD",""))</f>
        <v/>
      </c>
      <c r="J199" s="29">
        <f>IF($B199="","",IF(INDEX(Dossiers!$F$4:$F$63,4)="","",INDEX(Dossiers!$F$4:$F$63,4)))</f>
        <v/>
      </c>
      <c r="K199" s="29">
        <f>IF($B199="","",IF(INDEX(Dossiers!$G$4:$G$63,4)="","",INDEX(Dossiers!$G$4:$G$63,4)))</f>
        <v/>
      </c>
    </row>
    <row r="200">
      <c r="A200">
        <f>IF($B200="","",INDEX(Dossiers!$E$4:$E$63,4))</f>
        <v/>
      </c>
      <c r="B200">
        <f>IF(INDEX(Suivi!$B:$B,204)="","",INDEX(Suivi!$B:$B,204))</f>
        <v/>
      </c>
      <c r="C200">
        <f>IF($B200="","",IF(INDEX(Suivi!$D:$D,204)="",INDEX(Suivi!$C:$C,204),INDEX(Suivi!$D:$D,204)))</f>
        <v/>
      </c>
      <c r="D200" s="29">
        <f>IF($B200="","",INDEX(Suivi!$E:$E,204))</f>
        <v/>
      </c>
      <c r="E200" s="29">
        <f>IF($B200="","",INDEX(Suivi!$F:$F,204))</f>
        <v/>
      </c>
      <c r="F200">
        <f>IF($B200="","",INDEX(Suivi!$G:$G,204))</f>
        <v/>
      </c>
      <c r="H200">
        <f>IF(OR($B200="",NOT(ISNUMBER($D200))),"",IF($E200&lt;$D$2,"Passé",IF($D200&gt;$F$2,"À venir","Dans la période")))</f>
        <v/>
      </c>
      <c r="I200">
        <f>IF(OR($B200="",NOT(ISNUMBER($D200))),"",IF(AND($E200&lt;$D$2,$G200&lt;&gt;"X",$F200&lt;&gt;"Réalisé",$F200&lt;&gt;"Clôturé"),"RETARD",""))</f>
        <v/>
      </c>
      <c r="J200" s="29">
        <f>IF($B200="","",IF(INDEX(Dossiers!$F$4:$F$63,4)="","",INDEX(Dossiers!$F$4:$F$63,4)))</f>
        <v/>
      </c>
      <c r="K200" s="29">
        <f>IF($B200="","",IF(INDEX(Dossiers!$G$4:$G$63,4)="","",INDEX(Dossiers!$G$4:$G$63,4)))</f>
        <v/>
      </c>
    </row>
    <row r="201">
      <c r="A201">
        <f>IF($B201="","",INDEX(Dossiers!$E$4:$E$63,4))</f>
        <v/>
      </c>
      <c r="B201">
        <f>IF(INDEX(Suivi!$B:$B,205)="","",INDEX(Suivi!$B:$B,205))</f>
        <v/>
      </c>
      <c r="C201">
        <f>IF($B201="","",IF(INDEX(Suivi!$D:$D,205)="",INDEX(Suivi!$C:$C,205),INDEX(Suivi!$D:$D,205)))</f>
        <v/>
      </c>
      <c r="D201" s="29">
        <f>IF($B201="","",INDEX(Suivi!$E:$E,205))</f>
        <v/>
      </c>
      <c r="E201" s="29">
        <f>IF($B201="","",INDEX(Suivi!$F:$F,205))</f>
        <v/>
      </c>
      <c r="F201">
        <f>IF($B201="","",INDEX(Suivi!$G:$G,205))</f>
        <v/>
      </c>
      <c r="H201">
        <f>IF(OR($B201="",NOT(ISNUMBER($D201))),"",IF($E201&lt;$D$2,"Passé",IF($D201&gt;$F$2,"À venir","Dans la période")))</f>
        <v/>
      </c>
      <c r="I201">
        <f>IF(OR($B201="",NOT(ISNUMBER($D201))),"",IF(AND($E201&lt;$D$2,$G201&lt;&gt;"X",$F201&lt;&gt;"Réalisé",$F201&lt;&gt;"Clôturé"),"RETARD",""))</f>
        <v/>
      </c>
      <c r="J201" s="29">
        <f>IF($B201="","",IF(INDEX(Dossiers!$F$4:$F$63,4)="","",INDEX(Dossiers!$F$4:$F$63,4)))</f>
        <v/>
      </c>
      <c r="K201" s="29">
        <f>IF($B201="","",IF(INDEX(Dossiers!$G$4:$G$63,4)="","",INDEX(Dossiers!$G$4:$G$63,4)))</f>
        <v/>
      </c>
    </row>
    <row r="202">
      <c r="A202">
        <f>IF($B202="","",INDEX(Dossiers!$E$4:$E$63,4))</f>
        <v/>
      </c>
      <c r="B202">
        <f>IF(INDEX(Suivi!$B:$B,206)="","",INDEX(Suivi!$B:$B,206))</f>
        <v/>
      </c>
      <c r="C202">
        <f>IF($B202="","",IF(INDEX(Suivi!$D:$D,206)="",INDEX(Suivi!$C:$C,206),INDEX(Suivi!$D:$D,206)))</f>
        <v/>
      </c>
      <c r="D202" s="29">
        <f>IF($B202="","",INDEX(Suivi!$E:$E,206))</f>
        <v/>
      </c>
      <c r="E202" s="29">
        <f>IF($B202="","",INDEX(Suivi!$F:$F,206))</f>
        <v/>
      </c>
      <c r="F202">
        <f>IF($B202="","",INDEX(Suivi!$G:$G,206))</f>
        <v/>
      </c>
      <c r="H202">
        <f>IF(OR($B202="",NOT(ISNUMBER($D202))),"",IF($E202&lt;$D$2,"Passé",IF($D202&gt;$F$2,"À venir","Dans la période")))</f>
        <v/>
      </c>
      <c r="I202">
        <f>IF(OR($B202="",NOT(ISNUMBER($D202))),"",IF(AND($E202&lt;$D$2,$G202&lt;&gt;"X",$F202&lt;&gt;"Réalisé",$F202&lt;&gt;"Clôturé"),"RETARD",""))</f>
        <v/>
      </c>
      <c r="J202" s="29">
        <f>IF($B202="","",IF(INDEX(Dossiers!$F$4:$F$63,4)="","",INDEX(Dossiers!$F$4:$F$63,4)))</f>
        <v/>
      </c>
      <c r="K202" s="29">
        <f>IF($B202="","",IF(INDEX(Dossiers!$G$4:$G$63,4)="","",INDEX(Dossiers!$G$4:$G$63,4)))</f>
        <v/>
      </c>
    </row>
    <row r="203">
      <c r="A203">
        <f>IF($B203="","",INDEX(Dossiers!$E$4:$E$63,4))</f>
        <v/>
      </c>
      <c r="B203">
        <f>IF(INDEX(Suivi!$B:$B,207)="","",INDEX(Suivi!$B:$B,207))</f>
        <v/>
      </c>
      <c r="C203">
        <f>IF($B203="","",IF(INDEX(Suivi!$D:$D,207)="",INDEX(Suivi!$C:$C,207),INDEX(Suivi!$D:$D,207)))</f>
        <v/>
      </c>
      <c r="D203" s="29">
        <f>IF($B203="","",INDEX(Suivi!$E:$E,207))</f>
        <v/>
      </c>
      <c r="E203" s="29">
        <f>IF($B203="","",INDEX(Suivi!$F:$F,207))</f>
        <v/>
      </c>
      <c r="F203">
        <f>IF($B203="","",INDEX(Suivi!$G:$G,207))</f>
        <v/>
      </c>
      <c r="H203">
        <f>IF(OR($B203="",NOT(ISNUMBER($D203))),"",IF($E203&lt;$D$2,"Passé",IF($D203&gt;$F$2,"À venir","Dans la période")))</f>
        <v/>
      </c>
      <c r="I203">
        <f>IF(OR($B203="",NOT(ISNUMBER($D203))),"",IF(AND($E203&lt;$D$2,$G203&lt;&gt;"X",$F203&lt;&gt;"Réalisé",$F203&lt;&gt;"Clôturé"),"RETARD",""))</f>
        <v/>
      </c>
      <c r="J203" s="29">
        <f>IF($B203="","",IF(INDEX(Dossiers!$F$4:$F$63,4)="","",INDEX(Dossiers!$F$4:$F$63,4)))</f>
        <v/>
      </c>
      <c r="K203" s="29">
        <f>IF($B203="","",IF(INDEX(Dossiers!$G$4:$G$63,4)="","",INDEX(Dossiers!$G$4:$G$63,4)))</f>
        <v/>
      </c>
    </row>
    <row r="204">
      <c r="A204">
        <f>IF($B204="","",INDEX(Dossiers!$E$4:$E$63,4))</f>
        <v/>
      </c>
      <c r="B204">
        <f>IF(INDEX(Suivi!$B:$B,208)="","",INDEX(Suivi!$B:$B,208))</f>
        <v/>
      </c>
      <c r="C204">
        <f>IF($B204="","",IF(INDEX(Suivi!$D:$D,208)="",INDEX(Suivi!$C:$C,208),INDEX(Suivi!$D:$D,208)))</f>
        <v/>
      </c>
      <c r="D204" s="29">
        <f>IF($B204="","",INDEX(Suivi!$E:$E,208))</f>
        <v/>
      </c>
      <c r="E204" s="29">
        <f>IF($B204="","",INDEX(Suivi!$F:$F,208))</f>
        <v/>
      </c>
      <c r="F204">
        <f>IF($B204="","",INDEX(Suivi!$G:$G,208))</f>
        <v/>
      </c>
      <c r="H204">
        <f>IF(OR($B204="",NOT(ISNUMBER($D204))),"",IF($E204&lt;$D$2,"Passé",IF($D204&gt;$F$2,"À venir","Dans la période")))</f>
        <v/>
      </c>
      <c r="I204">
        <f>IF(OR($B204="",NOT(ISNUMBER($D204))),"",IF(AND($E204&lt;$D$2,$G204&lt;&gt;"X",$F204&lt;&gt;"Réalisé",$F204&lt;&gt;"Clôturé"),"RETARD",""))</f>
        <v/>
      </c>
      <c r="J204" s="29">
        <f>IF($B204="","",IF(INDEX(Dossiers!$F$4:$F$63,4)="","",INDEX(Dossiers!$F$4:$F$63,4)))</f>
        <v/>
      </c>
      <c r="K204" s="29">
        <f>IF($B204="","",IF(INDEX(Dossiers!$G$4:$G$63,4)="","",INDEX(Dossiers!$G$4:$G$63,4)))</f>
        <v/>
      </c>
    </row>
    <row r="205">
      <c r="A205">
        <f>IF($B205="","",INDEX(Dossiers!$E$4:$E$63,4))</f>
        <v/>
      </c>
      <c r="B205">
        <f>IF(INDEX(Suivi!$B:$B,209)="","",INDEX(Suivi!$B:$B,209))</f>
        <v/>
      </c>
      <c r="C205">
        <f>IF($B205="","",IF(INDEX(Suivi!$D:$D,209)="",INDEX(Suivi!$C:$C,209),INDEX(Suivi!$D:$D,209)))</f>
        <v/>
      </c>
      <c r="D205" s="29">
        <f>IF($B205="","",INDEX(Suivi!$E:$E,209))</f>
        <v/>
      </c>
      <c r="E205" s="29">
        <f>IF($B205="","",INDEX(Suivi!$F:$F,209))</f>
        <v/>
      </c>
      <c r="F205">
        <f>IF($B205="","",INDEX(Suivi!$G:$G,209))</f>
        <v/>
      </c>
      <c r="H205">
        <f>IF(OR($B205="",NOT(ISNUMBER($D205))),"",IF($E205&lt;$D$2,"Passé",IF($D205&gt;$F$2,"À venir","Dans la période")))</f>
        <v/>
      </c>
      <c r="I205">
        <f>IF(OR($B205="",NOT(ISNUMBER($D205))),"",IF(AND($E205&lt;$D$2,$G205&lt;&gt;"X",$F205&lt;&gt;"Réalisé",$F205&lt;&gt;"Clôturé"),"RETARD",""))</f>
        <v/>
      </c>
      <c r="J205" s="29">
        <f>IF($B205="","",IF(INDEX(Dossiers!$F$4:$F$63,4)="","",INDEX(Dossiers!$F$4:$F$63,4)))</f>
        <v/>
      </c>
      <c r="K205" s="29">
        <f>IF($B205="","",IF(INDEX(Dossiers!$G$4:$G$63,4)="","",INDEX(Dossiers!$G$4:$G$63,4)))</f>
        <v/>
      </c>
    </row>
    <row r="206">
      <c r="A206">
        <f>IF($B206="","",INDEX(Dossiers!$E$4:$E$63,4))</f>
        <v/>
      </c>
      <c r="B206">
        <f>IF(INDEX(Suivi!$B:$B,210)="","",INDEX(Suivi!$B:$B,210))</f>
        <v/>
      </c>
      <c r="C206">
        <f>IF($B206="","",IF(INDEX(Suivi!$D:$D,210)="",INDEX(Suivi!$C:$C,210),INDEX(Suivi!$D:$D,210)))</f>
        <v/>
      </c>
      <c r="D206" s="29">
        <f>IF($B206="","",INDEX(Suivi!$E:$E,210))</f>
        <v/>
      </c>
      <c r="E206" s="29">
        <f>IF($B206="","",INDEX(Suivi!$F:$F,210))</f>
        <v/>
      </c>
      <c r="F206">
        <f>IF($B206="","",INDEX(Suivi!$G:$G,210))</f>
        <v/>
      </c>
      <c r="H206">
        <f>IF(OR($B206="",NOT(ISNUMBER($D206))),"",IF($E206&lt;$D$2,"Passé",IF($D206&gt;$F$2,"À venir","Dans la période")))</f>
        <v/>
      </c>
      <c r="I206">
        <f>IF(OR($B206="",NOT(ISNUMBER($D206))),"",IF(AND($E206&lt;$D$2,$G206&lt;&gt;"X",$F206&lt;&gt;"Réalisé",$F206&lt;&gt;"Clôturé"),"RETARD",""))</f>
        <v/>
      </c>
      <c r="J206" s="29">
        <f>IF($B206="","",IF(INDEX(Dossiers!$F$4:$F$63,4)="","",INDEX(Dossiers!$F$4:$F$63,4)))</f>
        <v/>
      </c>
      <c r="K206" s="29">
        <f>IF($B206="","",IF(INDEX(Dossiers!$G$4:$G$63,4)="","",INDEX(Dossiers!$G$4:$G$63,4)))</f>
        <v/>
      </c>
    </row>
    <row r="207">
      <c r="A207">
        <f>IF($B207="","",INDEX(Dossiers!$E$4:$E$63,4))</f>
        <v/>
      </c>
      <c r="B207">
        <f>IF(INDEX(Suivi!$B:$B,211)="","",INDEX(Suivi!$B:$B,211))</f>
        <v/>
      </c>
      <c r="C207">
        <f>IF($B207="","",IF(INDEX(Suivi!$D:$D,211)="",INDEX(Suivi!$C:$C,211),INDEX(Suivi!$D:$D,211)))</f>
        <v/>
      </c>
      <c r="D207" s="29">
        <f>IF($B207="","",INDEX(Suivi!$E:$E,211))</f>
        <v/>
      </c>
      <c r="E207" s="29">
        <f>IF($B207="","",INDEX(Suivi!$F:$F,211))</f>
        <v/>
      </c>
      <c r="F207">
        <f>IF($B207="","",INDEX(Suivi!$G:$G,211))</f>
        <v/>
      </c>
      <c r="H207">
        <f>IF(OR($B207="",NOT(ISNUMBER($D207))),"",IF($E207&lt;$D$2,"Passé",IF($D207&gt;$F$2,"À venir","Dans la période")))</f>
        <v/>
      </c>
      <c r="I207">
        <f>IF(OR($B207="",NOT(ISNUMBER($D207))),"",IF(AND($E207&lt;$D$2,$G207&lt;&gt;"X",$F207&lt;&gt;"Réalisé",$F207&lt;&gt;"Clôturé"),"RETARD",""))</f>
        <v/>
      </c>
      <c r="J207" s="29">
        <f>IF($B207="","",IF(INDEX(Dossiers!$F$4:$F$63,4)="","",INDEX(Dossiers!$F$4:$F$63,4)))</f>
        <v/>
      </c>
      <c r="K207" s="29">
        <f>IF($B207="","",IF(INDEX(Dossiers!$G$4:$G$63,4)="","",INDEX(Dossiers!$G$4:$G$63,4)))</f>
        <v/>
      </c>
    </row>
    <row r="208">
      <c r="A208">
        <f>IF($B208="","",INDEX(Dossiers!$E$4:$E$63,4))</f>
        <v/>
      </c>
      <c r="B208">
        <f>IF(INDEX(Suivi!$B:$B,212)="","",INDEX(Suivi!$B:$B,212))</f>
        <v/>
      </c>
      <c r="C208">
        <f>IF($B208="","",IF(INDEX(Suivi!$D:$D,212)="",INDEX(Suivi!$C:$C,212),INDEX(Suivi!$D:$D,212)))</f>
        <v/>
      </c>
      <c r="D208" s="29">
        <f>IF($B208="","",INDEX(Suivi!$E:$E,212))</f>
        <v/>
      </c>
      <c r="E208" s="29">
        <f>IF($B208="","",INDEX(Suivi!$F:$F,212))</f>
        <v/>
      </c>
      <c r="F208">
        <f>IF($B208="","",INDEX(Suivi!$G:$G,212))</f>
        <v/>
      </c>
      <c r="H208">
        <f>IF(OR($B208="",NOT(ISNUMBER($D208))),"",IF($E208&lt;$D$2,"Passé",IF($D208&gt;$F$2,"À venir","Dans la période")))</f>
        <v/>
      </c>
      <c r="I208">
        <f>IF(OR($B208="",NOT(ISNUMBER($D208))),"",IF(AND($E208&lt;$D$2,$G208&lt;&gt;"X",$F208&lt;&gt;"Réalisé",$F208&lt;&gt;"Clôturé"),"RETARD",""))</f>
        <v/>
      </c>
      <c r="J208" s="29">
        <f>IF($B208="","",IF(INDEX(Dossiers!$F$4:$F$63,4)="","",INDEX(Dossiers!$F$4:$F$63,4)))</f>
        <v/>
      </c>
      <c r="K208" s="29">
        <f>IF($B208="","",IF(INDEX(Dossiers!$G$4:$G$63,4)="","",INDEX(Dossiers!$G$4:$G$63,4)))</f>
        <v/>
      </c>
    </row>
    <row r="209">
      <c r="A209">
        <f>IF($B209="","",INDEX(Dossiers!$E$4:$E$63,4))</f>
        <v/>
      </c>
      <c r="B209">
        <f>IF(INDEX(Suivi!$B:$B,213)="","",INDEX(Suivi!$B:$B,213))</f>
        <v/>
      </c>
      <c r="C209">
        <f>IF($B209="","",IF(INDEX(Suivi!$D:$D,213)="",INDEX(Suivi!$C:$C,213),INDEX(Suivi!$D:$D,213)))</f>
        <v/>
      </c>
      <c r="D209" s="29">
        <f>IF($B209="","",INDEX(Suivi!$E:$E,213))</f>
        <v/>
      </c>
      <c r="E209" s="29">
        <f>IF($B209="","",INDEX(Suivi!$F:$F,213))</f>
        <v/>
      </c>
      <c r="F209">
        <f>IF($B209="","",INDEX(Suivi!$G:$G,213))</f>
        <v/>
      </c>
      <c r="H209">
        <f>IF(OR($B209="",NOT(ISNUMBER($D209))),"",IF($E209&lt;$D$2,"Passé",IF($D209&gt;$F$2,"À venir","Dans la période")))</f>
        <v/>
      </c>
      <c r="I209">
        <f>IF(OR($B209="",NOT(ISNUMBER($D209))),"",IF(AND($E209&lt;$D$2,$G209&lt;&gt;"X",$F209&lt;&gt;"Réalisé",$F209&lt;&gt;"Clôturé"),"RETARD",""))</f>
        <v/>
      </c>
      <c r="J209" s="29">
        <f>IF($B209="","",IF(INDEX(Dossiers!$F$4:$F$63,4)="","",INDEX(Dossiers!$F$4:$F$63,4)))</f>
        <v/>
      </c>
      <c r="K209" s="29">
        <f>IF($B209="","",IF(INDEX(Dossiers!$G$4:$G$63,4)="","",INDEX(Dossiers!$G$4:$G$63,4)))</f>
        <v/>
      </c>
    </row>
    <row r="210">
      <c r="A210">
        <f>IF($B210="","",INDEX(Dossiers!$E$4:$E$63,4))</f>
        <v/>
      </c>
      <c r="B210">
        <f>IF(INDEX(Suivi!$B:$B,214)="","",INDEX(Suivi!$B:$B,214))</f>
        <v/>
      </c>
      <c r="C210">
        <f>IF($B210="","",IF(INDEX(Suivi!$D:$D,214)="",INDEX(Suivi!$C:$C,214),INDEX(Suivi!$D:$D,214)))</f>
        <v/>
      </c>
      <c r="D210" s="29">
        <f>IF($B210="","",INDEX(Suivi!$E:$E,214))</f>
        <v/>
      </c>
      <c r="E210" s="29">
        <f>IF($B210="","",INDEX(Suivi!$F:$F,214))</f>
        <v/>
      </c>
      <c r="F210">
        <f>IF($B210="","",INDEX(Suivi!$G:$G,214))</f>
        <v/>
      </c>
      <c r="H210">
        <f>IF(OR($B210="",NOT(ISNUMBER($D210))),"",IF($E210&lt;$D$2,"Passé",IF($D210&gt;$F$2,"À venir","Dans la période")))</f>
        <v/>
      </c>
      <c r="I210">
        <f>IF(OR($B210="",NOT(ISNUMBER($D210))),"",IF(AND($E210&lt;$D$2,$G210&lt;&gt;"X",$F210&lt;&gt;"Réalisé",$F210&lt;&gt;"Clôturé"),"RETARD",""))</f>
        <v/>
      </c>
      <c r="J210" s="29">
        <f>IF($B210="","",IF(INDEX(Dossiers!$F$4:$F$63,4)="","",INDEX(Dossiers!$F$4:$F$63,4)))</f>
        <v/>
      </c>
      <c r="K210" s="29">
        <f>IF($B210="","",IF(INDEX(Dossiers!$G$4:$G$63,4)="","",INDEX(Dossiers!$G$4:$G$63,4)))</f>
        <v/>
      </c>
    </row>
    <row r="211">
      <c r="A211">
        <f>IF($B211="","",INDEX(Dossiers!$E$4:$E$63,4))</f>
        <v/>
      </c>
      <c r="B211">
        <f>IF(INDEX(Suivi!$B:$B,215)="","",INDEX(Suivi!$B:$B,215))</f>
        <v/>
      </c>
      <c r="C211">
        <f>IF($B211="","",IF(INDEX(Suivi!$D:$D,215)="",INDEX(Suivi!$C:$C,215),INDEX(Suivi!$D:$D,215)))</f>
        <v/>
      </c>
      <c r="D211" s="29">
        <f>IF($B211="","",INDEX(Suivi!$E:$E,215))</f>
        <v/>
      </c>
      <c r="E211" s="29">
        <f>IF($B211="","",INDEX(Suivi!$F:$F,215))</f>
        <v/>
      </c>
      <c r="F211">
        <f>IF($B211="","",INDEX(Suivi!$G:$G,215))</f>
        <v/>
      </c>
      <c r="H211">
        <f>IF(OR($B211="",NOT(ISNUMBER($D211))),"",IF($E211&lt;$D$2,"Passé",IF($D211&gt;$F$2,"À venir","Dans la période")))</f>
        <v/>
      </c>
      <c r="I211">
        <f>IF(OR($B211="",NOT(ISNUMBER($D211))),"",IF(AND($E211&lt;$D$2,$G211&lt;&gt;"X",$F211&lt;&gt;"Réalisé",$F211&lt;&gt;"Clôturé"),"RETARD",""))</f>
        <v/>
      </c>
      <c r="J211" s="29">
        <f>IF($B211="","",IF(INDEX(Dossiers!$F$4:$F$63,4)="","",INDEX(Dossiers!$F$4:$F$63,4)))</f>
        <v/>
      </c>
      <c r="K211" s="29">
        <f>IF($B211="","",IF(INDEX(Dossiers!$G$4:$G$63,4)="","",INDEX(Dossiers!$G$4:$G$63,4)))</f>
        <v/>
      </c>
    </row>
    <row r="212">
      <c r="A212">
        <f>IF($B212="","",INDEX(Dossiers!$E$4:$E$63,4))</f>
        <v/>
      </c>
      <c r="B212">
        <f>IF(INDEX(Suivi!$B:$B,216)="","",INDEX(Suivi!$B:$B,216))</f>
        <v/>
      </c>
      <c r="C212">
        <f>IF($B212="","",IF(INDEX(Suivi!$D:$D,216)="",INDEX(Suivi!$C:$C,216),INDEX(Suivi!$D:$D,216)))</f>
        <v/>
      </c>
      <c r="D212" s="29">
        <f>IF($B212="","",INDEX(Suivi!$E:$E,216))</f>
        <v/>
      </c>
      <c r="E212" s="29">
        <f>IF($B212="","",INDEX(Suivi!$F:$F,216))</f>
        <v/>
      </c>
      <c r="F212">
        <f>IF($B212="","",INDEX(Suivi!$G:$G,216))</f>
        <v/>
      </c>
      <c r="H212">
        <f>IF(OR($B212="",NOT(ISNUMBER($D212))),"",IF($E212&lt;$D$2,"Passé",IF($D212&gt;$F$2,"À venir","Dans la période")))</f>
        <v/>
      </c>
      <c r="I212">
        <f>IF(OR($B212="",NOT(ISNUMBER($D212))),"",IF(AND($E212&lt;$D$2,$G212&lt;&gt;"X",$F212&lt;&gt;"Réalisé",$F212&lt;&gt;"Clôturé"),"RETARD",""))</f>
        <v/>
      </c>
      <c r="J212" s="29">
        <f>IF($B212="","",IF(INDEX(Dossiers!$F$4:$F$63,4)="","",INDEX(Dossiers!$F$4:$F$63,4)))</f>
        <v/>
      </c>
      <c r="K212" s="29">
        <f>IF($B212="","",IF(INDEX(Dossiers!$G$4:$G$63,4)="","",INDEX(Dossiers!$G$4:$G$63,4)))</f>
        <v/>
      </c>
    </row>
    <row r="213">
      <c r="A213">
        <f>IF($B213="","",INDEX(Dossiers!$E$4:$E$63,4))</f>
        <v/>
      </c>
      <c r="B213">
        <f>IF(INDEX(Suivi!$B:$B,217)="","",INDEX(Suivi!$B:$B,217))</f>
        <v/>
      </c>
      <c r="C213">
        <f>IF($B213="","",IF(INDEX(Suivi!$D:$D,217)="",INDEX(Suivi!$C:$C,217),INDEX(Suivi!$D:$D,217)))</f>
        <v/>
      </c>
      <c r="D213" s="29">
        <f>IF($B213="","",INDEX(Suivi!$E:$E,217))</f>
        <v/>
      </c>
      <c r="E213" s="29">
        <f>IF($B213="","",INDEX(Suivi!$F:$F,217))</f>
        <v/>
      </c>
      <c r="F213">
        <f>IF($B213="","",INDEX(Suivi!$G:$G,217))</f>
        <v/>
      </c>
      <c r="H213">
        <f>IF(OR($B213="",NOT(ISNUMBER($D213))),"",IF($E213&lt;$D$2,"Passé",IF($D213&gt;$F$2,"À venir","Dans la période")))</f>
        <v/>
      </c>
      <c r="I213">
        <f>IF(OR($B213="",NOT(ISNUMBER($D213))),"",IF(AND($E213&lt;$D$2,$G213&lt;&gt;"X",$F213&lt;&gt;"Réalisé",$F213&lt;&gt;"Clôturé"),"RETARD",""))</f>
        <v/>
      </c>
      <c r="J213" s="29">
        <f>IF($B213="","",IF(INDEX(Dossiers!$F$4:$F$63,4)="","",INDEX(Dossiers!$F$4:$F$63,4)))</f>
        <v/>
      </c>
      <c r="K213" s="29">
        <f>IF($B213="","",IF(INDEX(Dossiers!$G$4:$G$63,4)="","",INDEX(Dossiers!$G$4:$G$63,4)))</f>
        <v/>
      </c>
    </row>
    <row r="214">
      <c r="A214">
        <f>IF($B214="","",INDEX(Dossiers!$E$4:$E$63,4))</f>
        <v/>
      </c>
      <c r="B214">
        <f>IF(INDEX(Suivi!$B:$B,218)="","",INDEX(Suivi!$B:$B,218))</f>
        <v/>
      </c>
      <c r="C214">
        <f>IF($B214="","",IF(INDEX(Suivi!$D:$D,218)="",INDEX(Suivi!$C:$C,218),INDEX(Suivi!$D:$D,218)))</f>
        <v/>
      </c>
      <c r="D214" s="29">
        <f>IF($B214="","",INDEX(Suivi!$E:$E,218))</f>
        <v/>
      </c>
      <c r="E214" s="29">
        <f>IF($B214="","",INDEX(Suivi!$F:$F,218))</f>
        <v/>
      </c>
      <c r="F214">
        <f>IF($B214="","",INDEX(Suivi!$G:$G,218))</f>
        <v/>
      </c>
      <c r="H214">
        <f>IF(OR($B214="",NOT(ISNUMBER($D214))),"",IF($E214&lt;$D$2,"Passé",IF($D214&gt;$F$2,"À venir","Dans la période")))</f>
        <v/>
      </c>
      <c r="I214">
        <f>IF(OR($B214="",NOT(ISNUMBER($D214))),"",IF(AND($E214&lt;$D$2,$G214&lt;&gt;"X",$F214&lt;&gt;"Réalisé",$F214&lt;&gt;"Clôturé"),"RETARD",""))</f>
        <v/>
      </c>
      <c r="J214" s="29">
        <f>IF($B214="","",IF(INDEX(Dossiers!$F$4:$F$63,4)="","",INDEX(Dossiers!$F$4:$F$63,4)))</f>
        <v/>
      </c>
      <c r="K214" s="29">
        <f>IF($B214="","",IF(INDEX(Dossiers!$G$4:$G$63,4)="","",INDEX(Dossiers!$G$4:$G$63,4)))</f>
        <v/>
      </c>
    </row>
    <row r="215">
      <c r="A215">
        <f>IF($B215="","",INDEX(Dossiers!$E$4:$E$63,4))</f>
        <v/>
      </c>
      <c r="B215">
        <f>IF(INDEX(Suivi!$B:$B,219)="","",INDEX(Suivi!$B:$B,219))</f>
        <v/>
      </c>
      <c r="C215">
        <f>IF($B215="","",IF(INDEX(Suivi!$D:$D,219)="",INDEX(Suivi!$C:$C,219),INDEX(Suivi!$D:$D,219)))</f>
        <v/>
      </c>
      <c r="D215" s="29">
        <f>IF($B215="","",INDEX(Suivi!$E:$E,219))</f>
        <v/>
      </c>
      <c r="E215" s="29">
        <f>IF($B215="","",INDEX(Suivi!$F:$F,219))</f>
        <v/>
      </c>
      <c r="F215">
        <f>IF($B215="","",INDEX(Suivi!$G:$G,219))</f>
        <v/>
      </c>
      <c r="H215">
        <f>IF(OR($B215="",NOT(ISNUMBER($D215))),"",IF($E215&lt;$D$2,"Passé",IF($D215&gt;$F$2,"À venir","Dans la période")))</f>
        <v/>
      </c>
      <c r="I215">
        <f>IF(OR($B215="",NOT(ISNUMBER($D215))),"",IF(AND($E215&lt;$D$2,$G215&lt;&gt;"X",$F215&lt;&gt;"Réalisé",$F215&lt;&gt;"Clôturé"),"RETARD",""))</f>
        <v/>
      </c>
      <c r="J215" s="29">
        <f>IF($B215="","",IF(INDEX(Dossiers!$F$4:$F$63,4)="","",INDEX(Dossiers!$F$4:$F$63,4)))</f>
        <v/>
      </c>
      <c r="K215" s="29">
        <f>IF($B215="","",IF(INDEX(Dossiers!$G$4:$G$63,4)="","",INDEX(Dossiers!$G$4:$G$63,4)))</f>
        <v/>
      </c>
    </row>
    <row r="216">
      <c r="A216">
        <f>IF($B216="","",INDEX(Dossiers!$E$4:$E$63,5))</f>
        <v/>
      </c>
      <c r="B216">
        <f>IF(INDEX(Suivi!$B:$B,221)="","",INDEX(Suivi!$B:$B,221))</f>
        <v/>
      </c>
      <c r="C216">
        <f>IF($B216="","",IF(INDEX(Suivi!$D:$D,221)="",INDEX(Suivi!$C:$C,221),INDEX(Suivi!$D:$D,221)))</f>
        <v/>
      </c>
      <c r="D216" s="29">
        <f>IF($B216="","",INDEX(Suivi!$E:$E,221))</f>
        <v/>
      </c>
      <c r="E216" s="29">
        <f>IF($B216="","",INDEX(Suivi!$F:$F,221))</f>
        <v/>
      </c>
      <c r="F216">
        <f>IF($B216="","",INDEX(Suivi!$G:$G,221))</f>
        <v/>
      </c>
      <c r="H216">
        <f>IF(OR($B216="",NOT(ISNUMBER($D216))),"",IF($E216&lt;$D$2,"Passé",IF($D216&gt;$F$2,"À venir","Dans la période")))</f>
        <v/>
      </c>
      <c r="I216">
        <f>IF(OR($B216="",NOT(ISNUMBER($D216))),"",IF(AND($E216&lt;$D$2,$G216&lt;&gt;"X",$F216&lt;&gt;"Réalisé",$F216&lt;&gt;"Clôturé"),"RETARD",""))</f>
        <v/>
      </c>
      <c r="J216" s="29">
        <f>IF($B216="","",IF(INDEX(Dossiers!$F$4:$F$63,5)="","",INDEX(Dossiers!$F$4:$F$63,5)))</f>
        <v/>
      </c>
      <c r="K216" s="29">
        <f>IF($B216="","",IF(INDEX(Dossiers!$G$4:$G$63,5)="","",INDEX(Dossiers!$G$4:$G$63,5)))</f>
        <v/>
      </c>
    </row>
    <row r="217">
      <c r="A217">
        <f>IF($B217="","",INDEX(Dossiers!$E$4:$E$63,5))</f>
        <v/>
      </c>
      <c r="B217">
        <f>IF(INDEX(Suivi!$B:$B,222)="","",INDEX(Suivi!$B:$B,222))</f>
        <v/>
      </c>
      <c r="C217">
        <f>IF($B217="","",IF(INDEX(Suivi!$D:$D,222)="",INDEX(Suivi!$C:$C,222),INDEX(Suivi!$D:$D,222)))</f>
        <v/>
      </c>
      <c r="D217" s="29">
        <f>IF($B217="","",INDEX(Suivi!$E:$E,222))</f>
        <v/>
      </c>
      <c r="E217" s="29">
        <f>IF($B217="","",INDEX(Suivi!$F:$F,222))</f>
        <v/>
      </c>
      <c r="F217">
        <f>IF($B217="","",INDEX(Suivi!$G:$G,222))</f>
        <v/>
      </c>
      <c r="H217">
        <f>IF(OR($B217="",NOT(ISNUMBER($D217))),"",IF($E217&lt;$D$2,"Passé",IF($D217&gt;$F$2,"À venir","Dans la période")))</f>
        <v/>
      </c>
      <c r="I217">
        <f>IF(OR($B217="",NOT(ISNUMBER($D217))),"",IF(AND($E217&lt;$D$2,$G217&lt;&gt;"X",$F217&lt;&gt;"Réalisé",$F217&lt;&gt;"Clôturé"),"RETARD",""))</f>
        <v/>
      </c>
      <c r="J217" s="29">
        <f>IF($B217="","",IF(INDEX(Dossiers!$F$4:$F$63,5)="","",INDEX(Dossiers!$F$4:$F$63,5)))</f>
        <v/>
      </c>
      <c r="K217" s="29">
        <f>IF($B217="","",IF(INDEX(Dossiers!$G$4:$G$63,5)="","",INDEX(Dossiers!$G$4:$G$63,5)))</f>
        <v/>
      </c>
    </row>
    <row r="218">
      <c r="A218">
        <f>IF($B218="","",INDEX(Dossiers!$E$4:$E$63,5))</f>
        <v/>
      </c>
      <c r="B218">
        <f>IF(INDEX(Suivi!$B:$B,223)="","",INDEX(Suivi!$B:$B,223))</f>
        <v/>
      </c>
      <c r="C218">
        <f>IF($B218="","",IF(INDEX(Suivi!$D:$D,223)="",INDEX(Suivi!$C:$C,223),INDEX(Suivi!$D:$D,223)))</f>
        <v/>
      </c>
      <c r="D218" s="29">
        <f>IF($B218="","",INDEX(Suivi!$E:$E,223))</f>
        <v/>
      </c>
      <c r="E218" s="29">
        <f>IF($B218="","",INDEX(Suivi!$F:$F,223))</f>
        <v/>
      </c>
      <c r="F218">
        <f>IF($B218="","",INDEX(Suivi!$G:$G,223))</f>
        <v/>
      </c>
      <c r="H218">
        <f>IF(OR($B218="",NOT(ISNUMBER($D218))),"",IF($E218&lt;$D$2,"Passé",IF($D218&gt;$F$2,"À venir","Dans la période")))</f>
        <v/>
      </c>
      <c r="I218">
        <f>IF(OR($B218="",NOT(ISNUMBER($D218))),"",IF(AND($E218&lt;$D$2,$G218&lt;&gt;"X",$F218&lt;&gt;"Réalisé",$F218&lt;&gt;"Clôturé"),"RETARD",""))</f>
        <v/>
      </c>
      <c r="J218" s="29">
        <f>IF($B218="","",IF(INDEX(Dossiers!$F$4:$F$63,5)="","",INDEX(Dossiers!$F$4:$F$63,5)))</f>
        <v/>
      </c>
      <c r="K218" s="29">
        <f>IF($B218="","",IF(INDEX(Dossiers!$G$4:$G$63,5)="","",INDEX(Dossiers!$G$4:$G$63,5)))</f>
        <v/>
      </c>
    </row>
    <row r="219">
      <c r="A219">
        <f>IF($B219="","",INDEX(Dossiers!$E$4:$E$63,5))</f>
        <v/>
      </c>
      <c r="B219">
        <f>IF(INDEX(Suivi!$B:$B,224)="","",INDEX(Suivi!$B:$B,224))</f>
        <v/>
      </c>
      <c r="C219">
        <f>IF($B219="","",IF(INDEX(Suivi!$D:$D,224)="",INDEX(Suivi!$C:$C,224),INDEX(Suivi!$D:$D,224)))</f>
        <v/>
      </c>
      <c r="D219" s="29">
        <f>IF($B219="","",INDEX(Suivi!$E:$E,224))</f>
        <v/>
      </c>
      <c r="E219" s="29">
        <f>IF($B219="","",INDEX(Suivi!$F:$F,224))</f>
        <v/>
      </c>
      <c r="F219">
        <f>IF($B219="","",INDEX(Suivi!$G:$G,224))</f>
        <v/>
      </c>
      <c r="H219">
        <f>IF(OR($B219="",NOT(ISNUMBER($D219))),"",IF($E219&lt;$D$2,"Passé",IF($D219&gt;$F$2,"À venir","Dans la période")))</f>
        <v/>
      </c>
      <c r="I219">
        <f>IF(OR($B219="",NOT(ISNUMBER($D219))),"",IF(AND($E219&lt;$D$2,$G219&lt;&gt;"X",$F219&lt;&gt;"Réalisé",$F219&lt;&gt;"Clôturé"),"RETARD",""))</f>
        <v/>
      </c>
      <c r="J219" s="29">
        <f>IF($B219="","",IF(INDEX(Dossiers!$F$4:$F$63,5)="","",INDEX(Dossiers!$F$4:$F$63,5)))</f>
        <v/>
      </c>
      <c r="K219" s="29">
        <f>IF($B219="","",IF(INDEX(Dossiers!$G$4:$G$63,5)="","",INDEX(Dossiers!$G$4:$G$63,5)))</f>
        <v/>
      </c>
    </row>
    <row r="220">
      <c r="A220">
        <f>IF($B220="","",INDEX(Dossiers!$E$4:$E$63,5))</f>
        <v/>
      </c>
      <c r="B220">
        <f>IF(INDEX(Suivi!$B:$B,225)="","",INDEX(Suivi!$B:$B,225))</f>
        <v/>
      </c>
      <c r="C220">
        <f>IF($B220="","",IF(INDEX(Suivi!$D:$D,225)="",INDEX(Suivi!$C:$C,225),INDEX(Suivi!$D:$D,225)))</f>
        <v/>
      </c>
      <c r="D220" s="29">
        <f>IF($B220="","",INDEX(Suivi!$E:$E,225))</f>
        <v/>
      </c>
      <c r="E220" s="29">
        <f>IF($B220="","",INDEX(Suivi!$F:$F,225))</f>
        <v/>
      </c>
      <c r="F220">
        <f>IF($B220="","",INDEX(Suivi!$G:$G,225))</f>
        <v/>
      </c>
      <c r="H220">
        <f>IF(OR($B220="",NOT(ISNUMBER($D220))),"",IF($E220&lt;$D$2,"Passé",IF($D220&gt;$F$2,"À venir","Dans la période")))</f>
        <v/>
      </c>
      <c r="I220">
        <f>IF(OR($B220="",NOT(ISNUMBER($D220))),"",IF(AND($E220&lt;$D$2,$G220&lt;&gt;"X",$F220&lt;&gt;"Réalisé",$F220&lt;&gt;"Clôturé"),"RETARD",""))</f>
        <v/>
      </c>
      <c r="J220" s="29">
        <f>IF($B220="","",IF(INDEX(Dossiers!$F$4:$F$63,5)="","",INDEX(Dossiers!$F$4:$F$63,5)))</f>
        <v/>
      </c>
      <c r="K220" s="29">
        <f>IF($B220="","",IF(INDEX(Dossiers!$G$4:$G$63,5)="","",INDEX(Dossiers!$G$4:$G$63,5)))</f>
        <v/>
      </c>
    </row>
    <row r="221">
      <c r="A221">
        <f>IF($B221="","",INDEX(Dossiers!$E$4:$E$63,5))</f>
        <v/>
      </c>
      <c r="B221">
        <f>IF(INDEX(Suivi!$B:$B,226)="","",INDEX(Suivi!$B:$B,226))</f>
        <v/>
      </c>
      <c r="C221">
        <f>IF($B221="","",IF(INDEX(Suivi!$D:$D,226)="",INDEX(Suivi!$C:$C,226),INDEX(Suivi!$D:$D,226)))</f>
        <v/>
      </c>
      <c r="D221" s="29">
        <f>IF($B221="","",INDEX(Suivi!$E:$E,226))</f>
        <v/>
      </c>
      <c r="E221" s="29">
        <f>IF($B221="","",INDEX(Suivi!$F:$F,226))</f>
        <v/>
      </c>
      <c r="F221">
        <f>IF($B221="","",INDEX(Suivi!$G:$G,226))</f>
        <v/>
      </c>
      <c r="H221">
        <f>IF(OR($B221="",NOT(ISNUMBER($D221))),"",IF($E221&lt;$D$2,"Passé",IF($D221&gt;$F$2,"À venir","Dans la période")))</f>
        <v/>
      </c>
      <c r="I221">
        <f>IF(OR($B221="",NOT(ISNUMBER($D221))),"",IF(AND($E221&lt;$D$2,$G221&lt;&gt;"X",$F221&lt;&gt;"Réalisé",$F221&lt;&gt;"Clôturé"),"RETARD",""))</f>
        <v/>
      </c>
      <c r="J221" s="29">
        <f>IF($B221="","",IF(INDEX(Dossiers!$F$4:$F$63,5)="","",INDEX(Dossiers!$F$4:$F$63,5)))</f>
        <v/>
      </c>
      <c r="K221" s="29">
        <f>IF($B221="","",IF(INDEX(Dossiers!$G$4:$G$63,5)="","",INDEX(Dossiers!$G$4:$G$63,5)))</f>
        <v/>
      </c>
    </row>
    <row r="222">
      <c r="A222">
        <f>IF($B222="","",INDEX(Dossiers!$E$4:$E$63,5))</f>
        <v/>
      </c>
      <c r="B222">
        <f>IF(INDEX(Suivi!$B:$B,227)="","",INDEX(Suivi!$B:$B,227))</f>
        <v/>
      </c>
      <c r="C222">
        <f>IF($B222="","",IF(INDEX(Suivi!$D:$D,227)="",INDEX(Suivi!$C:$C,227),INDEX(Suivi!$D:$D,227)))</f>
        <v/>
      </c>
      <c r="D222" s="29">
        <f>IF($B222="","",INDEX(Suivi!$E:$E,227))</f>
        <v/>
      </c>
      <c r="E222" s="29">
        <f>IF($B222="","",INDEX(Suivi!$F:$F,227))</f>
        <v/>
      </c>
      <c r="F222">
        <f>IF($B222="","",INDEX(Suivi!$G:$G,227))</f>
        <v/>
      </c>
      <c r="H222">
        <f>IF(OR($B222="",NOT(ISNUMBER($D222))),"",IF($E222&lt;$D$2,"Passé",IF($D222&gt;$F$2,"À venir","Dans la période")))</f>
        <v/>
      </c>
      <c r="I222">
        <f>IF(OR($B222="",NOT(ISNUMBER($D222))),"",IF(AND($E222&lt;$D$2,$G222&lt;&gt;"X",$F222&lt;&gt;"Réalisé",$F222&lt;&gt;"Clôturé"),"RETARD",""))</f>
        <v/>
      </c>
      <c r="J222" s="29">
        <f>IF($B222="","",IF(INDEX(Dossiers!$F$4:$F$63,5)="","",INDEX(Dossiers!$F$4:$F$63,5)))</f>
        <v/>
      </c>
      <c r="K222" s="29">
        <f>IF($B222="","",IF(INDEX(Dossiers!$G$4:$G$63,5)="","",INDEX(Dossiers!$G$4:$G$63,5)))</f>
        <v/>
      </c>
    </row>
    <row r="223">
      <c r="A223">
        <f>IF($B223="","",INDEX(Dossiers!$E$4:$E$63,5))</f>
        <v/>
      </c>
      <c r="B223">
        <f>IF(INDEX(Suivi!$B:$B,228)="","",INDEX(Suivi!$B:$B,228))</f>
        <v/>
      </c>
      <c r="C223">
        <f>IF($B223="","",IF(INDEX(Suivi!$D:$D,228)="",INDEX(Suivi!$C:$C,228),INDEX(Suivi!$D:$D,228)))</f>
        <v/>
      </c>
      <c r="D223" s="29">
        <f>IF($B223="","",INDEX(Suivi!$E:$E,228))</f>
        <v/>
      </c>
      <c r="E223" s="29">
        <f>IF($B223="","",INDEX(Suivi!$F:$F,228))</f>
        <v/>
      </c>
      <c r="F223">
        <f>IF($B223="","",INDEX(Suivi!$G:$G,228))</f>
        <v/>
      </c>
      <c r="H223">
        <f>IF(OR($B223="",NOT(ISNUMBER($D223))),"",IF($E223&lt;$D$2,"Passé",IF($D223&gt;$F$2,"À venir","Dans la période")))</f>
        <v/>
      </c>
      <c r="I223">
        <f>IF(OR($B223="",NOT(ISNUMBER($D223))),"",IF(AND($E223&lt;$D$2,$G223&lt;&gt;"X",$F223&lt;&gt;"Réalisé",$F223&lt;&gt;"Clôturé"),"RETARD",""))</f>
        <v/>
      </c>
      <c r="J223" s="29">
        <f>IF($B223="","",IF(INDEX(Dossiers!$F$4:$F$63,5)="","",INDEX(Dossiers!$F$4:$F$63,5)))</f>
        <v/>
      </c>
      <c r="K223" s="29">
        <f>IF($B223="","",IF(INDEX(Dossiers!$G$4:$G$63,5)="","",INDEX(Dossiers!$G$4:$G$63,5)))</f>
        <v/>
      </c>
    </row>
    <row r="224">
      <c r="A224">
        <f>IF($B224="","",INDEX(Dossiers!$E$4:$E$63,5))</f>
        <v/>
      </c>
      <c r="B224">
        <f>IF(INDEX(Suivi!$B:$B,229)="","",INDEX(Suivi!$B:$B,229))</f>
        <v/>
      </c>
      <c r="C224">
        <f>IF($B224="","",IF(INDEX(Suivi!$D:$D,229)="",INDEX(Suivi!$C:$C,229),INDEX(Suivi!$D:$D,229)))</f>
        <v/>
      </c>
      <c r="D224" s="29">
        <f>IF($B224="","",INDEX(Suivi!$E:$E,229))</f>
        <v/>
      </c>
      <c r="E224" s="29">
        <f>IF($B224="","",INDEX(Suivi!$F:$F,229))</f>
        <v/>
      </c>
      <c r="F224">
        <f>IF($B224="","",INDEX(Suivi!$G:$G,229))</f>
        <v/>
      </c>
      <c r="H224">
        <f>IF(OR($B224="",NOT(ISNUMBER($D224))),"",IF($E224&lt;$D$2,"Passé",IF($D224&gt;$F$2,"À venir","Dans la période")))</f>
        <v/>
      </c>
      <c r="I224">
        <f>IF(OR($B224="",NOT(ISNUMBER($D224))),"",IF(AND($E224&lt;$D$2,$G224&lt;&gt;"X",$F224&lt;&gt;"Réalisé",$F224&lt;&gt;"Clôturé"),"RETARD",""))</f>
        <v/>
      </c>
      <c r="J224" s="29">
        <f>IF($B224="","",IF(INDEX(Dossiers!$F$4:$F$63,5)="","",INDEX(Dossiers!$F$4:$F$63,5)))</f>
        <v/>
      </c>
      <c r="K224" s="29">
        <f>IF($B224="","",IF(INDEX(Dossiers!$G$4:$G$63,5)="","",INDEX(Dossiers!$G$4:$G$63,5)))</f>
        <v/>
      </c>
    </row>
    <row r="225">
      <c r="A225">
        <f>IF($B225="","",INDEX(Dossiers!$E$4:$E$63,5))</f>
        <v/>
      </c>
      <c r="B225">
        <f>IF(INDEX(Suivi!$B:$B,230)="","",INDEX(Suivi!$B:$B,230))</f>
        <v/>
      </c>
      <c r="C225">
        <f>IF($B225="","",IF(INDEX(Suivi!$D:$D,230)="",INDEX(Suivi!$C:$C,230),INDEX(Suivi!$D:$D,230)))</f>
        <v/>
      </c>
      <c r="D225" s="29">
        <f>IF($B225="","",INDEX(Suivi!$E:$E,230))</f>
        <v/>
      </c>
      <c r="E225" s="29">
        <f>IF($B225="","",INDEX(Suivi!$F:$F,230))</f>
        <v/>
      </c>
      <c r="F225">
        <f>IF($B225="","",INDEX(Suivi!$G:$G,230))</f>
        <v/>
      </c>
      <c r="H225">
        <f>IF(OR($B225="",NOT(ISNUMBER($D225))),"",IF($E225&lt;$D$2,"Passé",IF($D225&gt;$F$2,"À venir","Dans la période")))</f>
        <v/>
      </c>
      <c r="I225">
        <f>IF(OR($B225="",NOT(ISNUMBER($D225))),"",IF(AND($E225&lt;$D$2,$G225&lt;&gt;"X",$F225&lt;&gt;"Réalisé",$F225&lt;&gt;"Clôturé"),"RETARD",""))</f>
        <v/>
      </c>
      <c r="J225" s="29">
        <f>IF($B225="","",IF(INDEX(Dossiers!$F$4:$F$63,5)="","",INDEX(Dossiers!$F$4:$F$63,5)))</f>
        <v/>
      </c>
      <c r="K225" s="29">
        <f>IF($B225="","",IF(INDEX(Dossiers!$G$4:$G$63,5)="","",INDEX(Dossiers!$G$4:$G$63,5)))</f>
        <v/>
      </c>
    </row>
    <row r="226">
      <c r="A226">
        <f>IF($B226="","",INDEX(Dossiers!$E$4:$E$63,5))</f>
        <v/>
      </c>
      <c r="B226">
        <f>IF(INDEX(Suivi!$B:$B,231)="","",INDEX(Suivi!$B:$B,231))</f>
        <v/>
      </c>
      <c r="C226">
        <f>IF($B226="","",IF(INDEX(Suivi!$D:$D,231)="",INDEX(Suivi!$C:$C,231),INDEX(Suivi!$D:$D,231)))</f>
        <v/>
      </c>
      <c r="D226" s="29">
        <f>IF($B226="","",INDEX(Suivi!$E:$E,231))</f>
        <v/>
      </c>
      <c r="E226" s="29">
        <f>IF($B226="","",INDEX(Suivi!$F:$F,231))</f>
        <v/>
      </c>
      <c r="F226">
        <f>IF($B226="","",INDEX(Suivi!$G:$G,231))</f>
        <v/>
      </c>
      <c r="H226">
        <f>IF(OR($B226="",NOT(ISNUMBER($D226))),"",IF($E226&lt;$D$2,"Passé",IF($D226&gt;$F$2,"À venir","Dans la période")))</f>
        <v/>
      </c>
      <c r="I226">
        <f>IF(OR($B226="",NOT(ISNUMBER($D226))),"",IF(AND($E226&lt;$D$2,$G226&lt;&gt;"X",$F226&lt;&gt;"Réalisé",$F226&lt;&gt;"Clôturé"),"RETARD",""))</f>
        <v/>
      </c>
      <c r="J226" s="29">
        <f>IF($B226="","",IF(INDEX(Dossiers!$F$4:$F$63,5)="","",INDEX(Dossiers!$F$4:$F$63,5)))</f>
        <v/>
      </c>
      <c r="K226" s="29">
        <f>IF($B226="","",IF(INDEX(Dossiers!$G$4:$G$63,5)="","",INDEX(Dossiers!$G$4:$G$63,5)))</f>
        <v/>
      </c>
    </row>
    <row r="227">
      <c r="A227">
        <f>IF($B227="","",INDEX(Dossiers!$E$4:$E$63,5))</f>
        <v/>
      </c>
      <c r="B227">
        <f>IF(INDEX(Suivi!$B:$B,232)="","",INDEX(Suivi!$B:$B,232))</f>
        <v/>
      </c>
      <c r="C227">
        <f>IF($B227="","",IF(INDEX(Suivi!$D:$D,232)="",INDEX(Suivi!$C:$C,232),INDEX(Suivi!$D:$D,232)))</f>
        <v/>
      </c>
      <c r="D227" s="29">
        <f>IF($B227="","",INDEX(Suivi!$E:$E,232))</f>
        <v/>
      </c>
      <c r="E227" s="29">
        <f>IF($B227="","",INDEX(Suivi!$F:$F,232))</f>
        <v/>
      </c>
      <c r="F227">
        <f>IF($B227="","",INDEX(Suivi!$G:$G,232))</f>
        <v/>
      </c>
      <c r="H227">
        <f>IF(OR($B227="",NOT(ISNUMBER($D227))),"",IF($E227&lt;$D$2,"Passé",IF($D227&gt;$F$2,"À venir","Dans la période")))</f>
        <v/>
      </c>
      <c r="I227">
        <f>IF(OR($B227="",NOT(ISNUMBER($D227))),"",IF(AND($E227&lt;$D$2,$G227&lt;&gt;"X",$F227&lt;&gt;"Réalisé",$F227&lt;&gt;"Clôturé"),"RETARD",""))</f>
        <v/>
      </c>
      <c r="J227" s="29">
        <f>IF($B227="","",IF(INDEX(Dossiers!$F$4:$F$63,5)="","",INDEX(Dossiers!$F$4:$F$63,5)))</f>
        <v/>
      </c>
      <c r="K227" s="29">
        <f>IF($B227="","",IF(INDEX(Dossiers!$G$4:$G$63,5)="","",INDEX(Dossiers!$G$4:$G$63,5)))</f>
        <v/>
      </c>
    </row>
    <row r="228">
      <c r="A228">
        <f>IF($B228="","",INDEX(Dossiers!$E$4:$E$63,5))</f>
        <v/>
      </c>
      <c r="B228">
        <f>IF(INDEX(Suivi!$B:$B,233)="","",INDEX(Suivi!$B:$B,233))</f>
        <v/>
      </c>
      <c r="C228">
        <f>IF($B228="","",IF(INDEX(Suivi!$D:$D,233)="",INDEX(Suivi!$C:$C,233),INDEX(Suivi!$D:$D,233)))</f>
        <v/>
      </c>
      <c r="D228" s="29">
        <f>IF($B228="","",INDEX(Suivi!$E:$E,233))</f>
        <v/>
      </c>
      <c r="E228" s="29">
        <f>IF($B228="","",INDEX(Suivi!$F:$F,233))</f>
        <v/>
      </c>
      <c r="F228">
        <f>IF($B228="","",INDEX(Suivi!$G:$G,233))</f>
        <v/>
      </c>
      <c r="H228">
        <f>IF(OR($B228="",NOT(ISNUMBER($D228))),"",IF($E228&lt;$D$2,"Passé",IF($D228&gt;$F$2,"À venir","Dans la période")))</f>
        <v/>
      </c>
      <c r="I228">
        <f>IF(OR($B228="",NOT(ISNUMBER($D228))),"",IF(AND($E228&lt;$D$2,$G228&lt;&gt;"X",$F228&lt;&gt;"Réalisé",$F228&lt;&gt;"Clôturé"),"RETARD",""))</f>
        <v/>
      </c>
      <c r="J228" s="29">
        <f>IF($B228="","",IF(INDEX(Dossiers!$F$4:$F$63,5)="","",INDEX(Dossiers!$F$4:$F$63,5)))</f>
        <v/>
      </c>
      <c r="K228" s="29">
        <f>IF($B228="","",IF(INDEX(Dossiers!$G$4:$G$63,5)="","",INDEX(Dossiers!$G$4:$G$63,5)))</f>
        <v/>
      </c>
    </row>
    <row r="229">
      <c r="A229">
        <f>IF($B229="","",INDEX(Dossiers!$E$4:$E$63,5))</f>
        <v/>
      </c>
      <c r="B229">
        <f>IF(INDEX(Suivi!$B:$B,234)="","",INDEX(Suivi!$B:$B,234))</f>
        <v/>
      </c>
      <c r="C229">
        <f>IF($B229="","",IF(INDEX(Suivi!$D:$D,234)="",INDEX(Suivi!$C:$C,234),INDEX(Suivi!$D:$D,234)))</f>
        <v/>
      </c>
      <c r="D229" s="29">
        <f>IF($B229="","",INDEX(Suivi!$E:$E,234))</f>
        <v/>
      </c>
      <c r="E229" s="29">
        <f>IF($B229="","",INDEX(Suivi!$F:$F,234))</f>
        <v/>
      </c>
      <c r="F229">
        <f>IF($B229="","",INDEX(Suivi!$G:$G,234))</f>
        <v/>
      </c>
      <c r="H229">
        <f>IF(OR($B229="",NOT(ISNUMBER($D229))),"",IF($E229&lt;$D$2,"Passé",IF($D229&gt;$F$2,"À venir","Dans la période")))</f>
        <v/>
      </c>
      <c r="I229">
        <f>IF(OR($B229="",NOT(ISNUMBER($D229))),"",IF(AND($E229&lt;$D$2,$G229&lt;&gt;"X",$F229&lt;&gt;"Réalisé",$F229&lt;&gt;"Clôturé"),"RETARD",""))</f>
        <v/>
      </c>
      <c r="J229" s="29">
        <f>IF($B229="","",IF(INDEX(Dossiers!$F$4:$F$63,5)="","",INDEX(Dossiers!$F$4:$F$63,5)))</f>
        <v/>
      </c>
      <c r="K229" s="29">
        <f>IF($B229="","",IF(INDEX(Dossiers!$G$4:$G$63,5)="","",INDEX(Dossiers!$G$4:$G$63,5)))</f>
        <v/>
      </c>
    </row>
    <row r="230">
      <c r="A230">
        <f>IF($B230="","",INDEX(Dossiers!$E$4:$E$63,5))</f>
        <v/>
      </c>
      <c r="B230">
        <f>IF(INDEX(Suivi!$B:$B,235)="","",INDEX(Suivi!$B:$B,235))</f>
        <v/>
      </c>
      <c r="C230">
        <f>IF($B230="","",IF(INDEX(Suivi!$D:$D,235)="",INDEX(Suivi!$C:$C,235),INDEX(Suivi!$D:$D,235)))</f>
        <v/>
      </c>
      <c r="D230" s="29">
        <f>IF($B230="","",INDEX(Suivi!$E:$E,235))</f>
        <v/>
      </c>
      <c r="E230" s="29">
        <f>IF($B230="","",INDEX(Suivi!$F:$F,235))</f>
        <v/>
      </c>
      <c r="F230">
        <f>IF($B230="","",INDEX(Suivi!$G:$G,235))</f>
        <v/>
      </c>
      <c r="H230">
        <f>IF(OR($B230="",NOT(ISNUMBER($D230))),"",IF($E230&lt;$D$2,"Passé",IF($D230&gt;$F$2,"À venir","Dans la période")))</f>
        <v/>
      </c>
      <c r="I230">
        <f>IF(OR($B230="",NOT(ISNUMBER($D230))),"",IF(AND($E230&lt;$D$2,$G230&lt;&gt;"X",$F230&lt;&gt;"Réalisé",$F230&lt;&gt;"Clôturé"),"RETARD",""))</f>
        <v/>
      </c>
      <c r="J230" s="29">
        <f>IF($B230="","",IF(INDEX(Dossiers!$F$4:$F$63,5)="","",INDEX(Dossiers!$F$4:$F$63,5)))</f>
        <v/>
      </c>
      <c r="K230" s="29">
        <f>IF($B230="","",IF(INDEX(Dossiers!$G$4:$G$63,5)="","",INDEX(Dossiers!$G$4:$G$63,5)))</f>
        <v/>
      </c>
    </row>
    <row r="231">
      <c r="A231">
        <f>IF($B231="","",INDEX(Dossiers!$E$4:$E$63,5))</f>
        <v/>
      </c>
      <c r="B231">
        <f>IF(INDEX(Suivi!$B:$B,236)="","",INDEX(Suivi!$B:$B,236))</f>
        <v/>
      </c>
      <c r="C231">
        <f>IF($B231="","",IF(INDEX(Suivi!$D:$D,236)="",INDEX(Suivi!$C:$C,236),INDEX(Suivi!$D:$D,236)))</f>
        <v/>
      </c>
      <c r="D231" s="29">
        <f>IF($B231="","",INDEX(Suivi!$E:$E,236))</f>
        <v/>
      </c>
      <c r="E231" s="29">
        <f>IF($B231="","",INDEX(Suivi!$F:$F,236))</f>
        <v/>
      </c>
      <c r="F231">
        <f>IF($B231="","",INDEX(Suivi!$G:$G,236))</f>
        <v/>
      </c>
      <c r="H231">
        <f>IF(OR($B231="",NOT(ISNUMBER($D231))),"",IF($E231&lt;$D$2,"Passé",IF($D231&gt;$F$2,"À venir","Dans la période")))</f>
        <v/>
      </c>
      <c r="I231">
        <f>IF(OR($B231="",NOT(ISNUMBER($D231))),"",IF(AND($E231&lt;$D$2,$G231&lt;&gt;"X",$F231&lt;&gt;"Réalisé",$F231&lt;&gt;"Clôturé"),"RETARD",""))</f>
        <v/>
      </c>
      <c r="J231" s="29">
        <f>IF($B231="","",IF(INDEX(Dossiers!$F$4:$F$63,5)="","",INDEX(Dossiers!$F$4:$F$63,5)))</f>
        <v/>
      </c>
      <c r="K231" s="29">
        <f>IF($B231="","",IF(INDEX(Dossiers!$G$4:$G$63,5)="","",INDEX(Dossiers!$G$4:$G$63,5)))</f>
        <v/>
      </c>
    </row>
    <row r="232">
      <c r="A232">
        <f>IF($B232="","",INDEX(Dossiers!$E$4:$E$63,5))</f>
        <v/>
      </c>
      <c r="B232">
        <f>IF(INDEX(Suivi!$B:$B,237)="","",INDEX(Suivi!$B:$B,237))</f>
        <v/>
      </c>
      <c r="C232">
        <f>IF($B232="","",IF(INDEX(Suivi!$D:$D,237)="",INDEX(Suivi!$C:$C,237),INDEX(Suivi!$D:$D,237)))</f>
        <v/>
      </c>
      <c r="D232" s="29">
        <f>IF($B232="","",INDEX(Suivi!$E:$E,237))</f>
        <v/>
      </c>
      <c r="E232" s="29">
        <f>IF($B232="","",INDEX(Suivi!$F:$F,237))</f>
        <v/>
      </c>
      <c r="F232">
        <f>IF($B232="","",INDEX(Suivi!$G:$G,237))</f>
        <v/>
      </c>
      <c r="H232">
        <f>IF(OR($B232="",NOT(ISNUMBER($D232))),"",IF($E232&lt;$D$2,"Passé",IF($D232&gt;$F$2,"À venir","Dans la période")))</f>
        <v/>
      </c>
      <c r="I232">
        <f>IF(OR($B232="",NOT(ISNUMBER($D232))),"",IF(AND($E232&lt;$D$2,$G232&lt;&gt;"X",$F232&lt;&gt;"Réalisé",$F232&lt;&gt;"Clôturé"),"RETARD",""))</f>
        <v/>
      </c>
      <c r="J232" s="29">
        <f>IF($B232="","",IF(INDEX(Dossiers!$F$4:$F$63,5)="","",INDEX(Dossiers!$F$4:$F$63,5)))</f>
        <v/>
      </c>
      <c r="K232" s="29">
        <f>IF($B232="","",IF(INDEX(Dossiers!$G$4:$G$63,5)="","",INDEX(Dossiers!$G$4:$G$63,5)))</f>
        <v/>
      </c>
    </row>
    <row r="233">
      <c r="A233">
        <f>IF($B233="","",INDEX(Dossiers!$E$4:$E$63,5))</f>
        <v/>
      </c>
      <c r="B233">
        <f>IF(INDEX(Suivi!$B:$B,238)="","",INDEX(Suivi!$B:$B,238))</f>
        <v/>
      </c>
      <c r="C233">
        <f>IF($B233="","",IF(INDEX(Suivi!$D:$D,238)="",INDEX(Suivi!$C:$C,238),INDEX(Suivi!$D:$D,238)))</f>
        <v/>
      </c>
      <c r="D233" s="29">
        <f>IF($B233="","",INDEX(Suivi!$E:$E,238))</f>
        <v/>
      </c>
      <c r="E233" s="29">
        <f>IF($B233="","",INDEX(Suivi!$F:$F,238))</f>
        <v/>
      </c>
      <c r="F233">
        <f>IF($B233="","",INDEX(Suivi!$G:$G,238))</f>
        <v/>
      </c>
      <c r="H233">
        <f>IF(OR($B233="",NOT(ISNUMBER($D233))),"",IF($E233&lt;$D$2,"Passé",IF($D233&gt;$F$2,"À venir","Dans la période")))</f>
        <v/>
      </c>
      <c r="I233">
        <f>IF(OR($B233="",NOT(ISNUMBER($D233))),"",IF(AND($E233&lt;$D$2,$G233&lt;&gt;"X",$F233&lt;&gt;"Réalisé",$F233&lt;&gt;"Clôturé"),"RETARD",""))</f>
        <v/>
      </c>
      <c r="J233" s="29">
        <f>IF($B233="","",IF(INDEX(Dossiers!$F$4:$F$63,5)="","",INDEX(Dossiers!$F$4:$F$63,5)))</f>
        <v/>
      </c>
      <c r="K233" s="29">
        <f>IF($B233="","",IF(INDEX(Dossiers!$G$4:$G$63,5)="","",INDEX(Dossiers!$G$4:$G$63,5)))</f>
        <v/>
      </c>
    </row>
    <row r="234">
      <c r="A234">
        <f>IF($B234="","",INDEX(Dossiers!$E$4:$E$63,5))</f>
        <v/>
      </c>
      <c r="B234">
        <f>IF(INDEX(Suivi!$B:$B,239)="","",INDEX(Suivi!$B:$B,239))</f>
        <v/>
      </c>
      <c r="C234">
        <f>IF($B234="","",IF(INDEX(Suivi!$D:$D,239)="",INDEX(Suivi!$C:$C,239),INDEX(Suivi!$D:$D,239)))</f>
        <v/>
      </c>
      <c r="D234" s="29">
        <f>IF($B234="","",INDEX(Suivi!$E:$E,239))</f>
        <v/>
      </c>
      <c r="E234" s="29">
        <f>IF($B234="","",INDEX(Suivi!$F:$F,239))</f>
        <v/>
      </c>
      <c r="F234">
        <f>IF($B234="","",INDEX(Suivi!$G:$G,239))</f>
        <v/>
      </c>
      <c r="H234">
        <f>IF(OR($B234="",NOT(ISNUMBER($D234))),"",IF($E234&lt;$D$2,"Passé",IF($D234&gt;$F$2,"À venir","Dans la période")))</f>
        <v/>
      </c>
      <c r="I234">
        <f>IF(OR($B234="",NOT(ISNUMBER($D234))),"",IF(AND($E234&lt;$D$2,$G234&lt;&gt;"X",$F234&lt;&gt;"Réalisé",$F234&lt;&gt;"Clôturé"),"RETARD",""))</f>
        <v/>
      </c>
      <c r="J234" s="29">
        <f>IF($B234="","",IF(INDEX(Dossiers!$F$4:$F$63,5)="","",INDEX(Dossiers!$F$4:$F$63,5)))</f>
        <v/>
      </c>
      <c r="K234" s="29">
        <f>IF($B234="","",IF(INDEX(Dossiers!$G$4:$G$63,5)="","",INDEX(Dossiers!$G$4:$G$63,5)))</f>
        <v/>
      </c>
    </row>
    <row r="235">
      <c r="A235">
        <f>IF($B235="","",INDEX(Dossiers!$E$4:$E$63,5))</f>
        <v/>
      </c>
      <c r="B235">
        <f>IF(INDEX(Suivi!$B:$B,240)="","",INDEX(Suivi!$B:$B,240))</f>
        <v/>
      </c>
      <c r="C235">
        <f>IF($B235="","",IF(INDEX(Suivi!$D:$D,240)="",INDEX(Suivi!$C:$C,240),INDEX(Suivi!$D:$D,240)))</f>
        <v/>
      </c>
      <c r="D235" s="29">
        <f>IF($B235="","",INDEX(Suivi!$E:$E,240))</f>
        <v/>
      </c>
      <c r="E235" s="29">
        <f>IF($B235="","",INDEX(Suivi!$F:$F,240))</f>
        <v/>
      </c>
      <c r="F235">
        <f>IF($B235="","",INDEX(Suivi!$G:$G,240))</f>
        <v/>
      </c>
      <c r="H235">
        <f>IF(OR($B235="",NOT(ISNUMBER($D235))),"",IF($E235&lt;$D$2,"Passé",IF($D235&gt;$F$2,"À venir","Dans la période")))</f>
        <v/>
      </c>
      <c r="I235">
        <f>IF(OR($B235="",NOT(ISNUMBER($D235))),"",IF(AND($E235&lt;$D$2,$G235&lt;&gt;"X",$F235&lt;&gt;"Réalisé",$F235&lt;&gt;"Clôturé"),"RETARD",""))</f>
        <v/>
      </c>
      <c r="J235" s="29">
        <f>IF($B235="","",IF(INDEX(Dossiers!$F$4:$F$63,5)="","",INDEX(Dossiers!$F$4:$F$63,5)))</f>
        <v/>
      </c>
      <c r="K235" s="29">
        <f>IF($B235="","",IF(INDEX(Dossiers!$G$4:$G$63,5)="","",INDEX(Dossiers!$G$4:$G$63,5)))</f>
        <v/>
      </c>
    </row>
    <row r="236">
      <c r="A236">
        <f>IF($B236="","",INDEX(Dossiers!$E$4:$E$63,5))</f>
        <v/>
      </c>
      <c r="B236">
        <f>IF(INDEX(Suivi!$B:$B,241)="","",INDEX(Suivi!$B:$B,241))</f>
        <v/>
      </c>
      <c r="C236">
        <f>IF($B236="","",IF(INDEX(Suivi!$D:$D,241)="",INDEX(Suivi!$C:$C,241),INDEX(Suivi!$D:$D,241)))</f>
        <v/>
      </c>
      <c r="D236" s="29">
        <f>IF($B236="","",INDEX(Suivi!$E:$E,241))</f>
        <v/>
      </c>
      <c r="E236" s="29">
        <f>IF($B236="","",INDEX(Suivi!$F:$F,241))</f>
        <v/>
      </c>
      <c r="F236">
        <f>IF($B236="","",INDEX(Suivi!$G:$G,241))</f>
        <v/>
      </c>
      <c r="H236">
        <f>IF(OR($B236="",NOT(ISNUMBER($D236))),"",IF($E236&lt;$D$2,"Passé",IF($D236&gt;$F$2,"À venir","Dans la période")))</f>
        <v/>
      </c>
      <c r="I236">
        <f>IF(OR($B236="",NOT(ISNUMBER($D236))),"",IF(AND($E236&lt;$D$2,$G236&lt;&gt;"X",$F236&lt;&gt;"Réalisé",$F236&lt;&gt;"Clôturé"),"RETARD",""))</f>
        <v/>
      </c>
      <c r="J236" s="29">
        <f>IF($B236="","",IF(INDEX(Dossiers!$F$4:$F$63,5)="","",INDEX(Dossiers!$F$4:$F$63,5)))</f>
        <v/>
      </c>
      <c r="K236" s="29">
        <f>IF($B236="","",IF(INDEX(Dossiers!$G$4:$G$63,5)="","",INDEX(Dossiers!$G$4:$G$63,5)))</f>
        <v/>
      </c>
    </row>
    <row r="237">
      <c r="A237">
        <f>IF($B237="","",INDEX(Dossiers!$E$4:$E$63,5))</f>
        <v/>
      </c>
      <c r="B237">
        <f>IF(INDEX(Suivi!$B:$B,242)="","",INDEX(Suivi!$B:$B,242))</f>
        <v/>
      </c>
      <c r="C237">
        <f>IF($B237="","",IF(INDEX(Suivi!$D:$D,242)="",INDEX(Suivi!$C:$C,242),INDEX(Suivi!$D:$D,242)))</f>
        <v/>
      </c>
      <c r="D237" s="29">
        <f>IF($B237="","",INDEX(Suivi!$E:$E,242))</f>
        <v/>
      </c>
      <c r="E237" s="29">
        <f>IF($B237="","",INDEX(Suivi!$F:$F,242))</f>
        <v/>
      </c>
      <c r="F237">
        <f>IF($B237="","",INDEX(Suivi!$G:$G,242))</f>
        <v/>
      </c>
      <c r="H237">
        <f>IF(OR($B237="",NOT(ISNUMBER($D237))),"",IF($E237&lt;$D$2,"Passé",IF($D237&gt;$F$2,"À venir","Dans la période")))</f>
        <v/>
      </c>
      <c r="I237">
        <f>IF(OR($B237="",NOT(ISNUMBER($D237))),"",IF(AND($E237&lt;$D$2,$G237&lt;&gt;"X",$F237&lt;&gt;"Réalisé",$F237&lt;&gt;"Clôturé"),"RETARD",""))</f>
        <v/>
      </c>
      <c r="J237" s="29">
        <f>IF($B237="","",IF(INDEX(Dossiers!$F$4:$F$63,5)="","",INDEX(Dossiers!$F$4:$F$63,5)))</f>
        <v/>
      </c>
      <c r="K237" s="29">
        <f>IF($B237="","",IF(INDEX(Dossiers!$G$4:$G$63,5)="","",INDEX(Dossiers!$G$4:$G$63,5)))</f>
        <v/>
      </c>
    </row>
    <row r="238">
      <c r="A238">
        <f>IF($B238="","",INDEX(Dossiers!$E$4:$E$63,5))</f>
        <v/>
      </c>
      <c r="B238">
        <f>IF(INDEX(Suivi!$B:$B,243)="","",INDEX(Suivi!$B:$B,243))</f>
        <v/>
      </c>
      <c r="C238">
        <f>IF($B238="","",IF(INDEX(Suivi!$D:$D,243)="",INDEX(Suivi!$C:$C,243),INDEX(Suivi!$D:$D,243)))</f>
        <v/>
      </c>
      <c r="D238" s="29">
        <f>IF($B238="","",INDEX(Suivi!$E:$E,243))</f>
        <v/>
      </c>
      <c r="E238" s="29">
        <f>IF($B238="","",INDEX(Suivi!$F:$F,243))</f>
        <v/>
      </c>
      <c r="F238">
        <f>IF($B238="","",INDEX(Suivi!$G:$G,243))</f>
        <v/>
      </c>
      <c r="H238">
        <f>IF(OR($B238="",NOT(ISNUMBER($D238))),"",IF($E238&lt;$D$2,"Passé",IF($D238&gt;$F$2,"À venir","Dans la période")))</f>
        <v/>
      </c>
      <c r="I238">
        <f>IF(OR($B238="",NOT(ISNUMBER($D238))),"",IF(AND($E238&lt;$D$2,$G238&lt;&gt;"X",$F238&lt;&gt;"Réalisé",$F238&lt;&gt;"Clôturé"),"RETARD",""))</f>
        <v/>
      </c>
      <c r="J238" s="29">
        <f>IF($B238="","",IF(INDEX(Dossiers!$F$4:$F$63,5)="","",INDEX(Dossiers!$F$4:$F$63,5)))</f>
        <v/>
      </c>
      <c r="K238" s="29">
        <f>IF($B238="","",IF(INDEX(Dossiers!$G$4:$G$63,5)="","",INDEX(Dossiers!$G$4:$G$63,5)))</f>
        <v/>
      </c>
    </row>
    <row r="239">
      <c r="A239">
        <f>IF($B239="","",INDEX(Dossiers!$E$4:$E$63,5))</f>
        <v/>
      </c>
      <c r="B239">
        <f>IF(INDEX(Suivi!$B:$B,244)="","",INDEX(Suivi!$B:$B,244))</f>
        <v/>
      </c>
      <c r="C239">
        <f>IF($B239="","",IF(INDEX(Suivi!$D:$D,244)="",INDEX(Suivi!$C:$C,244),INDEX(Suivi!$D:$D,244)))</f>
        <v/>
      </c>
      <c r="D239" s="29">
        <f>IF($B239="","",INDEX(Suivi!$E:$E,244))</f>
        <v/>
      </c>
      <c r="E239" s="29">
        <f>IF($B239="","",INDEX(Suivi!$F:$F,244))</f>
        <v/>
      </c>
      <c r="F239">
        <f>IF($B239="","",INDEX(Suivi!$G:$G,244))</f>
        <v/>
      </c>
      <c r="H239">
        <f>IF(OR($B239="",NOT(ISNUMBER($D239))),"",IF($E239&lt;$D$2,"Passé",IF($D239&gt;$F$2,"À venir","Dans la période")))</f>
        <v/>
      </c>
      <c r="I239">
        <f>IF(OR($B239="",NOT(ISNUMBER($D239))),"",IF(AND($E239&lt;$D$2,$G239&lt;&gt;"X",$F239&lt;&gt;"Réalisé",$F239&lt;&gt;"Clôturé"),"RETARD",""))</f>
        <v/>
      </c>
      <c r="J239" s="29">
        <f>IF($B239="","",IF(INDEX(Dossiers!$F$4:$F$63,5)="","",INDEX(Dossiers!$F$4:$F$63,5)))</f>
        <v/>
      </c>
      <c r="K239" s="29">
        <f>IF($B239="","",IF(INDEX(Dossiers!$G$4:$G$63,5)="","",INDEX(Dossiers!$G$4:$G$63,5)))</f>
        <v/>
      </c>
    </row>
    <row r="240">
      <c r="A240">
        <f>IF($B240="","",INDEX(Dossiers!$E$4:$E$63,5))</f>
        <v/>
      </c>
      <c r="B240">
        <f>IF(INDEX(Suivi!$B:$B,245)="","",INDEX(Suivi!$B:$B,245))</f>
        <v/>
      </c>
      <c r="C240">
        <f>IF($B240="","",IF(INDEX(Suivi!$D:$D,245)="",INDEX(Suivi!$C:$C,245),INDEX(Suivi!$D:$D,245)))</f>
        <v/>
      </c>
      <c r="D240" s="29">
        <f>IF($B240="","",INDEX(Suivi!$E:$E,245))</f>
        <v/>
      </c>
      <c r="E240" s="29">
        <f>IF($B240="","",INDEX(Suivi!$F:$F,245))</f>
        <v/>
      </c>
      <c r="F240">
        <f>IF($B240="","",INDEX(Suivi!$G:$G,245))</f>
        <v/>
      </c>
      <c r="H240">
        <f>IF(OR($B240="",NOT(ISNUMBER($D240))),"",IF($E240&lt;$D$2,"Passé",IF($D240&gt;$F$2,"À venir","Dans la période")))</f>
        <v/>
      </c>
      <c r="I240">
        <f>IF(OR($B240="",NOT(ISNUMBER($D240))),"",IF(AND($E240&lt;$D$2,$G240&lt;&gt;"X",$F240&lt;&gt;"Réalisé",$F240&lt;&gt;"Clôturé"),"RETARD",""))</f>
        <v/>
      </c>
      <c r="J240" s="29">
        <f>IF($B240="","",IF(INDEX(Dossiers!$F$4:$F$63,5)="","",INDEX(Dossiers!$F$4:$F$63,5)))</f>
        <v/>
      </c>
      <c r="K240" s="29">
        <f>IF($B240="","",IF(INDEX(Dossiers!$G$4:$G$63,5)="","",INDEX(Dossiers!$G$4:$G$63,5)))</f>
        <v/>
      </c>
    </row>
    <row r="241">
      <c r="A241">
        <f>IF($B241="","",INDEX(Dossiers!$E$4:$E$63,5))</f>
        <v/>
      </c>
      <c r="B241">
        <f>IF(INDEX(Suivi!$B:$B,246)="","",INDEX(Suivi!$B:$B,246))</f>
        <v/>
      </c>
      <c r="C241">
        <f>IF($B241="","",IF(INDEX(Suivi!$D:$D,246)="",INDEX(Suivi!$C:$C,246),INDEX(Suivi!$D:$D,246)))</f>
        <v/>
      </c>
      <c r="D241" s="29">
        <f>IF($B241="","",INDEX(Suivi!$E:$E,246))</f>
        <v/>
      </c>
      <c r="E241" s="29">
        <f>IF($B241="","",INDEX(Suivi!$F:$F,246))</f>
        <v/>
      </c>
      <c r="F241">
        <f>IF($B241="","",INDEX(Suivi!$G:$G,246))</f>
        <v/>
      </c>
      <c r="H241">
        <f>IF(OR($B241="",NOT(ISNUMBER($D241))),"",IF($E241&lt;$D$2,"Passé",IF($D241&gt;$F$2,"À venir","Dans la période")))</f>
        <v/>
      </c>
      <c r="I241">
        <f>IF(OR($B241="",NOT(ISNUMBER($D241))),"",IF(AND($E241&lt;$D$2,$G241&lt;&gt;"X",$F241&lt;&gt;"Réalisé",$F241&lt;&gt;"Clôturé"),"RETARD",""))</f>
        <v/>
      </c>
      <c r="J241" s="29">
        <f>IF($B241="","",IF(INDEX(Dossiers!$F$4:$F$63,5)="","",INDEX(Dossiers!$F$4:$F$63,5)))</f>
        <v/>
      </c>
      <c r="K241" s="29">
        <f>IF($B241="","",IF(INDEX(Dossiers!$G$4:$G$63,5)="","",INDEX(Dossiers!$G$4:$G$63,5)))</f>
        <v/>
      </c>
    </row>
    <row r="242">
      <c r="A242">
        <f>IF($B242="","",INDEX(Dossiers!$E$4:$E$63,5))</f>
        <v/>
      </c>
      <c r="B242">
        <f>IF(INDEX(Suivi!$B:$B,247)="","",INDEX(Suivi!$B:$B,247))</f>
        <v/>
      </c>
      <c r="C242">
        <f>IF($B242="","",IF(INDEX(Suivi!$D:$D,247)="",INDEX(Suivi!$C:$C,247),INDEX(Suivi!$D:$D,247)))</f>
        <v/>
      </c>
      <c r="D242" s="29">
        <f>IF($B242="","",INDEX(Suivi!$E:$E,247))</f>
        <v/>
      </c>
      <c r="E242" s="29">
        <f>IF($B242="","",INDEX(Suivi!$F:$F,247))</f>
        <v/>
      </c>
      <c r="F242">
        <f>IF($B242="","",INDEX(Suivi!$G:$G,247))</f>
        <v/>
      </c>
      <c r="H242">
        <f>IF(OR($B242="",NOT(ISNUMBER($D242))),"",IF($E242&lt;$D$2,"Passé",IF($D242&gt;$F$2,"À venir","Dans la période")))</f>
        <v/>
      </c>
      <c r="I242">
        <f>IF(OR($B242="",NOT(ISNUMBER($D242))),"",IF(AND($E242&lt;$D$2,$G242&lt;&gt;"X",$F242&lt;&gt;"Réalisé",$F242&lt;&gt;"Clôturé"),"RETARD",""))</f>
        <v/>
      </c>
      <c r="J242" s="29">
        <f>IF($B242="","",IF(INDEX(Dossiers!$F$4:$F$63,5)="","",INDEX(Dossiers!$F$4:$F$63,5)))</f>
        <v/>
      </c>
      <c r="K242" s="29">
        <f>IF($B242="","",IF(INDEX(Dossiers!$G$4:$G$63,5)="","",INDEX(Dossiers!$G$4:$G$63,5)))</f>
        <v/>
      </c>
    </row>
    <row r="243">
      <c r="A243">
        <f>IF($B243="","",INDEX(Dossiers!$E$4:$E$63,5))</f>
        <v/>
      </c>
      <c r="B243">
        <f>IF(INDEX(Suivi!$B:$B,248)="","",INDEX(Suivi!$B:$B,248))</f>
        <v/>
      </c>
      <c r="C243">
        <f>IF($B243="","",IF(INDEX(Suivi!$D:$D,248)="",INDEX(Suivi!$C:$C,248),INDEX(Suivi!$D:$D,248)))</f>
        <v/>
      </c>
      <c r="D243" s="29">
        <f>IF($B243="","",INDEX(Suivi!$E:$E,248))</f>
        <v/>
      </c>
      <c r="E243" s="29">
        <f>IF($B243="","",INDEX(Suivi!$F:$F,248))</f>
        <v/>
      </c>
      <c r="F243">
        <f>IF($B243="","",INDEX(Suivi!$G:$G,248))</f>
        <v/>
      </c>
      <c r="H243">
        <f>IF(OR($B243="",NOT(ISNUMBER($D243))),"",IF($E243&lt;$D$2,"Passé",IF($D243&gt;$F$2,"À venir","Dans la période")))</f>
        <v/>
      </c>
      <c r="I243">
        <f>IF(OR($B243="",NOT(ISNUMBER($D243))),"",IF(AND($E243&lt;$D$2,$G243&lt;&gt;"X",$F243&lt;&gt;"Réalisé",$F243&lt;&gt;"Clôturé"),"RETARD",""))</f>
        <v/>
      </c>
      <c r="J243" s="29">
        <f>IF($B243="","",IF(INDEX(Dossiers!$F$4:$F$63,5)="","",INDEX(Dossiers!$F$4:$F$63,5)))</f>
        <v/>
      </c>
      <c r="K243" s="29">
        <f>IF($B243="","",IF(INDEX(Dossiers!$G$4:$G$63,5)="","",INDEX(Dossiers!$G$4:$G$63,5)))</f>
        <v/>
      </c>
    </row>
    <row r="244">
      <c r="A244">
        <f>IF($B244="","",INDEX(Dossiers!$E$4:$E$63,5))</f>
        <v/>
      </c>
      <c r="B244">
        <f>IF(INDEX(Suivi!$B:$B,249)="","",INDEX(Suivi!$B:$B,249))</f>
        <v/>
      </c>
      <c r="C244">
        <f>IF($B244="","",IF(INDEX(Suivi!$D:$D,249)="",INDEX(Suivi!$C:$C,249),INDEX(Suivi!$D:$D,249)))</f>
        <v/>
      </c>
      <c r="D244" s="29">
        <f>IF($B244="","",INDEX(Suivi!$E:$E,249))</f>
        <v/>
      </c>
      <c r="E244" s="29">
        <f>IF($B244="","",INDEX(Suivi!$F:$F,249))</f>
        <v/>
      </c>
      <c r="F244">
        <f>IF($B244="","",INDEX(Suivi!$G:$G,249))</f>
        <v/>
      </c>
      <c r="H244">
        <f>IF(OR($B244="",NOT(ISNUMBER($D244))),"",IF($E244&lt;$D$2,"Passé",IF($D244&gt;$F$2,"À venir","Dans la période")))</f>
        <v/>
      </c>
      <c r="I244">
        <f>IF(OR($B244="",NOT(ISNUMBER($D244))),"",IF(AND($E244&lt;$D$2,$G244&lt;&gt;"X",$F244&lt;&gt;"Réalisé",$F244&lt;&gt;"Clôturé"),"RETARD",""))</f>
        <v/>
      </c>
      <c r="J244" s="29">
        <f>IF($B244="","",IF(INDEX(Dossiers!$F$4:$F$63,5)="","",INDEX(Dossiers!$F$4:$F$63,5)))</f>
        <v/>
      </c>
      <c r="K244" s="29">
        <f>IF($B244="","",IF(INDEX(Dossiers!$G$4:$G$63,5)="","",INDEX(Dossiers!$G$4:$G$63,5)))</f>
        <v/>
      </c>
    </row>
    <row r="245">
      <c r="A245">
        <f>IF($B245="","",INDEX(Dossiers!$E$4:$E$63,5))</f>
        <v/>
      </c>
      <c r="B245">
        <f>IF(INDEX(Suivi!$B:$B,250)="","",INDEX(Suivi!$B:$B,250))</f>
        <v/>
      </c>
      <c r="C245">
        <f>IF($B245="","",IF(INDEX(Suivi!$D:$D,250)="",INDEX(Suivi!$C:$C,250),INDEX(Suivi!$D:$D,250)))</f>
        <v/>
      </c>
      <c r="D245" s="29">
        <f>IF($B245="","",INDEX(Suivi!$E:$E,250))</f>
        <v/>
      </c>
      <c r="E245" s="29">
        <f>IF($B245="","",INDEX(Suivi!$F:$F,250))</f>
        <v/>
      </c>
      <c r="F245">
        <f>IF($B245="","",INDEX(Suivi!$G:$G,250))</f>
        <v/>
      </c>
      <c r="H245">
        <f>IF(OR($B245="",NOT(ISNUMBER($D245))),"",IF($E245&lt;$D$2,"Passé",IF($D245&gt;$F$2,"À venir","Dans la période")))</f>
        <v/>
      </c>
      <c r="I245">
        <f>IF(OR($B245="",NOT(ISNUMBER($D245))),"",IF(AND($E245&lt;$D$2,$G245&lt;&gt;"X",$F245&lt;&gt;"Réalisé",$F245&lt;&gt;"Clôturé"),"RETARD",""))</f>
        <v/>
      </c>
      <c r="J245" s="29">
        <f>IF($B245="","",IF(INDEX(Dossiers!$F$4:$F$63,5)="","",INDEX(Dossiers!$F$4:$F$63,5)))</f>
        <v/>
      </c>
      <c r="K245" s="29">
        <f>IF($B245="","",IF(INDEX(Dossiers!$G$4:$G$63,5)="","",INDEX(Dossiers!$G$4:$G$63,5)))</f>
        <v/>
      </c>
    </row>
    <row r="246">
      <c r="A246">
        <f>IF($B246="","",INDEX(Dossiers!$E$4:$E$63,5))</f>
        <v/>
      </c>
      <c r="B246">
        <f>IF(INDEX(Suivi!$B:$B,251)="","",INDEX(Suivi!$B:$B,251))</f>
        <v/>
      </c>
      <c r="C246">
        <f>IF($B246="","",IF(INDEX(Suivi!$D:$D,251)="",INDEX(Suivi!$C:$C,251),INDEX(Suivi!$D:$D,251)))</f>
        <v/>
      </c>
      <c r="D246" s="29">
        <f>IF($B246="","",INDEX(Suivi!$E:$E,251))</f>
        <v/>
      </c>
      <c r="E246" s="29">
        <f>IF($B246="","",INDEX(Suivi!$F:$F,251))</f>
        <v/>
      </c>
      <c r="F246">
        <f>IF($B246="","",INDEX(Suivi!$G:$G,251))</f>
        <v/>
      </c>
      <c r="H246">
        <f>IF(OR($B246="",NOT(ISNUMBER($D246))),"",IF($E246&lt;$D$2,"Passé",IF($D246&gt;$F$2,"À venir","Dans la période")))</f>
        <v/>
      </c>
      <c r="I246">
        <f>IF(OR($B246="",NOT(ISNUMBER($D246))),"",IF(AND($E246&lt;$D$2,$G246&lt;&gt;"X",$F246&lt;&gt;"Réalisé",$F246&lt;&gt;"Clôturé"),"RETARD",""))</f>
        <v/>
      </c>
      <c r="J246" s="29">
        <f>IF($B246="","",IF(INDEX(Dossiers!$F$4:$F$63,5)="","",INDEX(Dossiers!$F$4:$F$63,5)))</f>
        <v/>
      </c>
      <c r="K246" s="29">
        <f>IF($B246="","",IF(INDEX(Dossiers!$G$4:$G$63,5)="","",INDEX(Dossiers!$G$4:$G$63,5)))</f>
        <v/>
      </c>
    </row>
    <row r="247">
      <c r="A247">
        <f>IF($B247="","",INDEX(Dossiers!$E$4:$E$63,5))</f>
        <v/>
      </c>
      <c r="B247">
        <f>IF(INDEX(Suivi!$B:$B,252)="","",INDEX(Suivi!$B:$B,252))</f>
        <v/>
      </c>
      <c r="C247">
        <f>IF($B247="","",IF(INDEX(Suivi!$D:$D,252)="",INDEX(Suivi!$C:$C,252),INDEX(Suivi!$D:$D,252)))</f>
        <v/>
      </c>
      <c r="D247" s="29">
        <f>IF($B247="","",INDEX(Suivi!$E:$E,252))</f>
        <v/>
      </c>
      <c r="E247" s="29">
        <f>IF($B247="","",INDEX(Suivi!$F:$F,252))</f>
        <v/>
      </c>
      <c r="F247">
        <f>IF($B247="","",INDEX(Suivi!$G:$G,252))</f>
        <v/>
      </c>
      <c r="H247">
        <f>IF(OR($B247="",NOT(ISNUMBER($D247))),"",IF($E247&lt;$D$2,"Passé",IF($D247&gt;$F$2,"À venir","Dans la période")))</f>
        <v/>
      </c>
      <c r="I247">
        <f>IF(OR($B247="",NOT(ISNUMBER($D247))),"",IF(AND($E247&lt;$D$2,$G247&lt;&gt;"X",$F247&lt;&gt;"Réalisé",$F247&lt;&gt;"Clôturé"),"RETARD",""))</f>
        <v/>
      </c>
      <c r="J247" s="29">
        <f>IF($B247="","",IF(INDEX(Dossiers!$F$4:$F$63,5)="","",INDEX(Dossiers!$F$4:$F$63,5)))</f>
        <v/>
      </c>
      <c r="K247" s="29">
        <f>IF($B247="","",IF(INDEX(Dossiers!$G$4:$G$63,5)="","",INDEX(Dossiers!$G$4:$G$63,5)))</f>
        <v/>
      </c>
    </row>
    <row r="248">
      <c r="A248">
        <f>IF($B248="","",INDEX(Dossiers!$E$4:$E$63,5))</f>
        <v/>
      </c>
      <c r="B248">
        <f>IF(INDEX(Suivi!$B:$B,253)="","",INDEX(Suivi!$B:$B,253))</f>
        <v/>
      </c>
      <c r="C248">
        <f>IF($B248="","",IF(INDEX(Suivi!$D:$D,253)="",INDEX(Suivi!$C:$C,253),INDEX(Suivi!$D:$D,253)))</f>
        <v/>
      </c>
      <c r="D248" s="29">
        <f>IF($B248="","",INDEX(Suivi!$E:$E,253))</f>
        <v/>
      </c>
      <c r="E248" s="29">
        <f>IF($B248="","",INDEX(Suivi!$F:$F,253))</f>
        <v/>
      </c>
      <c r="F248">
        <f>IF($B248="","",INDEX(Suivi!$G:$G,253))</f>
        <v/>
      </c>
      <c r="H248">
        <f>IF(OR($B248="",NOT(ISNUMBER($D248))),"",IF($E248&lt;$D$2,"Passé",IF($D248&gt;$F$2,"À venir","Dans la période")))</f>
        <v/>
      </c>
      <c r="I248">
        <f>IF(OR($B248="",NOT(ISNUMBER($D248))),"",IF(AND($E248&lt;$D$2,$G248&lt;&gt;"X",$F248&lt;&gt;"Réalisé",$F248&lt;&gt;"Clôturé"),"RETARD",""))</f>
        <v/>
      </c>
      <c r="J248" s="29">
        <f>IF($B248="","",IF(INDEX(Dossiers!$F$4:$F$63,5)="","",INDEX(Dossiers!$F$4:$F$63,5)))</f>
        <v/>
      </c>
      <c r="K248" s="29">
        <f>IF($B248="","",IF(INDEX(Dossiers!$G$4:$G$63,5)="","",INDEX(Dossiers!$G$4:$G$63,5)))</f>
        <v/>
      </c>
    </row>
    <row r="249">
      <c r="A249">
        <f>IF($B249="","",INDEX(Dossiers!$E$4:$E$63,5))</f>
        <v/>
      </c>
      <c r="B249">
        <f>IF(INDEX(Suivi!$B:$B,254)="","",INDEX(Suivi!$B:$B,254))</f>
        <v/>
      </c>
      <c r="C249">
        <f>IF($B249="","",IF(INDEX(Suivi!$D:$D,254)="",INDEX(Suivi!$C:$C,254),INDEX(Suivi!$D:$D,254)))</f>
        <v/>
      </c>
      <c r="D249" s="29">
        <f>IF($B249="","",INDEX(Suivi!$E:$E,254))</f>
        <v/>
      </c>
      <c r="E249" s="29">
        <f>IF($B249="","",INDEX(Suivi!$F:$F,254))</f>
        <v/>
      </c>
      <c r="F249">
        <f>IF($B249="","",INDEX(Suivi!$G:$G,254))</f>
        <v/>
      </c>
      <c r="H249">
        <f>IF(OR($B249="",NOT(ISNUMBER($D249))),"",IF($E249&lt;$D$2,"Passé",IF($D249&gt;$F$2,"À venir","Dans la période")))</f>
        <v/>
      </c>
      <c r="I249">
        <f>IF(OR($B249="",NOT(ISNUMBER($D249))),"",IF(AND($E249&lt;$D$2,$G249&lt;&gt;"X",$F249&lt;&gt;"Réalisé",$F249&lt;&gt;"Clôturé"),"RETARD",""))</f>
        <v/>
      </c>
      <c r="J249" s="29">
        <f>IF($B249="","",IF(INDEX(Dossiers!$F$4:$F$63,5)="","",INDEX(Dossiers!$F$4:$F$63,5)))</f>
        <v/>
      </c>
      <c r="K249" s="29">
        <f>IF($B249="","",IF(INDEX(Dossiers!$G$4:$G$63,5)="","",INDEX(Dossiers!$G$4:$G$63,5)))</f>
        <v/>
      </c>
    </row>
    <row r="250">
      <c r="A250">
        <f>IF($B250="","",INDEX(Dossiers!$E$4:$E$63,5))</f>
        <v/>
      </c>
      <c r="B250">
        <f>IF(INDEX(Suivi!$B:$B,255)="","",INDEX(Suivi!$B:$B,255))</f>
        <v/>
      </c>
      <c r="C250">
        <f>IF($B250="","",IF(INDEX(Suivi!$D:$D,255)="",INDEX(Suivi!$C:$C,255),INDEX(Suivi!$D:$D,255)))</f>
        <v/>
      </c>
      <c r="D250" s="29">
        <f>IF($B250="","",INDEX(Suivi!$E:$E,255))</f>
        <v/>
      </c>
      <c r="E250" s="29">
        <f>IF($B250="","",INDEX(Suivi!$F:$F,255))</f>
        <v/>
      </c>
      <c r="F250">
        <f>IF($B250="","",INDEX(Suivi!$G:$G,255))</f>
        <v/>
      </c>
      <c r="H250">
        <f>IF(OR($B250="",NOT(ISNUMBER($D250))),"",IF($E250&lt;$D$2,"Passé",IF($D250&gt;$F$2,"À venir","Dans la période")))</f>
        <v/>
      </c>
      <c r="I250">
        <f>IF(OR($B250="",NOT(ISNUMBER($D250))),"",IF(AND($E250&lt;$D$2,$G250&lt;&gt;"X",$F250&lt;&gt;"Réalisé",$F250&lt;&gt;"Clôturé"),"RETARD",""))</f>
        <v/>
      </c>
      <c r="J250" s="29">
        <f>IF($B250="","",IF(INDEX(Dossiers!$F$4:$F$63,5)="","",INDEX(Dossiers!$F$4:$F$63,5)))</f>
        <v/>
      </c>
      <c r="K250" s="29">
        <f>IF($B250="","",IF(INDEX(Dossiers!$G$4:$G$63,5)="","",INDEX(Dossiers!$G$4:$G$63,5)))</f>
        <v/>
      </c>
    </row>
    <row r="251">
      <c r="A251">
        <f>IF($B251="","",INDEX(Dossiers!$E$4:$E$63,5))</f>
        <v/>
      </c>
      <c r="B251">
        <f>IF(INDEX(Suivi!$B:$B,256)="","",INDEX(Suivi!$B:$B,256))</f>
        <v/>
      </c>
      <c r="C251">
        <f>IF($B251="","",IF(INDEX(Suivi!$D:$D,256)="",INDEX(Suivi!$C:$C,256),INDEX(Suivi!$D:$D,256)))</f>
        <v/>
      </c>
      <c r="D251" s="29">
        <f>IF($B251="","",INDEX(Suivi!$E:$E,256))</f>
        <v/>
      </c>
      <c r="E251" s="29">
        <f>IF($B251="","",INDEX(Suivi!$F:$F,256))</f>
        <v/>
      </c>
      <c r="F251">
        <f>IF($B251="","",INDEX(Suivi!$G:$G,256))</f>
        <v/>
      </c>
      <c r="H251">
        <f>IF(OR($B251="",NOT(ISNUMBER($D251))),"",IF($E251&lt;$D$2,"Passé",IF($D251&gt;$F$2,"À venir","Dans la période")))</f>
        <v/>
      </c>
      <c r="I251">
        <f>IF(OR($B251="",NOT(ISNUMBER($D251))),"",IF(AND($E251&lt;$D$2,$G251&lt;&gt;"X",$F251&lt;&gt;"Réalisé",$F251&lt;&gt;"Clôturé"),"RETARD",""))</f>
        <v/>
      </c>
      <c r="J251" s="29">
        <f>IF($B251="","",IF(INDEX(Dossiers!$F$4:$F$63,5)="","",INDEX(Dossiers!$F$4:$F$63,5)))</f>
        <v/>
      </c>
      <c r="K251" s="29">
        <f>IF($B251="","",IF(INDEX(Dossiers!$G$4:$G$63,5)="","",INDEX(Dossiers!$G$4:$G$63,5)))</f>
        <v/>
      </c>
    </row>
    <row r="252">
      <c r="A252">
        <f>IF($B252="","",INDEX(Dossiers!$E$4:$E$63,5))</f>
        <v/>
      </c>
      <c r="B252">
        <f>IF(INDEX(Suivi!$B:$B,257)="","",INDEX(Suivi!$B:$B,257))</f>
        <v/>
      </c>
      <c r="C252">
        <f>IF($B252="","",IF(INDEX(Suivi!$D:$D,257)="",INDEX(Suivi!$C:$C,257),INDEX(Suivi!$D:$D,257)))</f>
        <v/>
      </c>
      <c r="D252" s="29">
        <f>IF($B252="","",INDEX(Suivi!$E:$E,257))</f>
        <v/>
      </c>
      <c r="E252" s="29">
        <f>IF($B252="","",INDEX(Suivi!$F:$F,257))</f>
        <v/>
      </c>
      <c r="F252">
        <f>IF($B252="","",INDEX(Suivi!$G:$G,257))</f>
        <v/>
      </c>
      <c r="H252">
        <f>IF(OR($B252="",NOT(ISNUMBER($D252))),"",IF($E252&lt;$D$2,"Passé",IF($D252&gt;$F$2,"À venir","Dans la période")))</f>
        <v/>
      </c>
      <c r="I252">
        <f>IF(OR($B252="",NOT(ISNUMBER($D252))),"",IF(AND($E252&lt;$D$2,$G252&lt;&gt;"X",$F252&lt;&gt;"Réalisé",$F252&lt;&gt;"Clôturé"),"RETARD",""))</f>
        <v/>
      </c>
      <c r="J252" s="29">
        <f>IF($B252="","",IF(INDEX(Dossiers!$F$4:$F$63,5)="","",INDEX(Dossiers!$F$4:$F$63,5)))</f>
        <v/>
      </c>
      <c r="K252" s="29">
        <f>IF($B252="","",IF(INDEX(Dossiers!$G$4:$G$63,5)="","",INDEX(Dossiers!$G$4:$G$63,5)))</f>
        <v/>
      </c>
    </row>
    <row r="253">
      <c r="A253">
        <f>IF($B253="","",INDEX(Dossiers!$E$4:$E$63,5))</f>
        <v/>
      </c>
      <c r="B253">
        <f>IF(INDEX(Suivi!$B:$B,258)="","",INDEX(Suivi!$B:$B,258))</f>
        <v/>
      </c>
      <c r="C253">
        <f>IF($B253="","",IF(INDEX(Suivi!$D:$D,258)="",INDEX(Suivi!$C:$C,258),INDEX(Suivi!$D:$D,258)))</f>
        <v/>
      </c>
      <c r="D253" s="29">
        <f>IF($B253="","",INDEX(Suivi!$E:$E,258))</f>
        <v/>
      </c>
      <c r="E253" s="29">
        <f>IF($B253="","",INDEX(Suivi!$F:$F,258))</f>
        <v/>
      </c>
      <c r="F253">
        <f>IF($B253="","",INDEX(Suivi!$G:$G,258))</f>
        <v/>
      </c>
      <c r="H253">
        <f>IF(OR($B253="",NOT(ISNUMBER($D253))),"",IF($E253&lt;$D$2,"Passé",IF($D253&gt;$F$2,"À venir","Dans la période")))</f>
        <v/>
      </c>
      <c r="I253">
        <f>IF(OR($B253="",NOT(ISNUMBER($D253))),"",IF(AND($E253&lt;$D$2,$G253&lt;&gt;"X",$F253&lt;&gt;"Réalisé",$F253&lt;&gt;"Clôturé"),"RETARD",""))</f>
        <v/>
      </c>
      <c r="J253" s="29">
        <f>IF($B253="","",IF(INDEX(Dossiers!$F$4:$F$63,5)="","",INDEX(Dossiers!$F$4:$F$63,5)))</f>
        <v/>
      </c>
      <c r="K253" s="29">
        <f>IF($B253="","",IF(INDEX(Dossiers!$G$4:$G$63,5)="","",INDEX(Dossiers!$G$4:$G$63,5)))</f>
        <v/>
      </c>
    </row>
    <row r="254">
      <c r="A254">
        <f>IF($B254="","",INDEX(Dossiers!$E$4:$E$63,5))</f>
        <v/>
      </c>
      <c r="B254">
        <f>IF(INDEX(Suivi!$B:$B,259)="","",INDEX(Suivi!$B:$B,259))</f>
        <v/>
      </c>
      <c r="C254">
        <f>IF($B254="","",IF(INDEX(Suivi!$D:$D,259)="",INDEX(Suivi!$C:$C,259),INDEX(Suivi!$D:$D,259)))</f>
        <v/>
      </c>
      <c r="D254" s="29">
        <f>IF($B254="","",INDEX(Suivi!$E:$E,259))</f>
        <v/>
      </c>
      <c r="E254" s="29">
        <f>IF($B254="","",INDEX(Suivi!$F:$F,259))</f>
        <v/>
      </c>
      <c r="F254">
        <f>IF($B254="","",INDEX(Suivi!$G:$G,259))</f>
        <v/>
      </c>
      <c r="H254">
        <f>IF(OR($B254="",NOT(ISNUMBER($D254))),"",IF($E254&lt;$D$2,"Passé",IF($D254&gt;$F$2,"À venir","Dans la période")))</f>
        <v/>
      </c>
      <c r="I254">
        <f>IF(OR($B254="",NOT(ISNUMBER($D254))),"",IF(AND($E254&lt;$D$2,$G254&lt;&gt;"X",$F254&lt;&gt;"Réalisé",$F254&lt;&gt;"Clôturé"),"RETARD",""))</f>
        <v/>
      </c>
      <c r="J254" s="29">
        <f>IF($B254="","",IF(INDEX(Dossiers!$F$4:$F$63,5)="","",INDEX(Dossiers!$F$4:$F$63,5)))</f>
        <v/>
      </c>
      <c r="K254" s="29">
        <f>IF($B254="","",IF(INDEX(Dossiers!$G$4:$G$63,5)="","",INDEX(Dossiers!$G$4:$G$63,5)))</f>
        <v/>
      </c>
    </row>
    <row r="255">
      <c r="A255">
        <f>IF($B255="","",INDEX(Dossiers!$E$4:$E$63,5))</f>
        <v/>
      </c>
      <c r="B255">
        <f>IF(INDEX(Suivi!$B:$B,260)="","",INDEX(Suivi!$B:$B,260))</f>
        <v/>
      </c>
      <c r="C255">
        <f>IF($B255="","",IF(INDEX(Suivi!$D:$D,260)="",INDEX(Suivi!$C:$C,260),INDEX(Suivi!$D:$D,260)))</f>
        <v/>
      </c>
      <c r="D255" s="29">
        <f>IF($B255="","",INDEX(Suivi!$E:$E,260))</f>
        <v/>
      </c>
      <c r="E255" s="29">
        <f>IF($B255="","",INDEX(Suivi!$F:$F,260))</f>
        <v/>
      </c>
      <c r="F255">
        <f>IF($B255="","",INDEX(Suivi!$G:$G,260))</f>
        <v/>
      </c>
      <c r="H255">
        <f>IF(OR($B255="",NOT(ISNUMBER($D255))),"",IF($E255&lt;$D$2,"Passé",IF($D255&gt;$F$2,"À venir","Dans la période")))</f>
        <v/>
      </c>
      <c r="I255">
        <f>IF(OR($B255="",NOT(ISNUMBER($D255))),"",IF(AND($E255&lt;$D$2,$G255&lt;&gt;"X",$F255&lt;&gt;"Réalisé",$F255&lt;&gt;"Clôturé"),"RETARD",""))</f>
        <v/>
      </c>
      <c r="J255" s="29">
        <f>IF($B255="","",IF(INDEX(Dossiers!$F$4:$F$63,5)="","",INDEX(Dossiers!$F$4:$F$63,5)))</f>
        <v/>
      </c>
      <c r="K255" s="29">
        <f>IF($B255="","",IF(INDEX(Dossiers!$G$4:$G$63,5)="","",INDEX(Dossiers!$G$4:$G$63,5)))</f>
        <v/>
      </c>
    </row>
    <row r="256">
      <c r="A256">
        <f>IF($B256="","",INDEX(Dossiers!$E$4:$E$63,5))</f>
        <v/>
      </c>
      <c r="B256">
        <f>IF(INDEX(Suivi!$B:$B,261)="","",INDEX(Suivi!$B:$B,261))</f>
        <v/>
      </c>
      <c r="C256">
        <f>IF($B256="","",IF(INDEX(Suivi!$D:$D,261)="",INDEX(Suivi!$C:$C,261),INDEX(Suivi!$D:$D,261)))</f>
        <v/>
      </c>
      <c r="D256" s="29">
        <f>IF($B256="","",INDEX(Suivi!$E:$E,261))</f>
        <v/>
      </c>
      <c r="E256" s="29">
        <f>IF($B256="","",INDEX(Suivi!$F:$F,261))</f>
        <v/>
      </c>
      <c r="F256">
        <f>IF($B256="","",INDEX(Suivi!$G:$G,261))</f>
        <v/>
      </c>
      <c r="H256">
        <f>IF(OR($B256="",NOT(ISNUMBER($D256))),"",IF($E256&lt;$D$2,"Passé",IF($D256&gt;$F$2,"À venir","Dans la période")))</f>
        <v/>
      </c>
      <c r="I256">
        <f>IF(OR($B256="",NOT(ISNUMBER($D256))),"",IF(AND($E256&lt;$D$2,$G256&lt;&gt;"X",$F256&lt;&gt;"Réalisé",$F256&lt;&gt;"Clôturé"),"RETARD",""))</f>
        <v/>
      </c>
      <c r="J256" s="29">
        <f>IF($B256="","",IF(INDEX(Dossiers!$F$4:$F$63,5)="","",INDEX(Dossiers!$F$4:$F$63,5)))</f>
        <v/>
      </c>
      <c r="K256" s="29">
        <f>IF($B256="","",IF(INDEX(Dossiers!$G$4:$G$63,5)="","",INDEX(Dossiers!$G$4:$G$63,5)))</f>
        <v/>
      </c>
    </row>
    <row r="257">
      <c r="A257">
        <f>IF($B257="","",INDEX(Dossiers!$E$4:$E$63,5))</f>
        <v/>
      </c>
      <c r="B257">
        <f>IF(INDEX(Suivi!$B:$B,262)="","",INDEX(Suivi!$B:$B,262))</f>
        <v/>
      </c>
      <c r="C257">
        <f>IF($B257="","",IF(INDEX(Suivi!$D:$D,262)="",INDEX(Suivi!$C:$C,262),INDEX(Suivi!$D:$D,262)))</f>
        <v/>
      </c>
      <c r="D257" s="29">
        <f>IF($B257="","",INDEX(Suivi!$E:$E,262))</f>
        <v/>
      </c>
      <c r="E257" s="29">
        <f>IF($B257="","",INDEX(Suivi!$F:$F,262))</f>
        <v/>
      </c>
      <c r="F257">
        <f>IF($B257="","",INDEX(Suivi!$G:$G,262))</f>
        <v/>
      </c>
      <c r="H257">
        <f>IF(OR($B257="",NOT(ISNUMBER($D257))),"",IF($E257&lt;$D$2,"Passé",IF($D257&gt;$F$2,"À venir","Dans la période")))</f>
        <v/>
      </c>
      <c r="I257">
        <f>IF(OR($B257="",NOT(ISNUMBER($D257))),"",IF(AND($E257&lt;$D$2,$G257&lt;&gt;"X",$F257&lt;&gt;"Réalisé",$F257&lt;&gt;"Clôturé"),"RETARD",""))</f>
        <v/>
      </c>
      <c r="J257" s="29">
        <f>IF($B257="","",IF(INDEX(Dossiers!$F$4:$F$63,5)="","",INDEX(Dossiers!$F$4:$F$63,5)))</f>
        <v/>
      </c>
      <c r="K257" s="29">
        <f>IF($B257="","",IF(INDEX(Dossiers!$G$4:$G$63,5)="","",INDEX(Dossiers!$G$4:$G$63,5)))</f>
        <v/>
      </c>
    </row>
    <row r="258">
      <c r="A258">
        <f>IF($B258="","",INDEX(Dossiers!$E$4:$E$63,5))</f>
        <v/>
      </c>
      <c r="B258">
        <f>IF(INDEX(Suivi!$B:$B,263)="","",INDEX(Suivi!$B:$B,263))</f>
        <v/>
      </c>
      <c r="C258">
        <f>IF($B258="","",IF(INDEX(Suivi!$D:$D,263)="",INDEX(Suivi!$C:$C,263),INDEX(Suivi!$D:$D,263)))</f>
        <v/>
      </c>
      <c r="D258" s="29">
        <f>IF($B258="","",INDEX(Suivi!$E:$E,263))</f>
        <v/>
      </c>
      <c r="E258" s="29">
        <f>IF($B258="","",INDEX(Suivi!$F:$F,263))</f>
        <v/>
      </c>
      <c r="F258">
        <f>IF($B258="","",INDEX(Suivi!$G:$G,263))</f>
        <v/>
      </c>
      <c r="H258">
        <f>IF(OR($B258="",NOT(ISNUMBER($D258))),"",IF($E258&lt;$D$2,"Passé",IF($D258&gt;$F$2,"À venir","Dans la période")))</f>
        <v/>
      </c>
      <c r="I258">
        <f>IF(OR($B258="",NOT(ISNUMBER($D258))),"",IF(AND($E258&lt;$D$2,$G258&lt;&gt;"X",$F258&lt;&gt;"Réalisé",$F258&lt;&gt;"Clôturé"),"RETARD",""))</f>
        <v/>
      </c>
      <c r="J258" s="29">
        <f>IF($B258="","",IF(INDEX(Dossiers!$F$4:$F$63,5)="","",INDEX(Dossiers!$F$4:$F$63,5)))</f>
        <v/>
      </c>
      <c r="K258" s="29">
        <f>IF($B258="","",IF(INDEX(Dossiers!$G$4:$G$63,5)="","",INDEX(Dossiers!$G$4:$G$63,5)))</f>
        <v/>
      </c>
    </row>
    <row r="259">
      <c r="A259">
        <f>IF($B259="","",INDEX(Dossiers!$E$4:$E$63,5))</f>
        <v/>
      </c>
      <c r="B259">
        <f>IF(INDEX(Suivi!$B:$B,264)="","",INDEX(Suivi!$B:$B,264))</f>
        <v/>
      </c>
      <c r="C259">
        <f>IF($B259="","",IF(INDEX(Suivi!$D:$D,264)="",INDEX(Suivi!$C:$C,264),INDEX(Suivi!$D:$D,264)))</f>
        <v/>
      </c>
      <c r="D259" s="29">
        <f>IF($B259="","",INDEX(Suivi!$E:$E,264))</f>
        <v/>
      </c>
      <c r="E259" s="29">
        <f>IF($B259="","",INDEX(Suivi!$F:$F,264))</f>
        <v/>
      </c>
      <c r="F259">
        <f>IF($B259="","",INDEX(Suivi!$G:$G,264))</f>
        <v/>
      </c>
      <c r="H259">
        <f>IF(OR($B259="",NOT(ISNUMBER($D259))),"",IF($E259&lt;$D$2,"Passé",IF($D259&gt;$F$2,"À venir","Dans la période")))</f>
        <v/>
      </c>
      <c r="I259">
        <f>IF(OR($B259="",NOT(ISNUMBER($D259))),"",IF(AND($E259&lt;$D$2,$G259&lt;&gt;"X",$F259&lt;&gt;"Réalisé",$F259&lt;&gt;"Clôturé"),"RETARD",""))</f>
        <v/>
      </c>
      <c r="J259" s="29">
        <f>IF($B259="","",IF(INDEX(Dossiers!$F$4:$F$63,5)="","",INDEX(Dossiers!$F$4:$F$63,5)))</f>
        <v/>
      </c>
      <c r="K259" s="29">
        <f>IF($B259="","",IF(INDEX(Dossiers!$G$4:$G$63,5)="","",INDEX(Dossiers!$G$4:$G$63,5)))</f>
        <v/>
      </c>
    </row>
    <row r="260">
      <c r="A260">
        <f>IF($B260="","",INDEX(Dossiers!$E$4:$E$63,5))</f>
        <v/>
      </c>
      <c r="B260">
        <f>IF(INDEX(Suivi!$B:$B,265)="","",INDEX(Suivi!$B:$B,265))</f>
        <v/>
      </c>
      <c r="C260">
        <f>IF($B260="","",IF(INDEX(Suivi!$D:$D,265)="",INDEX(Suivi!$C:$C,265),INDEX(Suivi!$D:$D,265)))</f>
        <v/>
      </c>
      <c r="D260" s="29">
        <f>IF($B260="","",INDEX(Suivi!$E:$E,265))</f>
        <v/>
      </c>
      <c r="E260" s="29">
        <f>IF($B260="","",INDEX(Suivi!$F:$F,265))</f>
        <v/>
      </c>
      <c r="F260">
        <f>IF($B260="","",INDEX(Suivi!$G:$G,265))</f>
        <v/>
      </c>
      <c r="H260">
        <f>IF(OR($B260="",NOT(ISNUMBER($D260))),"",IF($E260&lt;$D$2,"Passé",IF($D260&gt;$F$2,"À venir","Dans la période")))</f>
        <v/>
      </c>
      <c r="I260">
        <f>IF(OR($B260="",NOT(ISNUMBER($D260))),"",IF(AND($E260&lt;$D$2,$G260&lt;&gt;"X",$F260&lt;&gt;"Réalisé",$F260&lt;&gt;"Clôturé"),"RETARD",""))</f>
        <v/>
      </c>
      <c r="J260" s="29">
        <f>IF($B260="","",IF(INDEX(Dossiers!$F$4:$F$63,5)="","",INDEX(Dossiers!$F$4:$F$63,5)))</f>
        <v/>
      </c>
      <c r="K260" s="29">
        <f>IF($B260="","",IF(INDEX(Dossiers!$G$4:$G$63,5)="","",INDEX(Dossiers!$G$4:$G$63,5)))</f>
        <v/>
      </c>
    </row>
    <row r="261">
      <c r="A261">
        <f>IF($B261="","",INDEX(Dossiers!$E$4:$E$63,5))</f>
        <v/>
      </c>
      <c r="B261">
        <f>IF(INDEX(Suivi!$B:$B,266)="","",INDEX(Suivi!$B:$B,266))</f>
        <v/>
      </c>
      <c r="C261">
        <f>IF($B261="","",IF(INDEX(Suivi!$D:$D,266)="",INDEX(Suivi!$C:$C,266),INDEX(Suivi!$D:$D,266)))</f>
        <v/>
      </c>
      <c r="D261" s="29">
        <f>IF($B261="","",INDEX(Suivi!$E:$E,266))</f>
        <v/>
      </c>
      <c r="E261" s="29">
        <f>IF($B261="","",INDEX(Suivi!$F:$F,266))</f>
        <v/>
      </c>
      <c r="F261">
        <f>IF($B261="","",INDEX(Suivi!$G:$G,266))</f>
        <v/>
      </c>
      <c r="H261">
        <f>IF(OR($B261="",NOT(ISNUMBER($D261))),"",IF($E261&lt;$D$2,"Passé",IF($D261&gt;$F$2,"À venir","Dans la période")))</f>
        <v/>
      </c>
      <c r="I261">
        <f>IF(OR($B261="",NOT(ISNUMBER($D261))),"",IF(AND($E261&lt;$D$2,$G261&lt;&gt;"X",$F261&lt;&gt;"Réalisé",$F261&lt;&gt;"Clôturé"),"RETARD",""))</f>
        <v/>
      </c>
      <c r="J261" s="29">
        <f>IF($B261="","",IF(INDEX(Dossiers!$F$4:$F$63,5)="","",INDEX(Dossiers!$F$4:$F$63,5)))</f>
        <v/>
      </c>
      <c r="K261" s="29">
        <f>IF($B261="","",IF(INDEX(Dossiers!$G$4:$G$63,5)="","",INDEX(Dossiers!$G$4:$G$63,5)))</f>
        <v/>
      </c>
    </row>
    <row r="262">
      <c r="A262">
        <f>IF($B262="","",INDEX(Dossiers!$E$4:$E$63,5))</f>
        <v/>
      </c>
      <c r="B262">
        <f>IF(INDEX(Suivi!$B:$B,267)="","",INDEX(Suivi!$B:$B,267))</f>
        <v/>
      </c>
      <c r="C262">
        <f>IF($B262="","",IF(INDEX(Suivi!$D:$D,267)="",INDEX(Suivi!$C:$C,267),INDEX(Suivi!$D:$D,267)))</f>
        <v/>
      </c>
      <c r="D262" s="29">
        <f>IF($B262="","",INDEX(Suivi!$E:$E,267))</f>
        <v/>
      </c>
      <c r="E262" s="29">
        <f>IF($B262="","",INDEX(Suivi!$F:$F,267))</f>
        <v/>
      </c>
      <c r="F262">
        <f>IF($B262="","",INDEX(Suivi!$G:$G,267))</f>
        <v/>
      </c>
      <c r="H262">
        <f>IF(OR($B262="",NOT(ISNUMBER($D262))),"",IF($E262&lt;$D$2,"Passé",IF($D262&gt;$F$2,"À venir","Dans la période")))</f>
        <v/>
      </c>
      <c r="I262">
        <f>IF(OR($B262="",NOT(ISNUMBER($D262))),"",IF(AND($E262&lt;$D$2,$G262&lt;&gt;"X",$F262&lt;&gt;"Réalisé",$F262&lt;&gt;"Clôturé"),"RETARD",""))</f>
        <v/>
      </c>
      <c r="J262" s="29">
        <f>IF($B262="","",IF(INDEX(Dossiers!$F$4:$F$63,5)="","",INDEX(Dossiers!$F$4:$F$63,5)))</f>
        <v/>
      </c>
      <c r="K262" s="29">
        <f>IF($B262="","",IF(INDEX(Dossiers!$G$4:$G$63,5)="","",INDEX(Dossiers!$G$4:$G$63,5)))</f>
        <v/>
      </c>
    </row>
    <row r="263">
      <c r="A263">
        <f>IF($B263="","",INDEX(Dossiers!$E$4:$E$63,5))</f>
        <v/>
      </c>
      <c r="B263">
        <f>IF(INDEX(Suivi!$B:$B,268)="","",INDEX(Suivi!$B:$B,268))</f>
        <v/>
      </c>
      <c r="C263">
        <f>IF($B263="","",IF(INDEX(Suivi!$D:$D,268)="",INDEX(Suivi!$C:$C,268),INDEX(Suivi!$D:$D,268)))</f>
        <v/>
      </c>
      <c r="D263" s="29">
        <f>IF($B263="","",INDEX(Suivi!$E:$E,268))</f>
        <v/>
      </c>
      <c r="E263" s="29">
        <f>IF($B263="","",INDEX(Suivi!$F:$F,268))</f>
        <v/>
      </c>
      <c r="F263">
        <f>IF($B263="","",INDEX(Suivi!$G:$G,268))</f>
        <v/>
      </c>
      <c r="H263">
        <f>IF(OR($B263="",NOT(ISNUMBER($D263))),"",IF($E263&lt;$D$2,"Passé",IF($D263&gt;$F$2,"À venir","Dans la période")))</f>
        <v/>
      </c>
      <c r="I263">
        <f>IF(OR($B263="",NOT(ISNUMBER($D263))),"",IF(AND($E263&lt;$D$2,$G263&lt;&gt;"X",$F263&lt;&gt;"Réalisé",$F263&lt;&gt;"Clôturé"),"RETARD",""))</f>
        <v/>
      </c>
      <c r="J263" s="29">
        <f>IF($B263="","",IF(INDEX(Dossiers!$F$4:$F$63,5)="","",INDEX(Dossiers!$F$4:$F$63,5)))</f>
        <v/>
      </c>
      <c r="K263" s="29">
        <f>IF($B263="","",IF(INDEX(Dossiers!$G$4:$G$63,5)="","",INDEX(Dossiers!$G$4:$G$63,5)))</f>
        <v/>
      </c>
    </row>
    <row r="264">
      <c r="A264">
        <f>IF($B264="","",INDEX(Dossiers!$E$4:$E$63,5))</f>
        <v/>
      </c>
      <c r="B264">
        <f>IF(INDEX(Suivi!$B:$B,269)="","",INDEX(Suivi!$B:$B,269))</f>
        <v/>
      </c>
      <c r="C264">
        <f>IF($B264="","",IF(INDEX(Suivi!$D:$D,269)="",INDEX(Suivi!$C:$C,269),INDEX(Suivi!$D:$D,269)))</f>
        <v/>
      </c>
      <c r="D264" s="29">
        <f>IF($B264="","",INDEX(Suivi!$E:$E,269))</f>
        <v/>
      </c>
      <c r="E264" s="29">
        <f>IF($B264="","",INDEX(Suivi!$F:$F,269))</f>
        <v/>
      </c>
      <c r="F264">
        <f>IF($B264="","",INDEX(Suivi!$G:$G,269))</f>
        <v/>
      </c>
      <c r="H264">
        <f>IF(OR($B264="",NOT(ISNUMBER($D264))),"",IF($E264&lt;$D$2,"Passé",IF($D264&gt;$F$2,"À venir","Dans la période")))</f>
        <v/>
      </c>
      <c r="I264">
        <f>IF(OR($B264="",NOT(ISNUMBER($D264))),"",IF(AND($E264&lt;$D$2,$G264&lt;&gt;"X",$F264&lt;&gt;"Réalisé",$F264&lt;&gt;"Clôturé"),"RETARD",""))</f>
        <v/>
      </c>
      <c r="J264" s="29">
        <f>IF($B264="","",IF(INDEX(Dossiers!$F$4:$F$63,5)="","",INDEX(Dossiers!$F$4:$F$63,5)))</f>
        <v/>
      </c>
      <c r="K264" s="29">
        <f>IF($B264="","",IF(INDEX(Dossiers!$G$4:$G$63,5)="","",INDEX(Dossiers!$G$4:$G$63,5)))</f>
        <v/>
      </c>
    </row>
    <row r="265">
      <c r="A265">
        <f>IF($B265="","",INDEX(Dossiers!$E$4:$E$63,5))</f>
        <v/>
      </c>
      <c r="B265">
        <f>IF(INDEX(Suivi!$B:$B,270)="","",INDEX(Suivi!$B:$B,270))</f>
        <v/>
      </c>
      <c r="C265">
        <f>IF($B265="","",IF(INDEX(Suivi!$D:$D,270)="",INDEX(Suivi!$C:$C,270),INDEX(Suivi!$D:$D,270)))</f>
        <v/>
      </c>
      <c r="D265" s="29">
        <f>IF($B265="","",INDEX(Suivi!$E:$E,270))</f>
        <v/>
      </c>
      <c r="E265" s="29">
        <f>IF($B265="","",INDEX(Suivi!$F:$F,270))</f>
        <v/>
      </c>
      <c r="F265">
        <f>IF($B265="","",INDEX(Suivi!$G:$G,270))</f>
        <v/>
      </c>
      <c r="H265">
        <f>IF(OR($B265="",NOT(ISNUMBER($D265))),"",IF($E265&lt;$D$2,"Passé",IF($D265&gt;$F$2,"À venir","Dans la période")))</f>
        <v/>
      </c>
      <c r="I265">
        <f>IF(OR($B265="",NOT(ISNUMBER($D265))),"",IF(AND($E265&lt;$D$2,$G265&lt;&gt;"X",$F265&lt;&gt;"Réalisé",$F265&lt;&gt;"Clôturé"),"RETARD",""))</f>
        <v/>
      </c>
      <c r="J265" s="29">
        <f>IF($B265="","",IF(INDEX(Dossiers!$F$4:$F$63,5)="","",INDEX(Dossiers!$F$4:$F$63,5)))</f>
        <v/>
      </c>
      <c r="K265" s="29">
        <f>IF($B265="","",IF(INDEX(Dossiers!$G$4:$G$63,5)="","",INDEX(Dossiers!$G$4:$G$63,5)))</f>
        <v/>
      </c>
    </row>
    <row r="266">
      <c r="A266">
        <f>IF($B266="","",INDEX(Dossiers!$E$4:$E$63,5))</f>
        <v/>
      </c>
      <c r="B266">
        <f>IF(INDEX(Suivi!$B:$B,271)="","",INDEX(Suivi!$B:$B,271))</f>
        <v/>
      </c>
      <c r="C266">
        <f>IF($B266="","",IF(INDEX(Suivi!$D:$D,271)="",INDEX(Suivi!$C:$C,271),INDEX(Suivi!$D:$D,271)))</f>
        <v/>
      </c>
      <c r="D266" s="29">
        <f>IF($B266="","",INDEX(Suivi!$E:$E,271))</f>
        <v/>
      </c>
      <c r="E266" s="29">
        <f>IF($B266="","",INDEX(Suivi!$F:$F,271))</f>
        <v/>
      </c>
      <c r="F266">
        <f>IF($B266="","",INDEX(Suivi!$G:$G,271))</f>
        <v/>
      </c>
      <c r="H266">
        <f>IF(OR($B266="",NOT(ISNUMBER($D266))),"",IF($E266&lt;$D$2,"Passé",IF($D266&gt;$F$2,"À venir","Dans la période")))</f>
        <v/>
      </c>
      <c r="I266">
        <f>IF(OR($B266="",NOT(ISNUMBER($D266))),"",IF(AND($E266&lt;$D$2,$G266&lt;&gt;"X",$F266&lt;&gt;"Réalisé",$F266&lt;&gt;"Clôturé"),"RETARD",""))</f>
        <v/>
      </c>
      <c r="J266" s="29">
        <f>IF($B266="","",IF(INDEX(Dossiers!$F$4:$F$63,5)="","",INDEX(Dossiers!$F$4:$F$63,5)))</f>
        <v/>
      </c>
      <c r="K266" s="29">
        <f>IF($B266="","",IF(INDEX(Dossiers!$G$4:$G$63,5)="","",INDEX(Dossiers!$G$4:$G$63,5)))</f>
        <v/>
      </c>
    </row>
    <row r="267">
      <c r="A267">
        <f>IF($B267="","",INDEX(Dossiers!$E$4:$E$63,5))</f>
        <v/>
      </c>
      <c r="B267">
        <f>IF(INDEX(Suivi!$B:$B,272)="","",INDEX(Suivi!$B:$B,272))</f>
        <v/>
      </c>
      <c r="C267">
        <f>IF($B267="","",IF(INDEX(Suivi!$D:$D,272)="",INDEX(Suivi!$C:$C,272),INDEX(Suivi!$D:$D,272)))</f>
        <v/>
      </c>
      <c r="D267" s="29">
        <f>IF($B267="","",INDEX(Suivi!$E:$E,272))</f>
        <v/>
      </c>
      <c r="E267" s="29">
        <f>IF($B267="","",INDEX(Suivi!$F:$F,272))</f>
        <v/>
      </c>
      <c r="F267">
        <f>IF($B267="","",INDEX(Suivi!$G:$G,272))</f>
        <v/>
      </c>
      <c r="H267">
        <f>IF(OR($B267="",NOT(ISNUMBER($D267))),"",IF($E267&lt;$D$2,"Passé",IF($D267&gt;$F$2,"À venir","Dans la période")))</f>
        <v/>
      </c>
      <c r="I267">
        <f>IF(OR($B267="",NOT(ISNUMBER($D267))),"",IF(AND($E267&lt;$D$2,$G267&lt;&gt;"X",$F267&lt;&gt;"Réalisé",$F267&lt;&gt;"Clôturé"),"RETARD",""))</f>
        <v/>
      </c>
      <c r="J267" s="29">
        <f>IF($B267="","",IF(INDEX(Dossiers!$F$4:$F$63,5)="","",INDEX(Dossiers!$F$4:$F$63,5)))</f>
        <v/>
      </c>
      <c r="K267" s="29">
        <f>IF($B267="","",IF(INDEX(Dossiers!$G$4:$G$63,5)="","",INDEX(Dossiers!$G$4:$G$63,5)))</f>
        <v/>
      </c>
    </row>
    <row r="268">
      <c r="A268">
        <f>IF($B268="","",INDEX(Dossiers!$E$4:$E$63,5))</f>
        <v/>
      </c>
      <c r="B268">
        <f>IF(INDEX(Suivi!$B:$B,273)="","",INDEX(Suivi!$B:$B,273))</f>
        <v/>
      </c>
      <c r="C268">
        <f>IF($B268="","",IF(INDEX(Suivi!$D:$D,273)="",INDEX(Suivi!$C:$C,273),INDEX(Suivi!$D:$D,273)))</f>
        <v/>
      </c>
      <c r="D268" s="29">
        <f>IF($B268="","",INDEX(Suivi!$E:$E,273))</f>
        <v/>
      </c>
      <c r="E268" s="29">
        <f>IF($B268="","",INDEX(Suivi!$F:$F,273))</f>
        <v/>
      </c>
      <c r="F268">
        <f>IF($B268="","",INDEX(Suivi!$G:$G,273))</f>
        <v/>
      </c>
      <c r="H268">
        <f>IF(OR($B268="",NOT(ISNUMBER($D268))),"",IF($E268&lt;$D$2,"Passé",IF($D268&gt;$F$2,"À venir","Dans la période")))</f>
        <v/>
      </c>
      <c r="I268">
        <f>IF(OR($B268="",NOT(ISNUMBER($D268))),"",IF(AND($E268&lt;$D$2,$G268&lt;&gt;"X",$F268&lt;&gt;"Réalisé",$F268&lt;&gt;"Clôturé"),"RETARD",""))</f>
        <v/>
      </c>
      <c r="J268" s="29">
        <f>IF($B268="","",IF(INDEX(Dossiers!$F$4:$F$63,5)="","",INDEX(Dossiers!$F$4:$F$63,5)))</f>
        <v/>
      </c>
      <c r="K268" s="29">
        <f>IF($B268="","",IF(INDEX(Dossiers!$G$4:$G$63,5)="","",INDEX(Dossiers!$G$4:$G$63,5)))</f>
        <v/>
      </c>
    </row>
    <row r="269">
      <c r="A269">
        <f>IF($B269="","",INDEX(Dossiers!$E$4:$E$63,6))</f>
        <v/>
      </c>
      <c r="B269">
        <f>IF(INDEX(Suivi!$B:$B,275)="","",INDEX(Suivi!$B:$B,275))</f>
        <v/>
      </c>
      <c r="C269">
        <f>IF($B269="","",IF(INDEX(Suivi!$D:$D,275)="",INDEX(Suivi!$C:$C,275),INDEX(Suivi!$D:$D,275)))</f>
        <v/>
      </c>
      <c r="D269" s="29">
        <f>IF($B269="","",INDEX(Suivi!$E:$E,275))</f>
        <v/>
      </c>
      <c r="E269" s="29">
        <f>IF($B269="","",INDEX(Suivi!$F:$F,275))</f>
        <v/>
      </c>
      <c r="F269">
        <f>IF($B269="","",INDEX(Suivi!$G:$G,275))</f>
        <v/>
      </c>
      <c r="H269">
        <f>IF(OR($B269="",NOT(ISNUMBER($D269))),"",IF($E269&lt;$D$2,"Passé",IF($D269&gt;$F$2,"À venir","Dans la période")))</f>
        <v/>
      </c>
      <c r="I269">
        <f>IF(OR($B269="",NOT(ISNUMBER($D269))),"",IF(AND($E269&lt;$D$2,$G269&lt;&gt;"X",$F269&lt;&gt;"Réalisé",$F269&lt;&gt;"Clôturé"),"RETARD",""))</f>
        <v/>
      </c>
      <c r="J269" s="29">
        <f>IF($B269="","",IF(INDEX(Dossiers!$F$4:$F$63,6)="","",INDEX(Dossiers!$F$4:$F$63,6)))</f>
        <v/>
      </c>
      <c r="K269" s="29">
        <f>IF($B269="","",IF(INDEX(Dossiers!$G$4:$G$63,6)="","",INDEX(Dossiers!$G$4:$G$63,6)))</f>
        <v/>
      </c>
    </row>
    <row r="270">
      <c r="A270">
        <f>IF($B270="","",INDEX(Dossiers!$E$4:$E$63,6))</f>
        <v/>
      </c>
      <c r="B270">
        <f>IF(INDEX(Suivi!$B:$B,276)="","",INDEX(Suivi!$B:$B,276))</f>
        <v/>
      </c>
      <c r="C270">
        <f>IF($B270="","",IF(INDEX(Suivi!$D:$D,276)="",INDEX(Suivi!$C:$C,276),INDEX(Suivi!$D:$D,276)))</f>
        <v/>
      </c>
      <c r="D270" s="29">
        <f>IF($B270="","",INDEX(Suivi!$E:$E,276))</f>
        <v/>
      </c>
      <c r="E270" s="29">
        <f>IF($B270="","",INDEX(Suivi!$F:$F,276))</f>
        <v/>
      </c>
      <c r="F270">
        <f>IF($B270="","",INDEX(Suivi!$G:$G,276))</f>
        <v/>
      </c>
      <c r="H270">
        <f>IF(OR($B270="",NOT(ISNUMBER($D270))),"",IF($E270&lt;$D$2,"Passé",IF($D270&gt;$F$2,"À venir","Dans la période")))</f>
        <v/>
      </c>
      <c r="I270">
        <f>IF(OR($B270="",NOT(ISNUMBER($D270))),"",IF(AND($E270&lt;$D$2,$G270&lt;&gt;"X",$F270&lt;&gt;"Réalisé",$F270&lt;&gt;"Clôturé"),"RETARD",""))</f>
        <v/>
      </c>
      <c r="J270" s="29">
        <f>IF($B270="","",IF(INDEX(Dossiers!$F$4:$F$63,6)="","",INDEX(Dossiers!$F$4:$F$63,6)))</f>
        <v/>
      </c>
      <c r="K270" s="29">
        <f>IF($B270="","",IF(INDEX(Dossiers!$G$4:$G$63,6)="","",INDEX(Dossiers!$G$4:$G$63,6)))</f>
        <v/>
      </c>
    </row>
    <row r="271">
      <c r="A271">
        <f>IF($B271="","",INDEX(Dossiers!$E$4:$E$63,6))</f>
        <v/>
      </c>
      <c r="B271">
        <f>IF(INDEX(Suivi!$B:$B,277)="","",INDEX(Suivi!$B:$B,277))</f>
        <v/>
      </c>
      <c r="C271">
        <f>IF($B271="","",IF(INDEX(Suivi!$D:$D,277)="",INDEX(Suivi!$C:$C,277),INDEX(Suivi!$D:$D,277)))</f>
        <v/>
      </c>
      <c r="D271" s="29">
        <f>IF($B271="","",INDEX(Suivi!$E:$E,277))</f>
        <v/>
      </c>
      <c r="E271" s="29">
        <f>IF($B271="","",INDEX(Suivi!$F:$F,277))</f>
        <v/>
      </c>
      <c r="F271">
        <f>IF($B271="","",INDEX(Suivi!$G:$G,277))</f>
        <v/>
      </c>
      <c r="H271">
        <f>IF(OR($B271="",NOT(ISNUMBER($D271))),"",IF($E271&lt;$D$2,"Passé",IF($D271&gt;$F$2,"À venir","Dans la période")))</f>
        <v/>
      </c>
      <c r="I271">
        <f>IF(OR($B271="",NOT(ISNUMBER($D271))),"",IF(AND($E271&lt;$D$2,$G271&lt;&gt;"X",$F271&lt;&gt;"Réalisé",$F271&lt;&gt;"Clôturé"),"RETARD",""))</f>
        <v/>
      </c>
      <c r="J271" s="29">
        <f>IF($B271="","",IF(INDEX(Dossiers!$F$4:$F$63,6)="","",INDEX(Dossiers!$F$4:$F$63,6)))</f>
        <v/>
      </c>
      <c r="K271" s="29">
        <f>IF($B271="","",IF(INDEX(Dossiers!$G$4:$G$63,6)="","",INDEX(Dossiers!$G$4:$G$63,6)))</f>
        <v/>
      </c>
    </row>
    <row r="272">
      <c r="A272">
        <f>IF($B272="","",INDEX(Dossiers!$E$4:$E$63,6))</f>
        <v/>
      </c>
      <c r="B272">
        <f>IF(INDEX(Suivi!$B:$B,278)="","",INDEX(Suivi!$B:$B,278))</f>
        <v/>
      </c>
      <c r="C272">
        <f>IF($B272="","",IF(INDEX(Suivi!$D:$D,278)="",INDEX(Suivi!$C:$C,278),INDEX(Suivi!$D:$D,278)))</f>
        <v/>
      </c>
      <c r="D272" s="29">
        <f>IF($B272="","",INDEX(Suivi!$E:$E,278))</f>
        <v/>
      </c>
      <c r="E272" s="29">
        <f>IF($B272="","",INDEX(Suivi!$F:$F,278))</f>
        <v/>
      </c>
      <c r="F272">
        <f>IF($B272="","",INDEX(Suivi!$G:$G,278))</f>
        <v/>
      </c>
      <c r="H272">
        <f>IF(OR($B272="",NOT(ISNUMBER($D272))),"",IF($E272&lt;$D$2,"Passé",IF($D272&gt;$F$2,"À venir","Dans la période")))</f>
        <v/>
      </c>
      <c r="I272">
        <f>IF(OR($B272="",NOT(ISNUMBER($D272))),"",IF(AND($E272&lt;$D$2,$G272&lt;&gt;"X",$F272&lt;&gt;"Réalisé",$F272&lt;&gt;"Clôturé"),"RETARD",""))</f>
        <v/>
      </c>
      <c r="J272" s="29">
        <f>IF($B272="","",IF(INDEX(Dossiers!$F$4:$F$63,6)="","",INDEX(Dossiers!$F$4:$F$63,6)))</f>
        <v/>
      </c>
      <c r="K272" s="29">
        <f>IF($B272="","",IF(INDEX(Dossiers!$G$4:$G$63,6)="","",INDEX(Dossiers!$G$4:$G$63,6)))</f>
        <v/>
      </c>
    </row>
    <row r="273">
      <c r="A273">
        <f>IF($B273="","",INDEX(Dossiers!$E$4:$E$63,6))</f>
        <v/>
      </c>
      <c r="B273">
        <f>IF(INDEX(Suivi!$B:$B,279)="","",INDEX(Suivi!$B:$B,279))</f>
        <v/>
      </c>
      <c r="C273">
        <f>IF($B273="","",IF(INDEX(Suivi!$D:$D,279)="",INDEX(Suivi!$C:$C,279),INDEX(Suivi!$D:$D,279)))</f>
        <v/>
      </c>
      <c r="D273" s="29">
        <f>IF($B273="","",INDEX(Suivi!$E:$E,279))</f>
        <v/>
      </c>
      <c r="E273" s="29">
        <f>IF($B273="","",INDEX(Suivi!$F:$F,279))</f>
        <v/>
      </c>
      <c r="F273">
        <f>IF($B273="","",INDEX(Suivi!$G:$G,279))</f>
        <v/>
      </c>
      <c r="H273">
        <f>IF(OR($B273="",NOT(ISNUMBER($D273))),"",IF($E273&lt;$D$2,"Passé",IF($D273&gt;$F$2,"À venir","Dans la période")))</f>
        <v/>
      </c>
      <c r="I273">
        <f>IF(OR($B273="",NOT(ISNUMBER($D273))),"",IF(AND($E273&lt;$D$2,$G273&lt;&gt;"X",$F273&lt;&gt;"Réalisé",$F273&lt;&gt;"Clôturé"),"RETARD",""))</f>
        <v/>
      </c>
      <c r="J273" s="29">
        <f>IF($B273="","",IF(INDEX(Dossiers!$F$4:$F$63,6)="","",INDEX(Dossiers!$F$4:$F$63,6)))</f>
        <v/>
      </c>
      <c r="K273" s="29">
        <f>IF($B273="","",IF(INDEX(Dossiers!$G$4:$G$63,6)="","",INDEX(Dossiers!$G$4:$G$63,6)))</f>
        <v/>
      </c>
    </row>
    <row r="274">
      <c r="A274">
        <f>IF($B274="","",INDEX(Dossiers!$E$4:$E$63,6))</f>
        <v/>
      </c>
      <c r="B274">
        <f>IF(INDEX(Suivi!$B:$B,280)="","",INDEX(Suivi!$B:$B,280))</f>
        <v/>
      </c>
      <c r="C274">
        <f>IF($B274="","",IF(INDEX(Suivi!$D:$D,280)="",INDEX(Suivi!$C:$C,280),INDEX(Suivi!$D:$D,280)))</f>
        <v/>
      </c>
      <c r="D274" s="29">
        <f>IF($B274="","",INDEX(Suivi!$E:$E,280))</f>
        <v/>
      </c>
      <c r="E274" s="29">
        <f>IF($B274="","",INDEX(Suivi!$F:$F,280))</f>
        <v/>
      </c>
      <c r="F274">
        <f>IF($B274="","",INDEX(Suivi!$G:$G,280))</f>
        <v/>
      </c>
      <c r="H274">
        <f>IF(OR($B274="",NOT(ISNUMBER($D274))),"",IF($E274&lt;$D$2,"Passé",IF($D274&gt;$F$2,"À venir","Dans la période")))</f>
        <v/>
      </c>
      <c r="I274">
        <f>IF(OR($B274="",NOT(ISNUMBER($D274))),"",IF(AND($E274&lt;$D$2,$G274&lt;&gt;"X",$F274&lt;&gt;"Réalisé",$F274&lt;&gt;"Clôturé"),"RETARD",""))</f>
        <v/>
      </c>
      <c r="J274" s="29">
        <f>IF($B274="","",IF(INDEX(Dossiers!$F$4:$F$63,6)="","",INDEX(Dossiers!$F$4:$F$63,6)))</f>
        <v/>
      </c>
      <c r="K274" s="29">
        <f>IF($B274="","",IF(INDEX(Dossiers!$G$4:$G$63,6)="","",INDEX(Dossiers!$G$4:$G$63,6)))</f>
        <v/>
      </c>
    </row>
    <row r="275">
      <c r="A275">
        <f>IF($B275="","",INDEX(Dossiers!$E$4:$E$63,6))</f>
        <v/>
      </c>
      <c r="B275">
        <f>IF(INDEX(Suivi!$B:$B,281)="","",INDEX(Suivi!$B:$B,281))</f>
        <v/>
      </c>
      <c r="C275">
        <f>IF($B275="","",IF(INDEX(Suivi!$D:$D,281)="",INDEX(Suivi!$C:$C,281),INDEX(Suivi!$D:$D,281)))</f>
        <v/>
      </c>
      <c r="D275" s="29">
        <f>IF($B275="","",INDEX(Suivi!$E:$E,281))</f>
        <v/>
      </c>
      <c r="E275" s="29">
        <f>IF($B275="","",INDEX(Suivi!$F:$F,281))</f>
        <v/>
      </c>
      <c r="F275">
        <f>IF($B275="","",INDEX(Suivi!$G:$G,281))</f>
        <v/>
      </c>
      <c r="H275">
        <f>IF(OR($B275="",NOT(ISNUMBER($D275))),"",IF($E275&lt;$D$2,"Passé",IF($D275&gt;$F$2,"À venir","Dans la période")))</f>
        <v/>
      </c>
      <c r="I275">
        <f>IF(OR($B275="",NOT(ISNUMBER($D275))),"",IF(AND($E275&lt;$D$2,$G275&lt;&gt;"X",$F275&lt;&gt;"Réalisé",$F275&lt;&gt;"Clôturé"),"RETARD",""))</f>
        <v/>
      </c>
      <c r="J275" s="29">
        <f>IF($B275="","",IF(INDEX(Dossiers!$F$4:$F$63,6)="","",INDEX(Dossiers!$F$4:$F$63,6)))</f>
        <v/>
      </c>
      <c r="K275" s="29">
        <f>IF($B275="","",IF(INDEX(Dossiers!$G$4:$G$63,6)="","",INDEX(Dossiers!$G$4:$G$63,6)))</f>
        <v/>
      </c>
    </row>
    <row r="276">
      <c r="A276">
        <f>IF($B276="","",INDEX(Dossiers!$E$4:$E$63,6))</f>
        <v/>
      </c>
      <c r="B276">
        <f>IF(INDEX(Suivi!$B:$B,282)="","",INDEX(Suivi!$B:$B,282))</f>
        <v/>
      </c>
      <c r="C276">
        <f>IF($B276="","",IF(INDEX(Suivi!$D:$D,282)="",INDEX(Suivi!$C:$C,282),INDEX(Suivi!$D:$D,282)))</f>
        <v/>
      </c>
      <c r="D276" s="29">
        <f>IF($B276="","",INDEX(Suivi!$E:$E,282))</f>
        <v/>
      </c>
      <c r="E276" s="29">
        <f>IF($B276="","",INDEX(Suivi!$F:$F,282))</f>
        <v/>
      </c>
      <c r="F276">
        <f>IF($B276="","",INDEX(Suivi!$G:$G,282))</f>
        <v/>
      </c>
      <c r="H276">
        <f>IF(OR($B276="",NOT(ISNUMBER($D276))),"",IF($E276&lt;$D$2,"Passé",IF($D276&gt;$F$2,"À venir","Dans la période")))</f>
        <v/>
      </c>
      <c r="I276">
        <f>IF(OR($B276="",NOT(ISNUMBER($D276))),"",IF(AND($E276&lt;$D$2,$G276&lt;&gt;"X",$F276&lt;&gt;"Réalisé",$F276&lt;&gt;"Clôturé"),"RETARD",""))</f>
        <v/>
      </c>
      <c r="J276" s="29">
        <f>IF($B276="","",IF(INDEX(Dossiers!$F$4:$F$63,6)="","",INDEX(Dossiers!$F$4:$F$63,6)))</f>
        <v/>
      </c>
      <c r="K276" s="29">
        <f>IF($B276="","",IF(INDEX(Dossiers!$G$4:$G$63,6)="","",INDEX(Dossiers!$G$4:$G$63,6)))</f>
        <v/>
      </c>
    </row>
    <row r="277">
      <c r="A277">
        <f>IF($B277="","",INDEX(Dossiers!$E$4:$E$63,6))</f>
        <v/>
      </c>
      <c r="B277">
        <f>IF(INDEX(Suivi!$B:$B,283)="","",INDEX(Suivi!$B:$B,283))</f>
        <v/>
      </c>
      <c r="C277">
        <f>IF($B277="","",IF(INDEX(Suivi!$D:$D,283)="",INDEX(Suivi!$C:$C,283),INDEX(Suivi!$D:$D,283)))</f>
        <v/>
      </c>
      <c r="D277" s="29">
        <f>IF($B277="","",INDEX(Suivi!$E:$E,283))</f>
        <v/>
      </c>
      <c r="E277" s="29">
        <f>IF($B277="","",INDEX(Suivi!$F:$F,283))</f>
        <v/>
      </c>
      <c r="F277">
        <f>IF($B277="","",INDEX(Suivi!$G:$G,283))</f>
        <v/>
      </c>
      <c r="H277">
        <f>IF(OR($B277="",NOT(ISNUMBER($D277))),"",IF($E277&lt;$D$2,"Passé",IF($D277&gt;$F$2,"À venir","Dans la période")))</f>
        <v/>
      </c>
      <c r="I277">
        <f>IF(OR($B277="",NOT(ISNUMBER($D277))),"",IF(AND($E277&lt;$D$2,$G277&lt;&gt;"X",$F277&lt;&gt;"Réalisé",$F277&lt;&gt;"Clôturé"),"RETARD",""))</f>
        <v/>
      </c>
      <c r="J277" s="29">
        <f>IF($B277="","",IF(INDEX(Dossiers!$F$4:$F$63,6)="","",INDEX(Dossiers!$F$4:$F$63,6)))</f>
        <v/>
      </c>
      <c r="K277" s="29">
        <f>IF($B277="","",IF(INDEX(Dossiers!$G$4:$G$63,6)="","",INDEX(Dossiers!$G$4:$G$63,6)))</f>
        <v/>
      </c>
    </row>
    <row r="278">
      <c r="A278">
        <f>IF($B278="","",INDEX(Dossiers!$E$4:$E$63,6))</f>
        <v/>
      </c>
      <c r="B278">
        <f>IF(INDEX(Suivi!$B:$B,284)="","",INDEX(Suivi!$B:$B,284))</f>
        <v/>
      </c>
      <c r="C278">
        <f>IF($B278="","",IF(INDEX(Suivi!$D:$D,284)="",INDEX(Suivi!$C:$C,284),INDEX(Suivi!$D:$D,284)))</f>
        <v/>
      </c>
      <c r="D278" s="29">
        <f>IF($B278="","",INDEX(Suivi!$E:$E,284))</f>
        <v/>
      </c>
      <c r="E278" s="29">
        <f>IF($B278="","",INDEX(Suivi!$F:$F,284))</f>
        <v/>
      </c>
      <c r="F278">
        <f>IF($B278="","",INDEX(Suivi!$G:$G,284))</f>
        <v/>
      </c>
      <c r="H278">
        <f>IF(OR($B278="",NOT(ISNUMBER($D278))),"",IF($E278&lt;$D$2,"Passé",IF($D278&gt;$F$2,"À venir","Dans la période")))</f>
        <v/>
      </c>
      <c r="I278">
        <f>IF(OR($B278="",NOT(ISNUMBER($D278))),"",IF(AND($E278&lt;$D$2,$G278&lt;&gt;"X",$F278&lt;&gt;"Réalisé",$F278&lt;&gt;"Clôturé"),"RETARD",""))</f>
        <v/>
      </c>
      <c r="J278" s="29">
        <f>IF($B278="","",IF(INDEX(Dossiers!$F$4:$F$63,6)="","",INDEX(Dossiers!$F$4:$F$63,6)))</f>
        <v/>
      </c>
      <c r="K278" s="29">
        <f>IF($B278="","",IF(INDEX(Dossiers!$G$4:$G$63,6)="","",INDEX(Dossiers!$G$4:$G$63,6)))</f>
        <v/>
      </c>
    </row>
    <row r="279">
      <c r="A279">
        <f>IF($B279="","",INDEX(Dossiers!$E$4:$E$63,6))</f>
        <v/>
      </c>
      <c r="B279">
        <f>IF(INDEX(Suivi!$B:$B,285)="","",INDEX(Suivi!$B:$B,285))</f>
        <v/>
      </c>
      <c r="C279">
        <f>IF($B279="","",IF(INDEX(Suivi!$D:$D,285)="",INDEX(Suivi!$C:$C,285),INDEX(Suivi!$D:$D,285)))</f>
        <v/>
      </c>
      <c r="D279" s="29">
        <f>IF($B279="","",INDEX(Suivi!$E:$E,285))</f>
        <v/>
      </c>
      <c r="E279" s="29">
        <f>IF($B279="","",INDEX(Suivi!$F:$F,285))</f>
        <v/>
      </c>
      <c r="F279">
        <f>IF($B279="","",INDEX(Suivi!$G:$G,285))</f>
        <v/>
      </c>
      <c r="H279">
        <f>IF(OR($B279="",NOT(ISNUMBER($D279))),"",IF($E279&lt;$D$2,"Passé",IF($D279&gt;$F$2,"À venir","Dans la période")))</f>
        <v/>
      </c>
      <c r="I279">
        <f>IF(OR($B279="",NOT(ISNUMBER($D279))),"",IF(AND($E279&lt;$D$2,$G279&lt;&gt;"X",$F279&lt;&gt;"Réalisé",$F279&lt;&gt;"Clôturé"),"RETARD",""))</f>
        <v/>
      </c>
      <c r="J279" s="29">
        <f>IF($B279="","",IF(INDEX(Dossiers!$F$4:$F$63,6)="","",INDEX(Dossiers!$F$4:$F$63,6)))</f>
        <v/>
      </c>
      <c r="K279" s="29">
        <f>IF($B279="","",IF(INDEX(Dossiers!$G$4:$G$63,6)="","",INDEX(Dossiers!$G$4:$G$63,6)))</f>
        <v/>
      </c>
    </row>
    <row r="280">
      <c r="A280">
        <f>IF($B280="","",INDEX(Dossiers!$E$4:$E$63,6))</f>
        <v/>
      </c>
      <c r="B280">
        <f>IF(INDEX(Suivi!$B:$B,286)="","",INDEX(Suivi!$B:$B,286))</f>
        <v/>
      </c>
      <c r="C280">
        <f>IF($B280="","",IF(INDEX(Suivi!$D:$D,286)="",INDEX(Suivi!$C:$C,286),INDEX(Suivi!$D:$D,286)))</f>
        <v/>
      </c>
      <c r="D280" s="29">
        <f>IF($B280="","",INDEX(Suivi!$E:$E,286))</f>
        <v/>
      </c>
      <c r="E280" s="29">
        <f>IF($B280="","",INDEX(Suivi!$F:$F,286))</f>
        <v/>
      </c>
      <c r="F280">
        <f>IF($B280="","",INDEX(Suivi!$G:$G,286))</f>
        <v/>
      </c>
      <c r="H280">
        <f>IF(OR($B280="",NOT(ISNUMBER($D280))),"",IF($E280&lt;$D$2,"Passé",IF($D280&gt;$F$2,"À venir","Dans la période")))</f>
        <v/>
      </c>
      <c r="I280">
        <f>IF(OR($B280="",NOT(ISNUMBER($D280))),"",IF(AND($E280&lt;$D$2,$G280&lt;&gt;"X",$F280&lt;&gt;"Réalisé",$F280&lt;&gt;"Clôturé"),"RETARD",""))</f>
        <v/>
      </c>
      <c r="J280" s="29">
        <f>IF($B280="","",IF(INDEX(Dossiers!$F$4:$F$63,6)="","",INDEX(Dossiers!$F$4:$F$63,6)))</f>
        <v/>
      </c>
      <c r="K280" s="29">
        <f>IF($B280="","",IF(INDEX(Dossiers!$G$4:$G$63,6)="","",INDEX(Dossiers!$G$4:$G$63,6)))</f>
        <v/>
      </c>
    </row>
    <row r="281">
      <c r="A281">
        <f>IF($B281="","",INDEX(Dossiers!$E$4:$E$63,6))</f>
        <v/>
      </c>
      <c r="B281">
        <f>IF(INDEX(Suivi!$B:$B,287)="","",INDEX(Suivi!$B:$B,287))</f>
        <v/>
      </c>
      <c r="C281">
        <f>IF($B281="","",IF(INDEX(Suivi!$D:$D,287)="",INDEX(Suivi!$C:$C,287),INDEX(Suivi!$D:$D,287)))</f>
        <v/>
      </c>
      <c r="D281" s="29">
        <f>IF($B281="","",INDEX(Suivi!$E:$E,287))</f>
        <v/>
      </c>
      <c r="E281" s="29">
        <f>IF($B281="","",INDEX(Suivi!$F:$F,287))</f>
        <v/>
      </c>
      <c r="F281">
        <f>IF($B281="","",INDEX(Suivi!$G:$G,287))</f>
        <v/>
      </c>
      <c r="H281">
        <f>IF(OR($B281="",NOT(ISNUMBER($D281))),"",IF($E281&lt;$D$2,"Passé",IF($D281&gt;$F$2,"À venir","Dans la période")))</f>
        <v/>
      </c>
      <c r="I281">
        <f>IF(OR($B281="",NOT(ISNUMBER($D281))),"",IF(AND($E281&lt;$D$2,$G281&lt;&gt;"X",$F281&lt;&gt;"Réalisé",$F281&lt;&gt;"Clôturé"),"RETARD",""))</f>
        <v/>
      </c>
      <c r="J281" s="29">
        <f>IF($B281="","",IF(INDEX(Dossiers!$F$4:$F$63,6)="","",INDEX(Dossiers!$F$4:$F$63,6)))</f>
        <v/>
      </c>
      <c r="K281" s="29">
        <f>IF($B281="","",IF(INDEX(Dossiers!$G$4:$G$63,6)="","",INDEX(Dossiers!$G$4:$G$63,6)))</f>
        <v/>
      </c>
    </row>
    <row r="282">
      <c r="A282">
        <f>IF($B282="","",INDEX(Dossiers!$E$4:$E$63,6))</f>
        <v/>
      </c>
      <c r="B282">
        <f>IF(INDEX(Suivi!$B:$B,288)="","",INDEX(Suivi!$B:$B,288))</f>
        <v/>
      </c>
      <c r="C282">
        <f>IF($B282="","",IF(INDEX(Suivi!$D:$D,288)="",INDEX(Suivi!$C:$C,288),INDEX(Suivi!$D:$D,288)))</f>
        <v/>
      </c>
      <c r="D282" s="29">
        <f>IF($B282="","",INDEX(Suivi!$E:$E,288))</f>
        <v/>
      </c>
      <c r="E282" s="29">
        <f>IF($B282="","",INDEX(Suivi!$F:$F,288))</f>
        <v/>
      </c>
      <c r="F282">
        <f>IF($B282="","",INDEX(Suivi!$G:$G,288))</f>
        <v/>
      </c>
      <c r="H282">
        <f>IF(OR($B282="",NOT(ISNUMBER($D282))),"",IF($E282&lt;$D$2,"Passé",IF($D282&gt;$F$2,"À venir","Dans la période")))</f>
        <v/>
      </c>
      <c r="I282">
        <f>IF(OR($B282="",NOT(ISNUMBER($D282))),"",IF(AND($E282&lt;$D$2,$G282&lt;&gt;"X",$F282&lt;&gt;"Réalisé",$F282&lt;&gt;"Clôturé"),"RETARD",""))</f>
        <v/>
      </c>
      <c r="J282" s="29">
        <f>IF($B282="","",IF(INDEX(Dossiers!$F$4:$F$63,6)="","",INDEX(Dossiers!$F$4:$F$63,6)))</f>
        <v/>
      </c>
      <c r="K282" s="29">
        <f>IF($B282="","",IF(INDEX(Dossiers!$G$4:$G$63,6)="","",INDEX(Dossiers!$G$4:$G$63,6)))</f>
        <v/>
      </c>
    </row>
    <row r="283">
      <c r="A283">
        <f>IF($B283="","",INDEX(Dossiers!$E$4:$E$63,6))</f>
        <v/>
      </c>
      <c r="B283">
        <f>IF(INDEX(Suivi!$B:$B,289)="","",INDEX(Suivi!$B:$B,289))</f>
        <v/>
      </c>
      <c r="C283">
        <f>IF($B283="","",IF(INDEX(Suivi!$D:$D,289)="",INDEX(Suivi!$C:$C,289),INDEX(Suivi!$D:$D,289)))</f>
        <v/>
      </c>
      <c r="D283" s="29">
        <f>IF($B283="","",INDEX(Suivi!$E:$E,289))</f>
        <v/>
      </c>
      <c r="E283" s="29">
        <f>IF($B283="","",INDEX(Suivi!$F:$F,289))</f>
        <v/>
      </c>
      <c r="F283">
        <f>IF($B283="","",INDEX(Suivi!$G:$G,289))</f>
        <v/>
      </c>
      <c r="H283">
        <f>IF(OR($B283="",NOT(ISNUMBER($D283))),"",IF($E283&lt;$D$2,"Passé",IF($D283&gt;$F$2,"À venir","Dans la période")))</f>
        <v/>
      </c>
      <c r="I283">
        <f>IF(OR($B283="",NOT(ISNUMBER($D283))),"",IF(AND($E283&lt;$D$2,$G283&lt;&gt;"X",$F283&lt;&gt;"Réalisé",$F283&lt;&gt;"Clôturé"),"RETARD",""))</f>
        <v/>
      </c>
      <c r="J283" s="29">
        <f>IF($B283="","",IF(INDEX(Dossiers!$F$4:$F$63,6)="","",INDEX(Dossiers!$F$4:$F$63,6)))</f>
        <v/>
      </c>
      <c r="K283" s="29">
        <f>IF($B283="","",IF(INDEX(Dossiers!$G$4:$G$63,6)="","",INDEX(Dossiers!$G$4:$G$63,6)))</f>
        <v/>
      </c>
    </row>
    <row r="284">
      <c r="A284">
        <f>IF($B284="","",INDEX(Dossiers!$E$4:$E$63,6))</f>
        <v/>
      </c>
      <c r="B284">
        <f>IF(INDEX(Suivi!$B:$B,290)="","",INDEX(Suivi!$B:$B,290))</f>
        <v/>
      </c>
      <c r="C284">
        <f>IF($B284="","",IF(INDEX(Suivi!$D:$D,290)="",INDEX(Suivi!$C:$C,290),INDEX(Suivi!$D:$D,290)))</f>
        <v/>
      </c>
      <c r="D284" s="29">
        <f>IF($B284="","",INDEX(Suivi!$E:$E,290))</f>
        <v/>
      </c>
      <c r="E284" s="29">
        <f>IF($B284="","",INDEX(Suivi!$F:$F,290))</f>
        <v/>
      </c>
      <c r="F284">
        <f>IF($B284="","",INDEX(Suivi!$G:$G,290))</f>
        <v/>
      </c>
      <c r="H284">
        <f>IF(OR($B284="",NOT(ISNUMBER($D284))),"",IF($E284&lt;$D$2,"Passé",IF($D284&gt;$F$2,"À venir","Dans la période")))</f>
        <v/>
      </c>
      <c r="I284">
        <f>IF(OR($B284="",NOT(ISNUMBER($D284))),"",IF(AND($E284&lt;$D$2,$G284&lt;&gt;"X",$F284&lt;&gt;"Réalisé",$F284&lt;&gt;"Clôturé"),"RETARD",""))</f>
        <v/>
      </c>
      <c r="J284" s="29">
        <f>IF($B284="","",IF(INDEX(Dossiers!$F$4:$F$63,6)="","",INDEX(Dossiers!$F$4:$F$63,6)))</f>
        <v/>
      </c>
      <c r="K284" s="29">
        <f>IF($B284="","",IF(INDEX(Dossiers!$G$4:$G$63,6)="","",INDEX(Dossiers!$G$4:$G$63,6)))</f>
        <v/>
      </c>
    </row>
    <row r="285">
      <c r="A285">
        <f>IF($B285="","",INDEX(Dossiers!$E$4:$E$63,6))</f>
        <v/>
      </c>
      <c r="B285">
        <f>IF(INDEX(Suivi!$B:$B,291)="","",INDEX(Suivi!$B:$B,291))</f>
        <v/>
      </c>
      <c r="C285">
        <f>IF($B285="","",IF(INDEX(Suivi!$D:$D,291)="",INDEX(Suivi!$C:$C,291),INDEX(Suivi!$D:$D,291)))</f>
        <v/>
      </c>
      <c r="D285" s="29">
        <f>IF($B285="","",INDEX(Suivi!$E:$E,291))</f>
        <v/>
      </c>
      <c r="E285" s="29">
        <f>IF($B285="","",INDEX(Suivi!$F:$F,291))</f>
        <v/>
      </c>
      <c r="F285">
        <f>IF($B285="","",INDEX(Suivi!$G:$G,291))</f>
        <v/>
      </c>
      <c r="H285">
        <f>IF(OR($B285="",NOT(ISNUMBER($D285))),"",IF($E285&lt;$D$2,"Passé",IF($D285&gt;$F$2,"À venir","Dans la période")))</f>
        <v/>
      </c>
      <c r="I285">
        <f>IF(OR($B285="",NOT(ISNUMBER($D285))),"",IF(AND($E285&lt;$D$2,$G285&lt;&gt;"X",$F285&lt;&gt;"Réalisé",$F285&lt;&gt;"Clôturé"),"RETARD",""))</f>
        <v/>
      </c>
      <c r="J285" s="29">
        <f>IF($B285="","",IF(INDEX(Dossiers!$F$4:$F$63,6)="","",INDEX(Dossiers!$F$4:$F$63,6)))</f>
        <v/>
      </c>
      <c r="K285" s="29">
        <f>IF($B285="","",IF(INDEX(Dossiers!$G$4:$G$63,6)="","",INDEX(Dossiers!$G$4:$G$63,6)))</f>
        <v/>
      </c>
    </row>
    <row r="286">
      <c r="A286">
        <f>IF($B286="","",INDEX(Dossiers!$E$4:$E$63,6))</f>
        <v/>
      </c>
      <c r="B286">
        <f>IF(INDEX(Suivi!$B:$B,292)="","",INDEX(Suivi!$B:$B,292))</f>
        <v/>
      </c>
      <c r="C286">
        <f>IF($B286="","",IF(INDEX(Suivi!$D:$D,292)="",INDEX(Suivi!$C:$C,292),INDEX(Suivi!$D:$D,292)))</f>
        <v/>
      </c>
      <c r="D286" s="29">
        <f>IF($B286="","",INDEX(Suivi!$E:$E,292))</f>
        <v/>
      </c>
      <c r="E286" s="29">
        <f>IF($B286="","",INDEX(Suivi!$F:$F,292))</f>
        <v/>
      </c>
      <c r="F286">
        <f>IF($B286="","",INDEX(Suivi!$G:$G,292))</f>
        <v/>
      </c>
      <c r="H286">
        <f>IF(OR($B286="",NOT(ISNUMBER($D286))),"",IF($E286&lt;$D$2,"Passé",IF($D286&gt;$F$2,"À venir","Dans la période")))</f>
        <v/>
      </c>
      <c r="I286">
        <f>IF(OR($B286="",NOT(ISNUMBER($D286))),"",IF(AND($E286&lt;$D$2,$G286&lt;&gt;"X",$F286&lt;&gt;"Réalisé",$F286&lt;&gt;"Clôturé"),"RETARD",""))</f>
        <v/>
      </c>
      <c r="J286" s="29">
        <f>IF($B286="","",IF(INDEX(Dossiers!$F$4:$F$63,6)="","",INDEX(Dossiers!$F$4:$F$63,6)))</f>
        <v/>
      </c>
      <c r="K286" s="29">
        <f>IF($B286="","",IF(INDEX(Dossiers!$G$4:$G$63,6)="","",INDEX(Dossiers!$G$4:$G$63,6)))</f>
        <v/>
      </c>
    </row>
    <row r="287">
      <c r="A287">
        <f>IF($B287="","",INDEX(Dossiers!$E$4:$E$63,6))</f>
        <v/>
      </c>
      <c r="B287">
        <f>IF(INDEX(Suivi!$B:$B,293)="","",INDEX(Suivi!$B:$B,293))</f>
        <v/>
      </c>
      <c r="C287">
        <f>IF($B287="","",IF(INDEX(Suivi!$D:$D,293)="",INDEX(Suivi!$C:$C,293),INDEX(Suivi!$D:$D,293)))</f>
        <v/>
      </c>
      <c r="D287" s="29">
        <f>IF($B287="","",INDEX(Suivi!$E:$E,293))</f>
        <v/>
      </c>
      <c r="E287" s="29">
        <f>IF($B287="","",INDEX(Suivi!$F:$F,293))</f>
        <v/>
      </c>
      <c r="F287">
        <f>IF($B287="","",INDEX(Suivi!$G:$G,293))</f>
        <v/>
      </c>
      <c r="H287">
        <f>IF(OR($B287="",NOT(ISNUMBER($D287))),"",IF($E287&lt;$D$2,"Passé",IF($D287&gt;$F$2,"À venir","Dans la période")))</f>
        <v/>
      </c>
      <c r="I287">
        <f>IF(OR($B287="",NOT(ISNUMBER($D287))),"",IF(AND($E287&lt;$D$2,$G287&lt;&gt;"X",$F287&lt;&gt;"Réalisé",$F287&lt;&gt;"Clôturé"),"RETARD",""))</f>
        <v/>
      </c>
      <c r="J287" s="29">
        <f>IF($B287="","",IF(INDEX(Dossiers!$F$4:$F$63,6)="","",INDEX(Dossiers!$F$4:$F$63,6)))</f>
        <v/>
      </c>
      <c r="K287" s="29">
        <f>IF($B287="","",IF(INDEX(Dossiers!$G$4:$G$63,6)="","",INDEX(Dossiers!$G$4:$G$63,6)))</f>
        <v/>
      </c>
    </row>
    <row r="288">
      <c r="A288">
        <f>IF($B288="","",INDEX(Dossiers!$E$4:$E$63,6))</f>
        <v/>
      </c>
      <c r="B288">
        <f>IF(INDEX(Suivi!$B:$B,294)="","",INDEX(Suivi!$B:$B,294))</f>
        <v/>
      </c>
      <c r="C288">
        <f>IF($B288="","",IF(INDEX(Suivi!$D:$D,294)="",INDEX(Suivi!$C:$C,294),INDEX(Suivi!$D:$D,294)))</f>
        <v/>
      </c>
      <c r="D288" s="29">
        <f>IF($B288="","",INDEX(Suivi!$E:$E,294))</f>
        <v/>
      </c>
      <c r="E288" s="29">
        <f>IF($B288="","",INDEX(Suivi!$F:$F,294))</f>
        <v/>
      </c>
      <c r="F288">
        <f>IF($B288="","",INDEX(Suivi!$G:$G,294))</f>
        <v/>
      </c>
      <c r="H288">
        <f>IF(OR($B288="",NOT(ISNUMBER($D288))),"",IF($E288&lt;$D$2,"Passé",IF($D288&gt;$F$2,"À venir","Dans la période")))</f>
        <v/>
      </c>
      <c r="I288">
        <f>IF(OR($B288="",NOT(ISNUMBER($D288))),"",IF(AND($E288&lt;$D$2,$G288&lt;&gt;"X",$F288&lt;&gt;"Réalisé",$F288&lt;&gt;"Clôturé"),"RETARD",""))</f>
        <v/>
      </c>
      <c r="J288" s="29">
        <f>IF($B288="","",IF(INDEX(Dossiers!$F$4:$F$63,6)="","",INDEX(Dossiers!$F$4:$F$63,6)))</f>
        <v/>
      </c>
      <c r="K288" s="29">
        <f>IF($B288="","",IF(INDEX(Dossiers!$G$4:$G$63,6)="","",INDEX(Dossiers!$G$4:$G$63,6)))</f>
        <v/>
      </c>
    </row>
    <row r="289">
      <c r="A289">
        <f>IF($B289="","",INDEX(Dossiers!$E$4:$E$63,6))</f>
        <v/>
      </c>
      <c r="B289">
        <f>IF(INDEX(Suivi!$B:$B,295)="","",INDEX(Suivi!$B:$B,295))</f>
        <v/>
      </c>
      <c r="C289">
        <f>IF($B289="","",IF(INDEX(Suivi!$D:$D,295)="",INDEX(Suivi!$C:$C,295),INDEX(Suivi!$D:$D,295)))</f>
        <v/>
      </c>
      <c r="D289" s="29">
        <f>IF($B289="","",INDEX(Suivi!$E:$E,295))</f>
        <v/>
      </c>
      <c r="E289" s="29">
        <f>IF($B289="","",INDEX(Suivi!$F:$F,295))</f>
        <v/>
      </c>
      <c r="F289">
        <f>IF($B289="","",INDEX(Suivi!$G:$G,295))</f>
        <v/>
      </c>
      <c r="H289">
        <f>IF(OR($B289="",NOT(ISNUMBER($D289))),"",IF($E289&lt;$D$2,"Passé",IF($D289&gt;$F$2,"À venir","Dans la période")))</f>
        <v/>
      </c>
      <c r="I289">
        <f>IF(OR($B289="",NOT(ISNUMBER($D289))),"",IF(AND($E289&lt;$D$2,$G289&lt;&gt;"X",$F289&lt;&gt;"Réalisé",$F289&lt;&gt;"Clôturé"),"RETARD",""))</f>
        <v/>
      </c>
      <c r="J289" s="29">
        <f>IF($B289="","",IF(INDEX(Dossiers!$F$4:$F$63,6)="","",INDEX(Dossiers!$F$4:$F$63,6)))</f>
        <v/>
      </c>
      <c r="K289" s="29">
        <f>IF($B289="","",IF(INDEX(Dossiers!$G$4:$G$63,6)="","",INDEX(Dossiers!$G$4:$G$63,6)))</f>
        <v/>
      </c>
    </row>
    <row r="290">
      <c r="A290">
        <f>IF($B290="","",INDEX(Dossiers!$E$4:$E$63,6))</f>
        <v/>
      </c>
      <c r="B290">
        <f>IF(INDEX(Suivi!$B:$B,296)="","",INDEX(Suivi!$B:$B,296))</f>
        <v/>
      </c>
      <c r="C290">
        <f>IF($B290="","",IF(INDEX(Suivi!$D:$D,296)="",INDEX(Suivi!$C:$C,296),INDEX(Suivi!$D:$D,296)))</f>
        <v/>
      </c>
      <c r="D290" s="29">
        <f>IF($B290="","",INDEX(Suivi!$E:$E,296))</f>
        <v/>
      </c>
      <c r="E290" s="29">
        <f>IF($B290="","",INDEX(Suivi!$F:$F,296))</f>
        <v/>
      </c>
      <c r="F290">
        <f>IF($B290="","",INDEX(Suivi!$G:$G,296))</f>
        <v/>
      </c>
      <c r="H290">
        <f>IF(OR($B290="",NOT(ISNUMBER($D290))),"",IF($E290&lt;$D$2,"Passé",IF($D290&gt;$F$2,"À venir","Dans la période")))</f>
        <v/>
      </c>
      <c r="I290">
        <f>IF(OR($B290="",NOT(ISNUMBER($D290))),"",IF(AND($E290&lt;$D$2,$G290&lt;&gt;"X",$F290&lt;&gt;"Réalisé",$F290&lt;&gt;"Clôturé"),"RETARD",""))</f>
        <v/>
      </c>
      <c r="J290" s="29">
        <f>IF($B290="","",IF(INDEX(Dossiers!$F$4:$F$63,6)="","",INDEX(Dossiers!$F$4:$F$63,6)))</f>
        <v/>
      </c>
      <c r="K290" s="29">
        <f>IF($B290="","",IF(INDEX(Dossiers!$G$4:$G$63,6)="","",INDEX(Dossiers!$G$4:$G$63,6)))</f>
        <v/>
      </c>
    </row>
    <row r="291">
      <c r="A291">
        <f>IF($B291="","",INDEX(Dossiers!$E$4:$E$63,6))</f>
        <v/>
      </c>
      <c r="B291">
        <f>IF(INDEX(Suivi!$B:$B,297)="","",INDEX(Suivi!$B:$B,297))</f>
        <v/>
      </c>
      <c r="C291">
        <f>IF($B291="","",IF(INDEX(Suivi!$D:$D,297)="",INDEX(Suivi!$C:$C,297),INDEX(Suivi!$D:$D,297)))</f>
        <v/>
      </c>
      <c r="D291" s="29">
        <f>IF($B291="","",INDEX(Suivi!$E:$E,297))</f>
        <v/>
      </c>
      <c r="E291" s="29">
        <f>IF($B291="","",INDEX(Suivi!$F:$F,297))</f>
        <v/>
      </c>
      <c r="F291">
        <f>IF($B291="","",INDEX(Suivi!$G:$G,297))</f>
        <v/>
      </c>
      <c r="H291">
        <f>IF(OR($B291="",NOT(ISNUMBER($D291))),"",IF($E291&lt;$D$2,"Passé",IF($D291&gt;$F$2,"À venir","Dans la période")))</f>
        <v/>
      </c>
      <c r="I291">
        <f>IF(OR($B291="",NOT(ISNUMBER($D291))),"",IF(AND($E291&lt;$D$2,$G291&lt;&gt;"X",$F291&lt;&gt;"Réalisé",$F291&lt;&gt;"Clôturé"),"RETARD",""))</f>
        <v/>
      </c>
      <c r="J291" s="29">
        <f>IF($B291="","",IF(INDEX(Dossiers!$F$4:$F$63,6)="","",INDEX(Dossiers!$F$4:$F$63,6)))</f>
        <v/>
      </c>
      <c r="K291" s="29">
        <f>IF($B291="","",IF(INDEX(Dossiers!$G$4:$G$63,6)="","",INDEX(Dossiers!$G$4:$G$63,6)))</f>
        <v/>
      </c>
    </row>
    <row r="292">
      <c r="A292">
        <f>IF($B292="","",INDEX(Dossiers!$E$4:$E$63,6))</f>
        <v/>
      </c>
      <c r="B292">
        <f>IF(INDEX(Suivi!$B:$B,298)="","",INDEX(Suivi!$B:$B,298))</f>
        <v/>
      </c>
      <c r="C292">
        <f>IF($B292="","",IF(INDEX(Suivi!$D:$D,298)="",INDEX(Suivi!$C:$C,298),INDEX(Suivi!$D:$D,298)))</f>
        <v/>
      </c>
      <c r="D292" s="29">
        <f>IF($B292="","",INDEX(Suivi!$E:$E,298))</f>
        <v/>
      </c>
      <c r="E292" s="29">
        <f>IF($B292="","",INDEX(Suivi!$F:$F,298))</f>
        <v/>
      </c>
      <c r="F292">
        <f>IF($B292="","",INDEX(Suivi!$G:$G,298))</f>
        <v/>
      </c>
      <c r="H292">
        <f>IF(OR($B292="",NOT(ISNUMBER($D292))),"",IF($E292&lt;$D$2,"Passé",IF($D292&gt;$F$2,"À venir","Dans la période")))</f>
        <v/>
      </c>
      <c r="I292">
        <f>IF(OR($B292="",NOT(ISNUMBER($D292))),"",IF(AND($E292&lt;$D$2,$G292&lt;&gt;"X",$F292&lt;&gt;"Réalisé",$F292&lt;&gt;"Clôturé"),"RETARD",""))</f>
        <v/>
      </c>
      <c r="J292" s="29">
        <f>IF($B292="","",IF(INDEX(Dossiers!$F$4:$F$63,6)="","",INDEX(Dossiers!$F$4:$F$63,6)))</f>
        <v/>
      </c>
      <c r="K292" s="29">
        <f>IF($B292="","",IF(INDEX(Dossiers!$G$4:$G$63,6)="","",INDEX(Dossiers!$G$4:$G$63,6)))</f>
        <v/>
      </c>
    </row>
    <row r="293">
      <c r="A293">
        <f>IF($B293="","",INDEX(Dossiers!$E$4:$E$63,6))</f>
        <v/>
      </c>
      <c r="B293">
        <f>IF(INDEX(Suivi!$B:$B,299)="","",INDEX(Suivi!$B:$B,299))</f>
        <v/>
      </c>
      <c r="C293">
        <f>IF($B293="","",IF(INDEX(Suivi!$D:$D,299)="",INDEX(Suivi!$C:$C,299),INDEX(Suivi!$D:$D,299)))</f>
        <v/>
      </c>
      <c r="D293" s="29">
        <f>IF($B293="","",INDEX(Suivi!$E:$E,299))</f>
        <v/>
      </c>
      <c r="E293" s="29">
        <f>IF($B293="","",INDEX(Suivi!$F:$F,299))</f>
        <v/>
      </c>
      <c r="F293">
        <f>IF($B293="","",INDEX(Suivi!$G:$G,299))</f>
        <v/>
      </c>
      <c r="H293">
        <f>IF(OR($B293="",NOT(ISNUMBER($D293))),"",IF($E293&lt;$D$2,"Passé",IF($D293&gt;$F$2,"À venir","Dans la période")))</f>
        <v/>
      </c>
      <c r="I293">
        <f>IF(OR($B293="",NOT(ISNUMBER($D293))),"",IF(AND($E293&lt;$D$2,$G293&lt;&gt;"X",$F293&lt;&gt;"Réalisé",$F293&lt;&gt;"Clôturé"),"RETARD",""))</f>
        <v/>
      </c>
      <c r="J293" s="29">
        <f>IF($B293="","",IF(INDEX(Dossiers!$F$4:$F$63,6)="","",INDEX(Dossiers!$F$4:$F$63,6)))</f>
        <v/>
      </c>
      <c r="K293" s="29">
        <f>IF($B293="","",IF(INDEX(Dossiers!$G$4:$G$63,6)="","",INDEX(Dossiers!$G$4:$G$63,6)))</f>
        <v/>
      </c>
    </row>
    <row r="294">
      <c r="A294">
        <f>IF($B294="","",INDEX(Dossiers!$E$4:$E$63,6))</f>
        <v/>
      </c>
      <c r="B294">
        <f>IF(INDEX(Suivi!$B:$B,300)="","",INDEX(Suivi!$B:$B,300))</f>
        <v/>
      </c>
      <c r="C294">
        <f>IF($B294="","",IF(INDEX(Suivi!$D:$D,300)="",INDEX(Suivi!$C:$C,300),INDEX(Suivi!$D:$D,300)))</f>
        <v/>
      </c>
      <c r="D294" s="29">
        <f>IF($B294="","",INDEX(Suivi!$E:$E,300))</f>
        <v/>
      </c>
      <c r="E294" s="29">
        <f>IF($B294="","",INDEX(Suivi!$F:$F,300))</f>
        <v/>
      </c>
      <c r="F294">
        <f>IF($B294="","",INDEX(Suivi!$G:$G,300))</f>
        <v/>
      </c>
      <c r="H294">
        <f>IF(OR($B294="",NOT(ISNUMBER($D294))),"",IF($E294&lt;$D$2,"Passé",IF($D294&gt;$F$2,"À venir","Dans la période")))</f>
        <v/>
      </c>
      <c r="I294">
        <f>IF(OR($B294="",NOT(ISNUMBER($D294))),"",IF(AND($E294&lt;$D$2,$G294&lt;&gt;"X",$F294&lt;&gt;"Réalisé",$F294&lt;&gt;"Clôturé"),"RETARD",""))</f>
        <v/>
      </c>
      <c r="J294" s="29">
        <f>IF($B294="","",IF(INDEX(Dossiers!$F$4:$F$63,6)="","",INDEX(Dossiers!$F$4:$F$63,6)))</f>
        <v/>
      </c>
      <c r="K294" s="29">
        <f>IF($B294="","",IF(INDEX(Dossiers!$G$4:$G$63,6)="","",INDEX(Dossiers!$G$4:$G$63,6)))</f>
        <v/>
      </c>
    </row>
    <row r="295">
      <c r="A295">
        <f>IF($B295="","",INDEX(Dossiers!$E$4:$E$63,6))</f>
        <v/>
      </c>
      <c r="B295">
        <f>IF(INDEX(Suivi!$B:$B,301)="","",INDEX(Suivi!$B:$B,301))</f>
        <v/>
      </c>
      <c r="C295">
        <f>IF($B295="","",IF(INDEX(Suivi!$D:$D,301)="",INDEX(Suivi!$C:$C,301),INDEX(Suivi!$D:$D,301)))</f>
        <v/>
      </c>
      <c r="D295" s="29">
        <f>IF($B295="","",INDEX(Suivi!$E:$E,301))</f>
        <v/>
      </c>
      <c r="E295" s="29">
        <f>IF($B295="","",INDEX(Suivi!$F:$F,301))</f>
        <v/>
      </c>
      <c r="F295">
        <f>IF($B295="","",INDEX(Suivi!$G:$G,301))</f>
        <v/>
      </c>
      <c r="H295">
        <f>IF(OR($B295="",NOT(ISNUMBER($D295))),"",IF($E295&lt;$D$2,"Passé",IF($D295&gt;$F$2,"À venir","Dans la période")))</f>
        <v/>
      </c>
      <c r="I295">
        <f>IF(OR($B295="",NOT(ISNUMBER($D295))),"",IF(AND($E295&lt;$D$2,$G295&lt;&gt;"X",$F295&lt;&gt;"Réalisé",$F295&lt;&gt;"Clôturé"),"RETARD",""))</f>
        <v/>
      </c>
      <c r="J295" s="29">
        <f>IF($B295="","",IF(INDEX(Dossiers!$F$4:$F$63,6)="","",INDEX(Dossiers!$F$4:$F$63,6)))</f>
        <v/>
      </c>
      <c r="K295" s="29">
        <f>IF($B295="","",IF(INDEX(Dossiers!$G$4:$G$63,6)="","",INDEX(Dossiers!$G$4:$G$63,6)))</f>
        <v/>
      </c>
    </row>
    <row r="296">
      <c r="A296">
        <f>IF($B296="","",INDEX(Dossiers!$E$4:$E$63,6))</f>
        <v/>
      </c>
      <c r="B296">
        <f>IF(INDEX(Suivi!$B:$B,302)="","",INDEX(Suivi!$B:$B,302))</f>
        <v/>
      </c>
      <c r="C296">
        <f>IF($B296="","",IF(INDEX(Suivi!$D:$D,302)="",INDEX(Suivi!$C:$C,302),INDEX(Suivi!$D:$D,302)))</f>
        <v/>
      </c>
      <c r="D296" s="29">
        <f>IF($B296="","",INDEX(Suivi!$E:$E,302))</f>
        <v/>
      </c>
      <c r="E296" s="29">
        <f>IF($B296="","",INDEX(Suivi!$F:$F,302))</f>
        <v/>
      </c>
      <c r="F296">
        <f>IF($B296="","",INDEX(Suivi!$G:$G,302))</f>
        <v/>
      </c>
      <c r="H296">
        <f>IF(OR($B296="",NOT(ISNUMBER($D296))),"",IF($E296&lt;$D$2,"Passé",IF($D296&gt;$F$2,"À venir","Dans la période")))</f>
        <v/>
      </c>
      <c r="I296">
        <f>IF(OR($B296="",NOT(ISNUMBER($D296))),"",IF(AND($E296&lt;$D$2,$G296&lt;&gt;"X",$F296&lt;&gt;"Réalisé",$F296&lt;&gt;"Clôturé"),"RETARD",""))</f>
        <v/>
      </c>
      <c r="J296" s="29">
        <f>IF($B296="","",IF(INDEX(Dossiers!$F$4:$F$63,6)="","",INDEX(Dossiers!$F$4:$F$63,6)))</f>
        <v/>
      </c>
      <c r="K296" s="29">
        <f>IF($B296="","",IF(INDEX(Dossiers!$G$4:$G$63,6)="","",INDEX(Dossiers!$G$4:$G$63,6)))</f>
        <v/>
      </c>
    </row>
    <row r="297">
      <c r="A297">
        <f>IF($B297="","",INDEX(Dossiers!$E$4:$E$63,6))</f>
        <v/>
      </c>
      <c r="B297">
        <f>IF(INDEX(Suivi!$B:$B,303)="","",INDEX(Suivi!$B:$B,303))</f>
        <v/>
      </c>
      <c r="C297">
        <f>IF($B297="","",IF(INDEX(Suivi!$D:$D,303)="",INDEX(Suivi!$C:$C,303),INDEX(Suivi!$D:$D,303)))</f>
        <v/>
      </c>
      <c r="D297" s="29">
        <f>IF($B297="","",INDEX(Suivi!$E:$E,303))</f>
        <v/>
      </c>
      <c r="E297" s="29">
        <f>IF($B297="","",INDEX(Suivi!$F:$F,303))</f>
        <v/>
      </c>
      <c r="F297">
        <f>IF($B297="","",INDEX(Suivi!$G:$G,303))</f>
        <v/>
      </c>
      <c r="H297">
        <f>IF(OR($B297="",NOT(ISNUMBER($D297))),"",IF($E297&lt;$D$2,"Passé",IF($D297&gt;$F$2,"À venir","Dans la période")))</f>
        <v/>
      </c>
      <c r="I297">
        <f>IF(OR($B297="",NOT(ISNUMBER($D297))),"",IF(AND($E297&lt;$D$2,$G297&lt;&gt;"X",$F297&lt;&gt;"Réalisé",$F297&lt;&gt;"Clôturé"),"RETARD",""))</f>
        <v/>
      </c>
      <c r="J297" s="29">
        <f>IF($B297="","",IF(INDEX(Dossiers!$F$4:$F$63,6)="","",INDEX(Dossiers!$F$4:$F$63,6)))</f>
        <v/>
      </c>
      <c r="K297" s="29">
        <f>IF($B297="","",IF(INDEX(Dossiers!$G$4:$G$63,6)="","",INDEX(Dossiers!$G$4:$G$63,6)))</f>
        <v/>
      </c>
    </row>
    <row r="298">
      <c r="A298">
        <f>IF($B298="","",INDEX(Dossiers!$E$4:$E$63,6))</f>
        <v/>
      </c>
      <c r="B298">
        <f>IF(INDEX(Suivi!$B:$B,304)="","",INDEX(Suivi!$B:$B,304))</f>
        <v/>
      </c>
      <c r="C298">
        <f>IF($B298="","",IF(INDEX(Suivi!$D:$D,304)="",INDEX(Suivi!$C:$C,304),INDEX(Suivi!$D:$D,304)))</f>
        <v/>
      </c>
      <c r="D298" s="29">
        <f>IF($B298="","",INDEX(Suivi!$E:$E,304))</f>
        <v/>
      </c>
      <c r="E298" s="29">
        <f>IF($B298="","",INDEX(Suivi!$F:$F,304))</f>
        <v/>
      </c>
      <c r="F298">
        <f>IF($B298="","",INDEX(Suivi!$G:$G,304))</f>
        <v/>
      </c>
      <c r="H298">
        <f>IF(OR($B298="",NOT(ISNUMBER($D298))),"",IF($E298&lt;$D$2,"Passé",IF($D298&gt;$F$2,"À venir","Dans la période")))</f>
        <v/>
      </c>
      <c r="I298">
        <f>IF(OR($B298="",NOT(ISNUMBER($D298))),"",IF(AND($E298&lt;$D$2,$G298&lt;&gt;"X",$F298&lt;&gt;"Réalisé",$F298&lt;&gt;"Clôturé"),"RETARD",""))</f>
        <v/>
      </c>
      <c r="J298" s="29">
        <f>IF($B298="","",IF(INDEX(Dossiers!$F$4:$F$63,6)="","",INDEX(Dossiers!$F$4:$F$63,6)))</f>
        <v/>
      </c>
      <c r="K298" s="29">
        <f>IF($B298="","",IF(INDEX(Dossiers!$G$4:$G$63,6)="","",INDEX(Dossiers!$G$4:$G$63,6)))</f>
        <v/>
      </c>
    </row>
    <row r="299">
      <c r="A299">
        <f>IF($B299="","",INDEX(Dossiers!$E$4:$E$63,6))</f>
        <v/>
      </c>
      <c r="B299">
        <f>IF(INDEX(Suivi!$B:$B,305)="","",INDEX(Suivi!$B:$B,305))</f>
        <v/>
      </c>
      <c r="C299">
        <f>IF($B299="","",IF(INDEX(Suivi!$D:$D,305)="",INDEX(Suivi!$C:$C,305),INDEX(Suivi!$D:$D,305)))</f>
        <v/>
      </c>
      <c r="D299" s="29">
        <f>IF($B299="","",INDEX(Suivi!$E:$E,305))</f>
        <v/>
      </c>
      <c r="E299" s="29">
        <f>IF($B299="","",INDEX(Suivi!$F:$F,305))</f>
        <v/>
      </c>
      <c r="F299">
        <f>IF($B299="","",INDEX(Suivi!$G:$G,305))</f>
        <v/>
      </c>
      <c r="H299">
        <f>IF(OR($B299="",NOT(ISNUMBER($D299))),"",IF($E299&lt;$D$2,"Passé",IF($D299&gt;$F$2,"À venir","Dans la période")))</f>
        <v/>
      </c>
      <c r="I299">
        <f>IF(OR($B299="",NOT(ISNUMBER($D299))),"",IF(AND($E299&lt;$D$2,$G299&lt;&gt;"X",$F299&lt;&gt;"Réalisé",$F299&lt;&gt;"Clôturé"),"RETARD",""))</f>
        <v/>
      </c>
      <c r="J299" s="29">
        <f>IF($B299="","",IF(INDEX(Dossiers!$F$4:$F$63,6)="","",INDEX(Dossiers!$F$4:$F$63,6)))</f>
        <v/>
      </c>
      <c r="K299" s="29">
        <f>IF($B299="","",IF(INDEX(Dossiers!$G$4:$G$63,6)="","",INDEX(Dossiers!$G$4:$G$63,6)))</f>
        <v/>
      </c>
    </row>
    <row r="300">
      <c r="A300">
        <f>IF($B300="","",INDEX(Dossiers!$E$4:$E$63,6))</f>
        <v/>
      </c>
      <c r="B300">
        <f>IF(INDEX(Suivi!$B:$B,306)="","",INDEX(Suivi!$B:$B,306))</f>
        <v/>
      </c>
      <c r="C300">
        <f>IF($B300="","",IF(INDEX(Suivi!$D:$D,306)="",INDEX(Suivi!$C:$C,306),INDEX(Suivi!$D:$D,306)))</f>
        <v/>
      </c>
      <c r="D300" s="29">
        <f>IF($B300="","",INDEX(Suivi!$E:$E,306))</f>
        <v/>
      </c>
      <c r="E300" s="29">
        <f>IF($B300="","",INDEX(Suivi!$F:$F,306))</f>
        <v/>
      </c>
      <c r="F300">
        <f>IF($B300="","",INDEX(Suivi!$G:$G,306))</f>
        <v/>
      </c>
      <c r="H300">
        <f>IF(OR($B300="",NOT(ISNUMBER($D300))),"",IF($E300&lt;$D$2,"Passé",IF($D300&gt;$F$2,"À venir","Dans la période")))</f>
        <v/>
      </c>
      <c r="I300">
        <f>IF(OR($B300="",NOT(ISNUMBER($D300))),"",IF(AND($E300&lt;$D$2,$G300&lt;&gt;"X",$F300&lt;&gt;"Réalisé",$F300&lt;&gt;"Clôturé"),"RETARD",""))</f>
        <v/>
      </c>
      <c r="J300" s="29">
        <f>IF($B300="","",IF(INDEX(Dossiers!$F$4:$F$63,6)="","",INDEX(Dossiers!$F$4:$F$63,6)))</f>
        <v/>
      </c>
      <c r="K300" s="29">
        <f>IF($B300="","",IF(INDEX(Dossiers!$G$4:$G$63,6)="","",INDEX(Dossiers!$G$4:$G$63,6)))</f>
        <v/>
      </c>
    </row>
    <row r="301">
      <c r="A301">
        <f>IF($B301="","",INDEX(Dossiers!$E$4:$E$63,6))</f>
        <v/>
      </c>
      <c r="B301">
        <f>IF(INDEX(Suivi!$B:$B,307)="","",INDEX(Suivi!$B:$B,307))</f>
        <v/>
      </c>
      <c r="C301">
        <f>IF($B301="","",IF(INDEX(Suivi!$D:$D,307)="",INDEX(Suivi!$C:$C,307),INDEX(Suivi!$D:$D,307)))</f>
        <v/>
      </c>
      <c r="D301" s="29">
        <f>IF($B301="","",INDEX(Suivi!$E:$E,307))</f>
        <v/>
      </c>
      <c r="E301" s="29">
        <f>IF($B301="","",INDEX(Suivi!$F:$F,307))</f>
        <v/>
      </c>
      <c r="F301">
        <f>IF($B301="","",INDEX(Suivi!$G:$G,307))</f>
        <v/>
      </c>
      <c r="H301">
        <f>IF(OR($B301="",NOT(ISNUMBER($D301))),"",IF($E301&lt;$D$2,"Passé",IF($D301&gt;$F$2,"À venir","Dans la période")))</f>
        <v/>
      </c>
      <c r="I301">
        <f>IF(OR($B301="",NOT(ISNUMBER($D301))),"",IF(AND($E301&lt;$D$2,$G301&lt;&gt;"X",$F301&lt;&gt;"Réalisé",$F301&lt;&gt;"Clôturé"),"RETARD",""))</f>
        <v/>
      </c>
      <c r="J301" s="29">
        <f>IF($B301="","",IF(INDEX(Dossiers!$F$4:$F$63,6)="","",INDEX(Dossiers!$F$4:$F$63,6)))</f>
        <v/>
      </c>
      <c r="K301" s="29">
        <f>IF($B301="","",IF(INDEX(Dossiers!$G$4:$G$63,6)="","",INDEX(Dossiers!$G$4:$G$63,6)))</f>
        <v/>
      </c>
    </row>
    <row r="302">
      <c r="A302">
        <f>IF($B302="","",INDEX(Dossiers!$E$4:$E$63,6))</f>
        <v/>
      </c>
      <c r="B302">
        <f>IF(INDEX(Suivi!$B:$B,308)="","",INDEX(Suivi!$B:$B,308))</f>
        <v/>
      </c>
      <c r="C302">
        <f>IF($B302="","",IF(INDEX(Suivi!$D:$D,308)="",INDEX(Suivi!$C:$C,308),INDEX(Suivi!$D:$D,308)))</f>
        <v/>
      </c>
      <c r="D302" s="29">
        <f>IF($B302="","",INDEX(Suivi!$E:$E,308))</f>
        <v/>
      </c>
      <c r="E302" s="29">
        <f>IF($B302="","",INDEX(Suivi!$F:$F,308))</f>
        <v/>
      </c>
      <c r="F302">
        <f>IF($B302="","",INDEX(Suivi!$G:$G,308))</f>
        <v/>
      </c>
      <c r="H302">
        <f>IF(OR($B302="",NOT(ISNUMBER($D302))),"",IF($E302&lt;$D$2,"Passé",IF($D302&gt;$F$2,"À venir","Dans la période")))</f>
        <v/>
      </c>
      <c r="I302">
        <f>IF(OR($B302="",NOT(ISNUMBER($D302))),"",IF(AND($E302&lt;$D$2,$G302&lt;&gt;"X",$F302&lt;&gt;"Réalisé",$F302&lt;&gt;"Clôturé"),"RETARD",""))</f>
        <v/>
      </c>
      <c r="J302" s="29">
        <f>IF($B302="","",IF(INDEX(Dossiers!$F$4:$F$63,6)="","",INDEX(Dossiers!$F$4:$F$63,6)))</f>
        <v/>
      </c>
      <c r="K302" s="29">
        <f>IF($B302="","",IF(INDEX(Dossiers!$G$4:$G$63,6)="","",INDEX(Dossiers!$G$4:$G$63,6)))</f>
        <v/>
      </c>
    </row>
    <row r="303">
      <c r="A303">
        <f>IF($B303="","",INDEX(Dossiers!$E$4:$E$63,6))</f>
        <v/>
      </c>
      <c r="B303">
        <f>IF(INDEX(Suivi!$B:$B,309)="","",INDEX(Suivi!$B:$B,309))</f>
        <v/>
      </c>
      <c r="C303">
        <f>IF($B303="","",IF(INDEX(Suivi!$D:$D,309)="",INDEX(Suivi!$C:$C,309),INDEX(Suivi!$D:$D,309)))</f>
        <v/>
      </c>
      <c r="D303" s="29">
        <f>IF($B303="","",INDEX(Suivi!$E:$E,309))</f>
        <v/>
      </c>
      <c r="E303" s="29">
        <f>IF($B303="","",INDEX(Suivi!$F:$F,309))</f>
        <v/>
      </c>
      <c r="F303">
        <f>IF($B303="","",INDEX(Suivi!$G:$G,309))</f>
        <v/>
      </c>
      <c r="H303">
        <f>IF(OR($B303="",NOT(ISNUMBER($D303))),"",IF($E303&lt;$D$2,"Passé",IF($D303&gt;$F$2,"À venir","Dans la période")))</f>
        <v/>
      </c>
      <c r="I303">
        <f>IF(OR($B303="",NOT(ISNUMBER($D303))),"",IF(AND($E303&lt;$D$2,$G303&lt;&gt;"X",$F303&lt;&gt;"Réalisé",$F303&lt;&gt;"Clôturé"),"RETARD",""))</f>
        <v/>
      </c>
      <c r="J303" s="29">
        <f>IF($B303="","",IF(INDEX(Dossiers!$F$4:$F$63,6)="","",INDEX(Dossiers!$F$4:$F$63,6)))</f>
        <v/>
      </c>
      <c r="K303" s="29">
        <f>IF($B303="","",IF(INDEX(Dossiers!$G$4:$G$63,6)="","",INDEX(Dossiers!$G$4:$G$63,6)))</f>
        <v/>
      </c>
    </row>
    <row r="304">
      <c r="A304">
        <f>IF($B304="","",INDEX(Dossiers!$E$4:$E$63,6))</f>
        <v/>
      </c>
      <c r="B304">
        <f>IF(INDEX(Suivi!$B:$B,310)="","",INDEX(Suivi!$B:$B,310))</f>
        <v/>
      </c>
      <c r="C304">
        <f>IF($B304="","",IF(INDEX(Suivi!$D:$D,310)="",INDEX(Suivi!$C:$C,310),INDEX(Suivi!$D:$D,310)))</f>
        <v/>
      </c>
      <c r="D304" s="29">
        <f>IF($B304="","",INDEX(Suivi!$E:$E,310))</f>
        <v/>
      </c>
      <c r="E304" s="29">
        <f>IF($B304="","",INDEX(Suivi!$F:$F,310))</f>
        <v/>
      </c>
      <c r="F304">
        <f>IF($B304="","",INDEX(Suivi!$G:$G,310))</f>
        <v/>
      </c>
      <c r="H304">
        <f>IF(OR($B304="",NOT(ISNUMBER($D304))),"",IF($E304&lt;$D$2,"Passé",IF($D304&gt;$F$2,"À venir","Dans la période")))</f>
        <v/>
      </c>
      <c r="I304">
        <f>IF(OR($B304="",NOT(ISNUMBER($D304))),"",IF(AND($E304&lt;$D$2,$G304&lt;&gt;"X",$F304&lt;&gt;"Réalisé",$F304&lt;&gt;"Clôturé"),"RETARD",""))</f>
        <v/>
      </c>
      <c r="J304" s="29">
        <f>IF($B304="","",IF(INDEX(Dossiers!$F$4:$F$63,6)="","",INDEX(Dossiers!$F$4:$F$63,6)))</f>
        <v/>
      </c>
      <c r="K304" s="29">
        <f>IF($B304="","",IF(INDEX(Dossiers!$G$4:$G$63,6)="","",INDEX(Dossiers!$G$4:$G$63,6)))</f>
        <v/>
      </c>
    </row>
    <row r="305">
      <c r="A305">
        <f>IF($B305="","",INDEX(Dossiers!$E$4:$E$63,6))</f>
        <v/>
      </c>
      <c r="B305">
        <f>IF(INDEX(Suivi!$B:$B,311)="","",INDEX(Suivi!$B:$B,311))</f>
        <v/>
      </c>
      <c r="C305">
        <f>IF($B305="","",IF(INDEX(Suivi!$D:$D,311)="",INDEX(Suivi!$C:$C,311),INDEX(Suivi!$D:$D,311)))</f>
        <v/>
      </c>
      <c r="D305" s="29">
        <f>IF($B305="","",INDEX(Suivi!$E:$E,311))</f>
        <v/>
      </c>
      <c r="E305" s="29">
        <f>IF($B305="","",INDEX(Suivi!$F:$F,311))</f>
        <v/>
      </c>
      <c r="F305">
        <f>IF($B305="","",INDEX(Suivi!$G:$G,311))</f>
        <v/>
      </c>
      <c r="H305">
        <f>IF(OR($B305="",NOT(ISNUMBER($D305))),"",IF($E305&lt;$D$2,"Passé",IF($D305&gt;$F$2,"À venir","Dans la période")))</f>
        <v/>
      </c>
      <c r="I305">
        <f>IF(OR($B305="",NOT(ISNUMBER($D305))),"",IF(AND($E305&lt;$D$2,$G305&lt;&gt;"X",$F305&lt;&gt;"Réalisé",$F305&lt;&gt;"Clôturé"),"RETARD",""))</f>
        <v/>
      </c>
      <c r="J305" s="29">
        <f>IF($B305="","",IF(INDEX(Dossiers!$F$4:$F$63,6)="","",INDEX(Dossiers!$F$4:$F$63,6)))</f>
        <v/>
      </c>
      <c r="K305" s="29">
        <f>IF($B305="","",IF(INDEX(Dossiers!$G$4:$G$63,6)="","",INDEX(Dossiers!$G$4:$G$63,6)))</f>
        <v/>
      </c>
    </row>
    <row r="306">
      <c r="A306">
        <f>IF($B306="","",INDEX(Dossiers!$E$4:$E$63,6))</f>
        <v/>
      </c>
      <c r="B306">
        <f>IF(INDEX(Suivi!$B:$B,312)="","",INDEX(Suivi!$B:$B,312))</f>
        <v/>
      </c>
      <c r="C306">
        <f>IF($B306="","",IF(INDEX(Suivi!$D:$D,312)="",INDEX(Suivi!$C:$C,312),INDEX(Suivi!$D:$D,312)))</f>
        <v/>
      </c>
      <c r="D306" s="29">
        <f>IF($B306="","",INDEX(Suivi!$E:$E,312))</f>
        <v/>
      </c>
      <c r="E306" s="29">
        <f>IF($B306="","",INDEX(Suivi!$F:$F,312))</f>
        <v/>
      </c>
      <c r="F306">
        <f>IF($B306="","",INDEX(Suivi!$G:$G,312))</f>
        <v/>
      </c>
      <c r="H306">
        <f>IF(OR($B306="",NOT(ISNUMBER($D306))),"",IF($E306&lt;$D$2,"Passé",IF($D306&gt;$F$2,"À venir","Dans la période")))</f>
        <v/>
      </c>
      <c r="I306">
        <f>IF(OR($B306="",NOT(ISNUMBER($D306))),"",IF(AND($E306&lt;$D$2,$G306&lt;&gt;"X",$F306&lt;&gt;"Réalisé",$F306&lt;&gt;"Clôturé"),"RETARD",""))</f>
        <v/>
      </c>
      <c r="J306" s="29">
        <f>IF($B306="","",IF(INDEX(Dossiers!$F$4:$F$63,6)="","",INDEX(Dossiers!$F$4:$F$63,6)))</f>
        <v/>
      </c>
      <c r="K306" s="29">
        <f>IF($B306="","",IF(INDEX(Dossiers!$G$4:$G$63,6)="","",INDEX(Dossiers!$G$4:$G$63,6)))</f>
        <v/>
      </c>
    </row>
    <row r="307">
      <c r="A307">
        <f>IF($B307="","",INDEX(Dossiers!$E$4:$E$63,6))</f>
        <v/>
      </c>
      <c r="B307">
        <f>IF(INDEX(Suivi!$B:$B,313)="","",INDEX(Suivi!$B:$B,313))</f>
        <v/>
      </c>
      <c r="C307">
        <f>IF($B307="","",IF(INDEX(Suivi!$D:$D,313)="",INDEX(Suivi!$C:$C,313),INDEX(Suivi!$D:$D,313)))</f>
        <v/>
      </c>
      <c r="D307" s="29">
        <f>IF($B307="","",INDEX(Suivi!$E:$E,313))</f>
        <v/>
      </c>
      <c r="E307" s="29">
        <f>IF($B307="","",INDEX(Suivi!$F:$F,313))</f>
        <v/>
      </c>
      <c r="F307">
        <f>IF($B307="","",INDEX(Suivi!$G:$G,313))</f>
        <v/>
      </c>
      <c r="H307">
        <f>IF(OR($B307="",NOT(ISNUMBER($D307))),"",IF($E307&lt;$D$2,"Passé",IF($D307&gt;$F$2,"À venir","Dans la période")))</f>
        <v/>
      </c>
      <c r="I307">
        <f>IF(OR($B307="",NOT(ISNUMBER($D307))),"",IF(AND($E307&lt;$D$2,$G307&lt;&gt;"X",$F307&lt;&gt;"Réalisé",$F307&lt;&gt;"Clôturé"),"RETARD",""))</f>
        <v/>
      </c>
      <c r="J307" s="29">
        <f>IF($B307="","",IF(INDEX(Dossiers!$F$4:$F$63,6)="","",INDEX(Dossiers!$F$4:$F$63,6)))</f>
        <v/>
      </c>
      <c r="K307" s="29">
        <f>IF($B307="","",IF(INDEX(Dossiers!$G$4:$G$63,6)="","",INDEX(Dossiers!$G$4:$G$63,6)))</f>
        <v/>
      </c>
    </row>
    <row r="308">
      <c r="A308">
        <f>IF($B308="","",INDEX(Dossiers!$E$4:$E$63,6))</f>
        <v/>
      </c>
      <c r="B308">
        <f>IF(INDEX(Suivi!$B:$B,314)="","",INDEX(Suivi!$B:$B,314))</f>
        <v/>
      </c>
      <c r="C308">
        <f>IF($B308="","",IF(INDEX(Suivi!$D:$D,314)="",INDEX(Suivi!$C:$C,314),INDEX(Suivi!$D:$D,314)))</f>
        <v/>
      </c>
      <c r="D308" s="29">
        <f>IF($B308="","",INDEX(Suivi!$E:$E,314))</f>
        <v/>
      </c>
      <c r="E308" s="29">
        <f>IF($B308="","",INDEX(Suivi!$F:$F,314))</f>
        <v/>
      </c>
      <c r="F308">
        <f>IF($B308="","",INDEX(Suivi!$G:$G,314))</f>
        <v/>
      </c>
      <c r="H308">
        <f>IF(OR($B308="",NOT(ISNUMBER($D308))),"",IF($E308&lt;$D$2,"Passé",IF($D308&gt;$F$2,"À venir","Dans la période")))</f>
        <v/>
      </c>
      <c r="I308">
        <f>IF(OR($B308="",NOT(ISNUMBER($D308))),"",IF(AND($E308&lt;$D$2,$G308&lt;&gt;"X",$F308&lt;&gt;"Réalisé",$F308&lt;&gt;"Clôturé"),"RETARD",""))</f>
        <v/>
      </c>
      <c r="J308" s="29">
        <f>IF($B308="","",IF(INDEX(Dossiers!$F$4:$F$63,6)="","",INDEX(Dossiers!$F$4:$F$63,6)))</f>
        <v/>
      </c>
      <c r="K308" s="29">
        <f>IF($B308="","",IF(INDEX(Dossiers!$G$4:$G$63,6)="","",INDEX(Dossiers!$G$4:$G$63,6)))</f>
        <v/>
      </c>
    </row>
    <row r="309">
      <c r="A309">
        <f>IF($B309="","",INDEX(Dossiers!$E$4:$E$63,6))</f>
        <v/>
      </c>
      <c r="B309">
        <f>IF(INDEX(Suivi!$B:$B,315)="","",INDEX(Suivi!$B:$B,315))</f>
        <v/>
      </c>
      <c r="C309">
        <f>IF($B309="","",IF(INDEX(Suivi!$D:$D,315)="",INDEX(Suivi!$C:$C,315),INDEX(Suivi!$D:$D,315)))</f>
        <v/>
      </c>
      <c r="D309" s="29">
        <f>IF($B309="","",INDEX(Suivi!$E:$E,315))</f>
        <v/>
      </c>
      <c r="E309" s="29">
        <f>IF($B309="","",INDEX(Suivi!$F:$F,315))</f>
        <v/>
      </c>
      <c r="F309">
        <f>IF($B309="","",INDEX(Suivi!$G:$G,315))</f>
        <v/>
      </c>
      <c r="H309">
        <f>IF(OR($B309="",NOT(ISNUMBER($D309))),"",IF($E309&lt;$D$2,"Passé",IF($D309&gt;$F$2,"À venir","Dans la période")))</f>
        <v/>
      </c>
      <c r="I309">
        <f>IF(OR($B309="",NOT(ISNUMBER($D309))),"",IF(AND($E309&lt;$D$2,$G309&lt;&gt;"X",$F309&lt;&gt;"Réalisé",$F309&lt;&gt;"Clôturé"),"RETARD",""))</f>
        <v/>
      </c>
      <c r="J309" s="29">
        <f>IF($B309="","",IF(INDEX(Dossiers!$F$4:$F$63,6)="","",INDEX(Dossiers!$F$4:$F$63,6)))</f>
        <v/>
      </c>
      <c r="K309" s="29">
        <f>IF($B309="","",IF(INDEX(Dossiers!$G$4:$G$63,6)="","",INDEX(Dossiers!$G$4:$G$63,6)))</f>
        <v/>
      </c>
    </row>
    <row r="310">
      <c r="A310">
        <f>IF($B310="","",INDEX(Dossiers!$E$4:$E$63,6))</f>
        <v/>
      </c>
      <c r="B310">
        <f>IF(INDEX(Suivi!$B:$B,316)="","",INDEX(Suivi!$B:$B,316))</f>
        <v/>
      </c>
      <c r="C310">
        <f>IF($B310="","",IF(INDEX(Suivi!$D:$D,316)="",INDEX(Suivi!$C:$C,316),INDEX(Suivi!$D:$D,316)))</f>
        <v/>
      </c>
      <c r="D310" s="29">
        <f>IF($B310="","",INDEX(Suivi!$E:$E,316))</f>
        <v/>
      </c>
      <c r="E310" s="29">
        <f>IF($B310="","",INDEX(Suivi!$F:$F,316))</f>
        <v/>
      </c>
      <c r="F310">
        <f>IF($B310="","",INDEX(Suivi!$G:$G,316))</f>
        <v/>
      </c>
      <c r="H310">
        <f>IF(OR($B310="",NOT(ISNUMBER($D310))),"",IF($E310&lt;$D$2,"Passé",IF($D310&gt;$F$2,"À venir","Dans la période")))</f>
        <v/>
      </c>
      <c r="I310">
        <f>IF(OR($B310="",NOT(ISNUMBER($D310))),"",IF(AND($E310&lt;$D$2,$G310&lt;&gt;"X",$F310&lt;&gt;"Réalisé",$F310&lt;&gt;"Clôturé"),"RETARD",""))</f>
        <v/>
      </c>
      <c r="J310" s="29">
        <f>IF($B310="","",IF(INDEX(Dossiers!$F$4:$F$63,6)="","",INDEX(Dossiers!$F$4:$F$63,6)))</f>
        <v/>
      </c>
      <c r="K310" s="29">
        <f>IF($B310="","",IF(INDEX(Dossiers!$G$4:$G$63,6)="","",INDEX(Dossiers!$G$4:$G$63,6)))</f>
        <v/>
      </c>
    </row>
    <row r="311">
      <c r="A311">
        <f>IF($B311="","",INDEX(Dossiers!$E$4:$E$63,6))</f>
        <v/>
      </c>
      <c r="B311">
        <f>IF(INDEX(Suivi!$B:$B,317)="","",INDEX(Suivi!$B:$B,317))</f>
        <v/>
      </c>
      <c r="C311">
        <f>IF($B311="","",IF(INDEX(Suivi!$D:$D,317)="",INDEX(Suivi!$C:$C,317),INDEX(Suivi!$D:$D,317)))</f>
        <v/>
      </c>
      <c r="D311" s="29">
        <f>IF($B311="","",INDEX(Suivi!$E:$E,317))</f>
        <v/>
      </c>
      <c r="E311" s="29">
        <f>IF($B311="","",INDEX(Suivi!$F:$F,317))</f>
        <v/>
      </c>
      <c r="F311">
        <f>IF($B311="","",INDEX(Suivi!$G:$G,317))</f>
        <v/>
      </c>
      <c r="H311">
        <f>IF(OR($B311="",NOT(ISNUMBER($D311))),"",IF($E311&lt;$D$2,"Passé",IF($D311&gt;$F$2,"À venir","Dans la période")))</f>
        <v/>
      </c>
      <c r="I311">
        <f>IF(OR($B311="",NOT(ISNUMBER($D311))),"",IF(AND($E311&lt;$D$2,$G311&lt;&gt;"X",$F311&lt;&gt;"Réalisé",$F311&lt;&gt;"Clôturé"),"RETARD",""))</f>
        <v/>
      </c>
      <c r="J311" s="29">
        <f>IF($B311="","",IF(INDEX(Dossiers!$F$4:$F$63,6)="","",INDEX(Dossiers!$F$4:$F$63,6)))</f>
        <v/>
      </c>
      <c r="K311" s="29">
        <f>IF($B311="","",IF(INDEX(Dossiers!$G$4:$G$63,6)="","",INDEX(Dossiers!$G$4:$G$63,6)))</f>
        <v/>
      </c>
    </row>
    <row r="312">
      <c r="A312">
        <f>IF($B312="","",INDEX(Dossiers!$E$4:$E$63,6))</f>
        <v/>
      </c>
      <c r="B312">
        <f>IF(INDEX(Suivi!$B:$B,318)="","",INDEX(Suivi!$B:$B,318))</f>
        <v/>
      </c>
      <c r="C312">
        <f>IF($B312="","",IF(INDEX(Suivi!$D:$D,318)="",INDEX(Suivi!$C:$C,318),INDEX(Suivi!$D:$D,318)))</f>
        <v/>
      </c>
      <c r="D312" s="29">
        <f>IF($B312="","",INDEX(Suivi!$E:$E,318))</f>
        <v/>
      </c>
      <c r="E312" s="29">
        <f>IF($B312="","",INDEX(Suivi!$F:$F,318))</f>
        <v/>
      </c>
      <c r="F312">
        <f>IF($B312="","",INDEX(Suivi!$G:$G,318))</f>
        <v/>
      </c>
      <c r="H312">
        <f>IF(OR($B312="",NOT(ISNUMBER($D312))),"",IF($E312&lt;$D$2,"Passé",IF($D312&gt;$F$2,"À venir","Dans la période")))</f>
        <v/>
      </c>
      <c r="I312">
        <f>IF(OR($B312="",NOT(ISNUMBER($D312))),"",IF(AND($E312&lt;$D$2,$G312&lt;&gt;"X",$F312&lt;&gt;"Réalisé",$F312&lt;&gt;"Clôturé"),"RETARD",""))</f>
        <v/>
      </c>
      <c r="J312" s="29">
        <f>IF($B312="","",IF(INDEX(Dossiers!$F$4:$F$63,6)="","",INDEX(Dossiers!$F$4:$F$63,6)))</f>
        <v/>
      </c>
      <c r="K312" s="29">
        <f>IF($B312="","",IF(INDEX(Dossiers!$G$4:$G$63,6)="","",INDEX(Dossiers!$G$4:$G$63,6)))</f>
        <v/>
      </c>
    </row>
    <row r="313">
      <c r="A313">
        <f>IF($B313="","",INDEX(Dossiers!$E$4:$E$63,6))</f>
        <v/>
      </c>
      <c r="B313">
        <f>IF(INDEX(Suivi!$B:$B,319)="","",INDEX(Suivi!$B:$B,319))</f>
        <v/>
      </c>
      <c r="C313">
        <f>IF($B313="","",IF(INDEX(Suivi!$D:$D,319)="",INDEX(Suivi!$C:$C,319),INDEX(Suivi!$D:$D,319)))</f>
        <v/>
      </c>
      <c r="D313" s="29">
        <f>IF($B313="","",INDEX(Suivi!$E:$E,319))</f>
        <v/>
      </c>
      <c r="E313" s="29">
        <f>IF($B313="","",INDEX(Suivi!$F:$F,319))</f>
        <v/>
      </c>
      <c r="F313">
        <f>IF($B313="","",INDEX(Suivi!$G:$G,319))</f>
        <v/>
      </c>
      <c r="H313">
        <f>IF(OR($B313="",NOT(ISNUMBER($D313))),"",IF($E313&lt;$D$2,"Passé",IF($D313&gt;$F$2,"À venir","Dans la période")))</f>
        <v/>
      </c>
      <c r="I313">
        <f>IF(OR($B313="",NOT(ISNUMBER($D313))),"",IF(AND($E313&lt;$D$2,$G313&lt;&gt;"X",$F313&lt;&gt;"Réalisé",$F313&lt;&gt;"Clôturé"),"RETARD",""))</f>
        <v/>
      </c>
      <c r="J313" s="29">
        <f>IF($B313="","",IF(INDEX(Dossiers!$F$4:$F$63,6)="","",INDEX(Dossiers!$F$4:$F$63,6)))</f>
        <v/>
      </c>
      <c r="K313" s="29">
        <f>IF($B313="","",IF(INDEX(Dossiers!$G$4:$G$63,6)="","",INDEX(Dossiers!$G$4:$G$63,6)))</f>
        <v/>
      </c>
    </row>
    <row r="314">
      <c r="A314">
        <f>IF($B314="","",INDEX(Dossiers!$E$4:$E$63,6))</f>
        <v/>
      </c>
      <c r="B314">
        <f>IF(INDEX(Suivi!$B:$B,320)="","",INDEX(Suivi!$B:$B,320))</f>
        <v/>
      </c>
      <c r="C314">
        <f>IF($B314="","",IF(INDEX(Suivi!$D:$D,320)="",INDEX(Suivi!$C:$C,320),INDEX(Suivi!$D:$D,320)))</f>
        <v/>
      </c>
      <c r="D314" s="29">
        <f>IF($B314="","",INDEX(Suivi!$E:$E,320))</f>
        <v/>
      </c>
      <c r="E314" s="29">
        <f>IF($B314="","",INDEX(Suivi!$F:$F,320))</f>
        <v/>
      </c>
      <c r="F314">
        <f>IF($B314="","",INDEX(Suivi!$G:$G,320))</f>
        <v/>
      </c>
      <c r="H314">
        <f>IF(OR($B314="",NOT(ISNUMBER($D314))),"",IF($E314&lt;$D$2,"Passé",IF($D314&gt;$F$2,"À venir","Dans la période")))</f>
        <v/>
      </c>
      <c r="I314">
        <f>IF(OR($B314="",NOT(ISNUMBER($D314))),"",IF(AND($E314&lt;$D$2,$G314&lt;&gt;"X",$F314&lt;&gt;"Réalisé",$F314&lt;&gt;"Clôturé"),"RETARD",""))</f>
        <v/>
      </c>
      <c r="J314" s="29">
        <f>IF($B314="","",IF(INDEX(Dossiers!$F$4:$F$63,6)="","",INDEX(Dossiers!$F$4:$F$63,6)))</f>
        <v/>
      </c>
      <c r="K314" s="29">
        <f>IF($B314="","",IF(INDEX(Dossiers!$G$4:$G$63,6)="","",INDEX(Dossiers!$G$4:$G$63,6)))</f>
        <v/>
      </c>
    </row>
    <row r="315">
      <c r="A315">
        <f>IF($B315="","",INDEX(Dossiers!$E$4:$E$63,6))</f>
        <v/>
      </c>
      <c r="B315">
        <f>IF(INDEX(Suivi!$B:$B,321)="","",INDEX(Suivi!$B:$B,321))</f>
        <v/>
      </c>
      <c r="C315">
        <f>IF($B315="","",IF(INDEX(Suivi!$D:$D,321)="",INDEX(Suivi!$C:$C,321),INDEX(Suivi!$D:$D,321)))</f>
        <v/>
      </c>
      <c r="D315" s="29">
        <f>IF($B315="","",INDEX(Suivi!$E:$E,321))</f>
        <v/>
      </c>
      <c r="E315" s="29">
        <f>IF($B315="","",INDEX(Suivi!$F:$F,321))</f>
        <v/>
      </c>
      <c r="F315">
        <f>IF($B315="","",INDEX(Suivi!$G:$G,321))</f>
        <v/>
      </c>
      <c r="H315">
        <f>IF(OR($B315="",NOT(ISNUMBER($D315))),"",IF($E315&lt;$D$2,"Passé",IF($D315&gt;$F$2,"À venir","Dans la période")))</f>
        <v/>
      </c>
      <c r="I315">
        <f>IF(OR($B315="",NOT(ISNUMBER($D315))),"",IF(AND($E315&lt;$D$2,$G315&lt;&gt;"X",$F315&lt;&gt;"Réalisé",$F315&lt;&gt;"Clôturé"),"RETARD",""))</f>
        <v/>
      </c>
      <c r="J315" s="29">
        <f>IF($B315="","",IF(INDEX(Dossiers!$F$4:$F$63,6)="","",INDEX(Dossiers!$F$4:$F$63,6)))</f>
        <v/>
      </c>
      <c r="K315" s="29">
        <f>IF($B315="","",IF(INDEX(Dossiers!$G$4:$G$63,6)="","",INDEX(Dossiers!$G$4:$G$63,6)))</f>
        <v/>
      </c>
    </row>
    <row r="316">
      <c r="A316">
        <f>IF($B316="","",INDEX(Dossiers!$E$4:$E$63,6))</f>
        <v/>
      </c>
      <c r="B316">
        <f>IF(INDEX(Suivi!$B:$B,322)="","",INDEX(Suivi!$B:$B,322))</f>
        <v/>
      </c>
      <c r="C316">
        <f>IF($B316="","",IF(INDEX(Suivi!$D:$D,322)="",INDEX(Suivi!$C:$C,322),INDEX(Suivi!$D:$D,322)))</f>
        <v/>
      </c>
      <c r="D316" s="29">
        <f>IF($B316="","",INDEX(Suivi!$E:$E,322))</f>
        <v/>
      </c>
      <c r="E316" s="29">
        <f>IF($B316="","",INDEX(Suivi!$F:$F,322))</f>
        <v/>
      </c>
      <c r="F316">
        <f>IF($B316="","",INDEX(Suivi!$G:$G,322))</f>
        <v/>
      </c>
      <c r="H316">
        <f>IF(OR($B316="",NOT(ISNUMBER($D316))),"",IF($E316&lt;$D$2,"Passé",IF($D316&gt;$F$2,"À venir","Dans la période")))</f>
        <v/>
      </c>
      <c r="I316">
        <f>IF(OR($B316="",NOT(ISNUMBER($D316))),"",IF(AND($E316&lt;$D$2,$G316&lt;&gt;"X",$F316&lt;&gt;"Réalisé",$F316&lt;&gt;"Clôturé"),"RETARD",""))</f>
        <v/>
      </c>
      <c r="J316" s="29">
        <f>IF($B316="","",IF(INDEX(Dossiers!$F$4:$F$63,6)="","",INDEX(Dossiers!$F$4:$F$63,6)))</f>
        <v/>
      </c>
      <c r="K316" s="29">
        <f>IF($B316="","",IF(INDEX(Dossiers!$G$4:$G$63,6)="","",INDEX(Dossiers!$G$4:$G$63,6)))</f>
        <v/>
      </c>
    </row>
    <row r="317">
      <c r="A317">
        <f>IF($B317="","",INDEX(Dossiers!$E$4:$E$63,6))</f>
        <v/>
      </c>
      <c r="B317">
        <f>IF(INDEX(Suivi!$B:$B,323)="","",INDEX(Suivi!$B:$B,323))</f>
        <v/>
      </c>
      <c r="C317">
        <f>IF($B317="","",IF(INDEX(Suivi!$D:$D,323)="",INDEX(Suivi!$C:$C,323),INDEX(Suivi!$D:$D,323)))</f>
        <v/>
      </c>
      <c r="D317" s="29">
        <f>IF($B317="","",INDEX(Suivi!$E:$E,323))</f>
        <v/>
      </c>
      <c r="E317" s="29">
        <f>IF($B317="","",INDEX(Suivi!$F:$F,323))</f>
        <v/>
      </c>
      <c r="F317">
        <f>IF($B317="","",INDEX(Suivi!$G:$G,323))</f>
        <v/>
      </c>
      <c r="H317">
        <f>IF(OR($B317="",NOT(ISNUMBER($D317))),"",IF($E317&lt;$D$2,"Passé",IF($D317&gt;$F$2,"À venir","Dans la période")))</f>
        <v/>
      </c>
      <c r="I317">
        <f>IF(OR($B317="",NOT(ISNUMBER($D317))),"",IF(AND($E317&lt;$D$2,$G317&lt;&gt;"X",$F317&lt;&gt;"Réalisé",$F317&lt;&gt;"Clôturé"),"RETARD",""))</f>
        <v/>
      </c>
      <c r="J317" s="29">
        <f>IF($B317="","",IF(INDEX(Dossiers!$F$4:$F$63,6)="","",INDEX(Dossiers!$F$4:$F$63,6)))</f>
        <v/>
      </c>
      <c r="K317" s="29">
        <f>IF($B317="","",IF(INDEX(Dossiers!$G$4:$G$63,6)="","",INDEX(Dossiers!$G$4:$G$63,6)))</f>
        <v/>
      </c>
    </row>
    <row r="318">
      <c r="A318">
        <f>IF($B318="","",INDEX(Dossiers!$E$4:$E$63,6))</f>
        <v/>
      </c>
      <c r="B318">
        <f>IF(INDEX(Suivi!$B:$B,324)="","",INDEX(Suivi!$B:$B,324))</f>
        <v/>
      </c>
      <c r="C318">
        <f>IF($B318="","",IF(INDEX(Suivi!$D:$D,324)="",INDEX(Suivi!$C:$C,324),INDEX(Suivi!$D:$D,324)))</f>
        <v/>
      </c>
      <c r="D318" s="29">
        <f>IF($B318="","",INDEX(Suivi!$E:$E,324))</f>
        <v/>
      </c>
      <c r="E318" s="29">
        <f>IF($B318="","",INDEX(Suivi!$F:$F,324))</f>
        <v/>
      </c>
      <c r="F318">
        <f>IF($B318="","",INDEX(Suivi!$G:$G,324))</f>
        <v/>
      </c>
      <c r="H318">
        <f>IF(OR($B318="",NOT(ISNUMBER($D318))),"",IF($E318&lt;$D$2,"Passé",IF($D318&gt;$F$2,"À venir","Dans la période")))</f>
        <v/>
      </c>
      <c r="I318">
        <f>IF(OR($B318="",NOT(ISNUMBER($D318))),"",IF(AND($E318&lt;$D$2,$G318&lt;&gt;"X",$F318&lt;&gt;"Réalisé",$F318&lt;&gt;"Clôturé"),"RETARD",""))</f>
        <v/>
      </c>
      <c r="J318" s="29">
        <f>IF($B318="","",IF(INDEX(Dossiers!$F$4:$F$63,6)="","",INDEX(Dossiers!$F$4:$F$63,6)))</f>
        <v/>
      </c>
      <c r="K318" s="29">
        <f>IF($B318="","",IF(INDEX(Dossiers!$G$4:$G$63,6)="","",INDEX(Dossiers!$G$4:$G$63,6)))</f>
        <v/>
      </c>
    </row>
    <row r="319">
      <c r="A319">
        <f>IF($B319="","",INDEX(Dossiers!$E$4:$E$63,6))</f>
        <v/>
      </c>
      <c r="B319">
        <f>IF(INDEX(Suivi!$B:$B,325)="","",INDEX(Suivi!$B:$B,325))</f>
        <v/>
      </c>
      <c r="C319">
        <f>IF($B319="","",IF(INDEX(Suivi!$D:$D,325)="",INDEX(Suivi!$C:$C,325),INDEX(Suivi!$D:$D,325)))</f>
        <v/>
      </c>
      <c r="D319" s="29">
        <f>IF($B319="","",INDEX(Suivi!$E:$E,325))</f>
        <v/>
      </c>
      <c r="E319" s="29">
        <f>IF($B319="","",INDEX(Suivi!$F:$F,325))</f>
        <v/>
      </c>
      <c r="F319">
        <f>IF($B319="","",INDEX(Suivi!$G:$G,325))</f>
        <v/>
      </c>
      <c r="H319">
        <f>IF(OR($B319="",NOT(ISNUMBER($D319))),"",IF($E319&lt;$D$2,"Passé",IF($D319&gt;$F$2,"À venir","Dans la période")))</f>
        <v/>
      </c>
      <c r="I319">
        <f>IF(OR($B319="",NOT(ISNUMBER($D319))),"",IF(AND($E319&lt;$D$2,$G319&lt;&gt;"X",$F319&lt;&gt;"Réalisé",$F319&lt;&gt;"Clôturé"),"RETARD",""))</f>
        <v/>
      </c>
      <c r="J319" s="29">
        <f>IF($B319="","",IF(INDEX(Dossiers!$F$4:$F$63,6)="","",INDEX(Dossiers!$F$4:$F$63,6)))</f>
        <v/>
      </c>
      <c r="K319" s="29">
        <f>IF($B319="","",IF(INDEX(Dossiers!$G$4:$G$63,6)="","",INDEX(Dossiers!$G$4:$G$63,6)))</f>
        <v/>
      </c>
    </row>
    <row r="320">
      <c r="A320">
        <f>IF($B320="","",INDEX(Dossiers!$E$4:$E$63,6))</f>
        <v/>
      </c>
      <c r="B320">
        <f>IF(INDEX(Suivi!$B:$B,326)="","",INDEX(Suivi!$B:$B,326))</f>
        <v/>
      </c>
      <c r="C320">
        <f>IF($B320="","",IF(INDEX(Suivi!$D:$D,326)="",INDEX(Suivi!$C:$C,326),INDEX(Suivi!$D:$D,326)))</f>
        <v/>
      </c>
      <c r="D320" s="29">
        <f>IF($B320="","",INDEX(Suivi!$E:$E,326))</f>
        <v/>
      </c>
      <c r="E320" s="29">
        <f>IF($B320="","",INDEX(Suivi!$F:$F,326))</f>
        <v/>
      </c>
      <c r="F320">
        <f>IF($B320="","",INDEX(Suivi!$G:$G,326))</f>
        <v/>
      </c>
      <c r="H320">
        <f>IF(OR($B320="",NOT(ISNUMBER($D320))),"",IF($E320&lt;$D$2,"Passé",IF($D320&gt;$F$2,"À venir","Dans la période")))</f>
        <v/>
      </c>
      <c r="I320">
        <f>IF(OR($B320="",NOT(ISNUMBER($D320))),"",IF(AND($E320&lt;$D$2,$G320&lt;&gt;"X",$F320&lt;&gt;"Réalisé",$F320&lt;&gt;"Clôturé"),"RETARD",""))</f>
        <v/>
      </c>
      <c r="J320" s="29">
        <f>IF($B320="","",IF(INDEX(Dossiers!$F$4:$F$63,6)="","",INDEX(Dossiers!$F$4:$F$63,6)))</f>
        <v/>
      </c>
      <c r="K320" s="29">
        <f>IF($B320="","",IF(INDEX(Dossiers!$G$4:$G$63,6)="","",INDEX(Dossiers!$G$4:$G$63,6)))</f>
        <v/>
      </c>
    </row>
    <row r="321">
      <c r="A321">
        <f>IF($B321="","",INDEX(Dossiers!$E$4:$E$63,6))</f>
        <v/>
      </c>
      <c r="B321">
        <f>IF(INDEX(Suivi!$B:$B,327)="","",INDEX(Suivi!$B:$B,327))</f>
        <v/>
      </c>
      <c r="C321">
        <f>IF($B321="","",IF(INDEX(Suivi!$D:$D,327)="",INDEX(Suivi!$C:$C,327),INDEX(Suivi!$D:$D,327)))</f>
        <v/>
      </c>
      <c r="D321" s="29">
        <f>IF($B321="","",INDEX(Suivi!$E:$E,327))</f>
        <v/>
      </c>
      <c r="E321" s="29">
        <f>IF($B321="","",INDEX(Suivi!$F:$F,327))</f>
        <v/>
      </c>
      <c r="F321">
        <f>IF($B321="","",INDEX(Suivi!$G:$G,327))</f>
        <v/>
      </c>
      <c r="H321">
        <f>IF(OR($B321="",NOT(ISNUMBER($D321))),"",IF($E321&lt;$D$2,"Passé",IF($D321&gt;$F$2,"À venir","Dans la période")))</f>
        <v/>
      </c>
      <c r="I321">
        <f>IF(OR($B321="",NOT(ISNUMBER($D321))),"",IF(AND($E321&lt;$D$2,$G321&lt;&gt;"X",$F321&lt;&gt;"Réalisé",$F321&lt;&gt;"Clôturé"),"RETARD",""))</f>
        <v/>
      </c>
      <c r="J321" s="29">
        <f>IF($B321="","",IF(INDEX(Dossiers!$F$4:$F$63,6)="","",INDEX(Dossiers!$F$4:$F$63,6)))</f>
        <v/>
      </c>
      <c r="K321" s="29">
        <f>IF($B321="","",IF(INDEX(Dossiers!$G$4:$G$63,6)="","",INDEX(Dossiers!$G$4:$G$63,6)))</f>
        <v/>
      </c>
    </row>
    <row r="322">
      <c r="A322">
        <f>IF($B322="","",INDEX(Dossiers!$E$4:$E$63,7))</f>
        <v/>
      </c>
      <c r="B322">
        <f>IF(INDEX(Suivi!$B:$B,329)="","",INDEX(Suivi!$B:$B,329))</f>
        <v/>
      </c>
      <c r="C322">
        <f>IF($B322="","",IF(INDEX(Suivi!$D:$D,329)="",INDEX(Suivi!$C:$C,329),INDEX(Suivi!$D:$D,329)))</f>
        <v/>
      </c>
      <c r="D322" s="29">
        <f>IF($B322="","",INDEX(Suivi!$E:$E,329))</f>
        <v/>
      </c>
      <c r="E322" s="29">
        <f>IF($B322="","",INDEX(Suivi!$F:$F,329))</f>
        <v/>
      </c>
      <c r="F322">
        <f>IF($B322="","",INDEX(Suivi!$G:$G,329))</f>
        <v/>
      </c>
      <c r="H322">
        <f>IF(OR($B322="",NOT(ISNUMBER($D322))),"",IF($E322&lt;$D$2,"Passé",IF($D322&gt;$F$2,"À venir","Dans la période")))</f>
        <v/>
      </c>
      <c r="I322">
        <f>IF(OR($B322="",NOT(ISNUMBER($D322))),"",IF(AND($E322&lt;$D$2,$G322&lt;&gt;"X",$F322&lt;&gt;"Réalisé",$F322&lt;&gt;"Clôturé"),"RETARD",""))</f>
        <v/>
      </c>
      <c r="J322" s="29">
        <f>IF($B322="","",IF(INDEX(Dossiers!$F$4:$F$63,7)="","",INDEX(Dossiers!$F$4:$F$63,7)))</f>
        <v/>
      </c>
      <c r="K322" s="29">
        <f>IF($B322="","",IF(INDEX(Dossiers!$G$4:$G$63,7)="","",INDEX(Dossiers!$G$4:$G$63,7)))</f>
        <v/>
      </c>
    </row>
    <row r="323">
      <c r="A323">
        <f>IF($B323="","",INDEX(Dossiers!$E$4:$E$63,7))</f>
        <v/>
      </c>
      <c r="B323">
        <f>IF(INDEX(Suivi!$B:$B,330)="","",INDEX(Suivi!$B:$B,330))</f>
        <v/>
      </c>
      <c r="C323">
        <f>IF($B323="","",IF(INDEX(Suivi!$D:$D,330)="",INDEX(Suivi!$C:$C,330),INDEX(Suivi!$D:$D,330)))</f>
        <v/>
      </c>
      <c r="D323" s="29">
        <f>IF($B323="","",INDEX(Suivi!$E:$E,330))</f>
        <v/>
      </c>
      <c r="E323" s="29">
        <f>IF($B323="","",INDEX(Suivi!$F:$F,330))</f>
        <v/>
      </c>
      <c r="F323">
        <f>IF($B323="","",INDEX(Suivi!$G:$G,330))</f>
        <v/>
      </c>
      <c r="H323">
        <f>IF(OR($B323="",NOT(ISNUMBER($D323))),"",IF($E323&lt;$D$2,"Passé",IF($D323&gt;$F$2,"À venir","Dans la période")))</f>
        <v/>
      </c>
      <c r="I323">
        <f>IF(OR($B323="",NOT(ISNUMBER($D323))),"",IF(AND($E323&lt;$D$2,$G323&lt;&gt;"X",$F323&lt;&gt;"Réalisé",$F323&lt;&gt;"Clôturé"),"RETARD",""))</f>
        <v/>
      </c>
      <c r="J323" s="29">
        <f>IF($B323="","",IF(INDEX(Dossiers!$F$4:$F$63,7)="","",INDEX(Dossiers!$F$4:$F$63,7)))</f>
        <v/>
      </c>
      <c r="K323" s="29">
        <f>IF($B323="","",IF(INDEX(Dossiers!$G$4:$G$63,7)="","",INDEX(Dossiers!$G$4:$G$63,7)))</f>
        <v/>
      </c>
    </row>
    <row r="324">
      <c r="A324">
        <f>IF($B324="","",INDEX(Dossiers!$E$4:$E$63,7))</f>
        <v/>
      </c>
      <c r="B324">
        <f>IF(INDEX(Suivi!$B:$B,331)="","",INDEX(Suivi!$B:$B,331))</f>
        <v/>
      </c>
      <c r="C324">
        <f>IF($B324="","",IF(INDEX(Suivi!$D:$D,331)="",INDEX(Suivi!$C:$C,331),INDEX(Suivi!$D:$D,331)))</f>
        <v/>
      </c>
      <c r="D324" s="29">
        <f>IF($B324="","",INDEX(Suivi!$E:$E,331))</f>
        <v/>
      </c>
      <c r="E324" s="29">
        <f>IF($B324="","",INDEX(Suivi!$F:$F,331))</f>
        <v/>
      </c>
      <c r="F324">
        <f>IF($B324="","",INDEX(Suivi!$G:$G,331))</f>
        <v/>
      </c>
      <c r="H324">
        <f>IF(OR($B324="",NOT(ISNUMBER($D324))),"",IF($E324&lt;$D$2,"Passé",IF($D324&gt;$F$2,"À venir","Dans la période")))</f>
        <v/>
      </c>
      <c r="I324">
        <f>IF(OR($B324="",NOT(ISNUMBER($D324))),"",IF(AND($E324&lt;$D$2,$G324&lt;&gt;"X",$F324&lt;&gt;"Réalisé",$F324&lt;&gt;"Clôturé"),"RETARD",""))</f>
        <v/>
      </c>
      <c r="J324" s="29">
        <f>IF($B324="","",IF(INDEX(Dossiers!$F$4:$F$63,7)="","",INDEX(Dossiers!$F$4:$F$63,7)))</f>
        <v/>
      </c>
      <c r="K324" s="29">
        <f>IF($B324="","",IF(INDEX(Dossiers!$G$4:$G$63,7)="","",INDEX(Dossiers!$G$4:$G$63,7)))</f>
        <v/>
      </c>
    </row>
    <row r="325">
      <c r="A325">
        <f>IF($B325="","",INDEX(Dossiers!$E$4:$E$63,7))</f>
        <v/>
      </c>
      <c r="B325">
        <f>IF(INDEX(Suivi!$B:$B,332)="","",INDEX(Suivi!$B:$B,332))</f>
        <v/>
      </c>
      <c r="C325">
        <f>IF($B325="","",IF(INDEX(Suivi!$D:$D,332)="",INDEX(Suivi!$C:$C,332),INDEX(Suivi!$D:$D,332)))</f>
        <v/>
      </c>
      <c r="D325" s="29">
        <f>IF($B325="","",INDEX(Suivi!$E:$E,332))</f>
        <v/>
      </c>
      <c r="E325" s="29">
        <f>IF($B325="","",INDEX(Suivi!$F:$F,332))</f>
        <v/>
      </c>
      <c r="F325">
        <f>IF($B325="","",INDEX(Suivi!$G:$G,332))</f>
        <v/>
      </c>
      <c r="H325">
        <f>IF(OR($B325="",NOT(ISNUMBER($D325))),"",IF($E325&lt;$D$2,"Passé",IF($D325&gt;$F$2,"À venir","Dans la période")))</f>
        <v/>
      </c>
      <c r="I325">
        <f>IF(OR($B325="",NOT(ISNUMBER($D325))),"",IF(AND($E325&lt;$D$2,$G325&lt;&gt;"X",$F325&lt;&gt;"Réalisé",$F325&lt;&gt;"Clôturé"),"RETARD",""))</f>
        <v/>
      </c>
      <c r="J325" s="29">
        <f>IF($B325="","",IF(INDEX(Dossiers!$F$4:$F$63,7)="","",INDEX(Dossiers!$F$4:$F$63,7)))</f>
        <v/>
      </c>
      <c r="K325" s="29">
        <f>IF($B325="","",IF(INDEX(Dossiers!$G$4:$G$63,7)="","",INDEX(Dossiers!$G$4:$G$63,7)))</f>
        <v/>
      </c>
    </row>
    <row r="326">
      <c r="A326">
        <f>IF($B326="","",INDEX(Dossiers!$E$4:$E$63,7))</f>
        <v/>
      </c>
      <c r="B326">
        <f>IF(INDEX(Suivi!$B:$B,333)="","",INDEX(Suivi!$B:$B,333))</f>
        <v/>
      </c>
      <c r="C326">
        <f>IF($B326="","",IF(INDEX(Suivi!$D:$D,333)="",INDEX(Suivi!$C:$C,333),INDEX(Suivi!$D:$D,333)))</f>
        <v/>
      </c>
      <c r="D326" s="29">
        <f>IF($B326="","",INDEX(Suivi!$E:$E,333))</f>
        <v/>
      </c>
      <c r="E326" s="29">
        <f>IF($B326="","",INDEX(Suivi!$F:$F,333))</f>
        <v/>
      </c>
      <c r="F326">
        <f>IF($B326="","",INDEX(Suivi!$G:$G,333))</f>
        <v/>
      </c>
      <c r="H326">
        <f>IF(OR($B326="",NOT(ISNUMBER($D326))),"",IF($E326&lt;$D$2,"Passé",IF($D326&gt;$F$2,"À venir","Dans la période")))</f>
        <v/>
      </c>
      <c r="I326">
        <f>IF(OR($B326="",NOT(ISNUMBER($D326))),"",IF(AND($E326&lt;$D$2,$G326&lt;&gt;"X",$F326&lt;&gt;"Réalisé",$F326&lt;&gt;"Clôturé"),"RETARD",""))</f>
        <v/>
      </c>
      <c r="J326" s="29">
        <f>IF($B326="","",IF(INDEX(Dossiers!$F$4:$F$63,7)="","",INDEX(Dossiers!$F$4:$F$63,7)))</f>
        <v/>
      </c>
      <c r="K326" s="29">
        <f>IF($B326="","",IF(INDEX(Dossiers!$G$4:$G$63,7)="","",INDEX(Dossiers!$G$4:$G$63,7)))</f>
        <v/>
      </c>
    </row>
    <row r="327">
      <c r="A327">
        <f>IF($B327="","",INDEX(Dossiers!$E$4:$E$63,7))</f>
        <v/>
      </c>
      <c r="B327">
        <f>IF(INDEX(Suivi!$B:$B,334)="","",INDEX(Suivi!$B:$B,334))</f>
        <v/>
      </c>
      <c r="C327">
        <f>IF($B327="","",IF(INDEX(Suivi!$D:$D,334)="",INDEX(Suivi!$C:$C,334),INDEX(Suivi!$D:$D,334)))</f>
        <v/>
      </c>
      <c r="D327" s="29">
        <f>IF($B327="","",INDEX(Suivi!$E:$E,334))</f>
        <v/>
      </c>
      <c r="E327" s="29">
        <f>IF($B327="","",INDEX(Suivi!$F:$F,334))</f>
        <v/>
      </c>
      <c r="F327">
        <f>IF($B327="","",INDEX(Suivi!$G:$G,334))</f>
        <v/>
      </c>
      <c r="H327">
        <f>IF(OR($B327="",NOT(ISNUMBER($D327))),"",IF($E327&lt;$D$2,"Passé",IF($D327&gt;$F$2,"À venir","Dans la période")))</f>
        <v/>
      </c>
      <c r="I327">
        <f>IF(OR($B327="",NOT(ISNUMBER($D327))),"",IF(AND($E327&lt;$D$2,$G327&lt;&gt;"X",$F327&lt;&gt;"Réalisé",$F327&lt;&gt;"Clôturé"),"RETARD",""))</f>
        <v/>
      </c>
      <c r="J327" s="29">
        <f>IF($B327="","",IF(INDEX(Dossiers!$F$4:$F$63,7)="","",INDEX(Dossiers!$F$4:$F$63,7)))</f>
        <v/>
      </c>
      <c r="K327" s="29">
        <f>IF($B327="","",IF(INDEX(Dossiers!$G$4:$G$63,7)="","",INDEX(Dossiers!$G$4:$G$63,7)))</f>
        <v/>
      </c>
    </row>
    <row r="328">
      <c r="A328">
        <f>IF($B328="","",INDEX(Dossiers!$E$4:$E$63,7))</f>
        <v/>
      </c>
      <c r="B328">
        <f>IF(INDEX(Suivi!$B:$B,335)="","",INDEX(Suivi!$B:$B,335))</f>
        <v/>
      </c>
      <c r="C328">
        <f>IF($B328="","",IF(INDEX(Suivi!$D:$D,335)="",INDEX(Suivi!$C:$C,335),INDEX(Suivi!$D:$D,335)))</f>
        <v/>
      </c>
      <c r="D328" s="29">
        <f>IF($B328="","",INDEX(Suivi!$E:$E,335))</f>
        <v/>
      </c>
      <c r="E328" s="29">
        <f>IF($B328="","",INDEX(Suivi!$F:$F,335))</f>
        <v/>
      </c>
      <c r="F328">
        <f>IF($B328="","",INDEX(Suivi!$G:$G,335))</f>
        <v/>
      </c>
      <c r="H328">
        <f>IF(OR($B328="",NOT(ISNUMBER($D328))),"",IF($E328&lt;$D$2,"Passé",IF($D328&gt;$F$2,"À venir","Dans la période")))</f>
        <v/>
      </c>
      <c r="I328">
        <f>IF(OR($B328="",NOT(ISNUMBER($D328))),"",IF(AND($E328&lt;$D$2,$G328&lt;&gt;"X",$F328&lt;&gt;"Réalisé",$F328&lt;&gt;"Clôturé"),"RETARD",""))</f>
        <v/>
      </c>
      <c r="J328" s="29">
        <f>IF($B328="","",IF(INDEX(Dossiers!$F$4:$F$63,7)="","",INDEX(Dossiers!$F$4:$F$63,7)))</f>
        <v/>
      </c>
      <c r="K328" s="29">
        <f>IF($B328="","",IF(INDEX(Dossiers!$G$4:$G$63,7)="","",INDEX(Dossiers!$G$4:$G$63,7)))</f>
        <v/>
      </c>
    </row>
    <row r="329">
      <c r="A329">
        <f>IF($B329="","",INDEX(Dossiers!$E$4:$E$63,7))</f>
        <v/>
      </c>
      <c r="B329">
        <f>IF(INDEX(Suivi!$B:$B,336)="","",INDEX(Suivi!$B:$B,336))</f>
        <v/>
      </c>
      <c r="C329">
        <f>IF($B329="","",IF(INDEX(Suivi!$D:$D,336)="",INDEX(Suivi!$C:$C,336),INDEX(Suivi!$D:$D,336)))</f>
        <v/>
      </c>
      <c r="D329" s="29">
        <f>IF($B329="","",INDEX(Suivi!$E:$E,336))</f>
        <v/>
      </c>
      <c r="E329" s="29">
        <f>IF($B329="","",INDEX(Suivi!$F:$F,336))</f>
        <v/>
      </c>
      <c r="F329">
        <f>IF($B329="","",INDEX(Suivi!$G:$G,336))</f>
        <v/>
      </c>
      <c r="H329">
        <f>IF(OR($B329="",NOT(ISNUMBER($D329))),"",IF($E329&lt;$D$2,"Passé",IF($D329&gt;$F$2,"À venir","Dans la période")))</f>
        <v/>
      </c>
      <c r="I329">
        <f>IF(OR($B329="",NOT(ISNUMBER($D329))),"",IF(AND($E329&lt;$D$2,$G329&lt;&gt;"X",$F329&lt;&gt;"Réalisé",$F329&lt;&gt;"Clôturé"),"RETARD",""))</f>
        <v/>
      </c>
      <c r="J329" s="29">
        <f>IF($B329="","",IF(INDEX(Dossiers!$F$4:$F$63,7)="","",INDEX(Dossiers!$F$4:$F$63,7)))</f>
        <v/>
      </c>
      <c r="K329" s="29">
        <f>IF($B329="","",IF(INDEX(Dossiers!$G$4:$G$63,7)="","",INDEX(Dossiers!$G$4:$G$63,7)))</f>
        <v/>
      </c>
    </row>
    <row r="330">
      <c r="A330">
        <f>IF($B330="","",INDEX(Dossiers!$E$4:$E$63,7))</f>
        <v/>
      </c>
      <c r="B330">
        <f>IF(INDEX(Suivi!$B:$B,337)="","",INDEX(Suivi!$B:$B,337))</f>
        <v/>
      </c>
      <c r="C330">
        <f>IF($B330="","",IF(INDEX(Suivi!$D:$D,337)="",INDEX(Suivi!$C:$C,337),INDEX(Suivi!$D:$D,337)))</f>
        <v/>
      </c>
      <c r="D330" s="29">
        <f>IF($B330="","",INDEX(Suivi!$E:$E,337))</f>
        <v/>
      </c>
      <c r="E330" s="29">
        <f>IF($B330="","",INDEX(Suivi!$F:$F,337))</f>
        <v/>
      </c>
      <c r="F330">
        <f>IF($B330="","",INDEX(Suivi!$G:$G,337))</f>
        <v/>
      </c>
      <c r="H330">
        <f>IF(OR($B330="",NOT(ISNUMBER($D330))),"",IF($E330&lt;$D$2,"Passé",IF($D330&gt;$F$2,"À venir","Dans la période")))</f>
        <v/>
      </c>
      <c r="I330">
        <f>IF(OR($B330="",NOT(ISNUMBER($D330))),"",IF(AND($E330&lt;$D$2,$G330&lt;&gt;"X",$F330&lt;&gt;"Réalisé",$F330&lt;&gt;"Clôturé"),"RETARD",""))</f>
        <v/>
      </c>
      <c r="J330" s="29">
        <f>IF($B330="","",IF(INDEX(Dossiers!$F$4:$F$63,7)="","",INDEX(Dossiers!$F$4:$F$63,7)))</f>
        <v/>
      </c>
      <c r="K330" s="29">
        <f>IF($B330="","",IF(INDEX(Dossiers!$G$4:$G$63,7)="","",INDEX(Dossiers!$G$4:$G$63,7)))</f>
        <v/>
      </c>
    </row>
    <row r="331">
      <c r="A331">
        <f>IF($B331="","",INDEX(Dossiers!$E$4:$E$63,7))</f>
        <v/>
      </c>
      <c r="B331">
        <f>IF(INDEX(Suivi!$B:$B,338)="","",INDEX(Suivi!$B:$B,338))</f>
        <v/>
      </c>
      <c r="C331">
        <f>IF($B331="","",IF(INDEX(Suivi!$D:$D,338)="",INDEX(Suivi!$C:$C,338),INDEX(Suivi!$D:$D,338)))</f>
        <v/>
      </c>
      <c r="D331" s="29">
        <f>IF($B331="","",INDEX(Suivi!$E:$E,338))</f>
        <v/>
      </c>
      <c r="E331" s="29">
        <f>IF($B331="","",INDEX(Suivi!$F:$F,338))</f>
        <v/>
      </c>
      <c r="F331">
        <f>IF($B331="","",INDEX(Suivi!$G:$G,338))</f>
        <v/>
      </c>
      <c r="H331">
        <f>IF(OR($B331="",NOT(ISNUMBER($D331))),"",IF($E331&lt;$D$2,"Passé",IF($D331&gt;$F$2,"À venir","Dans la période")))</f>
        <v/>
      </c>
      <c r="I331">
        <f>IF(OR($B331="",NOT(ISNUMBER($D331))),"",IF(AND($E331&lt;$D$2,$G331&lt;&gt;"X",$F331&lt;&gt;"Réalisé",$F331&lt;&gt;"Clôturé"),"RETARD",""))</f>
        <v/>
      </c>
      <c r="J331" s="29">
        <f>IF($B331="","",IF(INDEX(Dossiers!$F$4:$F$63,7)="","",INDEX(Dossiers!$F$4:$F$63,7)))</f>
        <v/>
      </c>
      <c r="K331" s="29">
        <f>IF($B331="","",IF(INDEX(Dossiers!$G$4:$G$63,7)="","",INDEX(Dossiers!$G$4:$G$63,7)))</f>
        <v/>
      </c>
    </row>
    <row r="332">
      <c r="A332">
        <f>IF($B332="","",INDEX(Dossiers!$E$4:$E$63,7))</f>
        <v/>
      </c>
      <c r="B332">
        <f>IF(INDEX(Suivi!$B:$B,339)="","",INDEX(Suivi!$B:$B,339))</f>
        <v/>
      </c>
      <c r="C332">
        <f>IF($B332="","",IF(INDEX(Suivi!$D:$D,339)="",INDEX(Suivi!$C:$C,339),INDEX(Suivi!$D:$D,339)))</f>
        <v/>
      </c>
      <c r="D332" s="29">
        <f>IF($B332="","",INDEX(Suivi!$E:$E,339))</f>
        <v/>
      </c>
      <c r="E332" s="29">
        <f>IF($B332="","",INDEX(Suivi!$F:$F,339))</f>
        <v/>
      </c>
      <c r="F332">
        <f>IF($B332="","",INDEX(Suivi!$G:$G,339))</f>
        <v/>
      </c>
      <c r="H332">
        <f>IF(OR($B332="",NOT(ISNUMBER($D332))),"",IF($E332&lt;$D$2,"Passé",IF($D332&gt;$F$2,"À venir","Dans la période")))</f>
        <v/>
      </c>
      <c r="I332">
        <f>IF(OR($B332="",NOT(ISNUMBER($D332))),"",IF(AND($E332&lt;$D$2,$G332&lt;&gt;"X",$F332&lt;&gt;"Réalisé",$F332&lt;&gt;"Clôturé"),"RETARD",""))</f>
        <v/>
      </c>
      <c r="J332" s="29">
        <f>IF($B332="","",IF(INDEX(Dossiers!$F$4:$F$63,7)="","",INDEX(Dossiers!$F$4:$F$63,7)))</f>
        <v/>
      </c>
      <c r="K332" s="29">
        <f>IF($B332="","",IF(INDEX(Dossiers!$G$4:$G$63,7)="","",INDEX(Dossiers!$G$4:$G$63,7)))</f>
        <v/>
      </c>
    </row>
    <row r="333">
      <c r="A333">
        <f>IF($B333="","",INDEX(Dossiers!$E$4:$E$63,7))</f>
        <v/>
      </c>
      <c r="B333">
        <f>IF(INDEX(Suivi!$B:$B,340)="","",INDEX(Suivi!$B:$B,340))</f>
        <v/>
      </c>
      <c r="C333">
        <f>IF($B333="","",IF(INDEX(Suivi!$D:$D,340)="",INDEX(Suivi!$C:$C,340),INDEX(Suivi!$D:$D,340)))</f>
        <v/>
      </c>
      <c r="D333" s="29">
        <f>IF($B333="","",INDEX(Suivi!$E:$E,340))</f>
        <v/>
      </c>
      <c r="E333" s="29">
        <f>IF($B333="","",INDEX(Suivi!$F:$F,340))</f>
        <v/>
      </c>
      <c r="F333">
        <f>IF($B333="","",INDEX(Suivi!$G:$G,340))</f>
        <v/>
      </c>
      <c r="H333">
        <f>IF(OR($B333="",NOT(ISNUMBER($D333))),"",IF($E333&lt;$D$2,"Passé",IF($D333&gt;$F$2,"À venir","Dans la période")))</f>
        <v/>
      </c>
      <c r="I333">
        <f>IF(OR($B333="",NOT(ISNUMBER($D333))),"",IF(AND($E333&lt;$D$2,$G333&lt;&gt;"X",$F333&lt;&gt;"Réalisé",$F333&lt;&gt;"Clôturé"),"RETARD",""))</f>
        <v/>
      </c>
      <c r="J333" s="29">
        <f>IF($B333="","",IF(INDEX(Dossiers!$F$4:$F$63,7)="","",INDEX(Dossiers!$F$4:$F$63,7)))</f>
        <v/>
      </c>
      <c r="K333" s="29">
        <f>IF($B333="","",IF(INDEX(Dossiers!$G$4:$G$63,7)="","",INDEX(Dossiers!$G$4:$G$63,7)))</f>
        <v/>
      </c>
    </row>
    <row r="334">
      <c r="A334">
        <f>IF($B334="","",INDEX(Dossiers!$E$4:$E$63,7))</f>
        <v/>
      </c>
      <c r="B334">
        <f>IF(INDEX(Suivi!$B:$B,341)="","",INDEX(Suivi!$B:$B,341))</f>
        <v/>
      </c>
      <c r="C334">
        <f>IF($B334="","",IF(INDEX(Suivi!$D:$D,341)="",INDEX(Suivi!$C:$C,341),INDEX(Suivi!$D:$D,341)))</f>
        <v/>
      </c>
      <c r="D334" s="29">
        <f>IF($B334="","",INDEX(Suivi!$E:$E,341))</f>
        <v/>
      </c>
      <c r="E334" s="29">
        <f>IF($B334="","",INDEX(Suivi!$F:$F,341))</f>
        <v/>
      </c>
      <c r="F334">
        <f>IF($B334="","",INDEX(Suivi!$G:$G,341))</f>
        <v/>
      </c>
      <c r="H334">
        <f>IF(OR($B334="",NOT(ISNUMBER($D334))),"",IF($E334&lt;$D$2,"Passé",IF($D334&gt;$F$2,"À venir","Dans la période")))</f>
        <v/>
      </c>
      <c r="I334">
        <f>IF(OR($B334="",NOT(ISNUMBER($D334))),"",IF(AND($E334&lt;$D$2,$G334&lt;&gt;"X",$F334&lt;&gt;"Réalisé",$F334&lt;&gt;"Clôturé"),"RETARD",""))</f>
        <v/>
      </c>
      <c r="J334" s="29">
        <f>IF($B334="","",IF(INDEX(Dossiers!$F$4:$F$63,7)="","",INDEX(Dossiers!$F$4:$F$63,7)))</f>
        <v/>
      </c>
      <c r="K334" s="29">
        <f>IF($B334="","",IF(INDEX(Dossiers!$G$4:$G$63,7)="","",INDEX(Dossiers!$G$4:$G$63,7)))</f>
        <v/>
      </c>
    </row>
    <row r="335">
      <c r="A335">
        <f>IF($B335="","",INDEX(Dossiers!$E$4:$E$63,7))</f>
        <v/>
      </c>
      <c r="B335">
        <f>IF(INDEX(Suivi!$B:$B,342)="","",INDEX(Suivi!$B:$B,342))</f>
        <v/>
      </c>
      <c r="C335">
        <f>IF($B335="","",IF(INDEX(Suivi!$D:$D,342)="",INDEX(Suivi!$C:$C,342),INDEX(Suivi!$D:$D,342)))</f>
        <v/>
      </c>
      <c r="D335" s="29">
        <f>IF($B335="","",INDEX(Suivi!$E:$E,342))</f>
        <v/>
      </c>
      <c r="E335" s="29">
        <f>IF($B335="","",INDEX(Suivi!$F:$F,342))</f>
        <v/>
      </c>
      <c r="F335">
        <f>IF($B335="","",INDEX(Suivi!$G:$G,342))</f>
        <v/>
      </c>
      <c r="H335">
        <f>IF(OR($B335="",NOT(ISNUMBER($D335))),"",IF($E335&lt;$D$2,"Passé",IF($D335&gt;$F$2,"À venir","Dans la période")))</f>
        <v/>
      </c>
      <c r="I335">
        <f>IF(OR($B335="",NOT(ISNUMBER($D335))),"",IF(AND($E335&lt;$D$2,$G335&lt;&gt;"X",$F335&lt;&gt;"Réalisé",$F335&lt;&gt;"Clôturé"),"RETARD",""))</f>
        <v/>
      </c>
      <c r="J335" s="29">
        <f>IF($B335="","",IF(INDEX(Dossiers!$F$4:$F$63,7)="","",INDEX(Dossiers!$F$4:$F$63,7)))</f>
        <v/>
      </c>
      <c r="K335" s="29">
        <f>IF($B335="","",IF(INDEX(Dossiers!$G$4:$G$63,7)="","",INDEX(Dossiers!$G$4:$G$63,7)))</f>
        <v/>
      </c>
    </row>
    <row r="336">
      <c r="A336">
        <f>IF($B336="","",INDEX(Dossiers!$E$4:$E$63,7))</f>
        <v/>
      </c>
      <c r="B336">
        <f>IF(INDEX(Suivi!$B:$B,343)="","",INDEX(Suivi!$B:$B,343))</f>
        <v/>
      </c>
      <c r="C336">
        <f>IF($B336="","",IF(INDEX(Suivi!$D:$D,343)="",INDEX(Suivi!$C:$C,343),INDEX(Suivi!$D:$D,343)))</f>
        <v/>
      </c>
      <c r="D336" s="29">
        <f>IF($B336="","",INDEX(Suivi!$E:$E,343))</f>
        <v/>
      </c>
      <c r="E336" s="29">
        <f>IF($B336="","",INDEX(Suivi!$F:$F,343))</f>
        <v/>
      </c>
      <c r="F336">
        <f>IF($B336="","",INDEX(Suivi!$G:$G,343))</f>
        <v/>
      </c>
      <c r="H336">
        <f>IF(OR($B336="",NOT(ISNUMBER($D336))),"",IF($E336&lt;$D$2,"Passé",IF($D336&gt;$F$2,"À venir","Dans la période")))</f>
        <v/>
      </c>
      <c r="I336">
        <f>IF(OR($B336="",NOT(ISNUMBER($D336))),"",IF(AND($E336&lt;$D$2,$G336&lt;&gt;"X",$F336&lt;&gt;"Réalisé",$F336&lt;&gt;"Clôturé"),"RETARD",""))</f>
        <v/>
      </c>
      <c r="J336" s="29">
        <f>IF($B336="","",IF(INDEX(Dossiers!$F$4:$F$63,7)="","",INDEX(Dossiers!$F$4:$F$63,7)))</f>
        <v/>
      </c>
      <c r="K336" s="29">
        <f>IF($B336="","",IF(INDEX(Dossiers!$G$4:$G$63,7)="","",INDEX(Dossiers!$G$4:$G$63,7)))</f>
        <v/>
      </c>
    </row>
    <row r="337">
      <c r="A337">
        <f>IF($B337="","",INDEX(Dossiers!$E$4:$E$63,7))</f>
        <v/>
      </c>
      <c r="B337">
        <f>IF(INDEX(Suivi!$B:$B,344)="","",INDEX(Suivi!$B:$B,344))</f>
        <v/>
      </c>
      <c r="C337">
        <f>IF($B337="","",IF(INDEX(Suivi!$D:$D,344)="",INDEX(Suivi!$C:$C,344),INDEX(Suivi!$D:$D,344)))</f>
        <v/>
      </c>
      <c r="D337" s="29">
        <f>IF($B337="","",INDEX(Suivi!$E:$E,344))</f>
        <v/>
      </c>
      <c r="E337" s="29">
        <f>IF($B337="","",INDEX(Suivi!$F:$F,344))</f>
        <v/>
      </c>
      <c r="F337">
        <f>IF($B337="","",INDEX(Suivi!$G:$G,344))</f>
        <v/>
      </c>
      <c r="H337">
        <f>IF(OR($B337="",NOT(ISNUMBER($D337))),"",IF($E337&lt;$D$2,"Passé",IF($D337&gt;$F$2,"À venir","Dans la période")))</f>
        <v/>
      </c>
      <c r="I337">
        <f>IF(OR($B337="",NOT(ISNUMBER($D337))),"",IF(AND($E337&lt;$D$2,$G337&lt;&gt;"X",$F337&lt;&gt;"Réalisé",$F337&lt;&gt;"Clôturé"),"RETARD",""))</f>
        <v/>
      </c>
      <c r="J337" s="29">
        <f>IF($B337="","",IF(INDEX(Dossiers!$F$4:$F$63,7)="","",INDEX(Dossiers!$F$4:$F$63,7)))</f>
        <v/>
      </c>
      <c r="K337" s="29">
        <f>IF($B337="","",IF(INDEX(Dossiers!$G$4:$G$63,7)="","",INDEX(Dossiers!$G$4:$G$63,7)))</f>
        <v/>
      </c>
    </row>
    <row r="338">
      <c r="A338">
        <f>IF($B338="","",INDEX(Dossiers!$E$4:$E$63,7))</f>
        <v/>
      </c>
      <c r="B338">
        <f>IF(INDEX(Suivi!$B:$B,345)="","",INDEX(Suivi!$B:$B,345))</f>
        <v/>
      </c>
      <c r="C338">
        <f>IF($B338="","",IF(INDEX(Suivi!$D:$D,345)="",INDEX(Suivi!$C:$C,345),INDEX(Suivi!$D:$D,345)))</f>
        <v/>
      </c>
      <c r="D338" s="29">
        <f>IF($B338="","",INDEX(Suivi!$E:$E,345))</f>
        <v/>
      </c>
      <c r="E338" s="29">
        <f>IF($B338="","",INDEX(Suivi!$F:$F,345))</f>
        <v/>
      </c>
      <c r="F338">
        <f>IF($B338="","",INDEX(Suivi!$G:$G,345))</f>
        <v/>
      </c>
      <c r="H338">
        <f>IF(OR($B338="",NOT(ISNUMBER($D338))),"",IF($E338&lt;$D$2,"Passé",IF($D338&gt;$F$2,"À venir","Dans la période")))</f>
        <v/>
      </c>
      <c r="I338">
        <f>IF(OR($B338="",NOT(ISNUMBER($D338))),"",IF(AND($E338&lt;$D$2,$G338&lt;&gt;"X",$F338&lt;&gt;"Réalisé",$F338&lt;&gt;"Clôturé"),"RETARD",""))</f>
        <v/>
      </c>
      <c r="J338" s="29">
        <f>IF($B338="","",IF(INDEX(Dossiers!$F$4:$F$63,7)="","",INDEX(Dossiers!$F$4:$F$63,7)))</f>
        <v/>
      </c>
      <c r="K338" s="29">
        <f>IF($B338="","",IF(INDEX(Dossiers!$G$4:$G$63,7)="","",INDEX(Dossiers!$G$4:$G$63,7)))</f>
        <v/>
      </c>
    </row>
    <row r="339">
      <c r="A339">
        <f>IF($B339="","",INDEX(Dossiers!$E$4:$E$63,7))</f>
        <v/>
      </c>
      <c r="B339">
        <f>IF(INDEX(Suivi!$B:$B,346)="","",INDEX(Suivi!$B:$B,346))</f>
        <v/>
      </c>
      <c r="C339">
        <f>IF($B339="","",IF(INDEX(Suivi!$D:$D,346)="",INDEX(Suivi!$C:$C,346),INDEX(Suivi!$D:$D,346)))</f>
        <v/>
      </c>
      <c r="D339" s="29">
        <f>IF($B339="","",INDEX(Suivi!$E:$E,346))</f>
        <v/>
      </c>
      <c r="E339" s="29">
        <f>IF($B339="","",INDEX(Suivi!$F:$F,346))</f>
        <v/>
      </c>
      <c r="F339">
        <f>IF($B339="","",INDEX(Suivi!$G:$G,346))</f>
        <v/>
      </c>
      <c r="H339">
        <f>IF(OR($B339="",NOT(ISNUMBER($D339))),"",IF($E339&lt;$D$2,"Passé",IF($D339&gt;$F$2,"À venir","Dans la période")))</f>
        <v/>
      </c>
      <c r="I339">
        <f>IF(OR($B339="",NOT(ISNUMBER($D339))),"",IF(AND($E339&lt;$D$2,$G339&lt;&gt;"X",$F339&lt;&gt;"Réalisé",$F339&lt;&gt;"Clôturé"),"RETARD",""))</f>
        <v/>
      </c>
      <c r="J339" s="29">
        <f>IF($B339="","",IF(INDEX(Dossiers!$F$4:$F$63,7)="","",INDEX(Dossiers!$F$4:$F$63,7)))</f>
        <v/>
      </c>
      <c r="K339" s="29">
        <f>IF($B339="","",IF(INDEX(Dossiers!$G$4:$G$63,7)="","",INDEX(Dossiers!$G$4:$G$63,7)))</f>
        <v/>
      </c>
    </row>
    <row r="340">
      <c r="A340">
        <f>IF($B340="","",INDEX(Dossiers!$E$4:$E$63,7))</f>
        <v/>
      </c>
      <c r="B340">
        <f>IF(INDEX(Suivi!$B:$B,347)="","",INDEX(Suivi!$B:$B,347))</f>
        <v/>
      </c>
      <c r="C340">
        <f>IF($B340="","",IF(INDEX(Suivi!$D:$D,347)="",INDEX(Suivi!$C:$C,347),INDEX(Suivi!$D:$D,347)))</f>
        <v/>
      </c>
      <c r="D340" s="29">
        <f>IF($B340="","",INDEX(Suivi!$E:$E,347))</f>
        <v/>
      </c>
      <c r="E340" s="29">
        <f>IF($B340="","",INDEX(Suivi!$F:$F,347))</f>
        <v/>
      </c>
      <c r="F340">
        <f>IF($B340="","",INDEX(Suivi!$G:$G,347))</f>
        <v/>
      </c>
      <c r="H340">
        <f>IF(OR($B340="",NOT(ISNUMBER($D340))),"",IF($E340&lt;$D$2,"Passé",IF($D340&gt;$F$2,"À venir","Dans la période")))</f>
        <v/>
      </c>
      <c r="I340">
        <f>IF(OR($B340="",NOT(ISNUMBER($D340))),"",IF(AND($E340&lt;$D$2,$G340&lt;&gt;"X",$F340&lt;&gt;"Réalisé",$F340&lt;&gt;"Clôturé"),"RETARD",""))</f>
        <v/>
      </c>
      <c r="J340" s="29">
        <f>IF($B340="","",IF(INDEX(Dossiers!$F$4:$F$63,7)="","",INDEX(Dossiers!$F$4:$F$63,7)))</f>
        <v/>
      </c>
      <c r="K340" s="29">
        <f>IF($B340="","",IF(INDEX(Dossiers!$G$4:$G$63,7)="","",INDEX(Dossiers!$G$4:$G$63,7)))</f>
        <v/>
      </c>
    </row>
    <row r="341">
      <c r="A341">
        <f>IF($B341="","",INDEX(Dossiers!$E$4:$E$63,7))</f>
        <v/>
      </c>
      <c r="B341">
        <f>IF(INDEX(Suivi!$B:$B,348)="","",INDEX(Suivi!$B:$B,348))</f>
        <v/>
      </c>
      <c r="C341">
        <f>IF($B341="","",IF(INDEX(Suivi!$D:$D,348)="",INDEX(Suivi!$C:$C,348),INDEX(Suivi!$D:$D,348)))</f>
        <v/>
      </c>
      <c r="D341" s="29">
        <f>IF($B341="","",INDEX(Suivi!$E:$E,348))</f>
        <v/>
      </c>
      <c r="E341" s="29">
        <f>IF($B341="","",INDEX(Suivi!$F:$F,348))</f>
        <v/>
      </c>
      <c r="F341">
        <f>IF($B341="","",INDEX(Suivi!$G:$G,348))</f>
        <v/>
      </c>
      <c r="H341">
        <f>IF(OR($B341="",NOT(ISNUMBER($D341))),"",IF($E341&lt;$D$2,"Passé",IF($D341&gt;$F$2,"À venir","Dans la période")))</f>
        <v/>
      </c>
      <c r="I341">
        <f>IF(OR($B341="",NOT(ISNUMBER($D341))),"",IF(AND($E341&lt;$D$2,$G341&lt;&gt;"X",$F341&lt;&gt;"Réalisé",$F341&lt;&gt;"Clôturé"),"RETARD",""))</f>
        <v/>
      </c>
      <c r="J341" s="29">
        <f>IF($B341="","",IF(INDEX(Dossiers!$F$4:$F$63,7)="","",INDEX(Dossiers!$F$4:$F$63,7)))</f>
        <v/>
      </c>
      <c r="K341" s="29">
        <f>IF($B341="","",IF(INDEX(Dossiers!$G$4:$G$63,7)="","",INDEX(Dossiers!$G$4:$G$63,7)))</f>
        <v/>
      </c>
    </row>
    <row r="342">
      <c r="A342">
        <f>IF($B342="","",INDEX(Dossiers!$E$4:$E$63,7))</f>
        <v/>
      </c>
      <c r="B342">
        <f>IF(INDEX(Suivi!$B:$B,349)="","",INDEX(Suivi!$B:$B,349))</f>
        <v/>
      </c>
      <c r="C342">
        <f>IF($B342="","",IF(INDEX(Suivi!$D:$D,349)="",INDEX(Suivi!$C:$C,349),INDEX(Suivi!$D:$D,349)))</f>
        <v/>
      </c>
      <c r="D342" s="29">
        <f>IF($B342="","",INDEX(Suivi!$E:$E,349))</f>
        <v/>
      </c>
      <c r="E342" s="29">
        <f>IF($B342="","",INDEX(Suivi!$F:$F,349))</f>
        <v/>
      </c>
      <c r="F342">
        <f>IF($B342="","",INDEX(Suivi!$G:$G,349))</f>
        <v/>
      </c>
      <c r="H342">
        <f>IF(OR($B342="",NOT(ISNUMBER($D342))),"",IF($E342&lt;$D$2,"Passé",IF($D342&gt;$F$2,"À venir","Dans la période")))</f>
        <v/>
      </c>
      <c r="I342">
        <f>IF(OR($B342="",NOT(ISNUMBER($D342))),"",IF(AND($E342&lt;$D$2,$G342&lt;&gt;"X",$F342&lt;&gt;"Réalisé",$F342&lt;&gt;"Clôturé"),"RETARD",""))</f>
        <v/>
      </c>
      <c r="J342" s="29">
        <f>IF($B342="","",IF(INDEX(Dossiers!$F$4:$F$63,7)="","",INDEX(Dossiers!$F$4:$F$63,7)))</f>
        <v/>
      </c>
      <c r="K342" s="29">
        <f>IF($B342="","",IF(INDEX(Dossiers!$G$4:$G$63,7)="","",INDEX(Dossiers!$G$4:$G$63,7)))</f>
        <v/>
      </c>
    </row>
    <row r="343">
      <c r="A343">
        <f>IF($B343="","",INDEX(Dossiers!$E$4:$E$63,7))</f>
        <v/>
      </c>
      <c r="B343">
        <f>IF(INDEX(Suivi!$B:$B,350)="","",INDEX(Suivi!$B:$B,350))</f>
        <v/>
      </c>
      <c r="C343">
        <f>IF($B343="","",IF(INDEX(Suivi!$D:$D,350)="",INDEX(Suivi!$C:$C,350),INDEX(Suivi!$D:$D,350)))</f>
        <v/>
      </c>
      <c r="D343" s="29">
        <f>IF($B343="","",INDEX(Suivi!$E:$E,350))</f>
        <v/>
      </c>
      <c r="E343" s="29">
        <f>IF($B343="","",INDEX(Suivi!$F:$F,350))</f>
        <v/>
      </c>
      <c r="F343">
        <f>IF($B343="","",INDEX(Suivi!$G:$G,350))</f>
        <v/>
      </c>
      <c r="H343">
        <f>IF(OR($B343="",NOT(ISNUMBER($D343))),"",IF($E343&lt;$D$2,"Passé",IF($D343&gt;$F$2,"À venir","Dans la période")))</f>
        <v/>
      </c>
      <c r="I343">
        <f>IF(OR($B343="",NOT(ISNUMBER($D343))),"",IF(AND($E343&lt;$D$2,$G343&lt;&gt;"X",$F343&lt;&gt;"Réalisé",$F343&lt;&gt;"Clôturé"),"RETARD",""))</f>
        <v/>
      </c>
      <c r="J343" s="29">
        <f>IF($B343="","",IF(INDEX(Dossiers!$F$4:$F$63,7)="","",INDEX(Dossiers!$F$4:$F$63,7)))</f>
        <v/>
      </c>
      <c r="K343" s="29">
        <f>IF($B343="","",IF(INDEX(Dossiers!$G$4:$G$63,7)="","",INDEX(Dossiers!$G$4:$G$63,7)))</f>
        <v/>
      </c>
    </row>
    <row r="344">
      <c r="A344">
        <f>IF($B344="","",INDEX(Dossiers!$E$4:$E$63,7))</f>
        <v/>
      </c>
      <c r="B344">
        <f>IF(INDEX(Suivi!$B:$B,351)="","",INDEX(Suivi!$B:$B,351))</f>
        <v/>
      </c>
      <c r="C344">
        <f>IF($B344="","",IF(INDEX(Suivi!$D:$D,351)="",INDEX(Suivi!$C:$C,351),INDEX(Suivi!$D:$D,351)))</f>
        <v/>
      </c>
      <c r="D344" s="29">
        <f>IF($B344="","",INDEX(Suivi!$E:$E,351))</f>
        <v/>
      </c>
      <c r="E344" s="29">
        <f>IF($B344="","",INDEX(Suivi!$F:$F,351))</f>
        <v/>
      </c>
      <c r="F344">
        <f>IF($B344="","",INDEX(Suivi!$G:$G,351))</f>
        <v/>
      </c>
      <c r="H344">
        <f>IF(OR($B344="",NOT(ISNUMBER($D344))),"",IF($E344&lt;$D$2,"Passé",IF($D344&gt;$F$2,"À venir","Dans la période")))</f>
        <v/>
      </c>
      <c r="I344">
        <f>IF(OR($B344="",NOT(ISNUMBER($D344))),"",IF(AND($E344&lt;$D$2,$G344&lt;&gt;"X",$F344&lt;&gt;"Réalisé",$F344&lt;&gt;"Clôturé"),"RETARD",""))</f>
        <v/>
      </c>
      <c r="J344" s="29">
        <f>IF($B344="","",IF(INDEX(Dossiers!$F$4:$F$63,7)="","",INDEX(Dossiers!$F$4:$F$63,7)))</f>
        <v/>
      </c>
      <c r="K344" s="29">
        <f>IF($B344="","",IF(INDEX(Dossiers!$G$4:$G$63,7)="","",INDEX(Dossiers!$G$4:$G$63,7)))</f>
        <v/>
      </c>
    </row>
    <row r="345">
      <c r="A345">
        <f>IF($B345="","",INDEX(Dossiers!$E$4:$E$63,7))</f>
        <v/>
      </c>
      <c r="B345">
        <f>IF(INDEX(Suivi!$B:$B,352)="","",INDEX(Suivi!$B:$B,352))</f>
        <v/>
      </c>
      <c r="C345">
        <f>IF($B345="","",IF(INDEX(Suivi!$D:$D,352)="",INDEX(Suivi!$C:$C,352),INDEX(Suivi!$D:$D,352)))</f>
        <v/>
      </c>
      <c r="D345" s="29">
        <f>IF($B345="","",INDEX(Suivi!$E:$E,352))</f>
        <v/>
      </c>
      <c r="E345" s="29">
        <f>IF($B345="","",INDEX(Suivi!$F:$F,352))</f>
        <v/>
      </c>
      <c r="F345">
        <f>IF($B345="","",INDEX(Suivi!$G:$G,352))</f>
        <v/>
      </c>
      <c r="H345">
        <f>IF(OR($B345="",NOT(ISNUMBER($D345))),"",IF($E345&lt;$D$2,"Passé",IF($D345&gt;$F$2,"À venir","Dans la période")))</f>
        <v/>
      </c>
      <c r="I345">
        <f>IF(OR($B345="",NOT(ISNUMBER($D345))),"",IF(AND($E345&lt;$D$2,$G345&lt;&gt;"X",$F345&lt;&gt;"Réalisé",$F345&lt;&gt;"Clôturé"),"RETARD",""))</f>
        <v/>
      </c>
      <c r="J345" s="29">
        <f>IF($B345="","",IF(INDEX(Dossiers!$F$4:$F$63,7)="","",INDEX(Dossiers!$F$4:$F$63,7)))</f>
        <v/>
      </c>
      <c r="K345" s="29">
        <f>IF($B345="","",IF(INDEX(Dossiers!$G$4:$G$63,7)="","",INDEX(Dossiers!$G$4:$G$63,7)))</f>
        <v/>
      </c>
    </row>
    <row r="346">
      <c r="A346">
        <f>IF($B346="","",INDEX(Dossiers!$E$4:$E$63,7))</f>
        <v/>
      </c>
      <c r="B346">
        <f>IF(INDEX(Suivi!$B:$B,353)="","",INDEX(Suivi!$B:$B,353))</f>
        <v/>
      </c>
      <c r="C346">
        <f>IF($B346="","",IF(INDEX(Suivi!$D:$D,353)="",INDEX(Suivi!$C:$C,353),INDEX(Suivi!$D:$D,353)))</f>
        <v/>
      </c>
      <c r="D346" s="29">
        <f>IF($B346="","",INDEX(Suivi!$E:$E,353))</f>
        <v/>
      </c>
      <c r="E346" s="29">
        <f>IF($B346="","",INDEX(Suivi!$F:$F,353))</f>
        <v/>
      </c>
      <c r="F346">
        <f>IF($B346="","",INDEX(Suivi!$G:$G,353))</f>
        <v/>
      </c>
      <c r="H346">
        <f>IF(OR($B346="",NOT(ISNUMBER($D346))),"",IF($E346&lt;$D$2,"Passé",IF($D346&gt;$F$2,"À venir","Dans la période")))</f>
        <v/>
      </c>
      <c r="I346">
        <f>IF(OR($B346="",NOT(ISNUMBER($D346))),"",IF(AND($E346&lt;$D$2,$G346&lt;&gt;"X",$F346&lt;&gt;"Réalisé",$F346&lt;&gt;"Clôturé"),"RETARD",""))</f>
        <v/>
      </c>
      <c r="J346" s="29">
        <f>IF($B346="","",IF(INDEX(Dossiers!$F$4:$F$63,7)="","",INDEX(Dossiers!$F$4:$F$63,7)))</f>
        <v/>
      </c>
      <c r="K346" s="29">
        <f>IF($B346="","",IF(INDEX(Dossiers!$G$4:$G$63,7)="","",INDEX(Dossiers!$G$4:$G$63,7)))</f>
        <v/>
      </c>
    </row>
    <row r="347">
      <c r="A347">
        <f>IF($B347="","",INDEX(Dossiers!$E$4:$E$63,7))</f>
        <v/>
      </c>
      <c r="B347">
        <f>IF(INDEX(Suivi!$B:$B,354)="","",INDEX(Suivi!$B:$B,354))</f>
        <v/>
      </c>
      <c r="C347">
        <f>IF($B347="","",IF(INDEX(Suivi!$D:$D,354)="",INDEX(Suivi!$C:$C,354),INDEX(Suivi!$D:$D,354)))</f>
        <v/>
      </c>
      <c r="D347" s="29">
        <f>IF($B347="","",INDEX(Suivi!$E:$E,354))</f>
        <v/>
      </c>
      <c r="E347" s="29">
        <f>IF($B347="","",INDEX(Suivi!$F:$F,354))</f>
        <v/>
      </c>
      <c r="F347">
        <f>IF($B347="","",INDEX(Suivi!$G:$G,354))</f>
        <v/>
      </c>
      <c r="H347">
        <f>IF(OR($B347="",NOT(ISNUMBER($D347))),"",IF($E347&lt;$D$2,"Passé",IF($D347&gt;$F$2,"À venir","Dans la période")))</f>
        <v/>
      </c>
      <c r="I347">
        <f>IF(OR($B347="",NOT(ISNUMBER($D347))),"",IF(AND($E347&lt;$D$2,$G347&lt;&gt;"X",$F347&lt;&gt;"Réalisé",$F347&lt;&gt;"Clôturé"),"RETARD",""))</f>
        <v/>
      </c>
      <c r="J347" s="29">
        <f>IF($B347="","",IF(INDEX(Dossiers!$F$4:$F$63,7)="","",INDEX(Dossiers!$F$4:$F$63,7)))</f>
        <v/>
      </c>
      <c r="K347" s="29">
        <f>IF($B347="","",IF(INDEX(Dossiers!$G$4:$G$63,7)="","",INDEX(Dossiers!$G$4:$G$63,7)))</f>
        <v/>
      </c>
    </row>
    <row r="348">
      <c r="A348">
        <f>IF($B348="","",INDEX(Dossiers!$E$4:$E$63,7))</f>
        <v/>
      </c>
      <c r="B348">
        <f>IF(INDEX(Suivi!$B:$B,355)="","",INDEX(Suivi!$B:$B,355))</f>
        <v/>
      </c>
      <c r="C348">
        <f>IF($B348="","",IF(INDEX(Suivi!$D:$D,355)="",INDEX(Suivi!$C:$C,355),INDEX(Suivi!$D:$D,355)))</f>
        <v/>
      </c>
      <c r="D348" s="29">
        <f>IF($B348="","",INDEX(Suivi!$E:$E,355))</f>
        <v/>
      </c>
      <c r="E348" s="29">
        <f>IF($B348="","",INDEX(Suivi!$F:$F,355))</f>
        <v/>
      </c>
      <c r="F348">
        <f>IF($B348="","",INDEX(Suivi!$G:$G,355))</f>
        <v/>
      </c>
      <c r="H348">
        <f>IF(OR($B348="",NOT(ISNUMBER($D348))),"",IF($E348&lt;$D$2,"Passé",IF($D348&gt;$F$2,"À venir","Dans la période")))</f>
        <v/>
      </c>
      <c r="I348">
        <f>IF(OR($B348="",NOT(ISNUMBER($D348))),"",IF(AND($E348&lt;$D$2,$G348&lt;&gt;"X",$F348&lt;&gt;"Réalisé",$F348&lt;&gt;"Clôturé"),"RETARD",""))</f>
        <v/>
      </c>
      <c r="J348" s="29">
        <f>IF($B348="","",IF(INDEX(Dossiers!$F$4:$F$63,7)="","",INDEX(Dossiers!$F$4:$F$63,7)))</f>
        <v/>
      </c>
      <c r="K348" s="29">
        <f>IF($B348="","",IF(INDEX(Dossiers!$G$4:$G$63,7)="","",INDEX(Dossiers!$G$4:$G$63,7)))</f>
        <v/>
      </c>
    </row>
    <row r="349">
      <c r="A349">
        <f>IF($B349="","",INDEX(Dossiers!$E$4:$E$63,7))</f>
        <v/>
      </c>
      <c r="B349">
        <f>IF(INDEX(Suivi!$B:$B,356)="","",INDEX(Suivi!$B:$B,356))</f>
        <v/>
      </c>
      <c r="C349">
        <f>IF($B349="","",IF(INDEX(Suivi!$D:$D,356)="",INDEX(Suivi!$C:$C,356),INDEX(Suivi!$D:$D,356)))</f>
        <v/>
      </c>
      <c r="D349" s="29">
        <f>IF($B349="","",INDEX(Suivi!$E:$E,356))</f>
        <v/>
      </c>
      <c r="E349" s="29">
        <f>IF($B349="","",INDEX(Suivi!$F:$F,356))</f>
        <v/>
      </c>
      <c r="F349">
        <f>IF($B349="","",INDEX(Suivi!$G:$G,356))</f>
        <v/>
      </c>
      <c r="H349">
        <f>IF(OR($B349="",NOT(ISNUMBER($D349))),"",IF($E349&lt;$D$2,"Passé",IF($D349&gt;$F$2,"À venir","Dans la période")))</f>
        <v/>
      </c>
      <c r="I349">
        <f>IF(OR($B349="",NOT(ISNUMBER($D349))),"",IF(AND($E349&lt;$D$2,$G349&lt;&gt;"X",$F349&lt;&gt;"Réalisé",$F349&lt;&gt;"Clôturé"),"RETARD",""))</f>
        <v/>
      </c>
      <c r="J349" s="29">
        <f>IF($B349="","",IF(INDEX(Dossiers!$F$4:$F$63,7)="","",INDEX(Dossiers!$F$4:$F$63,7)))</f>
        <v/>
      </c>
      <c r="K349" s="29">
        <f>IF($B349="","",IF(INDEX(Dossiers!$G$4:$G$63,7)="","",INDEX(Dossiers!$G$4:$G$63,7)))</f>
        <v/>
      </c>
    </row>
    <row r="350">
      <c r="A350">
        <f>IF($B350="","",INDEX(Dossiers!$E$4:$E$63,7))</f>
        <v/>
      </c>
      <c r="B350">
        <f>IF(INDEX(Suivi!$B:$B,357)="","",INDEX(Suivi!$B:$B,357))</f>
        <v/>
      </c>
      <c r="C350">
        <f>IF($B350="","",IF(INDEX(Suivi!$D:$D,357)="",INDEX(Suivi!$C:$C,357),INDEX(Suivi!$D:$D,357)))</f>
        <v/>
      </c>
      <c r="D350" s="29">
        <f>IF($B350="","",INDEX(Suivi!$E:$E,357))</f>
        <v/>
      </c>
      <c r="E350" s="29">
        <f>IF($B350="","",INDEX(Suivi!$F:$F,357))</f>
        <v/>
      </c>
      <c r="F350">
        <f>IF($B350="","",INDEX(Suivi!$G:$G,357))</f>
        <v/>
      </c>
      <c r="H350">
        <f>IF(OR($B350="",NOT(ISNUMBER($D350))),"",IF($E350&lt;$D$2,"Passé",IF($D350&gt;$F$2,"À venir","Dans la période")))</f>
        <v/>
      </c>
      <c r="I350">
        <f>IF(OR($B350="",NOT(ISNUMBER($D350))),"",IF(AND($E350&lt;$D$2,$G350&lt;&gt;"X",$F350&lt;&gt;"Réalisé",$F350&lt;&gt;"Clôturé"),"RETARD",""))</f>
        <v/>
      </c>
      <c r="J350" s="29">
        <f>IF($B350="","",IF(INDEX(Dossiers!$F$4:$F$63,7)="","",INDEX(Dossiers!$F$4:$F$63,7)))</f>
        <v/>
      </c>
      <c r="K350" s="29">
        <f>IF($B350="","",IF(INDEX(Dossiers!$G$4:$G$63,7)="","",INDEX(Dossiers!$G$4:$G$63,7)))</f>
        <v/>
      </c>
    </row>
    <row r="351">
      <c r="A351">
        <f>IF($B351="","",INDEX(Dossiers!$E$4:$E$63,7))</f>
        <v/>
      </c>
      <c r="B351">
        <f>IF(INDEX(Suivi!$B:$B,358)="","",INDEX(Suivi!$B:$B,358))</f>
        <v/>
      </c>
      <c r="C351">
        <f>IF($B351="","",IF(INDEX(Suivi!$D:$D,358)="",INDEX(Suivi!$C:$C,358),INDEX(Suivi!$D:$D,358)))</f>
        <v/>
      </c>
      <c r="D351" s="29">
        <f>IF($B351="","",INDEX(Suivi!$E:$E,358))</f>
        <v/>
      </c>
      <c r="E351" s="29">
        <f>IF($B351="","",INDEX(Suivi!$F:$F,358))</f>
        <v/>
      </c>
      <c r="F351">
        <f>IF($B351="","",INDEX(Suivi!$G:$G,358))</f>
        <v/>
      </c>
      <c r="H351">
        <f>IF(OR($B351="",NOT(ISNUMBER($D351))),"",IF($E351&lt;$D$2,"Passé",IF($D351&gt;$F$2,"À venir","Dans la période")))</f>
        <v/>
      </c>
      <c r="I351">
        <f>IF(OR($B351="",NOT(ISNUMBER($D351))),"",IF(AND($E351&lt;$D$2,$G351&lt;&gt;"X",$F351&lt;&gt;"Réalisé",$F351&lt;&gt;"Clôturé"),"RETARD",""))</f>
        <v/>
      </c>
      <c r="J351" s="29">
        <f>IF($B351="","",IF(INDEX(Dossiers!$F$4:$F$63,7)="","",INDEX(Dossiers!$F$4:$F$63,7)))</f>
        <v/>
      </c>
      <c r="K351" s="29">
        <f>IF($B351="","",IF(INDEX(Dossiers!$G$4:$G$63,7)="","",INDEX(Dossiers!$G$4:$G$63,7)))</f>
        <v/>
      </c>
    </row>
    <row r="352">
      <c r="A352">
        <f>IF($B352="","",INDEX(Dossiers!$E$4:$E$63,7))</f>
        <v/>
      </c>
      <c r="B352">
        <f>IF(INDEX(Suivi!$B:$B,359)="","",INDEX(Suivi!$B:$B,359))</f>
        <v/>
      </c>
      <c r="C352">
        <f>IF($B352="","",IF(INDEX(Suivi!$D:$D,359)="",INDEX(Suivi!$C:$C,359),INDEX(Suivi!$D:$D,359)))</f>
        <v/>
      </c>
      <c r="D352" s="29">
        <f>IF($B352="","",INDEX(Suivi!$E:$E,359))</f>
        <v/>
      </c>
      <c r="E352" s="29">
        <f>IF($B352="","",INDEX(Suivi!$F:$F,359))</f>
        <v/>
      </c>
      <c r="F352">
        <f>IF($B352="","",INDEX(Suivi!$G:$G,359))</f>
        <v/>
      </c>
      <c r="H352">
        <f>IF(OR($B352="",NOT(ISNUMBER($D352))),"",IF($E352&lt;$D$2,"Passé",IF($D352&gt;$F$2,"À venir","Dans la période")))</f>
        <v/>
      </c>
      <c r="I352">
        <f>IF(OR($B352="",NOT(ISNUMBER($D352))),"",IF(AND($E352&lt;$D$2,$G352&lt;&gt;"X",$F352&lt;&gt;"Réalisé",$F352&lt;&gt;"Clôturé"),"RETARD",""))</f>
        <v/>
      </c>
      <c r="J352" s="29">
        <f>IF($B352="","",IF(INDEX(Dossiers!$F$4:$F$63,7)="","",INDEX(Dossiers!$F$4:$F$63,7)))</f>
        <v/>
      </c>
      <c r="K352" s="29">
        <f>IF($B352="","",IF(INDEX(Dossiers!$G$4:$G$63,7)="","",INDEX(Dossiers!$G$4:$G$63,7)))</f>
        <v/>
      </c>
    </row>
    <row r="353">
      <c r="A353">
        <f>IF($B353="","",INDEX(Dossiers!$E$4:$E$63,7))</f>
        <v/>
      </c>
      <c r="B353">
        <f>IF(INDEX(Suivi!$B:$B,360)="","",INDEX(Suivi!$B:$B,360))</f>
        <v/>
      </c>
      <c r="C353">
        <f>IF($B353="","",IF(INDEX(Suivi!$D:$D,360)="",INDEX(Suivi!$C:$C,360),INDEX(Suivi!$D:$D,360)))</f>
        <v/>
      </c>
      <c r="D353" s="29">
        <f>IF($B353="","",INDEX(Suivi!$E:$E,360))</f>
        <v/>
      </c>
      <c r="E353" s="29">
        <f>IF($B353="","",INDEX(Suivi!$F:$F,360))</f>
        <v/>
      </c>
      <c r="F353">
        <f>IF($B353="","",INDEX(Suivi!$G:$G,360))</f>
        <v/>
      </c>
      <c r="H353">
        <f>IF(OR($B353="",NOT(ISNUMBER($D353))),"",IF($E353&lt;$D$2,"Passé",IF($D353&gt;$F$2,"À venir","Dans la période")))</f>
        <v/>
      </c>
      <c r="I353">
        <f>IF(OR($B353="",NOT(ISNUMBER($D353))),"",IF(AND($E353&lt;$D$2,$G353&lt;&gt;"X",$F353&lt;&gt;"Réalisé",$F353&lt;&gt;"Clôturé"),"RETARD",""))</f>
        <v/>
      </c>
      <c r="J353" s="29">
        <f>IF($B353="","",IF(INDEX(Dossiers!$F$4:$F$63,7)="","",INDEX(Dossiers!$F$4:$F$63,7)))</f>
        <v/>
      </c>
      <c r="K353" s="29">
        <f>IF($B353="","",IF(INDEX(Dossiers!$G$4:$G$63,7)="","",INDEX(Dossiers!$G$4:$G$63,7)))</f>
        <v/>
      </c>
    </row>
    <row r="354">
      <c r="A354">
        <f>IF($B354="","",INDEX(Dossiers!$E$4:$E$63,7))</f>
        <v/>
      </c>
      <c r="B354">
        <f>IF(INDEX(Suivi!$B:$B,361)="","",INDEX(Suivi!$B:$B,361))</f>
        <v/>
      </c>
      <c r="C354">
        <f>IF($B354="","",IF(INDEX(Suivi!$D:$D,361)="",INDEX(Suivi!$C:$C,361),INDEX(Suivi!$D:$D,361)))</f>
        <v/>
      </c>
      <c r="D354" s="29">
        <f>IF($B354="","",INDEX(Suivi!$E:$E,361))</f>
        <v/>
      </c>
      <c r="E354" s="29">
        <f>IF($B354="","",INDEX(Suivi!$F:$F,361))</f>
        <v/>
      </c>
      <c r="F354">
        <f>IF($B354="","",INDEX(Suivi!$G:$G,361))</f>
        <v/>
      </c>
      <c r="H354">
        <f>IF(OR($B354="",NOT(ISNUMBER($D354))),"",IF($E354&lt;$D$2,"Passé",IF($D354&gt;$F$2,"À venir","Dans la période")))</f>
        <v/>
      </c>
      <c r="I354">
        <f>IF(OR($B354="",NOT(ISNUMBER($D354))),"",IF(AND($E354&lt;$D$2,$G354&lt;&gt;"X",$F354&lt;&gt;"Réalisé",$F354&lt;&gt;"Clôturé"),"RETARD",""))</f>
        <v/>
      </c>
      <c r="J354" s="29">
        <f>IF($B354="","",IF(INDEX(Dossiers!$F$4:$F$63,7)="","",INDEX(Dossiers!$F$4:$F$63,7)))</f>
        <v/>
      </c>
      <c r="K354" s="29">
        <f>IF($B354="","",IF(INDEX(Dossiers!$G$4:$G$63,7)="","",INDEX(Dossiers!$G$4:$G$63,7)))</f>
        <v/>
      </c>
    </row>
    <row r="355">
      <c r="A355">
        <f>IF($B355="","",INDEX(Dossiers!$E$4:$E$63,7))</f>
        <v/>
      </c>
      <c r="B355">
        <f>IF(INDEX(Suivi!$B:$B,362)="","",INDEX(Suivi!$B:$B,362))</f>
        <v/>
      </c>
      <c r="C355">
        <f>IF($B355="","",IF(INDEX(Suivi!$D:$D,362)="",INDEX(Suivi!$C:$C,362),INDEX(Suivi!$D:$D,362)))</f>
        <v/>
      </c>
      <c r="D355" s="29">
        <f>IF($B355="","",INDEX(Suivi!$E:$E,362))</f>
        <v/>
      </c>
      <c r="E355" s="29">
        <f>IF($B355="","",INDEX(Suivi!$F:$F,362))</f>
        <v/>
      </c>
      <c r="F355">
        <f>IF($B355="","",INDEX(Suivi!$G:$G,362))</f>
        <v/>
      </c>
      <c r="H355">
        <f>IF(OR($B355="",NOT(ISNUMBER($D355))),"",IF($E355&lt;$D$2,"Passé",IF($D355&gt;$F$2,"À venir","Dans la période")))</f>
        <v/>
      </c>
      <c r="I355">
        <f>IF(OR($B355="",NOT(ISNUMBER($D355))),"",IF(AND($E355&lt;$D$2,$G355&lt;&gt;"X",$F355&lt;&gt;"Réalisé",$F355&lt;&gt;"Clôturé"),"RETARD",""))</f>
        <v/>
      </c>
      <c r="J355" s="29">
        <f>IF($B355="","",IF(INDEX(Dossiers!$F$4:$F$63,7)="","",INDEX(Dossiers!$F$4:$F$63,7)))</f>
        <v/>
      </c>
      <c r="K355" s="29">
        <f>IF($B355="","",IF(INDEX(Dossiers!$G$4:$G$63,7)="","",INDEX(Dossiers!$G$4:$G$63,7)))</f>
        <v/>
      </c>
    </row>
    <row r="356">
      <c r="A356">
        <f>IF($B356="","",INDEX(Dossiers!$E$4:$E$63,7))</f>
        <v/>
      </c>
      <c r="B356">
        <f>IF(INDEX(Suivi!$B:$B,363)="","",INDEX(Suivi!$B:$B,363))</f>
        <v/>
      </c>
      <c r="C356">
        <f>IF($B356="","",IF(INDEX(Suivi!$D:$D,363)="",INDEX(Suivi!$C:$C,363),INDEX(Suivi!$D:$D,363)))</f>
        <v/>
      </c>
      <c r="D356" s="29">
        <f>IF($B356="","",INDEX(Suivi!$E:$E,363))</f>
        <v/>
      </c>
      <c r="E356" s="29">
        <f>IF($B356="","",INDEX(Suivi!$F:$F,363))</f>
        <v/>
      </c>
      <c r="F356">
        <f>IF($B356="","",INDEX(Suivi!$G:$G,363))</f>
        <v/>
      </c>
      <c r="H356">
        <f>IF(OR($B356="",NOT(ISNUMBER($D356))),"",IF($E356&lt;$D$2,"Passé",IF($D356&gt;$F$2,"À venir","Dans la période")))</f>
        <v/>
      </c>
      <c r="I356">
        <f>IF(OR($B356="",NOT(ISNUMBER($D356))),"",IF(AND($E356&lt;$D$2,$G356&lt;&gt;"X",$F356&lt;&gt;"Réalisé",$F356&lt;&gt;"Clôturé"),"RETARD",""))</f>
        <v/>
      </c>
      <c r="J356" s="29">
        <f>IF($B356="","",IF(INDEX(Dossiers!$F$4:$F$63,7)="","",INDEX(Dossiers!$F$4:$F$63,7)))</f>
        <v/>
      </c>
      <c r="K356" s="29">
        <f>IF($B356="","",IF(INDEX(Dossiers!$G$4:$G$63,7)="","",INDEX(Dossiers!$G$4:$G$63,7)))</f>
        <v/>
      </c>
    </row>
    <row r="357">
      <c r="A357">
        <f>IF($B357="","",INDEX(Dossiers!$E$4:$E$63,7))</f>
        <v/>
      </c>
      <c r="B357">
        <f>IF(INDEX(Suivi!$B:$B,364)="","",INDEX(Suivi!$B:$B,364))</f>
        <v/>
      </c>
      <c r="C357">
        <f>IF($B357="","",IF(INDEX(Suivi!$D:$D,364)="",INDEX(Suivi!$C:$C,364),INDEX(Suivi!$D:$D,364)))</f>
        <v/>
      </c>
      <c r="D357" s="29">
        <f>IF($B357="","",INDEX(Suivi!$E:$E,364))</f>
        <v/>
      </c>
      <c r="E357" s="29">
        <f>IF($B357="","",INDEX(Suivi!$F:$F,364))</f>
        <v/>
      </c>
      <c r="F357">
        <f>IF($B357="","",INDEX(Suivi!$G:$G,364))</f>
        <v/>
      </c>
      <c r="H357">
        <f>IF(OR($B357="",NOT(ISNUMBER($D357))),"",IF($E357&lt;$D$2,"Passé",IF($D357&gt;$F$2,"À venir","Dans la période")))</f>
        <v/>
      </c>
      <c r="I357">
        <f>IF(OR($B357="",NOT(ISNUMBER($D357))),"",IF(AND($E357&lt;$D$2,$G357&lt;&gt;"X",$F357&lt;&gt;"Réalisé",$F357&lt;&gt;"Clôturé"),"RETARD",""))</f>
        <v/>
      </c>
      <c r="J357" s="29">
        <f>IF($B357="","",IF(INDEX(Dossiers!$F$4:$F$63,7)="","",INDEX(Dossiers!$F$4:$F$63,7)))</f>
        <v/>
      </c>
      <c r="K357" s="29">
        <f>IF($B357="","",IF(INDEX(Dossiers!$G$4:$G$63,7)="","",INDEX(Dossiers!$G$4:$G$63,7)))</f>
        <v/>
      </c>
    </row>
    <row r="358">
      <c r="A358">
        <f>IF($B358="","",INDEX(Dossiers!$E$4:$E$63,7))</f>
        <v/>
      </c>
      <c r="B358">
        <f>IF(INDEX(Suivi!$B:$B,365)="","",INDEX(Suivi!$B:$B,365))</f>
        <v/>
      </c>
      <c r="C358">
        <f>IF($B358="","",IF(INDEX(Suivi!$D:$D,365)="",INDEX(Suivi!$C:$C,365),INDEX(Suivi!$D:$D,365)))</f>
        <v/>
      </c>
      <c r="D358" s="29">
        <f>IF($B358="","",INDEX(Suivi!$E:$E,365))</f>
        <v/>
      </c>
      <c r="E358" s="29">
        <f>IF($B358="","",INDEX(Suivi!$F:$F,365))</f>
        <v/>
      </c>
      <c r="F358">
        <f>IF($B358="","",INDEX(Suivi!$G:$G,365))</f>
        <v/>
      </c>
      <c r="H358">
        <f>IF(OR($B358="",NOT(ISNUMBER($D358))),"",IF($E358&lt;$D$2,"Passé",IF($D358&gt;$F$2,"À venir","Dans la période")))</f>
        <v/>
      </c>
      <c r="I358">
        <f>IF(OR($B358="",NOT(ISNUMBER($D358))),"",IF(AND($E358&lt;$D$2,$G358&lt;&gt;"X",$F358&lt;&gt;"Réalisé",$F358&lt;&gt;"Clôturé"),"RETARD",""))</f>
        <v/>
      </c>
      <c r="J358" s="29">
        <f>IF($B358="","",IF(INDEX(Dossiers!$F$4:$F$63,7)="","",INDEX(Dossiers!$F$4:$F$63,7)))</f>
        <v/>
      </c>
      <c r="K358" s="29">
        <f>IF($B358="","",IF(INDEX(Dossiers!$G$4:$G$63,7)="","",INDEX(Dossiers!$G$4:$G$63,7)))</f>
        <v/>
      </c>
    </row>
    <row r="359">
      <c r="A359">
        <f>IF($B359="","",INDEX(Dossiers!$E$4:$E$63,7))</f>
        <v/>
      </c>
      <c r="B359">
        <f>IF(INDEX(Suivi!$B:$B,366)="","",INDEX(Suivi!$B:$B,366))</f>
        <v/>
      </c>
      <c r="C359">
        <f>IF($B359="","",IF(INDEX(Suivi!$D:$D,366)="",INDEX(Suivi!$C:$C,366),INDEX(Suivi!$D:$D,366)))</f>
        <v/>
      </c>
      <c r="D359" s="29">
        <f>IF($B359="","",INDEX(Suivi!$E:$E,366))</f>
        <v/>
      </c>
      <c r="E359" s="29">
        <f>IF($B359="","",INDEX(Suivi!$F:$F,366))</f>
        <v/>
      </c>
      <c r="F359">
        <f>IF($B359="","",INDEX(Suivi!$G:$G,366))</f>
        <v/>
      </c>
      <c r="H359">
        <f>IF(OR($B359="",NOT(ISNUMBER($D359))),"",IF($E359&lt;$D$2,"Passé",IF($D359&gt;$F$2,"À venir","Dans la période")))</f>
        <v/>
      </c>
      <c r="I359">
        <f>IF(OR($B359="",NOT(ISNUMBER($D359))),"",IF(AND($E359&lt;$D$2,$G359&lt;&gt;"X",$F359&lt;&gt;"Réalisé",$F359&lt;&gt;"Clôturé"),"RETARD",""))</f>
        <v/>
      </c>
      <c r="J359" s="29">
        <f>IF($B359="","",IF(INDEX(Dossiers!$F$4:$F$63,7)="","",INDEX(Dossiers!$F$4:$F$63,7)))</f>
        <v/>
      </c>
      <c r="K359" s="29">
        <f>IF($B359="","",IF(INDEX(Dossiers!$G$4:$G$63,7)="","",INDEX(Dossiers!$G$4:$G$63,7)))</f>
        <v/>
      </c>
    </row>
    <row r="360">
      <c r="A360">
        <f>IF($B360="","",INDEX(Dossiers!$E$4:$E$63,7))</f>
        <v/>
      </c>
      <c r="B360">
        <f>IF(INDEX(Suivi!$B:$B,367)="","",INDEX(Suivi!$B:$B,367))</f>
        <v/>
      </c>
      <c r="C360">
        <f>IF($B360="","",IF(INDEX(Suivi!$D:$D,367)="",INDEX(Suivi!$C:$C,367),INDEX(Suivi!$D:$D,367)))</f>
        <v/>
      </c>
      <c r="D360" s="29">
        <f>IF($B360="","",INDEX(Suivi!$E:$E,367))</f>
        <v/>
      </c>
      <c r="E360" s="29">
        <f>IF($B360="","",INDEX(Suivi!$F:$F,367))</f>
        <v/>
      </c>
      <c r="F360">
        <f>IF($B360="","",INDEX(Suivi!$G:$G,367))</f>
        <v/>
      </c>
      <c r="H360">
        <f>IF(OR($B360="",NOT(ISNUMBER($D360))),"",IF($E360&lt;$D$2,"Passé",IF($D360&gt;$F$2,"À venir","Dans la période")))</f>
        <v/>
      </c>
      <c r="I360">
        <f>IF(OR($B360="",NOT(ISNUMBER($D360))),"",IF(AND($E360&lt;$D$2,$G360&lt;&gt;"X",$F360&lt;&gt;"Réalisé",$F360&lt;&gt;"Clôturé"),"RETARD",""))</f>
        <v/>
      </c>
      <c r="J360" s="29">
        <f>IF($B360="","",IF(INDEX(Dossiers!$F$4:$F$63,7)="","",INDEX(Dossiers!$F$4:$F$63,7)))</f>
        <v/>
      </c>
      <c r="K360" s="29">
        <f>IF($B360="","",IF(INDEX(Dossiers!$G$4:$G$63,7)="","",INDEX(Dossiers!$G$4:$G$63,7)))</f>
        <v/>
      </c>
    </row>
    <row r="361">
      <c r="A361">
        <f>IF($B361="","",INDEX(Dossiers!$E$4:$E$63,7))</f>
        <v/>
      </c>
      <c r="B361">
        <f>IF(INDEX(Suivi!$B:$B,368)="","",INDEX(Suivi!$B:$B,368))</f>
        <v/>
      </c>
      <c r="C361">
        <f>IF($B361="","",IF(INDEX(Suivi!$D:$D,368)="",INDEX(Suivi!$C:$C,368),INDEX(Suivi!$D:$D,368)))</f>
        <v/>
      </c>
      <c r="D361" s="29">
        <f>IF($B361="","",INDEX(Suivi!$E:$E,368))</f>
        <v/>
      </c>
      <c r="E361" s="29">
        <f>IF($B361="","",INDEX(Suivi!$F:$F,368))</f>
        <v/>
      </c>
      <c r="F361">
        <f>IF($B361="","",INDEX(Suivi!$G:$G,368))</f>
        <v/>
      </c>
      <c r="H361">
        <f>IF(OR($B361="",NOT(ISNUMBER($D361))),"",IF($E361&lt;$D$2,"Passé",IF($D361&gt;$F$2,"À venir","Dans la période")))</f>
        <v/>
      </c>
      <c r="I361">
        <f>IF(OR($B361="",NOT(ISNUMBER($D361))),"",IF(AND($E361&lt;$D$2,$G361&lt;&gt;"X",$F361&lt;&gt;"Réalisé",$F361&lt;&gt;"Clôturé"),"RETARD",""))</f>
        <v/>
      </c>
      <c r="J361" s="29">
        <f>IF($B361="","",IF(INDEX(Dossiers!$F$4:$F$63,7)="","",INDEX(Dossiers!$F$4:$F$63,7)))</f>
        <v/>
      </c>
      <c r="K361" s="29">
        <f>IF($B361="","",IF(INDEX(Dossiers!$G$4:$G$63,7)="","",INDEX(Dossiers!$G$4:$G$63,7)))</f>
        <v/>
      </c>
    </row>
    <row r="362">
      <c r="A362">
        <f>IF($B362="","",INDEX(Dossiers!$E$4:$E$63,7))</f>
        <v/>
      </c>
      <c r="B362">
        <f>IF(INDEX(Suivi!$B:$B,369)="","",INDEX(Suivi!$B:$B,369))</f>
        <v/>
      </c>
      <c r="C362">
        <f>IF($B362="","",IF(INDEX(Suivi!$D:$D,369)="",INDEX(Suivi!$C:$C,369),INDEX(Suivi!$D:$D,369)))</f>
        <v/>
      </c>
      <c r="D362" s="29">
        <f>IF($B362="","",INDEX(Suivi!$E:$E,369))</f>
        <v/>
      </c>
      <c r="E362" s="29">
        <f>IF($B362="","",INDEX(Suivi!$F:$F,369))</f>
        <v/>
      </c>
      <c r="F362">
        <f>IF($B362="","",INDEX(Suivi!$G:$G,369))</f>
        <v/>
      </c>
      <c r="H362">
        <f>IF(OR($B362="",NOT(ISNUMBER($D362))),"",IF($E362&lt;$D$2,"Passé",IF($D362&gt;$F$2,"À venir","Dans la période")))</f>
        <v/>
      </c>
      <c r="I362">
        <f>IF(OR($B362="",NOT(ISNUMBER($D362))),"",IF(AND($E362&lt;$D$2,$G362&lt;&gt;"X",$F362&lt;&gt;"Réalisé",$F362&lt;&gt;"Clôturé"),"RETARD",""))</f>
        <v/>
      </c>
      <c r="J362" s="29">
        <f>IF($B362="","",IF(INDEX(Dossiers!$F$4:$F$63,7)="","",INDEX(Dossiers!$F$4:$F$63,7)))</f>
        <v/>
      </c>
      <c r="K362" s="29">
        <f>IF($B362="","",IF(INDEX(Dossiers!$G$4:$G$63,7)="","",INDEX(Dossiers!$G$4:$G$63,7)))</f>
        <v/>
      </c>
    </row>
    <row r="363">
      <c r="A363">
        <f>IF($B363="","",INDEX(Dossiers!$E$4:$E$63,7))</f>
        <v/>
      </c>
      <c r="B363">
        <f>IF(INDEX(Suivi!$B:$B,370)="","",INDEX(Suivi!$B:$B,370))</f>
        <v/>
      </c>
      <c r="C363">
        <f>IF($B363="","",IF(INDEX(Suivi!$D:$D,370)="",INDEX(Suivi!$C:$C,370),INDEX(Suivi!$D:$D,370)))</f>
        <v/>
      </c>
      <c r="D363" s="29">
        <f>IF($B363="","",INDEX(Suivi!$E:$E,370))</f>
        <v/>
      </c>
      <c r="E363" s="29">
        <f>IF($B363="","",INDEX(Suivi!$F:$F,370))</f>
        <v/>
      </c>
      <c r="F363">
        <f>IF($B363="","",INDEX(Suivi!$G:$G,370))</f>
        <v/>
      </c>
      <c r="H363">
        <f>IF(OR($B363="",NOT(ISNUMBER($D363))),"",IF($E363&lt;$D$2,"Passé",IF($D363&gt;$F$2,"À venir","Dans la période")))</f>
        <v/>
      </c>
      <c r="I363">
        <f>IF(OR($B363="",NOT(ISNUMBER($D363))),"",IF(AND($E363&lt;$D$2,$G363&lt;&gt;"X",$F363&lt;&gt;"Réalisé",$F363&lt;&gt;"Clôturé"),"RETARD",""))</f>
        <v/>
      </c>
      <c r="J363" s="29">
        <f>IF($B363="","",IF(INDEX(Dossiers!$F$4:$F$63,7)="","",INDEX(Dossiers!$F$4:$F$63,7)))</f>
        <v/>
      </c>
      <c r="K363" s="29">
        <f>IF($B363="","",IF(INDEX(Dossiers!$G$4:$G$63,7)="","",INDEX(Dossiers!$G$4:$G$63,7)))</f>
        <v/>
      </c>
    </row>
    <row r="364">
      <c r="A364">
        <f>IF($B364="","",INDEX(Dossiers!$E$4:$E$63,7))</f>
        <v/>
      </c>
      <c r="B364">
        <f>IF(INDEX(Suivi!$B:$B,371)="","",INDEX(Suivi!$B:$B,371))</f>
        <v/>
      </c>
      <c r="C364">
        <f>IF($B364="","",IF(INDEX(Suivi!$D:$D,371)="",INDEX(Suivi!$C:$C,371),INDEX(Suivi!$D:$D,371)))</f>
        <v/>
      </c>
      <c r="D364" s="29">
        <f>IF($B364="","",INDEX(Suivi!$E:$E,371))</f>
        <v/>
      </c>
      <c r="E364" s="29">
        <f>IF($B364="","",INDEX(Suivi!$F:$F,371))</f>
        <v/>
      </c>
      <c r="F364">
        <f>IF($B364="","",INDEX(Suivi!$G:$G,371))</f>
        <v/>
      </c>
      <c r="H364">
        <f>IF(OR($B364="",NOT(ISNUMBER($D364))),"",IF($E364&lt;$D$2,"Passé",IF($D364&gt;$F$2,"À venir","Dans la période")))</f>
        <v/>
      </c>
      <c r="I364">
        <f>IF(OR($B364="",NOT(ISNUMBER($D364))),"",IF(AND($E364&lt;$D$2,$G364&lt;&gt;"X",$F364&lt;&gt;"Réalisé",$F364&lt;&gt;"Clôturé"),"RETARD",""))</f>
        <v/>
      </c>
      <c r="J364" s="29">
        <f>IF($B364="","",IF(INDEX(Dossiers!$F$4:$F$63,7)="","",INDEX(Dossiers!$F$4:$F$63,7)))</f>
        <v/>
      </c>
      <c r="K364" s="29">
        <f>IF($B364="","",IF(INDEX(Dossiers!$G$4:$G$63,7)="","",INDEX(Dossiers!$G$4:$G$63,7)))</f>
        <v/>
      </c>
    </row>
    <row r="365">
      <c r="A365">
        <f>IF($B365="","",INDEX(Dossiers!$E$4:$E$63,7))</f>
        <v/>
      </c>
      <c r="B365">
        <f>IF(INDEX(Suivi!$B:$B,372)="","",INDEX(Suivi!$B:$B,372))</f>
        <v/>
      </c>
      <c r="C365">
        <f>IF($B365="","",IF(INDEX(Suivi!$D:$D,372)="",INDEX(Suivi!$C:$C,372),INDEX(Suivi!$D:$D,372)))</f>
        <v/>
      </c>
      <c r="D365" s="29">
        <f>IF($B365="","",INDEX(Suivi!$E:$E,372))</f>
        <v/>
      </c>
      <c r="E365" s="29">
        <f>IF($B365="","",INDEX(Suivi!$F:$F,372))</f>
        <v/>
      </c>
      <c r="F365">
        <f>IF($B365="","",INDEX(Suivi!$G:$G,372))</f>
        <v/>
      </c>
      <c r="H365">
        <f>IF(OR($B365="",NOT(ISNUMBER($D365))),"",IF($E365&lt;$D$2,"Passé",IF($D365&gt;$F$2,"À venir","Dans la période")))</f>
        <v/>
      </c>
      <c r="I365">
        <f>IF(OR($B365="",NOT(ISNUMBER($D365))),"",IF(AND($E365&lt;$D$2,$G365&lt;&gt;"X",$F365&lt;&gt;"Réalisé",$F365&lt;&gt;"Clôturé"),"RETARD",""))</f>
        <v/>
      </c>
      <c r="J365" s="29">
        <f>IF($B365="","",IF(INDEX(Dossiers!$F$4:$F$63,7)="","",INDEX(Dossiers!$F$4:$F$63,7)))</f>
        <v/>
      </c>
      <c r="K365" s="29">
        <f>IF($B365="","",IF(INDEX(Dossiers!$G$4:$G$63,7)="","",INDEX(Dossiers!$G$4:$G$63,7)))</f>
        <v/>
      </c>
    </row>
    <row r="366">
      <c r="A366">
        <f>IF($B366="","",INDEX(Dossiers!$E$4:$E$63,7))</f>
        <v/>
      </c>
      <c r="B366">
        <f>IF(INDEX(Suivi!$B:$B,373)="","",INDEX(Suivi!$B:$B,373))</f>
        <v/>
      </c>
      <c r="C366">
        <f>IF($B366="","",IF(INDEX(Suivi!$D:$D,373)="",INDEX(Suivi!$C:$C,373),INDEX(Suivi!$D:$D,373)))</f>
        <v/>
      </c>
      <c r="D366" s="29">
        <f>IF($B366="","",INDEX(Suivi!$E:$E,373))</f>
        <v/>
      </c>
      <c r="E366" s="29">
        <f>IF($B366="","",INDEX(Suivi!$F:$F,373))</f>
        <v/>
      </c>
      <c r="F366">
        <f>IF($B366="","",INDEX(Suivi!$G:$G,373))</f>
        <v/>
      </c>
      <c r="H366">
        <f>IF(OR($B366="",NOT(ISNUMBER($D366))),"",IF($E366&lt;$D$2,"Passé",IF($D366&gt;$F$2,"À venir","Dans la période")))</f>
        <v/>
      </c>
      <c r="I366">
        <f>IF(OR($B366="",NOT(ISNUMBER($D366))),"",IF(AND($E366&lt;$D$2,$G366&lt;&gt;"X",$F366&lt;&gt;"Réalisé",$F366&lt;&gt;"Clôturé"),"RETARD",""))</f>
        <v/>
      </c>
      <c r="J366" s="29">
        <f>IF($B366="","",IF(INDEX(Dossiers!$F$4:$F$63,7)="","",INDEX(Dossiers!$F$4:$F$63,7)))</f>
        <v/>
      </c>
      <c r="K366" s="29">
        <f>IF($B366="","",IF(INDEX(Dossiers!$G$4:$G$63,7)="","",INDEX(Dossiers!$G$4:$G$63,7)))</f>
        <v/>
      </c>
    </row>
    <row r="367">
      <c r="A367">
        <f>IF($B367="","",INDEX(Dossiers!$E$4:$E$63,7))</f>
        <v/>
      </c>
      <c r="B367">
        <f>IF(INDEX(Suivi!$B:$B,374)="","",INDEX(Suivi!$B:$B,374))</f>
        <v/>
      </c>
      <c r="C367">
        <f>IF($B367="","",IF(INDEX(Suivi!$D:$D,374)="",INDEX(Suivi!$C:$C,374),INDEX(Suivi!$D:$D,374)))</f>
        <v/>
      </c>
      <c r="D367" s="29">
        <f>IF($B367="","",INDEX(Suivi!$E:$E,374))</f>
        <v/>
      </c>
      <c r="E367" s="29">
        <f>IF($B367="","",INDEX(Suivi!$F:$F,374))</f>
        <v/>
      </c>
      <c r="F367">
        <f>IF($B367="","",INDEX(Suivi!$G:$G,374))</f>
        <v/>
      </c>
      <c r="H367">
        <f>IF(OR($B367="",NOT(ISNUMBER($D367))),"",IF($E367&lt;$D$2,"Passé",IF($D367&gt;$F$2,"À venir","Dans la période")))</f>
        <v/>
      </c>
      <c r="I367">
        <f>IF(OR($B367="",NOT(ISNUMBER($D367))),"",IF(AND($E367&lt;$D$2,$G367&lt;&gt;"X",$F367&lt;&gt;"Réalisé",$F367&lt;&gt;"Clôturé"),"RETARD",""))</f>
        <v/>
      </c>
      <c r="J367" s="29">
        <f>IF($B367="","",IF(INDEX(Dossiers!$F$4:$F$63,7)="","",INDEX(Dossiers!$F$4:$F$63,7)))</f>
        <v/>
      </c>
      <c r="K367" s="29">
        <f>IF($B367="","",IF(INDEX(Dossiers!$G$4:$G$63,7)="","",INDEX(Dossiers!$G$4:$G$63,7)))</f>
        <v/>
      </c>
    </row>
    <row r="368">
      <c r="A368">
        <f>IF($B368="","",INDEX(Dossiers!$E$4:$E$63,7))</f>
        <v/>
      </c>
      <c r="B368">
        <f>IF(INDEX(Suivi!$B:$B,375)="","",INDEX(Suivi!$B:$B,375))</f>
        <v/>
      </c>
      <c r="C368">
        <f>IF($B368="","",IF(INDEX(Suivi!$D:$D,375)="",INDEX(Suivi!$C:$C,375),INDEX(Suivi!$D:$D,375)))</f>
        <v/>
      </c>
      <c r="D368" s="29">
        <f>IF($B368="","",INDEX(Suivi!$E:$E,375))</f>
        <v/>
      </c>
      <c r="E368" s="29">
        <f>IF($B368="","",INDEX(Suivi!$F:$F,375))</f>
        <v/>
      </c>
      <c r="F368">
        <f>IF($B368="","",INDEX(Suivi!$G:$G,375))</f>
        <v/>
      </c>
      <c r="H368">
        <f>IF(OR($B368="",NOT(ISNUMBER($D368))),"",IF($E368&lt;$D$2,"Passé",IF($D368&gt;$F$2,"À venir","Dans la période")))</f>
        <v/>
      </c>
      <c r="I368">
        <f>IF(OR($B368="",NOT(ISNUMBER($D368))),"",IF(AND($E368&lt;$D$2,$G368&lt;&gt;"X",$F368&lt;&gt;"Réalisé",$F368&lt;&gt;"Clôturé"),"RETARD",""))</f>
        <v/>
      </c>
      <c r="J368" s="29">
        <f>IF($B368="","",IF(INDEX(Dossiers!$F$4:$F$63,7)="","",INDEX(Dossiers!$F$4:$F$63,7)))</f>
        <v/>
      </c>
      <c r="K368" s="29">
        <f>IF($B368="","",IF(INDEX(Dossiers!$G$4:$G$63,7)="","",INDEX(Dossiers!$G$4:$G$63,7)))</f>
        <v/>
      </c>
    </row>
    <row r="369">
      <c r="A369">
        <f>IF($B369="","",INDEX(Dossiers!$E$4:$E$63,7))</f>
        <v/>
      </c>
      <c r="B369">
        <f>IF(INDEX(Suivi!$B:$B,376)="","",INDEX(Suivi!$B:$B,376))</f>
        <v/>
      </c>
      <c r="C369">
        <f>IF($B369="","",IF(INDEX(Suivi!$D:$D,376)="",INDEX(Suivi!$C:$C,376),INDEX(Suivi!$D:$D,376)))</f>
        <v/>
      </c>
      <c r="D369" s="29">
        <f>IF($B369="","",INDEX(Suivi!$E:$E,376))</f>
        <v/>
      </c>
      <c r="E369" s="29">
        <f>IF($B369="","",INDEX(Suivi!$F:$F,376))</f>
        <v/>
      </c>
      <c r="F369">
        <f>IF($B369="","",INDEX(Suivi!$G:$G,376))</f>
        <v/>
      </c>
      <c r="H369">
        <f>IF(OR($B369="",NOT(ISNUMBER($D369))),"",IF($E369&lt;$D$2,"Passé",IF($D369&gt;$F$2,"À venir","Dans la période")))</f>
        <v/>
      </c>
      <c r="I369">
        <f>IF(OR($B369="",NOT(ISNUMBER($D369))),"",IF(AND($E369&lt;$D$2,$G369&lt;&gt;"X",$F369&lt;&gt;"Réalisé",$F369&lt;&gt;"Clôturé"),"RETARD",""))</f>
        <v/>
      </c>
      <c r="J369" s="29">
        <f>IF($B369="","",IF(INDEX(Dossiers!$F$4:$F$63,7)="","",INDEX(Dossiers!$F$4:$F$63,7)))</f>
        <v/>
      </c>
      <c r="K369" s="29">
        <f>IF($B369="","",IF(INDEX(Dossiers!$G$4:$G$63,7)="","",INDEX(Dossiers!$G$4:$G$63,7)))</f>
        <v/>
      </c>
    </row>
    <row r="370">
      <c r="A370">
        <f>IF($B370="","",INDEX(Dossiers!$E$4:$E$63,7))</f>
        <v/>
      </c>
      <c r="B370">
        <f>IF(INDEX(Suivi!$B:$B,377)="","",INDEX(Suivi!$B:$B,377))</f>
        <v/>
      </c>
      <c r="C370">
        <f>IF($B370="","",IF(INDEX(Suivi!$D:$D,377)="",INDEX(Suivi!$C:$C,377),INDEX(Suivi!$D:$D,377)))</f>
        <v/>
      </c>
      <c r="D370" s="29">
        <f>IF($B370="","",INDEX(Suivi!$E:$E,377))</f>
        <v/>
      </c>
      <c r="E370" s="29">
        <f>IF($B370="","",INDEX(Suivi!$F:$F,377))</f>
        <v/>
      </c>
      <c r="F370">
        <f>IF($B370="","",INDEX(Suivi!$G:$G,377))</f>
        <v/>
      </c>
      <c r="H370">
        <f>IF(OR($B370="",NOT(ISNUMBER($D370))),"",IF($E370&lt;$D$2,"Passé",IF($D370&gt;$F$2,"À venir","Dans la période")))</f>
        <v/>
      </c>
      <c r="I370">
        <f>IF(OR($B370="",NOT(ISNUMBER($D370))),"",IF(AND($E370&lt;$D$2,$G370&lt;&gt;"X",$F370&lt;&gt;"Réalisé",$F370&lt;&gt;"Clôturé"),"RETARD",""))</f>
        <v/>
      </c>
      <c r="J370" s="29">
        <f>IF($B370="","",IF(INDEX(Dossiers!$F$4:$F$63,7)="","",INDEX(Dossiers!$F$4:$F$63,7)))</f>
        <v/>
      </c>
      <c r="K370" s="29">
        <f>IF($B370="","",IF(INDEX(Dossiers!$G$4:$G$63,7)="","",INDEX(Dossiers!$G$4:$G$63,7)))</f>
        <v/>
      </c>
    </row>
    <row r="371">
      <c r="A371">
        <f>IF($B371="","",INDEX(Dossiers!$E$4:$E$63,7))</f>
        <v/>
      </c>
      <c r="B371">
        <f>IF(INDEX(Suivi!$B:$B,378)="","",INDEX(Suivi!$B:$B,378))</f>
        <v/>
      </c>
      <c r="C371">
        <f>IF($B371="","",IF(INDEX(Suivi!$D:$D,378)="",INDEX(Suivi!$C:$C,378),INDEX(Suivi!$D:$D,378)))</f>
        <v/>
      </c>
      <c r="D371" s="29">
        <f>IF($B371="","",INDEX(Suivi!$E:$E,378))</f>
        <v/>
      </c>
      <c r="E371" s="29">
        <f>IF($B371="","",INDEX(Suivi!$F:$F,378))</f>
        <v/>
      </c>
      <c r="F371">
        <f>IF($B371="","",INDEX(Suivi!$G:$G,378))</f>
        <v/>
      </c>
      <c r="H371">
        <f>IF(OR($B371="",NOT(ISNUMBER($D371))),"",IF($E371&lt;$D$2,"Passé",IF($D371&gt;$F$2,"À venir","Dans la période")))</f>
        <v/>
      </c>
      <c r="I371">
        <f>IF(OR($B371="",NOT(ISNUMBER($D371))),"",IF(AND($E371&lt;$D$2,$G371&lt;&gt;"X",$F371&lt;&gt;"Réalisé",$F371&lt;&gt;"Clôturé"),"RETARD",""))</f>
        <v/>
      </c>
      <c r="J371" s="29">
        <f>IF($B371="","",IF(INDEX(Dossiers!$F$4:$F$63,7)="","",INDEX(Dossiers!$F$4:$F$63,7)))</f>
        <v/>
      </c>
      <c r="K371" s="29">
        <f>IF($B371="","",IF(INDEX(Dossiers!$G$4:$G$63,7)="","",INDEX(Dossiers!$G$4:$G$63,7)))</f>
        <v/>
      </c>
    </row>
    <row r="372">
      <c r="A372">
        <f>IF($B372="","",INDEX(Dossiers!$E$4:$E$63,7))</f>
        <v/>
      </c>
      <c r="B372">
        <f>IF(INDEX(Suivi!$B:$B,379)="","",INDEX(Suivi!$B:$B,379))</f>
        <v/>
      </c>
      <c r="C372">
        <f>IF($B372="","",IF(INDEX(Suivi!$D:$D,379)="",INDEX(Suivi!$C:$C,379),INDEX(Suivi!$D:$D,379)))</f>
        <v/>
      </c>
      <c r="D372" s="29">
        <f>IF($B372="","",INDEX(Suivi!$E:$E,379))</f>
        <v/>
      </c>
      <c r="E372" s="29">
        <f>IF($B372="","",INDEX(Suivi!$F:$F,379))</f>
        <v/>
      </c>
      <c r="F372">
        <f>IF($B372="","",INDEX(Suivi!$G:$G,379))</f>
        <v/>
      </c>
      <c r="H372">
        <f>IF(OR($B372="",NOT(ISNUMBER($D372))),"",IF($E372&lt;$D$2,"Passé",IF($D372&gt;$F$2,"À venir","Dans la période")))</f>
        <v/>
      </c>
      <c r="I372">
        <f>IF(OR($B372="",NOT(ISNUMBER($D372))),"",IF(AND($E372&lt;$D$2,$G372&lt;&gt;"X",$F372&lt;&gt;"Réalisé",$F372&lt;&gt;"Clôturé"),"RETARD",""))</f>
        <v/>
      </c>
      <c r="J372" s="29">
        <f>IF($B372="","",IF(INDEX(Dossiers!$F$4:$F$63,7)="","",INDEX(Dossiers!$F$4:$F$63,7)))</f>
        <v/>
      </c>
      <c r="K372" s="29">
        <f>IF($B372="","",IF(INDEX(Dossiers!$G$4:$G$63,7)="","",INDEX(Dossiers!$G$4:$G$63,7)))</f>
        <v/>
      </c>
    </row>
    <row r="373">
      <c r="A373">
        <f>IF($B373="","",INDEX(Dossiers!$E$4:$E$63,7))</f>
        <v/>
      </c>
      <c r="B373">
        <f>IF(INDEX(Suivi!$B:$B,380)="","",INDEX(Suivi!$B:$B,380))</f>
        <v/>
      </c>
      <c r="C373">
        <f>IF($B373="","",IF(INDEX(Suivi!$D:$D,380)="",INDEX(Suivi!$C:$C,380),INDEX(Suivi!$D:$D,380)))</f>
        <v/>
      </c>
      <c r="D373" s="29">
        <f>IF($B373="","",INDEX(Suivi!$E:$E,380))</f>
        <v/>
      </c>
      <c r="E373" s="29">
        <f>IF($B373="","",INDEX(Suivi!$F:$F,380))</f>
        <v/>
      </c>
      <c r="F373">
        <f>IF($B373="","",INDEX(Suivi!$G:$G,380))</f>
        <v/>
      </c>
      <c r="H373">
        <f>IF(OR($B373="",NOT(ISNUMBER($D373))),"",IF($E373&lt;$D$2,"Passé",IF($D373&gt;$F$2,"À venir","Dans la période")))</f>
        <v/>
      </c>
      <c r="I373">
        <f>IF(OR($B373="",NOT(ISNUMBER($D373))),"",IF(AND($E373&lt;$D$2,$G373&lt;&gt;"X",$F373&lt;&gt;"Réalisé",$F373&lt;&gt;"Clôturé"),"RETARD",""))</f>
        <v/>
      </c>
      <c r="J373" s="29">
        <f>IF($B373="","",IF(INDEX(Dossiers!$F$4:$F$63,7)="","",INDEX(Dossiers!$F$4:$F$63,7)))</f>
        <v/>
      </c>
      <c r="K373" s="29">
        <f>IF($B373="","",IF(INDEX(Dossiers!$G$4:$G$63,7)="","",INDEX(Dossiers!$G$4:$G$63,7)))</f>
        <v/>
      </c>
    </row>
    <row r="374">
      <c r="A374">
        <f>IF($B374="","",INDEX(Dossiers!$E$4:$E$63,7))</f>
        <v/>
      </c>
      <c r="B374">
        <f>IF(INDEX(Suivi!$B:$B,381)="","",INDEX(Suivi!$B:$B,381))</f>
        <v/>
      </c>
      <c r="C374">
        <f>IF($B374="","",IF(INDEX(Suivi!$D:$D,381)="",INDEX(Suivi!$C:$C,381),INDEX(Suivi!$D:$D,381)))</f>
        <v/>
      </c>
      <c r="D374" s="29">
        <f>IF($B374="","",INDEX(Suivi!$E:$E,381))</f>
        <v/>
      </c>
      <c r="E374" s="29">
        <f>IF($B374="","",INDEX(Suivi!$F:$F,381))</f>
        <v/>
      </c>
      <c r="F374">
        <f>IF($B374="","",INDEX(Suivi!$G:$G,381))</f>
        <v/>
      </c>
      <c r="H374">
        <f>IF(OR($B374="",NOT(ISNUMBER($D374))),"",IF($E374&lt;$D$2,"Passé",IF($D374&gt;$F$2,"À venir","Dans la période")))</f>
        <v/>
      </c>
      <c r="I374">
        <f>IF(OR($B374="",NOT(ISNUMBER($D374))),"",IF(AND($E374&lt;$D$2,$G374&lt;&gt;"X",$F374&lt;&gt;"Réalisé",$F374&lt;&gt;"Clôturé"),"RETARD",""))</f>
        <v/>
      </c>
      <c r="J374" s="29">
        <f>IF($B374="","",IF(INDEX(Dossiers!$F$4:$F$63,7)="","",INDEX(Dossiers!$F$4:$F$63,7)))</f>
        <v/>
      </c>
      <c r="K374" s="29">
        <f>IF($B374="","",IF(INDEX(Dossiers!$G$4:$G$63,7)="","",INDEX(Dossiers!$G$4:$G$63,7)))</f>
        <v/>
      </c>
    </row>
    <row r="375">
      <c r="A375">
        <f>IF($B375="","",INDEX(Dossiers!$E$4:$E$63,8))</f>
        <v/>
      </c>
      <c r="B375">
        <f>IF(INDEX(Suivi!$B:$B,383)="","",INDEX(Suivi!$B:$B,383))</f>
        <v/>
      </c>
      <c r="C375">
        <f>IF($B375="","",IF(INDEX(Suivi!$D:$D,383)="",INDEX(Suivi!$C:$C,383),INDEX(Suivi!$D:$D,383)))</f>
        <v/>
      </c>
      <c r="D375" s="29">
        <f>IF($B375="","",INDEX(Suivi!$E:$E,383))</f>
        <v/>
      </c>
      <c r="E375" s="29">
        <f>IF($B375="","",INDEX(Suivi!$F:$F,383))</f>
        <v/>
      </c>
      <c r="F375">
        <f>IF($B375="","",INDEX(Suivi!$G:$G,383))</f>
        <v/>
      </c>
      <c r="H375">
        <f>IF(OR($B375="",NOT(ISNUMBER($D375))),"",IF($E375&lt;$D$2,"Passé",IF($D375&gt;$F$2,"À venir","Dans la période")))</f>
        <v/>
      </c>
      <c r="I375">
        <f>IF(OR($B375="",NOT(ISNUMBER($D375))),"",IF(AND($E375&lt;$D$2,$G375&lt;&gt;"X",$F375&lt;&gt;"Réalisé",$F375&lt;&gt;"Clôturé"),"RETARD",""))</f>
        <v/>
      </c>
      <c r="J375" s="29">
        <f>IF($B375="","",IF(INDEX(Dossiers!$F$4:$F$63,8)="","",INDEX(Dossiers!$F$4:$F$63,8)))</f>
        <v/>
      </c>
      <c r="K375" s="29">
        <f>IF($B375="","",IF(INDEX(Dossiers!$G$4:$G$63,8)="","",INDEX(Dossiers!$G$4:$G$63,8)))</f>
        <v/>
      </c>
    </row>
    <row r="376">
      <c r="A376">
        <f>IF($B376="","",INDEX(Dossiers!$E$4:$E$63,8))</f>
        <v/>
      </c>
      <c r="B376">
        <f>IF(INDEX(Suivi!$B:$B,384)="","",INDEX(Suivi!$B:$B,384))</f>
        <v/>
      </c>
      <c r="C376">
        <f>IF($B376="","",IF(INDEX(Suivi!$D:$D,384)="",INDEX(Suivi!$C:$C,384),INDEX(Suivi!$D:$D,384)))</f>
        <v/>
      </c>
      <c r="D376" s="29">
        <f>IF($B376="","",INDEX(Suivi!$E:$E,384))</f>
        <v/>
      </c>
      <c r="E376" s="29">
        <f>IF($B376="","",INDEX(Suivi!$F:$F,384))</f>
        <v/>
      </c>
      <c r="F376">
        <f>IF($B376="","",INDEX(Suivi!$G:$G,384))</f>
        <v/>
      </c>
      <c r="H376">
        <f>IF(OR($B376="",NOT(ISNUMBER($D376))),"",IF($E376&lt;$D$2,"Passé",IF($D376&gt;$F$2,"À venir","Dans la période")))</f>
        <v/>
      </c>
      <c r="I376">
        <f>IF(OR($B376="",NOT(ISNUMBER($D376))),"",IF(AND($E376&lt;$D$2,$G376&lt;&gt;"X",$F376&lt;&gt;"Réalisé",$F376&lt;&gt;"Clôturé"),"RETARD",""))</f>
        <v/>
      </c>
      <c r="J376" s="29">
        <f>IF($B376="","",IF(INDEX(Dossiers!$F$4:$F$63,8)="","",INDEX(Dossiers!$F$4:$F$63,8)))</f>
        <v/>
      </c>
      <c r="K376" s="29">
        <f>IF($B376="","",IF(INDEX(Dossiers!$G$4:$G$63,8)="","",INDEX(Dossiers!$G$4:$G$63,8)))</f>
        <v/>
      </c>
    </row>
    <row r="377">
      <c r="A377">
        <f>IF($B377="","",INDEX(Dossiers!$E$4:$E$63,8))</f>
        <v/>
      </c>
      <c r="B377">
        <f>IF(INDEX(Suivi!$B:$B,385)="","",INDEX(Suivi!$B:$B,385))</f>
        <v/>
      </c>
      <c r="C377">
        <f>IF($B377="","",IF(INDEX(Suivi!$D:$D,385)="",INDEX(Suivi!$C:$C,385),INDEX(Suivi!$D:$D,385)))</f>
        <v/>
      </c>
      <c r="D377" s="29">
        <f>IF($B377="","",INDEX(Suivi!$E:$E,385))</f>
        <v/>
      </c>
      <c r="E377" s="29">
        <f>IF($B377="","",INDEX(Suivi!$F:$F,385))</f>
        <v/>
      </c>
      <c r="F377">
        <f>IF($B377="","",INDEX(Suivi!$G:$G,385))</f>
        <v/>
      </c>
      <c r="H377">
        <f>IF(OR($B377="",NOT(ISNUMBER($D377))),"",IF($E377&lt;$D$2,"Passé",IF($D377&gt;$F$2,"À venir","Dans la période")))</f>
        <v/>
      </c>
      <c r="I377">
        <f>IF(OR($B377="",NOT(ISNUMBER($D377))),"",IF(AND($E377&lt;$D$2,$G377&lt;&gt;"X",$F377&lt;&gt;"Réalisé",$F377&lt;&gt;"Clôturé"),"RETARD",""))</f>
        <v/>
      </c>
      <c r="J377" s="29">
        <f>IF($B377="","",IF(INDEX(Dossiers!$F$4:$F$63,8)="","",INDEX(Dossiers!$F$4:$F$63,8)))</f>
        <v/>
      </c>
      <c r="K377" s="29">
        <f>IF($B377="","",IF(INDEX(Dossiers!$G$4:$G$63,8)="","",INDEX(Dossiers!$G$4:$G$63,8)))</f>
        <v/>
      </c>
    </row>
    <row r="378">
      <c r="A378">
        <f>IF($B378="","",INDEX(Dossiers!$E$4:$E$63,8))</f>
        <v/>
      </c>
      <c r="B378">
        <f>IF(INDEX(Suivi!$B:$B,386)="","",INDEX(Suivi!$B:$B,386))</f>
        <v/>
      </c>
      <c r="C378">
        <f>IF($B378="","",IF(INDEX(Suivi!$D:$D,386)="",INDEX(Suivi!$C:$C,386),INDEX(Suivi!$D:$D,386)))</f>
        <v/>
      </c>
      <c r="D378" s="29">
        <f>IF($B378="","",INDEX(Suivi!$E:$E,386))</f>
        <v/>
      </c>
      <c r="E378" s="29">
        <f>IF($B378="","",INDEX(Suivi!$F:$F,386))</f>
        <v/>
      </c>
      <c r="F378">
        <f>IF($B378="","",INDEX(Suivi!$G:$G,386))</f>
        <v/>
      </c>
      <c r="H378">
        <f>IF(OR($B378="",NOT(ISNUMBER($D378))),"",IF($E378&lt;$D$2,"Passé",IF($D378&gt;$F$2,"À venir","Dans la période")))</f>
        <v/>
      </c>
      <c r="I378">
        <f>IF(OR($B378="",NOT(ISNUMBER($D378))),"",IF(AND($E378&lt;$D$2,$G378&lt;&gt;"X",$F378&lt;&gt;"Réalisé",$F378&lt;&gt;"Clôturé"),"RETARD",""))</f>
        <v/>
      </c>
      <c r="J378" s="29">
        <f>IF($B378="","",IF(INDEX(Dossiers!$F$4:$F$63,8)="","",INDEX(Dossiers!$F$4:$F$63,8)))</f>
        <v/>
      </c>
      <c r="K378" s="29">
        <f>IF($B378="","",IF(INDEX(Dossiers!$G$4:$G$63,8)="","",INDEX(Dossiers!$G$4:$G$63,8)))</f>
        <v/>
      </c>
    </row>
    <row r="379">
      <c r="A379">
        <f>IF($B379="","",INDEX(Dossiers!$E$4:$E$63,8))</f>
        <v/>
      </c>
      <c r="B379">
        <f>IF(INDEX(Suivi!$B:$B,387)="","",INDEX(Suivi!$B:$B,387))</f>
        <v/>
      </c>
      <c r="C379">
        <f>IF($B379="","",IF(INDEX(Suivi!$D:$D,387)="",INDEX(Suivi!$C:$C,387),INDEX(Suivi!$D:$D,387)))</f>
        <v/>
      </c>
      <c r="D379" s="29">
        <f>IF($B379="","",INDEX(Suivi!$E:$E,387))</f>
        <v/>
      </c>
      <c r="E379" s="29">
        <f>IF($B379="","",INDEX(Suivi!$F:$F,387))</f>
        <v/>
      </c>
      <c r="F379">
        <f>IF($B379="","",INDEX(Suivi!$G:$G,387))</f>
        <v/>
      </c>
      <c r="H379">
        <f>IF(OR($B379="",NOT(ISNUMBER($D379))),"",IF($E379&lt;$D$2,"Passé",IF($D379&gt;$F$2,"À venir","Dans la période")))</f>
        <v/>
      </c>
      <c r="I379">
        <f>IF(OR($B379="",NOT(ISNUMBER($D379))),"",IF(AND($E379&lt;$D$2,$G379&lt;&gt;"X",$F379&lt;&gt;"Réalisé",$F379&lt;&gt;"Clôturé"),"RETARD",""))</f>
        <v/>
      </c>
      <c r="J379" s="29">
        <f>IF($B379="","",IF(INDEX(Dossiers!$F$4:$F$63,8)="","",INDEX(Dossiers!$F$4:$F$63,8)))</f>
        <v/>
      </c>
      <c r="K379" s="29">
        <f>IF($B379="","",IF(INDEX(Dossiers!$G$4:$G$63,8)="","",INDEX(Dossiers!$G$4:$G$63,8)))</f>
        <v/>
      </c>
    </row>
    <row r="380">
      <c r="A380">
        <f>IF($B380="","",INDEX(Dossiers!$E$4:$E$63,8))</f>
        <v/>
      </c>
      <c r="B380">
        <f>IF(INDEX(Suivi!$B:$B,388)="","",INDEX(Suivi!$B:$B,388))</f>
        <v/>
      </c>
      <c r="C380">
        <f>IF($B380="","",IF(INDEX(Suivi!$D:$D,388)="",INDEX(Suivi!$C:$C,388),INDEX(Suivi!$D:$D,388)))</f>
        <v/>
      </c>
      <c r="D380" s="29">
        <f>IF($B380="","",INDEX(Suivi!$E:$E,388))</f>
        <v/>
      </c>
      <c r="E380" s="29">
        <f>IF($B380="","",INDEX(Suivi!$F:$F,388))</f>
        <v/>
      </c>
      <c r="F380">
        <f>IF($B380="","",INDEX(Suivi!$G:$G,388))</f>
        <v/>
      </c>
      <c r="H380">
        <f>IF(OR($B380="",NOT(ISNUMBER($D380))),"",IF($E380&lt;$D$2,"Passé",IF($D380&gt;$F$2,"À venir","Dans la période")))</f>
        <v/>
      </c>
      <c r="I380">
        <f>IF(OR($B380="",NOT(ISNUMBER($D380))),"",IF(AND($E380&lt;$D$2,$G380&lt;&gt;"X",$F380&lt;&gt;"Réalisé",$F380&lt;&gt;"Clôturé"),"RETARD",""))</f>
        <v/>
      </c>
      <c r="J380" s="29">
        <f>IF($B380="","",IF(INDEX(Dossiers!$F$4:$F$63,8)="","",INDEX(Dossiers!$F$4:$F$63,8)))</f>
        <v/>
      </c>
      <c r="K380" s="29">
        <f>IF($B380="","",IF(INDEX(Dossiers!$G$4:$G$63,8)="","",INDEX(Dossiers!$G$4:$G$63,8)))</f>
        <v/>
      </c>
    </row>
    <row r="381">
      <c r="A381">
        <f>IF($B381="","",INDEX(Dossiers!$E$4:$E$63,8))</f>
        <v/>
      </c>
      <c r="B381">
        <f>IF(INDEX(Suivi!$B:$B,389)="","",INDEX(Suivi!$B:$B,389))</f>
        <v/>
      </c>
      <c r="C381">
        <f>IF($B381="","",IF(INDEX(Suivi!$D:$D,389)="",INDEX(Suivi!$C:$C,389),INDEX(Suivi!$D:$D,389)))</f>
        <v/>
      </c>
      <c r="D381" s="29">
        <f>IF($B381="","",INDEX(Suivi!$E:$E,389))</f>
        <v/>
      </c>
      <c r="E381" s="29">
        <f>IF($B381="","",INDEX(Suivi!$F:$F,389))</f>
        <v/>
      </c>
      <c r="F381">
        <f>IF($B381="","",INDEX(Suivi!$G:$G,389))</f>
        <v/>
      </c>
      <c r="H381">
        <f>IF(OR($B381="",NOT(ISNUMBER($D381))),"",IF($E381&lt;$D$2,"Passé",IF($D381&gt;$F$2,"À venir","Dans la période")))</f>
        <v/>
      </c>
      <c r="I381">
        <f>IF(OR($B381="",NOT(ISNUMBER($D381))),"",IF(AND($E381&lt;$D$2,$G381&lt;&gt;"X",$F381&lt;&gt;"Réalisé",$F381&lt;&gt;"Clôturé"),"RETARD",""))</f>
        <v/>
      </c>
      <c r="J381" s="29">
        <f>IF($B381="","",IF(INDEX(Dossiers!$F$4:$F$63,8)="","",INDEX(Dossiers!$F$4:$F$63,8)))</f>
        <v/>
      </c>
      <c r="K381" s="29">
        <f>IF($B381="","",IF(INDEX(Dossiers!$G$4:$G$63,8)="","",INDEX(Dossiers!$G$4:$G$63,8)))</f>
        <v/>
      </c>
    </row>
    <row r="382">
      <c r="A382">
        <f>IF($B382="","",INDEX(Dossiers!$E$4:$E$63,8))</f>
        <v/>
      </c>
      <c r="B382">
        <f>IF(INDEX(Suivi!$B:$B,390)="","",INDEX(Suivi!$B:$B,390))</f>
        <v/>
      </c>
      <c r="C382">
        <f>IF($B382="","",IF(INDEX(Suivi!$D:$D,390)="",INDEX(Suivi!$C:$C,390),INDEX(Suivi!$D:$D,390)))</f>
        <v/>
      </c>
      <c r="D382" s="29">
        <f>IF($B382="","",INDEX(Suivi!$E:$E,390))</f>
        <v/>
      </c>
      <c r="E382" s="29">
        <f>IF($B382="","",INDEX(Suivi!$F:$F,390))</f>
        <v/>
      </c>
      <c r="F382">
        <f>IF($B382="","",INDEX(Suivi!$G:$G,390))</f>
        <v/>
      </c>
      <c r="H382">
        <f>IF(OR($B382="",NOT(ISNUMBER($D382))),"",IF($E382&lt;$D$2,"Passé",IF($D382&gt;$F$2,"À venir","Dans la période")))</f>
        <v/>
      </c>
      <c r="I382">
        <f>IF(OR($B382="",NOT(ISNUMBER($D382))),"",IF(AND($E382&lt;$D$2,$G382&lt;&gt;"X",$F382&lt;&gt;"Réalisé",$F382&lt;&gt;"Clôturé"),"RETARD",""))</f>
        <v/>
      </c>
      <c r="J382" s="29">
        <f>IF($B382="","",IF(INDEX(Dossiers!$F$4:$F$63,8)="","",INDEX(Dossiers!$F$4:$F$63,8)))</f>
        <v/>
      </c>
      <c r="K382" s="29">
        <f>IF($B382="","",IF(INDEX(Dossiers!$G$4:$G$63,8)="","",INDEX(Dossiers!$G$4:$G$63,8)))</f>
        <v/>
      </c>
    </row>
    <row r="383">
      <c r="A383">
        <f>IF($B383="","",INDEX(Dossiers!$E$4:$E$63,8))</f>
        <v/>
      </c>
      <c r="B383">
        <f>IF(INDEX(Suivi!$B:$B,391)="","",INDEX(Suivi!$B:$B,391))</f>
        <v/>
      </c>
      <c r="C383">
        <f>IF($B383="","",IF(INDEX(Suivi!$D:$D,391)="",INDEX(Suivi!$C:$C,391),INDEX(Suivi!$D:$D,391)))</f>
        <v/>
      </c>
      <c r="D383" s="29">
        <f>IF($B383="","",INDEX(Suivi!$E:$E,391))</f>
        <v/>
      </c>
      <c r="E383" s="29">
        <f>IF($B383="","",INDEX(Suivi!$F:$F,391))</f>
        <v/>
      </c>
      <c r="F383">
        <f>IF($B383="","",INDEX(Suivi!$G:$G,391))</f>
        <v/>
      </c>
      <c r="H383">
        <f>IF(OR($B383="",NOT(ISNUMBER($D383))),"",IF($E383&lt;$D$2,"Passé",IF($D383&gt;$F$2,"À venir","Dans la période")))</f>
        <v/>
      </c>
      <c r="I383">
        <f>IF(OR($B383="",NOT(ISNUMBER($D383))),"",IF(AND($E383&lt;$D$2,$G383&lt;&gt;"X",$F383&lt;&gt;"Réalisé",$F383&lt;&gt;"Clôturé"),"RETARD",""))</f>
        <v/>
      </c>
      <c r="J383" s="29">
        <f>IF($B383="","",IF(INDEX(Dossiers!$F$4:$F$63,8)="","",INDEX(Dossiers!$F$4:$F$63,8)))</f>
        <v/>
      </c>
      <c r="K383" s="29">
        <f>IF($B383="","",IF(INDEX(Dossiers!$G$4:$G$63,8)="","",INDEX(Dossiers!$G$4:$G$63,8)))</f>
        <v/>
      </c>
    </row>
    <row r="384">
      <c r="A384">
        <f>IF($B384="","",INDEX(Dossiers!$E$4:$E$63,8))</f>
        <v/>
      </c>
      <c r="B384">
        <f>IF(INDEX(Suivi!$B:$B,392)="","",INDEX(Suivi!$B:$B,392))</f>
        <v/>
      </c>
      <c r="C384">
        <f>IF($B384="","",IF(INDEX(Suivi!$D:$D,392)="",INDEX(Suivi!$C:$C,392),INDEX(Suivi!$D:$D,392)))</f>
        <v/>
      </c>
      <c r="D384" s="29">
        <f>IF($B384="","",INDEX(Suivi!$E:$E,392))</f>
        <v/>
      </c>
      <c r="E384" s="29">
        <f>IF($B384="","",INDEX(Suivi!$F:$F,392))</f>
        <v/>
      </c>
      <c r="F384">
        <f>IF($B384="","",INDEX(Suivi!$G:$G,392))</f>
        <v/>
      </c>
      <c r="H384">
        <f>IF(OR($B384="",NOT(ISNUMBER($D384))),"",IF($E384&lt;$D$2,"Passé",IF($D384&gt;$F$2,"À venir","Dans la période")))</f>
        <v/>
      </c>
      <c r="I384">
        <f>IF(OR($B384="",NOT(ISNUMBER($D384))),"",IF(AND($E384&lt;$D$2,$G384&lt;&gt;"X",$F384&lt;&gt;"Réalisé",$F384&lt;&gt;"Clôturé"),"RETARD",""))</f>
        <v/>
      </c>
      <c r="J384" s="29">
        <f>IF($B384="","",IF(INDEX(Dossiers!$F$4:$F$63,8)="","",INDEX(Dossiers!$F$4:$F$63,8)))</f>
        <v/>
      </c>
      <c r="K384" s="29">
        <f>IF($B384="","",IF(INDEX(Dossiers!$G$4:$G$63,8)="","",INDEX(Dossiers!$G$4:$G$63,8)))</f>
        <v/>
      </c>
    </row>
    <row r="385">
      <c r="A385">
        <f>IF($B385="","",INDEX(Dossiers!$E$4:$E$63,8))</f>
        <v/>
      </c>
      <c r="B385">
        <f>IF(INDEX(Suivi!$B:$B,393)="","",INDEX(Suivi!$B:$B,393))</f>
        <v/>
      </c>
      <c r="C385">
        <f>IF($B385="","",IF(INDEX(Suivi!$D:$D,393)="",INDEX(Suivi!$C:$C,393),INDEX(Suivi!$D:$D,393)))</f>
        <v/>
      </c>
      <c r="D385" s="29">
        <f>IF($B385="","",INDEX(Suivi!$E:$E,393))</f>
        <v/>
      </c>
      <c r="E385" s="29">
        <f>IF($B385="","",INDEX(Suivi!$F:$F,393))</f>
        <v/>
      </c>
      <c r="F385">
        <f>IF($B385="","",INDEX(Suivi!$G:$G,393))</f>
        <v/>
      </c>
      <c r="H385">
        <f>IF(OR($B385="",NOT(ISNUMBER($D385))),"",IF($E385&lt;$D$2,"Passé",IF($D385&gt;$F$2,"À venir","Dans la période")))</f>
        <v/>
      </c>
      <c r="I385">
        <f>IF(OR($B385="",NOT(ISNUMBER($D385))),"",IF(AND($E385&lt;$D$2,$G385&lt;&gt;"X",$F385&lt;&gt;"Réalisé",$F385&lt;&gt;"Clôturé"),"RETARD",""))</f>
        <v/>
      </c>
      <c r="J385" s="29">
        <f>IF($B385="","",IF(INDEX(Dossiers!$F$4:$F$63,8)="","",INDEX(Dossiers!$F$4:$F$63,8)))</f>
        <v/>
      </c>
      <c r="K385" s="29">
        <f>IF($B385="","",IF(INDEX(Dossiers!$G$4:$G$63,8)="","",INDEX(Dossiers!$G$4:$G$63,8)))</f>
        <v/>
      </c>
    </row>
    <row r="386">
      <c r="A386">
        <f>IF($B386="","",INDEX(Dossiers!$E$4:$E$63,8))</f>
        <v/>
      </c>
      <c r="B386">
        <f>IF(INDEX(Suivi!$B:$B,394)="","",INDEX(Suivi!$B:$B,394))</f>
        <v/>
      </c>
      <c r="C386">
        <f>IF($B386="","",IF(INDEX(Suivi!$D:$D,394)="",INDEX(Suivi!$C:$C,394),INDEX(Suivi!$D:$D,394)))</f>
        <v/>
      </c>
      <c r="D386" s="29">
        <f>IF($B386="","",INDEX(Suivi!$E:$E,394))</f>
        <v/>
      </c>
      <c r="E386" s="29">
        <f>IF($B386="","",INDEX(Suivi!$F:$F,394))</f>
        <v/>
      </c>
      <c r="F386">
        <f>IF($B386="","",INDEX(Suivi!$G:$G,394))</f>
        <v/>
      </c>
      <c r="H386">
        <f>IF(OR($B386="",NOT(ISNUMBER($D386))),"",IF($E386&lt;$D$2,"Passé",IF($D386&gt;$F$2,"À venir","Dans la période")))</f>
        <v/>
      </c>
      <c r="I386">
        <f>IF(OR($B386="",NOT(ISNUMBER($D386))),"",IF(AND($E386&lt;$D$2,$G386&lt;&gt;"X",$F386&lt;&gt;"Réalisé",$F386&lt;&gt;"Clôturé"),"RETARD",""))</f>
        <v/>
      </c>
      <c r="J386" s="29">
        <f>IF($B386="","",IF(INDEX(Dossiers!$F$4:$F$63,8)="","",INDEX(Dossiers!$F$4:$F$63,8)))</f>
        <v/>
      </c>
      <c r="K386" s="29">
        <f>IF($B386="","",IF(INDEX(Dossiers!$G$4:$G$63,8)="","",INDEX(Dossiers!$G$4:$G$63,8)))</f>
        <v/>
      </c>
    </row>
    <row r="387">
      <c r="A387">
        <f>IF($B387="","",INDEX(Dossiers!$E$4:$E$63,8))</f>
        <v/>
      </c>
      <c r="B387">
        <f>IF(INDEX(Suivi!$B:$B,395)="","",INDEX(Suivi!$B:$B,395))</f>
        <v/>
      </c>
      <c r="C387">
        <f>IF($B387="","",IF(INDEX(Suivi!$D:$D,395)="",INDEX(Suivi!$C:$C,395),INDEX(Suivi!$D:$D,395)))</f>
        <v/>
      </c>
      <c r="D387" s="29">
        <f>IF($B387="","",INDEX(Suivi!$E:$E,395))</f>
        <v/>
      </c>
      <c r="E387" s="29">
        <f>IF($B387="","",INDEX(Suivi!$F:$F,395))</f>
        <v/>
      </c>
      <c r="F387">
        <f>IF($B387="","",INDEX(Suivi!$G:$G,395))</f>
        <v/>
      </c>
      <c r="H387">
        <f>IF(OR($B387="",NOT(ISNUMBER($D387))),"",IF($E387&lt;$D$2,"Passé",IF($D387&gt;$F$2,"À venir","Dans la période")))</f>
        <v/>
      </c>
      <c r="I387">
        <f>IF(OR($B387="",NOT(ISNUMBER($D387))),"",IF(AND($E387&lt;$D$2,$G387&lt;&gt;"X",$F387&lt;&gt;"Réalisé",$F387&lt;&gt;"Clôturé"),"RETARD",""))</f>
        <v/>
      </c>
      <c r="J387" s="29">
        <f>IF($B387="","",IF(INDEX(Dossiers!$F$4:$F$63,8)="","",INDEX(Dossiers!$F$4:$F$63,8)))</f>
        <v/>
      </c>
      <c r="K387" s="29">
        <f>IF($B387="","",IF(INDEX(Dossiers!$G$4:$G$63,8)="","",INDEX(Dossiers!$G$4:$G$63,8)))</f>
        <v/>
      </c>
    </row>
    <row r="388">
      <c r="A388">
        <f>IF($B388="","",INDEX(Dossiers!$E$4:$E$63,8))</f>
        <v/>
      </c>
      <c r="B388">
        <f>IF(INDEX(Suivi!$B:$B,396)="","",INDEX(Suivi!$B:$B,396))</f>
        <v/>
      </c>
      <c r="C388">
        <f>IF($B388="","",IF(INDEX(Suivi!$D:$D,396)="",INDEX(Suivi!$C:$C,396),INDEX(Suivi!$D:$D,396)))</f>
        <v/>
      </c>
      <c r="D388" s="29">
        <f>IF($B388="","",INDEX(Suivi!$E:$E,396))</f>
        <v/>
      </c>
      <c r="E388" s="29">
        <f>IF($B388="","",INDEX(Suivi!$F:$F,396))</f>
        <v/>
      </c>
      <c r="F388">
        <f>IF($B388="","",INDEX(Suivi!$G:$G,396))</f>
        <v/>
      </c>
      <c r="H388">
        <f>IF(OR($B388="",NOT(ISNUMBER($D388))),"",IF($E388&lt;$D$2,"Passé",IF($D388&gt;$F$2,"À venir","Dans la période")))</f>
        <v/>
      </c>
      <c r="I388">
        <f>IF(OR($B388="",NOT(ISNUMBER($D388))),"",IF(AND($E388&lt;$D$2,$G388&lt;&gt;"X",$F388&lt;&gt;"Réalisé",$F388&lt;&gt;"Clôturé"),"RETARD",""))</f>
        <v/>
      </c>
      <c r="J388" s="29">
        <f>IF($B388="","",IF(INDEX(Dossiers!$F$4:$F$63,8)="","",INDEX(Dossiers!$F$4:$F$63,8)))</f>
        <v/>
      </c>
      <c r="K388" s="29">
        <f>IF($B388="","",IF(INDEX(Dossiers!$G$4:$G$63,8)="","",INDEX(Dossiers!$G$4:$G$63,8)))</f>
        <v/>
      </c>
    </row>
    <row r="389">
      <c r="A389">
        <f>IF($B389="","",INDEX(Dossiers!$E$4:$E$63,8))</f>
        <v/>
      </c>
      <c r="B389">
        <f>IF(INDEX(Suivi!$B:$B,397)="","",INDEX(Suivi!$B:$B,397))</f>
        <v/>
      </c>
      <c r="C389">
        <f>IF($B389="","",IF(INDEX(Suivi!$D:$D,397)="",INDEX(Suivi!$C:$C,397),INDEX(Suivi!$D:$D,397)))</f>
        <v/>
      </c>
      <c r="D389" s="29">
        <f>IF($B389="","",INDEX(Suivi!$E:$E,397))</f>
        <v/>
      </c>
      <c r="E389" s="29">
        <f>IF($B389="","",INDEX(Suivi!$F:$F,397))</f>
        <v/>
      </c>
      <c r="F389">
        <f>IF($B389="","",INDEX(Suivi!$G:$G,397))</f>
        <v/>
      </c>
      <c r="H389">
        <f>IF(OR($B389="",NOT(ISNUMBER($D389))),"",IF($E389&lt;$D$2,"Passé",IF($D389&gt;$F$2,"À venir","Dans la période")))</f>
        <v/>
      </c>
      <c r="I389">
        <f>IF(OR($B389="",NOT(ISNUMBER($D389))),"",IF(AND($E389&lt;$D$2,$G389&lt;&gt;"X",$F389&lt;&gt;"Réalisé",$F389&lt;&gt;"Clôturé"),"RETARD",""))</f>
        <v/>
      </c>
      <c r="J389" s="29">
        <f>IF($B389="","",IF(INDEX(Dossiers!$F$4:$F$63,8)="","",INDEX(Dossiers!$F$4:$F$63,8)))</f>
        <v/>
      </c>
      <c r="K389" s="29">
        <f>IF($B389="","",IF(INDEX(Dossiers!$G$4:$G$63,8)="","",INDEX(Dossiers!$G$4:$G$63,8)))</f>
        <v/>
      </c>
    </row>
    <row r="390">
      <c r="A390">
        <f>IF($B390="","",INDEX(Dossiers!$E$4:$E$63,8))</f>
        <v/>
      </c>
      <c r="B390">
        <f>IF(INDEX(Suivi!$B:$B,398)="","",INDEX(Suivi!$B:$B,398))</f>
        <v/>
      </c>
      <c r="C390">
        <f>IF($B390="","",IF(INDEX(Suivi!$D:$D,398)="",INDEX(Suivi!$C:$C,398),INDEX(Suivi!$D:$D,398)))</f>
        <v/>
      </c>
      <c r="D390" s="29">
        <f>IF($B390="","",INDEX(Suivi!$E:$E,398))</f>
        <v/>
      </c>
      <c r="E390" s="29">
        <f>IF($B390="","",INDEX(Suivi!$F:$F,398))</f>
        <v/>
      </c>
      <c r="F390">
        <f>IF($B390="","",INDEX(Suivi!$G:$G,398))</f>
        <v/>
      </c>
      <c r="H390">
        <f>IF(OR($B390="",NOT(ISNUMBER($D390))),"",IF($E390&lt;$D$2,"Passé",IF($D390&gt;$F$2,"À venir","Dans la période")))</f>
        <v/>
      </c>
      <c r="I390">
        <f>IF(OR($B390="",NOT(ISNUMBER($D390))),"",IF(AND($E390&lt;$D$2,$G390&lt;&gt;"X",$F390&lt;&gt;"Réalisé",$F390&lt;&gt;"Clôturé"),"RETARD",""))</f>
        <v/>
      </c>
      <c r="J390" s="29">
        <f>IF($B390="","",IF(INDEX(Dossiers!$F$4:$F$63,8)="","",INDEX(Dossiers!$F$4:$F$63,8)))</f>
        <v/>
      </c>
      <c r="K390" s="29">
        <f>IF($B390="","",IF(INDEX(Dossiers!$G$4:$G$63,8)="","",INDEX(Dossiers!$G$4:$G$63,8)))</f>
        <v/>
      </c>
    </row>
    <row r="391">
      <c r="A391">
        <f>IF($B391="","",INDEX(Dossiers!$E$4:$E$63,8))</f>
        <v/>
      </c>
      <c r="B391">
        <f>IF(INDEX(Suivi!$B:$B,399)="","",INDEX(Suivi!$B:$B,399))</f>
        <v/>
      </c>
      <c r="C391">
        <f>IF($B391="","",IF(INDEX(Suivi!$D:$D,399)="",INDEX(Suivi!$C:$C,399),INDEX(Suivi!$D:$D,399)))</f>
        <v/>
      </c>
      <c r="D391" s="29">
        <f>IF($B391="","",INDEX(Suivi!$E:$E,399))</f>
        <v/>
      </c>
      <c r="E391" s="29">
        <f>IF($B391="","",INDEX(Suivi!$F:$F,399))</f>
        <v/>
      </c>
      <c r="F391">
        <f>IF($B391="","",INDEX(Suivi!$G:$G,399))</f>
        <v/>
      </c>
      <c r="H391">
        <f>IF(OR($B391="",NOT(ISNUMBER($D391))),"",IF($E391&lt;$D$2,"Passé",IF($D391&gt;$F$2,"À venir","Dans la période")))</f>
        <v/>
      </c>
      <c r="I391">
        <f>IF(OR($B391="",NOT(ISNUMBER($D391))),"",IF(AND($E391&lt;$D$2,$G391&lt;&gt;"X",$F391&lt;&gt;"Réalisé",$F391&lt;&gt;"Clôturé"),"RETARD",""))</f>
        <v/>
      </c>
      <c r="J391" s="29">
        <f>IF($B391="","",IF(INDEX(Dossiers!$F$4:$F$63,8)="","",INDEX(Dossiers!$F$4:$F$63,8)))</f>
        <v/>
      </c>
      <c r="K391" s="29">
        <f>IF($B391="","",IF(INDEX(Dossiers!$G$4:$G$63,8)="","",INDEX(Dossiers!$G$4:$G$63,8)))</f>
        <v/>
      </c>
    </row>
    <row r="392">
      <c r="A392">
        <f>IF($B392="","",INDEX(Dossiers!$E$4:$E$63,8))</f>
        <v/>
      </c>
      <c r="B392">
        <f>IF(INDEX(Suivi!$B:$B,400)="","",INDEX(Suivi!$B:$B,400))</f>
        <v/>
      </c>
      <c r="C392">
        <f>IF($B392="","",IF(INDEX(Suivi!$D:$D,400)="",INDEX(Suivi!$C:$C,400),INDEX(Suivi!$D:$D,400)))</f>
        <v/>
      </c>
      <c r="D392" s="29">
        <f>IF($B392="","",INDEX(Suivi!$E:$E,400))</f>
        <v/>
      </c>
      <c r="E392" s="29">
        <f>IF($B392="","",INDEX(Suivi!$F:$F,400))</f>
        <v/>
      </c>
      <c r="F392">
        <f>IF($B392="","",INDEX(Suivi!$G:$G,400))</f>
        <v/>
      </c>
      <c r="H392">
        <f>IF(OR($B392="",NOT(ISNUMBER($D392))),"",IF($E392&lt;$D$2,"Passé",IF($D392&gt;$F$2,"À venir","Dans la période")))</f>
        <v/>
      </c>
      <c r="I392">
        <f>IF(OR($B392="",NOT(ISNUMBER($D392))),"",IF(AND($E392&lt;$D$2,$G392&lt;&gt;"X",$F392&lt;&gt;"Réalisé",$F392&lt;&gt;"Clôturé"),"RETARD",""))</f>
        <v/>
      </c>
      <c r="J392" s="29">
        <f>IF($B392="","",IF(INDEX(Dossiers!$F$4:$F$63,8)="","",INDEX(Dossiers!$F$4:$F$63,8)))</f>
        <v/>
      </c>
      <c r="K392" s="29">
        <f>IF($B392="","",IF(INDEX(Dossiers!$G$4:$G$63,8)="","",INDEX(Dossiers!$G$4:$G$63,8)))</f>
        <v/>
      </c>
    </row>
    <row r="393">
      <c r="A393">
        <f>IF($B393="","",INDEX(Dossiers!$E$4:$E$63,8))</f>
        <v/>
      </c>
      <c r="B393">
        <f>IF(INDEX(Suivi!$B:$B,401)="","",INDEX(Suivi!$B:$B,401))</f>
        <v/>
      </c>
      <c r="C393">
        <f>IF($B393="","",IF(INDEX(Suivi!$D:$D,401)="",INDEX(Suivi!$C:$C,401),INDEX(Suivi!$D:$D,401)))</f>
        <v/>
      </c>
      <c r="D393" s="29">
        <f>IF($B393="","",INDEX(Suivi!$E:$E,401))</f>
        <v/>
      </c>
      <c r="E393" s="29">
        <f>IF($B393="","",INDEX(Suivi!$F:$F,401))</f>
        <v/>
      </c>
      <c r="F393">
        <f>IF($B393="","",INDEX(Suivi!$G:$G,401))</f>
        <v/>
      </c>
      <c r="H393">
        <f>IF(OR($B393="",NOT(ISNUMBER($D393))),"",IF($E393&lt;$D$2,"Passé",IF($D393&gt;$F$2,"À venir","Dans la période")))</f>
        <v/>
      </c>
      <c r="I393">
        <f>IF(OR($B393="",NOT(ISNUMBER($D393))),"",IF(AND($E393&lt;$D$2,$G393&lt;&gt;"X",$F393&lt;&gt;"Réalisé",$F393&lt;&gt;"Clôturé"),"RETARD",""))</f>
        <v/>
      </c>
      <c r="J393" s="29">
        <f>IF($B393="","",IF(INDEX(Dossiers!$F$4:$F$63,8)="","",INDEX(Dossiers!$F$4:$F$63,8)))</f>
        <v/>
      </c>
      <c r="K393" s="29">
        <f>IF($B393="","",IF(INDEX(Dossiers!$G$4:$G$63,8)="","",INDEX(Dossiers!$G$4:$G$63,8)))</f>
        <v/>
      </c>
    </row>
    <row r="394">
      <c r="A394">
        <f>IF($B394="","",INDEX(Dossiers!$E$4:$E$63,8))</f>
        <v/>
      </c>
      <c r="B394">
        <f>IF(INDEX(Suivi!$B:$B,402)="","",INDEX(Suivi!$B:$B,402))</f>
        <v/>
      </c>
      <c r="C394">
        <f>IF($B394="","",IF(INDEX(Suivi!$D:$D,402)="",INDEX(Suivi!$C:$C,402),INDEX(Suivi!$D:$D,402)))</f>
        <v/>
      </c>
      <c r="D394" s="29">
        <f>IF($B394="","",INDEX(Suivi!$E:$E,402))</f>
        <v/>
      </c>
      <c r="E394" s="29">
        <f>IF($B394="","",INDEX(Suivi!$F:$F,402))</f>
        <v/>
      </c>
      <c r="F394">
        <f>IF($B394="","",INDEX(Suivi!$G:$G,402))</f>
        <v/>
      </c>
      <c r="H394">
        <f>IF(OR($B394="",NOT(ISNUMBER($D394))),"",IF($E394&lt;$D$2,"Passé",IF($D394&gt;$F$2,"À venir","Dans la période")))</f>
        <v/>
      </c>
      <c r="I394">
        <f>IF(OR($B394="",NOT(ISNUMBER($D394))),"",IF(AND($E394&lt;$D$2,$G394&lt;&gt;"X",$F394&lt;&gt;"Réalisé",$F394&lt;&gt;"Clôturé"),"RETARD",""))</f>
        <v/>
      </c>
      <c r="J394" s="29">
        <f>IF($B394="","",IF(INDEX(Dossiers!$F$4:$F$63,8)="","",INDEX(Dossiers!$F$4:$F$63,8)))</f>
        <v/>
      </c>
      <c r="K394" s="29">
        <f>IF($B394="","",IF(INDEX(Dossiers!$G$4:$G$63,8)="","",INDEX(Dossiers!$G$4:$G$63,8)))</f>
        <v/>
      </c>
    </row>
    <row r="395">
      <c r="A395">
        <f>IF($B395="","",INDEX(Dossiers!$E$4:$E$63,8))</f>
        <v/>
      </c>
      <c r="B395">
        <f>IF(INDEX(Suivi!$B:$B,403)="","",INDEX(Suivi!$B:$B,403))</f>
        <v/>
      </c>
      <c r="C395">
        <f>IF($B395="","",IF(INDEX(Suivi!$D:$D,403)="",INDEX(Suivi!$C:$C,403),INDEX(Suivi!$D:$D,403)))</f>
        <v/>
      </c>
      <c r="D395" s="29">
        <f>IF($B395="","",INDEX(Suivi!$E:$E,403))</f>
        <v/>
      </c>
      <c r="E395" s="29">
        <f>IF($B395="","",INDEX(Suivi!$F:$F,403))</f>
        <v/>
      </c>
      <c r="F395">
        <f>IF($B395="","",INDEX(Suivi!$G:$G,403))</f>
        <v/>
      </c>
      <c r="H395">
        <f>IF(OR($B395="",NOT(ISNUMBER($D395))),"",IF($E395&lt;$D$2,"Passé",IF($D395&gt;$F$2,"À venir","Dans la période")))</f>
        <v/>
      </c>
      <c r="I395">
        <f>IF(OR($B395="",NOT(ISNUMBER($D395))),"",IF(AND($E395&lt;$D$2,$G395&lt;&gt;"X",$F395&lt;&gt;"Réalisé",$F395&lt;&gt;"Clôturé"),"RETARD",""))</f>
        <v/>
      </c>
      <c r="J395" s="29">
        <f>IF($B395="","",IF(INDEX(Dossiers!$F$4:$F$63,8)="","",INDEX(Dossiers!$F$4:$F$63,8)))</f>
        <v/>
      </c>
      <c r="K395" s="29">
        <f>IF($B395="","",IF(INDEX(Dossiers!$G$4:$G$63,8)="","",INDEX(Dossiers!$G$4:$G$63,8)))</f>
        <v/>
      </c>
    </row>
    <row r="396">
      <c r="A396">
        <f>IF($B396="","",INDEX(Dossiers!$E$4:$E$63,8))</f>
        <v/>
      </c>
      <c r="B396">
        <f>IF(INDEX(Suivi!$B:$B,404)="","",INDEX(Suivi!$B:$B,404))</f>
        <v/>
      </c>
      <c r="C396">
        <f>IF($B396="","",IF(INDEX(Suivi!$D:$D,404)="",INDEX(Suivi!$C:$C,404),INDEX(Suivi!$D:$D,404)))</f>
        <v/>
      </c>
      <c r="D396" s="29">
        <f>IF($B396="","",INDEX(Suivi!$E:$E,404))</f>
        <v/>
      </c>
      <c r="E396" s="29">
        <f>IF($B396="","",INDEX(Suivi!$F:$F,404))</f>
        <v/>
      </c>
      <c r="F396">
        <f>IF($B396="","",INDEX(Suivi!$G:$G,404))</f>
        <v/>
      </c>
      <c r="H396">
        <f>IF(OR($B396="",NOT(ISNUMBER($D396))),"",IF($E396&lt;$D$2,"Passé",IF($D396&gt;$F$2,"À venir","Dans la période")))</f>
        <v/>
      </c>
      <c r="I396">
        <f>IF(OR($B396="",NOT(ISNUMBER($D396))),"",IF(AND($E396&lt;$D$2,$G396&lt;&gt;"X",$F396&lt;&gt;"Réalisé",$F396&lt;&gt;"Clôturé"),"RETARD",""))</f>
        <v/>
      </c>
      <c r="J396" s="29">
        <f>IF($B396="","",IF(INDEX(Dossiers!$F$4:$F$63,8)="","",INDEX(Dossiers!$F$4:$F$63,8)))</f>
        <v/>
      </c>
      <c r="K396" s="29">
        <f>IF($B396="","",IF(INDEX(Dossiers!$G$4:$G$63,8)="","",INDEX(Dossiers!$G$4:$G$63,8)))</f>
        <v/>
      </c>
    </row>
    <row r="397">
      <c r="A397">
        <f>IF($B397="","",INDEX(Dossiers!$E$4:$E$63,8))</f>
        <v/>
      </c>
      <c r="B397">
        <f>IF(INDEX(Suivi!$B:$B,405)="","",INDEX(Suivi!$B:$B,405))</f>
        <v/>
      </c>
      <c r="C397">
        <f>IF($B397="","",IF(INDEX(Suivi!$D:$D,405)="",INDEX(Suivi!$C:$C,405),INDEX(Suivi!$D:$D,405)))</f>
        <v/>
      </c>
      <c r="D397" s="29">
        <f>IF($B397="","",INDEX(Suivi!$E:$E,405))</f>
        <v/>
      </c>
      <c r="E397" s="29">
        <f>IF($B397="","",INDEX(Suivi!$F:$F,405))</f>
        <v/>
      </c>
      <c r="F397">
        <f>IF($B397="","",INDEX(Suivi!$G:$G,405))</f>
        <v/>
      </c>
      <c r="H397">
        <f>IF(OR($B397="",NOT(ISNUMBER($D397))),"",IF($E397&lt;$D$2,"Passé",IF($D397&gt;$F$2,"À venir","Dans la période")))</f>
        <v/>
      </c>
      <c r="I397">
        <f>IF(OR($B397="",NOT(ISNUMBER($D397))),"",IF(AND($E397&lt;$D$2,$G397&lt;&gt;"X",$F397&lt;&gt;"Réalisé",$F397&lt;&gt;"Clôturé"),"RETARD",""))</f>
        <v/>
      </c>
      <c r="J397" s="29">
        <f>IF($B397="","",IF(INDEX(Dossiers!$F$4:$F$63,8)="","",INDEX(Dossiers!$F$4:$F$63,8)))</f>
        <v/>
      </c>
      <c r="K397" s="29">
        <f>IF($B397="","",IF(INDEX(Dossiers!$G$4:$G$63,8)="","",INDEX(Dossiers!$G$4:$G$63,8)))</f>
        <v/>
      </c>
    </row>
    <row r="398">
      <c r="A398">
        <f>IF($B398="","",INDEX(Dossiers!$E$4:$E$63,8))</f>
        <v/>
      </c>
      <c r="B398">
        <f>IF(INDEX(Suivi!$B:$B,406)="","",INDEX(Suivi!$B:$B,406))</f>
        <v/>
      </c>
      <c r="C398">
        <f>IF($B398="","",IF(INDEX(Suivi!$D:$D,406)="",INDEX(Suivi!$C:$C,406),INDEX(Suivi!$D:$D,406)))</f>
        <v/>
      </c>
      <c r="D398" s="29">
        <f>IF($B398="","",INDEX(Suivi!$E:$E,406))</f>
        <v/>
      </c>
      <c r="E398" s="29">
        <f>IF($B398="","",INDEX(Suivi!$F:$F,406))</f>
        <v/>
      </c>
      <c r="F398">
        <f>IF($B398="","",INDEX(Suivi!$G:$G,406))</f>
        <v/>
      </c>
      <c r="H398">
        <f>IF(OR($B398="",NOT(ISNUMBER($D398))),"",IF($E398&lt;$D$2,"Passé",IF($D398&gt;$F$2,"À venir","Dans la période")))</f>
        <v/>
      </c>
      <c r="I398">
        <f>IF(OR($B398="",NOT(ISNUMBER($D398))),"",IF(AND($E398&lt;$D$2,$G398&lt;&gt;"X",$F398&lt;&gt;"Réalisé",$F398&lt;&gt;"Clôturé"),"RETARD",""))</f>
        <v/>
      </c>
      <c r="J398" s="29">
        <f>IF($B398="","",IF(INDEX(Dossiers!$F$4:$F$63,8)="","",INDEX(Dossiers!$F$4:$F$63,8)))</f>
        <v/>
      </c>
      <c r="K398" s="29">
        <f>IF($B398="","",IF(INDEX(Dossiers!$G$4:$G$63,8)="","",INDEX(Dossiers!$G$4:$G$63,8)))</f>
        <v/>
      </c>
    </row>
    <row r="399">
      <c r="A399">
        <f>IF($B399="","",INDEX(Dossiers!$E$4:$E$63,8))</f>
        <v/>
      </c>
      <c r="B399">
        <f>IF(INDEX(Suivi!$B:$B,407)="","",INDEX(Suivi!$B:$B,407))</f>
        <v/>
      </c>
      <c r="C399">
        <f>IF($B399="","",IF(INDEX(Suivi!$D:$D,407)="",INDEX(Suivi!$C:$C,407),INDEX(Suivi!$D:$D,407)))</f>
        <v/>
      </c>
      <c r="D399" s="29">
        <f>IF($B399="","",INDEX(Suivi!$E:$E,407))</f>
        <v/>
      </c>
      <c r="E399" s="29">
        <f>IF($B399="","",INDEX(Suivi!$F:$F,407))</f>
        <v/>
      </c>
      <c r="F399">
        <f>IF($B399="","",INDEX(Suivi!$G:$G,407))</f>
        <v/>
      </c>
      <c r="H399">
        <f>IF(OR($B399="",NOT(ISNUMBER($D399))),"",IF($E399&lt;$D$2,"Passé",IF($D399&gt;$F$2,"À venir","Dans la période")))</f>
        <v/>
      </c>
      <c r="I399">
        <f>IF(OR($B399="",NOT(ISNUMBER($D399))),"",IF(AND($E399&lt;$D$2,$G399&lt;&gt;"X",$F399&lt;&gt;"Réalisé",$F399&lt;&gt;"Clôturé"),"RETARD",""))</f>
        <v/>
      </c>
      <c r="J399" s="29">
        <f>IF($B399="","",IF(INDEX(Dossiers!$F$4:$F$63,8)="","",INDEX(Dossiers!$F$4:$F$63,8)))</f>
        <v/>
      </c>
      <c r="K399" s="29">
        <f>IF($B399="","",IF(INDEX(Dossiers!$G$4:$G$63,8)="","",INDEX(Dossiers!$G$4:$G$63,8)))</f>
        <v/>
      </c>
    </row>
    <row r="400">
      <c r="A400">
        <f>IF($B400="","",INDEX(Dossiers!$E$4:$E$63,8))</f>
        <v/>
      </c>
      <c r="B400">
        <f>IF(INDEX(Suivi!$B:$B,408)="","",INDEX(Suivi!$B:$B,408))</f>
        <v/>
      </c>
      <c r="C400">
        <f>IF($B400="","",IF(INDEX(Suivi!$D:$D,408)="",INDEX(Suivi!$C:$C,408),INDEX(Suivi!$D:$D,408)))</f>
        <v/>
      </c>
      <c r="D400" s="29">
        <f>IF($B400="","",INDEX(Suivi!$E:$E,408))</f>
        <v/>
      </c>
      <c r="E400" s="29">
        <f>IF($B400="","",INDEX(Suivi!$F:$F,408))</f>
        <v/>
      </c>
      <c r="F400">
        <f>IF($B400="","",INDEX(Suivi!$G:$G,408))</f>
        <v/>
      </c>
      <c r="H400">
        <f>IF(OR($B400="",NOT(ISNUMBER($D400))),"",IF($E400&lt;$D$2,"Passé",IF($D400&gt;$F$2,"À venir","Dans la période")))</f>
        <v/>
      </c>
      <c r="I400">
        <f>IF(OR($B400="",NOT(ISNUMBER($D400))),"",IF(AND($E400&lt;$D$2,$G400&lt;&gt;"X",$F400&lt;&gt;"Réalisé",$F400&lt;&gt;"Clôturé"),"RETARD",""))</f>
        <v/>
      </c>
      <c r="J400" s="29">
        <f>IF($B400="","",IF(INDEX(Dossiers!$F$4:$F$63,8)="","",INDEX(Dossiers!$F$4:$F$63,8)))</f>
        <v/>
      </c>
      <c r="K400" s="29">
        <f>IF($B400="","",IF(INDEX(Dossiers!$G$4:$G$63,8)="","",INDEX(Dossiers!$G$4:$G$63,8)))</f>
        <v/>
      </c>
    </row>
    <row r="401">
      <c r="A401">
        <f>IF($B401="","",INDEX(Dossiers!$E$4:$E$63,8))</f>
        <v/>
      </c>
      <c r="B401">
        <f>IF(INDEX(Suivi!$B:$B,409)="","",INDEX(Suivi!$B:$B,409))</f>
        <v/>
      </c>
      <c r="C401">
        <f>IF($B401="","",IF(INDEX(Suivi!$D:$D,409)="",INDEX(Suivi!$C:$C,409),INDEX(Suivi!$D:$D,409)))</f>
        <v/>
      </c>
      <c r="D401" s="29">
        <f>IF($B401="","",INDEX(Suivi!$E:$E,409))</f>
        <v/>
      </c>
      <c r="E401" s="29">
        <f>IF($B401="","",INDEX(Suivi!$F:$F,409))</f>
        <v/>
      </c>
      <c r="F401">
        <f>IF($B401="","",INDEX(Suivi!$G:$G,409))</f>
        <v/>
      </c>
      <c r="H401">
        <f>IF(OR($B401="",NOT(ISNUMBER($D401))),"",IF($E401&lt;$D$2,"Passé",IF($D401&gt;$F$2,"À venir","Dans la période")))</f>
        <v/>
      </c>
      <c r="I401">
        <f>IF(OR($B401="",NOT(ISNUMBER($D401))),"",IF(AND($E401&lt;$D$2,$G401&lt;&gt;"X",$F401&lt;&gt;"Réalisé",$F401&lt;&gt;"Clôturé"),"RETARD",""))</f>
        <v/>
      </c>
      <c r="J401" s="29">
        <f>IF($B401="","",IF(INDEX(Dossiers!$F$4:$F$63,8)="","",INDEX(Dossiers!$F$4:$F$63,8)))</f>
        <v/>
      </c>
      <c r="K401" s="29">
        <f>IF($B401="","",IF(INDEX(Dossiers!$G$4:$G$63,8)="","",INDEX(Dossiers!$G$4:$G$63,8)))</f>
        <v/>
      </c>
    </row>
    <row r="402">
      <c r="A402">
        <f>IF($B402="","",INDEX(Dossiers!$E$4:$E$63,8))</f>
        <v/>
      </c>
      <c r="B402">
        <f>IF(INDEX(Suivi!$B:$B,410)="","",INDEX(Suivi!$B:$B,410))</f>
        <v/>
      </c>
      <c r="C402">
        <f>IF($B402="","",IF(INDEX(Suivi!$D:$D,410)="",INDEX(Suivi!$C:$C,410),INDEX(Suivi!$D:$D,410)))</f>
        <v/>
      </c>
      <c r="D402" s="29">
        <f>IF($B402="","",INDEX(Suivi!$E:$E,410))</f>
        <v/>
      </c>
      <c r="E402" s="29">
        <f>IF($B402="","",INDEX(Suivi!$F:$F,410))</f>
        <v/>
      </c>
      <c r="F402">
        <f>IF($B402="","",INDEX(Suivi!$G:$G,410))</f>
        <v/>
      </c>
      <c r="H402">
        <f>IF(OR($B402="",NOT(ISNUMBER($D402))),"",IF($E402&lt;$D$2,"Passé",IF($D402&gt;$F$2,"À venir","Dans la période")))</f>
        <v/>
      </c>
      <c r="I402">
        <f>IF(OR($B402="",NOT(ISNUMBER($D402))),"",IF(AND($E402&lt;$D$2,$G402&lt;&gt;"X",$F402&lt;&gt;"Réalisé",$F402&lt;&gt;"Clôturé"),"RETARD",""))</f>
        <v/>
      </c>
      <c r="J402" s="29">
        <f>IF($B402="","",IF(INDEX(Dossiers!$F$4:$F$63,8)="","",INDEX(Dossiers!$F$4:$F$63,8)))</f>
        <v/>
      </c>
      <c r="K402" s="29">
        <f>IF($B402="","",IF(INDEX(Dossiers!$G$4:$G$63,8)="","",INDEX(Dossiers!$G$4:$G$63,8)))</f>
        <v/>
      </c>
    </row>
    <row r="403">
      <c r="A403">
        <f>IF($B403="","",INDEX(Dossiers!$E$4:$E$63,8))</f>
        <v/>
      </c>
      <c r="B403">
        <f>IF(INDEX(Suivi!$B:$B,411)="","",INDEX(Suivi!$B:$B,411))</f>
        <v/>
      </c>
      <c r="C403">
        <f>IF($B403="","",IF(INDEX(Suivi!$D:$D,411)="",INDEX(Suivi!$C:$C,411),INDEX(Suivi!$D:$D,411)))</f>
        <v/>
      </c>
      <c r="D403" s="29">
        <f>IF($B403="","",INDEX(Suivi!$E:$E,411))</f>
        <v/>
      </c>
      <c r="E403" s="29">
        <f>IF($B403="","",INDEX(Suivi!$F:$F,411))</f>
        <v/>
      </c>
      <c r="F403">
        <f>IF($B403="","",INDEX(Suivi!$G:$G,411))</f>
        <v/>
      </c>
      <c r="H403">
        <f>IF(OR($B403="",NOT(ISNUMBER($D403))),"",IF($E403&lt;$D$2,"Passé",IF($D403&gt;$F$2,"À venir","Dans la période")))</f>
        <v/>
      </c>
      <c r="I403">
        <f>IF(OR($B403="",NOT(ISNUMBER($D403))),"",IF(AND($E403&lt;$D$2,$G403&lt;&gt;"X",$F403&lt;&gt;"Réalisé",$F403&lt;&gt;"Clôturé"),"RETARD",""))</f>
        <v/>
      </c>
      <c r="J403" s="29">
        <f>IF($B403="","",IF(INDEX(Dossiers!$F$4:$F$63,8)="","",INDEX(Dossiers!$F$4:$F$63,8)))</f>
        <v/>
      </c>
      <c r="K403" s="29">
        <f>IF($B403="","",IF(INDEX(Dossiers!$G$4:$G$63,8)="","",INDEX(Dossiers!$G$4:$G$63,8)))</f>
        <v/>
      </c>
    </row>
    <row r="404">
      <c r="A404">
        <f>IF($B404="","",INDEX(Dossiers!$E$4:$E$63,8))</f>
        <v/>
      </c>
      <c r="B404">
        <f>IF(INDEX(Suivi!$B:$B,412)="","",INDEX(Suivi!$B:$B,412))</f>
        <v/>
      </c>
      <c r="C404">
        <f>IF($B404="","",IF(INDEX(Suivi!$D:$D,412)="",INDEX(Suivi!$C:$C,412),INDEX(Suivi!$D:$D,412)))</f>
        <v/>
      </c>
      <c r="D404" s="29">
        <f>IF($B404="","",INDEX(Suivi!$E:$E,412))</f>
        <v/>
      </c>
      <c r="E404" s="29">
        <f>IF($B404="","",INDEX(Suivi!$F:$F,412))</f>
        <v/>
      </c>
      <c r="F404">
        <f>IF($B404="","",INDEX(Suivi!$G:$G,412))</f>
        <v/>
      </c>
      <c r="H404">
        <f>IF(OR($B404="",NOT(ISNUMBER($D404))),"",IF($E404&lt;$D$2,"Passé",IF($D404&gt;$F$2,"À venir","Dans la période")))</f>
        <v/>
      </c>
      <c r="I404">
        <f>IF(OR($B404="",NOT(ISNUMBER($D404))),"",IF(AND($E404&lt;$D$2,$G404&lt;&gt;"X",$F404&lt;&gt;"Réalisé",$F404&lt;&gt;"Clôturé"),"RETARD",""))</f>
        <v/>
      </c>
      <c r="J404" s="29">
        <f>IF($B404="","",IF(INDEX(Dossiers!$F$4:$F$63,8)="","",INDEX(Dossiers!$F$4:$F$63,8)))</f>
        <v/>
      </c>
      <c r="K404" s="29">
        <f>IF($B404="","",IF(INDEX(Dossiers!$G$4:$G$63,8)="","",INDEX(Dossiers!$G$4:$G$63,8)))</f>
        <v/>
      </c>
    </row>
    <row r="405">
      <c r="A405">
        <f>IF($B405="","",INDEX(Dossiers!$E$4:$E$63,8))</f>
        <v/>
      </c>
      <c r="B405">
        <f>IF(INDEX(Suivi!$B:$B,413)="","",INDEX(Suivi!$B:$B,413))</f>
        <v/>
      </c>
      <c r="C405">
        <f>IF($B405="","",IF(INDEX(Suivi!$D:$D,413)="",INDEX(Suivi!$C:$C,413),INDEX(Suivi!$D:$D,413)))</f>
        <v/>
      </c>
      <c r="D405" s="29">
        <f>IF($B405="","",INDEX(Suivi!$E:$E,413))</f>
        <v/>
      </c>
      <c r="E405" s="29">
        <f>IF($B405="","",INDEX(Suivi!$F:$F,413))</f>
        <v/>
      </c>
      <c r="F405">
        <f>IF($B405="","",INDEX(Suivi!$G:$G,413))</f>
        <v/>
      </c>
      <c r="H405">
        <f>IF(OR($B405="",NOT(ISNUMBER($D405))),"",IF($E405&lt;$D$2,"Passé",IF($D405&gt;$F$2,"À venir","Dans la période")))</f>
        <v/>
      </c>
      <c r="I405">
        <f>IF(OR($B405="",NOT(ISNUMBER($D405))),"",IF(AND($E405&lt;$D$2,$G405&lt;&gt;"X",$F405&lt;&gt;"Réalisé",$F405&lt;&gt;"Clôturé"),"RETARD",""))</f>
        <v/>
      </c>
      <c r="J405" s="29">
        <f>IF($B405="","",IF(INDEX(Dossiers!$F$4:$F$63,8)="","",INDEX(Dossiers!$F$4:$F$63,8)))</f>
        <v/>
      </c>
      <c r="K405" s="29">
        <f>IF($B405="","",IF(INDEX(Dossiers!$G$4:$G$63,8)="","",INDEX(Dossiers!$G$4:$G$63,8)))</f>
        <v/>
      </c>
    </row>
    <row r="406">
      <c r="A406">
        <f>IF($B406="","",INDEX(Dossiers!$E$4:$E$63,8))</f>
        <v/>
      </c>
      <c r="B406">
        <f>IF(INDEX(Suivi!$B:$B,414)="","",INDEX(Suivi!$B:$B,414))</f>
        <v/>
      </c>
      <c r="C406">
        <f>IF($B406="","",IF(INDEX(Suivi!$D:$D,414)="",INDEX(Suivi!$C:$C,414),INDEX(Suivi!$D:$D,414)))</f>
        <v/>
      </c>
      <c r="D406" s="29">
        <f>IF($B406="","",INDEX(Suivi!$E:$E,414))</f>
        <v/>
      </c>
      <c r="E406" s="29">
        <f>IF($B406="","",INDEX(Suivi!$F:$F,414))</f>
        <v/>
      </c>
      <c r="F406">
        <f>IF($B406="","",INDEX(Suivi!$G:$G,414))</f>
        <v/>
      </c>
      <c r="H406">
        <f>IF(OR($B406="",NOT(ISNUMBER($D406))),"",IF($E406&lt;$D$2,"Passé",IF($D406&gt;$F$2,"À venir","Dans la période")))</f>
        <v/>
      </c>
      <c r="I406">
        <f>IF(OR($B406="",NOT(ISNUMBER($D406))),"",IF(AND($E406&lt;$D$2,$G406&lt;&gt;"X",$F406&lt;&gt;"Réalisé",$F406&lt;&gt;"Clôturé"),"RETARD",""))</f>
        <v/>
      </c>
      <c r="J406" s="29">
        <f>IF($B406="","",IF(INDEX(Dossiers!$F$4:$F$63,8)="","",INDEX(Dossiers!$F$4:$F$63,8)))</f>
        <v/>
      </c>
      <c r="K406" s="29">
        <f>IF($B406="","",IF(INDEX(Dossiers!$G$4:$G$63,8)="","",INDEX(Dossiers!$G$4:$G$63,8)))</f>
        <v/>
      </c>
    </row>
    <row r="407">
      <c r="A407">
        <f>IF($B407="","",INDEX(Dossiers!$E$4:$E$63,8))</f>
        <v/>
      </c>
      <c r="B407">
        <f>IF(INDEX(Suivi!$B:$B,415)="","",INDEX(Suivi!$B:$B,415))</f>
        <v/>
      </c>
      <c r="C407">
        <f>IF($B407="","",IF(INDEX(Suivi!$D:$D,415)="",INDEX(Suivi!$C:$C,415),INDEX(Suivi!$D:$D,415)))</f>
        <v/>
      </c>
      <c r="D407" s="29">
        <f>IF($B407="","",INDEX(Suivi!$E:$E,415))</f>
        <v/>
      </c>
      <c r="E407" s="29">
        <f>IF($B407="","",INDEX(Suivi!$F:$F,415))</f>
        <v/>
      </c>
      <c r="F407">
        <f>IF($B407="","",INDEX(Suivi!$G:$G,415))</f>
        <v/>
      </c>
      <c r="H407">
        <f>IF(OR($B407="",NOT(ISNUMBER($D407))),"",IF($E407&lt;$D$2,"Passé",IF($D407&gt;$F$2,"À venir","Dans la période")))</f>
        <v/>
      </c>
      <c r="I407">
        <f>IF(OR($B407="",NOT(ISNUMBER($D407))),"",IF(AND($E407&lt;$D$2,$G407&lt;&gt;"X",$F407&lt;&gt;"Réalisé",$F407&lt;&gt;"Clôturé"),"RETARD",""))</f>
        <v/>
      </c>
      <c r="J407" s="29">
        <f>IF($B407="","",IF(INDEX(Dossiers!$F$4:$F$63,8)="","",INDEX(Dossiers!$F$4:$F$63,8)))</f>
        <v/>
      </c>
      <c r="K407" s="29">
        <f>IF($B407="","",IF(INDEX(Dossiers!$G$4:$G$63,8)="","",INDEX(Dossiers!$G$4:$G$63,8)))</f>
        <v/>
      </c>
    </row>
    <row r="408">
      <c r="A408">
        <f>IF($B408="","",INDEX(Dossiers!$E$4:$E$63,8))</f>
        <v/>
      </c>
      <c r="B408">
        <f>IF(INDEX(Suivi!$B:$B,416)="","",INDEX(Suivi!$B:$B,416))</f>
        <v/>
      </c>
      <c r="C408">
        <f>IF($B408="","",IF(INDEX(Suivi!$D:$D,416)="",INDEX(Suivi!$C:$C,416),INDEX(Suivi!$D:$D,416)))</f>
        <v/>
      </c>
      <c r="D408" s="29">
        <f>IF($B408="","",INDEX(Suivi!$E:$E,416))</f>
        <v/>
      </c>
      <c r="E408" s="29">
        <f>IF($B408="","",INDEX(Suivi!$F:$F,416))</f>
        <v/>
      </c>
      <c r="F408">
        <f>IF($B408="","",INDEX(Suivi!$G:$G,416))</f>
        <v/>
      </c>
      <c r="H408">
        <f>IF(OR($B408="",NOT(ISNUMBER($D408))),"",IF($E408&lt;$D$2,"Passé",IF($D408&gt;$F$2,"À venir","Dans la période")))</f>
        <v/>
      </c>
      <c r="I408">
        <f>IF(OR($B408="",NOT(ISNUMBER($D408))),"",IF(AND($E408&lt;$D$2,$G408&lt;&gt;"X",$F408&lt;&gt;"Réalisé",$F408&lt;&gt;"Clôturé"),"RETARD",""))</f>
        <v/>
      </c>
      <c r="J408" s="29">
        <f>IF($B408="","",IF(INDEX(Dossiers!$F$4:$F$63,8)="","",INDEX(Dossiers!$F$4:$F$63,8)))</f>
        <v/>
      </c>
      <c r="K408" s="29">
        <f>IF($B408="","",IF(INDEX(Dossiers!$G$4:$G$63,8)="","",INDEX(Dossiers!$G$4:$G$63,8)))</f>
        <v/>
      </c>
    </row>
    <row r="409">
      <c r="A409">
        <f>IF($B409="","",INDEX(Dossiers!$E$4:$E$63,8))</f>
        <v/>
      </c>
      <c r="B409">
        <f>IF(INDEX(Suivi!$B:$B,417)="","",INDEX(Suivi!$B:$B,417))</f>
        <v/>
      </c>
      <c r="C409">
        <f>IF($B409="","",IF(INDEX(Suivi!$D:$D,417)="",INDEX(Suivi!$C:$C,417),INDEX(Suivi!$D:$D,417)))</f>
        <v/>
      </c>
      <c r="D409" s="29">
        <f>IF($B409="","",INDEX(Suivi!$E:$E,417))</f>
        <v/>
      </c>
      <c r="E409" s="29">
        <f>IF($B409="","",INDEX(Suivi!$F:$F,417))</f>
        <v/>
      </c>
      <c r="F409">
        <f>IF($B409="","",INDEX(Suivi!$G:$G,417))</f>
        <v/>
      </c>
      <c r="H409">
        <f>IF(OR($B409="",NOT(ISNUMBER($D409))),"",IF($E409&lt;$D$2,"Passé",IF($D409&gt;$F$2,"À venir","Dans la période")))</f>
        <v/>
      </c>
      <c r="I409">
        <f>IF(OR($B409="",NOT(ISNUMBER($D409))),"",IF(AND($E409&lt;$D$2,$G409&lt;&gt;"X",$F409&lt;&gt;"Réalisé",$F409&lt;&gt;"Clôturé"),"RETARD",""))</f>
        <v/>
      </c>
      <c r="J409" s="29">
        <f>IF($B409="","",IF(INDEX(Dossiers!$F$4:$F$63,8)="","",INDEX(Dossiers!$F$4:$F$63,8)))</f>
        <v/>
      </c>
      <c r="K409" s="29">
        <f>IF($B409="","",IF(INDEX(Dossiers!$G$4:$G$63,8)="","",INDEX(Dossiers!$G$4:$G$63,8)))</f>
        <v/>
      </c>
    </row>
    <row r="410">
      <c r="A410">
        <f>IF($B410="","",INDEX(Dossiers!$E$4:$E$63,8))</f>
        <v/>
      </c>
      <c r="B410">
        <f>IF(INDEX(Suivi!$B:$B,418)="","",INDEX(Suivi!$B:$B,418))</f>
        <v/>
      </c>
      <c r="C410">
        <f>IF($B410="","",IF(INDEX(Suivi!$D:$D,418)="",INDEX(Suivi!$C:$C,418),INDEX(Suivi!$D:$D,418)))</f>
        <v/>
      </c>
      <c r="D410" s="29">
        <f>IF($B410="","",INDEX(Suivi!$E:$E,418))</f>
        <v/>
      </c>
      <c r="E410" s="29">
        <f>IF($B410="","",INDEX(Suivi!$F:$F,418))</f>
        <v/>
      </c>
      <c r="F410">
        <f>IF($B410="","",INDEX(Suivi!$G:$G,418))</f>
        <v/>
      </c>
      <c r="H410">
        <f>IF(OR($B410="",NOT(ISNUMBER($D410))),"",IF($E410&lt;$D$2,"Passé",IF($D410&gt;$F$2,"À venir","Dans la période")))</f>
        <v/>
      </c>
      <c r="I410">
        <f>IF(OR($B410="",NOT(ISNUMBER($D410))),"",IF(AND($E410&lt;$D$2,$G410&lt;&gt;"X",$F410&lt;&gt;"Réalisé",$F410&lt;&gt;"Clôturé"),"RETARD",""))</f>
        <v/>
      </c>
      <c r="J410" s="29">
        <f>IF($B410="","",IF(INDEX(Dossiers!$F$4:$F$63,8)="","",INDEX(Dossiers!$F$4:$F$63,8)))</f>
        <v/>
      </c>
      <c r="K410" s="29">
        <f>IF($B410="","",IF(INDEX(Dossiers!$G$4:$G$63,8)="","",INDEX(Dossiers!$G$4:$G$63,8)))</f>
        <v/>
      </c>
    </row>
    <row r="411">
      <c r="A411">
        <f>IF($B411="","",INDEX(Dossiers!$E$4:$E$63,8))</f>
        <v/>
      </c>
      <c r="B411">
        <f>IF(INDEX(Suivi!$B:$B,419)="","",INDEX(Suivi!$B:$B,419))</f>
        <v/>
      </c>
      <c r="C411">
        <f>IF($B411="","",IF(INDEX(Suivi!$D:$D,419)="",INDEX(Suivi!$C:$C,419),INDEX(Suivi!$D:$D,419)))</f>
        <v/>
      </c>
      <c r="D411" s="29">
        <f>IF($B411="","",INDEX(Suivi!$E:$E,419))</f>
        <v/>
      </c>
      <c r="E411" s="29">
        <f>IF($B411="","",INDEX(Suivi!$F:$F,419))</f>
        <v/>
      </c>
      <c r="F411">
        <f>IF($B411="","",INDEX(Suivi!$G:$G,419))</f>
        <v/>
      </c>
      <c r="H411">
        <f>IF(OR($B411="",NOT(ISNUMBER($D411))),"",IF($E411&lt;$D$2,"Passé",IF($D411&gt;$F$2,"À venir","Dans la période")))</f>
        <v/>
      </c>
      <c r="I411">
        <f>IF(OR($B411="",NOT(ISNUMBER($D411))),"",IF(AND($E411&lt;$D$2,$G411&lt;&gt;"X",$F411&lt;&gt;"Réalisé",$F411&lt;&gt;"Clôturé"),"RETARD",""))</f>
        <v/>
      </c>
      <c r="J411" s="29">
        <f>IF($B411="","",IF(INDEX(Dossiers!$F$4:$F$63,8)="","",INDEX(Dossiers!$F$4:$F$63,8)))</f>
        <v/>
      </c>
      <c r="K411" s="29">
        <f>IF($B411="","",IF(INDEX(Dossiers!$G$4:$G$63,8)="","",INDEX(Dossiers!$G$4:$G$63,8)))</f>
        <v/>
      </c>
    </row>
    <row r="412">
      <c r="A412">
        <f>IF($B412="","",INDEX(Dossiers!$E$4:$E$63,8))</f>
        <v/>
      </c>
      <c r="B412">
        <f>IF(INDEX(Suivi!$B:$B,420)="","",INDEX(Suivi!$B:$B,420))</f>
        <v/>
      </c>
      <c r="C412">
        <f>IF($B412="","",IF(INDEX(Suivi!$D:$D,420)="",INDEX(Suivi!$C:$C,420),INDEX(Suivi!$D:$D,420)))</f>
        <v/>
      </c>
      <c r="D412" s="29">
        <f>IF($B412="","",INDEX(Suivi!$E:$E,420))</f>
        <v/>
      </c>
      <c r="E412" s="29">
        <f>IF($B412="","",INDEX(Suivi!$F:$F,420))</f>
        <v/>
      </c>
      <c r="F412">
        <f>IF($B412="","",INDEX(Suivi!$G:$G,420))</f>
        <v/>
      </c>
      <c r="H412">
        <f>IF(OR($B412="",NOT(ISNUMBER($D412))),"",IF($E412&lt;$D$2,"Passé",IF($D412&gt;$F$2,"À venir","Dans la période")))</f>
        <v/>
      </c>
      <c r="I412">
        <f>IF(OR($B412="",NOT(ISNUMBER($D412))),"",IF(AND($E412&lt;$D$2,$G412&lt;&gt;"X",$F412&lt;&gt;"Réalisé",$F412&lt;&gt;"Clôturé"),"RETARD",""))</f>
        <v/>
      </c>
      <c r="J412" s="29">
        <f>IF($B412="","",IF(INDEX(Dossiers!$F$4:$F$63,8)="","",INDEX(Dossiers!$F$4:$F$63,8)))</f>
        <v/>
      </c>
      <c r="K412" s="29">
        <f>IF($B412="","",IF(INDEX(Dossiers!$G$4:$G$63,8)="","",INDEX(Dossiers!$G$4:$G$63,8)))</f>
        <v/>
      </c>
    </row>
    <row r="413">
      <c r="A413">
        <f>IF($B413="","",INDEX(Dossiers!$E$4:$E$63,8))</f>
        <v/>
      </c>
      <c r="B413">
        <f>IF(INDEX(Suivi!$B:$B,421)="","",INDEX(Suivi!$B:$B,421))</f>
        <v/>
      </c>
      <c r="C413">
        <f>IF($B413="","",IF(INDEX(Suivi!$D:$D,421)="",INDEX(Suivi!$C:$C,421),INDEX(Suivi!$D:$D,421)))</f>
        <v/>
      </c>
      <c r="D413" s="29">
        <f>IF($B413="","",INDEX(Suivi!$E:$E,421))</f>
        <v/>
      </c>
      <c r="E413" s="29">
        <f>IF($B413="","",INDEX(Suivi!$F:$F,421))</f>
        <v/>
      </c>
      <c r="F413">
        <f>IF($B413="","",INDEX(Suivi!$G:$G,421))</f>
        <v/>
      </c>
      <c r="H413">
        <f>IF(OR($B413="",NOT(ISNUMBER($D413))),"",IF($E413&lt;$D$2,"Passé",IF($D413&gt;$F$2,"À venir","Dans la période")))</f>
        <v/>
      </c>
      <c r="I413">
        <f>IF(OR($B413="",NOT(ISNUMBER($D413))),"",IF(AND($E413&lt;$D$2,$G413&lt;&gt;"X",$F413&lt;&gt;"Réalisé",$F413&lt;&gt;"Clôturé"),"RETARD",""))</f>
        <v/>
      </c>
      <c r="J413" s="29">
        <f>IF($B413="","",IF(INDEX(Dossiers!$F$4:$F$63,8)="","",INDEX(Dossiers!$F$4:$F$63,8)))</f>
        <v/>
      </c>
      <c r="K413" s="29">
        <f>IF($B413="","",IF(INDEX(Dossiers!$G$4:$G$63,8)="","",INDEX(Dossiers!$G$4:$G$63,8)))</f>
        <v/>
      </c>
    </row>
    <row r="414">
      <c r="A414">
        <f>IF($B414="","",INDEX(Dossiers!$E$4:$E$63,8))</f>
        <v/>
      </c>
      <c r="B414">
        <f>IF(INDEX(Suivi!$B:$B,422)="","",INDEX(Suivi!$B:$B,422))</f>
        <v/>
      </c>
      <c r="C414">
        <f>IF($B414="","",IF(INDEX(Suivi!$D:$D,422)="",INDEX(Suivi!$C:$C,422),INDEX(Suivi!$D:$D,422)))</f>
        <v/>
      </c>
      <c r="D414" s="29">
        <f>IF($B414="","",INDEX(Suivi!$E:$E,422))</f>
        <v/>
      </c>
      <c r="E414" s="29">
        <f>IF($B414="","",INDEX(Suivi!$F:$F,422))</f>
        <v/>
      </c>
      <c r="F414">
        <f>IF($B414="","",INDEX(Suivi!$G:$G,422))</f>
        <v/>
      </c>
      <c r="H414">
        <f>IF(OR($B414="",NOT(ISNUMBER($D414))),"",IF($E414&lt;$D$2,"Passé",IF($D414&gt;$F$2,"À venir","Dans la période")))</f>
        <v/>
      </c>
      <c r="I414">
        <f>IF(OR($B414="",NOT(ISNUMBER($D414))),"",IF(AND($E414&lt;$D$2,$G414&lt;&gt;"X",$F414&lt;&gt;"Réalisé",$F414&lt;&gt;"Clôturé"),"RETARD",""))</f>
        <v/>
      </c>
      <c r="J414" s="29">
        <f>IF($B414="","",IF(INDEX(Dossiers!$F$4:$F$63,8)="","",INDEX(Dossiers!$F$4:$F$63,8)))</f>
        <v/>
      </c>
      <c r="K414" s="29">
        <f>IF($B414="","",IF(INDEX(Dossiers!$G$4:$G$63,8)="","",INDEX(Dossiers!$G$4:$G$63,8)))</f>
        <v/>
      </c>
    </row>
    <row r="415">
      <c r="A415">
        <f>IF($B415="","",INDEX(Dossiers!$E$4:$E$63,8))</f>
        <v/>
      </c>
      <c r="B415">
        <f>IF(INDEX(Suivi!$B:$B,423)="","",INDEX(Suivi!$B:$B,423))</f>
        <v/>
      </c>
      <c r="C415">
        <f>IF($B415="","",IF(INDEX(Suivi!$D:$D,423)="",INDEX(Suivi!$C:$C,423),INDEX(Suivi!$D:$D,423)))</f>
        <v/>
      </c>
      <c r="D415" s="29">
        <f>IF($B415="","",INDEX(Suivi!$E:$E,423))</f>
        <v/>
      </c>
      <c r="E415" s="29">
        <f>IF($B415="","",INDEX(Suivi!$F:$F,423))</f>
        <v/>
      </c>
      <c r="F415">
        <f>IF($B415="","",INDEX(Suivi!$G:$G,423))</f>
        <v/>
      </c>
      <c r="H415">
        <f>IF(OR($B415="",NOT(ISNUMBER($D415))),"",IF($E415&lt;$D$2,"Passé",IF($D415&gt;$F$2,"À venir","Dans la période")))</f>
        <v/>
      </c>
      <c r="I415">
        <f>IF(OR($B415="",NOT(ISNUMBER($D415))),"",IF(AND($E415&lt;$D$2,$G415&lt;&gt;"X",$F415&lt;&gt;"Réalisé",$F415&lt;&gt;"Clôturé"),"RETARD",""))</f>
        <v/>
      </c>
      <c r="J415" s="29">
        <f>IF($B415="","",IF(INDEX(Dossiers!$F$4:$F$63,8)="","",INDEX(Dossiers!$F$4:$F$63,8)))</f>
        <v/>
      </c>
      <c r="K415" s="29">
        <f>IF($B415="","",IF(INDEX(Dossiers!$G$4:$G$63,8)="","",INDEX(Dossiers!$G$4:$G$63,8)))</f>
        <v/>
      </c>
    </row>
    <row r="416">
      <c r="A416">
        <f>IF($B416="","",INDEX(Dossiers!$E$4:$E$63,8))</f>
        <v/>
      </c>
      <c r="B416">
        <f>IF(INDEX(Suivi!$B:$B,424)="","",INDEX(Suivi!$B:$B,424))</f>
        <v/>
      </c>
      <c r="C416">
        <f>IF($B416="","",IF(INDEX(Suivi!$D:$D,424)="",INDEX(Suivi!$C:$C,424),INDEX(Suivi!$D:$D,424)))</f>
        <v/>
      </c>
      <c r="D416" s="29">
        <f>IF($B416="","",INDEX(Suivi!$E:$E,424))</f>
        <v/>
      </c>
      <c r="E416" s="29">
        <f>IF($B416="","",INDEX(Suivi!$F:$F,424))</f>
        <v/>
      </c>
      <c r="F416">
        <f>IF($B416="","",INDEX(Suivi!$G:$G,424))</f>
        <v/>
      </c>
      <c r="H416">
        <f>IF(OR($B416="",NOT(ISNUMBER($D416))),"",IF($E416&lt;$D$2,"Passé",IF($D416&gt;$F$2,"À venir","Dans la période")))</f>
        <v/>
      </c>
      <c r="I416">
        <f>IF(OR($B416="",NOT(ISNUMBER($D416))),"",IF(AND($E416&lt;$D$2,$G416&lt;&gt;"X",$F416&lt;&gt;"Réalisé",$F416&lt;&gt;"Clôturé"),"RETARD",""))</f>
        <v/>
      </c>
      <c r="J416" s="29">
        <f>IF($B416="","",IF(INDEX(Dossiers!$F$4:$F$63,8)="","",INDEX(Dossiers!$F$4:$F$63,8)))</f>
        <v/>
      </c>
      <c r="K416" s="29">
        <f>IF($B416="","",IF(INDEX(Dossiers!$G$4:$G$63,8)="","",INDEX(Dossiers!$G$4:$G$63,8)))</f>
        <v/>
      </c>
    </row>
    <row r="417">
      <c r="A417">
        <f>IF($B417="","",INDEX(Dossiers!$E$4:$E$63,8))</f>
        <v/>
      </c>
      <c r="B417">
        <f>IF(INDEX(Suivi!$B:$B,425)="","",INDEX(Suivi!$B:$B,425))</f>
        <v/>
      </c>
      <c r="C417">
        <f>IF($B417="","",IF(INDEX(Suivi!$D:$D,425)="",INDEX(Suivi!$C:$C,425),INDEX(Suivi!$D:$D,425)))</f>
        <v/>
      </c>
      <c r="D417" s="29">
        <f>IF($B417="","",INDEX(Suivi!$E:$E,425))</f>
        <v/>
      </c>
      <c r="E417" s="29">
        <f>IF($B417="","",INDEX(Suivi!$F:$F,425))</f>
        <v/>
      </c>
      <c r="F417">
        <f>IF($B417="","",INDEX(Suivi!$G:$G,425))</f>
        <v/>
      </c>
      <c r="H417">
        <f>IF(OR($B417="",NOT(ISNUMBER($D417))),"",IF($E417&lt;$D$2,"Passé",IF($D417&gt;$F$2,"À venir","Dans la période")))</f>
        <v/>
      </c>
      <c r="I417">
        <f>IF(OR($B417="",NOT(ISNUMBER($D417))),"",IF(AND($E417&lt;$D$2,$G417&lt;&gt;"X",$F417&lt;&gt;"Réalisé",$F417&lt;&gt;"Clôturé"),"RETARD",""))</f>
        <v/>
      </c>
      <c r="J417" s="29">
        <f>IF($B417="","",IF(INDEX(Dossiers!$F$4:$F$63,8)="","",INDEX(Dossiers!$F$4:$F$63,8)))</f>
        <v/>
      </c>
      <c r="K417" s="29">
        <f>IF($B417="","",IF(INDEX(Dossiers!$G$4:$G$63,8)="","",INDEX(Dossiers!$G$4:$G$63,8)))</f>
        <v/>
      </c>
    </row>
    <row r="418">
      <c r="A418">
        <f>IF($B418="","",INDEX(Dossiers!$E$4:$E$63,8))</f>
        <v/>
      </c>
      <c r="B418">
        <f>IF(INDEX(Suivi!$B:$B,426)="","",INDEX(Suivi!$B:$B,426))</f>
        <v/>
      </c>
      <c r="C418">
        <f>IF($B418="","",IF(INDEX(Suivi!$D:$D,426)="",INDEX(Suivi!$C:$C,426),INDEX(Suivi!$D:$D,426)))</f>
        <v/>
      </c>
      <c r="D418" s="29">
        <f>IF($B418="","",INDEX(Suivi!$E:$E,426))</f>
        <v/>
      </c>
      <c r="E418" s="29">
        <f>IF($B418="","",INDEX(Suivi!$F:$F,426))</f>
        <v/>
      </c>
      <c r="F418">
        <f>IF($B418="","",INDEX(Suivi!$G:$G,426))</f>
        <v/>
      </c>
      <c r="H418">
        <f>IF(OR($B418="",NOT(ISNUMBER($D418))),"",IF($E418&lt;$D$2,"Passé",IF($D418&gt;$F$2,"À venir","Dans la période")))</f>
        <v/>
      </c>
      <c r="I418">
        <f>IF(OR($B418="",NOT(ISNUMBER($D418))),"",IF(AND($E418&lt;$D$2,$G418&lt;&gt;"X",$F418&lt;&gt;"Réalisé",$F418&lt;&gt;"Clôturé"),"RETARD",""))</f>
        <v/>
      </c>
      <c r="J418" s="29">
        <f>IF($B418="","",IF(INDEX(Dossiers!$F$4:$F$63,8)="","",INDEX(Dossiers!$F$4:$F$63,8)))</f>
        <v/>
      </c>
      <c r="K418" s="29">
        <f>IF($B418="","",IF(INDEX(Dossiers!$G$4:$G$63,8)="","",INDEX(Dossiers!$G$4:$G$63,8)))</f>
        <v/>
      </c>
    </row>
    <row r="419">
      <c r="A419">
        <f>IF($B419="","",INDEX(Dossiers!$E$4:$E$63,8))</f>
        <v/>
      </c>
      <c r="B419">
        <f>IF(INDEX(Suivi!$B:$B,427)="","",INDEX(Suivi!$B:$B,427))</f>
        <v/>
      </c>
      <c r="C419">
        <f>IF($B419="","",IF(INDEX(Suivi!$D:$D,427)="",INDEX(Suivi!$C:$C,427),INDEX(Suivi!$D:$D,427)))</f>
        <v/>
      </c>
      <c r="D419" s="29">
        <f>IF($B419="","",INDEX(Suivi!$E:$E,427))</f>
        <v/>
      </c>
      <c r="E419" s="29">
        <f>IF($B419="","",INDEX(Suivi!$F:$F,427))</f>
        <v/>
      </c>
      <c r="F419">
        <f>IF($B419="","",INDEX(Suivi!$G:$G,427))</f>
        <v/>
      </c>
      <c r="H419">
        <f>IF(OR($B419="",NOT(ISNUMBER($D419))),"",IF($E419&lt;$D$2,"Passé",IF($D419&gt;$F$2,"À venir","Dans la période")))</f>
        <v/>
      </c>
      <c r="I419">
        <f>IF(OR($B419="",NOT(ISNUMBER($D419))),"",IF(AND($E419&lt;$D$2,$G419&lt;&gt;"X",$F419&lt;&gt;"Réalisé",$F419&lt;&gt;"Clôturé"),"RETARD",""))</f>
        <v/>
      </c>
      <c r="J419" s="29">
        <f>IF($B419="","",IF(INDEX(Dossiers!$F$4:$F$63,8)="","",INDEX(Dossiers!$F$4:$F$63,8)))</f>
        <v/>
      </c>
      <c r="K419" s="29">
        <f>IF($B419="","",IF(INDEX(Dossiers!$G$4:$G$63,8)="","",INDEX(Dossiers!$G$4:$G$63,8)))</f>
        <v/>
      </c>
    </row>
    <row r="420">
      <c r="A420">
        <f>IF($B420="","",INDEX(Dossiers!$E$4:$E$63,8))</f>
        <v/>
      </c>
      <c r="B420">
        <f>IF(INDEX(Suivi!$B:$B,428)="","",INDEX(Suivi!$B:$B,428))</f>
        <v/>
      </c>
      <c r="C420">
        <f>IF($B420="","",IF(INDEX(Suivi!$D:$D,428)="",INDEX(Suivi!$C:$C,428),INDEX(Suivi!$D:$D,428)))</f>
        <v/>
      </c>
      <c r="D420" s="29">
        <f>IF($B420="","",INDEX(Suivi!$E:$E,428))</f>
        <v/>
      </c>
      <c r="E420" s="29">
        <f>IF($B420="","",INDEX(Suivi!$F:$F,428))</f>
        <v/>
      </c>
      <c r="F420">
        <f>IF($B420="","",INDEX(Suivi!$G:$G,428))</f>
        <v/>
      </c>
      <c r="H420">
        <f>IF(OR($B420="",NOT(ISNUMBER($D420))),"",IF($E420&lt;$D$2,"Passé",IF($D420&gt;$F$2,"À venir","Dans la période")))</f>
        <v/>
      </c>
      <c r="I420">
        <f>IF(OR($B420="",NOT(ISNUMBER($D420))),"",IF(AND($E420&lt;$D$2,$G420&lt;&gt;"X",$F420&lt;&gt;"Réalisé",$F420&lt;&gt;"Clôturé"),"RETARD",""))</f>
        <v/>
      </c>
      <c r="J420" s="29">
        <f>IF($B420="","",IF(INDEX(Dossiers!$F$4:$F$63,8)="","",INDEX(Dossiers!$F$4:$F$63,8)))</f>
        <v/>
      </c>
      <c r="K420" s="29">
        <f>IF($B420="","",IF(INDEX(Dossiers!$G$4:$G$63,8)="","",INDEX(Dossiers!$G$4:$G$63,8)))</f>
        <v/>
      </c>
    </row>
    <row r="421">
      <c r="A421">
        <f>IF($B421="","",INDEX(Dossiers!$E$4:$E$63,8))</f>
        <v/>
      </c>
      <c r="B421">
        <f>IF(INDEX(Suivi!$B:$B,429)="","",INDEX(Suivi!$B:$B,429))</f>
        <v/>
      </c>
      <c r="C421">
        <f>IF($B421="","",IF(INDEX(Suivi!$D:$D,429)="",INDEX(Suivi!$C:$C,429),INDEX(Suivi!$D:$D,429)))</f>
        <v/>
      </c>
      <c r="D421" s="29">
        <f>IF($B421="","",INDEX(Suivi!$E:$E,429))</f>
        <v/>
      </c>
      <c r="E421" s="29">
        <f>IF($B421="","",INDEX(Suivi!$F:$F,429))</f>
        <v/>
      </c>
      <c r="F421">
        <f>IF($B421="","",INDEX(Suivi!$G:$G,429))</f>
        <v/>
      </c>
      <c r="H421">
        <f>IF(OR($B421="",NOT(ISNUMBER($D421))),"",IF($E421&lt;$D$2,"Passé",IF($D421&gt;$F$2,"À venir","Dans la période")))</f>
        <v/>
      </c>
      <c r="I421">
        <f>IF(OR($B421="",NOT(ISNUMBER($D421))),"",IF(AND($E421&lt;$D$2,$G421&lt;&gt;"X",$F421&lt;&gt;"Réalisé",$F421&lt;&gt;"Clôturé"),"RETARD",""))</f>
        <v/>
      </c>
      <c r="J421" s="29">
        <f>IF($B421="","",IF(INDEX(Dossiers!$F$4:$F$63,8)="","",INDEX(Dossiers!$F$4:$F$63,8)))</f>
        <v/>
      </c>
      <c r="K421" s="29">
        <f>IF($B421="","",IF(INDEX(Dossiers!$G$4:$G$63,8)="","",INDEX(Dossiers!$G$4:$G$63,8)))</f>
        <v/>
      </c>
    </row>
    <row r="422">
      <c r="A422">
        <f>IF($B422="","",INDEX(Dossiers!$E$4:$E$63,8))</f>
        <v/>
      </c>
      <c r="B422">
        <f>IF(INDEX(Suivi!$B:$B,430)="","",INDEX(Suivi!$B:$B,430))</f>
        <v/>
      </c>
      <c r="C422">
        <f>IF($B422="","",IF(INDEX(Suivi!$D:$D,430)="",INDEX(Suivi!$C:$C,430),INDEX(Suivi!$D:$D,430)))</f>
        <v/>
      </c>
      <c r="D422" s="29">
        <f>IF($B422="","",INDEX(Suivi!$E:$E,430))</f>
        <v/>
      </c>
      <c r="E422" s="29">
        <f>IF($B422="","",INDEX(Suivi!$F:$F,430))</f>
        <v/>
      </c>
      <c r="F422">
        <f>IF($B422="","",INDEX(Suivi!$G:$G,430))</f>
        <v/>
      </c>
      <c r="H422">
        <f>IF(OR($B422="",NOT(ISNUMBER($D422))),"",IF($E422&lt;$D$2,"Passé",IF($D422&gt;$F$2,"À venir","Dans la période")))</f>
        <v/>
      </c>
      <c r="I422">
        <f>IF(OR($B422="",NOT(ISNUMBER($D422))),"",IF(AND($E422&lt;$D$2,$G422&lt;&gt;"X",$F422&lt;&gt;"Réalisé",$F422&lt;&gt;"Clôturé"),"RETARD",""))</f>
        <v/>
      </c>
      <c r="J422" s="29">
        <f>IF($B422="","",IF(INDEX(Dossiers!$F$4:$F$63,8)="","",INDEX(Dossiers!$F$4:$F$63,8)))</f>
        <v/>
      </c>
      <c r="K422" s="29">
        <f>IF($B422="","",IF(INDEX(Dossiers!$G$4:$G$63,8)="","",INDEX(Dossiers!$G$4:$G$63,8)))</f>
        <v/>
      </c>
    </row>
    <row r="423">
      <c r="A423">
        <f>IF($B423="","",INDEX(Dossiers!$E$4:$E$63,8))</f>
        <v/>
      </c>
      <c r="B423">
        <f>IF(INDEX(Suivi!$B:$B,431)="","",INDEX(Suivi!$B:$B,431))</f>
        <v/>
      </c>
      <c r="C423">
        <f>IF($B423="","",IF(INDEX(Suivi!$D:$D,431)="",INDEX(Suivi!$C:$C,431),INDEX(Suivi!$D:$D,431)))</f>
        <v/>
      </c>
      <c r="D423" s="29">
        <f>IF($B423="","",INDEX(Suivi!$E:$E,431))</f>
        <v/>
      </c>
      <c r="E423" s="29">
        <f>IF($B423="","",INDEX(Suivi!$F:$F,431))</f>
        <v/>
      </c>
      <c r="F423">
        <f>IF($B423="","",INDEX(Suivi!$G:$G,431))</f>
        <v/>
      </c>
      <c r="H423">
        <f>IF(OR($B423="",NOT(ISNUMBER($D423))),"",IF($E423&lt;$D$2,"Passé",IF($D423&gt;$F$2,"À venir","Dans la période")))</f>
        <v/>
      </c>
      <c r="I423">
        <f>IF(OR($B423="",NOT(ISNUMBER($D423))),"",IF(AND($E423&lt;$D$2,$G423&lt;&gt;"X",$F423&lt;&gt;"Réalisé",$F423&lt;&gt;"Clôturé"),"RETARD",""))</f>
        <v/>
      </c>
      <c r="J423" s="29">
        <f>IF($B423="","",IF(INDEX(Dossiers!$F$4:$F$63,8)="","",INDEX(Dossiers!$F$4:$F$63,8)))</f>
        <v/>
      </c>
      <c r="K423" s="29">
        <f>IF($B423="","",IF(INDEX(Dossiers!$G$4:$G$63,8)="","",INDEX(Dossiers!$G$4:$G$63,8)))</f>
        <v/>
      </c>
    </row>
    <row r="424">
      <c r="A424">
        <f>IF($B424="","",INDEX(Dossiers!$E$4:$E$63,8))</f>
        <v/>
      </c>
      <c r="B424">
        <f>IF(INDEX(Suivi!$B:$B,432)="","",INDEX(Suivi!$B:$B,432))</f>
        <v/>
      </c>
      <c r="C424">
        <f>IF($B424="","",IF(INDEX(Suivi!$D:$D,432)="",INDEX(Suivi!$C:$C,432),INDEX(Suivi!$D:$D,432)))</f>
        <v/>
      </c>
      <c r="D424" s="29">
        <f>IF($B424="","",INDEX(Suivi!$E:$E,432))</f>
        <v/>
      </c>
      <c r="E424" s="29">
        <f>IF($B424="","",INDEX(Suivi!$F:$F,432))</f>
        <v/>
      </c>
      <c r="F424">
        <f>IF($B424="","",INDEX(Suivi!$G:$G,432))</f>
        <v/>
      </c>
      <c r="H424">
        <f>IF(OR($B424="",NOT(ISNUMBER($D424))),"",IF($E424&lt;$D$2,"Passé",IF($D424&gt;$F$2,"À venir","Dans la période")))</f>
        <v/>
      </c>
      <c r="I424">
        <f>IF(OR($B424="",NOT(ISNUMBER($D424))),"",IF(AND($E424&lt;$D$2,$G424&lt;&gt;"X",$F424&lt;&gt;"Réalisé",$F424&lt;&gt;"Clôturé"),"RETARD",""))</f>
        <v/>
      </c>
      <c r="J424" s="29">
        <f>IF($B424="","",IF(INDEX(Dossiers!$F$4:$F$63,8)="","",INDEX(Dossiers!$F$4:$F$63,8)))</f>
        <v/>
      </c>
      <c r="K424" s="29">
        <f>IF($B424="","",IF(INDEX(Dossiers!$G$4:$G$63,8)="","",INDEX(Dossiers!$G$4:$G$63,8)))</f>
        <v/>
      </c>
    </row>
    <row r="425">
      <c r="A425">
        <f>IF($B425="","",INDEX(Dossiers!$E$4:$E$63,8))</f>
        <v/>
      </c>
      <c r="B425">
        <f>IF(INDEX(Suivi!$B:$B,433)="","",INDEX(Suivi!$B:$B,433))</f>
        <v/>
      </c>
      <c r="C425">
        <f>IF($B425="","",IF(INDEX(Suivi!$D:$D,433)="",INDEX(Suivi!$C:$C,433),INDEX(Suivi!$D:$D,433)))</f>
        <v/>
      </c>
      <c r="D425" s="29">
        <f>IF($B425="","",INDEX(Suivi!$E:$E,433))</f>
        <v/>
      </c>
      <c r="E425" s="29">
        <f>IF($B425="","",INDEX(Suivi!$F:$F,433))</f>
        <v/>
      </c>
      <c r="F425">
        <f>IF($B425="","",INDEX(Suivi!$G:$G,433))</f>
        <v/>
      </c>
      <c r="H425">
        <f>IF(OR($B425="",NOT(ISNUMBER($D425))),"",IF($E425&lt;$D$2,"Passé",IF($D425&gt;$F$2,"À venir","Dans la période")))</f>
        <v/>
      </c>
      <c r="I425">
        <f>IF(OR($B425="",NOT(ISNUMBER($D425))),"",IF(AND($E425&lt;$D$2,$G425&lt;&gt;"X",$F425&lt;&gt;"Réalisé",$F425&lt;&gt;"Clôturé"),"RETARD",""))</f>
        <v/>
      </c>
      <c r="J425" s="29">
        <f>IF($B425="","",IF(INDEX(Dossiers!$F$4:$F$63,8)="","",INDEX(Dossiers!$F$4:$F$63,8)))</f>
        <v/>
      </c>
      <c r="K425" s="29">
        <f>IF($B425="","",IF(INDEX(Dossiers!$G$4:$G$63,8)="","",INDEX(Dossiers!$G$4:$G$63,8)))</f>
        <v/>
      </c>
    </row>
    <row r="426">
      <c r="A426">
        <f>IF($B426="","",INDEX(Dossiers!$E$4:$E$63,8))</f>
        <v/>
      </c>
      <c r="B426">
        <f>IF(INDEX(Suivi!$B:$B,434)="","",INDEX(Suivi!$B:$B,434))</f>
        <v/>
      </c>
      <c r="C426">
        <f>IF($B426="","",IF(INDEX(Suivi!$D:$D,434)="",INDEX(Suivi!$C:$C,434),INDEX(Suivi!$D:$D,434)))</f>
        <v/>
      </c>
      <c r="D426" s="29">
        <f>IF($B426="","",INDEX(Suivi!$E:$E,434))</f>
        <v/>
      </c>
      <c r="E426" s="29">
        <f>IF($B426="","",INDEX(Suivi!$F:$F,434))</f>
        <v/>
      </c>
      <c r="F426">
        <f>IF($B426="","",INDEX(Suivi!$G:$G,434))</f>
        <v/>
      </c>
      <c r="H426">
        <f>IF(OR($B426="",NOT(ISNUMBER($D426))),"",IF($E426&lt;$D$2,"Passé",IF($D426&gt;$F$2,"À venir","Dans la période")))</f>
        <v/>
      </c>
      <c r="I426">
        <f>IF(OR($B426="",NOT(ISNUMBER($D426))),"",IF(AND($E426&lt;$D$2,$G426&lt;&gt;"X",$F426&lt;&gt;"Réalisé",$F426&lt;&gt;"Clôturé"),"RETARD",""))</f>
        <v/>
      </c>
      <c r="J426" s="29">
        <f>IF($B426="","",IF(INDEX(Dossiers!$F$4:$F$63,8)="","",INDEX(Dossiers!$F$4:$F$63,8)))</f>
        <v/>
      </c>
      <c r="K426" s="29">
        <f>IF($B426="","",IF(INDEX(Dossiers!$G$4:$G$63,8)="","",INDEX(Dossiers!$G$4:$G$63,8)))</f>
        <v/>
      </c>
    </row>
    <row r="427">
      <c r="A427">
        <f>IF($B427="","",INDEX(Dossiers!$E$4:$E$63,8))</f>
        <v/>
      </c>
      <c r="B427">
        <f>IF(INDEX(Suivi!$B:$B,435)="","",INDEX(Suivi!$B:$B,435))</f>
        <v/>
      </c>
      <c r="C427">
        <f>IF($B427="","",IF(INDEX(Suivi!$D:$D,435)="",INDEX(Suivi!$C:$C,435),INDEX(Suivi!$D:$D,435)))</f>
        <v/>
      </c>
      <c r="D427" s="29">
        <f>IF($B427="","",INDEX(Suivi!$E:$E,435))</f>
        <v/>
      </c>
      <c r="E427" s="29">
        <f>IF($B427="","",INDEX(Suivi!$F:$F,435))</f>
        <v/>
      </c>
      <c r="F427">
        <f>IF($B427="","",INDEX(Suivi!$G:$G,435))</f>
        <v/>
      </c>
      <c r="H427">
        <f>IF(OR($B427="",NOT(ISNUMBER($D427))),"",IF($E427&lt;$D$2,"Passé",IF($D427&gt;$F$2,"À venir","Dans la période")))</f>
        <v/>
      </c>
      <c r="I427">
        <f>IF(OR($B427="",NOT(ISNUMBER($D427))),"",IF(AND($E427&lt;$D$2,$G427&lt;&gt;"X",$F427&lt;&gt;"Réalisé",$F427&lt;&gt;"Clôturé"),"RETARD",""))</f>
        <v/>
      </c>
      <c r="J427" s="29">
        <f>IF($B427="","",IF(INDEX(Dossiers!$F$4:$F$63,8)="","",INDEX(Dossiers!$F$4:$F$63,8)))</f>
        <v/>
      </c>
      <c r="K427" s="29">
        <f>IF($B427="","",IF(INDEX(Dossiers!$G$4:$G$63,8)="","",INDEX(Dossiers!$G$4:$G$63,8)))</f>
        <v/>
      </c>
    </row>
    <row r="428">
      <c r="A428">
        <f>IF($B428="","",INDEX(Dossiers!$E$4:$E$63,9))</f>
        <v/>
      </c>
      <c r="B428">
        <f>IF(INDEX(Suivi!$B:$B,437)="","",INDEX(Suivi!$B:$B,437))</f>
        <v/>
      </c>
      <c r="C428">
        <f>IF($B428="","",IF(INDEX(Suivi!$D:$D,437)="",INDEX(Suivi!$C:$C,437),INDEX(Suivi!$D:$D,437)))</f>
        <v/>
      </c>
      <c r="D428" s="29">
        <f>IF($B428="","",INDEX(Suivi!$E:$E,437))</f>
        <v/>
      </c>
      <c r="E428" s="29">
        <f>IF($B428="","",INDEX(Suivi!$F:$F,437))</f>
        <v/>
      </c>
      <c r="F428">
        <f>IF($B428="","",INDEX(Suivi!$G:$G,437))</f>
        <v/>
      </c>
      <c r="H428">
        <f>IF(OR($B428="",NOT(ISNUMBER($D428))),"",IF($E428&lt;$D$2,"Passé",IF($D428&gt;$F$2,"À venir","Dans la période")))</f>
        <v/>
      </c>
      <c r="I428">
        <f>IF(OR($B428="",NOT(ISNUMBER($D428))),"",IF(AND($E428&lt;$D$2,$G428&lt;&gt;"X",$F428&lt;&gt;"Réalisé",$F428&lt;&gt;"Clôturé"),"RETARD",""))</f>
        <v/>
      </c>
      <c r="J428" s="29">
        <f>IF($B428="","",IF(INDEX(Dossiers!$F$4:$F$63,9)="","",INDEX(Dossiers!$F$4:$F$63,9)))</f>
        <v/>
      </c>
      <c r="K428" s="29">
        <f>IF($B428="","",IF(INDEX(Dossiers!$G$4:$G$63,9)="","",INDEX(Dossiers!$G$4:$G$63,9)))</f>
        <v/>
      </c>
    </row>
    <row r="429">
      <c r="A429">
        <f>IF($B429="","",INDEX(Dossiers!$E$4:$E$63,9))</f>
        <v/>
      </c>
      <c r="B429">
        <f>IF(INDEX(Suivi!$B:$B,438)="","",INDEX(Suivi!$B:$B,438))</f>
        <v/>
      </c>
      <c r="C429">
        <f>IF($B429="","",IF(INDEX(Suivi!$D:$D,438)="",INDEX(Suivi!$C:$C,438),INDEX(Suivi!$D:$D,438)))</f>
        <v/>
      </c>
      <c r="D429" s="29">
        <f>IF($B429="","",INDEX(Suivi!$E:$E,438))</f>
        <v/>
      </c>
      <c r="E429" s="29">
        <f>IF($B429="","",INDEX(Suivi!$F:$F,438))</f>
        <v/>
      </c>
      <c r="F429">
        <f>IF($B429="","",INDEX(Suivi!$G:$G,438))</f>
        <v/>
      </c>
      <c r="H429">
        <f>IF(OR($B429="",NOT(ISNUMBER($D429))),"",IF($E429&lt;$D$2,"Passé",IF($D429&gt;$F$2,"À venir","Dans la période")))</f>
        <v/>
      </c>
      <c r="I429">
        <f>IF(OR($B429="",NOT(ISNUMBER($D429))),"",IF(AND($E429&lt;$D$2,$G429&lt;&gt;"X",$F429&lt;&gt;"Réalisé",$F429&lt;&gt;"Clôturé"),"RETARD",""))</f>
        <v/>
      </c>
      <c r="J429" s="29">
        <f>IF($B429="","",IF(INDEX(Dossiers!$F$4:$F$63,9)="","",INDEX(Dossiers!$F$4:$F$63,9)))</f>
        <v/>
      </c>
      <c r="K429" s="29">
        <f>IF($B429="","",IF(INDEX(Dossiers!$G$4:$G$63,9)="","",INDEX(Dossiers!$G$4:$G$63,9)))</f>
        <v/>
      </c>
    </row>
    <row r="430">
      <c r="A430">
        <f>IF($B430="","",INDEX(Dossiers!$E$4:$E$63,9))</f>
        <v/>
      </c>
      <c r="B430">
        <f>IF(INDEX(Suivi!$B:$B,439)="","",INDEX(Suivi!$B:$B,439))</f>
        <v/>
      </c>
      <c r="C430">
        <f>IF($B430="","",IF(INDEX(Suivi!$D:$D,439)="",INDEX(Suivi!$C:$C,439),INDEX(Suivi!$D:$D,439)))</f>
        <v/>
      </c>
      <c r="D430" s="29">
        <f>IF($B430="","",INDEX(Suivi!$E:$E,439))</f>
        <v/>
      </c>
      <c r="E430" s="29">
        <f>IF($B430="","",INDEX(Suivi!$F:$F,439))</f>
        <v/>
      </c>
      <c r="F430">
        <f>IF($B430="","",INDEX(Suivi!$G:$G,439))</f>
        <v/>
      </c>
      <c r="H430">
        <f>IF(OR($B430="",NOT(ISNUMBER($D430))),"",IF($E430&lt;$D$2,"Passé",IF($D430&gt;$F$2,"À venir","Dans la période")))</f>
        <v/>
      </c>
      <c r="I430">
        <f>IF(OR($B430="",NOT(ISNUMBER($D430))),"",IF(AND($E430&lt;$D$2,$G430&lt;&gt;"X",$F430&lt;&gt;"Réalisé",$F430&lt;&gt;"Clôturé"),"RETARD",""))</f>
        <v/>
      </c>
      <c r="J430" s="29">
        <f>IF($B430="","",IF(INDEX(Dossiers!$F$4:$F$63,9)="","",INDEX(Dossiers!$F$4:$F$63,9)))</f>
        <v/>
      </c>
      <c r="K430" s="29">
        <f>IF($B430="","",IF(INDEX(Dossiers!$G$4:$G$63,9)="","",INDEX(Dossiers!$G$4:$G$63,9)))</f>
        <v/>
      </c>
    </row>
    <row r="431">
      <c r="A431">
        <f>IF($B431="","",INDEX(Dossiers!$E$4:$E$63,9))</f>
        <v/>
      </c>
      <c r="B431">
        <f>IF(INDEX(Suivi!$B:$B,440)="","",INDEX(Suivi!$B:$B,440))</f>
        <v/>
      </c>
      <c r="C431">
        <f>IF($B431="","",IF(INDEX(Suivi!$D:$D,440)="",INDEX(Suivi!$C:$C,440),INDEX(Suivi!$D:$D,440)))</f>
        <v/>
      </c>
      <c r="D431" s="29">
        <f>IF($B431="","",INDEX(Suivi!$E:$E,440))</f>
        <v/>
      </c>
      <c r="E431" s="29">
        <f>IF($B431="","",INDEX(Suivi!$F:$F,440))</f>
        <v/>
      </c>
      <c r="F431">
        <f>IF($B431="","",INDEX(Suivi!$G:$G,440))</f>
        <v/>
      </c>
      <c r="H431">
        <f>IF(OR($B431="",NOT(ISNUMBER($D431))),"",IF($E431&lt;$D$2,"Passé",IF($D431&gt;$F$2,"À venir","Dans la période")))</f>
        <v/>
      </c>
      <c r="I431">
        <f>IF(OR($B431="",NOT(ISNUMBER($D431))),"",IF(AND($E431&lt;$D$2,$G431&lt;&gt;"X",$F431&lt;&gt;"Réalisé",$F431&lt;&gt;"Clôturé"),"RETARD",""))</f>
        <v/>
      </c>
      <c r="J431" s="29">
        <f>IF($B431="","",IF(INDEX(Dossiers!$F$4:$F$63,9)="","",INDEX(Dossiers!$F$4:$F$63,9)))</f>
        <v/>
      </c>
      <c r="K431" s="29">
        <f>IF($B431="","",IF(INDEX(Dossiers!$G$4:$G$63,9)="","",INDEX(Dossiers!$G$4:$G$63,9)))</f>
        <v/>
      </c>
    </row>
    <row r="432">
      <c r="A432">
        <f>IF($B432="","",INDEX(Dossiers!$E$4:$E$63,9))</f>
        <v/>
      </c>
      <c r="B432">
        <f>IF(INDEX(Suivi!$B:$B,441)="","",INDEX(Suivi!$B:$B,441))</f>
        <v/>
      </c>
      <c r="C432">
        <f>IF($B432="","",IF(INDEX(Suivi!$D:$D,441)="",INDEX(Suivi!$C:$C,441),INDEX(Suivi!$D:$D,441)))</f>
        <v/>
      </c>
      <c r="D432" s="29">
        <f>IF($B432="","",INDEX(Suivi!$E:$E,441))</f>
        <v/>
      </c>
      <c r="E432" s="29">
        <f>IF($B432="","",INDEX(Suivi!$F:$F,441))</f>
        <v/>
      </c>
      <c r="F432">
        <f>IF($B432="","",INDEX(Suivi!$G:$G,441))</f>
        <v/>
      </c>
      <c r="H432">
        <f>IF(OR($B432="",NOT(ISNUMBER($D432))),"",IF($E432&lt;$D$2,"Passé",IF($D432&gt;$F$2,"À venir","Dans la période")))</f>
        <v/>
      </c>
      <c r="I432">
        <f>IF(OR($B432="",NOT(ISNUMBER($D432))),"",IF(AND($E432&lt;$D$2,$G432&lt;&gt;"X",$F432&lt;&gt;"Réalisé",$F432&lt;&gt;"Clôturé"),"RETARD",""))</f>
        <v/>
      </c>
      <c r="J432" s="29">
        <f>IF($B432="","",IF(INDEX(Dossiers!$F$4:$F$63,9)="","",INDEX(Dossiers!$F$4:$F$63,9)))</f>
        <v/>
      </c>
      <c r="K432" s="29">
        <f>IF($B432="","",IF(INDEX(Dossiers!$G$4:$G$63,9)="","",INDEX(Dossiers!$G$4:$G$63,9)))</f>
        <v/>
      </c>
    </row>
    <row r="433">
      <c r="A433">
        <f>IF($B433="","",INDEX(Dossiers!$E$4:$E$63,9))</f>
        <v/>
      </c>
      <c r="B433">
        <f>IF(INDEX(Suivi!$B:$B,442)="","",INDEX(Suivi!$B:$B,442))</f>
        <v/>
      </c>
      <c r="C433">
        <f>IF($B433="","",IF(INDEX(Suivi!$D:$D,442)="",INDEX(Suivi!$C:$C,442),INDEX(Suivi!$D:$D,442)))</f>
        <v/>
      </c>
      <c r="D433" s="29">
        <f>IF($B433="","",INDEX(Suivi!$E:$E,442))</f>
        <v/>
      </c>
      <c r="E433" s="29">
        <f>IF($B433="","",INDEX(Suivi!$F:$F,442))</f>
        <v/>
      </c>
      <c r="F433">
        <f>IF($B433="","",INDEX(Suivi!$G:$G,442))</f>
        <v/>
      </c>
      <c r="H433">
        <f>IF(OR($B433="",NOT(ISNUMBER($D433))),"",IF($E433&lt;$D$2,"Passé",IF($D433&gt;$F$2,"À venir","Dans la période")))</f>
        <v/>
      </c>
      <c r="I433">
        <f>IF(OR($B433="",NOT(ISNUMBER($D433))),"",IF(AND($E433&lt;$D$2,$G433&lt;&gt;"X",$F433&lt;&gt;"Réalisé",$F433&lt;&gt;"Clôturé"),"RETARD",""))</f>
        <v/>
      </c>
      <c r="J433" s="29">
        <f>IF($B433="","",IF(INDEX(Dossiers!$F$4:$F$63,9)="","",INDEX(Dossiers!$F$4:$F$63,9)))</f>
        <v/>
      </c>
      <c r="K433" s="29">
        <f>IF($B433="","",IF(INDEX(Dossiers!$G$4:$G$63,9)="","",INDEX(Dossiers!$G$4:$G$63,9)))</f>
        <v/>
      </c>
    </row>
    <row r="434">
      <c r="A434">
        <f>IF($B434="","",INDEX(Dossiers!$E$4:$E$63,9))</f>
        <v/>
      </c>
      <c r="B434">
        <f>IF(INDEX(Suivi!$B:$B,443)="","",INDEX(Suivi!$B:$B,443))</f>
        <v/>
      </c>
      <c r="C434">
        <f>IF($B434="","",IF(INDEX(Suivi!$D:$D,443)="",INDEX(Suivi!$C:$C,443),INDEX(Suivi!$D:$D,443)))</f>
        <v/>
      </c>
      <c r="D434" s="29">
        <f>IF($B434="","",INDEX(Suivi!$E:$E,443))</f>
        <v/>
      </c>
      <c r="E434" s="29">
        <f>IF($B434="","",INDEX(Suivi!$F:$F,443))</f>
        <v/>
      </c>
      <c r="F434">
        <f>IF($B434="","",INDEX(Suivi!$G:$G,443))</f>
        <v/>
      </c>
      <c r="H434">
        <f>IF(OR($B434="",NOT(ISNUMBER($D434))),"",IF($E434&lt;$D$2,"Passé",IF($D434&gt;$F$2,"À venir","Dans la période")))</f>
        <v/>
      </c>
      <c r="I434">
        <f>IF(OR($B434="",NOT(ISNUMBER($D434))),"",IF(AND($E434&lt;$D$2,$G434&lt;&gt;"X",$F434&lt;&gt;"Réalisé",$F434&lt;&gt;"Clôturé"),"RETARD",""))</f>
        <v/>
      </c>
      <c r="J434" s="29">
        <f>IF($B434="","",IF(INDEX(Dossiers!$F$4:$F$63,9)="","",INDEX(Dossiers!$F$4:$F$63,9)))</f>
        <v/>
      </c>
      <c r="K434" s="29">
        <f>IF($B434="","",IF(INDEX(Dossiers!$G$4:$G$63,9)="","",INDEX(Dossiers!$G$4:$G$63,9)))</f>
        <v/>
      </c>
    </row>
    <row r="435">
      <c r="A435">
        <f>IF($B435="","",INDEX(Dossiers!$E$4:$E$63,9))</f>
        <v/>
      </c>
      <c r="B435">
        <f>IF(INDEX(Suivi!$B:$B,444)="","",INDEX(Suivi!$B:$B,444))</f>
        <v/>
      </c>
      <c r="C435">
        <f>IF($B435="","",IF(INDEX(Suivi!$D:$D,444)="",INDEX(Suivi!$C:$C,444),INDEX(Suivi!$D:$D,444)))</f>
        <v/>
      </c>
      <c r="D435" s="29">
        <f>IF($B435="","",INDEX(Suivi!$E:$E,444))</f>
        <v/>
      </c>
      <c r="E435" s="29">
        <f>IF($B435="","",INDEX(Suivi!$F:$F,444))</f>
        <v/>
      </c>
      <c r="F435">
        <f>IF($B435="","",INDEX(Suivi!$G:$G,444))</f>
        <v/>
      </c>
      <c r="H435">
        <f>IF(OR($B435="",NOT(ISNUMBER($D435))),"",IF($E435&lt;$D$2,"Passé",IF($D435&gt;$F$2,"À venir","Dans la période")))</f>
        <v/>
      </c>
      <c r="I435">
        <f>IF(OR($B435="",NOT(ISNUMBER($D435))),"",IF(AND($E435&lt;$D$2,$G435&lt;&gt;"X",$F435&lt;&gt;"Réalisé",$F435&lt;&gt;"Clôturé"),"RETARD",""))</f>
        <v/>
      </c>
      <c r="J435" s="29">
        <f>IF($B435="","",IF(INDEX(Dossiers!$F$4:$F$63,9)="","",INDEX(Dossiers!$F$4:$F$63,9)))</f>
        <v/>
      </c>
      <c r="K435" s="29">
        <f>IF($B435="","",IF(INDEX(Dossiers!$G$4:$G$63,9)="","",INDEX(Dossiers!$G$4:$G$63,9)))</f>
        <v/>
      </c>
    </row>
    <row r="436">
      <c r="A436">
        <f>IF($B436="","",INDEX(Dossiers!$E$4:$E$63,9))</f>
        <v/>
      </c>
      <c r="B436">
        <f>IF(INDEX(Suivi!$B:$B,445)="","",INDEX(Suivi!$B:$B,445))</f>
        <v/>
      </c>
      <c r="C436">
        <f>IF($B436="","",IF(INDEX(Suivi!$D:$D,445)="",INDEX(Suivi!$C:$C,445),INDEX(Suivi!$D:$D,445)))</f>
        <v/>
      </c>
      <c r="D436" s="29">
        <f>IF($B436="","",INDEX(Suivi!$E:$E,445))</f>
        <v/>
      </c>
      <c r="E436" s="29">
        <f>IF($B436="","",INDEX(Suivi!$F:$F,445))</f>
        <v/>
      </c>
      <c r="F436">
        <f>IF($B436="","",INDEX(Suivi!$G:$G,445))</f>
        <v/>
      </c>
      <c r="H436">
        <f>IF(OR($B436="",NOT(ISNUMBER($D436))),"",IF($E436&lt;$D$2,"Passé",IF($D436&gt;$F$2,"À venir","Dans la période")))</f>
        <v/>
      </c>
      <c r="I436">
        <f>IF(OR($B436="",NOT(ISNUMBER($D436))),"",IF(AND($E436&lt;$D$2,$G436&lt;&gt;"X",$F436&lt;&gt;"Réalisé",$F436&lt;&gt;"Clôturé"),"RETARD",""))</f>
        <v/>
      </c>
      <c r="J436" s="29">
        <f>IF($B436="","",IF(INDEX(Dossiers!$F$4:$F$63,9)="","",INDEX(Dossiers!$F$4:$F$63,9)))</f>
        <v/>
      </c>
      <c r="K436" s="29">
        <f>IF($B436="","",IF(INDEX(Dossiers!$G$4:$G$63,9)="","",INDEX(Dossiers!$G$4:$G$63,9)))</f>
        <v/>
      </c>
    </row>
    <row r="437">
      <c r="A437">
        <f>IF($B437="","",INDEX(Dossiers!$E$4:$E$63,9))</f>
        <v/>
      </c>
      <c r="B437">
        <f>IF(INDEX(Suivi!$B:$B,446)="","",INDEX(Suivi!$B:$B,446))</f>
        <v/>
      </c>
      <c r="C437">
        <f>IF($B437="","",IF(INDEX(Suivi!$D:$D,446)="",INDEX(Suivi!$C:$C,446),INDEX(Suivi!$D:$D,446)))</f>
        <v/>
      </c>
      <c r="D437" s="29">
        <f>IF($B437="","",INDEX(Suivi!$E:$E,446))</f>
        <v/>
      </c>
      <c r="E437" s="29">
        <f>IF($B437="","",INDEX(Suivi!$F:$F,446))</f>
        <v/>
      </c>
      <c r="F437">
        <f>IF($B437="","",INDEX(Suivi!$G:$G,446))</f>
        <v/>
      </c>
      <c r="H437">
        <f>IF(OR($B437="",NOT(ISNUMBER($D437))),"",IF($E437&lt;$D$2,"Passé",IF($D437&gt;$F$2,"À venir","Dans la période")))</f>
        <v/>
      </c>
      <c r="I437">
        <f>IF(OR($B437="",NOT(ISNUMBER($D437))),"",IF(AND($E437&lt;$D$2,$G437&lt;&gt;"X",$F437&lt;&gt;"Réalisé",$F437&lt;&gt;"Clôturé"),"RETARD",""))</f>
        <v/>
      </c>
      <c r="J437" s="29">
        <f>IF($B437="","",IF(INDEX(Dossiers!$F$4:$F$63,9)="","",INDEX(Dossiers!$F$4:$F$63,9)))</f>
        <v/>
      </c>
      <c r="K437" s="29">
        <f>IF($B437="","",IF(INDEX(Dossiers!$G$4:$G$63,9)="","",INDEX(Dossiers!$G$4:$G$63,9)))</f>
        <v/>
      </c>
    </row>
    <row r="438">
      <c r="A438">
        <f>IF($B438="","",INDEX(Dossiers!$E$4:$E$63,9))</f>
        <v/>
      </c>
      <c r="B438">
        <f>IF(INDEX(Suivi!$B:$B,447)="","",INDEX(Suivi!$B:$B,447))</f>
        <v/>
      </c>
      <c r="C438">
        <f>IF($B438="","",IF(INDEX(Suivi!$D:$D,447)="",INDEX(Suivi!$C:$C,447),INDEX(Suivi!$D:$D,447)))</f>
        <v/>
      </c>
      <c r="D438" s="29">
        <f>IF($B438="","",INDEX(Suivi!$E:$E,447))</f>
        <v/>
      </c>
      <c r="E438" s="29">
        <f>IF($B438="","",INDEX(Suivi!$F:$F,447))</f>
        <v/>
      </c>
      <c r="F438">
        <f>IF($B438="","",INDEX(Suivi!$G:$G,447))</f>
        <v/>
      </c>
      <c r="H438">
        <f>IF(OR($B438="",NOT(ISNUMBER($D438))),"",IF($E438&lt;$D$2,"Passé",IF($D438&gt;$F$2,"À venir","Dans la période")))</f>
        <v/>
      </c>
      <c r="I438">
        <f>IF(OR($B438="",NOT(ISNUMBER($D438))),"",IF(AND($E438&lt;$D$2,$G438&lt;&gt;"X",$F438&lt;&gt;"Réalisé",$F438&lt;&gt;"Clôturé"),"RETARD",""))</f>
        <v/>
      </c>
      <c r="J438" s="29">
        <f>IF($B438="","",IF(INDEX(Dossiers!$F$4:$F$63,9)="","",INDEX(Dossiers!$F$4:$F$63,9)))</f>
        <v/>
      </c>
      <c r="K438" s="29">
        <f>IF($B438="","",IF(INDEX(Dossiers!$G$4:$G$63,9)="","",INDEX(Dossiers!$G$4:$G$63,9)))</f>
        <v/>
      </c>
    </row>
    <row r="439">
      <c r="A439">
        <f>IF($B439="","",INDEX(Dossiers!$E$4:$E$63,9))</f>
        <v/>
      </c>
      <c r="B439">
        <f>IF(INDEX(Suivi!$B:$B,448)="","",INDEX(Suivi!$B:$B,448))</f>
        <v/>
      </c>
      <c r="C439">
        <f>IF($B439="","",IF(INDEX(Suivi!$D:$D,448)="",INDEX(Suivi!$C:$C,448),INDEX(Suivi!$D:$D,448)))</f>
        <v/>
      </c>
      <c r="D439" s="29">
        <f>IF($B439="","",INDEX(Suivi!$E:$E,448))</f>
        <v/>
      </c>
      <c r="E439" s="29">
        <f>IF($B439="","",INDEX(Suivi!$F:$F,448))</f>
        <v/>
      </c>
      <c r="F439">
        <f>IF($B439="","",INDEX(Suivi!$G:$G,448))</f>
        <v/>
      </c>
      <c r="H439">
        <f>IF(OR($B439="",NOT(ISNUMBER($D439))),"",IF($E439&lt;$D$2,"Passé",IF($D439&gt;$F$2,"À venir","Dans la période")))</f>
        <v/>
      </c>
      <c r="I439">
        <f>IF(OR($B439="",NOT(ISNUMBER($D439))),"",IF(AND($E439&lt;$D$2,$G439&lt;&gt;"X",$F439&lt;&gt;"Réalisé",$F439&lt;&gt;"Clôturé"),"RETARD",""))</f>
        <v/>
      </c>
      <c r="J439" s="29">
        <f>IF($B439="","",IF(INDEX(Dossiers!$F$4:$F$63,9)="","",INDEX(Dossiers!$F$4:$F$63,9)))</f>
        <v/>
      </c>
      <c r="K439" s="29">
        <f>IF($B439="","",IF(INDEX(Dossiers!$G$4:$G$63,9)="","",INDEX(Dossiers!$G$4:$G$63,9)))</f>
        <v/>
      </c>
    </row>
    <row r="440">
      <c r="A440">
        <f>IF($B440="","",INDEX(Dossiers!$E$4:$E$63,9))</f>
        <v/>
      </c>
      <c r="B440">
        <f>IF(INDEX(Suivi!$B:$B,449)="","",INDEX(Suivi!$B:$B,449))</f>
        <v/>
      </c>
      <c r="C440">
        <f>IF($B440="","",IF(INDEX(Suivi!$D:$D,449)="",INDEX(Suivi!$C:$C,449),INDEX(Suivi!$D:$D,449)))</f>
        <v/>
      </c>
      <c r="D440" s="29">
        <f>IF($B440="","",INDEX(Suivi!$E:$E,449))</f>
        <v/>
      </c>
      <c r="E440" s="29">
        <f>IF($B440="","",INDEX(Suivi!$F:$F,449))</f>
        <v/>
      </c>
      <c r="F440">
        <f>IF($B440="","",INDEX(Suivi!$G:$G,449))</f>
        <v/>
      </c>
      <c r="H440">
        <f>IF(OR($B440="",NOT(ISNUMBER($D440))),"",IF($E440&lt;$D$2,"Passé",IF($D440&gt;$F$2,"À venir","Dans la période")))</f>
        <v/>
      </c>
      <c r="I440">
        <f>IF(OR($B440="",NOT(ISNUMBER($D440))),"",IF(AND($E440&lt;$D$2,$G440&lt;&gt;"X",$F440&lt;&gt;"Réalisé",$F440&lt;&gt;"Clôturé"),"RETARD",""))</f>
        <v/>
      </c>
      <c r="J440" s="29">
        <f>IF($B440="","",IF(INDEX(Dossiers!$F$4:$F$63,9)="","",INDEX(Dossiers!$F$4:$F$63,9)))</f>
        <v/>
      </c>
      <c r="K440" s="29">
        <f>IF($B440="","",IF(INDEX(Dossiers!$G$4:$G$63,9)="","",INDEX(Dossiers!$G$4:$G$63,9)))</f>
        <v/>
      </c>
    </row>
    <row r="441">
      <c r="A441">
        <f>IF($B441="","",INDEX(Dossiers!$E$4:$E$63,9))</f>
        <v/>
      </c>
      <c r="B441">
        <f>IF(INDEX(Suivi!$B:$B,450)="","",INDEX(Suivi!$B:$B,450))</f>
        <v/>
      </c>
      <c r="C441">
        <f>IF($B441="","",IF(INDEX(Suivi!$D:$D,450)="",INDEX(Suivi!$C:$C,450),INDEX(Suivi!$D:$D,450)))</f>
        <v/>
      </c>
      <c r="D441" s="29">
        <f>IF($B441="","",INDEX(Suivi!$E:$E,450))</f>
        <v/>
      </c>
      <c r="E441" s="29">
        <f>IF($B441="","",INDEX(Suivi!$F:$F,450))</f>
        <v/>
      </c>
      <c r="F441">
        <f>IF($B441="","",INDEX(Suivi!$G:$G,450))</f>
        <v/>
      </c>
      <c r="H441">
        <f>IF(OR($B441="",NOT(ISNUMBER($D441))),"",IF($E441&lt;$D$2,"Passé",IF($D441&gt;$F$2,"À venir","Dans la période")))</f>
        <v/>
      </c>
      <c r="I441">
        <f>IF(OR($B441="",NOT(ISNUMBER($D441))),"",IF(AND($E441&lt;$D$2,$G441&lt;&gt;"X",$F441&lt;&gt;"Réalisé",$F441&lt;&gt;"Clôturé"),"RETARD",""))</f>
        <v/>
      </c>
      <c r="J441" s="29">
        <f>IF($B441="","",IF(INDEX(Dossiers!$F$4:$F$63,9)="","",INDEX(Dossiers!$F$4:$F$63,9)))</f>
        <v/>
      </c>
      <c r="K441" s="29">
        <f>IF($B441="","",IF(INDEX(Dossiers!$G$4:$G$63,9)="","",INDEX(Dossiers!$G$4:$G$63,9)))</f>
        <v/>
      </c>
    </row>
    <row r="442">
      <c r="A442">
        <f>IF($B442="","",INDEX(Dossiers!$E$4:$E$63,9))</f>
        <v/>
      </c>
      <c r="B442">
        <f>IF(INDEX(Suivi!$B:$B,451)="","",INDEX(Suivi!$B:$B,451))</f>
        <v/>
      </c>
      <c r="C442">
        <f>IF($B442="","",IF(INDEX(Suivi!$D:$D,451)="",INDEX(Suivi!$C:$C,451),INDEX(Suivi!$D:$D,451)))</f>
        <v/>
      </c>
      <c r="D442" s="29">
        <f>IF($B442="","",INDEX(Suivi!$E:$E,451))</f>
        <v/>
      </c>
      <c r="E442" s="29">
        <f>IF($B442="","",INDEX(Suivi!$F:$F,451))</f>
        <v/>
      </c>
      <c r="F442">
        <f>IF($B442="","",INDEX(Suivi!$G:$G,451))</f>
        <v/>
      </c>
      <c r="H442">
        <f>IF(OR($B442="",NOT(ISNUMBER($D442))),"",IF($E442&lt;$D$2,"Passé",IF($D442&gt;$F$2,"À venir","Dans la période")))</f>
        <v/>
      </c>
      <c r="I442">
        <f>IF(OR($B442="",NOT(ISNUMBER($D442))),"",IF(AND($E442&lt;$D$2,$G442&lt;&gt;"X",$F442&lt;&gt;"Réalisé",$F442&lt;&gt;"Clôturé"),"RETARD",""))</f>
        <v/>
      </c>
      <c r="J442" s="29">
        <f>IF($B442="","",IF(INDEX(Dossiers!$F$4:$F$63,9)="","",INDEX(Dossiers!$F$4:$F$63,9)))</f>
        <v/>
      </c>
      <c r="K442" s="29">
        <f>IF($B442="","",IF(INDEX(Dossiers!$G$4:$G$63,9)="","",INDEX(Dossiers!$G$4:$G$63,9)))</f>
        <v/>
      </c>
    </row>
    <row r="443">
      <c r="A443">
        <f>IF($B443="","",INDEX(Dossiers!$E$4:$E$63,9))</f>
        <v/>
      </c>
      <c r="B443">
        <f>IF(INDEX(Suivi!$B:$B,452)="","",INDEX(Suivi!$B:$B,452))</f>
        <v/>
      </c>
      <c r="C443">
        <f>IF($B443="","",IF(INDEX(Suivi!$D:$D,452)="",INDEX(Suivi!$C:$C,452),INDEX(Suivi!$D:$D,452)))</f>
        <v/>
      </c>
      <c r="D443" s="29">
        <f>IF($B443="","",INDEX(Suivi!$E:$E,452))</f>
        <v/>
      </c>
      <c r="E443" s="29">
        <f>IF($B443="","",INDEX(Suivi!$F:$F,452))</f>
        <v/>
      </c>
      <c r="F443">
        <f>IF($B443="","",INDEX(Suivi!$G:$G,452))</f>
        <v/>
      </c>
      <c r="H443">
        <f>IF(OR($B443="",NOT(ISNUMBER($D443))),"",IF($E443&lt;$D$2,"Passé",IF($D443&gt;$F$2,"À venir","Dans la période")))</f>
        <v/>
      </c>
      <c r="I443">
        <f>IF(OR($B443="",NOT(ISNUMBER($D443))),"",IF(AND($E443&lt;$D$2,$G443&lt;&gt;"X",$F443&lt;&gt;"Réalisé",$F443&lt;&gt;"Clôturé"),"RETARD",""))</f>
        <v/>
      </c>
      <c r="J443" s="29">
        <f>IF($B443="","",IF(INDEX(Dossiers!$F$4:$F$63,9)="","",INDEX(Dossiers!$F$4:$F$63,9)))</f>
        <v/>
      </c>
      <c r="K443" s="29">
        <f>IF($B443="","",IF(INDEX(Dossiers!$G$4:$G$63,9)="","",INDEX(Dossiers!$G$4:$G$63,9)))</f>
        <v/>
      </c>
    </row>
    <row r="444">
      <c r="A444">
        <f>IF($B444="","",INDEX(Dossiers!$E$4:$E$63,9))</f>
        <v/>
      </c>
      <c r="B444">
        <f>IF(INDEX(Suivi!$B:$B,453)="","",INDEX(Suivi!$B:$B,453))</f>
        <v/>
      </c>
      <c r="C444">
        <f>IF($B444="","",IF(INDEX(Suivi!$D:$D,453)="",INDEX(Suivi!$C:$C,453),INDEX(Suivi!$D:$D,453)))</f>
        <v/>
      </c>
      <c r="D444" s="29">
        <f>IF($B444="","",INDEX(Suivi!$E:$E,453))</f>
        <v/>
      </c>
      <c r="E444" s="29">
        <f>IF($B444="","",INDEX(Suivi!$F:$F,453))</f>
        <v/>
      </c>
      <c r="F444">
        <f>IF($B444="","",INDEX(Suivi!$G:$G,453))</f>
        <v/>
      </c>
      <c r="H444">
        <f>IF(OR($B444="",NOT(ISNUMBER($D444))),"",IF($E444&lt;$D$2,"Passé",IF($D444&gt;$F$2,"À venir","Dans la période")))</f>
        <v/>
      </c>
      <c r="I444">
        <f>IF(OR($B444="",NOT(ISNUMBER($D444))),"",IF(AND($E444&lt;$D$2,$G444&lt;&gt;"X",$F444&lt;&gt;"Réalisé",$F444&lt;&gt;"Clôturé"),"RETARD",""))</f>
        <v/>
      </c>
      <c r="J444" s="29">
        <f>IF($B444="","",IF(INDEX(Dossiers!$F$4:$F$63,9)="","",INDEX(Dossiers!$F$4:$F$63,9)))</f>
        <v/>
      </c>
      <c r="K444" s="29">
        <f>IF($B444="","",IF(INDEX(Dossiers!$G$4:$G$63,9)="","",INDEX(Dossiers!$G$4:$G$63,9)))</f>
        <v/>
      </c>
    </row>
    <row r="445">
      <c r="A445">
        <f>IF($B445="","",INDEX(Dossiers!$E$4:$E$63,9))</f>
        <v/>
      </c>
      <c r="B445">
        <f>IF(INDEX(Suivi!$B:$B,454)="","",INDEX(Suivi!$B:$B,454))</f>
        <v/>
      </c>
      <c r="C445">
        <f>IF($B445="","",IF(INDEX(Suivi!$D:$D,454)="",INDEX(Suivi!$C:$C,454),INDEX(Suivi!$D:$D,454)))</f>
        <v/>
      </c>
      <c r="D445" s="29">
        <f>IF($B445="","",INDEX(Suivi!$E:$E,454))</f>
        <v/>
      </c>
      <c r="E445" s="29">
        <f>IF($B445="","",INDEX(Suivi!$F:$F,454))</f>
        <v/>
      </c>
      <c r="F445">
        <f>IF($B445="","",INDEX(Suivi!$G:$G,454))</f>
        <v/>
      </c>
      <c r="H445">
        <f>IF(OR($B445="",NOT(ISNUMBER($D445))),"",IF($E445&lt;$D$2,"Passé",IF($D445&gt;$F$2,"À venir","Dans la période")))</f>
        <v/>
      </c>
      <c r="I445">
        <f>IF(OR($B445="",NOT(ISNUMBER($D445))),"",IF(AND($E445&lt;$D$2,$G445&lt;&gt;"X",$F445&lt;&gt;"Réalisé",$F445&lt;&gt;"Clôturé"),"RETARD",""))</f>
        <v/>
      </c>
      <c r="J445" s="29">
        <f>IF($B445="","",IF(INDEX(Dossiers!$F$4:$F$63,9)="","",INDEX(Dossiers!$F$4:$F$63,9)))</f>
        <v/>
      </c>
      <c r="K445" s="29">
        <f>IF($B445="","",IF(INDEX(Dossiers!$G$4:$G$63,9)="","",INDEX(Dossiers!$G$4:$G$63,9)))</f>
        <v/>
      </c>
    </row>
    <row r="446">
      <c r="A446">
        <f>IF($B446="","",INDEX(Dossiers!$E$4:$E$63,9))</f>
        <v/>
      </c>
      <c r="B446">
        <f>IF(INDEX(Suivi!$B:$B,455)="","",INDEX(Suivi!$B:$B,455))</f>
        <v/>
      </c>
      <c r="C446">
        <f>IF($B446="","",IF(INDEX(Suivi!$D:$D,455)="",INDEX(Suivi!$C:$C,455),INDEX(Suivi!$D:$D,455)))</f>
        <v/>
      </c>
      <c r="D446" s="29">
        <f>IF($B446="","",INDEX(Suivi!$E:$E,455))</f>
        <v/>
      </c>
      <c r="E446" s="29">
        <f>IF($B446="","",INDEX(Suivi!$F:$F,455))</f>
        <v/>
      </c>
      <c r="F446">
        <f>IF($B446="","",INDEX(Suivi!$G:$G,455))</f>
        <v/>
      </c>
      <c r="H446">
        <f>IF(OR($B446="",NOT(ISNUMBER($D446))),"",IF($E446&lt;$D$2,"Passé",IF($D446&gt;$F$2,"À venir","Dans la période")))</f>
        <v/>
      </c>
      <c r="I446">
        <f>IF(OR($B446="",NOT(ISNUMBER($D446))),"",IF(AND($E446&lt;$D$2,$G446&lt;&gt;"X",$F446&lt;&gt;"Réalisé",$F446&lt;&gt;"Clôturé"),"RETARD",""))</f>
        <v/>
      </c>
      <c r="J446" s="29">
        <f>IF($B446="","",IF(INDEX(Dossiers!$F$4:$F$63,9)="","",INDEX(Dossiers!$F$4:$F$63,9)))</f>
        <v/>
      </c>
      <c r="K446" s="29">
        <f>IF($B446="","",IF(INDEX(Dossiers!$G$4:$G$63,9)="","",INDEX(Dossiers!$G$4:$G$63,9)))</f>
        <v/>
      </c>
    </row>
    <row r="447">
      <c r="A447">
        <f>IF($B447="","",INDEX(Dossiers!$E$4:$E$63,9))</f>
        <v/>
      </c>
      <c r="B447">
        <f>IF(INDEX(Suivi!$B:$B,456)="","",INDEX(Suivi!$B:$B,456))</f>
        <v/>
      </c>
      <c r="C447">
        <f>IF($B447="","",IF(INDEX(Suivi!$D:$D,456)="",INDEX(Suivi!$C:$C,456),INDEX(Suivi!$D:$D,456)))</f>
        <v/>
      </c>
      <c r="D447" s="29">
        <f>IF($B447="","",INDEX(Suivi!$E:$E,456))</f>
        <v/>
      </c>
      <c r="E447" s="29">
        <f>IF($B447="","",INDEX(Suivi!$F:$F,456))</f>
        <v/>
      </c>
      <c r="F447">
        <f>IF($B447="","",INDEX(Suivi!$G:$G,456))</f>
        <v/>
      </c>
      <c r="H447">
        <f>IF(OR($B447="",NOT(ISNUMBER($D447))),"",IF($E447&lt;$D$2,"Passé",IF($D447&gt;$F$2,"À venir","Dans la période")))</f>
        <v/>
      </c>
      <c r="I447">
        <f>IF(OR($B447="",NOT(ISNUMBER($D447))),"",IF(AND($E447&lt;$D$2,$G447&lt;&gt;"X",$F447&lt;&gt;"Réalisé",$F447&lt;&gt;"Clôturé"),"RETARD",""))</f>
        <v/>
      </c>
      <c r="J447" s="29">
        <f>IF($B447="","",IF(INDEX(Dossiers!$F$4:$F$63,9)="","",INDEX(Dossiers!$F$4:$F$63,9)))</f>
        <v/>
      </c>
      <c r="K447" s="29">
        <f>IF($B447="","",IF(INDEX(Dossiers!$G$4:$G$63,9)="","",INDEX(Dossiers!$G$4:$G$63,9)))</f>
        <v/>
      </c>
    </row>
    <row r="448">
      <c r="A448">
        <f>IF($B448="","",INDEX(Dossiers!$E$4:$E$63,9))</f>
        <v/>
      </c>
      <c r="B448">
        <f>IF(INDEX(Suivi!$B:$B,457)="","",INDEX(Suivi!$B:$B,457))</f>
        <v/>
      </c>
      <c r="C448">
        <f>IF($B448="","",IF(INDEX(Suivi!$D:$D,457)="",INDEX(Suivi!$C:$C,457),INDEX(Suivi!$D:$D,457)))</f>
        <v/>
      </c>
      <c r="D448" s="29">
        <f>IF($B448="","",INDEX(Suivi!$E:$E,457))</f>
        <v/>
      </c>
      <c r="E448" s="29">
        <f>IF($B448="","",INDEX(Suivi!$F:$F,457))</f>
        <v/>
      </c>
      <c r="F448">
        <f>IF($B448="","",INDEX(Suivi!$G:$G,457))</f>
        <v/>
      </c>
      <c r="H448">
        <f>IF(OR($B448="",NOT(ISNUMBER($D448))),"",IF($E448&lt;$D$2,"Passé",IF($D448&gt;$F$2,"À venir","Dans la période")))</f>
        <v/>
      </c>
      <c r="I448">
        <f>IF(OR($B448="",NOT(ISNUMBER($D448))),"",IF(AND($E448&lt;$D$2,$G448&lt;&gt;"X",$F448&lt;&gt;"Réalisé",$F448&lt;&gt;"Clôturé"),"RETARD",""))</f>
        <v/>
      </c>
      <c r="J448" s="29">
        <f>IF($B448="","",IF(INDEX(Dossiers!$F$4:$F$63,9)="","",INDEX(Dossiers!$F$4:$F$63,9)))</f>
        <v/>
      </c>
      <c r="K448" s="29">
        <f>IF($B448="","",IF(INDEX(Dossiers!$G$4:$G$63,9)="","",INDEX(Dossiers!$G$4:$G$63,9)))</f>
        <v/>
      </c>
    </row>
    <row r="449">
      <c r="A449">
        <f>IF($B449="","",INDEX(Dossiers!$E$4:$E$63,9))</f>
        <v/>
      </c>
      <c r="B449">
        <f>IF(INDEX(Suivi!$B:$B,458)="","",INDEX(Suivi!$B:$B,458))</f>
        <v/>
      </c>
      <c r="C449">
        <f>IF($B449="","",IF(INDEX(Suivi!$D:$D,458)="",INDEX(Suivi!$C:$C,458),INDEX(Suivi!$D:$D,458)))</f>
        <v/>
      </c>
      <c r="D449" s="29">
        <f>IF($B449="","",INDEX(Suivi!$E:$E,458))</f>
        <v/>
      </c>
      <c r="E449" s="29">
        <f>IF($B449="","",INDEX(Suivi!$F:$F,458))</f>
        <v/>
      </c>
      <c r="F449">
        <f>IF($B449="","",INDEX(Suivi!$G:$G,458))</f>
        <v/>
      </c>
      <c r="H449">
        <f>IF(OR($B449="",NOT(ISNUMBER($D449))),"",IF($E449&lt;$D$2,"Passé",IF($D449&gt;$F$2,"À venir","Dans la période")))</f>
        <v/>
      </c>
      <c r="I449">
        <f>IF(OR($B449="",NOT(ISNUMBER($D449))),"",IF(AND($E449&lt;$D$2,$G449&lt;&gt;"X",$F449&lt;&gt;"Réalisé",$F449&lt;&gt;"Clôturé"),"RETARD",""))</f>
        <v/>
      </c>
      <c r="J449" s="29">
        <f>IF($B449="","",IF(INDEX(Dossiers!$F$4:$F$63,9)="","",INDEX(Dossiers!$F$4:$F$63,9)))</f>
        <v/>
      </c>
      <c r="K449" s="29">
        <f>IF($B449="","",IF(INDEX(Dossiers!$G$4:$G$63,9)="","",INDEX(Dossiers!$G$4:$G$63,9)))</f>
        <v/>
      </c>
    </row>
    <row r="450">
      <c r="A450">
        <f>IF($B450="","",INDEX(Dossiers!$E$4:$E$63,9))</f>
        <v/>
      </c>
      <c r="B450">
        <f>IF(INDEX(Suivi!$B:$B,459)="","",INDEX(Suivi!$B:$B,459))</f>
        <v/>
      </c>
      <c r="C450">
        <f>IF($B450="","",IF(INDEX(Suivi!$D:$D,459)="",INDEX(Suivi!$C:$C,459),INDEX(Suivi!$D:$D,459)))</f>
        <v/>
      </c>
      <c r="D450" s="29">
        <f>IF($B450="","",INDEX(Suivi!$E:$E,459))</f>
        <v/>
      </c>
      <c r="E450" s="29">
        <f>IF($B450="","",INDEX(Suivi!$F:$F,459))</f>
        <v/>
      </c>
      <c r="F450">
        <f>IF($B450="","",INDEX(Suivi!$G:$G,459))</f>
        <v/>
      </c>
      <c r="H450">
        <f>IF(OR($B450="",NOT(ISNUMBER($D450))),"",IF($E450&lt;$D$2,"Passé",IF($D450&gt;$F$2,"À venir","Dans la période")))</f>
        <v/>
      </c>
      <c r="I450">
        <f>IF(OR($B450="",NOT(ISNUMBER($D450))),"",IF(AND($E450&lt;$D$2,$G450&lt;&gt;"X",$F450&lt;&gt;"Réalisé",$F450&lt;&gt;"Clôturé"),"RETARD",""))</f>
        <v/>
      </c>
      <c r="J450" s="29">
        <f>IF($B450="","",IF(INDEX(Dossiers!$F$4:$F$63,9)="","",INDEX(Dossiers!$F$4:$F$63,9)))</f>
        <v/>
      </c>
      <c r="K450" s="29">
        <f>IF($B450="","",IF(INDEX(Dossiers!$G$4:$G$63,9)="","",INDEX(Dossiers!$G$4:$G$63,9)))</f>
        <v/>
      </c>
    </row>
    <row r="451">
      <c r="A451">
        <f>IF($B451="","",INDEX(Dossiers!$E$4:$E$63,9))</f>
        <v/>
      </c>
      <c r="B451">
        <f>IF(INDEX(Suivi!$B:$B,460)="","",INDEX(Suivi!$B:$B,460))</f>
        <v/>
      </c>
      <c r="C451">
        <f>IF($B451="","",IF(INDEX(Suivi!$D:$D,460)="",INDEX(Suivi!$C:$C,460),INDEX(Suivi!$D:$D,460)))</f>
        <v/>
      </c>
      <c r="D451" s="29">
        <f>IF($B451="","",INDEX(Suivi!$E:$E,460))</f>
        <v/>
      </c>
      <c r="E451" s="29">
        <f>IF($B451="","",INDEX(Suivi!$F:$F,460))</f>
        <v/>
      </c>
      <c r="F451">
        <f>IF($B451="","",INDEX(Suivi!$G:$G,460))</f>
        <v/>
      </c>
      <c r="H451">
        <f>IF(OR($B451="",NOT(ISNUMBER($D451))),"",IF($E451&lt;$D$2,"Passé",IF($D451&gt;$F$2,"À venir","Dans la période")))</f>
        <v/>
      </c>
      <c r="I451">
        <f>IF(OR($B451="",NOT(ISNUMBER($D451))),"",IF(AND($E451&lt;$D$2,$G451&lt;&gt;"X",$F451&lt;&gt;"Réalisé",$F451&lt;&gt;"Clôturé"),"RETARD",""))</f>
        <v/>
      </c>
      <c r="J451" s="29">
        <f>IF($B451="","",IF(INDEX(Dossiers!$F$4:$F$63,9)="","",INDEX(Dossiers!$F$4:$F$63,9)))</f>
        <v/>
      </c>
      <c r="K451" s="29">
        <f>IF($B451="","",IF(INDEX(Dossiers!$G$4:$G$63,9)="","",INDEX(Dossiers!$G$4:$G$63,9)))</f>
        <v/>
      </c>
    </row>
    <row r="452">
      <c r="A452">
        <f>IF($B452="","",INDEX(Dossiers!$E$4:$E$63,9))</f>
        <v/>
      </c>
      <c r="B452">
        <f>IF(INDEX(Suivi!$B:$B,461)="","",INDEX(Suivi!$B:$B,461))</f>
        <v/>
      </c>
      <c r="C452">
        <f>IF($B452="","",IF(INDEX(Suivi!$D:$D,461)="",INDEX(Suivi!$C:$C,461),INDEX(Suivi!$D:$D,461)))</f>
        <v/>
      </c>
      <c r="D452" s="29">
        <f>IF($B452="","",INDEX(Suivi!$E:$E,461))</f>
        <v/>
      </c>
      <c r="E452" s="29">
        <f>IF($B452="","",INDEX(Suivi!$F:$F,461))</f>
        <v/>
      </c>
      <c r="F452">
        <f>IF($B452="","",INDEX(Suivi!$G:$G,461))</f>
        <v/>
      </c>
      <c r="H452">
        <f>IF(OR($B452="",NOT(ISNUMBER($D452))),"",IF($E452&lt;$D$2,"Passé",IF($D452&gt;$F$2,"À venir","Dans la période")))</f>
        <v/>
      </c>
      <c r="I452">
        <f>IF(OR($B452="",NOT(ISNUMBER($D452))),"",IF(AND($E452&lt;$D$2,$G452&lt;&gt;"X",$F452&lt;&gt;"Réalisé",$F452&lt;&gt;"Clôturé"),"RETARD",""))</f>
        <v/>
      </c>
      <c r="J452" s="29">
        <f>IF($B452="","",IF(INDEX(Dossiers!$F$4:$F$63,9)="","",INDEX(Dossiers!$F$4:$F$63,9)))</f>
        <v/>
      </c>
      <c r="K452" s="29">
        <f>IF($B452="","",IF(INDEX(Dossiers!$G$4:$G$63,9)="","",INDEX(Dossiers!$G$4:$G$63,9)))</f>
        <v/>
      </c>
    </row>
    <row r="453">
      <c r="A453">
        <f>IF($B453="","",INDEX(Dossiers!$E$4:$E$63,9))</f>
        <v/>
      </c>
      <c r="B453">
        <f>IF(INDEX(Suivi!$B:$B,462)="","",INDEX(Suivi!$B:$B,462))</f>
        <v/>
      </c>
      <c r="C453">
        <f>IF($B453="","",IF(INDEX(Suivi!$D:$D,462)="",INDEX(Suivi!$C:$C,462),INDEX(Suivi!$D:$D,462)))</f>
        <v/>
      </c>
      <c r="D453" s="29">
        <f>IF($B453="","",INDEX(Suivi!$E:$E,462))</f>
        <v/>
      </c>
      <c r="E453" s="29">
        <f>IF($B453="","",INDEX(Suivi!$F:$F,462))</f>
        <v/>
      </c>
      <c r="F453">
        <f>IF($B453="","",INDEX(Suivi!$G:$G,462))</f>
        <v/>
      </c>
      <c r="H453">
        <f>IF(OR($B453="",NOT(ISNUMBER($D453))),"",IF($E453&lt;$D$2,"Passé",IF($D453&gt;$F$2,"À venir","Dans la période")))</f>
        <v/>
      </c>
      <c r="I453">
        <f>IF(OR($B453="",NOT(ISNUMBER($D453))),"",IF(AND($E453&lt;$D$2,$G453&lt;&gt;"X",$F453&lt;&gt;"Réalisé",$F453&lt;&gt;"Clôturé"),"RETARD",""))</f>
        <v/>
      </c>
      <c r="J453" s="29">
        <f>IF($B453="","",IF(INDEX(Dossiers!$F$4:$F$63,9)="","",INDEX(Dossiers!$F$4:$F$63,9)))</f>
        <v/>
      </c>
      <c r="K453" s="29">
        <f>IF($B453="","",IF(INDEX(Dossiers!$G$4:$G$63,9)="","",INDEX(Dossiers!$G$4:$G$63,9)))</f>
        <v/>
      </c>
    </row>
    <row r="454">
      <c r="A454">
        <f>IF($B454="","",INDEX(Dossiers!$E$4:$E$63,9))</f>
        <v/>
      </c>
      <c r="B454">
        <f>IF(INDEX(Suivi!$B:$B,463)="","",INDEX(Suivi!$B:$B,463))</f>
        <v/>
      </c>
      <c r="C454">
        <f>IF($B454="","",IF(INDEX(Suivi!$D:$D,463)="",INDEX(Suivi!$C:$C,463),INDEX(Suivi!$D:$D,463)))</f>
        <v/>
      </c>
      <c r="D454" s="29">
        <f>IF($B454="","",INDEX(Suivi!$E:$E,463))</f>
        <v/>
      </c>
      <c r="E454" s="29">
        <f>IF($B454="","",INDEX(Suivi!$F:$F,463))</f>
        <v/>
      </c>
      <c r="F454">
        <f>IF($B454="","",INDEX(Suivi!$G:$G,463))</f>
        <v/>
      </c>
      <c r="H454">
        <f>IF(OR($B454="",NOT(ISNUMBER($D454))),"",IF($E454&lt;$D$2,"Passé",IF($D454&gt;$F$2,"À venir","Dans la période")))</f>
        <v/>
      </c>
      <c r="I454">
        <f>IF(OR($B454="",NOT(ISNUMBER($D454))),"",IF(AND($E454&lt;$D$2,$G454&lt;&gt;"X",$F454&lt;&gt;"Réalisé",$F454&lt;&gt;"Clôturé"),"RETARD",""))</f>
        <v/>
      </c>
      <c r="J454" s="29">
        <f>IF($B454="","",IF(INDEX(Dossiers!$F$4:$F$63,9)="","",INDEX(Dossiers!$F$4:$F$63,9)))</f>
        <v/>
      </c>
      <c r="K454" s="29">
        <f>IF($B454="","",IF(INDEX(Dossiers!$G$4:$G$63,9)="","",INDEX(Dossiers!$G$4:$G$63,9)))</f>
        <v/>
      </c>
    </row>
    <row r="455">
      <c r="A455">
        <f>IF($B455="","",INDEX(Dossiers!$E$4:$E$63,9))</f>
        <v/>
      </c>
      <c r="B455">
        <f>IF(INDEX(Suivi!$B:$B,464)="","",INDEX(Suivi!$B:$B,464))</f>
        <v/>
      </c>
      <c r="C455">
        <f>IF($B455="","",IF(INDEX(Suivi!$D:$D,464)="",INDEX(Suivi!$C:$C,464),INDEX(Suivi!$D:$D,464)))</f>
        <v/>
      </c>
      <c r="D455" s="29">
        <f>IF($B455="","",INDEX(Suivi!$E:$E,464))</f>
        <v/>
      </c>
      <c r="E455" s="29">
        <f>IF($B455="","",INDEX(Suivi!$F:$F,464))</f>
        <v/>
      </c>
      <c r="F455">
        <f>IF($B455="","",INDEX(Suivi!$G:$G,464))</f>
        <v/>
      </c>
      <c r="H455">
        <f>IF(OR($B455="",NOT(ISNUMBER($D455))),"",IF($E455&lt;$D$2,"Passé",IF($D455&gt;$F$2,"À venir","Dans la période")))</f>
        <v/>
      </c>
      <c r="I455">
        <f>IF(OR($B455="",NOT(ISNUMBER($D455))),"",IF(AND($E455&lt;$D$2,$G455&lt;&gt;"X",$F455&lt;&gt;"Réalisé",$F455&lt;&gt;"Clôturé"),"RETARD",""))</f>
        <v/>
      </c>
      <c r="J455" s="29">
        <f>IF($B455="","",IF(INDEX(Dossiers!$F$4:$F$63,9)="","",INDEX(Dossiers!$F$4:$F$63,9)))</f>
        <v/>
      </c>
      <c r="K455" s="29">
        <f>IF($B455="","",IF(INDEX(Dossiers!$G$4:$G$63,9)="","",INDEX(Dossiers!$G$4:$G$63,9)))</f>
        <v/>
      </c>
    </row>
    <row r="456">
      <c r="A456">
        <f>IF($B456="","",INDEX(Dossiers!$E$4:$E$63,9))</f>
        <v/>
      </c>
      <c r="B456">
        <f>IF(INDEX(Suivi!$B:$B,465)="","",INDEX(Suivi!$B:$B,465))</f>
        <v/>
      </c>
      <c r="C456">
        <f>IF($B456="","",IF(INDEX(Suivi!$D:$D,465)="",INDEX(Suivi!$C:$C,465),INDEX(Suivi!$D:$D,465)))</f>
        <v/>
      </c>
      <c r="D456" s="29">
        <f>IF($B456="","",INDEX(Suivi!$E:$E,465))</f>
        <v/>
      </c>
      <c r="E456" s="29">
        <f>IF($B456="","",INDEX(Suivi!$F:$F,465))</f>
        <v/>
      </c>
      <c r="F456">
        <f>IF($B456="","",INDEX(Suivi!$G:$G,465))</f>
        <v/>
      </c>
      <c r="H456">
        <f>IF(OR($B456="",NOT(ISNUMBER($D456))),"",IF($E456&lt;$D$2,"Passé",IF($D456&gt;$F$2,"À venir","Dans la période")))</f>
        <v/>
      </c>
      <c r="I456">
        <f>IF(OR($B456="",NOT(ISNUMBER($D456))),"",IF(AND($E456&lt;$D$2,$G456&lt;&gt;"X",$F456&lt;&gt;"Réalisé",$F456&lt;&gt;"Clôturé"),"RETARD",""))</f>
        <v/>
      </c>
      <c r="J456" s="29">
        <f>IF($B456="","",IF(INDEX(Dossiers!$F$4:$F$63,9)="","",INDEX(Dossiers!$F$4:$F$63,9)))</f>
        <v/>
      </c>
      <c r="K456" s="29">
        <f>IF($B456="","",IF(INDEX(Dossiers!$G$4:$G$63,9)="","",INDEX(Dossiers!$G$4:$G$63,9)))</f>
        <v/>
      </c>
    </row>
    <row r="457">
      <c r="A457">
        <f>IF($B457="","",INDEX(Dossiers!$E$4:$E$63,9))</f>
        <v/>
      </c>
      <c r="B457">
        <f>IF(INDEX(Suivi!$B:$B,466)="","",INDEX(Suivi!$B:$B,466))</f>
        <v/>
      </c>
      <c r="C457">
        <f>IF($B457="","",IF(INDEX(Suivi!$D:$D,466)="",INDEX(Suivi!$C:$C,466),INDEX(Suivi!$D:$D,466)))</f>
        <v/>
      </c>
      <c r="D457" s="29">
        <f>IF($B457="","",INDEX(Suivi!$E:$E,466))</f>
        <v/>
      </c>
      <c r="E457" s="29">
        <f>IF($B457="","",INDEX(Suivi!$F:$F,466))</f>
        <v/>
      </c>
      <c r="F457">
        <f>IF($B457="","",INDEX(Suivi!$G:$G,466))</f>
        <v/>
      </c>
      <c r="H457">
        <f>IF(OR($B457="",NOT(ISNUMBER($D457))),"",IF($E457&lt;$D$2,"Passé",IF($D457&gt;$F$2,"À venir","Dans la période")))</f>
        <v/>
      </c>
      <c r="I457">
        <f>IF(OR($B457="",NOT(ISNUMBER($D457))),"",IF(AND($E457&lt;$D$2,$G457&lt;&gt;"X",$F457&lt;&gt;"Réalisé",$F457&lt;&gt;"Clôturé"),"RETARD",""))</f>
        <v/>
      </c>
      <c r="J457" s="29">
        <f>IF($B457="","",IF(INDEX(Dossiers!$F$4:$F$63,9)="","",INDEX(Dossiers!$F$4:$F$63,9)))</f>
        <v/>
      </c>
      <c r="K457" s="29">
        <f>IF($B457="","",IF(INDEX(Dossiers!$G$4:$G$63,9)="","",INDEX(Dossiers!$G$4:$G$63,9)))</f>
        <v/>
      </c>
    </row>
    <row r="458">
      <c r="A458">
        <f>IF($B458="","",INDEX(Dossiers!$E$4:$E$63,9))</f>
        <v/>
      </c>
      <c r="B458">
        <f>IF(INDEX(Suivi!$B:$B,467)="","",INDEX(Suivi!$B:$B,467))</f>
        <v/>
      </c>
      <c r="C458">
        <f>IF($B458="","",IF(INDEX(Suivi!$D:$D,467)="",INDEX(Suivi!$C:$C,467),INDEX(Suivi!$D:$D,467)))</f>
        <v/>
      </c>
      <c r="D458" s="29">
        <f>IF($B458="","",INDEX(Suivi!$E:$E,467))</f>
        <v/>
      </c>
      <c r="E458" s="29">
        <f>IF($B458="","",INDEX(Suivi!$F:$F,467))</f>
        <v/>
      </c>
      <c r="F458">
        <f>IF($B458="","",INDEX(Suivi!$G:$G,467))</f>
        <v/>
      </c>
      <c r="H458">
        <f>IF(OR($B458="",NOT(ISNUMBER($D458))),"",IF($E458&lt;$D$2,"Passé",IF($D458&gt;$F$2,"À venir","Dans la période")))</f>
        <v/>
      </c>
      <c r="I458">
        <f>IF(OR($B458="",NOT(ISNUMBER($D458))),"",IF(AND($E458&lt;$D$2,$G458&lt;&gt;"X",$F458&lt;&gt;"Réalisé",$F458&lt;&gt;"Clôturé"),"RETARD",""))</f>
        <v/>
      </c>
      <c r="J458" s="29">
        <f>IF($B458="","",IF(INDEX(Dossiers!$F$4:$F$63,9)="","",INDEX(Dossiers!$F$4:$F$63,9)))</f>
        <v/>
      </c>
      <c r="K458" s="29">
        <f>IF($B458="","",IF(INDEX(Dossiers!$G$4:$G$63,9)="","",INDEX(Dossiers!$G$4:$G$63,9)))</f>
        <v/>
      </c>
    </row>
    <row r="459">
      <c r="A459">
        <f>IF($B459="","",INDEX(Dossiers!$E$4:$E$63,9))</f>
        <v/>
      </c>
      <c r="B459">
        <f>IF(INDEX(Suivi!$B:$B,468)="","",INDEX(Suivi!$B:$B,468))</f>
        <v/>
      </c>
      <c r="C459">
        <f>IF($B459="","",IF(INDEX(Suivi!$D:$D,468)="",INDEX(Suivi!$C:$C,468),INDEX(Suivi!$D:$D,468)))</f>
        <v/>
      </c>
      <c r="D459" s="29">
        <f>IF($B459="","",INDEX(Suivi!$E:$E,468))</f>
        <v/>
      </c>
      <c r="E459" s="29">
        <f>IF($B459="","",INDEX(Suivi!$F:$F,468))</f>
        <v/>
      </c>
      <c r="F459">
        <f>IF($B459="","",INDEX(Suivi!$G:$G,468))</f>
        <v/>
      </c>
      <c r="H459">
        <f>IF(OR($B459="",NOT(ISNUMBER($D459))),"",IF($E459&lt;$D$2,"Passé",IF($D459&gt;$F$2,"À venir","Dans la période")))</f>
        <v/>
      </c>
      <c r="I459">
        <f>IF(OR($B459="",NOT(ISNUMBER($D459))),"",IF(AND($E459&lt;$D$2,$G459&lt;&gt;"X",$F459&lt;&gt;"Réalisé",$F459&lt;&gt;"Clôturé"),"RETARD",""))</f>
        <v/>
      </c>
      <c r="J459" s="29">
        <f>IF($B459="","",IF(INDEX(Dossiers!$F$4:$F$63,9)="","",INDEX(Dossiers!$F$4:$F$63,9)))</f>
        <v/>
      </c>
      <c r="K459" s="29">
        <f>IF($B459="","",IF(INDEX(Dossiers!$G$4:$G$63,9)="","",INDEX(Dossiers!$G$4:$G$63,9)))</f>
        <v/>
      </c>
    </row>
    <row r="460">
      <c r="A460">
        <f>IF($B460="","",INDEX(Dossiers!$E$4:$E$63,9))</f>
        <v/>
      </c>
      <c r="B460">
        <f>IF(INDEX(Suivi!$B:$B,469)="","",INDEX(Suivi!$B:$B,469))</f>
        <v/>
      </c>
      <c r="C460">
        <f>IF($B460="","",IF(INDEX(Suivi!$D:$D,469)="",INDEX(Suivi!$C:$C,469),INDEX(Suivi!$D:$D,469)))</f>
        <v/>
      </c>
      <c r="D460" s="29">
        <f>IF($B460="","",INDEX(Suivi!$E:$E,469))</f>
        <v/>
      </c>
      <c r="E460" s="29">
        <f>IF($B460="","",INDEX(Suivi!$F:$F,469))</f>
        <v/>
      </c>
      <c r="F460">
        <f>IF($B460="","",INDEX(Suivi!$G:$G,469))</f>
        <v/>
      </c>
      <c r="H460">
        <f>IF(OR($B460="",NOT(ISNUMBER($D460))),"",IF($E460&lt;$D$2,"Passé",IF($D460&gt;$F$2,"À venir","Dans la période")))</f>
        <v/>
      </c>
      <c r="I460">
        <f>IF(OR($B460="",NOT(ISNUMBER($D460))),"",IF(AND($E460&lt;$D$2,$G460&lt;&gt;"X",$F460&lt;&gt;"Réalisé",$F460&lt;&gt;"Clôturé"),"RETARD",""))</f>
        <v/>
      </c>
      <c r="J460" s="29">
        <f>IF($B460="","",IF(INDEX(Dossiers!$F$4:$F$63,9)="","",INDEX(Dossiers!$F$4:$F$63,9)))</f>
        <v/>
      </c>
      <c r="K460" s="29">
        <f>IF($B460="","",IF(INDEX(Dossiers!$G$4:$G$63,9)="","",INDEX(Dossiers!$G$4:$G$63,9)))</f>
        <v/>
      </c>
    </row>
    <row r="461">
      <c r="A461">
        <f>IF($B461="","",INDEX(Dossiers!$E$4:$E$63,9))</f>
        <v/>
      </c>
      <c r="B461">
        <f>IF(INDEX(Suivi!$B:$B,470)="","",INDEX(Suivi!$B:$B,470))</f>
        <v/>
      </c>
      <c r="C461">
        <f>IF($B461="","",IF(INDEX(Suivi!$D:$D,470)="",INDEX(Suivi!$C:$C,470),INDEX(Suivi!$D:$D,470)))</f>
        <v/>
      </c>
      <c r="D461" s="29">
        <f>IF($B461="","",INDEX(Suivi!$E:$E,470))</f>
        <v/>
      </c>
      <c r="E461" s="29">
        <f>IF($B461="","",INDEX(Suivi!$F:$F,470))</f>
        <v/>
      </c>
      <c r="F461">
        <f>IF($B461="","",INDEX(Suivi!$G:$G,470))</f>
        <v/>
      </c>
      <c r="H461">
        <f>IF(OR($B461="",NOT(ISNUMBER($D461))),"",IF($E461&lt;$D$2,"Passé",IF($D461&gt;$F$2,"À venir","Dans la période")))</f>
        <v/>
      </c>
      <c r="I461">
        <f>IF(OR($B461="",NOT(ISNUMBER($D461))),"",IF(AND($E461&lt;$D$2,$G461&lt;&gt;"X",$F461&lt;&gt;"Réalisé",$F461&lt;&gt;"Clôturé"),"RETARD",""))</f>
        <v/>
      </c>
      <c r="J461" s="29">
        <f>IF($B461="","",IF(INDEX(Dossiers!$F$4:$F$63,9)="","",INDEX(Dossiers!$F$4:$F$63,9)))</f>
        <v/>
      </c>
      <c r="K461" s="29">
        <f>IF($B461="","",IF(INDEX(Dossiers!$G$4:$G$63,9)="","",INDEX(Dossiers!$G$4:$G$63,9)))</f>
        <v/>
      </c>
    </row>
    <row r="462">
      <c r="A462">
        <f>IF($B462="","",INDEX(Dossiers!$E$4:$E$63,9))</f>
        <v/>
      </c>
      <c r="B462">
        <f>IF(INDEX(Suivi!$B:$B,471)="","",INDEX(Suivi!$B:$B,471))</f>
        <v/>
      </c>
      <c r="C462">
        <f>IF($B462="","",IF(INDEX(Suivi!$D:$D,471)="",INDEX(Suivi!$C:$C,471),INDEX(Suivi!$D:$D,471)))</f>
        <v/>
      </c>
      <c r="D462" s="29">
        <f>IF($B462="","",INDEX(Suivi!$E:$E,471))</f>
        <v/>
      </c>
      <c r="E462" s="29">
        <f>IF($B462="","",INDEX(Suivi!$F:$F,471))</f>
        <v/>
      </c>
      <c r="F462">
        <f>IF($B462="","",INDEX(Suivi!$G:$G,471))</f>
        <v/>
      </c>
      <c r="H462">
        <f>IF(OR($B462="",NOT(ISNUMBER($D462))),"",IF($E462&lt;$D$2,"Passé",IF($D462&gt;$F$2,"À venir","Dans la période")))</f>
        <v/>
      </c>
      <c r="I462">
        <f>IF(OR($B462="",NOT(ISNUMBER($D462))),"",IF(AND($E462&lt;$D$2,$G462&lt;&gt;"X",$F462&lt;&gt;"Réalisé",$F462&lt;&gt;"Clôturé"),"RETARD",""))</f>
        <v/>
      </c>
      <c r="J462" s="29">
        <f>IF($B462="","",IF(INDEX(Dossiers!$F$4:$F$63,9)="","",INDEX(Dossiers!$F$4:$F$63,9)))</f>
        <v/>
      </c>
      <c r="K462" s="29">
        <f>IF($B462="","",IF(INDEX(Dossiers!$G$4:$G$63,9)="","",INDEX(Dossiers!$G$4:$G$63,9)))</f>
        <v/>
      </c>
    </row>
    <row r="463">
      <c r="A463">
        <f>IF($B463="","",INDEX(Dossiers!$E$4:$E$63,9))</f>
        <v/>
      </c>
      <c r="B463">
        <f>IF(INDEX(Suivi!$B:$B,472)="","",INDEX(Suivi!$B:$B,472))</f>
        <v/>
      </c>
      <c r="C463">
        <f>IF($B463="","",IF(INDEX(Suivi!$D:$D,472)="",INDEX(Suivi!$C:$C,472),INDEX(Suivi!$D:$D,472)))</f>
        <v/>
      </c>
      <c r="D463" s="29">
        <f>IF($B463="","",INDEX(Suivi!$E:$E,472))</f>
        <v/>
      </c>
      <c r="E463" s="29">
        <f>IF($B463="","",INDEX(Suivi!$F:$F,472))</f>
        <v/>
      </c>
      <c r="F463">
        <f>IF($B463="","",INDEX(Suivi!$G:$G,472))</f>
        <v/>
      </c>
      <c r="H463">
        <f>IF(OR($B463="",NOT(ISNUMBER($D463))),"",IF($E463&lt;$D$2,"Passé",IF($D463&gt;$F$2,"À venir","Dans la période")))</f>
        <v/>
      </c>
      <c r="I463">
        <f>IF(OR($B463="",NOT(ISNUMBER($D463))),"",IF(AND($E463&lt;$D$2,$G463&lt;&gt;"X",$F463&lt;&gt;"Réalisé",$F463&lt;&gt;"Clôturé"),"RETARD",""))</f>
        <v/>
      </c>
      <c r="J463" s="29">
        <f>IF($B463="","",IF(INDEX(Dossiers!$F$4:$F$63,9)="","",INDEX(Dossiers!$F$4:$F$63,9)))</f>
        <v/>
      </c>
      <c r="K463" s="29">
        <f>IF($B463="","",IF(INDEX(Dossiers!$G$4:$G$63,9)="","",INDEX(Dossiers!$G$4:$G$63,9)))</f>
        <v/>
      </c>
    </row>
    <row r="464">
      <c r="A464">
        <f>IF($B464="","",INDEX(Dossiers!$E$4:$E$63,9))</f>
        <v/>
      </c>
      <c r="B464">
        <f>IF(INDEX(Suivi!$B:$B,473)="","",INDEX(Suivi!$B:$B,473))</f>
        <v/>
      </c>
      <c r="C464">
        <f>IF($B464="","",IF(INDEX(Suivi!$D:$D,473)="",INDEX(Suivi!$C:$C,473),INDEX(Suivi!$D:$D,473)))</f>
        <v/>
      </c>
      <c r="D464" s="29">
        <f>IF($B464="","",INDEX(Suivi!$E:$E,473))</f>
        <v/>
      </c>
      <c r="E464" s="29">
        <f>IF($B464="","",INDEX(Suivi!$F:$F,473))</f>
        <v/>
      </c>
      <c r="F464">
        <f>IF($B464="","",INDEX(Suivi!$G:$G,473))</f>
        <v/>
      </c>
      <c r="H464">
        <f>IF(OR($B464="",NOT(ISNUMBER($D464))),"",IF($E464&lt;$D$2,"Passé",IF($D464&gt;$F$2,"À venir","Dans la période")))</f>
        <v/>
      </c>
      <c r="I464">
        <f>IF(OR($B464="",NOT(ISNUMBER($D464))),"",IF(AND($E464&lt;$D$2,$G464&lt;&gt;"X",$F464&lt;&gt;"Réalisé",$F464&lt;&gt;"Clôturé"),"RETARD",""))</f>
        <v/>
      </c>
      <c r="J464" s="29">
        <f>IF($B464="","",IF(INDEX(Dossiers!$F$4:$F$63,9)="","",INDEX(Dossiers!$F$4:$F$63,9)))</f>
        <v/>
      </c>
      <c r="K464" s="29">
        <f>IF($B464="","",IF(INDEX(Dossiers!$G$4:$G$63,9)="","",INDEX(Dossiers!$G$4:$G$63,9)))</f>
        <v/>
      </c>
    </row>
    <row r="465">
      <c r="A465">
        <f>IF($B465="","",INDEX(Dossiers!$E$4:$E$63,9))</f>
        <v/>
      </c>
      <c r="B465">
        <f>IF(INDEX(Suivi!$B:$B,474)="","",INDEX(Suivi!$B:$B,474))</f>
        <v/>
      </c>
      <c r="C465">
        <f>IF($B465="","",IF(INDEX(Suivi!$D:$D,474)="",INDEX(Suivi!$C:$C,474),INDEX(Suivi!$D:$D,474)))</f>
        <v/>
      </c>
      <c r="D465" s="29">
        <f>IF($B465="","",INDEX(Suivi!$E:$E,474))</f>
        <v/>
      </c>
      <c r="E465" s="29">
        <f>IF($B465="","",INDEX(Suivi!$F:$F,474))</f>
        <v/>
      </c>
      <c r="F465">
        <f>IF($B465="","",INDEX(Suivi!$G:$G,474))</f>
        <v/>
      </c>
      <c r="H465">
        <f>IF(OR($B465="",NOT(ISNUMBER($D465))),"",IF($E465&lt;$D$2,"Passé",IF($D465&gt;$F$2,"À venir","Dans la période")))</f>
        <v/>
      </c>
      <c r="I465">
        <f>IF(OR($B465="",NOT(ISNUMBER($D465))),"",IF(AND($E465&lt;$D$2,$G465&lt;&gt;"X",$F465&lt;&gt;"Réalisé",$F465&lt;&gt;"Clôturé"),"RETARD",""))</f>
        <v/>
      </c>
      <c r="J465" s="29">
        <f>IF($B465="","",IF(INDEX(Dossiers!$F$4:$F$63,9)="","",INDEX(Dossiers!$F$4:$F$63,9)))</f>
        <v/>
      </c>
      <c r="K465" s="29">
        <f>IF($B465="","",IF(INDEX(Dossiers!$G$4:$G$63,9)="","",INDEX(Dossiers!$G$4:$G$63,9)))</f>
        <v/>
      </c>
    </row>
    <row r="466">
      <c r="A466">
        <f>IF($B466="","",INDEX(Dossiers!$E$4:$E$63,9))</f>
        <v/>
      </c>
      <c r="B466">
        <f>IF(INDEX(Suivi!$B:$B,475)="","",INDEX(Suivi!$B:$B,475))</f>
        <v/>
      </c>
      <c r="C466">
        <f>IF($B466="","",IF(INDEX(Suivi!$D:$D,475)="",INDEX(Suivi!$C:$C,475),INDEX(Suivi!$D:$D,475)))</f>
        <v/>
      </c>
      <c r="D466" s="29">
        <f>IF($B466="","",INDEX(Suivi!$E:$E,475))</f>
        <v/>
      </c>
      <c r="E466" s="29">
        <f>IF($B466="","",INDEX(Suivi!$F:$F,475))</f>
        <v/>
      </c>
      <c r="F466">
        <f>IF($B466="","",INDEX(Suivi!$G:$G,475))</f>
        <v/>
      </c>
      <c r="H466">
        <f>IF(OR($B466="",NOT(ISNUMBER($D466))),"",IF($E466&lt;$D$2,"Passé",IF($D466&gt;$F$2,"À venir","Dans la période")))</f>
        <v/>
      </c>
      <c r="I466">
        <f>IF(OR($B466="",NOT(ISNUMBER($D466))),"",IF(AND($E466&lt;$D$2,$G466&lt;&gt;"X",$F466&lt;&gt;"Réalisé",$F466&lt;&gt;"Clôturé"),"RETARD",""))</f>
        <v/>
      </c>
      <c r="J466" s="29">
        <f>IF($B466="","",IF(INDEX(Dossiers!$F$4:$F$63,9)="","",INDEX(Dossiers!$F$4:$F$63,9)))</f>
        <v/>
      </c>
      <c r="K466" s="29">
        <f>IF($B466="","",IF(INDEX(Dossiers!$G$4:$G$63,9)="","",INDEX(Dossiers!$G$4:$G$63,9)))</f>
        <v/>
      </c>
    </row>
    <row r="467">
      <c r="A467">
        <f>IF($B467="","",INDEX(Dossiers!$E$4:$E$63,9))</f>
        <v/>
      </c>
      <c r="B467">
        <f>IF(INDEX(Suivi!$B:$B,476)="","",INDEX(Suivi!$B:$B,476))</f>
        <v/>
      </c>
      <c r="C467">
        <f>IF($B467="","",IF(INDEX(Suivi!$D:$D,476)="",INDEX(Suivi!$C:$C,476),INDEX(Suivi!$D:$D,476)))</f>
        <v/>
      </c>
      <c r="D467" s="29">
        <f>IF($B467="","",INDEX(Suivi!$E:$E,476))</f>
        <v/>
      </c>
      <c r="E467" s="29">
        <f>IF($B467="","",INDEX(Suivi!$F:$F,476))</f>
        <v/>
      </c>
      <c r="F467">
        <f>IF($B467="","",INDEX(Suivi!$G:$G,476))</f>
        <v/>
      </c>
      <c r="H467">
        <f>IF(OR($B467="",NOT(ISNUMBER($D467))),"",IF($E467&lt;$D$2,"Passé",IF($D467&gt;$F$2,"À venir","Dans la période")))</f>
        <v/>
      </c>
      <c r="I467">
        <f>IF(OR($B467="",NOT(ISNUMBER($D467))),"",IF(AND($E467&lt;$D$2,$G467&lt;&gt;"X",$F467&lt;&gt;"Réalisé",$F467&lt;&gt;"Clôturé"),"RETARD",""))</f>
        <v/>
      </c>
      <c r="J467" s="29">
        <f>IF($B467="","",IF(INDEX(Dossiers!$F$4:$F$63,9)="","",INDEX(Dossiers!$F$4:$F$63,9)))</f>
        <v/>
      </c>
      <c r="K467" s="29">
        <f>IF($B467="","",IF(INDEX(Dossiers!$G$4:$G$63,9)="","",INDEX(Dossiers!$G$4:$G$63,9)))</f>
        <v/>
      </c>
    </row>
    <row r="468">
      <c r="A468">
        <f>IF($B468="","",INDEX(Dossiers!$E$4:$E$63,9))</f>
        <v/>
      </c>
      <c r="B468">
        <f>IF(INDEX(Suivi!$B:$B,477)="","",INDEX(Suivi!$B:$B,477))</f>
        <v/>
      </c>
      <c r="C468">
        <f>IF($B468="","",IF(INDEX(Suivi!$D:$D,477)="",INDEX(Suivi!$C:$C,477),INDEX(Suivi!$D:$D,477)))</f>
        <v/>
      </c>
      <c r="D468" s="29">
        <f>IF($B468="","",INDEX(Suivi!$E:$E,477))</f>
        <v/>
      </c>
      <c r="E468" s="29">
        <f>IF($B468="","",INDEX(Suivi!$F:$F,477))</f>
        <v/>
      </c>
      <c r="F468">
        <f>IF($B468="","",INDEX(Suivi!$G:$G,477))</f>
        <v/>
      </c>
      <c r="H468">
        <f>IF(OR($B468="",NOT(ISNUMBER($D468))),"",IF($E468&lt;$D$2,"Passé",IF($D468&gt;$F$2,"À venir","Dans la période")))</f>
        <v/>
      </c>
      <c r="I468">
        <f>IF(OR($B468="",NOT(ISNUMBER($D468))),"",IF(AND($E468&lt;$D$2,$G468&lt;&gt;"X",$F468&lt;&gt;"Réalisé",$F468&lt;&gt;"Clôturé"),"RETARD",""))</f>
        <v/>
      </c>
      <c r="J468" s="29">
        <f>IF($B468="","",IF(INDEX(Dossiers!$F$4:$F$63,9)="","",INDEX(Dossiers!$F$4:$F$63,9)))</f>
        <v/>
      </c>
      <c r="K468" s="29">
        <f>IF($B468="","",IF(INDEX(Dossiers!$G$4:$G$63,9)="","",INDEX(Dossiers!$G$4:$G$63,9)))</f>
        <v/>
      </c>
    </row>
    <row r="469">
      <c r="A469">
        <f>IF($B469="","",INDEX(Dossiers!$E$4:$E$63,9))</f>
        <v/>
      </c>
      <c r="B469">
        <f>IF(INDEX(Suivi!$B:$B,478)="","",INDEX(Suivi!$B:$B,478))</f>
        <v/>
      </c>
      <c r="C469">
        <f>IF($B469="","",IF(INDEX(Suivi!$D:$D,478)="",INDEX(Suivi!$C:$C,478),INDEX(Suivi!$D:$D,478)))</f>
        <v/>
      </c>
      <c r="D469" s="29">
        <f>IF($B469="","",INDEX(Suivi!$E:$E,478))</f>
        <v/>
      </c>
      <c r="E469" s="29">
        <f>IF($B469="","",INDEX(Suivi!$F:$F,478))</f>
        <v/>
      </c>
      <c r="F469">
        <f>IF($B469="","",INDEX(Suivi!$G:$G,478))</f>
        <v/>
      </c>
      <c r="H469">
        <f>IF(OR($B469="",NOT(ISNUMBER($D469))),"",IF($E469&lt;$D$2,"Passé",IF($D469&gt;$F$2,"À venir","Dans la période")))</f>
        <v/>
      </c>
      <c r="I469">
        <f>IF(OR($B469="",NOT(ISNUMBER($D469))),"",IF(AND($E469&lt;$D$2,$G469&lt;&gt;"X",$F469&lt;&gt;"Réalisé",$F469&lt;&gt;"Clôturé"),"RETARD",""))</f>
        <v/>
      </c>
      <c r="J469" s="29">
        <f>IF($B469="","",IF(INDEX(Dossiers!$F$4:$F$63,9)="","",INDEX(Dossiers!$F$4:$F$63,9)))</f>
        <v/>
      </c>
      <c r="K469" s="29">
        <f>IF($B469="","",IF(INDEX(Dossiers!$G$4:$G$63,9)="","",INDEX(Dossiers!$G$4:$G$63,9)))</f>
        <v/>
      </c>
    </row>
    <row r="470">
      <c r="A470">
        <f>IF($B470="","",INDEX(Dossiers!$E$4:$E$63,9))</f>
        <v/>
      </c>
      <c r="B470">
        <f>IF(INDEX(Suivi!$B:$B,479)="","",INDEX(Suivi!$B:$B,479))</f>
        <v/>
      </c>
      <c r="C470">
        <f>IF($B470="","",IF(INDEX(Suivi!$D:$D,479)="",INDEX(Suivi!$C:$C,479),INDEX(Suivi!$D:$D,479)))</f>
        <v/>
      </c>
      <c r="D470" s="29">
        <f>IF($B470="","",INDEX(Suivi!$E:$E,479))</f>
        <v/>
      </c>
      <c r="E470" s="29">
        <f>IF($B470="","",INDEX(Suivi!$F:$F,479))</f>
        <v/>
      </c>
      <c r="F470">
        <f>IF($B470="","",INDEX(Suivi!$G:$G,479))</f>
        <v/>
      </c>
      <c r="H470">
        <f>IF(OR($B470="",NOT(ISNUMBER($D470))),"",IF($E470&lt;$D$2,"Passé",IF($D470&gt;$F$2,"À venir","Dans la période")))</f>
        <v/>
      </c>
      <c r="I470">
        <f>IF(OR($B470="",NOT(ISNUMBER($D470))),"",IF(AND($E470&lt;$D$2,$G470&lt;&gt;"X",$F470&lt;&gt;"Réalisé",$F470&lt;&gt;"Clôturé"),"RETARD",""))</f>
        <v/>
      </c>
      <c r="J470" s="29">
        <f>IF($B470="","",IF(INDEX(Dossiers!$F$4:$F$63,9)="","",INDEX(Dossiers!$F$4:$F$63,9)))</f>
        <v/>
      </c>
      <c r="K470" s="29">
        <f>IF($B470="","",IF(INDEX(Dossiers!$G$4:$G$63,9)="","",INDEX(Dossiers!$G$4:$G$63,9)))</f>
        <v/>
      </c>
    </row>
    <row r="471">
      <c r="A471">
        <f>IF($B471="","",INDEX(Dossiers!$E$4:$E$63,9))</f>
        <v/>
      </c>
      <c r="B471">
        <f>IF(INDEX(Suivi!$B:$B,480)="","",INDEX(Suivi!$B:$B,480))</f>
        <v/>
      </c>
      <c r="C471">
        <f>IF($B471="","",IF(INDEX(Suivi!$D:$D,480)="",INDEX(Suivi!$C:$C,480),INDEX(Suivi!$D:$D,480)))</f>
        <v/>
      </c>
      <c r="D471" s="29">
        <f>IF($B471="","",INDEX(Suivi!$E:$E,480))</f>
        <v/>
      </c>
      <c r="E471" s="29">
        <f>IF($B471="","",INDEX(Suivi!$F:$F,480))</f>
        <v/>
      </c>
      <c r="F471">
        <f>IF($B471="","",INDEX(Suivi!$G:$G,480))</f>
        <v/>
      </c>
      <c r="H471">
        <f>IF(OR($B471="",NOT(ISNUMBER($D471))),"",IF($E471&lt;$D$2,"Passé",IF($D471&gt;$F$2,"À venir","Dans la période")))</f>
        <v/>
      </c>
      <c r="I471">
        <f>IF(OR($B471="",NOT(ISNUMBER($D471))),"",IF(AND($E471&lt;$D$2,$G471&lt;&gt;"X",$F471&lt;&gt;"Réalisé",$F471&lt;&gt;"Clôturé"),"RETARD",""))</f>
        <v/>
      </c>
      <c r="J471" s="29">
        <f>IF($B471="","",IF(INDEX(Dossiers!$F$4:$F$63,9)="","",INDEX(Dossiers!$F$4:$F$63,9)))</f>
        <v/>
      </c>
      <c r="K471" s="29">
        <f>IF($B471="","",IF(INDEX(Dossiers!$G$4:$G$63,9)="","",INDEX(Dossiers!$G$4:$G$63,9)))</f>
        <v/>
      </c>
    </row>
    <row r="472">
      <c r="A472">
        <f>IF($B472="","",INDEX(Dossiers!$E$4:$E$63,9))</f>
        <v/>
      </c>
      <c r="B472">
        <f>IF(INDEX(Suivi!$B:$B,481)="","",INDEX(Suivi!$B:$B,481))</f>
        <v/>
      </c>
      <c r="C472">
        <f>IF($B472="","",IF(INDEX(Suivi!$D:$D,481)="",INDEX(Suivi!$C:$C,481),INDEX(Suivi!$D:$D,481)))</f>
        <v/>
      </c>
      <c r="D472" s="29">
        <f>IF($B472="","",INDEX(Suivi!$E:$E,481))</f>
        <v/>
      </c>
      <c r="E472" s="29">
        <f>IF($B472="","",INDEX(Suivi!$F:$F,481))</f>
        <v/>
      </c>
      <c r="F472">
        <f>IF($B472="","",INDEX(Suivi!$G:$G,481))</f>
        <v/>
      </c>
      <c r="H472">
        <f>IF(OR($B472="",NOT(ISNUMBER($D472))),"",IF($E472&lt;$D$2,"Passé",IF($D472&gt;$F$2,"À venir","Dans la période")))</f>
        <v/>
      </c>
      <c r="I472">
        <f>IF(OR($B472="",NOT(ISNUMBER($D472))),"",IF(AND($E472&lt;$D$2,$G472&lt;&gt;"X",$F472&lt;&gt;"Réalisé",$F472&lt;&gt;"Clôturé"),"RETARD",""))</f>
        <v/>
      </c>
      <c r="J472" s="29">
        <f>IF($B472="","",IF(INDEX(Dossiers!$F$4:$F$63,9)="","",INDEX(Dossiers!$F$4:$F$63,9)))</f>
        <v/>
      </c>
      <c r="K472" s="29">
        <f>IF($B472="","",IF(INDEX(Dossiers!$G$4:$G$63,9)="","",INDEX(Dossiers!$G$4:$G$63,9)))</f>
        <v/>
      </c>
    </row>
    <row r="473">
      <c r="A473">
        <f>IF($B473="","",INDEX(Dossiers!$E$4:$E$63,9))</f>
        <v/>
      </c>
      <c r="B473">
        <f>IF(INDEX(Suivi!$B:$B,482)="","",INDEX(Suivi!$B:$B,482))</f>
        <v/>
      </c>
      <c r="C473">
        <f>IF($B473="","",IF(INDEX(Suivi!$D:$D,482)="",INDEX(Suivi!$C:$C,482),INDEX(Suivi!$D:$D,482)))</f>
        <v/>
      </c>
      <c r="D473" s="29">
        <f>IF($B473="","",INDEX(Suivi!$E:$E,482))</f>
        <v/>
      </c>
      <c r="E473" s="29">
        <f>IF($B473="","",INDEX(Suivi!$F:$F,482))</f>
        <v/>
      </c>
      <c r="F473">
        <f>IF($B473="","",INDEX(Suivi!$G:$G,482))</f>
        <v/>
      </c>
      <c r="H473">
        <f>IF(OR($B473="",NOT(ISNUMBER($D473))),"",IF($E473&lt;$D$2,"Passé",IF($D473&gt;$F$2,"À venir","Dans la période")))</f>
        <v/>
      </c>
      <c r="I473">
        <f>IF(OR($B473="",NOT(ISNUMBER($D473))),"",IF(AND($E473&lt;$D$2,$G473&lt;&gt;"X",$F473&lt;&gt;"Réalisé",$F473&lt;&gt;"Clôturé"),"RETARD",""))</f>
        <v/>
      </c>
      <c r="J473" s="29">
        <f>IF($B473="","",IF(INDEX(Dossiers!$F$4:$F$63,9)="","",INDEX(Dossiers!$F$4:$F$63,9)))</f>
        <v/>
      </c>
      <c r="K473" s="29">
        <f>IF($B473="","",IF(INDEX(Dossiers!$G$4:$G$63,9)="","",INDEX(Dossiers!$G$4:$G$63,9)))</f>
        <v/>
      </c>
    </row>
    <row r="474">
      <c r="A474">
        <f>IF($B474="","",INDEX(Dossiers!$E$4:$E$63,9))</f>
        <v/>
      </c>
      <c r="B474">
        <f>IF(INDEX(Suivi!$B:$B,483)="","",INDEX(Suivi!$B:$B,483))</f>
        <v/>
      </c>
      <c r="C474">
        <f>IF($B474="","",IF(INDEX(Suivi!$D:$D,483)="",INDEX(Suivi!$C:$C,483),INDEX(Suivi!$D:$D,483)))</f>
        <v/>
      </c>
      <c r="D474" s="29">
        <f>IF($B474="","",INDEX(Suivi!$E:$E,483))</f>
        <v/>
      </c>
      <c r="E474" s="29">
        <f>IF($B474="","",INDEX(Suivi!$F:$F,483))</f>
        <v/>
      </c>
      <c r="F474">
        <f>IF($B474="","",INDEX(Suivi!$G:$G,483))</f>
        <v/>
      </c>
      <c r="H474">
        <f>IF(OR($B474="",NOT(ISNUMBER($D474))),"",IF($E474&lt;$D$2,"Passé",IF($D474&gt;$F$2,"À venir","Dans la période")))</f>
        <v/>
      </c>
      <c r="I474">
        <f>IF(OR($B474="",NOT(ISNUMBER($D474))),"",IF(AND($E474&lt;$D$2,$G474&lt;&gt;"X",$F474&lt;&gt;"Réalisé",$F474&lt;&gt;"Clôturé"),"RETARD",""))</f>
        <v/>
      </c>
      <c r="J474" s="29">
        <f>IF($B474="","",IF(INDEX(Dossiers!$F$4:$F$63,9)="","",INDEX(Dossiers!$F$4:$F$63,9)))</f>
        <v/>
      </c>
      <c r="K474" s="29">
        <f>IF($B474="","",IF(INDEX(Dossiers!$G$4:$G$63,9)="","",INDEX(Dossiers!$G$4:$G$63,9)))</f>
        <v/>
      </c>
    </row>
    <row r="475">
      <c r="A475">
        <f>IF($B475="","",INDEX(Dossiers!$E$4:$E$63,9))</f>
        <v/>
      </c>
      <c r="B475">
        <f>IF(INDEX(Suivi!$B:$B,484)="","",INDEX(Suivi!$B:$B,484))</f>
        <v/>
      </c>
      <c r="C475">
        <f>IF($B475="","",IF(INDEX(Suivi!$D:$D,484)="",INDEX(Suivi!$C:$C,484),INDEX(Suivi!$D:$D,484)))</f>
        <v/>
      </c>
      <c r="D475" s="29">
        <f>IF($B475="","",INDEX(Suivi!$E:$E,484))</f>
        <v/>
      </c>
      <c r="E475" s="29">
        <f>IF($B475="","",INDEX(Suivi!$F:$F,484))</f>
        <v/>
      </c>
      <c r="F475">
        <f>IF($B475="","",INDEX(Suivi!$G:$G,484))</f>
        <v/>
      </c>
      <c r="H475">
        <f>IF(OR($B475="",NOT(ISNUMBER($D475))),"",IF($E475&lt;$D$2,"Passé",IF($D475&gt;$F$2,"À venir","Dans la période")))</f>
        <v/>
      </c>
      <c r="I475">
        <f>IF(OR($B475="",NOT(ISNUMBER($D475))),"",IF(AND($E475&lt;$D$2,$G475&lt;&gt;"X",$F475&lt;&gt;"Réalisé",$F475&lt;&gt;"Clôturé"),"RETARD",""))</f>
        <v/>
      </c>
      <c r="J475" s="29">
        <f>IF($B475="","",IF(INDEX(Dossiers!$F$4:$F$63,9)="","",INDEX(Dossiers!$F$4:$F$63,9)))</f>
        <v/>
      </c>
      <c r="K475" s="29">
        <f>IF($B475="","",IF(INDEX(Dossiers!$G$4:$G$63,9)="","",INDEX(Dossiers!$G$4:$G$63,9)))</f>
        <v/>
      </c>
    </row>
    <row r="476">
      <c r="A476">
        <f>IF($B476="","",INDEX(Dossiers!$E$4:$E$63,9))</f>
        <v/>
      </c>
      <c r="B476">
        <f>IF(INDEX(Suivi!$B:$B,485)="","",INDEX(Suivi!$B:$B,485))</f>
        <v/>
      </c>
      <c r="C476">
        <f>IF($B476="","",IF(INDEX(Suivi!$D:$D,485)="",INDEX(Suivi!$C:$C,485),INDEX(Suivi!$D:$D,485)))</f>
        <v/>
      </c>
      <c r="D476" s="29">
        <f>IF($B476="","",INDEX(Suivi!$E:$E,485))</f>
        <v/>
      </c>
      <c r="E476" s="29">
        <f>IF($B476="","",INDEX(Suivi!$F:$F,485))</f>
        <v/>
      </c>
      <c r="F476">
        <f>IF($B476="","",INDEX(Suivi!$G:$G,485))</f>
        <v/>
      </c>
      <c r="H476">
        <f>IF(OR($B476="",NOT(ISNUMBER($D476))),"",IF($E476&lt;$D$2,"Passé",IF($D476&gt;$F$2,"À venir","Dans la période")))</f>
        <v/>
      </c>
      <c r="I476">
        <f>IF(OR($B476="",NOT(ISNUMBER($D476))),"",IF(AND($E476&lt;$D$2,$G476&lt;&gt;"X",$F476&lt;&gt;"Réalisé",$F476&lt;&gt;"Clôturé"),"RETARD",""))</f>
        <v/>
      </c>
      <c r="J476" s="29">
        <f>IF($B476="","",IF(INDEX(Dossiers!$F$4:$F$63,9)="","",INDEX(Dossiers!$F$4:$F$63,9)))</f>
        <v/>
      </c>
      <c r="K476" s="29">
        <f>IF($B476="","",IF(INDEX(Dossiers!$G$4:$G$63,9)="","",INDEX(Dossiers!$G$4:$G$63,9)))</f>
        <v/>
      </c>
    </row>
    <row r="477">
      <c r="A477">
        <f>IF($B477="","",INDEX(Dossiers!$E$4:$E$63,9))</f>
        <v/>
      </c>
      <c r="B477">
        <f>IF(INDEX(Suivi!$B:$B,486)="","",INDEX(Suivi!$B:$B,486))</f>
        <v/>
      </c>
      <c r="C477">
        <f>IF($B477="","",IF(INDEX(Suivi!$D:$D,486)="",INDEX(Suivi!$C:$C,486),INDEX(Suivi!$D:$D,486)))</f>
        <v/>
      </c>
      <c r="D477" s="29">
        <f>IF($B477="","",INDEX(Suivi!$E:$E,486))</f>
        <v/>
      </c>
      <c r="E477" s="29">
        <f>IF($B477="","",INDEX(Suivi!$F:$F,486))</f>
        <v/>
      </c>
      <c r="F477">
        <f>IF($B477="","",INDEX(Suivi!$G:$G,486))</f>
        <v/>
      </c>
      <c r="H477">
        <f>IF(OR($B477="",NOT(ISNUMBER($D477))),"",IF($E477&lt;$D$2,"Passé",IF($D477&gt;$F$2,"À venir","Dans la période")))</f>
        <v/>
      </c>
      <c r="I477">
        <f>IF(OR($B477="",NOT(ISNUMBER($D477))),"",IF(AND($E477&lt;$D$2,$G477&lt;&gt;"X",$F477&lt;&gt;"Réalisé",$F477&lt;&gt;"Clôturé"),"RETARD",""))</f>
        <v/>
      </c>
      <c r="J477" s="29">
        <f>IF($B477="","",IF(INDEX(Dossiers!$F$4:$F$63,9)="","",INDEX(Dossiers!$F$4:$F$63,9)))</f>
        <v/>
      </c>
      <c r="K477" s="29">
        <f>IF($B477="","",IF(INDEX(Dossiers!$G$4:$G$63,9)="","",INDEX(Dossiers!$G$4:$G$63,9)))</f>
        <v/>
      </c>
    </row>
    <row r="478">
      <c r="A478">
        <f>IF($B478="","",INDEX(Dossiers!$E$4:$E$63,9))</f>
        <v/>
      </c>
      <c r="B478">
        <f>IF(INDEX(Suivi!$B:$B,487)="","",INDEX(Suivi!$B:$B,487))</f>
        <v/>
      </c>
      <c r="C478">
        <f>IF($B478="","",IF(INDEX(Suivi!$D:$D,487)="",INDEX(Suivi!$C:$C,487),INDEX(Suivi!$D:$D,487)))</f>
        <v/>
      </c>
      <c r="D478" s="29">
        <f>IF($B478="","",INDEX(Suivi!$E:$E,487))</f>
        <v/>
      </c>
      <c r="E478" s="29">
        <f>IF($B478="","",INDEX(Suivi!$F:$F,487))</f>
        <v/>
      </c>
      <c r="F478">
        <f>IF($B478="","",INDEX(Suivi!$G:$G,487))</f>
        <v/>
      </c>
      <c r="H478">
        <f>IF(OR($B478="",NOT(ISNUMBER($D478))),"",IF($E478&lt;$D$2,"Passé",IF($D478&gt;$F$2,"À venir","Dans la période")))</f>
        <v/>
      </c>
      <c r="I478">
        <f>IF(OR($B478="",NOT(ISNUMBER($D478))),"",IF(AND($E478&lt;$D$2,$G478&lt;&gt;"X",$F478&lt;&gt;"Réalisé",$F478&lt;&gt;"Clôturé"),"RETARD",""))</f>
        <v/>
      </c>
      <c r="J478" s="29">
        <f>IF($B478="","",IF(INDEX(Dossiers!$F$4:$F$63,9)="","",INDEX(Dossiers!$F$4:$F$63,9)))</f>
        <v/>
      </c>
      <c r="K478" s="29">
        <f>IF($B478="","",IF(INDEX(Dossiers!$G$4:$G$63,9)="","",INDEX(Dossiers!$G$4:$G$63,9)))</f>
        <v/>
      </c>
    </row>
    <row r="479">
      <c r="A479">
        <f>IF($B479="","",INDEX(Dossiers!$E$4:$E$63,9))</f>
        <v/>
      </c>
      <c r="B479">
        <f>IF(INDEX(Suivi!$B:$B,488)="","",INDEX(Suivi!$B:$B,488))</f>
        <v/>
      </c>
      <c r="C479">
        <f>IF($B479="","",IF(INDEX(Suivi!$D:$D,488)="",INDEX(Suivi!$C:$C,488),INDEX(Suivi!$D:$D,488)))</f>
        <v/>
      </c>
      <c r="D479" s="29">
        <f>IF($B479="","",INDEX(Suivi!$E:$E,488))</f>
        <v/>
      </c>
      <c r="E479" s="29">
        <f>IF($B479="","",INDEX(Suivi!$F:$F,488))</f>
        <v/>
      </c>
      <c r="F479">
        <f>IF($B479="","",INDEX(Suivi!$G:$G,488))</f>
        <v/>
      </c>
      <c r="H479">
        <f>IF(OR($B479="",NOT(ISNUMBER($D479))),"",IF($E479&lt;$D$2,"Passé",IF($D479&gt;$F$2,"À venir","Dans la période")))</f>
        <v/>
      </c>
      <c r="I479">
        <f>IF(OR($B479="",NOT(ISNUMBER($D479))),"",IF(AND($E479&lt;$D$2,$G479&lt;&gt;"X",$F479&lt;&gt;"Réalisé",$F479&lt;&gt;"Clôturé"),"RETARD",""))</f>
        <v/>
      </c>
      <c r="J479" s="29">
        <f>IF($B479="","",IF(INDEX(Dossiers!$F$4:$F$63,9)="","",INDEX(Dossiers!$F$4:$F$63,9)))</f>
        <v/>
      </c>
      <c r="K479" s="29">
        <f>IF($B479="","",IF(INDEX(Dossiers!$G$4:$G$63,9)="","",INDEX(Dossiers!$G$4:$G$63,9)))</f>
        <v/>
      </c>
    </row>
    <row r="480">
      <c r="A480">
        <f>IF($B480="","",INDEX(Dossiers!$E$4:$E$63,9))</f>
        <v/>
      </c>
      <c r="B480">
        <f>IF(INDEX(Suivi!$B:$B,489)="","",INDEX(Suivi!$B:$B,489))</f>
        <v/>
      </c>
      <c r="C480">
        <f>IF($B480="","",IF(INDEX(Suivi!$D:$D,489)="",INDEX(Suivi!$C:$C,489),INDEX(Suivi!$D:$D,489)))</f>
        <v/>
      </c>
      <c r="D480" s="29">
        <f>IF($B480="","",INDEX(Suivi!$E:$E,489))</f>
        <v/>
      </c>
      <c r="E480" s="29">
        <f>IF($B480="","",INDEX(Suivi!$F:$F,489))</f>
        <v/>
      </c>
      <c r="F480">
        <f>IF($B480="","",INDEX(Suivi!$G:$G,489))</f>
        <v/>
      </c>
      <c r="H480">
        <f>IF(OR($B480="",NOT(ISNUMBER($D480))),"",IF($E480&lt;$D$2,"Passé",IF($D480&gt;$F$2,"À venir","Dans la période")))</f>
        <v/>
      </c>
      <c r="I480">
        <f>IF(OR($B480="",NOT(ISNUMBER($D480))),"",IF(AND($E480&lt;$D$2,$G480&lt;&gt;"X",$F480&lt;&gt;"Réalisé",$F480&lt;&gt;"Clôturé"),"RETARD",""))</f>
        <v/>
      </c>
      <c r="J480" s="29">
        <f>IF($B480="","",IF(INDEX(Dossiers!$F$4:$F$63,9)="","",INDEX(Dossiers!$F$4:$F$63,9)))</f>
        <v/>
      </c>
      <c r="K480" s="29">
        <f>IF($B480="","",IF(INDEX(Dossiers!$G$4:$G$63,9)="","",INDEX(Dossiers!$G$4:$G$63,9)))</f>
        <v/>
      </c>
    </row>
    <row r="481">
      <c r="A481">
        <f>IF($B481="","",INDEX(Dossiers!$E$4:$E$63,10))</f>
        <v/>
      </c>
      <c r="B481">
        <f>IF(INDEX(Suivi!$B:$B,491)="","",INDEX(Suivi!$B:$B,491))</f>
        <v/>
      </c>
      <c r="C481">
        <f>IF($B481="","",IF(INDEX(Suivi!$D:$D,491)="",INDEX(Suivi!$C:$C,491),INDEX(Suivi!$D:$D,491)))</f>
        <v/>
      </c>
      <c r="D481" s="29">
        <f>IF($B481="","",INDEX(Suivi!$E:$E,491))</f>
        <v/>
      </c>
      <c r="E481" s="29">
        <f>IF($B481="","",INDEX(Suivi!$F:$F,491))</f>
        <v/>
      </c>
      <c r="F481">
        <f>IF($B481="","",INDEX(Suivi!$G:$G,491))</f>
        <v/>
      </c>
      <c r="H481">
        <f>IF(OR($B481="",NOT(ISNUMBER($D481))),"",IF($E481&lt;$D$2,"Passé",IF($D481&gt;$F$2,"À venir","Dans la période")))</f>
        <v/>
      </c>
      <c r="I481">
        <f>IF(OR($B481="",NOT(ISNUMBER($D481))),"",IF(AND($E481&lt;$D$2,$G481&lt;&gt;"X",$F481&lt;&gt;"Réalisé",$F481&lt;&gt;"Clôturé"),"RETARD",""))</f>
        <v/>
      </c>
      <c r="J481" s="29">
        <f>IF($B481="","",IF(INDEX(Dossiers!$F$4:$F$63,10)="","",INDEX(Dossiers!$F$4:$F$63,10)))</f>
        <v/>
      </c>
      <c r="K481" s="29">
        <f>IF($B481="","",IF(INDEX(Dossiers!$G$4:$G$63,10)="","",INDEX(Dossiers!$G$4:$G$63,10)))</f>
        <v/>
      </c>
    </row>
    <row r="482">
      <c r="A482">
        <f>IF($B482="","",INDEX(Dossiers!$E$4:$E$63,10))</f>
        <v/>
      </c>
      <c r="B482">
        <f>IF(INDEX(Suivi!$B:$B,492)="","",INDEX(Suivi!$B:$B,492))</f>
        <v/>
      </c>
      <c r="C482">
        <f>IF($B482="","",IF(INDEX(Suivi!$D:$D,492)="",INDEX(Suivi!$C:$C,492),INDEX(Suivi!$D:$D,492)))</f>
        <v/>
      </c>
      <c r="D482" s="29">
        <f>IF($B482="","",INDEX(Suivi!$E:$E,492))</f>
        <v/>
      </c>
      <c r="E482" s="29">
        <f>IF($B482="","",INDEX(Suivi!$F:$F,492))</f>
        <v/>
      </c>
      <c r="F482">
        <f>IF($B482="","",INDEX(Suivi!$G:$G,492))</f>
        <v/>
      </c>
      <c r="H482">
        <f>IF(OR($B482="",NOT(ISNUMBER($D482))),"",IF($E482&lt;$D$2,"Passé",IF($D482&gt;$F$2,"À venir","Dans la période")))</f>
        <v/>
      </c>
      <c r="I482">
        <f>IF(OR($B482="",NOT(ISNUMBER($D482))),"",IF(AND($E482&lt;$D$2,$G482&lt;&gt;"X",$F482&lt;&gt;"Réalisé",$F482&lt;&gt;"Clôturé"),"RETARD",""))</f>
        <v/>
      </c>
      <c r="J482" s="29">
        <f>IF($B482="","",IF(INDEX(Dossiers!$F$4:$F$63,10)="","",INDEX(Dossiers!$F$4:$F$63,10)))</f>
        <v/>
      </c>
      <c r="K482" s="29">
        <f>IF($B482="","",IF(INDEX(Dossiers!$G$4:$G$63,10)="","",INDEX(Dossiers!$G$4:$G$63,10)))</f>
        <v/>
      </c>
    </row>
    <row r="483">
      <c r="A483">
        <f>IF($B483="","",INDEX(Dossiers!$E$4:$E$63,10))</f>
        <v/>
      </c>
      <c r="B483">
        <f>IF(INDEX(Suivi!$B:$B,493)="","",INDEX(Suivi!$B:$B,493))</f>
        <v/>
      </c>
      <c r="C483">
        <f>IF($B483="","",IF(INDEX(Suivi!$D:$D,493)="",INDEX(Suivi!$C:$C,493),INDEX(Suivi!$D:$D,493)))</f>
        <v/>
      </c>
      <c r="D483" s="29">
        <f>IF($B483="","",INDEX(Suivi!$E:$E,493))</f>
        <v/>
      </c>
      <c r="E483" s="29">
        <f>IF($B483="","",INDEX(Suivi!$F:$F,493))</f>
        <v/>
      </c>
      <c r="F483">
        <f>IF($B483="","",INDEX(Suivi!$G:$G,493))</f>
        <v/>
      </c>
      <c r="H483">
        <f>IF(OR($B483="",NOT(ISNUMBER($D483))),"",IF($E483&lt;$D$2,"Passé",IF($D483&gt;$F$2,"À venir","Dans la période")))</f>
        <v/>
      </c>
      <c r="I483">
        <f>IF(OR($B483="",NOT(ISNUMBER($D483))),"",IF(AND($E483&lt;$D$2,$G483&lt;&gt;"X",$F483&lt;&gt;"Réalisé",$F483&lt;&gt;"Clôturé"),"RETARD",""))</f>
        <v/>
      </c>
      <c r="J483" s="29">
        <f>IF($B483="","",IF(INDEX(Dossiers!$F$4:$F$63,10)="","",INDEX(Dossiers!$F$4:$F$63,10)))</f>
        <v/>
      </c>
      <c r="K483" s="29">
        <f>IF($B483="","",IF(INDEX(Dossiers!$G$4:$G$63,10)="","",INDEX(Dossiers!$G$4:$G$63,10)))</f>
        <v/>
      </c>
    </row>
    <row r="484">
      <c r="A484">
        <f>IF($B484="","",INDEX(Dossiers!$E$4:$E$63,10))</f>
        <v/>
      </c>
      <c r="B484">
        <f>IF(INDEX(Suivi!$B:$B,494)="","",INDEX(Suivi!$B:$B,494))</f>
        <v/>
      </c>
      <c r="C484">
        <f>IF($B484="","",IF(INDEX(Suivi!$D:$D,494)="",INDEX(Suivi!$C:$C,494),INDEX(Suivi!$D:$D,494)))</f>
        <v/>
      </c>
      <c r="D484" s="29">
        <f>IF($B484="","",INDEX(Suivi!$E:$E,494))</f>
        <v/>
      </c>
      <c r="E484" s="29">
        <f>IF($B484="","",INDEX(Suivi!$F:$F,494))</f>
        <v/>
      </c>
      <c r="F484">
        <f>IF($B484="","",INDEX(Suivi!$G:$G,494))</f>
        <v/>
      </c>
      <c r="H484">
        <f>IF(OR($B484="",NOT(ISNUMBER($D484))),"",IF($E484&lt;$D$2,"Passé",IF($D484&gt;$F$2,"À venir","Dans la période")))</f>
        <v/>
      </c>
      <c r="I484">
        <f>IF(OR($B484="",NOT(ISNUMBER($D484))),"",IF(AND($E484&lt;$D$2,$G484&lt;&gt;"X",$F484&lt;&gt;"Réalisé",$F484&lt;&gt;"Clôturé"),"RETARD",""))</f>
        <v/>
      </c>
      <c r="J484" s="29">
        <f>IF($B484="","",IF(INDEX(Dossiers!$F$4:$F$63,10)="","",INDEX(Dossiers!$F$4:$F$63,10)))</f>
        <v/>
      </c>
      <c r="K484" s="29">
        <f>IF($B484="","",IF(INDEX(Dossiers!$G$4:$G$63,10)="","",INDEX(Dossiers!$G$4:$G$63,10)))</f>
        <v/>
      </c>
    </row>
    <row r="485">
      <c r="A485">
        <f>IF($B485="","",INDEX(Dossiers!$E$4:$E$63,10))</f>
        <v/>
      </c>
      <c r="B485">
        <f>IF(INDEX(Suivi!$B:$B,495)="","",INDEX(Suivi!$B:$B,495))</f>
        <v/>
      </c>
      <c r="C485">
        <f>IF($B485="","",IF(INDEX(Suivi!$D:$D,495)="",INDEX(Suivi!$C:$C,495),INDEX(Suivi!$D:$D,495)))</f>
        <v/>
      </c>
      <c r="D485" s="29">
        <f>IF($B485="","",INDEX(Suivi!$E:$E,495))</f>
        <v/>
      </c>
      <c r="E485" s="29">
        <f>IF($B485="","",INDEX(Suivi!$F:$F,495))</f>
        <v/>
      </c>
      <c r="F485">
        <f>IF($B485="","",INDEX(Suivi!$G:$G,495))</f>
        <v/>
      </c>
      <c r="H485">
        <f>IF(OR($B485="",NOT(ISNUMBER($D485))),"",IF($E485&lt;$D$2,"Passé",IF($D485&gt;$F$2,"À venir","Dans la période")))</f>
        <v/>
      </c>
      <c r="I485">
        <f>IF(OR($B485="",NOT(ISNUMBER($D485))),"",IF(AND($E485&lt;$D$2,$G485&lt;&gt;"X",$F485&lt;&gt;"Réalisé",$F485&lt;&gt;"Clôturé"),"RETARD",""))</f>
        <v/>
      </c>
      <c r="J485" s="29">
        <f>IF($B485="","",IF(INDEX(Dossiers!$F$4:$F$63,10)="","",INDEX(Dossiers!$F$4:$F$63,10)))</f>
        <v/>
      </c>
      <c r="K485" s="29">
        <f>IF($B485="","",IF(INDEX(Dossiers!$G$4:$G$63,10)="","",INDEX(Dossiers!$G$4:$G$63,10)))</f>
        <v/>
      </c>
    </row>
    <row r="486">
      <c r="A486">
        <f>IF($B486="","",INDEX(Dossiers!$E$4:$E$63,10))</f>
        <v/>
      </c>
      <c r="B486">
        <f>IF(INDEX(Suivi!$B:$B,496)="","",INDEX(Suivi!$B:$B,496))</f>
        <v/>
      </c>
      <c r="C486">
        <f>IF($B486="","",IF(INDEX(Suivi!$D:$D,496)="",INDEX(Suivi!$C:$C,496),INDEX(Suivi!$D:$D,496)))</f>
        <v/>
      </c>
      <c r="D486" s="29">
        <f>IF($B486="","",INDEX(Suivi!$E:$E,496))</f>
        <v/>
      </c>
      <c r="E486" s="29">
        <f>IF($B486="","",INDEX(Suivi!$F:$F,496))</f>
        <v/>
      </c>
      <c r="F486">
        <f>IF($B486="","",INDEX(Suivi!$G:$G,496))</f>
        <v/>
      </c>
      <c r="H486">
        <f>IF(OR($B486="",NOT(ISNUMBER($D486))),"",IF($E486&lt;$D$2,"Passé",IF($D486&gt;$F$2,"À venir","Dans la période")))</f>
        <v/>
      </c>
      <c r="I486">
        <f>IF(OR($B486="",NOT(ISNUMBER($D486))),"",IF(AND($E486&lt;$D$2,$G486&lt;&gt;"X",$F486&lt;&gt;"Réalisé",$F486&lt;&gt;"Clôturé"),"RETARD",""))</f>
        <v/>
      </c>
      <c r="J486" s="29">
        <f>IF($B486="","",IF(INDEX(Dossiers!$F$4:$F$63,10)="","",INDEX(Dossiers!$F$4:$F$63,10)))</f>
        <v/>
      </c>
      <c r="K486" s="29">
        <f>IF($B486="","",IF(INDEX(Dossiers!$G$4:$G$63,10)="","",INDEX(Dossiers!$G$4:$G$63,10)))</f>
        <v/>
      </c>
    </row>
    <row r="487">
      <c r="A487">
        <f>IF($B487="","",INDEX(Dossiers!$E$4:$E$63,10))</f>
        <v/>
      </c>
      <c r="B487">
        <f>IF(INDEX(Suivi!$B:$B,497)="","",INDEX(Suivi!$B:$B,497))</f>
        <v/>
      </c>
      <c r="C487">
        <f>IF($B487="","",IF(INDEX(Suivi!$D:$D,497)="",INDEX(Suivi!$C:$C,497),INDEX(Suivi!$D:$D,497)))</f>
        <v/>
      </c>
      <c r="D487" s="29">
        <f>IF($B487="","",INDEX(Suivi!$E:$E,497))</f>
        <v/>
      </c>
      <c r="E487" s="29">
        <f>IF($B487="","",INDEX(Suivi!$F:$F,497))</f>
        <v/>
      </c>
      <c r="F487">
        <f>IF($B487="","",INDEX(Suivi!$G:$G,497))</f>
        <v/>
      </c>
      <c r="H487">
        <f>IF(OR($B487="",NOT(ISNUMBER($D487))),"",IF($E487&lt;$D$2,"Passé",IF($D487&gt;$F$2,"À venir","Dans la période")))</f>
        <v/>
      </c>
      <c r="I487">
        <f>IF(OR($B487="",NOT(ISNUMBER($D487))),"",IF(AND($E487&lt;$D$2,$G487&lt;&gt;"X",$F487&lt;&gt;"Réalisé",$F487&lt;&gt;"Clôturé"),"RETARD",""))</f>
        <v/>
      </c>
      <c r="J487" s="29">
        <f>IF($B487="","",IF(INDEX(Dossiers!$F$4:$F$63,10)="","",INDEX(Dossiers!$F$4:$F$63,10)))</f>
        <v/>
      </c>
      <c r="K487" s="29">
        <f>IF($B487="","",IF(INDEX(Dossiers!$G$4:$G$63,10)="","",INDEX(Dossiers!$G$4:$G$63,10)))</f>
        <v/>
      </c>
    </row>
    <row r="488">
      <c r="A488">
        <f>IF($B488="","",INDEX(Dossiers!$E$4:$E$63,10))</f>
        <v/>
      </c>
      <c r="B488">
        <f>IF(INDEX(Suivi!$B:$B,498)="","",INDEX(Suivi!$B:$B,498))</f>
        <v/>
      </c>
      <c r="C488">
        <f>IF($B488="","",IF(INDEX(Suivi!$D:$D,498)="",INDEX(Suivi!$C:$C,498),INDEX(Suivi!$D:$D,498)))</f>
        <v/>
      </c>
      <c r="D488" s="29">
        <f>IF($B488="","",INDEX(Suivi!$E:$E,498))</f>
        <v/>
      </c>
      <c r="E488" s="29">
        <f>IF($B488="","",INDEX(Suivi!$F:$F,498))</f>
        <v/>
      </c>
      <c r="F488">
        <f>IF($B488="","",INDEX(Suivi!$G:$G,498))</f>
        <v/>
      </c>
      <c r="H488">
        <f>IF(OR($B488="",NOT(ISNUMBER($D488))),"",IF($E488&lt;$D$2,"Passé",IF($D488&gt;$F$2,"À venir","Dans la période")))</f>
        <v/>
      </c>
      <c r="I488">
        <f>IF(OR($B488="",NOT(ISNUMBER($D488))),"",IF(AND($E488&lt;$D$2,$G488&lt;&gt;"X",$F488&lt;&gt;"Réalisé",$F488&lt;&gt;"Clôturé"),"RETARD",""))</f>
        <v/>
      </c>
      <c r="J488" s="29">
        <f>IF($B488="","",IF(INDEX(Dossiers!$F$4:$F$63,10)="","",INDEX(Dossiers!$F$4:$F$63,10)))</f>
        <v/>
      </c>
      <c r="K488" s="29">
        <f>IF($B488="","",IF(INDEX(Dossiers!$G$4:$G$63,10)="","",INDEX(Dossiers!$G$4:$G$63,10)))</f>
        <v/>
      </c>
    </row>
    <row r="489">
      <c r="A489">
        <f>IF($B489="","",INDEX(Dossiers!$E$4:$E$63,10))</f>
        <v/>
      </c>
      <c r="B489">
        <f>IF(INDEX(Suivi!$B:$B,499)="","",INDEX(Suivi!$B:$B,499))</f>
        <v/>
      </c>
      <c r="C489">
        <f>IF($B489="","",IF(INDEX(Suivi!$D:$D,499)="",INDEX(Suivi!$C:$C,499),INDEX(Suivi!$D:$D,499)))</f>
        <v/>
      </c>
      <c r="D489" s="29">
        <f>IF($B489="","",INDEX(Suivi!$E:$E,499))</f>
        <v/>
      </c>
      <c r="E489" s="29">
        <f>IF($B489="","",INDEX(Suivi!$F:$F,499))</f>
        <v/>
      </c>
      <c r="F489">
        <f>IF($B489="","",INDEX(Suivi!$G:$G,499))</f>
        <v/>
      </c>
      <c r="H489">
        <f>IF(OR($B489="",NOT(ISNUMBER($D489))),"",IF($E489&lt;$D$2,"Passé",IF($D489&gt;$F$2,"À venir","Dans la période")))</f>
        <v/>
      </c>
      <c r="I489">
        <f>IF(OR($B489="",NOT(ISNUMBER($D489))),"",IF(AND($E489&lt;$D$2,$G489&lt;&gt;"X",$F489&lt;&gt;"Réalisé",$F489&lt;&gt;"Clôturé"),"RETARD",""))</f>
        <v/>
      </c>
      <c r="J489" s="29">
        <f>IF($B489="","",IF(INDEX(Dossiers!$F$4:$F$63,10)="","",INDEX(Dossiers!$F$4:$F$63,10)))</f>
        <v/>
      </c>
      <c r="K489" s="29">
        <f>IF($B489="","",IF(INDEX(Dossiers!$G$4:$G$63,10)="","",INDEX(Dossiers!$G$4:$G$63,10)))</f>
        <v/>
      </c>
    </row>
    <row r="490">
      <c r="A490">
        <f>IF($B490="","",INDEX(Dossiers!$E$4:$E$63,10))</f>
        <v/>
      </c>
      <c r="B490">
        <f>IF(INDEX(Suivi!$B:$B,500)="","",INDEX(Suivi!$B:$B,500))</f>
        <v/>
      </c>
      <c r="C490">
        <f>IF($B490="","",IF(INDEX(Suivi!$D:$D,500)="",INDEX(Suivi!$C:$C,500),INDEX(Suivi!$D:$D,500)))</f>
        <v/>
      </c>
      <c r="D490" s="29">
        <f>IF($B490="","",INDEX(Suivi!$E:$E,500))</f>
        <v/>
      </c>
      <c r="E490" s="29">
        <f>IF($B490="","",INDEX(Suivi!$F:$F,500))</f>
        <v/>
      </c>
      <c r="F490">
        <f>IF($B490="","",INDEX(Suivi!$G:$G,500))</f>
        <v/>
      </c>
      <c r="H490">
        <f>IF(OR($B490="",NOT(ISNUMBER($D490))),"",IF($E490&lt;$D$2,"Passé",IF($D490&gt;$F$2,"À venir","Dans la période")))</f>
        <v/>
      </c>
      <c r="I490">
        <f>IF(OR($B490="",NOT(ISNUMBER($D490))),"",IF(AND($E490&lt;$D$2,$G490&lt;&gt;"X",$F490&lt;&gt;"Réalisé",$F490&lt;&gt;"Clôturé"),"RETARD",""))</f>
        <v/>
      </c>
      <c r="J490" s="29">
        <f>IF($B490="","",IF(INDEX(Dossiers!$F$4:$F$63,10)="","",INDEX(Dossiers!$F$4:$F$63,10)))</f>
        <v/>
      </c>
      <c r="K490" s="29">
        <f>IF($B490="","",IF(INDEX(Dossiers!$G$4:$G$63,10)="","",INDEX(Dossiers!$G$4:$G$63,10)))</f>
        <v/>
      </c>
    </row>
    <row r="491">
      <c r="A491">
        <f>IF($B491="","",INDEX(Dossiers!$E$4:$E$63,10))</f>
        <v/>
      </c>
      <c r="B491">
        <f>IF(INDEX(Suivi!$B:$B,501)="","",INDEX(Suivi!$B:$B,501))</f>
        <v/>
      </c>
      <c r="C491">
        <f>IF($B491="","",IF(INDEX(Suivi!$D:$D,501)="",INDEX(Suivi!$C:$C,501),INDEX(Suivi!$D:$D,501)))</f>
        <v/>
      </c>
      <c r="D491" s="29">
        <f>IF($B491="","",INDEX(Suivi!$E:$E,501))</f>
        <v/>
      </c>
      <c r="E491" s="29">
        <f>IF($B491="","",INDEX(Suivi!$F:$F,501))</f>
        <v/>
      </c>
      <c r="F491">
        <f>IF($B491="","",INDEX(Suivi!$G:$G,501))</f>
        <v/>
      </c>
      <c r="H491">
        <f>IF(OR($B491="",NOT(ISNUMBER($D491))),"",IF($E491&lt;$D$2,"Passé",IF($D491&gt;$F$2,"À venir","Dans la période")))</f>
        <v/>
      </c>
      <c r="I491">
        <f>IF(OR($B491="",NOT(ISNUMBER($D491))),"",IF(AND($E491&lt;$D$2,$G491&lt;&gt;"X",$F491&lt;&gt;"Réalisé",$F491&lt;&gt;"Clôturé"),"RETARD",""))</f>
        <v/>
      </c>
      <c r="J491" s="29">
        <f>IF($B491="","",IF(INDEX(Dossiers!$F$4:$F$63,10)="","",INDEX(Dossiers!$F$4:$F$63,10)))</f>
        <v/>
      </c>
      <c r="K491" s="29">
        <f>IF($B491="","",IF(INDEX(Dossiers!$G$4:$G$63,10)="","",INDEX(Dossiers!$G$4:$G$63,10)))</f>
        <v/>
      </c>
    </row>
    <row r="492">
      <c r="A492">
        <f>IF($B492="","",INDEX(Dossiers!$E$4:$E$63,10))</f>
        <v/>
      </c>
      <c r="B492">
        <f>IF(INDEX(Suivi!$B:$B,502)="","",INDEX(Suivi!$B:$B,502))</f>
        <v/>
      </c>
      <c r="C492">
        <f>IF($B492="","",IF(INDEX(Suivi!$D:$D,502)="",INDEX(Suivi!$C:$C,502),INDEX(Suivi!$D:$D,502)))</f>
        <v/>
      </c>
      <c r="D492" s="29">
        <f>IF($B492="","",INDEX(Suivi!$E:$E,502))</f>
        <v/>
      </c>
      <c r="E492" s="29">
        <f>IF($B492="","",INDEX(Suivi!$F:$F,502))</f>
        <v/>
      </c>
      <c r="F492">
        <f>IF($B492="","",INDEX(Suivi!$G:$G,502))</f>
        <v/>
      </c>
      <c r="H492">
        <f>IF(OR($B492="",NOT(ISNUMBER($D492))),"",IF($E492&lt;$D$2,"Passé",IF($D492&gt;$F$2,"À venir","Dans la période")))</f>
        <v/>
      </c>
      <c r="I492">
        <f>IF(OR($B492="",NOT(ISNUMBER($D492))),"",IF(AND($E492&lt;$D$2,$G492&lt;&gt;"X",$F492&lt;&gt;"Réalisé",$F492&lt;&gt;"Clôturé"),"RETARD",""))</f>
        <v/>
      </c>
      <c r="J492" s="29">
        <f>IF($B492="","",IF(INDEX(Dossiers!$F$4:$F$63,10)="","",INDEX(Dossiers!$F$4:$F$63,10)))</f>
        <v/>
      </c>
      <c r="K492" s="29">
        <f>IF($B492="","",IF(INDEX(Dossiers!$G$4:$G$63,10)="","",INDEX(Dossiers!$G$4:$G$63,10)))</f>
        <v/>
      </c>
    </row>
    <row r="493">
      <c r="A493">
        <f>IF($B493="","",INDEX(Dossiers!$E$4:$E$63,10))</f>
        <v/>
      </c>
      <c r="B493">
        <f>IF(INDEX(Suivi!$B:$B,503)="","",INDEX(Suivi!$B:$B,503))</f>
        <v/>
      </c>
      <c r="C493">
        <f>IF($B493="","",IF(INDEX(Suivi!$D:$D,503)="",INDEX(Suivi!$C:$C,503),INDEX(Suivi!$D:$D,503)))</f>
        <v/>
      </c>
      <c r="D493" s="29">
        <f>IF($B493="","",INDEX(Suivi!$E:$E,503))</f>
        <v/>
      </c>
      <c r="E493" s="29">
        <f>IF($B493="","",INDEX(Suivi!$F:$F,503))</f>
        <v/>
      </c>
      <c r="F493">
        <f>IF($B493="","",INDEX(Suivi!$G:$G,503))</f>
        <v/>
      </c>
      <c r="H493">
        <f>IF(OR($B493="",NOT(ISNUMBER($D493))),"",IF($E493&lt;$D$2,"Passé",IF($D493&gt;$F$2,"À venir","Dans la période")))</f>
        <v/>
      </c>
      <c r="I493">
        <f>IF(OR($B493="",NOT(ISNUMBER($D493))),"",IF(AND($E493&lt;$D$2,$G493&lt;&gt;"X",$F493&lt;&gt;"Réalisé",$F493&lt;&gt;"Clôturé"),"RETARD",""))</f>
        <v/>
      </c>
      <c r="J493" s="29">
        <f>IF($B493="","",IF(INDEX(Dossiers!$F$4:$F$63,10)="","",INDEX(Dossiers!$F$4:$F$63,10)))</f>
        <v/>
      </c>
      <c r="K493" s="29">
        <f>IF($B493="","",IF(INDEX(Dossiers!$G$4:$G$63,10)="","",INDEX(Dossiers!$G$4:$G$63,10)))</f>
        <v/>
      </c>
    </row>
    <row r="494">
      <c r="A494">
        <f>IF($B494="","",INDEX(Dossiers!$E$4:$E$63,10))</f>
        <v/>
      </c>
      <c r="B494">
        <f>IF(INDEX(Suivi!$B:$B,504)="","",INDEX(Suivi!$B:$B,504))</f>
        <v/>
      </c>
      <c r="C494">
        <f>IF($B494="","",IF(INDEX(Suivi!$D:$D,504)="",INDEX(Suivi!$C:$C,504),INDEX(Suivi!$D:$D,504)))</f>
        <v/>
      </c>
      <c r="D494" s="29">
        <f>IF($B494="","",INDEX(Suivi!$E:$E,504))</f>
        <v/>
      </c>
      <c r="E494" s="29">
        <f>IF($B494="","",INDEX(Suivi!$F:$F,504))</f>
        <v/>
      </c>
      <c r="F494">
        <f>IF($B494="","",INDEX(Suivi!$G:$G,504))</f>
        <v/>
      </c>
      <c r="H494">
        <f>IF(OR($B494="",NOT(ISNUMBER($D494))),"",IF($E494&lt;$D$2,"Passé",IF($D494&gt;$F$2,"À venir","Dans la période")))</f>
        <v/>
      </c>
      <c r="I494">
        <f>IF(OR($B494="",NOT(ISNUMBER($D494))),"",IF(AND($E494&lt;$D$2,$G494&lt;&gt;"X",$F494&lt;&gt;"Réalisé",$F494&lt;&gt;"Clôturé"),"RETARD",""))</f>
        <v/>
      </c>
      <c r="J494" s="29">
        <f>IF($B494="","",IF(INDEX(Dossiers!$F$4:$F$63,10)="","",INDEX(Dossiers!$F$4:$F$63,10)))</f>
        <v/>
      </c>
      <c r="K494" s="29">
        <f>IF($B494="","",IF(INDEX(Dossiers!$G$4:$G$63,10)="","",INDEX(Dossiers!$G$4:$G$63,10)))</f>
        <v/>
      </c>
    </row>
    <row r="495">
      <c r="A495">
        <f>IF($B495="","",INDEX(Dossiers!$E$4:$E$63,10))</f>
        <v/>
      </c>
      <c r="B495">
        <f>IF(INDEX(Suivi!$B:$B,505)="","",INDEX(Suivi!$B:$B,505))</f>
        <v/>
      </c>
      <c r="C495">
        <f>IF($B495="","",IF(INDEX(Suivi!$D:$D,505)="",INDEX(Suivi!$C:$C,505),INDEX(Suivi!$D:$D,505)))</f>
        <v/>
      </c>
      <c r="D495" s="29">
        <f>IF($B495="","",INDEX(Suivi!$E:$E,505))</f>
        <v/>
      </c>
      <c r="E495" s="29">
        <f>IF($B495="","",INDEX(Suivi!$F:$F,505))</f>
        <v/>
      </c>
      <c r="F495">
        <f>IF($B495="","",INDEX(Suivi!$G:$G,505))</f>
        <v/>
      </c>
      <c r="H495">
        <f>IF(OR($B495="",NOT(ISNUMBER($D495))),"",IF($E495&lt;$D$2,"Passé",IF($D495&gt;$F$2,"À venir","Dans la période")))</f>
        <v/>
      </c>
      <c r="I495">
        <f>IF(OR($B495="",NOT(ISNUMBER($D495))),"",IF(AND($E495&lt;$D$2,$G495&lt;&gt;"X",$F495&lt;&gt;"Réalisé",$F495&lt;&gt;"Clôturé"),"RETARD",""))</f>
        <v/>
      </c>
      <c r="J495" s="29">
        <f>IF($B495="","",IF(INDEX(Dossiers!$F$4:$F$63,10)="","",INDEX(Dossiers!$F$4:$F$63,10)))</f>
        <v/>
      </c>
      <c r="K495" s="29">
        <f>IF($B495="","",IF(INDEX(Dossiers!$G$4:$G$63,10)="","",INDEX(Dossiers!$G$4:$G$63,10)))</f>
        <v/>
      </c>
    </row>
    <row r="496">
      <c r="A496">
        <f>IF($B496="","",INDEX(Dossiers!$E$4:$E$63,10))</f>
        <v/>
      </c>
      <c r="B496">
        <f>IF(INDEX(Suivi!$B:$B,506)="","",INDEX(Suivi!$B:$B,506))</f>
        <v/>
      </c>
      <c r="C496">
        <f>IF($B496="","",IF(INDEX(Suivi!$D:$D,506)="",INDEX(Suivi!$C:$C,506),INDEX(Suivi!$D:$D,506)))</f>
        <v/>
      </c>
      <c r="D496" s="29">
        <f>IF($B496="","",INDEX(Suivi!$E:$E,506))</f>
        <v/>
      </c>
      <c r="E496" s="29">
        <f>IF($B496="","",INDEX(Suivi!$F:$F,506))</f>
        <v/>
      </c>
      <c r="F496">
        <f>IF($B496="","",INDEX(Suivi!$G:$G,506))</f>
        <v/>
      </c>
      <c r="H496">
        <f>IF(OR($B496="",NOT(ISNUMBER($D496))),"",IF($E496&lt;$D$2,"Passé",IF($D496&gt;$F$2,"À venir","Dans la période")))</f>
        <v/>
      </c>
      <c r="I496">
        <f>IF(OR($B496="",NOT(ISNUMBER($D496))),"",IF(AND($E496&lt;$D$2,$G496&lt;&gt;"X",$F496&lt;&gt;"Réalisé",$F496&lt;&gt;"Clôturé"),"RETARD",""))</f>
        <v/>
      </c>
      <c r="J496" s="29">
        <f>IF($B496="","",IF(INDEX(Dossiers!$F$4:$F$63,10)="","",INDEX(Dossiers!$F$4:$F$63,10)))</f>
        <v/>
      </c>
      <c r="K496" s="29">
        <f>IF($B496="","",IF(INDEX(Dossiers!$G$4:$G$63,10)="","",INDEX(Dossiers!$G$4:$G$63,10)))</f>
        <v/>
      </c>
    </row>
    <row r="497">
      <c r="A497">
        <f>IF($B497="","",INDEX(Dossiers!$E$4:$E$63,10))</f>
        <v/>
      </c>
      <c r="B497">
        <f>IF(INDEX(Suivi!$B:$B,507)="","",INDEX(Suivi!$B:$B,507))</f>
        <v/>
      </c>
      <c r="C497">
        <f>IF($B497="","",IF(INDEX(Suivi!$D:$D,507)="",INDEX(Suivi!$C:$C,507),INDEX(Suivi!$D:$D,507)))</f>
        <v/>
      </c>
      <c r="D497" s="29">
        <f>IF($B497="","",INDEX(Suivi!$E:$E,507))</f>
        <v/>
      </c>
      <c r="E497" s="29">
        <f>IF($B497="","",INDEX(Suivi!$F:$F,507))</f>
        <v/>
      </c>
      <c r="F497">
        <f>IF($B497="","",INDEX(Suivi!$G:$G,507))</f>
        <v/>
      </c>
      <c r="H497">
        <f>IF(OR($B497="",NOT(ISNUMBER($D497))),"",IF($E497&lt;$D$2,"Passé",IF($D497&gt;$F$2,"À venir","Dans la période")))</f>
        <v/>
      </c>
      <c r="I497">
        <f>IF(OR($B497="",NOT(ISNUMBER($D497))),"",IF(AND($E497&lt;$D$2,$G497&lt;&gt;"X",$F497&lt;&gt;"Réalisé",$F497&lt;&gt;"Clôturé"),"RETARD",""))</f>
        <v/>
      </c>
      <c r="J497" s="29">
        <f>IF($B497="","",IF(INDEX(Dossiers!$F$4:$F$63,10)="","",INDEX(Dossiers!$F$4:$F$63,10)))</f>
        <v/>
      </c>
      <c r="K497" s="29">
        <f>IF($B497="","",IF(INDEX(Dossiers!$G$4:$G$63,10)="","",INDEX(Dossiers!$G$4:$G$63,10)))</f>
        <v/>
      </c>
    </row>
    <row r="498">
      <c r="A498">
        <f>IF($B498="","",INDEX(Dossiers!$E$4:$E$63,10))</f>
        <v/>
      </c>
      <c r="B498">
        <f>IF(INDEX(Suivi!$B:$B,508)="","",INDEX(Suivi!$B:$B,508))</f>
        <v/>
      </c>
      <c r="C498">
        <f>IF($B498="","",IF(INDEX(Suivi!$D:$D,508)="",INDEX(Suivi!$C:$C,508),INDEX(Suivi!$D:$D,508)))</f>
        <v/>
      </c>
      <c r="D498" s="29">
        <f>IF($B498="","",INDEX(Suivi!$E:$E,508))</f>
        <v/>
      </c>
      <c r="E498" s="29">
        <f>IF($B498="","",INDEX(Suivi!$F:$F,508))</f>
        <v/>
      </c>
      <c r="F498">
        <f>IF($B498="","",INDEX(Suivi!$G:$G,508))</f>
        <v/>
      </c>
      <c r="H498">
        <f>IF(OR($B498="",NOT(ISNUMBER($D498))),"",IF($E498&lt;$D$2,"Passé",IF($D498&gt;$F$2,"À venir","Dans la période")))</f>
        <v/>
      </c>
      <c r="I498">
        <f>IF(OR($B498="",NOT(ISNUMBER($D498))),"",IF(AND($E498&lt;$D$2,$G498&lt;&gt;"X",$F498&lt;&gt;"Réalisé",$F498&lt;&gt;"Clôturé"),"RETARD",""))</f>
        <v/>
      </c>
      <c r="J498" s="29">
        <f>IF($B498="","",IF(INDEX(Dossiers!$F$4:$F$63,10)="","",INDEX(Dossiers!$F$4:$F$63,10)))</f>
        <v/>
      </c>
      <c r="K498" s="29">
        <f>IF($B498="","",IF(INDEX(Dossiers!$G$4:$G$63,10)="","",INDEX(Dossiers!$G$4:$G$63,10)))</f>
        <v/>
      </c>
    </row>
    <row r="499">
      <c r="A499">
        <f>IF($B499="","",INDEX(Dossiers!$E$4:$E$63,10))</f>
        <v/>
      </c>
      <c r="B499">
        <f>IF(INDEX(Suivi!$B:$B,509)="","",INDEX(Suivi!$B:$B,509))</f>
        <v/>
      </c>
      <c r="C499">
        <f>IF($B499="","",IF(INDEX(Suivi!$D:$D,509)="",INDEX(Suivi!$C:$C,509),INDEX(Suivi!$D:$D,509)))</f>
        <v/>
      </c>
      <c r="D499" s="29">
        <f>IF($B499="","",INDEX(Suivi!$E:$E,509))</f>
        <v/>
      </c>
      <c r="E499" s="29">
        <f>IF($B499="","",INDEX(Suivi!$F:$F,509))</f>
        <v/>
      </c>
      <c r="F499">
        <f>IF($B499="","",INDEX(Suivi!$G:$G,509))</f>
        <v/>
      </c>
      <c r="H499">
        <f>IF(OR($B499="",NOT(ISNUMBER($D499))),"",IF($E499&lt;$D$2,"Passé",IF($D499&gt;$F$2,"À venir","Dans la période")))</f>
        <v/>
      </c>
      <c r="I499">
        <f>IF(OR($B499="",NOT(ISNUMBER($D499))),"",IF(AND($E499&lt;$D$2,$G499&lt;&gt;"X",$F499&lt;&gt;"Réalisé",$F499&lt;&gt;"Clôturé"),"RETARD",""))</f>
        <v/>
      </c>
      <c r="J499" s="29">
        <f>IF($B499="","",IF(INDEX(Dossiers!$F$4:$F$63,10)="","",INDEX(Dossiers!$F$4:$F$63,10)))</f>
        <v/>
      </c>
      <c r="K499" s="29">
        <f>IF($B499="","",IF(INDEX(Dossiers!$G$4:$G$63,10)="","",INDEX(Dossiers!$G$4:$G$63,10)))</f>
        <v/>
      </c>
    </row>
    <row r="500">
      <c r="A500">
        <f>IF($B500="","",INDEX(Dossiers!$E$4:$E$63,10))</f>
        <v/>
      </c>
      <c r="B500">
        <f>IF(INDEX(Suivi!$B:$B,510)="","",INDEX(Suivi!$B:$B,510))</f>
        <v/>
      </c>
      <c r="C500">
        <f>IF($B500="","",IF(INDEX(Suivi!$D:$D,510)="",INDEX(Suivi!$C:$C,510),INDEX(Suivi!$D:$D,510)))</f>
        <v/>
      </c>
      <c r="D500" s="29">
        <f>IF($B500="","",INDEX(Suivi!$E:$E,510))</f>
        <v/>
      </c>
      <c r="E500" s="29">
        <f>IF($B500="","",INDEX(Suivi!$F:$F,510))</f>
        <v/>
      </c>
      <c r="F500">
        <f>IF($B500="","",INDEX(Suivi!$G:$G,510))</f>
        <v/>
      </c>
      <c r="H500">
        <f>IF(OR($B500="",NOT(ISNUMBER($D500))),"",IF($E500&lt;$D$2,"Passé",IF($D500&gt;$F$2,"À venir","Dans la période")))</f>
        <v/>
      </c>
      <c r="I500">
        <f>IF(OR($B500="",NOT(ISNUMBER($D500))),"",IF(AND($E500&lt;$D$2,$G500&lt;&gt;"X",$F500&lt;&gt;"Réalisé",$F500&lt;&gt;"Clôturé"),"RETARD",""))</f>
        <v/>
      </c>
      <c r="J500" s="29">
        <f>IF($B500="","",IF(INDEX(Dossiers!$F$4:$F$63,10)="","",INDEX(Dossiers!$F$4:$F$63,10)))</f>
        <v/>
      </c>
      <c r="K500" s="29">
        <f>IF($B500="","",IF(INDEX(Dossiers!$G$4:$G$63,10)="","",INDEX(Dossiers!$G$4:$G$63,10)))</f>
        <v/>
      </c>
    </row>
    <row r="501">
      <c r="A501">
        <f>IF($B501="","",INDEX(Dossiers!$E$4:$E$63,10))</f>
        <v/>
      </c>
      <c r="B501">
        <f>IF(INDEX(Suivi!$B:$B,511)="","",INDEX(Suivi!$B:$B,511))</f>
        <v/>
      </c>
      <c r="C501">
        <f>IF($B501="","",IF(INDEX(Suivi!$D:$D,511)="",INDEX(Suivi!$C:$C,511),INDEX(Suivi!$D:$D,511)))</f>
        <v/>
      </c>
      <c r="D501" s="29">
        <f>IF($B501="","",INDEX(Suivi!$E:$E,511))</f>
        <v/>
      </c>
      <c r="E501" s="29">
        <f>IF($B501="","",INDEX(Suivi!$F:$F,511))</f>
        <v/>
      </c>
      <c r="F501">
        <f>IF($B501="","",INDEX(Suivi!$G:$G,511))</f>
        <v/>
      </c>
      <c r="H501">
        <f>IF(OR($B501="",NOT(ISNUMBER($D501))),"",IF($E501&lt;$D$2,"Passé",IF($D501&gt;$F$2,"À venir","Dans la période")))</f>
        <v/>
      </c>
      <c r="I501">
        <f>IF(OR($B501="",NOT(ISNUMBER($D501))),"",IF(AND($E501&lt;$D$2,$G501&lt;&gt;"X",$F501&lt;&gt;"Réalisé",$F501&lt;&gt;"Clôturé"),"RETARD",""))</f>
        <v/>
      </c>
      <c r="J501" s="29">
        <f>IF($B501="","",IF(INDEX(Dossiers!$F$4:$F$63,10)="","",INDEX(Dossiers!$F$4:$F$63,10)))</f>
        <v/>
      </c>
      <c r="K501" s="29">
        <f>IF($B501="","",IF(INDEX(Dossiers!$G$4:$G$63,10)="","",INDEX(Dossiers!$G$4:$G$63,10)))</f>
        <v/>
      </c>
    </row>
    <row r="502">
      <c r="A502">
        <f>IF($B502="","",INDEX(Dossiers!$E$4:$E$63,10))</f>
        <v/>
      </c>
      <c r="B502">
        <f>IF(INDEX(Suivi!$B:$B,512)="","",INDEX(Suivi!$B:$B,512))</f>
        <v/>
      </c>
      <c r="C502">
        <f>IF($B502="","",IF(INDEX(Suivi!$D:$D,512)="",INDEX(Suivi!$C:$C,512),INDEX(Suivi!$D:$D,512)))</f>
        <v/>
      </c>
      <c r="D502" s="29">
        <f>IF($B502="","",INDEX(Suivi!$E:$E,512))</f>
        <v/>
      </c>
      <c r="E502" s="29">
        <f>IF($B502="","",INDEX(Suivi!$F:$F,512))</f>
        <v/>
      </c>
      <c r="F502">
        <f>IF($B502="","",INDEX(Suivi!$G:$G,512))</f>
        <v/>
      </c>
      <c r="H502">
        <f>IF(OR($B502="",NOT(ISNUMBER($D502))),"",IF($E502&lt;$D$2,"Passé",IF($D502&gt;$F$2,"À venir","Dans la période")))</f>
        <v/>
      </c>
      <c r="I502">
        <f>IF(OR($B502="",NOT(ISNUMBER($D502))),"",IF(AND($E502&lt;$D$2,$G502&lt;&gt;"X",$F502&lt;&gt;"Réalisé",$F502&lt;&gt;"Clôturé"),"RETARD",""))</f>
        <v/>
      </c>
      <c r="J502" s="29">
        <f>IF($B502="","",IF(INDEX(Dossiers!$F$4:$F$63,10)="","",INDEX(Dossiers!$F$4:$F$63,10)))</f>
        <v/>
      </c>
      <c r="K502" s="29">
        <f>IF($B502="","",IF(INDEX(Dossiers!$G$4:$G$63,10)="","",INDEX(Dossiers!$G$4:$G$63,10)))</f>
        <v/>
      </c>
    </row>
    <row r="503">
      <c r="A503">
        <f>IF($B503="","",INDEX(Dossiers!$E$4:$E$63,10))</f>
        <v/>
      </c>
      <c r="B503">
        <f>IF(INDEX(Suivi!$B:$B,513)="","",INDEX(Suivi!$B:$B,513))</f>
        <v/>
      </c>
      <c r="C503">
        <f>IF($B503="","",IF(INDEX(Suivi!$D:$D,513)="",INDEX(Suivi!$C:$C,513),INDEX(Suivi!$D:$D,513)))</f>
        <v/>
      </c>
      <c r="D503" s="29">
        <f>IF($B503="","",INDEX(Suivi!$E:$E,513))</f>
        <v/>
      </c>
      <c r="E503" s="29">
        <f>IF($B503="","",INDEX(Suivi!$F:$F,513))</f>
        <v/>
      </c>
      <c r="F503">
        <f>IF($B503="","",INDEX(Suivi!$G:$G,513))</f>
        <v/>
      </c>
      <c r="H503">
        <f>IF(OR($B503="",NOT(ISNUMBER($D503))),"",IF($E503&lt;$D$2,"Passé",IF($D503&gt;$F$2,"À venir","Dans la période")))</f>
        <v/>
      </c>
      <c r="I503">
        <f>IF(OR($B503="",NOT(ISNUMBER($D503))),"",IF(AND($E503&lt;$D$2,$G503&lt;&gt;"X",$F503&lt;&gt;"Réalisé",$F503&lt;&gt;"Clôturé"),"RETARD",""))</f>
        <v/>
      </c>
      <c r="J503" s="29">
        <f>IF($B503="","",IF(INDEX(Dossiers!$F$4:$F$63,10)="","",INDEX(Dossiers!$F$4:$F$63,10)))</f>
        <v/>
      </c>
      <c r="K503" s="29">
        <f>IF($B503="","",IF(INDEX(Dossiers!$G$4:$G$63,10)="","",INDEX(Dossiers!$G$4:$G$63,10)))</f>
        <v/>
      </c>
    </row>
    <row r="504">
      <c r="A504">
        <f>IF($B504="","",INDEX(Dossiers!$E$4:$E$63,10))</f>
        <v/>
      </c>
      <c r="B504">
        <f>IF(INDEX(Suivi!$B:$B,514)="","",INDEX(Suivi!$B:$B,514))</f>
        <v/>
      </c>
      <c r="C504">
        <f>IF($B504="","",IF(INDEX(Suivi!$D:$D,514)="",INDEX(Suivi!$C:$C,514),INDEX(Suivi!$D:$D,514)))</f>
        <v/>
      </c>
      <c r="D504" s="29">
        <f>IF($B504="","",INDEX(Suivi!$E:$E,514))</f>
        <v/>
      </c>
      <c r="E504" s="29">
        <f>IF($B504="","",INDEX(Suivi!$F:$F,514))</f>
        <v/>
      </c>
      <c r="F504">
        <f>IF($B504="","",INDEX(Suivi!$G:$G,514))</f>
        <v/>
      </c>
      <c r="H504">
        <f>IF(OR($B504="",NOT(ISNUMBER($D504))),"",IF($E504&lt;$D$2,"Passé",IF($D504&gt;$F$2,"À venir","Dans la période")))</f>
        <v/>
      </c>
      <c r="I504">
        <f>IF(OR($B504="",NOT(ISNUMBER($D504))),"",IF(AND($E504&lt;$D$2,$G504&lt;&gt;"X",$F504&lt;&gt;"Réalisé",$F504&lt;&gt;"Clôturé"),"RETARD",""))</f>
        <v/>
      </c>
      <c r="J504" s="29">
        <f>IF($B504="","",IF(INDEX(Dossiers!$F$4:$F$63,10)="","",INDEX(Dossiers!$F$4:$F$63,10)))</f>
        <v/>
      </c>
      <c r="K504" s="29">
        <f>IF($B504="","",IF(INDEX(Dossiers!$G$4:$G$63,10)="","",INDEX(Dossiers!$G$4:$G$63,10)))</f>
        <v/>
      </c>
    </row>
    <row r="505">
      <c r="A505">
        <f>IF($B505="","",INDEX(Dossiers!$E$4:$E$63,10))</f>
        <v/>
      </c>
      <c r="B505">
        <f>IF(INDEX(Suivi!$B:$B,515)="","",INDEX(Suivi!$B:$B,515))</f>
        <v/>
      </c>
      <c r="C505">
        <f>IF($B505="","",IF(INDEX(Suivi!$D:$D,515)="",INDEX(Suivi!$C:$C,515),INDEX(Suivi!$D:$D,515)))</f>
        <v/>
      </c>
      <c r="D505" s="29">
        <f>IF($B505="","",INDEX(Suivi!$E:$E,515))</f>
        <v/>
      </c>
      <c r="E505" s="29">
        <f>IF($B505="","",INDEX(Suivi!$F:$F,515))</f>
        <v/>
      </c>
      <c r="F505">
        <f>IF($B505="","",INDEX(Suivi!$G:$G,515))</f>
        <v/>
      </c>
      <c r="H505">
        <f>IF(OR($B505="",NOT(ISNUMBER($D505))),"",IF($E505&lt;$D$2,"Passé",IF($D505&gt;$F$2,"À venir","Dans la période")))</f>
        <v/>
      </c>
      <c r="I505">
        <f>IF(OR($B505="",NOT(ISNUMBER($D505))),"",IF(AND($E505&lt;$D$2,$G505&lt;&gt;"X",$F505&lt;&gt;"Réalisé",$F505&lt;&gt;"Clôturé"),"RETARD",""))</f>
        <v/>
      </c>
      <c r="J505" s="29">
        <f>IF($B505="","",IF(INDEX(Dossiers!$F$4:$F$63,10)="","",INDEX(Dossiers!$F$4:$F$63,10)))</f>
        <v/>
      </c>
      <c r="K505" s="29">
        <f>IF($B505="","",IF(INDEX(Dossiers!$G$4:$G$63,10)="","",INDEX(Dossiers!$G$4:$G$63,10)))</f>
        <v/>
      </c>
    </row>
    <row r="506">
      <c r="A506">
        <f>IF($B506="","",INDEX(Dossiers!$E$4:$E$63,10))</f>
        <v/>
      </c>
      <c r="B506">
        <f>IF(INDEX(Suivi!$B:$B,516)="","",INDEX(Suivi!$B:$B,516))</f>
        <v/>
      </c>
      <c r="C506">
        <f>IF($B506="","",IF(INDEX(Suivi!$D:$D,516)="",INDEX(Suivi!$C:$C,516),INDEX(Suivi!$D:$D,516)))</f>
        <v/>
      </c>
      <c r="D506" s="29">
        <f>IF($B506="","",INDEX(Suivi!$E:$E,516))</f>
        <v/>
      </c>
      <c r="E506" s="29">
        <f>IF($B506="","",INDEX(Suivi!$F:$F,516))</f>
        <v/>
      </c>
      <c r="F506">
        <f>IF($B506="","",INDEX(Suivi!$G:$G,516))</f>
        <v/>
      </c>
      <c r="H506">
        <f>IF(OR($B506="",NOT(ISNUMBER($D506))),"",IF($E506&lt;$D$2,"Passé",IF($D506&gt;$F$2,"À venir","Dans la période")))</f>
        <v/>
      </c>
      <c r="I506">
        <f>IF(OR($B506="",NOT(ISNUMBER($D506))),"",IF(AND($E506&lt;$D$2,$G506&lt;&gt;"X",$F506&lt;&gt;"Réalisé",$F506&lt;&gt;"Clôturé"),"RETARD",""))</f>
        <v/>
      </c>
      <c r="J506" s="29">
        <f>IF($B506="","",IF(INDEX(Dossiers!$F$4:$F$63,10)="","",INDEX(Dossiers!$F$4:$F$63,10)))</f>
        <v/>
      </c>
      <c r="K506" s="29">
        <f>IF($B506="","",IF(INDEX(Dossiers!$G$4:$G$63,10)="","",INDEX(Dossiers!$G$4:$G$63,10)))</f>
        <v/>
      </c>
    </row>
    <row r="507">
      <c r="A507">
        <f>IF($B507="","",INDEX(Dossiers!$E$4:$E$63,10))</f>
        <v/>
      </c>
      <c r="B507">
        <f>IF(INDEX(Suivi!$B:$B,517)="","",INDEX(Suivi!$B:$B,517))</f>
        <v/>
      </c>
      <c r="C507">
        <f>IF($B507="","",IF(INDEX(Suivi!$D:$D,517)="",INDEX(Suivi!$C:$C,517),INDEX(Suivi!$D:$D,517)))</f>
        <v/>
      </c>
      <c r="D507" s="29">
        <f>IF($B507="","",INDEX(Suivi!$E:$E,517))</f>
        <v/>
      </c>
      <c r="E507" s="29">
        <f>IF($B507="","",INDEX(Suivi!$F:$F,517))</f>
        <v/>
      </c>
      <c r="F507">
        <f>IF($B507="","",INDEX(Suivi!$G:$G,517))</f>
        <v/>
      </c>
      <c r="H507">
        <f>IF(OR($B507="",NOT(ISNUMBER($D507))),"",IF($E507&lt;$D$2,"Passé",IF($D507&gt;$F$2,"À venir","Dans la période")))</f>
        <v/>
      </c>
      <c r="I507">
        <f>IF(OR($B507="",NOT(ISNUMBER($D507))),"",IF(AND($E507&lt;$D$2,$G507&lt;&gt;"X",$F507&lt;&gt;"Réalisé",$F507&lt;&gt;"Clôturé"),"RETARD",""))</f>
        <v/>
      </c>
      <c r="J507" s="29">
        <f>IF($B507="","",IF(INDEX(Dossiers!$F$4:$F$63,10)="","",INDEX(Dossiers!$F$4:$F$63,10)))</f>
        <v/>
      </c>
      <c r="K507" s="29">
        <f>IF($B507="","",IF(INDEX(Dossiers!$G$4:$G$63,10)="","",INDEX(Dossiers!$G$4:$G$63,10)))</f>
        <v/>
      </c>
    </row>
    <row r="508">
      <c r="A508">
        <f>IF($B508="","",INDEX(Dossiers!$E$4:$E$63,10))</f>
        <v/>
      </c>
      <c r="B508">
        <f>IF(INDEX(Suivi!$B:$B,518)="","",INDEX(Suivi!$B:$B,518))</f>
        <v/>
      </c>
      <c r="C508">
        <f>IF($B508="","",IF(INDEX(Suivi!$D:$D,518)="",INDEX(Suivi!$C:$C,518),INDEX(Suivi!$D:$D,518)))</f>
        <v/>
      </c>
      <c r="D508" s="29">
        <f>IF($B508="","",INDEX(Suivi!$E:$E,518))</f>
        <v/>
      </c>
      <c r="E508" s="29">
        <f>IF($B508="","",INDEX(Suivi!$F:$F,518))</f>
        <v/>
      </c>
      <c r="F508">
        <f>IF($B508="","",INDEX(Suivi!$G:$G,518))</f>
        <v/>
      </c>
      <c r="H508">
        <f>IF(OR($B508="",NOT(ISNUMBER($D508))),"",IF($E508&lt;$D$2,"Passé",IF($D508&gt;$F$2,"À venir","Dans la période")))</f>
        <v/>
      </c>
      <c r="I508">
        <f>IF(OR($B508="",NOT(ISNUMBER($D508))),"",IF(AND($E508&lt;$D$2,$G508&lt;&gt;"X",$F508&lt;&gt;"Réalisé",$F508&lt;&gt;"Clôturé"),"RETARD",""))</f>
        <v/>
      </c>
      <c r="J508" s="29">
        <f>IF($B508="","",IF(INDEX(Dossiers!$F$4:$F$63,10)="","",INDEX(Dossiers!$F$4:$F$63,10)))</f>
        <v/>
      </c>
      <c r="K508" s="29">
        <f>IF($B508="","",IF(INDEX(Dossiers!$G$4:$G$63,10)="","",INDEX(Dossiers!$G$4:$G$63,10)))</f>
        <v/>
      </c>
    </row>
    <row r="509">
      <c r="A509">
        <f>IF($B509="","",INDEX(Dossiers!$E$4:$E$63,10))</f>
        <v/>
      </c>
      <c r="B509">
        <f>IF(INDEX(Suivi!$B:$B,519)="","",INDEX(Suivi!$B:$B,519))</f>
        <v/>
      </c>
      <c r="C509">
        <f>IF($B509="","",IF(INDEX(Suivi!$D:$D,519)="",INDEX(Suivi!$C:$C,519),INDEX(Suivi!$D:$D,519)))</f>
        <v/>
      </c>
      <c r="D509" s="29">
        <f>IF($B509="","",INDEX(Suivi!$E:$E,519))</f>
        <v/>
      </c>
      <c r="E509" s="29">
        <f>IF($B509="","",INDEX(Suivi!$F:$F,519))</f>
        <v/>
      </c>
      <c r="F509">
        <f>IF($B509="","",INDEX(Suivi!$G:$G,519))</f>
        <v/>
      </c>
      <c r="H509">
        <f>IF(OR($B509="",NOT(ISNUMBER($D509))),"",IF($E509&lt;$D$2,"Passé",IF($D509&gt;$F$2,"À venir","Dans la période")))</f>
        <v/>
      </c>
      <c r="I509">
        <f>IF(OR($B509="",NOT(ISNUMBER($D509))),"",IF(AND($E509&lt;$D$2,$G509&lt;&gt;"X",$F509&lt;&gt;"Réalisé",$F509&lt;&gt;"Clôturé"),"RETARD",""))</f>
        <v/>
      </c>
      <c r="J509" s="29">
        <f>IF($B509="","",IF(INDEX(Dossiers!$F$4:$F$63,10)="","",INDEX(Dossiers!$F$4:$F$63,10)))</f>
        <v/>
      </c>
      <c r="K509" s="29">
        <f>IF($B509="","",IF(INDEX(Dossiers!$G$4:$G$63,10)="","",INDEX(Dossiers!$G$4:$G$63,10)))</f>
        <v/>
      </c>
    </row>
    <row r="510">
      <c r="A510">
        <f>IF($B510="","",INDEX(Dossiers!$E$4:$E$63,10))</f>
        <v/>
      </c>
      <c r="B510">
        <f>IF(INDEX(Suivi!$B:$B,520)="","",INDEX(Suivi!$B:$B,520))</f>
        <v/>
      </c>
      <c r="C510">
        <f>IF($B510="","",IF(INDEX(Suivi!$D:$D,520)="",INDEX(Suivi!$C:$C,520),INDEX(Suivi!$D:$D,520)))</f>
        <v/>
      </c>
      <c r="D510" s="29">
        <f>IF($B510="","",INDEX(Suivi!$E:$E,520))</f>
        <v/>
      </c>
      <c r="E510" s="29">
        <f>IF($B510="","",INDEX(Suivi!$F:$F,520))</f>
        <v/>
      </c>
      <c r="F510">
        <f>IF($B510="","",INDEX(Suivi!$G:$G,520))</f>
        <v/>
      </c>
      <c r="H510">
        <f>IF(OR($B510="",NOT(ISNUMBER($D510))),"",IF($E510&lt;$D$2,"Passé",IF($D510&gt;$F$2,"À venir","Dans la période")))</f>
        <v/>
      </c>
      <c r="I510">
        <f>IF(OR($B510="",NOT(ISNUMBER($D510))),"",IF(AND($E510&lt;$D$2,$G510&lt;&gt;"X",$F510&lt;&gt;"Réalisé",$F510&lt;&gt;"Clôturé"),"RETARD",""))</f>
        <v/>
      </c>
      <c r="J510" s="29">
        <f>IF($B510="","",IF(INDEX(Dossiers!$F$4:$F$63,10)="","",INDEX(Dossiers!$F$4:$F$63,10)))</f>
        <v/>
      </c>
      <c r="K510" s="29">
        <f>IF($B510="","",IF(INDEX(Dossiers!$G$4:$G$63,10)="","",INDEX(Dossiers!$G$4:$G$63,10)))</f>
        <v/>
      </c>
    </row>
    <row r="511">
      <c r="A511">
        <f>IF($B511="","",INDEX(Dossiers!$E$4:$E$63,10))</f>
        <v/>
      </c>
      <c r="B511">
        <f>IF(INDEX(Suivi!$B:$B,521)="","",INDEX(Suivi!$B:$B,521))</f>
        <v/>
      </c>
      <c r="C511">
        <f>IF($B511="","",IF(INDEX(Suivi!$D:$D,521)="",INDEX(Suivi!$C:$C,521),INDEX(Suivi!$D:$D,521)))</f>
        <v/>
      </c>
      <c r="D511" s="29">
        <f>IF($B511="","",INDEX(Suivi!$E:$E,521))</f>
        <v/>
      </c>
      <c r="E511" s="29">
        <f>IF($B511="","",INDEX(Suivi!$F:$F,521))</f>
        <v/>
      </c>
      <c r="F511">
        <f>IF($B511="","",INDEX(Suivi!$G:$G,521))</f>
        <v/>
      </c>
      <c r="H511">
        <f>IF(OR($B511="",NOT(ISNUMBER($D511))),"",IF($E511&lt;$D$2,"Passé",IF($D511&gt;$F$2,"À venir","Dans la période")))</f>
        <v/>
      </c>
      <c r="I511">
        <f>IF(OR($B511="",NOT(ISNUMBER($D511))),"",IF(AND($E511&lt;$D$2,$G511&lt;&gt;"X",$F511&lt;&gt;"Réalisé",$F511&lt;&gt;"Clôturé"),"RETARD",""))</f>
        <v/>
      </c>
      <c r="J511" s="29">
        <f>IF($B511="","",IF(INDEX(Dossiers!$F$4:$F$63,10)="","",INDEX(Dossiers!$F$4:$F$63,10)))</f>
        <v/>
      </c>
      <c r="K511" s="29">
        <f>IF($B511="","",IF(INDEX(Dossiers!$G$4:$G$63,10)="","",INDEX(Dossiers!$G$4:$G$63,10)))</f>
        <v/>
      </c>
    </row>
    <row r="512">
      <c r="A512">
        <f>IF($B512="","",INDEX(Dossiers!$E$4:$E$63,10))</f>
        <v/>
      </c>
      <c r="B512">
        <f>IF(INDEX(Suivi!$B:$B,522)="","",INDEX(Suivi!$B:$B,522))</f>
        <v/>
      </c>
      <c r="C512">
        <f>IF($B512="","",IF(INDEX(Suivi!$D:$D,522)="",INDEX(Suivi!$C:$C,522),INDEX(Suivi!$D:$D,522)))</f>
        <v/>
      </c>
      <c r="D512" s="29">
        <f>IF($B512="","",INDEX(Suivi!$E:$E,522))</f>
        <v/>
      </c>
      <c r="E512" s="29">
        <f>IF($B512="","",INDEX(Suivi!$F:$F,522))</f>
        <v/>
      </c>
      <c r="F512">
        <f>IF($B512="","",INDEX(Suivi!$G:$G,522))</f>
        <v/>
      </c>
      <c r="H512">
        <f>IF(OR($B512="",NOT(ISNUMBER($D512))),"",IF($E512&lt;$D$2,"Passé",IF($D512&gt;$F$2,"À venir","Dans la période")))</f>
        <v/>
      </c>
      <c r="I512">
        <f>IF(OR($B512="",NOT(ISNUMBER($D512))),"",IF(AND($E512&lt;$D$2,$G512&lt;&gt;"X",$F512&lt;&gt;"Réalisé",$F512&lt;&gt;"Clôturé"),"RETARD",""))</f>
        <v/>
      </c>
      <c r="J512" s="29">
        <f>IF($B512="","",IF(INDEX(Dossiers!$F$4:$F$63,10)="","",INDEX(Dossiers!$F$4:$F$63,10)))</f>
        <v/>
      </c>
      <c r="K512" s="29">
        <f>IF($B512="","",IF(INDEX(Dossiers!$G$4:$G$63,10)="","",INDEX(Dossiers!$G$4:$G$63,10)))</f>
        <v/>
      </c>
    </row>
    <row r="513">
      <c r="A513">
        <f>IF($B513="","",INDEX(Dossiers!$E$4:$E$63,10))</f>
        <v/>
      </c>
      <c r="B513">
        <f>IF(INDEX(Suivi!$B:$B,523)="","",INDEX(Suivi!$B:$B,523))</f>
        <v/>
      </c>
      <c r="C513">
        <f>IF($B513="","",IF(INDEX(Suivi!$D:$D,523)="",INDEX(Suivi!$C:$C,523),INDEX(Suivi!$D:$D,523)))</f>
        <v/>
      </c>
      <c r="D513" s="29">
        <f>IF($B513="","",INDEX(Suivi!$E:$E,523))</f>
        <v/>
      </c>
      <c r="E513" s="29">
        <f>IF($B513="","",INDEX(Suivi!$F:$F,523))</f>
        <v/>
      </c>
      <c r="F513">
        <f>IF($B513="","",INDEX(Suivi!$G:$G,523))</f>
        <v/>
      </c>
      <c r="H513">
        <f>IF(OR($B513="",NOT(ISNUMBER($D513))),"",IF($E513&lt;$D$2,"Passé",IF($D513&gt;$F$2,"À venir","Dans la période")))</f>
        <v/>
      </c>
      <c r="I513">
        <f>IF(OR($B513="",NOT(ISNUMBER($D513))),"",IF(AND($E513&lt;$D$2,$G513&lt;&gt;"X",$F513&lt;&gt;"Réalisé",$F513&lt;&gt;"Clôturé"),"RETARD",""))</f>
        <v/>
      </c>
      <c r="J513" s="29">
        <f>IF($B513="","",IF(INDEX(Dossiers!$F$4:$F$63,10)="","",INDEX(Dossiers!$F$4:$F$63,10)))</f>
        <v/>
      </c>
      <c r="K513" s="29">
        <f>IF($B513="","",IF(INDEX(Dossiers!$G$4:$G$63,10)="","",INDEX(Dossiers!$G$4:$G$63,10)))</f>
        <v/>
      </c>
    </row>
    <row r="514">
      <c r="A514">
        <f>IF($B514="","",INDEX(Dossiers!$E$4:$E$63,10))</f>
        <v/>
      </c>
      <c r="B514">
        <f>IF(INDEX(Suivi!$B:$B,524)="","",INDEX(Suivi!$B:$B,524))</f>
        <v/>
      </c>
      <c r="C514">
        <f>IF($B514="","",IF(INDEX(Suivi!$D:$D,524)="",INDEX(Suivi!$C:$C,524),INDEX(Suivi!$D:$D,524)))</f>
        <v/>
      </c>
      <c r="D514" s="29">
        <f>IF($B514="","",INDEX(Suivi!$E:$E,524))</f>
        <v/>
      </c>
      <c r="E514" s="29">
        <f>IF($B514="","",INDEX(Suivi!$F:$F,524))</f>
        <v/>
      </c>
      <c r="F514">
        <f>IF($B514="","",INDEX(Suivi!$G:$G,524))</f>
        <v/>
      </c>
      <c r="H514">
        <f>IF(OR($B514="",NOT(ISNUMBER($D514))),"",IF($E514&lt;$D$2,"Passé",IF($D514&gt;$F$2,"À venir","Dans la période")))</f>
        <v/>
      </c>
      <c r="I514">
        <f>IF(OR($B514="",NOT(ISNUMBER($D514))),"",IF(AND($E514&lt;$D$2,$G514&lt;&gt;"X",$F514&lt;&gt;"Réalisé",$F514&lt;&gt;"Clôturé"),"RETARD",""))</f>
        <v/>
      </c>
      <c r="J514" s="29">
        <f>IF($B514="","",IF(INDEX(Dossiers!$F$4:$F$63,10)="","",INDEX(Dossiers!$F$4:$F$63,10)))</f>
        <v/>
      </c>
      <c r="K514" s="29">
        <f>IF($B514="","",IF(INDEX(Dossiers!$G$4:$G$63,10)="","",INDEX(Dossiers!$G$4:$G$63,10)))</f>
        <v/>
      </c>
    </row>
    <row r="515">
      <c r="A515">
        <f>IF($B515="","",INDEX(Dossiers!$E$4:$E$63,10))</f>
        <v/>
      </c>
      <c r="B515">
        <f>IF(INDEX(Suivi!$B:$B,525)="","",INDEX(Suivi!$B:$B,525))</f>
        <v/>
      </c>
      <c r="C515">
        <f>IF($B515="","",IF(INDEX(Suivi!$D:$D,525)="",INDEX(Suivi!$C:$C,525),INDEX(Suivi!$D:$D,525)))</f>
        <v/>
      </c>
      <c r="D515" s="29">
        <f>IF($B515="","",INDEX(Suivi!$E:$E,525))</f>
        <v/>
      </c>
      <c r="E515" s="29">
        <f>IF($B515="","",INDEX(Suivi!$F:$F,525))</f>
        <v/>
      </c>
      <c r="F515">
        <f>IF($B515="","",INDEX(Suivi!$G:$G,525))</f>
        <v/>
      </c>
      <c r="H515">
        <f>IF(OR($B515="",NOT(ISNUMBER($D515))),"",IF($E515&lt;$D$2,"Passé",IF($D515&gt;$F$2,"À venir","Dans la période")))</f>
        <v/>
      </c>
      <c r="I515">
        <f>IF(OR($B515="",NOT(ISNUMBER($D515))),"",IF(AND($E515&lt;$D$2,$G515&lt;&gt;"X",$F515&lt;&gt;"Réalisé",$F515&lt;&gt;"Clôturé"),"RETARD",""))</f>
        <v/>
      </c>
      <c r="J515" s="29">
        <f>IF($B515="","",IF(INDEX(Dossiers!$F$4:$F$63,10)="","",INDEX(Dossiers!$F$4:$F$63,10)))</f>
        <v/>
      </c>
      <c r="K515" s="29">
        <f>IF($B515="","",IF(INDEX(Dossiers!$G$4:$G$63,10)="","",INDEX(Dossiers!$G$4:$G$63,10)))</f>
        <v/>
      </c>
    </row>
    <row r="516">
      <c r="A516">
        <f>IF($B516="","",INDEX(Dossiers!$E$4:$E$63,10))</f>
        <v/>
      </c>
      <c r="B516">
        <f>IF(INDEX(Suivi!$B:$B,526)="","",INDEX(Suivi!$B:$B,526))</f>
        <v/>
      </c>
      <c r="C516">
        <f>IF($B516="","",IF(INDEX(Suivi!$D:$D,526)="",INDEX(Suivi!$C:$C,526),INDEX(Suivi!$D:$D,526)))</f>
        <v/>
      </c>
      <c r="D516" s="29">
        <f>IF($B516="","",INDEX(Suivi!$E:$E,526))</f>
        <v/>
      </c>
      <c r="E516" s="29">
        <f>IF($B516="","",INDEX(Suivi!$F:$F,526))</f>
        <v/>
      </c>
      <c r="F516">
        <f>IF($B516="","",INDEX(Suivi!$G:$G,526))</f>
        <v/>
      </c>
      <c r="H516">
        <f>IF(OR($B516="",NOT(ISNUMBER($D516))),"",IF($E516&lt;$D$2,"Passé",IF($D516&gt;$F$2,"À venir","Dans la période")))</f>
        <v/>
      </c>
      <c r="I516">
        <f>IF(OR($B516="",NOT(ISNUMBER($D516))),"",IF(AND($E516&lt;$D$2,$G516&lt;&gt;"X",$F516&lt;&gt;"Réalisé",$F516&lt;&gt;"Clôturé"),"RETARD",""))</f>
        <v/>
      </c>
      <c r="J516" s="29">
        <f>IF($B516="","",IF(INDEX(Dossiers!$F$4:$F$63,10)="","",INDEX(Dossiers!$F$4:$F$63,10)))</f>
        <v/>
      </c>
      <c r="K516" s="29">
        <f>IF($B516="","",IF(INDEX(Dossiers!$G$4:$G$63,10)="","",INDEX(Dossiers!$G$4:$G$63,10)))</f>
        <v/>
      </c>
    </row>
    <row r="517">
      <c r="A517">
        <f>IF($B517="","",INDEX(Dossiers!$E$4:$E$63,10))</f>
        <v/>
      </c>
      <c r="B517">
        <f>IF(INDEX(Suivi!$B:$B,527)="","",INDEX(Suivi!$B:$B,527))</f>
        <v/>
      </c>
      <c r="C517">
        <f>IF($B517="","",IF(INDEX(Suivi!$D:$D,527)="",INDEX(Suivi!$C:$C,527),INDEX(Suivi!$D:$D,527)))</f>
        <v/>
      </c>
      <c r="D517" s="29">
        <f>IF($B517="","",INDEX(Suivi!$E:$E,527))</f>
        <v/>
      </c>
      <c r="E517" s="29">
        <f>IF($B517="","",INDEX(Suivi!$F:$F,527))</f>
        <v/>
      </c>
      <c r="F517">
        <f>IF($B517="","",INDEX(Suivi!$G:$G,527))</f>
        <v/>
      </c>
      <c r="H517">
        <f>IF(OR($B517="",NOT(ISNUMBER($D517))),"",IF($E517&lt;$D$2,"Passé",IF($D517&gt;$F$2,"À venir","Dans la période")))</f>
        <v/>
      </c>
      <c r="I517">
        <f>IF(OR($B517="",NOT(ISNUMBER($D517))),"",IF(AND($E517&lt;$D$2,$G517&lt;&gt;"X",$F517&lt;&gt;"Réalisé",$F517&lt;&gt;"Clôturé"),"RETARD",""))</f>
        <v/>
      </c>
      <c r="J517" s="29">
        <f>IF($B517="","",IF(INDEX(Dossiers!$F$4:$F$63,10)="","",INDEX(Dossiers!$F$4:$F$63,10)))</f>
        <v/>
      </c>
      <c r="K517" s="29">
        <f>IF($B517="","",IF(INDEX(Dossiers!$G$4:$G$63,10)="","",INDEX(Dossiers!$G$4:$G$63,10)))</f>
        <v/>
      </c>
    </row>
    <row r="518">
      <c r="A518">
        <f>IF($B518="","",INDEX(Dossiers!$E$4:$E$63,10))</f>
        <v/>
      </c>
      <c r="B518">
        <f>IF(INDEX(Suivi!$B:$B,528)="","",INDEX(Suivi!$B:$B,528))</f>
        <v/>
      </c>
      <c r="C518">
        <f>IF($B518="","",IF(INDEX(Suivi!$D:$D,528)="",INDEX(Suivi!$C:$C,528),INDEX(Suivi!$D:$D,528)))</f>
        <v/>
      </c>
      <c r="D518" s="29">
        <f>IF($B518="","",INDEX(Suivi!$E:$E,528))</f>
        <v/>
      </c>
      <c r="E518" s="29">
        <f>IF($B518="","",INDEX(Suivi!$F:$F,528))</f>
        <v/>
      </c>
      <c r="F518">
        <f>IF($B518="","",INDEX(Suivi!$G:$G,528))</f>
        <v/>
      </c>
      <c r="H518">
        <f>IF(OR($B518="",NOT(ISNUMBER($D518))),"",IF($E518&lt;$D$2,"Passé",IF($D518&gt;$F$2,"À venir","Dans la période")))</f>
        <v/>
      </c>
      <c r="I518">
        <f>IF(OR($B518="",NOT(ISNUMBER($D518))),"",IF(AND($E518&lt;$D$2,$G518&lt;&gt;"X",$F518&lt;&gt;"Réalisé",$F518&lt;&gt;"Clôturé"),"RETARD",""))</f>
        <v/>
      </c>
      <c r="J518" s="29">
        <f>IF($B518="","",IF(INDEX(Dossiers!$F$4:$F$63,10)="","",INDEX(Dossiers!$F$4:$F$63,10)))</f>
        <v/>
      </c>
      <c r="K518" s="29">
        <f>IF($B518="","",IF(INDEX(Dossiers!$G$4:$G$63,10)="","",INDEX(Dossiers!$G$4:$G$63,10)))</f>
        <v/>
      </c>
    </row>
    <row r="519">
      <c r="A519">
        <f>IF($B519="","",INDEX(Dossiers!$E$4:$E$63,10))</f>
        <v/>
      </c>
      <c r="B519">
        <f>IF(INDEX(Suivi!$B:$B,529)="","",INDEX(Suivi!$B:$B,529))</f>
        <v/>
      </c>
      <c r="C519">
        <f>IF($B519="","",IF(INDEX(Suivi!$D:$D,529)="",INDEX(Suivi!$C:$C,529),INDEX(Suivi!$D:$D,529)))</f>
        <v/>
      </c>
      <c r="D519" s="29">
        <f>IF($B519="","",INDEX(Suivi!$E:$E,529))</f>
        <v/>
      </c>
      <c r="E519" s="29">
        <f>IF($B519="","",INDEX(Suivi!$F:$F,529))</f>
        <v/>
      </c>
      <c r="F519">
        <f>IF($B519="","",INDEX(Suivi!$G:$G,529))</f>
        <v/>
      </c>
      <c r="H519">
        <f>IF(OR($B519="",NOT(ISNUMBER($D519))),"",IF($E519&lt;$D$2,"Passé",IF($D519&gt;$F$2,"À venir","Dans la période")))</f>
        <v/>
      </c>
      <c r="I519">
        <f>IF(OR($B519="",NOT(ISNUMBER($D519))),"",IF(AND($E519&lt;$D$2,$G519&lt;&gt;"X",$F519&lt;&gt;"Réalisé",$F519&lt;&gt;"Clôturé"),"RETARD",""))</f>
        <v/>
      </c>
      <c r="J519" s="29">
        <f>IF($B519="","",IF(INDEX(Dossiers!$F$4:$F$63,10)="","",INDEX(Dossiers!$F$4:$F$63,10)))</f>
        <v/>
      </c>
      <c r="K519" s="29">
        <f>IF($B519="","",IF(INDEX(Dossiers!$G$4:$G$63,10)="","",INDEX(Dossiers!$G$4:$G$63,10)))</f>
        <v/>
      </c>
    </row>
    <row r="520">
      <c r="A520">
        <f>IF($B520="","",INDEX(Dossiers!$E$4:$E$63,10))</f>
        <v/>
      </c>
      <c r="B520">
        <f>IF(INDEX(Suivi!$B:$B,530)="","",INDEX(Suivi!$B:$B,530))</f>
        <v/>
      </c>
      <c r="C520">
        <f>IF($B520="","",IF(INDEX(Suivi!$D:$D,530)="",INDEX(Suivi!$C:$C,530),INDEX(Suivi!$D:$D,530)))</f>
        <v/>
      </c>
      <c r="D520" s="29">
        <f>IF($B520="","",INDEX(Suivi!$E:$E,530))</f>
        <v/>
      </c>
      <c r="E520" s="29">
        <f>IF($B520="","",INDEX(Suivi!$F:$F,530))</f>
        <v/>
      </c>
      <c r="F520">
        <f>IF($B520="","",INDEX(Suivi!$G:$G,530))</f>
        <v/>
      </c>
      <c r="H520">
        <f>IF(OR($B520="",NOT(ISNUMBER($D520))),"",IF($E520&lt;$D$2,"Passé",IF($D520&gt;$F$2,"À venir","Dans la période")))</f>
        <v/>
      </c>
      <c r="I520">
        <f>IF(OR($B520="",NOT(ISNUMBER($D520))),"",IF(AND($E520&lt;$D$2,$G520&lt;&gt;"X",$F520&lt;&gt;"Réalisé",$F520&lt;&gt;"Clôturé"),"RETARD",""))</f>
        <v/>
      </c>
      <c r="J520" s="29">
        <f>IF($B520="","",IF(INDEX(Dossiers!$F$4:$F$63,10)="","",INDEX(Dossiers!$F$4:$F$63,10)))</f>
        <v/>
      </c>
      <c r="K520" s="29">
        <f>IF($B520="","",IF(INDEX(Dossiers!$G$4:$G$63,10)="","",INDEX(Dossiers!$G$4:$G$63,10)))</f>
        <v/>
      </c>
    </row>
    <row r="521">
      <c r="A521">
        <f>IF($B521="","",INDEX(Dossiers!$E$4:$E$63,10))</f>
        <v/>
      </c>
      <c r="B521">
        <f>IF(INDEX(Suivi!$B:$B,531)="","",INDEX(Suivi!$B:$B,531))</f>
        <v/>
      </c>
      <c r="C521">
        <f>IF($B521="","",IF(INDEX(Suivi!$D:$D,531)="",INDEX(Suivi!$C:$C,531),INDEX(Suivi!$D:$D,531)))</f>
        <v/>
      </c>
      <c r="D521" s="29">
        <f>IF($B521="","",INDEX(Suivi!$E:$E,531))</f>
        <v/>
      </c>
      <c r="E521" s="29">
        <f>IF($B521="","",INDEX(Suivi!$F:$F,531))</f>
        <v/>
      </c>
      <c r="F521">
        <f>IF($B521="","",INDEX(Suivi!$G:$G,531))</f>
        <v/>
      </c>
      <c r="H521">
        <f>IF(OR($B521="",NOT(ISNUMBER($D521))),"",IF($E521&lt;$D$2,"Passé",IF($D521&gt;$F$2,"À venir","Dans la période")))</f>
        <v/>
      </c>
      <c r="I521">
        <f>IF(OR($B521="",NOT(ISNUMBER($D521))),"",IF(AND($E521&lt;$D$2,$G521&lt;&gt;"X",$F521&lt;&gt;"Réalisé",$F521&lt;&gt;"Clôturé"),"RETARD",""))</f>
        <v/>
      </c>
      <c r="J521" s="29">
        <f>IF($B521="","",IF(INDEX(Dossiers!$F$4:$F$63,10)="","",INDEX(Dossiers!$F$4:$F$63,10)))</f>
        <v/>
      </c>
      <c r="K521" s="29">
        <f>IF($B521="","",IF(INDEX(Dossiers!$G$4:$G$63,10)="","",INDEX(Dossiers!$G$4:$G$63,10)))</f>
        <v/>
      </c>
    </row>
    <row r="522">
      <c r="A522">
        <f>IF($B522="","",INDEX(Dossiers!$E$4:$E$63,10))</f>
        <v/>
      </c>
      <c r="B522">
        <f>IF(INDEX(Suivi!$B:$B,532)="","",INDEX(Suivi!$B:$B,532))</f>
        <v/>
      </c>
      <c r="C522">
        <f>IF($B522="","",IF(INDEX(Suivi!$D:$D,532)="",INDEX(Suivi!$C:$C,532),INDEX(Suivi!$D:$D,532)))</f>
        <v/>
      </c>
      <c r="D522" s="29">
        <f>IF($B522="","",INDEX(Suivi!$E:$E,532))</f>
        <v/>
      </c>
      <c r="E522" s="29">
        <f>IF($B522="","",INDEX(Suivi!$F:$F,532))</f>
        <v/>
      </c>
      <c r="F522">
        <f>IF($B522="","",INDEX(Suivi!$G:$G,532))</f>
        <v/>
      </c>
      <c r="H522">
        <f>IF(OR($B522="",NOT(ISNUMBER($D522))),"",IF($E522&lt;$D$2,"Passé",IF($D522&gt;$F$2,"À venir","Dans la période")))</f>
        <v/>
      </c>
      <c r="I522">
        <f>IF(OR($B522="",NOT(ISNUMBER($D522))),"",IF(AND($E522&lt;$D$2,$G522&lt;&gt;"X",$F522&lt;&gt;"Réalisé",$F522&lt;&gt;"Clôturé"),"RETARD",""))</f>
        <v/>
      </c>
      <c r="J522" s="29">
        <f>IF($B522="","",IF(INDEX(Dossiers!$F$4:$F$63,10)="","",INDEX(Dossiers!$F$4:$F$63,10)))</f>
        <v/>
      </c>
      <c r="K522" s="29">
        <f>IF($B522="","",IF(INDEX(Dossiers!$G$4:$G$63,10)="","",INDEX(Dossiers!$G$4:$G$63,10)))</f>
        <v/>
      </c>
    </row>
    <row r="523">
      <c r="A523">
        <f>IF($B523="","",INDEX(Dossiers!$E$4:$E$63,10))</f>
        <v/>
      </c>
      <c r="B523">
        <f>IF(INDEX(Suivi!$B:$B,533)="","",INDEX(Suivi!$B:$B,533))</f>
        <v/>
      </c>
      <c r="C523">
        <f>IF($B523="","",IF(INDEX(Suivi!$D:$D,533)="",INDEX(Suivi!$C:$C,533),INDEX(Suivi!$D:$D,533)))</f>
        <v/>
      </c>
      <c r="D523" s="29">
        <f>IF($B523="","",INDEX(Suivi!$E:$E,533))</f>
        <v/>
      </c>
      <c r="E523" s="29">
        <f>IF($B523="","",INDEX(Suivi!$F:$F,533))</f>
        <v/>
      </c>
      <c r="F523">
        <f>IF($B523="","",INDEX(Suivi!$G:$G,533))</f>
        <v/>
      </c>
      <c r="H523">
        <f>IF(OR($B523="",NOT(ISNUMBER($D523))),"",IF($E523&lt;$D$2,"Passé",IF($D523&gt;$F$2,"À venir","Dans la période")))</f>
        <v/>
      </c>
      <c r="I523">
        <f>IF(OR($B523="",NOT(ISNUMBER($D523))),"",IF(AND($E523&lt;$D$2,$G523&lt;&gt;"X",$F523&lt;&gt;"Réalisé",$F523&lt;&gt;"Clôturé"),"RETARD",""))</f>
        <v/>
      </c>
      <c r="J523" s="29">
        <f>IF($B523="","",IF(INDEX(Dossiers!$F$4:$F$63,10)="","",INDEX(Dossiers!$F$4:$F$63,10)))</f>
        <v/>
      </c>
      <c r="K523" s="29">
        <f>IF($B523="","",IF(INDEX(Dossiers!$G$4:$G$63,10)="","",INDEX(Dossiers!$G$4:$G$63,10)))</f>
        <v/>
      </c>
    </row>
    <row r="524">
      <c r="A524">
        <f>IF($B524="","",INDEX(Dossiers!$E$4:$E$63,10))</f>
        <v/>
      </c>
      <c r="B524">
        <f>IF(INDEX(Suivi!$B:$B,534)="","",INDEX(Suivi!$B:$B,534))</f>
        <v/>
      </c>
      <c r="C524">
        <f>IF($B524="","",IF(INDEX(Suivi!$D:$D,534)="",INDEX(Suivi!$C:$C,534),INDEX(Suivi!$D:$D,534)))</f>
        <v/>
      </c>
      <c r="D524" s="29">
        <f>IF($B524="","",INDEX(Suivi!$E:$E,534))</f>
        <v/>
      </c>
      <c r="E524" s="29">
        <f>IF($B524="","",INDEX(Suivi!$F:$F,534))</f>
        <v/>
      </c>
      <c r="F524">
        <f>IF($B524="","",INDEX(Suivi!$G:$G,534))</f>
        <v/>
      </c>
      <c r="H524">
        <f>IF(OR($B524="",NOT(ISNUMBER($D524))),"",IF($E524&lt;$D$2,"Passé",IF($D524&gt;$F$2,"À venir","Dans la période")))</f>
        <v/>
      </c>
      <c r="I524">
        <f>IF(OR($B524="",NOT(ISNUMBER($D524))),"",IF(AND($E524&lt;$D$2,$G524&lt;&gt;"X",$F524&lt;&gt;"Réalisé",$F524&lt;&gt;"Clôturé"),"RETARD",""))</f>
        <v/>
      </c>
      <c r="J524" s="29">
        <f>IF($B524="","",IF(INDEX(Dossiers!$F$4:$F$63,10)="","",INDEX(Dossiers!$F$4:$F$63,10)))</f>
        <v/>
      </c>
      <c r="K524" s="29">
        <f>IF($B524="","",IF(INDEX(Dossiers!$G$4:$G$63,10)="","",INDEX(Dossiers!$G$4:$G$63,10)))</f>
        <v/>
      </c>
    </row>
    <row r="525">
      <c r="A525">
        <f>IF($B525="","",INDEX(Dossiers!$E$4:$E$63,10))</f>
        <v/>
      </c>
      <c r="B525">
        <f>IF(INDEX(Suivi!$B:$B,535)="","",INDEX(Suivi!$B:$B,535))</f>
        <v/>
      </c>
      <c r="C525">
        <f>IF($B525="","",IF(INDEX(Suivi!$D:$D,535)="",INDEX(Suivi!$C:$C,535),INDEX(Suivi!$D:$D,535)))</f>
        <v/>
      </c>
      <c r="D525" s="29">
        <f>IF($B525="","",INDEX(Suivi!$E:$E,535))</f>
        <v/>
      </c>
      <c r="E525" s="29">
        <f>IF($B525="","",INDEX(Suivi!$F:$F,535))</f>
        <v/>
      </c>
      <c r="F525">
        <f>IF($B525="","",INDEX(Suivi!$G:$G,535))</f>
        <v/>
      </c>
      <c r="H525">
        <f>IF(OR($B525="",NOT(ISNUMBER($D525))),"",IF($E525&lt;$D$2,"Passé",IF($D525&gt;$F$2,"À venir","Dans la période")))</f>
        <v/>
      </c>
      <c r="I525">
        <f>IF(OR($B525="",NOT(ISNUMBER($D525))),"",IF(AND($E525&lt;$D$2,$G525&lt;&gt;"X",$F525&lt;&gt;"Réalisé",$F525&lt;&gt;"Clôturé"),"RETARD",""))</f>
        <v/>
      </c>
      <c r="J525" s="29">
        <f>IF($B525="","",IF(INDEX(Dossiers!$F$4:$F$63,10)="","",INDEX(Dossiers!$F$4:$F$63,10)))</f>
        <v/>
      </c>
      <c r="K525" s="29">
        <f>IF($B525="","",IF(INDEX(Dossiers!$G$4:$G$63,10)="","",INDEX(Dossiers!$G$4:$G$63,10)))</f>
        <v/>
      </c>
    </row>
    <row r="526">
      <c r="A526">
        <f>IF($B526="","",INDEX(Dossiers!$E$4:$E$63,10))</f>
        <v/>
      </c>
      <c r="B526">
        <f>IF(INDEX(Suivi!$B:$B,536)="","",INDEX(Suivi!$B:$B,536))</f>
        <v/>
      </c>
      <c r="C526">
        <f>IF($B526="","",IF(INDEX(Suivi!$D:$D,536)="",INDEX(Suivi!$C:$C,536),INDEX(Suivi!$D:$D,536)))</f>
        <v/>
      </c>
      <c r="D526" s="29">
        <f>IF($B526="","",INDEX(Suivi!$E:$E,536))</f>
        <v/>
      </c>
      <c r="E526" s="29">
        <f>IF($B526="","",INDEX(Suivi!$F:$F,536))</f>
        <v/>
      </c>
      <c r="F526">
        <f>IF($B526="","",INDEX(Suivi!$G:$G,536))</f>
        <v/>
      </c>
      <c r="H526">
        <f>IF(OR($B526="",NOT(ISNUMBER($D526))),"",IF($E526&lt;$D$2,"Passé",IF($D526&gt;$F$2,"À venir","Dans la période")))</f>
        <v/>
      </c>
      <c r="I526">
        <f>IF(OR($B526="",NOT(ISNUMBER($D526))),"",IF(AND($E526&lt;$D$2,$G526&lt;&gt;"X",$F526&lt;&gt;"Réalisé",$F526&lt;&gt;"Clôturé"),"RETARD",""))</f>
        <v/>
      </c>
      <c r="J526" s="29">
        <f>IF($B526="","",IF(INDEX(Dossiers!$F$4:$F$63,10)="","",INDEX(Dossiers!$F$4:$F$63,10)))</f>
        <v/>
      </c>
      <c r="K526" s="29">
        <f>IF($B526="","",IF(INDEX(Dossiers!$G$4:$G$63,10)="","",INDEX(Dossiers!$G$4:$G$63,10)))</f>
        <v/>
      </c>
    </row>
    <row r="527">
      <c r="A527">
        <f>IF($B527="","",INDEX(Dossiers!$E$4:$E$63,10))</f>
        <v/>
      </c>
      <c r="B527">
        <f>IF(INDEX(Suivi!$B:$B,537)="","",INDEX(Suivi!$B:$B,537))</f>
        <v/>
      </c>
      <c r="C527">
        <f>IF($B527="","",IF(INDEX(Suivi!$D:$D,537)="",INDEX(Suivi!$C:$C,537),INDEX(Suivi!$D:$D,537)))</f>
        <v/>
      </c>
      <c r="D527" s="29">
        <f>IF($B527="","",INDEX(Suivi!$E:$E,537))</f>
        <v/>
      </c>
      <c r="E527" s="29">
        <f>IF($B527="","",INDEX(Suivi!$F:$F,537))</f>
        <v/>
      </c>
      <c r="F527">
        <f>IF($B527="","",INDEX(Suivi!$G:$G,537))</f>
        <v/>
      </c>
      <c r="H527">
        <f>IF(OR($B527="",NOT(ISNUMBER($D527))),"",IF($E527&lt;$D$2,"Passé",IF($D527&gt;$F$2,"À venir","Dans la période")))</f>
        <v/>
      </c>
      <c r="I527">
        <f>IF(OR($B527="",NOT(ISNUMBER($D527))),"",IF(AND($E527&lt;$D$2,$G527&lt;&gt;"X",$F527&lt;&gt;"Réalisé",$F527&lt;&gt;"Clôturé"),"RETARD",""))</f>
        <v/>
      </c>
      <c r="J527" s="29">
        <f>IF($B527="","",IF(INDEX(Dossiers!$F$4:$F$63,10)="","",INDEX(Dossiers!$F$4:$F$63,10)))</f>
        <v/>
      </c>
      <c r="K527" s="29">
        <f>IF($B527="","",IF(INDEX(Dossiers!$G$4:$G$63,10)="","",INDEX(Dossiers!$G$4:$G$63,10)))</f>
        <v/>
      </c>
    </row>
    <row r="528">
      <c r="A528">
        <f>IF($B528="","",INDEX(Dossiers!$E$4:$E$63,10))</f>
        <v/>
      </c>
      <c r="B528">
        <f>IF(INDEX(Suivi!$B:$B,538)="","",INDEX(Suivi!$B:$B,538))</f>
        <v/>
      </c>
      <c r="C528">
        <f>IF($B528="","",IF(INDEX(Suivi!$D:$D,538)="",INDEX(Suivi!$C:$C,538),INDEX(Suivi!$D:$D,538)))</f>
        <v/>
      </c>
      <c r="D528" s="29">
        <f>IF($B528="","",INDEX(Suivi!$E:$E,538))</f>
        <v/>
      </c>
      <c r="E528" s="29">
        <f>IF($B528="","",INDEX(Suivi!$F:$F,538))</f>
        <v/>
      </c>
      <c r="F528">
        <f>IF($B528="","",INDEX(Suivi!$G:$G,538))</f>
        <v/>
      </c>
      <c r="H528">
        <f>IF(OR($B528="",NOT(ISNUMBER($D528))),"",IF($E528&lt;$D$2,"Passé",IF($D528&gt;$F$2,"À venir","Dans la période")))</f>
        <v/>
      </c>
      <c r="I528">
        <f>IF(OR($B528="",NOT(ISNUMBER($D528))),"",IF(AND($E528&lt;$D$2,$G528&lt;&gt;"X",$F528&lt;&gt;"Réalisé",$F528&lt;&gt;"Clôturé"),"RETARD",""))</f>
        <v/>
      </c>
      <c r="J528" s="29">
        <f>IF($B528="","",IF(INDEX(Dossiers!$F$4:$F$63,10)="","",INDEX(Dossiers!$F$4:$F$63,10)))</f>
        <v/>
      </c>
      <c r="K528" s="29">
        <f>IF($B528="","",IF(INDEX(Dossiers!$G$4:$G$63,10)="","",INDEX(Dossiers!$G$4:$G$63,10)))</f>
        <v/>
      </c>
    </row>
    <row r="529">
      <c r="A529">
        <f>IF($B529="","",INDEX(Dossiers!$E$4:$E$63,10))</f>
        <v/>
      </c>
      <c r="B529">
        <f>IF(INDEX(Suivi!$B:$B,539)="","",INDEX(Suivi!$B:$B,539))</f>
        <v/>
      </c>
      <c r="C529">
        <f>IF($B529="","",IF(INDEX(Suivi!$D:$D,539)="",INDEX(Suivi!$C:$C,539),INDEX(Suivi!$D:$D,539)))</f>
        <v/>
      </c>
      <c r="D529" s="29">
        <f>IF($B529="","",INDEX(Suivi!$E:$E,539))</f>
        <v/>
      </c>
      <c r="E529" s="29">
        <f>IF($B529="","",INDEX(Suivi!$F:$F,539))</f>
        <v/>
      </c>
      <c r="F529">
        <f>IF($B529="","",INDEX(Suivi!$G:$G,539))</f>
        <v/>
      </c>
      <c r="H529">
        <f>IF(OR($B529="",NOT(ISNUMBER($D529))),"",IF($E529&lt;$D$2,"Passé",IF($D529&gt;$F$2,"À venir","Dans la période")))</f>
        <v/>
      </c>
      <c r="I529">
        <f>IF(OR($B529="",NOT(ISNUMBER($D529))),"",IF(AND($E529&lt;$D$2,$G529&lt;&gt;"X",$F529&lt;&gt;"Réalisé",$F529&lt;&gt;"Clôturé"),"RETARD",""))</f>
        <v/>
      </c>
      <c r="J529" s="29">
        <f>IF($B529="","",IF(INDEX(Dossiers!$F$4:$F$63,10)="","",INDEX(Dossiers!$F$4:$F$63,10)))</f>
        <v/>
      </c>
      <c r="K529" s="29">
        <f>IF($B529="","",IF(INDEX(Dossiers!$G$4:$G$63,10)="","",INDEX(Dossiers!$G$4:$G$63,10)))</f>
        <v/>
      </c>
    </row>
    <row r="530">
      <c r="A530">
        <f>IF($B530="","",INDEX(Dossiers!$E$4:$E$63,10))</f>
        <v/>
      </c>
      <c r="B530">
        <f>IF(INDEX(Suivi!$B:$B,540)="","",INDEX(Suivi!$B:$B,540))</f>
        <v/>
      </c>
      <c r="C530">
        <f>IF($B530="","",IF(INDEX(Suivi!$D:$D,540)="",INDEX(Suivi!$C:$C,540),INDEX(Suivi!$D:$D,540)))</f>
        <v/>
      </c>
      <c r="D530" s="29">
        <f>IF($B530="","",INDEX(Suivi!$E:$E,540))</f>
        <v/>
      </c>
      <c r="E530" s="29">
        <f>IF($B530="","",INDEX(Suivi!$F:$F,540))</f>
        <v/>
      </c>
      <c r="F530">
        <f>IF($B530="","",INDEX(Suivi!$G:$G,540))</f>
        <v/>
      </c>
      <c r="H530">
        <f>IF(OR($B530="",NOT(ISNUMBER($D530))),"",IF($E530&lt;$D$2,"Passé",IF($D530&gt;$F$2,"À venir","Dans la période")))</f>
        <v/>
      </c>
      <c r="I530">
        <f>IF(OR($B530="",NOT(ISNUMBER($D530))),"",IF(AND($E530&lt;$D$2,$G530&lt;&gt;"X",$F530&lt;&gt;"Réalisé",$F530&lt;&gt;"Clôturé"),"RETARD",""))</f>
        <v/>
      </c>
      <c r="J530" s="29">
        <f>IF($B530="","",IF(INDEX(Dossiers!$F$4:$F$63,10)="","",INDEX(Dossiers!$F$4:$F$63,10)))</f>
        <v/>
      </c>
      <c r="K530" s="29">
        <f>IF($B530="","",IF(INDEX(Dossiers!$G$4:$G$63,10)="","",INDEX(Dossiers!$G$4:$G$63,10)))</f>
        <v/>
      </c>
    </row>
    <row r="531">
      <c r="A531">
        <f>IF($B531="","",INDEX(Dossiers!$E$4:$E$63,10))</f>
        <v/>
      </c>
      <c r="B531">
        <f>IF(INDEX(Suivi!$B:$B,541)="","",INDEX(Suivi!$B:$B,541))</f>
        <v/>
      </c>
      <c r="C531">
        <f>IF($B531="","",IF(INDEX(Suivi!$D:$D,541)="",INDEX(Suivi!$C:$C,541),INDEX(Suivi!$D:$D,541)))</f>
        <v/>
      </c>
      <c r="D531" s="29">
        <f>IF($B531="","",INDEX(Suivi!$E:$E,541))</f>
        <v/>
      </c>
      <c r="E531" s="29">
        <f>IF($B531="","",INDEX(Suivi!$F:$F,541))</f>
        <v/>
      </c>
      <c r="F531">
        <f>IF($B531="","",INDEX(Suivi!$G:$G,541))</f>
        <v/>
      </c>
      <c r="H531">
        <f>IF(OR($B531="",NOT(ISNUMBER($D531))),"",IF($E531&lt;$D$2,"Passé",IF($D531&gt;$F$2,"À venir","Dans la période")))</f>
        <v/>
      </c>
      <c r="I531">
        <f>IF(OR($B531="",NOT(ISNUMBER($D531))),"",IF(AND($E531&lt;$D$2,$G531&lt;&gt;"X",$F531&lt;&gt;"Réalisé",$F531&lt;&gt;"Clôturé"),"RETARD",""))</f>
        <v/>
      </c>
      <c r="J531" s="29">
        <f>IF($B531="","",IF(INDEX(Dossiers!$F$4:$F$63,10)="","",INDEX(Dossiers!$F$4:$F$63,10)))</f>
        <v/>
      </c>
      <c r="K531" s="29">
        <f>IF($B531="","",IF(INDEX(Dossiers!$G$4:$G$63,10)="","",INDEX(Dossiers!$G$4:$G$63,10)))</f>
        <v/>
      </c>
    </row>
    <row r="532">
      <c r="A532">
        <f>IF($B532="","",INDEX(Dossiers!$E$4:$E$63,10))</f>
        <v/>
      </c>
      <c r="B532">
        <f>IF(INDEX(Suivi!$B:$B,542)="","",INDEX(Suivi!$B:$B,542))</f>
        <v/>
      </c>
      <c r="C532">
        <f>IF($B532="","",IF(INDEX(Suivi!$D:$D,542)="",INDEX(Suivi!$C:$C,542),INDEX(Suivi!$D:$D,542)))</f>
        <v/>
      </c>
      <c r="D532" s="29">
        <f>IF($B532="","",INDEX(Suivi!$E:$E,542))</f>
        <v/>
      </c>
      <c r="E532" s="29">
        <f>IF($B532="","",INDEX(Suivi!$F:$F,542))</f>
        <v/>
      </c>
      <c r="F532">
        <f>IF($B532="","",INDEX(Suivi!$G:$G,542))</f>
        <v/>
      </c>
      <c r="H532">
        <f>IF(OR($B532="",NOT(ISNUMBER($D532))),"",IF($E532&lt;$D$2,"Passé",IF($D532&gt;$F$2,"À venir","Dans la période")))</f>
        <v/>
      </c>
      <c r="I532">
        <f>IF(OR($B532="",NOT(ISNUMBER($D532))),"",IF(AND($E532&lt;$D$2,$G532&lt;&gt;"X",$F532&lt;&gt;"Réalisé",$F532&lt;&gt;"Clôturé"),"RETARD",""))</f>
        <v/>
      </c>
      <c r="J532" s="29">
        <f>IF($B532="","",IF(INDEX(Dossiers!$F$4:$F$63,10)="","",INDEX(Dossiers!$F$4:$F$63,10)))</f>
        <v/>
      </c>
      <c r="K532" s="29">
        <f>IF($B532="","",IF(INDEX(Dossiers!$G$4:$G$63,10)="","",INDEX(Dossiers!$G$4:$G$63,10)))</f>
        <v/>
      </c>
    </row>
    <row r="533">
      <c r="A533">
        <f>IF($B533="","",INDEX(Dossiers!$E$4:$E$63,10))</f>
        <v/>
      </c>
      <c r="B533">
        <f>IF(INDEX(Suivi!$B:$B,543)="","",INDEX(Suivi!$B:$B,543))</f>
        <v/>
      </c>
      <c r="C533">
        <f>IF($B533="","",IF(INDEX(Suivi!$D:$D,543)="",INDEX(Suivi!$C:$C,543),INDEX(Suivi!$D:$D,543)))</f>
        <v/>
      </c>
      <c r="D533" s="29">
        <f>IF($B533="","",INDEX(Suivi!$E:$E,543))</f>
        <v/>
      </c>
      <c r="E533" s="29">
        <f>IF($B533="","",INDEX(Suivi!$F:$F,543))</f>
        <v/>
      </c>
      <c r="F533">
        <f>IF($B533="","",INDEX(Suivi!$G:$G,543))</f>
        <v/>
      </c>
      <c r="H533">
        <f>IF(OR($B533="",NOT(ISNUMBER($D533))),"",IF($E533&lt;$D$2,"Passé",IF($D533&gt;$F$2,"À venir","Dans la période")))</f>
        <v/>
      </c>
      <c r="I533">
        <f>IF(OR($B533="",NOT(ISNUMBER($D533))),"",IF(AND($E533&lt;$D$2,$G533&lt;&gt;"X",$F533&lt;&gt;"Réalisé",$F533&lt;&gt;"Clôturé"),"RETARD",""))</f>
        <v/>
      </c>
      <c r="J533" s="29">
        <f>IF($B533="","",IF(INDEX(Dossiers!$F$4:$F$63,10)="","",INDEX(Dossiers!$F$4:$F$63,10)))</f>
        <v/>
      </c>
      <c r="K533" s="29">
        <f>IF($B533="","",IF(INDEX(Dossiers!$G$4:$G$63,10)="","",INDEX(Dossiers!$G$4:$G$63,10)))</f>
        <v/>
      </c>
    </row>
    <row r="534">
      <c r="A534">
        <f>IF($B534="","",INDEX(Dossiers!$E$4:$E$63,11))</f>
        <v/>
      </c>
      <c r="B534">
        <f>IF(INDEX(Suivi!$B:$B,545)="","",INDEX(Suivi!$B:$B,545))</f>
        <v/>
      </c>
      <c r="C534">
        <f>IF($B534="","",IF(INDEX(Suivi!$D:$D,545)="",INDEX(Suivi!$C:$C,545),INDEX(Suivi!$D:$D,545)))</f>
        <v/>
      </c>
      <c r="D534" s="29">
        <f>IF($B534="","",INDEX(Suivi!$E:$E,545))</f>
        <v/>
      </c>
      <c r="E534" s="29">
        <f>IF($B534="","",INDEX(Suivi!$F:$F,545))</f>
        <v/>
      </c>
      <c r="F534">
        <f>IF($B534="","",INDEX(Suivi!$G:$G,545))</f>
        <v/>
      </c>
      <c r="H534">
        <f>IF(OR($B534="",NOT(ISNUMBER($D534))),"",IF($E534&lt;$D$2,"Passé",IF($D534&gt;$F$2,"À venir","Dans la période")))</f>
        <v/>
      </c>
      <c r="I534">
        <f>IF(OR($B534="",NOT(ISNUMBER($D534))),"",IF(AND($E534&lt;$D$2,$G534&lt;&gt;"X",$F534&lt;&gt;"Réalisé",$F534&lt;&gt;"Clôturé"),"RETARD",""))</f>
        <v/>
      </c>
      <c r="J534" s="29">
        <f>IF($B534="","",IF(INDEX(Dossiers!$F$4:$F$63,11)="","",INDEX(Dossiers!$F$4:$F$63,11)))</f>
        <v/>
      </c>
      <c r="K534" s="29">
        <f>IF($B534="","",IF(INDEX(Dossiers!$G$4:$G$63,11)="","",INDEX(Dossiers!$G$4:$G$63,11)))</f>
        <v/>
      </c>
    </row>
    <row r="535">
      <c r="A535">
        <f>IF($B535="","",INDEX(Dossiers!$E$4:$E$63,11))</f>
        <v/>
      </c>
      <c r="B535">
        <f>IF(INDEX(Suivi!$B:$B,546)="","",INDEX(Suivi!$B:$B,546))</f>
        <v/>
      </c>
      <c r="C535">
        <f>IF($B535="","",IF(INDEX(Suivi!$D:$D,546)="",INDEX(Suivi!$C:$C,546),INDEX(Suivi!$D:$D,546)))</f>
        <v/>
      </c>
      <c r="D535" s="29">
        <f>IF($B535="","",INDEX(Suivi!$E:$E,546))</f>
        <v/>
      </c>
      <c r="E535" s="29">
        <f>IF($B535="","",INDEX(Suivi!$F:$F,546))</f>
        <v/>
      </c>
      <c r="F535">
        <f>IF($B535="","",INDEX(Suivi!$G:$G,546))</f>
        <v/>
      </c>
      <c r="H535">
        <f>IF(OR($B535="",NOT(ISNUMBER($D535))),"",IF($E535&lt;$D$2,"Passé",IF($D535&gt;$F$2,"À venir","Dans la période")))</f>
        <v/>
      </c>
      <c r="I535">
        <f>IF(OR($B535="",NOT(ISNUMBER($D535))),"",IF(AND($E535&lt;$D$2,$G535&lt;&gt;"X",$F535&lt;&gt;"Réalisé",$F535&lt;&gt;"Clôturé"),"RETARD",""))</f>
        <v/>
      </c>
      <c r="J535" s="29">
        <f>IF($B535="","",IF(INDEX(Dossiers!$F$4:$F$63,11)="","",INDEX(Dossiers!$F$4:$F$63,11)))</f>
        <v/>
      </c>
      <c r="K535" s="29">
        <f>IF($B535="","",IF(INDEX(Dossiers!$G$4:$G$63,11)="","",INDEX(Dossiers!$G$4:$G$63,11)))</f>
        <v/>
      </c>
    </row>
    <row r="536">
      <c r="A536">
        <f>IF($B536="","",INDEX(Dossiers!$E$4:$E$63,11))</f>
        <v/>
      </c>
      <c r="B536">
        <f>IF(INDEX(Suivi!$B:$B,547)="","",INDEX(Suivi!$B:$B,547))</f>
        <v/>
      </c>
      <c r="C536">
        <f>IF($B536="","",IF(INDEX(Suivi!$D:$D,547)="",INDEX(Suivi!$C:$C,547),INDEX(Suivi!$D:$D,547)))</f>
        <v/>
      </c>
      <c r="D536" s="29">
        <f>IF($B536="","",INDEX(Suivi!$E:$E,547))</f>
        <v/>
      </c>
      <c r="E536" s="29">
        <f>IF($B536="","",INDEX(Suivi!$F:$F,547))</f>
        <v/>
      </c>
      <c r="F536">
        <f>IF($B536="","",INDEX(Suivi!$G:$G,547))</f>
        <v/>
      </c>
      <c r="H536">
        <f>IF(OR($B536="",NOT(ISNUMBER($D536))),"",IF($E536&lt;$D$2,"Passé",IF($D536&gt;$F$2,"À venir","Dans la période")))</f>
        <v/>
      </c>
      <c r="I536">
        <f>IF(OR($B536="",NOT(ISNUMBER($D536))),"",IF(AND($E536&lt;$D$2,$G536&lt;&gt;"X",$F536&lt;&gt;"Réalisé",$F536&lt;&gt;"Clôturé"),"RETARD",""))</f>
        <v/>
      </c>
      <c r="J536" s="29">
        <f>IF($B536="","",IF(INDEX(Dossiers!$F$4:$F$63,11)="","",INDEX(Dossiers!$F$4:$F$63,11)))</f>
        <v/>
      </c>
      <c r="K536" s="29">
        <f>IF($B536="","",IF(INDEX(Dossiers!$G$4:$G$63,11)="","",INDEX(Dossiers!$G$4:$G$63,11)))</f>
        <v/>
      </c>
    </row>
    <row r="537">
      <c r="A537">
        <f>IF($B537="","",INDEX(Dossiers!$E$4:$E$63,11))</f>
        <v/>
      </c>
      <c r="B537">
        <f>IF(INDEX(Suivi!$B:$B,548)="","",INDEX(Suivi!$B:$B,548))</f>
        <v/>
      </c>
      <c r="C537">
        <f>IF($B537="","",IF(INDEX(Suivi!$D:$D,548)="",INDEX(Suivi!$C:$C,548),INDEX(Suivi!$D:$D,548)))</f>
        <v/>
      </c>
      <c r="D537" s="29">
        <f>IF($B537="","",INDEX(Suivi!$E:$E,548))</f>
        <v/>
      </c>
      <c r="E537" s="29">
        <f>IF($B537="","",INDEX(Suivi!$F:$F,548))</f>
        <v/>
      </c>
      <c r="F537">
        <f>IF($B537="","",INDEX(Suivi!$G:$G,548))</f>
        <v/>
      </c>
      <c r="H537">
        <f>IF(OR($B537="",NOT(ISNUMBER($D537))),"",IF($E537&lt;$D$2,"Passé",IF($D537&gt;$F$2,"À venir","Dans la période")))</f>
        <v/>
      </c>
      <c r="I537">
        <f>IF(OR($B537="",NOT(ISNUMBER($D537))),"",IF(AND($E537&lt;$D$2,$G537&lt;&gt;"X",$F537&lt;&gt;"Réalisé",$F537&lt;&gt;"Clôturé"),"RETARD",""))</f>
        <v/>
      </c>
      <c r="J537" s="29">
        <f>IF($B537="","",IF(INDEX(Dossiers!$F$4:$F$63,11)="","",INDEX(Dossiers!$F$4:$F$63,11)))</f>
        <v/>
      </c>
      <c r="K537" s="29">
        <f>IF($B537="","",IF(INDEX(Dossiers!$G$4:$G$63,11)="","",INDEX(Dossiers!$G$4:$G$63,11)))</f>
        <v/>
      </c>
    </row>
    <row r="538">
      <c r="A538">
        <f>IF($B538="","",INDEX(Dossiers!$E$4:$E$63,11))</f>
        <v/>
      </c>
      <c r="B538">
        <f>IF(INDEX(Suivi!$B:$B,549)="","",INDEX(Suivi!$B:$B,549))</f>
        <v/>
      </c>
      <c r="C538">
        <f>IF($B538="","",IF(INDEX(Suivi!$D:$D,549)="",INDEX(Suivi!$C:$C,549),INDEX(Suivi!$D:$D,549)))</f>
        <v/>
      </c>
      <c r="D538" s="29">
        <f>IF($B538="","",INDEX(Suivi!$E:$E,549))</f>
        <v/>
      </c>
      <c r="E538" s="29">
        <f>IF($B538="","",INDEX(Suivi!$F:$F,549))</f>
        <v/>
      </c>
      <c r="F538">
        <f>IF($B538="","",INDEX(Suivi!$G:$G,549))</f>
        <v/>
      </c>
      <c r="H538">
        <f>IF(OR($B538="",NOT(ISNUMBER($D538))),"",IF($E538&lt;$D$2,"Passé",IF($D538&gt;$F$2,"À venir","Dans la période")))</f>
        <v/>
      </c>
      <c r="I538">
        <f>IF(OR($B538="",NOT(ISNUMBER($D538))),"",IF(AND($E538&lt;$D$2,$G538&lt;&gt;"X",$F538&lt;&gt;"Réalisé",$F538&lt;&gt;"Clôturé"),"RETARD",""))</f>
        <v/>
      </c>
      <c r="J538" s="29">
        <f>IF($B538="","",IF(INDEX(Dossiers!$F$4:$F$63,11)="","",INDEX(Dossiers!$F$4:$F$63,11)))</f>
        <v/>
      </c>
      <c r="K538" s="29">
        <f>IF($B538="","",IF(INDEX(Dossiers!$G$4:$G$63,11)="","",INDEX(Dossiers!$G$4:$G$63,11)))</f>
        <v/>
      </c>
    </row>
    <row r="539">
      <c r="A539">
        <f>IF($B539="","",INDEX(Dossiers!$E$4:$E$63,11))</f>
        <v/>
      </c>
      <c r="B539">
        <f>IF(INDEX(Suivi!$B:$B,550)="","",INDEX(Suivi!$B:$B,550))</f>
        <v/>
      </c>
      <c r="C539">
        <f>IF($B539="","",IF(INDEX(Suivi!$D:$D,550)="",INDEX(Suivi!$C:$C,550),INDEX(Suivi!$D:$D,550)))</f>
        <v/>
      </c>
      <c r="D539" s="29">
        <f>IF($B539="","",INDEX(Suivi!$E:$E,550))</f>
        <v/>
      </c>
      <c r="E539" s="29">
        <f>IF($B539="","",INDEX(Suivi!$F:$F,550))</f>
        <v/>
      </c>
      <c r="F539">
        <f>IF($B539="","",INDEX(Suivi!$G:$G,550))</f>
        <v/>
      </c>
      <c r="H539">
        <f>IF(OR($B539="",NOT(ISNUMBER($D539))),"",IF($E539&lt;$D$2,"Passé",IF($D539&gt;$F$2,"À venir","Dans la période")))</f>
        <v/>
      </c>
      <c r="I539">
        <f>IF(OR($B539="",NOT(ISNUMBER($D539))),"",IF(AND($E539&lt;$D$2,$G539&lt;&gt;"X",$F539&lt;&gt;"Réalisé",$F539&lt;&gt;"Clôturé"),"RETARD",""))</f>
        <v/>
      </c>
      <c r="J539" s="29">
        <f>IF($B539="","",IF(INDEX(Dossiers!$F$4:$F$63,11)="","",INDEX(Dossiers!$F$4:$F$63,11)))</f>
        <v/>
      </c>
      <c r="K539" s="29">
        <f>IF($B539="","",IF(INDEX(Dossiers!$G$4:$G$63,11)="","",INDEX(Dossiers!$G$4:$G$63,11)))</f>
        <v/>
      </c>
    </row>
    <row r="540">
      <c r="A540">
        <f>IF($B540="","",INDEX(Dossiers!$E$4:$E$63,11))</f>
        <v/>
      </c>
      <c r="B540">
        <f>IF(INDEX(Suivi!$B:$B,551)="","",INDEX(Suivi!$B:$B,551))</f>
        <v/>
      </c>
      <c r="C540">
        <f>IF($B540="","",IF(INDEX(Suivi!$D:$D,551)="",INDEX(Suivi!$C:$C,551),INDEX(Suivi!$D:$D,551)))</f>
        <v/>
      </c>
      <c r="D540" s="29">
        <f>IF($B540="","",INDEX(Suivi!$E:$E,551))</f>
        <v/>
      </c>
      <c r="E540" s="29">
        <f>IF($B540="","",INDEX(Suivi!$F:$F,551))</f>
        <v/>
      </c>
      <c r="F540">
        <f>IF($B540="","",INDEX(Suivi!$G:$G,551))</f>
        <v/>
      </c>
      <c r="H540">
        <f>IF(OR($B540="",NOT(ISNUMBER($D540))),"",IF($E540&lt;$D$2,"Passé",IF($D540&gt;$F$2,"À venir","Dans la période")))</f>
        <v/>
      </c>
      <c r="I540">
        <f>IF(OR($B540="",NOT(ISNUMBER($D540))),"",IF(AND($E540&lt;$D$2,$G540&lt;&gt;"X",$F540&lt;&gt;"Réalisé",$F540&lt;&gt;"Clôturé"),"RETARD",""))</f>
        <v/>
      </c>
      <c r="J540" s="29">
        <f>IF($B540="","",IF(INDEX(Dossiers!$F$4:$F$63,11)="","",INDEX(Dossiers!$F$4:$F$63,11)))</f>
        <v/>
      </c>
      <c r="K540" s="29">
        <f>IF($B540="","",IF(INDEX(Dossiers!$G$4:$G$63,11)="","",INDEX(Dossiers!$G$4:$G$63,11)))</f>
        <v/>
      </c>
    </row>
    <row r="541">
      <c r="A541">
        <f>IF($B541="","",INDEX(Dossiers!$E$4:$E$63,11))</f>
        <v/>
      </c>
      <c r="B541">
        <f>IF(INDEX(Suivi!$B:$B,552)="","",INDEX(Suivi!$B:$B,552))</f>
        <v/>
      </c>
      <c r="C541">
        <f>IF($B541="","",IF(INDEX(Suivi!$D:$D,552)="",INDEX(Suivi!$C:$C,552),INDEX(Suivi!$D:$D,552)))</f>
        <v/>
      </c>
      <c r="D541" s="29">
        <f>IF($B541="","",INDEX(Suivi!$E:$E,552))</f>
        <v/>
      </c>
      <c r="E541" s="29">
        <f>IF($B541="","",INDEX(Suivi!$F:$F,552))</f>
        <v/>
      </c>
      <c r="F541">
        <f>IF($B541="","",INDEX(Suivi!$G:$G,552))</f>
        <v/>
      </c>
      <c r="H541">
        <f>IF(OR($B541="",NOT(ISNUMBER($D541))),"",IF($E541&lt;$D$2,"Passé",IF($D541&gt;$F$2,"À venir","Dans la période")))</f>
        <v/>
      </c>
      <c r="I541">
        <f>IF(OR($B541="",NOT(ISNUMBER($D541))),"",IF(AND($E541&lt;$D$2,$G541&lt;&gt;"X",$F541&lt;&gt;"Réalisé",$F541&lt;&gt;"Clôturé"),"RETARD",""))</f>
        <v/>
      </c>
      <c r="J541" s="29">
        <f>IF($B541="","",IF(INDEX(Dossiers!$F$4:$F$63,11)="","",INDEX(Dossiers!$F$4:$F$63,11)))</f>
        <v/>
      </c>
      <c r="K541" s="29">
        <f>IF($B541="","",IF(INDEX(Dossiers!$G$4:$G$63,11)="","",INDEX(Dossiers!$G$4:$G$63,11)))</f>
        <v/>
      </c>
    </row>
    <row r="542">
      <c r="A542">
        <f>IF($B542="","",INDEX(Dossiers!$E$4:$E$63,11))</f>
        <v/>
      </c>
      <c r="B542">
        <f>IF(INDEX(Suivi!$B:$B,553)="","",INDEX(Suivi!$B:$B,553))</f>
        <v/>
      </c>
      <c r="C542">
        <f>IF($B542="","",IF(INDEX(Suivi!$D:$D,553)="",INDEX(Suivi!$C:$C,553),INDEX(Suivi!$D:$D,553)))</f>
        <v/>
      </c>
      <c r="D542" s="29">
        <f>IF($B542="","",INDEX(Suivi!$E:$E,553))</f>
        <v/>
      </c>
      <c r="E542" s="29">
        <f>IF($B542="","",INDEX(Suivi!$F:$F,553))</f>
        <v/>
      </c>
      <c r="F542">
        <f>IF($B542="","",INDEX(Suivi!$G:$G,553))</f>
        <v/>
      </c>
      <c r="H542">
        <f>IF(OR($B542="",NOT(ISNUMBER($D542))),"",IF($E542&lt;$D$2,"Passé",IF($D542&gt;$F$2,"À venir","Dans la période")))</f>
        <v/>
      </c>
      <c r="I542">
        <f>IF(OR($B542="",NOT(ISNUMBER($D542))),"",IF(AND($E542&lt;$D$2,$G542&lt;&gt;"X",$F542&lt;&gt;"Réalisé",$F542&lt;&gt;"Clôturé"),"RETARD",""))</f>
        <v/>
      </c>
      <c r="J542" s="29">
        <f>IF($B542="","",IF(INDEX(Dossiers!$F$4:$F$63,11)="","",INDEX(Dossiers!$F$4:$F$63,11)))</f>
        <v/>
      </c>
      <c r="K542" s="29">
        <f>IF($B542="","",IF(INDEX(Dossiers!$G$4:$G$63,11)="","",INDEX(Dossiers!$G$4:$G$63,11)))</f>
        <v/>
      </c>
    </row>
    <row r="543">
      <c r="A543">
        <f>IF($B543="","",INDEX(Dossiers!$E$4:$E$63,11))</f>
        <v/>
      </c>
      <c r="B543">
        <f>IF(INDEX(Suivi!$B:$B,554)="","",INDEX(Suivi!$B:$B,554))</f>
        <v/>
      </c>
      <c r="C543">
        <f>IF($B543="","",IF(INDEX(Suivi!$D:$D,554)="",INDEX(Suivi!$C:$C,554),INDEX(Suivi!$D:$D,554)))</f>
        <v/>
      </c>
      <c r="D543" s="29">
        <f>IF($B543="","",INDEX(Suivi!$E:$E,554))</f>
        <v/>
      </c>
      <c r="E543" s="29">
        <f>IF($B543="","",INDEX(Suivi!$F:$F,554))</f>
        <v/>
      </c>
      <c r="F543">
        <f>IF($B543="","",INDEX(Suivi!$G:$G,554))</f>
        <v/>
      </c>
      <c r="H543">
        <f>IF(OR($B543="",NOT(ISNUMBER($D543))),"",IF($E543&lt;$D$2,"Passé",IF($D543&gt;$F$2,"À venir","Dans la période")))</f>
        <v/>
      </c>
      <c r="I543">
        <f>IF(OR($B543="",NOT(ISNUMBER($D543))),"",IF(AND($E543&lt;$D$2,$G543&lt;&gt;"X",$F543&lt;&gt;"Réalisé",$F543&lt;&gt;"Clôturé"),"RETARD",""))</f>
        <v/>
      </c>
      <c r="J543" s="29">
        <f>IF($B543="","",IF(INDEX(Dossiers!$F$4:$F$63,11)="","",INDEX(Dossiers!$F$4:$F$63,11)))</f>
        <v/>
      </c>
      <c r="K543" s="29">
        <f>IF($B543="","",IF(INDEX(Dossiers!$G$4:$G$63,11)="","",INDEX(Dossiers!$G$4:$G$63,11)))</f>
        <v/>
      </c>
    </row>
    <row r="544">
      <c r="A544">
        <f>IF($B544="","",INDEX(Dossiers!$E$4:$E$63,11))</f>
        <v/>
      </c>
      <c r="B544">
        <f>IF(INDEX(Suivi!$B:$B,555)="","",INDEX(Suivi!$B:$B,555))</f>
        <v/>
      </c>
      <c r="C544">
        <f>IF($B544="","",IF(INDEX(Suivi!$D:$D,555)="",INDEX(Suivi!$C:$C,555),INDEX(Suivi!$D:$D,555)))</f>
        <v/>
      </c>
      <c r="D544" s="29">
        <f>IF($B544="","",INDEX(Suivi!$E:$E,555))</f>
        <v/>
      </c>
      <c r="E544" s="29">
        <f>IF($B544="","",INDEX(Suivi!$F:$F,555))</f>
        <v/>
      </c>
      <c r="F544">
        <f>IF($B544="","",INDEX(Suivi!$G:$G,555))</f>
        <v/>
      </c>
      <c r="H544">
        <f>IF(OR($B544="",NOT(ISNUMBER($D544))),"",IF($E544&lt;$D$2,"Passé",IF($D544&gt;$F$2,"À venir","Dans la période")))</f>
        <v/>
      </c>
      <c r="I544">
        <f>IF(OR($B544="",NOT(ISNUMBER($D544))),"",IF(AND($E544&lt;$D$2,$G544&lt;&gt;"X",$F544&lt;&gt;"Réalisé",$F544&lt;&gt;"Clôturé"),"RETARD",""))</f>
        <v/>
      </c>
      <c r="J544" s="29">
        <f>IF($B544="","",IF(INDEX(Dossiers!$F$4:$F$63,11)="","",INDEX(Dossiers!$F$4:$F$63,11)))</f>
        <v/>
      </c>
      <c r="K544" s="29">
        <f>IF($B544="","",IF(INDEX(Dossiers!$G$4:$G$63,11)="","",INDEX(Dossiers!$G$4:$G$63,11)))</f>
        <v/>
      </c>
    </row>
    <row r="545">
      <c r="A545">
        <f>IF($B545="","",INDEX(Dossiers!$E$4:$E$63,11))</f>
        <v/>
      </c>
      <c r="B545">
        <f>IF(INDEX(Suivi!$B:$B,556)="","",INDEX(Suivi!$B:$B,556))</f>
        <v/>
      </c>
      <c r="C545">
        <f>IF($B545="","",IF(INDEX(Suivi!$D:$D,556)="",INDEX(Suivi!$C:$C,556),INDEX(Suivi!$D:$D,556)))</f>
        <v/>
      </c>
      <c r="D545" s="29">
        <f>IF($B545="","",INDEX(Suivi!$E:$E,556))</f>
        <v/>
      </c>
      <c r="E545" s="29">
        <f>IF($B545="","",INDEX(Suivi!$F:$F,556))</f>
        <v/>
      </c>
      <c r="F545">
        <f>IF($B545="","",INDEX(Suivi!$G:$G,556))</f>
        <v/>
      </c>
      <c r="H545">
        <f>IF(OR($B545="",NOT(ISNUMBER($D545))),"",IF($E545&lt;$D$2,"Passé",IF($D545&gt;$F$2,"À venir","Dans la période")))</f>
        <v/>
      </c>
      <c r="I545">
        <f>IF(OR($B545="",NOT(ISNUMBER($D545))),"",IF(AND($E545&lt;$D$2,$G545&lt;&gt;"X",$F545&lt;&gt;"Réalisé",$F545&lt;&gt;"Clôturé"),"RETARD",""))</f>
        <v/>
      </c>
      <c r="J545" s="29">
        <f>IF($B545="","",IF(INDEX(Dossiers!$F$4:$F$63,11)="","",INDEX(Dossiers!$F$4:$F$63,11)))</f>
        <v/>
      </c>
      <c r="K545" s="29">
        <f>IF($B545="","",IF(INDEX(Dossiers!$G$4:$G$63,11)="","",INDEX(Dossiers!$G$4:$G$63,11)))</f>
        <v/>
      </c>
    </row>
    <row r="546">
      <c r="A546">
        <f>IF($B546="","",INDEX(Dossiers!$E$4:$E$63,11))</f>
        <v/>
      </c>
      <c r="B546">
        <f>IF(INDEX(Suivi!$B:$B,557)="","",INDEX(Suivi!$B:$B,557))</f>
        <v/>
      </c>
      <c r="C546">
        <f>IF($B546="","",IF(INDEX(Suivi!$D:$D,557)="",INDEX(Suivi!$C:$C,557),INDEX(Suivi!$D:$D,557)))</f>
        <v/>
      </c>
      <c r="D546" s="29">
        <f>IF($B546="","",INDEX(Suivi!$E:$E,557))</f>
        <v/>
      </c>
      <c r="E546" s="29">
        <f>IF($B546="","",INDEX(Suivi!$F:$F,557))</f>
        <v/>
      </c>
      <c r="F546">
        <f>IF($B546="","",INDEX(Suivi!$G:$G,557))</f>
        <v/>
      </c>
      <c r="H546">
        <f>IF(OR($B546="",NOT(ISNUMBER($D546))),"",IF($E546&lt;$D$2,"Passé",IF($D546&gt;$F$2,"À venir","Dans la période")))</f>
        <v/>
      </c>
      <c r="I546">
        <f>IF(OR($B546="",NOT(ISNUMBER($D546))),"",IF(AND($E546&lt;$D$2,$G546&lt;&gt;"X",$F546&lt;&gt;"Réalisé",$F546&lt;&gt;"Clôturé"),"RETARD",""))</f>
        <v/>
      </c>
      <c r="J546" s="29">
        <f>IF($B546="","",IF(INDEX(Dossiers!$F$4:$F$63,11)="","",INDEX(Dossiers!$F$4:$F$63,11)))</f>
        <v/>
      </c>
      <c r="K546" s="29">
        <f>IF($B546="","",IF(INDEX(Dossiers!$G$4:$G$63,11)="","",INDEX(Dossiers!$G$4:$G$63,11)))</f>
        <v/>
      </c>
    </row>
    <row r="547">
      <c r="A547">
        <f>IF($B547="","",INDEX(Dossiers!$E$4:$E$63,11))</f>
        <v/>
      </c>
      <c r="B547">
        <f>IF(INDEX(Suivi!$B:$B,558)="","",INDEX(Suivi!$B:$B,558))</f>
        <v/>
      </c>
      <c r="C547">
        <f>IF($B547="","",IF(INDEX(Suivi!$D:$D,558)="",INDEX(Suivi!$C:$C,558),INDEX(Suivi!$D:$D,558)))</f>
        <v/>
      </c>
      <c r="D547" s="29">
        <f>IF($B547="","",INDEX(Suivi!$E:$E,558))</f>
        <v/>
      </c>
      <c r="E547" s="29">
        <f>IF($B547="","",INDEX(Suivi!$F:$F,558))</f>
        <v/>
      </c>
      <c r="F547">
        <f>IF($B547="","",INDEX(Suivi!$G:$G,558))</f>
        <v/>
      </c>
      <c r="H547">
        <f>IF(OR($B547="",NOT(ISNUMBER($D547))),"",IF($E547&lt;$D$2,"Passé",IF($D547&gt;$F$2,"À venir","Dans la période")))</f>
        <v/>
      </c>
      <c r="I547">
        <f>IF(OR($B547="",NOT(ISNUMBER($D547))),"",IF(AND($E547&lt;$D$2,$G547&lt;&gt;"X",$F547&lt;&gt;"Réalisé",$F547&lt;&gt;"Clôturé"),"RETARD",""))</f>
        <v/>
      </c>
      <c r="J547" s="29">
        <f>IF($B547="","",IF(INDEX(Dossiers!$F$4:$F$63,11)="","",INDEX(Dossiers!$F$4:$F$63,11)))</f>
        <v/>
      </c>
      <c r="K547" s="29">
        <f>IF($B547="","",IF(INDEX(Dossiers!$G$4:$G$63,11)="","",INDEX(Dossiers!$G$4:$G$63,11)))</f>
        <v/>
      </c>
    </row>
    <row r="548">
      <c r="A548">
        <f>IF($B548="","",INDEX(Dossiers!$E$4:$E$63,11))</f>
        <v/>
      </c>
      <c r="B548">
        <f>IF(INDEX(Suivi!$B:$B,559)="","",INDEX(Suivi!$B:$B,559))</f>
        <v/>
      </c>
      <c r="C548">
        <f>IF($B548="","",IF(INDEX(Suivi!$D:$D,559)="",INDEX(Suivi!$C:$C,559),INDEX(Suivi!$D:$D,559)))</f>
        <v/>
      </c>
      <c r="D548" s="29">
        <f>IF($B548="","",INDEX(Suivi!$E:$E,559))</f>
        <v/>
      </c>
      <c r="E548" s="29">
        <f>IF($B548="","",INDEX(Suivi!$F:$F,559))</f>
        <v/>
      </c>
      <c r="F548">
        <f>IF($B548="","",INDEX(Suivi!$G:$G,559))</f>
        <v/>
      </c>
      <c r="H548">
        <f>IF(OR($B548="",NOT(ISNUMBER($D548))),"",IF($E548&lt;$D$2,"Passé",IF($D548&gt;$F$2,"À venir","Dans la période")))</f>
        <v/>
      </c>
      <c r="I548">
        <f>IF(OR($B548="",NOT(ISNUMBER($D548))),"",IF(AND($E548&lt;$D$2,$G548&lt;&gt;"X",$F548&lt;&gt;"Réalisé",$F548&lt;&gt;"Clôturé"),"RETARD",""))</f>
        <v/>
      </c>
      <c r="J548" s="29">
        <f>IF($B548="","",IF(INDEX(Dossiers!$F$4:$F$63,11)="","",INDEX(Dossiers!$F$4:$F$63,11)))</f>
        <v/>
      </c>
      <c r="K548" s="29">
        <f>IF($B548="","",IF(INDEX(Dossiers!$G$4:$G$63,11)="","",INDEX(Dossiers!$G$4:$G$63,11)))</f>
        <v/>
      </c>
    </row>
    <row r="549">
      <c r="A549">
        <f>IF($B549="","",INDEX(Dossiers!$E$4:$E$63,11))</f>
        <v/>
      </c>
      <c r="B549">
        <f>IF(INDEX(Suivi!$B:$B,560)="","",INDEX(Suivi!$B:$B,560))</f>
        <v/>
      </c>
      <c r="C549">
        <f>IF($B549="","",IF(INDEX(Suivi!$D:$D,560)="",INDEX(Suivi!$C:$C,560),INDEX(Suivi!$D:$D,560)))</f>
        <v/>
      </c>
      <c r="D549" s="29">
        <f>IF($B549="","",INDEX(Suivi!$E:$E,560))</f>
        <v/>
      </c>
      <c r="E549" s="29">
        <f>IF($B549="","",INDEX(Suivi!$F:$F,560))</f>
        <v/>
      </c>
      <c r="F549">
        <f>IF($B549="","",INDEX(Suivi!$G:$G,560))</f>
        <v/>
      </c>
      <c r="H549">
        <f>IF(OR($B549="",NOT(ISNUMBER($D549))),"",IF($E549&lt;$D$2,"Passé",IF($D549&gt;$F$2,"À venir","Dans la période")))</f>
        <v/>
      </c>
      <c r="I549">
        <f>IF(OR($B549="",NOT(ISNUMBER($D549))),"",IF(AND($E549&lt;$D$2,$G549&lt;&gt;"X",$F549&lt;&gt;"Réalisé",$F549&lt;&gt;"Clôturé"),"RETARD",""))</f>
        <v/>
      </c>
      <c r="J549" s="29">
        <f>IF($B549="","",IF(INDEX(Dossiers!$F$4:$F$63,11)="","",INDEX(Dossiers!$F$4:$F$63,11)))</f>
        <v/>
      </c>
      <c r="K549" s="29">
        <f>IF($B549="","",IF(INDEX(Dossiers!$G$4:$G$63,11)="","",INDEX(Dossiers!$G$4:$G$63,11)))</f>
        <v/>
      </c>
    </row>
    <row r="550">
      <c r="A550">
        <f>IF($B550="","",INDEX(Dossiers!$E$4:$E$63,11))</f>
        <v/>
      </c>
      <c r="B550">
        <f>IF(INDEX(Suivi!$B:$B,561)="","",INDEX(Suivi!$B:$B,561))</f>
        <v/>
      </c>
      <c r="C550">
        <f>IF($B550="","",IF(INDEX(Suivi!$D:$D,561)="",INDEX(Suivi!$C:$C,561),INDEX(Suivi!$D:$D,561)))</f>
        <v/>
      </c>
      <c r="D550" s="29">
        <f>IF($B550="","",INDEX(Suivi!$E:$E,561))</f>
        <v/>
      </c>
      <c r="E550" s="29">
        <f>IF($B550="","",INDEX(Suivi!$F:$F,561))</f>
        <v/>
      </c>
      <c r="F550">
        <f>IF($B550="","",INDEX(Suivi!$G:$G,561))</f>
        <v/>
      </c>
      <c r="H550">
        <f>IF(OR($B550="",NOT(ISNUMBER($D550))),"",IF($E550&lt;$D$2,"Passé",IF($D550&gt;$F$2,"À venir","Dans la période")))</f>
        <v/>
      </c>
      <c r="I550">
        <f>IF(OR($B550="",NOT(ISNUMBER($D550))),"",IF(AND($E550&lt;$D$2,$G550&lt;&gt;"X",$F550&lt;&gt;"Réalisé",$F550&lt;&gt;"Clôturé"),"RETARD",""))</f>
        <v/>
      </c>
      <c r="J550" s="29">
        <f>IF($B550="","",IF(INDEX(Dossiers!$F$4:$F$63,11)="","",INDEX(Dossiers!$F$4:$F$63,11)))</f>
        <v/>
      </c>
      <c r="K550" s="29">
        <f>IF($B550="","",IF(INDEX(Dossiers!$G$4:$G$63,11)="","",INDEX(Dossiers!$G$4:$G$63,11)))</f>
        <v/>
      </c>
    </row>
    <row r="551">
      <c r="A551">
        <f>IF($B551="","",INDEX(Dossiers!$E$4:$E$63,11))</f>
        <v/>
      </c>
      <c r="B551">
        <f>IF(INDEX(Suivi!$B:$B,562)="","",INDEX(Suivi!$B:$B,562))</f>
        <v/>
      </c>
      <c r="C551">
        <f>IF($B551="","",IF(INDEX(Suivi!$D:$D,562)="",INDEX(Suivi!$C:$C,562),INDEX(Suivi!$D:$D,562)))</f>
        <v/>
      </c>
      <c r="D551" s="29">
        <f>IF($B551="","",INDEX(Suivi!$E:$E,562))</f>
        <v/>
      </c>
      <c r="E551" s="29">
        <f>IF($B551="","",INDEX(Suivi!$F:$F,562))</f>
        <v/>
      </c>
      <c r="F551">
        <f>IF($B551="","",INDEX(Suivi!$G:$G,562))</f>
        <v/>
      </c>
      <c r="H551">
        <f>IF(OR($B551="",NOT(ISNUMBER($D551))),"",IF($E551&lt;$D$2,"Passé",IF($D551&gt;$F$2,"À venir","Dans la période")))</f>
        <v/>
      </c>
      <c r="I551">
        <f>IF(OR($B551="",NOT(ISNUMBER($D551))),"",IF(AND($E551&lt;$D$2,$G551&lt;&gt;"X",$F551&lt;&gt;"Réalisé",$F551&lt;&gt;"Clôturé"),"RETARD",""))</f>
        <v/>
      </c>
      <c r="J551" s="29">
        <f>IF($B551="","",IF(INDEX(Dossiers!$F$4:$F$63,11)="","",INDEX(Dossiers!$F$4:$F$63,11)))</f>
        <v/>
      </c>
      <c r="K551" s="29">
        <f>IF($B551="","",IF(INDEX(Dossiers!$G$4:$G$63,11)="","",INDEX(Dossiers!$G$4:$G$63,11)))</f>
        <v/>
      </c>
    </row>
    <row r="552">
      <c r="A552">
        <f>IF($B552="","",INDEX(Dossiers!$E$4:$E$63,11))</f>
        <v/>
      </c>
      <c r="B552">
        <f>IF(INDEX(Suivi!$B:$B,563)="","",INDEX(Suivi!$B:$B,563))</f>
        <v/>
      </c>
      <c r="C552">
        <f>IF($B552="","",IF(INDEX(Suivi!$D:$D,563)="",INDEX(Suivi!$C:$C,563),INDEX(Suivi!$D:$D,563)))</f>
        <v/>
      </c>
      <c r="D552" s="29">
        <f>IF($B552="","",INDEX(Suivi!$E:$E,563))</f>
        <v/>
      </c>
      <c r="E552" s="29">
        <f>IF($B552="","",INDEX(Suivi!$F:$F,563))</f>
        <v/>
      </c>
      <c r="F552">
        <f>IF($B552="","",INDEX(Suivi!$G:$G,563))</f>
        <v/>
      </c>
      <c r="H552">
        <f>IF(OR($B552="",NOT(ISNUMBER($D552))),"",IF($E552&lt;$D$2,"Passé",IF($D552&gt;$F$2,"À venir","Dans la période")))</f>
        <v/>
      </c>
      <c r="I552">
        <f>IF(OR($B552="",NOT(ISNUMBER($D552))),"",IF(AND($E552&lt;$D$2,$G552&lt;&gt;"X",$F552&lt;&gt;"Réalisé",$F552&lt;&gt;"Clôturé"),"RETARD",""))</f>
        <v/>
      </c>
      <c r="J552" s="29">
        <f>IF($B552="","",IF(INDEX(Dossiers!$F$4:$F$63,11)="","",INDEX(Dossiers!$F$4:$F$63,11)))</f>
        <v/>
      </c>
      <c r="K552" s="29">
        <f>IF($B552="","",IF(INDEX(Dossiers!$G$4:$G$63,11)="","",INDEX(Dossiers!$G$4:$G$63,11)))</f>
        <v/>
      </c>
    </row>
    <row r="553">
      <c r="A553">
        <f>IF($B553="","",INDEX(Dossiers!$E$4:$E$63,11))</f>
        <v/>
      </c>
      <c r="B553">
        <f>IF(INDEX(Suivi!$B:$B,564)="","",INDEX(Suivi!$B:$B,564))</f>
        <v/>
      </c>
      <c r="C553">
        <f>IF($B553="","",IF(INDEX(Suivi!$D:$D,564)="",INDEX(Suivi!$C:$C,564),INDEX(Suivi!$D:$D,564)))</f>
        <v/>
      </c>
      <c r="D553" s="29">
        <f>IF($B553="","",INDEX(Suivi!$E:$E,564))</f>
        <v/>
      </c>
      <c r="E553" s="29">
        <f>IF($B553="","",INDEX(Suivi!$F:$F,564))</f>
        <v/>
      </c>
      <c r="F553">
        <f>IF($B553="","",INDEX(Suivi!$G:$G,564))</f>
        <v/>
      </c>
      <c r="H553">
        <f>IF(OR($B553="",NOT(ISNUMBER($D553))),"",IF($E553&lt;$D$2,"Passé",IF($D553&gt;$F$2,"À venir","Dans la période")))</f>
        <v/>
      </c>
      <c r="I553">
        <f>IF(OR($B553="",NOT(ISNUMBER($D553))),"",IF(AND($E553&lt;$D$2,$G553&lt;&gt;"X",$F553&lt;&gt;"Réalisé",$F553&lt;&gt;"Clôturé"),"RETARD",""))</f>
        <v/>
      </c>
      <c r="J553" s="29">
        <f>IF($B553="","",IF(INDEX(Dossiers!$F$4:$F$63,11)="","",INDEX(Dossiers!$F$4:$F$63,11)))</f>
        <v/>
      </c>
      <c r="K553" s="29">
        <f>IF($B553="","",IF(INDEX(Dossiers!$G$4:$G$63,11)="","",INDEX(Dossiers!$G$4:$G$63,11)))</f>
        <v/>
      </c>
    </row>
    <row r="554">
      <c r="A554">
        <f>IF($B554="","",INDEX(Dossiers!$E$4:$E$63,11))</f>
        <v/>
      </c>
      <c r="B554">
        <f>IF(INDEX(Suivi!$B:$B,565)="","",INDEX(Suivi!$B:$B,565))</f>
        <v/>
      </c>
      <c r="C554">
        <f>IF($B554="","",IF(INDEX(Suivi!$D:$D,565)="",INDEX(Suivi!$C:$C,565),INDEX(Suivi!$D:$D,565)))</f>
        <v/>
      </c>
      <c r="D554" s="29">
        <f>IF($B554="","",INDEX(Suivi!$E:$E,565))</f>
        <v/>
      </c>
      <c r="E554" s="29">
        <f>IF($B554="","",INDEX(Suivi!$F:$F,565))</f>
        <v/>
      </c>
      <c r="F554">
        <f>IF($B554="","",INDEX(Suivi!$G:$G,565))</f>
        <v/>
      </c>
      <c r="H554">
        <f>IF(OR($B554="",NOT(ISNUMBER($D554))),"",IF($E554&lt;$D$2,"Passé",IF($D554&gt;$F$2,"À venir","Dans la période")))</f>
        <v/>
      </c>
      <c r="I554">
        <f>IF(OR($B554="",NOT(ISNUMBER($D554))),"",IF(AND($E554&lt;$D$2,$G554&lt;&gt;"X",$F554&lt;&gt;"Réalisé",$F554&lt;&gt;"Clôturé"),"RETARD",""))</f>
        <v/>
      </c>
      <c r="J554" s="29">
        <f>IF($B554="","",IF(INDEX(Dossiers!$F$4:$F$63,11)="","",INDEX(Dossiers!$F$4:$F$63,11)))</f>
        <v/>
      </c>
      <c r="K554" s="29">
        <f>IF($B554="","",IF(INDEX(Dossiers!$G$4:$G$63,11)="","",INDEX(Dossiers!$G$4:$G$63,11)))</f>
        <v/>
      </c>
    </row>
    <row r="555">
      <c r="A555">
        <f>IF($B555="","",INDEX(Dossiers!$E$4:$E$63,11))</f>
        <v/>
      </c>
      <c r="B555">
        <f>IF(INDEX(Suivi!$B:$B,566)="","",INDEX(Suivi!$B:$B,566))</f>
        <v/>
      </c>
      <c r="C555">
        <f>IF($B555="","",IF(INDEX(Suivi!$D:$D,566)="",INDEX(Suivi!$C:$C,566),INDEX(Suivi!$D:$D,566)))</f>
        <v/>
      </c>
      <c r="D555" s="29">
        <f>IF($B555="","",INDEX(Suivi!$E:$E,566))</f>
        <v/>
      </c>
      <c r="E555" s="29">
        <f>IF($B555="","",INDEX(Suivi!$F:$F,566))</f>
        <v/>
      </c>
      <c r="F555">
        <f>IF($B555="","",INDEX(Suivi!$G:$G,566))</f>
        <v/>
      </c>
      <c r="H555">
        <f>IF(OR($B555="",NOT(ISNUMBER($D555))),"",IF($E555&lt;$D$2,"Passé",IF($D555&gt;$F$2,"À venir","Dans la période")))</f>
        <v/>
      </c>
      <c r="I555">
        <f>IF(OR($B555="",NOT(ISNUMBER($D555))),"",IF(AND($E555&lt;$D$2,$G555&lt;&gt;"X",$F555&lt;&gt;"Réalisé",$F555&lt;&gt;"Clôturé"),"RETARD",""))</f>
        <v/>
      </c>
      <c r="J555" s="29">
        <f>IF($B555="","",IF(INDEX(Dossiers!$F$4:$F$63,11)="","",INDEX(Dossiers!$F$4:$F$63,11)))</f>
        <v/>
      </c>
      <c r="K555" s="29">
        <f>IF($B555="","",IF(INDEX(Dossiers!$G$4:$G$63,11)="","",INDEX(Dossiers!$G$4:$G$63,11)))</f>
        <v/>
      </c>
    </row>
    <row r="556">
      <c r="A556">
        <f>IF($B556="","",INDEX(Dossiers!$E$4:$E$63,11))</f>
        <v/>
      </c>
      <c r="B556">
        <f>IF(INDEX(Suivi!$B:$B,567)="","",INDEX(Suivi!$B:$B,567))</f>
        <v/>
      </c>
      <c r="C556">
        <f>IF($B556="","",IF(INDEX(Suivi!$D:$D,567)="",INDEX(Suivi!$C:$C,567),INDEX(Suivi!$D:$D,567)))</f>
        <v/>
      </c>
      <c r="D556" s="29">
        <f>IF($B556="","",INDEX(Suivi!$E:$E,567))</f>
        <v/>
      </c>
      <c r="E556" s="29">
        <f>IF($B556="","",INDEX(Suivi!$F:$F,567))</f>
        <v/>
      </c>
      <c r="F556">
        <f>IF($B556="","",INDEX(Suivi!$G:$G,567))</f>
        <v/>
      </c>
      <c r="H556">
        <f>IF(OR($B556="",NOT(ISNUMBER($D556))),"",IF($E556&lt;$D$2,"Passé",IF($D556&gt;$F$2,"À venir","Dans la période")))</f>
        <v/>
      </c>
      <c r="I556">
        <f>IF(OR($B556="",NOT(ISNUMBER($D556))),"",IF(AND($E556&lt;$D$2,$G556&lt;&gt;"X",$F556&lt;&gt;"Réalisé",$F556&lt;&gt;"Clôturé"),"RETARD",""))</f>
        <v/>
      </c>
      <c r="J556" s="29">
        <f>IF($B556="","",IF(INDEX(Dossiers!$F$4:$F$63,11)="","",INDEX(Dossiers!$F$4:$F$63,11)))</f>
        <v/>
      </c>
      <c r="K556" s="29">
        <f>IF($B556="","",IF(INDEX(Dossiers!$G$4:$G$63,11)="","",INDEX(Dossiers!$G$4:$G$63,11)))</f>
        <v/>
      </c>
    </row>
    <row r="557">
      <c r="A557">
        <f>IF($B557="","",INDEX(Dossiers!$E$4:$E$63,11))</f>
        <v/>
      </c>
      <c r="B557">
        <f>IF(INDEX(Suivi!$B:$B,568)="","",INDEX(Suivi!$B:$B,568))</f>
        <v/>
      </c>
      <c r="C557">
        <f>IF($B557="","",IF(INDEX(Suivi!$D:$D,568)="",INDEX(Suivi!$C:$C,568),INDEX(Suivi!$D:$D,568)))</f>
        <v/>
      </c>
      <c r="D557" s="29">
        <f>IF($B557="","",INDEX(Suivi!$E:$E,568))</f>
        <v/>
      </c>
      <c r="E557" s="29">
        <f>IF($B557="","",INDEX(Suivi!$F:$F,568))</f>
        <v/>
      </c>
      <c r="F557">
        <f>IF($B557="","",INDEX(Suivi!$G:$G,568))</f>
        <v/>
      </c>
      <c r="H557">
        <f>IF(OR($B557="",NOT(ISNUMBER($D557))),"",IF($E557&lt;$D$2,"Passé",IF($D557&gt;$F$2,"À venir","Dans la période")))</f>
        <v/>
      </c>
      <c r="I557">
        <f>IF(OR($B557="",NOT(ISNUMBER($D557))),"",IF(AND($E557&lt;$D$2,$G557&lt;&gt;"X",$F557&lt;&gt;"Réalisé",$F557&lt;&gt;"Clôturé"),"RETARD",""))</f>
        <v/>
      </c>
      <c r="J557" s="29">
        <f>IF($B557="","",IF(INDEX(Dossiers!$F$4:$F$63,11)="","",INDEX(Dossiers!$F$4:$F$63,11)))</f>
        <v/>
      </c>
      <c r="K557" s="29">
        <f>IF($B557="","",IF(INDEX(Dossiers!$G$4:$G$63,11)="","",INDEX(Dossiers!$G$4:$G$63,11)))</f>
        <v/>
      </c>
    </row>
    <row r="558">
      <c r="A558">
        <f>IF($B558="","",INDEX(Dossiers!$E$4:$E$63,11))</f>
        <v/>
      </c>
      <c r="B558">
        <f>IF(INDEX(Suivi!$B:$B,569)="","",INDEX(Suivi!$B:$B,569))</f>
        <v/>
      </c>
      <c r="C558">
        <f>IF($B558="","",IF(INDEX(Suivi!$D:$D,569)="",INDEX(Suivi!$C:$C,569),INDEX(Suivi!$D:$D,569)))</f>
        <v/>
      </c>
      <c r="D558" s="29">
        <f>IF($B558="","",INDEX(Suivi!$E:$E,569))</f>
        <v/>
      </c>
      <c r="E558" s="29">
        <f>IF($B558="","",INDEX(Suivi!$F:$F,569))</f>
        <v/>
      </c>
      <c r="F558">
        <f>IF($B558="","",INDEX(Suivi!$G:$G,569))</f>
        <v/>
      </c>
      <c r="H558">
        <f>IF(OR($B558="",NOT(ISNUMBER($D558))),"",IF($E558&lt;$D$2,"Passé",IF($D558&gt;$F$2,"À venir","Dans la période")))</f>
        <v/>
      </c>
      <c r="I558">
        <f>IF(OR($B558="",NOT(ISNUMBER($D558))),"",IF(AND($E558&lt;$D$2,$G558&lt;&gt;"X",$F558&lt;&gt;"Réalisé",$F558&lt;&gt;"Clôturé"),"RETARD",""))</f>
        <v/>
      </c>
      <c r="J558" s="29">
        <f>IF($B558="","",IF(INDEX(Dossiers!$F$4:$F$63,11)="","",INDEX(Dossiers!$F$4:$F$63,11)))</f>
        <v/>
      </c>
      <c r="K558" s="29">
        <f>IF($B558="","",IF(INDEX(Dossiers!$G$4:$G$63,11)="","",INDEX(Dossiers!$G$4:$G$63,11)))</f>
        <v/>
      </c>
    </row>
    <row r="559">
      <c r="A559">
        <f>IF($B559="","",INDEX(Dossiers!$E$4:$E$63,11))</f>
        <v/>
      </c>
      <c r="B559">
        <f>IF(INDEX(Suivi!$B:$B,570)="","",INDEX(Suivi!$B:$B,570))</f>
        <v/>
      </c>
      <c r="C559">
        <f>IF($B559="","",IF(INDEX(Suivi!$D:$D,570)="",INDEX(Suivi!$C:$C,570),INDEX(Suivi!$D:$D,570)))</f>
        <v/>
      </c>
      <c r="D559" s="29">
        <f>IF($B559="","",INDEX(Suivi!$E:$E,570))</f>
        <v/>
      </c>
      <c r="E559" s="29">
        <f>IF($B559="","",INDEX(Suivi!$F:$F,570))</f>
        <v/>
      </c>
      <c r="F559">
        <f>IF($B559="","",INDEX(Suivi!$G:$G,570))</f>
        <v/>
      </c>
      <c r="H559">
        <f>IF(OR($B559="",NOT(ISNUMBER($D559))),"",IF($E559&lt;$D$2,"Passé",IF($D559&gt;$F$2,"À venir","Dans la période")))</f>
        <v/>
      </c>
      <c r="I559">
        <f>IF(OR($B559="",NOT(ISNUMBER($D559))),"",IF(AND($E559&lt;$D$2,$G559&lt;&gt;"X",$F559&lt;&gt;"Réalisé",$F559&lt;&gt;"Clôturé"),"RETARD",""))</f>
        <v/>
      </c>
      <c r="J559" s="29">
        <f>IF($B559="","",IF(INDEX(Dossiers!$F$4:$F$63,11)="","",INDEX(Dossiers!$F$4:$F$63,11)))</f>
        <v/>
      </c>
      <c r="K559" s="29">
        <f>IF($B559="","",IF(INDEX(Dossiers!$G$4:$G$63,11)="","",INDEX(Dossiers!$G$4:$G$63,11)))</f>
        <v/>
      </c>
    </row>
    <row r="560">
      <c r="A560">
        <f>IF($B560="","",INDEX(Dossiers!$E$4:$E$63,11))</f>
        <v/>
      </c>
      <c r="B560">
        <f>IF(INDEX(Suivi!$B:$B,571)="","",INDEX(Suivi!$B:$B,571))</f>
        <v/>
      </c>
      <c r="C560">
        <f>IF($B560="","",IF(INDEX(Suivi!$D:$D,571)="",INDEX(Suivi!$C:$C,571),INDEX(Suivi!$D:$D,571)))</f>
        <v/>
      </c>
      <c r="D560" s="29">
        <f>IF($B560="","",INDEX(Suivi!$E:$E,571))</f>
        <v/>
      </c>
      <c r="E560" s="29">
        <f>IF($B560="","",INDEX(Suivi!$F:$F,571))</f>
        <v/>
      </c>
      <c r="F560">
        <f>IF($B560="","",INDEX(Suivi!$G:$G,571))</f>
        <v/>
      </c>
      <c r="H560">
        <f>IF(OR($B560="",NOT(ISNUMBER($D560))),"",IF($E560&lt;$D$2,"Passé",IF($D560&gt;$F$2,"À venir","Dans la période")))</f>
        <v/>
      </c>
      <c r="I560">
        <f>IF(OR($B560="",NOT(ISNUMBER($D560))),"",IF(AND($E560&lt;$D$2,$G560&lt;&gt;"X",$F560&lt;&gt;"Réalisé",$F560&lt;&gt;"Clôturé"),"RETARD",""))</f>
        <v/>
      </c>
      <c r="J560" s="29">
        <f>IF($B560="","",IF(INDEX(Dossiers!$F$4:$F$63,11)="","",INDEX(Dossiers!$F$4:$F$63,11)))</f>
        <v/>
      </c>
      <c r="K560" s="29">
        <f>IF($B560="","",IF(INDEX(Dossiers!$G$4:$G$63,11)="","",INDEX(Dossiers!$G$4:$G$63,11)))</f>
        <v/>
      </c>
    </row>
    <row r="561">
      <c r="A561">
        <f>IF($B561="","",INDEX(Dossiers!$E$4:$E$63,11))</f>
        <v/>
      </c>
      <c r="B561">
        <f>IF(INDEX(Suivi!$B:$B,572)="","",INDEX(Suivi!$B:$B,572))</f>
        <v/>
      </c>
      <c r="C561">
        <f>IF($B561="","",IF(INDEX(Suivi!$D:$D,572)="",INDEX(Suivi!$C:$C,572),INDEX(Suivi!$D:$D,572)))</f>
        <v/>
      </c>
      <c r="D561" s="29">
        <f>IF($B561="","",INDEX(Suivi!$E:$E,572))</f>
        <v/>
      </c>
      <c r="E561" s="29">
        <f>IF($B561="","",INDEX(Suivi!$F:$F,572))</f>
        <v/>
      </c>
      <c r="F561">
        <f>IF($B561="","",INDEX(Suivi!$G:$G,572))</f>
        <v/>
      </c>
      <c r="H561">
        <f>IF(OR($B561="",NOT(ISNUMBER($D561))),"",IF($E561&lt;$D$2,"Passé",IF($D561&gt;$F$2,"À venir","Dans la période")))</f>
        <v/>
      </c>
      <c r="I561">
        <f>IF(OR($B561="",NOT(ISNUMBER($D561))),"",IF(AND($E561&lt;$D$2,$G561&lt;&gt;"X",$F561&lt;&gt;"Réalisé",$F561&lt;&gt;"Clôturé"),"RETARD",""))</f>
        <v/>
      </c>
      <c r="J561" s="29">
        <f>IF($B561="","",IF(INDEX(Dossiers!$F$4:$F$63,11)="","",INDEX(Dossiers!$F$4:$F$63,11)))</f>
        <v/>
      </c>
      <c r="K561" s="29">
        <f>IF($B561="","",IF(INDEX(Dossiers!$G$4:$G$63,11)="","",INDEX(Dossiers!$G$4:$G$63,11)))</f>
        <v/>
      </c>
    </row>
    <row r="562">
      <c r="A562">
        <f>IF($B562="","",INDEX(Dossiers!$E$4:$E$63,11))</f>
        <v/>
      </c>
      <c r="B562">
        <f>IF(INDEX(Suivi!$B:$B,573)="","",INDEX(Suivi!$B:$B,573))</f>
        <v/>
      </c>
      <c r="C562">
        <f>IF($B562="","",IF(INDEX(Suivi!$D:$D,573)="",INDEX(Suivi!$C:$C,573),INDEX(Suivi!$D:$D,573)))</f>
        <v/>
      </c>
      <c r="D562" s="29">
        <f>IF($B562="","",INDEX(Suivi!$E:$E,573))</f>
        <v/>
      </c>
      <c r="E562" s="29">
        <f>IF($B562="","",INDEX(Suivi!$F:$F,573))</f>
        <v/>
      </c>
      <c r="F562">
        <f>IF($B562="","",INDEX(Suivi!$G:$G,573))</f>
        <v/>
      </c>
      <c r="H562">
        <f>IF(OR($B562="",NOT(ISNUMBER($D562))),"",IF($E562&lt;$D$2,"Passé",IF($D562&gt;$F$2,"À venir","Dans la période")))</f>
        <v/>
      </c>
      <c r="I562">
        <f>IF(OR($B562="",NOT(ISNUMBER($D562))),"",IF(AND($E562&lt;$D$2,$G562&lt;&gt;"X",$F562&lt;&gt;"Réalisé",$F562&lt;&gt;"Clôturé"),"RETARD",""))</f>
        <v/>
      </c>
      <c r="J562" s="29">
        <f>IF($B562="","",IF(INDEX(Dossiers!$F$4:$F$63,11)="","",INDEX(Dossiers!$F$4:$F$63,11)))</f>
        <v/>
      </c>
      <c r="K562" s="29">
        <f>IF($B562="","",IF(INDEX(Dossiers!$G$4:$G$63,11)="","",INDEX(Dossiers!$G$4:$G$63,11)))</f>
        <v/>
      </c>
    </row>
    <row r="563">
      <c r="A563">
        <f>IF($B563="","",INDEX(Dossiers!$E$4:$E$63,11))</f>
        <v/>
      </c>
      <c r="B563">
        <f>IF(INDEX(Suivi!$B:$B,574)="","",INDEX(Suivi!$B:$B,574))</f>
        <v/>
      </c>
      <c r="C563">
        <f>IF($B563="","",IF(INDEX(Suivi!$D:$D,574)="",INDEX(Suivi!$C:$C,574),INDEX(Suivi!$D:$D,574)))</f>
        <v/>
      </c>
      <c r="D563" s="29">
        <f>IF($B563="","",INDEX(Suivi!$E:$E,574))</f>
        <v/>
      </c>
      <c r="E563" s="29">
        <f>IF($B563="","",INDEX(Suivi!$F:$F,574))</f>
        <v/>
      </c>
      <c r="F563">
        <f>IF($B563="","",INDEX(Suivi!$G:$G,574))</f>
        <v/>
      </c>
      <c r="H563">
        <f>IF(OR($B563="",NOT(ISNUMBER($D563))),"",IF($E563&lt;$D$2,"Passé",IF($D563&gt;$F$2,"À venir","Dans la période")))</f>
        <v/>
      </c>
      <c r="I563">
        <f>IF(OR($B563="",NOT(ISNUMBER($D563))),"",IF(AND($E563&lt;$D$2,$G563&lt;&gt;"X",$F563&lt;&gt;"Réalisé",$F563&lt;&gt;"Clôturé"),"RETARD",""))</f>
        <v/>
      </c>
      <c r="J563" s="29">
        <f>IF($B563="","",IF(INDEX(Dossiers!$F$4:$F$63,11)="","",INDEX(Dossiers!$F$4:$F$63,11)))</f>
        <v/>
      </c>
      <c r="K563" s="29">
        <f>IF($B563="","",IF(INDEX(Dossiers!$G$4:$G$63,11)="","",INDEX(Dossiers!$G$4:$G$63,11)))</f>
        <v/>
      </c>
    </row>
    <row r="564">
      <c r="A564">
        <f>IF($B564="","",INDEX(Dossiers!$E$4:$E$63,11))</f>
        <v/>
      </c>
      <c r="B564">
        <f>IF(INDEX(Suivi!$B:$B,575)="","",INDEX(Suivi!$B:$B,575))</f>
        <v/>
      </c>
      <c r="C564">
        <f>IF($B564="","",IF(INDEX(Suivi!$D:$D,575)="",INDEX(Suivi!$C:$C,575),INDEX(Suivi!$D:$D,575)))</f>
        <v/>
      </c>
      <c r="D564" s="29">
        <f>IF($B564="","",INDEX(Suivi!$E:$E,575))</f>
        <v/>
      </c>
      <c r="E564" s="29">
        <f>IF($B564="","",INDEX(Suivi!$F:$F,575))</f>
        <v/>
      </c>
      <c r="F564">
        <f>IF($B564="","",INDEX(Suivi!$G:$G,575))</f>
        <v/>
      </c>
      <c r="H564">
        <f>IF(OR($B564="",NOT(ISNUMBER($D564))),"",IF($E564&lt;$D$2,"Passé",IF($D564&gt;$F$2,"À venir","Dans la période")))</f>
        <v/>
      </c>
      <c r="I564">
        <f>IF(OR($B564="",NOT(ISNUMBER($D564))),"",IF(AND($E564&lt;$D$2,$G564&lt;&gt;"X",$F564&lt;&gt;"Réalisé",$F564&lt;&gt;"Clôturé"),"RETARD",""))</f>
        <v/>
      </c>
      <c r="J564" s="29">
        <f>IF($B564="","",IF(INDEX(Dossiers!$F$4:$F$63,11)="","",INDEX(Dossiers!$F$4:$F$63,11)))</f>
        <v/>
      </c>
      <c r="K564" s="29">
        <f>IF($B564="","",IF(INDEX(Dossiers!$G$4:$G$63,11)="","",INDEX(Dossiers!$G$4:$G$63,11)))</f>
        <v/>
      </c>
    </row>
    <row r="565">
      <c r="A565">
        <f>IF($B565="","",INDEX(Dossiers!$E$4:$E$63,11))</f>
        <v/>
      </c>
      <c r="B565">
        <f>IF(INDEX(Suivi!$B:$B,576)="","",INDEX(Suivi!$B:$B,576))</f>
        <v/>
      </c>
      <c r="C565">
        <f>IF($B565="","",IF(INDEX(Suivi!$D:$D,576)="",INDEX(Suivi!$C:$C,576),INDEX(Suivi!$D:$D,576)))</f>
        <v/>
      </c>
      <c r="D565" s="29">
        <f>IF($B565="","",INDEX(Suivi!$E:$E,576))</f>
        <v/>
      </c>
      <c r="E565" s="29">
        <f>IF($B565="","",INDEX(Suivi!$F:$F,576))</f>
        <v/>
      </c>
      <c r="F565">
        <f>IF($B565="","",INDEX(Suivi!$G:$G,576))</f>
        <v/>
      </c>
      <c r="H565">
        <f>IF(OR($B565="",NOT(ISNUMBER($D565))),"",IF($E565&lt;$D$2,"Passé",IF($D565&gt;$F$2,"À venir","Dans la période")))</f>
        <v/>
      </c>
      <c r="I565">
        <f>IF(OR($B565="",NOT(ISNUMBER($D565))),"",IF(AND($E565&lt;$D$2,$G565&lt;&gt;"X",$F565&lt;&gt;"Réalisé",$F565&lt;&gt;"Clôturé"),"RETARD",""))</f>
        <v/>
      </c>
      <c r="J565" s="29">
        <f>IF($B565="","",IF(INDEX(Dossiers!$F$4:$F$63,11)="","",INDEX(Dossiers!$F$4:$F$63,11)))</f>
        <v/>
      </c>
      <c r="K565" s="29">
        <f>IF($B565="","",IF(INDEX(Dossiers!$G$4:$G$63,11)="","",INDEX(Dossiers!$G$4:$G$63,11)))</f>
        <v/>
      </c>
    </row>
    <row r="566">
      <c r="A566">
        <f>IF($B566="","",INDEX(Dossiers!$E$4:$E$63,11))</f>
        <v/>
      </c>
      <c r="B566">
        <f>IF(INDEX(Suivi!$B:$B,577)="","",INDEX(Suivi!$B:$B,577))</f>
        <v/>
      </c>
      <c r="C566">
        <f>IF($B566="","",IF(INDEX(Suivi!$D:$D,577)="",INDEX(Suivi!$C:$C,577),INDEX(Suivi!$D:$D,577)))</f>
        <v/>
      </c>
      <c r="D566" s="29">
        <f>IF($B566="","",INDEX(Suivi!$E:$E,577))</f>
        <v/>
      </c>
      <c r="E566" s="29">
        <f>IF($B566="","",INDEX(Suivi!$F:$F,577))</f>
        <v/>
      </c>
      <c r="F566">
        <f>IF($B566="","",INDEX(Suivi!$G:$G,577))</f>
        <v/>
      </c>
      <c r="H566">
        <f>IF(OR($B566="",NOT(ISNUMBER($D566))),"",IF($E566&lt;$D$2,"Passé",IF($D566&gt;$F$2,"À venir","Dans la période")))</f>
        <v/>
      </c>
      <c r="I566">
        <f>IF(OR($B566="",NOT(ISNUMBER($D566))),"",IF(AND($E566&lt;$D$2,$G566&lt;&gt;"X",$F566&lt;&gt;"Réalisé",$F566&lt;&gt;"Clôturé"),"RETARD",""))</f>
        <v/>
      </c>
      <c r="J566" s="29">
        <f>IF($B566="","",IF(INDEX(Dossiers!$F$4:$F$63,11)="","",INDEX(Dossiers!$F$4:$F$63,11)))</f>
        <v/>
      </c>
      <c r="K566" s="29">
        <f>IF($B566="","",IF(INDEX(Dossiers!$G$4:$G$63,11)="","",INDEX(Dossiers!$G$4:$G$63,11)))</f>
        <v/>
      </c>
    </row>
    <row r="567">
      <c r="A567">
        <f>IF($B567="","",INDEX(Dossiers!$E$4:$E$63,11))</f>
        <v/>
      </c>
      <c r="B567">
        <f>IF(INDEX(Suivi!$B:$B,578)="","",INDEX(Suivi!$B:$B,578))</f>
        <v/>
      </c>
      <c r="C567">
        <f>IF($B567="","",IF(INDEX(Suivi!$D:$D,578)="",INDEX(Suivi!$C:$C,578),INDEX(Suivi!$D:$D,578)))</f>
        <v/>
      </c>
      <c r="D567" s="29">
        <f>IF($B567="","",INDEX(Suivi!$E:$E,578))</f>
        <v/>
      </c>
      <c r="E567" s="29">
        <f>IF($B567="","",INDEX(Suivi!$F:$F,578))</f>
        <v/>
      </c>
      <c r="F567">
        <f>IF($B567="","",INDEX(Suivi!$G:$G,578))</f>
        <v/>
      </c>
      <c r="H567">
        <f>IF(OR($B567="",NOT(ISNUMBER($D567))),"",IF($E567&lt;$D$2,"Passé",IF($D567&gt;$F$2,"À venir","Dans la période")))</f>
        <v/>
      </c>
      <c r="I567">
        <f>IF(OR($B567="",NOT(ISNUMBER($D567))),"",IF(AND($E567&lt;$D$2,$G567&lt;&gt;"X",$F567&lt;&gt;"Réalisé",$F567&lt;&gt;"Clôturé"),"RETARD",""))</f>
        <v/>
      </c>
      <c r="J567" s="29">
        <f>IF($B567="","",IF(INDEX(Dossiers!$F$4:$F$63,11)="","",INDEX(Dossiers!$F$4:$F$63,11)))</f>
        <v/>
      </c>
      <c r="K567" s="29">
        <f>IF($B567="","",IF(INDEX(Dossiers!$G$4:$G$63,11)="","",INDEX(Dossiers!$G$4:$G$63,11)))</f>
        <v/>
      </c>
    </row>
    <row r="568">
      <c r="A568">
        <f>IF($B568="","",INDEX(Dossiers!$E$4:$E$63,11))</f>
        <v/>
      </c>
      <c r="B568">
        <f>IF(INDEX(Suivi!$B:$B,579)="","",INDEX(Suivi!$B:$B,579))</f>
        <v/>
      </c>
      <c r="C568">
        <f>IF($B568="","",IF(INDEX(Suivi!$D:$D,579)="",INDEX(Suivi!$C:$C,579),INDEX(Suivi!$D:$D,579)))</f>
        <v/>
      </c>
      <c r="D568" s="29">
        <f>IF($B568="","",INDEX(Suivi!$E:$E,579))</f>
        <v/>
      </c>
      <c r="E568" s="29">
        <f>IF($B568="","",INDEX(Suivi!$F:$F,579))</f>
        <v/>
      </c>
      <c r="F568">
        <f>IF($B568="","",INDEX(Suivi!$G:$G,579))</f>
        <v/>
      </c>
      <c r="H568">
        <f>IF(OR($B568="",NOT(ISNUMBER($D568))),"",IF($E568&lt;$D$2,"Passé",IF($D568&gt;$F$2,"À venir","Dans la période")))</f>
        <v/>
      </c>
      <c r="I568">
        <f>IF(OR($B568="",NOT(ISNUMBER($D568))),"",IF(AND($E568&lt;$D$2,$G568&lt;&gt;"X",$F568&lt;&gt;"Réalisé",$F568&lt;&gt;"Clôturé"),"RETARD",""))</f>
        <v/>
      </c>
      <c r="J568" s="29">
        <f>IF($B568="","",IF(INDEX(Dossiers!$F$4:$F$63,11)="","",INDEX(Dossiers!$F$4:$F$63,11)))</f>
        <v/>
      </c>
      <c r="K568" s="29">
        <f>IF($B568="","",IF(INDEX(Dossiers!$G$4:$G$63,11)="","",INDEX(Dossiers!$G$4:$G$63,11)))</f>
        <v/>
      </c>
    </row>
    <row r="569">
      <c r="A569">
        <f>IF($B569="","",INDEX(Dossiers!$E$4:$E$63,11))</f>
        <v/>
      </c>
      <c r="B569">
        <f>IF(INDEX(Suivi!$B:$B,580)="","",INDEX(Suivi!$B:$B,580))</f>
        <v/>
      </c>
      <c r="C569">
        <f>IF($B569="","",IF(INDEX(Suivi!$D:$D,580)="",INDEX(Suivi!$C:$C,580),INDEX(Suivi!$D:$D,580)))</f>
        <v/>
      </c>
      <c r="D569" s="29">
        <f>IF($B569="","",INDEX(Suivi!$E:$E,580))</f>
        <v/>
      </c>
      <c r="E569" s="29">
        <f>IF($B569="","",INDEX(Suivi!$F:$F,580))</f>
        <v/>
      </c>
      <c r="F569">
        <f>IF($B569="","",INDEX(Suivi!$G:$G,580))</f>
        <v/>
      </c>
      <c r="H569">
        <f>IF(OR($B569="",NOT(ISNUMBER($D569))),"",IF($E569&lt;$D$2,"Passé",IF($D569&gt;$F$2,"À venir","Dans la période")))</f>
        <v/>
      </c>
      <c r="I569">
        <f>IF(OR($B569="",NOT(ISNUMBER($D569))),"",IF(AND($E569&lt;$D$2,$G569&lt;&gt;"X",$F569&lt;&gt;"Réalisé",$F569&lt;&gt;"Clôturé"),"RETARD",""))</f>
        <v/>
      </c>
      <c r="J569" s="29">
        <f>IF($B569="","",IF(INDEX(Dossiers!$F$4:$F$63,11)="","",INDEX(Dossiers!$F$4:$F$63,11)))</f>
        <v/>
      </c>
      <c r="K569" s="29">
        <f>IF($B569="","",IF(INDEX(Dossiers!$G$4:$G$63,11)="","",INDEX(Dossiers!$G$4:$G$63,11)))</f>
        <v/>
      </c>
    </row>
    <row r="570">
      <c r="A570">
        <f>IF($B570="","",INDEX(Dossiers!$E$4:$E$63,11))</f>
        <v/>
      </c>
      <c r="B570">
        <f>IF(INDEX(Suivi!$B:$B,581)="","",INDEX(Suivi!$B:$B,581))</f>
        <v/>
      </c>
      <c r="C570">
        <f>IF($B570="","",IF(INDEX(Suivi!$D:$D,581)="",INDEX(Suivi!$C:$C,581),INDEX(Suivi!$D:$D,581)))</f>
        <v/>
      </c>
      <c r="D570" s="29">
        <f>IF($B570="","",INDEX(Suivi!$E:$E,581))</f>
        <v/>
      </c>
      <c r="E570" s="29">
        <f>IF($B570="","",INDEX(Suivi!$F:$F,581))</f>
        <v/>
      </c>
      <c r="F570">
        <f>IF($B570="","",INDEX(Suivi!$G:$G,581))</f>
        <v/>
      </c>
      <c r="H570">
        <f>IF(OR($B570="",NOT(ISNUMBER($D570))),"",IF($E570&lt;$D$2,"Passé",IF($D570&gt;$F$2,"À venir","Dans la période")))</f>
        <v/>
      </c>
      <c r="I570">
        <f>IF(OR($B570="",NOT(ISNUMBER($D570))),"",IF(AND($E570&lt;$D$2,$G570&lt;&gt;"X",$F570&lt;&gt;"Réalisé",$F570&lt;&gt;"Clôturé"),"RETARD",""))</f>
        <v/>
      </c>
      <c r="J570" s="29">
        <f>IF($B570="","",IF(INDEX(Dossiers!$F$4:$F$63,11)="","",INDEX(Dossiers!$F$4:$F$63,11)))</f>
        <v/>
      </c>
      <c r="K570" s="29">
        <f>IF($B570="","",IF(INDEX(Dossiers!$G$4:$G$63,11)="","",INDEX(Dossiers!$G$4:$G$63,11)))</f>
        <v/>
      </c>
    </row>
    <row r="571">
      <c r="A571">
        <f>IF($B571="","",INDEX(Dossiers!$E$4:$E$63,11))</f>
        <v/>
      </c>
      <c r="B571">
        <f>IF(INDEX(Suivi!$B:$B,582)="","",INDEX(Suivi!$B:$B,582))</f>
        <v/>
      </c>
      <c r="C571">
        <f>IF($B571="","",IF(INDEX(Suivi!$D:$D,582)="",INDEX(Suivi!$C:$C,582),INDEX(Suivi!$D:$D,582)))</f>
        <v/>
      </c>
      <c r="D571" s="29">
        <f>IF($B571="","",INDEX(Suivi!$E:$E,582))</f>
        <v/>
      </c>
      <c r="E571" s="29">
        <f>IF($B571="","",INDEX(Suivi!$F:$F,582))</f>
        <v/>
      </c>
      <c r="F571">
        <f>IF($B571="","",INDEX(Suivi!$G:$G,582))</f>
        <v/>
      </c>
      <c r="H571">
        <f>IF(OR($B571="",NOT(ISNUMBER($D571))),"",IF($E571&lt;$D$2,"Passé",IF($D571&gt;$F$2,"À venir","Dans la période")))</f>
        <v/>
      </c>
      <c r="I571">
        <f>IF(OR($B571="",NOT(ISNUMBER($D571))),"",IF(AND($E571&lt;$D$2,$G571&lt;&gt;"X",$F571&lt;&gt;"Réalisé",$F571&lt;&gt;"Clôturé"),"RETARD",""))</f>
        <v/>
      </c>
      <c r="J571" s="29">
        <f>IF($B571="","",IF(INDEX(Dossiers!$F$4:$F$63,11)="","",INDEX(Dossiers!$F$4:$F$63,11)))</f>
        <v/>
      </c>
      <c r="K571" s="29">
        <f>IF($B571="","",IF(INDEX(Dossiers!$G$4:$G$63,11)="","",INDEX(Dossiers!$G$4:$G$63,11)))</f>
        <v/>
      </c>
    </row>
    <row r="572">
      <c r="A572">
        <f>IF($B572="","",INDEX(Dossiers!$E$4:$E$63,11))</f>
        <v/>
      </c>
      <c r="B572">
        <f>IF(INDEX(Suivi!$B:$B,583)="","",INDEX(Suivi!$B:$B,583))</f>
        <v/>
      </c>
      <c r="C572">
        <f>IF($B572="","",IF(INDEX(Suivi!$D:$D,583)="",INDEX(Suivi!$C:$C,583),INDEX(Suivi!$D:$D,583)))</f>
        <v/>
      </c>
      <c r="D572" s="29">
        <f>IF($B572="","",INDEX(Suivi!$E:$E,583))</f>
        <v/>
      </c>
      <c r="E572" s="29">
        <f>IF($B572="","",INDEX(Suivi!$F:$F,583))</f>
        <v/>
      </c>
      <c r="F572">
        <f>IF($B572="","",INDEX(Suivi!$G:$G,583))</f>
        <v/>
      </c>
      <c r="H572">
        <f>IF(OR($B572="",NOT(ISNUMBER($D572))),"",IF($E572&lt;$D$2,"Passé",IF($D572&gt;$F$2,"À venir","Dans la période")))</f>
        <v/>
      </c>
      <c r="I572">
        <f>IF(OR($B572="",NOT(ISNUMBER($D572))),"",IF(AND($E572&lt;$D$2,$G572&lt;&gt;"X",$F572&lt;&gt;"Réalisé",$F572&lt;&gt;"Clôturé"),"RETARD",""))</f>
        <v/>
      </c>
      <c r="J572" s="29">
        <f>IF($B572="","",IF(INDEX(Dossiers!$F$4:$F$63,11)="","",INDEX(Dossiers!$F$4:$F$63,11)))</f>
        <v/>
      </c>
      <c r="K572" s="29">
        <f>IF($B572="","",IF(INDEX(Dossiers!$G$4:$G$63,11)="","",INDEX(Dossiers!$G$4:$G$63,11)))</f>
        <v/>
      </c>
    </row>
    <row r="573">
      <c r="A573">
        <f>IF($B573="","",INDEX(Dossiers!$E$4:$E$63,11))</f>
        <v/>
      </c>
      <c r="B573">
        <f>IF(INDEX(Suivi!$B:$B,584)="","",INDEX(Suivi!$B:$B,584))</f>
        <v/>
      </c>
      <c r="C573">
        <f>IF($B573="","",IF(INDEX(Suivi!$D:$D,584)="",INDEX(Suivi!$C:$C,584),INDEX(Suivi!$D:$D,584)))</f>
        <v/>
      </c>
      <c r="D573" s="29">
        <f>IF($B573="","",INDEX(Suivi!$E:$E,584))</f>
        <v/>
      </c>
      <c r="E573" s="29">
        <f>IF($B573="","",INDEX(Suivi!$F:$F,584))</f>
        <v/>
      </c>
      <c r="F573">
        <f>IF($B573="","",INDEX(Suivi!$G:$G,584))</f>
        <v/>
      </c>
      <c r="H573">
        <f>IF(OR($B573="",NOT(ISNUMBER($D573))),"",IF($E573&lt;$D$2,"Passé",IF($D573&gt;$F$2,"À venir","Dans la période")))</f>
        <v/>
      </c>
      <c r="I573">
        <f>IF(OR($B573="",NOT(ISNUMBER($D573))),"",IF(AND($E573&lt;$D$2,$G573&lt;&gt;"X",$F573&lt;&gt;"Réalisé",$F573&lt;&gt;"Clôturé"),"RETARD",""))</f>
        <v/>
      </c>
      <c r="J573" s="29">
        <f>IF($B573="","",IF(INDEX(Dossiers!$F$4:$F$63,11)="","",INDEX(Dossiers!$F$4:$F$63,11)))</f>
        <v/>
      </c>
      <c r="K573" s="29">
        <f>IF($B573="","",IF(INDEX(Dossiers!$G$4:$G$63,11)="","",INDEX(Dossiers!$G$4:$G$63,11)))</f>
        <v/>
      </c>
    </row>
    <row r="574">
      <c r="A574">
        <f>IF($B574="","",INDEX(Dossiers!$E$4:$E$63,11))</f>
        <v/>
      </c>
      <c r="B574">
        <f>IF(INDEX(Suivi!$B:$B,585)="","",INDEX(Suivi!$B:$B,585))</f>
        <v/>
      </c>
      <c r="C574">
        <f>IF($B574="","",IF(INDEX(Suivi!$D:$D,585)="",INDEX(Suivi!$C:$C,585),INDEX(Suivi!$D:$D,585)))</f>
        <v/>
      </c>
      <c r="D574" s="29">
        <f>IF($B574="","",INDEX(Suivi!$E:$E,585))</f>
        <v/>
      </c>
      <c r="E574" s="29">
        <f>IF($B574="","",INDEX(Suivi!$F:$F,585))</f>
        <v/>
      </c>
      <c r="F574">
        <f>IF($B574="","",INDEX(Suivi!$G:$G,585))</f>
        <v/>
      </c>
      <c r="H574">
        <f>IF(OR($B574="",NOT(ISNUMBER($D574))),"",IF($E574&lt;$D$2,"Passé",IF($D574&gt;$F$2,"À venir","Dans la période")))</f>
        <v/>
      </c>
      <c r="I574">
        <f>IF(OR($B574="",NOT(ISNUMBER($D574))),"",IF(AND($E574&lt;$D$2,$G574&lt;&gt;"X",$F574&lt;&gt;"Réalisé",$F574&lt;&gt;"Clôturé"),"RETARD",""))</f>
        <v/>
      </c>
      <c r="J574" s="29">
        <f>IF($B574="","",IF(INDEX(Dossiers!$F$4:$F$63,11)="","",INDEX(Dossiers!$F$4:$F$63,11)))</f>
        <v/>
      </c>
      <c r="K574" s="29">
        <f>IF($B574="","",IF(INDEX(Dossiers!$G$4:$G$63,11)="","",INDEX(Dossiers!$G$4:$G$63,11)))</f>
        <v/>
      </c>
    </row>
    <row r="575">
      <c r="A575">
        <f>IF($B575="","",INDEX(Dossiers!$E$4:$E$63,11))</f>
        <v/>
      </c>
      <c r="B575">
        <f>IF(INDEX(Suivi!$B:$B,586)="","",INDEX(Suivi!$B:$B,586))</f>
        <v/>
      </c>
      <c r="C575">
        <f>IF($B575="","",IF(INDEX(Suivi!$D:$D,586)="",INDEX(Suivi!$C:$C,586),INDEX(Suivi!$D:$D,586)))</f>
        <v/>
      </c>
      <c r="D575" s="29">
        <f>IF($B575="","",INDEX(Suivi!$E:$E,586))</f>
        <v/>
      </c>
      <c r="E575" s="29">
        <f>IF($B575="","",INDEX(Suivi!$F:$F,586))</f>
        <v/>
      </c>
      <c r="F575">
        <f>IF($B575="","",INDEX(Suivi!$G:$G,586))</f>
        <v/>
      </c>
      <c r="H575">
        <f>IF(OR($B575="",NOT(ISNUMBER($D575))),"",IF($E575&lt;$D$2,"Passé",IF($D575&gt;$F$2,"À venir","Dans la période")))</f>
        <v/>
      </c>
      <c r="I575">
        <f>IF(OR($B575="",NOT(ISNUMBER($D575))),"",IF(AND($E575&lt;$D$2,$G575&lt;&gt;"X",$F575&lt;&gt;"Réalisé",$F575&lt;&gt;"Clôturé"),"RETARD",""))</f>
        <v/>
      </c>
      <c r="J575" s="29">
        <f>IF($B575="","",IF(INDEX(Dossiers!$F$4:$F$63,11)="","",INDEX(Dossiers!$F$4:$F$63,11)))</f>
        <v/>
      </c>
      <c r="K575" s="29">
        <f>IF($B575="","",IF(INDEX(Dossiers!$G$4:$G$63,11)="","",INDEX(Dossiers!$G$4:$G$63,11)))</f>
        <v/>
      </c>
    </row>
    <row r="576">
      <c r="A576">
        <f>IF($B576="","",INDEX(Dossiers!$E$4:$E$63,11))</f>
        <v/>
      </c>
      <c r="B576">
        <f>IF(INDEX(Suivi!$B:$B,587)="","",INDEX(Suivi!$B:$B,587))</f>
        <v/>
      </c>
      <c r="C576">
        <f>IF($B576="","",IF(INDEX(Suivi!$D:$D,587)="",INDEX(Suivi!$C:$C,587),INDEX(Suivi!$D:$D,587)))</f>
        <v/>
      </c>
      <c r="D576" s="29">
        <f>IF($B576="","",INDEX(Suivi!$E:$E,587))</f>
        <v/>
      </c>
      <c r="E576" s="29">
        <f>IF($B576="","",INDEX(Suivi!$F:$F,587))</f>
        <v/>
      </c>
      <c r="F576">
        <f>IF($B576="","",INDEX(Suivi!$G:$G,587))</f>
        <v/>
      </c>
      <c r="H576">
        <f>IF(OR($B576="",NOT(ISNUMBER($D576))),"",IF($E576&lt;$D$2,"Passé",IF($D576&gt;$F$2,"À venir","Dans la période")))</f>
        <v/>
      </c>
      <c r="I576">
        <f>IF(OR($B576="",NOT(ISNUMBER($D576))),"",IF(AND($E576&lt;$D$2,$G576&lt;&gt;"X",$F576&lt;&gt;"Réalisé",$F576&lt;&gt;"Clôturé"),"RETARD",""))</f>
        <v/>
      </c>
      <c r="J576" s="29">
        <f>IF($B576="","",IF(INDEX(Dossiers!$F$4:$F$63,11)="","",INDEX(Dossiers!$F$4:$F$63,11)))</f>
        <v/>
      </c>
      <c r="K576" s="29">
        <f>IF($B576="","",IF(INDEX(Dossiers!$G$4:$G$63,11)="","",INDEX(Dossiers!$G$4:$G$63,11)))</f>
        <v/>
      </c>
    </row>
    <row r="577">
      <c r="A577">
        <f>IF($B577="","",INDEX(Dossiers!$E$4:$E$63,11))</f>
        <v/>
      </c>
      <c r="B577">
        <f>IF(INDEX(Suivi!$B:$B,588)="","",INDEX(Suivi!$B:$B,588))</f>
        <v/>
      </c>
      <c r="C577">
        <f>IF($B577="","",IF(INDEX(Suivi!$D:$D,588)="",INDEX(Suivi!$C:$C,588),INDEX(Suivi!$D:$D,588)))</f>
        <v/>
      </c>
      <c r="D577" s="29">
        <f>IF($B577="","",INDEX(Suivi!$E:$E,588))</f>
        <v/>
      </c>
      <c r="E577" s="29">
        <f>IF($B577="","",INDEX(Suivi!$F:$F,588))</f>
        <v/>
      </c>
      <c r="F577">
        <f>IF($B577="","",INDEX(Suivi!$G:$G,588))</f>
        <v/>
      </c>
      <c r="H577">
        <f>IF(OR($B577="",NOT(ISNUMBER($D577))),"",IF($E577&lt;$D$2,"Passé",IF($D577&gt;$F$2,"À venir","Dans la période")))</f>
        <v/>
      </c>
      <c r="I577">
        <f>IF(OR($B577="",NOT(ISNUMBER($D577))),"",IF(AND($E577&lt;$D$2,$G577&lt;&gt;"X",$F577&lt;&gt;"Réalisé",$F577&lt;&gt;"Clôturé"),"RETARD",""))</f>
        <v/>
      </c>
      <c r="J577" s="29">
        <f>IF($B577="","",IF(INDEX(Dossiers!$F$4:$F$63,11)="","",INDEX(Dossiers!$F$4:$F$63,11)))</f>
        <v/>
      </c>
      <c r="K577" s="29">
        <f>IF($B577="","",IF(INDEX(Dossiers!$G$4:$G$63,11)="","",INDEX(Dossiers!$G$4:$G$63,11)))</f>
        <v/>
      </c>
    </row>
    <row r="578">
      <c r="A578">
        <f>IF($B578="","",INDEX(Dossiers!$E$4:$E$63,11))</f>
        <v/>
      </c>
      <c r="B578">
        <f>IF(INDEX(Suivi!$B:$B,589)="","",INDEX(Suivi!$B:$B,589))</f>
        <v/>
      </c>
      <c r="C578">
        <f>IF($B578="","",IF(INDEX(Suivi!$D:$D,589)="",INDEX(Suivi!$C:$C,589),INDEX(Suivi!$D:$D,589)))</f>
        <v/>
      </c>
      <c r="D578" s="29">
        <f>IF($B578="","",INDEX(Suivi!$E:$E,589))</f>
        <v/>
      </c>
      <c r="E578" s="29">
        <f>IF($B578="","",INDEX(Suivi!$F:$F,589))</f>
        <v/>
      </c>
      <c r="F578">
        <f>IF($B578="","",INDEX(Suivi!$G:$G,589))</f>
        <v/>
      </c>
      <c r="H578">
        <f>IF(OR($B578="",NOT(ISNUMBER($D578))),"",IF($E578&lt;$D$2,"Passé",IF($D578&gt;$F$2,"À venir","Dans la période")))</f>
        <v/>
      </c>
      <c r="I578">
        <f>IF(OR($B578="",NOT(ISNUMBER($D578))),"",IF(AND($E578&lt;$D$2,$G578&lt;&gt;"X",$F578&lt;&gt;"Réalisé",$F578&lt;&gt;"Clôturé"),"RETARD",""))</f>
        <v/>
      </c>
      <c r="J578" s="29">
        <f>IF($B578="","",IF(INDEX(Dossiers!$F$4:$F$63,11)="","",INDEX(Dossiers!$F$4:$F$63,11)))</f>
        <v/>
      </c>
      <c r="K578" s="29">
        <f>IF($B578="","",IF(INDEX(Dossiers!$G$4:$G$63,11)="","",INDEX(Dossiers!$G$4:$G$63,11)))</f>
        <v/>
      </c>
    </row>
    <row r="579">
      <c r="A579">
        <f>IF($B579="","",INDEX(Dossiers!$E$4:$E$63,11))</f>
        <v/>
      </c>
      <c r="B579">
        <f>IF(INDEX(Suivi!$B:$B,590)="","",INDEX(Suivi!$B:$B,590))</f>
        <v/>
      </c>
      <c r="C579">
        <f>IF($B579="","",IF(INDEX(Suivi!$D:$D,590)="",INDEX(Suivi!$C:$C,590),INDEX(Suivi!$D:$D,590)))</f>
        <v/>
      </c>
      <c r="D579" s="29">
        <f>IF($B579="","",INDEX(Suivi!$E:$E,590))</f>
        <v/>
      </c>
      <c r="E579" s="29">
        <f>IF($B579="","",INDEX(Suivi!$F:$F,590))</f>
        <v/>
      </c>
      <c r="F579">
        <f>IF($B579="","",INDEX(Suivi!$G:$G,590))</f>
        <v/>
      </c>
      <c r="H579">
        <f>IF(OR($B579="",NOT(ISNUMBER($D579))),"",IF($E579&lt;$D$2,"Passé",IF($D579&gt;$F$2,"À venir","Dans la période")))</f>
        <v/>
      </c>
      <c r="I579">
        <f>IF(OR($B579="",NOT(ISNUMBER($D579))),"",IF(AND($E579&lt;$D$2,$G579&lt;&gt;"X",$F579&lt;&gt;"Réalisé",$F579&lt;&gt;"Clôturé"),"RETARD",""))</f>
        <v/>
      </c>
      <c r="J579" s="29">
        <f>IF($B579="","",IF(INDEX(Dossiers!$F$4:$F$63,11)="","",INDEX(Dossiers!$F$4:$F$63,11)))</f>
        <v/>
      </c>
      <c r="K579" s="29">
        <f>IF($B579="","",IF(INDEX(Dossiers!$G$4:$G$63,11)="","",INDEX(Dossiers!$G$4:$G$63,11)))</f>
        <v/>
      </c>
    </row>
    <row r="580">
      <c r="A580">
        <f>IF($B580="","",INDEX(Dossiers!$E$4:$E$63,11))</f>
        <v/>
      </c>
      <c r="B580">
        <f>IF(INDEX(Suivi!$B:$B,591)="","",INDEX(Suivi!$B:$B,591))</f>
        <v/>
      </c>
      <c r="C580">
        <f>IF($B580="","",IF(INDEX(Suivi!$D:$D,591)="",INDEX(Suivi!$C:$C,591),INDEX(Suivi!$D:$D,591)))</f>
        <v/>
      </c>
      <c r="D580" s="29">
        <f>IF($B580="","",INDEX(Suivi!$E:$E,591))</f>
        <v/>
      </c>
      <c r="E580" s="29">
        <f>IF($B580="","",INDEX(Suivi!$F:$F,591))</f>
        <v/>
      </c>
      <c r="F580">
        <f>IF($B580="","",INDEX(Suivi!$G:$G,591))</f>
        <v/>
      </c>
      <c r="H580">
        <f>IF(OR($B580="",NOT(ISNUMBER($D580))),"",IF($E580&lt;$D$2,"Passé",IF($D580&gt;$F$2,"À venir","Dans la période")))</f>
        <v/>
      </c>
      <c r="I580">
        <f>IF(OR($B580="",NOT(ISNUMBER($D580))),"",IF(AND($E580&lt;$D$2,$G580&lt;&gt;"X",$F580&lt;&gt;"Réalisé",$F580&lt;&gt;"Clôturé"),"RETARD",""))</f>
        <v/>
      </c>
      <c r="J580" s="29">
        <f>IF($B580="","",IF(INDEX(Dossiers!$F$4:$F$63,11)="","",INDEX(Dossiers!$F$4:$F$63,11)))</f>
        <v/>
      </c>
      <c r="K580" s="29">
        <f>IF($B580="","",IF(INDEX(Dossiers!$G$4:$G$63,11)="","",INDEX(Dossiers!$G$4:$G$63,11)))</f>
        <v/>
      </c>
    </row>
    <row r="581">
      <c r="A581">
        <f>IF($B581="","",INDEX(Dossiers!$E$4:$E$63,11))</f>
        <v/>
      </c>
      <c r="B581">
        <f>IF(INDEX(Suivi!$B:$B,592)="","",INDEX(Suivi!$B:$B,592))</f>
        <v/>
      </c>
      <c r="C581">
        <f>IF($B581="","",IF(INDEX(Suivi!$D:$D,592)="",INDEX(Suivi!$C:$C,592),INDEX(Suivi!$D:$D,592)))</f>
        <v/>
      </c>
      <c r="D581" s="29">
        <f>IF($B581="","",INDEX(Suivi!$E:$E,592))</f>
        <v/>
      </c>
      <c r="E581" s="29">
        <f>IF($B581="","",INDEX(Suivi!$F:$F,592))</f>
        <v/>
      </c>
      <c r="F581">
        <f>IF($B581="","",INDEX(Suivi!$G:$G,592))</f>
        <v/>
      </c>
      <c r="H581">
        <f>IF(OR($B581="",NOT(ISNUMBER($D581))),"",IF($E581&lt;$D$2,"Passé",IF($D581&gt;$F$2,"À venir","Dans la période")))</f>
        <v/>
      </c>
      <c r="I581">
        <f>IF(OR($B581="",NOT(ISNUMBER($D581))),"",IF(AND($E581&lt;$D$2,$G581&lt;&gt;"X",$F581&lt;&gt;"Réalisé",$F581&lt;&gt;"Clôturé"),"RETARD",""))</f>
        <v/>
      </c>
      <c r="J581" s="29">
        <f>IF($B581="","",IF(INDEX(Dossiers!$F$4:$F$63,11)="","",INDEX(Dossiers!$F$4:$F$63,11)))</f>
        <v/>
      </c>
      <c r="K581" s="29">
        <f>IF($B581="","",IF(INDEX(Dossiers!$G$4:$G$63,11)="","",INDEX(Dossiers!$G$4:$G$63,11)))</f>
        <v/>
      </c>
    </row>
    <row r="582">
      <c r="A582">
        <f>IF($B582="","",INDEX(Dossiers!$E$4:$E$63,11))</f>
        <v/>
      </c>
      <c r="B582">
        <f>IF(INDEX(Suivi!$B:$B,593)="","",INDEX(Suivi!$B:$B,593))</f>
        <v/>
      </c>
      <c r="C582">
        <f>IF($B582="","",IF(INDEX(Suivi!$D:$D,593)="",INDEX(Suivi!$C:$C,593),INDEX(Suivi!$D:$D,593)))</f>
        <v/>
      </c>
      <c r="D582" s="29">
        <f>IF($B582="","",INDEX(Suivi!$E:$E,593))</f>
        <v/>
      </c>
      <c r="E582" s="29">
        <f>IF($B582="","",INDEX(Suivi!$F:$F,593))</f>
        <v/>
      </c>
      <c r="F582">
        <f>IF($B582="","",INDEX(Suivi!$G:$G,593))</f>
        <v/>
      </c>
      <c r="H582">
        <f>IF(OR($B582="",NOT(ISNUMBER($D582))),"",IF($E582&lt;$D$2,"Passé",IF($D582&gt;$F$2,"À venir","Dans la période")))</f>
        <v/>
      </c>
      <c r="I582">
        <f>IF(OR($B582="",NOT(ISNUMBER($D582))),"",IF(AND($E582&lt;$D$2,$G582&lt;&gt;"X",$F582&lt;&gt;"Réalisé",$F582&lt;&gt;"Clôturé"),"RETARD",""))</f>
        <v/>
      </c>
      <c r="J582" s="29">
        <f>IF($B582="","",IF(INDEX(Dossiers!$F$4:$F$63,11)="","",INDEX(Dossiers!$F$4:$F$63,11)))</f>
        <v/>
      </c>
      <c r="K582" s="29">
        <f>IF($B582="","",IF(INDEX(Dossiers!$G$4:$G$63,11)="","",INDEX(Dossiers!$G$4:$G$63,11)))</f>
        <v/>
      </c>
    </row>
    <row r="583">
      <c r="A583">
        <f>IF($B583="","",INDEX(Dossiers!$E$4:$E$63,11))</f>
        <v/>
      </c>
      <c r="B583">
        <f>IF(INDEX(Suivi!$B:$B,594)="","",INDEX(Suivi!$B:$B,594))</f>
        <v/>
      </c>
      <c r="C583">
        <f>IF($B583="","",IF(INDEX(Suivi!$D:$D,594)="",INDEX(Suivi!$C:$C,594),INDEX(Suivi!$D:$D,594)))</f>
        <v/>
      </c>
      <c r="D583" s="29">
        <f>IF($B583="","",INDEX(Suivi!$E:$E,594))</f>
        <v/>
      </c>
      <c r="E583" s="29">
        <f>IF($B583="","",INDEX(Suivi!$F:$F,594))</f>
        <v/>
      </c>
      <c r="F583">
        <f>IF($B583="","",INDEX(Suivi!$G:$G,594))</f>
        <v/>
      </c>
      <c r="H583">
        <f>IF(OR($B583="",NOT(ISNUMBER($D583))),"",IF($E583&lt;$D$2,"Passé",IF($D583&gt;$F$2,"À venir","Dans la période")))</f>
        <v/>
      </c>
      <c r="I583">
        <f>IF(OR($B583="",NOT(ISNUMBER($D583))),"",IF(AND($E583&lt;$D$2,$G583&lt;&gt;"X",$F583&lt;&gt;"Réalisé",$F583&lt;&gt;"Clôturé"),"RETARD",""))</f>
        <v/>
      </c>
      <c r="J583" s="29">
        <f>IF($B583="","",IF(INDEX(Dossiers!$F$4:$F$63,11)="","",INDEX(Dossiers!$F$4:$F$63,11)))</f>
        <v/>
      </c>
      <c r="K583" s="29">
        <f>IF($B583="","",IF(INDEX(Dossiers!$G$4:$G$63,11)="","",INDEX(Dossiers!$G$4:$G$63,11)))</f>
        <v/>
      </c>
    </row>
    <row r="584">
      <c r="A584">
        <f>IF($B584="","",INDEX(Dossiers!$E$4:$E$63,11))</f>
        <v/>
      </c>
      <c r="B584">
        <f>IF(INDEX(Suivi!$B:$B,595)="","",INDEX(Suivi!$B:$B,595))</f>
        <v/>
      </c>
      <c r="C584">
        <f>IF($B584="","",IF(INDEX(Suivi!$D:$D,595)="",INDEX(Suivi!$C:$C,595),INDEX(Suivi!$D:$D,595)))</f>
        <v/>
      </c>
      <c r="D584" s="29">
        <f>IF($B584="","",INDEX(Suivi!$E:$E,595))</f>
        <v/>
      </c>
      <c r="E584" s="29">
        <f>IF($B584="","",INDEX(Suivi!$F:$F,595))</f>
        <v/>
      </c>
      <c r="F584">
        <f>IF($B584="","",INDEX(Suivi!$G:$G,595))</f>
        <v/>
      </c>
      <c r="H584">
        <f>IF(OR($B584="",NOT(ISNUMBER($D584))),"",IF($E584&lt;$D$2,"Passé",IF($D584&gt;$F$2,"À venir","Dans la période")))</f>
        <v/>
      </c>
      <c r="I584">
        <f>IF(OR($B584="",NOT(ISNUMBER($D584))),"",IF(AND($E584&lt;$D$2,$G584&lt;&gt;"X",$F584&lt;&gt;"Réalisé",$F584&lt;&gt;"Clôturé"),"RETARD",""))</f>
        <v/>
      </c>
      <c r="J584" s="29">
        <f>IF($B584="","",IF(INDEX(Dossiers!$F$4:$F$63,11)="","",INDEX(Dossiers!$F$4:$F$63,11)))</f>
        <v/>
      </c>
      <c r="K584" s="29">
        <f>IF($B584="","",IF(INDEX(Dossiers!$G$4:$G$63,11)="","",INDEX(Dossiers!$G$4:$G$63,11)))</f>
        <v/>
      </c>
    </row>
    <row r="585">
      <c r="A585">
        <f>IF($B585="","",INDEX(Dossiers!$E$4:$E$63,11))</f>
        <v/>
      </c>
      <c r="B585">
        <f>IF(INDEX(Suivi!$B:$B,596)="","",INDEX(Suivi!$B:$B,596))</f>
        <v/>
      </c>
      <c r="C585">
        <f>IF($B585="","",IF(INDEX(Suivi!$D:$D,596)="",INDEX(Suivi!$C:$C,596),INDEX(Suivi!$D:$D,596)))</f>
        <v/>
      </c>
      <c r="D585" s="29">
        <f>IF($B585="","",INDEX(Suivi!$E:$E,596))</f>
        <v/>
      </c>
      <c r="E585" s="29">
        <f>IF($B585="","",INDEX(Suivi!$F:$F,596))</f>
        <v/>
      </c>
      <c r="F585">
        <f>IF($B585="","",INDEX(Suivi!$G:$G,596))</f>
        <v/>
      </c>
      <c r="H585">
        <f>IF(OR($B585="",NOT(ISNUMBER($D585))),"",IF($E585&lt;$D$2,"Passé",IF($D585&gt;$F$2,"À venir","Dans la période")))</f>
        <v/>
      </c>
      <c r="I585">
        <f>IF(OR($B585="",NOT(ISNUMBER($D585))),"",IF(AND($E585&lt;$D$2,$G585&lt;&gt;"X",$F585&lt;&gt;"Réalisé",$F585&lt;&gt;"Clôturé"),"RETARD",""))</f>
        <v/>
      </c>
      <c r="J585" s="29">
        <f>IF($B585="","",IF(INDEX(Dossiers!$F$4:$F$63,11)="","",INDEX(Dossiers!$F$4:$F$63,11)))</f>
        <v/>
      </c>
      <c r="K585" s="29">
        <f>IF($B585="","",IF(INDEX(Dossiers!$G$4:$G$63,11)="","",INDEX(Dossiers!$G$4:$G$63,11)))</f>
        <v/>
      </c>
    </row>
    <row r="586">
      <c r="A586">
        <f>IF($B586="","",INDEX(Dossiers!$E$4:$E$63,11))</f>
        <v/>
      </c>
      <c r="B586">
        <f>IF(INDEX(Suivi!$B:$B,597)="","",INDEX(Suivi!$B:$B,597))</f>
        <v/>
      </c>
      <c r="C586">
        <f>IF($B586="","",IF(INDEX(Suivi!$D:$D,597)="",INDEX(Suivi!$C:$C,597),INDEX(Suivi!$D:$D,597)))</f>
        <v/>
      </c>
      <c r="D586" s="29">
        <f>IF($B586="","",INDEX(Suivi!$E:$E,597))</f>
        <v/>
      </c>
      <c r="E586" s="29">
        <f>IF($B586="","",INDEX(Suivi!$F:$F,597))</f>
        <v/>
      </c>
      <c r="F586">
        <f>IF($B586="","",INDEX(Suivi!$G:$G,597))</f>
        <v/>
      </c>
      <c r="H586">
        <f>IF(OR($B586="",NOT(ISNUMBER($D586))),"",IF($E586&lt;$D$2,"Passé",IF($D586&gt;$F$2,"À venir","Dans la période")))</f>
        <v/>
      </c>
      <c r="I586">
        <f>IF(OR($B586="",NOT(ISNUMBER($D586))),"",IF(AND($E586&lt;$D$2,$G586&lt;&gt;"X",$F586&lt;&gt;"Réalisé",$F586&lt;&gt;"Clôturé"),"RETARD",""))</f>
        <v/>
      </c>
      <c r="J586" s="29">
        <f>IF($B586="","",IF(INDEX(Dossiers!$F$4:$F$63,11)="","",INDEX(Dossiers!$F$4:$F$63,11)))</f>
        <v/>
      </c>
      <c r="K586" s="29">
        <f>IF($B586="","",IF(INDEX(Dossiers!$G$4:$G$63,11)="","",INDEX(Dossiers!$G$4:$G$63,11)))</f>
        <v/>
      </c>
    </row>
    <row r="587">
      <c r="A587">
        <f>IF($B587="","",INDEX(Dossiers!$E$4:$E$63,12))</f>
        <v/>
      </c>
      <c r="B587">
        <f>IF(INDEX(Suivi!$B:$B,599)="","",INDEX(Suivi!$B:$B,599))</f>
        <v/>
      </c>
      <c r="C587">
        <f>IF($B587="","",IF(INDEX(Suivi!$D:$D,599)="",INDEX(Suivi!$C:$C,599),INDEX(Suivi!$D:$D,599)))</f>
        <v/>
      </c>
      <c r="D587" s="29">
        <f>IF($B587="","",INDEX(Suivi!$E:$E,599))</f>
        <v/>
      </c>
      <c r="E587" s="29">
        <f>IF($B587="","",INDEX(Suivi!$F:$F,599))</f>
        <v/>
      </c>
      <c r="F587">
        <f>IF($B587="","",INDEX(Suivi!$G:$G,599))</f>
        <v/>
      </c>
      <c r="H587">
        <f>IF(OR($B587="",NOT(ISNUMBER($D587))),"",IF($E587&lt;$D$2,"Passé",IF($D587&gt;$F$2,"À venir","Dans la période")))</f>
        <v/>
      </c>
      <c r="I587">
        <f>IF(OR($B587="",NOT(ISNUMBER($D587))),"",IF(AND($E587&lt;$D$2,$G587&lt;&gt;"X",$F587&lt;&gt;"Réalisé",$F587&lt;&gt;"Clôturé"),"RETARD",""))</f>
        <v/>
      </c>
      <c r="J587" s="29">
        <f>IF($B587="","",IF(INDEX(Dossiers!$F$4:$F$63,12)="","",INDEX(Dossiers!$F$4:$F$63,12)))</f>
        <v/>
      </c>
      <c r="K587" s="29">
        <f>IF($B587="","",IF(INDEX(Dossiers!$G$4:$G$63,12)="","",INDEX(Dossiers!$G$4:$G$63,12)))</f>
        <v/>
      </c>
    </row>
    <row r="588">
      <c r="A588">
        <f>IF($B588="","",INDEX(Dossiers!$E$4:$E$63,12))</f>
        <v/>
      </c>
      <c r="B588">
        <f>IF(INDEX(Suivi!$B:$B,600)="","",INDEX(Suivi!$B:$B,600))</f>
        <v/>
      </c>
      <c r="C588">
        <f>IF($B588="","",IF(INDEX(Suivi!$D:$D,600)="",INDEX(Suivi!$C:$C,600),INDEX(Suivi!$D:$D,600)))</f>
        <v/>
      </c>
      <c r="D588" s="29">
        <f>IF($B588="","",INDEX(Suivi!$E:$E,600))</f>
        <v/>
      </c>
      <c r="E588" s="29">
        <f>IF($B588="","",INDEX(Suivi!$F:$F,600))</f>
        <v/>
      </c>
      <c r="F588">
        <f>IF($B588="","",INDEX(Suivi!$G:$G,600))</f>
        <v/>
      </c>
      <c r="H588">
        <f>IF(OR($B588="",NOT(ISNUMBER($D588))),"",IF($E588&lt;$D$2,"Passé",IF($D588&gt;$F$2,"À venir","Dans la période")))</f>
        <v/>
      </c>
      <c r="I588">
        <f>IF(OR($B588="",NOT(ISNUMBER($D588))),"",IF(AND($E588&lt;$D$2,$G588&lt;&gt;"X",$F588&lt;&gt;"Réalisé",$F588&lt;&gt;"Clôturé"),"RETARD",""))</f>
        <v/>
      </c>
      <c r="J588" s="29">
        <f>IF($B588="","",IF(INDEX(Dossiers!$F$4:$F$63,12)="","",INDEX(Dossiers!$F$4:$F$63,12)))</f>
        <v/>
      </c>
      <c r="K588" s="29">
        <f>IF($B588="","",IF(INDEX(Dossiers!$G$4:$G$63,12)="","",INDEX(Dossiers!$G$4:$G$63,12)))</f>
        <v/>
      </c>
    </row>
    <row r="589">
      <c r="A589">
        <f>IF($B589="","",INDEX(Dossiers!$E$4:$E$63,12))</f>
        <v/>
      </c>
      <c r="B589">
        <f>IF(INDEX(Suivi!$B:$B,601)="","",INDEX(Suivi!$B:$B,601))</f>
        <v/>
      </c>
      <c r="C589">
        <f>IF($B589="","",IF(INDEX(Suivi!$D:$D,601)="",INDEX(Suivi!$C:$C,601),INDEX(Suivi!$D:$D,601)))</f>
        <v/>
      </c>
      <c r="D589" s="29">
        <f>IF($B589="","",INDEX(Suivi!$E:$E,601))</f>
        <v/>
      </c>
      <c r="E589" s="29">
        <f>IF($B589="","",INDEX(Suivi!$F:$F,601))</f>
        <v/>
      </c>
      <c r="F589">
        <f>IF($B589="","",INDEX(Suivi!$G:$G,601))</f>
        <v/>
      </c>
      <c r="H589">
        <f>IF(OR($B589="",NOT(ISNUMBER($D589))),"",IF($E589&lt;$D$2,"Passé",IF($D589&gt;$F$2,"À venir","Dans la période")))</f>
        <v/>
      </c>
      <c r="I589">
        <f>IF(OR($B589="",NOT(ISNUMBER($D589))),"",IF(AND($E589&lt;$D$2,$G589&lt;&gt;"X",$F589&lt;&gt;"Réalisé",$F589&lt;&gt;"Clôturé"),"RETARD",""))</f>
        <v/>
      </c>
      <c r="J589" s="29">
        <f>IF($B589="","",IF(INDEX(Dossiers!$F$4:$F$63,12)="","",INDEX(Dossiers!$F$4:$F$63,12)))</f>
        <v/>
      </c>
      <c r="K589" s="29">
        <f>IF($B589="","",IF(INDEX(Dossiers!$G$4:$G$63,12)="","",INDEX(Dossiers!$G$4:$G$63,12)))</f>
        <v/>
      </c>
    </row>
    <row r="590">
      <c r="A590">
        <f>IF($B590="","",INDEX(Dossiers!$E$4:$E$63,12))</f>
        <v/>
      </c>
      <c r="B590">
        <f>IF(INDEX(Suivi!$B:$B,602)="","",INDEX(Suivi!$B:$B,602))</f>
        <v/>
      </c>
      <c r="C590">
        <f>IF($B590="","",IF(INDEX(Suivi!$D:$D,602)="",INDEX(Suivi!$C:$C,602),INDEX(Suivi!$D:$D,602)))</f>
        <v/>
      </c>
      <c r="D590" s="29">
        <f>IF($B590="","",INDEX(Suivi!$E:$E,602))</f>
        <v/>
      </c>
      <c r="E590" s="29">
        <f>IF($B590="","",INDEX(Suivi!$F:$F,602))</f>
        <v/>
      </c>
      <c r="F590">
        <f>IF($B590="","",INDEX(Suivi!$G:$G,602))</f>
        <v/>
      </c>
      <c r="H590">
        <f>IF(OR($B590="",NOT(ISNUMBER($D590))),"",IF($E590&lt;$D$2,"Passé",IF($D590&gt;$F$2,"À venir","Dans la période")))</f>
        <v/>
      </c>
      <c r="I590">
        <f>IF(OR($B590="",NOT(ISNUMBER($D590))),"",IF(AND($E590&lt;$D$2,$G590&lt;&gt;"X",$F590&lt;&gt;"Réalisé",$F590&lt;&gt;"Clôturé"),"RETARD",""))</f>
        <v/>
      </c>
      <c r="J590" s="29">
        <f>IF($B590="","",IF(INDEX(Dossiers!$F$4:$F$63,12)="","",INDEX(Dossiers!$F$4:$F$63,12)))</f>
        <v/>
      </c>
      <c r="K590" s="29">
        <f>IF($B590="","",IF(INDEX(Dossiers!$G$4:$G$63,12)="","",INDEX(Dossiers!$G$4:$G$63,12)))</f>
        <v/>
      </c>
    </row>
    <row r="591">
      <c r="A591">
        <f>IF($B591="","",INDEX(Dossiers!$E$4:$E$63,12))</f>
        <v/>
      </c>
      <c r="B591">
        <f>IF(INDEX(Suivi!$B:$B,603)="","",INDEX(Suivi!$B:$B,603))</f>
        <v/>
      </c>
      <c r="C591">
        <f>IF($B591="","",IF(INDEX(Suivi!$D:$D,603)="",INDEX(Suivi!$C:$C,603),INDEX(Suivi!$D:$D,603)))</f>
        <v/>
      </c>
      <c r="D591" s="29">
        <f>IF($B591="","",INDEX(Suivi!$E:$E,603))</f>
        <v/>
      </c>
      <c r="E591" s="29">
        <f>IF($B591="","",INDEX(Suivi!$F:$F,603))</f>
        <v/>
      </c>
      <c r="F591">
        <f>IF($B591="","",INDEX(Suivi!$G:$G,603))</f>
        <v/>
      </c>
      <c r="H591">
        <f>IF(OR($B591="",NOT(ISNUMBER($D591))),"",IF($E591&lt;$D$2,"Passé",IF($D591&gt;$F$2,"À venir","Dans la période")))</f>
        <v/>
      </c>
      <c r="I591">
        <f>IF(OR($B591="",NOT(ISNUMBER($D591))),"",IF(AND($E591&lt;$D$2,$G591&lt;&gt;"X",$F591&lt;&gt;"Réalisé",$F591&lt;&gt;"Clôturé"),"RETARD",""))</f>
        <v/>
      </c>
      <c r="J591" s="29">
        <f>IF($B591="","",IF(INDEX(Dossiers!$F$4:$F$63,12)="","",INDEX(Dossiers!$F$4:$F$63,12)))</f>
        <v/>
      </c>
      <c r="K591" s="29">
        <f>IF($B591="","",IF(INDEX(Dossiers!$G$4:$G$63,12)="","",INDEX(Dossiers!$G$4:$G$63,12)))</f>
        <v/>
      </c>
    </row>
    <row r="592">
      <c r="A592">
        <f>IF($B592="","",INDEX(Dossiers!$E$4:$E$63,12))</f>
        <v/>
      </c>
      <c r="B592">
        <f>IF(INDEX(Suivi!$B:$B,604)="","",INDEX(Suivi!$B:$B,604))</f>
        <v/>
      </c>
      <c r="C592">
        <f>IF($B592="","",IF(INDEX(Suivi!$D:$D,604)="",INDEX(Suivi!$C:$C,604),INDEX(Suivi!$D:$D,604)))</f>
        <v/>
      </c>
      <c r="D592" s="29">
        <f>IF($B592="","",INDEX(Suivi!$E:$E,604))</f>
        <v/>
      </c>
      <c r="E592" s="29">
        <f>IF($B592="","",INDEX(Suivi!$F:$F,604))</f>
        <v/>
      </c>
      <c r="F592">
        <f>IF($B592="","",INDEX(Suivi!$G:$G,604))</f>
        <v/>
      </c>
      <c r="H592">
        <f>IF(OR($B592="",NOT(ISNUMBER($D592))),"",IF($E592&lt;$D$2,"Passé",IF($D592&gt;$F$2,"À venir","Dans la période")))</f>
        <v/>
      </c>
      <c r="I592">
        <f>IF(OR($B592="",NOT(ISNUMBER($D592))),"",IF(AND($E592&lt;$D$2,$G592&lt;&gt;"X",$F592&lt;&gt;"Réalisé",$F592&lt;&gt;"Clôturé"),"RETARD",""))</f>
        <v/>
      </c>
      <c r="J592" s="29">
        <f>IF($B592="","",IF(INDEX(Dossiers!$F$4:$F$63,12)="","",INDEX(Dossiers!$F$4:$F$63,12)))</f>
        <v/>
      </c>
      <c r="K592" s="29">
        <f>IF($B592="","",IF(INDEX(Dossiers!$G$4:$G$63,12)="","",INDEX(Dossiers!$G$4:$G$63,12)))</f>
        <v/>
      </c>
    </row>
    <row r="593">
      <c r="A593">
        <f>IF($B593="","",INDEX(Dossiers!$E$4:$E$63,12))</f>
        <v/>
      </c>
      <c r="B593">
        <f>IF(INDEX(Suivi!$B:$B,605)="","",INDEX(Suivi!$B:$B,605))</f>
        <v/>
      </c>
      <c r="C593">
        <f>IF($B593="","",IF(INDEX(Suivi!$D:$D,605)="",INDEX(Suivi!$C:$C,605),INDEX(Suivi!$D:$D,605)))</f>
        <v/>
      </c>
      <c r="D593" s="29">
        <f>IF($B593="","",INDEX(Suivi!$E:$E,605))</f>
        <v/>
      </c>
      <c r="E593" s="29">
        <f>IF($B593="","",INDEX(Suivi!$F:$F,605))</f>
        <v/>
      </c>
      <c r="F593">
        <f>IF($B593="","",INDEX(Suivi!$G:$G,605))</f>
        <v/>
      </c>
      <c r="H593">
        <f>IF(OR($B593="",NOT(ISNUMBER($D593))),"",IF($E593&lt;$D$2,"Passé",IF($D593&gt;$F$2,"À venir","Dans la période")))</f>
        <v/>
      </c>
      <c r="I593">
        <f>IF(OR($B593="",NOT(ISNUMBER($D593))),"",IF(AND($E593&lt;$D$2,$G593&lt;&gt;"X",$F593&lt;&gt;"Réalisé",$F593&lt;&gt;"Clôturé"),"RETARD",""))</f>
        <v/>
      </c>
      <c r="J593" s="29">
        <f>IF($B593="","",IF(INDEX(Dossiers!$F$4:$F$63,12)="","",INDEX(Dossiers!$F$4:$F$63,12)))</f>
        <v/>
      </c>
      <c r="K593" s="29">
        <f>IF($B593="","",IF(INDEX(Dossiers!$G$4:$G$63,12)="","",INDEX(Dossiers!$G$4:$G$63,12)))</f>
        <v/>
      </c>
    </row>
    <row r="594">
      <c r="A594">
        <f>IF($B594="","",INDEX(Dossiers!$E$4:$E$63,12))</f>
        <v/>
      </c>
      <c r="B594">
        <f>IF(INDEX(Suivi!$B:$B,606)="","",INDEX(Suivi!$B:$B,606))</f>
        <v/>
      </c>
      <c r="C594">
        <f>IF($B594="","",IF(INDEX(Suivi!$D:$D,606)="",INDEX(Suivi!$C:$C,606),INDEX(Suivi!$D:$D,606)))</f>
        <v/>
      </c>
      <c r="D594" s="29">
        <f>IF($B594="","",INDEX(Suivi!$E:$E,606))</f>
        <v/>
      </c>
      <c r="E594" s="29">
        <f>IF($B594="","",INDEX(Suivi!$F:$F,606))</f>
        <v/>
      </c>
      <c r="F594">
        <f>IF($B594="","",INDEX(Suivi!$G:$G,606))</f>
        <v/>
      </c>
      <c r="H594">
        <f>IF(OR($B594="",NOT(ISNUMBER($D594))),"",IF($E594&lt;$D$2,"Passé",IF($D594&gt;$F$2,"À venir","Dans la période")))</f>
        <v/>
      </c>
      <c r="I594">
        <f>IF(OR($B594="",NOT(ISNUMBER($D594))),"",IF(AND($E594&lt;$D$2,$G594&lt;&gt;"X",$F594&lt;&gt;"Réalisé",$F594&lt;&gt;"Clôturé"),"RETARD",""))</f>
        <v/>
      </c>
      <c r="J594" s="29">
        <f>IF($B594="","",IF(INDEX(Dossiers!$F$4:$F$63,12)="","",INDEX(Dossiers!$F$4:$F$63,12)))</f>
        <v/>
      </c>
      <c r="K594" s="29">
        <f>IF($B594="","",IF(INDEX(Dossiers!$G$4:$G$63,12)="","",INDEX(Dossiers!$G$4:$G$63,12)))</f>
        <v/>
      </c>
    </row>
    <row r="595">
      <c r="A595">
        <f>IF($B595="","",INDEX(Dossiers!$E$4:$E$63,12))</f>
        <v/>
      </c>
      <c r="B595">
        <f>IF(INDEX(Suivi!$B:$B,607)="","",INDEX(Suivi!$B:$B,607))</f>
        <v/>
      </c>
      <c r="C595">
        <f>IF($B595="","",IF(INDEX(Suivi!$D:$D,607)="",INDEX(Suivi!$C:$C,607),INDEX(Suivi!$D:$D,607)))</f>
        <v/>
      </c>
      <c r="D595" s="29">
        <f>IF($B595="","",INDEX(Suivi!$E:$E,607))</f>
        <v/>
      </c>
      <c r="E595" s="29">
        <f>IF($B595="","",INDEX(Suivi!$F:$F,607))</f>
        <v/>
      </c>
      <c r="F595">
        <f>IF($B595="","",INDEX(Suivi!$G:$G,607))</f>
        <v/>
      </c>
      <c r="H595">
        <f>IF(OR($B595="",NOT(ISNUMBER($D595))),"",IF($E595&lt;$D$2,"Passé",IF($D595&gt;$F$2,"À venir","Dans la période")))</f>
        <v/>
      </c>
      <c r="I595">
        <f>IF(OR($B595="",NOT(ISNUMBER($D595))),"",IF(AND($E595&lt;$D$2,$G595&lt;&gt;"X",$F595&lt;&gt;"Réalisé",$F595&lt;&gt;"Clôturé"),"RETARD",""))</f>
        <v/>
      </c>
      <c r="J595" s="29">
        <f>IF($B595="","",IF(INDEX(Dossiers!$F$4:$F$63,12)="","",INDEX(Dossiers!$F$4:$F$63,12)))</f>
        <v/>
      </c>
      <c r="K595" s="29">
        <f>IF($B595="","",IF(INDEX(Dossiers!$G$4:$G$63,12)="","",INDEX(Dossiers!$G$4:$G$63,12)))</f>
        <v/>
      </c>
    </row>
    <row r="596">
      <c r="A596">
        <f>IF($B596="","",INDEX(Dossiers!$E$4:$E$63,12))</f>
        <v/>
      </c>
      <c r="B596">
        <f>IF(INDEX(Suivi!$B:$B,608)="","",INDEX(Suivi!$B:$B,608))</f>
        <v/>
      </c>
      <c r="C596">
        <f>IF($B596="","",IF(INDEX(Suivi!$D:$D,608)="",INDEX(Suivi!$C:$C,608),INDEX(Suivi!$D:$D,608)))</f>
        <v/>
      </c>
      <c r="D596" s="29">
        <f>IF($B596="","",INDEX(Suivi!$E:$E,608))</f>
        <v/>
      </c>
      <c r="E596" s="29">
        <f>IF($B596="","",INDEX(Suivi!$F:$F,608))</f>
        <v/>
      </c>
      <c r="F596">
        <f>IF($B596="","",INDEX(Suivi!$G:$G,608))</f>
        <v/>
      </c>
      <c r="H596">
        <f>IF(OR($B596="",NOT(ISNUMBER($D596))),"",IF($E596&lt;$D$2,"Passé",IF($D596&gt;$F$2,"À venir","Dans la période")))</f>
        <v/>
      </c>
      <c r="I596">
        <f>IF(OR($B596="",NOT(ISNUMBER($D596))),"",IF(AND($E596&lt;$D$2,$G596&lt;&gt;"X",$F596&lt;&gt;"Réalisé",$F596&lt;&gt;"Clôturé"),"RETARD",""))</f>
        <v/>
      </c>
      <c r="J596" s="29">
        <f>IF($B596="","",IF(INDEX(Dossiers!$F$4:$F$63,12)="","",INDEX(Dossiers!$F$4:$F$63,12)))</f>
        <v/>
      </c>
      <c r="K596" s="29">
        <f>IF($B596="","",IF(INDEX(Dossiers!$G$4:$G$63,12)="","",INDEX(Dossiers!$G$4:$G$63,12)))</f>
        <v/>
      </c>
    </row>
    <row r="597">
      <c r="A597">
        <f>IF($B597="","",INDEX(Dossiers!$E$4:$E$63,12))</f>
        <v/>
      </c>
      <c r="B597">
        <f>IF(INDEX(Suivi!$B:$B,609)="","",INDEX(Suivi!$B:$B,609))</f>
        <v/>
      </c>
      <c r="C597">
        <f>IF($B597="","",IF(INDEX(Suivi!$D:$D,609)="",INDEX(Suivi!$C:$C,609),INDEX(Suivi!$D:$D,609)))</f>
        <v/>
      </c>
      <c r="D597" s="29">
        <f>IF($B597="","",INDEX(Suivi!$E:$E,609))</f>
        <v/>
      </c>
      <c r="E597" s="29">
        <f>IF($B597="","",INDEX(Suivi!$F:$F,609))</f>
        <v/>
      </c>
      <c r="F597">
        <f>IF($B597="","",INDEX(Suivi!$G:$G,609))</f>
        <v/>
      </c>
      <c r="H597">
        <f>IF(OR($B597="",NOT(ISNUMBER($D597))),"",IF($E597&lt;$D$2,"Passé",IF($D597&gt;$F$2,"À venir","Dans la période")))</f>
        <v/>
      </c>
      <c r="I597">
        <f>IF(OR($B597="",NOT(ISNUMBER($D597))),"",IF(AND($E597&lt;$D$2,$G597&lt;&gt;"X",$F597&lt;&gt;"Réalisé",$F597&lt;&gt;"Clôturé"),"RETARD",""))</f>
        <v/>
      </c>
      <c r="J597" s="29">
        <f>IF($B597="","",IF(INDEX(Dossiers!$F$4:$F$63,12)="","",INDEX(Dossiers!$F$4:$F$63,12)))</f>
        <v/>
      </c>
      <c r="K597" s="29">
        <f>IF($B597="","",IF(INDEX(Dossiers!$G$4:$G$63,12)="","",INDEX(Dossiers!$G$4:$G$63,12)))</f>
        <v/>
      </c>
    </row>
    <row r="598">
      <c r="A598">
        <f>IF($B598="","",INDEX(Dossiers!$E$4:$E$63,12))</f>
        <v/>
      </c>
      <c r="B598">
        <f>IF(INDEX(Suivi!$B:$B,610)="","",INDEX(Suivi!$B:$B,610))</f>
        <v/>
      </c>
      <c r="C598">
        <f>IF($B598="","",IF(INDEX(Suivi!$D:$D,610)="",INDEX(Suivi!$C:$C,610),INDEX(Suivi!$D:$D,610)))</f>
        <v/>
      </c>
      <c r="D598" s="29">
        <f>IF($B598="","",INDEX(Suivi!$E:$E,610))</f>
        <v/>
      </c>
      <c r="E598" s="29">
        <f>IF($B598="","",INDEX(Suivi!$F:$F,610))</f>
        <v/>
      </c>
      <c r="F598">
        <f>IF($B598="","",INDEX(Suivi!$G:$G,610))</f>
        <v/>
      </c>
      <c r="H598">
        <f>IF(OR($B598="",NOT(ISNUMBER($D598))),"",IF($E598&lt;$D$2,"Passé",IF($D598&gt;$F$2,"À venir","Dans la période")))</f>
        <v/>
      </c>
      <c r="I598">
        <f>IF(OR($B598="",NOT(ISNUMBER($D598))),"",IF(AND($E598&lt;$D$2,$G598&lt;&gt;"X",$F598&lt;&gt;"Réalisé",$F598&lt;&gt;"Clôturé"),"RETARD",""))</f>
        <v/>
      </c>
      <c r="J598" s="29">
        <f>IF($B598="","",IF(INDEX(Dossiers!$F$4:$F$63,12)="","",INDEX(Dossiers!$F$4:$F$63,12)))</f>
        <v/>
      </c>
      <c r="K598" s="29">
        <f>IF($B598="","",IF(INDEX(Dossiers!$G$4:$G$63,12)="","",INDEX(Dossiers!$G$4:$G$63,12)))</f>
        <v/>
      </c>
    </row>
    <row r="599">
      <c r="A599">
        <f>IF($B599="","",INDEX(Dossiers!$E$4:$E$63,12))</f>
        <v/>
      </c>
      <c r="B599">
        <f>IF(INDEX(Suivi!$B:$B,611)="","",INDEX(Suivi!$B:$B,611))</f>
        <v/>
      </c>
      <c r="C599">
        <f>IF($B599="","",IF(INDEX(Suivi!$D:$D,611)="",INDEX(Suivi!$C:$C,611),INDEX(Suivi!$D:$D,611)))</f>
        <v/>
      </c>
      <c r="D599" s="29">
        <f>IF($B599="","",INDEX(Suivi!$E:$E,611))</f>
        <v/>
      </c>
      <c r="E599" s="29">
        <f>IF($B599="","",INDEX(Suivi!$F:$F,611))</f>
        <v/>
      </c>
      <c r="F599">
        <f>IF($B599="","",INDEX(Suivi!$G:$G,611))</f>
        <v/>
      </c>
      <c r="H599">
        <f>IF(OR($B599="",NOT(ISNUMBER($D599))),"",IF($E599&lt;$D$2,"Passé",IF($D599&gt;$F$2,"À venir","Dans la période")))</f>
        <v/>
      </c>
      <c r="I599">
        <f>IF(OR($B599="",NOT(ISNUMBER($D599))),"",IF(AND($E599&lt;$D$2,$G599&lt;&gt;"X",$F599&lt;&gt;"Réalisé",$F599&lt;&gt;"Clôturé"),"RETARD",""))</f>
        <v/>
      </c>
      <c r="J599" s="29">
        <f>IF($B599="","",IF(INDEX(Dossiers!$F$4:$F$63,12)="","",INDEX(Dossiers!$F$4:$F$63,12)))</f>
        <v/>
      </c>
      <c r="K599" s="29">
        <f>IF($B599="","",IF(INDEX(Dossiers!$G$4:$G$63,12)="","",INDEX(Dossiers!$G$4:$G$63,12)))</f>
        <v/>
      </c>
    </row>
    <row r="600">
      <c r="A600">
        <f>IF($B600="","",INDEX(Dossiers!$E$4:$E$63,12))</f>
        <v/>
      </c>
      <c r="B600">
        <f>IF(INDEX(Suivi!$B:$B,612)="","",INDEX(Suivi!$B:$B,612))</f>
        <v/>
      </c>
      <c r="C600">
        <f>IF($B600="","",IF(INDEX(Suivi!$D:$D,612)="",INDEX(Suivi!$C:$C,612),INDEX(Suivi!$D:$D,612)))</f>
        <v/>
      </c>
      <c r="D600" s="29">
        <f>IF($B600="","",INDEX(Suivi!$E:$E,612))</f>
        <v/>
      </c>
      <c r="E600" s="29">
        <f>IF($B600="","",INDEX(Suivi!$F:$F,612))</f>
        <v/>
      </c>
      <c r="F600">
        <f>IF($B600="","",INDEX(Suivi!$G:$G,612))</f>
        <v/>
      </c>
      <c r="H600">
        <f>IF(OR($B600="",NOT(ISNUMBER($D600))),"",IF($E600&lt;$D$2,"Passé",IF($D600&gt;$F$2,"À venir","Dans la période")))</f>
        <v/>
      </c>
      <c r="I600">
        <f>IF(OR($B600="",NOT(ISNUMBER($D600))),"",IF(AND($E600&lt;$D$2,$G600&lt;&gt;"X",$F600&lt;&gt;"Réalisé",$F600&lt;&gt;"Clôturé"),"RETARD",""))</f>
        <v/>
      </c>
      <c r="J600" s="29">
        <f>IF($B600="","",IF(INDEX(Dossiers!$F$4:$F$63,12)="","",INDEX(Dossiers!$F$4:$F$63,12)))</f>
        <v/>
      </c>
      <c r="K600" s="29">
        <f>IF($B600="","",IF(INDEX(Dossiers!$G$4:$G$63,12)="","",INDEX(Dossiers!$G$4:$G$63,12)))</f>
        <v/>
      </c>
    </row>
    <row r="601">
      <c r="A601">
        <f>IF($B601="","",INDEX(Dossiers!$E$4:$E$63,12))</f>
        <v/>
      </c>
      <c r="B601">
        <f>IF(INDEX(Suivi!$B:$B,613)="","",INDEX(Suivi!$B:$B,613))</f>
        <v/>
      </c>
      <c r="C601">
        <f>IF($B601="","",IF(INDEX(Suivi!$D:$D,613)="",INDEX(Suivi!$C:$C,613),INDEX(Suivi!$D:$D,613)))</f>
        <v/>
      </c>
      <c r="D601" s="29">
        <f>IF($B601="","",INDEX(Suivi!$E:$E,613))</f>
        <v/>
      </c>
      <c r="E601" s="29">
        <f>IF($B601="","",INDEX(Suivi!$F:$F,613))</f>
        <v/>
      </c>
      <c r="F601">
        <f>IF($B601="","",INDEX(Suivi!$G:$G,613))</f>
        <v/>
      </c>
      <c r="H601">
        <f>IF(OR($B601="",NOT(ISNUMBER($D601))),"",IF($E601&lt;$D$2,"Passé",IF($D601&gt;$F$2,"À venir","Dans la période")))</f>
        <v/>
      </c>
      <c r="I601">
        <f>IF(OR($B601="",NOT(ISNUMBER($D601))),"",IF(AND($E601&lt;$D$2,$G601&lt;&gt;"X",$F601&lt;&gt;"Réalisé",$F601&lt;&gt;"Clôturé"),"RETARD",""))</f>
        <v/>
      </c>
      <c r="J601" s="29">
        <f>IF($B601="","",IF(INDEX(Dossiers!$F$4:$F$63,12)="","",INDEX(Dossiers!$F$4:$F$63,12)))</f>
        <v/>
      </c>
      <c r="K601" s="29">
        <f>IF($B601="","",IF(INDEX(Dossiers!$G$4:$G$63,12)="","",INDEX(Dossiers!$G$4:$G$63,12)))</f>
        <v/>
      </c>
    </row>
    <row r="602">
      <c r="A602">
        <f>IF($B602="","",INDEX(Dossiers!$E$4:$E$63,12))</f>
        <v/>
      </c>
      <c r="B602">
        <f>IF(INDEX(Suivi!$B:$B,614)="","",INDEX(Suivi!$B:$B,614))</f>
        <v/>
      </c>
      <c r="C602">
        <f>IF($B602="","",IF(INDEX(Suivi!$D:$D,614)="",INDEX(Suivi!$C:$C,614),INDEX(Suivi!$D:$D,614)))</f>
        <v/>
      </c>
      <c r="D602" s="29">
        <f>IF($B602="","",INDEX(Suivi!$E:$E,614))</f>
        <v/>
      </c>
      <c r="E602" s="29">
        <f>IF($B602="","",INDEX(Suivi!$F:$F,614))</f>
        <v/>
      </c>
      <c r="F602">
        <f>IF($B602="","",INDEX(Suivi!$G:$G,614))</f>
        <v/>
      </c>
      <c r="H602">
        <f>IF(OR($B602="",NOT(ISNUMBER($D602))),"",IF($E602&lt;$D$2,"Passé",IF($D602&gt;$F$2,"À venir","Dans la période")))</f>
        <v/>
      </c>
      <c r="I602">
        <f>IF(OR($B602="",NOT(ISNUMBER($D602))),"",IF(AND($E602&lt;$D$2,$G602&lt;&gt;"X",$F602&lt;&gt;"Réalisé",$F602&lt;&gt;"Clôturé"),"RETARD",""))</f>
        <v/>
      </c>
      <c r="J602" s="29">
        <f>IF($B602="","",IF(INDEX(Dossiers!$F$4:$F$63,12)="","",INDEX(Dossiers!$F$4:$F$63,12)))</f>
        <v/>
      </c>
      <c r="K602" s="29">
        <f>IF($B602="","",IF(INDEX(Dossiers!$G$4:$G$63,12)="","",INDEX(Dossiers!$G$4:$G$63,12)))</f>
        <v/>
      </c>
    </row>
    <row r="603">
      <c r="A603">
        <f>IF($B603="","",INDEX(Dossiers!$E$4:$E$63,12))</f>
        <v/>
      </c>
      <c r="B603">
        <f>IF(INDEX(Suivi!$B:$B,615)="","",INDEX(Suivi!$B:$B,615))</f>
        <v/>
      </c>
      <c r="C603">
        <f>IF($B603="","",IF(INDEX(Suivi!$D:$D,615)="",INDEX(Suivi!$C:$C,615),INDEX(Suivi!$D:$D,615)))</f>
        <v/>
      </c>
      <c r="D603" s="29">
        <f>IF($B603="","",INDEX(Suivi!$E:$E,615))</f>
        <v/>
      </c>
      <c r="E603" s="29">
        <f>IF($B603="","",INDEX(Suivi!$F:$F,615))</f>
        <v/>
      </c>
      <c r="F603">
        <f>IF($B603="","",INDEX(Suivi!$G:$G,615))</f>
        <v/>
      </c>
      <c r="H603">
        <f>IF(OR($B603="",NOT(ISNUMBER($D603))),"",IF($E603&lt;$D$2,"Passé",IF($D603&gt;$F$2,"À venir","Dans la période")))</f>
        <v/>
      </c>
      <c r="I603">
        <f>IF(OR($B603="",NOT(ISNUMBER($D603))),"",IF(AND($E603&lt;$D$2,$G603&lt;&gt;"X",$F603&lt;&gt;"Réalisé",$F603&lt;&gt;"Clôturé"),"RETARD",""))</f>
        <v/>
      </c>
      <c r="J603" s="29">
        <f>IF($B603="","",IF(INDEX(Dossiers!$F$4:$F$63,12)="","",INDEX(Dossiers!$F$4:$F$63,12)))</f>
        <v/>
      </c>
      <c r="K603" s="29">
        <f>IF($B603="","",IF(INDEX(Dossiers!$G$4:$G$63,12)="","",INDEX(Dossiers!$G$4:$G$63,12)))</f>
        <v/>
      </c>
    </row>
    <row r="604">
      <c r="A604">
        <f>IF($B604="","",INDEX(Dossiers!$E$4:$E$63,12))</f>
        <v/>
      </c>
      <c r="B604">
        <f>IF(INDEX(Suivi!$B:$B,616)="","",INDEX(Suivi!$B:$B,616))</f>
        <v/>
      </c>
      <c r="C604">
        <f>IF($B604="","",IF(INDEX(Suivi!$D:$D,616)="",INDEX(Suivi!$C:$C,616),INDEX(Suivi!$D:$D,616)))</f>
        <v/>
      </c>
      <c r="D604" s="29">
        <f>IF($B604="","",INDEX(Suivi!$E:$E,616))</f>
        <v/>
      </c>
      <c r="E604" s="29">
        <f>IF($B604="","",INDEX(Suivi!$F:$F,616))</f>
        <v/>
      </c>
      <c r="F604">
        <f>IF($B604="","",INDEX(Suivi!$G:$G,616))</f>
        <v/>
      </c>
      <c r="H604">
        <f>IF(OR($B604="",NOT(ISNUMBER($D604))),"",IF($E604&lt;$D$2,"Passé",IF($D604&gt;$F$2,"À venir","Dans la période")))</f>
        <v/>
      </c>
      <c r="I604">
        <f>IF(OR($B604="",NOT(ISNUMBER($D604))),"",IF(AND($E604&lt;$D$2,$G604&lt;&gt;"X",$F604&lt;&gt;"Réalisé",$F604&lt;&gt;"Clôturé"),"RETARD",""))</f>
        <v/>
      </c>
      <c r="J604" s="29">
        <f>IF($B604="","",IF(INDEX(Dossiers!$F$4:$F$63,12)="","",INDEX(Dossiers!$F$4:$F$63,12)))</f>
        <v/>
      </c>
      <c r="K604" s="29">
        <f>IF($B604="","",IF(INDEX(Dossiers!$G$4:$G$63,12)="","",INDEX(Dossiers!$G$4:$G$63,12)))</f>
        <v/>
      </c>
    </row>
    <row r="605">
      <c r="A605">
        <f>IF($B605="","",INDEX(Dossiers!$E$4:$E$63,12))</f>
        <v/>
      </c>
      <c r="B605">
        <f>IF(INDEX(Suivi!$B:$B,617)="","",INDEX(Suivi!$B:$B,617))</f>
        <v/>
      </c>
      <c r="C605">
        <f>IF($B605="","",IF(INDEX(Suivi!$D:$D,617)="",INDEX(Suivi!$C:$C,617),INDEX(Suivi!$D:$D,617)))</f>
        <v/>
      </c>
      <c r="D605" s="29">
        <f>IF($B605="","",INDEX(Suivi!$E:$E,617))</f>
        <v/>
      </c>
      <c r="E605" s="29">
        <f>IF($B605="","",INDEX(Suivi!$F:$F,617))</f>
        <v/>
      </c>
      <c r="F605">
        <f>IF($B605="","",INDEX(Suivi!$G:$G,617))</f>
        <v/>
      </c>
      <c r="H605">
        <f>IF(OR($B605="",NOT(ISNUMBER($D605))),"",IF($E605&lt;$D$2,"Passé",IF($D605&gt;$F$2,"À venir","Dans la période")))</f>
        <v/>
      </c>
      <c r="I605">
        <f>IF(OR($B605="",NOT(ISNUMBER($D605))),"",IF(AND($E605&lt;$D$2,$G605&lt;&gt;"X",$F605&lt;&gt;"Réalisé",$F605&lt;&gt;"Clôturé"),"RETARD",""))</f>
        <v/>
      </c>
      <c r="J605" s="29">
        <f>IF($B605="","",IF(INDEX(Dossiers!$F$4:$F$63,12)="","",INDEX(Dossiers!$F$4:$F$63,12)))</f>
        <v/>
      </c>
      <c r="K605" s="29">
        <f>IF($B605="","",IF(INDEX(Dossiers!$G$4:$G$63,12)="","",INDEX(Dossiers!$G$4:$G$63,12)))</f>
        <v/>
      </c>
    </row>
    <row r="606">
      <c r="A606">
        <f>IF($B606="","",INDEX(Dossiers!$E$4:$E$63,12))</f>
        <v/>
      </c>
      <c r="B606">
        <f>IF(INDEX(Suivi!$B:$B,618)="","",INDEX(Suivi!$B:$B,618))</f>
        <v/>
      </c>
      <c r="C606">
        <f>IF($B606="","",IF(INDEX(Suivi!$D:$D,618)="",INDEX(Suivi!$C:$C,618),INDEX(Suivi!$D:$D,618)))</f>
        <v/>
      </c>
      <c r="D606" s="29">
        <f>IF($B606="","",INDEX(Suivi!$E:$E,618))</f>
        <v/>
      </c>
      <c r="E606" s="29">
        <f>IF($B606="","",INDEX(Suivi!$F:$F,618))</f>
        <v/>
      </c>
      <c r="F606">
        <f>IF($B606="","",INDEX(Suivi!$G:$G,618))</f>
        <v/>
      </c>
      <c r="H606">
        <f>IF(OR($B606="",NOT(ISNUMBER($D606))),"",IF($E606&lt;$D$2,"Passé",IF($D606&gt;$F$2,"À venir","Dans la période")))</f>
        <v/>
      </c>
      <c r="I606">
        <f>IF(OR($B606="",NOT(ISNUMBER($D606))),"",IF(AND($E606&lt;$D$2,$G606&lt;&gt;"X",$F606&lt;&gt;"Réalisé",$F606&lt;&gt;"Clôturé"),"RETARD",""))</f>
        <v/>
      </c>
      <c r="J606" s="29">
        <f>IF($B606="","",IF(INDEX(Dossiers!$F$4:$F$63,12)="","",INDEX(Dossiers!$F$4:$F$63,12)))</f>
        <v/>
      </c>
      <c r="K606" s="29">
        <f>IF($B606="","",IF(INDEX(Dossiers!$G$4:$G$63,12)="","",INDEX(Dossiers!$G$4:$G$63,12)))</f>
        <v/>
      </c>
    </row>
    <row r="607">
      <c r="A607">
        <f>IF($B607="","",INDEX(Dossiers!$E$4:$E$63,12))</f>
        <v/>
      </c>
      <c r="B607">
        <f>IF(INDEX(Suivi!$B:$B,619)="","",INDEX(Suivi!$B:$B,619))</f>
        <v/>
      </c>
      <c r="C607">
        <f>IF($B607="","",IF(INDEX(Suivi!$D:$D,619)="",INDEX(Suivi!$C:$C,619),INDEX(Suivi!$D:$D,619)))</f>
        <v/>
      </c>
      <c r="D607" s="29">
        <f>IF($B607="","",INDEX(Suivi!$E:$E,619))</f>
        <v/>
      </c>
      <c r="E607" s="29">
        <f>IF($B607="","",INDEX(Suivi!$F:$F,619))</f>
        <v/>
      </c>
      <c r="F607">
        <f>IF($B607="","",INDEX(Suivi!$G:$G,619))</f>
        <v/>
      </c>
      <c r="H607">
        <f>IF(OR($B607="",NOT(ISNUMBER($D607))),"",IF($E607&lt;$D$2,"Passé",IF($D607&gt;$F$2,"À venir","Dans la période")))</f>
        <v/>
      </c>
      <c r="I607">
        <f>IF(OR($B607="",NOT(ISNUMBER($D607))),"",IF(AND($E607&lt;$D$2,$G607&lt;&gt;"X",$F607&lt;&gt;"Réalisé",$F607&lt;&gt;"Clôturé"),"RETARD",""))</f>
        <v/>
      </c>
      <c r="J607" s="29">
        <f>IF($B607="","",IF(INDEX(Dossiers!$F$4:$F$63,12)="","",INDEX(Dossiers!$F$4:$F$63,12)))</f>
        <v/>
      </c>
      <c r="K607" s="29">
        <f>IF($B607="","",IF(INDEX(Dossiers!$G$4:$G$63,12)="","",INDEX(Dossiers!$G$4:$G$63,12)))</f>
        <v/>
      </c>
    </row>
    <row r="608">
      <c r="A608">
        <f>IF($B608="","",INDEX(Dossiers!$E$4:$E$63,12))</f>
        <v/>
      </c>
      <c r="B608">
        <f>IF(INDEX(Suivi!$B:$B,620)="","",INDEX(Suivi!$B:$B,620))</f>
        <v/>
      </c>
      <c r="C608">
        <f>IF($B608="","",IF(INDEX(Suivi!$D:$D,620)="",INDEX(Suivi!$C:$C,620),INDEX(Suivi!$D:$D,620)))</f>
        <v/>
      </c>
      <c r="D608" s="29">
        <f>IF($B608="","",INDEX(Suivi!$E:$E,620))</f>
        <v/>
      </c>
      <c r="E608" s="29">
        <f>IF($B608="","",INDEX(Suivi!$F:$F,620))</f>
        <v/>
      </c>
      <c r="F608">
        <f>IF($B608="","",INDEX(Suivi!$G:$G,620))</f>
        <v/>
      </c>
      <c r="H608">
        <f>IF(OR($B608="",NOT(ISNUMBER($D608))),"",IF($E608&lt;$D$2,"Passé",IF($D608&gt;$F$2,"À venir","Dans la période")))</f>
        <v/>
      </c>
      <c r="I608">
        <f>IF(OR($B608="",NOT(ISNUMBER($D608))),"",IF(AND($E608&lt;$D$2,$G608&lt;&gt;"X",$F608&lt;&gt;"Réalisé",$F608&lt;&gt;"Clôturé"),"RETARD",""))</f>
        <v/>
      </c>
      <c r="J608" s="29">
        <f>IF($B608="","",IF(INDEX(Dossiers!$F$4:$F$63,12)="","",INDEX(Dossiers!$F$4:$F$63,12)))</f>
        <v/>
      </c>
      <c r="K608" s="29">
        <f>IF($B608="","",IF(INDEX(Dossiers!$G$4:$G$63,12)="","",INDEX(Dossiers!$G$4:$G$63,12)))</f>
        <v/>
      </c>
    </row>
    <row r="609">
      <c r="A609">
        <f>IF($B609="","",INDEX(Dossiers!$E$4:$E$63,12))</f>
        <v/>
      </c>
      <c r="B609">
        <f>IF(INDEX(Suivi!$B:$B,621)="","",INDEX(Suivi!$B:$B,621))</f>
        <v/>
      </c>
      <c r="C609">
        <f>IF($B609="","",IF(INDEX(Suivi!$D:$D,621)="",INDEX(Suivi!$C:$C,621),INDEX(Suivi!$D:$D,621)))</f>
        <v/>
      </c>
      <c r="D609" s="29">
        <f>IF($B609="","",INDEX(Suivi!$E:$E,621))</f>
        <v/>
      </c>
      <c r="E609" s="29">
        <f>IF($B609="","",INDEX(Suivi!$F:$F,621))</f>
        <v/>
      </c>
      <c r="F609">
        <f>IF($B609="","",INDEX(Suivi!$G:$G,621))</f>
        <v/>
      </c>
      <c r="H609">
        <f>IF(OR($B609="",NOT(ISNUMBER($D609))),"",IF($E609&lt;$D$2,"Passé",IF($D609&gt;$F$2,"À venir","Dans la période")))</f>
        <v/>
      </c>
      <c r="I609">
        <f>IF(OR($B609="",NOT(ISNUMBER($D609))),"",IF(AND($E609&lt;$D$2,$G609&lt;&gt;"X",$F609&lt;&gt;"Réalisé",$F609&lt;&gt;"Clôturé"),"RETARD",""))</f>
        <v/>
      </c>
      <c r="J609" s="29">
        <f>IF($B609="","",IF(INDEX(Dossiers!$F$4:$F$63,12)="","",INDEX(Dossiers!$F$4:$F$63,12)))</f>
        <v/>
      </c>
      <c r="K609" s="29">
        <f>IF($B609="","",IF(INDEX(Dossiers!$G$4:$G$63,12)="","",INDEX(Dossiers!$G$4:$G$63,12)))</f>
        <v/>
      </c>
    </row>
    <row r="610">
      <c r="A610">
        <f>IF($B610="","",INDEX(Dossiers!$E$4:$E$63,12))</f>
        <v/>
      </c>
      <c r="B610">
        <f>IF(INDEX(Suivi!$B:$B,622)="","",INDEX(Suivi!$B:$B,622))</f>
        <v/>
      </c>
      <c r="C610">
        <f>IF($B610="","",IF(INDEX(Suivi!$D:$D,622)="",INDEX(Suivi!$C:$C,622),INDEX(Suivi!$D:$D,622)))</f>
        <v/>
      </c>
      <c r="D610" s="29">
        <f>IF($B610="","",INDEX(Suivi!$E:$E,622))</f>
        <v/>
      </c>
      <c r="E610" s="29">
        <f>IF($B610="","",INDEX(Suivi!$F:$F,622))</f>
        <v/>
      </c>
      <c r="F610">
        <f>IF($B610="","",INDEX(Suivi!$G:$G,622))</f>
        <v/>
      </c>
      <c r="H610">
        <f>IF(OR($B610="",NOT(ISNUMBER($D610))),"",IF($E610&lt;$D$2,"Passé",IF($D610&gt;$F$2,"À venir","Dans la période")))</f>
        <v/>
      </c>
      <c r="I610">
        <f>IF(OR($B610="",NOT(ISNUMBER($D610))),"",IF(AND($E610&lt;$D$2,$G610&lt;&gt;"X",$F610&lt;&gt;"Réalisé",$F610&lt;&gt;"Clôturé"),"RETARD",""))</f>
        <v/>
      </c>
      <c r="J610" s="29">
        <f>IF($B610="","",IF(INDEX(Dossiers!$F$4:$F$63,12)="","",INDEX(Dossiers!$F$4:$F$63,12)))</f>
        <v/>
      </c>
      <c r="K610" s="29">
        <f>IF($B610="","",IF(INDEX(Dossiers!$G$4:$G$63,12)="","",INDEX(Dossiers!$G$4:$G$63,12)))</f>
        <v/>
      </c>
    </row>
    <row r="611">
      <c r="A611">
        <f>IF($B611="","",INDEX(Dossiers!$E$4:$E$63,12))</f>
        <v/>
      </c>
      <c r="B611">
        <f>IF(INDEX(Suivi!$B:$B,623)="","",INDEX(Suivi!$B:$B,623))</f>
        <v/>
      </c>
      <c r="C611">
        <f>IF($B611="","",IF(INDEX(Suivi!$D:$D,623)="",INDEX(Suivi!$C:$C,623),INDEX(Suivi!$D:$D,623)))</f>
        <v/>
      </c>
      <c r="D611" s="29">
        <f>IF($B611="","",INDEX(Suivi!$E:$E,623))</f>
        <v/>
      </c>
      <c r="E611" s="29">
        <f>IF($B611="","",INDEX(Suivi!$F:$F,623))</f>
        <v/>
      </c>
      <c r="F611">
        <f>IF($B611="","",INDEX(Suivi!$G:$G,623))</f>
        <v/>
      </c>
      <c r="H611">
        <f>IF(OR($B611="",NOT(ISNUMBER($D611))),"",IF($E611&lt;$D$2,"Passé",IF($D611&gt;$F$2,"À venir","Dans la période")))</f>
        <v/>
      </c>
      <c r="I611">
        <f>IF(OR($B611="",NOT(ISNUMBER($D611))),"",IF(AND($E611&lt;$D$2,$G611&lt;&gt;"X",$F611&lt;&gt;"Réalisé",$F611&lt;&gt;"Clôturé"),"RETARD",""))</f>
        <v/>
      </c>
      <c r="J611" s="29">
        <f>IF($B611="","",IF(INDEX(Dossiers!$F$4:$F$63,12)="","",INDEX(Dossiers!$F$4:$F$63,12)))</f>
        <v/>
      </c>
      <c r="K611" s="29">
        <f>IF($B611="","",IF(INDEX(Dossiers!$G$4:$G$63,12)="","",INDEX(Dossiers!$G$4:$G$63,12)))</f>
        <v/>
      </c>
    </row>
    <row r="612">
      <c r="A612">
        <f>IF($B612="","",INDEX(Dossiers!$E$4:$E$63,12))</f>
        <v/>
      </c>
      <c r="B612">
        <f>IF(INDEX(Suivi!$B:$B,624)="","",INDEX(Suivi!$B:$B,624))</f>
        <v/>
      </c>
      <c r="C612">
        <f>IF($B612="","",IF(INDEX(Suivi!$D:$D,624)="",INDEX(Suivi!$C:$C,624),INDEX(Suivi!$D:$D,624)))</f>
        <v/>
      </c>
      <c r="D612" s="29">
        <f>IF($B612="","",INDEX(Suivi!$E:$E,624))</f>
        <v/>
      </c>
      <c r="E612" s="29">
        <f>IF($B612="","",INDEX(Suivi!$F:$F,624))</f>
        <v/>
      </c>
      <c r="F612">
        <f>IF($B612="","",INDEX(Suivi!$G:$G,624))</f>
        <v/>
      </c>
      <c r="H612">
        <f>IF(OR($B612="",NOT(ISNUMBER($D612))),"",IF($E612&lt;$D$2,"Passé",IF($D612&gt;$F$2,"À venir","Dans la période")))</f>
        <v/>
      </c>
      <c r="I612">
        <f>IF(OR($B612="",NOT(ISNUMBER($D612))),"",IF(AND($E612&lt;$D$2,$G612&lt;&gt;"X",$F612&lt;&gt;"Réalisé",$F612&lt;&gt;"Clôturé"),"RETARD",""))</f>
        <v/>
      </c>
      <c r="J612" s="29">
        <f>IF($B612="","",IF(INDEX(Dossiers!$F$4:$F$63,12)="","",INDEX(Dossiers!$F$4:$F$63,12)))</f>
        <v/>
      </c>
      <c r="K612" s="29">
        <f>IF($B612="","",IF(INDEX(Dossiers!$G$4:$G$63,12)="","",INDEX(Dossiers!$G$4:$G$63,12)))</f>
        <v/>
      </c>
    </row>
    <row r="613">
      <c r="A613">
        <f>IF($B613="","",INDEX(Dossiers!$E$4:$E$63,12))</f>
        <v/>
      </c>
      <c r="B613">
        <f>IF(INDEX(Suivi!$B:$B,625)="","",INDEX(Suivi!$B:$B,625))</f>
        <v/>
      </c>
      <c r="C613">
        <f>IF($B613="","",IF(INDEX(Suivi!$D:$D,625)="",INDEX(Suivi!$C:$C,625),INDEX(Suivi!$D:$D,625)))</f>
        <v/>
      </c>
      <c r="D613" s="29">
        <f>IF($B613="","",INDEX(Suivi!$E:$E,625))</f>
        <v/>
      </c>
      <c r="E613" s="29">
        <f>IF($B613="","",INDEX(Suivi!$F:$F,625))</f>
        <v/>
      </c>
      <c r="F613">
        <f>IF($B613="","",INDEX(Suivi!$G:$G,625))</f>
        <v/>
      </c>
      <c r="H613">
        <f>IF(OR($B613="",NOT(ISNUMBER($D613))),"",IF($E613&lt;$D$2,"Passé",IF($D613&gt;$F$2,"À venir","Dans la période")))</f>
        <v/>
      </c>
      <c r="I613">
        <f>IF(OR($B613="",NOT(ISNUMBER($D613))),"",IF(AND($E613&lt;$D$2,$G613&lt;&gt;"X",$F613&lt;&gt;"Réalisé",$F613&lt;&gt;"Clôturé"),"RETARD",""))</f>
        <v/>
      </c>
      <c r="J613" s="29">
        <f>IF($B613="","",IF(INDEX(Dossiers!$F$4:$F$63,12)="","",INDEX(Dossiers!$F$4:$F$63,12)))</f>
        <v/>
      </c>
      <c r="K613" s="29">
        <f>IF($B613="","",IF(INDEX(Dossiers!$G$4:$G$63,12)="","",INDEX(Dossiers!$G$4:$G$63,12)))</f>
        <v/>
      </c>
    </row>
    <row r="614">
      <c r="A614">
        <f>IF($B614="","",INDEX(Dossiers!$E$4:$E$63,12))</f>
        <v/>
      </c>
      <c r="B614">
        <f>IF(INDEX(Suivi!$B:$B,626)="","",INDEX(Suivi!$B:$B,626))</f>
        <v/>
      </c>
      <c r="C614">
        <f>IF($B614="","",IF(INDEX(Suivi!$D:$D,626)="",INDEX(Suivi!$C:$C,626),INDEX(Suivi!$D:$D,626)))</f>
        <v/>
      </c>
      <c r="D614" s="29">
        <f>IF($B614="","",INDEX(Suivi!$E:$E,626))</f>
        <v/>
      </c>
      <c r="E614" s="29">
        <f>IF($B614="","",INDEX(Suivi!$F:$F,626))</f>
        <v/>
      </c>
      <c r="F614">
        <f>IF($B614="","",INDEX(Suivi!$G:$G,626))</f>
        <v/>
      </c>
      <c r="H614">
        <f>IF(OR($B614="",NOT(ISNUMBER($D614))),"",IF($E614&lt;$D$2,"Passé",IF($D614&gt;$F$2,"À venir","Dans la période")))</f>
        <v/>
      </c>
      <c r="I614">
        <f>IF(OR($B614="",NOT(ISNUMBER($D614))),"",IF(AND($E614&lt;$D$2,$G614&lt;&gt;"X",$F614&lt;&gt;"Réalisé",$F614&lt;&gt;"Clôturé"),"RETARD",""))</f>
        <v/>
      </c>
      <c r="J614" s="29">
        <f>IF($B614="","",IF(INDEX(Dossiers!$F$4:$F$63,12)="","",INDEX(Dossiers!$F$4:$F$63,12)))</f>
        <v/>
      </c>
      <c r="K614" s="29">
        <f>IF($B614="","",IF(INDEX(Dossiers!$G$4:$G$63,12)="","",INDEX(Dossiers!$G$4:$G$63,12)))</f>
        <v/>
      </c>
    </row>
    <row r="615">
      <c r="A615">
        <f>IF($B615="","",INDEX(Dossiers!$E$4:$E$63,12))</f>
        <v/>
      </c>
      <c r="B615">
        <f>IF(INDEX(Suivi!$B:$B,627)="","",INDEX(Suivi!$B:$B,627))</f>
        <v/>
      </c>
      <c r="C615">
        <f>IF($B615="","",IF(INDEX(Suivi!$D:$D,627)="",INDEX(Suivi!$C:$C,627),INDEX(Suivi!$D:$D,627)))</f>
        <v/>
      </c>
      <c r="D615" s="29">
        <f>IF($B615="","",INDEX(Suivi!$E:$E,627))</f>
        <v/>
      </c>
      <c r="E615" s="29">
        <f>IF($B615="","",INDEX(Suivi!$F:$F,627))</f>
        <v/>
      </c>
      <c r="F615">
        <f>IF($B615="","",INDEX(Suivi!$G:$G,627))</f>
        <v/>
      </c>
      <c r="H615">
        <f>IF(OR($B615="",NOT(ISNUMBER($D615))),"",IF($E615&lt;$D$2,"Passé",IF($D615&gt;$F$2,"À venir","Dans la période")))</f>
        <v/>
      </c>
      <c r="I615">
        <f>IF(OR($B615="",NOT(ISNUMBER($D615))),"",IF(AND($E615&lt;$D$2,$G615&lt;&gt;"X",$F615&lt;&gt;"Réalisé",$F615&lt;&gt;"Clôturé"),"RETARD",""))</f>
        <v/>
      </c>
      <c r="J615" s="29">
        <f>IF($B615="","",IF(INDEX(Dossiers!$F$4:$F$63,12)="","",INDEX(Dossiers!$F$4:$F$63,12)))</f>
        <v/>
      </c>
      <c r="K615" s="29">
        <f>IF($B615="","",IF(INDEX(Dossiers!$G$4:$G$63,12)="","",INDEX(Dossiers!$G$4:$G$63,12)))</f>
        <v/>
      </c>
    </row>
    <row r="616">
      <c r="A616">
        <f>IF($B616="","",INDEX(Dossiers!$E$4:$E$63,12))</f>
        <v/>
      </c>
      <c r="B616">
        <f>IF(INDEX(Suivi!$B:$B,628)="","",INDEX(Suivi!$B:$B,628))</f>
        <v/>
      </c>
      <c r="C616">
        <f>IF($B616="","",IF(INDEX(Suivi!$D:$D,628)="",INDEX(Suivi!$C:$C,628),INDEX(Suivi!$D:$D,628)))</f>
        <v/>
      </c>
      <c r="D616" s="29">
        <f>IF($B616="","",INDEX(Suivi!$E:$E,628))</f>
        <v/>
      </c>
      <c r="E616" s="29">
        <f>IF($B616="","",INDEX(Suivi!$F:$F,628))</f>
        <v/>
      </c>
      <c r="F616">
        <f>IF($B616="","",INDEX(Suivi!$G:$G,628))</f>
        <v/>
      </c>
      <c r="H616">
        <f>IF(OR($B616="",NOT(ISNUMBER($D616))),"",IF($E616&lt;$D$2,"Passé",IF($D616&gt;$F$2,"À venir","Dans la période")))</f>
        <v/>
      </c>
      <c r="I616">
        <f>IF(OR($B616="",NOT(ISNUMBER($D616))),"",IF(AND($E616&lt;$D$2,$G616&lt;&gt;"X",$F616&lt;&gt;"Réalisé",$F616&lt;&gt;"Clôturé"),"RETARD",""))</f>
        <v/>
      </c>
      <c r="J616" s="29">
        <f>IF($B616="","",IF(INDEX(Dossiers!$F$4:$F$63,12)="","",INDEX(Dossiers!$F$4:$F$63,12)))</f>
        <v/>
      </c>
      <c r="K616" s="29">
        <f>IF($B616="","",IF(INDEX(Dossiers!$G$4:$G$63,12)="","",INDEX(Dossiers!$G$4:$G$63,12)))</f>
        <v/>
      </c>
    </row>
    <row r="617">
      <c r="A617">
        <f>IF($B617="","",INDEX(Dossiers!$E$4:$E$63,12))</f>
        <v/>
      </c>
      <c r="B617">
        <f>IF(INDEX(Suivi!$B:$B,629)="","",INDEX(Suivi!$B:$B,629))</f>
        <v/>
      </c>
      <c r="C617">
        <f>IF($B617="","",IF(INDEX(Suivi!$D:$D,629)="",INDEX(Suivi!$C:$C,629),INDEX(Suivi!$D:$D,629)))</f>
        <v/>
      </c>
      <c r="D617" s="29">
        <f>IF($B617="","",INDEX(Suivi!$E:$E,629))</f>
        <v/>
      </c>
      <c r="E617" s="29">
        <f>IF($B617="","",INDEX(Suivi!$F:$F,629))</f>
        <v/>
      </c>
      <c r="F617">
        <f>IF($B617="","",INDEX(Suivi!$G:$G,629))</f>
        <v/>
      </c>
      <c r="H617">
        <f>IF(OR($B617="",NOT(ISNUMBER($D617))),"",IF($E617&lt;$D$2,"Passé",IF($D617&gt;$F$2,"À venir","Dans la période")))</f>
        <v/>
      </c>
      <c r="I617">
        <f>IF(OR($B617="",NOT(ISNUMBER($D617))),"",IF(AND($E617&lt;$D$2,$G617&lt;&gt;"X",$F617&lt;&gt;"Réalisé",$F617&lt;&gt;"Clôturé"),"RETARD",""))</f>
        <v/>
      </c>
      <c r="J617" s="29">
        <f>IF($B617="","",IF(INDEX(Dossiers!$F$4:$F$63,12)="","",INDEX(Dossiers!$F$4:$F$63,12)))</f>
        <v/>
      </c>
      <c r="K617" s="29">
        <f>IF($B617="","",IF(INDEX(Dossiers!$G$4:$G$63,12)="","",INDEX(Dossiers!$G$4:$G$63,12)))</f>
        <v/>
      </c>
    </row>
    <row r="618">
      <c r="A618">
        <f>IF($B618="","",INDEX(Dossiers!$E$4:$E$63,12))</f>
        <v/>
      </c>
      <c r="B618">
        <f>IF(INDEX(Suivi!$B:$B,630)="","",INDEX(Suivi!$B:$B,630))</f>
        <v/>
      </c>
      <c r="C618">
        <f>IF($B618="","",IF(INDEX(Suivi!$D:$D,630)="",INDEX(Suivi!$C:$C,630),INDEX(Suivi!$D:$D,630)))</f>
        <v/>
      </c>
      <c r="D618" s="29">
        <f>IF($B618="","",INDEX(Suivi!$E:$E,630))</f>
        <v/>
      </c>
      <c r="E618" s="29">
        <f>IF($B618="","",INDEX(Suivi!$F:$F,630))</f>
        <v/>
      </c>
      <c r="F618">
        <f>IF($B618="","",INDEX(Suivi!$G:$G,630))</f>
        <v/>
      </c>
      <c r="H618">
        <f>IF(OR($B618="",NOT(ISNUMBER($D618))),"",IF($E618&lt;$D$2,"Passé",IF($D618&gt;$F$2,"À venir","Dans la période")))</f>
        <v/>
      </c>
      <c r="I618">
        <f>IF(OR($B618="",NOT(ISNUMBER($D618))),"",IF(AND($E618&lt;$D$2,$G618&lt;&gt;"X",$F618&lt;&gt;"Réalisé",$F618&lt;&gt;"Clôturé"),"RETARD",""))</f>
        <v/>
      </c>
      <c r="J618" s="29">
        <f>IF($B618="","",IF(INDEX(Dossiers!$F$4:$F$63,12)="","",INDEX(Dossiers!$F$4:$F$63,12)))</f>
        <v/>
      </c>
      <c r="K618" s="29">
        <f>IF($B618="","",IF(INDEX(Dossiers!$G$4:$G$63,12)="","",INDEX(Dossiers!$G$4:$G$63,12)))</f>
        <v/>
      </c>
    </row>
    <row r="619">
      <c r="A619">
        <f>IF($B619="","",INDEX(Dossiers!$E$4:$E$63,12))</f>
        <v/>
      </c>
      <c r="B619">
        <f>IF(INDEX(Suivi!$B:$B,631)="","",INDEX(Suivi!$B:$B,631))</f>
        <v/>
      </c>
      <c r="C619">
        <f>IF($B619="","",IF(INDEX(Suivi!$D:$D,631)="",INDEX(Suivi!$C:$C,631),INDEX(Suivi!$D:$D,631)))</f>
        <v/>
      </c>
      <c r="D619" s="29">
        <f>IF($B619="","",INDEX(Suivi!$E:$E,631))</f>
        <v/>
      </c>
      <c r="E619" s="29">
        <f>IF($B619="","",INDEX(Suivi!$F:$F,631))</f>
        <v/>
      </c>
      <c r="F619">
        <f>IF($B619="","",INDEX(Suivi!$G:$G,631))</f>
        <v/>
      </c>
      <c r="H619">
        <f>IF(OR($B619="",NOT(ISNUMBER($D619))),"",IF($E619&lt;$D$2,"Passé",IF($D619&gt;$F$2,"À venir","Dans la période")))</f>
        <v/>
      </c>
      <c r="I619">
        <f>IF(OR($B619="",NOT(ISNUMBER($D619))),"",IF(AND($E619&lt;$D$2,$G619&lt;&gt;"X",$F619&lt;&gt;"Réalisé",$F619&lt;&gt;"Clôturé"),"RETARD",""))</f>
        <v/>
      </c>
      <c r="J619" s="29">
        <f>IF($B619="","",IF(INDEX(Dossiers!$F$4:$F$63,12)="","",INDEX(Dossiers!$F$4:$F$63,12)))</f>
        <v/>
      </c>
      <c r="K619" s="29">
        <f>IF($B619="","",IF(INDEX(Dossiers!$G$4:$G$63,12)="","",INDEX(Dossiers!$G$4:$G$63,12)))</f>
        <v/>
      </c>
    </row>
    <row r="620">
      <c r="A620">
        <f>IF($B620="","",INDEX(Dossiers!$E$4:$E$63,12))</f>
        <v/>
      </c>
      <c r="B620">
        <f>IF(INDEX(Suivi!$B:$B,632)="","",INDEX(Suivi!$B:$B,632))</f>
        <v/>
      </c>
      <c r="C620">
        <f>IF($B620="","",IF(INDEX(Suivi!$D:$D,632)="",INDEX(Suivi!$C:$C,632),INDEX(Suivi!$D:$D,632)))</f>
        <v/>
      </c>
      <c r="D620" s="29">
        <f>IF($B620="","",INDEX(Suivi!$E:$E,632))</f>
        <v/>
      </c>
      <c r="E620" s="29">
        <f>IF($B620="","",INDEX(Suivi!$F:$F,632))</f>
        <v/>
      </c>
      <c r="F620">
        <f>IF($B620="","",INDEX(Suivi!$G:$G,632))</f>
        <v/>
      </c>
      <c r="H620">
        <f>IF(OR($B620="",NOT(ISNUMBER($D620))),"",IF($E620&lt;$D$2,"Passé",IF($D620&gt;$F$2,"À venir","Dans la période")))</f>
        <v/>
      </c>
      <c r="I620">
        <f>IF(OR($B620="",NOT(ISNUMBER($D620))),"",IF(AND($E620&lt;$D$2,$G620&lt;&gt;"X",$F620&lt;&gt;"Réalisé",$F620&lt;&gt;"Clôturé"),"RETARD",""))</f>
        <v/>
      </c>
      <c r="J620" s="29">
        <f>IF($B620="","",IF(INDEX(Dossiers!$F$4:$F$63,12)="","",INDEX(Dossiers!$F$4:$F$63,12)))</f>
        <v/>
      </c>
      <c r="K620" s="29">
        <f>IF($B620="","",IF(INDEX(Dossiers!$G$4:$G$63,12)="","",INDEX(Dossiers!$G$4:$G$63,12)))</f>
        <v/>
      </c>
    </row>
    <row r="621">
      <c r="A621">
        <f>IF($B621="","",INDEX(Dossiers!$E$4:$E$63,12))</f>
        <v/>
      </c>
      <c r="B621">
        <f>IF(INDEX(Suivi!$B:$B,633)="","",INDEX(Suivi!$B:$B,633))</f>
        <v/>
      </c>
      <c r="C621">
        <f>IF($B621="","",IF(INDEX(Suivi!$D:$D,633)="",INDEX(Suivi!$C:$C,633),INDEX(Suivi!$D:$D,633)))</f>
        <v/>
      </c>
      <c r="D621" s="29">
        <f>IF($B621="","",INDEX(Suivi!$E:$E,633))</f>
        <v/>
      </c>
      <c r="E621" s="29">
        <f>IF($B621="","",INDEX(Suivi!$F:$F,633))</f>
        <v/>
      </c>
      <c r="F621">
        <f>IF($B621="","",INDEX(Suivi!$G:$G,633))</f>
        <v/>
      </c>
      <c r="H621">
        <f>IF(OR($B621="",NOT(ISNUMBER($D621))),"",IF($E621&lt;$D$2,"Passé",IF($D621&gt;$F$2,"À venir","Dans la période")))</f>
        <v/>
      </c>
      <c r="I621">
        <f>IF(OR($B621="",NOT(ISNUMBER($D621))),"",IF(AND($E621&lt;$D$2,$G621&lt;&gt;"X",$F621&lt;&gt;"Réalisé",$F621&lt;&gt;"Clôturé"),"RETARD",""))</f>
        <v/>
      </c>
      <c r="J621" s="29">
        <f>IF($B621="","",IF(INDEX(Dossiers!$F$4:$F$63,12)="","",INDEX(Dossiers!$F$4:$F$63,12)))</f>
        <v/>
      </c>
      <c r="K621" s="29">
        <f>IF($B621="","",IF(INDEX(Dossiers!$G$4:$G$63,12)="","",INDEX(Dossiers!$G$4:$G$63,12)))</f>
        <v/>
      </c>
    </row>
    <row r="622">
      <c r="A622">
        <f>IF($B622="","",INDEX(Dossiers!$E$4:$E$63,12))</f>
        <v/>
      </c>
      <c r="B622">
        <f>IF(INDEX(Suivi!$B:$B,634)="","",INDEX(Suivi!$B:$B,634))</f>
        <v/>
      </c>
      <c r="C622">
        <f>IF($B622="","",IF(INDEX(Suivi!$D:$D,634)="",INDEX(Suivi!$C:$C,634),INDEX(Suivi!$D:$D,634)))</f>
        <v/>
      </c>
      <c r="D622" s="29">
        <f>IF($B622="","",INDEX(Suivi!$E:$E,634))</f>
        <v/>
      </c>
      <c r="E622" s="29">
        <f>IF($B622="","",INDEX(Suivi!$F:$F,634))</f>
        <v/>
      </c>
      <c r="F622">
        <f>IF($B622="","",INDEX(Suivi!$G:$G,634))</f>
        <v/>
      </c>
      <c r="H622">
        <f>IF(OR($B622="",NOT(ISNUMBER($D622))),"",IF($E622&lt;$D$2,"Passé",IF($D622&gt;$F$2,"À venir","Dans la période")))</f>
        <v/>
      </c>
      <c r="I622">
        <f>IF(OR($B622="",NOT(ISNUMBER($D622))),"",IF(AND($E622&lt;$D$2,$G622&lt;&gt;"X",$F622&lt;&gt;"Réalisé",$F622&lt;&gt;"Clôturé"),"RETARD",""))</f>
        <v/>
      </c>
      <c r="J622" s="29">
        <f>IF($B622="","",IF(INDEX(Dossiers!$F$4:$F$63,12)="","",INDEX(Dossiers!$F$4:$F$63,12)))</f>
        <v/>
      </c>
      <c r="K622" s="29">
        <f>IF($B622="","",IF(INDEX(Dossiers!$G$4:$G$63,12)="","",INDEX(Dossiers!$G$4:$G$63,12)))</f>
        <v/>
      </c>
    </row>
    <row r="623">
      <c r="A623">
        <f>IF($B623="","",INDEX(Dossiers!$E$4:$E$63,12))</f>
        <v/>
      </c>
      <c r="B623">
        <f>IF(INDEX(Suivi!$B:$B,635)="","",INDEX(Suivi!$B:$B,635))</f>
        <v/>
      </c>
      <c r="C623">
        <f>IF($B623="","",IF(INDEX(Suivi!$D:$D,635)="",INDEX(Suivi!$C:$C,635),INDEX(Suivi!$D:$D,635)))</f>
        <v/>
      </c>
      <c r="D623" s="29">
        <f>IF($B623="","",INDEX(Suivi!$E:$E,635))</f>
        <v/>
      </c>
      <c r="E623" s="29">
        <f>IF($B623="","",INDEX(Suivi!$F:$F,635))</f>
        <v/>
      </c>
      <c r="F623">
        <f>IF($B623="","",INDEX(Suivi!$G:$G,635))</f>
        <v/>
      </c>
      <c r="H623">
        <f>IF(OR($B623="",NOT(ISNUMBER($D623))),"",IF($E623&lt;$D$2,"Passé",IF($D623&gt;$F$2,"À venir","Dans la période")))</f>
        <v/>
      </c>
      <c r="I623">
        <f>IF(OR($B623="",NOT(ISNUMBER($D623))),"",IF(AND($E623&lt;$D$2,$G623&lt;&gt;"X",$F623&lt;&gt;"Réalisé",$F623&lt;&gt;"Clôturé"),"RETARD",""))</f>
        <v/>
      </c>
      <c r="J623" s="29">
        <f>IF($B623="","",IF(INDEX(Dossiers!$F$4:$F$63,12)="","",INDEX(Dossiers!$F$4:$F$63,12)))</f>
        <v/>
      </c>
      <c r="K623" s="29">
        <f>IF($B623="","",IF(INDEX(Dossiers!$G$4:$G$63,12)="","",INDEX(Dossiers!$G$4:$G$63,12)))</f>
        <v/>
      </c>
    </row>
    <row r="624">
      <c r="A624">
        <f>IF($B624="","",INDEX(Dossiers!$E$4:$E$63,12))</f>
        <v/>
      </c>
      <c r="B624">
        <f>IF(INDEX(Suivi!$B:$B,636)="","",INDEX(Suivi!$B:$B,636))</f>
        <v/>
      </c>
      <c r="C624">
        <f>IF($B624="","",IF(INDEX(Suivi!$D:$D,636)="",INDEX(Suivi!$C:$C,636),INDEX(Suivi!$D:$D,636)))</f>
        <v/>
      </c>
      <c r="D624" s="29">
        <f>IF($B624="","",INDEX(Suivi!$E:$E,636))</f>
        <v/>
      </c>
      <c r="E624" s="29">
        <f>IF($B624="","",INDEX(Suivi!$F:$F,636))</f>
        <v/>
      </c>
      <c r="F624">
        <f>IF($B624="","",INDEX(Suivi!$G:$G,636))</f>
        <v/>
      </c>
      <c r="H624">
        <f>IF(OR($B624="",NOT(ISNUMBER($D624))),"",IF($E624&lt;$D$2,"Passé",IF($D624&gt;$F$2,"À venir","Dans la période")))</f>
        <v/>
      </c>
      <c r="I624">
        <f>IF(OR($B624="",NOT(ISNUMBER($D624))),"",IF(AND($E624&lt;$D$2,$G624&lt;&gt;"X",$F624&lt;&gt;"Réalisé",$F624&lt;&gt;"Clôturé"),"RETARD",""))</f>
        <v/>
      </c>
      <c r="J624" s="29">
        <f>IF($B624="","",IF(INDEX(Dossiers!$F$4:$F$63,12)="","",INDEX(Dossiers!$F$4:$F$63,12)))</f>
        <v/>
      </c>
      <c r="K624" s="29">
        <f>IF($B624="","",IF(INDEX(Dossiers!$G$4:$G$63,12)="","",INDEX(Dossiers!$G$4:$G$63,12)))</f>
        <v/>
      </c>
    </row>
    <row r="625">
      <c r="A625">
        <f>IF($B625="","",INDEX(Dossiers!$E$4:$E$63,12))</f>
        <v/>
      </c>
      <c r="B625">
        <f>IF(INDEX(Suivi!$B:$B,637)="","",INDEX(Suivi!$B:$B,637))</f>
        <v/>
      </c>
      <c r="C625">
        <f>IF($B625="","",IF(INDEX(Suivi!$D:$D,637)="",INDEX(Suivi!$C:$C,637),INDEX(Suivi!$D:$D,637)))</f>
        <v/>
      </c>
      <c r="D625" s="29">
        <f>IF($B625="","",INDEX(Suivi!$E:$E,637))</f>
        <v/>
      </c>
      <c r="E625" s="29">
        <f>IF($B625="","",INDEX(Suivi!$F:$F,637))</f>
        <v/>
      </c>
      <c r="F625">
        <f>IF($B625="","",INDEX(Suivi!$G:$G,637))</f>
        <v/>
      </c>
      <c r="H625">
        <f>IF(OR($B625="",NOT(ISNUMBER($D625))),"",IF($E625&lt;$D$2,"Passé",IF($D625&gt;$F$2,"À venir","Dans la période")))</f>
        <v/>
      </c>
      <c r="I625">
        <f>IF(OR($B625="",NOT(ISNUMBER($D625))),"",IF(AND($E625&lt;$D$2,$G625&lt;&gt;"X",$F625&lt;&gt;"Réalisé",$F625&lt;&gt;"Clôturé"),"RETARD",""))</f>
        <v/>
      </c>
      <c r="J625" s="29">
        <f>IF($B625="","",IF(INDEX(Dossiers!$F$4:$F$63,12)="","",INDEX(Dossiers!$F$4:$F$63,12)))</f>
        <v/>
      </c>
      <c r="K625" s="29">
        <f>IF($B625="","",IF(INDEX(Dossiers!$G$4:$G$63,12)="","",INDEX(Dossiers!$G$4:$G$63,12)))</f>
        <v/>
      </c>
    </row>
    <row r="626">
      <c r="A626">
        <f>IF($B626="","",INDEX(Dossiers!$E$4:$E$63,12))</f>
        <v/>
      </c>
      <c r="B626">
        <f>IF(INDEX(Suivi!$B:$B,638)="","",INDEX(Suivi!$B:$B,638))</f>
        <v/>
      </c>
      <c r="C626">
        <f>IF($B626="","",IF(INDEX(Suivi!$D:$D,638)="",INDEX(Suivi!$C:$C,638),INDEX(Suivi!$D:$D,638)))</f>
        <v/>
      </c>
      <c r="D626" s="29">
        <f>IF($B626="","",INDEX(Suivi!$E:$E,638))</f>
        <v/>
      </c>
      <c r="E626" s="29">
        <f>IF($B626="","",INDEX(Suivi!$F:$F,638))</f>
        <v/>
      </c>
      <c r="F626">
        <f>IF($B626="","",INDEX(Suivi!$G:$G,638))</f>
        <v/>
      </c>
      <c r="H626">
        <f>IF(OR($B626="",NOT(ISNUMBER($D626))),"",IF($E626&lt;$D$2,"Passé",IF($D626&gt;$F$2,"À venir","Dans la période")))</f>
        <v/>
      </c>
      <c r="I626">
        <f>IF(OR($B626="",NOT(ISNUMBER($D626))),"",IF(AND($E626&lt;$D$2,$G626&lt;&gt;"X",$F626&lt;&gt;"Réalisé",$F626&lt;&gt;"Clôturé"),"RETARD",""))</f>
        <v/>
      </c>
      <c r="J626" s="29">
        <f>IF($B626="","",IF(INDEX(Dossiers!$F$4:$F$63,12)="","",INDEX(Dossiers!$F$4:$F$63,12)))</f>
        <v/>
      </c>
      <c r="K626" s="29">
        <f>IF($B626="","",IF(INDEX(Dossiers!$G$4:$G$63,12)="","",INDEX(Dossiers!$G$4:$G$63,12)))</f>
        <v/>
      </c>
    </row>
    <row r="627">
      <c r="A627">
        <f>IF($B627="","",INDEX(Dossiers!$E$4:$E$63,12))</f>
        <v/>
      </c>
      <c r="B627">
        <f>IF(INDEX(Suivi!$B:$B,639)="","",INDEX(Suivi!$B:$B,639))</f>
        <v/>
      </c>
      <c r="C627">
        <f>IF($B627="","",IF(INDEX(Suivi!$D:$D,639)="",INDEX(Suivi!$C:$C,639),INDEX(Suivi!$D:$D,639)))</f>
        <v/>
      </c>
      <c r="D627" s="29">
        <f>IF($B627="","",INDEX(Suivi!$E:$E,639))</f>
        <v/>
      </c>
      <c r="E627" s="29">
        <f>IF($B627="","",INDEX(Suivi!$F:$F,639))</f>
        <v/>
      </c>
      <c r="F627">
        <f>IF($B627="","",INDEX(Suivi!$G:$G,639))</f>
        <v/>
      </c>
      <c r="H627">
        <f>IF(OR($B627="",NOT(ISNUMBER($D627))),"",IF($E627&lt;$D$2,"Passé",IF($D627&gt;$F$2,"À venir","Dans la période")))</f>
        <v/>
      </c>
      <c r="I627">
        <f>IF(OR($B627="",NOT(ISNUMBER($D627))),"",IF(AND($E627&lt;$D$2,$G627&lt;&gt;"X",$F627&lt;&gt;"Réalisé",$F627&lt;&gt;"Clôturé"),"RETARD",""))</f>
        <v/>
      </c>
      <c r="J627" s="29">
        <f>IF($B627="","",IF(INDEX(Dossiers!$F$4:$F$63,12)="","",INDEX(Dossiers!$F$4:$F$63,12)))</f>
        <v/>
      </c>
      <c r="K627" s="29">
        <f>IF($B627="","",IF(INDEX(Dossiers!$G$4:$G$63,12)="","",INDEX(Dossiers!$G$4:$G$63,12)))</f>
        <v/>
      </c>
    </row>
    <row r="628">
      <c r="A628">
        <f>IF($B628="","",INDEX(Dossiers!$E$4:$E$63,12))</f>
        <v/>
      </c>
      <c r="B628">
        <f>IF(INDEX(Suivi!$B:$B,640)="","",INDEX(Suivi!$B:$B,640))</f>
        <v/>
      </c>
      <c r="C628">
        <f>IF($B628="","",IF(INDEX(Suivi!$D:$D,640)="",INDEX(Suivi!$C:$C,640),INDEX(Suivi!$D:$D,640)))</f>
        <v/>
      </c>
      <c r="D628" s="29">
        <f>IF($B628="","",INDEX(Suivi!$E:$E,640))</f>
        <v/>
      </c>
      <c r="E628" s="29">
        <f>IF($B628="","",INDEX(Suivi!$F:$F,640))</f>
        <v/>
      </c>
      <c r="F628">
        <f>IF($B628="","",INDEX(Suivi!$G:$G,640))</f>
        <v/>
      </c>
      <c r="H628">
        <f>IF(OR($B628="",NOT(ISNUMBER($D628))),"",IF($E628&lt;$D$2,"Passé",IF($D628&gt;$F$2,"À venir","Dans la période")))</f>
        <v/>
      </c>
      <c r="I628">
        <f>IF(OR($B628="",NOT(ISNUMBER($D628))),"",IF(AND($E628&lt;$D$2,$G628&lt;&gt;"X",$F628&lt;&gt;"Réalisé",$F628&lt;&gt;"Clôturé"),"RETARD",""))</f>
        <v/>
      </c>
      <c r="J628" s="29">
        <f>IF($B628="","",IF(INDEX(Dossiers!$F$4:$F$63,12)="","",INDEX(Dossiers!$F$4:$F$63,12)))</f>
        <v/>
      </c>
      <c r="K628" s="29">
        <f>IF($B628="","",IF(INDEX(Dossiers!$G$4:$G$63,12)="","",INDEX(Dossiers!$G$4:$G$63,12)))</f>
        <v/>
      </c>
    </row>
    <row r="629">
      <c r="A629">
        <f>IF($B629="","",INDEX(Dossiers!$E$4:$E$63,12))</f>
        <v/>
      </c>
      <c r="B629">
        <f>IF(INDEX(Suivi!$B:$B,641)="","",INDEX(Suivi!$B:$B,641))</f>
        <v/>
      </c>
      <c r="C629">
        <f>IF($B629="","",IF(INDEX(Suivi!$D:$D,641)="",INDEX(Suivi!$C:$C,641),INDEX(Suivi!$D:$D,641)))</f>
        <v/>
      </c>
      <c r="D629" s="29">
        <f>IF($B629="","",INDEX(Suivi!$E:$E,641))</f>
        <v/>
      </c>
      <c r="E629" s="29">
        <f>IF($B629="","",INDEX(Suivi!$F:$F,641))</f>
        <v/>
      </c>
      <c r="F629">
        <f>IF($B629="","",INDEX(Suivi!$G:$G,641))</f>
        <v/>
      </c>
      <c r="H629">
        <f>IF(OR($B629="",NOT(ISNUMBER($D629))),"",IF($E629&lt;$D$2,"Passé",IF($D629&gt;$F$2,"À venir","Dans la période")))</f>
        <v/>
      </c>
      <c r="I629">
        <f>IF(OR($B629="",NOT(ISNUMBER($D629))),"",IF(AND($E629&lt;$D$2,$G629&lt;&gt;"X",$F629&lt;&gt;"Réalisé",$F629&lt;&gt;"Clôturé"),"RETARD",""))</f>
        <v/>
      </c>
      <c r="J629" s="29">
        <f>IF($B629="","",IF(INDEX(Dossiers!$F$4:$F$63,12)="","",INDEX(Dossiers!$F$4:$F$63,12)))</f>
        <v/>
      </c>
      <c r="K629" s="29">
        <f>IF($B629="","",IF(INDEX(Dossiers!$G$4:$G$63,12)="","",INDEX(Dossiers!$G$4:$G$63,12)))</f>
        <v/>
      </c>
    </row>
    <row r="630">
      <c r="A630">
        <f>IF($B630="","",INDEX(Dossiers!$E$4:$E$63,12))</f>
        <v/>
      </c>
      <c r="B630">
        <f>IF(INDEX(Suivi!$B:$B,642)="","",INDEX(Suivi!$B:$B,642))</f>
        <v/>
      </c>
      <c r="C630">
        <f>IF($B630="","",IF(INDEX(Suivi!$D:$D,642)="",INDEX(Suivi!$C:$C,642),INDEX(Suivi!$D:$D,642)))</f>
        <v/>
      </c>
      <c r="D630" s="29">
        <f>IF($B630="","",INDEX(Suivi!$E:$E,642))</f>
        <v/>
      </c>
      <c r="E630" s="29">
        <f>IF($B630="","",INDEX(Suivi!$F:$F,642))</f>
        <v/>
      </c>
      <c r="F630">
        <f>IF($B630="","",INDEX(Suivi!$G:$G,642))</f>
        <v/>
      </c>
      <c r="H630">
        <f>IF(OR($B630="",NOT(ISNUMBER($D630))),"",IF($E630&lt;$D$2,"Passé",IF($D630&gt;$F$2,"À venir","Dans la période")))</f>
        <v/>
      </c>
      <c r="I630">
        <f>IF(OR($B630="",NOT(ISNUMBER($D630))),"",IF(AND($E630&lt;$D$2,$G630&lt;&gt;"X",$F630&lt;&gt;"Réalisé",$F630&lt;&gt;"Clôturé"),"RETARD",""))</f>
        <v/>
      </c>
      <c r="J630" s="29">
        <f>IF($B630="","",IF(INDEX(Dossiers!$F$4:$F$63,12)="","",INDEX(Dossiers!$F$4:$F$63,12)))</f>
        <v/>
      </c>
      <c r="K630" s="29">
        <f>IF($B630="","",IF(INDEX(Dossiers!$G$4:$G$63,12)="","",INDEX(Dossiers!$G$4:$G$63,12)))</f>
        <v/>
      </c>
    </row>
    <row r="631">
      <c r="A631">
        <f>IF($B631="","",INDEX(Dossiers!$E$4:$E$63,12))</f>
        <v/>
      </c>
      <c r="B631">
        <f>IF(INDEX(Suivi!$B:$B,643)="","",INDEX(Suivi!$B:$B,643))</f>
        <v/>
      </c>
      <c r="C631">
        <f>IF($B631="","",IF(INDEX(Suivi!$D:$D,643)="",INDEX(Suivi!$C:$C,643),INDEX(Suivi!$D:$D,643)))</f>
        <v/>
      </c>
      <c r="D631" s="29">
        <f>IF($B631="","",INDEX(Suivi!$E:$E,643))</f>
        <v/>
      </c>
      <c r="E631" s="29">
        <f>IF($B631="","",INDEX(Suivi!$F:$F,643))</f>
        <v/>
      </c>
      <c r="F631">
        <f>IF($B631="","",INDEX(Suivi!$G:$G,643))</f>
        <v/>
      </c>
      <c r="H631">
        <f>IF(OR($B631="",NOT(ISNUMBER($D631))),"",IF($E631&lt;$D$2,"Passé",IF($D631&gt;$F$2,"À venir","Dans la période")))</f>
        <v/>
      </c>
      <c r="I631">
        <f>IF(OR($B631="",NOT(ISNUMBER($D631))),"",IF(AND($E631&lt;$D$2,$G631&lt;&gt;"X",$F631&lt;&gt;"Réalisé",$F631&lt;&gt;"Clôturé"),"RETARD",""))</f>
        <v/>
      </c>
      <c r="J631" s="29">
        <f>IF($B631="","",IF(INDEX(Dossiers!$F$4:$F$63,12)="","",INDEX(Dossiers!$F$4:$F$63,12)))</f>
        <v/>
      </c>
      <c r="K631" s="29">
        <f>IF($B631="","",IF(INDEX(Dossiers!$G$4:$G$63,12)="","",INDEX(Dossiers!$G$4:$G$63,12)))</f>
        <v/>
      </c>
    </row>
    <row r="632">
      <c r="A632">
        <f>IF($B632="","",INDEX(Dossiers!$E$4:$E$63,12))</f>
        <v/>
      </c>
      <c r="B632">
        <f>IF(INDEX(Suivi!$B:$B,644)="","",INDEX(Suivi!$B:$B,644))</f>
        <v/>
      </c>
      <c r="C632">
        <f>IF($B632="","",IF(INDEX(Suivi!$D:$D,644)="",INDEX(Suivi!$C:$C,644),INDEX(Suivi!$D:$D,644)))</f>
        <v/>
      </c>
      <c r="D632" s="29">
        <f>IF($B632="","",INDEX(Suivi!$E:$E,644))</f>
        <v/>
      </c>
      <c r="E632" s="29">
        <f>IF($B632="","",INDEX(Suivi!$F:$F,644))</f>
        <v/>
      </c>
      <c r="F632">
        <f>IF($B632="","",INDEX(Suivi!$G:$G,644))</f>
        <v/>
      </c>
      <c r="H632">
        <f>IF(OR($B632="",NOT(ISNUMBER($D632))),"",IF($E632&lt;$D$2,"Passé",IF($D632&gt;$F$2,"À venir","Dans la période")))</f>
        <v/>
      </c>
      <c r="I632">
        <f>IF(OR($B632="",NOT(ISNUMBER($D632))),"",IF(AND($E632&lt;$D$2,$G632&lt;&gt;"X",$F632&lt;&gt;"Réalisé",$F632&lt;&gt;"Clôturé"),"RETARD",""))</f>
        <v/>
      </c>
      <c r="J632" s="29">
        <f>IF($B632="","",IF(INDEX(Dossiers!$F$4:$F$63,12)="","",INDEX(Dossiers!$F$4:$F$63,12)))</f>
        <v/>
      </c>
      <c r="K632" s="29">
        <f>IF($B632="","",IF(INDEX(Dossiers!$G$4:$G$63,12)="","",INDEX(Dossiers!$G$4:$G$63,12)))</f>
        <v/>
      </c>
    </row>
    <row r="633">
      <c r="A633">
        <f>IF($B633="","",INDEX(Dossiers!$E$4:$E$63,12))</f>
        <v/>
      </c>
      <c r="B633">
        <f>IF(INDEX(Suivi!$B:$B,645)="","",INDEX(Suivi!$B:$B,645))</f>
        <v/>
      </c>
      <c r="C633">
        <f>IF($B633="","",IF(INDEX(Suivi!$D:$D,645)="",INDEX(Suivi!$C:$C,645),INDEX(Suivi!$D:$D,645)))</f>
        <v/>
      </c>
      <c r="D633" s="29">
        <f>IF($B633="","",INDEX(Suivi!$E:$E,645))</f>
        <v/>
      </c>
      <c r="E633" s="29">
        <f>IF($B633="","",INDEX(Suivi!$F:$F,645))</f>
        <v/>
      </c>
      <c r="F633">
        <f>IF($B633="","",INDEX(Suivi!$G:$G,645))</f>
        <v/>
      </c>
      <c r="H633">
        <f>IF(OR($B633="",NOT(ISNUMBER($D633))),"",IF($E633&lt;$D$2,"Passé",IF($D633&gt;$F$2,"À venir","Dans la période")))</f>
        <v/>
      </c>
      <c r="I633">
        <f>IF(OR($B633="",NOT(ISNUMBER($D633))),"",IF(AND($E633&lt;$D$2,$G633&lt;&gt;"X",$F633&lt;&gt;"Réalisé",$F633&lt;&gt;"Clôturé"),"RETARD",""))</f>
        <v/>
      </c>
      <c r="J633" s="29">
        <f>IF($B633="","",IF(INDEX(Dossiers!$F$4:$F$63,12)="","",INDEX(Dossiers!$F$4:$F$63,12)))</f>
        <v/>
      </c>
      <c r="K633" s="29">
        <f>IF($B633="","",IF(INDEX(Dossiers!$G$4:$G$63,12)="","",INDEX(Dossiers!$G$4:$G$63,12)))</f>
        <v/>
      </c>
    </row>
    <row r="634">
      <c r="A634">
        <f>IF($B634="","",INDEX(Dossiers!$E$4:$E$63,12))</f>
        <v/>
      </c>
      <c r="B634">
        <f>IF(INDEX(Suivi!$B:$B,646)="","",INDEX(Suivi!$B:$B,646))</f>
        <v/>
      </c>
      <c r="C634">
        <f>IF($B634="","",IF(INDEX(Suivi!$D:$D,646)="",INDEX(Suivi!$C:$C,646),INDEX(Suivi!$D:$D,646)))</f>
        <v/>
      </c>
      <c r="D634" s="29">
        <f>IF($B634="","",INDEX(Suivi!$E:$E,646))</f>
        <v/>
      </c>
      <c r="E634" s="29">
        <f>IF($B634="","",INDEX(Suivi!$F:$F,646))</f>
        <v/>
      </c>
      <c r="F634">
        <f>IF($B634="","",INDEX(Suivi!$G:$G,646))</f>
        <v/>
      </c>
      <c r="H634">
        <f>IF(OR($B634="",NOT(ISNUMBER($D634))),"",IF($E634&lt;$D$2,"Passé",IF($D634&gt;$F$2,"À venir","Dans la période")))</f>
        <v/>
      </c>
      <c r="I634">
        <f>IF(OR($B634="",NOT(ISNUMBER($D634))),"",IF(AND($E634&lt;$D$2,$G634&lt;&gt;"X",$F634&lt;&gt;"Réalisé",$F634&lt;&gt;"Clôturé"),"RETARD",""))</f>
        <v/>
      </c>
      <c r="J634" s="29">
        <f>IF($B634="","",IF(INDEX(Dossiers!$F$4:$F$63,12)="","",INDEX(Dossiers!$F$4:$F$63,12)))</f>
        <v/>
      </c>
      <c r="K634" s="29">
        <f>IF($B634="","",IF(INDEX(Dossiers!$G$4:$G$63,12)="","",INDEX(Dossiers!$G$4:$G$63,12)))</f>
        <v/>
      </c>
    </row>
    <row r="635">
      <c r="A635">
        <f>IF($B635="","",INDEX(Dossiers!$E$4:$E$63,12))</f>
        <v/>
      </c>
      <c r="B635">
        <f>IF(INDEX(Suivi!$B:$B,647)="","",INDEX(Suivi!$B:$B,647))</f>
        <v/>
      </c>
      <c r="C635">
        <f>IF($B635="","",IF(INDEX(Suivi!$D:$D,647)="",INDEX(Suivi!$C:$C,647),INDEX(Suivi!$D:$D,647)))</f>
        <v/>
      </c>
      <c r="D635" s="29">
        <f>IF($B635="","",INDEX(Suivi!$E:$E,647))</f>
        <v/>
      </c>
      <c r="E635" s="29">
        <f>IF($B635="","",INDEX(Suivi!$F:$F,647))</f>
        <v/>
      </c>
      <c r="F635">
        <f>IF($B635="","",INDEX(Suivi!$G:$G,647))</f>
        <v/>
      </c>
      <c r="H635">
        <f>IF(OR($B635="",NOT(ISNUMBER($D635))),"",IF($E635&lt;$D$2,"Passé",IF($D635&gt;$F$2,"À venir","Dans la période")))</f>
        <v/>
      </c>
      <c r="I635">
        <f>IF(OR($B635="",NOT(ISNUMBER($D635))),"",IF(AND($E635&lt;$D$2,$G635&lt;&gt;"X",$F635&lt;&gt;"Réalisé",$F635&lt;&gt;"Clôturé"),"RETARD",""))</f>
        <v/>
      </c>
      <c r="J635" s="29">
        <f>IF($B635="","",IF(INDEX(Dossiers!$F$4:$F$63,12)="","",INDEX(Dossiers!$F$4:$F$63,12)))</f>
        <v/>
      </c>
      <c r="K635" s="29">
        <f>IF($B635="","",IF(INDEX(Dossiers!$G$4:$G$63,12)="","",INDEX(Dossiers!$G$4:$G$63,12)))</f>
        <v/>
      </c>
    </row>
    <row r="636">
      <c r="A636">
        <f>IF($B636="","",INDEX(Dossiers!$E$4:$E$63,12))</f>
        <v/>
      </c>
      <c r="B636">
        <f>IF(INDEX(Suivi!$B:$B,648)="","",INDEX(Suivi!$B:$B,648))</f>
        <v/>
      </c>
      <c r="C636">
        <f>IF($B636="","",IF(INDEX(Suivi!$D:$D,648)="",INDEX(Suivi!$C:$C,648),INDEX(Suivi!$D:$D,648)))</f>
        <v/>
      </c>
      <c r="D636" s="29">
        <f>IF($B636="","",INDEX(Suivi!$E:$E,648))</f>
        <v/>
      </c>
      <c r="E636" s="29">
        <f>IF($B636="","",INDEX(Suivi!$F:$F,648))</f>
        <v/>
      </c>
      <c r="F636">
        <f>IF($B636="","",INDEX(Suivi!$G:$G,648))</f>
        <v/>
      </c>
      <c r="H636">
        <f>IF(OR($B636="",NOT(ISNUMBER($D636))),"",IF($E636&lt;$D$2,"Passé",IF($D636&gt;$F$2,"À venir","Dans la période")))</f>
        <v/>
      </c>
      <c r="I636">
        <f>IF(OR($B636="",NOT(ISNUMBER($D636))),"",IF(AND($E636&lt;$D$2,$G636&lt;&gt;"X",$F636&lt;&gt;"Réalisé",$F636&lt;&gt;"Clôturé"),"RETARD",""))</f>
        <v/>
      </c>
      <c r="J636" s="29">
        <f>IF($B636="","",IF(INDEX(Dossiers!$F$4:$F$63,12)="","",INDEX(Dossiers!$F$4:$F$63,12)))</f>
        <v/>
      </c>
      <c r="K636" s="29">
        <f>IF($B636="","",IF(INDEX(Dossiers!$G$4:$G$63,12)="","",INDEX(Dossiers!$G$4:$G$63,12)))</f>
        <v/>
      </c>
    </row>
    <row r="637">
      <c r="A637">
        <f>IF($B637="","",INDEX(Dossiers!$E$4:$E$63,12))</f>
        <v/>
      </c>
      <c r="B637">
        <f>IF(INDEX(Suivi!$B:$B,649)="","",INDEX(Suivi!$B:$B,649))</f>
        <v/>
      </c>
      <c r="C637">
        <f>IF($B637="","",IF(INDEX(Suivi!$D:$D,649)="",INDEX(Suivi!$C:$C,649),INDEX(Suivi!$D:$D,649)))</f>
        <v/>
      </c>
      <c r="D637" s="29">
        <f>IF($B637="","",INDEX(Suivi!$E:$E,649))</f>
        <v/>
      </c>
      <c r="E637" s="29">
        <f>IF($B637="","",INDEX(Suivi!$F:$F,649))</f>
        <v/>
      </c>
      <c r="F637">
        <f>IF($B637="","",INDEX(Suivi!$G:$G,649))</f>
        <v/>
      </c>
      <c r="H637">
        <f>IF(OR($B637="",NOT(ISNUMBER($D637))),"",IF($E637&lt;$D$2,"Passé",IF($D637&gt;$F$2,"À venir","Dans la période")))</f>
        <v/>
      </c>
      <c r="I637">
        <f>IF(OR($B637="",NOT(ISNUMBER($D637))),"",IF(AND($E637&lt;$D$2,$G637&lt;&gt;"X",$F637&lt;&gt;"Réalisé",$F637&lt;&gt;"Clôturé"),"RETARD",""))</f>
        <v/>
      </c>
      <c r="J637" s="29">
        <f>IF($B637="","",IF(INDEX(Dossiers!$F$4:$F$63,12)="","",INDEX(Dossiers!$F$4:$F$63,12)))</f>
        <v/>
      </c>
      <c r="K637" s="29">
        <f>IF($B637="","",IF(INDEX(Dossiers!$G$4:$G$63,12)="","",INDEX(Dossiers!$G$4:$G$63,12)))</f>
        <v/>
      </c>
    </row>
    <row r="638">
      <c r="A638">
        <f>IF($B638="","",INDEX(Dossiers!$E$4:$E$63,12))</f>
        <v/>
      </c>
      <c r="B638">
        <f>IF(INDEX(Suivi!$B:$B,650)="","",INDEX(Suivi!$B:$B,650))</f>
        <v/>
      </c>
      <c r="C638">
        <f>IF($B638="","",IF(INDEX(Suivi!$D:$D,650)="",INDEX(Suivi!$C:$C,650),INDEX(Suivi!$D:$D,650)))</f>
        <v/>
      </c>
      <c r="D638" s="29">
        <f>IF($B638="","",INDEX(Suivi!$E:$E,650))</f>
        <v/>
      </c>
      <c r="E638" s="29">
        <f>IF($B638="","",INDEX(Suivi!$F:$F,650))</f>
        <v/>
      </c>
      <c r="F638">
        <f>IF($B638="","",INDEX(Suivi!$G:$G,650))</f>
        <v/>
      </c>
      <c r="H638">
        <f>IF(OR($B638="",NOT(ISNUMBER($D638))),"",IF($E638&lt;$D$2,"Passé",IF($D638&gt;$F$2,"À venir","Dans la période")))</f>
        <v/>
      </c>
      <c r="I638">
        <f>IF(OR($B638="",NOT(ISNUMBER($D638))),"",IF(AND($E638&lt;$D$2,$G638&lt;&gt;"X",$F638&lt;&gt;"Réalisé",$F638&lt;&gt;"Clôturé"),"RETARD",""))</f>
        <v/>
      </c>
      <c r="J638" s="29">
        <f>IF($B638="","",IF(INDEX(Dossiers!$F$4:$F$63,12)="","",INDEX(Dossiers!$F$4:$F$63,12)))</f>
        <v/>
      </c>
      <c r="K638" s="29">
        <f>IF($B638="","",IF(INDEX(Dossiers!$G$4:$G$63,12)="","",INDEX(Dossiers!$G$4:$G$63,12)))</f>
        <v/>
      </c>
    </row>
    <row r="639">
      <c r="A639">
        <f>IF($B639="","",INDEX(Dossiers!$E$4:$E$63,12))</f>
        <v/>
      </c>
      <c r="B639">
        <f>IF(INDEX(Suivi!$B:$B,651)="","",INDEX(Suivi!$B:$B,651))</f>
        <v/>
      </c>
      <c r="C639">
        <f>IF($B639="","",IF(INDEX(Suivi!$D:$D,651)="",INDEX(Suivi!$C:$C,651),INDEX(Suivi!$D:$D,651)))</f>
        <v/>
      </c>
      <c r="D639" s="29">
        <f>IF($B639="","",INDEX(Suivi!$E:$E,651))</f>
        <v/>
      </c>
      <c r="E639" s="29">
        <f>IF($B639="","",INDEX(Suivi!$F:$F,651))</f>
        <v/>
      </c>
      <c r="F639">
        <f>IF($B639="","",INDEX(Suivi!$G:$G,651))</f>
        <v/>
      </c>
      <c r="H639">
        <f>IF(OR($B639="",NOT(ISNUMBER($D639))),"",IF($E639&lt;$D$2,"Passé",IF($D639&gt;$F$2,"À venir","Dans la période")))</f>
        <v/>
      </c>
      <c r="I639">
        <f>IF(OR($B639="",NOT(ISNUMBER($D639))),"",IF(AND($E639&lt;$D$2,$G639&lt;&gt;"X",$F639&lt;&gt;"Réalisé",$F639&lt;&gt;"Clôturé"),"RETARD",""))</f>
        <v/>
      </c>
      <c r="J639" s="29">
        <f>IF($B639="","",IF(INDEX(Dossiers!$F$4:$F$63,12)="","",INDEX(Dossiers!$F$4:$F$63,12)))</f>
        <v/>
      </c>
      <c r="K639" s="29">
        <f>IF($B639="","",IF(INDEX(Dossiers!$G$4:$G$63,12)="","",INDEX(Dossiers!$G$4:$G$63,12)))</f>
        <v/>
      </c>
    </row>
    <row r="640">
      <c r="A640">
        <f>IF($B640="","",INDEX(Dossiers!$E$4:$E$63,13))</f>
        <v/>
      </c>
      <c r="B640">
        <f>IF(INDEX(Suivi!$B:$B,653)="","",INDEX(Suivi!$B:$B,653))</f>
        <v/>
      </c>
      <c r="C640">
        <f>IF($B640="","",IF(INDEX(Suivi!$D:$D,653)="",INDEX(Suivi!$C:$C,653),INDEX(Suivi!$D:$D,653)))</f>
        <v/>
      </c>
      <c r="D640" s="29">
        <f>IF($B640="","",INDEX(Suivi!$E:$E,653))</f>
        <v/>
      </c>
      <c r="E640" s="29">
        <f>IF($B640="","",INDEX(Suivi!$F:$F,653))</f>
        <v/>
      </c>
      <c r="F640">
        <f>IF($B640="","",INDEX(Suivi!$G:$G,653))</f>
        <v/>
      </c>
      <c r="H640">
        <f>IF(OR($B640="",NOT(ISNUMBER($D640))),"",IF($E640&lt;$D$2,"Passé",IF($D640&gt;$F$2,"À venir","Dans la période")))</f>
        <v/>
      </c>
      <c r="I640">
        <f>IF(OR($B640="",NOT(ISNUMBER($D640))),"",IF(AND($E640&lt;$D$2,$G640&lt;&gt;"X",$F640&lt;&gt;"Réalisé",$F640&lt;&gt;"Clôturé"),"RETARD",""))</f>
        <v/>
      </c>
      <c r="J640" s="29">
        <f>IF($B640="","",IF(INDEX(Dossiers!$F$4:$F$63,13)="","",INDEX(Dossiers!$F$4:$F$63,13)))</f>
        <v/>
      </c>
      <c r="K640" s="29">
        <f>IF($B640="","",IF(INDEX(Dossiers!$G$4:$G$63,13)="","",INDEX(Dossiers!$G$4:$G$63,13)))</f>
        <v/>
      </c>
    </row>
    <row r="641">
      <c r="A641">
        <f>IF($B641="","",INDEX(Dossiers!$E$4:$E$63,13))</f>
        <v/>
      </c>
      <c r="B641">
        <f>IF(INDEX(Suivi!$B:$B,654)="","",INDEX(Suivi!$B:$B,654))</f>
        <v/>
      </c>
      <c r="C641">
        <f>IF($B641="","",IF(INDEX(Suivi!$D:$D,654)="",INDEX(Suivi!$C:$C,654),INDEX(Suivi!$D:$D,654)))</f>
        <v/>
      </c>
      <c r="D641" s="29">
        <f>IF($B641="","",INDEX(Suivi!$E:$E,654))</f>
        <v/>
      </c>
      <c r="E641" s="29">
        <f>IF($B641="","",INDEX(Suivi!$F:$F,654))</f>
        <v/>
      </c>
      <c r="F641">
        <f>IF($B641="","",INDEX(Suivi!$G:$G,654))</f>
        <v/>
      </c>
      <c r="H641">
        <f>IF(OR($B641="",NOT(ISNUMBER($D641))),"",IF($E641&lt;$D$2,"Passé",IF($D641&gt;$F$2,"À venir","Dans la période")))</f>
        <v/>
      </c>
      <c r="I641">
        <f>IF(OR($B641="",NOT(ISNUMBER($D641))),"",IF(AND($E641&lt;$D$2,$G641&lt;&gt;"X",$F641&lt;&gt;"Réalisé",$F641&lt;&gt;"Clôturé"),"RETARD",""))</f>
        <v/>
      </c>
      <c r="J641" s="29">
        <f>IF($B641="","",IF(INDEX(Dossiers!$F$4:$F$63,13)="","",INDEX(Dossiers!$F$4:$F$63,13)))</f>
        <v/>
      </c>
      <c r="K641" s="29">
        <f>IF($B641="","",IF(INDEX(Dossiers!$G$4:$G$63,13)="","",INDEX(Dossiers!$G$4:$G$63,13)))</f>
        <v/>
      </c>
    </row>
    <row r="642">
      <c r="A642">
        <f>IF($B642="","",INDEX(Dossiers!$E$4:$E$63,13))</f>
        <v/>
      </c>
      <c r="B642">
        <f>IF(INDEX(Suivi!$B:$B,655)="","",INDEX(Suivi!$B:$B,655))</f>
        <v/>
      </c>
      <c r="C642">
        <f>IF($B642="","",IF(INDEX(Suivi!$D:$D,655)="",INDEX(Suivi!$C:$C,655),INDEX(Suivi!$D:$D,655)))</f>
        <v/>
      </c>
      <c r="D642" s="29">
        <f>IF($B642="","",INDEX(Suivi!$E:$E,655))</f>
        <v/>
      </c>
      <c r="E642" s="29">
        <f>IF($B642="","",INDEX(Suivi!$F:$F,655))</f>
        <v/>
      </c>
      <c r="F642">
        <f>IF($B642="","",INDEX(Suivi!$G:$G,655))</f>
        <v/>
      </c>
      <c r="H642">
        <f>IF(OR($B642="",NOT(ISNUMBER($D642))),"",IF($E642&lt;$D$2,"Passé",IF($D642&gt;$F$2,"À venir","Dans la période")))</f>
        <v/>
      </c>
      <c r="I642">
        <f>IF(OR($B642="",NOT(ISNUMBER($D642))),"",IF(AND($E642&lt;$D$2,$G642&lt;&gt;"X",$F642&lt;&gt;"Réalisé",$F642&lt;&gt;"Clôturé"),"RETARD",""))</f>
        <v/>
      </c>
      <c r="J642" s="29">
        <f>IF($B642="","",IF(INDEX(Dossiers!$F$4:$F$63,13)="","",INDEX(Dossiers!$F$4:$F$63,13)))</f>
        <v/>
      </c>
      <c r="K642" s="29">
        <f>IF($B642="","",IF(INDEX(Dossiers!$G$4:$G$63,13)="","",INDEX(Dossiers!$G$4:$G$63,13)))</f>
        <v/>
      </c>
    </row>
    <row r="643">
      <c r="A643">
        <f>IF($B643="","",INDEX(Dossiers!$E$4:$E$63,13))</f>
        <v/>
      </c>
      <c r="B643">
        <f>IF(INDEX(Suivi!$B:$B,656)="","",INDEX(Suivi!$B:$B,656))</f>
        <v/>
      </c>
      <c r="C643">
        <f>IF($B643="","",IF(INDEX(Suivi!$D:$D,656)="",INDEX(Suivi!$C:$C,656),INDEX(Suivi!$D:$D,656)))</f>
        <v/>
      </c>
      <c r="D643" s="29">
        <f>IF($B643="","",INDEX(Suivi!$E:$E,656))</f>
        <v/>
      </c>
      <c r="E643" s="29">
        <f>IF($B643="","",INDEX(Suivi!$F:$F,656))</f>
        <v/>
      </c>
      <c r="F643">
        <f>IF($B643="","",INDEX(Suivi!$G:$G,656))</f>
        <v/>
      </c>
      <c r="H643">
        <f>IF(OR($B643="",NOT(ISNUMBER($D643))),"",IF($E643&lt;$D$2,"Passé",IF($D643&gt;$F$2,"À venir","Dans la période")))</f>
        <v/>
      </c>
      <c r="I643">
        <f>IF(OR($B643="",NOT(ISNUMBER($D643))),"",IF(AND($E643&lt;$D$2,$G643&lt;&gt;"X",$F643&lt;&gt;"Réalisé",$F643&lt;&gt;"Clôturé"),"RETARD",""))</f>
        <v/>
      </c>
      <c r="J643" s="29">
        <f>IF($B643="","",IF(INDEX(Dossiers!$F$4:$F$63,13)="","",INDEX(Dossiers!$F$4:$F$63,13)))</f>
        <v/>
      </c>
      <c r="K643" s="29">
        <f>IF($B643="","",IF(INDEX(Dossiers!$G$4:$G$63,13)="","",INDEX(Dossiers!$G$4:$G$63,13)))</f>
        <v/>
      </c>
    </row>
    <row r="644">
      <c r="A644">
        <f>IF($B644="","",INDEX(Dossiers!$E$4:$E$63,13))</f>
        <v/>
      </c>
      <c r="B644">
        <f>IF(INDEX(Suivi!$B:$B,657)="","",INDEX(Suivi!$B:$B,657))</f>
        <v/>
      </c>
      <c r="C644">
        <f>IF($B644="","",IF(INDEX(Suivi!$D:$D,657)="",INDEX(Suivi!$C:$C,657),INDEX(Suivi!$D:$D,657)))</f>
        <v/>
      </c>
      <c r="D644" s="29">
        <f>IF($B644="","",INDEX(Suivi!$E:$E,657))</f>
        <v/>
      </c>
      <c r="E644" s="29">
        <f>IF($B644="","",INDEX(Suivi!$F:$F,657))</f>
        <v/>
      </c>
      <c r="F644">
        <f>IF($B644="","",INDEX(Suivi!$G:$G,657))</f>
        <v/>
      </c>
      <c r="H644">
        <f>IF(OR($B644="",NOT(ISNUMBER($D644))),"",IF($E644&lt;$D$2,"Passé",IF($D644&gt;$F$2,"À venir","Dans la période")))</f>
        <v/>
      </c>
      <c r="I644">
        <f>IF(OR($B644="",NOT(ISNUMBER($D644))),"",IF(AND($E644&lt;$D$2,$G644&lt;&gt;"X",$F644&lt;&gt;"Réalisé",$F644&lt;&gt;"Clôturé"),"RETARD",""))</f>
        <v/>
      </c>
      <c r="J644" s="29">
        <f>IF($B644="","",IF(INDEX(Dossiers!$F$4:$F$63,13)="","",INDEX(Dossiers!$F$4:$F$63,13)))</f>
        <v/>
      </c>
      <c r="K644" s="29">
        <f>IF($B644="","",IF(INDEX(Dossiers!$G$4:$G$63,13)="","",INDEX(Dossiers!$G$4:$G$63,13)))</f>
        <v/>
      </c>
    </row>
    <row r="645">
      <c r="A645">
        <f>IF($B645="","",INDEX(Dossiers!$E$4:$E$63,13))</f>
        <v/>
      </c>
      <c r="B645">
        <f>IF(INDEX(Suivi!$B:$B,658)="","",INDEX(Suivi!$B:$B,658))</f>
        <v/>
      </c>
      <c r="C645">
        <f>IF($B645="","",IF(INDEX(Suivi!$D:$D,658)="",INDEX(Suivi!$C:$C,658),INDEX(Suivi!$D:$D,658)))</f>
        <v/>
      </c>
      <c r="D645" s="29">
        <f>IF($B645="","",INDEX(Suivi!$E:$E,658))</f>
        <v/>
      </c>
      <c r="E645" s="29">
        <f>IF($B645="","",INDEX(Suivi!$F:$F,658))</f>
        <v/>
      </c>
      <c r="F645">
        <f>IF($B645="","",INDEX(Suivi!$G:$G,658))</f>
        <v/>
      </c>
      <c r="H645">
        <f>IF(OR($B645="",NOT(ISNUMBER($D645))),"",IF($E645&lt;$D$2,"Passé",IF($D645&gt;$F$2,"À venir","Dans la période")))</f>
        <v/>
      </c>
      <c r="I645">
        <f>IF(OR($B645="",NOT(ISNUMBER($D645))),"",IF(AND($E645&lt;$D$2,$G645&lt;&gt;"X",$F645&lt;&gt;"Réalisé",$F645&lt;&gt;"Clôturé"),"RETARD",""))</f>
        <v/>
      </c>
      <c r="J645" s="29">
        <f>IF($B645="","",IF(INDEX(Dossiers!$F$4:$F$63,13)="","",INDEX(Dossiers!$F$4:$F$63,13)))</f>
        <v/>
      </c>
      <c r="K645" s="29">
        <f>IF($B645="","",IF(INDEX(Dossiers!$G$4:$G$63,13)="","",INDEX(Dossiers!$G$4:$G$63,13)))</f>
        <v/>
      </c>
    </row>
    <row r="646">
      <c r="A646">
        <f>IF($B646="","",INDEX(Dossiers!$E$4:$E$63,13))</f>
        <v/>
      </c>
      <c r="B646">
        <f>IF(INDEX(Suivi!$B:$B,659)="","",INDEX(Suivi!$B:$B,659))</f>
        <v/>
      </c>
      <c r="C646">
        <f>IF($B646="","",IF(INDEX(Suivi!$D:$D,659)="",INDEX(Suivi!$C:$C,659),INDEX(Suivi!$D:$D,659)))</f>
        <v/>
      </c>
      <c r="D646" s="29">
        <f>IF($B646="","",INDEX(Suivi!$E:$E,659))</f>
        <v/>
      </c>
      <c r="E646" s="29">
        <f>IF($B646="","",INDEX(Suivi!$F:$F,659))</f>
        <v/>
      </c>
      <c r="F646">
        <f>IF($B646="","",INDEX(Suivi!$G:$G,659))</f>
        <v/>
      </c>
      <c r="H646">
        <f>IF(OR($B646="",NOT(ISNUMBER($D646))),"",IF($E646&lt;$D$2,"Passé",IF($D646&gt;$F$2,"À venir","Dans la période")))</f>
        <v/>
      </c>
      <c r="I646">
        <f>IF(OR($B646="",NOT(ISNUMBER($D646))),"",IF(AND($E646&lt;$D$2,$G646&lt;&gt;"X",$F646&lt;&gt;"Réalisé",$F646&lt;&gt;"Clôturé"),"RETARD",""))</f>
        <v/>
      </c>
      <c r="J646" s="29">
        <f>IF($B646="","",IF(INDEX(Dossiers!$F$4:$F$63,13)="","",INDEX(Dossiers!$F$4:$F$63,13)))</f>
        <v/>
      </c>
      <c r="K646" s="29">
        <f>IF($B646="","",IF(INDEX(Dossiers!$G$4:$G$63,13)="","",INDEX(Dossiers!$G$4:$G$63,13)))</f>
        <v/>
      </c>
    </row>
    <row r="647">
      <c r="A647">
        <f>IF($B647="","",INDEX(Dossiers!$E$4:$E$63,13))</f>
        <v/>
      </c>
      <c r="B647">
        <f>IF(INDEX(Suivi!$B:$B,660)="","",INDEX(Suivi!$B:$B,660))</f>
        <v/>
      </c>
      <c r="C647">
        <f>IF($B647="","",IF(INDEX(Suivi!$D:$D,660)="",INDEX(Suivi!$C:$C,660),INDEX(Suivi!$D:$D,660)))</f>
        <v/>
      </c>
      <c r="D647" s="29">
        <f>IF($B647="","",INDEX(Suivi!$E:$E,660))</f>
        <v/>
      </c>
      <c r="E647" s="29">
        <f>IF($B647="","",INDEX(Suivi!$F:$F,660))</f>
        <v/>
      </c>
      <c r="F647">
        <f>IF($B647="","",INDEX(Suivi!$G:$G,660))</f>
        <v/>
      </c>
      <c r="H647">
        <f>IF(OR($B647="",NOT(ISNUMBER($D647))),"",IF($E647&lt;$D$2,"Passé",IF($D647&gt;$F$2,"À venir","Dans la période")))</f>
        <v/>
      </c>
      <c r="I647">
        <f>IF(OR($B647="",NOT(ISNUMBER($D647))),"",IF(AND($E647&lt;$D$2,$G647&lt;&gt;"X",$F647&lt;&gt;"Réalisé",$F647&lt;&gt;"Clôturé"),"RETARD",""))</f>
        <v/>
      </c>
      <c r="J647" s="29">
        <f>IF($B647="","",IF(INDEX(Dossiers!$F$4:$F$63,13)="","",INDEX(Dossiers!$F$4:$F$63,13)))</f>
        <v/>
      </c>
      <c r="K647" s="29">
        <f>IF($B647="","",IF(INDEX(Dossiers!$G$4:$G$63,13)="","",INDEX(Dossiers!$G$4:$G$63,13)))</f>
        <v/>
      </c>
    </row>
    <row r="648">
      <c r="A648">
        <f>IF($B648="","",INDEX(Dossiers!$E$4:$E$63,13))</f>
        <v/>
      </c>
      <c r="B648">
        <f>IF(INDEX(Suivi!$B:$B,661)="","",INDEX(Suivi!$B:$B,661))</f>
        <v/>
      </c>
      <c r="C648">
        <f>IF($B648="","",IF(INDEX(Suivi!$D:$D,661)="",INDEX(Suivi!$C:$C,661),INDEX(Suivi!$D:$D,661)))</f>
        <v/>
      </c>
      <c r="D648" s="29">
        <f>IF($B648="","",INDEX(Suivi!$E:$E,661))</f>
        <v/>
      </c>
      <c r="E648" s="29">
        <f>IF($B648="","",INDEX(Suivi!$F:$F,661))</f>
        <v/>
      </c>
      <c r="F648">
        <f>IF($B648="","",INDEX(Suivi!$G:$G,661))</f>
        <v/>
      </c>
      <c r="H648">
        <f>IF(OR($B648="",NOT(ISNUMBER($D648))),"",IF($E648&lt;$D$2,"Passé",IF($D648&gt;$F$2,"À venir","Dans la période")))</f>
        <v/>
      </c>
      <c r="I648">
        <f>IF(OR($B648="",NOT(ISNUMBER($D648))),"",IF(AND($E648&lt;$D$2,$G648&lt;&gt;"X",$F648&lt;&gt;"Réalisé",$F648&lt;&gt;"Clôturé"),"RETARD",""))</f>
        <v/>
      </c>
      <c r="J648" s="29">
        <f>IF($B648="","",IF(INDEX(Dossiers!$F$4:$F$63,13)="","",INDEX(Dossiers!$F$4:$F$63,13)))</f>
        <v/>
      </c>
      <c r="K648" s="29">
        <f>IF($B648="","",IF(INDEX(Dossiers!$G$4:$G$63,13)="","",INDEX(Dossiers!$G$4:$G$63,13)))</f>
        <v/>
      </c>
    </row>
    <row r="649">
      <c r="A649">
        <f>IF($B649="","",INDEX(Dossiers!$E$4:$E$63,13))</f>
        <v/>
      </c>
      <c r="B649">
        <f>IF(INDEX(Suivi!$B:$B,662)="","",INDEX(Suivi!$B:$B,662))</f>
        <v/>
      </c>
      <c r="C649">
        <f>IF($B649="","",IF(INDEX(Suivi!$D:$D,662)="",INDEX(Suivi!$C:$C,662),INDEX(Suivi!$D:$D,662)))</f>
        <v/>
      </c>
      <c r="D649" s="29">
        <f>IF($B649="","",INDEX(Suivi!$E:$E,662))</f>
        <v/>
      </c>
      <c r="E649" s="29">
        <f>IF($B649="","",INDEX(Suivi!$F:$F,662))</f>
        <v/>
      </c>
      <c r="F649">
        <f>IF($B649="","",INDEX(Suivi!$G:$G,662))</f>
        <v/>
      </c>
      <c r="H649">
        <f>IF(OR($B649="",NOT(ISNUMBER($D649))),"",IF($E649&lt;$D$2,"Passé",IF($D649&gt;$F$2,"À venir","Dans la période")))</f>
        <v/>
      </c>
      <c r="I649">
        <f>IF(OR($B649="",NOT(ISNUMBER($D649))),"",IF(AND($E649&lt;$D$2,$G649&lt;&gt;"X",$F649&lt;&gt;"Réalisé",$F649&lt;&gt;"Clôturé"),"RETARD",""))</f>
        <v/>
      </c>
      <c r="J649" s="29">
        <f>IF($B649="","",IF(INDEX(Dossiers!$F$4:$F$63,13)="","",INDEX(Dossiers!$F$4:$F$63,13)))</f>
        <v/>
      </c>
      <c r="K649" s="29">
        <f>IF($B649="","",IF(INDEX(Dossiers!$G$4:$G$63,13)="","",INDEX(Dossiers!$G$4:$G$63,13)))</f>
        <v/>
      </c>
    </row>
    <row r="650">
      <c r="A650">
        <f>IF($B650="","",INDEX(Dossiers!$E$4:$E$63,13))</f>
        <v/>
      </c>
      <c r="B650">
        <f>IF(INDEX(Suivi!$B:$B,663)="","",INDEX(Suivi!$B:$B,663))</f>
        <v/>
      </c>
      <c r="C650">
        <f>IF($B650="","",IF(INDEX(Suivi!$D:$D,663)="",INDEX(Suivi!$C:$C,663),INDEX(Suivi!$D:$D,663)))</f>
        <v/>
      </c>
      <c r="D650" s="29">
        <f>IF($B650="","",INDEX(Suivi!$E:$E,663))</f>
        <v/>
      </c>
      <c r="E650" s="29">
        <f>IF($B650="","",INDEX(Suivi!$F:$F,663))</f>
        <v/>
      </c>
      <c r="F650">
        <f>IF($B650="","",INDEX(Suivi!$G:$G,663))</f>
        <v/>
      </c>
      <c r="H650">
        <f>IF(OR($B650="",NOT(ISNUMBER($D650))),"",IF($E650&lt;$D$2,"Passé",IF($D650&gt;$F$2,"À venir","Dans la période")))</f>
        <v/>
      </c>
      <c r="I650">
        <f>IF(OR($B650="",NOT(ISNUMBER($D650))),"",IF(AND($E650&lt;$D$2,$G650&lt;&gt;"X",$F650&lt;&gt;"Réalisé",$F650&lt;&gt;"Clôturé"),"RETARD",""))</f>
        <v/>
      </c>
      <c r="J650" s="29">
        <f>IF($B650="","",IF(INDEX(Dossiers!$F$4:$F$63,13)="","",INDEX(Dossiers!$F$4:$F$63,13)))</f>
        <v/>
      </c>
      <c r="K650" s="29">
        <f>IF($B650="","",IF(INDEX(Dossiers!$G$4:$G$63,13)="","",INDEX(Dossiers!$G$4:$G$63,13)))</f>
        <v/>
      </c>
    </row>
    <row r="651">
      <c r="A651">
        <f>IF($B651="","",INDEX(Dossiers!$E$4:$E$63,13))</f>
        <v/>
      </c>
      <c r="B651">
        <f>IF(INDEX(Suivi!$B:$B,664)="","",INDEX(Suivi!$B:$B,664))</f>
        <v/>
      </c>
      <c r="C651">
        <f>IF($B651="","",IF(INDEX(Suivi!$D:$D,664)="",INDEX(Suivi!$C:$C,664),INDEX(Suivi!$D:$D,664)))</f>
        <v/>
      </c>
      <c r="D651" s="29">
        <f>IF($B651="","",INDEX(Suivi!$E:$E,664))</f>
        <v/>
      </c>
      <c r="E651" s="29">
        <f>IF($B651="","",INDEX(Suivi!$F:$F,664))</f>
        <v/>
      </c>
      <c r="F651">
        <f>IF($B651="","",INDEX(Suivi!$G:$G,664))</f>
        <v/>
      </c>
      <c r="H651">
        <f>IF(OR($B651="",NOT(ISNUMBER($D651))),"",IF($E651&lt;$D$2,"Passé",IF($D651&gt;$F$2,"À venir","Dans la période")))</f>
        <v/>
      </c>
      <c r="I651">
        <f>IF(OR($B651="",NOT(ISNUMBER($D651))),"",IF(AND($E651&lt;$D$2,$G651&lt;&gt;"X",$F651&lt;&gt;"Réalisé",$F651&lt;&gt;"Clôturé"),"RETARD",""))</f>
        <v/>
      </c>
      <c r="J651" s="29">
        <f>IF($B651="","",IF(INDEX(Dossiers!$F$4:$F$63,13)="","",INDEX(Dossiers!$F$4:$F$63,13)))</f>
        <v/>
      </c>
      <c r="K651" s="29">
        <f>IF($B651="","",IF(INDEX(Dossiers!$G$4:$G$63,13)="","",INDEX(Dossiers!$G$4:$G$63,13)))</f>
        <v/>
      </c>
    </row>
    <row r="652">
      <c r="A652">
        <f>IF($B652="","",INDEX(Dossiers!$E$4:$E$63,13))</f>
        <v/>
      </c>
      <c r="B652">
        <f>IF(INDEX(Suivi!$B:$B,665)="","",INDEX(Suivi!$B:$B,665))</f>
        <v/>
      </c>
      <c r="C652">
        <f>IF($B652="","",IF(INDEX(Suivi!$D:$D,665)="",INDEX(Suivi!$C:$C,665),INDEX(Suivi!$D:$D,665)))</f>
        <v/>
      </c>
      <c r="D652" s="29">
        <f>IF($B652="","",INDEX(Suivi!$E:$E,665))</f>
        <v/>
      </c>
      <c r="E652" s="29">
        <f>IF($B652="","",INDEX(Suivi!$F:$F,665))</f>
        <v/>
      </c>
      <c r="F652">
        <f>IF($B652="","",INDEX(Suivi!$G:$G,665))</f>
        <v/>
      </c>
      <c r="H652">
        <f>IF(OR($B652="",NOT(ISNUMBER($D652))),"",IF($E652&lt;$D$2,"Passé",IF($D652&gt;$F$2,"À venir","Dans la période")))</f>
        <v/>
      </c>
      <c r="I652">
        <f>IF(OR($B652="",NOT(ISNUMBER($D652))),"",IF(AND($E652&lt;$D$2,$G652&lt;&gt;"X",$F652&lt;&gt;"Réalisé",$F652&lt;&gt;"Clôturé"),"RETARD",""))</f>
        <v/>
      </c>
      <c r="J652" s="29">
        <f>IF($B652="","",IF(INDEX(Dossiers!$F$4:$F$63,13)="","",INDEX(Dossiers!$F$4:$F$63,13)))</f>
        <v/>
      </c>
      <c r="K652" s="29">
        <f>IF($B652="","",IF(INDEX(Dossiers!$G$4:$G$63,13)="","",INDEX(Dossiers!$G$4:$G$63,13)))</f>
        <v/>
      </c>
    </row>
    <row r="653">
      <c r="A653">
        <f>IF($B653="","",INDEX(Dossiers!$E$4:$E$63,13))</f>
        <v/>
      </c>
      <c r="B653">
        <f>IF(INDEX(Suivi!$B:$B,666)="","",INDEX(Suivi!$B:$B,666))</f>
        <v/>
      </c>
      <c r="C653">
        <f>IF($B653="","",IF(INDEX(Suivi!$D:$D,666)="",INDEX(Suivi!$C:$C,666),INDEX(Suivi!$D:$D,666)))</f>
        <v/>
      </c>
      <c r="D653" s="29">
        <f>IF($B653="","",INDEX(Suivi!$E:$E,666))</f>
        <v/>
      </c>
      <c r="E653" s="29">
        <f>IF($B653="","",INDEX(Suivi!$F:$F,666))</f>
        <v/>
      </c>
      <c r="F653">
        <f>IF($B653="","",INDEX(Suivi!$G:$G,666))</f>
        <v/>
      </c>
      <c r="H653">
        <f>IF(OR($B653="",NOT(ISNUMBER($D653))),"",IF($E653&lt;$D$2,"Passé",IF($D653&gt;$F$2,"À venir","Dans la période")))</f>
        <v/>
      </c>
      <c r="I653">
        <f>IF(OR($B653="",NOT(ISNUMBER($D653))),"",IF(AND($E653&lt;$D$2,$G653&lt;&gt;"X",$F653&lt;&gt;"Réalisé",$F653&lt;&gt;"Clôturé"),"RETARD",""))</f>
        <v/>
      </c>
      <c r="J653" s="29">
        <f>IF($B653="","",IF(INDEX(Dossiers!$F$4:$F$63,13)="","",INDEX(Dossiers!$F$4:$F$63,13)))</f>
        <v/>
      </c>
      <c r="K653" s="29">
        <f>IF($B653="","",IF(INDEX(Dossiers!$G$4:$G$63,13)="","",INDEX(Dossiers!$G$4:$G$63,13)))</f>
        <v/>
      </c>
    </row>
    <row r="654">
      <c r="A654">
        <f>IF($B654="","",INDEX(Dossiers!$E$4:$E$63,13))</f>
        <v/>
      </c>
      <c r="B654">
        <f>IF(INDEX(Suivi!$B:$B,667)="","",INDEX(Suivi!$B:$B,667))</f>
        <v/>
      </c>
      <c r="C654">
        <f>IF($B654="","",IF(INDEX(Suivi!$D:$D,667)="",INDEX(Suivi!$C:$C,667),INDEX(Suivi!$D:$D,667)))</f>
        <v/>
      </c>
      <c r="D654" s="29">
        <f>IF($B654="","",INDEX(Suivi!$E:$E,667))</f>
        <v/>
      </c>
      <c r="E654" s="29">
        <f>IF($B654="","",INDEX(Suivi!$F:$F,667))</f>
        <v/>
      </c>
      <c r="F654">
        <f>IF($B654="","",INDEX(Suivi!$G:$G,667))</f>
        <v/>
      </c>
      <c r="H654">
        <f>IF(OR($B654="",NOT(ISNUMBER($D654))),"",IF($E654&lt;$D$2,"Passé",IF($D654&gt;$F$2,"À venir","Dans la période")))</f>
        <v/>
      </c>
      <c r="I654">
        <f>IF(OR($B654="",NOT(ISNUMBER($D654))),"",IF(AND($E654&lt;$D$2,$G654&lt;&gt;"X",$F654&lt;&gt;"Réalisé",$F654&lt;&gt;"Clôturé"),"RETARD",""))</f>
        <v/>
      </c>
      <c r="J654" s="29">
        <f>IF($B654="","",IF(INDEX(Dossiers!$F$4:$F$63,13)="","",INDEX(Dossiers!$F$4:$F$63,13)))</f>
        <v/>
      </c>
      <c r="K654" s="29">
        <f>IF($B654="","",IF(INDEX(Dossiers!$G$4:$G$63,13)="","",INDEX(Dossiers!$G$4:$G$63,13)))</f>
        <v/>
      </c>
    </row>
    <row r="655">
      <c r="A655">
        <f>IF($B655="","",INDEX(Dossiers!$E$4:$E$63,13))</f>
        <v/>
      </c>
      <c r="B655">
        <f>IF(INDEX(Suivi!$B:$B,668)="","",INDEX(Suivi!$B:$B,668))</f>
        <v/>
      </c>
      <c r="C655">
        <f>IF($B655="","",IF(INDEX(Suivi!$D:$D,668)="",INDEX(Suivi!$C:$C,668),INDEX(Suivi!$D:$D,668)))</f>
        <v/>
      </c>
      <c r="D655" s="29">
        <f>IF($B655="","",INDEX(Suivi!$E:$E,668))</f>
        <v/>
      </c>
      <c r="E655" s="29">
        <f>IF($B655="","",INDEX(Suivi!$F:$F,668))</f>
        <v/>
      </c>
      <c r="F655">
        <f>IF($B655="","",INDEX(Suivi!$G:$G,668))</f>
        <v/>
      </c>
      <c r="H655">
        <f>IF(OR($B655="",NOT(ISNUMBER($D655))),"",IF($E655&lt;$D$2,"Passé",IF($D655&gt;$F$2,"À venir","Dans la période")))</f>
        <v/>
      </c>
      <c r="I655">
        <f>IF(OR($B655="",NOT(ISNUMBER($D655))),"",IF(AND($E655&lt;$D$2,$G655&lt;&gt;"X",$F655&lt;&gt;"Réalisé",$F655&lt;&gt;"Clôturé"),"RETARD",""))</f>
        <v/>
      </c>
      <c r="J655" s="29">
        <f>IF($B655="","",IF(INDEX(Dossiers!$F$4:$F$63,13)="","",INDEX(Dossiers!$F$4:$F$63,13)))</f>
        <v/>
      </c>
      <c r="K655" s="29">
        <f>IF($B655="","",IF(INDEX(Dossiers!$G$4:$G$63,13)="","",INDEX(Dossiers!$G$4:$G$63,13)))</f>
        <v/>
      </c>
    </row>
    <row r="656">
      <c r="A656">
        <f>IF($B656="","",INDEX(Dossiers!$E$4:$E$63,13))</f>
        <v/>
      </c>
      <c r="B656">
        <f>IF(INDEX(Suivi!$B:$B,669)="","",INDEX(Suivi!$B:$B,669))</f>
        <v/>
      </c>
      <c r="C656">
        <f>IF($B656="","",IF(INDEX(Suivi!$D:$D,669)="",INDEX(Suivi!$C:$C,669),INDEX(Suivi!$D:$D,669)))</f>
        <v/>
      </c>
      <c r="D656" s="29">
        <f>IF($B656="","",INDEX(Suivi!$E:$E,669))</f>
        <v/>
      </c>
      <c r="E656" s="29">
        <f>IF($B656="","",INDEX(Suivi!$F:$F,669))</f>
        <v/>
      </c>
      <c r="F656">
        <f>IF($B656="","",INDEX(Suivi!$G:$G,669))</f>
        <v/>
      </c>
      <c r="H656">
        <f>IF(OR($B656="",NOT(ISNUMBER($D656))),"",IF($E656&lt;$D$2,"Passé",IF($D656&gt;$F$2,"À venir","Dans la période")))</f>
        <v/>
      </c>
      <c r="I656">
        <f>IF(OR($B656="",NOT(ISNUMBER($D656))),"",IF(AND($E656&lt;$D$2,$G656&lt;&gt;"X",$F656&lt;&gt;"Réalisé",$F656&lt;&gt;"Clôturé"),"RETARD",""))</f>
        <v/>
      </c>
      <c r="J656" s="29">
        <f>IF($B656="","",IF(INDEX(Dossiers!$F$4:$F$63,13)="","",INDEX(Dossiers!$F$4:$F$63,13)))</f>
        <v/>
      </c>
      <c r="K656" s="29">
        <f>IF($B656="","",IF(INDEX(Dossiers!$G$4:$G$63,13)="","",INDEX(Dossiers!$G$4:$G$63,13)))</f>
        <v/>
      </c>
    </row>
    <row r="657">
      <c r="A657">
        <f>IF($B657="","",INDEX(Dossiers!$E$4:$E$63,13))</f>
        <v/>
      </c>
      <c r="B657">
        <f>IF(INDEX(Suivi!$B:$B,670)="","",INDEX(Suivi!$B:$B,670))</f>
        <v/>
      </c>
      <c r="C657">
        <f>IF($B657="","",IF(INDEX(Suivi!$D:$D,670)="",INDEX(Suivi!$C:$C,670),INDEX(Suivi!$D:$D,670)))</f>
        <v/>
      </c>
      <c r="D657" s="29">
        <f>IF($B657="","",INDEX(Suivi!$E:$E,670))</f>
        <v/>
      </c>
      <c r="E657" s="29">
        <f>IF($B657="","",INDEX(Suivi!$F:$F,670))</f>
        <v/>
      </c>
      <c r="F657">
        <f>IF($B657="","",INDEX(Suivi!$G:$G,670))</f>
        <v/>
      </c>
      <c r="H657">
        <f>IF(OR($B657="",NOT(ISNUMBER($D657))),"",IF($E657&lt;$D$2,"Passé",IF($D657&gt;$F$2,"À venir","Dans la période")))</f>
        <v/>
      </c>
      <c r="I657">
        <f>IF(OR($B657="",NOT(ISNUMBER($D657))),"",IF(AND($E657&lt;$D$2,$G657&lt;&gt;"X",$F657&lt;&gt;"Réalisé",$F657&lt;&gt;"Clôturé"),"RETARD",""))</f>
        <v/>
      </c>
      <c r="J657" s="29">
        <f>IF($B657="","",IF(INDEX(Dossiers!$F$4:$F$63,13)="","",INDEX(Dossiers!$F$4:$F$63,13)))</f>
        <v/>
      </c>
      <c r="K657" s="29">
        <f>IF($B657="","",IF(INDEX(Dossiers!$G$4:$G$63,13)="","",INDEX(Dossiers!$G$4:$G$63,13)))</f>
        <v/>
      </c>
    </row>
    <row r="658">
      <c r="A658">
        <f>IF($B658="","",INDEX(Dossiers!$E$4:$E$63,13))</f>
        <v/>
      </c>
      <c r="B658">
        <f>IF(INDEX(Suivi!$B:$B,671)="","",INDEX(Suivi!$B:$B,671))</f>
        <v/>
      </c>
      <c r="C658">
        <f>IF($B658="","",IF(INDEX(Suivi!$D:$D,671)="",INDEX(Suivi!$C:$C,671),INDEX(Suivi!$D:$D,671)))</f>
        <v/>
      </c>
      <c r="D658" s="29">
        <f>IF($B658="","",INDEX(Suivi!$E:$E,671))</f>
        <v/>
      </c>
      <c r="E658" s="29">
        <f>IF($B658="","",INDEX(Suivi!$F:$F,671))</f>
        <v/>
      </c>
      <c r="F658">
        <f>IF($B658="","",INDEX(Suivi!$G:$G,671))</f>
        <v/>
      </c>
      <c r="H658">
        <f>IF(OR($B658="",NOT(ISNUMBER($D658))),"",IF($E658&lt;$D$2,"Passé",IF($D658&gt;$F$2,"À venir","Dans la période")))</f>
        <v/>
      </c>
      <c r="I658">
        <f>IF(OR($B658="",NOT(ISNUMBER($D658))),"",IF(AND($E658&lt;$D$2,$G658&lt;&gt;"X",$F658&lt;&gt;"Réalisé",$F658&lt;&gt;"Clôturé"),"RETARD",""))</f>
        <v/>
      </c>
      <c r="J658" s="29">
        <f>IF($B658="","",IF(INDEX(Dossiers!$F$4:$F$63,13)="","",INDEX(Dossiers!$F$4:$F$63,13)))</f>
        <v/>
      </c>
      <c r="K658" s="29">
        <f>IF($B658="","",IF(INDEX(Dossiers!$G$4:$G$63,13)="","",INDEX(Dossiers!$G$4:$G$63,13)))</f>
        <v/>
      </c>
    </row>
    <row r="659">
      <c r="A659">
        <f>IF($B659="","",INDEX(Dossiers!$E$4:$E$63,13))</f>
        <v/>
      </c>
      <c r="B659">
        <f>IF(INDEX(Suivi!$B:$B,672)="","",INDEX(Suivi!$B:$B,672))</f>
        <v/>
      </c>
      <c r="C659">
        <f>IF($B659="","",IF(INDEX(Suivi!$D:$D,672)="",INDEX(Suivi!$C:$C,672),INDEX(Suivi!$D:$D,672)))</f>
        <v/>
      </c>
      <c r="D659" s="29">
        <f>IF($B659="","",INDEX(Suivi!$E:$E,672))</f>
        <v/>
      </c>
      <c r="E659" s="29">
        <f>IF($B659="","",INDEX(Suivi!$F:$F,672))</f>
        <v/>
      </c>
      <c r="F659">
        <f>IF($B659="","",INDEX(Suivi!$G:$G,672))</f>
        <v/>
      </c>
      <c r="H659">
        <f>IF(OR($B659="",NOT(ISNUMBER($D659))),"",IF($E659&lt;$D$2,"Passé",IF($D659&gt;$F$2,"À venir","Dans la période")))</f>
        <v/>
      </c>
      <c r="I659">
        <f>IF(OR($B659="",NOT(ISNUMBER($D659))),"",IF(AND($E659&lt;$D$2,$G659&lt;&gt;"X",$F659&lt;&gt;"Réalisé",$F659&lt;&gt;"Clôturé"),"RETARD",""))</f>
        <v/>
      </c>
      <c r="J659" s="29">
        <f>IF($B659="","",IF(INDEX(Dossiers!$F$4:$F$63,13)="","",INDEX(Dossiers!$F$4:$F$63,13)))</f>
        <v/>
      </c>
      <c r="K659" s="29">
        <f>IF($B659="","",IF(INDEX(Dossiers!$G$4:$G$63,13)="","",INDEX(Dossiers!$G$4:$G$63,13)))</f>
        <v/>
      </c>
    </row>
    <row r="660">
      <c r="A660">
        <f>IF($B660="","",INDEX(Dossiers!$E$4:$E$63,13))</f>
        <v/>
      </c>
      <c r="B660">
        <f>IF(INDEX(Suivi!$B:$B,673)="","",INDEX(Suivi!$B:$B,673))</f>
        <v/>
      </c>
      <c r="C660">
        <f>IF($B660="","",IF(INDEX(Suivi!$D:$D,673)="",INDEX(Suivi!$C:$C,673),INDEX(Suivi!$D:$D,673)))</f>
        <v/>
      </c>
      <c r="D660" s="29">
        <f>IF($B660="","",INDEX(Suivi!$E:$E,673))</f>
        <v/>
      </c>
      <c r="E660" s="29">
        <f>IF($B660="","",INDEX(Suivi!$F:$F,673))</f>
        <v/>
      </c>
      <c r="F660">
        <f>IF($B660="","",INDEX(Suivi!$G:$G,673))</f>
        <v/>
      </c>
      <c r="H660">
        <f>IF(OR($B660="",NOT(ISNUMBER($D660))),"",IF($E660&lt;$D$2,"Passé",IF($D660&gt;$F$2,"À venir","Dans la période")))</f>
        <v/>
      </c>
      <c r="I660">
        <f>IF(OR($B660="",NOT(ISNUMBER($D660))),"",IF(AND($E660&lt;$D$2,$G660&lt;&gt;"X",$F660&lt;&gt;"Réalisé",$F660&lt;&gt;"Clôturé"),"RETARD",""))</f>
        <v/>
      </c>
      <c r="J660" s="29">
        <f>IF($B660="","",IF(INDEX(Dossiers!$F$4:$F$63,13)="","",INDEX(Dossiers!$F$4:$F$63,13)))</f>
        <v/>
      </c>
      <c r="K660" s="29">
        <f>IF($B660="","",IF(INDEX(Dossiers!$G$4:$G$63,13)="","",INDEX(Dossiers!$G$4:$G$63,13)))</f>
        <v/>
      </c>
    </row>
    <row r="661">
      <c r="A661">
        <f>IF($B661="","",INDEX(Dossiers!$E$4:$E$63,13))</f>
        <v/>
      </c>
      <c r="B661">
        <f>IF(INDEX(Suivi!$B:$B,674)="","",INDEX(Suivi!$B:$B,674))</f>
        <v/>
      </c>
      <c r="C661">
        <f>IF($B661="","",IF(INDEX(Suivi!$D:$D,674)="",INDEX(Suivi!$C:$C,674),INDEX(Suivi!$D:$D,674)))</f>
        <v/>
      </c>
      <c r="D661" s="29">
        <f>IF($B661="","",INDEX(Suivi!$E:$E,674))</f>
        <v/>
      </c>
      <c r="E661" s="29">
        <f>IF($B661="","",INDEX(Suivi!$F:$F,674))</f>
        <v/>
      </c>
      <c r="F661">
        <f>IF($B661="","",INDEX(Suivi!$G:$G,674))</f>
        <v/>
      </c>
      <c r="H661">
        <f>IF(OR($B661="",NOT(ISNUMBER($D661))),"",IF($E661&lt;$D$2,"Passé",IF($D661&gt;$F$2,"À venir","Dans la période")))</f>
        <v/>
      </c>
      <c r="I661">
        <f>IF(OR($B661="",NOT(ISNUMBER($D661))),"",IF(AND($E661&lt;$D$2,$G661&lt;&gt;"X",$F661&lt;&gt;"Réalisé",$F661&lt;&gt;"Clôturé"),"RETARD",""))</f>
        <v/>
      </c>
      <c r="J661" s="29">
        <f>IF($B661="","",IF(INDEX(Dossiers!$F$4:$F$63,13)="","",INDEX(Dossiers!$F$4:$F$63,13)))</f>
        <v/>
      </c>
      <c r="K661" s="29">
        <f>IF($B661="","",IF(INDEX(Dossiers!$G$4:$G$63,13)="","",INDEX(Dossiers!$G$4:$G$63,13)))</f>
        <v/>
      </c>
    </row>
    <row r="662">
      <c r="A662">
        <f>IF($B662="","",INDEX(Dossiers!$E$4:$E$63,13))</f>
        <v/>
      </c>
      <c r="B662">
        <f>IF(INDEX(Suivi!$B:$B,675)="","",INDEX(Suivi!$B:$B,675))</f>
        <v/>
      </c>
      <c r="C662">
        <f>IF($B662="","",IF(INDEX(Suivi!$D:$D,675)="",INDEX(Suivi!$C:$C,675),INDEX(Suivi!$D:$D,675)))</f>
        <v/>
      </c>
      <c r="D662" s="29">
        <f>IF($B662="","",INDEX(Suivi!$E:$E,675))</f>
        <v/>
      </c>
      <c r="E662" s="29">
        <f>IF($B662="","",INDEX(Suivi!$F:$F,675))</f>
        <v/>
      </c>
      <c r="F662">
        <f>IF($B662="","",INDEX(Suivi!$G:$G,675))</f>
        <v/>
      </c>
      <c r="H662">
        <f>IF(OR($B662="",NOT(ISNUMBER($D662))),"",IF($E662&lt;$D$2,"Passé",IF($D662&gt;$F$2,"À venir","Dans la période")))</f>
        <v/>
      </c>
      <c r="I662">
        <f>IF(OR($B662="",NOT(ISNUMBER($D662))),"",IF(AND($E662&lt;$D$2,$G662&lt;&gt;"X",$F662&lt;&gt;"Réalisé",$F662&lt;&gt;"Clôturé"),"RETARD",""))</f>
        <v/>
      </c>
      <c r="J662" s="29">
        <f>IF($B662="","",IF(INDEX(Dossiers!$F$4:$F$63,13)="","",INDEX(Dossiers!$F$4:$F$63,13)))</f>
        <v/>
      </c>
      <c r="K662" s="29">
        <f>IF($B662="","",IF(INDEX(Dossiers!$G$4:$G$63,13)="","",INDEX(Dossiers!$G$4:$G$63,13)))</f>
        <v/>
      </c>
    </row>
    <row r="663">
      <c r="A663">
        <f>IF($B663="","",INDEX(Dossiers!$E$4:$E$63,13))</f>
        <v/>
      </c>
      <c r="B663">
        <f>IF(INDEX(Suivi!$B:$B,676)="","",INDEX(Suivi!$B:$B,676))</f>
        <v/>
      </c>
      <c r="C663">
        <f>IF($B663="","",IF(INDEX(Suivi!$D:$D,676)="",INDEX(Suivi!$C:$C,676),INDEX(Suivi!$D:$D,676)))</f>
        <v/>
      </c>
      <c r="D663" s="29">
        <f>IF($B663="","",INDEX(Suivi!$E:$E,676))</f>
        <v/>
      </c>
      <c r="E663" s="29">
        <f>IF($B663="","",INDEX(Suivi!$F:$F,676))</f>
        <v/>
      </c>
      <c r="F663">
        <f>IF($B663="","",INDEX(Suivi!$G:$G,676))</f>
        <v/>
      </c>
      <c r="H663">
        <f>IF(OR($B663="",NOT(ISNUMBER($D663))),"",IF($E663&lt;$D$2,"Passé",IF($D663&gt;$F$2,"À venir","Dans la période")))</f>
        <v/>
      </c>
      <c r="I663">
        <f>IF(OR($B663="",NOT(ISNUMBER($D663))),"",IF(AND($E663&lt;$D$2,$G663&lt;&gt;"X",$F663&lt;&gt;"Réalisé",$F663&lt;&gt;"Clôturé"),"RETARD",""))</f>
        <v/>
      </c>
      <c r="J663" s="29">
        <f>IF($B663="","",IF(INDEX(Dossiers!$F$4:$F$63,13)="","",INDEX(Dossiers!$F$4:$F$63,13)))</f>
        <v/>
      </c>
      <c r="K663" s="29">
        <f>IF($B663="","",IF(INDEX(Dossiers!$G$4:$G$63,13)="","",INDEX(Dossiers!$G$4:$G$63,13)))</f>
        <v/>
      </c>
    </row>
    <row r="664">
      <c r="A664">
        <f>IF($B664="","",INDEX(Dossiers!$E$4:$E$63,13))</f>
        <v/>
      </c>
      <c r="B664">
        <f>IF(INDEX(Suivi!$B:$B,677)="","",INDEX(Suivi!$B:$B,677))</f>
        <v/>
      </c>
      <c r="C664">
        <f>IF($B664="","",IF(INDEX(Suivi!$D:$D,677)="",INDEX(Suivi!$C:$C,677),INDEX(Suivi!$D:$D,677)))</f>
        <v/>
      </c>
      <c r="D664" s="29">
        <f>IF($B664="","",INDEX(Suivi!$E:$E,677))</f>
        <v/>
      </c>
      <c r="E664" s="29">
        <f>IF($B664="","",INDEX(Suivi!$F:$F,677))</f>
        <v/>
      </c>
      <c r="F664">
        <f>IF($B664="","",INDEX(Suivi!$G:$G,677))</f>
        <v/>
      </c>
      <c r="H664">
        <f>IF(OR($B664="",NOT(ISNUMBER($D664))),"",IF($E664&lt;$D$2,"Passé",IF($D664&gt;$F$2,"À venir","Dans la période")))</f>
        <v/>
      </c>
      <c r="I664">
        <f>IF(OR($B664="",NOT(ISNUMBER($D664))),"",IF(AND($E664&lt;$D$2,$G664&lt;&gt;"X",$F664&lt;&gt;"Réalisé",$F664&lt;&gt;"Clôturé"),"RETARD",""))</f>
        <v/>
      </c>
      <c r="J664" s="29">
        <f>IF($B664="","",IF(INDEX(Dossiers!$F$4:$F$63,13)="","",INDEX(Dossiers!$F$4:$F$63,13)))</f>
        <v/>
      </c>
      <c r="K664" s="29">
        <f>IF($B664="","",IF(INDEX(Dossiers!$G$4:$G$63,13)="","",INDEX(Dossiers!$G$4:$G$63,13)))</f>
        <v/>
      </c>
    </row>
    <row r="665">
      <c r="A665">
        <f>IF($B665="","",INDEX(Dossiers!$E$4:$E$63,13))</f>
        <v/>
      </c>
      <c r="B665">
        <f>IF(INDEX(Suivi!$B:$B,678)="","",INDEX(Suivi!$B:$B,678))</f>
        <v/>
      </c>
      <c r="C665">
        <f>IF($B665="","",IF(INDEX(Suivi!$D:$D,678)="",INDEX(Suivi!$C:$C,678),INDEX(Suivi!$D:$D,678)))</f>
        <v/>
      </c>
      <c r="D665" s="29">
        <f>IF($B665="","",INDEX(Suivi!$E:$E,678))</f>
        <v/>
      </c>
      <c r="E665" s="29">
        <f>IF($B665="","",INDEX(Suivi!$F:$F,678))</f>
        <v/>
      </c>
      <c r="F665">
        <f>IF($B665="","",INDEX(Suivi!$G:$G,678))</f>
        <v/>
      </c>
      <c r="H665">
        <f>IF(OR($B665="",NOT(ISNUMBER($D665))),"",IF($E665&lt;$D$2,"Passé",IF($D665&gt;$F$2,"À venir","Dans la période")))</f>
        <v/>
      </c>
      <c r="I665">
        <f>IF(OR($B665="",NOT(ISNUMBER($D665))),"",IF(AND($E665&lt;$D$2,$G665&lt;&gt;"X",$F665&lt;&gt;"Réalisé",$F665&lt;&gt;"Clôturé"),"RETARD",""))</f>
        <v/>
      </c>
      <c r="J665" s="29">
        <f>IF($B665="","",IF(INDEX(Dossiers!$F$4:$F$63,13)="","",INDEX(Dossiers!$F$4:$F$63,13)))</f>
        <v/>
      </c>
      <c r="K665" s="29">
        <f>IF($B665="","",IF(INDEX(Dossiers!$G$4:$G$63,13)="","",INDEX(Dossiers!$G$4:$G$63,13)))</f>
        <v/>
      </c>
    </row>
    <row r="666">
      <c r="A666">
        <f>IF($B666="","",INDEX(Dossiers!$E$4:$E$63,13))</f>
        <v/>
      </c>
      <c r="B666">
        <f>IF(INDEX(Suivi!$B:$B,679)="","",INDEX(Suivi!$B:$B,679))</f>
        <v/>
      </c>
      <c r="C666">
        <f>IF($B666="","",IF(INDEX(Suivi!$D:$D,679)="",INDEX(Suivi!$C:$C,679),INDEX(Suivi!$D:$D,679)))</f>
        <v/>
      </c>
      <c r="D666" s="29">
        <f>IF($B666="","",INDEX(Suivi!$E:$E,679))</f>
        <v/>
      </c>
      <c r="E666" s="29">
        <f>IF($B666="","",INDEX(Suivi!$F:$F,679))</f>
        <v/>
      </c>
      <c r="F666">
        <f>IF($B666="","",INDEX(Suivi!$G:$G,679))</f>
        <v/>
      </c>
      <c r="H666">
        <f>IF(OR($B666="",NOT(ISNUMBER($D666))),"",IF($E666&lt;$D$2,"Passé",IF($D666&gt;$F$2,"À venir","Dans la période")))</f>
        <v/>
      </c>
      <c r="I666">
        <f>IF(OR($B666="",NOT(ISNUMBER($D666))),"",IF(AND($E666&lt;$D$2,$G666&lt;&gt;"X",$F666&lt;&gt;"Réalisé",$F666&lt;&gt;"Clôturé"),"RETARD",""))</f>
        <v/>
      </c>
      <c r="J666" s="29">
        <f>IF($B666="","",IF(INDEX(Dossiers!$F$4:$F$63,13)="","",INDEX(Dossiers!$F$4:$F$63,13)))</f>
        <v/>
      </c>
      <c r="K666" s="29">
        <f>IF($B666="","",IF(INDEX(Dossiers!$G$4:$G$63,13)="","",INDEX(Dossiers!$G$4:$G$63,13)))</f>
        <v/>
      </c>
    </row>
    <row r="667">
      <c r="A667">
        <f>IF($B667="","",INDEX(Dossiers!$E$4:$E$63,13))</f>
        <v/>
      </c>
      <c r="B667">
        <f>IF(INDEX(Suivi!$B:$B,680)="","",INDEX(Suivi!$B:$B,680))</f>
        <v/>
      </c>
      <c r="C667">
        <f>IF($B667="","",IF(INDEX(Suivi!$D:$D,680)="",INDEX(Suivi!$C:$C,680),INDEX(Suivi!$D:$D,680)))</f>
        <v/>
      </c>
      <c r="D667" s="29">
        <f>IF($B667="","",INDEX(Suivi!$E:$E,680))</f>
        <v/>
      </c>
      <c r="E667" s="29">
        <f>IF($B667="","",INDEX(Suivi!$F:$F,680))</f>
        <v/>
      </c>
      <c r="F667">
        <f>IF($B667="","",INDEX(Suivi!$G:$G,680))</f>
        <v/>
      </c>
      <c r="H667">
        <f>IF(OR($B667="",NOT(ISNUMBER($D667))),"",IF($E667&lt;$D$2,"Passé",IF($D667&gt;$F$2,"À venir","Dans la période")))</f>
        <v/>
      </c>
      <c r="I667">
        <f>IF(OR($B667="",NOT(ISNUMBER($D667))),"",IF(AND($E667&lt;$D$2,$G667&lt;&gt;"X",$F667&lt;&gt;"Réalisé",$F667&lt;&gt;"Clôturé"),"RETARD",""))</f>
        <v/>
      </c>
      <c r="J667" s="29">
        <f>IF($B667="","",IF(INDEX(Dossiers!$F$4:$F$63,13)="","",INDEX(Dossiers!$F$4:$F$63,13)))</f>
        <v/>
      </c>
      <c r="K667" s="29">
        <f>IF($B667="","",IF(INDEX(Dossiers!$G$4:$G$63,13)="","",INDEX(Dossiers!$G$4:$G$63,13)))</f>
        <v/>
      </c>
    </row>
    <row r="668">
      <c r="A668">
        <f>IF($B668="","",INDEX(Dossiers!$E$4:$E$63,13))</f>
        <v/>
      </c>
      <c r="B668">
        <f>IF(INDEX(Suivi!$B:$B,681)="","",INDEX(Suivi!$B:$B,681))</f>
        <v/>
      </c>
      <c r="C668">
        <f>IF($B668="","",IF(INDEX(Suivi!$D:$D,681)="",INDEX(Suivi!$C:$C,681),INDEX(Suivi!$D:$D,681)))</f>
        <v/>
      </c>
      <c r="D668" s="29">
        <f>IF($B668="","",INDEX(Suivi!$E:$E,681))</f>
        <v/>
      </c>
      <c r="E668" s="29">
        <f>IF($B668="","",INDEX(Suivi!$F:$F,681))</f>
        <v/>
      </c>
      <c r="F668">
        <f>IF($B668="","",INDEX(Suivi!$G:$G,681))</f>
        <v/>
      </c>
      <c r="H668">
        <f>IF(OR($B668="",NOT(ISNUMBER($D668))),"",IF($E668&lt;$D$2,"Passé",IF($D668&gt;$F$2,"À venir","Dans la période")))</f>
        <v/>
      </c>
      <c r="I668">
        <f>IF(OR($B668="",NOT(ISNUMBER($D668))),"",IF(AND($E668&lt;$D$2,$G668&lt;&gt;"X",$F668&lt;&gt;"Réalisé",$F668&lt;&gt;"Clôturé"),"RETARD",""))</f>
        <v/>
      </c>
      <c r="J668" s="29">
        <f>IF($B668="","",IF(INDEX(Dossiers!$F$4:$F$63,13)="","",INDEX(Dossiers!$F$4:$F$63,13)))</f>
        <v/>
      </c>
      <c r="K668" s="29">
        <f>IF($B668="","",IF(INDEX(Dossiers!$G$4:$G$63,13)="","",INDEX(Dossiers!$G$4:$G$63,13)))</f>
        <v/>
      </c>
    </row>
    <row r="669">
      <c r="A669">
        <f>IF($B669="","",INDEX(Dossiers!$E$4:$E$63,13))</f>
        <v/>
      </c>
      <c r="B669">
        <f>IF(INDEX(Suivi!$B:$B,682)="","",INDEX(Suivi!$B:$B,682))</f>
        <v/>
      </c>
      <c r="C669">
        <f>IF($B669="","",IF(INDEX(Suivi!$D:$D,682)="",INDEX(Suivi!$C:$C,682),INDEX(Suivi!$D:$D,682)))</f>
        <v/>
      </c>
      <c r="D669" s="29">
        <f>IF($B669="","",INDEX(Suivi!$E:$E,682))</f>
        <v/>
      </c>
      <c r="E669" s="29">
        <f>IF($B669="","",INDEX(Suivi!$F:$F,682))</f>
        <v/>
      </c>
      <c r="F669">
        <f>IF($B669="","",INDEX(Suivi!$G:$G,682))</f>
        <v/>
      </c>
      <c r="H669">
        <f>IF(OR($B669="",NOT(ISNUMBER($D669))),"",IF($E669&lt;$D$2,"Passé",IF($D669&gt;$F$2,"À venir","Dans la période")))</f>
        <v/>
      </c>
      <c r="I669">
        <f>IF(OR($B669="",NOT(ISNUMBER($D669))),"",IF(AND($E669&lt;$D$2,$G669&lt;&gt;"X",$F669&lt;&gt;"Réalisé",$F669&lt;&gt;"Clôturé"),"RETARD",""))</f>
        <v/>
      </c>
      <c r="J669" s="29">
        <f>IF($B669="","",IF(INDEX(Dossiers!$F$4:$F$63,13)="","",INDEX(Dossiers!$F$4:$F$63,13)))</f>
        <v/>
      </c>
      <c r="K669" s="29">
        <f>IF($B669="","",IF(INDEX(Dossiers!$G$4:$G$63,13)="","",INDEX(Dossiers!$G$4:$G$63,13)))</f>
        <v/>
      </c>
    </row>
    <row r="670">
      <c r="A670">
        <f>IF($B670="","",INDEX(Dossiers!$E$4:$E$63,13))</f>
        <v/>
      </c>
      <c r="B670">
        <f>IF(INDEX(Suivi!$B:$B,683)="","",INDEX(Suivi!$B:$B,683))</f>
        <v/>
      </c>
      <c r="C670">
        <f>IF($B670="","",IF(INDEX(Suivi!$D:$D,683)="",INDEX(Suivi!$C:$C,683),INDEX(Suivi!$D:$D,683)))</f>
        <v/>
      </c>
      <c r="D670" s="29">
        <f>IF($B670="","",INDEX(Suivi!$E:$E,683))</f>
        <v/>
      </c>
      <c r="E670" s="29">
        <f>IF($B670="","",INDEX(Suivi!$F:$F,683))</f>
        <v/>
      </c>
      <c r="F670">
        <f>IF($B670="","",INDEX(Suivi!$G:$G,683))</f>
        <v/>
      </c>
      <c r="H670">
        <f>IF(OR($B670="",NOT(ISNUMBER($D670))),"",IF($E670&lt;$D$2,"Passé",IF($D670&gt;$F$2,"À venir","Dans la période")))</f>
        <v/>
      </c>
      <c r="I670">
        <f>IF(OR($B670="",NOT(ISNUMBER($D670))),"",IF(AND($E670&lt;$D$2,$G670&lt;&gt;"X",$F670&lt;&gt;"Réalisé",$F670&lt;&gt;"Clôturé"),"RETARD",""))</f>
        <v/>
      </c>
      <c r="J670" s="29">
        <f>IF($B670="","",IF(INDEX(Dossiers!$F$4:$F$63,13)="","",INDEX(Dossiers!$F$4:$F$63,13)))</f>
        <v/>
      </c>
      <c r="K670" s="29">
        <f>IF($B670="","",IF(INDEX(Dossiers!$G$4:$G$63,13)="","",INDEX(Dossiers!$G$4:$G$63,13)))</f>
        <v/>
      </c>
    </row>
    <row r="671">
      <c r="A671">
        <f>IF($B671="","",INDEX(Dossiers!$E$4:$E$63,13))</f>
        <v/>
      </c>
      <c r="B671">
        <f>IF(INDEX(Suivi!$B:$B,684)="","",INDEX(Suivi!$B:$B,684))</f>
        <v/>
      </c>
      <c r="C671">
        <f>IF($B671="","",IF(INDEX(Suivi!$D:$D,684)="",INDEX(Suivi!$C:$C,684),INDEX(Suivi!$D:$D,684)))</f>
        <v/>
      </c>
      <c r="D671" s="29">
        <f>IF($B671="","",INDEX(Suivi!$E:$E,684))</f>
        <v/>
      </c>
      <c r="E671" s="29">
        <f>IF($B671="","",INDEX(Suivi!$F:$F,684))</f>
        <v/>
      </c>
      <c r="F671">
        <f>IF($B671="","",INDEX(Suivi!$G:$G,684))</f>
        <v/>
      </c>
      <c r="H671">
        <f>IF(OR($B671="",NOT(ISNUMBER($D671))),"",IF($E671&lt;$D$2,"Passé",IF($D671&gt;$F$2,"À venir","Dans la période")))</f>
        <v/>
      </c>
      <c r="I671">
        <f>IF(OR($B671="",NOT(ISNUMBER($D671))),"",IF(AND($E671&lt;$D$2,$G671&lt;&gt;"X",$F671&lt;&gt;"Réalisé",$F671&lt;&gt;"Clôturé"),"RETARD",""))</f>
        <v/>
      </c>
      <c r="J671" s="29">
        <f>IF($B671="","",IF(INDEX(Dossiers!$F$4:$F$63,13)="","",INDEX(Dossiers!$F$4:$F$63,13)))</f>
        <v/>
      </c>
      <c r="K671" s="29">
        <f>IF($B671="","",IF(INDEX(Dossiers!$G$4:$G$63,13)="","",INDEX(Dossiers!$G$4:$G$63,13)))</f>
        <v/>
      </c>
    </row>
    <row r="672">
      <c r="A672">
        <f>IF($B672="","",INDEX(Dossiers!$E$4:$E$63,13))</f>
        <v/>
      </c>
      <c r="B672">
        <f>IF(INDEX(Suivi!$B:$B,685)="","",INDEX(Suivi!$B:$B,685))</f>
        <v/>
      </c>
      <c r="C672">
        <f>IF($B672="","",IF(INDEX(Suivi!$D:$D,685)="",INDEX(Suivi!$C:$C,685),INDEX(Suivi!$D:$D,685)))</f>
        <v/>
      </c>
      <c r="D672" s="29">
        <f>IF($B672="","",INDEX(Suivi!$E:$E,685))</f>
        <v/>
      </c>
      <c r="E672" s="29">
        <f>IF($B672="","",INDEX(Suivi!$F:$F,685))</f>
        <v/>
      </c>
      <c r="F672">
        <f>IF($B672="","",INDEX(Suivi!$G:$G,685))</f>
        <v/>
      </c>
      <c r="H672">
        <f>IF(OR($B672="",NOT(ISNUMBER($D672))),"",IF($E672&lt;$D$2,"Passé",IF($D672&gt;$F$2,"À venir","Dans la période")))</f>
        <v/>
      </c>
      <c r="I672">
        <f>IF(OR($B672="",NOT(ISNUMBER($D672))),"",IF(AND($E672&lt;$D$2,$G672&lt;&gt;"X",$F672&lt;&gt;"Réalisé",$F672&lt;&gt;"Clôturé"),"RETARD",""))</f>
        <v/>
      </c>
      <c r="J672" s="29">
        <f>IF($B672="","",IF(INDEX(Dossiers!$F$4:$F$63,13)="","",INDEX(Dossiers!$F$4:$F$63,13)))</f>
        <v/>
      </c>
      <c r="K672" s="29">
        <f>IF($B672="","",IF(INDEX(Dossiers!$G$4:$G$63,13)="","",INDEX(Dossiers!$G$4:$G$63,13)))</f>
        <v/>
      </c>
    </row>
    <row r="673">
      <c r="A673">
        <f>IF($B673="","",INDEX(Dossiers!$E$4:$E$63,13))</f>
        <v/>
      </c>
      <c r="B673">
        <f>IF(INDEX(Suivi!$B:$B,686)="","",INDEX(Suivi!$B:$B,686))</f>
        <v/>
      </c>
      <c r="C673">
        <f>IF($B673="","",IF(INDEX(Suivi!$D:$D,686)="",INDEX(Suivi!$C:$C,686),INDEX(Suivi!$D:$D,686)))</f>
        <v/>
      </c>
      <c r="D673" s="29">
        <f>IF($B673="","",INDEX(Suivi!$E:$E,686))</f>
        <v/>
      </c>
      <c r="E673" s="29">
        <f>IF($B673="","",INDEX(Suivi!$F:$F,686))</f>
        <v/>
      </c>
      <c r="F673">
        <f>IF($B673="","",INDEX(Suivi!$G:$G,686))</f>
        <v/>
      </c>
      <c r="H673">
        <f>IF(OR($B673="",NOT(ISNUMBER($D673))),"",IF($E673&lt;$D$2,"Passé",IF($D673&gt;$F$2,"À venir","Dans la période")))</f>
        <v/>
      </c>
      <c r="I673">
        <f>IF(OR($B673="",NOT(ISNUMBER($D673))),"",IF(AND($E673&lt;$D$2,$G673&lt;&gt;"X",$F673&lt;&gt;"Réalisé",$F673&lt;&gt;"Clôturé"),"RETARD",""))</f>
        <v/>
      </c>
      <c r="J673" s="29">
        <f>IF($B673="","",IF(INDEX(Dossiers!$F$4:$F$63,13)="","",INDEX(Dossiers!$F$4:$F$63,13)))</f>
        <v/>
      </c>
      <c r="K673" s="29">
        <f>IF($B673="","",IF(INDEX(Dossiers!$G$4:$G$63,13)="","",INDEX(Dossiers!$G$4:$G$63,13)))</f>
        <v/>
      </c>
    </row>
    <row r="674">
      <c r="A674">
        <f>IF($B674="","",INDEX(Dossiers!$E$4:$E$63,13))</f>
        <v/>
      </c>
      <c r="B674">
        <f>IF(INDEX(Suivi!$B:$B,687)="","",INDEX(Suivi!$B:$B,687))</f>
        <v/>
      </c>
      <c r="C674">
        <f>IF($B674="","",IF(INDEX(Suivi!$D:$D,687)="",INDEX(Suivi!$C:$C,687),INDEX(Suivi!$D:$D,687)))</f>
        <v/>
      </c>
      <c r="D674" s="29">
        <f>IF($B674="","",INDEX(Suivi!$E:$E,687))</f>
        <v/>
      </c>
      <c r="E674" s="29">
        <f>IF($B674="","",INDEX(Suivi!$F:$F,687))</f>
        <v/>
      </c>
      <c r="F674">
        <f>IF($B674="","",INDEX(Suivi!$G:$G,687))</f>
        <v/>
      </c>
      <c r="H674">
        <f>IF(OR($B674="",NOT(ISNUMBER($D674))),"",IF($E674&lt;$D$2,"Passé",IF($D674&gt;$F$2,"À venir","Dans la période")))</f>
        <v/>
      </c>
      <c r="I674">
        <f>IF(OR($B674="",NOT(ISNUMBER($D674))),"",IF(AND($E674&lt;$D$2,$G674&lt;&gt;"X",$F674&lt;&gt;"Réalisé",$F674&lt;&gt;"Clôturé"),"RETARD",""))</f>
        <v/>
      </c>
      <c r="J674" s="29">
        <f>IF($B674="","",IF(INDEX(Dossiers!$F$4:$F$63,13)="","",INDEX(Dossiers!$F$4:$F$63,13)))</f>
        <v/>
      </c>
      <c r="K674" s="29">
        <f>IF($B674="","",IF(INDEX(Dossiers!$G$4:$G$63,13)="","",INDEX(Dossiers!$G$4:$G$63,13)))</f>
        <v/>
      </c>
    </row>
    <row r="675">
      <c r="A675">
        <f>IF($B675="","",INDEX(Dossiers!$E$4:$E$63,13))</f>
        <v/>
      </c>
      <c r="B675">
        <f>IF(INDEX(Suivi!$B:$B,688)="","",INDEX(Suivi!$B:$B,688))</f>
        <v/>
      </c>
      <c r="C675">
        <f>IF($B675="","",IF(INDEX(Suivi!$D:$D,688)="",INDEX(Suivi!$C:$C,688),INDEX(Suivi!$D:$D,688)))</f>
        <v/>
      </c>
      <c r="D675" s="29">
        <f>IF($B675="","",INDEX(Suivi!$E:$E,688))</f>
        <v/>
      </c>
      <c r="E675" s="29">
        <f>IF($B675="","",INDEX(Suivi!$F:$F,688))</f>
        <v/>
      </c>
      <c r="F675">
        <f>IF($B675="","",INDEX(Suivi!$G:$G,688))</f>
        <v/>
      </c>
      <c r="H675">
        <f>IF(OR($B675="",NOT(ISNUMBER($D675))),"",IF($E675&lt;$D$2,"Passé",IF($D675&gt;$F$2,"À venir","Dans la période")))</f>
        <v/>
      </c>
      <c r="I675">
        <f>IF(OR($B675="",NOT(ISNUMBER($D675))),"",IF(AND($E675&lt;$D$2,$G675&lt;&gt;"X",$F675&lt;&gt;"Réalisé",$F675&lt;&gt;"Clôturé"),"RETARD",""))</f>
        <v/>
      </c>
      <c r="J675" s="29">
        <f>IF($B675="","",IF(INDEX(Dossiers!$F$4:$F$63,13)="","",INDEX(Dossiers!$F$4:$F$63,13)))</f>
        <v/>
      </c>
      <c r="K675" s="29">
        <f>IF($B675="","",IF(INDEX(Dossiers!$G$4:$G$63,13)="","",INDEX(Dossiers!$G$4:$G$63,13)))</f>
        <v/>
      </c>
    </row>
    <row r="676">
      <c r="A676">
        <f>IF($B676="","",INDEX(Dossiers!$E$4:$E$63,13))</f>
        <v/>
      </c>
      <c r="B676">
        <f>IF(INDEX(Suivi!$B:$B,689)="","",INDEX(Suivi!$B:$B,689))</f>
        <v/>
      </c>
      <c r="C676">
        <f>IF($B676="","",IF(INDEX(Suivi!$D:$D,689)="",INDEX(Suivi!$C:$C,689),INDEX(Suivi!$D:$D,689)))</f>
        <v/>
      </c>
      <c r="D676" s="29">
        <f>IF($B676="","",INDEX(Suivi!$E:$E,689))</f>
        <v/>
      </c>
      <c r="E676" s="29">
        <f>IF($B676="","",INDEX(Suivi!$F:$F,689))</f>
        <v/>
      </c>
      <c r="F676">
        <f>IF($B676="","",INDEX(Suivi!$G:$G,689))</f>
        <v/>
      </c>
      <c r="H676">
        <f>IF(OR($B676="",NOT(ISNUMBER($D676))),"",IF($E676&lt;$D$2,"Passé",IF($D676&gt;$F$2,"À venir","Dans la période")))</f>
        <v/>
      </c>
      <c r="I676">
        <f>IF(OR($B676="",NOT(ISNUMBER($D676))),"",IF(AND($E676&lt;$D$2,$G676&lt;&gt;"X",$F676&lt;&gt;"Réalisé",$F676&lt;&gt;"Clôturé"),"RETARD",""))</f>
        <v/>
      </c>
      <c r="J676" s="29">
        <f>IF($B676="","",IF(INDEX(Dossiers!$F$4:$F$63,13)="","",INDEX(Dossiers!$F$4:$F$63,13)))</f>
        <v/>
      </c>
      <c r="K676" s="29">
        <f>IF($B676="","",IF(INDEX(Dossiers!$G$4:$G$63,13)="","",INDEX(Dossiers!$G$4:$G$63,13)))</f>
        <v/>
      </c>
    </row>
    <row r="677">
      <c r="A677">
        <f>IF($B677="","",INDEX(Dossiers!$E$4:$E$63,13))</f>
        <v/>
      </c>
      <c r="B677">
        <f>IF(INDEX(Suivi!$B:$B,690)="","",INDEX(Suivi!$B:$B,690))</f>
        <v/>
      </c>
      <c r="C677">
        <f>IF($B677="","",IF(INDEX(Suivi!$D:$D,690)="",INDEX(Suivi!$C:$C,690),INDEX(Suivi!$D:$D,690)))</f>
        <v/>
      </c>
      <c r="D677" s="29">
        <f>IF($B677="","",INDEX(Suivi!$E:$E,690))</f>
        <v/>
      </c>
      <c r="E677" s="29">
        <f>IF($B677="","",INDEX(Suivi!$F:$F,690))</f>
        <v/>
      </c>
      <c r="F677">
        <f>IF($B677="","",INDEX(Suivi!$G:$G,690))</f>
        <v/>
      </c>
      <c r="H677">
        <f>IF(OR($B677="",NOT(ISNUMBER($D677))),"",IF($E677&lt;$D$2,"Passé",IF($D677&gt;$F$2,"À venir","Dans la période")))</f>
        <v/>
      </c>
      <c r="I677">
        <f>IF(OR($B677="",NOT(ISNUMBER($D677))),"",IF(AND($E677&lt;$D$2,$G677&lt;&gt;"X",$F677&lt;&gt;"Réalisé",$F677&lt;&gt;"Clôturé"),"RETARD",""))</f>
        <v/>
      </c>
      <c r="J677" s="29">
        <f>IF($B677="","",IF(INDEX(Dossiers!$F$4:$F$63,13)="","",INDEX(Dossiers!$F$4:$F$63,13)))</f>
        <v/>
      </c>
      <c r="K677" s="29">
        <f>IF($B677="","",IF(INDEX(Dossiers!$G$4:$G$63,13)="","",INDEX(Dossiers!$G$4:$G$63,13)))</f>
        <v/>
      </c>
    </row>
    <row r="678">
      <c r="A678">
        <f>IF($B678="","",INDEX(Dossiers!$E$4:$E$63,13))</f>
        <v/>
      </c>
      <c r="B678">
        <f>IF(INDEX(Suivi!$B:$B,691)="","",INDEX(Suivi!$B:$B,691))</f>
        <v/>
      </c>
      <c r="C678">
        <f>IF($B678="","",IF(INDEX(Suivi!$D:$D,691)="",INDEX(Suivi!$C:$C,691),INDEX(Suivi!$D:$D,691)))</f>
        <v/>
      </c>
      <c r="D678" s="29">
        <f>IF($B678="","",INDEX(Suivi!$E:$E,691))</f>
        <v/>
      </c>
      <c r="E678" s="29">
        <f>IF($B678="","",INDEX(Suivi!$F:$F,691))</f>
        <v/>
      </c>
      <c r="F678">
        <f>IF($B678="","",INDEX(Suivi!$G:$G,691))</f>
        <v/>
      </c>
      <c r="H678">
        <f>IF(OR($B678="",NOT(ISNUMBER($D678))),"",IF($E678&lt;$D$2,"Passé",IF($D678&gt;$F$2,"À venir","Dans la période")))</f>
        <v/>
      </c>
      <c r="I678">
        <f>IF(OR($B678="",NOT(ISNUMBER($D678))),"",IF(AND($E678&lt;$D$2,$G678&lt;&gt;"X",$F678&lt;&gt;"Réalisé",$F678&lt;&gt;"Clôturé"),"RETARD",""))</f>
        <v/>
      </c>
      <c r="J678" s="29">
        <f>IF($B678="","",IF(INDEX(Dossiers!$F$4:$F$63,13)="","",INDEX(Dossiers!$F$4:$F$63,13)))</f>
        <v/>
      </c>
      <c r="K678" s="29">
        <f>IF($B678="","",IF(INDEX(Dossiers!$G$4:$G$63,13)="","",INDEX(Dossiers!$G$4:$G$63,13)))</f>
        <v/>
      </c>
    </row>
    <row r="679">
      <c r="A679">
        <f>IF($B679="","",INDEX(Dossiers!$E$4:$E$63,13))</f>
        <v/>
      </c>
      <c r="B679">
        <f>IF(INDEX(Suivi!$B:$B,692)="","",INDEX(Suivi!$B:$B,692))</f>
        <v/>
      </c>
      <c r="C679">
        <f>IF($B679="","",IF(INDEX(Suivi!$D:$D,692)="",INDEX(Suivi!$C:$C,692),INDEX(Suivi!$D:$D,692)))</f>
        <v/>
      </c>
      <c r="D679" s="29">
        <f>IF($B679="","",INDEX(Suivi!$E:$E,692))</f>
        <v/>
      </c>
      <c r="E679" s="29">
        <f>IF($B679="","",INDEX(Suivi!$F:$F,692))</f>
        <v/>
      </c>
      <c r="F679">
        <f>IF($B679="","",INDEX(Suivi!$G:$G,692))</f>
        <v/>
      </c>
      <c r="H679">
        <f>IF(OR($B679="",NOT(ISNUMBER($D679))),"",IF($E679&lt;$D$2,"Passé",IF($D679&gt;$F$2,"À venir","Dans la période")))</f>
        <v/>
      </c>
      <c r="I679">
        <f>IF(OR($B679="",NOT(ISNUMBER($D679))),"",IF(AND($E679&lt;$D$2,$G679&lt;&gt;"X",$F679&lt;&gt;"Réalisé",$F679&lt;&gt;"Clôturé"),"RETARD",""))</f>
        <v/>
      </c>
      <c r="J679" s="29">
        <f>IF($B679="","",IF(INDEX(Dossiers!$F$4:$F$63,13)="","",INDEX(Dossiers!$F$4:$F$63,13)))</f>
        <v/>
      </c>
      <c r="K679" s="29">
        <f>IF($B679="","",IF(INDEX(Dossiers!$G$4:$G$63,13)="","",INDEX(Dossiers!$G$4:$G$63,13)))</f>
        <v/>
      </c>
    </row>
    <row r="680">
      <c r="A680">
        <f>IF($B680="","",INDEX(Dossiers!$E$4:$E$63,13))</f>
        <v/>
      </c>
      <c r="B680">
        <f>IF(INDEX(Suivi!$B:$B,693)="","",INDEX(Suivi!$B:$B,693))</f>
        <v/>
      </c>
      <c r="C680">
        <f>IF($B680="","",IF(INDEX(Suivi!$D:$D,693)="",INDEX(Suivi!$C:$C,693),INDEX(Suivi!$D:$D,693)))</f>
        <v/>
      </c>
      <c r="D680" s="29">
        <f>IF($B680="","",INDEX(Suivi!$E:$E,693))</f>
        <v/>
      </c>
      <c r="E680" s="29">
        <f>IF($B680="","",INDEX(Suivi!$F:$F,693))</f>
        <v/>
      </c>
      <c r="F680">
        <f>IF($B680="","",INDEX(Suivi!$G:$G,693))</f>
        <v/>
      </c>
      <c r="H680">
        <f>IF(OR($B680="",NOT(ISNUMBER($D680))),"",IF($E680&lt;$D$2,"Passé",IF($D680&gt;$F$2,"À venir","Dans la période")))</f>
        <v/>
      </c>
      <c r="I680">
        <f>IF(OR($B680="",NOT(ISNUMBER($D680))),"",IF(AND($E680&lt;$D$2,$G680&lt;&gt;"X",$F680&lt;&gt;"Réalisé",$F680&lt;&gt;"Clôturé"),"RETARD",""))</f>
        <v/>
      </c>
      <c r="J680" s="29">
        <f>IF($B680="","",IF(INDEX(Dossiers!$F$4:$F$63,13)="","",INDEX(Dossiers!$F$4:$F$63,13)))</f>
        <v/>
      </c>
      <c r="K680" s="29">
        <f>IF($B680="","",IF(INDEX(Dossiers!$G$4:$G$63,13)="","",INDEX(Dossiers!$G$4:$G$63,13)))</f>
        <v/>
      </c>
    </row>
    <row r="681">
      <c r="A681">
        <f>IF($B681="","",INDEX(Dossiers!$E$4:$E$63,13))</f>
        <v/>
      </c>
      <c r="B681">
        <f>IF(INDEX(Suivi!$B:$B,694)="","",INDEX(Suivi!$B:$B,694))</f>
        <v/>
      </c>
      <c r="C681">
        <f>IF($B681="","",IF(INDEX(Suivi!$D:$D,694)="",INDEX(Suivi!$C:$C,694),INDEX(Suivi!$D:$D,694)))</f>
        <v/>
      </c>
      <c r="D681" s="29">
        <f>IF($B681="","",INDEX(Suivi!$E:$E,694))</f>
        <v/>
      </c>
      <c r="E681" s="29">
        <f>IF($B681="","",INDEX(Suivi!$F:$F,694))</f>
        <v/>
      </c>
      <c r="F681">
        <f>IF($B681="","",INDEX(Suivi!$G:$G,694))</f>
        <v/>
      </c>
      <c r="H681">
        <f>IF(OR($B681="",NOT(ISNUMBER($D681))),"",IF($E681&lt;$D$2,"Passé",IF($D681&gt;$F$2,"À venir","Dans la période")))</f>
        <v/>
      </c>
      <c r="I681">
        <f>IF(OR($B681="",NOT(ISNUMBER($D681))),"",IF(AND($E681&lt;$D$2,$G681&lt;&gt;"X",$F681&lt;&gt;"Réalisé",$F681&lt;&gt;"Clôturé"),"RETARD",""))</f>
        <v/>
      </c>
      <c r="J681" s="29">
        <f>IF($B681="","",IF(INDEX(Dossiers!$F$4:$F$63,13)="","",INDEX(Dossiers!$F$4:$F$63,13)))</f>
        <v/>
      </c>
      <c r="K681" s="29">
        <f>IF($B681="","",IF(INDEX(Dossiers!$G$4:$G$63,13)="","",INDEX(Dossiers!$G$4:$G$63,13)))</f>
        <v/>
      </c>
    </row>
    <row r="682">
      <c r="A682">
        <f>IF($B682="","",INDEX(Dossiers!$E$4:$E$63,13))</f>
        <v/>
      </c>
      <c r="B682">
        <f>IF(INDEX(Suivi!$B:$B,695)="","",INDEX(Suivi!$B:$B,695))</f>
        <v/>
      </c>
      <c r="C682">
        <f>IF($B682="","",IF(INDEX(Suivi!$D:$D,695)="",INDEX(Suivi!$C:$C,695),INDEX(Suivi!$D:$D,695)))</f>
        <v/>
      </c>
      <c r="D682" s="29">
        <f>IF($B682="","",INDEX(Suivi!$E:$E,695))</f>
        <v/>
      </c>
      <c r="E682" s="29">
        <f>IF($B682="","",INDEX(Suivi!$F:$F,695))</f>
        <v/>
      </c>
      <c r="F682">
        <f>IF($B682="","",INDEX(Suivi!$G:$G,695))</f>
        <v/>
      </c>
      <c r="H682">
        <f>IF(OR($B682="",NOT(ISNUMBER($D682))),"",IF($E682&lt;$D$2,"Passé",IF($D682&gt;$F$2,"À venir","Dans la période")))</f>
        <v/>
      </c>
      <c r="I682">
        <f>IF(OR($B682="",NOT(ISNUMBER($D682))),"",IF(AND($E682&lt;$D$2,$G682&lt;&gt;"X",$F682&lt;&gt;"Réalisé",$F682&lt;&gt;"Clôturé"),"RETARD",""))</f>
        <v/>
      </c>
      <c r="J682" s="29">
        <f>IF($B682="","",IF(INDEX(Dossiers!$F$4:$F$63,13)="","",INDEX(Dossiers!$F$4:$F$63,13)))</f>
        <v/>
      </c>
      <c r="K682" s="29">
        <f>IF($B682="","",IF(INDEX(Dossiers!$G$4:$G$63,13)="","",INDEX(Dossiers!$G$4:$G$63,13)))</f>
        <v/>
      </c>
    </row>
    <row r="683">
      <c r="A683">
        <f>IF($B683="","",INDEX(Dossiers!$E$4:$E$63,13))</f>
        <v/>
      </c>
      <c r="B683">
        <f>IF(INDEX(Suivi!$B:$B,696)="","",INDEX(Suivi!$B:$B,696))</f>
        <v/>
      </c>
      <c r="C683">
        <f>IF($B683="","",IF(INDEX(Suivi!$D:$D,696)="",INDEX(Suivi!$C:$C,696),INDEX(Suivi!$D:$D,696)))</f>
        <v/>
      </c>
      <c r="D683" s="29">
        <f>IF($B683="","",INDEX(Suivi!$E:$E,696))</f>
        <v/>
      </c>
      <c r="E683" s="29">
        <f>IF($B683="","",INDEX(Suivi!$F:$F,696))</f>
        <v/>
      </c>
      <c r="F683">
        <f>IF($B683="","",INDEX(Suivi!$G:$G,696))</f>
        <v/>
      </c>
      <c r="H683">
        <f>IF(OR($B683="",NOT(ISNUMBER($D683))),"",IF($E683&lt;$D$2,"Passé",IF($D683&gt;$F$2,"À venir","Dans la période")))</f>
        <v/>
      </c>
      <c r="I683">
        <f>IF(OR($B683="",NOT(ISNUMBER($D683))),"",IF(AND($E683&lt;$D$2,$G683&lt;&gt;"X",$F683&lt;&gt;"Réalisé",$F683&lt;&gt;"Clôturé"),"RETARD",""))</f>
        <v/>
      </c>
      <c r="J683" s="29">
        <f>IF($B683="","",IF(INDEX(Dossiers!$F$4:$F$63,13)="","",INDEX(Dossiers!$F$4:$F$63,13)))</f>
        <v/>
      </c>
      <c r="K683" s="29">
        <f>IF($B683="","",IF(INDEX(Dossiers!$G$4:$G$63,13)="","",INDEX(Dossiers!$G$4:$G$63,13)))</f>
        <v/>
      </c>
    </row>
    <row r="684">
      <c r="A684">
        <f>IF($B684="","",INDEX(Dossiers!$E$4:$E$63,13))</f>
        <v/>
      </c>
      <c r="B684">
        <f>IF(INDEX(Suivi!$B:$B,697)="","",INDEX(Suivi!$B:$B,697))</f>
        <v/>
      </c>
      <c r="C684">
        <f>IF($B684="","",IF(INDEX(Suivi!$D:$D,697)="",INDEX(Suivi!$C:$C,697),INDEX(Suivi!$D:$D,697)))</f>
        <v/>
      </c>
      <c r="D684" s="29">
        <f>IF($B684="","",INDEX(Suivi!$E:$E,697))</f>
        <v/>
      </c>
      <c r="E684" s="29">
        <f>IF($B684="","",INDEX(Suivi!$F:$F,697))</f>
        <v/>
      </c>
      <c r="F684">
        <f>IF($B684="","",INDEX(Suivi!$G:$G,697))</f>
        <v/>
      </c>
      <c r="H684">
        <f>IF(OR($B684="",NOT(ISNUMBER($D684))),"",IF($E684&lt;$D$2,"Passé",IF($D684&gt;$F$2,"À venir","Dans la période")))</f>
        <v/>
      </c>
      <c r="I684">
        <f>IF(OR($B684="",NOT(ISNUMBER($D684))),"",IF(AND($E684&lt;$D$2,$G684&lt;&gt;"X",$F684&lt;&gt;"Réalisé",$F684&lt;&gt;"Clôturé"),"RETARD",""))</f>
        <v/>
      </c>
      <c r="J684" s="29">
        <f>IF($B684="","",IF(INDEX(Dossiers!$F$4:$F$63,13)="","",INDEX(Dossiers!$F$4:$F$63,13)))</f>
        <v/>
      </c>
      <c r="K684" s="29">
        <f>IF($B684="","",IF(INDEX(Dossiers!$G$4:$G$63,13)="","",INDEX(Dossiers!$G$4:$G$63,13)))</f>
        <v/>
      </c>
    </row>
    <row r="685">
      <c r="A685">
        <f>IF($B685="","",INDEX(Dossiers!$E$4:$E$63,13))</f>
        <v/>
      </c>
      <c r="B685">
        <f>IF(INDEX(Suivi!$B:$B,698)="","",INDEX(Suivi!$B:$B,698))</f>
        <v/>
      </c>
      <c r="C685">
        <f>IF($B685="","",IF(INDEX(Suivi!$D:$D,698)="",INDEX(Suivi!$C:$C,698),INDEX(Suivi!$D:$D,698)))</f>
        <v/>
      </c>
      <c r="D685" s="29">
        <f>IF($B685="","",INDEX(Suivi!$E:$E,698))</f>
        <v/>
      </c>
      <c r="E685" s="29">
        <f>IF($B685="","",INDEX(Suivi!$F:$F,698))</f>
        <v/>
      </c>
      <c r="F685">
        <f>IF($B685="","",INDEX(Suivi!$G:$G,698))</f>
        <v/>
      </c>
      <c r="H685">
        <f>IF(OR($B685="",NOT(ISNUMBER($D685))),"",IF($E685&lt;$D$2,"Passé",IF($D685&gt;$F$2,"À venir","Dans la période")))</f>
        <v/>
      </c>
      <c r="I685">
        <f>IF(OR($B685="",NOT(ISNUMBER($D685))),"",IF(AND($E685&lt;$D$2,$G685&lt;&gt;"X",$F685&lt;&gt;"Réalisé",$F685&lt;&gt;"Clôturé"),"RETARD",""))</f>
        <v/>
      </c>
      <c r="J685" s="29">
        <f>IF($B685="","",IF(INDEX(Dossiers!$F$4:$F$63,13)="","",INDEX(Dossiers!$F$4:$F$63,13)))</f>
        <v/>
      </c>
      <c r="K685" s="29">
        <f>IF($B685="","",IF(INDEX(Dossiers!$G$4:$G$63,13)="","",INDEX(Dossiers!$G$4:$G$63,13)))</f>
        <v/>
      </c>
    </row>
    <row r="686">
      <c r="A686">
        <f>IF($B686="","",INDEX(Dossiers!$E$4:$E$63,13))</f>
        <v/>
      </c>
      <c r="B686">
        <f>IF(INDEX(Suivi!$B:$B,699)="","",INDEX(Suivi!$B:$B,699))</f>
        <v/>
      </c>
      <c r="C686">
        <f>IF($B686="","",IF(INDEX(Suivi!$D:$D,699)="",INDEX(Suivi!$C:$C,699),INDEX(Suivi!$D:$D,699)))</f>
        <v/>
      </c>
      <c r="D686" s="29">
        <f>IF($B686="","",INDEX(Suivi!$E:$E,699))</f>
        <v/>
      </c>
      <c r="E686" s="29">
        <f>IF($B686="","",INDEX(Suivi!$F:$F,699))</f>
        <v/>
      </c>
      <c r="F686">
        <f>IF($B686="","",INDEX(Suivi!$G:$G,699))</f>
        <v/>
      </c>
      <c r="H686">
        <f>IF(OR($B686="",NOT(ISNUMBER($D686))),"",IF($E686&lt;$D$2,"Passé",IF($D686&gt;$F$2,"À venir","Dans la période")))</f>
        <v/>
      </c>
      <c r="I686">
        <f>IF(OR($B686="",NOT(ISNUMBER($D686))),"",IF(AND($E686&lt;$D$2,$G686&lt;&gt;"X",$F686&lt;&gt;"Réalisé",$F686&lt;&gt;"Clôturé"),"RETARD",""))</f>
        <v/>
      </c>
      <c r="J686" s="29">
        <f>IF($B686="","",IF(INDEX(Dossiers!$F$4:$F$63,13)="","",INDEX(Dossiers!$F$4:$F$63,13)))</f>
        <v/>
      </c>
      <c r="K686" s="29">
        <f>IF($B686="","",IF(INDEX(Dossiers!$G$4:$G$63,13)="","",INDEX(Dossiers!$G$4:$G$63,13)))</f>
        <v/>
      </c>
    </row>
    <row r="687">
      <c r="A687">
        <f>IF($B687="","",INDEX(Dossiers!$E$4:$E$63,13))</f>
        <v/>
      </c>
      <c r="B687">
        <f>IF(INDEX(Suivi!$B:$B,700)="","",INDEX(Suivi!$B:$B,700))</f>
        <v/>
      </c>
      <c r="C687">
        <f>IF($B687="","",IF(INDEX(Suivi!$D:$D,700)="",INDEX(Suivi!$C:$C,700),INDEX(Suivi!$D:$D,700)))</f>
        <v/>
      </c>
      <c r="D687" s="29">
        <f>IF($B687="","",INDEX(Suivi!$E:$E,700))</f>
        <v/>
      </c>
      <c r="E687" s="29">
        <f>IF($B687="","",INDEX(Suivi!$F:$F,700))</f>
        <v/>
      </c>
      <c r="F687">
        <f>IF($B687="","",INDEX(Suivi!$G:$G,700))</f>
        <v/>
      </c>
      <c r="H687">
        <f>IF(OR($B687="",NOT(ISNUMBER($D687))),"",IF($E687&lt;$D$2,"Passé",IF($D687&gt;$F$2,"À venir","Dans la période")))</f>
        <v/>
      </c>
      <c r="I687">
        <f>IF(OR($B687="",NOT(ISNUMBER($D687))),"",IF(AND($E687&lt;$D$2,$G687&lt;&gt;"X",$F687&lt;&gt;"Réalisé",$F687&lt;&gt;"Clôturé"),"RETARD",""))</f>
        <v/>
      </c>
      <c r="J687" s="29">
        <f>IF($B687="","",IF(INDEX(Dossiers!$F$4:$F$63,13)="","",INDEX(Dossiers!$F$4:$F$63,13)))</f>
        <v/>
      </c>
      <c r="K687" s="29">
        <f>IF($B687="","",IF(INDEX(Dossiers!$G$4:$G$63,13)="","",INDEX(Dossiers!$G$4:$G$63,13)))</f>
        <v/>
      </c>
    </row>
    <row r="688">
      <c r="A688">
        <f>IF($B688="","",INDEX(Dossiers!$E$4:$E$63,13))</f>
        <v/>
      </c>
      <c r="B688">
        <f>IF(INDEX(Suivi!$B:$B,701)="","",INDEX(Suivi!$B:$B,701))</f>
        <v/>
      </c>
      <c r="C688">
        <f>IF($B688="","",IF(INDEX(Suivi!$D:$D,701)="",INDEX(Suivi!$C:$C,701),INDEX(Suivi!$D:$D,701)))</f>
        <v/>
      </c>
      <c r="D688" s="29">
        <f>IF($B688="","",INDEX(Suivi!$E:$E,701))</f>
        <v/>
      </c>
      <c r="E688" s="29">
        <f>IF($B688="","",INDEX(Suivi!$F:$F,701))</f>
        <v/>
      </c>
      <c r="F688">
        <f>IF($B688="","",INDEX(Suivi!$G:$G,701))</f>
        <v/>
      </c>
      <c r="H688">
        <f>IF(OR($B688="",NOT(ISNUMBER($D688))),"",IF($E688&lt;$D$2,"Passé",IF($D688&gt;$F$2,"À venir","Dans la période")))</f>
        <v/>
      </c>
      <c r="I688">
        <f>IF(OR($B688="",NOT(ISNUMBER($D688))),"",IF(AND($E688&lt;$D$2,$G688&lt;&gt;"X",$F688&lt;&gt;"Réalisé",$F688&lt;&gt;"Clôturé"),"RETARD",""))</f>
        <v/>
      </c>
      <c r="J688" s="29">
        <f>IF($B688="","",IF(INDEX(Dossiers!$F$4:$F$63,13)="","",INDEX(Dossiers!$F$4:$F$63,13)))</f>
        <v/>
      </c>
      <c r="K688" s="29">
        <f>IF($B688="","",IF(INDEX(Dossiers!$G$4:$G$63,13)="","",INDEX(Dossiers!$G$4:$G$63,13)))</f>
        <v/>
      </c>
    </row>
    <row r="689">
      <c r="A689">
        <f>IF($B689="","",INDEX(Dossiers!$E$4:$E$63,13))</f>
        <v/>
      </c>
      <c r="B689">
        <f>IF(INDEX(Suivi!$B:$B,702)="","",INDEX(Suivi!$B:$B,702))</f>
        <v/>
      </c>
      <c r="C689">
        <f>IF($B689="","",IF(INDEX(Suivi!$D:$D,702)="",INDEX(Suivi!$C:$C,702),INDEX(Suivi!$D:$D,702)))</f>
        <v/>
      </c>
      <c r="D689" s="29">
        <f>IF($B689="","",INDEX(Suivi!$E:$E,702))</f>
        <v/>
      </c>
      <c r="E689" s="29">
        <f>IF($B689="","",INDEX(Suivi!$F:$F,702))</f>
        <v/>
      </c>
      <c r="F689">
        <f>IF($B689="","",INDEX(Suivi!$G:$G,702))</f>
        <v/>
      </c>
      <c r="H689">
        <f>IF(OR($B689="",NOT(ISNUMBER($D689))),"",IF($E689&lt;$D$2,"Passé",IF($D689&gt;$F$2,"À venir","Dans la période")))</f>
        <v/>
      </c>
      <c r="I689">
        <f>IF(OR($B689="",NOT(ISNUMBER($D689))),"",IF(AND($E689&lt;$D$2,$G689&lt;&gt;"X",$F689&lt;&gt;"Réalisé",$F689&lt;&gt;"Clôturé"),"RETARD",""))</f>
        <v/>
      </c>
      <c r="J689" s="29">
        <f>IF($B689="","",IF(INDEX(Dossiers!$F$4:$F$63,13)="","",INDEX(Dossiers!$F$4:$F$63,13)))</f>
        <v/>
      </c>
      <c r="K689" s="29">
        <f>IF($B689="","",IF(INDEX(Dossiers!$G$4:$G$63,13)="","",INDEX(Dossiers!$G$4:$G$63,13)))</f>
        <v/>
      </c>
    </row>
    <row r="690">
      <c r="A690">
        <f>IF($B690="","",INDEX(Dossiers!$E$4:$E$63,13))</f>
        <v/>
      </c>
      <c r="B690">
        <f>IF(INDEX(Suivi!$B:$B,703)="","",INDEX(Suivi!$B:$B,703))</f>
        <v/>
      </c>
      <c r="C690">
        <f>IF($B690="","",IF(INDEX(Suivi!$D:$D,703)="",INDEX(Suivi!$C:$C,703),INDEX(Suivi!$D:$D,703)))</f>
        <v/>
      </c>
      <c r="D690" s="29">
        <f>IF($B690="","",INDEX(Suivi!$E:$E,703))</f>
        <v/>
      </c>
      <c r="E690" s="29">
        <f>IF($B690="","",INDEX(Suivi!$F:$F,703))</f>
        <v/>
      </c>
      <c r="F690">
        <f>IF($B690="","",INDEX(Suivi!$G:$G,703))</f>
        <v/>
      </c>
      <c r="H690">
        <f>IF(OR($B690="",NOT(ISNUMBER($D690))),"",IF($E690&lt;$D$2,"Passé",IF($D690&gt;$F$2,"À venir","Dans la période")))</f>
        <v/>
      </c>
      <c r="I690">
        <f>IF(OR($B690="",NOT(ISNUMBER($D690))),"",IF(AND($E690&lt;$D$2,$G690&lt;&gt;"X",$F690&lt;&gt;"Réalisé",$F690&lt;&gt;"Clôturé"),"RETARD",""))</f>
        <v/>
      </c>
      <c r="J690" s="29">
        <f>IF($B690="","",IF(INDEX(Dossiers!$F$4:$F$63,13)="","",INDEX(Dossiers!$F$4:$F$63,13)))</f>
        <v/>
      </c>
      <c r="K690" s="29">
        <f>IF($B690="","",IF(INDEX(Dossiers!$G$4:$G$63,13)="","",INDEX(Dossiers!$G$4:$G$63,13)))</f>
        <v/>
      </c>
    </row>
    <row r="691">
      <c r="A691">
        <f>IF($B691="","",INDEX(Dossiers!$E$4:$E$63,13))</f>
        <v/>
      </c>
      <c r="B691">
        <f>IF(INDEX(Suivi!$B:$B,704)="","",INDEX(Suivi!$B:$B,704))</f>
        <v/>
      </c>
      <c r="C691">
        <f>IF($B691="","",IF(INDEX(Suivi!$D:$D,704)="",INDEX(Suivi!$C:$C,704),INDEX(Suivi!$D:$D,704)))</f>
        <v/>
      </c>
      <c r="D691" s="29">
        <f>IF($B691="","",INDEX(Suivi!$E:$E,704))</f>
        <v/>
      </c>
      <c r="E691" s="29">
        <f>IF($B691="","",INDEX(Suivi!$F:$F,704))</f>
        <v/>
      </c>
      <c r="F691">
        <f>IF($B691="","",INDEX(Suivi!$G:$G,704))</f>
        <v/>
      </c>
      <c r="H691">
        <f>IF(OR($B691="",NOT(ISNUMBER($D691))),"",IF($E691&lt;$D$2,"Passé",IF($D691&gt;$F$2,"À venir","Dans la période")))</f>
        <v/>
      </c>
      <c r="I691">
        <f>IF(OR($B691="",NOT(ISNUMBER($D691))),"",IF(AND($E691&lt;$D$2,$G691&lt;&gt;"X",$F691&lt;&gt;"Réalisé",$F691&lt;&gt;"Clôturé"),"RETARD",""))</f>
        <v/>
      </c>
      <c r="J691" s="29">
        <f>IF($B691="","",IF(INDEX(Dossiers!$F$4:$F$63,13)="","",INDEX(Dossiers!$F$4:$F$63,13)))</f>
        <v/>
      </c>
      <c r="K691" s="29">
        <f>IF($B691="","",IF(INDEX(Dossiers!$G$4:$G$63,13)="","",INDEX(Dossiers!$G$4:$G$63,13)))</f>
        <v/>
      </c>
    </row>
    <row r="692">
      <c r="A692">
        <f>IF($B692="","",INDEX(Dossiers!$E$4:$E$63,13))</f>
        <v/>
      </c>
      <c r="B692">
        <f>IF(INDEX(Suivi!$B:$B,705)="","",INDEX(Suivi!$B:$B,705))</f>
        <v/>
      </c>
      <c r="C692">
        <f>IF($B692="","",IF(INDEX(Suivi!$D:$D,705)="",INDEX(Suivi!$C:$C,705),INDEX(Suivi!$D:$D,705)))</f>
        <v/>
      </c>
      <c r="D692" s="29">
        <f>IF($B692="","",INDEX(Suivi!$E:$E,705))</f>
        <v/>
      </c>
      <c r="E692" s="29">
        <f>IF($B692="","",INDEX(Suivi!$F:$F,705))</f>
        <v/>
      </c>
      <c r="F692">
        <f>IF($B692="","",INDEX(Suivi!$G:$G,705))</f>
        <v/>
      </c>
      <c r="H692">
        <f>IF(OR($B692="",NOT(ISNUMBER($D692))),"",IF($E692&lt;$D$2,"Passé",IF($D692&gt;$F$2,"À venir","Dans la période")))</f>
        <v/>
      </c>
      <c r="I692">
        <f>IF(OR($B692="",NOT(ISNUMBER($D692))),"",IF(AND($E692&lt;$D$2,$G692&lt;&gt;"X",$F692&lt;&gt;"Réalisé",$F692&lt;&gt;"Clôturé"),"RETARD",""))</f>
        <v/>
      </c>
      <c r="J692" s="29">
        <f>IF($B692="","",IF(INDEX(Dossiers!$F$4:$F$63,13)="","",INDEX(Dossiers!$F$4:$F$63,13)))</f>
        <v/>
      </c>
      <c r="K692" s="29">
        <f>IF($B692="","",IF(INDEX(Dossiers!$G$4:$G$63,13)="","",INDEX(Dossiers!$G$4:$G$63,13)))</f>
        <v/>
      </c>
    </row>
    <row r="693">
      <c r="A693">
        <f>IF($B693="","",INDEX(Dossiers!$E$4:$E$63,14))</f>
        <v/>
      </c>
      <c r="B693">
        <f>IF(INDEX(Suivi!$B:$B,707)="","",INDEX(Suivi!$B:$B,707))</f>
        <v/>
      </c>
      <c r="C693">
        <f>IF($B693="","",IF(INDEX(Suivi!$D:$D,707)="",INDEX(Suivi!$C:$C,707),INDEX(Suivi!$D:$D,707)))</f>
        <v/>
      </c>
      <c r="D693" s="29">
        <f>IF($B693="","",INDEX(Suivi!$E:$E,707))</f>
        <v/>
      </c>
      <c r="E693" s="29">
        <f>IF($B693="","",INDEX(Suivi!$F:$F,707))</f>
        <v/>
      </c>
      <c r="F693">
        <f>IF($B693="","",INDEX(Suivi!$G:$G,707))</f>
        <v/>
      </c>
      <c r="H693">
        <f>IF(OR($B693="",NOT(ISNUMBER($D693))),"",IF($E693&lt;$D$2,"Passé",IF($D693&gt;$F$2,"À venir","Dans la période")))</f>
        <v/>
      </c>
      <c r="I693">
        <f>IF(OR($B693="",NOT(ISNUMBER($D693))),"",IF(AND($E693&lt;$D$2,$G693&lt;&gt;"X",$F693&lt;&gt;"Réalisé",$F693&lt;&gt;"Clôturé"),"RETARD",""))</f>
        <v/>
      </c>
      <c r="J693" s="29">
        <f>IF($B693="","",IF(INDEX(Dossiers!$F$4:$F$63,14)="","",INDEX(Dossiers!$F$4:$F$63,14)))</f>
        <v/>
      </c>
      <c r="K693" s="29">
        <f>IF($B693="","",IF(INDEX(Dossiers!$G$4:$G$63,14)="","",INDEX(Dossiers!$G$4:$G$63,14)))</f>
        <v/>
      </c>
    </row>
    <row r="694">
      <c r="A694">
        <f>IF($B694="","",INDEX(Dossiers!$E$4:$E$63,14))</f>
        <v/>
      </c>
      <c r="B694">
        <f>IF(INDEX(Suivi!$B:$B,708)="","",INDEX(Suivi!$B:$B,708))</f>
        <v/>
      </c>
      <c r="C694">
        <f>IF($B694="","",IF(INDEX(Suivi!$D:$D,708)="",INDEX(Suivi!$C:$C,708),INDEX(Suivi!$D:$D,708)))</f>
        <v/>
      </c>
      <c r="D694" s="29">
        <f>IF($B694="","",INDEX(Suivi!$E:$E,708))</f>
        <v/>
      </c>
      <c r="E694" s="29">
        <f>IF($B694="","",INDEX(Suivi!$F:$F,708))</f>
        <v/>
      </c>
      <c r="F694">
        <f>IF($B694="","",INDEX(Suivi!$G:$G,708))</f>
        <v/>
      </c>
      <c r="H694">
        <f>IF(OR($B694="",NOT(ISNUMBER($D694))),"",IF($E694&lt;$D$2,"Passé",IF($D694&gt;$F$2,"À venir","Dans la période")))</f>
        <v/>
      </c>
      <c r="I694">
        <f>IF(OR($B694="",NOT(ISNUMBER($D694))),"",IF(AND($E694&lt;$D$2,$G694&lt;&gt;"X",$F694&lt;&gt;"Réalisé",$F694&lt;&gt;"Clôturé"),"RETARD",""))</f>
        <v/>
      </c>
      <c r="J694" s="29">
        <f>IF($B694="","",IF(INDEX(Dossiers!$F$4:$F$63,14)="","",INDEX(Dossiers!$F$4:$F$63,14)))</f>
        <v/>
      </c>
      <c r="K694" s="29">
        <f>IF($B694="","",IF(INDEX(Dossiers!$G$4:$G$63,14)="","",INDEX(Dossiers!$G$4:$G$63,14)))</f>
        <v/>
      </c>
    </row>
    <row r="695">
      <c r="A695">
        <f>IF($B695="","",INDEX(Dossiers!$E$4:$E$63,14))</f>
        <v/>
      </c>
      <c r="B695">
        <f>IF(INDEX(Suivi!$B:$B,709)="","",INDEX(Suivi!$B:$B,709))</f>
        <v/>
      </c>
      <c r="C695">
        <f>IF($B695="","",IF(INDEX(Suivi!$D:$D,709)="",INDEX(Suivi!$C:$C,709),INDEX(Suivi!$D:$D,709)))</f>
        <v/>
      </c>
      <c r="D695" s="29">
        <f>IF($B695="","",INDEX(Suivi!$E:$E,709))</f>
        <v/>
      </c>
      <c r="E695" s="29">
        <f>IF($B695="","",INDEX(Suivi!$F:$F,709))</f>
        <v/>
      </c>
      <c r="F695">
        <f>IF($B695="","",INDEX(Suivi!$G:$G,709))</f>
        <v/>
      </c>
      <c r="H695">
        <f>IF(OR($B695="",NOT(ISNUMBER($D695))),"",IF($E695&lt;$D$2,"Passé",IF($D695&gt;$F$2,"À venir","Dans la période")))</f>
        <v/>
      </c>
      <c r="I695">
        <f>IF(OR($B695="",NOT(ISNUMBER($D695))),"",IF(AND($E695&lt;$D$2,$G695&lt;&gt;"X",$F695&lt;&gt;"Réalisé",$F695&lt;&gt;"Clôturé"),"RETARD",""))</f>
        <v/>
      </c>
      <c r="J695" s="29">
        <f>IF($B695="","",IF(INDEX(Dossiers!$F$4:$F$63,14)="","",INDEX(Dossiers!$F$4:$F$63,14)))</f>
        <v/>
      </c>
      <c r="K695" s="29">
        <f>IF($B695="","",IF(INDEX(Dossiers!$G$4:$G$63,14)="","",INDEX(Dossiers!$G$4:$G$63,14)))</f>
        <v/>
      </c>
    </row>
    <row r="696">
      <c r="A696">
        <f>IF($B696="","",INDEX(Dossiers!$E$4:$E$63,14))</f>
        <v/>
      </c>
      <c r="B696">
        <f>IF(INDEX(Suivi!$B:$B,710)="","",INDEX(Suivi!$B:$B,710))</f>
        <v/>
      </c>
      <c r="C696">
        <f>IF($B696="","",IF(INDEX(Suivi!$D:$D,710)="",INDEX(Suivi!$C:$C,710),INDEX(Suivi!$D:$D,710)))</f>
        <v/>
      </c>
      <c r="D696" s="29">
        <f>IF($B696="","",INDEX(Suivi!$E:$E,710))</f>
        <v/>
      </c>
      <c r="E696" s="29">
        <f>IF($B696="","",INDEX(Suivi!$F:$F,710))</f>
        <v/>
      </c>
      <c r="F696">
        <f>IF($B696="","",INDEX(Suivi!$G:$G,710))</f>
        <v/>
      </c>
      <c r="H696">
        <f>IF(OR($B696="",NOT(ISNUMBER($D696))),"",IF($E696&lt;$D$2,"Passé",IF($D696&gt;$F$2,"À venir","Dans la période")))</f>
        <v/>
      </c>
      <c r="I696">
        <f>IF(OR($B696="",NOT(ISNUMBER($D696))),"",IF(AND($E696&lt;$D$2,$G696&lt;&gt;"X",$F696&lt;&gt;"Réalisé",$F696&lt;&gt;"Clôturé"),"RETARD",""))</f>
        <v/>
      </c>
      <c r="J696" s="29">
        <f>IF($B696="","",IF(INDEX(Dossiers!$F$4:$F$63,14)="","",INDEX(Dossiers!$F$4:$F$63,14)))</f>
        <v/>
      </c>
      <c r="K696" s="29">
        <f>IF($B696="","",IF(INDEX(Dossiers!$G$4:$G$63,14)="","",INDEX(Dossiers!$G$4:$G$63,14)))</f>
        <v/>
      </c>
    </row>
    <row r="697">
      <c r="A697">
        <f>IF($B697="","",INDEX(Dossiers!$E$4:$E$63,14))</f>
        <v/>
      </c>
      <c r="B697">
        <f>IF(INDEX(Suivi!$B:$B,711)="","",INDEX(Suivi!$B:$B,711))</f>
        <v/>
      </c>
      <c r="C697">
        <f>IF($B697="","",IF(INDEX(Suivi!$D:$D,711)="",INDEX(Suivi!$C:$C,711),INDEX(Suivi!$D:$D,711)))</f>
        <v/>
      </c>
      <c r="D697" s="29">
        <f>IF($B697="","",INDEX(Suivi!$E:$E,711))</f>
        <v/>
      </c>
      <c r="E697" s="29">
        <f>IF($B697="","",INDEX(Suivi!$F:$F,711))</f>
        <v/>
      </c>
      <c r="F697">
        <f>IF($B697="","",INDEX(Suivi!$G:$G,711))</f>
        <v/>
      </c>
      <c r="H697">
        <f>IF(OR($B697="",NOT(ISNUMBER($D697))),"",IF($E697&lt;$D$2,"Passé",IF($D697&gt;$F$2,"À venir","Dans la période")))</f>
        <v/>
      </c>
      <c r="I697">
        <f>IF(OR($B697="",NOT(ISNUMBER($D697))),"",IF(AND($E697&lt;$D$2,$G697&lt;&gt;"X",$F697&lt;&gt;"Réalisé",$F697&lt;&gt;"Clôturé"),"RETARD",""))</f>
        <v/>
      </c>
      <c r="J697" s="29">
        <f>IF($B697="","",IF(INDEX(Dossiers!$F$4:$F$63,14)="","",INDEX(Dossiers!$F$4:$F$63,14)))</f>
        <v/>
      </c>
      <c r="K697" s="29">
        <f>IF($B697="","",IF(INDEX(Dossiers!$G$4:$G$63,14)="","",INDEX(Dossiers!$G$4:$G$63,14)))</f>
        <v/>
      </c>
    </row>
    <row r="698">
      <c r="A698">
        <f>IF($B698="","",INDEX(Dossiers!$E$4:$E$63,14))</f>
        <v/>
      </c>
      <c r="B698">
        <f>IF(INDEX(Suivi!$B:$B,712)="","",INDEX(Suivi!$B:$B,712))</f>
        <v/>
      </c>
      <c r="C698">
        <f>IF($B698="","",IF(INDEX(Suivi!$D:$D,712)="",INDEX(Suivi!$C:$C,712),INDEX(Suivi!$D:$D,712)))</f>
        <v/>
      </c>
      <c r="D698" s="29">
        <f>IF($B698="","",INDEX(Suivi!$E:$E,712))</f>
        <v/>
      </c>
      <c r="E698" s="29">
        <f>IF($B698="","",INDEX(Suivi!$F:$F,712))</f>
        <v/>
      </c>
      <c r="F698">
        <f>IF($B698="","",INDEX(Suivi!$G:$G,712))</f>
        <v/>
      </c>
      <c r="H698">
        <f>IF(OR($B698="",NOT(ISNUMBER($D698))),"",IF($E698&lt;$D$2,"Passé",IF($D698&gt;$F$2,"À venir","Dans la période")))</f>
        <v/>
      </c>
      <c r="I698">
        <f>IF(OR($B698="",NOT(ISNUMBER($D698))),"",IF(AND($E698&lt;$D$2,$G698&lt;&gt;"X",$F698&lt;&gt;"Réalisé",$F698&lt;&gt;"Clôturé"),"RETARD",""))</f>
        <v/>
      </c>
      <c r="J698" s="29">
        <f>IF($B698="","",IF(INDEX(Dossiers!$F$4:$F$63,14)="","",INDEX(Dossiers!$F$4:$F$63,14)))</f>
        <v/>
      </c>
      <c r="K698" s="29">
        <f>IF($B698="","",IF(INDEX(Dossiers!$G$4:$G$63,14)="","",INDEX(Dossiers!$G$4:$G$63,14)))</f>
        <v/>
      </c>
    </row>
    <row r="699">
      <c r="A699">
        <f>IF($B699="","",INDEX(Dossiers!$E$4:$E$63,14))</f>
        <v/>
      </c>
      <c r="B699">
        <f>IF(INDEX(Suivi!$B:$B,713)="","",INDEX(Suivi!$B:$B,713))</f>
        <v/>
      </c>
      <c r="C699">
        <f>IF($B699="","",IF(INDEX(Suivi!$D:$D,713)="",INDEX(Suivi!$C:$C,713),INDEX(Suivi!$D:$D,713)))</f>
        <v/>
      </c>
      <c r="D699" s="29">
        <f>IF($B699="","",INDEX(Suivi!$E:$E,713))</f>
        <v/>
      </c>
      <c r="E699" s="29">
        <f>IF($B699="","",INDEX(Suivi!$F:$F,713))</f>
        <v/>
      </c>
      <c r="F699">
        <f>IF($B699="","",INDEX(Suivi!$G:$G,713))</f>
        <v/>
      </c>
      <c r="H699">
        <f>IF(OR($B699="",NOT(ISNUMBER($D699))),"",IF($E699&lt;$D$2,"Passé",IF($D699&gt;$F$2,"À venir","Dans la période")))</f>
        <v/>
      </c>
      <c r="I699">
        <f>IF(OR($B699="",NOT(ISNUMBER($D699))),"",IF(AND($E699&lt;$D$2,$G699&lt;&gt;"X",$F699&lt;&gt;"Réalisé",$F699&lt;&gt;"Clôturé"),"RETARD",""))</f>
        <v/>
      </c>
      <c r="J699" s="29">
        <f>IF($B699="","",IF(INDEX(Dossiers!$F$4:$F$63,14)="","",INDEX(Dossiers!$F$4:$F$63,14)))</f>
        <v/>
      </c>
      <c r="K699" s="29">
        <f>IF($B699="","",IF(INDEX(Dossiers!$G$4:$G$63,14)="","",INDEX(Dossiers!$G$4:$G$63,14)))</f>
        <v/>
      </c>
    </row>
    <row r="700">
      <c r="A700">
        <f>IF($B700="","",INDEX(Dossiers!$E$4:$E$63,14))</f>
        <v/>
      </c>
      <c r="B700">
        <f>IF(INDEX(Suivi!$B:$B,714)="","",INDEX(Suivi!$B:$B,714))</f>
        <v/>
      </c>
      <c r="C700">
        <f>IF($B700="","",IF(INDEX(Suivi!$D:$D,714)="",INDEX(Suivi!$C:$C,714),INDEX(Suivi!$D:$D,714)))</f>
        <v/>
      </c>
      <c r="D700" s="29">
        <f>IF($B700="","",INDEX(Suivi!$E:$E,714))</f>
        <v/>
      </c>
      <c r="E700" s="29">
        <f>IF($B700="","",INDEX(Suivi!$F:$F,714))</f>
        <v/>
      </c>
      <c r="F700">
        <f>IF($B700="","",INDEX(Suivi!$G:$G,714))</f>
        <v/>
      </c>
      <c r="H700">
        <f>IF(OR($B700="",NOT(ISNUMBER($D700))),"",IF($E700&lt;$D$2,"Passé",IF($D700&gt;$F$2,"À venir","Dans la période")))</f>
        <v/>
      </c>
      <c r="I700">
        <f>IF(OR($B700="",NOT(ISNUMBER($D700))),"",IF(AND($E700&lt;$D$2,$G700&lt;&gt;"X",$F700&lt;&gt;"Réalisé",$F700&lt;&gt;"Clôturé"),"RETARD",""))</f>
        <v/>
      </c>
      <c r="J700" s="29">
        <f>IF($B700="","",IF(INDEX(Dossiers!$F$4:$F$63,14)="","",INDEX(Dossiers!$F$4:$F$63,14)))</f>
        <v/>
      </c>
      <c r="K700" s="29">
        <f>IF($B700="","",IF(INDEX(Dossiers!$G$4:$G$63,14)="","",INDEX(Dossiers!$G$4:$G$63,14)))</f>
        <v/>
      </c>
    </row>
    <row r="701">
      <c r="A701">
        <f>IF($B701="","",INDEX(Dossiers!$E$4:$E$63,14))</f>
        <v/>
      </c>
      <c r="B701">
        <f>IF(INDEX(Suivi!$B:$B,715)="","",INDEX(Suivi!$B:$B,715))</f>
        <v/>
      </c>
      <c r="C701">
        <f>IF($B701="","",IF(INDEX(Suivi!$D:$D,715)="",INDEX(Suivi!$C:$C,715),INDEX(Suivi!$D:$D,715)))</f>
        <v/>
      </c>
      <c r="D701" s="29">
        <f>IF($B701="","",INDEX(Suivi!$E:$E,715))</f>
        <v/>
      </c>
      <c r="E701" s="29">
        <f>IF($B701="","",INDEX(Suivi!$F:$F,715))</f>
        <v/>
      </c>
      <c r="F701">
        <f>IF($B701="","",INDEX(Suivi!$G:$G,715))</f>
        <v/>
      </c>
      <c r="H701">
        <f>IF(OR($B701="",NOT(ISNUMBER($D701))),"",IF($E701&lt;$D$2,"Passé",IF($D701&gt;$F$2,"À venir","Dans la période")))</f>
        <v/>
      </c>
      <c r="I701">
        <f>IF(OR($B701="",NOT(ISNUMBER($D701))),"",IF(AND($E701&lt;$D$2,$G701&lt;&gt;"X",$F701&lt;&gt;"Réalisé",$F701&lt;&gt;"Clôturé"),"RETARD",""))</f>
        <v/>
      </c>
      <c r="J701" s="29">
        <f>IF($B701="","",IF(INDEX(Dossiers!$F$4:$F$63,14)="","",INDEX(Dossiers!$F$4:$F$63,14)))</f>
        <v/>
      </c>
      <c r="K701" s="29">
        <f>IF($B701="","",IF(INDEX(Dossiers!$G$4:$G$63,14)="","",INDEX(Dossiers!$G$4:$G$63,14)))</f>
        <v/>
      </c>
    </row>
    <row r="702">
      <c r="A702">
        <f>IF($B702="","",INDEX(Dossiers!$E$4:$E$63,14))</f>
        <v/>
      </c>
      <c r="B702">
        <f>IF(INDEX(Suivi!$B:$B,716)="","",INDEX(Suivi!$B:$B,716))</f>
        <v/>
      </c>
      <c r="C702">
        <f>IF($B702="","",IF(INDEX(Suivi!$D:$D,716)="",INDEX(Suivi!$C:$C,716),INDEX(Suivi!$D:$D,716)))</f>
        <v/>
      </c>
      <c r="D702" s="29">
        <f>IF($B702="","",INDEX(Suivi!$E:$E,716))</f>
        <v/>
      </c>
      <c r="E702" s="29">
        <f>IF($B702="","",INDEX(Suivi!$F:$F,716))</f>
        <v/>
      </c>
      <c r="F702">
        <f>IF($B702="","",INDEX(Suivi!$G:$G,716))</f>
        <v/>
      </c>
      <c r="H702">
        <f>IF(OR($B702="",NOT(ISNUMBER($D702))),"",IF($E702&lt;$D$2,"Passé",IF($D702&gt;$F$2,"À venir","Dans la période")))</f>
        <v/>
      </c>
      <c r="I702">
        <f>IF(OR($B702="",NOT(ISNUMBER($D702))),"",IF(AND($E702&lt;$D$2,$G702&lt;&gt;"X",$F702&lt;&gt;"Réalisé",$F702&lt;&gt;"Clôturé"),"RETARD",""))</f>
        <v/>
      </c>
      <c r="J702" s="29">
        <f>IF($B702="","",IF(INDEX(Dossiers!$F$4:$F$63,14)="","",INDEX(Dossiers!$F$4:$F$63,14)))</f>
        <v/>
      </c>
      <c r="K702" s="29">
        <f>IF($B702="","",IF(INDEX(Dossiers!$G$4:$G$63,14)="","",INDEX(Dossiers!$G$4:$G$63,14)))</f>
        <v/>
      </c>
    </row>
    <row r="703">
      <c r="A703">
        <f>IF($B703="","",INDEX(Dossiers!$E$4:$E$63,14))</f>
        <v/>
      </c>
      <c r="B703">
        <f>IF(INDEX(Suivi!$B:$B,717)="","",INDEX(Suivi!$B:$B,717))</f>
        <v/>
      </c>
      <c r="C703">
        <f>IF($B703="","",IF(INDEX(Suivi!$D:$D,717)="",INDEX(Suivi!$C:$C,717),INDEX(Suivi!$D:$D,717)))</f>
        <v/>
      </c>
      <c r="D703" s="29">
        <f>IF($B703="","",INDEX(Suivi!$E:$E,717))</f>
        <v/>
      </c>
      <c r="E703" s="29">
        <f>IF($B703="","",INDEX(Suivi!$F:$F,717))</f>
        <v/>
      </c>
      <c r="F703">
        <f>IF($B703="","",INDEX(Suivi!$G:$G,717))</f>
        <v/>
      </c>
      <c r="H703">
        <f>IF(OR($B703="",NOT(ISNUMBER($D703))),"",IF($E703&lt;$D$2,"Passé",IF($D703&gt;$F$2,"À venir","Dans la période")))</f>
        <v/>
      </c>
      <c r="I703">
        <f>IF(OR($B703="",NOT(ISNUMBER($D703))),"",IF(AND($E703&lt;$D$2,$G703&lt;&gt;"X",$F703&lt;&gt;"Réalisé",$F703&lt;&gt;"Clôturé"),"RETARD",""))</f>
        <v/>
      </c>
      <c r="J703" s="29">
        <f>IF($B703="","",IF(INDEX(Dossiers!$F$4:$F$63,14)="","",INDEX(Dossiers!$F$4:$F$63,14)))</f>
        <v/>
      </c>
      <c r="K703" s="29">
        <f>IF($B703="","",IF(INDEX(Dossiers!$G$4:$G$63,14)="","",INDEX(Dossiers!$G$4:$G$63,14)))</f>
        <v/>
      </c>
    </row>
    <row r="704">
      <c r="A704">
        <f>IF($B704="","",INDEX(Dossiers!$E$4:$E$63,14))</f>
        <v/>
      </c>
      <c r="B704">
        <f>IF(INDEX(Suivi!$B:$B,718)="","",INDEX(Suivi!$B:$B,718))</f>
        <v/>
      </c>
      <c r="C704">
        <f>IF($B704="","",IF(INDEX(Suivi!$D:$D,718)="",INDEX(Suivi!$C:$C,718),INDEX(Suivi!$D:$D,718)))</f>
        <v/>
      </c>
      <c r="D704" s="29">
        <f>IF($B704="","",INDEX(Suivi!$E:$E,718))</f>
        <v/>
      </c>
      <c r="E704" s="29">
        <f>IF($B704="","",INDEX(Suivi!$F:$F,718))</f>
        <v/>
      </c>
      <c r="F704">
        <f>IF($B704="","",INDEX(Suivi!$G:$G,718))</f>
        <v/>
      </c>
      <c r="H704">
        <f>IF(OR($B704="",NOT(ISNUMBER($D704))),"",IF($E704&lt;$D$2,"Passé",IF($D704&gt;$F$2,"À venir","Dans la période")))</f>
        <v/>
      </c>
      <c r="I704">
        <f>IF(OR($B704="",NOT(ISNUMBER($D704))),"",IF(AND($E704&lt;$D$2,$G704&lt;&gt;"X",$F704&lt;&gt;"Réalisé",$F704&lt;&gt;"Clôturé"),"RETARD",""))</f>
        <v/>
      </c>
      <c r="J704" s="29">
        <f>IF($B704="","",IF(INDEX(Dossiers!$F$4:$F$63,14)="","",INDEX(Dossiers!$F$4:$F$63,14)))</f>
        <v/>
      </c>
      <c r="K704" s="29">
        <f>IF($B704="","",IF(INDEX(Dossiers!$G$4:$G$63,14)="","",INDEX(Dossiers!$G$4:$G$63,14)))</f>
        <v/>
      </c>
    </row>
    <row r="705">
      <c r="A705">
        <f>IF($B705="","",INDEX(Dossiers!$E$4:$E$63,14))</f>
        <v/>
      </c>
      <c r="B705">
        <f>IF(INDEX(Suivi!$B:$B,719)="","",INDEX(Suivi!$B:$B,719))</f>
        <v/>
      </c>
      <c r="C705">
        <f>IF($B705="","",IF(INDEX(Suivi!$D:$D,719)="",INDEX(Suivi!$C:$C,719),INDEX(Suivi!$D:$D,719)))</f>
        <v/>
      </c>
      <c r="D705" s="29">
        <f>IF($B705="","",INDEX(Suivi!$E:$E,719))</f>
        <v/>
      </c>
      <c r="E705" s="29">
        <f>IF($B705="","",INDEX(Suivi!$F:$F,719))</f>
        <v/>
      </c>
      <c r="F705">
        <f>IF($B705="","",INDEX(Suivi!$G:$G,719))</f>
        <v/>
      </c>
      <c r="H705">
        <f>IF(OR($B705="",NOT(ISNUMBER($D705))),"",IF($E705&lt;$D$2,"Passé",IF($D705&gt;$F$2,"À venir","Dans la période")))</f>
        <v/>
      </c>
      <c r="I705">
        <f>IF(OR($B705="",NOT(ISNUMBER($D705))),"",IF(AND($E705&lt;$D$2,$G705&lt;&gt;"X",$F705&lt;&gt;"Réalisé",$F705&lt;&gt;"Clôturé"),"RETARD",""))</f>
        <v/>
      </c>
      <c r="J705" s="29">
        <f>IF($B705="","",IF(INDEX(Dossiers!$F$4:$F$63,14)="","",INDEX(Dossiers!$F$4:$F$63,14)))</f>
        <v/>
      </c>
      <c r="K705" s="29">
        <f>IF($B705="","",IF(INDEX(Dossiers!$G$4:$G$63,14)="","",INDEX(Dossiers!$G$4:$G$63,14)))</f>
        <v/>
      </c>
    </row>
    <row r="706">
      <c r="A706">
        <f>IF($B706="","",INDEX(Dossiers!$E$4:$E$63,14))</f>
        <v/>
      </c>
      <c r="B706">
        <f>IF(INDEX(Suivi!$B:$B,720)="","",INDEX(Suivi!$B:$B,720))</f>
        <v/>
      </c>
      <c r="C706">
        <f>IF($B706="","",IF(INDEX(Suivi!$D:$D,720)="",INDEX(Suivi!$C:$C,720),INDEX(Suivi!$D:$D,720)))</f>
        <v/>
      </c>
      <c r="D706" s="29">
        <f>IF($B706="","",INDEX(Suivi!$E:$E,720))</f>
        <v/>
      </c>
      <c r="E706" s="29">
        <f>IF($B706="","",INDEX(Suivi!$F:$F,720))</f>
        <v/>
      </c>
      <c r="F706">
        <f>IF($B706="","",INDEX(Suivi!$G:$G,720))</f>
        <v/>
      </c>
      <c r="H706">
        <f>IF(OR($B706="",NOT(ISNUMBER($D706))),"",IF($E706&lt;$D$2,"Passé",IF($D706&gt;$F$2,"À venir","Dans la période")))</f>
        <v/>
      </c>
      <c r="I706">
        <f>IF(OR($B706="",NOT(ISNUMBER($D706))),"",IF(AND($E706&lt;$D$2,$G706&lt;&gt;"X",$F706&lt;&gt;"Réalisé",$F706&lt;&gt;"Clôturé"),"RETARD",""))</f>
        <v/>
      </c>
      <c r="J706" s="29">
        <f>IF($B706="","",IF(INDEX(Dossiers!$F$4:$F$63,14)="","",INDEX(Dossiers!$F$4:$F$63,14)))</f>
        <v/>
      </c>
      <c r="K706" s="29">
        <f>IF($B706="","",IF(INDEX(Dossiers!$G$4:$G$63,14)="","",INDEX(Dossiers!$G$4:$G$63,14)))</f>
        <v/>
      </c>
    </row>
    <row r="707">
      <c r="A707">
        <f>IF($B707="","",INDEX(Dossiers!$E$4:$E$63,14))</f>
        <v/>
      </c>
      <c r="B707">
        <f>IF(INDEX(Suivi!$B:$B,721)="","",INDEX(Suivi!$B:$B,721))</f>
        <v/>
      </c>
      <c r="C707">
        <f>IF($B707="","",IF(INDEX(Suivi!$D:$D,721)="",INDEX(Suivi!$C:$C,721),INDEX(Suivi!$D:$D,721)))</f>
        <v/>
      </c>
      <c r="D707" s="29">
        <f>IF($B707="","",INDEX(Suivi!$E:$E,721))</f>
        <v/>
      </c>
      <c r="E707" s="29">
        <f>IF($B707="","",INDEX(Suivi!$F:$F,721))</f>
        <v/>
      </c>
      <c r="F707">
        <f>IF($B707="","",INDEX(Suivi!$G:$G,721))</f>
        <v/>
      </c>
      <c r="H707">
        <f>IF(OR($B707="",NOT(ISNUMBER($D707))),"",IF($E707&lt;$D$2,"Passé",IF($D707&gt;$F$2,"À venir","Dans la période")))</f>
        <v/>
      </c>
      <c r="I707">
        <f>IF(OR($B707="",NOT(ISNUMBER($D707))),"",IF(AND($E707&lt;$D$2,$G707&lt;&gt;"X",$F707&lt;&gt;"Réalisé",$F707&lt;&gt;"Clôturé"),"RETARD",""))</f>
        <v/>
      </c>
      <c r="J707" s="29">
        <f>IF($B707="","",IF(INDEX(Dossiers!$F$4:$F$63,14)="","",INDEX(Dossiers!$F$4:$F$63,14)))</f>
        <v/>
      </c>
      <c r="K707" s="29">
        <f>IF($B707="","",IF(INDEX(Dossiers!$G$4:$G$63,14)="","",INDEX(Dossiers!$G$4:$G$63,14)))</f>
        <v/>
      </c>
    </row>
    <row r="708">
      <c r="A708">
        <f>IF($B708="","",INDEX(Dossiers!$E$4:$E$63,14))</f>
        <v/>
      </c>
      <c r="B708">
        <f>IF(INDEX(Suivi!$B:$B,722)="","",INDEX(Suivi!$B:$B,722))</f>
        <v/>
      </c>
      <c r="C708">
        <f>IF($B708="","",IF(INDEX(Suivi!$D:$D,722)="",INDEX(Suivi!$C:$C,722),INDEX(Suivi!$D:$D,722)))</f>
        <v/>
      </c>
      <c r="D708" s="29">
        <f>IF($B708="","",INDEX(Suivi!$E:$E,722))</f>
        <v/>
      </c>
      <c r="E708" s="29">
        <f>IF($B708="","",INDEX(Suivi!$F:$F,722))</f>
        <v/>
      </c>
      <c r="F708">
        <f>IF($B708="","",INDEX(Suivi!$G:$G,722))</f>
        <v/>
      </c>
      <c r="H708">
        <f>IF(OR($B708="",NOT(ISNUMBER($D708))),"",IF($E708&lt;$D$2,"Passé",IF($D708&gt;$F$2,"À venir","Dans la période")))</f>
        <v/>
      </c>
      <c r="I708">
        <f>IF(OR($B708="",NOT(ISNUMBER($D708))),"",IF(AND($E708&lt;$D$2,$G708&lt;&gt;"X",$F708&lt;&gt;"Réalisé",$F708&lt;&gt;"Clôturé"),"RETARD",""))</f>
        <v/>
      </c>
      <c r="J708" s="29">
        <f>IF($B708="","",IF(INDEX(Dossiers!$F$4:$F$63,14)="","",INDEX(Dossiers!$F$4:$F$63,14)))</f>
        <v/>
      </c>
      <c r="K708" s="29">
        <f>IF($B708="","",IF(INDEX(Dossiers!$G$4:$G$63,14)="","",INDEX(Dossiers!$G$4:$G$63,14)))</f>
        <v/>
      </c>
    </row>
    <row r="709">
      <c r="A709">
        <f>IF($B709="","",INDEX(Dossiers!$E$4:$E$63,14))</f>
        <v/>
      </c>
      <c r="B709">
        <f>IF(INDEX(Suivi!$B:$B,723)="","",INDEX(Suivi!$B:$B,723))</f>
        <v/>
      </c>
      <c r="C709">
        <f>IF($B709="","",IF(INDEX(Suivi!$D:$D,723)="",INDEX(Suivi!$C:$C,723),INDEX(Suivi!$D:$D,723)))</f>
        <v/>
      </c>
      <c r="D709" s="29">
        <f>IF($B709="","",INDEX(Suivi!$E:$E,723))</f>
        <v/>
      </c>
      <c r="E709" s="29">
        <f>IF($B709="","",INDEX(Suivi!$F:$F,723))</f>
        <v/>
      </c>
      <c r="F709">
        <f>IF($B709="","",INDEX(Suivi!$G:$G,723))</f>
        <v/>
      </c>
      <c r="H709">
        <f>IF(OR($B709="",NOT(ISNUMBER($D709))),"",IF($E709&lt;$D$2,"Passé",IF($D709&gt;$F$2,"À venir","Dans la période")))</f>
        <v/>
      </c>
      <c r="I709">
        <f>IF(OR($B709="",NOT(ISNUMBER($D709))),"",IF(AND($E709&lt;$D$2,$G709&lt;&gt;"X",$F709&lt;&gt;"Réalisé",$F709&lt;&gt;"Clôturé"),"RETARD",""))</f>
        <v/>
      </c>
      <c r="J709" s="29">
        <f>IF($B709="","",IF(INDEX(Dossiers!$F$4:$F$63,14)="","",INDEX(Dossiers!$F$4:$F$63,14)))</f>
        <v/>
      </c>
      <c r="K709" s="29">
        <f>IF($B709="","",IF(INDEX(Dossiers!$G$4:$G$63,14)="","",INDEX(Dossiers!$G$4:$G$63,14)))</f>
        <v/>
      </c>
    </row>
    <row r="710">
      <c r="A710">
        <f>IF($B710="","",INDEX(Dossiers!$E$4:$E$63,14))</f>
        <v/>
      </c>
      <c r="B710">
        <f>IF(INDEX(Suivi!$B:$B,724)="","",INDEX(Suivi!$B:$B,724))</f>
        <v/>
      </c>
      <c r="C710">
        <f>IF($B710="","",IF(INDEX(Suivi!$D:$D,724)="",INDEX(Suivi!$C:$C,724),INDEX(Suivi!$D:$D,724)))</f>
        <v/>
      </c>
      <c r="D710" s="29">
        <f>IF($B710="","",INDEX(Suivi!$E:$E,724))</f>
        <v/>
      </c>
      <c r="E710" s="29">
        <f>IF($B710="","",INDEX(Suivi!$F:$F,724))</f>
        <v/>
      </c>
      <c r="F710">
        <f>IF($B710="","",INDEX(Suivi!$G:$G,724))</f>
        <v/>
      </c>
      <c r="H710">
        <f>IF(OR($B710="",NOT(ISNUMBER($D710))),"",IF($E710&lt;$D$2,"Passé",IF($D710&gt;$F$2,"À venir","Dans la période")))</f>
        <v/>
      </c>
      <c r="I710">
        <f>IF(OR($B710="",NOT(ISNUMBER($D710))),"",IF(AND($E710&lt;$D$2,$G710&lt;&gt;"X",$F710&lt;&gt;"Réalisé",$F710&lt;&gt;"Clôturé"),"RETARD",""))</f>
        <v/>
      </c>
      <c r="J710" s="29">
        <f>IF($B710="","",IF(INDEX(Dossiers!$F$4:$F$63,14)="","",INDEX(Dossiers!$F$4:$F$63,14)))</f>
        <v/>
      </c>
      <c r="K710" s="29">
        <f>IF($B710="","",IF(INDEX(Dossiers!$G$4:$G$63,14)="","",INDEX(Dossiers!$G$4:$G$63,14)))</f>
        <v/>
      </c>
    </row>
    <row r="711">
      <c r="A711">
        <f>IF($B711="","",INDEX(Dossiers!$E$4:$E$63,14))</f>
        <v/>
      </c>
      <c r="B711">
        <f>IF(INDEX(Suivi!$B:$B,725)="","",INDEX(Suivi!$B:$B,725))</f>
        <v/>
      </c>
      <c r="C711">
        <f>IF($B711="","",IF(INDEX(Suivi!$D:$D,725)="",INDEX(Suivi!$C:$C,725),INDEX(Suivi!$D:$D,725)))</f>
        <v/>
      </c>
      <c r="D711" s="29">
        <f>IF($B711="","",INDEX(Suivi!$E:$E,725))</f>
        <v/>
      </c>
      <c r="E711" s="29">
        <f>IF($B711="","",INDEX(Suivi!$F:$F,725))</f>
        <v/>
      </c>
      <c r="F711">
        <f>IF($B711="","",INDEX(Suivi!$G:$G,725))</f>
        <v/>
      </c>
      <c r="H711">
        <f>IF(OR($B711="",NOT(ISNUMBER($D711))),"",IF($E711&lt;$D$2,"Passé",IF($D711&gt;$F$2,"À venir","Dans la période")))</f>
        <v/>
      </c>
      <c r="I711">
        <f>IF(OR($B711="",NOT(ISNUMBER($D711))),"",IF(AND($E711&lt;$D$2,$G711&lt;&gt;"X",$F711&lt;&gt;"Réalisé",$F711&lt;&gt;"Clôturé"),"RETARD",""))</f>
        <v/>
      </c>
      <c r="J711" s="29">
        <f>IF($B711="","",IF(INDEX(Dossiers!$F$4:$F$63,14)="","",INDEX(Dossiers!$F$4:$F$63,14)))</f>
        <v/>
      </c>
      <c r="K711" s="29">
        <f>IF($B711="","",IF(INDEX(Dossiers!$G$4:$G$63,14)="","",INDEX(Dossiers!$G$4:$G$63,14)))</f>
        <v/>
      </c>
    </row>
    <row r="712">
      <c r="A712">
        <f>IF($B712="","",INDEX(Dossiers!$E$4:$E$63,14))</f>
        <v/>
      </c>
      <c r="B712">
        <f>IF(INDEX(Suivi!$B:$B,726)="","",INDEX(Suivi!$B:$B,726))</f>
        <v/>
      </c>
      <c r="C712">
        <f>IF($B712="","",IF(INDEX(Suivi!$D:$D,726)="",INDEX(Suivi!$C:$C,726),INDEX(Suivi!$D:$D,726)))</f>
        <v/>
      </c>
      <c r="D712" s="29">
        <f>IF($B712="","",INDEX(Suivi!$E:$E,726))</f>
        <v/>
      </c>
      <c r="E712" s="29">
        <f>IF($B712="","",INDEX(Suivi!$F:$F,726))</f>
        <v/>
      </c>
      <c r="F712">
        <f>IF($B712="","",INDEX(Suivi!$G:$G,726))</f>
        <v/>
      </c>
      <c r="H712">
        <f>IF(OR($B712="",NOT(ISNUMBER($D712))),"",IF($E712&lt;$D$2,"Passé",IF($D712&gt;$F$2,"À venir","Dans la période")))</f>
        <v/>
      </c>
      <c r="I712">
        <f>IF(OR($B712="",NOT(ISNUMBER($D712))),"",IF(AND($E712&lt;$D$2,$G712&lt;&gt;"X",$F712&lt;&gt;"Réalisé",$F712&lt;&gt;"Clôturé"),"RETARD",""))</f>
        <v/>
      </c>
      <c r="J712" s="29">
        <f>IF($B712="","",IF(INDEX(Dossiers!$F$4:$F$63,14)="","",INDEX(Dossiers!$F$4:$F$63,14)))</f>
        <v/>
      </c>
      <c r="K712" s="29">
        <f>IF($B712="","",IF(INDEX(Dossiers!$G$4:$G$63,14)="","",INDEX(Dossiers!$G$4:$G$63,14)))</f>
        <v/>
      </c>
    </row>
    <row r="713">
      <c r="A713">
        <f>IF($B713="","",INDEX(Dossiers!$E$4:$E$63,14))</f>
        <v/>
      </c>
      <c r="B713">
        <f>IF(INDEX(Suivi!$B:$B,727)="","",INDEX(Suivi!$B:$B,727))</f>
        <v/>
      </c>
      <c r="C713">
        <f>IF($B713="","",IF(INDEX(Suivi!$D:$D,727)="",INDEX(Suivi!$C:$C,727),INDEX(Suivi!$D:$D,727)))</f>
        <v/>
      </c>
      <c r="D713" s="29">
        <f>IF($B713="","",INDEX(Suivi!$E:$E,727))</f>
        <v/>
      </c>
      <c r="E713" s="29">
        <f>IF($B713="","",INDEX(Suivi!$F:$F,727))</f>
        <v/>
      </c>
      <c r="F713">
        <f>IF($B713="","",INDEX(Suivi!$G:$G,727))</f>
        <v/>
      </c>
      <c r="H713">
        <f>IF(OR($B713="",NOT(ISNUMBER($D713))),"",IF($E713&lt;$D$2,"Passé",IF($D713&gt;$F$2,"À venir","Dans la période")))</f>
        <v/>
      </c>
      <c r="I713">
        <f>IF(OR($B713="",NOT(ISNUMBER($D713))),"",IF(AND($E713&lt;$D$2,$G713&lt;&gt;"X",$F713&lt;&gt;"Réalisé",$F713&lt;&gt;"Clôturé"),"RETARD",""))</f>
        <v/>
      </c>
      <c r="J713" s="29">
        <f>IF($B713="","",IF(INDEX(Dossiers!$F$4:$F$63,14)="","",INDEX(Dossiers!$F$4:$F$63,14)))</f>
        <v/>
      </c>
      <c r="K713" s="29">
        <f>IF($B713="","",IF(INDEX(Dossiers!$G$4:$G$63,14)="","",INDEX(Dossiers!$G$4:$G$63,14)))</f>
        <v/>
      </c>
    </row>
    <row r="714">
      <c r="A714">
        <f>IF($B714="","",INDEX(Dossiers!$E$4:$E$63,14))</f>
        <v/>
      </c>
      <c r="B714">
        <f>IF(INDEX(Suivi!$B:$B,728)="","",INDEX(Suivi!$B:$B,728))</f>
        <v/>
      </c>
      <c r="C714">
        <f>IF($B714="","",IF(INDEX(Suivi!$D:$D,728)="",INDEX(Suivi!$C:$C,728),INDEX(Suivi!$D:$D,728)))</f>
        <v/>
      </c>
      <c r="D714" s="29">
        <f>IF($B714="","",INDEX(Suivi!$E:$E,728))</f>
        <v/>
      </c>
      <c r="E714" s="29">
        <f>IF($B714="","",INDEX(Suivi!$F:$F,728))</f>
        <v/>
      </c>
      <c r="F714">
        <f>IF($B714="","",INDEX(Suivi!$G:$G,728))</f>
        <v/>
      </c>
      <c r="H714">
        <f>IF(OR($B714="",NOT(ISNUMBER($D714))),"",IF($E714&lt;$D$2,"Passé",IF($D714&gt;$F$2,"À venir","Dans la période")))</f>
        <v/>
      </c>
      <c r="I714">
        <f>IF(OR($B714="",NOT(ISNUMBER($D714))),"",IF(AND($E714&lt;$D$2,$G714&lt;&gt;"X",$F714&lt;&gt;"Réalisé",$F714&lt;&gt;"Clôturé"),"RETARD",""))</f>
        <v/>
      </c>
      <c r="J714" s="29">
        <f>IF($B714="","",IF(INDEX(Dossiers!$F$4:$F$63,14)="","",INDEX(Dossiers!$F$4:$F$63,14)))</f>
        <v/>
      </c>
      <c r="K714" s="29">
        <f>IF($B714="","",IF(INDEX(Dossiers!$G$4:$G$63,14)="","",INDEX(Dossiers!$G$4:$G$63,14)))</f>
        <v/>
      </c>
    </row>
    <row r="715">
      <c r="A715">
        <f>IF($B715="","",INDEX(Dossiers!$E$4:$E$63,14))</f>
        <v/>
      </c>
      <c r="B715">
        <f>IF(INDEX(Suivi!$B:$B,729)="","",INDEX(Suivi!$B:$B,729))</f>
        <v/>
      </c>
      <c r="C715">
        <f>IF($B715="","",IF(INDEX(Suivi!$D:$D,729)="",INDEX(Suivi!$C:$C,729),INDEX(Suivi!$D:$D,729)))</f>
        <v/>
      </c>
      <c r="D715" s="29">
        <f>IF($B715="","",INDEX(Suivi!$E:$E,729))</f>
        <v/>
      </c>
      <c r="E715" s="29">
        <f>IF($B715="","",INDEX(Suivi!$F:$F,729))</f>
        <v/>
      </c>
      <c r="F715">
        <f>IF($B715="","",INDEX(Suivi!$G:$G,729))</f>
        <v/>
      </c>
      <c r="H715">
        <f>IF(OR($B715="",NOT(ISNUMBER($D715))),"",IF($E715&lt;$D$2,"Passé",IF($D715&gt;$F$2,"À venir","Dans la période")))</f>
        <v/>
      </c>
      <c r="I715">
        <f>IF(OR($B715="",NOT(ISNUMBER($D715))),"",IF(AND($E715&lt;$D$2,$G715&lt;&gt;"X",$F715&lt;&gt;"Réalisé",$F715&lt;&gt;"Clôturé"),"RETARD",""))</f>
        <v/>
      </c>
      <c r="J715" s="29">
        <f>IF($B715="","",IF(INDEX(Dossiers!$F$4:$F$63,14)="","",INDEX(Dossiers!$F$4:$F$63,14)))</f>
        <v/>
      </c>
      <c r="K715" s="29">
        <f>IF($B715="","",IF(INDEX(Dossiers!$G$4:$G$63,14)="","",INDEX(Dossiers!$G$4:$G$63,14)))</f>
        <v/>
      </c>
    </row>
    <row r="716">
      <c r="A716">
        <f>IF($B716="","",INDEX(Dossiers!$E$4:$E$63,14))</f>
        <v/>
      </c>
      <c r="B716">
        <f>IF(INDEX(Suivi!$B:$B,730)="","",INDEX(Suivi!$B:$B,730))</f>
        <v/>
      </c>
      <c r="C716">
        <f>IF($B716="","",IF(INDEX(Suivi!$D:$D,730)="",INDEX(Suivi!$C:$C,730),INDEX(Suivi!$D:$D,730)))</f>
        <v/>
      </c>
      <c r="D716" s="29">
        <f>IF($B716="","",INDEX(Suivi!$E:$E,730))</f>
        <v/>
      </c>
      <c r="E716" s="29">
        <f>IF($B716="","",INDEX(Suivi!$F:$F,730))</f>
        <v/>
      </c>
      <c r="F716">
        <f>IF($B716="","",INDEX(Suivi!$G:$G,730))</f>
        <v/>
      </c>
      <c r="H716">
        <f>IF(OR($B716="",NOT(ISNUMBER($D716))),"",IF($E716&lt;$D$2,"Passé",IF($D716&gt;$F$2,"À venir","Dans la période")))</f>
        <v/>
      </c>
      <c r="I716">
        <f>IF(OR($B716="",NOT(ISNUMBER($D716))),"",IF(AND($E716&lt;$D$2,$G716&lt;&gt;"X",$F716&lt;&gt;"Réalisé",$F716&lt;&gt;"Clôturé"),"RETARD",""))</f>
        <v/>
      </c>
      <c r="J716" s="29">
        <f>IF($B716="","",IF(INDEX(Dossiers!$F$4:$F$63,14)="","",INDEX(Dossiers!$F$4:$F$63,14)))</f>
        <v/>
      </c>
      <c r="K716" s="29">
        <f>IF($B716="","",IF(INDEX(Dossiers!$G$4:$G$63,14)="","",INDEX(Dossiers!$G$4:$G$63,14)))</f>
        <v/>
      </c>
    </row>
    <row r="717">
      <c r="A717">
        <f>IF($B717="","",INDEX(Dossiers!$E$4:$E$63,14))</f>
        <v/>
      </c>
      <c r="B717">
        <f>IF(INDEX(Suivi!$B:$B,731)="","",INDEX(Suivi!$B:$B,731))</f>
        <v/>
      </c>
      <c r="C717">
        <f>IF($B717="","",IF(INDEX(Suivi!$D:$D,731)="",INDEX(Suivi!$C:$C,731),INDEX(Suivi!$D:$D,731)))</f>
        <v/>
      </c>
      <c r="D717" s="29">
        <f>IF($B717="","",INDEX(Suivi!$E:$E,731))</f>
        <v/>
      </c>
      <c r="E717" s="29">
        <f>IF($B717="","",INDEX(Suivi!$F:$F,731))</f>
        <v/>
      </c>
      <c r="F717">
        <f>IF($B717="","",INDEX(Suivi!$G:$G,731))</f>
        <v/>
      </c>
      <c r="H717">
        <f>IF(OR($B717="",NOT(ISNUMBER($D717))),"",IF($E717&lt;$D$2,"Passé",IF($D717&gt;$F$2,"À venir","Dans la période")))</f>
        <v/>
      </c>
      <c r="I717">
        <f>IF(OR($B717="",NOT(ISNUMBER($D717))),"",IF(AND($E717&lt;$D$2,$G717&lt;&gt;"X",$F717&lt;&gt;"Réalisé",$F717&lt;&gt;"Clôturé"),"RETARD",""))</f>
        <v/>
      </c>
      <c r="J717" s="29">
        <f>IF($B717="","",IF(INDEX(Dossiers!$F$4:$F$63,14)="","",INDEX(Dossiers!$F$4:$F$63,14)))</f>
        <v/>
      </c>
      <c r="K717" s="29">
        <f>IF($B717="","",IF(INDEX(Dossiers!$G$4:$G$63,14)="","",INDEX(Dossiers!$G$4:$G$63,14)))</f>
        <v/>
      </c>
    </row>
    <row r="718">
      <c r="A718">
        <f>IF($B718="","",INDEX(Dossiers!$E$4:$E$63,14))</f>
        <v/>
      </c>
      <c r="B718">
        <f>IF(INDEX(Suivi!$B:$B,732)="","",INDEX(Suivi!$B:$B,732))</f>
        <v/>
      </c>
      <c r="C718">
        <f>IF($B718="","",IF(INDEX(Suivi!$D:$D,732)="",INDEX(Suivi!$C:$C,732),INDEX(Suivi!$D:$D,732)))</f>
        <v/>
      </c>
      <c r="D718" s="29">
        <f>IF($B718="","",INDEX(Suivi!$E:$E,732))</f>
        <v/>
      </c>
      <c r="E718" s="29">
        <f>IF($B718="","",INDEX(Suivi!$F:$F,732))</f>
        <v/>
      </c>
      <c r="F718">
        <f>IF($B718="","",INDEX(Suivi!$G:$G,732))</f>
        <v/>
      </c>
      <c r="H718">
        <f>IF(OR($B718="",NOT(ISNUMBER($D718))),"",IF($E718&lt;$D$2,"Passé",IF($D718&gt;$F$2,"À venir","Dans la période")))</f>
        <v/>
      </c>
      <c r="I718">
        <f>IF(OR($B718="",NOT(ISNUMBER($D718))),"",IF(AND($E718&lt;$D$2,$G718&lt;&gt;"X",$F718&lt;&gt;"Réalisé",$F718&lt;&gt;"Clôturé"),"RETARD",""))</f>
        <v/>
      </c>
      <c r="J718" s="29">
        <f>IF($B718="","",IF(INDEX(Dossiers!$F$4:$F$63,14)="","",INDEX(Dossiers!$F$4:$F$63,14)))</f>
        <v/>
      </c>
      <c r="K718" s="29">
        <f>IF($B718="","",IF(INDEX(Dossiers!$G$4:$G$63,14)="","",INDEX(Dossiers!$G$4:$G$63,14)))</f>
        <v/>
      </c>
    </row>
    <row r="719">
      <c r="A719">
        <f>IF($B719="","",INDEX(Dossiers!$E$4:$E$63,14))</f>
        <v/>
      </c>
      <c r="B719">
        <f>IF(INDEX(Suivi!$B:$B,733)="","",INDEX(Suivi!$B:$B,733))</f>
        <v/>
      </c>
      <c r="C719">
        <f>IF($B719="","",IF(INDEX(Suivi!$D:$D,733)="",INDEX(Suivi!$C:$C,733),INDEX(Suivi!$D:$D,733)))</f>
        <v/>
      </c>
      <c r="D719" s="29">
        <f>IF($B719="","",INDEX(Suivi!$E:$E,733))</f>
        <v/>
      </c>
      <c r="E719" s="29">
        <f>IF($B719="","",INDEX(Suivi!$F:$F,733))</f>
        <v/>
      </c>
      <c r="F719">
        <f>IF($B719="","",INDEX(Suivi!$G:$G,733))</f>
        <v/>
      </c>
      <c r="H719">
        <f>IF(OR($B719="",NOT(ISNUMBER($D719))),"",IF($E719&lt;$D$2,"Passé",IF($D719&gt;$F$2,"À venir","Dans la période")))</f>
        <v/>
      </c>
      <c r="I719">
        <f>IF(OR($B719="",NOT(ISNUMBER($D719))),"",IF(AND($E719&lt;$D$2,$G719&lt;&gt;"X",$F719&lt;&gt;"Réalisé",$F719&lt;&gt;"Clôturé"),"RETARD",""))</f>
        <v/>
      </c>
      <c r="J719" s="29">
        <f>IF($B719="","",IF(INDEX(Dossiers!$F$4:$F$63,14)="","",INDEX(Dossiers!$F$4:$F$63,14)))</f>
        <v/>
      </c>
      <c r="K719" s="29">
        <f>IF($B719="","",IF(INDEX(Dossiers!$G$4:$G$63,14)="","",INDEX(Dossiers!$G$4:$G$63,14)))</f>
        <v/>
      </c>
    </row>
    <row r="720">
      <c r="A720">
        <f>IF($B720="","",INDEX(Dossiers!$E$4:$E$63,14))</f>
        <v/>
      </c>
      <c r="B720">
        <f>IF(INDEX(Suivi!$B:$B,734)="","",INDEX(Suivi!$B:$B,734))</f>
        <v/>
      </c>
      <c r="C720">
        <f>IF($B720="","",IF(INDEX(Suivi!$D:$D,734)="",INDEX(Suivi!$C:$C,734),INDEX(Suivi!$D:$D,734)))</f>
        <v/>
      </c>
      <c r="D720" s="29">
        <f>IF($B720="","",INDEX(Suivi!$E:$E,734))</f>
        <v/>
      </c>
      <c r="E720" s="29">
        <f>IF($B720="","",INDEX(Suivi!$F:$F,734))</f>
        <v/>
      </c>
      <c r="F720">
        <f>IF($B720="","",INDEX(Suivi!$G:$G,734))</f>
        <v/>
      </c>
      <c r="H720">
        <f>IF(OR($B720="",NOT(ISNUMBER($D720))),"",IF($E720&lt;$D$2,"Passé",IF($D720&gt;$F$2,"À venir","Dans la période")))</f>
        <v/>
      </c>
      <c r="I720">
        <f>IF(OR($B720="",NOT(ISNUMBER($D720))),"",IF(AND($E720&lt;$D$2,$G720&lt;&gt;"X",$F720&lt;&gt;"Réalisé",$F720&lt;&gt;"Clôturé"),"RETARD",""))</f>
        <v/>
      </c>
      <c r="J720" s="29">
        <f>IF($B720="","",IF(INDEX(Dossiers!$F$4:$F$63,14)="","",INDEX(Dossiers!$F$4:$F$63,14)))</f>
        <v/>
      </c>
      <c r="K720" s="29">
        <f>IF($B720="","",IF(INDEX(Dossiers!$G$4:$G$63,14)="","",INDEX(Dossiers!$G$4:$G$63,14)))</f>
        <v/>
      </c>
    </row>
    <row r="721">
      <c r="A721">
        <f>IF($B721="","",INDEX(Dossiers!$E$4:$E$63,14))</f>
        <v/>
      </c>
      <c r="B721">
        <f>IF(INDEX(Suivi!$B:$B,735)="","",INDEX(Suivi!$B:$B,735))</f>
        <v/>
      </c>
      <c r="C721">
        <f>IF($B721="","",IF(INDEX(Suivi!$D:$D,735)="",INDEX(Suivi!$C:$C,735),INDEX(Suivi!$D:$D,735)))</f>
        <v/>
      </c>
      <c r="D721" s="29">
        <f>IF($B721="","",INDEX(Suivi!$E:$E,735))</f>
        <v/>
      </c>
      <c r="E721" s="29">
        <f>IF($B721="","",INDEX(Suivi!$F:$F,735))</f>
        <v/>
      </c>
      <c r="F721">
        <f>IF($B721="","",INDEX(Suivi!$G:$G,735))</f>
        <v/>
      </c>
      <c r="H721">
        <f>IF(OR($B721="",NOT(ISNUMBER($D721))),"",IF($E721&lt;$D$2,"Passé",IF($D721&gt;$F$2,"À venir","Dans la période")))</f>
        <v/>
      </c>
      <c r="I721">
        <f>IF(OR($B721="",NOT(ISNUMBER($D721))),"",IF(AND($E721&lt;$D$2,$G721&lt;&gt;"X",$F721&lt;&gt;"Réalisé",$F721&lt;&gt;"Clôturé"),"RETARD",""))</f>
        <v/>
      </c>
      <c r="J721" s="29">
        <f>IF($B721="","",IF(INDEX(Dossiers!$F$4:$F$63,14)="","",INDEX(Dossiers!$F$4:$F$63,14)))</f>
        <v/>
      </c>
      <c r="K721" s="29">
        <f>IF($B721="","",IF(INDEX(Dossiers!$G$4:$G$63,14)="","",INDEX(Dossiers!$G$4:$G$63,14)))</f>
        <v/>
      </c>
    </row>
    <row r="722">
      <c r="A722">
        <f>IF($B722="","",INDEX(Dossiers!$E$4:$E$63,14))</f>
        <v/>
      </c>
      <c r="B722">
        <f>IF(INDEX(Suivi!$B:$B,736)="","",INDEX(Suivi!$B:$B,736))</f>
        <v/>
      </c>
      <c r="C722">
        <f>IF($B722="","",IF(INDEX(Suivi!$D:$D,736)="",INDEX(Suivi!$C:$C,736),INDEX(Suivi!$D:$D,736)))</f>
        <v/>
      </c>
      <c r="D722" s="29">
        <f>IF($B722="","",INDEX(Suivi!$E:$E,736))</f>
        <v/>
      </c>
      <c r="E722" s="29">
        <f>IF($B722="","",INDEX(Suivi!$F:$F,736))</f>
        <v/>
      </c>
      <c r="F722">
        <f>IF($B722="","",INDEX(Suivi!$G:$G,736))</f>
        <v/>
      </c>
      <c r="H722">
        <f>IF(OR($B722="",NOT(ISNUMBER($D722))),"",IF($E722&lt;$D$2,"Passé",IF($D722&gt;$F$2,"À venir","Dans la période")))</f>
        <v/>
      </c>
      <c r="I722">
        <f>IF(OR($B722="",NOT(ISNUMBER($D722))),"",IF(AND($E722&lt;$D$2,$G722&lt;&gt;"X",$F722&lt;&gt;"Réalisé",$F722&lt;&gt;"Clôturé"),"RETARD",""))</f>
        <v/>
      </c>
      <c r="J722" s="29">
        <f>IF($B722="","",IF(INDEX(Dossiers!$F$4:$F$63,14)="","",INDEX(Dossiers!$F$4:$F$63,14)))</f>
        <v/>
      </c>
      <c r="K722" s="29">
        <f>IF($B722="","",IF(INDEX(Dossiers!$G$4:$G$63,14)="","",INDEX(Dossiers!$G$4:$G$63,14)))</f>
        <v/>
      </c>
    </row>
    <row r="723">
      <c r="A723">
        <f>IF($B723="","",INDEX(Dossiers!$E$4:$E$63,14))</f>
        <v/>
      </c>
      <c r="B723">
        <f>IF(INDEX(Suivi!$B:$B,737)="","",INDEX(Suivi!$B:$B,737))</f>
        <v/>
      </c>
      <c r="C723">
        <f>IF($B723="","",IF(INDEX(Suivi!$D:$D,737)="",INDEX(Suivi!$C:$C,737),INDEX(Suivi!$D:$D,737)))</f>
        <v/>
      </c>
      <c r="D723" s="29">
        <f>IF($B723="","",INDEX(Suivi!$E:$E,737))</f>
        <v/>
      </c>
      <c r="E723" s="29">
        <f>IF($B723="","",INDEX(Suivi!$F:$F,737))</f>
        <v/>
      </c>
      <c r="F723">
        <f>IF($B723="","",INDEX(Suivi!$G:$G,737))</f>
        <v/>
      </c>
      <c r="H723">
        <f>IF(OR($B723="",NOT(ISNUMBER($D723))),"",IF($E723&lt;$D$2,"Passé",IF($D723&gt;$F$2,"À venir","Dans la période")))</f>
        <v/>
      </c>
      <c r="I723">
        <f>IF(OR($B723="",NOT(ISNUMBER($D723))),"",IF(AND($E723&lt;$D$2,$G723&lt;&gt;"X",$F723&lt;&gt;"Réalisé",$F723&lt;&gt;"Clôturé"),"RETARD",""))</f>
        <v/>
      </c>
      <c r="J723" s="29">
        <f>IF($B723="","",IF(INDEX(Dossiers!$F$4:$F$63,14)="","",INDEX(Dossiers!$F$4:$F$63,14)))</f>
        <v/>
      </c>
      <c r="K723" s="29">
        <f>IF($B723="","",IF(INDEX(Dossiers!$G$4:$G$63,14)="","",INDEX(Dossiers!$G$4:$G$63,14)))</f>
        <v/>
      </c>
    </row>
    <row r="724">
      <c r="A724">
        <f>IF($B724="","",INDEX(Dossiers!$E$4:$E$63,14))</f>
        <v/>
      </c>
      <c r="B724">
        <f>IF(INDEX(Suivi!$B:$B,738)="","",INDEX(Suivi!$B:$B,738))</f>
        <v/>
      </c>
      <c r="C724">
        <f>IF($B724="","",IF(INDEX(Suivi!$D:$D,738)="",INDEX(Suivi!$C:$C,738),INDEX(Suivi!$D:$D,738)))</f>
        <v/>
      </c>
      <c r="D724" s="29">
        <f>IF($B724="","",INDEX(Suivi!$E:$E,738))</f>
        <v/>
      </c>
      <c r="E724" s="29">
        <f>IF($B724="","",INDEX(Suivi!$F:$F,738))</f>
        <v/>
      </c>
      <c r="F724">
        <f>IF($B724="","",INDEX(Suivi!$G:$G,738))</f>
        <v/>
      </c>
      <c r="H724">
        <f>IF(OR($B724="",NOT(ISNUMBER($D724))),"",IF($E724&lt;$D$2,"Passé",IF($D724&gt;$F$2,"À venir","Dans la période")))</f>
        <v/>
      </c>
      <c r="I724">
        <f>IF(OR($B724="",NOT(ISNUMBER($D724))),"",IF(AND($E724&lt;$D$2,$G724&lt;&gt;"X",$F724&lt;&gt;"Réalisé",$F724&lt;&gt;"Clôturé"),"RETARD",""))</f>
        <v/>
      </c>
      <c r="J724" s="29">
        <f>IF($B724="","",IF(INDEX(Dossiers!$F$4:$F$63,14)="","",INDEX(Dossiers!$F$4:$F$63,14)))</f>
        <v/>
      </c>
      <c r="K724" s="29">
        <f>IF($B724="","",IF(INDEX(Dossiers!$G$4:$G$63,14)="","",INDEX(Dossiers!$G$4:$G$63,14)))</f>
        <v/>
      </c>
    </row>
    <row r="725">
      <c r="A725">
        <f>IF($B725="","",INDEX(Dossiers!$E$4:$E$63,14))</f>
        <v/>
      </c>
      <c r="B725">
        <f>IF(INDEX(Suivi!$B:$B,739)="","",INDEX(Suivi!$B:$B,739))</f>
        <v/>
      </c>
      <c r="C725">
        <f>IF($B725="","",IF(INDEX(Suivi!$D:$D,739)="",INDEX(Suivi!$C:$C,739),INDEX(Suivi!$D:$D,739)))</f>
        <v/>
      </c>
      <c r="D725" s="29">
        <f>IF($B725="","",INDEX(Suivi!$E:$E,739))</f>
        <v/>
      </c>
      <c r="E725" s="29">
        <f>IF($B725="","",INDEX(Suivi!$F:$F,739))</f>
        <v/>
      </c>
      <c r="F725">
        <f>IF($B725="","",INDEX(Suivi!$G:$G,739))</f>
        <v/>
      </c>
      <c r="H725">
        <f>IF(OR($B725="",NOT(ISNUMBER($D725))),"",IF($E725&lt;$D$2,"Passé",IF($D725&gt;$F$2,"À venir","Dans la période")))</f>
        <v/>
      </c>
      <c r="I725">
        <f>IF(OR($B725="",NOT(ISNUMBER($D725))),"",IF(AND($E725&lt;$D$2,$G725&lt;&gt;"X",$F725&lt;&gt;"Réalisé",$F725&lt;&gt;"Clôturé"),"RETARD",""))</f>
        <v/>
      </c>
      <c r="J725" s="29">
        <f>IF($B725="","",IF(INDEX(Dossiers!$F$4:$F$63,14)="","",INDEX(Dossiers!$F$4:$F$63,14)))</f>
        <v/>
      </c>
      <c r="K725" s="29">
        <f>IF($B725="","",IF(INDEX(Dossiers!$G$4:$G$63,14)="","",INDEX(Dossiers!$G$4:$G$63,14)))</f>
        <v/>
      </c>
    </row>
    <row r="726">
      <c r="A726">
        <f>IF($B726="","",INDEX(Dossiers!$E$4:$E$63,14))</f>
        <v/>
      </c>
      <c r="B726">
        <f>IF(INDEX(Suivi!$B:$B,740)="","",INDEX(Suivi!$B:$B,740))</f>
        <v/>
      </c>
      <c r="C726">
        <f>IF($B726="","",IF(INDEX(Suivi!$D:$D,740)="",INDEX(Suivi!$C:$C,740),INDEX(Suivi!$D:$D,740)))</f>
        <v/>
      </c>
      <c r="D726" s="29">
        <f>IF($B726="","",INDEX(Suivi!$E:$E,740))</f>
        <v/>
      </c>
      <c r="E726" s="29">
        <f>IF($B726="","",INDEX(Suivi!$F:$F,740))</f>
        <v/>
      </c>
      <c r="F726">
        <f>IF($B726="","",INDEX(Suivi!$G:$G,740))</f>
        <v/>
      </c>
      <c r="H726">
        <f>IF(OR($B726="",NOT(ISNUMBER($D726))),"",IF($E726&lt;$D$2,"Passé",IF($D726&gt;$F$2,"À venir","Dans la période")))</f>
        <v/>
      </c>
      <c r="I726">
        <f>IF(OR($B726="",NOT(ISNUMBER($D726))),"",IF(AND($E726&lt;$D$2,$G726&lt;&gt;"X",$F726&lt;&gt;"Réalisé",$F726&lt;&gt;"Clôturé"),"RETARD",""))</f>
        <v/>
      </c>
      <c r="J726" s="29">
        <f>IF($B726="","",IF(INDEX(Dossiers!$F$4:$F$63,14)="","",INDEX(Dossiers!$F$4:$F$63,14)))</f>
        <v/>
      </c>
      <c r="K726" s="29">
        <f>IF($B726="","",IF(INDEX(Dossiers!$G$4:$G$63,14)="","",INDEX(Dossiers!$G$4:$G$63,14)))</f>
        <v/>
      </c>
    </row>
    <row r="727">
      <c r="A727">
        <f>IF($B727="","",INDEX(Dossiers!$E$4:$E$63,14))</f>
        <v/>
      </c>
      <c r="B727">
        <f>IF(INDEX(Suivi!$B:$B,741)="","",INDEX(Suivi!$B:$B,741))</f>
        <v/>
      </c>
      <c r="C727">
        <f>IF($B727="","",IF(INDEX(Suivi!$D:$D,741)="",INDEX(Suivi!$C:$C,741),INDEX(Suivi!$D:$D,741)))</f>
        <v/>
      </c>
      <c r="D727" s="29">
        <f>IF($B727="","",INDEX(Suivi!$E:$E,741))</f>
        <v/>
      </c>
      <c r="E727" s="29">
        <f>IF($B727="","",INDEX(Suivi!$F:$F,741))</f>
        <v/>
      </c>
      <c r="F727">
        <f>IF($B727="","",INDEX(Suivi!$G:$G,741))</f>
        <v/>
      </c>
      <c r="H727">
        <f>IF(OR($B727="",NOT(ISNUMBER($D727))),"",IF($E727&lt;$D$2,"Passé",IF($D727&gt;$F$2,"À venir","Dans la période")))</f>
        <v/>
      </c>
      <c r="I727">
        <f>IF(OR($B727="",NOT(ISNUMBER($D727))),"",IF(AND($E727&lt;$D$2,$G727&lt;&gt;"X",$F727&lt;&gt;"Réalisé",$F727&lt;&gt;"Clôturé"),"RETARD",""))</f>
        <v/>
      </c>
      <c r="J727" s="29">
        <f>IF($B727="","",IF(INDEX(Dossiers!$F$4:$F$63,14)="","",INDEX(Dossiers!$F$4:$F$63,14)))</f>
        <v/>
      </c>
      <c r="K727" s="29">
        <f>IF($B727="","",IF(INDEX(Dossiers!$G$4:$G$63,14)="","",INDEX(Dossiers!$G$4:$G$63,14)))</f>
        <v/>
      </c>
    </row>
    <row r="728">
      <c r="A728">
        <f>IF($B728="","",INDEX(Dossiers!$E$4:$E$63,14))</f>
        <v/>
      </c>
      <c r="B728">
        <f>IF(INDEX(Suivi!$B:$B,742)="","",INDEX(Suivi!$B:$B,742))</f>
        <v/>
      </c>
      <c r="C728">
        <f>IF($B728="","",IF(INDEX(Suivi!$D:$D,742)="",INDEX(Suivi!$C:$C,742),INDEX(Suivi!$D:$D,742)))</f>
        <v/>
      </c>
      <c r="D728" s="29">
        <f>IF($B728="","",INDEX(Suivi!$E:$E,742))</f>
        <v/>
      </c>
      <c r="E728" s="29">
        <f>IF($B728="","",INDEX(Suivi!$F:$F,742))</f>
        <v/>
      </c>
      <c r="F728">
        <f>IF($B728="","",INDEX(Suivi!$G:$G,742))</f>
        <v/>
      </c>
      <c r="H728">
        <f>IF(OR($B728="",NOT(ISNUMBER($D728))),"",IF($E728&lt;$D$2,"Passé",IF($D728&gt;$F$2,"À venir","Dans la période")))</f>
        <v/>
      </c>
      <c r="I728">
        <f>IF(OR($B728="",NOT(ISNUMBER($D728))),"",IF(AND($E728&lt;$D$2,$G728&lt;&gt;"X",$F728&lt;&gt;"Réalisé",$F728&lt;&gt;"Clôturé"),"RETARD",""))</f>
        <v/>
      </c>
      <c r="J728" s="29">
        <f>IF($B728="","",IF(INDEX(Dossiers!$F$4:$F$63,14)="","",INDEX(Dossiers!$F$4:$F$63,14)))</f>
        <v/>
      </c>
      <c r="K728" s="29">
        <f>IF($B728="","",IF(INDEX(Dossiers!$G$4:$G$63,14)="","",INDEX(Dossiers!$G$4:$G$63,14)))</f>
        <v/>
      </c>
    </row>
    <row r="729">
      <c r="A729">
        <f>IF($B729="","",INDEX(Dossiers!$E$4:$E$63,14))</f>
        <v/>
      </c>
      <c r="B729">
        <f>IF(INDEX(Suivi!$B:$B,743)="","",INDEX(Suivi!$B:$B,743))</f>
        <v/>
      </c>
      <c r="C729">
        <f>IF($B729="","",IF(INDEX(Suivi!$D:$D,743)="",INDEX(Suivi!$C:$C,743),INDEX(Suivi!$D:$D,743)))</f>
        <v/>
      </c>
      <c r="D729" s="29">
        <f>IF($B729="","",INDEX(Suivi!$E:$E,743))</f>
        <v/>
      </c>
      <c r="E729" s="29">
        <f>IF($B729="","",INDEX(Suivi!$F:$F,743))</f>
        <v/>
      </c>
      <c r="F729">
        <f>IF($B729="","",INDEX(Suivi!$G:$G,743))</f>
        <v/>
      </c>
      <c r="H729">
        <f>IF(OR($B729="",NOT(ISNUMBER($D729))),"",IF($E729&lt;$D$2,"Passé",IF($D729&gt;$F$2,"À venir","Dans la période")))</f>
        <v/>
      </c>
      <c r="I729">
        <f>IF(OR($B729="",NOT(ISNUMBER($D729))),"",IF(AND($E729&lt;$D$2,$G729&lt;&gt;"X",$F729&lt;&gt;"Réalisé",$F729&lt;&gt;"Clôturé"),"RETARD",""))</f>
        <v/>
      </c>
      <c r="J729" s="29">
        <f>IF($B729="","",IF(INDEX(Dossiers!$F$4:$F$63,14)="","",INDEX(Dossiers!$F$4:$F$63,14)))</f>
        <v/>
      </c>
      <c r="K729" s="29">
        <f>IF($B729="","",IF(INDEX(Dossiers!$G$4:$G$63,14)="","",INDEX(Dossiers!$G$4:$G$63,14)))</f>
        <v/>
      </c>
    </row>
    <row r="730">
      <c r="A730">
        <f>IF($B730="","",INDEX(Dossiers!$E$4:$E$63,14))</f>
        <v/>
      </c>
      <c r="B730">
        <f>IF(INDEX(Suivi!$B:$B,744)="","",INDEX(Suivi!$B:$B,744))</f>
        <v/>
      </c>
      <c r="C730">
        <f>IF($B730="","",IF(INDEX(Suivi!$D:$D,744)="",INDEX(Suivi!$C:$C,744),INDEX(Suivi!$D:$D,744)))</f>
        <v/>
      </c>
      <c r="D730" s="29">
        <f>IF($B730="","",INDEX(Suivi!$E:$E,744))</f>
        <v/>
      </c>
      <c r="E730" s="29">
        <f>IF($B730="","",INDEX(Suivi!$F:$F,744))</f>
        <v/>
      </c>
      <c r="F730">
        <f>IF($B730="","",INDEX(Suivi!$G:$G,744))</f>
        <v/>
      </c>
      <c r="H730">
        <f>IF(OR($B730="",NOT(ISNUMBER($D730))),"",IF($E730&lt;$D$2,"Passé",IF($D730&gt;$F$2,"À venir","Dans la période")))</f>
        <v/>
      </c>
      <c r="I730">
        <f>IF(OR($B730="",NOT(ISNUMBER($D730))),"",IF(AND($E730&lt;$D$2,$G730&lt;&gt;"X",$F730&lt;&gt;"Réalisé",$F730&lt;&gt;"Clôturé"),"RETARD",""))</f>
        <v/>
      </c>
      <c r="J730" s="29">
        <f>IF($B730="","",IF(INDEX(Dossiers!$F$4:$F$63,14)="","",INDEX(Dossiers!$F$4:$F$63,14)))</f>
        <v/>
      </c>
      <c r="K730" s="29">
        <f>IF($B730="","",IF(INDEX(Dossiers!$G$4:$G$63,14)="","",INDEX(Dossiers!$G$4:$G$63,14)))</f>
        <v/>
      </c>
    </row>
    <row r="731">
      <c r="A731">
        <f>IF($B731="","",INDEX(Dossiers!$E$4:$E$63,14))</f>
        <v/>
      </c>
      <c r="B731">
        <f>IF(INDEX(Suivi!$B:$B,745)="","",INDEX(Suivi!$B:$B,745))</f>
        <v/>
      </c>
      <c r="C731">
        <f>IF($B731="","",IF(INDEX(Suivi!$D:$D,745)="",INDEX(Suivi!$C:$C,745),INDEX(Suivi!$D:$D,745)))</f>
        <v/>
      </c>
      <c r="D731" s="29">
        <f>IF($B731="","",INDEX(Suivi!$E:$E,745))</f>
        <v/>
      </c>
      <c r="E731" s="29">
        <f>IF($B731="","",INDEX(Suivi!$F:$F,745))</f>
        <v/>
      </c>
      <c r="F731">
        <f>IF($B731="","",INDEX(Suivi!$G:$G,745))</f>
        <v/>
      </c>
      <c r="H731">
        <f>IF(OR($B731="",NOT(ISNUMBER($D731))),"",IF($E731&lt;$D$2,"Passé",IF($D731&gt;$F$2,"À venir","Dans la période")))</f>
        <v/>
      </c>
      <c r="I731">
        <f>IF(OR($B731="",NOT(ISNUMBER($D731))),"",IF(AND($E731&lt;$D$2,$G731&lt;&gt;"X",$F731&lt;&gt;"Réalisé",$F731&lt;&gt;"Clôturé"),"RETARD",""))</f>
        <v/>
      </c>
      <c r="J731" s="29">
        <f>IF($B731="","",IF(INDEX(Dossiers!$F$4:$F$63,14)="","",INDEX(Dossiers!$F$4:$F$63,14)))</f>
        <v/>
      </c>
      <c r="K731" s="29">
        <f>IF($B731="","",IF(INDEX(Dossiers!$G$4:$G$63,14)="","",INDEX(Dossiers!$G$4:$G$63,14)))</f>
        <v/>
      </c>
    </row>
    <row r="732">
      <c r="A732">
        <f>IF($B732="","",INDEX(Dossiers!$E$4:$E$63,14))</f>
        <v/>
      </c>
      <c r="B732">
        <f>IF(INDEX(Suivi!$B:$B,746)="","",INDEX(Suivi!$B:$B,746))</f>
        <v/>
      </c>
      <c r="C732">
        <f>IF($B732="","",IF(INDEX(Suivi!$D:$D,746)="",INDEX(Suivi!$C:$C,746),INDEX(Suivi!$D:$D,746)))</f>
        <v/>
      </c>
      <c r="D732" s="29">
        <f>IF($B732="","",INDEX(Suivi!$E:$E,746))</f>
        <v/>
      </c>
      <c r="E732" s="29">
        <f>IF($B732="","",INDEX(Suivi!$F:$F,746))</f>
        <v/>
      </c>
      <c r="F732">
        <f>IF($B732="","",INDEX(Suivi!$G:$G,746))</f>
        <v/>
      </c>
      <c r="H732">
        <f>IF(OR($B732="",NOT(ISNUMBER($D732))),"",IF($E732&lt;$D$2,"Passé",IF($D732&gt;$F$2,"À venir","Dans la période")))</f>
        <v/>
      </c>
      <c r="I732">
        <f>IF(OR($B732="",NOT(ISNUMBER($D732))),"",IF(AND($E732&lt;$D$2,$G732&lt;&gt;"X",$F732&lt;&gt;"Réalisé",$F732&lt;&gt;"Clôturé"),"RETARD",""))</f>
        <v/>
      </c>
      <c r="J732" s="29">
        <f>IF($B732="","",IF(INDEX(Dossiers!$F$4:$F$63,14)="","",INDEX(Dossiers!$F$4:$F$63,14)))</f>
        <v/>
      </c>
      <c r="K732" s="29">
        <f>IF($B732="","",IF(INDEX(Dossiers!$G$4:$G$63,14)="","",INDEX(Dossiers!$G$4:$G$63,14)))</f>
        <v/>
      </c>
    </row>
    <row r="733">
      <c r="A733">
        <f>IF($B733="","",INDEX(Dossiers!$E$4:$E$63,14))</f>
        <v/>
      </c>
      <c r="B733">
        <f>IF(INDEX(Suivi!$B:$B,747)="","",INDEX(Suivi!$B:$B,747))</f>
        <v/>
      </c>
      <c r="C733">
        <f>IF($B733="","",IF(INDEX(Suivi!$D:$D,747)="",INDEX(Suivi!$C:$C,747),INDEX(Suivi!$D:$D,747)))</f>
        <v/>
      </c>
      <c r="D733" s="29">
        <f>IF($B733="","",INDEX(Suivi!$E:$E,747))</f>
        <v/>
      </c>
      <c r="E733" s="29">
        <f>IF($B733="","",INDEX(Suivi!$F:$F,747))</f>
        <v/>
      </c>
      <c r="F733">
        <f>IF($B733="","",INDEX(Suivi!$G:$G,747))</f>
        <v/>
      </c>
      <c r="H733">
        <f>IF(OR($B733="",NOT(ISNUMBER($D733))),"",IF($E733&lt;$D$2,"Passé",IF($D733&gt;$F$2,"À venir","Dans la période")))</f>
        <v/>
      </c>
      <c r="I733">
        <f>IF(OR($B733="",NOT(ISNUMBER($D733))),"",IF(AND($E733&lt;$D$2,$G733&lt;&gt;"X",$F733&lt;&gt;"Réalisé",$F733&lt;&gt;"Clôturé"),"RETARD",""))</f>
        <v/>
      </c>
      <c r="J733" s="29">
        <f>IF($B733="","",IF(INDEX(Dossiers!$F$4:$F$63,14)="","",INDEX(Dossiers!$F$4:$F$63,14)))</f>
        <v/>
      </c>
      <c r="K733" s="29">
        <f>IF($B733="","",IF(INDEX(Dossiers!$G$4:$G$63,14)="","",INDEX(Dossiers!$G$4:$G$63,14)))</f>
        <v/>
      </c>
    </row>
    <row r="734">
      <c r="A734">
        <f>IF($B734="","",INDEX(Dossiers!$E$4:$E$63,14))</f>
        <v/>
      </c>
      <c r="B734">
        <f>IF(INDEX(Suivi!$B:$B,748)="","",INDEX(Suivi!$B:$B,748))</f>
        <v/>
      </c>
      <c r="C734">
        <f>IF($B734="","",IF(INDEX(Suivi!$D:$D,748)="",INDEX(Suivi!$C:$C,748),INDEX(Suivi!$D:$D,748)))</f>
        <v/>
      </c>
      <c r="D734" s="29">
        <f>IF($B734="","",INDEX(Suivi!$E:$E,748))</f>
        <v/>
      </c>
      <c r="E734" s="29">
        <f>IF($B734="","",INDEX(Suivi!$F:$F,748))</f>
        <v/>
      </c>
      <c r="F734">
        <f>IF($B734="","",INDEX(Suivi!$G:$G,748))</f>
        <v/>
      </c>
      <c r="H734">
        <f>IF(OR($B734="",NOT(ISNUMBER($D734))),"",IF($E734&lt;$D$2,"Passé",IF($D734&gt;$F$2,"À venir","Dans la période")))</f>
        <v/>
      </c>
      <c r="I734">
        <f>IF(OR($B734="",NOT(ISNUMBER($D734))),"",IF(AND($E734&lt;$D$2,$G734&lt;&gt;"X",$F734&lt;&gt;"Réalisé",$F734&lt;&gt;"Clôturé"),"RETARD",""))</f>
        <v/>
      </c>
      <c r="J734" s="29">
        <f>IF($B734="","",IF(INDEX(Dossiers!$F$4:$F$63,14)="","",INDEX(Dossiers!$F$4:$F$63,14)))</f>
        <v/>
      </c>
      <c r="K734" s="29">
        <f>IF($B734="","",IF(INDEX(Dossiers!$G$4:$G$63,14)="","",INDEX(Dossiers!$G$4:$G$63,14)))</f>
        <v/>
      </c>
    </row>
    <row r="735">
      <c r="A735">
        <f>IF($B735="","",INDEX(Dossiers!$E$4:$E$63,14))</f>
        <v/>
      </c>
      <c r="B735">
        <f>IF(INDEX(Suivi!$B:$B,749)="","",INDEX(Suivi!$B:$B,749))</f>
        <v/>
      </c>
      <c r="C735">
        <f>IF($B735="","",IF(INDEX(Suivi!$D:$D,749)="",INDEX(Suivi!$C:$C,749),INDEX(Suivi!$D:$D,749)))</f>
        <v/>
      </c>
      <c r="D735" s="29">
        <f>IF($B735="","",INDEX(Suivi!$E:$E,749))</f>
        <v/>
      </c>
      <c r="E735" s="29">
        <f>IF($B735="","",INDEX(Suivi!$F:$F,749))</f>
        <v/>
      </c>
      <c r="F735">
        <f>IF($B735="","",INDEX(Suivi!$G:$G,749))</f>
        <v/>
      </c>
      <c r="H735">
        <f>IF(OR($B735="",NOT(ISNUMBER($D735))),"",IF($E735&lt;$D$2,"Passé",IF($D735&gt;$F$2,"À venir","Dans la période")))</f>
        <v/>
      </c>
      <c r="I735">
        <f>IF(OR($B735="",NOT(ISNUMBER($D735))),"",IF(AND($E735&lt;$D$2,$G735&lt;&gt;"X",$F735&lt;&gt;"Réalisé",$F735&lt;&gt;"Clôturé"),"RETARD",""))</f>
        <v/>
      </c>
      <c r="J735" s="29">
        <f>IF($B735="","",IF(INDEX(Dossiers!$F$4:$F$63,14)="","",INDEX(Dossiers!$F$4:$F$63,14)))</f>
        <v/>
      </c>
      <c r="K735" s="29">
        <f>IF($B735="","",IF(INDEX(Dossiers!$G$4:$G$63,14)="","",INDEX(Dossiers!$G$4:$G$63,14)))</f>
        <v/>
      </c>
    </row>
    <row r="736">
      <c r="A736">
        <f>IF($B736="","",INDEX(Dossiers!$E$4:$E$63,14))</f>
        <v/>
      </c>
      <c r="B736">
        <f>IF(INDEX(Suivi!$B:$B,750)="","",INDEX(Suivi!$B:$B,750))</f>
        <v/>
      </c>
      <c r="C736">
        <f>IF($B736="","",IF(INDEX(Suivi!$D:$D,750)="",INDEX(Suivi!$C:$C,750),INDEX(Suivi!$D:$D,750)))</f>
        <v/>
      </c>
      <c r="D736" s="29">
        <f>IF($B736="","",INDEX(Suivi!$E:$E,750))</f>
        <v/>
      </c>
      <c r="E736" s="29">
        <f>IF($B736="","",INDEX(Suivi!$F:$F,750))</f>
        <v/>
      </c>
      <c r="F736">
        <f>IF($B736="","",INDEX(Suivi!$G:$G,750))</f>
        <v/>
      </c>
      <c r="H736">
        <f>IF(OR($B736="",NOT(ISNUMBER($D736))),"",IF($E736&lt;$D$2,"Passé",IF($D736&gt;$F$2,"À venir","Dans la période")))</f>
        <v/>
      </c>
      <c r="I736">
        <f>IF(OR($B736="",NOT(ISNUMBER($D736))),"",IF(AND($E736&lt;$D$2,$G736&lt;&gt;"X",$F736&lt;&gt;"Réalisé",$F736&lt;&gt;"Clôturé"),"RETARD",""))</f>
        <v/>
      </c>
      <c r="J736" s="29">
        <f>IF($B736="","",IF(INDEX(Dossiers!$F$4:$F$63,14)="","",INDEX(Dossiers!$F$4:$F$63,14)))</f>
        <v/>
      </c>
      <c r="K736" s="29">
        <f>IF($B736="","",IF(INDEX(Dossiers!$G$4:$G$63,14)="","",INDEX(Dossiers!$G$4:$G$63,14)))</f>
        <v/>
      </c>
    </row>
    <row r="737">
      <c r="A737">
        <f>IF($B737="","",INDEX(Dossiers!$E$4:$E$63,14))</f>
        <v/>
      </c>
      <c r="B737">
        <f>IF(INDEX(Suivi!$B:$B,751)="","",INDEX(Suivi!$B:$B,751))</f>
        <v/>
      </c>
      <c r="C737">
        <f>IF($B737="","",IF(INDEX(Suivi!$D:$D,751)="",INDEX(Suivi!$C:$C,751),INDEX(Suivi!$D:$D,751)))</f>
        <v/>
      </c>
      <c r="D737" s="29">
        <f>IF($B737="","",INDEX(Suivi!$E:$E,751))</f>
        <v/>
      </c>
      <c r="E737" s="29">
        <f>IF($B737="","",INDEX(Suivi!$F:$F,751))</f>
        <v/>
      </c>
      <c r="F737">
        <f>IF($B737="","",INDEX(Suivi!$G:$G,751))</f>
        <v/>
      </c>
      <c r="H737">
        <f>IF(OR($B737="",NOT(ISNUMBER($D737))),"",IF($E737&lt;$D$2,"Passé",IF($D737&gt;$F$2,"À venir","Dans la période")))</f>
        <v/>
      </c>
      <c r="I737">
        <f>IF(OR($B737="",NOT(ISNUMBER($D737))),"",IF(AND($E737&lt;$D$2,$G737&lt;&gt;"X",$F737&lt;&gt;"Réalisé",$F737&lt;&gt;"Clôturé"),"RETARD",""))</f>
        <v/>
      </c>
      <c r="J737" s="29">
        <f>IF($B737="","",IF(INDEX(Dossiers!$F$4:$F$63,14)="","",INDEX(Dossiers!$F$4:$F$63,14)))</f>
        <v/>
      </c>
      <c r="K737" s="29">
        <f>IF($B737="","",IF(INDEX(Dossiers!$G$4:$G$63,14)="","",INDEX(Dossiers!$G$4:$G$63,14)))</f>
        <v/>
      </c>
    </row>
    <row r="738">
      <c r="A738">
        <f>IF($B738="","",INDEX(Dossiers!$E$4:$E$63,14))</f>
        <v/>
      </c>
      <c r="B738">
        <f>IF(INDEX(Suivi!$B:$B,752)="","",INDEX(Suivi!$B:$B,752))</f>
        <v/>
      </c>
      <c r="C738">
        <f>IF($B738="","",IF(INDEX(Suivi!$D:$D,752)="",INDEX(Suivi!$C:$C,752),INDEX(Suivi!$D:$D,752)))</f>
        <v/>
      </c>
      <c r="D738" s="29">
        <f>IF($B738="","",INDEX(Suivi!$E:$E,752))</f>
        <v/>
      </c>
      <c r="E738" s="29">
        <f>IF($B738="","",INDEX(Suivi!$F:$F,752))</f>
        <v/>
      </c>
      <c r="F738">
        <f>IF($B738="","",INDEX(Suivi!$G:$G,752))</f>
        <v/>
      </c>
      <c r="H738">
        <f>IF(OR($B738="",NOT(ISNUMBER($D738))),"",IF($E738&lt;$D$2,"Passé",IF($D738&gt;$F$2,"À venir","Dans la période")))</f>
        <v/>
      </c>
      <c r="I738">
        <f>IF(OR($B738="",NOT(ISNUMBER($D738))),"",IF(AND($E738&lt;$D$2,$G738&lt;&gt;"X",$F738&lt;&gt;"Réalisé",$F738&lt;&gt;"Clôturé"),"RETARD",""))</f>
        <v/>
      </c>
      <c r="J738" s="29">
        <f>IF($B738="","",IF(INDEX(Dossiers!$F$4:$F$63,14)="","",INDEX(Dossiers!$F$4:$F$63,14)))</f>
        <v/>
      </c>
      <c r="K738" s="29">
        <f>IF($B738="","",IF(INDEX(Dossiers!$G$4:$G$63,14)="","",INDEX(Dossiers!$G$4:$G$63,14)))</f>
        <v/>
      </c>
    </row>
    <row r="739">
      <c r="A739">
        <f>IF($B739="","",INDEX(Dossiers!$E$4:$E$63,14))</f>
        <v/>
      </c>
      <c r="B739">
        <f>IF(INDEX(Suivi!$B:$B,753)="","",INDEX(Suivi!$B:$B,753))</f>
        <v/>
      </c>
      <c r="C739">
        <f>IF($B739="","",IF(INDEX(Suivi!$D:$D,753)="",INDEX(Suivi!$C:$C,753),INDEX(Suivi!$D:$D,753)))</f>
        <v/>
      </c>
      <c r="D739" s="29">
        <f>IF($B739="","",INDEX(Suivi!$E:$E,753))</f>
        <v/>
      </c>
      <c r="E739" s="29">
        <f>IF($B739="","",INDEX(Suivi!$F:$F,753))</f>
        <v/>
      </c>
      <c r="F739">
        <f>IF($B739="","",INDEX(Suivi!$G:$G,753))</f>
        <v/>
      </c>
      <c r="H739">
        <f>IF(OR($B739="",NOT(ISNUMBER($D739))),"",IF($E739&lt;$D$2,"Passé",IF($D739&gt;$F$2,"À venir","Dans la période")))</f>
        <v/>
      </c>
      <c r="I739">
        <f>IF(OR($B739="",NOT(ISNUMBER($D739))),"",IF(AND($E739&lt;$D$2,$G739&lt;&gt;"X",$F739&lt;&gt;"Réalisé",$F739&lt;&gt;"Clôturé"),"RETARD",""))</f>
        <v/>
      </c>
      <c r="J739" s="29">
        <f>IF($B739="","",IF(INDEX(Dossiers!$F$4:$F$63,14)="","",INDEX(Dossiers!$F$4:$F$63,14)))</f>
        <v/>
      </c>
      <c r="K739" s="29">
        <f>IF($B739="","",IF(INDEX(Dossiers!$G$4:$G$63,14)="","",INDEX(Dossiers!$G$4:$G$63,14)))</f>
        <v/>
      </c>
    </row>
    <row r="740">
      <c r="A740">
        <f>IF($B740="","",INDEX(Dossiers!$E$4:$E$63,14))</f>
        <v/>
      </c>
      <c r="B740">
        <f>IF(INDEX(Suivi!$B:$B,754)="","",INDEX(Suivi!$B:$B,754))</f>
        <v/>
      </c>
      <c r="C740">
        <f>IF($B740="","",IF(INDEX(Suivi!$D:$D,754)="",INDEX(Suivi!$C:$C,754),INDEX(Suivi!$D:$D,754)))</f>
        <v/>
      </c>
      <c r="D740" s="29">
        <f>IF($B740="","",INDEX(Suivi!$E:$E,754))</f>
        <v/>
      </c>
      <c r="E740" s="29">
        <f>IF($B740="","",INDEX(Suivi!$F:$F,754))</f>
        <v/>
      </c>
      <c r="F740">
        <f>IF($B740="","",INDEX(Suivi!$G:$G,754))</f>
        <v/>
      </c>
      <c r="H740">
        <f>IF(OR($B740="",NOT(ISNUMBER($D740))),"",IF($E740&lt;$D$2,"Passé",IF($D740&gt;$F$2,"À venir","Dans la période")))</f>
        <v/>
      </c>
      <c r="I740">
        <f>IF(OR($B740="",NOT(ISNUMBER($D740))),"",IF(AND($E740&lt;$D$2,$G740&lt;&gt;"X",$F740&lt;&gt;"Réalisé",$F740&lt;&gt;"Clôturé"),"RETARD",""))</f>
        <v/>
      </c>
      <c r="J740" s="29">
        <f>IF($B740="","",IF(INDEX(Dossiers!$F$4:$F$63,14)="","",INDEX(Dossiers!$F$4:$F$63,14)))</f>
        <v/>
      </c>
      <c r="K740" s="29">
        <f>IF($B740="","",IF(INDEX(Dossiers!$G$4:$G$63,14)="","",INDEX(Dossiers!$G$4:$G$63,14)))</f>
        <v/>
      </c>
    </row>
    <row r="741">
      <c r="A741">
        <f>IF($B741="","",INDEX(Dossiers!$E$4:$E$63,14))</f>
        <v/>
      </c>
      <c r="B741">
        <f>IF(INDEX(Suivi!$B:$B,755)="","",INDEX(Suivi!$B:$B,755))</f>
        <v/>
      </c>
      <c r="C741">
        <f>IF($B741="","",IF(INDEX(Suivi!$D:$D,755)="",INDEX(Suivi!$C:$C,755),INDEX(Suivi!$D:$D,755)))</f>
        <v/>
      </c>
      <c r="D741" s="29">
        <f>IF($B741="","",INDEX(Suivi!$E:$E,755))</f>
        <v/>
      </c>
      <c r="E741" s="29">
        <f>IF($B741="","",INDEX(Suivi!$F:$F,755))</f>
        <v/>
      </c>
      <c r="F741">
        <f>IF($B741="","",INDEX(Suivi!$G:$G,755))</f>
        <v/>
      </c>
      <c r="H741">
        <f>IF(OR($B741="",NOT(ISNUMBER($D741))),"",IF($E741&lt;$D$2,"Passé",IF($D741&gt;$F$2,"À venir","Dans la période")))</f>
        <v/>
      </c>
      <c r="I741">
        <f>IF(OR($B741="",NOT(ISNUMBER($D741))),"",IF(AND($E741&lt;$D$2,$G741&lt;&gt;"X",$F741&lt;&gt;"Réalisé",$F741&lt;&gt;"Clôturé"),"RETARD",""))</f>
        <v/>
      </c>
      <c r="J741" s="29">
        <f>IF($B741="","",IF(INDEX(Dossiers!$F$4:$F$63,14)="","",INDEX(Dossiers!$F$4:$F$63,14)))</f>
        <v/>
      </c>
      <c r="K741" s="29">
        <f>IF($B741="","",IF(INDEX(Dossiers!$G$4:$G$63,14)="","",INDEX(Dossiers!$G$4:$G$63,14)))</f>
        <v/>
      </c>
    </row>
    <row r="742">
      <c r="A742">
        <f>IF($B742="","",INDEX(Dossiers!$E$4:$E$63,14))</f>
        <v/>
      </c>
      <c r="B742">
        <f>IF(INDEX(Suivi!$B:$B,756)="","",INDEX(Suivi!$B:$B,756))</f>
        <v/>
      </c>
      <c r="C742">
        <f>IF($B742="","",IF(INDEX(Suivi!$D:$D,756)="",INDEX(Suivi!$C:$C,756),INDEX(Suivi!$D:$D,756)))</f>
        <v/>
      </c>
      <c r="D742" s="29">
        <f>IF($B742="","",INDEX(Suivi!$E:$E,756))</f>
        <v/>
      </c>
      <c r="E742" s="29">
        <f>IF($B742="","",INDEX(Suivi!$F:$F,756))</f>
        <v/>
      </c>
      <c r="F742">
        <f>IF($B742="","",INDEX(Suivi!$G:$G,756))</f>
        <v/>
      </c>
      <c r="H742">
        <f>IF(OR($B742="",NOT(ISNUMBER($D742))),"",IF($E742&lt;$D$2,"Passé",IF($D742&gt;$F$2,"À venir","Dans la période")))</f>
        <v/>
      </c>
      <c r="I742">
        <f>IF(OR($B742="",NOT(ISNUMBER($D742))),"",IF(AND($E742&lt;$D$2,$G742&lt;&gt;"X",$F742&lt;&gt;"Réalisé",$F742&lt;&gt;"Clôturé"),"RETARD",""))</f>
        <v/>
      </c>
      <c r="J742" s="29">
        <f>IF($B742="","",IF(INDEX(Dossiers!$F$4:$F$63,14)="","",INDEX(Dossiers!$F$4:$F$63,14)))</f>
        <v/>
      </c>
      <c r="K742" s="29">
        <f>IF($B742="","",IF(INDEX(Dossiers!$G$4:$G$63,14)="","",INDEX(Dossiers!$G$4:$G$63,14)))</f>
        <v/>
      </c>
    </row>
    <row r="743">
      <c r="A743">
        <f>IF($B743="","",INDEX(Dossiers!$E$4:$E$63,14))</f>
        <v/>
      </c>
      <c r="B743">
        <f>IF(INDEX(Suivi!$B:$B,757)="","",INDEX(Suivi!$B:$B,757))</f>
        <v/>
      </c>
      <c r="C743">
        <f>IF($B743="","",IF(INDEX(Suivi!$D:$D,757)="",INDEX(Suivi!$C:$C,757),INDEX(Suivi!$D:$D,757)))</f>
        <v/>
      </c>
      <c r="D743" s="29">
        <f>IF($B743="","",INDEX(Suivi!$E:$E,757))</f>
        <v/>
      </c>
      <c r="E743" s="29">
        <f>IF($B743="","",INDEX(Suivi!$F:$F,757))</f>
        <v/>
      </c>
      <c r="F743">
        <f>IF($B743="","",INDEX(Suivi!$G:$G,757))</f>
        <v/>
      </c>
      <c r="H743">
        <f>IF(OR($B743="",NOT(ISNUMBER($D743))),"",IF($E743&lt;$D$2,"Passé",IF($D743&gt;$F$2,"À venir","Dans la période")))</f>
        <v/>
      </c>
      <c r="I743">
        <f>IF(OR($B743="",NOT(ISNUMBER($D743))),"",IF(AND($E743&lt;$D$2,$G743&lt;&gt;"X",$F743&lt;&gt;"Réalisé",$F743&lt;&gt;"Clôturé"),"RETARD",""))</f>
        <v/>
      </c>
      <c r="J743" s="29">
        <f>IF($B743="","",IF(INDEX(Dossiers!$F$4:$F$63,14)="","",INDEX(Dossiers!$F$4:$F$63,14)))</f>
        <v/>
      </c>
      <c r="K743" s="29">
        <f>IF($B743="","",IF(INDEX(Dossiers!$G$4:$G$63,14)="","",INDEX(Dossiers!$G$4:$G$63,14)))</f>
        <v/>
      </c>
    </row>
    <row r="744">
      <c r="A744">
        <f>IF($B744="","",INDEX(Dossiers!$E$4:$E$63,14))</f>
        <v/>
      </c>
      <c r="B744">
        <f>IF(INDEX(Suivi!$B:$B,758)="","",INDEX(Suivi!$B:$B,758))</f>
        <v/>
      </c>
      <c r="C744">
        <f>IF($B744="","",IF(INDEX(Suivi!$D:$D,758)="",INDEX(Suivi!$C:$C,758),INDEX(Suivi!$D:$D,758)))</f>
        <v/>
      </c>
      <c r="D744" s="29">
        <f>IF($B744="","",INDEX(Suivi!$E:$E,758))</f>
        <v/>
      </c>
      <c r="E744" s="29">
        <f>IF($B744="","",INDEX(Suivi!$F:$F,758))</f>
        <v/>
      </c>
      <c r="F744">
        <f>IF($B744="","",INDEX(Suivi!$G:$G,758))</f>
        <v/>
      </c>
      <c r="H744">
        <f>IF(OR($B744="",NOT(ISNUMBER($D744))),"",IF($E744&lt;$D$2,"Passé",IF($D744&gt;$F$2,"À venir","Dans la période")))</f>
        <v/>
      </c>
      <c r="I744">
        <f>IF(OR($B744="",NOT(ISNUMBER($D744))),"",IF(AND($E744&lt;$D$2,$G744&lt;&gt;"X",$F744&lt;&gt;"Réalisé",$F744&lt;&gt;"Clôturé"),"RETARD",""))</f>
        <v/>
      </c>
      <c r="J744" s="29">
        <f>IF($B744="","",IF(INDEX(Dossiers!$F$4:$F$63,14)="","",INDEX(Dossiers!$F$4:$F$63,14)))</f>
        <v/>
      </c>
      <c r="K744" s="29">
        <f>IF($B744="","",IF(INDEX(Dossiers!$G$4:$G$63,14)="","",INDEX(Dossiers!$G$4:$G$63,14)))</f>
        <v/>
      </c>
    </row>
    <row r="745">
      <c r="A745">
        <f>IF($B745="","",INDEX(Dossiers!$E$4:$E$63,14))</f>
        <v/>
      </c>
      <c r="B745">
        <f>IF(INDEX(Suivi!$B:$B,759)="","",INDEX(Suivi!$B:$B,759))</f>
        <v/>
      </c>
      <c r="C745">
        <f>IF($B745="","",IF(INDEX(Suivi!$D:$D,759)="",INDEX(Suivi!$C:$C,759),INDEX(Suivi!$D:$D,759)))</f>
        <v/>
      </c>
      <c r="D745" s="29">
        <f>IF($B745="","",INDEX(Suivi!$E:$E,759))</f>
        <v/>
      </c>
      <c r="E745" s="29">
        <f>IF($B745="","",INDEX(Suivi!$F:$F,759))</f>
        <v/>
      </c>
      <c r="F745">
        <f>IF($B745="","",INDEX(Suivi!$G:$G,759))</f>
        <v/>
      </c>
      <c r="H745">
        <f>IF(OR($B745="",NOT(ISNUMBER($D745))),"",IF($E745&lt;$D$2,"Passé",IF($D745&gt;$F$2,"À venir","Dans la période")))</f>
        <v/>
      </c>
      <c r="I745">
        <f>IF(OR($B745="",NOT(ISNUMBER($D745))),"",IF(AND($E745&lt;$D$2,$G745&lt;&gt;"X",$F745&lt;&gt;"Réalisé",$F745&lt;&gt;"Clôturé"),"RETARD",""))</f>
        <v/>
      </c>
      <c r="J745" s="29">
        <f>IF($B745="","",IF(INDEX(Dossiers!$F$4:$F$63,14)="","",INDEX(Dossiers!$F$4:$F$63,14)))</f>
        <v/>
      </c>
      <c r="K745" s="29">
        <f>IF($B745="","",IF(INDEX(Dossiers!$G$4:$G$63,14)="","",INDEX(Dossiers!$G$4:$G$63,14)))</f>
        <v/>
      </c>
    </row>
    <row r="746">
      <c r="A746">
        <f>IF($B746="","",INDEX(Dossiers!$E$4:$E$63,15))</f>
        <v/>
      </c>
      <c r="B746">
        <f>IF(INDEX(Suivi!$B:$B,761)="","",INDEX(Suivi!$B:$B,761))</f>
        <v/>
      </c>
      <c r="C746">
        <f>IF($B746="","",IF(INDEX(Suivi!$D:$D,761)="",INDEX(Suivi!$C:$C,761),INDEX(Suivi!$D:$D,761)))</f>
        <v/>
      </c>
      <c r="D746" s="29">
        <f>IF($B746="","",INDEX(Suivi!$E:$E,761))</f>
        <v/>
      </c>
      <c r="E746" s="29">
        <f>IF($B746="","",INDEX(Suivi!$F:$F,761))</f>
        <v/>
      </c>
      <c r="F746">
        <f>IF($B746="","",INDEX(Suivi!$G:$G,761))</f>
        <v/>
      </c>
      <c r="H746">
        <f>IF(OR($B746="",NOT(ISNUMBER($D746))),"",IF($E746&lt;$D$2,"Passé",IF($D746&gt;$F$2,"À venir","Dans la période")))</f>
        <v/>
      </c>
      <c r="I746">
        <f>IF(OR($B746="",NOT(ISNUMBER($D746))),"",IF(AND($E746&lt;$D$2,$G746&lt;&gt;"X",$F746&lt;&gt;"Réalisé",$F746&lt;&gt;"Clôturé"),"RETARD",""))</f>
        <v/>
      </c>
      <c r="J746" s="29">
        <f>IF($B746="","",IF(INDEX(Dossiers!$F$4:$F$63,15)="","",INDEX(Dossiers!$F$4:$F$63,15)))</f>
        <v/>
      </c>
      <c r="K746" s="29">
        <f>IF($B746="","",IF(INDEX(Dossiers!$G$4:$G$63,15)="","",INDEX(Dossiers!$G$4:$G$63,15)))</f>
        <v/>
      </c>
    </row>
    <row r="747">
      <c r="A747">
        <f>IF($B747="","",INDEX(Dossiers!$E$4:$E$63,15))</f>
        <v/>
      </c>
      <c r="B747">
        <f>IF(INDEX(Suivi!$B:$B,762)="","",INDEX(Suivi!$B:$B,762))</f>
        <v/>
      </c>
      <c r="C747">
        <f>IF($B747="","",IF(INDEX(Suivi!$D:$D,762)="",INDEX(Suivi!$C:$C,762),INDEX(Suivi!$D:$D,762)))</f>
        <v/>
      </c>
      <c r="D747" s="29">
        <f>IF($B747="","",INDEX(Suivi!$E:$E,762))</f>
        <v/>
      </c>
      <c r="E747" s="29">
        <f>IF($B747="","",INDEX(Suivi!$F:$F,762))</f>
        <v/>
      </c>
      <c r="F747">
        <f>IF($B747="","",INDEX(Suivi!$G:$G,762))</f>
        <v/>
      </c>
      <c r="H747">
        <f>IF(OR($B747="",NOT(ISNUMBER($D747))),"",IF($E747&lt;$D$2,"Passé",IF($D747&gt;$F$2,"À venir","Dans la période")))</f>
        <v/>
      </c>
      <c r="I747">
        <f>IF(OR($B747="",NOT(ISNUMBER($D747))),"",IF(AND($E747&lt;$D$2,$G747&lt;&gt;"X",$F747&lt;&gt;"Réalisé",$F747&lt;&gt;"Clôturé"),"RETARD",""))</f>
        <v/>
      </c>
      <c r="J747" s="29">
        <f>IF($B747="","",IF(INDEX(Dossiers!$F$4:$F$63,15)="","",INDEX(Dossiers!$F$4:$F$63,15)))</f>
        <v/>
      </c>
      <c r="K747" s="29">
        <f>IF($B747="","",IF(INDEX(Dossiers!$G$4:$G$63,15)="","",INDEX(Dossiers!$G$4:$G$63,15)))</f>
        <v/>
      </c>
    </row>
    <row r="748">
      <c r="A748">
        <f>IF($B748="","",INDEX(Dossiers!$E$4:$E$63,15))</f>
        <v/>
      </c>
      <c r="B748">
        <f>IF(INDEX(Suivi!$B:$B,763)="","",INDEX(Suivi!$B:$B,763))</f>
        <v/>
      </c>
      <c r="C748">
        <f>IF($B748="","",IF(INDEX(Suivi!$D:$D,763)="",INDEX(Suivi!$C:$C,763),INDEX(Suivi!$D:$D,763)))</f>
        <v/>
      </c>
      <c r="D748" s="29">
        <f>IF($B748="","",INDEX(Suivi!$E:$E,763))</f>
        <v/>
      </c>
      <c r="E748" s="29">
        <f>IF($B748="","",INDEX(Suivi!$F:$F,763))</f>
        <v/>
      </c>
      <c r="F748">
        <f>IF($B748="","",INDEX(Suivi!$G:$G,763))</f>
        <v/>
      </c>
      <c r="H748">
        <f>IF(OR($B748="",NOT(ISNUMBER($D748))),"",IF($E748&lt;$D$2,"Passé",IF($D748&gt;$F$2,"À venir","Dans la période")))</f>
        <v/>
      </c>
      <c r="I748">
        <f>IF(OR($B748="",NOT(ISNUMBER($D748))),"",IF(AND($E748&lt;$D$2,$G748&lt;&gt;"X",$F748&lt;&gt;"Réalisé",$F748&lt;&gt;"Clôturé"),"RETARD",""))</f>
        <v/>
      </c>
      <c r="J748" s="29">
        <f>IF($B748="","",IF(INDEX(Dossiers!$F$4:$F$63,15)="","",INDEX(Dossiers!$F$4:$F$63,15)))</f>
        <v/>
      </c>
      <c r="K748" s="29">
        <f>IF($B748="","",IF(INDEX(Dossiers!$G$4:$G$63,15)="","",INDEX(Dossiers!$G$4:$G$63,15)))</f>
        <v/>
      </c>
    </row>
    <row r="749">
      <c r="A749">
        <f>IF($B749="","",INDEX(Dossiers!$E$4:$E$63,15))</f>
        <v/>
      </c>
      <c r="B749">
        <f>IF(INDEX(Suivi!$B:$B,764)="","",INDEX(Suivi!$B:$B,764))</f>
        <v/>
      </c>
      <c r="C749">
        <f>IF($B749="","",IF(INDEX(Suivi!$D:$D,764)="",INDEX(Suivi!$C:$C,764),INDEX(Suivi!$D:$D,764)))</f>
        <v/>
      </c>
      <c r="D749" s="29">
        <f>IF($B749="","",INDEX(Suivi!$E:$E,764))</f>
        <v/>
      </c>
      <c r="E749" s="29">
        <f>IF($B749="","",INDEX(Suivi!$F:$F,764))</f>
        <v/>
      </c>
      <c r="F749">
        <f>IF($B749="","",INDEX(Suivi!$G:$G,764))</f>
        <v/>
      </c>
      <c r="H749">
        <f>IF(OR($B749="",NOT(ISNUMBER($D749))),"",IF($E749&lt;$D$2,"Passé",IF($D749&gt;$F$2,"À venir","Dans la période")))</f>
        <v/>
      </c>
      <c r="I749">
        <f>IF(OR($B749="",NOT(ISNUMBER($D749))),"",IF(AND($E749&lt;$D$2,$G749&lt;&gt;"X",$F749&lt;&gt;"Réalisé",$F749&lt;&gt;"Clôturé"),"RETARD",""))</f>
        <v/>
      </c>
      <c r="J749" s="29">
        <f>IF($B749="","",IF(INDEX(Dossiers!$F$4:$F$63,15)="","",INDEX(Dossiers!$F$4:$F$63,15)))</f>
        <v/>
      </c>
      <c r="K749" s="29">
        <f>IF($B749="","",IF(INDEX(Dossiers!$G$4:$G$63,15)="","",INDEX(Dossiers!$G$4:$G$63,15)))</f>
        <v/>
      </c>
    </row>
    <row r="750">
      <c r="A750">
        <f>IF($B750="","",INDEX(Dossiers!$E$4:$E$63,15))</f>
        <v/>
      </c>
      <c r="B750">
        <f>IF(INDEX(Suivi!$B:$B,765)="","",INDEX(Suivi!$B:$B,765))</f>
        <v/>
      </c>
      <c r="C750">
        <f>IF($B750="","",IF(INDEX(Suivi!$D:$D,765)="",INDEX(Suivi!$C:$C,765),INDEX(Suivi!$D:$D,765)))</f>
        <v/>
      </c>
      <c r="D750" s="29">
        <f>IF($B750="","",INDEX(Suivi!$E:$E,765))</f>
        <v/>
      </c>
      <c r="E750" s="29">
        <f>IF($B750="","",INDEX(Suivi!$F:$F,765))</f>
        <v/>
      </c>
      <c r="F750">
        <f>IF($B750="","",INDEX(Suivi!$G:$G,765))</f>
        <v/>
      </c>
      <c r="H750">
        <f>IF(OR($B750="",NOT(ISNUMBER($D750))),"",IF($E750&lt;$D$2,"Passé",IF($D750&gt;$F$2,"À venir","Dans la période")))</f>
        <v/>
      </c>
      <c r="I750">
        <f>IF(OR($B750="",NOT(ISNUMBER($D750))),"",IF(AND($E750&lt;$D$2,$G750&lt;&gt;"X",$F750&lt;&gt;"Réalisé",$F750&lt;&gt;"Clôturé"),"RETARD",""))</f>
        <v/>
      </c>
      <c r="J750" s="29">
        <f>IF($B750="","",IF(INDEX(Dossiers!$F$4:$F$63,15)="","",INDEX(Dossiers!$F$4:$F$63,15)))</f>
        <v/>
      </c>
      <c r="K750" s="29">
        <f>IF($B750="","",IF(INDEX(Dossiers!$G$4:$G$63,15)="","",INDEX(Dossiers!$G$4:$G$63,15)))</f>
        <v/>
      </c>
    </row>
    <row r="751">
      <c r="A751">
        <f>IF($B751="","",INDEX(Dossiers!$E$4:$E$63,15))</f>
        <v/>
      </c>
      <c r="B751">
        <f>IF(INDEX(Suivi!$B:$B,766)="","",INDEX(Suivi!$B:$B,766))</f>
        <v/>
      </c>
      <c r="C751">
        <f>IF($B751="","",IF(INDEX(Suivi!$D:$D,766)="",INDEX(Suivi!$C:$C,766),INDEX(Suivi!$D:$D,766)))</f>
        <v/>
      </c>
      <c r="D751" s="29">
        <f>IF($B751="","",INDEX(Suivi!$E:$E,766))</f>
        <v/>
      </c>
      <c r="E751" s="29">
        <f>IF($B751="","",INDEX(Suivi!$F:$F,766))</f>
        <v/>
      </c>
      <c r="F751">
        <f>IF($B751="","",INDEX(Suivi!$G:$G,766))</f>
        <v/>
      </c>
      <c r="H751">
        <f>IF(OR($B751="",NOT(ISNUMBER($D751))),"",IF($E751&lt;$D$2,"Passé",IF($D751&gt;$F$2,"À venir","Dans la période")))</f>
        <v/>
      </c>
      <c r="I751">
        <f>IF(OR($B751="",NOT(ISNUMBER($D751))),"",IF(AND($E751&lt;$D$2,$G751&lt;&gt;"X",$F751&lt;&gt;"Réalisé",$F751&lt;&gt;"Clôturé"),"RETARD",""))</f>
        <v/>
      </c>
      <c r="J751" s="29">
        <f>IF($B751="","",IF(INDEX(Dossiers!$F$4:$F$63,15)="","",INDEX(Dossiers!$F$4:$F$63,15)))</f>
        <v/>
      </c>
      <c r="K751" s="29">
        <f>IF($B751="","",IF(INDEX(Dossiers!$G$4:$G$63,15)="","",INDEX(Dossiers!$G$4:$G$63,15)))</f>
        <v/>
      </c>
    </row>
    <row r="752">
      <c r="A752">
        <f>IF($B752="","",INDEX(Dossiers!$E$4:$E$63,15))</f>
        <v/>
      </c>
      <c r="B752">
        <f>IF(INDEX(Suivi!$B:$B,767)="","",INDEX(Suivi!$B:$B,767))</f>
        <v/>
      </c>
      <c r="C752">
        <f>IF($B752="","",IF(INDEX(Suivi!$D:$D,767)="",INDEX(Suivi!$C:$C,767),INDEX(Suivi!$D:$D,767)))</f>
        <v/>
      </c>
      <c r="D752" s="29">
        <f>IF($B752="","",INDEX(Suivi!$E:$E,767))</f>
        <v/>
      </c>
      <c r="E752" s="29">
        <f>IF($B752="","",INDEX(Suivi!$F:$F,767))</f>
        <v/>
      </c>
      <c r="F752">
        <f>IF($B752="","",INDEX(Suivi!$G:$G,767))</f>
        <v/>
      </c>
      <c r="H752">
        <f>IF(OR($B752="",NOT(ISNUMBER($D752))),"",IF($E752&lt;$D$2,"Passé",IF($D752&gt;$F$2,"À venir","Dans la période")))</f>
        <v/>
      </c>
      <c r="I752">
        <f>IF(OR($B752="",NOT(ISNUMBER($D752))),"",IF(AND($E752&lt;$D$2,$G752&lt;&gt;"X",$F752&lt;&gt;"Réalisé",$F752&lt;&gt;"Clôturé"),"RETARD",""))</f>
        <v/>
      </c>
      <c r="J752" s="29">
        <f>IF($B752="","",IF(INDEX(Dossiers!$F$4:$F$63,15)="","",INDEX(Dossiers!$F$4:$F$63,15)))</f>
        <v/>
      </c>
      <c r="K752" s="29">
        <f>IF($B752="","",IF(INDEX(Dossiers!$G$4:$G$63,15)="","",INDEX(Dossiers!$G$4:$G$63,15)))</f>
        <v/>
      </c>
    </row>
    <row r="753">
      <c r="A753">
        <f>IF($B753="","",INDEX(Dossiers!$E$4:$E$63,15))</f>
        <v/>
      </c>
      <c r="B753">
        <f>IF(INDEX(Suivi!$B:$B,768)="","",INDEX(Suivi!$B:$B,768))</f>
        <v/>
      </c>
      <c r="C753">
        <f>IF($B753="","",IF(INDEX(Suivi!$D:$D,768)="",INDEX(Suivi!$C:$C,768),INDEX(Suivi!$D:$D,768)))</f>
        <v/>
      </c>
      <c r="D753" s="29">
        <f>IF($B753="","",INDEX(Suivi!$E:$E,768))</f>
        <v/>
      </c>
      <c r="E753" s="29">
        <f>IF($B753="","",INDEX(Suivi!$F:$F,768))</f>
        <v/>
      </c>
      <c r="F753">
        <f>IF($B753="","",INDEX(Suivi!$G:$G,768))</f>
        <v/>
      </c>
      <c r="H753">
        <f>IF(OR($B753="",NOT(ISNUMBER($D753))),"",IF($E753&lt;$D$2,"Passé",IF($D753&gt;$F$2,"À venir","Dans la période")))</f>
        <v/>
      </c>
      <c r="I753">
        <f>IF(OR($B753="",NOT(ISNUMBER($D753))),"",IF(AND($E753&lt;$D$2,$G753&lt;&gt;"X",$F753&lt;&gt;"Réalisé",$F753&lt;&gt;"Clôturé"),"RETARD",""))</f>
        <v/>
      </c>
      <c r="J753" s="29">
        <f>IF($B753="","",IF(INDEX(Dossiers!$F$4:$F$63,15)="","",INDEX(Dossiers!$F$4:$F$63,15)))</f>
        <v/>
      </c>
      <c r="K753" s="29">
        <f>IF($B753="","",IF(INDEX(Dossiers!$G$4:$G$63,15)="","",INDEX(Dossiers!$G$4:$G$63,15)))</f>
        <v/>
      </c>
    </row>
    <row r="754">
      <c r="A754">
        <f>IF($B754="","",INDEX(Dossiers!$E$4:$E$63,15))</f>
        <v/>
      </c>
      <c r="B754">
        <f>IF(INDEX(Suivi!$B:$B,769)="","",INDEX(Suivi!$B:$B,769))</f>
        <v/>
      </c>
      <c r="C754">
        <f>IF($B754="","",IF(INDEX(Suivi!$D:$D,769)="",INDEX(Suivi!$C:$C,769),INDEX(Suivi!$D:$D,769)))</f>
        <v/>
      </c>
      <c r="D754" s="29">
        <f>IF($B754="","",INDEX(Suivi!$E:$E,769))</f>
        <v/>
      </c>
      <c r="E754" s="29">
        <f>IF($B754="","",INDEX(Suivi!$F:$F,769))</f>
        <v/>
      </c>
      <c r="F754">
        <f>IF($B754="","",INDEX(Suivi!$G:$G,769))</f>
        <v/>
      </c>
      <c r="H754">
        <f>IF(OR($B754="",NOT(ISNUMBER($D754))),"",IF($E754&lt;$D$2,"Passé",IF($D754&gt;$F$2,"À venir","Dans la période")))</f>
        <v/>
      </c>
      <c r="I754">
        <f>IF(OR($B754="",NOT(ISNUMBER($D754))),"",IF(AND($E754&lt;$D$2,$G754&lt;&gt;"X",$F754&lt;&gt;"Réalisé",$F754&lt;&gt;"Clôturé"),"RETARD",""))</f>
        <v/>
      </c>
      <c r="J754" s="29">
        <f>IF($B754="","",IF(INDEX(Dossiers!$F$4:$F$63,15)="","",INDEX(Dossiers!$F$4:$F$63,15)))</f>
        <v/>
      </c>
      <c r="K754" s="29">
        <f>IF($B754="","",IF(INDEX(Dossiers!$G$4:$G$63,15)="","",INDEX(Dossiers!$G$4:$G$63,15)))</f>
        <v/>
      </c>
    </row>
    <row r="755">
      <c r="A755">
        <f>IF($B755="","",INDEX(Dossiers!$E$4:$E$63,15))</f>
        <v/>
      </c>
      <c r="B755">
        <f>IF(INDEX(Suivi!$B:$B,770)="","",INDEX(Suivi!$B:$B,770))</f>
        <v/>
      </c>
      <c r="C755">
        <f>IF($B755="","",IF(INDEX(Suivi!$D:$D,770)="",INDEX(Suivi!$C:$C,770),INDEX(Suivi!$D:$D,770)))</f>
        <v/>
      </c>
      <c r="D755" s="29">
        <f>IF($B755="","",INDEX(Suivi!$E:$E,770))</f>
        <v/>
      </c>
      <c r="E755" s="29">
        <f>IF($B755="","",INDEX(Suivi!$F:$F,770))</f>
        <v/>
      </c>
      <c r="F755">
        <f>IF($B755="","",INDEX(Suivi!$G:$G,770))</f>
        <v/>
      </c>
      <c r="H755">
        <f>IF(OR($B755="",NOT(ISNUMBER($D755))),"",IF($E755&lt;$D$2,"Passé",IF($D755&gt;$F$2,"À venir","Dans la période")))</f>
        <v/>
      </c>
      <c r="I755">
        <f>IF(OR($B755="",NOT(ISNUMBER($D755))),"",IF(AND($E755&lt;$D$2,$G755&lt;&gt;"X",$F755&lt;&gt;"Réalisé",$F755&lt;&gt;"Clôturé"),"RETARD",""))</f>
        <v/>
      </c>
      <c r="J755" s="29">
        <f>IF($B755="","",IF(INDEX(Dossiers!$F$4:$F$63,15)="","",INDEX(Dossiers!$F$4:$F$63,15)))</f>
        <v/>
      </c>
      <c r="K755" s="29">
        <f>IF($B755="","",IF(INDEX(Dossiers!$G$4:$G$63,15)="","",INDEX(Dossiers!$G$4:$G$63,15)))</f>
        <v/>
      </c>
    </row>
    <row r="756">
      <c r="A756">
        <f>IF($B756="","",INDEX(Dossiers!$E$4:$E$63,15))</f>
        <v/>
      </c>
      <c r="B756">
        <f>IF(INDEX(Suivi!$B:$B,771)="","",INDEX(Suivi!$B:$B,771))</f>
        <v/>
      </c>
      <c r="C756">
        <f>IF($B756="","",IF(INDEX(Suivi!$D:$D,771)="",INDEX(Suivi!$C:$C,771),INDEX(Suivi!$D:$D,771)))</f>
        <v/>
      </c>
      <c r="D756" s="29">
        <f>IF($B756="","",INDEX(Suivi!$E:$E,771))</f>
        <v/>
      </c>
      <c r="E756" s="29">
        <f>IF($B756="","",INDEX(Suivi!$F:$F,771))</f>
        <v/>
      </c>
      <c r="F756">
        <f>IF($B756="","",INDEX(Suivi!$G:$G,771))</f>
        <v/>
      </c>
      <c r="H756">
        <f>IF(OR($B756="",NOT(ISNUMBER($D756))),"",IF($E756&lt;$D$2,"Passé",IF($D756&gt;$F$2,"À venir","Dans la période")))</f>
        <v/>
      </c>
      <c r="I756">
        <f>IF(OR($B756="",NOT(ISNUMBER($D756))),"",IF(AND($E756&lt;$D$2,$G756&lt;&gt;"X",$F756&lt;&gt;"Réalisé",$F756&lt;&gt;"Clôturé"),"RETARD",""))</f>
        <v/>
      </c>
      <c r="J756" s="29">
        <f>IF($B756="","",IF(INDEX(Dossiers!$F$4:$F$63,15)="","",INDEX(Dossiers!$F$4:$F$63,15)))</f>
        <v/>
      </c>
      <c r="K756" s="29">
        <f>IF($B756="","",IF(INDEX(Dossiers!$G$4:$G$63,15)="","",INDEX(Dossiers!$G$4:$G$63,15)))</f>
        <v/>
      </c>
    </row>
    <row r="757">
      <c r="A757">
        <f>IF($B757="","",INDEX(Dossiers!$E$4:$E$63,15))</f>
        <v/>
      </c>
      <c r="B757">
        <f>IF(INDEX(Suivi!$B:$B,772)="","",INDEX(Suivi!$B:$B,772))</f>
        <v/>
      </c>
      <c r="C757">
        <f>IF($B757="","",IF(INDEX(Suivi!$D:$D,772)="",INDEX(Suivi!$C:$C,772),INDEX(Suivi!$D:$D,772)))</f>
        <v/>
      </c>
      <c r="D757" s="29">
        <f>IF($B757="","",INDEX(Suivi!$E:$E,772))</f>
        <v/>
      </c>
      <c r="E757" s="29">
        <f>IF($B757="","",INDEX(Suivi!$F:$F,772))</f>
        <v/>
      </c>
      <c r="F757">
        <f>IF($B757="","",INDEX(Suivi!$G:$G,772))</f>
        <v/>
      </c>
      <c r="H757">
        <f>IF(OR($B757="",NOT(ISNUMBER($D757))),"",IF($E757&lt;$D$2,"Passé",IF($D757&gt;$F$2,"À venir","Dans la période")))</f>
        <v/>
      </c>
      <c r="I757">
        <f>IF(OR($B757="",NOT(ISNUMBER($D757))),"",IF(AND($E757&lt;$D$2,$G757&lt;&gt;"X",$F757&lt;&gt;"Réalisé",$F757&lt;&gt;"Clôturé"),"RETARD",""))</f>
        <v/>
      </c>
      <c r="J757" s="29">
        <f>IF($B757="","",IF(INDEX(Dossiers!$F$4:$F$63,15)="","",INDEX(Dossiers!$F$4:$F$63,15)))</f>
        <v/>
      </c>
      <c r="K757" s="29">
        <f>IF($B757="","",IF(INDEX(Dossiers!$G$4:$G$63,15)="","",INDEX(Dossiers!$G$4:$G$63,15)))</f>
        <v/>
      </c>
    </row>
    <row r="758">
      <c r="A758">
        <f>IF($B758="","",INDEX(Dossiers!$E$4:$E$63,15))</f>
        <v/>
      </c>
      <c r="B758">
        <f>IF(INDEX(Suivi!$B:$B,773)="","",INDEX(Suivi!$B:$B,773))</f>
        <v/>
      </c>
      <c r="C758">
        <f>IF($B758="","",IF(INDEX(Suivi!$D:$D,773)="",INDEX(Suivi!$C:$C,773),INDEX(Suivi!$D:$D,773)))</f>
        <v/>
      </c>
      <c r="D758" s="29">
        <f>IF($B758="","",INDEX(Suivi!$E:$E,773))</f>
        <v/>
      </c>
      <c r="E758" s="29">
        <f>IF($B758="","",INDEX(Suivi!$F:$F,773))</f>
        <v/>
      </c>
      <c r="F758">
        <f>IF($B758="","",INDEX(Suivi!$G:$G,773))</f>
        <v/>
      </c>
      <c r="H758">
        <f>IF(OR($B758="",NOT(ISNUMBER($D758))),"",IF($E758&lt;$D$2,"Passé",IF($D758&gt;$F$2,"À venir","Dans la période")))</f>
        <v/>
      </c>
      <c r="I758">
        <f>IF(OR($B758="",NOT(ISNUMBER($D758))),"",IF(AND($E758&lt;$D$2,$G758&lt;&gt;"X",$F758&lt;&gt;"Réalisé",$F758&lt;&gt;"Clôturé"),"RETARD",""))</f>
        <v/>
      </c>
      <c r="J758" s="29">
        <f>IF($B758="","",IF(INDEX(Dossiers!$F$4:$F$63,15)="","",INDEX(Dossiers!$F$4:$F$63,15)))</f>
        <v/>
      </c>
      <c r="K758" s="29">
        <f>IF($B758="","",IF(INDEX(Dossiers!$G$4:$G$63,15)="","",INDEX(Dossiers!$G$4:$G$63,15)))</f>
        <v/>
      </c>
    </row>
    <row r="759">
      <c r="A759">
        <f>IF($B759="","",INDEX(Dossiers!$E$4:$E$63,15))</f>
        <v/>
      </c>
      <c r="B759">
        <f>IF(INDEX(Suivi!$B:$B,774)="","",INDEX(Suivi!$B:$B,774))</f>
        <v/>
      </c>
      <c r="C759">
        <f>IF($B759="","",IF(INDEX(Suivi!$D:$D,774)="",INDEX(Suivi!$C:$C,774),INDEX(Suivi!$D:$D,774)))</f>
        <v/>
      </c>
      <c r="D759" s="29">
        <f>IF($B759="","",INDEX(Suivi!$E:$E,774))</f>
        <v/>
      </c>
      <c r="E759" s="29">
        <f>IF($B759="","",INDEX(Suivi!$F:$F,774))</f>
        <v/>
      </c>
      <c r="F759">
        <f>IF($B759="","",INDEX(Suivi!$G:$G,774))</f>
        <v/>
      </c>
      <c r="H759">
        <f>IF(OR($B759="",NOT(ISNUMBER($D759))),"",IF($E759&lt;$D$2,"Passé",IF($D759&gt;$F$2,"À venir","Dans la période")))</f>
        <v/>
      </c>
      <c r="I759">
        <f>IF(OR($B759="",NOT(ISNUMBER($D759))),"",IF(AND($E759&lt;$D$2,$G759&lt;&gt;"X",$F759&lt;&gt;"Réalisé",$F759&lt;&gt;"Clôturé"),"RETARD",""))</f>
        <v/>
      </c>
      <c r="J759" s="29">
        <f>IF($B759="","",IF(INDEX(Dossiers!$F$4:$F$63,15)="","",INDEX(Dossiers!$F$4:$F$63,15)))</f>
        <v/>
      </c>
      <c r="K759" s="29">
        <f>IF($B759="","",IF(INDEX(Dossiers!$G$4:$G$63,15)="","",INDEX(Dossiers!$G$4:$G$63,15)))</f>
        <v/>
      </c>
    </row>
    <row r="760">
      <c r="A760">
        <f>IF($B760="","",INDEX(Dossiers!$E$4:$E$63,15))</f>
        <v/>
      </c>
      <c r="B760">
        <f>IF(INDEX(Suivi!$B:$B,775)="","",INDEX(Suivi!$B:$B,775))</f>
        <v/>
      </c>
      <c r="C760">
        <f>IF($B760="","",IF(INDEX(Suivi!$D:$D,775)="",INDEX(Suivi!$C:$C,775),INDEX(Suivi!$D:$D,775)))</f>
        <v/>
      </c>
      <c r="D760" s="29">
        <f>IF($B760="","",INDEX(Suivi!$E:$E,775))</f>
        <v/>
      </c>
      <c r="E760" s="29">
        <f>IF($B760="","",INDEX(Suivi!$F:$F,775))</f>
        <v/>
      </c>
      <c r="F760">
        <f>IF($B760="","",INDEX(Suivi!$G:$G,775))</f>
        <v/>
      </c>
      <c r="H760">
        <f>IF(OR($B760="",NOT(ISNUMBER($D760))),"",IF($E760&lt;$D$2,"Passé",IF($D760&gt;$F$2,"À venir","Dans la période")))</f>
        <v/>
      </c>
      <c r="I760">
        <f>IF(OR($B760="",NOT(ISNUMBER($D760))),"",IF(AND($E760&lt;$D$2,$G760&lt;&gt;"X",$F760&lt;&gt;"Réalisé",$F760&lt;&gt;"Clôturé"),"RETARD",""))</f>
        <v/>
      </c>
      <c r="J760" s="29">
        <f>IF($B760="","",IF(INDEX(Dossiers!$F$4:$F$63,15)="","",INDEX(Dossiers!$F$4:$F$63,15)))</f>
        <v/>
      </c>
      <c r="K760" s="29">
        <f>IF($B760="","",IF(INDEX(Dossiers!$G$4:$G$63,15)="","",INDEX(Dossiers!$G$4:$G$63,15)))</f>
        <v/>
      </c>
    </row>
    <row r="761">
      <c r="A761">
        <f>IF($B761="","",INDEX(Dossiers!$E$4:$E$63,15))</f>
        <v/>
      </c>
      <c r="B761">
        <f>IF(INDEX(Suivi!$B:$B,776)="","",INDEX(Suivi!$B:$B,776))</f>
        <v/>
      </c>
      <c r="C761">
        <f>IF($B761="","",IF(INDEX(Suivi!$D:$D,776)="",INDEX(Suivi!$C:$C,776),INDEX(Suivi!$D:$D,776)))</f>
        <v/>
      </c>
      <c r="D761" s="29">
        <f>IF($B761="","",INDEX(Suivi!$E:$E,776))</f>
        <v/>
      </c>
      <c r="E761" s="29">
        <f>IF($B761="","",INDEX(Suivi!$F:$F,776))</f>
        <v/>
      </c>
      <c r="F761">
        <f>IF($B761="","",INDEX(Suivi!$G:$G,776))</f>
        <v/>
      </c>
      <c r="H761">
        <f>IF(OR($B761="",NOT(ISNUMBER($D761))),"",IF($E761&lt;$D$2,"Passé",IF($D761&gt;$F$2,"À venir","Dans la période")))</f>
        <v/>
      </c>
      <c r="I761">
        <f>IF(OR($B761="",NOT(ISNUMBER($D761))),"",IF(AND($E761&lt;$D$2,$G761&lt;&gt;"X",$F761&lt;&gt;"Réalisé",$F761&lt;&gt;"Clôturé"),"RETARD",""))</f>
        <v/>
      </c>
      <c r="J761" s="29">
        <f>IF($B761="","",IF(INDEX(Dossiers!$F$4:$F$63,15)="","",INDEX(Dossiers!$F$4:$F$63,15)))</f>
        <v/>
      </c>
      <c r="K761" s="29">
        <f>IF($B761="","",IF(INDEX(Dossiers!$G$4:$G$63,15)="","",INDEX(Dossiers!$G$4:$G$63,15)))</f>
        <v/>
      </c>
    </row>
    <row r="762">
      <c r="A762">
        <f>IF($B762="","",INDEX(Dossiers!$E$4:$E$63,15))</f>
        <v/>
      </c>
      <c r="B762">
        <f>IF(INDEX(Suivi!$B:$B,777)="","",INDEX(Suivi!$B:$B,777))</f>
        <v/>
      </c>
      <c r="C762">
        <f>IF($B762="","",IF(INDEX(Suivi!$D:$D,777)="",INDEX(Suivi!$C:$C,777),INDEX(Suivi!$D:$D,777)))</f>
        <v/>
      </c>
      <c r="D762" s="29">
        <f>IF($B762="","",INDEX(Suivi!$E:$E,777))</f>
        <v/>
      </c>
      <c r="E762" s="29">
        <f>IF($B762="","",INDEX(Suivi!$F:$F,777))</f>
        <v/>
      </c>
      <c r="F762">
        <f>IF($B762="","",INDEX(Suivi!$G:$G,777))</f>
        <v/>
      </c>
      <c r="H762">
        <f>IF(OR($B762="",NOT(ISNUMBER($D762))),"",IF($E762&lt;$D$2,"Passé",IF($D762&gt;$F$2,"À venir","Dans la période")))</f>
        <v/>
      </c>
      <c r="I762">
        <f>IF(OR($B762="",NOT(ISNUMBER($D762))),"",IF(AND($E762&lt;$D$2,$G762&lt;&gt;"X",$F762&lt;&gt;"Réalisé",$F762&lt;&gt;"Clôturé"),"RETARD",""))</f>
        <v/>
      </c>
      <c r="J762" s="29">
        <f>IF($B762="","",IF(INDEX(Dossiers!$F$4:$F$63,15)="","",INDEX(Dossiers!$F$4:$F$63,15)))</f>
        <v/>
      </c>
      <c r="K762" s="29">
        <f>IF($B762="","",IF(INDEX(Dossiers!$G$4:$G$63,15)="","",INDEX(Dossiers!$G$4:$G$63,15)))</f>
        <v/>
      </c>
    </row>
    <row r="763">
      <c r="A763">
        <f>IF($B763="","",INDEX(Dossiers!$E$4:$E$63,15))</f>
        <v/>
      </c>
      <c r="B763">
        <f>IF(INDEX(Suivi!$B:$B,778)="","",INDEX(Suivi!$B:$B,778))</f>
        <v/>
      </c>
      <c r="C763">
        <f>IF($B763="","",IF(INDEX(Suivi!$D:$D,778)="",INDEX(Suivi!$C:$C,778),INDEX(Suivi!$D:$D,778)))</f>
        <v/>
      </c>
      <c r="D763" s="29">
        <f>IF($B763="","",INDEX(Suivi!$E:$E,778))</f>
        <v/>
      </c>
      <c r="E763" s="29">
        <f>IF($B763="","",INDEX(Suivi!$F:$F,778))</f>
        <v/>
      </c>
      <c r="F763">
        <f>IF($B763="","",INDEX(Suivi!$G:$G,778))</f>
        <v/>
      </c>
      <c r="H763">
        <f>IF(OR($B763="",NOT(ISNUMBER($D763))),"",IF($E763&lt;$D$2,"Passé",IF($D763&gt;$F$2,"À venir","Dans la période")))</f>
        <v/>
      </c>
      <c r="I763">
        <f>IF(OR($B763="",NOT(ISNUMBER($D763))),"",IF(AND($E763&lt;$D$2,$G763&lt;&gt;"X",$F763&lt;&gt;"Réalisé",$F763&lt;&gt;"Clôturé"),"RETARD",""))</f>
        <v/>
      </c>
      <c r="J763" s="29">
        <f>IF($B763="","",IF(INDEX(Dossiers!$F$4:$F$63,15)="","",INDEX(Dossiers!$F$4:$F$63,15)))</f>
        <v/>
      </c>
      <c r="K763" s="29">
        <f>IF($B763="","",IF(INDEX(Dossiers!$G$4:$G$63,15)="","",INDEX(Dossiers!$G$4:$G$63,15)))</f>
        <v/>
      </c>
    </row>
    <row r="764">
      <c r="A764">
        <f>IF($B764="","",INDEX(Dossiers!$E$4:$E$63,15))</f>
        <v/>
      </c>
      <c r="B764">
        <f>IF(INDEX(Suivi!$B:$B,779)="","",INDEX(Suivi!$B:$B,779))</f>
        <v/>
      </c>
      <c r="C764">
        <f>IF($B764="","",IF(INDEX(Suivi!$D:$D,779)="",INDEX(Suivi!$C:$C,779),INDEX(Suivi!$D:$D,779)))</f>
        <v/>
      </c>
      <c r="D764" s="29">
        <f>IF($B764="","",INDEX(Suivi!$E:$E,779))</f>
        <v/>
      </c>
      <c r="E764" s="29">
        <f>IF($B764="","",INDEX(Suivi!$F:$F,779))</f>
        <v/>
      </c>
      <c r="F764">
        <f>IF($B764="","",INDEX(Suivi!$G:$G,779))</f>
        <v/>
      </c>
      <c r="H764">
        <f>IF(OR($B764="",NOT(ISNUMBER($D764))),"",IF($E764&lt;$D$2,"Passé",IF($D764&gt;$F$2,"À venir","Dans la période")))</f>
        <v/>
      </c>
      <c r="I764">
        <f>IF(OR($B764="",NOT(ISNUMBER($D764))),"",IF(AND($E764&lt;$D$2,$G764&lt;&gt;"X",$F764&lt;&gt;"Réalisé",$F764&lt;&gt;"Clôturé"),"RETARD",""))</f>
        <v/>
      </c>
      <c r="J764" s="29">
        <f>IF($B764="","",IF(INDEX(Dossiers!$F$4:$F$63,15)="","",INDEX(Dossiers!$F$4:$F$63,15)))</f>
        <v/>
      </c>
      <c r="K764" s="29">
        <f>IF($B764="","",IF(INDEX(Dossiers!$G$4:$G$63,15)="","",INDEX(Dossiers!$G$4:$G$63,15)))</f>
        <v/>
      </c>
    </row>
    <row r="765">
      <c r="A765">
        <f>IF($B765="","",INDEX(Dossiers!$E$4:$E$63,15))</f>
        <v/>
      </c>
      <c r="B765">
        <f>IF(INDEX(Suivi!$B:$B,780)="","",INDEX(Suivi!$B:$B,780))</f>
        <v/>
      </c>
      <c r="C765">
        <f>IF($B765="","",IF(INDEX(Suivi!$D:$D,780)="",INDEX(Suivi!$C:$C,780),INDEX(Suivi!$D:$D,780)))</f>
        <v/>
      </c>
      <c r="D765" s="29">
        <f>IF($B765="","",INDEX(Suivi!$E:$E,780))</f>
        <v/>
      </c>
      <c r="E765" s="29">
        <f>IF($B765="","",INDEX(Suivi!$F:$F,780))</f>
        <v/>
      </c>
      <c r="F765">
        <f>IF($B765="","",INDEX(Suivi!$G:$G,780))</f>
        <v/>
      </c>
      <c r="H765">
        <f>IF(OR($B765="",NOT(ISNUMBER($D765))),"",IF($E765&lt;$D$2,"Passé",IF($D765&gt;$F$2,"À venir","Dans la période")))</f>
        <v/>
      </c>
      <c r="I765">
        <f>IF(OR($B765="",NOT(ISNUMBER($D765))),"",IF(AND($E765&lt;$D$2,$G765&lt;&gt;"X",$F765&lt;&gt;"Réalisé",$F765&lt;&gt;"Clôturé"),"RETARD",""))</f>
        <v/>
      </c>
      <c r="J765" s="29">
        <f>IF($B765="","",IF(INDEX(Dossiers!$F$4:$F$63,15)="","",INDEX(Dossiers!$F$4:$F$63,15)))</f>
        <v/>
      </c>
      <c r="K765" s="29">
        <f>IF($B765="","",IF(INDEX(Dossiers!$G$4:$G$63,15)="","",INDEX(Dossiers!$G$4:$G$63,15)))</f>
        <v/>
      </c>
    </row>
    <row r="766">
      <c r="A766">
        <f>IF($B766="","",INDEX(Dossiers!$E$4:$E$63,15))</f>
        <v/>
      </c>
      <c r="B766">
        <f>IF(INDEX(Suivi!$B:$B,781)="","",INDEX(Suivi!$B:$B,781))</f>
        <v/>
      </c>
      <c r="C766">
        <f>IF($B766="","",IF(INDEX(Suivi!$D:$D,781)="",INDEX(Suivi!$C:$C,781),INDEX(Suivi!$D:$D,781)))</f>
        <v/>
      </c>
      <c r="D766" s="29">
        <f>IF($B766="","",INDEX(Suivi!$E:$E,781))</f>
        <v/>
      </c>
      <c r="E766" s="29">
        <f>IF($B766="","",INDEX(Suivi!$F:$F,781))</f>
        <v/>
      </c>
      <c r="F766">
        <f>IF($B766="","",INDEX(Suivi!$G:$G,781))</f>
        <v/>
      </c>
      <c r="H766">
        <f>IF(OR($B766="",NOT(ISNUMBER($D766))),"",IF($E766&lt;$D$2,"Passé",IF($D766&gt;$F$2,"À venir","Dans la période")))</f>
        <v/>
      </c>
      <c r="I766">
        <f>IF(OR($B766="",NOT(ISNUMBER($D766))),"",IF(AND($E766&lt;$D$2,$G766&lt;&gt;"X",$F766&lt;&gt;"Réalisé",$F766&lt;&gt;"Clôturé"),"RETARD",""))</f>
        <v/>
      </c>
      <c r="J766" s="29">
        <f>IF($B766="","",IF(INDEX(Dossiers!$F$4:$F$63,15)="","",INDEX(Dossiers!$F$4:$F$63,15)))</f>
        <v/>
      </c>
      <c r="K766" s="29">
        <f>IF($B766="","",IF(INDEX(Dossiers!$G$4:$G$63,15)="","",INDEX(Dossiers!$G$4:$G$63,15)))</f>
        <v/>
      </c>
    </row>
    <row r="767">
      <c r="A767">
        <f>IF($B767="","",INDEX(Dossiers!$E$4:$E$63,15))</f>
        <v/>
      </c>
      <c r="B767">
        <f>IF(INDEX(Suivi!$B:$B,782)="","",INDEX(Suivi!$B:$B,782))</f>
        <v/>
      </c>
      <c r="C767">
        <f>IF($B767="","",IF(INDEX(Suivi!$D:$D,782)="",INDEX(Suivi!$C:$C,782),INDEX(Suivi!$D:$D,782)))</f>
        <v/>
      </c>
      <c r="D767" s="29">
        <f>IF($B767="","",INDEX(Suivi!$E:$E,782))</f>
        <v/>
      </c>
      <c r="E767" s="29">
        <f>IF($B767="","",INDEX(Suivi!$F:$F,782))</f>
        <v/>
      </c>
      <c r="F767">
        <f>IF($B767="","",INDEX(Suivi!$G:$G,782))</f>
        <v/>
      </c>
      <c r="H767">
        <f>IF(OR($B767="",NOT(ISNUMBER($D767))),"",IF($E767&lt;$D$2,"Passé",IF($D767&gt;$F$2,"À venir","Dans la période")))</f>
        <v/>
      </c>
      <c r="I767">
        <f>IF(OR($B767="",NOT(ISNUMBER($D767))),"",IF(AND($E767&lt;$D$2,$G767&lt;&gt;"X",$F767&lt;&gt;"Réalisé",$F767&lt;&gt;"Clôturé"),"RETARD",""))</f>
        <v/>
      </c>
      <c r="J767" s="29">
        <f>IF($B767="","",IF(INDEX(Dossiers!$F$4:$F$63,15)="","",INDEX(Dossiers!$F$4:$F$63,15)))</f>
        <v/>
      </c>
      <c r="K767" s="29">
        <f>IF($B767="","",IF(INDEX(Dossiers!$G$4:$G$63,15)="","",INDEX(Dossiers!$G$4:$G$63,15)))</f>
        <v/>
      </c>
    </row>
    <row r="768">
      <c r="A768">
        <f>IF($B768="","",INDEX(Dossiers!$E$4:$E$63,15))</f>
        <v/>
      </c>
      <c r="B768">
        <f>IF(INDEX(Suivi!$B:$B,783)="","",INDEX(Suivi!$B:$B,783))</f>
        <v/>
      </c>
      <c r="C768">
        <f>IF($B768="","",IF(INDEX(Suivi!$D:$D,783)="",INDEX(Suivi!$C:$C,783),INDEX(Suivi!$D:$D,783)))</f>
        <v/>
      </c>
      <c r="D768" s="29">
        <f>IF($B768="","",INDEX(Suivi!$E:$E,783))</f>
        <v/>
      </c>
      <c r="E768" s="29">
        <f>IF($B768="","",INDEX(Suivi!$F:$F,783))</f>
        <v/>
      </c>
      <c r="F768">
        <f>IF($B768="","",INDEX(Suivi!$G:$G,783))</f>
        <v/>
      </c>
      <c r="H768">
        <f>IF(OR($B768="",NOT(ISNUMBER($D768))),"",IF($E768&lt;$D$2,"Passé",IF($D768&gt;$F$2,"À venir","Dans la période")))</f>
        <v/>
      </c>
      <c r="I768">
        <f>IF(OR($B768="",NOT(ISNUMBER($D768))),"",IF(AND($E768&lt;$D$2,$G768&lt;&gt;"X",$F768&lt;&gt;"Réalisé",$F768&lt;&gt;"Clôturé"),"RETARD",""))</f>
        <v/>
      </c>
      <c r="J768" s="29">
        <f>IF($B768="","",IF(INDEX(Dossiers!$F$4:$F$63,15)="","",INDEX(Dossiers!$F$4:$F$63,15)))</f>
        <v/>
      </c>
      <c r="K768" s="29">
        <f>IF($B768="","",IF(INDEX(Dossiers!$G$4:$G$63,15)="","",INDEX(Dossiers!$G$4:$G$63,15)))</f>
        <v/>
      </c>
    </row>
    <row r="769">
      <c r="A769">
        <f>IF($B769="","",INDEX(Dossiers!$E$4:$E$63,15))</f>
        <v/>
      </c>
      <c r="B769">
        <f>IF(INDEX(Suivi!$B:$B,784)="","",INDEX(Suivi!$B:$B,784))</f>
        <v/>
      </c>
      <c r="C769">
        <f>IF($B769="","",IF(INDEX(Suivi!$D:$D,784)="",INDEX(Suivi!$C:$C,784),INDEX(Suivi!$D:$D,784)))</f>
        <v/>
      </c>
      <c r="D769" s="29">
        <f>IF($B769="","",INDEX(Suivi!$E:$E,784))</f>
        <v/>
      </c>
      <c r="E769" s="29">
        <f>IF($B769="","",INDEX(Suivi!$F:$F,784))</f>
        <v/>
      </c>
      <c r="F769">
        <f>IF($B769="","",INDEX(Suivi!$G:$G,784))</f>
        <v/>
      </c>
      <c r="H769">
        <f>IF(OR($B769="",NOT(ISNUMBER($D769))),"",IF($E769&lt;$D$2,"Passé",IF($D769&gt;$F$2,"À venir","Dans la période")))</f>
        <v/>
      </c>
      <c r="I769">
        <f>IF(OR($B769="",NOT(ISNUMBER($D769))),"",IF(AND($E769&lt;$D$2,$G769&lt;&gt;"X",$F769&lt;&gt;"Réalisé",$F769&lt;&gt;"Clôturé"),"RETARD",""))</f>
        <v/>
      </c>
      <c r="J769" s="29">
        <f>IF($B769="","",IF(INDEX(Dossiers!$F$4:$F$63,15)="","",INDEX(Dossiers!$F$4:$F$63,15)))</f>
        <v/>
      </c>
      <c r="K769" s="29">
        <f>IF($B769="","",IF(INDEX(Dossiers!$G$4:$G$63,15)="","",INDEX(Dossiers!$G$4:$G$63,15)))</f>
        <v/>
      </c>
    </row>
    <row r="770">
      <c r="A770">
        <f>IF($B770="","",INDEX(Dossiers!$E$4:$E$63,15))</f>
        <v/>
      </c>
      <c r="B770">
        <f>IF(INDEX(Suivi!$B:$B,785)="","",INDEX(Suivi!$B:$B,785))</f>
        <v/>
      </c>
      <c r="C770">
        <f>IF($B770="","",IF(INDEX(Suivi!$D:$D,785)="",INDEX(Suivi!$C:$C,785),INDEX(Suivi!$D:$D,785)))</f>
        <v/>
      </c>
      <c r="D770" s="29">
        <f>IF($B770="","",INDEX(Suivi!$E:$E,785))</f>
        <v/>
      </c>
      <c r="E770" s="29">
        <f>IF($B770="","",INDEX(Suivi!$F:$F,785))</f>
        <v/>
      </c>
      <c r="F770">
        <f>IF($B770="","",INDEX(Suivi!$G:$G,785))</f>
        <v/>
      </c>
      <c r="H770">
        <f>IF(OR($B770="",NOT(ISNUMBER($D770))),"",IF($E770&lt;$D$2,"Passé",IF($D770&gt;$F$2,"À venir","Dans la période")))</f>
        <v/>
      </c>
      <c r="I770">
        <f>IF(OR($B770="",NOT(ISNUMBER($D770))),"",IF(AND($E770&lt;$D$2,$G770&lt;&gt;"X",$F770&lt;&gt;"Réalisé",$F770&lt;&gt;"Clôturé"),"RETARD",""))</f>
        <v/>
      </c>
      <c r="J770" s="29">
        <f>IF($B770="","",IF(INDEX(Dossiers!$F$4:$F$63,15)="","",INDEX(Dossiers!$F$4:$F$63,15)))</f>
        <v/>
      </c>
      <c r="K770" s="29">
        <f>IF($B770="","",IF(INDEX(Dossiers!$G$4:$G$63,15)="","",INDEX(Dossiers!$G$4:$G$63,15)))</f>
        <v/>
      </c>
    </row>
    <row r="771">
      <c r="A771">
        <f>IF($B771="","",INDEX(Dossiers!$E$4:$E$63,15))</f>
        <v/>
      </c>
      <c r="B771">
        <f>IF(INDEX(Suivi!$B:$B,786)="","",INDEX(Suivi!$B:$B,786))</f>
        <v/>
      </c>
      <c r="C771">
        <f>IF($B771="","",IF(INDEX(Suivi!$D:$D,786)="",INDEX(Suivi!$C:$C,786),INDEX(Suivi!$D:$D,786)))</f>
        <v/>
      </c>
      <c r="D771" s="29">
        <f>IF($B771="","",INDEX(Suivi!$E:$E,786))</f>
        <v/>
      </c>
      <c r="E771" s="29">
        <f>IF($B771="","",INDEX(Suivi!$F:$F,786))</f>
        <v/>
      </c>
      <c r="F771">
        <f>IF($B771="","",INDEX(Suivi!$G:$G,786))</f>
        <v/>
      </c>
      <c r="H771">
        <f>IF(OR($B771="",NOT(ISNUMBER($D771))),"",IF($E771&lt;$D$2,"Passé",IF($D771&gt;$F$2,"À venir","Dans la période")))</f>
        <v/>
      </c>
      <c r="I771">
        <f>IF(OR($B771="",NOT(ISNUMBER($D771))),"",IF(AND($E771&lt;$D$2,$G771&lt;&gt;"X",$F771&lt;&gt;"Réalisé",$F771&lt;&gt;"Clôturé"),"RETARD",""))</f>
        <v/>
      </c>
      <c r="J771" s="29">
        <f>IF($B771="","",IF(INDEX(Dossiers!$F$4:$F$63,15)="","",INDEX(Dossiers!$F$4:$F$63,15)))</f>
        <v/>
      </c>
      <c r="K771" s="29">
        <f>IF($B771="","",IF(INDEX(Dossiers!$G$4:$G$63,15)="","",INDEX(Dossiers!$G$4:$G$63,15)))</f>
        <v/>
      </c>
    </row>
    <row r="772">
      <c r="A772">
        <f>IF($B772="","",INDEX(Dossiers!$E$4:$E$63,15))</f>
        <v/>
      </c>
      <c r="B772">
        <f>IF(INDEX(Suivi!$B:$B,787)="","",INDEX(Suivi!$B:$B,787))</f>
        <v/>
      </c>
      <c r="C772">
        <f>IF($B772="","",IF(INDEX(Suivi!$D:$D,787)="",INDEX(Suivi!$C:$C,787),INDEX(Suivi!$D:$D,787)))</f>
        <v/>
      </c>
      <c r="D772" s="29">
        <f>IF($B772="","",INDEX(Suivi!$E:$E,787))</f>
        <v/>
      </c>
      <c r="E772" s="29">
        <f>IF($B772="","",INDEX(Suivi!$F:$F,787))</f>
        <v/>
      </c>
      <c r="F772">
        <f>IF($B772="","",INDEX(Suivi!$G:$G,787))</f>
        <v/>
      </c>
      <c r="H772">
        <f>IF(OR($B772="",NOT(ISNUMBER($D772))),"",IF($E772&lt;$D$2,"Passé",IF($D772&gt;$F$2,"À venir","Dans la période")))</f>
        <v/>
      </c>
      <c r="I772">
        <f>IF(OR($B772="",NOT(ISNUMBER($D772))),"",IF(AND($E772&lt;$D$2,$G772&lt;&gt;"X",$F772&lt;&gt;"Réalisé",$F772&lt;&gt;"Clôturé"),"RETARD",""))</f>
        <v/>
      </c>
      <c r="J772" s="29">
        <f>IF($B772="","",IF(INDEX(Dossiers!$F$4:$F$63,15)="","",INDEX(Dossiers!$F$4:$F$63,15)))</f>
        <v/>
      </c>
      <c r="K772" s="29">
        <f>IF($B772="","",IF(INDEX(Dossiers!$G$4:$G$63,15)="","",INDEX(Dossiers!$G$4:$G$63,15)))</f>
        <v/>
      </c>
    </row>
    <row r="773">
      <c r="A773">
        <f>IF($B773="","",INDEX(Dossiers!$E$4:$E$63,15))</f>
        <v/>
      </c>
      <c r="B773">
        <f>IF(INDEX(Suivi!$B:$B,788)="","",INDEX(Suivi!$B:$B,788))</f>
        <v/>
      </c>
      <c r="C773">
        <f>IF($B773="","",IF(INDEX(Suivi!$D:$D,788)="",INDEX(Suivi!$C:$C,788),INDEX(Suivi!$D:$D,788)))</f>
        <v/>
      </c>
      <c r="D773" s="29">
        <f>IF($B773="","",INDEX(Suivi!$E:$E,788))</f>
        <v/>
      </c>
      <c r="E773" s="29">
        <f>IF($B773="","",INDEX(Suivi!$F:$F,788))</f>
        <v/>
      </c>
      <c r="F773">
        <f>IF($B773="","",INDEX(Suivi!$G:$G,788))</f>
        <v/>
      </c>
      <c r="H773">
        <f>IF(OR($B773="",NOT(ISNUMBER($D773))),"",IF($E773&lt;$D$2,"Passé",IF($D773&gt;$F$2,"À venir","Dans la période")))</f>
        <v/>
      </c>
      <c r="I773">
        <f>IF(OR($B773="",NOT(ISNUMBER($D773))),"",IF(AND($E773&lt;$D$2,$G773&lt;&gt;"X",$F773&lt;&gt;"Réalisé",$F773&lt;&gt;"Clôturé"),"RETARD",""))</f>
        <v/>
      </c>
      <c r="J773" s="29">
        <f>IF($B773="","",IF(INDEX(Dossiers!$F$4:$F$63,15)="","",INDEX(Dossiers!$F$4:$F$63,15)))</f>
        <v/>
      </c>
      <c r="K773" s="29">
        <f>IF($B773="","",IF(INDEX(Dossiers!$G$4:$G$63,15)="","",INDEX(Dossiers!$G$4:$G$63,15)))</f>
        <v/>
      </c>
    </row>
    <row r="774">
      <c r="A774">
        <f>IF($B774="","",INDEX(Dossiers!$E$4:$E$63,15))</f>
        <v/>
      </c>
      <c r="B774">
        <f>IF(INDEX(Suivi!$B:$B,789)="","",INDEX(Suivi!$B:$B,789))</f>
        <v/>
      </c>
      <c r="C774">
        <f>IF($B774="","",IF(INDEX(Suivi!$D:$D,789)="",INDEX(Suivi!$C:$C,789),INDEX(Suivi!$D:$D,789)))</f>
        <v/>
      </c>
      <c r="D774" s="29">
        <f>IF($B774="","",INDEX(Suivi!$E:$E,789))</f>
        <v/>
      </c>
      <c r="E774" s="29">
        <f>IF($B774="","",INDEX(Suivi!$F:$F,789))</f>
        <v/>
      </c>
      <c r="F774">
        <f>IF($B774="","",INDEX(Suivi!$G:$G,789))</f>
        <v/>
      </c>
      <c r="H774">
        <f>IF(OR($B774="",NOT(ISNUMBER($D774))),"",IF($E774&lt;$D$2,"Passé",IF($D774&gt;$F$2,"À venir","Dans la période")))</f>
        <v/>
      </c>
      <c r="I774">
        <f>IF(OR($B774="",NOT(ISNUMBER($D774))),"",IF(AND($E774&lt;$D$2,$G774&lt;&gt;"X",$F774&lt;&gt;"Réalisé",$F774&lt;&gt;"Clôturé"),"RETARD",""))</f>
        <v/>
      </c>
      <c r="J774" s="29">
        <f>IF($B774="","",IF(INDEX(Dossiers!$F$4:$F$63,15)="","",INDEX(Dossiers!$F$4:$F$63,15)))</f>
        <v/>
      </c>
      <c r="K774" s="29">
        <f>IF($B774="","",IF(INDEX(Dossiers!$G$4:$G$63,15)="","",INDEX(Dossiers!$G$4:$G$63,15)))</f>
        <v/>
      </c>
    </row>
    <row r="775">
      <c r="A775">
        <f>IF($B775="","",INDEX(Dossiers!$E$4:$E$63,15))</f>
        <v/>
      </c>
      <c r="B775">
        <f>IF(INDEX(Suivi!$B:$B,790)="","",INDEX(Suivi!$B:$B,790))</f>
        <v/>
      </c>
      <c r="C775">
        <f>IF($B775="","",IF(INDEX(Suivi!$D:$D,790)="",INDEX(Suivi!$C:$C,790),INDEX(Suivi!$D:$D,790)))</f>
        <v/>
      </c>
      <c r="D775" s="29">
        <f>IF($B775="","",INDEX(Suivi!$E:$E,790))</f>
        <v/>
      </c>
      <c r="E775" s="29">
        <f>IF($B775="","",INDEX(Suivi!$F:$F,790))</f>
        <v/>
      </c>
      <c r="F775">
        <f>IF($B775="","",INDEX(Suivi!$G:$G,790))</f>
        <v/>
      </c>
      <c r="H775">
        <f>IF(OR($B775="",NOT(ISNUMBER($D775))),"",IF($E775&lt;$D$2,"Passé",IF($D775&gt;$F$2,"À venir","Dans la période")))</f>
        <v/>
      </c>
      <c r="I775">
        <f>IF(OR($B775="",NOT(ISNUMBER($D775))),"",IF(AND($E775&lt;$D$2,$G775&lt;&gt;"X",$F775&lt;&gt;"Réalisé",$F775&lt;&gt;"Clôturé"),"RETARD",""))</f>
        <v/>
      </c>
      <c r="J775" s="29">
        <f>IF($B775="","",IF(INDEX(Dossiers!$F$4:$F$63,15)="","",INDEX(Dossiers!$F$4:$F$63,15)))</f>
        <v/>
      </c>
      <c r="K775" s="29">
        <f>IF($B775="","",IF(INDEX(Dossiers!$G$4:$G$63,15)="","",INDEX(Dossiers!$G$4:$G$63,15)))</f>
        <v/>
      </c>
    </row>
    <row r="776">
      <c r="A776">
        <f>IF($B776="","",INDEX(Dossiers!$E$4:$E$63,15))</f>
        <v/>
      </c>
      <c r="B776">
        <f>IF(INDEX(Suivi!$B:$B,791)="","",INDEX(Suivi!$B:$B,791))</f>
        <v/>
      </c>
      <c r="C776">
        <f>IF($B776="","",IF(INDEX(Suivi!$D:$D,791)="",INDEX(Suivi!$C:$C,791),INDEX(Suivi!$D:$D,791)))</f>
        <v/>
      </c>
      <c r="D776" s="29">
        <f>IF($B776="","",INDEX(Suivi!$E:$E,791))</f>
        <v/>
      </c>
      <c r="E776" s="29">
        <f>IF($B776="","",INDEX(Suivi!$F:$F,791))</f>
        <v/>
      </c>
      <c r="F776">
        <f>IF($B776="","",INDEX(Suivi!$G:$G,791))</f>
        <v/>
      </c>
      <c r="H776">
        <f>IF(OR($B776="",NOT(ISNUMBER($D776))),"",IF($E776&lt;$D$2,"Passé",IF($D776&gt;$F$2,"À venir","Dans la période")))</f>
        <v/>
      </c>
      <c r="I776">
        <f>IF(OR($B776="",NOT(ISNUMBER($D776))),"",IF(AND($E776&lt;$D$2,$G776&lt;&gt;"X",$F776&lt;&gt;"Réalisé",$F776&lt;&gt;"Clôturé"),"RETARD",""))</f>
        <v/>
      </c>
      <c r="J776" s="29">
        <f>IF($B776="","",IF(INDEX(Dossiers!$F$4:$F$63,15)="","",INDEX(Dossiers!$F$4:$F$63,15)))</f>
        <v/>
      </c>
      <c r="K776" s="29">
        <f>IF($B776="","",IF(INDEX(Dossiers!$G$4:$G$63,15)="","",INDEX(Dossiers!$G$4:$G$63,15)))</f>
        <v/>
      </c>
    </row>
    <row r="777">
      <c r="A777">
        <f>IF($B777="","",INDEX(Dossiers!$E$4:$E$63,15))</f>
        <v/>
      </c>
      <c r="B777">
        <f>IF(INDEX(Suivi!$B:$B,792)="","",INDEX(Suivi!$B:$B,792))</f>
        <v/>
      </c>
      <c r="C777">
        <f>IF($B777="","",IF(INDEX(Suivi!$D:$D,792)="",INDEX(Suivi!$C:$C,792),INDEX(Suivi!$D:$D,792)))</f>
        <v/>
      </c>
      <c r="D777" s="29">
        <f>IF($B777="","",INDEX(Suivi!$E:$E,792))</f>
        <v/>
      </c>
      <c r="E777" s="29">
        <f>IF($B777="","",INDEX(Suivi!$F:$F,792))</f>
        <v/>
      </c>
      <c r="F777">
        <f>IF($B777="","",INDEX(Suivi!$G:$G,792))</f>
        <v/>
      </c>
      <c r="H777">
        <f>IF(OR($B777="",NOT(ISNUMBER($D777))),"",IF($E777&lt;$D$2,"Passé",IF($D777&gt;$F$2,"À venir","Dans la période")))</f>
        <v/>
      </c>
      <c r="I777">
        <f>IF(OR($B777="",NOT(ISNUMBER($D777))),"",IF(AND($E777&lt;$D$2,$G777&lt;&gt;"X",$F777&lt;&gt;"Réalisé",$F777&lt;&gt;"Clôturé"),"RETARD",""))</f>
        <v/>
      </c>
      <c r="J777" s="29">
        <f>IF($B777="","",IF(INDEX(Dossiers!$F$4:$F$63,15)="","",INDEX(Dossiers!$F$4:$F$63,15)))</f>
        <v/>
      </c>
      <c r="K777" s="29">
        <f>IF($B777="","",IF(INDEX(Dossiers!$G$4:$G$63,15)="","",INDEX(Dossiers!$G$4:$G$63,15)))</f>
        <v/>
      </c>
    </row>
    <row r="778">
      <c r="A778">
        <f>IF($B778="","",INDEX(Dossiers!$E$4:$E$63,15))</f>
        <v/>
      </c>
      <c r="B778">
        <f>IF(INDEX(Suivi!$B:$B,793)="","",INDEX(Suivi!$B:$B,793))</f>
        <v/>
      </c>
      <c r="C778">
        <f>IF($B778="","",IF(INDEX(Suivi!$D:$D,793)="",INDEX(Suivi!$C:$C,793),INDEX(Suivi!$D:$D,793)))</f>
        <v/>
      </c>
      <c r="D778" s="29">
        <f>IF($B778="","",INDEX(Suivi!$E:$E,793))</f>
        <v/>
      </c>
      <c r="E778" s="29">
        <f>IF($B778="","",INDEX(Suivi!$F:$F,793))</f>
        <v/>
      </c>
      <c r="F778">
        <f>IF($B778="","",INDEX(Suivi!$G:$G,793))</f>
        <v/>
      </c>
      <c r="H778">
        <f>IF(OR($B778="",NOT(ISNUMBER($D778))),"",IF($E778&lt;$D$2,"Passé",IF($D778&gt;$F$2,"À venir","Dans la période")))</f>
        <v/>
      </c>
      <c r="I778">
        <f>IF(OR($B778="",NOT(ISNUMBER($D778))),"",IF(AND($E778&lt;$D$2,$G778&lt;&gt;"X",$F778&lt;&gt;"Réalisé",$F778&lt;&gt;"Clôturé"),"RETARD",""))</f>
        <v/>
      </c>
      <c r="J778" s="29">
        <f>IF($B778="","",IF(INDEX(Dossiers!$F$4:$F$63,15)="","",INDEX(Dossiers!$F$4:$F$63,15)))</f>
        <v/>
      </c>
      <c r="K778" s="29">
        <f>IF($B778="","",IF(INDEX(Dossiers!$G$4:$G$63,15)="","",INDEX(Dossiers!$G$4:$G$63,15)))</f>
        <v/>
      </c>
    </row>
    <row r="779">
      <c r="A779">
        <f>IF($B779="","",INDEX(Dossiers!$E$4:$E$63,15))</f>
        <v/>
      </c>
      <c r="B779">
        <f>IF(INDEX(Suivi!$B:$B,794)="","",INDEX(Suivi!$B:$B,794))</f>
        <v/>
      </c>
      <c r="C779">
        <f>IF($B779="","",IF(INDEX(Suivi!$D:$D,794)="",INDEX(Suivi!$C:$C,794),INDEX(Suivi!$D:$D,794)))</f>
        <v/>
      </c>
      <c r="D779" s="29">
        <f>IF($B779="","",INDEX(Suivi!$E:$E,794))</f>
        <v/>
      </c>
      <c r="E779" s="29">
        <f>IF($B779="","",INDEX(Suivi!$F:$F,794))</f>
        <v/>
      </c>
      <c r="F779">
        <f>IF($B779="","",INDEX(Suivi!$G:$G,794))</f>
        <v/>
      </c>
      <c r="H779">
        <f>IF(OR($B779="",NOT(ISNUMBER($D779))),"",IF($E779&lt;$D$2,"Passé",IF($D779&gt;$F$2,"À venir","Dans la période")))</f>
        <v/>
      </c>
      <c r="I779">
        <f>IF(OR($B779="",NOT(ISNUMBER($D779))),"",IF(AND($E779&lt;$D$2,$G779&lt;&gt;"X",$F779&lt;&gt;"Réalisé",$F779&lt;&gt;"Clôturé"),"RETARD",""))</f>
        <v/>
      </c>
      <c r="J779" s="29">
        <f>IF($B779="","",IF(INDEX(Dossiers!$F$4:$F$63,15)="","",INDEX(Dossiers!$F$4:$F$63,15)))</f>
        <v/>
      </c>
      <c r="K779" s="29">
        <f>IF($B779="","",IF(INDEX(Dossiers!$G$4:$G$63,15)="","",INDEX(Dossiers!$G$4:$G$63,15)))</f>
        <v/>
      </c>
    </row>
    <row r="780">
      <c r="A780">
        <f>IF($B780="","",INDEX(Dossiers!$E$4:$E$63,15))</f>
        <v/>
      </c>
      <c r="B780">
        <f>IF(INDEX(Suivi!$B:$B,795)="","",INDEX(Suivi!$B:$B,795))</f>
        <v/>
      </c>
      <c r="C780">
        <f>IF($B780="","",IF(INDEX(Suivi!$D:$D,795)="",INDEX(Suivi!$C:$C,795),INDEX(Suivi!$D:$D,795)))</f>
        <v/>
      </c>
      <c r="D780" s="29">
        <f>IF($B780="","",INDEX(Suivi!$E:$E,795))</f>
        <v/>
      </c>
      <c r="E780" s="29">
        <f>IF($B780="","",INDEX(Suivi!$F:$F,795))</f>
        <v/>
      </c>
      <c r="F780">
        <f>IF($B780="","",INDEX(Suivi!$G:$G,795))</f>
        <v/>
      </c>
      <c r="H780">
        <f>IF(OR($B780="",NOT(ISNUMBER($D780))),"",IF($E780&lt;$D$2,"Passé",IF($D780&gt;$F$2,"À venir","Dans la période")))</f>
        <v/>
      </c>
      <c r="I780">
        <f>IF(OR($B780="",NOT(ISNUMBER($D780))),"",IF(AND($E780&lt;$D$2,$G780&lt;&gt;"X",$F780&lt;&gt;"Réalisé",$F780&lt;&gt;"Clôturé"),"RETARD",""))</f>
        <v/>
      </c>
      <c r="J780" s="29">
        <f>IF($B780="","",IF(INDEX(Dossiers!$F$4:$F$63,15)="","",INDEX(Dossiers!$F$4:$F$63,15)))</f>
        <v/>
      </c>
      <c r="K780" s="29">
        <f>IF($B780="","",IF(INDEX(Dossiers!$G$4:$G$63,15)="","",INDEX(Dossiers!$G$4:$G$63,15)))</f>
        <v/>
      </c>
    </row>
    <row r="781">
      <c r="A781">
        <f>IF($B781="","",INDEX(Dossiers!$E$4:$E$63,15))</f>
        <v/>
      </c>
      <c r="B781">
        <f>IF(INDEX(Suivi!$B:$B,796)="","",INDEX(Suivi!$B:$B,796))</f>
        <v/>
      </c>
      <c r="C781">
        <f>IF($B781="","",IF(INDEX(Suivi!$D:$D,796)="",INDEX(Suivi!$C:$C,796),INDEX(Suivi!$D:$D,796)))</f>
        <v/>
      </c>
      <c r="D781" s="29">
        <f>IF($B781="","",INDEX(Suivi!$E:$E,796))</f>
        <v/>
      </c>
      <c r="E781" s="29">
        <f>IF($B781="","",INDEX(Suivi!$F:$F,796))</f>
        <v/>
      </c>
      <c r="F781">
        <f>IF($B781="","",INDEX(Suivi!$G:$G,796))</f>
        <v/>
      </c>
      <c r="H781">
        <f>IF(OR($B781="",NOT(ISNUMBER($D781))),"",IF($E781&lt;$D$2,"Passé",IF($D781&gt;$F$2,"À venir","Dans la période")))</f>
        <v/>
      </c>
      <c r="I781">
        <f>IF(OR($B781="",NOT(ISNUMBER($D781))),"",IF(AND($E781&lt;$D$2,$G781&lt;&gt;"X",$F781&lt;&gt;"Réalisé",$F781&lt;&gt;"Clôturé"),"RETARD",""))</f>
        <v/>
      </c>
      <c r="J781" s="29">
        <f>IF($B781="","",IF(INDEX(Dossiers!$F$4:$F$63,15)="","",INDEX(Dossiers!$F$4:$F$63,15)))</f>
        <v/>
      </c>
      <c r="K781" s="29">
        <f>IF($B781="","",IF(INDEX(Dossiers!$G$4:$G$63,15)="","",INDEX(Dossiers!$G$4:$G$63,15)))</f>
        <v/>
      </c>
    </row>
    <row r="782">
      <c r="A782">
        <f>IF($B782="","",INDEX(Dossiers!$E$4:$E$63,15))</f>
        <v/>
      </c>
      <c r="B782">
        <f>IF(INDEX(Suivi!$B:$B,797)="","",INDEX(Suivi!$B:$B,797))</f>
        <v/>
      </c>
      <c r="C782">
        <f>IF($B782="","",IF(INDEX(Suivi!$D:$D,797)="",INDEX(Suivi!$C:$C,797),INDEX(Suivi!$D:$D,797)))</f>
        <v/>
      </c>
      <c r="D782" s="29">
        <f>IF($B782="","",INDEX(Suivi!$E:$E,797))</f>
        <v/>
      </c>
      <c r="E782" s="29">
        <f>IF($B782="","",INDEX(Suivi!$F:$F,797))</f>
        <v/>
      </c>
      <c r="F782">
        <f>IF($B782="","",INDEX(Suivi!$G:$G,797))</f>
        <v/>
      </c>
      <c r="H782">
        <f>IF(OR($B782="",NOT(ISNUMBER($D782))),"",IF($E782&lt;$D$2,"Passé",IF($D782&gt;$F$2,"À venir","Dans la période")))</f>
        <v/>
      </c>
      <c r="I782">
        <f>IF(OR($B782="",NOT(ISNUMBER($D782))),"",IF(AND($E782&lt;$D$2,$G782&lt;&gt;"X",$F782&lt;&gt;"Réalisé",$F782&lt;&gt;"Clôturé"),"RETARD",""))</f>
        <v/>
      </c>
      <c r="J782" s="29">
        <f>IF($B782="","",IF(INDEX(Dossiers!$F$4:$F$63,15)="","",INDEX(Dossiers!$F$4:$F$63,15)))</f>
        <v/>
      </c>
      <c r="K782" s="29">
        <f>IF($B782="","",IF(INDEX(Dossiers!$G$4:$G$63,15)="","",INDEX(Dossiers!$G$4:$G$63,15)))</f>
        <v/>
      </c>
    </row>
    <row r="783">
      <c r="A783">
        <f>IF($B783="","",INDEX(Dossiers!$E$4:$E$63,15))</f>
        <v/>
      </c>
      <c r="B783">
        <f>IF(INDEX(Suivi!$B:$B,798)="","",INDEX(Suivi!$B:$B,798))</f>
        <v/>
      </c>
      <c r="C783">
        <f>IF($B783="","",IF(INDEX(Suivi!$D:$D,798)="",INDEX(Suivi!$C:$C,798),INDEX(Suivi!$D:$D,798)))</f>
        <v/>
      </c>
      <c r="D783" s="29">
        <f>IF($B783="","",INDEX(Suivi!$E:$E,798))</f>
        <v/>
      </c>
      <c r="E783" s="29">
        <f>IF($B783="","",INDEX(Suivi!$F:$F,798))</f>
        <v/>
      </c>
      <c r="F783">
        <f>IF($B783="","",INDEX(Suivi!$G:$G,798))</f>
        <v/>
      </c>
      <c r="H783">
        <f>IF(OR($B783="",NOT(ISNUMBER($D783))),"",IF($E783&lt;$D$2,"Passé",IF($D783&gt;$F$2,"À venir","Dans la période")))</f>
        <v/>
      </c>
      <c r="I783">
        <f>IF(OR($B783="",NOT(ISNUMBER($D783))),"",IF(AND($E783&lt;$D$2,$G783&lt;&gt;"X",$F783&lt;&gt;"Réalisé",$F783&lt;&gt;"Clôturé"),"RETARD",""))</f>
        <v/>
      </c>
      <c r="J783" s="29">
        <f>IF($B783="","",IF(INDEX(Dossiers!$F$4:$F$63,15)="","",INDEX(Dossiers!$F$4:$F$63,15)))</f>
        <v/>
      </c>
      <c r="K783" s="29">
        <f>IF($B783="","",IF(INDEX(Dossiers!$G$4:$G$63,15)="","",INDEX(Dossiers!$G$4:$G$63,15)))</f>
        <v/>
      </c>
    </row>
    <row r="784">
      <c r="A784">
        <f>IF($B784="","",INDEX(Dossiers!$E$4:$E$63,15))</f>
        <v/>
      </c>
      <c r="B784">
        <f>IF(INDEX(Suivi!$B:$B,799)="","",INDEX(Suivi!$B:$B,799))</f>
        <v/>
      </c>
      <c r="C784">
        <f>IF($B784="","",IF(INDEX(Suivi!$D:$D,799)="",INDEX(Suivi!$C:$C,799),INDEX(Suivi!$D:$D,799)))</f>
        <v/>
      </c>
      <c r="D784" s="29">
        <f>IF($B784="","",INDEX(Suivi!$E:$E,799))</f>
        <v/>
      </c>
      <c r="E784" s="29">
        <f>IF($B784="","",INDEX(Suivi!$F:$F,799))</f>
        <v/>
      </c>
      <c r="F784">
        <f>IF($B784="","",INDEX(Suivi!$G:$G,799))</f>
        <v/>
      </c>
      <c r="H784">
        <f>IF(OR($B784="",NOT(ISNUMBER($D784))),"",IF($E784&lt;$D$2,"Passé",IF($D784&gt;$F$2,"À venir","Dans la période")))</f>
        <v/>
      </c>
      <c r="I784">
        <f>IF(OR($B784="",NOT(ISNUMBER($D784))),"",IF(AND($E784&lt;$D$2,$G784&lt;&gt;"X",$F784&lt;&gt;"Réalisé",$F784&lt;&gt;"Clôturé"),"RETARD",""))</f>
        <v/>
      </c>
      <c r="J784" s="29">
        <f>IF($B784="","",IF(INDEX(Dossiers!$F$4:$F$63,15)="","",INDEX(Dossiers!$F$4:$F$63,15)))</f>
        <v/>
      </c>
      <c r="K784" s="29">
        <f>IF($B784="","",IF(INDEX(Dossiers!$G$4:$G$63,15)="","",INDEX(Dossiers!$G$4:$G$63,15)))</f>
        <v/>
      </c>
    </row>
    <row r="785">
      <c r="A785">
        <f>IF($B785="","",INDEX(Dossiers!$E$4:$E$63,15))</f>
        <v/>
      </c>
      <c r="B785">
        <f>IF(INDEX(Suivi!$B:$B,800)="","",INDEX(Suivi!$B:$B,800))</f>
        <v/>
      </c>
      <c r="C785">
        <f>IF($B785="","",IF(INDEX(Suivi!$D:$D,800)="",INDEX(Suivi!$C:$C,800),INDEX(Suivi!$D:$D,800)))</f>
        <v/>
      </c>
      <c r="D785" s="29">
        <f>IF($B785="","",INDEX(Suivi!$E:$E,800))</f>
        <v/>
      </c>
      <c r="E785" s="29">
        <f>IF($B785="","",INDEX(Suivi!$F:$F,800))</f>
        <v/>
      </c>
      <c r="F785">
        <f>IF($B785="","",INDEX(Suivi!$G:$G,800))</f>
        <v/>
      </c>
      <c r="H785">
        <f>IF(OR($B785="",NOT(ISNUMBER($D785))),"",IF($E785&lt;$D$2,"Passé",IF($D785&gt;$F$2,"À venir","Dans la période")))</f>
        <v/>
      </c>
      <c r="I785">
        <f>IF(OR($B785="",NOT(ISNUMBER($D785))),"",IF(AND($E785&lt;$D$2,$G785&lt;&gt;"X",$F785&lt;&gt;"Réalisé",$F785&lt;&gt;"Clôturé"),"RETARD",""))</f>
        <v/>
      </c>
      <c r="J785" s="29">
        <f>IF($B785="","",IF(INDEX(Dossiers!$F$4:$F$63,15)="","",INDEX(Dossiers!$F$4:$F$63,15)))</f>
        <v/>
      </c>
      <c r="K785" s="29">
        <f>IF($B785="","",IF(INDEX(Dossiers!$G$4:$G$63,15)="","",INDEX(Dossiers!$G$4:$G$63,15)))</f>
        <v/>
      </c>
    </row>
    <row r="786">
      <c r="A786">
        <f>IF($B786="","",INDEX(Dossiers!$E$4:$E$63,15))</f>
        <v/>
      </c>
      <c r="B786">
        <f>IF(INDEX(Suivi!$B:$B,801)="","",INDEX(Suivi!$B:$B,801))</f>
        <v/>
      </c>
      <c r="C786">
        <f>IF($B786="","",IF(INDEX(Suivi!$D:$D,801)="",INDEX(Suivi!$C:$C,801),INDEX(Suivi!$D:$D,801)))</f>
        <v/>
      </c>
      <c r="D786" s="29">
        <f>IF($B786="","",INDEX(Suivi!$E:$E,801))</f>
        <v/>
      </c>
      <c r="E786" s="29">
        <f>IF($B786="","",INDEX(Suivi!$F:$F,801))</f>
        <v/>
      </c>
      <c r="F786">
        <f>IF($B786="","",INDEX(Suivi!$G:$G,801))</f>
        <v/>
      </c>
      <c r="H786">
        <f>IF(OR($B786="",NOT(ISNUMBER($D786))),"",IF($E786&lt;$D$2,"Passé",IF($D786&gt;$F$2,"À venir","Dans la période")))</f>
        <v/>
      </c>
      <c r="I786">
        <f>IF(OR($B786="",NOT(ISNUMBER($D786))),"",IF(AND($E786&lt;$D$2,$G786&lt;&gt;"X",$F786&lt;&gt;"Réalisé",$F786&lt;&gt;"Clôturé"),"RETARD",""))</f>
        <v/>
      </c>
      <c r="J786" s="29">
        <f>IF($B786="","",IF(INDEX(Dossiers!$F$4:$F$63,15)="","",INDEX(Dossiers!$F$4:$F$63,15)))</f>
        <v/>
      </c>
      <c r="K786" s="29">
        <f>IF($B786="","",IF(INDEX(Dossiers!$G$4:$G$63,15)="","",INDEX(Dossiers!$G$4:$G$63,15)))</f>
        <v/>
      </c>
    </row>
    <row r="787">
      <c r="A787">
        <f>IF($B787="","",INDEX(Dossiers!$E$4:$E$63,15))</f>
        <v/>
      </c>
      <c r="B787">
        <f>IF(INDEX(Suivi!$B:$B,802)="","",INDEX(Suivi!$B:$B,802))</f>
        <v/>
      </c>
      <c r="C787">
        <f>IF($B787="","",IF(INDEX(Suivi!$D:$D,802)="",INDEX(Suivi!$C:$C,802),INDEX(Suivi!$D:$D,802)))</f>
        <v/>
      </c>
      <c r="D787" s="29">
        <f>IF($B787="","",INDEX(Suivi!$E:$E,802))</f>
        <v/>
      </c>
      <c r="E787" s="29">
        <f>IF($B787="","",INDEX(Suivi!$F:$F,802))</f>
        <v/>
      </c>
      <c r="F787">
        <f>IF($B787="","",INDEX(Suivi!$G:$G,802))</f>
        <v/>
      </c>
      <c r="H787">
        <f>IF(OR($B787="",NOT(ISNUMBER($D787))),"",IF($E787&lt;$D$2,"Passé",IF($D787&gt;$F$2,"À venir","Dans la période")))</f>
        <v/>
      </c>
      <c r="I787">
        <f>IF(OR($B787="",NOT(ISNUMBER($D787))),"",IF(AND($E787&lt;$D$2,$G787&lt;&gt;"X",$F787&lt;&gt;"Réalisé",$F787&lt;&gt;"Clôturé"),"RETARD",""))</f>
        <v/>
      </c>
      <c r="J787" s="29">
        <f>IF($B787="","",IF(INDEX(Dossiers!$F$4:$F$63,15)="","",INDEX(Dossiers!$F$4:$F$63,15)))</f>
        <v/>
      </c>
      <c r="K787" s="29">
        <f>IF($B787="","",IF(INDEX(Dossiers!$G$4:$G$63,15)="","",INDEX(Dossiers!$G$4:$G$63,15)))</f>
        <v/>
      </c>
    </row>
    <row r="788">
      <c r="A788">
        <f>IF($B788="","",INDEX(Dossiers!$E$4:$E$63,15))</f>
        <v/>
      </c>
      <c r="B788">
        <f>IF(INDEX(Suivi!$B:$B,803)="","",INDEX(Suivi!$B:$B,803))</f>
        <v/>
      </c>
      <c r="C788">
        <f>IF($B788="","",IF(INDEX(Suivi!$D:$D,803)="",INDEX(Suivi!$C:$C,803),INDEX(Suivi!$D:$D,803)))</f>
        <v/>
      </c>
      <c r="D788" s="29">
        <f>IF($B788="","",INDEX(Suivi!$E:$E,803))</f>
        <v/>
      </c>
      <c r="E788" s="29">
        <f>IF($B788="","",INDEX(Suivi!$F:$F,803))</f>
        <v/>
      </c>
      <c r="F788">
        <f>IF($B788="","",INDEX(Suivi!$G:$G,803))</f>
        <v/>
      </c>
      <c r="H788">
        <f>IF(OR($B788="",NOT(ISNUMBER($D788))),"",IF($E788&lt;$D$2,"Passé",IF($D788&gt;$F$2,"À venir","Dans la période")))</f>
        <v/>
      </c>
      <c r="I788">
        <f>IF(OR($B788="",NOT(ISNUMBER($D788))),"",IF(AND($E788&lt;$D$2,$G788&lt;&gt;"X",$F788&lt;&gt;"Réalisé",$F788&lt;&gt;"Clôturé"),"RETARD",""))</f>
        <v/>
      </c>
      <c r="J788" s="29">
        <f>IF($B788="","",IF(INDEX(Dossiers!$F$4:$F$63,15)="","",INDEX(Dossiers!$F$4:$F$63,15)))</f>
        <v/>
      </c>
      <c r="K788" s="29">
        <f>IF($B788="","",IF(INDEX(Dossiers!$G$4:$G$63,15)="","",INDEX(Dossiers!$G$4:$G$63,15)))</f>
        <v/>
      </c>
    </row>
    <row r="789">
      <c r="A789">
        <f>IF($B789="","",INDEX(Dossiers!$E$4:$E$63,15))</f>
        <v/>
      </c>
      <c r="B789">
        <f>IF(INDEX(Suivi!$B:$B,804)="","",INDEX(Suivi!$B:$B,804))</f>
        <v/>
      </c>
      <c r="C789">
        <f>IF($B789="","",IF(INDEX(Suivi!$D:$D,804)="",INDEX(Suivi!$C:$C,804),INDEX(Suivi!$D:$D,804)))</f>
        <v/>
      </c>
      <c r="D789" s="29">
        <f>IF($B789="","",INDEX(Suivi!$E:$E,804))</f>
        <v/>
      </c>
      <c r="E789" s="29">
        <f>IF($B789="","",INDEX(Suivi!$F:$F,804))</f>
        <v/>
      </c>
      <c r="F789">
        <f>IF($B789="","",INDEX(Suivi!$G:$G,804))</f>
        <v/>
      </c>
      <c r="H789">
        <f>IF(OR($B789="",NOT(ISNUMBER($D789))),"",IF($E789&lt;$D$2,"Passé",IF($D789&gt;$F$2,"À venir","Dans la période")))</f>
        <v/>
      </c>
      <c r="I789">
        <f>IF(OR($B789="",NOT(ISNUMBER($D789))),"",IF(AND($E789&lt;$D$2,$G789&lt;&gt;"X",$F789&lt;&gt;"Réalisé",$F789&lt;&gt;"Clôturé"),"RETARD",""))</f>
        <v/>
      </c>
      <c r="J789" s="29">
        <f>IF($B789="","",IF(INDEX(Dossiers!$F$4:$F$63,15)="","",INDEX(Dossiers!$F$4:$F$63,15)))</f>
        <v/>
      </c>
      <c r="K789" s="29">
        <f>IF($B789="","",IF(INDEX(Dossiers!$G$4:$G$63,15)="","",INDEX(Dossiers!$G$4:$G$63,15)))</f>
        <v/>
      </c>
    </row>
    <row r="790">
      <c r="A790">
        <f>IF($B790="","",INDEX(Dossiers!$E$4:$E$63,15))</f>
        <v/>
      </c>
      <c r="B790">
        <f>IF(INDEX(Suivi!$B:$B,805)="","",INDEX(Suivi!$B:$B,805))</f>
        <v/>
      </c>
      <c r="C790">
        <f>IF($B790="","",IF(INDEX(Suivi!$D:$D,805)="",INDEX(Suivi!$C:$C,805),INDEX(Suivi!$D:$D,805)))</f>
        <v/>
      </c>
      <c r="D790" s="29">
        <f>IF($B790="","",INDEX(Suivi!$E:$E,805))</f>
        <v/>
      </c>
      <c r="E790" s="29">
        <f>IF($B790="","",INDEX(Suivi!$F:$F,805))</f>
        <v/>
      </c>
      <c r="F790">
        <f>IF($B790="","",INDEX(Suivi!$G:$G,805))</f>
        <v/>
      </c>
      <c r="H790">
        <f>IF(OR($B790="",NOT(ISNUMBER($D790))),"",IF($E790&lt;$D$2,"Passé",IF($D790&gt;$F$2,"À venir","Dans la période")))</f>
        <v/>
      </c>
      <c r="I790">
        <f>IF(OR($B790="",NOT(ISNUMBER($D790))),"",IF(AND($E790&lt;$D$2,$G790&lt;&gt;"X",$F790&lt;&gt;"Réalisé",$F790&lt;&gt;"Clôturé"),"RETARD",""))</f>
        <v/>
      </c>
      <c r="J790" s="29">
        <f>IF($B790="","",IF(INDEX(Dossiers!$F$4:$F$63,15)="","",INDEX(Dossiers!$F$4:$F$63,15)))</f>
        <v/>
      </c>
      <c r="K790" s="29">
        <f>IF($B790="","",IF(INDEX(Dossiers!$G$4:$G$63,15)="","",INDEX(Dossiers!$G$4:$G$63,15)))</f>
        <v/>
      </c>
    </row>
    <row r="791">
      <c r="A791">
        <f>IF($B791="","",INDEX(Dossiers!$E$4:$E$63,15))</f>
        <v/>
      </c>
      <c r="B791">
        <f>IF(INDEX(Suivi!$B:$B,806)="","",INDEX(Suivi!$B:$B,806))</f>
        <v/>
      </c>
      <c r="C791">
        <f>IF($B791="","",IF(INDEX(Suivi!$D:$D,806)="",INDEX(Suivi!$C:$C,806),INDEX(Suivi!$D:$D,806)))</f>
        <v/>
      </c>
      <c r="D791" s="29">
        <f>IF($B791="","",INDEX(Suivi!$E:$E,806))</f>
        <v/>
      </c>
      <c r="E791" s="29">
        <f>IF($B791="","",INDEX(Suivi!$F:$F,806))</f>
        <v/>
      </c>
      <c r="F791">
        <f>IF($B791="","",INDEX(Suivi!$G:$G,806))</f>
        <v/>
      </c>
      <c r="H791">
        <f>IF(OR($B791="",NOT(ISNUMBER($D791))),"",IF($E791&lt;$D$2,"Passé",IF($D791&gt;$F$2,"À venir","Dans la période")))</f>
        <v/>
      </c>
      <c r="I791">
        <f>IF(OR($B791="",NOT(ISNUMBER($D791))),"",IF(AND($E791&lt;$D$2,$G791&lt;&gt;"X",$F791&lt;&gt;"Réalisé",$F791&lt;&gt;"Clôturé"),"RETARD",""))</f>
        <v/>
      </c>
      <c r="J791" s="29">
        <f>IF($B791="","",IF(INDEX(Dossiers!$F$4:$F$63,15)="","",INDEX(Dossiers!$F$4:$F$63,15)))</f>
        <v/>
      </c>
      <c r="K791" s="29">
        <f>IF($B791="","",IF(INDEX(Dossiers!$G$4:$G$63,15)="","",INDEX(Dossiers!$G$4:$G$63,15)))</f>
        <v/>
      </c>
    </row>
    <row r="792">
      <c r="A792">
        <f>IF($B792="","",INDEX(Dossiers!$E$4:$E$63,15))</f>
        <v/>
      </c>
      <c r="B792">
        <f>IF(INDEX(Suivi!$B:$B,807)="","",INDEX(Suivi!$B:$B,807))</f>
        <v/>
      </c>
      <c r="C792">
        <f>IF($B792="","",IF(INDEX(Suivi!$D:$D,807)="",INDEX(Suivi!$C:$C,807),INDEX(Suivi!$D:$D,807)))</f>
        <v/>
      </c>
      <c r="D792" s="29">
        <f>IF($B792="","",INDEX(Suivi!$E:$E,807))</f>
        <v/>
      </c>
      <c r="E792" s="29">
        <f>IF($B792="","",INDEX(Suivi!$F:$F,807))</f>
        <v/>
      </c>
      <c r="F792">
        <f>IF($B792="","",INDEX(Suivi!$G:$G,807))</f>
        <v/>
      </c>
      <c r="H792">
        <f>IF(OR($B792="",NOT(ISNUMBER($D792))),"",IF($E792&lt;$D$2,"Passé",IF($D792&gt;$F$2,"À venir","Dans la période")))</f>
        <v/>
      </c>
      <c r="I792">
        <f>IF(OR($B792="",NOT(ISNUMBER($D792))),"",IF(AND($E792&lt;$D$2,$G792&lt;&gt;"X",$F792&lt;&gt;"Réalisé",$F792&lt;&gt;"Clôturé"),"RETARD",""))</f>
        <v/>
      </c>
      <c r="J792" s="29">
        <f>IF($B792="","",IF(INDEX(Dossiers!$F$4:$F$63,15)="","",INDEX(Dossiers!$F$4:$F$63,15)))</f>
        <v/>
      </c>
      <c r="K792" s="29">
        <f>IF($B792="","",IF(INDEX(Dossiers!$G$4:$G$63,15)="","",INDEX(Dossiers!$G$4:$G$63,15)))</f>
        <v/>
      </c>
    </row>
    <row r="793">
      <c r="A793">
        <f>IF($B793="","",INDEX(Dossiers!$E$4:$E$63,15))</f>
        <v/>
      </c>
      <c r="B793">
        <f>IF(INDEX(Suivi!$B:$B,808)="","",INDEX(Suivi!$B:$B,808))</f>
        <v/>
      </c>
      <c r="C793">
        <f>IF($B793="","",IF(INDEX(Suivi!$D:$D,808)="",INDEX(Suivi!$C:$C,808),INDEX(Suivi!$D:$D,808)))</f>
        <v/>
      </c>
      <c r="D793" s="29">
        <f>IF($B793="","",INDEX(Suivi!$E:$E,808))</f>
        <v/>
      </c>
      <c r="E793" s="29">
        <f>IF($B793="","",INDEX(Suivi!$F:$F,808))</f>
        <v/>
      </c>
      <c r="F793">
        <f>IF($B793="","",INDEX(Suivi!$G:$G,808))</f>
        <v/>
      </c>
      <c r="H793">
        <f>IF(OR($B793="",NOT(ISNUMBER($D793))),"",IF($E793&lt;$D$2,"Passé",IF($D793&gt;$F$2,"À venir","Dans la période")))</f>
        <v/>
      </c>
      <c r="I793">
        <f>IF(OR($B793="",NOT(ISNUMBER($D793))),"",IF(AND($E793&lt;$D$2,$G793&lt;&gt;"X",$F793&lt;&gt;"Réalisé",$F793&lt;&gt;"Clôturé"),"RETARD",""))</f>
        <v/>
      </c>
      <c r="J793" s="29">
        <f>IF($B793="","",IF(INDEX(Dossiers!$F$4:$F$63,15)="","",INDEX(Dossiers!$F$4:$F$63,15)))</f>
        <v/>
      </c>
      <c r="K793" s="29">
        <f>IF($B793="","",IF(INDEX(Dossiers!$G$4:$G$63,15)="","",INDEX(Dossiers!$G$4:$G$63,15)))</f>
        <v/>
      </c>
    </row>
    <row r="794">
      <c r="A794">
        <f>IF($B794="","",INDEX(Dossiers!$E$4:$E$63,15))</f>
        <v/>
      </c>
      <c r="B794">
        <f>IF(INDEX(Suivi!$B:$B,809)="","",INDEX(Suivi!$B:$B,809))</f>
        <v/>
      </c>
      <c r="C794">
        <f>IF($B794="","",IF(INDEX(Suivi!$D:$D,809)="",INDEX(Suivi!$C:$C,809),INDEX(Suivi!$D:$D,809)))</f>
        <v/>
      </c>
      <c r="D794" s="29">
        <f>IF($B794="","",INDEX(Suivi!$E:$E,809))</f>
        <v/>
      </c>
      <c r="E794" s="29">
        <f>IF($B794="","",INDEX(Suivi!$F:$F,809))</f>
        <v/>
      </c>
      <c r="F794">
        <f>IF($B794="","",INDEX(Suivi!$G:$G,809))</f>
        <v/>
      </c>
      <c r="H794">
        <f>IF(OR($B794="",NOT(ISNUMBER($D794))),"",IF($E794&lt;$D$2,"Passé",IF($D794&gt;$F$2,"À venir","Dans la période")))</f>
        <v/>
      </c>
      <c r="I794">
        <f>IF(OR($B794="",NOT(ISNUMBER($D794))),"",IF(AND($E794&lt;$D$2,$G794&lt;&gt;"X",$F794&lt;&gt;"Réalisé",$F794&lt;&gt;"Clôturé"),"RETARD",""))</f>
        <v/>
      </c>
      <c r="J794" s="29">
        <f>IF($B794="","",IF(INDEX(Dossiers!$F$4:$F$63,15)="","",INDEX(Dossiers!$F$4:$F$63,15)))</f>
        <v/>
      </c>
      <c r="K794" s="29">
        <f>IF($B794="","",IF(INDEX(Dossiers!$G$4:$G$63,15)="","",INDEX(Dossiers!$G$4:$G$63,15)))</f>
        <v/>
      </c>
    </row>
    <row r="795">
      <c r="A795">
        <f>IF($B795="","",INDEX(Dossiers!$E$4:$E$63,15))</f>
        <v/>
      </c>
      <c r="B795">
        <f>IF(INDEX(Suivi!$B:$B,810)="","",INDEX(Suivi!$B:$B,810))</f>
        <v/>
      </c>
      <c r="C795">
        <f>IF($B795="","",IF(INDEX(Suivi!$D:$D,810)="",INDEX(Suivi!$C:$C,810),INDEX(Suivi!$D:$D,810)))</f>
        <v/>
      </c>
      <c r="D795" s="29">
        <f>IF($B795="","",INDEX(Suivi!$E:$E,810))</f>
        <v/>
      </c>
      <c r="E795" s="29">
        <f>IF($B795="","",INDEX(Suivi!$F:$F,810))</f>
        <v/>
      </c>
      <c r="F795">
        <f>IF($B795="","",INDEX(Suivi!$G:$G,810))</f>
        <v/>
      </c>
      <c r="H795">
        <f>IF(OR($B795="",NOT(ISNUMBER($D795))),"",IF($E795&lt;$D$2,"Passé",IF($D795&gt;$F$2,"À venir","Dans la période")))</f>
        <v/>
      </c>
      <c r="I795">
        <f>IF(OR($B795="",NOT(ISNUMBER($D795))),"",IF(AND($E795&lt;$D$2,$G795&lt;&gt;"X",$F795&lt;&gt;"Réalisé",$F795&lt;&gt;"Clôturé"),"RETARD",""))</f>
        <v/>
      </c>
      <c r="J795" s="29">
        <f>IF($B795="","",IF(INDEX(Dossiers!$F$4:$F$63,15)="","",INDEX(Dossiers!$F$4:$F$63,15)))</f>
        <v/>
      </c>
      <c r="K795" s="29">
        <f>IF($B795="","",IF(INDEX(Dossiers!$G$4:$G$63,15)="","",INDEX(Dossiers!$G$4:$G$63,15)))</f>
        <v/>
      </c>
    </row>
    <row r="796">
      <c r="A796">
        <f>IF($B796="","",INDEX(Dossiers!$E$4:$E$63,15))</f>
        <v/>
      </c>
      <c r="B796">
        <f>IF(INDEX(Suivi!$B:$B,811)="","",INDEX(Suivi!$B:$B,811))</f>
        <v/>
      </c>
      <c r="C796">
        <f>IF($B796="","",IF(INDEX(Suivi!$D:$D,811)="",INDEX(Suivi!$C:$C,811),INDEX(Suivi!$D:$D,811)))</f>
        <v/>
      </c>
      <c r="D796" s="29">
        <f>IF($B796="","",INDEX(Suivi!$E:$E,811))</f>
        <v/>
      </c>
      <c r="E796" s="29">
        <f>IF($B796="","",INDEX(Suivi!$F:$F,811))</f>
        <v/>
      </c>
      <c r="F796">
        <f>IF($B796="","",INDEX(Suivi!$G:$G,811))</f>
        <v/>
      </c>
      <c r="H796">
        <f>IF(OR($B796="",NOT(ISNUMBER($D796))),"",IF($E796&lt;$D$2,"Passé",IF($D796&gt;$F$2,"À venir","Dans la période")))</f>
        <v/>
      </c>
      <c r="I796">
        <f>IF(OR($B796="",NOT(ISNUMBER($D796))),"",IF(AND($E796&lt;$D$2,$G796&lt;&gt;"X",$F796&lt;&gt;"Réalisé",$F796&lt;&gt;"Clôturé"),"RETARD",""))</f>
        <v/>
      </c>
      <c r="J796" s="29">
        <f>IF($B796="","",IF(INDEX(Dossiers!$F$4:$F$63,15)="","",INDEX(Dossiers!$F$4:$F$63,15)))</f>
        <v/>
      </c>
      <c r="K796" s="29">
        <f>IF($B796="","",IF(INDEX(Dossiers!$G$4:$G$63,15)="","",INDEX(Dossiers!$G$4:$G$63,15)))</f>
        <v/>
      </c>
    </row>
    <row r="797">
      <c r="A797">
        <f>IF($B797="","",INDEX(Dossiers!$E$4:$E$63,15))</f>
        <v/>
      </c>
      <c r="B797">
        <f>IF(INDEX(Suivi!$B:$B,812)="","",INDEX(Suivi!$B:$B,812))</f>
        <v/>
      </c>
      <c r="C797">
        <f>IF($B797="","",IF(INDEX(Suivi!$D:$D,812)="",INDEX(Suivi!$C:$C,812),INDEX(Suivi!$D:$D,812)))</f>
        <v/>
      </c>
      <c r="D797" s="29">
        <f>IF($B797="","",INDEX(Suivi!$E:$E,812))</f>
        <v/>
      </c>
      <c r="E797" s="29">
        <f>IF($B797="","",INDEX(Suivi!$F:$F,812))</f>
        <v/>
      </c>
      <c r="F797">
        <f>IF($B797="","",INDEX(Suivi!$G:$G,812))</f>
        <v/>
      </c>
      <c r="H797">
        <f>IF(OR($B797="",NOT(ISNUMBER($D797))),"",IF($E797&lt;$D$2,"Passé",IF($D797&gt;$F$2,"À venir","Dans la période")))</f>
        <v/>
      </c>
      <c r="I797">
        <f>IF(OR($B797="",NOT(ISNUMBER($D797))),"",IF(AND($E797&lt;$D$2,$G797&lt;&gt;"X",$F797&lt;&gt;"Réalisé",$F797&lt;&gt;"Clôturé"),"RETARD",""))</f>
        <v/>
      </c>
      <c r="J797" s="29">
        <f>IF($B797="","",IF(INDEX(Dossiers!$F$4:$F$63,15)="","",INDEX(Dossiers!$F$4:$F$63,15)))</f>
        <v/>
      </c>
      <c r="K797" s="29">
        <f>IF($B797="","",IF(INDEX(Dossiers!$G$4:$G$63,15)="","",INDEX(Dossiers!$G$4:$G$63,15)))</f>
        <v/>
      </c>
    </row>
    <row r="798">
      <c r="A798">
        <f>IF($B798="","",INDEX(Dossiers!$E$4:$E$63,15))</f>
        <v/>
      </c>
      <c r="B798">
        <f>IF(INDEX(Suivi!$B:$B,813)="","",INDEX(Suivi!$B:$B,813))</f>
        <v/>
      </c>
      <c r="C798">
        <f>IF($B798="","",IF(INDEX(Suivi!$D:$D,813)="",INDEX(Suivi!$C:$C,813),INDEX(Suivi!$D:$D,813)))</f>
        <v/>
      </c>
      <c r="D798" s="29">
        <f>IF($B798="","",INDEX(Suivi!$E:$E,813))</f>
        <v/>
      </c>
      <c r="E798" s="29">
        <f>IF($B798="","",INDEX(Suivi!$F:$F,813))</f>
        <v/>
      </c>
      <c r="F798">
        <f>IF($B798="","",INDEX(Suivi!$G:$G,813))</f>
        <v/>
      </c>
      <c r="H798">
        <f>IF(OR($B798="",NOT(ISNUMBER($D798))),"",IF($E798&lt;$D$2,"Passé",IF($D798&gt;$F$2,"À venir","Dans la période")))</f>
        <v/>
      </c>
      <c r="I798">
        <f>IF(OR($B798="",NOT(ISNUMBER($D798))),"",IF(AND($E798&lt;$D$2,$G798&lt;&gt;"X",$F798&lt;&gt;"Réalisé",$F798&lt;&gt;"Clôturé"),"RETARD",""))</f>
        <v/>
      </c>
      <c r="J798" s="29">
        <f>IF($B798="","",IF(INDEX(Dossiers!$F$4:$F$63,15)="","",INDEX(Dossiers!$F$4:$F$63,15)))</f>
        <v/>
      </c>
      <c r="K798" s="29">
        <f>IF($B798="","",IF(INDEX(Dossiers!$G$4:$G$63,15)="","",INDEX(Dossiers!$G$4:$G$63,15)))</f>
        <v/>
      </c>
    </row>
    <row r="799">
      <c r="A799">
        <f>IF($B799="","",INDEX(Dossiers!$E$4:$E$63,16))</f>
        <v/>
      </c>
      <c r="B799">
        <f>IF(INDEX(Suivi!$B:$B,815)="","",INDEX(Suivi!$B:$B,815))</f>
        <v/>
      </c>
      <c r="C799">
        <f>IF($B799="","",IF(INDEX(Suivi!$D:$D,815)="",INDEX(Suivi!$C:$C,815),INDEX(Suivi!$D:$D,815)))</f>
        <v/>
      </c>
      <c r="D799" s="29">
        <f>IF($B799="","",INDEX(Suivi!$E:$E,815))</f>
        <v/>
      </c>
      <c r="E799" s="29">
        <f>IF($B799="","",INDEX(Suivi!$F:$F,815))</f>
        <v/>
      </c>
      <c r="F799">
        <f>IF($B799="","",INDEX(Suivi!$G:$G,815))</f>
        <v/>
      </c>
      <c r="H799">
        <f>IF(OR($B799="",NOT(ISNUMBER($D799))),"",IF($E799&lt;$D$2,"Passé",IF($D799&gt;$F$2,"À venir","Dans la période")))</f>
        <v/>
      </c>
      <c r="I799">
        <f>IF(OR($B799="",NOT(ISNUMBER($D799))),"",IF(AND($E799&lt;$D$2,$G799&lt;&gt;"X",$F799&lt;&gt;"Réalisé",$F799&lt;&gt;"Clôturé"),"RETARD",""))</f>
        <v/>
      </c>
      <c r="J799" s="29">
        <f>IF($B799="","",IF(INDEX(Dossiers!$F$4:$F$63,16)="","",INDEX(Dossiers!$F$4:$F$63,16)))</f>
        <v/>
      </c>
      <c r="K799" s="29">
        <f>IF($B799="","",IF(INDEX(Dossiers!$G$4:$G$63,16)="","",INDEX(Dossiers!$G$4:$G$63,16)))</f>
        <v/>
      </c>
    </row>
    <row r="800">
      <c r="A800">
        <f>IF($B800="","",INDEX(Dossiers!$E$4:$E$63,16))</f>
        <v/>
      </c>
      <c r="B800">
        <f>IF(INDEX(Suivi!$B:$B,816)="","",INDEX(Suivi!$B:$B,816))</f>
        <v/>
      </c>
      <c r="C800">
        <f>IF($B800="","",IF(INDEX(Suivi!$D:$D,816)="",INDEX(Suivi!$C:$C,816),INDEX(Suivi!$D:$D,816)))</f>
        <v/>
      </c>
      <c r="D800" s="29">
        <f>IF($B800="","",INDEX(Suivi!$E:$E,816))</f>
        <v/>
      </c>
      <c r="E800" s="29">
        <f>IF($B800="","",INDEX(Suivi!$F:$F,816))</f>
        <v/>
      </c>
      <c r="F800">
        <f>IF($B800="","",INDEX(Suivi!$G:$G,816))</f>
        <v/>
      </c>
      <c r="H800">
        <f>IF(OR($B800="",NOT(ISNUMBER($D800))),"",IF($E800&lt;$D$2,"Passé",IF($D800&gt;$F$2,"À venir","Dans la période")))</f>
        <v/>
      </c>
      <c r="I800">
        <f>IF(OR($B800="",NOT(ISNUMBER($D800))),"",IF(AND($E800&lt;$D$2,$G800&lt;&gt;"X",$F800&lt;&gt;"Réalisé",$F800&lt;&gt;"Clôturé"),"RETARD",""))</f>
        <v/>
      </c>
      <c r="J800" s="29">
        <f>IF($B800="","",IF(INDEX(Dossiers!$F$4:$F$63,16)="","",INDEX(Dossiers!$F$4:$F$63,16)))</f>
        <v/>
      </c>
      <c r="K800" s="29">
        <f>IF($B800="","",IF(INDEX(Dossiers!$G$4:$G$63,16)="","",INDEX(Dossiers!$G$4:$G$63,16)))</f>
        <v/>
      </c>
    </row>
    <row r="801">
      <c r="A801">
        <f>IF($B801="","",INDEX(Dossiers!$E$4:$E$63,16))</f>
        <v/>
      </c>
      <c r="B801">
        <f>IF(INDEX(Suivi!$B:$B,817)="","",INDEX(Suivi!$B:$B,817))</f>
        <v/>
      </c>
      <c r="C801">
        <f>IF($B801="","",IF(INDEX(Suivi!$D:$D,817)="",INDEX(Suivi!$C:$C,817),INDEX(Suivi!$D:$D,817)))</f>
        <v/>
      </c>
      <c r="D801" s="29">
        <f>IF($B801="","",INDEX(Suivi!$E:$E,817))</f>
        <v/>
      </c>
      <c r="E801" s="29">
        <f>IF($B801="","",INDEX(Suivi!$F:$F,817))</f>
        <v/>
      </c>
      <c r="F801">
        <f>IF($B801="","",INDEX(Suivi!$G:$G,817))</f>
        <v/>
      </c>
      <c r="H801">
        <f>IF(OR($B801="",NOT(ISNUMBER($D801))),"",IF($E801&lt;$D$2,"Passé",IF($D801&gt;$F$2,"À venir","Dans la période")))</f>
        <v/>
      </c>
      <c r="I801">
        <f>IF(OR($B801="",NOT(ISNUMBER($D801))),"",IF(AND($E801&lt;$D$2,$G801&lt;&gt;"X",$F801&lt;&gt;"Réalisé",$F801&lt;&gt;"Clôturé"),"RETARD",""))</f>
        <v/>
      </c>
      <c r="J801" s="29">
        <f>IF($B801="","",IF(INDEX(Dossiers!$F$4:$F$63,16)="","",INDEX(Dossiers!$F$4:$F$63,16)))</f>
        <v/>
      </c>
      <c r="K801" s="29">
        <f>IF($B801="","",IF(INDEX(Dossiers!$G$4:$G$63,16)="","",INDEX(Dossiers!$G$4:$G$63,16)))</f>
        <v/>
      </c>
    </row>
    <row r="802">
      <c r="A802">
        <f>IF($B802="","",INDEX(Dossiers!$E$4:$E$63,16))</f>
        <v/>
      </c>
      <c r="B802">
        <f>IF(INDEX(Suivi!$B:$B,818)="","",INDEX(Suivi!$B:$B,818))</f>
        <v/>
      </c>
      <c r="C802">
        <f>IF($B802="","",IF(INDEX(Suivi!$D:$D,818)="",INDEX(Suivi!$C:$C,818),INDEX(Suivi!$D:$D,818)))</f>
        <v/>
      </c>
      <c r="D802" s="29">
        <f>IF($B802="","",INDEX(Suivi!$E:$E,818))</f>
        <v/>
      </c>
      <c r="E802" s="29">
        <f>IF($B802="","",INDEX(Suivi!$F:$F,818))</f>
        <v/>
      </c>
      <c r="F802">
        <f>IF($B802="","",INDEX(Suivi!$G:$G,818))</f>
        <v/>
      </c>
      <c r="H802">
        <f>IF(OR($B802="",NOT(ISNUMBER($D802))),"",IF($E802&lt;$D$2,"Passé",IF($D802&gt;$F$2,"À venir","Dans la période")))</f>
        <v/>
      </c>
      <c r="I802">
        <f>IF(OR($B802="",NOT(ISNUMBER($D802))),"",IF(AND($E802&lt;$D$2,$G802&lt;&gt;"X",$F802&lt;&gt;"Réalisé",$F802&lt;&gt;"Clôturé"),"RETARD",""))</f>
        <v/>
      </c>
      <c r="J802" s="29">
        <f>IF($B802="","",IF(INDEX(Dossiers!$F$4:$F$63,16)="","",INDEX(Dossiers!$F$4:$F$63,16)))</f>
        <v/>
      </c>
      <c r="K802" s="29">
        <f>IF($B802="","",IF(INDEX(Dossiers!$G$4:$G$63,16)="","",INDEX(Dossiers!$G$4:$G$63,16)))</f>
        <v/>
      </c>
    </row>
    <row r="803">
      <c r="A803">
        <f>IF($B803="","",INDEX(Dossiers!$E$4:$E$63,16))</f>
        <v/>
      </c>
      <c r="B803">
        <f>IF(INDEX(Suivi!$B:$B,819)="","",INDEX(Suivi!$B:$B,819))</f>
        <v/>
      </c>
      <c r="C803">
        <f>IF($B803="","",IF(INDEX(Suivi!$D:$D,819)="",INDEX(Suivi!$C:$C,819),INDEX(Suivi!$D:$D,819)))</f>
        <v/>
      </c>
      <c r="D803" s="29">
        <f>IF($B803="","",INDEX(Suivi!$E:$E,819))</f>
        <v/>
      </c>
      <c r="E803" s="29">
        <f>IF($B803="","",INDEX(Suivi!$F:$F,819))</f>
        <v/>
      </c>
      <c r="F803">
        <f>IF($B803="","",INDEX(Suivi!$G:$G,819))</f>
        <v/>
      </c>
      <c r="H803">
        <f>IF(OR($B803="",NOT(ISNUMBER($D803))),"",IF($E803&lt;$D$2,"Passé",IF($D803&gt;$F$2,"À venir","Dans la période")))</f>
        <v/>
      </c>
      <c r="I803">
        <f>IF(OR($B803="",NOT(ISNUMBER($D803))),"",IF(AND($E803&lt;$D$2,$G803&lt;&gt;"X",$F803&lt;&gt;"Réalisé",$F803&lt;&gt;"Clôturé"),"RETARD",""))</f>
        <v/>
      </c>
      <c r="J803" s="29">
        <f>IF($B803="","",IF(INDEX(Dossiers!$F$4:$F$63,16)="","",INDEX(Dossiers!$F$4:$F$63,16)))</f>
        <v/>
      </c>
      <c r="K803" s="29">
        <f>IF($B803="","",IF(INDEX(Dossiers!$G$4:$G$63,16)="","",INDEX(Dossiers!$G$4:$G$63,16)))</f>
        <v/>
      </c>
    </row>
    <row r="804">
      <c r="A804">
        <f>IF($B804="","",INDEX(Dossiers!$E$4:$E$63,16))</f>
        <v/>
      </c>
      <c r="B804">
        <f>IF(INDEX(Suivi!$B:$B,820)="","",INDEX(Suivi!$B:$B,820))</f>
        <v/>
      </c>
      <c r="C804">
        <f>IF($B804="","",IF(INDEX(Suivi!$D:$D,820)="",INDEX(Suivi!$C:$C,820),INDEX(Suivi!$D:$D,820)))</f>
        <v/>
      </c>
      <c r="D804" s="29">
        <f>IF($B804="","",INDEX(Suivi!$E:$E,820))</f>
        <v/>
      </c>
      <c r="E804" s="29">
        <f>IF($B804="","",INDEX(Suivi!$F:$F,820))</f>
        <v/>
      </c>
      <c r="F804">
        <f>IF($B804="","",INDEX(Suivi!$G:$G,820))</f>
        <v/>
      </c>
      <c r="H804">
        <f>IF(OR($B804="",NOT(ISNUMBER($D804))),"",IF($E804&lt;$D$2,"Passé",IF($D804&gt;$F$2,"À venir","Dans la période")))</f>
        <v/>
      </c>
      <c r="I804">
        <f>IF(OR($B804="",NOT(ISNUMBER($D804))),"",IF(AND($E804&lt;$D$2,$G804&lt;&gt;"X",$F804&lt;&gt;"Réalisé",$F804&lt;&gt;"Clôturé"),"RETARD",""))</f>
        <v/>
      </c>
      <c r="J804" s="29">
        <f>IF($B804="","",IF(INDEX(Dossiers!$F$4:$F$63,16)="","",INDEX(Dossiers!$F$4:$F$63,16)))</f>
        <v/>
      </c>
      <c r="K804" s="29">
        <f>IF($B804="","",IF(INDEX(Dossiers!$G$4:$G$63,16)="","",INDEX(Dossiers!$G$4:$G$63,16)))</f>
        <v/>
      </c>
    </row>
    <row r="805">
      <c r="A805">
        <f>IF($B805="","",INDEX(Dossiers!$E$4:$E$63,16))</f>
        <v/>
      </c>
      <c r="B805">
        <f>IF(INDEX(Suivi!$B:$B,821)="","",INDEX(Suivi!$B:$B,821))</f>
        <v/>
      </c>
      <c r="C805">
        <f>IF($B805="","",IF(INDEX(Suivi!$D:$D,821)="",INDEX(Suivi!$C:$C,821),INDEX(Suivi!$D:$D,821)))</f>
        <v/>
      </c>
      <c r="D805" s="29">
        <f>IF($B805="","",INDEX(Suivi!$E:$E,821))</f>
        <v/>
      </c>
      <c r="E805" s="29">
        <f>IF($B805="","",INDEX(Suivi!$F:$F,821))</f>
        <v/>
      </c>
      <c r="F805">
        <f>IF($B805="","",INDEX(Suivi!$G:$G,821))</f>
        <v/>
      </c>
      <c r="H805">
        <f>IF(OR($B805="",NOT(ISNUMBER($D805))),"",IF($E805&lt;$D$2,"Passé",IF($D805&gt;$F$2,"À venir","Dans la période")))</f>
        <v/>
      </c>
      <c r="I805">
        <f>IF(OR($B805="",NOT(ISNUMBER($D805))),"",IF(AND($E805&lt;$D$2,$G805&lt;&gt;"X",$F805&lt;&gt;"Réalisé",$F805&lt;&gt;"Clôturé"),"RETARD",""))</f>
        <v/>
      </c>
      <c r="J805" s="29">
        <f>IF($B805="","",IF(INDEX(Dossiers!$F$4:$F$63,16)="","",INDEX(Dossiers!$F$4:$F$63,16)))</f>
        <v/>
      </c>
      <c r="K805" s="29">
        <f>IF($B805="","",IF(INDEX(Dossiers!$G$4:$G$63,16)="","",INDEX(Dossiers!$G$4:$G$63,16)))</f>
        <v/>
      </c>
    </row>
    <row r="806">
      <c r="A806">
        <f>IF($B806="","",INDEX(Dossiers!$E$4:$E$63,16))</f>
        <v/>
      </c>
      <c r="B806">
        <f>IF(INDEX(Suivi!$B:$B,822)="","",INDEX(Suivi!$B:$B,822))</f>
        <v/>
      </c>
      <c r="C806">
        <f>IF($B806="","",IF(INDEX(Suivi!$D:$D,822)="",INDEX(Suivi!$C:$C,822),INDEX(Suivi!$D:$D,822)))</f>
        <v/>
      </c>
      <c r="D806" s="29">
        <f>IF($B806="","",INDEX(Suivi!$E:$E,822))</f>
        <v/>
      </c>
      <c r="E806" s="29">
        <f>IF($B806="","",INDEX(Suivi!$F:$F,822))</f>
        <v/>
      </c>
      <c r="F806">
        <f>IF($B806="","",INDEX(Suivi!$G:$G,822))</f>
        <v/>
      </c>
      <c r="H806">
        <f>IF(OR($B806="",NOT(ISNUMBER($D806))),"",IF($E806&lt;$D$2,"Passé",IF($D806&gt;$F$2,"À venir","Dans la période")))</f>
        <v/>
      </c>
      <c r="I806">
        <f>IF(OR($B806="",NOT(ISNUMBER($D806))),"",IF(AND($E806&lt;$D$2,$G806&lt;&gt;"X",$F806&lt;&gt;"Réalisé",$F806&lt;&gt;"Clôturé"),"RETARD",""))</f>
        <v/>
      </c>
      <c r="J806" s="29">
        <f>IF($B806="","",IF(INDEX(Dossiers!$F$4:$F$63,16)="","",INDEX(Dossiers!$F$4:$F$63,16)))</f>
        <v/>
      </c>
      <c r="K806" s="29">
        <f>IF($B806="","",IF(INDEX(Dossiers!$G$4:$G$63,16)="","",INDEX(Dossiers!$G$4:$G$63,16)))</f>
        <v/>
      </c>
    </row>
    <row r="807">
      <c r="A807">
        <f>IF($B807="","",INDEX(Dossiers!$E$4:$E$63,16))</f>
        <v/>
      </c>
      <c r="B807">
        <f>IF(INDEX(Suivi!$B:$B,823)="","",INDEX(Suivi!$B:$B,823))</f>
        <v/>
      </c>
      <c r="C807">
        <f>IF($B807="","",IF(INDEX(Suivi!$D:$D,823)="",INDEX(Suivi!$C:$C,823),INDEX(Suivi!$D:$D,823)))</f>
        <v/>
      </c>
      <c r="D807" s="29">
        <f>IF($B807="","",INDEX(Suivi!$E:$E,823))</f>
        <v/>
      </c>
      <c r="E807" s="29">
        <f>IF($B807="","",INDEX(Suivi!$F:$F,823))</f>
        <v/>
      </c>
      <c r="F807">
        <f>IF($B807="","",INDEX(Suivi!$G:$G,823))</f>
        <v/>
      </c>
      <c r="H807">
        <f>IF(OR($B807="",NOT(ISNUMBER($D807))),"",IF($E807&lt;$D$2,"Passé",IF($D807&gt;$F$2,"À venir","Dans la période")))</f>
        <v/>
      </c>
      <c r="I807">
        <f>IF(OR($B807="",NOT(ISNUMBER($D807))),"",IF(AND($E807&lt;$D$2,$G807&lt;&gt;"X",$F807&lt;&gt;"Réalisé",$F807&lt;&gt;"Clôturé"),"RETARD",""))</f>
        <v/>
      </c>
      <c r="J807" s="29">
        <f>IF($B807="","",IF(INDEX(Dossiers!$F$4:$F$63,16)="","",INDEX(Dossiers!$F$4:$F$63,16)))</f>
        <v/>
      </c>
      <c r="K807" s="29">
        <f>IF($B807="","",IF(INDEX(Dossiers!$G$4:$G$63,16)="","",INDEX(Dossiers!$G$4:$G$63,16)))</f>
        <v/>
      </c>
    </row>
    <row r="808">
      <c r="A808">
        <f>IF($B808="","",INDEX(Dossiers!$E$4:$E$63,16))</f>
        <v/>
      </c>
      <c r="B808">
        <f>IF(INDEX(Suivi!$B:$B,824)="","",INDEX(Suivi!$B:$B,824))</f>
        <v/>
      </c>
      <c r="C808">
        <f>IF($B808="","",IF(INDEX(Suivi!$D:$D,824)="",INDEX(Suivi!$C:$C,824),INDEX(Suivi!$D:$D,824)))</f>
        <v/>
      </c>
      <c r="D808" s="29">
        <f>IF($B808="","",INDEX(Suivi!$E:$E,824))</f>
        <v/>
      </c>
      <c r="E808" s="29">
        <f>IF($B808="","",INDEX(Suivi!$F:$F,824))</f>
        <v/>
      </c>
      <c r="F808">
        <f>IF($B808="","",INDEX(Suivi!$G:$G,824))</f>
        <v/>
      </c>
      <c r="H808">
        <f>IF(OR($B808="",NOT(ISNUMBER($D808))),"",IF($E808&lt;$D$2,"Passé",IF($D808&gt;$F$2,"À venir","Dans la période")))</f>
        <v/>
      </c>
      <c r="I808">
        <f>IF(OR($B808="",NOT(ISNUMBER($D808))),"",IF(AND($E808&lt;$D$2,$G808&lt;&gt;"X",$F808&lt;&gt;"Réalisé",$F808&lt;&gt;"Clôturé"),"RETARD",""))</f>
        <v/>
      </c>
      <c r="J808" s="29">
        <f>IF($B808="","",IF(INDEX(Dossiers!$F$4:$F$63,16)="","",INDEX(Dossiers!$F$4:$F$63,16)))</f>
        <v/>
      </c>
      <c r="K808" s="29">
        <f>IF($B808="","",IF(INDEX(Dossiers!$G$4:$G$63,16)="","",INDEX(Dossiers!$G$4:$G$63,16)))</f>
        <v/>
      </c>
    </row>
    <row r="809">
      <c r="A809">
        <f>IF($B809="","",INDEX(Dossiers!$E$4:$E$63,16))</f>
        <v/>
      </c>
      <c r="B809">
        <f>IF(INDEX(Suivi!$B:$B,825)="","",INDEX(Suivi!$B:$B,825))</f>
        <v/>
      </c>
      <c r="C809">
        <f>IF($B809="","",IF(INDEX(Suivi!$D:$D,825)="",INDEX(Suivi!$C:$C,825),INDEX(Suivi!$D:$D,825)))</f>
        <v/>
      </c>
      <c r="D809" s="29">
        <f>IF($B809="","",INDEX(Suivi!$E:$E,825))</f>
        <v/>
      </c>
      <c r="E809" s="29">
        <f>IF($B809="","",INDEX(Suivi!$F:$F,825))</f>
        <v/>
      </c>
      <c r="F809">
        <f>IF($B809="","",INDEX(Suivi!$G:$G,825))</f>
        <v/>
      </c>
      <c r="H809">
        <f>IF(OR($B809="",NOT(ISNUMBER($D809))),"",IF($E809&lt;$D$2,"Passé",IF($D809&gt;$F$2,"À venir","Dans la période")))</f>
        <v/>
      </c>
      <c r="I809">
        <f>IF(OR($B809="",NOT(ISNUMBER($D809))),"",IF(AND($E809&lt;$D$2,$G809&lt;&gt;"X",$F809&lt;&gt;"Réalisé",$F809&lt;&gt;"Clôturé"),"RETARD",""))</f>
        <v/>
      </c>
      <c r="J809" s="29">
        <f>IF($B809="","",IF(INDEX(Dossiers!$F$4:$F$63,16)="","",INDEX(Dossiers!$F$4:$F$63,16)))</f>
        <v/>
      </c>
      <c r="K809" s="29">
        <f>IF($B809="","",IF(INDEX(Dossiers!$G$4:$G$63,16)="","",INDEX(Dossiers!$G$4:$G$63,16)))</f>
        <v/>
      </c>
    </row>
    <row r="810">
      <c r="A810">
        <f>IF($B810="","",INDEX(Dossiers!$E$4:$E$63,16))</f>
        <v/>
      </c>
      <c r="B810">
        <f>IF(INDEX(Suivi!$B:$B,826)="","",INDEX(Suivi!$B:$B,826))</f>
        <v/>
      </c>
      <c r="C810">
        <f>IF($B810="","",IF(INDEX(Suivi!$D:$D,826)="",INDEX(Suivi!$C:$C,826),INDEX(Suivi!$D:$D,826)))</f>
        <v/>
      </c>
      <c r="D810" s="29">
        <f>IF($B810="","",INDEX(Suivi!$E:$E,826))</f>
        <v/>
      </c>
      <c r="E810" s="29">
        <f>IF($B810="","",INDEX(Suivi!$F:$F,826))</f>
        <v/>
      </c>
      <c r="F810">
        <f>IF($B810="","",INDEX(Suivi!$G:$G,826))</f>
        <v/>
      </c>
      <c r="H810">
        <f>IF(OR($B810="",NOT(ISNUMBER($D810))),"",IF($E810&lt;$D$2,"Passé",IF($D810&gt;$F$2,"À venir","Dans la période")))</f>
        <v/>
      </c>
      <c r="I810">
        <f>IF(OR($B810="",NOT(ISNUMBER($D810))),"",IF(AND($E810&lt;$D$2,$G810&lt;&gt;"X",$F810&lt;&gt;"Réalisé",$F810&lt;&gt;"Clôturé"),"RETARD",""))</f>
        <v/>
      </c>
      <c r="J810" s="29">
        <f>IF($B810="","",IF(INDEX(Dossiers!$F$4:$F$63,16)="","",INDEX(Dossiers!$F$4:$F$63,16)))</f>
        <v/>
      </c>
      <c r="K810" s="29">
        <f>IF($B810="","",IF(INDEX(Dossiers!$G$4:$G$63,16)="","",INDEX(Dossiers!$G$4:$G$63,16)))</f>
        <v/>
      </c>
    </row>
    <row r="811">
      <c r="A811">
        <f>IF($B811="","",INDEX(Dossiers!$E$4:$E$63,16))</f>
        <v/>
      </c>
      <c r="B811">
        <f>IF(INDEX(Suivi!$B:$B,827)="","",INDEX(Suivi!$B:$B,827))</f>
        <v/>
      </c>
      <c r="C811">
        <f>IF($B811="","",IF(INDEX(Suivi!$D:$D,827)="",INDEX(Suivi!$C:$C,827),INDEX(Suivi!$D:$D,827)))</f>
        <v/>
      </c>
      <c r="D811" s="29">
        <f>IF($B811="","",INDEX(Suivi!$E:$E,827))</f>
        <v/>
      </c>
      <c r="E811" s="29">
        <f>IF($B811="","",INDEX(Suivi!$F:$F,827))</f>
        <v/>
      </c>
      <c r="F811">
        <f>IF($B811="","",INDEX(Suivi!$G:$G,827))</f>
        <v/>
      </c>
      <c r="H811">
        <f>IF(OR($B811="",NOT(ISNUMBER($D811))),"",IF($E811&lt;$D$2,"Passé",IF($D811&gt;$F$2,"À venir","Dans la période")))</f>
        <v/>
      </c>
      <c r="I811">
        <f>IF(OR($B811="",NOT(ISNUMBER($D811))),"",IF(AND($E811&lt;$D$2,$G811&lt;&gt;"X",$F811&lt;&gt;"Réalisé",$F811&lt;&gt;"Clôturé"),"RETARD",""))</f>
        <v/>
      </c>
      <c r="J811" s="29">
        <f>IF($B811="","",IF(INDEX(Dossiers!$F$4:$F$63,16)="","",INDEX(Dossiers!$F$4:$F$63,16)))</f>
        <v/>
      </c>
      <c r="K811" s="29">
        <f>IF($B811="","",IF(INDEX(Dossiers!$G$4:$G$63,16)="","",INDEX(Dossiers!$G$4:$G$63,16)))</f>
        <v/>
      </c>
    </row>
    <row r="812">
      <c r="A812">
        <f>IF($B812="","",INDEX(Dossiers!$E$4:$E$63,16))</f>
        <v/>
      </c>
      <c r="B812">
        <f>IF(INDEX(Suivi!$B:$B,828)="","",INDEX(Suivi!$B:$B,828))</f>
        <v/>
      </c>
      <c r="C812">
        <f>IF($B812="","",IF(INDEX(Suivi!$D:$D,828)="",INDEX(Suivi!$C:$C,828),INDEX(Suivi!$D:$D,828)))</f>
        <v/>
      </c>
      <c r="D812" s="29">
        <f>IF($B812="","",INDEX(Suivi!$E:$E,828))</f>
        <v/>
      </c>
      <c r="E812" s="29">
        <f>IF($B812="","",INDEX(Suivi!$F:$F,828))</f>
        <v/>
      </c>
      <c r="F812">
        <f>IF($B812="","",INDEX(Suivi!$G:$G,828))</f>
        <v/>
      </c>
      <c r="H812">
        <f>IF(OR($B812="",NOT(ISNUMBER($D812))),"",IF($E812&lt;$D$2,"Passé",IF($D812&gt;$F$2,"À venir","Dans la période")))</f>
        <v/>
      </c>
      <c r="I812">
        <f>IF(OR($B812="",NOT(ISNUMBER($D812))),"",IF(AND($E812&lt;$D$2,$G812&lt;&gt;"X",$F812&lt;&gt;"Réalisé",$F812&lt;&gt;"Clôturé"),"RETARD",""))</f>
        <v/>
      </c>
      <c r="J812" s="29">
        <f>IF($B812="","",IF(INDEX(Dossiers!$F$4:$F$63,16)="","",INDEX(Dossiers!$F$4:$F$63,16)))</f>
        <v/>
      </c>
      <c r="K812" s="29">
        <f>IF($B812="","",IF(INDEX(Dossiers!$G$4:$G$63,16)="","",INDEX(Dossiers!$G$4:$G$63,16)))</f>
        <v/>
      </c>
    </row>
    <row r="813">
      <c r="A813">
        <f>IF($B813="","",INDEX(Dossiers!$E$4:$E$63,16))</f>
        <v/>
      </c>
      <c r="B813">
        <f>IF(INDEX(Suivi!$B:$B,829)="","",INDEX(Suivi!$B:$B,829))</f>
        <v/>
      </c>
      <c r="C813">
        <f>IF($B813="","",IF(INDEX(Suivi!$D:$D,829)="",INDEX(Suivi!$C:$C,829),INDEX(Suivi!$D:$D,829)))</f>
        <v/>
      </c>
      <c r="D813" s="29">
        <f>IF($B813="","",INDEX(Suivi!$E:$E,829))</f>
        <v/>
      </c>
      <c r="E813" s="29">
        <f>IF($B813="","",INDEX(Suivi!$F:$F,829))</f>
        <v/>
      </c>
      <c r="F813">
        <f>IF($B813="","",INDEX(Suivi!$G:$G,829))</f>
        <v/>
      </c>
      <c r="H813">
        <f>IF(OR($B813="",NOT(ISNUMBER($D813))),"",IF($E813&lt;$D$2,"Passé",IF($D813&gt;$F$2,"À venir","Dans la période")))</f>
        <v/>
      </c>
      <c r="I813">
        <f>IF(OR($B813="",NOT(ISNUMBER($D813))),"",IF(AND($E813&lt;$D$2,$G813&lt;&gt;"X",$F813&lt;&gt;"Réalisé",$F813&lt;&gt;"Clôturé"),"RETARD",""))</f>
        <v/>
      </c>
      <c r="J813" s="29">
        <f>IF($B813="","",IF(INDEX(Dossiers!$F$4:$F$63,16)="","",INDEX(Dossiers!$F$4:$F$63,16)))</f>
        <v/>
      </c>
      <c r="K813" s="29">
        <f>IF($B813="","",IF(INDEX(Dossiers!$G$4:$G$63,16)="","",INDEX(Dossiers!$G$4:$G$63,16)))</f>
        <v/>
      </c>
    </row>
    <row r="814">
      <c r="A814">
        <f>IF($B814="","",INDEX(Dossiers!$E$4:$E$63,16))</f>
        <v/>
      </c>
      <c r="B814">
        <f>IF(INDEX(Suivi!$B:$B,830)="","",INDEX(Suivi!$B:$B,830))</f>
        <v/>
      </c>
      <c r="C814">
        <f>IF($B814="","",IF(INDEX(Suivi!$D:$D,830)="",INDEX(Suivi!$C:$C,830),INDEX(Suivi!$D:$D,830)))</f>
        <v/>
      </c>
      <c r="D814" s="29">
        <f>IF($B814="","",INDEX(Suivi!$E:$E,830))</f>
        <v/>
      </c>
      <c r="E814" s="29">
        <f>IF($B814="","",INDEX(Suivi!$F:$F,830))</f>
        <v/>
      </c>
      <c r="F814">
        <f>IF($B814="","",INDEX(Suivi!$G:$G,830))</f>
        <v/>
      </c>
      <c r="H814">
        <f>IF(OR($B814="",NOT(ISNUMBER($D814))),"",IF($E814&lt;$D$2,"Passé",IF($D814&gt;$F$2,"À venir","Dans la période")))</f>
        <v/>
      </c>
      <c r="I814">
        <f>IF(OR($B814="",NOT(ISNUMBER($D814))),"",IF(AND($E814&lt;$D$2,$G814&lt;&gt;"X",$F814&lt;&gt;"Réalisé",$F814&lt;&gt;"Clôturé"),"RETARD",""))</f>
        <v/>
      </c>
      <c r="J814" s="29">
        <f>IF($B814="","",IF(INDEX(Dossiers!$F$4:$F$63,16)="","",INDEX(Dossiers!$F$4:$F$63,16)))</f>
        <v/>
      </c>
      <c r="K814" s="29">
        <f>IF($B814="","",IF(INDEX(Dossiers!$G$4:$G$63,16)="","",INDEX(Dossiers!$G$4:$G$63,16)))</f>
        <v/>
      </c>
    </row>
    <row r="815">
      <c r="A815">
        <f>IF($B815="","",INDEX(Dossiers!$E$4:$E$63,16))</f>
        <v/>
      </c>
      <c r="B815">
        <f>IF(INDEX(Suivi!$B:$B,831)="","",INDEX(Suivi!$B:$B,831))</f>
        <v/>
      </c>
      <c r="C815">
        <f>IF($B815="","",IF(INDEX(Suivi!$D:$D,831)="",INDEX(Suivi!$C:$C,831),INDEX(Suivi!$D:$D,831)))</f>
        <v/>
      </c>
      <c r="D815" s="29">
        <f>IF($B815="","",INDEX(Suivi!$E:$E,831))</f>
        <v/>
      </c>
      <c r="E815" s="29">
        <f>IF($B815="","",INDEX(Suivi!$F:$F,831))</f>
        <v/>
      </c>
      <c r="F815">
        <f>IF($B815="","",INDEX(Suivi!$G:$G,831))</f>
        <v/>
      </c>
      <c r="H815">
        <f>IF(OR($B815="",NOT(ISNUMBER($D815))),"",IF($E815&lt;$D$2,"Passé",IF($D815&gt;$F$2,"À venir","Dans la période")))</f>
        <v/>
      </c>
      <c r="I815">
        <f>IF(OR($B815="",NOT(ISNUMBER($D815))),"",IF(AND($E815&lt;$D$2,$G815&lt;&gt;"X",$F815&lt;&gt;"Réalisé",$F815&lt;&gt;"Clôturé"),"RETARD",""))</f>
        <v/>
      </c>
      <c r="J815" s="29">
        <f>IF($B815="","",IF(INDEX(Dossiers!$F$4:$F$63,16)="","",INDEX(Dossiers!$F$4:$F$63,16)))</f>
        <v/>
      </c>
      <c r="K815" s="29">
        <f>IF($B815="","",IF(INDEX(Dossiers!$G$4:$G$63,16)="","",INDEX(Dossiers!$G$4:$G$63,16)))</f>
        <v/>
      </c>
    </row>
    <row r="816">
      <c r="A816">
        <f>IF($B816="","",INDEX(Dossiers!$E$4:$E$63,16))</f>
        <v/>
      </c>
      <c r="B816">
        <f>IF(INDEX(Suivi!$B:$B,832)="","",INDEX(Suivi!$B:$B,832))</f>
        <v/>
      </c>
      <c r="C816">
        <f>IF($B816="","",IF(INDEX(Suivi!$D:$D,832)="",INDEX(Suivi!$C:$C,832),INDEX(Suivi!$D:$D,832)))</f>
        <v/>
      </c>
      <c r="D816" s="29">
        <f>IF($B816="","",INDEX(Suivi!$E:$E,832))</f>
        <v/>
      </c>
      <c r="E816" s="29">
        <f>IF($B816="","",INDEX(Suivi!$F:$F,832))</f>
        <v/>
      </c>
      <c r="F816">
        <f>IF($B816="","",INDEX(Suivi!$G:$G,832))</f>
        <v/>
      </c>
      <c r="H816">
        <f>IF(OR($B816="",NOT(ISNUMBER($D816))),"",IF($E816&lt;$D$2,"Passé",IF($D816&gt;$F$2,"À venir","Dans la période")))</f>
        <v/>
      </c>
      <c r="I816">
        <f>IF(OR($B816="",NOT(ISNUMBER($D816))),"",IF(AND($E816&lt;$D$2,$G816&lt;&gt;"X",$F816&lt;&gt;"Réalisé",$F816&lt;&gt;"Clôturé"),"RETARD",""))</f>
        <v/>
      </c>
      <c r="J816" s="29">
        <f>IF($B816="","",IF(INDEX(Dossiers!$F$4:$F$63,16)="","",INDEX(Dossiers!$F$4:$F$63,16)))</f>
        <v/>
      </c>
      <c r="K816" s="29">
        <f>IF($B816="","",IF(INDEX(Dossiers!$G$4:$G$63,16)="","",INDEX(Dossiers!$G$4:$G$63,16)))</f>
        <v/>
      </c>
    </row>
    <row r="817">
      <c r="A817">
        <f>IF($B817="","",INDEX(Dossiers!$E$4:$E$63,16))</f>
        <v/>
      </c>
      <c r="B817">
        <f>IF(INDEX(Suivi!$B:$B,833)="","",INDEX(Suivi!$B:$B,833))</f>
        <v/>
      </c>
      <c r="C817">
        <f>IF($B817="","",IF(INDEX(Suivi!$D:$D,833)="",INDEX(Suivi!$C:$C,833),INDEX(Suivi!$D:$D,833)))</f>
        <v/>
      </c>
      <c r="D817" s="29">
        <f>IF($B817="","",INDEX(Suivi!$E:$E,833))</f>
        <v/>
      </c>
      <c r="E817" s="29">
        <f>IF($B817="","",INDEX(Suivi!$F:$F,833))</f>
        <v/>
      </c>
      <c r="F817">
        <f>IF($B817="","",INDEX(Suivi!$G:$G,833))</f>
        <v/>
      </c>
      <c r="H817">
        <f>IF(OR($B817="",NOT(ISNUMBER($D817))),"",IF($E817&lt;$D$2,"Passé",IF($D817&gt;$F$2,"À venir","Dans la période")))</f>
        <v/>
      </c>
      <c r="I817">
        <f>IF(OR($B817="",NOT(ISNUMBER($D817))),"",IF(AND($E817&lt;$D$2,$G817&lt;&gt;"X",$F817&lt;&gt;"Réalisé",$F817&lt;&gt;"Clôturé"),"RETARD",""))</f>
        <v/>
      </c>
      <c r="J817" s="29">
        <f>IF($B817="","",IF(INDEX(Dossiers!$F$4:$F$63,16)="","",INDEX(Dossiers!$F$4:$F$63,16)))</f>
        <v/>
      </c>
      <c r="K817" s="29">
        <f>IF($B817="","",IF(INDEX(Dossiers!$G$4:$G$63,16)="","",INDEX(Dossiers!$G$4:$G$63,16)))</f>
        <v/>
      </c>
    </row>
    <row r="818">
      <c r="A818">
        <f>IF($B818="","",INDEX(Dossiers!$E$4:$E$63,16))</f>
        <v/>
      </c>
      <c r="B818">
        <f>IF(INDEX(Suivi!$B:$B,834)="","",INDEX(Suivi!$B:$B,834))</f>
        <v/>
      </c>
      <c r="C818">
        <f>IF($B818="","",IF(INDEX(Suivi!$D:$D,834)="",INDEX(Suivi!$C:$C,834),INDEX(Suivi!$D:$D,834)))</f>
        <v/>
      </c>
      <c r="D818" s="29">
        <f>IF($B818="","",INDEX(Suivi!$E:$E,834))</f>
        <v/>
      </c>
      <c r="E818" s="29">
        <f>IF($B818="","",INDEX(Suivi!$F:$F,834))</f>
        <v/>
      </c>
      <c r="F818">
        <f>IF($B818="","",INDEX(Suivi!$G:$G,834))</f>
        <v/>
      </c>
      <c r="H818">
        <f>IF(OR($B818="",NOT(ISNUMBER($D818))),"",IF($E818&lt;$D$2,"Passé",IF($D818&gt;$F$2,"À venir","Dans la période")))</f>
        <v/>
      </c>
      <c r="I818">
        <f>IF(OR($B818="",NOT(ISNUMBER($D818))),"",IF(AND($E818&lt;$D$2,$G818&lt;&gt;"X",$F818&lt;&gt;"Réalisé",$F818&lt;&gt;"Clôturé"),"RETARD",""))</f>
        <v/>
      </c>
      <c r="J818" s="29">
        <f>IF($B818="","",IF(INDEX(Dossiers!$F$4:$F$63,16)="","",INDEX(Dossiers!$F$4:$F$63,16)))</f>
        <v/>
      </c>
      <c r="K818" s="29">
        <f>IF($B818="","",IF(INDEX(Dossiers!$G$4:$G$63,16)="","",INDEX(Dossiers!$G$4:$G$63,16)))</f>
        <v/>
      </c>
    </row>
    <row r="819">
      <c r="A819">
        <f>IF($B819="","",INDEX(Dossiers!$E$4:$E$63,16))</f>
        <v/>
      </c>
      <c r="B819">
        <f>IF(INDEX(Suivi!$B:$B,835)="","",INDEX(Suivi!$B:$B,835))</f>
        <v/>
      </c>
      <c r="C819">
        <f>IF($B819="","",IF(INDEX(Suivi!$D:$D,835)="",INDEX(Suivi!$C:$C,835),INDEX(Suivi!$D:$D,835)))</f>
        <v/>
      </c>
      <c r="D819" s="29">
        <f>IF($B819="","",INDEX(Suivi!$E:$E,835))</f>
        <v/>
      </c>
      <c r="E819" s="29">
        <f>IF($B819="","",INDEX(Suivi!$F:$F,835))</f>
        <v/>
      </c>
      <c r="F819">
        <f>IF($B819="","",INDEX(Suivi!$G:$G,835))</f>
        <v/>
      </c>
      <c r="H819">
        <f>IF(OR($B819="",NOT(ISNUMBER($D819))),"",IF($E819&lt;$D$2,"Passé",IF($D819&gt;$F$2,"À venir","Dans la période")))</f>
        <v/>
      </c>
      <c r="I819">
        <f>IF(OR($B819="",NOT(ISNUMBER($D819))),"",IF(AND($E819&lt;$D$2,$G819&lt;&gt;"X",$F819&lt;&gt;"Réalisé",$F819&lt;&gt;"Clôturé"),"RETARD",""))</f>
        <v/>
      </c>
      <c r="J819" s="29">
        <f>IF($B819="","",IF(INDEX(Dossiers!$F$4:$F$63,16)="","",INDEX(Dossiers!$F$4:$F$63,16)))</f>
        <v/>
      </c>
      <c r="K819" s="29">
        <f>IF($B819="","",IF(INDEX(Dossiers!$G$4:$G$63,16)="","",INDEX(Dossiers!$G$4:$G$63,16)))</f>
        <v/>
      </c>
    </row>
    <row r="820">
      <c r="A820">
        <f>IF($B820="","",INDEX(Dossiers!$E$4:$E$63,16))</f>
        <v/>
      </c>
      <c r="B820">
        <f>IF(INDEX(Suivi!$B:$B,836)="","",INDEX(Suivi!$B:$B,836))</f>
        <v/>
      </c>
      <c r="C820">
        <f>IF($B820="","",IF(INDEX(Suivi!$D:$D,836)="",INDEX(Suivi!$C:$C,836),INDEX(Suivi!$D:$D,836)))</f>
        <v/>
      </c>
      <c r="D820" s="29">
        <f>IF($B820="","",INDEX(Suivi!$E:$E,836))</f>
        <v/>
      </c>
      <c r="E820" s="29">
        <f>IF($B820="","",INDEX(Suivi!$F:$F,836))</f>
        <v/>
      </c>
      <c r="F820">
        <f>IF($B820="","",INDEX(Suivi!$G:$G,836))</f>
        <v/>
      </c>
      <c r="H820">
        <f>IF(OR($B820="",NOT(ISNUMBER($D820))),"",IF($E820&lt;$D$2,"Passé",IF($D820&gt;$F$2,"À venir","Dans la période")))</f>
        <v/>
      </c>
      <c r="I820">
        <f>IF(OR($B820="",NOT(ISNUMBER($D820))),"",IF(AND($E820&lt;$D$2,$G820&lt;&gt;"X",$F820&lt;&gt;"Réalisé",$F820&lt;&gt;"Clôturé"),"RETARD",""))</f>
        <v/>
      </c>
      <c r="J820" s="29">
        <f>IF($B820="","",IF(INDEX(Dossiers!$F$4:$F$63,16)="","",INDEX(Dossiers!$F$4:$F$63,16)))</f>
        <v/>
      </c>
      <c r="K820" s="29">
        <f>IF($B820="","",IF(INDEX(Dossiers!$G$4:$G$63,16)="","",INDEX(Dossiers!$G$4:$G$63,16)))</f>
        <v/>
      </c>
    </row>
    <row r="821">
      <c r="A821">
        <f>IF($B821="","",INDEX(Dossiers!$E$4:$E$63,16))</f>
        <v/>
      </c>
      <c r="B821">
        <f>IF(INDEX(Suivi!$B:$B,837)="","",INDEX(Suivi!$B:$B,837))</f>
        <v/>
      </c>
      <c r="C821">
        <f>IF($B821="","",IF(INDEX(Suivi!$D:$D,837)="",INDEX(Suivi!$C:$C,837),INDEX(Suivi!$D:$D,837)))</f>
        <v/>
      </c>
      <c r="D821" s="29">
        <f>IF($B821="","",INDEX(Suivi!$E:$E,837))</f>
        <v/>
      </c>
      <c r="E821" s="29">
        <f>IF($B821="","",INDEX(Suivi!$F:$F,837))</f>
        <v/>
      </c>
      <c r="F821">
        <f>IF($B821="","",INDEX(Suivi!$G:$G,837))</f>
        <v/>
      </c>
      <c r="H821">
        <f>IF(OR($B821="",NOT(ISNUMBER($D821))),"",IF($E821&lt;$D$2,"Passé",IF($D821&gt;$F$2,"À venir","Dans la période")))</f>
        <v/>
      </c>
      <c r="I821">
        <f>IF(OR($B821="",NOT(ISNUMBER($D821))),"",IF(AND($E821&lt;$D$2,$G821&lt;&gt;"X",$F821&lt;&gt;"Réalisé",$F821&lt;&gt;"Clôturé"),"RETARD",""))</f>
        <v/>
      </c>
      <c r="J821" s="29">
        <f>IF($B821="","",IF(INDEX(Dossiers!$F$4:$F$63,16)="","",INDEX(Dossiers!$F$4:$F$63,16)))</f>
        <v/>
      </c>
      <c r="K821" s="29">
        <f>IF($B821="","",IF(INDEX(Dossiers!$G$4:$G$63,16)="","",INDEX(Dossiers!$G$4:$G$63,16)))</f>
        <v/>
      </c>
    </row>
    <row r="822">
      <c r="A822">
        <f>IF($B822="","",INDEX(Dossiers!$E$4:$E$63,16))</f>
        <v/>
      </c>
      <c r="B822">
        <f>IF(INDEX(Suivi!$B:$B,838)="","",INDEX(Suivi!$B:$B,838))</f>
        <v/>
      </c>
      <c r="C822">
        <f>IF($B822="","",IF(INDEX(Suivi!$D:$D,838)="",INDEX(Suivi!$C:$C,838),INDEX(Suivi!$D:$D,838)))</f>
        <v/>
      </c>
      <c r="D822" s="29">
        <f>IF($B822="","",INDEX(Suivi!$E:$E,838))</f>
        <v/>
      </c>
      <c r="E822" s="29">
        <f>IF($B822="","",INDEX(Suivi!$F:$F,838))</f>
        <v/>
      </c>
      <c r="F822">
        <f>IF($B822="","",INDEX(Suivi!$G:$G,838))</f>
        <v/>
      </c>
      <c r="H822">
        <f>IF(OR($B822="",NOT(ISNUMBER($D822))),"",IF($E822&lt;$D$2,"Passé",IF($D822&gt;$F$2,"À venir","Dans la période")))</f>
        <v/>
      </c>
      <c r="I822">
        <f>IF(OR($B822="",NOT(ISNUMBER($D822))),"",IF(AND($E822&lt;$D$2,$G822&lt;&gt;"X",$F822&lt;&gt;"Réalisé",$F822&lt;&gt;"Clôturé"),"RETARD",""))</f>
        <v/>
      </c>
      <c r="J822" s="29">
        <f>IF($B822="","",IF(INDEX(Dossiers!$F$4:$F$63,16)="","",INDEX(Dossiers!$F$4:$F$63,16)))</f>
        <v/>
      </c>
      <c r="K822" s="29">
        <f>IF($B822="","",IF(INDEX(Dossiers!$G$4:$G$63,16)="","",INDEX(Dossiers!$G$4:$G$63,16)))</f>
        <v/>
      </c>
    </row>
    <row r="823">
      <c r="A823">
        <f>IF($B823="","",INDEX(Dossiers!$E$4:$E$63,16))</f>
        <v/>
      </c>
      <c r="B823">
        <f>IF(INDEX(Suivi!$B:$B,839)="","",INDEX(Suivi!$B:$B,839))</f>
        <v/>
      </c>
      <c r="C823">
        <f>IF($B823="","",IF(INDEX(Suivi!$D:$D,839)="",INDEX(Suivi!$C:$C,839),INDEX(Suivi!$D:$D,839)))</f>
        <v/>
      </c>
      <c r="D823" s="29">
        <f>IF($B823="","",INDEX(Suivi!$E:$E,839))</f>
        <v/>
      </c>
      <c r="E823" s="29">
        <f>IF($B823="","",INDEX(Suivi!$F:$F,839))</f>
        <v/>
      </c>
      <c r="F823">
        <f>IF($B823="","",INDEX(Suivi!$G:$G,839))</f>
        <v/>
      </c>
      <c r="H823">
        <f>IF(OR($B823="",NOT(ISNUMBER($D823))),"",IF($E823&lt;$D$2,"Passé",IF($D823&gt;$F$2,"À venir","Dans la période")))</f>
        <v/>
      </c>
      <c r="I823">
        <f>IF(OR($B823="",NOT(ISNUMBER($D823))),"",IF(AND($E823&lt;$D$2,$G823&lt;&gt;"X",$F823&lt;&gt;"Réalisé",$F823&lt;&gt;"Clôturé"),"RETARD",""))</f>
        <v/>
      </c>
      <c r="J823" s="29">
        <f>IF($B823="","",IF(INDEX(Dossiers!$F$4:$F$63,16)="","",INDEX(Dossiers!$F$4:$F$63,16)))</f>
        <v/>
      </c>
      <c r="K823" s="29">
        <f>IF($B823="","",IF(INDEX(Dossiers!$G$4:$G$63,16)="","",INDEX(Dossiers!$G$4:$G$63,16)))</f>
        <v/>
      </c>
    </row>
    <row r="824">
      <c r="A824">
        <f>IF($B824="","",INDEX(Dossiers!$E$4:$E$63,16))</f>
        <v/>
      </c>
      <c r="B824">
        <f>IF(INDEX(Suivi!$B:$B,840)="","",INDEX(Suivi!$B:$B,840))</f>
        <v/>
      </c>
      <c r="C824">
        <f>IF($B824="","",IF(INDEX(Suivi!$D:$D,840)="",INDEX(Suivi!$C:$C,840),INDEX(Suivi!$D:$D,840)))</f>
        <v/>
      </c>
      <c r="D824" s="29">
        <f>IF($B824="","",INDEX(Suivi!$E:$E,840))</f>
        <v/>
      </c>
      <c r="E824" s="29">
        <f>IF($B824="","",INDEX(Suivi!$F:$F,840))</f>
        <v/>
      </c>
      <c r="F824">
        <f>IF($B824="","",INDEX(Suivi!$G:$G,840))</f>
        <v/>
      </c>
      <c r="H824">
        <f>IF(OR($B824="",NOT(ISNUMBER($D824))),"",IF($E824&lt;$D$2,"Passé",IF($D824&gt;$F$2,"À venir","Dans la période")))</f>
        <v/>
      </c>
      <c r="I824">
        <f>IF(OR($B824="",NOT(ISNUMBER($D824))),"",IF(AND($E824&lt;$D$2,$G824&lt;&gt;"X",$F824&lt;&gt;"Réalisé",$F824&lt;&gt;"Clôturé"),"RETARD",""))</f>
        <v/>
      </c>
      <c r="J824" s="29">
        <f>IF($B824="","",IF(INDEX(Dossiers!$F$4:$F$63,16)="","",INDEX(Dossiers!$F$4:$F$63,16)))</f>
        <v/>
      </c>
      <c r="K824" s="29">
        <f>IF($B824="","",IF(INDEX(Dossiers!$G$4:$G$63,16)="","",INDEX(Dossiers!$G$4:$G$63,16)))</f>
        <v/>
      </c>
    </row>
    <row r="825">
      <c r="A825">
        <f>IF($B825="","",INDEX(Dossiers!$E$4:$E$63,16))</f>
        <v/>
      </c>
      <c r="B825">
        <f>IF(INDEX(Suivi!$B:$B,841)="","",INDEX(Suivi!$B:$B,841))</f>
        <v/>
      </c>
      <c r="C825">
        <f>IF($B825="","",IF(INDEX(Suivi!$D:$D,841)="",INDEX(Suivi!$C:$C,841),INDEX(Suivi!$D:$D,841)))</f>
        <v/>
      </c>
      <c r="D825" s="29">
        <f>IF($B825="","",INDEX(Suivi!$E:$E,841))</f>
        <v/>
      </c>
      <c r="E825" s="29">
        <f>IF($B825="","",INDEX(Suivi!$F:$F,841))</f>
        <v/>
      </c>
      <c r="F825">
        <f>IF($B825="","",INDEX(Suivi!$G:$G,841))</f>
        <v/>
      </c>
      <c r="H825">
        <f>IF(OR($B825="",NOT(ISNUMBER($D825))),"",IF($E825&lt;$D$2,"Passé",IF($D825&gt;$F$2,"À venir","Dans la période")))</f>
        <v/>
      </c>
      <c r="I825">
        <f>IF(OR($B825="",NOT(ISNUMBER($D825))),"",IF(AND($E825&lt;$D$2,$G825&lt;&gt;"X",$F825&lt;&gt;"Réalisé",$F825&lt;&gt;"Clôturé"),"RETARD",""))</f>
        <v/>
      </c>
      <c r="J825" s="29">
        <f>IF($B825="","",IF(INDEX(Dossiers!$F$4:$F$63,16)="","",INDEX(Dossiers!$F$4:$F$63,16)))</f>
        <v/>
      </c>
      <c r="K825" s="29">
        <f>IF($B825="","",IF(INDEX(Dossiers!$G$4:$G$63,16)="","",INDEX(Dossiers!$G$4:$G$63,16)))</f>
        <v/>
      </c>
    </row>
    <row r="826">
      <c r="A826">
        <f>IF($B826="","",INDEX(Dossiers!$E$4:$E$63,16))</f>
        <v/>
      </c>
      <c r="B826">
        <f>IF(INDEX(Suivi!$B:$B,842)="","",INDEX(Suivi!$B:$B,842))</f>
        <v/>
      </c>
      <c r="C826">
        <f>IF($B826="","",IF(INDEX(Suivi!$D:$D,842)="",INDEX(Suivi!$C:$C,842),INDEX(Suivi!$D:$D,842)))</f>
        <v/>
      </c>
      <c r="D826" s="29">
        <f>IF($B826="","",INDEX(Suivi!$E:$E,842))</f>
        <v/>
      </c>
      <c r="E826" s="29">
        <f>IF($B826="","",INDEX(Suivi!$F:$F,842))</f>
        <v/>
      </c>
      <c r="F826">
        <f>IF($B826="","",INDEX(Suivi!$G:$G,842))</f>
        <v/>
      </c>
      <c r="H826">
        <f>IF(OR($B826="",NOT(ISNUMBER($D826))),"",IF($E826&lt;$D$2,"Passé",IF($D826&gt;$F$2,"À venir","Dans la période")))</f>
        <v/>
      </c>
      <c r="I826">
        <f>IF(OR($B826="",NOT(ISNUMBER($D826))),"",IF(AND($E826&lt;$D$2,$G826&lt;&gt;"X",$F826&lt;&gt;"Réalisé",$F826&lt;&gt;"Clôturé"),"RETARD",""))</f>
        <v/>
      </c>
      <c r="J826" s="29">
        <f>IF($B826="","",IF(INDEX(Dossiers!$F$4:$F$63,16)="","",INDEX(Dossiers!$F$4:$F$63,16)))</f>
        <v/>
      </c>
      <c r="K826" s="29">
        <f>IF($B826="","",IF(INDEX(Dossiers!$G$4:$G$63,16)="","",INDEX(Dossiers!$G$4:$G$63,16)))</f>
        <v/>
      </c>
    </row>
    <row r="827">
      <c r="A827">
        <f>IF($B827="","",INDEX(Dossiers!$E$4:$E$63,16))</f>
        <v/>
      </c>
      <c r="B827">
        <f>IF(INDEX(Suivi!$B:$B,843)="","",INDEX(Suivi!$B:$B,843))</f>
        <v/>
      </c>
      <c r="C827">
        <f>IF($B827="","",IF(INDEX(Suivi!$D:$D,843)="",INDEX(Suivi!$C:$C,843),INDEX(Suivi!$D:$D,843)))</f>
        <v/>
      </c>
      <c r="D827" s="29">
        <f>IF($B827="","",INDEX(Suivi!$E:$E,843))</f>
        <v/>
      </c>
      <c r="E827" s="29">
        <f>IF($B827="","",INDEX(Suivi!$F:$F,843))</f>
        <v/>
      </c>
      <c r="F827">
        <f>IF($B827="","",INDEX(Suivi!$G:$G,843))</f>
        <v/>
      </c>
      <c r="H827">
        <f>IF(OR($B827="",NOT(ISNUMBER($D827))),"",IF($E827&lt;$D$2,"Passé",IF($D827&gt;$F$2,"À venir","Dans la période")))</f>
        <v/>
      </c>
      <c r="I827">
        <f>IF(OR($B827="",NOT(ISNUMBER($D827))),"",IF(AND($E827&lt;$D$2,$G827&lt;&gt;"X",$F827&lt;&gt;"Réalisé",$F827&lt;&gt;"Clôturé"),"RETARD",""))</f>
        <v/>
      </c>
      <c r="J827" s="29">
        <f>IF($B827="","",IF(INDEX(Dossiers!$F$4:$F$63,16)="","",INDEX(Dossiers!$F$4:$F$63,16)))</f>
        <v/>
      </c>
      <c r="K827" s="29">
        <f>IF($B827="","",IF(INDEX(Dossiers!$G$4:$G$63,16)="","",INDEX(Dossiers!$G$4:$G$63,16)))</f>
        <v/>
      </c>
    </row>
    <row r="828">
      <c r="A828">
        <f>IF($B828="","",INDEX(Dossiers!$E$4:$E$63,16))</f>
        <v/>
      </c>
      <c r="B828">
        <f>IF(INDEX(Suivi!$B:$B,844)="","",INDEX(Suivi!$B:$B,844))</f>
        <v/>
      </c>
      <c r="C828">
        <f>IF($B828="","",IF(INDEX(Suivi!$D:$D,844)="",INDEX(Suivi!$C:$C,844),INDEX(Suivi!$D:$D,844)))</f>
        <v/>
      </c>
      <c r="D828" s="29">
        <f>IF($B828="","",INDEX(Suivi!$E:$E,844))</f>
        <v/>
      </c>
      <c r="E828" s="29">
        <f>IF($B828="","",INDEX(Suivi!$F:$F,844))</f>
        <v/>
      </c>
      <c r="F828">
        <f>IF($B828="","",INDEX(Suivi!$G:$G,844))</f>
        <v/>
      </c>
      <c r="H828">
        <f>IF(OR($B828="",NOT(ISNUMBER($D828))),"",IF($E828&lt;$D$2,"Passé",IF($D828&gt;$F$2,"À venir","Dans la période")))</f>
        <v/>
      </c>
      <c r="I828">
        <f>IF(OR($B828="",NOT(ISNUMBER($D828))),"",IF(AND($E828&lt;$D$2,$G828&lt;&gt;"X",$F828&lt;&gt;"Réalisé",$F828&lt;&gt;"Clôturé"),"RETARD",""))</f>
        <v/>
      </c>
      <c r="J828" s="29">
        <f>IF($B828="","",IF(INDEX(Dossiers!$F$4:$F$63,16)="","",INDEX(Dossiers!$F$4:$F$63,16)))</f>
        <v/>
      </c>
      <c r="K828" s="29">
        <f>IF($B828="","",IF(INDEX(Dossiers!$G$4:$G$63,16)="","",INDEX(Dossiers!$G$4:$G$63,16)))</f>
        <v/>
      </c>
    </row>
    <row r="829">
      <c r="A829">
        <f>IF($B829="","",INDEX(Dossiers!$E$4:$E$63,16))</f>
        <v/>
      </c>
      <c r="B829">
        <f>IF(INDEX(Suivi!$B:$B,845)="","",INDEX(Suivi!$B:$B,845))</f>
        <v/>
      </c>
      <c r="C829">
        <f>IF($B829="","",IF(INDEX(Suivi!$D:$D,845)="",INDEX(Suivi!$C:$C,845),INDEX(Suivi!$D:$D,845)))</f>
        <v/>
      </c>
      <c r="D829" s="29">
        <f>IF($B829="","",INDEX(Suivi!$E:$E,845))</f>
        <v/>
      </c>
      <c r="E829" s="29">
        <f>IF($B829="","",INDEX(Suivi!$F:$F,845))</f>
        <v/>
      </c>
      <c r="F829">
        <f>IF($B829="","",INDEX(Suivi!$G:$G,845))</f>
        <v/>
      </c>
      <c r="H829">
        <f>IF(OR($B829="",NOT(ISNUMBER($D829))),"",IF($E829&lt;$D$2,"Passé",IF($D829&gt;$F$2,"À venir","Dans la période")))</f>
        <v/>
      </c>
      <c r="I829">
        <f>IF(OR($B829="",NOT(ISNUMBER($D829))),"",IF(AND($E829&lt;$D$2,$G829&lt;&gt;"X",$F829&lt;&gt;"Réalisé",$F829&lt;&gt;"Clôturé"),"RETARD",""))</f>
        <v/>
      </c>
      <c r="J829" s="29">
        <f>IF($B829="","",IF(INDEX(Dossiers!$F$4:$F$63,16)="","",INDEX(Dossiers!$F$4:$F$63,16)))</f>
        <v/>
      </c>
      <c r="K829" s="29">
        <f>IF($B829="","",IF(INDEX(Dossiers!$G$4:$G$63,16)="","",INDEX(Dossiers!$G$4:$G$63,16)))</f>
        <v/>
      </c>
    </row>
    <row r="830">
      <c r="A830">
        <f>IF($B830="","",INDEX(Dossiers!$E$4:$E$63,16))</f>
        <v/>
      </c>
      <c r="B830">
        <f>IF(INDEX(Suivi!$B:$B,846)="","",INDEX(Suivi!$B:$B,846))</f>
        <v/>
      </c>
      <c r="C830">
        <f>IF($B830="","",IF(INDEX(Suivi!$D:$D,846)="",INDEX(Suivi!$C:$C,846),INDEX(Suivi!$D:$D,846)))</f>
        <v/>
      </c>
      <c r="D830" s="29">
        <f>IF($B830="","",INDEX(Suivi!$E:$E,846))</f>
        <v/>
      </c>
      <c r="E830" s="29">
        <f>IF($B830="","",INDEX(Suivi!$F:$F,846))</f>
        <v/>
      </c>
      <c r="F830">
        <f>IF($B830="","",INDEX(Suivi!$G:$G,846))</f>
        <v/>
      </c>
      <c r="H830">
        <f>IF(OR($B830="",NOT(ISNUMBER($D830))),"",IF($E830&lt;$D$2,"Passé",IF($D830&gt;$F$2,"À venir","Dans la période")))</f>
        <v/>
      </c>
      <c r="I830">
        <f>IF(OR($B830="",NOT(ISNUMBER($D830))),"",IF(AND($E830&lt;$D$2,$G830&lt;&gt;"X",$F830&lt;&gt;"Réalisé",$F830&lt;&gt;"Clôturé"),"RETARD",""))</f>
        <v/>
      </c>
      <c r="J830" s="29">
        <f>IF($B830="","",IF(INDEX(Dossiers!$F$4:$F$63,16)="","",INDEX(Dossiers!$F$4:$F$63,16)))</f>
        <v/>
      </c>
      <c r="K830" s="29">
        <f>IF($B830="","",IF(INDEX(Dossiers!$G$4:$G$63,16)="","",INDEX(Dossiers!$G$4:$G$63,16)))</f>
        <v/>
      </c>
    </row>
    <row r="831">
      <c r="A831">
        <f>IF($B831="","",INDEX(Dossiers!$E$4:$E$63,16))</f>
        <v/>
      </c>
      <c r="B831">
        <f>IF(INDEX(Suivi!$B:$B,847)="","",INDEX(Suivi!$B:$B,847))</f>
        <v/>
      </c>
      <c r="C831">
        <f>IF($B831="","",IF(INDEX(Suivi!$D:$D,847)="",INDEX(Suivi!$C:$C,847),INDEX(Suivi!$D:$D,847)))</f>
        <v/>
      </c>
      <c r="D831" s="29">
        <f>IF($B831="","",INDEX(Suivi!$E:$E,847))</f>
        <v/>
      </c>
      <c r="E831" s="29">
        <f>IF($B831="","",INDEX(Suivi!$F:$F,847))</f>
        <v/>
      </c>
      <c r="F831">
        <f>IF($B831="","",INDEX(Suivi!$G:$G,847))</f>
        <v/>
      </c>
      <c r="H831">
        <f>IF(OR($B831="",NOT(ISNUMBER($D831))),"",IF($E831&lt;$D$2,"Passé",IF($D831&gt;$F$2,"À venir","Dans la période")))</f>
        <v/>
      </c>
      <c r="I831">
        <f>IF(OR($B831="",NOT(ISNUMBER($D831))),"",IF(AND($E831&lt;$D$2,$G831&lt;&gt;"X",$F831&lt;&gt;"Réalisé",$F831&lt;&gt;"Clôturé"),"RETARD",""))</f>
        <v/>
      </c>
      <c r="J831" s="29">
        <f>IF($B831="","",IF(INDEX(Dossiers!$F$4:$F$63,16)="","",INDEX(Dossiers!$F$4:$F$63,16)))</f>
        <v/>
      </c>
      <c r="K831" s="29">
        <f>IF($B831="","",IF(INDEX(Dossiers!$G$4:$G$63,16)="","",INDEX(Dossiers!$G$4:$G$63,16)))</f>
        <v/>
      </c>
    </row>
    <row r="832">
      <c r="A832">
        <f>IF($B832="","",INDEX(Dossiers!$E$4:$E$63,16))</f>
        <v/>
      </c>
      <c r="B832">
        <f>IF(INDEX(Suivi!$B:$B,848)="","",INDEX(Suivi!$B:$B,848))</f>
        <v/>
      </c>
      <c r="C832">
        <f>IF($B832="","",IF(INDEX(Suivi!$D:$D,848)="",INDEX(Suivi!$C:$C,848),INDEX(Suivi!$D:$D,848)))</f>
        <v/>
      </c>
      <c r="D832" s="29">
        <f>IF($B832="","",INDEX(Suivi!$E:$E,848))</f>
        <v/>
      </c>
      <c r="E832" s="29">
        <f>IF($B832="","",INDEX(Suivi!$F:$F,848))</f>
        <v/>
      </c>
      <c r="F832">
        <f>IF($B832="","",INDEX(Suivi!$G:$G,848))</f>
        <v/>
      </c>
      <c r="H832">
        <f>IF(OR($B832="",NOT(ISNUMBER($D832))),"",IF($E832&lt;$D$2,"Passé",IF($D832&gt;$F$2,"À venir","Dans la période")))</f>
        <v/>
      </c>
      <c r="I832">
        <f>IF(OR($B832="",NOT(ISNUMBER($D832))),"",IF(AND($E832&lt;$D$2,$G832&lt;&gt;"X",$F832&lt;&gt;"Réalisé",$F832&lt;&gt;"Clôturé"),"RETARD",""))</f>
        <v/>
      </c>
      <c r="J832" s="29">
        <f>IF($B832="","",IF(INDEX(Dossiers!$F$4:$F$63,16)="","",INDEX(Dossiers!$F$4:$F$63,16)))</f>
        <v/>
      </c>
      <c r="K832" s="29">
        <f>IF($B832="","",IF(INDEX(Dossiers!$G$4:$G$63,16)="","",INDEX(Dossiers!$G$4:$G$63,16)))</f>
        <v/>
      </c>
    </row>
    <row r="833">
      <c r="A833">
        <f>IF($B833="","",INDEX(Dossiers!$E$4:$E$63,16))</f>
        <v/>
      </c>
      <c r="B833">
        <f>IF(INDEX(Suivi!$B:$B,849)="","",INDEX(Suivi!$B:$B,849))</f>
        <v/>
      </c>
      <c r="C833">
        <f>IF($B833="","",IF(INDEX(Suivi!$D:$D,849)="",INDEX(Suivi!$C:$C,849),INDEX(Suivi!$D:$D,849)))</f>
        <v/>
      </c>
      <c r="D833" s="29">
        <f>IF($B833="","",INDEX(Suivi!$E:$E,849))</f>
        <v/>
      </c>
      <c r="E833" s="29">
        <f>IF($B833="","",INDEX(Suivi!$F:$F,849))</f>
        <v/>
      </c>
      <c r="F833">
        <f>IF($B833="","",INDEX(Suivi!$G:$G,849))</f>
        <v/>
      </c>
      <c r="H833">
        <f>IF(OR($B833="",NOT(ISNUMBER($D833))),"",IF($E833&lt;$D$2,"Passé",IF($D833&gt;$F$2,"À venir","Dans la période")))</f>
        <v/>
      </c>
      <c r="I833">
        <f>IF(OR($B833="",NOT(ISNUMBER($D833))),"",IF(AND($E833&lt;$D$2,$G833&lt;&gt;"X",$F833&lt;&gt;"Réalisé",$F833&lt;&gt;"Clôturé"),"RETARD",""))</f>
        <v/>
      </c>
      <c r="J833" s="29">
        <f>IF($B833="","",IF(INDEX(Dossiers!$F$4:$F$63,16)="","",INDEX(Dossiers!$F$4:$F$63,16)))</f>
        <v/>
      </c>
      <c r="K833" s="29">
        <f>IF($B833="","",IF(INDEX(Dossiers!$G$4:$G$63,16)="","",INDEX(Dossiers!$G$4:$G$63,16)))</f>
        <v/>
      </c>
    </row>
    <row r="834">
      <c r="A834">
        <f>IF($B834="","",INDEX(Dossiers!$E$4:$E$63,16))</f>
        <v/>
      </c>
      <c r="B834">
        <f>IF(INDEX(Suivi!$B:$B,850)="","",INDEX(Suivi!$B:$B,850))</f>
        <v/>
      </c>
      <c r="C834">
        <f>IF($B834="","",IF(INDEX(Suivi!$D:$D,850)="",INDEX(Suivi!$C:$C,850),INDEX(Suivi!$D:$D,850)))</f>
        <v/>
      </c>
      <c r="D834" s="29">
        <f>IF($B834="","",INDEX(Suivi!$E:$E,850))</f>
        <v/>
      </c>
      <c r="E834" s="29">
        <f>IF($B834="","",INDEX(Suivi!$F:$F,850))</f>
        <v/>
      </c>
      <c r="F834">
        <f>IF($B834="","",INDEX(Suivi!$G:$G,850))</f>
        <v/>
      </c>
      <c r="H834">
        <f>IF(OR($B834="",NOT(ISNUMBER($D834))),"",IF($E834&lt;$D$2,"Passé",IF($D834&gt;$F$2,"À venir","Dans la période")))</f>
        <v/>
      </c>
      <c r="I834">
        <f>IF(OR($B834="",NOT(ISNUMBER($D834))),"",IF(AND($E834&lt;$D$2,$G834&lt;&gt;"X",$F834&lt;&gt;"Réalisé",$F834&lt;&gt;"Clôturé"),"RETARD",""))</f>
        <v/>
      </c>
      <c r="J834" s="29">
        <f>IF($B834="","",IF(INDEX(Dossiers!$F$4:$F$63,16)="","",INDEX(Dossiers!$F$4:$F$63,16)))</f>
        <v/>
      </c>
      <c r="K834" s="29">
        <f>IF($B834="","",IF(INDEX(Dossiers!$G$4:$G$63,16)="","",INDEX(Dossiers!$G$4:$G$63,16)))</f>
        <v/>
      </c>
    </row>
    <row r="835">
      <c r="A835">
        <f>IF($B835="","",INDEX(Dossiers!$E$4:$E$63,16))</f>
        <v/>
      </c>
      <c r="B835">
        <f>IF(INDEX(Suivi!$B:$B,851)="","",INDEX(Suivi!$B:$B,851))</f>
        <v/>
      </c>
      <c r="C835">
        <f>IF($B835="","",IF(INDEX(Suivi!$D:$D,851)="",INDEX(Suivi!$C:$C,851),INDEX(Suivi!$D:$D,851)))</f>
        <v/>
      </c>
      <c r="D835" s="29">
        <f>IF($B835="","",INDEX(Suivi!$E:$E,851))</f>
        <v/>
      </c>
      <c r="E835" s="29">
        <f>IF($B835="","",INDEX(Suivi!$F:$F,851))</f>
        <v/>
      </c>
      <c r="F835">
        <f>IF($B835="","",INDEX(Suivi!$G:$G,851))</f>
        <v/>
      </c>
      <c r="H835">
        <f>IF(OR($B835="",NOT(ISNUMBER($D835))),"",IF($E835&lt;$D$2,"Passé",IF($D835&gt;$F$2,"À venir","Dans la période")))</f>
        <v/>
      </c>
      <c r="I835">
        <f>IF(OR($B835="",NOT(ISNUMBER($D835))),"",IF(AND($E835&lt;$D$2,$G835&lt;&gt;"X",$F835&lt;&gt;"Réalisé",$F835&lt;&gt;"Clôturé"),"RETARD",""))</f>
        <v/>
      </c>
      <c r="J835" s="29">
        <f>IF($B835="","",IF(INDEX(Dossiers!$F$4:$F$63,16)="","",INDEX(Dossiers!$F$4:$F$63,16)))</f>
        <v/>
      </c>
      <c r="K835" s="29">
        <f>IF($B835="","",IF(INDEX(Dossiers!$G$4:$G$63,16)="","",INDEX(Dossiers!$G$4:$G$63,16)))</f>
        <v/>
      </c>
    </row>
    <row r="836">
      <c r="A836">
        <f>IF($B836="","",INDEX(Dossiers!$E$4:$E$63,16))</f>
        <v/>
      </c>
      <c r="B836">
        <f>IF(INDEX(Suivi!$B:$B,852)="","",INDEX(Suivi!$B:$B,852))</f>
        <v/>
      </c>
      <c r="C836">
        <f>IF($B836="","",IF(INDEX(Suivi!$D:$D,852)="",INDEX(Suivi!$C:$C,852),INDEX(Suivi!$D:$D,852)))</f>
        <v/>
      </c>
      <c r="D836" s="29">
        <f>IF($B836="","",INDEX(Suivi!$E:$E,852))</f>
        <v/>
      </c>
      <c r="E836" s="29">
        <f>IF($B836="","",INDEX(Suivi!$F:$F,852))</f>
        <v/>
      </c>
      <c r="F836">
        <f>IF($B836="","",INDEX(Suivi!$G:$G,852))</f>
        <v/>
      </c>
      <c r="H836">
        <f>IF(OR($B836="",NOT(ISNUMBER($D836))),"",IF($E836&lt;$D$2,"Passé",IF($D836&gt;$F$2,"À venir","Dans la période")))</f>
        <v/>
      </c>
      <c r="I836">
        <f>IF(OR($B836="",NOT(ISNUMBER($D836))),"",IF(AND($E836&lt;$D$2,$G836&lt;&gt;"X",$F836&lt;&gt;"Réalisé",$F836&lt;&gt;"Clôturé"),"RETARD",""))</f>
        <v/>
      </c>
      <c r="J836" s="29">
        <f>IF($B836="","",IF(INDEX(Dossiers!$F$4:$F$63,16)="","",INDEX(Dossiers!$F$4:$F$63,16)))</f>
        <v/>
      </c>
      <c r="K836" s="29">
        <f>IF($B836="","",IF(INDEX(Dossiers!$G$4:$G$63,16)="","",INDEX(Dossiers!$G$4:$G$63,16)))</f>
        <v/>
      </c>
    </row>
    <row r="837">
      <c r="A837">
        <f>IF($B837="","",INDEX(Dossiers!$E$4:$E$63,16))</f>
        <v/>
      </c>
      <c r="B837">
        <f>IF(INDEX(Suivi!$B:$B,853)="","",INDEX(Suivi!$B:$B,853))</f>
        <v/>
      </c>
      <c r="C837">
        <f>IF($B837="","",IF(INDEX(Suivi!$D:$D,853)="",INDEX(Suivi!$C:$C,853),INDEX(Suivi!$D:$D,853)))</f>
        <v/>
      </c>
      <c r="D837" s="29">
        <f>IF($B837="","",INDEX(Suivi!$E:$E,853))</f>
        <v/>
      </c>
      <c r="E837" s="29">
        <f>IF($B837="","",INDEX(Suivi!$F:$F,853))</f>
        <v/>
      </c>
      <c r="F837">
        <f>IF($B837="","",INDEX(Suivi!$G:$G,853))</f>
        <v/>
      </c>
      <c r="H837">
        <f>IF(OR($B837="",NOT(ISNUMBER($D837))),"",IF($E837&lt;$D$2,"Passé",IF($D837&gt;$F$2,"À venir","Dans la période")))</f>
        <v/>
      </c>
      <c r="I837">
        <f>IF(OR($B837="",NOT(ISNUMBER($D837))),"",IF(AND($E837&lt;$D$2,$G837&lt;&gt;"X",$F837&lt;&gt;"Réalisé",$F837&lt;&gt;"Clôturé"),"RETARD",""))</f>
        <v/>
      </c>
      <c r="J837" s="29">
        <f>IF($B837="","",IF(INDEX(Dossiers!$F$4:$F$63,16)="","",INDEX(Dossiers!$F$4:$F$63,16)))</f>
        <v/>
      </c>
      <c r="K837" s="29">
        <f>IF($B837="","",IF(INDEX(Dossiers!$G$4:$G$63,16)="","",INDEX(Dossiers!$G$4:$G$63,16)))</f>
        <v/>
      </c>
    </row>
    <row r="838">
      <c r="A838">
        <f>IF($B838="","",INDEX(Dossiers!$E$4:$E$63,16))</f>
        <v/>
      </c>
      <c r="B838">
        <f>IF(INDEX(Suivi!$B:$B,854)="","",INDEX(Suivi!$B:$B,854))</f>
        <v/>
      </c>
      <c r="C838">
        <f>IF($B838="","",IF(INDEX(Suivi!$D:$D,854)="",INDEX(Suivi!$C:$C,854),INDEX(Suivi!$D:$D,854)))</f>
        <v/>
      </c>
      <c r="D838" s="29">
        <f>IF($B838="","",INDEX(Suivi!$E:$E,854))</f>
        <v/>
      </c>
      <c r="E838" s="29">
        <f>IF($B838="","",INDEX(Suivi!$F:$F,854))</f>
        <v/>
      </c>
      <c r="F838">
        <f>IF($B838="","",INDEX(Suivi!$G:$G,854))</f>
        <v/>
      </c>
      <c r="H838">
        <f>IF(OR($B838="",NOT(ISNUMBER($D838))),"",IF($E838&lt;$D$2,"Passé",IF($D838&gt;$F$2,"À venir","Dans la période")))</f>
        <v/>
      </c>
      <c r="I838">
        <f>IF(OR($B838="",NOT(ISNUMBER($D838))),"",IF(AND($E838&lt;$D$2,$G838&lt;&gt;"X",$F838&lt;&gt;"Réalisé",$F838&lt;&gt;"Clôturé"),"RETARD",""))</f>
        <v/>
      </c>
      <c r="J838" s="29">
        <f>IF($B838="","",IF(INDEX(Dossiers!$F$4:$F$63,16)="","",INDEX(Dossiers!$F$4:$F$63,16)))</f>
        <v/>
      </c>
      <c r="K838" s="29">
        <f>IF($B838="","",IF(INDEX(Dossiers!$G$4:$G$63,16)="","",INDEX(Dossiers!$G$4:$G$63,16)))</f>
        <v/>
      </c>
    </row>
    <row r="839">
      <c r="A839">
        <f>IF($B839="","",INDEX(Dossiers!$E$4:$E$63,16))</f>
        <v/>
      </c>
      <c r="B839">
        <f>IF(INDEX(Suivi!$B:$B,855)="","",INDEX(Suivi!$B:$B,855))</f>
        <v/>
      </c>
      <c r="C839">
        <f>IF($B839="","",IF(INDEX(Suivi!$D:$D,855)="",INDEX(Suivi!$C:$C,855),INDEX(Suivi!$D:$D,855)))</f>
        <v/>
      </c>
      <c r="D839" s="29">
        <f>IF($B839="","",INDEX(Suivi!$E:$E,855))</f>
        <v/>
      </c>
      <c r="E839" s="29">
        <f>IF($B839="","",INDEX(Suivi!$F:$F,855))</f>
        <v/>
      </c>
      <c r="F839">
        <f>IF($B839="","",INDEX(Suivi!$G:$G,855))</f>
        <v/>
      </c>
      <c r="H839">
        <f>IF(OR($B839="",NOT(ISNUMBER($D839))),"",IF($E839&lt;$D$2,"Passé",IF($D839&gt;$F$2,"À venir","Dans la période")))</f>
        <v/>
      </c>
      <c r="I839">
        <f>IF(OR($B839="",NOT(ISNUMBER($D839))),"",IF(AND($E839&lt;$D$2,$G839&lt;&gt;"X",$F839&lt;&gt;"Réalisé",$F839&lt;&gt;"Clôturé"),"RETARD",""))</f>
        <v/>
      </c>
      <c r="J839" s="29">
        <f>IF($B839="","",IF(INDEX(Dossiers!$F$4:$F$63,16)="","",INDEX(Dossiers!$F$4:$F$63,16)))</f>
        <v/>
      </c>
      <c r="K839" s="29">
        <f>IF($B839="","",IF(INDEX(Dossiers!$G$4:$G$63,16)="","",INDEX(Dossiers!$G$4:$G$63,16)))</f>
        <v/>
      </c>
    </row>
    <row r="840">
      <c r="A840">
        <f>IF($B840="","",INDEX(Dossiers!$E$4:$E$63,16))</f>
        <v/>
      </c>
      <c r="B840">
        <f>IF(INDEX(Suivi!$B:$B,856)="","",INDEX(Suivi!$B:$B,856))</f>
        <v/>
      </c>
      <c r="C840">
        <f>IF($B840="","",IF(INDEX(Suivi!$D:$D,856)="",INDEX(Suivi!$C:$C,856),INDEX(Suivi!$D:$D,856)))</f>
        <v/>
      </c>
      <c r="D840" s="29">
        <f>IF($B840="","",INDEX(Suivi!$E:$E,856))</f>
        <v/>
      </c>
      <c r="E840" s="29">
        <f>IF($B840="","",INDEX(Suivi!$F:$F,856))</f>
        <v/>
      </c>
      <c r="F840">
        <f>IF($B840="","",INDEX(Suivi!$G:$G,856))</f>
        <v/>
      </c>
      <c r="H840">
        <f>IF(OR($B840="",NOT(ISNUMBER($D840))),"",IF($E840&lt;$D$2,"Passé",IF($D840&gt;$F$2,"À venir","Dans la période")))</f>
        <v/>
      </c>
      <c r="I840">
        <f>IF(OR($B840="",NOT(ISNUMBER($D840))),"",IF(AND($E840&lt;$D$2,$G840&lt;&gt;"X",$F840&lt;&gt;"Réalisé",$F840&lt;&gt;"Clôturé"),"RETARD",""))</f>
        <v/>
      </c>
      <c r="J840" s="29">
        <f>IF($B840="","",IF(INDEX(Dossiers!$F$4:$F$63,16)="","",INDEX(Dossiers!$F$4:$F$63,16)))</f>
        <v/>
      </c>
      <c r="K840" s="29">
        <f>IF($B840="","",IF(INDEX(Dossiers!$G$4:$G$63,16)="","",INDEX(Dossiers!$G$4:$G$63,16)))</f>
        <v/>
      </c>
    </row>
    <row r="841">
      <c r="A841">
        <f>IF($B841="","",INDEX(Dossiers!$E$4:$E$63,16))</f>
        <v/>
      </c>
      <c r="B841">
        <f>IF(INDEX(Suivi!$B:$B,857)="","",INDEX(Suivi!$B:$B,857))</f>
        <v/>
      </c>
      <c r="C841">
        <f>IF($B841="","",IF(INDEX(Suivi!$D:$D,857)="",INDEX(Suivi!$C:$C,857),INDEX(Suivi!$D:$D,857)))</f>
        <v/>
      </c>
      <c r="D841" s="29">
        <f>IF($B841="","",INDEX(Suivi!$E:$E,857))</f>
        <v/>
      </c>
      <c r="E841" s="29">
        <f>IF($B841="","",INDEX(Suivi!$F:$F,857))</f>
        <v/>
      </c>
      <c r="F841">
        <f>IF($B841="","",INDEX(Suivi!$G:$G,857))</f>
        <v/>
      </c>
      <c r="H841">
        <f>IF(OR($B841="",NOT(ISNUMBER($D841))),"",IF($E841&lt;$D$2,"Passé",IF($D841&gt;$F$2,"À venir","Dans la période")))</f>
        <v/>
      </c>
      <c r="I841">
        <f>IF(OR($B841="",NOT(ISNUMBER($D841))),"",IF(AND($E841&lt;$D$2,$G841&lt;&gt;"X",$F841&lt;&gt;"Réalisé",$F841&lt;&gt;"Clôturé"),"RETARD",""))</f>
        <v/>
      </c>
      <c r="J841" s="29">
        <f>IF($B841="","",IF(INDEX(Dossiers!$F$4:$F$63,16)="","",INDEX(Dossiers!$F$4:$F$63,16)))</f>
        <v/>
      </c>
      <c r="K841" s="29">
        <f>IF($B841="","",IF(INDEX(Dossiers!$G$4:$G$63,16)="","",INDEX(Dossiers!$G$4:$G$63,16)))</f>
        <v/>
      </c>
    </row>
    <row r="842">
      <c r="A842">
        <f>IF($B842="","",INDEX(Dossiers!$E$4:$E$63,16))</f>
        <v/>
      </c>
      <c r="B842">
        <f>IF(INDEX(Suivi!$B:$B,858)="","",INDEX(Suivi!$B:$B,858))</f>
        <v/>
      </c>
      <c r="C842">
        <f>IF($B842="","",IF(INDEX(Suivi!$D:$D,858)="",INDEX(Suivi!$C:$C,858),INDEX(Suivi!$D:$D,858)))</f>
        <v/>
      </c>
      <c r="D842" s="29">
        <f>IF($B842="","",INDEX(Suivi!$E:$E,858))</f>
        <v/>
      </c>
      <c r="E842" s="29">
        <f>IF($B842="","",INDEX(Suivi!$F:$F,858))</f>
        <v/>
      </c>
      <c r="F842">
        <f>IF($B842="","",INDEX(Suivi!$G:$G,858))</f>
        <v/>
      </c>
      <c r="H842">
        <f>IF(OR($B842="",NOT(ISNUMBER($D842))),"",IF($E842&lt;$D$2,"Passé",IF($D842&gt;$F$2,"À venir","Dans la période")))</f>
        <v/>
      </c>
      <c r="I842">
        <f>IF(OR($B842="",NOT(ISNUMBER($D842))),"",IF(AND($E842&lt;$D$2,$G842&lt;&gt;"X",$F842&lt;&gt;"Réalisé",$F842&lt;&gt;"Clôturé"),"RETARD",""))</f>
        <v/>
      </c>
      <c r="J842" s="29">
        <f>IF($B842="","",IF(INDEX(Dossiers!$F$4:$F$63,16)="","",INDEX(Dossiers!$F$4:$F$63,16)))</f>
        <v/>
      </c>
      <c r="K842" s="29">
        <f>IF($B842="","",IF(INDEX(Dossiers!$G$4:$G$63,16)="","",INDEX(Dossiers!$G$4:$G$63,16)))</f>
        <v/>
      </c>
    </row>
    <row r="843">
      <c r="A843">
        <f>IF($B843="","",INDEX(Dossiers!$E$4:$E$63,16))</f>
        <v/>
      </c>
      <c r="B843">
        <f>IF(INDEX(Suivi!$B:$B,859)="","",INDEX(Suivi!$B:$B,859))</f>
        <v/>
      </c>
      <c r="C843">
        <f>IF($B843="","",IF(INDEX(Suivi!$D:$D,859)="",INDEX(Suivi!$C:$C,859),INDEX(Suivi!$D:$D,859)))</f>
        <v/>
      </c>
      <c r="D843" s="29">
        <f>IF($B843="","",INDEX(Suivi!$E:$E,859))</f>
        <v/>
      </c>
      <c r="E843" s="29">
        <f>IF($B843="","",INDEX(Suivi!$F:$F,859))</f>
        <v/>
      </c>
      <c r="F843">
        <f>IF($B843="","",INDEX(Suivi!$G:$G,859))</f>
        <v/>
      </c>
      <c r="H843">
        <f>IF(OR($B843="",NOT(ISNUMBER($D843))),"",IF($E843&lt;$D$2,"Passé",IF($D843&gt;$F$2,"À venir","Dans la période")))</f>
        <v/>
      </c>
      <c r="I843">
        <f>IF(OR($B843="",NOT(ISNUMBER($D843))),"",IF(AND($E843&lt;$D$2,$G843&lt;&gt;"X",$F843&lt;&gt;"Réalisé",$F843&lt;&gt;"Clôturé"),"RETARD",""))</f>
        <v/>
      </c>
      <c r="J843" s="29">
        <f>IF($B843="","",IF(INDEX(Dossiers!$F$4:$F$63,16)="","",INDEX(Dossiers!$F$4:$F$63,16)))</f>
        <v/>
      </c>
      <c r="K843" s="29">
        <f>IF($B843="","",IF(INDEX(Dossiers!$G$4:$G$63,16)="","",INDEX(Dossiers!$G$4:$G$63,16)))</f>
        <v/>
      </c>
    </row>
    <row r="844">
      <c r="A844">
        <f>IF($B844="","",INDEX(Dossiers!$E$4:$E$63,16))</f>
        <v/>
      </c>
      <c r="B844">
        <f>IF(INDEX(Suivi!$B:$B,860)="","",INDEX(Suivi!$B:$B,860))</f>
        <v/>
      </c>
      <c r="C844">
        <f>IF($B844="","",IF(INDEX(Suivi!$D:$D,860)="",INDEX(Suivi!$C:$C,860),INDEX(Suivi!$D:$D,860)))</f>
        <v/>
      </c>
      <c r="D844" s="29">
        <f>IF($B844="","",INDEX(Suivi!$E:$E,860))</f>
        <v/>
      </c>
      <c r="E844" s="29">
        <f>IF($B844="","",INDEX(Suivi!$F:$F,860))</f>
        <v/>
      </c>
      <c r="F844">
        <f>IF($B844="","",INDEX(Suivi!$G:$G,860))</f>
        <v/>
      </c>
      <c r="H844">
        <f>IF(OR($B844="",NOT(ISNUMBER($D844))),"",IF($E844&lt;$D$2,"Passé",IF($D844&gt;$F$2,"À venir","Dans la période")))</f>
        <v/>
      </c>
      <c r="I844">
        <f>IF(OR($B844="",NOT(ISNUMBER($D844))),"",IF(AND($E844&lt;$D$2,$G844&lt;&gt;"X",$F844&lt;&gt;"Réalisé",$F844&lt;&gt;"Clôturé"),"RETARD",""))</f>
        <v/>
      </c>
      <c r="J844" s="29">
        <f>IF($B844="","",IF(INDEX(Dossiers!$F$4:$F$63,16)="","",INDEX(Dossiers!$F$4:$F$63,16)))</f>
        <v/>
      </c>
      <c r="K844" s="29">
        <f>IF($B844="","",IF(INDEX(Dossiers!$G$4:$G$63,16)="","",INDEX(Dossiers!$G$4:$G$63,16)))</f>
        <v/>
      </c>
    </row>
    <row r="845">
      <c r="A845">
        <f>IF($B845="","",INDEX(Dossiers!$E$4:$E$63,16))</f>
        <v/>
      </c>
      <c r="B845">
        <f>IF(INDEX(Suivi!$B:$B,861)="","",INDEX(Suivi!$B:$B,861))</f>
        <v/>
      </c>
      <c r="C845">
        <f>IF($B845="","",IF(INDEX(Suivi!$D:$D,861)="",INDEX(Suivi!$C:$C,861),INDEX(Suivi!$D:$D,861)))</f>
        <v/>
      </c>
      <c r="D845" s="29">
        <f>IF($B845="","",INDEX(Suivi!$E:$E,861))</f>
        <v/>
      </c>
      <c r="E845" s="29">
        <f>IF($B845="","",INDEX(Suivi!$F:$F,861))</f>
        <v/>
      </c>
      <c r="F845">
        <f>IF($B845="","",INDEX(Suivi!$G:$G,861))</f>
        <v/>
      </c>
      <c r="H845">
        <f>IF(OR($B845="",NOT(ISNUMBER($D845))),"",IF($E845&lt;$D$2,"Passé",IF($D845&gt;$F$2,"À venir","Dans la période")))</f>
        <v/>
      </c>
      <c r="I845">
        <f>IF(OR($B845="",NOT(ISNUMBER($D845))),"",IF(AND($E845&lt;$D$2,$G845&lt;&gt;"X",$F845&lt;&gt;"Réalisé",$F845&lt;&gt;"Clôturé"),"RETARD",""))</f>
        <v/>
      </c>
      <c r="J845" s="29">
        <f>IF($B845="","",IF(INDEX(Dossiers!$F$4:$F$63,16)="","",INDEX(Dossiers!$F$4:$F$63,16)))</f>
        <v/>
      </c>
      <c r="K845" s="29">
        <f>IF($B845="","",IF(INDEX(Dossiers!$G$4:$G$63,16)="","",INDEX(Dossiers!$G$4:$G$63,16)))</f>
        <v/>
      </c>
    </row>
    <row r="846">
      <c r="A846">
        <f>IF($B846="","",INDEX(Dossiers!$E$4:$E$63,16))</f>
        <v/>
      </c>
      <c r="B846">
        <f>IF(INDEX(Suivi!$B:$B,862)="","",INDEX(Suivi!$B:$B,862))</f>
        <v/>
      </c>
      <c r="C846">
        <f>IF($B846="","",IF(INDEX(Suivi!$D:$D,862)="",INDEX(Suivi!$C:$C,862),INDEX(Suivi!$D:$D,862)))</f>
        <v/>
      </c>
      <c r="D846" s="29">
        <f>IF($B846="","",INDEX(Suivi!$E:$E,862))</f>
        <v/>
      </c>
      <c r="E846" s="29">
        <f>IF($B846="","",INDEX(Suivi!$F:$F,862))</f>
        <v/>
      </c>
      <c r="F846">
        <f>IF($B846="","",INDEX(Suivi!$G:$G,862))</f>
        <v/>
      </c>
      <c r="H846">
        <f>IF(OR($B846="",NOT(ISNUMBER($D846))),"",IF($E846&lt;$D$2,"Passé",IF($D846&gt;$F$2,"À venir","Dans la période")))</f>
        <v/>
      </c>
      <c r="I846">
        <f>IF(OR($B846="",NOT(ISNUMBER($D846))),"",IF(AND($E846&lt;$D$2,$G846&lt;&gt;"X",$F846&lt;&gt;"Réalisé",$F846&lt;&gt;"Clôturé"),"RETARD",""))</f>
        <v/>
      </c>
      <c r="J846" s="29">
        <f>IF($B846="","",IF(INDEX(Dossiers!$F$4:$F$63,16)="","",INDEX(Dossiers!$F$4:$F$63,16)))</f>
        <v/>
      </c>
      <c r="K846" s="29">
        <f>IF($B846="","",IF(INDEX(Dossiers!$G$4:$G$63,16)="","",INDEX(Dossiers!$G$4:$G$63,16)))</f>
        <v/>
      </c>
    </row>
    <row r="847">
      <c r="A847">
        <f>IF($B847="","",INDEX(Dossiers!$E$4:$E$63,16))</f>
        <v/>
      </c>
      <c r="B847">
        <f>IF(INDEX(Suivi!$B:$B,863)="","",INDEX(Suivi!$B:$B,863))</f>
        <v/>
      </c>
      <c r="C847">
        <f>IF($B847="","",IF(INDEX(Suivi!$D:$D,863)="",INDEX(Suivi!$C:$C,863),INDEX(Suivi!$D:$D,863)))</f>
        <v/>
      </c>
      <c r="D847" s="29">
        <f>IF($B847="","",INDEX(Suivi!$E:$E,863))</f>
        <v/>
      </c>
      <c r="E847" s="29">
        <f>IF($B847="","",INDEX(Suivi!$F:$F,863))</f>
        <v/>
      </c>
      <c r="F847">
        <f>IF($B847="","",INDEX(Suivi!$G:$G,863))</f>
        <v/>
      </c>
      <c r="H847">
        <f>IF(OR($B847="",NOT(ISNUMBER($D847))),"",IF($E847&lt;$D$2,"Passé",IF($D847&gt;$F$2,"À venir","Dans la période")))</f>
        <v/>
      </c>
      <c r="I847">
        <f>IF(OR($B847="",NOT(ISNUMBER($D847))),"",IF(AND($E847&lt;$D$2,$G847&lt;&gt;"X",$F847&lt;&gt;"Réalisé",$F847&lt;&gt;"Clôturé"),"RETARD",""))</f>
        <v/>
      </c>
      <c r="J847" s="29">
        <f>IF($B847="","",IF(INDEX(Dossiers!$F$4:$F$63,16)="","",INDEX(Dossiers!$F$4:$F$63,16)))</f>
        <v/>
      </c>
      <c r="K847" s="29">
        <f>IF($B847="","",IF(INDEX(Dossiers!$G$4:$G$63,16)="","",INDEX(Dossiers!$G$4:$G$63,16)))</f>
        <v/>
      </c>
    </row>
    <row r="848">
      <c r="A848">
        <f>IF($B848="","",INDEX(Dossiers!$E$4:$E$63,16))</f>
        <v/>
      </c>
      <c r="B848">
        <f>IF(INDEX(Suivi!$B:$B,864)="","",INDEX(Suivi!$B:$B,864))</f>
        <v/>
      </c>
      <c r="C848">
        <f>IF($B848="","",IF(INDEX(Suivi!$D:$D,864)="",INDEX(Suivi!$C:$C,864),INDEX(Suivi!$D:$D,864)))</f>
        <v/>
      </c>
      <c r="D848" s="29">
        <f>IF($B848="","",INDEX(Suivi!$E:$E,864))</f>
        <v/>
      </c>
      <c r="E848" s="29">
        <f>IF($B848="","",INDEX(Suivi!$F:$F,864))</f>
        <v/>
      </c>
      <c r="F848">
        <f>IF($B848="","",INDEX(Suivi!$G:$G,864))</f>
        <v/>
      </c>
      <c r="H848">
        <f>IF(OR($B848="",NOT(ISNUMBER($D848))),"",IF($E848&lt;$D$2,"Passé",IF($D848&gt;$F$2,"À venir","Dans la période")))</f>
        <v/>
      </c>
      <c r="I848">
        <f>IF(OR($B848="",NOT(ISNUMBER($D848))),"",IF(AND($E848&lt;$D$2,$G848&lt;&gt;"X",$F848&lt;&gt;"Réalisé",$F848&lt;&gt;"Clôturé"),"RETARD",""))</f>
        <v/>
      </c>
      <c r="J848" s="29">
        <f>IF($B848="","",IF(INDEX(Dossiers!$F$4:$F$63,16)="","",INDEX(Dossiers!$F$4:$F$63,16)))</f>
        <v/>
      </c>
      <c r="K848" s="29">
        <f>IF($B848="","",IF(INDEX(Dossiers!$G$4:$G$63,16)="","",INDEX(Dossiers!$G$4:$G$63,16)))</f>
        <v/>
      </c>
    </row>
    <row r="849">
      <c r="A849">
        <f>IF($B849="","",INDEX(Dossiers!$E$4:$E$63,16))</f>
        <v/>
      </c>
      <c r="B849">
        <f>IF(INDEX(Suivi!$B:$B,865)="","",INDEX(Suivi!$B:$B,865))</f>
        <v/>
      </c>
      <c r="C849">
        <f>IF($B849="","",IF(INDEX(Suivi!$D:$D,865)="",INDEX(Suivi!$C:$C,865),INDEX(Suivi!$D:$D,865)))</f>
        <v/>
      </c>
      <c r="D849" s="29">
        <f>IF($B849="","",INDEX(Suivi!$E:$E,865))</f>
        <v/>
      </c>
      <c r="E849" s="29">
        <f>IF($B849="","",INDEX(Suivi!$F:$F,865))</f>
        <v/>
      </c>
      <c r="F849">
        <f>IF($B849="","",INDEX(Suivi!$G:$G,865))</f>
        <v/>
      </c>
      <c r="H849">
        <f>IF(OR($B849="",NOT(ISNUMBER($D849))),"",IF($E849&lt;$D$2,"Passé",IF($D849&gt;$F$2,"À venir","Dans la période")))</f>
        <v/>
      </c>
      <c r="I849">
        <f>IF(OR($B849="",NOT(ISNUMBER($D849))),"",IF(AND($E849&lt;$D$2,$G849&lt;&gt;"X",$F849&lt;&gt;"Réalisé",$F849&lt;&gt;"Clôturé"),"RETARD",""))</f>
        <v/>
      </c>
      <c r="J849" s="29">
        <f>IF($B849="","",IF(INDEX(Dossiers!$F$4:$F$63,16)="","",INDEX(Dossiers!$F$4:$F$63,16)))</f>
        <v/>
      </c>
      <c r="K849" s="29">
        <f>IF($B849="","",IF(INDEX(Dossiers!$G$4:$G$63,16)="","",INDEX(Dossiers!$G$4:$G$63,16)))</f>
        <v/>
      </c>
    </row>
    <row r="850">
      <c r="A850">
        <f>IF($B850="","",INDEX(Dossiers!$E$4:$E$63,16))</f>
        <v/>
      </c>
      <c r="B850">
        <f>IF(INDEX(Suivi!$B:$B,866)="","",INDEX(Suivi!$B:$B,866))</f>
        <v/>
      </c>
      <c r="C850">
        <f>IF($B850="","",IF(INDEX(Suivi!$D:$D,866)="",INDEX(Suivi!$C:$C,866),INDEX(Suivi!$D:$D,866)))</f>
        <v/>
      </c>
      <c r="D850" s="29">
        <f>IF($B850="","",INDEX(Suivi!$E:$E,866))</f>
        <v/>
      </c>
      <c r="E850" s="29">
        <f>IF($B850="","",INDEX(Suivi!$F:$F,866))</f>
        <v/>
      </c>
      <c r="F850">
        <f>IF($B850="","",INDEX(Suivi!$G:$G,866))</f>
        <v/>
      </c>
      <c r="H850">
        <f>IF(OR($B850="",NOT(ISNUMBER($D850))),"",IF($E850&lt;$D$2,"Passé",IF($D850&gt;$F$2,"À venir","Dans la période")))</f>
        <v/>
      </c>
      <c r="I850">
        <f>IF(OR($B850="",NOT(ISNUMBER($D850))),"",IF(AND($E850&lt;$D$2,$G850&lt;&gt;"X",$F850&lt;&gt;"Réalisé",$F850&lt;&gt;"Clôturé"),"RETARD",""))</f>
        <v/>
      </c>
      <c r="J850" s="29">
        <f>IF($B850="","",IF(INDEX(Dossiers!$F$4:$F$63,16)="","",INDEX(Dossiers!$F$4:$F$63,16)))</f>
        <v/>
      </c>
      <c r="K850" s="29">
        <f>IF($B850="","",IF(INDEX(Dossiers!$G$4:$G$63,16)="","",INDEX(Dossiers!$G$4:$G$63,16)))</f>
        <v/>
      </c>
    </row>
    <row r="851">
      <c r="A851">
        <f>IF($B851="","",INDEX(Dossiers!$E$4:$E$63,16))</f>
        <v/>
      </c>
      <c r="B851">
        <f>IF(INDEX(Suivi!$B:$B,867)="","",INDEX(Suivi!$B:$B,867))</f>
        <v/>
      </c>
      <c r="C851">
        <f>IF($B851="","",IF(INDEX(Suivi!$D:$D,867)="",INDEX(Suivi!$C:$C,867),INDEX(Suivi!$D:$D,867)))</f>
        <v/>
      </c>
      <c r="D851" s="29">
        <f>IF($B851="","",INDEX(Suivi!$E:$E,867))</f>
        <v/>
      </c>
      <c r="E851" s="29">
        <f>IF($B851="","",INDEX(Suivi!$F:$F,867))</f>
        <v/>
      </c>
      <c r="F851">
        <f>IF($B851="","",INDEX(Suivi!$G:$G,867))</f>
        <v/>
      </c>
      <c r="H851">
        <f>IF(OR($B851="",NOT(ISNUMBER($D851))),"",IF($E851&lt;$D$2,"Passé",IF($D851&gt;$F$2,"À venir","Dans la période")))</f>
        <v/>
      </c>
      <c r="I851">
        <f>IF(OR($B851="",NOT(ISNUMBER($D851))),"",IF(AND($E851&lt;$D$2,$G851&lt;&gt;"X",$F851&lt;&gt;"Réalisé",$F851&lt;&gt;"Clôturé"),"RETARD",""))</f>
        <v/>
      </c>
      <c r="J851" s="29">
        <f>IF($B851="","",IF(INDEX(Dossiers!$F$4:$F$63,16)="","",INDEX(Dossiers!$F$4:$F$63,16)))</f>
        <v/>
      </c>
      <c r="K851" s="29">
        <f>IF($B851="","",IF(INDEX(Dossiers!$G$4:$G$63,16)="","",INDEX(Dossiers!$G$4:$G$63,16)))</f>
        <v/>
      </c>
    </row>
    <row r="852">
      <c r="A852">
        <f>IF($B852="","",INDEX(Dossiers!$E$4:$E$63,17))</f>
        <v/>
      </c>
      <c r="B852">
        <f>IF(INDEX(Suivi!$B:$B,869)="","",INDEX(Suivi!$B:$B,869))</f>
        <v/>
      </c>
      <c r="C852">
        <f>IF($B852="","",IF(INDEX(Suivi!$D:$D,869)="",INDEX(Suivi!$C:$C,869),INDEX(Suivi!$D:$D,869)))</f>
        <v/>
      </c>
      <c r="D852" s="29">
        <f>IF($B852="","",INDEX(Suivi!$E:$E,869))</f>
        <v/>
      </c>
      <c r="E852" s="29">
        <f>IF($B852="","",INDEX(Suivi!$F:$F,869))</f>
        <v/>
      </c>
      <c r="F852">
        <f>IF($B852="","",INDEX(Suivi!$G:$G,869))</f>
        <v/>
      </c>
      <c r="H852">
        <f>IF(OR($B852="",NOT(ISNUMBER($D852))),"",IF($E852&lt;$D$2,"Passé",IF($D852&gt;$F$2,"À venir","Dans la période")))</f>
        <v/>
      </c>
      <c r="I852">
        <f>IF(OR($B852="",NOT(ISNUMBER($D852))),"",IF(AND($E852&lt;$D$2,$G852&lt;&gt;"X",$F852&lt;&gt;"Réalisé",$F852&lt;&gt;"Clôturé"),"RETARD",""))</f>
        <v/>
      </c>
      <c r="J852" s="29">
        <f>IF($B852="","",IF(INDEX(Dossiers!$F$4:$F$63,17)="","",INDEX(Dossiers!$F$4:$F$63,17)))</f>
        <v/>
      </c>
      <c r="K852" s="29">
        <f>IF($B852="","",IF(INDEX(Dossiers!$G$4:$G$63,17)="","",INDEX(Dossiers!$G$4:$G$63,17)))</f>
        <v/>
      </c>
    </row>
    <row r="853">
      <c r="A853">
        <f>IF($B853="","",INDEX(Dossiers!$E$4:$E$63,17))</f>
        <v/>
      </c>
      <c r="B853">
        <f>IF(INDEX(Suivi!$B:$B,870)="","",INDEX(Suivi!$B:$B,870))</f>
        <v/>
      </c>
      <c r="C853">
        <f>IF($B853="","",IF(INDEX(Suivi!$D:$D,870)="",INDEX(Suivi!$C:$C,870),INDEX(Suivi!$D:$D,870)))</f>
        <v/>
      </c>
      <c r="D853" s="29">
        <f>IF($B853="","",INDEX(Suivi!$E:$E,870))</f>
        <v/>
      </c>
      <c r="E853" s="29">
        <f>IF($B853="","",INDEX(Suivi!$F:$F,870))</f>
        <v/>
      </c>
      <c r="F853">
        <f>IF($B853="","",INDEX(Suivi!$G:$G,870))</f>
        <v/>
      </c>
      <c r="H853">
        <f>IF(OR($B853="",NOT(ISNUMBER($D853))),"",IF($E853&lt;$D$2,"Passé",IF($D853&gt;$F$2,"À venir","Dans la période")))</f>
        <v/>
      </c>
      <c r="I853">
        <f>IF(OR($B853="",NOT(ISNUMBER($D853))),"",IF(AND($E853&lt;$D$2,$G853&lt;&gt;"X",$F853&lt;&gt;"Réalisé",$F853&lt;&gt;"Clôturé"),"RETARD",""))</f>
        <v/>
      </c>
      <c r="J853" s="29">
        <f>IF($B853="","",IF(INDEX(Dossiers!$F$4:$F$63,17)="","",INDEX(Dossiers!$F$4:$F$63,17)))</f>
        <v/>
      </c>
      <c r="K853" s="29">
        <f>IF($B853="","",IF(INDEX(Dossiers!$G$4:$G$63,17)="","",INDEX(Dossiers!$G$4:$G$63,17)))</f>
        <v/>
      </c>
    </row>
    <row r="854">
      <c r="A854">
        <f>IF($B854="","",INDEX(Dossiers!$E$4:$E$63,17))</f>
        <v/>
      </c>
      <c r="B854">
        <f>IF(INDEX(Suivi!$B:$B,871)="","",INDEX(Suivi!$B:$B,871))</f>
        <v/>
      </c>
      <c r="C854">
        <f>IF($B854="","",IF(INDEX(Suivi!$D:$D,871)="",INDEX(Suivi!$C:$C,871),INDEX(Suivi!$D:$D,871)))</f>
        <v/>
      </c>
      <c r="D854" s="29">
        <f>IF($B854="","",INDEX(Suivi!$E:$E,871))</f>
        <v/>
      </c>
      <c r="E854" s="29">
        <f>IF($B854="","",INDEX(Suivi!$F:$F,871))</f>
        <v/>
      </c>
      <c r="F854">
        <f>IF($B854="","",INDEX(Suivi!$G:$G,871))</f>
        <v/>
      </c>
      <c r="H854">
        <f>IF(OR($B854="",NOT(ISNUMBER($D854))),"",IF($E854&lt;$D$2,"Passé",IF($D854&gt;$F$2,"À venir","Dans la période")))</f>
        <v/>
      </c>
      <c r="I854">
        <f>IF(OR($B854="",NOT(ISNUMBER($D854))),"",IF(AND($E854&lt;$D$2,$G854&lt;&gt;"X",$F854&lt;&gt;"Réalisé",$F854&lt;&gt;"Clôturé"),"RETARD",""))</f>
        <v/>
      </c>
      <c r="J854" s="29">
        <f>IF($B854="","",IF(INDEX(Dossiers!$F$4:$F$63,17)="","",INDEX(Dossiers!$F$4:$F$63,17)))</f>
        <v/>
      </c>
      <c r="K854" s="29">
        <f>IF($B854="","",IF(INDEX(Dossiers!$G$4:$G$63,17)="","",INDEX(Dossiers!$G$4:$G$63,17)))</f>
        <v/>
      </c>
    </row>
    <row r="855">
      <c r="A855">
        <f>IF($B855="","",INDEX(Dossiers!$E$4:$E$63,17))</f>
        <v/>
      </c>
      <c r="B855">
        <f>IF(INDEX(Suivi!$B:$B,872)="","",INDEX(Suivi!$B:$B,872))</f>
        <v/>
      </c>
      <c r="C855">
        <f>IF($B855="","",IF(INDEX(Suivi!$D:$D,872)="",INDEX(Suivi!$C:$C,872),INDEX(Suivi!$D:$D,872)))</f>
        <v/>
      </c>
      <c r="D855" s="29">
        <f>IF($B855="","",INDEX(Suivi!$E:$E,872))</f>
        <v/>
      </c>
      <c r="E855" s="29">
        <f>IF($B855="","",INDEX(Suivi!$F:$F,872))</f>
        <v/>
      </c>
      <c r="F855">
        <f>IF($B855="","",INDEX(Suivi!$G:$G,872))</f>
        <v/>
      </c>
      <c r="H855">
        <f>IF(OR($B855="",NOT(ISNUMBER($D855))),"",IF($E855&lt;$D$2,"Passé",IF($D855&gt;$F$2,"À venir","Dans la période")))</f>
        <v/>
      </c>
      <c r="I855">
        <f>IF(OR($B855="",NOT(ISNUMBER($D855))),"",IF(AND($E855&lt;$D$2,$G855&lt;&gt;"X",$F855&lt;&gt;"Réalisé",$F855&lt;&gt;"Clôturé"),"RETARD",""))</f>
        <v/>
      </c>
      <c r="J855" s="29">
        <f>IF($B855="","",IF(INDEX(Dossiers!$F$4:$F$63,17)="","",INDEX(Dossiers!$F$4:$F$63,17)))</f>
        <v/>
      </c>
      <c r="K855" s="29">
        <f>IF($B855="","",IF(INDEX(Dossiers!$G$4:$G$63,17)="","",INDEX(Dossiers!$G$4:$G$63,17)))</f>
        <v/>
      </c>
    </row>
    <row r="856">
      <c r="A856">
        <f>IF($B856="","",INDEX(Dossiers!$E$4:$E$63,17))</f>
        <v/>
      </c>
      <c r="B856">
        <f>IF(INDEX(Suivi!$B:$B,873)="","",INDEX(Suivi!$B:$B,873))</f>
        <v/>
      </c>
      <c r="C856">
        <f>IF($B856="","",IF(INDEX(Suivi!$D:$D,873)="",INDEX(Suivi!$C:$C,873),INDEX(Suivi!$D:$D,873)))</f>
        <v/>
      </c>
      <c r="D856" s="29">
        <f>IF($B856="","",INDEX(Suivi!$E:$E,873))</f>
        <v/>
      </c>
      <c r="E856" s="29">
        <f>IF($B856="","",INDEX(Suivi!$F:$F,873))</f>
        <v/>
      </c>
      <c r="F856">
        <f>IF($B856="","",INDEX(Suivi!$G:$G,873))</f>
        <v/>
      </c>
      <c r="H856">
        <f>IF(OR($B856="",NOT(ISNUMBER($D856))),"",IF($E856&lt;$D$2,"Passé",IF($D856&gt;$F$2,"À venir","Dans la période")))</f>
        <v/>
      </c>
      <c r="I856">
        <f>IF(OR($B856="",NOT(ISNUMBER($D856))),"",IF(AND($E856&lt;$D$2,$G856&lt;&gt;"X",$F856&lt;&gt;"Réalisé",$F856&lt;&gt;"Clôturé"),"RETARD",""))</f>
        <v/>
      </c>
      <c r="J856" s="29">
        <f>IF($B856="","",IF(INDEX(Dossiers!$F$4:$F$63,17)="","",INDEX(Dossiers!$F$4:$F$63,17)))</f>
        <v/>
      </c>
      <c r="K856" s="29">
        <f>IF($B856="","",IF(INDEX(Dossiers!$G$4:$G$63,17)="","",INDEX(Dossiers!$G$4:$G$63,17)))</f>
        <v/>
      </c>
    </row>
    <row r="857">
      <c r="A857">
        <f>IF($B857="","",INDEX(Dossiers!$E$4:$E$63,17))</f>
        <v/>
      </c>
      <c r="B857">
        <f>IF(INDEX(Suivi!$B:$B,874)="","",INDEX(Suivi!$B:$B,874))</f>
        <v/>
      </c>
      <c r="C857">
        <f>IF($B857="","",IF(INDEX(Suivi!$D:$D,874)="",INDEX(Suivi!$C:$C,874),INDEX(Suivi!$D:$D,874)))</f>
        <v/>
      </c>
      <c r="D857" s="29">
        <f>IF($B857="","",INDEX(Suivi!$E:$E,874))</f>
        <v/>
      </c>
      <c r="E857" s="29">
        <f>IF($B857="","",INDEX(Suivi!$F:$F,874))</f>
        <v/>
      </c>
      <c r="F857">
        <f>IF($B857="","",INDEX(Suivi!$G:$G,874))</f>
        <v/>
      </c>
      <c r="H857">
        <f>IF(OR($B857="",NOT(ISNUMBER($D857))),"",IF($E857&lt;$D$2,"Passé",IF($D857&gt;$F$2,"À venir","Dans la période")))</f>
        <v/>
      </c>
      <c r="I857">
        <f>IF(OR($B857="",NOT(ISNUMBER($D857))),"",IF(AND($E857&lt;$D$2,$G857&lt;&gt;"X",$F857&lt;&gt;"Réalisé",$F857&lt;&gt;"Clôturé"),"RETARD",""))</f>
        <v/>
      </c>
      <c r="J857" s="29">
        <f>IF($B857="","",IF(INDEX(Dossiers!$F$4:$F$63,17)="","",INDEX(Dossiers!$F$4:$F$63,17)))</f>
        <v/>
      </c>
      <c r="K857" s="29">
        <f>IF($B857="","",IF(INDEX(Dossiers!$G$4:$G$63,17)="","",INDEX(Dossiers!$G$4:$G$63,17)))</f>
        <v/>
      </c>
    </row>
    <row r="858">
      <c r="A858">
        <f>IF($B858="","",INDEX(Dossiers!$E$4:$E$63,17))</f>
        <v/>
      </c>
      <c r="B858">
        <f>IF(INDEX(Suivi!$B:$B,875)="","",INDEX(Suivi!$B:$B,875))</f>
        <v/>
      </c>
      <c r="C858">
        <f>IF($B858="","",IF(INDEX(Suivi!$D:$D,875)="",INDEX(Suivi!$C:$C,875),INDEX(Suivi!$D:$D,875)))</f>
        <v/>
      </c>
      <c r="D858" s="29">
        <f>IF($B858="","",INDEX(Suivi!$E:$E,875))</f>
        <v/>
      </c>
      <c r="E858" s="29">
        <f>IF($B858="","",INDEX(Suivi!$F:$F,875))</f>
        <v/>
      </c>
      <c r="F858">
        <f>IF($B858="","",INDEX(Suivi!$G:$G,875))</f>
        <v/>
      </c>
      <c r="H858">
        <f>IF(OR($B858="",NOT(ISNUMBER($D858))),"",IF($E858&lt;$D$2,"Passé",IF($D858&gt;$F$2,"À venir","Dans la période")))</f>
        <v/>
      </c>
      <c r="I858">
        <f>IF(OR($B858="",NOT(ISNUMBER($D858))),"",IF(AND($E858&lt;$D$2,$G858&lt;&gt;"X",$F858&lt;&gt;"Réalisé",$F858&lt;&gt;"Clôturé"),"RETARD",""))</f>
        <v/>
      </c>
      <c r="J858" s="29">
        <f>IF($B858="","",IF(INDEX(Dossiers!$F$4:$F$63,17)="","",INDEX(Dossiers!$F$4:$F$63,17)))</f>
        <v/>
      </c>
      <c r="K858" s="29">
        <f>IF($B858="","",IF(INDEX(Dossiers!$G$4:$G$63,17)="","",INDEX(Dossiers!$G$4:$G$63,17)))</f>
        <v/>
      </c>
    </row>
    <row r="859">
      <c r="A859">
        <f>IF($B859="","",INDEX(Dossiers!$E$4:$E$63,17))</f>
        <v/>
      </c>
      <c r="B859">
        <f>IF(INDEX(Suivi!$B:$B,876)="","",INDEX(Suivi!$B:$B,876))</f>
        <v/>
      </c>
      <c r="C859">
        <f>IF($B859="","",IF(INDEX(Suivi!$D:$D,876)="",INDEX(Suivi!$C:$C,876),INDEX(Suivi!$D:$D,876)))</f>
        <v/>
      </c>
      <c r="D859" s="29">
        <f>IF($B859="","",INDEX(Suivi!$E:$E,876))</f>
        <v/>
      </c>
      <c r="E859" s="29">
        <f>IF($B859="","",INDEX(Suivi!$F:$F,876))</f>
        <v/>
      </c>
      <c r="F859">
        <f>IF($B859="","",INDEX(Suivi!$G:$G,876))</f>
        <v/>
      </c>
      <c r="H859">
        <f>IF(OR($B859="",NOT(ISNUMBER($D859))),"",IF($E859&lt;$D$2,"Passé",IF($D859&gt;$F$2,"À venir","Dans la période")))</f>
        <v/>
      </c>
      <c r="I859">
        <f>IF(OR($B859="",NOT(ISNUMBER($D859))),"",IF(AND($E859&lt;$D$2,$G859&lt;&gt;"X",$F859&lt;&gt;"Réalisé",$F859&lt;&gt;"Clôturé"),"RETARD",""))</f>
        <v/>
      </c>
      <c r="J859" s="29">
        <f>IF($B859="","",IF(INDEX(Dossiers!$F$4:$F$63,17)="","",INDEX(Dossiers!$F$4:$F$63,17)))</f>
        <v/>
      </c>
      <c r="K859" s="29">
        <f>IF($B859="","",IF(INDEX(Dossiers!$G$4:$G$63,17)="","",INDEX(Dossiers!$G$4:$G$63,17)))</f>
        <v/>
      </c>
    </row>
    <row r="860">
      <c r="A860">
        <f>IF($B860="","",INDEX(Dossiers!$E$4:$E$63,17))</f>
        <v/>
      </c>
      <c r="B860">
        <f>IF(INDEX(Suivi!$B:$B,877)="","",INDEX(Suivi!$B:$B,877))</f>
        <v/>
      </c>
      <c r="C860">
        <f>IF($B860="","",IF(INDEX(Suivi!$D:$D,877)="",INDEX(Suivi!$C:$C,877),INDEX(Suivi!$D:$D,877)))</f>
        <v/>
      </c>
      <c r="D860" s="29">
        <f>IF($B860="","",INDEX(Suivi!$E:$E,877))</f>
        <v/>
      </c>
      <c r="E860" s="29">
        <f>IF($B860="","",INDEX(Suivi!$F:$F,877))</f>
        <v/>
      </c>
      <c r="F860">
        <f>IF($B860="","",INDEX(Suivi!$G:$G,877))</f>
        <v/>
      </c>
      <c r="H860">
        <f>IF(OR($B860="",NOT(ISNUMBER($D860))),"",IF($E860&lt;$D$2,"Passé",IF($D860&gt;$F$2,"À venir","Dans la période")))</f>
        <v/>
      </c>
      <c r="I860">
        <f>IF(OR($B860="",NOT(ISNUMBER($D860))),"",IF(AND($E860&lt;$D$2,$G860&lt;&gt;"X",$F860&lt;&gt;"Réalisé",$F860&lt;&gt;"Clôturé"),"RETARD",""))</f>
        <v/>
      </c>
      <c r="J860" s="29">
        <f>IF($B860="","",IF(INDEX(Dossiers!$F$4:$F$63,17)="","",INDEX(Dossiers!$F$4:$F$63,17)))</f>
        <v/>
      </c>
      <c r="K860" s="29">
        <f>IF($B860="","",IF(INDEX(Dossiers!$G$4:$G$63,17)="","",INDEX(Dossiers!$G$4:$G$63,17)))</f>
        <v/>
      </c>
    </row>
    <row r="861">
      <c r="A861">
        <f>IF($B861="","",INDEX(Dossiers!$E$4:$E$63,17))</f>
        <v/>
      </c>
      <c r="B861">
        <f>IF(INDEX(Suivi!$B:$B,878)="","",INDEX(Suivi!$B:$B,878))</f>
        <v/>
      </c>
      <c r="C861">
        <f>IF($B861="","",IF(INDEX(Suivi!$D:$D,878)="",INDEX(Suivi!$C:$C,878),INDEX(Suivi!$D:$D,878)))</f>
        <v/>
      </c>
      <c r="D861" s="29">
        <f>IF($B861="","",INDEX(Suivi!$E:$E,878))</f>
        <v/>
      </c>
      <c r="E861" s="29">
        <f>IF($B861="","",INDEX(Suivi!$F:$F,878))</f>
        <v/>
      </c>
      <c r="F861">
        <f>IF($B861="","",INDEX(Suivi!$G:$G,878))</f>
        <v/>
      </c>
      <c r="H861">
        <f>IF(OR($B861="",NOT(ISNUMBER($D861))),"",IF($E861&lt;$D$2,"Passé",IF($D861&gt;$F$2,"À venir","Dans la période")))</f>
        <v/>
      </c>
      <c r="I861">
        <f>IF(OR($B861="",NOT(ISNUMBER($D861))),"",IF(AND($E861&lt;$D$2,$G861&lt;&gt;"X",$F861&lt;&gt;"Réalisé",$F861&lt;&gt;"Clôturé"),"RETARD",""))</f>
        <v/>
      </c>
      <c r="J861" s="29">
        <f>IF($B861="","",IF(INDEX(Dossiers!$F$4:$F$63,17)="","",INDEX(Dossiers!$F$4:$F$63,17)))</f>
        <v/>
      </c>
      <c r="K861" s="29">
        <f>IF($B861="","",IF(INDEX(Dossiers!$G$4:$G$63,17)="","",INDEX(Dossiers!$G$4:$G$63,17)))</f>
        <v/>
      </c>
    </row>
    <row r="862">
      <c r="A862">
        <f>IF($B862="","",INDEX(Dossiers!$E$4:$E$63,17))</f>
        <v/>
      </c>
      <c r="B862">
        <f>IF(INDEX(Suivi!$B:$B,879)="","",INDEX(Suivi!$B:$B,879))</f>
        <v/>
      </c>
      <c r="C862">
        <f>IF($B862="","",IF(INDEX(Suivi!$D:$D,879)="",INDEX(Suivi!$C:$C,879),INDEX(Suivi!$D:$D,879)))</f>
        <v/>
      </c>
      <c r="D862" s="29">
        <f>IF($B862="","",INDEX(Suivi!$E:$E,879))</f>
        <v/>
      </c>
      <c r="E862" s="29">
        <f>IF($B862="","",INDEX(Suivi!$F:$F,879))</f>
        <v/>
      </c>
      <c r="F862">
        <f>IF($B862="","",INDEX(Suivi!$G:$G,879))</f>
        <v/>
      </c>
      <c r="H862">
        <f>IF(OR($B862="",NOT(ISNUMBER($D862))),"",IF($E862&lt;$D$2,"Passé",IF($D862&gt;$F$2,"À venir","Dans la période")))</f>
        <v/>
      </c>
      <c r="I862">
        <f>IF(OR($B862="",NOT(ISNUMBER($D862))),"",IF(AND($E862&lt;$D$2,$G862&lt;&gt;"X",$F862&lt;&gt;"Réalisé",$F862&lt;&gt;"Clôturé"),"RETARD",""))</f>
        <v/>
      </c>
      <c r="J862" s="29">
        <f>IF($B862="","",IF(INDEX(Dossiers!$F$4:$F$63,17)="","",INDEX(Dossiers!$F$4:$F$63,17)))</f>
        <v/>
      </c>
      <c r="K862" s="29">
        <f>IF($B862="","",IF(INDEX(Dossiers!$G$4:$G$63,17)="","",INDEX(Dossiers!$G$4:$G$63,17)))</f>
        <v/>
      </c>
    </row>
    <row r="863">
      <c r="A863">
        <f>IF($B863="","",INDEX(Dossiers!$E$4:$E$63,17))</f>
        <v/>
      </c>
      <c r="B863">
        <f>IF(INDEX(Suivi!$B:$B,880)="","",INDEX(Suivi!$B:$B,880))</f>
        <v/>
      </c>
      <c r="C863">
        <f>IF($B863="","",IF(INDEX(Suivi!$D:$D,880)="",INDEX(Suivi!$C:$C,880),INDEX(Suivi!$D:$D,880)))</f>
        <v/>
      </c>
      <c r="D863" s="29">
        <f>IF($B863="","",INDEX(Suivi!$E:$E,880))</f>
        <v/>
      </c>
      <c r="E863" s="29">
        <f>IF($B863="","",INDEX(Suivi!$F:$F,880))</f>
        <v/>
      </c>
      <c r="F863">
        <f>IF($B863="","",INDEX(Suivi!$G:$G,880))</f>
        <v/>
      </c>
      <c r="H863">
        <f>IF(OR($B863="",NOT(ISNUMBER($D863))),"",IF($E863&lt;$D$2,"Passé",IF($D863&gt;$F$2,"À venir","Dans la période")))</f>
        <v/>
      </c>
      <c r="I863">
        <f>IF(OR($B863="",NOT(ISNUMBER($D863))),"",IF(AND($E863&lt;$D$2,$G863&lt;&gt;"X",$F863&lt;&gt;"Réalisé",$F863&lt;&gt;"Clôturé"),"RETARD",""))</f>
        <v/>
      </c>
      <c r="J863" s="29">
        <f>IF($B863="","",IF(INDEX(Dossiers!$F$4:$F$63,17)="","",INDEX(Dossiers!$F$4:$F$63,17)))</f>
        <v/>
      </c>
      <c r="K863" s="29">
        <f>IF($B863="","",IF(INDEX(Dossiers!$G$4:$G$63,17)="","",INDEX(Dossiers!$G$4:$G$63,17)))</f>
        <v/>
      </c>
    </row>
    <row r="864">
      <c r="A864">
        <f>IF($B864="","",INDEX(Dossiers!$E$4:$E$63,17))</f>
        <v/>
      </c>
      <c r="B864">
        <f>IF(INDEX(Suivi!$B:$B,881)="","",INDEX(Suivi!$B:$B,881))</f>
        <v/>
      </c>
      <c r="C864">
        <f>IF($B864="","",IF(INDEX(Suivi!$D:$D,881)="",INDEX(Suivi!$C:$C,881),INDEX(Suivi!$D:$D,881)))</f>
        <v/>
      </c>
      <c r="D864" s="29">
        <f>IF($B864="","",INDEX(Suivi!$E:$E,881))</f>
        <v/>
      </c>
      <c r="E864" s="29">
        <f>IF($B864="","",INDEX(Suivi!$F:$F,881))</f>
        <v/>
      </c>
      <c r="F864">
        <f>IF($B864="","",INDEX(Suivi!$G:$G,881))</f>
        <v/>
      </c>
      <c r="H864">
        <f>IF(OR($B864="",NOT(ISNUMBER($D864))),"",IF($E864&lt;$D$2,"Passé",IF($D864&gt;$F$2,"À venir","Dans la période")))</f>
        <v/>
      </c>
      <c r="I864">
        <f>IF(OR($B864="",NOT(ISNUMBER($D864))),"",IF(AND($E864&lt;$D$2,$G864&lt;&gt;"X",$F864&lt;&gt;"Réalisé",$F864&lt;&gt;"Clôturé"),"RETARD",""))</f>
        <v/>
      </c>
      <c r="J864" s="29">
        <f>IF($B864="","",IF(INDEX(Dossiers!$F$4:$F$63,17)="","",INDEX(Dossiers!$F$4:$F$63,17)))</f>
        <v/>
      </c>
      <c r="K864" s="29">
        <f>IF($B864="","",IF(INDEX(Dossiers!$G$4:$G$63,17)="","",INDEX(Dossiers!$G$4:$G$63,17)))</f>
        <v/>
      </c>
    </row>
    <row r="865">
      <c r="A865">
        <f>IF($B865="","",INDEX(Dossiers!$E$4:$E$63,17))</f>
        <v/>
      </c>
      <c r="B865">
        <f>IF(INDEX(Suivi!$B:$B,882)="","",INDEX(Suivi!$B:$B,882))</f>
        <v/>
      </c>
      <c r="C865">
        <f>IF($B865="","",IF(INDEX(Suivi!$D:$D,882)="",INDEX(Suivi!$C:$C,882),INDEX(Suivi!$D:$D,882)))</f>
        <v/>
      </c>
      <c r="D865" s="29">
        <f>IF($B865="","",INDEX(Suivi!$E:$E,882))</f>
        <v/>
      </c>
      <c r="E865" s="29">
        <f>IF($B865="","",INDEX(Suivi!$F:$F,882))</f>
        <v/>
      </c>
      <c r="F865">
        <f>IF($B865="","",INDEX(Suivi!$G:$G,882))</f>
        <v/>
      </c>
      <c r="H865">
        <f>IF(OR($B865="",NOT(ISNUMBER($D865))),"",IF($E865&lt;$D$2,"Passé",IF($D865&gt;$F$2,"À venir","Dans la période")))</f>
        <v/>
      </c>
      <c r="I865">
        <f>IF(OR($B865="",NOT(ISNUMBER($D865))),"",IF(AND($E865&lt;$D$2,$G865&lt;&gt;"X",$F865&lt;&gt;"Réalisé",$F865&lt;&gt;"Clôturé"),"RETARD",""))</f>
        <v/>
      </c>
      <c r="J865" s="29">
        <f>IF($B865="","",IF(INDEX(Dossiers!$F$4:$F$63,17)="","",INDEX(Dossiers!$F$4:$F$63,17)))</f>
        <v/>
      </c>
      <c r="K865" s="29">
        <f>IF($B865="","",IF(INDEX(Dossiers!$G$4:$G$63,17)="","",INDEX(Dossiers!$G$4:$G$63,17)))</f>
        <v/>
      </c>
    </row>
    <row r="866">
      <c r="A866">
        <f>IF($B866="","",INDEX(Dossiers!$E$4:$E$63,17))</f>
        <v/>
      </c>
      <c r="B866">
        <f>IF(INDEX(Suivi!$B:$B,883)="","",INDEX(Suivi!$B:$B,883))</f>
        <v/>
      </c>
      <c r="C866">
        <f>IF($B866="","",IF(INDEX(Suivi!$D:$D,883)="",INDEX(Suivi!$C:$C,883),INDEX(Suivi!$D:$D,883)))</f>
        <v/>
      </c>
      <c r="D866" s="29">
        <f>IF($B866="","",INDEX(Suivi!$E:$E,883))</f>
        <v/>
      </c>
      <c r="E866" s="29">
        <f>IF($B866="","",INDEX(Suivi!$F:$F,883))</f>
        <v/>
      </c>
      <c r="F866">
        <f>IF($B866="","",INDEX(Suivi!$G:$G,883))</f>
        <v/>
      </c>
      <c r="H866">
        <f>IF(OR($B866="",NOT(ISNUMBER($D866))),"",IF($E866&lt;$D$2,"Passé",IF($D866&gt;$F$2,"À venir","Dans la période")))</f>
        <v/>
      </c>
      <c r="I866">
        <f>IF(OR($B866="",NOT(ISNUMBER($D866))),"",IF(AND($E866&lt;$D$2,$G866&lt;&gt;"X",$F866&lt;&gt;"Réalisé",$F866&lt;&gt;"Clôturé"),"RETARD",""))</f>
        <v/>
      </c>
      <c r="J866" s="29">
        <f>IF($B866="","",IF(INDEX(Dossiers!$F$4:$F$63,17)="","",INDEX(Dossiers!$F$4:$F$63,17)))</f>
        <v/>
      </c>
      <c r="K866" s="29">
        <f>IF($B866="","",IF(INDEX(Dossiers!$G$4:$G$63,17)="","",INDEX(Dossiers!$G$4:$G$63,17)))</f>
        <v/>
      </c>
    </row>
    <row r="867">
      <c r="A867">
        <f>IF($B867="","",INDEX(Dossiers!$E$4:$E$63,17))</f>
        <v/>
      </c>
      <c r="B867">
        <f>IF(INDEX(Suivi!$B:$B,884)="","",INDEX(Suivi!$B:$B,884))</f>
        <v/>
      </c>
      <c r="C867">
        <f>IF($B867="","",IF(INDEX(Suivi!$D:$D,884)="",INDEX(Suivi!$C:$C,884),INDEX(Suivi!$D:$D,884)))</f>
        <v/>
      </c>
      <c r="D867" s="29">
        <f>IF($B867="","",INDEX(Suivi!$E:$E,884))</f>
        <v/>
      </c>
      <c r="E867" s="29">
        <f>IF($B867="","",INDEX(Suivi!$F:$F,884))</f>
        <v/>
      </c>
      <c r="F867">
        <f>IF($B867="","",INDEX(Suivi!$G:$G,884))</f>
        <v/>
      </c>
      <c r="H867">
        <f>IF(OR($B867="",NOT(ISNUMBER($D867))),"",IF($E867&lt;$D$2,"Passé",IF($D867&gt;$F$2,"À venir","Dans la période")))</f>
        <v/>
      </c>
      <c r="I867">
        <f>IF(OR($B867="",NOT(ISNUMBER($D867))),"",IF(AND($E867&lt;$D$2,$G867&lt;&gt;"X",$F867&lt;&gt;"Réalisé",$F867&lt;&gt;"Clôturé"),"RETARD",""))</f>
        <v/>
      </c>
      <c r="J867" s="29">
        <f>IF($B867="","",IF(INDEX(Dossiers!$F$4:$F$63,17)="","",INDEX(Dossiers!$F$4:$F$63,17)))</f>
        <v/>
      </c>
      <c r="K867" s="29">
        <f>IF($B867="","",IF(INDEX(Dossiers!$G$4:$G$63,17)="","",INDEX(Dossiers!$G$4:$G$63,17)))</f>
        <v/>
      </c>
    </row>
    <row r="868">
      <c r="A868">
        <f>IF($B868="","",INDEX(Dossiers!$E$4:$E$63,17))</f>
        <v/>
      </c>
      <c r="B868">
        <f>IF(INDEX(Suivi!$B:$B,885)="","",INDEX(Suivi!$B:$B,885))</f>
        <v/>
      </c>
      <c r="C868">
        <f>IF($B868="","",IF(INDEX(Suivi!$D:$D,885)="",INDEX(Suivi!$C:$C,885),INDEX(Suivi!$D:$D,885)))</f>
        <v/>
      </c>
      <c r="D868" s="29">
        <f>IF($B868="","",INDEX(Suivi!$E:$E,885))</f>
        <v/>
      </c>
      <c r="E868" s="29">
        <f>IF($B868="","",INDEX(Suivi!$F:$F,885))</f>
        <v/>
      </c>
      <c r="F868">
        <f>IF($B868="","",INDEX(Suivi!$G:$G,885))</f>
        <v/>
      </c>
      <c r="H868">
        <f>IF(OR($B868="",NOT(ISNUMBER($D868))),"",IF($E868&lt;$D$2,"Passé",IF($D868&gt;$F$2,"À venir","Dans la période")))</f>
        <v/>
      </c>
      <c r="I868">
        <f>IF(OR($B868="",NOT(ISNUMBER($D868))),"",IF(AND($E868&lt;$D$2,$G868&lt;&gt;"X",$F868&lt;&gt;"Réalisé",$F868&lt;&gt;"Clôturé"),"RETARD",""))</f>
        <v/>
      </c>
      <c r="J868" s="29">
        <f>IF($B868="","",IF(INDEX(Dossiers!$F$4:$F$63,17)="","",INDEX(Dossiers!$F$4:$F$63,17)))</f>
        <v/>
      </c>
      <c r="K868" s="29">
        <f>IF($B868="","",IF(INDEX(Dossiers!$G$4:$G$63,17)="","",INDEX(Dossiers!$G$4:$G$63,17)))</f>
        <v/>
      </c>
    </row>
    <row r="869">
      <c r="A869">
        <f>IF($B869="","",INDEX(Dossiers!$E$4:$E$63,17))</f>
        <v/>
      </c>
      <c r="B869">
        <f>IF(INDEX(Suivi!$B:$B,886)="","",INDEX(Suivi!$B:$B,886))</f>
        <v/>
      </c>
      <c r="C869">
        <f>IF($B869="","",IF(INDEX(Suivi!$D:$D,886)="",INDEX(Suivi!$C:$C,886),INDEX(Suivi!$D:$D,886)))</f>
        <v/>
      </c>
      <c r="D869" s="29">
        <f>IF($B869="","",INDEX(Suivi!$E:$E,886))</f>
        <v/>
      </c>
      <c r="E869" s="29">
        <f>IF($B869="","",INDEX(Suivi!$F:$F,886))</f>
        <v/>
      </c>
      <c r="F869">
        <f>IF($B869="","",INDEX(Suivi!$G:$G,886))</f>
        <v/>
      </c>
      <c r="H869">
        <f>IF(OR($B869="",NOT(ISNUMBER($D869))),"",IF($E869&lt;$D$2,"Passé",IF($D869&gt;$F$2,"À venir","Dans la période")))</f>
        <v/>
      </c>
      <c r="I869">
        <f>IF(OR($B869="",NOT(ISNUMBER($D869))),"",IF(AND($E869&lt;$D$2,$G869&lt;&gt;"X",$F869&lt;&gt;"Réalisé",$F869&lt;&gt;"Clôturé"),"RETARD",""))</f>
        <v/>
      </c>
      <c r="J869" s="29">
        <f>IF($B869="","",IF(INDEX(Dossiers!$F$4:$F$63,17)="","",INDEX(Dossiers!$F$4:$F$63,17)))</f>
        <v/>
      </c>
      <c r="K869" s="29">
        <f>IF($B869="","",IF(INDEX(Dossiers!$G$4:$G$63,17)="","",INDEX(Dossiers!$G$4:$G$63,17)))</f>
        <v/>
      </c>
    </row>
    <row r="870">
      <c r="A870">
        <f>IF($B870="","",INDEX(Dossiers!$E$4:$E$63,17))</f>
        <v/>
      </c>
      <c r="B870">
        <f>IF(INDEX(Suivi!$B:$B,887)="","",INDEX(Suivi!$B:$B,887))</f>
        <v/>
      </c>
      <c r="C870">
        <f>IF($B870="","",IF(INDEX(Suivi!$D:$D,887)="",INDEX(Suivi!$C:$C,887),INDEX(Suivi!$D:$D,887)))</f>
        <v/>
      </c>
      <c r="D870" s="29">
        <f>IF($B870="","",INDEX(Suivi!$E:$E,887))</f>
        <v/>
      </c>
      <c r="E870" s="29">
        <f>IF($B870="","",INDEX(Suivi!$F:$F,887))</f>
        <v/>
      </c>
      <c r="F870">
        <f>IF($B870="","",INDEX(Suivi!$G:$G,887))</f>
        <v/>
      </c>
      <c r="H870">
        <f>IF(OR($B870="",NOT(ISNUMBER($D870))),"",IF($E870&lt;$D$2,"Passé",IF($D870&gt;$F$2,"À venir","Dans la période")))</f>
        <v/>
      </c>
      <c r="I870">
        <f>IF(OR($B870="",NOT(ISNUMBER($D870))),"",IF(AND($E870&lt;$D$2,$G870&lt;&gt;"X",$F870&lt;&gt;"Réalisé",$F870&lt;&gt;"Clôturé"),"RETARD",""))</f>
        <v/>
      </c>
      <c r="J870" s="29">
        <f>IF($B870="","",IF(INDEX(Dossiers!$F$4:$F$63,17)="","",INDEX(Dossiers!$F$4:$F$63,17)))</f>
        <v/>
      </c>
      <c r="K870" s="29">
        <f>IF($B870="","",IF(INDEX(Dossiers!$G$4:$G$63,17)="","",INDEX(Dossiers!$G$4:$G$63,17)))</f>
        <v/>
      </c>
    </row>
    <row r="871">
      <c r="A871">
        <f>IF($B871="","",INDEX(Dossiers!$E$4:$E$63,17))</f>
        <v/>
      </c>
      <c r="B871">
        <f>IF(INDEX(Suivi!$B:$B,888)="","",INDEX(Suivi!$B:$B,888))</f>
        <v/>
      </c>
      <c r="C871">
        <f>IF($B871="","",IF(INDEX(Suivi!$D:$D,888)="",INDEX(Suivi!$C:$C,888),INDEX(Suivi!$D:$D,888)))</f>
        <v/>
      </c>
      <c r="D871" s="29">
        <f>IF($B871="","",INDEX(Suivi!$E:$E,888))</f>
        <v/>
      </c>
      <c r="E871" s="29">
        <f>IF($B871="","",INDEX(Suivi!$F:$F,888))</f>
        <v/>
      </c>
      <c r="F871">
        <f>IF($B871="","",INDEX(Suivi!$G:$G,888))</f>
        <v/>
      </c>
      <c r="H871">
        <f>IF(OR($B871="",NOT(ISNUMBER($D871))),"",IF($E871&lt;$D$2,"Passé",IF($D871&gt;$F$2,"À venir","Dans la période")))</f>
        <v/>
      </c>
      <c r="I871">
        <f>IF(OR($B871="",NOT(ISNUMBER($D871))),"",IF(AND($E871&lt;$D$2,$G871&lt;&gt;"X",$F871&lt;&gt;"Réalisé",$F871&lt;&gt;"Clôturé"),"RETARD",""))</f>
        <v/>
      </c>
      <c r="J871" s="29">
        <f>IF($B871="","",IF(INDEX(Dossiers!$F$4:$F$63,17)="","",INDEX(Dossiers!$F$4:$F$63,17)))</f>
        <v/>
      </c>
      <c r="K871" s="29">
        <f>IF($B871="","",IF(INDEX(Dossiers!$G$4:$G$63,17)="","",INDEX(Dossiers!$G$4:$G$63,17)))</f>
        <v/>
      </c>
    </row>
    <row r="872">
      <c r="A872">
        <f>IF($B872="","",INDEX(Dossiers!$E$4:$E$63,17))</f>
        <v/>
      </c>
      <c r="B872">
        <f>IF(INDEX(Suivi!$B:$B,889)="","",INDEX(Suivi!$B:$B,889))</f>
        <v/>
      </c>
      <c r="C872">
        <f>IF($B872="","",IF(INDEX(Suivi!$D:$D,889)="",INDEX(Suivi!$C:$C,889),INDEX(Suivi!$D:$D,889)))</f>
        <v/>
      </c>
      <c r="D872" s="29">
        <f>IF($B872="","",INDEX(Suivi!$E:$E,889))</f>
        <v/>
      </c>
      <c r="E872" s="29">
        <f>IF($B872="","",INDEX(Suivi!$F:$F,889))</f>
        <v/>
      </c>
      <c r="F872">
        <f>IF($B872="","",INDEX(Suivi!$G:$G,889))</f>
        <v/>
      </c>
      <c r="H872">
        <f>IF(OR($B872="",NOT(ISNUMBER($D872))),"",IF($E872&lt;$D$2,"Passé",IF($D872&gt;$F$2,"À venir","Dans la période")))</f>
        <v/>
      </c>
      <c r="I872">
        <f>IF(OR($B872="",NOT(ISNUMBER($D872))),"",IF(AND($E872&lt;$D$2,$G872&lt;&gt;"X",$F872&lt;&gt;"Réalisé",$F872&lt;&gt;"Clôturé"),"RETARD",""))</f>
        <v/>
      </c>
      <c r="J872" s="29">
        <f>IF($B872="","",IF(INDEX(Dossiers!$F$4:$F$63,17)="","",INDEX(Dossiers!$F$4:$F$63,17)))</f>
        <v/>
      </c>
      <c r="K872" s="29">
        <f>IF($B872="","",IF(INDEX(Dossiers!$G$4:$G$63,17)="","",INDEX(Dossiers!$G$4:$G$63,17)))</f>
        <v/>
      </c>
    </row>
    <row r="873">
      <c r="A873">
        <f>IF($B873="","",INDEX(Dossiers!$E$4:$E$63,17))</f>
        <v/>
      </c>
      <c r="B873">
        <f>IF(INDEX(Suivi!$B:$B,890)="","",INDEX(Suivi!$B:$B,890))</f>
        <v/>
      </c>
      <c r="C873">
        <f>IF($B873="","",IF(INDEX(Suivi!$D:$D,890)="",INDEX(Suivi!$C:$C,890),INDEX(Suivi!$D:$D,890)))</f>
        <v/>
      </c>
      <c r="D873" s="29">
        <f>IF($B873="","",INDEX(Suivi!$E:$E,890))</f>
        <v/>
      </c>
      <c r="E873" s="29">
        <f>IF($B873="","",INDEX(Suivi!$F:$F,890))</f>
        <v/>
      </c>
      <c r="F873">
        <f>IF($B873="","",INDEX(Suivi!$G:$G,890))</f>
        <v/>
      </c>
      <c r="H873">
        <f>IF(OR($B873="",NOT(ISNUMBER($D873))),"",IF($E873&lt;$D$2,"Passé",IF($D873&gt;$F$2,"À venir","Dans la période")))</f>
        <v/>
      </c>
      <c r="I873">
        <f>IF(OR($B873="",NOT(ISNUMBER($D873))),"",IF(AND($E873&lt;$D$2,$G873&lt;&gt;"X",$F873&lt;&gt;"Réalisé",$F873&lt;&gt;"Clôturé"),"RETARD",""))</f>
        <v/>
      </c>
      <c r="J873" s="29">
        <f>IF($B873="","",IF(INDEX(Dossiers!$F$4:$F$63,17)="","",INDEX(Dossiers!$F$4:$F$63,17)))</f>
        <v/>
      </c>
      <c r="K873" s="29">
        <f>IF($B873="","",IF(INDEX(Dossiers!$G$4:$G$63,17)="","",INDEX(Dossiers!$G$4:$G$63,17)))</f>
        <v/>
      </c>
    </row>
    <row r="874">
      <c r="A874">
        <f>IF($B874="","",INDEX(Dossiers!$E$4:$E$63,17))</f>
        <v/>
      </c>
      <c r="B874">
        <f>IF(INDEX(Suivi!$B:$B,891)="","",INDEX(Suivi!$B:$B,891))</f>
        <v/>
      </c>
      <c r="C874">
        <f>IF($B874="","",IF(INDEX(Suivi!$D:$D,891)="",INDEX(Suivi!$C:$C,891),INDEX(Suivi!$D:$D,891)))</f>
        <v/>
      </c>
      <c r="D874" s="29">
        <f>IF($B874="","",INDEX(Suivi!$E:$E,891))</f>
        <v/>
      </c>
      <c r="E874" s="29">
        <f>IF($B874="","",INDEX(Suivi!$F:$F,891))</f>
        <v/>
      </c>
      <c r="F874">
        <f>IF($B874="","",INDEX(Suivi!$G:$G,891))</f>
        <v/>
      </c>
      <c r="H874">
        <f>IF(OR($B874="",NOT(ISNUMBER($D874))),"",IF($E874&lt;$D$2,"Passé",IF($D874&gt;$F$2,"À venir","Dans la période")))</f>
        <v/>
      </c>
      <c r="I874">
        <f>IF(OR($B874="",NOT(ISNUMBER($D874))),"",IF(AND($E874&lt;$D$2,$G874&lt;&gt;"X",$F874&lt;&gt;"Réalisé",$F874&lt;&gt;"Clôturé"),"RETARD",""))</f>
        <v/>
      </c>
      <c r="J874" s="29">
        <f>IF($B874="","",IF(INDEX(Dossiers!$F$4:$F$63,17)="","",INDEX(Dossiers!$F$4:$F$63,17)))</f>
        <v/>
      </c>
      <c r="K874" s="29">
        <f>IF($B874="","",IF(INDEX(Dossiers!$G$4:$G$63,17)="","",INDEX(Dossiers!$G$4:$G$63,17)))</f>
        <v/>
      </c>
    </row>
    <row r="875">
      <c r="A875">
        <f>IF($B875="","",INDEX(Dossiers!$E$4:$E$63,17))</f>
        <v/>
      </c>
      <c r="B875">
        <f>IF(INDEX(Suivi!$B:$B,892)="","",INDEX(Suivi!$B:$B,892))</f>
        <v/>
      </c>
      <c r="C875">
        <f>IF($B875="","",IF(INDEX(Suivi!$D:$D,892)="",INDEX(Suivi!$C:$C,892),INDEX(Suivi!$D:$D,892)))</f>
        <v/>
      </c>
      <c r="D875" s="29">
        <f>IF($B875="","",INDEX(Suivi!$E:$E,892))</f>
        <v/>
      </c>
      <c r="E875" s="29">
        <f>IF($B875="","",INDEX(Suivi!$F:$F,892))</f>
        <v/>
      </c>
      <c r="F875">
        <f>IF($B875="","",INDEX(Suivi!$G:$G,892))</f>
        <v/>
      </c>
      <c r="H875">
        <f>IF(OR($B875="",NOT(ISNUMBER($D875))),"",IF($E875&lt;$D$2,"Passé",IF($D875&gt;$F$2,"À venir","Dans la période")))</f>
        <v/>
      </c>
      <c r="I875">
        <f>IF(OR($B875="",NOT(ISNUMBER($D875))),"",IF(AND($E875&lt;$D$2,$G875&lt;&gt;"X",$F875&lt;&gt;"Réalisé",$F875&lt;&gt;"Clôturé"),"RETARD",""))</f>
        <v/>
      </c>
      <c r="J875" s="29">
        <f>IF($B875="","",IF(INDEX(Dossiers!$F$4:$F$63,17)="","",INDEX(Dossiers!$F$4:$F$63,17)))</f>
        <v/>
      </c>
      <c r="K875" s="29">
        <f>IF($B875="","",IF(INDEX(Dossiers!$G$4:$G$63,17)="","",INDEX(Dossiers!$G$4:$G$63,17)))</f>
        <v/>
      </c>
    </row>
    <row r="876">
      <c r="A876">
        <f>IF($B876="","",INDEX(Dossiers!$E$4:$E$63,17))</f>
        <v/>
      </c>
      <c r="B876">
        <f>IF(INDEX(Suivi!$B:$B,893)="","",INDEX(Suivi!$B:$B,893))</f>
        <v/>
      </c>
      <c r="C876">
        <f>IF($B876="","",IF(INDEX(Suivi!$D:$D,893)="",INDEX(Suivi!$C:$C,893),INDEX(Suivi!$D:$D,893)))</f>
        <v/>
      </c>
      <c r="D876" s="29">
        <f>IF($B876="","",INDEX(Suivi!$E:$E,893))</f>
        <v/>
      </c>
      <c r="E876" s="29">
        <f>IF($B876="","",INDEX(Suivi!$F:$F,893))</f>
        <v/>
      </c>
      <c r="F876">
        <f>IF($B876="","",INDEX(Suivi!$G:$G,893))</f>
        <v/>
      </c>
      <c r="H876">
        <f>IF(OR($B876="",NOT(ISNUMBER($D876))),"",IF($E876&lt;$D$2,"Passé",IF($D876&gt;$F$2,"À venir","Dans la période")))</f>
        <v/>
      </c>
      <c r="I876">
        <f>IF(OR($B876="",NOT(ISNUMBER($D876))),"",IF(AND($E876&lt;$D$2,$G876&lt;&gt;"X",$F876&lt;&gt;"Réalisé",$F876&lt;&gt;"Clôturé"),"RETARD",""))</f>
        <v/>
      </c>
      <c r="J876" s="29">
        <f>IF($B876="","",IF(INDEX(Dossiers!$F$4:$F$63,17)="","",INDEX(Dossiers!$F$4:$F$63,17)))</f>
        <v/>
      </c>
      <c r="K876" s="29">
        <f>IF($B876="","",IF(INDEX(Dossiers!$G$4:$G$63,17)="","",INDEX(Dossiers!$G$4:$G$63,17)))</f>
        <v/>
      </c>
    </row>
    <row r="877">
      <c r="A877">
        <f>IF($B877="","",INDEX(Dossiers!$E$4:$E$63,17))</f>
        <v/>
      </c>
      <c r="B877">
        <f>IF(INDEX(Suivi!$B:$B,894)="","",INDEX(Suivi!$B:$B,894))</f>
        <v/>
      </c>
      <c r="C877">
        <f>IF($B877="","",IF(INDEX(Suivi!$D:$D,894)="",INDEX(Suivi!$C:$C,894),INDEX(Suivi!$D:$D,894)))</f>
        <v/>
      </c>
      <c r="D877" s="29">
        <f>IF($B877="","",INDEX(Suivi!$E:$E,894))</f>
        <v/>
      </c>
      <c r="E877" s="29">
        <f>IF($B877="","",INDEX(Suivi!$F:$F,894))</f>
        <v/>
      </c>
      <c r="F877">
        <f>IF($B877="","",INDEX(Suivi!$G:$G,894))</f>
        <v/>
      </c>
      <c r="H877">
        <f>IF(OR($B877="",NOT(ISNUMBER($D877))),"",IF($E877&lt;$D$2,"Passé",IF($D877&gt;$F$2,"À venir","Dans la période")))</f>
        <v/>
      </c>
      <c r="I877">
        <f>IF(OR($B877="",NOT(ISNUMBER($D877))),"",IF(AND($E877&lt;$D$2,$G877&lt;&gt;"X",$F877&lt;&gt;"Réalisé",$F877&lt;&gt;"Clôturé"),"RETARD",""))</f>
        <v/>
      </c>
      <c r="J877" s="29">
        <f>IF($B877="","",IF(INDEX(Dossiers!$F$4:$F$63,17)="","",INDEX(Dossiers!$F$4:$F$63,17)))</f>
        <v/>
      </c>
      <c r="K877" s="29">
        <f>IF($B877="","",IF(INDEX(Dossiers!$G$4:$G$63,17)="","",INDEX(Dossiers!$G$4:$G$63,17)))</f>
        <v/>
      </c>
    </row>
    <row r="878">
      <c r="A878">
        <f>IF($B878="","",INDEX(Dossiers!$E$4:$E$63,17))</f>
        <v/>
      </c>
      <c r="B878">
        <f>IF(INDEX(Suivi!$B:$B,895)="","",INDEX(Suivi!$B:$B,895))</f>
        <v/>
      </c>
      <c r="C878">
        <f>IF($B878="","",IF(INDEX(Suivi!$D:$D,895)="",INDEX(Suivi!$C:$C,895),INDEX(Suivi!$D:$D,895)))</f>
        <v/>
      </c>
      <c r="D878" s="29">
        <f>IF($B878="","",INDEX(Suivi!$E:$E,895))</f>
        <v/>
      </c>
      <c r="E878" s="29">
        <f>IF($B878="","",INDEX(Suivi!$F:$F,895))</f>
        <v/>
      </c>
      <c r="F878">
        <f>IF($B878="","",INDEX(Suivi!$G:$G,895))</f>
        <v/>
      </c>
      <c r="H878">
        <f>IF(OR($B878="",NOT(ISNUMBER($D878))),"",IF($E878&lt;$D$2,"Passé",IF($D878&gt;$F$2,"À venir","Dans la période")))</f>
        <v/>
      </c>
      <c r="I878">
        <f>IF(OR($B878="",NOT(ISNUMBER($D878))),"",IF(AND($E878&lt;$D$2,$G878&lt;&gt;"X",$F878&lt;&gt;"Réalisé",$F878&lt;&gt;"Clôturé"),"RETARD",""))</f>
        <v/>
      </c>
      <c r="J878" s="29">
        <f>IF($B878="","",IF(INDEX(Dossiers!$F$4:$F$63,17)="","",INDEX(Dossiers!$F$4:$F$63,17)))</f>
        <v/>
      </c>
      <c r="K878" s="29">
        <f>IF($B878="","",IF(INDEX(Dossiers!$G$4:$G$63,17)="","",INDEX(Dossiers!$G$4:$G$63,17)))</f>
        <v/>
      </c>
    </row>
    <row r="879">
      <c r="A879">
        <f>IF($B879="","",INDEX(Dossiers!$E$4:$E$63,17))</f>
        <v/>
      </c>
      <c r="B879">
        <f>IF(INDEX(Suivi!$B:$B,896)="","",INDEX(Suivi!$B:$B,896))</f>
        <v/>
      </c>
      <c r="C879">
        <f>IF($B879="","",IF(INDEX(Suivi!$D:$D,896)="",INDEX(Suivi!$C:$C,896),INDEX(Suivi!$D:$D,896)))</f>
        <v/>
      </c>
      <c r="D879" s="29">
        <f>IF($B879="","",INDEX(Suivi!$E:$E,896))</f>
        <v/>
      </c>
      <c r="E879" s="29">
        <f>IF($B879="","",INDEX(Suivi!$F:$F,896))</f>
        <v/>
      </c>
      <c r="F879">
        <f>IF($B879="","",INDEX(Suivi!$G:$G,896))</f>
        <v/>
      </c>
      <c r="H879">
        <f>IF(OR($B879="",NOT(ISNUMBER($D879))),"",IF($E879&lt;$D$2,"Passé",IF($D879&gt;$F$2,"À venir","Dans la période")))</f>
        <v/>
      </c>
      <c r="I879">
        <f>IF(OR($B879="",NOT(ISNUMBER($D879))),"",IF(AND($E879&lt;$D$2,$G879&lt;&gt;"X",$F879&lt;&gt;"Réalisé",$F879&lt;&gt;"Clôturé"),"RETARD",""))</f>
        <v/>
      </c>
      <c r="J879" s="29">
        <f>IF($B879="","",IF(INDEX(Dossiers!$F$4:$F$63,17)="","",INDEX(Dossiers!$F$4:$F$63,17)))</f>
        <v/>
      </c>
      <c r="K879" s="29">
        <f>IF($B879="","",IF(INDEX(Dossiers!$G$4:$G$63,17)="","",INDEX(Dossiers!$G$4:$G$63,17)))</f>
        <v/>
      </c>
    </row>
    <row r="880">
      <c r="A880">
        <f>IF($B880="","",INDEX(Dossiers!$E$4:$E$63,17))</f>
        <v/>
      </c>
      <c r="B880">
        <f>IF(INDEX(Suivi!$B:$B,897)="","",INDEX(Suivi!$B:$B,897))</f>
        <v/>
      </c>
      <c r="C880">
        <f>IF($B880="","",IF(INDEX(Suivi!$D:$D,897)="",INDEX(Suivi!$C:$C,897),INDEX(Suivi!$D:$D,897)))</f>
        <v/>
      </c>
      <c r="D880" s="29">
        <f>IF($B880="","",INDEX(Suivi!$E:$E,897))</f>
        <v/>
      </c>
      <c r="E880" s="29">
        <f>IF($B880="","",INDEX(Suivi!$F:$F,897))</f>
        <v/>
      </c>
      <c r="F880">
        <f>IF($B880="","",INDEX(Suivi!$G:$G,897))</f>
        <v/>
      </c>
      <c r="H880">
        <f>IF(OR($B880="",NOT(ISNUMBER($D880))),"",IF($E880&lt;$D$2,"Passé",IF($D880&gt;$F$2,"À venir","Dans la période")))</f>
        <v/>
      </c>
      <c r="I880">
        <f>IF(OR($B880="",NOT(ISNUMBER($D880))),"",IF(AND($E880&lt;$D$2,$G880&lt;&gt;"X",$F880&lt;&gt;"Réalisé",$F880&lt;&gt;"Clôturé"),"RETARD",""))</f>
        <v/>
      </c>
      <c r="J880" s="29">
        <f>IF($B880="","",IF(INDEX(Dossiers!$F$4:$F$63,17)="","",INDEX(Dossiers!$F$4:$F$63,17)))</f>
        <v/>
      </c>
      <c r="K880" s="29">
        <f>IF($B880="","",IF(INDEX(Dossiers!$G$4:$G$63,17)="","",INDEX(Dossiers!$G$4:$G$63,17)))</f>
        <v/>
      </c>
    </row>
    <row r="881">
      <c r="A881">
        <f>IF($B881="","",INDEX(Dossiers!$E$4:$E$63,17))</f>
        <v/>
      </c>
      <c r="B881">
        <f>IF(INDEX(Suivi!$B:$B,898)="","",INDEX(Suivi!$B:$B,898))</f>
        <v/>
      </c>
      <c r="C881">
        <f>IF($B881="","",IF(INDEX(Suivi!$D:$D,898)="",INDEX(Suivi!$C:$C,898),INDEX(Suivi!$D:$D,898)))</f>
        <v/>
      </c>
      <c r="D881" s="29">
        <f>IF($B881="","",INDEX(Suivi!$E:$E,898))</f>
        <v/>
      </c>
      <c r="E881" s="29">
        <f>IF($B881="","",INDEX(Suivi!$F:$F,898))</f>
        <v/>
      </c>
      <c r="F881">
        <f>IF($B881="","",INDEX(Suivi!$G:$G,898))</f>
        <v/>
      </c>
      <c r="H881">
        <f>IF(OR($B881="",NOT(ISNUMBER($D881))),"",IF($E881&lt;$D$2,"Passé",IF($D881&gt;$F$2,"À venir","Dans la période")))</f>
        <v/>
      </c>
      <c r="I881">
        <f>IF(OR($B881="",NOT(ISNUMBER($D881))),"",IF(AND($E881&lt;$D$2,$G881&lt;&gt;"X",$F881&lt;&gt;"Réalisé",$F881&lt;&gt;"Clôturé"),"RETARD",""))</f>
        <v/>
      </c>
      <c r="J881" s="29">
        <f>IF($B881="","",IF(INDEX(Dossiers!$F$4:$F$63,17)="","",INDEX(Dossiers!$F$4:$F$63,17)))</f>
        <v/>
      </c>
      <c r="K881" s="29">
        <f>IF($B881="","",IF(INDEX(Dossiers!$G$4:$G$63,17)="","",INDEX(Dossiers!$G$4:$G$63,17)))</f>
        <v/>
      </c>
    </row>
    <row r="882">
      <c r="A882">
        <f>IF($B882="","",INDEX(Dossiers!$E$4:$E$63,17))</f>
        <v/>
      </c>
      <c r="B882">
        <f>IF(INDEX(Suivi!$B:$B,899)="","",INDEX(Suivi!$B:$B,899))</f>
        <v/>
      </c>
      <c r="C882">
        <f>IF($B882="","",IF(INDEX(Suivi!$D:$D,899)="",INDEX(Suivi!$C:$C,899),INDEX(Suivi!$D:$D,899)))</f>
        <v/>
      </c>
      <c r="D882" s="29">
        <f>IF($B882="","",INDEX(Suivi!$E:$E,899))</f>
        <v/>
      </c>
      <c r="E882" s="29">
        <f>IF($B882="","",INDEX(Suivi!$F:$F,899))</f>
        <v/>
      </c>
      <c r="F882">
        <f>IF($B882="","",INDEX(Suivi!$G:$G,899))</f>
        <v/>
      </c>
      <c r="H882">
        <f>IF(OR($B882="",NOT(ISNUMBER($D882))),"",IF($E882&lt;$D$2,"Passé",IF($D882&gt;$F$2,"À venir","Dans la période")))</f>
        <v/>
      </c>
      <c r="I882">
        <f>IF(OR($B882="",NOT(ISNUMBER($D882))),"",IF(AND($E882&lt;$D$2,$G882&lt;&gt;"X",$F882&lt;&gt;"Réalisé",$F882&lt;&gt;"Clôturé"),"RETARD",""))</f>
        <v/>
      </c>
      <c r="J882" s="29">
        <f>IF($B882="","",IF(INDEX(Dossiers!$F$4:$F$63,17)="","",INDEX(Dossiers!$F$4:$F$63,17)))</f>
        <v/>
      </c>
      <c r="K882" s="29">
        <f>IF($B882="","",IF(INDEX(Dossiers!$G$4:$G$63,17)="","",INDEX(Dossiers!$G$4:$G$63,17)))</f>
        <v/>
      </c>
    </row>
    <row r="883">
      <c r="A883">
        <f>IF($B883="","",INDEX(Dossiers!$E$4:$E$63,17))</f>
        <v/>
      </c>
      <c r="B883">
        <f>IF(INDEX(Suivi!$B:$B,900)="","",INDEX(Suivi!$B:$B,900))</f>
        <v/>
      </c>
      <c r="C883">
        <f>IF($B883="","",IF(INDEX(Suivi!$D:$D,900)="",INDEX(Suivi!$C:$C,900),INDEX(Suivi!$D:$D,900)))</f>
        <v/>
      </c>
      <c r="D883" s="29">
        <f>IF($B883="","",INDEX(Suivi!$E:$E,900))</f>
        <v/>
      </c>
      <c r="E883" s="29">
        <f>IF($B883="","",INDEX(Suivi!$F:$F,900))</f>
        <v/>
      </c>
      <c r="F883">
        <f>IF($B883="","",INDEX(Suivi!$G:$G,900))</f>
        <v/>
      </c>
      <c r="H883">
        <f>IF(OR($B883="",NOT(ISNUMBER($D883))),"",IF($E883&lt;$D$2,"Passé",IF($D883&gt;$F$2,"À venir","Dans la période")))</f>
        <v/>
      </c>
      <c r="I883">
        <f>IF(OR($B883="",NOT(ISNUMBER($D883))),"",IF(AND($E883&lt;$D$2,$G883&lt;&gt;"X",$F883&lt;&gt;"Réalisé",$F883&lt;&gt;"Clôturé"),"RETARD",""))</f>
        <v/>
      </c>
      <c r="J883" s="29">
        <f>IF($B883="","",IF(INDEX(Dossiers!$F$4:$F$63,17)="","",INDEX(Dossiers!$F$4:$F$63,17)))</f>
        <v/>
      </c>
      <c r="K883" s="29">
        <f>IF($B883="","",IF(INDEX(Dossiers!$G$4:$G$63,17)="","",INDEX(Dossiers!$G$4:$G$63,17)))</f>
        <v/>
      </c>
    </row>
    <row r="884">
      <c r="A884">
        <f>IF($B884="","",INDEX(Dossiers!$E$4:$E$63,17))</f>
        <v/>
      </c>
      <c r="B884">
        <f>IF(INDEX(Suivi!$B:$B,901)="","",INDEX(Suivi!$B:$B,901))</f>
        <v/>
      </c>
      <c r="C884">
        <f>IF($B884="","",IF(INDEX(Suivi!$D:$D,901)="",INDEX(Suivi!$C:$C,901),INDEX(Suivi!$D:$D,901)))</f>
        <v/>
      </c>
      <c r="D884" s="29">
        <f>IF($B884="","",INDEX(Suivi!$E:$E,901))</f>
        <v/>
      </c>
      <c r="E884" s="29">
        <f>IF($B884="","",INDEX(Suivi!$F:$F,901))</f>
        <v/>
      </c>
      <c r="F884">
        <f>IF($B884="","",INDEX(Suivi!$G:$G,901))</f>
        <v/>
      </c>
      <c r="H884">
        <f>IF(OR($B884="",NOT(ISNUMBER($D884))),"",IF($E884&lt;$D$2,"Passé",IF($D884&gt;$F$2,"À venir","Dans la période")))</f>
        <v/>
      </c>
      <c r="I884">
        <f>IF(OR($B884="",NOT(ISNUMBER($D884))),"",IF(AND($E884&lt;$D$2,$G884&lt;&gt;"X",$F884&lt;&gt;"Réalisé",$F884&lt;&gt;"Clôturé"),"RETARD",""))</f>
        <v/>
      </c>
      <c r="J884" s="29">
        <f>IF($B884="","",IF(INDEX(Dossiers!$F$4:$F$63,17)="","",INDEX(Dossiers!$F$4:$F$63,17)))</f>
        <v/>
      </c>
      <c r="K884" s="29">
        <f>IF($B884="","",IF(INDEX(Dossiers!$G$4:$G$63,17)="","",INDEX(Dossiers!$G$4:$G$63,17)))</f>
        <v/>
      </c>
    </row>
    <row r="885">
      <c r="A885">
        <f>IF($B885="","",INDEX(Dossiers!$E$4:$E$63,17))</f>
        <v/>
      </c>
      <c r="B885">
        <f>IF(INDEX(Suivi!$B:$B,902)="","",INDEX(Suivi!$B:$B,902))</f>
        <v/>
      </c>
      <c r="C885">
        <f>IF($B885="","",IF(INDEX(Suivi!$D:$D,902)="",INDEX(Suivi!$C:$C,902),INDEX(Suivi!$D:$D,902)))</f>
        <v/>
      </c>
      <c r="D885" s="29">
        <f>IF($B885="","",INDEX(Suivi!$E:$E,902))</f>
        <v/>
      </c>
      <c r="E885" s="29">
        <f>IF($B885="","",INDEX(Suivi!$F:$F,902))</f>
        <v/>
      </c>
      <c r="F885">
        <f>IF($B885="","",INDEX(Suivi!$G:$G,902))</f>
        <v/>
      </c>
      <c r="H885">
        <f>IF(OR($B885="",NOT(ISNUMBER($D885))),"",IF($E885&lt;$D$2,"Passé",IF($D885&gt;$F$2,"À venir","Dans la période")))</f>
        <v/>
      </c>
      <c r="I885">
        <f>IF(OR($B885="",NOT(ISNUMBER($D885))),"",IF(AND($E885&lt;$D$2,$G885&lt;&gt;"X",$F885&lt;&gt;"Réalisé",$F885&lt;&gt;"Clôturé"),"RETARD",""))</f>
        <v/>
      </c>
      <c r="J885" s="29">
        <f>IF($B885="","",IF(INDEX(Dossiers!$F$4:$F$63,17)="","",INDEX(Dossiers!$F$4:$F$63,17)))</f>
        <v/>
      </c>
      <c r="K885" s="29">
        <f>IF($B885="","",IF(INDEX(Dossiers!$G$4:$G$63,17)="","",INDEX(Dossiers!$G$4:$G$63,17)))</f>
        <v/>
      </c>
    </row>
    <row r="886">
      <c r="A886">
        <f>IF($B886="","",INDEX(Dossiers!$E$4:$E$63,17))</f>
        <v/>
      </c>
      <c r="B886">
        <f>IF(INDEX(Suivi!$B:$B,903)="","",INDEX(Suivi!$B:$B,903))</f>
        <v/>
      </c>
      <c r="C886">
        <f>IF($B886="","",IF(INDEX(Suivi!$D:$D,903)="",INDEX(Suivi!$C:$C,903),INDEX(Suivi!$D:$D,903)))</f>
        <v/>
      </c>
      <c r="D886" s="29">
        <f>IF($B886="","",INDEX(Suivi!$E:$E,903))</f>
        <v/>
      </c>
      <c r="E886" s="29">
        <f>IF($B886="","",INDEX(Suivi!$F:$F,903))</f>
        <v/>
      </c>
      <c r="F886">
        <f>IF($B886="","",INDEX(Suivi!$G:$G,903))</f>
        <v/>
      </c>
      <c r="H886">
        <f>IF(OR($B886="",NOT(ISNUMBER($D886))),"",IF($E886&lt;$D$2,"Passé",IF($D886&gt;$F$2,"À venir","Dans la période")))</f>
        <v/>
      </c>
      <c r="I886">
        <f>IF(OR($B886="",NOT(ISNUMBER($D886))),"",IF(AND($E886&lt;$D$2,$G886&lt;&gt;"X",$F886&lt;&gt;"Réalisé",$F886&lt;&gt;"Clôturé"),"RETARD",""))</f>
        <v/>
      </c>
      <c r="J886" s="29">
        <f>IF($B886="","",IF(INDEX(Dossiers!$F$4:$F$63,17)="","",INDEX(Dossiers!$F$4:$F$63,17)))</f>
        <v/>
      </c>
      <c r="K886" s="29">
        <f>IF($B886="","",IF(INDEX(Dossiers!$G$4:$G$63,17)="","",INDEX(Dossiers!$G$4:$G$63,17)))</f>
        <v/>
      </c>
    </row>
    <row r="887">
      <c r="A887">
        <f>IF($B887="","",INDEX(Dossiers!$E$4:$E$63,17))</f>
        <v/>
      </c>
      <c r="B887">
        <f>IF(INDEX(Suivi!$B:$B,904)="","",INDEX(Suivi!$B:$B,904))</f>
        <v/>
      </c>
      <c r="C887">
        <f>IF($B887="","",IF(INDEX(Suivi!$D:$D,904)="",INDEX(Suivi!$C:$C,904),INDEX(Suivi!$D:$D,904)))</f>
        <v/>
      </c>
      <c r="D887" s="29">
        <f>IF($B887="","",INDEX(Suivi!$E:$E,904))</f>
        <v/>
      </c>
      <c r="E887" s="29">
        <f>IF($B887="","",INDEX(Suivi!$F:$F,904))</f>
        <v/>
      </c>
      <c r="F887">
        <f>IF($B887="","",INDEX(Suivi!$G:$G,904))</f>
        <v/>
      </c>
      <c r="H887">
        <f>IF(OR($B887="",NOT(ISNUMBER($D887))),"",IF($E887&lt;$D$2,"Passé",IF($D887&gt;$F$2,"À venir","Dans la période")))</f>
        <v/>
      </c>
      <c r="I887">
        <f>IF(OR($B887="",NOT(ISNUMBER($D887))),"",IF(AND($E887&lt;$D$2,$G887&lt;&gt;"X",$F887&lt;&gt;"Réalisé",$F887&lt;&gt;"Clôturé"),"RETARD",""))</f>
        <v/>
      </c>
      <c r="J887" s="29">
        <f>IF($B887="","",IF(INDEX(Dossiers!$F$4:$F$63,17)="","",INDEX(Dossiers!$F$4:$F$63,17)))</f>
        <v/>
      </c>
      <c r="K887" s="29">
        <f>IF($B887="","",IF(INDEX(Dossiers!$G$4:$G$63,17)="","",INDEX(Dossiers!$G$4:$G$63,17)))</f>
        <v/>
      </c>
    </row>
    <row r="888">
      <c r="A888">
        <f>IF($B888="","",INDEX(Dossiers!$E$4:$E$63,17))</f>
        <v/>
      </c>
      <c r="B888">
        <f>IF(INDEX(Suivi!$B:$B,905)="","",INDEX(Suivi!$B:$B,905))</f>
        <v/>
      </c>
      <c r="C888">
        <f>IF($B888="","",IF(INDEX(Suivi!$D:$D,905)="",INDEX(Suivi!$C:$C,905),INDEX(Suivi!$D:$D,905)))</f>
        <v/>
      </c>
      <c r="D888" s="29">
        <f>IF($B888="","",INDEX(Suivi!$E:$E,905))</f>
        <v/>
      </c>
      <c r="E888" s="29">
        <f>IF($B888="","",INDEX(Suivi!$F:$F,905))</f>
        <v/>
      </c>
      <c r="F888">
        <f>IF($B888="","",INDEX(Suivi!$G:$G,905))</f>
        <v/>
      </c>
      <c r="H888">
        <f>IF(OR($B888="",NOT(ISNUMBER($D888))),"",IF($E888&lt;$D$2,"Passé",IF($D888&gt;$F$2,"À venir","Dans la période")))</f>
        <v/>
      </c>
      <c r="I888">
        <f>IF(OR($B888="",NOT(ISNUMBER($D888))),"",IF(AND($E888&lt;$D$2,$G888&lt;&gt;"X",$F888&lt;&gt;"Réalisé",$F888&lt;&gt;"Clôturé"),"RETARD",""))</f>
        <v/>
      </c>
      <c r="J888" s="29">
        <f>IF($B888="","",IF(INDEX(Dossiers!$F$4:$F$63,17)="","",INDEX(Dossiers!$F$4:$F$63,17)))</f>
        <v/>
      </c>
      <c r="K888" s="29">
        <f>IF($B888="","",IF(INDEX(Dossiers!$G$4:$G$63,17)="","",INDEX(Dossiers!$G$4:$G$63,17)))</f>
        <v/>
      </c>
    </row>
    <row r="889">
      <c r="A889">
        <f>IF($B889="","",INDEX(Dossiers!$E$4:$E$63,17))</f>
        <v/>
      </c>
      <c r="B889">
        <f>IF(INDEX(Suivi!$B:$B,906)="","",INDEX(Suivi!$B:$B,906))</f>
        <v/>
      </c>
      <c r="C889">
        <f>IF($B889="","",IF(INDEX(Suivi!$D:$D,906)="",INDEX(Suivi!$C:$C,906),INDEX(Suivi!$D:$D,906)))</f>
        <v/>
      </c>
      <c r="D889" s="29">
        <f>IF($B889="","",INDEX(Suivi!$E:$E,906))</f>
        <v/>
      </c>
      <c r="E889" s="29">
        <f>IF($B889="","",INDEX(Suivi!$F:$F,906))</f>
        <v/>
      </c>
      <c r="F889">
        <f>IF($B889="","",INDEX(Suivi!$G:$G,906))</f>
        <v/>
      </c>
      <c r="H889">
        <f>IF(OR($B889="",NOT(ISNUMBER($D889))),"",IF($E889&lt;$D$2,"Passé",IF($D889&gt;$F$2,"À venir","Dans la période")))</f>
        <v/>
      </c>
      <c r="I889">
        <f>IF(OR($B889="",NOT(ISNUMBER($D889))),"",IF(AND($E889&lt;$D$2,$G889&lt;&gt;"X",$F889&lt;&gt;"Réalisé",$F889&lt;&gt;"Clôturé"),"RETARD",""))</f>
        <v/>
      </c>
      <c r="J889" s="29">
        <f>IF($B889="","",IF(INDEX(Dossiers!$F$4:$F$63,17)="","",INDEX(Dossiers!$F$4:$F$63,17)))</f>
        <v/>
      </c>
      <c r="K889" s="29">
        <f>IF($B889="","",IF(INDEX(Dossiers!$G$4:$G$63,17)="","",INDEX(Dossiers!$G$4:$G$63,17)))</f>
        <v/>
      </c>
    </row>
    <row r="890">
      <c r="A890">
        <f>IF($B890="","",INDEX(Dossiers!$E$4:$E$63,17))</f>
        <v/>
      </c>
      <c r="B890">
        <f>IF(INDEX(Suivi!$B:$B,907)="","",INDEX(Suivi!$B:$B,907))</f>
        <v/>
      </c>
      <c r="C890">
        <f>IF($B890="","",IF(INDEX(Suivi!$D:$D,907)="",INDEX(Suivi!$C:$C,907),INDEX(Suivi!$D:$D,907)))</f>
        <v/>
      </c>
      <c r="D890" s="29">
        <f>IF($B890="","",INDEX(Suivi!$E:$E,907))</f>
        <v/>
      </c>
      <c r="E890" s="29">
        <f>IF($B890="","",INDEX(Suivi!$F:$F,907))</f>
        <v/>
      </c>
      <c r="F890">
        <f>IF($B890="","",INDEX(Suivi!$G:$G,907))</f>
        <v/>
      </c>
      <c r="H890">
        <f>IF(OR($B890="",NOT(ISNUMBER($D890))),"",IF($E890&lt;$D$2,"Passé",IF($D890&gt;$F$2,"À venir","Dans la période")))</f>
        <v/>
      </c>
      <c r="I890">
        <f>IF(OR($B890="",NOT(ISNUMBER($D890))),"",IF(AND($E890&lt;$D$2,$G890&lt;&gt;"X",$F890&lt;&gt;"Réalisé",$F890&lt;&gt;"Clôturé"),"RETARD",""))</f>
        <v/>
      </c>
      <c r="J890" s="29">
        <f>IF($B890="","",IF(INDEX(Dossiers!$F$4:$F$63,17)="","",INDEX(Dossiers!$F$4:$F$63,17)))</f>
        <v/>
      </c>
      <c r="K890" s="29">
        <f>IF($B890="","",IF(INDEX(Dossiers!$G$4:$G$63,17)="","",INDEX(Dossiers!$G$4:$G$63,17)))</f>
        <v/>
      </c>
    </row>
    <row r="891">
      <c r="A891">
        <f>IF($B891="","",INDEX(Dossiers!$E$4:$E$63,17))</f>
        <v/>
      </c>
      <c r="B891">
        <f>IF(INDEX(Suivi!$B:$B,908)="","",INDEX(Suivi!$B:$B,908))</f>
        <v/>
      </c>
      <c r="C891">
        <f>IF($B891="","",IF(INDEX(Suivi!$D:$D,908)="",INDEX(Suivi!$C:$C,908),INDEX(Suivi!$D:$D,908)))</f>
        <v/>
      </c>
      <c r="D891" s="29">
        <f>IF($B891="","",INDEX(Suivi!$E:$E,908))</f>
        <v/>
      </c>
      <c r="E891" s="29">
        <f>IF($B891="","",INDEX(Suivi!$F:$F,908))</f>
        <v/>
      </c>
      <c r="F891">
        <f>IF($B891="","",INDEX(Suivi!$G:$G,908))</f>
        <v/>
      </c>
      <c r="H891">
        <f>IF(OR($B891="",NOT(ISNUMBER($D891))),"",IF($E891&lt;$D$2,"Passé",IF($D891&gt;$F$2,"À venir","Dans la période")))</f>
        <v/>
      </c>
      <c r="I891">
        <f>IF(OR($B891="",NOT(ISNUMBER($D891))),"",IF(AND($E891&lt;$D$2,$G891&lt;&gt;"X",$F891&lt;&gt;"Réalisé",$F891&lt;&gt;"Clôturé"),"RETARD",""))</f>
        <v/>
      </c>
      <c r="J891" s="29">
        <f>IF($B891="","",IF(INDEX(Dossiers!$F$4:$F$63,17)="","",INDEX(Dossiers!$F$4:$F$63,17)))</f>
        <v/>
      </c>
      <c r="K891" s="29">
        <f>IF($B891="","",IF(INDEX(Dossiers!$G$4:$G$63,17)="","",INDEX(Dossiers!$G$4:$G$63,17)))</f>
        <v/>
      </c>
    </row>
    <row r="892">
      <c r="A892">
        <f>IF($B892="","",INDEX(Dossiers!$E$4:$E$63,17))</f>
        <v/>
      </c>
      <c r="B892">
        <f>IF(INDEX(Suivi!$B:$B,909)="","",INDEX(Suivi!$B:$B,909))</f>
        <v/>
      </c>
      <c r="C892">
        <f>IF($B892="","",IF(INDEX(Suivi!$D:$D,909)="",INDEX(Suivi!$C:$C,909),INDEX(Suivi!$D:$D,909)))</f>
        <v/>
      </c>
      <c r="D892" s="29">
        <f>IF($B892="","",INDEX(Suivi!$E:$E,909))</f>
        <v/>
      </c>
      <c r="E892" s="29">
        <f>IF($B892="","",INDEX(Suivi!$F:$F,909))</f>
        <v/>
      </c>
      <c r="F892">
        <f>IF($B892="","",INDEX(Suivi!$G:$G,909))</f>
        <v/>
      </c>
      <c r="H892">
        <f>IF(OR($B892="",NOT(ISNUMBER($D892))),"",IF($E892&lt;$D$2,"Passé",IF($D892&gt;$F$2,"À venir","Dans la période")))</f>
        <v/>
      </c>
      <c r="I892">
        <f>IF(OR($B892="",NOT(ISNUMBER($D892))),"",IF(AND($E892&lt;$D$2,$G892&lt;&gt;"X",$F892&lt;&gt;"Réalisé",$F892&lt;&gt;"Clôturé"),"RETARD",""))</f>
        <v/>
      </c>
      <c r="J892" s="29">
        <f>IF($B892="","",IF(INDEX(Dossiers!$F$4:$F$63,17)="","",INDEX(Dossiers!$F$4:$F$63,17)))</f>
        <v/>
      </c>
      <c r="K892" s="29">
        <f>IF($B892="","",IF(INDEX(Dossiers!$G$4:$G$63,17)="","",INDEX(Dossiers!$G$4:$G$63,17)))</f>
        <v/>
      </c>
    </row>
    <row r="893">
      <c r="A893">
        <f>IF($B893="","",INDEX(Dossiers!$E$4:$E$63,17))</f>
        <v/>
      </c>
      <c r="B893">
        <f>IF(INDEX(Suivi!$B:$B,910)="","",INDEX(Suivi!$B:$B,910))</f>
        <v/>
      </c>
      <c r="C893">
        <f>IF($B893="","",IF(INDEX(Suivi!$D:$D,910)="",INDEX(Suivi!$C:$C,910),INDEX(Suivi!$D:$D,910)))</f>
        <v/>
      </c>
      <c r="D893" s="29">
        <f>IF($B893="","",INDEX(Suivi!$E:$E,910))</f>
        <v/>
      </c>
      <c r="E893" s="29">
        <f>IF($B893="","",INDEX(Suivi!$F:$F,910))</f>
        <v/>
      </c>
      <c r="F893">
        <f>IF($B893="","",INDEX(Suivi!$G:$G,910))</f>
        <v/>
      </c>
      <c r="H893">
        <f>IF(OR($B893="",NOT(ISNUMBER($D893))),"",IF($E893&lt;$D$2,"Passé",IF($D893&gt;$F$2,"À venir","Dans la période")))</f>
        <v/>
      </c>
      <c r="I893">
        <f>IF(OR($B893="",NOT(ISNUMBER($D893))),"",IF(AND($E893&lt;$D$2,$G893&lt;&gt;"X",$F893&lt;&gt;"Réalisé",$F893&lt;&gt;"Clôturé"),"RETARD",""))</f>
        <v/>
      </c>
      <c r="J893" s="29">
        <f>IF($B893="","",IF(INDEX(Dossiers!$F$4:$F$63,17)="","",INDEX(Dossiers!$F$4:$F$63,17)))</f>
        <v/>
      </c>
      <c r="K893" s="29">
        <f>IF($B893="","",IF(INDEX(Dossiers!$G$4:$G$63,17)="","",INDEX(Dossiers!$G$4:$G$63,17)))</f>
        <v/>
      </c>
    </row>
    <row r="894">
      <c r="A894">
        <f>IF($B894="","",INDEX(Dossiers!$E$4:$E$63,17))</f>
        <v/>
      </c>
      <c r="B894">
        <f>IF(INDEX(Suivi!$B:$B,911)="","",INDEX(Suivi!$B:$B,911))</f>
        <v/>
      </c>
      <c r="C894">
        <f>IF($B894="","",IF(INDEX(Suivi!$D:$D,911)="",INDEX(Suivi!$C:$C,911),INDEX(Suivi!$D:$D,911)))</f>
        <v/>
      </c>
      <c r="D894" s="29">
        <f>IF($B894="","",INDEX(Suivi!$E:$E,911))</f>
        <v/>
      </c>
      <c r="E894" s="29">
        <f>IF($B894="","",INDEX(Suivi!$F:$F,911))</f>
        <v/>
      </c>
      <c r="F894">
        <f>IF($B894="","",INDEX(Suivi!$G:$G,911))</f>
        <v/>
      </c>
      <c r="H894">
        <f>IF(OR($B894="",NOT(ISNUMBER($D894))),"",IF($E894&lt;$D$2,"Passé",IF($D894&gt;$F$2,"À venir","Dans la période")))</f>
        <v/>
      </c>
      <c r="I894">
        <f>IF(OR($B894="",NOT(ISNUMBER($D894))),"",IF(AND($E894&lt;$D$2,$G894&lt;&gt;"X",$F894&lt;&gt;"Réalisé",$F894&lt;&gt;"Clôturé"),"RETARD",""))</f>
        <v/>
      </c>
      <c r="J894" s="29">
        <f>IF($B894="","",IF(INDEX(Dossiers!$F$4:$F$63,17)="","",INDEX(Dossiers!$F$4:$F$63,17)))</f>
        <v/>
      </c>
      <c r="K894" s="29">
        <f>IF($B894="","",IF(INDEX(Dossiers!$G$4:$G$63,17)="","",INDEX(Dossiers!$G$4:$G$63,17)))</f>
        <v/>
      </c>
    </row>
    <row r="895">
      <c r="A895">
        <f>IF($B895="","",INDEX(Dossiers!$E$4:$E$63,17))</f>
        <v/>
      </c>
      <c r="B895">
        <f>IF(INDEX(Suivi!$B:$B,912)="","",INDEX(Suivi!$B:$B,912))</f>
        <v/>
      </c>
      <c r="C895">
        <f>IF($B895="","",IF(INDEX(Suivi!$D:$D,912)="",INDEX(Suivi!$C:$C,912),INDEX(Suivi!$D:$D,912)))</f>
        <v/>
      </c>
      <c r="D895" s="29">
        <f>IF($B895="","",INDEX(Suivi!$E:$E,912))</f>
        <v/>
      </c>
      <c r="E895" s="29">
        <f>IF($B895="","",INDEX(Suivi!$F:$F,912))</f>
        <v/>
      </c>
      <c r="F895">
        <f>IF($B895="","",INDEX(Suivi!$G:$G,912))</f>
        <v/>
      </c>
      <c r="H895">
        <f>IF(OR($B895="",NOT(ISNUMBER($D895))),"",IF($E895&lt;$D$2,"Passé",IF($D895&gt;$F$2,"À venir","Dans la période")))</f>
        <v/>
      </c>
      <c r="I895">
        <f>IF(OR($B895="",NOT(ISNUMBER($D895))),"",IF(AND($E895&lt;$D$2,$G895&lt;&gt;"X",$F895&lt;&gt;"Réalisé",$F895&lt;&gt;"Clôturé"),"RETARD",""))</f>
        <v/>
      </c>
      <c r="J895" s="29">
        <f>IF($B895="","",IF(INDEX(Dossiers!$F$4:$F$63,17)="","",INDEX(Dossiers!$F$4:$F$63,17)))</f>
        <v/>
      </c>
      <c r="K895" s="29">
        <f>IF($B895="","",IF(INDEX(Dossiers!$G$4:$G$63,17)="","",INDEX(Dossiers!$G$4:$G$63,17)))</f>
        <v/>
      </c>
    </row>
    <row r="896">
      <c r="A896">
        <f>IF($B896="","",INDEX(Dossiers!$E$4:$E$63,17))</f>
        <v/>
      </c>
      <c r="B896">
        <f>IF(INDEX(Suivi!$B:$B,913)="","",INDEX(Suivi!$B:$B,913))</f>
        <v/>
      </c>
      <c r="C896">
        <f>IF($B896="","",IF(INDEX(Suivi!$D:$D,913)="",INDEX(Suivi!$C:$C,913),INDEX(Suivi!$D:$D,913)))</f>
        <v/>
      </c>
      <c r="D896" s="29">
        <f>IF($B896="","",INDEX(Suivi!$E:$E,913))</f>
        <v/>
      </c>
      <c r="E896" s="29">
        <f>IF($B896="","",INDEX(Suivi!$F:$F,913))</f>
        <v/>
      </c>
      <c r="F896">
        <f>IF($B896="","",INDEX(Suivi!$G:$G,913))</f>
        <v/>
      </c>
      <c r="H896">
        <f>IF(OR($B896="",NOT(ISNUMBER($D896))),"",IF($E896&lt;$D$2,"Passé",IF($D896&gt;$F$2,"À venir","Dans la période")))</f>
        <v/>
      </c>
      <c r="I896">
        <f>IF(OR($B896="",NOT(ISNUMBER($D896))),"",IF(AND($E896&lt;$D$2,$G896&lt;&gt;"X",$F896&lt;&gt;"Réalisé",$F896&lt;&gt;"Clôturé"),"RETARD",""))</f>
        <v/>
      </c>
      <c r="J896" s="29">
        <f>IF($B896="","",IF(INDEX(Dossiers!$F$4:$F$63,17)="","",INDEX(Dossiers!$F$4:$F$63,17)))</f>
        <v/>
      </c>
      <c r="K896" s="29">
        <f>IF($B896="","",IF(INDEX(Dossiers!$G$4:$G$63,17)="","",INDEX(Dossiers!$G$4:$G$63,17)))</f>
        <v/>
      </c>
    </row>
    <row r="897">
      <c r="A897">
        <f>IF($B897="","",INDEX(Dossiers!$E$4:$E$63,17))</f>
        <v/>
      </c>
      <c r="B897">
        <f>IF(INDEX(Suivi!$B:$B,914)="","",INDEX(Suivi!$B:$B,914))</f>
        <v/>
      </c>
      <c r="C897">
        <f>IF($B897="","",IF(INDEX(Suivi!$D:$D,914)="",INDEX(Suivi!$C:$C,914),INDEX(Suivi!$D:$D,914)))</f>
        <v/>
      </c>
      <c r="D897" s="29">
        <f>IF($B897="","",INDEX(Suivi!$E:$E,914))</f>
        <v/>
      </c>
      <c r="E897" s="29">
        <f>IF($B897="","",INDEX(Suivi!$F:$F,914))</f>
        <v/>
      </c>
      <c r="F897">
        <f>IF($B897="","",INDEX(Suivi!$G:$G,914))</f>
        <v/>
      </c>
      <c r="H897">
        <f>IF(OR($B897="",NOT(ISNUMBER($D897))),"",IF($E897&lt;$D$2,"Passé",IF($D897&gt;$F$2,"À venir","Dans la période")))</f>
        <v/>
      </c>
      <c r="I897">
        <f>IF(OR($B897="",NOT(ISNUMBER($D897))),"",IF(AND($E897&lt;$D$2,$G897&lt;&gt;"X",$F897&lt;&gt;"Réalisé",$F897&lt;&gt;"Clôturé"),"RETARD",""))</f>
        <v/>
      </c>
      <c r="J897" s="29">
        <f>IF($B897="","",IF(INDEX(Dossiers!$F$4:$F$63,17)="","",INDEX(Dossiers!$F$4:$F$63,17)))</f>
        <v/>
      </c>
      <c r="K897" s="29">
        <f>IF($B897="","",IF(INDEX(Dossiers!$G$4:$G$63,17)="","",INDEX(Dossiers!$G$4:$G$63,17)))</f>
        <v/>
      </c>
    </row>
    <row r="898">
      <c r="A898">
        <f>IF($B898="","",INDEX(Dossiers!$E$4:$E$63,17))</f>
        <v/>
      </c>
      <c r="B898">
        <f>IF(INDEX(Suivi!$B:$B,915)="","",INDEX(Suivi!$B:$B,915))</f>
        <v/>
      </c>
      <c r="C898">
        <f>IF($B898="","",IF(INDEX(Suivi!$D:$D,915)="",INDEX(Suivi!$C:$C,915),INDEX(Suivi!$D:$D,915)))</f>
        <v/>
      </c>
      <c r="D898" s="29">
        <f>IF($B898="","",INDEX(Suivi!$E:$E,915))</f>
        <v/>
      </c>
      <c r="E898" s="29">
        <f>IF($B898="","",INDEX(Suivi!$F:$F,915))</f>
        <v/>
      </c>
      <c r="F898">
        <f>IF($B898="","",INDEX(Suivi!$G:$G,915))</f>
        <v/>
      </c>
      <c r="H898">
        <f>IF(OR($B898="",NOT(ISNUMBER($D898))),"",IF($E898&lt;$D$2,"Passé",IF($D898&gt;$F$2,"À venir","Dans la période")))</f>
        <v/>
      </c>
      <c r="I898">
        <f>IF(OR($B898="",NOT(ISNUMBER($D898))),"",IF(AND($E898&lt;$D$2,$G898&lt;&gt;"X",$F898&lt;&gt;"Réalisé",$F898&lt;&gt;"Clôturé"),"RETARD",""))</f>
        <v/>
      </c>
      <c r="J898" s="29">
        <f>IF($B898="","",IF(INDEX(Dossiers!$F$4:$F$63,17)="","",INDEX(Dossiers!$F$4:$F$63,17)))</f>
        <v/>
      </c>
      <c r="K898" s="29">
        <f>IF($B898="","",IF(INDEX(Dossiers!$G$4:$G$63,17)="","",INDEX(Dossiers!$G$4:$G$63,17)))</f>
        <v/>
      </c>
    </row>
    <row r="899">
      <c r="A899">
        <f>IF($B899="","",INDEX(Dossiers!$E$4:$E$63,17))</f>
        <v/>
      </c>
      <c r="B899">
        <f>IF(INDEX(Suivi!$B:$B,916)="","",INDEX(Suivi!$B:$B,916))</f>
        <v/>
      </c>
      <c r="C899">
        <f>IF($B899="","",IF(INDEX(Suivi!$D:$D,916)="",INDEX(Suivi!$C:$C,916),INDEX(Suivi!$D:$D,916)))</f>
        <v/>
      </c>
      <c r="D899" s="29">
        <f>IF($B899="","",INDEX(Suivi!$E:$E,916))</f>
        <v/>
      </c>
      <c r="E899" s="29">
        <f>IF($B899="","",INDEX(Suivi!$F:$F,916))</f>
        <v/>
      </c>
      <c r="F899">
        <f>IF($B899="","",INDEX(Suivi!$G:$G,916))</f>
        <v/>
      </c>
      <c r="H899">
        <f>IF(OR($B899="",NOT(ISNUMBER($D899))),"",IF($E899&lt;$D$2,"Passé",IF($D899&gt;$F$2,"À venir","Dans la période")))</f>
        <v/>
      </c>
      <c r="I899">
        <f>IF(OR($B899="",NOT(ISNUMBER($D899))),"",IF(AND($E899&lt;$D$2,$G899&lt;&gt;"X",$F899&lt;&gt;"Réalisé",$F899&lt;&gt;"Clôturé"),"RETARD",""))</f>
        <v/>
      </c>
      <c r="J899" s="29">
        <f>IF($B899="","",IF(INDEX(Dossiers!$F$4:$F$63,17)="","",INDEX(Dossiers!$F$4:$F$63,17)))</f>
        <v/>
      </c>
      <c r="K899" s="29">
        <f>IF($B899="","",IF(INDEX(Dossiers!$G$4:$G$63,17)="","",INDEX(Dossiers!$G$4:$G$63,17)))</f>
        <v/>
      </c>
    </row>
    <row r="900">
      <c r="A900">
        <f>IF($B900="","",INDEX(Dossiers!$E$4:$E$63,17))</f>
        <v/>
      </c>
      <c r="B900">
        <f>IF(INDEX(Suivi!$B:$B,917)="","",INDEX(Suivi!$B:$B,917))</f>
        <v/>
      </c>
      <c r="C900">
        <f>IF($B900="","",IF(INDEX(Suivi!$D:$D,917)="",INDEX(Suivi!$C:$C,917),INDEX(Suivi!$D:$D,917)))</f>
        <v/>
      </c>
      <c r="D900" s="29">
        <f>IF($B900="","",INDEX(Suivi!$E:$E,917))</f>
        <v/>
      </c>
      <c r="E900" s="29">
        <f>IF($B900="","",INDEX(Suivi!$F:$F,917))</f>
        <v/>
      </c>
      <c r="F900">
        <f>IF($B900="","",INDEX(Suivi!$G:$G,917))</f>
        <v/>
      </c>
      <c r="H900">
        <f>IF(OR($B900="",NOT(ISNUMBER($D900))),"",IF($E900&lt;$D$2,"Passé",IF($D900&gt;$F$2,"À venir","Dans la période")))</f>
        <v/>
      </c>
      <c r="I900">
        <f>IF(OR($B900="",NOT(ISNUMBER($D900))),"",IF(AND($E900&lt;$D$2,$G900&lt;&gt;"X",$F900&lt;&gt;"Réalisé",$F900&lt;&gt;"Clôturé"),"RETARD",""))</f>
        <v/>
      </c>
      <c r="J900" s="29">
        <f>IF($B900="","",IF(INDEX(Dossiers!$F$4:$F$63,17)="","",INDEX(Dossiers!$F$4:$F$63,17)))</f>
        <v/>
      </c>
      <c r="K900" s="29">
        <f>IF($B900="","",IF(INDEX(Dossiers!$G$4:$G$63,17)="","",INDEX(Dossiers!$G$4:$G$63,17)))</f>
        <v/>
      </c>
    </row>
    <row r="901">
      <c r="A901">
        <f>IF($B901="","",INDEX(Dossiers!$E$4:$E$63,17))</f>
        <v/>
      </c>
      <c r="B901">
        <f>IF(INDEX(Suivi!$B:$B,918)="","",INDEX(Suivi!$B:$B,918))</f>
        <v/>
      </c>
      <c r="C901">
        <f>IF($B901="","",IF(INDEX(Suivi!$D:$D,918)="",INDEX(Suivi!$C:$C,918),INDEX(Suivi!$D:$D,918)))</f>
        <v/>
      </c>
      <c r="D901" s="29">
        <f>IF($B901="","",INDEX(Suivi!$E:$E,918))</f>
        <v/>
      </c>
      <c r="E901" s="29">
        <f>IF($B901="","",INDEX(Suivi!$F:$F,918))</f>
        <v/>
      </c>
      <c r="F901">
        <f>IF($B901="","",INDEX(Suivi!$G:$G,918))</f>
        <v/>
      </c>
      <c r="H901">
        <f>IF(OR($B901="",NOT(ISNUMBER($D901))),"",IF($E901&lt;$D$2,"Passé",IF($D901&gt;$F$2,"À venir","Dans la période")))</f>
        <v/>
      </c>
      <c r="I901">
        <f>IF(OR($B901="",NOT(ISNUMBER($D901))),"",IF(AND($E901&lt;$D$2,$G901&lt;&gt;"X",$F901&lt;&gt;"Réalisé",$F901&lt;&gt;"Clôturé"),"RETARD",""))</f>
        <v/>
      </c>
      <c r="J901" s="29">
        <f>IF($B901="","",IF(INDEX(Dossiers!$F$4:$F$63,17)="","",INDEX(Dossiers!$F$4:$F$63,17)))</f>
        <v/>
      </c>
      <c r="K901" s="29">
        <f>IF($B901="","",IF(INDEX(Dossiers!$G$4:$G$63,17)="","",INDEX(Dossiers!$G$4:$G$63,17)))</f>
        <v/>
      </c>
    </row>
    <row r="902">
      <c r="A902">
        <f>IF($B902="","",INDEX(Dossiers!$E$4:$E$63,17))</f>
        <v/>
      </c>
      <c r="B902">
        <f>IF(INDEX(Suivi!$B:$B,919)="","",INDEX(Suivi!$B:$B,919))</f>
        <v/>
      </c>
      <c r="C902">
        <f>IF($B902="","",IF(INDEX(Suivi!$D:$D,919)="",INDEX(Suivi!$C:$C,919),INDEX(Suivi!$D:$D,919)))</f>
        <v/>
      </c>
      <c r="D902" s="29">
        <f>IF($B902="","",INDEX(Suivi!$E:$E,919))</f>
        <v/>
      </c>
      <c r="E902" s="29">
        <f>IF($B902="","",INDEX(Suivi!$F:$F,919))</f>
        <v/>
      </c>
      <c r="F902">
        <f>IF($B902="","",INDEX(Suivi!$G:$G,919))</f>
        <v/>
      </c>
      <c r="H902">
        <f>IF(OR($B902="",NOT(ISNUMBER($D902))),"",IF($E902&lt;$D$2,"Passé",IF($D902&gt;$F$2,"À venir","Dans la période")))</f>
        <v/>
      </c>
      <c r="I902">
        <f>IF(OR($B902="",NOT(ISNUMBER($D902))),"",IF(AND($E902&lt;$D$2,$G902&lt;&gt;"X",$F902&lt;&gt;"Réalisé",$F902&lt;&gt;"Clôturé"),"RETARD",""))</f>
        <v/>
      </c>
      <c r="J902" s="29">
        <f>IF($B902="","",IF(INDEX(Dossiers!$F$4:$F$63,17)="","",INDEX(Dossiers!$F$4:$F$63,17)))</f>
        <v/>
      </c>
      <c r="K902" s="29">
        <f>IF($B902="","",IF(INDEX(Dossiers!$G$4:$G$63,17)="","",INDEX(Dossiers!$G$4:$G$63,17)))</f>
        <v/>
      </c>
    </row>
    <row r="903">
      <c r="A903">
        <f>IF($B903="","",INDEX(Dossiers!$E$4:$E$63,17))</f>
        <v/>
      </c>
      <c r="B903">
        <f>IF(INDEX(Suivi!$B:$B,920)="","",INDEX(Suivi!$B:$B,920))</f>
        <v/>
      </c>
      <c r="C903">
        <f>IF($B903="","",IF(INDEX(Suivi!$D:$D,920)="",INDEX(Suivi!$C:$C,920),INDEX(Suivi!$D:$D,920)))</f>
        <v/>
      </c>
      <c r="D903" s="29">
        <f>IF($B903="","",INDEX(Suivi!$E:$E,920))</f>
        <v/>
      </c>
      <c r="E903" s="29">
        <f>IF($B903="","",INDEX(Suivi!$F:$F,920))</f>
        <v/>
      </c>
      <c r="F903">
        <f>IF($B903="","",INDEX(Suivi!$G:$G,920))</f>
        <v/>
      </c>
      <c r="H903">
        <f>IF(OR($B903="",NOT(ISNUMBER($D903))),"",IF($E903&lt;$D$2,"Passé",IF($D903&gt;$F$2,"À venir","Dans la période")))</f>
        <v/>
      </c>
      <c r="I903">
        <f>IF(OR($B903="",NOT(ISNUMBER($D903))),"",IF(AND($E903&lt;$D$2,$G903&lt;&gt;"X",$F903&lt;&gt;"Réalisé",$F903&lt;&gt;"Clôturé"),"RETARD",""))</f>
        <v/>
      </c>
      <c r="J903" s="29">
        <f>IF($B903="","",IF(INDEX(Dossiers!$F$4:$F$63,17)="","",INDEX(Dossiers!$F$4:$F$63,17)))</f>
        <v/>
      </c>
      <c r="K903" s="29">
        <f>IF($B903="","",IF(INDEX(Dossiers!$G$4:$G$63,17)="","",INDEX(Dossiers!$G$4:$G$63,17)))</f>
        <v/>
      </c>
    </row>
    <row r="904">
      <c r="A904">
        <f>IF($B904="","",INDEX(Dossiers!$E$4:$E$63,17))</f>
        <v/>
      </c>
      <c r="B904">
        <f>IF(INDEX(Suivi!$B:$B,921)="","",INDEX(Suivi!$B:$B,921))</f>
        <v/>
      </c>
      <c r="C904">
        <f>IF($B904="","",IF(INDEX(Suivi!$D:$D,921)="",INDEX(Suivi!$C:$C,921),INDEX(Suivi!$D:$D,921)))</f>
        <v/>
      </c>
      <c r="D904" s="29">
        <f>IF($B904="","",INDEX(Suivi!$E:$E,921))</f>
        <v/>
      </c>
      <c r="E904" s="29">
        <f>IF($B904="","",INDEX(Suivi!$F:$F,921))</f>
        <v/>
      </c>
      <c r="F904">
        <f>IF($B904="","",INDEX(Suivi!$G:$G,921))</f>
        <v/>
      </c>
      <c r="H904">
        <f>IF(OR($B904="",NOT(ISNUMBER($D904))),"",IF($E904&lt;$D$2,"Passé",IF($D904&gt;$F$2,"À venir","Dans la période")))</f>
        <v/>
      </c>
      <c r="I904">
        <f>IF(OR($B904="",NOT(ISNUMBER($D904))),"",IF(AND($E904&lt;$D$2,$G904&lt;&gt;"X",$F904&lt;&gt;"Réalisé",$F904&lt;&gt;"Clôturé"),"RETARD",""))</f>
        <v/>
      </c>
      <c r="J904" s="29">
        <f>IF($B904="","",IF(INDEX(Dossiers!$F$4:$F$63,17)="","",INDEX(Dossiers!$F$4:$F$63,17)))</f>
        <v/>
      </c>
      <c r="K904" s="29">
        <f>IF($B904="","",IF(INDEX(Dossiers!$G$4:$G$63,17)="","",INDEX(Dossiers!$G$4:$G$63,17)))</f>
        <v/>
      </c>
    </row>
    <row r="905">
      <c r="A905">
        <f>IF($B905="","",INDEX(Dossiers!$E$4:$E$63,18))</f>
        <v/>
      </c>
      <c r="B905">
        <f>IF(INDEX(Suivi!$B:$B,923)="","",INDEX(Suivi!$B:$B,923))</f>
        <v/>
      </c>
      <c r="C905">
        <f>IF($B905="","",IF(INDEX(Suivi!$D:$D,923)="",INDEX(Suivi!$C:$C,923),INDEX(Suivi!$D:$D,923)))</f>
        <v/>
      </c>
      <c r="D905" s="29">
        <f>IF($B905="","",INDEX(Suivi!$E:$E,923))</f>
        <v/>
      </c>
      <c r="E905" s="29">
        <f>IF($B905="","",INDEX(Suivi!$F:$F,923))</f>
        <v/>
      </c>
      <c r="F905">
        <f>IF($B905="","",INDEX(Suivi!$G:$G,923))</f>
        <v/>
      </c>
      <c r="H905">
        <f>IF(OR($B905="",NOT(ISNUMBER($D905))),"",IF($E905&lt;$D$2,"Passé",IF($D905&gt;$F$2,"À venir","Dans la période")))</f>
        <v/>
      </c>
      <c r="I905">
        <f>IF(OR($B905="",NOT(ISNUMBER($D905))),"",IF(AND($E905&lt;$D$2,$G905&lt;&gt;"X",$F905&lt;&gt;"Réalisé",$F905&lt;&gt;"Clôturé"),"RETARD",""))</f>
        <v/>
      </c>
      <c r="J905" s="29">
        <f>IF($B905="","",IF(INDEX(Dossiers!$F$4:$F$63,18)="","",INDEX(Dossiers!$F$4:$F$63,18)))</f>
        <v/>
      </c>
      <c r="K905" s="29">
        <f>IF($B905="","",IF(INDEX(Dossiers!$G$4:$G$63,18)="","",INDEX(Dossiers!$G$4:$G$63,18)))</f>
        <v/>
      </c>
    </row>
    <row r="906">
      <c r="A906">
        <f>IF($B906="","",INDEX(Dossiers!$E$4:$E$63,18))</f>
        <v/>
      </c>
      <c r="B906">
        <f>IF(INDEX(Suivi!$B:$B,924)="","",INDEX(Suivi!$B:$B,924))</f>
        <v/>
      </c>
      <c r="C906">
        <f>IF($B906="","",IF(INDEX(Suivi!$D:$D,924)="",INDEX(Suivi!$C:$C,924),INDEX(Suivi!$D:$D,924)))</f>
        <v/>
      </c>
      <c r="D906" s="29">
        <f>IF($B906="","",INDEX(Suivi!$E:$E,924))</f>
        <v/>
      </c>
      <c r="E906" s="29">
        <f>IF($B906="","",INDEX(Suivi!$F:$F,924))</f>
        <v/>
      </c>
      <c r="F906">
        <f>IF($B906="","",INDEX(Suivi!$G:$G,924))</f>
        <v/>
      </c>
      <c r="H906">
        <f>IF(OR($B906="",NOT(ISNUMBER($D906))),"",IF($E906&lt;$D$2,"Passé",IF($D906&gt;$F$2,"À venir","Dans la période")))</f>
        <v/>
      </c>
      <c r="I906">
        <f>IF(OR($B906="",NOT(ISNUMBER($D906))),"",IF(AND($E906&lt;$D$2,$G906&lt;&gt;"X",$F906&lt;&gt;"Réalisé",$F906&lt;&gt;"Clôturé"),"RETARD",""))</f>
        <v/>
      </c>
      <c r="J906" s="29">
        <f>IF($B906="","",IF(INDEX(Dossiers!$F$4:$F$63,18)="","",INDEX(Dossiers!$F$4:$F$63,18)))</f>
        <v/>
      </c>
      <c r="K906" s="29">
        <f>IF($B906="","",IF(INDEX(Dossiers!$G$4:$G$63,18)="","",INDEX(Dossiers!$G$4:$G$63,18)))</f>
        <v/>
      </c>
    </row>
    <row r="907">
      <c r="A907">
        <f>IF($B907="","",INDEX(Dossiers!$E$4:$E$63,18))</f>
        <v/>
      </c>
      <c r="B907">
        <f>IF(INDEX(Suivi!$B:$B,925)="","",INDEX(Suivi!$B:$B,925))</f>
        <v/>
      </c>
      <c r="C907">
        <f>IF($B907="","",IF(INDEX(Suivi!$D:$D,925)="",INDEX(Suivi!$C:$C,925),INDEX(Suivi!$D:$D,925)))</f>
        <v/>
      </c>
      <c r="D907" s="29">
        <f>IF($B907="","",INDEX(Suivi!$E:$E,925))</f>
        <v/>
      </c>
      <c r="E907" s="29">
        <f>IF($B907="","",INDEX(Suivi!$F:$F,925))</f>
        <v/>
      </c>
      <c r="F907">
        <f>IF($B907="","",INDEX(Suivi!$G:$G,925))</f>
        <v/>
      </c>
      <c r="H907">
        <f>IF(OR($B907="",NOT(ISNUMBER($D907))),"",IF($E907&lt;$D$2,"Passé",IF($D907&gt;$F$2,"À venir","Dans la période")))</f>
        <v/>
      </c>
      <c r="I907">
        <f>IF(OR($B907="",NOT(ISNUMBER($D907))),"",IF(AND($E907&lt;$D$2,$G907&lt;&gt;"X",$F907&lt;&gt;"Réalisé",$F907&lt;&gt;"Clôturé"),"RETARD",""))</f>
        <v/>
      </c>
      <c r="J907" s="29">
        <f>IF($B907="","",IF(INDEX(Dossiers!$F$4:$F$63,18)="","",INDEX(Dossiers!$F$4:$F$63,18)))</f>
        <v/>
      </c>
      <c r="K907" s="29">
        <f>IF($B907="","",IF(INDEX(Dossiers!$G$4:$G$63,18)="","",INDEX(Dossiers!$G$4:$G$63,18)))</f>
        <v/>
      </c>
    </row>
    <row r="908">
      <c r="A908">
        <f>IF($B908="","",INDEX(Dossiers!$E$4:$E$63,18))</f>
        <v/>
      </c>
      <c r="B908">
        <f>IF(INDEX(Suivi!$B:$B,926)="","",INDEX(Suivi!$B:$B,926))</f>
        <v/>
      </c>
      <c r="C908">
        <f>IF($B908="","",IF(INDEX(Suivi!$D:$D,926)="",INDEX(Suivi!$C:$C,926),INDEX(Suivi!$D:$D,926)))</f>
        <v/>
      </c>
      <c r="D908" s="29">
        <f>IF($B908="","",INDEX(Suivi!$E:$E,926))</f>
        <v/>
      </c>
      <c r="E908" s="29">
        <f>IF($B908="","",INDEX(Suivi!$F:$F,926))</f>
        <v/>
      </c>
      <c r="F908">
        <f>IF($B908="","",INDEX(Suivi!$G:$G,926))</f>
        <v/>
      </c>
      <c r="H908">
        <f>IF(OR($B908="",NOT(ISNUMBER($D908))),"",IF($E908&lt;$D$2,"Passé",IF($D908&gt;$F$2,"À venir","Dans la période")))</f>
        <v/>
      </c>
      <c r="I908">
        <f>IF(OR($B908="",NOT(ISNUMBER($D908))),"",IF(AND($E908&lt;$D$2,$G908&lt;&gt;"X",$F908&lt;&gt;"Réalisé",$F908&lt;&gt;"Clôturé"),"RETARD",""))</f>
        <v/>
      </c>
      <c r="J908" s="29">
        <f>IF($B908="","",IF(INDEX(Dossiers!$F$4:$F$63,18)="","",INDEX(Dossiers!$F$4:$F$63,18)))</f>
        <v/>
      </c>
      <c r="K908" s="29">
        <f>IF($B908="","",IF(INDEX(Dossiers!$G$4:$G$63,18)="","",INDEX(Dossiers!$G$4:$G$63,18)))</f>
        <v/>
      </c>
    </row>
    <row r="909">
      <c r="A909">
        <f>IF($B909="","",INDEX(Dossiers!$E$4:$E$63,18))</f>
        <v/>
      </c>
      <c r="B909">
        <f>IF(INDEX(Suivi!$B:$B,927)="","",INDEX(Suivi!$B:$B,927))</f>
        <v/>
      </c>
      <c r="C909">
        <f>IF($B909="","",IF(INDEX(Suivi!$D:$D,927)="",INDEX(Suivi!$C:$C,927),INDEX(Suivi!$D:$D,927)))</f>
        <v/>
      </c>
      <c r="D909" s="29">
        <f>IF($B909="","",INDEX(Suivi!$E:$E,927))</f>
        <v/>
      </c>
      <c r="E909" s="29">
        <f>IF($B909="","",INDEX(Suivi!$F:$F,927))</f>
        <v/>
      </c>
      <c r="F909">
        <f>IF($B909="","",INDEX(Suivi!$G:$G,927))</f>
        <v/>
      </c>
      <c r="H909">
        <f>IF(OR($B909="",NOT(ISNUMBER($D909))),"",IF($E909&lt;$D$2,"Passé",IF($D909&gt;$F$2,"À venir","Dans la période")))</f>
        <v/>
      </c>
      <c r="I909">
        <f>IF(OR($B909="",NOT(ISNUMBER($D909))),"",IF(AND($E909&lt;$D$2,$G909&lt;&gt;"X",$F909&lt;&gt;"Réalisé",$F909&lt;&gt;"Clôturé"),"RETARD",""))</f>
        <v/>
      </c>
      <c r="J909" s="29">
        <f>IF($B909="","",IF(INDEX(Dossiers!$F$4:$F$63,18)="","",INDEX(Dossiers!$F$4:$F$63,18)))</f>
        <v/>
      </c>
      <c r="K909" s="29">
        <f>IF($B909="","",IF(INDEX(Dossiers!$G$4:$G$63,18)="","",INDEX(Dossiers!$G$4:$G$63,18)))</f>
        <v/>
      </c>
    </row>
    <row r="910">
      <c r="A910">
        <f>IF($B910="","",INDEX(Dossiers!$E$4:$E$63,18))</f>
        <v/>
      </c>
      <c r="B910">
        <f>IF(INDEX(Suivi!$B:$B,928)="","",INDEX(Suivi!$B:$B,928))</f>
        <v/>
      </c>
      <c r="C910">
        <f>IF($B910="","",IF(INDEX(Suivi!$D:$D,928)="",INDEX(Suivi!$C:$C,928),INDEX(Suivi!$D:$D,928)))</f>
        <v/>
      </c>
      <c r="D910" s="29">
        <f>IF($B910="","",INDEX(Suivi!$E:$E,928))</f>
        <v/>
      </c>
      <c r="E910" s="29">
        <f>IF($B910="","",INDEX(Suivi!$F:$F,928))</f>
        <v/>
      </c>
      <c r="F910">
        <f>IF($B910="","",INDEX(Suivi!$G:$G,928))</f>
        <v/>
      </c>
      <c r="H910">
        <f>IF(OR($B910="",NOT(ISNUMBER($D910))),"",IF($E910&lt;$D$2,"Passé",IF($D910&gt;$F$2,"À venir","Dans la période")))</f>
        <v/>
      </c>
      <c r="I910">
        <f>IF(OR($B910="",NOT(ISNUMBER($D910))),"",IF(AND($E910&lt;$D$2,$G910&lt;&gt;"X",$F910&lt;&gt;"Réalisé",$F910&lt;&gt;"Clôturé"),"RETARD",""))</f>
        <v/>
      </c>
      <c r="J910" s="29">
        <f>IF($B910="","",IF(INDEX(Dossiers!$F$4:$F$63,18)="","",INDEX(Dossiers!$F$4:$F$63,18)))</f>
        <v/>
      </c>
      <c r="K910" s="29">
        <f>IF($B910="","",IF(INDEX(Dossiers!$G$4:$G$63,18)="","",INDEX(Dossiers!$G$4:$G$63,18)))</f>
        <v/>
      </c>
    </row>
    <row r="911">
      <c r="A911">
        <f>IF($B911="","",INDEX(Dossiers!$E$4:$E$63,18))</f>
        <v/>
      </c>
      <c r="B911">
        <f>IF(INDEX(Suivi!$B:$B,929)="","",INDEX(Suivi!$B:$B,929))</f>
        <v/>
      </c>
      <c r="C911">
        <f>IF($B911="","",IF(INDEX(Suivi!$D:$D,929)="",INDEX(Suivi!$C:$C,929),INDEX(Suivi!$D:$D,929)))</f>
        <v/>
      </c>
      <c r="D911" s="29">
        <f>IF($B911="","",INDEX(Suivi!$E:$E,929))</f>
        <v/>
      </c>
      <c r="E911" s="29">
        <f>IF($B911="","",INDEX(Suivi!$F:$F,929))</f>
        <v/>
      </c>
      <c r="F911">
        <f>IF($B911="","",INDEX(Suivi!$G:$G,929))</f>
        <v/>
      </c>
      <c r="H911">
        <f>IF(OR($B911="",NOT(ISNUMBER($D911))),"",IF($E911&lt;$D$2,"Passé",IF($D911&gt;$F$2,"À venir","Dans la période")))</f>
        <v/>
      </c>
      <c r="I911">
        <f>IF(OR($B911="",NOT(ISNUMBER($D911))),"",IF(AND($E911&lt;$D$2,$G911&lt;&gt;"X",$F911&lt;&gt;"Réalisé",$F911&lt;&gt;"Clôturé"),"RETARD",""))</f>
        <v/>
      </c>
      <c r="J911" s="29">
        <f>IF($B911="","",IF(INDEX(Dossiers!$F$4:$F$63,18)="","",INDEX(Dossiers!$F$4:$F$63,18)))</f>
        <v/>
      </c>
      <c r="K911" s="29">
        <f>IF($B911="","",IF(INDEX(Dossiers!$G$4:$G$63,18)="","",INDEX(Dossiers!$G$4:$G$63,18)))</f>
        <v/>
      </c>
    </row>
    <row r="912">
      <c r="A912">
        <f>IF($B912="","",INDEX(Dossiers!$E$4:$E$63,18))</f>
        <v/>
      </c>
      <c r="B912">
        <f>IF(INDEX(Suivi!$B:$B,930)="","",INDEX(Suivi!$B:$B,930))</f>
        <v/>
      </c>
      <c r="C912">
        <f>IF($B912="","",IF(INDEX(Suivi!$D:$D,930)="",INDEX(Suivi!$C:$C,930),INDEX(Suivi!$D:$D,930)))</f>
        <v/>
      </c>
      <c r="D912" s="29">
        <f>IF($B912="","",INDEX(Suivi!$E:$E,930))</f>
        <v/>
      </c>
      <c r="E912" s="29">
        <f>IF($B912="","",INDEX(Suivi!$F:$F,930))</f>
        <v/>
      </c>
      <c r="F912">
        <f>IF($B912="","",INDEX(Suivi!$G:$G,930))</f>
        <v/>
      </c>
      <c r="H912">
        <f>IF(OR($B912="",NOT(ISNUMBER($D912))),"",IF($E912&lt;$D$2,"Passé",IF($D912&gt;$F$2,"À venir","Dans la période")))</f>
        <v/>
      </c>
      <c r="I912">
        <f>IF(OR($B912="",NOT(ISNUMBER($D912))),"",IF(AND($E912&lt;$D$2,$G912&lt;&gt;"X",$F912&lt;&gt;"Réalisé",$F912&lt;&gt;"Clôturé"),"RETARD",""))</f>
        <v/>
      </c>
      <c r="J912" s="29">
        <f>IF($B912="","",IF(INDEX(Dossiers!$F$4:$F$63,18)="","",INDEX(Dossiers!$F$4:$F$63,18)))</f>
        <v/>
      </c>
      <c r="K912" s="29">
        <f>IF($B912="","",IF(INDEX(Dossiers!$G$4:$G$63,18)="","",INDEX(Dossiers!$G$4:$G$63,18)))</f>
        <v/>
      </c>
    </row>
    <row r="913">
      <c r="A913">
        <f>IF($B913="","",INDEX(Dossiers!$E$4:$E$63,18))</f>
        <v/>
      </c>
      <c r="B913">
        <f>IF(INDEX(Suivi!$B:$B,931)="","",INDEX(Suivi!$B:$B,931))</f>
        <v/>
      </c>
      <c r="C913">
        <f>IF($B913="","",IF(INDEX(Suivi!$D:$D,931)="",INDEX(Suivi!$C:$C,931),INDEX(Suivi!$D:$D,931)))</f>
        <v/>
      </c>
      <c r="D913" s="29">
        <f>IF($B913="","",INDEX(Suivi!$E:$E,931))</f>
        <v/>
      </c>
      <c r="E913" s="29">
        <f>IF($B913="","",INDEX(Suivi!$F:$F,931))</f>
        <v/>
      </c>
      <c r="F913">
        <f>IF($B913="","",INDEX(Suivi!$G:$G,931))</f>
        <v/>
      </c>
      <c r="H913">
        <f>IF(OR($B913="",NOT(ISNUMBER($D913))),"",IF($E913&lt;$D$2,"Passé",IF($D913&gt;$F$2,"À venir","Dans la période")))</f>
        <v/>
      </c>
      <c r="I913">
        <f>IF(OR($B913="",NOT(ISNUMBER($D913))),"",IF(AND($E913&lt;$D$2,$G913&lt;&gt;"X",$F913&lt;&gt;"Réalisé",$F913&lt;&gt;"Clôturé"),"RETARD",""))</f>
        <v/>
      </c>
      <c r="J913" s="29">
        <f>IF($B913="","",IF(INDEX(Dossiers!$F$4:$F$63,18)="","",INDEX(Dossiers!$F$4:$F$63,18)))</f>
        <v/>
      </c>
      <c r="K913" s="29">
        <f>IF($B913="","",IF(INDEX(Dossiers!$G$4:$G$63,18)="","",INDEX(Dossiers!$G$4:$G$63,18)))</f>
        <v/>
      </c>
    </row>
    <row r="914">
      <c r="A914">
        <f>IF($B914="","",INDEX(Dossiers!$E$4:$E$63,18))</f>
        <v/>
      </c>
      <c r="B914">
        <f>IF(INDEX(Suivi!$B:$B,932)="","",INDEX(Suivi!$B:$B,932))</f>
        <v/>
      </c>
      <c r="C914">
        <f>IF($B914="","",IF(INDEX(Suivi!$D:$D,932)="",INDEX(Suivi!$C:$C,932),INDEX(Suivi!$D:$D,932)))</f>
        <v/>
      </c>
      <c r="D914" s="29">
        <f>IF($B914="","",INDEX(Suivi!$E:$E,932))</f>
        <v/>
      </c>
      <c r="E914" s="29">
        <f>IF($B914="","",INDEX(Suivi!$F:$F,932))</f>
        <v/>
      </c>
      <c r="F914">
        <f>IF($B914="","",INDEX(Suivi!$G:$G,932))</f>
        <v/>
      </c>
      <c r="H914">
        <f>IF(OR($B914="",NOT(ISNUMBER($D914))),"",IF($E914&lt;$D$2,"Passé",IF($D914&gt;$F$2,"À venir","Dans la période")))</f>
        <v/>
      </c>
      <c r="I914">
        <f>IF(OR($B914="",NOT(ISNUMBER($D914))),"",IF(AND($E914&lt;$D$2,$G914&lt;&gt;"X",$F914&lt;&gt;"Réalisé",$F914&lt;&gt;"Clôturé"),"RETARD",""))</f>
        <v/>
      </c>
      <c r="J914" s="29">
        <f>IF($B914="","",IF(INDEX(Dossiers!$F$4:$F$63,18)="","",INDEX(Dossiers!$F$4:$F$63,18)))</f>
        <v/>
      </c>
      <c r="K914" s="29">
        <f>IF($B914="","",IF(INDEX(Dossiers!$G$4:$G$63,18)="","",INDEX(Dossiers!$G$4:$G$63,18)))</f>
        <v/>
      </c>
    </row>
    <row r="915">
      <c r="A915">
        <f>IF($B915="","",INDEX(Dossiers!$E$4:$E$63,18))</f>
        <v/>
      </c>
      <c r="B915">
        <f>IF(INDEX(Suivi!$B:$B,933)="","",INDEX(Suivi!$B:$B,933))</f>
        <v/>
      </c>
      <c r="C915">
        <f>IF($B915="","",IF(INDEX(Suivi!$D:$D,933)="",INDEX(Suivi!$C:$C,933),INDEX(Suivi!$D:$D,933)))</f>
        <v/>
      </c>
      <c r="D915" s="29">
        <f>IF($B915="","",INDEX(Suivi!$E:$E,933))</f>
        <v/>
      </c>
      <c r="E915" s="29">
        <f>IF($B915="","",INDEX(Suivi!$F:$F,933))</f>
        <v/>
      </c>
      <c r="F915">
        <f>IF($B915="","",INDEX(Suivi!$G:$G,933))</f>
        <v/>
      </c>
      <c r="H915">
        <f>IF(OR($B915="",NOT(ISNUMBER($D915))),"",IF($E915&lt;$D$2,"Passé",IF($D915&gt;$F$2,"À venir","Dans la période")))</f>
        <v/>
      </c>
      <c r="I915">
        <f>IF(OR($B915="",NOT(ISNUMBER($D915))),"",IF(AND($E915&lt;$D$2,$G915&lt;&gt;"X",$F915&lt;&gt;"Réalisé",$F915&lt;&gt;"Clôturé"),"RETARD",""))</f>
        <v/>
      </c>
      <c r="J915" s="29">
        <f>IF($B915="","",IF(INDEX(Dossiers!$F$4:$F$63,18)="","",INDEX(Dossiers!$F$4:$F$63,18)))</f>
        <v/>
      </c>
      <c r="K915" s="29">
        <f>IF($B915="","",IF(INDEX(Dossiers!$G$4:$G$63,18)="","",INDEX(Dossiers!$G$4:$G$63,18)))</f>
        <v/>
      </c>
    </row>
    <row r="916">
      <c r="A916">
        <f>IF($B916="","",INDEX(Dossiers!$E$4:$E$63,18))</f>
        <v/>
      </c>
      <c r="B916">
        <f>IF(INDEX(Suivi!$B:$B,934)="","",INDEX(Suivi!$B:$B,934))</f>
        <v/>
      </c>
      <c r="C916">
        <f>IF($B916="","",IF(INDEX(Suivi!$D:$D,934)="",INDEX(Suivi!$C:$C,934),INDEX(Suivi!$D:$D,934)))</f>
        <v/>
      </c>
      <c r="D916" s="29">
        <f>IF($B916="","",INDEX(Suivi!$E:$E,934))</f>
        <v/>
      </c>
      <c r="E916" s="29">
        <f>IF($B916="","",INDEX(Suivi!$F:$F,934))</f>
        <v/>
      </c>
      <c r="F916">
        <f>IF($B916="","",INDEX(Suivi!$G:$G,934))</f>
        <v/>
      </c>
      <c r="H916">
        <f>IF(OR($B916="",NOT(ISNUMBER($D916))),"",IF($E916&lt;$D$2,"Passé",IF($D916&gt;$F$2,"À venir","Dans la période")))</f>
        <v/>
      </c>
      <c r="I916">
        <f>IF(OR($B916="",NOT(ISNUMBER($D916))),"",IF(AND($E916&lt;$D$2,$G916&lt;&gt;"X",$F916&lt;&gt;"Réalisé",$F916&lt;&gt;"Clôturé"),"RETARD",""))</f>
        <v/>
      </c>
      <c r="J916" s="29">
        <f>IF($B916="","",IF(INDEX(Dossiers!$F$4:$F$63,18)="","",INDEX(Dossiers!$F$4:$F$63,18)))</f>
        <v/>
      </c>
      <c r="K916" s="29">
        <f>IF($B916="","",IF(INDEX(Dossiers!$G$4:$G$63,18)="","",INDEX(Dossiers!$G$4:$G$63,18)))</f>
        <v/>
      </c>
    </row>
    <row r="917">
      <c r="A917">
        <f>IF($B917="","",INDEX(Dossiers!$E$4:$E$63,18))</f>
        <v/>
      </c>
      <c r="B917">
        <f>IF(INDEX(Suivi!$B:$B,935)="","",INDEX(Suivi!$B:$B,935))</f>
        <v/>
      </c>
      <c r="C917">
        <f>IF($B917="","",IF(INDEX(Suivi!$D:$D,935)="",INDEX(Suivi!$C:$C,935),INDEX(Suivi!$D:$D,935)))</f>
        <v/>
      </c>
      <c r="D917" s="29">
        <f>IF($B917="","",INDEX(Suivi!$E:$E,935))</f>
        <v/>
      </c>
      <c r="E917" s="29">
        <f>IF($B917="","",INDEX(Suivi!$F:$F,935))</f>
        <v/>
      </c>
      <c r="F917">
        <f>IF($B917="","",INDEX(Suivi!$G:$G,935))</f>
        <v/>
      </c>
      <c r="H917">
        <f>IF(OR($B917="",NOT(ISNUMBER($D917))),"",IF($E917&lt;$D$2,"Passé",IF($D917&gt;$F$2,"À venir","Dans la période")))</f>
        <v/>
      </c>
      <c r="I917">
        <f>IF(OR($B917="",NOT(ISNUMBER($D917))),"",IF(AND($E917&lt;$D$2,$G917&lt;&gt;"X",$F917&lt;&gt;"Réalisé",$F917&lt;&gt;"Clôturé"),"RETARD",""))</f>
        <v/>
      </c>
      <c r="J917" s="29">
        <f>IF($B917="","",IF(INDEX(Dossiers!$F$4:$F$63,18)="","",INDEX(Dossiers!$F$4:$F$63,18)))</f>
        <v/>
      </c>
      <c r="K917" s="29">
        <f>IF($B917="","",IF(INDEX(Dossiers!$G$4:$G$63,18)="","",INDEX(Dossiers!$G$4:$G$63,18)))</f>
        <v/>
      </c>
    </row>
    <row r="918">
      <c r="A918">
        <f>IF($B918="","",INDEX(Dossiers!$E$4:$E$63,18))</f>
        <v/>
      </c>
      <c r="B918">
        <f>IF(INDEX(Suivi!$B:$B,936)="","",INDEX(Suivi!$B:$B,936))</f>
        <v/>
      </c>
      <c r="C918">
        <f>IF($B918="","",IF(INDEX(Suivi!$D:$D,936)="",INDEX(Suivi!$C:$C,936),INDEX(Suivi!$D:$D,936)))</f>
        <v/>
      </c>
      <c r="D918" s="29">
        <f>IF($B918="","",INDEX(Suivi!$E:$E,936))</f>
        <v/>
      </c>
      <c r="E918" s="29">
        <f>IF($B918="","",INDEX(Suivi!$F:$F,936))</f>
        <v/>
      </c>
      <c r="F918">
        <f>IF($B918="","",INDEX(Suivi!$G:$G,936))</f>
        <v/>
      </c>
      <c r="H918">
        <f>IF(OR($B918="",NOT(ISNUMBER($D918))),"",IF($E918&lt;$D$2,"Passé",IF($D918&gt;$F$2,"À venir","Dans la période")))</f>
        <v/>
      </c>
      <c r="I918">
        <f>IF(OR($B918="",NOT(ISNUMBER($D918))),"",IF(AND($E918&lt;$D$2,$G918&lt;&gt;"X",$F918&lt;&gt;"Réalisé",$F918&lt;&gt;"Clôturé"),"RETARD",""))</f>
        <v/>
      </c>
      <c r="J918" s="29">
        <f>IF($B918="","",IF(INDEX(Dossiers!$F$4:$F$63,18)="","",INDEX(Dossiers!$F$4:$F$63,18)))</f>
        <v/>
      </c>
      <c r="K918" s="29">
        <f>IF($B918="","",IF(INDEX(Dossiers!$G$4:$G$63,18)="","",INDEX(Dossiers!$G$4:$G$63,18)))</f>
        <v/>
      </c>
    </row>
    <row r="919">
      <c r="A919">
        <f>IF($B919="","",INDEX(Dossiers!$E$4:$E$63,18))</f>
        <v/>
      </c>
      <c r="B919">
        <f>IF(INDEX(Suivi!$B:$B,937)="","",INDEX(Suivi!$B:$B,937))</f>
        <v/>
      </c>
      <c r="C919">
        <f>IF($B919="","",IF(INDEX(Suivi!$D:$D,937)="",INDEX(Suivi!$C:$C,937),INDEX(Suivi!$D:$D,937)))</f>
        <v/>
      </c>
      <c r="D919" s="29">
        <f>IF($B919="","",INDEX(Suivi!$E:$E,937))</f>
        <v/>
      </c>
      <c r="E919" s="29">
        <f>IF($B919="","",INDEX(Suivi!$F:$F,937))</f>
        <v/>
      </c>
      <c r="F919">
        <f>IF($B919="","",INDEX(Suivi!$G:$G,937))</f>
        <v/>
      </c>
      <c r="H919">
        <f>IF(OR($B919="",NOT(ISNUMBER($D919))),"",IF($E919&lt;$D$2,"Passé",IF($D919&gt;$F$2,"À venir","Dans la période")))</f>
        <v/>
      </c>
      <c r="I919">
        <f>IF(OR($B919="",NOT(ISNUMBER($D919))),"",IF(AND($E919&lt;$D$2,$G919&lt;&gt;"X",$F919&lt;&gt;"Réalisé",$F919&lt;&gt;"Clôturé"),"RETARD",""))</f>
        <v/>
      </c>
      <c r="J919" s="29">
        <f>IF($B919="","",IF(INDEX(Dossiers!$F$4:$F$63,18)="","",INDEX(Dossiers!$F$4:$F$63,18)))</f>
        <v/>
      </c>
      <c r="K919" s="29">
        <f>IF($B919="","",IF(INDEX(Dossiers!$G$4:$G$63,18)="","",INDEX(Dossiers!$G$4:$G$63,18)))</f>
        <v/>
      </c>
    </row>
    <row r="920">
      <c r="A920">
        <f>IF($B920="","",INDEX(Dossiers!$E$4:$E$63,18))</f>
        <v/>
      </c>
      <c r="B920">
        <f>IF(INDEX(Suivi!$B:$B,938)="","",INDEX(Suivi!$B:$B,938))</f>
        <v/>
      </c>
      <c r="C920">
        <f>IF($B920="","",IF(INDEX(Suivi!$D:$D,938)="",INDEX(Suivi!$C:$C,938),INDEX(Suivi!$D:$D,938)))</f>
        <v/>
      </c>
      <c r="D920" s="29">
        <f>IF($B920="","",INDEX(Suivi!$E:$E,938))</f>
        <v/>
      </c>
      <c r="E920" s="29">
        <f>IF($B920="","",INDEX(Suivi!$F:$F,938))</f>
        <v/>
      </c>
      <c r="F920">
        <f>IF($B920="","",INDEX(Suivi!$G:$G,938))</f>
        <v/>
      </c>
      <c r="H920">
        <f>IF(OR($B920="",NOT(ISNUMBER($D920))),"",IF($E920&lt;$D$2,"Passé",IF($D920&gt;$F$2,"À venir","Dans la période")))</f>
        <v/>
      </c>
      <c r="I920">
        <f>IF(OR($B920="",NOT(ISNUMBER($D920))),"",IF(AND($E920&lt;$D$2,$G920&lt;&gt;"X",$F920&lt;&gt;"Réalisé",$F920&lt;&gt;"Clôturé"),"RETARD",""))</f>
        <v/>
      </c>
      <c r="J920" s="29">
        <f>IF($B920="","",IF(INDEX(Dossiers!$F$4:$F$63,18)="","",INDEX(Dossiers!$F$4:$F$63,18)))</f>
        <v/>
      </c>
      <c r="K920" s="29">
        <f>IF($B920="","",IF(INDEX(Dossiers!$G$4:$G$63,18)="","",INDEX(Dossiers!$G$4:$G$63,18)))</f>
        <v/>
      </c>
    </row>
    <row r="921">
      <c r="A921">
        <f>IF($B921="","",INDEX(Dossiers!$E$4:$E$63,18))</f>
        <v/>
      </c>
      <c r="B921">
        <f>IF(INDEX(Suivi!$B:$B,939)="","",INDEX(Suivi!$B:$B,939))</f>
        <v/>
      </c>
      <c r="C921">
        <f>IF($B921="","",IF(INDEX(Suivi!$D:$D,939)="",INDEX(Suivi!$C:$C,939),INDEX(Suivi!$D:$D,939)))</f>
        <v/>
      </c>
      <c r="D921" s="29">
        <f>IF($B921="","",INDEX(Suivi!$E:$E,939))</f>
        <v/>
      </c>
      <c r="E921" s="29">
        <f>IF($B921="","",INDEX(Suivi!$F:$F,939))</f>
        <v/>
      </c>
      <c r="F921">
        <f>IF($B921="","",INDEX(Suivi!$G:$G,939))</f>
        <v/>
      </c>
      <c r="H921">
        <f>IF(OR($B921="",NOT(ISNUMBER($D921))),"",IF($E921&lt;$D$2,"Passé",IF($D921&gt;$F$2,"À venir","Dans la période")))</f>
        <v/>
      </c>
      <c r="I921">
        <f>IF(OR($B921="",NOT(ISNUMBER($D921))),"",IF(AND($E921&lt;$D$2,$G921&lt;&gt;"X",$F921&lt;&gt;"Réalisé",$F921&lt;&gt;"Clôturé"),"RETARD",""))</f>
        <v/>
      </c>
      <c r="J921" s="29">
        <f>IF($B921="","",IF(INDEX(Dossiers!$F$4:$F$63,18)="","",INDEX(Dossiers!$F$4:$F$63,18)))</f>
        <v/>
      </c>
      <c r="K921" s="29">
        <f>IF($B921="","",IF(INDEX(Dossiers!$G$4:$G$63,18)="","",INDEX(Dossiers!$G$4:$G$63,18)))</f>
        <v/>
      </c>
    </row>
    <row r="922">
      <c r="A922">
        <f>IF($B922="","",INDEX(Dossiers!$E$4:$E$63,18))</f>
        <v/>
      </c>
      <c r="B922">
        <f>IF(INDEX(Suivi!$B:$B,940)="","",INDEX(Suivi!$B:$B,940))</f>
        <v/>
      </c>
      <c r="C922">
        <f>IF($B922="","",IF(INDEX(Suivi!$D:$D,940)="",INDEX(Suivi!$C:$C,940),INDEX(Suivi!$D:$D,940)))</f>
        <v/>
      </c>
      <c r="D922" s="29">
        <f>IF($B922="","",INDEX(Suivi!$E:$E,940))</f>
        <v/>
      </c>
      <c r="E922" s="29">
        <f>IF($B922="","",INDEX(Suivi!$F:$F,940))</f>
        <v/>
      </c>
      <c r="F922">
        <f>IF($B922="","",INDEX(Suivi!$G:$G,940))</f>
        <v/>
      </c>
      <c r="H922">
        <f>IF(OR($B922="",NOT(ISNUMBER($D922))),"",IF($E922&lt;$D$2,"Passé",IF($D922&gt;$F$2,"À venir","Dans la période")))</f>
        <v/>
      </c>
      <c r="I922">
        <f>IF(OR($B922="",NOT(ISNUMBER($D922))),"",IF(AND($E922&lt;$D$2,$G922&lt;&gt;"X",$F922&lt;&gt;"Réalisé",$F922&lt;&gt;"Clôturé"),"RETARD",""))</f>
        <v/>
      </c>
      <c r="J922" s="29">
        <f>IF($B922="","",IF(INDEX(Dossiers!$F$4:$F$63,18)="","",INDEX(Dossiers!$F$4:$F$63,18)))</f>
        <v/>
      </c>
      <c r="K922" s="29">
        <f>IF($B922="","",IF(INDEX(Dossiers!$G$4:$G$63,18)="","",INDEX(Dossiers!$G$4:$G$63,18)))</f>
        <v/>
      </c>
    </row>
    <row r="923">
      <c r="A923">
        <f>IF($B923="","",INDEX(Dossiers!$E$4:$E$63,18))</f>
        <v/>
      </c>
      <c r="B923">
        <f>IF(INDEX(Suivi!$B:$B,941)="","",INDEX(Suivi!$B:$B,941))</f>
        <v/>
      </c>
      <c r="C923">
        <f>IF($B923="","",IF(INDEX(Suivi!$D:$D,941)="",INDEX(Suivi!$C:$C,941),INDEX(Suivi!$D:$D,941)))</f>
        <v/>
      </c>
      <c r="D923" s="29">
        <f>IF($B923="","",INDEX(Suivi!$E:$E,941))</f>
        <v/>
      </c>
      <c r="E923" s="29">
        <f>IF($B923="","",INDEX(Suivi!$F:$F,941))</f>
        <v/>
      </c>
      <c r="F923">
        <f>IF($B923="","",INDEX(Suivi!$G:$G,941))</f>
        <v/>
      </c>
      <c r="H923">
        <f>IF(OR($B923="",NOT(ISNUMBER($D923))),"",IF($E923&lt;$D$2,"Passé",IF($D923&gt;$F$2,"À venir","Dans la période")))</f>
        <v/>
      </c>
      <c r="I923">
        <f>IF(OR($B923="",NOT(ISNUMBER($D923))),"",IF(AND($E923&lt;$D$2,$G923&lt;&gt;"X",$F923&lt;&gt;"Réalisé",$F923&lt;&gt;"Clôturé"),"RETARD",""))</f>
        <v/>
      </c>
      <c r="J923" s="29">
        <f>IF($B923="","",IF(INDEX(Dossiers!$F$4:$F$63,18)="","",INDEX(Dossiers!$F$4:$F$63,18)))</f>
        <v/>
      </c>
      <c r="K923" s="29">
        <f>IF($B923="","",IF(INDEX(Dossiers!$G$4:$G$63,18)="","",INDEX(Dossiers!$G$4:$G$63,18)))</f>
        <v/>
      </c>
    </row>
    <row r="924">
      <c r="A924">
        <f>IF($B924="","",INDEX(Dossiers!$E$4:$E$63,18))</f>
        <v/>
      </c>
      <c r="B924">
        <f>IF(INDEX(Suivi!$B:$B,942)="","",INDEX(Suivi!$B:$B,942))</f>
        <v/>
      </c>
      <c r="C924">
        <f>IF($B924="","",IF(INDEX(Suivi!$D:$D,942)="",INDEX(Suivi!$C:$C,942),INDEX(Suivi!$D:$D,942)))</f>
        <v/>
      </c>
      <c r="D924" s="29">
        <f>IF($B924="","",INDEX(Suivi!$E:$E,942))</f>
        <v/>
      </c>
      <c r="E924" s="29">
        <f>IF($B924="","",INDEX(Suivi!$F:$F,942))</f>
        <v/>
      </c>
      <c r="F924">
        <f>IF($B924="","",INDEX(Suivi!$G:$G,942))</f>
        <v/>
      </c>
      <c r="H924">
        <f>IF(OR($B924="",NOT(ISNUMBER($D924))),"",IF($E924&lt;$D$2,"Passé",IF($D924&gt;$F$2,"À venir","Dans la période")))</f>
        <v/>
      </c>
      <c r="I924">
        <f>IF(OR($B924="",NOT(ISNUMBER($D924))),"",IF(AND($E924&lt;$D$2,$G924&lt;&gt;"X",$F924&lt;&gt;"Réalisé",$F924&lt;&gt;"Clôturé"),"RETARD",""))</f>
        <v/>
      </c>
      <c r="J924" s="29">
        <f>IF($B924="","",IF(INDEX(Dossiers!$F$4:$F$63,18)="","",INDEX(Dossiers!$F$4:$F$63,18)))</f>
        <v/>
      </c>
      <c r="K924" s="29">
        <f>IF($B924="","",IF(INDEX(Dossiers!$G$4:$G$63,18)="","",INDEX(Dossiers!$G$4:$G$63,18)))</f>
        <v/>
      </c>
    </row>
    <row r="925">
      <c r="A925">
        <f>IF($B925="","",INDEX(Dossiers!$E$4:$E$63,18))</f>
        <v/>
      </c>
      <c r="B925">
        <f>IF(INDEX(Suivi!$B:$B,943)="","",INDEX(Suivi!$B:$B,943))</f>
        <v/>
      </c>
      <c r="C925">
        <f>IF($B925="","",IF(INDEX(Suivi!$D:$D,943)="",INDEX(Suivi!$C:$C,943),INDEX(Suivi!$D:$D,943)))</f>
        <v/>
      </c>
      <c r="D925" s="29">
        <f>IF($B925="","",INDEX(Suivi!$E:$E,943))</f>
        <v/>
      </c>
      <c r="E925" s="29">
        <f>IF($B925="","",INDEX(Suivi!$F:$F,943))</f>
        <v/>
      </c>
      <c r="F925">
        <f>IF($B925="","",INDEX(Suivi!$G:$G,943))</f>
        <v/>
      </c>
      <c r="H925">
        <f>IF(OR($B925="",NOT(ISNUMBER($D925))),"",IF($E925&lt;$D$2,"Passé",IF($D925&gt;$F$2,"À venir","Dans la période")))</f>
        <v/>
      </c>
      <c r="I925">
        <f>IF(OR($B925="",NOT(ISNUMBER($D925))),"",IF(AND($E925&lt;$D$2,$G925&lt;&gt;"X",$F925&lt;&gt;"Réalisé",$F925&lt;&gt;"Clôturé"),"RETARD",""))</f>
        <v/>
      </c>
      <c r="J925" s="29">
        <f>IF($B925="","",IF(INDEX(Dossiers!$F$4:$F$63,18)="","",INDEX(Dossiers!$F$4:$F$63,18)))</f>
        <v/>
      </c>
      <c r="K925" s="29">
        <f>IF($B925="","",IF(INDEX(Dossiers!$G$4:$G$63,18)="","",INDEX(Dossiers!$G$4:$G$63,18)))</f>
        <v/>
      </c>
    </row>
    <row r="926">
      <c r="A926">
        <f>IF($B926="","",INDEX(Dossiers!$E$4:$E$63,18))</f>
        <v/>
      </c>
      <c r="B926">
        <f>IF(INDEX(Suivi!$B:$B,944)="","",INDEX(Suivi!$B:$B,944))</f>
        <v/>
      </c>
      <c r="C926">
        <f>IF($B926="","",IF(INDEX(Suivi!$D:$D,944)="",INDEX(Suivi!$C:$C,944),INDEX(Suivi!$D:$D,944)))</f>
        <v/>
      </c>
      <c r="D926" s="29">
        <f>IF($B926="","",INDEX(Suivi!$E:$E,944))</f>
        <v/>
      </c>
      <c r="E926" s="29">
        <f>IF($B926="","",INDEX(Suivi!$F:$F,944))</f>
        <v/>
      </c>
      <c r="F926">
        <f>IF($B926="","",INDEX(Suivi!$G:$G,944))</f>
        <v/>
      </c>
      <c r="H926">
        <f>IF(OR($B926="",NOT(ISNUMBER($D926))),"",IF($E926&lt;$D$2,"Passé",IF($D926&gt;$F$2,"À venir","Dans la période")))</f>
        <v/>
      </c>
      <c r="I926">
        <f>IF(OR($B926="",NOT(ISNUMBER($D926))),"",IF(AND($E926&lt;$D$2,$G926&lt;&gt;"X",$F926&lt;&gt;"Réalisé",$F926&lt;&gt;"Clôturé"),"RETARD",""))</f>
        <v/>
      </c>
      <c r="J926" s="29">
        <f>IF($B926="","",IF(INDEX(Dossiers!$F$4:$F$63,18)="","",INDEX(Dossiers!$F$4:$F$63,18)))</f>
        <v/>
      </c>
      <c r="K926" s="29">
        <f>IF($B926="","",IF(INDEX(Dossiers!$G$4:$G$63,18)="","",INDEX(Dossiers!$G$4:$G$63,18)))</f>
        <v/>
      </c>
    </row>
    <row r="927">
      <c r="A927">
        <f>IF($B927="","",INDEX(Dossiers!$E$4:$E$63,18))</f>
        <v/>
      </c>
      <c r="B927">
        <f>IF(INDEX(Suivi!$B:$B,945)="","",INDEX(Suivi!$B:$B,945))</f>
        <v/>
      </c>
      <c r="C927">
        <f>IF($B927="","",IF(INDEX(Suivi!$D:$D,945)="",INDEX(Suivi!$C:$C,945),INDEX(Suivi!$D:$D,945)))</f>
        <v/>
      </c>
      <c r="D927" s="29">
        <f>IF($B927="","",INDEX(Suivi!$E:$E,945))</f>
        <v/>
      </c>
      <c r="E927" s="29">
        <f>IF($B927="","",INDEX(Suivi!$F:$F,945))</f>
        <v/>
      </c>
      <c r="F927">
        <f>IF($B927="","",INDEX(Suivi!$G:$G,945))</f>
        <v/>
      </c>
      <c r="H927">
        <f>IF(OR($B927="",NOT(ISNUMBER($D927))),"",IF($E927&lt;$D$2,"Passé",IF($D927&gt;$F$2,"À venir","Dans la période")))</f>
        <v/>
      </c>
      <c r="I927">
        <f>IF(OR($B927="",NOT(ISNUMBER($D927))),"",IF(AND($E927&lt;$D$2,$G927&lt;&gt;"X",$F927&lt;&gt;"Réalisé",$F927&lt;&gt;"Clôturé"),"RETARD",""))</f>
        <v/>
      </c>
      <c r="J927" s="29">
        <f>IF($B927="","",IF(INDEX(Dossiers!$F$4:$F$63,18)="","",INDEX(Dossiers!$F$4:$F$63,18)))</f>
        <v/>
      </c>
      <c r="K927" s="29">
        <f>IF($B927="","",IF(INDEX(Dossiers!$G$4:$G$63,18)="","",INDEX(Dossiers!$G$4:$G$63,18)))</f>
        <v/>
      </c>
    </row>
    <row r="928">
      <c r="A928">
        <f>IF($B928="","",INDEX(Dossiers!$E$4:$E$63,18))</f>
        <v/>
      </c>
      <c r="B928">
        <f>IF(INDEX(Suivi!$B:$B,946)="","",INDEX(Suivi!$B:$B,946))</f>
        <v/>
      </c>
      <c r="C928">
        <f>IF($B928="","",IF(INDEX(Suivi!$D:$D,946)="",INDEX(Suivi!$C:$C,946),INDEX(Suivi!$D:$D,946)))</f>
        <v/>
      </c>
      <c r="D928" s="29">
        <f>IF($B928="","",INDEX(Suivi!$E:$E,946))</f>
        <v/>
      </c>
      <c r="E928" s="29">
        <f>IF($B928="","",INDEX(Suivi!$F:$F,946))</f>
        <v/>
      </c>
      <c r="F928">
        <f>IF($B928="","",INDEX(Suivi!$G:$G,946))</f>
        <v/>
      </c>
      <c r="H928">
        <f>IF(OR($B928="",NOT(ISNUMBER($D928))),"",IF($E928&lt;$D$2,"Passé",IF($D928&gt;$F$2,"À venir","Dans la période")))</f>
        <v/>
      </c>
      <c r="I928">
        <f>IF(OR($B928="",NOT(ISNUMBER($D928))),"",IF(AND($E928&lt;$D$2,$G928&lt;&gt;"X",$F928&lt;&gt;"Réalisé",$F928&lt;&gt;"Clôturé"),"RETARD",""))</f>
        <v/>
      </c>
      <c r="J928" s="29">
        <f>IF($B928="","",IF(INDEX(Dossiers!$F$4:$F$63,18)="","",INDEX(Dossiers!$F$4:$F$63,18)))</f>
        <v/>
      </c>
      <c r="K928" s="29">
        <f>IF($B928="","",IF(INDEX(Dossiers!$G$4:$G$63,18)="","",INDEX(Dossiers!$G$4:$G$63,18)))</f>
        <v/>
      </c>
    </row>
    <row r="929">
      <c r="A929">
        <f>IF($B929="","",INDEX(Dossiers!$E$4:$E$63,18))</f>
        <v/>
      </c>
      <c r="B929">
        <f>IF(INDEX(Suivi!$B:$B,947)="","",INDEX(Suivi!$B:$B,947))</f>
        <v/>
      </c>
      <c r="C929">
        <f>IF($B929="","",IF(INDEX(Suivi!$D:$D,947)="",INDEX(Suivi!$C:$C,947),INDEX(Suivi!$D:$D,947)))</f>
        <v/>
      </c>
      <c r="D929" s="29">
        <f>IF($B929="","",INDEX(Suivi!$E:$E,947))</f>
        <v/>
      </c>
      <c r="E929" s="29">
        <f>IF($B929="","",INDEX(Suivi!$F:$F,947))</f>
        <v/>
      </c>
      <c r="F929">
        <f>IF($B929="","",INDEX(Suivi!$G:$G,947))</f>
        <v/>
      </c>
      <c r="H929">
        <f>IF(OR($B929="",NOT(ISNUMBER($D929))),"",IF($E929&lt;$D$2,"Passé",IF($D929&gt;$F$2,"À venir","Dans la période")))</f>
        <v/>
      </c>
      <c r="I929">
        <f>IF(OR($B929="",NOT(ISNUMBER($D929))),"",IF(AND($E929&lt;$D$2,$G929&lt;&gt;"X",$F929&lt;&gt;"Réalisé",$F929&lt;&gt;"Clôturé"),"RETARD",""))</f>
        <v/>
      </c>
      <c r="J929" s="29">
        <f>IF($B929="","",IF(INDEX(Dossiers!$F$4:$F$63,18)="","",INDEX(Dossiers!$F$4:$F$63,18)))</f>
        <v/>
      </c>
      <c r="K929" s="29">
        <f>IF($B929="","",IF(INDEX(Dossiers!$G$4:$G$63,18)="","",INDEX(Dossiers!$G$4:$G$63,18)))</f>
        <v/>
      </c>
    </row>
    <row r="930">
      <c r="A930">
        <f>IF($B930="","",INDEX(Dossiers!$E$4:$E$63,18))</f>
        <v/>
      </c>
      <c r="B930">
        <f>IF(INDEX(Suivi!$B:$B,948)="","",INDEX(Suivi!$B:$B,948))</f>
        <v/>
      </c>
      <c r="C930">
        <f>IF($B930="","",IF(INDEX(Suivi!$D:$D,948)="",INDEX(Suivi!$C:$C,948),INDEX(Suivi!$D:$D,948)))</f>
        <v/>
      </c>
      <c r="D930" s="29">
        <f>IF($B930="","",INDEX(Suivi!$E:$E,948))</f>
        <v/>
      </c>
      <c r="E930" s="29">
        <f>IF($B930="","",INDEX(Suivi!$F:$F,948))</f>
        <v/>
      </c>
      <c r="F930">
        <f>IF($B930="","",INDEX(Suivi!$G:$G,948))</f>
        <v/>
      </c>
      <c r="H930">
        <f>IF(OR($B930="",NOT(ISNUMBER($D930))),"",IF($E930&lt;$D$2,"Passé",IF($D930&gt;$F$2,"À venir","Dans la période")))</f>
        <v/>
      </c>
      <c r="I930">
        <f>IF(OR($B930="",NOT(ISNUMBER($D930))),"",IF(AND($E930&lt;$D$2,$G930&lt;&gt;"X",$F930&lt;&gt;"Réalisé",$F930&lt;&gt;"Clôturé"),"RETARD",""))</f>
        <v/>
      </c>
      <c r="J930" s="29">
        <f>IF($B930="","",IF(INDEX(Dossiers!$F$4:$F$63,18)="","",INDEX(Dossiers!$F$4:$F$63,18)))</f>
        <v/>
      </c>
      <c r="K930" s="29">
        <f>IF($B930="","",IF(INDEX(Dossiers!$G$4:$G$63,18)="","",INDEX(Dossiers!$G$4:$G$63,18)))</f>
        <v/>
      </c>
    </row>
    <row r="931">
      <c r="A931">
        <f>IF($B931="","",INDEX(Dossiers!$E$4:$E$63,18))</f>
        <v/>
      </c>
      <c r="B931">
        <f>IF(INDEX(Suivi!$B:$B,949)="","",INDEX(Suivi!$B:$B,949))</f>
        <v/>
      </c>
      <c r="C931">
        <f>IF($B931="","",IF(INDEX(Suivi!$D:$D,949)="",INDEX(Suivi!$C:$C,949),INDEX(Suivi!$D:$D,949)))</f>
        <v/>
      </c>
      <c r="D931" s="29">
        <f>IF($B931="","",INDEX(Suivi!$E:$E,949))</f>
        <v/>
      </c>
      <c r="E931" s="29">
        <f>IF($B931="","",INDEX(Suivi!$F:$F,949))</f>
        <v/>
      </c>
      <c r="F931">
        <f>IF($B931="","",INDEX(Suivi!$G:$G,949))</f>
        <v/>
      </c>
      <c r="H931">
        <f>IF(OR($B931="",NOT(ISNUMBER($D931))),"",IF($E931&lt;$D$2,"Passé",IF($D931&gt;$F$2,"À venir","Dans la période")))</f>
        <v/>
      </c>
      <c r="I931">
        <f>IF(OR($B931="",NOT(ISNUMBER($D931))),"",IF(AND($E931&lt;$D$2,$G931&lt;&gt;"X",$F931&lt;&gt;"Réalisé",$F931&lt;&gt;"Clôturé"),"RETARD",""))</f>
        <v/>
      </c>
      <c r="J931" s="29">
        <f>IF($B931="","",IF(INDEX(Dossiers!$F$4:$F$63,18)="","",INDEX(Dossiers!$F$4:$F$63,18)))</f>
        <v/>
      </c>
      <c r="K931" s="29">
        <f>IF($B931="","",IF(INDEX(Dossiers!$G$4:$G$63,18)="","",INDEX(Dossiers!$G$4:$G$63,18)))</f>
        <v/>
      </c>
    </row>
    <row r="932">
      <c r="A932">
        <f>IF($B932="","",INDEX(Dossiers!$E$4:$E$63,18))</f>
        <v/>
      </c>
      <c r="B932">
        <f>IF(INDEX(Suivi!$B:$B,950)="","",INDEX(Suivi!$B:$B,950))</f>
        <v/>
      </c>
      <c r="C932">
        <f>IF($B932="","",IF(INDEX(Suivi!$D:$D,950)="",INDEX(Suivi!$C:$C,950),INDEX(Suivi!$D:$D,950)))</f>
        <v/>
      </c>
      <c r="D932" s="29">
        <f>IF($B932="","",INDEX(Suivi!$E:$E,950))</f>
        <v/>
      </c>
      <c r="E932" s="29">
        <f>IF($B932="","",INDEX(Suivi!$F:$F,950))</f>
        <v/>
      </c>
      <c r="F932">
        <f>IF($B932="","",INDEX(Suivi!$G:$G,950))</f>
        <v/>
      </c>
      <c r="H932">
        <f>IF(OR($B932="",NOT(ISNUMBER($D932))),"",IF($E932&lt;$D$2,"Passé",IF($D932&gt;$F$2,"À venir","Dans la période")))</f>
        <v/>
      </c>
      <c r="I932">
        <f>IF(OR($B932="",NOT(ISNUMBER($D932))),"",IF(AND($E932&lt;$D$2,$G932&lt;&gt;"X",$F932&lt;&gt;"Réalisé",$F932&lt;&gt;"Clôturé"),"RETARD",""))</f>
        <v/>
      </c>
      <c r="J932" s="29">
        <f>IF($B932="","",IF(INDEX(Dossiers!$F$4:$F$63,18)="","",INDEX(Dossiers!$F$4:$F$63,18)))</f>
        <v/>
      </c>
      <c r="K932" s="29">
        <f>IF($B932="","",IF(INDEX(Dossiers!$G$4:$G$63,18)="","",INDEX(Dossiers!$G$4:$G$63,18)))</f>
        <v/>
      </c>
    </row>
    <row r="933">
      <c r="A933">
        <f>IF($B933="","",INDEX(Dossiers!$E$4:$E$63,18))</f>
        <v/>
      </c>
      <c r="B933">
        <f>IF(INDEX(Suivi!$B:$B,951)="","",INDEX(Suivi!$B:$B,951))</f>
        <v/>
      </c>
      <c r="C933">
        <f>IF($B933="","",IF(INDEX(Suivi!$D:$D,951)="",INDEX(Suivi!$C:$C,951),INDEX(Suivi!$D:$D,951)))</f>
        <v/>
      </c>
      <c r="D933" s="29">
        <f>IF($B933="","",INDEX(Suivi!$E:$E,951))</f>
        <v/>
      </c>
      <c r="E933" s="29">
        <f>IF($B933="","",INDEX(Suivi!$F:$F,951))</f>
        <v/>
      </c>
      <c r="F933">
        <f>IF($B933="","",INDEX(Suivi!$G:$G,951))</f>
        <v/>
      </c>
      <c r="H933">
        <f>IF(OR($B933="",NOT(ISNUMBER($D933))),"",IF($E933&lt;$D$2,"Passé",IF($D933&gt;$F$2,"À venir","Dans la période")))</f>
        <v/>
      </c>
      <c r="I933">
        <f>IF(OR($B933="",NOT(ISNUMBER($D933))),"",IF(AND($E933&lt;$D$2,$G933&lt;&gt;"X",$F933&lt;&gt;"Réalisé",$F933&lt;&gt;"Clôturé"),"RETARD",""))</f>
        <v/>
      </c>
      <c r="J933" s="29">
        <f>IF($B933="","",IF(INDEX(Dossiers!$F$4:$F$63,18)="","",INDEX(Dossiers!$F$4:$F$63,18)))</f>
        <v/>
      </c>
      <c r="K933" s="29">
        <f>IF($B933="","",IF(INDEX(Dossiers!$G$4:$G$63,18)="","",INDEX(Dossiers!$G$4:$G$63,18)))</f>
        <v/>
      </c>
    </row>
    <row r="934">
      <c r="A934">
        <f>IF($B934="","",INDEX(Dossiers!$E$4:$E$63,18))</f>
        <v/>
      </c>
      <c r="B934">
        <f>IF(INDEX(Suivi!$B:$B,952)="","",INDEX(Suivi!$B:$B,952))</f>
        <v/>
      </c>
      <c r="C934">
        <f>IF($B934="","",IF(INDEX(Suivi!$D:$D,952)="",INDEX(Suivi!$C:$C,952),INDEX(Suivi!$D:$D,952)))</f>
        <v/>
      </c>
      <c r="D934" s="29">
        <f>IF($B934="","",INDEX(Suivi!$E:$E,952))</f>
        <v/>
      </c>
      <c r="E934" s="29">
        <f>IF($B934="","",INDEX(Suivi!$F:$F,952))</f>
        <v/>
      </c>
      <c r="F934">
        <f>IF($B934="","",INDEX(Suivi!$G:$G,952))</f>
        <v/>
      </c>
      <c r="H934">
        <f>IF(OR($B934="",NOT(ISNUMBER($D934))),"",IF($E934&lt;$D$2,"Passé",IF($D934&gt;$F$2,"À venir","Dans la période")))</f>
        <v/>
      </c>
      <c r="I934">
        <f>IF(OR($B934="",NOT(ISNUMBER($D934))),"",IF(AND($E934&lt;$D$2,$G934&lt;&gt;"X",$F934&lt;&gt;"Réalisé",$F934&lt;&gt;"Clôturé"),"RETARD",""))</f>
        <v/>
      </c>
      <c r="J934" s="29">
        <f>IF($B934="","",IF(INDEX(Dossiers!$F$4:$F$63,18)="","",INDEX(Dossiers!$F$4:$F$63,18)))</f>
        <v/>
      </c>
      <c r="K934" s="29">
        <f>IF($B934="","",IF(INDEX(Dossiers!$G$4:$G$63,18)="","",INDEX(Dossiers!$G$4:$G$63,18)))</f>
        <v/>
      </c>
    </row>
    <row r="935">
      <c r="A935">
        <f>IF($B935="","",INDEX(Dossiers!$E$4:$E$63,18))</f>
        <v/>
      </c>
      <c r="B935">
        <f>IF(INDEX(Suivi!$B:$B,953)="","",INDEX(Suivi!$B:$B,953))</f>
        <v/>
      </c>
      <c r="C935">
        <f>IF($B935="","",IF(INDEX(Suivi!$D:$D,953)="",INDEX(Suivi!$C:$C,953),INDEX(Suivi!$D:$D,953)))</f>
        <v/>
      </c>
      <c r="D935" s="29">
        <f>IF($B935="","",INDEX(Suivi!$E:$E,953))</f>
        <v/>
      </c>
      <c r="E935" s="29">
        <f>IF($B935="","",INDEX(Suivi!$F:$F,953))</f>
        <v/>
      </c>
      <c r="F935">
        <f>IF($B935="","",INDEX(Suivi!$G:$G,953))</f>
        <v/>
      </c>
      <c r="H935">
        <f>IF(OR($B935="",NOT(ISNUMBER($D935))),"",IF($E935&lt;$D$2,"Passé",IF($D935&gt;$F$2,"À venir","Dans la période")))</f>
        <v/>
      </c>
      <c r="I935">
        <f>IF(OR($B935="",NOT(ISNUMBER($D935))),"",IF(AND($E935&lt;$D$2,$G935&lt;&gt;"X",$F935&lt;&gt;"Réalisé",$F935&lt;&gt;"Clôturé"),"RETARD",""))</f>
        <v/>
      </c>
      <c r="J935" s="29">
        <f>IF($B935="","",IF(INDEX(Dossiers!$F$4:$F$63,18)="","",INDEX(Dossiers!$F$4:$F$63,18)))</f>
        <v/>
      </c>
      <c r="K935" s="29">
        <f>IF($B935="","",IF(INDEX(Dossiers!$G$4:$G$63,18)="","",INDEX(Dossiers!$G$4:$G$63,18)))</f>
        <v/>
      </c>
    </row>
    <row r="936">
      <c r="A936">
        <f>IF($B936="","",INDEX(Dossiers!$E$4:$E$63,18))</f>
        <v/>
      </c>
      <c r="B936">
        <f>IF(INDEX(Suivi!$B:$B,954)="","",INDEX(Suivi!$B:$B,954))</f>
        <v/>
      </c>
      <c r="C936">
        <f>IF($B936="","",IF(INDEX(Suivi!$D:$D,954)="",INDEX(Suivi!$C:$C,954),INDEX(Suivi!$D:$D,954)))</f>
        <v/>
      </c>
      <c r="D936" s="29">
        <f>IF($B936="","",INDEX(Suivi!$E:$E,954))</f>
        <v/>
      </c>
      <c r="E936" s="29">
        <f>IF($B936="","",INDEX(Suivi!$F:$F,954))</f>
        <v/>
      </c>
      <c r="F936">
        <f>IF($B936="","",INDEX(Suivi!$G:$G,954))</f>
        <v/>
      </c>
      <c r="H936">
        <f>IF(OR($B936="",NOT(ISNUMBER($D936))),"",IF($E936&lt;$D$2,"Passé",IF($D936&gt;$F$2,"À venir","Dans la période")))</f>
        <v/>
      </c>
      <c r="I936">
        <f>IF(OR($B936="",NOT(ISNUMBER($D936))),"",IF(AND($E936&lt;$D$2,$G936&lt;&gt;"X",$F936&lt;&gt;"Réalisé",$F936&lt;&gt;"Clôturé"),"RETARD",""))</f>
        <v/>
      </c>
      <c r="J936" s="29">
        <f>IF($B936="","",IF(INDEX(Dossiers!$F$4:$F$63,18)="","",INDEX(Dossiers!$F$4:$F$63,18)))</f>
        <v/>
      </c>
      <c r="K936" s="29">
        <f>IF($B936="","",IF(INDEX(Dossiers!$G$4:$G$63,18)="","",INDEX(Dossiers!$G$4:$G$63,18)))</f>
        <v/>
      </c>
    </row>
    <row r="937">
      <c r="A937">
        <f>IF($B937="","",INDEX(Dossiers!$E$4:$E$63,18))</f>
        <v/>
      </c>
      <c r="B937">
        <f>IF(INDEX(Suivi!$B:$B,955)="","",INDEX(Suivi!$B:$B,955))</f>
        <v/>
      </c>
      <c r="C937">
        <f>IF($B937="","",IF(INDEX(Suivi!$D:$D,955)="",INDEX(Suivi!$C:$C,955),INDEX(Suivi!$D:$D,955)))</f>
        <v/>
      </c>
      <c r="D937" s="29">
        <f>IF($B937="","",INDEX(Suivi!$E:$E,955))</f>
        <v/>
      </c>
      <c r="E937" s="29">
        <f>IF($B937="","",INDEX(Suivi!$F:$F,955))</f>
        <v/>
      </c>
      <c r="F937">
        <f>IF($B937="","",INDEX(Suivi!$G:$G,955))</f>
        <v/>
      </c>
      <c r="H937">
        <f>IF(OR($B937="",NOT(ISNUMBER($D937))),"",IF($E937&lt;$D$2,"Passé",IF($D937&gt;$F$2,"À venir","Dans la période")))</f>
        <v/>
      </c>
      <c r="I937">
        <f>IF(OR($B937="",NOT(ISNUMBER($D937))),"",IF(AND($E937&lt;$D$2,$G937&lt;&gt;"X",$F937&lt;&gt;"Réalisé",$F937&lt;&gt;"Clôturé"),"RETARD",""))</f>
        <v/>
      </c>
      <c r="J937" s="29">
        <f>IF($B937="","",IF(INDEX(Dossiers!$F$4:$F$63,18)="","",INDEX(Dossiers!$F$4:$F$63,18)))</f>
        <v/>
      </c>
      <c r="K937" s="29">
        <f>IF($B937="","",IF(INDEX(Dossiers!$G$4:$G$63,18)="","",INDEX(Dossiers!$G$4:$G$63,18)))</f>
        <v/>
      </c>
    </row>
    <row r="938">
      <c r="A938">
        <f>IF($B938="","",INDEX(Dossiers!$E$4:$E$63,18))</f>
        <v/>
      </c>
      <c r="B938">
        <f>IF(INDEX(Suivi!$B:$B,956)="","",INDEX(Suivi!$B:$B,956))</f>
        <v/>
      </c>
      <c r="C938">
        <f>IF($B938="","",IF(INDEX(Suivi!$D:$D,956)="",INDEX(Suivi!$C:$C,956),INDEX(Suivi!$D:$D,956)))</f>
        <v/>
      </c>
      <c r="D938" s="29">
        <f>IF($B938="","",INDEX(Suivi!$E:$E,956))</f>
        <v/>
      </c>
      <c r="E938" s="29">
        <f>IF($B938="","",INDEX(Suivi!$F:$F,956))</f>
        <v/>
      </c>
      <c r="F938">
        <f>IF($B938="","",INDEX(Suivi!$G:$G,956))</f>
        <v/>
      </c>
      <c r="H938">
        <f>IF(OR($B938="",NOT(ISNUMBER($D938))),"",IF($E938&lt;$D$2,"Passé",IF($D938&gt;$F$2,"À venir","Dans la période")))</f>
        <v/>
      </c>
      <c r="I938">
        <f>IF(OR($B938="",NOT(ISNUMBER($D938))),"",IF(AND($E938&lt;$D$2,$G938&lt;&gt;"X",$F938&lt;&gt;"Réalisé",$F938&lt;&gt;"Clôturé"),"RETARD",""))</f>
        <v/>
      </c>
      <c r="J938" s="29">
        <f>IF($B938="","",IF(INDEX(Dossiers!$F$4:$F$63,18)="","",INDEX(Dossiers!$F$4:$F$63,18)))</f>
        <v/>
      </c>
      <c r="K938" s="29">
        <f>IF($B938="","",IF(INDEX(Dossiers!$G$4:$G$63,18)="","",INDEX(Dossiers!$G$4:$G$63,18)))</f>
        <v/>
      </c>
    </row>
    <row r="939">
      <c r="A939">
        <f>IF($B939="","",INDEX(Dossiers!$E$4:$E$63,18))</f>
        <v/>
      </c>
      <c r="B939">
        <f>IF(INDEX(Suivi!$B:$B,957)="","",INDEX(Suivi!$B:$B,957))</f>
        <v/>
      </c>
      <c r="C939">
        <f>IF($B939="","",IF(INDEX(Suivi!$D:$D,957)="",INDEX(Suivi!$C:$C,957),INDEX(Suivi!$D:$D,957)))</f>
        <v/>
      </c>
      <c r="D939" s="29">
        <f>IF($B939="","",INDEX(Suivi!$E:$E,957))</f>
        <v/>
      </c>
      <c r="E939" s="29">
        <f>IF($B939="","",INDEX(Suivi!$F:$F,957))</f>
        <v/>
      </c>
      <c r="F939">
        <f>IF($B939="","",INDEX(Suivi!$G:$G,957))</f>
        <v/>
      </c>
      <c r="H939">
        <f>IF(OR($B939="",NOT(ISNUMBER($D939))),"",IF($E939&lt;$D$2,"Passé",IF($D939&gt;$F$2,"À venir","Dans la période")))</f>
        <v/>
      </c>
      <c r="I939">
        <f>IF(OR($B939="",NOT(ISNUMBER($D939))),"",IF(AND($E939&lt;$D$2,$G939&lt;&gt;"X",$F939&lt;&gt;"Réalisé",$F939&lt;&gt;"Clôturé"),"RETARD",""))</f>
        <v/>
      </c>
      <c r="J939" s="29">
        <f>IF($B939="","",IF(INDEX(Dossiers!$F$4:$F$63,18)="","",INDEX(Dossiers!$F$4:$F$63,18)))</f>
        <v/>
      </c>
      <c r="K939" s="29">
        <f>IF($B939="","",IF(INDEX(Dossiers!$G$4:$G$63,18)="","",INDEX(Dossiers!$G$4:$G$63,18)))</f>
        <v/>
      </c>
    </row>
    <row r="940">
      <c r="A940">
        <f>IF($B940="","",INDEX(Dossiers!$E$4:$E$63,18))</f>
        <v/>
      </c>
      <c r="B940">
        <f>IF(INDEX(Suivi!$B:$B,958)="","",INDEX(Suivi!$B:$B,958))</f>
        <v/>
      </c>
      <c r="C940">
        <f>IF($B940="","",IF(INDEX(Suivi!$D:$D,958)="",INDEX(Suivi!$C:$C,958),INDEX(Suivi!$D:$D,958)))</f>
        <v/>
      </c>
      <c r="D940" s="29">
        <f>IF($B940="","",INDEX(Suivi!$E:$E,958))</f>
        <v/>
      </c>
      <c r="E940" s="29">
        <f>IF($B940="","",INDEX(Suivi!$F:$F,958))</f>
        <v/>
      </c>
      <c r="F940">
        <f>IF($B940="","",INDEX(Suivi!$G:$G,958))</f>
        <v/>
      </c>
      <c r="H940">
        <f>IF(OR($B940="",NOT(ISNUMBER($D940))),"",IF($E940&lt;$D$2,"Passé",IF($D940&gt;$F$2,"À venir","Dans la période")))</f>
        <v/>
      </c>
      <c r="I940">
        <f>IF(OR($B940="",NOT(ISNUMBER($D940))),"",IF(AND($E940&lt;$D$2,$G940&lt;&gt;"X",$F940&lt;&gt;"Réalisé",$F940&lt;&gt;"Clôturé"),"RETARD",""))</f>
        <v/>
      </c>
      <c r="J940" s="29">
        <f>IF($B940="","",IF(INDEX(Dossiers!$F$4:$F$63,18)="","",INDEX(Dossiers!$F$4:$F$63,18)))</f>
        <v/>
      </c>
      <c r="K940" s="29">
        <f>IF($B940="","",IF(INDEX(Dossiers!$G$4:$G$63,18)="","",INDEX(Dossiers!$G$4:$G$63,18)))</f>
        <v/>
      </c>
    </row>
    <row r="941">
      <c r="A941">
        <f>IF($B941="","",INDEX(Dossiers!$E$4:$E$63,18))</f>
        <v/>
      </c>
      <c r="B941">
        <f>IF(INDEX(Suivi!$B:$B,959)="","",INDEX(Suivi!$B:$B,959))</f>
        <v/>
      </c>
      <c r="C941">
        <f>IF($B941="","",IF(INDEX(Suivi!$D:$D,959)="",INDEX(Suivi!$C:$C,959),INDEX(Suivi!$D:$D,959)))</f>
        <v/>
      </c>
      <c r="D941" s="29">
        <f>IF($B941="","",INDEX(Suivi!$E:$E,959))</f>
        <v/>
      </c>
      <c r="E941" s="29">
        <f>IF($B941="","",INDEX(Suivi!$F:$F,959))</f>
        <v/>
      </c>
      <c r="F941">
        <f>IF($B941="","",INDEX(Suivi!$G:$G,959))</f>
        <v/>
      </c>
      <c r="H941">
        <f>IF(OR($B941="",NOT(ISNUMBER($D941))),"",IF($E941&lt;$D$2,"Passé",IF($D941&gt;$F$2,"À venir","Dans la période")))</f>
        <v/>
      </c>
      <c r="I941">
        <f>IF(OR($B941="",NOT(ISNUMBER($D941))),"",IF(AND($E941&lt;$D$2,$G941&lt;&gt;"X",$F941&lt;&gt;"Réalisé",$F941&lt;&gt;"Clôturé"),"RETARD",""))</f>
        <v/>
      </c>
      <c r="J941" s="29">
        <f>IF($B941="","",IF(INDEX(Dossiers!$F$4:$F$63,18)="","",INDEX(Dossiers!$F$4:$F$63,18)))</f>
        <v/>
      </c>
      <c r="K941" s="29">
        <f>IF($B941="","",IF(INDEX(Dossiers!$G$4:$G$63,18)="","",INDEX(Dossiers!$G$4:$G$63,18)))</f>
        <v/>
      </c>
    </row>
    <row r="942">
      <c r="A942">
        <f>IF($B942="","",INDEX(Dossiers!$E$4:$E$63,18))</f>
        <v/>
      </c>
      <c r="B942">
        <f>IF(INDEX(Suivi!$B:$B,960)="","",INDEX(Suivi!$B:$B,960))</f>
        <v/>
      </c>
      <c r="C942">
        <f>IF($B942="","",IF(INDEX(Suivi!$D:$D,960)="",INDEX(Suivi!$C:$C,960),INDEX(Suivi!$D:$D,960)))</f>
        <v/>
      </c>
      <c r="D942" s="29">
        <f>IF($B942="","",INDEX(Suivi!$E:$E,960))</f>
        <v/>
      </c>
      <c r="E942" s="29">
        <f>IF($B942="","",INDEX(Suivi!$F:$F,960))</f>
        <v/>
      </c>
      <c r="F942">
        <f>IF($B942="","",INDEX(Suivi!$G:$G,960))</f>
        <v/>
      </c>
      <c r="H942">
        <f>IF(OR($B942="",NOT(ISNUMBER($D942))),"",IF($E942&lt;$D$2,"Passé",IF($D942&gt;$F$2,"À venir","Dans la période")))</f>
        <v/>
      </c>
      <c r="I942">
        <f>IF(OR($B942="",NOT(ISNUMBER($D942))),"",IF(AND($E942&lt;$D$2,$G942&lt;&gt;"X",$F942&lt;&gt;"Réalisé",$F942&lt;&gt;"Clôturé"),"RETARD",""))</f>
        <v/>
      </c>
      <c r="J942" s="29">
        <f>IF($B942="","",IF(INDEX(Dossiers!$F$4:$F$63,18)="","",INDEX(Dossiers!$F$4:$F$63,18)))</f>
        <v/>
      </c>
      <c r="K942" s="29">
        <f>IF($B942="","",IF(INDEX(Dossiers!$G$4:$G$63,18)="","",INDEX(Dossiers!$G$4:$G$63,18)))</f>
        <v/>
      </c>
    </row>
    <row r="943">
      <c r="A943">
        <f>IF($B943="","",INDEX(Dossiers!$E$4:$E$63,18))</f>
        <v/>
      </c>
      <c r="B943">
        <f>IF(INDEX(Suivi!$B:$B,961)="","",INDEX(Suivi!$B:$B,961))</f>
        <v/>
      </c>
      <c r="C943">
        <f>IF($B943="","",IF(INDEX(Suivi!$D:$D,961)="",INDEX(Suivi!$C:$C,961),INDEX(Suivi!$D:$D,961)))</f>
        <v/>
      </c>
      <c r="D943" s="29">
        <f>IF($B943="","",INDEX(Suivi!$E:$E,961))</f>
        <v/>
      </c>
      <c r="E943" s="29">
        <f>IF($B943="","",INDEX(Suivi!$F:$F,961))</f>
        <v/>
      </c>
      <c r="F943">
        <f>IF($B943="","",INDEX(Suivi!$G:$G,961))</f>
        <v/>
      </c>
      <c r="H943">
        <f>IF(OR($B943="",NOT(ISNUMBER($D943))),"",IF($E943&lt;$D$2,"Passé",IF($D943&gt;$F$2,"À venir","Dans la période")))</f>
        <v/>
      </c>
      <c r="I943">
        <f>IF(OR($B943="",NOT(ISNUMBER($D943))),"",IF(AND($E943&lt;$D$2,$G943&lt;&gt;"X",$F943&lt;&gt;"Réalisé",$F943&lt;&gt;"Clôturé"),"RETARD",""))</f>
        <v/>
      </c>
      <c r="J943" s="29">
        <f>IF($B943="","",IF(INDEX(Dossiers!$F$4:$F$63,18)="","",INDEX(Dossiers!$F$4:$F$63,18)))</f>
        <v/>
      </c>
      <c r="K943" s="29">
        <f>IF($B943="","",IF(INDEX(Dossiers!$G$4:$G$63,18)="","",INDEX(Dossiers!$G$4:$G$63,18)))</f>
        <v/>
      </c>
    </row>
    <row r="944">
      <c r="A944">
        <f>IF($B944="","",INDEX(Dossiers!$E$4:$E$63,18))</f>
        <v/>
      </c>
      <c r="B944">
        <f>IF(INDEX(Suivi!$B:$B,962)="","",INDEX(Suivi!$B:$B,962))</f>
        <v/>
      </c>
      <c r="C944">
        <f>IF($B944="","",IF(INDEX(Suivi!$D:$D,962)="",INDEX(Suivi!$C:$C,962),INDEX(Suivi!$D:$D,962)))</f>
        <v/>
      </c>
      <c r="D944" s="29">
        <f>IF($B944="","",INDEX(Suivi!$E:$E,962))</f>
        <v/>
      </c>
      <c r="E944" s="29">
        <f>IF($B944="","",INDEX(Suivi!$F:$F,962))</f>
        <v/>
      </c>
      <c r="F944">
        <f>IF($B944="","",INDEX(Suivi!$G:$G,962))</f>
        <v/>
      </c>
      <c r="H944">
        <f>IF(OR($B944="",NOT(ISNUMBER($D944))),"",IF($E944&lt;$D$2,"Passé",IF($D944&gt;$F$2,"À venir","Dans la période")))</f>
        <v/>
      </c>
      <c r="I944">
        <f>IF(OR($B944="",NOT(ISNUMBER($D944))),"",IF(AND($E944&lt;$D$2,$G944&lt;&gt;"X",$F944&lt;&gt;"Réalisé",$F944&lt;&gt;"Clôturé"),"RETARD",""))</f>
        <v/>
      </c>
      <c r="J944" s="29">
        <f>IF($B944="","",IF(INDEX(Dossiers!$F$4:$F$63,18)="","",INDEX(Dossiers!$F$4:$F$63,18)))</f>
        <v/>
      </c>
      <c r="K944" s="29">
        <f>IF($B944="","",IF(INDEX(Dossiers!$G$4:$G$63,18)="","",INDEX(Dossiers!$G$4:$G$63,18)))</f>
        <v/>
      </c>
    </row>
    <row r="945">
      <c r="A945">
        <f>IF($B945="","",INDEX(Dossiers!$E$4:$E$63,18))</f>
        <v/>
      </c>
      <c r="B945">
        <f>IF(INDEX(Suivi!$B:$B,963)="","",INDEX(Suivi!$B:$B,963))</f>
        <v/>
      </c>
      <c r="C945">
        <f>IF($B945="","",IF(INDEX(Suivi!$D:$D,963)="",INDEX(Suivi!$C:$C,963),INDEX(Suivi!$D:$D,963)))</f>
        <v/>
      </c>
      <c r="D945" s="29">
        <f>IF($B945="","",INDEX(Suivi!$E:$E,963))</f>
        <v/>
      </c>
      <c r="E945" s="29">
        <f>IF($B945="","",INDEX(Suivi!$F:$F,963))</f>
        <v/>
      </c>
      <c r="F945">
        <f>IF($B945="","",INDEX(Suivi!$G:$G,963))</f>
        <v/>
      </c>
      <c r="H945">
        <f>IF(OR($B945="",NOT(ISNUMBER($D945))),"",IF($E945&lt;$D$2,"Passé",IF($D945&gt;$F$2,"À venir","Dans la période")))</f>
        <v/>
      </c>
      <c r="I945">
        <f>IF(OR($B945="",NOT(ISNUMBER($D945))),"",IF(AND($E945&lt;$D$2,$G945&lt;&gt;"X",$F945&lt;&gt;"Réalisé",$F945&lt;&gt;"Clôturé"),"RETARD",""))</f>
        <v/>
      </c>
      <c r="J945" s="29">
        <f>IF($B945="","",IF(INDEX(Dossiers!$F$4:$F$63,18)="","",INDEX(Dossiers!$F$4:$F$63,18)))</f>
        <v/>
      </c>
      <c r="K945" s="29">
        <f>IF($B945="","",IF(INDEX(Dossiers!$G$4:$G$63,18)="","",INDEX(Dossiers!$G$4:$G$63,18)))</f>
        <v/>
      </c>
    </row>
    <row r="946">
      <c r="A946">
        <f>IF($B946="","",INDEX(Dossiers!$E$4:$E$63,18))</f>
        <v/>
      </c>
      <c r="B946">
        <f>IF(INDEX(Suivi!$B:$B,964)="","",INDEX(Suivi!$B:$B,964))</f>
        <v/>
      </c>
      <c r="C946">
        <f>IF($B946="","",IF(INDEX(Suivi!$D:$D,964)="",INDEX(Suivi!$C:$C,964),INDEX(Suivi!$D:$D,964)))</f>
        <v/>
      </c>
      <c r="D946" s="29">
        <f>IF($B946="","",INDEX(Suivi!$E:$E,964))</f>
        <v/>
      </c>
      <c r="E946" s="29">
        <f>IF($B946="","",INDEX(Suivi!$F:$F,964))</f>
        <v/>
      </c>
      <c r="F946">
        <f>IF($B946="","",INDEX(Suivi!$G:$G,964))</f>
        <v/>
      </c>
      <c r="H946">
        <f>IF(OR($B946="",NOT(ISNUMBER($D946))),"",IF($E946&lt;$D$2,"Passé",IF($D946&gt;$F$2,"À venir","Dans la période")))</f>
        <v/>
      </c>
      <c r="I946">
        <f>IF(OR($B946="",NOT(ISNUMBER($D946))),"",IF(AND($E946&lt;$D$2,$G946&lt;&gt;"X",$F946&lt;&gt;"Réalisé",$F946&lt;&gt;"Clôturé"),"RETARD",""))</f>
        <v/>
      </c>
      <c r="J946" s="29">
        <f>IF($B946="","",IF(INDEX(Dossiers!$F$4:$F$63,18)="","",INDEX(Dossiers!$F$4:$F$63,18)))</f>
        <v/>
      </c>
      <c r="K946" s="29">
        <f>IF($B946="","",IF(INDEX(Dossiers!$G$4:$G$63,18)="","",INDEX(Dossiers!$G$4:$G$63,18)))</f>
        <v/>
      </c>
    </row>
    <row r="947">
      <c r="A947">
        <f>IF($B947="","",INDEX(Dossiers!$E$4:$E$63,18))</f>
        <v/>
      </c>
      <c r="B947">
        <f>IF(INDEX(Suivi!$B:$B,965)="","",INDEX(Suivi!$B:$B,965))</f>
        <v/>
      </c>
      <c r="C947">
        <f>IF($B947="","",IF(INDEX(Suivi!$D:$D,965)="",INDEX(Suivi!$C:$C,965),INDEX(Suivi!$D:$D,965)))</f>
        <v/>
      </c>
      <c r="D947" s="29">
        <f>IF($B947="","",INDEX(Suivi!$E:$E,965))</f>
        <v/>
      </c>
      <c r="E947" s="29">
        <f>IF($B947="","",INDEX(Suivi!$F:$F,965))</f>
        <v/>
      </c>
      <c r="F947">
        <f>IF($B947="","",INDEX(Suivi!$G:$G,965))</f>
        <v/>
      </c>
      <c r="H947">
        <f>IF(OR($B947="",NOT(ISNUMBER($D947))),"",IF($E947&lt;$D$2,"Passé",IF($D947&gt;$F$2,"À venir","Dans la période")))</f>
        <v/>
      </c>
      <c r="I947">
        <f>IF(OR($B947="",NOT(ISNUMBER($D947))),"",IF(AND($E947&lt;$D$2,$G947&lt;&gt;"X",$F947&lt;&gt;"Réalisé",$F947&lt;&gt;"Clôturé"),"RETARD",""))</f>
        <v/>
      </c>
      <c r="J947" s="29">
        <f>IF($B947="","",IF(INDEX(Dossiers!$F$4:$F$63,18)="","",INDEX(Dossiers!$F$4:$F$63,18)))</f>
        <v/>
      </c>
      <c r="K947" s="29">
        <f>IF($B947="","",IF(INDEX(Dossiers!$G$4:$G$63,18)="","",INDEX(Dossiers!$G$4:$G$63,18)))</f>
        <v/>
      </c>
    </row>
    <row r="948">
      <c r="A948">
        <f>IF($B948="","",INDEX(Dossiers!$E$4:$E$63,18))</f>
        <v/>
      </c>
      <c r="B948">
        <f>IF(INDEX(Suivi!$B:$B,966)="","",INDEX(Suivi!$B:$B,966))</f>
        <v/>
      </c>
      <c r="C948">
        <f>IF($B948="","",IF(INDEX(Suivi!$D:$D,966)="",INDEX(Suivi!$C:$C,966),INDEX(Suivi!$D:$D,966)))</f>
        <v/>
      </c>
      <c r="D948" s="29">
        <f>IF($B948="","",INDEX(Suivi!$E:$E,966))</f>
        <v/>
      </c>
      <c r="E948" s="29">
        <f>IF($B948="","",INDEX(Suivi!$F:$F,966))</f>
        <v/>
      </c>
      <c r="F948">
        <f>IF($B948="","",INDEX(Suivi!$G:$G,966))</f>
        <v/>
      </c>
      <c r="H948">
        <f>IF(OR($B948="",NOT(ISNUMBER($D948))),"",IF($E948&lt;$D$2,"Passé",IF($D948&gt;$F$2,"À venir","Dans la période")))</f>
        <v/>
      </c>
      <c r="I948">
        <f>IF(OR($B948="",NOT(ISNUMBER($D948))),"",IF(AND($E948&lt;$D$2,$G948&lt;&gt;"X",$F948&lt;&gt;"Réalisé",$F948&lt;&gt;"Clôturé"),"RETARD",""))</f>
        <v/>
      </c>
      <c r="J948" s="29">
        <f>IF($B948="","",IF(INDEX(Dossiers!$F$4:$F$63,18)="","",INDEX(Dossiers!$F$4:$F$63,18)))</f>
        <v/>
      </c>
      <c r="K948" s="29">
        <f>IF($B948="","",IF(INDEX(Dossiers!$G$4:$G$63,18)="","",INDEX(Dossiers!$G$4:$G$63,18)))</f>
        <v/>
      </c>
    </row>
    <row r="949">
      <c r="A949">
        <f>IF($B949="","",INDEX(Dossiers!$E$4:$E$63,18))</f>
        <v/>
      </c>
      <c r="B949">
        <f>IF(INDEX(Suivi!$B:$B,967)="","",INDEX(Suivi!$B:$B,967))</f>
        <v/>
      </c>
      <c r="C949">
        <f>IF($B949="","",IF(INDEX(Suivi!$D:$D,967)="",INDEX(Suivi!$C:$C,967),INDEX(Suivi!$D:$D,967)))</f>
        <v/>
      </c>
      <c r="D949" s="29">
        <f>IF($B949="","",INDEX(Suivi!$E:$E,967))</f>
        <v/>
      </c>
      <c r="E949" s="29">
        <f>IF($B949="","",INDEX(Suivi!$F:$F,967))</f>
        <v/>
      </c>
      <c r="F949">
        <f>IF($B949="","",INDEX(Suivi!$G:$G,967))</f>
        <v/>
      </c>
      <c r="H949">
        <f>IF(OR($B949="",NOT(ISNUMBER($D949))),"",IF($E949&lt;$D$2,"Passé",IF($D949&gt;$F$2,"À venir","Dans la période")))</f>
        <v/>
      </c>
      <c r="I949">
        <f>IF(OR($B949="",NOT(ISNUMBER($D949))),"",IF(AND($E949&lt;$D$2,$G949&lt;&gt;"X",$F949&lt;&gt;"Réalisé",$F949&lt;&gt;"Clôturé"),"RETARD",""))</f>
        <v/>
      </c>
      <c r="J949" s="29">
        <f>IF($B949="","",IF(INDEX(Dossiers!$F$4:$F$63,18)="","",INDEX(Dossiers!$F$4:$F$63,18)))</f>
        <v/>
      </c>
      <c r="K949" s="29">
        <f>IF($B949="","",IF(INDEX(Dossiers!$G$4:$G$63,18)="","",INDEX(Dossiers!$G$4:$G$63,18)))</f>
        <v/>
      </c>
    </row>
    <row r="950">
      <c r="A950">
        <f>IF($B950="","",INDEX(Dossiers!$E$4:$E$63,18))</f>
        <v/>
      </c>
      <c r="B950">
        <f>IF(INDEX(Suivi!$B:$B,968)="","",INDEX(Suivi!$B:$B,968))</f>
        <v/>
      </c>
      <c r="C950">
        <f>IF($B950="","",IF(INDEX(Suivi!$D:$D,968)="",INDEX(Suivi!$C:$C,968),INDEX(Suivi!$D:$D,968)))</f>
        <v/>
      </c>
      <c r="D950" s="29">
        <f>IF($B950="","",INDEX(Suivi!$E:$E,968))</f>
        <v/>
      </c>
      <c r="E950" s="29">
        <f>IF($B950="","",INDEX(Suivi!$F:$F,968))</f>
        <v/>
      </c>
      <c r="F950">
        <f>IF($B950="","",INDEX(Suivi!$G:$G,968))</f>
        <v/>
      </c>
      <c r="H950">
        <f>IF(OR($B950="",NOT(ISNUMBER($D950))),"",IF($E950&lt;$D$2,"Passé",IF($D950&gt;$F$2,"À venir","Dans la période")))</f>
        <v/>
      </c>
      <c r="I950">
        <f>IF(OR($B950="",NOT(ISNUMBER($D950))),"",IF(AND($E950&lt;$D$2,$G950&lt;&gt;"X",$F950&lt;&gt;"Réalisé",$F950&lt;&gt;"Clôturé"),"RETARD",""))</f>
        <v/>
      </c>
      <c r="J950" s="29">
        <f>IF($B950="","",IF(INDEX(Dossiers!$F$4:$F$63,18)="","",INDEX(Dossiers!$F$4:$F$63,18)))</f>
        <v/>
      </c>
      <c r="K950" s="29">
        <f>IF($B950="","",IF(INDEX(Dossiers!$G$4:$G$63,18)="","",INDEX(Dossiers!$G$4:$G$63,18)))</f>
        <v/>
      </c>
    </row>
    <row r="951">
      <c r="A951">
        <f>IF($B951="","",INDEX(Dossiers!$E$4:$E$63,18))</f>
        <v/>
      </c>
      <c r="B951">
        <f>IF(INDEX(Suivi!$B:$B,969)="","",INDEX(Suivi!$B:$B,969))</f>
        <v/>
      </c>
      <c r="C951">
        <f>IF($B951="","",IF(INDEX(Suivi!$D:$D,969)="",INDEX(Suivi!$C:$C,969),INDEX(Suivi!$D:$D,969)))</f>
        <v/>
      </c>
      <c r="D951" s="29">
        <f>IF($B951="","",INDEX(Suivi!$E:$E,969))</f>
        <v/>
      </c>
      <c r="E951" s="29">
        <f>IF($B951="","",INDEX(Suivi!$F:$F,969))</f>
        <v/>
      </c>
      <c r="F951">
        <f>IF($B951="","",INDEX(Suivi!$G:$G,969))</f>
        <v/>
      </c>
      <c r="H951">
        <f>IF(OR($B951="",NOT(ISNUMBER($D951))),"",IF($E951&lt;$D$2,"Passé",IF($D951&gt;$F$2,"À venir","Dans la période")))</f>
        <v/>
      </c>
      <c r="I951">
        <f>IF(OR($B951="",NOT(ISNUMBER($D951))),"",IF(AND($E951&lt;$D$2,$G951&lt;&gt;"X",$F951&lt;&gt;"Réalisé",$F951&lt;&gt;"Clôturé"),"RETARD",""))</f>
        <v/>
      </c>
      <c r="J951" s="29">
        <f>IF($B951="","",IF(INDEX(Dossiers!$F$4:$F$63,18)="","",INDEX(Dossiers!$F$4:$F$63,18)))</f>
        <v/>
      </c>
      <c r="K951" s="29">
        <f>IF($B951="","",IF(INDEX(Dossiers!$G$4:$G$63,18)="","",INDEX(Dossiers!$G$4:$G$63,18)))</f>
        <v/>
      </c>
    </row>
    <row r="952">
      <c r="A952">
        <f>IF($B952="","",INDEX(Dossiers!$E$4:$E$63,18))</f>
        <v/>
      </c>
      <c r="B952">
        <f>IF(INDEX(Suivi!$B:$B,970)="","",INDEX(Suivi!$B:$B,970))</f>
        <v/>
      </c>
      <c r="C952">
        <f>IF($B952="","",IF(INDEX(Suivi!$D:$D,970)="",INDEX(Suivi!$C:$C,970),INDEX(Suivi!$D:$D,970)))</f>
        <v/>
      </c>
      <c r="D952" s="29">
        <f>IF($B952="","",INDEX(Suivi!$E:$E,970))</f>
        <v/>
      </c>
      <c r="E952" s="29">
        <f>IF($B952="","",INDEX(Suivi!$F:$F,970))</f>
        <v/>
      </c>
      <c r="F952">
        <f>IF($B952="","",INDEX(Suivi!$G:$G,970))</f>
        <v/>
      </c>
      <c r="H952">
        <f>IF(OR($B952="",NOT(ISNUMBER($D952))),"",IF($E952&lt;$D$2,"Passé",IF($D952&gt;$F$2,"À venir","Dans la période")))</f>
        <v/>
      </c>
      <c r="I952">
        <f>IF(OR($B952="",NOT(ISNUMBER($D952))),"",IF(AND($E952&lt;$D$2,$G952&lt;&gt;"X",$F952&lt;&gt;"Réalisé",$F952&lt;&gt;"Clôturé"),"RETARD",""))</f>
        <v/>
      </c>
      <c r="J952" s="29">
        <f>IF($B952="","",IF(INDEX(Dossiers!$F$4:$F$63,18)="","",INDEX(Dossiers!$F$4:$F$63,18)))</f>
        <v/>
      </c>
      <c r="K952" s="29">
        <f>IF($B952="","",IF(INDEX(Dossiers!$G$4:$G$63,18)="","",INDEX(Dossiers!$G$4:$G$63,18)))</f>
        <v/>
      </c>
    </row>
    <row r="953">
      <c r="A953">
        <f>IF($B953="","",INDEX(Dossiers!$E$4:$E$63,18))</f>
        <v/>
      </c>
      <c r="B953">
        <f>IF(INDEX(Suivi!$B:$B,971)="","",INDEX(Suivi!$B:$B,971))</f>
        <v/>
      </c>
      <c r="C953">
        <f>IF($B953="","",IF(INDEX(Suivi!$D:$D,971)="",INDEX(Suivi!$C:$C,971),INDEX(Suivi!$D:$D,971)))</f>
        <v/>
      </c>
      <c r="D953" s="29">
        <f>IF($B953="","",INDEX(Suivi!$E:$E,971))</f>
        <v/>
      </c>
      <c r="E953" s="29">
        <f>IF($B953="","",INDEX(Suivi!$F:$F,971))</f>
        <v/>
      </c>
      <c r="F953">
        <f>IF($B953="","",INDEX(Suivi!$G:$G,971))</f>
        <v/>
      </c>
      <c r="H953">
        <f>IF(OR($B953="",NOT(ISNUMBER($D953))),"",IF($E953&lt;$D$2,"Passé",IF($D953&gt;$F$2,"À venir","Dans la période")))</f>
        <v/>
      </c>
      <c r="I953">
        <f>IF(OR($B953="",NOT(ISNUMBER($D953))),"",IF(AND($E953&lt;$D$2,$G953&lt;&gt;"X",$F953&lt;&gt;"Réalisé",$F953&lt;&gt;"Clôturé"),"RETARD",""))</f>
        <v/>
      </c>
      <c r="J953" s="29">
        <f>IF($B953="","",IF(INDEX(Dossiers!$F$4:$F$63,18)="","",INDEX(Dossiers!$F$4:$F$63,18)))</f>
        <v/>
      </c>
      <c r="K953" s="29">
        <f>IF($B953="","",IF(INDEX(Dossiers!$G$4:$G$63,18)="","",INDEX(Dossiers!$G$4:$G$63,18)))</f>
        <v/>
      </c>
    </row>
    <row r="954">
      <c r="A954">
        <f>IF($B954="","",INDEX(Dossiers!$E$4:$E$63,18))</f>
        <v/>
      </c>
      <c r="B954">
        <f>IF(INDEX(Suivi!$B:$B,972)="","",INDEX(Suivi!$B:$B,972))</f>
        <v/>
      </c>
      <c r="C954">
        <f>IF($B954="","",IF(INDEX(Suivi!$D:$D,972)="",INDEX(Suivi!$C:$C,972),INDEX(Suivi!$D:$D,972)))</f>
        <v/>
      </c>
      <c r="D954" s="29">
        <f>IF($B954="","",INDEX(Suivi!$E:$E,972))</f>
        <v/>
      </c>
      <c r="E954" s="29">
        <f>IF($B954="","",INDEX(Suivi!$F:$F,972))</f>
        <v/>
      </c>
      <c r="F954">
        <f>IF($B954="","",INDEX(Suivi!$G:$G,972))</f>
        <v/>
      </c>
      <c r="H954">
        <f>IF(OR($B954="",NOT(ISNUMBER($D954))),"",IF($E954&lt;$D$2,"Passé",IF($D954&gt;$F$2,"À venir","Dans la période")))</f>
        <v/>
      </c>
      <c r="I954">
        <f>IF(OR($B954="",NOT(ISNUMBER($D954))),"",IF(AND($E954&lt;$D$2,$G954&lt;&gt;"X",$F954&lt;&gt;"Réalisé",$F954&lt;&gt;"Clôturé"),"RETARD",""))</f>
        <v/>
      </c>
      <c r="J954" s="29">
        <f>IF($B954="","",IF(INDEX(Dossiers!$F$4:$F$63,18)="","",INDEX(Dossiers!$F$4:$F$63,18)))</f>
        <v/>
      </c>
      <c r="K954" s="29">
        <f>IF($B954="","",IF(INDEX(Dossiers!$G$4:$G$63,18)="","",INDEX(Dossiers!$G$4:$G$63,18)))</f>
        <v/>
      </c>
    </row>
    <row r="955">
      <c r="A955">
        <f>IF($B955="","",INDEX(Dossiers!$E$4:$E$63,18))</f>
        <v/>
      </c>
      <c r="B955">
        <f>IF(INDEX(Suivi!$B:$B,973)="","",INDEX(Suivi!$B:$B,973))</f>
        <v/>
      </c>
      <c r="C955">
        <f>IF($B955="","",IF(INDEX(Suivi!$D:$D,973)="",INDEX(Suivi!$C:$C,973),INDEX(Suivi!$D:$D,973)))</f>
        <v/>
      </c>
      <c r="D955" s="29">
        <f>IF($B955="","",INDEX(Suivi!$E:$E,973))</f>
        <v/>
      </c>
      <c r="E955" s="29">
        <f>IF($B955="","",INDEX(Suivi!$F:$F,973))</f>
        <v/>
      </c>
      <c r="F955">
        <f>IF($B955="","",INDEX(Suivi!$G:$G,973))</f>
        <v/>
      </c>
      <c r="H955">
        <f>IF(OR($B955="",NOT(ISNUMBER($D955))),"",IF($E955&lt;$D$2,"Passé",IF($D955&gt;$F$2,"À venir","Dans la période")))</f>
        <v/>
      </c>
      <c r="I955">
        <f>IF(OR($B955="",NOT(ISNUMBER($D955))),"",IF(AND($E955&lt;$D$2,$G955&lt;&gt;"X",$F955&lt;&gt;"Réalisé",$F955&lt;&gt;"Clôturé"),"RETARD",""))</f>
        <v/>
      </c>
      <c r="J955" s="29">
        <f>IF($B955="","",IF(INDEX(Dossiers!$F$4:$F$63,18)="","",INDEX(Dossiers!$F$4:$F$63,18)))</f>
        <v/>
      </c>
      <c r="K955" s="29">
        <f>IF($B955="","",IF(INDEX(Dossiers!$G$4:$G$63,18)="","",INDEX(Dossiers!$G$4:$G$63,18)))</f>
        <v/>
      </c>
    </row>
    <row r="956">
      <c r="A956">
        <f>IF($B956="","",INDEX(Dossiers!$E$4:$E$63,18))</f>
        <v/>
      </c>
      <c r="B956">
        <f>IF(INDEX(Suivi!$B:$B,974)="","",INDEX(Suivi!$B:$B,974))</f>
        <v/>
      </c>
      <c r="C956">
        <f>IF($B956="","",IF(INDEX(Suivi!$D:$D,974)="",INDEX(Suivi!$C:$C,974),INDEX(Suivi!$D:$D,974)))</f>
        <v/>
      </c>
      <c r="D956" s="29">
        <f>IF($B956="","",INDEX(Suivi!$E:$E,974))</f>
        <v/>
      </c>
      <c r="E956" s="29">
        <f>IF($B956="","",INDEX(Suivi!$F:$F,974))</f>
        <v/>
      </c>
      <c r="F956">
        <f>IF($B956="","",INDEX(Suivi!$G:$G,974))</f>
        <v/>
      </c>
      <c r="H956">
        <f>IF(OR($B956="",NOT(ISNUMBER($D956))),"",IF($E956&lt;$D$2,"Passé",IF($D956&gt;$F$2,"À venir","Dans la période")))</f>
        <v/>
      </c>
      <c r="I956">
        <f>IF(OR($B956="",NOT(ISNUMBER($D956))),"",IF(AND($E956&lt;$D$2,$G956&lt;&gt;"X",$F956&lt;&gt;"Réalisé",$F956&lt;&gt;"Clôturé"),"RETARD",""))</f>
        <v/>
      </c>
      <c r="J956" s="29">
        <f>IF($B956="","",IF(INDEX(Dossiers!$F$4:$F$63,18)="","",INDEX(Dossiers!$F$4:$F$63,18)))</f>
        <v/>
      </c>
      <c r="K956" s="29">
        <f>IF($B956="","",IF(INDEX(Dossiers!$G$4:$G$63,18)="","",INDEX(Dossiers!$G$4:$G$63,18)))</f>
        <v/>
      </c>
    </row>
    <row r="957">
      <c r="A957">
        <f>IF($B957="","",INDEX(Dossiers!$E$4:$E$63,18))</f>
        <v/>
      </c>
      <c r="B957">
        <f>IF(INDEX(Suivi!$B:$B,975)="","",INDEX(Suivi!$B:$B,975))</f>
        <v/>
      </c>
      <c r="C957">
        <f>IF($B957="","",IF(INDEX(Suivi!$D:$D,975)="",INDEX(Suivi!$C:$C,975),INDEX(Suivi!$D:$D,975)))</f>
        <v/>
      </c>
      <c r="D957" s="29">
        <f>IF($B957="","",INDEX(Suivi!$E:$E,975))</f>
        <v/>
      </c>
      <c r="E957" s="29">
        <f>IF($B957="","",INDEX(Suivi!$F:$F,975))</f>
        <v/>
      </c>
      <c r="F957">
        <f>IF($B957="","",INDEX(Suivi!$G:$G,975))</f>
        <v/>
      </c>
      <c r="H957">
        <f>IF(OR($B957="",NOT(ISNUMBER($D957))),"",IF($E957&lt;$D$2,"Passé",IF($D957&gt;$F$2,"À venir","Dans la période")))</f>
        <v/>
      </c>
      <c r="I957">
        <f>IF(OR($B957="",NOT(ISNUMBER($D957))),"",IF(AND($E957&lt;$D$2,$G957&lt;&gt;"X",$F957&lt;&gt;"Réalisé",$F957&lt;&gt;"Clôturé"),"RETARD",""))</f>
        <v/>
      </c>
      <c r="J957" s="29">
        <f>IF($B957="","",IF(INDEX(Dossiers!$F$4:$F$63,18)="","",INDEX(Dossiers!$F$4:$F$63,18)))</f>
        <v/>
      </c>
      <c r="K957" s="29">
        <f>IF($B957="","",IF(INDEX(Dossiers!$G$4:$G$63,18)="","",INDEX(Dossiers!$G$4:$G$63,18)))</f>
        <v/>
      </c>
    </row>
    <row r="958">
      <c r="A958">
        <f>IF($B958="","",INDEX(Dossiers!$E$4:$E$63,19))</f>
        <v/>
      </c>
      <c r="B958">
        <f>IF(INDEX(Suivi!$B:$B,977)="","",INDEX(Suivi!$B:$B,977))</f>
        <v/>
      </c>
      <c r="C958">
        <f>IF($B958="","",IF(INDEX(Suivi!$D:$D,977)="",INDEX(Suivi!$C:$C,977),INDEX(Suivi!$D:$D,977)))</f>
        <v/>
      </c>
      <c r="D958" s="29">
        <f>IF($B958="","",INDEX(Suivi!$E:$E,977))</f>
        <v/>
      </c>
      <c r="E958" s="29">
        <f>IF($B958="","",INDEX(Suivi!$F:$F,977))</f>
        <v/>
      </c>
      <c r="F958">
        <f>IF($B958="","",INDEX(Suivi!$G:$G,977))</f>
        <v/>
      </c>
      <c r="H958">
        <f>IF(OR($B958="",NOT(ISNUMBER($D958))),"",IF($E958&lt;$D$2,"Passé",IF($D958&gt;$F$2,"À venir","Dans la période")))</f>
        <v/>
      </c>
      <c r="I958">
        <f>IF(OR($B958="",NOT(ISNUMBER($D958))),"",IF(AND($E958&lt;$D$2,$G958&lt;&gt;"X",$F958&lt;&gt;"Réalisé",$F958&lt;&gt;"Clôturé"),"RETARD",""))</f>
        <v/>
      </c>
      <c r="J958" s="29">
        <f>IF($B958="","",IF(INDEX(Dossiers!$F$4:$F$63,19)="","",INDEX(Dossiers!$F$4:$F$63,19)))</f>
        <v/>
      </c>
      <c r="K958" s="29">
        <f>IF($B958="","",IF(INDEX(Dossiers!$G$4:$G$63,19)="","",INDEX(Dossiers!$G$4:$G$63,19)))</f>
        <v/>
      </c>
    </row>
    <row r="959">
      <c r="A959">
        <f>IF($B959="","",INDEX(Dossiers!$E$4:$E$63,19))</f>
        <v/>
      </c>
      <c r="B959">
        <f>IF(INDEX(Suivi!$B:$B,978)="","",INDEX(Suivi!$B:$B,978))</f>
        <v/>
      </c>
      <c r="C959">
        <f>IF($B959="","",IF(INDEX(Suivi!$D:$D,978)="",INDEX(Suivi!$C:$C,978),INDEX(Suivi!$D:$D,978)))</f>
        <v/>
      </c>
      <c r="D959" s="29">
        <f>IF($B959="","",INDEX(Suivi!$E:$E,978))</f>
        <v/>
      </c>
      <c r="E959" s="29">
        <f>IF($B959="","",INDEX(Suivi!$F:$F,978))</f>
        <v/>
      </c>
      <c r="F959">
        <f>IF($B959="","",INDEX(Suivi!$G:$G,978))</f>
        <v/>
      </c>
      <c r="H959">
        <f>IF(OR($B959="",NOT(ISNUMBER($D959))),"",IF($E959&lt;$D$2,"Passé",IF($D959&gt;$F$2,"À venir","Dans la période")))</f>
        <v/>
      </c>
      <c r="I959">
        <f>IF(OR($B959="",NOT(ISNUMBER($D959))),"",IF(AND($E959&lt;$D$2,$G959&lt;&gt;"X",$F959&lt;&gt;"Réalisé",$F959&lt;&gt;"Clôturé"),"RETARD",""))</f>
        <v/>
      </c>
      <c r="J959" s="29">
        <f>IF($B959="","",IF(INDEX(Dossiers!$F$4:$F$63,19)="","",INDEX(Dossiers!$F$4:$F$63,19)))</f>
        <v/>
      </c>
      <c r="K959" s="29">
        <f>IF($B959="","",IF(INDEX(Dossiers!$G$4:$G$63,19)="","",INDEX(Dossiers!$G$4:$G$63,19)))</f>
        <v/>
      </c>
    </row>
    <row r="960">
      <c r="A960">
        <f>IF($B960="","",INDEX(Dossiers!$E$4:$E$63,19))</f>
        <v/>
      </c>
      <c r="B960">
        <f>IF(INDEX(Suivi!$B:$B,979)="","",INDEX(Suivi!$B:$B,979))</f>
        <v/>
      </c>
      <c r="C960">
        <f>IF($B960="","",IF(INDEX(Suivi!$D:$D,979)="",INDEX(Suivi!$C:$C,979),INDEX(Suivi!$D:$D,979)))</f>
        <v/>
      </c>
      <c r="D960" s="29">
        <f>IF($B960="","",INDEX(Suivi!$E:$E,979))</f>
        <v/>
      </c>
      <c r="E960" s="29">
        <f>IF($B960="","",INDEX(Suivi!$F:$F,979))</f>
        <v/>
      </c>
      <c r="F960">
        <f>IF($B960="","",INDEX(Suivi!$G:$G,979))</f>
        <v/>
      </c>
      <c r="H960">
        <f>IF(OR($B960="",NOT(ISNUMBER($D960))),"",IF($E960&lt;$D$2,"Passé",IF($D960&gt;$F$2,"À venir","Dans la période")))</f>
        <v/>
      </c>
      <c r="I960">
        <f>IF(OR($B960="",NOT(ISNUMBER($D960))),"",IF(AND($E960&lt;$D$2,$G960&lt;&gt;"X",$F960&lt;&gt;"Réalisé",$F960&lt;&gt;"Clôturé"),"RETARD",""))</f>
        <v/>
      </c>
      <c r="J960" s="29">
        <f>IF($B960="","",IF(INDEX(Dossiers!$F$4:$F$63,19)="","",INDEX(Dossiers!$F$4:$F$63,19)))</f>
        <v/>
      </c>
      <c r="K960" s="29">
        <f>IF($B960="","",IF(INDEX(Dossiers!$G$4:$G$63,19)="","",INDEX(Dossiers!$G$4:$G$63,19)))</f>
        <v/>
      </c>
    </row>
    <row r="961">
      <c r="A961">
        <f>IF($B961="","",INDEX(Dossiers!$E$4:$E$63,19))</f>
        <v/>
      </c>
      <c r="B961">
        <f>IF(INDEX(Suivi!$B:$B,980)="","",INDEX(Suivi!$B:$B,980))</f>
        <v/>
      </c>
      <c r="C961">
        <f>IF($B961="","",IF(INDEX(Suivi!$D:$D,980)="",INDEX(Suivi!$C:$C,980),INDEX(Suivi!$D:$D,980)))</f>
        <v/>
      </c>
      <c r="D961" s="29">
        <f>IF($B961="","",INDEX(Suivi!$E:$E,980))</f>
        <v/>
      </c>
      <c r="E961" s="29">
        <f>IF($B961="","",INDEX(Suivi!$F:$F,980))</f>
        <v/>
      </c>
      <c r="F961">
        <f>IF($B961="","",INDEX(Suivi!$G:$G,980))</f>
        <v/>
      </c>
      <c r="H961">
        <f>IF(OR($B961="",NOT(ISNUMBER($D961))),"",IF($E961&lt;$D$2,"Passé",IF($D961&gt;$F$2,"À venir","Dans la période")))</f>
        <v/>
      </c>
      <c r="I961">
        <f>IF(OR($B961="",NOT(ISNUMBER($D961))),"",IF(AND($E961&lt;$D$2,$G961&lt;&gt;"X",$F961&lt;&gt;"Réalisé",$F961&lt;&gt;"Clôturé"),"RETARD",""))</f>
        <v/>
      </c>
      <c r="J961" s="29">
        <f>IF($B961="","",IF(INDEX(Dossiers!$F$4:$F$63,19)="","",INDEX(Dossiers!$F$4:$F$63,19)))</f>
        <v/>
      </c>
      <c r="K961" s="29">
        <f>IF($B961="","",IF(INDEX(Dossiers!$G$4:$G$63,19)="","",INDEX(Dossiers!$G$4:$G$63,19)))</f>
        <v/>
      </c>
    </row>
    <row r="962">
      <c r="A962">
        <f>IF($B962="","",INDEX(Dossiers!$E$4:$E$63,19))</f>
        <v/>
      </c>
      <c r="B962">
        <f>IF(INDEX(Suivi!$B:$B,981)="","",INDEX(Suivi!$B:$B,981))</f>
        <v/>
      </c>
      <c r="C962">
        <f>IF($B962="","",IF(INDEX(Suivi!$D:$D,981)="",INDEX(Suivi!$C:$C,981),INDEX(Suivi!$D:$D,981)))</f>
        <v/>
      </c>
      <c r="D962" s="29">
        <f>IF($B962="","",INDEX(Suivi!$E:$E,981))</f>
        <v/>
      </c>
      <c r="E962" s="29">
        <f>IF($B962="","",INDEX(Suivi!$F:$F,981))</f>
        <v/>
      </c>
      <c r="F962">
        <f>IF($B962="","",INDEX(Suivi!$G:$G,981))</f>
        <v/>
      </c>
      <c r="H962">
        <f>IF(OR($B962="",NOT(ISNUMBER($D962))),"",IF($E962&lt;$D$2,"Passé",IF($D962&gt;$F$2,"À venir","Dans la période")))</f>
        <v/>
      </c>
      <c r="I962">
        <f>IF(OR($B962="",NOT(ISNUMBER($D962))),"",IF(AND($E962&lt;$D$2,$G962&lt;&gt;"X",$F962&lt;&gt;"Réalisé",$F962&lt;&gt;"Clôturé"),"RETARD",""))</f>
        <v/>
      </c>
      <c r="J962" s="29">
        <f>IF($B962="","",IF(INDEX(Dossiers!$F$4:$F$63,19)="","",INDEX(Dossiers!$F$4:$F$63,19)))</f>
        <v/>
      </c>
      <c r="K962" s="29">
        <f>IF($B962="","",IF(INDEX(Dossiers!$G$4:$G$63,19)="","",INDEX(Dossiers!$G$4:$G$63,19)))</f>
        <v/>
      </c>
    </row>
    <row r="963">
      <c r="A963">
        <f>IF($B963="","",INDEX(Dossiers!$E$4:$E$63,19))</f>
        <v/>
      </c>
      <c r="B963">
        <f>IF(INDEX(Suivi!$B:$B,982)="","",INDEX(Suivi!$B:$B,982))</f>
        <v/>
      </c>
      <c r="C963">
        <f>IF($B963="","",IF(INDEX(Suivi!$D:$D,982)="",INDEX(Suivi!$C:$C,982),INDEX(Suivi!$D:$D,982)))</f>
        <v/>
      </c>
      <c r="D963" s="29">
        <f>IF($B963="","",INDEX(Suivi!$E:$E,982))</f>
        <v/>
      </c>
      <c r="E963" s="29">
        <f>IF($B963="","",INDEX(Suivi!$F:$F,982))</f>
        <v/>
      </c>
      <c r="F963">
        <f>IF($B963="","",INDEX(Suivi!$G:$G,982))</f>
        <v/>
      </c>
      <c r="H963">
        <f>IF(OR($B963="",NOT(ISNUMBER($D963))),"",IF($E963&lt;$D$2,"Passé",IF($D963&gt;$F$2,"À venir","Dans la période")))</f>
        <v/>
      </c>
      <c r="I963">
        <f>IF(OR($B963="",NOT(ISNUMBER($D963))),"",IF(AND($E963&lt;$D$2,$G963&lt;&gt;"X",$F963&lt;&gt;"Réalisé",$F963&lt;&gt;"Clôturé"),"RETARD",""))</f>
        <v/>
      </c>
      <c r="J963" s="29">
        <f>IF($B963="","",IF(INDEX(Dossiers!$F$4:$F$63,19)="","",INDEX(Dossiers!$F$4:$F$63,19)))</f>
        <v/>
      </c>
      <c r="K963" s="29">
        <f>IF($B963="","",IF(INDEX(Dossiers!$G$4:$G$63,19)="","",INDEX(Dossiers!$G$4:$G$63,19)))</f>
        <v/>
      </c>
    </row>
    <row r="964">
      <c r="A964">
        <f>IF($B964="","",INDEX(Dossiers!$E$4:$E$63,19))</f>
        <v/>
      </c>
      <c r="B964">
        <f>IF(INDEX(Suivi!$B:$B,983)="","",INDEX(Suivi!$B:$B,983))</f>
        <v/>
      </c>
      <c r="C964">
        <f>IF($B964="","",IF(INDEX(Suivi!$D:$D,983)="",INDEX(Suivi!$C:$C,983),INDEX(Suivi!$D:$D,983)))</f>
        <v/>
      </c>
      <c r="D964" s="29">
        <f>IF($B964="","",INDEX(Suivi!$E:$E,983))</f>
        <v/>
      </c>
      <c r="E964" s="29">
        <f>IF($B964="","",INDEX(Suivi!$F:$F,983))</f>
        <v/>
      </c>
      <c r="F964">
        <f>IF($B964="","",INDEX(Suivi!$G:$G,983))</f>
        <v/>
      </c>
      <c r="H964">
        <f>IF(OR($B964="",NOT(ISNUMBER($D964))),"",IF($E964&lt;$D$2,"Passé",IF($D964&gt;$F$2,"À venir","Dans la période")))</f>
        <v/>
      </c>
      <c r="I964">
        <f>IF(OR($B964="",NOT(ISNUMBER($D964))),"",IF(AND($E964&lt;$D$2,$G964&lt;&gt;"X",$F964&lt;&gt;"Réalisé",$F964&lt;&gt;"Clôturé"),"RETARD",""))</f>
        <v/>
      </c>
      <c r="J964" s="29">
        <f>IF($B964="","",IF(INDEX(Dossiers!$F$4:$F$63,19)="","",INDEX(Dossiers!$F$4:$F$63,19)))</f>
        <v/>
      </c>
      <c r="K964" s="29">
        <f>IF($B964="","",IF(INDEX(Dossiers!$G$4:$G$63,19)="","",INDEX(Dossiers!$G$4:$G$63,19)))</f>
        <v/>
      </c>
    </row>
    <row r="965">
      <c r="A965">
        <f>IF($B965="","",INDEX(Dossiers!$E$4:$E$63,19))</f>
        <v/>
      </c>
      <c r="B965">
        <f>IF(INDEX(Suivi!$B:$B,984)="","",INDEX(Suivi!$B:$B,984))</f>
        <v/>
      </c>
      <c r="C965">
        <f>IF($B965="","",IF(INDEX(Suivi!$D:$D,984)="",INDEX(Suivi!$C:$C,984),INDEX(Suivi!$D:$D,984)))</f>
        <v/>
      </c>
      <c r="D965" s="29">
        <f>IF($B965="","",INDEX(Suivi!$E:$E,984))</f>
        <v/>
      </c>
      <c r="E965" s="29">
        <f>IF($B965="","",INDEX(Suivi!$F:$F,984))</f>
        <v/>
      </c>
      <c r="F965">
        <f>IF($B965="","",INDEX(Suivi!$G:$G,984))</f>
        <v/>
      </c>
      <c r="H965">
        <f>IF(OR($B965="",NOT(ISNUMBER($D965))),"",IF($E965&lt;$D$2,"Passé",IF($D965&gt;$F$2,"À venir","Dans la période")))</f>
        <v/>
      </c>
      <c r="I965">
        <f>IF(OR($B965="",NOT(ISNUMBER($D965))),"",IF(AND($E965&lt;$D$2,$G965&lt;&gt;"X",$F965&lt;&gt;"Réalisé",$F965&lt;&gt;"Clôturé"),"RETARD",""))</f>
        <v/>
      </c>
      <c r="J965" s="29">
        <f>IF($B965="","",IF(INDEX(Dossiers!$F$4:$F$63,19)="","",INDEX(Dossiers!$F$4:$F$63,19)))</f>
        <v/>
      </c>
      <c r="K965" s="29">
        <f>IF($B965="","",IF(INDEX(Dossiers!$G$4:$G$63,19)="","",INDEX(Dossiers!$G$4:$G$63,19)))</f>
        <v/>
      </c>
    </row>
    <row r="966">
      <c r="A966">
        <f>IF($B966="","",INDEX(Dossiers!$E$4:$E$63,19))</f>
        <v/>
      </c>
      <c r="B966">
        <f>IF(INDEX(Suivi!$B:$B,985)="","",INDEX(Suivi!$B:$B,985))</f>
        <v/>
      </c>
      <c r="C966">
        <f>IF($B966="","",IF(INDEX(Suivi!$D:$D,985)="",INDEX(Suivi!$C:$C,985),INDEX(Suivi!$D:$D,985)))</f>
        <v/>
      </c>
      <c r="D966" s="29">
        <f>IF($B966="","",INDEX(Suivi!$E:$E,985))</f>
        <v/>
      </c>
      <c r="E966" s="29">
        <f>IF($B966="","",INDEX(Suivi!$F:$F,985))</f>
        <v/>
      </c>
      <c r="F966">
        <f>IF($B966="","",INDEX(Suivi!$G:$G,985))</f>
        <v/>
      </c>
      <c r="H966">
        <f>IF(OR($B966="",NOT(ISNUMBER($D966))),"",IF($E966&lt;$D$2,"Passé",IF($D966&gt;$F$2,"À venir","Dans la période")))</f>
        <v/>
      </c>
      <c r="I966">
        <f>IF(OR($B966="",NOT(ISNUMBER($D966))),"",IF(AND($E966&lt;$D$2,$G966&lt;&gt;"X",$F966&lt;&gt;"Réalisé",$F966&lt;&gt;"Clôturé"),"RETARD",""))</f>
        <v/>
      </c>
      <c r="J966" s="29">
        <f>IF($B966="","",IF(INDEX(Dossiers!$F$4:$F$63,19)="","",INDEX(Dossiers!$F$4:$F$63,19)))</f>
        <v/>
      </c>
      <c r="K966" s="29">
        <f>IF($B966="","",IF(INDEX(Dossiers!$G$4:$G$63,19)="","",INDEX(Dossiers!$G$4:$G$63,19)))</f>
        <v/>
      </c>
    </row>
    <row r="967">
      <c r="A967">
        <f>IF($B967="","",INDEX(Dossiers!$E$4:$E$63,19))</f>
        <v/>
      </c>
      <c r="B967">
        <f>IF(INDEX(Suivi!$B:$B,986)="","",INDEX(Suivi!$B:$B,986))</f>
        <v/>
      </c>
      <c r="C967">
        <f>IF($B967="","",IF(INDEX(Suivi!$D:$D,986)="",INDEX(Suivi!$C:$C,986),INDEX(Suivi!$D:$D,986)))</f>
        <v/>
      </c>
      <c r="D967" s="29">
        <f>IF($B967="","",INDEX(Suivi!$E:$E,986))</f>
        <v/>
      </c>
      <c r="E967" s="29">
        <f>IF($B967="","",INDEX(Suivi!$F:$F,986))</f>
        <v/>
      </c>
      <c r="F967">
        <f>IF($B967="","",INDEX(Suivi!$G:$G,986))</f>
        <v/>
      </c>
      <c r="H967">
        <f>IF(OR($B967="",NOT(ISNUMBER($D967))),"",IF($E967&lt;$D$2,"Passé",IF($D967&gt;$F$2,"À venir","Dans la période")))</f>
        <v/>
      </c>
      <c r="I967">
        <f>IF(OR($B967="",NOT(ISNUMBER($D967))),"",IF(AND($E967&lt;$D$2,$G967&lt;&gt;"X",$F967&lt;&gt;"Réalisé",$F967&lt;&gt;"Clôturé"),"RETARD",""))</f>
        <v/>
      </c>
      <c r="J967" s="29">
        <f>IF($B967="","",IF(INDEX(Dossiers!$F$4:$F$63,19)="","",INDEX(Dossiers!$F$4:$F$63,19)))</f>
        <v/>
      </c>
      <c r="K967" s="29">
        <f>IF($B967="","",IF(INDEX(Dossiers!$G$4:$G$63,19)="","",INDEX(Dossiers!$G$4:$G$63,19)))</f>
        <v/>
      </c>
    </row>
    <row r="968">
      <c r="A968">
        <f>IF($B968="","",INDEX(Dossiers!$E$4:$E$63,19))</f>
        <v/>
      </c>
      <c r="B968">
        <f>IF(INDEX(Suivi!$B:$B,987)="","",INDEX(Suivi!$B:$B,987))</f>
        <v/>
      </c>
      <c r="C968">
        <f>IF($B968="","",IF(INDEX(Suivi!$D:$D,987)="",INDEX(Suivi!$C:$C,987),INDEX(Suivi!$D:$D,987)))</f>
        <v/>
      </c>
      <c r="D968" s="29">
        <f>IF($B968="","",INDEX(Suivi!$E:$E,987))</f>
        <v/>
      </c>
      <c r="E968" s="29">
        <f>IF($B968="","",INDEX(Suivi!$F:$F,987))</f>
        <v/>
      </c>
      <c r="F968">
        <f>IF($B968="","",INDEX(Suivi!$G:$G,987))</f>
        <v/>
      </c>
      <c r="H968">
        <f>IF(OR($B968="",NOT(ISNUMBER($D968))),"",IF($E968&lt;$D$2,"Passé",IF($D968&gt;$F$2,"À venir","Dans la période")))</f>
        <v/>
      </c>
      <c r="I968">
        <f>IF(OR($B968="",NOT(ISNUMBER($D968))),"",IF(AND($E968&lt;$D$2,$G968&lt;&gt;"X",$F968&lt;&gt;"Réalisé",$F968&lt;&gt;"Clôturé"),"RETARD",""))</f>
        <v/>
      </c>
      <c r="J968" s="29">
        <f>IF($B968="","",IF(INDEX(Dossiers!$F$4:$F$63,19)="","",INDEX(Dossiers!$F$4:$F$63,19)))</f>
        <v/>
      </c>
      <c r="K968" s="29">
        <f>IF($B968="","",IF(INDEX(Dossiers!$G$4:$G$63,19)="","",INDEX(Dossiers!$G$4:$G$63,19)))</f>
        <v/>
      </c>
    </row>
    <row r="969">
      <c r="A969">
        <f>IF($B969="","",INDEX(Dossiers!$E$4:$E$63,19))</f>
        <v/>
      </c>
      <c r="B969">
        <f>IF(INDEX(Suivi!$B:$B,988)="","",INDEX(Suivi!$B:$B,988))</f>
        <v/>
      </c>
      <c r="C969">
        <f>IF($B969="","",IF(INDEX(Suivi!$D:$D,988)="",INDEX(Suivi!$C:$C,988),INDEX(Suivi!$D:$D,988)))</f>
        <v/>
      </c>
      <c r="D969" s="29">
        <f>IF($B969="","",INDEX(Suivi!$E:$E,988))</f>
        <v/>
      </c>
      <c r="E969" s="29">
        <f>IF($B969="","",INDEX(Suivi!$F:$F,988))</f>
        <v/>
      </c>
      <c r="F969">
        <f>IF($B969="","",INDEX(Suivi!$G:$G,988))</f>
        <v/>
      </c>
      <c r="H969">
        <f>IF(OR($B969="",NOT(ISNUMBER($D969))),"",IF($E969&lt;$D$2,"Passé",IF($D969&gt;$F$2,"À venir","Dans la période")))</f>
        <v/>
      </c>
      <c r="I969">
        <f>IF(OR($B969="",NOT(ISNUMBER($D969))),"",IF(AND($E969&lt;$D$2,$G969&lt;&gt;"X",$F969&lt;&gt;"Réalisé",$F969&lt;&gt;"Clôturé"),"RETARD",""))</f>
        <v/>
      </c>
      <c r="J969" s="29">
        <f>IF($B969="","",IF(INDEX(Dossiers!$F$4:$F$63,19)="","",INDEX(Dossiers!$F$4:$F$63,19)))</f>
        <v/>
      </c>
      <c r="K969" s="29">
        <f>IF($B969="","",IF(INDEX(Dossiers!$G$4:$G$63,19)="","",INDEX(Dossiers!$G$4:$G$63,19)))</f>
        <v/>
      </c>
    </row>
    <row r="970">
      <c r="A970">
        <f>IF($B970="","",INDEX(Dossiers!$E$4:$E$63,19))</f>
        <v/>
      </c>
      <c r="B970">
        <f>IF(INDEX(Suivi!$B:$B,989)="","",INDEX(Suivi!$B:$B,989))</f>
        <v/>
      </c>
      <c r="C970">
        <f>IF($B970="","",IF(INDEX(Suivi!$D:$D,989)="",INDEX(Suivi!$C:$C,989),INDEX(Suivi!$D:$D,989)))</f>
        <v/>
      </c>
      <c r="D970" s="29">
        <f>IF($B970="","",INDEX(Suivi!$E:$E,989))</f>
        <v/>
      </c>
      <c r="E970" s="29">
        <f>IF($B970="","",INDEX(Suivi!$F:$F,989))</f>
        <v/>
      </c>
      <c r="F970">
        <f>IF($B970="","",INDEX(Suivi!$G:$G,989))</f>
        <v/>
      </c>
      <c r="H970">
        <f>IF(OR($B970="",NOT(ISNUMBER($D970))),"",IF($E970&lt;$D$2,"Passé",IF($D970&gt;$F$2,"À venir","Dans la période")))</f>
        <v/>
      </c>
      <c r="I970">
        <f>IF(OR($B970="",NOT(ISNUMBER($D970))),"",IF(AND($E970&lt;$D$2,$G970&lt;&gt;"X",$F970&lt;&gt;"Réalisé",$F970&lt;&gt;"Clôturé"),"RETARD",""))</f>
        <v/>
      </c>
      <c r="J970" s="29">
        <f>IF($B970="","",IF(INDEX(Dossiers!$F$4:$F$63,19)="","",INDEX(Dossiers!$F$4:$F$63,19)))</f>
        <v/>
      </c>
      <c r="K970" s="29">
        <f>IF($B970="","",IF(INDEX(Dossiers!$G$4:$G$63,19)="","",INDEX(Dossiers!$G$4:$G$63,19)))</f>
        <v/>
      </c>
    </row>
    <row r="971">
      <c r="A971">
        <f>IF($B971="","",INDEX(Dossiers!$E$4:$E$63,19))</f>
        <v/>
      </c>
      <c r="B971">
        <f>IF(INDEX(Suivi!$B:$B,990)="","",INDEX(Suivi!$B:$B,990))</f>
        <v/>
      </c>
      <c r="C971">
        <f>IF($B971="","",IF(INDEX(Suivi!$D:$D,990)="",INDEX(Suivi!$C:$C,990),INDEX(Suivi!$D:$D,990)))</f>
        <v/>
      </c>
      <c r="D971" s="29">
        <f>IF($B971="","",INDEX(Suivi!$E:$E,990))</f>
        <v/>
      </c>
      <c r="E971" s="29">
        <f>IF($B971="","",INDEX(Suivi!$F:$F,990))</f>
        <v/>
      </c>
      <c r="F971">
        <f>IF($B971="","",INDEX(Suivi!$G:$G,990))</f>
        <v/>
      </c>
      <c r="H971">
        <f>IF(OR($B971="",NOT(ISNUMBER($D971))),"",IF($E971&lt;$D$2,"Passé",IF($D971&gt;$F$2,"À venir","Dans la période")))</f>
        <v/>
      </c>
      <c r="I971">
        <f>IF(OR($B971="",NOT(ISNUMBER($D971))),"",IF(AND($E971&lt;$D$2,$G971&lt;&gt;"X",$F971&lt;&gt;"Réalisé",$F971&lt;&gt;"Clôturé"),"RETARD",""))</f>
        <v/>
      </c>
      <c r="J971" s="29">
        <f>IF($B971="","",IF(INDEX(Dossiers!$F$4:$F$63,19)="","",INDEX(Dossiers!$F$4:$F$63,19)))</f>
        <v/>
      </c>
      <c r="K971" s="29">
        <f>IF($B971="","",IF(INDEX(Dossiers!$G$4:$G$63,19)="","",INDEX(Dossiers!$G$4:$G$63,19)))</f>
        <v/>
      </c>
    </row>
    <row r="972">
      <c r="A972">
        <f>IF($B972="","",INDEX(Dossiers!$E$4:$E$63,19))</f>
        <v/>
      </c>
      <c r="B972">
        <f>IF(INDEX(Suivi!$B:$B,991)="","",INDEX(Suivi!$B:$B,991))</f>
        <v/>
      </c>
      <c r="C972">
        <f>IF($B972="","",IF(INDEX(Suivi!$D:$D,991)="",INDEX(Suivi!$C:$C,991),INDEX(Suivi!$D:$D,991)))</f>
        <v/>
      </c>
      <c r="D972" s="29">
        <f>IF($B972="","",INDEX(Suivi!$E:$E,991))</f>
        <v/>
      </c>
      <c r="E972" s="29">
        <f>IF($B972="","",INDEX(Suivi!$F:$F,991))</f>
        <v/>
      </c>
      <c r="F972">
        <f>IF($B972="","",INDEX(Suivi!$G:$G,991))</f>
        <v/>
      </c>
      <c r="H972">
        <f>IF(OR($B972="",NOT(ISNUMBER($D972))),"",IF($E972&lt;$D$2,"Passé",IF($D972&gt;$F$2,"À venir","Dans la période")))</f>
        <v/>
      </c>
      <c r="I972">
        <f>IF(OR($B972="",NOT(ISNUMBER($D972))),"",IF(AND($E972&lt;$D$2,$G972&lt;&gt;"X",$F972&lt;&gt;"Réalisé",$F972&lt;&gt;"Clôturé"),"RETARD",""))</f>
        <v/>
      </c>
      <c r="J972" s="29">
        <f>IF($B972="","",IF(INDEX(Dossiers!$F$4:$F$63,19)="","",INDEX(Dossiers!$F$4:$F$63,19)))</f>
        <v/>
      </c>
      <c r="K972" s="29">
        <f>IF($B972="","",IF(INDEX(Dossiers!$G$4:$G$63,19)="","",INDEX(Dossiers!$G$4:$G$63,19)))</f>
        <v/>
      </c>
    </row>
    <row r="973">
      <c r="A973">
        <f>IF($B973="","",INDEX(Dossiers!$E$4:$E$63,19))</f>
        <v/>
      </c>
      <c r="B973">
        <f>IF(INDEX(Suivi!$B:$B,992)="","",INDEX(Suivi!$B:$B,992))</f>
        <v/>
      </c>
      <c r="C973">
        <f>IF($B973="","",IF(INDEX(Suivi!$D:$D,992)="",INDEX(Suivi!$C:$C,992),INDEX(Suivi!$D:$D,992)))</f>
        <v/>
      </c>
      <c r="D973" s="29">
        <f>IF($B973="","",INDEX(Suivi!$E:$E,992))</f>
        <v/>
      </c>
      <c r="E973" s="29">
        <f>IF($B973="","",INDEX(Suivi!$F:$F,992))</f>
        <v/>
      </c>
      <c r="F973">
        <f>IF($B973="","",INDEX(Suivi!$G:$G,992))</f>
        <v/>
      </c>
      <c r="H973">
        <f>IF(OR($B973="",NOT(ISNUMBER($D973))),"",IF($E973&lt;$D$2,"Passé",IF($D973&gt;$F$2,"À venir","Dans la période")))</f>
        <v/>
      </c>
      <c r="I973">
        <f>IF(OR($B973="",NOT(ISNUMBER($D973))),"",IF(AND($E973&lt;$D$2,$G973&lt;&gt;"X",$F973&lt;&gt;"Réalisé",$F973&lt;&gt;"Clôturé"),"RETARD",""))</f>
        <v/>
      </c>
      <c r="J973" s="29">
        <f>IF($B973="","",IF(INDEX(Dossiers!$F$4:$F$63,19)="","",INDEX(Dossiers!$F$4:$F$63,19)))</f>
        <v/>
      </c>
      <c r="K973" s="29">
        <f>IF($B973="","",IF(INDEX(Dossiers!$G$4:$G$63,19)="","",INDEX(Dossiers!$G$4:$G$63,19)))</f>
        <v/>
      </c>
    </row>
    <row r="974">
      <c r="A974">
        <f>IF($B974="","",INDEX(Dossiers!$E$4:$E$63,19))</f>
        <v/>
      </c>
      <c r="B974">
        <f>IF(INDEX(Suivi!$B:$B,993)="","",INDEX(Suivi!$B:$B,993))</f>
        <v/>
      </c>
      <c r="C974">
        <f>IF($B974="","",IF(INDEX(Suivi!$D:$D,993)="",INDEX(Suivi!$C:$C,993),INDEX(Suivi!$D:$D,993)))</f>
        <v/>
      </c>
      <c r="D974" s="29">
        <f>IF($B974="","",INDEX(Suivi!$E:$E,993))</f>
        <v/>
      </c>
      <c r="E974" s="29">
        <f>IF($B974="","",INDEX(Suivi!$F:$F,993))</f>
        <v/>
      </c>
      <c r="F974">
        <f>IF($B974="","",INDEX(Suivi!$G:$G,993))</f>
        <v/>
      </c>
      <c r="H974">
        <f>IF(OR($B974="",NOT(ISNUMBER($D974))),"",IF($E974&lt;$D$2,"Passé",IF($D974&gt;$F$2,"À venir","Dans la période")))</f>
        <v/>
      </c>
      <c r="I974">
        <f>IF(OR($B974="",NOT(ISNUMBER($D974))),"",IF(AND($E974&lt;$D$2,$G974&lt;&gt;"X",$F974&lt;&gt;"Réalisé",$F974&lt;&gt;"Clôturé"),"RETARD",""))</f>
        <v/>
      </c>
      <c r="J974" s="29">
        <f>IF($B974="","",IF(INDEX(Dossiers!$F$4:$F$63,19)="","",INDEX(Dossiers!$F$4:$F$63,19)))</f>
        <v/>
      </c>
      <c r="K974" s="29">
        <f>IF($B974="","",IF(INDEX(Dossiers!$G$4:$G$63,19)="","",INDEX(Dossiers!$G$4:$G$63,19)))</f>
        <v/>
      </c>
    </row>
    <row r="975">
      <c r="A975">
        <f>IF($B975="","",INDEX(Dossiers!$E$4:$E$63,19))</f>
        <v/>
      </c>
      <c r="B975">
        <f>IF(INDEX(Suivi!$B:$B,994)="","",INDEX(Suivi!$B:$B,994))</f>
        <v/>
      </c>
      <c r="C975">
        <f>IF($B975="","",IF(INDEX(Suivi!$D:$D,994)="",INDEX(Suivi!$C:$C,994),INDEX(Suivi!$D:$D,994)))</f>
        <v/>
      </c>
      <c r="D975" s="29">
        <f>IF($B975="","",INDEX(Suivi!$E:$E,994))</f>
        <v/>
      </c>
      <c r="E975" s="29">
        <f>IF($B975="","",INDEX(Suivi!$F:$F,994))</f>
        <v/>
      </c>
      <c r="F975">
        <f>IF($B975="","",INDEX(Suivi!$G:$G,994))</f>
        <v/>
      </c>
      <c r="H975">
        <f>IF(OR($B975="",NOT(ISNUMBER($D975))),"",IF($E975&lt;$D$2,"Passé",IF($D975&gt;$F$2,"À venir","Dans la période")))</f>
        <v/>
      </c>
      <c r="I975">
        <f>IF(OR($B975="",NOT(ISNUMBER($D975))),"",IF(AND($E975&lt;$D$2,$G975&lt;&gt;"X",$F975&lt;&gt;"Réalisé",$F975&lt;&gt;"Clôturé"),"RETARD",""))</f>
        <v/>
      </c>
      <c r="J975" s="29">
        <f>IF($B975="","",IF(INDEX(Dossiers!$F$4:$F$63,19)="","",INDEX(Dossiers!$F$4:$F$63,19)))</f>
        <v/>
      </c>
      <c r="K975" s="29">
        <f>IF($B975="","",IF(INDEX(Dossiers!$G$4:$G$63,19)="","",INDEX(Dossiers!$G$4:$G$63,19)))</f>
        <v/>
      </c>
    </row>
    <row r="976">
      <c r="A976">
        <f>IF($B976="","",INDEX(Dossiers!$E$4:$E$63,19))</f>
        <v/>
      </c>
      <c r="B976">
        <f>IF(INDEX(Suivi!$B:$B,995)="","",INDEX(Suivi!$B:$B,995))</f>
        <v/>
      </c>
      <c r="C976">
        <f>IF($B976="","",IF(INDEX(Suivi!$D:$D,995)="",INDEX(Suivi!$C:$C,995),INDEX(Suivi!$D:$D,995)))</f>
        <v/>
      </c>
      <c r="D976" s="29">
        <f>IF($B976="","",INDEX(Suivi!$E:$E,995))</f>
        <v/>
      </c>
      <c r="E976" s="29">
        <f>IF($B976="","",INDEX(Suivi!$F:$F,995))</f>
        <v/>
      </c>
      <c r="F976">
        <f>IF($B976="","",INDEX(Suivi!$G:$G,995))</f>
        <v/>
      </c>
      <c r="H976">
        <f>IF(OR($B976="",NOT(ISNUMBER($D976))),"",IF($E976&lt;$D$2,"Passé",IF($D976&gt;$F$2,"À venir","Dans la période")))</f>
        <v/>
      </c>
      <c r="I976">
        <f>IF(OR($B976="",NOT(ISNUMBER($D976))),"",IF(AND($E976&lt;$D$2,$G976&lt;&gt;"X",$F976&lt;&gt;"Réalisé",$F976&lt;&gt;"Clôturé"),"RETARD",""))</f>
        <v/>
      </c>
      <c r="J976" s="29">
        <f>IF($B976="","",IF(INDEX(Dossiers!$F$4:$F$63,19)="","",INDEX(Dossiers!$F$4:$F$63,19)))</f>
        <v/>
      </c>
      <c r="K976" s="29">
        <f>IF($B976="","",IF(INDEX(Dossiers!$G$4:$G$63,19)="","",INDEX(Dossiers!$G$4:$G$63,19)))</f>
        <v/>
      </c>
    </row>
    <row r="977">
      <c r="A977">
        <f>IF($B977="","",INDEX(Dossiers!$E$4:$E$63,19))</f>
        <v/>
      </c>
      <c r="B977">
        <f>IF(INDEX(Suivi!$B:$B,996)="","",INDEX(Suivi!$B:$B,996))</f>
        <v/>
      </c>
      <c r="C977">
        <f>IF($B977="","",IF(INDEX(Suivi!$D:$D,996)="",INDEX(Suivi!$C:$C,996),INDEX(Suivi!$D:$D,996)))</f>
        <v/>
      </c>
      <c r="D977" s="29">
        <f>IF($B977="","",INDEX(Suivi!$E:$E,996))</f>
        <v/>
      </c>
      <c r="E977" s="29">
        <f>IF($B977="","",INDEX(Suivi!$F:$F,996))</f>
        <v/>
      </c>
      <c r="F977">
        <f>IF($B977="","",INDEX(Suivi!$G:$G,996))</f>
        <v/>
      </c>
      <c r="H977">
        <f>IF(OR($B977="",NOT(ISNUMBER($D977))),"",IF($E977&lt;$D$2,"Passé",IF($D977&gt;$F$2,"À venir","Dans la période")))</f>
        <v/>
      </c>
      <c r="I977">
        <f>IF(OR($B977="",NOT(ISNUMBER($D977))),"",IF(AND($E977&lt;$D$2,$G977&lt;&gt;"X",$F977&lt;&gt;"Réalisé",$F977&lt;&gt;"Clôturé"),"RETARD",""))</f>
        <v/>
      </c>
      <c r="J977" s="29">
        <f>IF($B977="","",IF(INDEX(Dossiers!$F$4:$F$63,19)="","",INDEX(Dossiers!$F$4:$F$63,19)))</f>
        <v/>
      </c>
      <c r="K977" s="29">
        <f>IF($B977="","",IF(INDEX(Dossiers!$G$4:$G$63,19)="","",INDEX(Dossiers!$G$4:$G$63,19)))</f>
        <v/>
      </c>
    </row>
    <row r="978">
      <c r="A978">
        <f>IF($B978="","",INDEX(Dossiers!$E$4:$E$63,19))</f>
        <v/>
      </c>
      <c r="B978">
        <f>IF(INDEX(Suivi!$B:$B,997)="","",INDEX(Suivi!$B:$B,997))</f>
        <v/>
      </c>
      <c r="C978">
        <f>IF($B978="","",IF(INDEX(Suivi!$D:$D,997)="",INDEX(Suivi!$C:$C,997),INDEX(Suivi!$D:$D,997)))</f>
        <v/>
      </c>
      <c r="D978" s="29">
        <f>IF($B978="","",INDEX(Suivi!$E:$E,997))</f>
        <v/>
      </c>
      <c r="E978" s="29">
        <f>IF($B978="","",INDEX(Suivi!$F:$F,997))</f>
        <v/>
      </c>
      <c r="F978">
        <f>IF($B978="","",INDEX(Suivi!$G:$G,997))</f>
        <v/>
      </c>
      <c r="H978">
        <f>IF(OR($B978="",NOT(ISNUMBER($D978))),"",IF($E978&lt;$D$2,"Passé",IF($D978&gt;$F$2,"À venir","Dans la période")))</f>
        <v/>
      </c>
      <c r="I978">
        <f>IF(OR($B978="",NOT(ISNUMBER($D978))),"",IF(AND($E978&lt;$D$2,$G978&lt;&gt;"X",$F978&lt;&gt;"Réalisé",$F978&lt;&gt;"Clôturé"),"RETARD",""))</f>
        <v/>
      </c>
      <c r="J978" s="29">
        <f>IF($B978="","",IF(INDEX(Dossiers!$F$4:$F$63,19)="","",INDEX(Dossiers!$F$4:$F$63,19)))</f>
        <v/>
      </c>
      <c r="K978" s="29">
        <f>IF($B978="","",IF(INDEX(Dossiers!$G$4:$G$63,19)="","",INDEX(Dossiers!$G$4:$G$63,19)))</f>
        <v/>
      </c>
    </row>
    <row r="979">
      <c r="A979">
        <f>IF($B979="","",INDEX(Dossiers!$E$4:$E$63,19))</f>
        <v/>
      </c>
      <c r="B979">
        <f>IF(INDEX(Suivi!$B:$B,998)="","",INDEX(Suivi!$B:$B,998))</f>
        <v/>
      </c>
      <c r="C979">
        <f>IF($B979="","",IF(INDEX(Suivi!$D:$D,998)="",INDEX(Suivi!$C:$C,998),INDEX(Suivi!$D:$D,998)))</f>
        <v/>
      </c>
      <c r="D979" s="29">
        <f>IF($B979="","",INDEX(Suivi!$E:$E,998))</f>
        <v/>
      </c>
      <c r="E979" s="29">
        <f>IF($B979="","",INDEX(Suivi!$F:$F,998))</f>
        <v/>
      </c>
      <c r="F979">
        <f>IF($B979="","",INDEX(Suivi!$G:$G,998))</f>
        <v/>
      </c>
      <c r="H979">
        <f>IF(OR($B979="",NOT(ISNUMBER($D979))),"",IF($E979&lt;$D$2,"Passé",IF($D979&gt;$F$2,"À venir","Dans la période")))</f>
        <v/>
      </c>
      <c r="I979">
        <f>IF(OR($B979="",NOT(ISNUMBER($D979))),"",IF(AND($E979&lt;$D$2,$G979&lt;&gt;"X",$F979&lt;&gt;"Réalisé",$F979&lt;&gt;"Clôturé"),"RETARD",""))</f>
        <v/>
      </c>
      <c r="J979" s="29">
        <f>IF($B979="","",IF(INDEX(Dossiers!$F$4:$F$63,19)="","",INDEX(Dossiers!$F$4:$F$63,19)))</f>
        <v/>
      </c>
      <c r="K979" s="29">
        <f>IF($B979="","",IF(INDEX(Dossiers!$G$4:$G$63,19)="","",INDEX(Dossiers!$G$4:$G$63,19)))</f>
        <v/>
      </c>
    </row>
    <row r="980">
      <c r="A980">
        <f>IF($B980="","",INDEX(Dossiers!$E$4:$E$63,19))</f>
        <v/>
      </c>
      <c r="B980">
        <f>IF(INDEX(Suivi!$B:$B,999)="","",INDEX(Suivi!$B:$B,999))</f>
        <v/>
      </c>
      <c r="C980">
        <f>IF($B980="","",IF(INDEX(Suivi!$D:$D,999)="",INDEX(Suivi!$C:$C,999),INDEX(Suivi!$D:$D,999)))</f>
        <v/>
      </c>
      <c r="D980" s="29">
        <f>IF($B980="","",INDEX(Suivi!$E:$E,999))</f>
        <v/>
      </c>
      <c r="E980" s="29">
        <f>IF($B980="","",INDEX(Suivi!$F:$F,999))</f>
        <v/>
      </c>
      <c r="F980">
        <f>IF($B980="","",INDEX(Suivi!$G:$G,999))</f>
        <v/>
      </c>
      <c r="H980">
        <f>IF(OR($B980="",NOT(ISNUMBER($D980))),"",IF($E980&lt;$D$2,"Passé",IF($D980&gt;$F$2,"À venir","Dans la période")))</f>
        <v/>
      </c>
      <c r="I980">
        <f>IF(OR($B980="",NOT(ISNUMBER($D980))),"",IF(AND($E980&lt;$D$2,$G980&lt;&gt;"X",$F980&lt;&gt;"Réalisé",$F980&lt;&gt;"Clôturé"),"RETARD",""))</f>
        <v/>
      </c>
      <c r="J980" s="29">
        <f>IF($B980="","",IF(INDEX(Dossiers!$F$4:$F$63,19)="","",INDEX(Dossiers!$F$4:$F$63,19)))</f>
        <v/>
      </c>
      <c r="K980" s="29">
        <f>IF($B980="","",IF(INDEX(Dossiers!$G$4:$G$63,19)="","",INDEX(Dossiers!$G$4:$G$63,19)))</f>
        <v/>
      </c>
    </row>
    <row r="981">
      <c r="A981">
        <f>IF($B981="","",INDEX(Dossiers!$E$4:$E$63,19))</f>
        <v/>
      </c>
      <c r="B981">
        <f>IF(INDEX(Suivi!$B:$B,1000)="","",INDEX(Suivi!$B:$B,1000))</f>
        <v/>
      </c>
      <c r="C981">
        <f>IF($B981="","",IF(INDEX(Suivi!$D:$D,1000)="",INDEX(Suivi!$C:$C,1000),INDEX(Suivi!$D:$D,1000)))</f>
        <v/>
      </c>
      <c r="D981" s="29">
        <f>IF($B981="","",INDEX(Suivi!$E:$E,1000))</f>
        <v/>
      </c>
      <c r="E981" s="29">
        <f>IF($B981="","",INDEX(Suivi!$F:$F,1000))</f>
        <v/>
      </c>
      <c r="F981">
        <f>IF($B981="","",INDEX(Suivi!$G:$G,1000))</f>
        <v/>
      </c>
      <c r="H981">
        <f>IF(OR($B981="",NOT(ISNUMBER($D981))),"",IF($E981&lt;$D$2,"Passé",IF($D981&gt;$F$2,"À venir","Dans la période")))</f>
        <v/>
      </c>
      <c r="I981">
        <f>IF(OR($B981="",NOT(ISNUMBER($D981))),"",IF(AND($E981&lt;$D$2,$G981&lt;&gt;"X",$F981&lt;&gt;"Réalisé",$F981&lt;&gt;"Clôturé"),"RETARD",""))</f>
        <v/>
      </c>
      <c r="J981" s="29">
        <f>IF($B981="","",IF(INDEX(Dossiers!$F$4:$F$63,19)="","",INDEX(Dossiers!$F$4:$F$63,19)))</f>
        <v/>
      </c>
      <c r="K981" s="29">
        <f>IF($B981="","",IF(INDEX(Dossiers!$G$4:$G$63,19)="","",INDEX(Dossiers!$G$4:$G$63,19)))</f>
        <v/>
      </c>
    </row>
    <row r="982">
      <c r="A982">
        <f>IF($B982="","",INDEX(Dossiers!$E$4:$E$63,19))</f>
        <v/>
      </c>
      <c r="B982">
        <f>IF(INDEX(Suivi!$B:$B,1001)="","",INDEX(Suivi!$B:$B,1001))</f>
        <v/>
      </c>
      <c r="C982">
        <f>IF($B982="","",IF(INDEX(Suivi!$D:$D,1001)="",INDEX(Suivi!$C:$C,1001),INDEX(Suivi!$D:$D,1001)))</f>
        <v/>
      </c>
      <c r="D982" s="29">
        <f>IF($B982="","",INDEX(Suivi!$E:$E,1001))</f>
        <v/>
      </c>
      <c r="E982" s="29">
        <f>IF($B982="","",INDEX(Suivi!$F:$F,1001))</f>
        <v/>
      </c>
      <c r="F982">
        <f>IF($B982="","",INDEX(Suivi!$G:$G,1001))</f>
        <v/>
      </c>
      <c r="H982">
        <f>IF(OR($B982="",NOT(ISNUMBER($D982))),"",IF($E982&lt;$D$2,"Passé",IF($D982&gt;$F$2,"À venir","Dans la période")))</f>
        <v/>
      </c>
      <c r="I982">
        <f>IF(OR($B982="",NOT(ISNUMBER($D982))),"",IF(AND($E982&lt;$D$2,$G982&lt;&gt;"X",$F982&lt;&gt;"Réalisé",$F982&lt;&gt;"Clôturé"),"RETARD",""))</f>
        <v/>
      </c>
      <c r="J982" s="29">
        <f>IF($B982="","",IF(INDEX(Dossiers!$F$4:$F$63,19)="","",INDEX(Dossiers!$F$4:$F$63,19)))</f>
        <v/>
      </c>
      <c r="K982" s="29">
        <f>IF($B982="","",IF(INDEX(Dossiers!$G$4:$G$63,19)="","",INDEX(Dossiers!$G$4:$G$63,19)))</f>
        <v/>
      </c>
    </row>
    <row r="983">
      <c r="A983">
        <f>IF($B983="","",INDEX(Dossiers!$E$4:$E$63,19))</f>
        <v/>
      </c>
      <c r="B983">
        <f>IF(INDEX(Suivi!$B:$B,1002)="","",INDEX(Suivi!$B:$B,1002))</f>
        <v/>
      </c>
      <c r="C983">
        <f>IF($B983="","",IF(INDEX(Suivi!$D:$D,1002)="",INDEX(Suivi!$C:$C,1002),INDEX(Suivi!$D:$D,1002)))</f>
        <v/>
      </c>
      <c r="D983" s="29">
        <f>IF($B983="","",INDEX(Suivi!$E:$E,1002))</f>
        <v/>
      </c>
      <c r="E983" s="29">
        <f>IF($B983="","",INDEX(Suivi!$F:$F,1002))</f>
        <v/>
      </c>
      <c r="F983">
        <f>IF($B983="","",INDEX(Suivi!$G:$G,1002))</f>
        <v/>
      </c>
      <c r="H983">
        <f>IF(OR($B983="",NOT(ISNUMBER($D983))),"",IF($E983&lt;$D$2,"Passé",IF($D983&gt;$F$2,"À venir","Dans la période")))</f>
        <v/>
      </c>
      <c r="I983">
        <f>IF(OR($B983="",NOT(ISNUMBER($D983))),"",IF(AND($E983&lt;$D$2,$G983&lt;&gt;"X",$F983&lt;&gt;"Réalisé",$F983&lt;&gt;"Clôturé"),"RETARD",""))</f>
        <v/>
      </c>
      <c r="J983" s="29">
        <f>IF($B983="","",IF(INDEX(Dossiers!$F$4:$F$63,19)="","",INDEX(Dossiers!$F$4:$F$63,19)))</f>
        <v/>
      </c>
      <c r="K983" s="29">
        <f>IF($B983="","",IF(INDEX(Dossiers!$G$4:$G$63,19)="","",INDEX(Dossiers!$G$4:$G$63,19)))</f>
        <v/>
      </c>
    </row>
    <row r="984">
      <c r="A984">
        <f>IF($B984="","",INDEX(Dossiers!$E$4:$E$63,19))</f>
        <v/>
      </c>
      <c r="B984">
        <f>IF(INDEX(Suivi!$B:$B,1003)="","",INDEX(Suivi!$B:$B,1003))</f>
        <v/>
      </c>
      <c r="C984">
        <f>IF($B984="","",IF(INDEX(Suivi!$D:$D,1003)="",INDEX(Suivi!$C:$C,1003),INDEX(Suivi!$D:$D,1003)))</f>
        <v/>
      </c>
      <c r="D984" s="29">
        <f>IF($B984="","",INDEX(Suivi!$E:$E,1003))</f>
        <v/>
      </c>
      <c r="E984" s="29">
        <f>IF($B984="","",INDEX(Suivi!$F:$F,1003))</f>
        <v/>
      </c>
      <c r="F984">
        <f>IF($B984="","",INDEX(Suivi!$G:$G,1003))</f>
        <v/>
      </c>
      <c r="H984">
        <f>IF(OR($B984="",NOT(ISNUMBER($D984))),"",IF($E984&lt;$D$2,"Passé",IF($D984&gt;$F$2,"À venir","Dans la période")))</f>
        <v/>
      </c>
      <c r="I984">
        <f>IF(OR($B984="",NOT(ISNUMBER($D984))),"",IF(AND($E984&lt;$D$2,$G984&lt;&gt;"X",$F984&lt;&gt;"Réalisé",$F984&lt;&gt;"Clôturé"),"RETARD",""))</f>
        <v/>
      </c>
      <c r="J984" s="29">
        <f>IF($B984="","",IF(INDEX(Dossiers!$F$4:$F$63,19)="","",INDEX(Dossiers!$F$4:$F$63,19)))</f>
        <v/>
      </c>
      <c r="K984" s="29">
        <f>IF($B984="","",IF(INDEX(Dossiers!$G$4:$G$63,19)="","",INDEX(Dossiers!$G$4:$G$63,19)))</f>
        <v/>
      </c>
    </row>
    <row r="985">
      <c r="A985">
        <f>IF($B985="","",INDEX(Dossiers!$E$4:$E$63,19))</f>
        <v/>
      </c>
      <c r="B985">
        <f>IF(INDEX(Suivi!$B:$B,1004)="","",INDEX(Suivi!$B:$B,1004))</f>
        <v/>
      </c>
      <c r="C985">
        <f>IF($B985="","",IF(INDEX(Suivi!$D:$D,1004)="",INDEX(Suivi!$C:$C,1004),INDEX(Suivi!$D:$D,1004)))</f>
        <v/>
      </c>
      <c r="D985" s="29">
        <f>IF($B985="","",INDEX(Suivi!$E:$E,1004))</f>
        <v/>
      </c>
      <c r="E985" s="29">
        <f>IF($B985="","",INDEX(Suivi!$F:$F,1004))</f>
        <v/>
      </c>
      <c r="F985">
        <f>IF($B985="","",INDEX(Suivi!$G:$G,1004))</f>
        <v/>
      </c>
      <c r="H985">
        <f>IF(OR($B985="",NOT(ISNUMBER($D985))),"",IF($E985&lt;$D$2,"Passé",IF($D985&gt;$F$2,"À venir","Dans la période")))</f>
        <v/>
      </c>
      <c r="I985">
        <f>IF(OR($B985="",NOT(ISNUMBER($D985))),"",IF(AND($E985&lt;$D$2,$G985&lt;&gt;"X",$F985&lt;&gt;"Réalisé",$F985&lt;&gt;"Clôturé"),"RETARD",""))</f>
        <v/>
      </c>
      <c r="J985" s="29">
        <f>IF($B985="","",IF(INDEX(Dossiers!$F$4:$F$63,19)="","",INDEX(Dossiers!$F$4:$F$63,19)))</f>
        <v/>
      </c>
      <c r="K985" s="29">
        <f>IF($B985="","",IF(INDEX(Dossiers!$G$4:$G$63,19)="","",INDEX(Dossiers!$G$4:$G$63,19)))</f>
        <v/>
      </c>
    </row>
    <row r="986">
      <c r="A986">
        <f>IF($B986="","",INDEX(Dossiers!$E$4:$E$63,19))</f>
        <v/>
      </c>
      <c r="B986">
        <f>IF(INDEX(Suivi!$B:$B,1005)="","",INDEX(Suivi!$B:$B,1005))</f>
        <v/>
      </c>
      <c r="C986">
        <f>IF($B986="","",IF(INDEX(Suivi!$D:$D,1005)="",INDEX(Suivi!$C:$C,1005),INDEX(Suivi!$D:$D,1005)))</f>
        <v/>
      </c>
      <c r="D986" s="29">
        <f>IF($B986="","",INDEX(Suivi!$E:$E,1005))</f>
        <v/>
      </c>
      <c r="E986" s="29">
        <f>IF($B986="","",INDEX(Suivi!$F:$F,1005))</f>
        <v/>
      </c>
      <c r="F986">
        <f>IF($B986="","",INDEX(Suivi!$G:$G,1005))</f>
        <v/>
      </c>
      <c r="H986">
        <f>IF(OR($B986="",NOT(ISNUMBER($D986))),"",IF($E986&lt;$D$2,"Passé",IF($D986&gt;$F$2,"À venir","Dans la période")))</f>
        <v/>
      </c>
      <c r="I986">
        <f>IF(OR($B986="",NOT(ISNUMBER($D986))),"",IF(AND($E986&lt;$D$2,$G986&lt;&gt;"X",$F986&lt;&gt;"Réalisé",$F986&lt;&gt;"Clôturé"),"RETARD",""))</f>
        <v/>
      </c>
      <c r="J986" s="29">
        <f>IF($B986="","",IF(INDEX(Dossiers!$F$4:$F$63,19)="","",INDEX(Dossiers!$F$4:$F$63,19)))</f>
        <v/>
      </c>
      <c r="K986" s="29">
        <f>IF($B986="","",IF(INDEX(Dossiers!$G$4:$G$63,19)="","",INDEX(Dossiers!$G$4:$G$63,19)))</f>
        <v/>
      </c>
    </row>
    <row r="987">
      <c r="A987">
        <f>IF($B987="","",INDEX(Dossiers!$E$4:$E$63,19))</f>
        <v/>
      </c>
      <c r="B987">
        <f>IF(INDEX(Suivi!$B:$B,1006)="","",INDEX(Suivi!$B:$B,1006))</f>
        <v/>
      </c>
      <c r="C987">
        <f>IF($B987="","",IF(INDEX(Suivi!$D:$D,1006)="",INDEX(Suivi!$C:$C,1006),INDEX(Suivi!$D:$D,1006)))</f>
        <v/>
      </c>
      <c r="D987" s="29">
        <f>IF($B987="","",INDEX(Suivi!$E:$E,1006))</f>
        <v/>
      </c>
      <c r="E987" s="29">
        <f>IF($B987="","",INDEX(Suivi!$F:$F,1006))</f>
        <v/>
      </c>
      <c r="F987">
        <f>IF($B987="","",INDEX(Suivi!$G:$G,1006))</f>
        <v/>
      </c>
      <c r="H987">
        <f>IF(OR($B987="",NOT(ISNUMBER($D987))),"",IF($E987&lt;$D$2,"Passé",IF($D987&gt;$F$2,"À venir","Dans la période")))</f>
        <v/>
      </c>
      <c r="I987">
        <f>IF(OR($B987="",NOT(ISNUMBER($D987))),"",IF(AND($E987&lt;$D$2,$G987&lt;&gt;"X",$F987&lt;&gt;"Réalisé",$F987&lt;&gt;"Clôturé"),"RETARD",""))</f>
        <v/>
      </c>
      <c r="J987" s="29">
        <f>IF($B987="","",IF(INDEX(Dossiers!$F$4:$F$63,19)="","",INDEX(Dossiers!$F$4:$F$63,19)))</f>
        <v/>
      </c>
      <c r="K987" s="29">
        <f>IF($B987="","",IF(INDEX(Dossiers!$G$4:$G$63,19)="","",INDEX(Dossiers!$G$4:$G$63,19)))</f>
        <v/>
      </c>
    </row>
    <row r="988">
      <c r="A988">
        <f>IF($B988="","",INDEX(Dossiers!$E$4:$E$63,19))</f>
        <v/>
      </c>
      <c r="B988">
        <f>IF(INDEX(Suivi!$B:$B,1007)="","",INDEX(Suivi!$B:$B,1007))</f>
        <v/>
      </c>
      <c r="C988">
        <f>IF($B988="","",IF(INDEX(Suivi!$D:$D,1007)="",INDEX(Suivi!$C:$C,1007),INDEX(Suivi!$D:$D,1007)))</f>
        <v/>
      </c>
      <c r="D988" s="29">
        <f>IF($B988="","",INDEX(Suivi!$E:$E,1007))</f>
        <v/>
      </c>
      <c r="E988" s="29">
        <f>IF($B988="","",INDEX(Suivi!$F:$F,1007))</f>
        <v/>
      </c>
      <c r="F988">
        <f>IF($B988="","",INDEX(Suivi!$G:$G,1007))</f>
        <v/>
      </c>
      <c r="H988">
        <f>IF(OR($B988="",NOT(ISNUMBER($D988))),"",IF($E988&lt;$D$2,"Passé",IF($D988&gt;$F$2,"À venir","Dans la période")))</f>
        <v/>
      </c>
      <c r="I988">
        <f>IF(OR($B988="",NOT(ISNUMBER($D988))),"",IF(AND($E988&lt;$D$2,$G988&lt;&gt;"X",$F988&lt;&gt;"Réalisé",$F988&lt;&gt;"Clôturé"),"RETARD",""))</f>
        <v/>
      </c>
      <c r="J988" s="29">
        <f>IF($B988="","",IF(INDEX(Dossiers!$F$4:$F$63,19)="","",INDEX(Dossiers!$F$4:$F$63,19)))</f>
        <v/>
      </c>
      <c r="K988" s="29">
        <f>IF($B988="","",IF(INDEX(Dossiers!$G$4:$G$63,19)="","",INDEX(Dossiers!$G$4:$G$63,19)))</f>
        <v/>
      </c>
    </row>
    <row r="989">
      <c r="A989">
        <f>IF($B989="","",INDEX(Dossiers!$E$4:$E$63,19))</f>
        <v/>
      </c>
      <c r="B989">
        <f>IF(INDEX(Suivi!$B:$B,1008)="","",INDEX(Suivi!$B:$B,1008))</f>
        <v/>
      </c>
      <c r="C989">
        <f>IF($B989="","",IF(INDEX(Suivi!$D:$D,1008)="",INDEX(Suivi!$C:$C,1008),INDEX(Suivi!$D:$D,1008)))</f>
        <v/>
      </c>
      <c r="D989" s="29">
        <f>IF($B989="","",INDEX(Suivi!$E:$E,1008))</f>
        <v/>
      </c>
      <c r="E989" s="29">
        <f>IF($B989="","",INDEX(Suivi!$F:$F,1008))</f>
        <v/>
      </c>
      <c r="F989">
        <f>IF($B989="","",INDEX(Suivi!$G:$G,1008))</f>
        <v/>
      </c>
      <c r="H989">
        <f>IF(OR($B989="",NOT(ISNUMBER($D989))),"",IF($E989&lt;$D$2,"Passé",IF($D989&gt;$F$2,"À venir","Dans la période")))</f>
        <v/>
      </c>
      <c r="I989">
        <f>IF(OR($B989="",NOT(ISNUMBER($D989))),"",IF(AND($E989&lt;$D$2,$G989&lt;&gt;"X",$F989&lt;&gt;"Réalisé",$F989&lt;&gt;"Clôturé"),"RETARD",""))</f>
        <v/>
      </c>
      <c r="J989" s="29">
        <f>IF($B989="","",IF(INDEX(Dossiers!$F$4:$F$63,19)="","",INDEX(Dossiers!$F$4:$F$63,19)))</f>
        <v/>
      </c>
      <c r="K989" s="29">
        <f>IF($B989="","",IF(INDEX(Dossiers!$G$4:$G$63,19)="","",INDEX(Dossiers!$G$4:$G$63,19)))</f>
        <v/>
      </c>
    </row>
    <row r="990">
      <c r="A990">
        <f>IF($B990="","",INDEX(Dossiers!$E$4:$E$63,19))</f>
        <v/>
      </c>
      <c r="B990">
        <f>IF(INDEX(Suivi!$B:$B,1009)="","",INDEX(Suivi!$B:$B,1009))</f>
        <v/>
      </c>
      <c r="C990">
        <f>IF($B990="","",IF(INDEX(Suivi!$D:$D,1009)="",INDEX(Suivi!$C:$C,1009),INDEX(Suivi!$D:$D,1009)))</f>
        <v/>
      </c>
      <c r="D990" s="29">
        <f>IF($B990="","",INDEX(Suivi!$E:$E,1009))</f>
        <v/>
      </c>
      <c r="E990" s="29">
        <f>IF($B990="","",INDEX(Suivi!$F:$F,1009))</f>
        <v/>
      </c>
      <c r="F990">
        <f>IF($B990="","",INDEX(Suivi!$G:$G,1009))</f>
        <v/>
      </c>
      <c r="H990">
        <f>IF(OR($B990="",NOT(ISNUMBER($D990))),"",IF($E990&lt;$D$2,"Passé",IF($D990&gt;$F$2,"À venir","Dans la période")))</f>
        <v/>
      </c>
      <c r="I990">
        <f>IF(OR($B990="",NOT(ISNUMBER($D990))),"",IF(AND($E990&lt;$D$2,$G990&lt;&gt;"X",$F990&lt;&gt;"Réalisé",$F990&lt;&gt;"Clôturé"),"RETARD",""))</f>
        <v/>
      </c>
      <c r="J990" s="29">
        <f>IF($B990="","",IF(INDEX(Dossiers!$F$4:$F$63,19)="","",INDEX(Dossiers!$F$4:$F$63,19)))</f>
        <v/>
      </c>
      <c r="K990" s="29">
        <f>IF($B990="","",IF(INDEX(Dossiers!$G$4:$G$63,19)="","",INDEX(Dossiers!$G$4:$G$63,19)))</f>
        <v/>
      </c>
    </row>
    <row r="991">
      <c r="A991">
        <f>IF($B991="","",INDEX(Dossiers!$E$4:$E$63,19))</f>
        <v/>
      </c>
      <c r="B991">
        <f>IF(INDEX(Suivi!$B:$B,1010)="","",INDEX(Suivi!$B:$B,1010))</f>
        <v/>
      </c>
      <c r="C991">
        <f>IF($B991="","",IF(INDEX(Suivi!$D:$D,1010)="",INDEX(Suivi!$C:$C,1010),INDEX(Suivi!$D:$D,1010)))</f>
        <v/>
      </c>
      <c r="D991" s="29">
        <f>IF($B991="","",INDEX(Suivi!$E:$E,1010))</f>
        <v/>
      </c>
      <c r="E991" s="29">
        <f>IF($B991="","",INDEX(Suivi!$F:$F,1010))</f>
        <v/>
      </c>
      <c r="F991">
        <f>IF($B991="","",INDEX(Suivi!$G:$G,1010))</f>
        <v/>
      </c>
      <c r="H991">
        <f>IF(OR($B991="",NOT(ISNUMBER($D991))),"",IF($E991&lt;$D$2,"Passé",IF($D991&gt;$F$2,"À venir","Dans la période")))</f>
        <v/>
      </c>
      <c r="I991">
        <f>IF(OR($B991="",NOT(ISNUMBER($D991))),"",IF(AND($E991&lt;$D$2,$G991&lt;&gt;"X",$F991&lt;&gt;"Réalisé",$F991&lt;&gt;"Clôturé"),"RETARD",""))</f>
        <v/>
      </c>
      <c r="J991" s="29">
        <f>IF($B991="","",IF(INDEX(Dossiers!$F$4:$F$63,19)="","",INDEX(Dossiers!$F$4:$F$63,19)))</f>
        <v/>
      </c>
      <c r="K991" s="29">
        <f>IF($B991="","",IF(INDEX(Dossiers!$G$4:$G$63,19)="","",INDEX(Dossiers!$G$4:$G$63,19)))</f>
        <v/>
      </c>
    </row>
    <row r="992">
      <c r="A992">
        <f>IF($B992="","",INDEX(Dossiers!$E$4:$E$63,19))</f>
        <v/>
      </c>
      <c r="B992">
        <f>IF(INDEX(Suivi!$B:$B,1011)="","",INDEX(Suivi!$B:$B,1011))</f>
        <v/>
      </c>
      <c r="C992">
        <f>IF($B992="","",IF(INDEX(Suivi!$D:$D,1011)="",INDEX(Suivi!$C:$C,1011),INDEX(Suivi!$D:$D,1011)))</f>
        <v/>
      </c>
      <c r="D992" s="29">
        <f>IF($B992="","",INDEX(Suivi!$E:$E,1011))</f>
        <v/>
      </c>
      <c r="E992" s="29">
        <f>IF($B992="","",INDEX(Suivi!$F:$F,1011))</f>
        <v/>
      </c>
      <c r="F992">
        <f>IF($B992="","",INDEX(Suivi!$G:$G,1011))</f>
        <v/>
      </c>
      <c r="H992">
        <f>IF(OR($B992="",NOT(ISNUMBER($D992))),"",IF($E992&lt;$D$2,"Passé",IF($D992&gt;$F$2,"À venir","Dans la période")))</f>
        <v/>
      </c>
      <c r="I992">
        <f>IF(OR($B992="",NOT(ISNUMBER($D992))),"",IF(AND($E992&lt;$D$2,$G992&lt;&gt;"X",$F992&lt;&gt;"Réalisé",$F992&lt;&gt;"Clôturé"),"RETARD",""))</f>
        <v/>
      </c>
      <c r="J992" s="29">
        <f>IF($B992="","",IF(INDEX(Dossiers!$F$4:$F$63,19)="","",INDEX(Dossiers!$F$4:$F$63,19)))</f>
        <v/>
      </c>
      <c r="K992" s="29">
        <f>IF($B992="","",IF(INDEX(Dossiers!$G$4:$G$63,19)="","",INDEX(Dossiers!$G$4:$G$63,19)))</f>
        <v/>
      </c>
    </row>
    <row r="993">
      <c r="A993">
        <f>IF($B993="","",INDEX(Dossiers!$E$4:$E$63,19))</f>
        <v/>
      </c>
      <c r="B993">
        <f>IF(INDEX(Suivi!$B:$B,1012)="","",INDEX(Suivi!$B:$B,1012))</f>
        <v/>
      </c>
      <c r="C993">
        <f>IF($B993="","",IF(INDEX(Suivi!$D:$D,1012)="",INDEX(Suivi!$C:$C,1012),INDEX(Suivi!$D:$D,1012)))</f>
        <v/>
      </c>
      <c r="D993" s="29">
        <f>IF($B993="","",INDEX(Suivi!$E:$E,1012))</f>
        <v/>
      </c>
      <c r="E993" s="29">
        <f>IF($B993="","",INDEX(Suivi!$F:$F,1012))</f>
        <v/>
      </c>
      <c r="F993">
        <f>IF($B993="","",INDEX(Suivi!$G:$G,1012))</f>
        <v/>
      </c>
      <c r="H993">
        <f>IF(OR($B993="",NOT(ISNUMBER($D993))),"",IF($E993&lt;$D$2,"Passé",IF($D993&gt;$F$2,"À venir","Dans la période")))</f>
        <v/>
      </c>
      <c r="I993">
        <f>IF(OR($B993="",NOT(ISNUMBER($D993))),"",IF(AND($E993&lt;$D$2,$G993&lt;&gt;"X",$F993&lt;&gt;"Réalisé",$F993&lt;&gt;"Clôturé"),"RETARD",""))</f>
        <v/>
      </c>
      <c r="J993" s="29">
        <f>IF($B993="","",IF(INDEX(Dossiers!$F$4:$F$63,19)="","",INDEX(Dossiers!$F$4:$F$63,19)))</f>
        <v/>
      </c>
      <c r="K993" s="29">
        <f>IF($B993="","",IF(INDEX(Dossiers!$G$4:$G$63,19)="","",INDEX(Dossiers!$G$4:$G$63,19)))</f>
        <v/>
      </c>
    </row>
    <row r="994">
      <c r="A994">
        <f>IF($B994="","",INDEX(Dossiers!$E$4:$E$63,19))</f>
        <v/>
      </c>
      <c r="B994">
        <f>IF(INDEX(Suivi!$B:$B,1013)="","",INDEX(Suivi!$B:$B,1013))</f>
        <v/>
      </c>
      <c r="C994">
        <f>IF($B994="","",IF(INDEX(Suivi!$D:$D,1013)="",INDEX(Suivi!$C:$C,1013),INDEX(Suivi!$D:$D,1013)))</f>
        <v/>
      </c>
      <c r="D994" s="29">
        <f>IF($B994="","",INDEX(Suivi!$E:$E,1013))</f>
        <v/>
      </c>
      <c r="E994" s="29">
        <f>IF($B994="","",INDEX(Suivi!$F:$F,1013))</f>
        <v/>
      </c>
      <c r="F994">
        <f>IF($B994="","",INDEX(Suivi!$G:$G,1013))</f>
        <v/>
      </c>
      <c r="H994">
        <f>IF(OR($B994="",NOT(ISNUMBER($D994))),"",IF($E994&lt;$D$2,"Passé",IF($D994&gt;$F$2,"À venir","Dans la période")))</f>
        <v/>
      </c>
      <c r="I994">
        <f>IF(OR($B994="",NOT(ISNUMBER($D994))),"",IF(AND($E994&lt;$D$2,$G994&lt;&gt;"X",$F994&lt;&gt;"Réalisé",$F994&lt;&gt;"Clôturé"),"RETARD",""))</f>
        <v/>
      </c>
      <c r="J994" s="29">
        <f>IF($B994="","",IF(INDEX(Dossiers!$F$4:$F$63,19)="","",INDEX(Dossiers!$F$4:$F$63,19)))</f>
        <v/>
      </c>
      <c r="K994" s="29">
        <f>IF($B994="","",IF(INDEX(Dossiers!$G$4:$G$63,19)="","",INDEX(Dossiers!$G$4:$G$63,19)))</f>
        <v/>
      </c>
    </row>
    <row r="995">
      <c r="A995">
        <f>IF($B995="","",INDEX(Dossiers!$E$4:$E$63,19))</f>
        <v/>
      </c>
      <c r="B995">
        <f>IF(INDEX(Suivi!$B:$B,1014)="","",INDEX(Suivi!$B:$B,1014))</f>
        <v/>
      </c>
      <c r="C995">
        <f>IF($B995="","",IF(INDEX(Suivi!$D:$D,1014)="",INDEX(Suivi!$C:$C,1014),INDEX(Suivi!$D:$D,1014)))</f>
        <v/>
      </c>
      <c r="D995" s="29">
        <f>IF($B995="","",INDEX(Suivi!$E:$E,1014))</f>
        <v/>
      </c>
      <c r="E995" s="29">
        <f>IF($B995="","",INDEX(Suivi!$F:$F,1014))</f>
        <v/>
      </c>
      <c r="F995">
        <f>IF($B995="","",INDEX(Suivi!$G:$G,1014))</f>
        <v/>
      </c>
      <c r="H995">
        <f>IF(OR($B995="",NOT(ISNUMBER($D995))),"",IF($E995&lt;$D$2,"Passé",IF($D995&gt;$F$2,"À venir","Dans la période")))</f>
        <v/>
      </c>
      <c r="I995">
        <f>IF(OR($B995="",NOT(ISNUMBER($D995))),"",IF(AND($E995&lt;$D$2,$G995&lt;&gt;"X",$F995&lt;&gt;"Réalisé",$F995&lt;&gt;"Clôturé"),"RETARD",""))</f>
        <v/>
      </c>
      <c r="J995" s="29">
        <f>IF($B995="","",IF(INDEX(Dossiers!$F$4:$F$63,19)="","",INDEX(Dossiers!$F$4:$F$63,19)))</f>
        <v/>
      </c>
      <c r="K995" s="29">
        <f>IF($B995="","",IF(INDEX(Dossiers!$G$4:$G$63,19)="","",INDEX(Dossiers!$G$4:$G$63,19)))</f>
        <v/>
      </c>
    </row>
    <row r="996">
      <c r="A996">
        <f>IF($B996="","",INDEX(Dossiers!$E$4:$E$63,19))</f>
        <v/>
      </c>
      <c r="B996">
        <f>IF(INDEX(Suivi!$B:$B,1015)="","",INDEX(Suivi!$B:$B,1015))</f>
        <v/>
      </c>
      <c r="C996">
        <f>IF($B996="","",IF(INDEX(Suivi!$D:$D,1015)="",INDEX(Suivi!$C:$C,1015),INDEX(Suivi!$D:$D,1015)))</f>
        <v/>
      </c>
      <c r="D996" s="29">
        <f>IF($B996="","",INDEX(Suivi!$E:$E,1015))</f>
        <v/>
      </c>
      <c r="E996" s="29">
        <f>IF($B996="","",INDEX(Suivi!$F:$F,1015))</f>
        <v/>
      </c>
      <c r="F996">
        <f>IF($B996="","",INDEX(Suivi!$G:$G,1015))</f>
        <v/>
      </c>
      <c r="H996">
        <f>IF(OR($B996="",NOT(ISNUMBER($D996))),"",IF($E996&lt;$D$2,"Passé",IF($D996&gt;$F$2,"À venir","Dans la période")))</f>
        <v/>
      </c>
      <c r="I996">
        <f>IF(OR($B996="",NOT(ISNUMBER($D996))),"",IF(AND($E996&lt;$D$2,$G996&lt;&gt;"X",$F996&lt;&gt;"Réalisé",$F996&lt;&gt;"Clôturé"),"RETARD",""))</f>
        <v/>
      </c>
      <c r="J996" s="29">
        <f>IF($B996="","",IF(INDEX(Dossiers!$F$4:$F$63,19)="","",INDEX(Dossiers!$F$4:$F$63,19)))</f>
        <v/>
      </c>
      <c r="K996" s="29">
        <f>IF($B996="","",IF(INDEX(Dossiers!$G$4:$G$63,19)="","",INDEX(Dossiers!$G$4:$G$63,19)))</f>
        <v/>
      </c>
    </row>
    <row r="997">
      <c r="A997">
        <f>IF($B997="","",INDEX(Dossiers!$E$4:$E$63,19))</f>
        <v/>
      </c>
      <c r="B997">
        <f>IF(INDEX(Suivi!$B:$B,1016)="","",INDEX(Suivi!$B:$B,1016))</f>
        <v/>
      </c>
      <c r="C997">
        <f>IF($B997="","",IF(INDEX(Suivi!$D:$D,1016)="",INDEX(Suivi!$C:$C,1016),INDEX(Suivi!$D:$D,1016)))</f>
        <v/>
      </c>
      <c r="D997" s="29">
        <f>IF($B997="","",INDEX(Suivi!$E:$E,1016))</f>
        <v/>
      </c>
      <c r="E997" s="29">
        <f>IF($B997="","",INDEX(Suivi!$F:$F,1016))</f>
        <v/>
      </c>
      <c r="F997">
        <f>IF($B997="","",INDEX(Suivi!$G:$G,1016))</f>
        <v/>
      </c>
      <c r="H997">
        <f>IF(OR($B997="",NOT(ISNUMBER($D997))),"",IF($E997&lt;$D$2,"Passé",IF($D997&gt;$F$2,"À venir","Dans la période")))</f>
        <v/>
      </c>
      <c r="I997">
        <f>IF(OR($B997="",NOT(ISNUMBER($D997))),"",IF(AND($E997&lt;$D$2,$G997&lt;&gt;"X",$F997&lt;&gt;"Réalisé",$F997&lt;&gt;"Clôturé"),"RETARD",""))</f>
        <v/>
      </c>
      <c r="J997" s="29">
        <f>IF($B997="","",IF(INDEX(Dossiers!$F$4:$F$63,19)="","",INDEX(Dossiers!$F$4:$F$63,19)))</f>
        <v/>
      </c>
      <c r="K997" s="29">
        <f>IF($B997="","",IF(INDEX(Dossiers!$G$4:$G$63,19)="","",INDEX(Dossiers!$G$4:$G$63,19)))</f>
        <v/>
      </c>
    </row>
    <row r="998">
      <c r="A998">
        <f>IF($B998="","",INDEX(Dossiers!$E$4:$E$63,19))</f>
        <v/>
      </c>
      <c r="B998">
        <f>IF(INDEX(Suivi!$B:$B,1017)="","",INDEX(Suivi!$B:$B,1017))</f>
        <v/>
      </c>
      <c r="C998">
        <f>IF($B998="","",IF(INDEX(Suivi!$D:$D,1017)="",INDEX(Suivi!$C:$C,1017),INDEX(Suivi!$D:$D,1017)))</f>
        <v/>
      </c>
      <c r="D998" s="29">
        <f>IF($B998="","",INDEX(Suivi!$E:$E,1017))</f>
        <v/>
      </c>
      <c r="E998" s="29">
        <f>IF($B998="","",INDEX(Suivi!$F:$F,1017))</f>
        <v/>
      </c>
      <c r="F998">
        <f>IF($B998="","",INDEX(Suivi!$G:$G,1017))</f>
        <v/>
      </c>
      <c r="H998">
        <f>IF(OR($B998="",NOT(ISNUMBER($D998))),"",IF($E998&lt;$D$2,"Passé",IF($D998&gt;$F$2,"À venir","Dans la période")))</f>
        <v/>
      </c>
      <c r="I998">
        <f>IF(OR($B998="",NOT(ISNUMBER($D998))),"",IF(AND($E998&lt;$D$2,$G998&lt;&gt;"X",$F998&lt;&gt;"Réalisé",$F998&lt;&gt;"Clôturé"),"RETARD",""))</f>
        <v/>
      </c>
      <c r="J998" s="29">
        <f>IF($B998="","",IF(INDEX(Dossiers!$F$4:$F$63,19)="","",INDEX(Dossiers!$F$4:$F$63,19)))</f>
        <v/>
      </c>
      <c r="K998" s="29">
        <f>IF($B998="","",IF(INDEX(Dossiers!$G$4:$G$63,19)="","",INDEX(Dossiers!$G$4:$G$63,19)))</f>
        <v/>
      </c>
    </row>
    <row r="999">
      <c r="A999">
        <f>IF($B999="","",INDEX(Dossiers!$E$4:$E$63,19))</f>
        <v/>
      </c>
      <c r="B999">
        <f>IF(INDEX(Suivi!$B:$B,1018)="","",INDEX(Suivi!$B:$B,1018))</f>
        <v/>
      </c>
      <c r="C999">
        <f>IF($B999="","",IF(INDEX(Suivi!$D:$D,1018)="",INDEX(Suivi!$C:$C,1018),INDEX(Suivi!$D:$D,1018)))</f>
        <v/>
      </c>
      <c r="D999" s="29">
        <f>IF($B999="","",INDEX(Suivi!$E:$E,1018))</f>
        <v/>
      </c>
      <c r="E999" s="29">
        <f>IF($B999="","",INDEX(Suivi!$F:$F,1018))</f>
        <v/>
      </c>
      <c r="F999">
        <f>IF($B999="","",INDEX(Suivi!$G:$G,1018))</f>
        <v/>
      </c>
      <c r="H999">
        <f>IF(OR($B999="",NOT(ISNUMBER($D999))),"",IF($E999&lt;$D$2,"Passé",IF($D999&gt;$F$2,"À venir","Dans la période")))</f>
        <v/>
      </c>
      <c r="I999">
        <f>IF(OR($B999="",NOT(ISNUMBER($D999))),"",IF(AND($E999&lt;$D$2,$G999&lt;&gt;"X",$F999&lt;&gt;"Réalisé",$F999&lt;&gt;"Clôturé"),"RETARD",""))</f>
        <v/>
      </c>
      <c r="J999" s="29">
        <f>IF($B999="","",IF(INDEX(Dossiers!$F$4:$F$63,19)="","",INDEX(Dossiers!$F$4:$F$63,19)))</f>
        <v/>
      </c>
      <c r="K999" s="29">
        <f>IF($B999="","",IF(INDEX(Dossiers!$G$4:$G$63,19)="","",INDEX(Dossiers!$G$4:$G$63,19)))</f>
        <v/>
      </c>
    </row>
    <row r="1000">
      <c r="A1000">
        <f>IF($B1000="","",INDEX(Dossiers!$E$4:$E$63,19))</f>
        <v/>
      </c>
      <c r="B1000">
        <f>IF(INDEX(Suivi!$B:$B,1019)="","",INDEX(Suivi!$B:$B,1019))</f>
        <v/>
      </c>
      <c r="C1000">
        <f>IF($B1000="","",IF(INDEX(Suivi!$D:$D,1019)="",INDEX(Suivi!$C:$C,1019),INDEX(Suivi!$D:$D,1019)))</f>
        <v/>
      </c>
      <c r="D1000" s="29">
        <f>IF($B1000="","",INDEX(Suivi!$E:$E,1019))</f>
        <v/>
      </c>
      <c r="E1000" s="29">
        <f>IF($B1000="","",INDEX(Suivi!$F:$F,1019))</f>
        <v/>
      </c>
      <c r="F1000">
        <f>IF($B1000="","",INDEX(Suivi!$G:$G,1019))</f>
        <v/>
      </c>
      <c r="H1000">
        <f>IF(OR($B1000="",NOT(ISNUMBER($D1000))),"",IF($E1000&lt;$D$2,"Passé",IF($D1000&gt;$F$2,"À venir","Dans la période")))</f>
        <v/>
      </c>
      <c r="I1000">
        <f>IF(OR($B1000="",NOT(ISNUMBER($D1000))),"",IF(AND($E1000&lt;$D$2,$G1000&lt;&gt;"X",$F1000&lt;&gt;"Réalisé",$F1000&lt;&gt;"Clôturé"),"RETARD",""))</f>
        <v/>
      </c>
      <c r="J1000" s="29">
        <f>IF($B1000="","",IF(INDEX(Dossiers!$F$4:$F$63,19)="","",INDEX(Dossiers!$F$4:$F$63,19)))</f>
        <v/>
      </c>
      <c r="K1000" s="29">
        <f>IF($B1000="","",IF(INDEX(Dossiers!$G$4:$G$63,19)="","",INDEX(Dossiers!$G$4:$G$63,19)))</f>
        <v/>
      </c>
    </row>
    <row r="1001">
      <c r="A1001">
        <f>IF($B1001="","",INDEX(Dossiers!$E$4:$E$63,19))</f>
        <v/>
      </c>
      <c r="B1001">
        <f>IF(INDEX(Suivi!$B:$B,1020)="","",INDEX(Suivi!$B:$B,1020))</f>
        <v/>
      </c>
      <c r="C1001">
        <f>IF($B1001="","",IF(INDEX(Suivi!$D:$D,1020)="",INDEX(Suivi!$C:$C,1020),INDEX(Suivi!$D:$D,1020)))</f>
        <v/>
      </c>
      <c r="D1001" s="29">
        <f>IF($B1001="","",INDEX(Suivi!$E:$E,1020))</f>
        <v/>
      </c>
      <c r="E1001" s="29">
        <f>IF($B1001="","",INDEX(Suivi!$F:$F,1020))</f>
        <v/>
      </c>
      <c r="F1001">
        <f>IF($B1001="","",INDEX(Suivi!$G:$G,1020))</f>
        <v/>
      </c>
      <c r="H1001">
        <f>IF(OR($B1001="",NOT(ISNUMBER($D1001))),"",IF($E1001&lt;$D$2,"Passé",IF($D1001&gt;$F$2,"À venir","Dans la période")))</f>
        <v/>
      </c>
      <c r="I1001">
        <f>IF(OR($B1001="",NOT(ISNUMBER($D1001))),"",IF(AND($E1001&lt;$D$2,$G1001&lt;&gt;"X",$F1001&lt;&gt;"Réalisé",$F1001&lt;&gt;"Clôturé"),"RETARD",""))</f>
        <v/>
      </c>
      <c r="J1001" s="29">
        <f>IF($B1001="","",IF(INDEX(Dossiers!$F$4:$F$63,19)="","",INDEX(Dossiers!$F$4:$F$63,19)))</f>
        <v/>
      </c>
      <c r="K1001" s="29">
        <f>IF($B1001="","",IF(INDEX(Dossiers!$G$4:$G$63,19)="","",INDEX(Dossiers!$G$4:$G$63,19)))</f>
        <v/>
      </c>
    </row>
    <row r="1002">
      <c r="A1002">
        <f>IF($B1002="","",INDEX(Dossiers!$E$4:$E$63,19))</f>
        <v/>
      </c>
      <c r="B1002">
        <f>IF(INDEX(Suivi!$B:$B,1021)="","",INDEX(Suivi!$B:$B,1021))</f>
        <v/>
      </c>
      <c r="C1002">
        <f>IF($B1002="","",IF(INDEX(Suivi!$D:$D,1021)="",INDEX(Suivi!$C:$C,1021),INDEX(Suivi!$D:$D,1021)))</f>
        <v/>
      </c>
      <c r="D1002" s="29">
        <f>IF($B1002="","",INDEX(Suivi!$E:$E,1021))</f>
        <v/>
      </c>
      <c r="E1002" s="29">
        <f>IF($B1002="","",INDEX(Suivi!$F:$F,1021))</f>
        <v/>
      </c>
      <c r="F1002">
        <f>IF($B1002="","",INDEX(Suivi!$G:$G,1021))</f>
        <v/>
      </c>
      <c r="H1002">
        <f>IF(OR($B1002="",NOT(ISNUMBER($D1002))),"",IF($E1002&lt;$D$2,"Passé",IF($D1002&gt;$F$2,"À venir","Dans la période")))</f>
        <v/>
      </c>
      <c r="I1002">
        <f>IF(OR($B1002="",NOT(ISNUMBER($D1002))),"",IF(AND($E1002&lt;$D$2,$G1002&lt;&gt;"X",$F1002&lt;&gt;"Réalisé",$F1002&lt;&gt;"Clôturé"),"RETARD",""))</f>
        <v/>
      </c>
      <c r="J1002" s="29">
        <f>IF($B1002="","",IF(INDEX(Dossiers!$F$4:$F$63,19)="","",INDEX(Dossiers!$F$4:$F$63,19)))</f>
        <v/>
      </c>
      <c r="K1002" s="29">
        <f>IF($B1002="","",IF(INDEX(Dossiers!$G$4:$G$63,19)="","",INDEX(Dossiers!$G$4:$G$63,19)))</f>
        <v/>
      </c>
    </row>
    <row r="1003">
      <c r="A1003">
        <f>IF($B1003="","",INDEX(Dossiers!$E$4:$E$63,19))</f>
        <v/>
      </c>
      <c r="B1003">
        <f>IF(INDEX(Suivi!$B:$B,1022)="","",INDEX(Suivi!$B:$B,1022))</f>
        <v/>
      </c>
      <c r="C1003">
        <f>IF($B1003="","",IF(INDEX(Suivi!$D:$D,1022)="",INDEX(Suivi!$C:$C,1022),INDEX(Suivi!$D:$D,1022)))</f>
        <v/>
      </c>
      <c r="D1003" s="29">
        <f>IF($B1003="","",INDEX(Suivi!$E:$E,1022))</f>
        <v/>
      </c>
      <c r="E1003" s="29">
        <f>IF($B1003="","",INDEX(Suivi!$F:$F,1022))</f>
        <v/>
      </c>
      <c r="F1003">
        <f>IF($B1003="","",INDEX(Suivi!$G:$G,1022))</f>
        <v/>
      </c>
      <c r="H1003">
        <f>IF(OR($B1003="",NOT(ISNUMBER($D1003))),"",IF($E1003&lt;$D$2,"Passé",IF($D1003&gt;$F$2,"À venir","Dans la période")))</f>
        <v/>
      </c>
      <c r="I1003">
        <f>IF(OR($B1003="",NOT(ISNUMBER($D1003))),"",IF(AND($E1003&lt;$D$2,$G1003&lt;&gt;"X",$F1003&lt;&gt;"Réalisé",$F1003&lt;&gt;"Clôturé"),"RETARD",""))</f>
        <v/>
      </c>
      <c r="J1003" s="29">
        <f>IF($B1003="","",IF(INDEX(Dossiers!$F$4:$F$63,19)="","",INDEX(Dossiers!$F$4:$F$63,19)))</f>
        <v/>
      </c>
      <c r="K1003" s="29">
        <f>IF($B1003="","",IF(INDEX(Dossiers!$G$4:$G$63,19)="","",INDEX(Dossiers!$G$4:$G$63,19)))</f>
        <v/>
      </c>
    </row>
    <row r="1004">
      <c r="A1004">
        <f>IF($B1004="","",INDEX(Dossiers!$E$4:$E$63,19))</f>
        <v/>
      </c>
      <c r="B1004">
        <f>IF(INDEX(Suivi!$B:$B,1023)="","",INDEX(Suivi!$B:$B,1023))</f>
        <v/>
      </c>
      <c r="C1004">
        <f>IF($B1004="","",IF(INDEX(Suivi!$D:$D,1023)="",INDEX(Suivi!$C:$C,1023),INDEX(Suivi!$D:$D,1023)))</f>
        <v/>
      </c>
      <c r="D1004" s="29">
        <f>IF($B1004="","",INDEX(Suivi!$E:$E,1023))</f>
        <v/>
      </c>
      <c r="E1004" s="29">
        <f>IF($B1004="","",INDEX(Suivi!$F:$F,1023))</f>
        <v/>
      </c>
      <c r="F1004">
        <f>IF($B1004="","",INDEX(Suivi!$G:$G,1023))</f>
        <v/>
      </c>
      <c r="H1004">
        <f>IF(OR($B1004="",NOT(ISNUMBER($D1004))),"",IF($E1004&lt;$D$2,"Passé",IF($D1004&gt;$F$2,"À venir","Dans la période")))</f>
        <v/>
      </c>
      <c r="I1004">
        <f>IF(OR($B1004="",NOT(ISNUMBER($D1004))),"",IF(AND($E1004&lt;$D$2,$G1004&lt;&gt;"X",$F1004&lt;&gt;"Réalisé",$F1004&lt;&gt;"Clôturé"),"RETARD",""))</f>
        <v/>
      </c>
      <c r="J1004" s="29">
        <f>IF($B1004="","",IF(INDEX(Dossiers!$F$4:$F$63,19)="","",INDEX(Dossiers!$F$4:$F$63,19)))</f>
        <v/>
      </c>
      <c r="K1004" s="29">
        <f>IF($B1004="","",IF(INDEX(Dossiers!$G$4:$G$63,19)="","",INDEX(Dossiers!$G$4:$G$63,19)))</f>
        <v/>
      </c>
    </row>
    <row r="1005">
      <c r="A1005">
        <f>IF($B1005="","",INDEX(Dossiers!$E$4:$E$63,19))</f>
        <v/>
      </c>
      <c r="B1005">
        <f>IF(INDEX(Suivi!$B:$B,1024)="","",INDEX(Suivi!$B:$B,1024))</f>
        <v/>
      </c>
      <c r="C1005">
        <f>IF($B1005="","",IF(INDEX(Suivi!$D:$D,1024)="",INDEX(Suivi!$C:$C,1024),INDEX(Suivi!$D:$D,1024)))</f>
        <v/>
      </c>
      <c r="D1005" s="29">
        <f>IF($B1005="","",INDEX(Suivi!$E:$E,1024))</f>
        <v/>
      </c>
      <c r="E1005" s="29">
        <f>IF($B1005="","",INDEX(Suivi!$F:$F,1024))</f>
        <v/>
      </c>
      <c r="F1005">
        <f>IF($B1005="","",INDEX(Suivi!$G:$G,1024))</f>
        <v/>
      </c>
      <c r="H1005">
        <f>IF(OR($B1005="",NOT(ISNUMBER($D1005))),"",IF($E1005&lt;$D$2,"Passé",IF($D1005&gt;$F$2,"À venir","Dans la période")))</f>
        <v/>
      </c>
      <c r="I1005">
        <f>IF(OR($B1005="",NOT(ISNUMBER($D1005))),"",IF(AND($E1005&lt;$D$2,$G1005&lt;&gt;"X",$F1005&lt;&gt;"Réalisé",$F1005&lt;&gt;"Clôturé"),"RETARD",""))</f>
        <v/>
      </c>
      <c r="J1005" s="29">
        <f>IF($B1005="","",IF(INDEX(Dossiers!$F$4:$F$63,19)="","",INDEX(Dossiers!$F$4:$F$63,19)))</f>
        <v/>
      </c>
      <c r="K1005" s="29">
        <f>IF($B1005="","",IF(INDEX(Dossiers!$G$4:$G$63,19)="","",INDEX(Dossiers!$G$4:$G$63,19)))</f>
        <v/>
      </c>
    </row>
    <row r="1006">
      <c r="A1006">
        <f>IF($B1006="","",INDEX(Dossiers!$E$4:$E$63,19))</f>
        <v/>
      </c>
      <c r="B1006">
        <f>IF(INDEX(Suivi!$B:$B,1025)="","",INDEX(Suivi!$B:$B,1025))</f>
        <v/>
      </c>
      <c r="C1006">
        <f>IF($B1006="","",IF(INDEX(Suivi!$D:$D,1025)="",INDEX(Suivi!$C:$C,1025),INDEX(Suivi!$D:$D,1025)))</f>
        <v/>
      </c>
      <c r="D1006" s="29">
        <f>IF($B1006="","",INDEX(Suivi!$E:$E,1025))</f>
        <v/>
      </c>
      <c r="E1006" s="29">
        <f>IF($B1006="","",INDEX(Suivi!$F:$F,1025))</f>
        <v/>
      </c>
      <c r="F1006">
        <f>IF($B1006="","",INDEX(Suivi!$G:$G,1025))</f>
        <v/>
      </c>
      <c r="H1006">
        <f>IF(OR($B1006="",NOT(ISNUMBER($D1006))),"",IF($E1006&lt;$D$2,"Passé",IF($D1006&gt;$F$2,"À venir","Dans la période")))</f>
        <v/>
      </c>
      <c r="I1006">
        <f>IF(OR($B1006="",NOT(ISNUMBER($D1006))),"",IF(AND($E1006&lt;$D$2,$G1006&lt;&gt;"X",$F1006&lt;&gt;"Réalisé",$F1006&lt;&gt;"Clôturé"),"RETARD",""))</f>
        <v/>
      </c>
      <c r="J1006" s="29">
        <f>IF($B1006="","",IF(INDEX(Dossiers!$F$4:$F$63,19)="","",INDEX(Dossiers!$F$4:$F$63,19)))</f>
        <v/>
      </c>
      <c r="K1006" s="29">
        <f>IF($B1006="","",IF(INDEX(Dossiers!$G$4:$G$63,19)="","",INDEX(Dossiers!$G$4:$G$63,19)))</f>
        <v/>
      </c>
    </row>
    <row r="1007">
      <c r="A1007">
        <f>IF($B1007="","",INDEX(Dossiers!$E$4:$E$63,19))</f>
        <v/>
      </c>
      <c r="B1007">
        <f>IF(INDEX(Suivi!$B:$B,1026)="","",INDEX(Suivi!$B:$B,1026))</f>
        <v/>
      </c>
      <c r="C1007">
        <f>IF($B1007="","",IF(INDEX(Suivi!$D:$D,1026)="",INDEX(Suivi!$C:$C,1026),INDEX(Suivi!$D:$D,1026)))</f>
        <v/>
      </c>
      <c r="D1007" s="29">
        <f>IF($B1007="","",INDEX(Suivi!$E:$E,1026))</f>
        <v/>
      </c>
      <c r="E1007" s="29">
        <f>IF($B1007="","",INDEX(Suivi!$F:$F,1026))</f>
        <v/>
      </c>
      <c r="F1007">
        <f>IF($B1007="","",INDEX(Suivi!$G:$G,1026))</f>
        <v/>
      </c>
      <c r="H1007">
        <f>IF(OR($B1007="",NOT(ISNUMBER($D1007))),"",IF($E1007&lt;$D$2,"Passé",IF($D1007&gt;$F$2,"À venir","Dans la période")))</f>
        <v/>
      </c>
      <c r="I1007">
        <f>IF(OR($B1007="",NOT(ISNUMBER($D1007))),"",IF(AND($E1007&lt;$D$2,$G1007&lt;&gt;"X",$F1007&lt;&gt;"Réalisé",$F1007&lt;&gt;"Clôturé"),"RETARD",""))</f>
        <v/>
      </c>
      <c r="J1007" s="29">
        <f>IF($B1007="","",IF(INDEX(Dossiers!$F$4:$F$63,19)="","",INDEX(Dossiers!$F$4:$F$63,19)))</f>
        <v/>
      </c>
      <c r="K1007" s="29">
        <f>IF($B1007="","",IF(INDEX(Dossiers!$G$4:$G$63,19)="","",INDEX(Dossiers!$G$4:$G$63,19)))</f>
        <v/>
      </c>
    </row>
    <row r="1008">
      <c r="A1008">
        <f>IF($B1008="","",INDEX(Dossiers!$E$4:$E$63,19))</f>
        <v/>
      </c>
      <c r="B1008">
        <f>IF(INDEX(Suivi!$B:$B,1027)="","",INDEX(Suivi!$B:$B,1027))</f>
        <v/>
      </c>
      <c r="C1008">
        <f>IF($B1008="","",IF(INDEX(Suivi!$D:$D,1027)="",INDEX(Suivi!$C:$C,1027),INDEX(Suivi!$D:$D,1027)))</f>
        <v/>
      </c>
      <c r="D1008" s="29">
        <f>IF($B1008="","",INDEX(Suivi!$E:$E,1027))</f>
        <v/>
      </c>
      <c r="E1008" s="29">
        <f>IF($B1008="","",INDEX(Suivi!$F:$F,1027))</f>
        <v/>
      </c>
      <c r="F1008">
        <f>IF($B1008="","",INDEX(Suivi!$G:$G,1027))</f>
        <v/>
      </c>
      <c r="H1008">
        <f>IF(OR($B1008="",NOT(ISNUMBER($D1008))),"",IF($E1008&lt;$D$2,"Passé",IF($D1008&gt;$F$2,"À venir","Dans la période")))</f>
        <v/>
      </c>
      <c r="I1008">
        <f>IF(OR($B1008="",NOT(ISNUMBER($D1008))),"",IF(AND($E1008&lt;$D$2,$G1008&lt;&gt;"X",$F1008&lt;&gt;"Réalisé",$F1008&lt;&gt;"Clôturé"),"RETARD",""))</f>
        <v/>
      </c>
      <c r="J1008" s="29">
        <f>IF($B1008="","",IF(INDEX(Dossiers!$F$4:$F$63,19)="","",INDEX(Dossiers!$F$4:$F$63,19)))</f>
        <v/>
      </c>
      <c r="K1008" s="29">
        <f>IF($B1008="","",IF(INDEX(Dossiers!$G$4:$G$63,19)="","",INDEX(Dossiers!$G$4:$G$63,19)))</f>
        <v/>
      </c>
    </row>
    <row r="1009">
      <c r="A1009">
        <f>IF($B1009="","",INDEX(Dossiers!$E$4:$E$63,19))</f>
        <v/>
      </c>
      <c r="B1009">
        <f>IF(INDEX(Suivi!$B:$B,1028)="","",INDEX(Suivi!$B:$B,1028))</f>
        <v/>
      </c>
      <c r="C1009">
        <f>IF($B1009="","",IF(INDEX(Suivi!$D:$D,1028)="",INDEX(Suivi!$C:$C,1028),INDEX(Suivi!$D:$D,1028)))</f>
        <v/>
      </c>
      <c r="D1009" s="29">
        <f>IF($B1009="","",INDEX(Suivi!$E:$E,1028))</f>
        <v/>
      </c>
      <c r="E1009" s="29">
        <f>IF($B1009="","",INDEX(Suivi!$F:$F,1028))</f>
        <v/>
      </c>
      <c r="F1009">
        <f>IF($B1009="","",INDEX(Suivi!$G:$G,1028))</f>
        <v/>
      </c>
      <c r="H1009">
        <f>IF(OR($B1009="",NOT(ISNUMBER($D1009))),"",IF($E1009&lt;$D$2,"Passé",IF($D1009&gt;$F$2,"À venir","Dans la période")))</f>
        <v/>
      </c>
      <c r="I1009">
        <f>IF(OR($B1009="",NOT(ISNUMBER($D1009))),"",IF(AND($E1009&lt;$D$2,$G1009&lt;&gt;"X",$F1009&lt;&gt;"Réalisé",$F1009&lt;&gt;"Clôturé"),"RETARD",""))</f>
        <v/>
      </c>
      <c r="J1009" s="29">
        <f>IF($B1009="","",IF(INDEX(Dossiers!$F$4:$F$63,19)="","",INDEX(Dossiers!$F$4:$F$63,19)))</f>
        <v/>
      </c>
      <c r="K1009" s="29">
        <f>IF($B1009="","",IF(INDEX(Dossiers!$G$4:$G$63,19)="","",INDEX(Dossiers!$G$4:$G$63,19)))</f>
        <v/>
      </c>
    </row>
    <row r="1010">
      <c r="A1010">
        <f>IF($B1010="","",INDEX(Dossiers!$E$4:$E$63,19))</f>
        <v/>
      </c>
      <c r="B1010">
        <f>IF(INDEX(Suivi!$B:$B,1029)="","",INDEX(Suivi!$B:$B,1029))</f>
        <v/>
      </c>
      <c r="C1010">
        <f>IF($B1010="","",IF(INDEX(Suivi!$D:$D,1029)="",INDEX(Suivi!$C:$C,1029),INDEX(Suivi!$D:$D,1029)))</f>
        <v/>
      </c>
      <c r="D1010" s="29">
        <f>IF($B1010="","",INDEX(Suivi!$E:$E,1029))</f>
        <v/>
      </c>
      <c r="E1010" s="29">
        <f>IF($B1010="","",INDEX(Suivi!$F:$F,1029))</f>
        <v/>
      </c>
      <c r="F1010">
        <f>IF($B1010="","",INDEX(Suivi!$G:$G,1029))</f>
        <v/>
      </c>
      <c r="H1010">
        <f>IF(OR($B1010="",NOT(ISNUMBER($D1010))),"",IF($E1010&lt;$D$2,"Passé",IF($D1010&gt;$F$2,"À venir","Dans la période")))</f>
        <v/>
      </c>
      <c r="I1010">
        <f>IF(OR($B1010="",NOT(ISNUMBER($D1010))),"",IF(AND($E1010&lt;$D$2,$G1010&lt;&gt;"X",$F1010&lt;&gt;"Réalisé",$F1010&lt;&gt;"Clôturé"),"RETARD",""))</f>
        <v/>
      </c>
      <c r="J1010" s="29">
        <f>IF($B1010="","",IF(INDEX(Dossiers!$F$4:$F$63,19)="","",INDEX(Dossiers!$F$4:$F$63,19)))</f>
        <v/>
      </c>
      <c r="K1010" s="29">
        <f>IF($B1010="","",IF(INDEX(Dossiers!$G$4:$G$63,19)="","",INDEX(Dossiers!$G$4:$G$63,19)))</f>
        <v/>
      </c>
    </row>
    <row r="1011">
      <c r="A1011">
        <f>IF($B1011="","",INDEX(Dossiers!$E$4:$E$63,20))</f>
        <v/>
      </c>
      <c r="B1011">
        <f>IF(INDEX(Suivi!$B:$B,1031)="","",INDEX(Suivi!$B:$B,1031))</f>
        <v/>
      </c>
      <c r="C1011">
        <f>IF($B1011="","",IF(INDEX(Suivi!$D:$D,1031)="",INDEX(Suivi!$C:$C,1031),INDEX(Suivi!$D:$D,1031)))</f>
        <v/>
      </c>
      <c r="D1011" s="29">
        <f>IF($B1011="","",INDEX(Suivi!$E:$E,1031))</f>
        <v/>
      </c>
      <c r="E1011" s="29">
        <f>IF($B1011="","",INDEX(Suivi!$F:$F,1031))</f>
        <v/>
      </c>
      <c r="F1011">
        <f>IF($B1011="","",INDEX(Suivi!$G:$G,1031))</f>
        <v/>
      </c>
      <c r="H1011">
        <f>IF(OR($B1011="",NOT(ISNUMBER($D1011))),"",IF($E1011&lt;$D$2,"Passé",IF($D1011&gt;$F$2,"À venir","Dans la période")))</f>
        <v/>
      </c>
      <c r="I1011">
        <f>IF(OR($B1011="",NOT(ISNUMBER($D1011))),"",IF(AND($E1011&lt;$D$2,$G1011&lt;&gt;"X",$F1011&lt;&gt;"Réalisé",$F1011&lt;&gt;"Clôturé"),"RETARD",""))</f>
        <v/>
      </c>
      <c r="J1011" s="29">
        <f>IF($B1011="","",IF(INDEX(Dossiers!$F$4:$F$63,20)="","",INDEX(Dossiers!$F$4:$F$63,20)))</f>
        <v/>
      </c>
      <c r="K1011" s="29">
        <f>IF($B1011="","",IF(INDEX(Dossiers!$G$4:$G$63,20)="","",INDEX(Dossiers!$G$4:$G$63,20)))</f>
        <v/>
      </c>
    </row>
    <row r="1012">
      <c r="A1012">
        <f>IF($B1012="","",INDEX(Dossiers!$E$4:$E$63,20))</f>
        <v/>
      </c>
      <c r="B1012">
        <f>IF(INDEX(Suivi!$B:$B,1032)="","",INDEX(Suivi!$B:$B,1032))</f>
        <v/>
      </c>
      <c r="C1012">
        <f>IF($B1012="","",IF(INDEX(Suivi!$D:$D,1032)="",INDEX(Suivi!$C:$C,1032),INDEX(Suivi!$D:$D,1032)))</f>
        <v/>
      </c>
      <c r="D1012" s="29">
        <f>IF($B1012="","",INDEX(Suivi!$E:$E,1032))</f>
        <v/>
      </c>
      <c r="E1012" s="29">
        <f>IF($B1012="","",INDEX(Suivi!$F:$F,1032))</f>
        <v/>
      </c>
      <c r="F1012">
        <f>IF($B1012="","",INDEX(Suivi!$G:$G,1032))</f>
        <v/>
      </c>
      <c r="H1012">
        <f>IF(OR($B1012="",NOT(ISNUMBER($D1012))),"",IF($E1012&lt;$D$2,"Passé",IF($D1012&gt;$F$2,"À venir","Dans la période")))</f>
        <v/>
      </c>
      <c r="I1012">
        <f>IF(OR($B1012="",NOT(ISNUMBER($D1012))),"",IF(AND($E1012&lt;$D$2,$G1012&lt;&gt;"X",$F1012&lt;&gt;"Réalisé",$F1012&lt;&gt;"Clôturé"),"RETARD",""))</f>
        <v/>
      </c>
      <c r="J1012" s="29">
        <f>IF($B1012="","",IF(INDEX(Dossiers!$F$4:$F$63,20)="","",INDEX(Dossiers!$F$4:$F$63,20)))</f>
        <v/>
      </c>
      <c r="K1012" s="29">
        <f>IF($B1012="","",IF(INDEX(Dossiers!$G$4:$G$63,20)="","",INDEX(Dossiers!$G$4:$G$63,20)))</f>
        <v/>
      </c>
    </row>
    <row r="1013">
      <c r="A1013">
        <f>IF($B1013="","",INDEX(Dossiers!$E$4:$E$63,20))</f>
        <v/>
      </c>
      <c r="B1013">
        <f>IF(INDEX(Suivi!$B:$B,1033)="","",INDEX(Suivi!$B:$B,1033))</f>
        <v/>
      </c>
      <c r="C1013">
        <f>IF($B1013="","",IF(INDEX(Suivi!$D:$D,1033)="",INDEX(Suivi!$C:$C,1033),INDEX(Suivi!$D:$D,1033)))</f>
        <v/>
      </c>
      <c r="D1013" s="29">
        <f>IF($B1013="","",INDEX(Suivi!$E:$E,1033))</f>
        <v/>
      </c>
      <c r="E1013" s="29">
        <f>IF($B1013="","",INDEX(Suivi!$F:$F,1033))</f>
        <v/>
      </c>
      <c r="F1013">
        <f>IF($B1013="","",INDEX(Suivi!$G:$G,1033))</f>
        <v/>
      </c>
      <c r="H1013">
        <f>IF(OR($B1013="",NOT(ISNUMBER($D1013))),"",IF($E1013&lt;$D$2,"Passé",IF($D1013&gt;$F$2,"À venir","Dans la période")))</f>
        <v/>
      </c>
      <c r="I1013">
        <f>IF(OR($B1013="",NOT(ISNUMBER($D1013))),"",IF(AND($E1013&lt;$D$2,$G1013&lt;&gt;"X",$F1013&lt;&gt;"Réalisé",$F1013&lt;&gt;"Clôturé"),"RETARD",""))</f>
        <v/>
      </c>
      <c r="J1013" s="29">
        <f>IF($B1013="","",IF(INDEX(Dossiers!$F$4:$F$63,20)="","",INDEX(Dossiers!$F$4:$F$63,20)))</f>
        <v/>
      </c>
      <c r="K1013" s="29">
        <f>IF($B1013="","",IF(INDEX(Dossiers!$G$4:$G$63,20)="","",INDEX(Dossiers!$G$4:$G$63,20)))</f>
        <v/>
      </c>
    </row>
    <row r="1014">
      <c r="A1014">
        <f>IF($B1014="","",INDEX(Dossiers!$E$4:$E$63,20))</f>
        <v/>
      </c>
      <c r="B1014">
        <f>IF(INDEX(Suivi!$B:$B,1034)="","",INDEX(Suivi!$B:$B,1034))</f>
        <v/>
      </c>
      <c r="C1014">
        <f>IF($B1014="","",IF(INDEX(Suivi!$D:$D,1034)="",INDEX(Suivi!$C:$C,1034),INDEX(Suivi!$D:$D,1034)))</f>
        <v/>
      </c>
      <c r="D1014" s="29">
        <f>IF($B1014="","",INDEX(Suivi!$E:$E,1034))</f>
        <v/>
      </c>
      <c r="E1014" s="29">
        <f>IF($B1014="","",INDEX(Suivi!$F:$F,1034))</f>
        <v/>
      </c>
      <c r="F1014">
        <f>IF($B1014="","",INDEX(Suivi!$G:$G,1034))</f>
        <v/>
      </c>
      <c r="H1014">
        <f>IF(OR($B1014="",NOT(ISNUMBER($D1014))),"",IF($E1014&lt;$D$2,"Passé",IF($D1014&gt;$F$2,"À venir","Dans la période")))</f>
        <v/>
      </c>
      <c r="I1014">
        <f>IF(OR($B1014="",NOT(ISNUMBER($D1014))),"",IF(AND($E1014&lt;$D$2,$G1014&lt;&gt;"X",$F1014&lt;&gt;"Réalisé",$F1014&lt;&gt;"Clôturé"),"RETARD",""))</f>
        <v/>
      </c>
      <c r="J1014" s="29">
        <f>IF($B1014="","",IF(INDEX(Dossiers!$F$4:$F$63,20)="","",INDEX(Dossiers!$F$4:$F$63,20)))</f>
        <v/>
      </c>
      <c r="K1014" s="29">
        <f>IF($B1014="","",IF(INDEX(Dossiers!$G$4:$G$63,20)="","",INDEX(Dossiers!$G$4:$G$63,20)))</f>
        <v/>
      </c>
    </row>
    <row r="1015">
      <c r="A1015">
        <f>IF($B1015="","",INDEX(Dossiers!$E$4:$E$63,20))</f>
        <v/>
      </c>
      <c r="B1015">
        <f>IF(INDEX(Suivi!$B:$B,1035)="","",INDEX(Suivi!$B:$B,1035))</f>
        <v/>
      </c>
      <c r="C1015">
        <f>IF($B1015="","",IF(INDEX(Suivi!$D:$D,1035)="",INDEX(Suivi!$C:$C,1035),INDEX(Suivi!$D:$D,1035)))</f>
        <v/>
      </c>
      <c r="D1015" s="29">
        <f>IF($B1015="","",INDEX(Suivi!$E:$E,1035))</f>
        <v/>
      </c>
      <c r="E1015" s="29">
        <f>IF($B1015="","",INDEX(Suivi!$F:$F,1035))</f>
        <v/>
      </c>
      <c r="F1015">
        <f>IF($B1015="","",INDEX(Suivi!$G:$G,1035))</f>
        <v/>
      </c>
      <c r="H1015">
        <f>IF(OR($B1015="",NOT(ISNUMBER($D1015))),"",IF($E1015&lt;$D$2,"Passé",IF($D1015&gt;$F$2,"À venir","Dans la période")))</f>
        <v/>
      </c>
      <c r="I1015">
        <f>IF(OR($B1015="",NOT(ISNUMBER($D1015))),"",IF(AND($E1015&lt;$D$2,$G1015&lt;&gt;"X",$F1015&lt;&gt;"Réalisé",$F1015&lt;&gt;"Clôturé"),"RETARD",""))</f>
        <v/>
      </c>
      <c r="J1015" s="29">
        <f>IF($B1015="","",IF(INDEX(Dossiers!$F$4:$F$63,20)="","",INDEX(Dossiers!$F$4:$F$63,20)))</f>
        <v/>
      </c>
      <c r="K1015" s="29">
        <f>IF($B1015="","",IF(INDEX(Dossiers!$G$4:$G$63,20)="","",INDEX(Dossiers!$G$4:$G$63,20)))</f>
        <v/>
      </c>
    </row>
    <row r="1016">
      <c r="A1016">
        <f>IF($B1016="","",INDEX(Dossiers!$E$4:$E$63,20))</f>
        <v/>
      </c>
      <c r="B1016">
        <f>IF(INDEX(Suivi!$B:$B,1036)="","",INDEX(Suivi!$B:$B,1036))</f>
        <v/>
      </c>
      <c r="C1016">
        <f>IF($B1016="","",IF(INDEX(Suivi!$D:$D,1036)="",INDEX(Suivi!$C:$C,1036),INDEX(Suivi!$D:$D,1036)))</f>
        <v/>
      </c>
      <c r="D1016" s="29">
        <f>IF($B1016="","",INDEX(Suivi!$E:$E,1036))</f>
        <v/>
      </c>
      <c r="E1016" s="29">
        <f>IF($B1016="","",INDEX(Suivi!$F:$F,1036))</f>
        <v/>
      </c>
      <c r="F1016">
        <f>IF($B1016="","",INDEX(Suivi!$G:$G,1036))</f>
        <v/>
      </c>
      <c r="H1016">
        <f>IF(OR($B1016="",NOT(ISNUMBER($D1016))),"",IF($E1016&lt;$D$2,"Passé",IF($D1016&gt;$F$2,"À venir","Dans la période")))</f>
        <v/>
      </c>
      <c r="I1016">
        <f>IF(OR($B1016="",NOT(ISNUMBER($D1016))),"",IF(AND($E1016&lt;$D$2,$G1016&lt;&gt;"X",$F1016&lt;&gt;"Réalisé",$F1016&lt;&gt;"Clôturé"),"RETARD",""))</f>
        <v/>
      </c>
      <c r="J1016" s="29">
        <f>IF($B1016="","",IF(INDEX(Dossiers!$F$4:$F$63,20)="","",INDEX(Dossiers!$F$4:$F$63,20)))</f>
        <v/>
      </c>
      <c r="K1016" s="29">
        <f>IF($B1016="","",IF(INDEX(Dossiers!$G$4:$G$63,20)="","",INDEX(Dossiers!$G$4:$G$63,20)))</f>
        <v/>
      </c>
    </row>
    <row r="1017">
      <c r="A1017">
        <f>IF($B1017="","",INDEX(Dossiers!$E$4:$E$63,20))</f>
        <v/>
      </c>
      <c r="B1017">
        <f>IF(INDEX(Suivi!$B:$B,1037)="","",INDEX(Suivi!$B:$B,1037))</f>
        <v/>
      </c>
      <c r="C1017">
        <f>IF($B1017="","",IF(INDEX(Suivi!$D:$D,1037)="",INDEX(Suivi!$C:$C,1037),INDEX(Suivi!$D:$D,1037)))</f>
        <v/>
      </c>
      <c r="D1017" s="29">
        <f>IF($B1017="","",INDEX(Suivi!$E:$E,1037))</f>
        <v/>
      </c>
      <c r="E1017" s="29">
        <f>IF($B1017="","",INDEX(Suivi!$F:$F,1037))</f>
        <v/>
      </c>
      <c r="F1017">
        <f>IF($B1017="","",INDEX(Suivi!$G:$G,1037))</f>
        <v/>
      </c>
      <c r="H1017">
        <f>IF(OR($B1017="",NOT(ISNUMBER($D1017))),"",IF($E1017&lt;$D$2,"Passé",IF($D1017&gt;$F$2,"À venir","Dans la période")))</f>
        <v/>
      </c>
      <c r="I1017">
        <f>IF(OR($B1017="",NOT(ISNUMBER($D1017))),"",IF(AND($E1017&lt;$D$2,$G1017&lt;&gt;"X",$F1017&lt;&gt;"Réalisé",$F1017&lt;&gt;"Clôturé"),"RETARD",""))</f>
        <v/>
      </c>
      <c r="J1017" s="29">
        <f>IF($B1017="","",IF(INDEX(Dossiers!$F$4:$F$63,20)="","",INDEX(Dossiers!$F$4:$F$63,20)))</f>
        <v/>
      </c>
      <c r="K1017" s="29">
        <f>IF($B1017="","",IF(INDEX(Dossiers!$G$4:$G$63,20)="","",INDEX(Dossiers!$G$4:$G$63,20)))</f>
        <v/>
      </c>
    </row>
    <row r="1018">
      <c r="A1018">
        <f>IF($B1018="","",INDEX(Dossiers!$E$4:$E$63,20))</f>
        <v/>
      </c>
      <c r="B1018">
        <f>IF(INDEX(Suivi!$B:$B,1038)="","",INDEX(Suivi!$B:$B,1038))</f>
        <v/>
      </c>
      <c r="C1018">
        <f>IF($B1018="","",IF(INDEX(Suivi!$D:$D,1038)="",INDEX(Suivi!$C:$C,1038),INDEX(Suivi!$D:$D,1038)))</f>
        <v/>
      </c>
      <c r="D1018" s="29">
        <f>IF($B1018="","",INDEX(Suivi!$E:$E,1038))</f>
        <v/>
      </c>
      <c r="E1018" s="29">
        <f>IF($B1018="","",INDEX(Suivi!$F:$F,1038))</f>
        <v/>
      </c>
      <c r="F1018">
        <f>IF($B1018="","",INDEX(Suivi!$G:$G,1038))</f>
        <v/>
      </c>
      <c r="H1018">
        <f>IF(OR($B1018="",NOT(ISNUMBER($D1018))),"",IF($E1018&lt;$D$2,"Passé",IF($D1018&gt;$F$2,"À venir","Dans la période")))</f>
        <v/>
      </c>
      <c r="I1018">
        <f>IF(OR($B1018="",NOT(ISNUMBER($D1018))),"",IF(AND($E1018&lt;$D$2,$G1018&lt;&gt;"X",$F1018&lt;&gt;"Réalisé",$F1018&lt;&gt;"Clôturé"),"RETARD",""))</f>
        <v/>
      </c>
      <c r="J1018" s="29">
        <f>IF($B1018="","",IF(INDEX(Dossiers!$F$4:$F$63,20)="","",INDEX(Dossiers!$F$4:$F$63,20)))</f>
        <v/>
      </c>
      <c r="K1018" s="29">
        <f>IF($B1018="","",IF(INDEX(Dossiers!$G$4:$G$63,20)="","",INDEX(Dossiers!$G$4:$G$63,20)))</f>
        <v/>
      </c>
    </row>
    <row r="1019">
      <c r="A1019">
        <f>IF($B1019="","",INDEX(Dossiers!$E$4:$E$63,20))</f>
        <v/>
      </c>
      <c r="B1019">
        <f>IF(INDEX(Suivi!$B:$B,1039)="","",INDEX(Suivi!$B:$B,1039))</f>
        <v/>
      </c>
      <c r="C1019">
        <f>IF($B1019="","",IF(INDEX(Suivi!$D:$D,1039)="",INDEX(Suivi!$C:$C,1039),INDEX(Suivi!$D:$D,1039)))</f>
        <v/>
      </c>
      <c r="D1019" s="29">
        <f>IF($B1019="","",INDEX(Suivi!$E:$E,1039))</f>
        <v/>
      </c>
      <c r="E1019" s="29">
        <f>IF($B1019="","",INDEX(Suivi!$F:$F,1039))</f>
        <v/>
      </c>
      <c r="F1019">
        <f>IF($B1019="","",INDEX(Suivi!$G:$G,1039))</f>
        <v/>
      </c>
      <c r="H1019">
        <f>IF(OR($B1019="",NOT(ISNUMBER($D1019))),"",IF($E1019&lt;$D$2,"Passé",IF($D1019&gt;$F$2,"À venir","Dans la période")))</f>
        <v/>
      </c>
      <c r="I1019">
        <f>IF(OR($B1019="",NOT(ISNUMBER($D1019))),"",IF(AND($E1019&lt;$D$2,$G1019&lt;&gt;"X",$F1019&lt;&gt;"Réalisé",$F1019&lt;&gt;"Clôturé"),"RETARD",""))</f>
        <v/>
      </c>
      <c r="J1019" s="29">
        <f>IF($B1019="","",IF(INDEX(Dossiers!$F$4:$F$63,20)="","",INDEX(Dossiers!$F$4:$F$63,20)))</f>
        <v/>
      </c>
      <c r="K1019" s="29">
        <f>IF($B1019="","",IF(INDEX(Dossiers!$G$4:$G$63,20)="","",INDEX(Dossiers!$G$4:$G$63,20)))</f>
        <v/>
      </c>
    </row>
    <row r="1020">
      <c r="A1020">
        <f>IF($B1020="","",INDEX(Dossiers!$E$4:$E$63,20))</f>
        <v/>
      </c>
      <c r="B1020">
        <f>IF(INDEX(Suivi!$B:$B,1040)="","",INDEX(Suivi!$B:$B,1040))</f>
        <v/>
      </c>
      <c r="C1020">
        <f>IF($B1020="","",IF(INDEX(Suivi!$D:$D,1040)="",INDEX(Suivi!$C:$C,1040),INDEX(Suivi!$D:$D,1040)))</f>
        <v/>
      </c>
      <c r="D1020" s="29">
        <f>IF($B1020="","",INDEX(Suivi!$E:$E,1040))</f>
        <v/>
      </c>
      <c r="E1020" s="29">
        <f>IF($B1020="","",INDEX(Suivi!$F:$F,1040))</f>
        <v/>
      </c>
      <c r="F1020">
        <f>IF($B1020="","",INDEX(Suivi!$G:$G,1040))</f>
        <v/>
      </c>
      <c r="H1020">
        <f>IF(OR($B1020="",NOT(ISNUMBER($D1020))),"",IF($E1020&lt;$D$2,"Passé",IF($D1020&gt;$F$2,"À venir","Dans la période")))</f>
        <v/>
      </c>
      <c r="I1020">
        <f>IF(OR($B1020="",NOT(ISNUMBER($D1020))),"",IF(AND($E1020&lt;$D$2,$G1020&lt;&gt;"X",$F1020&lt;&gt;"Réalisé",$F1020&lt;&gt;"Clôturé"),"RETARD",""))</f>
        <v/>
      </c>
      <c r="J1020" s="29">
        <f>IF($B1020="","",IF(INDEX(Dossiers!$F$4:$F$63,20)="","",INDEX(Dossiers!$F$4:$F$63,20)))</f>
        <v/>
      </c>
      <c r="K1020" s="29">
        <f>IF($B1020="","",IF(INDEX(Dossiers!$G$4:$G$63,20)="","",INDEX(Dossiers!$G$4:$G$63,20)))</f>
        <v/>
      </c>
    </row>
    <row r="1021">
      <c r="A1021">
        <f>IF($B1021="","",INDEX(Dossiers!$E$4:$E$63,20))</f>
        <v/>
      </c>
      <c r="B1021">
        <f>IF(INDEX(Suivi!$B:$B,1041)="","",INDEX(Suivi!$B:$B,1041))</f>
        <v/>
      </c>
      <c r="C1021">
        <f>IF($B1021="","",IF(INDEX(Suivi!$D:$D,1041)="",INDEX(Suivi!$C:$C,1041),INDEX(Suivi!$D:$D,1041)))</f>
        <v/>
      </c>
      <c r="D1021" s="29">
        <f>IF($B1021="","",INDEX(Suivi!$E:$E,1041))</f>
        <v/>
      </c>
      <c r="E1021" s="29">
        <f>IF($B1021="","",INDEX(Suivi!$F:$F,1041))</f>
        <v/>
      </c>
      <c r="F1021">
        <f>IF($B1021="","",INDEX(Suivi!$G:$G,1041))</f>
        <v/>
      </c>
      <c r="H1021">
        <f>IF(OR($B1021="",NOT(ISNUMBER($D1021))),"",IF($E1021&lt;$D$2,"Passé",IF($D1021&gt;$F$2,"À venir","Dans la période")))</f>
        <v/>
      </c>
      <c r="I1021">
        <f>IF(OR($B1021="",NOT(ISNUMBER($D1021))),"",IF(AND($E1021&lt;$D$2,$G1021&lt;&gt;"X",$F1021&lt;&gt;"Réalisé",$F1021&lt;&gt;"Clôturé"),"RETARD",""))</f>
        <v/>
      </c>
      <c r="J1021" s="29">
        <f>IF($B1021="","",IF(INDEX(Dossiers!$F$4:$F$63,20)="","",INDEX(Dossiers!$F$4:$F$63,20)))</f>
        <v/>
      </c>
      <c r="K1021" s="29">
        <f>IF($B1021="","",IF(INDEX(Dossiers!$G$4:$G$63,20)="","",INDEX(Dossiers!$G$4:$G$63,20)))</f>
        <v/>
      </c>
    </row>
    <row r="1022">
      <c r="A1022">
        <f>IF($B1022="","",INDEX(Dossiers!$E$4:$E$63,20))</f>
        <v/>
      </c>
      <c r="B1022">
        <f>IF(INDEX(Suivi!$B:$B,1042)="","",INDEX(Suivi!$B:$B,1042))</f>
        <v/>
      </c>
      <c r="C1022">
        <f>IF($B1022="","",IF(INDEX(Suivi!$D:$D,1042)="",INDEX(Suivi!$C:$C,1042),INDEX(Suivi!$D:$D,1042)))</f>
        <v/>
      </c>
      <c r="D1022" s="29">
        <f>IF($B1022="","",INDEX(Suivi!$E:$E,1042))</f>
        <v/>
      </c>
      <c r="E1022" s="29">
        <f>IF($B1022="","",INDEX(Suivi!$F:$F,1042))</f>
        <v/>
      </c>
      <c r="F1022">
        <f>IF($B1022="","",INDEX(Suivi!$G:$G,1042))</f>
        <v/>
      </c>
      <c r="H1022">
        <f>IF(OR($B1022="",NOT(ISNUMBER($D1022))),"",IF($E1022&lt;$D$2,"Passé",IF($D1022&gt;$F$2,"À venir","Dans la période")))</f>
        <v/>
      </c>
      <c r="I1022">
        <f>IF(OR($B1022="",NOT(ISNUMBER($D1022))),"",IF(AND($E1022&lt;$D$2,$G1022&lt;&gt;"X",$F1022&lt;&gt;"Réalisé",$F1022&lt;&gt;"Clôturé"),"RETARD",""))</f>
        <v/>
      </c>
      <c r="J1022" s="29">
        <f>IF($B1022="","",IF(INDEX(Dossiers!$F$4:$F$63,20)="","",INDEX(Dossiers!$F$4:$F$63,20)))</f>
        <v/>
      </c>
      <c r="K1022" s="29">
        <f>IF($B1022="","",IF(INDEX(Dossiers!$G$4:$G$63,20)="","",INDEX(Dossiers!$G$4:$G$63,20)))</f>
        <v/>
      </c>
    </row>
    <row r="1023">
      <c r="A1023">
        <f>IF($B1023="","",INDEX(Dossiers!$E$4:$E$63,20))</f>
        <v/>
      </c>
      <c r="B1023">
        <f>IF(INDEX(Suivi!$B:$B,1043)="","",INDEX(Suivi!$B:$B,1043))</f>
        <v/>
      </c>
      <c r="C1023">
        <f>IF($B1023="","",IF(INDEX(Suivi!$D:$D,1043)="",INDEX(Suivi!$C:$C,1043),INDEX(Suivi!$D:$D,1043)))</f>
        <v/>
      </c>
      <c r="D1023" s="29">
        <f>IF($B1023="","",INDEX(Suivi!$E:$E,1043))</f>
        <v/>
      </c>
      <c r="E1023" s="29">
        <f>IF($B1023="","",INDEX(Suivi!$F:$F,1043))</f>
        <v/>
      </c>
      <c r="F1023">
        <f>IF($B1023="","",INDEX(Suivi!$G:$G,1043))</f>
        <v/>
      </c>
      <c r="H1023">
        <f>IF(OR($B1023="",NOT(ISNUMBER($D1023))),"",IF($E1023&lt;$D$2,"Passé",IF($D1023&gt;$F$2,"À venir","Dans la période")))</f>
        <v/>
      </c>
      <c r="I1023">
        <f>IF(OR($B1023="",NOT(ISNUMBER($D1023))),"",IF(AND($E1023&lt;$D$2,$G1023&lt;&gt;"X",$F1023&lt;&gt;"Réalisé",$F1023&lt;&gt;"Clôturé"),"RETARD",""))</f>
        <v/>
      </c>
      <c r="J1023" s="29">
        <f>IF($B1023="","",IF(INDEX(Dossiers!$F$4:$F$63,20)="","",INDEX(Dossiers!$F$4:$F$63,20)))</f>
        <v/>
      </c>
      <c r="K1023" s="29">
        <f>IF($B1023="","",IF(INDEX(Dossiers!$G$4:$G$63,20)="","",INDEX(Dossiers!$G$4:$G$63,20)))</f>
        <v/>
      </c>
    </row>
    <row r="1024">
      <c r="A1024">
        <f>IF($B1024="","",INDEX(Dossiers!$E$4:$E$63,20))</f>
        <v/>
      </c>
      <c r="B1024">
        <f>IF(INDEX(Suivi!$B:$B,1044)="","",INDEX(Suivi!$B:$B,1044))</f>
        <v/>
      </c>
      <c r="C1024">
        <f>IF($B1024="","",IF(INDEX(Suivi!$D:$D,1044)="",INDEX(Suivi!$C:$C,1044),INDEX(Suivi!$D:$D,1044)))</f>
        <v/>
      </c>
      <c r="D1024" s="29">
        <f>IF($B1024="","",INDEX(Suivi!$E:$E,1044))</f>
        <v/>
      </c>
      <c r="E1024" s="29">
        <f>IF($B1024="","",INDEX(Suivi!$F:$F,1044))</f>
        <v/>
      </c>
      <c r="F1024">
        <f>IF($B1024="","",INDEX(Suivi!$G:$G,1044))</f>
        <v/>
      </c>
      <c r="H1024">
        <f>IF(OR($B1024="",NOT(ISNUMBER($D1024))),"",IF($E1024&lt;$D$2,"Passé",IF($D1024&gt;$F$2,"À venir","Dans la période")))</f>
        <v/>
      </c>
      <c r="I1024">
        <f>IF(OR($B1024="",NOT(ISNUMBER($D1024))),"",IF(AND($E1024&lt;$D$2,$G1024&lt;&gt;"X",$F1024&lt;&gt;"Réalisé",$F1024&lt;&gt;"Clôturé"),"RETARD",""))</f>
        <v/>
      </c>
      <c r="J1024" s="29">
        <f>IF($B1024="","",IF(INDEX(Dossiers!$F$4:$F$63,20)="","",INDEX(Dossiers!$F$4:$F$63,20)))</f>
        <v/>
      </c>
      <c r="K1024" s="29">
        <f>IF($B1024="","",IF(INDEX(Dossiers!$G$4:$G$63,20)="","",INDEX(Dossiers!$G$4:$G$63,20)))</f>
        <v/>
      </c>
    </row>
    <row r="1025">
      <c r="A1025">
        <f>IF($B1025="","",INDEX(Dossiers!$E$4:$E$63,20))</f>
        <v/>
      </c>
      <c r="B1025">
        <f>IF(INDEX(Suivi!$B:$B,1045)="","",INDEX(Suivi!$B:$B,1045))</f>
        <v/>
      </c>
      <c r="C1025">
        <f>IF($B1025="","",IF(INDEX(Suivi!$D:$D,1045)="",INDEX(Suivi!$C:$C,1045),INDEX(Suivi!$D:$D,1045)))</f>
        <v/>
      </c>
      <c r="D1025" s="29">
        <f>IF($B1025="","",INDEX(Suivi!$E:$E,1045))</f>
        <v/>
      </c>
      <c r="E1025" s="29">
        <f>IF($B1025="","",INDEX(Suivi!$F:$F,1045))</f>
        <v/>
      </c>
      <c r="F1025">
        <f>IF($B1025="","",INDEX(Suivi!$G:$G,1045))</f>
        <v/>
      </c>
      <c r="H1025">
        <f>IF(OR($B1025="",NOT(ISNUMBER($D1025))),"",IF($E1025&lt;$D$2,"Passé",IF($D1025&gt;$F$2,"À venir","Dans la période")))</f>
        <v/>
      </c>
      <c r="I1025">
        <f>IF(OR($B1025="",NOT(ISNUMBER($D1025))),"",IF(AND($E1025&lt;$D$2,$G1025&lt;&gt;"X",$F1025&lt;&gt;"Réalisé",$F1025&lt;&gt;"Clôturé"),"RETARD",""))</f>
        <v/>
      </c>
      <c r="J1025" s="29">
        <f>IF($B1025="","",IF(INDEX(Dossiers!$F$4:$F$63,20)="","",INDEX(Dossiers!$F$4:$F$63,20)))</f>
        <v/>
      </c>
      <c r="K1025" s="29">
        <f>IF($B1025="","",IF(INDEX(Dossiers!$G$4:$G$63,20)="","",INDEX(Dossiers!$G$4:$G$63,20)))</f>
        <v/>
      </c>
    </row>
    <row r="1026">
      <c r="A1026">
        <f>IF($B1026="","",INDEX(Dossiers!$E$4:$E$63,20))</f>
        <v/>
      </c>
      <c r="B1026">
        <f>IF(INDEX(Suivi!$B:$B,1046)="","",INDEX(Suivi!$B:$B,1046))</f>
        <v/>
      </c>
      <c r="C1026">
        <f>IF($B1026="","",IF(INDEX(Suivi!$D:$D,1046)="",INDEX(Suivi!$C:$C,1046),INDEX(Suivi!$D:$D,1046)))</f>
        <v/>
      </c>
      <c r="D1026" s="29">
        <f>IF($B1026="","",INDEX(Suivi!$E:$E,1046))</f>
        <v/>
      </c>
      <c r="E1026" s="29">
        <f>IF($B1026="","",INDEX(Suivi!$F:$F,1046))</f>
        <v/>
      </c>
      <c r="F1026">
        <f>IF($B1026="","",INDEX(Suivi!$G:$G,1046))</f>
        <v/>
      </c>
      <c r="H1026">
        <f>IF(OR($B1026="",NOT(ISNUMBER($D1026))),"",IF($E1026&lt;$D$2,"Passé",IF($D1026&gt;$F$2,"À venir","Dans la période")))</f>
        <v/>
      </c>
      <c r="I1026">
        <f>IF(OR($B1026="",NOT(ISNUMBER($D1026))),"",IF(AND($E1026&lt;$D$2,$G1026&lt;&gt;"X",$F1026&lt;&gt;"Réalisé",$F1026&lt;&gt;"Clôturé"),"RETARD",""))</f>
        <v/>
      </c>
      <c r="J1026" s="29">
        <f>IF($B1026="","",IF(INDEX(Dossiers!$F$4:$F$63,20)="","",INDEX(Dossiers!$F$4:$F$63,20)))</f>
        <v/>
      </c>
      <c r="K1026" s="29">
        <f>IF($B1026="","",IF(INDEX(Dossiers!$G$4:$G$63,20)="","",INDEX(Dossiers!$G$4:$G$63,20)))</f>
        <v/>
      </c>
    </row>
    <row r="1027">
      <c r="A1027">
        <f>IF($B1027="","",INDEX(Dossiers!$E$4:$E$63,20))</f>
        <v/>
      </c>
      <c r="B1027">
        <f>IF(INDEX(Suivi!$B:$B,1047)="","",INDEX(Suivi!$B:$B,1047))</f>
        <v/>
      </c>
      <c r="C1027">
        <f>IF($B1027="","",IF(INDEX(Suivi!$D:$D,1047)="",INDEX(Suivi!$C:$C,1047),INDEX(Suivi!$D:$D,1047)))</f>
        <v/>
      </c>
      <c r="D1027" s="29">
        <f>IF($B1027="","",INDEX(Suivi!$E:$E,1047))</f>
        <v/>
      </c>
      <c r="E1027" s="29">
        <f>IF($B1027="","",INDEX(Suivi!$F:$F,1047))</f>
        <v/>
      </c>
      <c r="F1027">
        <f>IF($B1027="","",INDEX(Suivi!$G:$G,1047))</f>
        <v/>
      </c>
      <c r="H1027">
        <f>IF(OR($B1027="",NOT(ISNUMBER($D1027))),"",IF($E1027&lt;$D$2,"Passé",IF($D1027&gt;$F$2,"À venir","Dans la période")))</f>
        <v/>
      </c>
      <c r="I1027">
        <f>IF(OR($B1027="",NOT(ISNUMBER($D1027))),"",IF(AND($E1027&lt;$D$2,$G1027&lt;&gt;"X",$F1027&lt;&gt;"Réalisé",$F1027&lt;&gt;"Clôturé"),"RETARD",""))</f>
        <v/>
      </c>
      <c r="J1027" s="29">
        <f>IF($B1027="","",IF(INDEX(Dossiers!$F$4:$F$63,20)="","",INDEX(Dossiers!$F$4:$F$63,20)))</f>
        <v/>
      </c>
      <c r="K1027" s="29">
        <f>IF($B1027="","",IF(INDEX(Dossiers!$G$4:$G$63,20)="","",INDEX(Dossiers!$G$4:$G$63,20)))</f>
        <v/>
      </c>
    </row>
    <row r="1028">
      <c r="A1028">
        <f>IF($B1028="","",INDEX(Dossiers!$E$4:$E$63,20))</f>
        <v/>
      </c>
      <c r="B1028">
        <f>IF(INDEX(Suivi!$B:$B,1048)="","",INDEX(Suivi!$B:$B,1048))</f>
        <v/>
      </c>
      <c r="C1028">
        <f>IF($B1028="","",IF(INDEX(Suivi!$D:$D,1048)="",INDEX(Suivi!$C:$C,1048),INDEX(Suivi!$D:$D,1048)))</f>
        <v/>
      </c>
      <c r="D1028" s="29">
        <f>IF($B1028="","",INDEX(Suivi!$E:$E,1048))</f>
        <v/>
      </c>
      <c r="E1028" s="29">
        <f>IF($B1028="","",INDEX(Suivi!$F:$F,1048))</f>
        <v/>
      </c>
      <c r="F1028">
        <f>IF($B1028="","",INDEX(Suivi!$G:$G,1048))</f>
        <v/>
      </c>
      <c r="H1028">
        <f>IF(OR($B1028="",NOT(ISNUMBER($D1028))),"",IF($E1028&lt;$D$2,"Passé",IF($D1028&gt;$F$2,"À venir","Dans la période")))</f>
        <v/>
      </c>
      <c r="I1028">
        <f>IF(OR($B1028="",NOT(ISNUMBER($D1028))),"",IF(AND($E1028&lt;$D$2,$G1028&lt;&gt;"X",$F1028&lt;&gt;"Réalisé",$F1028&lt;&gt;"Clôturé"),"RETARD",""))</f>
        <v/>
      </c>
      <c r="J1028" s="29">
        <f>IF($B1028="","",IF(INDEX(Dossiers!$F$4:$F$63,20)="","",INDEX(Dossiers!$F$4:$F$63,20)))</f>
        <v/>
      </c>
      <c r="K1028" s="29">
        <f>IF($B1028="","",IF(INDEX(Dossiers!$G$4:$G$63,20)="","",INDEX(Dossiers!$G$4:$G$63,20)))</f>
        <v/>
      </c>
    </row>
    <row r="1029">
      <c r="A1029">
        <f>IF($B1029="","",INDEX(Dossiers!$E$4:$E$63,20))</f>
        <v/>
      </c>
      <c r="B1029">
        <f>IF(INDEX(Suivi!$B:$B,1049)="","",INDEX(Suivi!$B:$B,1049))</f>
        <v/>
      </c>
      <c r="C1029">
        <f>IF($B1029="","",IF(INDEX(Suivi!$D:$D,1049)="",INDEX(Suivi!$C:$C,1049),INDEX(Suivi!$D:$D,1049)))</f>
        <v/>
      </c>
      <c r="D1029" s="29">
        <f>IF($B1029="","",INDEX(Suivi!$E:$E,1049))</f>
        <v/>
      </c>
      <c r="E1029" s="29">
        <f>IF($B1029="","",INDEX(Suivi!$F:$F,1049))</f>
        <v/>
      </c>
      <c r="F1029">
        <f>IF($B1029="","",INDEX(Suivi!$G:$G,1049))</f>
        <v/>
      </c>
      <c r="H1029">
        <f>IF(OR($B1029="",NOT(ISNUMBER($D1029))),"",IF($E1029&lt;$D$2,"Passé",IF($D1029&gt;$F$2,"À venir","Dans la période")))</f>
        <v/>
      </c>
      <c r="I1029">
        <f>IF(OR($B1029="",NOT(ISNUMBER($D1029))),"",IF(AND($E1029&lt;$D$2,$G1029&lt;&gt;"X",$F1029&lt;&gt;"Réalisé",$F1029&lt;&gt;"Clôturé"),"RETARD",""))</f>
        <v/>
      </c>
      <c r="J1029" s="29">
        <f>IF($B1029="","",IF(INDEX(Dossiers!$F$4:$F$63,20)="","",INDEX(Dossiers!$F$4:$F$63,20)))</f>
        <v/>
      </c>
      <c r="K1029" s="29">
        <f>IF($B1029="","",IF(INDEX(Dossiers!$G$4:$G$63,20)="","",INDEX(Dossiers!$G$4:$G$63,20)))</f>
        <v/>
      </c>
    </row>
    <row r="1030">
      <c r="A1030">
        <f>IF($B1030="","",INDEX(Dossiers!$E$4:$E$63,20))</f>
        <v/>
      </c>
      <c r="B1030">
        <f>IF(INDEX(Suivi!$B:$B,1050)="","",INDEX(Suivi!$B:$B,1050))</f>
        <v/>
      </c>
      <c r="C1030">
        <f>IF($B1030="","",IF(INDEX(Suivi!$D:$D,1050)="",INDEX(Suivi!$C:$C,1050),INDEX(Suivi!$D:$D,1050)))</f>
        <v/>
      </c>
      <c r="D1030" s="29">
        <f>IF($B1030="","",INDEX(Suivi!$E:$E,1050))</f>
        <v/>
      </c>
      <c r="E1030" s="29">
        <f>IF($B1030="","",INDEX(Suivi!$F:$F,1050))</f>
        <v/>
      </c>
      <c r="F1030">
        <f>IF($B1030="","",INDEX(Suivi!$G:$G,1050))</f>
        <v/>
      </c>
      <c r="H1030">
        <f>IF(OR($B1030="",NOT(ISNUMBER($D1030))),"",IF($E1030&lt;$D$2,"Passé",IF($D1030&gt;$F$2,"À venir","Dans la période")))</f>
        <v/>
      </c>
      <c r="I1030">
        <f>IF(OR($B1030="",NOT(ISNUMBER($D1030))),"",IF(AND($E1030&lt;$D$2,$G1030&lt;&gt;"X",$F1030&lt;&gt;"Réalisé",$F1030&lt;&gt;"Clôturé"),"RETARD",""))</f>
        <v/>
      </c>
      <c r="J1030" s="29">
        <f>IF($B1030="","",IF(INDEX(Dossiers!$F$4:$F$63,20)="","",INDEX(Dossiers!$F$4:$F$63,20)))</f>
        <v/>
      </c>
      <c r="K1030" s="29">
        <f>IF($B1030="","",IF(INDEX(Dossiers!$G$4:$G$63,20)="","",INDEX(Dossiers!$G$4:$G$63,20)))</f>
        <v/>
      </c>
    </row>
    <row r="1031">
      <c r="A1031">
        <f>IF($B1031="","",INDEX(Dossiers!$E$4:$E$63,20))</f>
        <v/>
      </c>
      <c r="B1031">
        <f>IF(INDEX(Suivi!$B:$B,1051)="","",INDEX(Suivi!$B:$B,1051))</f>
        <v/>
      </c>
      <c r="C1031">
        <f>IF($B1031="","",IF(INDEX(Suivi!$D:$D,1051)="",INDEX(Suivi!$C:$C,1051),INDEX(Suivi!$D:$D,1051)))</f>
        <v/>
      </c>
      <c r="D1031" s="29">
        <f>IF($B1031="","",INDEX(Suivi!$E:$E,1051))</f>
        <v/>
      </c>
      <c r="E1031" s="29">
        <f>IF($B1031="","",INDEX(Suivi!$F:$F,1051))</f>
        <v/>
      </c>
      <c r="F1031">
        <f>IF($B1031="","",INDEX(Suivi!$G:$G,1051))</f>
        <v/>
      </c>
      <c r="H1031">
        <f>IF(OR($B1031="",NOT(ISNUMBER($D1031))),"",IF($E1031&lt;$D$2,"Passé",IF($D1031&gt;$F$2,"À venir","Dans la période")))</f>
        <v/>
      </c>
      <c r="I1031">
        <f>IF(OR($B1031="",NOT(ISNUMBER($D1031))),"",IF(AND($E1031&lt;$D$2,$G1031&lt;&gt;"X",$F1031&lt;&gt;"Réalisé",$F1031&lt;&gt;"Clôturé"),"RETARD",""))</f>
        <v/>
      </c>
      <c r="J1031" s="29">
        <f>IF($B1031="","",IF(INDEX(Dossiers!$F$4:$F$63,20)="","",INDEX(Dossiers!$F$4:$F$63,20)))</f>
        <v/>
      </c>
      <c r="K1031" s="29">
        <f>IF($B1031="","",IF(INDEX(Dossiers!$G$4:$G$63,20)="","",INDEX(Dossiers!$G$4:$G$63,20)))</f>
        <v/>
      </c>
    </row>
    <row r="1032">
      <c r="A1032">
        <f>IF($B1032="","",INDEX(Dossiers!$E$4:$E$63,20))</f>
        <v/>
      </c>
      <c r="B1032">
        <f>IF(INDEX(Suivi!$B:$B,1052)="","",INDEX(Suivi!$B:$B,1052))</f>
        <v/>
      </c>
      <c r="C1032">
        <f>IF($B1032="","",IF(INDEX(Suivi!$D:$D,1052)="",INDEX(Suivi!$C:$C,1052),INDEX(Suivi!$D:$D,1052)))</f>
        <v/>
      </c>
      <c r="D1032" s="29">
        <f>IF($B1032="","",INDEX(Suivi!$E:$E,1052))</f>
        <v/>
      </c>
      <c r="E1032" s="29">
        <f>IF($B1032="","",INDEX(Suivi!$F:$F,1052))</f>
        <v/>
      </c>
      <c r="F1032">
        <f>IF($B1032="","",INDEX(Suivi!$G:$G,1052))</f>
        <v/>
      </c>
      <c r="H1032">
        <f>IF(OR($B1032="",NOT(ISNUMBER($D1032))),"",IF($E1032&lt;$D$2,"Passé",IF($D1032&gt;$F$2,"À venir","Dans la période")))</f>
        <v/>
      </c>
      <c r="I1032">
        <f>IF(OR($B1032="",NOT(ISNUMBER($D1032))),"",IF(AND($E1032&lt;$D$2,$G1032&lt;&gt;"X",$F1032&lt;&gt;"Réalisé",$F1032&lt;&gt;"Clôturé"),"RETARD",""))</f>
        <v/>
      </c>
      <c r="J1032" s="29">
        <f>IF($B1032="","",IF(INDEX(Dossiers!$F$4:$F$63,20)="","",INDEX(Dossiers!$F$4:$F$63,20)))</f>
        <v/>
      </c>
      <c r="K1032" s="29">
        <f>IF($B1032="","",IF(INDEX(Dossiers!$G$4:$G$63,20)="","",INDEX(Dossiers!$G$4:$G$63,20)))</f>
        <v/>
      </c>
    </row>
    <row r="1033">
      <c r="A1033">
        <f>IF($B1033="","",INDEX(Dossiers!$E$4:$E$63,20))</f>
        <v/>
      </c>
      <c r="B1033">
        <f>IF(INDEX(Suivi!$B:$B,1053)="","",INDEX(Suivi!$B:$B,1053))</f>
        <v/>
      </c>
      <c r="C1033">
        <f>IF($B1033="","",IF(INDEX(Suivi!$D:$D,1053)="",INDEX(Suivi!$C:$C,1053),INDEX(Suivi!$D:$D,1053)))</f>
        <v/>
      </c>
      <c r="D1033" s="29">
        <f>IF($B1033="","",INDEX(Suivi!$E:$E,1053))</f>
        <v/>
      </c>
      <c r="E1033" s="29">
        <f>IF($B1033="","",INDEX(Suivi!$F:$F,1053))</f>
        <v/>
      </c>
      <c r="F1033">
        <f>IF($B1033="","",INDEX(Suivi!$G:$G,1053))</f>
        <v/>
      </c>
      <c r="H1033">
        <f>IF(OR($B1033="",NOT(ISNUMBER($D1033))),"",IF($E1033&lt;$D$2,"Passé",IF($D1033&gt;$F$2,"À venir","Dans la période")))</f>
        <v/>
      </c>
      <c r="I1033">
        <f>IF(OR($B1033="",NOT(ISNUMBER($D1033))),"",IF(AND($E1033&lt;$D$2,$G1033&lt;&gt;"X",$F1033&lt;&gt;"Réalisé",$F1033&lt;&gt;"Clôturé"),"RETARD",""))</f>
        <v/>
      </c>
      <c r="J1033" s="29">
        <f>IF($B1033="","",IF(INDEX(Dossiers!$F$4:$F$63,20)="","",INDEX(Dossiers!$F$4:$F$63,20)))</f>
        <v/>
      </c>
      <c r="K1033" s="29">
        <f>IF($B1033="","",IF(INDEX(Dossiers!$G$4:$G$63,20)="","",INDEX(Dossiers!$G$4:$G$63,20)))</f>
        <v/>
      </c>
    </row>
    <row r="1034">
      <c r="A1034">
        <f>IF($B1034="","",INDEX(Dossiers!$E$4:$E$63,20))</f>
        <v/>
      </c>
      <c r="B1034">
        <f>IF(INDEX(Suivi!$B:$B,1054)="","",INDEX(Suivi!$B:$B,1054))</f>
        <v/>
      </c>
      <c r="C1034">
        <f>IF($B1034="","",IF(INDEX(Suivi!$D:$D,1054)="",INDEX(Suivi!$C:$C,1054),INDEX(Suivi!$D:$D,1054)))</f>
        <v/>
      </c>
      <c r="D1034" s="29">
        <f>IF($B1034="","",INDEX(Suivi!$E:$E,1054))</f>
        <v/>
      </c>
      <c r="E1034" s="29">
        <f>IF($B1034="","",INDEX(Suivi!$F:$F,1054))</f>
        <v/>
      </c>
      <c r="F1034">
        <f>IF($B1034="","",INDEX(Suivi!$G:$G,1054))</f>
        <v/>
      </c>
      <c r="H1034">
        <f>IF(OR($B1034="",NOT(ISNUMBER($D1034))),"",IF($E1034&lt;$D$2,"Passé",IF($D1034&gt;$F$2,"À venir","Dans la période")))</f>
        <v/>
      </c>
      <c r="I1034">
        <f>IF(OR($B1034="",NOT(ISNUMBER($D1034))),"",IF(AND($E1034&lt;$D$2,$G1034&lt;&gt;"X",$F1034&lt;&gt;"Réalisé",$F1034&lt;&gt;"Clôturé"),"RETARD",""))</f>
        <v/>
      </c>
      <c r="J1034" s="29">
        <f>IF($B1034="","",IF(INDEX(Dossiers!$F$4:$F$63,20)="","",INDEX(Dossiers!$F$4:$F$63,20)))</f>
        <v/>
      </c>
      <c r="K1034" s="29">
        <f>IF($B1034="","",IF(INDEX(Dossiers!$G$4:$G$63,20)="","",INDEX(Dossiers!$G$4:$G$63,20)))</f>
        <v/>
      </c>
    </row>
    <row r="1035">
      <c r="A1035">
        <f>IF($B1035="","",INDEX(Dossiers!$E$4:$E$63,20))</f>
        <v/>
      </c>
      <c r="B1035">
        <f>IF(INDEX(Suivi!$B:$B,1055)="","",INDEX(Suivi!$B:$B,1055))</f>
        <v/>
      </c>
      <c r="C1035">
        <f>IF($B1035="","",IF(INDEX(Suivi!$D:$D,1055)="",INDEX(Suivi!$C:$C,1055),INDEX(Suivi!$D:$D,1055)))</f>
        <v/>
      </c>
      <c r="D1035" s="29">
        <f>IF($B1035="","",INDEX(Suivi!$E:$E,1055))</f>
        <v/>
      </c>
      <c r="E1035" s="29">
        <f>IF($B1035="","",INDEX(Suivi!$F:$F,1055))</f>
        <v/>
      </c>
      <c r="F1035">
        <f>IF($B1035="","",INDEX(Suivi!$G:$G,1055))</f>
        <v/>
      </c>
      <c r="H1035">
        <f>IF(OR($B1035="",NOT(ISNUMBER($D1035))),"",IF($E1035&lt;$D$2,"Passé",IF($D1035&gt;$F$2,"À venir","Dans la période")))</f>
        <v/>
      </c>
      <c r="I1035">
        <f>IF(OR($B1035="",NOT(ISNUMBER($D1035))),"",IF(AND($E1035&lt;$D$2,$G1035&lt;&gt;"X",$F1035&lt;&gt;"Réalisé",$F1035&lt;&gt;"Clôturé"),"RETARD",""))</f>
        <v/>
      </c>
      <c r="J1035" s="29">
        <f>IF($B1035="","",IF(INDEX(Dossiers!$F$4:$F$63,20)="","",INDEX(Dossiers!$F$4:$F$63,20)))</f>
        <v/>
      </c>
      <c r="K1035" s="29">
        <f>IF($B1035="","",IF(INDEX(Dossiers!$G$4:$G$63,20)="","",INDEX(Dossiers!$G$4:$G$63,20)))</f>
        <v/>
      </c>
    </row>
    <row r="1036">
      <c r="A1036">
        <f>IF($B1036="","",INDEX(Dossiers!$E$4:$E$63,20))</f>
        <v/>
      </c>
      <c r="B1036">
        <f>IF(INDEX(Suivi!$B:$B,1056)="","",INDEX(Suivi!$B:$B,1056))</f>
        <v/>
      </c>
      <c r="C1036">
        <f>IF($B1036="","",IF(INDEX(Suivi!$D:$D,1056)="",INDEX(Suivi!$C:$C,1056),INDEX(Suivi!$D:$D,1056)))</f>
        <v/>
      </c>
      <c r="D1036" s="29">
        <f>IF($B1036="","",INDEX(Suivi!$E:$E,1056))</f>
        <v/>
      </c>
      <c r="E1036" s="29">
        <f>IF($B1036="","",INDEX(Suivi!$F:$F,1056))</f>
        <v/>
      </c>
      <c r="F1036">
        <f>IF($B1036="","",INDEX(Suivi!$G:$G,1056))</f>
        <v/>
      </c>
      <c r="H1036">
        <f>IF(OR($B1036="",NOT(ISNUMBER($D1036))),"",IF($E1036&lt;$D$2,"Passé",IF($D1036&gt;$F$2,"À venir","Dans la période")))</f>
        <v/>
      </c>
      <c r="I1036">
        <f>IF(OR($B1036="",NOT(ISNUMBER($D1036))),"",IF(AND($E1036&lt;$D$2,$G1036&lt;&gt;"X",$F1036&lt;&gt;"Réalisé",$F1036&lt;&gt;"Clôturé"),"RETARD",""))</f>
        <v/>
      </c>
      <c r="J1036" s="29">
        <f>IF($B1036="","",IF(INDEX(Dossiers!$F$4:$F$63,20)="","",INDEX(Dossiers!$F$4:$F$63,20)))</f>
        <v/>
      </c>
      <c r="K1036" s="29">
        <f>IF($B1036="","",IF(INDEX(Dossiers!$G$4:$G$63,20)="","",INDEX(Dossiers!$G$4:$G$63,20)))</f>
        <v/>
      </c>
    </row>
    <row r="1037">
      <c r="A1037">
        <f>IF($B1037="","",INDEX(Dossiers!$E$4:$E$63,20))</f>
        <v/>
      </c>
      <c r="B1037">
        <f>IF(INDEX(Suivi!$B:$B,1057)="","",INDEX(Suivi!$B:$B,1057))</f>
        <v/>
      </c>
      <c r="C1037">
        <f>IF($B1037="","",IF(INDEX(Suivi!$D:$D,1057)="",INDEX(Suivi!$C:$C,1057),INDEX(Suivi!$D:$D,1057)))</f>
        <v/>
      </c>
      <c r="D1037" s="29">
        <f>IF($B1037="","",INDEX(Suivi!$E:$E,1057))</f>
        <v/>
      </c>
      <c r="E1037" s="29">
        <f>IF($B1037="","",INDEX(Suivi!$F:$F,1057))</f>
        <v/>
      </c>
      <c r="F1037">
        <f>IF($B1037="","",INDEX(Suivi!$G:$G,1057))</f>
        <v/>
      </c>
      <c r="H1037">
        <f>IF(OR($B1037="",NOT(ISNUMBER($D1037))),"",IF($E1037&lt;$D$2,"Passé",IF($D1037&gt;$F$2,"À venir","Dans la période")))</f>
        <v/>
      </c>
      <c r="I1037">
        <f>IF(OR($B1037="",NOT(ISNUMBER($D1037))),"",IF(AND($E1037&lt;$D$2,$G1037&lt;&gt;"X",$F1037&lt;&gt;"Réalisé",$F1037&lt;&gt;"Clôturé"),"RETARD",""))</f>
        <v/>
      </c>
      <c r="J1037" s="29">
        <f>IF($B1037="","",IF(INDEX(Dossiers!$F$4:$F$63,20)="","",INDEX(Dossiers!$F$4:$F$63,20)))</f>
        <v/>
      </c>
      <c r="K1037" s="29">
        <f>IF($B1037="","",IF(INDEX(Dossiers!$G$4:$G$63,20)="","",INDEX(Dossiers!$G$4:$G$63,20)))</f>
        <v/>
      </c>
    </row>
    <row r="1038">
      <c r="A1038">
        <f>IF($B1038="","",INDEX(Dossiers!$E$4:$E$63,20))</f>
        <v/>
      </c>
      <c r="B1038">
        <f>IF(INDEX(Suivi!$B:$B,1058)="","",INDEX(Suivi!$B:$B,1058))</f>
        <v/>
      </c>
      <c r="C1038">
        <f>IF($B1038="","",IF(INDEX(Suivi!$D:$D,1058)="",INDEX(Suivi!$C:$C,1058),INDEX(Suivi!$D:$D,1058)))</f>
        <v/>
      </c>
      <c r="D1038" s="29">
        <f>IF($B1038="","",INDEX(Suivi!$E:$E,1058))</f>
        <v/>
      </c>
      <c r="E1038" s="29">
        <f>IF($B1038="","",INDEX(Suivi!$F:$F,1058))</f>
        <v/>
      </c>
      <c r="F1038">
        <f>IF($B1038="","",INDEX(Suivi!$G:$G,1058))</f>
        <v/>
      </c>
      <c r="H1038">
        <f>IF(OR($B1038="",NOT(ISNUMBER($D1038))),"",IF($E1038&lt;$D$2,"Passé",IF($D1038&gt;$F$2,"À venir","Dans la période")))</f>
        <v/>
      </c>
      <c r="I1038">
        <f>IF(OR($B1038="",NOT(ISNUMBER($D1038))),"",IF(AND($E1038&lt;$D$2,$G1038&lt;&gt;"X",$F1038&lt;&gt;"Réalisé",$F1038&lt;&gt;"Clôturé"),"RETARD",""))</f>
        <v/>
      </c>
      <c r="J1038" s="29">
        <f>IF($B1038="","",IF(INDEX(Dossiers!$F$4:$F$63,20)="","",INDEX(Dossiers!$F$4:$F$63,20)))</f>
        <v/>
      </c>
      <c r="K1038" s="29">
        <f>IF($B1038="","",IF(INDEX(Dossiers!$G$4:$G$63,20)="","",INDEX(Dossiers!$G$4:$G$63,20)))</f>
        <v/>
      </c>
    </row>
    <row r="1039">
      <c r="A1039">
        <f>IF($B1039="","",INDEX(Dossiers!$E$4:$E$63,20))</f>
        <v/>
      </c>
      <c r="B1039">
        <f>IF(INDEX(Suivi!$B:$B,1059)="","",INDEX(Suivi!$B:$B,1059))</f>
        <v/>
      </c>
      <c r="C1039">
        <f>IF($B1039="","",IF(INDEX(Suivi!$D:$D,1059)="",INDEX(Suivi!$C:$C,1059),INDEX(Suivi!$D:$D,1059)))</f>
        <v/>
      </c>
      <c r="D1039" s="29">
        <f>IF($B1039="","",INDEX(Suivi!$E:$E,1059))</f>
        <v/>
      </c>
      <c r="E1039" s="29">
        <f>IF($B1039="","",INDEX(Suivi!$F:$F,1059))</f>
        <v/>
      </c>
      <c r="F1039">
        <f>IF($B1039="","",INDEX(Suivi!$G:$G,1059))</f>
        <v/>
      </c>
      <c r="H1039">
        <f>IF(OR($B1039="",NOT(ISNUMBER($D1039))),"",IF($E1039&lt;$D$2,"Passé",IF($D1039&gt;$F$2,"À venir","Dans la période")))</f>
        <v/>
      </c>
      <c r="I1039">
        <f>IF(OR($B1039="",NOT(ISNUMBER($D1039))),"",IF(AND($E1039&lt;$D$2,$G1039&lt;&gt;"X",$F1039&lt;&gt;"Réalisé",$F1039&lt;&gt;"Clôturé"),"RETARD",""))</f>
        <v/>
      </c>
      <c r="J1039" s="29">
        <f>IF($B1039="","",IF(INDEX(Dossiers!$F$4:$F$63,20)="","",INDEX(Dossiers!$F$4:$F$63,20)))</f>
        <v/>
      </c>
      <c r="K1039" s="29">
        <f>IF($B1039="","",IF(INDEX(Dossiers!$G$4:$G$63,20)="","",INDEX(Dossiers!$G$4:$G$63,20)))</f>
        <v/>
      </c>
    </row>
    <row r="1040">
      <c r="A1040">
        <f>IF($B1040="","",INDEX(Dossiers!$E$4:$E$63,20))</f>
        <v/>
      </c>
      <c r="B1040">
        <f>IF(INDEX(Suivi!$B:$B,1060)="","",INDEX(Suivi!$B:$B,1060))</f>
        <v/>
      </c>
      <c r="C1040">
        <f>IF($B1040="","",IF(INDEX(Suivi!$D:$D,1060)="",INDEX(Suivi!$C:$C,1060),INDEX(Suivi!$D:$D,1060)))</f>
        <v/>
      </c>
      <c r="D1040" s="29">
        <f>IF($B1040="","",INDEX(Suivi!$E:$E,1060))</f>
        <v/>
      </c>
      <c r="E1040" s="29">
        <f>IF($B1040="","",INDEX(Suivi!$F:$F,1060))</f>
        <v/>
      </c>
      <c r="F1040">
        <f>IF($B1040="","",INDEX(Suivi!$G:$G,1060))</f>
        <v/>
      </c>
      <c r="H1040">
        <f>IF(OR($B1040="",NOT(ISNUMBER($D1040))),"",IF($E1040&lt;$D$2,"Passé",IF($D1040&gt;$F$2,"À venir","Dans la période")))</f>
        <v/>
      </c>
      <c r="I1040">
        <f>IF(OR($B1040="",NOT(ISNUMBER($D1040))),"",IF(AND($E1040&lt;$D$2,$G1040&lt;&gt;"X",$F1040&lt;&gt;"Réalisé",$F1040&lt;&gt;"Clôturé"),"RETARD",""))</f>
        <v/>
      </c>
      <c r="J1040" s="29">
        <f>IF($B1040="","",IF(INDEX(Dossiers!$F$4:$F$63,20)="","",INDEX(Dossiers!$F$4:$F$63,20)))</f>
        <v/>
      </c>
      <c r="K1040" s="29">
        <f>IF($B1040="","",IF(INDEX(Dossiers!$G$4:$G$63,20)="","",INDEX(Dossiers!$G$4:$G$63,20)))</f>
        <v/>
      </c>
    </row>
    <row r="1041">
      <c r="A1041">
        <f>IF($B1041="","",INDEX(Dossiers!$E$4:$E$63,20))</f>
        <v/>
      </c>
      <c r="B1041">
        <f>IF(INDEX(Suivi!$B:$B,1061)="","",INDEX(Suivi!$B:$B,1061))</f>
        <v/>
      </c>
      <c r="C1041">
        <f>IF($B1041="","",IF(INDEX(Suivi!$D:$D,1061)="",INDEX(Suivi!$C:$C,1061),INDEX(Suivi!$D:$D,1061)))</f>
        <v/>
      </c>
      <c r="D1041" s="29">
        <f>IF($B1041="","",INDEX(Suivi!$E:$E,1061))</f>
        <v/>
      </c>
      <c r="E1041" s="29">
        <f>IF($B1041="","",INDEX(Suivi!$F:$F,1061))</f>
        <v/>
      </c>
      <c r="F1041">
        <f>IF($B1041="","",INDEX(Suivi!$G:$G,1061))</f>
        <v/>
      </c>
      <c r="H1041">
        <f>IF(OR($B1041="",NOT(ISNUMBER($D1041))),"",IF($E1041&lt;$D$2,"Passé",IF($D1041&gt;$F$2,"À venir","Dans la période")))</f>
        <v/>
      </c>
      <c r="I1041">
        <f>IF(OR($B1041="",NOT(ISNUMBER($D1041))),"",IF(AND($E1041&lt;$D$2,$G1041&lt;&gt;"X",$F1041&lt;&gt;"Réalisé",$F1041&lt;&gt;"Clôturé"),"RETARD",""))</f>
        <v/>
      </c>
      <c r="J1041" s="29">
        <f>IF($B1041="","",IF(INDEX(Dossiers!$F$4:$F$63,20)="","",INDEX(Dossiers!$F$4:$F$63,20)))</f>
        <v/>
      </c>
      <c r="K1041" s="29">
        <f>IF($B1041="","",IF(INDEX(Dossiers!$G$4:$G$63,20)="","",INDEX(Dossiers!$G$4:$G$63,20)))</f>
        <v/>
      </c>
    </row>
    <row r="1042">
      <c r="A1042">
        <f>IF($B1042="","",INDEX(Dossiers!$E$4:$E$63,20))</f>
        <v/>
      </c>
      <c r="B1042">
        <f>IF(INDEX(Suivi!$B:$B,1062)="","",INDEX(Suivi!$B:$B,1062))</f>
        <v/>
      </c>
      <c r="C1042">
        <f>IF($B1042="","",IF(INDEX(Suivi!$D:$D,1062)="",INDEX(Suivi!$C:$C,1062),INDEX(Suivi!$D:$D,1062)))</f>
        <v/>
      </c>
      <c r="D1042" s="29">
        <f>IF($B1042="","",INDEX(Suivi!$E:$E,1062))</f>
        <v/>
      </c>
      <c r="E1042" s="29">
        <f>IF($B1042="","",INDEX(Suivi!$F:$F,1062))</f>
        <v/>
      </c>
      <c r="F1042">
        <f>IF($B1042="","",INDEX(Suivi!$G:$G,1062))</f>
        <v/>
      </c>
      <c r="H1042">
        <f>IF(OR($B1042="",NOT(ISNUMBER($D1042))),"",IF($E1042&lt;$D$2,"Passé",IF($D1042&gt;$F$2,"À venir","Dans la période")))</f>
        <v/>
      </c>
      <c r="I1042">
        <f>IF(OR($B1042="",NOT(ISNUMBER($D1042))),"",IF(AND($E1042&lt;$D$2,$G1042&lt;&gt;"X",$F1042&lt;&gt;"Réalisé",$F1042&lt;&gt;"Clôturé"),"RETARD",""))</f>
        <v/>
      </c>
      <c r="J1042" s="29">
        <f>IF($B1042="","",IF(INDEX(Dossiers!$F$4:$F$63,20)="","",INDEX(Dossiers!$F$4:$F$63,20)))</f>
        <v/>
      </c>
      <c r="K1042" s="29">
        <f>IF($B1042="","",IF(INDEX(Dossiers!$G$4:$G$63,20)="","",INDEX(Dossiers!$G$4:$G$63,20)))</f>
        <v/>
      </c>
    </row>
    <row r="1043">
      <c r="A1043">
        <f>IF($B1043="","",INDEX(Dossiers!$E$4:$E$63,20))</f>
        <v/>
      </c>
      <c r="B1043">
        <f>IF(INDEX(Suivi!$B:$B,1063)="","",INDEX(Suivi!$B:$B,1063))</f>
        <v/>
      </c>
      <c r="C1043">
        <f>IF($B1043="","",IF(INDEX(Suivi!$D:$D,1063)="",INDEX(Suivi!$C:$C,1063),INDEX(Suivi!$D:$D,1063)))</f>
        <v/>
      </c>
      <c r="D1043" s="29">
        <f>IF($B1043="","",INDEX(Suivi!$E:$E,1063))</f>
        <v/>
      </c>
      <c r="E1043" s="29">
        <f>IF($B1043="","",INDEX(Suivi!$F:$F,1063))</f>
        <v/>
      </c>
      <c r="F1043">
        <f>IF($B1043="","",INDEX(Suivi!$G:$G,1063))</f>
        <v/>
      </c>
      <c r="H1043">
        <f>IF(OR($B1043="",NOT(ISNUMBER($D1043))),"",IF($E1043&lt;$D$2,"Passé",IF($D1043&gt;$F$2,"À venir","Dans la période")))</f>
        <v/>
      </c>
      <c r="I1043">
        <f>IF(OR($B1043="",NOT(ISNUMBER($D1043))),"",IF(AND($E1043&lt;$D$2,$G1043&lt;&gt;"X",$F1043&lt;&gt;"Réalisé",$F1043&lt;&gt;"Clôturé"),"RETARD",""))</f>
        <v/>
      </c>
      <c r="J1043" s="29">
        <f>IF($B1043="","",IF(INDEX(Dossiers!$F$4:$F$63,20)="","",INDEX(Dossiers!$F$4:$F$63,20)))</f>
        <v/>
      </c>
      <c r="K1043" s="29">
        <f>IF($B1043="","",IF(INDEX(Dossiers!$G$4:$G$63,20)="","",INDEX(Dossiers!$G$4:$G$63,20)))</f>
        <v/>
      </c>
    </row>
    <row r="1044">
      <c r="A1044">
        <f>IF($B1044="","",INDEX(Dossiers!$E$4:$E$63,20))</f>
        <v/>
      </c>
      <c r="B1044">
        <f>IF(INDEX(Suivi!$B:$B,1064)="","",INDEX(Suivi!$B:$B,1064))</f>
        <v/>
      </c>
      <c r="C1044">
        <f>IF($B1044="","",IF(INDEX(Suivi!$D:$D,1064)="",INDEX(Suivi!$C:$C,1064),INDEX(Suivi!$D:$D,1064)))</f>
        <v/>
      </c>
      <c r="D1044" s="29">
        <f>IF($B1044="","",INDEX(Suivi!$E:$E,1064))</f>
        <v/>
      </c>
      <c r="E1044" s="29">
        <f>IF($B1044="","",INDEX(Suivi!$F:$F,1064))</f>
        <v/>
      </c>
      <c r="F1044">
        <f>IF($B1044="","",INDEX(Suivi!$G:$G,1064))</f>
        <v/>
      </c>
      <c r="H1044">
        <f>IF(OR($B1044="",NOT(ISNUMBER($D1044))),"",IF($E1044&lt;$D$2,"Passé",IF($D1044&gt;$F$2,"À venir","Dans la période")))</f>
        <v/>
      </c>
      <c r="I1044">
        <f>IF(OR($B1044="",NOT(ISNUMBER($D1044))),"",IF(AND($E1044&lt;$D$2,$G1044&lt;&gt;"X",$F1044&lt;&gt;"Réalisé",$F1044&lt;&gt;"Clôturé"),"RETARD",""))</f>
        <v/>
      </c>
      <c r="J1044" s="29">
        <f>IF($B1044="","",IF(INDEX(Dossiers!$F$4:$F$63,20)="","",INDEX(Dossiers!$F$4:$F$63,20)))</f>
        <v/>
      </c>
      <c r="K1044" s="29">
        <f>IF($B1044="","",IF(INDEX(Dossiers!$G$4:$G$63,20)="","",INDEX(Dossiers!$G$4:$G$63,20)))</f>
        <v/>
      </c>
    </row>
    <row r="1045">
      <c r="A1045">
        <f>IF($B1045="","",INDEX(Dossiers!$E$4:$E$63,20))</f>
        <v/>
      </c>
      <c r="B1045">
        <f>IF(INDEX(Suivi!$B:$B,1065)="","",INDEX(Suivi!$B:$B,1065))</f>
        <v/>
      </c>
      <c r="C1045">
        <f>IF($B1045="","",IF(INDEX(Suivi!$D:$D,1065)="",INDEX(Suivi!$C:$C,1065),INDEX(Suivi!$D:$D,1065)))</f>
        <v/>
      </c>
      <c r="D1045" s="29">
        <f>IF($B1045="","",INDEX(Suivi!$E:$E,1065))</f>
        <v/>
      </c>
      <c r="E1045" s="29">
        <f>IF($B1045="","",INDEX(Suivi!$F:$F,1065))</f>
        <v/>
      </c>
      <c r="F1045">
        <f>IF($B1045="","",INDEX(Suivi!$G:$G,1065))</f>
        <v/>
      </c>
      <c r="H1045">
        <f>IF(OR($B1045="",NOT(ISNUMBER($D1045))),"",IF($E1045&lt;$D$2,"Passé",IF($D1045&gt;$F$2,"À venir","Dans la période")))</f>
        <v/>
      </c>
      <c r="I1045">
        <f>IF(OR($B1045="",NOT(ISNUMBER($D1045))),"",IF(AND($E1045&lt;$D$2,$G1045&lt;&gt;"X",$F1045&lt;&gt;"Réalisé",$F1045&lt;&gt;"Clôturé"),"RETARD",""))</f>
        <v/>
      </c>
      <c r="J1045" s="29">
        <f>IF($B1045="","",IF(INDEX(Dossiers!$F$4:$F$63,20)="","",INDEX(Dossiers!$F$4:$F$63,20)))</f>
        <v/>
      </c>
      <c r="K1045" s="29">
        <f>IF($B1045="","",IF(INDEX(Dossiers!$G$4:$G$63,20)="","",INDEX(Dossiers!$G$4:$G$63,20)))</f>
        <v/>
      </c>
    </row>
    <row r="1046">
      <c r="A1046">
        <f>IF($B1046="","",INDEX(Dossiers!$E$4:$E$63,20))</f>
        <v/>
      </c>
      <c r="B1046">
        <f>IF(INDEX(Suivi!$B:$B,1066)="","",INDEX(Suivi!$B:$B,1066))</f>
        <v/>
      </c>
      <c r="C1046">
        <f>IF($B1046="","",IF(INDEX(Suivi!$D:$D,1066)="",INDEX(Suivi!$C:$C,1066),INDEX(Suivi!$D:$D,1066)))</f>
        <v/>
      </c>
      <c r="D1046" s="29">
        <f>IF($B1046="","",INDEX(Suivi!$E:$E,1066))</f>
        <v/>
      </c>
      <c r="E1046" s="29">
        <f>IF($B1046="","",INDEX(Suivi!$F:$F,1066))</f>
        <v/>
      </c>
      <c r="F1046">
        <f>IF($B1046="","",INDEX(Suivi!$G:$G,1066))</f>
        <v/>
      </c>
      <c r="H1046">
        <f>IF(OR($B1046="",NOT(ISNUMBER($D1046))),"",IF($E1046&lt;$D$2,"Passé",IF($D1046&gt;$F$2,"À venir","Dans la période")))</f>
        <v/>
      </c>
      <c r="I1046">
        <f>IF(OR($B1046="",NOT(ISNUMBER($D1046))),"",IF(AND($E1046&lt;$D$2,$G1046&lt;&gt;"X",$F1046&lt;&gt;"Réalisé",$F1046&lt;&gt;"Clôturé"),"RETARD",""))</f>
        <v/>
      </c>
      <c r="J1046" s="29">
        <f>IF($B1046="","",IF(INDEX(Dossiers!$F$4:$F$63,20)="","",INDEX(Dossiers!$F$4:$F$63,20)))</f>
        <v/>
      </c>
      <c r="K1046" s="29">
        <f>IF($B1046="","",IF(INDEX(Dossiers!$G$4:$G$63,20)="","",INDEX(Dossiers!$G$4:$G$63,20)))</f>
        <v/>
      </c>
    </row>
    <row r="1047">
      <c r="A1047">
        <f>IF($B1047="","",INDEX(Dossiers!$E$4:$E$63,20))</f>
        <v/>
      </c>
      <c r="B1047">
        <f>IF(INDEX(Suivi!$B:$B,1067)="","",INDEX(Suivi!$B:$B,1067))</f>
        <v/>
      </c>
      <c r="C1047">
        <f>IF($B1047="","",IF(INDEX(Suivi!$D:$D,1067)="",INDEX(Suivi!$C:$C,1067),INDEX(Suivi!$D:$D,1067)))</f>
        <v/>
      </c>
      <c r="D1047" s="29">
        <f>IF($B1047="","",INDEX(Suivi!$E:$E,1067))</f>
        <v/>
      </c>
      <c r="E1047" s="29">
        <f>IF($B1047="","",INDEX(Suivi!$F:$F,1067))</f>
        <v/>
      </c>
      <c r="F1047">
        <f>IF($B1047="","",INDEX(Suivi!$G:$G,1067))</f>
        <v/>
      </c>
      <c r="H1047">
        <f>IF(OR($B1047="",NOT(ISNUMBER($D1047))),"",IF($E1047&lt;$D$2,"Passé",IF($D1047&gt;$F$2,"À venir","Dans la période")))</f>
        <v/>
      </c>
      <c r="I1047">
        <f>IF(OR($B1047="",NOT(ISNUMBER($D1047))),"",IF(AND($E1047&lt;$D$2,$G1047&lt;&gt;"X",$F1047&lt;&gt;"Réalisé",$F1047&lt;&gt;"Clôturé"),"RETARD",""))</f>
        <v/>
      </c>
      <c r="J1047" s="29">
        <f>IF($B1047="","",IF(INDEX(Dossiers!$F$4:$F$63,20)="","",INDEX(Dossiers!$F$4:$F$63,20)))</f>
        <v/>
      </c>
      <c r="K1047" s="29">
        <f>IF($B1047="","",IF(INDEX(Dossiers!$G$4:$G$63,20)="","",INDEX(Dossiers!$G$4:$G$63,20)))</f>
        <v/>
      </c>
    </row>
    <row r="1048">
      <c r="A1048">
        <f>IF($B1048="","",INDEX(Dossiers!$E$4:$E$63,20))</f>
        <v/>
      </c>
      <c r="B1048">
        <f>IF(INDEX(Suivi!$B:$B,1068)="","",INDEX(Suivi!$B:$B,1068))</f>
        <v/>
      </c>
      <c r="C1048">
        <f>IF($B1048="","",IF(INDEX(Suivi!$D:$D,1068)="",INDEX(Suivi!$C:$C,1068),INDEX(Suivi!$D:$D,1068)))</f>
        <v/>
      </c>
      <c r="D1048" s="29">
        <f>IF($B1048="","",INDEX(Suivi!$E:$E,1068))</f>
        <v/>
      </c>
      <c r="E1048" s="29">
        <f>IF($B1048="","",INDEX(Suivi!$F:$F,1068))</f>
        <v/>
      </c>
      <c r="F1048">
        <f>IF($B1048="","",INDEX(Suivi!$G:$G,1068))</f>
        <v/>
      </c>
      <c r="H1048">
        <f>IF(OR($B1048="",NOT(ISNUMBER($D1048))),"",IF($E1048&lt;$D$2,"Passé",IF($D1048&gt;$F$2,"À venir","Dans la période")))</f>
        <v/>
      </c>
      <c r="I1048">
        <f>IF(OR($B1048="",NOT(ISNUMBER($D1048))),"",IF(AND($E1048&lt;$D$2,$G1048&lt;&gt;"X",$F1048&lt;&gt;"Réalisé",$F1048&lt;&gt;"Clôturé"),"RETARD",""))</f>
        <v/>
      </c>
      <c r="J1048" s="29">
        <f>IF($B1048="","",IF(INDEX(Dossiers!$F$4:$F$63,20)="","",INDEX(Dossiers!$F$4:$F$63,20)))</f>
        <v/>
      </c>
      <c r="K1048" s="29">
        <f>IF($B1048="","",IF(INDEX(Dossiers!$G$4:$G$63,20)="","",INDEX(Dossiers!$G$4:$G$63,20)))</f>
        <v/>
      </c>
    </row>
    <row r="1049">
      <c r="A1049">
        <f>IF($B1049="","",INDEX(Dossiers!$E$4:$E$63,20))</f>
        <v/>
      </c>
      <c r="B1049">
        <f>IF(INDEX(Suivi!$B:$B,1069)="","",INDEX(Suivi!$B:$B,1069))</f>
        <v/>
      </c>
      <c r="C1049">
        <f>IF($B1049="","",IF(INDEX(Suivi!$D:$D,1069)="",INDEX(Suivi!$C:$C,1069),INDEX(Suivi!$D:$D,1069)))</f>
        <v/>
      </c>
      <c r="D1049" s="29">
        <f>IF($B1049="","",INDEX(Suivi!$E:$E,1069))</f>
        <v/>
      </c>
      <c r="E1049" s="29">
        <f>IF($B1049="","",INDEX(Suivi!$F:$F,1069))</f>
        <v/>
      </c>
      <c r="F1049">
        <f>IF($B1049="","",INDEX(Suivi!$G:$G,1069))</f>
        <v/>
      </c>
      <c r="H1049">
        <f>IF(OR($B1049="",NOT(ISNUMBER($D1049))),"",IF($E1049&lt;$D$2,"Passé",IF($D1049&gt;$F$2,"À venir","Dans la période")))</f>
        <v/>
      </c>
      <c r="I1049">
        <f>IF(OR($B1049="",NOT(ISNUMBER($D1049))),"",IF(AND($E1049&lt;$D$2,$G1049&lt;&gt;"X",$F1049&lt;&gt;"Réalisé",$F1049&lt;&gt;"Clôturé"),"RETARD",""))</f>
        <v/>
      </c>
      <c r="J1049" s="29">
        <f>IF($B1049="","",IF(INDEX(Dossiers!$F$4:$F$63,20)="","",INDEX(Dossiers!$F$4:$F$63,20)))</f>
        <v/>
      </c>
      <c r="K1049" s="29">
        <f>IF($B1049="","",IF(INDEX(Dossiers!$G$4:$G$63,20)="","",INDEX(Dossiers!$G$4:$G$63,20)))</f>
        <v/>
      </c>
    </row>
    <row r="1050">
      <c r="A1050">
        <f>IF($B1050="","",INDEX(Dossiers!$E$4:$E$63,20))</f>
        <v/>
      </c>
      <c r="B1050">
        <f>IF(INDEX(Suivi!$B:$B,1070)="","",INDEX(Suivi!$B:$B,1070))</f>
        <v/>
      </c>
      <c r="C1050">
        <f>IF($B1050="","",IF(INDEX(Suivi!$D:$D,1070)="",INDEX(Suivi!$C:$C,1070),INDEX(Suivi!$D:$D,1070)))</f>
        <v/>
      </c>
      <c r="D1050" s="29">
        <f>IF($B1050="","",INDEX(Suivi!$E:$E,1070))</f>
        <v/>
      </c>
      <c r="E1050" s="29">
        <f>IF($B1050="","",INDEX(Suivi!$F:$F,1070))</f>
        <v/>
      </c>
      <c r="F1050">
        <f>IF($B1050="","",INDEX(Suivi!$G:$G,1070))</f>
        <v/>
      </c>
      <c r="H1050">
        <f>IF(OR($B1050="",NOT(ISNUMBER($D1050))),"",IF($E1050&lt;$D$2,"Passé",IF($D1050&gt;$F$2,"À venir","Dans la période")))</f>
        <v/>
      </c>
      <c r="I1050">
        <f>IF(OR($B1050="",NOT(ISNUMBER($D1050))),"",IF(AND($E1050&lt;$D$2,$G1050&lt;&gt;"X",$F1050&lt;&gt;"Réalisé",$F1050&lt;&gt;"Clôturé"),"RETARD",""))</f>
        <v/>
      </c>
      <c r="J1050" s="29">
        <f>IF($B1050="","",IF(INDEX(Dossiers!$F$4:$F$63,20)="","",INDEX(Dossiers!$F$4:$F$63,20)))</f>
        <v/>
      </c>
      <c r="K1050" s="29">
        <f>IF($B1050="","",IF(INDEX(Dossiers!$G$4:$G$63,20)="","",INDEX(Dossiers!$G$4:$G$63,20)))</f>
        <v/>
      </c>
    </row>
    <row r="1051">
      <c r="A1051">
        <f>IF($B1051="","",INDEX(Dossiers!$E$4:$E$63,20))</f>
        <v/>
      </c>
      <c r="B1051">
        <f>IF(INDEX(Suivi!$B:$B,1071)="","",INDEX(Suivi!$B:$B,1071))</f>
        <v/>
      </c>
      <c r="C1051">
        <f>IF($B1051="","",IF(INDEX(Suivi!$D:$D,1071)="",INDEX(Suivi!$C:$C,1071),INDEX(Suivi!$D:$D,1071)))</f>
        <v/>
      </c>
      <c r="D1051" s="29">
        <f>IF($B1051="","",INDEX(Suivi!$E:$E,1071))</f>
        <v/>
      </c>
      <c r="E1051" s="29">
        <f>IF($B1051="","",INDEX(Suivi!$F:$F,1071))</f>
        <v/>
      </c>
      <c r="F1051">
        <f>IF($B1051="","",INDEX(Suivi!$G:$G,1071))</f>
        <v/>
      </c>
      <c r="H1051">
        <f>IF(OR($B1051="",NOT(ISNUMBER($D1051))),"",IF($E1051&lt;$D$2,"Passé",IF($D1051&gt;$F$2,"À venir","Dans la période")))</f>
        <v/>
      </c>
      <c r="I1051">
        <f>IF(OR($B1051="",NOT(ISNUMBER($D1051))),"",IF(AND($E1051&lt;$D$2,$G1051&lt;&gt;"X",$F1051&lt;&gt;"Réalisé",$F1051&lt;&gt;"Clôturé"),"RETARD",""))</f>
        <v/>
      </c>
      <c r="J1051" s="29">
        <f>IF($B1051="","",IF(INDEX(Dossiers!$F$4:$F$63,20)="","",INDEX(Dossiers!$F$4:$F$63,20)))</f>
        <v/>
      </c>
      <c r="K1051" s="29">
        <f>IF($B1051="","",IF(INDEX(Dossiers!$G$4:$G$63,20)="","",INDEX(Dossiers!$G$4:$G$63,20)))</f>
        <v/>
      </c>
    </row>
    <row r="1052">
      <c r="A1052">
        <f>IF($B1052="","",INDEX(Dossiers!$E$4:$E$63,20))</f>
        <v/>
      </c>
      <c r="B1052">
        <f>IF(INDEX(Suivi!$B:$B,1072)="","",INDEX(Suivi!$B:$B,1072))</f>
        <v/>
      </c>
      <c r="C1052">
        <f>IF($B1052="","",IF(INDEX(Suivi!$D:$D,1072)="",INDEX(Suivi!$C:$C,1072),INDEX(Suivi!$D:$D,1072)))</f>
        <v/>
      </c>
      <c r="D1052" s="29">
        <f>IF($B1052="","",INDEX(Suivi!$E:$E,1072))</f>
        <v/>
      </c>
      <c r="E1052" s="29">
        <f>IF($B1052="","",INDEX(Suivi!$F:$F,1072))</f>
        <v/>
      </c>
      <c r="F1052">
        <f>IF($B1052="","",INDEX(Suivi!$G:$G,1072))</f>
        <v/>
      </c>
      <c r="H1052">
        <f>IF(OR($B1052="",NOT(ISNUMBER($D1052))),"",IF($E1052&lt;$D$2,"Passé",IF($D1052&gt;$F$2,"À venir","Dans la période")))</f>
        <v/>
      </c>
      <c r="I1052">
        <f>IF(OR($B1052="",NOT(ISNUMBER($D1052))),"",IF(AND($E1052&lt;$D$2,$G1052&lt;&gt;"X",$F1052&lt;&gt;"Réalisé",$F1052&lt;&gt;"Clôturé"),"RETARD",""))</f>
        <v/>
      </c>
      <c r="J1052" s="29">
        <f>IF($B1052="","",IF(INDEX(Dossiers!$F$4:$F$63,20)="","",INDEX(Dossiers!$F$4:$F$63,20)))</f>
        <v/>
      </c>
      <c r="K1052" s="29">
        <f>IF($B1052="","",IF(INDEX(Dossiers!$G$4:$G$63,20)="","",INDEX(Dossiers!$G$4:$G$63,20)))</f>
        <v/>
      </c>
    </row>
    <row r="1053">
      <c r="A1053">
        <f>IF($B1053="","",INDEX(Dossiers!$E$4:$E$63,20))</f>
        <v/>
      </c>
      <c r="B1053">
        <f>IF(INDEX(Suivi!$B:$B,1073)="","",INDEX(Suivi!$B:$B,1073))</f>
        <v/>
      </c>
      <c r="C1053">
        <f>IF($B1053="","",IF(INDEX(Suivi!$D:$D,1073)="",INDEX(Suivi!$C:$C,1073),INDEX(Suivi!$D:$D,1073)))</f>
        <v/>
      </c>
      <c r="D1053" s="29">
        <f>IF($B1053="","",INDEX(Suivi!$E:$E,1073))</f>
        <v/>
      </c>
      <c r="E1053" s="29">
        <f>IF($B1053="","",INDEX(Suivi!$F:$F,1073))</f>
        <v/>
      </c>
      <c r="F1053">
        <f>IF($B1053="","",INDEX(Suivi!$G:$G,1073))</f>
        <v/>
      </c>
      <c r="H1053">
        <f>IF(OR($B1053="",NOT(ISNUMBER($D1053))),"",IF($E1053&lt;$D$2,"Passé",IF($D1053&gt;$F$2,"À venir","Dans la période")))</f>
        <v/>
      </c>
      <c r="I1053">
        <f>IF(OR($B1053="",NOT(ISNUMBER($D1053))),"",IF(AND($E1053&lt;$D$2,$G1053&lt;&gt;"X",$F1053&lt;&gt;"Réalisé",$F1053&lt;&gt;"Clôturé"),"RETARD",""))</f>
        <v/>
      </c>
      <c r="J1053" s="29">
        <f>IF($B1053="","",IF(INDEX(Dossiers!$F$4:$F$63,20)="","",INDEX(Dossiers!$F$4:$F$63,20)))</f>
        <v/>
      </c>
      <c r="K1053" s="29">
        <f>IF($B1053="","",IF(INDEX(Dossiers!$G$4:$G$63,20)="","",INDEX(Dossiers!$G$4:$G$63,20)))</f>
        <v/>
      </c>
    </row>
    <row r="1054">
      <c r="A1054">
        <f>IF($B1054="","",INDEX(Dossiers!$E$4:$E$63,20))</f>
        <v/>
      </c>
      <c r="B1054">
        <f>IF(INDEX(Suivi!$B:$B,1074)="","",INDEX(Suivi!$B:$B,1074))</f>
        <v/>
      </c>
      <c r="C1054">
        <f>IF($B1054="","",IF(INDEX(Suivi!$D:$D,1074)="",INDEX(Suivi!$C:$C,1074),INDEX(Suivi!$D:$D,1074)))</f>
        <v/>
      </c>
      <c r="D1054" s="29">
        <f>IF($B1054="","",INDEX(Suivi!$E:$E,1074))</f>
        <v/>
      </c>
      <c r="E1054" s="29">
        <f>IF($B1054="","",INDEX(Suivi!$F:$F,1074))</f>
        <v/>
      </c>
      <c r="F1054">
        <f>IF($B1054="","",INDEX(Suivi!$G:$G,1074))</f>
        <v/>
      </c>
      <c r="H1054">
        <f>IF(OR($B1054="",NOT(ISNUMBER($D1054))),"",IF($E1054&lt;$D$2,"Passé",IF($D1054&gt;$F$2,"À venir","Dans la période")))</f>
        <v/>
      </c>
      <c r="I1054">
        <f>IF(OR($B1054="",NOT(ISNUMBER($D1054))),"",IF(AND($E1054&lt;$D$2,$G1054&lt;&gt;"X",$F1054&lt;&gt;"Réalisé",$F1054&lt;&gt;"Clôturé"),"RETARD",""))</f>
        <v/>
      </c>
      <c r="J1054" s="29">
        <f>IF($B1054="","",IF(INDEX(Dossiers!$F$4:$F$63,20)="","",INDEX(Dossiers!$F$4:$F$63,20)))</f>
        <v/>
      </c>
      <c r="K1054" s="29">
        <f>IF($B1054="","",IF(INDEX(Dossiers!$G$4:$G$63,20)="","",INDEX(Dossiers!$G$4:$G$63,20)))</f>
        <v/>
      </c>
    </row>
    <row r="1055">
      <c r="A1055">
        <f>IF($B1055="","",INDEX(Dossiers!$E$4:$E$63,20))</f>
        <v/>
      </c>
      <c r="B1055">
        <f>IF(INDEX(Suivi!$B:$B,1075)="","",INDEX(Suivi!$B:$B,1075))</f>
        <v/>
      </c>
      <c r="C1055">
        <f>IF($B1055="","",IF(INDEX(Suivi!$D:$D,1075)="",INDEX(Suivi!$C:$C,1075),INDEX(Suivi!$D:$D,1075)))</f>
        <v/>
      </c>
      <c r="D1055" s="29">
        <f>IF($B1055="","",INDEX(Suivi!$E:$E,1075))</f>
        <v/>
      </c>
      <c r="E1055" s="29">
        <f>IF($B1055="","",INDEX(Suivi!$F:$F,1075))</f>
        <v/>
      </c>
      <c r="F1055">
        <f>IF($B1055="","",INDEX(Suivi!$G:$G,1075))</f>
        <v/>
      </c>
      <c r="H1055">
        <f>IF(OR($B1055="",NOT(ISNUMBER($D1055))),"",IF($E1055&lt;$D$2,"Passé",IF($D1055&gt;$F$2,"À venir","Dans la période")))</f>
        <v/>
      </c>
      <c r="I1055">
        <f>IF(OR($B1055="",NOT(ISNUMBER($D1055))),"",IF(AND($E1055&lt;$D$2,$G1055&lt;&gt;"X",$F1055&lt;&gt;"Réalisé",$F1055&lt;&gt;"Clôturé"),"RETARD",""))</f>
        <v/>
      </c>
      <c r="J1055" s="29">
        <f>IF($B1055="","",IF(INDEX(Dossiers!$F$4:$F$63,20)="","",INDEX(Dossiers!$F$4:$F$63,20)))</f>
        <v/>
      </c>
      <c r="K1055" s="29">
        <f>IF($B1055="","",IF(INDEX(Dossiers!$G$4:$G$63,20)="","",INDEX(Dossiers!$G$4:$G$63,20)))</f>
        <v/>
      </c>
    </row>
    <row r="1056">
      <c r="A1056">
        <f>IF($B1056="","",INDEX(Dossiers!$E$4:$E$63,20))</f>
        <v/>
      </c>
      <c r="B1056">
        <f>IF(INDEX(Suivi!$B:$B,1076)="","",INDEX(Suivi!$B:$B,1076))</f>
        <v/>
      </c>
      <c r="C1056">
        <f>IF($B1056="","",IF(INDEX(Suivi!$D:$D,1076)="",INDEX(Suivi!$C:$C,1076),INDEX(Suivi!$D:$D,1076)))</f>
        <v/>
      </c>
      <c r="D1056" s="29">
        <f>IF($B1056="","",INDEX(Suivi!$E:$E,1076))</f>
        <v/>
      </c>
      <c r="E1056" s="29">
        <f>IF($B1056="","",INDEX(Suivi!$F:$F,1076))</f>
        <v/>
      </c>
      <c r="F1056">
        <f>IF($B1056="","",INDEX(Suivi!$G:$G,1076))</f>
        <v/>
      </c>
      <c r="H1056">
        <f>IF(OR($B1056="",NOT(ISNUMBER($D1056))),"",IF($E1056&lt;$D$2,"Passé",IF($D1056&gt;$F$2,"À venir","Dans la période")))</f>
        <v/>
      </c>
      <c r="I1056">
        <f>IF(OR($B1056="",NOT(ISNUMBER($D1056))),"",IF(AND($E1056&lt;$D$2,$G1056&lt;&gt;"X",$F1056&lt;&gt;"Réalisé",$F1056&lt;&gt;"Clôturé"),"RETARD",""))</f>
        <v/>
      </c>
      <c r="J1056" s="29">
        <f>IF($B1056="","",IF(INDEX(Dossiers!$F$4:$F$63,20)="","",INDEX(Dossiers!$F$4:$F$63,20)))</f>
        <v/>
      </c>
      <c r="K1056" s="29">
        <f>IF($B1056="","",IF(INDEX(Dossiers!$G$4:$G$63,20)="","",INDEX(Dossiers!$G$4:$G$63,20)))</f>
        <v/>
      </c>
    </row>
    <row r="1057">
      <c r="A1057">
        <f>IF($B1057="","",INDEX(Dossiers!$E$4:$E$63,20))</f>
        <v/>
      </c>
      <c r="B1057">
        <f>IF(INDEX(Suivi!$B:$B,1077)="","",INDEX(Suivi!$B:$B,1077))</f>
        <v/>
      </c>
      <c r="C1057">
        <f>IF($B1057="","",IF(INDEX(Suivi!$D:$D,1077)="",INDEX(Suivi!$C:$C,1077),INDEX(Suivi!$D:$D,1077)))</f>
        <v/>
      </c>
      <c r="D1057" s="29">
        <f>IF($B1057="","",INDEX(Suivi!$E:$E,1077))</f>
        <v/>
      </c>
      <c r="E1057" s="29">
        <f>IF($B1057="","",INDEX(Suivi!$F:$F,1077))</f>
        <v/>
      </c>
      <c r="F1057">
        <f>IF($B1057="","",INDEX(Suivi!$G:$G,1077))</f>
        <v/>
      </c>
      <c r="H1057">
        <f>IF(OR($B1057="",NOT(ISNUMBER($D1057))),"",IF($E1057&lt;$D$2,"Passé",IF($D1057&gt;$F$2,"À venir","Dans la période")))</f>
        <v/>
      </c>
      <c r="I1057">
        <f>IF(OR($B1057="",NOT(ISNUMBER($D1057))),"",IF(AND($E1057&lt;$D$2,$G1057&lt;&gt;"X",$F1057&lt;&gt;"Réalisé",$F1057&lt;&gt;"Clôturé"),"RETARD",""))</f>
        <v/>
      </c>
      <c r="J1057" s="29">
        <f>IF($B1057="","",IF(INDEX(Dossiers!$F$4:$F$63,20)="","",INDEX(Dossiers!$F$4:$F$63,20)))</f>
        <v/>
      </c>
      <c r="K1057" s="29">
        <f>IF($B1057="","",IF(INDEX(Dossiers!$G$4:$G$63,20)="","",INDEX(Dossiers!$G$4:$G$63,20)))</f>
        <v/>
      </c>
    </row>
    <row r="1058">
      <c r="A1058">
        <f>IF($B1058="","",INDEX(Dossiers!$E$4:$E$63,20))</f>
        <v/>
      </c>
      <c r="B1058">
        <f>IF(INDEX(Suivi!$B:$B,1078)="","",INDEX(Suivi!$B:$B,1078))</f>
        <v/>
      </c>
      <c r="C1058">
        <f>IF($B1058="","",IF(INDEX(Suivi!$D:$D,1078)="",INDEX(Suivi!$C:$C,1078),INDEX(Suivi!$D:$D,1078)))</f>
        <v/>
      </c>
      <c r="D1058" s="29">
        <f>IF($B1058="","",INDEX(Suivi!$E:$E,1078))</f>
        <v/>
      </c>
      <c r="E1058" s="29">
        <f>IF($B1058="","",INDEX(Suivi!$F:$F,1078))</f>
        <v/>
      </c>
      <c r="F1058">
        <f>IF($B1058="","",INDEX(Suivi!$G:$G,1078))</f>
        <v/>
      </c>
      <c r="H1058">
        <f>IF(OR($B1058="",NOT(ISNUMBER($D1058))),"",IF($E1058&lt;$D$2,"Passé",IF($D1058&gt;$F$2,"À venir","Dans la période")))</f>
        <v/>
      </c>
      <c r="I1058">
        <f>IF(OR($B1058="",NOT(ISNUMBER($D1058))),"",IF(AND($E1058&lt;$D$2,$G1058&lt;&gt;"X",$F1058&lt;&gt;"Réalisé",$F1058&lt;&gt;"Clôturé"),"RETARD",""))</f>
        <v/>
      </c>
      <c r="J1058" s="29">
        <f>IF($B1058="","",IF(INDEX(Dossiers!$F$4:$F$63,20)="","",INDEX(Dossiers!$F$4:$F$63,20)))</f>
        <v/>
      </c>
      <c r="K1058" s="29">
        <f>IF($B1058="","",IF(INDEX(Dossiers!$G$4:$G$63,20)="","",INDEX(Dossiers!$G$4:$G$63,20)))</f>
        <v/>
      </c>
    </row>
    <row r="1059">
      <c r="A1059">
        <f>IF($B1059="","",INDEX(Dossiers!$E$4:$E$63,20))</f>
        <v/>
      </c>
      <c r="B1059">
        <f>IF(INDEX(Suivi!$B:$B,1079)="","",INDEX(Suivi!$B:$B,1079))</f>
        <v/>
      </c>
      <c r="C1059">
        <f>IF($B1059="","",IF(INDEX(Suivi!$D:$D,1079)="",INDEX(Suivi!$C:$C,1079),INDEX(Suivi!$D:$D,1079)))</f>
        <v/>
      </c>
      <c r="D1059" s="29">
        <f>IF($B1059="","",INDEX(Suivi!$E:$E,1079))</f>
        <v/>
      </c>
      <c r="E1059" s="29">
        <f>IF($B1059="","",INDEX(Suivi!$F:$F,1079))</f>
        <v/>
      </c>
      <c r="F1059">
        <f>IF($B1059="","",INDEX(Suivi!$G:$G,1079))</f>
        <v/>
      </c>
      <c r="H1059">
        <f>IF(OR($B1059="",NOT(ISNUMBER($D1059))),"",IF($E1059&lt;$D$2,"Passé",IF($D1059&gt;$F$2,"À venir","Dans la période")))</f>
        <v/>
      </c>
      <c r="I1059">
        <f>IF(OR($B1059="",NOT(ISNUMBER($D1059))),"",IF(AND($E1059&lt;$D$2,$G1059&lt;&gt;"X",$F1059&lt;&gt;"Réalisé",$F1059&lt;&gt;"Clôturé"),"RETARD",""))</f>
        <v/>
      </c>
      <c r="J1059" s="29">
        <f>IF($B1059="","",IF(INDEX(Dossiers!$F$4:$F$63,20)="","",INDEX(Dossiers!$F$4:$F$63,20)))</f>
        <v/>
      </c>
      <c r="K1059" s="29">
        <f>IF($B1059="","",IF(INDEX(Dossiers!$G$4:$G$63,20)="","",INDEX(Dossiers!$G$4:$G$63,20)))</f>
        <v/>
      </c>
    </row>
    <row r="1060">
      <c r="A1060">
        <f>IF($B1060="","",INDEX(Dossiers!$E$4:$E$63,20))</f>
        <v/>
      </c>
      <c r="B1060">
        <f>IF(INDEX(Suivi!$B:$B,1080)="","",INDEX(Suivi!$B:$B,1080))</f>
        <v/>
      </c>
      <c r="C1060">
        <f>IF($B1060="","",IF(INDEX(Suivi!$D:$D,1080)="",INDEX(Suivi!$C:$C,1080),INDEX(Suivi!$D:$D,1080)))</f>
        <v/>
      </c>
      <c r="D1060" s="29">
        <f>IF($B1060="","",INDEX(Suivi!$E:$E,1080))</f>
        <v/>
      </c>
      <c r="E1060" s="29">
        <f>IF($B1060="","",INDEX(Suivi!$F:$F,1080))</f>
        <v/>
      </c>
      <c r="F1060">
        <f>IF($B1060="","",INDEX(Suivi!$G:$G,1080))</f>
        <v/>
      </c>
      <c r="H1060">
        <f>IF(OR($B1060="",NOT(ISNUMBER($D1060))),"",IF($E1060&lt;$D$2,"Passé",IF($D1060&gt;$F$2,"À venir","Dans la période")))</f>
        <v/>
      </c>
      <c r="I1060">
        <f>IF(OR($B1060="",NOT(ISNUMBER($D1060))),"",IF(AND($E1060&lt;$D$2,$G1060&lt;&gt;"X",$F1060&lt;&gt;"Réalisé",$F1060&lt;&gt;"Clôturé"),"RETARD",""))</f>
        <v/>
      </c>
      <c r="J1060" s="29">
        <f>IF($B1060="","",IF(INDEX(Dossiers!$F$4:$F$63,20)="","",INDEX(Dossiers!$F$4:$F$63,20)))</f>
        <v/>
      </c>
      <c r="K1060" s="29">
        <f>IF($B1060="","",IF(INDEX(Dossiers!$G$4:$G$63,20)="","",INDEX(Dossiers!$G$4:$G$63,20)))</f>
        <v/>
      </c>
    </row>
    <row r="1061">
      <c r="A1061">
        <f>IF($B1061="","",INDEX(Dossiers!$E$4:$E$63,20))</f>
        <v/>
      </c>
      <c r="B1061">
        <f>IF(INDEX(Suivi!$B:$B,1081)="","",INDEX(Suivi!$B:$B,1081))</f>
        <v/>
      </c>
      <c r="C1061">
        <f>IF($B1061="","",IF(INDEX(Suivi!$D:$D,1081)="",INDEX(Suivi!$C:$C,1081),INDEX(Suivi!$D:$D,1081)))</f>
        <v/>
      </c>
      <c r="D1061" s="29">
        <f>IF($B1061="","",INDEX(Suivi!$E:$E,1081))</f>
        <v/>
      </c>
      <c r="E1061" s="29">
        <f>IF($B1061="","",INDEX(Suivi!$F:$F,1081))</f>
        <v/>
      </c>
      <c r="F1061">
        <f>IF($B1061="","",INDEX(Suivi!$G:$G,1081))</f>
        <v/>
      </c>
      <c r="H1061">
        <f>IF(OR($B1061="",NOT(ISNUMBER($D1061))),"",IF($E1061&lt;$D$2,"Passé",IF($D1061&gt;$F$2,"À venir","Dans la période")))</f>
        <v/>
      </c>
      <c r="I1061">
        <f>IF(OR($B1061="",NOT(ISNUMBER($D1061))),"",IF(AND($E1061&lt;$D$2,$G1061&lt;&gt;"X",$F1061&lt;&gt;"Réalisé",$F1061&lt;&gt;"Clôturé"),"RETARD",""))</f>
        <v/>
      </c>
      <c r="J1061" s="29">
        <f>IF($B1061="","",IF(INDEX(Dossiers!$F$4:$F$63,20)="","",INDEX(Dossiers!$F$4:$F$63,20)))</f>
        <v/>
      </c>
      <c r="K1061" s="29">
        <f>IF($B1061="","",IF(INDEX(Dossiers!$G$4:$G$63,20)="","",INDEX(Dossiers!$G$4:$G$63,20)))</f>
        <v/>
      </c>
    </row>
    <row r="1062">
      <c r="A1062">
        <f>IF($B1062="","",INDEX(Dossiers!$E$4:$E$63,20))</f>
        <v/>
      </c>
      <c r="B1062">
        <f>IF(INDEX(Suivi!$B:$B,1082)="","",INDEX(Suivi!$B:$B,1082))</f>
        <v/>
      </c>
      <c r="C1062">
        <f>IF($B1062="","",IF(INDEX(Suivi!$D:$D,1082)="",INDEX(Suivi!$C:$C,1082),INDEX(Suivi!$D:$D,1082)))</f>
        <v/>
      </c>
      <c r="D1062" s="29">
        <f>IF($B1062="","",INDEX(Suivi!$E:$E,1082))</f>
        <v/>
      </c>
      <c r="E1062" s="29">
        <f>IF($B1062="","",INDEX(Suivi!$F:$F,1082))</f>
        <v/>
      </c>
      <c r="F1062">
        <f>IF($B1062="","",INDEX(Suivi!$G:$G,1082))</f>
        <v/>
      </c>
      <c r="H1062">
        <f>IF(OR($B1062="",NOT(ISNUMBER($D1062))),"",IF($E1062&lt;$D$2,"Passé",IF($D1062&gt;$F$2,"À venir","Dans la période")))</f>
        <v/>
      </c>
      <c r="I1062">
        <f>IF(OR($B1062="",NOT(ISNUMBER($D1062))),"",IF(AND($E1062&lt;$D$2,$G1062&lt;&gt;"X",$F1062&lt;&gt;"Réalisé",$F1062&lt;&gt;"Clôturé"),"RETARD",""))</f>
        <v/>
      </c>
      <c r="J1062" s="29">
        <f>IF($B1062="","",IF(INDEX(Dossiers!$F$4:$F$63,20)="","",INDEX(Dossiers!$F$4:$F$63,20)))</f>
        <v/>
      </c>
      <c r="K1062" s="29">
        <f>IF($B1062="","",IF(INDEX(Dossiers!$G$4:$G$63,20)="","",INDEX(Dossiers!$G$4:$G$63,20)))</f>
        <v/>
      </c>
    </row>
    <row r="1063">
      <c r="A1063">
        <f>IF($B1063="","",INDEX(Dossiers!$E$4:$E$63,20))</f>
        <v/>
      </c>
      <c r="B1063">
        <f>IF(INDEX(Suivi!$B:$B,1083)="","",INDEX(Suivi!$B:$B,1083))</f>
        <v/>
      </c>
      <c r="C1063">
        <f>IF($B1063="","",IF(INDEX(Suivi!$D:$D,1083)="",INDEX(Suivi!$C:$C,1083),INDEX(Suivi!$D:$D,1083)))</f>
        <v/>
      </c>
      <c r="D1063" s="29">
        <f>IF($B1063="","",INDEX(Suivi!$E:$E,1083))</f>
        <v/>
      </c>
      <c r="E1063" s="29">
        <f>IF($B1063="","",INDEX(Suivi!$F:$F,1083))</f>
        <v/>
      </c>
      <c r="F1063">
        <f>IF($B1063="","",INDEX(Suivi!$G:$G,1083))</f>
        <v/>
      </c>
      <c r="H1063">
        <f>IF(OR($B1063="",NOT(ISNUMBER($D1063))),"",IF($E1063&lt;$D$2,"Passé",IF($D1063&gt;$F$2,"À venir","Dans la période")))</f>
        <v/>
      </c>
      <c r="I1063">
        <f>IF(OR($B1063="",NOT(ISNUMBER($D1063))),"",IF(AND($E1063&lt;$D$2,$G1063&lt;&gt;"X",$F1063&lt;&gt;"Réalisé",$F1063&lt;&gt;"Clôturé"),"RETARD",""))</f>
        <v/>
      </c>
      <c r="J1063" s="29">
        <f>IF($B1063="","",IF(INDEX(Dossiers!$F$4:$F$63,20)="","",INDEX(Dossiers!$F$4:$F$63,20)))</f>
        <v/>
      </c>
      <c r="K1063" s="29">
        <f>IF($B1063="","",IF(INDEX(Dossiers!$G$4:$G$63,20)="","",INDEX(Dossiers!$G$4:$G$63,20)))</f>
        <v/>
      </c>
    </row>
    <row r="1064">
      <c r="A1064">
        <f>IF($B1064="","",INDEX(Dossiers!$E$4:$E$63,21))</f>
        <v/>
      </c>
      <c r="B1064">
        <f>IF(INDEX(Suivi!$B:$B,1085)="","",INDEX(Suivi!$B:$B,1085))</f>
        <v/>
      </c>
      <c r="C1064">
        <f>IF($B1064="","",IF(INDEX(Suivi!$D:$D,1085)="",INDEX(Suivi!$C:$C,1085),INDEX(Suivi!$D:$D,1085)))</f>
        <v/>
      </c>
      <c r="D1064" s="29">
        <f>IF($B1064="","",INDEX(Suivi!$E:$E,1085))</f>
        <v/>
      </c>
      <c r="E1064" s="29">
        <f>IF($B1064="","",INDEX(Suivi!$F:$F,1085))</f>
        <v/>
      </c>
      <c r="F1064">
        <f>IF($B1064="","",INDEX(Suivi!$G:$G,1085))</f>
        <v/>
      </c>
      <c r="H1064">
        <f>IF(OR($B1064="",NOT(ISNUMBER($D1064))),"",IF($E1064&lt;$D$2,"Passé",IF($D1064&gt;$F$2,"À venir","Dans la période")))</f>
        <v/>
      </c>
      <c r="I1064">
        <f>IF(OR($B1064="",NOT(ISNUMBER($D1064))),"",IF(AND($E1064&lt;$D$2,$G1064&lt;&gt;"X",$F1064&lt;&gt;"Réalisé",$F1064&lt;&gt;"Clôturé"),"RETARD",""))</f>
        <v/>
      </c>
      <c r="J1064" s="29">
        <f>IF($B1064="","",IF(INDEX(Dossiers!$F$4:$F$63,21)="","",INDEX(Dossiers!$F$4:$F$63,21)))</f>
        <v/>
      </c>
      <c r="K1064" s="29">
        <f>IF($B1064="","",IF(INDEX(Dossiers!$G$4:$G$63,21)="","",INDEX(Dossiers!$G$4:$G$63,21)))</f>
        <v/>
      </c>
    </row>
    <row r="1065">
      <c r="A1065">
        <f>IF($B1065="","",INDEX(Dossiers!$E$4:$E$63,21))</f>
        <v/>
      </c>
      <c r="B1065">
        <f>IF(INDEX(Suivi!$B:$B,1086)="","",INDEX(Suivi!$B:$B,1086))</f>
        <v/>
      </c>
      <c r="C1065">
        <f>IF($B1065="","",IF(INDEX(Suivi!$D:$D,1086)="",INDEX(Suivi!$C:$C,1086),INDEX(Suivi!$D:$D,1086)))</f>
        <v/>
      </c>
      <c r="D1065" s="29">
        <f>IF($B1065="","",INDEX(Suivi!$E:$E,1086))</f>
        <v/>
      </c>
      <c r="E1065" s="29">
        <f>IF($B1065="","",INDEX(Suivi!$F:$F,1086))</f>
        <v/>
      </c>
      <c r="F1065">
        <f>IF($B1065="","",INDEX(Suivi!$G:$G,1086))</f>
        <v/>
      </c>
      <c r="H1065">
        <f>IF(OR($B1065="",NOT(ISNUMBER($D1065))),"",IF($E1065&lt;$D$2,"Passé",IF($D1065&gt;$F$2,"À venir","Dans la période")))</f>
        <v/>
      </c>
      <c r="I1065">
        <f>IF(OR($B1065="",NOT(ISNUMBER($D1065))),"",IF(AND($E1065&lt;$D$2,$G1065&lt;&gt;"X",$F1065&lt;&gt;"Réalisé",$F1065&lt;&gt;"Clôturé"),"RETARD",""))</f>
        <v/>
      </c>
      <c r="J1065" s="29">
        <f>IF($B1065="","",IF(INDEX(Dossiers!$F$4:$F$63,21)="","",INDEX(Dossiers!$F$4:$F$63,21)))</f>
        <v/>
      </c>
      <c r="K1065" s="29">
        <f>IF($B1065="","",IF(INDEX(Dossiers!$G$4:$G$63,21)="","",INDEX(Dossiers!$G$4:$G$63,21)))</f>
        <v/>
      </c>
    </row>
    <row r="1066">
      <c r="A1066">
        <f>IF($B1066="","",INDEX(Dossiers!$E$4:$E$63,21))</f>
        <v/>
      </c>
      <c r="B1066">
        <f>IF(INDEX(Suivi!$B:$B,1087)="","",INDEX(Suivi!$B:$B,1087))</f>
        <v/>
      </c>
      <c r="C1066">
        <f>IF($B1066="","",IF(INDEX(Suivi!$D:$D,1087)="",INDEX(Suivi!$C:$C,1087),INDEX(Suivi!$D:$D,1087)))</f>
        <v/>
      </c>
      <c r="D1066" s="29">
        <f>IF($B1066="","",INDEX(Suivi!$E:$E,1087))</f>
        <v/>
      </c>
      <c r="E1066" s="29">
        <f>IF($B1066="","",INDEX(Suivi!$F:$F,1087))</f>
        <v/>
      </c>
      <c r="F1066">
        <f>IF($B1066="","",INDEX(Suivi!$G:$G,1087))</f>
        <v/>
      </c>
      <c r="H1066">
        <f>IF(OR($B1066="",NOT(ISNUMBER($D1066))),"",IF($E1066&lt;$D$2,"Passé",IF($D1066&gt;$F$2,"À venir","Dans la période")))</f>
        <v/>
      </c>
      <c r="I1066">
        <f>IF(OR($B1066="",NOT(ISNUMBER($D1066))),"",IF(AND($E1066&lt;$D$2,$G1066&lt;&gt;"X",$F1066&lt;&gt;"Réalisé",$F1066&lt;&gt;"Clôturé"),"RETARD",""))</f>
        <v/>
      </c>
      <c r="J1066" s="29">
        <f>IF($B1066="","",IF(INDEX(Dossiers!$F$4:$F$63,21)="","",INDEX(Dossiers!$F$4:$F$63,21)))</f>
        <v/>
      </c>
      <c r="K1066" s="29">
        <f>IF($B1066="","",IF(INDEX(Dossiers!$G$4:$G$63,21)="","",INDEX(Dossiers!$G$4:$G$63,21)))</f>
        <v/>
      </c>
    </row>
    <row r="1067">
      <c r="A1067">
        <f>IF($B1067="","",INDEX(Dossiers!$E$4:$E$63,21))</f>
        <v/>
      </c>
      <c r="B1067">
        <f>IF(INDEX(Suivi!$B:$B,1088)="","",INDEX(Suivi!$B:$B,1088))</f>
        <v/>
      </c>
      <c r="C1067">
        <f>IF($B1067="","",IF(INDEX(Suivi!$D:$D,1088)="",INDEX(Suivi!$C:$C,1088),INDEX(Suivi!$D:$D,1088)))</f>
        <v/>
      </c>
      <c r="D1067" s="29">
        <f>IF($B1067="","",INDEX(Suivi!$E:$E,1088))</f>
        <v/>
      </c>
      <c r="E1067" s="29">
        <f>IF($B1067="","",INDEX(Suivi!$F:$F,1088))</f>
        <v/>
      </c>
      <c r="F1067">
        <f>IF($B1067="","",INDEX(Suivi!$G:$G,1088))</f>
        <v/>
      </c>
      <c r="H1067">
        <f>IF(OR($B1067="",NOT(ISNUMBER($D1067))),"",IF($E1067&lt;$D$2,"Passé",IF($D1067&gt;$F$2,"À venir","Dans la période")))</f>
        <v/>
      </c>
      <c r="I1067">
        <f>IF(OR($B1067="",NOT(ISNUMBER($D1067))),"",IF(AND($E1067&lt;$D$2,$G1067&lt;&gt;"X",$F1067&lt;&gt;"Réalisé",$F1067&lt;&gt;"Clôturé"),"RETARD",""))</f>
        <v/>
      </c>
      <c r="J1067" s="29">
        <f>IF($B1067="","",IF(INDEX(Dossiers!$F$4:$F$63,21)="","",INDEX(Dossiers!$F$4:$F$63,21)))</f>
        <v/>
      </c>
      <c r="K1067" s="29">
        <f>IF($B1067="","",IF(INDEX(Dossiers!$G$4:$G$63,21)="","",INDEX(Dossiers!$G$4:$G$63,21)))</f>
        <v/>
      </c>
    </row>
    <row r="1068">
      <c r="A1068">
        <f>IF($B1068="","",INDEX(Dossiers!$E$4:$E$63,21))</f>
        <v/>
      </c>
      <c r="B1068">
        <f>IF(INDEX(Suivi!$B:$B,1089)="","",INDEX(Suivi!$B:$B,1089))</f>
        <v/>
      </c>
      <c r="C1068">
        <f>IF($B1068="","",IF(INDEX(Suivi!$D:$D,1089)="",INDEX(Suivi!$C:$C,1089),INDEX(Suivi!$D:$D,1089)))</f>
        <v/>
      </c>
      <c r="D1068" s="29">
        <f>IF($B1068="","",INDEX(Suivi!$E:$E,1089))</f>
        <v/>
      </c>
      <c r="E1068" s="29">
        <f>IF($B1068="","",INDEX(Suivi!$F:$F,1089))</f>
        <v/>
      </c>
      <c r="F1068">
        <f>IF($B1068="","",INDEX(Suivi!$G:$G,1089))</f>
        <v/>
      </c>
      <c r="H1068">
        <f>IF(OR($B1068="",NOT(ISNUMBER($D1068))),"",IF($E1068&lt;$D$2,"Passé",IF($D1068&gt;$F$2,"À venir","Dans la période")))</f>
        <v/>
      </c>
      <c r="I1068">
        <f>IF(OR($B1068="",NOT(ISNUMBER($D1068))),"",IF(AND($E1068&lt;$D$2,$G1068&lt;&gt;"X",$F1068&lt;&gt;"Réalisé",$F1068&lt;&gt;"Clôturé"),"RETARD",""))</f>
        <v/>
      </c>
      <c r="J1068" s="29">
        <f>IF($B1068="","",IF(INDEX(Dossiers!$F$4:$F$63,21)="","",INDEX(Dossiers!$F$4:$F$63,21)))</f>
        <v/>
      </c>
      <c r="K1068" s="29">
        <f>IF($B1068="","",IF(INDEX(Dossiers!$G$4:$G$63,21)="","",INDEX(Dossiers!$G$4:$G$63,21)))</f>
        <v/>
      </c>
    </row>
    <row r="1069">
      <c r="A1069">
        <f>IF($B1069="","",INDEX(Dossiers!$E$4:$E$63,21))</f>
        <v/>
      </c>
      <c r="B1069">
        <f>IF(INDEX(Suivi!$B:$B,1090)="","",INDEX(Suivi!$B:$B,1090))</f>
        <v/>
      </c>
      <c r="C1069">
        <f>IF($B1069="","",IF(INDEX(Suivi!$D:$D,1090)="",INDEX(Suivi!$C:$C,1090),INDEX(Suivi!$D:$D,1090)))</f>
        <v/>
      </c>
      <c r="D1069" s="29">
        <f>IF($B1069="","",INDEX(Suivi!$E:$E,1090))</f>
        <v/>
      </c>
      <c r="E1069" s="29">
        <f>IF($B1069="","",INDEX(Suivi!$F:$F,1090))</f>
        <v/>
      </c>
      <c r="F1069">
        <f>IF($B1069="","",INDEX(Suivi!$G:$G,1090))</f>
        <v/>
      </c>
      <c r="H1069">
        <f>IF(OR($B1069="",NOT(ISNUMBER($D1069))),"",IF($E1069&lt;$D$2,"Passé",IF($D1069&gt;$F$2,"À venir","Dans la période")))</f>
        <v/>
      </c>
      <c r="I1069">
        <f>IF(OR($B1069="",NOT(ISNUMBER($D1069))),"",IF(AND($E1069&lt;$D$2,$G1069&lt;&gt;"X",$F1069&lt;&gt;"Réalisé",$F1069&lt;&gt;"Clôturé"),"RETARD",""))</f>
        <v/>
      </c>
      <c r="J1069" s="29">
        <f>IF($B1069="","",IF(INDEX(Dossiers!$F$4:$F$63,21)="","",INDEX(Dossiers!$F$4:$F$63,21)))</f>
        <v/>
      </c>
      <c r="K1069" s="29">
        <f>IF($B1069="","",IF(INDEX(Dossiers!$G$4:$G$63,21)="","",INDEX(Dossiers!$G$4:$G$63,21)))</f>
        <v/>
      </c>
    </row>
    <row r="1070">
      <c r="A1070">
        <f>IF($B1070="","",INDEX(Dossiers!$E$4:$E$63,21))</f>
        <v/>
      </c>
      <c r="B1070">
        <f>IF(INDEX(Suivi!$B:$B,1091)="","",INDEX(Suivi!$B:$B,1091))</f>
        <v/>
      </c>
      <c r="C1070">
        <f>IF($B1070="","",IF(INDEX(Suivi!$D:$D,1091)="",INDEX(Suivi!$C:$C,1091),INDEX(Suivi!$D:$D,1091)))</f>
        <v/>
      </c>
      <c r="D1070" s="29">
        <f>IF($B1070="","",INDEX(Suivi!$E:$E,1091))</f>
        <v/>
      </c>
      <c r="E1070" s="29">
        <f>IF($B1070="","",INDEX(Suivi!$F:$F,1091))</f>
        <v/>
      </c>
      <c r="F1070">
        <f>IF($B1070="","",INDEX(Suivi!$G:$G,1091))</f>
        <v/>
      </c>
      <c r="H1070">
        <f>IF(OR($B1070="",NOT(ISNUMBER($D1070))),"",IF($E1070&lt;$D$2,"Passé",IF($D1070&gt;$F$2,"À venir","Dans la période")))</f>
        <v/>
      </c>
      <c r="I1070">
        <f>IF(OR($B1070="",NOT(ISNUMBER($D1070))),"",IF(AND($E1070&lt;$D$2,$G1070&lt;&gt;"X",$F1070&lt;&gt;"Réalisé",$F1070&lt;&gt;"Clôturé"),"RETARD",""))</f>
        <v/>
      </c>
      <c r="J1070" s="29">
        <f>IF($B1070="","",IF(INDEX(Dossiers!$F$4:$F$63,21)="","",INDEX(Dossiers!$F$4:$F$63,21)))</f>
        <v/>
      </c>
      <c r="K1070" s="29">
        <f>IF($B1070="","",IF(INDEX(Dossiers!$G$4:$G$63,21)="","",INDEX(Dossiers!$G$4:$G$63,21)))</f>
        <v/>
      </c>
    </row>
    <row r="1071">
      <c r="A1071">
        <f>IF($B1071="","",INDEX(Dossiers!$E$4:$E$63,21))</f>
        <v/>
      </c>
      <c r="B1071">
        <f>IF(INDEX(Suivi!$B:$B,1092)="","",INDEX(Suivi!$B:$B,1092))</f>
        <v/>
      </c>
      <c r="C1071">
        <f>IF($B1071="","",IF(INDEX(Suivi!$D:$D,1092)="",INDEX(Suivi!$C:$C,1092),INDEX(Suivi!$D:$D,1092)))</f>
        <v/>
      </c>
      <c r="D1071" s="29">
        <f>IF($B1071="","",INDEX(Suivi!$E:$E,1092))</f>
        <v/>
      </c>
      <c r="E1071" s="29">
        <f>IF($B1071="","",INDEX(Suivi!$F:$F,1092))</f>
        <v/>
      </c>
      <c r="F1071">
        <f>IF($B1071="","",INDEX(Suivi!$G:$G,1092))</f>
        <v/>
      </c>
      <c r="H1071">
        <f>IF(OR($B1071="",NOT(ISNUMBER($D1071))),"",IF($E1071&lt;$D$2,"Passé",IF($D1071&gt;$F$2,"À venir","Dans la période")))</f>
        <v/>
      </c>
      <c r="I1071">
        <f>IF(OR($B1071="",NOT(ISNUMBER($D1071))),"",IF(AND($E1071&lt;$D$2,$G1071&lt;&gt;"X",$F1071&lt;&gt;"Réalisé",$F1071&lt;&gt;"Clôturé"),"RETARD",""))</f>
        <v/>
      </c>
      <c r="J1071" s="29">
        <f>IF($B1071="","",IF(INDEX(Dossiers!$F$4:$F$63,21)="","",INDEX(Dossiers!$F$4:$F$63,21)))</f>
        <v/>
      </c>
      <c r="K1071" s="29">
        <f>IF($B1071="","",IF(INDEX(Dossiers!$G$4:$G$63,21)="","",INDEX(Dossiers!$G$4:$G$63,21)))</f>
        <v/>
      </c>
    </row>
    <row r="1072">
      <c r="A1072">
        <f>IF($B1072="","",INDEX(Dossiers!$E$4:$E$63,21))</f>
        <v/>
      </c>
      <c r="B1072">
        <f>IF(INDEX(Suivi!$B:$B,1093)="","",INDEX(Suivi!$B:$B,1093))</f>
        <v/>
      </c>
      <c r="C1072">
        <f>IF($B1072="","",IF(INDEX(Suivi!$D:$D,1093)="",INDEX(Suivi!$C:$C,1093),INDEX(Suivi!$D:$D,1093)))</f>
        <v/>
      </c>
      <c r="D1072" s="29">
        <f>IF($B1072="","",INDEX(Suivi!$E:$E,1093))</f>
        <v/>
      </c>
      <c r="E1072" s="29">
        <f>IF($B1072="","",INDEX(Suivi!$F:$F,1093))</f>
        <v/>
      </c>
      <c r="F1072">
        <f>IF($B1072="","",INDEX(Suivi!$G:$G,1093))</f>
        <v/>
      </c>
      <c r="H1072">
        <f>IF(OR($B1072="",NOT(ISNUMBER($D1072))),"",IF($E1072&lt;$D$2,"Passé",IF($D1072&gt;$F$2,"À venir","Dans la période")))</f>
        <v/>
      </c>
      <c r="I1072">
        <f>IF(OR($B1072="",NOT(ISNUMBER($D1072))),"",IF(AND($E1072&lt;$D$2,$G1072&lt;&gt;"X",$F1072&lt;&gt;"Réalisé",$F1072&lt;&gt;"Clôturé"),"RETARD",""))</f>
        <v/>
      </c>
      <c r="J1072" s="29">
        <f>IF($B1072="","",IF(INDEX(Dossiers!$F$4:$F$63,21)="","",INDEX(Dossiers!$F$4:$F$63,21)))</f>
        <v/>
      </c>
      <c r="K1072" s="29">
        <f>IF($B1072="","",IF(INDEX(Dossiers!$G$4:$G$63,21)="","",INDEX(Dossiers!$G$4:$G$63,21)))</f>
        <v/>
      </c>
    </row>
    <row r="1073">
      <c r="A1073">
        <f>IF($B1073="","",INDEX(Dossiers!$E$4:$E$63,21))</f>
        <v/>
      </c>
      <c r="B1073">
        <f>IF(INDEX(Suivi!$B:$B,1094)="","",INDEX(Suivi!$B:$B,1094))</f>
        <v/>
      </c>
      <c r="C1073">
        <f>IF($B1073="","",IF(INDEX(Suivi!$D:$D,1094)="",INDEX(Suivi!$C:$C,1094),INDEX(Suivi!$D:$D,1094)))</f>
        <v/>
      </c>
      <c r="D1073" s="29">
        <f>IF($B1073="","",INDEX(Suivi!$E:$E,1094))</f>
        <v/>
      </c>
      <c r="E1073" s="29">
        <f>IF($B1073="","",INDEX(Suivi!$F:$F,1094))</f>
        <v/>
      </c>
      <c r="F1073">
        <f>IF($B1073="","",INDEX(Suivi!$G:$G,1094))</f>
        <v/>
      </c>
      <c r="H1073">
        <f>IF(OR($B1073="",NOT(ISNUMBER($D1073))),"",IF($E1073&lt;$D$2,"Passé",IF($D1073&gt;$F$2,"À venir","Dans la période")))</f>
        <v/>
      </c>
      <c r="I1073">
        <f>IF(OR($B1073="",NOT(ISNUMBER($D1073))),"",IF(AND($E1073&lt;$D$2,$G1073&lt;&gt;"X",$F1073&lt;&gt;"Réalisé",$F1073&lt;&gt;"Clôturé"),"RETARD",""))</f>
        <v/>
      </c>
      <c r="J1073" s="29">
        <f>IF($B1073="","",IF(INDEX(Dossiers!$F$4:$F$63,21)="","",INDEX(Dossiers!$F$4:$F$63,21)))</f>
        <v/>
      </c>
      <c r="K1073" s="29">
        <f>IF($B1073="","",IF(INDEX(Dossiers!$G$4:$G$63,21)="","",INDEX(Dossiers!$G$4:$G$63,21)))</f>
        <v/>
      </c>
    </row>
    <row r="1074">
      <c r="A1074">
        <f>IF($B1074="","",INDEX(Dossiers!$E$4:$E$63,21))</f>
        <v/>
      </c>
      <c r="B1074">
        <f>IF(INDEX(Suivi!$B:$B,1095)="","",INDEX(Suivi!$B:$B,1095))</f>
        <v/>
      </c>
      <c r="C1074">
        <f>IF($B1074="","",IF(INDEX(Suivi!$D:$D,1095)="",INDEX(Suivi!$C:$C,1095),INDEX(Suivi!$D:$D,1095)))</f>
        <v/>
      </c>
      <c r="D1074" s="29">
        <f>IF($B1074="","",INDEX(Suivi!$E:$E,1095))</f>
        <v/>
      </c>
      <c r="E1074" s="29">
        <f>IF($B1074="","",INDEX(Suivi!$F:$F,1095))</f>
        <v/>
      </c>
      <c r="F1074">
        <f>IF($B1074="","",INDEX(Suivi!$G:$G,1095))</f>
        <v/>
      </c>
      <c r="H1074">
        <f>IF(OR($B1074="",NOT(ISNUMBER($D1074))),"",IF($E1074&lt;$D$2,"Passé",IF($D1074&gt;$F$2,"À venir","Dans la période")))</f>
        <v/>
      </c>
      <c r="I1074">
        <f>IF(OR($B1074="",NOT(ISNUMBER($D1074))),"",IF(AND($E1074&lt;$D$2,$G1074&lt;&gt;"X",$F1074&lt;&gt;"Réalisé",$F1074&lt;&gt;"Clôturé"),"RETARD",""))</f>
        <v/>
      </c>
      <c r="J1074" s="29">
        <f>IF($B1074="","",IF(INDEX(Dossiers!$F$4:$F$63,21)="","",INDEX(Dossiers!$F$4:$F$63,21)))</f>
        <v/>
      </c>
      <c r="K1074" s="29">
        <f>IF($B1074="","",IF(INDEX(Dossiers!$G$4:$G$63,21)="","",INDEX(Dossiers!$G$4:$G$63,21)))</f>
        <v/>
      </c>
    </row>
    <row r="1075">
      <c r="A1075">
        <f>IF($B1075="","",INDEX(Dossiers!$E$4:$E$63,21))</f>
        <v/>
      </c>
      <c r="B1075">
        <f>IF(INDEX(Suivi!$B:$B,1096)="","",INDEX(Suivi!$B:$B,1096))</f>
        <v/>
      </c>
      <c r="C1075">
        <f>IF($B1075="","",IF(INDEX(Suivi!$D:$D,1096)="",INDEX(Suivi!$C:$C,1096),INDEX(Suivi!$D:$D,1096)))</f>
        <v/>
      </c>
      <c r="D1075" s="29">
        <f>IF($B1075="","",INDEX(Suivi!$E:$E,1096))</f>
        <v/>
      </c>
      <c r="E1075" s="29">
        <f>IF($B1075="","",INDEX(Suivi!$F:$F,1096))</f>
        <v/>
      </c>
      <c r="F1075">
        <f>IF($B1075="","",INDEX(Suivi!$G:$G,1096))</f>
        <v/>
      </c>
      <c r="H1075">
        <f>IF(OR($B1075="",NOT(ISNUMBER($D1075))),"",IF($E1075&lt;$D$2,"Passé",IF($D1075&gt;$F$2,"À venir","Dans la période")))</f>
        <v/>
      </c>
      <c r="I1075">
        <f>IF(OR($B1075="",NOT(ISNUMBER($D1075))),"",IF(AND($E1075&lt;$D$2,$G1075&lt;&gt;"X",$F1075&lt;&gt;"Réalisé",$F1075&lt;&gt;"Clôturé"),"RETARD",""))</f>
        <v/>
      </c>
      <c r="J1075" s="29">
        <f>IF($B1075="","",IF(INDEX(Dossiers!$F$4:$F$63,21)="","",INDEX(Dossiers!$F$4:$F$63,21)))</f>
        <v/>
      </c>
      <c r="K1075" s="29">
        <f>IF($B1075="","",IF(INDEX(Dossiers!$G$4:$G$63,21)="","",INDEX(Dossiers!$G$4:$G$63,21)))</f>
        <v/>
      </c>
    </row>
    <row r="1076">
      <c r="A1076">
        <f>IF($B1076="","",INDEX(Dossiers!$E$4:$E$63,21))</f>
        <v/>
      </c>
      <c r="B1076">
        <f>IF(INDEX(Suivi!$B:$B,1097)="","",INDEX(Suivi!$B:$B,1097))</f>
        <v/>
      </c>
      <c r="C1076">
        <f>IF($B1076="","",IF(INDEX(Suivi!$D:$D,1097)="",INDEX(Suivi!$C:$C,1097),INDEX(Suivi!$D:$D,1097)))</f>
        <v/>
      </c>
      <c r="D1076" s="29">
        <f>IF($B1076="","",INDEX(Suivi!$E:$E,1097))</f>
        <v/>
      </c>
      <c r="E1076" s="29">
        <f>IF($B1076="","",INDEX(Suivi!$F:$F,1097))</f>
        <v/>
      </c>
      <c r="F1076">
        <f>IF($B1076="","",INDEX(Suivi!$G:$G,1097))</f>
        <v/>
      </c>
      <c r="H1076">
        <f>IF(OR($B1076="",NOT(ISNUMBER($D1076))),"",IF($E1076&lt;$D$2,"Passé",IF($D1076&gt;$F$2,"À venir","Dans la période")))</f>
        <v/>
      </c>
      <c r="I1076">
        <f>IF(OR($B1076="",NOT(ISNUMBER($D1076))),"",IF(AND($E1076&lt;$D$2,$G1076&lt;&gt;"X",$F1076&lt;&gt;"Réalisé",$F1076&lt;&gt;"Clôturé"),"RETARD",""))</f>
        <v/>
      </c>
      <c r="J1076" s="29">
        <f>IF($B1076="","",IF(INDEX(Dossiers!$F$4:$F$63,21)="","",INDEX(Dossiers!$F$4:$F$63,21)))</f>
        <v/>
      </c>
      <c r="K1076" s="29">
        <f>IF($B1076="","",IF(INDEX(Dossiers!$G$4:$G$63,21)="","",INDEX(Dossiers!$G$4:$G$63,21)))</f>
        <v/>
      </c>
    </row>
    <row r="1077">
      <c r="A1077">
        <f>IF($B1077="","",INDEX(Dossiers!$E$4:$E$63,21))</f>
        <v/>
      </c>
      <c r="B1077">
        <f>IF(INDEX(Suivi!$B:$B,1098)="","",INDEX(Suivi!$B:$B,1098))</f>
        <v/>
      </c>
      <c r="C1077">
        <f>IF($B1077="","",IF(INDEX(Suivi!$D:$D,1098)="",INDEX(Suivi!$C:$C,1098),INDEX(Suivi!$D:$D,1098)))</f>
        <v/>
      </c>
      <c r="D1077" s="29">
        <f>IF($B1077="","",INDEX(Suivi!$E:$E,1098))</f>
        <v/>
      </c>
      <c r="E1077" s="29">
        <f>IF($B1077="","",INDEX(Suivi!$F:$F,1098))</f>
        <v/>
      </c>
      <c r="F1077">
        <f>IF($B1077="","",INDEX(Suivi!$G:$G,1098))</f>
        <v/>
      </c>
      <c r="H1077">
        <f>IF(OR($B1077="",NOT(ISNUMBER($D1077))),"",IF($E1077&lt;$D$2,"Passé",IF($D1077&gt;$F$2,"À venir","Dans la période")))</f>
        <v/>
      </c>
      <c r="I1077">
        <f>IF(OR($B1077="",NOT(ISNUMBER($D1077))),"",IF(AND($E1077&lt;$D$2,$G1077&lt;&gt;"X",$F1077&lt;&gt;"Réalisé",$F1077&lt;&gt;"Clôturé"),"RETARD",""))</f>
        <v/>
      </c>
      <c r="J1077" s="29">
        <f>IF($B1077="","",IF(INDEX(Dossiers!$F$4:$F$63,21)="","",INDEX(Dossiers!$F$4:$F$63,21)))</f>
        <v/>
      </c>
      <c r="K1077" s="29">
        <f>IF($B1077="","",IF(INDEX(Dossiers!$G$4:$G$63,21)="","",INDEX(Dossiers!$G$4:$G$63,21)))</f>
        <v/>
      </c>
    </row>
    <row r="1078">
      <c r="A1078">
        <f>IF($B1078="","",INDEX(Dossiers!$E$4:$E$63,21))</f>
        <v/>
      </c>
      <c r="B1078">
        <f>IF(INDEX(Suivi!$B:$B,1099)="","",INDEX(Suivi!$B:$B,1099))</f>
        <v/>
      </c>
      <c r="C1078">
        <f>IF($B1078="","",IF(INDEX(Suivi!$D:$D,1099)="",INDEX(Suivi!$C:$C,1099),INDEX(Suivi!$D:$D,1099)))</f>
        <v/>
      </c>
      <c r="D1078" s="29">
        <f>IF($B1078="","",INDEX(Suivi!$E:$E,1099))</f>
        <v/>
      </c>
      <c r="E1078" s="29">
        <f>IF($B1078="","",INDEX(Suivi!$F:$F,1099))</f>
        <v/>
      </c>
      <c r="F1078">
        <f>IF($B1078="","",INDEX(Suivi!$G:$G,1099))</f>
        <v/>
      </c>
      <c r="H1078">
        <f>IF(OR($B1078="",NOT(ISNUMBER($D1078))),"",IF($E1078&lt;$D$2,"Passé",IF($D1078&gt;$F$2,"À venir","Dans la période")))</f>
        <v/>
      </c>
      <c r="I1078">
        <f>IF(OR($B1078="",NOT(ISNUMBER($D1078))),"",IF(AND($E1078&lt;$D$2,$G1078&lt;&gt;"X",$F1078&lt;&gt;"Réalisé",$F1078&lt;&gt;"Clôturé"),"RETARD",""))</f>
        <v/>
      </c>
      <c r="J1078" s="29">
        <f>IF($B1078="","",IF(INDEX(Dossiers!$F$4:$F$63,21)="","",INDEX(Dossiers!$F$4:$F$63,21)))</f>
        <v/>
      </c>
      <c r="K1078" s="29">
        <f>IF($B1078="","",IF(INDEX(Dossiers!$G$4:$G$63,21)="","",INDEX(Dossiers!$G$4:$G$63,21)))</f>
        <v/>
      </c>
    </row>
    <row r="1079">
      <c r="A1079">
        <f>IF($B1079="","",INDEX(Dossiers!$E$4:$E$63,21))</f>
        <v/>
      </c>
      <c r="B1079">
        <f>IF(INDEX(Suivi!$B:$B,1100)="","",INDEX(Suivi!$B:$B,1100))</f>
        <v/>
      </c>
      <c r="C1079">
        <f>IF($B1079="","",IF(INDEX(Suivi!$D:$D,1100)="",INDEX(Suivi!$C:$C,1100),INDEX(Suivi!$D:$D,1100)))</f>
        <v/>
      </c>
      <c r="D1079" s="29">
        <f>IF($B1079="","",INDEX(Suivi!$E:$E,1100))</f>
        <v/>
      </c>
      <c r="E1079" s="29">
        <f>IF($B1079="","",INDEX(Suivi!$F:$F,1100))</f>
        <v/>
      </c>
      <c r="F1079">
        <f>IF($B1079="","",INDEX(Suivi!$G:$G,1100))</f>
        <v/>
      </c>
      <c r="H1079">
        <f>IF(OR($B1079="",NOT(ISNUMBER($D1079))),"",IF($E1079&lt;$D$2,"Passé",IF($D1079&gt;$F$2,"À venir","Dans la période")))</f>
        <v/>
      </c>
      <c r="I1079">
        <f>IF(OR($B1079="",NOT(ISNUMBER($D1079))),"",IF(AND($E1079&lt;$D$2,$G1079&lt;&gt;"X",$F1079&lt;&gt;"Réalisé",$F1079&lt;&gt;"Clôturé"),"RETARD",""))</f>
        <v/>
      </c>
      <c r="J1079" s="29">
        <f>IF($B1079="","",IF(INDEX(Dossiers!$F$4:$F$63,21)="","",INDEX(Dossiers!$F$4:$F$63,21)))</f>
        <v/>
      </c>
      <c r="K1079" s="29">
        <f>IF($B1079="","",IF(INDEX(Dossiers!$G$4:$G$63,21)="","",INDEX(Dossiers!$G$4:$G$63,21)))</f>
        <v/>
      </c>
    </row>
    <row r="1080">
      <c r="A1080">
        <f>IF($B1080="","",INDEX(Dossiers!$E$4:$E$63,21))</f>
        <v/>
      </c>
      <c r="B1080">
        <f>IF(INDEX(Suivi!$B:$B,1101)="","",INDEX(Suivi!$B:$B,1101))</f>
        <v/>
      </c>
      <c r="C1080">
        <f>IF($B1080="","",IF(INDEX(Suivi!$D:$D,1101)="",INDEX(Suivi!$C:$C,1101),INDEX(Suivi!$D:$D,1101)))</f>
        <v/>
      </c>
      <c r="D1080" s="29">
        <f>IF($B1080="","",INDEX(Suivi!$E:$E,1101))</f>
        <v/>
      </c>
      <c r="E1080" s="29">
        <f>IF($B1080="","",INDEX(Suivi!$F:$F,1101))</f>
        <v/>
      </c>
      <c r="F1080">
        <f>IF($B1080="","",INDEX(Suivi!$G:$G,1101))</f>
        <v/>
      </c>
      <c r="H1080">
        <f>IF(OR($B1080="",NOT(ISNUMBER($D1080))),"",IF($E1080&lt;$D$2,"Passé",IF($D1080&gt;$F$2,"À venir","Dans la période")))</f>
        <v/>
      </c>
      <c r="I1080">
        <f>IF(OR($B1080="",NOT(ISNUMBER($D1080))),"",IF(AND($E1080&lt;$D$2,$G1080&lt;&gt;"X",$F1080&lt;&gt;"Réalisé",$F1080&lt;&gt;"Clôturé"),"RETARD",""))</f>
        <v/>
      </c>
      <c r="J1080" s="29">
        <f>IF($B1080="","",IF(INDEX(Dossiers!$F$4:$F$63,21)="","",INDEX(Dossiers!$F$4:$F$63,21)))</f>
        <v/>
      </c>
      <c r="K1080" s="29">
        <f>IF($B1080="","",IF(INDEX(Dossiers!$G$4:$G$63,21)="","",INDEX(Dossiers!$G$4:$G$63,21)))</f>
        <v/>
      </c>
    </row>
    <row r="1081">
      <c r="A1081">
        <f>IF($B1081="","",INDEX(Dossiers!$E$4:$E$63,21))</f>
        <v/>
      </c>
      <c r="B1081">
        <f>IF(INDEX(Suivi!$B:$B,1102)="","",INDEX(Suivi!$B:$B,1102))</f>
        <v/>
      </c>
      <c r="C1081">
        <f>IF($B1081="","",IF(INDEX(Suivi!$D:$D,1102)="",INDEX(Suivi!$C:$C,1102),INDEX(Suivi!$D:$D,1102)))</f>
        <v/>
      </c>
      <c r="D1081" s="29">
        <f>IF($B1081="","",INDEX(Suivi!$E:$E,1102))</f>
        <v/>
      </c>
      <c r="E1081" s="29">
        <f>IF($B1081="","",INDEX(Suivi!$F:$F,1102))</f>
        <v/>
      </c>
      <c r="F1081">
        <f>IF($B1081="","",INDEX(Suivi!$G:$G,1102))</f>
        <v/>
      </c>
      <c r="H1081">
        <f>IF(OR($B1081="",NOT(ISNUMBER($D1081))),"",IF($E1081&lt;$D$2,"Passé",IF($D1081&gt;$F$2,"À venir","Dans la période")))</f>
        <v/>
      </c>
      <c r="I1081">
        <f>IF(OR($B1081="",NOT(ISNUMBER($D1081))),"",IF(AND($E1081&lt;$D$2,$G1081&lt;&gt;"X",$F1081&lt;&gt;"Réalisé",$F1081&lt;&gt;"Clôturé"),"RETARD",""))</f>
        <v/>
      </c>
      <c r="J1081" s="29">
        <f>IF($B1081="","",IF(INDEX(Dossiers!$F$4:$F$63,21)="","",INDEX(Dossiers!$F$4:$F$63,21)))</f>
        <v/>
      </c>
      <c r="K1081" s="29">
        <f>IF($B1081="","",IF(INDEX(Dossiers!$G$4:$G$63,21)="","",INDEX(Dossiers!$G$4:$G$63,21)))</f>
        <v/>
      </c>
    </row>
    <row r="1082">
      <c r="A1082">
        <f>IF($B1082="","",INDEX(Dossiers!$E$4:$E$63,21))</f>
        <v/>
      </c>
      <c r="B1082">
        <f>IF(INDEX(Suivi!$B:$B,1103)="","",INDEX(Suivi!$B:$B,1103))</f>
        <v/>
      </c>
      <c r="C1082">
        <f>IF($B1082="","",IF(INDEX(Suivi!$D:$D,1103)="",INDEX(Suivi!$C:$C,1103),INDEX(Suivi!$D:$D,1103)))</f>
        <v/>
      </c>
      <c r="D1082" s="29">
        <f>IF($B1082="","",INDEX(Suivi!$E:$E,1103))</f>
        <v/>
      </c>
      <c r="E1082" s="29">
        <f>IF($B1082="","",INDEX(Suivi!$F:$F,1103))</f>
        <v/>
      </c>
      <c r="F1082">
        <f>IF($B1082="","",INDEX(Suivi!$G:$G,1103))</f>
        <v/>
      </c>
      <c r="H1082">
        <f>IF(OR($B1082="",NOT(ISNUMBER($D1082))),"",IF($E1082&lt;$D$2,"Passé",IF($D1082&gt;$F$2,"À venir","Dans la période")))</f>
        <v/>
      </c>
      <c r="I1082">
        <f>IF(OR($B1082="",NOT(ISNUMBER($D1082))),"",IF(AND($E1082&lt;$D$2,$G1082&lt;&gt;"X",$F1082&lt;&gt;"Réalisé",$F1082&lt;&gt;"Clôturé"),"RETARD",""))</f>
        <v/>
      </c>
      <c r="J1082" s="29">
        <f>IF($B1082="","",IF(INDEX(Dossiers!$F$4:$F$63,21)="","",INDEX(Dossiers!$F$4:$F$63,21)))</f>
        <v/>
      </c>
      <c r="K1082" s="29">
        <f>IF($B1082="","",IF(INDEX(Dossiers!$G$4:$G$63,21)="","",INDEX(Dossiers!$G$4:$G$63,21)))</f>
        <v/>
      </c>
    </row>
    <row r="1083">
      <c r="A1083">
        <f>IF($B1083="","",INDEX(Dossiers!$E$4:$E$63,21))</f>
        <v/>
      </c>
      <c r="B1083">
        <f>IF(INDEX(Suivi!$B:$B,1104)="","",INDEX(Suivi!$B:$B,1104))</f>
        <v/>
      </c>
      <c r="C1083">
        <f>IF($B1083="","",IF(INDEX(Suivi!$D:$D,1104)="",INDEX(Suivi!$C:$C,1104),INDEX(Suivi!$D:$D,1104)))</f>
        <v/>
      </c>
      <c r="D1083" s="29">
        <f>IF($B1083="","",INDEX(Suivi!$E:$E,1104))</f>
        <v/>
      </c>
      <c r="E1083" s="29">
        <f>IF($B1083="","",INDEX(Suivi!$F:$F,1104))</f>
        <v/>
      </c>
      <c r="F1083">
        <f>IF($B1083="","",INDEX(Suivi!$G:$G,1104))</f>
        <v/>
      </c>
      <c r="H1083">
        <f>IF(OR($B1083="",NOT(ISNUMBER($D1083))),"",IF($E1083&lt;$D$2,"Passé",IF($D1083&gt;$F$2,"À venir","Dans la période")))</f>
        <v/>
      </c>
      <c r="I1083">
        <f>IF(OR($B1083="",NOT(ISNUMBER($D1083))),"",IF(AND($E1083&lt;$D$2,$G1083&lt;&gt;"X",$F1083&lt;&gt;"Réalisé",$F1083&lt;&gt;"Clôturé"),"RETARD",""))</f>
        <v/>
      </c>
      <c r="J1083" s="29">
        <f>IF($B1083="","",IF(INDEX(Dossiers!$F$4:$F$63,21)="","",INDEX(Dossiers!$F$4:$F$63,21)))</f>
        <v/>
      </c>
      <c r="K1083" s="29">
        <f>IF($B1083="","",IF(INDEX(Dossiers!$G$4:$G$63,21)="","",INDEX(Dossiers!$G$4:$G$63,21)))</f>
        <v/>
      </c>
    </row>
    <row r="1084">
      <c r="A1084">
        <f>IF($B1084="","",INDEX(Dossiers!$E$4:$E$63,21))</f>
        <v/>
      </c>
      <c r="B1084">
        <f>IF(INDEX(Suivi!$B:$B,1105)="","",INDEX(Suivi!$B:$B,1105))</f>
        <v/>
      </c>
      <c r="C1084">
        <f>IF($B1084="","",IF(INDEX(Suivi!$D:$D,1105)="",INDEX(Suivi!$C:$C,1105),INDEX(Suivi!$D:$D,1105)))</f>
        <v/>
      </c>
      <c r="D1084" s="29">
        <f>IF($B1084="","",INDEX(Suivi!$E:$E,1105))</f>
        <v/>
      </c>
      <c r="E1084" s="29">
        <f>IF($B1084="","",INDEX(Suivi!$F:$F,1105))</f>
        <v/>
      </c>
      <c r="F1084">
        <f>IF($B1084="","",INDEX(Suivi!$G:$G,1105))</f>
        <v/>
      </c>
      <c r="H1084">
        <f>IF(OR($B1084="",NOT(ISNUMBER($D1084))),"",IF($E1084&lt;$D$2,"Passé",IF($D1084&gt;$F$2,"À venir","Dans la période")))</f>
        <v/>
      </c>
      <c r="I1084">
        <f>IF(OR($B1084="",NOT(ISNUMBER($D1084))),"",IF(AND($E1084&lt;$D$2,$G1084&lt;&gt;"X",$F1084&lt;&gt;"Réalisé",$F1084&lt;&gt;"Clôturé"),"RETARD",""))</f>
        <v/>
      </c>
      <c r="J1084" s="29">
        <f>IF($B1084="","",IF(INDEX(Dossiers!$F$4:$F$63,21)="","",INDEX(Dossiers!$F$4:$F$63,21)))</f>
        <v/>
      </c>
      <c r="K1084" s="29">
        <f>IF($B1084="","",IF(INDEX(Dossiers!$G$4:$G$63,21)="","",INDEX(Dossiers!$G$4:$G$63,21)))</f>
        <v/>
      </c>
    </row>
    <row r="1085">
      <c r="A1085">
        <f>IF($B1085="","",INDEX(Dossiers!$E$4:$E$63,21))</f>
        <v/>
      </c>
      <c r="B1085">
        <f>IF(INDEX(Suivi!$B:$B,1106)="","",INDEX(Suivi!$B:$B,1106))</f>
        <v/>
      </c>
      <c r="C1085">
        <f>IF($B1085="","",IF(INDEX(Suivi!$D:$D,1106)="",INDEX(Suivi!$C:$C,1106),INDEX(Suivi!$D:$D,1106)))</f>
        <v/>
      </c>
      <c r="D1085" s="29">
        <f>IF($B1085="","",INDEX(Suivi!$E:$E,1106))</f>
        <v/>
      </c>
      <c r="E1085" s="29">
        <f>IF($B1085="","",INDEX(Suivi!$F:$F,1106))</f>
        <v/>
      </c>
      <c r="F1085">
        <f>IF($B1085="","",INDEX(Suivi!$G:$G,1106))</f>
        <v/>
      </c>
      <c r="H1085">
        <f>IF(OR($B1085="",NOT(ISNUMBER($D1085))),"",IF($E1085&lt;$D$2,"Passé",IF($D1085&gt;$F$2,"À venir","Dans la période")))</f>
        <v/>
      </c>
      <c r="I1085">
        <f>IF(OR($B1085="",NOT(ISNUMBER($D1085))),"",IF(AND($E1085&lt;$D$2,$G1085&lt;&gt;"X",$F1085&lt;&gt;"Réalisé",$F1085&lt;&gt;"Clôturé"),"RETARD",""))</f>
        <v/>
      </c>
      <c r="J1085" s="29">
        <f>IF($B1085="","",IF(INDEX(Dossiers!$F$4:$F$63,21)="","",INDEX(Dossiers!$F$4:$F$63,21)))</f>
        <v/>
      </c>
      <c r="K1085" s="29">
        <f>IF($B1085="","",IF(INDEX(Dossiers!$G$4:$G$63,21)="","",INDEX(Dossiers!$G$4:$G$63,21)))</f>
        <v/>
      </c>
    </row>
    <row r="1086">
      <c r="A1086">
        <f>IF($B1086="","",INDEX(Dossiers!$E$4:$E$63,21))</f>
        <v/>
      </c>
      <c r="B1086">
        <f>IF(INDEX(Suivi!$B:$B,1107)="","",INDEX(Suivi!$B:$B,1107))</f>
        <v/>
      </c>
      <c r="C1086">
        <f>IF($B1086="","",IF(INDEX(Suivi!$D:$D,1107)="",INDEX(Suivi!$C:$C,1107),INDEX(Suivi!$D:$D,1107)))</f>
        <v/>
      </c>
      <c r="D1086" s="29">
        <f>IF($B1086="","",INDEX(Suivi!$E:$E,1107))</f>
        <v/>
      </c>
      <c r="E1086" s="29">
        <f>IF($B1086="","",INDEX(Suivi!$F:$F,1107))</f>
        <v/>
      </c>
      <c r="F1086">
        <f>IF($B1086="","",INDEX(Suivi!$G:$G,1107))</f>
        <v/>
      </c>
      <c r="H1086">
        <f>IF(OR($B1086="",NOT(ISNUMBER($D1086))),"",IF($E1086&lt;$D$2,"Passé",IF($D1086&gt;$F$2,"À venir","Dans la période")))</f>
        <v/>
      </c>
      <c r="I1086">
        <f>IF(OR($B1086="",NOT(ISNUMBER($D1086))),"",IF(AND($E1086&lt;$D$2,$G1086&lt;&gt;"X",$F1086&lt;&gt;"Réalisé",$F1086&lt;&gt;"Clôturé"),"RETARD",""))</f>
        <v/>
      </c>
      <c r="J1086" s="29">
        <f>IF($B1086="","",IF(INDEX(Dossiers!$F$4:$F$63,21)="","",INDEX(Dossiers!$F$4:$F$63,21)))</f>
        <v/>
      </c>
      <c r="K1086" s="29">
        <f>IF($B1086="","",IF(INDEX(Dossiers!$G$4:$G$63,21)="","",INDEX(Dossiers!$G$4:$G$63,21)))</f>
        <v/>
      </c>
    </row>
    <row r="1087">
      <c r="A1087">
        <f>IF($B1087="","",INDEX(Dossiers!$E$4:$E$63,21))</f>
        <v/>
      </c>
      <c r="B1087">
        <f>IF(INDEX(Suivi!$B:$B,1108)="","",INDEX(Suivi!$B:$B,1108))</f>
        <v/>
      </c>
      <c r="C1087">
        <f>IF($B1087="","",IF(INDEX(Suivi!$D:$D,1108)="",INDEX(Suivi!$C:$C,1108),INDEX(Suivi!$D:$D,1108)))</f>
        <v/>
      </c>
      <c r="D1087" s="29">
        <f>IF($B1087="","",INDEX(Suivi!$E:$E,1108))</f>
        <v/>
      </c>
      <c r="E1087" s="29">
        <f>IF($B1087="","",INDEX(Suivi!$F:$F,1108))</f>
        <v/>
      </c>
      <c r="F1087">
        <f>IF($B1087="","",INDEX(Suivi!$G:$G,1108))</f>
        <v/>
      </c>
      <c r="H1087">
        <f>IF(OR($B1087="",NOT(ISNUMBER($D1087))),"",IF($E1087&lt;$D$2,"Passé",IF($D1087&gt;$F$2,"À venir","Dans la période")))</f>
        <v/>
      </c>
      <c r="I1087">
        <f>IF(OR($B1087="",NOT(ISNUMBER($D1087))),"",IF(AND($E1087&lt;$D$2,$G1087&lt;&gt;"X",$F1087&lt;&gt;"Réalisé",$F1087&lt;&gt;"Clôturé"),"RETARD",""))</f>
        <v/>
      </c>
      <c r="J1087" s="29">
        <f>IF($B1087="","",IF(INDEX(Dossiers!$F$4:$F$63,21)="","",INDEX(Dossiers!$F$4:$F$63,21)))</f>
        <v/>
      </c>
      <c r="K1087" s="29">
        <f>IF($B1087="","",IF(INDEX(Dossiers!$G$4:$G$63,21)="","",INDEX(Dossiers!$G$4:$G$63,21)))</f>
        <v/>
      </c>
    </row>
    <row r="1088">
      <c r="A1088">
        <f>IF($B1088="","",INDEX(Dossiers!$E$4:$E$63,21))</f>
        <v/>
      </c>
      <c r="B1088">
        <f>IF(INDEX(Suivi!$B:$B,1109)="","",INDEX(Suivi!$B:$B,1109))</f>
        <v/>
      </c>
      <c r="C1088">
        <f>IF($B1088="","",IF(INDEX(Suivi!$D:$D,1109)="",INDEX(Suivi!$C:$C,1109),INDEX(Suivi!$D:$D,1109)))</f>
        <v/>
      </c>
      <c r="D1088" s="29">
        <f>IF($B1088="","",INDEX(Suivi!$E:$E,1109))</f>
        <v/>
      </c>
      <c r="E1088" s="29">
        <f>IF($B1088="","",INDEX(Suivi!$F:$F,1109))</f>
        <v/>
      </c>
      <c r="F1088">
        <f>IF($B1088="","",INDEX(Suivi!$G:$G,1109))</f>
        <v/>
      </c>
      <c r="H1088">
        <f>IF(OR($B1088="",NOT(ISNUMBER($D1088))),"",IF($E1088&lt;$D$2,"Passé",IF($D1088&gt;$F$2,"À venir","Dans la période")))</f>
        <v/>
      </c>
      <c r="I1088">
        <f>IF(OR($B1088="",NOT(ISNUMBER($D1088))),"",IF(AND($E1088&lt;$D$2,$G1088&lt;&gt;"X",$F1088&lt;&gt;"Réalisé",$F1088&lt;&gt;"Clôturé"),"RETARD",""))</f>
        <v/>
      </c>
      <c r="J1088" s="29">
        <f>IF($B1088="","",IF(INDEX(Dossiers!$F$4:$F$63,21)="","",INDEX(Dossiers!$F$4:$F$63,21)))</f>
        <v/>
      </c>
      <c r="K1088" s="29">
        <f>IF($B1088="","",IF(INDEX(Dossiers!$G$4:$G$63,21)="","",INDEX(Dossiers!$G$4:$G$63,21)))</f>
        <v/>
      </c>
    </row>
    <row r="1089">
      <c r="A1089">
        <f>IF($B1089="","",INDEX(Dossiers!$E$4:$E$63,21))</f>
        <v/>
      </c>
      <c r="B1089">
        <f>IF(INDEX(Suivi!$B:$B,1110)="","",INDEX(Suivi!$B:$B,1110))</f>
        <v/>
      </c>
      <c r="C1089">
        <f>IF($B1089="","",IF(INDEX(Suivi!$D:$D,1110)="",INDEX(Suivi!$C:$C,1110),INDEX(Suivi!$D:$D,1110)))</f>
        <v/>
      </c>
      <c r="D1089" s="29">
        <f>IF($B1089="","",INDEX(Suivi!$E:$E,1110))</f>
        <v/>
      </c>
      <c r="E1089" s="29">
        <f>IF($B1089="","",INDEX(Suivi!$F:$F,1110))</f>
        <v/>
      </c>
      <c r="F1089">
        <f>IF($B1089="","",INDEX(Suivi!$G:$G,1110))</f>
        <v/>
      </c>
      <c r="H1089">
        <f>IF(OR($B1089="",NOT(ISNUMBER($D1089))),"",IF($E1089&lt;$D$2,"Passé",IF($D1089&gt;$F$2,"À venir","Dans la période")))</f>
        <v/>
      </c>
      <c r="I1089">
        <f>IF(OR($B1089="",NOT(ISNUMBER($D1089))),"",IF(AND($E1089&lt;$D$2,$G1089&lt;&gt;"X",$F1089&lt;&gt;"Réalisé",$F1089&lt;&gt;"Clôturé"),"RETARD",""))</f>
        <v/>
      </c>
      <c r="J1089" s="29">
        <f>IF($B1089="","",IF(INDEX(Dossiers!$F$4:$F$63,21)="","",INDEX(Dossiers!$F$4:$F$63,21)))</f>
        <v/>
      </c>
      <c r="K1089" s="29">
        <f>IF($B1089="","",IF(INDEX(Dossiers!$G$4:$G$63,21)="","",INDEX(Dossiers!$G$4:$G$63,21)))</f>
        <v/>
      </c>
    </row>
    <row r="1090">
      <c r="A1090">
        <f>IF($B1090="","",INDEX(Dossiers!$E$4:$E$63,21))</f>
        <v/>
      </c>
      <c r="B1090">
        <f>IF(INDEX(Suivi!$B:$B,1111)="","",INDEX(Suivi!$B:$B,1111))</f>
        <v/>
      </c>
      <c r="C1090">
        <f>IF($B1090="","",IF(INDEX(Suivi!$D:$D,1111)="",INDEX(Suivi!$C:$C,1111),INDEX(Suivi!$D:$D,1111)))</f>
        <v/>
      </c>
      <c r="D1090" s="29">
        <f>IF($B1090="","",INDEX(Suivi!$E:$E,1111))</f>
        <v/>
      </c>
      <c r="E1090" s="29">
        <f>IF($B1090="","",INDEX(Suivi!$F:$F,1111))</f>
        <v/>
      </c>
      <c r="F1090">
        <f>IF($B1090="","",INDEX(Suivi!$G:$G,1111))</f>
        <v/>
      </c>
      <c r="H1090">
        <f>IF(OR($B1090="",NOT(ISNUMBER($D1090))),"",IF($E1090&lt;$D$2,"Passé",IF($D1090&gt;$F$2,"À venir","Dans la période")))</f>
        <v/>
      </c>
      <c r="I1090">
        <f>IF(OR($B1090="",NOT(ISNUMBER($D1090))),"",IF(AND($E1090&lt;$D$2,$G1090&lt;&gt;"X",$F1090&lt;&gt;"Réalisé",$F1090&lt;&gt;"Clôturé"),"RETARD",""))</f>
        <v/>
      </c>
      <c r="J1090" s="29">
        <f>IF($B1090="","",IF(INDEX(Dossiers!$F$4:$F$63,21)="","",INDEX(Dossiers!$F$4:$F$63,21)))</f>
        <v/>
      </c>
      <c r="K1090" s="29">
        <f>IF($B1090="","",IF(INDEX(Dossiers!$G$4:$G$63,21)="","",INDEX(Dossiers!$G$4:$G$63,21)))</f>
        <v/>
      </c>
    </row>
    <row r="1091">
      <c r="A1091">
        <f>IF($B1091="","",INDEX(Dossiers!$E$4:$E$63,21))</f>
        <v/>
      </c>
      <c r="B1091">
        <f>IF(INDEX(Suivi!$B:$B,1112)="","",INDEX(Suivi!$B:$B,1112))</f>
        <v/>
      </c>
      <c r="C1091">
        <f>IF($B1091="","",IF(INDEX(Suivi!$D:$D,1112)="",INDEX(Suivi!$C:$C,1112),INDEX(Suivi!$D:$D,1112)))</f>
        <v/>
      </c>
      <c r="D1091" s="29">
        <f>IF($B1091="","",INDEX(Suivi!$E:$E,1112))</f>
        <v/>
      </c>
      <c r="E1091" s="29">
        <f>IF($B1091="","",INDEX(Suivi!$F:$F,1112))</f>
        <v/>
      </c>
      <c r="F1091">
        <f>IF($B1091="","",INDEX(Suivi!$G:$G,1112))</f>
        <v/>
      </c>
      <c r="H1091">
        <f>IF(OR($B1091="",NOT(ISNUMBER($D1091))),"",IF($E1091&lt;$D$2,"Passé",IF($D1091&gt;$F$2,"À venir","Dans la période")))</f>
        <v/>
      </c>
      <c r="I1091">
        <f>IF(OR($B1091="",NOT(ISNUMBER($D1091))),"",IF(AND($E1091&lt;$D$2,$G1091&lt;&gt;"X",$F1091&lt;&gt;"Réalisé",$F1091&lt;&gt;"Clôturé"),"RETARD",""))</f>
        <v/>
      </c>
      <c r="J1091" s="29">
        <f>IF($B1091="","",IF(INDEX(Dossiers!$F$4:$F$63,21)="","",INDEX(Dossiers!$F$4:$F$63,21)))</f>
        <v/>
      </c>
      <c r="K1091" s="29">
        <f>IF($B1091="","",IF(INDEX(Dossiers!$G$4:$G$63,21)="","",INDEX(Dossiers!$G$4:$G$63,21)))</f>
        <v/>
      </c>
    </row>
    <row r="1092">
      <c r="A1092">
        <f>IF($B1092="","",INDEX(Dossiers!$E$4:$E$63,21))</f>
        <v/>
      </c>
      <c r="B1092">
        <f>IF(INDEX(Suivi!$B:$B,1113)="","",INDEX(Suivi!$B:$B,1113))</f>
        <v/>
      </c>
      <c r="C1092">
        <f>IF($B1092="","",IF(INDEX(Suivi!$D:$D,1113)="",INDEX(Suivi!$C:$C,1113),INDEX(Suivi!$D:$D,1113)))</f>
        <v/>
      </c>
      <c r="D1092" s="29">
        <f>IF($B1092="","",INDEX(Suivi!$E:$E,1113))</f>
        <v/>
      </c>
      <c r="E1092" s="29">
        <f>IF($B1092="","",INDEX(Suivi!$F:$F,1113))</f>
        <v/>
      </c>
      <c r="F1092">
        <f>IF($B1092="","",INDEX(Suivi!$G:$G,1113))</f>
        <v/>
      </c>
      <c r="H1092">
        <f>IF(OR($B1092="",NOT(ISNUMBER($D1092))),"",IF($E1092&lt;$D$2,"Passé",IF($D1092&gt;$F$2,"À venir","Dans la période")))</f>
        <v/>
      </c>
      <c r="I1092">
        <f>IF(OR($B1092="",NOT(ISNUMBER($D1092))),"",IF(AND($E1092&lt;$D$2,$G1092&lt;&gt;"X",$F1092&lt;&gt;"Réalisé",$F1092&lt;&gt;"Clôturé"),"RETARD",""))</f>
        <v/>
      </c>
      <c r="J1092" s="29">
        <f>IF($B1092="","",IF(INDEX(Dossiers!$F$4:$F$63,21)="","",INDEX(Dossiers!$F$4:$F$63,21)))</f>
        <v/>
      </c>
      <c r="K1092" s="29">
        <f>IF($B1092="","",IF(INDEX(Dossiers!$G$4:$G$63,21)="","",INDEX(Dossiers!$G$4:$G$63,21)))</f>
        <v/>
      </c>
    </row>
    <row r="1093">
      <c r="A1093">
        <f>IF($B1093="","",INDEX(Dossiers!$E$4:$E$63,21))</f>
        <v/>
      </c>
      <c r="B1093">
        <f>IF(INDEX(Suivi!$B:$B,1114)="","",INDEX(Suivi!$B:$B,1114))</f>
        <v/>
      </c>
      <c r="C1093">
        <f>IF($B1093="","",IF(INDEX(Suivi!$D:$D,1114)="",INDEX(Suivi!$C:$C,1114),INDEX(Suivi!$D:$D,1114)))</f>
        <v/>
      </c>
      <c r="D1093" s="29">
        <f>IF($B1093="","",INDEX(Suivi!$E:$E,1114))</f>
        <v/>
      </c>
      <c r="E1093" s="29">
        <f>IF($B1093="","",INDEX(Suivi!$F:$F,1114))</f>
        <v/>
      </c>
      <c r="F1093">
        <f>IF($B1093="","",INDEX(Suivi!$G:$G,1114))</f>
        <v/>
      </c>
      <c r="H1093">
        <f>IF(OR($B1093="",NOT(ISNUMBER($D1093))),"",IF($E1093&lt;$D$2,"Passé",IF($D1093&gt;$F$2,"À venir","Dans la période")))</f>
        <v/>
      </c>
      <c r="I1093">
        <f>IF(OR($B1093="",NOT(ISNUMBER($D1093))),"",IF(AND($E1093&lt;$D$2,$G1093&lt;&gt;"X",$F1093&lt;&gt;"Réalisé",$F1093&lt;&gt;"Clôturé"),"RETARD",""))</f>
        <v/>
      </c>
      <c r="J1093" s="29">
        <f>IF($B1093="","",IF(INDEX(Dossiers!$F$4:$F$63,21)="","",INDEX(Dossiers!$F$4:$F$63,21)))</f>
        <v/>
      </c>
      <c r="K1093" s="29">
        <f>IF($B1093="","",IF(INDEX(Dossiers!$G$4:$G$63,21)="","",INDEX(Dossiers!$G$4:$G$63,21)))</f>
        <v/>
      </c>
    </row>
    <row r="1094">
      <c r="A1094">
        <f>IF($B1094="","",INDEX(Dossiers!$E$4:$E$63,21))</f>
        <v/>
      </c>
      <c r="B1094">
        <f>IF(INDEX(Suivi!$B:$B,1115)="","",INDEX(Suivi!$B:$B,1115))</f>
        <v/>
      </c>
      <c r="C1094">
        <f>IF($B1094="","",IF(INDEX(Suivi!$D:$D,1115)="",INDEX(Suivi!$C:$C,1115),INDEX(Suivi!$D:$D,1115)))</f>
        <v/>
      </c>
      <c r="D1094" s="29">
        <f>IF($B1094="","",INDEX(Suivi!$E:$E,1115))</f>
        <v/>
      </c>
      <c r="E1094" s="29">
        <f>IF($B1094="","",INDEX(Suivi!$F:$F,1115))</f>
        <v/>
      </c>
      <c r="F1094">
        <f>IF($B1094="","",INDEX(Suivi!$G:$G,1115))</f>
        <v/>
      </c>
      <c r="H1094">
        <f>IF(OR($B1094="",NOT(ISNUMBER($D1094))),"",IF($E1094&lt;$D$2,"Passé",IF($D1094&gt;$F$2,"À venir","Dans la période")))</f>
        <v/>
      </c>
      <c r="I1094">
        <f>IF(OR($B1094="",NOT(ISNUMBER($D1094))),"",IF(AND($E1094&lt;$D$2,$G1094&lt;&gt;"X",$F1094&lt;&gt;"Réalisé",$F1094&lt;&gt;"Clôturé"),"RETARD",""))</f>
        <v/>
      </c>
      <c r="J1094" s="29">
        <f>IF($B1094="","",IF(INDEX(Dossiers!$F$4:$F$63,21)="","",INDEX(Dossiers!$F$4:$F$63,21)))</f>
        <v/>
      </c>
      <c r="K1094" s="29">
        <f>IF($B1094="","",IF(INDEX(Dossiers!$G$4:$G$63,21)="","",INDEX(Dossiers!$G$4:$G$63,21)))</f>
        <v/>
      </c>
    </row>
    <row r="1095">
      <c r="A1095">
        <f>IF($B1095="","",INDEX(Dossiers!$E$4:$E$63,21))</f>
        <v/>
      </c>
      <c r="B1095">
        <f>IF(INDEX(Suivi!$B:$B,1116)="","",INDEX(Suivi!$B:$B,1116))</f>
        <v/>
      </c>
      <c r="C1095">
        <f>IF($B1095="","",IF(INDEX(Suivi!$D:$D,1116)="",INDEX(Suivi!$C:$C,1116),INDEX(Suivi!$D:$D,1116)))</f>
        <v/>
      </c>
      <c r="D1095" s="29">
        <f>IF($B1095="","",INDEX(Suivi!$E:$E,1116))</f>
        <v/>
      </c>
      <c r="E1095" s="29">
        <f>IF($B1095="","",INDEX(Suivi!$F:$F,1116))</f>
        <v/>
      </c>
      <c r="F1095">
        <f>IF($B1095="","",INDEX(Suivi!$G:$G,1116))</f>
        <v/>
      </c>
      <c r="H1095">
        <f>IF(OR($B1095="",NOT(ISNUMBER($D1095))),"",IF($E1095&lt;$D$2,"Passé",IF($D1095&gt;$F$2,"À venir","Dans la période")))</f>
        <v/>
      </c>
      <c r="I1095">
        <f>IF(OR($B1095="",NOT(ISNUMBER($D1095))),"",IF(AND($E1095&lt;$D$2,$G1095&lt;&gt;"X",$F1095&lt;&gt;"Réalisé",$F1095&lt;&gt;"Clôturé"),"RETARD",""))</f>
        <v/>
      </c>
      <c r="J1095" s="29">
        <f>IF($B1095="","",IF(INDEX(Dossiers!$F$4:$F$63,21)="","",INDEX(Dossiers!$F$4:$F$63,21)))</f>
        <v/>
      </c>
      <c r="K1095" s="29">
        <f>IF($B1095="","",IF(INDEX(Dossiers!$G$4:$G$63,21)="","",INDEX(Dossiers!$G$4:$G$63,21)))</f>
        <v/>
      </c>
    </row>
    <row r="1096">
      <c r="A1096">
        <f>IF($B1096="","",INDEX(Dossiers!$E$4:$E$63,21))</f>
        <v/>
      </c>
      <c r="B1096">
        <f>IF(INDEX(Suivi!$B:$B,1117)="","",INDEX(Suivi!$B:$B,1117))</f>
        <v/>
      </c>
      <c r="C1096">
        <f>IF($B1096="","",IF(INDEX(Suivi!$D:$D,1117)="",INDEX(Suivi!$C:$C,1117),INDEX(Suivi!$D:$D,1117)))</f>
        <v/>
      </c>
      <c r="D1096" s="29">
        <f>IF($B1096="","",INDEX(Suivi!$E:$E,1117))</f>
        <v/>
      </c>
      <c r="E1096" s="29">
        <f>IF($B1096="","",INDEX(Suivi!$F:$F,1117))</f>
        <v/>
      </c>
      <c r="F1096">
        <f>IF($B1096="","",INDEX(Suivi!$G:$G,1117))</f>
        <v/>
      </c>
      <c r="H1096">
        <f>IF(OR($B1096="",NOT(ISNUMBER($D1096))),"",IF($E1096&lt;$D$2,"Passé",IF($D1096&gt;$F$2,"À venir","Dans la période")))</f>
        <v/>
      </c>
      <c r="I1096">
        <f>IF(OR($B1096="",NOT(ISNUMBER($D1096))),"",IF(AND($E1096&lt;$D$2,$G1096&lt;&gt;"X",$F1096&lt;&gt;"Réalisé",$F1096&lt;&gt;"Clôturé"),"RETARD",""))</f>
        <v/>
      </c>
      <c r="J1096" s="29">
        <f>IF($B1096="","",IF(INDEX(Dossiers!$F$4:$F$63,21)="","",INDEX(Dossiers!$F$4:$F$63,21)))</f>
        <v/>
      </c>
      <c r="K1096" s="29">
        <f>IF($B1096="","",IF(INDEX(Dossiers!$G$4:$G$63,21)="","",INDEX(Dossiers!$G$4:$G$63,21)))</f>
        <v/>
      </c>
    </row>
    <row r="1097">
      <c r="A1097">
        <f>IF($B1097="","",INDEX(Dossiers!$E$4:$E$63,21))</f>
        <v/>
      </c>
      <c r="B1097">
        <f>IF(INDEX(Suivi!$B:$B,1118)="","",INDEX(Suivi!$B:$B,1118))</f>
        <v/>
      </c>
      <c r="C1097">
        <f>IF($B1097="","",IF(INDEX(Suivi!$D:$D,1118)="",INDEX(Suivi!$C:$C,1118),INDEX(Suivi!$D:$D,1118)))</f>
        <v/>
      </c>
      <c r="D1097" s="29">
        <f>IF($B1097="","",INDEX(Suivi!$E:$E,1118))</f>
        <v/>
      </c>
      <c r="E1097" s="29">
        <f>IF($B1097="","",INDEX(Suivi!$F:$F,1118))</f>
        <v/>
      </c>
      <c r="F1097">
        <f>IF($B1097="","",INDEX(Suivi!$G:$G,1118))</f>
        <v/>
      </c>
      <c r="H1097">
        <f>IF(OR($B1097="",NOT(ISNUMBER($D1097))),"",IF($E1097&lt;$D$2,"Passé",IF($D1097&gt;$F$2,"À venir","Dans la période")))</f>
        <v/>
      </c>
      <c r="I1097">
        <f>IF(OR($B1097="",NOT(ISNUMBER($D1097))),"",IF(AND($E1097&lt;$D$2,$G1097&lt;&gt;"X",$F1097&lt;&gt;"Réalisé",$F1097&lt;&gt;"Clôturé"),"RETARD",""))</f>
        <v/>
      </c>
      <c r="J1097" s="29">
        <f>IF($B1097="","",IF(INDEX(Dossiers!$F$4:$F$63,21)="","",INDEX(Dossiers!$F$4:$F$63,21)))</f>
        <v/>
      </c>
      <c r="K1097" s="29">
        <f>IF($B1097="","",IF(INDEX(Dossiers!$G$4:$G$63,21)="","",INDEX(Dossiers!$G$4:$G$63,21)))</f>
        <v/>
      </c>
    </row>
    <row r="1098">
      <c r="A1098">
        <f>IF($B1098="","",INDEX(Dossiers!$E$4:$E$63,21))</f>
        <v/>
      </c>
      <c r="B1098">
        <f>IF(INDEX(Suivi!$B:$B,1119)="","",INDEX(Suivi!$B:$B,1119))</f>
        <v/>
      </c>
      <c r="C1098">
        <f>IF($B1098="","",IF(INDEX(Suivi!$D:$D,1119)="",INDEX(Suivi!$C:$C,1119),INDEX(Suivi!$D:$D,1119)))</f>
        <v/>
      </c>
      <c r="D1098" s="29">
        <f>IF($B1098="","",INDEX(Suivi!$E:$E,1119))</f>
        <v/>
      </c>
      <c r="E1098" s="29">
        <f>IF($B1098="","",INDEX(Suivi!$F:$F,1119))</f>
        <v/>
      </c>
      <c r="F1098">
        <f>IF($B1098="","",INDEX(Suivi!$G:$G,1119))</f>
        <v/>
      </c>
      <c r="H1098">
        <f>IF(OR($B1098="",NOT(ISNUMBER($D1098))),"",IF($E1098&lt;$D$2,"Passé",IF($D1098&gt;$F$2,"À venir","Dans la période")))</f>
        <v/>
      </c>
      <c r="I1098">
        <f>IF(OR($B1098="",NOT(ISNUMBER($D1098))),"",IF(AND($E1098&lt;$D$2,$G1098&lt;&gt;"X",$F1098&lt;&gt;"Réalisé",$F1098&lt;&gt;"Clôturé"),"RETARD",""))</f>
        <v/>
      </c>
      <c r="J1098" s="29">
        <f>IF($B1098="","",IF(INDEX(Dossiers!$F$4:$F$63,21)="","",INDEX(Dossiers!$F$4:$F$63,21)))</f>
        <v/>
      </c>
      <c r="K1098" s="29">
        <f>IF($B1098="","",IF(INDEX(Dossiers!$G$4:$G$63,21)="","",INDEX(Dossiers!$G$4:$G$63,21)))</f>
        <v/>
      </c>
    </row>
    <row r="1099">
      <c r="A1099">
        <f>IF($B1099="","",INDEX(Dossiers!$E$4:$E$63,21))</f>
        <v/>
      </c>
      <c r="B1099">
        <f>IF(INDEX(Suivi!$B:$B,1120)="","",INDEX(Suivi!$B:$B,1120))</f>
        <v/>
      </c>
      <c r="C1099">
        <f>IF($B1099="","",IF(INDEX(Suivi!$D:$D,1120)="",INDEX(Suivi!$C:$C,1120),INDEX(Suivi!$D:$D,1120)))</f>
        <v/>
      </c>
      <c r="D1099" s="29">
        <f>IF($B1099="","",INDEX(Suivi!$E:$E,1120))</f>
        <v/>
      </c>
      <c r="E1099" s="29">
        <f>IF($B1099="","",INDEX(Suivi!$F:$F,1120))</f>
        <v/>
      </c>
      <c r="F1099">
        <f>IF($B1099="","",INDEX(Suivi!$G:$G,1120))</f>
        <v/>
      </c>
      <c r="H1099">
        <f>IF(OR($B1099="",NOT(ISNUMBER($D1099))),"",IF($E1099&lt;$D$2,"Passé",IF($D1099&gt;$F$2,"À venir","Dans la période")))</f>
        <v/>
      </c>
      <c r="I1099">
        <f>IF(OR($B1099="",NOT(ISNUMBER($D1099))),"",IF(AND($E1099&lt;$D$2,$G1099&lt;&gt;"X",$F1099&lt;&gt;"Réalisé",$F1099&lt;&gt;"Clôturé"),"RETARD",""))</f>
        <v/>
      </c>
      <c r="J1099" s="29">
        <f>IF($B1099="","",IF(INDEX(Dossiers!$F$4:$F$63,21)="","",INDEX(Dossiers!$F$4:$F$63,21)))</f>
        <v/>
      </c>
      <c r="K1099" s="29">
        <f>IF($B1099="","",IF(INDEX(Dossiers!$G$4:$G$63,21)="","",INDEX(Dossiers!$G$4:$G$63,21)))</f>
        <v/>
      </c>
    </row>
    <row r="1100">
      <c r="A1100">
        <f>IF($B1100="","",INDEX(Dossiers!$E$4:$E$63,21))</f>
        <v/>
      </c>
      <c r="B1100">
        <f>IF(INDEX(Suivi!$B:$B,1121)="","",INDEX(Suivi!$B:$B,1121))</f>
        <v/>
      </c>
      <c r="C1100">
        <f>IF($B1100="","",IF(INDEX(Suivi!$D:$D,1121)="",INDEX(Suivi!$C:$C,1121),INDEX(Suivi!$D:$D,1121)))</f>
        <v/>
      </c>
      <c r="D1100" s="29">
        <f>IF($B1100="","",INDEX(Suivi!$E:$E,1121))</f>
        <v/>
      </c>
      <c r="E1100" s="29">
        <f>IF($B1100="","",INDEX(Suivi!$F:$F,1121))</f>
        <v/>
      </c>
      <c r="F1100">
        <f>IF($B1100="","",INDEX(Suivi!$G:$G,1121))</f>
        <v/>
      </c>
      <c r="H1100">
        <f>IF(OR($B1100="",NOT(ISNUMBER($D1100))),"",IF($E1100&lt;$D$2,"Passé",IF($D1100&gt;$F$2,"À venir","Dans la période")))</f>
        <v/>
      </c>
      <c r="I1100">
        <f>IF(OR($B1100="",NOT(ISNUMBER($D1100))),"",IF(AND($E1100&lt;$D$2,$G1100&lt;&gt;"X",$F1100&lt;&gt;"Réalisé",$F1100&lt;&gt;"Clôturé"),"RETARD",""))</f>
        <v/>
      </c>
      <c r="J1100" s="29">
        <f>IF($B1100="","",IF(INDEX(Dossiers!$F$4:$F$63,21)="","",INDEX(Dossiers!$F$4:$F$63,21)))</f>
        <v/>
      </c>
      <c r="K1100" s="29">
        <f>IF($B1100="","",IF(INDEX(Dossiers!$G$4:$G$63,21)="","",INDEX(Dossiers!$G$4:$G$63,21)))</f>
        <v/>
      </c>
    </row>
    <row r="1101">
      <c r="A1101">
        <f>IF($B1101="","",INDEX(Dossiers!$E$4:$E$63,21))</f>
        <v/>
      </c>
      <c r="B1101">
        <f>IF(INDEX(Suivi!$B:$B,1122)="","",INDEX(Suivi!$B:$B,1122))</f>
        <v/>
      </c>
      <c r="C1101">
        <f>IF($B1101="","",IF(INDEX(Suivi!$D:$D,1122)="",INDEX(Suivi!$C:$C,1122),INDEX(Suivi!$D:$D,1122)))</f>
        <v/>
      </c>
      <c r="D1101" s="29">
        <f>IF($B1101="","",INDEX(Suivi!$E:$E,1122))</f>
        <v/>
      </c>
      <c r="E1101" s="29">
        <f>IF($B1101="","",INDEX(Suivi!$F:$F,1122))</f>
        <v/>
      </c>
      <c r="F1101">
        <f>IF($B1101="","",INDEX(Suivi!$G:$G,1122))</f>
        <v/>
      </c>
      <c r="H1101">
        <f>IF(OR($B1101="",NOT(ISNUMBER($D1101))),"",IF($E1101&lt;$D$2,"Passé",IF($D1101&gt;$F$2,"À venir","Dans la période")))</f>
        <v/>
      </c>
      <c r="I1101">
        <f>IF(OR($B1101="",NOT(ISNUMBER($D1101))),"",IF(AND($E1101&lt;$D$2,$G1101&lt;&gt;"X",$F1101&lt;&gt;"Réalisé",$F1101&lt;&gt;"Clôturé"),"RETARD",""))</f>
        <v/>
      </c>
      <c r="J1101" s="29">
        <f>IF($B1101="","",IF(INDEX(Dossiers!$F$4:$F$63,21)="","",INDEX(Dossiers!$F$4:$F$63,21)))</f>
        <v/>
      </c>
      <c r="K1101" s="29">
        <f>IF($B1101="","",IF(INDEX(Dossiers!$G$4:$G$63,21)="","",INDEX(Dossiers!$G$4:$G$63,21)))</f>
        <v/>
      </c>
    </row>
    <row r="1102">
      <c r="A1102">
        <f>IF($B1102="","",INDEX(Dossiers!$E$4:$E$63,21))</f>
        <v/>
      </c>
      <c r="B1102">
        <f>IF(INDEX(Suivi!$B:$B,1123)="","",INDEX(Suivi!$B:$B,1123))</f>
        <v/>
      </c>
      <c r="C1102">
        <f>IF($B1102="","",IF(INDEX(Suivi!$D:$D,1123)="",INDEX(Suivi!$C:$C,1123),INDEX(Suivi!$D:$D,1123)))</f>
        <v/>
      </c>
      <c r="D1102" s="29">
        <f>IF($B1102="","",INDEX(Suivi!$E:$E,1123))</f>
        <v/>
      </c>
      <c r="E1102" s="29">
        <f>IF($B1102="","",INDEX(Suivi!$F:$F,1123))</f>
        <v/>
      </c>
      <c r="F1102">
        <f>IF($B1102="","",INDEX(Suivi!$G:$G,1123))</f>
        <v/>
      </c>
      <c r="H1102">
        <f>IF(OR($B1102="",NOT(ISNUMBER($D1102))),"",IF($E1102&lt;$D$2,"Passé",IF($D1102&gt;$F$2,"À venir","Dans la période")))</f>
        <v/>
      </c>
      <c r="I1102">
        <f>IF(OR($B1102="",NOT(ISNUMBER($D1102))),"",IF(AND($E1102&lt;$D$2,$G1102&lt;&gt;"X",$F1102&lt;&gt;"Réalisé",$F1102&lt;&gt;"Clôturé"),"RETARD",""))</f>
        <v/>
      </c>
      <c r="J1102" s="29">
        <f>IF($B1102="","",IF(INDEX(Dossiers!$F$4:$F$63,21)="","",INDEX(Dossiers!$F$4:$F$63,21)))</f>
        <v/>
      </c>
      <c r="K1102" s="29">
        <f>IF($B1102="","",IF(INDEX(Dossiers!$G$4:$G$63,21)="","",INDEX(Dossiers!$G$4:$G$63,21)))</f>
        <v/>
      </c>
    </row>
    <row r="1103">
      <c r="A1103">
        <f>IF($B1103="","",INDEX(Dossiers!$E$4:$E$63,21))</f>
        <v/>
      </c>
      <c r="B1103">
        <f>IF(INDEX(Suivi!$B:$B,1124)="","",INDEX(Suivi!$B:$B,1124))</f>
        <v/>
      </c>
      <c r="C1103">
        <f>IF($B1103="","",IF(INDEX(Suivi!$D:$D,1124)="",INDEX(Suivi!$C:$C,1124),INDEX(Suivi!$D:$D,1124)))</f>
        <v/>
      </c>
      <c r="D1103" s="29">
        <f>IF($B1103="","",INDEX(Suivi!$E:$E,1124))</f>
        <v/>
      </c>
      <c r="E1103" s="29">
        <f>IF($B1103="","",INDEX(Suivi!$F:$F,1124))</f>
        <v/>
      </c>
      <c r="F1103">
        <f>IF($B1103="","",INDEX(Suivi!$G:$G,1124))</f>
        <v/>
      </c>
      <c r="H1103">
        <f>IF(OR($B1103="",NOT(ISNUMBER($D1103))),"",IF($E1103&lt;$D$2,"Passé",IF($D1103&gt;$F$2,"À venir","Dans la période")))</f>
        <v/>
      </c>
      <c r="I1103">
        <f>IF(OR($B1103="",NOT(ISNUMBER($D1103))),"",IF(AND($E1103&lt;$D$2,$G1103&lt;&gt;"X",$F1103&lt;&gt;"Réalisé",$F1103&lt;&gt;"Clôturé"),"RETARD",""))</f>
        <v/>
      </c>
      <c r="J1103" s="29">
        <f>IF($B1103="","",IF(INDEX(Dossiers!$F$4:$F$63,21)="","",INDEX(Dossiers!$F$4:$F$63,21)))</f>
        <v/>
      </c>
      <c r="K1103" s="29">
        <f>IF($B1103="","",IF(INDEX(Dossiers!$G$4:$G$63,21)="","",INDEX(Dossiers!$G$4:$G$63,21)))</f>
        <v/>
      </c>
    </row>
    <row r="1104">
      <c r="A1104">
        <f>IF($B1104="","",INDEX(Dossiers!$E$4:$E$63,21))</f>
        <v/>
      </c>
      <c r="B1104">
        <f>IF(INDEX(Suivi!$B:$B,1125)="","",INDEX(Suivi!$B:$B,1125))</f>
        <v/>
      </c>
      <c r="C1104">
        <f>IF($B1104="","",IF(INDEX(Suivi!$D:$D,1125)="",INDEX(Suivi!$C:$C,1125),INDEX(Suivi!$D:$D,1125)))</f>
        <v/>
      </c>
      <c r="D1104" s="29">
        <f>IF($B1104="","",INDEX(Suivi!$E:$E,1125))</f>
        <v/>
      </c>
      <c r="E1104" s="29">
        <f>IF($B1104="","",INDEX(Suivi!$F:$F,1125))</f>
        <v/>
      </c>
      <c r="F1104">
        <f>IF($B1104="","",INDEX(Suivi!$G:$G,1125))</f>
        <v/>
      </c>
      <c r="H1104">
        <f>IF(OR($B1104="",NOT(ISNUMBER($D1104))),"",IF($E1104&lt;$D$2,"Passé",IF($D1104&gt;$F$2,"À venir","Dans la période")))</f>
        <v/>
      </c>
      <c r="I1104">
        <f>IF(OR($B1104="",NOT(ISNUMBER($D1104))),"",IF(AND($E1104&lt;$D$2,$G1104&lt;&gt;"X",$F1104&lt;&gt;"Réalisé",$F1104&lt;&gt;"Clôturé"),"RETARD",""))</f>
        <v/>
      </c>
      <c r="J1104" s="29">
        <f>IF($B1104="","",IF(INDEX(Dossiers!$F$4:$F$63,21)="","",INDEX(Dossiers!$F$4:$F$63,21)))</f>
        <v/>
      </c>
      <c r="K1104" s="29">
        <f>IF($B1104="","",IF(INDEX(Dossiers!$G$4:$G$63,21)="","",INDEX(Dossiers!$G$4:$G$63,21)))</f>
        <v/>
      </c>
    </row>
    <row r="1105">
      <c r="A1105">
        <f>IF($B1105="","",INDEX(Dossiers!$E$4:$E$63,21))</f>
        <v/>
      </c>
      <c r="B1105">
        <f>IF(INDEX(Suivi!$B:$B,1126)="","",INDEX(Suivi!$B:$B,1126))</f>
        <v/>
      </c>
      <c r="C1105">
        <f>IF($B1105="","",IF(INDEX(Suivi!$D:$D,1126)="",INDEX(Suivi!$C:$C,1126),INDEX(Suivi!$D:$D,1126)))</f>
        <v/>
      </c>
      <c r="D1105" s="29">
        <f>IF($B1105="","",INDEX(Suivi!$E:$E,1126))</f>
        <v/>
      </c>
      <c r="E1105" s="29">
        <f>IF($B1105="","",INDEX(Suivi!$F:$F,1126))</f>
        <v/>
      </c>
      <c r="F1105">
        <f>IF($B1105="","",INDEX(Suivi!$G:$G,1126))</f>
        <v/>
      </c>
      <c r="H1105">
        <f>IF(OR($B1105="",NOT(ISNUMBER($D1105))),"",IF($E1105&lt;$D$2,"Passé",IF($D1105&gt;$F$2,"À venir","Dans la période")))</f>
        <v/>
      </c>
      <c r="I1105">
        <f>IF(OR($B1105="",NOT(ISNUMBER($D1105))),"",IF(AND($E1105&lt;$D$2,$G1105&lt;&gt;"X",$F1105&lt;&gt;"Réalisé",$F1105&lt;&gt;"Clôturé"),"RETARD",""))</f>
        <v/>
      </c>
      <c r="J1105" s="29">
        <f>IF($B1105="","",IF(INDEX(Dossiers!$F$4:$F$63,21)="","",INDEX(Dossiers!$F$4:$F$63,21)))</f>
        <v/>
      </c>
      <c r="K1105" s="29">
        <f>IF($B1105="","",IF(INDEX(Dossiers!$G$4:$G$63,21)="","",INDEX(Dossiers!$G$4:$G$63,21)))</f>
        <v/>
      </c>
    </row>
    <row r="1106">
      <c r="A1106">
        <f>IF($B1106="","",INDEX(Dossiers!$E$4:$E$63,21))</f>
        <v/>
      </c>
      <c r="B1106">
        <f>IF(INDEX(Suivi!$B:$B,1127)="","",INDEX(Suivi!$B:$B,1127))</f>
        <v/>
      </c>
      <c r="C1106">
        <f>IF($B1106="","",IF(INDEX(Suivi!$D:$D,1127)="",INDEX(Suivi!$C:$C,1127),INDEX(Suivi!$D:$D,1127)))</f>
        <v/>
      </c>
      <c r="D1106" s="29">
        <f>IF($B1106="","",INDEX(Suivi!$E:$E,1127))</f>
        <v/>
      </c>
      <c r="E1106" s="29">
        <f>IF($B1106="","",INDEX(Suivi!$F:$F,1127))</f>
        <v/>
      </c>
      <c r="F1106">
        <f>IF($B1106="","",INDEX(Suivi!$G:$G,1127))</f>
        <v/>
      </c>
      <c r="H1106">
        <f>IF(OR($B1106="",NOT(ISNUMBER($D1106))),"",IF($E1106&lt;$D$2,"Passé",IF($D1106&gt;$F$2,"À venir","Dans la période")))</f>
        <v/>
      </c>
      <c r="I1106">
        <f>IF(OR($B1106="",NOT(ISNUMBER($D1106))),"",IF(AND($E1106&lt;$D$2,$G1106&lt;&gt;"X",$F1106&lt;&gt;"Réalisé",$F1106&lt;&gt;"Clôturé"),"RETARD",""))</f>
        <v/>
      </c>
      <c r="J1106" s="29">
        <f>IF($B1106="","",IF(INDEX(Dossiers!$F$4:$F$63,21)="","",INDEX(Dossiers!$F$4:$F$63,21)))</f>
        <v/>
      </c>
      <c r="K1106" s="29">
        <f>IF($B1106="","",IF(INDEX(Dossiers!$G$4:$G$63,21)="","",INDEX(Dossiers!$G$4:$G$63,21)))</f>
        <v/>
      </c>
    </row>
    <row r="1107">
      <c r="A1107">
        <f>IF($B1107="","",INDEX(Dossiers!$E$4:$E$63,21))</f>
        <v/>
      </c>
      <c r="B1107">
        <f>IF(INDEX(Suivi!$B:$B,1128)="","",INDEX(Suivi!$B:$B,1128))</f>
        <v/>
      </c>
      <c r="C1107">
        <f>IF($B1107="","",IF(INDEX(Suivi!$D:$D,1128)="",INDEX(Suivi!$C:$C,1128),INDEX(Suivi!$D:$D,1128)))</f>
        <v/>
      </c>
      <c r="D1107" s="29">
        <f>IF($B1107="","",INDEX(Suivi!$E:$E,1128))</f>
        <v/>
      </c>
      <c r="E1107" s="29">
        <f>IF($B1107="","",INDEX(Suivi!$F:$F,1128))</f>
        <v/>
      </c>
      <c r="F1107">
        <f>IF($B1107="","",INDEX(Suivi!$G:$G,1128))</f>
        <v/>
      </c>
      <c r="H1107">
        <f>IF(OR($B1107="",NOT(ISNUMBER($D1107))),"",IF($E1107&lt;$D$2,"Passé",IF($D1107&gt;$F$2,"À venir","Dans la période")))</f>
        <v/>
      </c>
      <c r="I1107">
        <f>IF(OR($B1107="",NOT(ISNUMBER($D1107))),"",IF(AND($E1107&lt;$D$2,$G1107&lt;&gt;"X",$F1107&lt;&gt;"Réalisé",$F1107&lt;&gt;"Clôturé"),"RETARD",""))</f>
        <v/>
      </c>
      <c r="J1107" s="29">
        <f>IF($B1107="","",IF(INDEX(Dossiers!$F$4:$F$63,21)="","",INDEX(Dossiers!$F$4:$F$63,21)))</f>
        <v/>
      </c>
      <c r="K1107" s="29">
        <f>IF($B1107="","",IF(INDEX(Dossiers!$G$4:$G$63,21)="","",INDEX(Dossiers!$G$4:$G$63,21)))</f>
        <v/>
      </c>
    </row>
    <row r="1108">
      <c r="A1108">
        <f>IF($B1108="","",INDEX(Dossiers!$E$4:$E$63,21))</f>
        <v/>
      </c>
      <c r="B1108">
        <f>IF(INDEX(Suivi!$B:$B,1129)="","",INDEX(Suivi!$B:$B,1129))</f>
        <v/>
      </c>
      <c r="C1108">
        <f>IF($B1108="","",IF(INDEX(Suivi!$D:$D,1129)="",INDEX(Suivi!$C:$C,1129),INDEX(Suivi!$D:$D,1129)))</f>
        <v/>
      </c>
      <c r="D1108" s="29">
        <f>IF($B1108="","",INDEX(Suivi!$E:$E,1129))</f>
        <v/>
      </c>
      <c r="E1108" s="29">
        <f>IF($B1108="","",INDEX(Suivi!$F:$F,1129))</f>
        <v/>
      </c>
      <c r="F1108">
        <f>IF($B1108="","",INDEX(Suivi!$G:$G,1129))</f>
        <v/>
      </c>
      <c r="H1108">
        <f>IF(OR($B1108="",NOT(ISNUMBER($D1108))),"",IF($E1108&lt;$D$2,"Passé",IF($D1108&gt;$F$2,"À venir","Dans la période")))</f>
        <v/>
      </c>
      <c r="I1108">
        <f>IF(OR($B1108="",NOT(ISNUMBER($D1108))),"",IF(AND($E1108&lt;$D$2,$G1108&lt;&gt;"X",$F1108&lt;&gt;"Réalisé",$F1108&lt;&gt;"Clôturé"),"RETARD",""))</f>
        <v/>
      </c>
      <c r="J1108" s="29">
        <f>IF($B1108="","",IF(INDEX(Dossiers!$F$4:$F$63,21)="","",INDEX(Dossiers!$F$4:$F$63,21)))</f>
        <v/>
      </c>
      <c r="K1108" s="29">
        <f>IF($B1108="","",IF(INDEX(Dossiers!$G$4:$G$63,21)="","",INDEX(Dossiers!$G$4:$G$63,21)))</f>
        <v/>
      </c>
    </row>
    <row r="1109">
      <c r="A1109">
        <f>IF($B1109="","",INDEX(Dossiers!$E$4:$E$63,21))</f>
        <v/>
      </c>
      <c r="B1109">
        <f>IF(INDEX(Suivi!$B:$B,1130)="","",INDEX(Suivi!$B:$B,1130))</f>
        <v/>
      </c>
      <c r="C1109">
        <f>IF($B1109="","",IF(INDEX(Suivi!$D:$D,1130)="",INDEX(Suivi!$C:$C,1130),INDEX(Suivi!$D:$D,1130)))</f>
        <v/>
      </c>
      <c r="D1109" s="29">
        <f>IF($B1109="","",INDEX(Suivi!$E:$E,1130))</f>
        <v/>
      </c>
      <c r="E1109" s="29">
        <f>IF($B1109="","",INDEX(Suivi!$F:$F,1130))</f>
        <v/>
      </c>
      <c r="F1109">
        <f>IF($B1109="","",INDEX(Suivi!$G:$G,1130))</f>
        <v/>
      </c>
      <c r="H1109">
        <f>IF(OR($B1109="",NOT(ISNUMBER($D1109))),"",IF($E1109&lt;$D$2,"Passé",IF($D1109&gt;$F$2,"À venir","Dans la période")))</f>
        <v/>
      </c>
      <c r="I1109">
        <f>IF(OR($B1109="",NOT(ISNUMBER($D1109))),"",IF(AND($E1109&lt;$D$2,$G1109&lt;&gt;"X",$F1109&lt;&gt;"Réalisé",$F1109&lt;&gt;"Clôturé"),"RETARD",""))</f>
        <v/>
      </c>
      <c r="J1109" s="29">
        <f>IF($B1109="","",IF(INDEX(Dossiers!$F$4:$F$63,21)="","",INDEX(Dossiers!$F$4:$F$63,21)))</f>
        <v/>
      </c>
      <c r="K1109" s="29">
        <f>IF($B1109="","",IF(INDEX(Dossiers!$G$4:$G$63,21)="","",INDEX(Dossiers!$G$4:$G$63,21)))</f>
        <v/>
      </c>
    </row>
    <row r="1110">
      <c r="A1110">
        <f>IF($B1110="","",INDEX(Dossiers!$E$4:$E$63,21))</f>
        <v/>
      </c>
      <c r="B1110">
        <f>IF(INDEX(Suivi!$B:$B,1131)="","",INDEX(Suivi!$B:$B,1131))</f>
        <v/>
      </c>
      <c r="C1110">
        <f>IF($B1110="","",IF(INDEX(Suivi!$D:$D,1131)="",INDEX(Suivi!$C:$C,1131),INDEX(Suivi!$D:$D,1131)))</f>
        <v/>
      </c>
      <c r="D1110" s="29">
        <f>IF($B1110="","",INDEX(Suivi!$E:$E,1131))</f>
        <v/>
      </c>
      <c r="E1110" s="29">
        <f>IF($B1110="","",INDEX(Suivi!$F:$F,1131))</f>
        <v/>
      </c>
      <c r="F1110">
        <f>IF($B1110="","",INDEX(Suivi!$G:$G,1131))</f>
        <v/>
      </c>
      <c r="H1110">
        <f>IF(OR($B1110="",NOT(ISNUMBER($D1110))),"",IF($E1110&lt;$D$2,"Passé",IF($D1110&gt;$F$2,"À venir","Dans la période")))</f>
        <v/>
      </c>
      <c r="I1110">
        <f>IF(OR($B1110="",NOT(ISNUMBER($D1110))),"",IF(AND($E1110&lt;$D$2,$G1110&lt;&gt;"X",$F1110&lt;&gt;"Réalisé",$F1110&lt;&gt;"Clôturé"),"RETARD",""))</f>
        <v/>
      </c>
      <c r="J1110" s="29">
        <f>IF($B1110="","",IF(INDEX(Dossiers!$F$4:$F$63,21)="","",INDEX(Dossiers!$F$4:$F$63,21)))</f>
        <v/>
      </c>
      <c r="K1110" s="29">
        <f>IF($B1110="","",IF(INDEX(Dossiers!$G$4:$G$63,21)="","",INDEX(Dossiers!$G$4:$G$63,21)))</f>
        <v/>
      </c>
    </row>
    <row r="1111">
      <c r="A1111">
        <f>IF($B1111="","",INDEX(Dossiers!$E$4:$E$63,21))</f>
        <v/>
      </c>
      <c r="B1111">
        <f>IF(INDEX(Suivi!$B:$B,1132)="","",INDEX(Suivi!$B:$B,1132))</f>
        <v/>
      </c>
      <c r="C1111">
        <f>IF($B1111="","",IF(INDEX(Suivi!$D:$D,1132)="",INDEX(Suivi!$C:$C,1132),INDEX(Suivi!$D:$D,1132)))</f>
        <v/>
      </c>
      <c r="D1111" s="29">
        <f>IF($B1111="","",INDEX(Suivi!$E:$E,1132))</f>
        <v/>
      </c>
      <c r="E1111" s="29">
        <f>IF($B1111="","",INDEX(Suivi!$F:$F,1132))</f>
        <v/>
      </c>
      <c r="F1111">
        <f>IF($B1111="","",INDEX(Suivi!$G:$G,1132))</f>
        <v/>
      </c>
      <c r="H1111">
        <f>IF(OR($B1111="",NOT(ISNUMBER($D1111))),"",IF($E1111&lt;$D$2,"Passé",IF($D1111&gt;$F$2,"À venir","Dans la période")))</f>
        <v/>
      </c>
      <c r="I1111">
        <f>IF(OR($B1111="",NOT(ISNUMBER($D1111))),"",IF(AND($E1111&lt;$D$2,$G1111&lt;&gt;"X",$F1111&lt;&gt;"Réalisé",$F1111&lt;&gt;"Clôturé"),"RETARD",""))</f>
        <v/>
      </c>
      <c r="J1111" s="29">
        <f>IF($B1111="","",IF(INDEX(Dossiers!$F$4:$F$63,21)="","",INDEX(Dossiers!$F$4:$F$63,21)))</f>
        <v/>
      </c>
      <c r="K1111" s="29">
        <f>IF($B1111="","",IF(INDEX(Dossiers!$G$4:$G$63,21)="","",INDEX(Dossiers!$G$4:$G$63,21)))</f>
        <v/>
      </c>
    </row>
    <row r="1112">
      <c r="A1112">
        <f>IF($B1112="","",INDEX(Dossiers!$E$4:$E$63,21))</f>
        <v/>
      </c>
      <c r="B1112">
        <f>IF(INDEX(Suivi!$B:$B,1133)="","",INDEX(Suivi!$B:$B,1133))</f>
        <v/>
      </c>
      <c r="C1112">
        <f>IF($B1112="","",IF(INDEX(Suivi!$D:$D,1133)="",INDEX(Suivi!$C:$C,1133),INDEX(Suivi!$D:$D,1133)))</f>
        <v/>
      </c>
      <c r="D1112" s="29">
        <f>IF($B1112="","",INDEX(Suivi!$E:$E,1133))</f>
        <v/>
      </c>
      <c r="E1112" s="29">
        <f>IF($B1112="","",INDEX(Suivi!$F:$F,1133))</f>
        <v/>
      </c>
      <c r="F1112">
        <f>IF($B1112="","",INDEX(Suivi!$G:$G,1133))</f>
        <v/>
      </c>
      <c r="H1112">
        <f>IF(OR($B1112="",NOT(ISNUMBER($D1112))),"",IF($E1112&lt;$D$2,"Passé",IF($D1112&gt;$F$2,"À venir","Dans la période")))</f>
        <v/>
      </c>
      <c r="I1112">
        <f>IF(OR($B1112="",NOT(ISNUMBER($D1112))),"",IF(AND($E1112&lt;$D$2,$G1112&lt;&gt;"X",$F1112&lt;&gt;"Réalisé",$F1112&lt;&gt;"Clôturé"),"RETARD",""))</f>
        <v/>
      </c>
      <c r="J1112" s="29">
        <f>IF($B1112="","",IF(INDEX(Dossiers!$F$4:$F$63,21)="","",INDEX(Dossiers!$F$4:$F$63,21)))</f>
        <v/>
      </c>
      <c r="K1112" s="29">
        <f>IF($B1112="","",IF(INDEX(Dossiers!$G$4:$G$63,21)="","",INDEX(Dossiers!$G$4:$G$63,21)))</f>
        <v/>
      </c>
    </row>
    <row r="1113">
      <c r="A1113">
        <f>IF($B1113="","",INDEX(Dossiers!$E$4:$E$63,21))</f>
        <v/>
      </c>
      <c r="B1113">
        <f>IF(INDEX(Suivi!$B:$B,1134)="","",INDEX(Suivi!$B:$B,1134))</f>
        <v/>
      </c>
      <c r="C1113">
        <f>IF($B1113="","",IF(INDEX(Suivi!$D:$D,1134)="",INDEX(Suivi!$C:$C,1134),INDEX(Suivi!$D:$D,1134)))</f>
        <v/>
      </c>
      <c r="D1113" s="29">
        <f>IF($B1113="","",INDEX(Suivi!$E:$E,1134))</f>
        <v/>
      </c>
      <c r="E1113" s="29">
        <f>IF($B1113="","",INDEX(Suivi!$F:$F,1134))</f>
        <v/>
      </c>
      <c r="F1113">
        <f>IF($B1113="","",INDEX(Suivi!$G:$G,1134))</f>
        <v/>
      </c>
      <c r="H1113">
        <f>IF(OR($B1113="",NOT(ISNUMBER($D1113))),"",IF($E1113&lt;$D$2,"Passé",IF($D1113&gt;$F$2,"À venir","Dans la période")))</f>
        <v/>
      </c>
      <c r="I1113">
        <f>IF(OR($B1113="",NOT(ISNUMBER($D1113))),"",IF(AND($E1113&lt;$D$2,$G1113&lt;&gt;"X",$F1113&lt;&gt;"Réalisé",$F1113&lt;&gt;"Clôturé"),"RETARD",""))</f>
        <v/>
      </c>
      <c r="J1113" s="29">
        <f>IF($B1113="","",IF(INDEX(Dossiers!$F$4:$F$63,21)="","",INDEX(Dossiers!$F$4:$F$63,21)))</f>
        <v/>
      </c>
      <c r="K1113" s="29">
        <f>IF($B1113="","",IF(INDEX(Dossiers!$G$4:$G$63,21)="","",INDEX(Dossiers!$G$4:$G$63,21)))</f>
        <v/>
      </c>
    </row>
    <row r="1114">
      <c r="A1114">
        <f>IF($B1114="","",INDEX(Dossiers!$E$4:$E$63,21))</f>
        <v/>
      </c>
      <c r="B1114">
        <f>IF(INDEX(Suivi!$B:$B,1135)="","",INDEX(Suivi!$B:$B,1135))</f>
        <v/>
      </c>
      <c r="C1114">
        <f>IF($B1114="","",IF(INDEX(Suivi!$D:$D,1135)="",INDEX(Suivi!$C:$C,1135),INDEX(Suivi!$D:$D,1135)))</f>
        <v/>
      </c>
      <c r="D1114" s="29">
        <f>IF($B1114="","",INDEX(Suivi!$E:$E,1135))</f>
        <v/>
      </c>
      <c r="E1114" s="29">
        <f>IF($B1114="","",INDEX(Suivi!$F:$F,1135))</f>
        <v/>
      </c>
      <c r="F1114">
        <f>IF($B1114="","",INDEX(Suivi!$G:$G,1135))</f>
        <v/>
      </c>
      <c r="H1114">
        <f>IF(OR($B1114="",NOT(ISNUMBER($D1114))),"",IF($E1114&lt;$D$2,"Passé",IF($D1114&gt;$F$2,"À venir","Dans la période")))</f>
        <v/>
      </c>
      <c r="I1114">
        <f>IF(OR($B1114="",NOT(ISNUMBER($D1114))),"",IF(AND($E1114&lt;$D$2,$G1114&lt;&gt;"X",$F1114&lt;&gt;"Réalisé",$F1114&lt;&gt;"Clôturé"),"RETARD",""))</f>
        <v/>
      </c>
      <c r="J1114" s="29">
        <f>IF($B1114="","",IF(INDEX(Dossiers!$F$4:$F$63,21)="","",INDEX(Dossiers!$F$4:$F$63,21)))</f>
        <v/>
      </c>
      <c r="K1114" s="29">
        <f>IF($B1114="","",IF(INDEX(Dossiers!$G$4:$G$63,21)="","",INDEX(Dossiers!$G$4:$G$63,21)))</f>
        <v/>
      </c>
    </row>
    <row r="1115">
      <c r="A1115">
        <f>IF($B1115="","",INDEX(Dossiers!$E$4:$E$63,21))</f>
        <v/>
      </c>
      <c r="B1115">
        <f>IF(INDEX(Suivi!$B:$B,1136)="","",INDEX(Suivi!$B:$B,1136))</f>
        <v/>
      </c>
      <c r="C1115">
        <f>IF($B1115="","",IF(INDEX(Suivi!$D:$D,1136)="",INDEX(Suivi!$C:$C,1136),INDEX(Suivi!$D:$D,1136)))</f>
        <v/>
      </c>
      <c r="D1115" s="29">
        <f>IF($B1115="","",INDEX(Suivi!$E:$E,1136))</f>
        <v/>
      </c>
      <c r="E1115" s="29">
        <f>IF($B1115="","",INDEX(Suivi!$F:$F,1136))</f>
        <v/>
      </c>
      <c r="F1115">
        <f>IF($B1115="","",INDEX(Suivi!$G:$G,1136))</f>
        <v/>
      </c>
      <c r="H1115">
        <f>IF(OR($B1115="",NOT(ISNUMBER($D1115))),"",IF($E1115&lt;$D$2,"Passé",IF($D1115&gt;$F$2,"À venir","Dans la période")))</f>
        <v/>
      </c>
      <c r="I1115">
        <f>IF(OR($B1115="",NOT(ISNUMBER($D1115))),"",IF(AND($E1115&lt;$D$2,$G1115&lt;&gt;"X",$F1115&lt;&gt;"Réalisé",$F1115&lt;&gt;"Clôturé"),"RETARD",""))</f>
        <v/>
      </c>
      <c r="J1115" s="29">
        <f>IF($B1115="","",IF(INDEX(Dossiers!$F$4:$F$63,21)="","",INDEX(Dossiers!$F$4:$F$63,21)))</f>
        <v/>
      </c>
      <c r="K1115" s="29">
        <f>IF($B1115="","",IF(INDEX(Dossiers!$G$4:$G$63,21)="","",INDEX(Dossiers!$G$4:$G$63,21)))</f>
        <v/>
      </c>
    </row>
    <row r="1116">
      <c r="A1116">
        <f>IF($B1116="","",INDEX(Dossiers!$E$4:$E$63,21))</f>
        <v/>
      </c>
      <c r="B1116">
        <f>IF(INDEX(Suivi!$B:$B,1137)="","",INDEX(Suivi!$B:$B,1137))</f>
        <v/>
      </c>
      <c r="C1116">
        <f>IF($B1116="","",IF(INDEX(Suivi!$D:$D,1137)="",INDEX(Suivi!$C:$C,1137),INDEX(Suivi!$D:$D,1137)))</f>
        <v/>
      </c>
      <c r="D1116" s="29">
        <f>IF($B1116="","",INDEX(Suivi!$E:$E,1137))</f>
        <v/>
      </c>
      <c r="E1116" s="29">
        <f>IF($B1116="","",INDEX(Suivi!$F:$F,1137))</f>
        <v/>
      </c>
      <c r="F1116">
        <f>IF($B1116="","",INDEX(Suivi!$G:$G,1137))</f>
        <v/>
      </c>
      <c r="H1116">
        <f>IF(OR($B1116="",NOT(ISNUMBER($D1116))),"",IF($E1116&lt;$D$2,"Passé",IF($D1116&gt;$F$2,"À venir","Dans la période")))</f>
        <v/>
      </c>
      <c r="I1116">
        <f>IF(OR($B1116="",NOT(ISNUMBER($D1116))),"",IF(AND($E1116&lt;$D$2,$G1116&lt;&gt;"X",$F1116&lt;&gt;"Réalisé",$F1116&lt;&gt;"Clôturé"),"RETARD",""))</f>
        <v/>
      </c>
      <c r="J1116" s="29">
        <f>IF($B1116="","",IF(INDEX(Dossiers!$F$4:$F$63,21)="","",INDEX(Dossiers!$F$4:$F$63,21)))</f>
        <v/>
      </c>
      <c r="K1116" s="29">
        <f>IF($B1116="","",IF(INDEX(Dossiers!$G$4:$G$63,21)="","",INDEX(Dossiers!$G$4:$G$63,21)))</f>
        <v/>
      </c>
    </row>
    <row r="1117">
      <c r="A1117">
        <f>IF($B1117="","",INDEX(Dossiers!$E$4:$E$63,22))</f>
        <v/>
      </c>
      <c r="B1117">
        <f>IF(INDEX(Suivi!$B:$B,1139)="","",INDEX(Suivi!$B:$B,1139))</f>
        <v/>
      </c>
      <c r="C1117">
        <f>IF($B1117="","",IF(INDEX(Suivi!$D:$D,1139)="",INDEX(Suivi!$C:$C,1139),INDEX(Suivi!$D:$D,1139)))</f>
        <v/>
      </c>
      <c r="D1117" s="29">
        <f>IF($B1117="","",INDEX(Suivi!$E:$E,1139))</f>
        <v/>
      </c>
      <c r="E1117" s="29">
        <f>IF($B1117="","",INDEX(Suivi!$F:$F,1139))</f>
        <v/>
      </c>
      <c r="F1117">
        <f>IF($B1117="","",INDEX(Suivi!$G:$G,1139))</f>
        <v/>
      </c>
      <c r="H1117">
        <f>IF(OR($B1117="",NOT(ISNUMBER($D1117))),"",IF($E1117&lt;$D$2,"Passé",IF($D1117&gt;$F$2,"À venir","Dans la période")))</f>
        <v/>
      </c>
      <c r="I1117">
        <f>IF(OR($B1117="",NOT(ISNUMBER($D1117))),"",IF(AND($E1117&lt;$D$2,$G1117&lt;&gt;"X",$F1117&lt;&gt;"Réalisé",$F1117&lt;&gt;"Clôturé"),"RETARD",""))</f>
        <v/>
      </c>
      <c r="J1117" s="29">
        <f>IF($B1117="","",IF(INDEX(Dossiers!$F$4:$F$63,22)="","",INDEX(Dossiers!$F$4:$F$63,22)))</f>
        <v/>
      </c>
      <c r="K1117" s="29">
        <f>IF($B1117="","",IF(INDEX(Dossiers!$G$4:$G$63,22)="","",INDEX(Dossiers!$G$4:$G$63,22)))</f>
        <v/>
      </c>
    </row>
    <row r="1118">
      <c r="A1118">
        <f>IF($B1118="","",INDEX(Dossiers!$E$4:$E$63,22))</f>
        <v/>
      </c>
      <c r="B1118">
        <f>IF(INDEX(Suivi!$B:$B,1140)="","",INDEX(Suivi!$B:$B,1140))</f>
        <v/>
      </c>
      <c r="C1118">
        <f>IF($B1118="","",IF(INDEX(Suivi!$D:$D,1140)="",INDEX(Suivi!$C:$C,1140),INDEX(Suivi!$D:$D,1140)))</f>
        <v/>
      </c>
      <c r="D1118" s="29">
        <f>IF($B1118="","",INDEX(Suivi!$E:$E,1140))</f>
        <v/>
      </c>
      <c r="E1118" s="29">
        <f>IF($B1118="","",INDEX(Suivi!$F:$F,1140))</f>
        <v/>
      </c>
      <c r="F1118">
        <f>IF($B1118="","",INDEX(Suivi!$G:$G,1140))</f>
        <v/>
      </c>
      <c r="H1118">
        <f>IF(OR($B1118="",NOT(ISNUMBER($D1118))),"",IF($E1118&lt;$D$2,"Passé",IF($D1118&gt;$F$2,"À venir","Dans la période")))</f>
        <v/>
      </c>
      <c r="I1118">
        <f>IF(OR($B1118="",NOT(ISNUMBER($D1118))),"",IF(AND($E1118&lt;$D$2,$G1118&lt;&gt;"X",$F1118&lt;&gt;"Réalisé",$F1118&lt;&gt;"Clôturé"),"RETARD",""))</f>
        <v/>
      </c>
      <c r="J1118" s="29">
        <f>IF($B1118="","",IF(INDEX(Dossiers!$F$4:$F$63,22)="","",INDEX(Dossiers!$F$4:$F$63,22)))</f>
        <v/>
      </c>
      <c r="K1118" s="29">
        <f>IF($B1118="","",IF(INDEX(Dossiers!$G$4:$G$63,22)="","",INDEX(Dossiers!$G$4:$G$63,22)))</f>
        <v/>
      </c>
    </row>
    <row r="1119">
      <c r="A1119">
        <f>IF($B1119="","",INDEX(Dossiers!$E$4:$E$63,22))</f>
        <v/>
      </c>
      <c r="B1119">
        <f>IF(INDEX(Suivi!$B:$B,1141)="","",INDEX(Suivi!$B:$B,1141))</f>
        <v/>
      </c>
      <c r="C1119">
        <f>IF($B1119="","",IF(INDEX(Suivi!$D:$D,1141)="",INDEX(Suivi!$C:$C,1141),INDEX(Suivi!$D:$D,1141)))</f>
        <v/>
      </c>
      <c r="D1119" s="29">
        <f>IF($B1119="","",INDEX(Suivi!$E:$E,1141))</f>
        <v/>
      </c>
      <c r="E1119" s="29">
        <f>IF($B1119="","",INDEX(Suivi!$F:$F,1141))</f>
        <v/>
      </c>
      <c r="F1119">
        <f>IF($B1119="","",INDEX(Suivi!$G:$G,1141))</f>
        <v/>
      </c>
      <c r="H1119">
        <f>IF(OR($B1119="",NOT(ISNUMBER($D1119))),"",IF($E1119&lt;$D$2,"Passé",IF($D1119&gt;$F$2,"À venir","Dans la période")))</f>
        <v/>
      </c>
      <c r="I1119">
        <f>IF(OR($B1119="",NOT(ISNUMBER($D1119))),"",IF(AND($E1119&lt;$D$2,$G1119&lt;&gt;"X",$F1119&lt;&gt;"Réalisé",$F1119&lt;&gt;"Clôturé"),"RETARD",""))</f>
        <v/>
      </c>
      <c r="J1119" s="29">
        <f>IF($B1119="","",IF(INDEX(Dossiers!$F$4:$F$63,22)="","",INDEX(Dossiers!$F$4:$F$63,22)))</f>
        <v/>
      </c>
      <c r="K1119" s="29">
        <f>IF($B1119="","",IF(INDEX(Dossiers!$G$4:$G$63,22)="","",INDEX(Dossiers!$G$4:$G$63,22)))</f>
        <v/>
      </c>
    </row>
    <row r="1120">
      <c r="A1120">
        <f>IF($B1120="","",INDEX(Dossiers!$E$4:$E$63,22))</f>
        <v/>
      </c>
      <c r="B1120">
        <f>IF(INDEX(Suivi!$B:$B,1142)="","",INDEX(Suivi!$B:$B,1142))</f>
        <v/>
      </c>
      <c r="C1120">
        <f>IF($B1120="","",IF(INDEX(Suivi!$D:$D,1142)="",INDEX(Suivi!$C:$C,1142),INDEX(Suivi!$D:$D,1142)))</f>
        <v/>
      </c>
      <c r="D1120" s="29">
        <f>IF($B1120="","",INDEX(Suivi!$E:$E,1142))</f>
        <v/>
      </c>
      <c r="E1120" s="29">
        <f>IF($B1120="","",INDEX(Suivi!$F:$F,1142))</f>
        <v/>
      </c>
      <c r="F1120">
        <f>IF($B1120="","",INDEX(Suivi!$G:$G,1142))</f>
        <v/>
      </c>
      <c r="H1120">
        <f>IF(OR($B1120="",NOT(ISNUMBER($D1120))),"",IF($E1120&lt;$D$2,"Passé",IF($D1120&gt;$F$2,"À venir","Dans la période")))</f>
        <v/>
      </c>
      <c r="I1120">
        <f>IF(OR($B1120="",NOT(ISNUMBER($D1120))),"",IF(AND($E1120&lt;$D$2,$G1120&lt;&gt;"X",$F1120&lt;&gt;"Réalisé",$F1120&lt;&gt;"Clôturé"),"RETARD",""))</f>
        <v/>
      </c>
      <c r="J1120" s="29">
        <f>IF($B1120="","",IF(INDEX(Dossiers!$F$4:$F$63,22)="","",INDEX(Dossiers!$F$4:$F$63,22)))</f>
        <v/>
      </c>
      <c r="K1120" s="29">
        <f>IF($B1120="","",IF(INDEX(Dossiers!$G$4:$G$63,22)="","",INDEX(Dossiers!$G$4:$G$63,22)))</f>
        <v/>
      </c>
    </row>
    <row r="1121">
      <c r="A1121">
        <f>IF($B1121="","",INDEX(Dossiers!$E$4:$E$63,22))</f>
        <v/>
      </c>
      <c r="B1121">
        <f>IF(INDEX(Suivi!$B:$B,1143)="","",INDEX(Suivi!$B:$B,1143))</f>
        <v/>
      </c>
      <c r="C1121">
        <f>IF($B1121="","",IF(INDEX(Suivi!$D:$D,1143)="",INDEX(Suivi!$C:$C,1143),INDEX(Suivi!$D:$D,1143)))</f>
        <v/>
      </c>
      <c r="D1121" s="29">
        <f>IF($B1121="","",INDEX(Suivi!$E:$E,1143))</f>
        <v/>
      </c>
      <c r="E1121" s="29">
        <f>IF($B1121="","",INDEX(Suivi!$F:$F,1143))</f>
        <v/>
      </c>
      <c r="F1121">
        <f>IF($B1121="","",INDEX(Suivi!$G:$G,1143))</f>
        <v/>
      </c>
      <c r="H1121">
        <f>IF(OR($B1121="",NOT(ISNUMBER($D1121))),"",IF($E1121&lt;$D$2,"Passé",IF($D1121&gt;$F$2,"À venir","Dans la période")))</f>
        <v/>
      </c>
      <c r="I1121">
        <f>IF(OR($B1121="",NOT(ISNUMBER($D1121))),"",IF(AND($E1121&lt;$D$2,$G1121&lt;&gt;"X",$F1121&lt;&gt;"Réalisé",$F1121&lt;&gt;"Clôturé"),"RETARD",""))</f>
        <v/>
      </c>
      <c r="J1121" s="29">
        <f>IF($B1121="","",IF(INDEX(Dossiers!$F$4:$F$63,22)="","",INDEX(Dossiers!$F$4:$F$63,22)))</f>
        <v/>
      </c>
      <c r="K1121" s="29">
        <f>IF($B1121="","",IF(INDEX(Dossiers!$G$4:$G$63,22)="","",INDEX(Dossiers!$G$4:$G$63,22)))</f>
        <v/>
      </c>
    </row>
    <row r="1122">
      <c r="A1122">
        <f>IF($B1122="","",INDEX(Dossiers!$E$4:$E$63,22))</f>
        <v/>
      </c>
      <c r="B1122">
        <f>IF(INDEX(Suivi!$B:$B,1144)="","",INDEX(Suivi!$B:$B,1144))</f>
        <v/>
      </c>
      <c r="C1122">
        <f>IF($B1122="","",IF(INDEX(Suivi!$D:$D,1144)="",INDEX(Suivi!$C:$C,1144),INDEX(Suivi!$D:$D,1144)))</f>
        <v/>
      </c>
      <c r="D1122" s="29">
        <f>IF($B1122="","",INDEX(Suivi!$E:$E,1144))</f>
        <v/>
      </c>
      <c r="E1122" s="29">
        <f>IF($B1122="","",INDEX(Suivi!$F:$F,1144))</f>
        <v/>
      </c>
      <c r="F1122">
        <f>IF($B1122="","",INDEX(Suivi!$G:$G,1144))</f>
        <v/>
      </c>
      <c r="H1122">
        <f>IF(OR($B1122="",NOT(ISNUMBER($D1122))),"",IF($E1122&lt;$D$2,"Passé",IF($D1122&gt;$F$2,"À venir","Dans la période")))</f>
        <v/>
      </c>
      <c r="I1122">
        <f>IF(OR($B1122="",NOT(ISNUMBER($D1122))),"",IF(AND($E1122&lt;$D$2,$G1122&lt;&gt;"X",$F1122&lt;&gt;"Réalisé",$F1122&lt;&gt;"Clôturé"),"RETARD",""))</f>
        <v/>
      </c>
      <c r="J1122" s="29">
        <f>IF($B1122="","",IF(INDEX(Dossiers!$F$4:$F$63,22)="","",INDEX(Dossiers!$F$4:$F$63,22)))</f>
        <v/>
      </c>
      <c r="K1122" s="29">
        <f>IF($B1122="","",IF(INDEX(Dossiers!$G$4:$G$63,22)="","",INDEX(Dossiers!$G$4:$G$63,22)))</f>
        <v/>
      </c>
    </row>
    <row r="1123">
      <c r="A1123">
        <f>IF($B1123="","",INDEX(Dossiers!$E$4:$E$63,22))</f>
        <v/>
      </c>
      <c r="B1123">
        <f>IF(INDEX(Suivi!$B:$B,1145)="","",INDEX(Suivi!$B:$B,1145))</f>
        <v/>
      </c>
      <c r="C1123">
        <f>IF($B1123="","",IF(INDEX(Suivi!$D:$D,1145)="",INDEX(Suivi!$C:$C,1145),INDEX(Suivi!$D:$D,1145)))</f>
        <v/>
      </c>
      <c r="D1123" s="29">
        <f>IF($B1123="","",INDEX(Suivi!$E:$E,1145))</f>
        <v/>
      </c>
      <c r="E1123" s="29">
        <f>IF($B1123="","",INDEX(Suivi!$F:$F,1145))</f>
        <v/>
      </c>
      <c r="F1123">
        <f>IF($B1123="","",INDEX(Suivi!$G:$G,1145))</f>
        <v/>
      </c>
      <c r="H1123">
        <f>IF(OR($B1123="",NOT(ISNUMBER($D1123))),"",IF($E1123&lt;$D$2,"Passé",IF($D1123&gt;$F$2,"À venir","Dans la période")))</f>
        <v/>
      </c>
      <c r="I1123">
        <f>IF(OR($B1123="",NOT(ISNUMBER($D1123))),"",IF(AND($E1123&lt;$D$2,$G1123&lt;&gt;"X",$F1123&lt;&gt;"Réalisé",$F1123&lt;&gt;"Clôturé"),"RETARD",""))</f>
        <v/>
      </c>
      <c r="J1123" s="29">
        <f>IF($B1123="","",IF(INDEX(Dossiers!$F$4:$F$63,22)="","",INDEX(Dossiers!$F$4:$F$63,22)))</f>
        <v/>
      </c>
      <c r="K1123" s="29">
        <f>IF($B1123="","",IF(INDEX(Dossiers!$G$4:$G$63,22)="","",INDEX(Dossiers!$G$4:$G$63,22)))</f>
        <v/>
      </c>
    </row>
    <row r="1124">
      <c r="A1124">
        <f>IF($B1124="","",INDEX(Dossiers!$E$4:$E$63,22))</f>
        <v/>
      </c>
      <c r="B1124">
        <f>IF(INDEX(Suivi!$B:$B,1146)="","",INDEX(Suivi!$B:$B,1146))</f>
        <v/>
      </c>
      <c r="C1124">
        <f>IF($B1124="","",IF(INDEX(Suivi!$D:$D,1146)="",INDEX(Suivi!$C:$C,1146),INDEX(Suivi!$D:$D,1146)))</f>
        <v/>
      </c>
      <c r="D1124" s="29">
        <f>IF($B1124="","",INDEX(Suivi!$E:$E,1146))</f>
        <v/>
      </c>
      <c r="E1124" s="29">
        <f>IF($B1124="","",INDEX(Suivi!$F:$F,1146))</f>
        <v/>
      </c>
      <c r="F1124">
        <f>IF($B1124="","",INDEX(Suivi!$G:$G,1146))</f>
        <v/>
      </c>
      <c r="H1124">
        <f>IF(OR($B1124="",NOT(ISNUMBER($D1124))),"",IF($E1124&lt;$D$2,"Passé",IF($D1124&gt;$F$2,"À venir","Dans la période")))</f>
        <v/>
      </c>
      <c r="I1124">
        <f>IF(OR($B1124="",NOT(ISNUMBER($D1124))),"",IF(AND($E1124&lt;$D$2,$G1124&lt;&gt;"X",$F1124&lt;&gt;"Réalisé",$F1124&lt;&gt;"Clôturé"),"RETARD",""))</f>
        <v/>
      </c>
      <c r="J1124" s="29">
        <f>IF($B1124="","",IF(INDEX(Dossiers!$F$4:$F$63,22)="","",INDEX(Dossiers!$F$4:$F$63,22)))</f>
        <v/>
      </c>
      <c r="K1124" s="29">
        <f>IF($B1124="","",IF(INDEX(Dossiers!$G$4:$G$63,22)="","",INDEX(Dossiers!$G$4:$G$63,22)))</f>
        <v/>
      </c>
    </row>
    <row r="1125">
      <c r="A1125">
        <f>IF($B1125="","",INDEX(Dossiers!$E$4:$E$63,22))</f>
        <v/>
      </c>
      <c r="B1125">
        <f>IF(INDEX(Suivi!$B:$B,1147)="","",INDEX(Suivi!$B:$B,1147))</f>
        <v/>
      </c>
      <c r="C1125">
        <f>IF($B1125="","",IF(INDEX(Suivi!$D:$D,1147)="",INDEX(Suivi!$C:$C,1147),INDEX(Suivi!$D:$D,1147)))</f>
        <v/>
      </c>
      <c r="D1125" s="29">
        <f>IF($B1125="","",INDEX(Suivi!$E:$E,1147))</f>
        <v/>
      </c>
      <c r="E1125" s="29">
        <f>IF($B1125="","",INDEX(Suivi!$F:$F,1147))</f>
        <v/>
      </c>
      <c r="F1125">
        <f>IF($B1125="","",INDEX(Suivi!$G:$G,1147))</f>
        <v/>
      </c>
      <c r="H1125">
        <f>IF(OR($B1125="",NOT(ISNUMBER($D1125))),"",IF($E1125&lt;$D$2,"Passé",IF($D1125&gt;$F$2,"À venir","Dans la période")))</f>
        <v/>
      </c>
      <c r="I1125">
        <f>IF(OR($B1125="",NOT(ISNUMBER($D1125))),"",IF(AND($E1125&lt;$D$2,$G1125&lt;&gt;"X",$F1125&lt;&gt;"Réalisé",$F1125&lt;&gt;"Clôturé"),"RETARD",""))</f>
        <v/>
      </c>
      <c r="J1125" s="29">
        <f>IF($B1125="","",IF(INDEX(Dossiers!$F$4:$F$63,22)="","",INDEX(Dossiers!$F$4:$F$63,22)))</f>
        <v/>
      </c>
      <c r="K1125" s="29">
        <f>IF($B1125="","",IF(INDEX(Dossiers!$G$4:$G$63,22)="","",INDEX(Dossiers!$G$4:$G$63,22)))</f>
        <v/>
      </c>
    </row>
    <row r="1126">
      <c r="A1126">
        <f>IF($B1126="","",INDEX(Dossiers!$E$4:$E$63,22))</f>
        <v/>
      </c>
      <c r="B1126">
        <f>IF(INDEX(Suivi!$B:$B,1148)="","",INDEX(Suivi!$B:$B,1148))</f>
        <v/>
      </c>
      <c r="C1126">
        <f>IF($B1126="","",IF(INDEX(Suivi!$D:$D,1148)="",INDEX(Suivi!$C:$C,1148),INDEX(Suivi!$D:$D,1148)))</f>
        <v/>
      </c>
      <c r="D1126" s="29">
        <f>IF($B1126="","",INDEX(Suivi!$E:$E,1148))</f>
        <v/>
      </c>
      <c r="E1126" s="29">
        <f>IF($B1126="","",INDEX(Suivi!$F:$F,1148))</f>
        <v/>
      </c>
      <c r="F1126">
        <f>IF($B1126="","",INDEX(Suivi!$G:$G,1148))</f>
        <v/>
      </c>
      <c r="H1126">
        <f>IF(OR($B1126="",NOT(ISNUMBER($D1126))),"",IF($E1126&lt;$D$2,"Passé",IF($D1126&gt;$F$2,"À venir","Dans la période")))</f>
        <v/>
      </c>
      <c r="I1126">
        <f>IF(OR($B1126="",NOT(ISNUMBER($D1126))),"",IF(AND($E1126&lt;$D$2,$G1126&lt;&gt;"X",$F1126&lt;&gt;"Réalisé",$F1126&lt;&gt;"Clôturé"),"RETARD",""))</f>
        <v/>
      </c>
      <c r="J1126" s="29">
        <f>IF($B1126="","",IF(INDEX(Dossiers!$F$4:$F$63,22)="","",INDEX(Dossiers!$F$4:$F$63,22)))</f>
        <v/>
      </c>
      <c r="K1126" s="29">
        <f>IF($B1126="","",IF(INDEX(Dossiers!$G$4:$G$63,22)="","",INDEX(Dossiers!$G$4:$G$63,22)))</f>
        <v/>
      </c>
    </row>
    <row r="1127">
      <c r="A1127">
        <f>IF($B1127="","",INDEX(Dossiers!$E$4:$E$63,22))</f>
        <v/>
      </c>
      <c r="B1127">
        <f>IF(INDEX(Suivi!$B:$B,1149)="","",INDEX(Suivi!$B:$B,1149))</f>
        <v/>
      </c>
      <c r="C1127">
        <f>IF($B1127="","",IF(INDEX(Suivi!$D:$D,1149)="",INDEX(Suivi!$C:$C,1149),INDEX(Suivi!$D:$D,1149)))</f>
        <v/>
      </c>
      <c r="D1127" s="29">
        <f>IF($B1127="","",INDEX(Suivi!$E:$E,1149))</f>
        <v/>
      </c>
      <c r="E1127" s="29">
        <f>IF($B1127="","",INDEX(Suivi!$F:$F,1149))</f>
        <v/>
      </c>
      <c r="F1127">
        <f>IF($B1127="","",INDEX(Suivi!$G:$G,1149))</f>
        <v/>
      </c>
      <c r="H1127">
        <f>IF(OR($B1127="",NOT(ISNUMBER($D1127))),"",IF($E1127&lt;$D$2,"Passé",IF($D1127&gt;$F$2,"À venir","Dans la période")))</f>
        <v/>
      </c>
      <c r="I1127">
        <f>IF(OR($B1127="",NOT(ISNUMBER($D1127))),"",IF(AND($E1127&lt;$D$2,$G1127&lt;&gt;"X",$F1127&lt;&gt;"Réalisé",$F1127&lt;&gt;"Clôturé"),"RETARD",""))</f>
        <v/>
      </c>
      <c r="J1127" s="29">
        <f>IF($B1127="","",IF(INDEX(Dossiers!$F$4:$F$63,22)="","",INDEX(Dossiers!$F$4:$F$63,22)))</f>
        <v/>
      </c>
      <c r="K1127" s="29">
        <f>IF($B1127="","",IF(INDEX(Dossiers!$G$4:$G$63,22)="","",INDEX(Dossiers!$G$4:$G$63,22)))</f>
        <v/>
      </c>
    </row>
    <row r="1128">
      <c r="A1128">
        <f>IF($B1128="","",INDEX(Dossiers!$E$4:$E$63,22))</f>
        <v/>
      </c>
      <c r="B1128">
        <f>IF(INDEX(Suivi!$B:$B,1150)="","",INDEX(Suivi!$B:$B,1150))</f>
        <v/>
      </c>
      <c r="C1128">
        <f>IF($B1128="","",IF(INDEX(Suivi!$D:$D,1150)="",INDEX(Suivi!$C:$C,1150),INDEX(Suivi!$D:$D,1150)))</f>
        <v/>
      </c>
      <c r="D1128" s="29">
        <f>IF($B1128="","",INDEX(Suivi!$E:$E,1150))</f>
        <v/>
      </c>
      <c r="E1128" s="29">
        <f>IF($B1128="","",INDEX(Suivi!$F:$F,1150))</f>
        <v/>
      </c>
      <c r="F1128">
        <f>IF($B1128="","",INDEX(Suivi!$G:$G,1150))</f>
        <v/>
      </c>
      <c r="H1128">
        <f>IF(OR($B1128="",NOT(ISNUMBER($D1128))),"",IF($E1128&lt;$D$2,"Passé",IF($D1128&gt;$F$2,"À venir","Dans la période")))</f>
        <v/>
      </c>
      <c r="I1128">
        <f>IF(OR($B1128="",NOT(ISNUMBER($D1128))),"",IF(AND($E1128&lt;$D$2,$G1128&lt;&gt;"X",$F1128&lt;&gt;"Réalisé",$F1128&lt;&gt;"Clôturé"),"RETARD",""))</f>
        <v/>
      </c>
      <c r="J1128" s="29">
        <f>IF($B1128="","",IF(INDEX(Dossiers!$F$4:$F$63,22)="","",INDEX(Dossiers!$F$4:$F$63,22)))</f>
        <v/>
      </c>
      <c r="K1128" s="29">
        <f>IF($B1128="","",IF(INDEX(Dossiers!$G$4:$G$63,22)="","",INDEX(Dossiers!$G$4:$G$63,22)))</f>
        <v/>
      </c>
    </row>
    <row r="1129">
      <c r="A1129">
        <f>IF($B1129="","",INDEX(Dossiers!$E$4:$E$63,22))</f>
        <v/>
      </c>
      <c r="B1129">
        <f>IF(INDEX(Suivi!$B:$B,1151)="","",INDEX(Suivi!$B:$B,1151))</f>
        <v/>
      </c>
      <c r="C1129">
        <f>IF($B1129="","",IF(INDEX(Suivi!$D:$D,1151)="",INDEX(Suivi!$C:$C,1151),INDEX(Suivi!$D:$D,1151)))</f>
        <v/>
      </c>
      <c r="D1129" s="29">
        <f>IF($B1129="","",INDEX(Suivi!$E:$E,1151))</f>
        <v/>
      </c>
      <c r="E1129" s="29">
        <f>IF($B1129="","",INDEX(Suivi!$F:$F,1151))</f>
        <v/>
      </c>
      <c r="F1129">
        <f>IF($B1129="","",INDEX(Suivi!$G:$G,1151))</f>
        <v/>
      </c>
      <c r="H1129">
        <f>IF(OR($B1129="",NOT(ISNUMBER($D1129))),"",IF($E1129&lt;$D$2,"Passé",IF($D1129&gt;$F$2,"À venir","Dans la période")))</f>
        <v/>
      </c>
      <c r="I1129">
        <f>IF(OR($B1129="",NOT(ISNUMBER($D1129))),"",IF(AND($E1129&lt;$D$2,$G1129&lt;&gt;"X",$F1129&lt;&gt;"Réalisé",$F1129&lt;&gt;"Clôturé"),"RETARD",""))</f>
        <v/>
      </c>
      <c r="J1129" s="29">
        <f>IF($B1129="","",IF(INDEX(Dossiers!$F$4:$F$63,22)="","",INDEX(Dossiers!$F$4:$F$63,22)))</f>
        <v/>
      </c>
      <c r="K1129" s="29">
        <f>IF($B1129="","",IF(INDEX(Dossiers!$G$4:$G$63,22)="","",INDEX(Dossiers!$G$4:$G$63,22)))</f>
        <v/>
      </c>
    </row>
    <row r="1130">
      <c r="A1130">
        <f>IF($B1130="","",INDEX(Dossiers!$E$4:$E$63,22))</f>
        <v/>
      </c>
      <c r="B1130">
        <f>IF(INDEX(Suivi!$B:$B,1152)="","",INDEX(Suivi!$B:$B,1152))</f>
        <v/>
      </c>
      <c r="C1130">
        <f>IF($B1130="","",IF(INDEX(Suivi!$D:$D,1152)="",INDEX(Suivi!$C:$C,1152),INDEX(Suivi!$D:$D,1152)))</f>
        <v/>
      </c>
      <c r="D1130" s="29">
        <f>IF($B1130="","",INDEX(Suivi!$E:$E,1152))</f>
        <v/>
      </c>
      <c r="E1130" s="29">
        <f>IF($B1130="","",INDEX(Suivi!$F:$F,1152))</f>
        <v/>
      </c>
      <c r="F1130">
        <f>IF($B1130="","",INDEX(Suivi!$G:$G,1152))</f>
        <v/>
      </c>
      <c r="H1130">
        <f>IF(OR($B1130="",NOT(ISNUMBER($D1130))),"",IF($E1130&lt;$D$2,"Passé",IF($D1130&gt;$F$2,"À venir","Dans la période")))</f>
        <v/>
      </c>
      <c r="I1130">
        <f>IF(OR($B1130="",NOT(ISNUMBER($D1130))),"",IF(AND($E1130&lt;$D$2,$G1130&lt;&gt;"X",$F1130&lt;&gt;"Réalisé",$F1130&lt;&gt;"Clôturé"),"RETARD",""))</f>
        <v/>
      </c>
      <c r="J1130" s="29">
        <f>IF($B1130="","",IF(INDEX(Dossiers!$F$4:$F$63,22)="","",INDEX(Dossiers!$F$4:$F$63,22)))</f>
        <v/>
      </c>
      <c r="K1130" s="29">
        <f>IF($B1130="","",IF(INDEX(Dossiers!$G$4:$G$63,22)="","",INDEX(Dossiers!$G$4:$G$63,22)))</f>
        <v/>
      </c>
    </row>
    <row r="1131">
      <c r="A1131">
        <f>IF($B1131="","",INDEX(Dossiers!$E$4:$E$63,22))</f>
        <v/>
      </c>
      <c r="B1131">
        <f>IF(INDEX(Suivi!$B:$B,1153)="","",INDEX(Suivi!$B:$B,1153))</f>
        <v/>
      </c>
      <c r="C1131">
        <f>IF($B1131="","",IF(INDEX(Suivi!$D:$D,1153)="",INDEX(Suivi!$C:$C,1153),INDEX(Suivi!$D:$D,1153)))</f>
        <v/>
      </c>
      <c r="D1131" s="29">
        <f>IF($B1131="","",INDEX(Suivi!$E:$E,1153))</f>
        <v/>
      </c>
      <c r="E1131" s="29">
        <f>IF($B1131="","",INDEX(Suivi!$F:$F,1153))</f>
        <v/>
      </c>
      <c r="F1131">
        <f>IF($B1131="","",INDEX(Suivi!$G:$G,1153))</f>
        <v/>
      </c>
      <c r="H1131">
        <f>IF(OR($B1131="",NOT(ISNUMBER($D1131))),"",IF($E1131&lt;$D$2,"Passé",IF($D1131&gt;$F$2,"À venir","Dans la période")))</f>
        <v/>
      </c>
      <c r="I1131">
        <f>IF(OR($B1131="",NOT(ISNUMBER($D1131))),"",IF(AND($E1131&lt;$D$2,$G1131&lt;&gt;"X",$F1131&lt;&gt;"Réalisé",$F1131&lt;&gt;"Clôturé"),"RETARD",""))</f>
        <v/>
      </c>
      <c r="J1131" s="29">
        <f>IF($B1131="","",IF(INDEX(Dossiers!$F$4:$F$63,22)="","",INDEX(Dossiers!$F$4:$F$63,22)))</f>
        <v/>
      </c>
      <c r="K1131" s="29">
        <f>IF($B1131="","",IF(INDEX(Dossiers!$G$4:$G$63,22)="","",INDEX(Dossiers!$G$4:$G$63,22)))</f>
        <v/>
      </c>
    </row>
    <row r="1132">
      <c r="A1132">
        <f>IF($B1132="","",INDEX(Dossiers!$E$4:$E$63,22))</f>
        <v/>
      </c>
      <c r="B1132">
        <f>IF(INDEX(Suivi!$B:$B,1154)="","",INDEX(Suivi!$B:$B,1154))</f>
        <v/>
      </c>
      <c r="C1132">
        <f>IF($B1132="","",IF(INDEX(Suivi!$D:$D,1154)="",INDEX(Suivi!$C:$C,1154),INDEX(Suivi!$D:$D,1154)))</f>
        <v/>
      </c>
      <c r="D1132" s="29">
        <f>IF($B1132="","",INDEX(Suivi!$E:$E,1154))</f>
        <v/>
      </c>
      <c r="E1132" s="29">
        <f>IF($B1132="","",INDEX(Suivi!$F:$F,1154))</f>
        <v/>
      </c>
      <c r="F1132">
        <f>IF($B1132="","",INDEX(Suivi!$G:$G,1154))</f>
        <v/>
      </c>
      <c r="H1132">
        <f>IF(OR($B1132="",NOT(ISNUMBER($D1132))),"",IF($E1132&lt;$D$2,"Passé",IF($D1132&gt;$F$2,"À venir","Dans la période")))</f>
        <v/>
      </c>
      <c r="I1132">
        <f>IF(OR($B1132="",NOT(ISNUMBER($D1132))),"",IF(AND($E1132&lt;$D$2,$G1132&lt;&gt;"X",$F1132&lt;&gt;"Réalisé",$F1132&lt;&gt;"Clôturé"),"RETARD",""))</f>
        <v/>
      </c>
      <c r="J1132" s="29">
        <f>IF($B1132="","",IF(INDEX(Dossiers!$F$4:$F$63,22)="","",INDEX(Dossiers!$F$4:$F$63,22)))</f>
        <v/>
      </c>
      <c r="K1132" s="29">
        <f>IF($B1132="","",IF(INDEX(Dossiers!$G$4:$G$63,22)="","",INDEX(Dossiers!$G$4:$G$63,22)))</f>
        <v/>
      </c>
    </row>
    <row r="1133">
      <c r="A1133">
        <f>IF($B1133="","",INDEX(Dossiers!$E$4:$E$63,22))</f>
        <v/>
      </c>
      <c r="B1133">
        <f>IF(INDEX(Suivi!$B:$B,1155)="","",INDEX(Suivi!$B:$B,1155))</f>
        <v/>
      </c>
      <c r="C1133">
        <f>IF($B1133="","",IF(INDEX(Suivi!$D:$D,1155)="",INDEX(Suivi!$C:$C,1155),INDEX(Suivi!$D:$D,1155)))</f>
        <v/>
      </c>
      <c r="D1133" s="29">
        <f>IF($B1133="","",INDEX(Suivi!$E:$E,1155))</f>
        <v/>
      </c>
      <c r="E1133" s="29">
        <f>IF($B1133="","",INDEX(Suivi!$F:$F,1155))</f>
        <v/>
      </c>
      <c r="F1133">
        <f>IF($B1133="","",INDEX(Suivi!$G:$G,1155))</f>
        <v/>
      </c>
      <c r="H1133">
        <f>IF(OR($B1133="",NOT(ISNUMBER($D1133))),"",IF($E1133&lt;$D$2,"Passé",IF($D1133&gt;$F$2,"À venir","Dans la période")))</f>
        <v/>
      </c>
      <c r="I1133">
        <f>IF(OR($B1133="",NOT(ISNUMBER($D1133))),"",IF(AND($E1133&lt;$D$2,$G1133&lt;&gt;"X",$F1133&lt;&gt;"Réalisé",$F1133&lt;&gt;"Clôturé"),"RETARD",""))</f>
        <v/>
      </c>
      <c r="J1133" s="29">
        <f>IF($B1133="","",IF(INDEX(Dossiers!$F$4:$F$63,22)="","",INDEX(Dossiers!$F$4:$F$63,22)))</f>
        <v/>
      </c>
      <c r="K1133" s="29">
        <f>IF($B1133="","",IF(INDEX(Dossiers!$G$4:$G$63,22)="","",INDEX(Dossiers!$G$4:$G$63,22)))</f>
        <v/>
      </c>
    </row>
    <row r="1134">
      <c r="A1134">
        <f>IF($B1134="","",INDEX(Dossiers!$E$4:$E$63,22))</f>
        <v/>
      </c>
      <c r="B1134">
        <f>IF(INDEX(Suivi!$B:$B,1156)="","",INDEX(Suivi!$B:$B,1156))</f>
        <v/>
      </c>
      <c r="C1134">
        <f>IF($B1134="","",IF(INDEX(Suivi!$D:$D,1156)="",INDEX(Suivi!$C:$C,1156),INDEX(Suivi!$D:$D,1156)))</f>
        <v/>
      </c>
      <c r="D1134" s="29">
        <f>IF($B1134="","",INDEX(Suivi!$E:$E,1156))</f>
        <v/>
      </c>
      <c r="E1134" s="29">
        <f>IF($B1134="","",INDEX(Suivi!$F:$F,1156))</f>
        <v/>
      </c>
      <c r="F1134">
        <f>IF($B1134="","",INDEX(Suivi!$G:$G,1156))</f>
        <v/>
      </c>
      <c r="H1134">
        <f>IF(OR($B1134="",NOT(ISNUMBER($D1134))),"",IF($E1134&lt;$D$2,"Passé",IF($D1134&gt;$F$2,"À venir","Dans la période")))</f>
        <v/>
      </c>
      <c r="I1134">
        <f>IF(OR($B1134="",NOT(ISNUMBER($D1134))),"",IF(AND($E1134&lt;$D$2,$G1134&lt;&gt;"X",$F1134&lt;&gt;"Réalisé",$F1134&lt;&gt;"Clôturé"),"RETARD",""))</f>
        <v/>
      </c>
      <c r="J1134" s="29">
        <f>IF($B1134="","",IF(INDEX(Dossiers!$F$4:$F$63,22)="","",INDEX(Dossiers!$F$4:$F$63,22)))</f>
        <v/>
      </c>
      <c r="K1134" s="29">
        <f>IF($B1134="","",IF(INDEX(Dossiers!$G$4:$G$63,22)="","",INDEX(Dossiers!$G$4:$G$63,22)))</f>
        <v/>
      </c>
    </row>
    <row r="1135">
      <c r="A1135">
        <f>IF($B1135="","",INDEX(Dossiers!$E$4:$E$63,22))</f>
        <v/>
      </c>
      <c r="B1135">
        <f>IF(INDEX(Suivi!$B:$B,1157)="","",INDEX(Suivi!$B:$B,1157))</f>
        <v/>
      </c>
      <c r="C1135">
        <f>IF($B1135="","",IF(INDEX(Suivi!$D:$D,1157)="",INDEX(Suivi!$C:$C,1157),INDEX(Suivi!$D:$D,1157)))</f>
        <v/>
      </c>
      <c r="D1135" s="29">
        <f>IF($B1135="","",INDEX(Suivi!$E:$E,1157))</f>
        <v/>
      </c>
      <c r="E1135" s="29">
        <f>IF($B1135="","",INDEX(Suivi!$F:$F,1157))</f>
        <v/>
      </c>
      <c r="F1135">
        <f>IF($B1135="","",INDEX(Suivi!$G:$G,1157))</f>
        <v/>
      </c>
      <c r="H1135">
        <f>IF(OR($B1135="",NOT(ISNUMBER($D1135))),"",IF($E1135&lt;$D$2,"Passé",IF($D1135&gt;$F$2,"À venir","Dans la période")))</f>
        <v/>
      </c>
      <c r="I1135">
        <f>IF(OR($B1135="",NOT(ISNUMBER($D1135))),"",IF(AND($E1135&lt;$D$2,$G1135&lt;&gt;"X",$F1135&lt;&gt;"Réalisé",$F1135&lt;&gt;"Clôturé"),"RETARD",""))</f>
        <v/>
      </c>
      <c r="J1135" s="29">
        <f>IF($B1135="","",IF(INDEX(Dossiers!$F$4:$F$63,22)="","",INDEX(Dossiers!$F$4:$F$63,22)))</f>
        <v/>
      </c>
      <c r="K1135" s="29">
        <f>IF($B1135="","",IF(INDEX(Dossiers!$G$4:$G$63,22)="","",INDEX(Dossiers!$G$4:$G$63,22)))</f>
        <v/>
      </c>
    </row>
    <row r="1136">
      <c r="A1136">
        <f>IF($B1136="","",INDEX(Dossiers!$E$4:$E$63,22))</f>
        <v/>
      </c>
      <c r="B1136">
        <f>IF(INDEX(Suivi!$B:$B,1158)="","",INDEX(Suivi!$B:$B,1158))</f>
        <v/>
      </c>
      <c r="C1136">
        <f>IF($B1136="","",IF(INDEX(Suivi!$D:$D,1158)="",INDEX(Suivi!$C:$C,1158),INDEX(Suivi!$D:$D,1158)))</f>
        <v/>
      </c>
      <c r="D1136" s="29">
        <f>IF($B1136="","",INDEX(Suivi!$E:$E,1158))</f>
        <v/>
      </c>
      <c r="E1136" s="29">
        <f>IF($B1136="","",INDEX(Suivi!$F:$F,1158))</f>
        <v/>
      </c>
      <c r="F1136">
        <f>IF($B1136="","",INDEX(Suivi!$G:$G,1158))</f>
        <v/>
      </c>
      <c r="H1136">
        <f>IF(OR($B1136="",NOT(ISNUMBER($D1136))),"",IF($E1136&lt;$D$2,"Passé",IF($D1136&gt;$F$2,"À venir","Dans la période")))</f>
        <v/>
      </c>
      <c r="I1136">
        <f>IF(OR($B1136="",NOT(ISNUMBER($D1136))),"",IF(AND($E1136&lt;$D$2,$G1136&lt;&gt;"X",$F1136&lt;&gt;"Réalisé",$F1136&lt;&gt;"Clôturé"),"RETARD",""))</f>
        <v/>
      </c>
      <c r="J1136" s="29">
        <f>IF($B1136="","",IF(INDEX(Dossiers!$F$4:$F$63,22)="","",INDEX(Dossiers!$F$4:$F$63,22)))</f>
        <v/>
      </c>
      <c r="K1136" s="29">
        <f>IF($B1136="","",IF(INDEX(Dossiers!$G$4:$G$63,22)="","",INDEX(Dossiers!$G$4:$G$63,22)))</f>
        <v/>
      </c>
    </row>
    <row r="1137">
      <c r="A1137">
        <f>IF($B1137="","",INDEX(Dossiers!$E$4:$E$63,22))</f>
        <v/>
      </c>
      <c r="B1137">
        <f>IF(INDEX(Suivi!$B:$B,1159)="","",INDEX(Suivi!$B:$B,1159))</f>
        <v/>
      </c>
      <c r="C1137">
        <f>IF($B1137="","",IF(INDEX(Suivi!$D:$D,1159)="",INDEX(Suivi!$C:$C,1159),INDEX(Suivi!$D:$D,1159)))</f>
        <v/>
      </c>
      <c r="D1137" s="29">
        <f>IF($B1137="","",INDEX(Suivi!$E:$E,1159))</f>
        <v/>
      </c>
      <c r="E1137" s="29">
        <f>IF($B1137="","",INDEX(Suivi!$F:$F,1159))</f>
        <v/>
      </c>
      <c r="F1137">
        <f>IF($B1137="","",INDEX(Suivi!$G:$G,1159))</f>
        <v/>
      </c>
      <c r="H1137">
        <f>IF(OR($B1137="",NOT(ISNUMBER($D1137))),"",IF($E1137&lt;$D$2,"Passé",IF($D1137&gt;$F$2,"À venir","Dans la période")))</f>
        <v/>
      </c>
      <c r="I1137">
        <f>IF(OR($B1137="",NOT(ISNUMBER($D1137))),"",IF(AND($E1137&lt;$D$2,$G1137&lt;&gt;"X",$F1137&lt;&gt;"Réalisé",$F1137&lt;&gt;"Clôturé"),"RETARD",""))</f>
        <v/>
      </c>
      <c r="J1137" s="29">
        <f>IF($B1137="","",IF(INDEX(Dossiers!$F$4:$F$63,22)="","",INDEX(Dossiers!$F$4:$F$63,22)))</f>
        <v/>
      </c>
      <c r="K1137" s="29">
        <f>IF($B1137="","",IF(INDEX(Dossiers!$G$4:$G$63,22)="","",INDEX(Dossiers!$G$4:$G$63,22)))</f>
        <v/>
      </c>
    </row>
    <row r="1138">
      <c r="A1138">
        <f>IF($B1138="","",INDEX(Dossiers!$E$4:$E$63,22))</f>
        <v/>
      </c>
      <c r="B1138">
        <f>IF(INDEX(Suivi!$B:$B,1160)="","",INDEX(Suivi!$B:$B,1160))</f>
        <v/>
      </c>
      <c r="C1138">
        <f>IF($B1138="","",IF(INDEX(Suivi!$D:$D,1160)="",INDEX(Suivi!$C:$C,1160),INDEX(Suivi!$D:$D,1160)))</f>
        <v/>
      </c>
      <c r="D1138" s="29">
        <f>IF($B1138="","",INDEX(Suivi!$E:$E,1160))</f>
        <v/>
      </c>
      <c r="E1138" s="29">
        <f>IF($B1138="","",INDEX(Suivi!$F:$F,1160))</f>
        <v/>
      </c>
      <c r="F1138">
        <f>IF($B1138="","",INDEX(Suivi!$G:$G,1160))</f>
        <v/>
      </c>
      <c r="H1138">
        <f>IF(OR($B1138="",NOT(ISNUMBER($D1138))),"",IF($E1138&lt;$D$2,"Passé",IF($D1138&gt;$F$2,"À venir","Dans la période")))</f>
        <v/>
      </c>
      <c r="I1138">
        <f>IF(OR($B1138="",NOT(ISNUMBER($D1138))),"",IF(AND($E1138&lt;$D$2,$G1138&lt;&gt;"X",$F1138&lt;&gt;"Réalisé",$F1138&lt;&gt;"Clôturé"),"RETARD",""))</f>
        <v/>
      </c>
      <c r="J1138" s="29">
        <f>IF($B1138="","",IF(INDEX(Dossiers!$F$4:$F$63,22)="","",INDEX(Dossiers!$F$4:$F$63,22)))</f>
        <v/>
      </c>
      <c r="K1138" s="29">
        <f>IF($B1138="","",IF(INDEX(Dossiers!$G$4:$G$63,22)="","",INDEX(Dossiers!$G$4:$G$63,22)))</f>
        <v/>
      </c>
    </row>
    <row r="1139">
      <c r="A1139">
        <f>IF($B1139="","",INDEX(Dossiers!$E$4:$E$63,22))</f>
        <v/>
      </c>
      <c r="B1139">
        <f>IF(INDEX(Suivi!$B:$B,1161)="","",INDEX(Suivi!$B:$B,1161))</f>
        <v/>
      </c>
      <c r="C1139">
        <f>IF($B1139="","",IF(INDEX(Suivi!$D:$D,1161)="",INDEX(Suivi!$C:$C,1161),INDEX(Suivi!$D:$D,1161)))</f>
        <v/>
      </c>
      <c r="D1139" s="29">
        <f>IF($B1139="","",INDEX(Suivi!$E:$E,1161))</f>
        <v/>
      </c>
      <c r="E1139" s="29">
        <f>IF($B1139="","",INDEX(Suivi!$F:$F,1161))</f>
        <v/>
      </c>
      <c r="F1139">
        <f>IF($B1139="","",INDEX(Suivi!$G:$G,1161))</f>
        <v/>
      </c>
      <c r="H1139">
        <f>IF(OR($B1139="",NOT(ISNUMBER($D1139))),"",IF($E1139&lt;$D$2,"Passé",IF($D1139&gt;$F$2,"À venir","Dans la période")))</f>
        <v/>
      </c>
      <c r="I1139">
        <f>IF(OR($B1139="",NOT(ISNUMBER($D1139))),"",IF(AND($E1139&lt;$D$2,$G1139&lt;&gt;"X",$F1139&lt;&gt;"Réalisé",$F1139&lt;&gt;"Clôturé"),"RETARD",""))</f>
        <v/>
      </c>
      <c r="J1139" s="29">
        <f>IF($B1139="","",IF(INDEX(Dossiers!$F$4:$F$63,22)="","",INDEX(Dossiers!$F$4:$F$63,22)))</f>
        <v/>
      </c>
      <c r="K1139" s="29">
        <f>IF($B1139="","",IF(INDEX(Dossiers!$G$4:$G$63,22)="","",INDEX(Dossiers!$G$4:$G$63,22)))</f>
        <v/>
      </c>
    </row>
    <row r="1140">
      <c r="A1140">
        <f>IF($B1140="","",INDEX(Dossiers!$E$4:$E$63,22))</f>
        <v/>
      </c>
      <c r="B1140">
        <f>IF(INDEX(Suivi!$B:$B,1162)="","",INDEX(Suivi!$B:$B,1162))</f>
        <v/>
      </c>
      <c r="C1140">
        <f>IF($B1140="","",IF(INDEX(Suivi!$D:$D,1162)="",INDEX(Suivi!$C:$C,1162),INDEX(Suivi!$D:$D,1162)))</f>
        <v/>
      </c>
      <c r="D1140" s="29">
        <f>IF($B1140="","",INDEX(Suivi!$E:$E,1162))</f>
        <v/>
      </c>
      <c r="E1140" s="29">
        <f>IF($B1140="","",INDEX(Suivi!$F:$F,1162))</f>
        <v/>
      </c>
      <c r="F1140">
        <f>IF($B1140="","",INDEX(Suivi!$G:$G,1162))</f>
        <v/>
      </c>
      <c r="H1140">
        <f>IF(OR($B1140="",NOT(ISNUMBER($D1140))),"",IF($E1140&lt;$D$2,"Passé",IF($D1140&gt;$F$2,"À venir","Dans la période")))</f>
        <v/>
      </c>
      <c r="I1140">
        <f>IF(OR($B1140="",NOT(ISNUMBER($D1140))),"",IF(AND($E1140&lt;$D$2,$G1140&lt;&gt;"X",$F1140&lt;&gt;"Réalisé",$F1140&lt;&gt;"Clôturé"),"RETARD",""))</f>
        <v/>
      </c>
      <c r="J1140" s="29">
        <f>IF($B1140="","",IF(INDEX(Dossiers!$F$4:$F$63,22)="","",INDEX(Dossiers!$F$4:$F$63,22)))</f>
        <v/>
      </c>
      <c r="K1140" s="29">
        <f>IF($B1140="","",IF(INDEX(Dossiers!$G$4:$G$63,22)="","",INDEX(Dossiers!$G$4:$G$63,22)))</f>
        <v/>
      </c>
    </row>
    <row r="1141">
      <c r="A1141">
        <f>IF($B1141="","",INDEX(Dossiers!$E$4:$E$63,22))</f>
        <v/>
      </c>
      <c r="B1141">
        <f>IF(INDEX(Suivi!$B:$B,1163)="","",INDEX(Suivi!$B:$B,1163))</f>
        <v/>
      </c>
      <c r="C1141">
        <f>IF($B1141="","",IF(INDEX(Suivi!$D:$D,1163)="",INDEX(Suivi!$C:$C,1163),INDEX(Suivi!$D:$D,1163)))</f>
        <v/>
      </c>
      <c r="D1141" s="29">
        <f>IF($B1141="","",INDEX(Suivi!$E:$E,1163))</f>
        <v/>
      </c>
      <c r="E1141" s="29">
        <f>IF($B1141="","",INDEX(Suivi!$F:$F,1163))</f>
        <v/>
      </c>
      <c r="F1141">
        <f>IF($B1141="","",INDEX(Suivi!$G:$G,1163))</f>
        <v/>
      </c>
      <c r="H1141">
        <f>IF(OR($B1141="",NOT(ISNUMBER($D1141))),"",IF($E1141&lt;$D$2,"Passé",IF($D1141&gt;$F$2,"À venir","Dans la période")))</f>
        <v/>
      </c>
      <c r="I1141">
        <f>IF(OR($B1141="",NOT(ISNUMBER($D1141))),"",IF(AND($E1141&lt;$D$2,$G1141&lt;&gt;"X",$F1141&lt;&gt;"Réalisé",$F1141&lt;&gt;"Clôturé"),"RETARD",""))</f>
        <v/>
      </c>
      <c r="J1141" s="29">
        <f>IF($B1141="","",IF(INDEX(Dossiers!$F$4:$F$63,22)="","",INDEX(Dossiers!$F$4:$F$63,22)))</f>
        <v/>
      </c>
      <c r="K1141" s="29">
        <f>IF($B1141="","",IF(INDEX(Dossiers!$G$4:$G$63,22)="","",INDEX(Dossiers!$G$4:$G$63,22)))</f>
        <v/>
      </c>
    </row>
    <row r="1142">
      <c r="A1142">
        <f>IF($B1142="","",INDEX(Dossiers!$E$4:$E$63,22))</f>
        <v/>
      </c>
      <c r="B1142">
        <f>IF(INDEX(Suivi!$B:$B,1164)="","",INDEX(Suivi!$B:$B,1164))</f>
        <v/>
      </c>
      <c r="C1142">
        <f>IF($B1142="","",IF(INDEX(Suivi!$D:$D,1164)="",INDEX(Suivi!$C:$C,1164),INDEX(Suivi!$D:$D,1164)))</f>
        <v/>
      </c>
      <c r="D1142" s="29">
        <f>IF($B1142="","",INDEX(Suivi!$E:$E,1164))</f>
        <v/>
      </c>
      <c r="E1142" s="29">
        <f>IF($B1142="","",INDEX(Suivi!$F:$F,1164))</f>
        <v/>
      </c>
      <c r="F1142">
        <f>IF($B1142="","",INDEX(Suivi!$G:$G,1164))</f>
        <v/>
      </c>
      <c r="H1142">
        <f>IF(OR($B1142="",NOT(ISNUMBER($D1142))),"",IF($E1142&lt;$D$2,"Passé",IF($D1142&gt;$F$2,"À venir","Dans la période")))</f>
        <v/>
      </c>
      <c r="I1142">
        <f>IF(OR($B1142="",NOT(ISNUMBER($D1142))),"",IF(AND($E1142&lt;$D$2,$G1142&lt;&gt;"X",$F1142&lt;&gt;"Réalisé",$F1142&lt;&gt;"Clôturé"),"RETARD",""))</f>
        <v/>
      </c>
      <c r="J1142" s="29">
        <f>IF($B1142="","",IF(INDEX(Dossiers!$F$4:$F$63,22)="","",INDEX(Dossiers!$F$4:$F$63,22)))</f>
        <v/>
      </c>
      <c r="K1142" s="29">
        <f>IF($B1142="","",IF(INDEX(Dossiers!$G$4:$G$63,22)="","",INDEX(Dossiers!$G$4:$G$63,22)))</f>
        <v/>
      </c>
    </row>
    <row r="1143">
      <c r="A1143">
        <f>IF($B1143="","",INDEX(Dossiers!$E$4:$E$63,22))</f>
        <v/>
      </c>
      <c r="B1143">
        <f>IF(INDEX(Suivi!$B:$B,1165)="","",INDEX(Suivi!$B:$B,1165))</f>
        <v/>
      </c>
      <c r="C1143">
        <f>IF($B1143="","",IF(INDEX(Suivi!$D:$D,1165)="",INDEX(Suivi!$C:$C,1165),INDEX(Suivi!$D:$D,1165)))</f>
        <v/>
      </c>
      <c r="D1143" s="29">
        <f>IF($B1143="","",INDEX(Suivi!$E:$E,1165))</f>
        <v/>
      </c>
      <c r="E1143" s="29">
        <f>IF($B1143="","",INDEX(Suivi!$F:$F,1165))</f>
        <v/>
      </c>
      <c r="F1143">
        <f>IF($B1143="","",INDEX(Suivi!$G:$G,1165))</f>
        <v/>
      </c>
      <c r="H1143">
        <f>IF(OR($B1143="",NOT(ISNUMBER($D1143))),"",IF($E1143&lt;$D$2,"Passé",IF($D1143&gt;$F$2,"À venir","Dans la période")))</f>
        <v/>
      </c>
      <c r="I1143">
        <f>IF(OR($B1143="",NOT(ISNUMBER($D1143))),"",IF(AND($E1143&lt;$D$2,$G1143&lt;&gt;"X",$F1143&lt;&gt;"Réalisé",$F1143&lt;&gt;"Clôturé"),"RETARD",""))</f>
        <v/>
      </c>
      <c r="J1143" s="29">
        <f>IF($B1143="","",IF(INDEX(Dossiers!$F$4:$F$63,22)="","",INDEX(Dossiers!$F$4:$F$63,22)))</f>
        <v/>
      </c>
      <c r="K1143" s="29">
        <f>IF($B1143="","",IF(INDEX(Dossiers!$G$4:$G$63,22)="","",INDEX(Dossiers!$G$4:$G$63,22)))</f>
        <v/>
      </c>
    </row>
    <row r="1144">
      <c r="A1144">
        <f>IF($B1144="","",INDEX(Dossiers!$E$4:$E$63,22))</f>
        <v/>
      </c>
      <c r="B1144">
        <f>IF(INDEX(Suivi!$B:$B,1166)="","",INDEX(Suivi!$B:$B,1166))</f>
        <v/>
      </c>
      <c r="C1144">
        <f>IF($B1144="","",IF(INDEX(Suivi!$D:$D,1166)="",INDEX(Suivi!$C:$C,1166),INDEX(Suivi!$D:$D,1166)))</f>
        <v/>
      </c>
      <c r="D1144" s="29">
        <f>IF($B1144="","",INDEX(Suivi!$E:$E,1166))</f>
        <v/>
      </c>
      <c r="E1144" s="29">
        <f>IF($B1144="","",INDEX(Suivi!$F:$F,1166))</f>
        <v/>
      </c>
      <c r="F1144">
        <f>IF($B1144="","",INDEX(Suivi!$G:$G,1166))</f>
        <v/>
      </c>
      <c r="H1144">
        <f>IF(OR($B1144="",NOT(ISNUMBER($D1144))),"",IF($E1144&lt;$D$2,"Passé",IF($D1144&gt;$F$2,"À venir","Dans la période")))</f>
        <v/>
      </c>
      <c r="I1144">
        <f>IF(OR($B1144="",NOT(ISNUMBER($D1144))),"",IF(AND($E1144&lt;$D$2,$G1144&lt;&gt;"X",$F1144&lt;&gt;"Réalisé",$F1144&lt;&gt;"Clôturé"),"RETARD",""))</f>
        <v/>
      </c>
      <c r="J1144" s="29">
        <f>IF($B1144="","",IF(INDEX(Dossiers!$F$4:$F$63,22)="","",INDEX(Dossiers!$F$4:$F$63,22)))</f>
        <v/>
      </c>
      <c r="K1144" s="29">
        <f>IF($B1144="","",IF(INDEX(Dossiers!$G$4:$G$63,22)="","",INDEX(Dossiers!$G$4:$G$63,22)))</f>
        <v/>
      </c>
    </row>
    <row r="1145">
      <c r="A1145">
        <f>IF($B1145="","",INDEX(Dossiers!$E$4:$E$63,22))</f>
        <v/>
      </c>
      <c r="B1145">
        <f>IF(INDEX(Suivi!$B:$B,1167)="","",INDEX(Suivi!$B:$B,1167))</f>
        <v/>
      </c>
      <c r="C1145">
        <f>IF($B1145="","",IF(INDEX(Suivi!$D:$D,1167)="",INDEX(Suivi!$C:$C,1167),INDEX(Suivi!$D:$D,1167)))</f>
        <v/>
      </c>
      <c r="D1145" s="29">
        <f>IF($B1145="","",INDEX(Suivi!$E:$E,1167))</f>
        <v/>
      </c>
      <c r="E1145" s="29">
        <f>IF($B1145="","",INDEX(Suivi!$F:$F,1167))</f>
        <v/>
      </c>
      <c r="F1145">
        <f>IF($B1145="","",INDEX(Suivi!$G:$G,1167))</f>
        <v/>
      </c>
      <c r="H1145">
        <f>IF(OR($B1145="",NOT(ISNUMBER($D1145))),"",IF($E1145&lt;$D$2,"Passé",IF($D1145&gt;$F$2,"À venir","Dans la période")))</f>
        <v/>
      </c>
      <c r="I1145">
        <f>IF(OR($B1145="",NOT(ISNUMBER($D1145))),"",IF(AND($E1145&lt;$D$2,$G1145&lt;&gt;"X",$F1145&lt;&gt;"Réalisé",$F1145&lt;&gt;"Clôturé"),"RETARD",""))</f>
        <v/>
      </c>
      <c r="J1145" s="29">
        <f>IF($B1145="","",IF(INDEX(Dossiers!$F$4:$F$63,22)="","",INDEX(Dossiers!$F$4:$F$63,22)))</f>
        <v/>
      </c>
      <c r="K1145" s="29">
        <f>IF($B1145="","",IF(INDEX(Dossiers!$G$4:$G$63,22)="","",INDEX(Dossiers!$G$4:$G$63,22)))</f>
        <v/>
      </c>
    </row>
    <row r="1146">
      <c r="A1146">
        <f>IF($B1146="","",INDEX(Dossiers!$E$4:$E$63,22))</f>
        <v/>
      </c>
      <c r="B1146">
        <f>IF(INDEX(Suivi!$B:$B,1168)="","",INDEX(Suivi!$B:$B,1168))</f>
        <v/>
      </c>
      <c r="C1146">
        <f>IF($B1146="","",IF(INDEX(Suivi!$D:$D,1168)="",INDEX(Suivi!$C:$C,1168),INDEX(Suivi!$D:$D,1168)))</f>
        <v/>
      </c>
      <c r="D1146" s="29">
        <f>IF($B1146="","",INDEX(Suivi!$E:$E,1168))</f>
        <v/>
      </c>
      <c r="E1146" s="29">
        <f>IF($B1146="","",INDEX(Suivi!$F:$F,1168))</f>
        <v/>
      </c>
      <c r="F1146">
        <f>IF($B1146="","",INDEX(Suivi!$G:$G,1168))</f>
        <v/>
      </c>
      <c r="H1146">
        <f>IF(OR($B1146="",NOT(ISNUMBER($D1146))),"",IF($E1146&lt;$D$2,"Passé",IF($D1146&gt;$F$2,"À venir","Dans la période")))</f>
        <v/>
      </c>
      <c r="I1146">
        <f>IF(OR($B1146="",NOT(ISNUMBER($D1146))),"",IF(AND($E1146&lt;$D$2,$G1146&lt;&gt;"X",$F1146&lt;&gt;"Réalisé",$F1146&lt;&gt;"Clôturé"),"RETARD",""))</f>
        <v/>
      </c>
      <c r="J1146" s="29">
        <f>IF($B1146="","",IF(INDEX(Dossiers!$F$4:$F$63,22)="","",INDEX(Dossiers!$F$4:$F$63,22)))</f>
        <v/>
      </c>
      <c r="K1146" s="29">
        <f>IF($B1146="","",IF(INDEX(Dossiers!$G$4:$G$63,22)="","",INDEX(Dossiers!$G$4:$G$63,22)))</f>
        <v/>
      </c>
    </row>
    <row r="1147">
      <c r="A1147">
        <f>IF($B1147="","",INDEX(Dossiers!$E$4:$E$63,22))</f>
        <v/>
      </c>
      <c r="B1147">
        <f>IF(INDEX(Suivi!$B:$B,1169)="","",INDEX(Suivi!$B:$B,1169))</f>
        <v/>
      </c>
      <c r="C1147">
        <f>IF($B1147="","",IF(INDEX(Suivi!$D:$D,1169)="",INDEX(Suivi!$C:$C,1169),INDEX(Suivi!$D:$D,1169)))</f>
        <v/>
      </c>
      <c r="D1147" s="29">
        <f>IF($B1147="","",INDEX(Suivi!$E:$E,1169))</f>
        <v/>
      </c>
      <c r="E1147" s="29">
        <f>IF($B1147="","",INDEX(Suivi!$F:$F,1169))</f>
        <v/>
      </c>
      <c r="F1147">
        <f>IF($B1147="","",INDEX(Suivi!$G:$G,1169))</f>
        <v/>
      </c>
      <c r="H1147">
        <f>IF(OR($B1147="",NOT(ISNUMBER($D1147))),"",IF($E1147&lt;$D$2,"Passé",IF($D1147&gt;$F$2,"À venir","Dans la période")))</f>
        <v/>
      </c>
      <c r="I1147">
        <f>IF(OR($B1147="",NOT(ISNUMBER($D1147))),"",IF(AND($E1147&lt;$D$2,$G1147&lt;&gt;"X",$F1147&lt;&gt;"Réalisé",$F1147&lt;&gt;"Clôturé"),"RETARD",""))</f>
        <v/>
      </c>
      <c r="J1147" s="29">
        <f>IF($B1147="","",IF(INDEX(Dossiers!$F$4:$F$63,22)="","",INDEX(Dossiers!$F$4:$F$63,22)))</f>
        <v/>
      </c>
      <c r="K1147" s="29">
        <f>IF($B1147="","",IF(INDEX(Dossiers!$G$4:$G$63,22)="","",INDEX(Dossiers!$G$4:$G$63,22)))</f>
        <v/>
      </c>
    </row>
    <row r="1148">
      <c r="A1148">
        <f>IF($B1148="","",INDEX(Dossiers!$E$4:$E$63,22))</f>
        <v/>
      </c>
      <c r="B1148">
        <f>IF(INDEX(Suivi!$B:$B,1170)="","",INDEX(Suivi!$B:$B,1170))</f>
        <v/>
      </c>
      <c r="C1148">
        <f>IF($B1148="","",IF(INDEX(Suivi!$D:$D,1170)="",INDEX(Suivi!$C:$C,1170),INDEX(Suivi!$D:$D,1170)))</f>
        <v/>
      </c>
      <c r="D1148" s="29">
        <f>IF($B1148="","",INDEX(Suivi!$E:$E,1170))</f>
        <v/>
      </c>
      <c r="E1148" s="29">
        <f>IF($B1148="","",INDEX(Suivi!$F:$F,1170))</f>
        <v/>
      </c>
      <c r="F1148">
        <f>IF($B1148="","",INDEX(Suivi!$G:$G,1170))</f>
        <v/>
      </c>
      <c r="H1148">
        <f>IF(OR($B1148="",NOT(ISNUMBER($D1148))),"",IF($E1148&lt;$D$2,"Passé",IF($D1148&gt;$F$2,"À venir","Dans la période")))</f>
        <v/>
      </c>
      <c r="I1148">
        <f>IF(OR($B1148="",NOT(ISNUMBER($D1148))),"",IF(AND($E1148&lt;$D$2,$G1148&lt;&gt;"X",$F1148&lt;&gt;"Réalisé",$F1148&lt;&gt;"Clôturé"),"RETARD",""))</f>
        <v/>
      </c>
      <c r="J1148" s="29">
        <f>IF($B1148="","",IF(INDEX(Dossiers!$F$4:$F$63,22)="","",INDEX(Dossiers!$F$4:$F$63,22)))</f>
        <v/>
      </c>
      <c r="K1148" s="29">
        <f>IF($B1148="","",IF(INDEX(Dossiers!$G$4:$G$63,22)="","",INDEX(Dossiers!$G$4:$G$63,22)))</f>
        <v/>
      </c>
    </row>
    <row r="1149">
      <c r="A1149">
        <f>IF($B1149="","",INDEX(Dossiers!$E$4:$E$63,22))</f>
        <v/>
      </c>
      <c r="B1149">
        <f>IF(INDEX(Suivi!$B:$B,1171)="","",INDEX(Suivi!$B:$B,1171))</f>
        <v/>
      </c>
      <c r="C1149">
        <f>IF($B1149="","",IF(INDEX(Suivi!$D:$D,1171)="",INDEX(Suivi!$C:$C,1171),INDEX(Suivi!$D:$D,1171)))</f>
        <v/>
      </c>
      <c r="D1149" s="29">
        <f>IF($B1149="","",INDEX(Suivi!$E:$E,1171))</f>
        <v/>
      </c>
      <c r="E1149" s="29">
        <f>IF($B1149="","",INDEX(Suivi!$F:$F,1171))</f>
        <v/>
      </c>
      <c r="F1149">
        <f>IF($B1149="","",INDEX(Suivi!$G:$G,1171))</f>
        <v/>
      </c>
      <c r="H1149">
        <f>IF(OR($B1149="",NOT(ISNUMBER($D1149))),"",IF($E1149&lt;$D$2,"Passé",IF($D1149&gt;$F$2,"À venir","Dans la période")))</f>
        <v/>
      </c>
      <c r="I1149">
        <f>IF(OR($B1149="",NOT(ISNUMBER($D1149))),"",IF(AND($E1149&lt;$D$2,$G1149&lt;&gt;"X",$F1149&lt;&gt;"Réalisé",$F1149&lt;&gt;"Clôturé"),"RETARD",""))</f>
        <v/>
      </c>
      <c r="J1149" s="29">
        <f>IF($B1149="","",IF(INDEX(Dossiers!$F$4:$F$63,22)="","",INDEX(Dossiers!$F$4:$F$63,22)))</f>
        <v/>
      </c>
      <c r="K1149" s="29">
        <f>IF($B1149="","",IF(INDEX(Dossiers!$G$4:$G$63,22)="","",INDEX(Dossiers!$G$4:$G$63,22)))</f>
        <v/>
      </c>
    </row>
    <row r="1150">
      <c r="A1150">
        <f>IF($B1150="","",INDEX(Dossiers!$E$4:$E$63,22))</f>
        <v/>
      </c>
      <c r="B1150">
        <f>IF(INDEX(Suivi!$B:$B,1172)="","",INDEX(Suivi!$B:$B,1172))</f>
        <v/>
      </c>
      <c r="C1150">
        <f>IF($B1150="","",IF(INDEX(Suivi!$D:$D,1172)="",INDEX(Suivi!$C:$C,1172),INDEX(Suivi!$D:$D,1172)))</f>
        <v/>
      </c>
      <c r="D1150" s="29">
        <f>IF($B1150="","",INDEX(Suivi!$E:$E,1172))</f>
        <v/>
      </c>
      <c r="E1150" s="29">
        <f>IF($B1150="","",INDEX(Suivi!$F:$F,1172))</f>
        <v/>
      </c>
      <c r="F1150">
        <f>IF($B1150="","",INDEX(Suivi!$G:$G,1172))</f>
        <v/>
      </c>
      <c r="H1150">
        <f>IF(OR($B1150="",NOT(ISNUMBER($D1150))),"",IF($E1150&lt;$D$2,"Passé",IF($D1150&gt;$F$2,"À venir","Dans la période")))</f>
        <v/>
      </c>
      <c r="I1150">
        <f>IF(OR($B1150="",NOT(ISNUMBER($D1150))),"",IF(AND($E1150&lt;$D$2,$G1150&lt;&gt;"X",$F1150&lt;&gt;"Réalisé",$F1150&lt;&gt;"Clôturé"),"RETARD",""))</f>
        <v/>
      </c>
      <c r="J1150" s="29">
        <f>IF($B1150="","",IF(INDEX(Dossiers!$F$4:$F$63,22)="","",INDEX(Dossiers!$F$4:$F$63,22)))</f>
        <v/>
      </c>
      <c r="K1150" s="29">
        <f>IF($B1150="","",IF(INDEX(Dossiers!$G$4:$G$63,22)="","",INDEX(Dossiers!$G$4:$G$63,22)))</f>
        <v/>
      </c>
    </row>
    <row r="1151">
      <c r="A1151">
        <f>IF($B1151="","",INDEX(Dossiers!$E$4:$E$63,22))</f>
        <v/>
      </c>
      <c r="B1151">
        <f>IF(INDEX(Suivi!$B:$B,1173)="","",INDEX(Suivi!$B:$B,1173))</f>
        <v/>
      </c>
      <c r="C1151">
        <f>IF($B1151="","",IF(INDEX(Suivi!$D:$D,1173)="",INDEX(Suivi!$C:$C,1173),INDEX(Suivi!$D:$D,1173)))</f>
        <v/>
      </c>
      <c r="D1151" s="29">
        <f>IF($B1151="","",INDEX(Suivi!$E:$E,1173))</f>
        <v/>
      </c>
      <c r="E1151" s="29">
        <f>IF($B1151="","",INDEX(Suivi!$F:$F,1173))</f>
        <v/>
      </c>
      <c r="F1151">
        <f>IF($B1151="","",INDEX(Suivi!$G:$G,1173))</f>
        <v/>
      </c>
      <c r="H1151">
        <f>IF(OR($B1151="",NOT(ISNUMBER($D1151))),"",IF($E1151&lt;$D$2,"Passé",IF($D1151&gt;$F$2,"À venir","Dans la période")))</f>
        <v/>
      </c>
      <c r="I1151">
        <f>IF(OR($B1151="",NOT(ISNUMBER($D1151))),"",IF(AND($E1151&lt;$D$2,$G1151&lt;&gt;"X",$F1151&lt;&gt;"Réalisé",$F1151&lt;&gt;"Clôturé"),"RETARD",""))</f>
        <v/>
      </c>
      <c r="J1151" s="29">
        <f>IF($B1151="","",IF(INDEX(Dossiers!$F$4:$F$63,22)="","",INDEX(Dossiers!$F$4:$F$63,22)))</f>
        <v/>
      </c>
      <c r="K1151" s="29">
        <f>IF($B1151="","",IF(INDEX(Dossiers!$G$4:$G$63,22)="","",INDEX(Dossiers!$G$4:$G$63,22)))</f>
        <v/>
      </c>
    </row>
    <row r="1152">
      <c r="A1152">
        <f>IF($B1152="","",INDEX(Dossiers!$E$4:$E$63,22))</f>
        <v/>
      </c>
      <c r="B1152">
        <f>IF(INDEX(Suivi!$B:$B,1174)="","",INDEX(Suivi!$B:$B,1174))</f>
        <v/>
      </c>
      <c r="C1152">
        <f>IF($B1152="","",IF(INDEX(Suivi!$D:$D,1174)="",INDEX(Suivi!$C:$C,1174),INDEX(Suivi!$D:$D,1174)))</f>
        <v/>
      </c>
      <c r="D1152" s="29">
        <f>IF($B1152="","",INDEX(Suivi!$E:$E,1174))</f>
        <v/>
      </c>
      <c r="E1152" s="29">
        <f>IF($B1152="","",INDEX(Suivi!$F:$F,1174))</f>
        <v/>
      </c>
      <c r="F1152">
        <f>IF($B1152="","",INDEX(Suivi!$G:$G,1174))</f>
        <v/>
      </c>
      <c r="H1152">
        <f>IF(OR($B1152="",NOT(ISNUMBER($D1152))),"",IF($E1152&lt;$D$2,"Passé",IF($D1152&gt;$F$2,"À venir","Dans la période")))</f>
        <v/>
      </c>
      <c r="I1152">
        <f>IF(OR($B1152="",NOT(ISNUMBER($D1152))),"",IF(AND($E1152&lt;$D$2,$G1152&lt;&gt;"X",$F1152&lt;&gt;"Réalisé",$F1152&lt;&gt;"Clôturé"),"RETARD",""))</f>
        <v/>
      </c>
      <c r="J1152" s="29">
        <f>IF($B1152="","",IF(INDEX(Dossiers!$F$4:$F$63,22)="","",INDEX(Dossiers!$F$4:$F$63,22)))</f>
        <v/>
      </c>
      <c r="K1152" s="29">
        <f>IF($B1152="","",IF(INDEX(Dossiers!$G$4:$G$63,22)="","",INDEX(Dossiers!$G$4:$G$63,22)))</f>
        <v/>
      </c>
    </row>
    <row r="1153">
      <c r="A1153">
        <f>IF($B1153="","",INDEX(Dossiers!$E$4:$E$63,22))</f>
        <v/>
      </c>
      <c r="B1153">
        <f>IF(INDEX(Suivi!$B:$B,1175)="","",INDEX(Suivi!$B:$B,1175))</f>
        <v/>
      </c>
      <c r="C1153">
        <f>IF($B1153="","",IF(INDEX(Suivi!$D:$D,1175)="",INDEX(Suivi!$C:$C,1175),INDEX(Suivi!$D:$D,1175)))</f>
        <v/>
      </c>
      <c r="D1153" s="29">
        <f>IF($B1153="","",INDEX(Suivi!$E:$E,1175))</f>
        <v/>
      </c>
      <c r="E1153" s="29">
        <f>IF($B1153="","",INDEX(Suivi!$F:$F,1175))</f>
        <v/>
      </c>
      <c r="F1153">
        <f>IF($B1153="","",INDEX(Suivi!$G:$G,1175))</f>
        <v/>
      </c>
      <c r="H1153">
        <f>IF(OR($B1153="",NOT(ISNUMBER($D1153))),"",IF($E1153&lt;$D$2,"Passé",IF($D1153&gt;$F$2,"À venir","Dans la période")))</f>
        <v/>
      </c>
      <c r="I1153">
        <f>IF(OR($B1153="",NOT(ISNUMBER($D1153))),"",IF(AND($E1153&lt;$D$2,$G1153&lt;&gt;"X",$F1153&lt;&gt;"Réalisé",$F1153&lt;&gt;"Clôturé"),"RETARD",""))</f>
        <v/>
      </c>
      <c r="J1153" s="29">
        <f>IF($B1153="","",IF(INDEX(Dossiers!$F$4:$F$63,22)="","",INDEX(Dossiers!$F$4:$F$63,22)))</f>
        <v/>
      </c>
      <c r="K1153" s="29">
        <f>IF($B1153="","",IF(INDEX(Dossiers!$G$4:$G$63,22)="","",INDEX(Dossiers!$G$4:$G$63,22)))</f>
        <v/>
      </c>
    </row>
    <row r="1154">
      <c r="A1154">
        <f>IF($B1154="","",INDEX(Dossiers!$E$4:$E$63,22))</f>
        <v/>
      </c>
      <c r="B1154">
        <f>IF(INDEX(Suivi!$B:$B,1176)="","",INDEX(Suivi!$B:$B,1176))</f>
        <v/>
      </c>
      <c r="C1154">
        <f>IF($B1154="","",IF(INDEX(Suivi!$D:$D,1176)="",INDEX(Suivi!$C:$C,1176),INDEX(Suivi!$D:$D,1176)))</f>
        <v/>
      </c>
      <c r="D1154" s="29">
        <f>IF($B1154="","",INDEX(Suivi!$E:$E,1176))</f>
        <v/>
      </c>
      <c r="E1154" s="29">
        <f>IF($B1154="","",INDEX(Suivi!$F:$F,1176))</f>
        <v/>
      </c>
      <c r="F1154">
        <f>IF($B1154="","",INDEX(Suivi!$G:$G,1176))</f>
        <v/>
      </c>
      <c r="H1154">
        <f>IF(OR($B1154="",NOT(ISNUMBER($D1154))),"",IF($E1154&lt;$D$2,"Passé",IF($D1154&gt;$F$2,"À venir","Dans la période")))</f>
        <v/>
      </c>
      <c r="I1154">
        <f>IF(OR($B1154="",NOT(ISNUMBER($D1154))),"",IF(AND($E1154&lt;$D$2,$G1154&lt;&gt;"X",$F1154&lt;&gt;"Réalisé",$F1154&lt;&gt;"Clôturé"),"RETARD",""))</f>
        <v/>
      </c>
      <c r="J1154" s="29">
        <f>IF($B1154="","",IF(INDEX(Dossiers!$F$4:$F$63,22)="","",INDEX(Dossiers!$F$4:$F$63,22)))</f>
        <v/>
      </c>
      <c r="K1154" s="29">
        <f>IF($B1154="","",IF(INDEX(Dossiers!$G$4:$G$63,22)="","",INDEX(Dossiers!$G$4:$G$63,22)))</f>
        <v/>
      </c>
    </row>
    <row r="1155">
      <c r="A1155">
        <f>IF($B1155="","",INDEX(Dossiers!$E$4:$E$63,22))</f>
        <v/>
      </c>
      <c r="B1155">
        <f>IF(INDEX(Suivi!$B:$B,1177)="","",INDEX(Suivi!$B:$B,1177))</f>
        <v/>
      </c>
      <c r="C1155">
        <f>IF($B1155="","",IF(INDEX(Suivi!$D:$D,1177)="",INDEX(Suivi!$C:$C,1177),INDEX(Suivi!$D:$D,1177)))</f>
        <v/>
      </c>
      <c r="D1155" s="29">
        <f>IF($B1155="","",INDEX(Suivi!$E:$E,1177))</f>
        <v/>
      </c>
      <c r="E1155" s="29">
        <f>IF($B1155="","",INDEX(Suivi!$F:$F,1177))</f>
        <v/>
      </c>
      <c r="F1155">
        <f>IF($B1155="","",INDEX(Suivi!$G:$G,1177))</f>
        <v/>
      </c>
      <c r="H1155">
        <f>IF(OR($B1155="",NOT(ISNUMBER($D1155))),"",IF($E1155&lt;$D$2,"Passé",IF($D1155&gt;$F$2,"À venir","Dans la période")))</f>
        <v/>
      </c>
      <c r="I1155">
        <f>IF(OR($B1155="",NOT(ISNUMBER($D1155))),"",IF(AND($E1155&lt;$D$2,$G1155&lt;&gt;"X",$F1155&lt;&gt;"Réalisé",$F1155&lt;&gt;"Clôturé"),"RETARD",""))</f>
        <v/>
      </c>
      <c r="J1155" s="29">
        <f>IF($B1155="","",IF(INDEX(Dossiers!$F$4:$F$63,22)="","",INDEX(Dossiers!$F$4:$F$63,22)))</f>
        <v/>
      </c>
      <c r="K1155" s="29">
        <f>IF($B1155="","",IF(INDEX(Dossiers!$G$4:$G$63,22)="","",INDEX(Dossiers!$G$4:$G$63,22)))</f>
        <v/>
      </c>
    </row>
    <row r="1156">
      <c r="A1156">
        <f>IF($B1156="","",INDEX(Dossiers!$E$4:$E$63,22))</f>
        <v/>
      </c>
      <c r="B1156">
        <f>IF(INDEX(Suivi!$B:$B,1178)="","",INDEX(Suivi!$B:$B,1178))</f>
        <v/>
      </c>
      <c r="C1156">
        <f>IF($B1156="","",IF(INDEX(Suivi!$D:$D,1178)="",INDEX(Suivi!$C:$C,1178),INDEX(Suivi!$D:$D,1178)))</f>
        <v/>
      </c>
      <c r="D1156" s="29">
        <f>IF($B1156="","",INDEX(Suivi!$E:$E,1178))</f>
        <v/>
      </c>
      <c r="E1156" s="29">
        <f>IF($B1156="","",INDEX(Suivi!$F:$F,1178))</f>
        <v/>
      </c>
      <c r="F1156">
        <f>IF($B1156="","",INDEX(Suivi!$G:$G,1178))</f>
        <v/>
      </c>
      <c r="H1156">
        <f>IF(OR($B1156="",NOT(ISNUMBER($D1156))),"",IF($E1156&lt;$D$2,"Passé",IF($D1156&gt;$F$2,"À venir","Dans la période")))</f>
        <v/>
      </c>
      <c r="I1156">
        <f>IF(OR($B1156="",NOT(ISNUMBER($D1156))),"",IF(AND($E1156&lt;$D$2,$G1156&lt;&gt;"X",$F1156&lt;&gt;"Réalisé",$F1156&lt;&gt;"Clôturé"),"RETARD",""))</f>
        <v/>
      </c>
      <c r="J1156" s="29">
        <f>IF($B1156="","",IF(INDEX(Dossiers!$F$4:$F$63,22)="","",INDEX(Dossiers!$F$4:$F$63,22)))</f>
        <v/>
      </c>
      <c r="K1156" s="29">
        <f>IF($B1156="","",IF(INDEX(Dossiers!$G$4:$G$63,22)="","",INDEX(Dossiers!$G$4:$G$63,22)))</f>
        <v/>
      </c>
    </row>
    <row r="1157">
      <c r="A1157">
        <f>IF($B1157="","",INDEX(Dossiers!$E$4:$E$63,22))</f>
        <v/>
      </c>
      <c r="B1157">
        <f>IF(INDEX(Suivi!$B:$B,1179)="","",INDEX(Suivi!$B:$B,1179))</f>
        <v/>
      </c>
      <c r="C1157">
        <f>IF($B1157="","",IF(INDEX(Suivi!$D:$D,1179)="",INDEX(Suivi!$C:$C,1179),INDEX(Suivi!$D:$D,1179)))</f>
        <v/>
      </c>
      <c r="D1157" s="29">
        <f>IF($B1157="","",INDEX(Suivi!$E:$E,1179))</f>
        <v/>
      </c>
      <c r="E1157" s="29">
        <f>IF($B1157="","",INDEX(Suivi!$F:$F,1179))</f>
        <v/>
      </c>
      <c r="F1157">
        <f>IF($B1157="","",INDEX(Suivi!$G:$G,1179))</f>
        <v/>
      </c>
      <c r="H1157">
        <f>IF(OR($B1157="",NOT(ISNUMBER($D1157))),"",IF($E1157&lt;$D$2,"Passé",IF($D1157&gt;$F$2,"À venir","Dans la période")))</f>
        <v/>
      </c>
      <c r="I1157">
        <f>IF(OR($B1157="",NOT(ISNUMBER($D1157))),"",IF(AND($E1157&lt;$D$2,$G1157&lt;&gt;"X",$F1157&lt;&gt;"Réalisé",$F1157&lt;&gt;"Clôturé"),"RETARD",""))</f>
        <v/>
      </c>
      <c r="J1157" s="29">
        <f>IF($B1157="","",IF(INDEX(Dossiers!$F$4:$F$63,22)="","",INDEX(Dossiers!$F$4:$F$63,22)))</f>
        <v/>
      </c>
      <c r="K1157" s="29">
        <f>IF($B1157="","",IF(INDEX(Dossiers!$G$4:$G$63,22)="","",INDEX(Dossiers!$G$4:$G$63,22)))</f>
        <v/>
      </c>
    </row>
    <row r="1158">
      <c r="A1158">
        <f>IF($B1158="","",INDEX(Dossiers!$E$4:$E$63,22))</f>
        <v/>
      </c>
      <c r="B1158">
        <f>IF(INDEX(Suivi!$B:$B,1180)="","",INDEX(Suivi!$B:$B,1180))</f>
        <v/>
      </c>
      <c r="C1158">
        <f>IF($B1158="","",IF(INDEX(Suivi!$D:$D,1180)="",INDEX(Suivi!$C:$C,1180),INDEX(Suivi!$D:$D,1180)))</f>
        <v/>
      </c>
      <c r="D1158" s="29">
        <f>IF($B1158="","",INDEX(Suivi!$E:$E,1180))</f>
        <v/>
      </c>
      <c r="E1158" s="29">
        <f>IF($B1158="","",INDEX(Suivi!$F:$F,1180))</f>
        <v/>
      </c>
      <c r="F1158">
        <f>IF($B1158="","",INDEX(Suivi!$G:$G,1180))</f>
        <v/>
      </c>
      <c r="H1158">
        <f>IF(OR($B1158="",NOT(ISNUMBER($D1158))),"",IF($E1158&lt;$D$2,"Passé",IF($D1158&gt;$F$2,"À venir","Dans la période")))</f>
        <v/>
      </c>
      <c r="I1158">
        <f>IF(OR($B1158="",NOT(ISNUMBER($D1158))),"",IF(AND($E1158&lt;$D$2,$G1158&lt;&gt;"X",$F1158&lt;&gt;"Réalisé",$F1158&lt;&gt;"Clôturé"),"RETARD",""))</f>
        <v/>
      </c>
      <c r="J1158" s="29">
        <f>IF($B1158="","",IF(INDEX(Dossiers!$F$4:$F$63,22)="","",INDEX(Dossiers!$F$4:$F$63,22)))</f>
        <v/>
      </c>
      <c r="K1158" s="29">
        <f>IF($B1158="","",IF(INDEX(Dossiers!$G$4:$G$63,22)="","",INDEX(Dossiers!$G$4:$G$63,22)))</f>
        <v/>
      </c>
    </row>
    <row r="1159">
      <c r="A1159">
        <f>IF($B1159="","",INDEX(Dossiers!$E$4:$E$63,22))</f>
        <v/>
      </c>
      <c r="B1159">
        <f>IF(INDEX(Suivi!$B:$B,1181)="","",INDEX(Suivi!$B:$B,1181))</f>
        <v/>
      </c>
      <c r="C1159">
        <f>IF($B1159="","",IF(INDEX(Suivi!$D:$D,1181)="",INDEX(Suivi!$C:$C,1181),INDEX(Suivi!$D:$D,1181)))</f>
        <v/>
      </c>
      <c r="D1159" s="29">
        <f>IF($B1159="","",INDEX(Suivi!$E:$E,1181))</f>
        <v/>
      </c>
      <c r="E1159" s="29">
        <f>IF($B1159="","",INDEX(Suivi!$F:$F,1181))</f>
        <v/>
      </c>
      <c r="F1159">
        <f>IF($B1159="","",INDEX(Suivi!$G:$G,1181))</f>
        <v/>
      </c>
      <c r="H1159">
        <f>IF(OR($B1159="",NOT(ISNUMBER($D1159))),"",IF($E1159&lt;$D$2,"Passé",IF($D1159&gt;$F$2,"À venir","Dans la période")))</f>
        <v/>
      </c>
      <c r="I1159">
        <f>IF(OR($B1159="",NOT(ISNUMBER($D1159))),"",IF(AND($E1159&lt;$D$2,$G1159&lt;&gt;"X",$F1159&lt;&gt;"Réalisé",$F1159&lt;&gt;"Clôturé"),"RETARD",""))</f>
        <v/>
      </c>
      <c r="J1159" s="29">
        <f>IF($B1159="","",IF(INDEX(Dossiers!$F$4:$F$63,22)="","",INDEX(Dossiers!$F$4:$F$63,22)))</f>
        <v/>
      </c>
      <c r="K1159" s="29">
        <f>IF($B1159="","",IF(INDEX(Dossiers!$G$4:$G$63,22)="","",INDEX(Dossiers!$G$4:$G$63,22)))</f>
        <v/>
      </c>
    </row>
    <row r="1160">
      <c r="A1160">
        <f>IF($B1160="","",INDEX(Dossiers!$E$4:$E$63,22))</f>
        <v/>
      </c>
      <c r="B1160">
        <f>IF(INDEX(Suivi!$B:$B,1182)="","",INDEX(Suivi!$B:$B,1182))</f>
        <v/>
      </c>
      <c r="C1160">
        <f>IF($B1160="","",IF(INDEX(Suivi!$D:$D,1182)="",INDEX(Suivi!$C:$C,1182),INDEX(Suivi!$D:$D,1182)))</f>
        <v/>
      </c>
      <c r="D1160" s="29">
        <f>IF($B1160="","",INDEX(Suivi!$E:$E,1182))</f>
        <v/>
      </c>
      <c r="E1160" s="29">
        <f>IF($B1160="","",INDEX(Suivi!$F:$F,1182))</f>
        <v/>
      </c>
      <c r="F1160">
        <f>IF($B1160="","",INDEX(Suivi!$G:$G,1182))</f>
        <v/>
      </c>
      <c r="H1160">
        <f>IF(OR($B1160="",NOT(ISNUMBER($D1160))),"",IF($E1160&lt;$D$2,"Passé",IF($D1160&gt;$F$2,"À venir","Dans la période")))</f>
        <v/>
      </c>
      <c r="I1160">
        <f>IF(OR($B1160="",NOT(ISNUMBER($D1160))),"",IF(AND($E1160&lt;$D$2,$G1160&lt;&gt;"X",$F1160&lt;&gt;"Réalisé",$F1160&lt;&gt;"Clôturé"),"RETARD",""))</f>
        <v/>
      </c>
      <c r="J1160" s="29">
        <f>IF($B1160="","",IF(INDEX(Dossiers!$F$4:$F$63,22)="","",INDEX(Dossiers!$F$4:$F$63,22)))</f>
        <v/>
      </c>
      <c r="K1160" s="29">
        <f>IF($B1160="","",IF(INDEX(Dossiers!$G$4:$G$63,22)="","",INDEX(Dossiers!$G$4:$G$63,22)))</f>
        <v/>
      </c>
    </row>
    <row r="1161">
      <c r="A1161">
        <f>IF($B1161="","",INDEX(Dossiers!$E$4:$E$63,22))</f>
        <v/>
      </c>
      <c r="B1161">
        <f>IF(INDEX(Suivi!$B:$B,1183)="","",INDEX(Suivi!$B:$B,1183))</f>
        <v/>
      </c>
      <c r="C1161">
        <f>IF($B1161="","",IF(INDEX(Suivi!$D:$D,1183)="",INDEX(Suivi!$C:$C,1183),INDEX(Suivi!$D:$D,1183)))</f>
        <v/>
      </c>
      <c r="D1161" s="29">
        <f>IF($B1161="","",INDEX(Suivi!$E:$E,1183))</f>
        <v/>
      </c>
      <c r="E1161" s="29">
        <f>IF($B1161="","",INDEX(Suivi!$F:$F,1183))</f>
        <v/>
      </c>
      <c r="F1161">
        <f>IF($B1161="","",INDEX(Suivi!$G:$G,1183))</f>
        <v/>
      </c>
      <c r="H1161">
        <f>IF(OR($B1161="",NOT(ISNUMBER($D1161))),"",IF($E1161&lt;$D$2,"Passé",IF($D1161&gt;$F$2,"À venir","Dans la période")))</f>
        <v/>
      </c>
      <c r="I1161">
        <f>IF(OR($B1161="",NOT(ISNUMBER($D1161))),"",IF(AND($E1161&lt;$D$2,$G1161&lt;&gt;"X",$F1161&lt;&gt;"Réalisé",$F1161&lt;&gt;"Clôturé"),"RETARD",""))</f>
        <v/>
      </c>
      <c r="J1161" s="29">
        <f>IF($B1161="","",IF(INDEX(Dossiers!$F$4:$F$63,22)="","",INDEX(Dossiers!$F$4:$F$63,22)))</f>
        <v/>
      </c>
      <c r="K1161" s="29">
        <f>IF($B1161="","",IF(INDEX(Dossiers!$G$4:$G$63,22)="","",INDEX(Dossiers!$G$4:$G$63,22)))</f>
        <v/>
      </c>
    </row>
    <row r="1162">
      <c r="A1162">
        <f>IF($B1162="","",INDEX(Dossiers!$E$4:$E$63,22))</f>
        <v/>
      </c>
      <c r="B1162">
        <f>IF(INDEX(Suivi!$B:$B,1184)="","",INDEX(Suivi!$B:$B,1184))</f>
        <v/>
      </c>
      <c r="C1162">
        <f>IF($B1162="","",IF(INDEX(Suivi!$D:$D,1184)="",INDEX(Suivi!$C:$C,1184),INDEX(Suivi!$D:$D,1184)))</f>
        <v/>
      </c>
      <c r="D1162" s="29">
        <f>IF($B1162="","",INDEX(Suivi!$E:$E,1184))</f>
        <v/>
      </c>
      <c r="E1162" s="29">
        <f>IF($B1162="","",INDEX(Suivi!$F:$F,1184))</f>
        <v/>
      </c>
      <c r="F1162">
        <f>IF($B1162="","",INDEX(Suivi!$G:$G,1184))</f>
        <v/>
      </c>
      <c r="H1162">
        <f>IF(OR($B1162="",NOT(ISNUMBER($D1162))),"",IF($E1162&lt;$D$2,"Passé",IF($D1162&gt;$F$2,"À venir","Dans la période")))</f>
        <v/>
      </c>
      <c r="I1162">
        <f>IF(OR($B1162="",NOT(ISNUMBER($D1162))),"",IF(AND($E1162&lt;$D$2,$G1162&lt;&gt;"X",$F1162&lt;&gt;"Réalisé",$F1162&lt;&gt;"Clôturé"),"RETARD",""))</f>
        <v/>
      </c>
      <c r="J1162" s="29">
        <f>IF($B1162="","",IF(INDEX(Dossiers!$F$4:$F$63,22)="","",INDEX(Dossiers!$F$4:$F$63,22)))</f>
        <v/>
      </c>
      <c r="K1162" s="29">
        <f>IF($B1162="","",IF(INDEX(Dossiers!$G$4:$G$63,22)="","",INDEX(Dossiers!$G$4:$G$63,22)))</f>
        <v/>
      </c>
    </row>
    <row r="1163">
      <c r="A1163">
        <f>IF($B1163="","",INDEX(Dossiers!$E$4:$E$63,22))</f>
        <v/>
      </c>
      <c r="B1163">
        <f>IF(INDEX(Suivi!$B:$B,1185)="","",INDEX(Suivi!$B:$B,1185))</f>
        <v/>
      </c>
      <c r="C1163">
        <f>IF($B1163="","",IF(INDEX(Suivi!$D:$D,1185)="",INDEX(Suivi!$C:$C,1185),INDEX(Suivi!$D:$D,1185)))</f>
        <v/>
      </c>
      <c r="D1163" s="29">
        <f>IF($B1163="","",INDEX(Suivi!$E:$E,1185))</f>
        <v/>
      </c>
      <c r="E1163" s="29">
        <f>IF($B1163="","",INDEX(Suivi!$F:$F,1185))</f>
        <v/>
      </c>
      <c r="F1163">
        <f>IF($B1163="","",INDEX(Suivi!$G:$G,1185))</f>
        <v/>
      </c>
      <c r="H1163">
        <f>IF(OR($B1163="",NOT(ISNUMBER($D1163))),"",IF($E1163&lt;$D$2,"Passé",IF($D1163&gt;$F$2,"À venir","Dans la période")))</f>
        <v/>
      </c>
      <c r="I1163">
        <f>IF(OR($B1163="",NOT(ISNUMBER($D1163))),"",IF(AND($E1163&lt;$D$2,$G1163&lt;&gt;"X",$F1163&lt;&gt;"Réalisé",$F1163&lt;&gt;"Clôturé"),"RETARD",""))</f>
        <v/>
      </c>
      <c r="J1163" s="29">
        <f>IF($B1163="","",IF(INDEX(Dossiers!$F$4:$F$63,22)="","",INDEX(Dossiers!$F$4:$F$63,22)))</f>
        <v/>
      </c>
      <c r="K1163" s="29">
        <f>IF($B1163="","",IF(INDEX(Dossiers!$G$4:$G$63,22)="","",INDEX(Dossiers!$G$4:$G$63,22)))</f>
        <v/>
      </c>
    </row>
    <row r="1164">
      <c r="A1164">
        <f>IF($B1164="","",INDEX(Dossiers!$E$4:$E$63,22))</f>
        <v/>
      </c>
      <c r="B1164">
        <f>IF(INDEX(Suivi!$B:$B,1186)="","",INDEX(Suivi!$B:$B,1186))</f>
        <v/>
      </c>
      <c r="C1164">
        <f>IF($B1164="","",IF(INDEX(Suivi!$D:$D,1186)="",INDEX(Suivi!$C:$C,1186),INDEX(Suivi!$D:$D,1186)))</f>
        <v/>
      </c>
      <c r="D1164" s="29">
        <f>IF($B1164="","",INDEX(Suivi!$E:$E,1186))</f>
        <v/>
      </c>
      <c r="E1164" s="29">
        <f>IF($B1164="","",INDEX(Suivi!$F:$F,1186))</f>
        <v/>
      </c>
      <c r="F1164">
        <f>IF($B1164="","",INDEX(Suivi!$G:$G,1186))</f>
        <v/>
      </c>
      <c r="H1164">
        <f>IF(OR($B1164="",NOT(ISNUMBER($D1164))),"",IF($E1164&lt;$D$2,"Passé",IF($D1164&gt;$F$2,"À venir","Dans la période")))</f>
        <v/>
      </c>
      <c r="I1164">
        <f>IF(OR($B1164="",NOT(ISNUMBER($D1164))),"",IF(AND($E1164&lt;$D$2,$G1164&lt;&gt;"X",$F1164&lt;&gt;"Réalisé",$F1164&lt;&gt;"Clôturé"),"RETARD",""))</f>
        <v/>
      </c>
      <c r="J1164" s="29">
        <f>IF($B1164="","",IF(INDEX(Dossiers!$F$4:$F$63,22)="","",INDEX(Dossiers!$F$4:$F$63,22)))</f>
        <v/>
      </c>
      <c r="K1164" s="29">
        <f>IF($B1164="","",IF(INDEX(Dossiers!$G$4:$G$63,22)="","",INDEX(Dossiers!$G$4:$G$63,22)))</f>
        <v/>
      </c>
    </row>
    <row r="1165">
      <c r="A1165">
        <f>IF($B1165="","",INDEX(Dossiers!$E$4:$E$63,22))</f>
        <v/>
      </c>
      <c r="B1165">
        <f>IF(INDEX(Suivi!$B:$B,1187)="","",INDEX(Suivi!$B:$B,1187))</f>
        <v/>
      </c>
      <c r="C1165">
        <f>IF($B1165="","",IF(INDEX(Suivi!$D:$D,1187)="",INDEX(Suivi!$C:$C,1187),INDEX(Suivi!$D:$D,1187)))</f>
        <v/>
      </c>
      <c r="D1165" s="29">
        <f>IF($B1165="","",INDEX(Suivi!$E:$E,1187))</f>
        <v/>
      </c>
      <c r="E1165" s="29">
        <f>IF($B1165="","",INDEX(Suivi!$F:$F,1187))</f>
        <v/>
      </c>
      <c r="F1165">
        <f>IF($B1165="","",INDEX(Suivi!$G:$G,1187))</f>
        <v/>
      </c>
      <c r="H1165">
        <f>IF(OR($B1165="",NOT(ISNUMBER($D1165))),"",IF($E1165&lt;$D$2,"Passé",IF($D1165&gt;$F$2,"À venir","Dans la période")))</f>
        <v/>
      </c>
      <c r="I1165">
        <f>IF(OR($B1165="",NOT(ISNUMBER($D1165))),"",IF(AND($E1165&lt;$D$2,$G1165&lt;&gt;"X",$F1165&lt;&gt;"Réalisé",$F1165&lt;&gt;"Clôturé"),"RETARD",""))</f>
        <v/>
      </c>
      <c r="J1165" s="29">
        <f>IF($B1165="","",IF(INDEX(Dossiers!$F$4:$F$63,22)="","",INDEX(Dossiers!$F$4:$F$63,22)))</f>
        <v/>
      </c>
      <c r="K1165" s="29">
        <f>IF($B1165="","",IF(INDEX(Dossiers!$G$4:$G$63,22)="","",INDEX(Dossiers!$G$4:$G$63,22)))</f>
        <v/>
      </c>
    </row>
    <row r="1166">
      <c r="A1166">
        <f>IF($B1166="","",INDEX(Dossiers!$E$4:$E$63,22))</f>
        <v/>
      </c>
      <c r="B1166">
        <f>IF(INDEX(Suivi!$B:$B,1188)="","",INDEX(Suivi!$B:$B,1188))</f>
        <v/>
      </c>
      <c r="C1166">
        <f>IF($B1166="","",IF(INDEX(Suivi!$D:$D,1188)="",INDEX(Suivi!$C:$C,1188),INDEX(Suivi!$D:$D,1188)))</f>
        <v/>
      </c>
      <c r="D1166" s="29">
        <f>IF($B1166="","",INDEX(Suivi!$E:$E,1188))</f>
        <v/>
      </c>
      <c r="E1166" s="29">
        <f>IF($B1166="","",INDEX(Suivi!$F:$F,1188))</f>
        <v/>
      </c>
      <c r="F1166">
        <f>IF($B1166="","",INDEX(Suivi!$G:$G,1188))</f>
        <v/>
      </c>
      <c r="H1166">
        <f>IF(OR($B1166="",NOT(ISNUMBER($D1166))),"",IF($E1166&lt;$D$2,"Passé",IF($D1166&gt;$F$2,"À venir","Dans la période")))</f>
        <v/>
      </c>
      <c r="I1166">
        <f>IF(OR($B1166="",NOT(ISNUMBER($D1166))),"",IF(AND($E1166&lt;$D$2,$G1166&lt;&gt;"X",$F1166&lt;&gt;"Réalisé",$F1166&lt;&gt;"Clôturé"),"RETARD",""))</f>
        <v/>
      </c>
      <c r="J1166" s="29">
        <f>IF($B1166="","",IF(INDEX(Dossiers!$F$4:$F$63,22)="","",INDEX(Dossiers!$F$4:$F$63,22)))</f>
        <v/>
      </c>
      <c r="K1166" s="29">
        <f>IF($B1166="","",IF(INDEX(Dossiers!$G$4:$G$63,22)="","",INDEX(Dossiers!$G$4:$G$63,22)))</f>
        <v/>
      </c>
    </row>
    <row r="1167">
      <c r="A1167">
        <f>IF($B1167="","",INDEX(Dossiers!$E$4:$E$63,22))</f>
        <v/>
      </c>
      <c r="B1167">
        <f>IF(INDEX(Suivi!$B:$B,1189)="","",INDEX(Suivi!$B:$B,1189))</f>
        <v/>
      </c>
      <c r="C1167">
        <f>IF($B1167="","",IF(INDEX(Suivi!$D:$D,1189)="",INDEX(Suivi!$C:$C,1189),INDEX(Suivi!$D:$D,1189)))</f>
        <v/>
      </c>
      <c r="D1167" s="29">
        <f>IF($B1167="","",INDEX(Suivi!$E:$E,1189))</f>
        <v/>
      </c>
      <c r="E1167" s="29">
        <f>IF($B1167="","",INDEX(Suivi!$F:$F,1189))</f>
        <v/>
      </c>
      <c r="F1167">
        <f>IF($B1167="","",INDEX(Suivi!$G:$G,1189))</f>
        <v/>
      </c>
      <c r="H1167">
        <f>IF(OR($B1167="",NOT(ISNUMBER($D1167))),"",IF($E1167&lt;$D$2,"Passé",IF($D1167&gt;$F$2,"À venir","Dans la période")))</f>
        <v/>
      </c>
      <c r="I1167">
        <f>IF(OR($B1167="",NOT(ISNUMBER($D1167))),"",IF(AND($E1167&lt;$D$2,$G1167&lt;&gt;"X",$F1167&lt;&gt;"Réalisé",$F1167&lt;&gt;"Clôturé"),"RETARD",""))</f>
        <v/>
      </c>
      <c r="J1167" s="29">
        <f>IF($B1167="","",IF(INDEX(Dossiers!$F$4:$F$63,22)="","",INDEX(Dossiers!$F$4:$F$63,22)))</f>
        <v/>
      </c>
      <c r="K1167" s="29">
        <f>IF($B1167="","",IF(INDEX(Dossiers!$G$4:$G$63,22)="","",INDEX(Dossiers!$G$4:$G$63,22)))</f>
        <v/>
      </c>
    </row>
    <row r="1168">
      <c r="A1168">
        <f>IF($B1168="","",INDEX(Dossiers!$E$4:$E$63,22))</f>
        <v/>
      </c>
      <c r="B1168">
        <f>IF(INDEX(Suivi!$B:$B,1190)="","",INDEX(Suivi!$B:$B,1190))</f>
        <v/>
      </c>
      <c r="C1168">
        <f>IF($B1168="","",IF(INDEX(Suivi!$D:$D,1190)="",INDEX(Suivi!$C:$C,1190),INDEX(Suivi!$D:$D,1190)))</f>
        <v/>
      </c>
      <c r="D1168" s="29">
        <f>IF($B1168="","",INDEX(Suivi!$E:$E,1190))</f>
        <v/>
      </c>
      <c r="E1168" s="29">
        <f>IF($B1168="","",INDEX(Suivi!$F:$F,1190))</f>
        <v/>
      </c>
      <c r="F1168">
        <f>IF($B1168="","",INDEX(Suivi!$G:$G,1190))</f>
        <v/>
      </c>
      <c r="H1168">
        <f>IF(OR($B1168="",NOT(ISNUMBER($D1168))),"",IF($E1168&lt;$D$2,"Passé",IF($D1168&gt;$F$2,"À venir","Dans la période")))</f>
        <v/>
      </c>
      <c r="I1168">
        <f>IF(OR($B1168="",NOT(ISNUMBER($D1168))),"",IF(AND($E1168&lt;$D$2,$G1168&lt;&gt;"X",$F1168&lt;&gt;"Réalisé",$F1168&lt;&gt;"Clôturé"),"RETARD",""))</f>
        <v/>
      </c>
      <c r="J1168" s="29">
        <f>IF($B1168="","",IF(INDEX(Dossiers!$F$4:$F$63,22)="","",INDEX(Dossiers!$F$4:$F$63,22)))</f>
        <v/>
      </c>
      <c r="K1168" s="29">
        <f>IF($B1168="","",IF(INDEX(Dossiers!$G$4:$G$63,22)="","",INDEX(Dossiers!$G$4:$G$63,22)))</f>
        <v/>
      </c>
    </row>
    <row r="1169">
      <c r="A1169">
        <f>IF($B1169="","",INDEX(Dossiers!$E$4:$E$63,22))</f>
        <v/>
      </c>
      <c r="B1169">
        <f>IF(INDEX(Suivi!$B:$B,1191)="","",INDEX(Suivi!$B:$B,1191))</f>
        <v/>
      </c>
      <c r="C1169">
        <f>IF($B1169="","",IF(INDEX(Suivi!$D:$D,1191)="",INDEX(Suivi!$C:$C,1191),INDEX(Suivi!$D:$D,1191)))</f>
        <v/>
      </c>
      <c r="D1169" s="29">
        <f>IF($B1169="","",INDEX(Suivi!$E:$E,1191))</f>
        <v/>
      </c>
      <c r="E1169" s="29">
        <f>IF($B1169="","",INDEX(Suivi!$F:$F,1191))</f>
        <v/>
      </c>
      <c r="F1169">
        <f>IF($B1169="","",INDEX(Suivi!$G:$G,1191))</f>
        <v/>
      </c>
      <c r="H1169">
        <f>IF(OR($B1169="",NOT(ISNUMBER($D1169))),"",IF($E1169&lt;$D$2,"Passé",IF($D1169&gt;$F$2,"À venir","Dans la période")))</f>
        <v/>
      </c>
      <c r="I1169">
        <f>IF(OR($B1169="",NOT(ISNUMBER($D1169))),"",IF(AND($E1169&lt;$D$2,$G1169&lt;&gt;"X",$F1169&lt;&gt;"Réalisé",$F1169&lt;&gt;"Clôturé"),"RETARD",""))</f>
        <v/>
      </c>
      <c r="J1169" s="29">
        <f>IF($B1169="","",IF(INDEX(Dossiers!$F$4:$F$63,22)="","",INDEX(Dossiers!$F$4:$F$63,22)))</f>
        <v/>
      </c>
      <c r="K1169" s="29">
        <f>IF($B1169="","",IF(INDEX(Dossiers!$G$4:$G$63,22)="","",INDEX(Dossiers!$G$4:$G$63,22)))</f>
        <v/>
      </c>
    </row>
    <row r="1170">
      <c r="A1170">
        <f>IF($B1170="","",INDEX(Dossiers!$E$4:$E$63,23))</f>
        <v/>
      </c>
      <c r="B1170">
        <f>IF(INDEX(Suivi!$B:$B,1193)="","",INDEX(Suivi!$B:$B,1193))</f>
        <v/>
      </c>
      <c r="C1170">
        <f>IF($B1170="","",IF(INDEX(Suivi!$D:$D,1193)="",INDEX(Suivi!$C:$C,1193),INDEX(Suivi!$D:$D,1193)))</f>
        <v/>
      </c>
      <c r="D1170" s="29">
        <f>IF($B1170="","",INDEX(Suivi!$E:$E,1193))</f>
        <v/>
      </c>
      <c r="E1170" s="29">
        <f>IF($B1170="","",INDEX(Suivi!$F:$F,1193))</f>
        <v/>
      </c>
      <c r="F1170">
        <f>IF($B1170="","",INDEX(Suivi!$G:$G,1193))</f>
        <v/>
      </c>
      <c r="H1170">
        <f>IF(OR($B1170="",NOT(ISNUMBER($D1170))),"",IF($E1170&lt;$D$2,"Passé",IF($D1170&gt;$F$2,"À venir","Dans la période")))</f>
        <v/>
      </c>
      <c r="I1170">
        <f>IF(OR($B1170="",NOT(ISNUMBER($D1170))),"",IF(AND($E1170&lt;$D$2,$G1170&lt;&gt;"X",$F1170&lt;&gt;"Réalisé",$F1170&lt;&gt;"Clôturé"),"RETARD",""))</f>
        <v/>
      </c>
      <c r="J1170" s="29">
        <f>IF($B1170="","",IF(INDEX(Dossiers!$F$4:$F$63,23)="","",INDEX(Dossiers!$F$4:$F$63,23)))</f>
        <v/>
      </c>
      <c r="K1170" s="29">
        <f>IF($B1170="","",IF(INDEX(Dossiers!$G$4:$G$63,23)="","",INDEX(Dossiers!$G$4:$G$63,23)))</f>
        <v/>
      </c>
    </row>
    <row r="1171">
      <c r="A1171">
        <f>IF($B1171="","",INDEX(Dossiers!$E$4:$E$63,23))</f>
        <v/>
      </c>
      <c r="B1171">
        <f>IF(INDEX(Suivi!$B:$B,1194)="","",INDEX(Suivi!$B:$B,1194))</f>
        <v/>
      </c>
      <c r="C1171">
        <f>IF($B1171="","",IF(INDEX(Suivi!$D:$D,1194)="",INDEX(Suivi!$C:$C,1194),INDEX(Suivi!$D:$D,1194)))</f>
        <v/>
      </c>
      <c r="D1171" s="29">
        <f>IF($B1171="","",INDEX(Suivi!$E:$E,1194))</f>
        <v/>
      </c>
      <c r="E1171" s="29">
        <f>IF($B1171="","",INDEX(Suivi!$F:$F,1194))</f>
        <v/>
      </c>
      <c r="F1171">
        <f>IF($B1171="","",INDEX(Suivi!$G:$G,1194))</f>
        <v/>
      </c>
      <c r="H1171">
        <f>IF(OR($B1171="",NOT(ISNUMBER($D1171))),"",IF($E1171&lt;$D$2,"Passé",IF($D1171&gt;$F$2,"À venir","Dans la période")))</f>
        <v/>
      </c>
      <c r="I1171">
        <f>IF(OR($B1171="",NOT(ISNUMBER($D1171))),"",IF(AND($E1171&lt;$D$2,$G1171&lt;&gt;"X",$F1171&lt;&gt;"Réalisé",$F1171&lt;&gt;"Clôturé"),"RETARD",""))</f>
        <v/>
      </c>
      <c r="J1171" s="29">
        <f>IF($B1171="","",IF(INDEX(Dossiers!$F$4:$F$63,23)="","",INDEX(Dossiers!$F$4:$F$63,23)))</f>
        <v/>
      </c>
      <c r="K1171" s="29">
        <f>IF($B1171="","",IF(INDEX(Dossiers!$G$4:$G$63,23)="","",INDEX(Dossiers!$G$4:$G$63,23)))</f>
        <v/>
      </c>
    </row>
    <row r="1172">
      <c r="A1172">
        <f>IF($B1172="","",INDEX(Dossiers!$E$4:$E$63,23))</f>
        <v/>
      </c>
      <c r="B1172">
        <f>IF(INDEX(Suivi!$B:$B,1195)="","",INDEX(Suivi!$B:$B,1195))</f>
        <v/>
      </c>
      <c r="C1172">
        <f>IF($B1172="","",IF(INDEX(Suivi!$D:$D,1195)="",INDEX(Suivi!$C:$C,1195),INDEX(Suivi!$D:$D,1195)))</f>
        <v/>
      </c>
      <c r="D1172" s="29">
        <f>IF($B1172="","",INDEX(Suivi!$E:$E,1195))</f>
        <v/>
      </c>
      <c r="E1172" s="29">
        <f>IF($B1172="","",INDEX(Suivi!$F:$F,1195))</f>
        <v/>
      </c>
      <c r="F1172">
        <f>IF($B1172="","",INDEX(Suivi!$G:$G,1195))</f>
        <v/>
      </c>
      <c r="H1172">
        <f>IF(OR($B1172="",NOT(ISNUMBER($D1172))),"",IF($E1172&lt;$D$2,"Passé",IF($D1172&gt;$F$2,"À venir","Dans la période")))</f>
        <v/>
      </c>
      <c r="I1172">
        <f>IF(OR($B1172="",NOT(ISNUMBER($D1172))),"",IF(AND($E1172&lt;$D$2,$G1172&lt;&gt;"X",$F1172&lt;&gt;"Réalisé",$F1172&lt;&gt;"Clôturé"),"RETARD",""))</f>
        <v/>
      </c>
      <c r="J1172" s="29">
        <f>IF($B1172="","",IF(INDEX(Dossiers!$F$4:$F$63,23)="","",INDEX(Dossiers!$F$4:$F$63,23)))</f>
        <v/>
      </c>
      <c r="K1172" s="29">
        <f>IF($B1172="","",IF(INDEX(Dossiers!$G$4:$G$63,23)="","",INDEX(Dossiers!$G$4:$G$63,23)))</f>
        <v/>
      </c>
    </row>
    <row r="1173">
      <c r="A1173">
        <f>IF($B1173="","",INDEX(Dossiers!$E$4:$E$63,23))</f>
        <v/>
      </c>
      <c r="B1173">
        <f>IF(INDEX(Suivi!$B:$B,1196)="","",INDEX(Suivi!$B:$B,1196))</f>
        <v/>
      </c>
      <c r="C1173">
        <f>IF($B1173="","",IF(INDEX(Suivi!$D:$D,1196)="",INDEX(Suivi!$C:$C,1196),INDEX(Suivi!$D:$D,1196)))</f>
        <v/>
      </c>
      <c r="D1173" s="29">
        <f>IF($B1173="","",INDEX(Suivi!$E:$E,1196))</f>
        <v/>
      </c>
      <c r="E1173" s="29">
        <f>IF($B1173="","",INDEX(Suivi!$F:$F,1196))</f>
        <v/>
      </c>
      <c r="F1173">
        <f>IF($B1173="","",INDEX(Suivi!$G:$G,1196))</f>
        <v/>
      </c>
      <c r="H1173">
        <f>IF(OR($B1173="",NOT(ISNUMBER($D1173))),"",IF($E1173&lt;$D$2,"Passé",IF($D1173&gt;$F$2,"À venir","Dans la période")))</f>
        <v/>
      </c>
      <c r="I1173">
        <f>IF(OR($B1173="",NOT(ISNUMBER($D1173))),"",IF(AND($E1173&lt;$D$2,$G1173&lt;&gt;"X",$F1173&lt;&gt;"Réalisé",$F1173&lt;&gt;"Clôturé"),"RETARD",""))</f>
        <v/>
      </c>
      <c r="J1173" s="29">
        <f>IF($B1173="","",IF(INDEX(Dossiers!$F$4:$F$63,23)="","",INDEX(Dossiers!$F$4:$F$63,23)))</f>
        <v/>
      </c>
      <c r="K1173" s="29">
        <f>IF($B1173="","",IF(INDEX(Dossiers!$G$4:$G$63,23)="","",INDEX(Dossiers!$G$4:$G$63,23)))</f>
        <v/>
      </c>
    </row>
    <row r="1174">
      <c r="A1174">
        <f>IF($B1174="","",INDEX(Dossiers!$E$4:$E$63,23))</f>
        <v/>
      </c>
      <c r="B1174">
        <f>IF(INDEX(Suivi!$B:$B,1197)="","",INDEX(Suivi!$B:$B,1197))</f>
        <v/>
      </c>
      <c r="C1174">
        <f>IF($B1174="","",IF(INDEX(Suivi!$D:$D,1197)="",INDEX(Suivi!$C:$C,1197),INDEX(Suivi!$D:$D,1197)))</f>
        <v/>
      </c>
      <c r="D1174" s="29">
        <f>IF($B1174="","",INDEX(Suivi!$E:$E,1197))</f>
        <v/>
      </c>
      <c r="E1174" s="29">
        <f>IF($B1174="","",INDEX(Suivi!$F:$F,1197))</f>
        <v/>
      </c>
      <c r="F1174">
        <f>IF($B1174="","",INDEX(Suivi!$G:$G,1197))</f>
        <v/>
      </c>
      <c r="H1174">
        <f>IF(OR($B1174="",NOT(ISNUMBER($D1174))),"",IF($E1174&lt;$D$2,"Passé",IF($D1174&gt;$F$2,"À venir","Dans la période")))</f>
        <v/>
      </c>
      <c r="I1174">
        <f>IF(OR($B1174="",NOT(ISNUMBER($D1174))),"",IF(AND($E1174&lt;$D$2,$G1174&lt;&gt;"X",$F1174&lt;&gt;"Réalisé",$F1174&lt;&gt;"Clôturé"),"RETARD",""))</f>
        <v/>
      </c>
      <c r="J1174" s="29">
        <f>IF($B1174="","",IF(INDEX(Dossiers!$F$4:$F$63,23)="","",INDEX(Dossiers!$F$4:$F$63,23)))</f>
        <v/>
      </c>
      <c r="K1174" s="29">
        <f>IF($B1174="","",IF(INDEX(Dossiers!$G$4:$G$63,23)="","",INDEX(Dossiers!$G$4:$G$63,23)))</f>
        <v/>
      </c>
    </row>
    <row r="1175">
      <c r="A1175">
        <f>IF($B1175="","",INDEX(Dossiers!$E$4:$E$63,23))</f>
        <v/>
      </c>
      <c r="B1175">
        <f>IF(INDEX(Suivi!$B:$B,1198)="","",INDEX(Suivi!$B:$B,1198))</f>
        <v/>
      </c>
      <c r="C1175">
        <f>IF($B1175="","",IF(INDEX(Suivi!$D:$D,1198)="",INDEX(Suivi!$C:$C,1198),INDEX(Suivi!$D:$D,1198)))</f>
        <v/>
      </c>
      <c r="D1175" s="29">
        <f>IF($B1175="","",INDEX(Suivi!$E:$E,1198))</f>
        <v/>
      </c>
      <c r="E1175" s="29">
        <f>IF($B1175="","",INDEX(Suivi!$F:$F,1198))</f>
        <v/>
      </c>
      <c r="F1175">
        <f>IF($B1175="","",INDEX(Suivi!$G:$G,1198))</f>
        <v/>
      </c>
      <c r="H1175">
        <f>IF(OR($B1175="",NOT(ISNUMBER($D1175))),"",IF($E1175&lt;$D$2,"Passé",IF($D1175&gt;$F$2,"À venir","Dans la période")))</f>
        <v/>
      </c>
      <c r="I1175">
        <f>IF(OR($B1175="",NOT(ISNUMBER($D1175))),"",IF(AND($E1175&lt;$D$2,$G1175&lt;&gt;"X",$F1175&lt;&gt;"Réalisé",$F1175&lt;&gt;"Clôturé"),"RETARD",""))</f>
        <v/>
      </c>
      <c r="J1175" s="29">
        <f>IF($B1175="","",IF(INDEX(Dossiers!$F$4:$F$63,23)="","",INDEX(Dossiers!$F$4:$F$63,23)))</f>
        <v/>
      </c>
      <c r="K1175" s="29">
        <f>IF($B1175="","",IF(INDEX(Dossiers!$G$4:$G$63,23)="","",INDEX(Dossiers!$G$4:$G$63,23)))</f>
        <v/>
      </c>
    </row>
    <row r="1176">
      <c r="A1176">
        <f>IF($B1176="","",INDEX(Dossiers!$E$4:$E$63,23))</f>
        <v/>
      </c>
      <c r="B1176">
        <f>IF(INDEX(Suivi!$B:$B,1199)="","",INDEX(Suivi!$B:$B,1199))</f>
        <v/>
      </c>
      <c r="C1176">
        <f>IF($B1176="","",IF(INDEX(Suivi!$D:$D,1199)="",INDEX(Suivi!$C:$C,1199),INDEX(Suivi!$D:$D,1199)))</f>
        <v/>
      </c>
      <c r="D1176" s="29">
        <f>IF($B1176="","",INDEX(Suivi!$E:$E,1199))</f>
        <v/>
      </c>
      <c r="E1176" s="29">
        <f>IF($B1176="","",INDEX(Suivi!$F:$F,1199))</f>
        <v/>
      </c>
      <c r="F1176">
        <f>IF($B1176="","",INDEX(Suivi!$G:$G,1199))</f>
        <v/>
      </c>
      <c r="H1176">
        <f>IF(OR($B1176="",NOT(ISNUMBER($D1176))),"",IF($E1176&lt;$D$2,"Passé",IF($D1176&gt;$F$2,"À venir","Dans la période")))</f>
        <v/>
      </c>
      <c r="I1176">
        <f>IF(OR($B1176="",NOT(ISNUMBER($D1176))),"",IF(AND($E1176&lt;$D$2,$G1176&lt;&gt;"X",$F1176&lt;&gt;"Réalisé",$F1176&lt;&gt;"Clôturé"),"RETARD",""))</f>
        <v/>
      </c>
      <c r="J1176" s="29">
        <f>IF($B1176="","",IF(INDEX(Dossiers!$F$4:$F$63,23)="","",INDEX(Dossiers!$F$4:$F$63,23)))</f>
        <v/>
      </c>
      <c r="K1176" s="29">
        <f>IF($B1176="","",IF(INDEX(Dossiers!$G$4:$G$63,23)="","",INDEX(Dossiers!$G$4:$G$63,23)))</f>
        <v/>
      </c>
    </row>
    <row r="1177">
      <c r="A1177">
        <f>IF($B1177="","",INDEX(Dossiers!$E$4:$E$63,23))</f>
        <v/>
      </c>
      <c r="B1177">
        <f>IF(INDEX(Suivi!$B:$B,1200)="","",INDEX(Suivi!$B:$B,1200))</f>
        <v/>
      </c>
      <c r="C1177">
        <f>IF($B1177="","",IF(INDEX(Suivi!$D:$D,1200)="",INDEX(Suivi!$C:$C,1200),INDEX(Suivi!$D:$D,1200)))</f>
        <v/>
      </c>
      <c r="D1177" s="29">
        <f>IF($B1177="","",INDEX(Suivi!$E:$E,1200))</f>
        <v/>
      </c>
      <c r="E1177" s="29">
        <f>IF($B1177="","",INDEX(Suivi!$F:$F,1200))</f>
        <v/>
      </c>
      <c r="F1177">
        <f>IF($B1177="","",INDEX(Suivi!$G:$G,1200))</f>
        <v/>
      </c>
      <c r="H1177">
        <f>IF(OR($B1177="",NOT(ISNUMBER($D1177))),"",IF($E1177&lt;$D$2,"Passé",IF($D1177&gt;$F$2,"À venir","Dans la période")))</f>
        <v/>
      </c>
      <c r="I1177">
        <f>IF(OR($B1177="",NOT(ISNUMBER($D1177))),"",IF(AND($E1177&lt;$D$2,$G1177&lt;&gt;"X",$F1177&lt;&gt;"Réalisé",$F1177&lt;&gt;"Clôturé"),"RETARD",""))</f>
        <v/>
      </c>
      <c r="J1177" s="29">
        <f>IF($B1177="","",IF(INDEX(Dossiers!$F$4:$F$63,23)="","",INDEX(Dossiers!$F$4:$F$63,23)))</f>
        <v/>
      </c>
      <c r="K1177" s="29">
        <f>IF($B1177="","",IF(INDEX(Dossiers!$G$4:$G$63,23)="","",INDEX(Dossiers!$G$4:$G$63,23)))</f>
        <v/>
      </c>
    </row>
    <row r="1178">
      <c r="A1178">
        <f>IF($B1178="","",INDEX(Dossiers!$E$4:$E$63,23))</f>
        <v/>
      </c>
      <c r="B1178">
        <f>IF(INDEX(Suivi!$B:$B,1201)="","",INDEX(Suivi!$B:$B,1201))</f>
        <v/>
      </c>
      <c r="C1178">
        <f>IF($B1178="","",IF(INDEX(Suivi!$D:$D,1201)="",INDEX(Suivi!$C:$C,1201),INDEX(Suivi!$D:$D,1201)))</f>
        <v/>
      </c>
      <c r="D1178" s="29">
        <f>IF($B1178="","",INDEX(Suivi!$E:$E,1201))</f>
        <v/>
      </c>
      <c r="E1178" s="29">
        <f>IF($B1178="","",INDEX(Suivi!$F:$F,1201))</f>
        <v/>
      </c>
      <c r="F1178">
        <f>IF($B1178="","",INDEX(Suivi!$G:$G,1201))</f>
        <v/>
      </c>
      <c r="H1178">
        <f>IF(OR($B1178="",NOT(ISNUMBER($D1178))),"",IF($E1178&lt;$D$2,"Passé",IF($D1178&gt;$F$2,"À venir","Dans la période")))</f>
        <v/>
      </c>
      <c r="I1178">
        <f>IF(OR($B1178="",NOT(ISNUMBER($D1178))),"",IF(AND($E1178&lt;$D$2,$G1178&lt;&gt;"X",$F1178&lt;&gt;"Réalisé",$F1178&lt;&gt;"Clôturé"),"RETARD",""))</f>
        <v/>
      </c>
      <c r="J1178" s="29">
        <f>IF($B1178="","",IF(INDEX(Dossiers!$F$4:$F$63,23)="","",INDEX(Dossiers!$F$4:$F$63,23)))</f>
        <v/>
      </c>
      <c r="K1178" s="29">
        <f>IF($B1178="","",IF(INDEX(Dossiers!$G$4:$G$63,23)="","",INDEX(Dossiers!$G$4:$G$63,23)))</f>
        <v/>
      </c>
    </row>
    <row r="1179">
      <c r="A1179">
        <f>IF($B1179="","",INDEX(Dossiers!$E$4:$E$63,23))</f>
        <v/>
      </c>
      <c r="B1179">
        <f>IF(INDEX(Suivi!$B:$B,1202)="","",INDEX(Suivi!$B:$B,1202))</f>
        <v/>
      </c>
      <c r="C1179">
        <f>IF($B1179="","",IF(INDEX(Suivi!$D:$D,1202)="",INDEX(Suivi!$C:$C,1202),INDEX(Suivi!$D:$D,1202)))</f>
        <v/>
      </c>
      <c r="D1179" s="29">
        <f>IF($B1179="","",INDEX(Suivi!$E:$E,1202))</f>
        <v/>
      </c>
      <c r="E1179" s="29">
        <f>IF($B1179="","",INDEX(Suivi!$F:$F,1202))</f>
        <v/>
      </c>
      <c r="F1179">
        <f>IF($B1179="","",INDEX(Suivi!$G:$G,1202))</f>
        <v/>
      </c>
      <c r="H1179">
        <f>IF(OR($B1179="",NOT(ISNUMBER($D1179))),"",IF($E1179&lt;$D$2,"Passé",IF($D1179&gt;$F$2,"À venir","Dans la période")))</f>
        <v/>
      </c>
      <c r="I1179">
        <f>IF(OR($B1179="",NOT(ISNUMBER($D1179))),"",IF(AND($E1179&lt;$D$2,$G1179&lt;&gt;"X",$F1179&lt;&gt;"Réalisé",$F1179&lt;&gt;"Clôturé"),"RETARD",""))</f>
        <v/>
      </c>
      <c r="J1179" s="29">
        <f>IF($B1179="","",IF(INDEX(Dossiers!$F$4:$F$63,23)="","",INDEX(Dossiers!$F$4:$F$63,23)))</f>
        <v/>
      </c>
      <c r="K1179" s="29">
        <f>IF($B1179="","",IF(INDEX(Dossiers!$G$4:$G$63,23)="","",INDEX(Dossiers!$G$4:$G$63,23)))</f>
        <v/>
      </c>
    </row>
    <row r="1180">
      <c r="A1180">
        <f>IF($B1180="","",INDEX(Dossiers!$E$4:$E$63,23))</f>
        <v/>
      </c>
      <c r="B1180">
        <f>IF(INDEX(Suivi!$B:$B,1203)="","",INDEX(Suivi!$B:$B,1203))</f>
        <v/>
      </c>
      <c r="C1180">
        <f>IF($B1180="","",IF(INDEX(Suivi!$D:$D,1203)="",INDEX(Suivi!$C:$C,1203),INDEX(Suivi!$D:$D,1203)))</f>
        <v/>
      </c>
      <c r="D1180" s="29">
        <f>IF($B1180="","",INDEX(Suivi!$E:$E,1203))</f>
        <v/>
      </c>
      <c r="E1180" s="29">
        <f>IF($B1180="","",INDEX(Suivi!$F:$F,1203))</f>
        <v/>
      </c>
      <c r="F1180">
        <f>IF($B1180="","",INDEX(Suivi!$G:$G,1203))</f>
        <v/>
      </c>
      <c r="H1180">
        <f>IF(OR($B1180="",NOT(ISNUMBER($D1180))),"",IF($E1180&lt;$D$2,"Passé",IF($D1180&gt;$F$2,"À venir","Dans la période")))</f>
        <v/>
      </c>
      <c r="I1180">
        <f>IF(OR($B1180="",NOT(ISNUMBER($D1180))),"",IF(AND($E1180&lt;$D$2,$G1180&lt;&gt;"X",$F1180&lt;&gt;"Réalisé",$F1180&lt;&gt;"Clôturé"),"RETARD",""))</f>
        <v/>
      </c>
      <c r="J1180" s="29">
        <f>IF($B1180="","",IF(INDEX(Dossiers!$F$4:$F$63,23)="","",INDEX(Dossiers!$F$4:$F$63,23)))</f>
        <v/>
      </c>
      <c r="K1180" s="29">
        <f>IF($B1180="","",IF(INDEX(Dossiers!$G$4:$G$63,23)="","",INDEX(Dossiers!$G$4:$G$63,23)))</f>
        <v/>
      </c>
    </row>
    <row r="1181">
      <c r="A1181">
        <f>IF($B1181="","",INDEX(Dossiers!$E$4:$E$63,23))</f>
        <v/>
      </c>
      <c r="B1181">
        <f>IF(INDEX(Suivi!$B:$B,1204)="","",INDEX(Suivi!$B:$B,1204))</f>
        <v/>
      </c>
      <c r="C1181">
        <f>IF($B1181="","",IF(INDEX(Suivi!$D:$D,1204)="",INDEX(Suivi!$C:$C,1204),INDEX(Suivi!$D:$D,1204)))</f>
        <v/>
      </c>
      <c r="D1181" s="29">
        <f>IF($B1181="","",INDEX(Suivi!$E:$E,1204))</f>
        <v/>
      </c>
      <c r="E1181" s="29">
        <f>IF($B1181="","",INDEX(Suivi!$F:$F,1204))</f>
        <v/>
      </c>
      <c r="F1181">
        <f>IF($B1181="","",INDEX(Suivi!$G:$G,1204))</f>
        <v/>
      </c>
      <c r="H1181">
        <f>IF(OR($B1181="",NOT(ISNUMBER($D1181))),"",IF($E1181&lt;$D$2,"Passé",IF($D1181&gt;$F$2,"À venir","Dans la période")))</f>
        <v/>
      </c>
      <c r="I1181">
        <f>IF(OR($B1181="",NOT(ISNUMBER($D1181))),"",IF(AND($E1181&lt;$D$2,$G1181&lt;&gt;"X",$F1181&lt;&gt;"Réalisé",$F1181&lt;&gt;"Clôturé"),"RETARD",""))</f>
        <v/>
      </c>
      <c r="J1181" s="29">
        <f>IF($B1181="","",IF(INDEX(Dossiers!$F$4:$F$63,23)="","",INDEX(Dossiers!$F$4:$F$63,23)))</f>
        <v/>
      </c>
      <c r="K1181" s="29">
        <f>IF($B1181="","",IF(INDEX(Dossiers!$G$4:$G$63,23)="","",INDEX(Dossiers!$G$4:$G$63,23)))</f>
        <v/>
      </c>
    </row>
    <row r="1182">
      <c r="A1182">
        <f>IF($B1182="","",INDEX(Dossiers!$E$4:$E$63,23))</f>
        <v/>
      </c>
      <c r="B1182">
        <f>IF(INDEX(Suivi!$B:$B,1205)="","",INDEX(Suivi!$B:$B,1205))</f>
        <v/>
      </c>
      <c r="C1182">
        <f>IF($B1182="","",IF(INDEX(Suivi!$D:$D,1205)="",INDEX(Suivi!$C:$C,1205),INDEX(Suivi!$D:$D,1205)))</f>
        <v/>
      </c>
      <c r="D1182" s="29">
        <f>IF($B1182="","",INDEX(Suivi!$E:$E,1205))</f>
        <v/>
      </c>
      <c r="E1182" s="29">
        <f>IF($B1182="","",INDEX(Suivi!$F:$F,1205))</f>
        <v/>
      </c>
      <c r="F1182">
        <f>IF($B1182="","",INDEX(Suivi!$G:$G,1205))</f>
        <v/>
      </c>
      <c r="H1182">
        <f>IF(OR($B1182="",NOT(ISNUMBER($D1182))),"",IF($E1182&lt;$D$2,"Passé",IF($D1182&gt;$F$2,"À venir","Dans la période")))</f>
        <v/>
      </c>
      <c r="I1182">
        <f>IF(OR($B1182="",NOT(ISNUMBER($D1182))),"",IF(AND($E1182&lt;$D$2,$G1182&lt;&gt;"X",$F1182&lt;&gt;"Réalisé",$F1182&lt;&gt;"Clôturé"),"RETARD",""))</f>
        <v/>
      </c>
      <c r="J1182" s="29">
        <f>IF($B1182="","",IF(INDEX(Dossiers!$F$4:$F$63,23)="","",INDEX(Dossiers!$F$4:$F$63,23)))</f>
        <v/>
      </c>
      <c r="K1182" s="29">
        <f>IF($B1182="","",IF(INDEX(Dossiers!$G$4:$G$63,23)="","",INDEX(Dossiers!$G$4:$G$63,23)))</f>
        <v/>
      </c>
    </row>
    <row r="1183">
      <c r="A1183">
        <f>IF($B1183="","",INDEX(Dossiers!$E$4:$E$63,23))</f>
        <v/>
      </c>
      <c r="B1183">
        <f>IF(INDEX(Suivi!$B:$B,1206)="","",INDEX(Suivi!$B:$B,1206))</f>
        <v/>
      </c>
      <c r="C1183">
        <f>IF($B1183="","",IF(INDEX(Suivi!$D:$D,1206)="",INDEX(Suivi!$C:$C,1206),INDEX(Suivi!$D:$D,1206)))</f>
        <v/>
      </c>
      <c r="D1183" s="29">
        <f>IF($B1183="","",INDEX(Suivi!$E:$E,1206))</f>
        <v/>
      </c>
      <c r="E1183" s="29">
        <f>IF($B1183="","",INDEX(Suivi!$F:$F,1206))</f>
        <v/>
      </c>
      <c r="F1183">
        <f>IF($B1183="","",INDEX(Suivi!$G:$G,1206))</f>
        <v/>
      </c>
      <c r="H1183">
        <f>IF(OR($B1183="",NOT(ISNUMBER($D1183))),"",IF($E1183&lt;$D$2,"Passé",IF($D1183&gt;$F$2,"À venir","Dans la période")))</f>
        <v/>
      </c>
      <c r="I1183">
        <f>IF(OR($B1183="",NOT(ISNUMBER($D1183))),"",IF(AND($E1183&lt;$D$2,$G1183&lt;&gt;"X",$F1183&lt;&gt;"Réalisé",$F1183&lt;&gt;"Clôturé"),"RETARD",""))</f>
        <v/>
      </c>
      <c r="J1183" s="29">
        <f>IF($B1183="","",IF(INDEX(Dossiers!$F$4:$F$63,23)="","",INDEX(Dossiers!$F$4:$F$63,23)))</f>
        <v/>
      </c>
      <c r="K1183" s="29">
        <f>IF($B1183="","",IF(INDEX(Dossiers!$G$4:$G$63,23)="","",INDEX(Dossiers!$G$4:$G$63,23)))</f>
        <v/>
      </c>
    </row>
    <row r="1184">
      <c r="A1184">
        <f>IF($B1184="","",INDEX(Dossiers!$E$4:$E$63,23))</f>
        <v/>
      </c>
      <c r="B1184">
        <f>IF(INDEX(Suivi!$B:$B,1207)="","",INDEX(Suivi!$B:$B,1207))</f>
        <v/>
      </c>
      <c r="C1184">
        <f>IF($B1184="","",IF(INDEX(Suivi!$D:$D,1207)="",INDEX(Suivi!$C:$C,1207),INDEX(Suivi!$D:$D,1207)))</f>
        <v/>
      </c>
      <c r="D1184" s="29">
        <f>IF($B1184="","",INDEX(Suivi!$E:$E,1207))</f>
        <v/>
      </c>
      <c r="E1184" s="29">
        <f>IF($B1184="","",INDEX(Suivi!$F:$F,1207))</f>
        <v/>
      </c>
      <c r="F1184">
        <f>IF($B1184="","",INDEX(Suivi!$G:$G,1207))</f>
        <v/>
      </c>
      <c r="H1184">
        <f>IF(OR($B1184="",NOT(ISNUMBER($D1184))),"",IF($E1184&lt;$D$2,"Passé",IF($D1184&gt;$F$2,"À venir","Dans la période")))</f>
        <v/>
      </c>
      <c r="I1184">
        <f>IF(OR($B1184="",NOT(ISNUMBER($D1184))),"",IF(AND($E1184&lt;$D$2,$G1184&lt;&gt;"X",$F1184&lt;&gt;"Réalisé",$F1184&lt;&gt;"Clôturé"),"RETARD",""))</f>
        <v/>
      </c>
      <c r="J1184" s="29">
        <f>IF($B1184="","",IF(INDEX(Dossiers!$F$4:$F$63,23)="","",INDEX(Dossiers!$F$4:$F$63,23)))</f>
        <v/>
      </c>
      <c r="K1184" s="29">
        <f>IF($B1184="","",IF(INDEX(Dossiers!$G$4:$G$63,23)="","",INDEX(Dossiers!$G$4:$G$63,23)))</f>
        <v/>
      </c>
    </row>
    <row r="1185">
      <c r="A1185">
        <f>IF($B1185="","",INDEX(Dossiers!$E$4:$E$63,23))</f>
        <v/>
      </c>
      <c r="B1185">
        <f>IF(INDEX(Suivi!$B:$B,1208)="","",INDEX(Suivi!$B:$B,1208))</f>
        <v/>
      </c>
      <c r="C1185">
        <f>IF($B1185="","",IF(INDEX(Suivi!$D:$D,1208)="",INDEX(Suivi!$C:$C,1208),INDEX(Suivi!$D:$D,1208)))</f>
        <v/>
      </c>
      <c r="D1185" s="29">
        <f>IF($B1185="","",INDEX(Suivi!$E:$E,1208))</f>
        <v/>
      </c>
      <c r="E1185" s="29">
        <f>IF($B1185="","",INDEX(Suivi!$F:$F,1208))</f>
        <v/>
      </c>
      <c r="F1185">
        <f>IF($B1185="","",INDEX(Suivi!$G:$G,1208))</f>
        <v/>
      </c>
      <c r="H1185">
        <f>IF(OR($B1185="",NOT(ISNUMBER($D1185))),"",IF($E1185&lt;$D$2,"Passé",IF($D1185&gt;$F$2,"À venir","Dans la période")))</f>
        <v/>
      </c>
      <c r="I1185">
        <f>IF(OR($B1185="",NOT(ISNUMBER($D1185))),"",IF(AND($E1185&lt;$D$2,$G1185&lt;&gt;"X",$F1185&lt;&gt;"Réalisé",$F1185&lt;&gt;"Clôturé"),"RETARD",""))</f>
        <v/>
      </c>
      <c r="J1185" s="29">
        <f>IF($B1185="","",IF(INDEX(Dossiers!$F$4:$F$63,23)="","",INDEX(Dossiers!$F$4:$F$63,23)))</f>
        <v/>
      </c>
      <c r="K1185" s="29">
        <f>IF($B1185="","",IF(INDEX(Dossiers!$G$4:$G$63,23)="","",INDEX(Dossiers!$G$4:$G$63,23)))</f>
        <v/>
      </c>
    </row>
    <row r="1186">
      <c r="A1186">
        <f>IF($B1186="","",INDEX(Dossiers!$E$4:$E$63,23))</f>
        <v/>
      </c>
      <c r="B1186">
        <f>IF(INDEX(Suivi!$B:$B,1209)="","",INDEX(Suivi!$B:$B,1209))</f>
        <v/>
      </c>
      <c r="C1186">
        <f>IF($B1186="","",IF(INDEX(Suivi!$D:$D,1209)="",INDEX(Suivi!$C:$C,1209),INDEX(Suivi!$D:$D,1209)))</f>
        <v/>
      </c>
      <c r="D1186" s="29">
        <f>IF($B1186="","",INDEX(Suivi!$E:$E,1209))</f>
        <v/>
      </c>
      <c r="E1186" s="29">
        <f>IF($B1186="","",INDEX(Suivi!$F:$F,1209))</f>
        <v/>
      </c>
      <c r="F1186">
        <f>IF($B1186="","",INDEX(Suivi!$G:$G,1209))</f>
        <v/>
      </c>
      <c r="H1186">
        <f>IF(OR($B1186="",NOT(ISNUMBER($D1186))),"",IF($E1186&lt;$D$2,"Passé",IF($D1186&gt;$F$2,"À venir","Dans la période")))</f>
        <v/>
      </c>
      <c r="I1186">
        <f>IF(OR($B1186="",NOT(ISNUMBER($D1186))),"",IF(AND($E1186&lt;$D$2,$G1186&lt;&gt;"X",$F1186&lt;&gt;"Réalisé",$F1186&lt;&gt;"Clôturé"),"RETARD",""))</f>
        <v/>
      </c>
      <c r="J1186" s="29">
        <f>IF($B1186="","",IF(INDEX(Dossiers!$F$4:$F$63,23)="","",INDEX(Dossiers!$F$4:$F$63,23)))</f>
        <v/>
      </c>
      <c r="K1186" s="29">
        <f>IF($B1186="","",IF(INDEX(Dossiers!$G$4:$G$63,23)="","",INDEX(Dossiers!$G$4:$G$63,23)))</f>
        <v/>
      </c>
    </row>
    <row r="1187">
      <c r="A1187">
        <f>IF($B1187="","",INDEX(Dossiers!$E$4:$E$63,23))</f>
        <v/>
      </c>
      <c r="B1187">
        <f>IF(INDEX(Suivi!$B:$B,1210)="","",INDEX(Suivi!$B:$B,1210))</f>
        <v/>
      </c>
      <c r="C1187">
        <f>IF($B1187="","",IF(INDEX(Suivi!$D:$D,1210)="",INDEX(Suivi!$C:$C,1210),INDEX(Suivi!$D:$D,1210)))</f>
        <v/>
      </c>
      <c r="D1187" s="29">
        <f>IF($B1187="","",INDEX(Suivi!$E:$E,1210))</f>
        <v/>
      </c>
      <c r="E1187" s="29">
        <f>IF($B1187="","",INDEX(Suivi!$F:$F,1210))</f>
        <v/>
      </c>
      <c r="F1187">
        <f>IF($B1187="","",INDEX(Suivi!$G:$G,1210))</f>
        <v/>
      </c>
      <c r="H1187">
        <f>IF(OR($B1187="",NOT(ISNUMBER($D1187))),"",IF($E1187&lt;$D$2,"Passé",IF($D1187&gt;$F$2,"À venir","Dans la période")))</f>
        <v/>
      </c>
      <c r="I1187">
        <f>IF(OR($B1187="",NOT(ISNUMBER($D1187))),"",IF(AND($E1187&lt;$D$2,$G1187&lt;&gt;"X",$F1187&lt;&gt;"Réalisé",$F1187&lt;&gt;"Clôturé"),"RETARD",""))</f>
        <v/>
      </c>
      <c r="J1187" s="29">
        <f>IF($B1187="","",IF(INDEX(Dossiers!$F$4:$F$63,23)="","",INDEX(Dossiers!$F$4:$F$63,23)))</f>
        <v/>
      </c>
      <c r="K1187" s="29">
        <f>IF($B1187="","",IF(INDEX(Dossiers!$G$4:$G$63,23)="","",INDEX(Dossiers!$G$4:$G$63,23)))</f>
        <v/>
      </c>
    </row>
    <row r="1188">
      <c r="A1188">
        <f>IF($B1188="","",INDEX(Dossiers!$E$4:$E$63,23))</f>
        <v/>
      </c>
      <c r="B1188">
        <f>IF(INDEX(Suivi!$B:$B,1211)="","",INDEX(Suivi!$B:$B,1211))</f>
        <v/>
      </c>
      <c r="C1188">
        <f>IF($B1188="","",IF(INDEX(Suivi!$D:$D,1211)="",INDEX(Suivi!$C:$C,1211),INDEX(Suivi!$D:$D,1211)))</f>
        <v/>
      </c>
      <c r="D1188" s="29">
        <f>IF($B1188="","",INDEX(Suivi!$E:$E,1211))</f>
        <v/>
      </c>
      <c r="E1188" s="29">
        <f>IF($B1188="","",INDEX(Suivi!$F:$F,1211))</f>
        <v/>
      </c>
      <c r="F1188">
        <f>IF($B1188="","",INDEX(Suivi!$G:$G,1211))</f>
        <v/>
      </c>
      <c r="H1188">
        <f>IF(OR($B1188="",NOT(ISNUMBER($D1188))),"",IF($E1188&lt;$D$2,"Passé",IF($D1188&gt;$F$2,"À venir","Dans la période")))</f>
        <v/>
      </c>
      <c r="I1188">
        <f>IF(OR($B1188="",NOT(ISNUMBER($D1188))),"",IF(AND($E1188&lt;$D$2,$G1188&lt;&gt;"X",$F1188&lt;&gt;"Réalisé",$F1188&lt;&gt;"Clôturé"),"RETARD",""))</f>
        <v/>
      </c>
      <c r="J1188" s="29">
        <f>IF($B1188="","",IF(INDEX(Dossiers!$F$4:$F$63,23)="","",INDEX(Dossiers!$F$4:$F$63,23)))</f>
        <v/>
      </c>
      <c r="K1188" s="29">
        <f>IF($B1188="","",IF(INDEX(Dossiers!$G$4:$G$63,23)="","",INDEX(Dossiers!$G$4:$G$63,23)))</f>
        <v/>
      </c>
    </row>
    <row r="1189">
      <c r="A1189">
        <f>IF($B1189="","",INDEX(Dossiers!$E$4:$E$63,23))</f>
        <v/>
      </c>
      <c r="B1189">
        <f>IF(INDEX(Suivi!$B:$B,1212)="","",INDEX(Suivi!$B:$B,1212))</f>
        <v/>
      </c>
      <c r="C1189">
        <f>IF($B1189="","",IF(INDEX(Suivi!$D:$D,1212)="",INDEX(Suivi!$C:$C,1212),INDEX(Suivi!$D:$D,1212)))</f>
        <v/>
      </c>
      <c r="D1189" s="29">
        <f>IF($B1189="","",INDEX(Suivi!$E:$E,1212))</f>
        <v/>
      </c>
      <c r="E1189" s="29">
        <f>IF($B1189="","",INDEX(Suivi!$F:$F,1212))</f>
        <v/>
      </c>
      <c r="F1189">
        <f>IF($B1189="","",INDEX(Suivi!$G:$G,1212))</f>
        <v/>
      </c>
      <c r="H1189">
        <f>IF(OR($B1189="",NOT(ISNUMBER($D1189))),"",IF($E1189&lt;$D$2,"Passé",IF($D1189&gt;$F$2,"À venir","Dans la période")))</f>
        <v/>
      </c>
      <c r="I1189">
        <f>IF(OR($B1189="",NOT(ISNUMBER($D1189))),"",IF(AND($E1189&lt;$D$2,$G1189&lt;&gt;"X",$F1189&lt;&gt;"Réalisé",$F1189&lt;&gt;"Clôturé"),"RETARD",""))</f>
        <v/>
      </c>
      <c r="J1189" s="29">
        <f>IF($B1189="","",IF(INDEX(Dossiers!$F$4:$F$63,23)="","",INDEX(Dossiers!$F$4:$F$63,23)))</f>
        <v/>
      </c>
      <c r="K1189" s="29">
        <f>IF($B1189="","",IF(INDEX(Dossiers!$G$4:$G$63,23)="","",INDEX(Dossiers!$G$4:$G$63,23)))</f>
        <v/>
      </c>
    </row>
    <row r="1190">
      <c r="A1190">
        <f>IF($B1190="","",INDEX(Dossiers!$E$4:$E$63,23))</f>
        <v/>
      </c>
      <c r="B1190">
        <f>IF(INDEX(Suivi!$B:$B,1213)="","",INDEX(Suivi!$B:$B,1213))</f>
        <v/>
      </c>
      <c r="C1190">
        <f>IF($B1190="","",IF(INDEX(Suivi!$D:$D,1213)="",INDEX(Suivi!$C:$C,1213),INDEX(Suivi!$D:$D,1213)))</f>
        <v/>
      </c>
      <c r="D1190" s="29">
        <f>IF($B1190="","",INDEX(Suivi!$E:$E,1213))</f>
        <v/>
      </c>
      <c r="E1190" s="29">
        <f>IF($B1190="","",INDEX(Suivi!$F:$F,1213))</f>
        <v/>
      </c>
      <c r="F1190">
        <f>IF($B1190="","",INDEX(Suivi!$G:$G,1213))</f>
        <v/>
      </c>
      <c r="H1190">
        <f>IF(OR($B1190="",NOT(ISNUMBER($D1190))),"",IF($E1190&lt;$D$2,"Passé",IF($D1190&gt;$F$2,"À venir","Dans la période")))</f>
        <v/>
      </c>
      <c r="I1190">
        <f>IF(OR($B1190="",NOT(ISNUMBER($D1190))),"",IF(AND($E1190&lt;$D$2,$G1190&lt;&gt;"X",$F1190&lt;&gt;"Réalisé",$F1190&lt;&gt;"Clôturé"),"RETARD",""))</f>
        <v/>
      </c>
      <c r="J1190" s="29">
        <f>IF($B1190="","",IF(INDEX(Dossiers!$F$4:$F$63,23)="","",INDEX(Dossiers!$F$4:$F$63,23)))</f>
        <v/>
      </c>
      <c r="K1190" s="29">
        <f>IF($B1190="","",IF(INDEX(Dossiers!$G$4:$G$63,23)="","",INDEX(Dossiers!$G$4:$G$63,23)))</f>
        <v/>
      </c>
    </row>
    <row r="1191">
      <c r="A1191">
        <f>IF($B1191="","",INDEX(Dossiers!$E$4:$E$63,23))</f>
        <v/>
      </c>
      <c r="B1191">
        <f>IF(INDEX(Suivi!$B:$B,1214)="","",INDEX(Suivi!$B:$B,1214))</f>
        <v/>
      </c>
      <c r="C1191">
        <f>IF($B1191="","",IF(INDEX(Suivi!$D:$D,1214)="",INDEX(Suivi!$C:$C,1214),INDEX(Suivi!$D:$D,1214)))</f>
        <v/>
      </c>
      <c r="D1191" s="29">
        <f>IF($B1191="","",INDEX(Suivi!$E:$E,1214))</f>
        <v/>
      </c>
      <c r="E1191" s="29">
        <f>IF($B1191="","",INDEX(Suivi!$F:$F,1214))</f>
        <v/>
      </c>
      <c r="F1191">
        <f>IF($B1191="","",INDEX(Suivi!$G:$G,1214))</f>
        <v/>
      </c>
      <c r="H1191">
        <f>IF(OR($B1191="",NOT(ISNUMBER($D1191))),"",IF($E1191&lt;$D$2,"Passé",IF($D1191&gt;$F$2,"À venir","Dans la période")))</f>
        <v/>
      </c>
      <c r="I1191">
        <f>IF(OR($B1191="",NOT(ISNUMBER($D1191))),"",IF(AND($E1191&lt;$D$2,$G1191&lt;&gt;"X",$F1191&lt;&gt;"Réalisé",$F1191&lt;&gt;"Clôturé"),"RETARD",""))</f>
        <v/>
      </c>
      <c r="J1191" s="29">
        <f>IF($B1191="","",IF(INDEX(Dossiers!$F$4:$F$63,23)="","",INDEX(Dossiers!$F$4:$F$63,23)))</f>
        <v/>
      </c>
      <c r="K1191" s="29">
        <f>IF($B1191="","",IF(INDEX(Dossiers!$G$4:$G$63,23)="","",INDEX(Dossiers!$G$4:$G$63,23)))</f>
        <v/>
      </c>
    </row>
    <row r="1192">
      <c r="A1192">
        <f>IF($B1192="","",INDEX(Dossiers!$E$4:$E$63,23))</f>
        <v/>
      </c>
      <c r="B1192">
        <f>IF(INDEX(Suivi!$B:$B,1215)="","",INDEX(Suivi!$B:$B,1215))</f>
        <v/>
      </c>
      <c r="C1192">
        <f>IF($B1192="","",IF(INDEX(Suivi!$D:$D,1215)="",INDEX(Suivi!$C:$C,1215),INDEX(Suivi!$D:$D,1215)))</f>
        <v/>
      </c>
      <c r="D1192" s="29">
        <f>IF($B1192="","",INDEX(Suivi!$E:$E,1215))</f>
        <v/>
      </c>
      <c r="E1192" s="29">
        <f>IF($B1192="","",INDEX(Suivi!$F:$F,1215))</f>
        <v/>
      </c>
      <c r="F1192">
        <f>IF($B1192="","",INDEX(Suivi!$G:$G,1215))</f>
        <v/>
      </c>
      <c r="H1192">
        <f>IF(OR($B1192="",NOT(ISNUMBER($D1192))),"",IF($E1192&lt;$D$2,"Passé",IF($D1192&gt;$F$2,"À venir","Dans la période")))</f>
        <v/>
      </c>
      <c r="I1192">
        <f>IF(OR($B1192="",NOT(ISNUMBER($D1192))),"",IF(AND($E1192&lt;$D$2,$G1192&lt;&gt;"X",$F1192&lt;&gt;"Réalisé",$F1192&lt;&gt;"Clôturé"),"RETARD",""))</f>
        <v/>
      </c>
      <c r="J1192" s="29">
        <f>IF($B1192="","",IF(INDEX(Dossiers!$F$4:$F$63,23)="","",INDEX(Dossiers!$F$4:$F$63,23)))</f>
        <v/>
      </c>
      <c r="K1192" s="29">
        <f>IF($B1192="","",IF(INDEX(Dossiers!$G$4:$G$63,23)="","",INDEX(Dossiers!$G$4:$G$63,23)))</f>
        <v/>
      </c>
    </row>
    <row r="1193">
      <c r="A1193">
        <f>IF($B1193="","",INDEX(Dossiers!$E$4:$E$63,23))</f>
        <v/>
      </c>
      <c r="B1193">
        <f>IF(INDEX(Suivi!$B:$B,1216)="","",INDEX(Suivi!$B:$B,1216))</f>
        <v/>
      </c>
      <c r="C1193">
        <f>IF($B1193="","",IF(INDEX(Suivi!$D:$D,1216)="",INDEX(Suivi!$C:$C,1216),INDEX(Suivi!$D:$D,1216)))</f>
        <v/>
      </c>
      <c r="D1193" s="29">
        <f>IF($B1193="","",INDEX(Suivi!$E:$E,1216))</f>
        <v/>
      </c>
      <c r="E1193" s="29">
        <f>IF($B1193="","",INDEX(Suivi!$F:$F,1216))</f>
        <v/>
      </c>
      <c r="F1193">
        <f>IF($B1193="","",INDEX(Suivi!$G:$G,1216))</f>
        <v/>
      </c>
      <c r="H1193">
        <f>IF(OR($B1193="",NOT(ISNUMBER($D1193))),"",IF($E1193&lt;$D$2,"Passé",IF($D1193&gt;$F$2,"À venir","Dans la période")))</f>
        <v/>
      </c>
      <c r="I1193">
        <f>IF(OR($B1193="",NOT(ISNUMBER($D1193))),"",IF(AND($E1193&lt;$D$2,$G1193&lt;&gt;"X",$F1193&lt;&gt;"Réalisé",$F1193&lt;&gt;"Clôturé"),"RETARD",""))</f>
        <v/>
      </c>
      <c r="J1193" s="29">
        <f>IF($B1193="","",IF(INDEX(Dossiers!$F$4:$F$63,23)="","",INDEX(Dossiers!$F$4:$F$63,23)))</f>
        <v/>
      </c>
      <c r="K1193" s="29">
        <f>IF($B1193="","",IF(INDEX(Dossiers!$G$4:$G$63,23)="","",INDEX(Dossiers!$G$4:$G$63,23)))</f>
        <v/>
      </c>
    </row>
    <row r="1194">
      <c r="A1194">
        <f>IF($B1194="","",INDEX(Dossiers!$E$4:$E$63,23))</f>
        <v/>
      </c>
      <c r="B1194">
        <f>IF(INDEX(Suivi!$B:$B,1217)="","",INDEX(Suivi!$B:$B,1217))</f>
        <v/>
      </c>
      <c r="C1194">
        <f>IF($B1194="","",IF(INDEX(Suivi!$D:$D,1217)="",INDEX(Suivi!$C:$C,1217),INDEX(Suivi!$D:$D,1217)))</f>
        <v/>
      </c>
      <c r="D1194" s="29">
        <f>IF($B1194="","",INDEX(Suivi!$E:$E,1217))</f>
        <v/>
      </c>
      <c r="E1194" s="29">
        <f>IF($B1194="","",INDEX(Suivi!$F:$F,1217))</f>
        <v/>
      </c>
      <c r="F1194">
        <f>IF($B1194="","",INDEX(Suivi!$G:$G,1217))</f>
        <v/>
      </c>
      <c r="H1194">
        <f>IF(OR($B1194="",NOT(ISNUMBER($D1194))),"",IF($E1194&lt;$D$2,"Passé",IF($D1194&gt;$F$2,"À venir","Dans la période")))</f>
        <v/>
      </c>
      <c r="I1194">
        <f>IF(OR($B1194="",NOT(ISNUMBER($D1194))),"",IF(AND($E1194&lt;$D$2,$G1194&lt;&gt;"X",$F1194&lt;&gt;"Réalisé",$F1194&lt;&gt;"Clôturé"),"RETARD",""))</f>
        <v/>
      </c>
      <c r="J1194" s="29">
        <f>IF($B1194="","",IF(INDEX(Dossiers!$F$4:$F$63,23)="","",INDEX(Dossiers!$F$4:$F$63,23)))</f>
        <v/>
      </c>
      <c r="K1194" s="29">
        <f>IF($B1194="","",IF(INDEX(Dossiers!$G$4:$G$63,23)="","",INDEX(Dossiers!$G$4:$G$63,23)))</f>
        <v/>
      </c>
    </row>
    <row r="1195">
      <c r="A1195">
        <f>IF($B1195="","",INDEX(Dossiers!$E$4:$E$63,23))</f>
        <v/>
      </c>
      <c r="B1195">
        <f>IF(INDEX(Suivi!$B:$B,1218)="","",INDEX(Suivi!$B:$B,1218))</f>
        <v/>
      </c>
      <c r="C1195">
        <f>IF($B1195="","",IF(INDEX(Suivi!$D:$D,1218)="",INDEX(Suivi!$C:$C,1218),INDEX(Suivi!$D:$D,1218)))</f>
        <v/>
      </c>
      <c r="D1195" s="29">
        <f>IF($B1195="","",INDEX(Suivi!$E:$E,1218))</f>
        <v/>
      </c>
      <c r="E1195" s="29">
        <f>IF($B1195="","",INDEX(Suivi!$F:$F,1218))</f>
        <v/>
      </c>
      <c r="F1195">
        <f>IF($B1195="","",INDEX(Suivi!$G:$G,1218))</f>
        <v/>
      </c>
      <c r="H1195">
        <f>IF(OR($B1195="",NOT(ISNUMBER($D1195))),"",IF($E1195&lt;$D$2,"Passé",IF($D1195&gt;$F$2,"À venir","Dans la période")))</f>
        <v/>
      </c>
      <c r="I1195">
        <f>IF(OR($B1195="",NOT(ISNUMBER($D1195))),"",IF(AND($E1195&lt;$D$2,$G1195&lt;&gt;"X",$F1195&lt;&gt;"Réalisé",$F1195&lt;&gt;"Clôturé"),"RETARD",""))</f>
        <v/>
      </c>
      <c r="J1195" s="29">
        <f>IF($B1195="","",IF(INDEX(Dossiers!$F$4:$F$63,23)="","",INDEX(Dossiers!$F$4:$F$63,23)))</f>
        <v/>
      </c>
      <c r="K1195" s="29">
        <f>IF($B1195="","",IF(INDEX(Dossiers!$G$4:$G$63,23)="","",INDEX(Dossiers!$G$4:$G$63,23)))</f>
        <v/>
      </c>
    </row>
    <row r="1196">
      <c r="A1196">
        <f>IF($B1196="","",INDEX(Dossiers!$E$4:$E$63,23))</f>
        <v/>
      </c>
      <c r="B1196">
        <f>IF(INDEX(Suivi!$B:$B,1219)="","",INDEX(Suivi!$B:$B,1219))</f>
        <v/>
      </c>
      <c r="C1196">
        <f>IF($B1196="","",IF(INDEX(Suivi!$D:$D,1219)="",INDEX(Suivi!$C:$C,1219),INDEX(Suivi!$D:$D,1219)))</f>
        <v/>
      </c>
      <c r="D1196" s="29">
        <f>IF($B1196="","",INDEX(Suivi!$E:$E,1219))</f>
        <v/>
      </c>
      <c r="E1196" s="29">
        <f>IF($B1196="","",INDEX(Suivi!$F:$F,1219))</f>
        <v/>
      </c>
      <c r="F1196">
        <f>IF($B1196="","",INDEX(Suivi!$G:$G,1219))</f>
        <v/>
      </c>
      <c r="H1196">
        <f>IF(OR($B1196="",NOT(ISNUMBER($D1196))),"",IF($E1196&lt;$D$2,"Passé",IF($D1196&gt;$F$2,"À venir","Dans la période")))</f>
        <v/>
      </c>
      <c r="I1196">
        <f>IF(OR($B1196="",NOT(ISNUMBER($D1196))),"",IF(AND($E1196&lt;$D$2,$G1196&lt;&gt;"X",$F1196&lt;&gt;"Réalisé",$F1196&lt;&gt;"Clôturé"),"RETARD",""))</f>
        <v/>
      </c>
      <c r="J1196" s="29">
        <f>IF($B1196="","",IF(INDEX(Dossiers!$F$4:$F$63,23)="","",INDEX(Dossiers!$F$4:$F$63,23)))</f>
        <v/>
      </c>
      <c r="K1196" s="29">
        <f>IF($B1196="","",IF(INDEX(Dossiers!$G$4:$G$63,23)="","",INDEX(Dossiers!$G$4:$G$63,23)))</f>
        <v/>
      </c>
    </row>
    <row r="1197">
      <c r="A1197">
        <f>IF($B1197="","",INDEX(Dossiers!$E$4:$E$63,23))</f>
        <v/>
      </c>
      <c r="B1197">
        <f>IF(INDEX(Suivi!$B:$B,1220)="","",INDEX(Suivi!$B:$B,1220))</f>
        <v/>
      </c>
      <c r="C1197">
        <f>IF($B1197="","",IF(INDEX(Suivi!$D:$D,1220)="",INDEX(Suivi!$C:$C,1220),INDEX(Suivi!$D:$D,1220)))</f>
        <v/>
      </c>
      <c r="D1197" s="29">
        <f>IF($B1197="","",INDEX(Suivi!$E:$E,1220))</f>
        <v/>
      </c>
      <c r="E1197" s="29">
        <f>IF($B1197="","",INDEX(Suivi!$F:$F,1220))</f>
        <v/>
      </c>
      <c r="F1197">
        <f>IF($B1197="","",INDEX(Suivi!$G:$G,1220))</f>
        <v/>
      </c>
      <c r="H1197">
        <f>IF(OR($B1197="",NOT(ISNUMBER($D1197))),"",IF($E1197&lt;$D$2,"Passé",IF($D1197&gt;$F$2,"À venir","Dans la période")))</f>
        <v/>
      </c>
      <c r="I1197">
        <f>IF(OR($B1197="",NOT(ISNUMBER($D1197))),"",IF(AND($E1197&lt;$D$2,$G1197&lt;&gt;"X",$F1197&lt;&gt;"Réalisé",$F1197&lt;&gt;"Clôturé"),"RETARD",""))</f>
        <v/>
      </c>
      <c r="J1197" s="29">
        <f>IF($B1197="","",IF(INDEX(Dossiers!$F$4:$F$63,23)="","",INDEX(Dossiers!$F$4:$F$63,23)))</f>
        <v/>
      </c>
      <c r="K1197" s="29">
        <f>IF($B1197="","",IF(INDEX(Dossiers!$G$4:$G$63,23)="","",INDEX(Dossiers!$G$4:$G$63,23)))</f>
        <v/>
      </c>
    </row>
    <row r="1198">
      <c r="A1198">
        <f>IF($B1198="","",INDEX(Dossiers!$E$4:$E$63,23))</f>
        <v/>
      </c>
      <c r="B1198">
        <f>IF(INDEX(Suivi!$B:$B,1221)="","",INDEX(Suivi!$B:$B,1221))</f>
        <v/>
      </c>
      <c r="C1198">
        <f>IF($B1198="","",IF(INDEX(Suivi!$D:$D,1221)="",INDEX(Suivi!$C:$C,1221),INDEX(Suivi!$D:$D,1221)))</f>
        <v/>
      </c>
      <c r="D1198" s="29">
        <f>IF($B1198="","",INDEX(Suivi!$E:$E,1221))</f>
        <v/>
      </c>
      <c r="E1198" s="29">
        <f>IF($B1198="","",INDEX(Suivi!$F:$F,1221))</f>
        <v/>
      </c>
      <c r="F1198">
        <f>IF($B1198="","",INDEX(Suivi!$G:$G,1221))</f>
        <v/>
      </c>
      <c r="H1198">
        <f>IF(OR($B1198="",NOT(ISNUMBER($D1198))),"",IF($E1198&lt;$D$2,"Passé",IF($D1198&gt;$F$2,"À venir","Dans la période")))</f>
        <v/>
      </c>
      <c r="I1198">
        <f>IF(OR($B1198="",NOT(ISNUMBER($D1198))),"",IF(AND($E1198&lt;$D$2,$G1198&lt;&gt;"X",$F1198&lt;&gt;"Réalisé",$F1198&lt;&gt;"Clôturé"),"RETARD",""))</f>
        <v/>
      </c>
      <c r="J1198" s="29">
        <f>IF($B1198="","",IF(INDEX(Dossiers!$F$4:$F$63,23)="","",INDEX(Dossiers!$F$4:$F$63,23)))</f>
        <v/>
      </c>
      <c r="K1198" s="29">
        <f>IF($B1198="","",IF(INDEX(Dossiers!$G$4:$G$63,23)="","",INDEX(Dossiers!$G$4:$G$63,23)))</f>
        <v/>
      </c>
    </row>
    <row r="1199">
      <c r="A1199">
        <f>IF($B1199="","",INDEX(Dossiers!$E$4:$E$63,23))</f>
        <v/>
      </c>
      <c r="B1199">
        <f>IF(INDEX(Suivi!$B:$B,1222)="","",INDEX(Suivi!$B:$B,1222))</f>
        <v/>
      </c>
      <c r="C1199">
        <f>IF($B1199="","",IF(INDEX(Suivi!$D:$D,1222)="",INDEX(Suivi!$C:$C,1222),INDEX(Suivi!$D:$D,1222)))</f>
        <v/>
      </c>
      <c r="D1199" s="29">
        <f>IF($B1199="","",INDEX(Suivi!$E:$E,1222))</f>
        <v/>
      </c>
      <c r="E1199" s="29">
        <f>IF($B1199="","",INDEX(Suivi!$F:$F,1222))</f>
        <v/>
      </c>
      <c r="F1199">
        <f>IF($B1199="","",INDEX(Suivi!$G:$G,1222))</f>
        <v/>
      </c>
      <c r="H1199">
        <f>IF(OR($B1199="",NOT(ISNUMBER($D1199))),"",IF($E1199&lt;$D$2,"Passé",IF($D1199&gt;$F$2,"À venir","Dans la période")))</f>
        <v/>
      </c>
      <c r="I1199">
        <f>IF(OR($B1199="",NOT(ISNUMBER($D1199))),"",IF(AND($E1199&lt;$D$2,$G1199&lt;&gt;"X",$F1199&lt;&gt;"Réalisé",$F1199&lt;&gt;"Clôturé"),"RETARD",""))</f>
        <v/>
      </c>
      <c r="J1199" s="29">
        <f>IF($B1199="","",IF(INDEX(Dossiers!$F$4:$F$63,23)="","",INDEX(Dossiers!$F$4:$F$63,23)))</f>
        <v/>
      </c>
      <c r="K1199" s="29">
        <f>IF($B1199="","",IF(INDEX(Dossiers!$G$4:$G$63,23)="","",INDEX(Dossiers!$G$4:$G$63,23)))</f>
        <v/>
      </c>
    </row>
    <row r="1200">
      <c r="A1200">
        <f>IF($B1200="","",INDEX(Dossiers!$E$4:$E$63,23))</f>
        <v/>
      </c>
      <c r="B1200">
        <f>IF(INDEX(Suivi!$B:$B,1223)="","",INDEX(Suivi!$B:$B,1223))</f>
        <v/>
      </c>
      <c r="C1200">
        <f>IF($B1200="","",IF(INDEX(Suivi!$D:$D,1223)="",INDEX(Suivi!$C:$C,1223),INDEX(Suivi!$D:$D,1223)))</f>
        <v/>
      </c>
      <c r="D1200" s="29">
        <f>IF($B1200="","",INDEX(Suivi!$E:$E,1223))</f>
        <v/>
      </c>
      <c r="E1200" s="29">
        <f>IF($B1200="","",INDEX(Suivi!$F:$F,1223))</f>
        <v/>
      </c>
      <c r="F1200">
        <f>IF($B1200="","",INDEX(Suivi!$G:$G,1223))</f>
        <v/>
      </c>
      <c r="H1200">
        <f>IF(OR($B1200="",NOT(ISNUMBER($D1200))),"",IF($E1200&lt;$D$2,"Passé",IF($D1200&gt;$F$2,"À venir","Dans la période")))</f>
        <v/>
      </c>
      <c r="I1200">
        <f>IF(OR($B1200="",NOT(ISNUMBER($D1200))),"",IF(AND($E1200&lt;$D$2,$G1200&lt;&gt;"X",$F1200&lt;&gt;"Réalisé",$F1200&lt;&gt;"Clôturé"),"RETARD",""))</f>
        <v/>
      </c>
      <c r="J1200" s="29">
        <f>IF($B1200="","",IF(INDEX(Dossiers!$F$4:$F$63,23)="","",INDEX(Dossiers!$F$4:$F$63,23)))</f>
        <v/>
      </c>
      <c r="K1200" s="29">
        <f>IF($B1200="","",IF(INDEX(Dossiers!$G$4:$G$63,23)="","",INDEX(Dossiers!$G$4:$G$63,23)))</f>
        <v/>
      </c>
    </row>
    <row r="1201">
      <c r="A1201">
        <f>IF($B1201="","",INDEX(Dossiers!$E$4:$E$63,23))</f>
        <v/>
      </c>
      <c r="B1201">
        <f>IF(INDEX(Suivi!$B:$B,1224)="","",INDEX(Suivi!$B:$B,1224))</f>
        <v/>
      </c>
      <c r="C1201">
        <f>IF($B1201="","",IF(INDEX(Suivi!$D:$D,1224)="",INDEX(Suivi!$C:$C,1224),INDEX(Suivi!$D:$D,1224)))</f>
        <v/>
      </c>
      <c r="D1201" s="29">
        <f>IF($B1201="","",INDEX(Suivi!$E:$E,1224))</f>
        <v/>
      </c>
      <c r="E1201" s="29">
        <f>IF($B1201="","",INDEX(Suivi!$F:$F,1224))</f>
        <v/>
      </c>
      <c r="F1201">
        <f>IF($B1201="","",INDEX(Suivi!$G:$G,1224))</f>
        <v/>
      </c>
      <c r="H1201">
        <f>IF(OR($B1201="",NOT(ISNUMBER($D1201))),"",IF($E1201&lt;$D$2,"Passé",IF($D1201&gt;$F$2,"À venir","Dans la période")))</f>
        <v/>
      </c>
      <c r="I1201">
        <f>IF(OR($B1201="",NOT(ISNUMBER($D1201))),"",IF(AND($E1201&lt;$D$2,$G1201&lt;&gt;"X",$F1201&lt;&gt;"Réalisé",$F1201&lt;&gt;"Clôturé"),"RETARD",""))</f>
        <v/>
      </c>
      <c r="J1201" s="29">
        <f>IF($B1201="","",IF(INDEX(Dossiers!$F$4:$F$63,23)="","",INDEX(Dossiers!$F$4:$F$63,23)))</f>
        <v/>
      </c>
      <c r="K1201" s="29">
        <f>IF($B1201="","",IF(INDEX(Dossiers!$G$4:$G$63,23)="","",INDEX(Dossiers!$G$4:$G$63,23)))</f>
        <v/>
      </c>
    </row>
    <row r="1202">
      <c r="A1202">
        <f>IF($B1202="","",INDEX(Dossiers!$E$4:$E$63,23))</f>
        <v/>
      </c>
      <c r="B1202">
        <f>IF(INDEX(Suivi!$B:$B,1225)="","",INDEX(Suivi!$B:$B,1225))</f>
        <v/>
      </c>
      <c r="C1202">
        <f>IF($B1202="","",IF(INDEX(Suivi!$D:$D,1225)="",INDEX(Suivi!$C:$C,1225),INDEX(Suivi!$D:$D,1225)))</f>
        <v/>
      </c>
      <c r="D1202" s="29">
        <f>IF($B1202="","",INDEX(Suivi!$E:$E,1225))</f>
        <v/>
      </c>
      <c r="E1202" s="29">
        <f>IF($B1202="","",INDEX(Suivi!$F:$F,1225))</f>
        <v/>
      </c>
      <c r="F1202">
        <f>IF($B1202="","",INDEX(Suivi!$G:$G,1225))</f>
        <v/>
      </c>
      <c r="H1202">
        <f>IF(OR($B1202="",NOT(ISNUMBER($D1202))),"",IF($E1202&lt;$D$2,"Passé",IF($D1202&gt;$F$2,"À venir","Dans la période")))</f>
        <v/>
      </c>
      <c r="I1202">
        <f>IF(OR($B1202="",NOT(ISNUMBER($D1202))),"",IF(AND($E1202&lt;$D$2,$G1202&lt;&gt;"X",$F1202&lt;&gt;"Réalisé",$F1202&lt;&gt;"Clôturé"),"RETARD",""))</f>
        <v/>
      </c>
      <c r="J1202" s="29">
        <f>IF($B1202="","",IF(INDEX(Dossiers!$F$4:$F$63,23)="","",INDEX(Dossiers!$F$4:$F$63,23)))</f>
        <v/>
      </c>
      <c r="K1202" s="29">
        <f>IF($B1202="","",IF(INDEX(Dossiers!$G$4:$G$63,23)="","",INDEX(Dossiers!$G$4:$G$63,23)))</f>
        <v/>
      </c>
    </row>
    <row r="1203">
      <c r="A1203">
        <f>IF($B1203="","",INDEX(Dossiers!$E$4:$E$63,23))</f>
        <v/>
      </c>
      <c r="B1203">
        <f>IF(INDEX(Suivi!$B:$B,1226)="","",INDEX(Suivi!$B:$B,1226))</f>
        <v/>
      </c>
      <c r="C1203">
        <f>IF($B1203="","",IF(INDEX(Suivi!$D:$D,1226)="",INDEX(Suivi!$C:$C,1226),INDEX(Suivi!$D:$D,1226)))</f>
        <v/>
      </c>
      <c r="D1203" s="29">
        <f>IF($B1203="","",INDEX(Suivi!$E:$E,1226))</f>
        <v/>
      </c>
      <c r="E1203" s="29">
        <f>IF($B1203="","",INDEX(Suivi!$F:$F,1226))</f>
        <v/>
      </c>
      <c r="F1203">
        <f>IF($B1203="","",INDEX(Suivi!$G:$G,1226))</f>
        <v/>
      </c>
      <c r="H1203">
        <f>IF(OR($B1203="",NOT(ISNUMBER($D1203))),"",IF($E1203&lt;$D$2,"Passé",IF($D1203&gt;$F$2,"À venir","Dans la période")))</f>
        <v/>
      </c>
      <c r="I1203">
        <f>IF(OR($B1203="",NOT(ISNUMBER($D1203))),"",IF(AND($E1203&lt;$D$2,$G1203&lt;&gt;"X",$F1203&lt;&gt;"Réalisé",$F1203&lt;&gt;"Clôturé"),"RETARD",""))</f>
        <v/>
      </c>
      <c r="J1203" s="29">
        <f>IF($B1203="","",IF(INDEX(Dossiers!$F$4:$F$63,23)="","",INDEX(Dossiers!$F$4:$F$63,23)))</f>
        <v/>
      </c>
      <c r="K1203" s="29">
        <f>IF($B1203="","",IF(INDEX(Dossiers!$G$4:$G$63,23)="","",INDEX(Dossiers!$G$4:$G$63,23)))</f>
        <v/>
      </c>
    </row>
    <row r="1204">
      <c r="A1204">
        <f>IF($B1204="","",INDEX(Dossiers!$E$4:$E$63,23))</f>
        <v/>
      </c>
      <c r="B1204">
        <f>IF(INDEX(Suivi!$B:$B,1227)="","",INDEX(Suivi!$B:$B,1227))</f>
        <v/>
      </c>
      <c r="C1204">
        <f>IF($B1204="","",IF(INDEX(Suivi!$D:$D,1227)="",INDEX(Suivi!$C:$C,1227),INDEX(Suivi!$D:$D,1227)))</f>
        <v/>
      </c>
      <c r="D1204" s="29">
        <f>IF($B1204="","",INDEX(Suivi!$E:$E,1227))</f>
        <v/>
      </c>
      <c r="E1204" s="29">
        <f>IF($B1204="","",INDEX(Suivi!$F:$F,1227))</f>
        <v/>
      </c>
      <c r="F1204">
        <f>IF($B1204="","",INDEX(Suivi!$G:$G,1227))</f>
        <v/>
      </c>
      <c r="H1204">
        <f>IF(OR($B1204="",NOT(ISNUMBER($D1204))),"",IF($E1204&lt;$D$2,"Passé",IF($D1204&gt;$F$2,"À venir","Dans la période")))</f>
        <v/>
      </c>
      <c r="I1204">
        <f>IF(OR($B1204="",NOT(ISNUMBER($D1204))),"",IF(AND($E1204&lt;$D$2,$G1204&lt;&gt;"X",$F1204&lt;&gt;"Réalisé",$F1204&lt;&gt;"Clôturé"),"RETARD",""))</f>
        <v/>
      </c>
      <c r="J1204" s="29">
        <f>IF($B1204="","",IF(INDEX(Dossiers!$F$4:$F$63,23)="","",INDEX(Dossiers!$F$4:$F$63,23)))</f>
        <v/>
      </c>
      <c r="K1204" s="29">
        <f>IF($B1204="","",IF(INDEX(Dossiers!$G$4:$G$63,23)="","",INDEX(Dossiers!$G$4:$G$63,23)))</f>
        <v/>
      </c>
    </row>
    <row r="1205">
      <c r="A1205">
        <f>IF($B1205="","",INDEX(Dossiers!$E$4:$E$63,23))</f>
        <v/>
      </c>
      <c r="B1205">
        <f>IF(INDEX(Suivi!$B:$B,1228)="","",INDEX(Suivi!$B:$B,1228))</f>
        <v/>
      </c>
      <c r="C1205">
        <f>IF($B1205="","",IF(INDEX(Suivi!$D:$D,1228)="",INDEX(Suivi!$C:$C,1228),INDEX(Suivi!$D:$D,1228)))</f>
        <v/>
      </c>
      <c r="D1205" s="29">
        <f>IF($B1205="","",INDEX(Suivi!$E:$E,1228))</f>
        <v/>
      </c>
      <c r="E1205" s="29">
        <f>IF($B1205="","",INDEX(Suivi!$F:$F,1228))</f>
        <v/>
      </c>
      <c r="F1205">
        <f>IF($B1205="","",INDEX(Suivi!$G:$G,1228))</f>
        <v/>
      </c>
      <c r="H1205">
        <f>IF(OR($B1205="",NOT(ISNUMBER($D1205))),"",IF($E1205&lt;$D$2,"Passé",IF($D1205&gt;$F$2,"À venir","Dans la période")))</f>
        <v/>
      </c>
      <c r="I1205">
        <f>IF(OR($B1205="",NOT(ISNUMBER($D1205))),"",IF(AND($E1205&lt;$D$2,$G1205&lt;&gt;"X",$F1205&lt;&gt;"Réalisé",$F1205&lt;&gt;"Clôturé"),"RETARD",""))</f>
        <v/>
      </c>
      <c r="J1205" s="29">
        <f>IF($B1205="","",IF(INDEX(Dossiers!$F$4:$F$63,23)="","",INDEX(Dossiers!$F$4:$F$63,23)))</f>
        <v/>
      </c>
      <c r="K1205" s="29">
        <f>IF($B1205="","",IF(INDEX(Dossiers!$G$4:$G$63,23)="","",INDEX(Dossiers!$G$4:$G$63,23)))</f>
        <v/>
      </c>
    </row>
    <row r="1206">
      <c r="A1206">
        <f>IF($B1206="","",INDEX(Dossiers!$E$4:$E$63,23))</f>
        <v/>
      </c>
      <c r="B1206">
        <f>IF(INDEX(Suivi!$B:$B,1229)="","",INDEX(Suivi!$B:$B,1229))</f>
        <v/>
      </c>
      <c r="C1206">
        <f>IF($B1206="","",IF(INDEX(Suivi!$D:$D,1229)="",INDEX(Suivi!$C:$C,1229),INDEX(Suivi!$D:$D,1229)))</f>
        <v/>
      </c>
      <c r="D1206" s="29">
        <f>IF($B1206="","",INDEX(Suivi!$E:$E,1229))</f>
        <v/>
      </c>
      <c r="E1206" s="29">
        <f>IF($B1206="","",INDEX(Suivi!$F:$F,1229))</f>
        <v/>
      </c>
      <c r="F1206">
        <f>IF($B1206="","",INDEX(Suivi!$G:$G,1229))</f>
        <v/>
      </c>
      <c r="H1206">
        <f>IF(OR($B1206="",NOT(ISNUMBER($D1206))),"",IF($E1206&lt;$D$2,"Passé",IF($D1206&gt;$F$2,"À venir","Dans la période")))</f>
        <v/>
      </c>
      <c r="I1206">
        <f>IF(OR($B1206="",NOT(ISNUMBER($D1206))),"",IF(AND($E1206&lt;$D$2,$G1206&lt;&gt;"X",$F1206&lt;&gt;"Réalisé",$F1206&lt;&gt;"Clôturé"),"RETARD",""))</f>
        <v/>
      </c>
      <c r="J1206" s="29">
        <f>IF($B1206="","",IF(INDEX(Dossiers!$F$4:$F$63,23)="","",INDEX(Dossiers!$F$4:$F$63,23)))</f>
        <v/>
      </c>
      <c r="K1206" s="29">
        <f>IF($B1206="","",IF(INDEX(Dossiers!$G$4:$G$63,23)="","",INDEX(Dossiers!$G$4:$G$63,23)))</f>
        <v/>
      </c>
    </row>
    <row r="1207">
      <c r="A1207">
        <f>IF($B1207="","",INDEX(Dossiers!$E$4:$E$63,23))</f>
        <v/>
      </c>
      <c r="B1207">
        <f>IF(INDEX(Suivi!$B:$B,1230)="","",INDEX(Suivi!$B:$B,1230))</f>
        <v/>
      </c>
      <c r="C1207">
        <f>IF($B1207="","",IF(INDEX(Suivi!$D:$D,1230)="",INDEX(Suivi!$C:$C,1230),INDEX(Suivi!$D:$D,1230)))</f>
        <v/>
      </c>
      <c r="D1207" s="29">
        <f>IF($B1207="","",INDEX(Suivi!$E:$E,1230))</f>
        <v/>
      </c>
      <c r="E1207" s="29">
        <f>IF($B1207="","",INDEX(Suivi!$F:$F,1230))</f>
        <v/>
      </c>
      <c r="F1207">
        <f>IF($B1207="","",INDEX(Suivi!$G:$G,1230))</f>
        <v/>
      </c>
      <c r="H1207">
        <f>IF(OR($B1207="",NOT(ISNUMBER($D1207))),"",IF($E1207&lt;$D$2,"Passé",IF($D1207&gt;$F$2,"À venir","Dans la période")))</f>
        <v/>
      </c>
      <c r="I1207">
        <f>IF(OR($B1207="",NOT(ISNUMBER($D1207))),"",IF(AND($E1207&lt;$D$2,$G1207&lt;&gt;"X",$F1207&lt;&gt;"Réalisé",$F1207&lt;&gt;"Clôturé"),"RETARD",""))</f>
        <v/>
      </c>
      <c r="J1207" s="29">
        <f>IF($B1207="","",IF(INDEX(Dossiers!$F$4:$F$63,23)="","",INDEX(Dossiers!$F$4:$F$63,23)))</f>
        <v/>
      </c>
      <c r="K1207" s="29">
        <f>IF($B1207="","",IF(INDEX(Dossiers!$G$4:$G$63,23)="","",INDEX(Dossiers!$G$4:$G$63,23)))</f>
        <v/>
      </c>
    </row>
    <row r="1208">
      <c r="A1208">
        <f>IF($B1208="","",INDEX(Dossiers!$E$4:$E$63,23))</f>
        <v/>
      </c>
      <c r="B1208">
        <f>IF(INDEX(Suivi!$B:$B,1231)="","",INDEX(Suivi!$B:$B,1231))</f>
        <v/>
      </c>
      <c r="C1208">
        <f>IF($B1208="","",IF(INDEX(Suivi!$D:$D,1231)="",INDEX(Suivi!$C:$C,1231),INDEX(Suivi!$D:$D,1231)))</f>
        <v/>
      </c>
      <c r="D1208" s="29">
        <f>IF($B1208="","",INDEX(Suivi!$E:$E,1231))</f>
        <v/>
      </c>
      <c r="E1208" s="29">
        <f>IF($B1208="","",INDEX(Suivi!$F:$F,1231))</f>
        <v/>
      </c>
      <c r="F1208">
        <f>IF($B1208="","",INDEX(Suivi!$G:$G,1231))</f>
        <v/>
      </c>
      <c r="H1208">
        <f>IF(OR($B1208="",NOT(ISNUMBER($D1208))),"",IF($E1208&lt;$D$2,"Passé",IF($D1208&gt;$F$2,"À venir","Dans la période")))</f>
        <v/>
      </c>
      <c r="I1208">
        <f>IF(OR($B1208="",NOT(ISNUMBER($D1208))),"",IF(AND($E1208&lt;$D$2,$G1208&lt;&gt;"X",$F1208&lt;&gt;"Réalisé",$F1208&lt;&gt;"Clôturé"),"RETARD",""))</f>
        <v/>
      </c>
      <c r="J1208" s="29">
        <f>IF($B1208="","",IF(INDEX(Dossiers!$F$4:$F$63,23)="","",INDEX(Dossiers!$F$4:$F$63,23)))</f>
        <v/>
      </c>
      <c r="K1208" s="29">
        <f>IF($B1208="","",IF(INDEX(Dossiers!$G$4:$G$63,23)="","",INDEX(Dossiers!$G$4:$G$63,23)))</f>
        <v/>
      </c>
    </row>
    <row r="1209">
      <c r="A1209">
        <f>IF($B1209="","",INDEX(Dossiers!$E$4:$E$63,23))</f>
        <v/>
      </c>
      <c r="B1209">
        <f>IF(INDEX(Suivi!$B:$B,1232)="","",INDEX(Suivi!$B:$B,1232))</f>
        <v/>
      </c>
      <c r="C1209">
        <f>IF($B1209="","",IF(INDEX(Suivi!$D:$D,1232)="",INDEX(Suivi!$C:$C,1232),INDEX(Suivi!$D:$D,1232)))</f>
        <v/>
      </c>
      <c r="D1209" s="29">
        <f>IF($B1209="","",INDEX(Suivi!$E:$E,1232))</f>
        <v/>
      </c>
      <c r="E1209" s="29">
        <f>IF($B1209="","",INDEX(Suivi!$F:$F,1232))</f>
        <v/>
      </c>
      <c r="F1209">
        <f>IF($B1209="","",INDEX(Suivi!$G:$G,1232))</f>
        <v/>
      </c>
      <c r="H1209">
        <f>IF(OR($B1209="",NOT(ISNUMBER($D1209))),"",IF($E1209&lt;$D$2,"Passé",IF($D1209&gt;$F$2,"À venir","Dans la période")))</f>
        <v/>
      </c>
      <c r="I1209">
        <f>IF(OR($B1209="",NOT(ISNUMBER($D1209))),"",IF(AND($E1209&lt;$D$2,$G1209&lt;&gt;"X",$F1209&lt;&gt;"Réalisé",$F1209&lt;&gt;"Clôturé"),"RETARD",""))</f>
        <v/>
      </c>
      <c r="J1209" s="29">
        <f>IF($B1209="","",IF(INDEX(Dossiers!$F$4:$F$63,23)="","",INDEX(Dossiers!$F$4:$F$63,23)))</f>
        <v/>
      </c>
      <c r="K1209" s="29">
        <f>IF($B1209="","",IF(INDEX(Dossiers!$G$4:$G$63,23)="","",INDEX(Dossiers!$G$4:$G$63,23)))</f>
        <v/>
      </c>
    </row>
    <row r="1210">
      <c r="A1210">
        <f>IF($B1210="","",INDEX(Dossiers!$E$4:$E$63,23))</f>
        <v/>
      </c>
      <c r="B1210">
        <f>IF(INDEX(Suivi!$B:$B,1233)="","",INDEX(Suivi!$B:$B,1233))</f>
        <v/>
      </c>
      <c r="C1210">
        <f>IF($B1210="","",IF(INDEX(Suivi!$D:$D,1233)="",INDEX(Suivi!$C:$C,1233),INDEX(Suivi!$D:$D,1233)))</f>
        <v/>
      </c>
      <c r="D1210" s="29">
        <f>IF($B1210="","",INDEX(Suivi!$E:$E,1233))</f>
        <v/>
      </c>
      <c r="E1210" s="29">
        <f>IF($B1210="","",INDEX(Suivi!$F:$F,1233))</f>
        <v/>
      </c>
      <c r="F1210">
        <f>IF($B1210="","",INDEX(Suivi!$G:$G,1233))</f>
        <v/>
      </c>
      <c r="H1210">
        <f>IF(OR($B1210="",NOT(ISNUMBER($D1210))),"",IF($E1210&lt;$D$2,"Passé",IF($D1210&gt;$F$2,"À venir","Dans la période")))</f>
        <v/>
      </c>
      <c r="I1210">
        <f>IF(OR($B1210="",NOT(ISNUMBER($D1210))),"",IF(AND($E1210&lt;$D$2,$G1210&lt;&gt;"X",$F1210&lt;&gt;"Réalisé",$F1210&lt;&gt;"Clôturé"),"RETARD",""))</f>
        <v/>
      </c>
      <c r="J1210" s="29">
        <f>IF($B1210="","",IF(INDEX(Dossiers!$F$4:$F$63,23)="","",INDEX(Dossiers!$F$4:$F$63,23)))</f>
        <v/>
      </c>
      <c r="K1210" s="29">
        <f>IF($B1210="","",IF(INDEX(Dossiers!$G$4:$G$63,23)="","",INDEX(Dossiers!$G$4:$G$63,23)))</f>
        <v/>
      </c>
    </row>
    <row r="1211">
      <c r="A1211">
        <f>IF($B1211="","",INDEX(Dossiers!$E$4:$E$63,23))</f>
        <v/>
      </c>
      <c r="B1211">
        <f>IF(INDEX(Suivi!$B:$B,1234)="","",INDEX(Suivi!$B:$B,1234))</f>
        <v/>
      </c>
      <c r="C1211">
        <f>IF($B1211="","",IF(INDEX(Suivi!$D:$D,1234)="",INDEX(Suivi!$C:$C,1234),INDEX(Suivi!$D:$D,1234)))</f>
        <v/>
      </c>
      <c r="D1211" s="29">
        <f>IF($B1211="","",INDEX(Suivi!$E:$E,1234))</f>
        <v/>
      </c>
      <c r="E1211" s="29">
        <f>IF($B1211="","",INDEX(Suivi!$F:$F,1234))</f>
        <v/>
      </c>
      <c r="F1211">
        <f>IF($B1211="","",INDEX(Suivi!$G:$G,1234))</f>
        <v/>
      </c>
      <c r="H1211">
        <f>IF(OR($B1211="",NOT(ISNUMBER($D1211))),"",IF($E1211&lt;$D$2,"Passé",IF($D1211&gt;$F$2,"À venir","Dans la période")))</f>
        <v/>
      </c>
      <c r="I1211">
        <f>IF(OR($B1211="",NOT(ISNUMBER($D1211))),"",IF(AND($E1211&lt;$D$2,$G1211&lt;&gt;"X",$F1211&lt;&gt;"Réalisé",$F1211&lt;&gt;"Clôturé"),"RETARD",""))</f>
        <v/>
      </c>
      <c r="J1211" s="29">
        <f>IF($B1211="","",IF(INDEX(Dossiers!$F$4:$F$63,23)="","",INDEX(Dossiers!$F$4:$F$63,23)))</f>
        <v/>
      </c>
      <c r="K1211" s="29">
        <f>IF($B1211="","",IF(INDEX(Dossiers!$G$4:$G$63,23)="","",INDEX(Dossiers!$G$4:$G$63,23)))</f>
        <v/>
      </c>
    </row>
    <row r="1212">
      <c r="A1212">
        <f>IF($B1212="","",INDEX(Dossiers!$E$4:$E$63,23))</f>
        <v/>
      </c>
      <c r="B1212">
        <f>IF(INDEX(Suivi!$B:$B,1235)="","",INDEX(Suivi!$B:$B,1235))</f>
        <v/>
      </c>
      <c r="C1212">
        <f>IF($B1212="","",IF(INDEX(Suivi!$D:$D,1235)="",INDEX(Suivi!$C:$C,1235),INDEX(Suivi!$D:$D,1235)))</f>
        <v/>
      </c>
      <c r="D1212" s="29">
        <f>IF($B1212="","",INDEX(Suivi!$E:$E,1235))</f>
        <v/>
      </c>
      <c r="E1212" s="29">
        <f>IF($B1212="","",INDEX(Suivi!$F:$F,1235))</f>
        <v/>
      </c>
      <c r="F1212">
        <f>IF($B1212="","",INDEX(Suivi!$G:$G,1235))</f>
        <v/>
      </c>
      <c r="H1212">
        <f>IF(OR($B1212="",NOT(ISNUMBER($D1212))),"",IF($E1212&lt;$D$2,"Passé",IF($D1212&gt;$F$2,"À venir","Dans la période")))</f>
        <v/>
      </c>
      <c r="I1212">
        <f>IF(OR($B1212="",NOT(ISNUMBER($D1212))),"",IF(AND($E1212&lt;$D$2,$G1212&lt;&gt;"X",$F1212&lt;&gt;"Réalisé",$F1212&lt;&gt;"Clôturé"),"RETARD",""))</f>
        <v/>
      </c>
      <c r="J1212" s="29">
        <f>IF($B1212="","",IF(INDEX(Dossiers!$F$4:$F$63,23)="","",INDEX(Dossiers!$F$4:$F$63,23)))</f>
        <v/>
      </c>
      <c r="K1212" s="29">
        <f>IF($B1212="","",IF(INDEX(Dossiers!$G$4:$G$63,23)="","",INDEX(Dossiers!$G$4:$G$63,23)))</f>
        <v/>
      </c>
    </row>
    <row r="1213">
      <c r="A1213">
        <f>IF($B1213="","",INDEX(Dossiers!$E$4:$E$63,23))</f>
        <v/>
      </c>
      <c r="B1213">
        <f>IF(INDEX(Suivi!$B:$B,1236)="","",INDEX(Suivi!$B:$B,1236))</f>
        <v/>
      </c>
      <c r="C1213">
        <f>IF($B1213="","",IF(INDEX(Suivi!$D:$D,1236)="",INDEX(Suivi!$C:$C,1236),INDEX(Suivi!$D:$D,1236)))</f>
        <v/>
      </c>
      <c r="D1213" s="29">
        <f>IF($B1213="","",INDEX(Suivi!$E:$E,1236))</f>
        <v/>
      </c>
      <c r="E1213" s="29">
        <f>IF($B1213="","",INDEX(Suivi!$F:$F,1236))</f>
        <v/>
      </c>
      <c r="F1213">
        <f>IF($B1213="","",INDEX(Suivi!$G:$G,1236))</f>
        <v/>
      </c>
      <c r="H1213">
        <f>IF(OR($B1213="",NOT(ISNUMBER($D1213))),"",IF($E1213&lt;$D$2,"Passé",IF($D1213&gt;$F$2,"À venir","Dans la période")))</f>
        <v/>
      </c>
      <c r="I1213">
        <f>IF(OR($B1213="",NOT(ISNUMBER($D1213))),"",IF(AND($E1213&lt;$D$2,$G1213&lt;&gt;"X",$F1213&lt;&gt;"Réalisé",$F1213&lt;&gt;"Clôturé"),"RETARD",""))</f>
        <v/>
      </c>
      <c r="J1213" s="29">
        <f>IF($B1213="","",IF(INDEX(Dossiers!$F$4:$F$63,23)="","",INDEX(Dossiers!$F$4:$F$63,23)))</f>
        <v/>
      </c>
      <c r="K1213" s="29">
        <f>IF($B1213="","",IF(INDEX(Dossiers!$G$4:$G$63,23)="","",INDEX(Dossiers!$G$4:$G$63,23)))</f>
        <v/>
      </c>
    </row>
    <row r="1214">
      <c r="A1214">
        <f>IF($B1214="","",INDEX(Dossiers!$E$4:$E$63,23))</f>
        <v/>
      </c>
      <c r="B1214">
        <f>IF(INDEX(Suivi!$B:$B,1237)="","",INDEX(Suivi!$B:$B,1237))</f>
        <v/>
      </c>
      <c r="C1214">
        <f>IF($B1214="","",IF(INDEX(Suivi!$D:$D,1237)="",INDEX(Suivi!$C:$C,1237),INDEX(Suivi!$D:$D,1237)))</f>
        <v/>
      </c>
      <c r="D1214" s="29">
        <f>IF($B1214="","",INDEX(Suivi!$E:$E,1237))</f>
        <v/>
      </c>
      <c r="E1214" s="29">
        <f>IF($B1214="","",INDEX(Suivi!$F:$F,1237))</f>
        <v/>
      </c>
      <c r="F1214">
        <f>IF($B1214="","",INDEX(Suivi!$G:$G,1237))</f>
        <v/>
      </c>
      <c r="H1214">
        <f>IF(OR($B1214="",NOT(ISNUMBER($D1214))),"",IF($E1214&lt;$D$2,"Passé",IF($D1214&gt;$F$2,"À venir","Dans la période")))</f>
        <v/>
      </c>
      <c r="I1214">
        <f>IF(OR($B1214="",NOT(ISNUMBER($D1214))),"",IF(AND($E1214&lt;$D$2,$G1214&lt;&gt;"X",$F1214&lt;&gt;"Réalisé",$F1214&lt;&gt;"Clôturé"),"RETARD",""))</f>
        <v/>
      </c>
      <c r="J1214" s="29">
        <f>IF($B1214="","",IF(INDEX(Dossiers!$F$4:$F$63,23)="","",INDEX(Dossiers!$F$4:$F$63,23)))</f>
        <v/>
      </c>
      <c r="K1214" s="29">
        <f>IF($B1214="","",IF(INDEX(Dossiers!$G$4:$G$63,23)="","",INDEX(Dossiers!$G$4:$G$63,23)))</f>
        <v/>
      </c>
    </row>
    <row r="1215">
      <c r="A1215">
        <f>IF($B1215="","",INDEX(Dossiers!$E$4:$E$63,23))</f>
        <v/>
      </c>
      <c r="B1215">
        <f>IF(INDEX(Suivi!$B:$B,1238)="","",INDEX(Suivi!$B:$B,1238))</f>
        <v/>
      </c>
      <c r="C1215">
        <f>IF($B1215="","",IF(INDEX(Suivi!$D:$D,1238)="",INDEX(Suivi!$C:$C,1238),INDEX(Suivi!$D:$D,1238)))</f>
        <v/>
      </c>
      <c r="D1215" s="29">
        <f>IF($B1215="","",INDEX(Suivi!$E:$E,1238))</f>
        <v/>
      </c>
      <c r="E1215" s="29">
        <f>IF($B1215="","",INDEX(Suivi!$F:$F,1238))</f>
        <v/>
      </c>
      <c r="F1215">
        <f>IF($B1215="","",INDEX(Suivi!$G:$G,1238))</f>
        <v/>
      </c>
      <c r="H1215">
        <f>IF(OR($B1215="",NOT(ISNUMBER($D1215))),"",IF($E1215&lt;$D$2,"Passé",IF($D1215&gt;$F$2,"À venir","Dans la période")))</f>
        <v/>
      </c>
      <c r="I1215">
        <f>IF(OR($B1215="",NOT(ISNUMBER($D1215))),"",IF(AND($E1215&lt;$D$2,$G1215&lt;&gt;"X",$F1215&lt;&gt;"Réalisé",$F1215&lt;&gt;"Clôturé"),"RETARD",""))</f>
        <v/>
      </c>
      <c r="J1215" s="29">
        <f>IF($B1215="","",IF(INDEX(Dossiers!$F$4:$F$63,23)="","",INDEX(Dossiers!$F$4:$F$63,23)))</f>
        <v/>
      </c>
      <c r="K1215" s="29">
        <f>IF($B1215="","",IF(INDEX(Dossiers!$G$4:$G$63,23)="","",INDEX(Dossiers!$G$4:$G$63,23)))</f>
        <v/>
      </c>
    </row>
    <row r="1216">
      <c r="A1216">
        <f>IF($B1216="","",INDEX(Dossiers!$E$4:$E$63,23))</f>
        <v/>
      </c>
      <c r="B1216">
        <f>IF(INDEX(Suivi!$B:$B,1239)="","",INDEX(Suivi!$B:$B,1239))</f>
        <v/>
      </c>
      <c r="C1216">
        <f>IF($B1216="","",IF(INDEX(Suivi!$D:$D,1239)="",INDEX(Suivi!$C:$C,1239),INDEX(Suivi!$D:$D,1239)))</f>
        <v/>
      </c>
      <c r="D1216" s="29">
        <f>IF($B1216="","",INDEX(Suivi!$E:$E,1239))</f>
        <v/>
      </c>
      <c r="E1216" s="29">
        <f>IF($B1216="","",INDEX(Suivi!$F:$F,1239))</f>
        <v/>
      </c>
      <c r="F1216">
        <f>IF($B1216="","",INDEX(Suivi!$G:$G,1239))</f>
        <v/>
      </c>
      <c r="H1216">
        <f>IF(OR($B1216="",NOT(ISNUMBER($D1216))),"",IF($E1216&lt;$D$2,"Passé",IF($D1216&gt;$F$2,"À venir","Dans la période")))</f>
        <v/>
      </c>
      <c r="I1216">
        <f>IF(OR($B1216="",NOT(ISNUMBER($D1216))),"",IF(AND($E1216&lt;$D$2,$G1216&lt;&gt;"X",$F1216&lt;&gt;"Réalisé",$F1216&lt;&gt;"Clôturé"),"RETARD",""))</f>
        <v/>
      </c>
      <c r="J1216" s="29">
        <f>IF($B1216="","",IF(INDEX(Dossiers!$F$4:$F$63,23)="","",INDEX(Dossiers!$F$4:$F$63,23)))</f>
        <v/>
      </c>
      <c r="K1216" s="29">
        <f>IF($B1216="","",IF(INDEX(Dossiers!$G$4:$G$63,23)="","",INDEX(Dossiers!$G$4:$G$63,23)))</f>
        <v/>
      </c>
    </row>
    <row r="1217">
      <c r="A1217">
        <f>IF($B1217="","",INDEX(Dossiers!$E$4:$E$63,23))</f>
        <v/>
      </c>
      <c r="B1217">
        <f>IF(INDEX(Suivi!$B:$B,1240)="","",INDEX(Suivi!$B:$B,1240))</f>
        <v/>
      </c>
      <c r="C1217">
        <f>IF($B1217="","",IF(INDEX(Suivi!$D:$D,1240)="",INDEX(Suivi!$C:$C,1240),INDEX(Suivi!$D:$D,1240)))</f>
        <v/>
      </c>
      <c r="D1217" s="29">
        <f>IF($B1217="","",INDEX(Suivi!$E:$E,1240))</f>
        <v/>
      </c>
      <c r="E1217" s="29">
        <f>IF($B1217="","",INDEX(Suivi!$F:$F,1240))</f>
        <v/>
      </c>
      <c r="F1217">
        <f>IF($B1217="","",INDEX(Suivi!$G:$G,1240))</f>
        <v/>
      </c>
      <c r="H1217">
        <f>IF(OR($B1217="",NOT(ISNUMBER($D1217))),"",IF($E1217&lt;$D$2,"Passé",IF($D1217&gt;$F$2,"À venir","Dans la période")))</f>
        <v/>
      </c>
      <c r="I1217">
        <f>IF(OR($B1217="",NOT(ISNUMBER($D1217))),"",IF(AND($E1217&lt;$D$2,$G1217&lt;&gt;"X",$F1217&lt;&gt;"Réalisé",$F1217&lt;&gt;"Clôturé"),"RETARD",""))</f>
        <v/>
      </c>
      <c r="J1217" s="29">
        <f>IF($B1217="","",IF(INDEX(Dossiers!$F$4:$F$63,23)="","",INDEX(Dossiers!$F$4:$F$63,23)))</f>
        <v/>
      </c>
      <c r="K1217" s="29">
        <f>IF($B1217="","",IF(INDEX(Dossiers!$G$4:$G$63,23)="","",INDEX(Dossiers!$G$4:$G$63,23)))</f>
        <v/>
      </c>
    </row>
    <row r="1218">
      <c r="A1218">
        <f>IF($B1218="","",INDEX(Dossiers!$E$4:$E$63,23))</f>
        <v/>
      </c>
      <c r="B1218">
        <f>IF(INDEX(Suivi!$B:$B,1241)="","",INDEX(Suivi!$B:$B,1241))</f>
        <v/>
      </c>
      <c r="C1218">
        <f>IF($B1218="","",IF(INDEX(Suivi!$D:$D,1241)="",INDEX(Suivi!$C:$C,1241),INDEX(Suivi!$D:$D,1241)))</f>
        <v/>
      </c>
      <c r="D1218" s="29">
        <f>IF($B1218="","",INDEX(Suivi!$E:$E,1241))</f>
        <v/>
      </c>
      <c r="E1218" s="29">
        <f>IF($B1218="","",INDEX(Suivi!$F:$F,1241))</f>
        <v/>
      </c>
      <c r="F1218">
        <f>IF($B1218="","",INDEX(Suivi!$G:$G,1241))</f>
        <v/>
      </c>
      <c r="H1218">
        <f>IF(OR($B1218="",NOT(ISNUMBER($D1218))),"",IF($E1218&lt;$D$2,"Passé",IF($D1218&gt;$F$2,"À venir","Dans la période")))</f>
        <v/>
      </c>
      <c r="I1218">
        <f>IF(OR($B1218="",NOT(ISNUMBER($D1218))),"",IF(AND($E1218&lt;$D$2,$G1218&lt;&gt;"X",$F1218&lt;&gt;"Réalisé",$F1218&lt;&gt;"Clôturé"),"RETARD",""))</f>
        <v/>
      </c>
      <c r="J1218" s="29">
        <f>IF($B1218="","",IF(INDEX(Dossiers!$F$4:$F$63,23)="","",INDEX(Dossiers!$F$4:$F$63,23)))</f>
        <v/>
      </c>
      <c r="K1218" s="29">
        <f>IF($B1218="","",IF(INDEX(Dossiers!$G$4:$G$63,23)="","",INDEX(Dossiers!$G$4:$G$63,23)))</f>
        <v/>
      </c>
    </row>
    <row r="1219">
      <c r="A1219">
        <f>IF($B1219="","",INDEX(Dossiers!$E$4:$E$63,23))</f>
        <v/>
      </c>
      <c r="B1219">
        <f>IF(INDEX(Suivi!$B:$B,1242)="","",INDEX(Suivi!$B:$B,1242))</f>
        <v/>
      </c>
      <c r="C1219">
        <f>IF($B1219="","",IF(INDEX(Suivi!$D:$D,1242)="",INDEX(Suivi!$C:$C,1242),INDEX(Suivi!$D:$D,1242)))</f>
        <v/>
      </c>
      <c r="D1219" s="29">
        <f>IF($B1219="","",INDEX(Suivi!$E:$E,1242))</f>
        <v/>
      </c>
      <c r="E1219" s="29">
        <f>IF($B1219="","",INDEX(Suivi!$F:$F,1242))</f>
        <v/>
      </c>
      <c r="F1219">
        <f>IF($B1219="","",INDEX(Suivi!$G:$G,1242))</f>
        <v/>
      </c>
      <c r="H1219">
        <f>IF(OR($B1219="",NOT(ISNUMBER($D1219))),"",IF($E1219&lt;$D$2,"Passé",IF($D1219&gt;$F$2,"À venir","Dans la période")))</f>
        <v/>
      </c>
      <c r="I1219">
        <f>IF(OR($B1219="",NOT(ISNUMBER($D1219))),"",IF(AND($E1219&lt;$D$2,$G1219&lt;&gt;"X",$F1219&lt;&gt;"Réalisé",$F1219&lt;&gt;"Clôturé"),"RETARD",""))</f>
        <v/>
      </c>
      <c r="J1219" s="29">
        <f>IF($B1219="","",IF(INDEX(Dossiers!$F$4:$F$63,23)="","",INDEX(Dossiers!$F$4:$F$63,23)))</f>
        <v/>
      </c>
      <c r="K1219" s="29">
        <f>IF($B1219="","",IF(INDEX(Dossiers!$G$4:$G$63,23)="","",INDEX(Dossiers!$G$4:$G$63,23)))</f>
        <v/>
      </c>
    </row>
    <row r="1220">
      <c r="A1220">
        <f>IF($B1220="","",INDEX(Dossiers!$E$4:$E$63,23))</f>
        <v/>
      </c>
      <c r="B1220">
        <f>IF(INDEX(Suivi!$B:$B,1243)="","",INDEX(Suivi!$B:$B,1243))</f>
        <v/>
      </c>
      <c r="C1220">
        <f>IF($B1220="","",IF(INDEX(Suivi!$D:$D,1243)="",INDEX(Suivi!$C:$C,1243),INDEX(Suivi!$D:$D,1243)))</f>
        <v/>
      </c>
      <c r="D1220" s="29">
        <f>IF($B1220="","",INDEX(Suivi!$E:$E,1243))</f>
        <v/>
      </c>
      <c r="E1220" s="29">
        <f>IF($B1220="","",INDEX(Suivi!$F:$F,1243))</f>
        <v/>
      </c>
      <c r="F1220">
        <f>IF($B1220="","",INDEX(Suivi!$G:$G,1243))</f>
        <v/>
      </c>
      <c r="H1220">
        <f>IF(OR($B1220="",NOT(ISNUMBER($D1220))),"",IF($E1220&lt;$D$2,"Passé",IF($D1220&gt;$F$2,"À venir","Dans la période")))</f>
        <v/>
      </c>
      <c r="I1220">
        <f>IF(OR($B1220="",NOT(ISNUMBER($D1220))),"",IF(AND($E1220&lt;$D$2,$G1220&lt;&gt;"X",$F1220&lt;&gt;"Réalisé",$F1220&lt;&gt;"Clôturé"),"RETARD",""))</f>
        <v/>
      </c>
      <c r="J1220" s="29">
        <f>IF($B1220="","",IF(INDEX(Dossiers!$F$4:$F$63,23)="","",INDEX(Dossiers!$F$4:$F$63,23)))</f>
        <v/>
      </c>
      <c r="K1220" s="29">
        <f>IF($B1220="","",IF(INDEX(Dossiers!$G$4:$G$63,23)="","",INDEX(Dossiers!$G$4:$G$63,23)))</f>
        <v/>
      </c>
    </row>
    <row r="1221">
      <c r="A1221">
        <f>IF($B1221="","",INDEX(Dossiers!$E$4:$E$63,23))</f>
        <v/>
      </c>
      <c r="B1221">
        <f>IF(INDEX(Suivi!$B:$B,1244)="","",INDEX(Suivi!$B:$B,1244))</f>
        <v/>
      </c>
      <c r="C1221">
        <f>IF($B1221="","",IF(INDEX(Suivi!$D:$D,1244)="",INDEX(Suivi!$C:$C,1244),INDEX(Suivi!$D:$D,1244)))</f>
        <v/>
      </c>
      <c r="D1221" s="29">
        <f>IF($B1221="","",INDEX(Suivi!$E:$E,1244))</f>
        <v/>
      </c>
      <c r="E1221" s="29">
        <f>IF($B1221="","",INDEX(Suivi!$F:$F,1244))</f>
        <v/>
      </c>
      <c r="F1221">
        <f>IF($B1221="","",INDEX(Suivi!$G:$G,1244))</f>
        <v/>
      </c>
      <c r="H1221">
        <f>IF(OR($B1221="",NOT(ISNUMBER($D1221))),"",IF($E1221&lt;$D$2,"Passé",IF($D1221&gt;$F$2,"À venir","Dans la période")))</f>
        <v/>
      </c>
      <c r="I1221">
        <f>IF(OR($B1221="",NOT(ISNUMBER($D1221))),"",IF(AND($E1221&lt;$D$2,$G1221&lt;&gt;"X",$F1221&lt;&gt;"Réalisé",$F1221&lt;&gt;"Clôturé"),"RETARD",""))</f>
        <v/>
      </c>
      <c r="J1221" s="29">
        <f>IF($B1221="","",IF(INDEX(Dossiers!$F$4:$F$63,23)="","",INDEX(Dossiers!$F$4:$F$63,23)))</f>
        <v/>
      </c>
      <c r="K1221" s="29">
        <f>IF($B1221="","",IF(INDEX(Dossiers!$G$4:$G$63,23)="","",INDEX(Dossiers!$G$4:$G$63,23)))</f>
        <v/>
      </c>
    </row>
    <row r="1222">
      <c r="A1222">
        <f>IF($B1222="","",INDEX(Dossiers!$E$4:$E$63,23))</f>
        <v/>
      </c>
      <c r="B1222">
        <f>IF(INDEX(Suivi!$B:$B,1245)="","",INDEX(Suivi!$B:$B,1245))</f>
        <v/>
      </c>
      <c r="C1222">
        <f>IF($B1222="","",IF(INDEX(Suivi!$D:$D,1245)="",INDEX(Suivi!$C:$C,1245),INDEX(Suivi!$D:$D,1245)))</f>
        <v/>
      </c>
      <c r="D1222" s="29">
        <f>IF($B1222="","",INDEX(Suivi!$E:$E,1245))</f>
        <v/>
      </c>
      <c r="E1222" s="29">
        <f>IF($B1222="","",INDEX(Suivi!$F:$F,1245))</f>
        <v/>
      </c>
      <c r="F1222">
        <f>IF($B1222="","",INDEX(Suivi!$G:$G,1245))</f>
        <v/>
      </c>
      <c r="H1222">
        <f>IF(OR($B1222="",NOT(ISNUMBER($D1222))),"",IF($E1222&lt;$D$2,"Passé",IF($D1222&gt;$F$2,"À venir","Dans la période")))</f>
        <v/>
      </c>
      <c r="I1222">
        <f>IF(OR($B1222="",NOT(ISNUMBER($D1222))),"",IF(AND($E1222&lt;$D$2,$G1222&lt;&gt;"X",$F1222&lt;&gt;"Réalisé",$F1222&lt;&gt;"Clôturé"),"RETARD",""))</f>
        <v/>
      </c>
      <c r="J1222" s="29">
        <f>IF($B1222="","",IF(INDEX(Dossiers!$F$4:$F$63,23)="","",INDEX(Dossiers!$F$4:$F$63,23)))</f>
        <v/>
      </c>
      <c r="K1222" s="29">
        <f>IF($B1222="","",IF(INDEX(Dossiers!$G$4:$G$63,23)="","",INDEX(Dossiers!$G$4:$G$63,23)))</f>
        <v/>
      </c>
    </row>
    <row r="1223">
      <c r="A1223">
        <f>IF($B1223="","",INDEX(Dossiers!$E$4:$E$63,24))</f>
        <v/>
      </c>
      <c r="B1223">
        <f>IF(INDEX(Suivi!$B:$B,1247)="","",INDEX(Suivi!$B:$B,1247))</f>
        <v/>
      </c>
      <c r="C1223">
        <f>IF($B1223="","",IF(INDEX(Suivi!$D:$D,1247)="",INDEX(Suivi!$C:$C,1247),INDEX(Suivi!$D:$D,1247)))</f>
        <v/>
      </c>
      <c r="D1223" s="29">
        <f>IF($B1223="","",INDEX(Suivi!$E:$E,1247))</f>
        <v/>
      </c>
      <c r="E1223" s="29">
        <f>IF($B1223="","",INDEX(Suivi!$F:$F,1247))</f>
        <v/>
      </c>
      <c r="F1223">
        <f>IF($B1223="","",INDEX(Suivi!$G:$G,1247))</f>
        <v/>
      </c>
      <c r="H1223">
        <f>IF(OR($B1223="",NOT(ISNUMBER($D1223))),"",IF($E1223&lt;$D$2,"Passé",IF($D1223&gt;$F$2,"À venir","Dans la période")))</f>
        <v/>
      </c>
      <c r="I1223">
        <f>IF(OR($B1223="",NOT(ISNUMBER($D1223))),"",IF(AND($E1223&lt;$D$2,$G1223&lt;&gt;"X",$F1223&lt;&gt;"Réalisé",$F1223&lt;&gt;"Clôturé"),"RETARD",""))</f>
        <v/>
      </c>
      <c r="J1223" s="29">
        <f>IF($B1223="","",IF(INDEX(Dossiers!$F$4:$F$63,24)="","",INDEX(Dossiers!$F$4:$F$63,24)))</f>
        <v/>
      </c>
      <c r="K1223" s="29">
        <f>IF($B1223="","",IF(INDEX(Dossiers!$G$4:$G$63,24)="","",INDEX(Dossiers!$G$4:$G$63,24)))</f>
        <v/>
      </c>
    </row>
    <row r="1224">
      <c r="A1224">
        <f>IF($B1224="","",INDEX(Dossiers!$E$4:$E$63,24))</f>
        <v/>
      </c>
      <c r="B1224">
        <f>IF(INDEX(Suivi!$B:$B,1248)="","",INDEX(Suivi!$B:$B,1248))</f>
        <v/>
      </c>
      <c r="C1224">
        <f>IF($B1224="","",IF(INDEX(Suivi!$D:$D,1248)="",INDEX(Suivi!$C:$C,1248),INDEX(Suivi!$D:$D,1248)))</f>
        <v/>
      </c>
      <c r="D1224" s="29">
        <f>IF($B1224="","",INDEX(Suivi!$E:$E,1248))</f>
        <v/>
      </c>
      <c r="E1224" s="29">
        <f>IF($B1224="","",INDEX(Suivi!$F:$F,1248))</f>
        <v/>
      </c>
      <c r="F1224">
        <f>IF($B1224="","",INDEX(Suivi!$G:$G,1248))</f>
        <v/>
      </c>
      <c r="H1224">
        <f>IF(OR($B1224="",NOT(ISNUMBER($D1224))),"",IF($E1224&lt;$D$2,"Passé",IF($D1224&gt;$F$2,"À venir","Dans la période")))</f>
        <v/>
      </c>
      <c r="I1224">
        <f>IF(OR($B1224="",NOT(ISNUMBER($D1224))),"",IF(AND($E1224&lt;$D$2,$G1224&lt;&gt;"X",$F1224&lt;&gt;"Réalisé",$F1224&lt;&gt;"Clôturé"),"RETARD",""))</f>
        <v/>
      </c>
      <c r="J1224" s="29">
        <f>IF($B1224="","",IF(INDEX(Dossiers!$F$4:$F$63,24)="","",INDEX(Dossiers!$F$4:$F$63,24)))</f>
        <v/>
      </c>
      <c r="K1224" s="29">
        <f>IF($B1224="","",IF(INDEX(Dossiers!$G$4:$G$63,24)="","",INDEX(Dossiers!$G$4:$G$63,24)))</f>
        <v/>
      </c>
    </row>
    <row r="1225">
      <c r="A1225">
        <f>IF($B1225="","",INDEX(Dossiers!$E$4:$E$63,24))</f>
        <v/>
      </c>
      <c r="B1225">
        <f>IF(INDEX(Suivi!$B:$B,1249)="","",INDEX(Suivi!$B:$B,1249))</f>
        <v/>
      </c>
      <c r="C1225">
        <f>IF($B1225="","",IF(INDEX(Suivi!$D:$D,1249)="",INDEX(Suivi!$C:$C,1249),INDEX(Suivi!$D:$D,1249)))</f>
        <v/>
      </c>
      <c r="D1225" s="29">
        <f>IF($B1225="","",INDEX(Suivi!$E:$E,1249))</f>
        <v/>
      </c>
      <c r="E1225" s="29">
        <f>IF($B1225="","",INDEX(Suivi!$F:$F,1249))</f>
        <v/>
      </c>
      <c r="F1225">
        <f>IF($B1225="","",INDEX(Suivi!$G:$G,1249))</f>
        <v/>
      </c>
      <c r="H1225">
        <f>IF(OR($B1225="",NOT(ISNUMBER($D1225))),"",IF($E1225&lt;$D$2,"Passé",IF($D1225&gt;$F$2,"À venir","Dans la période")))</f>
        <v/>
      </c>
      <c r="I1225">
        <f>IF(OR($B1225="",NOT(ISNUMBER($D1225))),"",IF(AND($E1225&lt;$D$2,$G1225&lt;&gt;"X",$F1225&lt;&gt;"Réalisé",$F1225&lt;&gt;"Clôturé"),"RETARD",""))</f>
        <v/>
      </c>
      <c r="J1225" s="29">
        <f>IF($B1225="","",IF(INDEX(Dossiers!$F$4:$F$63,24)="","",INDEX(Dossiers!$F$4:$F$63,24)))</f>
        <v/>
      </c>
      <c r="K1225" s="29">
        <f>IF($B1225="","",IF(INDEX(Dossiers!$G$4:$G$63,24)="","",INDEX(Dossiers!$G$4:$G$63,24)))</f>
        <v/>
      </c>
    </row>
    <row r="1226">
      <c r="A1226">
        <f>IF($B1226="","",INDEX(Dossiers!$E$4:$E$63,24))</f>
        <v/>
      </c>
      <c r="B1226">
        <f>IF(INDEX(Suivi!$B:$B,1250)="","",INDEX(Suivi!$B:$B,1250))</f>
        <v/>
      </c>
      <c r="C1226">
        <f>IF($B1226="","",IF(INDEX(Suivi!$D:$D,1250)="",INDEX(Suivi!$C:$C,1250),INDEX(Suivi!$D:$D,1250)))</f>
        <v/>
      </c>
      <c r="D1226" s="29">
        <f>IF($B1226="","",INDEX(Suivi!$E:$E,1250))</f>
        <v/>
      </c>
      <c r="E1226" s="29">
        <f>IF($B1226="","",INDEX(Suivi!$F:$F,1250))</f>
        <v/>
      </c>
      <c r="F1226">
        <f>IF($B1226="","",INDEX(Suivi!$G:$G,1250))</f>
        <v/>
      </c>
      <c r="H1226">
        <f>IF(OR($B1226="",NOT(ISNUMBER($D1226))),"",IF($E1226&lt;$D$2,"Passé",IF($D1226&gt;$F$2,"À venir","Dans la période")))</f>
        <v/>
      </c>
      <c r="I1226">
        <f>IF(OR($B1226="",NOT(ISNUMBER($D1226))),"",IF(AND($E1226&lt;$D$2,$G1226&lt;&gt;"X",$F1226&lt;&gt;"Réalisé",$F1226&lt;&gt;"Clôturé"),"RETARD",""))</f>
        <v/>
      </c>
      <c r="J1226" s="29">
        <f>IF($B1226="","",IF(INDEX(Dossiers!$F$4:$F$63,24)="","",INDEX(Dossiers!$F$4:$F$63,24)))</f>
        <v/>
      </c>
      <c r="K1226" s="29">
        <f>IF($B1226="","",IF(INDEX(Dossiers!$G$4:$G$63,24)="","",INDEX(Dossiers!$G$4:$G$63,24)))</f>
        <v/>
      </c>
    </row>
    <row r="1227">
      <c r="A1227">
        <f>IF($B1227="","",INDEX(Dossiers!$E$4:$E$63,24))</f>
        <v/>
      </c>
      <c r="B1227">
        <f>IF(INDEX(Suivi!$B:$B,1251)="","",INDEX(Suivi!$B:$B,1251))</f>
        <v/>
      </c>
      <c r="C1227">
        <f>IF($B1227="","",IF(INDEX(Suivi!$D:$D,1251)="",INDEX(Suivi!$C:$C,1251),INDEX(Suivi!$D:$D,1251)))</f>
        <v/>
      </c>
      <c r="D1227" s="29">
        <f>IF($B1227="","",INDEX(Suivi!$E:$E,1251))</f>
        <v/>
      </c>
      <c r="E1227" s="29">
        <f>IF($B1227="","",INDEX(Suivi!$F:$F,1251))</f>
        <v/>
      </c>
      <c r="F1227">
        <f>IF($B1227="","",INDEX(Suivi!$G:$G,1251))</f>
        <v/>
      </c>
      <c r="H1227">
        <f>IF(OR($B1227="",NOT(ISNUMBER($D1227))),"",IF($E1227&lt;$D$2,"Passé",IF($D1227&gt;$F$2,"À venir","Dans la période")))</f>
        <v/>
      </c>
      <c r="I1227">
        <f>IF(OR($B1227="",NOT(ISNUMBER($D1227))),"",IF(AND($E1227&lt;$D$2,$G1227&lt;&gt;"X",$F1227&lt;&gt;"Réalisé",$F1227&lt;&gt;"Clôturé"),"RETARD",""))</f>
        <v/>
      </c>
      <c r="J1227" s="29">
        <f>IF($B1227="","",IF(INDEX(Dossiers!$F$4:$F$63,24)="","",INDEX(Dossiers!$F$4:$F$63,24)))</f>
        <v/>
      </c>
      <c r="K1227" s="29">
        <f>IF($B1227="","",IF(INDEX(Dossiers!$G$4:$G$63,24)="","",INDEX(Dossiers!$G$4:$G$63,24)))</f>
        <v/>
      </c>
    </row>
    <row r="1228">
      <c r="A1228">
        <f>IF($B1228="","",INDEX(Dossiers!$E$4:$E$63,24))</f>
        <v/>
      </c>
      <c r="B1228">
        <f>IF(INDEX(Suivi!$B:$B,1252)="","",INDEX(Suivi!$B:$B,1252))</f>
        <v/>
      </c>
      <c r="C1228">
        <f>IF($B1228="","",IF(INDEX(Suivi!$D:$D,1252)="",INDEX(Suivi!$C:$C,1252),INDEX(Suivi!$D:$D,1252)))</f>
        <v/>
      </c>
      <c r="D1228" s="29">
        <f>IF($B1228="","",INDEX(Suivi!$E:$E,1252))</f>
        <v/>
      </c>
      <c r="E1228" s="29">
        <f>IF($B1228="","",INDEX(Suivi!$F:$F,1252))</f>
        <v/>
      </c>
      <c r="F1228">
        <f>IF($B1228="","",INDEX(Suivi!$G:$G,1252))</f>
        <v/>
      </c>
      <c r="H1228">
        <f>IF(OR($B1228="",NOT(ISNUMBER($D1228))),"",IF($E1228&lt;$D$2,"Passé",IF($D1228&gt;$F$2,"À venir","Dans la période")))</f>
        <v/>
      </c>
      <c r="I1228">
        <f>IF(OR($B1228="",NOT(ISNUMBER($D1228))),"",IF(AND($E1228&lt;$D$2,$G1228&lt;&gt;"X",$F1228&lt;&gt;"Réalisé",$F1228&lt;&gt;"Clôturé"),"RETARD",""))</f>
        <v/>
      </c>
      <c r="J1228" s="29">
        <f>IF($B1228="","",IF(INDEX(Dossiers!$F$4:$F$63,24)="","",INDEX(Dossiers!$F$4:$F$63,24)))</f>
        <v/>
      </c>
      <c r="K1228" s="29">
        <f>IF($B1228="","",IF(INDEX(Dossiers!$G$4:$G$63,24)="","",INDEX(Dossiers!$G$4:$G$63,24)))</f>
        <v/>
      </c>
    </row>
    <row r="1229">
      <c r="A1229">
        <f>IF($B1229="","",INDEX(Dossiers!$E$4:$E$63,24))</f>
        <v/>
      </c>
      <c r="B1229">
        <f>IF(INDEX(Suivi!$B:$B,1253)="","",INDEX(Suivi!$B:$B,1253))</f>
        <v/>
      </c>
      <c r="C1229">
        <f>IF($B1229="","",IF(INDEX(Suivi!$D:$D,1253)="",INDEX(Suivi!$C:$C,1253),INDEX(Suivi!$D:$D,1253)))</f>
        <v/>
      </c>
      <c r="D1229" s="29">
        <f>IF($B1229="","",INDEX(Suivi!$E:$E,1253))</f>
        <v/>
      </c>
      <c r="E1229" s="29">
        <f>IF($B1229="","",INDEX(Suivi!$F:$F,1253))</f>
        <v/>
      </c>
      <c r="F1229">
        <f>IF($B1229="","",INDEX(Suivi!$G:$G,1253))</f>
        <v/>
      </c>
      <c r="H1229">
        <f>IF(OR($B1229="",NOT(ISNUMBER($D1229))),"",IF($E1229&lt;$D$2,"Passé",IF($D1229&gt;$F$2,"À venir","Dans la période")))</f>
        <v/>
      </c>
      <c r="I1229">
        <f>IF(OR($B1229="",NOT(ISNUMBER($D1229))),"",IF(AND($E1229&lt;$D$2,$G1229&lt;&gt;"X",$F1229&lt;&gt;"Réalisé",$F1229&lt;&gt;"Clôturé"),"RETARD",""))</f>
        <v/>
      </c>
      <c r="J1229" s="29">
        <f>IF($B1229="","",IF(INDEX(Dossiers!$F$4:$F$63,24)="","",INDEX(Dossiers!$F$4:$F$63,24)))</f>
        <v/>
      </c>
      <c r="K1229" s="29">
        <f>IF($B1229="","",IF(INDEX(Dossiers!$G$4:$G$63,24)="","",INDEX(Dossiers!$G$4:$G$63,24)))</f>
        <v/>
      </c>
    </row>
    <row r="1230">
      <c r="A1230">
        <f>IF($B1230="","",INDEX(Dossiers!$E$4:$E$63,24))</f>
        <v/>
      </c>
      <c r="B1230">
        <f>IF(INDEX(Suivi!$B:$B,1254)="","",INDEX(Suivi!$B:$B,1254))</f>
        <v/>
      </c>
      <c r="C1230">
        <f>IF($B1230="","",IF(INDEX(Suivi!$D:$D,1254)="",INDEX(Suivi!$C:$C,1254),INDEX(Suivi!$D:$D,1254)))</f>
        <v/>
      </c>
      <c r="D1230" s="29">
        <f>IF($B1230="","",INDEX(Suivi!$E:$E,1254))</f>
        <v/>
      </c>
      <c r="E1230" s="29">
        <f>IF($B1230="","",INDEX(Suivi!$F:$F,1254))</f>
        <v/>
      </c>
      <c r="F1230">
        <f>IF($B1230="","",INDEX(Suivi!$G:$G,1254))</f>
        <v/>
      </c>
      <c r="H1230">
        <f>IF(OR($B1230="",NOT(ISNUMBER($D1230))),"",IF($E1230&lt;$D$2,"Passé",IF($D1230&gt;$F$2,"À venir","Dans la période")))</f>
        <v/>
      </c>
      <c r="I1230">
        <f>IF(OR($B1230="",NOT(ISNUMBER($D1230))),"",IF(AND($E1230&lt;$D$2,$G1230&lt;&gt;"X",$F1230&lt;&gt;"Réalisé",$F1230&lt;&gt;"Clôturé"),"RETARD",""))</f>
        <v/>
      </c>
      <c r="J1230" s="29">
        <f>IF($B1230="","",IF(INDEX(Dossiers!$F$4:$F$63,24)="","",INDEX(Dossiers!$F$4:$F$63,24)))</f>
        <v/>
      </c>
      <c r="K1230" s="29">
        <f>IF($B1230="","",IF(INDEX(Dossiers!$G$4:$G$63,24)="","",INDEX(Dossiers!$G$4:$G$63,24)))</f>
        <v/>
      </c>
    </row>
    <row r="1231">
      <c r="A1231">
        <f>IF($B1231="","",INDEX(Dossiers!$E$4:$E$63,24))</f>
        <v/>
      </c>
      <c r="B1231">
        <f>IF(INDEX(Suivi!$B:$B,1255)="","",INDEX(Suivi!$B:$B,1255))</f>
        <v/>
      </c>
      <c r="C1231">
        <f>IF($B1231="","",IF(INDEX(Suivi!$D:$D,1255)="",INDEX(Suivi!$C:$C,1255),INDEX(Suivi!$D:$D,1255)))</f>
        <v/>
      </c>
      <c r="D1231" s="29">
        <f>IF($B1231="","",INDEX(Suivi!$E:$E,1255))</f>
        <v/>
      </c>
      <c r="E1231" s="29">
        <f>IF($B1231="","",INDEX(Suivi!$F:$F,1255))</f>
        <v/>
      </c>
      <c r="F1231">
        <f>IF($B1231="","",INDEX(Suivi!$G:$G,1255))</f>
        <v/>
      </c>
      <c r="H1231">
        <f>IF(OR($B1231="",NOT(ISNUMBER($D1231))),"",IF($E1231&lt;$D$2,"Passé",IF($D1231&gt;$F$2,"À venir","Dans la période")))</f>
        <v/>
      </c>
      <c r="I1231">
        <f>IF(OR($B1231="",NOT(ISNUMBER($D1231))),"",IF(AND($E1231&lt;$D$2,$G1231&lt;&gt;"X",$F1231&lt;&gt;"Réalisé",$F1231&lt;&gt;"Clôturé"),"RETARD",""))</f>
        <v/>
      </c>
      <c r="J1231" s="29">
        <f>IF($B1231="","",IF(INDEX(Dossiers!$F$4:$F$63,24)="","",INDEX(Dossiers!$F$4:$F$63,24)))</f>
        <v/>
      </c>
      <c r="K1231" s="29">
        <f>IF($B1231="","",IF(INDEX(Dossiers!$G$4:$G$63,24)="","",INDEX(Dossiers!$G$4:$G$63,24)))</f>
        <v/>
      </c>
    </row>
    <row r="1232">
      <c r="A1232">
        <f>IF($B1232="","",INDEX(Dossiers!$E$4:$E$63,24))</f>
        <v/>
      </c>
      <c r="B1232">
        <f>IF(INDEX(Suivi!$B:$B,1256)="","",INDEX(Suivi!$B:$B,1256))</f>
        <v/>
      </c>
      <c r="C1232">
        <f>IF($B1232="","",IF(INDEX(Suivi!$D:$D,1256)="",INDEX(Suivi!$C:$C,1256),INDEX(Suivi!$D:$D,1256)))</f>
        <v/>
      </c>
      <c r="D1232" s="29">
        <f>IF($B1232="","",INDEX(Suivi!$E:$E,1256))</f>
        <v/>
      </c>
      <c r="E1232" s="29">
        <f>IF($B1232="","",INDEX(Suivi!$F:$F,1256))</f>
        <v/>
      </c>
      <c r="F1232">
        <f>IF($B1232="","",INDEX(Suivi!$G:$G,1256))</f>
        <v/>
      </c>
      <c r="H1232">
        <f>IF(OR($B1232="",NOT(ISNUMBER($D1232))),"",IF($E1232&lt;$D$2,"Passé",IF($D1232&gt;$F$2,"À venir","Dans la période")))</f>
        <v/>
      </c>
      <c r="I1232">
        <f>IF(OR($B1232="",NOT(ISNUMBER($D1232))),"",IF(AND($E1232&lt;$D$2,$G1232&lt;&gt;"X",$F1232&lt;&gt;"Réalisé",$F1232&lt;&gt;"Clôturé"),"RETARD",""))</f>
        <v/>
      </c>
      <c r="J1232" s="29">
        <f>IF($B1232="","",IF(INDEX(Dossiers!$F$4:$F$63,24)="","",INDEX(Dossiers!$F$4:$F$63,24)))</f>
        <v/>
      </c>
      <c r="K1232" s="29">
        <f>IF($B1232="","",IF(INDEX(Dossiers!$G$4:$G$63,24)="","",INDEX(Dossiers!$G$4:$G$63,24)))</f>
        <v/>
      </c>
    </row>
    <row r="1233">
      <c r="A1233">
        <f>IF($B1233="","",INDEX(Dossiers!$E$4:$E$63,24))</f>
        <v/>
      </c>
      <c r="B1233">
        <f>IF(INDEX(Suivi!$B:$B,1257)="","",INDEX(Suivi!$B:$B,1257))</f>
        <v/>
      </c>
      <c r="C1233">
        <f>IF($B1233="","",IF(INDEX(Suivi!$D:$D,1257)="",INDEX(Suivi!$C:$C,1257),INDEX(Suivi!$D:$D,1257)))</f>
        <v/>
      </c>
      <c r="D1233" s="29">
        <f>IF($B1233="","",INDEX(Suivi!$E:$E,1257))</f>
        <v/>
      </c>
      <c r="E1233" s="29">
        <f>IF($B1233="","",INDEX(Suivi!$F:$F,1257))</f>
        <v/>
      </c>
      <c r="F1233">
        <f>IF($B1233="","",INDEX(Suivi!$G:$G,1257))</f>
        <v/>
      </c>
      <c r="H1233">
        <f>IF(OR($B1233="",NOT(ISNUMBER($D1233))),"",IF($E1233&lt;$D$2,"Passé",IF($D1233&gt;$F$2,"À venir","Dans la période")))</f>
        <v/>
      </c>
      <c r="I1233">
        <f>IF(OR($B1233="",NOT(ISNUMBER($D1233))),"",IF(AND($E1233&lt;$D$2,$G1233&lt;&gt;"X",$F1233&lt;&gt;"Réalisé",$F1233&lt;&gt;"Clôturé"),"RETARD",""))</f>
        <v/>
      </c>
      <c r="J1233" s="29">
        <f>IF($B1233="","",IF(INDEX(Dossiers!$F$4:$F$63,24)="","",INDEX(Dossiers!$F$4:$F$63,24)))</f>
        <v/>
      </c>
      <c r="K1233" s="29">
        <f>IF($B1233="","",IF(INDEX(Dossiers!$G$4:$G$63,24)="","",INDEX(Dossiers!$G$4:$G$63,24)))</f>
        <v/>
      </c>
    </row>
    <row r="1234">
      <c r="A1234">
        <f>IF($B1234="","",INDEX(Dossiers!$E$4:$E$63,24))</f>
        <v/>
      </c>
      <c r="B1234">
        <f>IF(INDEX(Suivi!$B:$B,1258)="","",INDEX(Suivi!$B:$B,1258))</f>
        <v/>
      </c>
      <c r="C1234">
        <f>IF($B1234="","",IF(INDEX(Suivi!$D:$D,1258)="",INDEX(Suivi!$C:$C,1258),INDEX(Suivi!$D:$D,1258)))</f>
        <v/>
      </c>
      <c r="D1234" s="29">
        <f>IF($B1234="","",INDEX(Suivi!$E:$E,1258))</f>
        <v/>
      </c>
      <c r="E1234" s="29">
        <f>IF($B1234="","",INDEX(Suivi!$F:$F,1258))</f>
        <v/>
      </c>
      <c r="F1234">
        <f>IF($B1234="","",INDEX(Suivi!$G:$G,1258))</f>
        <v/>
      </c>
      <c r="H1234">
        <f>IF(OR($B1234="",NOT(ISNUMBER($D1234))),"",IF($E1234&lt;$D$2,"Passé",IF($D1234&gt;$F$2,"À venir","Dans la période")))</f>
        <v/>
      </c>
      <c r="I1234">
        <f>IF(OR($B1234="",NOT(ISNUMBER($D1234))),"",IF(AND($E1234&lt;$D$2,$G1234&lt;&gt;"X",$F1234&lt;&gt;"Réalisé",$F1234&lt;&gt;"Clôturé"),"RETARD",""))</f>
        <v/>
      </c>
      <c r="J1234" s="29">
        <f>IF($B1234="","",IF(INDEX(Dossiers!$F$4:$F$63,24)="","",INDEX(Dossiers!$F$4:$F$63,24)))</f>
        <v/>
      </c>
      <c r="K1234" s="29">
        <f>IF($B1234="","",IF(INDEX(Dossiers!$G$4:$G$63,24)="","",INDEX(Dossiers!$G$4:$G$63,24)))</f>
        <v/>
      </c>
    </row>
    <row r="1235">
      <c r="A1235">
        <f>IF($B1235="","",INDEX(Dossiers!$E$4:$E$63,24))</f>
        <v/>
      </c>
      <c r="B1235">
        <f>IF(INDEX(Suivi!$B:$B,1259)="","",INDEX(Suivi!$B:$B,1259))</f>
        <v/>
      </c>
      <c r="C1235">
        <f>IF($B1235="","",IF(INDEX(Suivi!$D:$D,1259)="",INDEX(Suivi!$C:$C,1259),INDEX(Suivi!$D:$D,1259)))</f>
        <v/>
      </c>
      <c r="D1235" s="29">
        <f>IF($B1235="","",INDEX(Suivi!$E:$E,1259))</f>
        <v/>
      </c>
      <c r="E1235" s="29">
        <f>IF($B1235="","",INDEX(Suivi!$F:$F,1259))</f>
        <v/>
      </c>
      <c r="F1235">
        <f>IF($B1235="","",INDEX(Suivi!$G:$G,1259))</f>
        <v/>
      </c>
      <c r="H1235">
        <f>IF(OR($B1235="",NOT(ISNUMBER($D1235))),"",IF($E1235&lt;$D$2,"Passé",IF($D1235&gt;$F$2,"À venir","Dans la période")))</f>
        <v/>
      </c>
      <c r="I1235">
        <f>IF(OR($B1235="",NOT(ISNUMBER($D1235))),"",IF(AND($E1235&lt;$D$2,$G1235&lt;&gt;"X",$F1235&lt;&gt;"Réalisé",$F1235&lt;&gt;"Clôturé"),"RETARD",""))</f>
        <v/>
      </c>
      <c r="J1235" s="29">
        <f>IF($B1235="","",IF(INDEX(Dossiers!$F$4:$F$63,24)="","",INDEX(Dossiers!$F$4:$F$63,24)))</f>
        <v/>
      </c>
      <c r="K1235" s="29">
        <f>IF($B1235="","",IF(INDEX(Dossiers!$G$4:$G$63,24)="","",INDEX(Dossiers!$G$4:$G$63,24)))</f>
        <v/>
      </c>
    </row>
    <row r="1236">
      <c r="A1236">
        <f>IF($B1236="","",INDEX(Dossiers!$E$4:$E$63,24))</f>
        <v/>
      </c>
      <c r="B1236">
        <f>IF(INDEX(Suivi!$B:$B,1260)="","",INDEX(Suivi!$B:$B,1260))</f>
        <v/>
      </c>
      <c r="C1236">
        <f>IF($B1236="","",IF(INDEX(Suivi!$D:$D,1260)="",INDEX(Suivi!$C:$C,1260),INDEX(Suivi!$D:$D,1260)))</f>
        <v/>
      </c>
      <c r="D1236" s="29">
        <f>IF($B1236="","",INDEX(Suivi!$E:$E,1260))</f>
        <v/>
      </c>
      <c r="E1236" s="29">
        <f>IF($B1236="","",INDEX(Suivi!$F:$F,1260))</f>
        <v/>
      </c>
      <c r="F1236">
        <f>IF($B1236="","",INDEX(Suivi!$G:$G,1260))</f>
        <v/>
      </c>
      <c r="H1236">
        <f>IF(OR($B1236="",NOT(ISNUMBER($D1236))),"",IF($E1236&lt;$D$2,"Passé",IF($D1236&gt;$F$2,"À venir","Dans la période")))</f>
        <v/>
      </c>
      <c r="I1236">
        <f>IF(OR($B1236="",NOT(ISNUMBER($D1236))),"",IF(AND($E1236&lt;$D$2,$G1236&lt;&gt;"X",$F1236&lt;&gt;"Réalisé",$F1236&lt;&gt;"Clôturé"),"RETARD",""))</f>
        <v/>
      </c>
      <c r="J1236" s="29">
        <f>IF($B1236="","",IF(INDEX(Dossiers!$F$4:$F$63,24)="","",INDEX(Dossiers!$F$4:$F$63,24)))</f>
        <v/>
      </c>
      <c r="K1236" s="29">
        <f>IF($B1236="","",IF(INDEX(Dossiers!$G$4:$G$63,24)="","",INDEX(Dossiers!$G$4:$G$63,24)))</f>
        <v/>
      </c>
    </row>
    <row r="1237">
      <c r="A1237">
        <f>IF($B1237="","",INDEX(Dossiers!$E$4:$E$63,24))</f>
        <v/>
      </c>
      <c r="B1237">
        <f>IF(INDEX(Suivi!$B:$B,1261)="","",INDEX(Suivi!$B:$B,1261))</f>
        <v/>
      </c>
      <c r="C1237">
        <f>IF($B1237="","",IF(INDEX(Suivi!$D:$D,1261)="",INDEX(Suivi!$C:$C,1261),INDEX(Suivi!$D:$D,1261)))</f>
        <v/>
      </c>
      <c r="D1237" s="29">
        <f>IF($B1237="","",INDEX(Suivi!$E:$E,1261))</f>
        <v/>
      </c>
      <c r="E1237" s="29">
        <f>IF($B1237="","",INDEX(Suivi!$F:$F,1261))</f>
        <v/>
      </c>
      <c r="F1237">
        <f>IF($B1237="","",INDEX(Suivi!$G:$G,1261))</f>
        <v/>
      </c>
      <c r="H1237">
        <f>IF(OR($B1237="",NOT(ISNUMBER($D1237))),"",IF($E1237&lt;$D$2,"Passé",IF($D1237&gt;$F$2,"À venir","Dans la période")))</f>
        <v/>
      </c>
      <c r="I1237">
        <f>IF(OR($B1237="",NOT(ISNUMBER($D1237))),"",IF(AND($E1237&lt;$D$2,$G1237&lt;&gt;"X",$F1237&lt;&gt;"Réalisé",$F1237&lt;&gt;"Clôturé"),"RETARD",""))</f>
        <v/>
      </c>
      <c r="J1237" s="29">
        <f>IF($B1237="","",IF(INDEX(Dossiers!$F$4:$F$63,24)="","",INDEX(Dossiers!$F$4:$F$63,24)))</f>
        <v/>
      </c>
      <c r="K1237" s="29">
        <f>IF($B1237="","",IF(INDEX(Dossiers!$G$4:$G$63,24)="","",INDEX(Dossiers!$G$4:$G$63,24)))</f>
        <v/>
      </c>
    </row>
    <row r="1238">
      <c r="A1238">
        <f>IF($B1238="","",INDEX(Dossiers!$E$4:$E$63,24))</f>
        <v/>
      </c>
      <c r="B1238">
        <f>IF(INDEX(Suivi!$B:$B,1262)="","",INDEX(Suivi!$B:$B,1262))</f>
        <v/>
      </c>
      <c r="C1238">
        <f>IF($B1238="","",IF(INDEX(Suivi!$D:$D,1262)="",INDEX(Suivi!$C:$C,1262),INDEX(Suivi!$D:$D,1262)))</f>
        <v/>
      </c>
      <c r="D1238" s="29">
        <f>IF($B1238="","",INDEX(Suivi!$E:$E,1262))</f>
        <v/>
      </c>
      <c r="E1238" s="29">
        <f>IF($B1238="","",INDEX(Suivi!$F:$F,1262))</f>
        <v/>
      </c>
      <c r="F1238">
        <f>IF($B1238="","",INDEX(Suivi!$G:$G,1262))</f>
        <v/>
      </c>
      <c r="H1238">
        <f>IF(OR($B1238="",NOT(ISNUMBER($D1238))),"",IF($E1238&lt;$D$2,"Passé",IF($D1238&gt;$F$2,"À venir","Dans la période")))</f>
        <v/>
      </c>
      <c r="I1238">
        <f>IF(OR($B1238="",NOT(ISNUMBER($D1238))),"",IF(AND($E1238&lt;$D$2,$G1238&lt;&gt;"X",$F1238&lt;&gt;"Réalisé",$F1238&lt;&gt;"Clôturé"),"RETARD",""))</f>
        <v/>
      </c>
      <c r="J1238" s="29">
        <f>IF($B1238="","",IF(INDEX(Dossiers!$F$4:$F$63,24)="","",INDEX(Dossiers!$F$4:$F$63,24)))</f>
        <v/>
      </c>
      <c r="K1238" s="29">
        <f>IF($B1238="","",IF(INDEX(Dossiers!$G$4:$G$63,24)="","",INDEX(Dossiers!$G$4:$G$63,24)))</f>
        <v/>
      </c>
    </row>
    <row r="1239">
      <c r="A1239">
        <f>IF($B1239="","",INDEX(Dossiers!$E$4:$E$63,24))</f>
        <v/>
      </c>
      <c r="B1239">
        <f>IF(INDEX(Suivi!$B:$B,1263)="","",INDEX(Suivi!$B:$B,1263))</f>
        <v/>
      </c>
      <c r="C1239">
        <f>IF($B1239="","",IF(INDEX(Suivi!$D:$D,1263)="",INDEX(Suivi!$C:$C,1263),INDEX(Suivi!$D:$D,1263)))</f>
        <v/>
      </c>
      <c r="D1239" s="29">
        <f>IF($B1239="","",INDEX(Suivi!$E:$E,1263))</f>
        <v/>
      </c>
      <c r="E1239" s="29">
        <f>IF($B1239="","",INDEX(Suivi!$F:$F,1263))</f>
        <v/>
      </c>
      <c r="F1239">
        <f>IF($B1239="","",INDEX(Suivi!$G:$G,1263))</f>
        <v/>
      </c>
      <c r="H1239">
        <f>IF(OR($B1239="",NOT(ISNUMBER($D1239))),"",IF($E1239&lt;$D$2,"Passé",IF($D1239&gt;$F$2,"À venir","Dans la période")))</f>
        <v/>
      </c>
      <c r="I1239">
        <f>IF(OR($B1239="",NOT(ISNUMBER($D1239))),"",IF(AND($E1239&lt;$D$2,$G1239&lt;&gt;"X",$F1239&lt;&gt;"Réalisé",$F1239&lt;&gt;"Clôturé"),"RETARD",""))</f>
        <v/>
      </c>
      <c r="J1239" s="29">
        <f>IF($B1239="","",IF(INDEX(Dossiers!$F$4:$F$63,24)="","",INDEX(Dossiers!$F$4:$F$63,24)))</f>
        <v/>
      </c>
      <c r="K1239" s="29">
        <f>IF($B1239="","",IF(INDEX(Dossiers!$G$4:$G$63,24)="","",INDEX(Dossiers!$G$4:$G$63,24)))</f>
        <v/>
      </c>
    </row>
    <row r="1240">
      <c r="A1240">
        <f>IF($B1240="","",INDEX(Dossiers!$E$4:$E$63,24))</f>
        <v/>
      </c>
      <c r="B1240">
        <f>IF(INDEX(Suivi!$B:$B,1264)="","",INDEX(Suivi!$B:$B,1264))</f>
        <v/>
      </c>
      <c r="C1240">
        <f>IF($B1240="","",IF(INDEX(Suivi!$D:$D,1264)="",INDEX(Suivi!$C:$C,1264),INDEX(Suivi!$D:$D,1264)))</f>
        <v/>
      </c>
      <c r="D1240" s="29">
        <f>IF($B1240="","",INDEX(Suivi!$E:$E,1264))</f>
        <v/>
      </c>
      <c r="E1240" s="29">
        <f>IF($B1240="","",INDEX(Suivi!$F:$F,1264))</f>
        <v/>
      </c>
      <c r="F1240">
        <f>IF($B1240="","",INDEX(Suivi!$G:$G,1264))</f>
        <v/>
      </c>
      <c r="H1240">
        <f>IF(OR($B1240="",NOT(ISNUMBER($D1240))),"",IF($E1240&lt;$D$2,"Passé",IF($D1240&gt;$F$2,"À venir","Dans la période")))</f>
        <v/>
      </c>
      <c r="I1240">
        <f>IF(OR($B1240="",NOT(ISNUMBER($D1240))),"",IF(AND($E1240&lt;$D$2,$G1240&lt;&gt;"X",$F1240&lt;&gt;"Réalisé",$F1240&lt;&gt;"Clôturé"),"RETARD",""))</f>
        <v/>
      </c>
      <c r="J1240" s="29">
        <f>IF($B1240="","",IF(INDEX(Dossiers!$F$4:$F$63,24)="","",INDEX(Dossiers!$F$4:$F$63,24)))</f>
        <v/>
      </c>
      <c r="K1240" s="29">
        <f>IF($B1240="","",IF(INDEX(Dossiers!$G$4:$G$63,24)="","",INDEX(Dossiers!$G$4:$G$63,24)))</f>
        <v/>
      </c>
    </row>
    <row r="1241">
      <c r="A1241">
        <f>IF($B1241="","",INDEX(Dossiers!$E$4:$E$63,24))</f>
        <v/>
      </c>
      <c r="B1241">
        <f>IF(INDEX(Suivi!$B:$B,1265)="","",INDEX(Suivi!$B:$B,1265))</f>
        <v/>
      </c>
      <c r="C1241">
        <f>IF($B1241="","",IF(INDEX(Suivi!$D:$D,1265)="",INDEX(Suivi!$C:$C,1265),INDEX(Suivi!$D:$D,1265)))</f>
        <v/>
      </c>
      <c r="D1241" s="29">
        <f>IF($B1241="","",INDEX(Suivi!$E:$E,1265))</f>
        <v/>
      </c>
      <c r="E1241" s="29">
        <f>IF($B1241="","",INDEX(Suivi!$F:$F,1265))</f>
        <v/>
      </c>
      <c r="F1241">
        <f>IF($B1241="","",INDEX(Suivi!$G:$G,1265))</f>
        <v/>
      </c>
      <c r="H1241">
        <f>IF(OR($B1241="",NOT(ISNUMBER($D1241))),"",IF($E1241&lt;$D$2,"Passé",IF($D1241&gt;$F$2,"À venir","Dans la période")))</f>
        <v/>
      </c>
      <c r="I1241">
        <f>IF(OR($B1241="",NOT(ISNUMBER($D1241))),"",IF(AND($E1241&lt;$D$2,$G1241&lt;&gt;"X",$F1241&lt;&gt;"Réalisé",$F1241&lt;&gt;"Clôturé"),"RETARD",""))</f>
        <v/>
      </c>
      <c r="J1241" s="29">
        <f>IF($B1241="","",IF(INDEX(Dossiers!$F$4:$F$63,24)="","",INDEX(Dossiers!$F$4:$F$63,24)))</f>
        <v/>
      </c>
      <c r="K1241" s="29">
        <f>IF($B1241="","",IF(INDEX(Dossiers!$G$4:$G$63,24)="","",INDEX(Dossiers!$G$4:$G$63,24)))</f>
        <v/>
      </c>
    </row>
    <row r="1242">
      <c r="A1242">
        <f>IF($B1242="","",INDEX(Dossiers!$E$4:$E$63,24))</f>
        <v/>
      </c>
      <c r="B1242">
        <f>IF(INDEX(Suivi!$B:$B,1266)="","",INDEX(Suivi!$B:$B,1266))</f>
        <v/>
      </c>
      <c r="C1242">
        <f>IF($B1242="","",IF(INDEX(Suivi!$D:$D,1266)="",INDEX(Suivi!$C:$C,1266),INDEX(Suivi!$D:$D,1266)))</f>
        <v/>
      </c>
      <c r="D1242" s="29">
        <f>IF($B1242="","",INDEX(Suivi!$E:$E,1266))</f>
        <v/>
      </c>
      <c r="E1242" s="29">
        <f>IF($B1242="","",INDEX(Suivi!$F:$F,1266))</f>
        <v/>
      </c>
      <c r="F1242">
        <f>IF($B1242="","",INDEX(Suivi!$G:$G,1266))</f>
        <v/>
      </c>
      <c r="H1242">
        <f>IF(OR($B1242="",NOT(ISNUMBER($D1242))),"",IF($E1242&lt;$D$2,"Passé",IF($D1242&gt;$F$2,"À venir","Dans la période")))</f>
        <v/>
      </c>
      <c r="I1242">
        <f>IF(OR($B1242="",NOT(ISNUMBER($D1242))),"",IF(AND($E1242&lt;$D$2,$G1242&lt;&gt;"X",$F1242&lt;&gt;"Réalisé",$F1242&lt;&gt;"Clôturé"),"RETARD",""))</f>
        <v/>
      </c>
      <c r="J1242" s="29">
        <f>IF($B1242="","",IF(INDEX(Dossiers!$F$4:$F$63,24)="","",INDEX(Dossiers!$F$4:$F$63,24)))</f>
        <v/>
      </c>
      <c r="K1242" s="29">
        <f>IF($B1242="","",IF(INDEX(Dossiers!$G$4:$G$63,24)="","",INDEX(Dossiers!$G$4:$G$63,24)))</f>
        <v/>
      </c>
    </row>
    <row r="1243">
      <c r="A1243">
        <f>IF($B1243="","",INDEX(Dossiers!$E$4:$E$63,24))</f>
        <v/>
      </c>
      <c r="B1243">
        <f>IF(INDEX(Suivi!$B:$B,1267)="","",INDEX(Suivi!$B:$B,1267))</f>
        <v/>
      </c>
      <c r="C1243">
        <f>IF($B1243="","",IF(INDEX(Suivi!$D:$D,1267)="",INDEX(Suivi!$C:$C,1267),INDEX(Suivi!$D:$D,1267)))</f>
        <v/>
      </c>
      <c r="D1243" s="29">
        <f>IF($B1243="","",INDEX(Suivi!$E:$E,1267))</f>
        <v/>
      </c>
      <c r="E1243" s="29">
        <f>IF($B1243="","",INDEX(Suivi!$F:$F,1267))</f>
        <v/>
      </c>
      <c r="F1243">
        <f>IF($B1243="","",INDEX(Suivi!$G:$G,1267))</f>
        <v/>
      </c>
      <c r="H1243">
        <f>IF(OR($B1243="",NOT(ISNUMBER($D1243))),"",IF($E1243&lt;$D$2,"Passé",IF($D1243&gt;$F$2,"À venir","Dans la période")))</f>
        <v/>
      </c>
      <c r="I1243">
        <f>IF(OR($B1243="",NOT(ISNUMBER($D1243))),"",IF(AND($E1243&lt;$D$2,$G1243&lt;&gt;"X",$F1243&lt;&gt;"Réalisé",$F1243&lt;&gt;"Clôturé"),"RETARD",""))</f>
        <v/>
      </c>
      <c r="J1243" s="29">
        <f>IF($B1243="","",IF(INDEX(Dossiers!$F$4:$F$63,24)="","",INDEX(Dossiers!$F$4:$F$63,24)))</f>
        <v/>
      </c>
      <c r="K1243" s="29">
        <f>IF($B1243="","",IF(INDEX(Dossiers!$G$4:$G$63,24)="","",INDEX(Dossiers!$G$4:$G$63,24)))</f>
        <v/>
      </c>
    </row>
    <row r="1244">
      <c r="A1244">
        <f>IF($B1244="","",INDEX(Dossiers!$E$4:$E$63,24))</f>
        <v/>
      </c>
      <c r="B1244">
        <f>IF(INDEX(Suivi!$B:$B,1268)="","",INDEX(Suivi!$B:$B,1268))</f>
        <v/>
      </c>
      <c r="C1244">
        <f>IF($B1244="","",IF(INDEX(Suivi!$D:$D,1268)="",INDEX(Suivi!$C:$C,1268),INDEX(Suivi!$D:$D,1268)))</f>
        <v/>
      </c>
      <c r="D1244" s="29">
        <f>IF($B1244="","",INDEX(Suivi!$E:$E,1268))</f>
        <v/>
      </c>
      <c r="E1244" s="29">
        <f>IF($B1244="","",INDEX(Suivi!$F:$F,1268))</f>
        <v/>
      </c>
      <c r="F1244">
        <f>IF($B1244="","",INDEX(Suivi!$G:$G,1268))</f>
        <v/>
      </c>
      <c r="H1244">
        <f>IF(OR($B1244="",NOT(ISNUMBER($D1244))),"",IF($E1244&lt;$D$2,"Passé",IF($D1244&gt;$F$2,"À venir","Dans la période")))</f>
        <v/>
      </c>
      <c r="I1244">
        <f>IF(OR($B1244="",NOT(ISNUMBER($D1244))),"",IF(AND($E1244&lt;$D$2,$G1244&lt;&gt;"X",$F1244&lt;&gt;"Réalisé",$F1244&lt;&gt;"Clôturé"),"RETARD",""))</f>
        <v/>
      </c>
      <c r="J1244" s="29">
        <f>IF($B1244="","",IF(INDEX(Dossiers!$F$4:$F$63,24)="","",INDEX(Dossiers!$F$4:$F$63,24)))</f>
        <v/>
      </c>
      <c r="K1244" s="29">
        <f>IF($B1244="","",IF(INDEX(Dossiers!$G$4:$G$63,24)="","",INDEX(Dossiers!$G$4:$G$63,24)))</f>
        <v/>
      </c>
    </row>
    <row r="1245">
      <c r="A1245">
        <f>IF($B1245="","",INDEX(Dossiers!$E$4:$E$63,24))</f>
        <v/>
      </c>
      <c r="B1245">
        <f>IF(INDEX(Suivi!$B:$B,1269)="","",INDEX(Suivi!$B:$B,1269))</f>
        <v/>
      </c>
      <c r="C1245">
        <f>IF($B1245="","",IF(INDEX(Suivi!$D:$D,1269)="",INDEX(Suivi!$C:$C,1269),INDEX(Suivi!$D:$D,1269)))</f>
        <v/>
      </c>
      <c r="D1245" s="29">
        <f>IF($B1245="","",INDEX(Suivi!$E:$E,1269))</f>
        <v/>
      </c>
      <c r="E1245" s="29">
        <f>IF($B1245="","",INDEX(Suivi!$F:$F,1269))</f>
        <v/>
      </c>
      <c r="F1245">
        <f>IF($B1245="","",INDEX(Suivi!$G:$G,1269))</f>
        <v/>
      </c>
      <c r="H1245">
        <f>IF(OR($B1245="",NOT(ISNUMBER($D1245))),"",IF($E1245&lt;$D$2,"Passé",IF($D1245&gt;$F$2,"À venir","Dans la période")))</f>
        <v/>
      </c>
      <c r="I1245">
        <f>IF(OR($B1245="",NOT(ISNUMBER($D1245))),"",IF(AND($E1245&lt;$D$2,$G1245&lt;&gt;"X",$F1245&lt;&gt;"Réalisé",$F1245&lt;&gt;"Clôturé"),"RETARD",""))</f>
        <v/>
      </c>
      <c r="J1245" s="29">
        <f>IF($B1245="","",IF(INDEX(Dossiers!$F$4:$F$63,24)="","",INDEX(Dossiers!$F$4:$F$63,24)))</f>
        <v/>
      </c>
      <c r="K1245" s="29">
        <f>IF($B1245="","",IF(INDEX(Dossiers!$G$4:$G$63,24)="","",INDEX(Dossiers!$G$4:$G$63,24)))</f>
        <v/>
      </c>
    </row>
    <row r="1246">
      <c r="A1246">
        <f>IF($B1246="","",INDEX(Dossiers!$E$4:$E$63,24))</f>
        <v/>
      </c>
      <c r="B1246">
        <f>IF(INDEX(Suivi!$B:$B,1270)="","",INDEX(Suivi!$B:$B,1270))</f>
        <v/>
      </c>
      <c r="C1246">
        <f>IF($B1246="","",IF(INDEX(Suivi!$D:$D,1270)="",INDEX(Suivi!$C:$C,1270),INDEX(Suivi!$D:$D,1270)))</f>
        <v/>
      </c>
      <c r="D1246" s="29">
        <f>IF($B1246="","",INDEX(Suivi!$E:$E,1270))</f>
        <v/>
      </c>
      <c r="E1246" s="29">
        <f>IF($B1246="","",INDEX(Suivi!$F:$F,1270))</f>
        <v/>
      </c>
      <c r="F1246">
        <f>IF($B1246="","",INDEX(Suivi!$G:$G,1270))</f>
        <v/>
      </c>
      <c r="H1246">
        <f>IF(OR($B1246="",NOT(ISNUMBER($D1246))),"",IF($E1246&lt;$D$2,"Passé",IF($D1246&gt;$F$2,"À venir","Dans la période")))</f>
        <v/>
      </c>
      <c r="I1246">
        <f>IF(OR($B1246="",NOT(ISNUMBER($D1246))),"",IF(AND($E1246&lt;$D$2,$G1246&lt;&gt;"X",$F1246&lt;&gt;"Réalisé",$F1246&lt;&gt;"Clôturé"),"RETARD",""))</f>
        <v/>
      </c>
      <c r="J1246" s="29">
        <f>IF($B1246="","",IF(INDEX(Dossiers!$F$4:$F$63,24)="","",INDEX(Dossiers!$F$4:$F$63,24)))</f>
        <v/>
      </c>
      <c r="K1246" s="29">
        <f>IF($B1246="","",IF(INDEX(Dossiers!$G$4:$G$63,24)="","",INDEX(Dossiers!$G$4:$G$63,24)))</f>
        <v/>
      </c>
    </row>
    <row r="1247">
      <c r="A1247">
        <f>IF($B1247="","",INDEX(Dossiers!$E$4:$E$63,24))</f>
        <v/>
      </c>
      <c r="B1247">
        <f>IF(INDEX(Suivi!$B:$B,1271)="","",INDEX(Suivi!$B:$B,1271))</f>
        <v/>
      </c>
      <c r="C1247">
        <f>IF($B1247="","",IF(INDEX(Suivi!$D:$D,1271)="",INDEX(Suivi!$C:$C,1271),INDEX(Suivi!$D:$D,1271)))</f>
        <v/>
      </c>
      <c r="D1247" s="29">
        <f>IF($B1247="","",INDEX(Suivi!$E:$E,1271))</f>
        <v/>
      </c>
      <c r="E1247" s="29">
        <f>IF($B1247="","",INDEX(Suivi!$F:$F,1271))</f>
        <v/>
      </c>
      <c r="F1247">
        <f>IF($B1247="","",INDEX(Suivi!$G:$G,1271))</f>
        <v/>
      </c>
      <c r="H1247">
        <f>IF(OR($B1247="",NOT(ISNUMBER($D1247))),"",IF($E1247&lt;$D$2,"Passé",IF($D1247&gt;$F$2,"À venir","Dans la période")))</f>
        <v/>
      </c>
      <c r="I1247">
        <f>IF(OR($B1247="",NOT(ISNUMBER($D1247))),"",IF(AND($E1247&lt;$D$2,$G1247&lt;&gt;"X",$F1247&lt;&gt;"Réalisé",$F1247&lt;&gt;"Clôturé"),"RETARD",""))</f>
        <v/>
      </c>
      <c r="J1247" s="29">
        <f>IF($B1247="","",IF(INDEX(Dossiers!$F$4:$F$63,24)="","",INDEX(Dossiers!$F$4:$F$63,24)))</f>
        <v/>
      </c>
      <c r="K1247" s="29">
        <f>IF($B1247="","",IF(INDEX(Dossiers!$G$4:$G$63,24)="","",INDEX(Dossiers!$G$4:$G$63,24)))</f>
        <v/>
      </c>
    </row>
    <row r="1248">
      <c r="A1248">
        <f>IF($B1248="","",INDEX(Dossiers!$E$4:$E$63,24))</f>
        <v/>
      </c>
      <c r="B1248">
        <f>IF(INDEX(Suivi!$B:$B,1272)="","",INDEX(Suivi!$B:$B,1272))</f>
        <v/>
      </c>
      <c r="C1248">
        <f>IF($B1248="","",IF(INDEX(Suivi!$D:$D,1272)="",INDEX(Suivi!$C:$C,1272),INDEX(Suivi!$D:$D,1272)))</f>
        <v/>
      </c>
      <c r="D1248" s="29">
        <f>IF($B1248="","",INDEX(Suivi!$E:$E,1272))</f>
        <v/>
      </c>
      <c r="E1248" s="29">
        <f>IF($B1248="","",INDEX(Suivi!$F:$F,1272))</f>
        <v/>
      </c>
      <c r="F1248">
        <f>IF($B1248="","",INDEX(Suivi!$G:$G,1272))</f>
        <v/>
      </c>
      <c r="H1248">
        <f>IF(OR($B1248="",NOT(ISNUMBER($D1248))),"",IF($E1248&lt;$D$2,"Passé",IF($D1248&gt;$F$2,"À venir","Dans la période")))</f>
        <v/>
      </c>
      <c r="I1248">
        <f>IF(OR($B1248="",NOT(ISNUMBER($D1248))),"",IF(AND($E1248&lt;$D$2,$G1248&lt;&gt;"X",$F1248&lt;&gt;"Réalisé",$F1248&lt;&gt;"Clôturé"),"RETARD",""))</f>
        <v/>
      </c>
      <c r="J1248" s="29">
        <f>IF($B1248="","",IF(INDEX(Dossiers!$F$4:$F$63,24)="","",INDEX(Dossiers!$F$4:$F$63,24)))</f>
        <v/>
      </c>
      <c r="K1248" s="29">
        <f>IF($B1248="","",IF(INDEX(Dossiers!$G$4:$G$63,24)="","",INDEX(Dossiers!$G$4:$G$63,24)))</f>
        <v/>
      </c>
    </row>
    <row r="1249">
      <c r="A1249">
        <f>IF($B1249="","",INDEX(Dossiers!$E$4:$E$63,24))</f>
        <v/>
      </c>
      <c r="B1249">
        <f>IF(INDEX(Suivi!$B:$B,1273)="","",INDEX(Suivi!$B:$B,1273))</f>
        <v/>
      </c>
      <c r="C1249">
        <f>IF($B1249="","",IF(INDEX(Suivi!$D:$D,1273)="",INDEX(Suivi!$C:$C,1273),INDEX(Suivi!$D:$D,1273)))</f>
        <v/>
      </c>
      <c r="D1249" s="29">
        <f>IF($B1249="","",INDEX(Suivi!$E:$E,1273))</f>
        <v/>
      </c>
      <c r="E1249" s="29">
        <f>IF($B1249="","",INDEX(Suivi!$F:$F,1273))</f>
        <v/>
      </c>
      <c r="F1249">
        <f>IF($B1249="","",INDEX(Suivi!$G:$G,1273))</f>
        <v/>
      </c>
      <c r="H1249">
        <f>IF(OR($B1249="",NOT(ISNUMBER($D1249))),"",IF($E1249&lt;$D$2,"Passé",IF($D1249&gt;$F$2,"À venir","Dans la période")))</f>
        <v/>
      </c>
      <c r="I1249">
        <f>IF(OR($B1249="",NOT(ISNUMBER($D1249))),"",IF(AND($E1249&lt;$D$2,$G1249&lt;&gt;"X",$F1249&lt;&gt;"Réalisé",$F1249&lt;&gt;"Clôturé"),"RETARD",""))</f>
        <v/>
      </c>
      <c r="J1249" s="29">
        <f>IF($B1249="","",IF(INDEX(Dossiers!$F$4:$F$63,24)="","",INDEX(Dossiers!$F$4:$F$63,24)))</f>
        <v/>
      </c>
      <c r="K1249" s="29">
        <f>IF($B1249="","",IF(INDEX(Dossiers!$G$4:$G$63,24)="","",INDEX(Dossiers!$G$4:$G$63,24)))</f>
        <v/>
      </c>
    </row>
    <row r="1250">
      <c r="A1250">
        <f>IF($B1250="","",INDEX(Dossiers!$E$4:$E$63,24))</f>
        <v/>
      </c>
      <c r="B1250">
        <f>IF(INDEX(Suivi!$B:$B,1274)="","",INDEX(Suivi!$B:$B,1274))</f>
        <v/>
      </c>
      <c r="C1250">
        <f>IF($B1250="","",IF(INDEX(Suivi!$D:$D,1274)="",INDEX(Suivi!$C:$C,1274),INDEX(Suivi!$D:$D,1274)))</f>
        <v/>
      </c>
      <c r="D1250" s="29">
        <f>IF($B1250="","",INDEX(Suivi!$E:$E,1274))</f>
        <v/>
      </c>
      <c r="E1250" s="29">
        <f>IF($B1250="","",INDEX(Suivi!$F:$F,1274))</f>
        <v/>
      </c>
      <c r="F1250">
        <f>IF($B1250="","",INDEX(Suivi!$G:$G,1274))</f>
        <v/>
      </c>
      <c r="H1250">
        <f>IF(OR($B1250="",NOT(ISNUMBER($D1250))),"",IF($E1250&lt;$D$2,"Passé",IF($D1250&gt;$F$2,"À venir","Dans la période")))</f>
        <v/>
      </c>
      <c r="I1250">
        <f>IF(OR($B1250="",NOT(ISNUMBER($D1250))),"",IF(AND($E1250&lt;$D$2,$G1250&lt;&gt;"X",$F1250&lt;&gt;"Réalisé",$F1250&lt;&gt;"Clôturé"),"RETARD",""))</f>
        <v/>
      </c>
      <c r="J1250" s="29">
        <f>IF($B1250="","",IF(INDEX(Dossiers!$F$4:$F$63,24)="","",INDEX(Dossiers!$F$4:$F$63,24)))</f>
        <v/>
      </c>
      <c r="K1250" s="29">
        <f>IF($B1250="","",IF(INDEX(Dossiers!$G$4:$G$63,24)="","",INDEX(Dossiers!$G$4:$G$63,24)))</f>
        <v/>
      </c>
    </row>
    <row r="1251">
      <c r="A1251">
        <f>IF($B1251="","",INDEX(Dossiers!$E$4:$E$63,24))</f>
        <v/>
      </c>
      <c r="B1251">
        <f>IF(INDEX(Suivi!$B:$B,1275)="","",INDEX(Suivi!$B:$B,1275))</f>
        <v/>
      </c>
      <c r="C1251">
        <f>IF($B1251="","",IF(INDEX(Suivi!$D:$D,1275)="",INDEX(Suivi!$C:$C,1275),INDEX(Suivi!$D:$D,1275)))</f>
        <v/>
      </c>
      <c r="D1251" s="29">
        <f>IF($B1251="","",INDEX(Suivi!$E:$E,1275))</f>
        <v/>
      </c>
      <c r="E1251" s="29">
        <f>IF($B1251="","",INDEX(Suivi!$F:$F,1275))</f>
        <v/>
      </c>
      <c r="F1251">
        <f>IF($B1251="","",INDEX(Suivi!$G:$G,1275))</f>
        <v/>
      </c>
      <c r="H1251">
        <f>IF(OR($B1251="",NOT(ISNUMBER($D1251))),"",IF($E1251&lt;$D$2,"Passé",IF($D1251&gt;$F$2,"À venir","Dans la période")))</f>
        <v/>
      </c>
      <c r="I1251">
        <f>IF(OR($B1251="",NOT(ISNUMBER($D1251))),"",IF(AND($E1251&lt;$D$2,$G1251&lt;&gt;"X",$F1251&lt;&gt;"Réalisé",$F1251&lt;&gt;"Clôturé"),"RETARD",""))</f>
        <v/>
      </c>
      <c r="J1251" s="29">
        <f>IF($B1251="","",IF(INDEX(Dossiers!$F$4:$F$63,24)="","",INDEX(Dossiers!$F$4:$F$63,24)))</f>
        <v/>
      </c>
      <c r="K1251" s="29">
        <f>IF($B1251="","",IF(INDEX(Dossiers!$G$4:$G$63,24)="","",INDEX(Dossiers!$G$4:$G$63,24)))</f>
        <v/>
      </c>
    </row>
    <row r="1252">
      <c r="A1252">
        <f>IF($B1252="","",INDEX(Dossiers!$E$4:$E$63,24))</f>
        <v/>
      </c>
      <c r="B1252">
        <f>IF(INDEX(Suivi!$B:$B,1276)="","",INDEX(Suivi!$B:$B,1276))</f>
        <v/>
      </c>
      <c r="C1252">
        <f>IF($B1252="","",IF(INDEX(Suivi!$D:$D,1276)="",INDEX(Suivi!$C:$C,1276),INDEX(Suivi!$D:$D,1276)))</f>
        <v/>
      </c>
      <c r="D1252" s="29">
        <f>IF($B1252="","",INDEX(Suivi!$E:$E,1276))</f>
        <v/>
      </c>
      <c r="E1252" s="29">
        <f>IF($B1252="","",INDEX(Suivi!$F:$F,1276))</f>
        <v/>
      </c>
      <c r="F1252">
        <f>IF($B1252="","",INDEX(Suivi!$G:$G,1276))</f>
        <v/>
      </c>
      <c r="H1252">
        <f>IF(OR($B1252="",NOT(ISNUMBER($D1252))),"",IF($E1252&lt;$D$2,"Passé",IF($D1252&gt;$F$2,"À venir","Dans la période")))</f>
        <v/>
      </c>
      <c r="I1252">
        <f>IF(OR($B1252="",NOT(ISNUMBER($D1252))),"",IF(AND($E1252&lt;$D$2,$G1252&lt;&gt;"X",$F1252&lt;&gt;"Réalisé",$F1252&lt;&gt;"Clôturé"),"RETARD",""))</f>
        <v/>
      </c>
      <c r="J1252" s="29">
        <f>IF($B1252="","",IF(INDEX(Dossiers!$F$4:$F$63,24)="","",INDEX(Dossiers!$F$4:$F$63,24)))</f>
        <v/>
      </c>
      <c r="K1252" s="29">
        <f>IF($B1252="","",IF(INDEX(Dossiers!$G$4:$G$63,24)="","",INDEX(Dossiers!$G$4:$G$63,24)))</f>
        <v/>
      </c>
    </row>
    <row r="1253">
      <c r="A1253">
        <f>IF($B1253="","",INDEX(Dossiers!$E$4:$E$63,24))</f>
        <v/>
      </c>
      <c r="B1253">
        <f>IF(INDEX(Suivi!$B:$B,1277)="","",INDEX(Suivi!$B:$B,1277))</f>
        <v/>
      </c>
      <c r="C1253">
        <f>IF($B1253="","",IF(INDEX(Suivi!$D:$D,1277)="",INDEX(Suivi!$C:$C,1277),INDEX(Suivi!$D:$D,1277)))</f>
        <v/>
      </c>
      <c r="D1253" s="29">
        <f>IF($B1253="","",INDEX(Suivi!$E:$E,1277))</f>
        <v/>
      </c>
      <c r="E1253" s="29">
        <f>IF($B1253="","",INDEX(Suivi!$F:$F,1277))</f>
        <v/>
      </c>
      <c r="F1253">
        <f>IF($B1253="","",INDEX(Suivi!$G:$G,1277))</f>
        <v/>
      </c>
      <c r="H1253">
        <f>IF(OR($B1253="",NOT(ISNUMBER($D1253))),"",IF($E1253&lt;$D$2,"Passé",IF($D1253&gt;$F$2,"À venir","Dans la période")))</f>
        <v/>
      </c>
      <c r="I1253">
        <f>IF(OR($B1253="",NOT(ISNUMBER($D1253))),"",IF(AND($E1253&lt;$D$2,$G1253&lt;&gt;"X",$F1253&lt;&gt;"Réalisé",$F1253&lt;&gt;"Clôturé"),"RETARD",""))</f>
        <v/>
      </c>
      <c r="J1253" s="29">
        <f>IF($B1253="","",IF(INDEX(Dossiers!$F$4:$F$63,24)="","",INDEX(Dossiers!$F$4:$F$63,24)))</f>
        <v/>
      </c>
      <c r="K1253" s="29">
        <f>IF($B1253="","",IF(INDEX(Dossiers!$G$4:$G$63,24)="","",INDEX(Dossiers!$G$4:$G$63,24)))</f>
        <v/>
      </c>
    </row>
    <row r="1254">
      <c r="A1254">
        <f>IF($B1254="","",INDEX(Dossiers!$E$4:$E$63,24))</f>
        <v/>
      </c>
      <c r="B1254">
        <f>IF(INDEX(Suivi!$B:$B,1278)="","",INDEX(Suivi!$B:$B,1278))</f>
        <v/>
      </c>
      <c r="C1254">
        <f>IF($B1254="","",IF(INDEX(Suivi!$D:$D,1278)="",INDEX(Suivi!$C:$C,1278),INDEX(Suivi!$D:$D,1278)))</f>
        <v/>
      </c>
      <c r="D1254" s="29">
        <f>IF($B1254="","",INDEX(Suivi!$E:$E,1278))</f>
        <v/>
      </c>
      <c r="E1254" s="29">
        <f>IF($B1254="","",INDEX(Suivi!$F:$F,1278))</f>
        <v/>
      </c>
      <c r="F1254">
        <f>IF($B1254="","",INDEX(Suivi!$G:$G,1278))</f>
        <v/>
      </c>
      <c r="H1254">
        <f>IF(OR($B1254="",NOT(ISNUMBER($D1254))),"",IF($E1254&lt;$D$2,"Passé",IF($D1254&gt;$F$2,"À venir","Dans la période")))</f>
        <v/>
      </c>
      <c r="I1254">
        <f>IF(OR($B1254="",NOT(ISNUMBER($D1254))),"",IF(AND($E1254&lt;$D$2,$G1254&lt;&gt;"X",$F1254&lt;&gt;"Réalisé",$F1254&lt;&gt;"Clôturé"),"RETARD",""))</f>
        <v/>
      </c>
      <c r="J1254" s="29">
        <f>IF($B1254="","",IF(INDEX(Dossiers!$F$4:$F$63,24)="","",INDEX(Dossiers!$F$4:$F$63,24)))</f>
        <v/>
      </c>
      <c r="K1254" s="29">
        <f>IF($B1254="","",IF(INDEX(Dossiers!$G$4:$G$63,24)="","",INDEX(Dossiers!$G$4:$G$63,24)))</f>
        <v/>
      </c>
    </row>
    <row r="1255">
      <c r="A1255">
        <f>IF($B1255="","",INDEX(Dossiers!$E$4:$E$63,24))</f>
        <v/>
      </c>
      <c r="B1255">
        <f>IF(INDEX(Suivi!$B:$B,1279)="","",INDEX(Suivi!$B:$B,1279))</f>
        <v/>
      </c>
      <c r="C1255">
        <f>IF($B1255="","",IF(INDEX(Suivi!$D:$D,1279)="",INDEX(Suivi!$C:$C,1279),INDEX(Suivi!$D:$D,1279)))</f>
        <v/>
      </c>
      <c r="D1255" s="29">
        <f>IF($B1255="","",INDEX(Suivi!$E:$E,1279))</f>
        <v/>
      </c>
      <c r="E1255" s="29">
        <f>IF($B1255="","",INDEX(Suivi!$F:$F,1279))</f>
        <v/>
      </c>
      <c r="F1255">
        <f>IF($B1255="","",INDEX(Suivi!$G:$G,1279))</f>
        <v/>
      </c>
      <c r="H1255">
        <f>IF(OR($B1255="",NOT(ISNUMBER($D1255))),"",IF($E1255&lt;$D$2,"Passé",IF($D1255&gt;$F$2,"À venir","Dans la période")))</f>
        <v/>
      </c>
      <c r="I1255">
        <f>IF(OR($B1255="",NOT(ISNUMBER($D1255))),"",IF(AND($E1255&lt;$D$2,$G1255&lt;&gt;"X",$F1255&lt;&gt;"Réalisé",$F1255&lt;&gt;"Clôturé"),"RETARD",""))</f>
        <v/>
      </c>
      <c r="J1255" s="29">
        <f>IF($B1255="","",IF(INDEX(Dossiers!$F$4:$F$63,24)="","",INDEX(Dossiers!$F$4:$F$63,24)))</f>
        <v/>
      </c>
      <c r="K1255" s="29">
        <f>IF($B1255="","",IF(INDEX(Dossiers!$G$4:$G$63,24)="","",INDEX(Dossiers!$G$4:$G$63,24)))</f>
        <v/>
      </c>
    </row>
    <row r="1256">
      <c r="A1256">
        <f>IF($B1256="","",INDEX(Dossiers!$E$4:$E$63,24))</f>
        <v/>
      </c>
      <c r="B1256">
        <f>IF(INDEX(Suivi!$B:$B,1280)="","",INDEX(Suivi!$B:$B,1280))</f>
        <v/>
      </c>
      <c r="C1256">
        <f>IF($B1256="","",IF(INDEX(Suivi!$D:$D,1280)="",INDEX(Suivi!$C:$C,1280),INDEX(Suivi!$D:$D,1280)))</f>
        <v/>
      </c>
      <c r="D1256" s="29">
        <f>IF($B1256="","",INDEX(Suivi!$E:$E,1280))</f>
        <v/>
      </c>
      <c r="E1256" s="29">
        <f>IF($B1256="","",INDEX(Suivi!$F:$F,1280))</f>
        <v/>
      </c>
      <c r="F1256">
        <f>IF($B1256="","",INDEX(Suivi!$G:$G,1280))</f>
        <v/>
      </c>
      <c r="H1256">
        <f>IF(OR($B1256="",NOT(ISNUMBER($D1256))),"",IF($E1256&lt;$D$2,"Passé",IF($D1256&gt;$F$2,"À venir","Dans la période")))</f>
        <v/>
      </c>
      <c r="I1256">
        <f>IF(OR($B1256="",NOT(ISNUMBER($D1256))),"",IF(AND($E1256&lt;$D$2,$G1256&lt;&gt;"X",$F1256&lt;&gt;"Réalisé",$F1256&lt;&gt;"Clôturé"),"RETARD",""))</f>
        <v/>
      </c>
      <c r="J1256" s="29">
        <f>IF($B1256="","",IF(INDEX(Dossiers!$F$4:$F$63,24)="","",INDEX(Dossiers!$F$4:$F$63,24)))</f>
        <v/>
      </c>
      <c r="K1256" s="29">
        <f>IF($B1256="","",IF(INDEX(Dossiers!$G$4:$G$63,24)="","",INDEX(Dossiers!$G$4:$G$63,24)))</f>
        <v/>
      </c>
    </row>
    <row r="1257">
      <c r="A1257">
        <f>IF($B1257="","",INDEX(Dossiers!$E$4:$E$63,24))</f>
        <v/>
      </c>
      <c r="B1257">
        <f>IF(INDEX(Suivi!$B:$B,1281)="","",INDEX(Suivi!$B:$B,1281))</f>
        <v/>
      </c>
      <c r="C1257">
        <f>IF($B1257="","",IF(INDEX(Suivi!$D:$D,1281)="",INDEX(Suivi!$C:$C,1281),INDEX(Suivi!$D:$D,1281)))</f>
        <v/>
      </c>
      <c r="D1257" s="29">
        <f>IF($B1257="","",INDEX(Suivi!$E:$E,1281))</f>
        <v/>
      </c>
      <c r="E1257" s="29">
        <f>IF($B1257="","",INDEX(Suivi!$F:$F,1281))</f>
        <v/>
      </c>
      <c r="F1257">
        <f>IF($B1257="","",INDEX(Suivi!$G:$G,1281))</f>
        <v/>
      </c>
      <c r="H1257">
        <f>IF(OR($B1257="",NOT(ISNUMBER($D1257))),"",IF($E1257&lt;$D$2,"Passé",IF($D1257&gt;$F$2,"À venir","Dans la période")))</f>
        <v/>
      </c>
      <c r="I1257">
        <f>IF(OR($B1257="",NOT(ISNUMBER($D1257))),"",IF(AND($E1257&lt;$D$2,$G1257&lt;&gt;"X",$F1257&lt;&gt;"Réalisé",$F1257&lt;&gt;"Clôturé"),"RETARD",""))</f>
        <v/>
      </c>
      <c r="J1257" s="29">
        <f>IF($B1257="","",IF(INDEX(Dossiers!$F$4:$F$63,24)="","",INDEX(Dossiers!$F$4:$F$63,24)))</f>
        <v/>
      </c>
      <c r="K1257" s="29">
        <f>IF($B1257="","",IF(INDEX(Dossiers!$G$4:$G$63,24)="","",INDEX(Dossiers!$G$4:$G$63,24)))</f>
        <v/>
      </c>
    </row>
    <row r="1258">
      <c r="A1258">
        <f>IF($B1258="","",INDEX(Dossiers!$E$4:$E$63,24))</f>
        <v/>
      </c>
      <c r="B1258">
        <f>IF(INDEX(Suivi!$B:$B,1282)="","",INDEX(Suivi!$B:$B,1282))</f>
        <v/>
      </c>
      <c r="C1258">
        <f>IF($B1258="","",IF(INDEX(Suivi!$D:$D,1282)="",INDEX(Suivi!$C:$C,1282),INDEX(Suivi!$D:$D,1282)))</f>
        <v/>
      </c>
      <c r="D1258" s="29">
        <f>IF($B1258="","",INDEX(Suivi!$E:$E,1282))</f>
        <v/>
      </c>
      <c r="E1258" s="29">
        <f>IF($B1258="","",INDEX(Suivi!$F:$F,1282))</f>
        <v/>
      </c>
      <c r="F1258">
        <f>IF($B1258="","",INDEX(Suivi!$G:$G,1282))</f>
        <v/>
      </c>
      <c r="H1258">
        <f>IF(OR($B1258="",NOT(ISNUMBER($D1258))),"",IF($E1258&lt;$D$2,"Passé",IF($D1258&gt;$F$2,"À venir","Dans la période")))</f>
        <v/>
      </c>
      <c r="I1258">
        <f>IF(OR($B1258="",NOT(ISNUMBER($D1258))),"",IF(AND($E1258&lt;$D$2,$G1258&lt;&gt;"X",$F1258&lt;&gt;"Réalisé",$F1258&lt;&gt;"Clôturé"),"RETARD",""))</f>
        <v/>
      </c>
      <c r="J1258" s="29">
        <f>IF($B1258="","",IF(INDEX(Dossiers!$F$4:$F$63,24)="","",INDEX(Dossiers!$F$4:$F$63,24)))</f>
        <v/>
      </c>
      <c r="K1258" s="29">
        <f>IF($B1258="","",IF(INDEX(Dossiers!$G$4:$G$63,24)="","",INDEX(Dossiers!$G$4:$G$63,24)))</f>
        <v/>
      </c>
    </row>
    <row r="1259">
      <c r="A1259">
        <f>IF($B1259="","",INDEX(Dossiers!$E$4:$E$63,24))</f>
        <v/>
      </c>
      <c r="B1259">
        <f>IF(INDEX(Suivi!$B:$B,1283)="","",INDEX(Suivi!$B:$B,1283))</f>
        <v/>
      </c>
      <c r="C1259">
        <f>IF($B1259="","",IF(INDEX(Suivi!$D:$D,1283)="",INDEX(Suivi!$C:$C,1283),INDEX(Suivi!$D:$D,1283)))</f>
        <v/>
      </c>
      <c r="D1259" s="29">
        <f>IF($B1259="","",INDEX(Suivi!$E:$E,1283))</f>
        <v/>
      </c>
      <c r="E1259" s="29">
        <f>IF($B1259="","",INDEX(Suivi!$F:$F,1283))</f>
        <v/>
      </c>
      <c r="F1259">
        <f>IF($B1259="","",INDEX(Suivi!$G:$G,1283))</f>
        <v/>
      </c>
      <c r="H1259">
        <f>IF(OR($B1259="",NOT(ISNUMBER($D1259))),"",IF($E1259&lt;$D$2,"Passé",IF($D1259&gt;$F$2,"À venir","Dans la période")))</f>
        <v/>
      </c>
      <c r="I1259">
        <f>IF(OR($B1259="",NOT(ISNUMBER($D1259))),"",IF(AND($E1259&lt;$D$2,$G1259&lt;&gt;"X",$F1259&lt;&gt;"Réalisé",$F1259&lt;&gt;"Clôturé"),"RETARD",""))</f>
        <v/>
      </c>
      <c r="J1259" s="29">
        <f>IF($B1259="","",IF(INDEX(Dossiers!$F$4:$F$63,24)="","",INDEX(Dossiers!$F$4:$F$63,24)))</f>
        <v/>
      </c>
      <c r="K1259" s="29">
        <f>IF($B1259="","",IF(INDEX(Dossiers!$G$4:$G$63,24)="","",INDEX(Dossiers!$G$4:$G$63,24)))</f>
        <v/>
      </c>
    </row>
    <row r="1260">
      <c r="A1260">
        <f>IF($B1260="","",INDEX(Dossiers!$E$4:$E$63,24))</f>
        <v/>
      </c>
      <c r="B1260">
        <f>IF(INDEX(Suivi!$B:$B,1284)="","",INDEX(Suivi!$B:$B,1284))</f>
        <v/>
      </c>
      <c r="C1260">
        <f>IF($B1260="","",IF(INDEX(Suivi!$D:$D,1284)="",INDEX(Suivi!$C:$C,1284),INDEX(Suivi!$D:$D,1284)))</f>
        <v/>
      </c>
      <c r="D1260" s="29">
        <f>IF($B1260="","",INDEX(Suivi!$E:$E,1284))</f>
        <v/>
      </c>
      <c r="E1260" s="29">
        <f>IF($B1260="","",INDEX(Suivi!$F:$F,1284))</f>
        <v/>
      </c>
      <c r="F1260">
        <f>IF($B1260="","",INDEX(Suivi!$G:$G,1284))</f>
        <v/>
      </c>
      <c r="H1260">
        <f>IF(OR($B1260="",NOT(ISNUMBER($D1260))),"",IF($E1260&lt;$D$2,"Passé",IF($D1260&gt;$F$2,"À venir","Dans la période")))</f>
        <v/>
      </c>
      <c r="I1260">
        <f>IF(OR($B1260="",NOT(ISNUMBER($D1260))),"",IF(AND($E1260&lt;$D$2,$G1260&lt;&gt;"X",$F1260&lt;&gt;"Réalisé",$F1260&lt;&gt;"Clôturé"),"RETARD",""))</f>
        <v/>
      </c>
      <c r="J1260" s="29">
        <f>IF($B1260="","",IF(INDEX(Dossiers!$F$4:$F$63,24)="","",INDEX(Dossiers!$F$4:$F$63,24)))</f>
        <v/>
      </c>
      <c r="K1260" s="29">
        <f>IF($B1260="","",IF(INDEX(Dossiers!$G$4:$G$63,24)="","",INDEX(Dossiers!$G$4:$G$63,24)))</f>
        <v/>
      </c>
    </row>
    <row r="1261">
      <c r="A1261">
        <f>IF($B1261="","",INDEX(Dossiers!$E$4:$E$63,24))</f>
        <v/>
      </c>
      <c r="B1261">
        <f>IF(INDEX(Suivi!$B:$B,1285)="","",INDEX(Suivi!$B:$B,1285))</f>
        <v/>
      </c>
      <c r="C1261">
        <f>IF($B1261="","",IF(INDEX(Suivi!$D:$D,1285)="",INDEX(Suivi!$C:$C,1285),INDEX(Suivi!$D:$D,1285)))</f>
        <v/>
      </c>
      <c r="D1261" s="29">
        <f>IF($B1261="","",INDEX(Suivi!$E:$E,1285))</f>
        <v/>
      </c>
      <c r="E1261" s="29">
        <f>IF($B1261="","",INDEX(Suivi!$F:$F,1285))</f>
        <v/>
      </c>
      <c r="F1261">
        <f>IF($B1261="","",INDEX(Suivi!$G:$G,1285))</f>
        <v/>
      </c>
      <c r="H1261">
        <f>IF(OR($B1261="",NOT(ISNUMBER($D1261))),"",IF($E1261&lt;$D$2,"Passé",IF($D1261&gt;$F$2,"À venir","Dans la période")))</f>
        <v/>
      </c>
      <c r="I1261">
        <f>IF(OR($B1261="",NOT(ISNUMBER($D1261))),"",IF(AND($E1261&lt;$D$2,$G1261&lt;&gt;"X",$F1261&lt;&gt;"Réalisé",$F1261&lt;&gt;"Clôturé"),"RETARD",""))</f>
        <v/>
      </c>
      <c r="J1261" s="29">
        <f>IF($B1261="","",IF(INDEX(Dossiers!$F$4:$F$63,24)="","",INDEX(Dossiers!$F$4:$F$63,24)))</f>
        <v/>
      </c>
      <c r="K1261" s="29">
        <f>IF($B1261="","",IF(INDEX(Dossiers!$G$4:$G$63,24)="","",INDEX(Dossiers!$G$4:$G$63,24)))</f>
        <v/>
      </c>
    </row>
    <row r="1262">
      <c r="A1262">
        <f>IF($B1262="","",INDEX(Dossiers!$E$4:$E$63,24))</f>
        <v/>
      </c>
      <c r="B1262">
        <f>IF(INDEX(Suivi!$B:$B,1286)="","",INDEX(Suivi!$B:$B,1286))</f>
        <v/>
      </c>
      <c r="C1262">
        <f>IF($B1262="","",IF(INDEX(Suivi!$D:$D,1286)="",INDEX(Suivi!$C:$C,1286),INDEX(Suivi!$D:$D,1286)))</f>
        <v/>
      </c>
      <c r="D1262" s="29">
        <f>IF($B1262="","",INDEX(Suivi!$E:$E,1286))</f>
        <v/>
      </c>
      <c r="E1262" s="29">
        <f>IF($B1262="","",INDEX(Suivi!$F:$F,1286))</f>
        <v/>
      </c>
      <c r="F1262">
        <f>IF($B1262="","",INDEX(Suivi!$G:$G,1286))</f>
        <v/>
      </c>
      <c r="H1262">
        <f>IF(OR($B1262="",NOT(ISNUMBER($D1262))),"",IF($E1262&lt;$D$2,"Passé",IF($D1262&gt;$F$2,"À venir","Dans la période")))</f>
        <v/>
      </c>
      <c r="I1262">
        <f>IF(OR($B1262="",NOT(ISNUMBER($D1262))),"",IF(AND($E1262&lt;$D$2,$G1262&lt;&gt;"X",$F1262&lt;&gt;"Réalisé",$F1262&lt;&gt;"Clôturé"),"RETARD",""))</f>
        <v/>
      </c>
      <c r="J1262" s="29">
        <f>IF($B1262="","",IF(INDEX(Dossiers!$F$4:$F$63,24)="","",INDEX(Dossiers!$F$4:$F$63,24)))</f>
        <v/>
      </c>
      <c r="K1262" s="29">
        <f>IF($B1262="","",IF(INDEX(Dossiers!$G$4:$G$63,24)="","",INDEX(Dossiers!$G$4:$G$63,24)))</f>
        <v/>
      </c>
    </row>
    <row r="1263">
      <c r="A1263">
        <f>IF($B1263="","",INDEX(Dossiers!$E$4:$E$63,24))</f>
        <v/>
      </c>
      <c r="B1263">
        <f>IF(INDEX(Suivi!$B:$B,1287)="","",INDEX(Suivi!$B:$B,1287))</f>
        <v/>
      </c>
      <c r="C1263">
        <f>IF($B1263="","",IF(INDEX(Suivi!$D:$D,1287)="",INDEX(Suivi!$C:$C,1287),INDEX(Suivi!$D:$D,1287)))</f>
        <v/>
      </c>
      <c r="D1263" s="29">
        <f>IF($B1263="","",INDEX(Suivi!$E:$E,1287))</f>
        <v/>
      </c>
      <c r="E1263" s="29">
        <f>IF($B1263="","",INDEX(Suivi!$F:$F,1287))</f>
        <v/>
      </c>
      <c r="F1263">
        <f>IF($B1263="","",INDEX(Suivi!$G:$G,1287))</f>
        <v/>
      </c>
      <c r="H1263">
        <f>IF(OR($B1263="",NOT(ISNUMBER($D1263))),"",IF($E1263&lt;$D$2,"Passé",IF($D1263&gt;$F$2,"À venir","Dans la période")))</f>
        <v/>
      </c>
      <c r="I1263">
        <f>IF(OR($B1263="",NOT(ISNUMBER($D1263))),"",IF(AND($E1263&lt;$D$2,$G1263&lt;&gt;"X",$F1263&lt;&gt;"Réalisé",$F1263&lt;&gt;"Clôturé"),"RETARD",""))</f>
        <v/>
      </c>
      <c r="J1263" s="29">
        <f>IF($B1263="","",IF(INDEX(Dossiers!$F$4:$F$63,24)="","",INDEX(Dossiers!$F$4:$F$63,24)))</f>
        <v/>
      </c>
      <c r="K1263" s="29">
        <f>IF($B1263="","",IF(INDEX(Dossiers!$G$4:$G$63,24)="","",INDEX(Dossiers!$G$4:$G$63,24)))</f>
        <v/>
      </c>
    </row>
    <row r="1264">
      <c r="A1264">
        <f>IF($B1264="","",INDEX(Dossiers!$E$4:$E$63,24))</f>
        <v/>
      </c>
      <c r="B1264">
        <f>IF(INDEX(Suivi!$B:$B,1288)="","",INDEX(Suivi!$B:$B,1288))</f>
        <v/>
      </c>
      <c r="C1264">
        <f>IF($B1264="","",IF(INDEX(Suivi!$D:$D,1288)="",INDEX(Suivi!$C:$C,1288),INDEX(Suivi!$D:$D,1288)))</f>
        <v/>
      </c>
      <c r="D1264" s="29">
        <f>IF($B1264="","",INDEX(Suivi!$E:$E,1288))</f>
        <v/>
      </c>
      <c r="E1264" s="29">
        <f>IF($B1264="","",INDEX(Suivi!$F:$F,1288))</f>
        <v/>
      </c>
      <c r="F1264">
        <f>IF($B1264="","",INDEX(Suivi!$G:$G,1288))</f>
        <v/>
      </c>
      <c r="H1264">
        <f>IF(OR($B1264="",NOT(ISNUMBER($D1264))),"",IF($E1264&lt;$D$2,"Passé",IF($D1264&gt;$F$2,"À venir","Dans la période")))</f>
        <v/>
      </c>
      <c r="I1264">
        <f>IF(OR($B1264="",NOT(ISNUMBER($D1264))),"",IF(AND($E1264&lt;$D$2,$G1264&lt;&gt;"X",$F1264&lt;&gt;"Réalisé",$F1264&lt;&gt;"Clôturé"),"RETARD",""))</f>
        <v/>
      </c>
      <c r="J1264" s="29">
        <f>IF($B1264="","",IF(INDEX(Dossiers!$F$4:$F$63,24)="","",INDEX(Dossiers!$F$4:$F$63,24)))</f>
        <v/>
      </c>
      <c r="K1264" s="29">
        <f>IF($B1264="","",IF(INDEX(Dossiers!$G$4:$G$63,24)="","",INDEX(Dossiers!$G$4:$G$63,24)))</f>
        <v/>
      </c>
    </row>
    <row r="1265">
      <c r="A1265">
        <f>IF($B1265="","",INDEX(Dossiers!$E$4:$E$63,24))</f>
        <v/>
      </c>
      <c r="B1265">
        <f>IF(INDEX(Suivi!$B:$B,1289)="","",INDEX(Suivi!$B:$B,1289))</f>
        <v/>
      </c>
      <c r="C1265">
        <f>IF($B1265="","",IF(INDEX(Suivi!$D:$D,1289)="",INDEX(Suivi!$C:$C,1289),INDEX(Suivi!$D:$D,1289)))</f>
        <v/>
      </c>
      <c r="D1265" s="29">
        <f>IF($B1265="","",INDEX(Suivi!$E:$E,1289))</f>
        <v/>
      </c>
      <c r="E1265" s="29">
        <f>IF($B1265="","",INDEX(Suivi!$F:$F,1289))</f>
        <v/>
      </c>
      <c r="F1265">
        <f>IF($B1265="","",INDEX(Suivi!$G:$G,1289))</f>
        <v/>
      </c>
      <c r="H1265">
        <f>IF(OR($B1265="",NOT(ISNUMBER($D1265))),"",IF($E1265&lt;$D$2,"Passé",IF($D1265&gt;$F$2,"À venir","Dans la période")))</f>
        <v/>
      </c>
      <c r="I1265">
        <f>IF(OR($B1265="",NOT(ISNUMBER($D1265))),"",IF(AND($E1265&lt;$D$2,$G1265&lt;&gt;"X",$F1265&lt;&gt;"Réalisé",$F1265&lt;&gt;"Clôturé"),"RETARD",""))</f>
        <v/>
      </c>
      <c r="J1265" s="29">
        <f>IF($B1265="","",IF(INDEX(Dossiers!$F$4:$F$63,24)="","",INDEX(Dossiers!$F$4:$F$63,24)))</f>
        <v/>
      </c>
      <c r="K1265" s="29">
        <f>IF($B1265="","",IF(INDEX(Dossiers!$G$4:$G$63,24)="","",INDEX(Dossiers!$G$4:$G$63,24)))</f>
        <v/>
      </c>
    </row>
    <row r="1266">
      <c r="A1266">
        <f>IF($B1266="","",INDEX(Dossiers!$E$4:$E$63,24))</f>
        <v/>
      </c>
      <c r="B1266">
        <f>IF(INDEX(Suivi!$B:$B,1290)="","",INDEX(Suivi!$B:$B,1290))</f>
        <v/>
      </c>
      <c r="C1266">
        <f>IF($B1266="","",IF(INDEX(Suivi!$D:$D,1290)="",INDEX(Suivi!$C:$C,1290),INDEX(Suivi!$D:$D,1290)))</f>
        <v/>
      </c>
      <c r="D1266" s="29">
        <f>IF($B1266="","",INDEX(Suivi!$E:$E,1290))</f>
        <v/>
      </c>
      <c r="E1266" s="29">
        <f>IF($B1266="","",INDEX(Suivi!$F:$F,1290))</f>
        <v/>
      </c>
      <c r="F1266">
        <f>IF($B1266="","",INDEX(Suivi!$G:$G,1290))</f>
        <v/>
      </c>
      <c r="H1266">
        <f>IF(OR($B1266="",NOT(ISNUMBER($D1266))),"",IF($E1266&lt;$D$2,"Passé",IF($D1266&gt;$F$2,"À venir","Dans la période")))</f>
        <v/>
      </c>
      <c r="I1266">
        <f>IF(OR($B1266="",NOT(ISNUMBER($D1266))),"",IF(AND($E1266&lt;$D$2,$G1266&lt;&gt;"X",$F1266&lt;&gt;"Réalisé",$F1266&lt;&gt;"Clôturé"),"RETARD",""))</f>
        <v/>
      </c>
      <c r="J1266" s="29">
        <f>IF($B1266="","",IF(INDEX(Dossiers!$F$4:$F$63,24)="","",INDEX(Dossiers!$F$4:$F$63,24)))</f>
        <v/>
      </c>
      <c r="K1266" s="29">
        <f>IF($B1266="","",IF(INDEX(Dossiers!$G$4:$G$63,24)="","",INDEX(Dossiers!$G$4:$G$63,24)))</f>
        <v/>
      </c>
    </row>
    <row r="1267">
      <c r="A1267">
        <f>IF($B1267="","",INDEX(Dossiers!$E$4:$E$63,24))</f>
        <v/>
      </c>
      <c r="B1267">
        <f>IF(INDEX(Suivi!$B:$B,1291)="","",INDEX(Suivi!$B:$B,1291))</f>
        <v/>
      </c>
      <c r="C1267">
        <f>IF($B1267="","",IF(INDEX(Suivi!$D:$D,1291)="",INDEX(Suivi!$C:$C,1291),INDEX(Suivi!$D:$D,1291)))</f>
        <v/>
      </c>
      <c r="D1267" s="29">
        <f>IF($B1267="","",INDEX(Suivi!$E:$E,1291))</f>
        <v/>
      </c>
      <c r="E1267" s="29">
        <f>IF($B1267="","",INDEX(Suivi!$F:$F,1291))</f>
        <v/>
      </c>
      <c r="F1267">
        <f>IF($B1267="","",INDEX(Suivi!$G:$G,1291))</f>
        <v/>
      </c>
      <c r="H1267">
        <f>IF(OR($B1267="",NOT(ISNUMBER($D1267))),"",IF($E1267&lt;$D$2,"Passé",IF($D1267&gt;$F$2,"À venir","Dans la période")))</f>
        <v/>
      </c>
      <c r="I1267">
        <f>IF(OR($B1267="",NOT(ISNUMBER($D1267))),"",IF(AND($E1267&lt;$D$2,$G1267&lt;&gt;"X",$F1267&lt;&gt;"Réalisé",$F1267&lt;&gt;"Clôturé"),"RETARD",""))</f>
        <v/>
      </c>
      <c r="J1267" s="29">
        <f>IF($B1267="","",IF(INDEX(Dossiers!$F$4:$F$63,24)="","",INDEX(Dossiers!$F$4:$F$63,24)))</f>
        <v/>
      </c>
      <c r="K1267" s="29">
        <f>IF($B1267="","",IF(INDEX(Dossiers!$G$4:$G$63,24)="","",INDEX(Dossiers!$G$4:$G$63,24)))</f>
        <v/>
      </c>
    </row>
    <row r="1268">
      <c r="A1268">
        <f>IF($B1268="","",INDEX(Dossiers!$E$4:$E$63,24))</f>
        <v/>
      </c>
      <c r="B1268">
        <f>IF(INDEX(Suivi!$B:$B,1292)="","",INDEX(Suivi!$B:$B,1292))</f>
        <v/>
      </c>
      <c r="C1268">
        <f>IF($B1268="","",IF(INDEX(Suivi!$D:$D,1292)="",INDEX(Suivi!$C:$C,1292),INDEX(Suivi!$D:$D,1292)))</f>
        <v/>
      </c>
      <c r="D1268" s="29">
        <f>IF($B1268="","",INDEX(Suivi!$E:$E,1292))</f>
        <v/>
      </c>
      <c r="E1268" s="29">
        <f>IF($B1268="","",INDEX(Suivi!$F:$F,1292))</f>
        <v/>
      </c>
      <c r="F1268">
        <f>IF($B1268="","",INDEX(Suivi!$G:$G,1292))</f>
        <v/>
      </c>
      <c r="H1268">
        <f>IF(OR($B1268="",NOT(ISNUMBER($D1268))),"",IF($E1268&lt;$D$2,"Passé",IF($D1268&gt;$F$2,"À venir","Dans la période")))</f>
        <v/>
      </c>
      <c r="I1268">
        <f>IF(OR($B1268="",NOT(ISNUMBER($D1268))),"",IF(AND($E1268&lt;$D$2,$G1268&lt;&gt;"X",$F1268&lt;&gt;"Réalisé",$F1268&lt;&gt;"Clôturé"),"RETARD",""))</f>
        <v/>
      </c>
      <c r="J1268" s="29">
        <f>IF($B1268="","",IF(INDEX(Dossiers!$F$4:$F$63,24)="","",INDEX(Dossiers!$F$4:$F$63,24)))</f>
        <v/>
      </c>
      <c r="K1268" s="29">
        <f>IF($B1268="","",IF(INDEX(Dossiers!$G$4:$G$63,24)="","",INDEX(Dossiers!$G$4:$G$63,24)))</f>
        <v/>
      </c>
    </row>
    <row r="1269">
      <c r="A1269">
        <f>IF($B1269="","",INDEX(Dossiers!$E$4:$E$63,24))</f>
        <v/>
      </c>
      <c r="B1269">
        <f>IF(INDEX(Suivi!$B:$B,1293)="","",INDEX(Suivi!$B:$B,1293))</f>
        <v/>
      </c>
      <c r="C1269">
        <f>IF($B1269="","",IF(INDEX(Suivi!$D:$D,1293)="",INDEX(Suivi!$C:$C,1293),INDEX(Suivi!$D:$D,1293)))</f>
        <v/>
      </c>
      <c r="D1269" s="29">
        <f>IF($B1269="","",INDEX(Suivi!$E:$E,1293))</f>
        <v/>
      </c>
      <c r="E1269" s="29">
        <f>IF($B1269="","",INDEX(Suivi!$F:$F,1293))</f>
        <v/>
      </c>
      <c r="F1269">
        <f>IF($B1269="","",INDEX(Suivi!$G:$G,1293))</f>
        <v/>
      </c>
      <c r="H1269">
        <f>IF(OR($B1269="",NOT(ISNUMBER($D1269))),"",IF($E1269&lt;$D$2,"Passé",IF($D1269&gt;$F$2,"À venir","Dans la période")))</f>
        <v/>
      </c>
      <c r="I1269">
        <f>IF(OR($B1269="",NOT(ISNUMBER($D1269))),"",IF(AND($E1269&lt;$D$2,$G1269&lt;&gt;"X",$F1269&lt;&gt;"Réalisé",$F1269&lt;&gt;"Clôturé"),"RETARD",""))</f>
        <v/>
      </c>
      <c r="J1269" s="29">
        <f>IF($B1269="","",IF(INDEX(Dossiers!$F$4:$F$63,24)="","",INDEX(Dossiers!$F$4:$F$63,24)))</f>
        <v/>
      </c>
      <c r="K1269" s="29">
        <f>IF($B1269="","",IF(INDEX(Dossiers!$G$4:$G$63,24)="","",INDEX(Dossiers!$G$4:$G$63,24)))</f>
        <v/>
      </c>
    </row>
    <row r="1270">
      <c r="A1270">
        <f>IF($B1270="","",INDEX(Dossiers!$E$4:$E$63,24))</f>
        <v/>
      </c>
      <c r="B1270">
        <f>IF(INDEX(Suivi!$B:$B,1294)="","",INDEX(Suivi!$B:$B,1294))</f>
        <v/>
      </c>
      <c r="C1270">
        <f>IF($B1270="","",IF(INDEX(Suivi!$D:$D,1294)="",INDEX(Suivi!$C:$C,1294),INDEX(Suivi!$D:$D,1294)))</f>
        <v/>
      </c>
      <c r="D1270" s="29">
        <f>IF($B1270="","",INDEX(Suivi!$E:$E,1294))</f>
        <v/>
      </c>
      <c r="E1270" s="29">
        <f>IF($B1270="","",INDEX(Suivi!$F:$F,1294))</f>
        <v/>
      </c>
      <c r="F1270">
        <f>IF($B1270="","",INDEX(Suivi!$G:$G,1294))</f>
        <v/>
      </c>
      <c r="H1270">
        <f>IF(OR($B1270="",NOT(ISNUMBER($D1270))),"",IF($E1270&lt;$D$2,"Passé",IF($D1270&gt;$F$2,"À venir","Dans la période")))</f>
        <v/>
      </c>
      <c r="I1270">
        <f>IF(OR($B1270="",NOT(ISNUMBER($D1270))),"",IF(AND($E1270&lt;$D$2,$G1270&lt;&gt;"X",$F1270&lt;&gt;"Réalisé",$F1270&lt;&gt;"Clôturé"),"RETARD",""))</f>
        <v/>
      </c>
      <c r="J1270" s="29">
        <f>IF($B1270="","",IF(INDEX(Dossiers!$F$4:$F$63,24)="","",INDEX(Dossiers!$F$4:$F$63,24)))</f>
        <v/>
      </c>
      <c r="K1270" s="29">
        <f>IF($B1270="","",IF(INDEX(Dossiers!$G$4:$G$63,24)="","",INDEX(Dossiers!$G$4:$G$63,24)))</f>
        <v/>
      </c>
    </row>
    <row r="1271">
      <c r="A1271">
        <f>IF($B1271="","",INDEX(Dossiers!$E$4:$E$63,24))</f>
        <v/>
      </c>
      <c r="B1271">
        <f>IF(INDEX(Suivi!$B:$B,1295)="","",INDEX(Suivi!$B:$B,1295))</f>
        <v/>
      </c>
      <c r="C1271">
        <f>IF($B1271="","",IF(INDEX(Suivi!$D:$D,1295)="",INDEX(Suivi!$C:$C,1295),INDEX(Suivi!$D:$D,1295)))</f>
        <v/>
      </c>
      <c r="D1271" s="29">
        <f>IF($B1271="","",INDEX(Suivi!$E:$E,1295))</f>
        <v/>
      </c>
      <c r="E1271" s="29">
        <f>IF($B1271="","",INDEX(Suivi!$F:$F,1295))</f>
        <v/>
      </c>
      <c r="F1271">
        <f>IF($B1271="","",INDEX(Suivi!$G:$G,1295))</f>
        <v/>
      </c>
      <c r="H1271">
        <f>IF(OR($B1271="",NOT(ISNUMBER($D1271))),"",IF($E1271&lt;$D$2,"Passé",IF($D1271&gt;$F$2,"À venir","Dans la période")))</f>
        <v/>
      </c>
      <c r="I1271">
        <f>IF(OR($B1271="",NOT(ISNUMBER($D1271))),"",IF(AND($E1271&lt;$D$2,$G1271&lt;&gt;"X",$F1271&lt;&gt;"Réalisé",$F1271&lt;&gt;"Clôturé"),"RETARD",""))</f>
        <v/>
      </c>
      <c r="J1271" s="29">
        <f>IF($B1271="","",IF(INDEX(Dossiers!$F$4:$F$63,24)="","",INDEX(Dossiers!$F$4:$F$63,24)))</f>
        <v/>
      </c>
      <c r="K1271" s="29">
        <f>IF($B1271="","",IF(INDEX(Dossiers!$G$4:$G$63,24)="","",INDEX(Dossiers!$G$4:$G$63,24)))</f>
        <v/>
      </c>
    </row>
    <row r="1272">
      <c r="A1272">
        <f>IF($B1272="","",INDEX(Dossiers!$E$4:$E$63,24))</f>
        <v/>
      </c>
      <c r="B1272">
        <f>IF(INDEX(Suivi!$B:$B,1296)="","",INDEX(Suivi!$B:$B,1296))</f>
        <v/>
      </c>
      <c r="C1272">
        <f>IF($B1272="","",IF(INDEX(Suivi!$D:$D,1296)="",INDEX(Suivi!$C:$C,1296),INDEX(Suivi!$D:$D,1296)))</f>
        <v/>
      </c>
      <c r="D1272" s="29">
        <f>IF($B1272="","",INDEX(Suivi!$E:$E,1296))</f>
        <v/>
      </c>
      <c r="E1272" s="29">
        <f>IF($B1272="","",INDEX(Suivi!$F:$F,1296))</f>
        <v/>
      </c>
      <c r="F1272">
        <f>IF($B1272="","",INDEX(Suivi!$G:$G,1296))</f>
        <v/>
      </c>
      <c r="H1272">
        <f>IF(OR($B1272="",NOT(ISNUMBER($D1272))),"",IF($E1272&lt;$D$2,"Passé",IF($D1272&gt;$F$2,"À venir","Dans la période")))</f>
        <v/>
      </c>
      <c r="I1272">
        <f>IF(OR($B1272="",NOT(ISNUMBER($D1272))),"",IF(AND($E1272&lt;$D$2,$G1272&lt;&gt;"X",$F1272&lt;&gt;"Réalisé",$F1272&lt;&gt;"Clôturé"),"RETARD",""))</f>
        <v/>
      </c>
      <c r="J1272" s="29">
        <f>IF($B1272="","",IF(INDEX(Dossiers!$F$4:$F$63,24)="","",INDEX(Dossiers!$F$4:$F$63,24)))</f>
        <v/>
      </c>
      <c r="K1272" s="29">
        <f>IF($B1272="","",IF(INDEX(Dossiers!$G$4:$G$63,24)="","",INDEX(Dossiers!$G$4:$G$63,24)))</f>
        <v/>
      </c>
    </row>
    <row r="1273">
      <c r="A1273">
        <f>IF($B1273="","",INDEX(Dossiers!$E$4:$E$63,24))</f>
        <v/>
      </c>
      <c r="B1273">
        <f>IF(INDEX(Suivi!$B:$B,1297)="","",INDEX(Suivi!$B:$B,1297))</f>
        <v/>
      </c>
      <c r="C1273">
        <f>IF($B1273="","",IF(INDEX(Suivi!$D:$D,1297)="",INDEX(Suivi!$C:$C,1297),INDEX(Suivi!$D:$D,1297)))</f>
        <v/>
      </c>
      <c r="D1273" s="29">
        <f>IF($B1273="","",INDEX(Suivi!$E:$E,1297))</f>
        <v/>
      </c>
      <c r="E1273" s="29">
        <f>IF($B1273="","",INDEX(Suivi!$F:$F,1297))</f>
        <v/>
      </c>
      <c r="F1273">
        <f>IF($B1273="","",INDEX(Suivi!$G:$G,1297))</f>
        <v/>
      </c>
      <c r="H1273">
        <f>IF(OR($B1273="",NOT(ISNUMBER($D1273))),"",IF($E1273&lt;$D$2,"Passé",IF($D1273&gt;$F$2,"À venir","Dans la période")))</f>
        <v/>
      </c>
      <c r="I1273">
        <f>IF(OR($B1273="",NOT(ISNUMBER($D1273))),"",IF(AND($E1273&lt;$D$2,$G1273&lt;&gt;"X",$F1273&lt;&gt;"Réalisé",$F1273&lt;&gt;"Clôturé"),"RETARD",""))</f>
        <v/>
      </c>
      <c r="J1273" s="29">
        <f>IF($B1273="","",IF(INDEX(Dossiers!$F$4:$F$63,24)="","",INDEX(Dossiers!$F$4:$F$63,24)))</f>
        <v/>
      </c>
      <c r="K1273" s="29">
        <f>IF($B1273="","",IF(INDEX(Dossiers!$G$4:$G$63,24)="","",INDEX(Dossiers!$G$4:$G$63,24)))</f>
        <v/>
      </c>
    </row>
    <row r="1274">
      <c r="A1274">
        <f>IF($B1274="","",INDEX(Dossiers!$E$4:$E$63,24))</f>
        <v/>
      </c>
      <c r="B1274">
        <f>IF(INDEX(Suivi!$B:$B,1298)="","",INDEX(Suivi!$B:$B,1298))</f>
        <v/>
      </c>
      <c r="C1274">
        <f>IF($B1274="","",IF(INDEX(Suivi!$D:$D,1298)="",INDEX(Suivi!$C:$C,1298),INDEX(Suivi!$D:$D,1298)))</f>
        <v/>
      </c>
      <c r="D1274" s="29">
        <f>IF($B1274="","",INDEX(Suivi!$E:$E,1298))</f>
        <v/>
      </c>
      <c r="E1274" s="29">
        <f>IF($B1274="","",INDEX(Suivi!$F:$F,1298))</f>
        <v/>
      </c>
      <c r="F1274">
        <f>IF($B1274="","",INDEX(Suivi!$G:$G,1298))</f>
        <v/>
      </c>
      <c r="H1274">
        <f>IF(OR($B1274="",NOT(ISNUMBER($D1274))),"",IF($E1274&lt;$D$2,"Passé",IF($D1274&gt;$F$2,"À venir","Dans la période")))</f>
        <v/>
      </c>
      <c r="I1274">
        <f>IF(OR($B1274="",NOT(ISNUMBER($D1274))),"",IF(AND($E1274&lt;$D$2,$G1274&lt;&gt;"X",$F1274&lt;&gt;"Réalisé",$F1274&lt;&gt;"Clôturé"),"RETARD",""))</f>
        <v/>
      </c>
      <c r="J1274" s="29">
        <f>IF($B1274="","",IF(INDEX(Dossiers!$F$4:$F$63,24)="","",INDEX(Dossiers!$F$4:$F$63,24)))</f>
        <v/>
      </c>
      <c r="K1274" s="29">
        <f>IF($B1274="","",IF(INDEX(Dossiers!$G$4:$G$63,24)="","",INDEX(Dossiers!$G$4:$G$63,24)))</f>
        <v/>
      </c>
    </row>
    <row r="1275">
      <c r="A1275">
        <f>IF($B1275="","",INDEX(Dossiers!$E$4:$E$63,24))</f>
        <v/>
      </c>
      <c r="B1275">
        <f>IF(INDEX(Suivi!$B:$B,1299)="","",INDEX(Suivi!$B:$B,1299))</f>
        <v/>
      </c>
      <c r="C1275">
        <f>IF($B1275="","",IF(INDEX(Suivi!$D:$D,1299)="",INDEX(Suivi!$C:$C,1299),INDEX(Suivi!$D:$D,1299)))</f>
        <v/>
      </c>
      <c r="D1275" s="29">
        <f>IF($B1275="","",INDEX(Suivi!$E:$E,1299))</f>
        <v/>
      </c>
      <c r="E1275" s="29">
        <f>IF($B1275="","",INDEX(Suivi!$F:$F,1299))</f>
        <v/>
      </c>
      <c r="F1275">
        <f>IF($B1275="","",INDEX(Suivi!$G:$G,1299))</f>
        <v/>
      </c>
      <c r="H1275">
        <f>IF(OR($B1275="",NOT(ISNUMBER($D1275))),"",IF($E1275&lt;$D$2,"Passé",IF($D1275&gt;$F$2,"À venir","Dans la période")))</f>
        <v/>
      </c>
      <c r="I1275">
        <f>IF(OR($B1275="",NOT(ISNUMBER($D1275))),"",IF(AND($E1275&lt;$D$2,$G1275&lt;&gt;"X",$F1275&lt;&gt;"Réalisé",$F1275&lt;&gt;"Clôturé"),"RETARD",""))</f>
        <v/>
      </c>
      <c r="J1275" s="29">
        <f>IF($B1275="","",IF(INDEX(Dossiers!$F$4:$F$63,24)="","",INDEX(Dossiers!$F$4:$F$63,24)))</f>
        <v/>
      </c>
      <c r="K1275" s="29">
        <f>IF($B1275="","",IF(INDEX(Dossiers!$G$4:$G$63,24)="","",INDEX(Dossiers!$G$4:$G$63,24)))</f>
        <v/>
      </c>
    </row>
    <row r="1276">
      <c r="A1276">
        <f>IF($B1276="","",INDEX(Dossiers!$E$4:$E$63,25))</f>
        <v/>
      </c>
      <c r="B1276">
        <f>IF(INDEX(Suivi!$B:$B,1301)="","",INDEX(Suivi!$B:$B,1301))</f>
        <v/>
      </c>
      <c r="C1276">
        <f>IF($B1276="","",IF(INDEX(Suivi!$D:$D,1301)="",INDEX(Suivi!$C:$C,1301),INDEX(Suivi!$D:$D,1301)))</f>
        <v/>
      </c>
      <c r="D1276" s="29">
        <f>IF($B1276="","",INDEX(Suivi!$E:$E,1301))</f>
        <v/>
      </c>
      <c r="E1276" s="29">
        <f>IF($B1276="","",INDEX(Suivi!$F:$F,1301))</f>
        <v/>
      </c>
      <c r="F1276">
        <f>IF($B1276="","",INDEX(Suivi!$G:$G,1301))</f>
        <v/>
      </c>
      <c r="H1276">
        <f>IF(OR($B1276="",NOT(ISNUMBER($D1276))),"",IF($E1276&lt;$D$2,"Passé",IF($D1276&gt;$F$2,"À venir","Dans la période")))</f>
        <v/>
      </c>
      <c r="I1276">
        <f>IF(OR($B1276="",NOT(ISNUMBER($D1276))),"",IF(AND($E1276&lt;$D$2,$G1276&lt;&gt;"X",$F1276&lt;&gt;"Réalisé",$F1276&lt;&gt;"Clôturé"),"RETARD",""))</f>
        <v/>
      </c>
      <c r="J1276" s="29">
        <f>IF($B1276="","",IF(INDEX(Dossiers!$F$4:$F$63,25)="","",INDEX(Dossiers!$F$4:$F$63,25)))</f>
        <v/>
      </c>
      <c r="K1276" s="29">
        <f>IF($B1276="","",IF(INDEX(Dossiers!$G$4:$G$63,25)="","",INDEX(Dossiers!$G$4:$G$63,25)))</f>
        <v/>
      </c>
    </row>
    <row r="1277">
      <c r="A1277">
        <f>IF($B1277="","",INDEX(Dossiers!$E$4:$E$63,25))</f>
        <v/>
      </c>
      <c r="B1277">
        <f>IF(INDEX(Suivi!$B:$B,1302)="","",INDEX(Suivi!$B:$B,1302))</f>
        <v/>
      </c>
      <c r="C1277">
        <f>IF($B1277="","",IF(INDEX(Suivi!$D:$D,1302)="",INDEX(Suivi!$C:$C,1302),INDEX(Suivi!$D:$D,1302)))</f>
        <v/>
      </c>
      <c r="D1277" s="29">
        <f>IF($B1277="","",INDEX(Suivi!$E:$E,1302))</f>
        <v/>
      </c>
      <c r="E1277" s="29">
        <f>IF($B1277="","",INDEX(Suivi!$F:$F,1302))</f>
        <v/>
      </c>
      <c r="F1277">
        <f>IF($B1277="","",INDEX(Suivi!$G:$G,1302))</f>
        <v/>
      </c>
      <c r="H1277">
        <f>IF(OR($B1277="",NOT(ISNUMBER($D1277))),"",IF($E1277&lt;$D$2,"Passé",IF($D1277&gt;$F$2,"À venir","Dans la période")))</f>
        <v/>
      </c>
      <c r="I1277">
        <f>IF(OR($B1277="",NOT(ISNUMBER($D1277))),"",IF(AND($E1277&lt;$D$2,$G1277&lt;&gt;"X",$F1277&lt;&gt;"Réalisé",$F1277&lt;&gt;"Clôturé"),"RETARD",""))</f>
        <v/>
      </c>
      <c r="J1277" s="29">
        <f>IF($B1277="","",IF(INDEX(Dossiers!$F$4:$F$63,25)="","",INDEX(Dossiers!$F$4:$F$63,25)))</f>
        <v/>
      </c>
      <c r="K1277" s="29">
        <f>IF($B1277="","",IF(INDEX(Dossiers!$G$4:$G$63,25)="","",INDEX(Dossiers!$G$4:$G$63,25)))</f>
        <v/>
      </c>
    </row>
    <row r="1278">
      <c r="A1278">
        <f>IF($B1278="","",INDEX(Dossiers!$E$4:$E$63,25))</f>
        <v/>
      </c>
      <c r="B1278">
        <f>IF(INDEX(Suivi!$B:$B,1303)="","",INDEX(Suivi!$B:$B,1303))</f>
        <v/>
      </c>
      <c r="C1278">
        <f>IF($B1278="","",IF(INDEX(Suivi!$D:$D,1303)="",INDEX(Suivi!$C:$C,1303),INDEX(Suivi!$D:$D,1303)))</f>
        <v/>
      </c>
      <c r="D1278" s="29">
        <f>IF($B1278="","",INDEX(Suivi!$E:$E,1303))</f>
        <v/>
      </c>
      <c r="E1278" s="29">
        <f>IF($B1278="","",INDEX(Suivi!$F:$F,1303))</f>
        <v/>
      </c>
      <c r="F1278">
        <f>IF($B1278="","",INDEX(Suivi!$G:$G,1303))</f>
        <v/>
      </c>
      <c r="H1278">
        <f>IF(OR($B1278="",NOT(ISNUMBER($D1278))),"",IF($E1278&lt;$D$2,"Passé",IF($D1278&gt;$F$2,"À venir","Dans la période")))</f>
        <v/>
      </c>
      <c r="I1278">
        <f>IF(OR($B1278="",NOT(ISNUMBER($D1278))),"",IF(AND($E1278&lt;$D$2,$G1278&lt;&gt;"X",$F1278&lt;&gt;"Réalisé",$F1278&lt;&gt;"Clôturé"),"RETARD",""))</f>
        <v/>
      </c>
      <c r="J1278" s="29">
        <f>IF($B1278="","",IF(INDEX(Dossiers!$F$4:$F$63,25)="","",INDEX(Dossiers!$F$4:$F$63,25)))</f>
        <v/>
      </c>
      <c r="K1278" s="29">
        <f>IF($B1278="","",IF(INDEX(Dossiers!$G$4:$G$63,25)="","",INDEX(Dossiers!$G$4:$G$63,25)))</f>
        <v/>
      </c>
    </row>
    <row r="1279">
      <c r="A1279">
        <f>IF($B1279="","",INDEX(Dossiers!$E$4:$E$63,25))</f>
        <v/>
      </c>
      <c r="B1279">
        <f>IF(INDEX(Suivi!$B:$B,1304)="","",INDEX(Suivi!$B:$B,1304))</f>
        <v/>
      </c>
      <c r="C1279">
        <f>IF($B1279="","",IF(INDEX(Suivi!$D:$D,1304)="",INDEX(Suivi!$C:$C,1304),INDEX(Suivi!$D:$D,1304)))</f>
        <v/>
      </c>
      <c r="D1279" s="29">
        <f>IF($B1279="","",INDEX(Suivi!$E:$E,1304))</f>
        <v/>
      </c>
      <c r="E1279" s="29">
        <f>IF($B1279="","",INDEX(Suivi!$F:$F,1304))</f>
        <v/>
      </c>
      <c r="F1279">
        <f>IF($B1279="","",INDEX(Suivi!$G:$G,1304))</f>
        <v/>
      </c>
      <c r="H1279">
        <f>IF(OR($B1279="",NOT(ISNUMBER($D1279))),"",IF($E1279&lt;$D$2,"Passé",IF($D1279&gt;$F$2,"À venir","Dans la période")))</f>
        <v/>
      </c>
      <c r="I1279">
        <f>IF(OR($B1279="",NOT(ISNUMBER($D1279))),"",IF(AND($E1279&lt;$D$2,$G1279&lt;&gt;"X",$F1279&lt;&gt;"Réalisé",$F1279&lt;&gt;"Clôturé"),"RETARD",""))</f>
        <v/>
      </c>
      <c r="J1279" s="29">
        <f>IF($B1279="","",IF(INDEX(Dossiers!$F$4:$F$63,25)="","",INDEX(Dossiers!$F$4:$F$63,25)))</f>
        <v/>
      </c>
      <c r="K1279" s="29">
        <f>IF($B1279="","",IF(INDEX(Dossiers!$G$4:$G$63,25)="","",INDEX(Dossiers!$G$4:$G$63,25)))</f>
        <v/>
      </c>
    </row>
    <row r="1280">
      <c r="A1280">
        <f>IF($B1280="","",INDEX(Dossiers!$E$4:$E$63,25))</f>
        <v/>
      </c>
      <c r="B1280">
        <f>IF(INDEX(Suivi!$B:$B,1305)="","",INDEX(Suivi!$B:$B,1305))</f>
        <v/>
      </c>
      <c r="C1280">
        <f>IF($B1280="","",IF(INDEX(Suivi!$D:$D,1305)="",INDEX(Suivi!$C:$C,1305),INDEX(Suivi!$D:$D,1305)))</f>
        <v/>
      </c>
      <c r="D1280" s="29">
        <f>IF($B1280="","",INDEX(Suivi!$E:$E,1305))</f>
        <v/>
      </c>
      <c r="E1280" s="29">
        <f>IF($B1280="","",INDEX(Suivi!$F:$F,1305))</f>
        <v/>
      </c>
      <c r="F1280">
        <f>IF($B1280="","",INDEX(Suivi!$G:$G,1305))</f>
        <v/>
      </c>
      <c r="H1280">
        <f>IF(OR($B1280="",NOT(ISNUMBER($D1280))),"",IF($E1280&lt;$D$2,"Passé",IF($D1280&gt;$F$2,"À venir","Dans la période")))</f>
        <v/>
      </c>
      <c r="I1280">
        <f>IF(OR($B1280="",NOT(ISNUMBER($D1280))),"",IF(AND($E1280&lt;$D$2,$G1280&lt;&gt;"X",$F1280&lt;&gt;"Réalisé",$F1280&lt;&gt;"Clôturé"),"RETARD",""))</f>
        <v/>
      </c>
      <c r="J1280" s="29">
        <f>IF($B1280="","",IF(INDEX(Dossiers!$F$4:$F$63,25)="","",INDEX(Dossiers!$F$4:$F$63,25)))</f>
        <v/>
      </c>
      <c r="K1280" s="29">
        <f>IF($B1280="","",IF(INDEX(Dossiers!$G$4:$G$63,25)="","",INDEX(Dossiers!$G$4:$G$63,25)))</f>
        <v/>
      </c>
    </row>
    <row r="1281">
      <c r="A1281">
        <f>IF($B1281="","",INDEX(Dossiers!$E$4:$E$63,25))</f>
        <v/>
      </c>
      <c r="B1281">
        <f>IF(INDEX(Suivi!$B:$B,1306)="","",INDEX(Suivi!$B:$B,1306))</f>
        <v/>
      </c>
      <c r="C1281">
        <f>IF($B1281="","",IF(INDEX(Suivi!$D:$D,1306)="",INDEX(Suivi!$C:$C,1306),INDEX(Suivi!$D:$D,1306)))</f>
        <v/>
      </c>
      <c r="D1281" s="29">
        <f>IF($B1281="","",INDEX(Suivi!$E:$E,1306))</f>
        <v/>
      </c>
      <c r="E1281" s="29">
        <f>IF($B1281="","",INDEX(Suivi!$F:$F,1306))</f>
        <v/>
      </c>
      <c r="F1281">
        <f>IF($B1281="","",INDEX(Suivi!$G:$G,1306))</f>
        <v/>
      </c>
      <c r="H1281">
        <f>IF(OR($B1281="",NOT(ISNUMBER($D1281))),"",IF($E1281&lt;$D$2,"Passé",IF($D1281&gt;$F$2,"À venir","Dans la période")))</f>
        <v/>
      </c>
      <c r="I1281">
        <f>IF(OR($B1281="",NOT(ISNUMBER($D1281))),"",IF(AND($E1281&lt;$D$2,$G1281&lt;&gt;"X",$F1281&lt;&gt;"Réalisé",$F1281&lt;&gt;"Clôturé"),"RETARD",""))</f>
        <v/>
      </c>
      <c r="J1281" s="29">
        <f>IF($B1281="","",IF(INDEX(Dossiers!$F$4:$F$63,25)="","",INDEX(Dossiers!$F$4:$F$63,25)))</f>
        <v/>
      </c>
      <c r="K1281" s="29">
        <f>IF($B1281="","",IF(INDEX(Dossiers!$G$4:$G$63,25)="","",INDEX(Dossiers!$G$4:$G$63,25)))</f>
        <v/>
      </c>
    </row>
    <row r="1282">
      <c r="A1282">
        <f>IF($B1282="","",INDEX(Dossiers!$E$4:$E$63,25))</f>
        <v/>
      </c>
      <c r="B1282">
        <f>IF(INDEX(Suivi!$B:$B,1307)="","",INDEX(Suivi!$B:$B,1307))</f>
        <v/>
      </c>
      <c r="C1282">
        <f>IF($B1282="","",IF(INDEX(Suivi!$D:$D,1307)="",INDEX(Suivi!$C:$C,1307),INDEX(Suivi!$D:$D,1307)))</f>
        <v/>
      </c>
      <c r="D1282" s="29">
        <f>IF($B1282="","",INDEX(Suivi!$E:$E,1307))</f>
        <v/>
      </c>
      <c r="E1282" s="29">
        <f>IF($B1282="","",INDEX(Suivi!$F:$F,1307))</f>
        <v/>
      </c>
      <c r="F1282">
        <f>IF($B1282="","",INDEX(Suivi!$G:$G,1307))</f>
        <v/>
      </c>
      <c r="H1282">
        <f>IF(OR($B1282="",NOT(ISNUMBER($D1282))),"",IF($E1282&lt;$D$2,"Passé",IF($D1282&gt;$F$2,"À venir","Dans la période")))</f>
        <v/>
      </c>
      <c r="I1282">
        <f>IF(OR($B1282="",NOT(ISNUMBER($D1282))),"",IF(AND($E1282&lt;$D$2,$G1282&lt;&gt;"X",$F1282&lt;&gt;"Réalisé",$F1282&lt;&gt;"Clôturé"),"RETARD",""))</f>
        <v/>
      </c>
      <c r="J1282" s="29">
        <f>IF($B1282="","",IF(INDEX(Dossiers!$F$4:$F$63,25)="","",INDEX(Dossiers!$F$4:$F$63,25)))</f>
        <v/>
      </c>
      <c r="K1282" s="29">
        <f>IF($B1282="","",IF(INDEX(Dossiers!$G$4:$G$63,25)="","",INDEX(Dossiers!$G$4:$G$63,25)))</f>
        <v/>
      </c>
    </row>
    <row r="1283">
      <c r="A1283">
        <f>IF($B1283="","",INDEX(Dossiers!$E$4:$E$63,25))</f>
        <v/>
      </c>
      <c r="B1283">
        <f>IF(INDEX(Suivi!$B:$B,1308)="","",INDEX(Suivi!$B:$B,1308))</f>
        <v/>
      </c>
      <c r="C1283">
        <f>IF($B1283="","",IF(INDEX(Suivi!$D:$D,1308)="",INDEX(Suivi!$C:$C,1308),INDEX(Suivi!$D:$D,1308)))</f>
        <v/>
      </c>
      <c r="D1283" s="29">
        <f>IF($B1283="","",INDEX(Suivi!$E:$E,1308))</f>
        <v/>
      </c>
      <c r="E1283" s="29">
        <f>IF($B1283="","",INDEX(Suivi!$F:$F,1308))</f>
        <v/>
      </c>
      <c r="F1283">
        <f>IF($B1283="","",INDEX(Suivi!$G:$G,1308))</f>
        <v/>
      </c>
      <c r="H1283">
        <f>IF(OR($B1283="",NOT(ISNUMBER($D1283))),"",IF($E1283&lt;$D$2,"Passé",IF($D1283&gt;$F$2,"À venir","Dans la période")))</f>
        <v/>
      </c>
      <c r="I1283">
        <f>IF(OR($B1283="",NOT(ISNUMBER($D1283))),"",IF(AND($E1283&lt;$D$2,$G1283&lt;&gt;"X",$F1283&lt;&gt;"Réalisé",$F1283&lt;&gt;"Clôturé"),"RETARD",""))</f>
        <v/>
      </c>
      <c r="J1283" s="29">
        <f>IF($B1283="","",IF(INDEX(Dossiers!$F$4:$F$63,25)="","",INDEX(Dossiers!$F$4:$F$63,25)))</f>
        <v/>
      </c>
      <c r="K1283" s="29">
        <f>IF($B1283="","",IF(INDEX(Dossiers!$G$4:$G$63,25)="","",INDEX(Dossiers!$G$4:$G$63,25)))</f>
        <v/>
      </c>
    </row>
    <row r="1284">
      <c r="A1284">
        <f>IF($B1284="","",INDEX(Dossiers!$E$4:$E$63,25))</f>
        <v/>
      </c>
      <c r="B1284">
        <f>IF(INDEX(Suivi!$B:$B,1309)="","",INDEX(Suivi!$B:$B,1309))</f>
        <v/>
      </c>
      <c r="C1284">
        <f>IF($B1284="","",IF(INDEX(Suivi!$D:$D,1309)="",INDEX(Suivi!$C:$C,1309),INDEX(Suivi!$D:$D,1309)))</f>
        <v/>
      </c>
      <c r="D1284" s="29">
        <f>IF($B1284="","",INDEX(Suivi!$E:$E,1309))</f>
        <v/>
      </c>
      <c r="E1284" s="29">
        <f>IF($B1284="","",INDEX(Suivi!$F:$F,1309))</f>
        <v/>
      </c>
      <c r="F1284">
        <f>IF($B1284="","",INDEX(Suivi!$G:$G,1309))</f>
        <v/>
      </c>
      <c r="H1284">
        <f>IF(OR($B1284="",NOT(ISNUMBER($D1284))),"",IF($E1284&lt;$D$2,"Passé",IF($D1284&gt;$F$2,"À venir","Dans la période")))</f>
        <v/>
      </c>
      <c r="I1284">
        <f>IF(OR($B1284="",NOT(ISNUMBER($D1284))),"",IF(AND($E1284&lt;$D$2,$G1284&lt;&gt;"X",$F1284&lt;&gt;"Réalisé",$F1284&lt;&gt;"Clôturé"),"RETARD",""))</f>
        <v/>
      </c>
      <c r="J1284" s="29">
        <f>IF($B1284="","",IF(INDEX(Dossiers!$F$4:$F$63,25)="","",INDEX(Dossiers!$F$4:$F$63,25)))</f>
        <v/>
      </c>
      <c r="K1284" s="29">
        <f>IF($B1284="","",IF(INDEX(Dossiers!$G$4:$G$63,25)="","",INDEX(Dossiers!$G$4:$G$63,25)))</f>
        <v/>
      </c>
    </row>
    <row r="1285">
      <c r="A1285">
        <f>IF($B1285="","",INDEX(Dossiers!$E$4:$E$63,25))</f>
        <v/>
      </c>
      <c r="B1285">
        <f>IF(INDEX(Suivi!$B:$B,1310)="","",INDEX(Suivi!$B:$B,1310))</f>
        <v/>
      </c>
      <c r="C1285">
        <f>IF($B1285="","",IF(INDEX(Suivi!$D:$D,1310)="",INDEX(Suivi!$C:$C,1310),INDEX(Suivi!$D:$D,1310)))</f>
        <v/>
      </c>
      <c r="D1285" s="29">
        <f>IF($B1285="","",INDEX(Suivi!$E:$E,1310))</f>
        <v/>
      </c>
      <c r="E1285" s="29">
        <f>IF($B1285="","",INDEX(Suivi!$F:$F,1310))</f>
        <v/>
      </c>
      <c r="F1285">
        <f>IF($B1285="","",INDEX(Suivi!$G:$G,1310))</f>
        <v/>
      </c>
      <c r="H1285">
        <f>IF(OR($B1285="",NOT(ISNUMBER($D1285))),"",IF($E1285&lt;$D$2,"Passé",IF($D1285&gt;$F$2,"À venir","Dans la période")))</f>
        <v/>
      </c>
      <c r="I1285">
        <f>IF(OR($B1285="",NOT(ISNUMBER($D1285))),"",IF(AND($E1285&lt;$D$2,$G1285&lt;&gt;"X",$F1285&lt;&gt;"Réalisé",$F1285&lt;&gt;"Clôturé"),"RETARD",""))</f>
        <v/>
      </c>
      <c r="J1285" s="29">
        <f>IF($B1285="","",IF(INDEX(Dossiers!$F$4:$F$63,25)="","",INDEX(Dossiers!$F$4:$F$63,25)))</f>
        <v/>
      </c>
      <c r="K1285" s="29">
        <f>IF($B1285="","",IF(INDEX(Dossiers!$G$4:$G$63,25)="","",INDEX(Dossiers!$G$4:$G$63,25)))</f>
        <v/>
      </c>
    </row>
    <row r="1286">
      <c r="A1286">
        <f>IF($B1286="","",INDEX(Dossiers!$E$4:$E$63,25))</f>
        <v/>
      </c>
      <c r="B1286">
        <f>IF(INDEX(Suivi!$B:$B,1311)="","",INDEX(Suivi!$B:$B,1311))</f>
        <v/>
      </c>
      <c r="C1286">
        <f>IF($B1286="","",IF(INDEX(Suivi!$D:$D,1311)="",INDEX(Suivi!$C:$C,1311),INDEX(Suivi!$D:$D,1311)))</f>
        <v/>
      </c>
      <c r="D1286" s="29">
        <f>IF($B1286="","",INDEX(Suivi!$E:$E,1311))</f>
        <v/>
      </c>
      <c r="E1286" s="29">
        <f>IF($B1286="","",INDEX(Suivi!$F:$F,1311))</f>
        <v/>
      </c>
      <c r="F1286">
        <f>IF($B1286="","",INDEX(Suivi!$G:$G,1311))</f>
        <v/>
      </c>
      <c r="H1286">
        <f>IF(OR($B1286="",NOT(ISNUMBER($D1286))),"",IF($E1286&lt;$D$2,"Passé",IF($D1286&gt;$F$2,"À venir","Dans la période")))</f>
        <v/>
      </c>
      <c r="I1286">
        <f>IF(OR($B1286="",NOT(ISNUMBER($D1286))),"",IF(AND($E1286&lt;$D$2,$G1286&lt;&gt;"X",$F1286&lt;&gt;"Réalisé",$F1286&lt;&gt;"Clôturé"),"RETARD",""))</f>
        <v/>
      </c>
      <c r="J1286" s="29">
        <f>IF($B1286="","",IF(INDEX(Dossiers!$F$4:$F$63,25)="","",INDEX(Dossiers!$F$4:$F$63,25)))</f>
        <v/>
      </c>
      <c r="K1286" s="29">
        <f>IF($B1286="","",IF(INDEX(Dossiers!$G$4:$G$63,25)="","",INDEX(Dossiers!$G$4:$G$63,25)))</f>
        <v/>
      </c>
    </row>
    <row r="1287">
      <c r="A1287">
        <f>IF($B1287="","",INDEX(Dossiers!$E$4:$E$63,25))</f>
        <v/>
      </c>
      <c r="B1287">
        <f>IF(INDEX(Suivi!$B:$B,1312)="","",INDEX(Suivi!$B:$B,1312))</f>
        <v/>
      </c>
      <c r="C1287">
        <f>IF($B1287="","",IF(INDEX(Suivi!$D:$D,1312)="",INDEX(Suivi!$C:$C,1312),INDEX(Suivi!$D:$D,1312)))</f>
        <v/>
      </c>
      <c r="D1287" s="29">
        <f>IF($B1287="","",INDEX(Suivi!$E:$E,1312))</f>
        <v/>
      </c>
      <c r="E1287" s="29">
        <f>IF($B1287="","",INDEX(Suivi!$F:$F,1312))</f>
        <v/>
      </c>
      <c r="F1287">
        <f>IF($B1287="","",INDEX(Suivi!$G:$G,1312))</f>
        <v/>
      </c>
      <c r="H1287">
        <f>IF(OR($B1287="",NOT(ISNUMBER($D1287))),"",IF($E1287&lt;$D$2,"Passé",IF($D1287&gt;$F$2,"À venir","Dans la période")))</f>
        <v/>
      </c>
      <c r="I1287">
        <f>IF(OR($B1287="",NOT(ISNUMBER($D1287))),"",IF(AND($E1287&lt;$D$2,$G1287&lt;&gt;"X",$F1287&lt;&gt;"Réalisé",$F1287&lt;&gt;"Clôturé"),"RETARD",""))</f>
        <v/>
      </c>
      <c r="J1287" s="29">
        <f>IF($B1287="","",IF(INDEX(Dossiers!$F$4:$F$63,25)="","",INDEX(Dossiers!$F$4:$F$63,25)))</f>
        <v/>
      </c>
      <c r="K1287" s="29">
        <f>IF($B1287="","",IF(INDEX(Dossiers!$G$4:$G$63,25)="","",INDEX(Dossiers!$G$4:$G$63,25)))</f>
        <v/>
      </c>
    </row>
    <row r="1288">
      <c r="A1288">
        <f>IF($B1288="","",INDEX(Dossiers!$E$4:$E$63,25))</f>
        <v/>
      </c>
      <c r="B1288">
        <f>IF(INDEX(Suivi!$B:$B,1313)="","",INDEX(Suivi!$B:$B,1313))</f>
        <v/>
      </c>
      <c r="C1288">
        <f>IF($B1288="","",IF(INDEX(Suivi!$D:$D,1313)="",INDEX(Suivi!$C:$C,1313),INDEX(Suivi!$D:$D,1313)))</f>
        <v/>
      </c>
      <c r="D1288" s="29">
        <f>IF($B1288="","",INDEX(Suivi!$E:$E,1313))</f>
        <v/>
      </c>
      <c r="E1288" s="29">
        <f>IF($B1288="","",INDEX(Suivi!$F:$F,1313))</f>
        <v/>
      </c>
      <c r="F1288">
        <f>IF($B1288="","",INDEX(Suivi!$G:$G,1313))</f>
        <v/>
      </c>
      <c r="H1288">
        <f>IF(OR($B1288="",NOT(ISNUMBER($D1288))),"",IF($E1288&lt;$D$2,"Passé",IF($D1288&gt;$F$2,"À venir","Dans la période")))</f>
        <v/>
      </c>
      <c r="I1288">
        <f>IF(OR($B1288="",NOT(ISNUMBER($D1288))),"",IF(AND($E1288&lt;$D$2,$G1288&lt;&gt;"X",$F1288&lt;&gt;"Réalisé",$F1288&lt;&gt;"Clôturé"),"RETARD",""))</f>
        <v/>
      </c>
      <c r="J1288" s="29">
        <f>IF($B1288="","",IF(INDEX(Dossiers!$F$4:$F$63,25)="","",INDEX(Dossiers!$F$4:$F$63,25)))</f>
        <v/>
      </c>
      <c r="K1288" s="29">
        <f>IF($B1288="","",IF(INDEX(Dossiers!$G$4:$G$63,25)="","",INDEX(Dossiers!$G$4:$G$63,25)))</f>
        <v/>
      </c>
    </row>
    <row r="1289">
      <c r="A1289">
        <f>IF($B1289="","",INDEX(Dossiers!$E$4:$E$63,25))</f>
        <v/>
      </c>
      <c r="B1289">
        <f>IF(INDEX(Suivi!$B:$B,1314)="","",INDEX(Suivi!$B:$B,1314))</f>
        <v/>
      </c>
      <c r="C1289">
        <f>IF($B1289="","",IF(INDEX(Suivi!$D:$D,1314)="",INDEX(Suivi!$C:$C,1314),INDEX(Suivi!$D:$D,1314)))</f>
        <v/>
      </c>
      <c r="D1289" s="29">
        <f>IF($B1289="","",INDEX(Suivi!$E:$E,1314))</f>
        <v/>
      </c>
      <c r="E1289" s="29">
        <f>IF($B1289="","",INDEX(Suivi!$F:$F,1314))</f>
        <v/>
      </c>
      <c r="F1289">
        <f>IF($B1289="","",INDEX(Suivi!$G:$G,1314))</f>
        <v/>
      </c>
      <c r="H1289">
        <f>IF(OR($B1289="",NOT(ISNUMBER($D1289))),"",IF($E1289&lt;$D$2,"Passé",IF($D1289&gt;$F$2,"À venir","Dans la période")))</f>
        <v/>
      </c>
      <c r="I1289">
        <f>IF(OR($B1289="",NOT(ISNUMBER($D1289))),"",IF(AND($E1289&lt;$D$2,$G1289&lt;&gt;"X",$F1289&lt;&gt;"Réalisé",$F1289&lt;&gt;"Clôturé"),"RETARD",""))</f>
        <v/>
      </c>
      <c r="J1289" s="29">
        <f>IF($B1289="","",IF(INDEX(Dossiers!$F$4:$F$63,25)="","",INDEX(Dossiers!$F$4:$F$63,25)))</f>
        <v/>
      </c>
      <c r="K1289" s="29">
        <f>IF($B1289="","",IF(INDEX(Dossiers!$G$4:$G$63,25)="","",INDEX(Dossiers!$G$4:$G$63,25)))</f>
        <v/>
      </c>
    </row>
    <row r="1290">
      <c r="A1290">
        <f>IF($B1290="","",INDEX(Dossiers!$E$4:$E$63,25))</f>
        <v/>
      </c>
      <c r="B1290">
        <f>IF(INDEX(Suivi!$B:$B,1315)="","",INDEX(Suivi!$B:$B,1315))</f>
        <v/>
      </c>
      <c r="C1290">
        <f>IF($B1290="","",IF(INDEX(Suivi!$D:$D,1315)="",INDEX(Suivi!$C:$C,1315),INDEX(Suivi!$D:$D,1315)))</f>
        <v/>
      </c>
      <c r="D1290" s="29">
        <f>IF($B1290="","",INDEX(Suivi!$E:$E,1315))</f>
        <v/>
      </c>
      <c r="E1290" s="29">
        <f>IF($B1290="","",INDEX(Suivi!$F:$F,1315))</f>
        <v/>
      </c>
      <c r="F1290">
        <f>IF($B1290="","",INDEX(Suivi!$G:$G,1315))</f>
        <v/>
      </c>
      <c r="H1290">
        <f>IF(OR($B1290="",NOT(ISNUMBER($D1290))),"",IF($E1290&lt;$D$2,"Passé",IF($D1290&gt;$F$2,"À venir","Dans la période")))</f>
        <v/>
      </c>
      <c r="I1290">
        <f>IF(OR($B1290="",NOT(ISNUMBER($D1290))),"",IF(AND($E1290&lt;$D$2,$G1290&lt;&gt;"X",$F1290&lt;&gt;"Réalisé",$F1290&lt;&gt;"Clôturé"),"RETARD",""))</f>
        <v/>
      </c>
      <c r="J1290" s="29">
        <f>IF($B1290="","",IF(INDEX(Dossiers!$F$4:$F$63,25)="","",INDEX(Dossiers!$F$4:$F$63,25)))</f>
        <v/>
      </c>
      <c r="K1290" s="29">
        <f>IF($B1290="","",IF(INDEX(Dossiers!$G$4:$G$63,25)="","",INDEX(Dossiers!$G$4:$G$63,25)))</f>
        <v/>
      </c>
    </row>
    <row r="1291">
      <c r="A1291">
        <f>IF($B1291="","",INDEX(Dossiers!$E$4:$E$63,25))</f>
        <v/>
      </c>
      <c r="B1291">
        <f>IF(INDEX(Suivi!$B:$B,1316)="","",INDEX(Suivi!$B:$B,1316))</f>
        <v/>
      </c>
      <c r="C1291">
        <f>IF($B1291="","",IF(INDEX(Suivi!$D:$D,1316)="",INDEX(Suivi!$C:$C,1316),INDEX(Suivi!$D:$D,1316)))</f>
        <v/>
      </c>
      <c r="D1291" s="29">
        <f>IF($B1291="","",INDEX(Suivi!$E:$E,1316))</f>
        <v/>
      </c>
      <c r="E1291" s="29">
        <f>IF($B1291="","",INDEX(Suivi!$F:$F,1316))</f>
        <v/>
      </c>
      <c r="F1291">
        <f>IF($B1291="","",INDEX(Suivi!$G:$G,1316))</f>
        <v/>
      </c>
      <c r="H1291">
        <f>IF(OR($B1291="",NOT(ISNUMBER($D1291))),"",IF($E1291&lt;$D$2,"Passé",IF($D1291&gt;$F$2,"À venir","Dans la période")))</f>
        <v/>
      </c>
      <c r="I1291">
        <f>IF(OR($B1291="",NOT(ISNUMBER($D1291))),"",IF(AND($E1291&lt;$D$2,$G1291&lt;&gt;"X",$F1291&lt;&gt;"Réalisé",$F1291&lt;&gt;"Clôturé"),"RETARD",""))</f>
        <v/>
      </c>
      <c r="J1291" s="29">
        <f>IF($B1291="","",IF(INDEX(Dossiers!$F$4:$F$63,25)="","",INDEX(Dossiers!$F$4:$F$63,25)))</f>
        <v/>
      </c>
      <c r="K1291" s="29">
        <f>IF($B1291="","",IF(INDEX(Dossiers!$G$4:$G$63,25)="","",INDEX(Dossiers!$G$4:$G$63,25)))</f>
        <v/>
      </c>
    </row>
    <row r="1292">
      <c r="A1292">
        <f>IF($B1292="","",INDEX(Dossiers!$E$4:$E$63,25))</f>
        <v/>
      </c>
      <c r="B1292">
        <f>IF(INDEX(Suivi!$B:$B,1317)="","",INDEX(Suivi!$B:$B,1317))</f>
        <v/>
      </c>
      <c r="C1292">
        <f>IF($B1292="","",IF(INDEX(Suivi!$D:$D,1317)="",INDEX(Suivi!$C:$C,1317),INDEX(Suivi!$D:$D,1317)))</f>
        <v/>
      </c>
      <c r="D1292" s="29">
        <f>IF($B1292="","",INDEX(Suivi!$E:$E,1317))</f>
        <v/>
      </c>
      <c r="E1292" s="29">
        <f>IF($B1292="","",INDEX(Suivi!$F:$F,1317))</f>
        <v/>
      </c>
      <c r="F1292">
        <f>IF($B1292="","",INDEX(Suivi!$G:$G,1317))</f>
        <v/>
      </c>
      <c r="H1292">
        <f>IF(OR($B1292="",NOT(ISNUMBER($D1292))),"",IF($E1292&lt;$D$2,"Passé",IF($D1292&gt;$F$2,"À venir","Dans la période")))</f>
        <v/>
      </c>
      <c r="I1292">
        <f>IF(OR($B1292="",NOT(ISNUMBER($D1292))),"",IF(AND($E1292&lt;$D$2,$G1292&lt;&gt;"X",$F1292&lt;&gt;"Réalisé",$F1292&lt;&gt;"Clôturé"),"RETARD",""))</f>
        <v/>
      </c>
      <c r="J1292" s="29">
        <f>IF($B1292="","",IF(INDEX(Dossiers!$F$4:$F$63,25)="","",INDEX(Dossiers!$F$4:$F$63,25)))</f>
        <v/>
      </c>
      <c r="K1292" s="29">
        <f>IF($B1292="","",IF(INDEX(Dossiers!$G$4:$G$63,25)="","",INDEX(Dossiers!$G$4:$G$63,25)))</f>
        <v/>
      </c>
    </row>
    <row r="1293">
      <c r="A1293">
        <f>IF($B1293="","",INDEX(Dossiers!$E$4:$E$63,25))</f>
        <v/>
      </c>
      <c r="B1293">
        <f>IF(INDEX(Suivi!$B:$B,1318)="","",INDEX(Suivi!$B:$B,1318))</f>
        <v/>
      </c>
      <c r="C1293">
        <f>IF($B1293="","",IF(INDEX(Suivi!$D:$D,1318)="",INDEX(Suivi!$C:$C,1318),INDEX(Suivi!$D:$D,1318)))</f>
        <v/>
      </c>
      <c r="D1293" s="29">
        <f>IF($B1293="","",INDEX(Suivi!$E:$E,1318))</f>
        <v/>
      </c>
      <c r="E1293" s="29">
        <f>IF($B1293="","",INDEX(Suivi!$F:$F,1318))</f>
        <v/>
      </c>
      <c r="F1293">
        <f>IF($B1293="","",INDEX(Suivi!$G:$G,1318))</f>
        <v/>
      </c>
      <c r="H1293">
        <f>IF(OR($B1293="",NOT(ISNUMBER($D1293))),"",IF($E1293&lt;$D$2,"Passé",IF($D1293&gt;$F$2,"À venir","Dans la période")))</f>
        <v/>
      </c>
      <c r="I1293">
        <f>IF(OR($B1293="",NOT(ISNUMBER($D1293))),"",IF(AND($E1293&lt;$D$2,$G1293&lt;&gt;"X",$F1293&lt;&gt;"Réalisé",$F1293&lt;&gt;"Clôturé"),"RETARD",""))</f>
        <v/>
      </c>
      <c r="J1293" s="29">
        <f>IF($B1293="","",IF(INDEX(Dossiers!$F$4:$F$63,25)="","",INDEX(Dossiers!$F$4:$F$63,25)))</f>
        <v/>
      </c>
      <c r="K1293" s="29">
        <f>IF($B1293="","",IF(INDEX(Dossiers!$G$4:$G$63,25)="","",INDEX(Dossiers!$G$4:$G$63,25)))</f>
        <v/>
      </c>
    </row>
    <row r="1294">
      <c r="A1294">
        <f>IF($B1294="","",INDEX(Dossiers!$E$4:$E$63,25))</f>
        <v/>
      </c>
      <c r="B1294">
        <f>IF(INDEX(Suivi!$B:$B,1319)="","",INDEX(Suivi!$B:$B,1319))</f>
        <v/>
      </c>
      <c r="C1294">
        <f>IF($B1294="","",IF(INDEX(Suivi!$D:$D,1319)="",INDEX(Suivi!$C:$C,1319),INDEX(Suivi!$D:$D,1319)))</f>
        <v/>
      </c>
      <c r="D1294" s="29">
        <f>IF($B1294="","",INDEX(Suivi!$E:$E,1319))</f>
        <v/>
      </c>
      <c r="E1294" s="29">
        <f>IF($B1294="","",INDEX(Suivi!$F:$F,1319))</f>
        <v/>
      </c>
      <c r="F1294">
        <f>IF($B1294="","",INDEX(Suivi!$G:$G,1319))</f>
        <v/>
      </c>
      <c r="H1294">
        <f>IF(OR($B1294="",NOT(ISNUMBER($D1294))),"",IF($E1294&lt;$D$2,"Passé",IF($D1294&gt;$F$2,"À venir","Dans la période")))</f>
        <v/>
      </c>
      <c r="I1294">
        <f>IF(OR($B1294="",NOT(ISNUMBER($D1294))),"",IF(AND($E1294&lt;$D$2,$G1294&lt;&gt;"X",$F1294&lt;&gt;"Réalisé",$F1294&lt;&gt;"Clôturé"),"RETARD",""))</f>
        <v/>
      </c>
      <c r="J1294" s="29">
        <f>IF($B1294="","",IF(INDEX(Dossiers!$F$4:$F$63,25)="","",INDEX(Dossiers!$F$4:$F$63,25)))</f>
        <v/>
      </c>
      <c r="K1294" s="29">
        <f>IF($B1294="","",IF(INDEX(Dossiers!$G$4:$G$63,25)="","",INDEX(Dossiers!$G$4:$G$63,25)))</f>
        <v/>
      </c>
    </row>
    <row r="1295">
      <c r="A1295">
        <f>IF($B1295="","",INDEX(Dossiers!$E$4:$E$63,25))</f>
        <v/>
      </c>
      <c r="B1295">
        <f>IF(INDEX(Suivi!$B:$B,1320)="","",INDEX(Suivi!$B:$B,1320))</f>
        <v/>
      </c>
      <c r="C1295">
        <f>IF($B1295="","",IF(INDEX(Suivi!$D:$D,1320)="",INDEX(Suivi!$C:$C,1320),INDEX(Suivi!$D:$D,1320)))</f>
        <v/>
      </c>
      <c r="D1295" s="29">
        <f>IF($B1295="","",INDEX(Suivi!$E:$E,1320))</f>
        <v/>
      </c>
      <c r="E1295" s="29">
        <f>IF($B1295="","",INDEX(Suivi!$F:$F,1320))</f>
        <v/>
      </c>
      <c r="F1295">
        <f>IF($B1295="","",INDEX(Suivi!$G:$G,1320))</f>
        <v/>
      </c>
      <c r="H1295">
        <f>IF(OR($B1295="",NOT(ISNUMBER($D1295))),"",IF($E1295&lt;$D$2,"Passé",IF($D1295&gt;$F$2,"À venir","Dans la période")))</f>
        <v/>
      </c>
      <c r="I1295">
        <f>IF(OR($B1295="",NOT(ISNUMBER($D1295))),"",IF(AND($E1295&lt;$D$2,$G1295&lt;&gt;"X",$F1295&lt;&gt;"Réalisé",$F1295&lt;&gt;"Clôturé"),"RETARD",""))</f>
        <v/>
      </c>
      <c r="J1295" s="29">
        <f>IF($B1295="","",IF(INDEX(Dossiers!$F$4:$F$63,25)="","",INDEX(Dossiers!$F$4:$F$63,25)))</f>
        <v/>
      </c>
      <c r="K1295" s="29">
        <f>IF($B1295="","",IF(INDEX(Dossiers!$G$4:$G$63,25)="","",INDEX(Dossiers!$G$4:$G$63,25)))</f>
        <v/>
      </c>
    </row>
    <row r="1296">
      <c r="A1296">
        <f>IF($B1296="","",INDEX(Dossiers!$E$4:$E$63,25))</f>
        <v/>
      </c>
      <c r="B1296">
        <f>IF(INDEX(Suivi!$B:$B,1321)="","",INDEX(Suivi!$B:$B,1321))</f>
        <v/>
      </c>
      <c r="C1296">
        <f>IF($B1296="","",IF(INDEX(Suivi!$D:$D,1321)="",INDEX(Suivi!$C:$C,1321),INDEX(Suivi!$D:$D,1321)))</f>
        <v/>
      </c>
      <c r="D1296" s="29">
        <f>IF($B1296="","",INDEX(Suivi!$E:$E,1321))</f>
        <v/>
      </c>
      <c r="E1296" s="29">
        <f>IF($B1296="","",INDEX(Suivi!$F:$F,1321))</f>
        <v/>
      </c>
      <c r="F1296">
        <f>IF($B1296="","",INDEX(Suivi!$G:$G,1321))</f>
        <v/>
      </c>
      <c r="H1296">
        <f>IF(OR($B1296="",NOT(ISNUMBER($D1296))),"",IF($E1296&lt;$D$2,"Passé",IF($D1296&gt;$F$2,"À venir","Dans la période")))</f>
        <v/>
      </c>
      <c r="I1296">
        <f>IF(OR($B1296="",NOT(ISNUMBER($D1296))),"",IF(AND($E1296&lt;$D$2,$G1296&lt;&gt;"X",$F1296&lt;&gt;"Réalisé",$F1296&lt;&gt;"Clôturé"),"RETARD",""))</f>
        <v/>
      </c>
      <c r="J1296" s="29">
        <f>IF($B1296="","",IF(INDEX(Dossiers!$F$4:$F$63,25)="","",INDEX(Dossiers!$F$4:$F$63,25)))</f>
        <v/>
      </c>
      <c r="K1296" s="29">
        <f>IF($B1296="","",IF(INDEX(Dossiers!$G$4:$G$63,25)="","",INDEX(Dossiers!$G$4:$G$63,25)))</f>
        <v/>
      </c>
    </row>
    <row r="1297">
      <c r="A1297">
        <f>IF($B1297="","",INDEX(Dossiers!$E$4:$E$63,25))</f>
        <v/>
      </c>
      <c r="B1297">
        <f>IF(INDEX(Suivi!$B:$B,1322)="","",INDEX(Suivi!$B:$B,1322))</f>
        <v/>
      </c>
      <c r="C1297">
        <f>IF($B1297="","",IF(INDEX(Suivi!$D:$D,1322)="",INDEX(Suivi!$C:$C,1322),INDEX(Suivi!$D:$D,1322)))</f>
        <v/>
      </c>
      <c r="D1297" s="29">
        <f>IF($B1297="","",INDEX(Suivi!$E:$E,1322))</f>
        <v/>
      </c>
      <c r="E1297" s="29">
        <f>IF($B1297="","",INDEX(Suivi!$F:$F,1322))</f>
        <v/>
      </c>
      <c r="F1297">
        <f>IF($B1297="","",INDEX(Suivi!$G:$G,1322))</f>
        <v/>
      </c>
      <c r="H1297">
        <f>IF(OR($B1297="",NOT(ISNUMBER($D1297))),"",IF($E1297&lt;$D$2,"Passé",IF($D1297&gt;$F$2,"À venir","Dans la période")))</f>
        <v/>
      </c>
      <c r="I1297">
        <f>IF(OR($B1297="",NOT(ISNUMBER($D1297))),"",IF(AND($E1297&lt;$D$2,$G1297&lt;&gt;"X",$F1297&lt;&gt;"Réalisé",$F1297&lt;&gt;"Clôturé"),"RETARD",""))</f>
        <v/>
      </c>
      <c r="J1297" s="29">
        <f>IF($B1297="","",IF(INDEX(Dossiers!$F$4:$F$63,25)="","",INDEX(Dossiers!$F$4:$F$63,25)))</f>
        <v/>
      </c>
      <c r="K1297" s="29">
        <f>IF($B1297="","",IF(INDEX(Dossiers!$G$4:$G$63,25)="","",INDEX(Dossiers!$G$4:$G$63,25)))</f>
        <v/>
      </c>
    </row>
    <row r="1298">
      <c r="A1298">
        <f>IF($B1298="","",INDEX(Dossiers!$E$4:$E$63,25))</f>
        <v/>
      </c>
      <c r="B1298">
        <f>IF(INDEX(Suivi!$B:$B,1323)="","",INDEX(Suivi!$B:$B,1323))</f>
        <v/>
      </c>
      <c r="C1298">
        <f>IF($B1298="","",IF(INDEX(Suivi!$D:$D,1323)="",INDEX(Suivi!$C:$C,1323),INDEX(Suivi!$D:$D,1323)))</f>
        <v/>
      </c>
      <c r="D1298" s="29">
        <f>IF($B1298="","",INDEX(Suivi!$E:$E,1323))</f>
        <v/>
      </c>
      <c r="E1298" s="29">
        <f>IF($B1298="","",INDEX(Suivi!$F:$F,1323))</f>
        <v/>
      </c>
      <c r="F1298">
        <f>IF($B1298="","",INDEX(Suivi!$G:$G,1323))</f>
        <v/>
      </c>
      <c r="H1298">
        <f>IF(OR($B1298="",NOT(ISNUMBER($D1298))),"",IF($E1298&lt;$D$2,"Passé",IF($D1298&gt;$F$2,"À venir","Dans la période")))</f>
        <v/>
      </c>
      <c r="I1298">
        <f>IF(OR($B1298="",NOT(ISNUMBER($D1298))),"",IF(AND($E1298&lt;$D$2,$G1298&lt;&gt;"X",$F1298&lt;&gt;"Réalisé",$F1298&lt;&gt;"Clôturé"),"RETARD",""))</f>
        <v/>
      </c>
      <c r="J1298" s="29">
        <f>IF($B1298="","",IF(INDEX(Dossiers!$F$4:$F$63,25)="","",INDEX(Dossiers!$F$4:$F$63,25)))</f>
        <v/>
      </c>
      <c r="K1298" s="29">
        <f>IF($B1298="","",IF(INDEX(Dossiers!$G$4:$G$63,25)="","",INDEX(Dossiers!$G$4:$G$63,25)))</f>
        <v/>
      </c>
    </row>
    <row r="1299">
      <c r="A1299">
        <f>IF($B1299="","",INDEX(Dossiers!$E$4:$E$63,25))</f>
        <v/>
      </c>
      <c r="B1299">
        <f>IF(INDEX(Suivi!$B:$B,1324)="","",INDEX(Suivi!$B:$B,1324))</f>
        <v/>
      </c>
      <c r="C1299">
        <f>IF($B1299="","",IF(INDEX(Suivi!$D:$D,1324)="",INDEX(Suivi!$C:$C,1324),INDEX(Suivi!$D:$D,1324)))</f>
        <v/>
      </c>
      <c r="D1299" s="29">
        <f>IF($B1299="","",INDEX(Suivi!$E:$E,1324))</f>
        <v/>
      </c>
      <c r="E1299" s="29">
        <f>IF($B1299="","",INDEX(Suivi!$F:$F,1324))</f>
        <v/>
      </c>
      <c r="F1299">
        <f>IF($B1299="","",INDEX(Suivi!$G:$G,1324))</f>
        <v/>
      </c>
      <c r="H1299">
        <f>IF(OR($B1299="",NOT(ISNUMBER($D1299))),"",IF($E1299&lt;$D$2,"Passé",IF($D1299&gt;$F$2,"À venir","Dans la période")))</f>
        <v/>
      </c>
      <c r="I1299">
        <f>IF(OR($B1299="",NOT(ISNUMBER($D1299))),"",IF(AND($E1299&lt;$D$2,$G1299&lt;&gt;"X",$F1299&lt;&gt;"Réalisé",$F1299&lt;&gt;"Clôturé"),"RETARD",""))</f>
        <v/>
      </c>
      <c r="J1299" s="29">
        <f>IF($B1299="","",IF(INDEX(Dossiers!$F$4:$F$63,25)="","",INDEX(Dossiers!$F$4:$F$63,25)))</f>
        <v/>
      </c>
      <c r="K1299" s="29">
        <f>IF($B1299="","",IF(INDEX(Dossiers!$G$4:$G$63,25)="","",INDEX(Dossiers!$G$4:$G$63,25)))</f>
        <v/>
      </c>
    </row>
    <row r="1300">
      <c r="A1300">
        <f>IF($B1300="","",INDEX(Dossiers!$E$4:$E$63,25))</f>
        <v/>
      </c>
      <c r="B1300">
        <f>IF(INDEX(Suivi!$B:$B,1325)="","",INDEX(Suivi!$B:$B,1325))</f>
        <v/>
      </c>
      <c r="C1300">
        <f>IF($B1300="","",IF(INDEX(Suivi!$D:$D,1325)="",INDEX(Suivi!$C:$C,1325),INDEX(Suivi!$D:$D,1325)))</f>
        <v/>
      </c>
      <c r="D1300" s="29">
        <f>IF($B1300="","",INDEX(Suivi!$E:$E,1325))</f>
        <v/>
      </c>
      <c r="E1300" s="29">
        <f>IF($B1300="","",INDEX(Suivi!$F:$F,1325))</f>
        <v/>
      </c>
      <c r="F1300">
        <f>IF($B1300="","",INDEX(Suivi!$G:$G,1325))</f>
        <v/>
      </c>
      <c r="H1300">
        <f>IF(OR($B1300="",NOT(ISNUMBER($D1300))),"",IF($E1300&lt;$D$2,"Passé",IF($D1300&gt;$F$2,"À venir","Dans la période")))</f>
        <v/>
      </c>
      <c r="I1300">
        <f>IF(OR($B1300="",NOT(ISNUMBER($D1300))),"",IF(AND($E1300&lt;$D$2,$G1300&lt;&gt;"X",$F1300&lt;&gt;"Réalisé",$F1300&lt;&gt;"Clôturé"),"RETARD",""))</f>
        <v/>
      </c>
      <c r="J1300" s="29">
        <f>IF($B1300="","",IF(INDEX(Dossiers!$F$4:$F$63,25)="","",INDEX(Dossiers!$F$4:$F$63,25)))</f>
        <v/>
      </c>
      <c r="K1300" s="29">
        <f>IF($B1300="","",IF(INDEX(Dossiers!$G$4:$G$63,25)="","",INDEX(Dossiers!$G$4:$G$63,25)))</f>
        <v/>
      </c>
    </row>
    <row r="1301">
      <c r="A1301">
        <f>IF($B1301="","",INDEX(Dossiers!$E$4:$E$63,25))</f>
        <v/>
      </c>
      <c r="B1301">
        <f>IF(INDEX(Suivi!$B:$B,1326)="","",INDEX(Suivi!$B:$B,1326))</f>
        <v/>
      </c>
      <c r="C1301">
        <f>IF($B1301="","",IF(INDEX(Suivi!$D:$D,1326)="",INDEX(Suivi!$C:$C,1326),INDEX(Suivi!$D:$D,1326)))</f>
        <v/>
      </c>
      <c r="D1301" s="29">
        <f>IF($B1301="","",INDEX(Suivi!$E:$E,1326))</f>
        <v/>
      </c>
      <c r="E1301" s="29">
        <f>IF($B1301="","",INDEX(Suivi!$F:$F,1326))</f>
        <v/>
      </c>
      <c r="F1301">
        <f>IF($B1301="","",INDEX(Suivi!$G:$G,1326))</f>
        <v/>
      </c>
      <c r="H1301">
        <f>IF(OR($B1301="",NOT(ISNUMBER($D1301))),"",IF($E1301&lt;$D$2,"Passé",IF($D1301&gt;$F$2,"À venir","Dans la période")))</f>
        <v/>
      </c>
      <c r="I1301">
        <f>IF(OR($B1301="",NOT(ISNUMBER($D1301))),"",IF(AND($E1301&lt;$D$2,$G1301&lt;&gt;"X",$F1301&lt;&gt;"Réalisé",$F1301&lt;&gt;"Clôturé"),"RETARD",""))</f>
        <v/>
      </c>
      <c r="J1301" s="29">
        <f>IF($B1301="","",IF(INDEX(Dossiers!$F$4:$F$63,25)="","",INDEX(Dossiers!$F$4:$F$63,25)))</f>
        <v/>
      </c>
      <c r="K1301" s="29">
        <f>IF($B1301="","",IF(INDEX(Dossiers!$G$4:$G$63,25)="","",INDEX(Dossiers!$G$4:$G$63,25)))</f>
        <v/>
      </c>
    </row>
    <row r="1302">
      <c r="A1302">
        <f>IF($B1302="","",INDEX(Dossiers!$E$4:$E$63,25))</f>
        <v/>
      </c>
      <c r="B1302">
        <f>IF(INDEX(Suivi!$B:$B,1327)="","",INDEX(Suivi!$B:$B,1327))</f>
        <v/>
      </c>
      <c r="C1302">
        <f>IF($B1302="","",IF(INDEX(Suivi!$D:$D,1327)="",INDEX(Suivi!$C:$C,1327),INDEX(Suivi!$D:$D,1327)))</f>
        <v/>
      </c>
      <c r="D1302" s="29">
        <f>IF($B1302="","",INDEX(Suivi!$E:$E,1327))</f>
        <v/>
      </c>
      <c r="E1302" s="29">
        <f>IF($B1302="","",INDEX(Suivi!$F:$F,1327))</f>
        <v/>
      </c>
      <c r="F1302">
        <f>IF($B1302="","",INDEX(Suivi!$G:$G,1327))</f>
        <v/>
      </c>
      <c r="H1302">
        <f>IF(OR($B1302="",NOT(ISNUMBER($D1302))),"",IF($E1302&lt;$D$2,"Passé",IF($D1302&gt;$F$2,"À venir","Dans la période")))</f>
        <v/>
      </c>
      <c r="I1302">
        <f>IF(OR($B1302="",NOT(ISNUMBER($D1302))),"",IF(AND($E1302&lt;$D$2,$G1302&lt;&gt;"X",$F1302&lt;&gt;"Réalisé",$F1302&lt;&gt;"Clôturé"),"RETARD",""))</f>
        <v/>
      </c>
      <c r="J1302" s="29">
        <f>IF($B1302="","",IF(INDEX(Dossiers!$F$4:$F$63,25)="","",INDEX(Dossiers!$F$4:$F$63,25)))</f>
        <v/>
      </c>
      <c r="K1302" s="29">
        <f>IF($B1302="","",IF(INDEX(Dossiers!$G$4:$G$63,25)="","",INDEX(Dossiers!$G$4:$G$63,25)))</f>
        <v/>
      </c>
    </row>
    <row r="1303">
      <c r="A1303">
        <f>IF($B1303="","",INDEX(Dossiers!$E$4:$E$63,25))</f>
        <v/>
      </c>
      <c r="B1303">
        <f>IF(INDEX(Suivi!$B:$B,1328)="","",INDEX(Suivi!$B:$B,1328))</f>
        <v/>
      </c>
      <c r="C1303">
        <f>IF($B1303="","",IF(INDEX(Suivi!$D:$D,1328)="",INDEX(Suivi!$C:$C,1328),INDEX(Suivi!$D:$D,1328)))</f>
        <v/>
      </c>
      <c r="D1303" s="29">
        <f>IF($B1303="","",INDEX(Suivi!$E:$E,1328))</f>
        <v/>
      </c>
      <c r="E1303" s="29">
        <f>IF($B1303="","",INDEX(Suivi!$F:$F,1328))</f>
        <v/>
      </c>
      <c r="F1303">
        <f>IF($B1303="","",INDEX(Suivi!$G:$G,1328))</f>
        <v/>
      </c>
      <c r="H1303">
        <f>IF(OR($B1303="",NOT(ISNUMBER($D1303))),"",IF($E1303&lt;$D$2,"Passé",IF($D1303&gt;$F$2,"À venir","Dans la période")))</f>
        <v/>
      </c>
      <c r="I1303">
        <f>IF(OR($B1303="",NOT(ISNUMBER($D1303))),"",IF(AND($E1303&lt;$D$2,$G1303&lt;&gt;"X",$F1303&lt;&gt;"Réalisé",$F1303&lt;&gt;"Clôturé"),"RETARD",""))</f>
        <v/>
      </c>
      <c r="J1303" s="29">
        <f>IF($B1303="","",IF(INDEX(Dossiers!$F$4:$F$63,25)="","",INDEX(Dossiers!$F$4:$F$63,25)))</f>
        <v/>
      </c>
      <c r="K1303" s="29">
        <f>IF($B1303="","",IF(INDEX(Dossiers!$G$4:$G$63,25)="","",INDEX(Dossiers!$G$4:$G$63,25)))</f>
        <v/>
      </c>
    </row>
    <row r="1304">
      <c r="A1304">
        <f>IF($B1304="","",INDEX(Dossiers!$E$4:$E$63,25))</f>
        <v/>
      </c>
      <c r="B1304">
        <f>IF(INDEX(Suivi!$B:$B,1329)="","",INDEX(Suivi!$B:$B,1329))</f>
        <v/>
      </c>
      <c r="C1304">
        <f>IF($B1304="","",IF(INDEX(Suivi!$D:$D,1329)="",INDEX(Suivi!$C:$C,1329),INDEX(Suivi!$D:$D,1329)))</f>
        <v/>
      </c>
      <c r="D1304" s="29">
        <f>IF($B1304="","",INDEX(Suivi!$E:$E,1329))</f>
        <v/>
      </c>
      <c r="E1304" s="29">
        <f>IF($B1304="","",INDEX(Suivi!$F:$F,1329))</f>
        <v/>
      </c>
      <c r="F1304">
        <f>IF($B1304="","",INDEX(Suivi!$G:$G,1329))</f>
        <v/>
      </c>
      <c r="H1304">
        <f>IF(OR($B1304="",NOT(ISNUMBER($D1304))),"",IF($E1304&lt;$D$2,"Passé",IF($D1304&gt;$F$2,"À venir","Dans la période")))</f>
        <v/>
      </c>
      <c r="I1304">
        <f>IF(OR($B1304="",NOT(ISNUMBER($D1304))),"",IF(AND($E1304&lt;$D$2,$G1304&lt;&gt;"X",$F1304&lt;&gt;"Réalisé",$F1304&lt;&gt;"Clôturé"),"RETARD",""))</f>
        <v/>
      </c>
      <c r="J1304" s="29">
        <f>IF($B1304="","",IF(INDEX(Dossiers!$F$4:$F$63,25)="","",INDEX(Dossiers!$F$4:$F$63,25)))</f>
        <v/>
      </c>
      <c r="K1304" s="29">
        <f>IF($B1304="","",IF(INDEX(Dossiers!$G$4:$G$63,25)="","",INDEX(Dossiers!$G$4:$G$63,25)))</f>
        <v/>
      </c>
    </row>
    <row r="1305">
      <c r="A1305">
        <f>IF($B1305="","",INDEX(Dossiers!$E$4:$E$63,25))</f>
        <v/>
      </c>
      <c r="B1305">
        <f>IF(INDEX(Suivi!$B:$B,1330)="","",INDEX(Suivi!$B:$B,1330))</f>
        <v/>
      </c>
      <c r="C1305">
        <f>IF($B1305="","",IF(INDEX(Suivi!$D:$D,1330)="",INDEX(Suivi!$C:$C,1330),INDEX(Suivi!$D:$D,1330)))</f>
        <v/>
      </c>
      <c r="D1305" s="29">
        <f>IF($B1305="","",INDEX(Suivi!$E:$E,1330))</f>
        <v/>
      </c>
      <c r="E1305" s="29">
        <f>IF($B1305="","",INDEX(Suivi!$F:$F,1330))</f>
        <v/>
      </c>
      <c r="F1305">
        <f>IF($B1305="","",INDEX(Suivi!$G:$G,1330))</f>
        <v/>
      </c>
      <c r="H1305">
        <f>IF(OR($B1305="",NOT(ISNUMBER($D1305))),"",IF($E1305&lt;$D$2,"Passé",IF($D1305&gt;$F$2,"À venir","Dans la période")))</f>
        <v/>
      </c>
      <c r="I1305">
        <f>IF(OR($B1305="",NOT(ISNUMBER($D1305))),"",IF(AND($E1305&lt;$D$2,$G1305&lt;&gt;"X",$F1305&lt;&gt;"Réalisé",$F1305&lt;&gt;"Clôturé"),"RETARD",""))</f>
        <v/>
      </c>
      <c r="J1305" s="29">
        <f>IF($B1305="","",IF(INDEX(Dossiers!$F$4:$F$63,25)="","",INDEX(Dossiers!$F$4:$F$63,25)))</f>
        <v/>
      </c>
      <c r="K1305" s="29">
        <f>IF($B1305="","",IF(INDEX(Dossiers!$G$4:$G$63,25)="","",INDEX(Dossiers!$G$4:$G$63,25)))</f>
        <v/>
      </c>
    </row>
    <row r="1306">
      <c r="A1306">
        <f>IF($B1306="","",INDEX(Dossiers!$E$4:$E$63,25))</f>
        <v/>
      </c>
      <c r="B1306">
        <f>IF(INDEX(Suivi!$B:$B,1331)="","",INDEX(Suivi!$B:$B,1331))</f>
        <v/>
      </c>
      <c r="C1306">
        <f>IF($B1306="","",IF(INDEX(Suivi!$D:$D,1331)="",INDEX(Suivi!$C:$C,1331),INDEX(Suivi!$D:$D,1331)))</f>
        <v/>
      </c>
      <c r="D1306" s="29">
        <f>IF($B1306="","",INDEX(Suivi!$E:$E,1331))</f>
        <v/>
      </c>
      <c r="E1306" s="29">
        <f>IF($B1306="","",INDEX(Suivi!$F:$F,1331))</f>
        <v/>
      </c>
      <c r="F1306">
        <f>IF($B1306="","",INDEX(Suivi!$G:$G,1331))</f>
        <v/>
      </c>
      <c r="H1306">
        <f>IF(OR($B1306="",NOT(ISNUMBER($D1306))),"",IF($E1306&lt;$D$2,"Passé",IF($D1306&gt;$F$2,"À venir","Dans la période")))</f>
        <v/>
      </c>
      <c r="I1306">
        <f>IF(OR($B1306="",NOT(ISNUMBER($D1306))),"",IF(AND($E1306&lt;$D$2,$G1306&lt;&gt;"X",$F1306&lt;&gt;"Réalisé",$F1306&lt;&gt;"Clôturé"),"RETARD",""))</f>
        <v/>
      </c>
      <c r="J1306" s="29">
        <f>IF($B1306="","",IF(INDEX(Dossiers!$F$4:$F$63,25)="","",INDEX(Dossiers!$F$4:$F$63,25)))</f>
        <v/>
      </c>
      <c r="K1306" s="29">
        <f>IF($B1306="","",IF(INDEX(Dossiers!$G$4:$G$63,25)="","",INDEX(Dossiers!$G$4:$G$63,25)))</f>
        <v/>
      </c>
    </row>
    <row r="1307">
      <c r="A1307">
        <f>IF($B1307="","",INDEX(Dossiers!$E$4:$E$63,25))</f>
        <v/>
      </c>
      <c r="B1307">
        <f>IF(INDEX(Suivi!$B:$B,1332)="","",INDEX(Suivi!$B:$B,1332))</f>
        <v/>
      </c>
      <c r="C1307">
        <f>IF($B1307="","",IF(INDEX(Suivi!$D:$D,1332)="",INDEX(Suivi!$C:$C,1332),INDEX(Suivi!$D:$D,1332)))</f>
        <v/>
      </c>
      <c r="D1307" s="29">
        <f>IF($B1307="","",INDEX(Suivi!$E:$E,1332))</f>
        <v/>
      </c>
      <c r="E1307" s="29">
        <f>IF($B1307="","",INDEX(Suivi!$F:$F,1332))</f>
        <v/>
      </c>
      <c r="F1307">
        <f>IF($B1307="","",INDEX(Suivi!$G:$G,1332))</f>
        <v/>
      </c>
      <c r="H1307">
        <f>IF(OR($B1307="",NOT(ISNUMBER($D1307))),"",IF($E1307&lt;$D$2,"Passé",IF($D1307&gt;$F$2,"À venir","Dans la période")))</f>
        <v/>
      </c>
      <c r="I1307">
        <f>IF(OR($B1307="",NOT(ISNUMBER($D1307))),"",IF(AND($E1307&lt;$D$2,$G1307&lt;&gt;"X",$F1307&lt;&gt;"Réalisé",$F1307&lt;&gt;"Clôturé"),"RETARD",""))</f>
        <v/>
      </c>
      <c r="J1307" s="29">
        <f>IF($B1307="","",IF(INDEX(Dossiers!$F$4:$F$63,25)="","",INDEX(Dossiers!$F$4:$F$63,25)))</f>
        <v/>
      </c>
      <c r="K1307" s="29">
        <f>IF($B1307="","",IF(INDEX(Dossiers!$G$4:$G$63,25)="","",INDEX(Dossiers!$G$4:$G$63,25)))</f>
        <v/>
      </c>
    </row>
    <row r="1308">
      <c r="A1308">
        <f>IF($B1308="","",INDEX(Dossiers!$E$4:$E$63,25))</f>
        <v/>
      </c>
      <c r="B1308">
        <f>IF(INDEX(Suivi!$B:$B,1333)="","",INDEX(Suivi!$B:$B,1333))</f>
        <v/>
      </c>
      <c r="C1308">
        <f>IF($B1308="","",IF(INDEX(Suivi!$D:$D,1333)="",INDEX(Suivi!$C:$C,1333),INDEX(Suivi!$D:$D,1333)))</f>
        <v/>
      </c>
      <c r="D1308" s="29">
        <f>IF($B1308="","",INDEX(Suivi!$E:$E,1333))</f>
        <v/>
      </c>
      <c r="E1308" s="29">
        <f>IF($B1308="","",INDEX(Suivi!$F:$F,1333))</f>
        <v/>
      </c>
      <c r="F1308">
        <f>IF($B1308="","",INDEX(Suivi!$G:$G,1333))</f>
        <v/>
      </c>
      <c r="H1308">
        <f>IF(OR($B1308="",NOT(ISNUMBER($D1308))),"",IF($E1308&lt;$D$2,"Passé",IF($D1308&gt;$F$2,"À venir","Dans la période")))</f>
        <v/>
      </c>
      <c r="I1308">
        <f>IF(OR($B1308="",NOT(ISNUMBER($D1308))),"",IF(AND($E1308&lt;$D$2,$G1308&lt;&gt;"X",$F1308&lt;&gt;"Réalisé",$F1308&lt;&gt;"Clôturé"),"RETARD",""))</f>
        <v/>
      </c>
      <c r="J1308" s="29">
        <f>IF($B1308="","",IF(INDEX(Dossiers!$F$4:$F$63,25)="","",INDEX(Dossiers!$F$4:$F$63,25)))</f>
        <v/>
      </c>
      <c r="K1308" s="29">
        <f>IF($B1308="","",IF(INDEX(Dossiers!$G$4:$G$63,25)="","",INDEX(Dossiers!$G$4:$G$63,25)))</f>
        <v/>
      </c>
    </row>
    <row r="1309">
      <c r="A1309">
        <f>IF($B1309="","",INDEX(Dossiers!$E$4:$E$63,25))</f>
        <v/>
      </c>
      <c r="B1309">
        <f>IF(INDEX(Suivi!$B:$B,1334)="","",INDEX(Suivi!$B:$B,1334))</f>
        <v/>
      </c>
      <c r="C1309">
        <f>IF($B1309="","",IF(INDEX(Suivi!$D:$D,1334)="",INDEX(Suivi!$C:$C,1334),INDEX(Suivi!$D:$D,1334)))</f>
        <v/>
      </c>
      <c r="D1309" s="29">
        <f>IF($B1309="","",INDEX(Suivi!$E:$E,1334))</f>
        <v/>
      </c>
      <c r="E1309" s="29">
        <f>IF($B1309="","",INDEX(Suivi!$F:$F,1334))</f>
        <v/>
      </c>
      <c r="F1309">
        <f>IF($B1309="","",INDEX(Suivi!$G:$G,1334))</f>
        <v/>
      </c>
      <c r="H1309">
        <f>IF(OR($B1309="",NOT(ISNUMBER($D1309))),"",IF($E1309&lt;$D$2,"Passé",IF($D1309&gt;$F$2,"À venir","Dans la période")))</f>
        <v/>
      </c>
      <c r="I1309">
        <f>IF(OR($B1309="",NOT(ISNUMBER($D1309))),"",IF(AND($E1309&lt;$D$2,$G1309&lt;&gt;"X",$F1309&lt;&gt;"Réalisé",$F1309&lt;&gt;"Clôturé"),"RETARD",""))</f>
        <v/>
      </c>
      <c r="J1309" s="29">
        <f>IF($B1309="","",IF(INDEX(Dossiers!$F$4:$F$63,25)="","",INDEX(Dossiers!$F$4:$F$63,25)))</f>
        <v/>
      </c>
      <c r="K1309" s="29">
        <f>IF($B1309="","",IF(INDEX(Dossiers!$G$4:$G$63,25)="","",INDEX(Dossiers!$G$4:$G$63,25)))</f>
        <v/>
      </c>
    </row>
    <row r="1310">
      <c r="A1310">
        <f>IF($B1310="","",INDEX(Dossiers!$E$4:$E$63,25))</f>
        <v/>
      </c>
      <c r="B1310">
        <f>IF(INDEX(Suivi!$B:$B,1335)="","",INDEX(Suivi!$B:$B,1335))</f>
        <v/>
      </c>
      <c r="C1310">
        <f>IF($B1310="","",IF(INDEX(Suivi!$D:$D,1335)="",INDEX(Suivi!$C:$C,1335),INDEX(Suivi!$D:$D,1335)))</f>
        <v/>
      </c>
      <c r="D1310" s="29">
        <f>IF($B1310="","",INDEX(Suivi!$E:$E,1335))</f>
        <v/>
      </c>
      <c r="E1310" s="29">
        <f>IF($B1310="","",INDEX(Suivi!$F:$F,1335))</f>
        <v/>
      </c>
      <c r="F1310">
        <f>IF($B1310="","",INDEX(Suivi!$G:$G,1335))</f>
        <v/>
      </c>
      <c r="H1310">
        <f>IF(OR($B1310="",NOT(ISNUMBER($D1310))),"",IF($E1310&lt;$D$2,"Passé",IF($D1310&gt;$F$2,"À venir","Dans la période")))</f>
        <v/>
      </c>
      <c r="I1310">
        <f>IF(OR($B1310="",NOT(ISNUMBER($D1310))),"",IF(AND($E1310&lt;$D$2,$G1310&lt;&gt;"X",$F1310&lt;&gt;"Réalisé",$F1310&lt;&gt;"Clôturé"),"RETARD",""))</f>
        <v/>
      </c>
      <c r="J1310" s="29">
        <f>IF($B1310="","",IF(INDEX(Dossiers!$F$4:$F$63,25)="","",INDEX(Dossiers!$F$4:$F$63,25)))</f>
        <v/>
      </c>
      <c r="K1310" s="29">
        <f>IF($B1310="","",IF(INDEX(Dossiers!$G$4:$G$63,25)="","",INDEX(Dossiers!$G$4:$G$63,25)))</f>
        <v/>
      </c>
    </row>
    <row r="1311">
      <c r="A1311">
        <f>IF($B1311="","",INDEX(Dossiers!$E$4:$E$63,25))</f>
        <v/>
      </c>
      <c r="B1311">
        <f>IF(INDEX(Suivi!$B:$B,1336)="","",INDEX(Suivi!$B:$B,1336))</f>
        <v/>
      </c>
      <c r="C1311">
        <f>IF($B1311="","",IF(INDEX(Suivi!$D:$D,1336)="",INDEX(Suivi!$C:$C,1336),INDEX(Suivi!$D:$D,1336)))</f>
        <v/>
      </c>
      <c r="D1311" s="29">
        <f>IF($B1311="","",INDEX(Suivi!$E:$E,1336))</f>
        <v/>
      </c>
      <c r="E1311" s="29">
        <f>IF($B1311="","",INDEX(Suivi!$F:$F,1336))</f>
        <v/>
      </c>
      <c r="F1311">
        <f>IF($B1311="","",INDEX(Suivi!$G:$G,1336))</f>
        <v/>
      </c>
      <c r="H1311">
        <f>IF(OR($B1311="",NOT(ISNUMBER($D1311))),"",IF($E1311&lt;$D$2,"Passé",IF($D1311&gt;$F$2,"À venir","Dans la période")))</f>
        <v/>
      </c>
      <c r="I1311">
        <f>IF(OR($B1311="",NOT(ISNUMBER($D1311))),"",IF(AND($E1311&lt;$D$2,$G1311&lt;&gt;"X",$F1311&lt;&gt;"Réalisé",$F1311&lt;&gt;"Clôturé"),"RETARD",""))</f>
        <v/>
      </c>
      <c r="J1311" s="29">
        <f>IF($B1311="","",IF(INDEX(Dossiers!$F$4:$F$63,25)="","",INDEX(Dossiers!$F$4:$F$63,25)))</f>
        <v/>
      </c>
      <c r="K1311" s="29">
        <f>IF($B1311="","",IF(INDEX(Dossiers!$G$4:$G$63,25)="","",INDEX(Dossiers!$G$4:$G$63,25)))</f>
        <v/>
      </c>
    </row>
    <row r="1312">
      <c r="A1312">
        <f>IF($B1312="","",INDEX(Dossiers!$E$4:$E$63,25))</f>
        <v/>
      </c>
      <c r="B1312">
        <f>IF(INDEX(Suivi!$B:$B,1337)="","",INDEX(Suivi!$B:$B,1337))</f>
        <v/>
      </c>
      <c r="C1312">
        <f>IF($B1312="","",IF(INDEX(Suivi!$D:$D,1337)="",INDEX(Suivi!$C:$C,1337),INDEX(Suivi!$D:$D,1337)))</f>
        <v/>
      </c>
      <c r="D1312" s="29">
        <f>IF($B1312="","",INDEX(Suivi!$E:$E,1337))</f>
        <v/>
      </c>
      <c r="E1312" s="29">
        <f>IF($B1312="","",INDEX(Suivi!$F:$F,1337))</f>
        <v/>
      </c>
      <c r="F1312">
        <f>IF($B1312="","",INDEX(Suivi!$G:$G,1337))</f>
        <v/>
      </c>
      <c r="H1312">
        <f>IF(OR($B1312="",NOT(ISNUMBER($D1312))),"",IF($E1312&lt;$D$2,"Passé",IF($D1312&gt;$F$2,"À venir","Dans la période")))</f>
        <v/>
      </c>
      <c r="I1312">
        <f>IF(OR($B1312="",NOT(ISNUMBER($D1312))),"",IF(AND($E1312&lt;$D$2,$G1312&lt;&gt;"X",$F1312&lt;&gt;"Réalisé",$F1312&lt;&gt;"Clôturé"),"RETARD",""))</f>
        <v/>
      </c>
      <c r="J1312" s="29">
        <f>IF($B1312="","",IF(INDEX(Dossiers!$F$4:$F$63,25)="","",INDEX(Dossiers!$F$4:$F$63,25)))</f>
        <v/>
      </c>
      <c r="K1312" s="29">
        <f>IF($B1312="","",IF(INDEX(Dossiers!$G$4:$G$63,25)="","",INDEX(Dossiers!$G$4:$G$63,25)))</f>
        <v/>
      </c>
    </row>
    <row r="1313">
      <c r="A1313">
        <f>IF($B1313="","",INDEX(Dossiers!$E$4:$E$63,25))</f>
        <v/>
      </c>
      <c r="B1313">
        <f>IF(INDEX(Suivi!$B:$B,1338)="","",INDEX(Suivi!$B:$B,1338))</f>
        <v/>
      </c>
      <c r="C1313">
        <f>IF($B1313="","",IF(INDEX(Suivi!$D:$D,1338)="",INDEX(Suivi!$C:$C,1338),INDEX(Suivi!$D:$D,1338)))</f>
        <v/>
      </c>
      <c r="D1313" s="29">
        <f>IF($B1313="","",INDEX(Suivi!$E:$E,1338))</f>
        <v/>
      </c>
      <c r="E1313" s="29">
        <f>IF($B1313="","",INDEX(Suivi!$F:$F,1338))</f>
        <v/>
      </c>
      <c r="F1313">
        <f>IF($B1313="","",INDEX(Suivi!$G:$G,1338))</f>
        <v/>
      </c>
      <c r="H1313">
        <f>IF(OR($B1313="",NOT(ISNUMBER($D1313))),"",IF($E1313&lt;$D$2,"Passé",IF($D1313&gt;$F$2,"À venir","Dans la période")))</f>
        <v/>
      </c>
      <c r="I1313">
        <f>IF(OR($B1313="",NOT(ISNUMBER($D1313))),"",IF(AND($E1313&lt;$D$2,$G1313&lt;&gt;"X",$F1313&lt;&gt;"Réalisé",$F1313&lt;&gt;"Clôturé"),"RETARD",""))</f>
        <v/>
      </c>
      <c r="J1313" s="29">
        <f>IF($B1313="","",IF(INDEX(Dossiers!$F$4:$F$63,25)="","",INDEX(Dossiers!$F$4:$F$63,25)))</f>
        <v/>
      </c>
      <c r="K1313" s="29">
        <f>IF($B1313="","",IF(INDEX(Dossiers!$G$4:$G$63,25)="","",INDEX(Dossiers!$G$4:$G$63,25)))</f>
        <v/>
      </c>
    </row>
    <row r="1314">
      <c r="A1314">
        <f>IF($B1314="","",INDEX(Dossiers!$E$4:$E$63,25))</f>
        <v/>
      </c>
      <c r="B1314">
        <f>IF(INDEX(Suivi!$B:$B,1339)="","",INDEX(Suivi!$B:$B,1339))</f>
        <v/>
      </c>
      <c r="C1314">
        <f>IF($B1314="","",IF(INDEX(Suivi!$D:$D,1339)="",INDEX(Suivi!$C:$C,1339),INDEX(Suivi!$D:$D,1339)))</f>
        <v/>
      </c>
      <c r="D1314" s="29">
        <f>IF($B1314="","",INDEX(Suivi!$E:$E,1339))</f>
        <v/>
      </c>
      <c r="E1314" s="29">
        <f>IF($B1314="","",INDEX(Suivi!$F:$F,1339))</f>
        <v/>
      </c>
      <c r="F1314">
        <f>IF($B1314="","",INDEX(Suivi!$G:$G,1339))</f>
        <v/>
      </c>
      <c r="H1314">
        <f>IF(OR($B1314="",NOT(ISNUMBER($D1314))),"",IF($E1314&lt;$D$2,"Passé",IF($D1314&gt;$F$2,"À venir","Dans la période")))</f>
        <v/>
      </c>
      <c r="I1314">
        <f>IF(OR($B1314="",NOT(ISNUMBER($D1314))),"",IF(AND($E1314&lt;$D$2,$G1314&lt;&gt;"X",$F1314&lt;&gt;"Réalisé",$F1314&lt;&gt;"Clôturé"),"RETARD",""))</f>
        <v/>
      </c>
      <c r="J1314" s="29">
        <f>IF($B1314="","",IF(INDEX(Dossiers!$F$4:$F$63,25)="","",INDEX(Dossiers!$F$4:$F$63,25)))</f>
        <v/>
      </c>
      <c r="K1314" s="29">
        <f>IF($B1314="","",IF(INDEX(Dossiers!$G$4:$G$63,25)="","",INDEX(Dossiers!$G$4:$G$63,25)))</f>
        <v/>
      </c>
    </row>
    <row r="1315">
      <c r="A1315">
        <f>IF($B1315="","",INDEX(Dossiers!$E$4:$E$63,25))</f>
        <v/>
      </c>
      <c r="B1315">
        <f>IF(INDEX(Suivi!$B:$B,1340)="","",INDEX(Suivi!$B:$B,1340))</f>
        <v/>
      </c>
      <c r="C1315">
        <f>IF($B1315="","",IF(INDEX(Suivi!$D:$D,1340)="",INDEX(Suivi!$C:$C,1340),INDEX(Suivi!$D:$D,1340)))</f>
        <v/>
      </c>
      <c r="D1315" s="29">
        <f>IF($B1315="","",INDEX(Suivi!$E:$E,1340))</f>
        <v/>
      </c>
      <c r="E1315" s="29">
        <f>IF($B1315="","",INDEX(Suivi!$F:$F,1340))</f>
        <v/>
      </c>
      <c r="F1315">
        <f>IF($B1315="","",INDEX(Suivi!$G:$G,1340))</f>
        <v/>
      </c>
      <c r="H1315">
        <f>IF(OR($B1315="",NOT(ISNUMBER($D1315))),"",IF($E1315&lt;$D$2,"Passé",IF($D1315&gt;$F$2,"À venir","Dans la période")))</f>
        <v/>
      </c>
      <c r="I1315">
        <f>IF(OR($B1315="",NOT(ISNUMBER($D1315))),"",IF(AND($E1315&lt;$D$2,$G1315&lt;&gt;"X",$F1315&lt;&gt;"Réalisé",$F1315&lt;&gt;"Clôturé"),"RETARD",""))</f>
        <v/>
      </c>
      <c r="J1315" s="29">
        <f>IF($B1315="","",IF(INDEX(Dossiers!$F$4:$F$63,25)="","",INDEX(Dossiers!$F$4:$F$63,25)))</f>
        <v/>
      </c>
      <c r="K1315" s="29">
        <f>IF($B1315="","",IF(INDEX(Dossiers!$G$4:$G$63,25)="","",INDEX(Dossiers!$G$4:$G$63,25)))</f>
        <v/>
      </c>
    </row>
    <row r="1316">
      <c r="A1316">
        <f>IF($B1316="","",INDEX(Dossiers!$E$4:$E$63,25))</f>
        <v/>
      </c>
      <c r="B1316">
        <f>IF(INDEX(Suivi!$B:$B,1341)="","",INDEX(Suivi!$B:$B,1341))</f>
        <v/>
      </c>
      <c r="C1316">
        <f>IF($B1316="","",IF(INDEX(Suivi!$D:$D,1341)="",INDEX(Suivi!$C:$C,1341),INDEX(Suivi!$D:$D,1341)))</f>
        <v/>
      </c>
      <c r="D1316" s="29">
        <f>IF($B1316="","",INDEX(Suivi!$E:$E,1341))</f>
        <v/>
      </c>
      <c r="E1316" s="29">
        <f>IF($B1316="","",INDEX(Suivi!$F:$F,1341))</f>
        <v/>
      </c>
      <c r="F1316">
        <f>IF($B1316="","",INDEX(Suivi!$G:$G,1341))</f>
        <v/>
      </c>
      <c r="H1316">
        <f>IF(OR($B1316="",NOT(ISNUMBER($D1316))),"",IF($E1316&lt;$D$2,"Passé",IF($D1316&gt;$F$2,"À venir","Dans la période")))</f>
        <v/>
      </c>
      <c r="I1316">
        <f>IF(OR($B1316="",NOT(ISNUMBER($D1316))),"",IF(AND($E1316&lt;$D$2,$G1316&lt;&gt;"X",$F1316&lt;&gt;"Réalisé",$F1316&lt;&gt;"Clôturé"),"RETARD",""))</f>
        <v/>
      </c>
      <c r="J1316" s="29">
        <f>IF($B1316="","",IF(INDEX(Dossiers!$F$4:$F$63,25)="","",INDEX(Dossiers!$F$4:$F$63,25)))</f>
        <v/>
      </c>
      <c r="K1316" s="29">
        <f>IF($B1316="","",IF(INDEX(Dossiers!$G$4:$G$63,25)="","",INDEX(Dossiers!$G$4:$G$63,25)))</f>
        <v/>
      </c>
    </row>
    <row r="1317">
      <c r="A1317">
        <f>IF($B1317="","",INDEX(Dossiers!$E$4:$E$63,25))</f>
        <v/>
      </c>
      <c r="B1317">
        <f>IF(INDEX(Suivi!$B:$B,1342)="","",INDEX(Suivi!$B:$B,1342))</f>
        <v/>
      </c>
      <c r="C1317">
        <f>IF($B1317="","",IF(INDEX(Suivi!$D:$D,1342)="",INDEX(Suivi!$C:$C,1342),INDEX(Suivi!$D:$D,1342)))</f>
        <v/>
      </c>
      <c r="D1317" s="29">
        <f>IF($B1317="","",INDEX(Suivi!$E:$E,1342))</f>
        <v/>
      </c>
      <c r="E1317" s="29">
        <f>IF($B1317="","",INDEX(Suivi!$F:$F,1342))</f>
        <v/>
      </c>
      <c r="F1317">
        <f>IF($B1317="","",INDEX(Suivi!$G:$G,1342))</f>
        <v/>
      </c>
      <c r="H1317">
        <f>IF(OR($B1317="",NOT(ISNUMBER($D1317))),"",IF($E1317&lt;$D$2,"Passé",IF($D1317&gt;$F$2,"À venir","Dans la période")))</f>
        <v/>
      </c>
      <c r="I1317">
        <f>IF(OR($B1317="",NOT(ISNUMBER($D1317))),"",IF(AND($E1317&lt;$D$2,$G1317&lt;&gt;"X",$F1317&lt;&gt;"Réalisé",$F1317&lt;&gt;"Clôturé"),"RETARD",""))</f>
        <v/>
      </c>
      <c r="J1317" s="29">
        <f>IF($B1317="","",IF(INDEX(Dossiers!$F$4:$F$63,25)="","",INDEX(Dossiers!$F$4:$F$63,25)))</f>
        <v/>
      </c>
      <c r="K1317" s="29">
        <f>IF($B1317="","",IF(INDEX(Dossiers!$G$4:$G$63,25)="","",INDEX(Dossiers!$G$4:$G$63,25)))</f>
        <v/>
      </c>
    </row>
    <row r="1318">
      <c r="A1318">
        <f>IF($B1318="","",INDEX(Dossiers!$E$4:$E$63,25))</f>
        <v/>
      </c>
      <c r="B1318">
        <f>IF(INDEX(Suivi!$B:$B,1343)="","",INDEX(Suivi!$B:$B,1343))</f>
        <v/>
      </c>
      <c r="C1318">
        <f>IF($B1318="","",IF(INDEX(Suivi!$D:$D,1343)="",INDEX(Suivi!$C:$C,1343),INDEX(Suivi!$D:$D,1343)))</f>
        <v/>
      </c>
      <c r="D1318" s="29">
        <f>IF($B1318="","",INDEX(Suivi!$E:$E,1343))</f>
        <v/>
      </c>
      <c r="E1318" s="29">
        <f>IF($B1318="","",INDEX(Suivi!$F:$F,1343))</f>
        <v/>
      </c>
      <c r="F1318">
        <f>IF($B1318="","",INDEX(Suivi!$G:$G,1343))</f>
        <v/>
      </c>
      <c r="H1318">
        <f>IF(OR($B1318="",NOT(ISNUMBER($D1318))),"",IF($E1318&lt;$D$2,"Passé",IF($D1318&gt;$F$2,"À venir","Dans la période")))</f>
        <v/>
      </c>
      <c r="I1318">
        <f>IF(OR($B1318="",NOT(ISNUMBER($D1318))),"",IF(AND($E1318&lt;$D$2,$G1318&lt;&gt;"X",$F1318&lt;&gt;"Réalisé",$F1318&lt;&gt;"Clôturé"),"RETARD",""))</f>
        <v/>
      </c>
      <c r="J1318" s="29">
        <f>IF($B1318="","",IF(INDEX(Dossiers!$F$4:$F$63,25)="","",INDEX(Dossiers!$F$4:$F$63,25)))</f>
        <v/>
      </c>
      <c r="K1318" s="29">
        <f>IF($B1318="","",IF(INDEX(Dossiers!$G$4:$G$63,25)="","",INDEX(Dossiers!$G$4:$G$63,25)))</f>
        <v/>
      </c>
    </row>
    <row r="1319">
      <c r="A1319">
        <f>IF($B1319="","",INDEX(Dossiers!$E$4:$E$63,25))</f>
        <v/>
      </c>
      <c r="B1319">
        <f>IF(INDEX(Suivi!$B:$B,1344)="","",INDEX(Suivi!$B:$B,1344))</f>
        <v/>
      </c>
      <c r="C1319">
        <f>IF($B1319="","",IF(INDEX(Suivi!$D:$D,1344)="",INDEX(Suivi!$C:$C,1344),INDEX(Suivi!$D:$D,1344)))</f>
        <v/>
      </c>
      <c r="D1319" s="29">
        <f>IF($B1319="","",INDEX(Suivi!$E:$E,1344))</f>
        <v/>
      </c>
      <c r="E1319" s="29">
        <f>IF($B1319="","",INDEX(Suivi!$F:$F,1344))</f>
        <v/>
      </c>
      <c r="F1319">
        <f>IF($B1319="","",INDEX(Suivi!$G:$G,1344))</f>
        <v/>
      </c>
      <c r="H1319">
        <f>IF(OR($B1319="",NOT(ISNUMBER($D1319))),"",IF($E1319&lt;$D$2,"Passé",IF($D1319&gt;$F$2,"À venir","Dans la période")))</f>
        <v/>
      </c>
      <c r="I1319">
        <f>IF(OR($B1319="",NOT(ISNUMBER($D1319))),"",IF(AND($E1319&lt;$D$2,$G1319&lt;&gt;"X",$F1319&lt;&gt;"Réalisé",$F1319&lt;&gt;"Clôturé"),"RETARD",""))</f>
        <v/>
      </c>
      <c r="J1319" s="29">
        <f>IF($B1319="","",IF(INDEX(Dossiers!$F$4:$F$63,25)="","",INDEX(Dossiers!$F$4:$F$63,25)))</f>
        <v/>
      </c>
      <c r="K1319" s="29">
        <f>IF($B1319="","",IF(INDEX(Dossiers!$G$4:$G$63,25)="","",INDEX(Dossiers!$G$4:$G$63,25)))</f>
        <v/>
      </c>
    </row>
    <row r="1320">
      <c r="A1320">
        <f>IF($B1320="","",INDEX(Dossiers!$E$4:$E$63,25))</f>
        <v/>
      </c>
      <c r="B1320">
        <f>IF(INDEX(Suivi!$B:$B,1345)="","",INDEX(Suivi!$B:$B,1345))</f>
        <v/>
      </c>
      <c r="C1320">
        <f>IF($B1320="","",IF(INDEX(Suivi!$D:$D,1345)="",INDEX(Suivi!$C:$C,1345),INDEX(Suivi!$D:$D,1345)))</f>
        <v/>
      </c>
      <c r="D1320" s="29">
        <f>IF($B1320="","",INDEX(Suivi!$E:$E,1345))</f>
        <v/>
      </c>
      <c r="E1320" s="29">
        <f>IF($B1320="","",INDEX(Suivi!$F:$F,1345))</f>
        <v/>
      </c>
      <c r="F1320">
        <f>IF($B1320="","",INDEX(Suivi!$G:$G,1345))</f>
        <v/>
      </c>
      <c r="H1320">
        <f>IF(OR($B1320="",NOT(ISNUMBER($D1320))),"",IF($E1320&lt;$D$2,"Passé",IF($D1320&gt;$F$2,"À venir","Dans la période")))</f>
        <v/>
      </c>
      <c r="I1320">
        <f>IF(OR($B1320="",NOT(ISNUMBER($D1320))),"",IF(AND($E1320&lt;$D$2,$G1320&lt;&gt;"X",$F1320&lt;&gt;"Réalisé",$F1320&lt;&gt;"Clôturé"),"RETARD",""))</f>
        <v/>
      </c>
      <c r="J1320" s="29">
        <f>IF($B1320="","",IF(INDEX(Dossiers!$F$4:$F$63,25)="","",INDEX(Dossiers!$F$4:$F$63,25)))</f>
        <v/>
      </c>
      <c r="K1320" s="29">
        <f>IF($B1320="","",IF(INDEX(Dossiers!$G$4:$G$63,25)="","",INDEX(Dossiers!$G$4:$G$63,25)))</f>
        <v/>
      </c>
    </row>
    <row r="1321">
      <c r="A1321">
        <f>IF($B1321="","",INDEX(Dossiers!$E$4:$E$63,25))</f>
        <v/>
      </c>
      <c r="B1321">
        <f>IF(INDEX(Suivi!$B:$B,1346)="","",INDEX(Suivi!$B:$B,1346))</f>
        <v/>
      </c>
      <c r="C1321">
        <f>IF($B1321="","",IF(INDEX(Suivi!$D:$D,1346)="",INDEX(Suivi!$C:$C,1346),INDEX(Suivi!$D:$D,1346)))</f>
        <v/>
      </c>
      <c r="D1321" s="29">
        <f>IF($B1321="","",INDEX(Suivi!$E:$E,1346))</f>
        <v/>
      </c>
      <c r="E1321" s="29">
        <f>IF($B1321="","",INDEX(Suivi!$F:$F,1346))</f>
        <v/>
      </c>
      <c r="F1321">
        <f>IF($B1321="","",INDEX(Suivi!$G:$G,1346))</f>
        <v/>
      </c>
      <c r="H1321">
        <f>IF(OR($B1321="",NOT(ISNUMBER($D1321))),"",IF($E1321&lt;$D$2,"Passé",IF($D1321&gt;$F$2,"À venir","Dans la période")))</f>
        <v/>
      </c>
      <c r="I1321">
        <f>IF(OR($B1321="",NOT(ISNUMBER($D1321))),"",IF(AND($E1321&lt;$D$2,$G1321&lt;&gt;"X",$F1321&lt;&gt;"Réalisé",$F1321&lt;&gt;"Clôturé"),"RETARD",""))</f>
        <v/>
      </c>
      <c r="J1321" s="29">
        <f>IF($B1321="","",IF(INDEX(Dossiers!$F$4:$F$63,25)="","",INDEX(Dossiers!$F$4:$F$63,25)))</f>
        <v/>
      </c>
      <c r="K1321" s="29">
        <f>IF($B1321="","",IF(INDEX(Dossiers!$G$4:$G$63,25)="","",INDEX(Dossiers!$G$4:$G$63,25)))</f>
        <v/>
      </c>
    </row>
    <row r="1322">
      <c r="A1322">
        <f>IF($B1322="","",INDEX(Dossiers!$E$4:$E$63,25))</f>
        <v/>
      </c>
      <c r="B1322">
        <f>IF(INDEX(Suivi!$B:$B,1347)="","",INDEX(Suivi!$B:$B,1347))</f>
        <v/>
      </c>
      <c r="C1322">
        <f>IF($B1322="","",IF(INDEX(Suivi!$D:$D,1347)="",INDEX(Suivi!$C:$C,1347),INDEX(Suivi!$D:$D,1347)))</f>
        <v/>
      </c>
      <c r="D1322" s="29">
        <f>IF($B1322="","",INDEX(Suivi!$E:$E,1347))</f>
        <v/>
      </c>
      <c r="E1322" s="29">
        <f>IF($B1322="","",INDEX(Suivi!$F:$F,1347))</f>
        <v/>
      </c>
      <c r="F1322">
        <f>IF($B1322="","",INDEX(Suivi!$G:$G,1347))</f>
        <v/>
      </c>
      <c r="H1322">
        <f>IF(OR($B1322="",NOT(ISNUMBER($D1322))),"",IF($E1322&lt;$D$2,"Passé",IF($D1322&gt;$F$2,"À venir","Dans la période")))</f>
        <v/>
      </c>
      <c r="I1322">
        <f>IF(OR($B1322="",NOT(ISNUMBER($D1322))),"",IF(AND($E1322&lt;$D$2,$G1322&lt;&gt;"X",$F1322&lt;&gt;"Réalisé",$F1322&lt;&gt;"Clôturé"),"RETARD",""))</f>
        <v/>
      </c>
      <c r="J1322" s="29">
        <f>IF($B1322="","",IF(INDEX(Dossiers!$F$4:$F$63,25)="","",INDEX(Dossiers!$F$4:$F$63,25)))</f>
        <v/>
      </c>
      <c r="K1322" s="29">
        <f>IF($B1322="","",IF(INDEX(Dossiers!$G$4:$G$63,25)="","",INDEX(Dossiers!$G$4:$G$63,25)))</f>
        <v/>
      </c>
    </row>
    <row r="1323">
      <c r="A1323">
        <f>IF($B1323="","",INDEX(Dossiers!$E$4:$E$63,25))</f>
        <v/>
      </c>
      <c r="B1323">
        <f>IF(INDEX(Suivi!$B:$B,1348)="","",INDEX(Suivi!$B:$B,1348))</f>
        <v/>
      </c>
      <c r="C1323">
        <f>IF($B1323="","",IF(INDEX(Suivi!$D:$D,1348)="",INDEX(Suivi!$C:$C,1348),INDEX(Suivi!$D:$D,1348)))</f>
        <v/>
      </c>
      <c r="D1323" s="29">
        <f>IF($B1323="","",INDEX(Suivi!$E:$E,1348))</f>
        <v/>
      </c>
      <c r="E1323" s="29">
        <f>IF($B1323="","",INDEX(Suivi!$F:$F,1348))</f>
        <v/>
      </c>
      <c r="F1323">
        <f>IF($B1323="","",INDEX(Suivi!$G:$G,1348))</f>
        <v/>
      </c>
      <c r="H1323">
        <f>IF(OR($B1323="",NOT(ISNUMBER($D1323))),"",IF($E1323&lt;$D$2,"Passé",IF($D1323&gt;$F$2,"À venir","Dans la période")))</f>
        <v/>
      </c>
      <c r="I1323">
        <f>IF(OR($B1323="",NOT(ISNUMBER($D1323))),"",IF(AND($E1323&lt;$D$2,$G1323&lt;&gt;"X",$F1323&lt;&gt;"Réalisé",$F1323&lt;&gt;"Clôturé"),"RETARD",""))</f>
        <v/>
      </c>
      <c r="J1323" s="29">
        <f>IF($B1323="","",IF(INDEX(Dossiers!$F$4:$F$63,25)="","",INDEX(Dossiers!$F$4:$F$63,25)))</f>
        <v/>
      </c>
      <c r="K1323" s="29">
        <f>IF($B1323="","",IF(INDEX(Dossiers!$G$4:$G$63,25)="","",INDEX(Dossiers!$G$4:$G$63,25)))</f>
        <v/>
      </c>
    </row>
    <row r="1324">
      <c r="A1324">
        <f>IF($B1324="","",INDEX(Dossiers!$E$4:$E$63,25))</f>
        <v/>
      </c>
      <c r="B1324">
        <f>IF(INDEX(Suivi!$B:$B,1349)="","",INDEX(Suivi!$B:$B,1349))</f>
        <v/>
      </c>
      <c r="C1324">
        <f>IF($B1324="","",IF(INDEX(Suivi!$D:$D,1349)="",INDEX(Suivi!$C:$C,1349),INDEX(Suivi!$D:$D,1349)))</f>
        <v/>
      </c>
      <c r="D1324" s="29">
        <f>IF($B1324="","",INDEX(Suivi!$E:$E,1349))</f>
        <v/>
      </c>
      <c r="E1324" s="29">
        <f>IF($B1324="","",INDEX(Suivi!$F:$F,1349))</f>
        <v/>
      </c>
      <c r="F1324">
        <f>IF($B1324="","",INDEX(Suivi!$G:$G,1349))</f>
        <v/>
      </c>
      <c r="H1324">
        <f>IF(OR($B1324="",NOT(ISNUMBER($D1324))),"",IF($E1324&lt;$D$2,"Passé",IF($D1324&gt;$F$2,"À venir","Dans la période")))</f>
        <v/>
      </c>
      <c r="I1324">
        <f>IF(OR($B1324="",NOT(ISNUMBER($D1324))),"",IF(AND($E1324&lt;$D$2,$G1324&lt;&gt;"X",$F1324&lt;&gt;"Réalisé",$F1324&lt;&gt;"Clôturé"),"RETARD",""))</f>
        <v/>
      </c>
      <c r="J1324" s="29">
        <f>IF($B1324="","",IF(INDEX(Dossiers!$F$4:$F$63,25)="","",INDEX(Dossiers!$F$4:$F$63,25)))</f>
        <v/>
      </c>
      <c r="K1324" s="29">
        <f>IF($B1324="","",IF(INDEX(Dossiers!$G$4:$G$63,25)="","",INDEX(Dossiers!$G$4:$G$63,25)))</f>
        <v/>
      </c>
    </row>
    <row r="1325">
      <c r="A1325">
        <f>IF($B1325="","",INDEX(Dossiers!$E$4:$E$63,25))</f>
        <v/>
      </c>
      <c r="B1325">
        <f>IF(INDEX(Suivi!$B:$B,1350)="","",INDEX(Suivi!$B:$B,1350))</f>
        <v/>
      </c>
      <c r="C1325">
        <f>IF($B1325="","",IF(INDEX(Suivi!$D:$D,1350)="",INDEX(Suivi!$C:$C,1350),INDEX(Suivi!$D:$D,1350)))</f>
        <v/>
      </c>
      <c r="D1325" s="29">
        <f>IF($B1325="","",INDEX(Suivi!$E:$E,1350))</f>
        <v/>
      </c>
      <c r="E1325" s="29">
        <f>IF($B1325="","",INDEX(Suivi!$F:$F,1350))</f>
        <v/>
      </c>
      <c r="F1325">
        <f>IF($B1325="","",INDEX(Suivi!$G:$G,1350))</f>
        <v/>
      </c>
      <c r="H1325">
        <f>IF(OR($B1325="",NOT(ISNUMBER($D1325))),"",IF($E1325&lt;$D$2,"Passé",IF($D1325&gt;$F$2,"À venir","Dans la période")))</f>
        <v/>
      </c>
      <c r="I1325">
        <f>IF(OR($B1325="",NOT(ISNUMBER($D1325))),"",IF(AND($E1325&lt;$D$2,$G1325&lt;&gt;"X",$F1325&lt;&gt;"Réalisé",$F1325&lt;&gt;"Clôturé"),"RETARD",""))</f>
        <v/>
      </c>
      <c r="J1325" s="29">
        <f>IF($B1325="","",IF(INDEX(Dossiers!$F$4:$F$63,25)="","",INDEX(Dossiers!$F$4:$F$63,25)))</f>
        <v/>
      </c>
      <c r="K1325" s="29">
        <f>IF($B1325="","",IF(INDEX(Dossiers!$G$4:$G$63,25)="","",INDEX(Dossiers!$G$4:$G$63,25)))</f>
        <v/>
      </c>
    </row>
    <row r="1326">
      <c r="A1326">
        <f>IF($B1326="","",INDEX(Dossiers!$E$4:$E$63,25))</f>
        <v/>
      </c>
      <c r="B1326">
        <f>IF(INDEX(Suivi!$B:$B,1351)="","",INDEX(Suivi!$B:$B,1351))</f>
        <v/>
      </c>
      <c r="C1326">
        <f>IF($B1326="","",IF(INDEX(Suivi!$D:$D,1351)="",INDEX(Suivi!$C:$C,1351),INDEX(Suivi!$D:$D,1351)))</f>
        <v/>
      </c>
      <c r="D1326" s="29">
        <f>IF($B1326="","",INDEX(Suivi!$E:$E,1351))</f>
        <v/>
      </c>
      <c r="E1326" s="29">
        <f>IF($B1326="","",INDEX(Suivi!$F:$F,1351))</f>
        <v/>
      </c>
      <c r="F1326">
        <f>IF($B1326="","",INDEX(Suivi!$G:$G,1351))</f>
        <v/>
      </c>
      <c r="H1326">
        <f>IF(OR($B1326="",NOT(ISNUMBER($D1326))),"",IF($E1326&lt;$D$2,"Passé",IF($D1326&gt;$F$2,"À venir","Dans la période")))</f>
        <v/>
      </c>
      <c r="I1326">
        <f>IF(OR($B1326="",NOT(ISNUMBER($D1326))),"",IF(AND($E1326&lt;$D$2,$G1326&lt;&gt;"X",$F1326&lt;&gt;"Réalisé",$F1326&lt;&gt;"Clôturé"),"RETARD",""))</f>
        <v/>
      </c>
      <c r="J1326" s="29">
        <f>IF($B1326="","",IF(INDEX(Dossiers!$F$4:$F$63,25)="","",INDEX(Dossiers!$F$4:$F$63,25)))</f>
        <v/>
      </c>
      <c r="K1326" s="29">
        <f>IF($B1326="","",IF(INDEX(Dossiers!$G$4:$G$63,25)="","",INDEX(Dossiers!$G$4:$G$63,25)))</f>
        <v/>
      </c>
    </row>
    <row r="1327">
      <c r="A1327">
        <f>IF($B1327="","",INDEX(Dossiers!$E$4:$E$63,25))</f>
        <v/>
      </c>
      <c r="B1327">
        <f>IF(INDEX(Suivi!$B:$B,1352)="","",INDEX(Suivi!$B:$B,1352))</f>
        <v/>
      </c>
      <c r="C1327">
        <f>IF($B1327="","",IF(INDEX(Suivi!$D:$D,1352)="",INDEX(Suivi!$C:$C,1352),INDEX(Suivi!$D:$D,1352)))</f>
        <v/>
      </c>
      <c r="D1327" s="29">
        <f>IF($B1327="","",INDEX(Suivi!$E:$E,1352))</f>
        <v/>
      </c>
      <c r="E1327" s="29">
        <f>IF($B1327="","",INDEX(Suivi!$F:$F,1352))</f>
        <v/>
      </c>
      <c r="F1327">
        <f>IF($B1327="","",INDEX(Suivi!$G:$G,1352))</f>
        <v/>
      </c>
      <c r="H1327">
        <f>IF(OR($B1327="",NOT(ISNUMBER($D1327))),"",IF($E1327&lt;$D$2,"Passé",IF($D1327&gt;$F$2,"À venir","Dans la période")))</f>
        <v/>
      </c>
      <c r="I1327">
        <f>IF(OR($B1327="",NOT(ISNUMBER($D1327))),"",IF(AND($E1327&lt;$D$2,$G1327&lt;&gt;"X",$F1327&lt;&gt;"Réalisé",$F1327&lt;&gt;"Clôturé"),"RETARD",""))</f>
        <v/>
      </c>
      <c r="J1327" s="29">
        <f>IF($B1327="","",IF(INDEX(Dossiers!$F$4:$F$63,25)="","",INDEX(Dossiers!$F$4:$F$63,25)))</f>
        <v/>
      </c>
      <c r="K1327" s="29">
        <f>IF($B1327="","",IF(INDEX(Dossiers!$G$4:$G$63,25)="","",INDEX(Dossiers!$G$4:$G$63,25)))</f>
        <v/>
      </c>
    </row>
    <row r="1328">
      <c r="A1328">
        <f>IF($B1328="","",INDEX(Dossiers!$E$4:$E$63,25))</f>
        <v/>
      </c>
      <c r="B1328">
        <f>IF(INDEX(Suivi!$B:$B,1353)="","",INDEX(Suivi!$B:$B,1353))</f>
        <v/>
      </c>
      <c r="C1328">
        <f>IF($B1328="","",IF(INDEX(Suivi!$D:$D,1353)="",INDEX(Suivi!$C:$C,1353),INDEX(Suivi!$D:$D,1353)))</f>
        <v/>
      </c>
      <c r="D1328" s="29">
        <f>IF($B1328="","",INDEX(Suivi!$E:$E,1353))</f>
        <v/>
      </c>
      <c r="E1328" s="29">
        <f>IF($B1328="","",INDEX(Suivi!$F:$F,1353))</f>
        <v/>
      </c>
      <c r="F1328">
        <f>IF($B1328="","",INDEX(Suivi!$G:$G,1353))</f>
        <v/>
      </c>
      <c r="H1328">
        <f>IF(OR($B1328="",NOT(ISNUMBER($D1328))),"",IF($E1328&lt;$D$2,"Passé",IF($D1328&gt;$F$2,"À venir","Dans la période")))</f>
        <v/>
      </c>
      <c r="I1328">
        <f>IF(OR($B1328="",NOT(ISNUMBER($D1328))),"",IF(AND($E1328&lt;$D$2,$G1328&lt;&gt;"X",$F1328&lt;&gt;"Réalisé",$F1328&lt;&gt;"Clôturé"),"RETARD",""))</f>
        <v/>
      </c>
      <c r="J1328" s="29">
        <f>IF($B1328="","",IF(INDEX(Dossiers!$F$4:$F$63,25)="","",INDEX(Dossiers!$F$4:$F$63,25)))</f>
        <v/>
      </c>
      <c r="K1328" s="29">
        <f>IF($B1328="","",IF(INDEX(Dossiers!$G$4:$G$63,25)="","",INDEX(Dossiers!$G$4:$G$63,25)))</f>
        <v/>
      </c>
    </row>
    <row r="1329">
      <c r="A1329">
        <f>IF($B1329="","",INDEX(Dossiers!$E$4:$E$63,26))</f>
        <v/>
      </c>
      <c r="B1329">
        <f>IF(INDEX(Suivi!$B:$B,1355)="","",INDEX(Suivi!$B:$B,1355))</f>
        <v/>
      </c>
      <c r="C1329">
        <f>IF($B1329="","",IF(INDEX(Suivi!$D:$D,1355)="",INDEX(Suivi!$C:$C,1355),INDEX(Suivi!$D:$D,1355)))</f>
        <v/>
      </c>
      <c r="D1329" s="29">
        <f>IF($B1329="","",INDEX(Suivi!$E:$E,1355))</f>
        <v/>
      </c>
      <c r="E1329" s="29">
        <f>IF($B1329="","",INDEX(Suivi!$F:$F,1355))</f>
        <v/>
      </c>
      <c r="F1329">
        <f>IF($B1329="","",INDEX(Suivi!$G:$G,1355))</f>
        <v/>
      </c>
      <c r="H1329">
        <f>IF(OR($B1329="",NOT(ISNUMBER($D1329))),"",IF($E1329&lt;$D$2,"Passé",IF($D1329&gt;$F$2,"À venir","Dans la période")))</f>
        <v/>
      </c>
      <c r="I1329">
        <f>IF(OR($B1329="",NOT(ISNUMBER($D1329))),"",IF(AND($E1329&lt;$D$2,$G1329&lt;&gt;"X",$F1329&lt;&gt;"Réalisé",$F1329&lt;&gt;"Clôturé"),"RETARD",""))</f>
        <v/>
      </c>
      <c r="J1329" s="29">
        <f>IF($B1329="","",IF(INDEX(Dossiers!$F$4:$F$63,26)="","",INDEX(Dossiers!$F$4:$F$63,26)))</f>
        <v/>
      </c>
      <c r="K1329" s="29">
        <f>IF($B1329="","",IF(INDEX(Dossiers!$G$4:$G$63,26)="","",INDEX(Dossiers!$G$4:$G$63,26)))</f>
        <v/>
      </c>
    </row>
    <row r="1330">
      <c r="A1330">
        <f>IF($B1330="","",INDEX(Dossiers!$E$4:$E$63,26))</f>
        <v/>
      </c>
      <c r="B1330">
        <f>IF(INDEX(Suivi!$B:$B,1356)="","",INDEX(Suivi!$B:$B,1356))</f>
        <v/>
      </c>
      <c r="C1330">
        <f>IF($B1330="","",IF(INDEX(Suivi!$D:$D,1356)="",INDEX(Suivi!$C:$C,1356),INDEX(Suivi!$D:$D,1356)))</f>
        <v/>
      </c>
      <c r="D1330" s="29">
        <f>IF($B1330="","",INDEX(Suivi!$E:$E,1356))</f>
        <v/>
      </c>
      <c r="E1330" s="29">
        <f>IF($B1330="","",INDEX(Suivi!$F:$F,1356))</f>
        <v/>
      </c>
      <c r="F1330">
        <f>IF($B1330="","",INDEX(Suivi!$G:$G,1356))</f>
        <v/>
      </c>
      <c r="H1330">
        <f>IF(OR($B1330="",NOT(ISNUMBER($D1330))),"",IF($E1330&lt;$D$2,"Passé",IF($D1330&gt;$F$2,"À venir","Dans la période")))</f>
        <v/>
      </c>
      <c r="I1330">
        <f>IF(OR($B1330="",NOT(ISNUMBER($D1330))),"",IF(AND($E1330&lt;$D$2,$G1330&lt;&gt;"X",$F1330&lt;&gt;"Réalisé",$F1330&lt;&gt;"Clôturé"),"RETARD",""))</f>
        <v/>
      </c>
      <c r="J1330" s="29">
        <f>IF($B1330="","",IF(INDEX(Dossiers!$F$4:$F$63,26)="","",INDEX(Dossiers!$F$4:$F$63,26)))</f>
        <v/>
      </c>
      <c r="K1330" s="29">
        <f>IF($B1330="","",IF(INDEX(Dossiers!$G$4:$G$63,26)="","",INDEX(Dossiers!$G$4:$G$63,26)))</f>
        <v/>
      </c>
    </row>
    <row r="1331">
      <c r="A1331">
        <f>IF($B1331="","",INDEX(Dossiers!$E$4:$E$63,26))</f>
        <v/>
      </c>
      <c r="B1331">
        <f>IF(INDEX(Suivi!$B:$B,1357)="","",INDEX(Suivi!$B:$B,1357))</f>
        <v/>
      </c>
      <c r="C1331">
        <f>IF($B1331="","",IF(INDEX(Suivi!$D:$D,1357)="",INDEX(Suivi!$C:$C,1357),INDEX(Suivi!$D:$D,1357)))</f>
        <v/>
      </c>
      <c r="D1331" s="29">
        <f>IF($B1331="","",INDEX(Suivi!$E:$E,1357))</f>
        <v/>
      </c>
      <c r="E1331" s="29">
        <f>IF($B1331="","",INDEX(Suivi!$F:$F,1357))</f>
        <v/>
      </c>
      <c r="F1331">
        <f>IF($B1331="","",INDEX(Suivi!$G:$G,1357))</f>
        <v/>
      </c>
      <c r="H1331">
        <f>IF(OR($B1331="",NOT(ISNUMBER($D1331))),"",IF($E1331&lt;$D$2,"Passé",IF($D1331&gt;$F$2,"À venir","Dans la période")))</f>
        <v/>
      </c>
      <c r="I1331">
        <f>IF(OR($B1331="",NOT(ISNUMBER($D1331))),"",IF(AND($E1331&lt;$D$2,$G1331&lt;&gt;"X",$F1331&lt;&gt;"Réalisé",$F1331&lt;&gt;"Clôturé"),"RETARD",""))</f>
        <v/>
      </c>
      <c r="J1331" s="29">
        <f>IF($B1331="","",IF(INDEX(Dossiers!$F$4:$F$63,26)="","",INDEX(Dossiers!$F$4:$F$63,26)))</f>
        <v/>
      </c>
      <c r="K1331" s="29">
        <f>IF($B1331="","",IF(INDEX(Dossiers!$G$4:$G$63,26)="","",INDEX(Dossiers!$G$4:$G$63,26)))</f>
        <v/>
      </c>
    </row>
    <row r="1332">
      <c r="A1332">
        <f>IF($B1332="","",INDEX(Dossiers!$E$4:$E$63,26))</f>
        <v/>
      </c>
      <c r="B1332">
        <f>IF(INDEX(Suivi!$B:$B,1358)="","",INDEX(Suivi!$B:$B,1358))</f>
        <v/>
      </c>
      <c r="C1332">
        <f>IF($B1332="","",IF(INDEX(Suivi!$D:$D,1358)="",INDEX(Suivi!$C:$C,1358),INDEX(Suivi!$D:$D,1358)))</f>
        <v/>
      </c>
      <c r="D1332" s="29">
        <f>IF($B1332="","",INDEX(Suivi!$E:$E,1358))</f>
        <v/>
      </c>
      <c r="E1332" s="29">
        <f>IF($B1332="","",INDEX(Suivi!$F:$F,1358))</f>
        <v/>
      </c>
      <c r="F1332">
        <f>IF($B1332="","",INDEX(Suivi!$G:$G,1358))</f>
        <v/>
      </c>
      <c r="H1332">
        <f>IF(OR($B1332="",NOT(ISNUMBER($D1332))),"",IF($E1332&lt;$D$2,"Passé",IF($D1332&gt;$F$2,"À venir","Dans la période")))</f>
        <v/>
      </c>
      <c r="I1332">
        <f>IF(OR($B1332="",NOT(ISNUMBER($D1332))),"",IF(AND($E1332&lt;$D$2,$G1332&lt;&gt;"X",$F1332&lt;&gt;"Réalisé",$F1332&lt;&gt;"Clôturé"),"RETARD",""))</f>
        <v/>
      </c>
      <c r="J1332" s="29">
        <f>IF($B1332="","",IF(INDEX(Dossiers!$F$4:$F$63,26)="","",INDEX(Dossiers!$F$4:$F$63,26)))</f>
        <v/>
      </c>
      <c r="K1332" s="29">
        <f>IF($B1332="","",IF(INDEX(Dossiers!$G$4:$G$63,26)="","",INDEX(Dossiers!$G$4:$G$63,26)))</f>
        <v/>
      </c>
    </row>
    <row r="1333">
      <c r="A1333">
        <f>IF($B1333="","",INDEX(Dossiers!$E$4:$E$63,26))</f>
        <v/>
      </c>
      <c r="B1333">
        <f>IF(INDEX(Suivi!$B:$B,1359)="","",INDEX(Suivi!$B:$B,1359))</f>
        <v/>
      </c>
      <c r="C1333">
        <f>IF($B1333="","",IF(INDEX(Suivi!$D:$D,1359)="",INDEX(Suivi!$C:$C,1359),INDEX(Suivi!$D:$D,1359)))</f>
        <v/>
      </c>
      <c r="D1333" s="29">
        <f>IF($B1333="","",INDEX(Suivi!$E:$E,1359))</f>
        <v/>
      </c>
      <c r="E1333" s="29">
        <f>IF($B1333="","",INDEX(Suivi!$F:$F,1359))</f>
        <v/>
      </c>
      <c r="F1333">
        <f>IF($B1333="","",INDEX(Suivi!$G:$G,1359))</f>
        <v/>
      </c>
      <c r="H1333">
        <f>IF(OR($B1333="",NOT(ISNUMBER($D1333))),"",IF($E1333&lt;$D$2,"Passé",IF($D1333&gt;$F$2,"À venir","Dans la période")))</f>
        <v/>
      </c>
      <c r="I1333">
        <f>IF(OR($B1333="",NOT(ISNUMBER($D1333))),"",IF(AND($E1333&lt;$D$2,$G1333&lt;&gt;"X",$F1333&lt;&gt;"Réalisé",$F1333&lt;&gt;"Clôturé"),"RETARD",""))</f>
        <v/>
      </c>
      <c r="J1333" s="29">
        <f>IF($B1333="","",IF(INDEX(Dossiers!$F$4:$F$63,26)="","",INDEX(Dossiers!$F$4:$F$63,26)))</f>
        <v/>
      </c>
      <c r="K1333" s="29">
        <f>IF($B1333="","",IF(INDEX(Dossiers!$G$4:$G$63,26)="","",INDEX(Dossiers!$G$4:$G$63,26)))</f>
        <v/>
      </c>
    </row>
    <row r="1334">
      <c r="A1334">
        <f>IF($B1334="","",INDEX(Dossiers!$E$4:$E$63,26))</f>
        <v/>
      </c>
      <c r="B1334">
        <f>IF(INDEX(Suivi!$B:$B,1360)="","",INDEX(Suivi!$B:$B,1360))</f>
        <v/>
      </c>
      <c r="C1334">
        <f>IF($B1334="","",IF(INDEX(Suivi!$D:$D,1360)="",INDEX(Suivi!$C:$C,1360),INDEX(Suivi!$D:$D,1360)))</f>
        <v/>
      </c>
      <c r="D1334" s="29">
        <f>IF($B1334="","",INDEX(Suivi!$E:$E,1360))</f>
        <v/>
      </c>
      <c r="E1334" s="29">
        <f>IF($B1334="","",INDEX(Suivi!$F:$F,1360))</f>
        <v/>
      </c>
      <c r="F1334">
        <f>IF($B1334="","",INDEX(Suivi!$G:$G,1360))</f>
        <v/>
      </c>
      <c r="H1334">
        <f>IF(OR($B1334="",NOT(ISNUMBER($D1334))),"",IF($E1334&lt;$D$2,"Passé",IF($D1334&gt;$F$2,"À venir","Dans la période")))</f>
        <v/>
      </c>
      <c r="I1334">
        <f>IF(OR($B1334="",NOT(ISNUMBER($D1334))),"",IF(AND($E1334&lt;$D$2,$G1334&lt;&gt;"X",$F1334&lt;&gt;"Réalisé",$F1334&lt;&gt;"Clôturé"),"RETARD",""))</f>
        <v/>
      </c>
      <c r="J1334" s="29">
        <f>IF($B1334="","",IF(INDEX(Dossiers!$F$4:$F$63,26)="","",INDEX(Dossiers!$F$4:$F$63,26)))</f>
        <v/>
      </c>
      <c r="K1334" s="29">
        <f>IF($B1334="","",IF(INDEX(Dossiers!$G$4:$G$63,26)="","",INDEX(Dossiers!$G$4:$G$63,26)))</f>
        <v/>
      </c>
    </row>
    <row r="1335">
      <c r="A1335">
        <f>IF($B1335="","",INDEX(Dossiers!$E$4:$E$63,26))</f>
        <v/>
      </c>
      <c r="B1335">
        <f>IF(INDEX(Suivi!$B:$B,1361)="","",INDEX(Suivi!$B:$B,1361))</f>
        <v/>
      </c>
      <c r="C1335">
        <f>IF($B1335="","",IF(INDEX(Suivi!$D:$D,1361)="",INDEX(Suivi!$C:$C,1361),INDEX(Suivi!$D:$D,1361)))</f>
        <v/>
      </c>
      <c r="D1335" s="29">
        <f>IF($B1335="","",INDEX(Suivi!$E:$E,1361))</f>
        <v/>
      </c>
      <c r="E1335" s="29">
        <f>IF($B1335="","",INDEX(Suivi!$F:$F,1361))</f>
        <v/>
      </c>
      <c r="F1335">
        <f>IF($B1335="","",INDEX(Suivi!$G:$G,1361))</f>
        <v/>
      </c>
      <c r="H1335">
        <f>IF(OR($B1335="",NOT(ISNUMBER($D1335))),"",IF($E1335&lt;$D$2,"Passé",IF($D1335&gt;$F$2,"À venir","Dans la période")))</f>
        <v/>
      </c>
      <c r="I1335">
        <f>IF(OR($B1335="",NOT(ISNUMBER($D1335))),"",IF(AND($E1335&lt;$D$2,$G1335&lt;&gt;"X",$F1335&lt;&gt;"Réalisé",$F1335&lt;&gt;"Clôturé"),"RETARD",""))</f>
        <v/>
      </c>
      <c r="J1335" s="29">
        <f>IF($B1335="","",IF(INDEX(Dossiers!$F$4:$F$63,26)="","",INDEX(Dossiers!$F$4:$F$63,26)))</f>
        <v/>
      </c>
      <c r="K1335" s="29">
        <f>IF($B1335="","",IF(INDEX(Dossiers!$G$4:$G$63,26)="","",INDEX(Dossiers!$G$4:$G$63,26)))</f>
        <v/>
      </c>
    </row>
    <row r="1336">
      <c r="A1336">
        <f>IF($B1336="","",INDEX(Dossiers!$E$4:$E$63,26))</f>
        <v/>
      </c>
      <c r="B1336">
        <f>IF(INDEX(Suivi!$B:$B,1362)="","",INDEX(Suivi!$B:$B,1362))</f>
        <v/>
      </c>
      <c r="C1336">
        <f>IF($B1336="","",IF(INDEX(Suivi!$D:$D,1362)="",INDEX(Suivi!$C:$C,1362),INDEX(Suivi!$D:$D,1362)))</f>
        <v/>
      </c>
      <c r="D1336" s="29">
        <f>IF($B1336="","",INDEX(Suivi!$E:$E,1362))</f>
        <v/>
      </c>
      <c r="E1336" s="29">
        <f>IF($B1336="","",INDEX(Suivi!$F:$F,1362))</f>
        <v/>
      </c>
      <c r="F1336">
        <f>IF($B1336="","",INDEX(Suivi!$G:$G,1362))</f>
        <v/>
      </c>
      <c r="H1336">
        <f>IF(OR($B1336="",NOT(ISNUMBER($D1336))),"",IF($E1336&lt;$D$2,"Passé",IF($D1336&gt;$F$2,"À venir","Dans la période")))</f>
        <v/>
      </c>
      <c r="I1336">
        <f>IF(OR($B1336="",NOT(ISNUMBER($D1336))),"",IF(AND($E1336&lt;$D$2,$G1336&lt;&gt;"X",$F1336&lt;&gt;"Réalisé",$F1336&lt;&gt;"Clôturé"),"RETARD",""))</f>
        <v/>
      </c>
      <c r="J1336" s="29">
        <f>IF($B1336="","",IF(INDEX(Dossiers!$F$4:$F$63,26)="","",INDEX(Dossiers!$F$4:$F$63,26)))</f>
        <v/>
      </c>
      <c r="K1336" s="29">
        <f>IF($B1336="","",IF(INDEX(Dossiers!$G$4:$G$63,26)="","",INDEX(Dossiers!$G$4:$G$63,26)))</f>
        <v/>
      </c>
    </row>
    <row r="1337">
      <c r="A1337">
        <f>IF($B1337="","",INDEX(Dossiers!$E$4:$E$63,26))</f>
        <v/>
      </c>
      <c r="B1337">
        <f>IF(INDEX(Suivi!$B:$B,1363)="","",INDEX(Suivi!$B:$B,1363))</f>
        <v/>
      </c>
      <c r="C1337">
        <f>IF($B1337="","",IF(INDEX(Suivi!$D:$D,1363)="",INDEX(Suivi!$C:$C,1363),INDEX(Suivi!$D:$D,1363)))</f>
        <v/>
      </c>
      <c r="D1337" s="29">
        <f>IF($B1337="","",INDEX(Suivi!$E:$E,1363))</f>
        <v/>
      </c>
      <c r="E1337" s="29">
        <f>IF($B1337="","",INDEX(Suivi!$F:$F,1363))</f>
        <v/>
      </c>
      <c r="F1337">
        <f>IF($B1337="","",INDEX(Suivi!$G:$G,1363))</f>
        <v/>
      </c>
      <c r="H1337">
        <f>IF(OR($B1337="",NOT(ISNUMBER($D1337))),"",IF($E1337&lt;$D$2,"Passé",IF($D1337&gt;$F$2,"À venir","Dans la période")))</f>
        <v/>
      </c>
      <c r="I1337">
        <f>IF(OR($B1337="",NOT(ISNUMBER($D1337))),"",IF(AND($E1337&lt;$D$2,$G1337&lt;&gt;"X",$F1337&lt;&gt;"Réalisé",$F1337&lt;&gt;"Clôturé"),"RETARD",""))</f>
        <v/>
      </c>
      <c r="J1337" s="29">
        <f>IF($B1337="","",IF(INDEX(Dossiers!$F$4:$F$63,26)="","",INDEX(Dossiers!$F$4:$F$63,26)))</f>
        <v/>
      </c>
      <c r="K1337" s="29">
        <f>IF($B1337="","",IF(INDEX(Dossiers!$G$4:$G$63,26)="","",INDEX(Dossiers!$G$4:$G$63,26)))</f>
        <v/>
      </c>
    </row>
    <row r="1338">
      <c r="A1338">
        <f>IF($B1338="","",INDEX(Dossiers!$E$4:$E$63,26))</f>
        <v/>
      </c>
      <c r="B1338">
        <f>IF(INDEX(Suivi!$B:$B,1364)="","",INDEX(Suivi!$B:$B,1364))</f>
        <v/>
      </c>
      <c r="C1338">
        <f>IF($B1338="","",IF(INDEX(Suivi!$D:$D,1364)="",INDEX(Suivi!$C:$C,1364),INDEX(Suivi!$D:$D,1364)))</f>
        <v/>
      </c>
      <c r="D1338" s="29">
        <f>IF($B1338="","",INDEX(Suivi!$E:$E,1364))</f>
        <v/>
      </c>
      <c r="E1338" s="29">
        <f>IF($B1338="","",INDEX(Suivi!$F:$F,1364))</f>
        <v/>
      </c>
      <c r="F1338">
        <f>IF($B1338="","",INDEX(Suivi!$G:$G,1364))</f>
        <v/>
      </c>
      <c r="H1338">
        <f>IF(OR($B1338="",NOT(ISNUMBER($D1338))),"",IF($E1338&lt;$D$2,"Passé",IF($D1338&gt;$F$2,"À venir","Dans la période")))</f>
        <v/>
      </c>
      <c r="I1338">
        <f>IF(OR($B1338="",NOT(ISNUMBER($D1338))),"",IF(AND($E1338&lt;$D$2,$G1338&lt;&gt;"X",$F1338&lt;&gt;"Réalisé",$F1338&lt;&gt;"Clôturé"),"RETARD",""))</f>
        <v/>
      </c>
      <c r="J1338" s="29">
        <f>IF($B1338="","",IF(INDEX(Dossiers!$F$4:$F$63,26)="","",INDEX(Dossiers!$F$4:$F$63,26)))</f>
        <v/>
      </c>
      <c r="K1338" s="29">
        <f>IF($B1338="","",IF(INDEX(Dossiers!$G$4:$G$63,26)="","",INDEX(Dossiers!$G$4:$G$63,26)))</f>
        <v/>
      </c>
    </row>
    <row r="1339">
      <c r="A1339">
        <f>IF($B1339="","",INDEX(Dossiers!$E$4:$E$63,26))</f>
        <v/>
      </c>
      <c r="B1339">
        <f>IF(INDEX(Suivi!$B:$B,1365)="","",INDEX(Suivi!$B:$B,1365))</f>
        <v/>
      </c>
      <c r="C1339">
        <f>IF($B1339="","",IF(INDEX(Suivi!$D:$D,1365)="",INDEX(Suivi!$C:$C,1365),INDEX(Suivi!$D:$D,1365)))</f>
        <v/>
      </c>
      <c r="D1339" s="29">
        <f>IF($B1339="","",INDEX(Suivi!$E:$E,1365))</f>
        <v/>
      </c>
      <c r="E1339" s="29">
        <f>IF($B1339="","",INDEX(Suivi!$F:$F,1365))</f>
        <v/>
      </c>
      <c r="F1339">
        <f>IF($B1339="","",INDEX(Suivi!$G:$G,1365))</f>
        <v/>
      </c>
      <c r="H1339">
        <f>IF(OR($B1339="",NOT(ISNUMBER($D1339))),"",IF($E1339&lt;$D$2,"Passé",IF($D1339&gt;$F$2,"À venir","Dans la période")))</f>
        <v/>
      </c>
      <c r="I1339">
        <f>IF(OR($B1339="",NOT(ISNUMBER($D1339))),"",IF(AND($E1339&lt;$D$2,$G1339&lt;&gt;"X",$F1339&lt;&gt;"Réalisé",$F1339&lt;&gt;"Clôturé"),"RETARD",""))</f>
        <v/>
      </c>
      <c r="J1339" s="29">
        <f>IF($B1339="","",IF(INDEX(Dossiers!$F$4:$F$63,26)="","",INDEX(Dossiers!$F$4:$F$63,26)))</f>
        <v/>
      </c>
      <c r="K1339" s="29">
        <f>IF($B1339="","",IF(INDEX(Dossiers!$G$4:$G$63,26)="","",INDEX(Dossiers!$G$4:$G$63,26)))</f>
        <v/>
      </c>
    </row>
    <row r="1340">
      <c r="A1340">
        <f>IF($B1340="","",INDEX(Dossiers!$E$4:$E$63,26))</f>
        <v/>
      </c>
      <c r="B1340">
        <f>IF(INDEX(Suivi!$B:$B,1366)="","",INDEX(Suivi!$B:$B,1366))</f>
        <v/>
      </c>
      <c r="C1340">
        <f>IF($B1340="","",IF(INDEX(Suivi!$D:$D,1366)="",INDEX(Suivi!$C:$C,1366),INDEX(Suivi!$D:$D,1366)))</f>
        <v/>
      </c>
      <c r="D1340" s="29">
        <f>IF($B1340="","",INDEX(Suivi!$E:$E,1366))</f>
        <v/>
      </c>
      <c r="E1340" s="29">
        <f>IF($B1340="","",INDEX(Suivi!$F:$F,1366))</f>
        <v/>
      </c>
      <c r="F1340">
        <f>IF($B1340="","",INDEX(Suivi!$G:$G,1366))</f>
        <v/>
      </c>
      <c r="H1340">
        <f>IF(OR($B1340="",NOT(ISNUMBER($D1340))),"",IF($E1340&lt;$D$2,"Passé",IF($D1340&gt;$F$2,"À venir","Dans la période")))</f>
        <v/>
      </c>
      <c r="I1340">
        <f>IF(OR($B1340="",NOT(ISNUMBER($D1340))),"",IF(AND($E1340&lt;$D$2,$G1340&lt;&gt;"X",$F1340&lt;&gt;"Réalisé",$F1340&lt;&gt;"Clôturé"),"RETARD",""))</f>
        <v/>
      </c>
      <c r="J1340" s="29">
        <f>IF($B1340="","",IF(INDEX(Dossiers!$F$4:$F$63,26)="","",INDEX(Dossiers!$F$4:$F$63,26)))</f>
        <v/>
      </c>
      <c r="K1340" s="29">
        <f>IF($B1340="","",IF(INDEX(Dossiers!$G$4:$G$63,26)="","",INDEX(Dossiers!$G$4:$G$63,26)))</f>
        <v/>
      </c>
    </row>
    <row r="1341">
      <c r="A1341">
        <f>IF($B1341="","",INDEX(Dossiers!$E$4:$E$63,26))</f>
        <v/>
      </c>
      <c r="B1341">
        <f>IF(INDEX(Suivi!$B:$B,1367)="","",INDEX(Suivi!$B:$B,1367))</f>
        <v/>
      </c>
      <c r="C1341">
        <f>IF($B1341="","",IF(INDEX(Suivi!$D:$D,1367)="",INDEX(Suivi!$C:$C,1367),INDEX(Suivi!$D:$D,1367)))</f>
        <v/>
      </c>
      <c r="D1341" s="29">
        <f>IF($B1341="","",INDEX(Suivi!$E:$E,1367))</f>
        <v/>
      </c>
      <c r="E1341" s="29">
        <f>IF($B1341="","",INDEX(Suivi!$F:$F,1367))</f>
        <v/>
      </c>
      <c r="F1341">
        <f>IF($B1341="","",INDEX(Suivi!$G:$G,1367))</f>
        <v/>
      </c>
      <c r="H1341">
        <f>IF(OR($B1341="",NOT(ISNUMBER($D1341))),"",IF($E1341&lt;$D$2,"Passé",IF($D1341&gt;$F$2,"À venir","Dans la période")))</f>
        <v/>
      </c>
      <c r="I1341">
        <f>IF(OR($B1341="",NOT(ISNUMBER($D1341))),"",IF(AND($E1341&lt;$D$2,$G1341&lt;&gt;"X",$F1341&lt;&gt;"Réalisé",$F1341&lt;&gt;"Clôturé"),"RETARD",""))</f>
        <v/>
      </c>
      <c r="J1341" s="29">
        <f>IF($B1341="","",IF(INDEX(Dossiers!$F$4:$F$63,26)="","",INDEX(Dossiers!$F$4:$F$63,26)))</f>
        <v/>
      </c>
      <c r="K1341" s="29">
        <f>IF($B1341="","",IF(INDEX(Dossiers!$G$4:$G$63,26)="","",INDEX(Dossiers!$G$4:$G$63,26)))</f>
        <v/>
      </c>
    </row>
    <row r="1342">
      <c r="A1342">
        <f>IF($B1342="","",INDEX(Dossiers!$E$4:$E$63,26))</f>
        <v/>
      </c>
      <c r="B1342">
        <f>IF(INDEX(Suivi!$B:$B,1368)="","",INDEX(Suivi!$B:$B,1368))</f>
        <v/>
      </c>
      <c r="C1342">
        <f>IF($B1342="","",IF(INDEX(Suivi!$D:$D,1368)="",INDEX(Suivi!$C:$C,1368),INDEX(Suivi!$D:$D,1368)))</f>
        <v/>
      </c>
      <c r="D1342" s="29">
        <f>IF($B1342="","",INDEX(Suivi!$E:$E,1368))</f>
        <v/>
      </c>
      <c r="E1342" s="29">
        <f>IF($B1342="","",INDEX(Suivi!$F:$F,1368))</f>
        <v/>
      </c>
      <c r="F1342">
        <f>IF($B1342="","",INDEX(Suivi!$G:$G,1368))</f>
        <v/>
      </c>
      <c r="H1342">
        <f>IF(OR($B1342="",NOT(ISNUMBER($D1342))),"",IF($E1342&lt;$D$2,"Passé",IF($D1342&gt;$F$2,"À venir","Dans la période")))</f>
        <v/>
      </c>
      <c r="I1342">
        <f>IF(OR($B1342="",NOT(ISNUMBER($D1342))),"",IF(AND($E1342&lt;$D$2,$G1342&lt;&gt;"X",$F1342&lt;&gt;"Réalisé",$F1342&lt;&gt;"Clôturé"),"RETARD",""))</f>
        <v/>
      </c>
      <c r="J1342" s="29">
        <f>IF($B1342="","",IF(INDEX(Dossiers!$F$4:$F$63,26)="","",INDEX(Dossiers!$F$4:$F$63,26)))</f>
        <v/>
      </c>
      <c r="K1342" s="29">
        <f>IF($B1342="","",IF(INDEX(Dossiers!$G$4:$G$63,26)="","",INDEX(Dossiers!$G$4:$G$63,26)))</f>
        <v/>
      </c>
    </row>
    <row r="1343">
      <c r="A1343">
        <f>IF($B1343="","",INDEX(Dossiers!$E$4:$E$63,26))</f>
        <v/>
      </c>
      <c r="B1343">
        <f>IF(INDEX(Suivi!$B:$B,1369)="","",INDEX(Suivi!$B:$B,1369))</f>
        <v/>
      </c>
      <c r="C1343">
        <f>IF($B1343="","",IF(INDEX(Suivi!$D:$D,1369)="",INDEX(Suivi!$C:$C,1369),INDEX(Suivi!$D:$D,1369)))</f>
        <v/>
      </c>
      <c r="D1343" s="29">
        <f>IF($B1343="","",INDEX(Suivi!$E:$E,1369))</f>
        <v/>
      </c>
      <c r="E1343" s="29">
        <f>IF($B1343="","",INDEX(Suivi!$F:$F,1369))</f>
        <v/>
      </c>
      <c r="F1343">
        <f>IF($B1343="","",INDEX(Suivi!$G:$G,1369))</f>
        <v/>
      </c>
      <c r="H1343">
        <f>IF(OR($B1343="",NOT(ISNUMBER($D1343))),"",IF($E1343&lt;$D$2,"Passé",IF($D1343&gt;$F$2,"À venir","Dans la période")))</f>
        <v/>
      </c>
      <c r="I1343">
        <f>IF(OR($B1343="",NOT(ISNUMBER($D1343))),"",IF(AND($E1343&lt;$D$2,$G1343&lt;&gt;"X",$F1343&lt;&gt;"Réalisé",$F1343&lt;&gt;"Clôturé"),"RETARD",""))</f>
        <v/>
      </c>
      <c r="J1343" s="29">
        <f>IF($B1343="","",IF(INDEX(Dossiers!$F$4:$F$63,26)="","",INDEX(Dossiers!$F$4:$F$63,26)))</f>
        <v/>
      </c>
      <c r="K1343" s="29">
        <f>IF($B1343="","",IF(INDEX(Dossiers!$G$4:$G$63,26)="","",INDEX(Dossiers!$G$4:$G$63,26)))</f>
        <v/>
      </c>
    </row>
    <row r="1344">
      <c r="A1344">
        <f>IF($B1344="","",INDEX(Dossiers!$E$4:$E$63,26))</f>
        <v/>
      </c>
      <c r="B1344">
        <f>IF(INDEX(Suivi!$B:$B,1370)="","",INDEX(Suivi!$B:$B,1370))</f>
        <v/>
      </c>
      <c r="C1344">
        <f>IF($B1344="","",IF(INDEX(Suivi!$D:$D,1370)="",INDEX(Suivi!$C:$C,1370),INDEX(Suivi!$D:$D,1370)))</f>
        <v/>
      </c>
      <c r="D1344" s="29">
        <f>IF($B1344="","",INDEX(Suivi!$E:$E,1370))</f>
        <v/>
      </c>
      <c r="E1344" s="29">
        <f>IF($B1344="","",INDEX(Suivi!$F:$F,1370))</f>
        <v/>
      </c>
      <c r="F1344">
        <f>IF($B1344="","",INDEX(Suivi!$G:$G,1370))</f>
        <v/>
      </c>
      <c r="H1344">
        <f>IF(OR($B1344="",NOT(ISNUMBER($D1344))),"",IF($E1344&lt;$D$2,"Passé",IF($D1344&gt;$F$2,"À venir","Dans la période")))</f>
        <v/>
      </c>
      <c r="I1344">
        <f>IF(OR($B1344="",NOT(ISNUMBER($D1344))),"",IF(AND($E1344&lt;$D$2,$G1344&lt;&gt;"X",$F1344&lt;&gt;"Réalisé",$F1344&lt;&gt;"Clôturé"),"RETARD",""))</f>
        <v/>
      </c>
      <c r="J1344" s="29">
        <f>IF($B1344="","",IF(INDEX(Dossiers!$F$4:$F$63,26)="","",INDEX(Dossiers!$F$4:$F$63,26)))</f>
        <v/>
      </c>
      <c r="K1344" s="29">
        <f>IF($B1344="","",IF(INDEX(Dossiers!$G$4:$G$63,26)="","",INDEX(Dossiers!$G$4:$G$63,26)))</f>
        <v/>
      </c>
    </row>
    <row r="1345">
      <c r="A1345">
        <f>IF($B1345="","",INDEX(Dossiers!$E$4:$E$63,26))</f>
        <v/>
      </c>
      <c r="B1345">
        <f>IF(INDEX(Suivi!$B:$B,1371)="","",INDEX(Suivi!$B:$B,1371))</f>
        <v/>
      </c>
      <c r="C1345">
        <f>IF($B1345="","",IF(INDEX(Suivi!$D:$D,1371)="",INDEX(Suivi!$C:$C,1371),INDEX(Suivi!$D:$D,1371)))</f>
        <v/>
      </c>
      <c r="D1345" s="29">
        <f>IF($B1345="","",INDEX(Suivi!$E:$E,1371))</f>
        <v/>
      </c>
      <c r="E1345" s="29">
        <f>IF($B1345="","",INDEX(Suivi!$F:$F,1371))</f>
        <v/>
      </c>
      <c r="F1345">
        <f>IF($B1345="","",INDEX(Suivi!$G:$G,1371))</f>
        <v/>
      </c>
      <c r="H1345">
        <f>IF(OR($B1345="",NOT(ISNUMBER($D1345))),"",IF($E1345&lt;$D$2,"Passé",IF($D1345&gt;$F$2,"À venir","Dans la période")))</f>
        <v/>
      </c>
      <c r="I1345">
        <f>IF(OR($B1345="",NOT(ISNUMBER($D1345))),"",IF(AND($E1345&lt;$D$2,$G1345&lt;&gt;"X",$F1345&lt;&gt;"Réalisé",$F1345&lt;&gt;"Clôturé"),"RETARD",""))</f>
        <v/>
      </c>
      <c r="J1345" s="29">
        <f>IF($B1345="","",IF(INDEX(Dossiers!$F$4:$F$63,26)="","",INDEX(Dossiers!$F$4:$F$63,26)))</f>
        <v/>
      </c>
      <c r="K1345" s="29">
        <f>IF($B1345="","",IF(INDEX(Dossiers!$G$4:$G$63,26)="","",INDEX(Dossiers!$G$4:$G$63,26)))</f>
        <v/>
      </c>
    </row>
    <row r="1346">
      <c r="A1346">
        <f>IF($B1346="","",INDEX(Dossiers!$E$4:$E$63,26))</f>
        <v/>
      </c>
      <c r="B1346">
        <f>IF(INDEX(Suivi!$B:$B,1372)="","",INDEX(Suivi!$B:$B,1372))</f>
        <v/>
      </c>
      <c r="C1346">
        <f>IF($B1346="","",IF(INDEX(Suivi!$D:$D,1372)="",INDEX(Suivi!$C:$C,1372),INDEX(Suivi!$D:$D,1372)))</f>
        <v/>
      </c>
      <c r="D1346" s="29">
        <f>IF($B1346="","",INDEX(Suivi!$E:$E,1372))</f>
        <v/>
      </c>
      <c r="E1346" s="29">
        <f>IF($B1346="","",INDEX(Suivi!$F:$F,1372))</f>
        <v/>
      </c>
      <c r="F1346">
        <f>IF($B1346="","",INDEX(Suivi!$G:$G,1372))</f>
        <v/>
      </c>
      <c r="H1346">
        <f>IF(OR($B1346="",NOT(ISNUMBER($D1346))),"",IF($E1346&lt;$D$2,"Passé",IF($D1346&gt;$F$2,"À venir","Dans la période")))</f>
        <v/>
      </c>
      <c r="I1346">
        <f>IF(OR($B1346="",NOT(ISNUMBER($D1346))),"",IF(AND($E1346&lt;$D$2,$G1346&lt;&gt;"X",$F1346&lt;&gt;"Réalisé",$F1346&lt;&gt;"Clôturé"),"RETARD",""))</f>
        <v/>
      </c>
      <c r="J1346" s="29">
        <f>IF($B1346="","",IF(INDEX(Dossiers!$F$4:$F$63,26)="","",INDEX(Dossiers!$F$4:$F$63,26)))</f>
        <v/>
      </c>
      <c r="K1346" s="29">
        <f>IF($B1346="","",IF(INDEX(Dossiers!$G$4:$G$63,26)="","",INDEX(Dossiers!$G$4:$G$63,26)))</f>
        <v/>
      </c>
    </row>
    <row r="1347">
      <c r="A1347">
        <f>IF($B1347="","",INDEX(Dossiers!$E$4:$E$63,26))</f>
        <v/>
      </c>
      <c r="B1347">
        <f>IF(INDEX(Suivi!$B:$B,1373)="","",INDEX(Suivi!$B:$B,1373))</f>
        <v/>
      </c>
      <c r="C1347">
        <f>IF($B1347="","",IF(INDEX(Suivi!$D:$D,1373)="",INDEX(Suivi!$C:$C,1373),INDEX(Suivi!$D:$D,1373)))</f>
        <v/>
      </c>
      <c r="D1347" s="29">
        <f>IF($B1347="","",INDEX(Suivi!$E:$E,1373))</f>
        <v/>
      </c>
      <c r="E1347" s="29">
        <f>IF($B1347="","",INDEX(Suivi!$F:$F,1373))</f>
        <v/>
      </c>
      <c r="F1347">
        <f>IF($B1347="","",INDEX(Suivi!$G:$G,1373))</f>
        <v/>
      </c>
      <c r="H1347">
        <f>IF(OR($B1347="",NOT(ISNUMBER($D1347))),"",IF($E1347&lt;$D$2,"Passé",IF($D1347&gt;$F$2,"À venir","Dans la période")))</f>
        <v/>
      </c>
      <c r="I1347">
        <f>IF(OR($B1347="",NOT(ISNUMBER($D1347))),"",IF(AND($E1347&lt;$D$2,$G1347&lt;&gt;"X",$F1347&lt;&gt;"Réalisé",$F1347&lt;&gt;"Clôturé"),"RETARD",""))</f>
        <v/>
      </c>
      <c r="J1347" s="29">
        <f>IF($B1347="","",IF(INDEX(Dossiers!$F$4:$F$63,26)="","",INDEX(Dossiers!$F$4:$F$63,26)))</f>
        <v/>
      </c>
      <c r="K1347" s="29">
        <f>IF($B1347="","",IF(INDEX(Dossiers!$G$4:$G$63,26)="","",INDEX(Dossiers!$G$4:$G$63,26)))</f>
        <v/>
      </c>
    </row>
    <row r="1348">
      <c r="A1348">
        <f>IF($B1348="","",INDEX(Dossiers!$E$4:$E$63,26))</f>
        <v/>
      </c>
      <c r="B1348">
        <f>IF(INDEX(Suivi!$B:$B,1374)="","",INDEX(Suivi!$B:$B,1374))</f>
        <v/>
      </c>
      <c r="C1348">
        <f>IF($B1348="","",IF(INDEX(Suivi!$D:$D,1374)="",INDEX(Suivi!$C:$C,1374),INDEX(Suivi!$D:$D,1374)))</f>
        <v/>
      </c>
      <c r="D1348" s="29">
        <f>IF($B1348="","",INDEX(Suivi!$E:$E,1374))</f>
        <v/>
      </c>
      <c r="E1348" s="29">
        <f>IF($B1348="","",INDEX(Suivi!$F:$F,1374))</f>
        <v/>
      </c>
      <c r="F1348">
        <f>IF($B1348="","",INDEX(Suivi!$G:$G,1374))</f>
        <v/>
      </c>
      <c r="H1348">
        <f>IF(OR($B1348="",NOT(ISNUMBER($D1348))),"",IF($E1348&lt;$D$2,"Passé",IF($D1348&gt;$F$2,"À venir","Dans la période")))</f>
        <v/>
      </c>
      <c r="I1348">
        <f>IF(OR($B1348="",NOT(ISNUMBER($D1348))),"",IF(AND($E1348&lt;$D$2,$G1348&lt;&gt;"X",$F1348&lt;&gt;"Réalisé",$F1348&lt;&gt;"Clôturé"),"RETARD",""))</f>
        <v/>
      </c>
      <c r="J1348" s="29">
        <f>IF($B1348="","",IF(INDEX(Dossiers!$F$4:$F$63,26)="","",INDEX(Dossiers!$F$4:$F$63,26)))</f>
        <v/>
      </c>
      <c r="K1348" s="29">
        <f>IF($B1348="","",IF(INDEX(Dossiers!$G$4:$G$63,26)="","",INDEX(Dossiers!$G$4:$G$63,26)))</f>
        <v/>
      </c>
    </row>
    <row r="1349">
      <c r="A1349">
        <f>IF($B1349="","",INDEX(Dossiers!$E$4:$E$63,26))</f>
        <v/>
      </c>
      <c r="B1349">
        <f>IF(INDEX(Suivi!$B:$B,1375)="","",INDEX(Suivi!$B:$B,1375))</f>
        <v/>
      </c>
      <c r="C1349">
        <f>IF($B1349="","",IF(INDEX(Suivi!$D:$D,1375)="",INDEX(Suivi!$C:$C,1375),INDEX(Suivi!$D:$D,1375)))</f>
        <v/>
      </c>
      <c r="D1349" s="29">
        <f>IF($B1349="","",INDEX(Suivi!$E:$E,1375))</f>
        <v/>
      </c>
      <c r="E1349" s="29">
        <f>IF($B1349="","",INDEX(Suivi!$F:$F,1375))</f>
        <v/>
      </c>
      <c r="F1349">
        <f>IF($B1349="","",INDEX(Suivi!$G:$G,1375))</f>
        <v/>
      </c>
      <c r="H1349">
        <f>IF(OR($B1349="",NOT(ISNUMBER($D1349))),"",IF($E1349&lt;$D$2,"Passé",IF($D1349&gt;$F$2,"À venir","Dans la période")))</f>
        <v/>
      </c>
      <c r="I1349">
        <f>IF(OR($B1349="",NOT(ISNUMBER($D1349))),"",IF(AND($E1349&lt;$D$2,$G1349&lt;&gt;"X",$F1349&lt;&gt;"Réalisé",$F1349&lt;&gt;"Clôturé"),"RETARD",""))</f>
        <v/>
      </c>
      <c r="J1349" s="29">
        <f>IF($B1349="","",IF(INDEX(Dossiers!$F$4:$F$63,26)="","",INDEX(Dossiers!$F$4:$F$63,26)))</f>
        <v/>
      </c>
      <c r="K1349" s="29">
        <f>IF($B1349="","",IF(INDEX(Dossiers!$G$4:$G$63,26)="","",INDEX(Dossiers!$G$4:$G$63,26)))</f>
        <v/>
      </c>
    </row>
    <row r="1350">
      <c r="A1350">
        <f>IF($B1350="","",INDEX(Dossiers!$E$4:$E$63,26))</f>
        <v/>
      </c>
      <c r="B1350">
        <f>IF(INDEX(Suivi!$B:$B,1376)="","",INDEX(Suivi!$B:$B,1376))</f>
        <v/>
      </c>
      <c r="C1350">
        <f>IF($B1350="","",IF(INDEX(Suivi!$D:$D,1376)="",INDEX(Suivi!$C:$C,1376),INDEX(Suivi!$D:$D,1376)))</f>
        <v/>
      </c>
      <c r="D1350" s="29">
        <f>IF($B1350="","",INDEX(Suivi!$E:$E,1376))</f>
        <v/>
      </c>
      <c r="E1350" s="29">
        <f>IF($B1350="","",INDEX(Suivi!$F:$F,1376))</f>
        <v/>
      </c>
      <c r="F1350">
        <f>IF($B1350="","",INDEX(Suivi!$G:$G,1376))</f>
        <v/>
      </c>
      <c r="H1350">
        <f>IF(OR($B1350="",NOT(ISNUMBER($D1350))),"",IF($E1350&lt;$D$2,"Passé",IF($D1350&gt;$F$2,"À venir","Dans la période")))</f>
        <v/>
      </c>
      <c r="I1350">
        <f>IF(OR($B1350="",NOT(ISNUMBER($D1350))),"",IF(AND($E1350&lt;$D$2,$G1350&lt;&gt;"X",$F1350&lt;&gt;"Réalisé",$F1350&lt;&gt;"Clôturé"),"RETARD",""))</f>
        <v/>
      </c>
      <c r="J1350" s="29">
        <f>IF($B1350="","",IF(INDEX(Dossiers!$F$4:$F$63,26)="","",INDEX(Dossiers!$F$4:$F$63,26)))</f>
        <v/>
      </c>
      <c r="K1350" s="29">
        <f>IF($B1350="","",IF(INDEX(Dossiers!$G$4:$G$63,26)="","",INDEX(Dossiers!$G$4:$G$63,26)))</f>
        <v/>
      </c>
    </row>
    <row r="1351">
      <c r="A1351">
        <f>IF($B1351="","",INDEX(Dossiers!$E$4:$E$63,26))</f>
        <v/>
      </c>
      <c r="B1351">
        <f>IF(INDEX(Suivi!$B:$B,1377)="","",INDEX(Suivi!$B:$B,1377))</f>
        <v/>
      </c>
      <c r="C1351">
        <f>IF($B1351="","",IF(INDEX(Suivi!$D:$D,1377)="",INDEX(Suivi!$C:$C,1377),INDEX(Suivi!$D:$D,1377)))</f>
        <v/>
      </c>
      <c r="D1351" s="29">
        <f>IF($B1351="","",INDEX(Suivi!$E:$E,1377))</f>
        <v/>
      </c>
      <c r="E1351" s="29">
        <f>IF($B1351="","",INDEX(Suivi!$F:$F,1377))</f>
        <v/>
      </c>
      <c r="F1351">
        <f>IF($B1351="","",INDEX(Suivi!$G:$G,1377))</f>
        <v/>
      </c>
      <c r="H1351">
        <f>IF(OR($B1351="",NOT(ISNUMBER($D1351))),"",IF($E1351&lt;$D$2,"Passé",IF($D1351&gt;$F$2,"À venir","Dans la période")))</f>
        <v/>
      </c>
      <c r="I1351">
        <f>IF(OR($B1351="",NOT(ISNUMBER($D1351))),"",IF(AND($E1351&lt;$D$2,$G1351&lt;&gt;"X",$F1351&lt;&gt;"Réalisé",$F1351&lt;&gt;"Clôturé"),"RETARD",""))</f>
        <v/>
      </c>
      <c r="J1351" s="29">
        <f>IF($B1351="","",IF(INDEX(Dossiers!$F$4:$F$63,26)="","",INDEX(Dossiers!$F$4:$F$63,26)))</f>
        <v/>
      </c>
      <c r="K1351" s="29">
        <f>IF($B1351="","",IF(INDEX(Dossiers!$G$4:$G$63,26)="","",INDEX(Dossiers!$G$4:$G$63,26)))</f>
        <v/>
      </c>
    </row>
    <row r="1352">
      <c r="A1352">
        <f>IF($B1352="","",INDEX(Dossiers!$E$4:$E$63,26))</f>
        <v/>
      </c>
      <c r="B1352">
        <f>IF(INDEX(Suivi!$B:$B,1378)="","",INDEX(Suivi!$B:$B,1378))</f>
        <v/>
      </c>
      <c r="C1352">
        <f>IF($B1352="","",IF(INDEX(Suivi!$D:$D,1378)="",INDEX(Suivi!$C:$C,1378),INDEX(Suivi!$D:$D,1378)))</f>
        <v/>
      </c>
      <c r="D1352" s="29">
        <f>IF($B1352="","",INDEX(Suivi!$E:$E,1378))</f>
        <v/>
      </c>
      <c r="E1352" s="29">
        <f>IF($B1352="","",INDEX(Suivi!$F:$F,1378))</f>
        <v/>
      </c>
      <c r="F1352">
        <f>IF($B1352="","",INDEX(Suivi!$G:$G,1378))</f>
        <v/>
      </c>
      <c r="H1352">
        <f>IF(OR($B1352="",NOT(ISNUMBER($D1352))),"",IF($E1352&lt;$D$2,"Passé",IF($D1352&gt;$F$2,"À venir","Dans la période")))</f>
        <v/>
      </c>
      <c r="I1352">
        <f>IF(OR($B1352="",NOT(ISNUMBER($D1352))),"",IF(AND($E1352&lt;$D$2,$G1352&lt;&gt;"X",$F1352&lt;&gt;"Réalisé",$F1352&lt;&gt;"Clôturé"),"RETARD",""))</f>
        <v/>
      </c>
      <c r="J1352" s="29">
        <f>IF($B1352="","",IF(INDEX(Dossiers!$F$4:$F$63,26)="","",INDEX(Dossiers!$F$4:$F$63,26)))</f>
        <v/>
      </c>
      <c r="K1352" s="29">
        <f>IF($B1352="","",IF(INDEX(Dossiers!$G$4:$G$63,26)="","",INDEX(Dossiers!$G$4:$G$63,26)))</f>
        <v/>
      </c>
    </row>
    <row r="1353">
      <c r="A1353">
        <f>IF($B1353="","",INDEX(Dossiers!$E$4:$E$63,26))</f>
        <v/>
      </c>
      <c r="B1353">
        <f>IF(INDEX(Suivi!$B:$B,1379)="","",INDEX(Suivi!$B:$B,1379))</f>
        <v/>
      </c>
      <c r="C1353">
        <f>IF($B1353="","",IF(INDEX(Suivi!$D:$D,1379)="",INDEX(Suivi!$C:$C,1379),INDEX(Suivi!$D:$D,1379)))</f>
        <v/>
      </c>
      <c r="D1353" s="29">
        <f>IF($B1353="","",INDEX(Suivi!$E:$E,1379))</f>
        <v/>
      </c>
      <c r="E1353" s="29">
        <f>IF($B1353="","",INDEX(Suivi!$F:$F,1379))</f>
        <v/>
      </c>
      <c r="F1353">
        <f>IF($B1353="","",INDEX(Suivi!$G:$G,1379))</f>
        <v/>
      </c>
      <c r="H1353">
        <f>IF(OR($B1353="",NOT(ISNUMBER($D1353))),"",IF($E1353&lt;$D$2,"Passé",IF($D1353&gt;$F$2,"À venir","Dans la période")))</f>
        <v/>
      </c>
      <c r="I1353">
        <f>IF(OR($B1353="",NOT(ISNUMBER($D1353))),"",IF(AND($E1353&lt;$D$2,$G1353&lt;&gt;"X",$F1353&lt;&gt;"Réalisé",$F1353&lt;&gt;"Clôturé"),"RETARD",""))</f>
        <v/>
      </c>
      <c r="J1353" s="29">
        <f>IF($B1353="","",IF(INDEX(Dossiers!$F$4:$F$63,26)="","",INDEX(Dossiers!$F$4:$F$63,26)))</f>
        <v/>
      </c>
      <c r="K1353" s="29">
        <f>IF($B1353="","",IF(INDEX(Dossiers!$G$4:$G$63,26)="","",INDEX(Dossiers!$G$4:$G$63,26)))</f>
        <v/>
      </c>
    </row>
    <row r="1354">
      <c r="A1354">
        <f>IF($B1354="","",INDEX(Dossiers!$E$4:$E$63,26))</f>
        <v/>
      </c>
      <c r="B1354">
        <f>IF(INDEX(Suivi!$B:$B,1380)="","",INDEX(Suivi!$B:$B,1380))</f>
        <v/>
      </c>
      <c r="C1354">
        <f>IF($B1354="","",IF(INDEX(Suivi!$D:$D,1380)="",INDEX(Suivi!$C:$C,1380),INDEX(Suivi!$D:$D,1380)))</f>
        <v/>
      </c>
      <c r="D1354" s="29">
        <f>IF($B1354="","",INDEX(Suivi!$E:$E,1380))</f>
        <v/>
      </c>
      <c r="E1354" s="29">
        <f>IF($B1354="","",INDEX(Suivi!$F:$F,1380))</f>
        <v/>
      </c>
      <c r="F1354">
        <f>IF($B1354="","",INDEX(Suivi!$G:$G,1380))</f>
        <v/>
      </c>
      <c r="H1354">
        <f>IF(OR($B1354="",NOT(ISNUMBER($D1354))),"",IF($E1354&lt;$D$2,"Passé",IF($D1354&gt;$F$2,"À venir","Dans la période")))</f>
        <v/>
      </c>
      <c r="I1354">
        <f>IF(OR($B1354="",NOT(ISNUMBER($D1354))),"",IF(AND($E1354&lt;$D$2,$G1354&lt;&gt;"X",$F1354&lt;&gt;"Réalisé",$F1354&lt;&gt;"Clôturé"),"RETARD",""))</f>
        <v/>
      </c>
      <c r="J1354" s="29">
        <f>IF($B1354="","",IF(INDEX(Dossiers!$F$4:$F$63,26)="","",INDEX(Dossiers!$F$4:$F$63,26)))</f>
        <v/>
      </c>
      <c r="K1354" s="29">
        <f>IF($B1354="","",IF(INDEX(Dossiers!$G$4:$G$63,26)="","",INDEX(Dossiers!$G$4:$G$63,26)))</f>
        <v/>
      </c>
    </row>
    <row r="1355">
      <c r="A1355">
        <f>IF($B1355="","",INDEX(Dossiers!$E$4:$E$63,26))</f>
        <v/>
      </c>
      <c r="B1355">
        <f>IF(INDEX(Suivi!$B:$B,1381)="","",INDEX(Suivi!$B:$B,1381))</f>
        <v/>
      </c>
      <c r="C1355">
        <f>IF($B1355="","",IF(INDEX(Suivi!$D:$D,1381)="",INDEX(Suivi!$C:$C,1381),INDEX(Suivi!$D:$D,1381)))</f>
        <v/>
      </c>
      <c r="D1355" s="29">
        <f>IF($B1355="","",INDEX(Suivi!$E:$E,1381))</f>
        <v/>
      </c>
      <c r="E1355" s="29">
        <f>IF($B1355="","",INDEX(Suivi!$F:$F,1381))</f>
        <v/>
      </c>
      <c r="F1355">
        <f>IF($B1355="","",INDEX(Suivi!$G:$G,1381))</f>
        <v/>
      </c>
      <c r="H1355">
        <f>IF(OR($B1355="",NOT(ISNUMBER($D1355))),"",IF($E1355&lt;$D$2,"Passé",IF($D1355&gt;$F$2,"À venir","Dans la période")))</f>
        <v/>
      </c>
      <c r="I1355">
        <f>IF(OR($B1355="",NOT(ISNUMBER($D1355))),"",IF(AND($E1355&lt;$D$2,$G1355&lt;&gt;"X",$F1355&lt;&gt;"Réalisé",$F1355&lt;&gt;"Clôturé"),"RETARD",""))</f>
        <v/>
      </c>
      <c r="J1355" s="29">
        <f>IF($B1355="","",IF(INDEX(Dossiers!$F$4:$F$63,26)="","",INDEX(Dossiers!$F$4:$F$63,26)))</f>
        <v/>
      </c>
      <c r="K1355" s="29">
        <f>IF($B1355="","",IF(INDEX(Dossiers!$G$4:$G$63,26)="","",INDEX(Dossiers!$G$4:$G$63,26)))</f>
        <v/>
      </c>
    </row>
    <row r="1356">
      <c r="A1356">
        <f>IF($B1356="","",INDEX(Dossiers!$E$4:$E$63,26))</f>
        <v/>
      </c>
      <c r="B1356">
        <f>IF(INDEX(Suivi!$B:$B,1382)="","",INDEX(Suivi!$B:$B,1382))</f>
        <v/>
      </c>
      <c r="C1356">
        <f>IF($B1356="","",IF(INDEX(Suivi!$D:$D,1382)="",INDEX(Suivi!$C:$C,1382),INDEX(Suivi!$D:$D,1382)))</f>
        <v/>
      </c>
      <c r="D1356" s="29">
        <f>IF($B1356="","",INDEX(Suivi!$E:$E,1382))</f>
        <v/>
      </c>
      <c r="E1356" s="29">
        <f>IF($B1356="","",INDEX(Suivi!$F:$F,1382))</f>
        <v/>
      </c>
      <c r="F1356">
        <f>IF($B1356="","",INDEX(Suivi!$G:$G,1382))</f>
        <v/>
      </c>
      <c r="H1356">
        <f>IF(OR($B1356="",NOT(ISNUMBER($D1356))),"",IF($E1356&lt;$D$2,"Passé",IF($D1356&gt;$F$2,"À venir","Dans la période")))</f>
        <v/>
      </c>
      <c r="I1356">
        <f>IF(OR($B1356="",NOT(ISNUMBER($D1356))),"",IF(AND($E1356&lt;$D$2,$G1356&lt;&gt;"X",$F1356&lt;&gt;"Réalisé",$F1356&lt;&gt;"Clôturé"),"RETARD",""))</f>
        <v/>
      </c>
      <c r="J1356" s="29">
        <f>IF($B1356="","",IF(INDEX(Dossiers!$F$4:$F$63,26)="","",INDEX(Dossiers!$F$4:$F$63,26)))</f>
        <v/>
      </c>
      <c r="K1356" s="29">
        <f>IF($B1356="","",IF(INDEX(Dossiers!$G$4:$G$63,26)="","",INDEX(Dossiers!$G$4:$G$63,26)))</f>
        <v/>
      </c>
    </row>
    <row r="1357">
      <c r="A1357">
        <f>IF($B1357="","",INDEX(Dossiers!$E$4:$E$63,26))</f>
        <v/>
      </c>
      <c r="B1357">
        <f>IF(INDEX(Suivi!$B:$B,1383)="","",INDEX(Suivi!$B:$B,1383))</f>
        <v/>
      </c>
      <c r="C1357">
        <f>IF($B1357="","",IF(INDEX(Suivi!$D:$D,1383)="",INDEX(Suivi!$C:$C,1383),INDEX(Suivi!$D:$D,1383)))</f>
        <v/>
      </c>
      <c r="D1357" s="29">
        <f>IF($B1357="","",INDEX(Suivi!$E:$E,1383))</f>
        <v/>
      </c>
      <c r="E1357" s="29">
        <f>IF($B1357="","",INDEX(Suivi!$F:$F,1383))</f>
        <v/>
      </c>
      <c r="F1357">
        <f>IF($B1357="","",INDEX(Suivi!$G:$G,1383))</f>
        <v/>
      </c>
      <c r="H1357">
        <f>IF(OR($B1357="",NOT(ISNUMBER($D1357))),"",IF($E1357&lt;$D$2,"Passé",IF($D1357&gt;$F$2,"À venir","Dans la période")))</f>
        <v/>
      </c>
      <c r="I1357">
        <f>IF(OR($B1357="",NOT(ISNUMBER($D1357))),"",IF(AND($E1357&lt;$D$2,$G1357&lt;&gt;"X",$F1357&lt;&gt;"Réalisé",$F1357&lt;&gt;"Clôturé"),"RETARD",""))</f>
        <v/>
      </c>
      <c r="J1357" s="29">
        <f>IF($B1357="","",IF(INDEX(Dossiers!$F$4:$F$63,26)="","",INDEX(Dossiers!$F$4:$F$63,26)))</f>
        <v/>
      </c>
      <c r="K1357" s="29">
        <f>IF($B1357="","",IF(INDEX(Dossiers!$G$4:$G$63,26)="","",INDEX(Dossiers!$G$4:$G$63,26)))</f>
        <v/>
      </c>
    </row>
    <row r="1358">
      <c r="A1358">
        <f>IF($B1358="","",INDEX(Dossiers!$E$4:$E$63,26))</f>
        <v/>
      </c>
      <c r="B1358">
        <f>IF(INDEX(Suivi!$B:$B,1384)="","",INDEX(Suivi!$B:$B,1384))</f>
        <v/>
      </c>
      <c r="C1358">
        <f>IF($B1358="","",IF(INDEX(Suivi!$D:$D,1384)="",INDEX(Suivi!$C:$C,1384),INDEX(Suivi!$D:$D,1384)))</f>
        <v/>
      </c>
      <c r="D1358" s="29">
        <f>IF($B1358="","",INDEX(Suivi!$E:$E,1384))</f>
        <v/>
      </c>
      <c r="E1358" s="29">
        <f>IF($B1358="","",INDEX(Suivi!$F:$F,1384))</f>
        <v/>
      </c>
      <c r="F1358">
        <f>IF($B1358="","",INDEX(Suivi!$G:$G,1384))</f>
        <v/>
      </c>
      <c r="H1358">
        <f>IF(OR($B1358="",NOT(ISNUMBER($D1358))),"",IF($E1358&lt;$D$2,"Passé",IF($D1358&gt;$F$2,"À venir","Dans la période")))</f>
        <v/>
      </c>
      <c r="I1358">
        <f>IF(OR($B1358="",NOT(ISNUMBER($D1358))),"",IF(AND($E1358&lt;$D$2,$G1358&lt;&gt;"X",$F1358&lt;&gt;"Réalisé",$F1358&lt;&gt;"Clôturé"),"RETARD",""))</f>
        <v/>
      </c>
      <c r="J1358" s="29">
        <f>IF($B1358="","",IF(INDEX(Dossiers!$F$4:$F$63,26)="","",INDEX(Dossiers!$F$4:$F$63,26)))</f>
        <v/>
      </c>
      <c r="K1358" s="29">
        <f>IF($B1358="","",IF(INDEX(Dossiers!$G$4:$G$63,26)="","",INDEX(Dossiers!$G$4:$G$63,26)))</f>
        <v/>
      </c>
    </row>
    <row r="1359">
      <c r="A1359">
        <f>IF($B1359="","",INDEX(Dossiers!$E$4:$E$63,26))</f>
        <v/>
      </c>
      <c r="B1359">
        <f>IF(INDEX(Suivi!$B:$B,1385)="","",INDEX(Suivi!$B:$B,1385))</f>
        <v/>
      </c>
      <c r="C1359">
        <f>IF($B1359="","",IF(INDEX(Suivi!$D:$D,1385)="",INDEX(Suivi!$C:$C,1385),INDEX(Suivi!$D:$D,1385)))</f>
        <v/>
      </c>
      <c r="D1359" s="29">
        <f>IF($B1359="","",INDEX(Suivi!$E:$E,1385))</f>
        <v/>
      </c>
      <c r="E1359" s="29">
        <f>IF($B1359="","",INDEX(Suivi!$F:$F,1385))</f>
        <v/>
      </c>
      <c r="F1359">
        <f>IF($B1359="","",INDEX(Suivi!$G:$G,1385))</f>
        <v/>
      </c>
      <c r="H1359">
        <f>IF(OR($B1359="",NOT(ISNUMBER($D1359))),"",IF($E1359&lt;$D$2,"Passé",IF($D1359&gt;$F$2,"À venir","Dans la période")))</f>
        <v/>
      </c>
      <c r="I1359">
        <f>IF(OR($B1359="",NOT(ISNUMBER($D1359))),"",IF(AND($E1359&lt;$D$2,$G1359&lt;&gt;"X",$F1359&lt;&gt;"Réalisé",$F1359&lt;&gt;"Clôturé"),"RETARD",""))</f>
        <v/>
      </c>
      <c r="J1359" s="29">
        <f>IF($B1359="","",IF(INDEX(Dossiers!$F$4:$F$63,26)="","",INDEX(Dossiers!$F$4:$F$63,26)))</f>
        <v/>
      </c>
      <c r="K1359" s="29">
        <f>IF($B1359="","",IF(INDEX(Dossiers!$G$4:$G$63,26)="","",INDEX(Dossiers!$G$4:$G$63,26)))</f>
        <v/>
      </c>
    </row>
    <row r="1360">
      <c r="A1360">
        <f>IF($B1360="","",INDEX(Dossiers!$E$4:$E$63,26))</f>
        <v/>
      </c>
      <c r="B1360">
        <f>IF(INDEX(Suivi!$B:$B,1386)="","",INDEX(Suivi!$B:$B,1386))</f>
        <v/>
      </c>
      <c r="C1360">
        <f>IF($B1360="","",IF(INDEX(Suivi!$D:$D,1386)="",INDEX(Suivi!$C:$C,1386),INDEX(Suivi!$D:$D,1386)))</f>
        <v/>
      </c>
      <c r="D1360" s="29">
        <f>IF($B1360="","",INDEX(Suivi!$E:$E,1386))</f>
        <v/>
      </c>
      <c r="E1360" s="29">
        <f>IF($B1360="","",INDEX(Suivi!$F:$F,1386))</f>
        <v/>
      </c>
      <c r="F1360">
        <f>IF($B1360="","",INDEX(Suivi!$G:$G,1386))</f>
        <v/>
      </c>
      <c r="H1360">
        <f>IF(OR($B1360="",NOT(ISNUMBER($D1360))),"",IF($E1360&lt;$D$2,"Passé",IF($D1360&gt;$F$2,"À venir","Dans la période")))</f>
        <v/>
      </c>
      <c r="I1360">
        <f>IF(OR($B1360="",NOT(ISNUMBER($D1360))),"",IF(AND($E1360&lt;$D$2,$G1360&lt;&gt;"X",$F1360&lt;&gt;"Réalisé",$F1360&lt;&gt;"Clôturé"),"RETARD",""))</f>
        <v/>
      </c>
      <c r="J1360" s="29">
        <f>IF($B1360="","",IF(INDEX(Dossiers!$F$4:$F$63,26)="","",INDEX(Dossiers!$F$4:$F$63,26)))</f>
        <v/>
      </c>
      <c r="K1360" s="29">
        <f>IF($B1360="","",IF(INDEX(Dossiers!$G$4:$G$63,26)="","",INDEX(Dossiers!$G$4:$G$63,26)))</f>
        <v/>
      </c>
    </row>
    <row r="1361">
      <c r="A1361">
        <f>IF($B1361="","",INDEX(Dossiers!$E$4:$E$63,26))</f>
        <v/>
      </c>
      <c r="B1361">
        <f>IF(INDEX(Suivi!$B:$B,1387)="","",INDEX(Suivi!$B:$B,1387))</f>
        <v/>
      </c>
      <c r="C1361">
        <f>IF($B1361="","",IF(INDEX(Suivi!$D:$D,1387)="",INDEX(Suivi!$C:$C,1387),INDEX(Suivi!$D:$D,1387)))</f>
        <v/>
      </c>
      <c r="D1361" s="29">
        <f>IF($B1361="","",INDEX(Suivi!$E:$E,1387))</f>
        <v/>
      </c>
      <c r="E1361" s="29">
        <f>IF($B1361="","",INDEX(Suivi!$F:$F,1387))</f>
        <v/>
      </c>
      <c r="F1361">
        <f>IF($B1361="","",INDEX(Suivi!$G:$G,1387))</f>
        <v/>
      </c>
      <c r="H1361">
        <f>IF(OR($B1361="",NOT(ISNUMBER($D1361))),"",IF($E1361&lt;$D$2,"Passé",IF($D1361&gt;$F$2,"À venir","Dans la période")))</f>
        <v/>
      </c>
      <c r="I1361">
        <f>IF(OR($B1361="",NOT(ISNUMBER($D1361))),"",IF(AND($E1361&lt;$D$2,$G1361&lt;&gt;"X",$F1361&lt;&gt;"Réalisé",$F1361&lt;&gt;"Clôturé"),"RETARD",""))</f>
        <v/>
      </c>
      <c r="J1361" s="29">
        <f>IF($B1361="","",IF(INDEX(Dossiers!$F$4:$F$63,26)="","",INDEX(Dossiers!$F$4:$F$63,26)))</f>
        <v/>
      </c>
      <c r="K1361" s="29">
        <f>IF($B1361="","",IF(INDEX(Dossiers!$G$4:$G$63,26)="","",INDEX(Dossiers!$G$4:$G$63,26)))</f>
        <v/>
      </c>
    </row>
    <row r="1362">
      <c r="A1362">
        <f>IF($B1362="","",INDEX(Dossiers!$E$4:$E$63,26))</f>
        <v/>
      </c>
      <c r="B1362">
        <f>IF(INDEX(Suivi!$B:$B,1388)="","",INDEX(Suivi!$B:$B,1388))</f>
        <v/>
      </c>
      <c r="C1362">
        <f>IF($B1362="","",IF(INDEX(Suivi!$D:$D,1388)="",INDEX(Suivi!$C:$C,1388),INDEX(Suivi!$D:$D,1388)))</f>
        <v/>
      </c>
      <c r="D1362" s="29">
        <f>IF($B1362="","",INDEX(Suivi!$E:$E,1388))</f>
        <v/>
      </c>
      <c r="E1362" s="29">
        <f>IF($B1362="","",INDEX(Suivi!$F:$F,1388))</f>
        <v/>
      </c>
      <c r="F1362">
        <f>IF($B1362="","",INDEX(Suivi!$G:$G,1388))</f>
        <v/>
      </c>
      <c r="H1362">
        <f>IF(OR($B1362="",NOT(ISNUMBER($D1362))),"",IF($E1362&lt;$D$2,"Passé",IF($D1362&gt;$F$2,"À venir","Dans la période")))</f>
        <v/>
      </c>
      <c r="I1362">
        <f>IF(OR($B1362="",NOT(ISNUMBER($D1362))),"",IF(AND($E1362&lt;$D$2,$G1362&lt;&gt;"X",$F1362&lt;&gt;"Réalisé",$F1362&lt;&gt;"Clôturé"),"RETARD",""))</f>
        <v/>
      </c>
      <c r="J1362" s="29">
        <f>IF($B1362="","",IF(INDEX(Dossiers!$F$4:$F$63,26)="","",INDEX(Dossiers!$F$4:$F$63,26)))</f>
        <v/>
      </c>
      <c r="K1362" s="29">
        <f>IF($B1362="","",IF(INDEX(Dossiers!$G$4:$G$63,26)="","",INDEX(Dossiers!$G$4:$G$63,26)))</f>
        <v/>
      </c>
    </row>
    <row r="1363">
      <c r="A1363">
        <f>IF($B1363="","",INDEX(Dossiers!$E$4:$E$63,26))</f>
        <v/>
      </c>
      <c r="B1363">
        <f>IF(INDEX(Suivi!$B:$B,1389)="","",INDEX(Suivi!$B:$B,1389))</f>
        <v/>
      </c>
      <c r="C1363">
        <f>IF($B1363="","",IF(INDEX(Suivi!$D:$D,1389)="",INDEX(Suivi!$C:$C,1389),INDEX(Suivi!$D:$D,1389)))</f>
        <v/>
      </c>
      <c r="D1363" s="29">
        <f>IF($B1363="","",INDEX(Suivi!$E:$E,1389))</f>
        <v/>
      </c>
      <c r="E1363" s="29">
        <f>IF($B1363="","",INDEX(Suivi!$F:$F,1389))</f>
        <v/>
      </c>
      <c r="F1363">
        <f>IF($B1363="","",INDEX(Suivi!$G:$G,1389))</f>
        <v/>
      </c>
      <c r="H1363">
        <f>IF(OR($B1363="",NOT(ISNUMBER($D1363))),"",IF($E1363&lt;$D$2,"Passé",IF($D1363&gt;$F$2,"À venir","Dans la période")))</f>
        <v/>
      </c>
      <c r="I1363">
        <f>IF(OR($B1363="",NOT(ISNUMBER($D1363))),"",IF(AND($E1363&lt;$D$2,$G1363&lt;&gt;"X",$F1363&lt;&gt;"Réalisé",$F1363&lt;&gt;"Clôturé"),"RETARD",""))</f>
        <v/>
      </c>
      <c r="J1363" s="29">
        <f>IF($B1363="","",IF(INDEX(Dossiers!$F$4:$F$63,26)="","",INDEX(Dossiers!$F$4:$F$63,26)))</f>
        <v/>
      </c>
      <c r="K1363" s="29">
        <f>IF($B1363="","",IF(INDEX(Dossiers!$G$4:$G$63,26)="","",INDEX(Dossiers!$G$4:$G$63,26)))</f>
        <v/>
      </c>
    </row>
    <row r="1364">
      <c r="A1364">
        <f>IF($B1364="","",INDEX(Dossiers!$E$4:$E$63,26))</f>
        <v/>
      </c>
      <c r="B1364">
        <f>IF(INDEX(Suivi!$B:$B,1390)="","",INDEX(Suivi!$B:$B,1390))</f>
        <v/>
      </c>
      <c r="C1364">
        <f>IF($B1364="","",IF(INDEX(Suivi!$D:$D,1390)="",INDEX(Suivi!$C:$C,1390),INDEX(Suivi!$D:$D,1390)))</f>
        <v/>
      </c>
      <c r="D1364" s="29">
        <f>IF($B1364="","",INDEX(Suivi!$E:$E,1390))</f>
        <v/>
      </c>
      <c r="E1364" s="29">
        <f>IF($B1364="","",INDEX(Suivi!$F:$F,1390))</f>
        <v/>
      </c>
      <c r="F1364">
        <f>IF($B1364="","",INDEX(Suivi!$G:$G,1390))</f>
        <v/>
      </c>
      <c r="H1364">
        <f>IF(OR($B1364="",NOT(ISNUMBER($D1364))),"",IF($E1364&lt;$D$2,"Passé",IF($D1364&gt;$F$2,"À venir","Dans la période")))</f>
        <v/>
      </c>
      <c r="I1364">
        <f>IF(OR($B1364="",NOT(ISNUMBER($D1364))),"",IF(AND($E1364&lt;$D$2,$G1364&lt;&gt;"X",$F1364&lt;&gt;"Réalisé",$F1364&lt;&gt;"Clôturé"),"RETARD",""))</f>
        <v/>
      </c>
      <c r="J1364" s="29">
        <f>IF($B1364="","",IF(INDEX(Dossiers!$F$4:$F$63,26)="","",INDEX(Dossiers!$F$4:$F$63,26)))</f>
        <v/>
      </c>
      <c r="K1364" s="29">
        <f>IF($B1364="","",IF(INDEX(Dossiers!$G$4:$G$63,26)="","",INDEX(Dossiers!$G$4:$G$63,26)))</f>
        <v/>
      </c>
    </row>
    <row r="1365">
      <c r="A1365">
        <f>IF($B1365="","",INDEX(Dossiers!$E$4:$E$63,26))</f>
        <v/>
      </c>
      <c r="B1365">
        <f>IF(INDEX(Suivi!$B:$B,1391)="","",INDEX(Suivi!$B:$B,1391))</f>
        <v/>
      </c>
      <c r="C1365">
        <f>IF($B1365="","",IF(INDEX(Suivi!$D:$D,1391)="",INDEX(Suivi!$C:$C,1391),INDEX(Suivi!$D:$D,1391)))</f>
        <v/>
      </c>
      <c r="D1365" s="29">
        <f>IF($B1365="","",INDEX(Suivi!$E:$E,1391))</f>
        <v/>
      </c>
      <c r="E1365" s="29">
        <f>IF($B1365="","",INDEX(Suivi!$F:$F,1391))</f>
        <v/>
      </c>
      <c r="F1365">
        <f>IF($B1365="","",INDEX(Suivi!$G:$G,1391))</f>
        <v/>
      </c>
      <c r="H1365">
        <f>IF(OR($B1365="",NOT(ISNUMBER($D1365))),"",IF($E1365&lt;$D$2,"Passé",IF($D1365&gt;$F$2,"À venir","Dans la période")))</f>
        <v/>
      </c>
      <c r="I1365">
        <f>IF(OR($B1365="",NOT(ISNUMBER($D1365))),"",IF(AND($E1365&lt;$D$2,$G1365&lt;&gt;"X",$F1365&lt;&gt;"Réalisé",$F1365&lt;&gt;"Clôturé"),"RETARD",""))</f>
        <v/>
      </c>
      <c r="J1365" s="29">
        <f>IF($B1365="","",IF(INDEX(Dossiers!$F$4:$F$63,26)="","",INDEX(Dossiers!$F$4:$F$63,26)))</f>
        <v/>
      </c>
      <c r="K1365" s="29">
        <f>IF($B1365="","",IF(INDEX(Dossiers!$G$4:$G$63,26)="","",INDEX(Dossiers!$G$4:$G$63,26)))</f>
        <v/>
      </c>
    </row>
    <row r="1366">
      <c r="A1366">
        <f>IF($B1366="","",INDEX(Dossiers!$E$4:$E$63,26))</f>
        <v/>
      </c>
      <c r="B1366">
        <f>IF(INDEX(Suivi!$B:$B,1392)="","",INDEX(Suivi!$B:$B,1392))</f>
        <v/>
      </c>
      <c r="C1366">
        <f>IF($B1366="","",IF(INDEX(Suivi!$D:$D,1392)="",INDEX(Suivi!$C:$C,1392),INDEX(Suivi!$D:$D,1392)))</f>
        <v/>
      </c>
      <c r="D1366" s="29">
        <f>IF($B1366="","",INDEX(Suivi!$E:$E,1392))</f>
        <v/>
      </c>
      <c r="E1366" s="29">
        <f>IF($B1366="","",INDEX(Suivi!$F:$F,1392))</f>
        <v/>
      </c>
      <c r="F1366">
        <f>IF($B1366="","",INDEX(Suivi!$G:$G,1392))</f>
        <v/>
      </c>
      <c r="H1366">
        <f>IF(OR($B1366="",NOT(ISNUMBER($D1366))),"",IF($E1366&lt;$D$2,"Passé",IF($D1366&gt;$F$2,"À venir","Dans la période")))</f>
        <v/>
      </c>
      <c r="I1366">
        <f>IF(OR($B1366="",NOT(ISNUMBER($D1366))),"",IF(AND($E1366&lt;$D$2,$G1366&lt;&gt;"X",$F1366&lt;&gt;"Réalisé",$F1366&lt;&gt;"Clôturé"),"RETARD",""))</f>
        <v/>
      </c>
      <c r="J1366" s="29">
        <f>IF($B1366="","",IF(INDEX(Dossiers!$F$4:$F$63,26)="","",INDEX(Dossiers!$F$4:$F$63,26)))</f>
        <v/>
      </c>
      <c r="K1366" s="29">
        <f>IF($B1366="","",IF(INDEX(Dossiers!$G$4:$G$63,26)="","",INDEX(Dossiers!$G$4:$G$63,26)))</f>
        <v/>
      </c>
    </row>
    <row r="1367">
      <c r="A1367">
        <f>IF($B1367="","",INDEX(Dossiers!$E$4:$E$63,26))</f>
        <v/>
      </c>
      <c r="B1367">
        <f>IF(INDEX(Suivi!$B:$B,1393)="","",INDEX(Suivi!$B:$B,1393))</f>
        <v/>
      </c>
      <c r="C1367">
        <f>IF($B1367="","",IF(INDEX(Suivi!$D:$D,1393)="",INDEX(Suivi!$C:$C,1393),INDEX(Suivi!$D:$D,1393)))</f>
        <v/>
      </c>
      <c r="D1367" s="29">
        <f>IF($B1367="","",INDEX(Suivi!$E:$E,1393))</f>
        <v/>
      </c>
      <c r="E1367" s="29">
        <f>IF($B1367="","",INDEX(Suivi!$F:$F,1393))</f>
        <v/>
      </c>
      <c r="F1367">
        <f>IF($B1367="","",INDEX(Suivi!$G:$G,1393))</f>
        <v/>
      </c>
      <c r="H1367">
        <f>IF(OR($B1367="",NOT(ISNUMBER($D1367))),"",IF($E1367&lt;$D$2,"Passé",IF($D1367&gt;$F$2,"À venir","Dans la période")))</f>
        <v/>
      </c>
      <c r="I1367">
        <f>IF(OR($B1367="",NOT(ISNUMBER($D1367))),"",IF(AND($E1367&lt;$D$2,$G1367&lt;&gt;"X",$F1367&lt;&gt;"Réalisé",$F1367&lt;&gt;"Clôturé"),"RETARD",""))</f>
        <v/>
      </c>
      <c r="J1367" s="29">
        <f>IF($B1367="","",IF(INDEX(Dossiers!$F$4:$F$63,26)="","",INDEX(Dossiers!$F$4:$F$63,26)))</f>
        <v/>
      </c>
      <c r="K1367" s="29">
        <f>IF($B1367="","",IF(INDEX(Dossiers!$G$4:$G$63,26)="","",INDEX(Dossiers!$G$4:$G$63,26)))</f>
        <v/>
      </c>
    </row>
    <row r="1368">
      <c r="A1368">
        <f>IF($B1368="","",INDEX(Dossiers!$E$4:$E$63,26))</f>
        <v/>
      </c>
      <c r="B1368">
        <f>IF(INDEX(Suivi!$B:$B,1394)="","",INDEX(Suivi!$B:$B,1394))</f>
        <v/>
      </c>
      <c r="C1368">
        <f>IF($B1368="","",IF(INDEX(Suivi!$D:$D,1394)="",INDEX(Suivi!$C:$C,1394),INDEX(Suivi!$D:$D,1394)))</f>
        <v/>
      </c>
      <c r="D1368" s="29">
        <f>IF($B1368="","",INDEX(Suivi!$E:$E,1394))</f>
        <v/>
      </c>
      <c r="E1368" s="29">
        <f>IF($B1368="","",INDEX(Suivi!$F:$F,1394))</f>
        <v/>
      </c>
      <c r="F1368">
        <f>IF($B1368="","",INDEX(Suivi!$G:$G,1394))</f>
        <v/>
      </c>
      <c r="H1368">
        <f>IF(OR($B1368="",NOT(ISNUMBER($D1368))),"",IF($E1368&lt;$D$2,"Passé",IF($D1368&gt;$F$2,"À venir","Dans la période")))</f>
        <v/>
      </c>
      <c r="I1368">
        <f>IF(OR($B1368="",NOT(ISNUMBER($D1368))),"",IF(AND($E1368&lt;$D$2,$G1368&lt;&gt;"X",$F1368&lt;&gt;"Réalisé",$F1368&lt;&gt;"Clôturé"),"RETARD",""))</f>
        <v/>
      </c>
      <c r="J1368" s="29">
        <f>IF($B1368="","",IF(INDEX(Dossiers!$F$4:$F$63,26)="","",INDEX(Dossiers!$F$4:$F$63,26)))</f>
        <v/>
      </c>
      <c r="K1368" s="29">
        <f>IF($B1368="","",IF(INDEX(Dossiers!$G$4:$G$63,26)="","",INDEX(Dossiers!$G$4:$G$63,26)))</f>
        <v/>
      </c>
    </row>
    <row r="1369">
      <c r="A1369">
        <f>IF($B1369="","",INDEX(Dossiers!$E$4:$E$63,26))</f>
        <v/>
      </c>
      <c r="B1369">
        <f>IF(INDEX(Suivi!$B:$B,1395)="","",INDEX(Suivi!$B:$B,1395))</f>
        <v/>
      </c>
      <c r="C1369">
        <f>IF($B1369="","",IF(INDEX(Suivi!$D:$D,1395)="",INDEX(Suivi!$C:$C,1395),INDEX(Suivi!$D:$D,1395)))</f>
        <v/>
      </c>
      <c r="D1369" s="29">
        <f>IF($B1369="","",INDEX(Suivi!$E:$E,1395))</f>
        <v/>
      </c>
      <c r="E1369" s="29">
        <f>IF($B1369="","",INDEX(Suivi!$F:$F,1395))</f>
        <v/>
      </c>
      <c r="F1369">
        <f>IF($B1369="","",INDEX(Suivi!$G:$G,1395))</f>
        <v/>
      </c>
      <c r="H1369">
        <f>IF(OR($B1369="",NOT(ISNUMBER($D1369))),"",IF($E1369&lt;$D$2,"Passé",IF($D1369&gt;$F$2,"À venir","Dans la période")))</f>
        <v/>
      </c>
      <c r="I1369">
        <f>IF(OR($B1369="",NOT(ISNUMBER($D1369))),"",IF(AND($E1369&lt;$D$2,$G1369&lt;&gt;"X",$F1369&lt;&gt;"Réalisé",$F1369&lt;&gt;"Clôturé"),"RETARD",""))</f>
        <v/>
      </c>
      <c r="J1369" s="29">
        <f>IF($B1369="","",IF(INDEX(Dossiers!$F$4:$F$63,26)="","",INDEX(Dossiers!$F$4:$F$63,26)))</f>
        <v/>
      </c>
      <c r="K1369" s="29">
        <f>IF($B1369="","",IF(INDEX(Dossiers!$G$4:$G$63,26)="","",INDEX(Dossiers!$G$4:$G$63,26)))</f>
        <v/>
      </c>
    </row>
    <row r="1370">
      <c r="A1370">
        <f>IF($B1370="","",INDEX(Dossiers!$E$4:$E$63,26))</f>
        <v/>
      </c>
      <c r="B1370">
        <f>IF(INDEX(Suivi!$B:$B,1396)="","",INDEX(Suivi!$B:$B,1396))</f>
        <v/>
      </c>
      <c r="C1370">
        <f>IF($B1370="","",IF(INDEX(Suivi!$D:$D,1396)="",INDEX(Suivi!$C:$C,1396),INDEX(Suivi!$D:$D,1396)))</f>
        <v/>
      </c>
      <c r="D1370" s="29">
        <f>IF($B1370="","",INDEX(Suivi!$E:$E,1396))</f>
        <v/>
      </c>
      <c r="E1370" s="29">
        <f>IF($B1370="","",INDEX(Suivi!$F:$F,1396))</f>
        <v/>
      </c>
      <c r="F1370">
        <f>IF($B1370="","",INDEX(Suivi!$G:$G,1396))</f>
        <v/>
      </c>
      <c r="H1370">
        <f>IF(OR($B1370="",NOT(ISNUMBER($D1370))),"",IF($E1370&lt;$D$2,"Passé",IF($D1370&gt;$F$2,"À venir","Dans la période")))</f>
        <v/>
      </c>
      <c r="I1370">
        <f>IF(OR($B1370="",NOT(ISNUMBER($D1370))),"",IF(AND($E1370&lt;$D$2,$G1370&lt;&gt;"X",$F1370&lt;&gt;"Réalisé",$F1370&lt;&gt;"Clôturé"),"RETARD",""))</f>
        <v/>
      </c>
      <c r="J1370" s="29">
        <f>IF($B1370="","",IF(INDEX(Dossiers!$F$4:$F$63,26)="","",INDEX(Dossiers!$F$4:$F$63,26)))</f>
        <v/>
      </c>
      <c r="K1370" s="29">
        <f>IF($B1370="","",IF(INDEX(Dossiers!$G$4:$G$63,26)="","",INDEX(Dossiers!$G$4:$G$63,26)))</f>
        <v/>
      </c>
    </row>
    <row r="1371">
      <c r="A1371">
        <f>IF($B1371="","",INDEX(Dossiers!$E$4:$E$63,26))</f>
        <v/>
      </c>
      <c r="B1371">
        <f>IF(INDEX(Suivi!$B:$B,1397)="","",INDEX(Suivi!$B:$B,1397))</f>
        <v/>
      </c>
      <c r="C1371">
        <f>IF($B1371="","",IF(INDEX(Suivi!$D:$D,1397)="",INDEX(Suivi!$C:$C,1397),INDEX(Suivi!$D:$D,1397)))</f>
        <v/>
      </c>
      <c r="D1371" s="29">
        <f>IF($B1371="","",INDEX(Suivi!$E:$E,1397))</f>
        <v/>
      </c>
      <c r="E1371" s="29">
        <f>IF($B1371="","",INDEX(Suivi!$F:$F,1397))</f>
        <v/>
      </c>
      <c r="F1371">
        <f>IF($B1371="","",INDEX(Suivi!$G:$G,1397))</f>
        <v/>
      </c>
      <c r="H1371">
        <f>IF(OR($B1371="",NOT(ISNUMBER($D1371))),"",IF($E1371&lt;$D$2,"Passé",IF($D1371&gt;$F$2,"À venir","Dans la période")))</f>
        <v/>
      </c>
      <c r="I1371">
        <f>IF(OR($B1371="",NOT(ISNUMBER($D1371))),"",IF(AND($E1371&lt;$D$2,$G1371&lt;&gt;"X",$F1371&lt;&gt;"Réalisé",$F1371&lt;&gt;"Clôturé"),"RETARD",""))</f>
        <v/>
      </c>
      <c r="J1371" s="29">
        <f>IF($B1371="","",IF(INDEX(Dossiers!$F$4:$F$63,26)="","",INDEX(Dossiers!$F$4:$F$63,26)))</f>
        <v/>
      </c>
      <c r="K1371" s="29">
        <f>IF($B1371="","",IF(INDEX(Dossiers!$G$4:$G$63,26)="","",INDEX(Dossiers!$G$4:$G$63,26)))</f>
        <v/>
      </c>
    </row>
    <row r="1372">
      <c r="A1372">
        <f>IF($B1372="","",INDEX(Dossiers!$E$4:$E$63,26))</f>
        <v/>
      </c>
      <c r="B1372">
        <f>IF(INDEX(Suivi!$B:$B,1398)="","",INDEX(Suivi!$B:$B,1398))</f>
        <v/>
      </c>
      <c r="C1372">
        <f>IF($B1372="","",IF(INDEX(Suivi!$D:$D,1398)="",INDEX(Suivi!$C:$C,1398),INDEX(Suivi!$D:$D,1398)))</f>
        <v/>
      </c>
      <c r="D1372" s="29">
        <f>IF($B1372="","",INDEX(Suivi!$E:$E,1398))</f>
        <v/>
      </c>
      <c r="E1372" s="29">
        <f>IF($B1372="","",INDEX(Suivi!$F:$F,1398))</f>
        <v/>
      </c>
      <c r="F1372">
        <f>IF($B1372="","",INDEX(Suivi!$G:$G,1398))</f>
        <v/>
      </c>
      <c r="H1372">
        <f>IF(OR($B1372="",NOT(ISNUMBER($D1372))),"",IF($E1372&lt;$D$2,"Passé",IF($D1372&gt;$F$2,"À venir","Dans la période")))</f>
        <v/>
      </c>
      <c r="I1372">
        <f>IF(OR($B1372="",NOT(ISNUMBER($D1372))),"",IF(AND($E1372&lt;$D$2,$G1372&lt;&gt;"X",$F1372&lt;&gt;"Réalisé",$F1372&lt;&gt;"Clôturé"),"RETARD",""))</f>
        <v/>
      </c>
      <c r="J1372" s="29">
        <f>IF($B1372="","",IF(INDEX(Dossiers!$F$4:$F$63,26)="","",INDEX(Dossiers!$F$4:$F$63,26)))</f>
        <v/>
      </c>
      <c r="K1372" s="29">
        <f>IF($B1372="","",IF(INDEX(Dossiers!$G$4:$G$63,26)="","",INDEX(Dossiers!$G$4:$G$63,26)))</f>
        <v/>
      </c>
    </row>
    <row r="1373">
      <c r="A1373">
        <f>IF($B1373="","",INDEX(Dossiers!$E$4:$E$63,26))</f>
        <v/>
      </c>
      <c r="B1373">
        <f>IF(INDEX(Suivi!$B:$B,1399)="","",INDEX(Suivi!$B:$B,1399))</f>
        <v/>
      </c>
      <c r="C1373">
        <f>IF($B1373="","",IF(INDEX(Suivi!$D:$D,1399)="",INDEX(Suivi!$C:$C,1399),INDEX(Suivi!$D:$D,1399)))</f>
        <v/>
      </c>
      <c r="D1373" s="29">
        <f>IF($B1373="","",INDEX(Suivi!$E:$E,1399))</f>
        <v/>
      </c>
      <c r="E1373" s="29">
        <f>IF($B1373="","",INDEX(Suivi!$F:$F,1399))</f>
        <v/>
      </c>
      <c r="F1373">
        <f>IF($B1373="","",INDEX(Suivi!$G:$G,1399))</f>
        <v/>
      </c>
      <c r="H1373">
        <f>IF(OR($B1373="",NOT(ISNUMBER($D1373))),"",IF($E1373&lt;$D$2,"Passé",IF($D1373&gt;$F$2,"À venir","Dans la période")))</f>
        <v/>
      </c>
      <c r="I1373">
        <f>IF(OR($B1373="",NOT(ISNUMBER($D1373))),"",IF(AND($E1373&lt;$D$2,$G1373&lt;&gt;"X",$F1373&lt;&gt;"Réalisé",$F1373&lt;&gt;"Clôturé"),"RETARD",""))</f>
        <v/>
      </c>
      <c r="J1373" s="29">
        <f>IF($B1373="","",IF(INDEX(Dossiers!$F$4:$F$63,26)="","",INDEX(Dossiers!$F$4:$F$63,26)))</f>
        <v/>
      </c>
      <c r="K1373" s="29">
        <f>IF($B1373="","",IF(INDEX(Dossiers!$G$4:$G$63,26)="","",INDEX(Dossiers!$G$4:$G$63,26)))</f>
        <v/>
      </c>
    </row>
    <row r="1374">
      <c r="A1374">
        <f>IF($B1374="","",INDEX(Dossiers!$E$4:$E$63,26))</f>
        <v/>
      </c>
      <c r="B1374">
        <f>IF(INDEX(Suivi!$B:$B,1400)="","",INDEX(Suivi!$B:$B,1400))</f>
        <v/>
      </c>
      <c r="C1374">
        <f>IF($B1374="","",IF(INDEX(Suivi!$D:$D,1400)="",INDEX(Suivi!$C:$C,1400),INDEX(Suivi!$D:$D,1400)))</f>
        <v/>
      </c>
      <c r="D1374" s="29">
        <f>IF($B1374="","",INDEX(Suivi!$E:$E,1400))</f>
        <v/>
      </c>
      <c r="E1374" s="29">
        <f>IF($B1374="","",INDEX(Suivi!$F:$F,1400))</f>
        <v/>
      </c>
      <c r="F1374">
        <f>IF($B1374="","",INDEX(Suivi!$G:$G,1400))</f>
        <v/>
      </c>
      <c r="H1374">
        <f>IF(OR($B1374="",NOT(ISNUMBER($D1374))),"",IF($E1374&lt;$D$2,"Passé",IF($D1374&gt;$F$2,"À venir","Dans la période")))</f>
        <v/>
      </c>
      <c r="I1374">
        <f>IF(OR($B1374="",NOT(ISNUMBER($D1374))),"",IF(AND($E1374&lt;$D$2,$G1374&lt;&gt;"X",$F1374&lt;&gt;"Réalisé",$F1374&lt;&gt;"Clôturé"),"RETARD",""))</f>
        <v/>
      </c>
      <c r="J1374" s="29">
        <f>IF($B1374="","",IF(INDEX(Dossiers!$F$4:$F$63,26)="","",INDEX(Dossiers!$F$4:$F$63,26)))</f>
        <v/>
      </c>
      <c r="K1374" s="29">
        <f>IF($B1374="","",IF(INDEX(Dossiers!$G$4:$G$63,26)="","",INDEX(Dossiers!$G$4:$G$63,26)))</f>
        <v/>
      </c>
    </row>
    <row r="1375">
      <c r="A1375">
        <f>IF($B1375="","",INDEX(Dossiers!$E$4:$E$63,26))</f>
        <v/>
      </c>
      <c r="B1375">
        <f>IF(INDEX(Suivi!$B:$B,1401)="","",INDEX(Suivi!$B:$B,1401))</f>
        <v/>
      </c>
      <c r="C1375">
        <f>IF($B1375="","",IF(INDEX(Suivi!$D:$D,1401)="",INDEX(Suivi!$C:$C,1401),INDEX(Suivi!$D:$D,1401)))</f>
        <v/>
      </c>
      <c r="D1375" s="29">
        <f>IF($B1375="","",INDEX(Suivi!$E:$E,1401))</f>
        <v/>
      </c>
      <c r="E1375" s="29">
        <f>IF($B1375="","",INDEX(Suivi!$F:$F,1401))</f>
        <v/>
      </c>
      <c r="F1375">
        <f>IF($B1375="","",INDEX(Suivi!$G:$G,1401))</f>
        <v/>
      </c>
      <c r="H1375">
        <f>IF(OR($B1375="",NOT(ISNUMBER($D1375))),"",IF($E1375&lt;$D$2,"Passé",IF($D1375&gt;$F$2,"À venir","Dans la période")))</f>
        <v/>
      </c>
      <c r="I1375">
        <f>IF(OR($B1375="",NOT(ISNUMBER($D1375))),"",IF(AND($E1375&lt;$D$2,$G1375&lt;&gt;"X",$F1375&lt;&gt;"Réalisé",$F1375&lt;&gt;"Clôturé"),"RETARD",""))</f>
        <v/>
      </c>
      <c r="J1375" s="29">
        <f>IF($B1375="","",IF(INDEX(Dossiers!$F$4:$F$63,26)="","",INDEX(Dossiers!$F$4:$F$63,26)))</f>
        <v/>
      </c>
      <c r="K1375" s="29">
        <f>IF($B1375="","",IF(INDEX(Dossiers!$G$4:$G$63,26)="","",INDEX(Dossiers!$G$4:$G$63,26)))</f>
        <v/>
      </c>
    </row>
    <row r="1376">
      <c r="A1376">
        <f>IF($B1376="","",INDEX(Dossiers!$E$4:$E$63,26))</f>
        <v/>
      </c>
      <c r="B1376">
        <f>IF(INDEX(Suivi!$B:$B,1402)="","",INDEX(Suivi!$B:$B,1402))</f>
        <v/>
      </c>
      <c r="C1376">
        <f>IF($B1376="","",IF(INDEX(Suivi!$D:$D,1402)="",INDEX(Suivi!$C:$C,1402),INDEX(Suivi!$D:$D,1402)))</f>
        <v/>
      </c>
      <c r="D1376" s="29">
        <f>IF($B1376="","",INDEX(Suivi!$E:$E,1402))</f>
        <v/>
      </c>
      <c r="E1376" s="29">
        <f>IF($B1376="","",INDEX(Suivi!$F:$F,1402))</f>
        <v/>
      </c>
      <c r="F1376">
        <f>IF($B1376="","",INDEX(Suivi!$G:$G,1402))</f>
        <v/>
      </c>
      <c r="H1376">
        <f>IF(OR($B1376="",NOT(ISNUMBER($D1376))),"",IF($E1376&lt;$D$2,"Passé",IF($D1376&gt;$F$2,"À venir","Dans la période")))</f>
        <v/>
      </c>
      <c r="I1376">
        <f>IF(OR($B1376="",NOT(ISNUMBER($D1376))),"",IF(AND($E1376&lt;$D$2,$G1376&lt;&gt;"X",$F1376&lt;&gt;"Réalisé",$F1376&lt;&gt;"Clôturé"),"RETARD",""))</f>
        <v/>
      </c>
      <c r="J1376" s="29">
        <f>IF($B1376="","",IF(INDEX(Dossiers!$F$4:$F$63,26)="","",INDEX(Dossiers!$F$4:$F$63,26)))</f>
        <v/>
      </c>
      <c r="K1376" s="29">
        <f>IF($B1376="","",IF(INDEX(Dossiers!$G$4:$G$63,26)="","",INDEX(Dossiers!$G$4:$G$63,26)))</f>
        <v/>
      </c>
    </row>
    <row r="1377">
      <c r="A1377">
        <f>IF($B1377="","",INDEX(Dossiers!$E$4:$E$63,26))</f>
        <v/>
      </c>
      <c r="B1377">
        <f>IF(INDEX(Suivi!$B:$B,1403)="","",INDEX(Suivi!$B:$B,1403))</f>
        <v/>
      </c>
      <c r="C1377">
        <f>IF($B1377="","",IF(INDEX(Suivi!$D:$D,1403)="",INDEX(Suivi!$C:$C,1403),INDEX(Suivi!$D:$D,1403)))</f>
        <v/>
      </c>
      <c r="D1377" s="29">
        <f>IF($B1377="","",INDEX(Suivi!$E:$E,1403))</f>
        <v/>
      </c>
      <c r="E1377" s="29">
        <f>IF($B1377="","",INDEX(Suivi!$F:$F,1403))</f>
        <v/>
      </c>
      <c r="F1377">
        <f>IF($B1377="","",INDEX(Suivi!$G:$G,1403))</f>
        <v/>
      </c>
      <c r="H1377">
        <f>IF(OR($B1377="",NOT(ISNUMBER($D1377))),"",IF($E1377&lt;$D$2,"Passé",IF($D1377&gt;$F$2,"À venir","Dans la période")))</f>
        <v/>
      </c>
      <c r="I1377">
        <f>IF(OR($B1377="",NOT(ISNUMBER($D1377))),"",IF(AND($E1377&lt;$D$2,$G1377&lt;&gt;"X",$F1377&lt;&gt;"Réalisé",$F1377&lt;&gt;"Clôturé"),"RETARD",""))</f>
        <v/>
      </c>
      <c r="J1377" s="29">
        <f>IF($B1377="","",IF(INDEX(Dossiers!$F$4:$F$63,26)="","",INDEX(Dossiers!$F$4:$F$63,26)))</f>
        <v/>
      </c>
      <c r="K1377" s="29">
        <f>IF($B1377="","",IF(INDEX(Dossiers!$G$4:$G$63,26)="","",INDEX(Dossiers!$G$4:$G$63,26)))</f>
        <v/>
      </c>
    </row>
    <row r="1378">
      <c r="A1378">
        <f>IF($B1378="","",INDEX(Dossiers!$E$4:$E$63,26))</f>
        <v/>
      </c>
      <c r="B1378">
        <f>IF(INDEX(Suivi!$B:$B,1404)="","",INDEX(Suivi!$B:$B,1404))</f>
        <v/>
      </c>
      <c r="C1378">
        <f>IF($B1378="","",IF(INDEX(Suivi!$D:$D,1404)="",INDEX(Suivi!$C:$C,1404),INDEX(Suivi!$D:$D,1404)))</f>
        <v/>
      </c>
      <c r="D1378" s="29">
        <f>IF($B1378="","",INDEX(Suivi!$E:$E,1404))</f>
        <v/>
      </c>
      <c r="E1378" s="29">
        <f>IF($B1378="","",INDEX(Suivi!$F:$F,1404))</f>
        <v/>
      </c>
      <c r="F1378">
        <f>IF($B1378="","",INDEX(Suivi!$G:$G,1404))</f>
        <v/>
      </c>
      <c r="H1378">
        <f>IF(OR($B1378="",NOT(ISNUMBER($D1378))),"",IF($E1378&lt;$D$2,"Passé",IF($D1378&gt;$F$2,"À venir","Dans la période")))</f>
        <v/>
      </c>
      <c r="I1378">
        <f>IF(OR($B1378="",NOT(ISNUMBER($D1378))),"",IF(AND($E1378&lt;$D$2,$G1378&lt;&gt;"X",$F1378&lt;&gt;"Réalisé",$F1378&lt;&gt;"Clôturé"),"RETARD",""))</f>
        <v/>
      </c>
      <c r="J1378" s="29">
        <f>IF($B1378="","",IF(INDEX(Dossiers!$F$4:$F$63,26)="","",INDEX(Dossiers!$F$4:$F$63,26)))</f>
        <v/>
      </c>
      <c r="K1378" s="29">
        <f>IF($B1378="","",IF(INDEX(Dossiers!$G$4:$G$63,26)="","",INDEX(Dossiers!$G$4:$G$63,26)))</f>
        <v/>
      </c>
    </row>
    <row r="1379">
      <c r="A1379">
        <f>IF($B1379="","",INDEX(Dossiers!$E$4:$E$63,26))</f>
        <v/>
      </c>
      <c r="B1379">
        <f>IF(INDEX(Suivi!$B:$B,1405)="","",INDEX(Suivi!$B:$B,1405))</f>
        <v/>
      </c>
      <c r="C1379">
        <f>IF($B1379="","",IF(INDEX(Suivi!$D:$D,1405)="",INDEX(Suivi!$C:$C,1405),INDEX(Suivi!$D:$D,1405)))</f>
        <v/>
      </c>
      <c r="D1379" s="29">
        <f>IF($B1379="","",INDEX(Suivi!$E:$E,1405))</f>
        <v/>
      </c>
      <c r="E1379" s="29">
        <f>IF($B1379="","",INDEX(Suivi!$F:$F,1405))</f>
        <v/>
      </c>
      <c r="F1379">
        <f>IF($B1379="","",INDEX(Suivi!$G:$G,1405))</f>
        <v/>
      </c>
      <c r="H1379">
        <f>IF(OR($B1379="",NOT(ISNUMBER($D1379))),"",IF($E1379&lt;$D$2,"Passé",IF($D1379&gt;$F$2,"À venir","Dans la période")))</f>
        <v/>
      </c>
      <c r="I1379">
        <f>IF(OR($B1379="",NOT(ISNUMBER($D1379))),"",IF(AND($E1379&lt;$D$2,$G1379&lt;&gt;"X",$F1379&lt;&gt;"Réalisé",$F1379&lt;&gt;"Clôturé"),"RETARD",""))</f>
        <v/>
      </c>
      <c r="J1379" s="29">
        <f>IF($B1379="","",IF(INDEX(Dossiers!$F$4:$F$63,26)="","",INDEX(Dossiers!$F$4:$F$63,26)))</f>
        <v/>
      </c>
      <c r="K1379" s="29">
        <f>IF($B1379="","",IF(INDEX(Dossiers!$G$4:$G$63,26)="","",INDEX(Dossiers!$G$4:$G$63,26)))</f>
        <v/>
      </c>
    </row>
    <row r="1380">
      <c r="A1380">
        <f>IF($B1380="","",INDEX(Dossiers!$E$4:$E$63,26))</f>
        <v/>
      </c>
      <c r="B1380">
        <f>IF(INDEX(Suivi!$B:$B,1406)="","",INDEX(Suivi!$B:$B,1406))</f>
        <v/>
      </c>
      <c r="C1380">
        <f>IF($B1380="","",IF(INDEX(Suivi!$D:$D,1406)="",INDEX(Suivi!$C:$C,1406),INDEX(Suivi!$D:$D,1406)))</f>
        <v/>
      </c>
      <c r="D1380" s="29">
        <f>IF($B1380="","",INDEX(Suivi!$E:$E,1406))</f>
        <v/>
      </c>
      <c r="E1380" s="29">
        <f>IF($B1380="","",INDEX(Suivi!$F:$F,1406))</f>
        <v/>
      </c>
      <c r="F1380">
        <f>IF($B1380="","",INDEX(Suivi!$G:$G,1406))</f>
        <v/>
      </c>
      <c r="H1380">
        <f>IF(OR($B1380="",NOT(ISNUMBER($D1380))),"",IF($E1380&lt;$D$2,"Passé",IF($D1380&gt;$F$2,"À venir","Dans la période")))</f>
        <v/>
      </c>
      <c r="I1380">
        <f>IF(OR($B1380="",NOT(ISNUMBER($D1380))),"",IF(AND($E1380&lt;$D$2,$G1380&lt;&gt;"X",$F1380&lt;&gt;"Réalisé",$F1380&lt;&gt;"Clôturé"),"RETARD",""))</f>
        <v/>
      </c>
      <c r="J1380" s="29">
        <f>IF($B1380="","",IF(INDEX(Dossiers!$F$4:$F$63,26)="","",INDEX(Dossiers!$F$4:$F$63,26)))</f>
        <v/>
      </c>
      <c r="K1380" s="29">
        <f>IF($B1380="","",IF(INDEX(Dossiers!$G$4:$G$63,26)="","",INDEX(Dossiers!$G$4:$G$63,26)))</f>
        <v/>
      </c>
    </row>
    <row r="1381">
      <c r="A1381">
        <f>IF($B1381="","",INDEX(Dossiers!$E$4:$E$63,26))</f>
        <v/>
      </c>
      <c r="B1381">
        <f>IF(INDEX(Suivi!$B:$B,1407)="","",INDEX(Suivi!$B:$B,1407))</f>
        <v/>
      </c>
      <c r="C1381">
        <f>IF($B1381="","",IF(INDEX(Suivi!$D:$D,1407)="",INDEX(Suivi!$C:$C,1407),INDEX(Suivi!$D:$D,1407)))</f>
        <v/>
      </c>
      <c r="D1381" s="29">
        <f>IF($B1381="","",INDEX(Suivi!$E:$E,1407))</f>
        <v/>
      </c>
      <c r="E1381" s="29">
        <f>IF($B1381="","",INDEX(Suivi!$F:$F,1407))</f>
        <v/>
      </c>
      <c r="F1381">
        <f>IF($B1381="","",INDEX(Suivi!$G:$G,1407))</f>
        <v/>
      </c>
      <c r="H1381">
        <f>IF(OR($B1381="",NOT(ISNUMBER($D1381))),"",IF($E1381&lt;$D$2,"Passé",IF($D1381&gt;$F$2,"À venir","Dans la période")))</f>
        <v/>
      </c>
      <c r="I1381">
        <f>IF(OR($B1381="",NOT(ISNUMBER($D1381))),"",IF(AND($E1381&lt;$D$2,$G1381&lt;&gt;"X",$F1381&lt;&gt;"Réalisé",$F1381&lt;&gt;"Clôturé"),"RETARD",""))</f>
        <v/>
      </c>
      <c r="J1381" s="29">
        <f>IF($B1381="","",IF(INDEX(Dossiers!$F$4:$F$63,26)="","",INDEX(Dossiers!$F$4:$F$63,26)))</f>
        <v/>
      </c>
      <c r="K1381" s="29">
        <f>IF($B1381="","",IF(INDEX(Dossiers!$G$4:$G$63,26)="","",INDEX(Dossiers!$G$4:$G$63,26)))</f>
        <v/>
      </c>
    </row>
    <row r="1382">
      <c r="A1382">
        <f>IF($B1382="","",INDEX(Dossiers!$E$4:$E$63,27))</f>
        <v/>
      </c>
      <c r="B1382">
        <f>IF(INDEX(Suivi!$B:$B,1409)="","",INDEX(Suivi!$B:$B,1409))</f>
        <v/>
      </c>
      <c r="C1382">
        <f>IF($B1382="","",IF(INDEX(Suivi!$D:$D,1409)="",INDEX(Suivi!$C:$C,1409),INDEX(Suivi!$D:$D,1409)))</f>
        <v/>
      </c>
      <c r="D1382" s="29">
        <f>IF($B1382="","",INDEX(Suivi!$E:$E,1409))</f>
        <v/>
      </c>
      <c r="E1382" s="29">
        <f>IF($B1382="","",INDEX(Suivi!$F:$F,1409))</f>
        <v/>
      </c>
      <c r="F1382">
        <f>IF($B1382="","",INDEX(Suivi!$G:$G,1409))</f>
        <v/>
      </c>
      <c r="H1382">
        <f>IF(OR($B1382="",NOT(ISNUMBER($D1382))),"",IF($E1382&lt;$D$2,"Passé",IF($D1382&gt;$F$2,"À venir","Dans la période")))</f>
        <v/>
      </c>
      <c r="I1382">
        <f>IF(OR($B1382="",NOT(ISNUMBER($D1382))),"",IF(AND($E1382&lt;$D$2,$G1382&lt;&gt;"X",$F1382&lt;&gt;"Réalisé",$F1382&lt;&gt;"Clôturé"),"RETARD",""))</f>
        <v/>
      </c>
      <c r="J1382" s="29">
        <f>IF($B1382="","",IF(INDEX(Dossiers!$F$4:$F$63,27)="","",INDEX(Dossiers!$F$4:$F$63,27)))</f>
        <v/>
      </c>
      <c r="K1382" s="29">
        <f>IF($B1382="","",IF(INDEX(Dossiers!$G$4:$G$63,27)="","",INDEX(Dossiers!$G$4:$G$63,27)))</f>
        <v/>
      </c>
    </row>
    <row r="1383">
      <c r="A1383">
        <f>IF($B1383="","",INDEX(Dossiers!$E$4:$E$63,27))</f>
        <v/>
      </c>
      <c r="B1383">
        <f>IF(INDEX(Suivi!$B:$B,1410)="","",INDEX(Suivi!$B:$B,1410))</f>
        <v/>
      </c>
      <c r="C1383">
        <f>IF($B1383="","",IF(INDEX(Suivi!$D:$D,1410)="",INDEX(Suivi!$C:$C,1410),INDEX(Suivi!$D:$D,1410)))</f>
        <v/>
      </c>
      <c r="D1383" s="29">
        <f>IF($B1383="","",INDEX(Suivi!$E:$E,1410))</f>
        <v/>
      </c>
      <c r="E1383" s="29">
        <f>IF($B1383="","",INDEX(Suivi!$F:$F,1410))</f>
        <v/>
      </c>
      <c r="F1383">
        <f>IF($B1383="","",INDEX(Suivi!$G:$G,1410))</f>
        <v/>
      </c>
      <c r="H1383">
        <f>IF(OR($B1383="",NOT(ISNUMBER($D1383))),"",IF($E1383&lt;$D$2,"Passé",IF($D1383&gt;$F$2,"À venir","Dans la période")))</f>
        <v/>
      </c>
      <c r="I1383">
        <f>IF(OR($B1383="",NOT(ISNUMBER($D1383))),"",IF(AND($E1383&lt;$D$2,$G1383&lt;&gt;"X",$F1383&lt;&gt;"Réalisé",$F1383&lt;&gt;"Clôturé"),"RETARD",""))</f>
        <v/>
      </c>
      <c r="J1383" s="29">
        <f>IF($B1383="","",IF(INDEX(Dossiers!$F$4:$F$63,27)="","",INDEX(Dossiers!$F$4:$F$63,27)))</f>
        <v/>
      </c>
      <c r="K1383" s="29">
        <f>IF($B1383="","",IF(INDEX(Dossiers!$G$4:$G$63,27)="","",INDEX(Dossiers!$G$4:$G$63,27)))</f>
        <v/>
      </c>
    </row>
    <row r="1384">
      <c r="A1384">
        <f>IF($B1384="","",INDEX(Dossiers!$E$4:$E$63,27))</f>
        <v/>
      </c>
      <c r="B1384">
        <f>IF(INDEX(Suivi!$B:$B,1411)="","",INDEX(Suivi!$B:$B,1411))</f>
        <v/>
      </c>
      <c r="C1384">
        <f>IF($B1384="","",IF(INDEX(Suivi!$D:$D,1411)="",INDEX(Suivi!$C:$C,1411),INDEX(Suivi!$D:$D,1411)))</f>
        <v/>
      </c>
      <c r="D1384" s="29">
        <f>IF($B1384="","",INDEX(Suivi!$E:$E,1411))</f>
        <v/>
      </c>
      <c r="E1384" s="29">
        <f>IF($B1384="","",INDEX(Suivi!$F:$F,1411))</f>
        <v/>
      </c>
      <c r="F1384">
        <f>IF($B1384="","",INDEX(Suivi!$G:$G,1411))</f>
        <v/>
      </c>
      <c r="H1384">
        <f>IF(OR($B1384="",NOT(ISNUMBER($D1384))),"",IF($E1384&lt;$D$2,"Passé",IF($D1384&gt;$F$2,"À venir","Dans la période")))</f>
        <v/>
      </c>
      <c r="I1384">
        <f>IF(OR($B1384="",NOT(ISNUMBER($D1384))),"",IF(AND($E1384&lt;$D$2,$G1384&lt;&gt;"X",$F1384&lt;&gt;"Réalisé",$F1384&lt;&gt;"Clôturé"),"RETARD",""))</f>
        <v/>
      </c>
      <c r="J1384" s="29">
        <f>IF($B1384="","",IF(INDEX(Dossiers!$F$4:$F$63,27)="","",INDEX(Dossiers!$F$4:$F$63,27)))</f>
        <v/>
      </c>
      <c r="K1384" s="29">
        <f>IF($B1384="","",IF(INDEX(Dossiers!$G$4:$G$63,27)="","",INDEX(Dossiers!$G$4:$G$63,27)))</f>
        <v/>
      </c>
    </row>
    <row r="1385">
      <c r="A1385">
        <f>IF($B1385="","",INDEX(Dossiers!$E$4:$E$63,27))</f>
        <v/>
      </c>
      <c r="B1385">
        <f>IF(INDEX(Suivi!$B:$B,1412)="","",INDEX(Suivi!$B:$B,1412))</f>
        <v/>
      </c>
      <c r="C1385">
        <f>IF($B1385="","",IF(INDEX(Suivi!$D:$D,1412)="",INDEX(Suivi!$C:$C,1412),INDEX(Suivi!$D:$D,1412)))</f>
        <v/>
      </c>
      <c r="D1385" s="29">
        <f>IF($B1385="","",INDEX(Suivi!$E:$E,1412))</f>
        <v/>
      </c>
      <c r="E1385" s="29">
        <f>IF($B1385="","",INDEX(Suivi!$F:$F,1412))</f>
        <v/>
      </c>
      <c r="F1385">
        <f>IF($B1385="","",INDEX(Suivi!$G:$G,1412))</f>
        <v/>
      </c>
      <c r="H1385">
        <f>IF(OR($B1385="",NOT(ISNUMBER($D1385))),"",IF($E1385&lt;$D$2,"Passé",IF($D1385&gt;$F$2,"À venir","Dans la période")))</f>
        <v/>
      </c>
      <c r="I1385">
        <f>IF(OR($B1385="",NOT(ISNUMBER($D1385))),"",IF(AND($E1385&lt;$D$2,$G1385&lt;&gt;"X",$F1385&lt;&gt;"Réalisé",$F1385&lt;&gt;"Clôturé"),"RETARD",""))</f>
        <v/>
      </c>
      <c r="J1385" s="29">
        <f>IF($B1385="","",IF(INDEX(Dossiers!$F$4:$F$63,27)="","",INDEX(Dossiers!$F$4:$F$63,27)))</f>
        <v/>
      </c>
      <c r="K1385" s="29">
        <f>IF($B1385="","",IF(INDEX(Dossiers!$G$4:$G$63,27)="","",INDEX(Dossiers!$G$4:$G$63,27)))</f>
        <v/>
      </c>
    </row>
    <row r="1386">
      <c r="A1386">
        <f>IF($B1386="","",INDEX(Dossiers!$E$4:$E$63,27))</f>
        <v/>
      </c>
      <c r="B1386">
        <f>IF(INDEX(Suivi!$B:$B,1413)="","",INDEX(Suivi!$B:$B,1413))</f>
        <v/>
      </c>
      <c r="C1386">
        <f>IF($B1386="","",IF(INDEX(Suivi!$D:$D,1413)="",INDEX(Suivi!$C:$C,1413),INDEX(Suivi!$D:$D,1413)))</f>
        <v/>
      </c>
      <c r="D1386" s="29">
        <f>IF($B1386="","",INDEX(Suivi!$E:$E,1413))</f>
        <v/>
      </c>
      <c r="E1386" s="29">
        <f>IF($B1386="","",INDEX(Suivi!$F:$F,1413))</f>
        <v/>
      </c>
      <c r="F1386">
        <f>IF($B1386="","",INDEX(Suivi!$G:$G,1413))</f>
        <v/>
      </c>
      <c r="H1386">
        <f>IF(OR($B1386="",NOT(ISNUMBER($D1386))),"",IF($E1386&lt;$D$2,"Passé",IF($D1386&gt;$F$2,"À venir","Dans la période")))</f>
        <v/>
      </c>
      <c r="I1386">
        <f>IF(OR($B1386="",NOT(ISNUMBER($D1386))),"",IF(AND($E1386&lt;$D$2,$G1386&lt;&gt;"X",$F1386&lt;&gt;"Réalisé",$F1386&lt;&gt;"Clôturé"),"RETARD",""))</f>
        <v/>
      </c>
      <c r="J1386" s="29">
        <f>IF($B1386="","",IF(INDEX(Dossiers!$F$4:$F$63,27)="","",INDEX(Dossiers!$F$4:$F$63,27)))</f>
        <v/>
      </c>
      <c r="K1386" s="29">
        <f>IF($B1386="","",IF(INDEX(Dossiers!$G$4:$G$63,27)="","",INDEX(Dossiers!$G$4:$G$63,27)))</f>
        <v/>
      </c>
    </row>
    <row r="1387">
      <c r="A1387">
        <f>IF($B1387="","",INDEX(Dossiers!$E$4:$E$63,27))</f>
        <v/>
      </c>
      <c r="B1387">
        <f>IF(INDEX(Suivi!$B:$B,1414)="","",INDEX(Suivi!$B:$B,1414))</f>
        <v/>
      </c>
      <c r="C1387">
        <f>IF($B1387="","",IF(INDEX(Suivi!$D:$D,1414)="",INDEX(Suivi!$C:$C,1414),INDEX(Suivi!$D:$D,1414)))</f>
        <v/>
      </c>
      <c r="D1387" s="29">
        <f>IF($B1387="","",INDEX(Suivi!$E:$E,1414))</f>
        <v/>
      </c>
      <c r="E1387" s="29">
        <f>IF($B1387="","",INDEX(Suivi!$F:$F,1414))</f>
        <v/>
      </c>
      <c r="F1387">
        <f>IF($B1387="","",INDEX(Suivi!$G:$G,1414))</f>
        <v/>
      </c>
      <c r="H1387">
        <f>IF(OR($B1387="",NOT(ISNUMBER($D1387))),"",IF($E1387&lt;$D$2,"Passé",IF($D1387&gt;$F$2,"À venir","Dans la période")))</f>
        <v/>
      </c>
      <c r="I1387">
        <f>IF(OR($B1387="",NOT(ISNUMBER($D1387))),"",IF(AND($E1387&lt;$D$2,$G1387&lt;&gt;"X",$F1387&lt;&gt;"Réalisé",$F1387&lt;&gt;"Clôturé"),"RETARD",""))</f>
        <v/>
      </c>
      <c r="J1387" s="29">
        <f>IF($B1387="","",IF(INDEX(Dossiers!$F$4:$F$63,27)="","",INDEX(Dossiers!$F$4:$F$63,27)))</f>
        <v/>
      </c>
      <c r="K1387" s="29">
        <f>IF($B1387="","",IF(INDEX(Dossiers!$G$4:$G$63,27)="","",INDEX(Dossiers!$G$4:$G$63,27)))</f>
        <v/>
      </c>
    </row>
    <row r="1388">
      <c r="A1388">
        <f>IF($B1388="","",INDEX(Dossiers!$E$4:$E$63,27))</f>
        <v/>
      </c>
      <c r="B1388">
        <f>IF(INDEX(Suivi!$B:$B,1415)="","",INDEX(Suivi!$B:$B,1415))</f>
        <v/>
      </c>
      <c r="C1388">
        <f>IF($B1388="","",IF(INDEX(Suivi!$D:$D,1415)="",INDEX(Suivi!$C:$C,1415),INDEX(Suivi!$D:$D,1415)))</f>
        <v/>
      </c>
      <c r="D1388" s="29">
        <f>IF($B1388="","",INDEX(Suivi!$E:$E,1415))</f>
        <v/>
      </c>
      <c r="E1388" s="29">
        <f>IF($B1388="","",INDEX(Suivi!$F:$F,1415))</f>
        <v/>
      </c>
      <c r="F1388">
        <f>IF($B1388="","",INDEX(Suivi!$G:$G,1415))</f>
        <v/>
      </c>
      <c r="H1388">
        <f>IF(OR($B1388="",NOT(ISNUMBER($D1388))),"",IF($E1388&lt;$D$2,"Passé",IF($D1388&gt;$F$2,"À venir","Dans la période")))</f>
        <v/>
      </c>
      <c r="I1388">
        <f>IF(OR($B1388="",NOT(ISNUMBER($D1388))),"",IF(AND($E1388&lt;$D$2,$G1388&lt;&gt;"X",$F1388&lt;&gt;"Réalisé",$F1388&lt;&gt;"Clôturé"),"RETARD",""))</f>
        <v/>
      </c>
      <c r="J1388" s="29">
        <f>IF($B1388="","",IF(INDEX(Dossiers!$F$4:$F$63,27)="","",INDEX(Dossiers!$F$4:$F$63,27)))</f>
        <v/>
      </c>
      <c r="K1388" s="29">
        <f>IF($B1388="","",IF(INDEX(Dossiers!$G$4:$G$63,27)="","",INDEX(Dossiers!$G$4:$G$63,27)))</f>
        <v/>
      </c>
    </row>
    <row r="1389">
      <c r="A1389">
        <f>IF($B1389="","",INDEX(Dossiers!$E$4:$E$63,27))</f>
        <v/>
      </c>
      <c r="B1389">
        <f>IF(INDEX(Suivi!$B:$B,1416)="","",INDEX(Suivi!$B:$B,1416))</f>
        <v/>
      </c>
      <c r="C1389">
        <f>IF($B1389="","",IF(INDEX(Suivi!$D:$D,1416)="",INDEX(Suivi!$C:$C,1416),INDEX(Suivi!$D:$D,1416)))</f>
        <v/>
      </c>
      <c r="D1389" s="29">
        <f>IF($B1389="","",INDEX(Suivi!$E:$E,1416))</f>
        <v/>
      </c>
      <c r="E1389" s="29">
        <f>IF($B1389="","",INDEX(Suivi!$F:$F,1416))</f>
        <v/>
      </c>
      <c r="F1389">
        <f>IF($B1389="","",INDEX(Suivi!$G:$G,1416))</f>
        <v/>
      </c>
      <c r="H1389">
        <f>IF(OR($B1389="",NOT(ISNUMBER($D1389))),"",IF($E1389&lt;$D$2,"Passé",IF($D1389&gt;$F$2,"À venir","Dans la période")))</f>
        <v/>
      </c>
      <c r="I1389">
        <f>IF(OR($B1389="",NOT(ISNUMBER($D1389))),"",IF(AND($E1389&lt;$D$2,$G1389&lt;&gt;"X",$F1389&lt;&gt;"Réalisé",$F1389&lt;&gt;"Clôturé"),"RETARD",""))</f>
        <v/>
      </c>
      <c r="J1389" s="29">
        <f>IF($B1389="","",IF(INDEX(Dossiers!$F$4:$F$63,27)="","",INDEX(Dossiers!$F$4:$F$63,27)))</f>
        <v/>
      </c>
      <c r="K1389" s="29">
        <f>IF($B1389="","",IF(INDEX(Dossiers!$G$4:$G$63,27)="","",INDEX(Dossiers!$G$4:$G$63,27)))</f>
        <v/>
      </c>
    </row>
    <row r="1390">
      <c r="A1390">
        <f>IF($B1390="","",INDEX(Dossiers!$E$4:$E$63,27))</f>
        <v/>
      </c>
      <c r="B1390">
        <f>IF(INDEX(Suivi!$B:$B,1417)="","",INDEX(Suivi!$B:$B,1417))</f>
        <v/>
      </c>
      <c r="C1390">
        <f>IF($B1390="","",IF(INDEX(Suivi!$D:$D,1417)="",INDEX(Suivi!$C:$C,1417),INDEX(Suivi!$D:$D,1417)))</f>
        <v/>
      </c>
      <c r="D1390" s="29">
        <f>IF($B1390="","",INDEX(Suivi!$E:$E,1417))</f>
        <v/>
      </c>
      <c r="E1390" s="29">
        <f>IF($B1390="","",INDEX(Suivi!$F:$F,1417))</f>
        <v/>
      </c>
      <c r="F1390">
        <f>IF($B1390="","",INDEX(Suivi!$G:$G,1417))</f>
        <v/>
      </c>
      <c r="H1390">
        <f>IF(OR($B1390="",NOT(ISNUMBER($D1390))),"",IF($E1390&lt;$D$2,"Passé",IF($D1390&gt;$F$2,"À venir","Dans la période")))</f>
        <v/>
      </c>
      <c r="I1390">
        <f>IF(OR($B1390="",NOT(ISNUMBER($D1390))),"",IF(AND($E1390&lt;$D$2,$G1390&lt;&gt;"X",$F1390&lt;&gt;"Réalisé",$F1390&lt;&gt;"Clôturé"),"RETARD",""))</f>
        <v/>
      </c>
      <c r="J1390" s="29">
        <f>IF($B1390="","",IF(INDEX(Dossiers!$F$4:$F$63,27)="","",INDEX(Dossiers!$F$4:$F$63,27)))</f>
        <v/>
      </c>
      <c r="K1390" s="29">
        <f>IF($B1390="","",IF(INDEX(Dossiers!$G$4:$G$63,27)="","",INDEX(Dossiers!$G$4:$G$63,27)))</f>
        <v/>
      </c>
    </row>
    <row r="1391">
      <c r="A1391">
        <f>IF($B1391="","",INDEX(Dossiers!$E$4:$E$63,27))</f>
        <v/>
      </c>
      <c r="B1391">
        <f>IF(INDEX(Suivi!$B:$B,1418)="","",INDEX(Suivi!$B:$B,1418))</f>
        <v/>
      </c>
      <c r="C1391">
        <f>IF($B1391="","",IF(INDEX(Suivi!$D:$D,1418)="",INDEX(Suivi!$C:$C,1418),INDEX(Suivi!$D:$D,1418)))</f>
        <v/>
      </c>
      <c r="D1391" s="29">
        <f>IF($B1391="","",INDEX(Suivi!$E:$E,1418))</f>
        <v/>
      </c>
      <c r="E1391" s="29">
        <f>IF($B1391="","",INDEX(Suivi!$F:$F,1418))</f>
        <v/>
      </c>
      <c r="F1391">
        <f>IF($B1391="","",INDEX(Suivi!$G:$G,1418))</f>
        <v/>
      </c>
      <c r="H1391">
        <f>IF(OR($B1391="",NOT(ISNUMBER($D1391))),"",IF($E1391&lt;$D$2,"Passé",IF($D1391&gt;$F$2,"À venir","Dans la période")))</f>
        <v/>
      </c>
      <c r="I1391">
        <f>IF(OR($B1391="",NOT(ISNUMBER($D1391))),"",IF(AND($E1391&lt;$D$2,$G1391&lt;&gt;"X",$F1391&lt;&gt;"Réalisé",$F1391&lt;&gt;"Clôturé"),"RETARD",""))</f>
        <v/>
      </c>
      <c r="J1391" s="29">
        <f>IF($B1391="","",IF(INDEX(Dossiers!$F$4:$F$63,27)="","",INDEX(Dossiers!$F$4:$F$63,27)))</f>
        <v/>
      </c>
      <c r="K1391" s="29">
        <f>IF($B1391="","",IF(INDEX(Dossiers!$G$4:$G$63,27)="","",INDEX(Dossiers!$G$4:$G$63,27)))</f>
        <v/>
      </c>
    </row>
    <row r="1392">
      <c r="A1392">
        <f>IF($B1392="","",INDEX(Dossiers!$E$4:$E$63,27))</f>
        <v/>
      </c>
      <c r="B1392">
        <f>IF(INDEX(Suivi!$B:$B,1419)="","",INDEX(Suivi!$B:$B,1419))</f>
        <v/>
      </c>
      <c r="C1392">
        <f>IF($B1392="","",IF(INDEX(Suivi!$D:$D,1419)="",INDEX(Suivi!$C:$C,1419),INDEX(Suivi!$D:$D,1419)))</f>
        <v/>
      </c>
      <c r="D1392" s="29">
        <f>IF($B1392="","",INDEX(Suivi!$E:$E,1419))</f>
        <v/>
      </c>
      <c r="E1392" s="29">
        <f>IF($B1392="","",INDEX(Suivi!$F:$F,1419))</f>
        <v/>
      </c>
      <c r="F1392">
        <f>IF($B1392="","",INDEX(Suivi!$G:$G,1419))</f>
        <v/>
      </c>
      <c r="H1392">
        <f>IF(OR($B1392="",NOT(ISNUMBER($D1392))),"",IF($E1392&lt;$D$2,"Passé",IF($D1392&gt;$F$2,"À venir","Dans la période")))</f>
        <v/>
      </c>
      <c r="I1392">
        <f>IF(OR($B1392="",NOT(ISNUMBER($D1392))),"",IF(AND($E1392&lt;$D$2,$G1392&lt;&gt;"X",$F1392&lt;&gt;"Réalisé",$F1392&lt;&gt;"Clôturé"),"RETARD",""))</f>
        <v/>
      </c>
      <c r="J1392" s="29">
        <f>IF($B1392="","",IF(INDEX(Dossiers!$F$4:$F$63,27)="","",INDEX(Dossiers!$F$4:$F$63,27)))</f>
        <v/>
      </c>
      <c r="K1392" s="29">
        <f>IF($B1392="","",IF(INDEX(Dossiers!$G$4:$G$63,27)="","",INDEX(Dossiers!$G$4:$G$63,27)))</f>
        <v/>
      </c>
    </row>
    <row r="1393">
      <c r="A1393">
        <f>IF($B1393="","",INDEX(Dossiers!$E$4:$E$63,27))</f>
        <v/>
      </c>
      <c r="B1393">
        <f>IF(INDEX(Suivi!$B:$B,1420)="","",INDEX(Suivi!$B:$B,1420))</f>
        <v/>
      </c>
      <c r="C1393">
        <f>IF($B1393="","",IF(INDEX(Suivi!$D:$D,1420)="",INDEX(Suivi!$C:$C,1420),INDEX(Suivi!$D:$D,1420)))</f>
        <v/>
      </c>
      <c r="D1393" s="29">
        <f>IF($B1393="","",INDEX(Suivi!$E:$E,1420))</f>
        <v/>
      </c>
      <c r="E1393" s="29">
        <f>IF($B1393="","",INDEX(Suivi!$F:$F,1420))</f>
        <v/>
      </c>
      <c r="F1393">
        <f>IF($B1393="","",INDEX(Suivi!$G:$G,1420))</f>
        <v/>
      </c>
      <c r="H1393">
        <f>IF(OR($B1393="",NOT(ISNUMBER($D1393))),"",IF($E1393&lt;$D$2,"Passé",IF($D1393&gt;$F$2,"À venir","Dans la période")))</f>
        <v/>
      </c>
      <c r="I1393">
        <f>IF(OR($B1393="",NOT(ISNUMBER($D1393))),"",IF(AND($E1393&lt;$D$2,$G1393&lt;&gt;"X",$F1393&lt;&gt;"Réalisé",$F1393&lt;&gt;"Clôturé"),"RETARD",""))</f>
        <v/>
      </c>
      <c r="J1393" s="29">
        <f>IF($B1393="","",IF(INDEX(Dossiers!$F$4:$F$63,27)="","",INDEX(Dossiers!$F$4:$F$63,27)))</f>
        <v/>
      </c>
      <c r="K1393" s="29">
        <f>IF($B1393="","",IF(INDEX(Dossiers!$G$4:$G$63,27)="","",INDEX(Dossiers!$G$4:$G$63,27)))</f>
        <v/>
      </c>
    </row>
    <row r="1394">
      <c r="A1394">
        <f>IF($B1394="","",INDEX(Dossiers!$E$4:$E$63,27))</f>
        <v/>
      </c>
      <c r="B1394">
        <f>IF(INDEX(Suivi!$B:$B,1421)="","",INDEX(Suivi!$B:$B,1421))</f>
        <v/>
      </c>
      <c r="C1394">
        <f>IF($B1394="","",IF(INDEX(Suivi!$D:$D,1421)="",INDEX(Suivi!$C:$C,1421),INDEX(Suivi!$D:$D,1421)))</f>
        <v/>
      </c>
      <c r="D1394" s="29">
        <f>IF($B1394="","",INDEX(Suivi!$E:$E,1421))</f>
        <v/>
      </c>
      <c r="E1394" s="29">
        <f>IF($B1394="","",INDEX(Suivi!$F:$F,1421))</f>
        <v/>
      </c>
      <c r="F1394">
        <f>IF($B1394="","",INDEX(Suivi!$G:$G,1421))</f>
        <v/>
      </c>
      <c r="H1394">
        <f>IF(OR($B1394="",NOT(ISNUMBER($D1394))),"",IF($E1394&lt;$D$2,"Passé",IF($D1394&gt;$F$2,"À venir","Dans la période")))</f>
        <v/>
      </c>
      <c r="I1394">
        <f>IF(OR($B1394="",NOT(ISNUMBER($D1394))),"",IF(AND($E1394&lt;$D$2,$G1394&lt;&gt;"X",$F1394&lt;&gt;"Réalisé",$F1394&lt;&gt;"Clôturé"),"RETARD",""))</f>
        <v/>
      </c>
      <c r="J1394" s="29">
        <f>IF($B1394="","",IF(INDEX(Dossiers!$F$4:$F$63,27)="","",INDEX(Dossiers!$F$4:$F$63,27)))</f>
        <v/>
      </c>
      <c r="K1394" s="29">
        <f>IF($B1394="","",IF(INDEX(Dossiers!$G$4:$G$63,27)="","",INDEX(Dossiers!$G$4:$G$63,27)))</f>
        <v/>
      </c>
    </row>
    <row r="1395">
      <c r="A1395">
        <f>IF($B1395="","",INDEX(Dossiers!$E$4:$E$63,27))</f>
        <v/>
      </c>
      <c r="B1395">
        <f>IF(INDEX(Suivi!$B:$B,1422)="","",INDEX(Suivi!$B:$B,1422))</f>
        <v/>
      </c>
      <c r="C1395">
        <f>IF($B1395="","",IF(INDEX(Suivi!$D:$D,1422)="",INDEX(Suivi!$C:$C,1422),INDEX(Suivi!$D:$D,1422)))</f>
        <v/>
      </c>
      <c r="D1395" s="29">
        <f>IF($B1395="","",INDEX(Suivi!$E:$E,1422))</f>
        <v/>
      </c>
      <c r="E1395" s="29">
        <f>IF($B1395="","",INDEX(Suivi!$F:$F,1422))</f>
        <v/>
      </c>
      <c r="F1395">
        <f>IF($B1395="","",INDEX(Suivi!$G:$G,1422))</f>
        <v/>
      </c>
      <c r="H1395">
        <f>IF(OR($B1395="",NOT(ISNUMBER($D1395))),"",IF($E1395&lt;$D$2,"Passé",IF($D1395&gt;$F$2,"À venir","Dans la période")))</f>
        <v/>
      </c>
      <c r="I1395">
        <f>IF(OR($B1395="",NOT(ISNUMBER($D1395))),"",IF(AND($E1395&lt;$D$2,$G1395&lt;&gt;"X",$F1395&lt;&gt;"Réalisé",$F1395&lt;&gt;"Clôturé"),"RETARD",""))</f>
        <v/>
      </c>
      <c r="J1395" s="29">
        <f>IF($B1395="","",IF(INDEX(Dossiers!$F$4:$F$63,27)="","",INDEX(Dossiers!$F$4:$F$63,27)))</f>
        <v/>
      </c>
      <c r="K1395" s="29">
        <f>IF($B1395="","",IF(INDEX(Dossiers!$G$4:$G$63,27)="","",INDEX(Dossiers!$G$4:$G$63,27)))</f>
        <v/>
      </c>
    </row>
    <row r="1396">
      <c r="A1396">
        <f>IF($B1396="","",INDEX(Dossiers!$E$4:$E$63,27))</f>
        <v/>
      </c>
      <c r="B1396">
        <f>IF(INDEX(Suivi!$B:$B,1423)="","",INDEX(Suivi!$B:$B,1423))</f>
        <v/>
      </c>
      <c r="C1396">
        <f>IF($B1396="","",IF(INDEX(Suivi!$D:$D,1423)="",INDEX(Suivi!$C:$C,1423),INDEX(Suivi!$D:$D,1423)))</f>
        <v/>
      </c>
      <c r="D1396" s="29">
        <f>IF($B1396="","",INDEX(Suivi!$E:$E,1423))</f>
        <v/>
      </c>
      <c r="E1396" s="29">
        <f>IF($B1396="","",INDEX(Suivi!$F:$F,1423))</f>
        <v/>
      </c>
      <c r="F1396">
        <f>IF($B1396="","",INDEX(Suivi!$G:$G,1423))</f>
        <v/>
      </c>
      <c r="H1396">
        <f>IF(OR($B1396="",NOT(ISNUMBER($D1396))),"",IF($E1396&lt;$D$2,"Passé",IF($D1396&gt;$F$2,"À venir","Dans la période")))</f>
        <v/>
      </c>
      <c r="I1396">
        <f>IF(OR($B1396="",NOT(ISNUMBER($D1396))),"",IF(AND($E1396&lt;$D$2,$G1396&lt;&gt;"X",$F1396&lt;&gt;"Réalisé",$F1396&lt;&gt;"Clôturé"),"RETARD",""))</f>
        <v/>
      </c>
      <c r="J1396" s="29">
        <f>IF($B1396="","",IF(INDEX(Dossiers!$F$4:$F$63,27)="","",INDEX(Dossiers!$F$4:$F$63,27)))</f>
        <v/>
      </c>
      <c r="K1396" s="29">
        <f>IF($B1396="","",IF(INDEX(Dossiers!$G$4:$G$63,27)="","",INDEX(Dossiers!$G$4:$G$63,27)))</f>
        <v/>
      </c>
    </row>
    <row r="1397">
      <c r="A1397">
        <f>IF($B1397="","",INDEX(Dossiers!$E$4:$E$63,27))</f>
        <v/>
      </c>
      <c r="B1397">
        <f>IF(INDEX(Suivi!$B:$B,1424)="","",INDEX(Suivi!$B:$B,1424))</f>
        <v/>
      </c>
      <c r="C1397">
        <f>IF($B1397="","",IF(INDEX(Suivi!$D:$D,1424)="",INDEX(Suivi!$C:$C,1424),INDEX(Suivi!$D:$D,1424)))</f>
        <v/>
      </c>
      <c r="D1397" s="29">
        <f>IF($B1397="","",INDEX(Suivi!$E:$E,1424))</f>
        <v/>
      </c>
      <c r="E1397" s="29">
        <f>IF($B1397="","",INDEX(Suivi!$F:$F,1424))</f>
        <v/>
      </c>
      <c r="F1397">
        <f>IF($B1397="","",INDEX(Suivi!$G:$G,1424))</f>
        <v/>
      </c>
      <c r="H1397">
        <f>IF(OR($B1397="",NOT(ISNUMBER($D1397))),"",IF($E1397&lt;$D$2,"Passé",IF($D1397&gt;$F$2,"À venir","Dans la période")))</f>
        <v/>
      </c>
      <c r="I1397">
        <f>IF(OR($B1397="",NOT(ISNUMBER($D1397))),"",IF(AND($E1397&lt;$D$2,$G1397&lt;&gt;"X",$F1397&lt;&gt;"Réalisé",$F1397&lt;&gt;"Clôturé"),"RETARD",""))</f>
        <v/>
      </c>
      <c r="J1397" s="29">
        <f>IF($B1397="","",IF(INDEX(Dossiers!$F$4:$F$63,27)="","",INDEX(Dossiers!$F$4:$F$63,27)))</f>
        <v/>
      </c>
      <c r="K1397" s="29">
        <f>IF($B1397="","",IF(INDEX(Dossiers!$G$4:$G$63,27)="","",INDEX(Dossiers!$G$4:$G$63,27)))</f>
        <v/>
      </c>
    </row>
    <row r="1398">
      <c r="A1398">
        <f>IF($B1398="","",INDEX(Dossiers!$E$4:$E$63,27))</f>
        <v/>
      </c>
      <c r="B1398">
        <f>IF(INDEX(Suivi!$B:$B,1425)="","",INDEX(Suivi!$B:$B,1425))</f>
        <v/>
      </c>
      <c r="C1398">
        <f>IF($B1398="","",IF(INDEX(Suivi!$D:$D,1425)="",INDEX(Suivi!$C:$C,1425),INDEX(Suivi!$D:$D,1425)))</f>
        <v/>
      </c>
      <c r="D1398" s="29">
        <f>IF($B1398="","",INDEX(Suivi!$E:$E,1425))</f>
        <v/>
      </c>
      <c r="E1398" s="29">
        <f>IF($B1398="","",INDEX(Suivi!$F:$F,1425))</f>
        <v/>
      </c>
      <c r="F1398">
        <f>IF($B1398="","",INDEX(Suivi!$G:$G,1425))</f>
        <v/>
      </c>
      <c r="H1398">
        <f>IF(OR($B1398="",NOT(ISNUMBER($D1398))),"",IF($E1398&lt;$D$2,"Passé",IF($D1398&gt;$F$2,"À venir","Dans la période")))</f>
        <v/>
      </c>
      <c r="I1398">
        <f>IF(OR($B1398="",NOT(ISNUMBER($D1398))),"",IF(AND($E1398&lt;$D$2,$G1398&lt;&gt;"X",$F1398&lt;&gt;"Réalisé",$F1398&lt;&gt;"Clôturé"),"RETARD",""))</f>
        <v/>
      </c>
      <c r="J1398" s="29">
        <f>IF($B1398="","",IF(INDEX(Dossiers!$F$4:$F$63,27)="","",INDEX(Dossiers!$F$4:$F$63,27)))</f>
        <v/>
      </c>
      <c r="K1398" s="29">
        <f>IF($B1398="","",IF(INDEX(Dossiers!$G$4:$G$63,27)="","",INDEX(Dossiers!$G$4:$G$63,27)))</f>
        <v/>
      </c>
    </row>
    <row r="1399">
      <c r="A1399">
        <f>IF($B1399="","",INDEX(Dossiers!$E$4:$E$63,27))</f>
        <v/>
      </c>
      <c r="B1399">
        <f>IF(INDEX(Suivi!$B:$B,1426)="","",INDEX(Suivi!$B:$B,1426))</f>
        <v/>
      </c>
      <c r="C1399">
        <f>IF($B1399="","",IF(INDEX(Suivi!$D:$D,1426)="",INDEX(Suivi!$C:$C,1426),INDEX(Suivi!$D:$D,1426)))</f>
        <v/>
      </c>
      <c r="D1399" s="29">
        <f>IF($B1399="","",INDEX(Suivi!$E:$E,1426))</f>
        <v/>
      </c>
      <c r="E1399" s="29">
        <f>IF($B1399="","",INDEX(Suivi!$F:$F,1426))</f>
        <v/>
      </c>
      <c r="F1399">
        <f>IF($B1399="","",INDEX(Suivi!$G:$G,1426))</f>
        <v/>
      </c>
      <c r="H1399">
        <f>IF(OR($B1399="",NOT(ISNUMBER($D1399))),"",IF($E1399&lt;$D$2,"Passé",IF($D1399&gt;$F$2,"À venir","Dans la période")))</f>
        <v/>
      </c>
      <c r="I1399">
        <f>IF(OR($B1399="",NOT(ISNUMBER($D1399))),"",IF(AND($E1399&lt;$D$2,$G1399&lt;&gt;"X",$F1399&lt;&gt;"Réalisé",$F1399&lt;&gt;"Clôturé"),"RETARD",""))</f>
        <v/>
      </c>
      <c r="J1399" s="29">
        <f>IF($B1399="","",IF(INDEX(Dossiers!$F$4:$F$63,27)="","",INDEX(Dossiers!$F$4:$F$63,27)))</f>
        <v/>
      </c>
      <c r="K1399" s="29">
        <f>IF($B1399="","",IF(INDEX(Dossiers!$G$4:$G$63,27)="","",INDEX(Dossiers!$G$4:$G$63,27)))</f>
        <v/>
      </c>
    </row>
    <row r="1400">
      <c r="A1400">
        <f>IF($B1400="","",INDEX(Dossiers!$E$4:$E$63,27))</f>
        <v/>
      </c>
      <c r="B1400">
        <f>IF(INDEX(Suivi!$B:$B,1427)="","",INDEX(Suivi!$B:$B,1427))</f>
        <v/>
      </c>
      <c r="C1400">
        <f>IF($B1400="","",IF(INDEX(Suivi!$D:$D,1427)="",INDEX(Suivi!$C:$C,1427),INDEX(Suivi!$D:$D,1427)))</f>
        <v/>
      </c>
      <c r="D1400" s="29">
        <f>IF($B1400="","",INDEX(Suivi!$E:$E,1427))</f>
        <v/>
      </c>
      <c r="E1400" s="29">
        <f>IF($B1400="","",INDEX(Suivi!$F:$F,1427))</f>
        <v/>
      </c>
      <c r="F1400">
        <f>IF($B1400="","",INDEX(Suivi!$G:$G,1427))</f>
        <v/>
      </c>
      <c r="H1400">
        <f>IF(OR($B1400="",NOT(ISNUMBER($D1400))),"",IF($E1400&lt;$D$2,"Passé",IF($D1400&gt;$F$2,"À venir","Dans la période")))</f>
        <v/>
      </c>
      <c r="I1400">
        <f>IF(OR($B1400="",NOT(ISNUMBER($D1400))),"",IF(AND($E1400&lt;$D$2,$G1400&lt;&gt;"X",$F1400&lt;&gt;"Réalisé",$F1400&lt;&gt;"Clôturé"),"RETARD",""))</f>
        <v/>
      </c>
      <c r="J1400" s="29">
        <f>IF($B1400="","",IF(INDEX(Dossiers!$F$4:$F$63,27)="","",INDEX(Dossiers!$F$4:$F$63,27)))</f>
        <v/>
      </c>
      <c r="K1400" s="29">
        <f>IF($B1400="","",IF(INDEX(Dossiers!$G$4:$G$63,27)="","",INDEX(Dossiers!$G$4:$G$63,27)))</f>
        <v/>
      </c>
    </row>
    <row r="1401">
      <c r="A1401">
        <f>IF($B1401="","",INDEX(Dossiers!$E$4:$E$63,27))</f>
        <v/>
      </c>
      <c r="B1401">
        <f>IF(INDEX(Suivi!$B:$B,1428)="","",INDEX(Suivi!$B:$B,1428))</f>
        <v/>
      </c>
      <c r="C1401">
        <f>IF($B1401="","",IF(INDEX(Suivi!$D:$D,1428)="",INDEX(Suivi!$C:$C,1428),INDEX(Suivi!$D:$D,1428)))</f>
        <v/>
      </c>
      <c r="D1401" s="29">
        <f>IF($B1401="","",INDEX(Suivi!$E:$E,1428))</f>
        <v/>
      </c>
      <c r="E1401" s="29">
        <f>IF($B1401="","",INDEX(Suivi!$F:$F,1428))</f>
        <v/>
      </c>
      <c r="F1401">
        <f>IF($B1401="","",INDEX(Suivi!$G:$G,1428))</f>
        <v/>
      </c>
      <c r="H1401">
        <f>IF(OR($B1401="",NOT(ISNUMBER($D1401))),"",IF($E1401&lt;$D$2,"Passé",IF($D1401&gt;$F$2,"À venir","Dans la période")))</f>
        <v/>
      </c>
      <c r="I1401">
        <f>IF(OR($B1401="",NOT(ISNUMBER($D1401))),"",IF(AND($E1401&lt;$D$2,$G1401&lt;&gt;"X",$F1401&lt;&gt;"Réalisé",$F1401&lt;&gt;"Clôturé"),"RETARD",""))</f>
        <v/>
      </c>
      <c r="J1401" s="29">
        <f>IF($B1401="","",IF(INDEX(Dossiers!$F$4:$F$63,27)="","",INDEX(Dossiers!$F$4:$F$63,27)))</f>
        <v/>
      </c>
      <c r="K1401" s="29">
        <f>IF($B1401="","",IF(INDEX(Dossiers!$G$4:$G$63,27)="","",INDEX(Dossiers!$G$4:$G$63,27)))</f>
        <v/>
      </c>
    </row>
    <row r="1402">
      <c r="A1402">
        <f>IF($B1402="","",INDEX(Dossiers!$E$4:$E$63,27))</f>
        <v/>
      </c>
      <c r="B1402">
        <f>IF(INDEX(Suivi!$B:$B,1429)="","",INDEX(Suivi!$B:$B,1429))</f>
        <v/>
      </c>
      <c r="C1402">
        <f>IF($B1402="","",IF(INDEX(Suivi!$D:$D,1429)="",INDEX(Suivi!$C:$C,1429),INDEX(Suivi!$D:$D,1429)))</f>
        <v/>
      </c>
      <c r="D1402" s="29">
        <f>IF($B1402="","",INDEX(Suivi!$E:$E,1429))</f>
        <v/>
      </c>
      <c r="E1402" s="29">
        <f>IF($B1402="","",INDEX(Suivi!$F:$F,1429))</f>
        <v/>
      </c>
      <c r="F1402">
        <f>IF($B1402="","",INDEX(Suivi!$G:$G,1429))</f>
        <v/>
      </c>
      <c r="H1402">
        <f>IF(OR($B1402="",NOT(ISNUMBER($D1402))),"",IF($E1402&lt;$D$2,"Passé",IF($D1402&gt;$F$2,"À venir","Dans la période")))</f>
        <v/>
      </c>
      <c r="I1402">
        <f>IF(OR($B1402="",NOT(ISNUMBER($D1402))),"",IF(AND($E1402&lt;$D$2,$G1402&lt;&gt;"X",$F1402&lt;&gt;"Réalisé",$F1402&lt;&gt;"Clôturé"),"RETARD",""))</f>
        <v/>
      </c>
      <c r="J1402" s="29">
        <f>IF($B1402="","",IF(INDEX(Dossiers!$F$4:$F$63,27)="","",INDEX(Dossiers!$F$4:$F$63,27)))</f>
        <v/>
      </c>
      <c r="K1402" s="29">
        <f>IF($B1402="","",IF(INDEX(Dossiers!$G$4:$G$63,27)="","",INDEX(Dossiers!$G$4:$G$63,27)))</f>
        <v/>
      </c>
    </row>
    <row r="1403">
      <c r="A1403">
        <f>IF($B1403="","",INDEX(Dossiers!$E$4:$E$63,27))</f>
        <v/>
      </c>
      <c r="B1403">
        <f>IF(INDEX(Suivi!$B:$B,1430)="","",INDEX(Suivi!$B:$B,1430))</f>
        <v/>
      </c>
      <c r="C1403">
        <f>IF($B1403="","",IF(INDEX(Suivi!$D:$D,1430)="",INDEX(Suivi!$C:$C,1430),INDEX(Suivi!$D:$D,1430)))</f>
        <v/>
      </c>
      <c r="D1403" s="29">
        <f>IF($B1403="","",INDEX(Suivi!$E:$E,1430))</f>
        <v/>
      </c>
      <c r="E1403" s="29">
        <f>IF($B1403="","",INDEX(Suivi!$F:$F,1430))</f>
        <v/>
      </c>
      <c r="F1403">
        <f>IF($B1403="","",INDEX(Suivi!$G:$G,1430))</f>
        <v/>
      </c>
      <c r="H1403">
        <f>IF(OR($B1403="",NOT(ISNUMBER($D1403))),"",IF($E1403&lt;$D$2,"Passé",IF($D1403&gt;$F$2,"À venir","Dans la période")))</f>
        <v/>
      </c>
      <c r="I1403">
        <f>IF(OR($B1403="",NOT(ISNUMBER($D1403))),"",IF(AND($E1403&lt;$D$2,$G1403&lt;&gt;"X",$F1403&lt;&gt;"Réalisé",$F1403&lt;&gt;"Clôturé"),"RETARD",""))</f>
        <v/>
      </c>
      <c r="J1403" s="29">
        <f>IF($B1403="","",IF(INDEX(Dossiers!$F$4:$F$63,27)="","",INDEX(Dossiers!$F$4:$F$63,27)))</f>
        <v/>
      </c>
      <c r="K1403" s="29">
        <f>IF($B1403="","",IF(INDEX(Dossiers!$G$4:$G$63,27)="","",INDEX(Dossiers!$G$4:$G$63,27)))</f>
        <v/>
      </c>
    </row>
    <row r="1404">
      <c r="A1404">
        <f>IF($B1404="","",INDEX(Dossiers!$E$4:$E$63,27))</f>
        <v/>
      </c>
      <c r="B1404">
        <f>IF(INDEX(Suivi!$B:$B,1431)="","",INDEX(Suivi!$B:$B,1431))</f>
        <v/>
      </c>
      <c r="C1404">
        <f>IF($B1404="","",IF(INDEX(Suivi!$D:$D,1431)="",INDEX(Suivi!$C:$C,1431),INDEX(Suivi!$D:$D,1431)))</f>
        <v/>
      </c>
      <c r="D1404" s="29">
        <f>IF($B1404="","",INDEX(Suivi!$E:$E,1431))</f>
        <v/>
      </c>
      <c r="E1404" s="29">
        <f>IF($B1404="","",INDEX(Suivi!$F:$F,1431))</f>
        <v/>
      </c>
      <c r="F1404">
        <f>IF($B1404="","",INDEX(Suivi!$G:$G,1431))</f>
        <v/>
      </c>
      <c r="H1404">
        <f>IF(OR($B1404="",NOT(ISNUMBER($D1404))),"",IF($E1404&lt;$D$2,"Passé",IF($D1404&gt;$F$2,"À venir","Dans la période")))</f>
        <v/>
      </c>
      <c r="I1404">
        <f>IF(OR($B1404="",NOT(ISNUMBER($D1404))),"",IF(AND($E1404&lt;$D$2,$G1404&lt;&gt;"X",$F1404&lt;&gt;"Réalisé",$F1404&lt;&gt;"Clôturé"),"RETARD",""))</f>
        <v/>
      </c>
      <c r="J1404" s="29">
        <f>IF($B1404="","",IF(INDEX(Dossiers!$F$4:$F$63,27)="","",INDEX(Dossiers!$F$4:$F$63,27)))</f>
        <v/>
      </c>
      <c r="K1404" s="29">
        <f>IF($B1404="","",IF(INDEX(Dossiers!$G$4:$G$63,27)="","",INDEX(Dossiers!$G$4:$G$63,27)))</f>
        <v/>
      </c>
    </row>
    <row r="1405">
      <c r="A1405">
        <f>IF($B1405="","",INDEX(Dossiers!$E$4:$E$63,27))</f>
        <v/>
      </c>
      <c r="B1405">
        <f>IF(INDEX(Suivi!$B:$B,1432)="","",INDEX(Suivi!$B:$B,1432))</f>
        <v/>
      </c>
      <c r="C1405">
        <f>IF($B1405="","",IF(INDEX(Suivi!$D:$D,1432)="",INDEX(Suivi!$C:$C,1432),INDEX(Suivi!$D:$D,1432)))</f>
        <v/>
      </c>
      <c r="D1405" s="29">
        <f>IF($B1405="","",INDEX(Suivi!$E:$E,1432))</f>
        <v/>
      </c>
      <c r="E1405" s="29">
        <f>IF($B1405="","",INDEX(Suivi!$F:$F,1432))</f>
        <v/>
      </c>
      <c r="F1405">
        <f>IF($B1405="","",INDEX(Suivi!$G:$G,1432))</f>
        <v/>
      </c>
      <c r="H1405">
        <f>IF(OR($B1405="",NOT(ISNUMBER($D1405))),"",IF($E1405&lt;$D$2,"Passé",IF($D1405&gt;$F$2,"À venir","Dans la période")))</f>
        <v/>
      </c>
      <c r="I1405">
        <f>IF(OR($B1405="",NOT(ISNUMBER($D1405))),"",IF(AND($E1405&lt;$D$2,$G1405&lt;&gt;"X",$F1405&lt;&gt;"Réalisé",$F1405&lt;&gt;"Clôturé"),"RETARD",""))</f>
        <v/>
      </c>
      <c r="J1405" s="29">
        <f>IF($B1405="","",IF(INDEX(Dossiers!$F$4:$F$63,27)="","",INDEX(Dossiers!$F$4:$F$63,27)))</f>
        <v/>
      </c>
      <c r="K1405" s="29">
        <f>IF($B1405="","",IF(INDEX(Dossiers!$G$4:$G$63,27)="","",INDEX(Dossiers!$G$4:$G$63,27)))</f>
        <v/>
      </c>
    </row>
    <row r="1406">
      <c r="A1406">
        <f>IF($B1406="","",INDEX(Dossiers!$E$4:$E$63,27))</f>
        <v/>
      </c>
      <c r="B1406">
        <f>IF(INDEX(Suivi!$B:$B,1433)="","",INDEX(Suivi!$B:$B,1433))</f>
        <v/>
      </c>
      <c r="C1406">
        <f>IF($B1406="","",IF(INDEX(Suivi!$D:$D,1433)="",INDEX(Suivi!$C:$C,1433),INDEX(Suivi!$D:$D,1433)))</f>
        <v/>
      </c>
      <c r="D1406" s="29">
        <f>IF($B1406="","",INDEX(Suivi!$E:$E,1433))</f>
        <v/>
      </c>
      <c r="E1406" s="29">
        <f>IF($B1406="","",INDEX(Suivi!$F:$F,1433))</f>
        <v/>
      </c>
      <c r="F1406">
        <f>IF($B1406="","",INDEX(Suivi!$G:$G,1433))</f>
        <v/>
      </c>
      <c r="H1406">
        <f>IF(OR($B1406="",NOT(ISNUMBER($D1406))),"",IF($E1406&lt;$D$2,"Passé",IF($D1406&gt;$F$2,"À venir","Dans la période")))</f>
        <v/>
      </c>
      <c r="I1406">
        <f>IF(OR($B1406="",NOT(ISNUMBER($D1406))),"",IF(AND($E1406&lt;$D$2,$G1406&lt;&gt;"X",$F1406&lt;&gt;"Réalisé",$F1406&lt;&gt;"Clôturé"),"RETARD",""))</f>
        <v/>
      </c>
      <c r="J1406" s="29">
        <f>IF($B1406="","",IF(INDEX(Dossiers!$F$4:$F$63,27)="","",INDEX(Dossiers!$F$4:$F$63,27)))</f>
        <v/>
      </c>
      <c r="K1406" s="29">
        <f>IF($B1406="","",IF(INDEX(Dossiers!$G$4:$G$63,27)="","",INDEX(Dossiers!$G$4:$G$63,27)))</f>
        <v/>
      </c>
    </row>
    <row r="1407">
      <c r="A1407">
        <f>IF($B1407="","",INDEX(Dossiers!$E$4:$E$63,27))</f>
        <v/>
      </c>
      <c r="B1407">
        <f>IF(INDEX(Suivi!$B:$B,1434)="","",INDEX(Suivi!$B:$B,1434))</f>
        <v/>
      </c>
      <c r="C1407">
        <f>IF($B1407="","",IF(INDEX(Suivi!$D:$D,1434)="",INDEX(Suivi!$C:$C,1434),INDEX(Suivi!$D:$D,1434)))</f>
        <v/>
      </c>
      <c r="D1407" s="29">
        <f>IF($B1407="","",INDEX(Suivi!$E:$E,1434))</f>
        <v/>
      </c>
      <c r="E1407" s="29">
        <f>IF($B1407="","",INDEX(Suivi!$F:$F,1434))</f>
        <v/>
      </c>
      <c r="F1407">
        <f>IF($B1407="","",INDEX(Suivi!$G:$G,1434))</f>
        <v/>
      </c>
      <c r="H1407">
        <f>IF(OR($B1407="",NOT(ISNUMBER($D1407))),"",IF($E1407&lt;$D$2,"Passé",IF($D1407&gt;$F$2,"À venir","Dans la période")))</f>
        <v/>
      </c>
      <c r="I1407">
        <f>IF(OR($B1407="",NOT(ISNUMBER($D1407))),"",IF(AND($E1407&lt;$D$2,$G1407&lt;&gt;"X",$F1407&lt;&gt;"Réalisé",$F1407&lt;&gt;"Clôturé"),"RETARD",""))</f>
        <v/>
      </c>
      <c r="J1407" s="29">
        <f>IF($B1407="","",IF(INDEX(Dossiers!$F$4:$F$63,27)="","",INDEX(Dossiers!$F$4:$F$63,27)))</f>
        <v/>
      </c>
      <c r="K1407" s="29">
        <f>IF($B1407="","",IF(INDEX(Dossiers!$G$4:$G$63,27)="","",INDEX(Dossiers!$G$4:$G$63,27)))</f>
        <v/>
      </c>
    </row>
    <row r="1408">
      <c r="A1408">
        <f>IF($B1408="","",INDEX(Dossiers!$E$4:$E$63,27))</f>
        <v/>
      </c>
      <c r="B1408">
        <f>IF(INDEX(Suivi!$B:$B,1435)="","",INDEX(Suivi!$B:$B,1435))</f>
        <v/>
      </c>
      <c r="C1408">
        <f>IF($B1408="","",IF(INDEX(Suivi!$D:$D,1435)="",INDEX(Suivi!$C:$C,1435),INDEX(Suivi!$D:$D,1435)))</f>
        <v/>
      </c>
      <c r="D1408" s="29">
        <f>IF($B1408="","",INDEX(Suivi!$E:$E,1435))</f>
        <v/>
      </c>
      <c r="E1408" s="29">
        <f>IF($B1408="","",INDEX(Suivi!$F:$F,1435))</f>
        <v/>
      </c>
      <c r="F1408">
        <f>IF($B1408="","",INDEX(Suivi!$G:$G,1435))</f>
        <v/>
      </c>
      <c r="H1408">
        <f>IF(OR($B1408="",NOT(ISNUMBER($D1408))),"",IF($E1408&lt;$D$2,"Passé",IF($D1408&gt;$F$2,"À venir","Dans la période")))</f>
        <v/>
      </c>
      <c r="I1408">
        <f>IF(OR($B1408="",NOT(ISNUMBER($D1408))),"",IF(AND($E1408&lt;$D$2,$G1408&lt;&gt;"X",$F1408&lt;&gt;"Réalisé",$F1408&lt;&gt;"Clôturé"),"RETARD",""))</f>
        <v/>
      </c>
      <c r="J1408" s="29">
        <f>IF($B1408="","",IF(INDEX(Dossiers!$F$4:$F$63,27)="","",INDEX(Dossiers!$F$4:$F$63,27)))</f>
        <v/>
      </c>
      <c r="K1408" s="29">
        <f>IF($B1408="","",IF(INDEX(Dossiers!$G$4:$G$63,27)="","",INDEX(Dossiers!$G$4:$G$63,27)))</f>
        <v/>
      </c>
    </row>
    <row r="1409">
      <c r="A1409">
        <f>IF($B1409="","",INDEX(Dossiers!$E$4:$E$63,27))</f>
        <v/>
      </c>
      <c r="B1409">
        <f>IF(INDEX(Suivi!$B:$B,1436)="","",INDEX(Suivi!$B:$B,1436))</f>
        <v/>
      </c>
      <c r="C1409">
        <f>IF($B1409="","",IF(INDEX(Suivi!$D:$D,1436)="",INDEX(Suivi!$C:$C,1436),INDEX(Suivi!$D:$D,1436)))</f>
        <v/>
      </c>
      <c r="D1409" s="29">
        <f>IF($B1409="","",INDEX(Suivi!$E:$E,1436))</f>
        <v/>
      </c>
      <c r="E1409" s="29">
        <f>IF($B1409="","",INDEX(Suivi!$F:$F,1436))</f>
        <v/>
      </c>
      <c r="F1409">
        <f>IF($B1409="","",INDEX(Suivi!$G:$G,1436))</f>
        <v/>
      </c>
      <c r="H1409">
        <f>IF(OR($B1409="",NOT(ISNUMBER($D1409))),"",IF($E1409&lt;$D$2,"Passé",IF($D1409&gt;$F$2,"À venir","Dans la période")))</f>
        <v/>
      </c>
      <c r="I1409">
        <f>IF(OR($B1409="",NOT(ISNUMBER($D1409))),"",IF(AND($E1409&lt;$D$2,$G1409&lt;&gt;"X",$F1409&lt;&gt;"Réalisé",$F1409&lt;&gt;"Clôturé"),"RETARD",""))</f>
        <v/>
      </c>
      <c r="J1409" s="29">
        <f>IF($B1409="","",IF(INDEX(Dossiers!$F$4:$F$63,27)="","",INDEX(Dossiers!$F$4:$F$63,27)))</f>
        <v/>
      </c>
      <c r="K1409" s="29">
        <f>IF($B1409="","",IF(INDEX(Dossiers!$G$4:$G$63,27)="","",INDEX(Dossiers!$G$4:$G$63,27)))</f>
        <v/>
      </c>
    </row>
    <row r="1410">
      <c r="A1410">
        <f>IF($B1410="","",INDEX(Dossiers!$E$4:$E$63,27))</f>
        <v/>
      </c>
      <c r="B1410">
        <f>IF(INDEX(Suivi!$B:$B,1437)="","",INDEX(Suivi!$B:$B,1437))</f>
        <v/>
      </c>
      <c r="C1410">
        <f>IF($B1410="","",IF(INDEX(Suivi!$D:$D,1437)="",INDEX(Suivi!$C:$C,1437),INDEX(Suivi!$D:$D,1437)))</f>
        <v/>
      </c>
      <c r="D1410" s="29">
        <f>IF($B1410="","",INDEX(Suivi!$E:$E,1437))</f>
        <v/>
      </c>
      <c r="E1410" s="29">
        <f>IF($B1410="","",INDEX(Suivi!$F:$F,1437))</f>
        <v/>
      </c>
      <c r="F1410">
        <f>IF($B1410="","",INDEX(Suivi!$G:$G,1437))</f>
        <v/>
      </c>
      <c r="H1410">
        <f>IF(OR($B1410="",NOT(ISNUMBER($D1410))),"",IF($E1410&lt;$D$2,"Passé",IF($D1410&gt;$F$2,"À venir","Dans la période")))</f>
        <v/>
      </c>
      <c r="I1410">
        <f>IF(OR($B1410="",NOT(ISNUMBER($D1410))),"",IF(AND($E1410&lt;$D$2,$G1410&lt;&gt;"X",$F1410&lt;&gt;"Réalisé",$F1410&lt;&gt;"Clôturé"),"RETARD",""))</f>
        <v/>
      </c>
      <c r="J1410" s="29">
        <f>IF($B1410="","",IF(INDEX(Dossiers!$F$4:$F$63,27)="","",INDEX(Dossiers!$F$4:$F$63,27)))</f>
        <v/>
      </c>
      <c r="K1410" s="29">
        <f>IF($B1410="","",IF(INDEX(Dossiers!$G$4:$G$63,27)="","",INDEX(Dossiers!$G$4:$G$63,27)))</f>
        <v/>
      </c>
    </row>
    <row r="1411">
      <c r="A1411">
        <f>IF($B1411="","",INDEX(Dossiers!$E$4:$E$63,27))</f>
        <v/>
      </c>
      <c r="B1411">
        <f>IF(INDEX(Suivi!$B:$B,1438)="","",INDEX(Suivi!$B:$B,1438))</f>
        <v/>
      </c>
      <c r="C1411">
        <f>IF($B1411="","",IF(INDEX(Suivi!$D:$D,1438)="",INDEX(Suivi!$C:$C,1438),INDEX(Suivi!$D:$D,1438)))</f>
        <v/>
      </c>
      <c r="D1411" s="29">
        <f>IF($B1411="","",INDEX(Suivi!$E:$E,1438))</f>
        <v/>
      </c>
      <c r="E1411" s="29">
        <f>IF($B1411="","",INDEX(Suivi!$F:$F,1438))</f>
        <v/>
      </c>
      <c r="F1411">
        <f>IF($B1411="","",INDEX(Suivi!$G:$G,1438))</f>
        <v/>
      </c>
      <c r="H1411">
        <f>IF(OR($B1411="",NOT(ISNUMBER($D1411))),"",IF($E1411&lt;$D$2,"Passé",IF($D1411&gt;$F$2,"À venir","Dans la période")))</f>
        <v/>
      </c>
      <c r="I1411">
        <f>IF(OR($B1411="",NOT(ISNUMBER($D1411))),"",IF(AND($E1411&lt;$D$2,$G1411&lt;&gt;"X",$F1411&lt;&gt;"Réalisé",$F1411&lt;&gt;"Clôturé"),"RETARD",""))</f>
        <v/>
      </c>
      <c r="J1411" s="29">
        <f>IF($B1411="","",IF(INDEX(Dossiers!$F$4:$F$63,27)="","",INDEX(Dossiers!$F$4:$F$63,27)))</f>
        <v/>
      </c>
      <c r="K1411" s="29">
        <f>IF($B1411="","",IF(INDEX(Dossiers!$G$4:$G$63,27)="","",INDEX(Dossiers!$G$4:$G$63,27)))</f>
        <v/>
      </c>
    </row>
    <row r="1412">
      <c r="A1412">
        <f>IF($B1412="","",INDEX(Dossiers!$E$4:$E$63,27))</f>
        <v/>
      </c>
      <c r="B1412">
        <f>IF(INDEX(Suivi!$B:$B,1439)="","",INDEX(Suivi!$B:$B,1439))</f>
        <v/>
      </c>
      <c r="C1412">
        <f>IF($B1412="","",IF(INDEX(Suivi!$D:$D,1439)="",INDEX(Suivi!$C:$C,1439),INDEX(Suivi!$D:$D,1439)))</f>
        <v/>
      </c>
      <c r="D1412" s="29">
        <f>IF($B1412="","",INDEX(Suivi!$E:$E,1439))</f>
        <v/>
      </c>
      <c r="E1412" s="29">
        <f>IF($B1412="","",INDEX(Suivi!$F:$F,1439))</f>
        <v/>
      </c>
      <c r="F1412">
        <f>IF($B1412="","",INDEX(Suivi!$G:$G,1439))</f>
        <v/>
      </c>
      <c r="H1412">
        <f>IF(OR($B1412="",NOT(ISNUMBER($D1412))),"",IF($E1412&lt;$D$2,"Passé",IF($D1412&gt;$F$2,"À venir","Dans la période")))</f>
        <v/>
      </c>
      <c r="I1412">
        <f>IF(OR($B1412="",NOT(ISNUMBER($D1412))),"",IF(AND($E1412&lt;$D$2,$G1412&lt;&gt;"X",$F1412&lt;&gt;"Réalisé",$F1412&lt;&gt;"Clôturé"),"RETARD",""))</f>
        <v/>
      </c>
      <c r="J1412" s="29">
        <f>IF($B1412="","",IF(INDEX(Dossiers!$F$4:$F$63,27)="","",INDEX(Dossiers!$F$4:$F$63,27)))</f>
        <v/>
      </c>
      <c r="K1412" s="29">
        <f>IF($B1412="","",IF(INDEX(Dossiers!$G$4:$G$63,27)="","",INDEX(Dossiers!$G$4:$G$63,27)))</f>
        <v/>
      </c>
    </row>
    <row r="1413">
      <c r="A1413">
        <f>IF($B1413="","",INDEX(Dossiers!$E$4:$E$63,27))</f>
        <v/>
      </c>
      <c r="B1413">
        <f>IF(INDEX(Suivi!$B:$B,1440)="","",INDEX(Suivi!$B:$B,1440))</f>
        <v/>
      </c>
      <c r="C1413">
        <f>IF($B1413="","",IF(INDEX(Suivi!$D:$D,1440)="",INDEX(Suivi!$C:$C,1440),INDEX(Suivi!$D:$D,1440)))</f>
        <v/>
      </c>
      <c r="D1413" s="29">
        <f>IF($B1413="","",INDEX(Suivi!$E:$E,1440))</f>
        <v/>
      </c>
      <c r="E1413" s="29">
        <f>IF($B1413="","",INDEX(Suivi!$F:$F,1440))</f>
        <v/>
      </c>
      <c r="F1413">
        <f>IF($B1413="","",INDEX(Suivi!$G:$G,1440))</f>
        <v/>
      </c>
      <c r="H1413">
        <f>IF(OR($B1413="",NOT(ISNUMBER($D1413))),"",IF($E1413&lt;$D$2,"Passé",IF($D1413&gt;$F$2,"À venir","Dans la période")))</f>
        <v/>
      </c>
      <c r="I1413">
        <f>IF(OR($B1413="",NOT(ISNUMBER($D1413))),"",IF(AND($E1413&lt;$D$2,$G1413&lt;&gt;"X",$F1413&lt;&gt;"Réalisé",$F1413&lt;&gt;"Clôturé"),"RETARD",""))</f>
        <v/>
      </c>
      <c r="J1413" s="29">
        <f>IF($B1413="","",IF(INDEX(Dossiers!$F$4:$F$63,27)="","",INDEX(Dossiers!$F$4:$F$63,27)))</f>
        <v/>
      </c>
      <c r="K1413" s="29">
        <f>IF($B1413="","",IF(INDEX(Dossiers!$G$4:$G$63,27)="","",INDEX(Dossiers!$G$4:$G$63,27)))</f>
        <v/>
      </c>
    </row>
    <row r="1414">
      <c r="A1414">
        <f>IF($B1414="","",INDEX(Dossiers!$E$4:$E$63,27))</f>
        <v/>
      </c>
      <c r="B1414">
        <f>IF(INDEX(Suivi!$B:$B,1441)="","",INDEX(Suivi!$B:$B,1441))</f>
        <v/>
      </c>
      <c r="C1414">
        <f>IF($B1414="","",IF(INDEX(Suivi!$D:$D,1441)="",INDEX(Suivi!$C:$C,1441),INDEX(Suivi!$D:$D,1441)))</f>
        <v/>
      </c>
      <c r="D1414" s="29">
        <f>IF($B1414="","",INDEX(Suivi!$E:$E,1441))</f>
        <v/>
      </c>
      <c r="E1414" s="29">
        <f>IF($B1414="","",INDEX(Suivi!$F:$F,1441))</f>
        <v/>
      </c>
      <c r="F1414">
        <f>IF($B1414="","",INDEX(Suivi!$G:$G,1441))</f>
        <v/>
      </c>
      <c r="H1414">
        <f>IF(OR($B1414="",NOT(ISNUMBER($D1414))),"",IF($E1414&lt;$D$2,"Passé",IF($D1414&gt;$F$2,"À venir","Dans la période")))</f>
        <v/>
      </c>
      <c r="I1414">
        <f>IF(OR($B1414="",NOT(ISNUMBER($D1414))),"",IF(AND($E1414&lt;$D$2,$G1414&lt;&gt;"X",$F1414&lt;&gt;"Réalisé",$F1414&lt;&gt;"Clôturé"),"RETARD",""))</f>
        <v/>
      </c>
      <c r="J1414" s="29">
        <f>IF($B1414="","",IF(INDEX(Dossiers!$F$4:$F$63,27)="","",INDEX(Dossiers!$F$4:$F$63,27)))</f>
        <v/>
      </c>
      <c r="K1414" s="29">
        <f>IF($B1414="","",IF(INDEX(Dossiers!$G$4:$G$63,27)="","",INDEX(Dossiers!$G$4:$G$63,27)))</f>
        <v/>
      </c>
    </row>
    <row r="1415">
      <c r="A1415">
        <f>IF($B1415="","",INDEX(Dossiers!$E$4:$E$63,27))</f>
        <v/>
      </c>
      <c r="B1415">
        <f>IF(INDEX(Suivi!$B:$B,1442)="","",INDEX(Suivi!$B:$B,1442))</f>
        <v/>
      </c>
      <c r="C1415">
        <f>IF($B1415="","",IF(INDEX(Suivi!$D:$D,1442)="",INDEX(Suivi!$C:$C,1442),INDEX(Suivi!$D:$D,1442)))</f>
        <v/>
      </c>
      <c r="D1415" s="29">
        <f>IF($B1415="","",INDEX(Suivi!$E:$E,1442))</f>
        <v/>
      </c>
      <c r="E1415" s="29">
        <f>IF($B1415="","",INDEX(Suivi!$F:$F,1442))</f>
        <v/>
      </c>
      <c r="F1415">
        <f>IF($B1415="","",INDEX(Suivi!$G:$G,1442))</f>
        <v/>
      </c>
      <c r="H1415">
        <f>IF(OR($B1415="",NOT(ISNUMBER($D1415))),"",IF($E1415&lt;$D$2,"Passé",IF($D1415&gt;$F$2,"À venir","Dans la période")))</f>
        <v/>
      </c>
      <c r="I1415">
        <f>IF(OR($B1415="",NOT(ISNUMBER($D1415))),"",IF(AND($E1415&lt;$D$2,$G1415&lt;&gt;"X",$F1415&lt;&gt;"Réalisé",$F1415&lt;&gt;"Clôturé"),"RETARD",""))</f>
        <v/>
      </c>
      <c r="J1415" s="29">
        <f>IF($B1415="","",IF(INDEX(Dossiers!$F$4:$F$63,27)="","",INDEX(Dossiers!$F$4:$F$63,27)))</f>
        <v/>
      </c>
      <c r="K1415" s="29">
        <f>IF($B1415="","",IF(INDEX(Dossiers!$G$4:$G$63,27)="","",INDEX(Dossiers!$G$4:$G$63,27)))</f>
        <v/>
      </c>
    </row>
    <row r="1416">
      <c r="A1416">
        <f>IF($B1416="","",INDEX(Dossiers!$E$4:$E$63,27))</f>
        <v/>
      </c>
      <c r="B1416">
        <f>IF(INDEX(Suivi!$B:$B,1443)="","",INDEX(Suivi!$B:$B,1443))</f>
        <v/>
      </c>
      <c r="C1416">
        <f>IF($B1416="","",IF(INDEX(Suivi!$D:$D,1443)="",INDEX(Suivi!$C:$C,1443),INDEX(Suivi!$D:$D,1443)))</f>
        <v/>
      </c>
      <c r="D1416" s="29">
        <f>IF($B1416="","",INDEX(Suivi!$E:$E,1443))</f>
        <v/>
      </c>
      <c r="E1416" s="29">
        <f>IF($B1416="","",INDEX(Suivi!$F:$F,1443))</f>
        <v/>
      </c>
      <c r="F1416">
        <f>IF($B1416="","",INDEX(Suivi!$G:$G,1443))</f>
        <v/>
      </c>
      <c r="H1416">
        <f>IF(OR($B1416="",NOT(ISNUMBER($D1416))),"",IF($E1416&lt;$D$2,"Passé",IF($D1416&gt;$F$2,"À venir","Dans la période")))</f>
        <v/>
      </c>
      <c r="I1416">
        <f>IF(OR($B1416="",NOT(ISNUMBER($D1416))),"",IF(AND($E1416&lt;$D$2,$G1416&lt;&gt;"X",$F1416&lt;&gt;"Réalisé",$F1416&lt;&gt;"Clôturé"),"RETARD",""))</f>
        <v/>
      </c>
      <c r="J1416" s="29">
        <f>IF($B1416="","",IF(INDEX(Dossiers!$F$4:$F$63,27)="","",INDEX(Dossiers!$F$4:$F$63,27)))</f>
        <v/>
      </c>
      <c r="K1416" s="29">
        <f>IF($B1416="","",IF(INDEX(Dossiers!$G$4:$G$63,27)="","",INDEX(Dossiers!$G$4:$G$63,27)))</f>
        <v/>
      </c>
    </row>
    <row r="1417">
      <c r="A1417">
        <f>IF($B1417="","",INDEX(Dossiers!$E$4:$E$63,27))</f>
        <v/>
      </c>
      <c r="B1417">
        <f>IF(INDEX(Suivi!$B:$B,1444)="","",INDEX(Suivi!$B:$B,1444))</f>
        <v/>
      </c>
      <c r="C1417">
        <f>IF($B1417="","",IF(INDEX(Suivi!$D:$D,1444)="",INDEX(Suivi!$C:$C,1444),INDEX(Suivi!$D:$D,1444)))</f>
        <v/>
      </c>
      <c r="D1417" s="29">
        <f>IF($B1417="","",INDEX(Suivi!$E:$E,1444))</f>
        <v/>
      </c>
      <c r="E1417" s="29">
        <f>IF($B1417="","",INDEX(Suivi!$F:$F,1444))</f>
        <v/>
      </c>
      <c r="F1417">
        <f>IF($B1417="","",INDEX(Suivi!$G:$G,1444))</f>
        <v/>
      </c>
      <c r="H1417">
        <f>IF(OR($B1417="",NOT(ISNUMBER($D1417))),"",IF($E1417&lt;$D$2,"Passé",IF($D1417&gt;$F$2,"À venir","Dans la période")))</f>
        <v/>
      </c>
      <c r="I1417">
        <f>IF(OR($B1417="",NOT(ISNUMBER($D1417))),"",IF(AND($E1417&lt;$D$2,$G1417&lt;&gt;"X",$F1417&lt;&gt;"Réalisé",$F1417&lt;&gt;"Clôturé"),"RETARD",""))</f>
        <v/>
      </c>
      <c r="J1417" s="29">
        <f>IF($B1417="","",IF(INDEX(Dossiers!$F$4:$F$63,27)="","",INDEX(Dossiers!$F$4:$F$63,27)))</f>
        <v/>
      </c>
      <c r="K1417" s="29">
        <f>IF($B1417="","",IF(INDEX(Dossiers!$G$4:$G$63,27)="","",INDEX(Dossiers!$G$4:$G$63,27)))</f>
        <v/>
      </c>
    </row>
    <row r="1418">
      <c r="A1418">
        <f>IF($B1418="","",INDEX(Dossiers!$E$4:$E$63,27))</f>
        <v/>
      </c>
      <c r="B1418">
        <f>IF(INDEX(Suivi!$B:$B,1445)="","",INDEX(Suivi!$B:$B,1445))</f>
        <v/>
      </c>
      <c r="C1418">
        <f>IF($B1418="","",IF(INDEX(Suivi!$D:$D,1445)="",INDEX(Suivi!$C:$C,1445),INDEX(Suivi!$D:$D,1445)))</f>
        <v/>
      </c>
      <c r="D1418" s="29">
        <f>IF($B1418="","",INDEX(Suivi!$E:$E,1445))</f>
        <v/>
      </c>
      <c r="E1418" s="29">
        <f>IF($B1418="","",INDEX(Suivi!$F:$F,1445))</f>
        <v/>
      </c>
      <c r="F1418">
        <f>IF($B1418="","",INDEX(Suivi!$G:$G,1445))</f>
        <v/>
      </c>
      <c r="H1418">
        <f>IF(OR($B1418="",NOT(ISNUMBER($D1418))),"",IF($E1418&lt;$D$2,"Passé",IF($D1418&gt;$F$2,"À venir","Dans la période")))</f>
        <v/>
      </c>
      <c r="I1418">
        <f>IF(OR($B1418="",NOT(ISNUMBER($D1418))),"",IF(AND($E1418&lt;$D$2,$G1418&lt;&gt;"X",$F1418&lt;&gt;"Réalisé",$F1418&lt;&gt;"Clôturé"),"RETARD",""))</f>
        <v/>
      </c>
      <c r="J1418" s="29">
        <f>IF($B1418="","",IF(INDEX(Dossiers!$F$4:$F$63,27)="","",INDEX(Dossiers!$F$4:$F$63,27)))</f>
        <v/>
      </c>
      <c r="K1418" s="29">
        <f>IF($B1418="","",IF(INDEX(Dossiers!$G$4:$G$63,27)="","",INDEX(Dossiers!$G$4:$G$63,27)))</f>
        <v/>
      </c>
    </row>
    <row r="1419">
      <c r="A1419">
        <f>IF($B1419="","",INDEX(Dossiers!$E$4:$E$63,27))</f>
        <v/>
      </c>
      <c r="B1419">
        <f>IF(INDEX(Suivi!$B:$B,1446)="","",INDEX(Suivi!$B:$B,1446))</f>
        <v/>
      </c>
      <c r="C1419">
        <f>IF($B1419="","",IF(INDEX(Suivi!$D:$D,1446)="",INDEX(Suivi!$C:$C,1446),INDEX(Suivi!$D:$D,1446)))</f>
        <v/>
      </c>
      <c r="D1419" s="29">
        <f>IF($B1419="","",INDEX(Suivi!$E:$E,1446))</f>
        <v/>
      </c>
      <c r="E1419" s="29">
        <f>IF($B1419="","",INDEX(Suivi!$F:$F,1446))</f>
        <v/>
      </c>
      <c r="F1419">
        <f>IF($B1419="","",INDEX(Suivi!$G:$G,1446))</f>
        <v/>
      </c>
      <c r="H1419">
        <f>IF(OR($B1419="",NOT(ISNUMBER($D1419))),"",IF($E1419&lt;$D$2,"Passé",IF($D1419&gt;$F$2,"À venir","Dans la période")))</f>
        <v/>
      </c>
      <c r="I1419">
        <f>IF(OR($B1419="",NOT(ISNUMBER($D1419))),"",IF(AND($E1419&lt;$D$2,$G1419&lt;&gt;"X",$F1419&lt;&gt;"Réalisé",$F1419&lt;&gt;"Clôturé"),"RETARD",""))</f>
        <v/>
      </c>
      <c r="J1419" s="29">
        <f>IF($B1419="","",IF(INDEX(Dossiers!$F$4:$F$63,27)="","",INDEX(Dossiers!$F$4:$F$63,27)))</f>
        <v/>
      </c>
      <c r="K1419" s="29">
        <f>IF($B1419="","",IF(INDEX(Dossiers!$G$4:$G$63,27)="","",INDEX(Dossiers!$G$4:$G$63,27)))</f>
        <v/>
      </c>
    </row>
    <row r="1420">
      <c r="A1420">
        <f>IF($B1420="","",INDEX(Dossiers!$E$4:$E$63,27))</f>
        <v/>
      </c>
      <c r="B1420">
        <f>IF(INDEX(Suivi!$B:$B,1447)="","",INDEX(Suivi!$B:$B,1447))</f>
        <v/>
      </c>
      <c r="C1420">
        <f>IF($B1420="","",IF(INDEX(Suivi!$D:$D,1447)="",INDEX(Suivi!$C:$C,1447),INDEX(Suivi!$D:$D,1447)))</f>
        <v/>
      </c>
      <c r="D1420" s="29">
        <f>IF($B1420="","",INDEX(Suivi!$E:$E,1447))</f>
        <v/>
      </c>
      <c r="E1420" s="29">
        <f>IF($B1420="","",INDEX(Suivi!$F:$F,1447))</f>
        <v/>
      </c>
      <c r="F1420">
        <f>IF($B1420="","",INDEX(Suivi!$G:$G,1447))</f>
        <v/>
      </c>
      <c r="H1420">
        <f>IF(OR($B1420="",NOT(ISNUMBER($D1420))),"",IF($E1420&lt;$D$2,"Passé",IF($D1420&gt;$F$2,"À venir","Dans la période")))</f>
        <v/>
      </c>
      <c r="I1420">
        <f>IF(OR($B1420="",NOT(ISNUMBER($D1420))),"",IF(AND($E1420&lt;$D$2,$G1420&lt;&gt;"X",$F1420&lt;&gt;"Réalisé",$F1420&lt;&gt;"Clôturé"),"RETARD",""))</f>
        <v/>
      </c>
      <c r="J1420" s="29">
        <f>IF($B1420="","",IF(INDEX(Dossiers!$F$4:$F$63,27)="","",INDEX(Dossiers!$F$4:$F$63,27)))</f>
        <v/>
      </c>
      <c r="K1420" s="29">
        <f>IF($B1420="","",IF(INDEX(Dossiers!$G$4:$G$63,27)="","",INDEX(Dossiers!$G$4:$G$63,27)))</f>
        <v/>
      </c>
    </row>
    <row r="1421">
      <c r="A1421">
        <f>IF($B1421="","",INDEX(Dossiers!$E$4:$E$63,27))</f>
        <v/>
      </c>
      <c r="B1421">
        <f>IF(INDEX(Suivi!$B:$B,1448)="","",INDEX(Suivi!$B:$B,1448))</f>
        <v/>
      </c>
      <c r="C1421">
        <f>IF($B1421="","",IF(INDEX(Suivi!$D:$D,1448)="",INDEX(Suivi!$C:$C,1448),INDEX(Suivi!$D:$D,1448)))</f>
        <v/>
      </c>
      <c r="D1421" s="29">
        <f>IF($B1421="","",INDEX(Suivi!$E:$E,1448))</f>
        <v/>
      </c>
      <c r="E1421" s="29">
        <f>IF($B1421="","",INDEX(Suivi!$F:$F,1448))</f>
        <v/>
      </c>
      <c r="F1421">
        <f>IF($B1421="","",INDEX(Suivi!$G:$G,1448))</f>
        <v/>
      </c>
      <c r="H1421">
        <f>IF(OR($B1421="",NOT(ISNUMBER($D1421))),"",IF($E1421&lt;$D$2,"Passé",IF($D1421&gt;$F$2,"À venir","Dans la période")))</f>
        <v/>
      </c>
      <c r="I1421">
        <f>IF(OR($B1421="",NOT(ISNUMBER($D1421))),"",IF(AND($E1421&lt;$D$2,$G1421&lt;&gt;"X",$F1421&lt;&gt;"Réalisé",$F1421&lt;&gt;"Clôturé"),"RETARD",""))</f>
        <v/>
      </c>
      <c r="J1421" s="29">
        <f>IF($B1421="","",IF(INDEX(Dossiers!$F$4:$F$63,27)="","",INDEX(Dossiers!$F$4:$F$63,27)))</f>
        <v/>
      </c>
      <c r="K1421" s="29">
        <f>IF($B1421="","",IF(INDEX(Dossiers!$G$4:$G$63,27)="","",INDEX(Dossiers!$G$4:$G$63,27)))</f>
        <v/>
      </c>
    </row>
    <row r="1422">
      <c r="A1422">
        <f>IF($B1422="","",INDEX(Dossiers!$E$4:$E$63,27))</f>
        <v/>
      </c>
      <c r="B1422">
        <f>IF(INDEX(Suivi!$B:$B,1449)="","",INDEX(Suivi!$B:$B,1449))</f>
        <v/>
      </c>
      <c r="C1422">
        <f>IF($B1422="","",IF(INDEX(Suivi!$D:$D,1449)="",INDEX(Suivi!$C:$C,1449),INDEX(Suivi!$D:$D,1449)))</f>
        <v/>
      </c>
      <c r="D1422" s="29">
        <f>IF($B1422="","",INDEX(Suivi!$E:$E,1449))</f>
        <v/>
      </c>
      <c r="E1422" s="29">
        <f>IF($B1422="","",INDEX(Suivi!$F:$F,1449))</f>
        <v/>
      </c>
      <c r="F1422">
        <f>IF($B1422="","",INDEX(Suivi!$G:$G,1449))</f>
        <v/>
      </c>
      <c r="H1422">
        <f>IF(OR($B1422="",NOT(ISNUMBER($D1422))),"",IF($E1422&lt;$D$2,"Passé",IF($D1422&gt;$F$2,"À venir","Dans la période")))</f>
        <v/>
      </c>
      <c r="I1422">
        <f>IF(OR($B1422="",NOT(ISNUMBER($D1422))),"",IF(AND($E1422&lt;$D$2,$G1422&lt;&gt;"X",$F1422&lt;&gt;"Réalisé",$F1422&lt;&gt;"Clôturé"),"RETARD",""))</f>
        <v/>
      </c>
      <c r="J1422" s="29">
        <f>IF($B1422="","",IF(INDEX(Dossiers!$F$4:$F$63,27)="","",INDEX(Dossiers!$F$4:$F$63,27)))</f>
        <v/>
      </c>
      <c r="K1422" s="29">
        <f>IF($B1422="","",IF(INDEX(Dossiers!$G$4:$G$63,27)="","",INDEX(Dossiers!$G$4:$G$63,27)))</f>
        <v/>
      </c>
    </row>
    <row r="1423">
      <c r="A1423">
        <f>IF($B1423="","",INDEX(Dossiers!$E$4:$E$63,27))</f>
        <v/>
      </c>
      <c r="B1423">
        <f>IF(INDEX(Suivi!$B:$B,1450)="","",INDEX(Suivi!$B:$B,1450))</f>
        <v/>
      </c>
      <c r="C1423">
        <f>IF($B1423="","",IF(INDEX(Suivi!$D:$D,1450)="",INDEX(Suivi!$C:$C,1450),INDEX(Suivi!$D:$D,1450)))</f>
        <v/>
      </c>
      <c r="D1423" s="29">
        <f>IF($B1423="","",INDEX(Suivi!$E:$E,1450))</f>
        <v/>
      </c>
      <c r="E1423" s="29">
        <f>IF($B1423="","",INDEX(Suivi!$F:$F,1450))</f>
        <v/>
      </c>
      <c r="F1423">
        <f>IF($B1423="","",INDEX(Suivi!$G:$G,1450))</f>
        <v/>
      </c>
      <c r="H1423">
        <f>IF(OR($B1423="",NOT(ISNUMBER($D1423))),"",IF($E1423&lt;$D$2,"Passé",IF($D1423&gt;$F$2,"À venir","Dans la période")))</f>
        <v/>
      </c>
      <c r="I1423">
        <f>IF(OR($B1423="",NOT(ISNUMBER($D1423))),"",IF(AND($E1423&lt;$D$2,$G1423&lt;&gt;"X",$F1423&lt;&gt;"Réalisé",$F1423&lt;&gt;"Clôturé"),"RETARD",""))</f>
        <v/>
      </c>
      <c r="J1423" s="29">
        <f>IF($B1423="","",IF(INDEX(Dossiers!$F$4:$F$63,27)="","",INDEX(Dossiers!$F$4:$F$63,27)))</f>
        <v/>
      </c>
      <c r="K1423" s="29">
        <f>IF($B1423="","",IF(INDEX(Dossiers!$G$4:$G$63,27)="","",INDEX(Dossiers!$G$4:$G$63,27)))</f>
        <v/>
      </c>
    </row>
    <row r="1424">
      <c r="A1424">
        <f>IF($B1424="","",INDEX(Dossiers!$E$4:$E$63,27))</f>
        <v/>
      </c>
      <c r="B1424">
        <f>IF(INDEX(Suivi!$B:$B,1451)="","",INDEX(Suivi!$B:$B,1451))</f>
        <v/>
      </c>
      <c r="C1424">
        <f>IF($B1424="","",IF(INDEX(Suivi!$D:$D,1451)="",INDEX(Suivi!$C:$C,1451),INDEX(Suivi!$D:$D,1451)))</f>
        <v/>
      </c>
      <c r="D1424" s="29">
        <f>IF($B1424="","",INDEX(Suivi!$E:$E,1451))</f>
        <v/>
      </c>
      <c r="E1424" s="29">
        <f>IF($B1424="","",INDEX(Suivi!$F:$F,1451))</f>
        <v/>
      </c>
      <c r="F1424">
        <f>IF($B1424="","",INDEX(Suivi!$G:$G,1451))</f>
        <v/>
      </c>
      <c r="H1424">
        <f>IF(OR($B1424="",NOT(ISNUMBER($D1424))),"",IF($E1424&lt;$D$2,"Passé",IF($D1424&gt;$F$2,"À venir","Dans la période")))</f>
        <v/>
      </c>
      <c r="I1424">
        <f>IF(OR($B1424="",NOT(ISNUMBER($D1424))),"",IF(AND($E1424&lt;$D$2,$G1424&lt;&gt;"X",$F1424&lt;&gt;"Réalisé",$F1424&lt;&gt;"Clôturé"),"RETARD",""))</f>
        <v/>
      </c>
      <c r="J1424" s="29">
        <f>IF($B1424="","",IF(INDEX(Dossiers!$F$4:$F$63,27)="","",INDEX(Dossiers!$F$4:$F$63,27)))</f>
        <v/>
      </c>
      <c r="K1424" s="29">
        <f>IF($B1424="","",IF(INDEX(Dossiers!$G$4:$G$63,27)="","",INDEX(Dossiers!$G$4:$G$63,27)))</f>
        <v/>
      </c>
    </row>
    <row r="1425">
      <c r="A1425">
        <f>IF($B1425="","",INDEX(Dossiers!$E$4:$E$63,27))</f>
        <v/>
      </c>
      <c r="B1425">
        <f>IF(INDEX(Suivi!$B:$B,1452)="","",INDEX(Suivi!$B:$B,1452))</f>
        <v/>
      </c>
      <c r="C1425">
        <f>IF($B1425="","",IF(INDEX(Suivi!$D:$D,1452)="",INDEX(Suivi!$C:$C,1452),INDEX(Suivi!$D:$D,1452)))</f>
        <v/>
      </c>
      <c r="D1425" s="29">
        <f>IF($B1425="","",INDEX(Suivi!$E:$E,1452))</f>
        <v/>
      </c>
      <c r="E1425" s="29">
        <f>IF($B1425="","",INDEX(Suivi!$F:$F,1452))</f>
        <v/>
      </c>
      <c r="F1425">
        <f>IF($B1425="","",INDEX(Suivi!$G:$G,1452))</f>
        <v/>
      </c>
      <c r="H1425">
        <f>IF(OR($B1425="",NOT(ISNUMBER($D1425))),"",IF($E1425&lt;$D$2,"Passé",IF($D1425&gt;$F$2,"À venir","Dans la période")))</f>
        <v/>
      </c>
      <c r="I1425">
        <f>IF(OR($B1425="",NOT(ISNUMBER($D1425))),"",IF(AND($E1425&lt;$D$2,$G1425&lt;&gt;"X",$F1425&lt;&gt;"Réalisé",$F1425&lt;&gt;"Clôturé"),"RETARD",""))</f>
        <v/>
      </c>
      <c r="J1425" s="29">
        <f>IF($B1425="","",IF(INDEX(Dossiers!$F$4:$F$63,27)="","",INDEX(Dossiers!$F$4:$F$63,27)))</f>
        <v/>
      </c>
      <c r="K1425" s="29">
        <f>IF($B1425="","",IF(INDEX(Dossiers!$G$4:$G$63,27)="","",INDEX(Dossiers!$G$4:$G$63,27)))</f>
        <v/>
      </c>
    </row>
    <row r="1426">
      <c r="A1426">
        <f>IF($B1426="","",INDEX(Dossiers!$E$4:$E$63,27))</f>
        <v/>
      </c>
      <c r="B1426">
        <f>IF(INDEX(Suivi!$B:$B,1453)="","",INDEX(Suivi!$B:$B,1453))</f>
        <v/>
      </c>
      <c r="C1426">
        <f>IF($B1426="","",IF(INDEX(Suivi!$D:$D,1453)="",INDEX(Suivi!$C:$C,1453),INDEX(Suivi!$D:$D,1453)))</f>
        <v/>
      </c>
      <c r="D1426" s="29">
        <f>IF($B1426="","",INDEX(Suivi!$E:$E,1453))</f>
        <v/>
      </c>
      <c r="E1426" s="29">
        <f>IF($B1426="","",INDEX(Suivi!$F:$F,1453))</f>
        <v/>
      </c>
      <c r="F1426">
        <f>IF($B1426="","",INDEX(Suivi!$G:$G,1453))</f>
        <v/>
      </c>
      <c r="H1426">
        <f>IF(OR($B1426="",NOT(ISNUMBER($D1426))),"",IF($E1426&lt;$D$2,"Passé",IF($D1426&gt;$F$2,"À venir","Dans la période")))</f>
        <v/>
      </c>
      <c r="I1426">
        <f>IF(OR($B1426="",NOT(ISNUMBER($D1426))),"",IF(AND($E1426&lt;$D$2,$G1426&lt;&gt;"X",$F1426&lt;&gt;"Réalisé",$F1426&lt;&gt;"Clôturé"),"RETARD",""))</f>
        <v/>
      </c>
      <c r="J1426" s="29">
        <f>IF($B1426="","",IF(INDEX(Dossiers!$F$4:$F$63,27)="","",INDEX(Dossiers!$F$4:$F$63,27)))</f>
        <v/>
      </c>
      <c r="K1426" s="29">
        <f>IF($B1426="","",IF(INDEX(Dossiers!$G$4:$G$63,27)="","",INDEX(Dossiers!$G$4:$G$63,27)))</f>
        <v/>
      </c>
    </row>
    <row r="1427">
      <c r="A1427">
        <f>IF($B1427="","",INDEX(Dossiers!$E$4:$E$63,27))</f>
        <v/>
      </c>
      <c r="B1427">
        <f>IF(INDEX(Suivi!$B:$B,1454)="","",INDEX(Suivi!$B:$B,1454))</f>
        <v/>
      </c>
      <c r="C1427">
        <f>IF($B1427="","",IF(INDEX(Suivi!$D:$D,1454)="",INDEX(Suivi!$C:$C,1454),INDEX(Suivi!$D:$D,1454)))</f>
        <v/>
      </c>
      <c r="D1427" s="29">
        <f>IF($B1427="","",INDEX(Suivi!$E:$E,1454))</f>
        <v/>
      </c>
      <c r="E1427" s="29">
        <f>IF($B1427="","",INDEX(Suivi!$F:$F,1454))</f>
        <v/>
      </c>
      <c r="F1427">
        <f>IF($B1427="","",INDEX(Suivi!$G:$G,1454))</f>
        <v/>
      </c>
      <c r="H1427">
        <f>IF(OR($B1427="",NOT(ISNUMBER($D1427))),"",IF($E1427&lt;$D$2,"Passé",IF($D1427&gt;$F$2,"À venir","Dans la période")))</f>
        <v/>
      </c>
      <c r="I1427">
        <f>IF(OR($B1427="",NOT(ISNUMBER($D1427))),"",IF(AND($E1427&lt;$D$2,$G1427&lt;&gt;"X",$F1427&lt;&gt;"Réalisé",$F1427&lt;&gt;"Clôturé"),"RETARD",""))</f>
        <v/>
      </c>
      <c r="J1427" s="29">
        <f>IF($B1427="","",IF(INDEX(Dossiers!$F$4:$F$63,27)="","",INDEX(Dossiers!$F$4:$F$63,27)))</f>
        <v/>
      </c>
      <c r="K1427" s="29">
        <f>IF($B1427="","",IF(INDEX(Dossiers!$G$4:$G$63,27)="","",INDEX(Dossiers!$G$4:$G$63,27)))</f>
        <v/>
      </c>
    </row>
    <row r="1428">
      <c r="A1428">
        <f>IF($B1428="","",INDEX(Dossiers!$E$4:$E$63,27))</f>
        <v/>
      </c>
      <c r="B1428">
        <f>IF(INDEX(Suivi!$B:$B,1455)="","",INDEX(Suivi!$B:$B,1455))</f>
        <v/>
      </c>
      <c r="C1428">
        <f>IF($B1428="","",IF(INDEX(Suivi!$D:$D,1455)="",INDEX(Suivi!$C:$C,1455),INDEX(Suivi!$D:$D,1455)))</f>
        <v/>
      </c>
      <c r="D1428" s="29">
        <f>IF($B1428="","",INDEX(Suivi!$E:$E,1455))</f>
        <v/>
      </c>
      <c r="E1428" s="29">
        <f>IF($B1428="","",INDEX(Suivi!$F:$F,1455))</f>
        <v/>
      </c>
      <c r="F1428">
        <f>IF($B1428="","",INDEX(Suivi!$G:$G,1455))</f>
        <v/>
      </c>
      <c r="H1428">
        <f>IF(OR($B1428="",NOT(ISNUMBER($D1428))),"",IF($E1428&lt;$D$2,"Passé",IF($D1428&gt;$F$2,"À venir","Dans la période")))</f>
        <v/>
      </c>
      <c r="I1428">
        <f>IF(OR($B1428="",NOT(ISNUMBER($D1428))),"",IF(AND($E1428&lt;$D$2,$G1428&lt;&gt;"X",$F1428&lt;&gt;"Réalisé",$F1428&lt;&gt;"Clôturé"),"RETARD",""))</f>
        <v/>
      </c>
      <c r="J1428" s="29">
        <f>IF($B1428="","",IF(INDEX(Dossiers!$F$4:$F$63,27)="","",INDEX(Dossiers!$F$4:$F$63,27)))</f>
        <v/>
      </c>
      <c r="K1428" s="29">
        <f>IF($B1428="","",IF(INDEX(Dossiers!$G$4:$G$63,27)="","",INDEX(Dossiers!$G$4:$G$63,27)))</f>
        <v/>
      </c>
    </row>
    <row r="1429">
      <c r="A1429">
        <f>IF($B1429="","",INDEX(Dossiers!$E$4:$E$63,27))</f>
        <v/>
      </c>
      <c r="B1429">
        <f>IF(INDEX(Suivi!$B:$B,1456)="","",INDEX(Suivi!$B:$B,1456))</f>
        <v/>
      </c>
      <c r="C1429">
        <f>IF($B1429="","",IF(INDEX(Suivi!$D:$D,1456)="",INDEX(Suivi!$C:$C,1456),INDEX(Suivi!$D:$D,1456)))</f>
        <v/>
      </c>
      <c r="D1429" s="29">
        <f>IF($B1429="","",INDEX(Suivi!$E:$E,1456))</f>
        <v/>
      </c>
      <c r="E1429" s="29">
        <f>IF($B1429="","",INDEX(Suivi!$F:$F,1456))</f>
        <v/>
      </c>
      <c r="F1429">
        <f>IF($B1429="","",INDEX(Suivi!$G:$G,1456))</f>
        <v/>
      </c>
      <c r="H1429">
        <f>IF(OR($B1429="",NOT(ISNUMBER($D1429))),"",IF($E1429&lt;$D$2,"Passé",IF($D1429&gt;$F$2,"À venir","Dans la période")))</f>
        <v/>
      </c>
      <c r="I1429">
        <f>IF(OR($B1429="",NOT(ISNUMBER($D1429))),"",IF(AND($E1429&lt;$D$2,$G1429&lt;&gt;"X",$F1429&lt;&gt;"Réalisé",$F1429&lt;&gt;"Clôturé"),"RETARD",""))</f>
        <v/>
      </c>
      <c r="J1429" s="29">
        <f>IF($B1429="","",IF(INDEX(Dossiers!$F$4:$F$63,27)="","",INDEX(Dossiers!$F$4:$F$63,27)))</f>
        <v/>
      </c>
      <c r="K1429" s="29">
        <f>IF($B1429="","",IF(INDEX(Dossiers!$G$4:$G$63,27)="","",INDEX(Dossiers!$G$4:$G$63,27)))</f>
        <v/>
      </c>
    </row>
    <row r="1430">
      <c r="A1430">
        <f>IF($B1430="","",INDEX(Dossiers!$E$4:$E$63,27))</f>
        <v/>
      </c>
      <c r="B1430">
        <f>IF(INDEX(Suivi!$B:$B,1457)="","",INDEX(Suivi!$B:$B,1457))</f>
        <v/>
      </c>
      <c r="C1430">
        <f>IF($B1430="","",IF(INDEX(Suivi!$D:$D,1457)="",INDEX(Suivi!$C:$C,1457),INDEX(Suivi!$D:$D,1457)))</f>
        <v/>
      </c>
      <c r="D1430" s="29">
        <f>IF($B1430="","",INDEX(Suivi!$E:$E,1457))</f>
        <v/>
      </c>
      <c r="E1430" s="29">
        <f>IF($B1430="","",INDEX(Suivi!$F:$F,1457))</f>
        <v/>
      </c>
      <c r="F1430">
        <f>IF($B1430="","",INDEX(Suivi!$G:$G,1457))</f>
        <v/>
      </c>
      <c r="H1430">
        <f>IF(OR($B1430="",NOT(ISNUMBER($D1430))),"",IF($E1430&lt;$D$2,"Passé",IF($D1430&gt;$F$2,"À venir","Dans la période")))</f>
        <v/>
      </c>
      <c r="I1430">
        <f>IF(OR($B1430="",NOT(ISNUMBER($D1430))),"",IF(AND($E1430&lt;$D$2,$G1430&lt;&gt;"X",$F1430&lt;&gt;"Réalisé",$F1430&lt;&gt;"Clôturé"),"RETARD",""))</f>
        <v/>
      </c>
      <c r="J1430" s="29">
        <f>IF($B1430="","",IF(INDEX(Dossiers!$F$4:$F$63,27)="","",INDEX(Dossiers!$F$4:$F$63,27)))</f>
        <v/>
      </c>
      <c r="K1430" s="29">
        <f>IF($B1430="","",IF(INDEX(Dossiers!$G$4:$G$63,27)="","",INDEX(Dossiers!$G$4:$G$63,27)))</f>
        <v/>
      </c>
    </row>
    <row r="1431">
      <c r="A1431">
        <f>IF($B1431="","",INDEX(Dossiers!$E$4:$E$63,27))</f>
        <v/>
      </c>
      <c r="B1431">
        <f>IF(INDEX(Suivi!$B:$B,1458)="","",INDEX(Suivi!$B:$B,1458))</f>
        <v/>
      </c>
      <c r="C1431">
        <f>IF($B1431="","",IF(INDEX(Suivi!$D:$D,1458)="",INDEX(Suivi!$C:$C,1458),INDEX(Suivi!$D:$D,1458)))</f>
        <v/>
      </c>
      <c r="D1431" s="29">
        <f>IF($B1431="","",INDEX(Suivi!$E:$E,1458))</f>
        <v/>
      </c>
      <c r="E1431" s="29">
        <f>IF($B1431="","",INDEX(Suivi!$F:$F,1458))</f>
        <v/>
      </c>
      <c r="F1431">
        <f>IF($B1431="","",INDEX(Suivi!$G:$G,1458))</f>
        <v/>
      </c>
      <c r="H1431">
        <f>IF(OR($B1431="",NOT(ISNUMBER($D1431))),"",IF($E1431&lt;$D$2,"Passé",IF($D1431&gt;$F$2,"À venir","Dans la période")))</f>
        <v/>
      </c>
      <c r="I1431">
        <f>IF(OR($B1431="",NOT(ISNUMBER($D1431))),"",IF(AND($E1431&lt;$D$2,$G1431&lt;&gt;"X",$F1431&lt;&gt;"Réalisé",$F1431&lt;&gt;"Clôturé"),"RETARD",""))</f>
        <v/>
      </c>
      <c r="J1431" s="29">
        <f>IF($B1431="","",IF(INDEX(Dossiers!$F$4:$F$63,27)="","",INDEX(Dossiers!$F$4:$F$63,27)))</f>
        <v/>
      </c>
      <c r="K1431" s="29">
        <f>IF($B1431="","",IF(INDEX(Dossiers!$G$4:$G$63,27)="","",INDEX(Dossiers!$G$4:$G$63,27)))</f>
        <v/>
      </c>
    </row>
    <row r="1432">
      <c r="A1432">
        <f>IF($B1432="","",INDEX(Dossiers!$E$4:$E$63,27))</f>
        <v/>
      </c>
      <c r="B1432">
        <f>IF(INDEX(Suivi!$B:$B,1459)="","",INDEX(Suivi!$B:$B,1459))</f>
        <v/>
      </c>
      <c r="C1432">
        <f>IF($B1432="","",IF(INDEX(Suivi!$D:$D,1459)="",INDEX(Suivi!$C:$C,1459),INDEX(Suivi!$D:$D,1459)))</f>
        <v/>
      </c>
      <c r="D1432" s="29">
        <f>IF($B1432="","",INDEX(Suivi!$E:$E,1459))</f>
        <v/>
      </c>
      <c r="E1432" s="29">
        <f>IF($B1432="","",INDEX(Suivi!$F:$F,1459))</f>
        <v/>
      </c>
      <c r="F1432">
        <f>IF($B1432="","",INDEX(Suivi!$G:$G,1459))</f>
        <v/>
      </c>
      <c r="H1432">
        <f>IF(OR($B1432="",NOT(ISNUMBER($D1432))),"",IF($E1432&lt;$D$2,"Passé",IF($D1432&gt;$F$2,"À venir","Dans la période")))</f>
        <v/>
      </c>
      <c r="I1432">
        <f>IF(OR($B1432="",NOT(ISNUMBER($D1432))),"",IF(AND($E1432&lt;$D$2,$G1432&lt;&gt;"X",$F1432&lt;&gt;"Réalisé",$F1432&lt;&gt;"Clôturé"),"RETARD",""))</f>
        <v/>
      </c>
      <c r="J1432" s="29">
        <f>IF($B1432="","",IF(INDEX(Dossiers!$F$4:$F$63,27)="","",INDEX(Dossiers!$F$4:$F$63,27)))</f>
        <v/>
      </c>
      <c r="K1432" s="29">
        <f>IF($B1432="","",IF(INDEX(Dossiers!$G$4:$G$63,27)="","",INDEX(Dossiers!$G$4:$G$63,27)))</f>
        <v/>
      </c>
    </row>
    <row r="1433">
      <c r="A1433">
        <f>IF($B1433="","",INDEX(Dossiers!$E$4:$E$63,27))</f>
        <v/>
      </c>
      <c r="B1433">
        <f>IF(INDEX(Suivi!$B:$B,1460)="","",INDEX(Suivi!$B:$B,1460))</f>
        <v/>
      </c>
      <c r="C1433">
        <f>IF($B1433="","",IF(INDEX(Suivi!$D:$D,1460)="",INDEX(Suivi!$C:$C,1460),INDEX(Suivi!$D:$D,1460)))</f>
        <v/>
      </c>
      <c r="D1433" s="29">
        <f>IF($B1433="","",INDEX(Suivi!$E:$E,1460))</f>
        <v/>
      </c>
      <c r="E1433" s="29">
        <f>IF($B1433="","",INDEX(Suivi!$F:$F,1460))</f>
        <v/>
      </c>
      <c r="F1433">
        <f>IF($B1433="","",INDEX(Suivi!$G:$G,1460))</f>
        <v/>
      </c>
      <c r="H1433">
        <f>IF(OR($B1433="",NOT(ISNUMBER($D1433))),"",IF($E1433&lt;$D$2,"Passé",IF($D1433&gt;$F$2,"À venir","Dans la période")))</f>
        <v/>
      </c>
      <c r="I1433">
        <f>IF(OR($B1433="",NOT(ISNUMBER($D1433))),"",IF(AND($E1433&lt;$D$2,$G1433&lt;&gt;"X",$F1433&lt;&gt;"Réalisé",$F1433&lt;&gt;"Clôturé"),"RETARD",""))</f>
        <v/>
      </c>
      <c r="J1433" s="29">
        <f>IF($B1433="","",IF(INDEX(Dossiers!$F$4:$F$63,27)="","",INDEX(Dossiers!$F$4:$F$63,27)))</f>
        <v/>
      </c>
      <c r="K1433" s="29">
        <f>IF($B1433="","",IF(INDEX(Dossiers!$G$4:$G$63,27)="","",INDEX(Dossiers!$G$4:$G$63,27)))</f>
        <v/>
      </c>
    </row>
    <row r="1434">
      <c r="A1434">
        <f>IF($B1434="","",INDEX(Dossiers!$E$4:$E$63,27))</f>
        <v/>
      </c>
      <c r="B1434">
        <f>IF(INDEX(Suivi!$B:$B,1461)="","",INDEX(Suivi!$B:$B,1461))</f>
        <v/>
      </c>
      <c r="C1434">
        <f>IF($B1434="","",IF(INDEX(Suivi!$D:$D,1461)="",INDEX(Suivi!$C:$C,1461),INDEX(Suivi!$D:$D,1461)))</f>
        <v/>
      </c>
      <c r="D1434" s="29">
        <f>IF($B1434="","",INDEX(Suivi!$E:$E,1461))</f>
        <v/>
      </c>
      <c r="E1434" s="29">
        <f>IF($B1434="","",INDEX(Suivi!$F:$F,1461))</f>
        <v/>
      </c>
      <c r="F1434">
        <f>IF($B1434="","",INDEX(Suivi!$G:$G,1461))</f>
        <v/>
      </c>
      <c r="H1434">
        <f>IF(OR($B1434="",NOT(ISNUMBER($D1434))),"",IF($E1434&lt;$D$2,"Passé",IF($D1434&gt;$F$2,"À venir","Dans la période")))</f>
        <v/>
      </c>
      <c r="I1434">
        <f>IF(OR($B1434="",NOT(ISNUMBER($D1434))),"",IF(AND($E1434&lt;$D$2,$G1434&lt;&gt;"X",$F1434&lt;&gt;"Réalisé",$F1434&lt;&gt;"Clôturé"),"RETARD",""))</f>
        <v/>
      </c>
      <c r="J1434" s="29">
        <f>IF($B1434="","",IF(INDEX(Dossiers!$F$4:$F$63,27)="","",INDEX(Dossiers!$F$4:$F$63,27)))</f>
        <v/>
      </c>
      <c r="K1434" s="29">
        <f>IF($B1434="","",IF(INDEX(Dossiers!$G$4:$G$63,27)="","",INDEX(Dossiers!$G$4:$G$63,27)))</f>
        <v/>
      </c>
    </row>
    <row r="1435">
      <c r="A1435">
        <f>IF($B1435="","",INDEX(Dossiers!$E$4:$E$63,28))</f>
        <v/>
      </c>
      <c r="B1435">
        <f>IF(INDEX(Suivi!$B:$B,1463)="","",INDEX(Suivi!$B:$B,1463))</f>
        <v/>
      </c>
      <c r="C1435">
        <f>IF($B1435="","",IF(INDEX(Suivi!$D:$D,1463)="",INDEX(Suivi!$C:$C,1463),INDEX(Suivi!$D:$D,1463)))</f>
        <v/>
      </c>
      <c r="D1435" s="29">
        <f>IF($B1435="","",INDEX(Suivi!$E:$E,1463))</f>
        <v/>
      </c>
      <c r="E1435" s="29">
        <f>IF($B1435="","",INDEX(Suivi!$F:$F,1463))</f>
        <v/>
      </c>
      <c r="F1435">
        <f>IF($B1435="","",INDEX(Suivi!$G:$G,1463))</f>
        <v/>
      </c>
      <c r="H1435">
        <f>IF(OR($B1435="",NOT(ISNUMBER($D1435))),"",IF($E1435&lt;$D$2,"Passé",IF($D1435&gt;$F$2,"À venir","Dans la période")))</f>
        <v/>
      </c>
      <c r="I1435">
        <f>IF(OR($B1435="",NOT(ISNUMBER($D1435))),"",IF(AND($E1435&lt;$D$2,$G1435&lt;&gt;"X",$F1435&lt;&gt;"Réalisé",$F1435&lt;&gt;"Clôturé"),"RETARD",""))</f>
        <v/>
      </c>
      <c r="J1435" s="29">
        <f>IF($B1435="","",IF(INDEX(Dossiers!$F$4:$F$63,28)="","",INDEX(Dossiers!$F$4:$F$63,28)))</f>
        <v/>
      </c>
      <c r="K1435" s="29">
        <f>IF($B1435="","",IF(INDEX(Dossiers!$G$4:$G$63,28)="","",INDEX(Dossiers!$G$4:$G$63,28)))</f>
        <v/>
      </c>
    </row>
    <row r="1436">
      <c r="A1436">
        <f>IF($B1436="","",INDEX(Dossiers!$E$4:$E$63,28))</f>
        <v/>
      </c>
      <c r="B1436">
        <f>IF(INDEX(Suivi!$B:$B,1464)="","",INDEX(Suivi!$B:$B,1464))</f>
        <v/>
      </c>
      <c r="C1436">
        <f>IF($B1436="","",IF(INDEX(Suivi!$D:$D,1464)="",INDEX(Suivi!$C:$C,1464),INDEX(Suivi!$D:$D,1464)))</f>
        <v/>
      </c>
      <c r="D1436" s="29">
        <f>IF($B1436="","",INDEX(Suivi!$E:$E,1464))</f>
        <v/>
      </c>
      <c r="E1436" s="29">
        <f>IF($B1436="","",INDEX(Suivi!$F:$F,1464))</f>
        <v/>
      </c>
      <c r="F1436">
        <f>IF($B1436="","",INDEX(Suivi!$G:$G,1464))</f>
        <v/>
      </c>
      <c r="H1436">
        <f>IF(OR($B1436="",NOT(ISNUMBER($D1436))),"",IF($E1436&lt;$D$2,"Passé",IF($D1436&gt;$F$2,"À venir","Dans la période")))</f>
        <v/>
      </c>
      <c r="I1436">
        <f>IF(OR($B1436="",NOT(ISNUMBER($D1436))),"",IF(AND($E1436&lt;$D$2,$G1436&lt;&gt;"X",$F1436&lt;&gt;"Réalisé",$F1436&lt;&gt;"Clôturé"),"RETARD",""))</f>
        <v/>
      </c>
      <c r="J1436" s="29">
        <f>IF($B1436="","",IF(INDEX(Dossiers!$F$4:$F$63,28)="","",INDEX(Dossiers!$F$4:$F$63,28)))</f>
        <v/>
      </c>
      <c r="K1436" s="29">
        <f>IF($B1436="","",IF(INDEX(Dossiers!$G$4:$G$63,28)="","",INDEX(Dossiers!$G$4:$G$63,28)))</f>
        <v/>
      </c>
    </row>
    <row r="1437">
      <c r="A1437">
        <f>IF($B1437="","",INDEX(Dossiers!$E$4:$E$63,28))</f>
        <v/>
      </c>
      <c r="B1437">
        <f>IF(INDEX(Suivi!$B:$B,1465)="","",INDEX(Suivi!$B:$B,1465))</f>
        <v/>
      </c>
      <c r="C1437">
        <f>IF($B1437="","",IF(INDEX(Suivi!$D:$D,1465)="",INDEX(Suivi!$C:$C,1465),INDEX(Suivi!$D:$D,1465)))</f>
        <v/>
      </c>
      <c r="D1437" s="29">
        <f>IF($B1437="","",INDEX(Suivi!$E:$E,1465))</f>
        <v/>
      </c>
      <c r="E1437" s="29">
        <f>IF($B1437="","",INDEX(Suivi!$F:$F,1465))</f>
        <v/>
      </c>
      <c r="F1437">
        <f>IF($B1437="","",INDEX(Suivi!$G:$G,1465))</f>
        <v/>
      </c>
      <c r="H1437">
        <f>IF(OR($B1437="",NOT(ISNUMBER($D1437))),"",IF($E1437&lt;$D$2,"Passé",IF($D1437&gt;$F$2,"À venir","Dans la période")))</f>
        <v/>
      </c>
      <c r="I1437">
        <f>IF(OR($B1437="",NOT(ISNUMBER($D1437))),"",IF(AND($E1437&lt;$D$2,$G1437&lt;&gt;"X",$F1437&lt;&gt;"Réalisé",$F1437&lt;&gt;"Clôturé"),"RETARD",""))</f>
        <v/>
      </c>
      <c r="J1437" s="29">
        <f>IF($B1437="","",IF(INDEX(Dossiers!$F$4:$F$63,28)="","",INDEX(Dossiers!$F$4:$F$63,28)))</f>
        <v/>
      </c>
      <c r="K1437" s="29">
        <f>IF($B1437="","",IF(INDEX(Dossiers!$G$4:$G$63,28)="","",INDEX(Dossiers!$G$4:$G$63,28)))</f>
        <v/>
      </c>
    </row>
    <row r="1438">
      <c r="A1438">
        <f>IF($B1438="","",INDEX(Dossiers!$E$4:$E$63,28))</f>
        <v/>
      </c>
      <c r="B1438">
        <f>IF(INDEX(Suivi!$B:$B,1466)="","",INDEX(Suivi!$B:$B,1466))</f>
        <v/>
      </c>
      <c r="C1438">
        <f>IF($B1438="","",IF(INDEX(Suivi!$D:$D,1466)="",INDEX(Suivi!$C:$C,1466),INDEX(Suivi!$D:$D,1466)))</f>
        <v/>
      </c>
      <c r="D1438" s="29">
        <f>IF($B1438="","",INDEX(Suivi!$E:$E,1466))</f>
        <v/>
      </c>
      <c r="E1438" s="29">
        <f>IF($B1438="","",INDEX(Suivi!$F:$F,1466))</f>
        <v/>
      </c>
      <c r="F1438">
        <f>IF($B1438="","",INDEX(Suivi!$G:$G,1466))</f>
        <v/>
      </c>
      <c r="H1438">
        <f>IF(OR($B1438="",NOT(ISNUMBER($D1438))),"",IF($E1438&lt;$D$2,"Passé",IF($D1438&gt;$F$2,"À venir","Dans la période")))</f>
        <v/>
      </c>
      <c r="I1438">
        <f>IF(OR($B1438="",NOT(ISNUMBER($D1438))),"",IF(AND($E1438&lt;$D$2,$G1438&lt;&gt;"X",$F1438&lt;&gt;"Réalisé",$F1438&lt;&gt;"Clôturé"),"RETARD",""))</f>
        <v/>
      </c>
      <c r="J1438" s="29">
        <f>IF($B1438="","",IF(INDEX(Dossiers!$F$4:$F$63,28)="","",INDEX(Dossiers!$F$4:$F$63,28)))</f>
        <v/>
      </c>
      <c r="K1438" s="29">
        <f>IF($B1438="","",IF(INDEX(Dossiers!$G$4:$G$63,28)="","",INDEX(Dossiers!$G$4:$G$63,28)))</f>
        <v/>
      </c>
    </row>
    <row r="1439">
      <c r="A1439">
        <f>IF($B1439="","",INDEX(Dossiers!$E$4:$E$63,28))</f>
        <v/>
      </c>
      <c r="B1439">
        <f>IF(INDEX(Suivi!$B:$B,1467)="","",INDEX(Suivi!$B:$B,1467))</f>
        <v/>
      </c>
      <c r="C1439">
        <f>IF($B1439="","",IF(INDEX(Suivi!$D:$D,1467)="",INDEX(Suivi!$C:$C,1467),INDEX(Suivi!$D:$D,1467)))</f>
        <v/>
      </c>
      <c r="D1439" s="29">
        <f>IF($B1439="","",INDEX(Suivi!$E:$E,1467))</f>
        <v/>
      </c>
      <c r="E1439" s="29">
        <f>IF($B1439="","",INDEX(Suivi!$F:$F,1467))</f>
        <v/>
      </c>
      <c r="F1439">
        <f>IF($B1439="","",INDEX(Suivi!$G:$G,1467))</f>
        <v/>
      </c>
      <c r="H1439">
        <f>IF(OR($B1439="",NOT(ISNUMBER($D1439))),"",IF($E1439&lt;$D$2,"Passé",IF($D1439&gt;$F$2,"À venir","Dans la période")))</f>
        <v/>
      </c>
      <c r="I1439">
        <f>IF(OR($B1439="",NOT(ISNUMBER($D1439))),"",IF(AND($E1439&lt;$D$2,$G1439&lt;&gt;"X",$F1439&lt;&gt;"Réalisé",$F1439&lt;&gt;"Clôturé"),"RETARD",""))</f>
        <v/>
      </c>
      <c r="J1439" s="29">
        <f>IF($B1439="","",IF(INDEX(Dossiers!$F$4:$F$63,28)="","",INDEX(Dossiers!$F$4:$F$63,28)))</f>
        <v/>
      </c>
      <c r="K1439" s="29">
        <f>IF($B1439="","",IF(INDEX(Dossiers!$G$4:$G$63,28)="","",INDEX(Dossiers!$G$4:$G$63,28)))</f>
        <v/>
      </c>
    </row>
    <row r="1440">
      <c r="A1440">
        <f>IF($B1440="","",INDEX(Dossiers!$E$4:$E$63,28))</f>
        <v/>
      </c>
      <c r="B1440">
        <f>IF(INDEX(Suivi!$B:$B,1468)="","",INDEX(Suivi!$B:$B,1468))</f>
        <v/>
      </c>
      <c r="C1440">
        <f>IF($B1440="","",IF(INDEX(Suivi!$D:$D,1468)="",INDEX(Suivi!$C:$C,1468),INDEX(Suivi!$D:$D,1468)))</f>
        <v/>
      </c>
      <c r="D1440" s="29">
        <f>IF($B1440="","",INDEX(Suivi!$E:$E,1468))</f>
        <v/>
      </c>
      <c r="E1440" s="29">
        <f>IF($B1440="","",INDEX(Suivi!$F:$F,1468))</f>
        <v/>
      </c>
      <c r="F1440">
        <f>IF($B1440="","",INDEX(Suivi!$G:$G,1468))</f>
        <v/>
      </c>
      <c r="H1440">
        <f>IF(OR($B1440="",NOT(ISNUMBER($D1440))),"",IF($E1440&lt;$D$2,"Passé",IF($D1440&gt;$F$2,"À venir","Dans la période")))</f>
        <v/>
      </c>
      <c r="I1440">
        <f>IF(OR($B1440="",NOT(ISNUMBER($D1440))),"",IF(AND($E1440&lt;$D$2,$G1440&lt;&gt;"X",$F1440&lt;&gt;"Réalisé",$F1440&lt;&gt;"Clôturé"),"RETARD",""))</f>
        <v/>
      </c>
      <c r="J1440" s="29">
        <f>IF($B1440="","",IF(INDEX(Dossiers!$F$4:$F$63,28)="","",INDEX(Dossiers!$F$4:$F$63,28)))</f>
        <v/>
      </c>
      <c r="K1440" s="29">
        <f>IF($B1440="","",IF(INDEX(Dossiers!$G$4:$G$63,28)="","",INDEX(Dossiers!$G$4:$G$63,28)))</f>
        <v/>
      </c>
    </row>
    <row r="1441">
      <c r="A1441">
        <f>IF($B1441="","",INDEX(Dossiers!$E$4:$E$63,28))</f>
        <v/>
      </c>
      <c r="B1441">
        <f>IF(INDEX(Suivi!$B:$B,1469)="","",INDEX(Suivi!$B:$B,1469))</f>
        <v/>
      </c>
      <c r="C1441">
        <f>IF($B1441="","",IF(INDEX(Suivi!$D:$D,1469)="",INDEX(Suivi!$C:$C,1469),INDEX(Suivi!$D:$D,1469)))</f>
        <v/>
      </c>
      <c r="D1441" s="29">
        <f>IF($B1441="","",INDEX(Suivi!$E:$E,1469))</f>
        <v/>
      </c>
      <c r="E1441" s="29">
        <f>IF($B1441="","",INDEX(Suivi!$F:$F,1469))</f>
        <v/>
      </c>
      <c r="F1441">
        <f>IF($B1441="","",INDEX(Suivi!$G:$G,1469))</f>
        <v/>
      </c>
      <c r="H1441">
        <f>IF(OR($B1441="",NOT(ISNUMBER($D1441))),"",IF($E1441&lt;$D$2,"Passé",IF($D1441&gt;$F$2,"À venir","Dans la période")))</f>
        <v/>
      </c>
      <c r="I1441">
        <f>IF(OR($B1441="",NOT(ISNUMBER($D1441))),"",IF(AND($E1441&lt;$D$2,$G1441&lt;&gt;"X",$F1441&lt;&gt;"Réalisé",$F1441&lt;&gt;"Clôturé"),"RETARD",""))</f>
        <v/>
      </c>
      <c r="J1441" s="29">
        <f>IF($B1441="","",IF(INDEX(Dossiers!$F$4:$F$63,28)="","",INDEX(Dossiers!$F$4:$F$63,28)))</f>
        <v/>
      </c>
      <c r="K1441" s="29">
        <f>IF($B1441="","",IF(INDEX(Dossiers!$G$4:$G$63,28)="","",INDEX(Dossiers!$G$4:$G$63,28)))</f>
        <v/>
      </c>
    </row>
    <row r="1442">
      <c r="A1442">
        <f>IF($B1442="","",INDEX(Dossiers!$E$4:$E$63,28))</f>
        <v/>
      </c>
      <c r="B1442">
        <f>IF(INDEX(Suivi!$B:$B,1470)="","",INDEX(Suivi!$B:$B,1470))</f>
        <v/>
      </c>
      <c r="C1442">
        <f>IF($B1442="","",IF(INDEX(Suivi!$D:$D,1470)="",INDEX(Suivi!$C:$C,1470),INDEX(Suivi!$D:$D,1470)))</f>
        <v/>
      </c>
      <c r="D1442" s="29">
        <f>IF($B1442="","",INDEX(Suivi!$E:$E,1470))</f>
        <v/>
      </c>
      <c r="E1442" s="29">
        <f>IF($B1442="","",INDEX(Suivi!$F:$F,1470))</f>
        <v/>
      </c>
      <c r="F1442">
        <f>IF($B1442="","",INDEX(Suivi!$G:$G,1470))</f>
        <v/>
      </c>
      <c r="H1442">
        <f>IF(OR($B1442="",NOT(ISNUMBER($D1442))),"",IF($E1442&lt;$D$2,"Passé",IF($D1442&gt;$F$2,"À venir","Dans la période")))</f>
        <v/>
      </c>
      <c r="I1442">
        <f>IF(OR($B1442="",NOT(ISNUMBER($D1442))),"",IF(AND($E1442&lt;$D$2,$G1442&lt;&gt;"X",$F1442&lt;&gt;"Réalisé",$F1442&lt;&gt;"Clôturé"),"RETARD",""))</f>
        <v/>
      </c>
      <c r="J1442" s="29">
        <f>IF($B1442="","",IF(INDEX(Dossiers!$F$4:$F$63,28)="","",INDEX(Dossiers!$F$4:$F$63,28)))</f>
        <v/>
      </c>
      <c r="K1442" s="29">
        <f>IF($B1442="","",IF(INDEX(Dossiers!$G$4:$G$63,28)="","",INDEX(Dossiers!$G$4:$G$63,28)))</f>
        <v/>
      </c>
    </row>
    <row r="1443">
      <c r="A1443">
        <f>IF($B1443="","",INDEX(Dossiers!$E$4:$E$63,28))</f>
        <v/>
      </c>
      <c r="B1443">
        <f>IF(INDEX(Suivi!$B:$B,1471)="","",INDEX(Suivi!$B:$B,1471))</f>
        <v/>
      </c>
      <c r="C1443">
        <f>IF($B1443="","",IF(INDEX(Suivi!$D:$D,1471)="",INDEX(Suivi!$C:$C,1471),INDEX(Suivi!$D:$D,1471)))</f>
        <v/>
      </c>
      <c r="D1443" s="29">
        <f>IF($B1443="","",INDEX(Suivi!$E:$E,1471))</f>
        <v/>
      </c>
      <c r="E1443" s="29">
        <f>IF($B1443="","",INDEX(Suivi!$F:$F,1471))</f>
        <v/>
      </c>
      <c r="F1443">
        <f>IF($B1443="","",INDEX(Suivi!$G:$G,1471))</f>
        <v/>
      </c>
      <c r="H1443">
        <f>IF(OR($B1443="",NOT(ISNUMBER($D1443))),"",IF($E1443&lt;$D$2,"Passé",IF($D1443&gt;$F$2,"À venir","Dans la période")))</f>
        <v/>
      </c>
      <c r="I1443">
        <f>IF(OR($B1443="",NOT(ISNUMBER($D1443))),"",IF(AND($E1443&lt;$D$2,$G1443&lt;&gt;"X",$F1443&lt;&gt;"Réalisé",$F1443&lt;&gt;"Clôturé"),"RETARD",""))</f>
        <v/>
      </c>
      <c r="J1443" s="29">
        <f>IF($B1443="","",IF(INDEX(Dossiers!$F$4:$F$63,28)="","",INDEX(Dossiers!$F$4:$F$63,28)))</f>
        <v/>
      </c>
      <c r="K1443" s="29">
        <f>IF($B1443="","",IF(INDEX(Dossiers!$G$4:$G$63,28)="","",INDEX(Dossiers!$G$4:$G$63,28)))</f>
        <v/>
      </c>
    </row>
    <row r="1444">
      <c r="A1444">
        <f>IF($B1444="","",INDEX(Dossiers!$E$4:$E$63,28))</f>
        <v/>
      </c>
      <c r="B1444">
        <f>IF(INDEX(Suivi!$B:$B,1472)="","",INDEX(Suivi!$B:$B,1472))</f>
        <v/>
      </c>
      <c r="C1444">
        <f>IF($B1444="","",IF(INDEX(Suivi!$D:$D,1472)="",INDEX(Suivi!$C:$C,1472),INDEX(Suivi!$D:$D,1472)))</f>
        <v/>
      </c>
      <c r="D1444" s="29">
        <f>IF($B1444="","",INDEX(Suivi!$E:$E,1472))</f>
        <v/>
      </c>
      <c r="E1444" s="29">
        <f>IF($B1444="","",INDEX(Suivi!$F:$F,1472))</f>
        <v/>
      </c>
      <c r="F1444">
        <f>IF($B1444="","",INDEX(Suivi!$G:$G,1472))</f>
        <v/>
      </c>
      <c r="H1444">
        <f>IF(OR($B1444="",NOT(ISNUMBER($D1444))),"",IF($E1444&lt;$D$2,"Passé",IF($D1444&gt;$F$2,"À venir","Dans la période")))</f>
        <v/>
      </c>
      <c r="I1444">
        <f>IF(OR($B1444="",NOT(ISNUMBER($D1444))),"",IF(AND($E1444&lt;$D$2,$G1444&lt;&gt;"X",$F1444&lt;&gt;"Réalisé",$F1444&lt;&gt;"Clôturé"),"RETARD",""))</f>
        <v/>
      </c>
      <c r="J1444" s="29">
        <f>IF($B1444="","",IF(INDEX(Dossiers!$F$4:$F$63,28)="","",INDEX(Dossiers!$F$4:$F$63,28)))</f>
        <v/>
      </c>
      <c r="K1444" s="29">
        <f>IF($B1444="","",IF(INDEX(Dossiers!$G$4:$G$63,28)="","",INDEX(Dossiers!$G$4:$G$63,28)))</f>
        <v/>
      </c>
    </row>
    <row r="1445">
      <c r="A1445">
        <f>IF($B1445="","",INDEX(Dossiers!$E$4:$E$63,28))</f>
        <v/>
      </c>
      <c r="B1445">
        <f>IF(INDEX(Suivi!$B:$B,1473)="","",INDEX(Suivi!$B:$B,1473))</f>
        <v/>
      </c>
      <c r="C1445">
        <f>IF($B1445="","",IF(INDEX(Suivi!$D:$D,1473)="",INDEX(Suivi!$C:$C,1473),INDEX(Suivi!$D:$D,1473)))</f>
        <v/>
      </c>
      <c r="D1445" s="29">
        <f>IF($B1445="","",INDEX(Suivi!$E:$E,1473))</f>
        <v/>
      </c>
      <c r="E1445" s="29">
        <f>IF($B1445="","",INDEX(Suivi!$F:$F,1473))</f>
        <v/>
      </c>
      <c r="F1445">
        <f>IF($B1445="","",INDEX(Suivi!$G:$G,1473))</f>
        <v/>
      </c>
      <c r="H1445">
        <f>IF(OR($B1445="",NOT(ISNUMBER($D1445))),"",IF($E1445&lt;$D$2,"Passé",IF($D1445&gt;$F$2,"À venir","Dans la période")))</f>
        <v/>
      </c>
      <c r="I1445">
        <f>IF(OR($B1445="",NOT(ISNUMBER($D1445))),"",IF(AND($E1445&lt;$D$2,$G1445&lt;&gt;"X",$F1445&lt;&gt;"Réalisé",$F1445&lt;&gt;"Clôturé"),"RETARD",""))</f>
        <v/>
      </c>
      <c r="J1445" s="29">
        <f>IF($B1445="","",IF(INDEX(Dossiers!$F$4:$F$63,28)="","",INDEX(Dossiers!$F$4:$F$63,28)))</f>
        <v/>
      </c>
      <c r="K1445" s="29">
        <f>IF($B1445="","",IF(INDEX(Dossiers!$G$4:$G$63,28)="","",INDEX(Dossiers!$G$4:$G$63,28)))</f>
        <v/>
      </c>
    </row>
    <row r="1446">
      <c r="A1446">
        <f>IF($B1446="","",INDEX(Dossiers!$E$4:$E$63,28))</f>
        <v/>
      </c>
      <c r="B1446">
        <f>IF(INDEX(Suivi!$B:$B,1474)="","",INDEX(Suivi!$B:$B,1474))</f>
        <v/>
      </c>
      <c r="C1446">
        <f>IF($B1446="","",IF(INDEX(Suivi!$D:$D,1474)="",INDEX(Suivi!$C:$C,1474),INDEX(Suivi!$D:$D,1474)))</f>
        <v/>
      </c>
      <c r="D1446" s="29">
        <f>IF($B1446="","",INDEX(Suivi!$E:$E,1474))</f>
        <v/>
      </c>
      <c r="E1446" s="29">
        <f>IF($B1446="","",INDEX(Suivi!$F:$F,1474))</f>
        <v/>
      </c>
      <c r="F1446">
        <f>IF($B1446="","",INDEX(Suivi!$G:$G,1474))</f>
        <v/>
      </c>
      <c r="H1446">
        <f>IF(OR($B1446="",NOT(ISNUMBER($D1446))),"",IF($E1446&lt;$D$2,"Passé",IF($D1446&gt;$F$2,"À venir","Dans la période")))</f>
        <v/>
      </c>
      <c r="I1446">
        <f>IF(OR($B1446="",NOT(ISNUMBER($D1446))),"",IF(AND($E1446&lt;$D$2,$G1446&lt;&gt;"X",$F1446&lt;&gt;"Réalisé",$F1446&lt;&gt;"Clôturé"),"RETARD",""))</f>
        <v/>
      </c>
      <c r="J1446" s="29">
        <f>IF($B1446="","",IF(INDEX(Dossiers!$F$4:$F$63,28)="","",INDEX(Dossiers!$F$4:$F$63,28)))</f>
        <v/>
      </c>
      <c r="K1446" s="29">
        <f>IF($B1446="","",IF(INDEX(Dossiers!$G$4:$G$63,28)="","",INDEX(Dossiers!$G$4:$G$63,28)))</f>
        <v/>
      </c>
    </row>
    <row r="1447">
      <c r="A1447">
        <f>IF($B1447="","",INDEX(Dossiers!$E$4:$E$63,28))</f>
        <v/>
      </c>
      <c r="B1447">
        <f>IF(INDEX(Suivi!$B:$B,1475)="","",INDEX(Suivi!$B:$B,1475))</f>
        <v/>
      </c>
      <c r="C1447">
        <f>IF($B1447="","",IF(INDEX(Suivi!$D:$D,1475)="",INDEX(Suivi!$C:$C,1475),INDEX(Suivi!$D:$D,1475)))</f>
        <v/>
      </c>
      <c r="D1447" s="29">
        <f>IF($B1447="","",INDEX(Suivi!$E:$E,1475))</f>
        <v/>
      </c>
      <c r="E1447" s="29">
        <f>IF($B1447="","",INDEX(Suivi!$F:$F,1475))</f>
        <v/>
      </c>
      <c r="F1447">
        <f>IF($B1447="","",INDEX(Suivi!$G:$G,1475))</f>
        <v/>
      </c>
      <c r="H1447">
        <f>IF(OR($B1447="",NOT(ISNUMBER($D1447))),"",IF($E1447&lt;$D$2,"Passé",IF($D1447&gt;$F$2,"À venir","Dans la période")))</f>
        <v/>
      </c>
      <c r="I1447">
        <f>IF(OR($B1447="",NOT(ISNUMBER($D1447))),"",IF(AND($E1447&lt;$D$2,$G1447&lt;&gt;"X",$F1447&lt;&gt;"Réalisé",$F1447&lt;&gt;"Clôturé"),"RETARD",""))</f>
        <v/>
      </c>
      <c r="J1447" s="29">
        <f>IF($B1447="","",IF(INDEX(Dossiers!$F$4:$F$63,28)="","",INDEX(Dossiers!$F$4:$F$63,28)))</f>
        <v/>
      </c>
      <c r="K1447" s="29">
        <f>IF($B1447="","",IF(INDEX(Dossiers!$G$4:$G$63,28)="","",INDEX(Dossiers!$G$4:$G$63,28)))</f>
        <v/>
      </c>
    </row>
    <row r="1448">
      <c r="A1448">
        <f>IF($B1448="","",INDEX(Dossiers!$E$4:$E$63,28))</f>
        <v/>
      </c>
      <c r="B1448">
        <f>IF(INDEX(Suivi!$B:$B,1476)="","",INDEX(Suivi!$B:$B,1476))</f>
        <v/>
      </c>
      <c r="C1448">
        <f>IF($B1448="","",IF(INDEX(Suivi!$D:$D,1476)="",INDEX(Suivi!$C:$C,1476),INDEX(Suivi!$D:$D,1476)))</f>
        <v/>
      </c>
      <c r="D1448" s="29">
        <f>IF($B1448="","",INDEX(Suivi!$E:$E,1476))</f>
        <v/>
      </c>
      <c r="E1448" s="29">
        <f>IF($B1448="","",INDEX(Suivi!$F:$F,1476))</f>
        <v/>
      </c>
      <c r="F1448">
        <f>IF($B1448="","",INDEX(Suivi!$G:$G,1476))</f>
        <v/>
      </c>
      <c r="H1448">
        <f>IF(OR($B1448="",NOT(ISNUMBER($D1448))),"",IF($E1448&lt;$D$2,"Passé",IF($D1448&gt;$F$2,"À venir","Dans la période")))</f>
        <v/>
      </c>
      <c r="I1448">
        <f>IF(OR($B1448="",NOT(ISNUMBER($D1448))),"",IF(AND($E1448&lt;$D$2,$G1448&lt;&gt;"X",$F1448&lt;&gt;"Réalisé",$F1448&lt;&gt;"Clôturé"),"RETARD",""))</f>
        <v/>
      </c>
      <c r="J1448" s="29">
        <f>IF($B1448="","",IF(INDEX(Dossiers!$F$4:$F$63,28)="","",INDEX(Dossiers!$F$4:$F$63,28)))</f>
        <v/>
      </c>
      <c r="K1448" s="29">
        <f>IF($B1448="","",IF(INDEX(Dossiers!$G$4:$G$63,28)="","",INDEX(Dossiers!$G$4:$G$63,28)))</f>
        <v/>
      </c>
    </row>
    <row r="1449">
      <c r="A1449">
        <f>IF($B1449="","",INDEX(Dossiers!$E$4:$E$63,28))</f>
        <v/>
      </c>
      <c r="B1449">
        <f>IF(INDEX(Suivi!$B:$B,1477)="","",INDEX(Suivi!$B:$B,1477))</f>
        <v/>
      </c>
      <c r="C1449">
        <f>IF($B1449="","",IF(INDEX(Suivi!$D:$D,1477)="",INDEX(Suivi!$C:$C,1477),INDEX(Suivi!$D:$D,1477)))</f>
        <v/>
      </c>
      <c r="D1449" s="29">
        <f>IF($B1449="","",INDEX(Suivi!$E:$E,1477))</f>
        <v/>
      </c>
      <c r="E1449" s="29">
        <f>IF($B1449="","",INDEX(Suivi!$F:$F,1477))</f>
        <v/>
      </c>
      <c r="F1449">
        <f>IF($B1449="","",INDEX(Suivi!$G:$G,1477))</f>
        <v/>
      </c>
      <c r="H1449">
        <f>IF(OR($B1449="",NOT(ISNUMBER($D1449))),"",IF($E1449&lt;$D$2,"Passé",IF($D1449&gt;$F$2,"À venir","Dans la période")))</f>
        <v/>
      </c>
      <c r="I1449">
        <f>IF(OR($B1449="",NOT(ISNUMBER($D1449))),"",IF(AND($E1449&lt;$D$2,$G1449&lt;&gt;"X",$F1449&lt;&gt;"Réalisé",$F1449&lt;&gt;"Clôturé"),"RETARD",""))</f>
        <v/>
      </c>
      <c r="J1449" s="29">
        <f>IF($B1449="","",IF(INDEX(Dossiers!$F$4:$F$63,28)="","",INDEX(Dossiers!$F$4:$F$63,28)))</f>
        <v/>
      </c>
      <c r="K1449" s="29">
        <f>IF($B1449="","",IF(INDEX(Dossiers!$G$4:$G$63,28)="","",INDEX(Dossiers!$G$4:$G$63,28)))</f>
        <v/>
      </c>
    </row>
    <row r="1450">
      <c r="A1450">
        <f>IF($B1450="","",INDEX(Dossiers!$E$4:$E$63,28))</f>
        <v/>
      </c>
      <c r="B1450">
        <f>IF(INDEX(Suivi!$B:$B,1478)="","",INDEX(Suivi!$B:$B,1478))</f>
        <v/>
      </c>
      <c r="C1450">
        <f>IF($B1450="","",IF(INDEX(Suivi!$D:$D,1478)="",INDEX(Suivi!$C:$C,1478),INDEX(Suivi!$D:$D,1478)))</f>
        <v/>
      </c>
      <c r="D1450" s="29">
        <f>IF($B1450="","",INDEX(Suivi!$E:$E,1478))</f>
        <v/>
      </c>
      <c r="E1450" s="29">
        <f>IF($B1450="","",INDEX(Suivi!$F:$F,1478))</f>
        <v/>
      </c>
      <c r="F1450">
        <f>IF($B1450="","",INDEX(Suivi!$G:$G,1478))</f>
        <v/>
      </c>
      <c r="H1450">
        <f>IF(OR($B1450="",NOT(ISNUMBER($D1450))),"",IF($E1450&lt;$D$2,"Passé",IF($D1450&gt;$F$2,"À venir","Dans la période")))</f>
        <v/>
      </c>
      <c r="I1450">
        <f>IF(OR($B1450="",NOT(ISNUMBER($D1450))),"",IF(AND($E1450&lt;$D$2,$G1450&lt;&gt;"X",$F1450&lt;&gt;"Réalisé",$F1450&lt;&gt;"Clôturé"),"RETARD",""))</f>
        <v/>
      </c>
      <c r="J1450" s="29">
        <f>IF($B1450="","",IF(INDEX(Dossiers!$F$4:$F$63,28)="","",INDEX(Dossiers!$F$4:$F$63,28)))</f>
        <v/>
      </c>
      <c r="K1450" s="29">
        <f>IF($B1450="","",IF(INDEX(Dossiers!$G$4:$G$63,28)="","",INDEX(Dossiers!$G$4:$G$63,28)))</f>
        <v/>
      </c>
    </row>
    <row r="1451">
      <c r="A1451">
        <f>IF($B1451="","",INDEX(Dossiers!$E$4:$E$63,28))</f>
        <v/>
      </c>
      <c r="B1451">
        <f>IF(INDEX(Suivi!$B:$B,1479)="","",INDEX(Suivi!$B:$B,1479))</f>
        <v/>
      </c>
      <c r="C1451">
        <f>IF($B1451="","",IF(INDEX(Suivi!$D:$D,1479)="",INDEX(Suivi!$C:$C,1479),INDEX(Suivi!$D:$D,1479)))</f>
        <v/>
      </c>
      <c r="D1451" s="29">
        <f>IF($B1451="","",INDEX(Suivi!$E:$E,1479))</f>
        <v/>
      </c>
      <c r="E1451" s="29">
        <f>IF($B1451="","",INDEX(Suivi!$F:$F,1479))</f>
        <v/>
      </c>
      <c r="F1451">
        <f>IF($B1451="","",INDEX(Suivi!$G:$G,1479))</f>
        <v/>
      </c>
      <c r="H1451">
        <f>IF(OR($B1451="",NOT(ISNUMBER($D1451))),"",IF($E1451&lt;$D$2,"Passé",IF($D1451&gt;$F$2,"À venir","Dans la période")))</f>
        <v/>
      </c>
      <c r="I1451">
        <f>IF(OR($B1451="",NOT(ISNUMBER($D1451))),"",IF(AND($E1451&lt;$D$2,$G1451&lt;&gt;"X",$F1451&lt;&gt;"Réalisé",$F1451&lt;&gt;"Clôturé"),"RETARD",""))</f>
        <v/>
      </c>
      <c r="J1451" s="29">
        <f>IF($B1451="","",IF(INDEX(Dossiers!$F$4:$F$63,28)="","",INDEX(Dossiers!$F$4:$F$63,28)))</f>
        <v/>
      </c>
      <c r="K1451" s="29">
        <f>IF($B1451="","",IF(INDEX(Dossiers!$G$4:$G$63,28)="","",INDEX(Dossiers!$G$4:$G$63,28)))</f>
        <v/>
      </c>
    </row>
    <row r="1452">
      <c r="A1452">
        <f>IF($B1452="","",INDEX(Dossiers!$E$4:$E$63,28))</f>
        <v/>
      </c>
      <c r="B1452">
        <f>IF(INDEX(Suivi!$B:$B,1480)="","",INDEX(Suivi!$B:$B,1480))</f>
        <v/>
      </c>
      <c r="C1452">
        <f>IF($B1452="","",IF(INDEX(Suivi!$D:$D,1480)="",INDEX(Suivi!$C:$C,1480),INDEX(Suivi!$D:$D,1480)))</f>
        <v/>
      </c>
      <c r="D1452" s="29">
        <f>IF($B1452="","",INDEX(Suivi!$E:$E,1480))</f>
        <v/>
      </c>
      <c r="E1452" s="29">
        <f>IF($B1452="","",INDEX(Suivi!$F:$F,1480))</f>
        <v/>
      </c>
      <c r="F1452">
        <f>IF($B1452="","",INDEX(Suivi!$G:$G,1480))</f>
        <v/>
      </c>
      <c r="H1452">
        <f>IF(OR($B1452="",NOT(ISNUMBER($D1452))),"",IF($E1452&lt;$D$2,"Passé",IF($D1452&gt;$F$2,"À venir","Dans la période")))</f>
        <v/>
      </c>
      <c r="I1452">
        <f>IF(OR($B1452="",NOT(ISNUMBER($D1452))),"",IF(AND($E1452&lt;$D$2,$G1452&lt;&gt;"X",$F1452&lt;&gt;"Réalisé",$F1452&lt;&gt;"Clôturé"),"RETARD",""))</f>
        <v/>
      </c>
      <c r="J1452" s="29">
        <f>IF($B1452="","",IF(INDEX(Dossiers!$F$4:$F$63,28)="","",INDEX(Dossiers!$F$4:$F$63,28)))</f>
        <v/>
      </c>
      <c r="K1452" s="29">
        <f>IF($B1452="","",IF(INDEX(Dossiers!$G$4:$G$63,28)="","",INDEX(Dossiers!$G$4:$G$63,28)))</f>
        <v/>
      </c>
    </row>
    <row r="1453">
      <c r="A1453">
        <f>IF($B1453="","",INDEX(Dossiers!$E$4:$E$63,28))</f>
        <v/>
      </c>
      <c r="B1453">
        <f>IF(INDEX(Suivi!$B:$B,1481)="","",INDEX(Suivi!$B:$B,1481))</f>
        <v/>
      </c>
      <c r="C1453">
        <f>IF($B1453="","",IF(INDEX(Suivi!$D:$D,1481)="",INDEX(Suivi!$C:$C,1481),INDEX(Suivi!$D:$D,1481)))</f>
        <v/>
      </c>
      <c r="D1453" s="29">
        <f>IF($B1453="","",INDEX(Suivi!$E:$E,1481))</f>
        <v/>
      </c>
      <c r="E1453" s="29">
        <f>IF($B1453="","",INDEX(Suivi!$F:$F,1481))</f>
        <v/>
      </c>
      <c r="F1453">
        <f>IF($B1453="","",INDEX(Suivi!$G:$G,1481))</f>
        <v/>
      </c>
      <c r="H1453">
        <f>IF(OR($B1453="",NOT(ISNUMBER($D1453))),"",IF($E1453&lt;$D$2,"Passé",IF($D1453&gt;$F$2,"À venir","Dans la période")))</f>
        <v/>
      </c>
      <c r="I1453">
        <f>IF(OR($B1453="",NOT(ISNUMBER($D1453))),"",IF(AND($E1453&lt;$D$2,$G1453&lt;&gt;"X",$F1453&lt;&gt;"Réalisé",$F1453&lt;&gt;"Clôturé"),"RETARD",""))</f>
        <v/>
      </c>
      <c r="J1453" s="29">
        <f>IF($B1453="","",IF(INDEX(Dossiers!$F$4:$F$63,28)="","",INDEX(Dossiers!$F$4:$F$63,28)))</f>
        <v/>
      </c>
      <c r="K1453" s="29">
        <f>IF($B1453="","",IF(INDEX(Dossiers!$G$4:$G$63,28)="","",INDEX(Dossiers!$G$4:$G$63,28)))</f>
        <v/>
      </c>
    </row>
    <row r="1454">
      <c r="A1454">
        <f>IF($B1454="","",INDEX(Dossiers!$E$4:$E$63,28))</f>
        <v/>
      </c>
      <c r="B1454">
        <f>IF(INDEX(Suivi!$B:$B,1482)="","",INDEX(Suivi!$B:$B,1482))</f>
        <v/>
      </c>
      <c r="C1454">
        <f>IF($B1454="","",IF(INDEX(Suivi!$D:$D,1482)="",INDEX(Suivi!$C:$C,1482),INDEX(Suivi!$D:$D,1482)))</f>
        <v/>
      </c>
      <c r="D1454" s="29">
        <f>IF($B1454="","",INDEX(Suivi!$E:$E,1482))</f>
        <v/>
      </c>
      <c r="E1454" s="29">
        <f>IF($B1454="","",INDEX(Suivi!$F:$F,1482))</f>
        <v/>
      </c>
      <c r="F1454">
        <f>IF($B1454="","",INDEX(Suivi!$G:$G,1482))</f>
        <v/>
      </c>
      <c r="H1454">
        <f>IF(OR($B1454="",NOT(ISNUMBER($D1454))),"",IF($E1454&lt;$D$2,"Passé",IF($D1454&gt;$F$2,"À venir","Dans la période")))</f>
        <v/>
      </c>
      <c r="I1454">
        <f>IF(OR($B1454="",NOT(ISNUMBER($D1454))),"",IF(AND($E1454&lt;$D$2,$G1454&lt;&gt;"X",$F1454&lt;&gt;"Réalisé",$F1454&lt;&gt;"Clôturé"),"RETARD",""))</f>
        <v/>
      </c>
      <c r="J1454" s="29">
        <f>IF($B1454="","",IF(INDEX(Dossiers!$F$4:$F$63,28)="","",INDEX(Dossiers!$F$4:$F$63,28)))</f>
        <v/>
      </c>
      <c r="K1454" s="29">
        <f>IF($B1454="","",IF(INDEX(Dossiers!$G$4:$G$63,28)="","",INDEX(Dossiers!$G$4:$G$63,28)))</f>
        <v/>
      </c>
    </row>
    <row r="1455">
      <c r="A1455">
        <f>IF($B1455="","",INDEX(Dossiers!$E$4:$E$63,28))</f>
        <v/>
      </c>
      <c r="B1455">
        <f>IF(INDEX(Suivi!$B:$B,1483)="","",INDEX(Suivi!$B:$B,1483))</f>
        <v/>
      </c>
      <c r="C1455">
        <f>IF($B1455="","",IF(INDEX(Suivi!$D:$D,1483)="",INDEX(Suivi!$C:$C,1483),INDEX(Suivi!$D:$D,1483)))</f>
        <v/>
      </c>
      <c r="D1455" s="29">
        <f>IF($B1455="","",INDEX(Suivi!$E:$E,1483))</f>
        <v/>
      </c>
      <c r="E1455" s="29">
        <f>IF($B1455="","",INDEX(Suivi!$F:$F,1483))</f>
        <v/>
      </c>
      <c r="F1455">
        <f>IF($B1455="","",INDEX(Suivi!$G:$G,1483))</f>
        <v/>
      </c>
      <c r="H1455">
        <f>IF(OR($B1455="",NOT(ISNUMBER($D1455))),"",IF($E1455&lt;$D$2,"Passé",IF($D1455&gt;$F$2,"À venir","Dans la période")))</f>
        <v/>
      </c>
      <c r="I1455">
        <f>IF(OR($B1455="",NOT(ISNUMBER($D1455))),"",IF(AND($E1455&lt;$D$2,$G1455&lt;&gt;"X",$F1455&lt;&gt;"Réalisé",$F1455&lt;&gt;"Clôturé"),"RETARD",""))</f>
        <v/>
      </c>
      <c r="J1455" s="29">
        <f>IF($B1455="","",IF(INDEX(Dossiers!$F$4:$F$63,28)="","",INDEX(Dossiers!$F$4:$F$63,28)))</f>
        <v/>
      </c>
      <c r="K1455" s="29">
        <f>IF($B1455="","",IF(INDEX(Dossiers!$G$4:$G$63,28)="","",INDEX(Dossiers!$G$4:$G$63,28)))</f>
        <v/>
      </c>
    </row>
    <row r="1456">
      <c r="A1456">
        <f>IF($B1456="","",INDEX(Dossiers!$E$4:$E$63,28))</f>
        <v/>
      </c>
      <c r="B1456">
        <f>IF(INDEX(Suivi!$B:$B,1484)="","",INDEX(Suivi!$B:$B,1484))</f>
        <v/>
      </c>
      <c r="C1456">
        <f>IF($B1456="","",IF(INDEX(Suivi!$D:$D,1484)="",INDEX(Suivi!$C:$C,1484),INDEX(Suivi!$D:$D,1484)))</f>
        <v/>
      </c>
      <c r="D1456" s="29">
        <f>IF($B1456="","",INDEX(Suivi!$E:$E,1484))</f>
        <v/>
      </c>
      <c r="E1456" s="29">
        <f>IF($B1456="","",INDEX(Suivi!$F:$F,1484))</f>
        <v/>
      </c>
      <c r="F1456">
        <f>IF($B1456="","",INDEX(Suivi!$G:$G,1484))</f>
        <v/>
      </c>
      <c r="H1456">
        <f>IF(OR($B1456="",NOT(ISNUMBER($D1456))),"",IF($E1456&lt;$D$2,"Passé",IF($D1456&gt;$F$2,"À venir","Dans la période")))</f>
        <v/>
      </c>
      <c r="I1456">
        <f>IF(OR($B1456="",NOT(ISNUMBER($D1456))),"",IF(AND($E1456&lt;$D$2,$G1456&lt;&gt;"X",$F1456&lt;&gt;"Réalisé",$F1456&lt;&gt;"Clôturé"),"RETARD",""))</f>
        <v/>
      </c>
      <c r="J1456" s="29">
        <f>IF($B1456="","",IF(INDEX(Dossiers!$F$4:$F$63,28)="","",INDEX(Dossiers!$F$4:$F$63,28)))</f>
        <v/>
      </c>
      <c r="K1456" s="29">
        <f>IF($B1456="","",IF(INDEX(Dossiers!$G$4:$G$63,28)="","",INDEX(Dossiers!$G$4:$G$63,28)))</f>
        <v/>
      </c>
    </row>
    <row r="1457">
      <c r="A1457">
        <f>IF($B1457="","",INDEX(Dossiers!$E$4:$E$63,28))</f>
        <v/>
      </c>
      <c r="B1457">
        <f>IF(INDEX(Suivi!$B:$B,1485)="","",INDEX(Suivi!$B:$B,1485))</f>
        <v/>
      </c>
      <c r="C1457">
        <f>IF($B1457="","",IF(INDEX(Suivi!$D:$D,1485)="",INDEX(Suivi!$C:$C,1485),INDEX(Suivi!$D:$D,1485)))</f>
        <v/>
      </c>
      <c r="D1457" s="29">
        <f>IF($B1457="","",INDEX(Suivi!$E:$E,1485))</f>
        <v/>
      </c>
      <c r="E1457" s="29">
        <f>IF($B1457="","",INDEX(Suivi!$F:$F,1485))</f>
        <v/>
      </c>
      <c r="F1457">
        <f>IF($B1457="","",INDEX(Suivi!$G:$G,1485))</f>
        <v/>
      </c>
      <c r="H1457">
        <f>IF(OR($B1457="",NOT(ISNUMBER($D1457))),"",IF($E1457&lt;$D$2,"Passé",IF($D1457&gt;$F$2,"À venir","Dans la période")))</f>
        <v/>
      </c>
      <c r="I1457">
        <f>IF(OR($B1457="",NOT(ISNUMBER($D1457))),"",IF(AND($E1457&lt;$D$2,$G1457&lt;&gt;"X",$F1457&lt;&gt;"Réalisé",$F1457&lt;&gt;"Clôturé"),"RETARD",""))</f>
        <v/>
      </c>
      <c r="J1457" s="29">
        <f>IF($B1457="","",IF(INDEX(Dossiers!$F$4:$F$63,28)="","",INDEX(Dossiers!$F$4:$F$63,28)))</f>
        <v/>
      </c>
      <c r="K1457" s="29">
        <f>IF($B1457="","",IF(INDEX(Dossiers!$G$4:$G$63,28)="","",INDEX(Dossiers!$G$4:$G$63,28)))</f>
        <v/>
      </c>
    </row>
    <row r="1458">
      <c r="A1458">
        <f>IF($B1458="","",INDEX(Dossiers!$E$4:$E$63,28))</f>
        <v/>
      </c>
      <c r="B1458">
        <f>IF(INDEX(Suivi!$B:$B,1486)="","",INDEX(Suivi!$B:$B,1486))</f>
        <v/>
      </c>
      <c r="C1458">
        <f>IF($B1458="","",IF(INDEX(Suivi!$D:$D,1486)="",INDEX(Suivi!$C:$C,1486),INDEX(Suivi!$D:$D,1486)))</f>
        <v/>
      </c>
      <c r="D1458" s="29">
        <f>IF($B1458="","",INDEX(Suivi!$E:$E,1486))</f>
        <v/>
      </c>
      <c r="E1458" s="29">
        <f>IF($B1458="","",INDEX(Suivi!$F:$F,1486))</f>
        <v/>
      </c>
      <c r="F1458">
        <f>IF($B1458="","",INDEX(Suivi!$G:$G,1486))</f>
        <v/>
      </c>
      <c r="H1458">
        <f>IF(OR($B1458="",NOT(ISNUMBER($D1458))),"",IF($E1458&lt;$D$2,"Passé",IF($D1458&gt;$F$2,"À venir","Dans la période")))</f>
        <v/>
      </c>
      <c r="I1458">
        <f>IF(OR($B1458="",NOT(ISNUMBER($D1458))),"",IF(AND($E1458&lt;$D$2,$G1458&lt;&gt;"X",$F1458&lt;&gt;"Réalisé",$F1458&lt;&gt;"Clôturé"),"RETARD",""))</f>
        <v/>
      </c>
      <c r="J1458" s="29">
        <f>IF($B1458="","",IF(INDEX(Dossiers!$F$4:$F$63,28)="","",INDEX(Dossiers!$F$4:$F$63,28)))</f>
        <v/>
      </c>
      <c r="K1458" s="29">
        <f>IF($B1458="","",IF(INDEX(Dossiers!$G$4:$G$63,28)="","",INDEX(Dossiers!$G$4:$G$63,28)))</f>
        <v/>
      </c>
    </row>
    <row r="1459">
      <c r="A1459">
        <f>IF($B1459="","",INDEX(Dossiers!$E$4:$E$63,28))</f>
        <v/>
      </c>
      <c r="B1459">
        <f>IF(INDEX(Suivi!$B:$B,1487)="","",INDEX(Suivi!$B:$B,1487))</f>
        <v/>
      </c>
      <c r="C1459">
        <f>IF($B1459="","",IF(INDEX(Suivi!$D:$D,1487)="",INDEX(Suivi!$C:$C,1487),INDEX(Suivi!$D:$D,1487)))</f>
        <v/>
      </c>
      <c r="D1459" s="29">
        <f>IF($B1459="","",INDEX(Suivi!$E:$E,1487))</f>
        <v/>
      </c>
      <c r="E1459" s="29">
        <f>IF($B1459="","",INDEX(Suivi!$F:$F,1487))</f>
        <v/>
      </c>
      <c r="F1459">
        <f>IF($B1459="","",INDEX(Suivi!$G:$G,1487))</f>
        <v/>
      </c>
      <c r="H1459">
        <f>IF(OR($B1459="",NOT(ISNUMBER($D1459))),"",IF($E1459&lt;$D$2,"Passé",IF($D1459&gt;$F$2,"À venir","Dans la période")))</f>
        <v/>
      </c>
      <c r="I1459">
        <f>IF(OR($B1459="",NOT(ISNUMBER($D1459))),"",IF(AND($E1459&lt;$D$2,$G1459&lt;&gt;"X",$F1459&lt;&gt;"Réalisé",$F1459&lt;&gt;"Clôturé"),"RETARD",""))</f>
        <v/>
      </c>
      <c r="J1459" s="29">
        <f>IF($B1459="","",IF(INDEX(Dossiers!$F$4:$F$63,28)="","",INDEX(Dossiers!$F$4:$F$63,28)))</f>
        <v/>
      </c>
      <c r="K1459" s="29">
        <f>IF($B1459="","",IF(INDEX(Dossiers!$G$4:$G$63,28)="","",INDEX(Dossiers!$G$4:$G$63,28)))</f>
        <v/>
      </c>
    </row>
    <row r="1460">
      <c r="A1460">
        <f>IF($B1460="","",INDEX(Dossiers!$E$4:$E$63,28))</f>
        <v/>
      </c>
      <c r="B1460">
        <f>IF(INDEX(Suivi!$B:$B,1488)="","",INDEX(Suivi!$B:$B,1488))</f>
        <v/>
      </c>
      <c r="C1460">
        <f>IF($B1460="","",IF(INDEX(Suivi!$D:$D,1488)="",INDEX(Suivi!$C:$C,1488),INDEX(Suivi!$D:$D,1488)))</f>
        <v/>
      </c>
      <c r="D1460" s="29">
        <f>IF($B1460="","",INDEX(Suivi!$E:$E,1488))</f>
        <v/>
      </c>
      <c r="E1460" s="29">
        <f>IF($B1460="","",INDEX(Suivi!$F:$F,1488))</f>
        <v/>
      </c>
      <c r="F1460">
        <f>IF($B1460="","",INDEX(Suivi!$G:$G,1488))</f>
        <v/>
      </c>
      <c r="H1460">
        <f>IF(OR($B1460="",NOT(ISNUMBER($D1460))),"",IF($E1460&lt;$D$2,"Passé",IF($D1460&gt;$F$2,"À venir","Dans la période")))</f>
        <v/>
      </c>
      <c r="I1460">
        <f>IF(OR($B1460="",NOT(ISNUMBER($D1460))),"",IF(AND($E1460&lt;$D$2,$G1460&lt;&gt;"X",$F1460&lt;&gt;"Réalisé",$F1460&lt;&gt;"Clôturé"),"RETARD",""))</f>
        <v/>
      </c>
      <c r="J1460" s="29">
        <f>IF($B1460="","",IF(INDEX(Dossiers!$F$4:$F$63,28)="","",INDEX(Dossiers!$F$4:$F$63,28)))</f>
        <v/>
      </c>
      <c r="K1460" s="29">
        <f>IF($B1460="","",IF(INDEX(Dossiers!$G$4:$G$63,28)="","",INDEX(Dossiers!$G$4:$G$63,28)))</f>
        <v/>
      </c>
    </row>
    <row r="1461">
      <c r="A1461">
        <f>IF($B1461="","",INDEX(Dossiers!$E$4:$E$63,28))</f>
        <v/>
      </c>
      <c r="B1461">
        <f>IF(INDEX(Suivi!$B:$B,1489)="","",INDEX(Suivi!$B:$B,1489))</f>
        <v/>
      </c>
      <c r="C1461">
        <f>IF($B1461="","",IF(INDEX(Suivi!$D:$D,1489)="",INDEX(Suivi!$C:$C,1489),INDEX(Suivi!$D:$D,1489)))</f>
        <v/>
      </c>
      <c r="D1461" s="29">
        <f>IF($B1461="","",INDEX(Suivi!$E:$E,1489))</f>
        <v/>
      </c>
      <c r="E1461" s="29">
        <f>IF($B1461="","",INDEX(Suivi!$F:$F,1489))</f>
        <v/>
      </c>
      <c r="F1461">
        <f>IF($B1461="","",INDEX(Suivi!$G:$G,1489))</f>
        <v/>
      </c>
      <c r="H1461">
        <f>IF(OR($B1461="",NOT(ISNUMBER($D1461))),"",IF($E1461&lt;$D$2,"Passé",IF($D1461&gt;$F$2,"À venir","Dans la période")))</f>
        <v/>
      </c>
      <c r="I1461">
        <f>IF(OR($B1461="",NOT(ISNUMBER($D1461))),"",IF(AND($E1461&lt;$D$2,$G1461&lt;&gt;"X",$F1461&lt;&gt;"Réalisé",$F1461&lt;&gt;"Clôturé"),"RETARD",""))</f>
        <v/>
      </c>
      <c r="J1461" s="29">
        <f>IF($B1461="","",IF(INDEX(Dossiers!$F$4:$F$63,28)="","",INDEX(Dossiers!$F$4:$F$63,28)))</f>
        <v/>
      </c>
      <c r="K1461" s="29">
        <f>IF($B1461="","",IF(INDEX(Dossiers!$G$4:$G$63,28)="","",INDEX(Dossiers!$G$4:$G$63,28)))</f>
        <v/>
      </c>
    </row>
    <row r="1462">
      <c r="A1462">
        <f>IF($B1462="","",INDEX(Dossiers!$E$4:$E$63,28))</f>
        <v/>
      </c>
      <c r="B1462">
        <f>IF(INDEX(Suivi!$B:$B,1490)="","",INDEX(Suivi!$B:$B,1490))</f>
        <v/>
      </c>
      <c r="C1462">
        <f>IF($B1462="","",IF(INDEX(Suivi!$D:$D,1490)="",INDEX(Suivi!$C:$C,1490),INDEX(Suivi!$D:$D,1490)))</f>
        <v/>
      </c>
      <c r="D1462" s="29">
        <f>IF($B1462="","",INDEX(Suivi!$E:$E,1490))</f>
        <v/>
      </c>
      <c r="E1462" s="29">
        <f>IF($B1462="","",INDEX(Suivi!$F:$F,1490))</f>
        <v/>
      </c>
      <c r="F1462">
        <f>IF($B1462="","",INDEX(Suivi!$G:$G,1490))</f>
        <v/>
      </c>
      <c r="H1462">
        <f>IF(OR($B1462="",NOT(ISNUMBER($D1462))),"",IF($E1462&lt;$D$2,"Passé",IF($D1462&gt;$F$2,"À venir","Dans la période")))</f>
        <v/>
      </c>
      <c r="I1462">
        <f>IF(OR($B1462="",NOT(ISNUMBER($D1462))),"",IF(AND($E1462&lt;$D$2,$G1462&lt;&gt;"X",$F1462&lt;&gt;"Réalisé",$F1462&lt;&gt;"Clôturé"),"RETARD",""))</f>
        <v/>
      </c>
      <c r="J1462" s="29">
        <f>IF($B1462="","",IF(INDEX(Dossiers!$F$4:$F$63,28)="","",INDEX(Dossiers!$F$4:$F$63,28)))</f>
        <v/>
      </c>
      <c r="K1462" s="29">
        <f>IF($B1462="","",IF(INDEX(Dossiers!$G$4:$G$63,28)="","",INDEX(Dossiers!$G$4:$G$63,28)))</f>
        <v/>
      </c>
    </row>
    <row r="1463">
      <c r="A1463">
        <f>IF($B1463="","",INDEX(Dossiers!$E$4:$E$63,28))</f>
        <v/>
      </c>
      <c r="B1463">
        <f>IF(INDEX(Suivi!$B:$B,1491)="","",INDEX(Suivi!$B:$B,1491))</f>
        <v/>
      </c>
      <c r="C1463">
        <f>IF($B1463="","",IF(INDEX(Suivi!$D:$D,1491)="",INDEX(Suivi!$C:$C,1491),INDEX(Suivi!$D:$D,1491)))</f>
        <v/>
      </c>
      <c r="D1463" s="29">
        <f>IF($B1463="","",INDEX(Suivi!$E:$E,1491))</f>
        <v/>
      </c>
      <c r="E1463" s="29">
        <f>IF($B1463="","",INDEX(Suivi!$F:$F,1491))</f>
        <v/>
      </c>
      <c r="F1463">
        <f>IF($B1463="","",INDEX(Suivi!$G:$G,1491))</f>
        <v/>
      </c>
      <c r="H1463">
        <f>IF(OR($B1463="",NOT(ISNUMBER($D1463))),"",IF($E1463&lt;$D$2,"Passé",IF($D1463&gt;$F$2,"À venir","Dans la période")))</f>
        <v/>
      </c>
      <c r="I1463">
        <f>IF(OR($B1463="",NOT(ISNUMBER($D1463))),"",IF(AND($E1463&lt;$D$2,$G1463&lt;&gt;"X",$F1463&lt;&gt;"Réalisé",$F1463&lt;&gt;"Clôturé"),"RETARD",""))</f>
        <v/>
      </c>
      <c r="J1463" s="29">
        <f>IF($B1463="","",IF(INDEX(Dossiers!$F$4:$F$63,28)="","",INDEX(Dossiers!$F$4:$F$63,28)))</f>
        <v/>
      </c>
      <c r="K1463" s="29">
        <f>IF($B1463="","",IF(INDEX(Dossiers!$G$4:$G$63,28)="","",INDEX(Dossiers!$G$4:$G$63,28)))</f>
        <v/>
      </c>
    </row>
    <row r="1464">
      <c r="A1464">
        <f>IF($B1464="","",INDEX(Dossiers!$E$4:$E$63,28))</f>
        <v/>
      </c>
      <c r="B1464">
        <f>IF(INDEX(Suivi!$B:$B,1492)="","",INDEX(Suivi!$B:$B,1492))</f>
        <v/>
      </c>
      <c r="C1464">
        <f>IF($B1464="","",IF(INDEX(Suivi!$D:$D,1492)="",INDEX(Suivi!$C:$C,1492),INDEX(Suivi!$D:$D,1492)))</f>
        <v/>
      </c>
      <c r="D1464" s="29">
        <f>IF($B1464="","",INDEX(Suivi!$E:$E,1492))</f>
        <v/>
      </c>
      <c r="E1464" s="29">
        <f>IF($B1464="","",INDEX(Suivi!$F:$F,1492))</f>
        <v/>
      </c>
      <c r="F1464">
        <f>IF($B1464="","",INDEX(Suivi!$G:$G,1492))</f>
        <v/>
      </c>
      <c r="H1464">
        <f>IF(OR($B1464="",NOT(ISNUMBER($D1464))),"",IF($E1464&lt;$D$2,"Passé",IF($D1464&gt;$F$2,"À venir","Dans la période")))</f>
        <v/>
      </c>
      <c r="I1464">
        <f>IF(OR($B1464="",NOT(ISNUMBER($D1464))),"",IF(AND($E1464&lt;$D$2,$G1464&lt;&gt;"X",$F1464&lt;&gt;"Réalisé",$F1464&lt;&gt;"Clôturé"),"RETARD",""))</f>
        <v/>
      </c>
      <c r="J1464" s="29">
        <f>IF($B1464="","",IF(INDEX(Dossiers!$F$4:$F$63,28)="","",INDEX(Dossiers!$F$4:$F$63,28)))</f>
        <v/>
      </c>
      <c r="K1464" s="29">
        <f>IF($B1464="","",IF(INDEX(Dossiers!$G$4:$G$63,28)="","",INDEX(Dossiers!$G$4:$G$63,28)))</f>
        <v/>
      </c>
    </row>
    <row r="1465">
      <c r="A1465">
        <f>IF($B1465="","",INDEX(Dossiers!$E$4:$E$63,28))</f>
        <v/>
      </c>
      <c r="B1465">
        <f>IF(INDEX(Suivi!$B:$B,1493)="","",INDEX(Suivi!$B:$B,1493))</f>
        <v/>
      </c>
      <c r="C1465">
        <f>IF($B1465="","",IF(INDEX(Suivi!$D:$D,1493)="",INDEX(Suivi!$C:$C,1493),INDEX(Suivi!$D:$D,1493)))</f>
        <v/>
      </c>
      <c r="D1465" s="29">
        <f>IF($B1465="","",INDEX(Suivi!$E:$E,1493))</f>
        <v/>
      </c>
      <c r="E1465" s="29">
        <f>IF($B1465="","",INDEX(Suivi!$F:$F,1493))</f>
        <v/>
      </c>
      <c r="F1465">
        <f>IF($B1465="","",INDEX(Suivi!$G:$G,1493))</f>
        <v/>
      </c>
      <c r="H1465">
        <f>IF(OR($B1465="",NOT(ISNUMBER($D1465))),"",IF($E1465&lt;$D$2,"Passé",IF($D1465&gt;$F$2,"À venir","Dans la période")))</f>
        <v/>
      </c>
      <c r="I1465">
        <f>IF(OR($B1465="",NOT(ISNUMBER($D1465))),"",IF(AND($E1465&lt;$D$2,$G1465&lt;&gt;"X",$F1465&lt;&gt;"Réalisé",$F1465&lt;&gt;"Clôturé"),"RETARD",""))</f>
        <v/>
      </c>
      <c r="J1465" s="29">
        <f>IF($B1465="","",IF(INDEX(Dossiers!$F$4:$F$63,28)="","",INDEX(Dossiers!$F$4:$F$63,28)))</f>
        <v/>
      </c>
      <c r="K1465" s="29">
        <f>IF($B1465="","",IF(INDEX(Dossiers!$G$4:$G$63,28)="","",INDEX(Dossiers!$G$4:$G$63,28)))</f>
        <v/>
      </c>
    </row>
    <row r="1466">
      <c r="A1466">
        <f>IF($B1466="","",INDEX(Dossiers!$E$4:$E$63,28))</f>
        <v/>
      </c>
      <c r="B1466">
        <f>IF(INDEX(Suivi!$B:$B,1494)="","",INDEX(Suivi!$B:$B,1494))</f>
        <v/>
      </c>
      <c r="C1466">
        <f>IF($B1466="","",IF(INDEX(Suivi!$D:$D,1494)="",INDEX(Suivi!$C:$C,1494),INDEX(Suivi!$D:$D,1494)))</f>
        <v/>
      </c>
      <c r="D1466" s="29">
        <f>IF($B1466="","",INDEX(Suivi!$E:$E,1494))</f>
        <v/>
      </c>
      <c r="E1466" s="29">
        <f>IF($B1466="","",INDEX(Suivi!$F:$F,1494))</f>
        <v/>
      </c>
      <c r="F1466">
        <f>IF($B1466="","",INDEX(Suivi!$G:$G,1494))</f>
        <v/>
      </c>
      <c r="H1466">
        <f>IF(OR($B1466="",NOT(ISNUMBER($D1466))),"",IF($E1466&lt;$D$2,"Passé",IF($D1466&gt;$F$2,"À venir","Dans la période")))</f>
        <v/>
      </c>
      <c r="I1466">
        <f>IF(OR($B1466="",NOT(ISNUMBER($D1466))),"",IF(AND($E1466&lt;$D$2,$G1466&lt;&gt;"X",$F1466&lt;&gt;"Réalisé",$F1466&lt;&gt;"Clôturé"),"RETARD",""))</f>
        <v/>
      </c>
      <c r="J1466" s="29">
        <f>IF($B1466="","",IF(INDEX(Dossiers!$F$4:$F$63,28)="","",INDEX(Dossiers!$F$4:$F$63,28)))</f>
        <v/>
      </c>
      <c r="K1466" s="29">
        <f>IF($B1466="","",IF(INDEX(Dossiers!$G$4:$G$63,28)="","",INDEX(Dossiers!$G$4:$G$63,28)))</f>
        <v/>
      </c>
    </row>
    <row r="1467">
      <c r="A1467">
        <f>IF($B1467="","",INDEX(Dossiers!$E$4:$E$63,28))</f>
        <v/>
      </c>
      <c r="B1467">
        <f>IF(INDEX(Suivi!$B:$B,1495)="","",INDEX(Suivi!$B:$B,1495))</f>
        <v/>
      </c>
      <c r="C1467">
        <f>IF($B1467="","",IF(INDEX(Suivi!$D:$D,1495)="",INDEX(Suivi!$C:$C,1495),INDEX(Suivi!$D:$D,1495)))</f>
        <v/>
      </c>
      <c r="D1467" s="29">
        <f>IF($B1467="","",INDEX(Suivi!$E:$E,1495))</f>
        <v/>
      </c>
      <c r="E1467" s="29">
        <f>IF($B1467="","",INDEX(Suivi!$F:$F,1495))</f>
        <v/>
      </c>
      <c r="F1467">
        <f>IF($B1467="","",INDEX(Suivi!$G:$G,1495))</f>
        <v/>
      </c>
      <c r="H1467">
        <f>IF(OR($B1467="",NOT(ISNUMBER($D1467))),"",IF($E1467&lt;$D$2,"Passé",IF($D1467&gt;$F$2,"À venir","Dans la période")))</f>
        <v/>
      </c>
      <c r="I1467">
        <f>IF(OR($B1467="",NOT(ISNUMBER($D1467))),"",IF(AND($E1467&lt;$D$2,$G1467&lt;&gt;"X",$F1467&lt;&gt;"Réalisé",$F1467&lt;&gt;"Clôturé"),"RETARD",""))</f>
        <v/>
      </c>
      <c r="J1467" s="29">
        <f>IF($B1467="","",IF(INDEX(Dossiers!$F$4:$F$63,28)="","",INDEX(Dossiers!$F$4:$F$63,28)))</f>
        <v/>
      </c>
      <c r="K1467" s="29">
        <f>IF($B1467="","",IF(INDEX(Dossiers!$G$4:$G$63,28)="","",INDEX(Dossiers!$G$4:$G$63,28)))</f>
        <v/>
      </c>
    </row>
    <row r="1468">
      <c r="A1468">
        <f>IF($B1468="","",INDEX(Dossiers!$E$4:$E$63,28))</f>
        <v/>
      </c>
      <c r="B1468">
        <f>IF(INDEX(Suivi!$B:$B,1496)="","",INDEX(Suivi!$B:$B,1496))</f>
        <v/>
      </c>
      <c r="C1468">
        <f>IF($B1468="","",IF(INDEX(Suivi!$D:$D,1496)="",INDEX(Suivi!$C:$C,1496),INDEX(Suivi!$D:$D,1496)))</f>
        <v/>
      </c>
      <c r="D1468" s="29">
        <f>IF($B1468="","",INDEX(Suivi!$E:$E,1496))</f>
        <v/>
      </c>
      <c r="E1468" s="29">
        <f>IF($B1468="","",INDEX(Suivi!$F:$F,1496))</f>
        <v/>
      </c>
      <c r="F1468">
        <f>IF($B1468="","",INDEX(Suivi!$G:$G,1496))</f>
        <v/>
      </c>
      <c r="H1468">
        <f>IF(OR($B1468="",NOT(ISNUMBER($D1468))),"",IF($E1468&lt;$D$2,"Passé",IF($D1468&gt;$F$2,"À venir","Dans la période")))</f>
        <v/>
      </c>
      <c r="I1468">
        <f>IF(OR($B1468="",NOT(ISNUMBER($D1468))),"",IF(AND($E1468&lt;$D$2,$G1468&lt;&gt;"X",$F1468&lt;&gt;"Réalisé",$F1468&lt;&gt;"Clôturé"),"RETARD",""))</f>
        <v/>
      </c>
      <c r="J1468" s="29">
        <f>IF($B1468="","",IF(INDEX(Dossiers!$F$4:$F$63,28)="","",INDEX(Dossiers!$F$4:$F$63,28)))</f>
        <v/>
      </c>
      <c r="K1468" s="29">
        <f>IF($B1468="","",IF(INDEX(Dossiers!$G$4:$G$63,28)="","",INDEX(Dossiers!$G$4:$G$63,28)))</f>
        <v/>
      </c>
    </row>
    <row r="1469">
      <c r="A1469">
        <f>IF($B1469="","",INDEX(Dossiers!$E$4:$E$63,28))</f>
        <v/>
      </c>
      <c r="B1469">
        <f>IF(INDEX(Suivi!$B:$B,1497)="","",INDEX(Suivi!$B:$B,1497))</f>
        <v/>
      </c>
      <c r="C1469">
        <f>IF($B1469="","",IF(INDEX(Suivi!$D:$D,1497)="",INDEX(Suivi!$C:$C,1497),INDEX(Suivi!$D:$D,1497)))</f>
        <v/>
      </c>
      <c r="D1469" s="29">
        <f>IF($B1469="","",INDEX(Suivi!$E:$E,1497))</f>
        <v/>
      </c>
      <c r="E1469" s="29">
        <f>IF($B1469="","",INDEX(Suivi!$F:$F,1497))</f>
        <v/>
      </c>
      <c r="F1469">
        <f>IF($B1469="","",INDEX(Suivi!$G:$G,1497))</f>
        <v/>
      </c>
      <c r="H1469">
        <f>IF(OR($B1469="",NOT(ISNUMBER($D1469))),"",IF($E1469&lt;$D$2,"Passé",IF($D1469&gt;$F$2,"À venir","Dans la période")))</f>
        <v/>
      </c>
      <c r="I1469">
        <f>IF(OR($B1469="",NOT(ISNUMBER($D1469))),"",IF(AND($E1469&lt;$D$2,$G1469&lt;&gt;"X",$F1469&lt;&gt;"Réalisé",$F1469&lt;&gt;"Clôturé"),"RETARD",""))</f>
        <v/>
      </c>
      <c r="J1469" s="29">
        <f>IF($B1469="","",IF(INDEX(Dossiers!$F$4:$F$63,28)="","",INDEX(Dossiers!$F$4:$F$63,28)))</f>
        <v/>
      </c>
      <c r="K1469" s="29">
        <f>IF($B1469="","",IF(INDEX(Dossiers!$G$4:$G$63,28)="","",INDEX(Dossiers!$G$4:$G$63,28)))</f>
        <v/>
      </c>
    </row>
    <row r="1470">
      <c r="A1470">
        <f>IF($B1470="","",INDEX(Dossiers!$E$4:$E$63,28))</f>
        <v/>
      </c>
      <c r="B1470">
        <f>IF(INDEX(Suivi!$B:$B,1498)="","",INDEX(Suivi!$B:$B,1498))</f>
        <v/>
      </c>
      <c r="C1470">
        <f>IF($B1470="","",IF(INDEX(Suivi!$D:$D,1498)="",INDEX(Suivi!$C:$C,1498),INDEX(Suivi!$D:$D,1498)))</f>
        <v/>
      </c>
      <c r="D1470" s="29">
        <f>IF($B1470="","",INDEX(Suivi!$E:$E,1498))</f>
        <v/>
      </c>
      <c r="E1470" s="29">
        <f>IF($B1470="","",INDEX(Suivi!$F:$F,1498))</f>
        <v/>
      </c>
      <c r="F1470">
        <f>IF($B1470="","",INDEX(Suivi!$G:$G,1498))</f>
        <v/>
      </c>
      <c r="H1470">
        <f>IF(OR($B1470="",NOT(ISNUMBER($D1470))),"",IF($E1470&lt;$D$2,"Passé",IF($D1470&gt;$F$2,"À venir","Dans la période")))</f>
        <v/>
      </c>
      <c r="I1470">
        <f>IF(OR($B1470="",NOT(ISNUMBER($D1470))),"",IF(AND($E1470&lt;$D$2,$G1470&lt;&gt;"X",$F1470&lt;&gt;"Réalisé",$F1470&lt;&gt;"Clôturé"),"RETARD",""))</f>
        <v/>
      </c>
      <c r="J1470" s="29">
        <f>IF($B1470="","",IF(INDEX(Dossiers!$F$4:$F$63,28)="","",INDEX(Dossiers!$F$4:$F$63,28)))</f>
        <v/>
      </c>
      <c r="K1470" s="29">
        <f>IF($B1470="","",IF(INDEX(Dossiers!$G$4:$G$63,28)="","",INDEX(Dossiers!$G$4:$G$63,28)))</f>
        <v/>
      </c>
    </row>
    <row r="1471">
      <c r="A1471">
        <f>IF($B1471="","",INDEX(Dossiers!$E$4:$E$63,28))</f>
        <v/>
      </c>
      <c r="B1471">
        <f>IF(INDEX(Suivi!$B:$B,1499)="","",INDEX(Suivi!$B:$B,1499))</f>
        <v/>
      </c>
      <c r="C1471">
        <f>IF($B1471="","",IF(INDEX(Suivi!$D:$D,1499)="",INDEX(Suivi!$C:$C,1499),INDEX(Suivi!$D:$D,1499)))</f>
        <v/>
      </c>
      <c r="D1471" s="29">
        <f>IF($B1471="","",INDEX(Suivi!$E:$E,1499))</f>
        <v/>
      </c>
      <c r="E1471" s="29">
        <f>IF($B1471="","",INDEX(Suivi!$F:$F,1499))</f>
        <v/>
      </c>
      <c r="F1471">
        <f>IF($B1471="","",INDEX(Suivi!$G:$G,1499))</f>
        <v/>
      </c>
      <c r="H1471">
        <f>IF(OR($B1471="",NOT(ISNUMBER($D1471))),"",IF($E1471&lt;$D$2,"Passé",IF($D1471&gt;$F$2,"À venir","Dans la période")))</f>
        <v/>
      </c>
      <c r="I1471">
        <f>IF(OR($B1471="",NOT(ISNUMBER($D1471))),"",IF(AND($E1471&lt;$D$2,$G1471&lt;&gt;"X",$F1471&lt;&gt;"Réalisé",$F1471&lt;&gt;"Clôturé"),"RETARD",""))</f>
        <v/>
      </c>
      <c r="J1471" s="29">
        <f>IF($B1471="","",IF(INDEX(Dossiers!$F$4:$F$63,28)="","",INDEX(Dossiers!$F$4:$F$63,28)))</f>
        <v/>
      </c>
      <c r="K1471" s="29">
        <f>IF($B1471="","",IF(INDEX(Dossiers!$G$4:$G$63,28)="","",INDEX(Dossiers!$G$4:$G$63,28)))</f>
        <v/>
      </c>
    </row>
    <row r="1472">
      <c r="A1472">
        <f>IF($B1472="","",INDEX(Dossiers!$E$4:$E$63,28))</f>
        <v/>
      </c>
      <c r="B1472">
        <f>IF(INDEX(Suivi!$B:$B,1500)="","",INDEX(Suivi!$B:$B,1500))</f>
        <v/>
      </c>
      <c r="C1472">
        <f>IF($B1472="","",IF(INDEX(Suivi!$D:$D,1500)="",INDEX(Suivi!$C:$C,1500),INDEX(Suivi!$D:$D,1500)))</f>
        <v/>
      </c>
      <c r="D1472" s="29">
        <f>IF($B1472="","",INDEX(Suivi!$E:$E,1500))</f>
        <v/>
      </c>
      <c r="E1472" s="29">
        <f>IF($B1472="","",INDEX(Suivi!$F:$F,1500))</f>
        <v/>
      </c>
      <c r="F1472">
        <f>IF($B1472="","",INDEX(Suivi!$G:$G,1500))</f>
        <v/>
      </c>
      <c r="H1472">
        <f>IF(OR($B1472="",NOT(ISNUMBER($D1472))),"",IF($E1472&lt;$D$2,"Passé",IF($D1472&gt;$F$2,"À venir","Dans la période")))</f>
        <v/>
      </c>
      <c r="I1472">
        <f>IF(OR($B1472="",NOT(ISNUMBER($D1472))),"",IF(AND($E1472&lt;$D$2,$G1472&lt;&gt;"X",$F1472&lt;&gt;"Réalisé",$F1472&lt;&gt;"Clôturé"),"RETARD",""))</f>
        <v/>
      </c>
      <c r="J1472" s="29">
        <f>IF($B1472="","",IF(INDEX(Dossiers!$F$4:$F$63,28)="","",INDEX(Dossiers!$F$4:$F$63,28)))</f>
        <v/>
      </c>
      <c r="K1472" s="29">
        <f>IF($B1472="","",IF(INDEX(Dossiers!$G$4:$G$63,28)="","",INDEX(Dossiers!$G$4:$G$63,28)))</f>
        <v/>
      </c>
    </row>
    <row r="1473">
      <c r="A1473">
        <f>IF($B1473="","",INDEX(Dossiers!$E$4:$E$63,28))</f>
        <v/>
      </c>
      <c r="B1473">
        <f>IF(INDEX(Suivi!$B:$B,1501)="","",INDEX(Suivi!$B:$B,1501))</f>
        <v/>
      </c>
      <c r="C1473">
        <f>IF($B1473="","",IF(INDEX(Suivi!$D:$D,1501)="",INDEX(Suivi!$C:$C,1501),INDEX(Suivi!$D:$D,1501)))</f>
        <v/>
      </c>
      <c r="D1473" s="29">
        <f>IF($B1473="","",INDEX(Suivi!$E:$E,1501))</f>
        <v/>
      </c>
      <c r="E1473" s="29">
        <f>IF($B1473="","",INDEX(Suivi!$F:$F,1501))</f>
        <v/>
      </c>
      <c r="F1473">
        <f>IF($B1473="","",INDEX(Suivi!$G:$G,1501))</f>
        <v/>
      </c>
      <c r="H1473">
        <f>IF(OR($B1473="",NOT(ISNUMBER($D1473))),"",IF($E1473&lt;$D$2,"Passé",IF($D1473&gt;$F$2,"À venir","Dans la période")))</f>
        <v/>
      </c>
      <c r="I1473">
        <f>IF(OR($B1473="",NOT(ISNUMBER($D1473))),"",IF(AND($E1473&lt;$D$2,$G1473&lt;&gt;"X",$F1473&lt;&gt;"Réalisé",$F1473&lt;&gt;"Clôturé"),"RETARD",""))</f>
        <v/>
      </c>
      <c r="J1473" s="29">
        <f>IF($B1473="","",IF(INDEX(Dossiers!$F$4:$F$63,28)="","",INDEX(Dossiers!$F$4:$F$63,28)))</f>
        <v/>
      </c>
      <c r="K1473" s="29">
        <f>IF($B1473="","",IF(INDEX(Dossiers!$G$4:$G$63,28)="","",INDEX(Dossiers!$G$4:$G$63,28)))</f>
        <v/>
      </c>
    </row>
    <row r="1474">
      <c r="A1474">
        <f>IF($B1474="","",INDEX(Dossiers!$E$4:$E$63,28))</f>
        <v/>
      </c>
      <c r="B1474">
        <f>IF(INDEX(Suivi!$B:$B,1502)="","",INDEX(Suivi!$B:$B,1502))</f>
        <v/>
      </c>
      <c r="C1474">
        <f>IF($B1474="","",IF(INDEX(Suivi!$D:$D,1502)="",INDEX(Suivi!$C:$C,1502),INDEX(Suivi!$D:$D,1502)))</f>
        <v/>
      </c>
      <c r="D1474" s="29">
        <f>IF($B1474="","",INDEX(Suivi!$E:$E,1502))</f>
        <v/>
      </c>
      <c r="E1474" s="29">
        <f>IF($B1474="","",INDEX(Suivi!$F:$F,1502))</f>
        <v/>
      </c>
      <c r="F1474">
        <f>IF($B1474="","",INDEX(Suivi!$G:$G,1502))</f>
        <v/>
      </c>
      <c r="H1474">
        <f>IF(OR($B1474="",NOT(ISNUMBER($D1474))),"",IF($E1474&lt;$D$2,"Passé",IF($D1474&gt;$F$2,"À venir","Dans la période")))</f>
        <v/>
      </c>
      <c r="I1474">
        <f>IF(OR($B1474="",NOT(ISNUMBER($D1474))),"",IF(AND($E1474&lt;$D$2,$G1474&lt;&gt;"X",$F1474&lt;&gt;"Réalisé",$F1474&lt;&gt;"Clôturé"),"RETARD",""))</f>
        <v/>
      </c>
      <c r="J1474" s="29">
        <f>IF($B1474="","",IF(INDEX(Dossiers!$F$4:$F$63,28)="","",INDEX(Dossiers!$F$4:$F$63,28)))</f>
        <v/>
      </c>
      <c r="K1474" s="29">
        <f>IF($B1474="","",IF(INDEX(Dossiers!$G$4:$G$63,28)="","",INDEX(Dossiers!$G$4:$G$63,28)))</f>
        <v/>
      </c>
    </row>
    <row r="1475">
      <c r="A1475">
        <f>IF($B1475="","",INDEX(Dossiers!$E$4:$E$63,28))</f>
        <v/>
      </c>
      <c r="B1475">
        <f>IF(INDEX(Suivi!$B:$B,1503)="","",INDEX(Suivi!$B:$B,1503))</f>
        <v/>
      </c>
      <c r="C1475">
        <f>IF($B1475="","",IF(INDEX(Suivi!$D:$D,1503)="",INDEX(Suivi!$C:$C,1503),INDEX(Suivi!$D:$D,1503)))</f>
        <v/>
      </c>
      <c r="D1475" s="29">
        <f>IF($B1475="","",INDEX(Suivi!$E:$E,1503))</f>
        <v/>
      </c>
      <c r="E1475" s="29">
        <f>IF($B1475="","",INDEX(Suivi!$F:$F,1503))</f>
        <v/>
      </c>
      <c r="F1475">
        <f>IF($B1475="","",INDEX(Suivi!$G:$G,1503))</f>
        <v/>
      </c>
      <c r="H1475">
        <f>IF(OR($B1475="",NOT(ISNUMBER($D1475))),"",IF($E1475&lt;$D$2,"Passé",IF($D1475&gt;$F$2,"À venir","Dans la période")))</f>
        <v/>
      </c>
      <c r="I1475">
        <f>IF(OR($B1475="",NOT(ISNUMBER($D1475))),"",IF(AND($E1475&lt;$D$2,$G1475&lt;&gt;"X",$F1475&lt;&gt;"Réalisé",$F1475&lt;&gt;"Clôturé"),"RETARD",""))</f>
        <v/>
      </c>
      <c r="J1475" s="29">
        <f>IF($B1475="","",IF(INDEX(Dossiers!$F$4:$F$63,28)="","",INDEX(Dossiers!$F$4:$F$63,28)))</f>
        <v/>
      </c>
      <c r="K1475" s="29">
        <f>IF($B1475="","",IF(INDEX(Dossiers!$G$4:$G$63,28)="","",INDEX(Dossiers!$G$4:$G$63,28)))</f>
        <v/>
      </c>
    </row>
    <row r="1476">
      <c r="A1476">
        <f>IF($B1476="","",INDEX(Dossiers!$E$4:$E$63,28))</f>
        <v/>
      </c>
      <c r="B1476">
        <f>IF(INDEX(Suivi!$B:$B,1504)="","",INDEX(Suivi!$B:$B,1504))</f>
        <v/>
      </c>
      <c r="C1476">
        <f>IF($B1476="","",IF(INDEX(Suivi!$D:$D,1504)="",INDEX(Suivi!$C:$C,1504),INDEX(Suivi!$D:$D,1504)))</f>
        <v/>
      </c>
      <c r="D1476" s="29">
        <f>IF($B1476="","",INDEX(Suivi!$E:$E,1504))</f>
        <v/>
      </c>
      <c r="E1476" s="29">
        <f>IF($B1476="","",INDEX(Suivi!$F:$F,1504))</f>
        <v/>
      </c>
      <c r="F1476">
        <f>IF($B1476="","",INDEX(Suivi!$G:$G,1504))</f>
        <v/>
      </c>
      <c r="H1476">
        <f>IF(OR($B1476="",NOT(ISNUMBER($D1476))),"",IF($E1476&lt;$D$2,"Passé",IF($D1476&gt;$F$2,"À venir","Dans la période")))</f>
        <v/>
      </c>
      <c r="I1476">
        <f>IF(OR($B1476="",NOT(ISNUMBER($D1476))),"",IF(AND($E1476&lt;$D$2,$G1476&lt;&gt;"X",$F1476&lt;&gt;"Réalisé",$F1476&lt;&gt;"Clôturé"),"RETARD",""))</f>
        <v/>
      </c>
      <c r="J1476" s="29">
        <f>IF($B1476="","",IF(INDEX(Dossiers!$F$4:$F$63,28)="","",INDEX(Dossiers!$F$4:$F$63,28)))</f>
        <v/>
      </c>
      <c r="K1476" s="29">
        <f>IF($B1476="","",IF(INDEX(Dossiers!$G$4:$G$63,28)="","",INDEX(Dossiers!$G$4:$G$63,28)))</f>
        <v/>
      </c>
    </row>
    <row r="1477">
      <c r="A1477">
        <f>IF($B1477="","",INDEX(Dossiers!$E$4:$E$63,28))</f>
        <v/>
      </c>
      <c r="B1477">
        <f>IF(INDEX(Suivi!$B:$B,1505)="","",INDEX(Suivi!$B:$B,1505))</f>
        <v/>
      </c>
      <c r="C1477">
        <f>IF($B1477="","",IF(INDEX(Suivi!$D:$D,1505)="",INDEX(Suivi!$C:$C,1505),INDEX(Suivi!$D:$D,1505)))</f>
        <v/>
      </c>
      <c r="D1477" s="29">
        <f>IF($B1477="","",INDEX(Suivi!$E:$E,1505))</f>
        <v/>
      </c>
      <c r="E1477" s="29">
        <f>IF($B1477="","",INDEX(Suivi!$F:$F,1505))</f>
        <v/>
      </c>
      <c r="F1477">
        <f>IF($B1477="","",INDEX(Suivi!$G:$G,1505))</f>
        <v/>
      </c>
      <c r="H1477">
        <f>IF(OR($B1477="",NOT(ISNUMBER($D1477))),"",IF($E1477&lt;$D$2,"Passé",IF($D1477&gt;$F$2,"À venir","Dans la période")))</f>
        <v/>
      </c>
      <c r="I1477">
        <f>IF(OR($B1477="",NOT(ISNUMBER($D1477))),"",IF(AND($E1477&lt;$D$2,$G1477&lt;&gt;"X",$F1477&lt;&gt;"Réalisé",$F1477&lt;&gt;"Clôturé"),"RETARD",""))</f>
        <v/>
      </c>
      <c r="J1477" s="29">
        <f>IF($B1477="","",IF(INDEX(Dossiers!$F$4:$F$63,28)="","",INDEX(Dossiers!$F$4:$F$63,28)))</f>
        <v/>
      </c>
      <c r="K1477" s="29">
        <f>IF($B1477="","",IF(INDEX(Dossiers!$G$4:$G$63,28)="","",INDEX(Dossiers!$G$4:$G$63,28)))</f>
        <v/>
      </c>
    </row>
    <row r="1478">
      <c r="A1478">
        <f>IF($B1478="","",INDEX(Dossiers!$E$4:$E$63,28))</f>
        <v/>
      </c>
      <c r="B1478">
        <f>IF(INDEX(Suivi!$B:$B,1506)="","",INDEX(Suivi!$B:$B,1506))</f>
        <v/>
      </c>
      <c r="C1478">
        <f>IF($B1478="","",IF(INDEX(Suivi!$D:$D,1506)="",INDEX(Suivi!$C:$C,1506),INDEX(Suivi!$D:$D,1506)))</f>
        <v/>
      </c>
      <c r="D1478" s="29">
        <f>IF($B1478="","",INDEX(Suivi!$E:$E,1506))</f>
        <v/>
      </c>
      <c r="E1478" s="29">
        <f>IF($B1478="","",INDEX(Suivi!$F:$F,1506))</f>
        <v/>
      </c>
      <c r="F1478">
        <f>IF($B1478="","",INDEX(Suivi!$G:$G,1506))</f>
        <v/>
      </c>
      <c r="H1478">
        <f>IF(OR($B1478="",NOT(ISNUMBER($D1478))),"",IF($E1478&lt;$D$2,"Passé",IF($D1478&gt;$F$2,"À venir","Dans la période")))</f>
        <v/>
      </c>
      <c r="I1478">
        <f>IF(OR($B1478="",NOT(ISNUMBER($D1478))),"",IF(AND($E1478&lt;$D$2,$G1478&lt;&gt;"X",$F1478&lt;&gt;"Réalisé",$F1478&lt;&gt;"Clôturé"),"RETARD",""))</f>
        <v/>
      </c>
      <c r="J1478" s="29">
        <f>IF($B1478="","",IF(INDEX(Dossiers!$F$4:$F$63,28)="","",INDEX(Dossiers!$F$4:$F$63,28)))</f>
        <v/>
      </c>
      <c r="K1478" s="29">
        <f>IF($B1478="","",IF(INDEX(Dossiers!$G$4:$G$63,28)="","",INDEX(Dossiers!$G$4:$G$63,28)))</f>
        <v/>
      </c>
    </row>
    <row r="1479">
      <c r="A1479">
        <f>IF($B1479="","",INDEX(Dossiers!$E$4:$E$63,28))</f>
        <v/>
      </c>
      <c r="B1479">
        <f>IF(INDEX(Suivi!$B:$B,1507)="","",INDEX(Suivi!$B:$B,1507))</f>
        <v/>
      </c>
      <c r="C1479">
        <f>IF($B1479="","",IF(INDEX(Suivi!$D:$D,1507)="",INDEX(Suivi!$C:$C,1507),INDEX(Suivi!$D:$D,1507)))</f>
        <v/>
      </c>
      <c r="D1479" s="29">
        <f>IF($B1479="","",INDEX(Suivi!$E:$E,1507))</f>
        <v/>
      </c>
      <c r="E1479" s="29">
        <f>IF($B1479="","",INDEX(Suivi!$F:$F,1507))</f>
        <v/>
      </c>
      <c r="F1479">
        <f>IF($B1479="","",INDEX(Suivi!$G:$G,1507))</f>
        <v/>
      </c>
      <c r="H1479">
        <f>IF(OR($B1479="",NOT(ISNUMBER($D1479))),"",IF($E1479&lt;$D$2,"Passé",IF($D1479&gt;$F$2,"À venir","Dans la période")))</f>
        <v/>
      </c>
      <c r="I1479">
        <f>IF(OR($B1479="",NOT(ISNUMBER($D1479))),"",IF(AND($E1479&lt;$D$2,$G1479&lt;&gt;"X",$F1479&lt;&gt;"Réalisé",$F1479&lt;&gt;"Clôturé"),"RETARD",""))</f>
        <v/>
      </c>
      <c r="J1479" s="29">
        <f>IF($B1479="","",IF(INDEX(Dossiers!$F$4:$F$63,28)="","",INDEX(Dossiers!$F$4:$F$63,28)))</f>
        <v/>
      </c>
      <c r="K1479" s="29">
        <f>IF($B1479="","",IF(INDEX(Dossiers!$G$4:$G$63,28)="","",INDEX(Dossiers!$G$4:$G$63,28)))</f>
        <v/>
      </c>
    </row>
    <row r="1480">
      <c r="A1480">
        <f>IF($B1480="","",INDEX(Dossiers!$E$4:$E$63,28))</f>
        <v/>
      </c>
      <c r="B1480">
        <f>IF(INDEX(Suivi!$B:$B,1508)="","",INDEX(Suivi!$B:$B,1508))</f>
        <v/>
      </c>
      <c r="C1480">
        <f>IF($B1480="","",IF(INDEX(Suivi!$D:$D,1508)="",INDEX(Suivi!$C:$C,1508),INDEX(Suivi!$D:$D,1508)))</f>
        <v/>
      </c>
      <c r="D1480" s="29">
        <f>IF($B1480="","",INDEX(Suivi!$E:$E,1508))</f>
        <v/>
      </c>
      <c r="E1480" s="29">
        <f>IF($B1480="","",INDEX(Suivi!$F:$F,1508))</f>
        <v/>
      </c>
      <c r="F1480">
        <f>IF($B1480="","",INDEX(Suivi!$G:$G,1508))</f>
        <v/>
      </c>
      <c r="H1480">
        <f>IF(OR($B1480="",NOT(ISNUMBER($D1480))),"",IF($E1480&lt;$D$2,"Passé",IF($D1480&gt;$F$2,"À venir","Dans la période")))</f>
        <v/>
      </c>
      <c r="I1480">
        <f>IF(OR($B1480="",NOT(ISNUMBER($D1480))),"",IF(AND($E1480&lt;$D$2,$G1480&lt;&gt;"X",$F1480&lt;&gt;"Réalisé",$F1480&lt;&gt;"Clôturé"),"RETARD",""))</f>
        <v/>
      </c>
      <c r="J1480" s="29">
        <f>IF($B1480="","",IF(INDEX(Dossiers!$F$4:$F$63,28)="","",INDEX(Dossiers!$F$4:$F$63,28)))</f>
        <v/>
      </c>
      <c r="K1480" s="29">
        <f>IF($B1480="","",IF(INDEX(Dossiers!$G$4:$G$63,28)="","",INDEX(Dossiers!$G$4:$G$63,28)))</f>
        <v/>
      </c>
    </row>
    <row r="1481">
      <c r="A1481">
        <f>IF($B1481="","",INDEX(Dossiers!$E$4:$E$63,28))</f>
        <v/>
      </c>
      <c r="B1481">
        <f>IF(INDEX(Suivi!$B:$B,1509)="","",INDEX(Suivi!$B:$B,1509))</f>
        <v/>
      </c>
      <c r="C1481">
        <f>IF($B1481="","",IF(INDEX(Suivi!$D:$D,1509)="",INDEX(Suivi!$C:$C,1509),INDEX(Suivi!$D:$D,1509)))</f>
        <v/>
      </c>
      <c r="D1481" s="29">
        <f>IF($B1481="","",INDEX(Suivi!$E:$E,1509))</f>
        <v/>
      </c>
      <c r="E1481" s="29">
        <f>IF($B1481="","",INDEX(Suivi!$F:$F,1509))</f>
        <v/>
      </c>
      <c r="F1481">
        <f>IF($B1481="","",INDEX(Suivi!$G:$G,1509))</f>
        <v/>
      </c>
      <c r="H1481">
        <f>IF(OR($B1481="",NOT(ISNUMBER($D1481))),"",IF($E1481&lt;$D$2,"Passé",IF($D1481&gt;$F$2,"À venir","Dans la période")))</f>
        <v/>
      </c>
      <c r="I1481">
        <f>IF(OR($B1481="",NOT(ISNUMBER($D1481))),"",IF(AND($E1481&lt;$D$2,$G1481&lt;&gt;"X",$F1481&lt;&gt;"Réalisé",$F1481&lt;&gt;"Clôturé"),"RETARD",""))</f>
        <v/>
      </c>
      <c r="J1481" s="29">
        <f>IF($B1481="","",IF(INDEX(Dossiers!$F$4:$F$63,28)="","",INDEX(Dossiers!$F$4:$F$63,28)))</f>
        <v/>
      </c>
      <c r="K1481" s="29">
        <f>IF($B1481="","",IF(INDEX(Dossiers!$G$4:$G$63,28)="","",INDEX(Dossiers!$G$4:$G$63,28)))</f>
        <v/>
      </c>
    </row>
    <row r="1482">
      <c r="A1482">
        <f>IF($B1482="","",INDEX(Dossiers!$E$4:$E$63,28))</f>
        <v/>
      </c>
      <c r="B1482">
        <f>IF(INDEX(Suivi!$B:$B,1510)="","",INDEX(Suivi!$B:$B,1510))</f>
        <v/>
      </c>
      <c r="C1482">
        <f>IF($B1482="","",IF(INDEX(Suivi!$D:$D,1510)="",INDEX(Suivi!$C:$C,1510),INDEX(Suivi!$D:$D,1510)))</f>
        <v/>
      </c>
      <c r="D1482" s="29">
        <f>IF($B1482="","",INDEX(Suivi!$E:$E,1510))</f>
        <v/>
      </c>
      <c r="E1482" s="29">
        <f>IF($B1482="","",INDEX(Suivi!$F:$F,1510))</f>
        <v/>
      </c>
      <c r="F1482">
        <f>IF($B1482="","",INDEX(Suivi!$G:$G,1510))</f>
        <v/>
      </c>
      <c r="H1482">
        <f>IF(OR($B1482="",NOT(ISNUMBER($D1482))),"",IF($E1482&lt;$D$2,"Passé",IF($D1482&gt;$F$2,"À venir","Dans la période")))</f>
        <v/>
      </c>
      <c r="I1482">
        <f>IF(OR($B1482="",NOT(ISNUMBER($D1482))),"",IF(AND($E1482&lt;$D$2,$G1482&lt;&gt;"X",$F1482&lt;&gt;"Réalisé",$F1482&lt;&gt;"Clôturé"),"RETARD",""))</f>
        <v/>
      </c>
      <c r="J1482" s="29">
        <f>IF($B1482="","",IF(INDEX(Dossiers!$F$4:$F$63,28)="","",INDEX(Dossiers!$F$4:$F$63,28)))</f>
        <v/>
      </c>
      <c r="K1482" s="29">
        <f>IF($B1482="","",IF(INDEX(Dossiers!$G$4:$G$63,28)="","",INDEX(Dossiers!$G$4:$G$63,28)))</f>
        <v/>
      </c>
    </row>
    <row r="1483">
      <c r="A1483">
        <f>IF($B1483="","",INDEX(Dossiers!$E$4:$E$63,28))</f>
        <v/>
      </c>
      <c r="B1483">
        <f>IF(INDEX(Suivi!$B:$B,1511)="","",INDEX(Suivi!$B:$B,1511))</f>
        <v/>
      </c>
      <c r="C1483">
        <f>IF($B1483="","",IF(INDEX(Suivi!$D:$D,1511)="",INDEX(Suivi!$C:$C,1511),INDEX(Suivi!$D:$D,1511)))</f>
        <v/>
      </c>
      <c r="D1483" s="29">
        <f>IF($B1483="","",INDEX(Suivi!$E:$E,1511))</f>
        <v/>
      </c>
      <c r="E1483" s="29">
        <f>IF($B1483="","",INDEX(Suivi!$F:$F,1511))</f>
        <v/>
      </c>
      <c r="F1483">
        <f>IF($B1483="","",INDEX(Suivi!$G:$G,1511))</f>
        <v/>
      </c>
      <c r="H1483">
        <f>IF(OR($B1483="",NOT(ISNUMBER($D1483))),"",IF($E1483&lt;$D$2,"Passé",IF($D1483&gt;$F$2,"À venir","Dans la période")))</f>
        <v/>
      </c>
      <c r="I1483">
        <f>IF(OR($B1483="",NOT(ISNUMBER($D1483))),"",IF(AND($E1483&lt;$D$2,$G1483&lt;&gt;"X",$F1483&lt;&gt;"Réalisé",$F1483&lt;&gt;"Clôturé"),"RETARD",""))</f>
        <v/>
      </c>
      <c r="J1483" s="29">
        <f>IF($B1483="","",IF(INDEX(Dossiers!$F$4:$F$63,28)="","",INDEX(Dossiers!$F$4:$F$63,28)))</f>
        <v/>
      </c>
      <c r="K1483" s="29">
        <f>IF($B1483="","",IF(INDEX(Dossiers!$G$4:$G$63,28)="","",INDEX(Dossiers!$G$4:$G$63,28)))</f>
        <v/>
      </c>
    </row>
    <row r="1484">
      <c r="A1484">
        <f>IF($B1484="","",INDEX(Dossiers!$E$4:$E$63,28))</f>
        <v/>
      </c>
      <c r="B1484">
        <f>IF(INDEX(Suivi!$B:$B,1512)="","",INDEX(Suivi!$B:$B,1512))</f>
        <v/>
      </c>
      <c r="C1484">
        <f>IF($B1484="","",IF(INDEX(Suivi!$D:$D,1512)="",INDEX(Suivi!$C:$C,1512),INDEX(Suivi!$D:$D,1512)))</f>
        <v/>
      </c>
      <c r="D1484" s="29">
        <f>IF($B1484="","",INDEX(Suivi!$E:$E,1512))</f>
        <v/>
      </c>
      <c r="E1484" s="29">
        <f>IF($B1484="","",INDEX(Suivi!$F:$F,1512))</f>
        <v/>
      </c>
      <c r="F1484">
        <f>IF($B1484="","",INDEX(Suivi!$G:$G,1512))</f>
        <v/>
      </c>
      <c r="H1484">
        <f>IF(OR($B1484="",NOT(ISNUMBER($D1484))),"",IF($E1484&lt;$D$2,"Passé",IF($D1484&gt;$F$2,"À venir","Dans la période")))</f>
        <v/>
      </c>
      <c r="I1484">
        <f>IF(OR($B1484="",NOT(ISNUMBER($D1484))),"",IF(AND($E1484&lt;$D$2,$G1484&lt;&gt;"X",$F1484&lt;&gt;"Réalisé",$F1484&lt;&gt;"Clôturé"),"RETARD",""))</f>
        <v/>
      </c>
      <c r="J1484" s="29">
        <f>IF($B1484="","",IF(INDEX(Dossiers!$F$4:$F$63,28)="","",INDEX(Dossiers!$F$4:$F$63,28)))</f>
        <v/>
      </c>
      <c r="K1484" s="29">
        <f>IF($B1484="","",IF(INDEX(Dossiers!$G$4:$G$63,28)="","",INDEX(Dossiers!$G$4:$G$63,28)))</f>
        <v/>
      </c>
    </row>
    <row r="1485">
      <c r="A1485">
        <f>IF($B1485="","",INDEX(Dossiers!$E$4:$E$63,28))</f>
        <v/>
      </c>
      <c r="B1485">
        <f>IF(INDEX(Suivi!$B:$B,1513)="","",INDEX(Suivi!$B:$B,1513))</f>
        <v/>
      </c>
      <c r="C1485">
        <f>IF($B1485="","",IF(INDEX(Suivi!$D:$D,1513)="",INDEX(Suivi!$C:$C,1513),INDEX(Suivi!$D:$D,1513)))</f>
        <v/>
      </c>
      <c r="D1485" s="29">
        <f>IF($B1485="","",INDEX(Suivi!$E:$E,1513))</f>
        <v/>
      </c>
      <c r="E1485" s="29">
        <f>IF($B1485="","",INDEX(Suivi!$F:$F,1513))</f>
        <v/>
      </c>
      <c r="F1485">
        <f>IF($B1485="","",INDEX(Suivi!$G:$G,1513))</f>
        <v/>
      </c>
      <c r="H1485">
        <f>IF(OR($B1485="",NOT(ISNUMBER($D1485))),"",IF($E1485&lt;$D$2,"Passé",IF($D1485&gt;$F$2,"À venir","Dans la période")))</f>
        <v/>
      </c>
      <c r="I1485">
        <f>IF(OR($B1485="",NOT(ISNUMBER($D1485))),"",IF(AND($E1485&lt;$D$2,$G1485&lt;&gt;"X",$F1485&lt;&gt;"Réalisé",$F1485&lt;&gt;"Clôturé"),"RETARD",""))</f>
        <v/>
      </c>
      <c r="J1485" s="29">
        <f>IF($B1485="","",IF(INDEX(Dossiers!$F$4:$F$63,28)="","",INDEX(Dossiers!$F$4:$F$63,28)))</f>
        <v/>
      </c>
      <c r="K1485" s="29">
        <f>IF($B1485="","",IF(INDEX(Dossiers!$G$4:$G$63,28)="","",INDEX(Dossiers!$G$4:$G$63,28)))</f>
        <v/>
      </c>
    </row>
    <row r="1486">
      <c r="A1486">
        <f>IF($B1486="","",INDEX(Dossiers!$E$4:$E$63,28))</f>
        <v/>
      </c>
      <c r="B1486">
        <f>IF(INDEX(Suivi!$B:$B,1514)="","",INDEX(Suivi!$B:$B,1514))</f>
        <v/>
      </c>
      <c r="C1486">
        <f>IF($B1486="","",IF(INDEX(Suivi!$D:$D,1514)="",INDEX(Suivi!$C:$C,1514),INDEX(Suivi!$D:$D,1514)))</f>
        <v/>
      </c>
      <c r="D1486" s="29">
        <f>IF($B1486="","",INDEX(Suivi!$E:$E,1514))</f>
        <v/>
      </c>
      <c r="E1486" s="29">
        <f>IF($B1486="","",INDEX(Suivi!$F:$F,1514))</f>
        <v/>
      </c>
      <c r="F1486">
        <f>IF($B1486="","",INDEX(Suivi!$G:$G,1514))</f>
        <v/>
      </c>
      <c r="H1486">
        <f>IF(OR($B1486="",NOT(ISNUMBER($D1486))),"",IF($E1486&lt;$D$2,"Passé",IF($D1486&gt;$F$2,"À venir","Dans la période")))</f>
        <v/>
      </c>
      <c r="I1486">
        <f>IF(OR($B1486="",NOT(ISNUMBER($D1486))),"",IF(AND($E1486&lt;$D$2,$G1486&lt;&gt;"X",$F1486&lt;&gt;"Réalisé",$F1486&lt;&gt;"Clôturé"),"RETARD",""))</f>
        <v/>
      </c>
      <c r="J1486" s="29">
        <f>IF($B1486="","",IF(INDEX(Dossiers!$F$4:$F$63,28)="","",INDEX(Dossiers!$F$4:$F$63,28)))</f>
        <v/>
      </c>
      <c r="K1486" s="29">
        <f>IF($B1486="","",IF(INDEX(Dossiers!$G$4:$G$63,28)="","",INDEX(Dossiers!$G$4:$G$63,28)))</f>
        <v/>
      </c>
    </row>
    <row r="1487">
      <c r="A1487">
        <f>IF($B1487="","",INDEX(Dossiers!$E$4:$E$63,28))</f>
        <v/>
      </c>
      <c r="B1487">
        <f>IF(INDEX(Suivi!$B:$B,1515)="","",INDEX(Suivi!$B:$B,1515))</f>
        <v/>
      </c>
      <c r="C1487">
        <f>IF($B1487="","",IF(INDEX(Suivi!$D:$D,1515)="",INDEX(Suivi!$C:$C,1515),INDEX(Suivi!$D:$D,1515)))</f>
        <v/>
      </c>
      <c r="D1487" s="29">
        <f>IF($B1487="","",INDEX(Suivi!$E:$E,1515))</f>
        <v/>
      </c>
      <c r="E1487" s="29">
        <f>IF($B1487="","",INDEX(Suivi!$F:$F,1515))</f>
        <v/>
      </c>
      <c r="F1487">
        <f>IF($B1487="","",INDEX(Suivi!$G:$G,1515))</f>
        <v/>
      </c>
      <c r="H1487">
        <f>IF(OR($B1487="",NOT(ISNUMBER($D1487))),"",IF($E1487&lt;$D$2,"Passé",IF($D1487&gt;$F$2,"À venir","Dans la période")))</f>
        <v/>
      </c>
      <c r="I1487">
        <f>IF(OR($B1487="",NOT(ISNUMBER($D1487))),"",IF(AND($E1487&lt;$D$2,$G1487&lt;&gt;"X",$F1487&lt;&gt;"Réalisé",$F1487&lt;&gt;"Clôturé"),"RETARD",""))</f>
        <v/>
      </c>
      <c r="J1487" s="29">
        <f>IF($B1487="","",IF(INDEX(Dossiers!$F$4:$F$63,28)="","",INDEX(Dossiers!$F$4:$F$63,28)))</f>
        <v/>
      </c>
      <c r="K1487" s="29">
        <f>IF($B1487="","",IF(INDEX(Dossiers!$G$4:$G$63,28)="","",INDEX(Dossiers!$G$4:$G$63,28)))</f>
        <v/>
      </c>
    </row>
    <row r="1488">
      <c r="A1488">
        <f>IF($B1488="","",INDEX(Dossiers!$E$4:$E$63,29))</f>
        <v/>
      </c>
      <c r="B1488">
        <f>IF(INDEX(Suivi!$B:$B,1517)="","",INDEX(Suivi!$B:$B,1517))</f>
        <v/>
      </c>
      <c r="C1488">
        <f>IF($B1488="","",IF(INDEX(Suivi!$D:$D,1517)="",INDEX(Suivi!$C:$C,1517),INDEX(Suivi!$D:$D,1517)))</f>
        <v/>
      </c>
      <c r="D1488" s="29">
        <f>IF($B1488="","",INDEX(Suivi!$E:$E,1517))</f>
        <v/>
      </c>
      <c r="E1488" s="29">
        <f>IF($B1488="","",INDEX(Suivi!$F:$F,1517))</f>
        <v/>
      </c>
      <c r="F1488">
        <f>IF($B1488="","",INDEX(Suivi!$G:$G,1517))</f>
        <v/>
      </c>
      <c r="H1488">
        <f>IF(OR($B1488="",NOT(ISNUMBER($D1488))),"",IF($E1488&lt;$D$2,"Passé",IF($D1488&gt;$F$2,"À venir","Dans la période")))</f>
        <v/>
      </c>
      <c r="I1488">
        <f>IF(OR($B1488="",NOT(ISNUMBER($D1488))),"",IF(AND($E1488&lt;$D$2,$G1488&lt;&gt;"X",$F1488&lt;&gt;"Réalisé",$F1488&lt;&gt;"Clôturé"),"RETARD",""))</f>
        <v/>
      </c>
      <c r="J1488" s="29">
        <f>IF($B1488="","",IF(INDEX(Dossiers!$F$4:$F$63,29)="","",INDEX(Dossiers!$F$4:$F$63,29)))</f>
        <v/>
      </c>
      <c r="K1488" s="29">
        <f>IF($B1488="","",IF(INDEX(Dossiers!$G$4:$G$63,29)="","",INDEX(Dossiers!$G$4:$G$63,29)))</f>
        <v/>
      </c>
    </row>
    <row r="1489">
      <c r="A1489">
        <f>IF($B1489="","",INDEX(Dossiers!$E$4:$E$63,29))</f>
        <v/>
      </c>
      <c r="B1489">
        <f>IF(INDEX(Suivi!$B:$B,1518)="","",INDEX(Suivi!$B:$B,1518))</f>
        <v/>
      </c>
      <c r="C1489">
        <f>IF($B1489="","",IF(INDEX(Suivi!$D:$D,1518)="",INDEX(Suivi!$C:$C,1518),INDEX(Suivi!$D:$D,1518)))</f>
        <v/>
      </c>
      <c r="D1489" s="29">
        <f>IF($B1489="","",INDEX(Suivi!$E:$E,1518))</f>
        <v/>
      </c>
      <c r="E1489" s="29">
        <f>IF($B1489="","",INDEX(Suivi!$F:$F,1518))</f>
        <v/>
      </c>
      <c r="F1489">
        <f>IF($B1489="","",INDEX(Suivi!$G:$G,1518))</f>
        <v/>
      </c>
      <c r="H1489">
        <f>IF(OR($B1489="",NOT(ISNUMBER($D1489))),"",IF($E1489&lt;$D$2,"Passé",IF($D1489&gt;$F$2,"À venir","Dans la période")))</f>
        <v/>
      </c>
      <c r="I1489">
        <f>IF(OR($B1489="",NOT(ISNUMBER($D1489))),"",IF(AND($E1489&lt;$D$2,$G1489&lt;&gt;"X",$F1489&lt;&gt;"Réalisé",$F1489&lt;&gt;"Clôturé"),"RETARD",""))</f>
        <v/>
      </c>
      <c r="J1489" s="29">
        <f>IF($B1489="","",IF(INDEX(Dossiers!$F$4:$F$63,29)="","",INDEX(Dossiers!$F$4:$F$63,29)))</f>
        <v/>
      </c>
      <c r="K1489" s="29">
        <f>IF($B1489="","",IF(INDEX(Dossiers!$G$4:$G$63,29)="","",INDEX(Dossiers!$G$4:$G$63,29)))</f>
        <v/>
      </c>
    </row>
    <row r="1490">
      <c r="A1490">
        <f>IF($B1490="","",INDEX(Dossiers!$E$4:$E$63,29))</f>
        <v/>
      </c>
      <c r="B1490">
        <f>IF(INDEX(Suivi!$B:$B,1519)="","",INDEX(Suivi!$B:$B,1519))</f>
        <v/>
      </c>
      <c r="C1490">
        <f>IF($B1490="","",IF(INDEX(Suivi!$D:$D,1519)="",INDEX(Suivi!$C:$C,1519),INDEX(Suivi!$D:$D,1519)))</f>
        <v/>
      </c>
      <c r="D1490" s="29">
        <f>IF($B1490="","",INDEX(Suivi!$E:$E,1519))</f>
        <v/>
      </c>
      <c r="E1490" s="29">
        <f>IF($B1490="","",INDEX(Suivi!$F:$F,1519))</f>
        <v/>
      </c>
      <c r="F1490">
        <f>IF($B1490="","",INDEX(Suivi!$G:$G,1519))</f>
        <v/>
      </c>
      <c r="H1490">
        <f>IF(OR($B1490="",NOT(ISNUMBER($D1490))),"",IF($E1490&lt;$D$2,"Passé",IF($D1490&gt;$F$2,"À venir","Dans la période")))</f>
        <v/>
      </c>
      <c r="I1490">
        <f>IF(OR($B1490="",NOT(ISNUMBER($D1490))),"",IF(AND($E1490&lt;$D$2,$G1490&lt;&gt;"X",$F1490&lt;&gt;"Réalisé",$F1490&lt;&gt;"Clôturé"),"RETARD",""))</f>
        <v/>
      </c>
      <c r="J1490" s="29">
        <f>IF($B1490="","",IF(INDEX(Dossiers!$F$4:$F$63,29)="","",INDEX(Dossiers!$F$4:$F$63,29)))</f>
        <v/>
      </c>
      <c r="K1490" s="29">
        <f>IF($B1490="","",IF(INDEX(Dossiers!$G$4:$G$63,29)="","",INDEX(Dossiers!$G$4:$G$63,29)))</f>
        <v/>
      </c>
    </row>
    <row r="1491">
      <c r="A1491">
        <f>IF($B1491="","",INDEX(Dossiers!$E$4:$E$63,29))</f>
        <v/>
      </c>
      <c r="B1491">
        <f>IF(INDEX(Suivi!$B:$B,1520)="","",INDEX(Suivi!$B:$B,1520))</f>
        <v/>
      </c>
      <c r="C1491">
        <f>IF($B1491="","",IF(INDEX(Suivi!$D:$D,1520)="",INDEX(Suivi!$C:$C,1520),INDEX(Suivi!$D:$D,1520)))</f>
        <v/>
      </c>
      <c r="D1491" s="29">
        <f>IF($B1491="","",INDEX(Suivi!$E:$E,1520))</f>
        <v/>
      </c>
      <c r="E1491" s="29">
        <f>IF($B1491="","",INDEX(Suivi!$F:$F,1520))</f>
        <v/>
      </c>
      <c r="F1491">
        <f>IF($B1491="","",INDEX(Suivi!$G:$G,1520))</f>
        <v/>
      </c>
      <c r="H1491">
        <f>IF(OR($B1491="",NOT(ISNUMBER($D1491))),"",IF($E1491&lt;$D$2,"Passé",IF($D1491&gt;$F$2,"À venir","Dans la période")))</f>
        <v/>
      </c>
      <c r="I1491">
        <f>IF(OR($B1491="",NOT(ISNUMBER($D1491))),"",IF(AND($E1491&lt;$D$2,$G1491&lt;&gt;"X",$F1491&lt;&gt;"Réalisé",$F1491&lt;&gt;"Clôturé"),"RETARD",""))</f>
        <v/>
      </c>
      <c r="J1491" s="29">
        <f>IF($B1491="","",IF(INDEX(Dossiers!$F$4:$F$63,29)="","",INDEX(Dossiers!$F$4:$F$63,29)))</f>
        <v/>
      </c>
      <c r="K1491" s="29">
        <f>IF($B1491="","",IF(INDEX(Dossiers!$G$4:$G$63,29)="","",INDEX(Dossiers!$G$4:$G$63,29)))</f>
        <v/>
      </c>
    </row>
    <row r="1492">
      <c r="A1492">
        <f>IF($B1492="","",INDEX(Dossiers!$E$4:$E$63,29))</f>
        <v/>
      </c>
      <c r="B1492">
        <f>IF(INDEX(Suivi!$B:$B,1521)="","",INDEX(Suivi!$B:$B,1521))</f>
        <v/>
      </c>
      <c r="C1492">
        <f>IF($B1492="","",IF(INDEX(Suivi!$D:$D,1521)="",INDEX(Suivi!$C:$C,1521),INDEX(Suivi!$D:$D,1521)))</f>
        <v/>
      </c>
      <c r="D1492" s="29">
        <f>IF($B1492="","",INDEX(Suivi!$E:$E,1521))</f>
        <v/>
      </c>
      <c r="E1492" s="29">
        <f>IF($B1492="","",INDEX(Suivi!$F:$F,1521))</f>
        <v/>
      </c>
      <c r="F1492">
        <f>IF($B1492="","",INDEX(Suivi!$G:$G,1521))</f>
        <v/>
      </c>
      <c r="H1492">
        <f>IF(OR($B1492="",NOT(ISNUMBER($D1492))),"",IF($E1492&lt;$D$2,"Passé",IF($D1492&gt;$F$2,"À venir","Dans la période")))</f>
        <v/>
      </c>
      <c r="I1492">
        <f>IF(OR($B1492="",NOT(ISNUMBER($D1492))),"",IF(AND($E1492&lt;$D$2,$G1492&lt;&gt;"X",$F1492&lt;&gt;"Réalisé",$F1492&lt;&gt;"Clôturé"),"RETARD",""))</f>
        <v/>
      </c>
      <c r="J1492" s="29">
        <f>IF($B1492="","",IF(INDEX(Dossiers!$F$4:$F$63,29)="","",INDEX(Dossiers!$F$4:$F$63,29)))</f>
        <v/>
      </c>
      <c r="K1492" s="29">
        <f>IF($B1492="","",IF(INDEX(Dossiers!$G$4:$G$63,29)="","",INDEX(Dossiers!$G$4:$G$63,29)))</f>
        <v/>
      </c>
    </row>
    <row r="1493">
      <c r="A1493">
        <f>IF($B1493="","",INDEX(Dossiers!$E$4:$E$63,29))</f>
        <v/>
      </c>
      <c r="B1493">
        <f>IF(INDEX(Suivi!$B:$B,1522)="","",INDEX(Suivi!$B:$B,1522))</f>
        <v/>
      </c>
      <c r="C1493">
        <f>IF($B1493="","",IF(INDEX(Suivi!$D:$D,1522)="",INDEX(Suivi!$C:$C,1522),INDEX(Suivi!$D:$D,1522)))</f>
        <v/>
      </c>
      <c r="D1493" s="29">
        <f>IF($B1493="","",INDEX(Suivi!$E:$E,1522))</f>
        <v/>
      </c>
      <c r="E1493" s="29">
        <f>IF($B1493="","",INDEX(Suivi!$F:$F,1522))</f>
        <v/>
      </c>
      <c r="F1493">
        <f>IF($B1493="","",INDEX(Suivi!$G:$G,1522))</f>
        <v/>
      </c>
      <c r="H1493">
        <f>IF(OR($B1493="",NOT(ISNUMBER($D1493))),"",IF($E1493&lt;$D$2,"Passé",IF($D1493&gt;$F$2,"À venir","Dans la période")))</f>
        <v/>
      </c>
      <c r="I1493">
        <f>IF(OR($B1493="",NOT(ISNUMBER($D1493))),"",IF(AND($E1493&lt;$D$2,$G1493&lt;&gt;"X",$F1493&lt;&gt;"Réalisé",$F1493&lt;&gt;"Clôturé"),"RETARD",""))</f>
        <v/>
      </c>
      <c r="J1493" s="29">
        <f>IF($B1493="","",IF(INDEX(Dossiers!$F$4:$F$63,29)="","",INDEX(Dossiers!$F$4:$F$63,29)))</f>
        <v/>
      </c>
      <c r="K1493" s="29">
        <f>IF($B1493="","",IF(INDEX(Dossiers!$G$4:$G$63,29)="","",INDEX(Dossiers!$G$4:$G$63,29)))</f>
        <v/>
      </c>
    </row>
    <row r="1494">
      <c r="A1494">
        <f>IF($B1494="","",INDEX(Dossiers!$E$4:$E$63,29))</f>
        <v/>
      </c>
      <c r="B1494">
        <f>IF(INDEX(Suivi!$B:$B,1523)="","",INDEX(Suivi!$B:$B,1523))</f>
        <v/>
      </c>
      <c r="C1494">
        <f>IF($B1494="","",IF(INDEX(Suivi!$D:$D,1523)="",INDEX(Suivi!$C:$C,1523),INDEX(Suivi!$D:$D,1523)))</f>
        <v/>
      </c>
      <c r="D1494" s="29">
        <f>IF($B1494="","",INDEX(Suivi!$E:$E,1523))</f>
        <v/>
      </c>
      <c r="E1494" s="29">
        <f>IF($B1494="","",INDEX(Suivi!$F:$F,1523))</f>
        <v/>
      </c>
      <c r="F1494">
        <f>IF($B1494="","",INDEX(Suivi!$G:$G,1523))</f>
        <v/>
      </c>
      <c r="H1494">
        <f>IF(OR($B1494="",NOT(ISNUMBER($D1494))),"",IF($E1494&lt;$D$2,"Passé",IF($D1494&gt;$F$2,"À venir","Dans la période")))</f>
        <v/>
      </c>
      <c r="I1494">
        <f>IF(OR($B1494="",NOT(ISNUMBER($D1494))),"",IF(AND($E1494&lt;$D$2,$G1494&lt;&gt;"X",$F1494&lt;&gt;"Réalisé",$F1494&lt;&gt;"Clôturé"),"RETARD",""))</f>
        <v/>
      </c>
      <c r="J1494" s="29">
        <f>IF($B1494="","",IF(INDEX(Dossiers!$F$4:$F$63,29)="","",INDEX(Dossiers!$F$4:$F$63,29)))</f>
        <v/>
      </c>
      <c r="K1494" s="29">
        <f>IF($B1494="","",IF(INDEX(Dossiers!$G$4:$G$63,29)="","",INDEX(Dossiers!$G$4:$G$63,29)))</f>
        <v/>
      </c>
    </row>
    <row r="1495">
      <c r="A1495">
        <f>IF($B1495="","",INDEX(Dossiers!$E$4:$E$63,29))</f>
        <v/>
      </c>
      <c r="B1495">
        <f>IF(INDEX(Suivi!$B:$B,1524)="","",INDEX(Suivi!$B:$B,1524))</f>
        <v/>
      </c>
      <c r="C1495">
        <f>IF($B1495="","",IF(INDEX(Suivi!$D:$D,1524)="",INDEX(Suivi!$C:$C,1524),INDEX(Suivi!$D:$D,1524)))</f>
        <v/>
      </c>
      <c r="D1495" s="29">
        <f>IF($B1495="","",INDEX(Suivi!$E:$E,1524))</f>
        <v/>
      </c>
      <c r="E1495" s="29">
        <f>IF($B1495="","",INDEX(Suivi!$F:$F,1524))</f>
        <v/>
      </c>
      <c r="F1495">
        <f>IF($B1495="","",INDEX(Suivi!$G:$G,1524))</f>
        <v/>
      </c>
      <c r="H1495">
        <f>IF(OR($B1495="",NOT(ISNUMBER($D1495))),"",IF($E1495&lt;$D$2,"Passé",IF($D1495&gt;$F$2,"À venir","Dans la période")))</f>
        <v/>
      </c>
      <c r="I1495">
        <f>IF(OR($B1495="",NOT(ISNUMBER($D1495))),"",IF(AND($E1495&lt;$D$2,$G1495&lt;&gt;"X",$F1495&lt;&gt;"Réalisé",$F1495&lt;&gt;"Clôturé"),"RETARD",""))</f>
        <v/>
      </c>
      <c r="J1495" s="29">
        <f>IF($B1495="","",IF(INDEX(Dossiers!$F$4:$F$63,29)="","",INDEX(Dossiers!$F$4:$F$63,29)))</f>
        <v/>
      </c>
      <c r="K1495" s="29">
        <f>IF($B1495="","",IF(INDEX(Dossiers!$G$4:$G$63,29)="","",INDEX(Dossiers!$G$4:$G$63,29)))</f>
        <v/>
      </c>
    </row>
    <row r="1496">
      <c r="A1496">
        <f>IF($B1496="","",INDEX(Dossiers!$E$4:$E$63,29))</f>
        <v/>
      </c>
      <c r="B1496">
        <f>IF(INDEX(Suivi!$B:$B,1525)="","",INDEX(Suivi!$B:$B,1525))</f>
        <v/>
      </c>
      <c r="C1496">
        <f>IF($B1496="","",IF(INDEX(Suivi!$D:$D,1525)="",INDEX(Suivi!$C:$C,1525),INDEX(Suivi!$D:$D,1525)))</f>
        <v/>
      </c>
      <c r="D1496" s="29">
        <f>IF($B1496="","",INDEX(Suivi!$E:$E,1525))</f>
        <v/>
      </c>
      <c r="E1496" s="29">
        <f>IF($B1496="","",INDEX(Suivi!$F:$F,1525))</f>
        <v/>
      </c>
      <c r="F1496">
        <f>IF($B1496="","",INDEX(Suivi!$G:$G,1525))</f>
        <v/>
      </c>
      <c r="H1496">
        <f>IF(OR($B1496="",NOT(ISNUMBER($D1496))),"",IF($E1496&lt;$D$2,"Passé",IF($D1496&gt;$F$2,"À venir","Dans la période")))</f>
        <v/>
      </c>
      <c r="I1496">
        <f>IF(OR($B1496="",NOT(ISNUMBER($D1496))),"",IF(AND($E1496&lt;$D$2,$G1496&lt;&gt;"X",$F1496&lt;&gt;"Réalisé",$F1496&lt;&gt;"Clôturé"),"RETARD",""))</f>
        <v/>
      </c>
      <c r="J1496" s="29">
        <f>IF($B1496="","",IF(INDEX(Dossiers!$F$4:$F$63,29)="","",INDEX(Dossiers!$F$4:$F$63,29)))</f>
        <v/>
      </c>
      <c r="K1496" s="29">
        <f>IF($B1496="","",IF(INDEX(Dossiers!$G$4:$G$63,29)="","",INDEX(Dossiers!$G$4:$G$63,29)))</f>
        <v/>
      </c>
    </row>
    <row r="1497">
      <c r="A1497">
        <f>IF($B1497="","",INDEX(Dossiers!$E$4:$E$63,29))</f>
        <v/>
      </c>
      <c r="B1497">
        <f>IF(INDEX(Suivi!$B:$B,1526)="","",INDEX(Suivi!$B:$B,1526))</f>
        <v/>
      </c>
      <c r="C1497">
        <f>IF($B1497="","",IF(INDEX(Suivi!$D:$D,1526)="",INDEX(Suivi!$C:$C,1526),INDEX(Suivi!$D:$D,1526)))</f>
        <v/>
      </c>
      <c r="D1497" s="29">
        <f>IF($B1497="","",INDEX(Suivi!$E:$E,1526))</f>
        <v/>
      </c>
      <c r="E1497" s="29">
        <f>IF($B1497="","",INDEX(Suivi!$F:$F,1526))</f>
        <v/>
      </c>
      <c r="F1497">
        <f>IF($B1497="","",INDEX(Suivi!$G:$G,1526))</f>
        <v/>
      </c>
      <c r="H1497">
        <f>IF(OR($B1497="",NOT(ISNUMBER($D1497))),"",IF($E1497&lt;$D$2,"Passé",IF($D1497&gt;$F$2,"À venir","Dans la période")))</f>
        <v/>
      </c>
      <c r="I1497">
        <f>IF(OR($B1497="",NOT(ISNUMBER($D1497))),"",IF(AND($E1497&lt;$D$2,$G1497&lt;&gt;"X",$F1497&lt;&gt;"Réalisé",$F1497&lt;&gt;"Clôturé"),"RETARD",""))</f>
        <v/>
      </c>
      <c r="J1497" s="29">
        <f>IF($B1497="","",IF(INDEX(Dossiers!$F$4:$F$63,29)="","",INDEX(Dossiers!$F$4:$F$63,29)))</f>
        <v/>
      </c>
      <c r="K1497" s="29">
        <f>IF($B1497="","",IF(INDEX(Dossiers!$G$4:$G$63,29)="","",INDEX(Dossiers!$G$4:$G$63,29)))</f>
        <v/>
      </c>
    </row>
    <row r="1498">
      <c r="A1498">
        <f>IF($B1498="","",INDEX(Dossiers!$E$4:$E$63,29))</f>
        <v/>
      </c>
      <c r="B1498">
        <f>IF(INDEX(Suivi!$B:$B,1527)="","",INDEX(Suivi!$B:$B,1527))</f>
        <v/>
      </c>
      <c r="C1498">
        <f>IF($B1498="","",IF(INDEX(Suivi!$D:$D,1527)="",INDEX(Suivi!$C:$C,1527),INDEX(Suivi!$D:$D,1527)))</f>
        <v/>
      </c>
      <c r="D1498" s="29">
        <f>IF($B1498="","",INDEX(Suivi!$E:$E,1527))</f>
        <v/>
      </c>
      <c r="E1498" s="29">
        <f>IF($B1498="","",INDEX(Suivi!$F:$F,1527))</f>
        <v/>
      </c>
      <c r="F1498">
        <f>IF($B1498="","",INDEX(Suivi!$G:$G,1527))</f>
        <v/>
      </c>
      <c r="H1498">
        <f>IF(OR($B1498="",NOT(ISNUMBER($D1498))),"",IF($E1498&lt;$D$2,"Passé",IF($D1498&gt;$F$2,"À venir","Dans la période")))</f>
        <v/>
      </c>
      <c r="I1498">
        <f>IF(OR($B1498="",NOT(ISNUMBER($D1498))),"",IF(AND($E1498&lt;$D$2,$G1498&lt;&gt;"X",$F1498&lt;&gt;"Réalisé",$F1498&lt;&gt;"Clôturé"),"RETARD",""))</f>
        <v/>
      </c>
      <c r="J1498" s="29">
        <f>IF($B1498="","",IF(INDEX(Dossiers!$F$4:$F$63,29)="","",INDEX(Dossiers!$F$4:$F$63,29)))</f>
        <v/>
      </c>
      <c r="K1498" s="29">
        <f>IF($B1498="","",IF(INDEX(Dossiers!$G$4:$G$63,29)="","",INDEX(Dossiers!$G$4:$G$63,29)))</f>
        <v/>
      </c>
    </row>
    <row r="1499">
      <c r="A1499">
        <f>IF($B1499="","",INDEX(Dossiers!$E$4:$E$63,29))</f>
        <v/>
      </c>
      <c r="B1499">
        <f>IF(INDEX(Suivi!$B:$B,1528)="","",INDEX(Suivi!$B:$B,1528))</f>
        <v/>
      </c>
      <c r="C1499">
        <f>IF($B1499="","",IF(INDEX(Suivi!$D:$D,1528)="",INDEX(Suivi!$C:$C,1528),INDEX(Suivi!$D:$D,1528)))</f>
        <v/>
      </c>
      <c r="D1499" s="29">
        <f>IF($B1499="","",INDEX(Suivi!$E:$E,1528))</f>
        <v/>
      </c>
      <c r="E1499" s="29">
        <f>IF($B1499="","",INDEX(Suivi!$F:$F,1528))</f>
        <v/>
      </c>
      <c r="F1499">
        <f>IF($B1499="","",INDEX(Suivi!$G:$G,1528))</f>
        <v/>
      </c>
      <c r="H1499">
        <f>IF(OR($B1499="",NOT(ISNUMBER($D1499))),"",IF($E1499&lt;$D$2,"Passé",IF($D1499&gt;$F$2,"À venir","Dans la période")))</f>
        <v/>
      </c>
      <c r="I1499">
        <f>IF(OR($B1499="",NOT(ISNUMBER($D1499))),"",IF(AND($E1499&lt;$D$2,$G1499&lt;&gt;"X",$F1499&lt;&gt;"Réalisé",$F1499&lt;&gt;"Clôturé"),"RETARD",""))</f>
        <v/>
      </c>
      <c r="J1499" s="29">
        <f>IF($B1499="","",IF(INDEX(Dossiers!$F$4:$F$63,29)="","",INDEX(Dossiers!$F$4:$F$63,29)))</f>
        <v/>
      </c>
      <c r="K1499" s="29">
        <f>IF($B1499="","",IF(INDEX(Dossiers!$G$4:$G$63,29)="","",INDEX(Dossiers!$G$4:$G$63,29)))</f>
        <v/>
      </c>
    </row>
    <row r="1500">
      <c r="A1500">
        <f>IF($B1500="","",INDEX(Dossiers!$E$4:$E$63,29))</f>
        <v/>
      </c>
      <c r="B1500">
        <f>IF(INDEX(Suivi!$B:$B,1529)="","",INDEX(Suivi!$B:$B,1529))</f>
        <v/>
      </c>
      <c r="C1500">
        <f>IF($B1500="","",IF(INDEX(Suivi!$D:$D,1529)="",INDEX(Suivi!$C:$C,1529),INDEX(Suivi!$D:$D,1529)))</f>
        <v/>
      </c>
      <c r="D1500" s="29">
        <f>IF($B1500="","",INDEX(Suivi!$E:$E,1529))</f>
        <v/>
      </c>
      <c r="E1500" s="29">
        <f>IF($B1500="","",INDEX(Suivi!$F:$F,1529))</f>
        <v/>
      </c>
      <c r="F1500">
        <f>IF($B1500="","",INDEX(Suivi!$G:$G,1529))</f>
        <v/>
      </c>
      <c r="H1500">
        <f>IF(OR($B1500="",NOT(ISNUMBER($D1500))),"",IF($E1500&lt;$D$2,"Passé",IF($D1500&gt;$F$2,"À venir","Dans la période")))</f>
        <v/>
      </c>
      <c r="I1500">
        <f>IF(OR($B1500="",NOT(ISNUMBER($D1500))),"",IF(AND($E1500&lt;$D$2,$G1500&lt;&gt;"X",$F1500&lt;&gt;"Réalisé",$F1500&lt;&gt;"Clôturé"),"RETARD",""))</f>
        <v/>
      </c>
      <c r="J1500" s="29">
        <f>IF($B1500="","",IF(INDEX(Dossiers!$F$4:$F$63,29)="","",INDEX(Dossiers!$F$4:$F$63,29)))</f>
        <v/>
      </c>
      <c r="K1500" s="29">
        <f>IF($B1500="","",IF(INDEX(Dossiers!$G$4:$G$63,29)="","",INDEX(Dossiers!$G$4:$G$63,29)))</f>
        <v/>
      </c>
    </row>
    <row r="1501">
      <c r="A1501">
        <f>IF($B1501="","",INDEX(Dossiers!$E$4:$E$63,29))</f>
        <v/>
      </c>
      <c r="B1501">
        <f>IF(INDEX(Suivi!$B:$B,1530)="","",INDEX(Suivi!$B:$B,1530))</f>
        <v/>
      </c>
      <c r="C1501">
        <f>IF($B1501="","",IF(INDEX(Suivi!$D:$D,1530)="",INDEX(Suivi!$C:$C,1530),INDEX(Suivi!$D:$D,1530)))</f>
        <v/>
      </c>
      <c r="D1501" s="29">
        <f>IF($B1501="","",INDEX(Suivi!$E:$E,1530))</f>
        <v/>
      </c>
      <c r="E1501" s="29">
        <f>IF($B1501="","",INDEX(Suivi!$F:$F,1530))</f>
        <v/>
      </c>
      <c r="F1501">
        <f>IF($B1501="","",INDEX(Suivi!$G:$G,1530))</f>
        <v/>
      </c>
      <c r="H1501">
        <f>IF(OR($B1501="",NOT(ISNUMBER($D1501))),"",IF($E1501&lt;$D$2,"Passé",IF($D1501&gt;$F$2,"À venir","Dans la période")))</f>
        <v/>
      </c>
      <c r="I1501">
        <f>IF(OR($B1501="",NOT(ISNUMBER($D1501))),"",IF(AND($E1501&lt;$D$2,$G1501&lt;&gt;"X",$F1501&lt;&gt;"Réalisé",$F1501&lt;&gt;"Clôturé"),"RETARD",""))</f>
        <v/>
      </c>
      <c r="J1501" s="29">
        <f>IF($B1501="","",IF(INDEX(Dossiers!$F$4:$F$63,29)="","",INDEX(Dossiers!$F$4:$F$63,29)))</f>
        <v/>
      </c>
      <c r="K1501" s="29">
        <f>IF($B1501="","",IF(INDEX(Dossiers!$G$4:$G$63,29)="","",INDEX(Dossiers!$G$4:$G$63,29)))</f>
        <v/>
      </c>
    </row>
    <row r="1502">
      <c r="A1502">
        <f>IF($B1502="","",INDEX(Dossiers!$E$4:$E$63,29))</f>
        <v/>
      </c>
      <c r="B1502">
        <f>IF(INDEX(Suivi!$B:$B,1531)="","",INDEX(Suivi!$B:$B,1531))</f>
        <v/>
      </c>
      <c r="C1502">
        <f>IF($B1502="","",IF(INDEX(Suivi!$D:$D,1531)="",INDEX(Suivi!$C:$C,1531),INDEX(Suivi!$D:$D,1531)))</f>
        <v/>
      </c>
      <c r="D1502" s="29">
        <f>IF($B1502="","",INDEX(Suivi!$E:$E,1531))</f>
        <v/>
      </c>
      <c r="E1502" s="29">
        <f>IF($B1502="","",INDEX(Suivi!$F:$F,1531))</f>
        <v/>
      </c>
      <c r="F1502">
        <f>IF($B1502="","",INDEX(Suivi!$G:$G,1531))</f>
        <v/>
      </c>
      <c r="H1502">
        <f>IF(OR($B1502="",NOT(ISNUMBER($D1502))),"",IF($E1502&lt;$D$2,"Passé",IF($D1502&gt;$F$2,"À venir","Dans la période")))</f>
        <v/>
      </c>
      <c r="I1502">
        <f>IF(OR($B1502="",NOT(ISNUMBER($D1502))),"",IF(AND($E1502&lt;$D$2,$G1502&lt;&gt;"X",$F1502&lt;&gt;"Réalisé",$F1502&lt;&gt;"Clôturé"),"RETARD",""))</f>
        <v/>
      </c>
      <c r="J1502" s="29">
        <f>IF($B1502="","",IF(INDEX(Dossiers!$F$4:$F$63,29)="","",INDEX(Dossiers!$F$4:$F$63,29)))</f>
        <v/>
      </c>
      <c r="K1502" s="29">
        <f>IF($B1502="","",IF(INDEX(Dossiers!$G$4:$G$63,29)="","",INDEX(Dossiers!$G$4:$G$63,29)))</f>
        <v/>
      </c>
    </row>
    <row r="1503">
      <c r="A1503">
        <f>IF($B1503="","",INDEX(Dossiers!$E$4:$E$63,29))</f>
        <v/>
      </c>
      <c r="B1503">
        <f>IF(INDEX(Suivi!$B:$B,1532)="","",INDEX(Suivi!$B:$B,1532))</f>
        <v/>
      </c>
      <c r="C1503">
        <f>IF($B1503="","",IF(INDEX(Suivi!$D:$D,1532)="",INDEX(Suivi!$C:$C,1532),INDEX(Suivi!$D:$D,1532)))</f>
        <v/>
      </c>
      <c r="D1503" s="29">
        <f>IF($B1503="","",INDEX(Suivi!$E:$E,1532))</f>
        <v/>
      </c>
      <c r="E1503" s="29">
        <f>IF($B1503="","",INDEX(Suivi!$F:$F,1532))</f>
        <v/>
      </c>
      <c r="F1503">
        <f>IF($B1503="","",INDEX(Suivi!$G:$G,1532))</f>
        <v/>
      </c>
      <c r="H1503">
        <f>IF(OR($B1503="",NOT(ISNUMBER($D1503))),"",IF($E1503&lt;$D$2,"Passé",IF($D1503&gt;$F$2,"À venir","Dans la période")))</f>
        <v/>
      </c>
      <c r="I1503">
        <f>IF(OR($B1503="",NOT(ISNUMBER($D1503))),"",IF(AND($E1503&lt;$D$2,$G1503&lt;&gt;"X",$F1503&lt;&gt;"Réalisé",$F1503&lt;&gt;"Clôturé"),"RETARD",""))</f>
        <v/>
      </c>
      <c r="J1503" s="29">
        <f>IF($B1503="","",IF(INDEX(Dossiers!$F$4:$F$63,29)="","",INDEX(Dossiers!$F$4:$F$63,29)))</f>
        <v/>
      </c>
      <c r="K1503" s="29">
        <f>IF($B1503="","",IF(INDEX(Dossiers!$G$4:$G$63,29)="","",INDEX(Dossiers!$G$4:$G$63,29)))</f>
        <v/>
      </c>
    </row>
    <row r="1504">
      <c r="A1504">
        <f>IF($B1504="","",INDEX(Dossiers!$E$4:$E$63,29))</f>
        <v/>
      </c>
      <c r="B1504">
        <f>IF(INDEX(Suivi!$B:$B,1533)="","",INDEX(Suivi!$B:$B,1533))</f>
        <v/>
      </c>
      <c r="C1504">
        <f>IF($B1504="","",IF(INDEX(Suivi!$D:$D,1533)="",INDEX(Suivi!$C:$C,1533),INDEX(Suivi!$D:$D,1533)))</f>
        <v/>
      </c>
      <c r="D1504" s="29">
        <f>IF($B1504="","",INDEX(Suivi!$E:$E,1533))</f>
        <v/>
      </c>
      <c r="E1504" s="29">
        <f>IF($B1504="","",INDEX(Suivi!$F:$F,1533))</f>
        <v/>
      </c>
      <c r="F1504">
        <f>IF($B1504="","",INDEX(Suivi!$G:$G,1533))</f>
        <v/>
      </c>
      <c r="H1504">
        <f>IF(OR($B1504="",NOT(ISNUMBER($D1504))),"",IF($E1504&lt;$D$2,"Passé",IF($D1504&gt;$F$2,"À venir","Dans la période")))</f>
        <v/>
      </c>
      <c r="I1504">
        <f>IF(OR($B1504="",NOT(ISNUMBER($D1504))),"",IF(AND($E1504&lt;$D$2,$G1504&lt;&gt;"X",$F1504&lt;&gt;"Réalisé",$F1504&lt;&gt;"Clôturé"),"RETARD",""))</f>
        <v/>
      </c>
      <c r="J1504" s="29">
        <f>IF($B1504="","",IF(INDEX(Dossiers!$F$4:$F$63,29)="","",INDEX(Dossiers!$F$4:$F$63,29)))</f>
        <v/>
      </c>
      <c r="K1504" s="29">
        <f>IF($B1504="","",IF(INDEX(Dossiers!$G$4:$G$63,29)="","",INDEX(Dossiers!$G$4:$G$63,29)))</f>
        <v/>
      </c>
    </row>
    <row r="1505">
      <c r="A1505">
        <f>IF($B1505="","",INDEX(Dossiers!$E$4:$E$63,29))</f>
        <v/>
      </c>
      <c r="B1505">
        <f>IF(INDEX(Suivi!$B:$B,1534)="","",INDEX(Suivi!$B:$B,1534))</f>
        <v/>
      </c>
      <c r="C1505">
        <f>IF($B1505="","",IF(INDEX(Suivi!$D:$D,1534)="",INDEX(Suivi!$C:$C,1534),INDEX(Suivi!$D:$D,1534)))</f>
        <v/>
      </c>
      <c r="D1505" s="29">
        <f>IF($B1505="","",INDEX(Suivi!$E:$E,1534))</f>
        <v/>
      </c>
      <c r="E1505" s="29">
        <f>IF($B1505="","",INDEX(Suivi!$F:$F,1534))</f>
        <v/>
      </c>
      <c r="F1505">
        <f>IF($B1505="","",INDEX(Suivi!$G:$G,1534))</f>
        <v/>
      </c>
      <c r="H1505">
        <f>IF(OR($B1505="",NOT(ISNUMBER($D1505))),"",IF($E1505&lt;$D$2,"Passé",IF($D1505&gt;$F$2,"À venir","Dans la période")))</f>
        <v/>
      </c>
      <c r="I1505">
        <f>IF(OR($B1505="",NOT(ISNUMBER($D1505))),"",IF(AND($E1505&lt;$D$2,$G1505&lt;&gt;"X",$F1505&lt;&gt;"Réalisé",$F1505&lt;&gt;"Clôturé"),"RETARD",""))</f>
        <v/>
      </c>
      <c r="J1505" s="29">
        <f>IF($B1505="","",IF(INDEX(Dossiers!$F$4:$F$63,29)="","",INDEX(Dossiers!$F$4:$F$63,29)))</f>
        <v/>
      </c>
      <c r="K1505" s="29">
        <f>IF($B1505="","",IF(INDEX(Dossiers!$G$4:$G$63,29)="","",INDEX(Dossiers!$G$4:$G$63,29)))</f>
        <v/>
      </c>
    </row>
    <row r="1506">
      <c r="A1506">
        <f>IF($B1506="","",INDEX(Dossiers!$E$4:$E$63,29))</f>
        <v/>
      </c>
      <c r="B1506">
        <f>IF(INDEX(Suivi!$B:$B,1535)="","",INDEX(Suivi!$B:$B,1535))</f>
        <v/>
      </c>
      <c r="C1506">
        <f>IF($B1506="","",IF(INDEX(Suivi!$D:$D,1535)="",INDEX(Suivi!$C:$C,1535),INDEX(Suivi!$D:$D,1535)))</f>
        <v/>
      </c>
      <c r="D1506" s="29">
        <f>IF($B1506="","",INDEX(Suivi!$E:$E,1535))</f>
        <v/>
      </c>
      <c r="E1506" s="29">
        <f>IF($B1506="","",INDEX(Suivi!$F:$F,1535))</f>
        <v/>
      </c>
      <c r="F1506">
        <f>IF($B1506="","",INDEX(Suivi!$G:$G,1535))</f>
        <v/>
      </c>
      <c r="H1506">
        <f>IF(OR($B1506="",NOT(ISNUMBER($D1506))),"",IF($E1506&lt;$D$2,"Passé",IF($D1506&gt;$F$2,"À venir","Dans la période")))</f>
        <v/>
      </c>
      <c r="I1506">
        <f>IF(OR($B1506="",NOT(ISNUMBER($D1506))),"",IF(AND($E1506&lt;$D$2,$G1506&lt;&gt;"X",$F1506&lt;&gt;"Réalisé",$F1506&lt;&gt;"Clôturé"),"RETARD",""))</f>
        <v/>
      </c>
      <c r="J1506" s="29">
        <f>IF($B1506="","",IF(INDEX(Dossiers!$F$4:$F$63,29)="","",INDEX(Dossiers!$F$4:$F$63,29)))</f>
        <v/>
      </c>
      <c r="K1506" s="29">
        <f>IF($B1506="","",IF(INDEX(Dossiers!$G$4:$G$63,29)="","",INDEX(Dossiers!$G$4:$G$63,29)))</f>
        <v/>
      </c>
    </row>
    <row r="1507">
      <c r="A1507">
        <f>IF($B1507="","",INDEX(Dossiers!$E$4:$E$63,29))</f>
        <v/>
      </c>
      <c r="B1507">
        <f>IF(INDEX(Suivi!$B:$B,1536)="","",INDEX(Suivi!$B:$B,1536))</f>
        <v/>
      </c>
      <c r="C1507">
        <f>IF($B1507="","",IF(INDEX(Suivi!$D:$D,1536)="",INDEX(Suivi!$C:$C,1536),INDEX(Suivi!$D:$D,1536)))</f>
        <v/>
      </c>
      <c r="D1507" s="29">
        <f>IF($B1507="","",INDEX(Suivi!$E:$E,1536))</f>
        <v/>
      </c>
      <c r="E1507" s="29">
        <f>IF($B1507="","",INDEX(Suivi!$F:$F,1536))</f>
        <v/>
      </c>
      <c r="F1507">
        <f>IF($B1507="","",INDEX(Suivi!$G:$G,1536))</f>
        <v/>
      </c>
      <c r="H1507">
        <f>IF(OR($B1507="",NOT(ISNUMBER($D1507))),"",IF($E1507&lt;$D$2,"Passé",IF($D1507&gt;$F$2,"À venir","Dans la période")))</f>
        <v/>
      </c>
      <c r="I1507">
        <f>IF(OR($B1507="",NOT(ISNUMBER($D1507))),"",IF(AND($E1507&lt;$D$2,$G1507&lt;&gt;"X",$F1507&lt;&gt;"Réalisé",$F1507&lt;&gt;"Clôturé"),"RETARD",""))</f>
        <v/>
      </c>
      <c r="J1507" s="29">
        <f>IF($B1507="","",IF(INDEX(Dossiers!$F$4:$F$63,29)="","",INDEX(Dossiers!$F$4:$F$63,29)))</f>
        <v/>
      </c>
      <c r="K1507" s="29">
        <f>IF($B1507="","",IF(INDEX(Dossiers!$G$4:$G$63,29)="","",INDEX(Dossiers!$G$4:$G$63,29)))</f>
        <v/>
      </c>
    </row>
    <row r="1508">
      <c r="A1508">
        <f>IF($B1508="","",INDEX(Dossiers!$E$4:$E$63,29))</f>
        <v/>
      </c>
      <c r="B1508">
        <f>IF(INDEX(Suivi!$B:$B,1537)="","",INDEX(Suivi!$B:$B,1537))</f>
        <v/>
      </c>
      <c r="C1508">
        <f>IF($B1508="","",IF(INDEX(Suivi!$D:$D,1537)="",INDEX(Suivi!$C:$C,1537),INDEX(Suivi!$D:$D,1537)))</f>
        <v/>
      </c>
      <c r="D1508" s="29">
        <f>IF($B1508="","",INDEX(Suivi!$E:$E,1537))</f>
        <v/>
      </c>
      <c r="E1508" s="29">
        <f>IF($B1508="","",INDEX(Suivi!$F:$F,1537))</f>
        <v/>
      </c>
      <c r="F1508">
        <f>IF($B1508="","",INDEX(Suivi!$G:$G,1537))</f>
        <v/>
      </c>
      <c r="H1508">
        <f>IF(OR($B1508="",NOT(ISNUMBER($D1508))),"",IF($E1508&lt;$D$2,"Passé",IF($D1508&gt;$F$2,"À venir","Dans la période")))</f>
        <v/>
      </c>
      <c r="I1508">
        <f>IF(OR($B1508="",NOT(ISNUMBER($D1508))),"",IF(AND($E1508&lt;$D$2,$G1508&lt;&gt;"X",$F1508&lt;&gt;"Réalisé",$F1508&lt;&gt;"Clôturé"),"RETARD",""))</f>
        <v/>
      </c>
      <c r="J1508" s="29">
        <f>IF($B1508="","",IF(INDEX(Dossiers!$F$4:$F$63,29)="","",INDEX(Dossiers!$F$4:$F$63,29)))</f>
        <v/>
      </c>
      <c r="K1508" s="29">
        <f>IF($B1508="","",IF(INDEX(Dossiers!$G$4:$G$63,29)="","",INDEX(Dossiers!$G$4:$G$63,29)))</f>
        <v/>
      </c>
    </row>
    <row r="1509">
      <c r="A1509">
        <f>IF($B1509="","",INDEX(Dossiers!$E$4:$E$63,29))</f>
        <v/>
      </c>
      <c r="B1509">
        <f>IF(INDEX(Suivi!$B:$B,1538)="","",INDEX(Suivi!$B:$B,1538))</f>
        <v/>
      </c>
      <c r="C1509">
        <f>IF($B1509="","",IF(INDEX(Suivi!$D:$D,1538)="",INDEX(Suivi!$C:$C,1538),INDEX(Suivi!$D:$D,1538)))</f>
        <v/>
      </c>
      <c r="D1509" s="29">
        <f>IF($B1509="","",INDEX(Suivi!$E:$E,1538))</f>
        <v/>
      </c>
      <c r="E1509" s="29">
        <f>IF($B1509="","",INDEX(Suivi!$F:$F,1538))</f>
        <v/>
      </c>
      <c r="F1509">
        <f>IF($B1509="","",INDEX(Suivi!$G:$G,1538))</f>
        <v/>
      </c>
      <c r="H1509">
        <f>IF(OR($B1509="",NOT(ISNUMBER($D1509))),"",IF($E1509&lt;$D$2,"Passé",IF($D1509&gt;$F$2,"À venir","Dans la période")))</f>
        <v/>
      </c>
      <c r="I1509">
        <f>IF(OR($B1509="",NOT(ISNUMBER($D1509))),"",IF(AND($E1509&lt;$D$2,$G1509&lt;&gt;"X",$F1509&lt;&gt;"Réalisé",$F1509&lt;&gt;"Clôturé"),"RETARD",""))</f>
        <v/>
      </c>
      <c r="J1509" s="29">
        <f>IF($B1509="","",IF(INDEX(Dossiers!$F$4:$F$63,29)="","",INDEX(Dossiers!$F$4:$F$63,29)))</f>
        <v/>
      </c>
      <c r="K1509" s="29">
        <f>IF($B1509="","",IF(INDEX(Dossiers!$G$4:$G$63,29)="","",INDEX(Dossiers!$G$4:$G$63,29)))</f>
        <v/>
      </c>
    </row>
    <row r="1510">
      <c r="A1510">
        <f>IF($B1510="","",INDEX(Dossiers!$E$4:$E$63,29))</f>
        <v/>
      </c>
      <c r="B1510">
        <f>IF(INDEX(Suivi!$B:$B,1539)="","",INDEX(Suivi!$B:$B,1539))</f>
        <v/>
      </c>
      <c r="C1510">
        <f>IF($B1510="","",IF(INDEX(Suivi!$D:$D,1539)="",INDEX(Suivi!$C:$C,1539),INDEX(Suivi!$D:$D,1539)))</f>
        <v/>
      </c>
      <c r="D1510" s="29">
        <f>IF($B1510="","",INDEX(Suivi!$E:$E,1539))</f>
        <v/>
      </c>
      <c r="E1510" s="29">
        <f>IF($B1510="","",INDEX(Suivi!$F:$F,1539))</f>
        <v/>
      </c>
      <c r="F1510">
        <f>IF($B1510="","",INDEX(Suivi!$G:$G,1539))</f>
        <v/>
      </c>
      <c r="H1510">
        <f>IF(OR($B1510="",NOT(ISNUMBER($D1510))),"",IF($E1510&lt;$D$2,"Passé",IF($D1510&gt;$F$2,"À venir","Dans la période")))</f>
        <v/>
      </c>
      <c r="I1510">
        <f>IF(OR($B1510="",NOT(ISNUMBER($D1510))),"",IF(AND($E1510&lt;$D$2,$G1510&lt;&gt;"X",$F1510&lt;&gt;"Réalisé",$F1510&lt;&gt;"Clôturé"),"RETARD",""))</f>
        <v/>
      </c>
      <c r="J1510" s="29">
        <f>IF($B1510="","",IF(INDEX(Dossiers!$F$4:$F$63,29)="","",INDEX(Dossiers!$F$4:$F$63,29)))</f>
        <v/>
      </c>
      <c r="K1510" s="29">
        <f>IF($B1510="","",IF(INDEX(Dossiers!$G$4:$G$63,29)="","",INDEX(Dossiers!$G$4:$G$63,29)))</f>
        <v/>
      </c>
    </row>
    <row r="1511">
      <c r="A1511">
        <f>IF($B1511="","",INDEX(Dossiers!$E$4:$E$63,29))</f>
        <v/>
      </c>
      <c r="B1511">
        <f>IF(INDEX(Suivi!$B:$B,1540)="","",INDEX(Suivi!$B:$B,1540))</f>
        <v/>
      </c>
      <c r="C1511">
        <f>IF($B1511="","",IF(INDEX(Suivi!$D:$D,1540)="",INDEX(Suivi!$C:$C,1540),INDEX(Suivi!$D:$D,1540)))</f>
        <v/>
      </c>
      <c r="D1511" s="29">
        <f>IF($B1511="","",INDEX(Suivi!$E:$E,1540))</f>
        <v/>
      </c>
      <c r="E1511" s="29">
        <f>IF($B1511="","",INDEX(Suivi!$F:$F,1540))</f>
        <v/>
      </c>
      <c r="F1511">
        <f>IF($B1511="","",INDEX(Suivi!$G:$G,1540))</f>
        <v/>
      </c>
      <c r="H1511">
        <f>IF(OR($B1511="",NOT(ISNUMBER($D1511))),"",IF($E1511&lt;$D$2,"Passé",IF($D1511&gt;$F$2,"À venir","Dans la période")))</f>
        <v/>
      </c>
      <c r="I1511">
        <f>IF(OR($B1511="",NOT(ISNUMBER($D1511))),"",IF(AND($E1511&lt;$D$2,$G1511&lt;&gt;"X",$F1511&lt;&gt;"Réalisé",$F1511&lt;&gt;"Clôturé"),"RETARD",""))</f>
        <v/>
      </c>
      <c r="J1511" s="29">
        <f>IF($B1511="","",IF(INDEX(Dossiers!$F$4:$F$63,29)="","",INDEX(Dossiers!$F$4:$F$63,29)))</f>
        <v/>
      </c>
      <c r="K1511" s="29">
        <f>IF($B1511="","",IF(INDEX(Dossiers!$G$4:$G$63,29)="","",INDEX(Dossiers!$G$4:$G$63,29)))</f>
        <v/>
      </c>
    </row>
    <row r="1512">
      <c r="A1512">
        <f>IF($B1512="","",INDEX(Dossiers!$E$4:$E$63,29))</f>
        <v/>
      </c>
      <c r="B1512">
        <f>IF(INDEX(Suivi!$B:$B,1541)="","",INDEX(Suivi!$B:$B,1541))</f>
        <v/>
      </c>
      <c r="C1512">
        <f>IF($B1512="","",IF(INDEX(Suivi!$D:$D,1541)="",INDEX(Suivi!$C:$C,1541),INDEX(Suivi!$D:$D,1541)))</f>
        <v/>
      </c>
      <c r="D1512" s="29">
        <f>IF($B1512="","",INDEX(Suivi!$E:$E,1541))</f>
        <v/>
      </c>
      <c r="E1512" s="29">
        <f>IF($B1512="","",INDEX(Suivi!$F:$F,1541))</f>
        <v/>
      </c>
      <c r="F1512">
        <f>IF($B1512="","",INDEX(Suivi!$G:$G,1541))</f>
        <v/>
      </c>
      <c r="H1512">
        <f>IF(OR($B1512="",NOT(ISNUMBER($D1512))),"",IF($E1512&lt;$D$2,"Passé",IF($D1512&gt;$F$2,"À venir","Dans la période")))</f>
        <v/>
      </c>
      <c r="I1512">
        <f>IF(OR($B1512="",NOT(ISNUMBER($D1512))),"",IF(AND($E1512&lt;$D$2,$G1512&lt;&gt;"X",$F1512&lt;&gt;"Réalisé",$F1512&lt;&gt;"Clôturé"),"RETARD",""))</f>
        <v/>
      </c>
      <c r="J1512" s="29">
        <f>IF($B1512="","",IF(INDEX(Dossiers!$F$4:$F$63,29)="","",INDEX(Dossiers!$F$4:$F$63,29)))</f>
        <v/>
      </c>
      <c r="K1512" s="29">
        <f>IF($B1512="","",IF(INDEX(Dossiers!$G$4:$G$63,29)="","",INDEX(Dossiers!$G$4:$G$63,29)))</f>
        <v/>
      </c>
    </row>
    <row r="1513">
      <c r="A1513">
        <f>IF($B1513="","",INDEX(Dossiers!$E$4:$E$63,29))</f>
        <v/>
      </c>
      <c r="B1513">
        <f>IF(INDEX(Suivi!$B:$B,1542)="","",INDEX(Suivi!$B:$B,1542))</f>
        <v/>
      </c>
      <c r="C1513">
        <f>IF($B1513="","",IF(INDEX(Suivi!$D:$D,1542)="",INDEX(Suivi!$C:$C,1542),INDEX(Suivi!$D:$D,1542)))</f>
        <v/>
      </c>
      <c r="D1513" s="29">
        <f>IF($B1513="","",INDEX(Suivi!$E:$E,1542))</f>
        <v/>
      </c>
      <c r="E1513" s="29">
        <f>IF($B1513="","",INDEX(Suivi!$F:$F,1542))</f>
        <v/>
      </c>
      <c r="F1513">
        <f>IF($B1513="","",INDEX(Suivi!$G:$G,1542))</f>
        <v/>
      </c>
      <c r="H1513">
        <f>IF(OR($B1513="",NOT(ISNUMBER($D1513))),"",IF($E1513&lt;$D$2,"Passé",IF($D1513&gt;$F$2,"À venir","Dans la période")))</f>
        <v/>
      </c>
      <c r="I1513">
        <f>IF(OR($B1513="",NOT(ISNUMBER($D1513))),"",IF(AND($E1513&lt;$D$2,$G1513&lt;&gt;"X",$F1513&lt;&gt;"Réalisé",$F1513&lt;&gt;"Clôturé"),"RETARD",""))</f>
        <v/>
      </c>
      <c r="J1513" s="29">
        <f>IF($B1513="","",IF(INDEX(Dossiers!$F$4:$F$63,29)="","",INDEX(Dossiers!$F$4:$F$63,29)))</f>
        <v/>
      </c>
      <c r="K1513" s="29">
        <f>IF($B1513="","",IF(INDEX(Dossiers!$G$4:$G$63,29)="","",INDEX(Dossiers!$G$4:$G$63,29)))</f>
        <v/>
      </c>
    </row>
    <row r="1514">
      <c r="A1514">
        <f>IF($B1514="","",INDEX(Dossiers!$E$4:$E$63,29))</f>
        <v/>
      </c>
      <c r="B1514">
        <f>IF(INDEX(Suivi!$B:$B,1543)="","",INDEX(Suivi!$B:$B,1543))</f>
        <v/>
      </c>
      <c r="C1514">
        <f>IF($B1514="","",IF(INDEX(Suivi!$D:$D,1543)="",INDEX(Suivi!$C:$C,1543),INDEX(Suivi!$D:$D,1543)))</f>
        <v/>
      </c>
      <c r="D1514" s="29">
        <f>IF($B1514="","",INDEX(Suivi!$E:$E,1543))</f>
        <v/>
      </c>
      <c r="E1514" s="29">
        <f>IF($B1514="","",INDEX(Suivi!$F:$F,1543))</f>
        <v/>
      </c>
      <c r="F1514">
        <f>IF($B1514="","",INDEX(Suivi!$G:$G,1543))</f>
        <v/>
      </c>
      <c r="H1514">
        <f>IF(OR($B1514="",NOT(ISNUMBER($D1514))),"",IF($E1514&lt;$D$2,"Passé",IF($D1514&gt;$F$2,"À venir","Dans la période")))</f>
        <v/>
      </c>
      <c r="I1514">
        <f>IF(OR($B1514="",NOT(ISNUMBER($D1514))),"",IF(AND($E1514&lt;$D$2,$G1514&lt;&gt;"X",$F1514&lt;&gt;"Réalisé",$F1514&lt;&gt;"Clôturé"),"RETARD",""))</f>
        <v/>
      </c>
      <c r="J1514" s="29">
        <f>IF($B1514="","",IF(INDEX(Dossiers!$F$4:$F$63,29)="","",INDEX(Dossiers!$F$4:$F$63,29)))</f>
        <v/>
      </c>
      <c r="K1514" s="29">
        <f>IF($B1514="","",IF(INDEX(Dossiers!$G$4:$G$63,29)="","",INDEX(Dossiers!$G$4:$G$63,29)))</f>
        <v/>
      </c>
    </row>
    <row r="1515">
      <c r="A1515">
        <f>IF($B1515="","",INDEX(Dossiers!$E$4:$E$63,29))</f>
        <v/>
      </c>
      <c r="B1515">
        <f>IF(INDEX(Suivi!$B:$B,1544)="","",INDEX(Suivi!$B:$B,1544))</f>
        <v/>
      </c>
      <c r="C1515">
        <f>IF($B1515="","",IF(INDEX(Suivi!$D:$D,1544)="",INDEX(Suivi!$C:$C,1544),INDEX(Suivi!$D:$D,1544)))</f>
        <v/>
      </c>
      <c r="D1515" s="29">
        <f>IF($B1515="","",INDEX(Suivi!$E:$E,1544))</f>
        <v/>
      </c>
      <c r="E1515" s="29">
        <f>IF($B1515="","",INDEX(Suivi!$F:$F,1544))</f>
        <v/>
      </c>
      <c r="F1515">
        <f>IF($B1515="","",INDEX(Suivi!$G:$G,1544))</f>
        <v/>
      </c>
      <c r="H1515">
        <f>IF(OR($B1515="",NOT(ISNUMBER($D1515))),"",IF($E1515&lt;$D$2,"Passé",IF($D1515&gt;$F$2,"À venir","Dans la période")))</f>
        <v/>
      </c>
      <c r="I1515">
        <f>IF(OR($B1515="",NOT(ISNUMBER($D1515))),"",IF(AND($E1515&lt;$D$2,$G1515&lt;&gt;"X",$F1515&lt;&gt;"Réalisé",$F1515&lt;&gt;"Clôturé"),"RETARD",""))</f>
        <v/>
      </c>
      <c r="J1515" s="29">
        <f>IF($B1515="","",IF(INDEX(Dossiers!$F$4:$F$63,29)="","",INDEX(Dossiers!$F$4:$F$63,29)))</f>
        <v/>
      </c>
      <c r="K1515" s="29">
        <f>IF($B1515="","",IF(INDEX(Dossiers!$G$4:$G$63,29)="","",INDEX(Dossiers!$G$4:$G$63,29)))</f>
        <v/>
      </c>
    </row>
    <row r="1516">
      <c r="A1516">
        <f>IF($B1516="","",INDEX(Dossiers!$E$4:$E$63,29))</f>
        <v/>
      </c>
      <c r="B1516">
        <f>IF(INDEX(Suivi!$B:$B,1545)="","",INDEX(Suivi!$B:$B,1545))</f>
        <v/>
      </c>
      <c r="C1516">
        <f>IF($B1516="","",IF(INDEX(Suivi!$D:$D,1545)="",INDEX(Suivi!$C:$C,1545),INDEX(Suivi!$D:$D,1545)))</f>
        <v/>
      </c>
      <c r="D1516" s="29">
        <f>IF($B1516="","",INDEX(Suivi!$E:$E,1545))</f>
        <v/>
      </c>
      <c r="E1516" s="29">
        <f>IF($B1516="","",INDEX(Suivi!$F:$F,1545))</f>
        <v/>
      </c>
      <c r="F1516">
        <f>IF($B1516="","",INDEX(Suivi!$G:$G,1545))</f>
        <v/>
      </c>
      <c r="H1516">
        <f>IF(OR($B1516="",NOT(ISNUMBER($D1516))),"",IF($E1516&lt;$D$2,"Passé",IF($D1516&gt;$F$2,"À venir","Dans la période")))</f>
        <v/>
      </c>
      <c r="I1516">
        <f>IF(OR($B1516="",NOT(ISNUMBER($D1516))),"",IF(AND($E1516&lt;$D$2,$G1516&lt;&gt;"X",$F1516&lt;&gt;"Réalisé",$F1516&lt;&gt;"Clôturé"),"RETARD",""))</f>
        <v/>
      </c>
      <c r="J1516" s="29">
        <f>IF($B1516="","",IF(INDEX(Dossiers!$F$4:$F$63,29)="","",INDEX(Dossiers!$F$4:$F$63,29)))</f>
        <v/>
      </c>
      <c r="K1516" s="29">
        <f>IF($B1516="","",IF(INDEX(Dossiers!$G$4:$G$63,29)="","",INDEX(Dossiers!$G$4:$G$63,29)))</f>
        <v/>
      </c>
    </row>
    <row r="1517">
      <c r="A1517">
        <f>IF($B1517="","",INDEX(Dossiers!$E$4:$E$63,29))</f>
        <v/>
      </c>
      <c r="B1517">
        <f>IF(INDEX(Suivi!$B:$B,1546)="","",INDEX(Suivi!$B:$B,1546))</f>
        <v/>
      </c>
      <c r="C1517">
        <f>IF($B1517="","",IF(INDEX(Suivi!$D:$D,1546)="",INDEX(Suivi!$C:$C,1546),INDEX(Suivi!$D:$D,1546)))</f>
        <v/>
      </c>
      <c r="D1517" s="29">
        <f>IF($B1517="","",INDEX(Suivi!$E:$E,1546))</f>
        <v/>
      </c>
      <c r="E1517" s="29">
        <f>IF($B1517="","",INDEX(Suivi!$F:$F,1546))</f>
        <v/>
      </c>
      <c r="F1517">
        <f>IF($B1517="","",INDEX(Suivi!$G:$G,1546))</f>
        <v/>
      </c>
      <c r="H1517">
        <f>IF(OR($B1517="",NOT(ISNUMBER($D1517))),"",IF($E1517&lt;$D$2,"Passé",IF($D1517&gt;$F$2,"À venir","Dans la période")))</f>
        <v/>
      </c>
      <c r="I1517">
        <f>IF(OR($B1517="",NOT(ISNUMBER($D1517))),"",IF(AND($E1517&lt;$D$2,$G1517&lt;&gt;"X",$F1517&lt;&gt;"Réalisé",$F1517&lt;&gt;"Clôturé"),"RETARD",""))</f>
        <v/>
      </c>
      <c r="J1517" s="29">
        <f>IF($B1517="","",IF(INDEX(Dossiers!$F$4:$F$63,29)="","",INDEX(Dossiers!$F$4:$F$63,29)))</f>
        <v/>
      </c>
      <c r="K1517" s="29">
        <f>IF($B1517="","",IF(INDEX(Dossiers!$G$4:$G$63,29)="","",INDEX(Dossiers!$G$4:$G$63,29)))</f>
        <v/>
      </c>
    </row>
    <row r="1518">
      <c r="A1518">
        <f>IF($B1518="","",INDEX(Dossiers!$E$4:$E$63,29))</f>
        <v/>
      </c>
      <c r="B1518">
        <f>IF(INDEX(Suivi!$B:$B,1547)="","",INDEX(Suivi!$B:$B,1547))</f>
        <v/>
      </c>
      <c r="C1518">
        <f>IF($B1518="","",IF(INDEX(Suivi!$D:$D,1547)="",INDEX(Suivi!$C:$C,1547),INDEX(Suivi!$D:$D,1547)))</f>
        <v/>
      </c>
      <c r="D1518" s="29">
        <f>IF($B1518="","",INDEX(Suivi!$E:$E,1547))</f>
        <v/>
      </c>
      <c r="E1518" s="29">
        <f>IF($B1518="","",INDEX(Suivi!$F:$F,1547))</f>
        <v/>
      </c>
      <c r="F1518">
        <f>IF($B1518="","",INDEX(Suivi!$G:$G,1547))</f>
        <v/>
      </c>
      <c r="H1518">
        <f>IF(OR($B1518="",NOT(ISNUMBER($D1518))),"",IF($E1518&lt;$D$2,"Passé",IF($D1518&gt;$F$2,"À venir","Dans la période")))</f>
        <v/>
      </c>
      <c r="I1518">
        <f>IF(OR($B1518="",NOT(ISNUMBER($D1518))),"",IF(AND($E1518&lt;$D$2,$G1518&lt;&gt;"X",$F1518&lt;&gt;"Réalisé",$F1518&lt;&gt;"Clôturé"),"RETARD",""))</f>
        <v/>
      </c>
      <c r="J1518" s="29">
        <f>IF($B1518="","",IF(INDEX(Dossiers!$F$4:$F$63,29)="","",INDEX(Dossiers!$F$4:$F$63,29)))</f>
        <v/>
      </c>
      <c r="K1518" s="29">
        <f>IF($B1518="","",IF(INDEX(Dossiers!$G$4:$G$63,29)="","",INDEX(Dossiers!$G$4:$G$63,29)))</f>
        <v/>
      </c>
    </row>
    <row r="1519">
      <c r="A1519">
        <f>IF($B1519="","",INDEX(Dossiers!$E$4:$E$63,29))</f>
        <v/>
      </c>
      <c r="B1519">
        <f>IF(INDEX(Suivi!$B:$B,1548)="","",INDEX(Suivi!$B:$B,1548))</f>
        <v/>
      </c>
      <c r="C1519">
        <f>IF($B1519="","",IF(INDEX(Suivi!$D:$D,1548)="",INDEX(Suivi!$C:$C,1548),INDEX(Suivi!$D:$D,1548)))</f>
        <v/>
      </c>
      <c r="D1519" s="29">
        <f>IF($B1519="","",INDEX(Suivi!$E:$E,1548))</f>
        <v/>
      </c>
      <c r="E1519" s="29">
        <f>IF($B1519="","",INDEX(Suivi!$F:$F,1548))</f>
        <v/>
      </c>
      <c r="F1519">
        <f>IF($B1519="","",INDEX(Suivi!$G:$G,1548))</f>
        <v/>
      </c>
      <c r="H1519">
        <f>IF(OR($B1519="",NOT(ISNUMBER($D1519))),"",IF($E1519&lt;$D$2,"Passé",IF($D1519&gt;$F$2,"À venir","Dans la période")))</f>
        <v/>
      </c>
      <c r="I1519">
        <f>IF(OR($B1519="",NOT(ISNUMBER($D1519))),"",IF(AND($E1519&lt;$D$2,$G1519&lt;&gt;"X",$F1519&lt;&gt;"Réalisé",$F1519&lt;&gt;"Clôturé"),"RETARD",""))</f>
        <v/>
      </c>
      <c r="J1519" s="29">
        <f>IF($B1519="","",IF(INDEX(Dossiers!$F$4:$F$63,29)="","",INDEX(Dossiers!$F$4:$F$63,29)))</f>
        <v/>
      </c>
      <c r="K1519" s="29">
        <f>IF($B1519="","",IF(INDEX(Dossiers!$G$4:$G$63,29)="","",INDEX(Dossiers!$G$4:$G$63,29)))</f>
        <v/>
      </c>
    </row>
    <row r="1520">
      <c r="A1520">
        <f>IF($B1520="","",INDEX(Dossiers!$E$4:$E$63,29))</f>
        <v/>
      </c>
      <c r="B1520">
        <f>IF(INDEX(Suivi!$B:$B,1549)="","",INDEX(Suivi!$B:$B,1549))</f>
        <v/>
      </c>
      <c r="C1520">
        <f>IF($B1520="","",IF(INDEX(Suivi!$D:$D,1549)="",INDEX(Suivi!$C:$C,1549),INDEX(Suivi!$D:$D,1549)))</f>
        <v/>
      </c>
      <c r="D1520" s="29">
        <f>IF($B1520="","",INDEX(Suivi!$E:$E,1549))</f>
        <v/>
      </c>
      <c r="E1520" s="29">
        <f>IF($B1520="","",INDEX(Suivi!$F:$F,1549))</f>
        <v/>
      </c>
      <c r="F1520">
        <f>IF($B1520="","",INDEX(Suivi!$G:$G,1549))</f>
        <v/>
      </c>
      <c r="H1520">
        <f>IF(OR($B1520="",NOT(ISNUMBER($D1520))),"",IF($E1520&lt;$D$2,"Passé",IF($D1520&gt;$F$2,"À venir","Dans la période")))</f>
        <v/>
      </c>
      <c r="I1520">
        <f>IF(OR($B1520="",NOT(ISNUMBER($D1520))),"",IF(AND($E1520&lt;$D$2,$G1520&lt;&gt;"X",$F1520&lt;&gt;"Réalisé",$F1520&lt;&gt;"Clôturé"),"RETARD",""))</f>
        <v/>
      </c>
      <c r="J1520" s="29">
        <f>IF($B1520="","",IF(INDEX(Dossiers!$F$4:$F$63,29)="","",INDEX(Dossiers!$F$4:$F$63,29)))</f>
        <v/>
      </c>
      <c r="K1520" s="29">
        <f>IF($B1520="","",IF(INDEX(Dossiers!$G$4:$G$63,29)="","",INDEX(Dossiers!$G$4:$G$63,29)))</f>
        <v/>
      </c>
    </row>
    <row r="1521">
      <c r="A1521">
        <f>IF($B1521="","",INDEX(Dossiers!$E$4:$E$63,29))</f>
        <v/>
      </c>
      <c r="B1521">
        <f>IF(INDEX(Suivi!$B:$B,1550)="","",INDEX(Suivi!$B:$B,1550))</f>
        <v/>
      </c>
      <c r="C1521">
        <f>IF($B1521="","",IF(INDEX(Suivi!$D:$D,1550)="",INDEX(Suivi!$C:$C,1550),INDEX(Suivi!$D:$D,1550)))</f>
        <v/>
      </c>
      <c r="D1521" s="29">
        <f>IF($B1521="","",INDEX(Suivi!$E:$E,1550))</f>
        <v/>
      </c>
      <c r="E1521" s="29">
        <f>IF($B1521="","",INDEX(Suivi!$F:$F,1550))</f>
        <v/>
      </c>
      <c r="F1521">
        <f>IF($B1521="","",INDEX(Suivi!$G:$G,1550))</f>
        <v/>
      </c>
      <c r="H1521">
        <f>IF(OR($B1521="",NOT(ISNUMBER($D1521))),"",IF($E1521&lt;$D$2,"Passé",IF($D1521&gt;$F$2,"À venir","Dans la période")))</f>
        <v/>
      </c>
      <c r="I1521">
        <f>IF(OR($B1521="",NOT(ISNUMBER($D1521))),"",IF(AND($E1521&lt;$D$2,$G1521&lt;&gt;"X",$F1521&lt;&gt;"Réalisé",$F1521&lt;&gt;"Clôturé"),"RETARD",""))</f>
        <v/>
      </c>
      <c r="J1521" s="29">
        <f>IF($B1521="","",IF(INDEX(Dossiers!$F$4:$F$63,29)="","",INDEX(Dossiers!$F$4:$F$63,29)))</f>
        <v/>
      </c>
      <c r="K1521" s="29">
        <f>IF($B1521="","",IF(INDEX(Dossiers!$G$4:$G$63,29)="","",INDEX(Dossiers!$G$4:$G$63,29)))</f>
        <v/>
      </c>
    </row>
    <row r="1522">
      <c r="A1522">
        <f>IF($B1522="","",INDEX(Dossiers!$E$4:$E$63,29))</f>
        <v/>
      </c>
      <c r="B1522">
        <f>IF(INDEX(Suivi!$B:$B,1551)="","",INDEX(Suivi!$B:$B,1551))</f>
        <v/>
      </c>
      <c r="C1522">
        <f>IF($B1522="","",IF(INDEX(Suivi!$D:$D,1551)="",INDEX(Suivi!$C:$C,1551),INDEX(Suivi!$D:$D,1551)))</f>
        <v/>
      </c>
      <c r="D1522" s="29">
        <f>IF($B1522="","",INDEX(Suivi!$E:$E,1551))</f>
        <v/>
      </c>
      <c r="E1522" s="29">
        <f>IF($B1522="","",INDEX(Suivi!$F:$F,1551))</f>
        <v/>
      </c>
      <c r="F1522">
        <f>IF($B1522="","",INDEX(Suivi!$G:$G,1551))</f>
        <v/>
      </c>
      <c r="H1522">
        <f>IF(OR($B1522="",NOT(ISNUMBER($D1522))),"",IF($E1522&lt;$D$2,"Passé",IF($D1522&gt;$F$2,"À venir","Dans la période")))</f>
        <v/>
      </c>
      <c r="I1522">
        <f>IF(OR($B1522="",NOT(ISNUMBER($D1522))),"",IF(AND($E1522&lt;$D$2,$G1522&lt;&gt;"X",$F1522&lt;&gt;"Réalisé",$F1522&lt;&gt;"Clôturé"),"RETARD",""))</f>
        <v/>
      </c>
      <c r="J1522" s="29">
        <f>IF($B1522="","",IF(INDEX(Dossiers!$F$4:$F$63,29)="","",INDEX(Dossiers!$F$4:$F$63,29)))</f>
        <v/>
      </c>
      <c r="K1522" s="29">
        <f>IF($B1522="","",IF(INDEX(Dossiers!$G$4:$G$63,29)="","",INDEX(Dossiers!$G$4:$G$63,29)))</f>
        <v/>
      </c>
    </row>
    <row r="1523">
      <c r="A1523">
        <f>IF($B1523="","",INDEX(Dossiers!$E$4:$E$63,29))</f>
        <v/>
      </c>
      <c r="B1523">
        <f>IF(INDEX(Suivi!$B:$B,1552)="","",INDEX(Suivi!$B:$B,1552))</f>
        <v/>
      </c>
      <c r="C1523">
        <f>IF($B1523="","",IF(INDEX(Suivi!$D:$D,1552)="",INDEX(Suivi!$C:$C,1552),INDEX(Suivi!$D:$D,1552)))</f>
        <v/>
      </c>
      <c r="D1523" s="29">
        <f>IF($B1523="","",INDEX(Suivi!$E:$E,1552))</f>
        <v/>
      </c>
      <c r="E1523" s="29">
        <f>IF($B1523="","",INDEX(Suivi!$F:$F,1552))</f>
        <v/>
      </c>
      <c r="F1523">
        <f>IF($B1523="","",INDEX(Suivi!$G:$G,1552))</f>
        <v/>
      </c>
      <c r="H1523">
        <f>IF(OR($B1523="",NOT(ISNUMBER($D1523))),"",IF($E1523&lt;$D$2,"Passé",IF($D1523&gt;$F$2,"À venir","Dans la période")))</f>
        <v/>
      </c>
      <c r="I1523">
        <f>IF(OR($B1523="",NOT(ISNUMBER($D1523))),"",IF(AND($E1523&lt;$D$2,$G1523&lt;&gt;"X",$F1523&lt;&gt;"Réalisé",$F1523&lt;&gt;"Clôturé"),"RETARD",""))</f>
        <v/>
      </c>
      <c r="J1523" s="29">
        <f>IF($B1523="","",IF(INDEX(Dossiers!$F$4:$F$63,29)="","",INDEX(Dossiers!$F$4:$F$63,29)))</f>
        <v/>
      </c>
      <c r="K1523" s="29">
        <f>IF($B1523="","",IF(INDEX(Dossiers!$G$4:$G$63,29)="","",INDEX(Dossiers!$G$4:$G$63,29)))</f>
        <v/>
      </c>
    </row>
    <row r="1524">
      <c r="A1524">
        <f>IF($B1524="","",INDEX(Dossiers!$E$4:$E$63,29))</f>
        <v/>
      </c>
      <c r="B1524">
        <f>IF(INDEX(Suivi!$B:$B,1553)="","",INDEX(Suivi!$B:$B,1553))</f>
        <v/>
      </c>
      <c r="C1524">
        <f>IF($B1524="","",IF(INDEX(Suivi!$D:$D,1553)="",INDEX(Suivi!$C:$C,1553),INDEX(Suivi!$D:$D,1553)))</f>
        <v/>
      </c>
      <c r="D1524" s="29">
        <f>IF($B1524="","",INDEX(Suivi!$E:$E,1553))</f>
        <v/>
      </c>
      <c r="E1524" s="29">
        <f>IF($B1524="","",INDEX(Suivi!$F:$F,1553))</f>
        <v/>
      </c>
      <c r="F1524">
        <f>IF($B1524="","",INDEX(Suivi!$G:$G,1553))</f>
        <v/>
      </c>
      <c r="H1524">
        <f>IF(OR($B1524="",NOT(ISNUMBER($D1524))),"",IF($E1524&lt;$D$2,"Passé",IF($D1524&gt;$F$2,"À venir","Dans la période")))</f>
        <v/>
      </c>
      <c r="I1524">
        <f>IF(OR($B1524="",NOT(ISNUMBER($D1524))),"",IF(AND($E1524&lt;$D$2,$G1524&lt;&gt;"X",$F1524&lt;&gt;"Réalisé",$F1524&lt;&gt;"Clôturé"),"RETARD",""))</f>
        <v/>
      </c>
      <c r="J1524" s="29">
        <f>IF($B1524="","",IF(INDEX(Dossiers!$F$4:$F$63,29)="","",INDEX(Dossiers!$F$4:$F$63,29)))</f>
        <v/>
      </c>
      <c r="K1524" s="29">
        <f>IF($B1524="","",IF(INDEX(Dossiers!$G$4:$G$63,29)="","",INDEX(Dossiers!$G$4:$G$63,29)))</f>
        <v/>
      </c>
    </row>
    <row r="1525">
      <c r="A1525">
        <f>IF($B1525="","",INDEX(Dossiers!$E$4:$E$63,29))</f>
        <v/>
      </c>
      <c r="B1525">
        <f>IF(INDEX(Suivi!$B:$B,1554)="","",INDEX(Suivi!$B:$B,1554))</f>
        <v/>
      </c>
      <c r="C1525">
        <f>IF($B1525="","",IF(INDEX(Suivi!$D:$D,1554)="",INDEX(Suivi!$C:$C,1554),INDEX(Suivi!$D:$D,1554)))</f>
        <v/>
      </c>
      <c r="D1525" s="29">
        <f>IF($B1525="","",INDEX(Suivi!$E:$E,1554))</f>
        <v/>
      </c>
      <c r="E1525" s="29">
        <f>IF($B1525="","",INDEX(Suivi!$F:$F,1554))</f>
        <v/>
      </c>
      <c r="F1525">
        <f>IF($B1525="","",INDEX(Suivi!$G:$G,1554))</f>
        <v/>
      </c>
      <c r="H1525">
        <f>IF(OR($B1525="",NOT(ISNUMBER($D1525))),"",IF($E1525&lt;$D$2,"Passé",IF($D1525&gt;$F$2,"À venir","Dans la période")))</f>
        <v/>
      </c>
      <c r="I1525">
        <f>IF(OR($B1525="",NOT(ISNUMBER($D1525))),"",IF(AND($E1525&lt;$D$2,$G1525&lt;&gt;"X",$F1525&lt;&gt;"Réalisé",$F1525&lt;&gt;"Clôturé"),"RETARD",""))</f>
        <v/>
      </c>
      <c r="J1525" s="29">
        <f>IF($B1525="","",IF(INDEX(Dossiers!$F$4:$F$63,29)="","",INDEX(Dossiers!$F$4:$F$63,29)))</f>
        <v/>
      </c>
      <c r="K1525" s="29">
        <f>IF($B1525="","",IF(INDEX(Dossiers!$G$4:$G$63,29)="","",INDEX(Dossiers!$G$4:$G$63,29)))</f>
        <v/>
      </c>
    </row>
    <row r="1526">
      <c r="A1526">
        <f>IF($B1526="","",INDEX(Dossiers!$E$4:$E$63,29))</f>
        <v/>
      </c>
      <c r="B1526">
        <f>IF(INDEX(Suivi!$B:$B,1555)="","",INDEX(Suivi!$B:$B,1555))</f>
        <v/>
      </c>
      <c r="C1526">
        <f>IF($B1526="","",IF(INDEX(Suivi!$D:$D,1555)="",INDEX(Suivi!$C:$C,1555),INDEX(Suivi!$D:$D,1555)))</f>
        <v/>
      </c>
      <c r="D1526" s="29">
        <f>IF($B1526="","",INDEX(Suivi!$E:$E,1555))</f>
        <v/>
      </c>
      <c r="E1526" s="29">
        <f>IF($B1526="","",INDEX(Suivi!$F:$F,1555))</f>
        <v/>
      </c>
      <c r="F1526">
        <f>IF($B1526="","",INDEX(Suivi!$G:$G,1555))</f>
        <v/>
      </c>
      <c r="H1526">
        <f>IF(OR($B1526="",NOT(ISNUMBER($D1526))),"",IF($E1526&lt;$D$2,"Passé",IF($D1526&gt;$F$2,"À venir","Dans la période")))</f>
        <v/>
      </c>
      <c r="I1526">
        <f>IF(OR($B1526="",NOT(ISNUMBER($D1526))),"",IF(AND($E1526&lt;$D$2,$G1526&lt;&gt;"X",$F1526&lt;&gt;"Réalisé",$F1526&lt;&gt;"Clôturé"),"RETARD",""))</f>
        <v/>
      </c>
      <c r="J1526" s="29">
        <f>IF($B1526="","",IF(INDEX(Dossiers!$F$4:$F$63,29)="","",INDEX(Dossiers!$F$4:$F$63,29)))</f>
        <v/>
      </c>
      <c r="K1526" s="29">
        <f>IF($B1526="","",IF(INDEX(Dossiers!$G$4:$G$63,29)="","",INDEX(Dossiers!$G$4:$G$63,29)))</f>
        <v/>
      </c>
    </row>
    <row r="1527">
      <c r="A1527">
        <f>IF($B1527="","",INDEX(Dossiers!$E$4:$E$63,29))</f>
        <v/>
      </c>
      <c r="B1527">
        <f>IF(INDEX(Suivi!$B:$B,1556)="","",INDEX(Suivi!$B:$B,1556))</f>
        <v/>
      </c>
      <c r="C1527">
        <f>IF($B1527="","",IF(INDEX(Suivi!$D:$D,1556)="",INDEX(Suivi!$C:$C,1556),INDEX(Suivi!$D:$D,1556)))</f>
        <v/>
      </c>
      <c r="D1527" s="29">
        <f>IF($B1527="","",INDEX(Suivi!$E:$E,1556))</f>
        <v/>
      </c>
      <c r="E1527" s="29">
        <f>IF($B1527="","",INDEX(Suivi!$F:$F,1556))</f>
        <v/>
      </c>
      <c r="F1527">
        <f>IF($B1527="","",INDEX(Suivi!$G:$G,1556))</f>
        <v/>
      </c>
      <c r="H1527">
        <f>IF(OR($B1527="",NOT(ISNUMBER($D1527))),"",IF($E1527&lt;$D$2,"Passé",IF($D1527&gt;$F$2,"À venir","Dans la période")))</f>
        <v/>
      </c>
      <c r="I1527">
        <f>IF(OR($B1527="",NOT(ISNUMBER($D1527))),"",IF(AND($E1527&lt;$D$2,$G1527&lt;&gt;"X",$F1527&lt;&gt;"Réalisé",$F1527&lt;&gt;"Clôturé"),"RETARD",""))</f>
        <v/>
      </c>
      <c r="J1527" s="29">
        <f>IF($B1527="","",IF(INDEX(Dossiers!$F$4:$F$63,29)="","",INDEX(Dossiers!$F$4:$F$63,29)))</f>
        <v/>
      </c>
      <c r="K1527" s="29">
        <f>IF($B1527="","",IF(INDEX(Dossiers!$G$4:$G$63,29)="","",INDEX(Dossiers!$G$4:$G$63,29)))</f>
        <v/>
      </c>
    </row>
    <row r="1528">
      <c r="A1528">
        <f>IF($B1528="","",INDEX(Dossiers!$E$4:$E$63,29))</f>
        <v/>
      </c>
      <c r="B1528">
        <f>IF(INDEX(Suivi!$B:$B,1557)="","",INDEX(Suivi!$B:$B,1557))</f>
        <v/>
      </c>
      <c r="C1528">
        <f>IF($B1528="","",IF(INDEX(Suivi!$D:$D,1557)="",INDEX(Suivi!$C:$C,1557),INDEX(Suivi!$D:$D,1557)))</f>
        <v/>
      </c>
      <c r="D1528" s="29">
        <f>IF($B1528="","",INDEX(Suivi!$E:$E,1557))</f>
        <v/>
      </c>
      <c r="E1528" s="29">
        <f>IF($B1528="","",INDEX(Suivi!$F:$F,1557))</f>
        <v/>
      </c>
      <c r="F1528">
        <f>IF($B1528="","",INDEX(Suivi!$G:$G,1557))</f>
        <v/>
      </c>
      <c r="H1528">
        <f>IF(OR($B1528="",NOT(ISNUMBER($D1528))),"",IF($E1528&lt;$D$2,"Passé",IF($D1528&gt;$F$2,"À venir","Dans la période")))</f>
        <v/>
      </c>
      <c r="I1528">
        <f>IF(OR($B1528="",NOT(ISNUMBER($D1528))),"",IF(AND($E1528&lt;$D$2,$G1528&lt;&gt;"X",$F1528&lt;&gt;"Réalisé",$F1528&lt;&gt;"Clôturé"),"RETARD",""))</f>
        <v/>
      </c>
      <c r="J1528" s="29">
        <f>IF($B1528="","",IF(INDEX(Dossiers!$F$4:$F$63,29)="","",INDEX(Dossiers!$F$4:$F$63,29)))</f>
        <v/>
      </c>
      <c r="K1528" s="29">
        <f>IF($B1528="","",IF(INDEX(Dossiers!$G$4:$G$63,29)="","",INDEX(Dossiers!$G$4:$G$63,29)))</f>
        <v/>
      </c>
    </row>
    <row r="1529">
      <c r="A1529">
        <f>IF($B1529="","",INDEX(Dossiers!$E$4:$E$63,29))</f>
        <v/>
      </c>
      <c r="B1529">
        <f>IF(INDEX(Suivi!$B:$B,1558)="","",INDEX(Suivi!$B:$B,1558))</f>
        <v/>
      </c>
      <c r="C1529">
        <f>IF($B1529="","",IF(INDEX(Suivi!$D:$D,1558)="",INDEX(Suivi!$C:$C,1558),INDEX(Suivi!$D:$D,1558)))</f>
        <v/>
      </c>
      <c r="D1529" s="29">
        <f>IF($B1529="","",INDEX(Suivi!$E:$E,1558))</f>
        <v/>
      </c>
      <c r="E1529" s="29">
        <f>IF($B1529="","",INDEX(Suivi!$F:$F,1558))</f>
        <v/>
      </c>
      <c r="F1529">
        <f>IF($B1529="","",INDEX(Suivi!$G:$G,1558))</f>
        <v/>
      </c>
      <c r="H1529">
        <f>IF(OR($B1529="",NOT(ISNUMBER($D1529))),"",IF($E1529&lt;$D$2,"Passé",IF($D1529&gt;$F$2,"À venir","Dans la période")))</f>
        <v/>
      </c>
      <c r="I1529">
        <f>IF(OR($B1529="",NOT(ISNUMBER($D1529))),"",IF(AND($E1529&lt;$D$2,$G1529&lt;&gt;"X",$F1529&lt;&gt;"Réalisé",$F1529&lt;&gt;"Clôturé"),"RETARD",""))</f>
        <v/>
      </c>
      <c r="J1529" s="29">
        <f>IF($B1529="","",IF(INDEX(Dossiers!$F$4:$F$63,29)="","",INDEX(Dossiers!$F$4:$F$63,29)))</f>
        <v/>
      </c>
      <c r="K1529" s="29">
        <f>IF($B1529="","",IF(INDEX(Dossiers!$G$4:$G$63,29)="","",INDEX(Dossiers!$G$4:$G$63,29)))</f>
        <v/>
      </c>
    </row>
    <row r="1530">
      <c r="A1530">
        <f>IF($B1530="","",INDEX(Dossiers!$E$4:$E$63,29))</f>
        <v/>
      </c>
      <c r="B1530">
        <f>IF(INDEX(Suivi!$B:$B,1559)="","",INDEX(Suivi!$B:$B,1559))</f>
        <v/>
      </c>
      <c r="C1530">
        <f>IF($B1530="","",IF(INDEX(Suivi!$D:$D,1559)="",INDEX(Suivi!$C:$C,1559),INDEX(Suivi!$D:$D,1559)))</f>
        <v/>
      </c>
      <c r="D1530" s="29">
        <f>IF($B1530="","",INDEX(Suivi!$E:$E,1559))</f>
        <v/>
      </c>
      <c r="E1530" s="29">
        <f>IF($B1530="","",INDEX(Suivi!$F:$F,1559))</f>
        <v/>
      </c>
      <c r="F1530">
        <f>IF($B1530="","",INDEX(Suivi!$G:$G,1559))</f>
        <v/>
      </c>
      <c r="H1530">
        <f>IF(OR($B1530="",NOT(ISNUMBER($D1530))),"",IF($E1530&lt;$D$2,"Passé",IF($D1530&gt;$F$2,"À venir","Dans la période")))</f>
        <v/>
      </c>
      <c r="I1530">
        <f>IF(OR($B1530="",NOT(ISNUMBER($D1530))),"",IF(AND($E1530&lt;$D$2,$G1530&lt;&gt;"X",$F1530&lt;&gt;"Réalisé",$F1530&lt;&gt;"Clôturé"),"RETARD",""))</f>
        <v/>
      </c>
      <c r="J1530" s="29">
        <f>IF($B1530="","",IF(INDEX(Dossiers!$F$4:$F$63,29)="","",INDEX(Dossiers!$F$4:$F$63,29)))</f>
        <v/>
      </c>
      <c r="K1530" s="29">
        <f>IF($B1530="","",IF(INDEX(Dossiers!$G$4:$G$63,29)="","",INDEX(Dossiers!$G$4:$G$63,29)))</f>
        <v/>
      </c>
    </row>
    <row r="1531">
      <c r="A1531">
        <f>IF($B1531="","",INDEX(Dossiers!$E$4:$E$63,29))</f>
        <v/>
      </c>
      <c r="B1531">
        <f>IF(INDEX(Suivi!$B:$B,1560)="","",INDEX(Suivi!$B:$B,1560))</f>
        <v/>
      </c>
      <c r="C1531">
        <f>IF($B1531="","",IF(INDEX(Suivi!$D:$D,1560)="",INDEX(Suivi!$C:$C,1560),INDEX(Suivi!$D:$D,1560)))</f>
        <v/>
      </c>
      <c r="D1531" s="29">
        <f>IF($B1531="","",INDEX(Suivi!$E:$E,1560))</f>
        <v/>
      </c>
      <c r="E1531" s="29">
        <f>IF($B1531="","",INDEX(Suivi!$F:$F,1560))</f>
        <v/>
      </c>
      <c r="F1531">
        <f>IF($B1531="","",INDEX(Suivi!$G:$G,1560))</f>
        <v/>
      </c>
      <c r="H1531">
        <f>IF(OR($B1531="",NOT(ISNUMBER($D1531))),"",IF($E1531&lt;$D$2,"Passé",IF($D1531&gt;$F$2,"À venir","Dans la période")))</f>
        <v/>
      </c>
      <c r="I1531">
        <f>IF(OR($B1531="",NOT(ISNUMBER($D1531))),"",IF(AND($E1531&lt;$D$2,$G1531&lt;&gt;"X",$F1531&lt;&gt;"Réalisé",$F1531&lt;&gt;"Clôturé"),"RETARD",""))</f>
        <v/>
      </c>
      <c r="J1531" s="29">
        <f>IF($B1531="","",IF(INDEX(Dossiers!$F$4:$F$63,29)="","",INDEX(Dossiers!$F$4:$F$63,29)))</f>
        <v/>
      </c>
      <c r="K1531" s="29">
        <f>IF($B1531="","",IF(INDEX(Dossiers!$G$4:$G$63,29)="","",INDEX(Dossiers!$G$4:$G$63,29)))</f>
        <v/>
      </c>
    </row>
    <row r="1532">
      <c r="A1532">
        <f>IF($B1532="","",INDEX(Dossiers!$E$4:$E$63,29))</f>
        <v/>
      </c>
      <c r="B1532">
        <f>IF(INDEX(Suivi!$B:$B,1561)="","",INDEX(Suivi!$B:$B,1561))</f>
        <v/>
      </c>
      <c r="C1532">
        <f>IF($B1532="","",IF(INDEX(Suivi!$D:$D,1561)="",INDEX(Suivi!$C:$C,1561),INDEX(Suivi!$D:$D,1561)))</f>
        <v/>
      </c>
      <c r="D1532" s="29">
        <f>IF($B1532="","",INDEX(Suivi!$E:$E,1561))</f>
        <v/>
      </c>
      <c r="E1532" s="29">
        <f>IF($B1532="","",INDEX(Suivi!$F:$F,1561))</f>
        <v/>
      </c>
      <c r="F1532">
        <f>IF($B1532="","",INDEX(Suivi!$G:$G,1561))</f>
        <v/>
      </c>
      <c r="H1532">
        <f>IF(OR($B1532="",NOT(ISNUMBER($D1532))),"",IF($E1532&lt;$D$2,"Passé",IF($D1532&gt;$F$2,"À venir","Dans la période")))</f>
        <v/>
      </c>
      <c r="I1532">
        <f>IF(OR($B1532="",NOT(ISNUMBER($D1532))),"",IF(AND($E1532&lt;$D$2,$G1532&lt;&gt;"X",$F1532&lt;&gt;"Réalisé",$F1532&lt;&gt;"Clôturé"),"RETARD",""))</f>
        <v/>
      </c>
      <c r="J1532" s="29">
        <f>IF($B1532="","",IF(INDEX(Dossiers!$F$4:$F$63,29)="","",INDEX(Dossiers!$F$4:$F$63,29)))</f>
        <v/>
      </c>
      <c r="K1532" s="29">
        <f>IF($B1532="","",IF(INDEX(Dossiers!$G$4:$G$63,29)="","",INDEX(Dossiers!$G$4:$G$63,29)))</f>
        <v/>
      </c>
    </row>
    <row r="1533">
      <c r="A1533">
        <f>IF($B1533="","",INDEX(Dossiers!$E$4:$E$63,29))</f>
        <v/>
      </c>
      <c r="B1533">
        <f>IF(INDEX(Suivi!$B:$B,1562)="","",INDEX(Suivi!$B:$B,1562))</f>
        <v/>
      </c>
      <c r="C1533">
        <f>IF($B1533="","",IF(INDEX(Suivi!$D:$D,1562)="",INDEX(Suivi!$C:$C,1562),INDEX(Suivi!$D:$D,1562)))</f>
        <v/>
      </c>
      <c r="D1533" s="29">
        <f>IF($B1533="","",INDEX(Suivi!$E:$E,1562))</f>
        <v/>
      </c>
      <c r="E1533" s="29">
        <f>IF($B1533="","",INDEX(Suivi!$F:$F,1562))</f>
        <v/>
      </c>
      <c r="F1533">
        <f>IF($B1533="","",INDEX(Suivi!$G:$G,1562))</f>
        <v/>
      </c>
      <c r="H1533">
        <f>IF(OR($B1533="",NOT(ISNUMBER($D1533))),"",IF($E1533&lt;$D$2,"Passé",IF($D1533&gt;$F$2,"À venir","Dans la période")))</f>
        <v/>
      </c>
      <c r="I1533">
        <f>IF(OR($B1533="",NOT(ISNUMBER($D1533))),"",IF(AND($E1533&lt;$D$2,$G1533&lt;&gt;"X",$F1533&lt;&gt;"Réalisé",$F1533&lt;&gt;"Clôturé"),"RETARD",""))</f>
        <v/>
      </c>
      <c r="J1533" s="29">
        <f>IF($B1533="","",IF(INDEX(Dossiers!$F$4:$F$63,29)="","",INDEX(Dossiers!$F$4:$F$63,29)))</f>
        <v/>
      </c>
      <c r="K1533" s="29">
        <f>IF($B1533="","",IF(INDEX(Dossiers!$G$4:$G$63,29)="","",INDEX(Dossiers!$G$4:$G$63,29)))</f>
        <v/>
      </c>
    </row>
    <row r="1534">
      <c r="A1534">
        <f>IF($B1534="","",INDEX(Dossiers!$E$4:$E$63,29))</f>
        <v/>
      </c>
      <c r="B1534">
        <f>IF(INDEX(Suivi!$B:$B,1563)="","",INDEX(Suivi!$B:$B,1563))</f>
        <v/>
      </c>
      <c r="C1534">
        <f>IF($B1534="","",IF(INDEX(Suivi!$D:$D,1563)="",INDEX(Suivi!$C:$C,1563),INDEX(Suivi!$D:$D,1563)))</f>
        <v/>
      </c>
      <c r="D1534" s="29">
        <f>IF($B1534="","",INDEX(Suivi!$E:$E,1563))</f>
        <v/>
      </c>
      <c r="E1534" s="29">
        <f>IF($B1534="","",INDEX(Suivi!$F:$F,1563))</f>
        <v/>
      </c>
      <c r="F1534">
        <f>IF($B1534="","",INDEX(Suivi!$G:$G,1563))</f>
        <v/>
      </c>
      <c r="H1534">
        <f>IF(OR($B1534="",NOT(ISNUMBER($D1534))),"",IF($E1534&lt;$D$2,"Passé",IF($D1534&gt;$F$2,"À venir","Dans la période")))</f>
        <v/>
      </c>
      <c r="I1534">
        <f>IF(OR($B1534="",NOT(ISNUMBER($D1534))),"",IF(AND($E1534&lt;$D$2,$G1534&lt;&gt;"X",$F1534&lt;&gt;"Réalisé",$F1534&lt;&gt;"Clôturé"),"RETARD",""))</f>
        <v/>
      </c>
      <c r="J1534" s="29">
        <f>IF($B1534="","",IF(INDEX(Dossiers!$F$4:$F$63,29)="","",INDEX(Dossiers!$F$4:$F$63,29)))</f>
        <v/>
      </c>
      <c r="K1534" s="29">
        <f>IF($B1534="","",IF(INDEX(Dossiers!$G$4:$G$63,29)="","",INDEX(Dossiers!$G$4:$G$63,29)))</f>
        <v/>
      </c>
    </row>
    <row r="1535">
      <c r="A1535">
        <f>IF($B1535="","",INDEX(Dossiers!$E$4:$E$63,29))</f>
        <v/>
      </c>
      <c r="B1535">
        <f>IF(INDEX(Suivi!$B:$B,1564)="","",INDEX(Suivi!$B:$B,1564))</f>
        <v/>
      </c>
      <c r="C1535">
        <f>IF($B1535="","",IF(INDEX(Suivi!$D:$D,1564)="",INDEX(Suivi!$C:$C,1564),INDEX(Suivi!$D:$D,1564)))</f>
        <v/>
      </c>
      <c r="D1535" s="29">
        <f>IF($B1535="","",INDEX(Suivi!$E:$E,1564))</f>
        <v/>
      </c>
      <c r="E1535" s="29">
        <f>IF($B1535="","",INDEX(Suivi!$F:$F,1564))</f>
        <v/>
      </c>
      <c r="F1535">
        <f>IF($B1535="","",INDEX(Suivi!$G:$G,1564))</f>
        <v/>
      </c>
      <c r="H1535">
        <f>IF(OR($B1535="",NOT(ISNUMBER($D1535))),"",IF($E1535&lt;$D$2,"Passé",IF($D1535&gt;$F$2,"À venir","Dans la période")))</f>
        <v/>
      </c>
      <c r="I1535">
        <f>IF(OR($B1535="",NOT(ISNUMBER($D1535))),"",IF(AND($E1535&lt;$D$2,$G1535&lt;&gt;"X",$F1535&lt;&gt;"Réalisé",$F1535&lt;&gt;"Clôturé"),"RETARD",""))</f>
        <v/>
      </c>
      <c r="J1535" s="29">
        <f>IF($B1535="","",IF(INDEX(Dossiers!$F$4:$F$63,29)="","",INDEX(Dossiers!$F$4:$F$63,29)))</f>
        <v/>
      </c>
      <c r="K1535" s="29">
        <f>IF($B1535="","",IF(INDEX(Dossiers!$G$4:$G$63,29)="","",INDEX(Dossiers!$G$4:$G$63,29)))</f>
        <v/>
      </c>
    </row>
    <row r="1536">
      <c r="A1536">
        <f>IF($B1536="","",INDEX(Dossiers!$E$4:$E$63,29))</f>
        <v/>
      </c>
      <c r="B1536">
        <f>IF(INDEX(Suivi!$B:$B,1565)="","",INDEX(Suivi!$B:$B,1565))</f>
        <v/>
      </c>
      <c r="C1536">
        <f>IF($B1536="","",IF(INDEX(Suivi!$D:$D,1565)="",INDEX(Suivi!$C:$C,1565),INDEX(Suivi!$D:$D,1565)))</f>
        <v/>
      </c>
      <c r="D1536" s="29">
        <f>IF($B1536="","",INDEX(Suivi!$E:$E,1565))</f>
        <v/>
      </c>
      <c r="E1536" s="29">
        <f>IF($B1536="","",INDEX(Suivi!$F:$F,1565))</f>
        <v/>
      </c>
      <c r="F1536">
        <f>IF($B1536="","",INDEX(Suivi!$G:$G,1565))</f>
        <v/>
      </c>
      <c r="H1536">
        <f>IF(OR($B1536="",NOT(ISNUMBER($D1536))),"",IF($E1536&lt;$D$2,"Passé",IF($D1536&gt;$F$2,"À venir","Dans la période")))</f>
        <v/>
      </c>
      <c r="I1536">
        <f>IF(OR($B1536="",NOT(ISNUMBER($D1536))),"",IF(AND($E1536&lt;$D$2,$G1536&lt;&gt;"X",$F1536&lt;&gt;"Réalisé",$F1536&lt;&gt;"Clôturé"),"RETARD",""))</f>
        <v/>
      </c>
      <c r="J1536" s="29">
        <f>IF($B1536="","",IF(INDEX(Dossiers!$F$4:$F$63,29)="","",INDEX(Dossiers!$F$4:$F$63,29)))</f>
        <v/>
      </c>
      <c r="K1536" s="29">
        <f>IF($B1536="","",IF(INDEX(Dossiers!$G$4:$G$63,29)="","",INDEX(Dossiers!$G$4:$G$63,29)))</f>
        <v/>
      </c>
    </row>
    <row r="1537">
      <c r="A1537">
        <f>IF($B1537="","",INDEX(Dossiers!$E$4:$E$63,29))</f>
        <v/>
      </c>
      <c r="B1537">
        <f>IF(INDEX(Suivi!$B:$B,1566)="","",INDEX(Suivi!$B:$B,1566))</f>
        <v/>
      </c>
      <c r="C1537">
        <f>IF($B1537="","",IF(INDEX(Suivi!$D:$D,1566)="",INDEX(Suivi!$C:$C,1566),INDEX(Suivi!$D:$D,1566)))</f>
        <v/>
      </c>
      <c r="D1537" s="29">
        <f>IF($B1537="","",INDEX(Suivi!$E:$E,1566))</f>
        <v/>
      </c>
      <c r="E1537" s="29">
        <f>IF($B1537="","",INDEX(Suivi!$F:$F,1566))</f>
        <v/>
      </c>
      <c r="F1537">
        <f>IF($B1537="","",INDEX(Suivi!$G:$G,1566))</f>
        <v/>
      </c>
      <c r="H1537">
        <f>IF(OR($B1537="",NOT(ISNUMBER($D1537))),"",IF($E1537&lt;$D$2,"Passé",IF($D1537&gt;$F$2,"À venir","Dans la période")))</f>
        <v/>
      </c>
      <c r="I1537">
        <f>IF(OR($B1537="",NOT(ISNUMBER($D1537))),"",IF(AND($E1537&lt;$D$2,$G1537&lt;&gt;"X",$F1537&lt;&gt;"Réalisé",$F1537&lt;&gt;"Clôturé"),"RETARD",""))</f>
        <v/>
      </c>
      <c r="J1537" s="29">
        <f>IF($B1537="","",IF(INDEX(Dossiers!$F$4:$F$63,29)="","",INDEX(Dossiers!$F$4:$F$63,29)))</f>
        <v/>
      </c>
      <c r="K1537" s="29">
        <f>IF($B1537="","",IF(INDEX(Dossiers!$G$4:$G$63,29)="","",INDEX(Dossiers!$G$4:$G$63,29)))</f>
        <v/>
      </c>
    </row>
    <row r="1538">
      <c r="A1538">
        <f>IF($B1538="","",INDEX(Dossiers!$E$4:$E$63,29))</f>
        <v/>
      </c>
      <c r="B1538">
        <f>IF(INDEX(Suivi!$B:$B,1567)="","",INDEX(Suivi!$B:$B,1567))</f>
        <v/>
      </c>
      <c r="C1538">
        <f>IF($B1538="","",IF(INDEX(Suivi!$D:$D,1567)="",INDEX(Suivi!$C:$C,1567),INDEX(Suivi!$D:$D,1567)))</f>
        <v/>
      </c>
      <c r="D1538" s="29">
        <f>IF($B1538="","",INDEX(Suivi!$E:$E,1567))</f>
        <v/>
      </c>
      <c r="E1538" s="29">
        <f>IF($B1538="","",INDEX(Suivi!$F:$F,1567))</f>
        <v/>
      </c>
      <c r="F1538">
        <f>IF($B1538="","",INDEX(Suivi!$G:$G,1567))</f>
        <v/>
      </c>
      <c r="H1538">
        <f>IF(OR($B1538="",NOT(ISNUMBER($D1538))),"",IF($E1538&lt;$D$2,"Passé",IF($D1538&gt;$F$2,"À venir","Dans la période")))</f>
        <v/>
      </c>
      <c r="I1538">
        <f>IF(OR($B1538="",NOT(ISNUMBER($D1538))),"",IF(AND($E1538&lt;$D$2,$G1538&lt;&gt;"X",$F1538&lt;&gt;"Réalisé",$F1538&lt;&gt;"Clôturé"),"RETARD",""))</f>
        <v/>
      </c>
      <c r="J1538" s="29">
        <f>IF($B1538="","",IF(INDEX(Dossiers!$F$4:$F$63,29)="","",INDEX(Dossiers!$F$4:$F$63,29)))</f>
        <v/>
      </c>
      <c r="K1538" s="29">
        <f>IF($B1538="","",IF(INDEX(Dossiers!$G$4:$G$63,29)="","",INDEX(Dossiers!$G$4:$G$63,29)))</f>
        <v/>
      </c>
    </row>
    <row r="1539">
      <c r="A1539">
        <f>IF($B1539="","",INDEX(Dossiers!$E$4:$E$63,29))</f>
        <v/>
      </c>
      <c r="B1539">
        <f>IF(INDEX(Suivi!$B:$B,1568)="","",INDEX(Suivi!$B:$B,1568))</f>
        <v/>
      </c>
      <c r="C1539">
        <f>IF($B1539="","",IF(INDEX(Suivi!$D:$D,1568)="",INDEX(Suivi!$C:$C,1568),INDEX(Suivi!$D:$D,1568)))</f>
        <v/>
      </c>
      <c r="D1539" s="29">
        <f>IF($B1539="","",INDEX(Suivi!$E:$E,1568))</f>
        <v/>
      </c>
      <c r="E1539" s="29">
        <f>IF($B1539="","",INDEX(Suivi!$F:$F,1568))</f>
        <v/>
      </c>
      <c r="F1539">
        <f>IF($B1539="","",INDEX(Suivi!$G:$G,1568))</f>
        <v/>
      </c>
      <c r="H1539">
        <f>IF(OR($B1539="",NOT(ISNUMBER($D1539))),"",IF($E1539&lt;$D$2,"Passé",IF($D1539&gt;$F$2,"À venir","Dans la période")))</f>
        <v/>
      </c>
      <c r="I1539">
        <f>IF(OR($B1539="",NOT(ISNUMBER($D1539))),"",IF(AND($E1539&lt;$D$2,$G1539&lt;&gt;"X",$F1539&lt;&gt;"Réalisé",$F1539&lt;&gt;"Clôturé"),"RETARD",""))</f>
        <v/>
      </c>
      <c r="J1539" s="29">
        <f>IF($B1539="","",IF(INDEX(Dossiers!$F$4:$F$63,29)="","",INDEX(Dossiers!$F$4:$F$63,29)))</f>
        <v/>
      </c>
      <c r="K1539" s="29">
        <f>IF($B1539="","",IF(INDEX(Dossiers!$G$4:$G$63,29)="","",INDEX(Dossiers!$G$4:$G$63,29)))</f>
        <v/>
      </c>
    </row>
    <row r="1540">
      <c r="A1540">
        <f>IF($B1540="","",INDEX(Dossiers!$E$4:$E$63,29))</f>
        <v/>
      </c>
      <c r="B1540">
        <f>IF(INDEX(Suivi!$B:$B,1569)="","",INDEX(Suivi!$B:$B,1569))</f>
        <v/>
      </c>
      <c r="C1540">
        <f>IF($B1540="","",IF(INDEX(Suivi!$D:$D,1569)="",INDEX(Suivi!$C:$C,1569),INDEX(Suivi!$D:$D,1569)))</f>
        <v/>
      </c>
      <c r="D1540" s="29">
        <f>IF($B1540="","",INDEX(Suivi!$E:$E,1569))</f>
        <v/>
      </c>
      <c r="E1540" s="29">
        <f>IF($B1540="","",INDEX(Suivi!$F:$F,1569))</f>
        <v/>
      </c>
      <c r="F1540">
        <f>IF($B1540="","",INDEX(Suivi!$G:$G,1569))</f>
        <v/>
      </c>
      <c r="H1540">
        <f>IF(OR($B1540="",NOT(ISNUMBER($D1540))),"",IF($E1540&lt;$D$2,"Passé",IF($D1540&gt;$F$2,"À venir","Dans la période")))</f>
        <v/>
      </c>
      <c r="I1540">
        <f>IF(OR($B1540="",NOT(ISNUMBER($D1540))),"",IF(AND($E1540&lt;$D$2,$G1540&lt;&gt;"X",$F1540&lt;&gt;"Réalisé",$F1540&lt;&gt;"Clôturé"),"RETARD",""))</f>
        <v/>
      </c>
      <c r="J1540" s="29">
        <f>IF($B1540="","",IF(INDEX(Dossiers!$F$4:$F$63,29)="","",INDEX(Dossiers!$F$4:$F$63,29)))</f>
        <v/>
      </c>
      <c r="K1540" s="29">
        <f>IF($B1540="","",IF(INDEX(Dossiers!$G$4:$G$63,29)="","",INDEX(Dossiers!$G$4:$G$63,29)))</f>
        <v/>
      </c>
    </row>
    <row r="1541">
      <c r="A1541">
        <f>IF($B1541="","",INDEX(Dossiers!$E$4:$E$63,30))</f>
        <v/>
      </c>
      <c r="B1541">
        <f>IF(INDEX(Suivi!$B:$B,1571)="","",INDEX(Suivi!$B:$B,1571))</f>
        <v/>
      </c>
      <c r="C1541">
        <f>IF($B1541="","",IF(INDEX(Suivi!$D:$D,1571)="",INDEX(Suivi!$C:$C,1571),INDEX(Suivi!$D:$D,1571)))</f>
        <v/>
      </c>
      <c r="D1541" s="29">
        <f>IF($B1541="","",INDEX(Suivi!$E:$E,1571))</f>
        <v/>
      </c>
      <c r="E1541" s="29">
        <f>IF($B1541="","",INDEX(Suivi!$F:$F,1571))</f>
        <v/>
      </c>
      <c r="F1541">
        <f>IF($B1541="","",INDEX(Suivi!$G:$G,1571))</f>
        <v/>
      </c>
      <c r="H1541">
        <f>IF(OR($B1541="",NOT(ISNUMBER($D1541))),"",IF($E1541&lt;$D$2,"Passé",IF($D1541&gt;$F$2,"À venir","Dans la période")))</f>
        <v/>
      </c>
      <c r="I1541">
        <f>IF(OR($B1541="",NOT(ISNUMBER($D1541))),"",IF(AND($E1541&lt;$D$2,$G1541&lt;&gt;"X",$F1541&lt;&gt;"Réalisé",$F1541&lt;&gt;"Clôturé"),"RETARD",""))</f>
        <v/>
      </c>
      <c r="J1541" s="29">
        <f>IF($B1541="","",IF(INDEX(Dossiers!$F$4:$F$63,30)="","",INDEX(Dossiers!$F$4:$F$63,30)))</f>
        <v/>
      </c>
      <c r="K1541" s="29">
        <f>IF($B1541="","",IF(INDEX(Dossiers!$G$4:$G$63,30)="","",INDEX(Dossiers!$G$4:$G$63,30)))</f>
        <v/>
      </c>
    </row>
    <row r="1542">
      <c r="A1542">
        <f>IF($B1542="","",INDEX(Dossiers!$E$4:$E$63,30))</f>
        <v/>
      </c>
      <c r="B1542">
        <f>IF(INDEX(Suivi!$B:$B,1572)="","",INDEX(Suivi!$B:$B,1572))</f>
        <v/>
      </c>
      <c r="C1542">
        <f>IF($B1542="","",IF(INDEX(Suivi!$D:$D,1572)="",INDEX(Suivi!$C:$C,1572),INDEX(Suivi!$D:$D,1572)))</f>
        <v/>
      </c>
      <c r="D1542" s="29">
        <f>IF($B1542="","",INDEX(Suivi!$E:$E,1572))</f>
        <v/>
      </c>
      <c r="E1542" s="29">
        <f>IF($B1542="","",INDEX(Suivi!$F:$F,1572))</f>
        <v/>
      </c>
      <c r="F1542">
        <f>IF($B1542="","",INDEX(Suivi!$G:$G,1572))</f>
        <v/>
      </c>
      <c r="H1542">
        <f>IF(OR($B1542="",NOT(ISNUMBER($D1542))),"",IF($E1542&lt;$D$2,"Passé",IF($D1542&gt;$F$2,"À venir","Dans la période")))</f>
        <v/>
      </c>
      <c r="I1542">
        <f>IF(OR($B1542="",NOT(ISNUMBER($D1542))),"",IF(AND($E1542&lt;$D$2,$G1542&lt;&gt;"X",$F1542&lt;&gt;"Réalisé",$F1542&lt;&gt;"Clôturé"),"RETARD",""))</f>
        <v/>
      </c>
      <c r="J1542" s="29">
        <f>IF($B1542="","",IF(INDEX(Dossiers!$F$4:$F$63,30)="","",INDEX(Dossiers!$F$4:$F$63,30)))</f>
        <v/>
      </c>
      <c r="K1542" s="29">
        <f>IF($B1542="","",IF(INDEX(Dossiers!$G$4:$G$63,30)="","",INDEX(Dossiers!$G$4:$G$63,30)))</f>
        <v/>
      </c>
    </row>
    <row r="1543">
      <c r="A1543">
        <f>IF($B1543="","",INDEX(Dossiers!$E$4:$E$63,30))</f>
        <v/>
      </c>
      <c r="B1543">
        <f>IF(INDEX(Suivi!$B:$B,1573)="","",INDEX(Suivi!$B:$B,1573))</f>
        <v/>
      </c>
      <c r="C1543">
        <f>IF($B1543="","",IF(INDEX(Suivi!$D:$D,1573)="",INDEX(Suivi!$C:$C,1573),INDEX(Suivi!$D:$D,1573)))</f>
        <v/>
      </c>
      <c r="D1543" s="29">
        <f>IF($B1543="","",INDEX(Suivi!$E:$E,1573))</f>
        <v/>
      </c>
      <c r="E1543" s="29">
        <f>IF($B1543="","",INDEX(Suivi!$F:$F,1573))</f>
        <v/>
      </c>
      <c r="F1543">
        <f>IF($B1543="","",INDEX(Suivi!$G:$G,1573))</f>
        <v/>
      </c>
      <c r="H1543">
        <f>IF(OR($B1543="",NOT(ISNUMBER($D1543))),"",IF($E1543&lt;$D$2,"Passé",IF($D1543&gt;$F$2,"À venir","Dans la période")))</f>
        <v/>
      </c>
      <c r="I1543">
        <f>IF(OR($B1543="",NOT(ISNUMBER($D1543))),"",IF(AND($E1543&lt;$D$2,$G1543&lt;&gt;"X",$F1543&lt;&gt;"Réalisé",$F1543&lt;&gt;"Clôturé"),"RETARD",""))</f>
        <v/>
      </c>
      <c r="J1543" s="29">
        <f>IF($B1543="","",IF(INDEX(Dossiers!$F$4:$F$63,30)="","",INDEX(Dossiers!$F$4:$F$63,30)))</f>
        <v/>
      </c>
      <c r="K1543" s="29">
        <f>IF($B1543="","",IF(INDEX(Dossiers!$G$4:$G$63,30)="","",INDEX(Dossiers!$G$4:$G$63,30)))</f>
        <v/>
      </c>
    </row>
    <row r="1544">
      <c r="A1544">
        <f>IF($B1544="","",INDEX(Dossiers!$E$4:$E$63,30))</f>
        <v/>
      </c>
      <c r="B1544">
        <f>IF(INDEX(Suivi!$B:$B,1574)="","",INDEX(Suivi!$B:$B,1574))</f>
        <v/>
      </c>
      <c r="C1544">
        <f>IF($B1544="","",IF(INDEX(Suivi!$D:$D,1574)="",INDEX(Suivi!$C:$C,1574),INDEX(Suivi!$D:$D,1574)))</f>
        <v/>
      </c>
      <c r="D1544" s="29">
        <f>IF($B1544="","",INDEX(Suivi!$E:$E,1574))</f>
        <v/>
      </c>
      <c r="E1544" s="29">
        <f>IF($B1544="","",INDEX(Suivi!$F:$F,1574))</f>
        <v/>
      </c>
      <c r="F1544">
        <f>IF($B1544="","",INDEX(Suivi!$G:$G,1574))</f>
        <v/>
      </c>
      <c r="H1544">
        <f>IF(OR($B1544="",NOT(ISNUMBER($D1544))),"",IF($E1544&lt;$D$2,"Passé",IF($D1544&gt;$F$2,"À venir","Dans la période")))</f>
        <v/>
      </c>
      <c r="I1544">
        <f>IF(OR($B1544="",NOT(ISNUMBER($D1544))),"",IF(AND($E1544&lt;$D$2,$G1544&lt;&gt;"X",$F1544&lt;&gt;"Réalisé",$F1544&lt;&gt;"Clôturé"),"RETARD",""))</f>
        <v/>
      </c>
      <c r="J1544" s="29">
        <f>IF($B1544="","",IF(INDEX(Dossiers!$F$4:$F$63,30)="","",INDEX(Dossiers!$F$4:$F$63,30)))</f>
        <v/>
      </c>
      <c r="K1544" s="29">
        <f>IF($B1544="","",IF(INDEX(Dossiers!$G$4:$G$63,30)="","",INDEX(Dossiers!$G$4:$G$63,30)))</f>
        <v/>
      </c>
    </row>
    <row r="1545">
      <c r="A1545">
        <f>IF($B1545="","",INDEX(Dossiers!$E$4:$E$63,30))</f>
        <v/>
      </c>
      <c r="B1545">
        <f>IF(INDEX(Suivi!$B:$B,1575)="","",INDEX(Suivi!$B:$B,1575))</f>
        <v/>
      </c>
      <c r="C1545">
        <f>IF($B1545="","",IF(INDEX(Suivi!$D:$D,1575)="",INDEX(Suivi!$C:$C,1575),INDEX(Suivi!$D:$D,1575)))</f>
        <v/>
      </c>
      <c r="D1545" s="29">
        <f>IF($B1545="","",INDEX(Suivi!$E:$E,1575))</f>
        <v/>
      </c>
      <c r="E1545" s="29">
        <f>IF($B1545="","",INDEX(Suivi!$F:$F,1575))</f>
        <v/>
      </c>
      <c r="F1545">
        <f>IF($B1545="","",INDEX(Suivi!$G:$G,1575))</f>
        <v/>
      </c>
      <c r="H1545">
        <f>IF(OR($B1545="",NOT(ISNUMBER($D1545))),"",IF($E1545&lt;$D$2,"Passé",IF($D1545&gt;$F$2,"À venir","Dans la période")))</f>
        <v/>
      </c>
      <c r="I1545">
        <f>IF(OR($B1545="",NOT(ISNUMBER($D1545))),"",IF(AND($E1545&lt;$D$2,$G1545&lt;&gt;"X",$F1545&lt;&gt;"Réalisé",$F1545&lt;&gt;"Clôturé"),"RETARD",""))</f>
        <v/>
      </c>
      <c r="J1545" s="29">
        <f>IF($B1545="","",IF(INDEX(Dossiers!$F$4:$F$63,30)="","",INDEX(Dossiers!$F$4:$F$63,30)))</f>
        <v/>
      </c>
      <c r="K1545" s="29">
        <f>IF($B1545="","",IF(INDEX(Dossiers!$G$4:$G$63,30)="","",INDEX(Dossiers!$G$4:$G$63,30)))</f>
        <v/>
      </c>
    </row>
    <row r="1546">
      <c r="A1546">
        <f>IF($B1546="","",INDEX(Dossiers!$E$4:$E$63,30))</f>
        <v/>
      </c>
      <c r="B1546">
        <f>IF(INDEX(Suivi!$B:$B,1576)="","",INDEX(Suivi!$B:$B,1576))</f>
        <v/>
      </c>
      <c r="C1546">
        <f>IF($B1546="","",IF(INDEX(Suivi!$D:$D,1576)="",INDEX(Suivi!$C:$C,1576),INDEX(Suivi!$D:$D,1576)))</f>
        <v/>
      </c>
      <c r="D1546" s="29">
        <f>IF($B1546="","",INDEX(Suivi!$E:$E,1576))</f>
        <v/>
      </c>
      <c r="E1546" s="29">
        <f>IF($B1546="","",INDEX(Suivi!$F:$F,1576))</f>
        <v/>
      </c>
      <c r="F1546">
        <f>IF($B1546="","",INDEX(Suivi!$G:$G,1576))</f>
        <v/>
      </c>
      <c r="H1546">
        <f>IF(OR($B1546="",NOT(ISNUMBER($D1546))),"",IF($E1546&lt;$D$2,"Passé",IF($D1546&gt;$F$2,"À venir","Dans la période")))</f>
        <v/>
      </c>
      <c r="I1546">
        <f>IF(OR($B1546="",NOT(ISNUMBER($D1546))),"",IF(AND($E1546&lt;$D$2,$G1546&lt;&gt;"X",$F1546&lt;&gt;"Réalisé",$F1546&lt;&gt;"Clôturé"),"RETARD",""))</f>
        <v/>
      </c>
      <c r="J1546" s="29">
        <f>IF($B1546="","",IF(INDEX(Dossiers!$F$4:$F$63,30)="","",INDEX(Dossiers!$F$4:$F$63,30)))</f>
        <v/>
      </c>
      <c r="K1546" s="29">
        <f>IF($B1546="","",IF(INDEX(Dossiers!$G$4:$G$63,30)="","",INDEX(Dossiers!$G$4:$G$63,30)))</f>
        <v/>
      </c>
    </row>
    <row r="1547">
      <c r="A1547">
        <f>IF($B1547="","",INDEX(Dossiers!$E$4:$E$63,30))</f>
        <v/>
      </c>
      <c r="B1547">
        <f>IF(INDEX(Suivi!$B:$B,1577)="","",INDEX(Suivi!$B:$B,1577))</f>
        <v/>
      </c>
      <c r="C1547">
        <f>IF($B1547="","",IF(INDEX(Suivi!$D:$D,1577)="",INDEX(Suivi!$C:$C,1577),INDEX(Suivi!$D:$D,1577)))</f>
        <v/>
      </c>
      <c r="D1547" s="29">
        <f>IF($B1547="","",INDEX(Suivi!$E:$E,1577))</f>
        <v/>
      </c>
      <c r="E1547" s="29">
        <f>IF($B1547="","",INDEX(Suivi!$F:$F,1577))</f>
        <v/>
      </c>
      <c r="F1547">
        <f>IF($B1547="","",INDEX(Suivi!$G:$G,1577))</f>
        <v/>
      </c>
      <c r="H1547">
        <f>IF(OR($B1547="",NOT(ISNUMBER($D1547))),"",IF($E1547&lt;$D$2,"Passé",IF($D1547&gt;$F$2,"À venir","Dans la période")))</f>
        <v/>
      </c>
      <c r="I1547">
        <f>IF(OR($B1547="",NOT(ISNUMBER($D1547))),"",IF(AND($E1547&lt;$D$2,$G1547&lt;&gt;"X",$F1547&lt;&gt;"Réalisé",$F1547&lt;&gt;"Clôturé"),"RETARD",""))</f>
        <v/>
      </c>
      <c r="J1547" s="29">
        <f>IF($B1547="","",IF(INDEX(Dossiers!$F$4:$F$63,30)="","",INDEX(Dossiers!$F$4:$F$63,30)))</f>
        <v/>
      </c>
      <c r="K1547" s="29">
        <f>IF($B1547="","",IF(INDEX(Dossiers!$G$4:$G$63,30)="","",INDEX(Dossiers!$G$4:$G$63,30)))</f>
        <v/>
      </c>
    </row>
    <row r="1548">
      <c r="A1548">
        <f>IF($B1548="","",INDEX(Dossiers!$E$4:$E$63,30))</f>
        <v/>
      </c>
      <c r="B1548">
        <f>IF(INDEX(Suivi!$B:$B,1578)="","",INDEX(Suivi!$B:$B,1578))</f>
        <v/>
      </c>
      <c r="C1548">
        <f>IF($B1548="","",IF(INDEX(Suivi!$D:$D,1578)="",INDEX(Suivi!$C:$C,1578),INDEX(Suivi!$D:$D,1578)))</f>
        <v/>
      </c>
      <c r="D1548" s="29">
        <f>IF($B1548="","",INDEX(Suivi!$E:$E,1578))</f>
        <v/>
      </c>
      <c r="E1548" s="29">
        <f>IF($B1548="","",INDEX(Suivi!$F:$F,1578))</f>
        <v/>
      </c>
      <c r="F1548">
        <f>IF($B1548="","",INDEX(Suivi!$G:$G,1578))</f>
        <v/>
      </c>
      <c r="H1548">
        <f>IF(OR($B1548="",NOT(ISNUMBER($D1548))),"",IF($E1548&lt;$D$2,"Passé",IF($D1548&gt;$F$2,"À venir","Dans la période")))</f>
        <v/>
      </c>
      <c r="I1548">
        <f>IF(OR($B1548="",NOT(ISNUMBER($D1548))),"",IF(AND($E1548&lt;$D$2,$G1548&lt;&gt;"X",$F1548&lt;&gt;"Réalisé",$F1548&lt;&gt;"Clôturé"),"RETARD",""))</f>
        <v/>
      </c>
      <c r="J1548" s="29">
        <f>IF($B1548="","",IF(INDEX(Dossiers!$F$4:$F$63,30)="","",INDEX(Dossiers!$F$4:$F$63,30)))</f>
        <v/>
      </c>
      <c r="K1548" s="29">
        <f>IF($B1548="","",IF(INDEX(Dossiers!$G$4:$G$63,30)="","",INDEX(Dossiers!$G$4:$G$63,30)))</f>
        <v/>
      </c>
    </row>
    <row r="1549">
      <c r="A1549">
        <f>IF($B1549="","",INDEX(Dossiers!$E$4:$E$63,30))</f>
        <v/>
      </c>
      <c r="B1549">
        <f>IF(INDEX(Suivi!$B:$B,1579)="","",INDEX(Suivi!$B:$B,1579))</f>
        <v/>
      </c>
      <c r="C1549">
        <f>IF($B1549="","",IF(INDEX(Suivi!$D:$D,1579)="",INDEX(Suivi!$C:$C,1579),INDEX(Suivi!$D:$D,1579)))</f>
        <v/>
      </c>
      <c r="D1549" s="29">
        <f>IF($B1549="","",INDEX(Suivi!$E:$E,1579))</f>
        <v/>
      </c>
      <c r="E1549" s="29">
        <f>IF($B1549="","",INDEX(Suivi!$F:$F,1579))</f>
        <v/>
      </c>
      <c r="F1549">
        <f>IF($B1549="","",INDEX(Suivi!$G:$G,1579))</f>
        <v/>
      </c>
      <c r="H1549">
        <f>IF(OR($B1549="",NOT(ISNUMBER($D1549))),"",IF($E1549&lt;$D$2,"Passé",IF($D1549&gt;$F$2,"À venir","Dans la période")))</f>
        <v/>
      </c>
      <c r="I1549">
        <f>IF(OR($B1549="",NOT(ISNUMBER($D1549))),"",IF(AND($E1549&lt;$D$2,$G1549&lt;&gt;"X",$F1549&lt;&gt;"Réalisé",$F1549&lt;&gt;"Clôturé"),"RETARD",""))</f>
        <v/>
      </c>
      <c r="J1549" s="29">
        <f>IF($B1549="","",IF(INDEX(Dossiers!$F$4:$F$63,30)="","",INDEX(Dossiers!$F$4:$F$63,30)))</f>
        <v/>
      </c>
      <c r="K1549" s="29">
        <f>IF($B1549="","",IF(INDEX(Dossiers!$G$4:$G$63,30)="","",INDEX(Dossiers!$G$4:$G$63,30)))</f>
        <v/>
      </c>
    </row>
    <row r="1550">
      <c r="A1550">
        <f>IF($B1550="","",INDEX(Dossiers!$E$4:$E$63,30))</f>
        <v/>
      </c>
      <c r="B1550">
        <f>IF(INDEX(Suivi!$B:$B,1580)="","",INDEX(Suivi!$B:$B,1580))</f>
        <v/>
      </c>
      <c r="C1550">
        <f>IF($B1550="","",IF(INDEX(Suivi!$D:$D,1580)="",INDEX(Suivi!$C:$C,1580),INDEX(Suivi!$D:$D,1580)))</f>
        <v/>
      </c>
      <c r="D1550" s="29">
        <f>IF($B1550="","",INDEX(Suivi!$E:$E,1580))</f>
        <v/>
      </c>
      <c r="E1550" s="29">
        <f>IF($B1550="","",INDEX(Suivi!$F:$F,1580))</f>
        <v/>
      </c>
      <c r="F1550">
        <f>IF($B1550="","",INDEX(Suivi!$G:$G,1580))</f>
        <v/>
      </c>
      <c r="H1550">
        <f>IF(OR($B1550="",NOT(ISNUMBER($D1550))),"",IF($E1550&lt;$D$2,"Passé",IF($D1550&gt;$F$2,"À venir","Dans la période")))</f>
        <v/>
      </c>
      <c r="I1550">
        <f>IF(OR($B1550="",NOT(ISNUMBER($D1550))),"",IF(AND($E1550&lt;$D$2,$G1550&lt;&gt;"X",$F1550&lt;&gt;"Réalisé",$F1550&lt;&gt;"Clôturé"),"RETARD",""))</f>
        <v/>
      </c>
      <c r="J1550" s="29">
        <f>IF($B1550="","",IF(INDEX(Dossiers!$F$4:$F$63,30)="","",INDEX(Dossiers!$F$4:$F$63,30)))</f>
        <v/>
      </c>
      <c r="K1550" s="29">
        <f>IF($B1550="","",IF(INDEX(Dossiers!$G$4:$G$63,30)="","",INDEX(Dossiers!$G$4:$G$63,30)))</f>
        <v/>
      </c>
    </row>
    <row r="1551">
      <c r="A1551">
        <f>IF($B1551="","",INDEX(Dossiers!$E$4:$E$63,30))</f>
        <v/>
      </c>
      <c r="B1551">
        <f>IF(INDEX(Suivi!$B:$B,1581)="","",INDEX(Suivi!$B:$B,1581))</f>
        <v/>
      </c>
      <c r="C1551">
        <f>IF($B1551="","",IF(INDEX(Suivi!$D:$D,1581)="",INDEX(Suivi!$C:$C,1581),INDEX(Suivi!$D:$D,1581)))</f>
        <v/>
      </c>
      <c r="D1551" s="29">
        <f>IF($B1551="","",INDEX(Suivi!$E:$E,1581))</f>
        <v/>
      </c>
      <c r="E1551" s="29">
        <f>IF($B1551="","",INDEX(Suivi!$F:$F,1581))</f>
        <v/>
      </c>
      <c r="F1551">
        <f>IF($B1551="","",INDEX(Suivi!$G:$G,1581))</f>
        <v/>
      </c>
      <c r="H1551">
        <f>IF(OR($B1551="",NOT(ISNUMBER($D1551))),"",IF($E1551&lt;$D$2,"Passé",IF($D1551&gt;$F$2,"À venir","Dans la période")))</f>
        <v/>
      </c>
      <c r="I1551">
        <f>IF(OR($B1551="",NOT(ISNUMBER($D1551))),"",IF(AND($E1551&lt;$D$2,$G1551&lt;&gt;"X",$F1551&lt;&gt;"Réalisé",$F1551&lt;&gt;"Clôturé"),"RETARD",""))</f>
        <v/>
      </c>
      <c r="J1551" s="29">
        <f>IF($B1551="","",IF(INDEX(Dossiers!$F$4:$F$63,30)="","",INDEX(Dossiers!$F$4:$F$63,30)))</f>
        <v/>
      </c>
      <c r="K1551" s="29">
        <f>IF($B1551="","",IF(INDEX(Dossiers!$G$4:$G$63,30)="","",INDEX(Dossiers!$G$4:$G$63,30)))</f>
        <v/>
      </c>
    </row>
    <row r="1552">
      <c r="A1552">
        <f>IF($B1552="","",INDEX(Dossiers!$E$4:$E$63,30))</f>
        <v/>
      </c>
      <c r="B1552">
        <f>IF(INDEX(Suivi!$B:$B,1582)="","",INDEX(Suivi!$B:$B,1582))</f>
        <v/>
      </c>
      <c r="C1552">
        <f>IF($B1552="","",IF(INDEX(Suivi!$D:$D,1582)="",INDEX(Suivi!$C:$C,1582),INDEX(Suivi!$D:$D,1582)))</f>
        <v/>
      </c>
      <c r="D1552" s="29">
        <f>IF($B1552="","",INDEX(Suivi!$E:$E,1582))</f>
        <v/>
      </c>
      <c r="E1552" s="29">
        <f>IF($B1552="","",INDEX(Suivi!$F:$F,1582))</f>
        <v/>
      </c>
      <c r="F1552">
        <f>IF($B1552="","",INDEX(Suivi!$G:$G,1582))</f>
        <v/>
      </c>
      <c r="H1552">
        <f>IF(OR($B1552="",NOT(ISNUMBER($D1552))),"",IF($E1552&lt;$D$2,"Passé",IF($D1552&gt;$F$2,"À venir","Dans la période")))</f>
        <v/>
      </c>
      <c r="I1552">
        <f>IF(OR($B1552="",NOT(ISNUMBER($D1552))),"",IF(AND($E1552&lt;$D$2,$G1552&lt;&gt;"X",$F1552&lt;&gt;"Réalisé",$F1552&lt;&gt;"Clôturé"),"RETARD",""))</f>
        <v/>
      </c>
      <c r="J1552" s="29">
        <f>IF($B1552="","",IF(INDEX(Dossiers!$F$4:$F$63,30)="","",INDEX(Dossiers!$F$4:$F$63,30)))</f>
        <v/>
      </c>
      <c r="K1552" s="29">
        <f>IF($B1552="","",IF(INDEX(Dossiers!$G$4:$G$63,30)="","",INDEX(Dossiers!$G$4:$G$63,30)))</f>
        <v/>
      </c>
    </row>
    <row r="1553">
      <c r="A1553">
        <f>IF($B1553="","",INDEX(Dossiers!$E$4:$E$63,30))</f>
        <v/>
      </c>
      <c r="B1553">
        <f>IF(INDEX(Suivi!$B:$B,1583)="","",INDEX(Suivi!$B:$B,1583))</f>
        <v/>
      </c>
      <c r="C1553">
        <f>IF($B1553="","",IF(INDEX(Suivi!$D:$D,1583)="",INDEX(Suivi!$C:$C,1583),INDEX(Suivi!$D:$D,1583)))</f>
        <v/>
      </c>
      <c r="D1553" s="29">
        <f>IF($B1553="","",INDEX(Suivi!$E:$E,1583))</f>
        <v/>
      </c>
      <c r="E1553" s="29">
        <f>IF($B1553="","",INDEX(Suivi!$F:$F,1583))</f>
        <v/>
      </c>
      <c r="F1553">
        <f>IF($B1553="","",INDEX(Suivi!$G:$G,1583))</f>
        <v/>
      </c>
      <c r="H1553">
        <f>IF(OR($B1553="",NOT(ISNUMBER($D1553))),"",IF($E1553&lt;$D$2,"Passé",IF($D1553&gt;$F$2,"À venir","Dans la période")))</f>
        <v/>
      </c>
      <c r="I1553">
        <f>IF(OR($B1553="",NOT(ISNUMBER($D1553))),"",IF(AND($E1553&lt;$D$2,$G1553&lt;&gt;"X",$F1553&lt;&gt;"Réalisé",$F1553&lt;&gt;"Clôturé"),"RETARD",""))</f>
        <v/>
      </c>
      <c r="J1553" s="29">
        <f>IF($B1553="","",IF(INDEX(Dossiers!$F$4:$F$63,30)="","",INDEX(Dossiers!$F$4:$F$63,30)))</f>
        <v/>
      </c>
      <c r="K1553" s="29">
        <f>IF($B1553="","",IF(INDEX(Dossiers!$G$4:$G$63,30)="","",INDEX(Dossiers!$G$4:$G$63,30)))</f>
        <v/>
      </c>
    </row>
    <row r="1554">
      <c r="A1554">
        <f>IF($B1554="","",INDEX(Dossiers!$E$4:$E$63,30))</f>
        <v/>
      </c>
      <c r="B1554">
        <f>IF(INDEX(Suivi!$B:$B,1584)="","",INDEX(Suivi!$B:$B,1584))</f>
        <v/>
      </c>
      <c r="C1554">
        <f>IF($B1554="","",IF(INDEX(Suivi!$D:$D,1584)="",INDEX(Suivi!$C:$C,1584),INDEX(Suivi!$D:$D,1584)))</f>
        <v/>
      </c>
      <c r="D1554" s="29">
        <f>IF($B1554="","",INDEX(Suivi!$E:$E,1584))</f>
        <v/>
      </c>
      <c r="E1554" s="29">
        <f>IF($B1554="","",INDEX(Suivi!$F:$F,1584))</f>
        <v/>
      </c>
      <c r="F1554">
        <f>IF($B1554="","",INDEX(Suivi!$G:$G,1584))</f>
        <v/>
      </c>
      <c r="H1554">
        <f>IF(OR($B1554="",NOT(ISNUMBER($D1554))),"",IF($E1554&lt;$D$2,"Passé",IF($D1554&gt;$F$2,"À venir","Dans la période")))</f>
        <v/>
      </c>
      <c r="I1554">
        <f>IF(OR($B1554="",NOT(ISNUMBER($D1554))),"",IF(AND($E1554&lt;$D$2,$G1554&lt;&gt;"X",$F1554&lt;&gt;"Réalisé",$F1554&lt;&gt;"Clôturé"),"RETARD",""))</f>
        <v/>
      </c>
      <c r="J1554" s="29">
        <f>IF($B1554="","",IF(INDEX(Dossiers!$F$4:$F$63,30)="","",INDEX(Dossiers!$F$4:$F$63,30)))</f>
        <v/>
      </c>
      <c r="K1554" s="29">
        <f>IF($B1554="","",IF(INDEX(Dossiers!$G$4:$G$63,30)="","",INDEX(Dossiers!$G$4:$G$63,30)))</f>
        <v/>
      </c>
    </row>
    <row r="1555">
      <c r="A1555">
        <f>IF($B1555="","",INDEX(Dossiers!$E$4:$E$63,30))</f>
        <v/>
      </c>
      <c r="B1555">
        <f>IF(INDEX(Suivi!$B:$B,1585)="","",INDEX(Suivi!$B:$B,1585))</f>
        <v/>
      </c>
      <c r="C1555">
        <f>IF($B1555="","",IF(INDEX(Suivi!$D:$D,1585)="",INDEX(Suivi!$C:$C,1585),INDEX(Suivi!$D:$D,1585)))</f>
        <v/>
      </c>
      <c r="D1555" s="29">
        <f>IF($B1555="","",INDEX(Suivi!$E:$E,1585))</f>
        <v/>
      </c>
      <c r="E1555" s="29">
        <f>IF($B1555="","",INDEX(Suivi!$F:$F,1585))</f>
        <v/>
      </c>
      <c r="F1555">
        <f>IF($B1555="","",INDEX(Suivi!$G:$G,1585))</f>
        <v/>
      </c>
      <c r="H1555">
        <f>IF(OR($B1555="",NOT(ISNUMBER($D1555))),"",IF($E1555&lt;$D$2,"Passé",IF($D1555&gt;$F$2,"À venir","Dans la période")))</f>
        <v/>
      </c>
      <c r="I1555">
        <f>IF(OR($B1555="",NOT(ISNUMBER($D1555))),"",IF(AND($E1555&lt;$D$2,$G1555&lt;&gt;"X",$F1555&lt;&gt;"Réalisé",$F1555&lt;&gt;"Clôturé"),"RETARD",""))</f>
        <v/>
      </c>
      <c r="J1555" s="29">
        <f>IF($B1555="","",IF(INDEX(Dossiers!$F$4:$F$63,30)="","",INDEX(Dossiers!$F$4:$F$63,30)))</f>
        <v/>
      </c>
      <c r="K1555" s="29">
        <f>IF($B1555="","",IF(INDEX(Dossiers!$G$4:$G$63,30)="","",INDEX(Dossiers!$G$4:$G$63,30)))</f>
        <v/>
      </c>
    </row>
    <row r="1556">
      <c r="A1556">
        <f>IF($B1556="","",INDEX(Dossiers!$E$4:$E$63,30))</f>
        <v/>
      </c>
      <c r="B1556">
        <f>IF(INDEX(Suivi!$B:$B,1586)="","",INDEX(Suivi!$B:$B,1586))</f>
        <v/>
      </c>
      <c r="C1556">
        <f>IF($B1556="","",IF(INDEX(Suivi!$D:$D,1586)="",INDEX(Suivi!$C:$C,1586),INDEX(Suivi!$D:$D,1586)))</f>
        <v/>
      </c>
      <c r="D1556" s="29">
        <f>IF($B1556="","",INDEX(Suivi!$E:$E,1586))</f>
        <v/>
      </c>
      <c r="E1556" s="29">
        <f>IF($B1556="","",INDEX(Suivi!$F:$F,1586))</f>
        <v/>
      </c>
      <c r="F1556">
        <f>IF($B1556="","",INDEX(Suivi!$G:$G,1586))</f>
        <v/>
      </c>
      <c r="H1556">
        <f>IF(OR($B1556="",NOT(ISNUMBER($D1556))),"",IF($E1556&lt;$D$2,"Passé",IF($D1556&gt;$F$2,"À venir","Dans la période")))</f>
        <v/>
      </c>
      <c r="I1556">
        <f>IF(OR($B1556="",NOT(ISNUMBER($D1556))),"",IF(AND($E1556&lt;$D$2,$G1556&lt;&gt;"X",$F1556&lt;&gt;"Réalisé",$F1556&lt;&gt;"Clôturé"),"RETARD",""))</f>
        <v/>
      </c>
      <c r="J1556" s="29">
        <f>IF($B1556="","",IF(INDEX(Dossiers!$F$4:$F$63,30)="","",INDEX(Dossiers!$F$4:$F$63,30)))</f>
        <v/>
      </c>
      <c r="K1556" s="29">
        <f>IF($B1556="","",IF(INDEX(Dossiers!$G$4:$G$63,30)="","",INDEX(Dossiers!$G$4:$G$63,30)))</f>
        <v/>
      </c>
    </row>
    <row r="1557">
      <c r="A1557">
        <f>IF($B1557="","",INDEX(Dossiers!$E$4:$E$63,30))</f>
        <v/>
      </c>
      <c r="B1557">
        <f>IF(INDEX(Suivi!$B:$B,1587)="","",INDEX(Suivi!$B:$B,1587))</f>
        <v/>
      </c>
      <c r="C1557">
        <f>IF($B1557="","",IF(INDEX(Suivi!$D:$D,1587)="",INDEX(Suivi!$C:$C,1587),INDEX(Suivi!$D:$D,1587)))</f>
        <v/>
      </c>
      <c r="D1557" s="29">
        <f>IF($B1557="","",INDEX(Suivi!$E:$E,1587))</f>
        <v/>
      </c>
      <c r="E1557" s="29">
        <f>IF($B1557="","",INDEX(Suivi!$F:$F,1587))</f>
        <v/>
      </c>
      <c r="F1557">
        <f>IF($B1557="","",INDEX(Suivi!$G:$G,1587))</f>
        <v/>
      </c>
      <c r="H1557">
        <f>IF(OR($B1557="",NOT(ISNUMBER($D1557))),"",IF($E1557&lt;$D$2,"Passé",IF($D1557&gt;$F$2,"À venir","Dans la période")))</f>
        <v/>
      </c>
      <c r="I1557">
        <f>IF(OR($B1557="",NOT(ISNUMBER($D1557))),"",IF(AND($E1557&lt;$D$2,$G1557&lt;&gt;"X",$F1557&lt;&gt;"Réalisé",$F1557&lt;&gt;"Clôturé"),"RETARD",""))</f>
        <v/>
      </c>
      <c r="J1557" s="29">
        <f>IF($B1557="","",IF(INDEX(Dossiers!$F$4:$F$63,30)="","",INDEX(Dossiers!$F$4:$F$63,30)))</f>
        <v/>
      </c>
      <c r="K1557" s="29">
        <f>IF($B1557="","",IF(INDEX(Dossiers!$G$4:$G$63,30)="","",INDEX(Dossiers!$G$4:$G$63,30)))</f>
        <v/>
      </c>
    </row>
    <row r="1558">
      <c r="A1558">
        <f>IF($B1558="","",INDEX(Dossiers!$E$4:$E$63,30))</f>
        <v/>
      </c>
      <c r="B1558">
        <f>IF(INDEX(Suivi!$B:$B,1588)="","",INDEX(Suivi!$B:$B,1588))</f>
        <v/>
      </c>
      <c r="C1558">
        <f>IF($B1558="","",IF(INDEX(Suivi!$D:$D,1588)="",INDEX(Suivi!$C:$C,1588),INDEX(Suivi!$D:$D,1588)))</f>
        <v/>
      </c>
      <c r="D1558" s="29">
        <f>IF($B1558="","",INDEX(Suivi!$E:$E,1588))</f>
        <v/>
      </c>
      <c r="E1558" s="29">
        <f>IF($B1558="","",INDEX(Suivi!$F:$F,1588))</f>
        <v/>
      </c>
      <c r="F1558">
        <f>IF($B1558="","",INDEX(Suivi!$G:$G,1588))</f>
        <v/>
      </c>
      <c r="H1558">
        <f>IF(OR($B1558="",NOT(ISNUMBER($D1558))),"",IF($E1558&lt;$D$2,"Passé",IF($D1558&gt;$F$2,"À venir","Dans la période")))</f>
        <v/>
      </c>
      <c r="I1558">
        <f>IF(OR($B1558="",NOT(ISNUMBER($D1558))),"",IF(AND($E1558&lt;$D$2,$G1558&lt;&gt;"X",$F1558&lt;&gt;"Réalisé",$F1558&lt;&gt;"Clôturé"),"RETARD",""))</f>
        <v/>
      </c>
      <c r="J1558" s="29">
        <f>IF($B1558="","",IF(INDEX(Dossiers!$F$4:$F$63,30)="","",INDEX(Dossiers!$F$4:$F$63,30)))</f>
        <v/>
      </c>
      <c r="K1558" s="29">
        <f>IF($B1558="","",IF(INDEX(Dossiers!$G$4:$G$63,30)="","",INDEX(Dossiers!$G$4:$G$63,30)))</f>
        <v/>
      </c>
    </row>
    <row r="1559">
      <c r="A1559">
        <f>IF($B1559="","",INDEX(Dossiers!$E$4:$E$63,30))</f>
        <v/>
      </c>
      <c r="B1559">
        <f>IF(INDEX(Suivi!$B:$B,1589)="","",INDEX(Suivi!$B:$B,1589))</f>
        <v/>
      </c>
      <c r="C1559">
        <f>IF($B1559="","",IF(INDEX(Suivi!$D:$D,1589)="",INDEX(Suivi!$C:$C,1589),INDEX(Suivi!$D:$D,1589)))</f>
        <v/>
      </c>
      <c r="D1559" s="29">
        <f>IF($B1559="","",INDEX(Suivi!$E:$E,1589))</f>
        <v/>
      </c>
      <c r="E1559" s="29">
        <f>IF($B1559="","",INDEX(Suivi!$F:$F,1589))</f>
        <v/>
      </c>
      <c r="F1559">
        <f>IF($B1559="","",INDEX(Suivi!$G:$G,1589))</f>
        <v/>
      </c>
      <c r="H1559">
        <f>IF(OR($B1559="",NOT(ISNUMBER($D1559))),"",IF($E1559&lt;$D$2,"Passé",IF($D1559&gt;$F$2,"À venir","Dans la période")))</f>
        <v/>
      </c>
      <c r="I1559">
        <f>IF(OR($B1559="",NOT(ISNUMBER($D1559))),"",IF(AND($E1559&lt;$D$2,$G1559&lt;&gt;"X",$F1559&lt;&gt;"Réalisé",$F1559&lt;&gt;"Clôturé"),"RETARD",""))</f>
        <v/>
      </c>
      <c r="J1559" s="29">
        <f>IF($B1559="","",IF(INDEX(Dossiers!$F$4:$F$63,30)="","",INDEX(Dossiers!$F$4:$F$63,30)))</f>
        <v/>
      </c>
      <c r="K1559" s="29">
        <f>IF($B1559="","",IF(INDEX(Dossiers!$G$4:$G$63,30)="","",INDEX(Dossiers!$G$4:$G$63,30)))</f>
        <v/>
      </c>
    </row>
    <row r="1560">
      <c r="A1560">
        <f>IF($B1560="","",INDEX(Dossiers!$E$4:$E$63,30))</f>
        <v/>
      </c>
      <c r="B1560">
        <f>IF(INDEX(Suivi!$B:$B,1590)="","",INDEX(Suivi!$B:$B,1590))</f>
        <v/>
      </c>
      <c r="C1560">
        <f>IF($B1560="","",IF(INDEX(Suivi!$D:$D,1590)="",INDEX(Suivi!$C:$C,1590),INDEX(Suivi!$D:$D,1590)))</f>
        <v/>
      </c>
      <c r="D1560" s="29">
        <f>IF($B1560="","",INDEX(Suivi!$E:$E,1590))</f>
        <v/>
      </c>
      <c r="E1560" s="29">
        <f>IF($B1560="","",INDEX(Suivi!$F:$F,1590))</f>
        <v/>
      </c>
      <c r="F1560">
        <f>IF($B1560="","",INDEX(Suivi!$G:$G,1590))</f>
        <v/>
      </c>
      <c r="H1560">
        <f>IF(OR($B1560="",NOT(ISNUMBER($D1560))),"",IF($E1560&lt;$D$2,"Passé",IF($D1560&gt;$F$2,"À venir","Dans la période")))</f>
        <v/>
      </c>
      <c r="I1560">
        <f>IF(OR($B1560="",NOT(ISNUMBER($D1560))),"",IF(AND($E1560&lt;$D$2,$G1560&lt;&gt;"X",$F1560&lt;&gt;"Réalisé",$F1560&lt;&gt;"Clôturé"),"RETARD",""))</f>
        <v/>
      </c>
      <c r="J1560" s="29">
        <f>IF($B1560="","",IF(INDEX(Dossiers!$F$4:$F$63,30)="","",INDEX(Dossiers!$F$4:$F$63,30)))</f>
        <v/>
      </c>
      <c r="K1560" s="29">
        <f>IF($B1560="","",IF(INDEX(Dossiers!$G$4:$G$63,30)="","",INDEX(Dossiers!$G$4:$G$63,30)))</f>
        <v/>
      </c>
    </row>
    <row r="1561">
      <c r="A1561">
        <f>IF($B1561="","",INDEX(Dossiers!$E$4:$E$63,30))</f>
        <v/>
      </c>
      <c r="B1561">
        <f>IF(INDEX(Suivi!$B:$B,1591)="","",INDEX(Suivi!$B:$B,1591))</f>
        <v/>
      </c>
      <c r="C1561">
        <f>IF($B1561="","",IF(INDEX(Suivi!$D:$D,1591)="",INDEX(Suivi!$C:$C,1591),INDEX(Suivi!$D:$D,1591)))</f>
        <v/>
      </c>
      <c r="D1561" s="29">
        <f>IF($B1561="","",INDEX(Suivi!$E:$E,1591))</f>
        <v/>
      </c>
      <c r="E1561" s="29">
        <f>IF($B1561="","",INDEX(Suivi!$F:$F,1591))</f>
        <v/>
      </c>
      <c r="F1561">
        <f>IF($B1561="","",INDEX(Suivi!$G:$G,1591))</f>
        <v/>
      </c>
      <c r="H1561">
        <f>IF(OR($B1561="",NOT(ISNUMBER($D1561))),"",IF($E1561&lt;$D$2,"Passé",IF($D1561&gt;$F$2,"À venir","Dans la période")))</f>
        <v/>
      </c>
      <c r="I1561">
        <f>IF(OR($B1561="",NOT(ISNUMBER($D1561))),"",IF(AND($E1561&lt;$D$2,$G1561&lt;&gt;"X",$F1561&lt;&gt;"Réalisé",$F1561&lt;&gt;"Clôturé"),"RETARD",""))</f>
        <v/>
      </c>
      <c r="J1561" s="29">
        <f>IF($B1561="","",IF(INDEX(Dossiers!$F$4:$F$63,30)="","",INDEX(Dossiers!$F$4:$F$63,30)))</f>
        <v/>
      </c>
      <c r="K1561" s="29">
        <f>IF($B1561="","",IF(INDEX(Dossiers!$G$4:$G$63,30)="","",INDEX(Dossiers!$G$4:$G$63,30)))</f>
        <v/>
      </c>
    </row>
    <row r="1562">
      <c r="A1562">
        <f>IF($B1562="","",INDEX(Dossiers!$E$4:$E$63,30))</f>
        <v/>
      </c>
      <c r="B1562">
        <f>IF(INDEX(Suivi!$B:$B,1592)="","",INDEX(Suivi!$B:$B,1592))</f>
        <v/>
      </c>
      <c r="C1562">
        <f>IF($B1562="","",IF(INDEX(Suivi!$D:$D,1592)="",INDEX(Suivi!$C:$C,1592),INDEX(Suivi!$D:$D,1592)))</f>
        <v/>
      </c>
      <c r="D1562" s="29">
        <f>IF($B1562="","",INDEX(Suivi!$E:$E,1592))</f>
        <v/>
      </c>
      <c r="E1562" s="29">
        <f>IF($B1562="","",INDEX(Suivi!$F:$F,1592))</f>
        <v/>
      </c>
      <c r="F1562">
        <f>IF($B1562="","",INDEX(Suivi!$G:$G,1592))</f>
        <v/>
      </c>
      <c r="H1562">
        <f>IF(OR($B1562="",NOT(ISNUMBER($D1562))),"",IF($E1562&lt;$D$2,"Passé",IF($D1562&gt;$F$2,"À venir","Dans la période")))</f>
        <v/>
      </c>
      <c r="I1562">
        <f>IF(OR($B1562="",NOT(ISNUMBER($D1562))),"",IF(AND($E1562&lt;$D$2,$G1562&lt;&gt;"X",$F1562&lt;&gt;"Réalisé",$F1562&lt;&gt;"Clôturé"),"RETARD",""))</f>
        <v/>
      </c>
      <c r="J1562" s="29">
        <f>IF($B1562="","",IF(INDEX(Dossiers!$F$4:$F$63,30)="","",INDEX(Dossiers!$F$4:$F$63,30)))</f>
        <v/>
      </c>
      <c r="K1562" s="29">
        <f>IF($B1562="","",IF(INDEX(Dossiers!$G$4:$G$63,30)="","",INDEX(Dossiers!$G$4:$G$63,30)))</f>
        <v/>
      </c>
    </row>
    <row r="1563">
      <c r="A1563">
        <f>IF($B1563="","",INDEX(Dossiers!$E$4:$E$63,30))</f>
        <v/>
      </c>
      <c r="B1563">
        <f>IF(INDEX(Suivi!$B:$B,1593)="","",INDEX(Suivi!$B:$B,1593))</f>
        <v/>
      </c>
      <c r="C1563">
        <f>IF($B1563="","",IF(INDEX(Suivi!$D:$D,1593)="",INDEX(Suivi!$C:$C,1593),INDEX(Suivi!$D:$D,1593)))</f>
        <v/>
      </c>
      <c r="D1563" s="29">
        <f>IF($B1563="","",INDEX(Suivi!$E:$E,1593))</f>
        <v/>
      </c>
      <c r="E1563" s="29">
        <f>IF($B1563="","",INDEX(Suivi!$F:$F,1593))</f>
        <v/>
      </c>
      <c r="F1563">
        <f>IF($B1563="","",INDEX(Suivi!$G:$G,1593))</f>
        <v/>
      </c>
      <c r="H1563">
        <f>IF(OR($B1563="",NOT(ISNUMBER($D1563))),"",IF($E1563&lt;$D$2,"Passé",IF($D1563&gt;$F$2,"À venir","Dans la période")))</f>
        <v/>
      </c>
      <c r="I1563">
        <f>IF(OR($B1563="",NOT(ISNUMBER($D1563))),"",IF(AND($E1563&lt;$D$2,$G1563&lt;&gt;"X",$F1563&lt;&gt;"Réalisé",$F1563&lt;&gt;"Clôturé"),"RETARD",""))</f>
        <v/>
      </c>
      <c r="J1563" s="29">
        <f>IF($B1563="","",IF(INDEX(Dossiers!$F$4:$F$63,30)="","",INDEX(Dossiers!$F$4:$F$63,30)))</f>
        <v/>
      </c>
      <c r="K1563" s="29">
        <f>IF($B1563="","",IF(INDEX(Dossiers!$G$4:$G$63,30)="","",INDEX(Dossiers!$G$4:$G$63,30)))</f>
        <v/>
      </c>
    </row>
    <row r="1564">
      <c r="A1564">
        <f>IF($B1564="","",INDEX(Dossiers!$E$4:$E$63,30))</f>
        <v/>
      </c>
      <c r="B1564">
        <f>IF(INDEX(Suivi!$B:$B,1594)="","",INDEX(Suivi!$B:$B,1594))</f>
        <v/>
      </c>
      <c r="C1564">
        <f>IF($B1564="","",IF(INDEX(Suivi!$D:$D,1594)="",INDEX(Suivi!$C:$C,1594),INDEX(Suivi!$D:$D,1594)))</f>
        <v/>
      </c>
      <c r="D1564" s="29">
        <f>IF($B1564="","",INDEX(Suivi!$E:$E,1594))</f>
        <v/>
      </c>
      <c r="E1564" s="29">
        <f>IF($B1564="","",INDEX(Suivi!$F:$F,1594))</f>
        <v/>
      </c>
      <c r="F1564">
        <f>IF($B1564="","",INDEX(Suivi!$G:$G,1594))</f>
        <v/>
      </c>
      <c r="H1564">
        <f>IF(OR($B1564="",NOT(ISNUMBER($D1564))),"",IF($E1564&lt;$D$2,"Passé",IF($D1564&gt;$F$2,"À venir","Dans la période")))</f>
        <v/>
      </c>
      <c r="I1564">
        <f>IF(OR($B1564="",NOT(ISNUMBER($D1564))),"",IF(AND($E1564&lt;$D$2,$G1564&lt;&gt;"X",$F1564&lt;&gt;"Réalisé",$F1564&lt;&gt;"Clôturé"),"RETARD",""))</f>
        <v/>
      </c>
      <c r="J1564" s="29">
        <f>IF($B1564="","",IF(INDEX(Dossiers!$F$4:$F$63,30)="","",INDEX(Dossiers!$F$4:$F$63,30)))</f>
        <v/>
      </c>
      <c r="K1564" s="29">
        <f>IF($B1564="","",IF(INDEX(Dossiers!$G$4:$G$63,30)="","",INDEX(Dossiers!$G$4:$G$63,30)))</f>
        <v/>
      </c>
    </row>
    <row r="1565">
      <c r="A1565">
        <f>IF($B1565="","",INDEX(Dossiers!$E$4:$E$63,30))</f>
        <v/>
      </c>
      <c r="B1565">
        <f>IF(INDEX(Suivi!$B:$B,1595)="","",INDEX(Suivi!$B:$B,1595))</f>
        <v/>
      </c>
      <c r="C1565">
        <f>IF($B1565="","",IF(INDEX(Suivi!$D:$D,1595)="",INDEX(Suivi!$C:$C,1595),INDEX(Suivi!$D:$D,1595)))</f>
        <v/>
      </c>
      <c r="D1565" s="29">
        <f>IF($B1565="","",INDEX(Suivi!$E:$E,1595))</f>
        <v/>
      </c>
      <c r="E1565" s="29">
        <f>IF($B1565="","",INDEX(Suivi!$F:$F,1595))</f>
        <v/>
      </c>
      <c r="F1565">
        <f>IF($B1565="","",INDEX(Suivi!$G:$G,1595))</f>
        <v/>
      </c>
      <c r="H1565">
        <f>IF(OR($B1565="",NOT(ISNUMBER($D1565))),"",IF($E1565&lt;$D$2,"Passé",IF($D1565&gt;$F$2,"À venir","Dans la période")))</f>
        <v/>
      </c>
      <c r="I1565">
        <f>IF(OR($B1565="",NOT(ISNUMBER($D1565))),"",IF(AND($E1565&lt;$D$2,$G1565&lt;&gt;"X",$F1565&lt;&gt;"Réalisé",$F1565&lt;&gt;"Clôturé"),"RETARD",""))</f>
        <v/>
      </c>
      <c r="J1565" s="29">
        <f>IF($B1565="","",IF(INDEX(Dossiers!$F$4:$F$63,30)="","",INDEX(Dossiers!$F$4:$F$63,30)))</f>
        <v/>
      </c>
      <c r="K1565" s="29">
        <f>IF($B1565="","",IF(INDEX(Dossiers!$G$4:$G$63,30)="","",INDEX(Dossiers!$G$4:$G$63,30)))</f>
        <v/>
      </c>
    </row>
    <row r="1566">
      <c r="A1566">
        <f>IF($B1566="","",INDEX(Dossiers!$E$4:$E$63,30))</f>
        <v/>
      </c>
      <c r="B1566">
        <f>IF(INDEX(Suivi!$B:$B,1596)="","",INDEX(Suivi!$B:$B,1596))</f>
        <v/>
      </c>
      <c r="C1566">
        <f>IF($B1566="","",IF(INDEX(Suivi!$D:$D,1596)="",INDEX(Suivi!$C:$C,1596),INDEX(Suivi!$D:$D,1596)))</f>
        <v/>
      </c>
      <c r="D1566" s="29">
        <f>IF($B1566="","",INDEX(Suivi!$E:$E,1596))</f>
        <v/>
      </c>
      <c r="E1566" s="29">
        <f>IF($B1566="","",INDEX(Suivi!$F:$F,1596))</f>
        <v/>
      </c>
      <c r="F1566">
        <f>IF($B1566="","",INDEX(Suivi!$G:$G,1596))</f>
        <v/>
      </c>
      <c r="H1566">
        <f>IF(OR($B1566="",NOT(ISNUMBER($D1566))),"",IF($E1566&lt;$D$2,"Passé",IF($D1566&gt;$F$2,"À venir","Dans la période")))</f>
        <v/>
      </c>
      <c r="I1566">
        <f>IF(OR($B1566="",NOT(ISNUMBER($D1566))),"",IF(AND($E1566&lt;$D$2,$G1566&lt;&gt;"X",$F1566&lt;&gt;"Réalisé",$F1566&lt;&gt;"Clôturé"),"RETARD",""))</f>
        <v/>
      </c>
      <c r="J1566" s="29">
        <f>IF($B1566="","",IF(INDEX(Dossiers!$F$4:$F$63,30)="","",INDEX(Dossiers!$F$4:$F$63,30)))</f>
        <v/>
      </c>
      <c r="K1566" s="29">
        <f>IF($B1566="","",IF(INDEX(Dossiers!$G$4:$G$63,30)="","",INDEX(Dossiers!$G$4:$G$63,30)))</f>
        <v/>
      </c>
    </row>
    <row r="1567">
      <c r="A1567">
        <f>IF($B1567="","",INDEX(Dossiers!$E$4:$E$63,30))</f>
        <v/>
      </c>
      <c r="B1567">
        <f>IF(INDEX(Suivi!$B:$B,1597)="","",INDEX(Suivi!$B:$B,1597))</f>
        <v/>
      </c>
      <c r="C1567">
        <f>IF($B1567="","",IF(INDEX(Suivi!$D:$D,1597)="",INDEX(Suivi!$C:$C,1597),INDEX(Suivi!$D:$D,1597)))</f>
        <v/>
      </c>
      <c r="D1567" s="29">
        <f>IF($B1567="","",INDEX(Suivi!$E:$E,1597))</f>
        <v/>
      </c>
      <c r="E1567" s="29">
        <f>IF($B1567="","",INDEX(Suivi!$F:$F,1597))</f>
        <v/>
      </c>
      <c r="F1567">
        <f>IF($B1567="","",INDEX(Suivi!$G:$G,1597))</f>
        <v/>
      </c>
      <c r="H1567">
        <f>IF(OR($B1567="",NOT(ISNUMBER($D1567))),"",IF($E1567&lt;$D$2,"Passé",IF($D1567&gt;$F$2,"À venir","Dans la période")))</f>
        <v/>
      </c>
      <c r="I1567">
        <f>IF(OR($B1567="",NOT(ISNUMBER($D1567))),"",IF(AND($E1567&lt;$D$2,$G1567&lt;&gt;"X",$F1567&lt;&gt;"Réalisé",$F1567&lt;&gt;"Clôturé"),"RETARD",""))</f>
        <v/>
      </c>
      <c r="J1567" s="29">
        <f>IF($B1567="","",IF(INDEX(Dossiers!$F$4:$F$63,30)="","",INDEX(Dossiers!$F$4:$F$63,30)))</f>
        <v/>
      </c>
      <c r="K1567" s="29">
        <f>IF($B1567="","",IF(INDEX(Dossiers!$G$4:$G$63,30)="","",INDEX(Dossiers!$G$4:$G$63,30)))</f>
        <v/>
      </c>
    </row>
    <row r="1568">
      <c r="A1568">
        <f>IF($B1568="","",INDEX(Dossiers!$E$4:$E$63,30))</f>
        <v/>
      </c>
      <c r="B1568">
        <f>IF(INDEX(Suivi!$B:$B,1598)="","",INDEX(Suivi!$B:$B,1598))</f>
        <v/>
      </c>
      <c r="C1568">
        <f>IF($B1568="","",IF(INDEX(Suivi!$D:$D,1598)="",INDEX(Suivi!$C:$C,1598),INDEX(Suivi!$D:$D,1598)))</f>
        <v/>
      </c>
      <c r="D1568" s="29">
        <f>IF($B1568="","",INDEX(Suivi!$E:$E,1598))</f>
        <v/>
      </c>
      <c r="E1568" s="29">
        <f>IF($B1568="","",INDEX(Suivi!$F:$F,1598))</f>
        <v/>
      </c>
      <c r="F1568">
        <f>IF($B1568="","",INDEX(Suivi!$G:$G,1598))</f>
        <v/>
      </c>
      <c r="H1568">
        <f>IF(OR($B1568="",NOT(ISNUMBER($D1568))),"",IF($E1568&lt;$D$2,"Passé",IF($D1568&gt;$F$2,"À venir","Dans la période")))</f>
        <v/>
      </c>
      <c r="I1568">
        <f>IF(OR($B1568="",NOT(ISNUMBER($D1568))),"",IF(AND($E1568&lt;$D$2,$G1568&lt;&gt;"X",$F1568&lt;&gt;"Réalisé",$F1568&lt;&gt;"Clôturé"),"RETARD",""))</f>
        <v/>
      </c>
      <c r="J1568" s="29">
        <f>IF($B1568="","",IF(INDEX(Dossiers!$F$4:$F$63,30)="","",INDEX(Dossiers!$F$4:$F$63,30)))</f>
        <v/>
      </c>
      <c r="K1568" s="29">
        <f>IF($B1568="","",IF(INDEX(Dossiers!$G$4:$G$63,30)="","",INDEX(Dossiers!$G$4:$G$63,30)))</f>
        <v/>
      </c>
    </row>
    <row r="1569">
      <c r="A1569">
        <f>IF($B1569="","",INDEX(Dossiers!$E$4:$E$63,30))</f>
        <v/>
      </c>
      <c r="B1569">
        <f>IF(INDEX(Suivi!$B:$B,1599)="","",INDEX(Suivi!$B:$B,1599))</f>
        <v/>
      </c>
      <c r="C1569">
        <f>IF($B1569="","",IF(INDEX(Suivi!$D:$D,1599)="",INDEX(Suivi!$C:$C,1599),INDEX(Suivi!$D:$D,1599)))</f>
        <v/>
      </c>
      <c r="D1569" s="29">
        <f>IF($B1569="","",INDEX(Suivi!$E:$E,1599))</f>
        <v/>
      </c>
      <c r="E1569" s="29">
        <f>IF($B1569="","",INDEX(Suivi!$F:$F,1599))</f>
        <v/>
      </c>
      <c r="F1569">
        <f>IF($B1569="","",INDEX(Suivi!$G:$G,1599))</f>
        <v/>
      </c>
      <c r="H1569">
        <f>IF(OR($B1569="",NOT(ISNUMBER($D1569))),"",IF($E1569&lt;$D$2,"Passé",IF($D1569&gt;$F$2,"À venir","Dans la période")))</f>
        <v/>
      </c>
      <c r="I1569">
        <f>IF(OR($B1569="",NOT(ISNUMBER($D1569))),"",IF(AND($E1569&lt;$D$2,$G1569&lt;&gt;"X",$F1569&lt;&gt;"Réalisé",$F1569&lt;&gt;"Clôturé"),"RETARD",""))</f>
        <v/>
      </c>
      <c r="J1569" s="29">
        <f>IF($B1569="","",IF(INDEX(Dossiers!$F$4:$F$63,30)="","",INDEX(Dossiers!$F$4:$F$63,30)))</f>
        <v/>
      </c>
      <c r="K1569" s="29">
        <f>IF($B1569="","",IF(INDEX(Dossiers!$G$4:$G$63,30)="","",INDEX(Dossiers!$G$4:$G$63,30)))</f>
        <v/>
      </c>
    </row>
    <row r="1570">
      <c r="A1570">
        <f>IF($B1570="","",INDEX(Dossiers!$E$4:$E$63,30))</f>
        <v/>
      </c>
      <c r="B1570">
        <f>IF(INDEX(Suivi!$B:$B,1600)="","",INDEX(Suivi!$B:$B,1600))</f>
        <v/>
      </c>
      <c r="C1570">
        <f>IF($B1570="","",IF(INDEX(Suivi!$D:$D,1600)="",INDEX(Suivi!$C:$C,1600),INDEX(Suivi!$D:$D,1600)))</f>
        <v/>
      </c>
      <c r="D1570" s="29">
        <f>IF($B1570="","",INDEX(Suivi!$E:$E,1600))</f>
        <v/>
      </c>
      <c r="E1570" s="29">
        <f>IF($B1570="","",INDEX(Suivi!$F:$F,1600))</f>
        <v/>
      </c>
      <c r="F1570">
        <f>IF($B1570="","",INDEX(Suivi!$G:$G,1600))</f>
        <v/>
      </c>
      <c r="H1570">
        <f>IF(OR($B1570="",NOT(ISNUMBER($D1570))),"",IF($E1570&lt;$D$2,"Passé",IF($D1570&gt;$F$2,"À venir","Dans la période")))</f>
        <v/>
      </c>
      <c r="I1570">
        <f>IF(OR($B1570="",NOT(ISNUMBER($D1570))),"",IF(AND($E1570&lt;$D$2,$G1570&lt;&gt;"X",$F1570&lt;&gt;"Réalisé",$F1570&lt;&gt;"Clôturé"),"RETARD",""))</f>
        <v/>
      </c>
      <c r="J1570" s="29">
        <f>IF($B1570="","",IF(INDEX(Dossiers!$F$4:$F$63,30)="","",INDEX(Dossiers!$F$4:$F$63,30)))</f>
        <v/>
      </c>
      <c r="K1570" s="29">
        <f>IF($B1570="","",IF(INDEX(Dossiers!$G$4:$G$63,30)="","",INDEX(Dossiers!$G$4:$G$63,30)))</f>
        <v/>
      </c>
    </row>
    <row r="1571">
      <c r="A1571">
        <f>IF($B1571="","",INDEX(Dossiers!$E$4:$E$63,30))</f>
        <v/>
      </c>
      <c r="B1571">
        <f>IF(INDEX(Suivi!$B:$B,1601)="","",INDEX(Suivi!$B:$B,1601))</f>
        <v/>
      </c>
      <c r="C1571">
        <f>IF($B1571="","",IF(INDEX(Suivi!$D:$D,1601)="",INDEX(Suivi!$C:$C,1601),INDEX(Suivi!$D:$D,1601)))</f>
        <v/>
      </c>
      <c r="D1571" s="29">
        <f>IF($B1571="","",INDEX(Suivi!$E:$E,1601))</f>
        <v/>
      </c>
      <c r="E1571" s="29">
        <f>IF($B1571="","",INDEX(Suivi!$F:$F,1601))</f>
        <v/>
      </c>
      <c r="F1571">
        <f>IF($B1571="","",INDEX(Suivi!$G:$G,1601))</f>
        <v/>
      </c>
      <c r="H1571">
        <f>IF(OR($B1571="",NOT(ISNUMBER($D1571))),"",IF($E1571&lt;$D$2,"Passé",IF($D1571&gt;$F$2,"À venir","Dans la période")))</f>
        <v/>
      </c>
      <c r="I1571">
        <f>IF(OR($B1571="",NOT(ISNUMBER($D1571))),"",IF(AND($E1571&lt;$D$2,$G1571&lt;&gt;"X",$F1571&lt;&gt;"Réalisé",$F1571&lt;&gt;"Clôturé"),"RETARD",""))</f>
        <v/>
      </c>
      <c r="J1571" s="29">
        <f>IF($B1571="","",IF(INDEX(Dossiers!$F$4:$F$63,30)="","",INDEX(Dossiers!$F$4:$F$63,30)))</f>
        <v/>
      </c>
      <c r="K1571" s="29">
        <f>IF($B1571="","",IF(INDEX(Dossiers!$G$4:$G$63,30)="","",INDEX(Dossiers!$G$4:$G$63,30)))</f>
        <v/>
      </c>
    </row>
    <row r="1572">
      <c r="A1572">
        <f>IF($B1572="","",INDEX(Dossiers!$E$4:$E$63,30))</f>
        <v/>
      </c>
      <c r="B1572">
        <f>IF(INDEX(Suivi!$B:$B,1602)="","",INDEX(Suivi!$B:$B,1602))</f>
        <v/>
      </c>
      <c r="C1572">
        <f>IF($B1572="","",IF(INDEX(Suivi!$D:$D,1602)="",INDEX(Suivi!$C:$C,1602),INDEX(Suivi!$D:$D,1602)))</f>
        <v/>
      </c>
      <c r="D1572" s="29">
        <f>IF($B1572="","",INDEX(Suivi!$E:$E,1602))</f>
        <v/>
      </c>
      <c r="E1572" s="29">
        <f>IF($B1572="","",INDEX(Suivi!$F:$F,1602))</f>
        <v/>
      </c>
      <c r="F1572">
        <f>IF($B1572="","",INDEX(Suivi!$G:$G,1602))</f>
        <v/>
      </c>
      <c r="H1572">
        <f>IF(OR($B1572="",NOT(ISNUMBER($D1572))),"",IF($E1572&lt;$D$2,"Passé",IF($D1572&gt;$F$2,"À venir","Dans la période")))</f>
        <v/>
      </c>
      <c r="I1572">
        <f>IF(OR($B1572="",NOT(ISNUMBER($D1572))),"",IF(AND($E1572&lt;$D$2,$G1572&lt;&gt;"X",$F1572&lt;&gt;"Réalisé",$F1572&lt;&gt;"Clôturé"),"RETARD",""))</f>
        <v/>
      </c>
      <c r="J1572" s="29">
        <f>IF($B1572="","",IF(INDEX(Dossiers!$F$4:$F$63,30)="","",INDEX(Dossiers!$F$4:$F$63,30)))</f>
        <v/>
      </c>
      <c r="K1572" s="29">
        <f>IF($B1572="","",IF(INDEX(Dossiers!$G$4:$G$63,30)="","",INDEX(Dossiers!$G$4:$G$63,30)))</f>
        <v/>
      </c>
    </row>
    <row r="1573">
      <c r="A1573">
        <f>IF($B1573="","",INDEX(Dossiers!$E$4:$E$63,30))</f>
        <v/>
      </c>
      <c r="B1573">
        <f>IF(INDEX(Suivi!$B:$B,1603)="","",INDEX(Suivi!$B:$B,1603))</f>
        <v/>
      </c>
      <c r="C1573">
        <f>IF($B1573="","",IF(INDEX(Suivi!$D:$D,1603)="",INDEX(Suivi!$C:$C,1603),INDEX(Suivi!$D:$D,1603)))</f>
        <v/>
      </c>
      <c r="D1573" s="29">
        <f>IF($B1573="","",INDEX(Suivi!$E:$E,1603))</f>
        <v/>
      </c>
      <c r="E1573" s="29">
        <f>IF($B1573="","",INDEX(Suivi!$F:$F,1603))</f>
        <v/>
      </c>
      <c r="F1573">
        <f>IF($B1573="","",INDEX(Suivi!$G:$G,1603))</f>
        <v/>
      </c>
      <c r="H1573">
        <f>IF(OR($B1573="",NOT(ISNUMBER($D1573))),"",IF($E1573&lt;$D$2,"Passé",IF($D1573&gt;$F$2,"À venir","Dans la période")))</f>
        <v/>
      </c>
      <c r="I1573">
        <f>IF(OR($B1573="",NOT(ISNUMBER($D1573))),"",IF(AND($E1573&lt;$D$2,$G1573&lt;&gt;"X",$F1573&lt;&gt;"Réalisé",$F1573&lt;&gt;"Clôturé"),"RETARD",""))</f>
        <v/>
      </c>
      <c r="J1573" s="29">
        <f>IF($B1573="","",IF(INDEX(Dossiers!$F$4:$F$63,30)="","",INDEX(Dossiers!$F$4:$F$63,30)))</f>
        <v/>
      </c>
      <c r="K1573" s="29">
        <f>IF($B1573="","",IF(INDEX(Dossiers!$G$4:$G$63,30)="","",INDEX(Dossiers!$G$4:$G$63,30)))</f>
        <v/>
      </c>
    </row>
    <row r="1574">
      <c r="A1574">
        <f>IF($B1574="","",INDEX(Dossiers!$E$4:$E$63,30))</f>
        <v/>
      </c>
      <c r="B1574">
        <f>IF(INDEX(Suivi!$B:$B,1604)="","",INDEX(Suivi!$B:$B,1604))</f>
        <v/>
      </c>
      <c r="C1574">
        <f>IF($B1574="","",IF(INDEX(Suivi!$D:$D,1604)="",INDEX(Suivi!$C:$C,1604),INDEX(Suivi!$D:$D,1604)))</f>
        <v/>
      </c>
      <c r="D1574" s="29">
        <f>IF($B1574="","",INDEX(Suivi!$E:$E,1604))</f>
        <v/>
      </c>
      <c r="E1574" s="29">
        <f>IF($B1574="","",INDEX(Suivi!$F:$F,1604))</f>
        <v/>
      </c>
      <c r="F1574">
        <f>IF($B1574="","",INDEX(Suivi!$G:$G,1604))</f>
        <v/>
      </c>
      <c r="H1574">
        <f>IF(OR($B1574="",NOT(ISNUMBER($D1574))),"",IF($E1574&lt;$D$2,"Passé",IF($D1574&gt;$F$2,"À venir","Dans la période")))</f>
        <v/>
      </c>
      <c r="I1574">
        <f>IF(OR($B1574="",NOT(ISNUMBER($D1574))),"",IF(AND($E1574&lt;$D$2,$G1574&lt;&gt;"X",$F1574&lt;&gt;"Réalisé",$F1574&lt;&gt;"Clôturé"),"RETARD",""))</f>
        <v/>
      </c>
      <c r="J1574" s="29">
        <f>IF($B1574="","",IF(INDEX(Dossiers!$F$4:$F$63,30)="","",INDEX(Dossiers!$F$4:$F$63,30)))</f>
        <v/>
      </c>
      <c r="K1574" s="29">
        <f>IF($B1574="","",IF(INDEX(Dossiers!$G$4:$G$63,30)="","",INDEX(Dossiers!$G$4:$G$63,30)))</f>
        <v/>
      </c>
    </row>
    <row r="1575">
      <c r="A1575">
        <f>IF($B1575="","",INDEX(Dossiers!$E$4:$E$63,30))</f>
        <v/>
      </c>
      <c r="B1575">
        <f>IF(INDEX(Suivi!$B:$B,1605)="","",INDEX(Suivi!$B:$B,1605))</f>
        <v/>
      </c>
      <c r="C1575">
        <f>IF($B1575="","",IF(INDEX(Suivi!$D:$D,1605)="",INDEX(Suivi!$C:$C,1605),INDEX(Suivi!$D:$D,1605)))</f>
        <v/>
      </c>
      <c r="D1575" s="29">
        <f>IF($B1575="","",INDEX(Suivi!$E:$E,1605))</f>
        <v/>
      </c>
      <c r="E1575" s="29">
        <f>IF($B1575="","",INDEX(Suivi!$F:$F,1605))</f>
        <v/>
      </c>
      <c r="F1575">
        <f>IF($B1575="","",INDEX(Suivi!$G:$G,1605))</f>
        <v/>
      </c>
      <c r="H1575">
        <f>IF(OR($B1575="",NOT(ISNUMBER($D1575))),"",IF($E1575&lt;$D$2,"Passé",IF($D1575&gt;$F$2,"À venir","Dans la période")))</f>
        <v/>
      </c>
      <c r="I1575">
        <f>IF(OR($B1575="",NOT(ISNUMBER($D1575))),"",IF(AND($E1575&lt;$D$2,$G1575&lt;&gt;"X",$F1575&lt;&gt;"Réalisé",$F1575&lt;&gt;"Clôturé"),"RETARD",""))</f>
        <v/>
      </c>
      <c r="J1575" s="29">
        <f>IF($B1575="","",IF(INDEX(Dossiers!$F$4:$F$63,30)="","",INDEX(Dossiers!$F$4:$F$63,30)))</f>
        <v/>
      </c>
      <c r="K1575" s="29">
        <f>IF($B1575="","",IF(INDEX(Dossiers!$G$4:$G$63,30)="","",INDEX(Dossiers!$G$4:$G$63,30)))</f>
        <v/>
      </c>
    </row>
    <row r="1576">
      <c r="A1576">
        <f>IF($B1576="","",INDEX(Dossiers!$E$4:$E$63,30))</f>
        <v/>
      </c>
      <c r="B1576">
        <f>IF(INDEX(Suivi!$B:$B,1606)="","",INDEX(Suivi!$B:$B,1606))</f>
        <v/>
      </c>
      <c r="C1576">
        <f>IF($B1576="","",IF(INDEX(Suivi!$D:$D,1606)="",INDEX(Suivi!$C:$C,1606),INDEX(Suivi!$D:$D,1606)))</f>
        <v/>
      </c>
      <c r="D1576" s="29">
        <f>IF($B1576="","",INDEX(Suivi!$E:$E,1606))</f>
        <v/>
      </c>
      <c r="E1576" s="29">
        <f>IF($B1576="","",INDEX(Suivi!$F:$F,1606))</f>
        <v/>
      </c>
      <c r="F1576">
        <f>IF($B1576="","",INDEX(Suivi!$G:$G,1606))</f>
        <v/>
      </c>
      <c r="H1576">
        <f>IF(OR($B1576="",NOT(ISNUMBER($D1576))),"",IF($E1576&lt;$D$2,"Passé",IF($D1576&gt;$F$2,"À venir","Dans la période")))</f>
        <v/>
      </c>
      <c r="I1576">
        <f>IF(OR($B1576="",NOT(ISNUMBER($D1576))),"",IF(AND($E1576&lt;$D$2,$G1576&lt;&gt;"X",$F1576&lt;&gt;"Réalisé",$F1576&lt;&gt;"Clôturé"),"RETARD",""))</f>
        <v/>
      </c>
      <c r="J1576" s="29">
        <f>IF($B1576="","",IF(INDEX(Dossiers!$F$4:$F$63,30)="","",INDEX(Dossiers!$F$4:$F$63,30)))</f>
        <v/>
      </c>
      <c r="K1576" s="29">
        <f>IF($B1576="","",IF(INDEX(Dossiers!$G$4:$G$63,30)="","",INDEX(Dossiers!$G$4:$G$63,30)))</f>
        <v/>
      </c>
    </row>
    <row r="1577">
      <c r="A1577">
        <f>IF($B1577="","",INDEX(Dossiers!$E$4:$E$63,30))</f>
        <v/>
      </c>
      <c r="B1577">
        <f>IF(INDEX(Suivi!$B:$B,1607)="","",INDEX(Suivi!$B:$B,1607))</f>
        <v/>
      </c>
      <c r="C1577">
        <f>IF($B1577="","",IF(INDEX(Suivi!$D:$D,1607)="",INDEX(Suivi!$C:$C,1607),INDEX(Suivi!$D:$D,1607)))</f>
        <v/>
      </c>
      <c r="D1577" s="29">
        <f>IF($B1577="","",INDEX(Suivi!$E:$E,1607))</f>
        <v/>
      </c>
      <c r="E1577" s="29">
        <f>IF($B1577="","",INDEX(Suivi!$F:$F,1607))</f>
        <v/>
      </c>
      <c r="F1577">
        <f>IF($B1577="","",INDEX(Suivi!$G:$G,1607))</f>
        <v/>
      </c>
      <c r="H1577">
        <f>IF(OR($B1577="",NOT(ISNUMBER($D1577))),"",IF($E1577&lt;$D$2,"Passé",IF($D1577&gt;$F$2,"À venir","Dans la période")))</f>
        <v/>
      </c>
      <c r="I1577">
        <f>IF(OR($B1577="",NOT(ISNUMBER($D1577))),"",IF(AND($E1577&lt;$D$2,$G1577&lt;&gt;"X",$F1577&lt;&gt;"Réalisé",$F1577&lt;&gt;"Clôturé"),"RETARD",""))</f>
        <v/>
      </c>
      <c r="J1577" s="29">
        <f>IF($B1577="","",IF(INDEX(Dossiers!$F$4:$F$63,30)="","",INDEX(Dossiers!$F$4:$F$63,30)))</f>
        <v/>
      </c>
      <c r="K1577" s="29">
        <f>IF($B1577="","",IF(INDEX(Dossiers!$G$4:$G$63,30)="","",INDEX(Dossiers!$G$4:$G$63,30)))</f>
        <v/>
      </c>
    </row>
    <row r="1578">
      <c r="A1578">
        <f>IF($B1578="","",INDEX(Dossiers!$E$4:$E$63,30))</f>
        <v/>
      </c>
      <c r="B1578">
        <f>IF(INDEX(Suivi!$B:$B,1608)="","",INDEX(Suivi!$B:$B,1608))</f>
        <v/>
      </c>
      <c r="C1578">
        <f>IF($B1578="","",IF(INDEX(Suivi!$D:$D,1608)="",INDEX(Suivi!$C:$C,1608),INDEX(Suivi!$D:$D,1608)))</f>
        <v/>
      </c>
      <c r="D1578" s="29">
        <f>IF($B1578="","",INDEX(Suivi!$E:$E,1608))</f>
        <v/>
      </c>
      <c r="E1578" s="29">
        <f>IF($B1578="","",INDEX(Suivi!$F:$F,1608))</f>
        <v/>
      </c>
      <c r="F1578">
        <f>IF($B1578="","",INDEX(Suivi!$G:$G,1608))</f>
        <v/>
      </c>
      <c r="H1578">
        <f>IF(OR($B1578="",NOT(ISNUMBER($D1578))),"",IF($E1578&lt;$D$2,"Passé",IF($D1578&gt;$F$2,"À venir","Dans la période")))</f>
        <v/>
      </c>
      <c r="I1578">
        <f>IF(OR($B1578="",NOT(ISNUMBER($D1578))),"",IF(AND($E1578&lt;$D$2,$G1578&lt;&gt;"X",$F1578&lt;&gt;"Réalisé",$F1578&lt;&gt;"Clôturé"),"RETARD",""))</f>
        <v/>
      </c>
      <c r="J1578" s="29">
        <f>IF($B1578="","",IF(INDEX(Dossiers!$F$4:$F$63,30)="","",INDEX(Dossiers!$F$4:$F$63,30)))</f>
        <v/>
      </c>
      <c r="K1578" s="29">
        <f>IF($B1578="","",IF(INDEX(Dossiers!$G$4:$G$63,30)="","",INDEX(Dossiers!$G$4:$G$63,30)))</f>
        <v/>
      </c>
    </row>
    <row r="1579">
      <c r="A1579">
        <f>IF($B1579="","",INDEX(Dossiers!$E$4:$E$63,30))</f>
        <v/>
      </c>
      <c r="B1579">
        <f>IF(INDEX(Suivi!$B:$B,1609)="","",INDEX(Suivi!$B:$B,1609))</f>
        <v/>
      </c>
      <c r="C1579">
        <f>IF($B1579="","",IF(INDEX(Suivi!$D:$D,1609)="",INDEX(Suivi!$C:$C,1609),INDEX(Suivi!$D:$D,1609)))</f>
        <v/>
      </c>
      <c r="D1579" s="29">
        <f>IF($B1579="","",INDEX(Suivi!$E:$E,1609))</f>
        <v/>
      </c>
      <c r="E1579" s="29">
        <f>IF($B1579="","",INDEX(Suivi!$F:$F,1609))</f>
        <v/>
      </c>
      <c r="F1579">
        <f>IF($B1579="","",INDEX(Suivi!$G:$G,1609))</f>
        <v/>
      </c>
      <c r="H1579">
        <f>IF(OR($B1579="",NOT(ISNUMBER($D1579))),"",IF($E1579&lt;$D$2,"Passé",IF($D1579&gt;$F$2,"À venir","Dans la période")))</f>
        <v/>
      </c>
      <c r="I1579">
        <f>IF(OR($B1579="",NOT(ISNUMBER($D1579))),"",IF(AND($E1579&lt;$D$2,$G1579&lt;&gt;"X",$F1579&lt;&gt;"Réalisé",$F1579&lt;&gt;"Clôturé"),"RETARD",""))</f>
        <v/>
      </c>
      <c r="J1579" s="29">
        <f>IF($B1579="","",IF(INDEX(Dossiers!$F$4:$F$63,30)="","",INDEX(Dossiers!$F$4:$F$63,30)))</f>
        <v/>
      </c>
      <c r="K1579" s="29">
        <f>IF($B1579="","",IF(INDEX(Dossiers!$G$4:$G$63,30)="","",INDEX(Dossiers!$G$4:$G$63,30)))</f>
        <v/>
      </c>
    </row>
    <row r="1580">
      <c r="A1580">
        <f>IF($B1580="","",INDEX(Dossiers!$E$4:$E$63,30))</f>
        <v/>
      </c>
      <c r="B1580">
        <f>IF(INDEX(Suivi!$B:$B,1610)="","",INDEX(Suivi!$B:$B,1610))</f>
        <v/>
      </c>
      <c r="C1580">
        <f>IF($B1580="","",IF(INDEX(Suivi!$D:$D,1610)="",INDEX(Suivi!$C:$C,1610),INDEX(Suivi!$D:$D,1610)))</f>
        <v/>
      </c>
      <c r="D1580" s="29">
        <f>IF($B1580="","",INDEX(Suivi!$E:$E,1610))</f>
        <v/>
      </c>
      <c r="E1580" s="29">
        <f>IF($B1580="","",INDEX(Suivi!$F:$F,1610))</f>
        <v/>
      </c>
      <c r="F1580">
        <f>IF($B1580="","",INDEX(Suivi!$G:$G,1610))</f>
        <v/>
      </c>
      <c r="H1580">
        <f>IF(OR($B1580="",NOT(ISNUMBER($D1580))),"",IF($E1580&lt;$D$2,"Passé",IF($D1580&gt;$F$2,"À venir","Dans la période")))</f>
        <v/>
      </c>
      <c r="I1580">
        <f>IF(OR($B1580="",NOT(ISNUMBER($D1580))),"",IF(AND($E1580&lt;$D$2,$G1580&lt;&gt;"X",$F1580&lt;&gt;"Réalisé",$F1580&lt;&gt;"Clôturé"),"RETARD",""))</f>
        <v/>
      </c>
      <c r="J1580" s="29">
        <f>IF($B1580="","",IF(INDEX(Dossiers!$F$4:$F$63,30)="","",INDEX(Dossiers!$F$4:$F$63,30)))</f>
        <v/>
      </c>
      <c r="K1580" s="29">
        <f>IF($B1580="","",IF(INDEX(Dossiers!$G$4:$G$63,30)="","",INDEX(Dossiers!$G$4:$G$63,30)))</f>
        <v/>
      </c>
    </row>
    <row r="1581">
      <c r="A1581">
        <f>IF($B1581="","",INDEX(Dossiers!$E$4:$E$63,30))</f>
        <v/>
      </c>
      <c r="B1581">
        <f>IF(INDEX(Suivi!$B:$B,1611)="","",INDEX(Suivi!$B:$B,1611))</f>
        <v/>
      </c>
      <c r="C1581">
        <f>IF($B1581="","",IF(INDEX(Suivi!$D:$D,1611)="",INDEX(Suivi!$C:$C,1611),INDEX(Suivi!$D:$D,1611)))</f>
        <v/>
      </c>
      <c r="D1581" s="29">
        <f>IF($B1581="","",INDEX(Suivi!$E:$E,1611))</f>
        <v/>
      </c>
      <c r="E1581" s="29">
        <f>IF($B1581="","",INDEX(Suivi!$F:$F,1611))</f>
        <v/>
      </c>
      <c r="F1581">
        <f>IF($B1581="","",INDEX(Suivi!$G:$G,1611))</f>
        <v/>
      </c>
      <c r="H1581">
        <f>IF(OR($B1581="",NOT(ISNUMBER($D1581))),"",IF($E1581&lt;$D$2,"Passé",IF($D1581&gt;$F$2,"À venir","Dans la période")))</f>
        <v/>
      </c>
      <c r="I1581">
        <f>IF(OR($B1581="",NOT(ISNUMBER($D1581))),"",IF(AND($E1581&lt;$D$2,$G1581&lt;&gt;"X",$F1581&lt;&gt;"Réalisé",$F1581&lt;&gt;"Clôturé"),"RETARD",""))</f>
        <v/>
      </c>
      <c r="J1581" s="29">
        <f>IF($B1581="","",IF(INDEX(Dossiers!$F$4:$F$63,30)="","",INDEX(Dossiers!$F$4:$F$63,30)))</f>
        <v/>
      </c>
      <c r="K1581" s="29">
        <f>IF($B1581="","",IF(INDEX(Dossiers!$G$4:$G$63,30)="","",INDEX(Dossiers!$G$4:$G$63,30)))</f>
        <v/>
      </c>
    </row>
    <row r="1582">
      <c r="A1582">
        <f>IF($B1582="","",INDEX(Dossiers!$E$4:$E$63,30))</f>
        <v/>
      </c>
      <c r="B1582">
        <f>IF(INDEX(Suivi!$B:$B,1612)="","",INDEX(Suivi!$B:$B,1612))</f>
        <v/>
      </c>
      <c r="C1582">
        <f>IF($B1582="","",IF(INDEX(Suivi!$D:$D,1612)="",INDEX(Suivi!$C:$C,1612),INDEX(Suivi!$D:$D,1612)))</f>
        <v/>
      </c>
      <c r="D1582" s="29">
        <f>IF($B1582="","",INDEX(Suivi!$E:$E,1612))</f>
        <v/>
      </c>
      <c r="E1582" s="29">
        <f>IF($B1582="","",INDEX(Suivi!$F:$F,1612))</f>
        <v/>
      </c>
      <c r="F1582">
        <f>IF($B1582="","",INDEX(Suivi!$G:$G,1612))</f>
        <v/>
      </c>
      <c r="H1582">
        <f>IF(OR($B1582="",NOT(ISNUMBER($D1582))),"",IF($E1582&lt;$D$2,"Passé",IF($D1582&gt;$F$2,"À venir","Dans la période")))</f>
        <v/>
      </c>
      <c r="I1582">
        <f>IF(OR($B1582="",NOT(ISNUMBER($D1582))),"",IF(AND($E1582&lt;$D$2,$G1582&lt;&gt;"X",$F1582&lt;&gt;"Réalisé",$F1582&lt;&gt;"Clôturé"),"RETARD",""))</f>
        <v/>
      </c>
      <c r="J1582" s="29">
        <f>IF($B1582="","",IF(INDEX(Dossiers!$F$4:$F$63,30)="","",INDEX(Dossiers!$F$4:$F$63,30)))</f>
        <v/>
      </c>
      <c r="K1582" s="29">
        <f>IF($B1582="","",IF(INDEX(Dossiers!$G$4:$G$63,30)="","",INDEX(Dossiers!$G$4:$G$63,30)))</f>
        <v/>
      </c>
    </row>
    <row r="1583">
      <c r="A1583">
        <f>IF($B1583="","",INDEX(Dossiers!$E$4:$E$63,30))</f>
        <v/>
      </c>
      <c r="B1583">
        <f>IF(INDEX(Suivi!$B:$B,1613)="","",INDEX(Suivi!$B:$B,1613))</f>
        <v/>
      </c>
      <c r="C1583">
        <f>IF($B1583="","",IF(INDEX(Suivi!$D:$D,1613)="",INDEX(Suivi!$C:$C,1613),INDEX(Suivi!$D:$D,1613)))</f>
        <v/>
      </c>
      <c r="D1583" s="29">
        <f>IF($B1583="","",INDEX(Suivi!$E:$E,1613))</f>
        <v/>
      </c>
      <c r="E1583" s="29">
        <f>IF($B1583="","",INDEX(Suivi!$F:$F,1613))</f>
        <v/>
      </c>
      <c r="F1583">
        <f>IF($B1583="","",INDEX(Suivi!$G:$G,1613))</f>
        <v/>
      </c>
      <c r="H1583">
        <f>IF(OR($B1583="",NOT(ISNUMBER($D1583))),"",IF($E1583&lt;$D$2,"Passé",IF($D1583&gt;$F$2,"À venir","Dans la période")))</f>
        <v/>
      </c>
      <c r="I1583">
        <f>IF(OR($B1583="",NOT(ISNUMBER($D1583))),"",IF(AND($E1583&lt;$D$2,$G1583&lt;&gt;"X",$F1583&lt;&gt;"Réalisé",$F1583&lt;&gt;"Clôturé"),"RETARD",""))</f>
        <v/>
      </c>
      <c r="J1583" s="29">
        <f>IF($B1583="","",IF(INDEX(Dossiers!$F$4:$F$63,30)="","",INDEX(Dossiers!$F$4:$F$63,30)))</f>
        <v/>
      </c>
      <c r="K1583" s="29">
        <f>IF($B1583="","",IF(INDEX(Dossiers!$G$4:$G$63,30)="","",INDEX(Dossiers!$G$4:$G$63,30)))</f>
        <v/>
      </c>
    </row>
    <row r="1584">
      <c r="A1584">
        <f>IF($B1584="","",INDEX(Dossiers!$E$4:$E$63,30))</f>
        <v/>
      </c>
      <c r="B1584">
        <f>IF(INDEX(Suivi!$B:$B,1614)="","",INDEX(Suivi!$B:$B,1614))</f>
        <v/>
      </c>
      <c r="C1584">
        <f>IF($B1584="","",IF(INDEX(Suivi!$D:$D,1614)="",INDEX(Suivi!$C:$C,1614),INDEX(Suivi!$D:$D,1614)))</f>
        <v/>
      </c>
      <c r="D1584" s="29">
        <f>IF($B1584="","",INDEX(Suivi!$E:$E,1614))</f>
        <v/>
      </c>
      <c r="E1584" s="29">
        <f>IF($B1584="","",INDEX(Suivi!$F:$F,1614))</f>
        <v/>
      </c>
      <c r="F1584">
        <f>IF($B1584="","",INDEX(Suivi!$G:$G,1614))</f>
        <v/>
      </c>
      <c r="H1584">
        <f>IF(OR($B1584="",NOT(ISNUMBER($D1584))),"",IF($E1584&lt;$D$2,"Passé",IF($D1584&gt;$F$2,"À venir","Dans la période")))</f>
        <v/>
      </c>
      <c r="I1584">
        <f>IF(OR($B1584="",NOT(ISNUMBER($D1584))),"",IF(AND($E1584&lt;$D$2,$G1584&lt;&gt;"X",$F1584&lt;&gt;"Réalisé",$F1584&lt;&gt;"Clôturé"),"RETARD",""))</f>
        <v/>
      </c>
      <c r="J1584" s="29">
        <f>IF($B1584="","",IF(INDEX(Dossiers!$F$4:$F$63,30)="","",INDEX(Dossiers!$F$4:$F$63,30)))</f>
        <v/>
      </c>
      <c r="K1584" s="29">
        <f>IF($B1584="","",IF(INDEX(Dossiers!$G$4:$G$63,30)="","",INDEX(Dossiers!$G$4:$G$63,30)))</f>
        <v/>
      </c>
    </row>
    <row r="1585">
      <c r="A1585">
        <f>IF($B1585="","",INDEX(Dossiers!$E$4:$E$63,30))</f>
        <v/>
      </c>
      <c r="B1585">
        <f>IF(INDEX(Suivi!$B:$B,1615)="","",INDEX(Suivi!$B:$B,1615))</f>
        <v/>
      </c>
      <c r="C1585">
        <f>IF($B1585="","",IF(INDEX(Suivi!$D:$D,1615)="",INDEX(Suivi!$C:$C,1615),INDEX(Suivi!$D:$D,1615)))</f>
        <v/>
      </c>
      <c r="D1585" s="29">
        <f>IF($B1585="","",INDEX(Suivi!$E:$E,1615))</f>
        <v/>
      </c>
      <c r="E1585" s="29">
        <f>IF($B1585="","",INDEX(Suivi!$F:$F,1615))</f>
        <v/>
      </c>
      <c r="F1585">
        <f>IF($B1585="","",INDEX(Suivi!$G:$G,1615))</f>
        <v/>
      </c>
      <c r="H1585">
        <f>IF(OR($B1585="",NOT(ISNUMBER($D1585))),"",IF($E1585&lt;$D$2,"Passé",IF($D1585&gt;$F$2,"À venir","Dans la période")))</f>
        <v/>
      </c>
      <c r="I1585">
        <f>IF(OR($B1585="",NOT(ISNUMBER($D1585))),"",IF(AND($E1585&lt;$D$2,$G1585&lt;&gt;"X",$F1585&lt;&gt;"Réalisé",$F1585&lt;&gt;"Clôturé"),"RETARD",""))</f>
        <v/>
      </c>
      <c r="J1585" s="29">
        <f>IF($B1585="","",IF(INDEX(Dossiers!$F$4:$F$63,30)="","",INDEX(Dossiers!$F$4:$F$63,30)))</f>
        <v/>
      </c>
      <c r="K1585" s="29">
        <f>IF($B1585="","",IF(INDEX(Dossiers!$G$4:$G$63,30)="","",INDEX(Dossiers!$G$4:$G$63,30)))</f>
        <v/>
      </c>
    </row>
    <row r="1586">
      <c r="A1586">
        <f>IF($B1586="","",INDEX(Dossiers!$E$4:$E$63,30))</f>
        <v/>
      </c>
      <c r="B1586">
        <f>IF(INDEX(Suivi!$B:$B,1616)="","",INDEX(Suivi!$B:$B,1616))</f>
        <v/>
      </c>
      <c r="C1586">
        <f>IF($B1586="","",IF(INDEX(Suivi!$D:$D,1616)="",INDEX(Suivi!$C:$C,1616),INDEX(Suivi!$D:$D,1616)))</f>
        <v/>
      </c>
      <c r="D1586" s="29">
        <f>IF($B1586="","",INDEX(Suivi!$E:$E,1616))</f>
        <v/>
      </c>
      <c r="E1586" s="29">
        <f>IF($B1586="","",INDEX(Suivi!$F:$F,1616))</f>
        <v/>
      </c>
      <c r="F1586">
        <f>IF($B1586="","",INDEX(Suivi!$G:$G,1616))</f>
        <v/>
      </c>
      <c r="H1586">
        <f>IF(OR($B1586="",NOT(ISNUMBER($D1586))),"",IF($E1586&lt;$D$2,"Passé",IF($D1586&gt;$F$2,"À venir","Dans la période")))</f>
        <v/>
      </c>
      <c r="I1586">
        <f>IF(OR($B1586="",NOT(ISNUMBER($D1586))),"",IF(AND($E1586&lt;$D$2,$G1586&lt;&gt;"X",$F1586&lt;&gt;"Réalisé",$F1586&lt;&gt;"Clôturé"),"RETARD",""))</f>
        <v/>
      </c>
      <c r="J1586" s="29">
        <f>IF($B1586="","",IF(INDEX(Dossiers!$F$4:$F$63,30)="","",INDEX(Dossiers!$F$4:$F$63,30)))</f>
        <v/>
      </c>
      <c r="K1586" s="29">
        <f>IF($B1586="","",IF(INDEX(Dossiers!$G$4:$G$63,30)="","",INDEX(Dossiers!$G$4:$G$63,30)))</f>
        <v/>
      </c>
    </row>
    <row r="1587">
      <c r="A1587">
        <f>IF($B1587="","",INDEX(Dossiers!$E$4:$E$63,30))</f>
        <v/>
      </c>
      <c r="B1587">
        <f>IF(INDEX(Suivi!$B:$B,1617)="","",INDEX(Suivi!$B:$B,1617))</f>
        <v/>
      </c>
      <c r="C1587">
        <f>IF($B1587="","",IF(INDEX(Suivi!$D:$D,1617)="",INDEX(Suivi!$C:$C,1617),INDEX(Suivi!$D:$D,1617)))</f>
        <v/>
      </c>
      <c r="D1587" s="29">
        <f>IF($B1587="","",INDEX(Suivi!$E:$E,1617))</f>
        <v/>
      </c>
      <c r="E1587" s="29">
        <f>IF($B1587="","",INDEX(Suivi!$F:$F,1617))</f>
        <v/>
      </c>
      <c r="F1587">
        <f>IF($B1587="","",INDEX(Suivi!$G:$G,1617))</f>
        <v/>
      </c>
      <c r="H1587">
        <f>IF(OR($B1587="",NOT(ISNUMBER($D1587))),"",IF($E1587&lt;$D$2,"Passé",IF($D1587&gt;$F$2,"À venir","Dans la période")))</f>
        <v/>
      </c>
      <c r="I1587">
        <f>IF(OR($B1587="",NOT(ISNUMBER($D1587))),"",IF(AND($E1587&lt;$D$2,$G1587&lt;&gt;"X",$F1587&lt;&gt;"Réalisé",$F1587&lt;&gt;"Clôturé"),"RETARD",""))</f>
        <v/>
      </c>
      <c r="J1587" s="29">
        <f>IF($B1587="","",IF(INDEX(Dossiers!$F$4:$F$63,30)="","",INDEX(Dossiers!$F$4:$F$63,30)))</f>
        <v/>
      </c>
      <c r="K1587" s="29">
        <f>IF($B1587="","",IF(INDEX(Dossiers!$G$4:$G$63,30)="","",INDEX(Dossiers!$G$4:$G$63,30)))</f>
        <v/>
      </c>
    </row>
    <row r="1588">
      <c r="A1588">
        <f>IF($B1588="","",INDEX(Dossiers!$E$4:$E$63,30))</f>
        <v/>
      </c>
      <c r="B1588">
        <f>IF(INDEX(Suivi!$B:$B,1618)="","",INDEX(Suivi!$B:$B,1618))</f>
        <v/>
      </c>
      <c r="C1588">
        <f>IF($B1588="","",IF(INDEX(Suivi!$D:$D,1618)="",INDEX(Suivi!$C:$C,1618),INDEX(Suivi!$D:$D,1618)))</f>
        <v/>
      </c>
      <c r="D1588" s="29">
        <f>IF($B1588="","",INDEX(Suivi!$E:$E,1618))</f>
        <v/>
      </c>
      <c r="E1588" s="29">
        <f>IF($B1588="","",INDEX(Suivi!$F:$F,1618))</f>
        <v/>
      </c>
      <c r="F1588">
        <f>IF($B1588="","",INDEX(Suivi!$G:$G,1618))</f>
        <v/>
      </c>
      <c r="H1588">
        <f>IF(OR($B1588="",NOT(ISNUMBER($D1588))),"",IF($E1588&lt;$D$2,"Passé",IF($D1588&gt;$F$2,"À venir","Dans la période")))</f>
        <v/>
      </c>
      <c r="I1588">
        <f>IF(OR($B1588="",NOT(ISNUMBER($D1588))),"",IF(AND($E1588&lt;$D$2,$G1588&lt;&gt;"X",$F1588&lt;&gt;"Réalisé",$F1588&lt;&gt;"Clôturé"),"RETARD",""))</f>
        <v/>
      </c>
      <c r="J1588" s="29">
        <f>IF($B1588="","",IF(INDEX(Dossiers!$F$4:$F$63,30)="","",INDEX(Dossiers!$F$4:$F$63,30)))</f>
        <v/>
      </c>
      <c r="K1588" s="29">
        <f>IF($B1588="","",IF(INDEX(Dossiers!$G$4:$G$63,30)="","",INDEX(Dossiers!$G$4:$G$63,30)))</f>
        <v/>
      </c>
    </row>
    <row r="1589">
      <c r="A1589">
        <f>IF($B1589="","",INDEX(Dossiers!$E$4:$E$63,30))</f>
        <v/>
      </c>
      <c r="B1589">
        <f>IF(INDEX(Suivi!$B:$B,1619)="","",INDEX(Suivi!$B:$B,1619))</f>
        <v/>
      </c>
      <c r="C1589">
        <f>IF($B1589="","",IF(INDEX(Suivi!$D:$D,1619)="",INDEX(Suivi!$C:$C,1619),INDEX(Suivi!$D:$D,1619)))</f>
        <v/>
      </c>
      <c r="D1589" s="29">
        <f>IF($B1589="","",INDEX(Suivi!$E:$E,1619))</f>
        <v/>
      </c>
      <c r="E1589" s="29">
        <f>IF($B1589="","",INDEX(Suivi!$F:$F,1619))</f>
        <v/>
      </c>
      <c r="F1589">
        <f>IF($B1589="","",INDEX(Suivi!$G:$G,1619))</f>
        <v/>
      </c>
      <c r="H1589">
        <f>IF(OR($B1589="",NOT(ISNUMBER($D1589))),"",IF($E1589&lt;$D$2,"Passé",IF($D1589&gt;$F$2,"À venir","Dans la période")))</f>
        <v/>
      </c>
      <c r="I1589">
        <f>IF(OR($B1589="",NOT(ISNUMBER($D1589))),"",IF(AND($E1589&lt;$D$2,$G1589&lt;&gt;"X",$F1589&lt;&gt;"Réalisé",$F1589&lt;&gt;"Clôturé"),"RETARD",""))</f>
        <v/>
      </c>
      <c r="J1589" s="29">
        <f>IF($B1589="","",IF(INDEX(Dossiers!$F$4:$F$63,30)="","",INDEX(Dossiers!$F$4:$F$63,30)))</f>
        <v/>
      </c>
      <c r="K1589" s="29">
        <f>IF($B1589="","",IF(INDEX(Dossiers!$G$4:$G$63,30)="","",INDEX(Dossiers!$G$4:$G$63,30)))</f>
        <v/>
      </c>
    </row>
    <row r="1590">
      <c r="A1590">
        <f>IF($B1590="","",INDEX(Dossiers!$E$4:$E$63,30))</f>
        <v/>
      </c>
      <c r="B1590">
        <f>IF(INDEX(Suivi!$B:$B,1620)="","",INDEX(Suivi!$B:$B,1620))</f>
        <v/>
      </c>
      <c r="C1590">
        <f>IF($B1590="","",IF(INDEX(Suivi!$D:$D,1620)="",INDEX(Suivi!$C:$C,1620),INDEX(Suivi!$D:$D,1620)))</f>
        <v/>
      </c>
      <c r="D1590" s="29">
        <f>IF($B1590="","",INDEX(Suivi!$E:$E,1620))</f>
        <v/>
      </c>
      <c r="E1590" s="29">
        <f>IF($B1590="","",INDEX(Suivi!$F:$F,1620))</f>
        <v/>
      </c>
      <c r="F1590">
        <f>IF($B1590="","",INDEX(Suivi!$G:$G,1620))</f>
        <v/>
      </c>
      <c r="H1590">
        <f>IF(OR($B1590="",NOT(ISNUMBER($D1590))),"",IF($E1590&lt;$D$2,"Passé",IF($D1590&gt;$F$2,"À venir","Dans la période")))</f>
        <v/>
      </c>
      <c r="I1590">
        <f>IF(OR($B1590="",NOT(ISNUMBER($D1590))),"",IF(AND($E1590&lt;$D$2,$G1590&lt;&gt;"X",$F1590&lt;&gt;"Réalisé",$F1590&lt;&gt;"Clôturé"),"RETARD",""))</f>
        <v/>
      </c>
      <c r="J1590" s="29">
        <f>IF($B1590="","",IF(INDEX(Dossiers!$F$4:$F$63,30)="","",INDEX(Dossiers!$F$4:$F$63,30)))</f>
        <v/>
      </c>
      <c r="K1590" s="29">
        <f>IF($B1590="","",IF(INDEX(Dossiers!$G$4:$G$63,30)="","",INDEX(Dossiers!$G$4:$G$63,30)))</f>
        <v/>
      </c>
    </row>
    <row r="1591">
      <c r="A1591">
        <f>IF($B1591="","",INDEX(Dossiers!$E$4:$E$63,30))</f>
        <v/>
      </c>
      <c r="B1591">
        <f>IF(INDEX(Suivi!$B:$B,1621)="","",INDEX(Suivi!$B:$B,1621))</f>
        <v/>
      </c>
      <c r="C1591">
        <f>IF($B1591="","",IF(INDEX(Suivi!$D:$D,1621)="",INDEX(Suivi!$C:$C,1621),INDEX(Suivi!$D:$D,1621)))</f>
        <v/>
      </c>
      <c r="D1591" s="29">
        <f>IF($B1591="","",INDEX(Suivi!$E:$E,1621))</f>
        <v/>
      </c>
      <c r="E1591" s="29">
        <f>IF($B1591="","",INDEX(Suivi!$F:$F,1621))</f>
        <v/>
      </c>
      <c r="F1591">
        <f>IF($B1591="","",INDEX(Suivi!$G:$G,1621))</f>
        <v/>
      </c>
      <c r="H1591">
        <f>IF(OR($B1591="",NOT(ISNUMBER($D1591))),"",IF($E1591&lt;$D$2,"Passé",IF($D1591&gt;$F$2,"À venir","Dans la période")))</f>
        <v/>
      </c>
      <c r="I1591">
        <f>IF(OR($B1591="",NOT(ISNUMBER($D1591))),"",IF(AND($E1591&lt;$D$2,$G1591&lt;&gt;"X",$F1591&lt;&gt;"Réalisé",$F1591&lt;&gt;"Clôturé"),"RETARD",""))</f>
        <v/>
      </c>
      <c r="J1591" s="29">
        <f>IF($B1591="","",IF(INDEX(Dossiers!$F$4:$F$63,30)="","",INDEX(Dossiers!$F$4:$F$63,30)))</f>
        <v/>
      </c>
      <c r="K1591" s="29">
        <f>IF($B1591="","",IF(INDEX(Dossiers!$G$4:$G$63,30)="","",INDEX(Dossiers!$G$4:$G$63,30)))</f>
        <v/>
      </c>
    </row>
    <row r="1592">
      <c r="A1592">
        <f>IF($B1592="","",INDEX(Dossiers!$E$4:$E$63,30))</f>
        <v/>
      </c>
      <c r="B1592">
        <f>IF(INDEX(Suivi!$B:$B,1622)="","",INDEX(Suivi!$B:$B,1622))</f>
        <v/>
      </c>
      <c r="C1592">
        <f>IF($B1592="","",IF(INDEX(Suivi!$D:$D,1622)="",INDEX(Suivi!$C:$C,1622),INDEX(Suivi!$D:$D,1622)))</f>
        <v/>
      </c>
      <c r="D1592" s="29">
        <f>IF($B1592="","",INDEX(Suivi!$E:$E,1622))</f>
        <v/>
      </c>
      <c r="E1592" s="29">
        <f>IF($B1592="","",INDEX(Suivi!$F:$F,1622))</f>
        <v/>
      </c>
      <c r="F1592">
        <f>IF($B1592="","",INDEX(Suivi!$G:$G,1622))</f>
        <v/>
      </c>
      <c r="H1592">
        <f>IF(OR($B1592="",NOT(ISNUMBER($D1592))),"",IF($E1592&lt;$D$2,"Passé",IF($D1592&gt;$F$2,"À venir","Dans la période")))</f>
        <v/>
      </c>
      <c r="I1592">
        <f>IF(OR($B1592="",NOT(ISNUMBER($D1592))),"",IF(AND($E1592&lt;$D$2,$G1592&lt;&gt;"X",$F1592&lt;&gt;"Réalisé",$F1592&lt;&gt;"Clôturé"),"RETARD",""))</f>
        <v/>
      </c>
      <c r="J1592" s="29">
        <f>IF($B1592="","",IF(INDEX(Dossiers!$F$4:$F$63,30)="","",INDEX(Dossiers!$F$4:$F$63,30)))</f>
        <v/>
      </c>
      <c r="K1592" s="29">
        <f>IF($B1592="","",IF(INDEX(Dossiers!$G$4:$G$63,30)="","",INDEX(Dossiers!$G$4:$G$63,30)))</f>
        <v/>
      </c>
    </row>
    <row r="1593">
      <c r="A1593">
        <f>IF($B1593="","",INDEX(Dossiers!$E$4:$E$63,30))</f>
        <v/>
      </c>
      <c r="B1593">
        <f>IF(INDEX(Suivi!$B:$B,1623)="","",INDEX(Suivi!$B:$B,1623))</f>
        <v/>
      </c>
      <c r="C1593">
        <f>IF($B1593="","",IF(INDEX(Suivi!$D:$D,1623)="",INDEX(Suivi!$C:$C,1623),INDEX(Suivi!$D:$D,1623)))</f>
        <v/>
      </c>
      <c r="D1593" s="29">
        <f>IF($B1593="","",INDEX(Suivi!$E:$E,1623))</f>
        <v/>
      </c>
      <c r="E1593" s="29">
        <f>IF($B1593="","",INDEX(Suivi!$F:$F,1623))</f>
        <v/>
      </c>
      <c r="F1593">
        <f>IF($B1593="","",INDEX(Suivi!$G:$G,1623))</f>
        <v/>
      </c>
      <c r="H1593">
        <f>IF(OR($B1593="",NOT(ISNUMBER($D1593))),"",IF($E1593&lt;$D$2,"Passé",IF($D1593&gt;$F$2,"À venir","Dans la période")))</f>
        <v/>
      </c>
      <c r="I1593">
        <f>IF(OR($B1593="",NOT(ISNUMBER($D1593))),"",IF(AND($E1593&lt;$D$2,$G1593&lt;&gt;"X",$F1593&lt;&gt;"Réalisé",$F1593&lt;&gt;"Clôturé"),"RETARD",""))</f>
        <v/>
      </c>
      <c r="J1593" s="29">
        <f>IF($B1593="","",IF(INDEX(Dossiers!$F$4:$F$63,30)="","",INDEX(Dossiers!$F$4:$F$63,30)))</f>
        <v/>
      </c>
      <c r="K1593" s="29">
        <f>IF($B1593="","",IF(INDEX(Dossiers!$G$4:$G$63,30)="","",INDEX(Dossiers!$G$4:$G$63,30)))</f>
        <v/>
      </c>
    </row>
    <row r="1594">
      <c r="A1594">
        <f>IF($B1594="","",INDEX(Dossiers!$E$4:$E$63,31))</f>
        <v/>
      </c>
      <c r="B1594">
        <f>IF(INDEX(Suivi!$B:$B,1625)="","",INDEX(Suivi!$B:$B,1625))</f>
        <v/>
      </c>
      <c r="C1594">
        <f>IF($B1594="","",IF(INDEX(Suivi!$D:$D,1625)="",INDEX(Suivi!$C:$C,1625),INDEX(Suivi!$D:$D,1625)))</f>
        <v/>
      </c>
      <c r="D1594" s="29">
        <f>IF($B1594="","",INDEX(Suivi!$E:$E,1625))</f>
        <v/>
      </c>
      <c r="E1594" s="29">
        <f>IF($B1594="","",INDEX(Suivi!$F:$F,1625))</f>
        <v/>
      </c>
      <c r="F1594">
        <f>IF($B1594="","",INDEX(Suivi!$G:$G,1625))</f>
        <v/>
      </c>
      <c r="H1594">
        <f>IF(OR($B1594="",NOT(ISNUMBER($D1594))),"",IF($E1594&lt;$D$2,"Passé",IF($D1594&gt;$F$2,"À venir","Dans la période")))</f>
        <v/>
      </c>
      <c r="I1594">
        <f>IF(OR($B1594="",NOT(ISNUMBER($D1594))),"",IF(AND($E1594&lt;$D$2,$G1594&lt;&gt;"X",$F1594&lt;&gt;"Réalisé",$F1594&lt;&gt;"Clôturé"),"RETARD",""))</f>
        <v/>
      </c>
      <c r="J1594" s="29">
        <f>IF($B1594="","",IF(INDEX(Dossiers!$F$4:$F$63,31)="","",INDEX(Dossiers!$F$4:$F$63,31)))</f>
        <v/>
      </c>
      <c r="K1594" s="29">
        <f>IF($B1594="","",IF(INDEX(Dossiers!$G$4:$G$63,31)="","",INDEX(Dossiers!$G$4:$G$63,31)))</f>
        <v/>
      </c>
    </row>
    <row r="1595">
      <c r="A1595">
        <f>IF($B1595="","",INDEX(Dossiers!$E$4:$E$63,31))</f>
        <v/>
      </c>
      <c r="B1595">
        <f>IF(INDEX(Suivi!$B:$B,1626)="","",INDEX(Suivi!$B:$B,1626))</f>
        <v/>
      </c>
      <c r="C1595">
        <f>IF($B1595="","",IF(INDEX(Suivi!$D:$D,1626)="",INDEX(Suivi!$C:$C,1626),INDEX(Suivi!$D:$D,1626)))</f>
        <v/>
      </c>
      <c r="D1595" s="29">
        <f>IF($B1595="","",INDEX(Suivi!$E:$E,1626))</f>
        <v/>
      </c>
      <c r="E1595" s="29">
        <f>IF($B1595="","",INDEX(Suivi!$F:$F,1626))</f>
        <v/>
      </c>
      <c r="F1595">
        <f>IF($B1595="","",INDEX(Suivi!$G:$G,1626))</f>
        <v/>
      </c>
      <c r="H1595">
        <f>IF(OR($B1595="",NOT(ISNUMBER($D1595))),"",IF($E1595&lt;$D$2,"Passé",IF($D1595&gt;$F$2,"À venir","Dans la période")))</f>
        <v/>
      </c>
      <c r="I1595">
        <f>IF(OR($B1595="",NOT(ISNUMBER($D1595))),"",IF(AND($E1595&lt;$D$2,$G1595&lt;&gt;"X",$F1595&lt;&gt;"Réalisé",$F1595&lt;&gt;"Clôturé"),"RETARD",""))</f>
        <v/>
      </c>
      <c r="J1595" s="29">
        <f>IF($B1595="","",IF(INDEX(Dossiers!$F$4:$F$63,31)="","",INDEX(Dossiers!$F$4:$F$63,31)))</f>
        <v/>
      </c>
      <c r="K1595" s="29">
        <f>IF($B1595="","",IF(INDEX(Dossiers!$G$4:$G$63,31)="","",INDEX(Dossiers!$G$4:$G$63,31)))</f>
        <v/>
      </c>
    </row>
    <row r="1596">
      <c r="A1596">
        <f>IF($B1596="","",INDEX(Dossiers!$E$4:$E$63,31))</f>
        <v/>
      </c>
      <c r="B1596">
        <f>IF(INDEX(Suivi!$B:$B,1627)="","",INDEX(Suivi!$B:$B,1627))</f>
        <v/>
      </c>
      <c r="C1596">
        <f>IF($B1596="","",IF(INDEX(Suivi!$D:$D,1627)="",INDEX(Suivi!$C:$C,1627),INDEX(Suivi!$D:$D,1627)))</f>
        <v/>
      </c>
      <c r="D1596" s="29">
        <f>IF($B1596="","",INDEX(Suivi!$E:$E,1627))</f>
        <v/>
      </c>
      <c r="E1596" s="29">
        <f>IF($B1596="","",INDEX(Suivi!$F:$F,1627))</f>
        <v/>
      </c>
      <c r="F1596">
        <f>IF($B1596="","",INDEX(Suivi!$G:$G,1627))</f>
        <v/>
      </c>
      <c r="H1596">
        <f>IF(OR($B1596="",NOT(ISNUMBER($D1596))),"",IF($E1596&lt;$D$2,"Passé",IF($D1596&gt;$F$2,"À venir","Dans la période")))</f>
        <v/>
      </c>
      <c r="I1596">
        <f>IF(OR($B1596="",NOT(ISNUMBER($D1596))),"",IF(AND($E1596&lt;$D$2,$G1596&lt;&gt;"X",$F1596&lt;&gt;"Réalisé",$F1596&lt;&gt;"Clôturé"),"RETARD",""))</f>
        <v/>
      </c>
      <c r="J1596" s="29">
        <f>IF($B1596="","",IF(INDEX(Dossiers!$F$4:$F$63,31)="","",INDEX(Dossiers!$F$4:$F$63,31)))</f>
        <v/>
      </c>
      <c r="K1596" s="29">
        <f>IF($B1596="","",IF(INDEX(Dossiers!$G$4:$G$63,31)="","",INDEX(Dossiers!$G$4:$G$63,31)))</f>
        <v/>
      </c>
    </row>
    <row r="1597">
      <c r="A1597">
        <f>IF($B1597="","",INDEX(Dossiers!$E$4:$E$63,31))</f>
        <v/>
      </c>
      <c r="B1597">
        <f>IF(INDEX(Suivi!$B:$B,1628)="","",INDEX(Suivi!$B:$B,1628))</f>
        <v/>
      </c>
      <c r="C1597">
        <f>IF($B1597="","",IF(INDEX(Suivi!$D:$D,1628)="",INDEX(Suivi!$C:$C,1628),INDEX(Suivi!$D:$D,1628)))</f>
        <v/>
      </c>
      <c r="D1597" s="29">
        <f>IF($B1597="","",INDEX(Suivi!$E:$E,1628))</f>
        <v/>
      </c>
      <c r="E1597" s="29">
        <f>IF($B1597="","",INDEX(Suivi!$F:$F,1628))</f>
        <v/>
      </c>
      <c r="F1597">
        <f>IF($B1597="","",INDEX(Suivi!$G:$G,1628))</f>
        <v/>
      </c>
      <c r="H1597">
        <f>IF(OR($B1597="",NOT(ISNUMBER($D1597))),"",IF($E1597&lt;$D$2,"Passé",IF($D1597&gt;$F$2,"À venir","Dans la période")))</f>
        <v/>
      </c>
      <c r="I1597">
        <f>IF(OR($B1597="",NOT(ISNUMBER($D1597))),"",IF(AND($E1597&lt;$D$2,$G1597&lt;&gt;"X",$F1597&lt;&gt;"Réalisé",$F1597&lt;&gt;"Clôturé"),"RETARD",""))</f>
        <v/>
      </c>
      <c r="J1597" s="29">
        <f>IF($B1597="","",IF(INDEX(Dossiers!$F$4:$F$63,31)="","",INDEX(Dossiers!$F$4:$F$63,31)))</f>
        <v/>
      </c>
      <c r="K1597" s="29">
        <f>IF($B1597="","",IF(INDEX(Dossiers!$G$4:$G$63,31)="","",INDEX(Dossiers!$G$4:$G$63,31)))</f>
        <v/>
      </c>
    </row>
    <row r="1598">
      <c r="A1598">
        <f>IF($B1598="","",INDEX(Dossiers!$E$4:$E$63,31))</f>
        <v/>
      </c>
      <c r="B1598">
        <f>IF(INDEX(Suivi!$B:$B,1629)="","",INDEX(Suivi!$B:$B,1629))</f>
        <v/>
      </c>
      <c r="C1598">
        <f>IF($B1598="","",IF(INDEX(Suivi!$D:$D,1629)="",INDEX(Suivi!$C:$C,1629),INDEX(Suivi!$D:$D,1629)))</f>
        <v/>
      </c>
      <c r="D1598" s="29">
        <f>IF($B1598="","",INDEX(Suivi!$E:$E,1629))</f>
        <v/>
      </c>
      <c r="E1598" s="29">
        <f>IF($B1598="","",INDEX(Suivi!$F:$F,1629))</f>
        <v/>
      </c>
      <c r="F1598">
        <f>IF($B1598="","",INDEX(Suivi!$G:$G,1629))</f>
        <v/>
      </c>
      <c r="H1598">
        <f>IF(OR($B1598="",NOT(ISNUMBER($D1598))),"",IF($E1598&lt;$D$2,"Passé",IF($D1598&gt;$F$2,"À venir","Dans la période")))</f>
        <v/>
      </c>
      <c r="I1598">
        <f>IF(OR($B1598="",NOT(ISNUMBER($D1598))),"",IF(AND($E1598&lt;$D$2,$G1598&lt;&gt;"X",$F1598&lt;&gt;"Réalisé",$F1598&lt;&gt;"Clôturé"),"RETARD",""))</f>
        <v/>
      </c>
      <c r="J1598" s="29">
        <f>IF($B1598="","",IF(INDEX(Dossiers!$F$4:$F$63,31)="","",INDEX(Dossiers!$F$4:$F$63,31)))</f>
        <v/>
      </c>
      <c r="K1598" s="29">
        <f>IF($B1598="","",IF(INDEX(Dossiers!$G$4:$G$63,31)="","",INDEX(Dossiers!$G$4:$G$63,31)))</f>
        <v/>
      </c>
    </row>
    <row r="1599">
      <c r="A1599">
        <f>IF($B1599="","",INDEX(Dossiers!$E$4:$E$63,31))</f>
        <v/>
      </c>
      <c r="B1599">
        <f>IF(INDEX(Suivi!$B:$B,1630)="","",INDEX(Suivi!$B:$B,1630))</f>
        <v/>
      </c>
      <c r="C1599">
        <f>IF($B1599="","",IF(INDEX(Suivi!$D:$D,1630)="",INDEX(Suivi!$C:$C,1630),INDEX(Suivi!$D:$D,1630)))</f>
        <v/>
      </c>
      <c r="D1599" s="29">
        <f>IF($B1599="","",INDEX(Suivi!$E:$E,1630))</f>
        <v/>
      </c>
      <c r="E1599" s="29">
        <f>IF($B1599="","",INDEX(Suivi!$F:$F,1630))</f>
        <v/>
      </c>
      <c r="F1599">
        <f>IF($B1599="","",INDEX(Suivi!$G:$G,1630))</f>
        <v/>
      </c>
      <c r="H1599">
        <f>IF(OR($B1599="",NOT(ISNUMBER($D1599))),"",IF($E1599&lt;$D$2,"Passé",IF($D1599&gt;$F$2,"À venir","Dans la période")))</f>
        <v/>
      </c>
      <c r="I1599">
        <f>IF(OR($B1599="",NOT(ISNUMBER($D1599))),"",IF(AND($E1599&lt;$D$2,$G1599&lt;&gt;"X",$F1599&lt;&gt;"Réalisé",$F1599&lt;&gt;"Clôturé"),"RETARD",""))</f>
        <v/>
      </c>
      <c r="J1599" s="29">
        <f>IF($B1599="","",IF(INDEX(Dossiers!$F$4:$F$63,31)="","",INDEX(Dossiers!$F$4:$F$63,31)))</f>
        <v/>
      </c>
      <c r="K1599" s="29">
        <f>IF($B1599="","",IF(INDEX(Dossiers!$G$4:$G$63,31)="","",INDEX(Dossiers!$G$4:$G$63,31)))</f>
        <v/>
      </c>
    </row>
    <row r="1600">
      <c r="A1600">
        <f>IF($B1600="","",INDEX(Dossiers!$E$4:$E$63,31))</f>
        <v/>
      </c>
      <c r="B1600">
        <f>IF(INDEX(Suivi!$B:$B,1631)="","",INDEX(Suivi!$B:$B,1631))</f>
        <v/>
      </c>
      <c r="C1600">
        <f>IF($B1600="","",IF(INDEX(Suivi!$D:$D,1631)="",INDEX(Suivi!$C:$C,1631),INDEX(Suivi!$D:$D,1631)))</f>
        <v/>
      </c>
      <c r="D1600" s="29">
        <f>IF($B1600="","",INDEX(Suivi!$E:$E,1631))</f>
        <v/>
      </c>
      <c r="E1600" s="29">
        <f>IF($B1600="","",INDEX(Suivi!$F:$F,1631))</f>
        <v/>
      </c>
      <c r="F1600">
        <f>IF($B1600="","",INDEX(Suivi!$G:$G,1631))</f>
        <v/>
      </c>
      <c r="H1600">
        <f>IF(OR($B1600="",NOT(ISNUMBER($D1600))),"",IF($E1600&lt;$D$2,"Passé",IF($D1600&gt;$F$2,"À venir","Dans la période")))</f>
        <v/>
      </c>
      <c r="I1600">
        <f>IF(OR($B1600="",NOT(ISNUMBER($D1600))),"",IF(AND($E1600&lt;$D$2,$G1600&lt;&gt;"X",$F1600&lt;&gt;"Réalisé",$F1600&lt;&gt;"Clôturé"),"RETARD",""))</f>
        <v/>
      </c>
      <c r="J1600" s="29">
        <f>IF($B1600="","",IF(INDEX(Dossiers!$F$4:$F$63,31)="","",INDEX(Dossiers!$F$4:$F$63,31)))</f>
        <v/>
      </c>
      <c r="K1600" s="29">
        <f>IF($B1600="","",IF(INDEX(Dossiers!$G$4:$G$63,31)="","",INDEX(Dossiers!$G$4:$G$63,31)))</f>
        <v/>
      </c>
    </row>
    <row r="1601">
      <c r="A1601">
        <f>IF($B1601="","",INDEX(Dossiers!$E$4:$E$63,31))</f>
        <v/>
      </c>
      <c r="B1601">
        <f>IF(INDEX(Suivi!$B:$B,1632)="","",INDEX(Suivi!$B:$B,1632))</f>
        <v/>
      </c>
      <c r="C1601">
        <f>IF($B1601="","",IF(INDEX(Suivi!$D:$D,1632)="",INDEX(Suivi!$C:$C,1632),INDEX(Suivi!$D:$D,1632)))</f>
        <v/>
      </c>
      <c r="D1601" s="29">
        <f>IF($B1601="","",INDEX(Suivi!$E:$E,1632))</f>
        <v/>
      </c>
      <c r="E1601" s="29">
        <f>IF($B1601="","",INDEX(Suivi!$F:$F,1632))</f>
        <v/>
      </c>
      <c r="F1601">
        <f>IF($B1601="","",INDEX(Suivi!$G:$G,1632))</f>
        <v/>
      </c>
      <c r="H1601">
        <f>IF(OR($B1601="",NOT(ISNUMBER($D1601))),"",IF($E1601&lt;$D$2,"Passé",IF($D1601&gt;$F$2,"À venir","Dans la période")))</f>
        <v/>
      </c>
      <c r="I1601">
        <f>IF(OR($B1601="",NOT(ISNUMBER($D1601))),"",IF(AND($E1601&lt;$D$2,$G1601&lt;&gt;"X",$F1601&lt;&gt;"Réalisé",$F1601&lt;&gt;"Clôturé"),"RETARD",""))</f>
        <v/>
      </c>
      <c r="J1601" s="29">
        <f>IF($B1601="","",IF(INDEX(Dossiers!$F$4:$F$63,31)="","",INDEX(Dossiers!$F$4:$F$63,31)))</f>
        <v/>
      </c>
      <c r="K1601" s="29">
        <f>IF($B1601="","",IF(INDEX(Dossiers!$G$4:$G$63,31)="","",INDEX(Dossiers!$G$4:$G$63,31)))</f>
        <v/>
      </c>
    </row>
    <row r="1602">
      <c r="A1602">
        <f>IF($B1602="","",INDEX(Dossiers!$E$4:$E$63,31))</f>
        <v/>
      </c>
      <c r="B1602">
        <f>IF(INDEX(Suivi!$B:$B,1633)="","",INDEX(Suivi!$B:$B,1633))</f>
        <v/>
      </c>
      <c r="C1602">
        <f>IF($B1602="","",IF(INDEX(Suivi!$D:$D,1633)="",INDEX(Suivi!$C:$C,1633),INDEX(Suivi!$D:$D,1633)))</f>
        <v/>
      </c>
      <c r="D1602" s="29">
        <f>IF($B1602="","",INDEX(Suivi!$E:$E,1633))</f>
        <v/>
      </c>
      <c r="E1602" s="29">
        <f>IF($B1602="","",INDEX(Suivi!$F:$F,1633))</f>
        <v/>
      </c>
      <c r="F1602">
        <f>IF($B1602="","",INDEX(Suivi!$G:$G,1633))</f>
        <v/>
      </c>
      <c r="H1602">
        <f>IF(OR($B1602="",NOT(ISNUMBER($D1602))),"",IF($E1602&lt;$D$2,"Passé",IF($D1602&gt;$F$2,"À venir","Dans la période")))</f>
        <v/>
      </c>
      <c r="I1602">
        <f>IF(OR($B1602="",NOT(ISNUMBER($D1602))),"",IF(AND($E1602&lt;$D$2,$G1602&lt;&gt;"X",$F1602&lt;&gt;"Réalisé",$F1602&lt;&gt;"Clôturé"),"RETARD",""))</f>
        <v/>
      </c>
      <c r="J1602" s="29">
        <f>IF($B1602="","",IF(INDEX(Dossiers!$F$4:$F$63,31)="","",INDEX(Dossiers!$F$4:$F$63,31)))</f>
        <v/>
      </c>
      <c r="K1602" s="29">
        <f>IF($B1602="","",IF(INDEX(Dossiers!$G$4:$G$63,31)="","",INDEX(Dossiers!$G$4:$G$63,31)))</f>
        <v/>
      </c>
    </row>
    <row r="1603">
      <c r="A1603">
        <f>IF($B1603="","",INDEX(Dossiers!$E$4:$E$63,31))</f>
        <v/>
      </c>
      <c r="B1603">
        <f>IF(INDEX(Suivi!$B:$B,1634)="","",INDEX(Suivi!$B:$B,1634))</f>
        <v/>
      </c>
      <c r="C1603">
        <f>IF($B1603="","",IF(INDEX(Suivi!$D:$D,1634)="",INDEX(Suivi!$C:$C,1634),INDEX(Suivi!$D:$D,1634)))</f>
        <v/>
      </c>
      <c r="D1603" s="29">
        <f>IF($B1603="","",INDEX(Suivi!$E:$E,1634))</f>
        <v/>
      </c>
      <c r="E1603" s="29">
        <f>IF($B1603="","",INDEX(Suivi!$F:$F,1634))</f>
        <v/>
      </c>
      <c r="F1603">
        <f>IF($B1603="","",INDEX(Suivi!$G:$G,1634))</f>
        <v/>
      </c>
      <c r="H1603">
        <f>IF(OR($B1603="",NOT(ISNUMBER($D1603))),"",IF($E1603&lt;$D$2,"Passé",IF($D1603&gt;$F$2,"À venir","Dans la période")))</f>
        <v/>
      </c>
      <c r="I1603">
        <f>IF(OR($B1603="",NOT(ISNUMBER($D1603))),"",IF(AND($E1603&lt;$D$2,$G1603&lt;&gt;"X",$F1603&lt;&gt;"Réalisé",$F1603&lt;&gt;"Clôturé"),"RETARD",""))</f>
        <v/>
      </c>
      <c r="J1603" s="29">
        <f>IF($B1603="","",IF(INDEX(Dossiers!$F$4:$F$63,31)="","",INDEX(Dossiers!$F$4:$F$63,31)))</f>
        <v/>
      </c>
      <c r="K1603" s="29">
        <f>IF($B1603="","",IF(INDEX(Dossiers!$G$4:$G$63,31)="","",INDEX(Dossiers!$G$4:$G$63,31)))</f>
        <v/>
      </c>
    </row>
    <row r="1604">
      <c r="A1604">
        <f>IF($B1604="","",INDEX(Dossiers!$E$4:$E$63,31))</f>
        <v/>
      </c>
      <c r="B1604">
        <f>IF(INDEX(Suivi!$B:$B,1635)="","",INDEX(Suivi!$B:$B,1635))</f>
        <v/>
      </c>
      <c r="C1604">
        <f>IF($B1604="","",IF(INDEX(Suivi!$D:$D,1635)="",INDEX(Suivi!$C:$C,1635),INDEX(Suivi!$D:$D,1635)))</f>
        <v/>
      </c>
      <c r="D1604" s="29">
        <f>IF($B1604="","",INDEX(Suivi!$E:$E,1635))</f>
        <v/>
      </c>
      <c r="E1604" s="29">
        <f>IF($B1604="","",INDEX(Suivi!$F:$F,1635))</f>
        <v/>
      </c>
      <c r="F1604">
        <f>IF($B1604="","",INDEX(Suivi!$G:$G,1635))</f>
        <v/>
      </c>
      <c r="H1604">
        <f>IF(OR($B1604="",NOT(ISNUMBER($D1604))),"",IF($E1604&lt;$D$2,"Passé",IF($D1604&gt;$F$2,"À venir","Dans la période")))</f>
        <v/>
      </c>
      <c r="I1604">
        <f>IF(OR($B1604="",NOT(ISNUMBER($D1604))),"",IF(AND($E1604&lt;$D$2,$G1604&lt;&gt;"X",$F1604&lt;&gt;"Réalisé",$F1604&lt;&gt;"Clôturé"),"RETARD",""))</f>
        <v/>
      </c>
      <c r="J1604" s="29">
        <f>IF($B1604="","",IF(INDEX(Dossiers!$F$4:$F$63,31)="","",INDEX(Dossiers!$F$4:$F$63,31)))</f>
        <v/>
      </c>
      <c r="K1604" s="29">
        <f>IF($B1604="","",IF(INDEX(Dossiers!$G$4:$G$63,31)="","",INDEX(Dossiers!$G$4:$G$63,31)))</f>
        <v/>
      </c>
    </row>
    <row r="1605">
      <c r="A1605">
        <f>IF($B1605="","",INDEX(Dossiers!$E$4:$E$63,31))</f>
        <v/>
      </c>
      <c r="B1605">
        <f>IF(INDEX(Suivi!$B:$B,1636)="","",INDEX(Suivi!$B:$B,1636))</f>
        <v/>
      </c>
      <c r="C1605">
        <f>IF($B1605="","",IF(INDEX(Suivi!$D:$D,1636)="",INDEX(Suivi!$C:$C,1636),INDEX(Suivi!$D:$D,1636)))</f>
        <v/>
      </c>
      <c r="D1605" s="29">
        <f>IF($B1605="","",INDEX(Suivi!$E:$E,1636))</f>
        <v/>
      </c>
      <c r="E1605" s="29">
        <f>IF($B1605="","",INDEX(Suivi!$F:$F,1636))</f>
        <v/>
      </c>
      <c r="F1605">
        <f>IF($B1605="","",INDEX(Suivi!$G:$G,1636))</f>
        <v/>
      </c>
      <c r="H1605">
        <f>IF(OR($B1605="",NOT(ISNUMBER($D1605))),"",IF($E1605&lt;$D$2,"Passé",IF($D1605&gt;$F$2,"À venir","Dans la période")))</f>
        <v/>
      </c>
      <c r="I1605">
        <f>IF(OR($B1605="",NOT(ISNUMBER($D1605))),"",IF(AND($E1605&lt;$D$2,$G1605&lt;&gt;"X",$F1605&lt;&gt;"Réalisé",$F1605&lt;&gt;"Clôturé"),"RETARD",""))</f>
        <v/>
      </c>
      <c r="J1605" s="29">
        <f>IF($B1605="","",IF(INDEX(Dossiers!$F$4:$F$63,31)="","",INDEX(Dossiers!$F$4:$F$63,31)))</f>
        <v/>
      </c>
      <c r="K1605" s="29">
        <f>IF($B1605="","",IF(INDEX(Dossiers!$G$4:$G$63,31)="","",INDEX(Dossiers!$G$4:$G$63,31)))</f>
        <v/>
      </c>
    </row>
    <row r="1606">
      <c r="A1606">
        <f>IF($B1606="","",INDEX(Dossiers!$E$4:$E$63,31))</f>
        <v/>
      </c>
      <c r="B1606">
        <f>IF(INDEX(Suivi!$B:$B,1637)="","",INDEX(Suivi!$B:$B,1637))</f>
        <v/>
      </c>
      <c r="C1606">
        <f>IF($B1606="","",IF(INDEX(Suivi!$D:$D,1637)="",INDEX(Suivi!$C:$C,1637),INDEX(Suivi!$D:$D,1637)))</f>
        <v/>
      </c>
      <c r="D1606" s="29">
        <f>IF($B1606="","",INDEX(Suivi!$E:$E,1637))</f>
        <v/>
      </c>
      <c r="E1606" s="29">
        <f>IF($B1606="","",INDEX(Suivi!$F:$F,1637))</f>
        <v/>
      </c>
      <c r="F1606">
        <f>IF($B1606="","",INDEX(Suivi!$G:$G,1637))</f>
        <v/>
      </c>
      <c r="H1606">
        <f>IF(OR($B1606="",NOT(ISNUMBER($D1606))),"",IF($E1606&lt;$D$2,"Passé",IF($D1606&gt;$F$2,"À venir","Dans la période")))</f>
        <v/>
      </c>
      <c r="I1606">
        <f>IF(OR($B1606="",NOT(ISNUMBER($D1606))),"",IF(AND($E1606&lt;$D$2,$G1606&lt;&gt;"X",$F1606&lt;&gt;"Réalisé",$F1606&lt;&gt;"Clôturé"),"RETARD",""))</f>
        <v/>
      </c>
      <c r="J1606" s="29">
        <f>IF($B1606="","",IF(INDEX(Dossiers!$F$4:$F$63,31)="","",INDEX(Dossiers!$F$4:$F$63,31)))</f>
        <v/>
      </c>
      <c r="K1606" s="29">
        <f>IF($B1606="","",IF(INDEX(Dossiers!$G$4:$G$63,31)="","",INDEX(Dossiers!$G$4:$G$63,31)))</f>
        <v/>
      </c>
    </row>
    <row r="1607">
      <c r="A1607">
        <f>IF($B1607="","",INDEX(Dossiers!$E$4:$E$63,31))</f>
        <v/>
      </c>
      <c r="B1607">
        <f>IF(INDEX(Suivi!$B:$B,1638)="","",INDEX(Suivi!$B:$B,1638))</f>
        <v/>
      </c>
      <c r="C1607">
        <f>IF($B1607="","",IF(INDEX(Suivi!$D:$D,1638)="",INDEX(Suivi!$C:$C,1638),INDEX(Suivi!$D:$D,1638)))</f>
        <v/>
      </c>
      <c r="D1607" s="29">
        <f>IF($B1607="","",INDEX(Suivi!$E:$E,1638))</f>
        <v/>
      </c>
      <c r="E1607" s="29">
        <f>IF($B1607="","",INDEX(Suivi!$F:$F,1638))</f>
        <v/>
      </c>
      <c r="F1607">
        <f>IF($B1607="","",INDEX(Suivi!$G:$G,1638))</f>
        <v/>
      </c>
      <c r="H1607">
        <f>IF(OR($B1607="",NOT(ISNUMBER($D1607))),"",IF($E1607&lt;$D$2,"Passé",IF($D1607&gt;$F$2,"À venir","Dans la période")))</f>
        <v/>
      </c>
      <c r="I1607">
        <f>IF(OR($B1607="",NOT(ISNUMBER($D1607))),"",IF(AND($E1607&lt;$D$2,$G1607&lt;&gt;"X",$F1607&lt;&gt;"Réalisé",$F1607&lt;&gt;"Clôturé"),"RETARD",""))</f>
        <v/>
      </c>
      <c r="J1607" s="29">
        <f>IF($B1607="","",IF(INDEX(Dossiers!$F$4:$F$63,31)="","",INDEX(Dossiers!$F$4:$F$63,31)))</f>
        <v/>
      </c>
      <c r="K1607" s="29">
        <f>IF($B1607="","",IF(INDEX(Dossiers!$G$4:$G$63,31)="","",INDEX(Dossiers!$G$4:$G$63,31)))</f>
        <v/>
      </c>
    </row>
    <row r="1608">
      <c r="A1608">
        <f>IF($B1608="","",INDEX(Dossiers!$E$4:$E$63,31))</f>
        <v/>
      </c>
      <c r="B1608">
        <f>IF(INDEX(Suivi!$B:$B,1639)="","",INDEX(Suivi!$B:$B,1639))</f>
        <v/>
      </c>
      <c r="C1608">
        <f>IF($B1608="","",IF(INDEX(Suivi!$D:$D,1639)="",INDEX(Suivi!$C:$C,1639),INDEX(Suivi!$D:$D,1639)))</f>
        <v/>
      </c>
      <c r="D1608" s="29">
        <f>IF($B1608="","",INDEX(Suivi!$E:$E,1639))</f>
        <v/>
      </c>
      <c r="E1608" s="29">
        <f>IF($B1608="","",INDEX(Suivi!$F:$F,1639))</f>
        <v/>
      </c>
      <c r="F1608">
        <f>IF($B1608="","",INDEX(Suivi!$G:$G,1639))</f>
        <v/>
      </c>
      <c r="H1608">
        <f>IF(OR($B1608="",NOT(ISNUMBER($D1608))),"",IF($E1608&lt;$D$2,"Passé",IF($D1608&gt;$F$2,"À venir","Dans la période")))</f>
        <v/>
      </c>
      <c r="I1608">
        <f>IF(OR($B1608="",NOT(ISNUMBER($D1608))),"",IF(AND($E1608&lt;$D$2,$G1608&lt;&gt;"X",$F1608&lt;&gt;"Réalisé",$F1608&lt;&gt;"Clôturé"),"RETARD",""))</f>
        <v/>
      </c>
      <c r="J1608" s="29">
        <f>IF($B1608="","",IF(INDEX(Dossiers!$F$4:$F$63,31)="","",INDEX(Dossiers!$F$4:$F$63,31)))</f>
        <v/>
      </c>
      <c r="K1608" s="29">
        <f>IF($B1608="","",IF(INDEX(Dossiers!$G$4:$G$63,31)="","",INDEX(Dossiers!$G$4:$G$63,31)))</f>
        <v/>
      </c>
    </row>
    <row r="1609">
      <c r="A1609">
        <f>IF($B1609="","",INDEX(Dossiers!$E$4:$E$63,31))</f>
        <v/>
      </c>
      <c r="B1609">
        <f>IF(INDEX(Suivi!$B:$B,1640)="","",INDEX(Suivi!$B:$B,1640))</f>
        <v/>
      </c>
      <c r="C1609">
        <f>IF($B1609="","",IF(INDEX(Suivi!$D:$D,1640)="",INDEX(Suivi!$C:$C,1640),INDEX(Suivi!$D:$D,1640)))</f>
        <v/>
      </c>
      <c r="D1609" s="29">
        <f>IF($B1609="","",INDEX(Suivi!$E:$E,1640))</f>
        <v/>
      </c>
      <c r="E1609" s="29">
        <f>IF($B1609="","",INDEX(Suivi!$F:$F,1640))</f>
        <v/>
      </c>
      <c r="F1609">
        <f>IF($B1609="","",INDEX(Suivi!$G:$G,1640))</f>
        <v/>
      </c>
      <c r="H1609">
        <f>IF(OR($B1609="",NOT(ISNUMBER($D1609))),"",IF($E1609&lt;$D$2,"Passé",IF($D1609&gt;$F$2,"À venir","Dans la période")))</f>
        <v/>
      </c>
      <c r="I1609">
        <f>IF(OR($B1609="",NOT(ISNUMBER($D1609))),"",IF(AND($E1609&lt;$D$2,$G1609&lt;&gt;"X",$F1609&lt;&gt;"Réalisé",$F1609&lt;&gt;"Clôturé"),"RETARD",""))</f>
        <v/>
      </c>
      <c r="J1609" s="29">
        <f>IF($B1609="","",IF(INDEX(Dossiers!$F$4:$F$63,31)="","",INDEX(Dossiers!$F$4:$F$63,31)))</f>
        <v/>
      </c>
      <c r="K1609" s="29">
        <f>IF($B1609="","",IF(INDEX(Dossiers!$G$4:$G$63,31)="","",INDEX(Dossiers!$G$4:$G$63,31)))</f>
        <v/>
      </c>
    </row>
    <row r="1610">
      <c r="A1610">
        <f>IF($B1610="","",INDEX(Dossiers!$E$4:$E$63,31))</f>
        <v/>
      </c>
      <c r="B1610">
        <f>IF(INDEX(Suivi!$B:$B,1641)="","",INDEX(Suivi!$B:$B,1641))</f>
        <v/>
      </c>
      <c r="C1610">
        <f>IF($B1610="","",IF(INDEX(Suivi!$D:$D,1641)="",INDEX(Suivi!$C:$C,1641),INDEX(Suivi!$D:$D,1641)))</f>
        <v/>
      </c>
      <c r="D1610" s="29">
        <f>IF($B1610="","",INDEX(Suivi!$E:$E,1641))</f>
        <v/>
      </c>
      <c r="E1610" s="29">
        <f>IF($B1610="","",INDEX(Suivi!$F:$F,1641))</f>
        <v/>
      </c>
      <c r="F1610">
        <f>IF($B1610="","",INDEX(Suivi!$G:$G,1641))</f>
        <v/>
      </c>
      <c r="H1610">
        <f>IF(OR($B1610="",NOT(ISNUMBER($D1610))),"",IF($E1610&lt;$D$2,"Passé",IF($D1610&gt;$F$2,"À venir","Dans la période")))</f>
        <v/>
      </c>
      <c r="I1610">
        <f>IF(OR($B1610="",NOT(ISNUMBER($D1610))),"",IF(AND($E1610&lt;$D$2,$G1610&lt;&gt;"X",$F1610&lt;&gt;"Réalisé",$F1610&lt;&gt;"Clôturé"),"RETARD",""))</f>
        <v/>
      </c>
      <c r="J1610" s="29">
        <f>IF($B1610="","",IF(INDEX(Dossiers!$F$4:$F$63,31)="","",INDEX(Dossiers!$F$4:$F$63,31)))</f>
        <v/>
      </c>
      <c r="K1610" s="29">
        <f>IF($B1610="","",IF(INDEX(Dossiers!$G$4:$G$63,31)="","",INDEX(Dossiers!$G$4:$G$63,31)))</f>
        <v/>
      </c>
    </row>
    <row r="1611">
      <c r="A1611">
        <f>IF($B1611="","",INDEX(Dossiers!$E$4:$E$63,31))</f>
        <v/>
      </c>
      <c r="B1611">
        <f>IF(INDEX(Suivi!$B:$B,1642)="","",INDEX(Suivi!$B:$B,1642))</f>
        <v/>
      </c>
      <c r="C1611">
        <f>IF($B1611="","",IF(INDEX(Suivi!$D:$D,1642)="",INDEX(Suivi!$C:$C,1642),INDEX(Suivi!$D:$D,1642)))</f>
        <v/>
      </c>
      <c r="D1611" s="29">
        <f>IF($B1611="","",INDEX(Suivi!$E:$E,1642))</f>
        <v/>
      </c>
      <c r="E1611" s="29">
        <f>IF($B1611="","",INDEX(Suivi!$F:$F,1642))</f>
        <v/>
      </c>
      <c r="F1611">
        <f>IF($B1611="","",INDEX(Suivi!$G:$G,1642))</f>
        <v/>
      </c>
      <c r="H1611">
        <f>IF(OR($B1611="",NOT(ISNUMBER($D1611))),"",IF($E1611&lt;$D$2,"Passé",IF($D1611&gt;$F$2,"À venir","Dans la période")))</f>
        <v/>
      </c>
      <c r="I1611">
        <f>IF(OR($B1611="",NOT(ISNUMBER($D1611))),"",IF(AND($E1611&lt;$D$2,$G1611&lt;&gt;"X",$F1611&lt;&gt;"Réalisé",$F1611&lt;&gt;"Clôturé"),"RETARD",""))</f>
        <v/>
      </c>
      <c r="J1611" s="29">
        <f>IF($B1611="","",IF(INDEX(Dossiers!$F$4:$F$63,31)="","",INDEX(Dossiers!$F$4:$F$63,31)))</f>
        <v/>
      </c>
      <c r="K1611" s="29">
        <f>IF($B1611="","",IF(INDEX(Dossiers!$G$4:$G$63,31)="","",INDEX(Dossiers!$G$4:$G$63,31)))</f>
        <v/>
      </c>
    </row>
    <row r="1612">
      <c r="A1612">
        <f>IF($B1612="","",INDEX(Dossiers!$E$4:$E$63,31))</f>
        <v/>
      </c>
      <c r="B1612">
        <f>IF(INDEX(Suivi!$B:$B,1643)="","",INDEX(Suivi!$B:$B,1643))</f>
        <v/>
      </c>
      <c r="C1612">
        <f>IF($B1612="","",IF(INDEX(Suivi!$D:$D,1643)="",INDEX(Suivi!$C:$C,1643),INDEX(Suivi!$D:$D,1643)))</f>
        <v/>
      </c>
      <c r="D1612" s="29">
        <f>IF($B1612="","",INDEX(Suivi!$E:$E,1643))</f>
        <v/>
      </c>
      <c r="E1612" s="29">
        <f>IF($B1612="","",INDEX(Suivi!$F:$F,1643))</f>
        <v/>
      </c>
      <c r="F1612">
        <f>IF($B1612="","",INDEX(Suivi!$G:$G,1643))</f>
        <v/>
      </c>
      <c r="H1612">
        <f>IF(OR($B1612="",NOT(ISNUMBER($D1612))),"",IF($E1612&lt;$D$2,"Passé",IF($D1612&gt;$F$2,"À venir","Dans la période")))</f>
        <v/>
      </c>
      <c r="I1612">
        <f>IF(OR($B1612="",NOT(ISNUMBER($D1612))),"",IF(AND($E1612&lt;$D$2,$G1612&lt;&gt;"X",$F1612&lt;&gt;"Réalisé",$F1612&lt;&gt;"Clôturé"),"RETARD",""))</f>
        <v/>
      </c>
      <c r="J1612" s="29">
        <f>IF($B1612="","",IF(INDEX(Dossiers!$F$4:$F$63,31)="","",INDEX(Dossiers!$F$4:$F$63,31)))</f>
        <v/>
      </c>
      <c r="K1612" s="29">
        <f>IF($B1612="","",IF(INDEX(Dossiers!$G$4:$G$63,31)="","",INDEX(Dossiers!$G$4:$G$63,31)))</f>
        <v/>
      </c>
    </row>
    <row r="1613">
      <c r="A1613">
        <f>IF($B1613="","",INDEX(Dossiers!$E$4:$E$63,31))</f>
        <v/>
      </c>
      <c r="B1613">
        <f>IF(INDEX(Suivi!$B:$B,1644)="","",INDEX(Suivi!$B:$B,1644))</f>
        <v/>
      </c>
      <c r="C1613">
        <f>IF($B1613="","",IF(INDEX(Suivi!$D:$D,1644)="",INDEX(Suivi!$C:$C,1644),INDEX(Suivi!$D:$D,1644)))</f>
        <v/>
      </c>
      <c r="D1613" s="29">
        <f>IF($B1613="","",INDEX(Suivi!$E:$E,1644))</f>
        <v/>
      </c>
      <c r="E1613" s="29">
        <f>IF($B1613="","",INDEX(Suivi!$F:$F,1644))</f>
        <v/>
      </c>
      <c r="F1613">
        <f>IF($B1613="","",INDEX(Suivi!$G:$G,1644))</f>
        <v/>
      </c>
      <c r="H1613">
        <f>IF(OR($B1613="",NOT(ISNUMBER($D1613))),"",IF($E1613&lt;$D$2,"Passé",IF($D1613&gt;$F$2,"À venir","Dans la période")))</f>
        <v/>
      </c>
      <c r="I1613">
        <f>IF(OR($B1613="",NOT(ISNUMBER($D1613))),"",IF(AND($E1613&lt;$D$2,$G1613&lt;&gt;"X",$F1613&lt;&gt;"Réalisé",$F1613&lt;&gt;"Clôturé"),"RETARD",""))</f>
        <v/>
      </c>
      <c r="J1613" s="29">
        <f>IF($B1613="","",IF(INDEX(Dossiers!$F$4:$F$63,31)="","",INDEX(Dossiers!$F$4:$F$63,31)))</f>
        <v/>
      </c>
      <c r="K1613" s="29">
        <f>IF($B1613="","",IF(INDEX(Dossiers!$G$4:$G$63,31)="","",INDEX(Dossiers!$G$4:$G$63,31)))</f>
        <v/>
      </c>
    </row>
    <row r="1614">
      <c r="A1614">
        <f>IF($B1614="","",INDEX(Dossiers!$E$4:$E$63,31))</f>
        <v/>
      </c>
      <c r="B1614">
        <f>IF(INDEX(Suivi!$B:$B,1645)="","",INDEX(Suivi!$B:$B,1645))</f>
        <v/>
      </c>
      <c r="C1614">
        <f>IF($B1614="","",IF(INDEX(Suivi!$D:$D,1645)="",INDEX(Suivi!$C:$C,1645),INDEX(Suivi!$D:$D,1645)))</f>
        <v/>
      </c>
      <c r="D1614" s="29">
        <f>IF($B1614="","",INDEX(Suivi!$E:$E,1645))</f>
        <v/>
      </c>
      <c r="E1614" s="29">
        <f>IF($B1614="","",INDEX(Suivi!$F:$F,1645))</f>
        <v/>
      </c>
      <c r="F1614">
        <f>IF($B1614="","",INDEX(Suivi!$G:$G,1645))</f>
        <v/>
      </c>
      <c r="H1614">
        <f>IF(OR($B1614="",NOT(ISNUMBER($D1614))),"",IF($E1614&lt;$D$2,"Passé",IF($D1614&gt;$F$2,"À venir","Dans la période")))</f>
        <v/>
      </c>
      <c r="I1614">
        <f>IF(OR($B1614="",NOT(ISNUMBER($D1614))),"",IF(AND($E1614&lt;$D$2,$G1614&lt;&gt;"X",$F1614&lt;&gt;"Réalisé",$F1614&lt;&gt;"Clôturé"),"RETARD",""))</f>
        <v/>
      </c>
      <c r="J1614" s="29">
        <f>IF($B1614="","",IF(INDEX(Dossiers!$F$4:$F$63,31)="","",INDEX(Dossiers!$F$4:$F$63,31)))</f>
        <v/>
      </c>
      <c r="K1614" s="29">
        <f>IF($B1614="","",IF(INDEX(Dossiers!$G$4:$G$63,31)="","",INDEX(Dossiers!$G$4:$G$63,31)))</f>
        <v/>
      </c>
    </row>
    <row r="1615">
      <c r="A1615">
        <f>IF($B1615="","",INDEX(Dossiers!$E$4:$E$63,31))</f>
        <v/>
      </c>
      <c r="B1615">
        <f>IF(INDEX(Suivi!$B:$B,1646)="","",INDEX(Suivi!$B:$B,1646))</f>
        <v/>
      </c>
      <c r="C1615">
        <f>IF($B1615="","",IF(INDEX(Suivi!$D:$D,1646)="",INDEX(Suivi!$C:$C,1646),INDEX(Suivi!$D:$D,1646)))</f>
        <v/>
      </c>
      <c r="D1615" s="29">
        <f>IF($B1615="","",INDEX(Suivi!$E:$E,1646))</f>
        <v/>
      </c>
      <c r="E1615" s="29">
        <f>IF($B1615="","",INDEX(Suivi!$F:$F,1646))</f>
        <v/>
      </c>
      <c r="F1615">
        <f>IF($B1615="","",INDEX(Suivi!$G:$G,1646))</f>
        <v/>
      </c>
      <c r="H1615">
        <f>IF(OR($B1615="",NOT(ISNUMBER($D1615))),"",IF($E1615&lt;$D$2,"Passé",IF($D1615&gt;$F$2,"À venir","Dans la période")))</f>
        <v/>
      </c>
      <c r="I1615">
        <f>IF(OR($B1615="",NOT(ISNUMBER($D1615))),"",IF(AND($E1615&lt;$D$2,$G1615&lt;&gt;"X",$F1615&lt;&gt;"Réalisé",$F1615&lt;&gt;"Clôturé"),"RETARD",""))</f>
        <v/>
      </c>
      <c r="J1615" s="29">
        <f>IF($B1615="","",IF(INDEX(Dossiers!$F$4:$F$63,31)="","",INDEX(Dossiers!$F$4:$F$63,31)))</f>
        <v/>
      </c>
      <c r="K1615" s="29">
        <f>IF($B1615="","",IF(INDEX(Dossiers!$G$4:$G$63,31)="","",INDEX(Dossiers!$G$4:$G$63,31)))</f>
        <v/>
      </c>
    </row>
    <row r="1616">
      <c r="A1616">
        <f>IF($B1616="","",INDEX(Dossiers!$E$4:$E$63,31))</f>
        <v/>
      </c>
      <c r="B1616">
        <f>IF(INDEX(Suivi!$B:$B,1647)="","",INDEX(Suivi!$B:$B,1647))</f>
        <v/>
      </c>
      <c r="C1616">
        <f>IF($B1616="","",IF(INDEX(Suivi!$D:$D,1647)="",INDEX(Suivi!$C:$C,1647),INDEX(Suivi!$D:$D,1647)))</f>
        <v/>
      </c>
      <c r="D1616" s="29">
        <f>IF($B1616="","",INDEX(Suivi!$E:$E,1647))</f>
        <v/>
      </c>
      <c r="E1616" s="29">
        <f>IF($B1616="","",INDEX(Suivi!$F:$F,1647))</f>
        <v/>
      </c>
      <c r="F1616">
        <f>IF($B1616="","",INDEX(Suivi!$G:$G,1647))</f>
        <v/>
      </c>
      <c r="H1616">
        <f>IF(OR($B1616="",NOT(ISNUMBER($D1616))),"",IF($E1616&lt;$D$2,"Passé",IF($D1616&gt;$F$2,"À venir","Dans la période")))</f>
        <v/>
      </c>
      <c r="I1616">
        <f>IF(OR($B1616="",NOT(ISNUMBER($D1616))),"",IF(AND($E1616&lt;$D$2,$G1616&lt;&gt;"X",$F1616&lt;&gt;"Réalisé",$F1616&lt;&gt;"Clôturé"),"RETARD",""))</f>
        <v/>
      </c>
      <c r="J1616" s="29">
        <f>IF($B1616="","",IF(INDEX(Dossiers!$F$4:$F$63,31)="","",INDEX(Dossiers!$F$4:$F$63,31)))</f>
        <v/>
      </c>
      <c r="K1616" s="29">
        <f>IF($B1616="","",IF(INDEX(Dossiers!$G$4:$G$63,31)="","",INDEX(Dossiers!$G$4:$G$63,31)))</f>
        <v/>
      </c>
    </row>
    <row r="1617">
      <c r="A1617">
        <f>IF($B1617="","",INDEX(Dossiers!$E$4:$E$63,31))</f>
        <v/>
      </c>
      <c r="B1617">
        <f>IF(INDEX(Suivi!$B:$B,1648)="","",INDEX(Suivi!$B:$B,1648))</f>
        <v/>
      </c>
      <c r="C1617">
        <f>IF($B1617="","",IF(INDEX(Suivi!$D:$D,1648)="",INDEX(Suivi!$C:$C,1648),INDEX(Suivi!$D:$D,1648)))</f>
        <v/>
      </c>
      <c r="D1617" s="29">
        <f>IF($B1617="","",INDEX(Suivi!$E:$E,1648))</f>
        <v/>
      </c>
      <c r="E1617" s="29">
        <f>IF($B1617="","",INDEX(Suivi!$F:$F,1648))</f>
        <v/>
      </c>
      <c r="F1617">
        <f>IF($B1617="","",INDEX(Suivi!$G:$G,1648))</f>
        <v/>
      </c>
      <c r="H1617">
        <f>IF(OR($B1617="",NOT(ISNUMBER($D1617))),"",IF($E1617&lt;$D$2,"Passé",IF($D1617&gt;$F$2,"À venir","Dans la période")))</f>
        <v/>
      </c>
      <c r="I1617">
        <f>IF(OR($B1617="",NOT(ISNUMBER($D1617))),"",IF(AND($E1617&lt;$D$2,$G1617&lt;&gt;"X",$F1617&lt;&gt;"Réalisé",$F1617&lt;&gt;"Clôturé"),"RETARD",""))</f>
        <v/>
      </c>
      <c r="J1617" s="29">
        <f>IF($B1617="","",IF(INDEX(Dossiers!$F$4:$F$63,31)="","",INDEX(Dossiers!$F$4:$F$63,31)))</f>
        <v/>
      </c>
      <c r="K1617" s="29">
        <f>IF($B1617="","",IF(INDEX(Dossiers!$G$4:$G$63,31)="","",INDEX(Dossiers!$G$4:$G$63,31)))</f>
        <v/>
      </c>
    </row>
    <row r="1618">
      <c r="A1618">
        <f>IF($B1618="","",INDEX(Dossiers!$E$4:$E$63,31))</f>
        <v/>
      </c>
      <c r="B1618">
        <f>IF(INDEX(Suivi!$B:$B,1649)="","",INDEX(Suivi!$B:$B,1649))</f>
        <v/>
      </c>
      <c r="C1618">
        <f>IF($B1618="","",IF(INDEX(Suivi!$D:$D,1649)="",INDEX(Suivi!$C:$C,1649),INDEX(Suivi!$D:$D,1649)))</f>
        <v/>
      </c>
      <c r="D1618" s="29">
        <f>IF($B1618="","",INDEX(Suivi!$E:$E,1649))</f>
        <v/>
      </c>
      <c r="E1618" s="29">
        <f>IF($B1618="","",INDEX(Suivi!$F:$F,1649))</f>
        <v/>
      </c>
      <c r="F1618">
        <f>IF($B1618="","",INDEX(Suivi!$G:$G,1649))</f>
        <v/>
      </c>
      <c r="H1618">
        <f>IF(OR($B1618="",NOT(ISNUMBER($D1618))),"",IF($E1618&lt;$D$2,"Passé",IF($D1618&gt;$F$2,"À venir","Dans la période")))</f>
        <v/>
      </c>
      <c r="I1618">
        <f>IF(OR($B1618="",NOT(ISNUMBER($D1618))),"",IF(AND($E1618&lt;$D$2,$G1618&lt;&gt;"X",$F1618&lt;&gt;"Réalisé",$F1618&lt;&gt;"Clôturé"),"RETARD",""))</f>
        <v/>
      </c>
      <c r="J1618" s="29">
        <f>IF($B1618="","",IF(INDEX(Dossiers!$F$4:$F$63,31)="","",INDEX(Dossiers!$F$4:$F$63,31)))</f>
        <v/>
      </c>
      <c r="K1618" s="29">
        <f>IF($B1618="","",IF(INDEX(Dossiers!$G$4:$G$63,31)="","",INDEX(Dossiers!$G$4:$G$63,31)))</f>
        <v/>
      </c>
    </row>
    <row r="1619">
      <c r="A1619">
        <f>IF($B1619="","",INDEX(Dossiers!$E$4:$E$63,31))</f>
        <v/>
      </c>
      <c r="B1619">
        <f>IF(INDEX(Suivi!$B:$B,1650)="","",INDEX(Suivi!$B:$B,1650))</f>
        <v/>
      </c>
      <c r="C1619">
        <f>IF($B1619="","",IF(INDEX(Suivi!$D:$D,1650)="",INDEX(Suivi!$C:$C,1650),INDEX(Suivi!$D:$D,1650)))</f>
        <v/>
      </c>
      <c r="D1619" s="29">
        <f>IF($B1619="","",INDEX(Suivi!$E:$E,1650))</f>
        <v/>
      </c>
      <c r="E1619" s="29">
        <f>IF($B1619="","",INDEX(Suivi!$F:$F,1650))</f>
        <v/>
      </c>
      <c r="F1619">
        <f>IF($B1619="","",INDEX(Suivi!$G:$G,1650))</f>
        <v/>
      </c>
      <c r="H1619">
        <f>IF(OR($B1619="",NOT(ISNUMBER($D1619))),"",IF($E1619&lt;$D$2,"Passé",IF($D1619&gt;$F$2,"À venir","Dans la période")))</f>
        <v/>
      </c>
      <c r="I1619">
        <f>IF(OR($B1619="",NOT(ISNUMBER($D1619))),"",IF(AND($E1619&lt;$D$2,$G1619&lt;&gt;"X",$F1619&lt;&gt;"Réalisé",$F1619&lt;&gt;"Clôturé"),"RETARD",""))</f>
        <v/>
      </c>
      <c r="J1619" s="29">
        <f>IF($B1619="","",IF(INDEX(Dossiers!$F$4:$F$63,31)="","",INDEX(Dossiers!$F$4:$F$63,31)))</f>
        <v/>
      </c>
      <c r="K1619" s="29">
        <f>IF($B1619="","",IF(INDEX(Dossiers!$G$4:$G$63,31)="","",INDEX(Dossiers!$G$4:$G$63,31)))</f>
        <v/>
      </c>
    </row>
    <row r="1620">
      <c r="A1620">
        <f>IF($B1620="","",INDEX(Dossiers!$E$4:$E$63,31))</f>
        <v/>
      </c>
      <c r="B1620">
        <f>IF(INDEX(Suivi!$B:$B,1651)="","",INDEX(Suivi!$B:$B,1651))</f>
        <v/>
      </c>
      <c r="C1620">
        <f>IF($B1620="","",IF(INDEX(Suivi!$D:$D,1651)="",INDEX(Suivi!$C:$C,1651),INDEX(Suivi!$D:$D,1651)))</f>
        <v/>
      </c>
      <c r="D1620" s="29">
        <f>IF($B1620="","",INDEX(Suivi!$E:$E,1651))</f>
        <v/>
      </c>
      <c r="E1620" s="29">
        <f>IF($B1620="","",INDEX(Suivi!$F:$F,1651))</f>
        <v/>
      </c>
      <c r="F1620">
        <f>IF($B1620="","",INDEX(Suivi!$G:$G,1651))</f>
        <v/>
      </c>
      <c r="H1620">
        <f>IF(OR($B1620="",NOT(ISNUMBER($D1620))),"",IF($E1620&lt;$D$2,"Passé",IF($D1620&gt;$F$2,"À venir","Dans la période")))</f>
        <v/>
      </c>
      <c r="I1620">
        <f>IF(OR($B1620="",NOT(ISNUMBER($D1620))),"",IF(AND($E1620&lt;$D$2,$G1620&lt;&gt;"X",$F1620&lt;&gt;"Réalisé",$F1620&lt;&gt;"Clôturé"),"RETARD",""))</f>
        <v/>
      </c>
      <c r="J1620" s="29">
        <f>IF($B1620="","",IF(INDEX(Dossiers!$F$4:$F$63,31)="","",INDEX(Dossiers!$F$4:$F$63,31)))</f>
        <v/>
      </c>
      <c r="K1620" s="29">
        <f>IF($B1620="","",IF(INDEX(Dossiers!$G$4:$G$63,31)="","",INDEX(Dossiers!$G$4:$G$63,31)))</f>
        <v/>
      </c>
    </row>
    <row r="1621">
      <c r="A1621">
        <f>IF($B1621="","",INDEX(Dossiers!$E$4:$E$63,31))</f>
        <v/>
      </c>
      <c r="B1621">
        <f>IF(INDEX(Suivi!$B:$B,1652)="","",INDEX(Suivi!$B:$B,1652))</f>
        <v/>
      </c>
      <c r="C1621">
        <f>IF($B1621="","",IF(INDEX(Suivi!$D:$D,1652)="",INDEX(Suivi!$C:$C,1652),INDEX(Suivi!$D:$D,1652)))</f>
        <v/>
      </c>
      <c r="D1621" s="29">
        <f>IF($B1621="","",INDEX(Suivi!$E:$E,1652))</f>
        <v/>
      </c>
      <c r="E1621" s="29">
        <f>IF($B1621="","",INDEX(Suivi!$F:$F,1652))</f>
        <v/>
      </c>
      <c r="F1621">
        <f>IF($B1621="","",INDEX(Suivi!$G:$G,1652))</f>
        <v/>
      </c>
      <c r="H1621">
        <f>IF(OR($B1621="",NOT(ISNUMBER($D1621))),"",IF($E1621&lt;$D$2,"Passé",IF($D1621&gt;$F$2,"À venir","Dans la période")))</f>
        <v/>
      </c>
      <c r="I1621">
        <f>IF(OR($B1621="",NOT(ISNUMBER($D1621))),"",IF(AND($E1621&lt;$D$2,$G1621&lt;&gt;"X",$F1621&lt;&gt;"Réalisé",$F1621&lt;&gt;"Clôturé"),"RETARD",""))</f>
        <v/>
      </c>
      <c r="J1621" s="29">
        <f>IF($B1621="","",IF(INDEX(Dossiers!$F$4:$F$63,31)="","",INDEX(Dossiers!$F$4:$F$63,31)))</f>
        <v/>
      </c>
      <c r="K1621" s="29">
        <f>IF($B1621="","",IF(INDEX(Dossiers!$G$4:$G$63,31)="","",INDEX(Dossiers!$G$4:$G$63,31)))</f>
        <v/>
      </c>
    </row>
    <row r="1622">
      <c r="A1622">
        <f>IF($B1622="","",INDEX(Dossiers!$E$4:$E$63,31))</f>
        <v/>
      </c>
      <c r="B1622">
        <f>IF(INDEX(Suivi!$B:$B,1653)="","",INDEX(Suivi!$B:$B,1653))</f>
        <v/>
      </c>
      <c r="C1622">
        <f>IF($B1622="","",IF(INDEX(Suivi!$D:$D,1653)="",INDEX(Suivi!$C:$C,1653),INDEX(Suivi!$D:$D,1653)))</f>
        <v/>
      </c>
      <c r="D1622" s="29">
        <f>IF($B1622="","",INDEX(Suivi!$E:$E,1653))</f>
        <v/>
      </c>
      <c r="E1622" s="29">
        <f>IF($B1622="","",INDEX(Suivi!$F:$F,1653))</f>
        <v/>
      </c>
      <c r="F1622">
        <f>IF($B1622="","",INDEX(Suivi!$G:$G,1653))</f>
        <v/>
      </c>
      <c r="H1622">
        <f>IF(OR($B1622="",NOT(ISNUMBER($D1622))),"",IF($E1622&lt;$D$2,"Passé",IF($D1622&gt;$F$2,"À venir","Dans la période")))</f>
        <v/>
      </c>
      <c r="I1622">
        <f>IF(OR($B1622="",NOT(ISNUMBER($D1622))),"",IF(AND($E1622&lt;$D$2,$G1622&lt;&gt;"X",$F1622&lt;&gt;"Réalisé",$F1622&lt;&gt;"Clôturé"),"RETARD",""))</f>
        <v/>
      </c>
      <c r="J1622" s="29">
        <f>IF($B1622="","",IF(INDEX(Dossiers!$F$4:$F$63,31)="","",INDEX(Dossiers!$F$4:$F$63,31)))</f>
        <v/>
      </c>
      <c r="K1622" s="29">
        <f>IF($B1622="","",IF(INDEX(Dossiers!$G$4:$G$63,31)="","",INDEX(Dossiers!$G$4:$G$63,31)))</f>
        <v/>
      </c>
    </row>
    <row r="1623">
      <c r="A1623">
        <f>IF($B1623="","",INDEX(Dossiers!$E$4:$E$63,31))</f>
        <v/>
      </c>
      <c r="B1623">
        <f>IF(INDEX(Suivi!$B:$B,1654)="","",INDEX(Suivi!$B:$B,1654))</f>
        <v/>
      </c>
      <c r="C1623">
        <f>IF($B1623="","",IF(INDEX(Suivi!$D:$D,1654)="",INDEX(Suivi!$C:$C,1654),INDEX(Suivi!$D:$D,1654)))</f>
        <v/>
      </c>
      <c r="D1623" s="29">
        <f>IF($B1623="","",INDEX(Suivi!$E:$E,1654))</f>
        <v/>
      </c>
      <c r="E1623" s="29">
        <f>IF($B1623="","",INDEX(Suivi!$F:$F,1654))</f>
        <v/>
      </c>
      <c r="F1623">
        <f>IF($B1623="","",INDEX(Suivi!$G:$G,1654))</f>
        <v/>
      </c>
      <c r="H1623">
        <f>IF(OR($B1623="",NOT(ISNUMBER($D1623))),"",IF($E1623&lt;$D$2,"Passé",IF($D1623&gt;$F$2,"À venir","Dans la période")))</f>
        <v/>
      </c>
      <c r="I1623">
        <f>IF(OR($B1623="",NOT(ISNUMBER($D1623))),"",IF(AND($E1623&lt;$D$2,$G1623&lt;&gt;"X",$F1623&lt;&gt;"Réalisé",$F1623&lt;&gt;"Clôturé"),"RETARD",""))</f>
        <v/>
      </c>
      <c r="J1623" s="29">
        <f>IF($B1623="","",IF(INDEX(Dossiers!$F$4:$F$63,31)="","",INDEX(Dossiers!$F$4:$F$63,31)))</f>
        <v/>
      </c>
      <c r="K1623" s="29">
        <f>IF($B1623="","",IF(INDEX(Dossiers!$G$4:$G$63,31)="","",INDEX(Dossiers!$G$4:$G$63,31)))</f>
        <v/>
      </c>
    </row>
    <row r="1624">
      <c r="A1624">
        <f>IF($B1624="","",INDEX(Dossiers!$E$4:$E$63,31))</f>
        <v/>
      </c>
      <c r="B1624">
        <f>IF(INDEX(Suivi!$B:$B,1655)="","",INDEX(Suivi!$B:$B,1655))</f>
        <v/>
      </c>
      <c r="C1624">
        <f>IF($B1624="","",IF(INDEX(Suivi!$D:$D,1655)="",INDEX(Suivi!$C:$C,1655),INDEX(Suivi!$D:$D,1655)))</f>
        <v/>
      </c>
      <c r="D1624" s="29">
        <f>IF($B1624="","",INDEX(Suivi!$E:$E,1655))</f>
        <v/>
      </c>
      <c r="E1624" s="29">
        <f>IF($B1624="","",INDEX(Suivi!$F:$F,1655))</f>
        <v/>
      </c>
      <c r="F1624">
        <f>IF($B1624="","",INDEX(Suivi!$G:$G,1655))</f>
        <v/>
      </c>
      <c r="H1624">
        <f>IF(OR($B1624="",NOT(ISNUMBER($D1624))),"",IF($E1624&lt;$D$2,"Passé",IF($D1624&gt;$F$2,"À venir","Dans la période")))</f>
        <v/>
      </c>
      <c r="I1624">
        <f>IF(OR($B1624="",NOT(ISNUMBER($D1624))),"",IF(AND($E1624&lt;$D$2,$G1624&lt;&gt;"X",$F1624&lt;&gt;"Réalisé",$F1624&lt;&gt;"Clôturé"),"RETARD",""))</f>
        <v/>
      </c>
      <c r="J1624" s="29">
        <f>IF($B1624="","",IF(INDEX(Dossiers!$F$4:$F$63,31)="","",INDEX(Dossiers!$F$4:$F$63,31)))</f>
        <v/>
      </c>
      <c r="K1624" s="29">
        <f>IF($B1624="","",IF(INDEX(Dossiers!$G$4:$G$63,31)="","",INDEX(Dossiers!$G$4:$G$63,31)))</f>
        <v/>
      </c>
    </row>
    <row r="1625">
      <c r="A1625">
        <f>IF($B1625="","",INDEX(Dossiers!$E$4:$E$63,31))</f>
        <v/>
      </c>
      <c r="B1625">
        <f>IF(INDEX(Suivi!$B:$B,1656)="","",INDEX(Suivi!$B:$B,1656))</f>
        <v/>
      </c>
      <c r="C1625">
        <f>IF($B1625="","",IF(INDEX(Suivi!$D:$D,1656)="",INDEX(Suivi!$C:$C,1656),INDEX(Suivi!$D:$D,1656)))</f>
        <v/>
      </c>
      <c r="D1625" s="29">
        <f>IF($B1625="","",INDEX(Suivi!$E:$E,1656))</f>
        <v/>
      </c>
      <c r="E1625" s="29">
        <f>IF($B1625="","",INDEX(Suivi!$F:$F,1656))</f>
        <v/>
      </c>
      <c r="F1625">
        <f>IF($B1625="","",INDEX(Suivi!$G:$G,1656))</f>
        <v/>
      </c>
      <c r="H1625">
        <f>IF(OR($B1625="",NOT(ISNUMBER($D1625))),"",IF($E1625&lt;$D$2,"Passé",IF($D1625&gt;$F$2,"À venir","Dans la période")))</f>
        <v/>
      </c>
      <c r="I1625">
        <f>IF(OR($B1625="",NOT(ISNUMBER($D1625))),"",IF(AND($E1625&lt;$D$2,$G1625&lt;&gt;"X",$F1625&lt;&gt;"Réalisé",$F1625&lt;&gt;"Clôturé"),"RETARD",""))</f>
        <v/>
      </c>
      <c r="J1625" s="29">
        <f>IF($B1625="","",IF(INDEX(Dossiers!$F$4:$F$63,31)="","",INDEX(Dossiers!$F$4:$F$63,31)))</f>
        <v/>
      </c>
      <c r="K1625" s="29">
        <f>IF($B1625="","",IF(INDEX(Dossiers!$G$4:$G$63,31)="","",INDEX(Dossiers!$G$4:$G$63,31)))</f>
        <v/>
      </c>
    </row>
    <row r="1626">
      <c r="A1626">
        <f>IF($B1626="","",INDEX(Dossiers!$E$4:$E$63,31))</f>
        <v/>
      </c>
      <c r="B1626">
        <f>IF(INDEX(Suivi!$B:$B,1657)="","",INDEX(Suivi!$B:$B,1657))</f>
        <v/>
      </c>
      <c r="C1626">
        <f>IF($B1626="","",IF(INDEX(Suivi!$D:$D,1657)="",INDEX(Suivi!$C:$C,1657),INDEX(Suivi!$D:$D,1657)))</f>
        <v/>
      </c>
      <c r="D1626" s="29">
        <f>IF($B1626="","",INDEX(Suivi!$E:$E,1657))</f>
        <v/>
      </c>
      <c r="E1626" s="29">
        <f>IF($B1626="","",INDEX(Suivi!$F:$F,1657))</f>
        <v/>
      </c>
      <c r="F1626">
        <f>IF($B1626="","",INDEX(Suivi!$G:$G,1657))</f>
        <v/>
      </c>
      <c r="H1626">
        <f>IF(OR($B1626="",NOT(ISNUMBER($D1626))),"",IF($E1626&lt;$D$2,"Passé",IF($D1626&gt;$F$2,"À venir","Dans la période")))</f>
        <v/>
      </c>
      <c r="I1626">
        <f>IF(OR($B1626="",NOT(ISNUMBER($D1626))),"",IF(AND($E1626&lt;$D$2,$G1626&lt;&gt;"X",$F1626&lt;&gt;"Réalisé",$F1626&lt;&gt;"Clôturé"),"RETARD",""))</f>
        <v/>
      </c>
      <c r="J1626" s="29">
        <f>IF($B1626="","",IF(INDEX(Dossiers!$F$4:$F$63,31)="","",INDEX(Dossiers!$F$4:$F$63,31)))</f>
        <v/>
      </c>
      <c r="K1626" s="29">
        <f>IF($B1626="","",IF(INDEX(Dossiers!$G$4:$G$63,31)="","",INDEX(Dossiers!$G$4:$G$63,31)))</f>
        <v/>
      </c>
    </row>
    <row r="1627">
      <c r="A1627">
        <f>IF($B1627="","",INDEX(Dossiers!$E$4:$E$63,31))</f>
        <v/>
      </c>
      <c r="B1627">
        <f>IF(INDEX(Suivi!$B:$B,1658)="","",INDEX(Suivi!$B:$B,1658))</f>
        <v/>
      </c>
      <c r="C1627">
        <f>IF($B1627="","",IF(INDEX(Suivi!$D:$D,1658)="",INDEX(Suivi!$C:$C,1658),INDEX(Suivi!$D:$D,1658)))</f>
        <v/>
      </c>
      <c r="D1627" s="29">
        <f>IF($B1627="","",INDEX(Suivi!$E:$E,1658))</f>
        <v/>
      </c>
      <c r="E1627" s="29">
        <f>IF($B1627="","",INDEX(Suivi!$F:$F,1658))</f>
        <v/>
      </c>
      <c r="F1627">
        <f>IF($B1627="","",INDEX(Suivi!$G:$G,1658))</f>
        <v/>
      </c>
      <c r="H1627">
        <f>IF(OR($B1627="",NOT(ISNUMBER($D1627))),"",IF($E1627&lt;$D$2,"Passé",IF($D1627&gt;$F$2,"À venir","Dans la période")))</f>
        <v/>
      </c>
      <c r="I1627">
        <f>IF(OR($B1627="",NOT(ISNUMBER($D1627))),"",IF(AND($E1627&lt;$D$2,$G1627&lt;&gt;"X",$F1627&lt;&gt;"Réalisé",$F1627&lt;&gt;"Clôturé"),"RETARD",""))</f>
        <v/>
      </c>
      <c r="J1627" s="29">
        <f>IF($B1627="","",IF(INDEX(Dossiers!$F$4:$F$63,31)="","",INDEX(Dossiers!$F$4:$F$63,31)))</f>
        <v/>
      </c>
      <c r="K1627" s="29">
        <f>IF($B1627="","",IF(INDEX(Dossiers!$G$4:$G$63,31)="","",INDEX(Dossiers!$G$4:$G$63,31)))</f>
        <v/>
      </c>
    </row>
    <row r="1628">
      <c r="A1628">
        <f>IF($B1628="","",INDEX(Dossiers!$E$4:$E$63,31))</f>
        <v/>
      </c>
      <c r="B1628">
        <f>IF(INDEX(Suivi!$B:$B,1659)="","",INDEX(Suivi!$B:$B,1659))</f>
        <v/>
      </c>
      <c r="C1628">
        <f>IF($B1628="","",IF(INDEX(Suivi!$D:$D,1659)="",INDEX(Suivi!$C:$C,1659),INDEX(Suivi!$D:$D,1659)))</f>
        <v/>
      </c>
      <c r="D1628" s="29">
        <f>IF($B1628="","",INDEX(Suivi!$E:$E,1659))</f>
        <v/>
      </c>
      <c r="E1628" s="29">
        <f>IF($B1628="","",INDEX(Suivi!$F:$F,1659))</f>
        <v/>
      </c>
      <c r="F1628">
        <f>IF($B1628="","",INDEX(Suivi!$G:$G,1659))</f>
        <v/>
      </c>
      <c r="H1628">
        <f>IF(OR($B1628="",NOT(ISNUMBER($D1628))),"",IF($E1628&lt;$D$2,"Passé",IF($D1628&gt;$F$2,"À venir","Dans la période")))</f>
        <v/>
      </c>
      <c r="I1628">
        <f>IF(OR($B1628="",NOT(ISNUMBER($D1628))),"",IF(AND($E1628&lt;$D$2,$G1628&lt;&gt;"X",$F1628&lt;&gt;"Réalisé",$F1628&lt;&gt;"Clôturé"),"RETARD",""))</f>
        <v/>
      </c>
      <c r="J1628" s="29">
        <f>IF($B1628="","",IF(INDEX(Dossiers!$F$4:$F$63,31)="","",INDEX(Dossiers!$F$4:$F$63,31)))</f>
        <v/>
      </c>
      <c r="K1628" s="29">
        <f>IF($B1628="","",IF(INDEX(Dossiers!$G$4:$G$63,31)="","",INDEX(Dossiers!$G$4:$G$63,31)))</f>
        <v/>
      </c>
    </row>
    <row r="1629">
      <c r="A1629">
        <f>IF($B1629="","",INDEX(Dossiers!$E$4:$E$63,31))</f>
        <v/>
      </c>
      <c r="B1629">
        <f>IF(INDEX(Suivi!$B:$B,1660)="","",INDEX(Suivi!$B:$B,1660))</f>
        <v/>
      </c>
      <c r="C1629">
        <f>IF($B1629="","",IF(INDEX(Suivi!$D:$D,1660)="",INDEX(Suivi!$C:$C,1660),INDEX(Suivi!$D:$D,1660)))</f>
        <v/>
      </c>
      <c r="D1629" s="29">
        <f>IF($B1629="","",INDEX(Suivi!$E:$E,1660))</f>
        <v/>
      </c>
      <c r="E1629" s="29">
        <f>IF($B1629="","",INDEX(Suivi!$F:$F,1660))</f>
        <v/>
      </c>
      <c r="F1629">
        <f>IF($B1629="","",INDEX(Suivi!$G:$G,1660))</f>
        <v/>
      </c>
      <c r="H1629">
        <f>IF(OR($B1629="",NOT(ISNUMBER($D1629))),"",IF($E1629&lt;$D$2,"Passé",IF($D1629&gt;$F$2,"À venir","Dans la période")))</f>
        <v/>
      </c>
      <c r="I1629">
        <f>IF(OR($B1629="",NOT(ISNUMBER($D1629))),"",IF(AND($E1629&lt;$D$2,$G1629&lt;&gt;"X",$F1629&lt;&gt;"Réalisé",$F1629&lt;&gt;"Clôturé"),"RETARD",""))</f>
        <v/>
      </c>
      <c r="J1629" s="29">
        <f>IF($B1629="","",IF(INDEX(Dossiers!$F$4:$F$63,31)="","",INDEX(Dossiers!$F$4:$F$63,31)))</f>
        <v/>
      </c>
      <c r="K1629" s="29">
        <f>IF($B1629="","",IF(INDEX(Dossiers!$G$4:$G$63,31)="","",INDEX(Dossiers!$G$4:$G$63,31)))</f>
        <v/>
      </c>
    </row>
    <row r="1630">
      <c r="A1630">
        <f>IF($B1630="","",INDEX(Dossiers!$E$4:$E$63,31))</f>
        <v/>
      </c>
      <c r="B1630">
        <f>IF(INDEX(Suivi!$B:$B,1661)="","",INDEX(Suivi!$B:$B,1661))</f>
        <v/>
      </c>
      <c r="C1630">
        <f>IF($B1630="","",IF(INDEX(Suivi!$D:$D,1661)="",INDEX(Suivi!$C:$C,1661),INDEX(Suivi!$D:$D,1661)))</f>
        <v/>
      </c>
      <c r="D1630" s="29">
        <f>IF($B1630="","",INDEX(Suivi!$E:$E,1661))</f>
        <v/>
      </c>
      <c r="E1630" s="29">
        <f>IF($B1630="","",INDEX(Suivi!$F:$F,1661))</f>
        <v/>
      </c>
      <c r="F1630">
        <f>IF($B1630="","",INDEX(Suivi!$G:$G,1661))</f>
        <v/>
      </c>
      <c r="H1630">
        <f>IF(OR($B1630="",NOT(ISNUMBER($D1630))),"",IF($E1630&lt;$D$2,"Passé",IF($D1630&gt;$F$2,"À venir","Dans la période")))</f>
        <v/>
      </c>
      <c r="I1630">
        <f>IF(OR($B1630="",NOT(ISNUMBER($D1630))),"",IF(AND($E1630&lt;$D$2,$G1630&lt;&gt;"X",$F1630&lt;&gt;"Réalisé",$F1630&lt;&gt;"Clôturé"),"RETARD",""))</f>
        <v/>
      </c>
      <c r="J1630" s="29">
        <f>IF($B1630="","",IF(INDEX(Dossiers!$F$4:$F$63,31)="","",INDEX(Dossiers!$F$4:$F$63,31)))</f>
        <v/>
      </c>
      <c r="K1630" s="29">
        <f>IF($B1630="","",IF(INDEX(Dossiers!$G$4:$G$63,31)="","",INDEX(Dossiers!$G$4:$G$63,31)))</f>
        <v/>
      </c>
    </row>
    <row r="1631">
      <c r="A1631">
        <f>IF($B1631="","",INDEX(Dossiers!$E$4:$E$63,31))</f>
        <v/>
      </c>
      <c r="B1631">
        <f>IF(INDEX(Suivi!$B:$B,1662)="","",INDEX(Suivi!$B:$B,1662))</f>
        <v/>
      </c>
      <c r="C1631">
        <f>IF($B1631="","",IF(INDEX(Suivi!$D:$D,1662)="",INDEX(Suivi!$C:$C,1662),INDEX(Suivi!$D:$D,1662)))</f>
        <v/>
      </c>
      <c r="D1631" s="29">
        <f>IF($B1631="","",INDEX(Suivi!$E:$E,1662))</f>
        <v/>
      </c>
      <c r="E1631" s="29">
        <f>IF($B1631="","",INDEX(Suivi!$F:$F,1662))</f>
        <v/>
      </c>
      <c r="F1631">
        <f>IF($B1631="","",INDEX(Suivi!$G:$G,1662))</f>
        <v/>
      </c>
      <c r="H1631">
        <f>IF(OR($B1631="",NOT(ISNUMBER($D1631))),"",IF($E1631&lt;$D$2,"Passé",IF($D1631&gt;$F$2,"À venir","Dans la période")))</f>
        <v/>
      </c>
      <c r="I1631">
        <f>IF(OR($B1631="",NOT(ISNUMBER($D1631))),"",IF(AND($E1631&lt;$D$2,$G1631&lt;&gt;"X",$F1631&lt;&gt;"Réalisé",$F1631&lt;&gt;"Clôturé"),"RETARD",""))</f>
        <v/>
      </c>
      <c r="J1631" s="29">
        <f>IF($B1631="","",IF(INDEX(Dossiers!$F$4:$F$63,31)="","",INDEX(Dossiers!$F$4:$F$63,31)))</f>
        <v/>
      </c>
      <c r="K1631" s="29">
        <f>IF($B1631="","",IF(INDEX(Dossiers!$G$4:$G$63,31)="","",INDEX(Dossiers!$G$4:$G$63,31)))</f>
        <v/>
      </c>
    </row>
    <row r="1632">
      <c r="A1632">
        <f>IF($B1632="","",INDEX(Dossiers!$E$4:$E$63,31))</f>
        <v/>
      </c>
      <c r="B1632">
        <f>IF(INDEX(Suivi!$B:$B,1663)="","",INDEX(Suivi!$B:$B,1663))</f>
        <v/>
      </c>
      <c r="C1632">
        <f>IF($B1632="","",IF(INDEX(Suivi!$D:$D,1663)="",INDEX(Suivi!$C:$C,1663),INDEX(Suivi!$D:$D,1663)))</f>
        <v/>
      </c>
      <c r="D1632" s="29">
        <f>IF($B1632="","",INDEX(Suivi!$E:$E,1663))</f>
        <v/>
      </c>
      <c r="E1632" s="29">
        <f>IF($B1632="","",INDEX(Suivi!$F:$F,1663))</f>
        <v/>
      </c>
      <c r="F1632">
        <f>IF($B1632="","",INDEX(Suivi!$G:$G,1663))</f>
        <v/>
      </c>
      <c r="H1632">
        <f>IF(OR($B1632="",NOT(ISNUMBER($D1632))),"",IF($E1632&lt;$D$2,"Passé",IF($D1632&gt;$F$2,"À venir","Dans la période")))</f>
        <v/>
      </c>
      <c r="I1632">
        <f>IF(OR($B1632="",NOT(ISNUMBER($D1632))),"",IF(AND($E1632&lt;$D$2,$G1632&lt;&gt;"X",$F1632&lt;&gt;"Réalisé",$F1632&lt;&gt;"Clôturé"),"RETARD",""))</f>
        <v/>
      </c>
      <c r="J1632" s="29">
        <f>IF($B1632="","",IF(INDEX(Dossiers!$F$4:$F$63,31)="","",INDEX(Dossiers!$F$4:$F$63,31)))</f>
        <v/>
      </c>
      <c r="K1632" s="29">
        <f>IF($B1632="","",IF(INDEX(Dossiers!$G$4:$G$63,31)="","",INDEX(Dossiers!$G$4:$G$63,31)))</f>
        <v/>
      </c>
    </row>
    <row r="1633">
      <c r="A1633">
        <f>IF($B1633="","",INDEX(Dossiers!$E$4:$E$63,31))</f>
        <v/>
      </c>
      <c r="B1633">
        <f>IF(INDEX(Suivi!$B:$B,1664)="","",INDEX(Suivi!$B:$B,1664))</f>
        <v/>
      </c>
      <c r="C1633">
        <f>IF($B1633="","",IF(INDEX(Suivi!$D:$D,1664)="",INDEX(Suivi!$C:$C,1664),INDEX(Suivi!$D:$D,1664)))</f>
        <v/>
      </c>
      <c r="D1633" s="29">
        <f>IF($B1633="","",INDEX(Suivi!$E:$E,1664))</f>
        <v/>
      </c>
      <c r="E1633" s="29">
        <f>IF($B1633="","",INDEX(Suivi!$F:$F,1664))</f>
        <v/>
      </c>
      <c r="F1633">
        <f>IF($B1633="","",INDEX(Suivi!$G:$G,1664))</f>
        <v/>
      </c>
      <c r="H1633">
        <f>IF(OR($B1633="",NOT(ISNUMBER($D1633))),"",IF($E1633&lt;$D$2,"Passé",IF($D1633&gt;$F$2,"À venir","Dans la période")))</f>
        <v/>
      </c>
      <c r="I1633">
        <f>IF(OR($B1633="",NOT(ISNUMBER($D1633))),"",IF(AND($E1633&lt;$D$2,$G1633&lt;&gt;"X",$F1633&lt;&gt;"Réalisé",$F1633&lt;&gt;"Clôturé"),"RETARD",""))</f>
        <v/>
      </c>
      <c r="J1633" s="29">
        <f>IF($B1633="","",IF(INDEX(Dossiers!$F$4:$F$63,31)="","",INDEX(Dossiers!$F$4:$F$63,31)))</f>
        <v/>
      </c>
      <c r="K1633" s="29">
        <f>IF($B1633="","",IF(INDEX(Dossiers!$G$4:$G$63,31)="","",INDEX(Dossiers!$G$4:$G$63,31)))</f>
        <v/>
      </c>
    </row>
    <row r="1634">
      <c r="A1634">
        <f>IF($B1634="","",INDEX(Dossiers!$E$4:$E$63,31))</f>
        <v/>
      </c>
      <c r="B1634">
        <f>IF(INDEX(Suivi!$B:$B,1665)="","",INDEX(Suivi!$B:$B,1665))</f>
        <v/>
      </c>
      <c r="C1634">
        <f>IF($B1634="","",IF(INDEX(Suivi!$D:$D,1665)="",INDEX(Suivi!$C:$C,1665),INDEX(Suivi!$D:$D,1665)))</f>
        <v/>
      </c>
      <c r="D1634" s="29">
        <f>IF($B1634="","",INDEX(Suivi!$E:$E,1665))</f>
        <v/>
      </c>
      <c r="E1634" s="29">
        <f>IF($B1634="","",INDEX(Suivi!$F:$F,1665))</f>
        <v/>
      </c>
      <c r="F1634">
        <f>IF($B1634="","",INDEX(Suivi!$G:$G,1665))</f>
        <v/>
      </c>
      <c r="H1634">
        <f>IF(OR($B1634="",NOT(ISNUMBER($D1634))),"",IF($E1634&lt;$D$2,"Passé",IF($D1634&gt;$F$2,"À venir","Dans la période")))</f>
        <v/>
      </c>
      <c r="I1634">
        <f>IF(OR($B1634="",NOT(ISNUMBER($D1634))),"",IF(AND($E1634&lt;$D$2,$G1634&lt;&gt;"X",$F1634&lt;&gt;"Réalisé",$F1634&lt;&gt;"Clôturé"),"RETARD",""))</f>
        <v/>
      </c>
      <c r="J1634" s="29">
        <f>IF($B1634="","",IF(INDEX(Dossiers!$F$4:$F$63,31)="","",INDEX(Dossiers!$F$4:$F$63,31)))</f>
        <v/>
      </c>
      <c r="K1634" s="29">
        <f>IF($B1634="","",IF(INDEX(Dossiers!$G$4:$G$63,31)="","",INDEX(Dossiers!$G$4:$G$63,31)))</f>
        <v/>
      </c>
    </row>
    <row r="1635">
      <c r="A1635">
        <f>IF($B1635="","",INDEX(Dossiers!$E$4:$E$63,31))</f>
        <v/>
      </c>
      <c r="B1635">
        <f>IF(INDEX(Suivi!$B:$B,1666)="","",INDEX(Suivi!$B:$B,1666))</f>
        <v/>
      </c>
      <c r="C1635">
        <f>IF($B1635="","",IF(INDEX(Suivi!$D:$D,1666)="",INDEX(Suivi!$C:$C,1666),INDEX(Suivi!$D:$D,1666)))</f>
        <v/>
      </c>
      <c r="D1635" s="29">
        <f>IF($B1635="","",INDEX(Suivi!$E:$E,1666))</f>
        <v/>
      </c>
      <c r="E1635" s="29">
        <f>IF($B1635="","",INDEX(Suivi!$F:$F,1666))</f>
        <v/>
      </c>
      <c r="F1635">
        <f>IF($B1635="","",INDEX(Suivi!$G:$G,1666))</f>
        <v/>
      </c>
      <c r="H1635">
        <f>IF(OR($B1635="",NOT(ISNUMBER($D1635))),"",IF($E1635&lt;$D$2,"Passé",IF($D1635&gt;$F$2,"À venir","Dans la période")))</f>
        <v/>
      </c>
      <c r="I1635">
        <f>IF(OR($B1635="",NOT(ISNUMBER($D1635))),"",IF(AND($E1635&lt;$D$2,$G1635&lt;&gt;"X",$F1635&lt;&gt;"Réalisé",$F1635&lt;&gt;"Clôturé"),"RETARD",""))</f>
        <v/>
      </c>
      <c r="J1635" s="29">
        <f>IF($B1635="","",IF(INDEX(Dossiers!$F$4:$F$63,31)="","",INDEX(Dossiers!$F$4:$F$63,31)))</f>
        <v/>
      </c>
      <c r="K1635" s="29">
        <f>IF($B1635="","",IF(INDEX(Dossiers!$G$4:$G$63,31)="","",INDEX(Dossiers!$G$4:$G$63,31)))</f>
        <v/>
      </c>
    </row>
    <row r="1636">
      <c r="A1636">
        <f>IF($B1636="","",INDEX(Dossiers!$E$4:$E$63,31))</f>
        <v/>
      </c>
      <c r="B1636">
        <f>IF(INDEX(Suivi!$B:$B,1667)="","",INDEX(Suivi!$B:$B,1667))</f>
        <v/>
      </c>
      <c r="C1636">
        <f>IF($B1636="","",IF(INDEX(Suivi!$D:$D,1667)="",INDEX(Suivi!$C:$C,1667),INDEX(Suivi!$D:$D,1667)))</f>
        <v/>
      </c>
      <c r="D1636" s="29">
        <f>IF($B1636="","",INDEX(Suivi!$E:$E,1667))</f>
        <v/>
      </c>
      <c r="E1636" s="29">
        <f>IF($B1636="","",INDEX(Suivi!$F:$F,1667))</f>
        <v/>
      </c>
      <c r="F1636">
        <f>IF($B1636="","",INDEX(Suivi!$G:$G,1667))</f>
        <v/>
      </c>
      <c r="H1636">
        <f>IF(OR($B1636="",NOT(ISNUMBER($D1636))),"",IF($E1636&lt;$D$2,"Passé",IF($D1636&gt;$F$2,"À venir","Dans la période")))</f>
        <v/>
      </c>
      <c r="I1636">
        <f>IF(OR($B1636="",NOT(ISNUMBER($D1636))),"",IF(AND($E1636&lt;$D$2,$G1636&lt;&gt;"X",$F1636&lt;&gt;"Réalisé",$F1636&lt;&gt;"Clôturé"),"RETARD",""))</f>
        <v/>
      </c>
      <c r="J1636" s="29">
        <f>IF($B1636="","",IF(INDEX(Dossiers!$F$4:$F$63,31)="","",INDEX(Dossiers!$F$4:$F$63,31)))</f>
        <v/>
      </c>
      <c r="K1636" s="29">
        <f>IF($B1636="","",IF(INDEX(Dossiers!$G$4:$G$63,31)="","",INDEX(Dossiers!$G$4:$G$63,31)))</f>
        <v/>
      </c>
    </row>
    <row r="1637">
      <c r="A1637">
        <f>IF($B1637="","",INDEX(Dossiers!$E$4:$E$63,31))</f>
        <v/>
      </c>
      <c r="B1637">
        <f>IF(INDEX(Suivi!$B:$B,1668)="","",INDEX(Suivi!$B:$B,1668))</f>
        <v/>
      </c>
      <c r="C1637">
        <f>IF($B1637="","",IF(INDEX(Suivi!$D:$D,1668)="",INDEX(Suivi!$C:$C,1668),INDEX(Suivi!$D:$D,1668)))</f>
        <v/>
      </c>
      <c r="D1637" s="29">
        <f>IF($B1637="","",INDEX(Suivi!$E:$E,1668))</f>
        <v/>
      </c>
      <c r="E1637" s="29">
        <f>IF($B1637="","",INDEX(Suivi!$F:$F,1668))</f>
        <v/>
      </c>
      <c r="F1637">
        <f>IF($B1637="","",INDEX(Suivi!$G:$G,1668))</f>
        <v/>
      </c>
      <c r="H1637">
        <f>IF(OR($B1637="",NOT(ISNUMBER($D1637))),"",IF($E1637&lt;$D$2,"Passé",IF($D1637&gt;$F$2,"À venir","Dans la période")))</f>
        <v/>
      </c>
      <c r="I1637">
        <f>IF(OR($B1637="",NOT(ISNUMBER($D1637))),"",IF(AND($E1637&lt;$D$2,$G1637&lt;&gt;"X",$F1637&lt;&gt;"Réalisé",$F1637&lt;&gt;"Clôturé"),"RETARD",""))</f>
        <v/>
      </c>
      <c r="J1637" s="29">
        <f>IF($B1637="","",IF(INDEX(Dossiers!$F$4:$F$63,31)="","",INDEX(Dossiers!$F$4:$F$63,31)))</f>
        <v/>
      </c>
      <c r="K1637" s="29">
        <f>IF($B1637="","",IF(INDEX(Dossiers!$G$4:$G$63,31)="","",INDEX(Dossiers!$G$4:$G$63,31)))</f>
        <v/>
      </c>
    </row>
    <row r="1638">
      <c r="A1638">
        <f>IF($B1638="","",INDEX(Dossiers!$E$4:$E$63,31))</f>
        <v/>
      </c>
      <c r="B1638">
        <f>IF(INDEX(Suivi!$B:$B,1669)="","",INDEX(Suivi!$B:$B,1669))</f>
        <v/>
      </c>
      <c r="C1638">
        <f>IF($B1638="","",IF(INDEX(Suivi!$D:$D,1669)="",INDEX(Suivi!$C:$C,1669),INDEX(Suivi!$D:$D,1669)))</f>
        <v/>
      </c>
      <c r="D1638" s="29">
        <f>IF($B1638="","",INDEX(Suivi!$E:$E,1669))</f>
        <v/>
      </c>
      <c r="E1638" s="29">
        <f>IF($B1638="","",INDEX(Suivi!$F:$F,1669))</f>
        <v/>
      </c>
      <c r="F1638">
        <f>IF($B1638="","",INDEX(Suivi!$G:$G,1669))</f>
        <v/>
      </c>
      <c r="H1638">
        <f>IF(OR($B1638="",NOT(ISNUMBER($D1638))),"",IF($E1638&lt;$D$2,"Passé",IF($D1638&gt;$F$2,"À venir","Dans la période")))</f>
        <v/>
      </c>
      <c r="I1638">
        <f>IF(OR($B1638="",NOT(ISNUMBER($D1638))),"",IF(AND($E1638&lt;$D$2,$G1638&lt;&gt;"X",$F1638&lt;&gt;"Réalisé",$F1638&lt;&gt;"Clôturé"),"RETARD",""))</f>
        <v/>
      </c>
      <c r="J1638" s="29">
        <f>IF($B1638="","",IF(INDEX(Dossiers!$F$4:$F$63,31)="","",INDEX(Dossiers!$F$4:$F$63,31)))</f>
        <v/>
      </c>
      <c r="K1638" s="29">
        <f>IF($B1638="","",IF(INDEX(Dossiers!$G$4:$G$63,31)="","",INDEX(Dossiers!$G$4:$G$63,31)))</f>
        <v/>
      </c>
    </row>
    <row r="1639">
      <c r="A1639">
        <f>IF($B1639="","",INDEX(Dossiers!$E$4:$E$63,31))</f>
        <v/>
      </c>
      <c r="B1639">
        <f>IF(INDEX(Suivi!$B:$B,1670)="","",INDEX(Suivi!$B:$B,1670))</f>
        <v/>
      </c>
      <c r="C1639">
        <f>IF($B1639="","",IF(INDEX(Suivi!$D:$D,1670)="",INDEX(Suivi!$C:$C,1670),INDEX(Suivi!$D:$D,1670)))</f>
        <v/>
      </c>
      <c r="D1639" s="29">
        <f>IF($B1639="","",INDEX(Suivi!$E:$E,1670))</f>
        <v/>
      </c>
      <c r="E1639" s="29">
        <f>IF($B1639="","",INDEX(Suivi!$F:$F,1670))</f>
        <v/>
      </c>
      <c r="F1639">
        <f>IF($B1639="","",INDEX(Suivi!$G:$G,1670))</f>
        <v/>
      </c>
      <c r="H1639">
        <f>IF(OR($B1639="",NOT(ISNUMBER($D1639))),"",IF($E1639&lt;$D$2,"Passé",IF($D1639&gt;$F$2,"À venir","Dans la période")))</f>
        <v/>
      </c>
      <c r="I1639">
        <f>IF(OR($B1639="",NOT(ISNUMBER($D1639))),"",IF(AND($E1639&lt;$D$2,$G1639&lt;&gt;"X",$F1639&lt;&gt;"Réalisé",$F1639&lt;&gt;"Clôturé"),"RETARD",""))</f>
        <v/>
      </c>
      <c r="J1639" s="29">
        <f>IF($B1639="","",IF(INDEX(Dossiers!$F$4:$F$63,31)="","",INDEX(Dossiers!$F$4:$F$63,31)))</f>
        <v/>
      </c>
      <c r="K1639" s="29">
        <f>IF($B1639="","",IF(INDEX(Dossiers!$G$4:$G$63,31)="","",INDEX(Dossiers!$G$4:$G$63,31)))</f>
        <v/>
      </c>
    </row>
    <row r="1640">
      <c r="A1640">
        <f>IF($B1640="","",INDEX(Dossiers!$E$4:$E$63,31))</f>
        <v/>
      </c>
      <c r="B1640">
        <f>IF(INDEX(Suivi!$B:$B,1671)="","",INDEX(Suivi!$B:$B,1671))</f>
        <v/>
      </c>
      <c r="C1640">
        <f>IF($B1640="","",IF(INDEX(Suivi!$D:$D,1671)="",INDEX(Suivi!$C:$C,1671),INDEX(Suivi!$D:$D,1671)))</f>
        <v/>
      </c>
      <c r="D1640" s="29">
        <f>IF($B1640="","",INDEX(Suivi!$E:$E,1671))</f>
        <v/>
      </c>
      <c r="E1640" s="29">
        <f>IF($B1640="","",INDEX(Suivi!$F:$F,1671))</f>
        <v/>
      </c>
      <c r="F1640">
        <f>IF($B1640="","",INDEX(Suivi!$G:$G,1671))</f>
        <v/>
      </c>
      <c r="H1640">
        <f>IF(OR($B1640="",NOT(ISNUMBER($D1640))),"",IF($E1640&lt;$D$2,"Passé",IF($D1640&gt;$F$2,"À venir","Dans la période")))</f>
        <v/>
      </c>
      <c r="I1640">
        <f>IF(OR($B1640="",NOT(ISNUMBER($D1640))),"",IF(AND($E1640&lt;$D$2,$G1640&lt;&gt;"X",$F1640&lt;&gt;"Réalisé",$F1640&lt;&gt;"Clôturé"),"RETARD",""))</f>
        <v/>
      </c>
      <c r="J1640" s="29">
        <f>IF($B1640="","",IF(INDEX(Dossiers!$F$4:$F$63,31)="","",INDEX(Dossiers!$F$4:$F$63,31)))</f>
        <v/>
      </c>
      <c r="K1640" s="29">
        <f>IF($B1640="","",IF(INDEX(Dossiers!$G$4:$G$63,31)="","",INDEX(Dossiers!$G$4:$G$63,31)))</f>
        <v/>
      </c>
    </row>
    <row r="1641">
      <c r="A1641">
        <f>IF($B1641="","",INDEX(Dossiers!$E$4:$E$63,31))</f>
        <v/>
      </c>
      <c r="B1641">
        <f>IF(INDEX(Suivi!$B:$B,1672)="","",INDEX(Suivi!$B:$B,1672))</f>
        <v/>
      </c>
      <c r="C1641">
        <f>IF($B1641="","",IF(INDEX(Suivi!$D:$D,1672)="",INDEX(Suivi!$C:$C,1672),INDEX(Suivi!$D:$D,1672)))</f>
        <v/>
      </c>
      <c r="D1641" s="29">
        <f>IF($B1641="","",INDEX(Suivi!$E:$E,1672))</f>
        <v/>
      </c>
      <c r="E1641" s="29">
        <f>IF($B1641="","",INDEX(Suivi!$F:$F,1672))</f>
        <v/>
      </c>
      <c r="F1641">
        <f>IF($B1641="","",INDEX(Suivi!$G:$G,1672))</f>
        <v/>
      </c>
      <c r="H1641">
        <f>IF(OR($B1641="",NOT(ISNUMBER($D1641))),"",IF($E1641&lt;$D$2,"Passé",IF($D1641&gt;$F$2,"À venir","Dans la période")))</f>
        <v/>
      </c>
      <c r="I1641">
        <f>IF(OR($B1641="",NOT(ISNUMBER($D1641))),"",IF(AND($E1641&lt;$D$2,$G1641&lt;&gt;"X",$F1641&lt;&gt;"Réalisé",$F1641&lt;&gt;"Clôturé"),"RETARD",""))</f>
        <v/>
      </c>
      <c r="J1641" s="29">
        <f>IF($B1641="","",IF(INDEX(Dossiers!$F$4:$F$63,31)="","",INDEX(Dossiers!$F$4:$F$63,31)))</f>
        <v/>
      </c>
      <c r="K1641" s="29">
        <f>IF($B1641="","",IF(INDEX(Dossiers!$G$4:$G$63,31)="","",INDEX(Dossiers!$G$4:$G$63,31)))</f>
        <v/>
      </c>
    </row>
    <row r="1642">
      <c r="A1642">
        <f>IF($B1642="","",INDEX(Dossiers!$E$4:$E$63,31))</f>
        <v/>
      </c>
      <c r="B1642">
        <f>IF(INDEX(Suivi!$B:$B,1673)="","",INDEX(Suivi!$B:$B,1673))</f>
        <v/>
      </c>
      <c r="C1642">
        <f>IF($B1642="","",IF(INDEX(Suivi!$D:$D,1673)="",INDEX(Suivi!$C:$C,1673),INDEX(Suivi!$D:$D,1673)))</f>
        <v/>
      </c>
      <c r="D1642" s="29">
        <f>IF($B1642="","",INDEX(Suivi!$E:$E,1673))</f>
        <v/>
      </c>
      <c r="E1642" s="29">
        <f>IF($B1642="","",INDEX(Suivi!$F:$F,1673))</f>
        <v/>
      </c>
      <c r="F1642">
        <f>IF($B1642="","",INDEX(Suivi!$G:$G,1673))</f>
        <v/>
      </c>
      <c r="H1642">
        <f>IF(OR($B1642="",NOT(ISNUMBER($D1642))),"",IF($E1642&lt;$D$2,"Passé",IF($D1642&gt;$F$2,"À venir","Dans la période")))</f>
        <v/>
      </c>
      <c r="I1642">
        <f>IF(OR($B1642="",NOT(ISNUMBER($D1642))),"",IF(AND($E1642&lt;$D$2,$G1642&lt;&gt;"X",$F1642&lt;&gt;"Réalisé",$F1642&lt;&gt;"Clôturé"),"RETARD",""))</f>
        <v/>
      </c>
      <c r="J1642" s="29">
        <f>IF($B1642="","",IF(INDEX(Dossiers!$F$4:$F$63,31)="","",INDEX(Dossiers!$F$4:$F$63,31)))</f>
        <v/>
      </c>
      <c r="K1642" s="29">
        <f>IF($B1642="","",IF(INDEX(Dossiers!$G$4:$G$63,31)="","",INDEX(Dossiers!$G$4:$G$63,31)))</f>
        <v/>
      </c>
    </row>
    <row r="1643">
      <c r="A1643">
        <f>IF($B1643="","",INDEX(Dossiers!$E$4:$E$63,31))</f>
        <v/>
      </c>
      <c r="B1643">
        <f>IF(INDEX(Suivi!$B:$B,1674)="","",INDEX(Suivi!$B:$B,1674))</f>
        <v/>
      </c>
      <c r="C1643">
        <f>IF($B1643="","",IF(INDEX(Suivi!$D:$D,1674)="",INDEX(Suivi!$C:$C,1674),INDEX(Suivi!$D:$D,1674)))</f>
        <v/>
      </c>
      <c r="D1643" s="29">
        <f>IF($B1643="","",INDEX(Suivi!$E:$E,1674))</f>
        <v/>
      </c>
      <c r="E1643" s="29">
        <f>IF($B1643="","",INDEX(Suivi!$F:$F,1674))</f>
        <v/>
      </c>
      <c r="F1643">
        <f>IF($B1643="","",INDEX(Suivi!$G:$G,1674))</f>
        <v/>
      </c>
      <c r="H1643">
        <f>IF(OR($B1643="",NOT(ISNUMBER($D1643))),"",IF($E1643&lt;$D$2,"Passé",IF($D1643&gt;$F$2,"À venir","Dans la période")))</f>
        <v/>
      </c>
      <c r="I1643">
        <f>IF(OR($B1643="",NOT(ISNUMBER($D1643))),"",IF(AND($E1643&lt;$D$2,$G1643&lt;&gt;"X",$F1643&lt;&gt;"Réalisé",$F1643&lt;&gt;"Clôturé"),"RETARD",""))</f>
        <v/>
      </c>
      <c r="J1643" s="29">
        <f>IF($B1643="","",IF(INDEX(Dossiers!$F$4:$F$63,31)="","",INDEX(Dossiers!$F$4:$F$63,31)))</f>
        <v/>
      </c>
      <c r="K1643" s="29">
        <f>IF($B1643="","",IF(INDEX(Dossiers!$G$4:$G$63,31)="","",INDEX(Dossiers!$G$4:$G$63,31)))</f>
        <v/>
      </c>
    </row>
    <row r="1644">
      <c r="A1644">
        <f>IF($B1644="","",INDEX(Dossiers!$E$4:$E$63,31))</f>
        <v/>
      </c>
      <c r="B1644">
        <f>IF(INDEX(Suivi!$B:$B,1675)="","",INDEX(Suivi!$B:$B,1675))</f>
        <v/>
      </c>
      <c r="C1644">
        <f>IF($B1644="","",IF(INDEX(Suivi!$D:$D,1675)="",INDEX(Suivi!$C:$C,1675),INDEX(Suivi!$D:$D,1675)))</f>
        <v/>
      </c>
      <c r="D1644" s="29">
        <f>IF($B1644="","",INDEX(Suivi!$E:$E,1675))</f>
        <v/>
      </c>
      <c r="E1644" s="29">
        <f>IF($B1644="","",INDEX(Suivi!$F:$F,1675))</f>
        <v/>
      </c>
      <c r="F1644">
        <f>IF($B1644="","",INDEX(Suivi!$G:$G,1675))</f>
        <v/>
      </c>
      <c r="H1644">
        <f>IF(OR($B1644="",NOT(ISNUMBER($D1644))),"",IF($E1644&lt;$D$2,"Passé",IF($D1644&gt;$F$2,"À venir","Dans la période")))</f>
        <v/>
      </c>
      <c r="I1644">
        <f>IF(OR($B1644="",NOT(ISNUMBER($D1644))),"",IF(AND($E1644&lt;$D$2,$G1644&lt;&gt;"X",$F1644&lt;&gt;"Réalisé",$F1644&lt;&gt;"Clôturé"),"RETARD",""))</f>
        <v/>
      </c>
      <c r="J1644" s="29">
        <f>IF($B1644="","",IF(INDEX(Dossiers!$F$4:$F$63,31)="","",INDEX(Dossiers!$F$4:$F$63,31)))</f>
        <v/>
      </c>
      <c r="K1644" s="29">
        <f>IF($B1644="","",IF(INDEX(Dossiers!$G$4:$G$63,31)="","",INDEX(Dossiers!$G$4:$G$63,31)))</f>
        <v/>
      </c>
    </row>
    <row r="1645">
      <c r="A1645">
        <f>IF($B1645="","",INDEX(Dossiers!$E$4:$E$63,31))</f>
        <v/>
      </c>
      <c r="B1645">
        <f>IF(INDEX(Suivi!$B:$B,1676)="","",INDEX(Suivi!$B:$B,1676))</f>
        <v/>
      </c>
      <c r="C1645">
        <f>IF($B1645="","",IF(INDEX(Suivi!$D:$D,1676)="",INDEX(Suivi!$C:$C,1676),INDEX(Suivi!$D:$D,1676)))</f>
        <v/>
      </c>
      <c r="D1645" s="29">
        <f>IF($B1645="","",INDEX(Suivi!$E:$E,1676))</f>
        <v/>
      </c>
      <c r="E1645" s="29">
        <f>IF($B1645="","",INDEX(Suivi!$F:$F,1676))</f>
        <v/>
      </c>
      <c r="F1645">
        <f>IF($B1645="","",INDEX(Suivi!$G:$G,1676))</f>
        <v/>
      </c>
      <c r="H1645">
        <f>IF(OR($B1645="",NOT(ISNUMBER($D1645))),"",IF($E1645&lt;$D$2,"Passé",IF($D1645&gt;$F$2,"À venir","Dans la période")))</f>
        <v/>
      </c>
      <c r="I1645">
        <f>IF(OR($B1645="",NOT(ISNUMBER($D1645))),"",IF(AND($E1645&lt;$D$2,$G1645&lt;&gt;"X",$F1645&lt;&gt;"Réalisé",$F1645&lt;&gt;"Clôturé"),"RETARD",""))</f>
        <v/>
      </c>
      <c r="J1645" s="29">
        <f>IF($B1645="","",IF(INDEX(Dossiers!$F$4:$F$63,31)="","",INDEX(Dossiers!$F$4:$F$63,31)))</f>
        <v/>
      </c>
      <c r="K1645" s="29">
        <f>IF($B1645="","",IF(INDEX(Dossiers!$G$4:$G$63,31)="","",INDEX(Dossiers!$G$4:$G$63,31)))</f>
        <v/>
      </c>
    </row>
    <row r="1646">
      <c r="A1646">
        <f>IF($B1646="","",INDEX(Dossiers!$E$4:$E$63,31))</f>
        <v/>
      </c>
      <c r="B1646">
        <f>IF(INDEX(Suivi!$B:$B,1677)="","",INDEX(Suivi!$B:$B,1677))</f>
        <v/>
      </c>
      <c r="C1646">
        <f>IF($B1646="","",IF(INDEX(Suivi!$D:$D,1677)="",INDEX(Suivi!$C:$C,1677),INDEX(Suivi!$D:$D,1677)))</f>
        <v/>
      </c>
      <c r="D1646" s="29">
        <f>IF($B1646="","",INDEX(Suivi!$E:$E,1677))</f>
        <v/>
      </c>
      <c r="E1646" s="29">
        <f>IF($B1646="","",INDEX(Suivi!$F:$F,1677))</f>
        <v/>
      </c>
      <c r="F1646">
        <f>IF($B1646="","",INDEX(Suivi!$G:$G,1677))</f>
        <v/>
      </c>
      <c r="H1646">
        <f>IF(OR($B1646="",NOT(ISNUMBER($D1646))),"",IF($E1646&lt;$D$2,"Passé",IF($D1646&gt;$F$2,"À venir","Dans la période")))</f>
        <v/>
      </c>
      <c r="I1646">
        <f>IF(OR($B1646="",NOT(ISNUMBER($D1646))),"",IF(AND($E1646&lt;$D$2,$G1646&lt;&gt;"X",$F1646&lt;&gt;"Réalisé",$F1646&lt;&gt;"Clôturé"),"RETARD",""))</f>
        <v/>
      </c>
      <c r="J1646" s="29">
        <f>IF($B1646="","",IF(INDEX(Dossiers!$F$4:$F$63,31)="","",INDEX(Dossiers!$F$4:$F$63,31)))</f>
        <v/>
      </c>
      <c r="K1646" s="29">
        <f>IF($B1646="","",IF(INDEX(Dossiers!$G$4:$G$63,31)="","",INDEX(Dossiers!$G$4:$G$63,31)))</f>
        <v/>
      </c>
    </row>
    <row r="1647">
      <c r="A1647">
        <f>IF($B1647="","",INDEX(Dossiers!$E$4:$E$63,32))</f>
        <v/>
      </c>
      <c r="B1647">
        <f>IF(INDEX(Suivi!$B:$B,1679)="","",INDEX(Suivi!$B:$B,1679))</f>
        <v/>
      </c>
      <c r="C1647">
        <f>IF($B1647="","",IF(INDEX(Suivi!$D:$D,1679)="",INDEX(Suivi!$C:$C,1679),INDEX(Suivi!$D:$D,1679)))</f>
        <v/>
      </c>
      <c r="D1647" s="29">
        <f>IF($B1647="","",INDEX(Suivi!$E:$E,1679))</f>
        <v/>
      </c>
      <c r="E1647" s="29">
        <f>IF($B1647="","",INDEX(Suivi!$F:$F,1679))</f>
        <v/>
      </c>
      <c r="F1647">
        <f>IF($B1647="","",INDEX(Suivi!$G:$G,1679))</f>
        <v/>
      </c>
      <c r="H1647">
        <f>IF(OR($B1647="",NOT(ISNUMBER($D1647))),"",IF($E1647&lt;$D$2,"Passé",IF($D1647&gt;$F$2,"À venir","Dans la période")))</f>
        <v/>
      </c>
      <c r="I1647">
        <f>IF(OR($B1647="",NOT(ISNUMBER($D1647))),"",IF(AND($E1647&lt;$D$2,$G1647&lt;&gt;"X",$F1647&lt;&gt;"Réalisé",$F1647&lt;&gt;"Clôturé"),"RETARD",""))</f>
        <v/>
      </c>
      <c r="J1647" s="29">
        <f>IF($B1647="","",IF(INDEX(Dossiers!$F$4:$F$63,32)="","",INDEX(Dossiers!$F$4:$F$63,32)))</f>
        <v/>
      </c>
      <c r="K1647" s="29">
        <f>IF($B1647="","",IF(INDEX(Dossiers!$G$4:$G$63,32)="","",INDEX(Dossiers!$G$4:$G$63,32)))</f>
        <v/>
      </c>
    </row>
    <row r="1648">
      <c r="A1648">
        <f>IF($B1648="","",INDEX(Dossiers!$E$4:$E$63,32))</f>
        <v/>
      </c>
      <c r="B1648">
        <f>IF(INDEX(Suivi!$B:$B,1680)="","",INDEX(Suivi!$B:$B,1680))</f>
        <v/>
      </c>
      <c r="C1648">
        <f>IF($B1648="","",IF(INDEX(Suivi!$D:$D,1680)="",INDEX(Suivi!$C:$C,1680),INDEX(Suivi!$D:$D,1680)))</f>
        <v/>
      </c>
      <c r="D1648" s="29">
        <f>IF($B1648="","",INDEX(Suivi!$E:$E,1680))</f>
        <v/>
      </c>
      <c r="E1648" s="29">
        <f>IF($B1648="","",INDEX(Suivi!$F:$F,1680))</f>
        <v/>
      </c>
      <c r="F1648">
        <f>IF($B1648="","",INDEX(Suivi!$G:$G,1680))</f>
        <v/>
      </c>
      <c r="H1648">
        <f>IF(OR($B1648="",NOT(ISNUMBER($D1648))),"",IF($E1648&lt;$D$2,"Passé",IF($D1648&gt;$F$2,"À venir","Dans la période")))</f>
        <v/>
      </c>
      <c r="I1648">
        <f>IF(OR($B1648="",NOT(ISNUMBER($D1648))),"",IF(AND($E1648&lt;$D$2,$G1648&lt;&gt;"X",$F1648&lt;&gt;"Réalisé",$F1648&lt;&gt;"Clôturé"),"RETARD",""))</f>
        <v/>
      </c>
      <c r="J1648" s="29">
        <f>IF($B1648="","",IF(INDEX(Dossiers!$F$4:$F$63,32)="","",INDEX(Dossiers!$F$4:$F$63,32)))</f>
        <v/>
      </c>
      <c r="K1648" s="29">
        <f>IF($B1648="","",IF(INDEX(Dossiers!$G$4:$G$63,32)="","",INDEX(Dossiers!$G$4:$G$63,32)))</f>
        <v/>
      </c>
    </row>
    <row r="1649">
      <c r="A1649">
        <f>IF($B1649="","",INDEX(Dossiers!$E$4:$E$63,32))</f>
        <v/>
      </c>
      <c r="B1649">
        <f>IF(INDEX(Suivi!$B:$B,1681)="","",INDEX(Suivi!$B:$B,1681))</f>
        <v/>
      </c>
      <c r="C1649">
        <f>IF($B1649="","",IF(INDEX(Suivi!$D:$D,1681)="",INDEX(Suivi!$C:$C,1681),INDEX(Suivi!$D:$D,1681)))</f>
        <v/>
      </c>
      <c r="D1649" s="29">
        <f>IF($B1649="","",INDEX(Suivi!$E:$E,1681))</f>
        <v/>
      </c>
      <c r="E1649" s="29">
        <f>IF($B1649="","",INDEX(Suivi!$F:$F,1681))</f>
        <v/>
      </c>
      <c r="F1649">
        <f>IF($B1649="","",INDEX(Suivi!$G:$G,1681))</f>
        <v/>
      </c>
      <c r="H1649">
        <f>IF(OR($B1649="",NOT(ISNUMBER($D1649))),"",IF($E1649&lt;$D$2,"Passé",IF($D1649&gt;$F$2,"À venir","Dans la période")))</f>
        <v/>
      </c>
      <c r="I1649">
        <f>IF(OR($B1649="",NOT(ISNUMBER($D1649))),"",IF(AND($E1649&lt;$D$2,$G1649&lt;&gt;"X",$F1649&lt;&gt;"Réalisé",$F1649&lt;&gt;"Clôturé"),"RETARD",""))</f>
        <v/>
      </c>
      <c r="J1649" s="29">
        <f>IF($B1649="","",IF(INDEX(Dossiers!$F$4:$F$63,32)="","",INDEX(Dossiers!$F$4:$F$63,32)))</f>
        <v/>
      </c>
      <c r="K1649" s="29">
        <f>IF($B1649="","",IF(INDEX(Dossiers!$G$4:$G$63,32)="","",INDEX(Dossiers!$G$4:$G$63,32)))</f>
        <v/>
      </c>
    </row>
    <row r="1650">
      <c r="A1650">
        <f>IF($B1650="","",INDEX(Dossiers!$E$4:$E$63,32))</f>
        <v/>
      </c>
      <c r="B1650">
        <f>IF(INDEX(Suivi!$B:$B,1682)="","",INDEX(Suivi!$B:$B,1682))</f>
        <v/>
      </c>
      <c r="C1650">
        <f>IF($B1650="","",IF(INDEX(Suivi!$D:$D,1682)="",INDEX(Suivi!$C:$C,1682),INDEX(Suivi!$D:$D,1682)))</f>
        <v/>
      </c>
      <c r="D1650" s="29">
        <f>IF($B1650="","",INDEX(Suivi!$E:$E,1682))</f>
        <v/>
      </c>
      <c r="E1650" s="29">
        <f>IF($B1650="","",INDEX(Suivi!$F:$F,1682))</f>
        <v/>
      </c>
      <c r="F1650">
        <f>IF($B1650="","",INDEX(Suivi!$G:$G,1682))</f>
        <v/>
      </c>
      <c r="H1650">
        <f>IF(OR($B1650="",NOT(ISNUMBER($D1650))),"",IF($E1650&lt;$D$2,"Passé",IF($D1650&gt;$F$2,"À venir","Dans la période")))</f>
        <v/>
      </c>
      <c r="I1650">
        <f>IF(OR($B1650="",NOT(ISNUMBER($D1650))),"",IF(AND($E1650&lt;$D$2,$G1650&lt;&gt;"X",$F1650&lt;&gt;"Réalisé",$F1650&lt;&gt;"Clôturé"),"RETARD",""))</f>
        <v/>
      </c>
      <c r="J1650" s="29">
        <f>IF($B1650="","",IF(INDEX(Dossiers!$F$4:$F$63,32)="","",INDEX(Dossiers!$F$4:$F$63,32)))</f>
        <v/>
      </c>
      <c r="K1650" s="29">
        <f>IF($B1650="","",IF(INDEX(Dossiers!$G$4:$G$63,32)="","",INDEX(Dossiers!$G$4:$G$63,32)))</f>
        <v/>
      </c>
    </row>
    <row r="1651">
      <c r="A1651">
        <f>IF($B1651="","",INDEX(Dossiers!$E$4:$E$63,32))</f>
        <v/>
      </c>
      <c r="B1651">
        <f>IF(INDEX(Suivi!$B:$B,1683)="","",INDEX(Suivi!$B:$B,1683))</f>
        <v/>
      </c>
      <c r="C1651">
        <f>IF($B1651="","",IF(INDEX(Suivi!$D:$D,1683)="",INDEX(Suivi!$C:$C,1683),INDEX(Suivi!$D:$D,1683)))</f>
        <v/>
      </c>
      <c r="D1651" s="29">
        <f>IF($B1651="","",INDEX(Suivi!$E:$E,1683))</f>
        <v/>
      </c>
      <c r="E1651" s="29">
        <f>IF($B1651="","",INDEX(Suivi!$F:$F,1683))</f>
        <v/>
      </c>
      <c r="F1651">
        <f>IF($B1651="","",INDEX(Suivi!$G:$G,1683))</f>
        <v/>
      </c>
      <c r="H1651">
        <f>IF(OR($B1651="",NOT(ISNUMBER($D1651))),"",IF($E1651&lt;$D$2,"Passé",IF($D1651&gt;$F$2,"À venir","Dans la période")))</f>
        <v/>
      </c>
      <c r="I1651">
        <f>IF(OR($B1651="",NOT(ISNUMBER($D1651))),"",IF(AND($E1651&lt;$D$2,$G1651&lt;&gt;"X",$F1651&lt;&gt;"Réalisé",$F1651&lt;&gt;"Clôturé"),"RETARD",""))</f>
        <v/>
      </c>
      <c r="J1651" s="29">
        <f>IF($B1651="","",IF(INDEX(Dossiers!$F$4:$F$63,32)="","",INDEX(Dossiers!$F$4:$F$63,32)))</f>
        <v/>
      </c>
      <c r="K1651" s="29">
        <f>IF($B1651="","",IF(INDEX(Dossiers!$G$4:$G$63,32)="","",INDEX(Dossiers!$G$4:$G$63,32)))</f>
        <v/>
      </c>
    </row>
    <row r="1652">
      <c r="A1652">
        <f>IF($B1652="","",INDEX(Dossiers!$E$4:$E$63,32))</f>
        <v/>
      </c>
      <c r="B1652">
        <f>IF(INDEX(Suivi!$B:$B,1684)="","",INDEX(Suivi!$B:$B,1684))</f>
        <v/>
      </c>
      <c r="C1652">
        <f>IF($B1652="","",IF(INDEX(Suivi!$D:$D,1684)="",INDEX(Suivi!$C:$C,1684),INDEX(Suivi!$D:$D,1684)))</f>
        <v/>
      </c>
      <c r="D1652" s="29">
        <f>IF($B1652="","",INDEX(Suivi!$E:$E,1684))</f>
        <v/>
      </c>
      <c r="E1652" s="29">
        <f>IF($B1652="","",INDEX(Suivi!$F:$F,1684))</f>
        <v/>
      </c>
      <c r="F1652">
        <f>IF($B1652="","",INDEX(Suivi!$G:$G,1684))</f>
        <v/>
      </c>
      <c r="H1652">
        <f>IF(OR($B1652="",NOT(ISNUMBER($D1652))),"",IF($E1652&lt;$D$2,"Passé",IF($D1652&gt;$F$2,"À venir","Dans la période")))</f>
        <v/>
      </c>
      <c r="I1652">
        <f>IF(OR($B1652="",NOT(ISNUMBER($D1652))),"",IF(AND($E1652&lt;$D$2,$G1652&lt;&gt;"X",$F1652&lt;&gt;"Réalisé",$F1652&lt;&gt;"Clôturé"),"RETARD",""))</f>
        <v/>
      </c>
      <c r="J1652" s="29">
        <f>IF($B1652="","",IF(INDEX(Dossiers!$F$4:$F$63,32)="","",INDEX(Dossiers!$F$4:$F$63,32)))</f>
        <v/>
      </c>
      <c r="K1652" s="29">
        <f>IF($B1652="","",IF(INDEX(Dossiers!$G$4:$G$63,32)="","",INDEX(Dossiers!$G$4:$G$63,32)))</f>
        <v/>
      </c>
    </row>
    <row r="1653">
      <c r="A1653">
        <f>IF($B1653="","",INDEX(Dossiers!$E$4:$E$63,32))</f>
        <v/>
      </c>
      <c r="B1653">
        <f>IF(INDEX(Suivi!$B:$B,1685)="","",INDEX(Suivi!$B:$B,1685))</f>
        <v/>
      </c>
      <c r="C1653">
        <f>IF($B1653="","",IF(INDEX(Suivi!$D:$D,1685)="",INDEX(Suivi!$C:$C,1685),INDEX(Suivi!$D:$D,1685)))</f>
        <v/>
      </c>
      <c r="D1653" s="29">
        <f>IF($B1653="","",INDEX(Suivi!$E:$E,1685))</f>
        <v/>
      </c>
      <c r="E1653" s="29">
        <f>IF($B1653="","",INDEX(Suivi!$F:$F,1685))</f>
        <v/>
      </c>
      <c r="F1653">
        <f>IF($B1653="","",INDEX(Suivi!$G:$G,1685))</f>
        <v/>
      </c>
      <c r="H1653">
        <f>IF(OR($B1653="",NOT(ISNUMBER($D1653))),"",IF($E1653&lt;$D$2,"Passé",IF($D1653&gt;$F$2,"À venir","Dans la période")))</f>
        <v/>
      </c>
      <c r="I1653">
        <f>IF(OR($B1653="",NOT(ISNUMBER($D1653))),"",IF(AND($E1653&lt;$D$2,$G1653&lt;&gt;"X",$F1653&lt;&gt;"Réalisé",$F1653&lt;&gt;"Clôturé"),"RETARD",""))</f>
        <v/>
      </c>
      <c r="J1653" s="29">
        <f>IF($B1653="","",IF(INDEX(Dossiers!$F$4:$F$63,32)="","",INDEX(Dossiers!$F$4:$F$63,32)))</f>
        <v/>
      </c>
      <c r="K1653" s="29">
        <f>IF($B1653="","",IF(INDEX(Dossiers!$G$4:$G$63,32)="","",INDEX(Dossiers!$G$4:$G$63,32)))</f>
        <v/>
      </c>
    </row>
    <row r="1654">
      <c r="A1654">
        <f>IF($B1654="","",INDEX(Dossiers!$E$4:$E$63,32))</f>
        <v/>
      </c>
      <c r="B1654">
        <f>IF(INDEX(Suivi!$B:$B,1686)="","",INDEX(Suivi!$B:$B,1686))</f>
        <v/>
      </c>
      <c r="C1654">
        <f>IF($B1654="","",IF(INDEX(Suivi!$D:$D,1686)="",INDEX(Suivi!$C:$C,1686),INDEX(Suivi!$D:$D,1686)))</f>
        <v/>
      </c>
      <c r="D1654" s="29">
        <f>IF($B1654="","",INDEX(Suivi!$E:$E,1686))</f>
        <v/>
      </c>
      <c r="E1654" s="29">
        <f>IF($B1654="","",INDEX(Suivi!$F:$F,1686))</f>
        <v/>
      </c>
      <c r="F1654">
        <f>IF($B1654="","",INDEX(Suivi!$G:$G,1686))</f>
        <v/>
      </c>
      <c r="H1654">
        <f>IF(OR($B1654="",NOT(ISNUMBER($D1654))),"",IF($E1654&lt;$D$2,"Passé",IF($D1654&gt;$F$2,"À venir","Dans la période")))</f>
        <v/>
      </c>
      <c r="I1654">
        <f>IF(OR($B1654="",NOT(ISNUMBER($D1654))),"",IF(AND($E1654&lt;$D$2,$G1654&lt;&gt;"X",$F1654&lt;&gt;"Réalisé",$F1654&lt;&gt;"Clôturé"),"RETARD",""))</f>
        <v/>
      </c>
      <c r="J1654" s="29">
        <f>IF($B1654="","",IF(INDEX(Dossiers!$F$4:$F$63,32)="","",INDEX(Dossiers!$F$4:$F$63,32)))</f>
        <v/>
      </c>
      <c r="K1654" s="29">
        <f>IF($B1654="","",IF(INDEX(Dossiers!$G$4:$G$63,32)="","",INDEX(Dossiers!$G$4:$G$63,32)))</f>
        <v/>
      </c>
    </row>
    <row r="1655">
      <c r="A1655">
        <f>IF($B1655="","",INDEX(Dossiers!$E$4:$E$63,32))</f>
        <v/>
      </c>
      <c r="B1655">
        <f>IF(INDEX(Suivi!$B:$B,1687)="","",INDEX(Suivi!$B:$B,1687))</f>
        <v/>
      </c>
      <c r="C1655">
        <f>IF($B1655="","",IF(INDEX(Suivi!$D:$D,1687)="",INDEX(Suivi!$C:$C,1687),INDEX(Suivi!$D:$D,1687)))</f>
        <v/>
      </c>
      <c r="D1655" s="29">
        <f>IF($B1655="","",INDEX(Suivi!$E:$E,1687))</f>
        <v/>
      </c>
      <c r="E1655" s="29">
        <f>IF($B1655="","",INDEX(Suivi!$F:$F,1687))</f>
        <v/>
      </c>
      <c r="F1655">
        <f>IF($B1655="","",INDEX(Suivi!$G:$G,1687))</f>
        <v/>
      </c>
      <c r="H1655">
        <f>IF(OR($B1655="",NOT(ISNUMBER($D1655))),"",IF($E1655&lt;$D$2,"Passé",IF($D1655&gt;$F$2,"À venir","Dans la période")))</f>
        <v/>
      </c>
      <c r="I1655">
        <f>IF(OR($B1655="",NOT(ISNUMBER($D1655))),"",IF(AND($E1655&lt;$D$2,$G1655&lt;&gt;"X",$F1655&lt;&gt;"Réalisé",$F1655&lt;&gt;"Clôturé"),"RETARD",""))</f>
        <v/>
      </c>
      <c r="J1655" s="29">
        <f>IF($B1655="","",IF(INDEX(Dossiers!$F$4:$F$63,32)="","",INDEX(Dossiers!$F$4:$F$63,32)))</f>
        <v/>
      </c>
      <c r="K1655" s="29">
        <f>IF($B1655="","",IF(INDEX(Dossiers!$G$4:$G$63,32)="","",INDEX(Dossiers!$G$4:$G$63,32)))</f>
        <v/>
      </c>
    </row>
    <row r="1656">
      <c r="A1656">
        <f>IF($B1656="","",INDEX(Dossiers!$E$4:$E$63,32))</f>
        <v/>
      </c>
      <c r="B1656">
        <f>IF(INDEX(Suivi!$B:$B,1688)="","",INDEX(Suivi!$B:$B,1688))</f>
        <v/>
      </c>
      <c r="C1656">
        <f>IF($B1656="","",IF(INDEX(Suivi!$D:$D,1688)="",INDEX(Suivi!$C:$C,1688),INDEX(Suivi!$D:$D,1688)))</f>
        <v/>
      </c>
      <c r="D1656" s="29">
        <f>IF($B1656="","",INDEX(Suivi!$E:$E,1688))</f>
        <v/>
      </c>
      <c r="E1656" s="29">
        <f>IF($B1656="","",INDEX(Suivi!$F:$F,1688))</f>
        <v/>
      </c>
      <c r="F1656">
        <f>IF($B1656="","",INDEX(Suivi!$G:$G,1688))</f>
        <v/>
      </c>
      <c r="H1656">
        <f>IF(OR($B1656="",NOT(ISNUMBER($D1656))),"",IF($E1656&lt;$D$2,"Passé",IF($D1656&gt;$F$2,"À venir","Dans la période")))</f>
        <v/>
      </c>
      <c r="I1656">
        <f>IF(OR($B1656="",NOT(ISNUMBER($D1656))),"",IF(AND($E1656&lt;$D$2,$G1656&lt;&gt;"X",$F1656&lt;&gt;"Réalisé",$F1656&lt;&gt;"Clôturé"),"RETARD",""))</f>
        <v/>
      </c>
      <c r="J1656" s="29">
        <f>IF($B1656="","",IF(INDEX(Dossiers!$F$4:$F$63,32)="","",INDEX(Dossiers!$F$4:$F$63,32)))</f>
        <v/>
      </c>
      <c r="K1656" s="29">
        <f>IF($B1656="","",IF(INDEX(Dossiers!$G$4:$G$63,32)="","",INDEX(Dossiers!$G$4:$G$63,32)))</f>
        <v/>
      </c>
    </row>
    <row r="1657">
      <c r="A1657">
        <f>IF($B1657="","",INDEX(Dossiers!$E$4:$E$63,32))</f>
        <v/>
      </c>
      <c r="B1657">
        <f>IF(INDEX(Suivi!$B:$B,1689)="","",INDEX(Suivi!$B:$B,1689))</f>
        <v/>
      </c>
      <c r="C1657">
        <f>IF($B1657="","",IF(INDEX(Suivi!$D:$D,1689)="",INDEX(Suivi!$C:$C,1689),INDEX(Suivi!$D:$D,1689)))</f>
        <v/>
      </c>
      <c r="D1657" s="29">
        <f>IF($B1657="","",INDEX(Suivi!$E:$E,1689))</f>
        <v/>
      </c>
      <c r="E1657" s="29">
        <f>IF($B1657="","",INDEX(Suivi!$F:$F,1689))</f>
        <v/>
      </c>
      <c r="F1657">
        <f>IF($B1657="","",INDEX(Suivi!$G:$G,1689))</f>
        <v/>
      </c>
      <c r="H1657">
        <f>IF(OR($B1657="",NOT(ISNUMBER($D1657))),"",IF($E1657&lt;$D$2,"Passé",IF($D1657&gt;$F$2,"À venir","Dans la période")))</f>
        <v/>
      </c>
      <c r="I1657">
        <f>IF(OR($B1657="",NOT(ISNUMBER($D1657))),"",IF(AND($E1657&lt;$D$2,$G1657&lt;&gt;"X",$F1657&lt;&gt;"Réalisé",$F1657&lt;&gt;"Clôturé"),"RETARD",""))</f>
        <v/>
      </c>
      <c r="J1657" s="29">
        <f>IF($B1657="","",IF(INDEX(Dossiers!$F$4:$F$63,32)="","",INDEX(Dossiers!$F$4:$F$63,32)))</f>
        <v/>
      </c>
      <c r="K1657" s="29">
        <f>IF($B1657="","",IF(INDEX(Dossiers!$G$4:$G$63,32)="","",INDEX(Dossiers!$G$4:$G$63,32)))</f>
        <v/>
      </c>
    </row>
    <row r="1658">
      <c r="A1658">
        <f>IF($B1658="","",INDEX(Dossiers!$E$4:$E$63,32))</f>
        <v/>
      </c>
      <c r="B1658">
        <f>IF(INDEX(Suivi!$B:$B,1690)="","",INDEX(Suivi!$B:$B,1690))</f>
        <v/>
      </c>
      <c r="C1658">
        <f>IF($B1658="","",IF(INDEX(Suivi!$D:$D,1690)="",INDEX(Suivi!$C:$C,1690),INDEX(Suivi!$D:$D,1690)))</f>
        <v/>
      </c>
      <c r="D1658" s="29">
        <f>IF($B1658="","",INDEX(Suivi!$E:$E,1690))</f>
        <v/>
      </c>
      <c r="E1658" s="29">
        <f>IF($B1658="","",INDEX(Suivi!$F:$F,1690))</f>
        <v/>
      </c>
      <c r="F1658">
        <f>IF($B1658="","",INDEX(Suivi!$G:$G,1690))</f>
        <v/>
      </c>
      <c r="H1658">
        <f>IF(OR($B1658="",NOT(ISNUMBER($D1658))),"",IF($E1658&lt;$D$2,"Passé",IF($D1658&gt;$F$2,"À venir","Dans la période")))</f>
        <v/>
      </c>
      <c r="I1658">
        <f>IF(OR($B1658="",NOT(ISNUMBER($D1658))),"",IF(AND($E1658&lt;$D$2,$G1658&lt;&gt;"X",$F1658&lt;&gt;"Réalisé",$F1658&lt;&gt;"Clôturé"),"RETARD",""))</f>
        <v/>
      </c>
      <c r="J1658" s="29">
        <f>IF($B1658="","",IF(INDEX(Dossiers!$F$4:$F$63,32)="","",INDEX(Dossiers!$F$4:$F$63,32)))</f>
        <v/>
      </c>
      <c r="K1658" s="29">
        <f>IF($B1658="","",IF(INDEX(Dossiers!$G$4:$G$63,32)="","",INDEX(Dossiers!$G$4:$G$63,32)))</f>
        <v/>
      </c>
    </row>
    <row r="1659">
      <c r="A1659">
        <f>IF($B1659="","",INDEX(Dossiers!$E$4:$E$63,32))</f>
        <v/>
      </c>
      <c r="B1659">
        <f>IF(INDEX(Suivi!$B:$B,1691)="","",INDEX(Suivi!$B:$B,1691))</f>
        <v/>
      </c>
      <c r="C1659">
        <f>IF($B1659="","",IF(INDEX(Suivi!$D:$D,1691)="",INDEX(Suivi!$C:$C,1691),INDEX(Suivi!$D:$D,1691)))</f>
        <v/>
      </c>
      <c r="D1659" s="29">
        <f>IF($B1659="","",INDEX(Suivi!$E:$E,1691))</f>
        <v/>
      </c>
      <c r="E1659" s="29">
        <f>IF($B1659="","",INDEX(Suivi!$F:$F,1691))</f>
        <v/>
      </c>
      <c r="F1659">
        <f>IF($B1659="","",INDEX(Suivi!$G:$G,1691))</f>
        <v/>
      </c>
      <c r="H1659">
        <f>IF(OR($B1659="",NOT(ISNUMBER($D1659))),"",IF($E1659&lt;$D$2,"Passé",IF($D1659&gt;$F$2,"À venir","Dans la période")))</f>
        <v/>
      </c>
      <c r="I1659">
        <f>IF(OR($B1659="",NOT(ISNUMBER($D1659))),"",IF(AND($E1659&lt;$D$2,$G1659&lt;&gt;"X",$F1659&lt;&gt;"Réalisé",$F1659&lt;&gt;"Clôturé"),"RETARD",""))</f>
        <v/>
      </c>
      <c r="J1659" s="29">
        <f>IF($B1659="","",IF(INDEX(Dossiers!$F$4:$F$63,32)="","",INDEX(Dossiers!$F$4:$F$63,32)))</f>
        <v/>
      </c>
      <c r="K1659" s="29">
        <f>IF($B1659="","",IF(INDEX(Dossiers!$G$4:$G$63,32)="","",INDEX(Dossiers!$G$4:$G$63,32)))</f>
        <v/>
      </c>
    </row>
    <row r="1660">
      <c r="A1660">
        <f>IF($B1660="","",INDEX(Dossiers!$E$4:$E$63,32))</f>
        <v/>
      </c>
      <c r="B1660">
        <f>IF(INDEX(Suivi!$B:$B,1692)="","",INDEX(Suivi!$B:$B,1692))</f>
        <v/>
      </c>
      <c r="C1660">
        <f>IF($B1660="","",IF(INDEX(Suivi!$D:$D,1692)="",INDEX(Suivi!$C:$C,1692),INDEX(Suivi!$D:$D,1692)))</f>
        <v/>
      </c>
      <c r="D1660" s="29">
        <f>IF($B1660="","",INDEX(Suivi!$E:$E,1692))</f>
        <v/>
      </c>
      <c r="E1660" s="29">
        <f>IF($B1660="","",INDEX(Suivi!$F:$F,1692))</f>
        <v/>
      </c>
      <c r="F1660">
        <f>IF($B1660="","",INDEX(Suivi!$G:$G,1692))</f>
        <v/>
      </c>
      <c r="H1660">
        <f>IF(OR($B1660="",NOT(ISNUMBER($D1660))),"",IF($E1660&lt;$D$2,"Passé",IF($D1660&gt;$F$2,"À venir","Dans la période")))</f>
        <v/>
      </c>
      <c r="I1660">
        <f>IF(OR($B1660="",NOT(ISNUMBER($D1660))),"",IF(AND($E1660&lt;$D$2,$G1660&lt;&gt;"X",$F1660&lt;&gt;"Réalisé",$F1660&lt;&gt;"Clôturé"),"RETARD",""))</f>
        <v/>
      </c>
      <c r="J1660" s="29">
        <f>IF($B1660="","",IF(INDEX(Dossiers!$F$4:$F$63,32)="","",INDEX(Dossiers!$F$4:$F$63,32)))</f>
        <v/>
      </c>
      <c r="K1660" s="29">
        <f>IF($B1660="","",IF(INDEX(Dossiers!$G$4:$G$63,32)="","",INDEX(Dossiers!$G$4:$G$63,32)))</f>
        <v/>
      </c>
    </row>
    <row r="1661">
      <c r="A1661">
        <f>IF($B1661="","",INDEX(Dossiers!$E$4:$E$63,32))</f>
        <v/>
      </c>
      <c r="B1661">
        <f>IF(INDEX(Suivi!$B:$B,1693)="","",INDEX(Suivi!$B:$B,1693))</f>
        <v/>
      </c>
      <c r="C1661">
        <f>IF($B1661="","",IF(INDEX(Suivi!$D:$D,1693)="",INDEX(Suivi!$C:$C,1693),INDEX(Suivi!$D:$D,1693)))</f>
        <v/>
      </c>
      <c r="D1661" s="29">
        <f>IF($B1661="","",INDEX(Suivi!$E:$E,1693))</f>
        <v/>
      </c>
      <c r="E1661" s="29">
        <f>IF($B1661="","",INDEX(Suivi!$F:$F,1693))</f>
        <v/>
      </c>
      <c r="F1661">
        <f>IF($B1661="","",INDEX(Suivi!$G:$G,1693))</f>
        <v/>
      </c>
      <c r="H1661">
        <f>IF(OR($B1661="",NOT(ISNUMBER($D1661))),"",IF($E1661&lt;$D$2,"Passé",IF($D1661&gt;$F$2,"À venir","Dans la période")))</f>
        <v/>
      </c>
      <c r="I1661">
        <f>IF(OR($B1661="",NOT(ISNUMBER($D1661))),"",IF(AND($E1661&lt;$D$2,$G1661&lt;&gt;"X",$F1661&lt;&gt;"Réalisé",$F1661&lt;&gt;"Clôturé"),"RETARD",""))</f>
        <v/>
      </c>
      <c r="J1661" s="29">
        <f>IF($B1661="","",IF(INDEX(Dossiers!$F$4:$F$63,32)="","",INDEX(Dossiers!$F$4:$F$63,32)))</f>
        <v/>
      </c>
      <c r="K1661" s="29">
        <f>IF($B1661="","",IF(INDEX(Dossiers!$G$4:$G$63,32)="","",INDEX(Dossiers!$G$4:$G$63,32)))</f>
        <v/>
      </c>
    </row>
    <row r="1662">
      <c r="A1662">
        <f>IF($B1662="","",INDEX(Dossiers!$E$4:$E$63,32))</f>
        <v/>
      </c>
      <c r="B1662">
        <f>IF(INDEX(Suivi!$B:$B,1694)="","",INDEX(Suivi!$B:$B,1694))</f>
        <v/>
      </c>
      <c r="C1662">
        <f>IF($B1662="","",IF(INDEX(Suivi!$D:$D,1694)="",INDEX(Suivi!$C:$C,1694),INDEX(Suivi!$D:$D,1694)))</f>
        <v/>
      </c>
      <c r="D1662" s="29">
        <f>IF($B1662="","",INDEX(Suivi!$E:$E,1694))</f>
        <v/>
      </c>
      <c r="E1662" s="29">
        <f>IF($B1662="","",INDEX(Suivi!$F:$F,1694))</f>
        <v/>
      </c>
      <c r="F1662">
        <f>IF($B1662="","",INDEX(Suivi!$G:$G,1694))</f>
        <v/>
      </c>
      <c r="H1662">
        <f>IF(OR($B1662="",NOT(ISNUMBER($D1662))),"",IF($E1662&lt;$D$2,"Passé",IF($D1662&gt;$F$2,"À venir","Dans la période")))</f>
        <v/>
      </c>
      <c r="I1662">
        <f>IF(OR($B1662="",NOT(ISNUMBER($D1662))),"",IF(AND($E1662&lt;$D$2,$G1662&lt;&gt;"X",$F1662&lt;&gt;"Réalisé",$F1662&lt;&gt;"Clôturé"),"RETARD",""))</f>
        <v/>
      </c>
      <c r="J1662" s="29">
        <f>IF($B1662="","",IF(INDEX(Dossiers!$F$4:$F$63,32)="","",INDEX(Dossiers!$F$4:$F$63,32)))</f>
        <v/>
      </c>
      <c r="K1662" s="29">
        <f>IF($B1662="","",IF(INDEX(Dossiers!$G$4:$G$63,32)="","",INDEX(Dossiers!$G$4:$G$63,32)))</f>
        <v/>
      </c>
    </row>
    <row r="1663">
      <c r="A1663">
        <f>IF($B1663="","",INDEX(Dossiers!$E$4:$E$63,32))</f>
        <v/>
      </c>
      <c r="B1663">
        <f>IF(INDEX(Suivi!$B:$B,1695)="","",INDEX(Suivi!$B:$B,1695))</f>
        <v/>
      </c>
      <c r="C1663">
        <f>IF($B1663="","",IF(INDEX(Suivi!$D:$D,1695)="",INDEX(Suivi!$C:$C,1695),INDEX(Suivi!$D:$D,1695)))</f>
        <v/>
      </c>
      <c r="D1663" s="29">
        <f>IF($B1663="","",INDEX(Suivi!$E:$E,1695))</f>
        <v/>
      </c>
      <c r="E1663" s="29">
        <f>IF($B1663="","",INDEX(Suivi!$F:$F,1695))</f>
        <v/>
      </c>
      <c r="F1663">
        <f>IF($B1663="","",INDEX(Suivi!$G:$G,1695))</f>
        <v/>
      </c>
      <c r="H1663">
        <f>IF(OR($B1663="",NOT(ISNUMBER($D1663))),"",IF($E1663&lt;$D$2,"Passé",IF($D1663&gt;$F$2,"À venir","Dans la période")))</f>
        <v/>
      </c>
      <c r="I1663">
        <f>IF(OR($B1663="",NOT(ISNUMBER($D1663))),"",IF(AND($E1663&lt;$D$2,$G1663&lt;&gt;"X",$F1663&lt;&gt;"Réalisé",$F1663&lt;&gt;"Clôturé"),"RETARD",""))</f>
        <v/>
      </c>
      <c r="J1663" s="29">
        <f>IF($B1663="","",IF(INDEX(Dossiers!$F$4:$F$63,32)="","",INDEX(Dossiers!$F$4:$F$63,32)))</f>
        <v/>
      </c>
      <c r="K1663" s="29">
        <f>IF($B1663="","",IF(INDEX(Dossiers!$G$4:$G$63,32)="","",INDEX(Dossiers!$G$4:$G$63,32)))</f>
        <v/>
      </c>
    </row>
    <row r="1664">
      <c r="A1664">
        <f>IF($B1664="","",INDEX(Dossiers!$E$4:$E$63,32))</f>
        <v/>
      </c>
      <c r="B1664">
        <f>IF(INDEX(Suivi!$B:$B,1696)="","",INDEX(Suivi!$B:$B,1696))</f>
        <v/>
      </c>
      <c r="C1664">
        <f>IF($B1664="","",IF(INDEX(Suivi!$D:$D,1696)="",INDEX(Suivi!$C:$C,1696),INDEX(Suivi!$D:$D,1696)))</f>
        <v/>
      </c>
      <c r="D1664" s="29">
        <f>IF($B1664="","",INDEX(Suivi!$E:$E,1696))</f>
        <v/>
      </c>
      <c r="E1664" s="29">
        <f>IF($B1664="","",INDEX(Suivi!$F:$F,1696))</f>
        <v/>
      </c>
      <c r="F1664">
        <f>IF($B1664="","",INDEX(Suivi!$G:$G,1696))</f>
        <v/>
      </c>
      <c r="H1664">
        <f>IF(OR($B1664="",NOT(ISNUMBER($D1664))),"",IF($E1664&lt;$D$2,"Passé",IF($D1664&gt;$F$2,"À venir","Dans la période")))</f>
        <v/>
      </c>
      <c r="I1664">
        <f>IF(OR($B1664="",NOT(ISNUMBER($D1664))),"",IF(AND($E1664&lt;$D$2,$G1664&lt;&gt;"X",$F1664&lt;&gt;"Réalisé",$F1664&lt;&gt;"Clôturé"),"RETARD",""))</f>
        <v/>
      </c>
      <c r="J1664" s="29">
        <f>IF($B1664="","",IF(INDEX(Dossiers!$F$4:$F$63,32)="","",INDEX(Dossiers!$F$4:$F$63,32)))</f>
        <v/>
      </c>
      <c r="K1664" s="29">
        <f>IF($B1664="","",IF(INDEX(Dossiers!$G$4:$G$63,32)="","",INDEX(Dossiers!$G$4:$G$63,32)))</f>
        <v/>
      </c>
    </row>
    <row r="1665">
      <c r="A1665">
        <f>IF($B1665="","",INDEX(Dossiers!$E$4:$E$63,32))</f>
        <v/>
      </c>
      <c r="B1665">
        <f>IF(INDEX(Suivi!$B:$B,1697)="","",INDEX(Suivi!$B:$B,1697))</f>
        <v/>
      </c>
      <c r="C1665">
        <f>IF($B1665="","",IF(INDEX(Suivi!$D:$D,1697)="",INDEX(Suivi!$C:$C,1697),INDEX(Suivi!$D:$D,1697)))</f>
        <v/>
      </c>
      <c r="D1665" s="29">
        <f>IF($B1665="","",INDEX(Suivi!$E:$E,1697))</f>
        <v/>
      </c>
      <c r="E1665" s="29">
        <f>IF($B1665="","",INDEX(Suivi!$F:$F,1697))</f>
        <v/>
      </c>
      <c r="F1665">
        <f>IF($B1665="","",INDEX(Suivi!$G:$G,1697))</f>
        <v/>
      </c>
      <c r="H1665">
        <f>IF(OR($B1665="",NOT(ISNUMBER($D1665))),"",IF($E1665&lt;$D$2,"Passé",IF($D1665&gt;$F$2,"À venir","Dans la période")))</f>
        <v/>
      </c>
      <c r="I1665">
        <f>IF(OR($B1665="",NOT(ISNUMBER($D1665))),"",IF(AND($E1665&lt;$D$2,$G1665&lt;&gt;"X",$F1665&lt;&gt;"Réalisé",$F1665&lt;&gt;"Clôturé"),"RETARD",""))</f>
        <v/>
      </c>
      <c r="J1665" s="29">
        <f>IF($B1665="","",IF(INDEX(Dossiers!$F$4:$F$63,32)="","",INDEX(Dossiers!$F$4:$F$63,32)))</f>
        <v/>
      </c>
      <c r="K1665" s="29">
        <f>IF($B1665="","",IF(INDEX(Dossiers!$G$4:$G$63,32)="","",INDEX(Dossiers!$G$4:$G$63,32)))</f>
        <v/>
      </c>
    </row>
    <row r="1666">
      <c r="A1666">
        <f>IF($B1666="","",INDEX(Dossiers!$E$4:$E$63,32))</f>
        <v/>
      </c>
      <c r="B1666">
        <f>IF(INDEX(Suivi!$B:$B,1698)="","",INDEX(Suivi!$B:$B,1698))</f>
        <v/>
      </c>
      <c r="C1666">
        <f>IF($B1666="","",IF(INDEX(Suivi!$D:$D,1698)="",INDEX(Suivi!$C:$C,1698),INDEX(Suivi!$D:$D,1698)))</f>
        <v/>
      </c>
      <c r="D1666" s="29">
        <f>IF($B1666="","",INDEX(Suivi!$E:$E,1698))</f>
        <v/>
      </c>
      <c r="E1666" s="29">
        <f>IF($B1666="","",INDEX(Suivi!$F:$F,1698))</f>
        <v/>
      </c>
      <c r="F1666">
        <f>IF($B1666="","",INDEX(Suivi!$G:$G,1698))</f>
        <v/>
      </c>
      <c r="H1666">
        <f>IF(OR($B1666="",NOT(ISNUMBER($D1666))),"",IF($E1666&lt;$D$2,"Passé",IF($D1666&gt;$F$2,"À venir","Dans la période")))</f>
        <v/>
      </c>
      <c r="I1666">
        <f>IF(OR($B1666="",NOT(ISNUMBER($D1666))),"",IF(AND($E1666&lt;$D$2,$G1666&lt;&gt;"X",$F1666&lt;&gt;"Réalisé",$F1666&lt;&gt;"Clôturé"),"RETARD",""))</f>
        <v/>
      </c>
      <c r="J1666" s="29">
        <f>IF($B1666="","",IF(INDEX(Dossiers!$F$4:$F$63,32)="","",INDEX(Dossiers!$F$4:$F$63,32)))</f>
        <v/>
      </c>
      <c r="K1666" s="29">
        <f>IF($B1666="","",IF(INDEX(Dossiers!$G$4:$G$63,32)="","",INDEX(Dossiers!$G$4:$G$63,32)))</f>
        <v/>
      </c>
    </row>
    <row r="1667">
      <c r="A1667">
        <f>IF($B1667="","",INDEX(Dossiers!$E$4:$E$63,32))</f>
        <v/>
      </c>
      <c r="B1667">
        <f>IF(INDEX(Suivi!$B:$B,1699)="","",INDEX(Suivi!$B:$B,1699))</f>
        <v/>
      </c>
      <c r="C1667">
        <f>IF($B1667="","",IF(INDEX(Suivi!$D:$D,1699)="",INDEX(Suivi!$C:$C,1699),INDEX(Suivi!$D:$D,1699)))</f>
        <v/>
      </c>
      <c r="D1667" s="29">
        <f>IF($B1667="","",INDEX(Suivi!$E:$E,1699))</f>
        <v/>
      </c>
      <c r="E1667" s="29">
        <f>IF($B1667="","",INDEX(Suivi!$F:$F,1699))</f>
        <v/>
      </c>
      <c r="F1667">
        <f>IF($B1667="","",INDEX(Suivi!$G:$G,1699))</f>
        <v/>
      </c>
      <c r="H1667">
        <f>IF(OR($B1667="",NOT(ISNUMBER($D1667))),"",IF($E1667&lt;$D$2,"Passé",IF($D1667&gt;$F$2,"À venir","Dans la période")))</f>
        <v/>
      </c>
      <c r="I1667">
        <f>IF(OR($B1667="",NOT(ISNUMBER($D1667))),"",IF(AND($E1667&lt;$D$2,$G1667&lt;&gt;"X",$F1667&lt;&gt;"Réalisé",$F1667&lt;&gt;"Clôturé"),"RETARD",""))</f>
        <v/>
      </c>
      <c r="J1667" s="29">
        <f>IF($B1667="","",IF(INDEX(Dossiers!$F$4:$F$63,32)="","",INDEX(Dossiers!$F$4:$F$63,32)))</f>
        <v/>
      </c>
      <c r="K1667" s="29">
        <f>IF($B1667="","",IF(INDEX(Dossiers!$G$4:$G$63,32)="","",INDEX(Dossiers!$G$4:$G$63,32)))</f>
        <v/>
      </c>
    </row>
    <row r="1668">
      <c r="A1668">
        <f>IF($B1668="","",INDEX(Dossiers!$E$4:$E$63,32))</f>
        <v/>
      </c>
      <c r="B1668">
        <f>IF(INDEX(Suivi!$B:$B,1700)="","",INDEX(Suivi!$B:$B,1700))</f>
        <v/>
      </c>
      <c r="C1668">
        <f>IF($B1668="","",IF(INDEX(Suivi!$D:$D,1700)="",INDEX(Suivi!$C:$C,1700),INDEX(Suivi!$D:$D,1700)))</f>
        <v/>
      </c>
      <c r="D1668" s="29">
        <f>IF($B1668="","",INDEX(Suivi!$E:$E,1700))</f>
        <v/>
      </c>
      <c r="E1668" s="29">
        <f>IF($B1668="","",INDEX(Suivi!$F:$F,1700))</f>
        <v/>
      </c>
      <c r="F1668">
        <f>IF($B1668="","",INDEX(Suivi!$G:$G,1700))</f>
        <v/>
      </c>
      <c r="H1668">
        <f>IF(OR($B1668="",NOT(ISNUMBER($D1668))),"",IF($E1668&lt;$D$2,"Passé",IF($D1668&gt;$F$2,"À venir","Dans la période")))</f>
        <v/>
      </c>
      <c r="I1668">
        <f>IF(OR($B1668="",NOT(ISNUMBER($D1668))),"",IF(AND($E1668&lt;$D$2,$G1668&lt;&gt;"X",$F1668&lt;&gt;"Réalisé",$F1668&lt;&gt;"Clôturé"),"RETARD",""))</f>
        <v/>
      </c>
      <c r="J1668" s="29">
        <f>IF($B1668="","",IF(INDEX(Dossiers!$F$4:$F$63,32)="","",INDEX(Dossiers!$F$4:$F$63,32)))</f>
        <v/>
      </c>
      <c r="K1668" s="29">
        <f>IF($B1668="","",IF(INDEX(Dossiers!$G$4:$G$63,32)="","",INDEX(Dossiers!$G$4:$G$63,32)))</f>
        <v/>
      </c>
    </row>
    <row r="1669">
      <c r="A1669">
        <f>IF($B1669="","",INDEX(Dossiers!$E$4:$E$63,32))</f>
        <v/>
      </c>
      <c r="B1669">
        <f>IF(INDEX(Suivi!$B:$B,1701)="","",INDEX(Suivi!$B:$B,1701))</f>
        <v/>
      </c>
      <c r="C1669">
        <f>IF($B1669="","",IF(INDEX(Suivi!$D:$D,1701)="",INDEX(Suivi!$C:$C,1701),INDEX(Suivi!$D:$D,1701)))</f>
        <v/>
      </c>
      <c r="D1669" s="29">
        <f>IF($B1669="","",INDEX(Suivi!$E:$E,1701))</f>
        <v/>
      </c>
      <c r="E1669" s="29">
        <f>IF($B1669="","",INDEX(Suivi!$F:$F,1701))</f>
        <v/>
      </c>
      <c r="F1669">
        <f>IF($B1669="","",INDEX(Suivi!$G:$G,1701))</f>
        <v/>
      </c>
      <c r="H1669">
        <f>IF(OR($B1669="",NOT(ISNUMBER($D1669))),"",IF($E1669&lt;$D$2,"Passé",IF($D1669&gt;$F$2,"À venir","Dans la période")))</f>
        <v/>
      </c>
      <c r="I1669">
        <f>IF(OR($B1669="",NOT(ISNUMBER($D1669))),"",IF(AND($E1669&lt;$D$2,$G1669&lt;&gt;"X",$F1669&lt;&gt;"Réalisé",$F1669&lt;&gt;"Clôturé"),"RETARD",""))</f>
        <v/>
      </c>
      <c r="J1669" s="29">
        <f>IF($B1669="","",IF(INDEX(Dossiers!$F$4:$F$63,32)="","",INDEX(Dossiers!$F$4:$F$63,32)))</f>
        <v/>
      </c>
      <c r="K1669" s="29">
        <f>IF($B1669="","",IF(INDEX(Dossiers!$G$4:$G$63,32)="","",INDEX(Dossiers!$G$4:$G$63,32)))</f>
        <v/>
      </c>
    </row>
    <row r="1670">
      <c r="A1670">
        <f>IF($B1670="","",INDEX(Dossiers!$E$4:$E$63,32))</f>
        <v/>
      </c>
      <c r="B1670">
        <f>IF(INDEX(Suivi!$B:$B,1702)="","",INDEX(Suivi!$B:$B,1702))</f>
        <v/>
      </c>
      <c r="C1670">
        <f>IF($B1670="","",IF(INDEX(Suivi!$D:$D,1702)="",INDEX(Suivi!$C:$C,1702),INDEX(Suivi!$D:$D,1702)))</f>
        <v/>
      </c>
      <c r="D1670" s="29">
        <f>IF($B1670="","",INDEX(Suivi!$E:$E,1702))</f>
        <v/>
      </c>
      <c r="E1670" s="29">
        <f>IF($B1670="","",INDEX(Suivi!$F:$F,1702))</f>
        <v/>
      </c>
      <c r="F1670">
        <f>IF($B1670="","",INDEX(Suivi!$G:$G,1702))</f>
        <v/>
      </c>
      <c r="H1670">
        <f>IF(OR($B1670="",NOT(ISNUMBER($D1670))),"",IF($E1670&lt;$D$2,"Passé",IF($D1670&gt;$F$2,"À venir","Dans la période")))</f>
        <v/>
      </c>
      <c r="I1670">
        <f>IF(OR($B1670="",NOT(ISNUMBER($D1670))),"",IF(AND($E1670&lt;$D$2,$G1670&lt;&gt;"X",$F1670&lt;&gt;"Réalisé",$F1670&lt;&gt;"Clôturé"),"RETARD",""))</f>
        <v/>
      </c>
      <c r="J1670" s="29">
        <f>IF($B1670="","",IF(INDEX(Dossiers!$F$4:$F$63,32)="","",INDEX(Dossiers!$F$4:$F$63,32)))</f>
        <v/>
      </c>
      <c r="K1670" s="29">
        <f>IF($B1670="","",IF(INDEX(Dossiers!$G$4:$G$63,32)="","",INDEX(Dossiers!$G$4:$G$63,32)))</f>
        <v/>
      </c>
    </row>
    <row r="1671">
      <c r="A1671">
        <f>IF($B1671="","",INDEX(Dossiers!$E$4:$E$63,32))</f>
        <v/>
      </c>
      <c r="B1671">
        <f>IF(INDEX(Suivi!$B:$B,1703)="","",INDEX(Suivi!$B:$B,1703))</f>
        <v/>
      </c>
      <c r="C1671">
        <f>IF($B1671="","",IF(INDEX(Suivi!$D:$D,1703)="",INDEX(Suivi!$C:$C,1703),INDEX(Suivi!$D:$D,1703)))</f>
        <v/>
      </c>
      <c r="D1671" s="29">
        <f>IF($B1671="","",INDEX(Suivi!$E:$E,1703))</f>
        <v/>
      </c>
      <c r="E1671" s="29">
        <f>IF($B1671="","",INDEX(Suivi!$F:$F,1703))</f>
        <v/>
      </c>
      <c r="F1671">
        <f>IF($B1671="","",INDEX(Suivi!$G:$G,1703))</f>
        <v/>
      </c>
      <c r="H1671">
        <f>IF(OR($B1671="",NOT(ISNUMBER($D1671))),"",IF($E1671&lt;$D$2,"Passé",IF($D1671&gt;$F$2,"À venir","Dans la période")))</f>
        <v/>
      </c>
      <c r="I1671">
        <f>IF(OR($B1671="",NOT(ISNUMBER($D1671))),"",IF(AND($E1671&lt;$D$2,$G1671&lt;&gt;"X",$F1671&lt;&gt;"Réalisé",$F1671&lt;&gt;"Clôturé"),"RETARD",""))</f>
        <v/>
      </c>
      <c r="J1671" s="29">
        <f>IF($B1671="","",IF(INDEX(Dossiers!$F$4:$F$63,32)="","",INDEX(Dossiers!$F$4:$F$63,32)))</f>
        <v/>
      </c>
      <c r="K1671" s="29">
        <f>IF($B1671="","",IF(INDEX(Dossiers!$G$4:$G$63,32)="","",INDEX(Dossiers!$G$4:$G$63,32)))</f>
        <v/>
      </c>
    </row>
    <row r="1672">
      <c r="A1672">
        <f>IF($B1672="","",INDEX(Dossiers!$E$4:$E$63,32))</f>
        <v/>
      </c>
      <c r="B1672">
        <f>IF(INDEX(Suivi!$B:$B,1704)="","",INDEX(Suivi!$B:$B,1704))</f>
        <v/>
      </c>
      <c r="C1672">
        <f>IF($B1672="","",IF(INDEX(Suivi!$D:$D,1704)="",INDEX(Suivi!$C:$C,1704),INDEX(Suivi!$D:$D,1704)))</f>
        <v/>
      </c>
      <c r="D1672" s="29">
        <f>IF($B1672="","",INDEX(Suivi!$E:$E,1704))</f>
        <v/>
      </c>
      <c r="E1672" s="29">
        <f>IF($B1672="","",INDEX(Suivi!$F:$F,1704))</f>
        <v/>
      </c>
      <c r="F1672">
        <f>IF($B1672="","",INDEX(Suivi!$G:$G,1704))</f>
        <v/>
      </c>
      <c r="H1672">
        <f>IF(OR($B1672="",NOT(ISNUMBER($D1672))),"",IF($E1672&lt;$D$2,"Passé",IF($D1672&gt;$F$2,"À venir","Dans la période")))</f>
        <v/>
      </c>
      <c r="I1672">
        <f>IF(OR($B1672="",NOT(ISNUMBER($D1672))),"",IF(AND($E1672&lt;$D$2,$G1672&lt;&gt;"X",$F1672&lt;&gt;"Réalisé",$F1672&lt;&gt;"Clôturé"),"RETARD",""))</f>
        <v/>
      </c>
      <c r="J1672" s="29">
        <f>IF($B1672="","",IF(INDEX(Dossiers!$F$4:$F$63,32)="","",INDEX(Dossiers!$F$4:$F$63,32)))</f>
        <v/>
      </c>
      <c r="K1672" s="29">
        <f>IF($B1672="","",IF(INDEX(Dossiers!$G$4:$G$63,32)="","",INDEX(Dossiers!$G$4:$G$63,32)))</f>
        <v/>
      </c>
    </row>
    <row r="1673">
      <c r="A1673">
        <f>IF($B1673="","",INDEX(Dossiers!$E$4:$E$63,32))</f>
        <v/>
      </c>
      <c r="B1673">
        <f>IF(INDEX(Suivi!$B:$B,1705)="","",INDEX(Suivi!$B:$B,1705))</f>
        <v/>
      </c>
      <c r="C1673">
        <f>IF($B1673="","",IF(INDEX(Suivi!$D:$D,1705)="",INDEX(Suivi!$C:$C,1705),INDEX(Suivi!$D:$D,1705)))</f>
        <v/>
      </c>
      <c r="D1673" s="29">
        <f>IF($B1673="","",INDEX(Suivi!$E:$E,1705))</f>
        <v/>
      </c>
      <c r="E1673" s="29">
        <f>IF($B1673="","",INDEX(Suivi!$F:$F,1705))</f>
        <v/>
      </c>
      <c r="F1673">
        <f>IF($B1673="","",INDEX(Suivi!$G:$G,1705))</f>
        <v/>
      </c>
      <c r="H1673">
        <f>IF(OR($B1673="",NOT(ISNUMBER($D1673))),"",IF($E1673&lt;$D$2,"Passé",IF($D1673&gt;$F$2,"À venir","Dans la période")))</f>
        <v/>
      </c>
      <c r="I1673">
        <f>IF(OR($B1673="",NOT(ISNUMBER($D1673))),"",IF(AND($E1673&lt;$D$2,$G1673&lt;&gt;"X",$F1673&lt;&gt;"Réalisé",$F1673&lt;&gt;"Clôturé"),"RETARD",""))</f>
        <v/>
      </c>
      <c r="J1673" s="29">
        <f>IF($B1673="","",IF(INDEX(Dossiers!$F$4:$F$63,32)="","",INDEX(Dossiers!$F$4:$F$63,32)))</f>
        <v/>
      </c>
      <c r="K1673" s="29">
        <f>IF($B1673="","",IF(INDEX(Dossiers!$G$4:$G$63,32)="","",INDEX(Dossiers!$G$4:$G$63,32)))</f>
        <v/>
      </c>
    </row>
    <row r="1674">
      <c r="A1674">
        <f>IF($B1674="","",INDEX(Dossiers!$E$4:$E$63,32))</f>
        <v/>
      </c>
      <c r="B1674">
        <f>IF(INDEX(Suivi!$B:$B,1706)="","",INDEX(Suivi!$B:$B,1706))</f>
        <v/>
      </c>
      <c r="C1674">
        <f>IF($B1674="","",IF(INDEX(Suivi!$D:$D,1706)="",INDEX(Suivi!$C:$C,1706),INDEX(Suivi!$D:$D,1706)))</f>
        <v/>
      </c>
      <c r="D1674" s="29">
        <f>IF($B1674="","",INDEX(Suivi!$E:$E,1706))</f>
        <v/>
      </c>
      <c r="E1674" s="29">
        <f>IF($B1674="","",INDEX(Suivi!$F:$F,1706))</f>
        <v/>
      </c>
      <c r="F1674">
        <f>IF($B1674="","",INDEX(Suivi!$G:$G,1706))</f>
        <v/>
      </c>
      <c r="H1674">
        <f>IF(OR($B1674="",NOT(ISNUMBER($D1674))),"",IF($E1674&lt;$D$2,"Passé",IF($D1674&gt;$F$2,"À venir","Dans la période")))</f>
        <v/>
      </c>
      <c r="I1674">
        <f>IF(OR($B1674="",NOT(ISNUMBER($D1674))),"",IF(AND($E1674&lt;$D$2,$G1674&lt;&gt;"X",$F1674&lt;&gt;"Réalisé",$F1674&lt;&gt;"Clôturé"),"RETARD",""))</f>
        <v/>
      </c>
      <c r="J1674" s="29">
        <f>IF($B1674="","",IF(INDEX(Dossiers!$F$4:$F$63,32)="","",INDEX(Dossiers!$F$4:$F$63,32)))</f>
        <v/>
      </c>
      <c r="K1674" s="29">
        <f>IF($B1674="","",IF(INDEX(Dossiers!$G$4:$G$63,32)="","",INDEX(Dossiers!$G$4:$G$63,32)))</f>
        <v/>
      </c>
    </row>
    <row r="1675">
      <c r="A1675">
        <f>IF($B1675="","",INDEX(Dossiers!$E$4:$E$63,32))</f>
        <v/>
      </c>
      <c r="B1675">
        <f>IF(INDEX(Suivi!$B:$B,1707)="","",INDEX(Suivi!$B:$B,1707))</f>
        <v/>
      </c>
      <c r="C1675">
        <f>IF($B1675="","",IF(INDEX(Suivi!$D:$D,1707)="",INDEX(Suivi!$C:$C,1707),INDEX(Suivi!$D:$D,1707)))</f>
        <v/>
      </c>
      <c r="D1675" s="29">
        <f>IF($B1675="","",INDEX(Suivi!$E:$E,1707))</f>
        <v/>
      </c>
      <c r="E1675" s="29">
        <f>IF($B1675="","",INDEX(Suivi!$F:$F,1707))</f>
        <v/>
      </c>
      <c r="F1675">
        <f>IF($B1675="","",INDEX(Suivi!$G:$G,1707))</f>
        <v/>
      </c>
      <c r="H1675">
        <f>IF(OR($B1675="",NOT(ISNUMBER($D1675))),"",IF($E1675&lt;$D$2,"Passé",IF($D1675&gt;$F$2,"À venir","Dans la période")))</f>
        <v/>
      </c>
      <c r="I1675">
        <f>IF(OR($B1675="",NOT(ISNUMBER($D1675))),"",IF(AND($E1675&lt;$D$2,$G1675&lt;&gt;"X",$F1675&lt;&gt;"Réalisé",$F1675&lt;&gt;"Clôturé"),"RETARD",""))</f>
        <v/>
      </c>
      <c r="J1675" s="29">
        <f>IF($B1675="","",IF(INDEX(Dossiers!$F$4:$F$63,32)="","",INDEX(Dossiers!$F$4:$F$63,32)))</f>
        <v/>
      </c>
      <c r="K1675" s="29">
        <f>IF($B1675="","",IF(INDEX(Dossiers!$G$4:$G$63,32)="","",INDEX(Dossiers!$G$4:$G$63,32)))</f>
        <v/>
      </c>
    </row>
    <row r="1676">
      <c r="A1676">
        <f>IF($B1676="","",INDEX(Dossiers!$E$4:$E$63,32))</f>
        <v/>
      </c>
      <c r="B1676">
        <f>IF(INDEX(Suivi!$B:$B,1708)="","",INDEX(Suivi!$B:$B,1708))</f>
        <v/>
      </c>
      <c r="C1676">
        <f>IF($B1676="","",IF(INDEX(Suivi!$D:$D,1708)="",INDEX(Suivi!$C:$C,1708),INDEX(Suivi!$D:$D,1708)))</f>
        <v/>
      </c>
      <c r="D1676" s="29">
        <f>IF($B1676="","",INDEX(Suivi!$E:$E,1708))</f>
        <v/>
      </c>
      <c r="E1676" s="29">
        <f>IF($B1676="","",INDEX(Suivi!$F:$F,1708))</f>
        <v/>
      </c>
      <c r="F1676">
        <f>IF($B1676="","",INDEX(Suivi!$G:$G,1708))</f>
        <v/>
      </c>
      <c r="H1676">
        <f>IF(OR($B1676="",NOT(ISNUMBER($D1676))),"",IF($E1676&lt;$D$2,"Passé",IF($D1676&gt;$F$2,"À venir","Dans la période")))</f>
        <v/>
      </c>
      <c r="I1676">
        <f>IF(OR($B1676="",NOT(ISNUMBER($D1676))),"",IF(AND($E1676&lt;$D$2,$G1676&lt;&gt;"X",$F1676&lt;&gt;"Réalisé",$F1676&lt;&gt;"Clôturé"),"RETARD",""))</f>
        <v/>
      </c>
      <c r="J1676" s="29">
        <f>IF($B1676="","",IF(INDEX(Dossiers!$F$4:$F$63,32)="","",INDEX(Dossiers!$F$4:$F$63,32)))</f>
        <v/>
      </c>
      <c r="K1676" s="29">
        <f>IF($B1676="","",IF(INDEX(Dossiers!$G$4:$G$63,32)="","",INDEX(Dossiers!$G$4:$G$63,32)))</f>
        <v/>
      </c>
    </row>
    <row r="1677">
      <c r="A1677">
        <f>IF($B1677="","",INDEX(Dossiers!$E$4:$E$63,32))</f>
        <v/>
      </c>
      <c r="B1677">
        <f>IF(INDEX(Suivi!$B:$B,1709)="","",INDEX(Suivi!$B:$B,1709))</f>
        <v/>
      </c>
      <c r="C1677">
        <f>IF($B1677="","",IF(INDEX(Suivi!$D:$D,1709)="",INDEX(Suivi!$C:$C,1709),INDEX(Suivi!$D:$D,1709)))</f>
        <v/>
      </c>
      <c r="D1677" s="29">
        <f>IF($B1677="","",INDEX(Suivi!$E:$E,1709))</f>
        <v/>
      </c>
      <c r="E1677" s="29">
        <f>IF($B1677="","",INDEX(Suivi!$F:$F,1709))</f>
        <v/>
      </c>
      <c r="F1677">
        <f>IF($B1677="","",INDEX(Suivi!$G:$G,1709))</f>
        <v/>
      </c>
      <c r="H1677">
        <f>IF(OR($B1677="",NOT(ISNUMBER($D1677))),"",IF($E1677&lt;$D$2,"Passé",IF($D1677&gt;$F$2,"À venir","Dans la période")))</f>
        <v/>
      </c>
      <c r="I1677">
        <f>IF(OR($B1677="",NOT(ISNUMBER($D1677))),"",IF(AND($E1677&lt;$D$2,$G1677&lt;&gt;"X",$F1677&lt;&gt;"Réalisé",$F1677&lt;&gt;"Clôturé"),"RETARD",""))</f>
        <v/>
      </c>
      <c r="J1677" s="29">
        <f>IF($B1677="","",IF(INDEX(Dossiers!$F$4:$F$63,32)="","",INDEX(Dossiers!$F$4:$F$63,32)))</f>
        <v/>
      </c>
      <c r="K1677" s="29">
        <f>IF($B1677="","",IF(INDEX(Dossiers!$G$4:$G$63,32)="","",INDEX(Dossiers!$G$4:$G$63,32)))</f>
        <v/>
      </c>
    </row>
    <row r="1678">
      <c r="A1678">
        <f>IF($B1678="","",INDEX(Dossiers!$E$4:$E$63,32))</f>
        <v/>
      </c>
      <c r="B1678">
        <f>IF(INDEX(Suivi!$B:$B,1710)="","",INDEX(Suivi!$B:$B,1710))</f>
        <v/>
      </c>
      <c r="C1678">
        <f>IF($B1678="","",IF(INDEX(Suivi!$D:$D,1710)="",INDEX(Suivi!$C:$C,1710),INDEX(Suivi!$D:$D,1710)))</f>
        <v/>
      </c>
      <c r="D1678" s="29">
        <f>IF($B1678="","",INDEX(Suivi!$E:$E,1710))</f>
        <v/>
      </c>
      <c r="E1678" s="29">
        <f>IF($B1678="","",INDEX(Suivi!$F:$F,1710))</f>
        <v/>
      </c>
      <c r="F1678">
        <f>IF($B1678="","",INDEX(Suivi!$G:$G,1710))</f>
        <v/>
      </c>
      <c r="H1678">
        <f>IF(OR($B1678="",NOT(ISNUMBER($D1678))),"",IF($E1678&lt;$D$2,"Passé",IF($D1678&gt;$F$2,"À venir","Dans la période")))</f>
        <v/>
      </c>
      <c r="I1678">
        <f>IF(OR($B1678="",NOT(ISNUMBER($D1678))),"",IF(AND($E1678&lt;$D$2,$G1678&lt;&gt;"X",$F1678&lt;&gt;"Réalisé",$F1678&lt;&gt;"Clôturé"),"RETARD",""))</f>
        <v/>
      </c>
      <c r="J1678" s="29">
        <f>IF($B1678="","",IF(INDEX(Dossiers!$F$4:$F$63,32)="","",INDEX(Dossiers!$F$4:$F$63,32)))</f>
        <v/>
      </c>
      <c r="K1678" s="29">
        <f>IF($B1678="","",IF(INDEX(Dossiers!$G$4:$G$63,32)="","",INDEX(Dossiers!$G$4:$G$63,32)))</f>
        <v/>
      </c>
    </row>
    <row r="1679">
      <c r="A1679">
        <f>IF($B1679="","",INDEX(Dossiers!$E$4:$E$63,32))</f>
        <v/>
      </c>
      <c r="B1679">
        <f>IF(INDEX(Suivi!$B:$B,1711)="","",INDEX(Suivi!$B:$B,1711))</f>
        <v/>
      </c>
      <c r="C1679">
        <f>IF($B1679="","",IF(INDEX(Suivi!$D:$D,1711)="",INDEX(Suivi!$C:$C,1711),INDEX(Suivi!$D:$D,1711)))</f>
        <v/>
      </c>
      <c r="D1679" s="29">
        <f>IF($B1679="","",INDEX(Suivi!$E:$E,1711))</f>
        <v/>
      </c>
      <c r="E1679" s="29">
        <f>IF($B1679="","",INDEX(Suivi!$F:$F,1711))</f>
        <v/>
      </c>
      <c r="F1679">
        <f>IF($B1679="","",INDEX(Suivi!$G:$G,1711))</f>
        <v/>
      </c>
      <c r="H1679">
        <f>IF(OR($B1679="",NOT(ISNUMBER($D1679))),"",IF($E1679&lt;$D$2,"Passé",IF($D1679&gt;$F$2,"À venir","Dans la période")))</f>
        <v/>
      </c>
      <c r="I1679">
        <f>IF(OR($B1679="",NOT(ISNUMBER($D1679))),"",IF(AND($E1679&lt;$D$2,$G1679&lt;&gt;"X",$F1679&lt;&gt;"Réalisé",$F1679&lt;&gt;"Clôturé"),"RETARD",""))</f>
        <v/>
      </c>
      <c r="J1679" s="29">
        <f>IF($B1679="","",IF(INDEX(Dossiers!$F$4:$F$63,32)="","",INDEX(Dossiers!$F$4:$F$63,32)))</f>
        <v/>
      </c>
      <c r="K1679" s="29">
        <f>IF($B1679="","",IF(INDEX(Dossiers!$G$4:$G$63,32)="","",INDEX(Dossiers!$G$4:$G$63,32)))</f>
        <v/>
      </c>
    </row>
    <row r="1680">
      <c r="A1680">
        <f>IF($B1680="","",INDEX(Dossiers!$E$4:$E$63,32))</f>
        <v/>
      </c>
      <c r="B1680">
        <f>IF(INDEX(Suivi!$B:$B,1712)="","",INDEX(Suivi!$B:$B,1712))</f>
        <v/>
      </c>
      <c r="C1680">
        <f>IF($B1680="","",IF(INDEX(Suivi!$D:$D,1712)="",INDEX(Suivi!$C:$C,1712),INDEX(Suivi!$D:$D,1712)))</f>
        <v/>
      </c>
      <c r="D1680" s="29">
        <f>IF($B1680="","",INDEX(Suivi!$E:$E,1712))</f>
        <v/>
      </c>
      <c r="E1680" s="29">
        <f>IF($B1680="","",INDEX(Suivi!$F:$F,1712))</f>
        <v/>
      </c>
      <c r="F1680">
        <f>IF($B1680="","",INDEX(Suivi!$G:$G,1712))</f>
        <v/>
      </c>
      <c r="H1680">
        <f>IF(OR($B1680="",NOT(ISNUMBER($D1680))),"",IF($E1680&lt;$D$2,"Passé",IF($D1680&gt;$F$2,"À venir","Dans la période")))</f>
        <v/>
      </c>
      <c r="I1680">
        <f>IF(OR($B1680="",NOT(ISNUMBER($D1680))),"",IF(AND($E1680&lt;$D$2,$G1680&lt;&gt;"X",$F1680&lt;&gt;"Réalisé",$F1680&lt;&gt;"Clôturé"),"RETARD",""))</f>
        <v/>
      </c>
      <c r="J1680" s="29">
        <f>IF($B1680="","",IF(INDEX(Dossiers!$F$4:$F$63,32)="","",INDEX(Dossiers!$F$4:$F$63,32)))</f>
        <v/>
      </c>
      <c r="K1680" s="29">
        <f>IF($B1680="","",IF(INDEX(Dossiers!$G$4:$G$63,32)="","",INDEX(Dossiers!$G$4:$G$63,32)))</f>
        <v/>
      </c>
    </row>
    <row r="1681">
      <c r="A1681">
        <f>IF($B1681="","",INDEX(Dossiers!$E$4:$E$63,32))</f>
        <v/>
      </c>
      <c r="B1681">
        <f>IF(INDEX(Suivi!$B:$B,1713)="","",INDEX(Suivi!$B:$B,1713))</f>
        <v/>
      </c>
      <c r="C1681">
        <f>IF($B1681="","",IF(INDEX(Suivi!$D:$D,1713)="",INDEX(Suivi!$C:$C,1713),INDEX(Suivi!$D:$D,1713)))</f>
        <v/>
      </c>
      <c r="D1681" s="29">
        <f>IF($B1681="","",INDEX(Suivi!$E:$E,1713))</f>
        <v/>
      </c>
      <c r="E1681" s="29">
        <f>IF($B1681="","",INDEX(Suivi!$F:$F,1713))</f>
        <v/>
      </c>
      <c r="F1681">
        <f>IF($B1681="","",INDEX(Suivi!$G:$G,1713))</f>
        <v/>
      </c>
      <c r="H1681">
        <f>IF(OR($B1681="",NOT(ISNUMBER($D1681))),"",IF($E1681&lt;$D$2,"Passé",IF($D1681&gt;$F$2,"À venir","Dans la période")))</f>
        <v/>
      </c>
      <c r="I1681">
        <f>IF(OR($B1681="",NOT(ISNUMBER($D1681))),"",IF(AND($E1681&lt;$D$2,$G1681&lt;&gt;"X",$F1681&lt;&gt;"Réalisé",$F1681&lt;&gt;"Clôturé"),"RETARD",""))</f>
        <v/>
      </c>
      <c r="J1681" s="29">
        <f>IF($B1681="","",IF(INDEX(Dossiers!$F$4:$F$63,32)="","",INDEX(Dossiers!$F$4:$F$63,32)))</f>
        <v/>
      </c>
      <c r="K1681" s="29">
        <f>IF($B1681="","",IF(INDEX(Dossiers!$G$4:$G$63,32)="","",INDEX(Dossiers!$G$4:$G$63,32)))</f>
        <v/>
      </c>
    </row>
    <row r="1682">
      <c r="A1682">
        <f>IF($B1682="","",INDEX(Dossiers!$E$4:$E$63,32))</f>
        <v/>
      </c>
      <c r="B1682">
        <f>IF(INDEX(Suivi!$B:$B,1714)="","",INDEX(Suivi!$B:$B,1714))</f>
        <v/>
      </c>
      <c r="C1682">
        <f>IF($B1682="","",IF(INDEX(Suivi!$D:$D,1714)="",INDEX(Suivi!$C:$C,1714),INDEX(Suivi!$D:$D,1714)))</f>
        <v/>
      </c>
      <c r="D1682" s="29">
        <f>IF($B1682="","",INDEX(Suivi!$E:$E,1714))</f>
        <v/>
      </c>
      <c r="E1682" s="29">
        <f>IF($B1682="","",INDEX(Suivi!$F:$F,1714))</f>
        <v/>
      </c>
      <c r="F1682">
        <f>IF($B1682="","",INDEX(Suivi!$G:$G,1714))</f>
        <v/>
      </c>
      <c r="H1682">
        <f>IF(OR($B1682="",NOT(ISNUMBER($D1682))),"",IF($E1682&lt;$D$2,"Passé",IF($D1682&gt;$F$2,"À venir","Dans la période")))</f>
        <v/>
      </c>
      <c r="I1682">
        <f>IF(OR($B1682="",NOT(ISNUMBER($D1682))),"",IF(AND($E1682&lt;$D$2,$G1682&lt;&gt;"X",$F1682&lt;&gt;"Réalisé",$F1682&lt;&gt;"Clôturé"),"RETARD",""))</f>
        <v/>
      </c>
      <c r="J1682" s="29">
        <f>IF($B1682="","",IF(INDEX(Dossiers!$F$4:$F$63,32)="","",INDEX(Dossiers!$F$4:$F$63,32)))</f>
        <v/>
      </c>
      <c r="K1682" s="29">
        <f>IF($B1682="","",IF(INDEX(Dossiers!$G$4:$G$63,32)="","",INDEX(Dossiers!$G$4:$G$63,32)))</f>
        <v/>
      </c>
    </row>
    <row r="1683">
      <c r="A1683">
        <f>IF($B1683="","",INDEX(Dossiers!$E$4:$E$63,32))</f>
        <v/>
      </c>
      <c r="B1683">
        <f>IF(INDEX(Suivi!$B:$B,1715)="","",INDEX(Suivi!$B:$B,1715))</f>
        <v/>
      </c>
      <c r="C1683">
        <f>IF($B1683="","",IF(INDEX(Suivi!$D:$D,1715)="",INDEX(Suivi!$C:$C,1715),INDEX(Suivi!$D:$D,1715)))</f>
        <v/>
      </c>
      <c r="D1683" s="29">
        <f>IF($B1683="","",INDEX(Suivi!$E:$E,1715))</f>
        <v/>
      </c>
      <c r="E1683" s="29">
        <f>IF($B1683="","",INDEX(Suivi!$F:$F,1715))</f>
        <v/>
      </c>
      <c r="F1683">
        <f>IF($B1683="","",INDEX(Suivi!$G:$G,1715))</f>
        <v/>
      </c>
      <c r="H1683">
        <f>IF(OR($B1683="",NOT(ISNUMBER($D1683))),"",IF($E1683&lt;$D$2,"Passé",IF($D1683&gt;$F$2,"À venir","Dans la période")))</f>
        <v/>
      </c>
      <c r="I1683">
        <f>IF(OR($B1683="",NOT(ISNUMBER($D1683))),"",IF(AND($E1683&lt;$D$2,$G1683&lt;&gt;"X",$F1683&lt;&gt;"Réalisé",$F1683&lt;&gt;"Clôturé"),"RETARD",""))</f>
        <v/>
      </c>
      <c r="J1683" s="29">
        <f>IF($B1683="","",IF(INDEX(Dossiers!$F$4:$F$63,32)="","",INDEX(Dossiers!$F$4:$F$63,32)))</f>
        <v/>
      </c>
      <c r="K1683" s="29">
        <f>IF($B1683="","",IF(INDEX(Dossiers!$G$4:$G$63,32)="","",INDEX(Dossiers!$G$4:$G$63,32)))</f>
        <v/>
      </c>
    </row>
    <row r="1684">
      <c r="A1684">
        <f>IF($B1684="","",INDEX(Dossiers!$E$4:$E$63,32))</f>
        <v/>
      </c>
      <c r="B1684">
        <f>IF(INDEX(Suivi!$B:$B,1716)="","",INDEX(Suivi!$B:$B,1716))</f>
        <v/>
      </c>
      <c r="C1684">
        <f>IF($B1684="","",IF(INDEX(Suivi!$D:$D,1716)="",INDEX(Suivi!$C:$C,1716),INDEX(Suivi!$D:$D,1716)))</f>
        <v/>
      </c>
      <c r="D1684" s="29">
        <f>IF($B1684="","",INDEX(Suivi!$E:$E,1716))</f>
        <v/>
      </c>
      <c r="E1684" s="29">
        <f>IF($B1684="","",INDEX(Suivi!$F:$F,1716))</f>
        <v/>
      </c>
      <c r="F1684">
        <f>IF($B1684="","",INDEX(Suivi!$G:$G,1716))</f>
        <v/>
      </c>
      <c r="H1684">
        <f>IF(OR($B1684="",NOT(ISNUMBER($D1684))),"",IF($E1684&lt;$D$2,"Passé",IF($D1684&gt;$F$2,"À venir","Dans la période")))</f>
        <v/>
      </c>
      <c r="I1684">
        <f>IF(OR($B1684="",NOT(ISNUMBER($D1684))),"",IF(AND($E1684&lt;$D$2,$G1684&lt;&gt;"X",$F1684&lt;&gt;"Réalisé",$F1684&lt;&gt;"Clôturé"),"RETARD",""))</f>
        <v/>
      </c>
      <c r="J1684" s="29">
        <f>IF($B1684="","",IF(INDEX(Dossiers!$F$4:$F$63,32)="","",INDEX(Dossiers!$F$4:$F$63,32)))</f>
        <v/>
      </c>
      <c r="K1684" s="29">
        <f>IF($B1684="","",IF(INDEX(Dossiers!$G$4:$G$63,32)="","",INDEX(Dossiers!$G$4:$G$63,32)))</f>
        <v/>
      </c>
    </row>
    <row r="1685">
      <c r="A1685">
        <f>IF($B1685="","",INDEX(Dossiers!$E$4:$E$63,32))</f>
        <v/>
      </c>
      <c r="B1685">
        <f>IF(INDEX(Suivi!$B:$B,1717)="","",INDEX(Suivi!$B:$B,1717))</f>
        <v/>
      </c>
      <c r="C1685">
        <f>IF($B1685="","",IF(INDEX(Suivi!$D:$D,1717)="",INDEX(Suivi!$C:$C,1717),INDEX(Suivi!$D:$D,1717)))</f>
        <v/>
      </c>
      <c r="D1685" s="29">
        <f>IF($B1685="","",INDEX(Suivi!$E:$E,1717))</f>
        <v/>
      </c>
      <c r="E1685" s="29">
        <f>IF($B1685="","",INDEX(Suivi!$F:$F,1717))</f>
        <v/>
      </c>
      <c r="F1685">
        <f>IF($B1685="","",INDEX(Suivi!$G:$G,1717))</f>
        <v/>
      </c>
      <c r="H1685">
        <f>IF(OR($B1685="",NOT(ISNUMBER($D1685))),"",IF($E1685&lt;$D$2,"Passé",IF($D1685&gt;$F$2,"À venir","Dans la période")))</f>
        <v/>
      </c>
      <c r="I1685">
        <f>IF(OR($B1685="",NOT(ISNUMBER($D1685))),"",IF(AND($E1685&lt;$D$2,$G1685&lt;&gt;"X",$F1685&lt;&gt;"Réalisé",$F1685&lt;&gt;"Clôturé"),"RETARD",""))</f>
        <v/>
      </c>
      <c r="J1685" s="29">
        <f>IF($B1685="","",IF(INDEX(Dossiers!$F$4:$F$63,32)="","",INDEX(Dossiers!$F$4:$F$63,32)))</f>
        <v/>
      </c>
      <c r="K1685" s="29">
        <f>IF($B1685="","",IF(INDEX(Dossiers!$G$4:$G$63,32)="","",INDEX(Dossiers!$G$4:$G$63,32)))</f>
        <v/>
      </c>
    </row>
    <row r="1686">
      <c r="A1686">
        <f>IF($B1686="","",INDEX(Dossiers!$E$4:$E$63,32))</f>
        <v/>
      </c>
      <c r="B1686">
        <f>IF(INDEX(Suivi!$B:$B,1718)="","",INDEX(Suivi!$B:$B,1718))</f>
        <v/>
      </c>
      <c r="C1686">
        <f>IF($B1686="","",IF(INDEX(Suivi!$D:$D,1718)="",INDEX(Suivi!$C:$C,1718),INDEX(Suivi!$D:$D,1718)))</f>
        <v/>
      </c>
      <c r="D1686" s="29">
        <f>IF($B1686="","",INDEX(Suivi!$E:$E,1718))</f>
        <v/>
      </c>
      <c r="E1686" s="29">
        <f>IF($B1686="","",INDEX(Suivi!$F:$F,1718))</f>
        <v/>
      </c>
      <c r="F1686">
        <f>IF($B1686="","",INDEX(Suivi!$G:$G,1718))</f>
        <v/>
      </c>
      <c r="H1686">
        <f>IF(OR($B1686="",NOT(ISNUMBER($D1686))),"",IF($E1686&lt;$D$2,"Passé",IF($D1686&gt;$F$2,"À venir","Dans la période")))</f>
        <v/>
      </c>
      <c r="I1686">
        <f>IF(OR($B1686="",NOT(ISNUMBER($D1686))),"",IF(AND($E1686&lt;$D$2,$G1686&lt;&gt;"X",$F1686&lt;&gt;"Réalisé",$F1686&lt;&gt;"Clôturé"),"RETARD",""))</f>
        <v/>
      </c>
      <c r="J1686" s="29">
        <f>IF($B1686="","",IF(INDEX(Dossiers!$F$4:$F$63,32)="","",INDEX(Dossiers!$F$4:$F$63,32)))</f>
        <v/>
      </c>
      <c r="K1686" s="29">
        <f>IF($B1686="","",IF(INDEX(Dossiers!$G$4:$G$63,32)="","",INDEX(Dossiers!$G$4:$G$63,32)))</f>
        <v/>
      </c>
    </row>
    <row r="1687">
      <c r="A1687">
        <f>IF($B1687="","",INDEX(Dossiers!$E$4:$E$63,32))</f>
        <v/>
      </c>
      <c r="B1687">
        <f>IF(INDEX(Suivi!$B:$B,1719)="","",INDEX(Suivi!$B:$B,1719))</f>
        <v/>
      </c>
      <c r="C1687">
        <f>IF($B1687="","",IF(INDEX(Suivi!$D:$D,1719)="",INDEX(Suivi!$C:$C,1719),INDEX(Suivi!$D:$D,1719)))</f>
        <v/>
      </c>
      <c r="D1687" s="29">
        <f>IF($B1687="","",INDEX(Suivi!$E:$E,1719))</f>
        <v/>
      </c>
      <c r="E1687" s="29">
        <f>IF($B1687="","",INDEX(Suivi!$F:$F,1719))</f>
        <v/>
      </c>
      <c r="F1687">
        <f>IF($B1687="","",INDEX(Suivi!$G:$G,1719))</f>
        <v/>
      </c>
      <c r="H1687">
        <f>IF(OR($B1687="",NOT(ISNUMBER($D1687))),"",IF($E1687&lt;$D$2,"Passé",IF($D1687&gt;$F$2,"À venir","Dans la période")))</f>
        <v/>
      </c>
      <c r="I1687">
        <f>IF(OR($B1687="",NOT(ISNUMBER($D1687))),"",IF(AND($E1687&lt;$D$2,$G1687&lt;&gt;"X",$F1687&lt;&gt;"Réalisé",$F1687&lt;&gt;"Clôturé"),"RETARD",""))</f>
        <v/>
      </c>
      <c r="J1687" s="29">
        <f>IF($B1687="","",IF(INDEX(Dossiers!$F$4:$F$63,32)="","",INDEX(Dossiers!$F$4:$F$63,32)))</f>
        <v/>
      </c>
      <c r="K1687" s="29">
        <f>IF($B1687="","",IF(INDEX(Dossiers!$G$4:$G$63,32)="","",INDEX(Dossiers!$G$4:$G$63,32)))</f>
        <v/>
      </c>
    </row>
    <row r="1688">
      <c r="A1688">
        <f>IF($B1688="","",INDEX(Dossiers!$E$4:$E$63,32))</f>
        <v/>
      </c>
      <c r="B1688">
        <f>IF(INDEX(Suivi!$B:$B,1720)="","",INDEX(Suivi!$B:$B,1720))</f>
        <v/>
      </c>
      <c r="C1688">
        <f>IF($B1688="","",IF(INDEX(Suivi!$D:$D,1720)="",INDEX(Suivi!$C:$C,1720),INDEX(Suivi!$D:$D,1720)))</f>
        <v/>
      </c>
      <c r="D1688" s="29">
        <f>IF($B1688="","",INDEX(Suivi!$E:$E,1720))</f>
        <v/>
      </c>
      <c r="E1688" s="29">
        <f>IF($B1688="","",INDEX(Suivi!$F:$F,1720))</f>
        <v/>
      </c>
      <c r="F1688">
        <f>IF($B1688="","",INDEX(Suivi!$G:$G,1720))</f>
        <v/>
      </c>
      <c r="H1688">
        <f>IF(OR($B1688="",NOT(ISNUMBER($D1688))),"",IF($E1688&lt;$D$2,"Passé",IF($D1688&gt;$F$2,"À venir","Dans la période")))</f>
        <v/>
      </c>
      <c r="I1688">
        <f>IF(OR($B1688="",NOT(ISNUMBER($D1688))),"",IF(AND($E1688&lt;$D$2,$G1688&lt;&gt;"X",$F1688&lt;&gt;"Réalisé",$F1688&lt;&gt;"Clôturé"),"RETARD",""))</f>
        <v/>
      </c>
      <c r="J1688" s="29">
        <f>IF($B1688="","",IF(INDEX(Dossiers!$F$4:$F$63,32)="","",INDEX(Dossiers!$F$4:$F$63,32)))</f>
        <v/>
      </c>
      <c r="K1688" s="29">
        <f>IF($B1688="","",IF(INDEX(Dossiers!$G$4:$G$63,32)="","",INDEX(Dossiers!$G$4:$G$63,32)))</f>
        <v/>
      </c>
    </row>
    <row r="1689">
      <c r="A1689">
        <f>IF($B1689="","",INDEX(Dossiers!$E$4:$E$63,32))</f>
        <v/>
      </c>
      <c r="B1689">
        <f>IF(INDEX(Suivi!$B:$B,1721)="","",INDEX(Suivi!$B:$B,1721))</f>
        <v/>
      </c>
      <c r="C1689">
        <f>IF($B1689="","",IF(INDEX(Suivi!$D:$D,1721)="",INDEX(Suivi!$C:$C,1721),INDEX(Suivi!$D:$D,1721)))</f>
        <v/>
      </c>
      <c r="D1689" s="29">
        <f>IF($B1689="","",INDEX(Suivi!$E:$E,1721))</f>
        <v/>
      </c>
      <c r="E1689" s="29">
        <f>IF($B1689="","",INDEX(Suivi!$F:$F,1721))</f>
        <v/>
      </c>
      <c r="F1689">
        <f>IF($B1689="","",INDEX(Suivi!$G:$G,1721))</f>
        <v/>
      </c>
      <c r="H1689">
        <f>IF(OR($B1689="",NOT(ISNUMBER($D1689))),"",IF($E1689&lt;$D$2,"Passé",IF($D1689&gt;$F$2,"À venir","Dans la période")))</f>
        <v/>
      </c>
      <c r="I1689">
        <f>IF(OR($B1689="",NOT(ISNUMBER($D1689))),"",IF(AND($E1689&lt;$D$2,$G1689&lt;&gt;"X",$F1689&lt;&gt;"Réalisé",$F1689&lt;&gt;"Clôturé"),"RETARD",""))</f>
        <v/>
      </c>
      <c r="J1689" s="29">
        <f>IF($B1689="","",IF(INDEX(Dossiers!$F$4:$F$63,32)="","",INDEX(Dossiers!$F$4:$F$63,32)))</f>
        <v/>
      </c>
      <c r="K1689" s="29">
        <f>IF($B1689="","",IF(INDEX(Dossiers!$G$4:$G$63,32)="","",INDEX(Dossiers!$G$4:$G$63,32)))</f>
        <v/>
      </c>
    </row>
    <row r="1690">
      <c r="A1690">
        <f>IF($B1690="","",INDEX(Dossiers!$E$4:$E$63,32))</f>
        <v/>
      </c>
      <c r="B1690">
        <f>IF(INDEX(Suivi!$B:$B,1722)="","",INDEX(Suivi!$B:$B,1722))</f>
        <v/>
      </c>
      <c r="C1690">
        <f>IF($B1690="","",IF(INDEX(Suivi!$D:$D,1722)="",INDEX(Suivi!$C:$C,1722),INDEX(Suivi!$D:$D,1722)))</f>
        <v/>
      </c>
      <c r="D1690" s="29">
        <f>IF($B1690="","",INDEX(Suivi!$E:$E,1722))</f>
        <v/>
      </c>
      <c r="E1690" s="29">
        <f>IF($B1690="","",INDEX(Suivi!$F:$F,1722))</f>
        <v/>
      </c>
      <c r="F1690">
        <f>IF($B1690="","",INDEX(Suivi!$G:$G,1722))</f>
        <v/>
      </c>
      <c r="H1690">
        <f>IF(OR($B1690="",NOT(ISNUMBER($D1690))),"",IF($E1690&lt;$D$2,"Passé",IF($D1690&gt;$F$2,"À venir","Dans la période")))</f>
        <v/>
      </c>
      <c r="I1690">
        <f>IF(OR($B1690="",NOT(ISNUMBER($D1690))),"",IF(AND($E1690&lt;$D$2,$G1690&lt;&gt;"X",$F1690&lt;&gt;"Réalisé",$F1690&lt;&gt;"Clôturé"),"RETARD",""))</f>
        <v/>
      </c>
      <c r="J1690" s="29">
        <f>IF($B1690="","",IF(INDEX(Dossiers!$F$4:$F$63,32)="","",INDEX(Dossiers!$F$4:$F$63,32)))</f>
        <v/>
      </c>
      <c r="K1690" s="29">
        <f>IF($B1690="","",IF(INDEX(Dossiers!$G$4:$G$63,32)="","",INDEX(Dossiers!$G$4:$G$63,32)))</f>
        <v/>
      </c>
    </row>
    <row r="1691">
      <c r="A1691">
        <f>IF($B1691="","",INDEX(Dossiers!$E$4:$E$63,32))</f>
        <v/>
      </c>
      <c r="B1691">
        <f>IF(INDEX(Suivi!$B:$B,1723)="","",INDEX(Suivi!$B:$B,1723))</f>
        <v/>
      </c>
      <c r="C1691">
        <f>IF($B1691="","",IF(INDEX(Suivi!$D:$D,1723)="",INDEX(Suivi!$C:$C,1723),INDEX(Suivi!$D:$D,1723)))</f>
        <v/>
      </c>
      <c r="D1691" s="29">
        <f>IF($B1691="","",INDEX(Suivi!$E:$E,1723))</f>
        <v/>
      </c>
      <c r="E1691" s="29">
        <f>IF($B1691="","",INDEX(Suivi!$F:$F,1723))</f>
        <v/>
      </c>
      <c r="F1691">
        <f>IF($B1691="","",INDEX(Suivi!$G:$G,1723))</f>
        <v/>
      </c>
      <c r="H1691">
        <f>IF(OR($B1691="",NOT(ISNUMBER($D1691))),"",IF($E1691&lt;$D$2,"Passé",IF($D1691&gt;$F$2,"À venir","Dans la période")))</f>
        <v/>
      </c>
      <c r="I1691">
        <f>IF(OR($B1691="",NOT(ISNUMBER($D1691))),"",IF(AND($E1691&lt;$D$2,$G1691&lt;&gt;"X",$F1691&lt;&gt;"Réalisé",$F1691&lt;&gt;"Clôturé"),"RETARD",""))</f>
        <v/>
      </c>
      <c r="J1691" s="29">
        <f>IF($B1691="","",IF(INDEX(Dossiers!$F$4:$F$63,32)="","",INDEX(Dossiers!$F$4:$F$63,32)))</f>
        <v/>
      </c>
      <c r="K1691" s="29">
        <f>IF($B1691="","",IF(INDEX(Dossiers!$G$4:$G$63,32)="","",INDEX(Dossiers!$G$4:$G$63,32)))</f>
        <v/>
      </c>
    </row>
    <row r="1692">
      <c r="A1692">
        <f>IF($B1692="","",INDEX(Dossiers!$E$4:$E$63,32))</f>
        <v/>
      </c>
      <c r="B1692">
        <f>IF(INDEX(Suivi!$B:$B,1724)="","",INDEX(Suivi!$B:$B,1724))</f>
        <v/>
      </c>
      <c r="C1692">
        <f>IF($B1692="","",IF(INDEX(Suivi!$D:$D,1724)="",INDEX(Suivi!$C:$C,1724),INDEX(Suivi!$D:$D,1724)))</f>
        <v/>
      </c>
      <c r="D1692" s="29">
        <f>IF($B1692="","",INDEX(Suivi!$E:$E,1724))</f>
        <v/>
      </c>
      <c r="E1692" s="29">
        <f>IF($B1692="","",INDEX(Suivi!$F:$F,1724))</f>
        <v/>
      </c>
      <c r="F1692">
        <f>IF($B1692="","",INDEX(Suivi!$G:$G,1724))</f>
        <v/>
      </c>
      <c r="H1692">
        <f>IF(OR($B1692="",NOT(ISNUMBER($D1692))),"",IF($E1692&lt;$D$2,"Passé",IF($D1692&gt;$F$2,"À venir","Dans la période")))</f>
        <v/>
      </c>
      <c r="I1692">
        <f>IF(OR($B1692="",NOT(ISNUMBER($D1692))),"",IF(AND($E1692&lt;$D$2,$G1692&lt;&gt;"X",$F1692&lt;&gt;"Réalisé",$F1692&lt;&gt;"Clôturé"),"RETARD",""))</f>
        <v/>
      </c>
      <c r="J1692" s="29">
        <f>IF($B1692="","",IF(INDEX(Dossiers!$F$4:$F$63,32)="","",INDEX(Dossiers!$F$4:$F$63,32)))</f>
        <v/>
      </c>
      <c r="K1692" s="29">
        <f>IF($B1692="","",IF(INDEX(Dossiers!$G$4:$G$63,32)="","",INDEX(Dossiers!$G$4:$G$63,32)))</f>
        <v/>
      </c>
    </row>
    <row r="1693">
      <c r="A1693">
        <f>IF($B1693="","",INDEX(Dossiers!$E$4:$E$63,32))</f>
        <v/>
      </c>
      <c r="B1693">
        <f>IF(INDEX(Suivi!$B:$B,1725)="","",INDEX(Suivi!$B:$B,1725))</f>
        <v/>
      </c>
      <c r="C1693">
        <f>IF($B1693="","",IF(INDEX(Suivi!$D:$D,1725)="",INDEX(Suivi!$C:$C,1725),INDEX(Suivi!$D:$D,1725)))</f>
        <v/>
      </c>
      <c r="D1693" s="29">
        <f>IF($B1693="","",INDEX(Suivi!$E:$E,1725))</f>
        <v/>
      </c>
      <c r="E1693" s="29">
        <f>IF($B1693="","",INDEX(Suivi!$F:$F,1725))</f>
        <v/>
      </c>
      <c r="F1693">
        <f>IF($B1693="","",INDEX(Suivi!$G:$G,1725))</f>
        <v/>
      </c>
      <c r="H1693">
        <f>IF(OR($B1693="",NOT(ISNUMBER($D1693))),"",IF($E1693&lt;$D$2,"Passé",IF($D1693&gt;$F$2,"À venir","Dans la période")))</f>
        <v/>
      </c>
      <c r="I1693">
        <f>IF(OR($B1693="",NOT(ISNUMBER($D1693))),"",IF(AND($E1693&lt;$D$2,$G1693&lt;&gt;"X",$F1693&lt;&gt;"Réalisé",$F1693&lt;&gt;"Clôturé"),"RETARD",""))</f>
        <v/>
      </c>
      <c r="J1693" s="29">
        <f>IF($B1693="","",IF(INDEX(Dossiers!$F$4:$F$63,32)="","",INDEX(Dossiers!$F$4:$F$63,32)))</f>
        <v/>
      </c>
      <c r="K1693" s="29">
        <f>IF($B1693="","",IF(INDEX(Dossiers!$G$4:$G$63,32)="","",INDEX(Dossiers!$G$4:$G$63,32)))</f>
        <v/>
      </c>
    </row>
    <row r="1694">
      <c r="A1694">
        <f>IF($B1694="","",INDEX(Dossiers!$E$4:$E$63,32))</f>
        <v/>
      </c>
      <c r="B1694">
        <f>IF(INDEX(Suivi!$B:$B,1726)="","",INDEX(Suivi!$B:$B,1726))</f>
        <v/>
      </c>
      <c r="C1694">
        <f>IF($B1694="","",IF(INDEX(Suivi!$D:$D,1726)="",INDEX(Suivi!$C:$C,1726),INDEX(Suivi!$D:$D,1726)))</f>
        <v/>
      </c>
      <c r="D1694" s="29">
        <f>IF($B1694="","",INDEX(Suivi!$E:$E,1726))</f>
        <v/>
      </c>
      <c r="E1694" s="29">
        <f>IF($B1694="","",INDEX(Suivi!$F:$F,1726))</f>
        <v/>
      </c>
      <c r="F1694">
        <f>IF($B1694="","",INDEX(Suivi!$G:$G,1726))</f>
        <v/>
      </c>
      <c r="H1694">
        <f>IF(OR($B1694="",NOT(ISNUMBER($D1694))),"",IF($E1694&lt;$D$2,"Passé",IF($D1694&gt;$F$2,"À venir","Dans la période")))</f>
        <v/>
      </c>
      <c r="I1694">
        <f>IF(OR($B1694="",NOT(ISNUMBER($D1694))),"",IF(AND($E1694&lt;$D$2,$G1694&lt;&gt;"X",$F1694&lt;&gt;"Réalisé",$F1694&lt;&gt;"Clôturé"),"RETARD",""))</f>
        <v/>
      </c>
      <c r="J1694" s="29">
        <f>IF($B1694="","",IF(INDEX(Dossiers!$F$4:$F$63,32)="","",INDEX(Dossiers!$F$4:$F$63,32)))</f>
        <v/>
      </c>
      <c r="K1694" s="29">
        <f>IF($B1694="","",IF(INDEX(Dossiers!$G$4:$G$63,32)="","",INDEX(Dossiers!$G$4:$G$63,32)))</f>
        <v/>
      </c>
    </row>
    <row r="1695">
      <c r="A1695">
        <f>IF($B1695="","",INDEX(Dossiers!$E$4:$E$63,32))</f>
        <v/>
      </c>
      <c r="B1695">
        <f>IF(INDEX(Suivi!$B:$B,1727)="","",INDEX(Suivi!$B:$B,1727))</f>
        <v/>
      </c>
      <c r="C1695">
        <f>IF($B1695="","",IF(INDEX(Suivi!$D:$D,1727)="",INDEX(Suivi!$C:$C,1727),INDEX(Suivi!$D:$D,1727)))</f>
        <v/>
      </c>
      <c r="D1695" s="29">
        <f>IF($B1695="","",INDEX(Suivi!$E:$E,1727))</f>
        <v/>
      </c>
      <c r="E1695" s="29">
        <f>IF($B1695="","",INDEX(Suivi!$F:$F,1727))</f>
        <v/>
      </c>
      <c r="F1695">
        <f>IF($B1695="","",INDEX(Suivi!$G:$G,1727))</f>
        <v/>
      </c>
      <c r="H1695">
        <f>IF(OR($B1695="",NOT(ISNUMBER($D1695))),"",IF($E1695&lt;$D$2,"Passé",IF($D1695&gt;$F$2,"À venir","Dans la période")))</f>
        <v/>
      </c>
      <c r="I1695">
        <f>IF(OR($B1695="",NOT(ISNUMBER($D1695))),"",IF(AND($E1695&lt;$D$2,$G1695&lt;&gt;"X",$F1695&lt;&gt;"Réalisé",$F1695&lt;&gt;"Clôturé"),"RETARD",""))</f>
        <v/>
      </c>
      <c r="J1695" s="29">
        <f>IF($B1695="","",IF(INDEX(Dossiers!$F$4:$F$63,32)="","",INDEX(Dossiers!$F$4:$F$63,32)))</f>
        <v/>
      </c>
      <c r="K1695" s="29">
        <f>IF($B1695="","",IF(INDEX(Dossiers!$G$4:$G$63,32)="","",INDEX(Dossiers!$G$4:$G$63,32)))</f>
        <v/>
      </c>
    </row>
    <row r="1696">
      <c r="A1696">
        <f>IF($B1696="","",INDEX(Dossiers!$E$4:$E$63,32))</f>
        <v/>
      </c>
      <c r="B1696">
        <f>IF(INDEX(Suivi!$B:$B,1728)="","",INDEX(Suivi!$B:$B,1728))</f>
        <v/>
      </c>
      <c r="C1696">
        <f>IF($B1696="","",IF(INDEX(Suivi!$D:$D,1728)="",INDEX(Suivi!$C:$C,1728),INDEX(Suivi!$D:$D,1728)))</f>
        <v/>
      </c>
      <c r="D1696" s="29">
        <f>IF($B1696="","",INDEX(Suivi!$E:$E,1728))</f>
        <v/>
      </c>
      <c r="E1696" s="29">
        <f>IF($B1696="","",INDEX(Suivi!$F:$F,1728))</f>
        <v/>
      </c>
      <c r="F1696">
        <f>IF($B1696="","",INDEX(Suivi!$G:$G,1728))</f>
        <v/>
      </c>
      <c r="H1696">
        <f>IF(OR($B1696="",NOT(ISNUMBER($D1696))),"",IF($E1696&lt;$D$2,"Passé",IF($D1696&gt;$F$2,"À venir","Dans la période")))</f>
        <v/>
      </c>
      <c r="I1696">
        <f>IF(OR($B1696="",NOT(ISNUMBER($D1696))),"",IF(AND($E1696&lt;$D$2,$G1696&lt;&gt;"X",$F1696&lt;&gt;"Réalisé",$F1696&lt;&gt;"Clôturé"),"RETARD",""))</f>
        <v/>
      </c>
      <c r="J1696" s="29">
        <f>IF($B1696="","",IF(INDEX(Dossiers!$F$4:$F$63,32)="","",INDEX(Dossiers!$F$4:$F$63,32)))</f>
        <v/>
      </c>
      <c r="K1696" s="29">
        <f>IF($B1696="","",IF(INDEX(Dossiers!$G$4:$G$63,32)="","",INDEX(Dossiers!$G$4:$G$63,32)))</f>
        <v/>
      </c>
    </row>
    <row r="1697">
      <c r="A1697">
        <f>IF($B1697="","",INDEX(Dossiers!$E$4:$E$63,32))</f>
        <v/>
      </c>
      <c r="B1697">
        <f>IF(INDEX(Suivi!$B:$B,1729)="","",INDEX(Suivi!$B:$B,1729))</f>
        <v/>
      </c>
      <c r="C1697">
        <f>IF($B1697="","",IF(INDEX(Suivi!$D:$D,1729)="",INDEX(Suivi!$C:$C,1729),INDEX(Suivi!$D:$D,1729)))</f>
        <v/>
      </c>
      <c r="D1697" s="29">
        <f>IF($B1697="","",INDEX(Suivi!$E:$E,1729))</f>
        <v/>
      </c>
      <c r="E1697" s="29">
        <f>IF($B1697="","",INDEX(Suivi!$F:$F,1729))</f>
        <v/>
      </c>
      <c r="F1697">
        <f>IF($B1697="","",INDEX(Suivi!$G:$G,1729))</f>
        <v/>
      </c>
      <c r="H1697">
        <f>IF(OR($B1697="",NOT(ISNUMBER($D1697))),"",IF($E1697&lt;$D$2,"Passé",IF($D1697&gt;$F$2,"À venir","Dans la période")))</f>
        <v/>
      </c>
      <c r="I1697">
        <f>IF(OR($B1697="",NOT(ISNUMBER($D1697))),"",IF(AND($E1697&lt;$D$2,$G1697&lt;&gt;"X",$F1697&lt;&gt;"Réalisé",$F1697&lt;&gt;"Clôturé"),"RETARD",""))</f>
        <v/>
      </c>
      <c r="J1697" s="29">
        <f>IF($B1697="","",IF(INDEX(Dossiers!$F$4:$F$63,32)="","",INDEX(Dossiers!$F$4:$F$63,32)))</f>
        <v/>
      </c>
      <c r="K1697" s="29">
        <f>IF($B1697="","",IF(INDEX(Dossiers!$G$4:$G$63,32)="","",INDEX(Dossiers!$G$4:$G$63,32)))</f>
        <v/>
      </c>
    </row>
    <row r="1698">
      <c r="A1698">
        <f>IF($B1698="","",INDEX(Dossiers!$E$4:$E$63,32))</f>
        <v/>
      </c>
      <c r="B1698">
        <f>IF(INDEX(Suivi!$B:$B,1730)="","",INDEX(Suivi!$B:$B,1730))</f>
        <v/>
      </c>
      <c r="C1698">
        <f>IF($B1698="","",IF(INDEX(Suivi!$D:$D,1730)="",INDEX(Suivi!$C:$C,1730),INDEX(Suivi!$D:$D,1730)))</f>
        <v/>
      </c>
      <c r="D1698" s="29">
        <f>IF($B1698="","",INDEX(Suivi!$E:$E,1730))</f>
        <v/>
      </c>
      <c r="E1698" s="29">
        <f>IF($B1698="","",INDEX(Suivi!$F:$F,1730))</f>
        <v/>
      </c>
      <c r="F1698">
        <f>IF($B1698="","",INDEX(Suivi!$G:$G,1730))</f>
        <v/>
      </c>
      <c r="H1698">
        <f>IF(OR($B1698="",NOT(ISNUMBER($D1698))),"",IF($E1698&lt;$D$2,"Passé",IF($D1698&gt;$F$2,"À venir","Dans la période")))</f>
        <v/>
      </c>
      <c r="I1698">
        <f>IF(OR($B1698="",NOT(ISNUMBER($D1698))),"",IF(AND($E1698&lt;$D$2,$G1698&lt;&gt;"X",$F1698&lt;&gt;"Réalisé",$F1698&lt;&gt;"Clôturé"),"RETARD",""))</f>
        <v/>
      </c>
      <c r="J1698" s="29">
        <f>IF($B1698="","",IF(INDEX(Dossiers!$F$4:$F$63,32)="","",INDEX(Dossiers!$F$4:$F$63,32)))</f>
        <v/>
      </c>
      <c r="K1698" s="29">
        <f>IF($B1698="","",IF(INDEX(Dossiers!$G$4:$G$63,32)="","",INDEX(Dossiers!$G$4:$G$63,32)))</f>
        <v/>
      </c>
    </row>
    <row r="1699">
      <c r="A1699">
        <f>IF($B1699="","",INDEX(Dossiers!$E$4:$E$63,32))</f>
        <v/>
      </c>
      <c r="B1699">
        <f>IF(INDEX(Suivi!$B:$B,1731)="","",INDEX(Suivi!$B:$B,1731))</f>
        <v/>
      </c>
      <c r="C1699">
        <f>IF($B1699="","",IF(INDEX(Suivi!$D:$D,1731)="",INDEX(Suivi!$C:$C,1731),INDEX(Suivi!$D:$D,1731)))</f>
        <v/>
      </c>
      <c r="D1699" s="29">
        <f>IF($B1699="","",INDEX(Suivi!$E:$E,1731))</f>
        <v/>
      </c>
      <c r="E1699" s="29">
        <f>IF($B1699="","",INDEX(Suivi!$F:$F,1731))</f>
        <v/>
      </c>
      <c r="F1699">
        <f>IF($B1699="","",INDEX(Suivi!$G:$G,1731))</f>
        <v/>
      </c>
      <c r="H1699">
        <f>IF(OR($B1699="",NOT(ISNUMBER($D1699))),"",IF($E1699&lt;$D$2,"Passé",IF($D1699&gt;$F$2,"À venir","Dans la période")))</f>
        <v/>
      </c>
      <c r="I1699">
        <f>IF(OR($B1699="",NOT(ISNUMBER($D1699))),"",IF(AND($E1699&lt;$D$2,$G1699&lt;&gt;"X",$F1699&lt;&gt;"Réalisé",$F1699&lt;&gt;"Clôturé"),"RETARD",""))</f>
        <v/>
      </c>
      <c r="J1699" s="29">
        <f>IF($B1699="","",IF(INDEX(Dossiers!$F$4:$F$63,32)="","",INDEX(Dossiers!$F$4:$F$63,32)))</f>
        <v/>
      </c>
      <c r="K1699" s="29">
        <f>IF($B1699="","",IF(INDEX(Dossiers!$G$4:$G$63,32)="","",INDEX(Dossiers!$G$4:$G$63,32)))</f>
        <v/>
      </c>
    </row>
    <row r="1700">
      <c r="A1700">
        <f>IF($B1700="","",INDEX(Dossiers!$E$4:$E$63,33))</f>
        <v/>
      </c>
      <c r="B1700">
        <f>IF(INDEX(Suivi!$B:$B,1733)="","",INDEX(Suivi!$B:$B,1733))</f>
        <v/>
      </c>
      <c r="C1700">
        <f>IF($B1700="","",IF(INDEX(Suivi!$D:$D,1733)="",INDEX(Suivi!$C:$C,1733),INDEX(Suivi!$D:$D,1733)))</f>
        <v/>
      </c>
      <c r="D1700" s="29">
        <f>IF($B1700="","",INDEX(Suivi!$E:$E,1733))</f>
        <v/>
      </c>
      <c r="E1700" s="29">
        <f>IF($B1700="","",INDEX(Suivi!$F:$F,1733))</f>
        <v/>
      </c>
      <c r="F1700">
        <f>IF($B1700="","",INDEX(Suivi!$G:$G,1733))</f>
        <v/>
      </c>
      <c r="H1700">
        <f>IF(OR($B1700="",NOT(ISNUMBER($D1700))),"",IF($E1700&lt;$D$2,"Passé",IF($D1700&gt;$F$2,"À venir","Dans la période")))</f>
        <v/>
      </c>
      <c r="I1700">
        <f>IF(OR($B1700="",NOT(ISNUMBER($D1700))),"",IF(AND($E1700&lt;$D$2,$G1700&lt;&gt;"X",$F1700&lt;&gt;"Réalisé",$F1700&lt;&gt;"Clôturé"),"RETARD",""))</f>
        <v/>
      </c>
      <c r="J1700" s="29">
        <f>IF($B1700="","",IF(INDEX(Dossiers!$F$4:$F$63,33)="","",INDEX(Dossiers!$F$4:$F$63,33)))</f>
        <v/>
      </c>
      <c r="K1700" s="29">
        <f>IF($B1700="","",IF(INDEX(Dossiers!$G$4:$G$63,33)="","",INDEX(Dossiers!$G$4:$G$63,33)))</f>
        <v/>
      </c>
    </row>
    <row r="1701">
      <c r="A1701">
        <f>IF($B1701="","",INDEX(Dossiers!$E$4:$E$63,33))</f>
        <v/>
      </c>
      <c r="B1701">
        <f>IF(INDEX(Suivi!$B:$B,1734)="","",INDEX(Suivi!$B:$B,1734))</f>
        <v/>
      </c>
      <c r="C1701">
        <f>IF($B1701="","",IF(INDEX(Suivi!$D:$D,1734)="",INDEX(Suivi!$C:$C,1734),INDEX(Suivi!$D:$D,1734)))</f>
        <v/>
      </c>
      <c r="D1701" s="29">
        <f>IF($B1701="","",INDEX(Suivi!$E:$E,1734))</f>
        <v/>
      </c>
      <c r="E1701" s="29">
        <f>IF($B1701="","",INDEX(Suivi!$F:$F,1734))</f>
        <v/>
      </c>
      <c r="F1701">
        <f>IF($B1701="","",INDEX(Suivi!$G:$G,1734))</f>
        <v/>
      </c>
      <c r="H1701">
        <f>IF(OR($B1701="",NOT(ISNUMBER($D1701))),"",IF($E1701&lt;$D$2,"Passé",IF($D1701&gt;$F$2,"À venir","Dans la période")))</f>
        <v/>
      </c>
      <c r="I1701">
        <f>IF(OR($B1701="",NOT(ISNUMBER($D1701))),"",IF(AND($E1701&lt;$D$2,$G1701&lt;&gt;"X",$F1701&lt;&gt;"Réalisé",$F1701&lt;&gt;"Clôturé"),"RETARD",""))</f>
        <v/>
      </c>
      <c r="J1701" s="29">
        <f>IF($B1701="","",IF(INDEX(Dossiers!$F$4:$F$63,33)="","",INDEX(Dossiers!$F$4:$F$63,33)))</f>
        <v/>
      </c>
      <c r="K1701" s="29">
        <f>IF($B1701="","",IF(INDEX(Dossiers!$G$4:$G$63,33)="","",INDEX(Dossiers!$G$4:$G$63,33)))</f>
        <v/>
      </c>
    </row>
    <row r="1702">
      <c r="A1702">
        <f>IF($B1702="","",INDEX(Dossiers!$E$4:$E$63,33))</f>
        <v/>
      </c>
      <c r="B1702">
        <f>IF(INDEX(Suivi!$B:$B,1735)="","",INDEX(Suivi!$B:$B,1735))</f>
        <v/>
      </c>
      <c r="C1702">
        <f>IF($B1702="","",IF(INDEX(Suivi!$D:$D,1735)="",INDEX(Suivi!$C:$C,1735),INDEX(Suivi!$D:$D,1735)))</f>
        <v/>
      </c>
      <c r="D1702" s="29">
        <f>IF($B1702="","",INDEX(Suivi!$E:$E,1735))</f>
        <v/>
      </c>
      <c r="E1702" s="29">
        <f>IF($B1702="","",INDEX(Suivi!$F:$F,1735))</f>
        <v/>
      </c>
      <c r="F1702">
        <f>IF($B1702="","",INDEX(Suivi!$G:$G,1735))</f>
        <v/>
      </c>
      <c r="H1702">
        <f>IF(OR($B1702="",NOT(ISNUMBER($D1702))),"",IF($E1702&lt;$D$2,"Passé",IF($D1702&gt;$F$2,"À venir","Dans la période")))</f>
        <v/>
      </c>
      <c r="I1702">
        <f>IF(OR($B1702="",NOT(ISNUMBER($D1702))),"",IF(AND($E1702&lt;$D$2,$G1702&lt;&gt;"X",$F1702&lt;&gt;"Réalisé",$F1702&lt;&gt;"Clôturé"),"RETARD",""))</f>
        <v/>
      </c>
      <c r="J1702" s="29">
        <f>IF($B1702="","",IF(INDEX(Dossiers!$F$4:$F$63,33)="","",INDEX(Dossiers!$F$4:$F$63,33)))</f>
        <v/>
      </c>
      <c r="K1702" s="29">
        <f>IF($B1702="","",IF(INDEX(Dossiers!$G$4:$G$63,33)="","",INDEX(Dossiers!$G$4:$G$63,33)))</f>
        <v/>
      </c>
    </row>
    <row r="1703">
      <c r="A1703">
        <f>IF($B1703="","",INDEX(Dossiers!$E$4:$E$63,33))</f>
        <v/>
      </c>
      <c r="B1703">
        <f>IF(INDEX(Suivi!$B:$B,1736)="","",INDEX(Suivi!$B:$B,1736))</f>
        <v/>
      </c>
      <c r="C1703">
        <f>IF($B1703="","",IF(INDEX(Suivi!$D:$D,1736)="",INDEX(Suivi!$C:$C,1736),INDEX(Suivi!$D:$D,1736)))</f>
        <v/>
      </c>
      <c r="D1703" s="29">
        <f>IF($B1703="","",INDEX(Suivi!$E:$E,1736))</f>
        <v/>
      </c>
      <c r="E1703" s="29">
        <f>IF($B1703="","",INDEX(Suivi!$F:$F,1736))</f>
        <v/>
      </c>
      <c r="F1703">
        <f>IF($B1703="","",INDEX(Suivi!$G:$G,1736))</f>
        <v/>
      </c>
      <c r="H1703">
        <f>IF(OR($B1703="",NOT(ISNUMBER($D1703))),"",IF($E1703&lt;$D$2,"Passé",IF($D1703&gt;$F$2,"À venir","Dans la période")))</f>
        <v/>
      </c>
      <c r="I1703">
        <f>IF(OR($B1703="",NOT(ISNUMBER($D1703))),"",IF(AND($E1703&lt;$D$2,$G1703&lt;&gt;"X",$F1703&lt;&gt;"Réalisé",$F1703&lt;&gt;"Clôturé"),"RETARD",""))</f>
        <v/>
      </c>
      <c r="J1703" s="29">
        <f>IF($B1703="","",IF(INDEX(Dossiers!$F$4:$F$63,33)="","",INDEX(Dossiers!$F$4:$F$63,33)))</f>
        <v/>
      </c>
      <c r="K1703" s="29">
        <f>IF($B1703="","",IF(INDEX(Dossiers!$G$4:$G$63,33)="","",INDEX(Dossiers!$G$4:$G$63,33)))</f>
        <v/>
      </c>
    </row>
    <row r="1704">
      <c r="A1704">
        <f>IF($B1704="","",INDEX(Dossiers!$E$4:$E$63,33))</f>
        <v/>
      </c>
      <c r="B1704">
        <f>IF(INDEX(Suivi!$B:$B,1737)="","",INDEX(Suivi!$B:$B,1737))</f>
        <v/>
      </c>
      <c r="C1704">
        <f>IF($B1704="","",IF(INDEX(Suivi!$D:$D,1737)="",INDEX(Suivi!$C:$C,1737),INDEX(Suivi!$D:$D,1737)))</f>
        <v/>
      </c>
      <c r="D1704" s="29">
        <f>IF($B1704="","",INDEX(Suivi!$E:$E,1737))</f>
        <v/>
      </c>
      <c r="E1704" s="29">
        <f>IF($B1704="","",INDEX(Suivi!$F:$F,1737))</f>
        <v/>
      </c>
      <c r="F1704">
        <f>IF($B1704="","",INDEX(Suivi!$G:$G,1737))</f>
        <v/>
      </c>
      <c r="H1704">
        <f>IF(OR($B1704="",NOT(ISNUMBER($D1704))),"",IF($E1704&lt;$D$2,"Passé",IF($D1704&gt;$F$2,"À venir","Dans la période")))</f>
        <v/>
      </c>
      <c r="I1704">
        <f>IF(OR($B1704="",NOT(ISNUMBER($D1704))),"",IF(AND($E1704&lt;$D$2,$G1704&lt;&gt;"X",$F1704&lt;&gt;"Réalisé",$F1704&lt;&gt;"Clôturé"),"RETARD",""))</f>
        <v/>
      </c>
      <c r="J1704" s="29">
        <f>IF($B1704="","",IF(INDEX(Dossiers!$F$4:$F$63,33)="","",INDEX(Dossiers!$F$4:$F$63,33)))</f>
        <v/>
      </c>
      <c r="K1704" s="29">
        <f>IF($B1704="","",IF(INDEX(Dossiers!$G$4:$G$63,33)="","",INDEX(Dossiers!$G$4:$G$63,33)))</f>
        <v/>
      </c>
    </row>
    <row r="1705">
      <c r="A1705">
        <f>IF($B1705="","",INDEX(Dossiers!$E$4:$E$63,33))</f>
        <v/>
      </c>
      <c r="B1705">
        <f>IF(INDEX(Suivi!$B:$B,1738)="","",INDEX(Suivi!$B:$B,1738))</f>
        <v/>
      </c>
      <c r="C1705">
        <f>IF($B1705="","",IF(INDEX(Suivi!$D:$D,1738)="",INDEX(Suivi!$C:$C,1738),INDEX(Suivi!$D:$D,1738)))</f>
        <v/>
      </c>
      <c r="D1705" s="29">
        <f>IF($B1705="","",INDEX(Suivi!$E:$E,1738))</f>
        <v/>
      </c>
      <c r="E1705" s="29">
        <f>IF($B1705="","",INDEX(Suivi!$F:$F,1738))</f>
        <v/>
      </c>
      <c r="F1705">
        <f>IF($B1705="","",INDEX(Suivi!$G:$G,1738))</f>
        <v/>
      </c>
      <c r="H1705">
        <f>IF(OR($B1705="",NOT(ISNUMBER($D1705))),"",IF($E1705&lt;$D$2,"Passé",IF($D1705&gt;$F$2,"À venir","Dans la période")))</f>
        <v/>
      </c>
      <c r="I1705">
        <f>IF(OR($B1705="",NOT(ISNUMBER($D1705))),"",IF(AND($E1705&lt;$D$2,$G1705&lt;&gt;"X",$F1705&lt;&gt;"Réalisé",$F1705&lt;&gt;"Clôturé"),"RETARD",""))</f>
        <v/>
      </c>
      <c r="J1705" s="29">
        <f>IF($B1705="","",IF(INDEX(Dossiers!$F$4:$F$63,33)="","",INDEX(Dossiers!$F$4:$F$63,33)))</f>
        <v/>
      </c>
      <c r="K1705" s="29">
        <f>IF($B1705="","",IF(INDEX(Dossiers!$G$4:$G$63,33)="","",INDEX(Dossiers!$G$4:$G$63,33)))</f>
        <v/>
      </c>
    </row>
    <row r="1706">
      <c r="A1706">
        <f>IF($B1706="","",INDEX(Dossiers!$E$4:$E$63,33))</f>
        <v/>
      </c>
      <c r="B1706">
        <f>IF(INDEX(Suivi!$B:$B,1739)="","",INDEX(Suivi!$B:$B,1739))</f>
        <v/>
      </c>
      <c r="C1706">
        <f>IF($B1706="","",IF(INDEX(Suivi!$D:$D,1739)="",INDEX(Suivi!$C:$C,1739),INDEX(Suivi!$D:$D,1739)))</f>
        <v/>
      </c>
      <c r="D1706" s="29">
        <f>IF($B1706="","",INDEX(Suivi!$E:$E,1739))</f>
        <v/>
      </c>
      <c r="E1706" s="29">
        <f>IF($B1706="","",INDEX(Suivi!$F:$F,1739))</f>
        <v/>
      </c>
      <c r="F1706">
        <f>IF($B1706="","",INDEX(Suivi!$G:$G,1739))</f>
        <v/>
      </c>
      <c r="H1706">
        <f>IF(OR($B1706="",NOT(ISNUMBER($D1706))),"",IF($E1706&lt;$D$2,"Passé",IF($D1706&gt;$F$2,"À venir","Dans la période")))</f>
        <v/>
      </c>
      <c r="I1706">
        <f>IF(OR($B1706="",NOT(ISNUMBER($D1706))),"",IF(AND($E1706&lt;$D$2,$G1706&lt;&gt;"X",$F1706&lt;&gt;"Réalisé",$F1706&lt;&gt;"Clôturé"),"RETARD",""))</f>
        <v/>
      </c>
      <c r="J1706" s="29">
        <f>IF($B1706="","",IF(INDEX(Dossiers!$F$4:$F$63,33)="","",INDEX(Dossiers!$F$4:$F$63,33)))</f>
        <v/>
      </c>
      <c r="K1706" s="29">
        <f>IF($B1706="","",IF(INDEX(Dossiers!$G$4:$G$63,33)="","",INDEX(Dossiers!$G$4:$G$63,33)))</f>
        <v/>
      </c>
    </row>
    <row r="1707">
      <c r="A1707">
        <f>IF($B1707="","",INDEX(Dossiers!$E$4:$E$63,33))</f>
        <v/>
      </c>
      <c r="B1707">
        <f>IF(INDEX(Suivi!$B:$B,1740)="","",INDEX(Suivi!$B:$B,1740))</f>
        <v/>
      </c>
      <c r="C1707">
        <f>IF($B1707="","",IF(INDEX(Suivi!$D:$D,1740)="",INDEX(Suivi!$C:$C,1740),INDEX(Suivi!$D:$D,1740)))</f>
        <v/>
      </c>
      <c r="D1707" s="29">
        <f>IF($B1707="","",INDEX(Suivi!$E:$E,1740))</f>
        <v/>
      </c>
      <c r="E1707" s="29">
        <f>IF($B1707="","",INDEX(Suivi!$F:$F,1740))</f>
        <v/>
      </c>
      <c r="F1707">
        <f>IF($B1707="","",INDEX(Suivi!$G:$G,1740))</f>
        <v/>
      </c>
      <c r="H1707">
        <f>IF(OR($B1707="",NOT(ISNUMBER($D1707))),"",IF($E1707&lt;$D$2,"Passé",IF($D1707&gt;$F$2,"À venir","Dans la période")))</f>
        <v/>
      </c>
      <c r="I1707">
        <f>IF(OR($B1707="",NOT(ISNUMBER($D1707))),"",IF(AND($E1707&lt;$D$2,$G1707&lt;&gt;"X",$F1707&lt;&gt;"Réalisé",$F1707&lt;&gt;"Clôturé"),"RETARD",""))</f>
        <v/>
      </c>
      <c r="J1707" s="29">
        <f>IF($B1707="","",IF(INDEX(Dossiers!$F$4:$F$63,33)="","",INDEX(Dossiers!$F$4:$F$63,33)))</f>
        <v/>
      </c>
      <c r="K1707" s="29">
        <f>IF($B1707="","",IF(INDEX(Dossiers!$G$4:$G$63,33)="","",INDEX(Dossiers!$G$4:$G$63,33)))</f>
        <v/>
      </c>
    </row>
    <row r="1708">
      <c r="A1708">
        <f>IF($B1708="","",INDEX(Dossiers!$E$4:$E$63,33))</f>
        <v/>
      </c>
      <c r="B1708">
        <f>IF(INDEX(Suivi!$B:$B,1741)="","",INDEX(Suivi!$B:$B,1741))</f>
        <v/>
      </c>
      <c r="C1708">
        <f>IF($B1708="","",IF(INDEX(Suivi!$D:$D,1741)="",INDEX(Suivi!$C:$C,1741),INDEX(Suivi!$D:$D,1741)))</f>
        <v/>
      </c>
      <c r="D1708" s="29">
        <f>IF($B1708="","",INDEX(Suivi!$E:$E,1741))</f>
        <v/>
      </c>
      <c r="E1708" s="29">
        <f>IF($B1708="","",INDEX(Suivi!$F:$F,1741))</f>
        <v/>
      </c>
      <c r="F1708">
        <f>IF($B1708="","",INDEX(Suivi!$G:$G,1741))</f>
        <v/>
      </c>
      <c r="H1708">
        <f>IF(OR($B1708="",NOT(ISNUMBER($D1708))),"",IF($E1708&lt;$D$2,"Passé",IF($D1708&gt;$F$2,"À venir","Dans la période")))</f>
        <v/>
      </c>
      <c r="I1708">
        <f>IF(OR($B1708="",NOT(ISNUMBER($D1708))),"",IF(AND($E1708&lt;$D$2,$G1708&lt;&gt;"X",$F1708&lt;&gt;"Réalisé",$F1708&lt;&gt;"Clôturé"),"RETARD",""))</f>
        <v/>
      </c>
      <c r="J1708" s="29">
        <f>IF($B1708="","",IF(INDEX(Dossiers!$F$4:$F$63,33)="","",INDEX(Dossiers!$F$4:$F$63,33)))</f>
        <v/>
      </c>
      <c r="K1708" s="29">
        <f>IF($B1708="","",IF(INDEX(Dossiers!$G$4:$G$63,33)="","",INDEX(Dossiers!$G$4:$G$63,33)))</f>
        <v/>
      </c>
    </row>
    <row r="1709">
      <c r="A1709">
        <f>IF($B1709="","",INDEX(Dossiers!$E$4:$E$63,33))</f>
        <v/>
      </c>
      <c r="B1709">
        <f>IF(INDEX(Suivi!$B:$B,1742)="","",INDEX(Suivi!$B:$B,1742))</f>
        <v/>
      </c>
      <c r="C1709">
        <f>IF($B1709="","",IF(INDEX(Suivi!$D:$D,1742)="",INDEX(Suivi!$C:$C,1742),INDEX(Suivi!$D:$D,1742)))</f>
        <v/>
      </c>
      <c r="D1709" s="29">
        <f>IF($B1709="","",INDEX(Suivi!$E:$E,1742))</f>
        <v/>
      </c>
      <c r="E1709" s="29">
        <f>IF($B1709="","",INDEX(Suivi!$F:$F,1742))</f>
        <v/>
      </c>
      <c r="F1709">
        <f>IF($B1709="","",INDEX(Suivi!$G:$G,1742))</f>
        <v/>
      </c>
      <c r="H1709">
        <f>IF(OR($B1709="",NOT(ISNUMBER($D1709))),"",IF($E1709&lt;$D$2,"Passé",IF($D1709&gt;$F$2,"À venir","Dans la période")))</f>
        <v/>
      </c>
      <c r="I1709">
        <f>IF(OR($B1709="",NOT(ISNUMBER($D1709))),"",IF(AND($E1709&lt;$D$2,$G1709&lt;&gt;"X",$F1709&lt;&gt;"Réalisé",$F1709&lt;&gt;"Clôturé"),"RETARD",""))</f>
        <v/>
      </c>
      <c r="J1709" s="29">
        <f>IF($B1709="","",IF(INDEX(Dossiers!$F$4:$F$63,33)="","",INDEX(Dossiers!$F$4:$F$63,33)))</f>
        <v/>
      </c>
      <c r="K1709" s="29">
        <f>IF($B1709="","",IF(INDEX(Dossiers!$G$4:$G$63,33)="","",INDEX(Dossiers!$G$4:$G$63,33)))</f>
        <v/>
      </c>
    </row>
    <row r="1710">
      <c r="A1710">
        <f>IF($B1710="","",INDEX(Dossiers!$E$4:$E$63,33))</f>
        <v/>
      </c>
      <c r="B1710">
        <f>IF(INDEX(Suivi!$B:$B,1743)="","",INDEX(Suivi!$B:$B,1743))</f>
        <v/>
      </c>
      <c r="C1710">
        <f>IF($B1710="","",IF(INDEX(Suivi!$D:$D,1743)="",INDEX(Suivi!$C:$C,1743),INDEX(Suivi!$D:$D,1743)))</f>
        <v/>
      </c>
      <c r="D1710" s="29">
        <f>IF($B1710="","",INDEX(Suivi!$E:$E,1743))</f>
        <v/>
      </c>
      <c r="E1710" s="29">
        <f>IF($B1710="","",INDEX(Suivi!$F:$F,1743))</f>
        <v/>
      </c>
      <c r="F1710">
        <f>IF($B1710="","",INDEX(Suivi!$G:$G,1743))</f>
        <v/>
      </c>
      <c r="H1710">
        <f>IF(OR($B1710="",NOT(ISNUMBER($D1710))),"",IF($E1710&lt;$D$2,"Passé",IF($D1710&gt;$F$2,"À venir","Dans la période")))</f>
        <v/>
      </c>
      <c r="I1710">
        <f>IF(OR($B1710="",NOT(ISNUMBER($D1710))),"",IF(AND($E1710&lt;$D$2,$G1710&lt;&gt;"X",$F1710&lt;&gt;"Réalisé",$F1710&lt;&gt;"Clôturé"),"RETARD",""))</f>
        <v/>
      </c>
      <c r="J1710" s="29">
        <f>IF($B1710="","",IF(INDEX(Dossiers!$F$4:$F$63,33)="","",INDEX(Dossiers!$F$4:$F$63,33)))</f>
        <v/>
      </c>
      <c r="K1710" s="29">
        <f>IF($B1710="","",IF(INDEX(Dossiers!$G$4:$G$63,33)="","",INDEX(Dossiers!$G$4:$G$63,33)))</f>
        <v/>
      </c>
    </row>
    <row r="1711">
      <c r="A1711">
        <f>IF($B1711="","",INDEX(Dossiers!$E$4:$E$63,33))</f>
        <v/>
      </c>
      <c r="B1711">
        <f>IF(INDEX(Suivi!$B:$B,1744)="","",INDEX(Suivi!$B:$B,1744))</f>
        <v/>
      </c>
      <c r="C1711">
        <f>IF($B1711="","",IF(INDEX(Suivi!$D:$D,1744)="",INDEX(Suivi!$C:$C,1744),INDEX(Suivi!$D:$D,1744)))</f>
        <v/>
      </c>
      <c r="D1711" s="29">
        <f>IF($B1711="","",INDEX(Suivi!$E:$E,1744))</f>
        <v/>
      </c>
      <c r="E1711" s="29">
        <f>IF($B1711="","",INDEX(Suivi!$F:$F,1744))</f>
        <v/>
      </c>
      <c r="F1711">
        <f>IF($B1711="","",INDEX(Suivi!$G:$G,1744))</f>
        <v/>
      </c>
      <c r="H1711">
        <f>IF(OR($B1711="",NOT(ISNUMBER($D1711))),"",IF($E1711&lt;$D$2,"Passé",IF($D1711&gt;$F$2,"À venir","Dans la période")))</f>
        <v/>
      </c>
      <c r="I1711">
        <f>IF(OR($B1711="",NOT(ISNUMBER($D1711))),"",IF(AND($E1711&lt;$D$2,$G1711&lt;&gt;"X",$F1711&lt;&gt;"Réalisé",$F1711&lt;&gt;"Clôturé"),"RETARD",""))</f>
        <v/>
      </c>
      <c r="J1711" s="29">
        <f>IF($B1711="","",IF(INDEX(Dossiers!$F$4:$F$63,33)="","",INDEX(Dossiers!$F$4:$F$63,33)))</f>
        <v/>
      </c>
      <c r="K1711" s="29">
        <f>IF($B1711="","",IF(INDEX(Dossiers!$G$4:$G$63,33)="","",INDEX(Dossiers!$G$4:$G$63,33)))</f>
        <v/>
      </c>
    </row>
    <row r="1712">
      <c r="A1712">
        <f>IF($B1712="","",INDEX(Dossiers!$E$4:$E$63,33))</f>
        <v/>
      </c>
      <c r="B1712">
        <f>IF(INDEX(Suivi!$B:$B,1745)="","",INDEX(Suivi!$B:$B,1745))</f>
        <v/>
      </c>
      <c r="C1712">
        <f>IF($B1712="","",IF(INDEX(Suivi!$D:$D,1745)="",INDEX(Suivi!$C:$C,1745),INDEX(Suivi!$D:$D,1745)))</f>
        <v/>
      </c>
      <c r="D1712" s="29">
        <f>IF($B1712="","",INDEX(Suivi!$E:$E,1745))</f>
        <v/>
      </c>
      <c r="E1712" s="29">
        <f>IF($B1712="","",INDEX(Suivi!$F:$F,1745))</f>
        <v/>
      </c>
      <c r="F1712">
        <f>IF($B1712="","",INDEX(Suivi!$G:$G,1745))</f>
        <v/>
      </c>
      <c r="H1712">
        <f>IF(OR($B1712="",NOT(ISNUMBER($D1712))),"",IF($E1712&lt;$D$2,"Passé",IF($D1712&gt;$F$2,"À venir","Dans la période")))</f>
        <v/>
      </c>
      <c r="I1712">
        <f>IF(OR($B1712="",NOT(ISNUMBER($D1712))),"",IF(AND($E1712&lt;$D$2,$G1712&lt;&gt;"X",$F1712&lt;&gt;"Réalisé",$F1712&lt;&gt;"Clôturé"),"RETARD",""))</f>
        <v/>
      </c>
      <c r="J1712" s="29">
        <f>IF($B1712="","",IF(INDEX(Dossiers!$F$4:$F$63,33)="","",INDEX(Dossiers!$F$4:$F$63,33)))</f>
        <v/>
      </c>
      <c r="K1712" s="29">
        <f>IF($B1712="","",IF(INDEX(Dossiers!$G$4:$G$63,33)="","",INDEX(Dossiers!$G$4:$G$63,33)))</f>
        <v/>
      </c>
    </row>
    <row r="1713">
      <c r="A1713">
        <f>IF($B1713="","",INDEX(Dossiers!$E$4:$E$63,33))</f>
        <v/>
      </c>
      <c r="B1713">
        <f>IF(INDEX(Suivi!$B:$B,1746)="","",INDEX(Suivi!$B:$B,1746))</f>
        <v/>
      </c>
      <c r="C1713">
        <f>IF($B1713="","",IF(INDEX(Suivi!$D:$D,1746)="",INDEX(Suivi!$C:$C,1746),INDEX(Suivi!$D:$D,1746)))</f>
        <v/>
      </c>
      <c r="D1713" s="29">
        <f>IF($B1713="","",INDEX(Suivi!$E:$E,1746))</f>
        <v/>
      </c>
      <c r="E1713" s="29">
        <f>IF($B1713="","",INDEX(Suivi!$F:$F,1746))</f>
        <v/>
      </c>
      <c r="F1713">
        <f>IF($B1713="","",INDEX(Suivi!$G:$G,1746))</f>
        <v/>
      </c>
      <c r="H1713">
        <f>IF(OR($B1713="",NOT(ISNUMBER($D1713))),"",IF($E1713&lt;$D$2,"Passé",IF($D1713&gt;$F$2,"À venir","Dans la période")))</f>
        <v/>
      </c>
      <c r="I1713">
        <f>IF(OR($B1713="",NOT(ISNUMBER($D1713))),"",IF(AND($E1713&lt;$D$2,$G1713&lt;&gt;"X",$F1713&lt;&gt;"Réalisé",$F1713&lt;&gt;"Clôturé"),"RETARD",""))</f>
        <v/>
      </c>
      <c r="J1713" s="29">
        <f>IF($B1713="","",IF(INDEX(Dossiers!$F$4:$F$63,33)="","",INDEX(Dossiers!$F$4:$F$63,33)))</f>
        <v/>
      </c>
      <c r="K1713" s="29">
        <f>IF($B1713="","",IF(INDEX(Dossiers!$G$4:$G$63,33)="","",INDEX(Dossiers!$G$4:$G$63,33)))</f>
        <v/>
      </c>
    </row>
    <row r="1714">
      <c r="A1714">
        <f>IF($B1714="","",INDEX(Dossiers!$E$4:$E$63,33))</f>
        <v/>
      </c>
      <c r="B1714">
        <f>IF(INDEX(Suivi!$B:$B,1747)="","",INDEX(Suivi!$B:$B,1747))</f>
        <v/>
      </c>
      <c r="C1714">
        <f>IF($B1714="","",IF(INDEX(Suivi!$D:$D,1747)="",INDEX(Suivi!$C:$C,1747),INDEX(Suivi!$D:$D,1747)))</f>
        <v/>
      </c>
      <c r="D1714" s="29">
        <f>IF($B1714="","",INDEX(Suivi!$E:$E,1747))</f>
        <v/>
      </c>
      <c r="E1714" s="29">
        <f>IF($B1714="","",INDEX(Suivi!$F:$F,1747))</f>
        <v/>
      </c>
      <c r="F1714">
        <f>IF($B1714="","",INDEX(Suivi!$G:$G,1747))</f>
        <v/>
      </c>
      <c r="H1714">
        <f>IF(OR($B1714="",NOT(ISNUMBER($D1714))),"",IF($E1714&lt;$D$2,"Passé",IF($D1714&gt;$F$2,"À venir","Dans la période")))</f>
        <v/>
      </c>
      <c r="I1714">
        <f>IF(OR($B1714="",NOT(ISNUMBER($D1714))),"",IF(AND($E1714&lt;$D$2,$G1714&lt;&gt;"X",$F1714&lt;&gt;"Réalisé",$F1714&lt;&gt;"Clôturé"),"RETARD",""))</f>
        <v/>
      </c>
      <c r="J1714" s="29">
        <f>IF($B1714="","",IF(INDEX(Dossiers!$F$4:$F$63,33)="","",INDEX(Dossiers!$F$4:$F$63,33)))</f>
        <v/>
      </c>
      <c r="K1714" s="29">
        <f>IF($B1714="","",IF(INDEX(Dossiers!$G$4:$G$63,33)="","",INDEX(Dossiers!$G$4:$G$63,33)))</f>
        <v/>
      </c>
    </row>
    <row r="1715">
      <c r="A1715">
        <f>IF($B1715="","",INDEX(Dossiers!$E$4:$E$63,33))</f>
        <v/>
      </c>
      <c r="B1715">
        <f>IF(INDEX(Suivi!$B:$B,1748)="","",INDEX(Suivi!$B:$B,1748))</f>
        <v/>
      </c>
      <c r="C1715">
        <f>IF($B1715="","",IF(INDEX(Suivi!$D:$D,1748)="",INDEX(Suivi!$C:$C,1748),INDEX(Suivi!$D:$D,1748)))</f>
        <v/>
      </c>
      <c r="D1715" s="29">
        <f>IF($B1715="","",INDEX(Suivi!$E:$E,1748))</f>
        <v/>
      </c>
      <c r="E1715" s="29">
        <f>IF($B1715="","",INDEX(Suivi!$F:$F,1748))</f>
        <v/>
      </c>
      <c r="F1715">
        <f>IF($B1715="","",INDEX(Suivi!$G:$G,1748))</f>
        <v/>
      </c>
      <c r="H1715">
        <f>IF(OR($B1715="",NOT(ISNUMBER($D1715))),"",IF($E1715&lt;$D$2,"Passé",IF($D1715&gt;$F$2,"À venir","Dans la période")))</f>
        <v/>
      </c>
      <c r="I1715">
        <f>IF(OR($B1715="",NOT(ISNUMBER($D1715))),"",IF(AND($E1715&lt;$D$2,$G1715&lt;&gt;"X",$F1715&lt;&gt;"Réalisé",$F1715&lt;&gt;"Clôturé"),"RETARD",""))</f>
        <v/>
      </c>
      <c r="J1715" s="29">
        <f>IF($B1715="","",IF(INDEX(Dossiers!$F$4:$F$63,33)="","",INDEX(Dossiers!$F$4:$F$63,33)))</f>
        <v/>
      </c>
      <c r="K1715" s="29">
        <f>IF($B1715="","",IF(INDEX(Dossiers!$G$4:$G$63,33)="","",INDEX(Dossiers!$G$4:$G$63,33)))</f>
        <v/>
      </c>
    </row>
    <row r="1716">
      <c r="A1716">
        <f>IF($B1716="","",INDEX(Dossiers!$E$4:$E$63,33))</f>
        <v/>
      </c>
      <c r="B1716">
        <f>IF(INDEX(Suivi!$B:$B,1749)="","",INDEX(Suivi!$B:$B,1749))</f>
        <v/>
      </c>
      <c r="C1716">
        <f>IF($B1716="","",IF(INDEX(Suivi!$D:$D,1749)="",INDEX(Suivi!$C:$C,1749),INDEX(Suivi!$D:$D,1749)))</f>
        <v/>
      </c>
      <c r="D1716" s="29">
        <f>IF($B1716="","",INDEX(Suivi!$E:$E,1749))</f>
        <v/>
      </c>
      <c r="E1716" s="29">
        <f>IF($B1716="","",INDEX(Suivi!$F:$F,1749))</f>
        <v/>
      </c>
      <c r="F1716">
        <f>IF($B1716="","",INDEX(Suivi!$G:$G,1749))</f>
        <v/>
      </c>
      <c r="H1716">
        <f>IF(OR($B1716="",NOT(ISNUMBER($D1716))),"",IF($E1716&lt;$D$2,"Passé",IF($D1716&gt;$F$2,"À venir","Dans la période")))</f>
        <v/>
      </c>
      <c r="I1716">
        <f>IF(OR($B1716="",NOT(ISNUMBER($D1716))),"",IF(AND($E1716&lt;$D$2,$G1716&lt;&gt;"X",$F1716&lt;&gt;"Réalisé",$F1716&lt;&gt;"Clôturé"),"RETARD",""))</f>
        <v/>
      </c>
      <c r="J1716" s="29">
        <f>IF($B1716="","",IF(INDEX(Dossiers!$F$4:$F$63,33)="","",INDEX(Dossiers!$F$4:$F$63,33)))</f>
        <v/>
      </c>
      <c r="K1716" s="29">
        <f>IF($B1716="","",IF(INDEX(Dossiers!$G$4:$G$63,33)="","",INDEX(Dossiers!$G$4:$G$63,33)))</f>
        <v/>
      </c>
    </row>
    <row r="1717">
      <c r="A1717">
        <f>IF($B1717="","",INDEX(Dossiers!$E$4:$E$63,33))</f>
        <v/>
      </c>
      <c r="B1717">
        <f>IF(INDEX(Suivi!$B:$B,1750)="","",INDEX(Suivi!$B:$B,1750))</f>
        <v/>
      </c>
      <c r="C1717">
        <f>IF($B1717="","",IF(INDEX(Suivi!$D:$D,1750)="",INDEX(Suivi!$C:$C,1750),INDEX(Suivi!$D:$D,1750)))</f>
        <v/>
      </c>
      <c r="D1717" s="29">
        <f>IF($B1717="","",INDEX(Suivi!$E:$E,1750))</f>
        <v/>
      </c>
      <c r="E1717" s="29">
        <f>IF($B1717="","",INDEX(Suivi!$F:$F,1750))</f>
        <v/>
      </c>
      <c r="F1717">
        <f>IF($B1717="","",INDEX(Suivi!$G:$G,1750))</f>
        <v/>
      </c>
      <c r="H1717">
        <f>IF(OR($B1717="",NOT(ISNUMBER($D1717))),"",IF($E1717&lt;$D$2,"Passé",IF($D1717&gt;$F$2,"À venir","Dans la période")))</f>
        <v/>
      </c>
      <c r="I1717">
        <f>IF(OR($B1717="",NOT(ISNUMBER($D1717))),"",IF(AND($E1717&lt;$D$2,$G1717&lt;&gt;"X",$F1717&lt;&gt;"Réalisé",$F1717&lt;&gt;"Clôturé"),"RETARD",""))</f>
        <v/>
      </c>
      <c r="J1717" s="29">
        <f>IF($B1717="","",IF(INDEX(Dossiers!$F$4:$F$63,33)="","",INDEX(Dossiers!$F$4:$F$63,33)))</f>
        <v/>
      </c>
      <c r="K1717" s="29">
        <f>IF($B1717="","",IF(INDEX(Dossiers!$G$4:$G$63,33)="","",INDEX(Dossiers!$G$4:$G$63,33)))</f>
        <v/>
      </c>
    </row>
    <row r="1718">
      <c r="A1718">
        <f>IF($B1718="","",INDEX(Dossiers!$E$4:$E$63,33))</f>
        <v/>
      </c>
      <c r="B1718">
        <f>IF(INDEX(Suivi!$B:$B,1751)="","",INDEX(Suivi!$B:$B,1751))</f>
        <v/>
      </c>
      <c r="C1718">
        <f>IF($B1718="","",IF(INDEX(Suivi!$D:$D,1751)="",INDEX(Suivi!$C:$C,1751),INDEX(Suivi!$D:$D,1751)))</f>
        <v/>
      </c>
      <c r="D1718" s="29">
        <f>IF($B1718="","",INDEX(Suivi!$E:$E,1751))</f>
        <v/>
      </c>
      <c r="E1718" s="29">
        <f>IF($B1718="","",INDEX(Suivi!$F:$F,1751))</f>
        <v/>
      </c>
      <c r="F1718">
        <f>IF($B1718="","",INDEX(Suivi!$G:$G,1751))</f>
        <v/>
      </c>
      <c r="H1718">
        <f>IF(OR($B1718="",NOT(ISNUMBER($D1718))),"",IF($E1718&lt;$D$2,"Passé",IF($D1718&gt;$F$2,"À venir","Dans la période")))</f>
        <v/>
      </c>
      <c r="I1718">
        <f>IF(OR($B1718="",NOT(ISNUMBER($D1718))),"",IF(AND($E1718&lt;$D$2,$G1718&lt;&gt;"X",$F1718&lt;&gt;"Réalisé",$F1718&lt;&gt;"Clôturé"),"RETARD",""))</f>
        <v/>
      </c>
      <c r="J1718" s="29">
        <f>IF($B1718="","",IF(INDEX(Dossiers!$F$4:$F$63,33)="","",INDEX(Dossiers!$F$4:$F$63,33)))</f>
        <v/>
      </c>
      <c r="K1718" s="29">
        <f>IF($B1718="","",IF(INDEX(Dossiers!$G$4:$G$63,33)="","",INDEX(Dossiers!$G$4:$G$63,33)))</f>
        <v/>
      </c>
    </row>
    <row r="1719">
      <c r="A1719">
        <f>IF($B1719="","",INDEX(Dossiers!$E$4:$E$63,33))</f>
        <v/>
      </c>
      <c r="B1719">
        <f>IF(INDEX(Suivi!$B:$B,1752)="","",INDEX(Suivi!$B:$B,1752))</f>
        <v/>
      </c>
      <c r="C1719">
        <f>IF($B1719="","",IF(INDEX(Suivi!$D:$D,1752)="",INDEX(Suivi!$C:$C,1752),INDEX(Suivi!$D:$D,1752)))</f>
        <v/>
      </c>
      <c r="D1719" s="29">
        <f>IF($B1719="","",INDEX(Suivi!$E:$E,1752))</f>
        <v/>
      </c>
      <c r="E1719" s="29">
        <f>IF($B1719="","",INDEX(Suivi!$F:$F,1752))</f>
        <v/>
      </c>
      <c r="F1719">
        <f>IF($B1719="","",INDEX(Suivi!$G:$G,1752))</f>
        <v/>
      </c>
      <c r="H1719">
        <f>IF(OR($B1719="",NOT(ISNUMBER($D1719))),"",IF($E1719&lt;$D$2,"Passé",IF($D1719&gt;$F$2,"À venir","Dans la période")))</f>
        <v/>
      </c>
      <c r="I1719">
        <f>IF(OR($B1719="",NOT(ISNUMBER($D1719))),"",IF(AND($E1719&lt;$D$2,$G1719&lt;&gt;"X",$F1719&lt;&gt;"Réalisé",$F1719&lt;&gt;"Clôturé"),"RETARD",""))</f>
        <v/>
      </c>
      <c r="J1719" s="29">
        <f>IF($B1719="","",IF(INDEX(Dossiers!$F$4:$F$63,33)="","",INDEX(Dossiers!$F$4:$F$63,33)))</f>
        <v/>
      </c>
      <c r="K1719" s="29">
        <f>IF($B1719="","",IF(INDEX(Dossiers!$G$4:$G$63,33)="","",INDEX(Dossiers!$G$4:$G$63,33)))</f>
        <v/>
      </c>
    </row>
    <row r="1720">
      <c r="A1720">
        <f>IF($B1720="","",INDEX(Dossiers!$E$4:$E$63,33))</f>
        <v/>
      </c>
      <c r="B1720">
        <f>IF(INDEX(Suivi!$B:$B,1753)="","",INDEX(Suivi!$B:$B,1753))</f>
        <v/>
      </c>
      <c r="C1720">
        <f>IF($B1720="","",IF(INDEX(Suivi!$D:$D,1753)="",INDEX(Suivi!$C:$C,1753),INDEX(Suivi!$D:$D,1753)))</f>
        <v/>
      </c>
      <c r="D1720" s="29">
        <f>IF($B1720="","",INDEX(Suivi!$E:$E,1753))</f>
        <v/>
      </c>
      <c r="E1720" s="29">
        <f>IF($B1720="","",INDEX(Suivi!$F:$F,1753))</f>
        <v/>
      </c>
      <c r="F1720">
        <f>IF($B1720="","",INDEX(Suivi!$G:$G,1753))</f>
        <v/>
      </c>
      <c r="H1720">
        <f>IF(OR($B1720="",NOT(ISNUMBER($D1720))),"",IF($E1720&lt;$D$2,"Passé",IF($D1720&gt;$F$2,"À venir","Dans la période")))</f>
        <v/>
      </c>
      <c r="I1720">
        <f>IF(OR($B1720="",NOT(ISNUMBER($D1720))),"",IF(AND($E1720&lt;$D$2,$G1720&lt;&gt;"X",$F1720&lt;&gt;"Réalisé",$F1720&lt;&gt;"Clôturé"),"RETARD",""))</f>
        <v/>
      </c>
      <c r="J1720" s="29">
        <f>IF($B1720="","",IF(INDEX(Dossiers!$F$4:$F$63,33)="","",INDEX(Dossiers!$F$4:$F$63,33)))</f>
        <v/>
      </c>
      <c r="K1720" s="29">
        <f>IF($B1720="","",IF(INDEX(Dossiers!$G$4:$G$63,33)="","",INDEX(Dossiers!$G$4:$G$63,33)))</f>
        <v/>
      </c>
    </row>
    <row r="1721">
      <c r="A1721">
        <f>IF($B1721="","",INDEX(Dossiers!$E$4:$E$63,33))</f>
        <v/>
      </c>
      <c r="B1721">
        <f>IF(INDEX(Suivi!$B:$B,1754)="","",INDEX(Suivi!$B:$B,1754))</f>
        <v/>
      </c>
      <c r="C1721">
        <f>IF($B1721="","",IF(INDEX(Suivi!$D:$D,1754)="",INDEX(Suivi!$C:$C,1754),INDEX(Suivi!$D:$D,1754)))</f>
        <v/>
      </c>
      <c r="D1721" s="29">
        <f>IF($B1721="","",INDEX(Suivi!$E:$E,1754))</f>
        <v/>
      </c>
      <c r="E1721" s="29">
        <f>IF($B1721="","",INDEX(Suivi!$F:$F,1754))</f>
        <v/>
      </c>
      <c r="F1721">
        <f>IF($B1721="","",INDEX(Suivi!$G:$G,1754))</f>
        <v/>
      </c>
      <c r="H1721">
        <f>IF(OR($B1721="",NOT(ISNUMBER($D1721))),"",IF($E1721&lt;$D$2,"Passé",IF($D1721&gt;$F$2,"À venir","Dans la période")))</f>
        <v/>
      </c>
      <c r="I1721">
        <f>IF(OR($B1721="",NOT(ISNUMBER($D1721))),"",IF(AND($E1721&lt;$D$2,$G1721&lt;&gt;"X",$F1721&lt;&gt;"Réalisé",$F1721&lt;&gt;"Clôturé"),"RETARD",""))</f>
        <v/>
      </c>
      <c r="J1721" s="29">
        <f>IF($B1721="","",IF(INDEX(Dossiers!$F$4:$F$63,33)="","",INDEX(Dossiers!$F$4:$F$63,33)))</f>
        <v/>
      </c>
      <c r="K1721" s="29">
        <f>IF($B1721="","",IF(INDEX(Dossiers!$G$4:$G$63,33)="","",INDEX(Dossiers!$G$4:$G$63,33)))</f>
        <v/>
      </c>
    </row>
    <row r="1722">
      <c r="A1722">
        <f>IF($B1722="","",INDEX(Dossiers!$E$4:$E$63,33))</f>
        <v/>
      </c>
      <c r="B1722">
        <f>IF(INDEX(Suivi!$B:$B,1755)="","",INDEX(Suivi!$B:$B,1755))</f>
        <v/>
      </c>
      <c r="C1722">
        <f>IF($B1722="","",IF(INDEX(Suivi!$D:$D,1755)="",INDEX(Suivi!$C:$C,1755),INDEX(Suivi!$D:$D,1755)))</f>
        <v/>
      </c>
      <c r="D1722" s="29">
        <f>IF($B1722="","",INDEX(Suivi!$E:$E,1755))</f>
        <v/>
      </c>
      <c r="E1722" s="29">
        <f>IF($B1722="","",INDEX(Suivi!$F:$F,1755))</f>
        <v/>
      </c>
      <c r="F1722">
        <f>IF($B1722="","",INDEX(Suivi!$G:$G,1755))</f>
        <v/>
      </c>
      <c r="H1722">
        <f>IF(OR($B1722="",NOT(ISNUMBER($D1722))),"",IF($E1722&lt;$D$2,"Passé",IF($D1722&gt;$F$2,"À venir","Dans la période")))</f>
        <v/>
      </c>
      <c r="I1722">
        <f>IF(OR($B1722="",NOT(ISNUMBER($D1722))),"",IF(AND($E1722&lt;$D$2,$G1722&lt;&gt;"X",$F1722&lt;&gt;"Réalisé",$F1722&lt;&gt;"Clôturé"),"RETARD",""))</f>
        <v/>
      </c>
      <c r="J1722" s="29">
        <f>IF($B1722="","",IF(INDEX(Dossiers!$F$4:$F$63,33)="","",INDEX(Dossiers!$F$4:$F$63,33)))</f>
        <v/>
      </c>
      <c r="K1722" s="29">
        <f>IF($B1722="","",IF(INDEX(Dossiers!$G$4:$G$63,33)="","",INDEX(Dossiers!$G$4:$G$63,33)))</f>
        <v/>
      </c>
    </row>
    <row r="1723">
      <c r="A1723">
        <f>IF($B1723="","",INDEX(Dossiers!$E$4:$E$63,33))</f>
        <v/>
      </c>
      <c r="B1723">
        <f>IF(INDEX(Suivi!$B:$B,1756)="","",INDEX(Suivi!$B:$B,1756))</f>
        <v/>
      </c>
      <c r="C1723">
        <f>IF($B1723="","",IF(INDEX(Suivi!$D:$D,1756)="",INDEX(Suivi!$C:$C,1756),INDEX(Suivi!$D:$D,1756)))</f>
        <v/>
      </c>
      <c r="D1723" s="29">
        <f>IF($B1723="","",INDEX(Suivi!$E:$E,1756))</f>
        <v/>
      </c>
      <c r="E1723" s="29">
        <f>IF($B1723="","",INDEX(Suivi!$F:$F,1756))</f>
        <v/>
      </c>
      <c r="F1723">
        <f>IF($B1723="","",INDEX(Suivi!$G:$G,1756))</f>
        <v/>
      </c>
      <c r="H1723">
        <f>IF(OR($B1723="",NOT(ISNUMBER($D1723))),"",IF($E1723&lt;$D$2,"Passé",IF($D1723&gt;$F$2,"À venir","Dans la période")))</f>
        <v/>
      </c>
      <c r="I1723">
        <f>IF(OR($B1723="",NOT(ISNUMBER($D1723))),"",IF(AND($E1723&lt;$D$2,$G1723&lt;&gt;"X",$F1723&lt;&gt;"Réalisé",$F1723&lt;&gt;"Clôturé"),"RETARD",""))</f>
        <v/>
      </c>
      <c r="J1723" s="29">
        <f>IF($B1723="","",IF(INDEX(Dossiers!$F$4:$F$63,33)="","",INDEX(Dossiers!$F$4:$F$63,33)))</f>
        <v/>
      </c>
      <c r="K1723" s="29">
        <f>IF($B1723="","",IF(INDEX(Dossiers!$G$4:$G$63,33)="","",INDEX(Dossiers!$G$4:$G$63,33)))</f>
        <v/>
      </c>
    </row>
    <row r="1724">
      <c r="A1724">
        <f>IF($B1724="","",INDEX(Dossiers!$E$4:$E$63,33))</f>
        <v/>
      </c>
      <c r="B1724">
        <f>IF(INDEX(Suivi!$B:$B,1757)="","",INDEX(Suivi!$B:$B,1757))</f>
        <v/>
      </c>
      <c r="C1724">
        <f>IF($B1724="","",IF(INDEX(Suivi!$D:$D,1757)="",INDEX(Suivi!$C:$C,1757),INDEX(Suivi!$D:$D,1757)))</f>
        <v/>
      </c>
      <c r="D1724" s="29">
        <f>IF($B1724="","",INDEX(Suivi!$E:$E,1757))</f>
        <v/>
      </c>
      <c r="E1724" s="29">
        <f>IF($B1724="","",INDEX(Suivi!$F:$F,1757))</f>
        <v/>
      </c>
      <c r="F1724">
        <f>IF($B1724="","",INDEX(Suivi!$G:$G,1757))</f>
        <v/>
      </c>
      <c r="H1724">
        <f>IF(OR($B1724="",NOT(ISNUMBER($D1724))),"",IF($E1724&lt;$D$2,"Passé",IF($D1724&gt;$F$2,"À venir","Dans la période")))</f>
        <v/>
      </c>
      <c r="I1724">
        <f>IF(OR($B1724="",NOT(ISNUMBER($D1724))),"",IF(AND($E1724&lt;$D$2,$G1724&lt;&gt;"X",$F1724&lt;&gt;"Réalisé",$F1724&lt;&gt;"Clôturé"),"RETARD",""))</f>
        <v/>
      </c>
      <c r="J1724" s="29">
        <f>IF($B1724="","",IF(INDEX(Dossiers!$F$4:$F$63,33)="","",INDEX(Dossiers!$F$4:$F$63,33)))</f>
        <v/>
      </c>
      <c r="K1724" s="29">
        <f>IF($B1724="","",IF(INDEX(Dossiers!$G$4:$G$63,33)="","",INDEX(Dossiers!$G$4:$G$63,33)))</f>
        <v/>
      </c>
    </row>
    <row r="1725">
      <c r="A1725">
        <f>IF($B1725="","",INDEX(Dossiers!$E$4:$E$63,33))</f>
        <v/>
      </c>
      <c r="B1725">
        <f>IF(INDEX(Suivi!$B:$B,1758)="","",INDEX(Suivi!$B:$B,1758))</f>
        <v/>
      </c>
      <c r="C1725">
        <f>IF($B1725="","",IF(INDEX(Suivi!$D:$D,1758)="",INDEX(Suivi!$C:$C,1758),INDEX(Suivi!$D:$D,1758)))</f>
        <v/>
      </c>
      <c r="D1725" s="29">
        <f>IF($B1725="","",INDEX(Suivi!$E:$E,1758))</f>
        <v/>
      </c>
      <c r="E1725" s="29">
        <f>IF($B1725="","",INDEX(Suivi!$F:$F,1758))</f>
        <v/>
      </c>
      <c r="F1725">
        <f>IF($B1725="","",INDEX(Suivi!$G:$G,1758))</f>
        <v/>
      </c>
      <c r="H1725">
        <f>IF(OR($B1725="",NOT(ISNUMBER($D1725))),"",IF($E1725&lt;$D$2,"Passé",IF($D1725&gt;$F$2,"À venir","Dans la période")))</f>
        <v/>
      </c>
      <c r="I1725">
        <f>IF(OR($B1725="",NOT(ISNUMBER($D1725))),"",IF(AND($E1725&lt;$D$2,$G1725&lt;&gt;"X",$F1725&lt;&gt;"Réalisé",$F1725&lt;&gt;"Clôturé"),"RETARD",""))</f>
        <v/>
      </c>
      <c r="J1725" s="29">
        <f>IF($B1725="","",IF(INDEX(Dossiers!$F$4:$F$63,33)="","",INDEX(Dossiers!$F$4:$F$63,33)))</f>
        <v/>
      </c>
      <c r="K1725" s="29">
        <f>IF($B1725="","",IF(INDEX(Dossiers!$G$4:$G$63,33)="","",INDEX(Dossiers!$G$4:$G$63,33)))</f>
        <v/>
      </c>
    </row>
    <row r="1726">
      <c r="A1726">
        <f>IF($B1726="","",INDEX(Dossiers!$E$4:$E$63,33))</f>
        <v/>
      </c>
      <c r="B1726">
        <f>IF(INDEX(Suivi!$B:$B,1759)="","",INDEX(Suivi!$B:$B,1759))</f>
        <v/>
      </c>
      <c r="C1726">
        <f>IF($B1726="","",IF(INDEX(Suivi!$D:$D,1759)="",INDEX(Suivi!$C:$C,1759),INDEX(Suivi!$D:$D,1759)))</f>
        <v/>
      </c>
      <c r="D1726" s="29">
        <f>IF($B1726="","",INDEX(Suivi!$E:$E,1759))</f>
        <v/>
      </c>
      <c r="E1726" s="29">
        <f>IF($B1726="","",INDEX(Suivi!$F:$F,1759))</f>
        <v/>
      </c>
      <c r="F1726">
        <f>IF($B1726="","",INDEX(Suivi!$G:$G,1759))</f>
        <v/>
      </c>
      <c r="H1726">
        <f>IF(OR($B1726="",NOT(ISNUMBER($D1726))),"",IF($E1726&lt;$D$2,"Passé",IF($D1726&gt;$F$2,"À venir","Dans la période")))</f>
        <v/>
      </c>
      <c r="I1726">
        <f>IF(OR($B1726="",NOT(ISNUMBER($D1726))),"",IF(AND($E1726&lt;$D$2,$G1726&lt;&gt;"X",$F1726&lt;&gt;"Réalisé",$F1726&lt;&gt;"Clôturé"),"RETARD",""))</f>
        <v/>
      </c>
      <c r="J1726" s="29">
        <f>IF($B1726="","",IF(INDEX(Dossiers!$F$4:$F$63,33)="","",INDEX(Dossiers!$F$4:$F$63,33)))</f>
        <v/>
      </c>
      <c r="K1726" s="29">
        <f>IF($B1726="","",IF(INDEX(Dossiers!$G$4:$G$63,33)="","",INDEX(Dossiers!$G$4:$G$63,33)))</f>
        <v/>
      </c>
    </row>
    <row r="1727">
      <c r="A1727">
        <f>IF($B1727="","",INDEX(Dossiers!$E$4:$E$63,33))</f>
        <v/>
      </c>
      <c r="B1727">
        <f>IF(INDEX(Suivi!$B:$B,1760)="","",INDEX(Suivi!$B:$B,1760))</f>
        <v/>
      </c>
      <c r="C1727">
        <f>IF($B1727="","",IF(INDEX(Suivi!$D:$D,1760)="",INDEX(Suivi!$C:$C,1760),INDEX(Suivi!$D:$D,1760)))</f>
        <v/>
      </c>
      <c r="D1727" s="29">
        <f>IF($B1727="","",INDEX(Suivi!$E:$E,1760))</f>
        <v/>
      </c>
      <c r="E1727" s="29">
        <f>IF($B1727="","",INDEX(Suivi!$F:$F,1760))</f>
        <v/>
      </c>
      <c r="F1727">
        <f>IF($B1727="","",INDEX(Suivi!$G:$G,1760))</f>
        <v/>
      </c>
      <c r="H1727">
        <f>IF(OR($B1727="",NOT(ISNUMBER($D1727))),"",IF($E1727&lt;$D$2,"Passé",IF($D1727&gt;$F$2,"À venir","Dans la période")))</f>
        <v/>
      </c>
      <c r="I1727">
        <f>IF(OR($B1727="",NOT(ISNUMBER($D1727))),"",IF(AND($E1727&lt;$D$2,$G1727&lt;&gt;"X",$F1727&lt;&gt;"Réalisé",$F1727&lt;&gt;"Clôturé"),"RETARD",""))</f>
        <v/>
      </c>
      <c r="J1727" s="29">
        <f>IF($B1727="","",IF(INDEX(Dossiers!$F$4:$F$63,33)="","",INDEX(Dossiers!$F$4:$F$63,33)))</f>
        <v/>
      </c>
      <c r="K1727" s="29">
        <f>IF($B1727="","",IF(INDEX(Dossiers!$G$4:$G$63,33)="","",INDEX(Dossiers!$G$4:$G$63,33)))</f>
        <v/>
      </c>
    </row>
    <row r="1728">
      <c r="A1728">
        <f>IF($B1728="","",INDEX(Dossiers!$E$4:$E$63,33))</f>
        <v/>
      </c>
      <c r="B1728">
        <f>IF(INDEX(Suivi!$B:$B,1761)="","",INDEX(Suivi!$B:$B,1761))</f>
        <v/>
      </c>
      <c r="C1728">
        <f>IF($B1728="","",IF(INDEX(Suivi!$D:$D,1761)="",INDEX(Suivi!$C:$C,1761),INDEX(Suivi!$D:$D,1761)))</f>
        <v/>
      </c>
      <c r="D1728" s="29">
        <f>IF($B1728="","",INDEX(Suivi!$E:$E,1761))</f>
        <v/>
      </c>
      <c r="E1728" s="29">
        <f>IF($B1728="","",INDEX(Suivi!$F:$F,1761))</f>
        <v/>
      </c>
      <c r="F1728">
        <f>IF($B1728="","",INDEX(Suivi!$G:$G,1761))</f>
        <v/>
      </c>
      <c r="H1728">
        <f>IF(OR($B1728="",NOT(ISNUMBER($D1728))),"",IF($E1728&lt;$D$2,"Passé",IF($D1728&gt;$F$2,"À venir","Dans la période")))</f>
        <v/>
      </c>
      <c r="I1728">
        <f>IF(OR($B1728="",NOT(ISNUMBER($D1728))),"",IF(AND($E1728&lt;$D$2,$G1728&lt;&gt;"X",$F1728&lt;&gt;"Réalisé",$F1728&lt;&gt;"Clôturé"),"RETARD",""))</f>
        <v/>
      </c>
      <c r="J1728" s="29">
        <f>IF($B1728="","",IF(INDEX(Dossiers!$F$4:$F$63,33)="","",INDEX(Dossiers!$F$4:$F$63,33)))</f>
        <v/>
      </c>
      <c r="K1728" s="29">
        <f>IF($B1728="","",IF(INDEX(Dossiers!$G$4:$G$63,33)="","",INDEX(Dossiers!$G$4:$G$63,33)))</f>
        <v/>
      </c>
    </row>
    <row r="1729">
      <c r="A1729">
        <f>IF($B1729="","",INDEX(Dossiers!$E$4:$E$63,33))</f>
        <v/>
      </c>
      <c r="B1729">
        <f>IF(INDEX(Suivi!$B:$B,1762)="","",INDEX(Suivi!$B:$B,1762))</f>
        <v/>
      </c>
      <c r="C1729">
        <f>IF($B1729="","",IF(INDEX(Suivi!$D:$D,1762)="",INDEX(Suivi!$C:$C,1762),INDEX(Suivi!$D:$D,1762)))</f>
        <v/>
      </c>
      <c r="D1729" s="29">
        <f>IF($B1729="","",INDEX(Suivi!$E:$E,1762))</f>
        <v/>
      </c>
      <c r="E1729" s="29">
        <f>IF($B1729="","",INDEX(Suivi!$F:$F,1762))</f>
        <v/>
      </c>
      <c r="F1729">
        <f>IF($B1729="","",INDEX(Suivi!$G:$G,1762))</f>
        <v/>
      </c>
      <c r="H1729">
        <f>IF(OR($B1729="",NOT(ISNUMBER($D1729))),"",IF($E1729&lt;$D$2,"Passé",IF($D1729&gt;$F$2,"À venir","Dans la période")))</f>
        <v/>
      </c>
      <c r="I1729">
        <f>IF(OR($B1729="",NOT(ISNUMBER($D1729))),"",IF(AND($E1729&lt;$D$2,$G1729&lt;&gt;"X",$F1729&lt;&gt;"Réalisé",$F1729&lt;&gt;"Clôturé"),"RETARD",""))</f>
        <v/>
      </c>
      <c r="J1729" s="29">
        <f>IF($B1729="","",IF(INDEX(Dossiers!$F$4:$F$63,33)="","",INDEX(Dossiers!$F$4:$F$63,33)))</f>
        <v/>
      </c>
      <c r="K1729" s="29">
        <f>IF($B1729="","",IF(INDEX(Dossiers!$G$4:$G$63,33)="","",INDEX(Dossiers!$G$4:$G$63,33)))</f>
        <v/>
      </c>
    </row>
    <row r="1730">
      <c r="A1730">
        <f>IF($B1730="","",INDEX(Dossiers!$E$4:$E$63,33))</f>
        <v/>
      </c>
      <c r="B1730">
        <f>IF(INDEX(Suivi!$B:$B,1763)="","",INDEX(Suivi!$B:$B,1763))</f>
        <v/>
      </c>
      <c r="C1730">
        <f>IF($B1730="","",IF(INDEX(Suivi!$D:$D,1763)="",INDEX(Suivi!$C:$C,1763),INDEX(Suivi!$D:$D,1763)))</f>
        <v/>
      </c>
      <c r="D1730" s="29">
        <f>IF($B1730="","",INDEX(Suivi!$E:$E,1763))</f>
        <v/>
      </c>
      <c r="E1730" s="29">
        <f>IF($B1730="","",INDEX(Suivi!$F:$F,1763))</f>
        <v/>
      </c>
      <c r="F1730">
        <f>IF($B1730="","",INDEX(Suivi!$G:$G,1763))</f>
        <v/>
      </c>
      <c r="H1730">
        <f>IF(OR($B1730="",NOT(ISNUMBER($D1730))),"",IF($E1730&lt;$D$2,"Passé",IF($D1730&gt;$F$2,"À venir","Dans la période")))</f>
        <v/>
      </c>
      <c r="I1730">
        <f>IF(OR($B1730="",NOT(ISNUMBER($D1730))),"",IF(AND($E1730&lt;$D$2,$G1730&lt;&gt;"X",$F1730&lt;&gt;"Réalisé",$F1730&lt;&gt;"Clôturé"),"RETARD",""))</f>
        <v/>
      </c>
      <c r="J1730" s="29">
        <f>IF($B1730="","",IF(INDEX(Dossiers!$F$4:$F$63,33)="","",INDEX(Dossiers!$F$4:$F$63,33)))</f>
        <v/>
      </c>
      <c r="K1730" s="29">
        <f>IF($B1730="","",IF(INDEX(Dossiers!$G$4:$G$63,33)="","",INDEX(Dossiers!$G$4:$G$63,33)))</f>
        <v/>
      </c>
    </row>
    <row r="1731">
      <c r="A1731">
        <f>IF($B1731="","",INDEX(Dossiers!$E$4:$E$63,33))</f>
        <v/>
      </c>
      <c r="B1731">
        <f>IF(INDEX(Suivi!$B:$B,1764)="","",INDEX(Suivi!$B:$B,1764))</f>
        <v/>
      </c>
      <c r="C1731">
        <f>IF($B1731="","",IF(INDEX(Suivi!$D:$D,1764)="",INDEX(Suivi!$C:$C,1764),INDEX(Suivi!$D:$D,1764)))</f>
        <v/>
      </c>
      <c r="D1731" s="29">
        <f>IF($B1731="","",INDEX(Suivi!$E:$E,1764))</f>
        <v/>
      </c>
      <c r="E1731" s="29">
        <f>IF($B1731="","",INDEX(Suivi!$F:$F,1764))</f>
        <v/>
      </c>
      <c r="F1731">
        <f>IF($B1731="","",INDEX(Suivi!$G:$G,1764))</f>
        <v/>
      </c>
      <c r="H1731">
        <f>IF(OR($B1731="",NOT(ISNUMBER($D1731))),"",IF($E1731&lt;$D$2,"Passé",IF($D1731&gt;$F$2,"À venir","Dans la période")))</f>
        <v/>
      </c>
      <c r="I1731">
        <f>IF(OR($B1731="",NOT(ISNUMBER($D1731))),"",IF(AND($E1731&lt;$D$2,$G1731&lt;&gt;"X",$F1731&lt;&gt;"Réalisé",$F1731&lt;&gt;"Clôturé"),"RETARD",""))</f>
        <v/>
      </c>
      <c r="J1731" s="29">
        <f>IF($B1731="","",IF(INDEX(Dossiers!$F$4:$F$63,33)="","",INDEX(Dossiers!$F$4:$F$63,33)))</f>
        <v/>
      </c>
      <c r="K1731" s="29">
        <f>IF($B1731="","",IF(INDEX(Dossiers!$G$4:$G$63,33)="","",INDEX(Dossiers!$G$4:$G$63,33)))</f>
        <v/>
      </c>
    </row>
    <row r="1732">
      <c r="A1732">
        <f>IF($B1732="","",INDEX(Dossiers!$E$4:$E$63,33))</f>
        <v/>
      </c>
      <c r="B1732">
        <f>IF(INDEX(Suivi!$B:$B,1765)="","",INDEX(Suivi!$B:$B,1765))</f>
        <v/>
      </c>
      <c r="C1732">
        <f>IF($B1732="","",IF(INDEX(Suivi!$D:$D,1765)="",INDEX(Suivi!$C:$C,1765),INDEX(Suivi!$D:$D,1765)))</f>
        <v/>
      </c>
      <c r="D1732" s="29">
        <f>IF($B1732="","",INDEX(Suivi!$E:$E,1765))</f>
        <v/>
      </c>
      <c r="E1732" s="29">
        <f>IF($B1732="","",INDEX(Suivi!$F:$F,1765))</f>
        <v/>
      </c>
      <c r="F1732">
        <f>IF($B1732="","",INDEX(Suivi!$G:$G,1765))</f>
        <v/>
      </c>
      <c r="H1732">
        <f>IF(OR($B1732="",NOT(ISNUMBER($D1732))),"",IF($E1732&lt;$D$2,"Passé",IF($D1732&gt;$F$2,"À venir","Dans la période")))</f>
        <v/>
      </c>
      <c r="I1732">
        <f>IF(OR($B1732="",NOT(ISNUMBER($D1732))),"",IF(AND($E1732&lt;$D$2,$G1732&lt;&gt;"X",$F1732&lt;&gt;"Réalisé",$F1732&lt;&gt;"Clôturé"),"RETARD",""))</f>
        <v/>
      </c>
      <c r="J1732" s="29">
        <f>IF($B1732="","",IF(INDEX(Dossiers!$F$4:$F$63,33)="","",INDEX(Dossiers!$F$4:$F$63,33)))</f>
        <v/>
      </c>
      <c r="K1732" s="29">
        <f>IF($B1732="","",IF(INDEX(Dossiers!$G$4:$G$63,33)="","",INDEX(Dossiers!$G$4:$G$63,33)))</f>
        <v/>
      </c>
    </row>
    <row r="1733">
      <c r="A1733">
        <f>IF($B1733="","",INDEX(Dossiers!$E$4:$E$63,33))</f>
        <v/>
      </c>
      <c r="B1733">
        <f>IF(INDEX(Suivi!$B:$B,1766)="","",INDEX(Suivi!$B:$B,1766))</f>
        <v/>
      </c>
      <c r="C1733">
        <f>IF($B1733="","",IF(INDEX(Suivi!$D:$D,1766)="",INDEX(Suivi!$C:$C,1766),INDEX(Suivi!$D:$D,1766)))</f>
        <v/>
      </c>
      <c r="D1733" s="29">
        <f>IF($B1733="","",INDEX(Suivi!$E:$E,1766))</f>
        <v/>
      </c>
      <c r="E1733" s="29">
        <f>IF($B1733="","",INDEX(Suivi!$F:$F,1766))</f>
        <v/>
      </c>
      <c r="F1733">
        <f>IF($B1733="","",INDEX(Suivi!$G:$G,1766))</f>
        <v/>
      </c>
      <c r="H1733">
        <f>IF(OR($B1733="",NOT(ISNUMBER($D1733))),"",IF($E1733&lt;$D$2,"Passé",IF($D1733&gt;$F$2,"À venir","Dans la période")))</f>
        <v/>
      </c>
      <c r="I1733">
        <f>IF(OR($B1733="",NOT(ISNUMBER($D1733))),"",IF(AND($E1733&lt;$D$2,$G1733&lt;&gt;"X",$F1733&lt;&gt;"Réalisé",$F1733&lt;&gt;"Clôturé"),"RETARD",""))</f>
        <v/>
      </c>
      <c r="J1733" s="29">
        <f>IF($B1733="","",IF(INDEX(Dossiers!$F$4:$F$63,33)="","",INDEX(Dossiers!$F$4:$F$63,33)))</f>
        <v/>
      </c>
      <c r="K1733" s="29">
        <f>IF($B1733="","",IF(INDEX(Dossiers!$G$4:$G$63,33)="","",INDEX(Dossiers!$G$4:$G$63,33)))</f>
        <v/>
      </c>
    </row>
    <row r="1734">
      <c r="A1734">
        <f>IF($B1734="","",INDEX(Dossiers!$E$4:$E$63,33))</f>
        <v/>
      </c>
      <c r="B1734">
        <f>IF(INDEX(Suivi!$B:$B,1767)="","",INDEX(Suivi!$B:$B,1767))</f>
        <v/>
      </c>
      <c r="C1734">
        <f>IF($B1734="","",IF(INDEX(Suivi!$D:$D,1767)="",INDEX(Suivi!$C:$C,1767),INDEX(Suivi!$D:$D,1767)))</f>
        <v/>
      </c>
      <c r="D1734" s="29">
        <f>IF($B1734="","",INDEX(Suivi!$E:$E,1767))</f>
        <v/>
      </c>
      <c r="E1734" s="29">
        <f>IF($B1734="","",INDEX(Suivi!$F:$F,1767))</f>
        <v/>
      </c>
      <c r="F1734">
        <f>IF($B1734="","",INDEX(Suivi!$G:$G,1767))</f>
        <v/>
      </c>
      <c r="H1734">
        <f>IF(OR($B1734="",NOT(ISNUMBER($D1734))),"",IF($E1734&lt;$D$2,"Passé",IF($D1734&gt;$F$2,"À venir","Dans la période")))</f>
        <v/>
      </c>
      <c r="I1734">
        <f>IF(OR($B1734="",NOT(ISNUMBER($D1734))),"",IF(AND($E1734&lt;$D$2,$G1734&lt;&gt;"X",$F1734&lt;&gt;"Réalisé",$F1734&lt;&gt;"Clôturé"),"RETARD",""))</f>
        <v/>
      </c>
      <c r="J1734" s="29">
        <f>IF($B1734="","",IF(INDEX(Dossiers!$F$4:$F$63,33)="","",INDEX(Dossiers!$F$4:$F$63,33)))</f>
        <v/>
      </c>
      <c r="K1734" s="29">
        <f>IF($B1734="","",IF(INDEX(Dossiers!$G$4:$G$63,33)="","",INDEX(Dossiers!$G$4:$G$63,33)))</f>
        <v/>
      </c>
    </row>
    <row r="1735">
      <c r="A1735">
        <f>IF($B1735="","",INDEX(Dossiers!$E$4:$E$63,33))</f>
        <v/>
      </c>
      <c r="B1735">
        <f>IF(INDEX(Suivi!$B:$B,1768)="","",INDEX(Suivi!$B:$B,1768))</f>
        <v/>
      </c>
      <c r="C1735">
        <f>IF($B1735="","",IF(INDEX(Suivi!$D:$D,1768)="",INDEX(Suivi!$C:$C,1768),INDEX(Suivi!$D:$D,1768)))</f>
        <v/>
      </c>
      <c r="D1735" s="29">
        <f>IF($B1735="","",INDEX(Suivi!$E:$E,1768))</f>
        <v/>
      </c>
      <c r="E1735" s="29">
        <f>IF($B1735="","",INDEX(Suivi!$F:$F,1768))</f>
        <v/>
      </c>
      <c r="F1735">
        <f>IF($B1735="","",INDEX(Suivi!$G:$G,1768))</f>
        <v/>
      </c>
      <c r="H1735">
        <f>IF(OR($B1735="",NOT(ISNUMBER($D1735))),"",IF($E1735&lt;$D$2,"Passé",IF($D1735&gt;$F$2,"À venir","Dans la période")))</f>
        <v/>
      </c>
      <c r="I1735">
        <f>IF(OR($B1735="",NOT(ISNUMBER($D1735))),"",IF(AND($E1735&lt;$D$2,$G1735&lt;&gt;"X",$F1735&lt;&gt;"Réalisé",$F1735&lt;&gt;"Clôturé"),"RETARD",""))</f>
        <v/>
      </c>
      <c r="J1735" s="29">
        <f>IF($B1735="","",IF(INDEX(Dossiers!$F$4:$F$63,33)="","",INDEX(Dossiers!$F$4:$F$63,33)))</f>
        <v/>
      </c>
      <c r="K1735" s="29">
        <f>IF($B1735="","",IF(INDEX(Dossiers!$G$4:$G$63,33)="","",INDEX(Dossiers!$G$4:$G$63,33)))</f>
        <v/>
      </c>
    </row>
    <row r="1736">
      <c r="A1736">
        <f>IF($B1736="","",INDEX(Dossiers!$E$4:$E$63,33))</f>
        <v/>
      </c>
      <c r="B1736">
        <f>IF(INDEX(Suivi!$B:$B,1769)="","",INDEX(Suivi!$B:$B,1769))</f>
        <v/>
      </c>
      <c r="C1736">
        <f>IF($B1736="","",IF(INDEX(Suivi!$D:$D,1769)="",INDEX(Suivi!$C:$C,1769),INDEX(Suivi!$D:$D,1769)))</f>
        <v/>
      </c>
      <c r="D1736" s="29">
        <f>IF($B1736="","",INDEX(Suivi!$E:$E,1769))</f>
        <v/>
      </c>
      <c r="E1736" s="29">
        <f>IF($B1736="","",INDEX(Suivi!$F:$F,1769))</f>
        <v/>
      </c>
      <c r="F1736">
        <f>IF($B1736="","",INDEX(Suivi!$G:$G,1769))</f>
        <v/>
      </c>
      <c r="H1736">
        <f>IF(OR($B1736="",NOT(ISNUMBER($D1736))),"",IF($E1736&lt;$D$2,"Passé",IF($D1736&gt;$F$2,"À venir","Dans la période")))</f>
        <v/>
      </c>
      <c r="I1736">
        <f>IF(OR($B1736="",NOT(ISNUMBER($D1736))),"",IF(AND($E1736&lt;$D$2,$G1736&lt;&gt;"X",$F1736&lt;&gt;"Réalisé",$F1736&lt;&gt;"Clôturé"),"RETARD",""))</f>
        <v/>
      </c>
      <c r="J1736" s="29">
        <f>IF($B1736="","",IF(INDEX(Dossiers!$F$4:$F$63,33)="","",INDEX(Dossiers!$F$4:$F$63,33)))</f>
        <v/>
      </c>
      <c r="K1736" s="29">
        <f>IF($B1736="","",IF(INDEX(Dossiers!$G$4:$G$63,33)="","",INDEX(Dossiers!$G$4:$G$63,33)))</f>
        <v/>
      </c>
    </row>
    <row r="1737">
      <c r="A1737">
        <f>IF($B1737="","",INDEX(Dossiers!$E$4:$E$63,33))</f>
        <v/>
      </c>
      <c r="B1737">
        <f>IF(INDEX(Suivi!$B:$B,1770)="","",INDEX(Suivi!$B:$B,1770))</f>
        <v/>
      </c>
      <c r="C1737">
        <f>IF($B1737="","",IF(INDEX(Suivi!$D:$D,1770)="",INDEX(Suivi!$C:$C,1770),INDEX(Suivi!$D:$D,1770)))</f>
        <v/>
      </c>
      <c r="D1737" s="29">
        <f>IF($B1737="","",INDEX(Suivi!$E:$E,1770))</f>
        <v/>
      </c>
      <c r="E1737" s="29">
        <f>IF($B1737="","",INDEX(Suivi!$F:$F,1770))</f>
        <v/>
      </c>
      <c r="F1737">
        <f>IF($B1737="","",INDEX(Suivi!$G:$G,1770))</f>
        <v/>
      </c>
      <c r="H1737">
        <f>IF(OR($B1737="",NOT(ISNUMBER($D1737))),"",IF($E1737&lt;$D$2,"Passé",IF($D1737&gt;$F$2,"À venir","Dans la période")))</f>
        <v/>
      </c>
      <c r="I1737">
        <f>IF(OR($B1737="",NOT(ISNUMBER($D1737))),"",IF(AND($E1737&lt;$D$2,$G1737&lt;&gt;"X",$F1737&lt;&gt;"Réalisé",$F1737&lt;&gt;"Clôturé"),"RETARD",""))</f>
        <v/>
      </c>
      <c r="J1737" s="29">
        <f>IF($B1737="","",IF(INDEX(Dossiers!$F$4:$F$63,33)="","",INDEX(Dossiers!$F$4:$F$63,33)))</f>
        <v/>
      </c>
      <c r="K1737" s="29">
        <f>IF($B1737="","",IF(INDEX(Dossiers!$G$4:$G$63,33)="","",INDEX(Dossiers!$G$4:$G$63,33)))</f>
        <v/>
      </c>
    </row>
    <row r="1738">
      <c r="A1738">
        <f>IF($B1738="","",INDEX(Dossiers!$E$4:$E$63,33))</f>
        <v/>
      </c>
      <c r="B1738">
        <f>IF(INDEX(Suivi!$B:$B,1771)="","",INDEX(Suivi!$B:$B,1771))</f>
        <v/>
      </c>
      <c r="C1738">
        <f>IF($B1738="","",IF(INDEX(Suivi!$D:$D,1771)="",INDEX(Suivi!$C:$C,1771),INDEX(Suivi!$D:$D,1771)))</f>
        <v/>
      </c>
      <c r="D1738" s="29">
        <f>IF($B1738="","",INDEX(Suivi!$E:$E,1771))</f>
        <v/>
      </c>
      <c r="E1738" s="29">
        <f>IF($B1738="","",INDEX(Suivi!$F:$F,1771))</f>
        <v/>
      </c>
      <c r="F1738">
        <f>IF($B1738="","",INDEX(Suivi!$G:$G,1771))</f>
        <v/>
      </c>
      <c r="H1738">
        <f>IF(OR($B1738="",NOT(ISNUMBER($D1738))),"",IF($E1738&lt;$D$2,"Passé",IF($D1738&gt;$F$2,"À venir","Dans la période")))</f>
        <v/>
      </c>
      <c r="I1738">
        <f>IF(OR($B1738="",NOT(ISNUMBER($D1738))),"",IF(AND($E1738&lt;$D$2,$G1738&lt;&gt;"X",$F1738&lt;&gt;"Réalisé",$F1738&lt;&gt;"Clôturé"),"RETARD",""))</f>
        <v/>
      </c>
      <c r="J1738" s="29">
        <f>IF($B1738="","",IF(INDEX(Dossiers!$F$4:$F$63,33)="","",INDEX(Dossiers!$F$4:$F$63,33)))</f>
        <v/>
      </c>
      <c r="K1738" s="29">
        <f>IF($B1738="","",IF(INDEX(Dossiers!$G$4:$G$63,33)="","",INDEX(Dossiers!$G$4:$G$63,33)))</f>
        <v/>
      </c>
    </row>
    <row r="1739">
      <c r="A1739">
        <f>IF($B1739="","",INDEX(Dossiers!$E$4:$E$63,33))</f>
        <v/>
      </c>
      <c r="B1739">
        <f>IF(INDEX(Suivi!$B:$B,1772)="","",INDEX(Suivi!$B:$B,1772))</f>
        <v/>
      </c>
      <c r="C1739">
        <f>IF($B1739="","",IF(INDEX(Suivi!$D:$D,1772)="",INDEX(Suivi!$C:$C,1772),INDEX(Suivi!$D:$D,1772)))</f>
        <v/>
      </c>
      <c r="D1739" s="29">
        <f>IF($B1739="","",INDEX(Suivi!$E:$E,1772))</f>
        <v/>
      </c>
      <c r="E1739" s="29">
        <f>IF($B1739="","",INDEX(Suivi!$F:$F,1772))</f>
        <v/>
      </c>
      <c r="F1739">
        <f>IF($B1739="","",INDEX(Suivi!$G:$G,1772))</f>
        <v/>
      </c>
      <c r="H1739">
        <f>IF(OR($B1739="",NOT(ISNUMBER($D1739))),"",IF($E1739&lt;$D$2,"Passé",IF($D1739&gt;$F$2,"À venir","Dans la période")))</f>
        <v/>
      </c>
      <c r="I1739">
        <f>IF(OR($B1739="",NOT(ISNUMBER($D1739))),"",IF(AND($E1739&lt;$D$2,$G1739&lt;&gt;"X",$F1739&lt;&gt;"Réalisé",$F1739&lt;&gt;"Clôturé"),"RETARD",""))</f>
        <v/>
      </c>
      <c r="J1739" s="29">
        <f>IF($B1739="","",IF(INDEX(Dossiers!$F$4:$F$63,33)="","",INDEX(Dossiers!$F$4:$F$63,33)))</f>
        <v/>
      </c>
      <c r="K1739" s="29">
        <f>IF($B1739="","",IF(INDEX(Dossiers!$G$4:$G$63,33)="","",INDEX(Dossiers!$G$4:$G$63,33)))</f>
        <v/>
      </c>
    </row>
    <row r="1740">
      <c r="A1740">
        <f>IF($B1740="","",INDEX(Dossiers!$E$4:$E$63,33))</f>
        <v/>
      </c>
      <c r="B1740">
        <f>IF(INDEX(Suivi!$B:$B,1773)="","",INDEX(Suivi!$B:$B,1773))</f>
        <v/>
      </c>
      <c r="C1740">
        <f>IF($B1740="","",IF(INDEX(Suivi!$D:$D,1773)="",INDEX(Suivi!$C:$C,1773),INDEX(Suivi!$D:$D,1773)))</f>
        <v/>
      </c>
      <c r="D1740" s="29">
        <f>IF($B1740="","",INDEX(Suivi!$E:$E,1773))</f>
        <v/>
      </c>
      <c r="E1740" s="29">
        <f>IF($B1740="","",INDEX(Suivi!$F:$F,1773))</f>
        <v/>
      </c>
      <c r="F1740">
        <f>IF($B1740="","",INDEX(Suivi!$G:$G,1773))</f>
        <v/>
      </c>
      <c r="H1740">
        <f>IF(OR($B1740="",NOT(ISNUMBER($D1740))),"",IF($E1740&lt;$D$2,"Passé",IF($D1740&gt;$F$2,"À venir","Dans la période")))</f>
        <v/>
      </c>
      <c r="I1740">
        <f>IF(OR($B1740="",NOT(ISNUMBER($D1740))),"",IF(AND($E1740&lt;$D$2,$G1740&lt;&gt;"X",$F1740&lt;&gt;"Réalisé",$F1740&lt;&gt;"Clôturé"),"RETARD",""))</f>
        <v/>
      </c>
      <c r="J1740" s="29">
        <f>IF($B1740="","",IF(INDEX(Dossiers!$F$4:$F$63,33)="","",INDEX(Dossiers!$F$4:$F$63,33)))</f>
        <v/>
      </c>
      <c r="K1740" s="29">
        <f>IF($B1740="","",IF(INDEX(Dossiers!$G$4:$G$63,33)="","",INDEX(Dossiers!$G$4:$G$63,33)))</f>
        <v/>
      </c>
    </row>
    <row r="1741">
      <c r="A1741">
        <f>IF($B1741="","",INDEX(Dossiers!$E$4:$E$63,33))</f>
        <v/>
      </c>
      <c r="B1741">
        <f>IF(INDEX(Suivi!$B:$B,1774)="","",INDEX(Suivi!$B:$B,1774))</f>
        <v/>
      </c>
      <c r="C1741">
        <f>IF($B1741="","",IF(INDEX(Suivi!$D:$D,1774)="",INDEX(Suivi!$C:$C,1774),INDEX(Suivi!$D:$D,1774)))</f>
        <v/>
      </c>
      <c r="D1741" s="29">
        <f>IF($B1741="","",INDEX(Suivi!$E:$E,1774))</f>
        <v/>
      </c>
      <c r="E1741" s="29">
        <f>IF($B1741="","",INDEX(Suivi!$F:$F,1774))</f>
        <v/>
      </c>
      <c r="F1741">
        <f>IF($B1741="","",INDEX(Suivi!$G:$G,1774))</f>
        <v/>
      </c>
      <c r="H1741">
        <f>IF(OR($B1741="",NOT(ISNUMBER($D1741))),"",IF($E1741&lt;$D$2,"Passé",IF($D1741&gt;$F$2,"À venir","Dans la période")))</f>
        <v/>
      </c>
      <c r="I1741">
        <f>IF(OR($B1741="",NOT(ISNUMBER($D1741))),"",IF(AND($E1741&lt;$D$2,$G1741&lt;&gt;"X",$F1741&lt;&gt;"Réalisé",$F1741&lt;&gt;"Clôturé"),"RETARD",""))</f>
        <v/>
      </c>
      <c r="J1741" s="29">
        <f>IF($B1741="","",IF(INDEX(Dossiers!$F$4:$F$63,33)="","",INDEX(Dossiers!$F$4:$F$63,33)))</f>
        <v/>
      </c>
      <c r="K1741" s="29">
        <f>IF($B1741="","",IF(INDEX(Dossiers!$G$4:$G$63,33)="","",INDEX(Dossiers!$G$4:$G$63,33)))</f>
        <v/>
      </c>
    </row>
    <row r="1742">
      <c r="A1742">
        <f>IF($B1742="","",INDEX(Dossiers!$E$4:$E$63,33))</f>
        <v/>
      </c>
      <c r="B1742">
        <f>IF(INDEX(Suivi!$B:$B,1775)="","",INDEX(Suivi!$B:$B,1775))</f>
        <v/>
      </c>
      <c r="C1742">
        <f>IF($B1742="","",IF(INDEX(Suivi!$D:$D,1775)="",INDEX(Suivi!$C:$C,1775),INDEX(Suivi!$D:$D,1775)))</f>
        <v/>
      </c>
      <c r="D1742" s="29">
        <f>IF($B1742="","",INDEX(Suivi!$E:$E,1775))</f>
        <v/>
      </c>
      <c r="E1742" s="29">
        <f>IF($B1742="","",INDEX(Suivi!$F:$F,1775))</f>
        <v/>
      </c>
      <c r="F1742">
        <f>IF($B1742="","",INDEX(Suivi!$G:$G,1775))</f>
        <v/>
      </c>
      <c r="H1742">
        <f>IF(OR($B1742="",NOT(ISNUMBER($D1742))),"",IF($E1742&lt;$D$2,"Passé",IF($D1742&gt;$F$2,"À venir","Dans la période")))</f>
        <v/>
      </c>
      <c r="I1742">
        <f>IF(OR($B1742="",NOT(ISNUMBER($D1742))),"",IF(AND($E1742&lt;$D$2,$G1742&lt;&gt;"X",$F1742&lt;&gt;"Réalisé",$F1742&lt;&gt;"Clôturé"),"RETARD",""))</f>
        <v/>
      </c>
      <c r="J1742" s="29">
        <f>IF($B1742="","",IF(INDEX(Dossiers!$F$4:$F$63,33)="","",INDEX(Dossiers!$F$4:$F$63,33)))</f>
        <v/>
      </c>
      <c r="K1742" s="29">
        <f>IF($B1742="","",IF(INDEX(Dossiers!$G$4:$G$63,33)="","",INDEX(Dossiers!$G$4:$G$63,33)))</f>
        <v/>
      </c>
    </row>
    <row r="1743">
      <c r="A1743">
        <f>IF($B1743="","",INDEX(Dossiers!$E$4:$E$63,33))</f>
        <v/>
      </c>
      <c r="B1743">
        <f>IF(INDEX(Suivi!$B:$B,1776)="","",INDEX(Suivi!$B:$B,1776))</f>
        <v/>
      </c>
      <c r="C1743">
        <f>IF($B1743="","",IF(INDEX(Suivi!$D:$D,1776)="",INDEX(Suivi!$C:$C,1776),INDEX(Suivi!$D:$D,1776)))</f>
        <v/>
      </c>
      <c r="D1743" s="29">
        <f>IF($B1743="","",INDEX(Suivi!$E:$E,1776))</f>
        <v/>
      </c>
      <c r="E1743" s="29">
        <f>IF($B1743="","",INDEX(Suivi!$F:$F,1776))</f>
        <v/>
      </c>
      <c r="F1743">
        <f>IF($B1743="","",INDEX(Suivi!$G:$G,1776))</f>
        <v/>
      </c>
      <c r="H1743">
        <f>IF(OR($B1743="",NOT(ISNUMBER($D1743))),"",IF($E1743&lt;$D$2,"Passé",IF($D1743&gt;$F$2,"À venir","Dans la période")))</f>
        <v/>
      </c>
      <c r="I1743">
        <f>IF(OR($B1743="",NOT(ISNUMBER($D1743))),"",IF(AND($E1743&lt;$D$2,$G1743&lt;&gt;"X",$F1743&lt;&gt;"Réalisé",$F1743&lt;&gt;"Clôturé"),"RETARD",""))</f>
        <v/>
      </c>
      <c r="J1743" s="29">
        <f>IF($B1743="","",IF(INDEX(Dossiers!$F$4:$F$63,33)="","",INDEX(Dossiers!$F$4:$F$63,33)))</f>
        <v/>
      </c>
      <c r="K1743" s="29">
        <f>IF($B1743="","",IF(INDEX(Dossiers!$G$4:$G$63,33)="","",INDEX(Dossiers!$G$4:$G$63,33)))</f>
        <v/>
      </c>
    </row>
    <row r="1744">
      <c r="A1744">
        <f>IF($B1744="","",INDEX(Dossiers!$E$4:$E$63,33))</f>
        <v/>
      </c>
      <c r="B1744">
        <f>IF(INDEX(Suivi!$B:$B,1777)="","",INDEX(Suivi!$B:$B,1777))</f>
        <v/>
      </c>
      <c r="C1744">
        <f>IF($B1744="","",IF(INDEX(Suivi!$D:$D,1777)="",INDEX(Suivi!$C:$C,1777),INDEX(Suivi!$D:$D,1777)))</f>
        <v/>
      </c>
      <c r="D1744" s="29">
        <f>IF($B1744="","",INDEX(Suivi!$E:$E,1777))</f>
        <v/>
      </c>
      <c r="E1744" s="29">
        <f>IF($B1744="","",INDEX(Suivi!$F:$F,1777))</f>
        <v/>
      </c>
      <c r="F1744">
        <f>IF($B1744="","",INDEX(Suivi!$G:$G,1777))</f>
        <v/>
      </c>
      <c r="H1744">
        <f>IF(OR($B1744="",NOT(ISNUMBER($D1744))),"",IF($E1744&lt;$D$2,"Passé",IF($D1744&gt;$F$2,"À venir","Dans la période")))</f>
        <v/>
      </c>
      <c r="I1744">
        <f>IF(OR($B1744="",NOT(ISNUMBER($D1744))),"",IF(AND($E1744&lt;$D$2,$G1744&lt;&gt;"X",$F1744&lt;&gt;"Réalisé",$F1744&lt;&gt;"Clôturé"),"RETARD",""))</f>
        <v/>
      </c>
      <c r="J1744" s="29">
        <f>IF($B1744="","",IF(INDEX(Dossiers!$F$4:$F$63,33)="","",INDEX(Dossiers!$F$4:$F$63,33)))</f>
        <v/>
      </c>
      <c r="K1744" s="29">
        <f>IF($B1744="","",IF(INDEX(Dossiers!$G$4:$G$63,33)="","",INDEX(Dossiers!$G$4:$G$63,33)))</f>
        <v/>
      </c>
    </row>
    <row r="1745">
      <c r="A1745">
        <f>IF($B1745="","",INDEX(Dossiers!$E$4:$E$63,33))</f>
        <v/>
      </c>
      <c r="B1745">
        <f>IF(INDEX(Suivi!$B:$B,1778)="","",INDEX(Suivi!$B:$B,1778))</f>
        <v/>
      </c>
      <c r="C1745">
        <f>IF($B1745="","",IF(INDEX(Suivi!$D:$D,1778)="",INDEX(Suivi!$C:$C,1778),INDEX(Suivi!$D:$D,1778)))</f>
        <v/>
      </c>
      <c r="D1745" s="29">
        <f>IF($B1745="","",INDEX(Suivi!$E:$E,1778))</f>
        <v/>
      </c>
      <c r="E1745" s="29">
        <f>IF($B1745="","",INDEX(Suivi!$F:$F,1778))</f>
        <v/>
      </c>
      <c r="F1745">
        <f>IF($B1745="","",INDEX(Suivi!$G:$G,1778))</f>
        <v/>
      </c>
      <c r="H1745">
        <f>IF(OR($B1745="",NOT(ISNUMBER($D1745))),"",IF($E1745&lt;$D$2,"Passé",IF($D1745&gt;$F$2,"À venir","Dans la période")))</f>
        <v/>
      </c>
      <c r="I1745">
        <f>IF(OR($B1745="",NOT(ISNUMBER($D1745))),"",IF(AND($E1745&lt;$D$2,$G1745&lt;&gt;"X",$F1745&lt;&gt;"Réalisé",$F1745&lt;&gt;"Clôturé"),"RETARD",""))</f>
        <v/>
      </c>
      <c r="J1745" s="29">
        <f>IF($B1745="","",IF(INDEX(Dossiers!$F$4:$F$63,33)="","",INDEX(Dossiers!$F$4:$F$63,33)))</f>
        <v/>
      </c>
      <c r="K1745" s="29">
        <f>IF($B1745="","",IF(INDEX(Dossiers!$G$4:$G$63,33)="","",INDEX(Dossiers!$G$4:$G$63,33)))</f>
        <v/>
      </c>
    </row>
    <row r="1746">
      <c r="A1746">
        <f>IF($B1746="","",INDEX(Dossiers!$E$4:$E$63,33))</f>
        <v/>
      </c>
      <c r="B1746">
        <f>IF(INDEX(Suivi!$B:$B,1779)="","",INDEX(Suivi!$B:$B,1779))</f>
        <v/>
      </c>
      <c r="C1746">
        <f>IF($B1746="","",IF(INDEX(Suivi!$D:$D,1779)="",INDEX(Suivi!$C:$C,1779),INDEX(Suivi!$D:$D,1779)))</f>
        <v/>
      </c>
      <c r="D1746" s="29">
        <f>IF($B1746="","",INDEX(Suivi!$E:$E,1779))</f>
        <v/>
      </c>
      <c r="E1746" s="29">
        <f>IF($B1746="","",INDEX(Suivi!$F:$F,1779))</f>
        <v/>
      </c>
      <c r="F1746">
        <f>IF($B1746="","",INDEX(Suivi!$G:$G,1779))</f>
        <v/>
      </c>
      <c r="H1746">
        <f>IF(OR($B1746="",NOT(ISNUMBER($D1746))),"",IF($E1746&lt;$D$2,"Passé",IF($D1746&gt;$F$2,"À venir","Dans la période")))</f>
        <v/>
      </c>
      <c r="I1746">
        <f>IF(OR($B1746="",NOT(ISNUMBER($D1746))),"",IF(AND($E1746&lt;$D$2,$G1746&lt;&gt;"X",$F1746&lt;&gt;"Réalisé",$F1746&lt;&gt;"Clôturé"),"RETARD",""))</f>
        <v/>
      </c>
      <c r="J1746" s="29">
        <f>IF($B1746="","",IF(INDEX(Dossiers!$F$4:$F$63,33)="","",INDEX(Dossiers!$F$4:$F$63,33)))</f>
        <v/>
      </c>
      <c r="K1746" s="29">
        <f>IF($B1746="","",IF(INDEX(Dossiers!$G$4:$G$63,33)="","",INDEX(Dossiers!$G$4:$G$63,33)))</f>
        <v/>
      </c>
    </row>
    <row r="1747">
      <c r="A1747">
        <f>IF($B1747="","",INDEX(Dossiers!$E$4:$E$63,33))</f>
        <v/>
      </c>
      <c r="B1747">
        <f>IF(INDEX(Suivi!$B:$B,1780)="","",INDEX(Suivi!$B:$B,1780))</f>
        <v/>
      </c>
      <c r="C1747">
        <f>IF($B1747="","",IF(INDEX(Suivi!$D:$D,1780)="",INDEX(Suivi!$C:$C,1780),INDEX(Suivi!$D:$D,1780)))</f>
        <v/>
      </c>
      <c r="D1747" s="29">
        <f>IF($B1747="","",INDEX(Suivi!$E:$E,1780))</f>
        <v/>
      </c>
      <c r="E1747" s="29">
        <f>IF($B1747="","",INDEX(Suivi!$F:$F,1780))</f>
        <v/>
      </c>
      <c r="F1747">
        <f>IF($B1747="","",INDEX(Suivi!$G:$G,1780))</f>
        <v/>
      </c>
      <c r="H1747">
        <f>IF(OR($B1747="",NOT(ISNUMBER($D1747))),"",IF($E1747&lt;$D$2,"Passé",IF($D1747&gt;$F$2,"À venir","Dans la période")))</f>
        <v/>
      </c>
      <c r="I1747">
        <f>IF(OR($B1747="",NOT(ISNUMBER($D1747))),"",IF(AND($E1747&lt;$D$2,$G1747&lt;&gt;"X",$F1747&lt;&gt;"Réalisé",$F1747&lt;&gt;"Clôturé"),"RETARD",""))</f>
        <v/>
      </c>
      <c r="J1747" s="29">
        <f>IF($B1747="","",IF(INDEX(Dossiers!$F$4:$F$63,33)="","",INDEX(Dossiers!$F$4:$F$63,33)))</f>
        <v/>
      </c>
      <c r="K1747" s="29">
        <f>IF($B1747="","",IF(INDEX(Dossiers!$G$4:$G$63,33)="","",INDEX(Dossiers!$G$4:$G$63,33)))</f>
        <v/>
      </c>
    </row>
    <row r="1748">
      <c r="A1748">
        <f>IF($B1748="","",INDEX(Dossiers!$E$4:$E$63,33))</f>
        <v/>
      </c>
      <c r="B1748">
        <f>IF(INDEX(Suivi!$B:$B,1781)="","",INDEX(Suivi!$B:$B,1781))</f>
        <v/>
      </c>
      <c r="C1748">
        <f>IF($B1748="","",IF(INDEX(Suivi!$D:$D,1781)="",INDEX(Suivi!$C:$C,1781),INDEX(Suivi!$D:$D,1781)))</f>
        <v/>
      </c>
      <c r="D1748" s="29">
        <f>IF($B1748="","",INDEX(Suivi!$E:$E,1781))</f>
        <v/>
      </c>
      <c r="E1748" s="29">
        <f>IF($B1748="","",INDEX(Suivi!$F:$F,1781))</f>
        <v/>
      </c>
      <c r="F1748">
        <f>IF($B1748="","",INDEX(Suivi!$G:$G,1781))</f>
        <v/>
      </c>
      <c r="H1748">
        <f>IF(OR($B1748="",NOT(ISNUMBER($D1748))),"",IF($E1748&lt;$D$2,"Passé",IF($D1748&gt;$F$2,"À venir","Dans la période")))</f>
        <v/>
      </c>
      <c r="I1748">
        <f>IF(OR($B1748="",NOT(ISNUMBER($D1748))),"",IF(AND($E1748&lt;$D$2,$G1748&lt;&gt;"X",$F1748&lt;&gt;"Réalisé",$F1748&lt;&gt;"Clôturé"),"RETARD",""))</f>
        <v/>
      </c>
      <c r="J1748" s="29">
        <f>IF($B1748="","",IF(INDEX(Dossiers!$F$4:$F$63,33)="","",INDEX(Dossiers!$F$4:$F$63,33)))</f>
        <v/>
      </c>
      <c r="K1748" s="29">
        <f>IF($B1748="","",IF(INDEX(Dossiers!$G$4:$G$63,33)="","",INDEX(Dossiers!$G$4:$G$63,33)))</f>
        <v/>
      </c>
    </row>
    <row r="1749">
      <c r="A1749">
        <f>IF($B1749="","",INDEX(Dossiers!$E$4:$E$63,33))</f>
        <v/>
      </c>
      <c r="B1749">
        <f>IF(INDEX(Suivi!$B:$B,1782)="","",INDEX(Suivi!$B:$B,1782))</f>
        <v/>
      </c>
      <c r="C1749">
        <f>IF($B1749="","",IF(INDEX(Suivi!$D:$D,1782)="",INDEX(Suivi!$C:$C,1782),INDEX(Suivi!$D:$D,1782)))</f>
        <v/>
      </c>
      <c r="D1749" s="29">
        <f>IF($B1749="","",INDEX(Suivi!$E:$E,1782))</f>
        <v/>
      </c>
      <c r="E1749" s="29">
        <f>IF($B1749="","",INDEX(Suivi!$F:$F,1782))</f>
        <v/>
      </c>
      <c r="F1749">
        <f>IF($B1749="","",INDEX(Suivi!$G:$G,1782))</f>
        <v/>
      </c>
      <c r="H1749">
        <f>IF(OR($B1749="",NOT(ISNUMBER($D1749))),"",IF($E1749&lt;$D$2,"Passé",IF($D1749&gt;$F$2,"À venir","Dans la période")))</f>
        <v/>
      </c>
      <c r="I1749">
        <f>IF(OR($B1749="",NOT(ISNUMBER($D1749))),"",IF(AND($E1749&lt;$D$2,$G1749&lt;&gt;"X",$F1749&lt;&gt;"Réalisé",$F1749&lt;&gt;"Clôturé"),"RETARD",""))</f>
        <v/>
      </c>
      <c r="J1749" s="29">
        <f>IF($B1749="","",IF(INDEX(Dossiers!$F$4:$F$63,33)="","",INDEX(Dossiers!$F$4:$F$63,33)))</f>
        <v/>
      </c>
      <c r="K1749" s="29">
        <f>IF($B1749="","",IF(INDEX(Dossiers!$G$4:$G$63,33)="","",INDEX(Dossiers!$G$4:$G$63,33)))</f>
        <v/>
      </c>
    </row>
    <row r="1750">
      <c r="A1750">
        <f>IF($B1750="","",INDEX(Dossiers!$E$4:$E$63,33))</f>
        <v/>
      </c>
      <c r="B1750">
        <f>IF(INDEX(Suivi!$B:$B,1783)="","",INDEX(Suivi!$B:$B,1783))</f>
        <v/>
      </c>
      <c r="C1750">
        <f>IF($B1750="","",IF(INDEX(Suivi!$D:$D,1783)="",INDEX(Suivi!$C:$C,1783),INDEX(Suivi!$D:$D,1783)))</f>
        <v/>
      </c>
      <c r="D1750" s="29">
        <f>IF($B1750="","",INDEX(Suivi!$E:$E,1783))</f>
        <v/>
      </c>
      <c r="E1750" s="29">
        <f>IF($B1750="","",INDEX(Suivi!$F:$F,1783))</f>
        <v/>
      </c>
      <c r="F1750">
        <f>IF($B1750="","",INDEX(Suivi!$G:$G,1783))</f>
        <v/>
      </c>
      <c r="H1750">
        <f>IF(OR($B1750="",NOT(ISNUMBER($D1750))),"",IF($E1750&lt;$D$2,"Passé",IF($D1750&gt;$F$2,"À venir","Dans la période")))</f>
        <v/>
      </c>
      <c r="I1750">
        <f>IF(OR($B1750="",NOT(ISNUMBER($D1750))),"",IF(AND($E1750&lt;$D$2,$G1750&lt;&gt;"X",$F1750&lt;&gt;"Réalisé",$F1750&lt;&gt;"Clôturé"),"RETARD",""))</f>
        <v/>
      </c>
      <c r="J1750" s="29">
        <f>IF($B1750="","",IF(INDEX(Dossiers!$F$4:$F$63,33)="","",INDEX(Dossiers!$F$4:$F$63,33)))</f>
        <v/>
      </c>
      <c r="K1750" s="29">
        <f>IF($B1750="","",IF(INDEX(Dossiers!$G$4:$G$63,33)="","",INDEX(Dossiers!$G$4:$G$63,33)))</f>
        <v/>
      </c>
    </row>
    <row r="1751">
      <c r="A1751">
        <f>IF($B1751="","",INDEX(Dossiers!$E$4:$E$63,33))</f>
        <v/>
      </c>
      <c r="B1751">
        <f>IF(INDEX(Suivi!$B:$B,1784)="","",INDEX(Suivi!$B:$B,1784))</f>
        <v/>
      </c>
      <c r="C1751">
        <f>IF($B1751="","",IF(INDEX(Suivi!$D:$D,1784)="",INDEX(Suivi!$C:$C,1784),INDEX(Suivi!$D:$D,1784)))</f>
        <v/>
      </c>
      <c r="D1751" s="29">
        <f>IF($B1751="","",INDEX(Suivi!$E:$E,1784))</f>
        <v/>
      </c>
      <c r="E1751" s="29">
        <f>IF($B1751="","",INDEX(Suivi!$F:$F,1784))</f>
        <v/>
      </c>
      <c r="F1751">
        <f>IF($B1751="","",INDEX(Suivi!$G:$G,1784))</f>
        <v/>
      </c>
      <c r="H1751">
        <f>IF(OR($B1751="",NOT(ISNUMBER($D1751))),"",IF($E1751&lt;$D$2,"Passé",IF($D1751&gt;$F$2,"À venir","Dans la période")))</f>
        <v/>
      </c>
      <c r="I1751">
        <f>IF(OR($B1751="",NOT(ISNUMBER($D1751))),"",IF(AND($E1751&lt;$D$2,$G1751&lt;&gt;"X",$F1751&lt;&gt;"Réalisé",$F1751&lt;&gt;"Clôturé"),"RETARD",""))</f>
        <v/>
      </c>
      <c r="J1751" s="29">
        <f>IF($B1751="","",IF(INDEX(Dossiers!$F$4:$F$63,33)="","",INDEX(Dossiers!$F$4:$F$63,33)))</f>
        <v/>
      </c>
      <c r="K1751" s="29">
        <f>IF($B1751="","",IF(INDEX(Dossiers!$G$4:$G$63,33)="","",INDEX(Dossiers!$G$4:$G$63,33)))</f>
        <v/>
      </c>
    </row>
    <row r="1752">
      <c r="A1752">
        <f>IF($B1752="","",INDEX(Dossiers!$E$4:$E$63,33))</f>
        <v/>
      </c>
      <c r="B1752">
        <f>IF(INDEX(Suivi!$B:$B,1785)="","",INDEX(Suivi!$B:$B,1785))</f>
        <v/>
      </c>
      <c r="C1752">
        <f>IF($B1752="","",IF(INDEX(Suivi!$D:$D,1785)="",INDEX(Suivi!$C:$C,1785),INDEX(Suivi!$D:$D,1785)))</f>
        <v/>
      </c>
      <c r="D1752" s="29">
        <f>IF($B1752="","",INDEX(Suivi!$E:$E,1785))</f>
        <v/>
      </c>
      <c r="E1752" s="29">
        <f>IF($B1752="","",INDEX(Suivi!$F:$F,1785))</f>
        <v/>
      </c>
      <c r="F1752">
        <f>IF($B1752="","",INDEX(Suivi!$G:$G,1785))</f>
        <v/>
      </c>
      <c r="H1752">
        <f>IF(OR($B1752="",NOT(ISNUMBER($D1752))),"",IF($E1752&lt;$D$2,"Passé",IF($D1752&gt;$F$2,"À venir","Dans la période")))</f>
        <v/>
      </c>
      <c r="I1752">
        <f>IF(OR($B1752="",NOT(ISNUMBER($D1752))),"",IF(AND($E1752&lt;$D$2,$G1752&lt;&gt;"X",$F1752&lt;&gt;"Réalisé",$F1752&lt;&gt;"Clôturé"),"RETARD",""))</f>
        <v/>
      </c>
      <c r="J1752" s="29">
        <f>IF($B1752="","",IF(INDEX(Dossiers!$F$4:$F$63,33)="","",INDEX(Dossiers!$F$4:$F$63,33)))</f>
        <v/>
      </c>
      <c r="K1752" s="29">
        <f>IF($B1752="","",IF(INDEX(Dossiers!$G$4:$G$63,33)="","",INDEX(Dossiers!$G$4:$G$63,33)))</f>
        <v/>
      </c>
    </row>
    <row r="1753">
      <c r="A1753">
        <f>IF($B1753="","",INDEX(Dossiers!$E$4:$E$63,34))</f>
        <v/>
      </c>
      <c r="B1753">
        <f>IF(INDEX(Suivi!$B:$B,1787)="","",INDEX(Suivi!$B:$B,1787))</f>
        <v/>
      </c>
      <c r="C1753">
        <f>IF($B1753="","",IF(INDEX(Suivi!$D:$D,1787)="",INDEX(Suivi!$C:$C,1787),INDEX(Suivi!$D:$D,1787)))</f>
        <v/>
      </c>
      <c r="D1753" s="29">
        <f>IF($B1753="","",INDEX(Suivi!$E:$E,1787))</f>
        <v/>
      </c>
      <c r="E1753" s="29">
        <f>IF($B1753="","",INDEX(Suivi!$F:$F,1787))</f>
        <v/>
      </c>
      <c r="F1753">
        <f>IF($B1753="","",INDEX(Suivi!$G:$G,1787))</f>
        <v/>
      </c>
      <c r="H1753">
        <f>IF(OR($B1753="",NOT(ISNUMBER($D1753))),"",IF($E1753&lt;$D$2,"Passé",IF($D1753&gt;$F$2,"À venir","Dans la période")))</f>
        <v/>
      </c>
      <c r="I1753">
        <f>IF(OR($B1753="",NOT(ISNUMBER($D1753))),"",IF(AND($E1753&lt;$D$2,$G1753&lt;&gt;"X",$F1753&lt;&gt;"Réalisé",$F1753&lt;&gt;"Clôturé"),"RETARD",""))</f>
        <v/>
      </c>
      <c r="J1753" s="29">
        <f>IF($B1753="","",IF(INDEX(Dossiers!$F$4:$F$63,34)="","",INDEX(Dossiers!$F$4:$F$63,34)))</f>
        <v/>
      </c>
      <c r="K1753" s="29">
        <f>IF($B1753="","",IF(INDEX(Dossiers!$G$4:$G$63,34)="","",INDEX(Dossiers!$G$4:$G$63,34)))</f>
        <v/>
      </c>
    </row>
    <row r="1754">
      <c r="A1754">
        <f>IF($B1754="","",INDEX(Dossiers!$E$4:$E$63,34))</f>
        <v/>
      </c>
      <c r="B1754">
        <f>IF(INDEX(Suivi!$B:$B,1788)="","",INDEX(Suivi!$B:$B,1788))</f>
        <v/>
      </c>
      <c r="C1754">
        <f>IF($B1754="","",IF(INDEX(Suivi!$D:$D,1788)="",INDEX(Suivi!$C:$C,1788),INDEX(Suivi!$D:$D,1788)))</f>
        <v/>
      </c>
      <c r="D1754" s="29">
        <f>IF($B1754="","",INDEX(Suivi!$E:$E,1788))</f>
        <v/>
      </c>
      <c r="E1754" s="29">
        <f>IF($B1754="","",INDEX(Suivi!$F:$F,1788))</f>
        <v/>
      </c>
      <c r="F1754">
        <f>IF($B1754="","",INDEX(Suivi!$G:$G,1788))</f>
        <v/>
      </c>
      <c r="H1754">
        <f>IF(OR($B1754="",NOT(ISNUMBER($D1754))),"",IF($E1754&lt;$D$2,"Passé",IF($D1754&gt;$F$2,"À venir","Dans la période")))</f>
        <v/>
      </c>
      <c r="I1754">
        <f>IF(OR($B1754="",NOT(ISNUMBER($D1754))),"",IF(AND($E1754&lt;$D$2,$G1754&lt;&gt;"X",$F1754&lt;&gt;"Réalisé",$F1754&lt;&gt;"Clôturé"),"RETARD",""))</f>
        <v/>
      </c>
      <c r="J1754" s="29">
        <f>IF($B1754="","",IF(INDEX(Dossiers!$F$4:$F$63,34)="","",INDEX(Dossiers!$F$4:$F$63,34)))</f>
        <v/>
      </c>
      <c r="K1754" s="29">
        <f>IF($B1754="","",IF(INDEX(Dossiers!$G$4:$G$63,34)="","",INDEX(Dossiers!$G$4:$G$63,34)))</f>
        <v/>
      </c>
    </row>
    <row r="1755">
      <c r="A1755">
        <f>IF($B1755="","",INDEX(Dossiers!$E$4:$E$63,34))</f>
        <v/>
      </c>
      <c r="B1755">
        <f>IF(INDEX(Suivi!$B:$B,1789)="","",INDEX(Suivi!$B:$B,1789))</f>
        <v/>
      </c>
      <c r="C1755">
        <f>IF($B1755="","",IF(INDEX(Suivi!$D:$D,1789)="",INDEX(Suivi!$C:$C,1789),INDEX(Suivi!$D:$D,1789)))</f>
        <v/>
      </c>
      <c r="D1755" s="29">
        <f>IF($B1755="","",INDEX(Suivi!$E:$E,1789))</f>
        <v/>
      </c>
      <c r="E1755" s="29">
        <f>IF($B1755="","",INDEX(Suivi!$F:$F,1789))</f>
        <v/>
      </c>
      <c r="F1755">
        <f>IF($B1755="","",INDEX(Suivi!$G:$G,1789))</f>
        <v/>
      </c>
      <c r="H1755">
        <f>IF(OR($B1755="",NOT(ISNUMBER($D1755))),"",IF($E1755&lt;$D$2,"Passé",IF($D1755&gt;$F$2,"À venir","Dans la période")))</f>
        <v/>
      </c>
      <c r="I1755">
        <f>IF(OR($B1755="",NOT(ISNUMBER($D1755))),"",IF(AND($E1755&lt;$D$2,$G1755&lt;&gt;"X",$F1755&lt;&gt;"Réalisé",$F1755&lt;&gt;"Clôturé"),"RETARD",""))</f>
        <v/>
      </c>
      <c r="J1755" s="29">
        <f>IF($B1755="","",IF(INDEX(Dossiers!$F$4:$F$63,34)="","",INDEX(Dossiers!$F$4:$F$63,34)))</f>
        <v/>
      </c>
      <c r="K1755" s="29">
        <f>IF($B1755="","",IF(INDEX(Dossiers!$G$4:$G$63,34)="","",INDEX(Dossiers!$G$4:$G$63,34)))</f>
        <v/>
      </c>
    </row>
    <row r="1756">
      <c r="A1756">
        <f>IF($B1756="","",INDEX(Dossiers!$E$4:$E$63,34))</f>
        <v/>
      </c>
      <c r="B1756">
        <f>IF(INDEX(Suivi!$B:$B,1790)="","",INDEX(Suivi!$B:$B,1790))</f>
        <v/>
      </c>
      <c r="C1756">
        <f>IF($B1756="","",IF(INDEX(Suivi!$D:$D,1790)="",INDEX(Suivi!$C:$C,1790),INDEX(Suivi!$D:$D,1790)))</f>
        <v/>
      </c>
      <c r="D1756" s="29">
        <f>IF($B1756="","",INDEX(Suivi!$E:$E,1790))</f>
        <v/>
      </c>
      <c r="E1756" s="29">
        <f>IF($B1756="","",INDEX(Suivi!$F:$F,1790))</f>
        <v/>
      </c>
      <c r="F1756">
        <f>IF($B1756="","",INDEX(Suivi!$G:$G,1790))</f>
        <v/>
      </c>
      <c r="H1756">
        <f>IF(OR($B1756="",NOT(ISNUMBER($D1756))),"",IF($E1756&lt;$D$2,"Passé",IF($D1756&gt;$F$2,"À venir","Dans la période")))</f>
        <v/>
      </c>
      <c r="I1756">
        <f>IF(OR($B1756="",NOT(ISNUMBER($D1756))),"",IF(AND($E1756&lt;$D$2,$G1756&lt;&gt;"X",$F1756&lt;&gt;"Réalisé",$F1756&lt;&gt;"Clôturé"),"RETARD",""))</f>
        <v/>
      </c>
      <c r="J1756" s="29">
        <f>IF($B1756="","",IF(INDEX(Dossiers!$F$4:$F$63,34)="","",INDEX(Dossiers!$F$4:$F$63,34)))</f>
        <v/>
      </c>
      <c r="K1756" s="29">
        <f>IF($B1756="","",IF(INDEX(Dossiers!$G$4:$G$63,34)="","",INDEX(Dossiers!$G$4:$G$63,34)))</f>
        <v/>
      </c>
    </row>
    <row r="1757">
      <c r="A1757">
        <f>IF($B1757="","",INDEX(Dossiers!$E$4:$E$63,34))</f>
        <v/>
      </c>
      <c r="B1757">
        <f>IF(INDEX(Suivi!$B:$B,1791)="","",INDEX(Suivi!$B:$B,1791))</f>
        <v/>
      </c>
      <c r="C1757">
        <f>IF($B1757="","",IF(INDEX(Suivi!$D:$D,1791)="",INDEX(Suivi!$C:$C,1791),INDEX(Suivi!$D:$D,1791)))</f>
        <v/>
      </c>
      <c r="D1757" s="29">
        <f>IF($B1757="","",INDEX(Suivi!$E:$E,1791))</f>
        <v/>
      </c>
      <c r="E1757" s="29">
        <f>IF($B1757="","",INDEX(Suivi!$F:$F,1791))</f>
        <v/>
      </c>
      <c r="F1757">
        <f>IF($B1757="","",INDEX(Suivi!$G:$G,1791))</f>
        <v/>
      </c>
      <c r="H1757">
        <f>IF(OR($B1757="",NOT(ISNUMBER($D1757))),"",IF($E1757&lt;$D$2,"Passé",IF($D1757&gt;$F$2,"À venir","Dans la période")))</f>
        <v/>
      </c>
      <c r="I1757">
        <f>IF(OR($B1757="",NOT(ISNUMBER($D1757))),"",IF(AND($E1757&lt;$D$2,$G1757&lt;&gt;"X",$F1757&lt;&gt;"Réalisé",$F1757&lt;&gt;"Clôturé"),"RETARD",""))</f>
        <v/>
      </c>
      <c r="J1757" s="29">
        <f>IF($B1757="","",IF(INDEX(Dossiers!$F$4:$F$63,34)="","",INDEX(Dossiers!$F$4:$F$63,34)))</f>
        <v/>
      </c>
      <c r="K1757" s="29">
        <f>IF($B1757="","",IF(INDEX(Dossiers!$G$4:$G$63,34)="","",INDEX(Dossiers!$G$4:$G$63,34)))</f>
        <v/>
      </c>
    </row>
    <row r="1758">
      <c r="A1758">
        <f>IF($B1758="","",INDEX(Dossiers!$E$4:$E$63,34))</f>
        <v/>
      </c>
      <c r="B1758">
        <f>IF(INDEX(Suivi!$B:$B,1792)="","",INDEX(Suivi!$B:$B,1792))</f>
        <v/>
      </c>
      <c r="C1758">
        <f>IF($B1758="","",IF(INDEX(Suivi!$D:$D,1792)="",INDEX(Suivi!$C:$C,1792),INDEX(Suivi!$D:$D,1792)))</f>
        <v/>
      </c>
      <c r="D1758" s="29">
        <f>IF($B1758="","",INDEX(Suivi!$E:$E,1792))</f>
        <v/>
      </c>
      <c r="E1758" s="29">
        <f>IF($B1758="","",INDEX(Suivi!$F:$F,1792))</f>
        <v/>
      </c>
      <c r="F1758">
        <f>IF($B1758="","",INDEX(Suivi!$G:$G,1792))</f>
        <v/>
      </c>
      <c r="H1758">
        <f>IF(OR($B1758="",NOT(ISNUMBER($D1758))),"",IF($E1758&lt;$D$2,"Passé",IF($D1758&gt;$F$2,"À venir","Dans la période")))</f>
        <v/>
      </c>
      <c r="I1758">
        <f>IF(OR($B1758="",NOT(ISNUMBER($D1758))),"",IF(AND($E1758&lt;$D$2,$G1758&lt;&gt;"X",$F1758&lt;&gt;"Réalisé",$F1758&lt;&gt;"Clôturé"),"RETARD",""))</f>
        <v/>
      </c>
      <c r="J1758" s="29">
        <f>IF($B1758="","",IF(INDEX(Dossiers!$F$4:$F$63,34)="","",INDEX(Dossiers!$F$4:$F$63,34)))</f>
        <v/>
      </c>
      <c r="K1758" s="29">
        <f>IF($B1758="","",IF(INDEX(Dossiers!$G$4:$G$63,34)="","",INDEX(Dossiers!$G$4:$G$63,34)))</f>
        <v/>
      </c>
    </row>
    <row r="1759">
      <c r="A1759">
        <f>IF($B1759="","",INDEX(Dossiers!$E$4:$E$63,34))</f>
        <v/>
      </c>
      <c r="B1759">
        <f>IF(INDEX(Suivi!$B:$B,1793)="","",INDEX(Suivi!$B:$B,1793))</f>
        <v/>
      </c>
      <c r="C1759">
        <f>IF($B1759="","",IF(INDEX(Suivi!$D:$D,1793)="",INDEX(Suivi!$C:$C,1793),INDEX(Suivi!$D:$D,1793)))</f>
        <v/>
      </c>
      <c r="D1759" s="29">
        <f>IF($B1759="","",INDEX(Suivi!$E:$E,1793))</f>
        <v/>
      </c>
      <c r="E1759" s="29">
        <f>IF($B1759="","",INDEX(Suivi!$F:$F,1793))</f>
        <v/>
      </c>
      <c r="F1759">
        <f>IF($B1759="","",INDEX(Suivi!$G:$G,1793))</f>
        <v/>
      </c>
      <c r="H1759">
        <f>IF(OR($B1759="",NOT(ISNUMBER($D1759))),"",IF($E1759&lt;$D$2,"Passé",IF($D1759&gt;$F$2,"À venir","Dans la période")))</f>
        <v/>
      </c>
      <c r="I1759">
        <f>IF(OR($B1759="",NOT(ISNUMBER($D1759))),"",IF(AND($E1759&lt;$D$2,$G1759&lt;&gt;"X",$F1759&lt;&gt;"Réalisé",$F1759&lt;&gt;"Clôturé"),"RETARD",""))</f>
        <v/>
      </c>
      <c r="J1759" s="29">
        <f>IF($B1759="","",IF(INDEX(Dossiers!$F$4:$F$63,34)="","",INDEX(Dossiers!$F$4:$F$63,34)))</f>
        <v/>
      </c>
      <c r="K1759" s="29">
        <f>IF($B1759="","",IF(INDEX(Dossiers!$G$4:$G$63,34)="","",INDEX(Dossiers!$G$4:$G$63,34)))</f>
        <v/>
      </c>
    </row>
    <row r="1760">
      <c r="A1760">
        <f>IF($B1760="","",INDEX(Dossiers!$E$4:$E$63,34))</f>
        <v/>
      </c>
      <c r="B1760">
        <f>IF(INDEX(Suivi!$B:$B,1794)="","",INDEX(Suivi!$B:$B,1794))</f>
        <v/>
      </c>
      <c r="C1760">
        <f>IF($B1760="","",IF(INDEX(Suivi!$D:$D,1794)="",INDEX(Suivi!$C:$C,1794),INDEX(Suivi!$D:$D,1794)))</f>
        <v/>
      </c>
      <c r="D1760" s="29">
        <f>IF($B1760="","",INDEX(Suivi!$E:$E,1794))</f>
        <v/>
      </c>
      <c r="E1760" s="29">
        <f>IF($B1760="","",INDEX(Suivi!$F:$F,1794))</f>
        <v/>
      </c>
      <c r="F1760">
        <f>IF($B1760="","",INDEX(Suivi!$G:$G,1794))</f>
        <v/>
      </c>
      <c r="H1760">
        <f>IF(OR($B1760="",NOT(ISNUMBER($D1760))),"",IF($E1760&lt;$D$2,"Passé",IF($D1760&gt;$F$2,"À venir","Dans la période")))</f>
        <v/>
      </c>
      <c r="I1760">
        <f>IF(OR($B1760="",NOT(ISNUMBER($D1760))),"",IF(AND($E1760&lt;$D$2,$G1760&lt;&gt;"X",$F1760&lt;&gt;"Réalisé",$F1760&lt;&gt;"Clôturé"),"RETARD",""))</f>
        <v/>
      </c>
      <c r="J1760" s="29">
        <f>IF($B1760="","",IF(INDEX(Dossiers!$F$4:$F$63,34)="","",INDEX(Dossiers!$F$4:$F$63,34)))</f>
        <v/>
      </c>
      <c r="K1760" s="29">
        <f>IF($B1760="","",IF(INDEX(Dossiers!$G$4:$G$63,34)="","",INDEX(Dossiers!$G$4:$G$63,34)))</f>
        <v/>
      </c>
    </row>
    <row r="1761">
      <c r="A1761">
        <f>IF($B1761="","",INDEX(Dossiers!$E$4:$E$63,34))</f>
        <v/>
      </c>
      <c r="B1761">
        <f>IF(INDEX(Suivi!$B:$B,1795)="","",INDEX(Suivi!$B:$B,1795))</f>
        <v/>
      </c>
      <c r="C1761">
        <f>IF($B1761="","",IF(INDEX(Suivi!$D:$D,1795)="",INDEX(Suivi!$C:$C,1795),INDEX(Suivi!$D:$D,1795)))</f>
        <v/>
      </c>
      <c r="D1761" s="29">
        <f>IF($B1761="","",INDEX(Suivi!$E:$E,1795))</f>
        <v/>
      </c>
      <c r="E1761" s="29">
        <f>IF($B1761="","",INDEX(Suivi!$F:$F,1795))</f>
        <v/>
      </c>
      <c r="F1761">
        <f>IF($B1761="","",INDEX(Suivi!$G:$G,1795))</f>
        <v/>
      </c>
      <c r="H1761">
        <f>IF(OR($B1761="",NOT(ISNUMBER($D1761))),"",IF($E1761&lt;$D$2,"Passé",IF($D1761&gt;$F$2,"À venir","Dans la période")))</f>
        <v/>
      </c>
      <c r="I1761">
        <f>IF(OR($B1761="",NOT(ISNUMBER($D1761))),"",IF(AND($E1761&lt;$D$2,$G1761&lt;&gt;"X",$F1761&lt;&gt;"Réalisé",$F1761&lt;&gt;"Clôturé"),"RETARD",""))</f>
        <v/>
      </c>
      <c r="J1761" s="29">
        <f>IF($B1761="","",IF(INDEX(Dossiers!$F$4:$F$63,34)="","",INDEX(Dossiers!$F$4:$F$63,34)))</f>
        <v/>
      </c>
      <c r="K1761" s="29">
        <f>IF($B1761="","",IF(INDEX(Dossiers!$G$4:$G$63,34)="","",INDEX(Dossiers!$G$4:$G$63,34)))</f>
        <v/>
      </c>
    </row>
    <row r="1762">
      <c r="A1762">
        <f>IF($B1762="","",INDEX(Dossiers!$E$4:$E$63,34))</f>
        <v/>
      </c>
      <c r="B1762">
        <f>IF(INDEX(Suivi!$B:$B,1796)="","",INDEX(Suivi!$B:$B,1796))</f>
        <v/>
      </c>
      <c r="C1762">
        <f>IF($B1762="","",IF(INDEX(Suivi!$D:$D,1796)="",INDEX(Suivi!$C:$C,1796),INDEX(Suivi!$D:$D,1796)))</f>
        <v/>
      </c>
      <c r="D1762" s="29">
        <f>IF($B1762="","",INDEX(Suivi!$E:$E,1796))</f>
        <v/>
      </c>
      <c r="E1762" s="29">
        <f>IF($B1762="","",INDEX(Suivi!$F:$F,1796))</f>
        <v/>
      </c>
      <c r="F1762">
        <f>IF($B1762="","",INDEX(Suivi!$G:$G,1796))</f>
        <v/>
      </c>
      <c r="H1762">
        <f>IF(OR($B1762="",NOT(ISNUMBER($D1762))),"",IF($E1762&lt;$D$2,"Passé",IF($D1762&gt;$F$2,"À venir","Dans la période")))</f>
        <v/>
      </c>
      <c r="I1762">
        <f>IF(OR($B1762="",NOT(ISNUMBER($D1762))),"",IF(AND($E1762&lt;$D$2,$G1762&lt;&gt;"X",$F1762&lt;&gt;"Réalisé",$F1762&lt;&gt;"Clôturé"),"RETARD",""))</f>
        <v/>
      </c>
      <c r="J1762" s="29">
        <f>IF($B1762="","",IF(INDEX(Dossiers!$F$4:$F$63,34)="","",INDEX(Dossiers!$F$4:$F$63,34)))</f>
        <v/>
      </c>
      <c r="K1762" s="29">
        <f>IF($B1762="","",IF(INDEX(Dossiers!$G$4:$G$63,34)="","",INDEX(Dossiers!$G$4:$G$63,34)))</f>
        <v/>
      </c>
    </row>
    <row r="1763">
      <c r="A1763">
        <f>IF($B1763="","",INDEX(Dossiers!$E$4:$E$63,34))</f>
        <v/>
      </c>
      <c r="B1763">
        <f>IF(INDEX(Suivi!$B:$B,1797)="","",INDEX(Suivi!$B:$B,1797))</f>
        <v/>
      </c>
      <c r="C1763">
        <f>IF($B1763="","",IF(INDEX(Suivi!$D:$D,1797)="",INDEX(Suivi!$C:$C,1797),INDEX(Suivi!$D:$D,1797)))</f>
        <v/>
      </c>
      <c r="D1763" s="29">
        <f>IF($B1763="","",INDEX(Suivi!$E:$E,1797))</f>
        <v/>
      </c>
      <c r="E1763" s="29">
        <f>IF($B1763="","",INDEX(Suivi!$F:$F,1797))</f>
        <v/>
      </c>
      <c r="F1763">
        <f>IF($B1763="","",INDEX(Suivi!$G:$G,1797))</f>
        <v/>
      </c>
      <c r="H1763">
        <f>IF(OR($B1763="",NOT(ISNUMBER($D1763))),"",IF($E1763&lt;$D$2,"Passé",IF($D1763&gt;$F$2,"À venir","Dans la période")))</f>
        <v/>
      </c>
      <c r="I1763">
        <f>IF(OR($B1763="",NOT(ISNUMBER($D1763))),"",IF(AND($E1763&lt;$D$2,$G1763&lt;&gt;"X",$F1763&lt;&gt;"Réalisé",$F1763&lt;&gt;"Clôturé"),"RETARD",""))</f>
        <v/>
      </c>
      <c r="J1763" s="29">
        <f>IF($B1763="","",IF(INDEX(Dossiers!$F$4:$F$63,34)="","",INDEX(Dossiers!$F$4:$F$63,34)))</f>
        <v/>
      </c>
      <c r="K1763" s="29">
        <f>IF($B1763="","",IF(INDEX(Dossiers!$G$4:$G$63,34)="","",INDEX(Dossiers!$G$4:$G$63,34)))</f>
        <v/>
      </c>
    </row>
    <row r="1764">
      <c r="A1764">
        <f>IF($B1764="","",INDEX(Dossiers!$E$4:$E$63,34))</f>
        <v/>
      </c>
      <c r="B1764">
        <f>IF(INDEX(Suivi!$B:$B,1798)="","",INDEX(Suivi!$B:$B,1798))</f>
        <v/>
      </c>
      <c r="C1764">
        <f>IF($B1764="","",IF(INDEX(Suivi!$D:$D,1798)="",INDEX(Suivi!$C:$C,1798),INDEX(Suivi!$D:$D,1798)))</f>
        <v/>
      </c>
      <c r="D1764" s="29">
        <f>IF($B1764="","",INDEX(Suivi!$E:$E,1798))</f>
        <v/>
      </c>
      <c r="E1764" s="29">
        <f>IF($B1764="","",INDEX(Suivi!$F:$F,1798))</f>
        <v/>
      </c>
      <c r="F1764">
        <f>IF($B1764="","",INDEX(Suivi!$G:$G,1798))</f>
        <v/>
      </c>
      <c r="H1764">
        <f>IF(OR($B1764="",NOT(ISNUMBER($D1764))),"",IF($E1764&lt;$D$2,"Passé",IF($D1764&gt;$F$2,"À venir","Dans la période")))</f>
        <v/>
      </c>
      <c r="I1764">
        <f>IF(OR($B1764="",NOT(ISNUMBER($D1764))),"",IF(AND($E1764&lt;$D$2,$G1764&lt;&gt;"X",$F1764&lt;&gt;"Réalisé",$F1764&lt;&gt;"Clôturé"),"RETARD",""))</f>
        <v/>
      </c>
      <c r="J1764" s="29">
        <f>IF($B1764="","",IF(INDEX(Dossiers!$F$4:$F$63,34)="","",INDEX(Dossiers!$F$4:$F$63,34)))</f>
        <v/>
      </c>
      <c r="K1764" s="29">
        <f>IF($B1764="","",IF(INDEX(Dossiers!$G$4:$G$63,34)="","",INDEX(Dossiers!$G$4:$G$63,34)))</f>
        <v/>
      </c>
    </row>
    <row r="1765">
      <c r="A1765">
        <f>IF($B1765="","",INDEX(Dossiers!$E$4:$E$63,34))</f>
        <v/>
      </c>
      <c r="B1765">
        <f>IF(INDEX(Suivi!$B:$B,1799)="","",INDEX(Suivi!$B:$B,1799))</f>
        <v/>
      </c>
      <c r="C1765">
        <f>IF($B1765="","",IF(INDEX(Suivi!$D:$D,1799)="",INDEX(Suivi!$C:$C,1799),INDEX(Suivi!$D:$D,1799)))</f>
        <v/>
      </c>
      <c r="D1765" s="29">
        <f>IF($B1765="","",INDEX(Suivi!$E:$E,1799))</f>
        <v/>
      </c>
      <c r="E1765" s="29">
        <f>IF($B1765="","",INDEX(Suivi!$F:$F,1799))</f>
        <v/>
      </c>
      <c r="F1765">
        <f>IF($B1765="","",INDEX(Suivi!$G:$G,1799))</f>
        <v/>
      </c>
      <c r="H1765">
        <f>IF(OR($B1765="",NOT(ISNUMBER($D1765))),"",IF($E1765&lt;$D$2,"Passé",IF($D1765&gt;$F$2,"À venir","Dans la période")))</f>
        <v/>
      </c>
      <c r="I1765">
        <f>IF(OR($B1765="",NOT(ISNUMBER($D1765))),"",IF(AND($E1765&lt;$D$2,$G1765&lt;&gt;"X",$F1765&lt;&gt;"Réalisé",$F1765&lt;&gt;"Clôturé"),"RETARD",""))</f>
        <v/>
      </c>
      <c r="J1765" s="29">
        <f>IF($B1765="","",IF(INDEX(Dossiers!$F$4:$F$63,34)="","",INDEX(Dossiers!$F$4:$F$63,34)))</f>
        <v/>
      </c>
      <c r="K1765" s="29">
        <f>IF($B1765="","",IF(INDEX(Dossiers!$G$4:$G$63,34)="","",INDEX(Dossiers!$G$4:$G$63,34)))</f>
        <v/>
      </c>
    </row>
    <row r="1766">
      <c r="A1766">
        <f>IF($B1766="","",INDEX(Dossiers!$E$4:$E$63,34))</f>
        <v/>
      </c>
      <c r="B1766">
        <f>IF(INDEX(Suivi!$B:$B,1800)="","",INDEX(Suivi!$B:$B,1800))</f>
        <v/>
      </c>
      <c r="C1766">
        <f>IF($B1766="","",IF(INDEX(Suivi!$D:$D,1800)="",INDEX(Suivi!$C:$C,1800),INDEX(Suivi!$D:$D,1800)))</f>
        <v/>
      </c>
      <c r="D1766" s="29">
        <f>IF($B1766="","",INDEX(Suivi!$E:$E,1800))</f>
        <v/>
      </c>
      <c r="E1766" s="29">
        <f>IF($B1766="","",INDEX(Suivi!$F:$F,1800))</f>
        <v/>
      </c>
      <c r="F1766">
        <f>IF($B1766="","",INDEX(Suivi!$G:$G,1800))</f>
        <v/>
      </c>
      <c r="H1766">
        <f>IF(OR($B1766="",NOT(ISNUMBER($D1766))),"",IF($E1766&lt;$D$2,"Passé",IF($D1766&gt;$F$2,"À venir","Dans la période")))</f>
        <v/>
      </c>
      <c r="I1766">
        <f>IF(OR($B1766="",NOT(ISNUMBER($D1766))),"",IF(AND($E1766&lt;$D$2,$G1766&lt;&gt;"X",$F1766&lt;&gt;"Réalisé",$F1766&lt;&gt;"Clôturé"),"RETARD",""))</f>
        <v/>
      </c>
      <c r="J1766" s="29">
        <f>IF($B1766="","",IF(INDEX(Dossiers!$F$4:$F$63,34)="","",INDEX(Dossiers!$F$4:$F$63,34)))</f>
        <v/>
      </c>
      <c r="K1766" s="29">
        <f>IF($B1766="","",IF(INDEX(Dossiers!$G$4:$G$63,34)="","",INDEX(Dossiers!$G$4:$G$63,34)))</f>
        <v/>
      </c>
    </row>
    <row r="1767">
      <c r="A1767">
        <f>IF($B1767="","",INDEX(Dossiers!$E$4:$E$63,34))</f>
        <v/>
      </c>
      <c r="B1767">
        <f>IF(INDEX(Suivi!$B:$B,1801)="","",INDEX(Suivi!$B:$B,1801))</f>
        <v/>
      </c>
      <c r="C1767">
        <f>IF($B1767="","",IF(INDEX(Suivi!$D:$D,1801)="",INDEX(Suivi!$C:$C,1801),INDEX(Suivi!$D:$D,1801)))</f>
        <v/>
      </c>
      <c r="D1767" s="29">
        <f>IF($B1767="","",INDEX(Suivi!$E:$E,1801))</f>
        <v/>
      </c>
      <c r="E1767" s="29">
        <f>IF($B1767="","",INDEX(Suivi!$F:$F,1801))</f>
        <v/>
      </c>
      <c r="F1767">
        <f>IF($B1767="","",INDEX(Suivi!$G:$G,1801))</f>
        <v/>
      </c>
      <c r="H1767">
        <f>IF(OR($B1767="",NOT(ISNUMBER($D1767))),"",IF($E1767&lt;$D$2,"Passé",IF($D1767&gt;$F$2,"À venir","Dans la période")))</f>
        <v/>
      </c>
      <c r="I1767">
        <f>IF(OR($B1767="",NOT(ISNUMBER($D1767))),"",IF(AND($E1767&lt;$D$2,$G1767&lt;&gt;"X",$F1767&lt;&gt;"Réalisé",$F1767&lt;&gt;"Clôturé"),"RETARD",""))</f>
        <v/>
      </c>
      <c r="J1767" s="29">
        <f>IF($B1767="","",IF(INDEX(Dossiers!$F$4:$F$63,34)="","",INDEX(Dossiers!$F$4:$F$63,34)))</f>
        <v/>
      </c>
      <c r="K1767" s="29">
        <f>IF($B1767="","",IF(INDEX(Dossiers!$G$4:$G$63,34)="","",INDEX(Dossiers!$G$4:$G$63,34)))</f>
        <v/>
      </c>
    </row>
    <row r="1768">
      <c r="A1768">
        <f>IF($B1768="","",INDEX(Dossiers!$E$4:$E$63,34))</f>
        <v/>
      </c>
      <c r="B1768">
        <f>IF(INDEX(Suivi!$B:$B,1802)="","",INDEX(Suivi!$B:$B,1802))</f>
        <v/>
      </c>
      <c r="C1768">
        <f>IF($B1768="","",IF(INDEX(Suivi!$D:$D,1802)="",INDEX(Suivi!$C:$C,1802),INDEX(Suivi!$D:$D,1802)))</f>
        <v/>
      </c>
      <c r="D1768" s="29">
        <f>IF($B1768="","",INDEX(Suivi!$E:$E,1802))</f>
        <v/>
      </c>
      <c r="E1768" s="29">
        <f>IF($B1768="","",INDEX(Suivi!$F:$F,1802))</f>
        <v/>
      </c>
      <c r="F1768">
        <f>IF($B1768="","",INDEX(Suivi!$G:$G,1802))</f>
        <v/>
      </c>
      <c r="H1768">
        <f>IF(OR($B1768="",NOT(ISNUMBER($D1768))),"",IF($E1768&lt;$D$2,"Passé",IF($D1768&gt;$F$2,"À venir","Dans la période")))</f>
        <v/>
      </c>
      <c r="I1768">
        <f>IF(OR($B1768="",NOT(ISNUMBER($D1768))),"",IF(AND($E1768&lt;$D$2,$G1768&lt;&gt;"X",$F1768&lt;&gt;"Réalisé",$F1768&lt;&gt;"Clôturé"),"RETARD",""))</f>
        <v/>
      </c>
      <c r="J1768" s="29">
        <f>IF($B1768="","",IF(INDEX(Dossiers!$F$4:$F$63,34)="","",INDEX(Dossiers!$F$4:$F$63,34)))</f>
        <v/>
      </c>
      <c r="K1768" s="29">
        <f>IF($B1768="","",IF(INDEX(Dossiers!$G$4:$G$63,34)="","",INDEX(Dossiers!$G$4:$G$63,34)))</f>
        <v/>
      </c>
    </row>
    <row r="1769">
      <c r="A1769">
        <f>IF($B1769="","",INDEX(Dossiers!$E$4:$E$63,34))</f>
        <v/>
      </c>
      <c r="B1769">
        <f>IF(INDEX(Suivi!$B:$B,1803)="","",INDEX(Suivi!$B:$B,1803))</f>
        <v/>
      </c>
      <c r="C1769">
        <f>IF($B1769="","",IF(INDEX(Suivi!$D:$D,1803)="",INDEX(Suivi!$C:$C,1803),INDEX(Suivi!$D:$D,1803)))</f>
        <v/>
      </c>
      <c r="D1769" s="29">
        <f>IF($B1769="","",INDEX(Suivi!$E:$E,1803))</f>
        <v/>
      </c>
      <c r="E1769" s="29">
        <f>IF($B1769="","",INDEX(Suivi!$F:$F,1803))</f>
        <v/>
      </c>
      <c r="F1769">
        <f>IF($B1769="","",INDEX(Suivi!$G:$G,1803))</f>
        <v/>
      </c>
      <c r="H1769">
        <f>IF(OR($B1769="",NOT(ISNUMBER($D1769))),"",IF($E1769&lt;$D$2,"Passé",IF($D1769&gt;$F$2,"À venir","Dans la période")))</f>
        <v/>
      </c>
      <c r="I1769">
        <f>IF(OR($B1769="",NOT(ISNUMBER($D1769))),"",IF(AND($E1769&lt;$D$2,$G1769&lt;&gt;"X",$F1769&lt;&gt;"Réalisé",$F1769&lt;&gt;"Clôturé"),"RETARD",""))</f>
        <v/>
      </c>
      <c r="J1769" s="29">
        <f>IF($B1769="","",IF(INDEX(Dossiers!$F$4:$F$63,34)="","",INDEX(Dossiers!$F$4:$F$63,34)))</f>
        <v/>
      </c>
      <c r="K1769" s="29">
        <f>IF($B1769="","",IF(INDEX(Dossiers!$G$4:$G$63,34)="","",INDEX(Dossiers!$G$4:$G$63,34)))</f>
        <v/>
      </c>
    </row>
    <row r="1770">
      <c r="A1770">
        <f>IF($B1770="","",INDEX(Dossiers!$E$4:$E$63,34))</f>
        <v/>
      </c>
      <c r="B1770">
        <f>IF(INDEX(Suivi!$B:$B,1804)="","",INDEX(Suivi!$B:$B,1804))</f>
        <v/>
      </c>
      <c r="C1770">
        <f>IF($B1770="","",IF(INDEX(Suivi!$D:$D,1804)="",INDEX(Suivi!$C:$C,1804),INDEX(Suivi!$D:$D,1804)))</f>
        <v/>
      </c>
      <c r="D1770" s="29">
        <f>IF($B1770="","",INDEX(Suivi!$E:$E,1804))</f>
        <v/>
      </c>
      <c r="E1770" s="29">
        <f>IF($B1770="","",INDEX(Suivi!$F:$F,1804))</f>
        <v/>
      </c>
      <c r="F1770">
        <f>IF($B1770="","",INDEX(Suivi!$G:$G,1804))</f>
        <v/>
      </c>
      <c r="H1770">
        <f>IF(OR($B1770="",NOT(ISNUMBER($D1770))),"",IF($E1770&lt;$D$2,"Passé",IF($D1770&gt;$F$2,"À venir","Dans la période")))</f>
        <v/>
      </c>
      <c r="I1770">
        <f>IF(OR($B1770="",NOT(ISNUMBER($D1770))),"",IF(AND($E1770&lt;$D$2,$G1770&lt;&gt;"X",$F1770&lt;&gt;"Réalisé",$F1770&lt;&gt;"Clôturé"),"RETARD",""))</f>
        <v/>
      </c>
      <c r="J1770" s="29">
        <f>IF($B1770="","",IF(INDEX(Dossiers!$F$4:$F$63,34)="","",INDEX(Dossiers!$F$4:$F$63,34)))</f>
        <v/>
      </c>
      <c r="K1770" s="29">
        <f>IF($B1770="","",IF(INDEX(Dossiers!$G$4:$G$63,34)="","",INDEX(Dossiers!$G$4:$G$63,34)))</f>
        <v/>
      </c>
    </row>
    <row r="1771">
      <c r="A1771">
        <f>IF($B1771="","",INDEX(Dossiers!$E$4:$E$63,34))</f>
        <v/>
      </c>
      <c r="B1771">
        <f>IF(INDEX(Suivi!$B:$B,1805)="","",INDEX(Suivi!$B:$B,1805))</f>
        <v/>
      </c>
      <c r="C1771">
        <f>IF($B1771="","",IF(INDEX(Suivi!$D:$D,1805)="",INDEX(Suivi!$C:$C,1805),INDEX(Suivi!$D:$D,1805)))</f>
        <v/>
      </c>
      <c r="D1771" s="29">
        <f>IF($B1771="","",INDEX(Suivi!$E:$E,1805))</f>
        <v/>
      </c>
      <c r="E1771" s="29">
        <f>IF($B1771="","",INDEX(Suivi!$F:$F,1805))</f>
        <v/>
      </c>
      <c r="F1771">
        <f>IF($B1771="","",INDEX(Suivi!$G:$G,1805))</f>
        <v/>
      </c>
      <c r="H1771">
        <f>IF(OR($B1771="",NOT(ISNUMBER($D1771))),"",IF($E1771&lt;$D$2,"Passé",IF($D1771&gt;$F$2,"À venir","Dans la période")))</f>
        <v/>
      </c>
      <c r="I1771">
        <f>IF(OR($B1771="",NOT(ISNUMBER($D1771))),"",IF(AND($E1771&lt;$D$2,$G1771&lt;&gt;"X",$F1771&lt;&gt;"Réalisé",$F1771&lt;&gt;"Clôturé"),"RETARD",""))</f>
        <v/>
      </c>
      <c r="J1771" s="29">
        <f>IF($B1771="","",IF(INDEX(Dossiers!$F$4:$F$63,34)="","",INDEX(Dossiers!$F$4:$F$63,34)))</f>
        <v/>
      </c>
      <c r="K1771" s="29">
        <f>IF($B1771="","",IF(INDEX(Dossiers!$G$4:$G$63,34)="","",INDEX(Dossiers!$G$4:$G$63,34)))</f>
        <v/>
      </c>
    </row>
    <row r="1772">
      <c r="A1772">
        <f>IF($B1772="","",INDEX(Dossiers!$E$4:$E$63,34))</f>
        <v/>
      </c>
      <c r="B1772">
        <f>IF(INDEX(Suivi!$B:$B,1806)="","",INDEX(Suivi!$B:$B,1806))</f>
        <v/>
      </c>
      <c r="C1772">
        <f>IF($B1772="","",IF(INDEX(Suivi!$D:$D,1806)="",INDEX(Suivi!$C:$C,1806),INDEX(Suivi!$D:$D,1806)))</f>
        <v/>
      </c>
      <c r="D1772" s="29">
        <f>IF($B1772="","",INDEX(Suivi!$E:$E,1806))</f>
        <v/>
      </c>
      <c r="E1772" s="29">
        <f>IF($B1772="","",INDEX(Suivi!$F:$F,1806))</f>
        <v/>
      </c>
      <c r="F1772">
        <f>IF($B1772="","",INDEX(Suivi!$G:$G,1806))</f>
        <v/>
      </c>
      <c r="H1772">
        <f>IF(OR($B1772="",NOT(ISNUMBER($D1772))),"",IF($E1772&lt;$D$2,"Passé",IF($D1772&gt;$F$2,"À venir","Dans la période")))</f>
        <v/>
      </c>
      <c r="I1772">
        <f>IF(OR($B1772="",NOT(ISNUMBER($D1772))),"",IF(AND($E1772&lt;$D$2,$G1772&lt;&gt;"X",$F1772&lt;&gt;"Réalisé",$F1772&lt;&gt;"Clôturé"),"RETARD",""))</f>
        <v/>
      </c>
      <c r="J1772" s="29">
        <f>IF($B1772="","",IF(INDEX(Dossiers!$F$4:$F$63,34)="","",INDEX(Dossiers!$F$4:$F$63,34)))</f>
        <v/>
      </c>
      <c r="K1772" s="29">
        <f>IF($B1772="","",IF(INDEX(Dossiers!$G$4:$G$63,34)="","",INDEX(Dossiers!$G$4:$G$63,34)))</f>
        <v/>
      </c>
    </row>
    <row r="1773">
      <c r="A1773">
        <f>IF($B1773="","",INDEX(Dossiers!$E$4:$E$63,34))</f>
        <v/>
      </c>
      <c r="B1773">
        <f>IF(INDEX(Suivi!$B:$B,1807)="","",INDEX(Suivi!$B:$B,1807))</f>
        <v/>
      </c>
      <c r="C1773">
        <f>IF($B1773="","",IF(INDEX(Suivi!$D:$D,1807)="",INDEX(Suivi!$C:$C,1807),INDEX(Suivi!$D:$D,1807)))</f>
        <v/>
      </c>
      <c r="D1773" s="29">
        <f>IF($B1773="","",INDEX(Suivi!$E:$E,1807))</f>
        <v/>
      </c>
      <c r="E1773" s="29">
        <f>IF($B1773="","",INDEX(Suivi!$F:$F,1807))</f>
        <v/>
      </c>
      <c r="F1773">
        <f>IF($B1773="","",INDEX(Suivi!$G:$G,1807))</f>
        <v/>
      </c>
      <c r="H1773">
        <f>IF(OR($B1773="",NOT(ISNUMBER($D1773))),"",IF($E1773&lt;$D$2,"Passé",IF($D1773&gt;$F$2,"À venir","Dans la période")))</f>
        <v/>
      </c>
      <c r="I1773">
        <f>IF(OR($B1773="",NOT(ISNUMBER($D1773))),"",IF(AND($E1773&lt;$D$2,$G1773&lt;&gt;"X",$F1773&lt;&gt;"Réalisé",$F1773&lt;&gt;"Clôturé"),"RETARD",""))</f>
        <v/>
      </c>
      <c r="J1773" s="29">
        <f>IF($B1773="","",IF(INDEX(Dossiers!$F$4:$F$63,34)="","",INDEX(Dossiers!$F$4:$F$63,34)))</f>
        <v/>
      </c>
      <c r="K1773" s="29">
        <f>IF($B1773="","",IF(INDEX(Dossiers!$G$4:$G$63,34)="","",INDEX(Dossiers!$G$4:$G$63,34)))</f>
        <v/>
      </c>
    </row>
    <row r="1774">
      <c r="A1774">
        <f>IF($B1774="","",INDEX(Dossiers!$E$4:$E$63,34))</f>
        <v/>
      </c>
      <c r="B1774">
        <f>IF(INDEX(Suivi!$B:$B,1808)="","",INDEX(Suivi!$B:$B,1808))</f>
        <v/>
      </c>
      <c r="C1774">
        <f>IF($B1774="","",IF(INDEX(Suivi!$D:$D,1808)="",INDEX(Suivi!$C:$C,1808),INDEX(Suivi!$D:$D,1808)))</f>
        <v/>
      </c>
      <c r="D1774" s="29">
        <f>IF($B1774="","",INDEX(Suivi!$E:$E,1808))</f>
        <v/>
      </c>
      <c r="E1774" s="29">
        <f>IF($B1774="","",INDEX(Suivi!$F:$F,1808))</f>
        <v/>
      </c>
      <c r="F1774">
        <f>IF($B1774="","",INDEX(Suivi!$G:$G,1808))</f>
        <v/>
      </c>
      <c r="H1774">
        <f>IF(OR($B1774="",NOT(ISNUMBER($D1774))),"",IF($E1774&lt;$D$2,"Passé",IF($D1774&gt;$F$2,"À venir","Dans la période")))</f>
        <v/>
      </c>
      <c r="I1774">
        <f>IF(OR($B1774="",NOT(ISNUMBER($D1774))),"",IF(AND($E1774&lt;$D$2,$G1774&lt;&gt;"X",$F1774&lt;&gt;"Réalisé",$F1774&lt;&gt;"Clôturé"),"RETARD",""))</f>
        <v/>
      </c>
      <c r="J1774" s="29">
        <f>IF($B1774="","",IF(INDEX(Dossiers!$F$4:$F$63,34)="","",INDEX(Dossiers!$F$4:$F$63,34)))</f>
        <v/>
      </c>
      <c r="K1774" s="29">
        <f>IF($B1774="","",IF(INDEX(Dossiers!$G$4:$G$63,34)="","",INDEX(Dossiers!$G$4:$G$63,34)))</f>
        <v/>
      </c>
    </row>
    <row r="1775">
      <c r="A1775">
        <f>IF($B1775="","",INDEX(Dossiers!$E$4:$E$63,34))</f>
        <v/>
      </c>
      <c r="B1775">
        <f>IF(INDEX(Suivi!$B:$B,1809)="","",INDEX(Suivi!$B:$B,1809))</f>
        <v/>
      </c>
      <c r="C1775">
        <f>IF($B1775="","",IF(INDEX(Suivi!$D:$D,1809)="",INDEX(Suivi!$C:$C,1809),INDEX(Suivi!$D:$D,1809)))</f>
        <v/>
      </c>
      <c r="D1775" s="29">
        <f>IF($B1775="","",INDEX(Suivi!$E:$E,1809))</f>
        <v/>
      </c>
      <c r="E1775" s="29">
        <f>IF($B1775="","",INDEX(Suivi!$F:$F,1809))</f>
        <v/>
      </c>
      <c r="F1775">
        <f>IF($B1775="","",INDEX(Suivi!$G:$G,1809))</f>
        <v/>
      </c>
      <c r="H1775">
        <f>IF(OR($B1775="",NOT(ISNUMBER($D1775))),"",IF($E1775&lt;$D$2,"Passé",IF($D1775&gt;$F$2,"À venir","Dans la période")))</f>
        <v/>
      </c>
      <c r="I1775">
        <f>IF(OR($B1775="",NOT(ISNUMBER($D1775))),"",IF(AND($E1775&lt;$D$2,$G1775&lt;&gt;"X",$F1775&lt;&gt;"Réalisé",$F1775&lt;&gt;"Clôturé"),"RETARD",""))</f>
        <v/>
      </c>
      <c r="J1775" s="29">
        <f>IF($B1775="","",IF(INDEX(Dossiers!$F$4:$F$63,34)="","",INDEX(Dossiers!$F$4:$F$63,34)))</f>
        <v/>
      </c>
      <c r="K1775" s="29">
        <f>IF($B1775="","",IF(INDEX(Dossiers!$G$4:$G$63,34)="","",INDEX(Dossiers!$G$4:$G$63,34)))</f>
        <v/>
      </c>
    </row>
    <row r="1776">
      <c r="A1776">
        <f>IF($B1776="","",INDEX(Dossiers!$E$4:$E$63,34))</f>
        <v/>
      </c>
      <c r="B1776">
        <f>IF(INDEX(Suivi!$B:$B,1810)="","",INDEX(Suivi!$B:$B,1810))</f>
        <v/>
      </c>
      <c r="C1776">
        <f>IF($B1776="","",IF(INDEX(Suivi!$D:$D,1810)="",INDEX(Suivi!$C:$C,1810),INDEX(Suivi!$D:$D,1810)))</f>
        <v/>
      </c>
      <c r="D1776" s="29">
        <f>IF($B1776="","",INDEX(Suivi!$E:$E,1810))</f>
        <v/>
      </c>
      <c r="E1776" s="29">
        <f>IF($B1776="","",INDEX(Suivi!$F:$F,1810))</f>
        <v/>
      </c>
      <c r="F1776">
        <f>IF($B1776="","",INDEX(Suivi!$G:$G,1810))</f>
        <v/>
      </c>
      <c r="H1776">
        <f>IF(OR($B1776="",NOT(ISNUMBER($D1776))),"",IF($E1776&lt;$D$2,"Passé",IF($D1776&gt;$F$2,"À venir","Dans la période")))</f>
        <v/>
      </c>
      <c r="I1776">
        <f>IF(OR($B1776="",NOT(ISNUMBER($D1776))),"",IF(AND($E1776&lt;$D$2,$G1776&lt;&gt;"X",$F1776&lt;&gt;"Réalisé",$F1776&lt;&gt;"Clôturé"),"RETARD",""))</f>
        <v/>
      </c>
      <c r="J1776" s="29">
        <f>IF($B1776="","",IF(INDEX(Dossiers!$F$4:$F$63,34)="","",INDEX(Dossiers!$F$4:$F$63,34)))</f>
        <v/>
      </c>
      <c r="K1776" s="29">
        <f>IF($B1776="","",IF(INDEX(Dossiers!$G$4:$G$63,34)="","",INDEX(Dossiers!$G$4:$G$63,34)))</f>
        <v/>
      </c>
    </row>
    <row r="1777">
      <c r="A1777">
        <f>IF($B1777="","",INDEX(Dossiers!$E$4:$E$63,34))</f>
        <v/>
      </c>
      <c r="B1777">
        <f>IF(INDEX(Suivi!$B:$B,1811)="","",INDEX(Suivi!$B:$B,1811))</f>
        <v/>
      </c>
      <c r="C1777">
        <f>IF($B1777="","",IF(INDEX(Suivi!$D:$D,1811)="",INDEX(Suivi!$C:$C,1811),INDEX(Suivi!$D:$D,1811)))</f>
        <v/>
      </c>
      <c r="D1777" s="29">
        <f>IF($B1777="","",INDEX(Suivi!$E:$E,1811))</f>
        <v/>
      </c>
      <c r="E1777" s="29">
        <f>IF($B1777="","",INDEX(Suivi!$F:$F,1811))</f>
        <v/>
      </c>
      <c r="F1777">
        <f>IF($B1777="","",INDEX(Suivi!$G:$G,1811))</f>
        <v/>
      </c>
      <c r="H1777">
        <f>IF(OR($B1777="",NOT(ISNUMBER($D1777))),"",IF($E1777&lt;$D$2,"Passé",IF($D1777&gt;$F$2,"À venir","Dans la période")))</f>
        <v/>
      </c>
      <c r="I1777">
        <f>IF(OR($B1777="",NOT(ISNUMBER($D1777))),"",IF(AND($E1777&lt;$D$2,$G1777&lt;&gt;"X",$F1777&lt;&gt;"Réalisé",$F1777&lt;&gt;"Clôturé"),"RETARD",""))</f>
        <v/>
      </c>
      <c r="J1777" s="29">
        <f>IF($B1777="","",IF(INDEX(Dossiers!$F$4:$F$63,34)="","",INDEX(Dossiers!$F$4:$F$63,34)))</f>
        <v/>
      </c>
      <c r="K1777" s="29">
        <f>IF($B1777="","",IF(INDEX(Dossiers!$G$4:$G$63,34)="","",INDEX(Dossiers!$G$4:$G$63,34)))</f>
        <v/>
      </c>
    </row>
    <row r="1778">
      <c r="A1778">
        <f>IF($B1778="","",INDEX(Dossiers!$E$4:$E$63,34))</f>
        <v/>
      </c>
      <c r="B1778">
        <f>IF(INDEX(Suivi!$B:$B,1812)="","",INDEX(Suivi!$B:$B,1812))</f>
        <v/>
      </c>
      <c r="C1778">
        <f>IF($B1778="","",IF(INDEX(Suivi!$D:$D,1812)="",INDEX(Suivi!$C:$C,1812),INDEX(Suivi!$D:$D,1812)))</f>
        <v/>
      </c>
      <c r="D1778" s="29">
        <f>IF($B1778="","",INDEX(Suivi!$E:$E,1812))</f>
        <v/>
      </c>
      <c r="E1778" s="29">
        <f>IF($B1778="","",INDEX(Suivi!$F:$F,1812))</f>
        <v/>
      </c>
      <c r="F1778">
        <f>IF($B1778="","",INDEX(Suivi!$G:$G,1812))</f>
        <v/>
      </c>
      <c r="H1778">
        <f>IF(OR($B1778="",NOT(ISNUMBER($D1778))),"",IF($E1778&lt;$D$2,"Passé",IF($D1778&gt;$F$2,"À venir","Dans la période")))</f>
        <v/>
      </c>
      <c r="I1778">
        <f>IF(OR($B1778="",NOT(ISNUMBER($D1778))),"",IF(AND($E1778&lt;$D$2,$G1778&lt;&gt;"X",$F1778&lt;&gt;"Réalisé",$F1778&lt;&gt;"Clôturé"),"RETARD",""))</f>
        <v/>
      </c>
      <c r="J1778" s="29">
        <f>IF($B1778="","",IF(INDEX(Dossiers!$F$4:$F$63,34)="","",INDEX(Dossiers!$F$4:$F$63,34)))</f>
        <v/>
      </c>
      <c r="K1778" s="29">
        <f>IF($B1778="","",IF(INDEX(Dossiers!$G$4:$G$63,34)="","",INDEX(Dossiers!$G$4:$G$63,34)))</f>
        <v/>
      </c>
    </row>
    <row r="1779">
      <c r="A1779">
        <f>IF($B1779="","",INDEX(Dossiers!$E$4:$E$63,34))</f>
        <v/>
      </c>
      <c r="B1779">
        <f>IF(INDEX(Suivi!$B:$B,1813)="","",INDEX(Suivi!$B:$B,1813))</f>
        <v/>
      </c>
      <c r="C1779">
        <f>IF($B1779="","",IF(INDEX(Suivi!$D:$D,1813)="",INDEX(Suivi!$C:$C,1813),INDEX(Suivi!$D:$D,1813)))</f>
        <v/>
      </c>
      <c r="D1779" s="29">
        <f>IF($B1779="","",INDEX(Suivi!$E:$E,1813))</f>
        <v/>
      </c>
      <c r="E1779" s="29">
        <f>IF($B1779="","",INDEX(Suivi!$F:$F,1813))</f>
        <v/>
      </c>
      <c r="F1779">
        <f>IF($B1779="","",INDEX(Suivi!$G:$G,1813))</f>
        <v/>
      </c>
      <c r="H1779">
        <f>IF(OR($B1779="",NOT(ISNUMBER($D1779))),"",IF($E1779&lt;$D$2,"Passé",IF($D1779&gt;$F$2,"À venir","Dans la période")))</f>
        <v/>
      </c>
      <c r="I1779">
        <f>IF(OR($B1779="",NOT(ISNUMBER($D1779))),"",IF(AND($E1779&lt;$D$2,$G1779&lt;&gt;"X",$F1779&lt;&gt;"Réalisé",$F1779&lt;&gt;"Clôturé"),"RETARD",""))</f>
        <v/>
      </c>
      <c r="J1779" s="29">
        <f>IF($B1779="","",IF(INDEX(Dossiers!$F$4:$F$63,34)="","",INDEX(Dossiers!$F$4:$F$63,34)))</f>
        <v/>
      </c>
      <c r="K1779" s="29">
        <f>IF($B1779="","",IF(INDEX(Dossiers!$G$4:$G$63,34)="","",INDEX(Dossiers!$G$4:$G$63,34)))</f>
        <v/>
      </c>
    </row>
    <row r="1780">
      <c r="A1780">
        <f>IF($B1780="","",INDEX(Dossiers!$E$4:$E$63,34))</f>
        <v/>
      </c>
      <c r="B1780">
        <f>IF(INDEX(Suivi!$B:$B,1814)="","",INDEX(Suivi!$B:$B,1814))</f>
        <v/>
      </c>
      <c r="C1780">
        <f>IF($B1780="","",IF(INDEX(Suivi!$D:$D,1814)="",INDEX(Suivi!$C:$C,1814),INDEX(Suivi!$D:$D,1814)))</f>
        <v/>
      </c>
      <c r="D1780" s="29">
        <f>IF($B1780="","",INDEX(Suivi!$E:$E,1814))</f>
        <v/>
      </c>
      <c r="E1780" s="29">
        <f>IF($B1780="","",INDEX(Suivi!$F:$F,1814))</f>
        <v/>
      </c>
      <c r="F1780">
        <f>IF($B1780="","",INDEX(Suivi!$G:$G,1814))</f>
        <v/>
      </c>
      <c r="H1780">
        <f>IF(OR($B1780="",NOT(ISNUMBER($D1780))),"",IF($E1780&lt;$D$2,"Passé",IF($D1780&gt;$F$2,"À venir","Dans la période")))</f>
        <v/>
      </c>
      <c r="I1780">
        <f>IF(OR($B1780="",NOT(ISNUMBER($D1780))),"",IF(AND($E1780&lt;$D$2,$G1780&lt;&gt;"X",$F1780&lt;&gt;"Réalisé",$F1780&lt;&gt;"Clôturé"),"RETARD",""))</f>
        <v/>
      </c>
      <c r="J1780" s="29">
        <f>IF($B1780="","",IF(INDEX(Dossiers!$F$4:$F$63,34)="","",INDEX(Dossiers!$F$4:$F$63,34)))</f>
        <v/>
      </c>
      <c r="K1780" s="29">
        <f>IF($B1780="","",IF(INDEX(Dossiers!$G$4:$G$63,34)="","",INDEX(Dossiers!$G$4:$G$63,34)))</f>
        <v/>
      </c>
    </row>
    <row r="1781">
      <c r="A1781">
        <f>IF($B1781="","",INDEX(Dossiers!$E$4:$E$63,34))</f>
        <v/>
      </c>
      <c r="B1781">
        <f>IF(INDEX(Suivi!$B:$B,1815)="","",INDEX(Suivi!$B:$B,1815))</f>
        <v/>
      </c>
      <c r="C1781">
        <f>IF($B1781="","",IF(INDEX(Suivi!$D:$D,1815)="",INDEX(Suivi!$C:$C,1815),INDEX(Suivi!$D:$D,1815)))</f>
        <v/>
      </c>
      <c r="D1781" s="29">
        <f>IF($B1781="","",INDEX(Suivi!$E:$E,1815))</f>
        <v/>
      </c>
      <c r="E1781" s="29">
        <f>IF($B1781="","",INDEX(Suivi!$F:$F,1815))</f>
        <v/>
      </c>
      <c r="F1781">
        <f>IF($B1781="","",INDEX(Suivi!$G:$G,1815))</f>
        <v/>
      </c>
      <c r="H1781">
        <f>IF(OR($B1781="",NOT(ISNUMBER($D1781))),"",IF($E1781&lt;$D$2,"Passé",IF($D1781&gt;$F$2,"À venir","Dans la période")))</f>
        <v/>
      </c>
      <c r="I1781">
        <f>IF(OR($B1781="",NOT(ISNUMBER($D1781))),"",IF(AND($E1781&lt;$D$2,$G1781&lt;&gt;"X",$F1781&lt;&gt;"Réalisé",$F1781&lt;&gt;"Clôturé"),"RETARD",""))</f>
        <v/>
      </c>
      <c r="J1781" s="29">
        <f>IF($B1781="","",IF(INDEX(Dossiers!$F$4:$F$63,34)="","",INDEX(Dossiers!$F$4:$F$63,34)))</f>
        <v/>
      </c>
      <c r="K1781" s="29">
        <f>IF($B1781="","",IF(INDEX(Dossiers!$G$4:$G$63,34)="","",INDEX(Dossiers!$G$4:$G$63,34)))</f>
        <v/>
      </c>
    </row>
    <row r="1782">
      <c r="A1782">
        <f>IF($B1782="","",INDEX(Dossiers!$E$4:$E$63,34))</f>
        <v/>
      </c>
      <c r="B1782">
        <f>IF(INDEX(Suivi!$B:$B,1816)="","",INDEX(Suivi!$B:$B,1816))</f>
        <v/>
      </c>
      <c r="C1782">
        <f>IF($B1782="","",IF(INDEX(Suivi!$D:$D,1816)="",INDEX(Suivi!$C:$C,1816),INDEX(Suivi!$D:$D,1816)))</f>
        <v/>
      </c>
      <c r="D1782" s="29">
        <f>IF($B1782="","",INDEX(Suivi!$E:$E,1816))</f>
        <v/>
      </c>
      <c r="E1782" s="29">
        <f>IF($B1782="","",INDEX(Suivi!$F:$F,1816))</f>
        <v/>
      </c>
      <c r="F1782">
        <f>IF($B1782="","",INDEX(Suivi!$G:$G,1816))</f>
        <v/>
      </c>
      <c r="H1782">
        <f>IF(OR($B1782="",NOT(ISNUMBER($D1782))),"",IF($E1782&lt;$D$2,"Passé",IF($D1782&gt;$F$2,"À venir","Dans la période")))</f>
        <v/>
      </c>
      <c r="I1782">
        <f>IF(OR($B1782="",NOT(ISNUMBER($D1782))),"",IF(AND($E1782&lt;$D$2,$G1782&lt;&gt;"X",$F1782&lt;&gt;"Réalisé",$F1782&lt;&gt;"Clôturé"),"RETARD",""))</f>
        <v/>
      </c>
      <c r="J1782" s="29">
        <f>IF($B1782="","",IF(INDEX(Dossiers!$F$4:$F$63,34)="","",INDEX(Dossiers!$F$4:$F$63,34)))</f>
        <v/>
      </c>
      <c r="K1782" s="29">
        <f>IF($B1782="","",IF(INDEX(Dossiers!$G$4:$G$63,34)="","",INDEX(Dossiers!$G$4:$G$63,34)))</f>
        <v/>
      </c>
    </row>
    <row r="1783">
      <c r="A1783">
        <f>IF($B1783="","",INDEX(Dossiers!$E$4:$E$63,34))</f>
        <v/>
      </c>
      <c r="B1783">
        <f>IF(INDEX(Suivi!$B:$B,1817)="","",INDEX(Suivi!$B:$B,1817))</f>
        <v/>
      </c>
      <c r="C1783">
        <f>IF($B1783="","",IF(INDEX(Suivi!$D:$D,1817)="",INDEX(Suivi!$C:$C,1817),INDEX(Suivi!$D:$D,1817)))</f>
        <v/>
      </c>
      <c r="D1783" s="29">
        <f>IF($B1783="","",INDEX(Suivi!$E:$E,1817))</f>
        <v/>
      </c>
      <c r="E1783" s="29">
        <f>IF($B1783="","",INDEX(Suivi!$F:$F,1817))</f>
        <v/>
      </c>
      <c r="F1783">
        <f>IF($B1783="","",INDEX(Suivi!$G:$G,1817))</f>
        <v/>
      </c>
      <c r="H1783">
        <f>IF(OR($B1783="",NOT(ISNUMBER($D1783))),"",IF($E1783&lt;$D$2,"Passé",IF($D1783&gt;$F$2,"À venir","Dans la période")))</f>
        <v/>
      </c>
      <c r="I1783">
        <f>IF(OR($B1783="",NOT(ISNUMBER($D1783))),"",IF(AND($E1783&lt;$D$2,$G1783&lt;&gt;"X",$F1783&lt;&gt;"Réalisé",$F1783&lt;&gt;"Clôturé"),"RETARD",""))</f>
        <v/>
      </c>
      <c r="J1783" s="29">
        <f>IF($B1783="","",IF(INDEX(Dossiers!$F$4:$F$63,34)="","",INDEX(Dossiers!$F$4:$F$63,34)))</f>
        <v/>
      </c>
      <c r="K1783" s="29">
        <f>IF($B1783="","",IF(INDEX(Dossiers!$G$4:$G$63,34)="","",INDEX(Dossiers!$G$4:$G$63,34)))</f>
        <v/>
      </c>
    </row>
    <row r="1784">
      <c r="A1784">
        <f>IF($B1784="","",INDEX(Dossiers!$E$4:$E$63,34))</f>
        <v/>
      </c>
      <c r="B1784">
        <f>IF(INDEX(Suivi!$B:$B,1818)="","",INDEX(Suivi!$B:$B,1818))</f>
        <v/>
      </c>
      <c r="C1784">
        <f>IF($B1784="","",IF(INDEX(Suivi!$D:$D,1818)="",INDEX(Suivi!$C:$C,1818),INDEX(Suivi!$D:$D,1818)))</f>
        <v/>
      </c>
      <c r="D1784" s="29">
        <f>IF($B1784="","",INDEX(Suivi!$E:$E,1818))</f>
        <v/>
      </c>
      <c r="E1784" s="29">
        <f>IF($B1784="","",INDEX(Suivi!$F:$F,1818))</f>
        <v/>
      </c>
      <c r="F1784">
        <f>IF($B1784="","",INDEX(Suivi!$G:$G,1818))</f>
        <v/>
      </c>
      <c r="H1784">
        <f>IF(OR($B1784="",NOT(ISNUMBER($D1784))),"",IF($E1784&lt;$D$2,"Passé",IF($D1784&gt;$F$2,"À venir","Dans la période")))</f>
        <v/>
      </c>
      <c r="I1784">
        <f>IF(OR($B1784="",NOT(ISNUMBER($D1784))),"",IF(AND($E1784&lt;$D$2,$G1784&lt;&gt;"X",$F1784&lt;&gt;"Réalisé",$F1784&lt;&gt;"Clôturé"),"RETARD",""))</f>
        <v/>
      </c>
      <c r="J1784" s="29">
        <f>IF($B1784="","",IF(INDEX(Dossiers!$F$4:$F$63,34)="","",INDEX(Dossiers!$F$4:$F$63,34)))</f>
        <v/>
      </c>
      <c r="K1784" s="29">
        <f>IF($B1784="","",IF(INDEX(Dossiers!$G$4:$G$63,34)="","",INDEX(Dossiers!$G$4:$G$63,34)))</f>
        <v/>
      </c>
    </row>
    <row r="1785">
      <c r="A1785">
        <f>IF($B1785="","",INDEX(Dossiers!$E$4:$E$63,34))</f>
        <v/>
      </c>
      <c r="B1785">
        <f>IF(INDEX(Suivi!$B:$B,1819)="","",INDEX(Suivi!$B:$B,1819))</f>
        <v/>
      </c>
      <c r="C1785">
        <f>IF($B1785="","",IF(INDEX(Suivi!$D:$D,1819)="",INDEX(Suivi!$C:$C,1819),INDEX(Suivi!$D:$D,1819)))</f>
        <v/>
      </c>
      <c r="D1785" s="29">
        <f>IF($B1785="","",INDEX(Suivi!$E:$E,1819))</f>
        <v/>
      </c>
      <c r="E1785" s="29">
        <f>IF($B1785="","",INDEX(Suivi!$F:$F,1819))</f>
        <v/>
      </c>
      <c r="F1785">
        <f>IF($B1785="","",INDEX(Suivi!$G:$G,1819))</f>
        <v/>
      </c>
      <c r="H1785">
        <f>IF(OR($B1785="",NOT(ISNUMBER($D1785))),"",IF($E1785&lt;$D$2,"Passé",IF($D1785&gt;$F$2,"À venir","Dans la période")))</f>
        <v/>
      </c>
      <c r="I1785">
        <f>IF(OR($B1785="",NOT(ISNUMBER($D1785))),"",IF(AND($E1785&lt;$D$2,$G1785&lt;&gt;"X",$F1785&lt;&gt;"Réalisé",$F1785&lt;&gt;"Clôturé"),"RETARD",""))</f>
        <v/>
      </c>
      <c r="J1785" s="29">
        <f>IF($B1785="","",IF(INDEX(Dossiers!$F$4:$F$63,34)="","",INDEX(Dossiers!$F$4:$F$63,34)))</f>
        <v/>
      </c>
      <c r="K1785" s="29">
        <f>IF($B1785="","",IF(INDEX(Dossiers!$G$4:$G$63,34)="","",INDEX(Dossiers!$G$4:$G$63,34)))</f>
        <v/>
      </c>
    </row>
    <row r="1786">
      <c r="A1786">
        <f>IF($B1786="","",INDEX(Dossiers!$E$4:$E$63,34))</f>
        <v/>
      </c>
      <c r="B1786">
        <f>IF(INDEX(Suivi!$B:$B,1820)="","",INDEX(Suivi!$B:$B,1820))</f>
        <v/>
      </c>
      <c r="C1786">
        <f>IF($B1786="","",IF(INDEX(Suivi!$D:$D,1820)="",INDEX(Suivi!$C:$C,1820),INDEX(Suivi!$D:$D,1820)))</f>
        <v/>
      </c>
      <c r="D1786" s="29">
        <f>IF($B1786="","",INDEX(Suivi!$E:$E,1820))</f>
        <v/>
      </c>
      <c r="E1786" s="29">
        <f>IF($B1786="","",INDEX(Suivi!$F:$F,1820))</f>
        <v/>
      </c>
      <c r="F1786">
        <f>IF($B1786="","",INDEX(Suivi!$G:$G,1820))</f>
        <v/>
      </c>
      <c r="H1786">
        <f>IF(OR($B1786="",NOT(ISNUMBER($D1786))),"",IF($E1786&lt;$D$2,"Passé",IF($D1786&gt;$F$2,"À venir","Dans la période")))</f>
        <v/>
      </c>
      <c r="I1786">
        <f>IF(OR($B1786="",NOT(ISNUMBER($D1786))),"",IF(AND($E1786&lt;$D$2,$G1786&lt;&gt;"X",$F1786&lt;&gt;"Réalisé",$F1786&lt;&gt;"Clôturé"),"RETARD",""))</f>
        <v/>
      </c>
      <c r="J1786" s="29">
        <f>IF($B1786="","",IF(INDEX(Dossiers!$F$4:$F$63,34)="","",INDEX(Dossiers!$F$4:$F$63,34)))</f>
        <v/>
      </c>
      <c r="K1786" s="29">
        <f>IF($B1786="","",IF(INDEX(Dossiers!$G$4:$G$63,34)="","",INDEX(Dossiers!$G$4:$G$63,34)))</f>
        <v/>
      </c>
    </row>
    <row r="1787">
      <c r="A1787">
        <f>IF($B1787="","",INDEX(Dossiers!$E$4:$E$63,34))</f>
        <v/>
      </c>
      <c r="B1787">
        <f>IF(INDEX(Suivi!$B:$B,1821)="","",INDEX(Suivi!$B:$B,1821))</f>
        <v/>
      </c>
      <c r="C1787">
        <f>IF($B1787="","",IF(INDEX(Suivi!$D:$D,1821)="",INDEX(Suivi!$C:$C,1821),INDEX(Suivi!$D:$D,1821)))</f>
        <v/>
      </c>
      <c r="D1787" s="29">
        <f>IF($B1787="","",INDEX(Suivi!$E:$E,1821))</f>
        <v/>
      </c>
      <c r="E1787" s="29">
        <f>IF($B1787="","",INDEX(Suivi!$F:$F,1821))</f>
        <v/>
      </c>
      <c r="F1787">
        <f>IF($B1787="","",INDEX(Suivi!$G:$G,1821))</f>
        <v/>
      </c>
      <c r="H1787">
        <f>IF(OR($B1787="",NOT(ISNUMBER($D1787))),"",IF($E1787&lt;$D$2,"Passé",IF($D1787&gt;$F$2,"À venir","Dans la période")))</f>
        <v/>
      </c>
      <c r="I1787">
        <f>IF(OR($B1787="",NOT(ISNUMBER($D1787))),"",IF(AND($E1787&lt;$D$2,$G1787&lt;&gt;"X",$F1787&lt;&gt;"Réalisé",$F1787&lt;&gt;"Clôturé"),"RETARD",""))</f>
        <v/>
      </c>
      <c r="J1787" s="29">
        <f>IF($B1787="","",IF(INDEX(Dossiers!$F$4:$F$63,34)="","",INDEX(Dossiers!$F$4:$F$63,34)))</f>
        <v/>
      </c>
      <c r="K1787" s="29">
        <f>IF($B1787="","",IF(INDEX(Dossiers!$G$4:$G$63,34)="","",INDEX(Dossiers!$G$4:$G$63,34)))</f>
        <v/>
      </c>
    </row>
    <row r="1788">
      <c r="A1788">
        <f>IF($B1788="","",INDEX(Dossiers!$E$4:$E$63,34))</f>
        <v/>
      </c>
      <c r="B1788">
        <f>IF(INDEX(Suivi!$B:$B,1822)="","",INDEX(Suivi!$B:$B,1822))</f>
        <v/>
      </c>
      <c r="C1788">
        <f>IF($B1788="","",IF(INDEX(Suivi!$D:$D,1822)="",INDEX(Suivi!$C:$C,1822),INDEX(Suivi!$D:$D,1822)))</f>
        <v/>
      </c>
      <c r="D1788" s="29">
        <f>IF($B1788="","",INDEX(Suivi!$E:$E,1822))</f>
        <v/>
      </c>
      <c r="E1788" s="29">
        <f>IF($B1788="","",INDEX(Suivi!$F:$F,1822))</f>
        <v/>
      </c>
      <c r="F1788">
        <f>IF($B1788="","",INDEX(Suivi!$G:$G,1822))</f>
        <v/>
      </c>
      <c r="H1788">
        <f>IF(OR($B1788="",NOT(ISNUMBER($D1788))),"",IF($E1788&lt;$D$2,"Passé",IF($D1788&gt;$F$2,"À venir","Dans la période")))</f>
        <v/>
      </c>
      <c r="I1788">
        <f>IF(OR($B1788="",NOT(ISNUMBER($D1788))),"",IF(AND($E1788&lt;$D$2,$G1788&lt;&gt;"X",$F1788&lt;&gt;"Réalisé",$F1788&lt;&gt;"Clôturé"),"RETARD",""))</f>
        <v/>
      </c>
      <c r="J1788" s="29">
        <f>IF($B1788="","",IF(INDEX(Dossiers!$F$4:$F$63,34)="","",INDEX(Dossiers!$F$4:$F$63,34)))</f>
        <v/>
      </c>
      <c r="K1788" s="29">
        <f>IF($B1788="","",IF(INDEX(Dossiers!$G$4:$G$63,34)="","",INDEX(Dossiers!$G$4:$G$63,34)))</f>
        <v/>
      </c>
    </row>
    <row r="1789">
      <c r="A1789">
        <f>IF($B1789="","",INDEX(Dossiers!$E$4:$E$63,34))</f>
        <v/>
      </c>
      <c r="B1789">
        <f>IF(INDEX(Suivi!$B:$B,1823)="","",INDEX(Suivi!$B:$B,1823))</f>
        <v/>
      </c>
      <c r="C1789">
        <f>IF($B1789="","",IF(INDEX(Suivi!$D:$D,1823)="",INDEX(Suivi!$C:$C,1823),INDEX(Suivi!$D:$D,1823)))</f>
        <v/>
      </c>
      <c r="D1789" s="29">
        <f>IF($B1789="","",INDEX(Suivi!$E:$E,1823))</f>
        <v/>
      </c>
      <c r="E1789" s="29">
        <f>IF($B1789="","",INDEX(Suivi!$F:$F,1823))</f>
        <v/>
      </c>
      <c r="F1789">
        <f>IF($B1789="","",INDEX(Suivi!$G:$G,1823))</f>
        <v/>
      </c>
      <c r="H1789">
        <f>IF(OR($B1789="",NOT(ISNUMBER($D1789))),"",IF($E1789&lt;$D$2,"Passé",IF($D1789&gt;$F$2,"À venir","Dans la période")))</f>
        <v/>
      </c>
      <c r="I1789">
        <f>IF(OR($B1789="",NOT(ISNUMBER($D1789))),"",IF(AND($E1789&lt;$D$2,$G1789&lt;&gt;"X",$F1789&lt;&gt;"Réalisé",$F1789&lt;&gt;"Clôturé"),"RETARD",""))</f>
        <v/>
      </c>
      <c r="J1789" s="29">
        <f>IF($B1789="","",IF(INDEX(Dossiers!$F$4:$F$63,34)="","",INDEX(Dossiers!$F$4:$F$63,34)))</f>
        <v/>
      </c>
      <c r="K1789" s="29">
        <f>IF($B1789="","",IF(INDEX(Dossiers!$G$4:$G$63,34)="","",INDEX(Dossiers!$G$4:$G$63,34)))</f>
        <v/>
      </c>
    </row>
    <row r="1790">
      <c r="A1790">
        <f>IF($B1790="","",INDEX(Dossiers!$E$4:$E$63,34))</f>
        <v/>
      </c>
      <c r="B1790">
        <f>IF(INDEX(Suivi!$B:$B,1824)="","",INDEX(Suivi!$B:$B,1824))</f>
        <v/>
      </c>
      <c r="C1790">
        <f>IF($B1790="","",IF(INDEX(Suivi!$D:$D,1824)="",INDEX(Suivi!$C:$C,1824),INDEX(Suivi!$D:$D,1824)))</f>
        <v/>
      </c>
      <c r="D1790" s="29">
        <f>IF($B1790="","",INDEX(Suivi!$E:$E,1824))</f>
        <v/>
      </c>
      <c r="E1790" s="29">
        <f>IF($B1790="","",INDEX(Suivi!$F:$F,1824))</f>
        <v/>
      </c>
      <c r="F1790">
        <f>IF($B1790="","",INDEX(Suivi!$G:$G,1824))</f>
        <v/>
      </c>
      <c r="H1790">
        <f>IF(OR($B1790="",NOT(ISNUMBER($D1790))),"",IF($E1790&lt;$D$2,"Passé",IF($D1790&gt;$F$2,"À venir","Dans la période")))</f>
        <v/>
      </c>
      <c r="I1790">
        <f>IF(OR($B1790="",NOT(ISNUMBER($D1790))),"",IF(AND($E1790&lt;$D$2,$G1790&lt;&gt;"X",$F1790&lt;&gt;"Réalisé",$F1790&lt;&gt;"Clôturé"),"RETARD",""))</f>
        <v/>
      </c>
      <c r="J1790" s="29">
        <f>IF($B1790="","",IF(INDEX(Dossiers!$F$4:$F$63,34)="","",INDEX(Dossiers!$F$4:$F$63,34)))</f>
        <v/>
      </c>
      <c r="K1790" s="29">
        <f>IF($B1790="","",IF(INDEX(Dossiers!$G$4:$G$63,34)="","",INDEX(Dossiers!$G$4:$G$63,34)))</f>
        <v/>
      </c>
    </row>
    <row r="1791">
      <c r="A1791">
        <f>IF($B1791="","",INDEX(Dossiers!$E$4:$E$63,34))</f>
        <v/>
      </c>
      <c r="B1791">
        <f>IF(INDEX(Suivi!$B:$B,1825)="","",INDEX(Suivi!$B:$B,1825))</f>
        <v/>
      </c>
      <c r="C1791">
        <f>IF($B1791="","",IF(INDEX(Suivi!$D:$D,1825)="",INDEX(Suivi!$C:$C,1825),INDEX(Suivi!$D:$D,1825)))</f>
        <v/>
      </c>
      <c r="D1791" s="29">
        <f>IF($B1791="","",INDEX(Suivi!$E:$E,1825))</f>
        <v/>
      </c>
      <c r="E1791" s="29">
        <f>IF($B1791="","",INDEX(Suivi!$F:$F,1825))</f>
        <v/>
      </c>
      <c r="F1791">
        <f>IF($B1791="","",INDEX(Suivi!$G:$G,1825))</f>
        <v/>
      </c>
      <c r="H1791">
        <f>IF(OR($B1791="",NOT(ISNUMBER($D1791))),"",IF($E1791&lt;$D$2,"Passé",IF($D1791&gt;$F$2,"À venir","Dans la période")))</f>
        <v/>
      </c>
      <c r="I1791">
        <f>IF(OR($B1791="",NOT(ISNUMBER($D1791))),"",IF(AND($E1791&lt;$D$2,$G1791&lt;&gt;"X",$F1791&lt;&gt;"Réalisé",$F1791&lt;&gt;"Clôturé"),"RETARD",""))</f>
        <v/>
      </c>
      <c r="J1791" s="29">
        <f>IF($B1791="","",IF(INDEX(Dossiers!$F$4:$F$63,34)="","",INDEX(Dossiers!$F$4:$F$63,34)))</f>
        <v/>
      </c>
      <c r="K1791" s="29">
        <f>IF($B1791="","",IF(INDEX(Dossiers!$G$4:$G$63,34)="","",INDEX(Dossiers!$G$4:$G$63,34)))</f>
        <v/>
      </c>
    </row>
    <row r="1792">
      <c r="A1792">
        <f>IF($B1792="","",INDEX(Dossiers!$E$4:$E$63,34))</f>
        <v/>
      </c>
      <c r="B1792">
        <f>IF(INDEX(Suivi!$B:$B,1826)="","",INDEX(Suivi!$B:$B,1826))</f>
        <v/>
      </c>
      <c r="C1792">
        <f>IF($B1792="","",IF(INDEX(Suivi!$D:$D,1826)="",INDEX(Suivi!$C:$C,1826),INDEX(Suivi!$D:$D,1826)))</f>
        <v/>
      </c>
      <c r="D1792" s="29">
        <f>IF($B1792="","",INDEX(Suivi!$E:$E,1826))</f>
        <v/>
      </c>
      <c r="E1792" s="29">
        <f>IF($B1792="","",INDEX(Suivi!$F:$F,1826))</f>
        <v/>
      </c>
      <c r="F1792">
        <f>IF($B1792="","",INDEX(Suivi!$G:$G,1826))</f>
        <v/>
      </c>
      <c r="H1792">
        <f>IF(OR($B1792="",NOT(ISNUMBER($D1792))),"",IF($E1792&lt;$D$2,"Passé",IF($D1792&gt;$F$2,"À venir","Dans la période")))</f>
        <v/>
      </c>
      <c r="I1792">
        <f>IF(OR($B1792="",NOT(ISNUMBER($D1792))),"",IF(AND($E1792&lt;$D$2,$G1792&lt;&gt;"X",$F1792&lt;&gt;"Réalisé",$F1792&lt;&gt;"Clôturé"),"RETARD",""))</f>
        <v/>
      </c>
      <c r="J1792" s="29">
        <f>IF($B1792="","",IF(INDEX(Dossiers!$F$4:$F$63,34)="","",INDEX(Dossiers!$F$4:$F$63,34)))</f>
        <v/>
      </c>
      <c r="K1792" s="29">
        <f>IF($B1792="","",IF(INDEX(Dossiers!$G$4:$G$63,34)="","",INDEX(Dossiers!$G$4:$G$63,34)))</f>
        <v/>
      </c>
    </row>
    <row r="1793">
      <c r="A1793">
        <f>IF($B1793="","",INDEX(Dossiers!$E$4:$E$63,34))</f>
        <v/>
      </c>
      <c r="B1793">
        <f>IF(INDEX(Suivi!$B:$B,1827)="","",INDEX(Suivi!$B:$B,1827))</f>
        <v/>
      </c>
      <c r="C1793">
        <f>IF($B1793="","",IF(INDEX(Suivi!$D:$D,1827)="",INDEX(Suivi!$C:$C,1827),INDEX(Suivi!$D:$D,1827)))</f>
        <v/>
      </c>
      <c r="D1793" s="29">
        <f>IF($B1793="","",INDEX(Suivi!$E:$E,1827))</f>
        <v/>
      </c>
      <c r="E1793" s="29">
        <f>IF($B1793="","",INDEX(Suivi!$F:$F,1827))</f>
        <v/>
      </c>
      <c r="F1793">
        <f>IF($B1793="","",INDEX(Suivi!$G:$G,1827))</f>
        <v/>
      </c>
      <c r="H1793">
        <f>IF(OR($B1793="",NOT(ISNUMBER($D1793))),"",IF($E1793&lt;$D$2,"Passé",IF($D1793&gt;$F$2,"À venir","Dans la période")))</f>
        <v/>
      </c>
      <c r="I1793">
        <f>IF(OR($B1793="",NOT(ISNUMBER($D1793))),"",IF(AND($E1793&lt;$D$2,$G1793&lt;&gt;"X",$F1793&lt;&gt;"Réalisé",$F1793&lt;&gt;"Clôturé"),"RETARD",""))</f>
        <v/>
      </c>
      <c r="J1793" s="29">
        <f>IF($B1793="","",IF(INDEX(Dossiers!$F$4:$F$63,34)="","",INDEX(Dossiers!$F$4:$F$63,34)))</f>
        <v/>
      </c>
      <c r="K1793" s="29">
        <f>IF($B1793="","",IF(INDEX(Dossiers!$G$4:$G$63,34)="","",INDEX(Dossiers!$G$4:$G$63,34)))</f>
        <v/>
      </c>
    </row>
    <row r="1794">
      <c r="A1794">
        <f>IF($B1794="","",INDEX(Dossiers!$E$4:$E$63,34))</f>
        <v/>
      </c>
      <c r="B1794">
        <f>IF(INDEX(Suivi!$B:$B,1828)="","",INDEX(Suivi!$B:$B,1828))</f>
        <v/>
      </c>
      <c r="C1794">
        <f>IF($B1794="","",IF(INDEX(Suivi!$D:$D,1828)="",INDEX(Suivi!$C:$C,1828),INDEX(Suivi!$D:$D,1828)))</f>
        <v/>
      </c>
      <c r="D1794" s="29">
        <f>IF($B1794="","",INDEX(Suivi!$E:$E,1828))</f>
        <v/>
      </c>
      <c r="E1794" s="29">
        <f>IF($B1794="","",INDEX(Suivi!$F:$F,1828))</f>
        <v/>
      </c>
      <c r="F1794">
        <f>IF($B1794="","",INDEX(Suivi!$G:$G,1828))</f>
        <v/>
      </c>
      <c r="H1794">
        <f>IF(OR($B1794="",NOT(ISNUMBER($D1794))),"",IF($E1794&lt;$D$2,"Passé",IF($D1794&gt;$F$2,"À venir","Dans la période")))</f>
        <v/>
      </c>
      <c r="I1794">
        <f>IF(OR($B1794="",NOT(ISNUMBER($D1794))),"",IF(AND($E1794&lt;$D$2,$G1794&lt;&gt;"X",$F1794&lt;&gt;"Réalisé",$F1794&lt;&gt;"Clôturé"),"RETARD",""))</f>
        <v/>
      </c>
      <c r="J1794" s="29">
        <f>IF($B1794="","",IF(INDEX(Dossiers!$F$4:$F$63,34)="","",INDEX(Dossiers!$F$4:$F$63,34)))</f>
        <v/>
      </c>
      <c r="K1794" s="29">
        <f>IF($B1794="","",IF(INDEX(Dossiers!$G$4:$G$63,34)="","",INDEX(Dossiers!$G$4:$G$63,34)))</f>
        <v/>
      </c>
    </row>
    <row r="1795">
      <c r="A1795">
        <f>IF($B1795="","",INDEX(Dossiers!$E$4:$E$63,34))</f>
        <v/>
      </c>
      <c r="B1795">
        <f>IF(INDEX(Suivi!$B:$B,1829)="","",INDEX(Suivi!$B:$B,1829))</f>
        <v/>
      </c>
      <c r="C1795">
        <f>IF($B1795="","",IF(INDEX(Suivi!$D:$D,1829)="",INDEX(Suivi!$C:$C,1829),INDEX(Suivi!$D:$D,1829)))</f>
        <v/>
      </c>
      <c r="D1795" s="29">
        <f>IF($B1795="","",INDEX(Suivi!$E:$E,1829))</f>
        <v/>
      </c>
      <c r="E1795" s="29">
        <f>IF($B1795="","",INDEX(Suivi!$F:$F,1829))</f>
        <v/>
      </c>
      <c r="F1795">
        <f>IF($B1795="","",INDEX(Suivi!$G:$G,1829))</f>
        <v/>
      </c>
      <c r="H1795">
        <f>IF(OR($B1795="",NOT(ISNUMBER($D1795))),"",IF($E1795&lt;$D$2,"Passé",IF($D1795&gt;$F$2,"À venir","Dans la période")))</f>
        <v/>
      </c>
      <c r="I1795">
        <f>IF(OR($B1795="",NOT(ISNUMBER($D1795))),"",IF(AND($E1795&lt;$D$2,$G1795&lt;&gt;"X",$F1795&lt;&gt;"Réalisé",$F1795&lt;&gt;"Clôturé"),"RETARD",""))</f>
        <v/>
      </c>
      <c r="J1795" s="29">
        <f>IF($B1795="","",IF(INDEX(Dossiers!$F$4:$F$63,34)="","",INDEX(Dossiers!$F$4:$F$63,34)))</f>
        <v/>
      </c>
      <c r="K1795" s="29">
        <f>IF($B1795="","",IF(INDEX(Dossiers!$G$4:$G$63,34)="","",INDEX(Dossiers!$G$4:$G$63,34)))</f>
        <v/>
      </c>
    </row>
    <row r="1796">
      <c r="A1796">
        <f>IF($B1796="","",INDEX(Dossiers!$E$4:$E$63,34))</f>
        <v/>
      </c>
      <c r="B1796">
        <f>IF(INDEX(Suivi!$B:$B,1830)="","",INDEX(Suivi!$B:$B,1830))</f>
        <v/>
      </c>
      <c r="C1796">
        <f>IF($B1796="","",IF(INDEX(Suivi!$D:$D,1830)="",INDEX(Suivi!$C:$C,1830),INDEX(Suivi!$D:$D,1830)))</f>
        <v/>
      </c>
      <c r="D1796" s="29">
        <f>IF($B1796="","",INDEX(Suivi!$E:$E,1830))</f>
        <v/>
      </c>
      <c r="E1796" s="29">
        <f>IF($B1796="","",INDEX(Suivi!$F:$F,1830))</f>
        <v/>
      </c>
      <c r="F1796">
        <f>IF($B1796="","",INDEX(Suivi!$G:$G,1830))</f>
        <v/>
      </c>
      <c r="H1796">
        <f>IF(OR($B1796="",NOT(ISNUMBER($D1796))),"",IF($E1796&lt;$D$2,"Passé",IF($D1796&gt;$F$2,"À venir","Dans la période")))</f>
        <v/>
      </c>
      <c r="I1796">
        <f>IF(OR($B1796="",NOT(ISNUMBER($D1796))),"",IF(AND($E1796&lt;$D$2,$G1796&lt;&gt;"X",$F1796&lt;&gt;"Réalisé",$F1796&lt;&gt;"Clôturé"),"RETARD",""))</f>
        <v/>
      </c>
      <c r="J1796" s="29">
        <f>IF($B1796="","",IF(INDEX(Dossiers!$F$4:$F$63,34)="","",INDEX(Dossiers!$F$4:$F$63,34)))</f>
        <v/>
      </c>
      <c r="K1796" s="29">
        <f>IF($B1796="","",IF(INDEX(Dossiers!$G$4:$G$63,34)="","",INDEX(Dossiers!$G$4:$G$63,34)))</f>
        <v/>
      </c>
    </row>
    <row r="1797">
      <c r="A1797">
        <f>IF($B1797="","",INDEX(Dossiers!$E$4:$E$63,34))</f>
        <v/>
      </c>
      <c r="B1797">
        <f>IF(INDEX(Suivi!$B:$B,1831)="","",INDEX(Suivi!$B:$B,1831))</f>
        <v/>
      </c>
      <c r="C1797">
        <f>IF($B1797="","",IF(INDEX(Suivi!$D:$D,1831)="",INDEX(Suivi!$C:$C,1831),INDEX(Suivi!$D:$D,1831)))</f>
        <v/>
      </c>
      <c r="D1797" s="29">
        <f>IF($B1797="","",INDEX(Suivi!$E:$E,1831))</f>
        <v/>
      </c>
      <c r="E1797" s="29">
        <f>IF($B1797="","",INDEX(Suivi!$F:$F,1831))</f>
        <v/>
      </c>
      <c r="F1797">
        <f>IF($B1797="","",INDEX(Suivi!$G:$G,1831))</f>
        <v/>
      </c>
      <c r="H1797">
        <f>IF(OR($B1797="",NOT(ISNUMBER($D1797))),"",IF($E1797&lt;$D$2,"Passé",IF($D1797&gt;$F$2,"À venir","Dans la période")))</f>
        <v/>
      </c>
      <c r="I1797">
        <f>IF(OR($B1797="",NOT(ISNUMBER($D1797))),"",IF(AND($E1797&lt;$D$2,$G1797&lt;&gt;"X",$F1797&lt;&gt;"Réalisé",$F1797&lt;&gt;"Clôturé"),"RETARD",""))</f>
        <v/>
      </c>
      <c r="J1797" s="29">
        <f>IF($B1797="","",IF(INDEX(Dossiers!$F$4:$F$63,34)="","",INDEX(Dossiers!$F$4:$F$63,34)))</f>
        <v/>
      </c>
      <c r="K1797" s="29">
        <f>IF($B1797="","",IF(INDEX(Dossiers!$G$4:$G$63,34)="","",INDEX(Dossiers!$G$4:$G$63,34)))</f>
        <v/>
      </c>
    </row>
    <row r="1798">
      <c r="A1798">
        <f>IF($B1798="","",INDEX(Dossiers!$E$4:$E$63,34))</f>
        <v/>
      </c>
      <c r="B1798">
        <f>IF(INDEX(Suivi!$B:$B,1832)="","",INDEX(Suivi!$B:$B,1832))</f>
        <v/>
      </c>
      <c r="C1798">
        <f>IF($B1798="","",IF(INDEX(Suivi!$D:$D,1832)="",INDEX(Suivi!$C:$C,1832),INDEX(Suivi!$D:$D,1832)))</f>
        <v/>
      </c>
      <c r="D1798" s="29">
        <f>IF($B1798="","",INDEX(Suivi!$E:$E,1832))</f>
        <v/>
      </c>
      <c r="E1798" s="29">
        <f>IF($B1798="","",INDEX(Suivi!$F:$F,1832))</f>
        <v/>
      </c>
      <c r="F1798">
        <f>IF($B1798="","",INDEX(Suivi!$G:$G,1832))</f>
        <v/>
      </c>
      <c r="H1798">
        <f>IF(OR($B1798="",NOT(ISNUMBER($D1798))),"",IF($E1798&lt;$D$2,"Passé",IF($D1798&gt;$F$2,"À venir","Dans la période")))</f>
        <v/>
      </c>
      <c r="I1798">
        <f>IF(OR($B1798="",NOT(ISNUMBER($D1798))),"",IF(AND($E1798&lt;$D$2,$G1798&lt;&gt;"X",$F1798&lt;&gt;"Réalisé",$F1798&lt;&gt;"Clôturé"),"RETARD",""))</f>
        <v/>
      </c>
      <c r="J1798" s="29">
        <f>IF($B1798="","",IF(INDEX(Dossiers!$F$4:$F$63,34)="","",INDEX(Dossiers!$F$4:$F$63,34)))</f>
        <v/>
      </c>
      <c r="K1798" s="29">
        <f>IF($B1798="","",IF(INDEX(Dossiers!$G$4:$G$63,34)="","",INDEX(Dossiers!$G$4:$G$63,34)))</f>
        <v/>
      </c>
    </row>
    <row r="1799">
      <c r="A1799">
        <f>IF($B1799="","",INDEX(Dossiers!$E$4:$E$63,34))</f>
        <v/>
      </c>
      <c r="B1799">
        <f>IF(INDEX(Suivi!$B:$B,1833)="","",INDEX(Suivi!$B:$B,1833))</f>
        <v/>
      </c>
      <c r="C1799">
        <f>IF($B1799="","",IF(INDEX(Suivi!$D:$D,1833)="",INDEX(Suivi!$C:$C,1833),INDEX(Suivi!$D:$D,1833)))</f>
        <v/>
      </c>
      <c r="D1799" s="29">
        <f>IF($B1799="","",INDEX(Suivi!$E:$E,1833))</f>
        <v/>
      </c>
      <c r="E1799" s="29">
        <f>IF($B1799="","",INDEX(Suivi!$F:$F,1833))</f>
        <v/>
      </c>
      <c r="F1799">
        <f>IF($B1799="","",INDEX(Suivi!$G:$G,1833))</f>
        <v/>
      </c>
      <c r="H1799">
        <f>IF(OR($B1799="",NOT(ISNUMBER($D1799))),"",IF($E1799&lt;$D$2,"Passé",IF($D1799&gt;$F$2,"À venir","Dans la période")))</f>
        <v/>
      </c>
      <c r="I1799">
        <f>IF(OR($B1799="",NOT(ISNUMBER($D1799))),"",IF(AND($E1799&lt;$D$2,$G1799&lt;&gt;"X",$F1799&lt;&gt;"Réalisé",$F1799&lt;&gt;"Clôturé"),"RETARD",""))</f>
        <v/>
      </c>
      <c r="J1799" s="29">
        <f>IF($B1799="","",IF(INDEX(Dossiers!$F$4:$F$63,34)="","",INDEX(Dossiers!$F$4:$F$63,34)))</f>
        <v/>
      </c>
      <c r="K1799" s="29">
        <f>IF($B1799="","",IF(INDEX(Dossiers!$G$4:$G$63,34)="","",INDEX(Dossiers!$G$4:$G$63,34)))</f>
        <v/>
      </c>
    </row>
    <row r="1800">
      <c r="A1800">
        <f>IF($B1800="","",INDEX(Dossiers!$E$4:$E$63,34))</f>
        <v/>
      </c>
      <c r="B1800">
        <f>IF(INDEX(Suivi!$B:$B,1834)="","",INDEX(Suivi!$B:$B,1834))</f>
        <v/>
      </c>
      <c r="C1800">
        <f>IF($B1800="","",IF(INDEX(Suivi!$D:$D,1834)="",INDEX(Suivi!$C:$C,1834),INDEX(Suivi!$D:$D,1834)))</f>
        <v/>
      </c>
      <c r="D1800" s="29">
        <f>IF($B1800="","",INDEX(Suivi!$E:$E,1834))</f>
        <v/>
      </c>
      <c r="E1800" s="29">
        <f>IF($B1800="","",INDEX(Suivi!$F:$F,1834))</f>
        <v/>
      </c>
      <c r="F1800">
        <f>IF($B1800="","",INDEX(Suivi!$G:$G,1834))</f>
        <v/>
      </c>
      <c r="H1800">
        <f>IF(OR($B1800="",NOT(ISNUMBER($D1800))),"",IF($E1800&lt;$D$2,"Passé",IF($D1800&gt;$F$2,"À venir","Dans la période")))</f>
        <v/>
      </c>
      <c r="I1800">
        <f>IF(OR($B1800="",NOT(ISNUMBER($D1800))),"",IF(AND($E1800&lt;$D$2,$G1800&lt;&gt;"X",$F1800&lt;&gt;"Réalisé",$F1800&lt;&gt;"Clôturé"),"RETARD",""))</f>
        <v/>
      </c>
      <c r="J1800" s="29">
        <f>IF($B1800="","",IF(INDEX(Dossiers!$F$4:$F$63,34)="","",INDEX(Dossiers!$F$4:$F$63,34)))</f>
        <v/>
      </c>
      <c r="K1800" s="29">
        <f>IF($B1800="","",IF(INDEX(Dossiers!$G$4:$G$63,34)="","",INDEX(Dossiers!$G$4:$G$63,34)))</f>
        <v/>
      </c>
    </row>
    <row r="1801">
      <c r="A1801">
        <f>IF($B1801="","",INDEX(Dossiers!$E$4:$E$63,34))</f>
        <v/>
      </c>
      <c r="B1801">
        <f>IF(INDEX(Suivi!$B:$B,1835)="","",INDEX(Suivi!$B:$B,1835))</f>
        <v/>
      </c>
      <c r="C1801">
        <f>IF($B1801="","",IF(INDEX(Suivi!$D:$D,1835)="",INDEX(Suivi!$C:$C,1835),INDEX(Suivi!$D:$D,1835)))</f>
        <v/>
      </c>
      <c r="D1801" s="29">
        <f>IF($B1801="","",INDEX(Suivi!$E:$E,1835))</f>
        <v/>
      </c>
      <c r="E1801" s="29">
        <f>IF($B1801="","",INDEX(Suivi!$F:$F,1835))</f>
        <v/>
      </c>
      <c r="F1801">
        <f>IF($B1801="","",INDEX(Suivi!$G:$G,1835))</f>
        <v/>
      </c>
      <c r="H1801">
        <f>IF(OR($B1801="",NOT(ISNUMBER($D1801))),"",IF($E1801&lt;$D$2,"Passé",IF($D1801&gt;$F$2,"À venir","Dans la période")))</f>
        <v/>
      </c>
      <c r="I1801">
        <f>IF(OR($B1801="",NOT(ISNUMBER($D1801))),"",IF(AND($E1801&lt;$D$2,$G1801&lt;&gt;"X",$F1801&lt;&gt;"Réalisé",$F1801&lt;&gt;"Clôturé"),"RETARD",""))</f>
        <v/>
      </c>
      <c r="J1801" s="29">
        <f>IF($B1801="","",IF(INDEX(Dossiers!$F$4:$F$63,34)="","",INDEX(Dossiers!$F$4:$F$63,34)))</f>
        <v/>
      </c>
      <c r="K1801" s="29">
        <f>IF($B1801="","",IF(INDEX(Dossiers!$G$4:$G$63,34)="","",INDEX(Dossiers!$G$4:$G$63,34)))</f>
        <v/>
      </c>
    </row>
    <row r="1802">
      <c r="A1802">
        <f>IF($B1802="","",INDEX(Dossiers!$E$4:$E$63,34))</f>
        <v/>
      </c>
      <c r="B1802">
        <f>IF(INDEX(Suivi!$B:$B,1836)="","",INDEX(Suivi!$B:$B,1836))</f>
        <v/>
      </c>
      <c r="C1802">
        <f>IF($B1802="","",IF(INDEX(Suivi!$D:$D,1836)="",INDEX(Suivi!$C:$C,1836),INDEX(Suivi!$D:$D,1836)))</f>
        <v/>
      </c>
      <c r="D1802" s="29">
        <f>IF($B1802="","",INDEX(Suivi!$E:$E,1836))</f>
        <v/>
      </c>
      <c r="E1802" s="29">
        <f>IF($B1802="","",INDEX(Suivi!$F:$F,1836))</f>
        <v/>
      </c>
      <c r="F1802">
        <f>IF($B1802="","",INDEX(Suivi!$G:$G,1836))</f>
        <v/>
      </c>
      <c r="H1802">
        <f>IF(OR($B1802="",NOT(ISNUMBER($D1802))),"",IF($E1802&lt;$D$2,"Passé",IF($D1802&gt;$F$2,"À venir","Dans la période")))</f>
        <v/>
      </c>
      <c r="I1802">
        <f>IF(OR($B1802="",NOT(ISNUMBER($D1802))),"",IF(AND($E1802&lt;$D$2,$G1802&lt;&gt;"X",$F1802&lt;&gt;"Réalisé",$F1802&lt;&gt;"Clôturé"),"RETARD",""))</f>
        <v/>
      </c>
      <c r="J1802" s="29">
        <f>IF($B1802="","",IF(INDEX(Dossiers!$F$4:$F$63,34)="","",INDEX(Dossiers!$F$4:$F$63,34)))</f>
        <v/>
      </c>
      <c r="K1802" s="29">
        <f>IF($B1802="","",IF(INDEX(Dossiers!$G$4:$G$63,34)="","",INDEX(Dossiers!$G$4:$G$63,34)))</f>
        <v/>
      </c>
    </row>
    <row r="1803">
      <c r="A1803">
        <f>IF($B1803="","",INDEX(Dossiers!$E$4:$E$63,34))</f>
        <v/>
      </c>
      <c r="B1803">
        <f>IF(INDEX(Suivi!$B:$B,1837)="","",INDEX(Suivi!$B:$B,1837))</f>
        <v/>
      </c>
      <c r="C1803">
        <f>IF($B1803="","",IF(INDEX(Suivi!$D:$D,1837)="",INDEX(Suivi!$C:$C,1837),INDEX(Suivi!$D:$D,1837)))</f>
        <v/>
      </c>
      <c r="D1803" s="29">
        <f>IF($B1803="","",INDEX(Suivi!$E:$E,1837))</f>
        <v/>
      </c>
      <c r="E1803" s="29">
        <f>IF($B1803="","",INDEX(Suivi!$F:$F,1837))</f>
        <v/>
      </c>
      <c r="F1803">
        <f>IF($B1803="","",INDEX(Suivi!$G:$G,1837))</f>
        <v/>
      </c>
      <c r="H1803">
        <f>IF(OR($B1803="",NOT(ISNUMBER($D1803))),"",IF($E1803&lt;$D$2,"Passé",IF($D1803&gt;$F$2,"À venir","Dans la période")))</f>
        <v/>
      </c>
      <c r="I1803">
        <f>IF(OR($B1803="",NOT(ISNUMBER($D1803))),"",IF(AND($E1803&lt;$D$2,$G1803&lt;&gt;"X",$F1803&lt;&gt;"Réalisé",$F1803&lt;&gt;"Clôturé"),"RETARD",""))</f>
        <v/>
      </c>
      <c r="J1803" s="29">
        <f>IF($B1803="","",IF(INDEX(Dossiers!$F$4:$F$63,34)="","",INDEX(Dossiers!$F$4:$F$63,34)))</f>
        <v/>
      </c>
      <c r="K1803" s="29">
        <f>IF($B1803="","",IF(INDEX(Dossiers!$G$4:$G$63,34)="","",INDEX(Dossiers!$G$4:$G$63,34)))</f>
        <v/>
      </c>
    </row>
    <row r="1804">
      <c r="A1804">
        <f>IF($B1804="","",INDEX(Dossiers!$E$4:$E$63,34))</f>
        <v/>
      </c>
      <c r="B1804">
        <f>IF(INDEX(Suivi!$B:$B,1838)="","",INDEX(Suivi!$B:$B,1838))</f>
        <v/>
      </c>
      <c r="C1804">
        <f>IF($B1804="","",IF(INDEX(Suivi!$D:$D,1838)="",INDEX(Suivi!$C:$C,1838),INDEX(Suivi!$D:$D,1838)))</f>
        <v/>
      </c>
      <c r="D1804" s="29">
        <f>IF($B1804="","",INDEX(Suivi!$E:$E,1838))</f>
        <v/>
      </c>
      <c r="E1804" s="29">
        <f>IF($B1804="","",INDEX(Suivi!$F:$F,1838))</f>
        <v/>
      </c>
      <c r="F1804">
        <f>IF($B1804="","",INDEX(Suivi!$G:$G,1838))</f>
        <v/>
      </c>
      <c r="H1804">
        <f>IF(OR($B1804="",NOT(ISNUMBER($D1804))),"",IF($E1804&lt;$D$2,"Passé",IF($D1804&gt;$F$2,"À venir","Dans la période")))</f>
        <v/>
      </c>
      <c r="I1804">
        <f>IF(OR($B1804="",NOT(ISNUMBER($D1804))),"",IF(AND($E1804&lt;$D$2,$G1804&lt;&gt;"X",$F1804&lt;&gt;"Réalisé",$F1804&lt;&gt;"Clôturé"),"RETARD",""))</f>
        <v/>
      </c>
      <c r="J1804" s="29">
        <f>IF($B1804="","",IF(INDEX(Dossiers!$F$4:$F$63,34)="","",INDEX(Dossiers!$F$4:$F$63,34)))</f>
        <v/>
      </c>
      <c r="K1804" s="29">
        <f>IF($B1804="","",IF(INDEX(Dossiers!$G$4:$G$63,34)="","",INDEX(Dossiers!$G$4:$G$63,34)))</f>
        <v/>
      </c>
    </row>
    <row r="1805">
      <c r="A1805">
        <f>IF($B1805="","",INDEX(Dossiers!$E$4:$E$63,34))</f>
        <v/>
      </c>
      <c r="B1805">
        <f>IF(INDEX(Suivi!$B:$B,1839)="","",INDEX(Suivi!$B:$B,1839))</f>
        <v/>
      </c>
      <c r="C1805">
        <f>IF($B1805="","",IF(INDEX(Suivi!$D:$D,1839)="",INDEX(Suivi!$C:$C,1839),INDEX(Suivi!$D:$D,1839)))</f>
        <v/>
      </c>
      <c r="D1805" s="29">
        <f>IF($B1805="","",INDEX(Suivi!$E:$E,1839))</f>
        <v/>
      </c>
      <c r="E1805" s="29">
        <f>IF($B1805="","",INDEX(Suivi!$F:$F,1839))</f>
        <v/>
      </c>
      <c r="F1805">
        <f>IF($B1805="","",INDEX(Suivi!$G:$G,1839))</f>
        <v/>
      </c>
      <c r="H1805">
        <f>IF(OR($B1805="",NOT(ISNUMBER($D1805))),"",IF($E1805&lt;$D$2,"Passé",IF($D1805&gt;$F$2,"À venir","Dans la période")))</f>
        <v/>
      </c>
      <c r="I1805">
        <f>IF(OR($B1805="",NOT(ISNUMBER($D1805))),"",IF(AND($E1805&lt;$D$2,$G1805&lt;&gt;"X",$F1805&lt;&gt;"Réalisé",$F1805&lt;&gt;"Clôturé"),"RETARD",""))</f>
        <v/>
      </c>
      <c r="J1805" s="29">
        <f>IF($B1805="","",IF(INDEX(Dossiers!$F$4:$F$63,34)="","",INDEX(Dossiers!$F$4:$F$63,34)))</f>
        <v/>
      </c>
      <c r="K1805" s="29">
        <f>IF($B1805="","",IF(INDEX(Dossiers!$G$4:$G$63,34)="","",INDEX(Dossiers!$G$4:$G$63,34)))</f>
        <v/>
      </c>
    </row>
    <row r="1806">
      <c r="A1806">
        <f>IF($B1806="","",INDEX(Dossiers!$E$4:$E$63,35))</f>
        <v/>
      </c>
      <c r="B1806">
        <f>IF(INDEX(Suivi!$B:$B,1841)="","",INDEX(Suivi!$B:$B,1841))</f>
        <v/>
      </c>
      <c r="C1806">
        <f>IF($B1806="","",IF(INDEX(Suivi!$D:$D,1841)="",INDEX(Suivi!$C:$C,1841),INDEX(Suivi!$D:$D,1841)))</f>
        <v/>
      </c>
      <c r="D1806" s="29">
        <f>IF($B1806="","",INDEX(Suivi!$E:$E,1841))</f>
        <v/>
      </c>
      <c r="E1806" s="29">
        <f>IF($B1806="","",INDEX(Suivi!$F:$F,1841))</f>
        <v/>
      </c>
      <c r="F1806">
        <f>IF($B1806="","",INDEX(Suivi!$G:$G,1841))</f>
        <v/>
      </c>
      <c r="H1806">
        <f>IF(OR($B1806="",NOT(ISNUMBER($D1806))),"",IF($E1806&lt;$D$2,"Passé",IF($D1806&gt;$F$2,"À venir","Dans la période")))</f>
        <v/>
      </c>
      <c r="I1806">
        <f>IF(OR($B1806="",NOT(ISNUMBER($D1806))),"",IF(AND($E1806&lt;$D$2,$G1806&lt;&gt;"X",$F1806&lt;&gt;"Réalisé",$F1806&lt;&gt;"Clôturé"),"RETARD",""))</f>
        <v/>
      </c>
      <c r="J1806" s="29">
        <f>IF($B1806="","",IF(INDEX(Dossiers!$F$4:$F$63,35)="","",INDEX(Dossiers!$F$4:$F$63,35)))</f>
        <v/>
      </c>
      <c r="K1806" s="29">
        <f>IF($B1806="","",IF(INDEX(Dossiers!$G$4:$G$63,35)="","",INDEX(Dossiers!$G$4:$G$63,35)))</f>
        <v/>
      </c>
    </row>
    <row r="1807">
      <c r="A1807">
        <f>IF($B1807="","",INDEX(Dossiers!$E$4:$E$63,35))</f>
        <v/>
      </c>
      <c r="B1807">
        <f>IF(INDEX(Suivi!$B:$B,1842)="","",INDEX(Suivi!$B:$B,1842))</f>
        <v/>
      </c>
      <c r="C1807">
        <f>IF($B1807="","",IF(INDEX(Suivi!$D:$D,1842)="",INDEX(Suivi!$C:$C,1842),INDEX(Suivi!$D:$D,1842)))</f>
        <v/>
      </c>
      <c r="D1807" s="29">
        <f>IF($B1807="","",INDEX(Suivi!$E:$E,1842))</f>
        <v/>
      </c>
      <c r="E1807" s="29">
        <f>IF($B1807="","",INDEX(Suivi!$F:$F,1842))</f>
        <v/>
      </c>
      <c r="F1807">
        <f>IF($B1807="","",INDEX(Suivi!$G:$G,1842))</f>
        <v/>
      </c>
      <c r="H1807">
        <f>IF(OR($B1807="",NOT(ISNUMBER($D1807))),"",IF($E1807&lt;$D$2,"Passé",IF($D1807&gt;$F$2,"À venir","Dans la période")))</f>
        <v/>
      </c>
      <c r="I1807">
        <f>IF(OR($B1807="",NOT(ISNUMBER($D1807))),"",IF(AND($E1807&lt;$D$2,$G1807&lt;&gt;"X",$F1807&lt;&gt;"Réalisé",$F1807&lt;&gt;"Clôturé"),"RETARD",""))</f>
        <v/>
      </c>
      <c r="J1807" s="29">
        <f>IF($B1807="","",IF(INDEX(Dossiers!$F$4:$F$63,35)="","",INDEX(Dossiers!$F$4:$F$63,35)))</f>
        <v/>
      </c>
      <c r="K1807" s="29">
        <f>IF($B1807="","",IF(INDEX(Dossiers!$G$4:$G$63,35)="","",INDEX(Dossiers!$G$4:$G$63,35)))</f>
        <v/>
      </c>
    </row>
    <row r="1808">
      <c r="A1808">
        <f>IF($B1808="","",INDEX(Dossiers!$E$4:$E$63,35))</f>
        <v/>
      </c>
      <c r="B1808">
        <f>IF(INDEX(Suivi!$B:$B,1843)="","",INDEX(Suivi!$B:$B,1843))</f>
        <v/>
      </c>
      <c r="C1808">
        <f>IF($B1808="","",IF(INDEX(Suivi!$D:$D,1843)="",INDEX(Suivi!$C:$C,1843),INDEX(Suivi!$D:$D,1843)))</f>
        <v/>
      </c>
      <c r="D1808" s="29">
        <f>IF($B1808="","",INDEX(Suivi!$E:$E,1843))</f>
        <v/>
      </c>
      <c r="E1808" s="29">
        <f>IF($B1808="","",INDEX(Suivi!$F:$F,1843))</f>
        <v/>
      </c>
      <c r="F1808">
        <f>IF($B1808="","",INDEX(Suivi!$G:$G,1843))</f>
        <v/>
      </c>
      <c r="H1808">
        <f>IF(OR($B1808="",NOT(ISNUMBER($D1808))),"",IF($E1808&lt;$D$2,"Passé",IF($D1808&gt;$F$2,"À venir","Dans la période")))</f>
        <v/>
      </c>
      <c r="I1808">
        <f>IF(OR($B1808="",NOT(ISNUMBER($D1808))),"",IF(AND($E1808&lt;$D$2,$G1808&lt;&gt;"X",$F1808&lt;&gt;"Réalisé",$F1808&lt;&gt;"Clôturé"),"RETARD",""))</f>
        <v/>
      </c>
      <c r="J1808" s="29">
        <f>IF($B1808="","",IF(INDEX(Dossiers!$F$4:$F$63,35)="","",INDEX(Dossiers!$F$4:$F$63,35)))</f>
        <v/>
      </c>
      <c r="K1808" s="29">
        <f>IF($B1808="","",IF(INDEX(Dossiers!$G$4:$G$63,35)="","",INDEX(Dossiers!$G$4:$G$63,35)))</f>
        <v/>
      </c>
    </row>
    <row r="1809">
      <c r="A1809">
        <f>IF($B1809="","",INDEX(Dossiers!$E$4:$E$63,35))</f>
        <v/>
      </c>
      <c r="B1809">
        <f>IF(INDEX(Suivi!$B:$B,1844)="","",INDEX(Suivi!$B:$B,1844))</f>
        <v/>
      </c>
      <c r="C1809">
        <f>IF($B1809="","",IF(INDEX(Suivi!$D:$D,1844)="",INDEX(Suivi!$C:$C,1844),INDEX(Suivi!$D:$D,1844)))</f>
        <v/>
      </c>
      <c r="D1809" s="29">
        <f>IF($B1809="","",INDEX(Suivi!$E:$E,1844))</f>
        <v/>
      </c>
      <c r="E1809" s="29">
        <f>IF($B1809="","",INDEX(Suivi!$F:$F,1844))</f>
        <v/>
      </c>
      <c r="F1809">
        <f>IF($B1809="","",INDEX(Suivi!$G:$G,1844))</f>
        <v/>
      </c>
      <c r="H1809">
        <f>IF(OR($B1809="",NOT(ISNUMBER($D1809))),"",IF($E1809&lt;$D$2,"Passé",IF($D1809&gt;$F$2,"À venir","Dans la période")))</f>
        <v/>
      </c>
      <c r="I1809">
        <f>IF(OR($B1809="",NOT(ISNUMBER($D1809))),"",IF(AND($E1809&lt;$D$2,$G1809&lt;&gt;"X",$F1809&lt;&gt;"Réalisé",$F1809&lt;&gt;"Clôturé"),"RETARD",""))</f>
        <v/>
      </c>
      <c r="J1809" s="29">
        <f>IF($B1809="","",IF(INDEX(Dossiers!$F$4:$F$63,35)="","",INDEX(Dossiers!$F$4:$F$63,35)))</f>
        <v/>
      </c>
      <c r="K1809" s="29">
        <f>IF($B1809="","",IF(INDEX(Dossiers!$G$4:$G$63,35)="","",INDEX(Dossiers!$G$4:$G$63,35)))</f>
        <v/>
      </c>
    </row>
    <row r="1810">
      <c r="A1810">
        <f>IF($B1810="","",INDEX(Dossiers!$E$4:$E$63,35))</f>
        <v/>
      </c>
      <c r="B1810">
        <f>IF(INDEX(Suivi!$B:$B,1845)="","",INDEX(Suivi!$B:$B,1845))</f>
        <v/>
      </c>
      <c r="C1810">
        <f>IF($B1810="","",IF(INDEX(Suivi!$D:$D,1845)="",INDEX(Suivi!$C:$C,1845),INDEX(Suivi!$D:$D,1845)))</f>
        <v/>
      </c>
      <c r="D1810" s="29">
        <f>IF($B1810="","",INDEX(Suivi!$E:$E,1845))</f>
        <v/>
      </c>
      <c r="E1810" s="29">
        <f>IF($B1810="","",INDEX(Suivi!$F:$F,1845))</f>
        <v/>
      </c>
      <c r="F1810">
        <f>IF($B1810="","",INDEX(Suivi!$G:$G,1845))</f>
        <v/>
      </c>
      <c r="H1810">
        <f>IF(OR($B1810="",NOT(ISNUMBER($D1810))),"",IF($E1810&lt;$D$2,"Passé",IF($D1810&gt;$F$2,"À venir","Dans la période")))</f>
        <v/>
      </c>
      <c r="I1810">
        <f>IF(OR($B1810="",NOT(ISNUMBER($D1810))),"",IF(AND($E1810&lt;$D$2,$G1810&lt;&gt;"X",$F1810&lt;&gt;"Réalisé",$F1810&lt;&gt;"Clôturé"),"RETARD",""))</f>
        <v/>
      </c>
      <c r="J1810" s="29">
        <f>IF($B1810="","",IF(INDEX(Dossiers!$F$4:$F$63,35)="","",INDEX(Dossiers!$F$4:$F$63,35)))</f>
        <v/>
      </c>
      <c r="K1810" s="29">
        <f>IF($B1810="","",IF(INDEX(Dossiers!$G$4:$G$63,35)="","",INDEX(Dossiers!$G$4:$G$63,35)))</f>
        <v/>
      </c>
    </row>
    <row r="1811">
      <c r="A1811">
        <f>IF($B1811="","",INDEX(Dossiers!$E$4:$E$63,35))</f>
        <v/>
      </c>
      <c r="B1811">
        <f>IF(INDEX(Suivi!$B:$B,1846)="","",INDEX(Suivi!$B:$B,1846))</f>
        <v/>
      </c>
      <c r="C1811">
        <f>IF($B1811="","",IF(INDEX(Suivi!$D:$D,1846)="",INDEX(Suivi!$C:$C,1846),INDEX(Suivi!$D:$D,1846)))</f>
        <v/>
      </c>
      <c r="D1811" s="29">
        <f>IF($B1811="","",INDEX(Suivi!$E:$E,1846))</f>
        <v/>
      </c>
      <c r="E1811" s="29">
        <f>IF($B1811="","",INDEX(Suivi!$F:$F,1846))</f>
        <v/>
      </c>
      <c r="F1811">
        <f>IF($B1811="","",INDEX(Suivi!$G:$G,1846))</f>
        <v/>
      </c>
      <c r="H1811">
        <f>IF(OR($B1811="",NOT(ISNUMBER($D1811))),"",IF($E1811&lt;$D$2,"Passé",IF($D1811&gt;$F$2,"À venir","Dans la période")))</f>
        <v/>
      </c>
      <c r="I1811">
        <f>IF(OR($B1811="",NOT(ISNUMBER($D1811))),"",IF(AND($E1811&lt;$D$2,$G1811&lt;&gt;"X",$F1811&lt;&gt;"Réalisé",$F1811&lt;&gt;"Clôturé"),"RETARD",""))</f>
        <v/>
      </c>
      <c r="J1811" s="29">
        <f>IF($B1811="","",IF(INDEX(Dossiers!$F$4:$F$63,35)="","",INDEX(Dossiers!$F$4:$F$63,35)))</f>
        <v/>
      </c>
      <c r="K1811" s="29">
        <f>IF($B1811="","",IF(INDEX(Dossiers!$G$4:$G$63,35)="","",INDEX(Dossiers!$G$4:$G$63,35)))</f>
        <v/>
      </c>
    </row>
    <row r="1812">
      <c r="A1812">
        <f>IF($B1812="","",INDEX(Dossiers!$E$4:$E$63,35))</f>
        <v/>
      </c>
      <c r="B1812">
        <f>IF(INDEX(Suivi!$B:$B,1847)="","",INDEX(Suivi!$B:$B,1847))</f>
        <v/>
      </c>
      <c r="C1812">
        <f>IF($B1812="","",IF(INDEX(Suivi!$D:$D,1847)="",INDEX(Suivi!$C:$C,1847),INDEX(Suivi!$D:$D,1847)))</f>
        <v/>
      </c>
      <c r="D1812" s="29">
        <f>IF($B1812="","",INDEX(Suivi!$E:$E,1847))</f>
        <v/>
      </c>
      <c r="E1812" s="29">
        <f>IF($B1812="","",INDEX(Suivi!$F:$F,1847))</f>
        <v/>
      </c>
      <c r="F1812">
        <f>IF($B1812="","",INDEX(Suivi!$G:$G,1847))</f>
        <v/>
      </c>
      <c r="H1812">
        <f>IF(OR($B1812="",NOT(ISNUMBER($D1812))),"",IF($E1812&lt;$D$2,"Passé",IF($D1812&gt;$F$2,"À venir","Dans la période")))</f>
        <v/>
      </c>
      <c r="I1812">
        <f>IF(OR($B1812="",NOT(ISNUMBER($D1812))),"",IF(AND($E1812&lt;$D$2,$G1812&lt;&gt;"X",$F1812&lt;&gt;"Réalisé",$F1812&lt;&gt;"Clôturé"),"RETARD",""))</f>
        <v/>
      </c>
      <c r="J1812" s="29">
        <f>IF($B1812="","",IF(INDEX(Dossiers!$F$4:$F$63,35)="","",INDEX(Dossiers!$F$4:$F$63,35)))</f>
        <v/>
      </c>
      <c r="K1812" s="29">
        <f>IF($B1812="","",IF(INDEX(Dossiers!$G$4:$G$63,35)="","",INDEX(Dossiers!$G$4:$G$63,35)))</f>
        <v/>
      </c>
    </row>
    <row r="1813">
      <c r="A1813">
        <f>IF($B1813="","",INDEX(Dossiers!$E$4:$E$63,35))</f>
        <v/>
      </c>
      <c r="B1813">
        <f>IF(INDEX(Suivi!$B:$B,1848)="","",INDEX(Suivi!$B:$B,1848))</f>
        <v/>
      </c>
      <c r="C1813">
        <f>IF($B1813="","",IF(INDEX(Suivi!$D:$D,1848)="",INDEX(Suivi!$C:$C,1848),INDEX(Suivi!$D:$D,1848)))</f>
        <v/>
      </c>
      <c r="D1813" s="29">
        <f>IF($B1813="","",INDEX(Suivi!$E:$E,1848))</f>
        <v/>
      </c>
      <c r="E1813" s="29">
        <f>IF($B1813="","",INDEX(Suivi!$F:$F,1848))</f>
        <v/>
      </c>
      <c r="F1813">
        <f>IF($B1813="","",INDEX(Suivi!$G:$G,1848))</f>
        <v/>
      </c>
      <c r="H1813">
        <f>IF(OR($B1813="",NOT(ISNUMBER($D1813))),"",IF($E1813&lt;$D$2,"Passé",IF($D1813&gt;$F$2,"À venir","Dans la période")))</f>
        <v/>
      </c>
      <c r="I1813">
        <f>IF(OR($B1813="",NOT(ISNUMBER($D1813))),"",IF(AND($E1813&lt;$D$2,$G1813&lt;&gt;"X",$F1813&lt;&gt;"Réalisé",$F1813&lt;&gt;"Clôturé"),"RETARD",""))</f>
        <v/>
      </c>
      <c r="J1813" s="29">
        <f>IF($B1813="","",IF(INDEX(Dossiers!$F$4:$F$63,35)="","",INDEX(Dossiers!$F$4:$F$63,35)))</f>
        <v/>
      </c>
      <c r="K1813" s="29">
        <f>IF($B1813="","",IF(INDEX(Dossiers!$G$4:$G$63,35)="","",INDEX(Dossiers!$G$4:$G$63,35)))</f>
        <v/>
      </c>
    </row>
    <row r="1814">
      <c r="A1814">
        <f>IF($B1814="","",INDEX(Dossiers!$E$4:$E$63,35))</f>
        <v/>
      </c>
      <c r="B1814">
        <f>IF(INDEX(Suivi!$B:$B,1849)="","",INDEX(Suivi!$B:$B,1849))</f>
        <v/>
      </c>
      <c r="C1814">
        <f>IF($B1814="","",IF(INDEX(Suivi!$D:$D,1849)="",INDEX(Suivi!$C:$C,1849),INDEX(Suivi!$D:$D,1849)))</f>
        <v/>
      </c>
      <c r="D1814" s="29">
        <f>IF($B1814="","",INDEX(Suivi!$E:$E,1849))</f>
        <v/>
      </c>
      <c r="E1814" s="29">
        <f>IF($B1814="","",INDEX(Suivi!$F:$F,1849))</f>
        <v/>
      </c>
      <c r="F1814">
        <f>IF($B1814="","",INDEX(Suivi!$G:$G,1849))</f>
        <v/>
      </c>
      <c r="H1814">
        <f>IF(OR($B1814="",NOT(ISNUMBER($D1814))),"",IF($E1814&lt;$D$2,"Passé",IF($D1814&gt;$F$2,"À venir","Dans la période")))</f>
        <v/>
      </c>
      <c r="I1814">
        <f>IF(OR($B1814="",NOT(ISNUMBER($D1814))),"",IF(AND($E1814&lt;$D$2,$G1814&lt;&gt;"X",$F1814&lt;&gt;"Réalisé",$F1814&lt;&gt;"Clôturé"),"RETARD",""))</f>
        <v/>
      </c>
      <c r="J1814" s="29">
        <f>IF($B1814="","",IF(INDEX(Dossiers!$F$4:$F$63,35)="","",INDEX(Dossiers!$F$4:$F$63,35)))</f>
        <v/>
      </c>
      <c r="K1814" s="29">
        <f>IF($B1814="","",IF(INDEX(Dossiers!$G$4:$G$63,35)="","",INDEX(Dossiers!$G$4:$G$63,35)))</f>
        <v/>
      </c>
    </row>
    <row r="1815">
      <c r="A1815">
        <f>IF($B1815="","",INDEX(Dossiers!$E$4:$E$63,35))</f>
        <v/>
      </c>
      <c r="B1815">
        <f>IF(INDEX(Suivi!$B:$B,1850)="","",INDEX(Suivi!$B:$B,1850))</f>
        <v/>
      </c>
      <c r="C1815">
        <f>IF($B1815="","",IF(INDEX(Suivi!$D:$D,1850)="",INDEX(Suivi!$C:$C,1850),INDEX(Suivi!$D:$D,1850)))</f>
        <v/>
      </c>
      <c r="D1815" s="29">
        <f>IF($B1815="","",INDEX(Suivi!$E:$E,1850))</f>
        <v/>
      </c>
      <c r="E1815" s="29">
        <f>IF($B1815="","",INDEX(Suivi!$F:$F,1850))</f>
        <v/>
      </c>
      <c r="F1815">
        <f>IF($B1815="","",INDEX(Suivi!$G:$G,1850))</f>
        <v/>
      </c>
      <c r="H1815">
        <f>IF(OR($B1815="",NOT(ISNUMBER($D1815))),"",IF($E1815&lt;$D$2,"Passé",IF($D1815&gt;$F$2,"À venir","Dans la période")))</f>
        <v/>
      </c>
      <c r="I1815">
        <f>IF(OR($B1815="",NOT(ISNUMBER($D1815))),"",IF(AND($E1815&lt;$D$2,$G1815&lt;&gt;"X",$F1815&lt;&gt;"Réalisé",$F1815&lt;&gt;"Clôturé"),"RETARD",""))</f>
        <v/>
      </c>
      <c r="J1815" s="29">
        <f>IF($B1815="","",IF(INDEX(Dossiers!$F$4:$F$63,35)="","",INDEX(Dossiers!$F$4:$F$63,35)))</f>
        <v/>
      </c>
      <c r="K1815" s="29">
        <f>IF($B1815="","",IF(INDEX(Dossiers!$G$4:$G$63,35)="","",INDEX(Dossiers!$G$4:$G$63,35)))</f>
        <v/>
      </c>
    </row>
    <row r="1816">
      <c r="A1816">
        <f>IF($B1816="","",INDEX(Dossiers!$E$4:$E$63,35))</f>
        <v/>
      </c>
      <c r="B1816">
        <f>IF(INDEX(Suivi!$B:$B,1851)="","",INDEX(Suivi!$B:$B,1851))</f>
        <v/>
      </c>
      <c r="C1816">
        <f>IF($B1816="","",IF(INDEX(Suivi!$D:$D,1851)="",INDEX(Suivi!$C:$C,1851),INDEX(Suivi!$D:$D,1851)))</f>
        <v/>
      </c>
      <c r="D1816" s="29">
        <f>IF($B1816="","",INDEX(Suivi!$E:$E,1851))</f>
        <v/>
      </c>
      <c r="E1816" s="29">
        <f>IF($B1816="","",INDEX(Suivi!$F:$F,1851))</f>
        <v/>
      </c>
      <c r="F1816">
        <f>IF($B1816="","",INDEX(Suivi!$G:$G,1851))</f>
        <v/>
      </c>
      <c r="H1816">
        <f>IF(OR($B1816="",NOT(ISNUMBER($D1816))),"",IF($E1816&lt;$D$2,"Passé",IF($D1816&gt;$F$2,"À venir","Dans la période")))</f>
        <v/>
      </c>
      <c r="I1816">
        <f>IF(OR($B1816="",NOT(ISNUMBER($D1816))),"",IF(AND($E1816&lt;$D$2,$G1816&lt;&gt;"X",$F1816&lt;&gt;"Réalisé",$F1816&lt;&gt;"Clôturé"),"RETARD",""))</f>
        <v/>
      </c>
      <c r="J1816" s="29">
        <f>IF($B1816="","",IF(INDEX(Dossiers!$F$4:$F$63,35)="","",INDEX(Dossiers!$F$4:$F$63,35)))</f>
        <v/>
      </c>
      <c r="K1816" s="29">
        <f>IF($B1816="","",IF(INDEX(Dossiers!$G$4:$G$63,35)="","",INDEX(Dossiers!$G$4:$G$63,35)))</f>
        <v/>
      </c>
    </row>
    <row r="1817">
      <c r="A1817">
        <f>IF($B1817="","",INDEX(Dossiers!$E$4:$E$63,35))</f>
        <v/>
      </c>
      <c r="B1817">
        <f>IF(INDEX(Suivi!$B:$B,1852)="","",INDEX(Suivi!$B:$B,1852))</f>
        <v/>
      </c>
      <c r="C1817">
        <f>IF($B1817="","",IF(INDEX(Suivi!$D:$D,1852)="",INDEX(Suivi!$C:$C,1852),INDEX(Suivi!$D:$D,1852)))</f>
        <v/>
      </c>
      <c r="D1817" s="29">
        <f>IF($B1817="","",INDEX(Suivi!$E:$E,1852))</f>
        <v/>
      </c>
      <c r="E1817" s="29">
        <f>IF($B1817="","",INDEX(Suivi!$F:$F,1852))</f>
        <v/>
      </c>
      <c r="F1817">
        <f>IF($B1817="","",INDEX(Suivi!$G:$G,1852))</f>
        <v/>
      </c>
      <c r="H1817">
        <f>IF(OR($B1817="",NOT(ISNUMBER($D1817))),"",IF($E1817&lt;$D$2,"Passé",IF($D1817&gt;$F$2,"À venir","Dans la période")))</f>
        <v/>
      </c>
      <c r="I1817">
        <f>IF(OR($B1817="",NOT(ISNUMBER($D1817))),"",IF(AND($E1817&lt;$D$2,$G1817&lt;&gt;"X",$F1817&lt;&gt;"Réalisé",$F1817&lt;&gt;"Clôturé"),"RETARD",""))</f>
        <v/>
      </c>
      <c r="J1817" s="29">
        <f>IF($B1817="","",IF(INDEX(Dossiers!$F$4:$F$63,35)="","",INDEX(Dossiers!$F$4:$F$63,35)))</f>
        <v/>
      </c>
      <c r="K1817" s="29">
        <f>IF($B1817="","",IF(INDEX(Dossiers!$G$4:$G$63,35)="","",INDEX(Dossiers!$G$4:$G$63,35)))</f>
        <v/>
      </c>
    </row>
    <row r="1818">
      <c r="A1818">
        <f>IF($B1818="","",INDEX(Dossiers!$E$4:$E$63,35))</f>
        <v/>
      </c>
      <c r="B1818">
        <f>IF(INDEX(Suivi!$B:$B,1853)="","",INDEX(Suivi!$B:$B,1853))</f>
        <v/>
      </c>
      <c r="C1818">
        <f>IF($B1818="","",IF(INDEX(Suivi!$D:$D,1853)="",INDEX(Suivi!$C:$C,1853),INDEX(Suivi!$D:$D,1853)))</f>
        <v/>
      </c>
      <c r="D1818" s="29">
        <f>IF($B1818="","",INDEX(Suivi!$E:$E,1853))</f>
        <v/>
      </c>
      <c r="E1818" s="29">
        <f>IF($B1818="","",INDEX(Suivi!$F:$F,1853))</f>
        <v/>
      </c>
      <c r="F1818">
        <f>IF($B1818="","",INDEX(Suivi!$G:$G,1853))</f>
        <v/>
      </c>
      <c r="H1818">
        <f>IF(OR($B1818="",NOT(ISNUMBER($D1818))),"",IF($E1818&lt;$D$2,"Passé",IF($D1818&gt;$F$2,"À venir","Dans la période")))</f>
        <v/>
      </c>
      <c r="I1818">
        <f>IF(OR($B1818="",NOT(ISNUMBER($D1818))),"",IF(AND($E1818&lt;$D$2,$G1818&lt;&gt;"X",$F1818&lt;&gt;"Réalisé",$F1818&lt;&gt;"Clôturé"),"RETARD",""))</f>
        <v/>
      </c>
      <c r="J1818" s="29">
        <f>IF($B1818="","",IF(INDEX(Dossiers!$F$4:$F$63,35)="","",INDEX(Dossiers!$F$4:$F$63,35)))</f>
        <v/>
      </c>
      <c r="K1818" s="29">
        <f>IF($B1818="","",IF(INDEX(Dossiers!$G$4:$G$63,35)="","",INDEX(Dossiers!$G$4:$G$63,35)))</f>
        <v/>
      </c>
    </row>
    <row r="1819">
      <c r="A1819">
        <f>IF($B1819="","",INDEX(Dossiers!$E$4:$E$63,35))</f>
        <v/>
      </c>
      <c r="B1819">
        <f>IF(INDEX(Suivi!$B:$B,1854)="","",INDEX(Suivi!$B:$B,1854))</f>
        <v/>
      </c>
      <c r="C1819">
        <f>IF($B1819="","",IF(INDEX(Suivi!$D:$D,1854)="",INDEX(Suivi!$C:$C,1854),INDEX(Suivi!$D:$D,1854)))</f>
        <v/>
      </c>
      <c r="D1819" s="29">
        <f>IF($B1819="","",INDEX(Suivi!$E:$E,1854))</f>
        <v/>
      </c>
      <c r="E1819" s="29">
        <f>IF($B1819="","",INDEX(Suivi!$F:$F,1854))</f>
        <v/>
      </c>
      <c r="F1819">
        <f>IF($B1819="","",INDEX(Suivi!$G:$G,1854))</f>
        <v/>
      </c>
      <c r="H1819">
        <f>IF(OR($B1819="",NOT(ISNUMBER($D1819))),"",IF($E1819&lt;$D$2,"Passé",IF($D1819&gt;$F$2,"À venir","Dans la période")))</f>
        <v/>
      </c>
      <c r="I1819">
        <f>IF(OR($B1819="",NOT(ISNUMBER($D1819))),"",IF(AND($E1819&lt;$D$2,$G1819&lt;&gt;"X",$F1819&lt;&gt;"Réalisé",$F1819&lt;&gt;"Clôturé"),"RETARD",""))</f>
        <v/>
      </c>
      <c r="J1819" s="29">
        <f>IF($B1819="","",IF(INDEX(Dossiers!$F$4:$F$63,35)="","",INDEX(Dossiers!$F$4:$F$63,35)))</f>
        <v/>
      </c>
      <c r="K1819" s="29">
        <f>IF($B1819="","",IF(INDEX(Dossiers!$G$4:$G$63,35)="","",INDEX(Dossiers!$G$4:$G$63,35)))</f>
        <v/>
      </c>
    </row>
    <row r="1820">
      <c r="A1820">
        <f>IF($B1820="","",INDEX(Dossiers!$E$4:$E$63,35))</f>
        <v/>
      </c>
      <c r="B1820">
        <f>IF(INDEX(Suivi!$B:$B,1855)="","",INDEX(Suivi!$B:$B,1855))</f>
        <v/>
      </c>
      <c r="C1820">
        <f>IF($B1820="","",IF(INDEX(Suivi!$D:$D,1855)="",INDEX(Suivi!$C:$C,1855),INDEX(Suivi!$D:$D,1855)))</f>
        <v/>
      </c>
      <c r="D1820" s="29">
        <f>IF($B1820="","",INDEX(Suivi!$E:$E,1855))</f>
        <v/>
      </c>
      <c r="E1820" s="29">
        <f>IF($B1820="","",INDEX(Suivi!$F:$F,1855))</f>
        <v/>
      </c>
      <c r="F1820">
        <f>IF($B1820="","",INDEX(Suivi!$G:$G,1855))</f>
        <v/>
      </c>
      <c r="H1820">
        <f>IF(OR($B1820="",NOT(ISNUMBER($D1820))),"",IF($E1820&lt;$D$2,"Passé",IF($D1820&gt;$F$2,"À venir","Dans la période")))</f>
        <v/>
      </c>
      <c r="I1820">
        <f>IF(OR($B1820="",NOT(ISNUMBER($D1820))),"",IF(AND($E1820&lt;$D$2,$G1820&lt;&gt;"X",$F1820&lt;&gt;"Réalisé",$F1820&lt;&gt;"Clôturé"),"RETARD",""))</f>
        <v/>
      </c>
      <c r="J1820" s="29">
        <f>IF($B1820="","",IF(INDEX(Dossiers!$F$4:$F$63,35)="","",INDEX(Dossiers!$F$4:$F$63,35)))</f>
        <v/>
      </c>
      <c r="K1820" s="29">
        <f>IF($B1820="","",IF(INDEX(Dossiers!$G$4:$G$63,35)="","",INDEX(Dossiers!$G$4:$G$63,35)))</f>
        <v/>
      </c>
    </row>
    <row r="1821">
      <c r="A1821">
        <f>IF($B1821="","",INDEX(Dossiers!$E$4:$E$63,35))</f>
        <v/>
      </c>
      <c r="B1821">
        <f>IF(INDEX(Suivi!$B:$B,1856)="","",INDEX(Suivi!$B:$B,1856))</f>
        <v/>
      </c>
      <c r="C1821">
        <f>IF($B1821="","",IF(INDEX(Suivi!$D:$D,1856)="",INDEX(Suivi!$C:$C,1856),INDEX(Suivi!$D:$D,1856)))</f>
        <v/>
      </c>
      <c r="D1821" s="29">
        <f>IF($B1821="","",INDEX(Suivi!$E:$E,1856))</f>
        <v/>
      </c>
      <c r="E1821" s="29">
        <f>IF($B1821="","",INDEX(Suivi!$F:$F,1856))</f>
        <v/>
      </c>
      <c r="F1821">
        <f>IF($B1821="","",INDEX(Suivi!$G:$G,1856))</f>
        <v/>
      </c>
      <c r="H1821">
        <f>IF(OR($B1821="",NOT(ISNUMBER($D1821))),"",IF($E1821&lt;$D$2,"Passé",IF($D1821&gt;$F$2,"À venir","Dans la période")))</f>
        <v/>
      </c>
      <c r="I1821">
        <f>IF(OR($B1821="",NOT(ISNUMBER($D1821))),"",IF(AND($E1821&lt;$D$2,$G1821&lt;&gt;"X",$F1821&lt;&gt;"Réalisé",$F1821&lt;&gt;"Clôturé"),"RETARD",""))</f>
        <v/>
      </c>
      <c r="J1821" s="29">
        <f>IF($B1821="","",IF(INDEX(Dossiers!$F$4:$F$63,35)="","",INDEX(Dossiers!$F$4:$F$63,35)))</f>
        <v/>
      </c>
      <c r="K1821" s="29">
        <f>IF($B1821="","",IF(INDEX(Dossiers!$G$4:$G$63,35)="","",INDEX(Dossiers!$G$4:$G$63,35)))</f>
        <v/>
      </c>
    </row>
    <row r="1822">
      <c r="A1822">
        <f>IF($B1822="","",INDEX(Dossiers!$E$4:$E$63,35))</f>
        <v/>
      </c>
      <c r="B1822">
        <f>IF(INDEX(Suivi!$B:$B,1857)="","",INDEX(Suivi!$B:$B,1857))</f>
        <v/>
      </c>
      <c r="C1822">
        <f>IF($B1822="","",IF(INDEX(Suivi!$D:$D,1857)="",INDEX(Suivi!$C:$C,1857),INDEX(Suivi!$D:$D,1857)))</f>
        <v/>
      </c>
      <c r="D1822" s="29">
        <f>IF($B1822="","",INDEX(Suivi!$E:$E,1857))</f>
        <v/>
      </c>
      <c r="E1822" s="29">
        <f>IF($B1822="","",INDEX(Suivi!$F:$F,1857))</f>
        <v/>
      </c>
      <c r="F1822">
        <f>IF($B1822="","",INDEX(Suivi!$G:$G,1857))</f>
        <v/>
      </c>
      <c r="H1822">
        <f>IF(OR($B1822="",NOT(ISNUMBER($D1822))),"",IF($E1822&lt;$D$2,"Passé",IF($D1822&gt;$F$2,"À venir","Dans la période")))</f>
        <v/>
      </c>
      <c r="I1822">
        <f>IF(OR($B1822="",NOT(ISNUMBER($D1822))),"",IF(AND($E1822&lt;$D$2,$G1822&lt;&gt;"X",$F1822&lt;&gt;"Réalisé",$F1822&lt;&gt;"Clôturé"),"RETARD",""))</f>
        <v/>
      </c>
      <c r="J1822" s="29">
        <f>IF($B1822="","",IF(INDEX(Dossiers!$F$4:$F$63,35)="","",INDEX(Dossiers!$F$4:$F$63,35)))</f>
        <v/>
      </c>
      <c r="K1822" s="29">
        <f>IF($B1822="","",IF(INDEX(Dossiers!$G$4:$G$63,35)="","",INDEX(Dossiers!$G$4:$G$63,35)))</f>
        <v/>
      </c>
    </row>
    <row r="1823">
      <c r="A1823">
        <f>IF($B1823="","",INDEX(Dossiers!$E$4:$E$63,35))</f>
        <v/>
      </c>
      <c r="B1823">
        <f>IF(INDEX(Suivi!$B:$B,1858)="","",INDEX(Suivi!$B:$B,1858))</f>
        <v/>
      </c>
      <c r="C1823">
        <f>IF($B1823="","",IF(INDEX(Suivi!$D:$D,1858)="",INDEX(Suivi!$C:$C,1858),INDEX(Suivi!$D:$D,1858)))</f>
        <v/>
      </c>
      <c r="D1823" s="29">
        <f>IF($B1823="","",INDEX(Suivi!$E:$E,1858))</f>
        <v/>
      </c>
      <c r="E1823" s="29">
        <f>IF($B1823="","",INDEX(Suivi!$F:$F,1858))</f>
        <v/>
      </c>
      <c r="F1823">
        <f>IF($B1823="","",INDEX(Suivi!$G:$G,1858))</f>
        <v/>
      </c>
      <c r="H1823">
        <f>IF(OR($B1823="",NOT(ISNUMBER($D1823))),"",IF($E1823&lt;$D$2,"Passé",IF($D1823&gt;$F$2,"À venir","Dans la période")))</f>
        <v/>
      </c>
      <c r="I1823">
        <f>IF(OR($B1823="",NOT(ISNUMBER($D1823))),"",IF(AND($E1823&lt;$D$2,$G1823&lt;&gt;"X",$F1823&lt;&gt;"Réalisé",$F1823&lt;&gt;"Clôturé"),"RETARD",""))</f>
        <v/>
      </c>
      <c r="J1823" s="29">
        <f>IF($B1823="","",IF(INDEX(Dossiers!$F$4:$F$63,35)="","",INDEX(Dossiers!$F$4:$F$63,35)))</f>
        <v/>
      </c>
      <c r="K1823" s="29">
        <f>IF($B1823="","",IF(INDEX(Dossiers!$G$4:$G$63,35)="","",INDEX(Dossiers!$G$4:$G$63,35)))</f>
        <v/>
      </c>
    </row>
    <row r="1824">
      <c r="A1824">
        <f>IF($B1824="","",INDEX(Dossiers!$E$4:$E$63,35))</f>
        <v/>
      </c>
      <c r="B1824">
        <f>IF(INDEX(Suivi!$B:$B,1859)="","",INDEX(Suivi!$B:$B,1859))</f>
        <v/>
      </c>
      <c r="C1824">
        <f>IF($B1824="","",IF(INDEX(Suivi!$D:$D,1859)="",INDEX(Suivi!$C:$C,1859),INDEX(Suivi!$D:$D,1859)))</f>
        <v/>
      </c>
      <c r="D1824" s="29">
        <f>IF($B1824="","",INDEX(Suivi!$E:$E,1859))</f>
        <v/>
      </c>
      <c r="E1824" s="29">
        <f>IF($B1824="","",INDEX(Suivi!$F:$F,1859))</f>
        <v/>
      </c>
      <c r="F1824">
        <f>IF($B1824="","",INDEX(Suivi!$G:$G,1859))</f>
        <v/>
      </c>
      <c r="H1824">
        <f>IF(OR($B1824="",NOT(ISNUMBER($D1824))),"",IF($E1824&lt;$D$2,"Passé",IF($D1824&gt;$F$2,"À venir","Dans la période")))</f>
        <v/>
      </c>
      <c r="I1824">
        <f>IF(OR($B1824="",NOT(ISNUMBER($D1824))),"",IF(AND($E1824&lt;$D$2,$G1824&lt;&gt;"X",$F1824&lt;&gt;"Réalisé",$F1824&lt;&gt;"Clôturé"),"RETARD",""))</f>
        <v/>
      </c>
      <c r="J1824" s="29">
        <f>IF($B1824="","",IF(INDEX(Dossiers!$F$4:$F$63,35)="","",INDEX(Dossiers!$F$4:$F$63,35)))</f>
        <v/>
      </c>
      <c r="K1824" s="29">
        <f>IF($B1824="","",IF(INDEX(Dossiers!$G$4:$G$63,35)="","",INDEX(Dossiers!$G$4:$G$63,35)))</f>
        <v/>
      </c>
    </row>
    <row r="1825">
      <c r="A1825">
        <f>IF($B1825="","",INDEX(Dossiers!$E$4:$E$63,35))</f>
        <v/>
      </c>
      <c r="B1825">
        <f>IF(INDEX(Suivi!$B:$B,1860)="","",INDEX(Suivi!$B:$B,1860))</f>
        <v/>
      </c>
      <c r="C1825">
        <f>IF($B1825="","",IF(INDEX(Suivi!$D:$D,1860)="",INDEX(Suivi!$C:$C,1860),INDEX(Suivi!$D:$D,1860)))</f>
        <v/>
      </c>
      <c r="D1825" s="29">
        <f>IF($B1825="","",INDEX(Suivi!$E:$E,1860))</f>
        <v/>
      </c>
      <c r="E1825" s="29">
        <f>IF($B1825="","",INDEX(Suivi!$F:$F,1860))</f>
        <v/>
      </c>
      <c r="F1825">
        <f>IF($B1825="","",INDEX(Suivi!$G:$G,1860))</f>
        <v/>
      </c>
      <c r="H1825">
        <f>IF(OR($B1825="",NOT(ISNUMBER($D1825))),"",IF($E1825&lt;$D$2,"Passé",IF($D1825&gt;$F$2,"À venir","Dans la période")))</f>
        <v/>
      </c>
      <c r="I1825">
        <f>IF(OR($B1825="",NOT(ISNUMBER($D1825))),"",IF(AND($E1825&lt;$D$2,$G1825&lt;&gt;"X",$F1825&lt;&gt;"Réalisé",$F1825&lt;&gt;"Clôturé"),"RETARD",""))</f>
        <v/>
      </c>
      <c r="J1825" s="29">
        <f>IF($B1825="","",IF(INDEX(Dossiers!$F$4:$F$63,35)="","",INDEX(Dossiers!$F$4:$F$63,35)))</f>
        <v/>
      </c>
      <c r="K1825" s="29">
        <f>IF($B1825="","",IF(INDEX(Dossiers!$G$4:$G$63,35)="","",INDEX(Dossiers!$G$4:$G$63,35)))</f>
        <v/>
      </c>
    </row>
    <row r="1826">
      <c r="A1826">
        <f>IF($B1826="","",INDEX(Dossiers!$E$4:$E$63,35))</f>
        <v/>
      </c>
      <c r="B1826">
        <f>IF(INDEX(Suivi!$B:$B,1861)="","",INDEX(Suivi!$B:$B,1861))</f>
        <v/>
      </c>
      <c r="C1826">
        <f>IF($B1826="","",IF(INDEX(Suivi!$D:$D,1861)="",INDEX(Suivi!$C:$C,1861),INDEX(Suivi!$D:$D,1861)))</f>
        <v/>
      </c>
      <c r="D1826" s="29">
        <f>IF($B1826="","",INDEX(Suivi!$E:$E,1861))</f>
        <v/>
      </c>
      <c r="E1826" s="29">
        <f>IF($B1826="","",INDEX(Suivi!$F:$F,1861))</f>
        <v/>
      </c>
      <c r="F1826">
        <f>IF($B1826="","",INDEX(Suivi!$G:$G,1861))</f>
        <v/>
      </c>
      <c r="H1826">
        <f>IF(OR($B1826="",NOT(ISNUMBER($D1826))),"",IF($E1826&lt;$D$2,"Passé",IF($D1826&gt;$F$2,"À venir","Dans la période")))</f>
        <v/>
      </c>
      <c r="I1826">
        <f>IF(OR($B1826="",NOT(ISNUMBER($D1826))),"",IF(AND($E1826&lt;$D$2,$G1826&lt;&gt;"X",$F1826&lt;&gt;"Réalisé",$F1826&lt;&gt;"Clôturé"),"RETARD",""))</f>
        <v/>
      </c>
      <c r="J1826" s="29">
        <f>IF($B1826="","",IF(INDEX(Dossiers!$F$4:$F$63,35)="","",INDEX(Dossiers!$F$4:$F$63,35)))</f>
        <v/>
      </c>
      <c r="K1826" s="29">
        <f>IF($B1826="","",IF(INDEX(Dossiers!$G$4:$G$63,35)="","",INDEX(Dossiers!$G$4:$G$63,35)))</f>
        <v/>
      </c>
    </row>
    <row r="1827">
      <c r="A1827">
        <f>IF($B1827="","",INDEX(Dossiers!$E$4:$E$63,35))</f>
        <v/>
      </c>
      <c r="B1827">
        <f>IF(INDEX(Suivi!$B:$B,1862)="","",INDEX(Suivi!$B:$B,1862))</f>
        <v/>
      </c>
      <c r="C1827">
        <f>IF($B1827="","",IF(INDEX(Suivi!$D:$D,1862)="",INDEX(Suivi!$C:$C,1862),INDEX(Suivi!$D:$D,1862)))</f>
        <v/>
      </c>
      <c r="D1827" s="29">
        <f>IF($B1827="","",INDEX(Suivi!$E:$E,1862))</f>
        <v/>
      </c>
      <c r="E1827" s="29">
        <f>IF($B1827="","",INDEX(Suivi!$F:$F,1862))</f>
        <v/>
      </c>
      <c r="F1827">
        <f>IF($B1827="","",INDEX(Suivi!$G:$G,1862))</f>
        <v/>
      </c>
      <c r="H1827">
        <f>IF(OR($B1827="",NOT(ISNUMBER($D1827))),"",IF($E1827&lt;$D$2,"Passé",IF($D1827&gt;$F$2,"À venir","Dans la période")))</f>
        <v/>
      </c>
      <c r="I1827">
        <f>IF(OR($B1827="",NOT(ISNUMBER($D1827))),"",IF(AND($E1827&lt;$D$2,$G1827&lt;&gt;"X",$F1827&lt;&gt;"Réalisé",$F1827&lt;&gt;"Clôturé"),"RETARD",""))</f>
        <v/>
      </c>
      <c r="J1827" s="29">
        <f>IF($B1827="","",IF(INDEX(Dossiers!$F$4:$F$63,35)="","",INDEX(Dossiers!$F$4:$F$63,35)))</f>
        <v/>
      </c>
      <c r="K1827" s="29">
        <f>IF($B1827="","",IF(INDEX(Dossiers!$G$4:$G$63,35)="","",INDEX(Dossiers!$G$4:$G$63,35)))</f>
        <v/>
      </c>
    </row>
    <row r="1828">
      <c r="A1828">
        <f>IF($B1828="","",INDEX(Dossiers!$E$4:$E$63,35))</f>
        <v/>
      </c>
      <c r="B1828">
        <f>IF(INDEX(Suivi!$B:$B,1863)="","",INDEX(Suivi!$B:$B,1863))</f>
        <v/>
      </c>
      <c r="C1828">
        <f>IF($B1828="","",IF(INDEX(Suivi!$D:$D,1863)="",INDEX(Suivi!$C:$C,1863),INDEX(Suivi!$D:$D,1863)))</f>
        <v/>
      </c>
      <c r="D1828" s="29">
        <f>IF($B1828="","",INDEX(Suivi!$E:$E,1863))</f>
        <v/>
      </c>
      <c r="E1828" s="29">
        <f>IF($B1828="","",INDEX(Suivi!$F:$F,1863))</f>
        <v/>
      </c>
      <c r="F1828">
        <f>IF($B1828="","",INDEX(Suivi!$G:$G,1863))</f>
        <v/>
      </c>
      <c r="H1828">
        <f>IF(OR($B1828="",NOT(ISNUMBER($D1828))),"",IF($E1828&lt;$D$2,"Passé",IF($D1828&gt;$F$2,"À venir","Dans la période")))</f>
        <v/>
      </c>
      <c r="I1828">
        <f>IF(OR($B1828="",NOT(ISNUMBER($D1828))),"",IF(AND($E1828&lt;$D$2,$G1828&lt;&gt;"X",$F1828&lt;&gt;"Réalisé",$F1828&lt;&gt;"Clôturé"),"RETARD",""))</f>
        <v/>
      </c>
      <c r="J1828" s="29">
        <f>IF($B1828="","",IF(INDEX(Dossiers!$F$4:$F$63,35)="","",INDEX(Dossiers!$F$4:$F$63,35)))</f>
        <v/>
      </c>
      <c r="K1828" s="29">
        <f>IF($B1828="","",IF(INDEX(Dossiers!$G$4:$G$63,35)="","",INDEX(Dossiers!$G$4:$G$63,35)))</f>
        <v/>
      </c>
    </row>
    <row r="1829">
      <c r="A1829">
        <f>IF($B1829="","",INDEX(Dossiers!$E$4:$E$63,35))</f>
        <v/>
      </c>
      <c r="B1829">
        <f>IF(INDEX(Suivi!$B:$B,1864)="","",INDEX(Suivi!$B:$B,1864))</f>
        <v/>
      </c>
      <c r="C1829">
        <f>IF($B1829="","",IF(INDEX(Suivi!$D:$D,1864)="",INDEX(Suivi!$C:$C,1864),INDEX(Suivi!$D:$D,1864)))</f>
        <v/>
      </c>
      <c r="D1829" s="29">
        <f>IF($B1829="","",INDEX(Suivi!$E:$E,1864))</f>
        <v/>
      </c>
      <c r="E1829" s="29">
        <f>IF($B1829="","",INDEX(Suivi!$F:$F,1864))</f>
        <v/>
      </c>
      <c r="F1829">
        <f>IF($B1829="","",INDEX(Suivi!$G:$G,1864))</f>
        <v/>
      </c>
      <c r="H1829">
        <f>IF(OR($B1829="",NOT(ISNUMBER($D1829))),"",IF($E1829&lt;$D$2,"Passé",IF($D1829&gt;$F$2,"À venir","Dans la période")))</f>
        <v/>
      </c>
      <c r="I1829">
        <f>IF(OR($B1829="",NOT(ISNUMBER($D1829))),"",IF(AND($E1829&lt;$D$2,$G1829&lt;&gt;"X",$F1829&lt;&gt;"Réalisé",$F1829&lt;&gt;"Clôturé"),"RETARD",""))</f>
        <v/>
      </c>
      <c r="J1829" s="29">
        <f>IF($B1829="","",IF(INDEX(Dossiers!$F$4:$F$63,35)="","",INDEX(Dossiers!$F$4:$F$63,35)))</f>
        <v/>
      </c>
      <c r="K1829" s="29">
        <f>IF($B1829="","",IF(INDEX(Dossiers!$G$4:$G$63,35)="","",INDEX(Dossiers!$G$4:$G$63,35)))</f>
        <v/>
      </c>
    </row>
    <row r="1830">
      <c r="A1830">
        <f>IF($B1830="","",INDEX(Dossiers!$E$4:$E$63,35))</f>
        <v/>
      </c>
      <c r="B1830">
        <f>IF(INDEX(Suivi!$B:$B,1865)="","",INDEX(Suivi!$B:$B,1865))</f>
        <v/>
      </c>
      <c r="C1830">
        <f>IF($B1830="","",IF(INDEX(Suivi!$D:$D,1865)="",INDEX(Suivi!$C:$C,1865),INDEX(Suivi!$D:$D,1865)))</f>
        <v/>
      </c>
      <c r="D1830" s="29">
        <f>IF($B1830="","",INDEX(Suivi!$E:$E,1865))</f>
        <v/>
      </c>
      <c r="E1830" s="29">
        <f>IF($B1830="","",INDEX(Suivi!$F:$F,1865))</f>
        <v/>
      </c>
      <c r="F1830">
        <f>IF($B1830="","",INDEX(Suivi!$G:$G,1865))</f>
        <v/>
      </c>
      <c r="H1830">
        <f>IF(OR($B1830="",NOT(ISNUMBER($D1830))),"",IF($E1830&lt;$D$2,"Passé",IF($D1830&gt;$F$2,"À venir","Dans la période")))</f>
        <v/>
      </c>
      <c r="I1830">
        <f>IF(OR($B1830="",NOT(ISNUMBER($D1830))),"",IF(AND($E1830&lt;$D$2,$G1830&lt;&gt;"X",$F1830&lt;&gt;"Réalisé",$F1830&lt;&gt;"Clôturé"),"RETARD",""))</f>
        <v/>
      </c>
      <c r="J1830" s="29">
        <f>IF($B1830="","",IF(INDEX(Dossiers!$F$4:$F$63,35)="","",INDEX(Dossiers!$F$4:$F$63,35)))</f>
        <v/>
      </c>
      <c r="K1830" s="29">
        <f>IF($B1830="","",IF(INDEX(Dossiers!$G$4:$G$63,35)="","",INDEX(Dossiers!$G$4:$G$63,35)))</f>
        <v/>
      </c>
    </row>
    <row r="1831">
      <c r="A1831">
        <f>IF($B1831="","",INDEX(Dossiers!$E$4:$E$63,35))</f>
        <v/>
      </c>
      <c r="B1831">
        <f>IF(INDEX(Suivi!$B:$B,1866)="","",INDEX(Suivi!$B:$B,1866))</f>
        <v/>
      </c>
      <c r="C1831">
        <f>IF($B1831="","",IF(INDEX(Suivi!$D:$D,1866)="",INDEX(Suivi!$C:$C,1866),INDEX(Suivi!$D:$D,1866)))</f>
        <v/>
      </c>
      <c r="D1831" s="29">
        <f>IF($B1831="","",INDEX(Suivi!$E:$E,1866))</f>
        <v/>
      </c>
      <c r="E1831" s="29">
        <f>IF($B1831="","",INDEX(Suivi!$F:$F,1866))</f>
        <v/>
      </c>
      <c r="F1831">
        <f>IF($B1831="","",INDEX(Suivi!$G:$G,1866))</f>
        <v/>
      </c>
      <c r="H1831">
        <f>IF(OR($B1831="",NOT(ISNUMBER($D1831))),"",IF($E1831&lt;$D$2,"Passé",IF($D1831&gt;$F$2,"À venir","Dans la période")))</f>
        <v/>
      </c>
      <c r="I1831">
        <f>IF(OR($B1831="",NOT(ISNUMBER($D1831))),"",IF(AND($E1831&lt;$D$2,$G1831&lt;&gt;"X",$F1831&lt;&gt;"Réalisé",$F1831&lt;&gt;"Clôturé"),"RETARD",""))</f>
        <v/>
      </c>
      <c r="J1831" s="29">
        <f>IF($B1831="","",IF(INDEX(Dossiers!$F$4:$F$63,35)="","",INDEX(Dossiers!$F$4:$F$63,35)))</f>
        <v/>
      </c>
      <c r="K1831" s="29">
        <f>IF($B1831="","",IF(INDEX(Dossiers!$G$4:$G$63,35)="","",INDEX(Dossiers!$G$4:$G$63,35)))</f>
        <v/>
      </c>
    </row>
    <row r="1832">
      <c r="A1832">
        <f>IF($B1832="","",INDEX(Dossiers!$E$4:$E$63,35))</f>
        <v/>
      </c>
      <c r="B1832">
        <f>IF(INDEX(Suivi!$B:$B,1867)="","",INDEX(Suivi!$B:$B,1867))</f>
        <v/>
      </c>
      <c r="C1832">
        <f>IF($B1832="","",IF(INDEX(Suivi!$D:$D,1867)="",INDEX(Suivi!$C:$C,1867),INDEX(Suivi!$D:$D,1867)))</f>
        <v/>
      </c>
      <c r="D1832" s="29">
        <f>IF($B1832="","",INDEX(Suivi!$E:$E,1867))</f>
        <v/>
      </c>
      <c r="E1832" s="29">
        <f>IF($B1832="","",INDEX(Suivi!$F:$F,1867))</f>
        <v/>
      </c>
      <c r="F1832">
        <f>IF($B1832="","",INDEX(Suivi!$G:$G,1867))</f>
        <v/>
      </c>
      <c r="H1832">
        <f>IF(OR($B1832="",NOT(ISNUMBER($D1832))),"",IF($E1832&lt;$D$2,"Passé",IF($D1832&gt;$F$2,"À venir","Dans la période")))</f>
        <v/>
      </c>
      <c r="I1832">
        <f>IF(OR($B1832="",NOT(ISNUMBER($D1832))),"",IF(AND($E1832&lt;$D$2,$G1832&lt;&gt;"X",$F1832&lt;&gt;"Réalisé",$F1832&lt;&gt;"Clôturé"),"RETARD",""))</f>
        <v/>
      </c>
      <c r="J1832" s="29">
        <f>IF($B1832="","",IF(INDEX(Dossiers!$F$4:$F$63,35)="","",INDEX(Dossiers!$F$4:$F$63,35)))</f>
        <v/>
      </c>
      <c r="K1832" s="29">
        <f>IF($B1832="","",IF(INDEX(Dossiers!$G$4:$G$63,35)="","",INDEX(Dossiers!$G$4:$G$63,35)))</f>
        <v/>
      </c>
    </row>
    <row r="1833">
      <c r="A1833">
        <f>IF($B1833="","",INDEX(Dossiers!$E$4:$E$63,35))</f>
        <v/>
      </c>
      <c r="B1833">
        <f>IF(INDEX(Suivi!$B:$B,1868)="","",INDEX(Suivi!$B:$B,1868))</f>
        <v/>
      </c>
      <c r="C1833">
        <f>IF($B1833="","",IF(INDEX(Suivi!$D:$D,1868)="",INDEX(Suivi!$C:$C,1868),INDEX(Suivi!$D:$D,1868)))</f>
        <v/>
      </c>
      <c r="D1833" s="29">
        <f>IF($B1833="","",INDEX(Suivi!$E:$E,1868))</f>
        <v/>
      </c>
      <c r="E1833" s="29">
        <f>IF($B1833="","",INDEX(Suivi!$F:$F,1868))</f>
        <v/>
      </c>
      <c r="F1833">
        <f>IF($B1833="","",INDEX(Suivi!$G:$G,1868))</f>
        <v/>
      </c>
      <c r="H1833">
        <f>IF(OR($B1833="",NOT(ISNUMBER($D1833))),"",IF($E1833&lt;$D$2,"Passé",IF($D1833&gt;$F$2,"À venir","Dans la période")))</f>
        <v/>
      </c>
      <c r="I1833">
        <f>IF(OR($B1833="",NOT(ISNUMBER($D1833))),"",IF(AND($E1833&lt;$D$2,$G1833&lt;&gt;"X",$F1833&lt;&gt;"Réalisé",$F1833&lt;&gt;"Clôturé"),"RETARD",""))</f>
        <v/>
      </c>
      <c r="J1833" s="29">
        <f>IF($B1833="","",IF(INDEX(Dossiers!$F$4:$F$63,35)="","",INDEX(Dossiers!$F$4:$F$63,35)))</f>
        <v/>
      </c>
      <c r="K1833" s="29">
        <f>IF($B1833="","",IF(INDEX(Dossiers!$G$4:$G$63,35)="","",INDEX(Dossiers!$G$4:$G$63,35)))</f>
        <v/>
      </c>
    </row>
    <row r="1834">
      <c r="A1834">
        <f>IF($B1834="","",INDEX(Dossiers!$E$4:$E$63,35))</f>
        <v/>
      </c>
      <c r="B1834">
        <f>IF(INDEX(Suivi!$B:$B,1869)="","",INDEX(Suivi!$B:$B,1869))</f>
        <v/>
      </c>
      <c r="C1834">
        <f>IF($B1834="","",IF(INDEX(Suivi!$D:$D,1869)="",INDEX(Suivi!$C:$C,1869),INDEX(Suivi!$D:$D,1869)))</f>
        <v/>
      </c>
      <c r="D1834" s="29">
        <f>IF($B1834="","",INDEX(Suivi!$E:$E,1869))</f>
        <v/>
      </c>
      <c r="E1834" s="29">
        <f>IF($B1834="","",INDEX(Suivi!$F:$F,1869))</f>
        <v/>
      </c>
      <c r="F1834">
        <f>IF($B1834="","",INDEX(Suivi!$G:$G,1869))</f>
        <v/>
      </c>
      <c r="H1834">
        <f>IF(OR($B1834="",NOT(ISNUMBER($D1834))),"",IF($E1834&lt;$D$2,"Passé",IF($D1834&gt;$F$2,"À venir","Dans la période")))</f>
        <v/>
      </c>
      <c r="I1834">
        <f>IF(OR($B1834="",NOT(ISNUMBER($D1834))),"",IF(AND($E1834&lt;$D$2,$G1834&lt;&gt;"X",$F1834&lt;&gt;"Réalisé",$F1834&lt;&gt;"Clôturé"),"RETARD",""))</f>
        <v/>
      </c>
      <c r="J1834" s="29">
        <f>IF($B1834="","",IF(INDEX(Dossiers!$F$4:$F$63,35)="","",INDEX(Dossiers!$F$4:$F$63,35)))</f>
        <v/>
      </c>
      <c r="K1834" s="29">
        <f>IF($B1834="","",IF(INDEX(Dossiers!$G$4:$G$63,35)="","",INDEX(Dossiers!$G$4:$G$63,35)))</f>
        <v/>
      </c>
    </row>
    <row r="1835">
      <c r="A1835">
        <f>IF($B1835="","",INDEX(Dossiers!$E$4:$E$63,35))</f>
        <v/>
      </c>
      <c r="B1835">
        <f>IF(INDEX(Suivi!$B:$B,1870)="","",INDEX(Suivi!$B:$B,1870))</f>
        <v/>
      </c>
      <c r="C1835">
        <f>IF($B1835="","",IF(INDEX(Suivi!$D:$D,1870)="",INDEX(Suivi!$C:$C,1870),INDEX(Suivi!$D:$D,1870)))</f>
        <v/>
      </c>
      <c r="D1835" s="29">
        <f>IF($B1835="","",INDEX(Suivi!$E:$E,1870))</f>
        <v/>
      </c>
      <c r="E1835" s="29">
        <f>IF($B1835="","",INDEX(Suivi!$F:$F,1870))</f>
        <v/>
      </c>
      <c r="F1835">
        <f>IF($B1835="","",INDEX(Suivi!$G:$G,1870))</f>
        <v/>
      </c>
      <c r="H1835">
        <f>IF(OR($B1835="",NOT(ISNUMBER($D1835))),"",IF($E1835&lt;$D$2,"Passé",IF($D1835&gt;$F$2,"À venir","Dans la période")))</f>
        <v/>
      </c>
      <c r="I1835">
        <f>IF(OR($B1835="",NOT(ISNUMBER($D1835))),"",IF(AND($E1835&lt;$D$2,$G1835&lt;&gt;"X",$F1835&lt;&gt;"Réalisé",$F1835&lt;&gt;"Clôturé"),"RETARD",""))</f>
        <v/>
      </c>
      <c r="J1835" s="29">
        <f>IF($B1835="","",IF(INDEX(Dossiers!$F$4:$F$63,35)="","",INDEX(Dossiers!$F$4:$F$63,35)))</f>
        <v/>
      </c>
      <c r="K1835" s="29">
        <f>IF($B1835="","",IF(INDEX(Dossiers!$G$4:$G$63,35)="","",INDEX(Dossiers!$G$4:$G$63,35)))</f>
        <v/>
      </c>
    </row>
    <row r="1836">
      <c r="A1836">
        <f>IF($B1836="","",INDEX(Dossiers!$E$4:$E$63,35))</f>
        <v/>
      </c>
      <c r="B1836">
        <f>IF(INDEX(Suivi!$B:$B,1871)="","",INDEX(Suivi!$B:$B,1871))</f>
        <v/>
      </c>
      <c r="C1836">
        <f>IF($B1836="","",IF(INDEX(Suivi!$D:$D,1871)="",INDEX(Suivi!$C:$C,1871),INDEX(Suivi!$D:$D,1871)))</f>
        <v/>
      </c>
      <c r="D1836" s="29">
        <f>IF($B1836="","",INDEX(Suivi!$E:$E,1871))</f>
        <v/>
      </c>
      <c r="E1836" s="29">
        <f>IF($B1836="","",INDEX(Suivi!$F:$F,1871))</f>
        <v/>
      </c>
      <c r="F1836">
        <f>IF($B1836="","",INDEX(Suivi!$G:$G,1871))</f>
        <v/>
      </c>
      <c r="H1836">
        <f>IF(OR($B1836="",NOT(ISNUMBER($D1836))),"",IF($E1836&lt;$D$2,"Passé",IF($D1836&gt;$F$2,"À venir","Dans la période")))</f>
        <v/>
      </c>
      <c r="I1836">
        <f>IF(OR($B1836="",NOT(ISNUMBER($D1836))),"",IF(AND($E1836&lt;$D$2,$G1836&lt;&gt;"X",$F1836&lt;&gt;"Réalisé",$F1836&lt;&gt;"Clôturé"),"RETARD",""))</f>
        <v/>
      </c>
      <c r="J1836" s="29">
        <f>IF($B1836="","",IF(INDEX(Dossiers!$F$4:$F$63,35)="","",INDEX(Dossiers!$F$4:$F$63,35)))</f>
        <v/>
      </c>
      <c r="K1836" s="29">
        <f>IF($B1836="","",IF(INDEX(Dossiers!$G$4:$G$63,35)="","",INDEX(Dossiers!$G$4:$G$63,35)))</f>
        <v/>
      </c>
    </row>
    <row r="1837">
      <c r="A1837">
        <f>IF($B1837="","",INDEX(Dossiers!$E$4:$E$63,35))</f>
        <v/>
      </c>
      <c r="B1837">
        <f>IF(INDEX(Suivi!$B:$B,1872)="","",INDEX(Suivi!$B:$B,1872))</f>
        <v/>
      </c>
      <c r="C1837">
        <f>IF($B1837="","",IF(INDEX(Suivi!$D:$D,1872)="",INDEX(Suivi!$C:$C,1872),INDEX(Suivi!$D:$D,1872)))</f>
        <v/>
      </c>
      <c r="D1837" s="29">
        <f>IF($B1837="","",INDEX(Suivi!$E:$E,1872))</f>
        <v/>
      </c>
      <c r="E1837" s="29">
        <f>IF($B1837="","",INDEX(Suivi!$F:$F,1872))</f>
        <v/>
      </c>
      <c r="F1837">
        <f>IF($B1837="","",INDEX(Suivi!$G:$G,1872))</f>
        <v/>
      </c>
      <c r="H1837">
        <f>IF(OR($B1837="",NOT(ISNUMBER($D1837))),"",IF($E1837&lt;$D$2,"Passé",IF($D1837&gt;$F$2,"À venir","Dans la période")))</f>
        <v/>
      </c>
      <c r="I1837">
        <f>IF(OR($B1837="",NOT(ISNUMBER($D1837))),"",IF(AND($E1837&lt;$D$2,$G1837&lt;&gt;"X",$F1837&lt;&gt;"Réalisé",$F1837&lt;&gt;"Clôturé"),"RETARD",""))</f>
        <v/>
      </c>
      <c r="J1837" s="29">
        <f>IF($B1837="","",IF(INDEX(Dossiers!$F$4:$F$63,35)="","",INDEX(Dossiers!$F$4:$F$63,35)))</f>
        <v/>
      </c>
      <c r="K1837" s="29">
        <f>IF($B1837="","",IF(INDEX(Dossiers!$G$4:$G$63,35)="","",INDEX(Dossiers!$G$4:$G$63,35)))</f>
        <v/>
      </c>
    </row>
    <row r="1838">
      <c r="A1838">
        <f>IF($B1838="","",INDEX(Dossiers!$E$4:$E$63,35))</f>
        <v/>
      </c>
      <c r="B1838">
        <f>IF(INDEX(Suivi!$B:$B,1873)="","",INDEX(Suivi!$B:$B,1873))</f>
        <v/>
      </c>
      <c r="C1838">
        <f>IF($B1838="","",IF(INDEX(Suivi!$D:$D,1873)="",INDEX(Suivi!$C:$C,1873),INDEX(Suivi!$D:$D,1873)))</f>
        <v/>
      </c>
      <c r="D1838" s="29">
        <f>IF($B1838="","",INDEX(Suivi!$E:$E,1873))</f>
        <v/>
      </c>
      <c r="E1838" s="29">
        <f>IF($B1838="","",INDEX(Suivi!$F:$F,1873))</f>
        <v/>
      </c>
      <c r="F1838">
        <f>IF($B1838="","",INDEX(Suivi!$G:$G,1873))</f>
        <v/>
      </c>
      <c r="H1838">
        <f>IF(OR($B1838="",NOT(ISNUMBER($D1838))),"",IF($E1838&lt;$D$2,"Passé",IF($D1838&gt;$F$2,"À venir","Dans la période")))</f>
        <v/>
      </c>
      <c r="I1838">
        <f>IF(OR($B1838="",NOT(ISNUMBER($D1838))),"",IF(AND($E1838&lt;$D$2,$G1838&lt;&gt;"X",$F1838&lt;&gt;"Réalisé",$F1838&lt;&gt;"Clôturé"),"RETARD",""))</f>
        <v/>
      </c>
      <c r="J1838" s="29">
        <f>IF($B1838="","",IF(INDEX(Dossiers!$F$4:$F$63,35)="","",INDEX(Dossiers!$F$4:$F$63,35)))</f>
        <v/>
      </c>
      <c r="K1838" s="29">
        <f>IF($B1838="","",IF(INDEX(Dossiers!$G$4:$G$63,35)="","",INDEX(Dossiers!$G$4:$G$63,35)))</f>
        <v/>
      </c>
    </row>
    <row r="1839">
      <c r="A1839">
        <f>IF($B1839="","",INDEX(Dossiers!$E$4:$E$63,35))</f>
        <v/>
      </c>
      <c r="B1839">
        <f>IF(INDEX(Suivi!$B:$B,1874)="","",INDEX(Suivi!$B:$B,1874))</f>
        <v/>
      </c>
      <c r="C1839">
        <f>IF($B1839="","",IF(INDEX(Suivi!$D:$D,1874)="",INDEX(Suivi!$C:$C,1874),INDEX(Suivi!$D:$D,1874)))</f>
        <v/>
      </c>
      <c r="D1839" s="29">
        <f>IF($B1839="","",INDEX(Suivi!$E:$E,1874))</f>
        <v/>
      </c>
      <c r="E1839" s="29">
        <f>IF($B1839="","",INDEX(Suivi!$F:$F,1874))</f>
        <v/>
      </c>
      <c r="F1839">
        <f>IF($B1839="","",INDEX(Suivi!$G:$G,1874))</f>
        <v/>
      </c>
      <c r="H1839">
        <f>IF(OR($B1839="",NOT(ISNUMBER($D1839))),"",IF($E1839&lt;$D$2,"Passé",IF($D1839&gt;$F$2,"À venir","Dans la période")))</f>
        <v/>
      </c>
      <c r="I1839">
        <f>IF(OR($B1839="",NOT(ISNUMBER($D1839))),"",IF(AND($E1839&lt;$D$2,$G1839&lt;&gt;"X",$F1839&lt;&gt;"Réalisé",$F1839&lt;&gt;"Clôturé"),"RETARD",""))</f>
        <v/>
      </c>
      <c r="J1839" s="29">
        <f>IF($B1839="","",IF(INDEX(Dossiers!$F$4:$F$63,35)="","",INDEX(Dossiers!$F$4:$F$63,35)))</f>
        <v/>
      </c>
      <c r="K1839" s="29">
        <f>IF($B1839="","",IF(INDEX(Dossiers!$G$4:$G$63,35)="","",INDEX(Dossiers!$G$4:$G$63,35)))</f>
        <v/>
      </c>
    </row>
    <row r="1840">
      <c r="A1840">
        <f>IF($B1840="","",INDEX(Dossiers!$E$4:$E$63,35))</f>
        <v/>
      </c>
      <c r="B1840">
        <f>IF(INDEX(Suivi!$B:$B,1875)="","",INDEX(Suivi!$B:$B,1875))</f>
        <v/>
      </c>
      <c r="C1840">
        <f>IF($B1840="","",IF(INDEX(Suivi!$D:$D,1875)="",INDEX(Suivi!$C:$C,1875),INDEX(Suivi!$D:$D,1875)))</f>
        <v/>
      </c>
      <c r="D1840" s="29">
        <f>IF($B1840="","",INDEX(Suivi!$E:$E,1875))</f>
        <v/>
      </c>
      <c r="E1840" s="29">
        <f>IF($B1840="","",INDEX(Suivi!$F:$F,1875))</f>
        <v/>
      </c>
      <c r="F1840">
        <f>IF($B1840="","",INDEX(Suivi!$G:$G,1875))</f>
        <v/>
      </c>
      <c r="H1840">
        <f>IF(OR($B1840="",NOT(ISNUMBER($D1840))),"",IF($E1840&lt;$D$2,"Passé",IF($D1840&gt;$F$2,"À venir","Dans la période")))</f>
        <v/>
      </c>
      <c r="I1840">
        <f>IF(OR($B1840="",NOT(ISNUMBER($D1840))),"",IF(AND($E1840&lt;$D$2,$G1840&lt;&gt;"X",$F1840&lt;&gt;"Réalisé",$F1840&lt;&gt;"Clôturé"),"RETARD",""))</f>
        <v/>
      </c>
      <c r="J1840" s="29">
        <f>IF($B1840="","",IF(INDEX(Dossiers!$F$4:$F$63,35)="","",INDEX(Dossiers!$F$4:$F$63,35)))</f>
        <v/>
      </c>
      <c r="K1840" s="29">
        <f>IF($B1840="","",IF(INDEX(Dossiers!$G$4:$G$63,35)="","",INDEX(Dossiers!$G$4:$G$63,35)))</f>
        <v/>
      </c>
    </row>
    <row r="1841">
      <c r="A1841">
        <f>IF($B1841="","",INDEX(Dossiers!$E$4:$E$63,35))</f>
        <v/>
      </c>
      <c r="B1841">
        <f>IF(INDEX(Suivi!$B:$B,1876)="","",INDEX(Suivi!$B:$B,1876))</f>
        <v/>
      </c>
      <c r="C1841">
        <f>IF($B1841="","",IF(INDEX(Suivi!$D:$D,1876)="",INDEX(Suivi!$C:$C,1876),INDEX(Suivi!$D:$D,1876)))</f>
        <v/>
      </c>
      <c r="D1841" s="29">
        <f>IF($B1841="","",INDEX(Suivi!$E:$E,1876))</f>
        <v/>
      </c>
      <c r="E1841" s="29">
        <f>IF($B1841="","",INDEX(Suivi!$F:$F,1876))</f>
        <v/>
      </c>
      <c r="F1841">
        <f>IF($B1841="","",INDEX(Suivi!$G:$G,1876))</f>
        <v/>
      </c>
      <c r="H1841">
        <f>IF(OR($B1841="",NOT(ISNUMBER($D1841))),"",IF($E1841&lt;$D$2,"Passé",IF($D1841&gt;$F$2,"À venir","Dans la période")))</f>
        <v/>
      </c>
      <c r="I1841">
        <f>IF(OR($B1841="",NOT(ISNUMBER($D1841))),"",IF(AND($E1841&lt;$D$2,$G1841&lt;&gt;"X",$F1841&lt;&gt;"Réalisé",$F1841&lt;&gt;"Clôturé"),"RETARD",""))</f>
        <v/>
      </c>
      <c r="J1841" s="29">
        <f>IF($B1841="","",IF(INDEX(Dossiers!$F$4:$F$63,35)="","",INDEX(Dossiers!$F$4:$F$63,35)))</f>
        <v/>
      </c>
      <c r="K1841" s="29">
        <f>IF($B1841="","",IF(INDEX(Dossiers!$G$4:$G$63,35)="","",INDEX(Dossiers!$G$4:$G$63,35)))</f>
        <v/>
      </c>
    </row>
    <row r="1842">
      <c r="A1842">
        <f>IF($B1842="","",INDEX(Dossiers!$E$4:$E$63,35))</f>
        <v/>
      </c>
      <c r="B1842">
        <f>IF(INDEX(Suivi!$B:$B,1877)="","",INDEX(Suivi!$B:$B,1877))</f>
        <v/>
      </c>
      <c r="C1842">
        <f>IF($B1842="","",IF(INDEX(Suivi!$D:$D,1877)="",INDEX(Suivi!$C:$C,1877),INDEX(Suivi!$D:$D,1877)))</f>
        <v/>
      </c>
      <c r="D1842" s="29">
        <f>IF($B1842="","",INDEX(Suivi!$E:$E,1877))</f>
        <v/>
      </c>
      <c r="E1842" s="29">
        <f>IF($B1842="","",INDEX(Suivi!$F:$F,1877))</f>
        <v/>
      </c>
      <c r="F1842">
        <f>IF($B1842="","",INDEX(Suivi!$G:$G,1877))</f>
        <v/>
      </c>
      <c r="H1842">
        <f>IF(OR($B1842="",NOT(ISNUMBER($D1842))),"",IF($E1842&lt;$D$2,"Passé",IF($D1842&gt;$F$2,"À venir","Dans la période")))</f>
        <v/>
      </c>
      <c r="I1842">
        <f>IF(OR($B1842="",NOT(ISNUMBER($D1842))),"",IF(AND($E1842&lt;$D$2,$G1842&lt;&gt;"X",$F1842&lt;&gt;"Réalisé",$F1842&lt;&gt;"Clôturé"),"RETARD",""))</f>
        <v/>
      </c>
      <c r="J1842" s="29">
        <f>IF($B1842="","",IF(INDEX(Dossiers!$F$4:$F$63,35)="","",INDEX(Dossiers!$F$4:$F$63,35)))</f>
        <v/>
      </c>
      <c r="K1842" s="29">
        <f>IF($B1842="","",IF(INDEX(Dossiers!$G$4:$G$63,35)="","",INDEX(Dossiers!$G$4:$G$63,35)))</f>
        <v/>
      </c>
    </row>
    <row r="1843">
      <c r="A1843">
        <f>IF($B1843="","",INDEX(Dossiers!$E$4:$E$63,35))</f>
        <v/>
      </c>
      <c r="B1843">
        <f>IF(INDEX(Suivi!$B:$B,1878)="","",INDEX(Suivi!$B:$B,1878))</f>
        <v/>
      </c>
      <c r="C1843">
        <f>IF($B1843="","",IF(INDEX(Suivi!$D:$D,1878)="",INDEX(Suivi!$C:$C,1878),INDEX(Suivi!$D:$D,1878)))</f>
        <v/>
      </c>
      <c r="D1843" s="29">
        <f>IF($B1843="","",INDEX(Suivi!$E:$E,1878))</f>
        <v/>
      </c>
      <c r="E1843" s="29">
        <f>IF($B1843="","",INDEX(Suivi!$F:$F,1878))</f>
        <v/>
      </c>
      <c r="F1843">
        <f>IF($B1843="","",INDEX(Suivi!$G:$G,1878))</f>
        <v/>
      </c>
      <c r="H1843">
        <f>IF(OR($B1843="",NOT(ISNUMBER($D1843))),"",IF($E1843&lt;$D$2,"Passé",IF($D1843&gt;$F$2,"À venir","Dans la période")))</f>
        <v/>
      </c>
      <c r="I1843">
        <f>IF(OR($B1843="",NOT(ISNUMBER($D1843))),"",IF(AND($E1843&lt;$D$2,$G1843&lt;&gt;"X",$F1843&lt;&gt;"Réalisé",$F1843&lt;&gt;"Clôturé"),"RETARD",""))</f>
        <v/>
      </c>
      <c r="J1843" s="29">
        <f>IF($B1843="","",IF(INDEX(Dossiers!$F$4:$F$63,35)="","",INDEX(Dossiers!$F$4:$F$63,35)))</f>
        <v/>
      </c>
      <c r="K1843" s="29">
        <f>IF($B1843="","",IF(INDEX(Dossiers!$G$4:$G$63,35)="","",INDEX(Dossiers!$G$4:$G$63,35)))</f>
        <v/>
      </c>
    </row>
    <row r="1844">
      <c r="A1844">
        <f>IF($B1844="","",INDEX(Dossiers!$E$4:$E$63,35))</f>
        <v/>
      </c>
      <c r="B1844">
        <f>IF(INDEX(Suivi!$B:$B,1879)="","",INDEX(Suivi!$B:$B,1879))</f>
        <v/>
      </c>
      <c r="C1844">
        <f>IF($B1844="","",IF(INDEX(Suivi!$D:$D,1879)="",INDEX(Suivi!$C:$C,1879),INDEX(Suivi!$D:$D,1879)))</f>
        <v/>
      </c>
      <c r="D1844" s="29">
        <f>IF($B1844="","",INDEX(Suivi!$E:$E,1879))</f>
        <v/>
      </c>
      <c r="E1844" s="29">
        <f>IF($B1844="","",INDEX(Suivi!$F:$F,1879))</f>
        <v/>
      </c>
      <c r="F1844">
        <f>IF($B1844="","",INDEX(Suivi!$G:$G,1879))</f>
        <v/>
      </c>
      <c r="H1844">
        <f>IF(OR($B1844="",NOT(ISNUMBER($D1844))),"",IF($E1844&lt;$D$2,"Passé",IF($D1844&gt;$F$2,"À venir","Dans la période")))</f>
        <v/>
      </c>
      <c r="I1844">
        <f>IF(OR($B1844="",NOT(ISNUMBER($D1844))),"",IF(AND($E1844&lt;$D$2,$G1844&lt;&gt;"X",$F1844&lt;&gt;"Réalisé",$F1844&lt;&gt;"Clôturé"),"RETARD",""))</f>
        <v/>
      </c>
      <c r="J1844" s="29">
        <f>IF($B1844="","",IF(INDEX(Dossiers!$F$4:$F$63,35)="","",INDEX(Dossiers!$F$4:$F$63,35)))</f>
        <v/>
      </c>
      <c r="K1844" s="29">
        <f>IF($B1844="","",IF(INDEX(Dossiers!$G$4:$G$63,35)="","",INDEX(Dossiers!$G$4:$G$63,35)))</f>
        <v/>
      </c>
    </row>
    <row r="1845">
      <c r="A1845">
        <f>IF($B1845="","",INDEX(Dossiers!$E$4:$E$63,35))</f>
        <v/>
      </c>
      <c r="B1845">
        <f>IF(INDEX(Suivi!$B:$B,1880)="","",INDEX(Suivi!$B:$B,1880))</f>
        <v/>
      </c>
      <c r="C1845">
        <f>IF($B1845="","",IF(INDEX(Suivi!$D:$D,1880)="",INDEX(Suivi!$C:$C,1880),INDEX(Suivi!$D:$D,1880)))</f>
        <v/>
      </c>
      <c r="D1845" s="29">
        <f>IF($B1845="","",INDEX(Suivi!$E:$E,1880))</f>
        <v/>
      </c>
      <c r="E1845" s="29">
        <f>IF($B1845="","",INDEX(Suivi!$F:$F,1880))</f>
        <v/>
      </c>
      <c r="F1845">
        <f>IF($B1845="","",INDEX(Suivi!$G:$G,1880))</f>
        <v/>
      </c>
      <c r="H1845">
        <f>IF(OR($B1845="",NOT(ISNUMBER($D1845))),"",IF($E1845&lt;$D$2,"Passé",IF($D1845&gt;$F$2,"À venir","Dans la période")))</f>
        <v/>
      </c>
      <c r="I1845">
        <f>IF(OR($B1845="",NOT(ISNUMBER($D1845))),"",IF(AND($E1845&lt;$D$2,$G1845&lt;&gt;"X",$F1845&lt;&gt;"Réalisé",$F1845&lt;&gt;"Clôturé"),"RETARD",""))</f>
        <v/>
      </c>
      <c r="J1845" s="29">
        <f>IF($B1845="","",IF(INDEX(Dossiers!$F$4:$F$63,35)="","",INDEX(Dossiers!$F$4:$F$63,35)))</f>
        <v/>
      </c>
      <c r="K1845" s="29">
        <f>IF($B1845="","",IF(INDEX(Dossiers!$G$4:$G$63,35)="","",INDEX(Dossiers!$G$4:$G$63,35)))</f>
        <v/>
      </c>
    </row>
    <row r="1846">
      <c r="A1846">
        <f>IF($B1846="","",INDEX(Dossiers!$E$4:$E$63,35))</f>
        <v/>
      </c>
      <c r="B1846">
        <f>IF(INDEX(Suivi!$B:$B,1881)="","",INDEX(Suivi!$B:$B,1881))</f>
        <v/>
      </c>
      <c r="C1846">
        <f>IF($B1846="","",IF(INDEX(Suivi!$D:$D,1881)="",INDEX(Suivi!$C:$C,1881),INDEX(Suivi!$D:$D,1881)))</f>
        <v/>
      </c>
      <c r="D1846" s="29">
        <f>IF($B1846="","",INDEX(Suivi!$E:$E,1881))</f>
        <v/>
      </c>
      <c r="E1846" s="29">
        <f>IF($B1846="","",INDEX(Suivi!$F:$F,1881))</f>
        <v/>
      </c>
      <c r="F1846">
        <f>IF($B1846="","",INDEX(Suivi!$G:$G,1881))</f>
        <v/>
      </c>
      <c r="H1846">
        <f>IF(OR($B1846="",NOT(ISNUMBER($D1846))),"",IF($E1846&lt;$D$2,"Passé",IF($D1846&gt;$F$2,"À venir","Dans la période")))</f>
        <v/>
      </c>
      <c r="I1846">
        <f>IF(OR($B1846="",NOT(ISNUMBER($D1846))),"",IF(AND($E1846&lt;$D$2,$G1846&lt;&gt;"X",$F1846&lt;&gt;"Réalisé",$F1846&lt;&gt;"Clôturé"),"RETARD",""))</f>
        <v/>
      </c>
      <c r="J1846" s="29">
        <f>IF($B1846="","",IF(INDEX(Dossiers!$F$4:$F$63,35)="","",INDEX(Dossiers!$F$4:$F$63,35)))</f>
        <v/>
      </c>
      <c r="K1846" s="29">
        <f>IF($B1846="","",IF(INDEX(Dossiers!$G$4:$G$63,35)="","",INDEX(Dossiers!$G$4:$G$63,35)))</f>
        <v/>
      </c>
    </row>
    <row r="1847">
      <c r="A1847">
        <f>IF($B1847="","",INDEX(Dossiers!$E$4:$E$63,35))</f>
        <v/>
      </c>
      <c r="B1847">
        <f>IF(INDEX(Suivi!$B:$B,1882)="","",INDEX(Suivi!$B:$B,1882))</f>
        <v/>
      </c>
      <c r="C1847">
        <f>IF($B1847="","",IF(INDEX(Suivi!$D:$D,1882)="",INDEX(Suivi!$C:$C,1882),INDEX(Suivi!$D:$D,1882)))</f>
        <v/>
      </c>
      <c r="D1847" s="29">
        <f>IF($B1847="","",INDEX(Suivi!$E:$E,1882))</f>
        <v/>
      </c>
      <c r="E1847" s="29">
        <f>IF($B1847="","",INDEX(Suivi!$F:$F,1882))</f>
        <v/>
      </c>
      <c r="F1847">
        <f>IF($B1847="","",INDEX(Suivi!$G:$G,1882))</f>
        <v/>
      </c>
      <c r="H1847">
        <f>IF(OR($B1847="",NOT(ISNUMBER($D1847))),"",IF($E1847&lt;$D$2,"Passé",IF($D1847&gt;$F$2,"À venir","Dans la période")))</f>
        <v/>
      </c>
      <c r="I1847">
        <f>IF(OR($B1847="",NOT(ISNUMBER($D1847))),"",IF(AND($E1847&lt;$D$2,$G1847&lt;&gt;"X",$F1847&lt;&gt;"Réalisé",$F1847&lt;&gt;"Clôturé"),"RETARD",""))</f>
        <v/>
      </c>
      <c r="J1847" s="29">
        <f>IF($B1847="","",IF(INDEX(Dossiers!$F$4:$F$63,35)="","",INDEX(Dossiers!$F$4:$F$63,35)))</f>
        <v/>
      </c>
      <c r="K1847" s="29">
        <f>IF($B1847="","",IF(INDEX(Dossiers!$G$4:$G$63,35)="","",INDEX(Dossiers!$G$4:$G$63,35)))</f>
        <v/>
      </c>
    </row>
    <row r="1848">
      <c r="A1848">
        <f>IF($B1848="","",INDEX(Dossiers!$E$4:$E$63,35))</f>
        <v/>
      </c>
      <c r="B1848">
        <f>IF(INDEX(Suivi!$B:$B,1883)="","",INDEX(Suivi!$B:$B,1883))</f>
        <v/>
      </c>
      <c r="C1848">
        <f>IF($B1848="","",IF(INDEX(Suivi!$D:$D,1883)="",INDEX(Suivi!$C:$C,1883),INDEX(Suivi!$D:$D,1883)))</f>
        <v/>
      </c>
      <c r="D1848" s="29">
        <f>IF($B1848="","",INDEX(Suivi!$E:$E,1883))</f>
        <v/>
      </c>
      <c r="E1848" s="29">
        <f>IF($B1848="","",INDEX(Suivi!$F:$F,1883))</f>
        <v/>
      </c>
      <c r="F1848">
        <f>IF($B1848="","",INDEX(Suivi!$G:$G,1883))</f>
        <v/>
      </c>
      <c r="H1848">
        <f>IF(OR($B1848="",NOT(ISNUMBER($D1848))),"",IF($E1848&lt;$D$2,"Passé",IF($D1848&gt;$F$2,"À venir","Dans la période")))</f>
        <v/>
      </c>
      <c r="I1848">
        <f>IF(OR($B1848="",NOT(ISNUMBER($D1848))),"",IF(AND($E1848&lt;$D$2,$G1848&lt;&gt;"X",$F1848&lt;&gt;"Réalisé",$F1848&lt;&gt;"Clôturé"),"RETARD",""))</f>
        <v/>
      </c>
      <c r="J1848" s="29">
        <f>IF($B1848="","",IF(INDEX(Dossiers!$F$4:$F$63,35)="","",INDEX(Dossiers!$F$4:$F$63,35)))</f>
        <v/>
      </c>
      <c r="K1848" s="29">
        <f>IF($B1848="","",IF(INDEX(Dossiers!$G$4:$G$63,35)="","",INDEX(Dossiers!$G$4:$G$63,35)))</f>
        <v/>
      </c>
    </row>
    <row r="1849">
      <c r="A1849">
        <f>IF($B1849="","",INDEX(Dossiers!$E$4:$E$63,35))</f>
        <v/>
      </c>
      <c r="B1849">
        <f>IF(INDEX(Suivi!$B:$B,1884)="","",INDEX(Suivi!$B:$B,1884))</f>
        <v/>
      </c>
      <c r="C1849">
        <f>IF($B1849="","",IF(INDEX(Suivi!$D:$D,1884)="",INDEX(Suivi!$C:$C,1884),INDEX(Suivi!$D:$D,1884)))</f>
        <v/>
      </c>
      <c r="D1849" s="29">
        <f>IF($B1849="","",INDEX(Suivi!$E:$E,1884))</f>
        <v/>
      </c>
      <c r="E1849" s="29">
        <f>IF($B1849="","",INDEX(Suivi!$F:$F,1884))</f>
        <v/>
      </c>
      <c r="F1849">
        <f>IF($B1849="","",INDEX(Suivi!$G:$G,1884))</f>
        <v/>
      </c>
      <c r="H1849">
        <f>IF(OR($B1849="",NOT(ISNUMBER($D1849))),"",IF($E1849&lt;$D$2,"Passé",IF($D1849&gt;$F$2,"À venir","Dans la période")))</f>
        <v/>
      </c>
      <c r="I1849">
        <f>IF(OR($B1849="",NOT(ISNUMBER($D1849))),"",IF(AND($E1849&lt;$D$2,$G1849&lt;&gt;"X",$F1849&lt;&gt;"Réalisé",$F1849&lt;&gt;"Clôturé"),"RETARD",""))</f>
        <v/>
      </c>
      <c r="J1849" s="29">
        <f>IF($B1849="","",IF(INDEX(Dossiers!$F$4:$F$63,35)="","",INDEX(Dossiers!$F$4:$F$63,35)))</f>
        <v/>
      </c>
      <c r="K1849" s="29">
        <f>IF($B1849="","",IF(INDEX(Dossiers!$G$4:$G$63,35)="","",INDEX(Dossiers!$G$4:$G$63,35)))</f>
        <v/>
      </c>
    </row>
    <row r="1850">
      <c r="A1850">
        <f>IF($B1850="","",INDEX(Dossiers!$E$4:$E$63,35))</f>
        <v/>
      </c>
      <c r="B1850">
        <f>IF(INDEX(Suivi!$B:$B,1885)="","",INDEX(Suivi!$B:$B,1885))</f>
        <v/>
      </c>
      <c r="C1850">
        <f>IF($B1850="","",IF(INDEX(Suivi!$D:$D,1885)="",INDEX(Suivi!$C:$C,1885),INDEX(Suivi!$D:$D,1885)))</f>
        <v/>
      </c>
      <c r="D1850" s="29">
        <f>IF($B1850="","",INDEX(Suivi!$E:$E,1885))</f>
        <v/>
      </c>
      <c r="E1850" s="29">
        <f>IF($B1850="","",INDEX(Suivi!$F:$F,1885))</f>
        <v/>
      </c>
      <c r="F1850">
        <f>IF($B1850="","",INDEX(Suivi!$G:$G,1885))</f>
        <v/>
      </c>
      <c r="H1850">
        <f>IF(OR($B1850="",NOT(ISNUMBER($D1850))),"",IF($E1850&lt;$D$2,"Passé",IF($D1850&gt;$F$2,"À venir","Dans la période")))</f>
        <v/>
      </c>
      <c r="I1850">
        <f>IF(OR($B1850="",NOT(ISNUMBER($D1850))),"",IF(AND($E1850&lt;$D$2,$G1850&lt;&gt;"X",$F1850&lt;&gt;"Réalisé",$F1850&lt;&gt;"Clôturé"),"RETARD",""))</f>
        <v/>
      </c>
      <c r="J1850" s="29">
        <f>IF($B1850="","",IF(INDEX(Dossiers!$F$4:$F$63,35)="","",INDEX(Dossiers!$F$4:$F$63,35)))</f>
        <v/>
      </c>
      <c r="K1850" s="29">
        <f>IF($B1850="","",IF(INDEX(Dossiers!$G$4:$G$63,35)="","",INDEX(Dossiers!$G$4:$G$63,35)))</f>
        <v/>
      </c>
    </row>
    <row r="1851">
      <c r="A1851">
        <f>IF($B1851="","",INDEX(Dossiers!$E$4:$E$63,35))</f>
        <v/>
      </c>
      <c r="B1851">
        <f>IF(INDEX(Suivi!$B:$B,1886)="","",INDEX(Suivi!$B:$B,1886))</f>
        <v/>
      </c>
      <c r="C1851">
        <f>IF($B1851="","",IF(INDEX(Suivi!$D:$D,1886)="",INDEX(Suivi!$C:$C,1886),INDEX(Suivi!$D:$D,1886)))</f>
        <v/>
      </c>
      <c r="D1851" s="29">
        <f>IF($B1851="","",INDEX(Suivi!$E:$E,1886))</f>
        <v/>
      </c>
      <c r="E1851" s="29">
        <f>IF($B1851="","",INDEX(Suivi!$F:$F,1886))</f>
        <v/>
      </c>
      <c r="F1851">
        <f>IF($B1851="","",INDEX(Suivi!$G:$G,1886))</f>
        <v/>
      </c>
      <c r="H1851">
        <f>IF(OR($B1851="",NOT(ISNUMBER($D1851))),"",IF($E1851&lt;$D$2,"Passé",IF($D1851&gt;$F$2,"À venir","Dans la période")))</f>
        <v/>
      </c>
      <c r="I1851">
        <f>IF(OR($B1851="",NOT(ISNUMBER($D1851))),"",IF(AND($E1851&lt;$D$2,$G1851&lt;&gt;"X",$F1851&lt;&gt;"Réalisé",$F1851&lt;&gt;"Clôturé"),"RETARD",""))</f>
        <v/>
      </c>
      <c r="J1851" s="29">
        <f>IF($B1851="","",IF(INDEX(Dossiers!$F$4:$F$63,35)="","",INDEX(Dossiers!$F$4:$F$63,35)))</f>
        <v/>
      </c>
      <c r="K1851" s="29">
        <f>IF($B1851="","",IF(INDEX(Dossiers!$G$4:$G$63,35)="","",INDEX(Dossiers!$G$4:$G$63,35)))</f>
        <v/>
      </c>
    </row>
    <row r="1852">
      <c r="A1852">
        <f>IF($B1852="","",INDEX(Dossiers!$E$4:$E$63,35))</f>
        <v/>
      </c>
      <c r="B1852">
        <f>IF(INDEX(Suivi!$B:$B,1887)="","",INDEX(Suivi!$B:$B,1887))</f>
        <v/>
      </c>
      <c r="C1852">
        <f>IF($B1852="","",IF(INDEX(Suivi!$D:$D,1887)="",INDEX(Suivi!$C:$C,1887),INDEX(Suivi!$D:$D,1887)))</f>
        <v/>
      </c>
      <c r="D1852" s="29">
        <f>IF($B1852="","",INDEX(Suivi!$E:$E,1887))</f>
        <v/>
      </c>
      <c r="E1852" s="29">
        <f>IF($B1852="","",INDEX(Suivi!$F:$F,1887))</f>
        <v/>
      </c>
      <c r="F1852">
        <f>IF($B1852="","",INDEX(Suivi!$G:$G,1887))</f>
        <v/>
      </c>
      <c r="H1852">
        <f>IF(OR($B1852="",NOT(ISNUMBER($D1852))),"",IF($E1852&lt;$D$2,"Passé",IF($D1852&gt;$F$2,"À venir","Dans la période")))</f>
        <v/>
      </c>
      <c r="I1852">
        <f>IF(OR($B1852="",NOT(ISNUMBER($D1852))),"",IF(AND($E1852&lt;$D$2,$G1852&lt;&gt;"X",$F1852&lt;&gt;"Réalisé",$F1852&lt;&gt;"Clôturé"),"RETARD",""))</f>
        <v/>
      </c>
      <c r="J1852" s="29">
        <f>IF($B1852="","",IF(INDEX(Dossiers!$F$4:$F$63,35)="","",INDEX(Dossiers!$F$4:$F$63,35)))</f>
        <v/>
      </c>
      <c r="K1852" s="29">
        <f>IF($B1852="","",IF(INDEX(Dossiers!$G$4:$G$63,35)="","",INDEX(Dossiers!$G$4:$G$63,35)))</f>
        <v/>
      </c>
    </row>
    <row r="1853">
      <c r="A1853">
        <f>IF($B1853="","",INDEX(Dossiers!$E$4:$E$63,35))</f>
        <v/>
      </c>
      <c r="B1853">
        <f>IF(INDEX(Suivi!$B:$B,1888)="","",INDEX(Suivi!$B:$B,1888))</f>
        <v/>
      </c>
      <c r="C1853">
        <f>IF($B1853="","",IF(INDEX(Suivi!$D:$D,1888)="",INDEX(Suivi!$C:$C,1888),INDEX(Suivi!$D:$D,1888)))</f>
        <v/>
      </c>
      <c r="D1853" s="29">
        <f>IF($B1853="","",INDEX(Suivi!$E:$E,1888))</f>
        <v/>
      </c>
      <c r="E1853" s="29">
        <f>IF($B1853="","",INDEX(Suivi!$F:$F,1888))</f>
        <v/>
      </c>
      <c r="F1853">
        <f>IF($B1853="","",INDEX(Suivi!$G:$G,1888))</f>
        <v/>
      </c>
      <c r="H1853">
        <f>IF(OR($B1853="",NOT(ISNUMBER($D1853))),"",IF($E1853&lt;$D$2,"Passé",IF($D1853&gt;$F$2,"À venir","Dans la période")))</f>
        <v/>
      </c>
      <c r="I1853">
        <f>IF(OR($B1853="",NOT(ISNUMBER($D1853))),"",IF(AND($E1853&lt;$D$2,$G1853&lt;&gt;"X",$F1853&lt;&gt;"Réalisé",$F1853&lt;&gt;"Clôturé"),"RETARD",""))</f>
        <v/>
      </c>
      <c r="J1853" s="29">
        <f>IF($B1853="","",IF(INDEX(Dossiers!$F$4:$F$63,35)="","",INDEX(Dossiers!$F$4:$F$63,35)))</f>
        <v/>
      </c>
      <c r="K1853" s="29">
        <f>IF($B1853="","",IF(INDEX(Dossiers!$G$4:$G$63,35)="","",INDEX(Dossiers!$G$4:$G$63,35)))</f>
        <v/>
      </c>
    </row>
    <row r="1854">
      <c r="A1854">
        <f>IF($B1854="","",INDEX(Dossiers!$E$4:$E$63,35))</f>
        <v/>
      </c>
      <c r="B1854">
        <f>IF(INDEX(Suivi!$B:$B,1889)="","",INDEX(Suivi!$B:$B,1889))</f>
        <v/>
      </c>
      <c r="C1854">
        <f>IF($B1854="","",IF(INDEX(Suivi!$D:$D,1889)="",INDEX(Suivi!$C:$C,1889),INDEX(Suivi!$D:$D,1889)))</f>
        <v/>
      </c>
      <c r="D1854" s="29">
        <f>IF($B1854="","",INDEX(Suivi!$E:$E,1889))</f>
        <v/>
      </c>
      <c r="E1854" s="29">
        <f>IF($B1854="","",INDEX(Suivi!$F:$F,1889))</f>
        <v/>
      </c>
      <c r="F1854">
        <f>IF($B1854="","",INDEX(Suivi!$G:$G,1889))</f>
        <v/>
      </c>
      <c r="H1854">
        <f>IF(OR($B1854="",NOT(ISNUMBER($D1854))),"",IF($E1854&lt;$D$2,"Passé",IF($D1854&gt;$F$2,"À venir","Dans la période")))</f>
        <v/>
      </c>
      <c r="I1854">
        <f>IF(OR($B1854="",NOT(ISNUMBER($D1854))),"",IF(AND($E1854&lt;$D$2,$G1854&lt;&gt;"X",$F1854&lt;&gt;"Réalisé",$F1854&lt;&gt;"Clôturé"),"RETARD",""))</f>
        <v/>
      </c>
      <c r="J1854" s="29">
        <f>IF($B1854="","",IF(INDEX(Dossiers!$F$4:$F$63,35)="","",INDEX(Dossiers!$F$4:$F$63,35)))</f>
        <v/>
      </c>
      <c r="K1854" s="29">
        <f>IF($B1854="","",IF(INDEX(Dossiers!$G$4:$G$63,35)="","",INDEX(Dossiers!$G$4:$G$63,35)))</f>
        <v/>
      </c>
    </row>
    <row r="1855">
      <c r="A1855">
        <f>IF($B1855="","",INDEX(Dossiers!$E$4:$E$63,35))</f>
        <v/>
      </c>
      <c r="B1855">
        <f>IF(INDEX(Suivi!$B:$B,1890)="","",INDEX(Suivi!$B:$B,1890))</f>
        <v/>
      </c>
      <c r="C1855">
        <f>IF($B1855="","",IF(INDEX(Suivi!$D:$D,1890)="",INDEX(Suivi!$C:$C,1890),INDEX(Suivi!$D:$D,1890)))</f>
        <v/>
      </c>
      <c r="D1855" s="29">
        <f>IF($B1855="","",INDEX(Suivi!$E:$E,1890))</f>
        <v/>
      </c>
      <c r="E1855" s="29">
        <f>IF($B1855="","",INDEX(Suivi!$F:$F,1890))</f>
        <v/>
      </c>
      <c r="F1855">
        <f>IF($B1855="","",INDEX(Suivi!$G:$G,1890))</f>
        <v/>
      </c>
      <c r="H1855">
        <f>IF(OR($B1855="",NOT(ISNUMBER($D1855))),"",IF($E1855&lt;$D$2,"Passé",IF($D1855&gt;$F$2,"À venir","Dans la période")))</f>
        <v/>
      </c>
      <c r="I1855">
        <f>IF(OR($B1855="",NOT(ISNUMBER($D1855))),"",IF(AND($E1855&lt;$D$2,$G1855&lt;&gt;"X",$F1855&lt;&gt;"Réalisé",$F1855&lt;&gt;"Clôturé"),"RETARD",""))</f>
        <v/>
      </c>
      <c r="J1855" s="29">
        <f>IF($B1855="","",IF(INDEX(Dossiers!$F$4:$F$63,35)="","",INDEX(Dossiers!$F$4:$F$63,35)))</f>
        <v/>
      </c>
      <c r="K1855" s="29">
        <f>IF($B1855="","",IF(INDEX(Dossiers!$G$4:$G$63,35)="","",INDEX(Dossiers!$G$4:$G$63,35)))</f>
        <v/>
      </c>
    </row>
    <row r="1856">
      <c r="A1856">
        <f>IF($B1856="","",INDEX(Dossiers!$E$4:$E$63,35))</f>
        <v/>
      </c>
      <c r="B1856">
        <f>IF(INDEX(Suivi!$B:$B,1891)="","",INDEX(Suivi!$B:$B,1891))</f>
        <v/>
      </c>
      <c r="C1856">
        <f>IF($B1856="","",IF(INDEX(Suivi!$D:$D,1891)="",INDEX(Suivi!$C:$C,1891),INDEX(Suivi!$D:$D,1891)))</f>
        <v/>
      </c>
      <c r="D1856" s="29">
        <f>IF($B1856="","",INDEX(Suivi!$E:$E,1891))</f>
        <v/>
      </c>
      <c r="E1856" s="29">
        <f>IF($B1856="","",INDEX(Suivi!$F:$F,1891))</f>
        <v/>
      </c>
      <c r="F1856">
        <f>IF($B1856="","",INDEX(Suivi!$G:$G,1891))</f>
        <v/>
      </c>
      <c r="H1856">
        <f>IF(OR($B1856="",NOT(ISNUMBER($D1856))),"",IF($E1856&lt;$D$2,"Passé",IF($D1856&gt;$F$2,"À venir","Dans la période")))</f>
        <v/>
      </c>
      <c r="I1856">
        <f>IF(OR($B1856="",NOT(ISNUMBER($D1856))),"",IF(AND($E1856&lt;$D$2,$G1856&lt;&gt;"X",$F1856&lt;&gt;"Réalisé",$F1856&lt;&gt;"Clôturé"),"RETARD",""))</f>
        <v/>
      </c>
      <c r="J1856" s="29">
        <f>IF($B1856="","",IF(INDEX(Dossiers!$F$4:$F$63,35)="","",INDEX(Dossiers!$F$4:$F$63,35)))</f>
        <v/>
      </c>
      <c r="K1856" s="29">
        <f>IF($B1856="","",IF(INDEX(Dossiers!$G$4:$G$63,35)="","",INDEX(Dossiers!$G$4:$G$63,35)))</f>
        <v/>
      </c>
    </row>
    <row r="1857">
      <c r="A1857">
        <f>IF($B1857="","",INDEX(Dossiers!$E$4:$E$63,35))</f>
        <v/>
      </c>
      <c r="B1857">
        <f>IF(INDEX(Suivi!$B:$B,1892)="","",INDEX(Suivi!$B:$B,1892))</f>
        <v/>
      </c>
      <c r="C1857">
        <f>IF($B1857="","",IF(INDEX(Suivi!$D:$D,1892)="",INDEX(Suivi!$C:$C,1892),INDEX(Suivi!$D:$D,1892)))</f>
        <v/>
      </c>
      <c r="D1857" s="29">
        <f>IF($B1857="","",INDEX(Suivi!$E:$E,1892))</f>
        <v/>
      </c>
      <c r="E1857" s="29">
        <f>IF($B1857="","",INDEX(Suivi!$F:$F,1892))</f>
        <v/>
      </c>
      <c r="F1857">
        <f>IF($B1857="","",INDEX(Suivi!$G:$G,1892))</f>
        <v/>
      </c>
      <c r="H1857">
        <f>IF(OR($B1857="",NOT(ISNUMBER($D1857))),"",IF($E1857&lt;$D$2,"Passé",IF($D1857&gt;$F$2,"À venir","Dans la période")))</f>
        <v/>
      </c>
      <c r="I1857">
        <f>IF(OR($B1857="",NOT(ISNUMBER($D1857))),"",IF(AND($E1857&lt;$D$2,$G1857&lt;&gt;"X",$F1857&lt;&gt;"Réalisé",$F1857&lt;&gt;"Clôturé"),"RETARD",""))</f>
        <v/>
      </c>
      <c r="J1857" s="29">
        <f>IF($B1857="","",IF(INDEX(Dossiers!$F$4:$F$63,35)="","",INDEX(Dossiers!$F$4:$F$63,35)))</f>
        <v/>
      </c>
      <c r="K1857" s="29">
        <f>IF($B1857="","",IF(INDEX(Dossiers!$G$4:$G$63,35)="","",INDEX(Dossiers!$G$4:$G$63,35)))</f>
        <v/>
      </c>
    </row>
    <row r="1858">
      <c r="A1858">
        <f>IF($B1858="","",INDEX(Dossiers!$E$4:$E$63,35))</f>
        <v/>
      </c>
      <c r="B1858">
        <f>IF(INDEX(Suivi!$B:$B,1893)="","",INDEX(Suivi!$B:$B,1893))</f>
        <v/>
      </c>
      <c r="C1858">
        <f>IF($B1858="","",IF(INDEX(Suivi!$D:$D,1893)="",INDEX(Suivi!$C:$C,1893),INDEX(Suivi!$D:$D,1893)))</f>
        <v/>
      </c>
      <c r="D1858" s="29">
        <f>IF($B1858="","",INDEX(Suivi!$E:$E,1893))</f>
        <v/>
      </c>
      <c r="E1858" s="29">
        <f>IF($B1858="","",INDEX(Suivi!$F:$F,1893))</f>
        <v/>
      </c>
      <c r="F1858">
        <f>IF($B1858="","",INDEX(Suivi!$G:$G,1893))</f>
        <v/>
      </c>
      <c r="H1858">
        <f>IF(OR($B1858="",NOT(ISNUMBER($D1858))),"",IF($E1858&lt;$D$2,"Passé",IF($D1858&gt;$F$2,"À venir","Dans la période")))</f>
        <v/>
      </c>
      <c r="I1858">
        <f>IF(OR($B1858="",NOT(ISNUMBER($D1858))),"",IF(AND($E1858&lt;$D$2,$G1858&lt;&gt;"X",$F1858&lt;&gt;"Réalisé",$F1858&lt;&gt;"Clôturé"),"RETARD",""))</f>
        <v/>
      </c>
      <c r="J1858" s="29">
        <f>IF($B1858="","",IF(INDEX(Dossiers!$F$4:$F$63,35)="","",INDEX(Dossiers!$F$4:$F$63,35)))</f>
        <v/>
      </c>
      <c r="K1858" s="29">
        <f>IF($B1858="","",IF(INDEX(Dossiers!$G$4:$G$63,35)="","",INDEX(Dossiers!$G$4:$G$63,35)))</f>
        <v/>
      </c>
    </row>
    <row r="1859">
      <c r="A1859">
        <f>IF($B1859="","",INDEX(Dossiers!$E$4:$E$63,36))</f>
        <v/>
      </c>
      <c r="B1859">
        <f>IF(INDEX(Suivi!$B:$B,1895)="","",INDEX(Suivi!$B:$B,1895))</f>
        <v/>
      </c>
      <c r="C1859">
        <f>IF($B1859="","",IF(INDEX(Suivi!$D:$D,1895)="",INDEX(Suivi!$C:$C,1895),INDEX(Suivi!$D:$D,1895)))</f>
        <v/>
      </c>
      <c r="D1859" s="29">
        <f>IF($B1859="","",INDEX(Suivi!$E:$E,1895))</f>
        <v/>
      </c>
      <c r="E1859" s="29">
        <f>IF($B1859="","",INDEX(Suivi!$F:$F,1895))</f>
        <v/>
      </c>
      <c r="F1859">
        <f>IF($B1859="","",INDEX(Suivi!$G:$G,1895))</f>
        <v/>
      </c>
      <c r="H1859">
        <f>IF(OR($B1859="",NOT(ISNUMBER($D1859))),"",IF($E1859&lt;$D$2,"Passé",IF($D1859&gt;$F$2,"À venir","Dans la période")))</f>
        <v/>
      </c>
      <c r="I1859">
        <f>IF(OR($B1859="",NOT(ISNUMBER($D1859))),"",IF(AND($E1859&lt;$D$2,$G1859&lt;&gt;"X",$F1859&lt;&gt;"Réalisé",$F1859&lt;&gt;"Clôturé"),"RETARD",""))</f>
        <v/>
      </c>
      <c r="J1859" s="29">
        <f>IF($B1859="","",IF(INDEX(Dossiers!$F$4:$F$63,36)="","",INDEX(Dossiers!$F$4:$F$63,36)))</f>
        <v/>
      </c>
      <c r="K1859" s="29">
        <f>IF($B1859="","",IF(INDEX(Dossiers!$G$4:$G$63,36)="","",INDEX(Dossiers!$G$4:$G$63,36)))</f>
        <v/>
      </c>
    </row>
    <row r="1860">
      <c r="A1860">
        <f>IF($B1860="","",INDEX(Dossiers!$E$4:$E$63,36))</f>
        <v/>
      </c>
      <c r="B1860">
        <f>IF(INDEX(Suivi!$B:$B,1896)="","",INDEX(Suivi!$B:$B,1896))</f>
        <v/>
      </c>
      <c r="C1860">
        <f>IF($B1860="","",IF(INDEX(Suivi!$D:$D,1896)="",INDEX(Suivi!$C:$C,1896),INDEX(Suivi!$D:$D,1896)))</f>
        <v/>
      </c>
      <c r="D1860" s="29">
        <f>IF($B1860="","",INDEX(Suivi!$E:$E,1896))</f>
        <v/>
      </c>
      <c r="E1860" s="29">
        <f>IF($B1860="","",INDEX(Suivi!$F:$F,1896))</f>
        <v/>
      </c>
      <c r="F1860">
        <f>IF($B1860="","",INDEX(Suivi!$G:$G,1896))</f>
        <v/>
      </c>
      <c r="H1860">
        <f>IF(OR($B1860="",NOT(ISNUMBER($D1860))),"",IF($E1860&lt;$D$2,"Passé",IF($D1860&gt;$F$2,"À venir","Dans la période")))</f>
        <v/>
      </c>
      <c r="I1860">
        <f>IF(OR($B1860="",NOT(ISNUMBER($D1860))),"",IF(AND($E1860&lt;$D$2,$G1860&lt;&gt;"X",$F1860&lt;&gt;"Réalisé",$F1860&lt;&gt;"Clôturé"),"RETARD",""))</f>
        <v/>
      </c>
      <c r="J1860" s="29">
        <f>IF($B1860="","",IF(INDEX(Dossiers!$F$4:$F$63,36)="","",INDEX(Dossiers!$F$4:$F$63,36)))</f>
        <v/>
      </c>
      <c r="K1860" s="29">
        <f>IF($B1860="","",IF(INDEX(Dossiers!$G$4:$G$63,36)="","",INDEX(Dossiers!$G$4:$G$63,36)))</f>
        <v/>
      </c>
    </row>
    <row r="1861">
      <c r="A1861">
        <f>IF($B1861="","",INDEX(Dossiers!$E$4:$E$63,36))</f>
        <v/>
      </c>
      <c r="B1861">
        <f>IF(INDEX(Suivi!$B:$B,1897)="","",INDEX(Suivi!$B:$B,1897))</f>
        <v/>
      </c>
      <c r="C1861">
        <f>IF($B1861="","",IF(INDEX(Suivi!$D:$D,1897)="",INDEX(Suivi!$C:$C,1897),INDEX(Suivi!$D:$D,1897)))</f>
        <v/>
      </c>
      <c r="D1861" s="29">
        <f>IF($B1861="","",INDEX(Suivi!$E:$E,1897))</f>
        <v/>
      </c>
      <c r="E1861" s="29">
        <f>IF($B1861="","",INDEX(Suivi!$F:$F,1897))</f>
        <v/>
      </c>
      <c r="F1861">
        <f>IF($B1861="","",INDEX(Suivi!$G:$G,1897))</f>
        <v/>
      </c>
      <c r="H1861">
        <f>IF(OR($B1861="",NOT(ISNUMBER($D1861))),"",IF($E1861&lt;$D$2,"Passé",IF($D1861&gt;$F$2,"À venir","Dans la période")))</f>
        <v/>
      </c>
      <c r="I1861">
        <f>IF(OR($B1861="",NOT(ISNUMBER($D1861))),"",IF(AND($E1861&lt;$D$2,$G1861&lt;&gt;"X",$F1861&lt;&gt;"Réalisé",$F1861&lt;&gt;"Clôturé"),"RETARD",""))</f>
        <v/>
      </c>
      <c r="J1861" s="29">
        <f>IF($B1861="","",IF(INDEX(Dossiers!$F$4:$F$63,36)="","",INDEX(Dossiers!$F$4:$F$63,36)))</f>
        <v/>
      </c>
      <c r="K1861" s="29">
        <f>IF($B1861="","",IF(INDEX(Dossiers!$G$4:$G$63,36)="","",INDEX(Dossiers!$G$4:$G$63,36)))</f>
        <v/>
      </c>
    </row>
    <row r="1862">
      <c r="A1862">
        <f>IF($B1862="","",INDEX(Dossiers!$E$4:$E$63,36))</f>
        <v/>
      </c>
      <c r="B1862">
        <f>IF(INDEX(Suivi!$B:$B,1898)="","",INDEX(Suivi!$B:$B,1898))</f>
        <v/>
      </c>
      <c r="C1862">
        <f>IF($B1862="","",IF(INDEX(Suivi!$D:$D,1898)="",INDEX(Suivi!$C:$C,1898),INDEX(Suivi!$D:$D,1898)))</f>
        <v/>
      </c>
      <c r="D1862" s="29">
        <f>IF($B1862="","",INDEX(Suivi!$E:$E,1898))</f>
        <v/>
      </c>
      <c r="E1862" s="29">
        <f>IF($B1862="","",INDEX(Suivi!$F:$F,1898))</f>
        <v/>
      </c>
      <c r="F1862">
        <f>IF($B1862="","",INDEX(Suivi!$G:$G,1898))</f>
        <v/>
      </c>
      <c r="H1862">
        <f>IF(OR($B1862="",NOT(ISNUMBER($D1862))),"",IF($E1862&lt;$D$2,"Passé",IF($D1862&gt;$F$2,"À venir","Dans la période")))</f>
        <v/>
      </c>
      <c r="I1862">
        <f>IF(OR($B1862="",NOT(ISNUMBER($D1862))),"",IF(AND($E1862&lt;$D$2,$G1862&lt;&gt;"X",$F1862&lt;&gt;"Réalisé",$F1862&lt;&gt;"Clôturé"),"RETARD",""))</f>
        <v/>
      </c>
      <c r="J1862" s="29">
        <f>IF($B1862="","",IF(INDEX(Dossiers!$F$4:$F$63,36)="","",INDEX(Dossiers!$F$4:$F$63,36)))</f>
        <v/>
      </c>
      <c r="K1862" s="29">
        <f>IF($B1862="","",IF(INDEX(Dossiers!$G$4:$G$63,36)="","",INDEX(Dossiers!$G$4:$G$63,36)))</f>
        <v/>
      </c>
    </row>
    <row r="1863">
      <c r="A1863">
        <f>IF($B1863="","",INDEX(Dossiers!$E$4:$E$63,36))</f>
        <v/>
      </c>
      <c r="B1863">
        <f>IF(INDEX(Suivi!$B:$B,1899)="","",INDEX(Suivi!$B:$B,1899))</f>
        <v/>
      </c>
      <c r="C1863">
        <f>IF($B1863="","",IF(INDEX(Suivi!$D:$D,1899)="",INDEX(Suivi!$C:$C,1899),INDEX(Suivi!$D:$D,1899)))</f>
        <v/>
      </c>
      <c r="D1863" s="29">
        <f>IF($B1863="","",INDEX(Suivi!$E:$E,1899))</f>
        <v/>
      </c>
      <c r="E1863" s="29">
        <f>IF($B1863="","",INDEX(Suivi!$F:$F,1899))</f>
        <v/>
      </c>
      <c r="F1863">
        <f>IF($B1863="","",INDEX(Suivi!$G:$G,1899))</f>
        <v/>
      </c>
      <c r="H1863">
        <f>IF(OR($B1863="",NOT(ISNUMBER($D1863))),"",IF($E1863&lt;$D$2,"Passé",IF($D1863&gt;$F$2,"À venir","Dans la période")))</f>
        <v/>
      </c>
      <c r="I1863">
        <f>IF(OR($B1863="",NOT(ISNUMBER($D1863))),"",IF(AND($E1863&lt;$D$2,$G1863&lt;&gt;"X",$F1863&lt;&gt;"Réalisé",$F1863&lt;&gt;"Clôturé"),"RETARD",""))</f>
        <v/>
      </c>
      <c r="J1863" s="29">
        <f>IF($B1863="","",IF(INDEX(Dossiers!$F$4:$F$63,36)="","",INDEX(Dossiers!$F$4:$F$63,36)))</f>
        <v/>
      </c>
      <c r="K1863" s="29">
        <f>IF($B1863="","",IF(INDEX(Dossiers!$G$4:$G$63,36)="","",INDEX(Dossiers!$G$4:$G$63,36)))</f>
        <v/>
      </c>
    </row>
    <row r="1864">
      <c r="A1864">
        <f>IF($B1864="","",INDEX(Dossiers!$E$4:$E$63,36))</f>
        <v/>
      </c>
      <c r="B1864">
        <f>IF(INDEX(Suivi!$B:$B,1900)="","",INDEX(Suivi!$B:$B,1900))</f>
        <v/>
      </c>
      <c r="C1864">
        <f>IF($B1864="","",IF(INDEX(Suivi!$D:$D,1900)="",INDEX(Suivi!$C:$C,1900),INDEX(Suivi!$D:$D,1900)))</f>
        <v/>
      </c>
      <c r="D1864" s="29">
        <f>IF($B1864="","",INDEX(Suivi!$E:$E,1900))</f>
        <v/>
      </c>
      <c r="E1864" s="29">
        <f>IF($B1864="","",INDEX(Suivi!$F:$F,1900))</f>
        <v/>
      </c>
      <c r="F1864">
        <f>IF($B1864="","",INDEX(Suivi!$G:$G,1900))</f>
        <v/>
      </c>
      <c r="H1864">
        <f>IF(OR($B1864="",NOT(ISNUMBER($D1864))),"",IF($E1864&lt;$D$2,"Passé",IF($D1864&gt;$F$2,"À venir","Dans la période")))</f>
        <v/>
      </c>
      <c r="I1864">
        <f>IF(OR($B1864="",NOT(ISNUMBER($D1864))),"",IF(AND($E1864&lt;$D$2,$G1864&lt;&gt;"X",$F1864&lt;&gt;"Réalisé",$F1864&lt;&gt;"Clôturé"),"RETARD",""))</f>
        <v/>
      </c>
      <c r="J1864" s="29">
        <f>IF($B1864="","",IF(INDEX(Dossiers!$F$4:$F$63,36)="","",INDEX(Dossiers!$F$4:$F$63,36)))</f>
        <v/>
      </c>
      <c r="K1864" s="29">
        <f>IF($B1864="","",IF(INDEX(Dossiers!$G$4:$G$63,36)="","",INDEX(Dossiers!$G$4:$G$63,36)))</f>
        <v/>
      </c>
    </row>
    <row r="1865">
      <c r="A1865">
        <f>IF($B1865="","",INDEX(Dossiers!$E$4:$E$63,36))</f>
        <v/>
      </c>
      <c r="B1865">
        <f>IF(INDEX(Suivi!$B:$B,1901)="","",INDEX(Suivi!$B:$B,1901))</f>
        <v/>
      </c>
      <c r="C1865">
        <f>IF($B1865="","",IF(INDEX(Suivi!$D:$D,1901)="",INDEX(Suivi!$C:$C,1901),INDEX(Suivi!$D:$D,1901)))</f>
        <v/>
      </c>
      <c r="D1865" s="29">
        <f>IF($B1865="","",INDEX(Suivi!$E:$E,1901))</f>
        <v/>
      </c>
      <c r="E1865" s="29">
        <f>IF($B1865="","",INDEX(Suivi!$F:$F,1901))</f>
        <v/>
      </c>
      <c r="F1865">
        <f>IF($B1865="","",INDEX(Suivi!$G:$G,1901))</f>
        <v/>
      </c>
      <c r="H1865">
        <f>IF(OR($B1865="",NOT(ISNUMBER($D1865))),"",IF($E1865&lt;$D$2,"Passé",IF($D1865&gt;$F$2,"À venir","Dans la période")))</f>
        <v/>
      </c>
      <c r="I1865">
        <f>IF(OR($B1865="",NOT(ISNUMBER($D1865))),"",IF(AND($E1865&lt;$D$2,$G1865&lt;&gt;"X",$F1865&lt;&gt;"Réalisé",$F1865&lt;&gt;"Clôturé"),"RETARD",""))</f>
        <v/>
      </c>
      <c r="J1865" s="29">
        <f>IF($B1865="","",IF(INDEX(Dossiers!$F$4:$F$63,36)="","",INDEX(Dossiers!$F$4:$F$63,36)))</f>
        <v/>
      </c>
      <c r="K1865" s="29">
        <f>IF($B1865="","",IF(INDEX(Dossiers!$G$4:$G$63,36)="","",INDEX(Dossiers!$G$4:$G$63,36)))</f>
        <v/>
      </c>
    </row>
    <row r="1866">
      <c r="A1866">
        <f>IF($B1866="","",INDEX(Dossiers!$E$4:$E$63,36))</f>
        <v/>
      </c>
      <c r="B1866">
        <f>IF(INDEX(Suivi!$B:$B,1902)="","",INDEX(Suivi!$B:$B,1902))</f>
        <v/>
      </c>
      <c r="C1866">
        <f>IF($B1866="","",IF(INDEX(Suivi!$D:$D,1902)="",INDEX(Suivi!$C:$C,1902),INDEX(Suivi!$D:$D,1902)))</f>
        <v/>
      </c>
      <c r="D1866" s="29">
        <f>IF($B1866="","",INDEX(Suivi!$E:$E,1902))</f>
        <v/>
      </c>
      <c r="E1866" s="29">
        <f>IF($B1866="","",INDEX(Suivi!$F:$F,1902))</f>
        <v/>
      </c>
      <c r="F1866">
        <f>IF($B1866="","",INDEX(Suivi!$G:$G,1902))</f>
        <v/>
      </c>
      <c r="H1866">
        <f>IF(OR($B1866="",NOT(ISNUMBER($D1866))),"",IF($E1866&lt;$D$2,"Passé",IF($D1866&gt;$F$2,"À venir","Dans la période")))</f>
        <v/>
      </c>
      <c r="I1866">
        <f>IF(OR($B1866="",NOT(ISNUMBER($D1866))),"",IF(AND($E1866&lt;$D$2,$G1866&lt;&gt;"X",$F1866&lt;&gt;"Réalisé",$F1866&lt;&gt;"Clôturé"),"RETARD",""))</f>
        <v/>
      </c>
      <c r="J1866" s="29">
        <f>IF($B1866="","",IF(INDEX(Dossiers!$F$4:$F$63,36)="","",INDEX(Dossiers!$F$4:$F$63,36)))</f>
        <v/>
      </c>
      <c r="K1866" s="29">
        <f>IF($B1866="","",IF(INDEX(Dossiers!$G$4:$G$63,36)="","",INDEX(Dossiers!$G$4:$G$63,36)))</f>
        <v/>
      </c>
    </row>
    <row r="1867">
      <c r="A1867">
        <f>IF($B1867="","",INDEX(Dossiers!$E$4:$E$63,36))</f>
        <v/>
      </c>
      <c r="B1867">
        <f>IF(INDEX(Suivi!$B:$B,1903)="","",INDEX(Suivi!$B:$B,1903))</f>
        <v/>
      </c>
      <c r="C1867">
        <f>IF($B1867="","",IF(INDEX(Suivi!$D:$D,1903)="",INDEX(Suivi!$C:$C,1903),INDEX(Suivi!$D:$D,1903)))</f>
        <v/>
      </c>
      <c r="D1867" s="29">
        <f>IF($B1867="","",INDEX(Suivi!$E:$E,1903))</f>
        <v/>
      </c>
      <c r="E1867" s="29">
        <f>IF($B1867="","",INDEX(Suivi!$F:$F,1903))</f>
        <v/>
      </c>
      <c r="F1867">
        <f>IF($B1867="","",INDEX(Suivi!$G:$G,1903))</f>
        <v/>
      </c>
      <c r="H1867">
        <f>IF(OR($B1867="",NOT(ISNUMBER($D1867))),"",IF($E1867&lt;$D$2,"Passé",IF($D1867&gt;$F$2,"À venir","Dans la période")))</f>
        <v/>
      </c>
      <c r="I1867">
        <f>IF(OR($B1867="",NOT(ISNUMBER($D1867))),"",IF(AND($E1867&lt;$D$2,$G1867&lt;&gt;"X",$F1867&lt;&gt;"Réalisé",$F1867&lt;&gt;"Clôturé"),"RETARD",""))</f>
        <v/>
      </c>
      <c r="J1867" s="29">
        <f>IF($B1867="","",IF(INDEX(Dossiers!$F$4:$F$63,36)="","",INDEX(Dossiers!$F$4:$F$63,36)))</f>
        <v/>
      </c>
      <c r="K1867" s="29">
        <f>IF($B1867="","",IF(INDEX(Dossiers!$G$4:$G$63,36)="","",INDEX(Dossiers!$G$4:$G$63,36)))</f>
        <v/>
      </c>
    </row>
    <row r="1868">
      <c r="A1868">
        <f>IF($B1868="","",INDEX(Dossiers!$E$4:$E$63,36))</f>
        <v/>
      </c>
      <c r="B1868">
        <f>IF(INDEX(Suivi!$B:$B,1904)="","",INDEX(Suivi!$B:$B,1904))</f>
        <v/>
      </c>
      <c r="C1868">
        <f>IF($B1868="","",IF(INDEX(Suivi!$D:$D,1904)="",INDEX(Suivi!$C:$C,1904),INDEX(Suivi!$D:$D,1904)))</f>
        <v/>
      </c>
      <c r="D1868" s="29">
        <f>IF($B1868="","",INDEX(Suivi!$E:$E,1904))</f>
        <v/>
      </c>
      <c r="E1868" s="29">
        <f>IF($B1868="","",INDEX(Suivi!$F:$F,1904))</f>
        <v/>
      </c>
      <c r="F1868">
        <f>IF($B1868="","",INDEX(Suivi!$G:$G,1904))</f>
        <v/>
      </c>
      <c r="H1868">
        <f>IF(OR($B1868="",NOT(ISNUMBER($D1868))),"",IF($E1868&lt;$D$2,"Passé",IF($D1868&gt;$F$2,"À venir","Dans la période")))</f>
        <v/>
      </c>
      <c r="I1868">
        <f>IF(OR($B1868="",NOT(ISNUMBER($D1868))),"",IF(AND($E1868&lt;$D$2,$G1868&lt;&gt;"X",$F1868&lt;&gt;"Réalisé",$F1868&lt;&gt;"Clôturé"),"RETARD",""))</f>
        <v/>
      </c>
      <c r="J1868" s="29">
        <f>IF($B1868="","",IF(INDEX(Dossiers!$F$4:$F$63,36)="","",INDEX(Dossiers!$F$4:$F$63,36)))</f>
        <v/>
      </c>
      <c r="K1868" s="29">
        <f>IF($B1868="","",IF(INDEX(Dossiers!$G$4:$G$63,36)="","",INDEX(Dossiers!$G$4:$G$63,36)))</f>
        <v/>
      </c>
    </row>
    <row r="1869">
      <c r="A1869">
        <f>IF($B1869="","",INDEX(Dossiers!$E$4:$E$63,36))</f>
        <v/>
      </c>
      <c r="B1869">
        <f>IF(INDEX(Suivi!$B:$B,1905)="","",INDEX(Suivi!$B:$B,1905))</f>
        <v/>
      </c>
      <c r="C1869">
        <f>IF($B1869="","",IF(INDEX(Suivi!$D:$D,1905)="",INDEX(Suivi!$C:$C,1905),INDEX(Suivi!$D:$D,1905)))</f>
        <v/>
      </c>
      <c r="D1869" s="29">
        <f>IF($B1869="","",INDEX(Suivi!$E:$E,1905))</f>
        <v/>
      </c>
      <c r="E1869" s="29">
        <f>IF($B1869="","",INDEX(Suivi!$F:$F,1905))</f>
        <v/>
      </c>
      <c r="F1869">
        <f>IF($B1869="","",INDEX(Suivi!$G:$G,1905))</f>
        <v/>
      </c>
      <c r="H1869">
        <f>IF(OR($B1869="",NOT(ISNUMBER($D1869))),"",IF($E1869&lt;$D$2,"Passé",IF($D1869&gt;$F$2,"À venir","Dans la période")))</f>
        <v/>
      </c>
      <c r="I1869">
        <f>IF(OR($B1869="",NOT(ISNUMBER($D1869))),"",IF(AND($E1869&lt;$D$2,$G1869&lt;&gt;"X",$F1869&lt;&gt;"Réalisé",$F1869&lt;&gt;"Clôturé"),"RETARD",""))</f>
        <v/>
      </c>
      <c r="J1869" s="29">
        <f>IF($B1869="","",IF(INDEX(Dossiers!$F$4:$F$63,36)="","",INDEX(Dossiers!$F$4:$F$63,36)))</f>
        <v/>
      </c>
      <c r="K1869" s="29">
        <f>IF($B1869="","",IF(INDEX(Dossiers!$G$4:$G$63,36)="","",INDEX(Dossiers!$G$4:$G$63,36)))</f>
        <v/>
      </c>
    </row>
    <row r="1870">
      <c r="A1870">
        <f>IF($B1870="","",INDEX(Dossiers!$E$4:$E$63,36))</f>
        <v/>
      </c>
      <c r="B1870">
        <f>IF(INDEX(Suivi!$B:$B,1906)="","",INDEX(Suivi!$B:$B,1906))</f>
        <v/>
      </c>
      <c r="C1870">
        <f>IF($B1870="","",IF(INDEX(Suivi!$D:$D,1906)="",INDEX(Suivi!$C:$C,1906),INDEX(Suivi!$D:$D,1906)))</f>
        <v/>
      </c>
      <c r="D1870" s="29">
        <f>IF($B1870="","",INDEX(Suivi!$E:$E,1906))</f>
        <v/>
      </c>
      <c r="E1870" s="29">
        <f>IF($B1870="","",INDEX(Suivi!$F:$F,1906))</f>
        <v/>
      </c>
      <c r="F1870">
        <f>IF($B1870="","",INDEX(Suivi!$G:$G,1906))</f>
        <v/>
      </c>
      <c r="H1870">
        <f>IF(OR($B1870="",NOT(ISNUMBER($D1870))),"",IF($E1870&lt;$D$2,"Passé",IF($D1870&gt;$F$2,"À venir","Dans la période")))</f>
        <v/>
      </c>
      <c r="I1870">
        <f>IF(OR($B1870="",NOT(ISNUMBER($D1870))),"",IF(AND($E1870&lt;$D$2,$G1870&lt;&gt;"X",$F1870&lt;&gt;"Réalisé",$F1870&lt;&gt;"Clôturé"),"RETARD",""))</f>
        <v/>
      </c>
      <c r="J1870" s="29">
        <f>IF($B1870="","",IF(INDEX(Dossiers!$F$4:$F$63,36)="","",INDEX(Dossiers!$F$4:$F$63,36)))</f>
        <v/>
      </c>
      <c r="K1870" s="29">
        <f>IF($B1870="","",IF(INDEX(Dossiers!$G$4:$G$63,36)="","",INDEX(Dossiers!$G$4:$G$63,36)))</f>
        <v/>
      </c>
    </row>
    <row r="1871">
      <c r="A1871">
        <f>IF($B1871="","",INDEX(Dossiers!$E$4:$E$63,36))</f>
        <v/>
      </c>
      <c r="B1871">
        <f>IF(INDEX(Suivi!$B:$B,1907)="","",INDEX(Suivi!$B:$B,1907))</f>
        <v/>
      </c>
      <c r="C1871">
        <f>IF($B1871="","",IF(INDEX(Suivi!$D:$D,1907)="",INDEX(Suivi!$C:$C,1907),INDEX(Suivi!$D:$D,1907)))</f>
        <v/>
      </c>
      <c r="D1871" s="29">
        <f>IF($B1871="","",INDEX(Suivi!$E:$E,1907))</f>
        <v/>
      </c>
      <c r="E1871" s="29">
        <f>IF($B1871="","",INDEX(Suivi!$F:$F,1907))</f>
        <v/>
      </c>
      <c r="F1871">
        <f>IF($B1871="","",INDEX(Suivi!$G:$G,1907))</f>
        <v/>
      </c>
      <c r="H1871">
        <f>IF(OR($B1871="",NOT(ISNUMBER($D1871))),"",IF($E1871&lt;$D$2,"Passé",IF($D1871&gt;$F$2,"À venir","Dans la période")))</f>
        <v/>
      </c>
      <c r="I1871">
        <f>IF(OR($B1871="",NOT(ISNUMBER($D1871))),"",IF(AND($E1871&lt;$D$2,$G1871&lt;&gt;"X",$F1871&lt;&gt;"Réalisé",$F1871&lt;&gt;"Clôturé"),"RETARD",""))</f>
        <v/>
      </c>
      <c r="J1871" s="29">
        <f>IF($B1871="","",IF(INDEX(Dossiers!$F$4:$F$63,36)="","",INDEX(Dossiers!$F$4:$F$63,36)))</f>
        <v/>
      </c>
      <c r="K1871" s="29">
        <f>IF($B1871="","",IF(INDEX(Dossiers!$G$4:$G$63,36)="","",INDEX(Dossiers!$G$4:$G$63,36)))</f>
        <v/>
      </c>
    </row>
    <row r="1872">
      <c r="A1872">
        <f>IF($B1872="","",INDEX(Dossiers!$E$4:$E$63,36))</f>
        <v/>
      </c>
      <c r="B1872">
        <f>IF(INDEX(Suivi!$B:$B,1908)="","",INDEX(Suivi!$B:$B,1908))</f>
        <v/>
      </c>
      <c r="C1872">
        <f>IF($B1872="","",IF(INDEX(Suivi!$D:$D,1908)="",INDEX(Suivi!$C:$C,1908),INDEX(Suivi!$D:$D,1908)))</f>
        <v/>
      </c>
      <c r="D1872" s="29">
        <f>IF($B1872="","",INDEX(Suivi!$E:$E,1908))</f>
        <v/>
      </c>
      <c r="E1872" s="29">
        <f>IF($B1872="","",INDEX(Suivi!$F:$F,1908))</f>
        <v/>
      </c>
      <c r="F1872">
        <f>IF($B1872="","",INDEX(Suivi!$G:$G,1908))</f>
        <v/>
      </c>
      <c r="H1872">
        <f>IF(OR($B1872="",NOT(ISNUMBER($D1872))),"",IF($E1872&lt;$D$2,"Passé",IF($D1872&gt;$F$2,"À venir","Dans la période")))</f>
        <v/>
      </c>
      <c r="I1872">
        <f>IF(OR($B1872="",NOT(ISNUMBER($D1872))),"",IF(AND($E1872&lt;$D$2,$G1872&lt;&gt;"X",$F1872&lt;&gt;"Réalisé",$F1872&lt;&gt;"Clôturé"),"RETARD",""))</f>
        <v/>
      </c>
      <c r="J1872" s="29">
        <f>IF($B1872="","",IF(INDEX(Dossiers!$F$4:$F$63,36)="","",INDEX(Dossiers!$F$4:$F$63,36)))</f>
        <v/>
      </c>
      <c r="K1872" s="29">
        <f>IF($B1872="","",IF(INDEX(Dossiers!$G$4:$G$63,36)="","",INDEX(Dossiers!$G$4:$G$63,36)))</f>
        <v/>
      </c>
    </row>
    <row r="1873">
      <c r="A1873">
        <f>IF($B1873="","",INDEX(Dossiers!$E$4:$E$63,36))</f>
        <v/>
      </c>
      <c r="B1873">
        <f>IF(INDEX(Suivi!$B:$B,1909)="","",INDEX(Suivi!$B:$B,1909))</f>
        <v/>
      </c>
      <c r="C1873">
        <f>IF($B1873="","",IF(INDEX(Suivi!$D:$D,1909)="",INDEX(Suivi!$C:$C,1909),INDEX(Suivi!$D:$D,1909)))</f>
        <v/>
      </c>
      <c r="D1873" s="29">
        <f>IF($B1873="","",INDEX(Suivi!$E:$E,1909))</f>
        <v/>
      </c>
      <c r="E1873" s="29">
        <f>IF($B1873="","",INDEX(Suivi!$F:$F,1909))</f>
        <v/>
      </c>
      <c r="F1873">
        <f>IF($B1873="","",INDEX(Suivi!$G:$G,1909))</f>
        <v/>
      </c>
      <c r="H1873">
        <f>IF(OR($B1873="",NOT(ISNUMBER($D1873))),"",IF($E1873&lt;$D$2,"Passé",IF($D1873&gt;$F$2,"À venir","Dans la période")))</f>
        <v/>
      </c>
      <c r="I1873">
        <f>IF(OR($B1873="",NOT(ISNUMBER($D1873))),"",IF(AND($E1873&lt;$D$2,$G1873&lt;&gt;"X",$F1873&lt;&gt;"Réalisé",$F1873&lt;&gt;"Clôturé"),"RETARD",""))</f>
        <v/>
      </c>
      <c r="J1873" s="29">
        <f>IF($B1873="","",IF(INDEX(Dossiers!$F$4:$F$63,36)="","",INDEX(Dossiers!$F$4:$F$63,36)))</f>
        <v/>
      </c>
      <c r="K1873" s="29">
        <f>IF($B1873="","",IF(INDEX(Dossiers!$G$4:$G$63,36)="","",INDEX(Dossiers!$G$4:$G$63,36)))</f>
        <v/>
      </c>
    </row>
    <row r="1874">
      <c r="A1874">
        <f>IF($B1874="","",INDEX(Dossiers!$E$4:$E$63,36))</f>
        <v/>
      </c>
      <c r="B1874">
        <f>IF(INDEX(Suivi!$B:$B,1910)="","",INDEX(Suivi!$B:$B,1910))</f>
        <v/>
      </c>
      <c r="C1874">
        <f>IF($B1874="","",IF(INDEX(Suivi!$D:$D,1910)="",INDEX(Suivi!$C:$C,1910),INDEX(Suivi!$D:$D,1910)))</f>
        <v/>
      </c>
      <c r="D1874" s="29">
        <f>IF($B1874="","",INDEX(Suivi!$E:$E,1910))</f>
        <v/>
      </c>
      <c r="E1874" s="29">
        <f>IF($B1874="","",INDEX(Suivi!$F:$F,1910))</f>
        <v/>
      </c>
      <c r="F1874">
        <f>IF($B1874="","",INDEX(Suivi!$G:$G,1910))</f>
        <v/>
      </c>
      <c r="H1874">
        <f>IF(OR($B1874="",NOT(ISNUMBER($D1874))),"",IF($E1874&lt;$D$2,"Passé",IF($D1874&gt;$F$2,"À venir","Dans la période")))</f>
        <v/>
      </c>
      <c r="I1874">
        <f>IF(OR($B1874="",NOT(ISNUMBER($D1874))),"",IF(AND($E1874&lt;$D$2,$G1874&lt;&gt;"X",$F1874&lt;&gt;"Réalisé",$F1874&lt;&gt;"Clôturé"),"RETARD",""))</f>
        <v/>
      </c>
      <c r="J1874" s="29">
        <f>IF($B1874="","",IF(INDEX(Dossiers!$F$4:$F$63,36)="","",INDEX(Dossiers!$F$4:$F$63,36)))</f>
        <v/>
      </c>
      <c r="K1874" s="29">
        <f>IF($B1874="","",IF(INDEX(Dossiers!$G$4:$G$63,36)="","",INDEX(Dossiers!$G$4:$G$63,36)))</f>
        <v/>
      </c>
    </row>
    <row r="1875">
      <c r="A1875">
        <f>IF($B1875="","",INDEX(Dossiers!$E$4:$E$63,36))</f>
        <v/>
      </c>
      <c r="B1875">
        <f>IF(INDEX(Suivi!$B:$B,1911)="","",INDEX(Suivi!$B:$B,1911))</f>
        <v/>
      </c>
      <c r="C1875">
        <f>IF($B1875="","",IF(INDEX(Suivi!$D:$D,1911)="",INDEX(Suivi!$C:$C,1911),INDEX(Suivi!$D:$D,1911)))</f>
        <v/>
      </c>
      <c r="D1875" s="29">
        <f>IF($B1875="","",INDEX(Suivi!$E:$E,1911))</f>
        <v/>
      </c>
      <c r="E1875" s="29">
        <f>IF($B1875="","",INDEX(Suivi!$F:$F,1911))</f>
        <v/>
      </c>
      <c r="F1875">
        <f>IF($B1875="","",INDEX(Suivi!$G:$G,1911))</f>
        <v/>
      </c>
      <c r="H1875">
        <f>IF(OR($B1875="",NOT(ISNUMBER($D1875))),"",IF($E1875&lt;$D$2,"Passé",IF($D1875&gt;$F$2,"À venir","Dans la période")))</f>
        <v/>
      </c>
      <c r="I1875">
        <f>IF(OR($B1875="",NOT(ISNUMBER($D1875))),"",IF(AND($E1875&lt;$D$2,$G1875&lt;&gt;"X",$F1875&lt;&gt;"Réalisé",$F1875&lt;&gt;"Clôturé"),"RETARD",""))</f>
        <v/>
      </c>
      <c r="J1875" s="29">
        <f>IF($B1875="","",IF(INDEX(Dossiers!$F$4:$F$63,36)="","",INDEX(Dossiers!$F$4:$F$63,36)))</f>
        <v/>
      </c>
      <c r="K1875" s="29">
        <f>IF($B1875="","",IF(INDEX(Dossiers!$G$4:$G$63,36)="","",INDEX(Dossiers!$G$4:$G$63,36)))</f>
        <v/>
      </c>
    </row>
    <row r="1876">
      <c r="A1876">
        <f>IF($B1876="","",INDEX(Dossiers!$E$4:$E$63,36))</f>
        <v/>
      </c>
      <c r="B1876">
        <f>IF(INDEX(Suivi!$B:$B,1912)="","",INDEX(Suivi!$B:$B,1912))</f>
        <v/>
      </c>
      <c r="C1876">
        <f>IF($B1876="","",IF(INDEX(Suivi!$D:$D,1912)="",INDEX(Suivi!$C:$C,1912),INDEX(Suivi!$D:$D,1912)))</f>
        <v/>
      </c>
      <c r="D1876" s="29">
        <f>IF($B1876="","",INDEX(Suivi!$E:$E,1912))</f>
        <v/>
      </c>
      <c r="E1876" s="29">
        <f>IF($B1876="","",INDEX(Suivi!$F:$F,1912))</f>
        <v/>
      </c>
      <c r="F1876">
        <f>IF($B1876="","",INDEX(Suivi!$G:$G,1912))</f>
        <v/>
      </c>
      <c r="H1876">
        <f>IF(OR($B1876="",NOT(ISNUMBER($D1876))),"",IF($E1876&lt;$D$2,"Passé",IF($D1876&gt;$F$2,"À venir","Dans la période")))</f>
        <v/>
      </c>
      <c r="I1876">
        <f>IF(OR($B1876="",NOT(ISNUMBER($D1876))),"",IF(AND($E1876&lt;$D$2,$G1876&lt;&gt;"X",$F1876&lt;&gt;"Réalisé",$F1876&lt;&gt;"Clôturé"),"RETARD",""))</f>
        <v/>
      </c>
      <c r="J1876" s="29">
        <f>IF($B1876="","",IF(INDEX(Dossiers!$F$4:$F$63,36)="","",INDEX(Dossiers!$F$4:$F$63,36)))</f>
        <v/>
      </c>
      <c r="K1876" s="29">
        <f>IF($B1876="","",IF(INDEX(Dossiers!$G$4:$G$63,36)="","",INDEX(Dossiers!$G$4:$G$63,36)))</f>
        <v/>
      </c>
    </row>
    <row r="1877">
      <c r="A1877">
        <f>IF($B1877="","",INDEX(Dossiers!$E$4:$E$63,36))</f>
        <v/>
      </c>
      <c r="B1877">
        <f>IF(INDEX(Suivi!$B:$B,1913)="","",INDEX(Suivi!$B:$B,1913))</f>
        <v/>
      </c>
      <c r="C1877">
        <f>IF($B1877="","",IF(INDEX(Suivi!$D:$D,1913)="",INDEX(Suivi!$C:$C,1913),INDEX(Suivi!$D:$D,1913)))</f>
        <v/>
      </c>
      <c r="D1877" s="29">
        <f>IF($B1877="","",INDEX(Suivi!$E:$E,1913))</f>
        <v/>
      </c>
      <c r="E1877" s="29">
        <f>IF($B1877="","",INDEX(Suivi!$F:$F,1913))</f>
        <v/>
      </c>
      <c r="F1877">
        <f>IF($B1877="","",INDEX(Suivi!$G:$G,1913))</f>
        <v/>
      </c>
      <c r="H1877">
        <f>IF(OR($B1877="",NOT(ISNUMBER($D1877))),"",IF($E1877&lt;$D$2,"Passé",IF($D1877&gt;$F$2,"À venir","Dans la période")))</f>
        <v/>
      </c>
      <c r="I1877">
        <f>IF(OR($B1877="",NOT(ISNUMBER($D1877))),"",IF(AND($E1877&lt;$D$2,$G1877&lt;&gt;"X",$F1877&lt;&gt;"Réalisé",$F1877&lt;&gt;"Clôturé"),"RETARD",""))</f>
        <v/>
      </c>
      <c r="J1877" s="29">
        <f>IF($B1877="","",IF(INDEX(Dossiers!$F$4:$F$63,36)="","",INDEX(Dossiers!$F$4:$F$63,36)))</f>
        <v/>
      </c>
      <c r="K1877" s="29">
        <f>IF($B1877="","",IF(INDEX(Dossiers!$G$4:$G$63,36)="","",INDEX(Dossiers!$G$4:$G$63,36)))</f>
        <v/>
      </c>
    </row>
    <row r="1878">
      <c r="A1878">
        <f>IF($B1878="","",INDEX(Dossiers!$E$4:$E$63,36))</f>
        <v/>
      </c>
      <c r="B1878">
        <f>IF(INDEX(Suivi!$B:$B,1914)="","",INDEX(Suivi!$B:$B,1914))</f>
        <v/>
      </c>
      <c r="C1878">
        <f>IF($B1878="","",IF(INDEX(Suivi!$D:$D,1914)="",INDEX(Suivi!$C:$C,1914),INDEX(Suivi!$D:$D,1914)))</f>
        <v/>
      </c>
      <c r="D1878" s="29">
        <f>IF($B1878="","",INDEX(Suivi!$E:$E,1914))</f>
        <v/>
      </c>
      <c r="E1878" s="29">
        <f>IF($B1878="","",INDEX(Suivi!$F:$F,1914))</f>
        <v/>
      </c>
      <c r="F1878">
        <f>IF($B1878="","",INDEX(Suivi!$G:$G,1914))</f>
        <v/>
      </c>
      <c r="H1878">
        <f>IF(OR($B1878="",NOT(ISNUMBER($D1878))),"",IF($E1878&lt;$D$2,"Passé",IF($D1878&gt;$F$2,"À venir","Dans la période")))</f>
        <v/>
      </c>
      <c r="I1878">
        <f>IF(OR($B1878="",NOT(ISNUMBER($D1878))),"",IF(AND($E1878&lt;$D$2,$G1878&lt;&gt;"X",$F1878&lt;&gt;"Réalisé",$F1878&lt;&gt;"Clôturé"),"RETARD",""))</f>
        <v/>
      </c>
      <c r="J1878" s="29">
        <f>IF($B1878="","",IF(INDEX(Dossiers!$F$4:$F$63,36)="","",INDEX(Dossiers!$F$4:$F$63,36)))</f>
        <v/>
      </c>
      <c r="K1878" s="29">
        <f>IF($B1878="","",IF(INDEX(Dossiers!$G$4:$G$63,36)="","",INDEX(Dossiers!$G$4:$G$63,36)))</f>
        <v/>
      </c>
    </row>
    <row r="1879">
      <c r="A1879">
        <f>IF($B1879="","",INDEX(Dossiers!$E$4:$E$63,36))</f>
        <v/>
      </c>
      <c r="B1879">
        <f>IF(INDEX(Suivi!$B:$B,1915)="","",INDEX(Suivi!$B:$B,1915))</f>
        <v/>
      </c>
      <c r="C1879">
        <f>IF($B1879="","",IF(INDEX(Suivi!$D:$D,1915)="",INDEX(Suivi!$C:$C,1915),INDEX(Suivi!$D:$D,1915)))</f>
        <v/>
      </c>
      <c r="D1879" s="29">
        <f>IF($B1879="","",INDEX(Suivi!$E:$E,1915))</f>
        <v/>
      </c>
      <c r="E1879" s="29">
        <f>IF($B1879="","",INDEX(Suivi!$F:$F,1915))</f>
        <v/>
      </c>
      <c r="F1879">
        <f>IF($B1879="","",INDEX(Suivi!$G:$G,1915))</f>
        <v/>
      </c>
      <c r="H1879">
        <f>IF(OR($B1879="",NOT(ISNUMBER($D1879))),"",IF($E1879&lt;$D$2,"Passé",IF($D1879&gt;$F$2,"À venir","Dans la période")))</f>
        <v/>
      </c>
      <c r="I1879">
        <f>IF(OR($B1879="",NOT(ISNUMBER($D1879))),"",IF(AND($E1879&lt;$D$2,$G1879&lt;&gt;"X",$F1879&lt;&gt;"Réalisé",$F1879&lt;&gt;"Clôturé"),"RETARD",""))</f>
        <v/>
      </c>
      <c r="J1879" s="29">
        <f>IF($B1879="","",IF(INDEX(Dossiers!$F$4:$F$63,36)="","",INDEX(Dossiers!$F$4:$F$63,36)))</f>
        <v/>
      </c>
      <c r="K1879" s="29">
        <f>IF($B1879="","",IF(INDEX(Dossiers!$G$4:$G$63,36)="","",INDEX(Dossiers!$G$4:$G$63,36)))</f>
        <v/>
      </c>
    </row>
    <row r="1880">
      <c r="A1880">
        <f>IF($B1880="","",INDEX(Dossiers!$E$4:$E$63,36))</f>
        <v/>
      </c>
      <c r="B1880">
        <f>IF(INDEX(Suivi!$B:$B,1916)="","",INDEX(Suivi!$B:$B,1916))</f>
        <v/>
      </c>
      <c r="C1880">
        <f>IF($B1880="","",IF(INDEX(Suivi!$D:$D,1916)="",INDEX(Suivi!$C:$C,1916),INDEX(Suivi!$D:$D,1916)))</f>
        <v/>
      </c>
      <c r="D1880" s="29">
        <f>IF($B1880="","",INDEX(Suivi!$E:$E,1916))</f>
        <v/>
      </c>
      <c r="E1880" s="29">
        <f>IF($B1880="","",INDEX(Suivi!$F:$F,1916))</f>
        <v/>
      </c>
      <c r="F1880">
        <f>IF($B1880="","",INDEX(Suivi!$G:$G,1916))</f>
        <v/>
      </c>
      <c r="H1880">
        <f>IF(OR($B1880="",NOT(ISNUMBER($D1880))),"",IF($E1880&lt;$D$2,"Passé",IF($D1880&gt;$F$2,"À venir","Dans la période")))</f>
        <v/>
      </c>
      <c r="I1880">
        <f>IF(OR($B1880="",NOT(ISNUMBER($D1880))),"",IF(AND($E1880&lt;$D$2,$G1880&lt;&gt;"X",$F1880&lt;&gt;"Réalisé",$F1880&lt;&gt;"Clôturé"),"RETARD",""))</f>
        <v/>
      </c>
      <c r="J1880" s="29">
        <f>IF($B1880="","",IF(INDEX(Dossiers!$F$4:$F$63,36)="","",INDEX(Dossiers!$F$4:$F$63,36)))</f>
        <v/>
      </c>
      <c r="K1880" s="29">
        <f>IF($B1880="","",IF(INDEX(Dossiers!$G$4:$G$63,36)="","",INDEX(Dossiers!$G$4:$G$63,36)))</f>
        <v/>
      </c>
    </row>
    <row r="1881">
      <c r="A1881">
        <f>IF($B1881="","",INDEX(Dossiers!$E$4:$E$63,36))</f>
        <v/>
      </c>
      <c r="B1881">
        <f>IF(INDEX(Suivi!$B:$B,1917)="","",INDEX(Suivi!$B:$B,1917))</f>
        <v/>
      </c>
      <c r="C1881">
        <f>IF($B1881="","",IF(INDEX(Suivi!$D:$D,1917)="",INDEX(Suivi!$C:$C,1917),INDEX(Suivi!$D:$D,1917)))</f>
        <v/>
      </c>
      <c r="D1881" s="29">
        <f>IF($B1881="","",INDEX(Suivi!$E:$E,1917))</f>
        <v/>
      </c>
      <c r="E1881" s="29">
        <f>IF($B1881="","",INDEX(Suivi!$F:$F,1917))</f>
        <v/>
      </c>
      <c r="F1881">
        <f>IF($B1881="","",INDEX(Suivi!$G:$G,1917))</f>
        <v/>
      </c>
      <c r="H1881">
        <f>IF(OR($B1881="",NOT(ISNUMBER($D1881))),"",IF($E1881&lt;$D$2,"Passé",IF($D1881&gt;$F$2,"À venir","Dans la période")))</f>
        <v/>
      </c>
      <c r="I1881">
        <f>IF(OR($B1881="",NOT(ISNUMBER($D1881))),"",IF(AND($E1881&lt;$D$2,$G1881&lt;&gt;"X",$F1881&lt;&gt;"Réalisé",$F1881&lt;&gt;"Clôturé"),"RETARD",""))</f>
        <v/>
      </c>
      <c r="J1881" s="29">
        <f>IF($B1881="","",IF(INDEX(Dossiers!$F$4:$F$63,36)="","",INDEX(Dossiers!$F$4:$F$63,36)))</f>
        <v/>
      </c>
      <c r="K1881" s="29">
        <f>IF($B1881="","",IF(INDEX(Dossiers!$G$4:$G$63,36)="","",INDEX(Dossiers!$G$4:$G$63,36)))</f>
        <v/>
      </c>
    </row>
    <row r="1882">
      <c r="A1882">
        <f>IF($B1882="","",INDEX(Dossiers!$E$4:$E$63,36))</f>
        <v/>
      </c>
      <c r="B1882">
        <f>IF(INDEX(Suivi!$B:$B,1918)="","",INDEX(Suivi!$B:$B,1918))</f>
        <v/>
      </c>
      <c r="C1882">
        <f>IF($B1882="","",IF(INDEX(Suivi!$D:$D,1918)="",INDEX(Suivi!$C:$C,1918),INDEX(Suivi!$D:$D,1918)))</f>
        <v/>
      </c>
      <c r="D1882" s="29">
        <f>IF($B1882="","",INDEX(Suivi!$E:$E,1918))</f>
        <v/>
      </c>
      <c r="E1882" s="29">
        <f>IF($B1882="","",INDEX(Suivi!$F:$F,1918))</f>
        <v/>
      </c>
      <c r="F1882">
        <f>IF($B1882="","",INDEX(Suivi!$G:$G,1918))</f>
        <v/>
      </c>
      <c r="H1882">
        <f>IF(OR($B1882="",NOT(ISNUMBER($D1882))),"",IF($E1882&lt;$D$2,"Passé",IF($D1882&gt;$F$2,"À venir","Dans la période")))</f>
        <v/>
      </c>
      <c r="I1882">
        <f>IF(OR($B1882="",NOT(ISNUMBER($D1882))),"",IF(AND($E1882&lt;$D$2,$G1882&lt;&gt;"X",$F1882&lt;&gt;"Réalisé",$F1882&lt;&gt;"Clôturé"),"RETARD",""))</f>
        <v/>
      </c>
      <c r="J1882" s="29">
        <f>IF($B1882="","",IF(INDEX(Dossiers!$F$4:$F$63,36)="","",INDEX(Dossiers!$F$4:$F$63,36)))</f>
        <v/>
      </c>
      <c r="K1882" s="29">
        <f>IF($B1882="","",IF(INDEX(Dossiers!$G$4:$G$63,36)="","",INDEX(Dossiers!$G$4:$G$63,36)))</f>
        <v/>
      </c>
    </row>
    <row r="1883">
      <c r="A1883">
        <f>IF($B1883="","",INDEX(Dossiers!$E$4:$E$63,36))</f>
        <v/>
      </c>
      <c r="B1883">
        <f>IF(INDEX(Suivi!$B:$B,1919)="","",INDEX(Suivi!$B:$B,1919))</f>
        <v/>
      </c>
      <c r="C1883">
        <f>IF($B1883="","",IF(INDEX(Suivi!$D:$D,1919)="",INDEX(Suivi!$C:$C,1919),INDEX(Suivi!$D:$D,1919)))</f>
        <v/>
      </c>
      <c r="D1883" s="29">
        <f>IF($B1883="","",INDEX(Suivi!$E:$E,1919))</f>
        <v/>
      </c>
      <c r="E1883" s="29">
        <f>IF($B1883="","",INDEX(Suivi!$F:$F,1919))</f>
        <v/>
      </c>
      <c r="F1883">
        <f>IF($B1883="","",INDEX(Suivi!$G:$G,1919))</f>
        <v/>
      </c>
      <c r="H1883">
        <f>IF(OR($B1883="",NOT(ISNUMBER($D1883))),"",IF($E1883&lt;$D$2,"Passé",IF($D1883&gt;$F$2,"À venir","Dans la période")))</f>
        <v/>
      </c>
      <c r="I1883">
        <f>IF(OR($B1883="",NOT(ISNUMBER($D1883))),"",IF(AND($E1883&lt;$D$2,$G1883&lt;&gt;"X",$F1883&lt;&gt;"Réalisé",$F1883&lt;&gt;"Clôturé"),"RETARD",""))</f>
        <v/>
      </c>
      <c r="J1883" s="29">
        <f>IF($B1883="","",IF(INDEX(Dossiers!$F$4:$F$63,36)="","",INDEX(Dossiers!$F$4:$F$63,36)))</f>
        <v/>
      </c>
      <c r="K1883" s="29">
        <f>IF($B1883="","",IF(INDEX(Dossiers!$G$4:$G$63,36)="","",INDEX(Dossiers!$G$4:$G$63,36)))</f>
        <v/>
      </c>
    </row>
    <row r="1884">
      <c r="A1884">
        <f>IF($B1884="","",INDEX(Dossiers!$E$4:$E$63,36))</f>
        <v/>
      </c>
      <c r="B1884">
        <f>IF(INDEX(Suivi!$B:$B,1920)="","",INDEX(Suivi!$B:$B,1920))</f>
        <v/>
      </c>
      <c r="C1884">
        <f>IF($B1884="","",IF(INDEX(Suivi!$D:$D,1920)="",INDEX(Suivi!$C:$C,1920),INDEX(Suivi!$D:$D,1920)))</f>
        <v/>
      </c>
      <c r="D1884" s="29">
        <f>IF($B1884="","",INDEX(Suivi!$E:$E,1920))</f>
        <v/>
      </c>
      <c r="E1884" s="29">
        <f>IF($B1884="","",INDEX(Suivi!$F:$F,1920))</f>
        <v/>
      </c>
      <c r="F1884">
        <f>IF($B1884="","",INDEX(Suivi!$G:$G,1920))</f>
        <v/>
      </c>
      <c r="H1884">
        <f>IF(OR($B1884="",NOT(ISNUMBER($D1884))),"",IF($E1884&lt;$D$2,"Passé",IF($D1884&gt;$F$2,"À venir","Dans la période")))</f>
        <v/>
      </c>
      <c r="I1884">
        <f>IF(OR($B1884="",NOT(ISNUMBER($D1884))),"",IF(AND($E1884&lt;$D$2,$G1884&lt;&gt;"X",$F1884&lt;&gt;"Réalisé",$F1884&lt;&gt;"Clôturé"),"RETARD",""))</f>
        <v/>
      </c>
      <c r="J1884" s="29">
        <f>IF($B1884="","",IF(INDEX(Dossiers!$F$4:$F$63,36)="","",INDEX(Dossiers!$F$4:$F$63,36)))</f>
        <v/>
      </c>
      <c r="K1884" s="29">
        <f>IF($B1884="","",IF(INDEX(Dossiers!$G$4:$G$63,36)="","",INDEX(Dossiers!$G$4:$G$63,36)))</f>
        <v/>
      </c>
    </row>
    <row r="1885">
      <c r="A1885">
        <f>IF($B1885="","",INDEX(Dossiers!$E$4:$E$63,36))</f>
        <v/>
      </c>
      <c r="B1885">
        <f>IF(INDEX(Suivi!$B:$B,1921)="","",INDEX(Suivi!$B:$B,1921))</f>
        <v/>
      </c>
      <c r="C1885">
        <f>IF($B1885="","",IF(INDEX(Suivi!$D:$D,1921)="",INDEX(Suivi!$C:$C,1921),INDEX(Suivi!$D:$D,1921)))</f>
        <v/>
      </c>
      <c r="D1885" s="29">
        <f>IF($B1885="","",INDEX(Suivi!$E:$E,1921))</f>
        <v/>
      </c>
      <c r="E1885" s="29">
        <f>IF($B1885="","",INDEX(Suivi!$F:$F,1921))</f>
        <v/>
      </c>
      <c r="F1885">
        <f>IF($B1885="","",INDEX(Suivi!$G:$G,1921))</f>
        <v/>
      </c>
      <c r="H1885">
        <f>IF(OR($B1885="",NOT(ISNUMBER($D1885))),"",IF($E1885&lt;$D$2,"Passé",IF($D1885&gt;$F$2,"À venir","Dans la période")))</f>
        <v/>
      </c>
      <c r="I1885">
        <f>IF(OR($B1885="",NOT(ISNUMBER($D1885))),"",IF(AND($E1885&lt;$D$2,$G1885&lt;&gt;"X",$F1885&lt;&gt;"Réalisé",$F1885&lt;&gt;"Clôturé"),"RETARD",""))</f>
        <v/>
      </c>
      <c r="J1885" s="29">
        <f>IF($B1885="","",IF(INDEX(Dossiers!$F$4:$F$63,36)="","",INDEX(Dossiers!$F$4:$F$63,36)))</f>
        <v/>
      </c>
      <c r="K1885" s="29">
        <f>IF($B1885="","",IF(INDEX(Dossiers!$G$4:$G$63,36)="","",INDEX(Dossiers!$G$4:$G$63,36)))</f>
        <v/>
      </c>
    </row>
    <row r="1886">
      <c r="A1886">
        <f>IF($B1886="","",INDEX(Dossiers!$E$4:$E$63,36))</f>
        <v/>
      </c>
      <c r="B1886">
        <f>IF(INDEX(Suivi!$B:$B,1922)="","",INDEX(Suivi!$B:$B,1922))</f>
        <v/>
      </c>
      <c r="C1886">
        <f>IF($B1886="","",IF(INDEX(Suivi!$D:$D,1922)="",INDEX(Suivi!$C:$C,1922),INDEX(Suivi!$D:$D,1922)))</f>
        <v/>
      </c>
      <c r="D1886" s="29">
        <f>IF($B1886="","",INDEX(Suivi!$E:$E,1922))</f>
        <v/>
      </c>
      <c r="E1886" s="29">
        <f>IF($B1886="","",INDEX(Suivi!$F:$F,1922))</f>
        <v/>
      </c>
      <c r="F1886">
        <f>IF($B1886="","",INDEX(Suivi!$G:$G,1922))</f>
        <v/>
      </c>
      <c r="H1886">
        <f>IF(OR($B1886="",NOT(ISNUMBER($D1886))),"",IF($E1886&lt;$D$2,"Passé",IF($D1886&gt;$F$2,"À venir","Dans la période")))</f>
        <v/>
      </c>
      <c r="I1886">
        <f>IF(OR($B1886="",NOT(ISNUMBER($D1886))),"",IF(AND($E1886&lt;$D$2,$G1886&lt;&gt;"X",$F1886&lt;&gt;"Réalisé",$F1886&lt;&gt;"Clôturé"),"RETARD",""))</f>
        <v/>
      </c>
      <c r="J1886" s="29">
        <f>IF($B1886="","",IF(INDEX(Dossiers!$F$4:$F$63,36)="","",INDEX(Dossiers!$F$4:$F$63,36)))</f>
        <v/>
      </c>
      <c r="K1886" s="29">
        <f>IF($B1886="","",IF(INDEX(Dossiers!$G$4:$G$63,36)="","",INDEX(Dossiers!$G$4:$G$63,36)))</f>
        <v/>
      </c>
    </row>
    <row r="1887">
      <c r="A1887">
        <f>IF($B1887="","",INDEX(Dossiers!$E$4:$E$63,36))</f>
        <v/>
      </c>
      <c r="B1887">
        <f>IF(INDEX(Suivi!$B:$B,1923)="","",INDEX(Suivi!$B:$B,1923))</f>
        <v/>
      </c>
      <c r="C1887">
        <f>IF($B1887="","",IF(INDEX(Suivi!$D:$D,1923)="",INDEX(Suivi!$C:$C,1923),INDEX(Suivi!$D:$D,1923)))</f>
        <v/>
      </c>
      <c r="D1887" s="29">
        <f>IF($B1887="","",INDEX(Suivi!$E:$E,1923))</f>
        <v/>
      </c>
      <c r="E1887" s="29">
        <f>IF($B1887="","",INDEX(Suivi!$F:$F,1923))</f>
        <v/>
      </c>
      <c r="F1887">
        <f>IF($B1887="","",INDEX(Suivi!$G:$G,1923))</f>
        <v/>
      </c>
      <c r="H1887">
        <f>IF(OR($B1887="",NOT(ISNUMBER($D1887))),"",IF($E1887&lt;$D$2,"Passé",IF($D1887&gt;$F$2,"À venir","Dans la période")))</f>
        <v/>
      </c>
      <c r="I1887">
        <f>IF(OR($B1887="",NOT(ISNUMBER($D1887))),"",IF(AND($E1887&lt;$D$2,$G1887&lt;&gt;"X",$F1887&lt;&gt;"Réalisé",$F1887&lt;&gt;"Clôturé"),"RETARD",""))</f>
        <v/>
      </c>
      <c r="J1887" s="29">
        <f>IF($B1887="","",IF(INDEX(Dossiers!$F$4:$F$63,36)="","",INDEX(Dossiers!$F$4:$F$63,36)))</f>
        <v/>
      </c>
      <c r="K1887" s="29">
        <f>IF($B1887="","",IF(INDEX(Dossiers!$G$4:$G$63,36)="","",INDEX(Dossiers!$G$4:$G$63,36)))</f>
        <v/>
      </c>
    </row>
    <row r="1888">
      <c r="A1888">
        <f>IF($B1888="","",INDEX(Dossiers!$E$4:$E$63,36))</f>
        <v/>
      </c>
      <c r="B1888">
        <f>IF(INDEX(Suivi!$B:$B,1924)="","",INDEX(Suivi!$B:$B,1924))</f>
        <v/>
      </c>
      <c r="C1888">
        <f>IF($B1888="","",IF(INDEX(Suivi!$D:$D,1924)="",INDEX(Suivi!$C:$C,1924),INDEX(Suivi!$D:$D,1924)))</f>
        <v/>
      </c>
      <c r="D1888" s="29">
        <f>IF($B1888="","",INDEX(Suivi!$E:$E,1924))</f>
        <v/>
      </c>
      <c r="E1888" s="29">
        <f>IF($B1888="","",INDEX(Suivi!$F:$F,1924))</f>
        <v/>
      </c>
      <c r="F1888">
        <f>IF($B1888="","",INDEX(Suivi!$G:$G,1924))</f>
        <v/>
      </c>
      <c r="H1888">
        <f>IF(OR($B1888="",NOT(ISNUMBER($D1888))),"",IF($E1888&lt;$D$2,"Passé",IF($D1888&gt;$F$2,"À venir","Dans la période")))</f>
        <v/>
      </c>
      <c r="I1888">
        <f>IF(OR($B1888="",NOT(ISNUMBER($D1888))),"",IF(AND($E1888&lt;$D$2,$G1888&lt;&gt;"X",$F1888&lt;&gt;"Réalisé",$F1888&lt;&gt;"Clôturé"),"RETARD",""))</f>
        <v/>
      </c>
      <c r="J1888" s="29">
        <f>IF($B1888="","",IF(INDEX(Dossiers!$F$4:$F$63,36)="","",INDEX(Dossiers!$F$4:$F$63,36)))</f>
        <v/>
      </c>
      <c r="K1888" s="29">
        <f>IF($B1888="","",IF(INDEX(Dossiers!$G$4:$G$63,36)="","",INDEX(Dossiers!$G$4:$G$63,36)))</f>
        <v/>
      </c>
    </row>
    <row r="1889">
      <c r="A1889">
        <f>IF($B1889="","",INDEX(Dossiers!$E$4:$E$63,36))</f>
        <v/>
      </c>
      <c r="B1889">
        <f>IF(INDEX(Suivi!$B:$B,1925)="","",INDEX(Suivi!$B:$B,1925))</f>
        <v/>
      </c>
      <c r="C1889">
        <f>IF($B1889="","",IF(INDEX(Suivi!$D:$D,1925)="",INDEX(Suivi!$C:$C,1925),INDEX(Suivi!$D:$D,1925)))</f>
        <v/>
      </c>
      <c r="D1889" s="29">
        <f>IF($B1889="","",INDEX(Suivi!$E:$E,1925))</f>
        <v/>
      </c>
      <c r="E1889" s="29">
        <f>IF($B1889="","",INDEX(Suivi!$F:$F,1925))</f>
        <v/>
      </c>
      <c r="F1889">
        <f>IF($B1889="","",INDEX(Suivi!$G:$G,1925))</f>
        <v/>
      </c>
      <c r="H1889">
        <f>IF(OR($B1889="",NOT(ISNUMBER($D1889))),"",IF($E1889&lt;$D$2,"Passé",IF($D1889&gt;$F$2,"À venir","Dans la période")))</f>
        <v/>
      </c>
      <c r="I1889">
        <f>IF(OR($B1889="",NOT(ISNUMBER($D1889))),"",IF(AND($E1889&lt;$D$2,$G1889&lt;&gt;"X",$F1889&lt;&gt;"Réalisé",$F1889&lt;&gt;"Clôturé"),"RETARD",""))</f>
        <v/>
      </c>
      <c r="J1889" s="29">
        <f>IF($B1889="","",IF(INDEX(Dossiers!$F$4:$F$63,36)="","",INDEX(Dossiers!$F$4:$F$63,36)))</f>
        <v/>
      </c>
      <c r="K1889" s="29">
        <f>IF($B1889="","",IF(INDEX(Dossiers!$G$4:$G$63,36)="","",INDEX(Dossiers!$G$4:$G$63,36)))</f>
        <v/>
      </c>
    </row>
    <row r="1890">
      <c r="A1890">
        <f>IF($B1890="","",INDEX(Dossiers!$E$4:$E$63,36))</f>
        <v/>
      </c>
      <c r="B1890">
        <f>IF(INDEX(Suivi!$B:$B,1926)="","",INDEX(Suivi!$B:$B,1926))</f>
        <v/>
      </c>
      <c r="C1890">
        <f>IF($B1890="","",IF(INDEX(Suivi!$D:$D,1926)="",INDEX(Suivi!$C:$C,1926),INDEX(Suivi!$D:$D,1926)))</f>
        <v/>
      </c>
      <c r="D1890" s="29">
        <f>IF($B1890="","",INDEX(Suivi!$E:$E,1926))</f>
        <v/>
      </c>
      <c r="E1890" s="29">
        <f>IF($B1890="","",INDEX(Suivi!$F:$F,1926))</f>
        <v/>
      </c>
      <c r="F1890">
        <f>IF($B1890="","",INDEX(Suivi!$G:$G,1926))</f>
        <v/>
      </c>
      <c r="H1890">
        <f>IF(OR($B1890="",NOT(ISNUMBER($D1890))),"",IF($E1890&lt;$D$2,"Passé",IF($D1890&gt;$F$2,"À venir","Dans la période")))</f>
        <v/>
      </c>
      <c r="I1890">
        <f>IF(OR($B1890="",NOT(ISNUMBER($D1890))),"",IF(AND($E1890&lt;$D$2,$G1890&lt;&gt;"X",$F1890&lt;&gt;"Réalisé",$F1890&lt;&gt;"Clôturé"),"RETARD",""))</f>
        <v/>
      </c>
      <c r="J1890" s="29">
        <f>IF($B1890="","",IF(INDEX(Dossiers!$F$4:$F$63,36)="","",INDEX(Dossiers!$F$4:$F$63,36)))</f>
        <v/>
      </c>
      <c r="K1890" s="29">
        <f>IF($B1890="","",IF(INDEX(Dossiers!$G$4:$G$63,36)="","",INDEX(Dossiers!$G$4:$G$63,36)))</f>
        <v/>
      </c>
    </row>
    <row r="1891">
      <c r="A1891">
        <f>IF($B1891="","",INDEX(Dossiers!$E$4:$E$63,36))</f>
        <v/>
      </c>
      <c r="B1891">
        <f>IF(INDEX(Suivi!$B:$B,1927)="","",INDEX(Suivi!$B:$B,1927))</f>
        <v/>
      </c>
      <c r="C1891">
        <f>IF($B1891="","",IF(INDEX(Suivi!$D:$D,1927)="",INDEX(Suivi!$C:$C,1927),INDEX(Suivi!$D:$D,1927)))</f>
        <v/>
      </c>
      <c r="D1891" s="29">
        <f>IF($B1891="","",INDEX(Suivi!$E:$E,1927))</f>
        <v/>
      </c>
      <c r="E1891" s="29">
        <f>IF($B1891="","",INDEX(Suivi!$F:$F,1927))</f>
        <v/>
      </c>
      <c r="F1891">
        <f>IF($B1891="","",INDEX(Suivi!$G:$G,1927))</f>
        <v/>
      </c>
      <c r="H1891">
        <f>IF(OR($B1891="",NOT(ISNUMBER($D1891))),"",IF($E1891&lt;$D$2,"Passé",IF($D1891&gt;$F$2,"À venir","Dans la période")))</f>
        <v/>
      </c>
      <c r="I1891">
        <f>IF(OR($B1891="",NOT(ISNUMBER($D1891))),"",IF(AND($E1891&lt;$D$2,$G1891&lt;&gt;"X",$F1891&lt;&gt;"Réalisé",$F1891&lt;&gt;"Clôturé"),"RETARD",""))</f>
        <v/>
      </c>
      <c r="J1891" s="29">
        <f>IF($B1891="","",IF(INDEX(Dossiers!$F$4:$F$63,36)="","",INDEX(Dossiers!$F$4:$F$63,36)))</f>
        <v/>
      </c>
      <c r="K1891" s="29">
        <f>IF($B1891="","",IF(INDEX(Dossiers!$G$4:$G$63,36)="","",INDEX(Dossiers!$G$4:$G$63,36)))</f>
        <v/>
      </c>
    </row>
    <row r="1892">
      <c r="A1892">
        <f>IF($B1892="","",INDEX(Dossiers!$E$4:$E$63,36))</f>
        <v/>
      </c>
      <c r="B1892">
        <f>IF(INDEX(Suivi!$B:$B,1928)="","",INDEX(Suivi!$B:$B,1928))</f>
        <v/>
      </c>
      <c r="C1892">
        <f>IF($B1892="","",IF(INDEX(Suivi!$D:$D,1928)="",INDEX(Suivi!$C:$C,1928),INDEX(Suivi!$D:$D,1928)))</f>
        <v/>
      </c>
      <c r="D1892" s="29">
        <f>IF($B1892="","",INDEX(Suivi!$E:$E,1928))</f>
        <v/>
      </c>
      <c r="E1892" s="29">
        <f>IF($B1892="","",INDEX(Suivi!$F:$F,1928))</f>
        <v/>
      </c>
      <c r="F1892">
        <f>IF($B1892="","",INDEX(Suivi!$G:$G,1928))</f>
        <v/>
      </c>
      <c r="H1892">
        <f>IF(OR($B1892="",NOT(ISNUMBER($D1892))),"",IF($E1892&lt;$D$2,"Passé",IF($D1892&gt;$F$2,"À venir","Dans la période")))</f>
        <v/>
      </c>
      <c r="I1892">
        <f>IF(OR($B1892="",NOT(ISNUMBER($D1892))),"",IF(AND($E1892&lt;$D$2,$G1892&lt;&gt;"X",$F1892&lt;&gt;"Réalisé",$F1892&lt;&gt;"Clôturé"),"RETARD",""))</f>
        <v/>
      </c>
      <c r="J1892" s="29">
        <f>IF($B1892="","",IF(INDEX(Dossiers!$F$4:$F$63,36)="","",INDEX(Dossiers!$F$4:$F$63,36)))</f>
        <v/>
      </c>
      <c r="K1892" s="29">
        <f>IF($B1892="","",IF(INDEX(Dossiers!$G$4:$G$63,36)="","",INDEX(Dossiers!$G$4:$G$63,36)))</f>
        <v/>
      </c>
    </row>
    <row r="1893">
      <c r="A1893">
        <f>IF($B1893="","",INDEX(Dossiers!$E$4:$E$63,36))</f>
        <v/>
      </c>
      <c r="B1893">
        <f>IF(INDEX(Suivi!$B:$B,1929)="","",INDEX(Suivi!$B:$B,1929))</f>
        <v/>
      </c>
      <c r="C1893">
        <f>IF($B1893="","",IF(INDEX(Suivi!$D:$D,1929)="",INDEX(Suivi!$C:$C,1929),INDEX(Suivi!$D:$D,1929)))</f>
        <v/>
      </c>
      <c r="D1893" s="29">
        <f>IF($B1893="","",INDEX(Suivi!$E:$E,1929))</f>
        <v/>
      </c>
      <c r="E1893" s="29">
        <f>IF($B1893="","",INDEX(Suivi!$F:$F,1929))</f>
        <v/>
      </c>
      <c r="F1893">
        <f>IF($B1893="","",INDEX(Suivi!$G:$G,1929))</f>
        <v/>
      </c>
      <c r="H1893">
        <f>IF(OR($B1893="",NOT(ISNUMBER($D1893))),"",IF($E1893&lt;$D$2,"Passé",IF($D1893&gt;$F$2,"À venir","Dans la période")))</f>
        <v/>
      </c>
      <c r="I1893">
        <f>IF(OR($B1893="",NOT(ISNUMBER($D1893))),"",IF(AND($E1893&lt;$D$2,$G1893&lt;&gt;"X",$F1893&lt;&gt;"Réalisé",$F1893&lt;&gt;"Clôturé"),"RETARD",""))</f>
        <v/>
      </c>
      <c r="J1893" s="29">
        <f>IF($B1893="","",IF(INDEX(Dossiers!$F$4:$F$63,36)="","",INDEX(Dossiers!$F$4:$F$63,36)))</f>
        <v/>
      </c>
      <c r="K1893" s="29">
        <f>IF($B1893="","",IF(INDEX(Dossiers!$G$4:$G$63,36)="","",INDEX(Dossiers!$G$4:$G$63,36)))</f>
        <v/>
      </c>
    </row>
    <row r="1894">
      <c r="A1894">
        <f>IF($B1894="","",INDEX(Dossiers!$E$4:$E$63,36))</f>
        <v/>
      </c>
      <c r="B1894">
        <f>IF(INDEX(Suivi!$B:$B,1930)="","",INDEX(Suivi!$B:$B,1930))</f>
        <v/>
      </c>
      <c r="C1894">
        <f>IF($B1894="","",IF(INDEX(Suivi!$D:$D,1930)="",INDEX(Suivi!$C:$C,1930),INDEX(Suivi!$D:$D,1930)))</f>
        <v/>
      </c>
      <c r="D1894" s="29">
        <f>IF($B1894="","",INDEX(Suivi!$E:$E,1930))</f>
        <v/>
      </c>
      <c r="E1894" s="29">
        <f>IF($B1894="","",INDEX(Suivi!$F:$F,1930))</f>
        <v/>
      </c>
      <c r="F1894">
        <f>IF($B1894="","",INDEX(Suivi!$G:$G,1930))</f>
        <v/>
      </c>
      <c r="H1894">
        <f>IF(OR($B1894="",NOT(ISNUMBER($D1894))),"",IF($E1894&lt;$D$2,"Passé",IF($D1894&gt;$F$2,"À venir","Dans la période")))</f>
        <v/>
      </c>
      <c r="I1894">
        <f>IF(OR($B1894="",NOT(ISNUMBER($D1894))),"",IF(AND($E1894&lt;$D$2,$G1894&lt;&gt;"X",$F1894&lt;&gt;"Réalisé",$F1894&lt;&gt;"Clôturé"),"RETARD",""))</f>
        <v/>
      </c>
      <c r="J1894" s="29">
        <f>IF($B1894="","",IF(INDEX(Dossiers!$F$4:$F$63,36)="","",INDEX(Dossiers!$F$4:$F$63,36)))</f>
        <v/>
      </c>
      <c r="K1894" s="29">
        <f>IF($B1894="","",IF(INDEX(Dossiers!$G$4:$G$63,36)="","",INDEX(Dossiers!$G$4:$G$63,36)))</f>
        <v/>
      </c>
    </row>
    <row r="1895">
      <c r="A1895">
        <f>IF($B1895="","",INDEX(Dossiers!$E$4:$E$63,36))</f>
        <v/>
      </c>
      <c r="B1895">
        <f>IF(INDEX(Suivi!$B:$B,1931)="","",INDEX(Suivi!$B:$B,1931))</f>
        <v/>
      </c>
      <c r="C1895">
        <f>IF($B1895="","",IF(INDEX(Suivi!$D:$D,1931)="",INDEX(Suivi!$C:$C,1931),INDEX(Suivi!$D:$D,1931)))</f>
        <v/>
      </c>
      <c r="D1895" s="29">
        <f>IF($B1895="","",INDEX(Suivi!$E:$E,1931))</f>
        <v/>
      </c>
      <c r="E1895" s="29">
        <f>IF($B1895="","",INDEX(Suivi!$F:$F,1931))</f>
        <v/>
      </c>
      <c r="F1895">
        <f>IF($B1895="","",INDEX(Suivi!$G:$G,1931))</f>
        <v/>
      </c>
      <c r="H1895">
        <f>IF(OR($B1895="",NOT(ISNUMBER($D1895))),"",IF($E1895&lt;$D$2,"Passé",IF($D1895&gt;$F$2,"À venir","Dans la période")))</f>
        <v/>
      </c>
      <c r="I1895">
        <f>IF(OR($B1895="",NOT(ISNUMBER($D1895))),"",IF(AND($E1895&lt;$D$2,$G1895&lt;&gt;"X",$F1895&lt;&gt;"Réalisé",$F1895&lt;&gt;"Clôturé"),"RETARD",""))</f>
        <v/>
      </c>
      <c r="J1895" s="29">
        <f>IF($B1895="","",IF(INDEX(Dossiers!$F$4:$F$63,36)="","",INDEX(Dossiers!$F$4:$F$63,36)))</f>
        <v/>
      </c>
      <c r="K1895" s="29">
        <f>IF($B1895="","",IF(INDEX(Dossiers!$G$4:$G$63,36)="","",INDEX(Dossiers!$G$4:$G$63,36)))</f>
        <v/>
      </c>
    </row>
    <row r="1896">
      <c r="A1896">
        <f>IF($B1896="","",INDEX(Dossiers!$E$4:$E$63,36))</f>
        <v/>
      </c>
      <c r="B1896">
        <f>IF(INDEX(Suivi!$B:$B,1932)="","",INDEX(Suivi!$B:$B,1932))</f>
        <v/>
      </c>
      <c r="C1896">
        <f>IF($B1896="","",IF(INDEX(Suivi!$D:$D,1932)="",INDEX(Suivi!$C:$C,1932),INDEX(Suivi!$D:$D,1932)))</f>
        <v/>
      </c>
      <c r="D1896" s="29">
        <f>IF($B1896="","",INDEX(Suivi!$E:$E,1932))</f>
        <v/>
      </c>
      <c r="E1896" s="29">
        <f>IF($B1896="","",INDEX(Suivi!$F:$F,1932))</f>
        <v/>
      </c>
      <c r="F1896">
        <f>IF($B1896="","",INDEX(Suivi!$G:$G,1932))</f>
        <v/>
      </c>
      <c r="H1896">
        <f>IF(OR($B1896="",NOT(ISNUMBER($D1896))),"",IF($E1896&lt;$D$2,"Passé",IF($D1896&gt;$F$2,"À venir","Dans la période")))</f>
        <v/>
      </c>
      <c r="I1896">
        <f>IF(OR($B1896="",NOT(ISNUMBER($D1896))),"",IF(AND($E1896&lt;$D$2,$G1896&lt;&gt;"X",$F1896&lt;&gt;"Réalisé",$F1896&lt;&gt;"Clôturé"),"RETARD",""))</f>
        <v/>
      </c>
      <c r="J1896" s="29">
        <f>IF($B1896="","",IF(INDEX(Dossiers!$F$4:$F$63,36)="","",INDEX(Dossiers!$F$4:$F$63,36)))</f>
        <v/>
      </c>
      <c r="K1896" s="29">
        <f>IF($B1896="","",IF(INDEX(Dossiers!$G$4:$G$63,36)="","",INDEX(Dossiers!$G$4:$G$63,36)))</f>
        <v/>
      </c>
    </row>
    <row r="1897">
      <c r="A1897">
        <f>IF($B1897="","",INDEX(Dossiers!$E$4:$E$63,36))</f>
        <v/>
      </c>
      <c r="B1897">
        <f>IF(INDEX(Suivi!$B:$B,1933)="","",INDEX(Suivi!$B:$B,1933))</f>
        <v/>
      </c>
      <c r="C1897">
        <f>IF($B1897="","",IF(INDEX(Suivi!$D:$D,1933)="",INDEX(Suivi!$C:$C,1933),INDEX(Suivi!$D:$D,1933)))</f>
        <v/>
      </c>
      <c r="D1897" s="29">
        <f>IF($B1897="","",INDEX(Suivi!$E:$E,1933))</f>
        <v/>
      </c>
      <c r="E1897" s="29">
        <f>IF($B1897="","",INDEX(Suivi!$F:$F,1933))</f>
        <v/>
      </c>
      <c r="F1897">
        <f>IF($B1897="","",INDEX(Suivi!$G:$G,1933))</f>
        <v/>
      </c>
      <c r="H1897">
        <f>IF(OR($B1897="",NOT(ISNUMBER($D1897))),"",IF($E1897&lt;$D$2,"Passé",IF($D1897&gt;$F$2,"À venir","Dans la période")))</f>
        <v/>
      </c>
      <c r="I1897">
        <f>IF(OR($B1897="",NOT(ISNUMBER($D1897))),"",IF(AND($E1897&lt;$D$2,$G1897&lt;&gt;"X",$F1897&lt;&gt;"Réalisé",$F1897&lt;&gt;"Clôturé"),"RETARD",""))</f>
        <v/>
      </c>
      <c r="J1897" s="29">
        <f>IF($B1897="","",IF(INDEX(Dossiers!$F$4:$F$63,36)="","",INDEX(Dossiers!$F$4:$F$63,36)))</f>
        <v/>
      </c>
      <c r="K1897" s="29">
        <f>IF($B1897="","",IF(INDEX(Dossiers!$G$4:$G$63,36)="","",INDEX(Dossiers!$G$4:$G$63,36)))</f>
        <v/>
      </c>
    </row>
    <row r="1898">
      <c r="A1898">
        <f>IF($B1898="","",INDEX(Dossiers!$E$4:$E$63,36))</f>
        <v/>
      </c>
      <c r="B1898">
        <f>IF(INDEX(Suivi!$B:$B,1934)="","",INDEX(Suivi!$B:$B,1934))</f>
        <v/>
      </c>
      <c r="C1898">
        <f>IF($B1898="","",IF(INDEX(Suivi!$D:$D,1934)="",INDEX(Suivi!$C:$C,1934),INDEX(Suivi!$D:$D,1934)))</f>
        <v/>
      </c>
      <c r="D1898" s="29">
        <f>IF($B1898="","",INDEX(Suivi!$E:$E,1934))</f>
        <v/>
      </c>
      <c r="E1898" s="29">
        <f>IF($B1898="","",INDEX(Suivi!$F:$F,1934))</f>
        <v/>
      </c>
      <c r="F1898">
        <f>IF($B1898="","",INDEX(Suivi!$G:$G,1934))</f>
        <v/>
      </c>
      <c r="H1898">
        <f>IF(OR($B1898="",NOT(ISNUMBER($D1898))),"",IF($E1898&lt;$D$2,"Passé",IF($D1898&gt;$F$2,"À venir","Dans la période")))</f>
        <v/>
      </c>
      <c r="I1898">
        <f>IF(OR($B1898="",NOT(ISNUMBER($D1898))),"",IF(AND($E1898&lt;$D$2,$G1898&lt;&gt;"X",$F1898&lt;&gt;"Réalisé",$F1898&lt;&gt;"Clôturé"),"RETARD",""))</f>
        <v/>
      </c>
      <c r="J1898" s="29">
        <f>IF($B1898="","",IF(INDEX(Dossiers!$F$4:$F$63,36)="","",INDEX(Dossiers!$F$4:$F$63,36)))</f>
        <v/>
      </c>
      <c r="K1898" s="29">
        <f>IF($B1898="","",IF(INDEX(Dossiers!$G$4:$G$63,36)="","",INDEX(Dossiers!$G$4:$G$63,36)))</f>
        <v/>
      </c>
    </row>
    <row r="1899">
      <c r="A1899">
        <f>IF($B1899="","",INDEX(Dossiers!$E$4:$E$63,36))</f>
        <v/>
      </c>
      <c r="B1899">
        <f>IF(INDEX(Suivi!$B:$B,1935)="","",INDEX(Suivi!$B:$B,1935))</f>
        <v/>
      </c>
      <c r="C1899">
        <f>IF($B1899="","",IF(INDEX(Suivi!$D:$D,1935)="",INDEX(Suivi!$C:$C,1935),INDEX(Suivi!$D:$D,1935)))</f>
        <v/>
      </c>
      <c r="D1899" s="29">
        <f>IF($B1899="","",INDEX(Suivi!$E:$E,1935))</f>
        <v/>
      </c>
      <c r="E1899" s="29">
        <f>IF($B1899="","",INDEX(Suivi!$F:$F,1935))</f>
        <v/>
      </c>
      <c r="F1899">
        <f>IF($B1899="","",INDEX(Suivi!$G:$G,1935))</f>
        <v/>
      </c>
      <c r="H1899">
        <f>IF(OR($B1899="",NOT(ISNUMBER($D1899))),"",IF($E1899&lt;$D$2,"Passé",IF($D1899&gt;$F$2,"À venir","Dans la période")))</f>
        <v/>
      </c>
      <c r="I1899">
        <f>IF(OR($B1899="",NOT(ISNUMBER($D1899))),"",IF(AND($E1899&lt;$D$2,$G1899&lt;&gt;"X",$F1899&lt;&gt;"Réalisé",$F1899&lt;&gt;"Clôturé"),"RETARD",""))</f>
        <v/>
      </c>
      <c r="J1899" s="29">
        <f>IF($B1899="","",IF(INDEX(Dossiers!$F$4:$F$63,36)="","",INDEX(Dossiers!$F$4:$F$63,36)))</f>
        <v/>
      </c>
      <c r="K1899" s="29">
        <f>IF($B1899="","",IF(INDEX(Dossiers!$G$4:$G$63,36)="","",INDEX(Dossiers!$G$4:$G$63,36)))</f>
        <v/>
      </c>
    </row>
    <row r="1900">
      <c r="A1900">
        <f>IF($B1900="","",INDEX(Dossiers!$E$4:$E$63,36))</f>
        <v/>
      </c>
      <c r="B1900">
        <f>IF(INDEX(Suivi!$B:$B,1936)="","",INDEX(Suivi!$B:$B,1936))</f>
        <v/>
      </c>
      <c r="C1900">
        <f>IF($B1900="","",IF(INDEX(Suivi!$D:$D,1936)="",INDEX(Suivi!$C:$C,1936),INDEX(Suivi!$D:$D,1936)))</f>
        <v/>
      </c>
      <c r="D1900" s="29">
        <f>IF($B1900="","",INDEX(Suivi!$E:$E,1936))</f>
        <v/>
      </c>
      <c r="E1900" s="29">
        <f>IF($B1900="","",INDEX(Suivi!$F:$F,1936))</f>
        <v/>
      </c>
      <c r="F1900">
        <f>IF($B1900="","",INDEX(Suivi!$G:$G,1936))</f>
        <v/>
      </c>
      <c r="H1900">
        <f>IF(OR($B1900="",NOT(ISNUMBER($D1900))),"",IF($E1900&lt;$D$2,"Passé",IF($D1900&gt;$F$2,"À venir","Dans la période")))</f>
        <v/>
      </c>
      <c r="I1900">
        <f>IF(OR($B1900="",NOT(ISNUMBER($D1900))),"",IF(AND($E1900&lt;$D$2,$G1900&lt;&gt;"X",$F1900&lt;&gt;"Réalisé",$F1900&lt;&gt;"Clôturé"),"RETARD",""))</f>
        <v/>
      </c>
      <c r="J1900" s="29">
        <f>IF($B1900="","",IF(INDEX(Dossiers!$F$4:$F$63,36)="","",INDEX(Dossiers!$F$4:$F$63,36)))</f>
        <v/>
      </c>
      <c r="K1900" s="29">
        <f>IF($B1900="","",IF(INDEX(Dossiers!$G$4:$G$63,36)="","",INDEX(Dossiers!$G$4:$G$63,36)))</f>
        <v/>
      </c>
    </row>
    <row r="1901">
      <c r="A1901">
        <f>IF($B1901="","",INDEX(Dossiers!$E$4:$E$63,36))</f>
        <v/>
      </c>
      <c r="B1901">
        <f>IF(INDEX(Suivi!$B:$B,1937)="","",INDEX(Suivi!$B:$B,1937))</f>
        <v/>
      </c>
      <c r="C1901">
        <f>IF($B1901="","",IF(INDEX(Suivi!$D:$D,1937)="",INDEX(Suivi!$C:$C,1937),INDEX(Suivi!$D:$D,1937)))</f>
        <v/>
      </c>
      <c r="D1901" s="29">
        <f>IF($B1901="","",INDEX(Suivi!$E:$E,1937))</f>
        <v/>
      </c>
      <c r="E1901" s="29">
        <f>IF($B1901="","",INDEX(Suivi!$F:$F,1937))</f>
        <v/>
      </c>
      <c r="F1901">
        <f>IF($B1901="","",INDEX(Suivi!$G:$G,1937))</f>
        <v/>
      </c>
      <c r="H1901">
        <f>IF(OR($B1901="",NOT(ISNUMBER($D1901))),"",IF($E1901&lt;$D$2,"Passé",IF($D1901&gt;$F$2,"À venir","Dans la période")))</f>
        <v/>
      </c>
      <c r="I1901">
        <f>IF(OR($B1901="",NOT(ISNUMBER($D1901))),"",IF(AND($E1901&lt;$D$2,$G1901&lt;&gt;"X",$F1901&lt;&gt;"Réalisé",$F1901&lt;&gt;"Clôturé"),"RETARD",""))</f>
        <v/>
      </c>
      <c r="J1901" s="29">
        <f>IF($B1901="","",IF(INDEX(Dossiers!$F$4:$F$63,36)="","",INDEX(Dossiers!$F$4:$F$63,36)))</f>
        <v/>
      </c>
      <c r="K1901" s="29">
        <f>IF($B1901="","",IF(INDEX(Dossiers!$G$4:$G$63,36)="","",INDEX(Dossiers!$G$4:$G$63,36)))</f>
        <v/>
      </c>
    </row>
    <row r="1902">
      <c r="A1902">
        <f>IF($B1902="","",INDEX(Dossiers!$E$4:$E$63,36))</f>
        <v/>
      </c>
      <c r="B1902">
        <f>IF(INDEX(Suivi!$B:$B,1938)="","",INDEX(Suivi!$B:$B,1938))</f>
        <v/>
      </c>
      <c r="C1902">
        <f>IF($B1902="","",IF(INDEX(Suivi!$D:$D,1938)="",INDEX(Suivi!$C:$C,1938),INDEX(Suivi!$D:$D,1938)))</f>
        <v/>
      </c>
      <c r="D1902" s="29">
        <f>IF($B1902="","",INDEX(Suivi!$E:$E,1938))</f>
        <v/>
      </c>
      <c r="E1902" s="29">
        <f>IF($B1902="","",INDEX(Suivi!$F:$F,1938))</f>
        <v/>
      </c>
      <c r="F1902">
        <f>IF($B1902="","",INDEX(Suivi!$G:$G,1938))</f>
        <v/>
      </c>
      <c r="H1902">
        <f>IF(OR($B1902="",NOT(ISNUMBER($D1902))),"",IF($E1902&lt;$D$2,"Passé",IF($D1902&gt;$F$2,"À venir","Dans la période")))</f>
        <v/>
      </c>
      <c r="I1902">
        <f>IF(OR($B1902="",NOT(ISNUMBER($D1902))),"",IF(AND($E1902&lt;$D$2,$G1902&lt;&gt;"X",$F1902&lt;&gt;"Réalisé",$F1902&lt;&gt;"Clôturé"),"RETARD",""))</f>
        <v/>
      </c>
      <c r="J1902" s="29">
        <f>IF($B1902="","",IF(INDEX(Dossiers!$F$4:$F$63,36)="","",INDEX(Dossiers!$F$4:$F$63,36)))</f>
        <v/>
      </c>
      <c r="K1902" s="29">
        <f>IF($B1902="","",IF(INDEX(Dossiers!$G$4:$G$63,36)="","",INDEX(Dossiers!$G$4:$G$63,36)))</f>
        <v/>
      </c>
    </row>
    <row r="1903">
      <c r="A1903">
        <f>IF($B1903="","",INDEX(Dossiers!$E$4:$E$63,36))</f>
        <v/>
      </c>
      <c r="B1903">
        <f>IF(INDEX(Suivi!$B:$B,1939)="","",INDEX(Suivi!$B:$B,1939))</f>
        <v/>
      </c>
      <c r="C1903">
        <f>IF($B1903="","",IF(INDEX(Suivi!$D:$D,1939)="",INDEX(Suivi!$C:$C,1939),INDEX(Suivi!$D:$D,1939)))</f>
        <v/>
      </c>
      <c r="D1903" s="29">
        <f>IF($B1903="","",INDEX(Suivi!$E:$E,1939))</f>
        <v/>
      </c>
      <c r="E1903" s="29">
        <f>IF($B1903="","",INDEX(Suivi!$F:$F,1939))</f>
        <v/>
      </c>
      <c r="F1903">
        <f>IF($B1903="","",INDEX(Suivi!$G:$G,1939))</f>
        <v/>
      </c>
      <c r="H1903">
        <f>IF(OR($B1903="",NOT(ISNUMBER($D1903))),"",IF($E1903&lt;$D$2,"Passé",IF($D1903&gt;$F$2,"À venir","Dans la période")))</f>
        <v/>
      </c>
      <c r="I1903">
        <f>IF(OR($B1903="",NOT(ISNUMBER($D1903))),"",IF(AND($E1903&lt;$D$2,$G1903&lt;&gt;"X",$F1903&lt;&gt;"Réalisé",$F1903&lt;&gt;"Clôturé"),"RETARD",""))</f>
        <v/>
      </c>
      <c r="J1903" s="29">
        <f>IF($B1903="","",IF(INDEX(Dossiers!$F$4:$F$63,36)="","",INDEX(Dossiers!$F$4:$F$63,36)))</f>
        <v/>
      </c>
      <c r="K1903" s="29">
        <f>IF($B1903="","",IF(INDEX(Dossiers!$G$4:$G$63,36)="","",INDEX(Dossiers!$G$4:$G$63,36)))</f>
        <v/>
      </c>
    </row>
    <row r="1904">
      <c r="A1904">
        <f>IF($B1904="","",INDEX(Dossiers!$E$4:$E$63,36))</f>
        <v/>
      </c>
      <c r="B1904">
        <f>IF(INDEX(Suivi!$B:$B,1940)="","",INDEX(Suivi!$B:$B,1940))</f>
        <v/>
      </c>
      <c r="C1904">
        <f>IF($B1904="","",IF(INDEX(Suivi!$D:$D,1940)="",INDEX(Suivi!$C:$C,1940),INDEX(Suivi!$D:$D,1940)))</f>
        <v/>
      </c>
      <c r="D1904" s="29">
        <f>IF($B1904="","",INDEX(Suivi!$E:$E,1940))</f>
        <v/>
      </c>
      <c r="E1904" s="29">
        <f>IF($B1904="","",INDEX(Suivi!$F:$F,1940))</f>
        <v/>
      </c>
      <c r="F1904">
        <f>IF($B1904="","",INDEX(Suivi!$G:$G,1940))</f>
        <v/>
      </c>
      <c r="H1904">
        <f>IF(OR($B1904="",NOT(ISNUMBER($D1904))),"",IF($E1904&lt;$D$2,"Passé",IF($D1904&gt;$F$2,"À venir","Dans la période")))</f>
        <v/>
      </c>
      <c r="I1904">
        <f>IF(OR($B1904="",NOT(ISNUMBER($D1904))),"",IF(AND($E1904&lt;$D$2,$G1904&lt;&gt;"X",$F1904&lt;&gt;"Réalisé",$F1904&lt;&gt;"Clôturé"),"RETARD",""))</f>
        <v/>
      </c>
      <c r="J1904" s="29">
        <f>IF($B1904="","",IF(INDEX(Dossiers!$F$4:$F$63,36)="","",INDEX(Dossiers!$F$4:$F$63,36)))</f>
        <v/>
      </c>
      <c r="K1904" s="29">
        <f>IF($B1904="","",IF(INDEX(Dossiers!$G$4:$G$63,36)="","",INDEX(Dossiers!$G$4:$G$63,36)))</f>
        <v/>
      </c>
    </row>
    <row r="1905">
      <c r="A1905">
        <f>IF($B1905="","",INDEX(Dossiers!$E$4:$E$63,36))</f>
        <v/>
      </c>
      <c r="B1905">
        <f>IF(INDEX(Suivi!$B:$B,1941)="","",INDEX(Suivi!$B:$B,1941))</f>
        <v/>
      </c>
      <c r="C1905">
        <f>IF($B1905="","",IF(INDEX(Suivi!$D:$D,1941)="",INDEX(Suivi!$C:$C,1941),INDEX(Suivi!$D:$D,1941)))</f>
        <v/>
      </c>
      <c r="D1905" s="29">
        <f>IF($B1905="","",INDEX(Suivi!$E:$E,1941))</f>
        <v/>
      </c>
      <c r="E1905" s="29">
        <f>IF($B1905="","",INDEX(Suivi!$F:$F,1941))</f>
        <v/>
      </c>
      <c r="F1905">
        <f>IF($B1905="","",INDEX(Suivi!$G:$G,1941))</f>
        <v/>
      </c>
      <c r="H1905">
        <f>IF(OR($B1905="",NOT(ISNUMBER($D1905))),"",IF($E1905&lt;$D$2,"Passé",IF($D1905&gt;$F$2,"À venir","Dans la période")))</f>
        <v/>
      </c>
      <c r="I1905">
        <f>IF(OR($B1905="",NOT(ISNUMBER($D1905))),"",IF(AND($E1905&lt;$D$2,$G1905&lt;&gt;"X",$F1905&lt;&gt;"Réalisé",$F1905&lt;&gt;"Clôturé"),"RETARD",""))</f>
        <v/>
      </c>
      <c r="J1905" s="29">
        <f>IF($B1905="","",IF(INDEX(Dossiers!$F$4:$F$63,36)="","",INDEX(Dossiers!$F$4:$F$63,36)))</f>
        <v/>
      </c>
      <c r="K1905" s="29">
        <f>IF($B1905="","",IF(INDEX(Dossiers!$G$4:$G$63,36)="","",INDEX(Dossiers!$G$4:$G$63,36)))</f>
        <v/>
      </c>
    </row>
    <row r="1906">
      <c r="A1906">
        <f>IF($B1906="","",INDEX(Dossiers!$E$4:$E$63,36))</f>
        <v/>
      </c>
      <c r="B1906">
        <f>IF(INDEX(Suivi!$B:$B,1942)="","",INDEX(Suivi!$B:$B,1942))</f>
        <v/>
      </c>
      <c r="C1906">
        <f>IF($B1906="","",IF(INDEX(Suivi!$D:$D,1942)="",INDEX(Suivi!$C:$C,1942),INDEX(Suivi!$D:$D,1942)))</f>
        <v/>
      </c>
      <c r="D1906" s="29">
        <f>IF($B1906="","",INDEX(Suivi!$E:$E,1942))</f>
        <v/>
      </c>
      <c r="E1906" s="29">
        <f>IF($B1906="","",INDEX(Suivi!$F:$F,1942))</f>
        <v/>
      </c>
      <c r="F1906">
        <f>IF($B1906="","",INDEX(Suivi!$G:$G,1942))</f>
        <v/>
      </c>
      <c r="H1906">
        <f>IF(OR($B1906="",NOT(ISNUMBER($D1906))),"",IF($E1906&lt;$D$2,"Passé",IF($D1906&gt;$F$2,"À venir","Dans la période")))</f>
        <v/>
      </c>
      <c r="I1906">
        <f>IF(OR($B1906="",NOT(ISNUMBER($D1906))),"",IF(AND($E1906&lt;$D$2,$G1906&lt;&gt;"X",$F1906&lt;&gt;"Réalisé",$F1906&lt;&gt;"Clôturé"),"RETARD",""))</f>
        <v/>
      </c>
      <c r="J1906" s="29">
        <f>IF($B1906="","",IF(INDEX(Dossiers!$F$4:$F$63,36)="","",INDEX(Dossiers!$F$4:$F$63,36)))</f>
        <v/>
      </c>
      <c r="K1906" s="29">
        <f>IF($B1906="","",IF(INDEX(Dossiers!$G$4:$G$63,36)="","",INDEX(Dossiers!$G$4:$G$63,36)))</f>
        <v/>
      </c>
    </row>
    <row r="1907">
      <c r="A1907">
        <f>IF($B1907="","",INDEX(Dossiers!$E$4:$E$63,36))</f>
        <v/>
      </c>
      <c r="B1907">
        <f>IF(INDEX(Suivi!$B:$B,1943)="","",INDEX(Suivi!$B:$B,1943))</f>
        <v/>
      </c>
      <c r="C1907">
        <f>IF($B1907="","",IF(INDEX(Suivi!$D:$D,1943)="",INDEX(Suivi!$C:$C,1943),INDEX(Suivi!$D:$D,1943)))</f>
        <v/>
      </c>
      <c r="D1907" s="29">
        <f>IF($B1907="","",INDEX(Suivi!$E:$E,1943))</f>
        <v/>
      </c>
      <c r="E1907" s="29">
        <f>IF($B1907="","",INDEX(Suivi!$F:$F,1943))</f>
        <v/>
      </c>
      <c r="F1907">
        <f>IF($B1907="","",INDEX(Suivi!$G:$G,1943))</f>
        <v/>
      </c>
      <c r="H1907">
        <f>IF(OR($B1907="",NOT(ISNUMBER($D1907))),"",IF($E1907&lt;$D$2,"Passé",IF($D1907&gt;$F$2,"À venir","Dans la période")))</f>
        <v/>
      </c>
      <c r="I1907">
        <f>IF(OR($B1907="",NOT(ISNUMBER($D1907))),"",IF(AND($E1907&lt;$D$2,$G1907&lt;&gt;"X",$F1907&lt;&gt;"Réalisé",$F1907&lt;&gt;"Clôturé"),"RETARD",""))</f>
        <v/>
      </c>
      <c r="J1907" s="29">
        <f>IF($B1907="","",IF(INDEX(Dossiers!$F$4:$F$63,36)="","",INDEX(Dossiers!$F$4:$F$63,36)))</f>
        <v/>
      </c>
      <c r="K1907" s="29">
        <f>IF($B1907="","",IF(INDEX(Dossiers!$G$4:$G$63,36)="","",INDEX(Dossiers!$G$4:$G$63,36)))</f>
        <v/>
      </c>
    </row>
    <row r="1908">
      <c r="A1908">
        <f>IF($B1908="","",INDEX(Dossiers!$E$4:$E$63,36))</f>
        <v/>
      </c>
      <c r="B1908">
        <f>IF(INDEX(Suivi!$B:$B,1944)="","",INDEX(Suivi!$B:$B,1944))</f>
        <v/>
      </c>
      <c r="C1908">
        <f>IF($B1908="","",IF(INDEX(Suivi!$D:$D,1944)="",INDEX(Suivi!$C:$C,1944),INDEX(Suivi!$D:$D,1944)))</f>
        <v/>
      </c>
      <c r="D1908" s="29">
        <f>IF($B1908="","",INDEX(Suivi!$E:$E,1944))</f>
        <v/>
      </c>
      <c r="E1908" s="29">
        <f>IF($B1908="","",INDEX(Suivi!$F:$F,1944))</f>
        <v/>
      </c>
      <c r="F1908">
        <f>IF($B1908="","",INDEX(Suivi!$G:$G,1944))</f>
        <v/>
      </c>
      <c r="H1908">
        <f>IF(OR($B1908="",NOT(ISNUMBER($D1908))),"",IF($E1908&lt;$D$2,"Passé",IF($D1908&gt;$F$2,"À venir","Dans la période")))</f>
        <v/>
      </c>
      <c r="I1908">
        <f>IF(OR($B1908="",NOT(ISNUMBER($D1908))),"",IF(AND($E1908&lt;$D$2,$G1908&lt;&gt;"X",$F1908&lt;&gt;"Réalisé",$F1908&lt;&gt;"Clôturé"),"RETARD",""))</f>
        <v/>
      </c>
      <c r="J1908" s="29">
        <f>IF($B1908="","",IF(INDEX(Dossiers!$F$4:$F$63,36)="","",INDEX(Dossiers!$F$4:$F$63,36)))</f>
        <v/>
      </c>
      <c r="K1908" s="29">
        <f>IF($B1908="","",IF(INDEX(Dossiers!$G$4:$G$63,36)="","",INDEX(Dossiers!$G$4:$G$63,36)))</f>
        <v/>
      </c>
    </row>
    <row r="1909">
      <c r="A1909">
        <f>IF($B1909="","",INDEX(Dossiers!$E$4:$E$63,36))</f>
        <v/>
      </c>
      <c r="B1909">
        <f>IF(INDEX(Suivi!$B:$B,1945)="","",INDEX(Suivi!$B:$B,1945))</f>
        <v/>
      </c>
      <c r="C1909">
        <f>IF($B1909="","",IF(INDEX(Suivi!$D:$D,1945)="",INDEX(Suivi!$C:$C,1945),INDEX(Suivi!$D:$D,1945)))</f>
        <v/>
      </c>
      <c r="D1909" s="29">
        <f>IF($B1909="","",INDEX(Suivi!$E:$E,1945))</f>
        <v/>
      </c>
      <c r="E1909" s="29">
        <f>IF($B1909="","",INDEX(Suivi!$F:$F,1945))</f>
        <v/>
      </c>
      <c r="F1909">
        <f>IF($B1909="","",INDEX(Suivi!$G:$G,1945))</f>
        <v/>
      </c>
      <c r="H1909">
        <f>IF(OR($B1909="",NOT(ISNUMBER($D1909))),"",IF($E1909&lt;$D$2,"Passé",IF($D1909&gt;$F$2,"À venir","Dans la période")))</f>
        <v/>
      </c>
      <c r="I1909">
        <f>IF(OR($B1909="",NOT(ISNUMBER($D1909))),"",IF(AND($E1909&lt;$D$2,$G1909&lt;&gt;"X",$F1909&lt;&gt;"Réalisé",$F1909&lt;&gt;"Clôturé"),"RETARD",""))</f>
        <v/>
      </c>
      <c r="J1909" s="29">
        <f>IF($B1909="","",IF(INDEX(Dossiers!$F$4:$F$63,36)="","",INDEX(Dossiers!$F$4:$F$63,36)))</f>
        <v/>
      </c>
      <c r="K1909" s="29">
        <f>IF($B1909="","",IF(INDEX(Dossiers!$G$4:$G$63,36)="","",INDEX(Dossiers!$G$4:$G$63,36)))</f>
        <v/>
      </c>
    </row>
    <row r="1910">
      <c r="A1910">
        <f>IF($B1910="","",INDEX(Dossiers!$E$4:$E$63,36))</f>
        <v/>
      </c>
      <c r="B1910">
        <f>IF(INDEX(Suivi!$B:$B,1946)="","",INDEX(Suivi!$B:$B,1946))</f>
        <v/>
      </c>
      <c r="C1910">
        <f>IF($B1910="","",IF(INDEX(Suivi!$D:$D,1946)="",INDEX(Suivi!$C:$C,1946),INDEX(Suivi!$D:$D,1946)))</f>
        <v/>
      </c>
      <c r="D1910" s="29">
        <f>IF($B1910="","",INDEX(Suivi!$E:$E,1946))</f>
        <v/>
      </c>
      <c r="E1910" s="29">
        <f>IF($B1910="","",INDEX(Suivi!$F:$F,1946))</f>
        <v/>
      </c>
      <c r="F1910">
        <f>IF($B1910="","",INDEX(Suivi!$G:$G,1946))</f>
        <v/>
      </c>
      <c r="H1910">
        <f>IF(OR($B1910="",NOT(ISNUMBER($D1910))),"",IF($E1910&lt;$D$2,"Passé",IF($D1910&gt;$F$2,"À venir","Dans la période")))</f>
        <v/>
      </c>
      <c r="I1910">
        <f>IF(OR($B1910="",NOT(ISNUMBER($D1910))),"",IF(AND($E1910&lt;$D$2,$G1910&lt;&gt;"X",$F1910&lt;&gt;"Réalisé",$F1910&lt;&gt;"Clôturé"),"RETARD",""))</f>
        <v/>
      </c>
      <c r="J1910" s="29">
        <f>IF($B1910="","",IF(INDEX(Dossiers!$F$4:$F$63,36)="","",INDEX(Dossiers!$F$4:$F$63,36)))</f>
        <v/>
      </c>
      <c r="K1910" s="29">
        <f>IF($B1910="","",IF(INDEX(Dossiers!$G$4:$G$63,36)="","",INDEX(Dossiers!$G$4:$G$63,36)))</f>
        <v/>
      </c>
    </row>
    <row r="1911">
      <c r="A1911">
        <f>IF($B1911="","",INDEX(Dossiers!$E$4:$E$63,36))</f>
        <v/>
      </c>
      <c r="B1911">
        <f>IF(INDEX(Suivi!$B:$B,1947)="","",INDEX(Suivi!$B:$B,1947))</f>
        <v/>
      </c>
      <c r="C1911">
        <f>IF($B1911="","",IF(INDEX(Suivi!$D:$D,1947)="",INDEX(Suivi!$C:$C,1947),INDEX(Suivi!$D:$D,1947)))</f>
        <v/>
      </c>
      <c r="D1911" s="29">
        <f>IF($B1911="","",INDEX(Suivi!$E:$E,1947))</f>
        <v/>
      </c>
      <c r="E1911" s="29">
        <f>IF($B1911="","",INDEX(Suivi!$F:$F,1947))</f>
        <v/>
      </c>
      <c r="F1911">
        <f>IF($B1911="","",INDEX(Suivi!$G:$G,1947))</f>
        <v/>
      </c>
      <c r="H1911">
        <f>IF(OR($B1911="",NOT(ISNUMBER($D1911))),"",IF($E1911&lt;$D$2,"Passé",IF($D1911&gt;$F$2,"À venir","Dans la période")))</f>
        <v/>
      </c>
      <c r="I1911">
        <f>IF(OR($B1911="",NOT(ISNUMBER($D1911))),"",IF(AND($E1911&lt;$D$2,$G1911&lt;&gt;"X",$F1911&lt;&gt;"Réalisé",$F1911&lt;&gt;"Clôturé"),"RETARD",""))</f>
        <v/>
      </c>
      <c r="J1911" s="29">
        <f>IF($B1911="","",IF(INDEX(Dossiers!$F$4:$F$63,36)="","",INDEX(Dossiers!$F$4:$F$63,36)))</f>
        <v/>
      </c>
      <c r="K1911" s="29">
        <f>IF($B1911="","",IF(INDEX(Dossiers!$G$4:$G$63,36)="","",INDEX(Dossiers!$G$4:$G$63,36)))</f>
        <v/>
      </c>
    </row>
    <row r="1912">
      <c r="A1912">
        <f>IF($B1912="","",INDEX(Dossiers!$E$4:$E$63,37))</f>
        <v/>
      </c>
      <c r="B1912">
        <f>IF(INDEX(Suivi!$B:$B,1949)="","",INDEX(Suivi!$B:$B,1949))</f>
        <v/>
      </c>
      <c r="C1912">
        <f>IF($B1912="","",IF(INDEX(Suivi!$D:$D,1949)="",INDEX(Suivi!$C:$C,1949),INDEX(Suivi!$D:$D,1949)))</f>
        <v/>
      </c>
      <c r="D1912" s="29">
        <f>IF($B1912="","",INDEX(Suivi!$E:$E,1949))</f>
        <v/>
      </c>
      <c r="E1912" s="29">
        <f>IF($B1912="","",INDEX(Suivi!$F:$F,1949))</f>
        <v/>
      </c>
      <c r="F1912">
        <f>IF($B1912="","",INDEX(Suivi!$G:$G,1949))</f>
        <v/>
      </c>
      <c r="H1912">
        <f>IF(OR($B1912="",NOT(ISNUMBER($D1912))),"",IF($E1912&lt;$D$2,"Passé",IF($D1912&gt;$F$2,"À venir","Dans la période")))</f>
        <v/>
      </c>
      <c r="I1912">
        <f>IF(OR($B1912="",NOT(ISNUMBER($D1912))),"",IF(AND($E1912&lt;$D$2,$G1912&lt;&gt;"X",$F1912&lt;&gt;"Réalisé",$F1912&lt;&gt;"Clôturé"),"RETARD",""))</f>
        <v/>
      </c>
      <c r="J1912" s="29">
        <f>IF($B1912="","",IF(INDEX(Dossiers!$F$4:$F$63,37)="","",INDEX(Dossiers!$F$4:$F$63,37)))</f>
        <v/>
      </c>
      <c r="K1912" s="29">
        <f>IF($B1912="","",IF(INDEX(Dossiers!$G$4:$G$63,37)="","",INDEX(Dossiers!$G$4:$G$63,37)))</f>
        <v/>
      </c>
    </row>
    <row r="1913">
      <c r="A1913">
        <f>IF($B1913="","",INDEX(Dossiers!$E$4:$E$63,37))</f>
        <v/>
      </c>
      <c r="B1913">
        <f>IF(INDEX(Suivi!$B:$B,1950)="","",INDEX(Suivi!$B:$B,1950))</f>
        <v/>
      </c>
      <c r="C1913">
        <f>IF($B1913="","",IF(INDEX(Suivi!$D:$D,1950)="",INDEX(Suivi!$C:$C,1950),INDEX(Suivi!$D:$D,1950)))</f>
        <v/>
      </c>
      <c r="D1913" s="29">
        <f>IF($B1913="","",INDEX(Suivi!$E:$E,1950))</f>
        <v/>
      </c>
      <c r="E1913" s="29">
        <f>IF($B1913="","",INDEX(Suivi!$F:$F,1950))</f>
        <v/>
      </c>
      <c r="F1913">
        <f>IF($B1913="","",INDEX(Suivi!$G:$G,1950))</f>
        <v/>
      </c>
      <c r="H1913">
        <f>IF(OR($B1913="",NOT(ISNUMBER($D1913))),"",IF($E1913&lt;$D$2,"Passé",IF($D1913&gt;$F$2,"À venir","Dans la période")))</f>
        <v/>
      </c>
      <c r="I1913">
        <f>IF(OR($B1913="",NOT(ISNUMBER($D1913))),"",IF(AND($E1913&lt;$D$2,$G1913&lt;&gt;"X",$F1913&lt;&gt;"Réalisé",$F1913&lt;&gt;"Clôturé"),"RETARD",""))</f>
        <v/>
      </c>
      <c r="J1913" s="29">
        <f>IF($B1913="","",IF(INDEX(Dossiers!$F$4:$F$63,37)="","",INDEX(Dossiers!$F$4:$F$63,37)))</f>
        <v/>
      </c>
      <c r="K1913" s="29">
        <f>IF($B1913="","",IF(INDEX(Dossiers!$G$4:$G$63,37)="","",INDEX(Dossiers!$G$4:$G$63,37)))</f>
        <v/>
      </c>
    </row>
    <row r="1914">
      <c r="A1914">
        <f>IF($B1914="","",INDEX(Dossiers!$E$4:$E$63,37))</f>
        <v/>
      </c>
      <c r="B1914">
        <f>IF(INDEX(Suivi!$B:$B,1951)="","",INDEX(Suivi!$B:$B,1951))</f>
        <v/>
      </c>
      <c r="C1914">
        <f>IF($B1914="","",IF(INDEX(Suivi!$D:$D,1951)="",INDEX(Suivi!$C:$C,1951),INDEX(Suivi!$D:$D,1951)))</f>
        <v/>
      </c>
      <c r="D1914" s="29">
        <f>IF($B1914="","",INDEX(Suivi!$E:$E,1951))</f>
        <v/>
      </c>
      <c r="E1914" s="29">
        <f>IF($B1914="","",INDEX(Suivi!$F:$F,1951))</f>
        <v/>
      </c>
      <c r="F1914">
        <f>IF($B1914="","",INDEX(Suivi!$G:$G,1951))</f>
        <v/>
      </c>
      <c r="H1914">
        <f>IF(OR($B1914="",NOT(ISNUMBER($D1914))),"",IF($E1914&lt;$D$2,"Passé",IF($D1914&gt;$F$2,"À venir","Dans la période")))</f>
        <v/>
      </c>
      <c r="I1914">
        <f>IF(OR($B1914="",NOT(ISNUMBER($D1914))),"",IF(AND($E1914&lt;$D$2,$G1914&lt;&gt;"X",$F1914&lt;&gt;"Réalisé",$F1914&lt;&gt;"Clôturé"),"RETARD",""))</f>
        <v/>
      </c>
      <c r="J1914" s="29">
        <f>IF($B1914="","",IF(INDEX(Dossiers!$F$4:$F$63,37)="","",INDEX(Dossiers!$F$4:$F$63,37)))</f>
        <v/>
      </c>
      <c r="K1914" s="29">
        <f>IF($B1914="","",IF(INDEX(Dossiers!$G$4:$G$63,37)="","",INDEX(Dossiers!$G$4:$G$63,37)))</f>
        <v/>
      </c>
    </row>
    <row r="1915">
      <c r="A1915">
        <f>IF($B1915="","",INDEX(Dossiers!$E$4:$E$63,37))</f>
        <v/>
      </c>
      <c r="B1915">
        <f>IF(INDEX(Suivi!$B:$B,1952)="","",INDEX(Suivi!$B:$B,1952))</f>
        <v/>
      </c>
      <c r="C1915">
        <f>IF($B1915="","",IF(INDEX(Suivi!$D:$D,1952)="",INDEX(Suivi!$C:$C,1952),INDEX(Suivi!$D:$D,1952)))</f>
        <v/>
      </c>
      <c r="D1915" s="29">
        <f>IF($B1915="","",INDEX(Suivi!$E:$E,1952))</f>
        <v/>
      </c>
      <c r="E1915" s="29">
        <f>IF($B1915="","",INDEX(Suivi!$F:$F,1952))</f>
        <v/>
      </c>
      <c r="F1915">
        <f>IF($B1915="","",INDEX(Suivi!$G:$G,1952))</f>
        <v/>
      </c>
      <c r="H1915">
        <f>IF(OR($B1915="",NOT(ISNUMBER($D1915))),"",IF($E1915&lt;$D$2,"Passé",IF($D1915&gt;$F$2,"À venir","Dans la période")))</f>
        <v/>
      </c>
      <c r="I1915">
        <f>IF(OR($B1915="",NOT(ISNUMBER($D1915))),"",IF(AND($E1915&lt;$D$2,$G1915&lt;&gt;"X",$F1915&lt;&gt;"Réalisé",$F1915&lt;&gt;"Clôturé"),"RETARD",""))</f>
        <v/>
      </c>
      <c r="J1915" s="29">
        <f>IF($B1915="","",IF(INDEX(Dossiers!$F$4:$F$63,37)="","",INDEX(Dossiers!$F$4:$F$63,37)))</f>
        <v/>
      </c>
      <c r="K1915" s="29">
        <f>IF($B1915="","",IF(INDEX(Dossiers!$G$4:$G$63,37)="","",INDEX(Dossiers!$G$4:$G$63,37)))</f>
        <v/>
      </c>
    </row>
    <row r="1916">
      <c r="A1916">
        <f>IF($B1916="","",INDEX(Dossiers!$E$4:$E$63,37))</f>
        <v/>
      </c>
      <c r="B1916">
        <f>IF(INDEX(Suivi!$B:$B,1953)="","",INDEX(Suivi!$B:$B,1953))</f>
        <v/>
      </c>
      <c r="C1916">
        <f>IF($B1916="","",IF(INDEX(Suivi!$D:$D,1953)="",INDEX(Suivi!$C:$C,1953),INDEX(Suivi!$D:$D,1953)))</f>
        <v/>
      </c>
      <c r="D1916" s="29">
        <f>IF($B1916="","",INDEX(Suivi!$E:$E,1953))</f>
        <v/>
      </c>
      <c r="E1916" s="29">
        <f>IF($B1916="","",INDEX(Suivi!$F:$F,1953))</f>
        <v/>
      </c>
      <c r="F1916">
        <f>IF($B1916="","",INDEX(Suivi!$G:$G,1953))</f>
        <v/>
      </c>
      <c r="H1916">
        <f>IF(OR($B1916="",NOT(ISNUMBER($D1916))),"",IF($E1916&lt;$D$2,"Passé",IF($D1916&gt;$F$2,"À venir","Dans la période")))</f>
        <v/>
      </c>
      <c r="I1916">
        <f>IF(OR($B1916="",NOT(ISNUMBER($D1916))),"",IF(AND($E1916&lt;$D$2,$G1916&lt;&gt;"X",$F1916&lt;&gt;"Réalisé",$F1916&lt;&gt;"Clôturé"),"RETARD",""))</f>
        <v/>
      </c>
      <c r="J1916" s="29">
        <f>IF($B1916="","",IF(INDEX(Dossiers!$F$4:$F$63,37)="","",INDEX(Dossiers!$F$4:$F$63,37)))</f>
        <v/>
      </c>
      <c r="K1916" s="29">
        <f>IF($B1916="","",IF(INDEX(Dossiers!$G$4:$G$63,37)="","",INDEX(Dossiers!$G$4:$G$63,37)))</f>
        <v/>
      </c>
    </row>
    <row r="1917">
      <c r="A1917">
        <f>IF($B1917="","",INDEX(Dossiers!$E$4:$E$63,37))</f>
        <v/>
      </c>
      <c r="B1917">
        <f>IF(INDEX(Suivi!$B:$B,1954)="","",INDEX(Suivi!$B:$B,1954))</f>
        <v/>
      </c>
      <c r="C1917">
        <f>IF($B1917="","",IF(INDEX(Suivi!$D:$D,1954)="",INDEX(Suivi!$C:$C,1954),INDEX(Suivi!$D:$D,1954)))</f>
        <v/>
      </c>
      <c r="D1917" s="29">
        <f>IF($B1917="","",INDEX(Suivi!$E:$E,1954))</f>
        <v/>
      </c>
      <c r="E1917" s="29">
        <f>IF($B1917="","",INDEX(Suivi!$F:$F,1954))</f>
        <v/>
      </c>
      <c r="F1917">
        <f>IF($B1917="","",INDEX(Suivi!$G:$G,1954))</f>
        <v/>
      </c>
      <c r="H1917">
        <f>IF(OR($B1917="",NOT(ISNUMBER($D1917))),"",IF($E1917&lt;$D$2,"Passé",IF($D1917&gt;$F$2,"À venir","Dans la période")))</f>
        <v/>
      </c>
      <c r="I1917">
        <f>IF(OR($B1917="",NOT(ISNUMBER($D1917))),"",IF(AND($E1917&lt;$D$2,$G1917&lt;&gt;"X",$F1917&lt;&gt;"Réalisé",$F1917&lt;&gt;"Clôturé"),"RETARD",""))</f>
        <v/>
      </c>
      <c r="J1917" s="29">
        <f>IF($B1917="","",IF(INDEX(Dossiers!$F$4:$F$63,37)="","",INDEX(Dossiers!$F$4:$F$63,37)))</f>
        <v/>
      </c>
      <c r="K1917" s="29">
        <f>IF($B1917="","",IF(INDEX(Dossiers!$G$4:$G$63,37)="","",INDEX(Dossiers!$G$4:$G$63,37)))</f>
        <v/>
      </c>
    </row>
    <row r="1918">
      <c r="A1918">
        <f>IF($B1918="","",INDEX(Dossiers!$E$4:$E$63,37))</f>
        <v/>
      </c>
      <c r="B1918">
        <f>IF(INDEX(Suivi!$B:$B,1955)="","",INDEX(Suivi!$B:$B,1955))</f>
        <v/>
      </c>
      <c r="C1918">
        <f>IF($B1918="","",IF(INDEX(Suivi!$D:$D,1955)="",INDEX(Suivi!$C:$C,1955),INDEX(Suivi!$D:$D,1955)))</f>
        <v/>
      </c>
      <c r="D1918" s="29">
        <f>IF($B1918="","",INDEX(Suivi!$E:$E,1955))</f>
        <v/>
      </c>
      <c r="E1918" s="29">
        <f>IF($B1918="","",INDEX(Suivi!$F:$F,1955))</f>
        <v/>
      </c>
      <c r="F1918">
        <f>IF($B1918="","",INDEX(Suivi!$G:$G,1955))</f>
        <v/>
      </c>
      <c r="H1918">
        <f>IF(OR($B1918="",NOT(ISNUMBER($D1918))),"",IF($E1918&lt;$D$2,"Passé",IF($D1918&gt;$F$2,"À venir","Dans la période")))</f>
        <v/>
      </c>
      <c r="I1918">
        <f>IF(OR($B1918="",NOT(ISNUMBER($D1918))),"",IF(AND($E1918&lt;$D$2,$G1918&lt;&gt;"X",$F1918&lt;&gt;"Réalisé",$F1918&lt;&gt;"Clôturé"),"RETARD",""))</f>
        <v/>
      </c>
      <c r="J1918" s="29">
        <f>IF($B1918="","",IF(INDEX(Dossiers!$F$4:$F$63,37)="","",INDEX(Dossiers!$F$4:$F$63,37)))</f>
        <v/>
      </c>
      <c r="K1918" s="29">
        <f>IF($B1918="","",IF(INDEX(Dossiers!$G$4:$G$63,37)="","",INDEX(Dossiers!$G$4:$G$63,37)))</f>
        <v/>
      </c>
    </row>
    <row r="1919">
      <c r="A1919">
        <f>IF($B1919="","",INDEX(Dossiers!$E$4:$E$63,37))</f>
        <v/>
      </c>
      <c r="B1919">
        <f>IF(INDEX(Suivi!$B:$B,1956)="","",INDEX(Suivi!$B:$B,1956))</f>
        <v/>
      </c>
      <c r="C1919">
        <f>IF($B1919="","",IF(INDEX(Suivi!$D:$D,1956)="",INDEX(Suivi!$C:$C,1956),INDEX(Suivi!$D:$D,1956)))</f>
        <v/>
      </c>
      <c r="D1919" s="29">
        <f>IF($B1919="","",INDEX(Suivi!$E:$E,1956))</f>
        <v/>
      </c>
      <c r="E1919" s="29">
        <f>IF($B1919="","",INDEX(Suivi!$F:$F,1956))</f>
        <v/>
      </c>
      <c r="F1919">
        <f>IF($B1919="","",INDEX(Suivi!$G:$G,1956))</f>
        <v/>
      </c>
      <c r="H1919">
        <f>IF(OR($B1919="",NOT(ISNUMBER($D1919))),"",IF($E1919&lt;$D$2,"Passé",IF($D1919&gt;$F$2,"À venir","Dans la période")))</f>
        <v/>
      </c>
      <c r="I1919">
        <f>IF(OR($B1919="",NOT(ISNUMBER($D1919))),"",IF(AND($E1919&lt;$D$2,$G1919&lt;&gt;"X",$F1919&lt;&gt;"Réalisé",$F1919&lt;&gt;"Clôturé"),"RETARD",""))</f>
        <v/>
      </c>
      <c r="J1919" s="29">
        <f>IF($B1919="","",IF(INDEX(Dossiers!$F$4:$F$63,37)="","",INDEX(Dossiers!$F$4:$F$63,37)))</f>
        <v/>
      </c>
      <c r="K1919" s="29">
        <f>IF($B1919="","",IF(INDEX(Dossiers!$G$4:$G$63,37)="","",INDEX(Dossiers!$G$4:$G$63,37)))</f>
        <v/>
      </c>
    </row>
    <row r="1920">
      <c r="A1920">
        <f>IF($B1920="","",INDEX(Dossiers!$E$4:$E$63,37))</f>
        <v/>
      </c>
      <c r="B1920">
        <f>IF(INDEX(Suivi!$B:$B,1957)="","",INDEX(Suivi!$B:$B,1957))</f>
        <v/>
      </c>
      <c r="C1920">
        <f>IF($B1920="","",IF(INDEX(Suivi!$D:$D,1957)="",INDEX(Suivi!$C:$C,1957),INDEX(Suivi!$D:$D,1957)))</f>
        <v/>
      </c>
      <c r="D1920" s="29">
        <f>IF($B1920="","",INDEX(Suivi!$E:$E,1957))</f>
        <v/>
      </c>
      <c r="E1920" s="29">
        <f>IF($B1920="","",INDEX(Suivi!$F:$F,1957))</f>
        <v/>
      </c>
      <c r="F1920">
        <f>IF($B1920="","",INDEX(Suivi!$G:$G,1957))</f>
        <v/>
      </c>
      <c r="H1920">
        <f>IF(OR($B1920="",NOT(ISNUMBER($D1920))),"",IF($E1920&lt;$D$2,"Passé",IF($D1920&gt;$F$2,"À venir","Dans la période")))</f>
        <v/>
      </c>
      <c r="I1920">
        <f>IF(OR($B1920="",NOT(ISNUMBER($D1920))),"",IF(AND($E1920&lt;$D$2,$G1920&lt;&gt;"X",$F1920&lt;&gt;"Réalisé",$F1920&lt;&gt;"Clôturé"),"RETARD",""))</f>
        <v/>
      </c>
      <c r="J1920" s="29">
        <f>IF($B1920="","",IF(INDEX(Dossiers!$F$4:$F$63,37)="","",INDEX(Dossiers!$F$4:$F$63,37)))</f>
        <v/>
      </c>
      <c r="K1920" s="29">
        <f>IF($B1920="","",IF(INDEX(Dossiers!$G$4:$G$63,37)="","",INDEX(Dossiers!$G$4:$G$63,37)))</f>
        <v/>
      </c>
    </row>
    <row r="1921">
      <c r="A1921">
        <f>IF($B1921="","",INDEX(Dossiers!$E$4:$E$63,37))</f>
        <v/>
      </c>
      <c r="B1921">
        <f>IF(INDEX(Suivi!$B:$B,1958)="","",INDEX(Suivi!$B:$B,1958))</f>
        <v/>
      </c>
      <c r="C1921">
        <f>IF($B1921="","",IF(INDEX(Suivi!$D:$D,1958)="",INDEX(Suivi!$C:$C,1958),INDEX(Suivi!$D:$D,1958)))</f>
        <v/>
      </c>
      <c r="D1921" s="29">
        <f>IF($B1921="","",INDEX(Suivi!$E:$E,1958))</f>
        <v/>
      </c>
      <c r="E1921" s="29">
        <f>IF($B1921="","",INDEX(Suivi!$F:$F,1958))</f>
        <v/>
      </c>
      <c r="F1921">
        <f>IF($B1921="","",INDEX(Suivi!$G:$G,1958))</f>
        <v/>
      </c>
      <c r="H1921">
        <f>IF(OR($B1921="",NOT(ISNUMBER($D1921))),"",IF($E1921&lt;$D$2,"Passé",IF($D1921&gt;$F$2,"À venir","Dans la période")))</f>
        <v/>
      </c>
      <c r="I1921">
        <f>IF(OR($B1921="",NOT(ISNUMBER($D1921))),"",IF(AND($E1921&lt;$D$2,$G1921&lt;&gt;"X",$F1921&lt;&gt;"Réalisé",$F1921&lt;&gt;"Clôturé"),"RETARD",""))</f>
        <v/>
      </c>
      <c r="J1921" s="29">
        <f>IF($B1921="","",IF(INDEX(Dossiers!$F$4:$F$63,37)="","",INDEX(Dossiers!$F$4:$F$63,37)))</f>
        <v/>
      </c>
      <c r="K1921" s="29">
        <f>IF($B1921="","",IF(INDEX(Dossiers!$G$4:$G$63,37)="","",INDEX(Dossiers!$G$4:$G$63,37)))</f>
        <v/>
      </c>
    </row>
    <row r="1922">
      <c r="A1922">
        <f>IF($B1922="","",INDEX(Dossiers!$E$4:$E$63,37))</f>
        <v/>
      </c>
      <c r="B1922">
        <f>IF(INDEX(Suivi!$B:$B,1959)="","",INDEX(Suivi!$B:$B,1959))</f>
        <v/>
      </c>
      <c r="C1922">
        <f>IF($B1922="","",IF(INDEX(Suivi!$D:$D,1959)="",INDEX(Suivi!$C:$C,1959),INDEX(Suivi!$D:$D,1959)))</f>
        <v/>
      </c>
      <c r="D1922" s="29">
        <f>IF($B1922="","",INDEX(Suivi!$E:$E,1959))</f>
        <v/>
      </c>
      <c r="E1922" s="29">
        <f>IF($B1922="","",INDEX(Suivi!$F:$F,1959))</f>
        <v/>
      </c>
      <c r="F1922">
        <f>IF($B1922="","",INDEX(Suivi!$G:$G,1959))</f>
        <v/>
      </c>
      <c r="H1922">
        <f>IF(OR($B1922="",NOT(ISNUMBER($D1922))),"",IF($E1922&lt;$D$2,"Passé",IF($D1922&gt;$F$2,"À venir","Dans la période")))</f>
        <v/>
      </c>
      <c r="I1922">
        <f>IF(OR($B1922="",NOT(ISNUMBER($D1922))),"",IF(AND($E1922&lt;$D$2,$G1922&lt;&gt;"X",$F1922&lt;&gt;"Réalisé",$F1922&lt;&gt;"Clôturé"),"RETARD",""))</f>
        <v/>
      </c>
      <c r="J1922" s="29">
        <f>IF($B1922="","",IF(INDEX(Dossiers!$F$4:$F$63,37)="","",INDEX(Dossiers!$F$4:$F$63,37)))</f>
        <v/>
      </c>
      <c r="K1922" s="29">
        <f>IF($B1922="","",IF(INDEX(Dossiers!$G$4:$G$63,37)="","",INDEX(Dossiers!$G$4:$G$63,37)))</f>
        <v/>
      </c>
    </row>
    <row r="1923">
      <c r="A1923">
        <f>IF($B1923="","",INDEX(Dossiers!$E$4:$E$63,37))</f>
        <v/>
      </c>
      <c r="B1923">
        <f>IF(INDEX(Suivi!$B:$B,1960)="","",INDEX(Suivi!$B:$B,1960))</f>
        <v/>
      </c>
      <c r="C1923">
        <f>IF($B1923="","",IF(INDEX(Suivi!$D:$D,1960)="",INDEX(Suivi!$C:$C,1960),INDEX(Suivi!$D:$D,1960)))</f>
        <v/>
      </c>
      <c r="D1923" s="29">
        <f>IF($B1923="","",INDEX(Suivi!$E:$E,1960))</f>
        <v/>
      </c>
      <c r="E1923" s="29">
        <f>IF($B1923="","",INDEX(Suivi!$F:$F,1960))</f>
        <v/>
      </c>
      <c r="F1923">
        <f>IF($B1923="","",INDEX(Suivi!$G:$G,1960))</f>
        <v/>
      </c>
      <c r="H1923">
        <f>IF(OR($B1923="",NOT(ISNUMBER($D1923))),"",IF($E1923&lt;$D$2,"Passé",IF($D1923&gt;$F$2,"À venir","Dans la période")))</f>
        <v/>
      </c>
      <c r="I1923">
        <f>IF(OR($B1923="",NOT(ISNUMBER($D1923))),"",IF(AND($E1923&lt;$D$2,$G1923&lt;&gt;"X",$F1923&lt;&gt;"Réalisé",$F1923&lt;&gt;"Clôturé"),"RETARD",""))</f>
        <v/>
      </c>
      <c r="J1923" s="29">
        <f>IF($B1923="","",IF(INDEX(Dossiers!$F$4:$F$63,37)="","",INDEX(Dossiers!$F$4:$F$63,37)))</f>
        <v/>
      </c>
      <c r="K1923" s="29">
        <f>IF($B1923="","",IF(INDEX(Dossiers!$G$4:$G$63,37)="","",INDEX(Dossiers!$G$4:$G$63,37)))</f>
        <v/>
      </c>
    </row>
    <row r="1924">
      <c r="A1924">
        <f>IF($B1924="","",INDEX(Dossiers!$E$4:$E$63,37))</f>
        <v/>
      </c>
      <c r="B1924">
        <f>IF(INDEX(Suivi!$B:$B,1961)="","",INDEX(Suivi!$B:$B,1961))</f>
        <v/>
      </c>
      <c r="C1924">
        <f>IF($B1924="","",IF(INDEX(Suivi!$D:$D,1961)="",INDEX(Suivi!$C:$C,1961),INDEX(Suivi!$D:$D,1961)))</f>
        <v/>
      </c>
      <c r="D1924" s="29">
        <f>IF($B1924="","",INDEX(Suivi!$E:$E,1961))</f>
        <v/>
      </c>
      <c r="E1924" s="29">
        <f>IF($B1924="","",INDEX(Suivi!$F:$F,1961))</f>
        <v/>
      </c>
      <c r="F1924">
        <f>IF($B1924="","",INDEX(Suivi!$G:$G,1961))</f>
        <v/>
      </c>
      <c r="H1924">
        <f>IF(OR($B1924="",NOT(ISNUMBER($D1924))),"",IF($E1924&lt;$D$2,"Passé",IF($D1924&gt;$F$2,"À venir","Dans la période")))</f>
        <v/>
      </c>
      <c r="I1924">
        <f>IF(OR($B1924="",NOT(ISNUMBER($D1924))),"",IF(AND($E1924&lt;$D$2,$G1924&lt;&gt;"X",$F1924&lt;&gt;"Réalisé",$F1924&lt;&gt;"Clôturé"),"RETARD",""))</f>
        <v/>
      </c>
      <c r="J1924" s="29">
        <f>IF($B1924="","",IF(INDEX(Dossiers!$F$4:$F$63,37)="","",INDEX(Dossiers!$F$4:$F$63,37)))</f>
        <v/>
      </c>
      <c r="K1924" s="29">
        <f>IF($B1924="","",IF(INDEX(Dossiers!$G$4:$G$63,37)="","",INDEX(Dossiers!$G$4:$G$63,37)))</f>
        <v/>
      </c>
    </row>
    <row r="1925">
      <c r="A1925">
        <f>IF($B1925="","",INDEX(Dossiers!$E$4:$E$63,37))</f>
        <v/>
      </c>
      <c r="B1925">
        <f>IF(INDEX(Suivi!$B:$B,1962)="","",INDEX(Suivi!$B:$B,1962))</f>
        <v/>
      </c>
      <c r="C1925">
        <f>IF($B1925="","",IF(INDEX(Suivi!$D:$D,1962)="",INDEX(Suivi!$C:$C,1962),INDEX(Suivi!$D:$D,1962)))</f>
        <v/>
      </c>
      <c r="D1925" s="29">
        <f>IF($B1925="","",INDEX(Suivi!$E:$E,1962))</f>
        <v/>
      </c>
      <c r="E1925" s="29">
        <f>IF($B1925="","",INDEX(Suivi!$F:$F,1962))</f>
        <v/>
      </c>
      <c r="F1925">
        <f>IF($B1925="","",INDEX(Suivi!$G:$G,1962))</f>
        <v/>
      </c>
      <c r="H1925">
        <f>IF(OR($B1925="",NOT(ISNUMBER($D1925))),"",IF($E1925&lt;$D$2,"Passé",IF($D1925&gt;$F$2,"À venir","Dans la période")))</f>
        <v/>
      </c>
      <c r="I1925">
        <f>IF(OR($B1925="",NOT(ISNUMBER($D1925))),"",IF(AND($E1925&lt;$D$2,$G1925&lt;&gt;"X",$F1925&lt;&gt;"Réalisé",$F1925&lt;&gt;"Clôturé"),"RETARD",""))</f>
        <v/>
      </c>
      <c r="J1925" s="29">
        <f>IF($B1925="","",IF(INDEX(Dossiers!$F$4:$F$63,37)="","",INDEX(Dossiers!$F$4:$F$63,37)))</f>
        <v/>
      </c>
      <c r="K1925" s="29">
        <f>IF($B1925="","",IF(INDEX(Dossiers!$G$4:$G$63,37)="","",INDEX(Dossiers!$G$4:$G$63,37)))</f>
        <v/>
      </c>
    </row>
    <row r="1926">
      <c r="A1926">
        <f>IF($B1926="","",INDEX(Dossiers!$E$4:$E$63,37))</f>
        <v/>
      </c>
      <c r="B1926">
        <f>IF(INDEX(Suivi!$B:$B,1963)="","",INDEX(Suivi!$B:$B,1963))</f>
        <v/>
      </c>
      <c r="C1926">
        <f>IF($B1926="","",IF(INDEX(Suivi!$D:$D,1963)="",INDEX(Suivi!$C:$C,1963),INDEX(Suivi!$D:$D,1963)))</f>
        <v/>
      </c>
      <c r="D1926" s="29">
        <f>IF($B1926="","",INDEX(Suivi!$E:$E,1963))</f>
        <v/>
      </c>
      <c r="E1926" s="29">
        <f>IF($B1926="","",INDEX(Suivi!$F:$F,1963))</f>
        <v/>
      </c>
      <c r="F1926">
        <f>IF($B1926="","",INDEX(Suivi!$G:$G,1963))</f>
        <v/>
      </c>
      <c r="H1926">
        <f>IF(OR($B1926="",NOT(ISNUMBER($D1926))),"",IF($E1926&lt;$D$2,"Passé",IF($D1926&gt;$F$2,"À venir","Dans la période")))</f>
        <v/>
      </c>
      <c r="I1926">
        <f>IF(OR($B1926="",NOT(ISNUMBER($D1926))),"",IF(AND($E1926&lt;$D$2,$G1926&lt;&gt;"X",$F1926&lt;&gt;"Réalisé",$F1926&lt;&gt;"Clôturé"),"RETARD",""))</f>
        <v/>
      </c>
      <c r="J1926" s="29">
        <f>IF($B1926="","",IF(INDEX(Dossiers!$F$4:$F$63,37)="","",INDEX(Dossiers!$F$4:$F$63,37)))</f>
        <v/>
      </c>
      <c r="K1926" s="29">
        <f>IF($B1926="","",IF(INDEX(Dossiers!$G$4:$G$63,37)="","",INDEX(Dossiers!$G$4:$G$63,37)))</f>
        <v/>
      </c>
    </row>
    <row r="1927">
      <c r="A1927">
        <f>IF($B1927="","",INDEX(Dossiers!$E$4:$E$63,37))</f>
        <v/>
      </c>
      <c r="B1927">
        <f>IF(INDEX(Suivi!$B:$B,1964)="","",INDEX(Suivi!$B:$B,1964))</f>
        <v/>
      </c>
      <c r="C1927">
        <f>IF($B1927="","",IF(INDEX(Suivi!$D:$D,1964)="",INDEX(Suivi!$C:$C,1964),INDEX(Suivi!$D:$D,1964)))</f>
        <v/>
      </c>
      <c r="D1927" s="29">
        <f>IF($B1927="","",INDEX(Suivi!$E:$E,1964))</f>
        <v/>
      </c>
      <c r="E1927" s="29">
        <f>IF($B1927="","",INDEX(Suivi!$F:$F,1964))</f>
        <v/>
      </c>
      <c r="F1927">
        <f>IF($B1927="","",INDEX(Suivi!$G:$G,1964))</f>
        <v/>
      </c>
      <c r="H1927">
        <f>IF(OR($B1927="",NOT(ISNUMBER($D1927))),"",IF($E1927&lt;$D$2,"Passé",IF($D1927&gt;$F$2,"À venir","Dans la période")))</f>
        <v/>
      </c>
      <c r="I1927">
        <f>IF(OR($B1927="",NOT(ISNUMBER($D1927))),"",IF(AND($E1927&lt;$D$2,$G1927&lt;&gt;"X",$F1927&lt;&gt;"Réalisé",$F1927&lt;&gt;"Clôturé"),"RETARD",""))</f>
        <v/>
      </c>
      <c r="J1927" s="29">
        <f>IF($B1927="","",IF(INDEX(Dossiers!$F$4:$F$63,37)="","",INDEX(Dossiers!$F$4:$F$63,37)))</f>
        <v/>
      </c>
      <c r="K1927" s="29">
        <f>IF($B1927="","",IF(INDEX(Dossiers!$G$4:$G$63,37)="","",INDEX(Dossiers!$G$4:$G$63,37)))</f>
        <v/>
      </c>
    </row>
    <row r="1928">
      <c r="A1928">
        <f>IF($B1928="","",INDEX(Dossiers!$E$4:$E$63,37))</f>
        <v/>
      </c>
      <c r="B1928">
        <f>IF(INDEX(Suivi!$B:$B,1965)="","",INDEX(Suivi!$B:$B,1965))</f>
        <v/>
      </c>
      <c r="C1928">
        <f>IF($B1928="","",IF(INDEX(Suivi!$D:$D,1965)="",INDEX(Suivi!$C:$C,1965),INDEX(Suivi!$D:$D,1965)))</f>
        <v/>
      </c>
      <c r="D1928" s="29">
        <f>IF($B1928="","",INDEX(Suivi!$E:$E,1965))</f>
        <v/>
      </c>
      <c r="E1928" s="29">
        <f>IF($B1928="","",INDEX(Suivi!$F:$F,1965))</f>
        <v/>
      </c>
      <c r="F1928">
        <f>IF($B1928="","",INDEX(Suivi!$G:$G,1965))</f>
        <v/>
      </c>
      <c r="H1928">
        <f>IF(OR($B1928="",NOT(ISNUMBER($D1928))),"",IF($E1928&lt;$D$2,"Passé",IF($D1928&gt;$F$2,"À venir","Dans la période")))</f>
        <v/>
      </c>
      <c r="I1928">
        <f>IF(OR($B1928="",NOT(ISNUMBER($D1928))),"",IF(AND($E1928&lt;$D$2,$G1928&lt;&gt;"X",$F1928&lt;&gt;"Réalisé",$F1928&lt;&gt;"Clôturé"),"RETARD",""))</f>
        <v/>
      </c>
      <c r="J1928" s="29">
        <f>IF($B1928="","",IF(INDEX(Dossiers!$F$4:$F$63,37)="","",INDEX(Dossiers!$F$4:$F$63,37)))</f>
        <v/>
      </c>
      <c r="K1928" s="29">
        <f>IF($B1928="","",IF(INDEX(Dossiers!$G$4:$G$63,37)="","",INDEX(Dossiers!$G$4:$G$63,37)))</f>
        <v/>
      </c>
    </row>
    <row r="1929">
      <c r="A1929">
        <f>IF($B1929="","",INDEX(Dossiers!$E$4:$E$63,37))</f>
        <v/>
      </c>
      <c r="B1929">
        <f>IF(INDEX(Suivi!$B:$B,1966)="","",INDEX(Suivi!$B:$B,1966))</f>
        <v/>
      </c>
      <c r="C1929">
        <f>IF($B1929="","",IF(INDEX(Suivi!$D:$D,1966)="",INDEX(Suivi!$C:$C,1966),INDEX(Suivi!$D:$D,1966)))</f>
        <v/>
      </c>
      <c r="D1929" s="29">
        <f>IF($B1929="","",INDEX(Suivi!$E:$E,1966))</f>
        <v/>
      </c>
      <c r="E1929" s="29">
        <f>IF($B1929="","",INDEX(Suivi!$F:$F,1966))</f>
        <v/>
      </c>
      <c r="F1929">
        <f>IF($B1929="","",INDEX(Suivi!$G:$G,1966))</f>
        <v/>
      </c>
      <c r="H1929">
        <f>IF(OR($B1929="",NOT(ISNUMBER($D1929))),"",IF($E1929&lt;$D$2,"Passé",IF($D1929&gt;$F$2,"À venir","Dans la période")))</f>
        <v/>
      </c>
      <c r="I1929">
        <f>IF(OR($B1929="",NOT(ISNUMBER($D1929))),"",IF(AND($E1929&lt;$D$2,$G1929&lt;&gt;"X",$F1929&lt;&gt;"Réalisé",$F1929&lt;&gt;"Clôturé"),"RETARD",""))</f>
        <v/>
      </c>
      <c r="J1929" s="29">
        <f>IF($B1929="","",IF(INDEX(Dossiers!$F$4:$F$63,37)="","",INDEX(Dossiers!$F$4:$F$63,37)))</f>
        <v/>
      </c>
      <c r="K1929" s="29">
        <f>IF($B1929="","",IF(INDEX(Dossiers!$G$4:$G$63,37)="","",INDEX(Dossiers!$G$4:$G$63,37)))</f>
        <v/>
      </c>
    </row>
    <row r="1930">
      <c r="A1930">
        <f>IF($B1930="","",INDEX(Dossiers!$E$4:$E$63,37))</f>
        <v/>
      </c>
      <c r="B1930">
        <f>IF(INDEX(Suivi!$B:$B,1967)="","",INDEX(Suivi!$B:$B,1967))</f>
        <v/>
      </c>
      <c r="C1930">
        <f>IF($B1930="","",IF(INDEX(Suivi!$D:$D,1967)="",INDEX(Suivi!$C:$C,1967),INDEX(Suivi!$D:$D,1967)))</f>
        <v/>
      </c>
      <c r="D1930" s="29">
        <f>IF($B1930="","",INDEX(Suivi!$E:$E,1967))</f>
        <v/>
      </c>
      <c r="E1930" s="29">
        <f>IF($B1930="","",INDEX(Suivi!$F:$F,1967))</f>
        <v/>
      </c>
      <c r="F1930">
        <f>IF($B1930="","",INDEX(Suivi!$G:$G,1967))</f>
        <v/>
      </c>
      <c r="H1930">
        <f>IF(OR($B1930="",NOT(ISNUMBER($D1930))),"",IF($E1930&lt;$D$2,"Passé",IF($D1930&gt;$F$2,"À venir","Dans la période")))</f>
        <v/>
      </c>
      <c r="I1930">
        <f>IF(OR($B1930="",NOT(ISNUMBER($D1930))),"",IF(AND($E1930&lt;$D$2,$G1930&lt;&gt;"X",$F1930&lt;&gt;"Réalisé",$F1930&lt;&gt;"Clôturé"),"RETARD",""))</f>
        <v/>
      </c>
      <c r="J1930" s="29">
        <f>IF($B1930="","",IF(INDEX(Dossiers!$F$4:$F$63,37)="","",INDEX(Dossiers!$F$4:$F$63,37)))</f>
        <v/>
      </c>
      <c r="K1930" s="29">
        <f>IF($B1930="","",IF(INDEX(Dossiers!$G$4:$G$63,37)="","",INDEX(Dossiers!$G$4:$G$63,37)))</f>
        <v/>
      </c>
    </row>
    <row r="1931">
      <c r="A1931">
        <f>IF($B1931="","",INDEX(Dossiers!$E$4:$E$63,37))</f>
        <v/>
      </c>
      <c r="B1931">
        <f>IF(INDEX(Suivi!$B:$B,1968)="","",INDEX(Suivi!$B:$B,1968))</f>
        <v/>
      </c>
      <c r="C1931">
        <f>IF($B1931="","",IF(INDEX(Suivi!$D:$D,1968)="",INDEX(Suivi!$C:$C,1968),INDEX(Suivi!$D:$D,1968)))</f>
        <v/>
      </c>
      <c r="D1931" s="29">
        <f>IF($B1931="","",INDEX(Suivi!$E:$E,1968))</f>
        <v/>
      </c>
      <c r="E1931" s="29">
        <f>IF($B1931="","",INDEX(Suivi!$F:$F,1968))</f>
        <v/>
      </c>
      <c r="F1931">
        <f>IF($B1931="","",INDEX(Suivi!$G:$G,1968))</f>
        <v/>
      </c>
      <c r="H1931">
        <f>IF(OR($B1931="",NOT(ISNUMBER($D1931))),"",IF($E1931&lt;$D$2,"Passé",IF($D1931&gt;$F$2,"À venir","Dans la période")))</f>
        <v/>
      </c>
      <c r="I1931">
        <f>IF(OR($B1931="",NOT(ISNUMBER($D1931))),"",IF(AND($E1931&lt;$D$2,$G1931&lt;&gt;"X",$F1931&lt;&gt;"Réalisé",$F1931&lt;&gt;"Clôturé"),"RETARD",""))</f>
        <v/>
      </c>
      <c r="J1931" s="29">
        <f>IF($B1931="","",IF(INDEX(Dossiers!$F$4:$F$63,37)="","",INDEX(Dossiers!$F$4:$F$63,37)))</f>
        <v/>
      </c>
      <c r="K1931" s="29">
        <f>IF($B1931="","",IF(INDEX(Dossiers!$G$4:$G$63,37)="","",INDEX(Dossiers!$G$4:$G$63,37)))</f>
        <v/>
      </c>
    </row>
    <row r="1932">
      <c r="A1932">
        <f>IF($B1932="","",INDEX(Dossiers!$E$4:$E$63,37))</f>
        <v/>
      </c>
      <c r="B1932">
        <f>IF(INDEX(Suivi!$B:$B,1969)="","",INDEX(Suivi!$B:$B,1969))</f>
        <v/>
      </c>
      <c r="C1932">
        <f>IF($B1932="","",IF(INDEX(Suivi!$D:$D,1969)="",INDEX(Suivi!$C:$C,1969),INDEX(Suivi!$D:$D,1969)))</f>
        <v/>
      </c>
      <c r="D1932" s="29">
        <f>IF($B1932="","",INDEX(Suivi!$E:$E,1969))</f>
        <v/>
      </c>
      <c r="E1932" s="29">
        <f>IF($B1932="","",INDEX(Suivi!$F:$F,1969))</f>
        <v/>
      </c>
      <c r="F1932">
        <f>IF($B1932="","",INDEX(Suivi!$G:$G,1969))</f>
        <v/>
      </c>
      <c r="H1932">
        <f>IF(OR($B1932="",NOT(ISNUMBER($D1932))),"",IF($E1932&lt;$D$2,"Passé",IF($D1932&gt;$F$2,"À venir","Dans la période")))</f>
        <v/>
      </c>
      <c r="I1932">
        <f>IF(OR($B1932="",NOT(ISNUMBER($D1932))),"",IF(AND($E1932&lt;$D$2,$G1932&lt;&gt;"X",$F1932&lt;&gt;"Réalisé",$F1932&lt;&gt;"Clôturé"),"RETARD",""))</f>
        <v/>
      </c>
      <c r="J1932" s="29">
        <f>IF($B1932="","",IF(INDEX(Dossiers!$F$4:$F$63,37)="","",INDEX(Dossiers!$F$4:$F$63,37)))</f>
        <v/>
      </c>
      <c r="K1932" s="29">
        <f>IF($B1932="","",IF(INDEX(Dossiers!$G$4:$G$63,37)="","",INDEX(Dossiers!$G$4:$G$63,37)))</f>
        <v/>
      </c>
    </row>
    <row r="1933">
      <c r="A1933">
        <f>IF($B1933="","",INDEX(Dossiers!$E$4:$E$63,37))</f>
        <v/>
      </c>
      <c r="B1933">
        <f>IF(INDEX(Suivi!$B:$B,1970)="","",INDEX(Suivi!$B:$B,1970))</f>
        <v/>
      </c>
      <c r="C1933">
        <f>IF($B1933="","",IF(INDEX(Suivi!$D:$D,1970)="",INDEX(Suivi!$C:$C,1970),INDEX(Suivi!$D:$D,1970)))</f>
        <v/>
      </c>
      <c r="D1933" s="29">
        <f>IF($B1933="","",INDEX(Suivi!$E:$E,1970))</f>
        <v/>
      </c>
      <c r="E1933" s="29">
        <f>IF($B1933="","",INDEX(Suivi!$F:$F,1970))</f>
        <v/>
      </c>
      <c r="F1933">
        <f>IF($B1933="","",INDEX(Suivi!$G:$G,1970))</f>
        <v/>
      </c>
      <c r="H1933">
        <f>IF(OR($B1933="",NOT(ISNUMBER($D1933))),"",IF($E1933&lt;$D$2,"Passé",IF($D1933&gt;$F$2,"À venir","Dans la période")))</f>
        <v/>
      </c>
      <c r="I1933">
        <f>IF(OR($B1933="",NOT(ISNUMBER($D1933))),"",IF(AND($E1933&lt;$D$2,$G1933&lt;&gt;"X",$F1933&lt;&gt;"Réalisé",$F1933&lt;&gt;"Clôturé"),"RETARD",""))</f>
        <v/>
      </c>
      <c r="J1933" s="29">
        <f>IF($B1933="","",IF(INDEX(Dossiers!$F$4:$F$63,37)="","",INDEX(Dossiers!$F$4:$F$63,37)))</f>
        <v/>
      </c>
      <c r="K1933" s="29">
        <f>IF($B1933="","",IF(INDEX(Dossiers!$G$4:$G$63,37)="","",INDEX(Dossiers!$G$4:$G$63,37)))</f>
        <v/>
      </c>
    </row>
    <row r="1934">
      <c r="A1934">
        <f>IF($B1934="","",INDEX(Dossiers!$E$4:$E$63,37))</f>
        <v/>
      </c>
      <c r="B1934">
        <f>IF(INDEX(Suivi!$B:$B,1971)="","",INDEX(Suivi!$B:$B,1971))</f>
        <v/>
      </c>
      <c r="C1934">
        <f>IF($B1934="","",IF(INDEX(Suivi!$D:$D,1971)="",INDEX(Suivi!$C:$C,1971),INDEX(Suivi!$D:$D,1971)))</f>
        <v/>
      </c>
      <c r="D1934" s="29">
        <f>IF($B1934="","",INDEX(Suivi!$E:$E,1971))</f>
        <v/>
      </c>
      <c r="E1934" s="29">
        <f>IF($B1934="","",INDEX(Suivi!$F:$F,1971))</f>
        <v/>
      </c>
      <c r="F1934">
        <f>IF($B1934="","",INDEX(Suivi!$G:$G,1971))</f>
        <v/>
      </c>
      <c r="H1934">
        <f>IF(OR($B1934="",NOT(ISNUMBER($D1934))),"",IF($E1934&lt;$D$2,"Passé",IF($D1934&gt;$F$2,"À venir","Dans la période")))</f>
        <v/>
      </c>
      <c r="I1934">
        <f>IF(OR($B1934="",NOT(ISNUMBER($D1934))),"",IF(AND($E1934&lt;$D$2,$G1934&lt;&gt;"X",$F1934&lt;&gt;"Réalisé",$F1934&lt;&gt;"Clôturé"),"RETARD",""))</f>
        <v/>
      </c>
      <c r="J1934" s="29">
        <f>IF($B1934="","",IF(INDEX(Dossiers!$F$4:$F$63,37)="","",INDEX(Dossiers!$F$4:$F$63,37)))</f>
        <v/>
      </c>
      <c r="K1934" s="29">
        <f>IF($B1934="","",IF(INDEX(Dossiers!$G$4:$G$63,37)="","",INDEX(Dossiers!$G$4:$G$63,37)))</f>
        <v/>
      </c>
    </row>
    <row r="1935">
      <c r="A1935">
        <f>IF($B1935="","",INDEX(Dossiers!$E$4:$E$63,37))</f>
        <v/>
      </c>
      <c r="B1935">
        <f>IF(INDEX(Suivi!$B:$B,1972)="","",INDEX(Suivi!$B:$B,1972))</f>
        <v/>
      </c>
      <c r="C1935">
        <f>IF($B1935="","",IF(INDEX(Suivi!$D:$D,1972)="",INDEX(Suivi!$C:$C,1972),INDEX(Suivi!$D:$D,1972)))</f>
        <v/>
      </c>
      <c r="D1935" s="29">
        <f>IF($B1935="","",INDEX(Suivi!$E:$E,1972))</f>
        <v/>
      </c>
      <c r="E1935" s="29">
        <f>IF($B1935="","",INDEX(Suivi!$F:$F,1972))</f>
        <v/>
      </c>
      <c r="F1935">
        <f>IF($B1935="","",INDEX(Suivi!$G:$G,1972))</f>
        <v/>
      </c>
      <c r="H1935">
        <f>IF(OR($B1935="",NOT(ISNUMBER($D1935))),"",IF($E1935&lt;$D$2,"Passé",IF($D1935&gt;$F$2,"À venir","Dans la période")))</f>
        <v/>
      </c>
      <c r="I1935">
        <f>IF(OR($B1935="",NOT(ISNUMBER($D1935))),"",IF(AND($E1935&lt;$D$2,$G1935&lt;&gt;"X",$F1935&lt;&gt;"Réalisé",$F1935&lt;&gt;"Clôturé"),"RETARD",""))</f>
        <v/>
      </c>
      <c r="J1935" s="29">
        <f>IF($B1935="","",IF(INDEX(Dossiers!$F$4:$F$63,37)="","",INDEX(Dossiers!$F$4:$F$63,37)))</f>
        <v/>
      </c>
      <c r="K1935" s="29">
        <f>IF($B1935="","",IF(INDEX(Dossiers!$G$4:$G$63,37)="","",INDEX(Dossiers!$G$4:$G$63,37)))</f>
        <v/>
      </c>
    </row>
    <row r="1936">
      <c r="A1936">
        <f>IF($B1936="","",INDEX(Dossiers!$E$4:$E$63,37))</f>
        <v/>
      </c>
      <c r="B1936">
        <f>IF(INDEX(Suivi!$B:$B,1973)="","",INDEX(Suivi!$B:$B,1973))</f>
        <v/>
      </c>
      <c r="C1936">
        <f>IF($B1936="","",IF(INDEX(Suivi!$D:$D,1973)="",INDEX(Suivi!$C:$C,1973),INDEX(Suivi!$D:$D,1973)))</f>
        <v/>
      </c>
      <c r="D1936" s="29">
        <f>IF($B1936="","",INDEX(Suivi!$E:$E,1973))</f>
        <v/>
      </c>
      <c r="E1936" s="29">
        <f>IF($B1936="","",INDEX(Suivi!$F:$F,1973))</f>
        <v/>
      </c>
      <c r="F1936">
        <f>IF($B1936="","",INDEX(Suivi!$G:$G,1973))</f>
        <v/>
      </c>
      <c r="H1936">
        <f>IF(OR($B1936="",NOT(ISNUMBER($D1936))),"",IF($E1936&lt;$D$2,"Passé",IF($D1936&gt;$F$2,"À venir","Dans la période")))</f>
        <v/>
      </c>
      <c r="I1936">
        <f>IF(OR($B1936="",NOT(ISNUMBER($D1936))),"",IF(AND($E1936&lt;$D$2,$G1936&lt;&gt;"X",$F1936&lt;&gt;"Réalisé",$F1936&lt;&gt;"Clôturé"),"RETARD",""))</f>
        <v/>
      </c>
      <c r="J1936" s="29">
        <f>IF($B1936="","",IF(INDEX(Dossiers!$F$4:$F$63,37)="","",INDEX(Dossiers!$F$4:$F$63,37)))</f>
        <v/>
      </c>
      <c r="K1936" s="29">
        <f>IF($B1936="","",IF(INDEX(Dossiers!$G$4:$G$63,37)="","",INDEX(Dossiers!$G$4:$G$63,37)))</f>
        <v/>
      </c>
    </row>
    <row r="1937">
      <c r="A1937">
        <f>IF($B1937="","",INDEX(Dossiers!$E$4:$E$63,37))</f>
        <v/>
      </c>
      <c r="B1937">
        <f>IF(INDEX(Suivi!$B:$B,1974)="","",INDEX(Suivi!$B:$B,1974))</f>
        <v/>
      </c>
      <c r="C1937">
        <f>IF($B1937="","",IF(INDEX(Suivi!$D:$D,1974)="",INDEX(Suivi!$C:$C,1974),INDEX(Suivi!$D:$D,1974)))</f>
        <v/>
      </c>
      <c r="D1937" s="29">
        <f>IF($B1937="","",INDEX(Suivi!$E:$E,1974))</f>
        <v/>
      </c>
      <c r="E1937" s="29">
        <f>IF($B1937="","",INDEX(Suivi!$F:$F,1974))</f>
        <v/>
      </c>
      <c r="F1937">
        <f>IF($B1937="","",INDEX(Suivi!$G:$G,1974))</f>
        <v/>
      </c>
      <c r="H1937">
        <f>IF(OR($B1937="",NOT(ISNUMBER($D1937))),"",IF($E1937&lt;$D$2,"Passé",IF($D1937&gt;$F$2,"À venir","Dans la période")))</f>
        <v/>
      </c>
      <c r="I1937">
        <f>IF(OR($B1937="",NOT(ISNUMBER($D1937))),"",IF(AND($E1937&lt;$D$2,$G1937&lt;&gt;"X",$F1937&lt;&gt;"Réalisé",$F1937&lt;&gt;"Clôturé"),"RETARD",""))</f>
        <v/>
      </c>
      <c r="J1937" s="29">
        <f>IF($B1937="","",IF(INDEX(Dossiers!$F$4:$F$63,37)="","",INDEX(Dossiers!$F$4:$F$63,37)))</f>
        <v/>
      </c>
      <c r="K1937" s="29">
        <f>IF($B1937="","",IF(INDEX(Dossiers!$G$4:$G$63,37)="","",INDEX(Dossiers!$G$4:$G$63,37)))</f>
        <v/>
      </c>
    </row>
    <row r="1938">
      <c r="A1938">
        <f>IF($B1938="","",INDEX(Dossiers!$E$4:$E$63,37))</f>
        <v/>
      </c>
      <c r="B1938">
        <f>IF(INDEX(Suivi!$B:$B,1975)="","",INDEX(Suivi!$B:$B,1975))</f>
        <v/>
      </c>
      <c r="C1938">
        <f>IF($B1938="","",IF(INDEX(Suivi!$D:$D,1975)="",INDEX(Suivi!$C:$C,1975),INDEX(Suivi!$D:$D,1975)))</f>
        <v/>
      </c>
      <c r="D1938" s="29">
        <f>IF($B1938="","",INDEX(Suivi!$E:$E,1975))</f>
        <v/>
      </c>
      <c r="E1938" s="29">
        <f>IF($B1938="","",INDEX(Suivi!$F:$F,1975))</f>
        <v/>
      </c>
      <c r="F1938">
        <f>IF($B1938="","",INDEX(Suivi!$G:$G,1975))</f>
        <v/>
      </c>
      <c r="H1938">
        <f>IF(OR($B1938="",NOT(ISNUMBER($D1938))),"",IF($E1938&lt;$D$2,"Passé",IF($D1938&gt;$F$2,"À venir","Dans la période")))</f>
        <v/>
      </c>
      <c r="I1938">
        <f>IF(OR($B1938="",NOT(ISNUMBER($D1938))),"",IF(AND($E1938&lt;$D$2,$G1938&lt;&gt;"X",$F1938&lt;&gt;"Réalisé",$F1938&lt;&gt;"Clôturé"),"RETARD",""))</f>
        <v/>
      </c>
      <c r="J1938" s="29">
        <f>IF($B1938="","",IF(INDEX(Dossiers!$F$4:$F$63,37)="","",INDEX(Dossiers!$F$4:$F$63,37)))</f>
        <v/>
      </c>
      <c r="K1938" s="29">
        <f>IF($B1938="","",IF(INDEX(Dossiers!$G$4:$G$63,37)="","",INDEX(Dossiers!$G$4:$G$63,37)))</f>
        <v/>
      </c>
    </row>
    <row r="1939">
      <c r="A1939">
        <f>IF($B1939="","",INDEX(Dossiers!$E$4:$E$63,37))</f>
        <v/>
      </c>
      <c r="B1939">
        <f>IF(INDEX(Suivi!$B:$B,1976)="","",INDEX(Suivi!$B:$B,1976))</f>
        <v/>
      </c>
      <c r="C1939">
        <f>IF($B1939="","",IF(INDEX(Suivi!$D:$D,1976)="",INDEX(Suivi!$C:$C,1976),INDEX(Suivi!$D:$D,1976)))</f>
        <v/>
      </c>
      <c r="D1939" s="29">
        <f>IF($B1939="","",INDEX(Suivi!$E:$E,1976))</f>
        <v/>
      </c>
      <c r="E1939" s="29">
        <f>IF($B1939="","",INDEX(Suivi!$F:$F,1976))</f>
        <v/>
      </c>
      <c r="F1939">
        <f>IF($B1939="","",INDEX(Suivi!$G:$G,1976))</f>
        <v/>
      </c>
      <c r="H1939">
        <f>IF(OR($B1939="",NOT(ISNUMBER($D1939))),"",IF($E1939&lt;$D$2,"Passé",IF($D1939&gt;$F$2,"À venir","Dans la période")))</f>
        <v/>
      </c>
      <c r="I1939">
        <f>IF(OR($B1939="",NOT(ISNUMBER($D1939))),"",IF(AND($E1939&lt;$D$2,$G1939&lt;&gt;"X",$F1939&lt;&gt;"Réalisé",$F1939&lt;&gt;"Clôturé"),"RETARD",""))</f>
        <v/>
      </c>
      <c r="J1939" s="29">
        <f>IF($B1939="","",IF(INDEX(Dossiers!$F$4:$F$63,37)="","",INDEX(Dossiers!$F$4:$F$63,37)))</f>
        <v/>
      </c>
      <c r="K1939" s="29">
        <f>IF($B1939="","",IF(INDEX(Dossiers!$G$4:$G$63,37)="","",INDEX(Dossiers!$G$4:$G$63,37)))</f>
        <v/>
      </c>
    </row>
    <row r="1940">
      <c r="A1940">
        <f>IF($B1940="","",INDEX(Dossiers!$E$4:$E$63,37))</f>
        <v/>
      </c>
      <c r="B1940">
        <f>IF(INDEX(Suivi!$B:$B,1977)="","",INDEX(Suivi!$B:$B,1977))</f>
        <v/>
      </c>
      <c r="C1940">
        <f>IF($B1940="","",IF(INDEX(Suivi!$D:$D,1977)="",INDEX(Suivi!$C:$C,1977),INDEX(Suivi!$D:$D,1977)))</f>
        <v/>
      </c>
      <c r="D1940" s="29">
        <f>IF($B1940="","",INDEX(Suivi!$E:$E,1977))</f>
        <v/>
      </c>
      <c r="E1940" s="29">
        <f>IF($B1940="","",INDEX(Suivi!$F:$F,1977))</f>
        <v/>
      </c>
      <c r="F1940">
        <f>IF($B1940="","",INDEX(Suivi!$G:$G,1977))</f>
        <v/>
      </c>
      <c r="H1940">
        <f>IF(OR($B1940="",NOT(ISNUMBER($D1940))),"",IF($E1940&lt;$D$2,"Passé",IF($D1940&gt;$F$2,"À venir","Dans la période")))</f>
        <v/>
      </c>
      <c r="I1940">
        <f>IF(OR($B1940="",NOT(ISNUMBER($D1940))),"",IF(AND($E1940&lt;$D$2,$G1940&lt;&gt;"X",$F1940&lt;&gt;"Réalisé",$F1940&lt;&gt;"Clôturé"),"RETARD",""))</f>
        <v/>
      </c>
      <c r="J1940" s="29">
        <f>IF($B1940="","",IF(INDEX(Dossiers!$F$4:$F$63,37)="","",INDEX(Dossiers!$F$4:$F$63,37)))</f>
        <v/>
      </c>
      <c r="K1940" s="29">
        <f>IF($B1940="","",IF(INDEX(Dossiers!$G$4:$G$63,37)="","",INDEX(Dossiers!$G$4:$G$63,37)))</f>
        <v/>
      </c>
    </row>
    <row r="1941">
      <c r="A1941">
        <f>IF($B1941="","",INDEX(Dossiers!$E$4:$E$63,37))</f>
        <v/>
      </c>
      <c r="B1941">
        <f>IF(INDEX(Suivi!$B:$B,1978)="","",INDEX(Suivi!$B:$B,1978))</f>
        <v/>
      </c>
      <c r="C1941">
        <f>IF($B1941="","",IF(INDEX(Suivi!$D:$D,1978)="",INDEX(Suivi!$C:$C,1978),INDEX(Suivi!$D:$D,1978)))</f>
        <v/>
      </c>
      <c r="D1941" s="29">
        <f>IF($B1941="","",INDEX(Suivi!$E:$E,1978))</f>
        <v/>
      </c>
      <c r="E1941" s="29">
        <f>IF($B1941="","",INDEX(Suivi!$F:$F,1978))</f>
        <v/>
      </c>
      <c r="F1941">
        <f>IF($B1941="","",INDEX(Suivi!$G:$G,1978))</f>
        <v/>
      </c>
      <c r="H1941">
        <f>IF(OR($B1941="",NOT(ISNUMBER($D1941))),"",IF($E1941&lt;$D$2,"Passé",IF($D1941&gt;$F$2,"À venir","Dans la période")))</f>
        <v/>
      </c>
      <c r="I1941">
        <f>IF(OR($B1941="",NOT(ISNUMBER($D1941))),"",IF(AND($E1941&lt;$D$2,$G1941&lt;&gt;"X",$F1941&lt;&gt;"Réalisé",$F1941&lt;&gt;"Clôturé"),"RETARD",""))</f>
        <v/>
      </c>
      <c r="J1941" s="29">
        <f>IF($B1941="","",IF(INDEX(Dossiers!$F$4:$F$63,37)="","",INDEX(Dossiers!$F$4:$F$63,37)))</f>
        <v/>
      </c>
      <c r="K1941" s="29">
        <f>IF($B1941="","",IF(INDEX(Dossiers!$G$4:$G$63,37)="","",INDEX(Dossiers!$G$4:$G$63,37)))</f>
        <v/>
      </c>
    </row>
    <row r="1942">
      <c r="A1942">
        <f>IF($B1942="","",INDEX(Dossiers!$E$4:$E$63,37))</f>
        <v/>
      </c>
      <c r="B1942">
        <f>IF(INDEX(Suivi!$B:$B,1979)="","",INDEX(Suivi!$B:$B,1979))</f>
        <v/>
      </c>
      <c r="C1942">
        <f>IF($B1942="","",IF(INDEX(Suivi!$D:$D,1979)="",INDEX(Suivi!$C:$C,1979),INDEX(Suivi!$D:$D,1979)))</f>
        <v/>
      </c>
      <c r="D1942" s="29">
        <f>IF($B1942="","",INDEX(Suivi!$E:$E,1979))</f>
        <v/>
      </c>
      <c r="E1942" s="29">
        <f>IF($B1942="","",INDEX(Suivi!$F:$F,1979))</f>
        <v/>
      </c>
      <c r="F1942">
        <f>IF($B1942="","",INDEX(Suivi!$G:$G,1979))</f>
        <v/>
      </c>
      <c r="H1942">
        <f>IF(OR($B1942="",NOT(ISNUMBER($D1942))),"",IF($E1942&lt;$D$2,"Passé",IF($D1942&gt;$F$2,"À venir","Dans la période")))</f>
        <v/>
      </c>
      <c r="I1942">
        <f>IF(OR($B1942="",NOT(ISNUMBER($D1942))),"",IF(AND($E1942&lt;$D$2,$G1942&lt;&gt;"X",$F1942&lt;&gt;"Réalisé",$F1942&lt;&gt;"Clôturé"),"RETARD",""))</f>
        <v/>
      </c>
      <c r="J1942" s="29">
        <f>IF($B1942="","",IF(INDEX(Dossiers!$F$4:$F$63,37)="","",INDEX(Dossiers!$F$4:$F$63,37)))</f>
        <v/>
      </c>
      <c r="K1942" s="29">
        <f>IF($B1942="","",IF(INDEX(Dossiers!$G$4:$G$63,37)="","",INDEX(Dossiers!$G$4:$G$63,37)))</f>
        <v/>
      </c>
    </row>
    <row r="1943">
      <c r="A1943">
        <f>IF($B1943="","",INDEX(Dossiers!$E$4:$E$63,37))</f>
        <v/>
      </c>
      <c r="B1943">
        <f>IF(INDEX(Suivi!$B:$B,1980)="","",INDEX(Suivi!$B:$B,1980))</f>
        <v/>
      </c>
      <c r="C1943">
        <f>IF($B1943="","",IF(INDEX(Suivi!$D:$D,1980)="",INDEX(Suivi!$C:$C,1980),INDEX(Suivi!$D:$D,1980)))</f>
        <v/>
      </c>
      <c r="D1943" s="29">
        <f>IF($B1943="","",INDEX(Suivi!$E:$E,1980))</f>
        <v/>
      </c>
      <c r="E1943" s="29">
        <f>IF($B1943="","",INDEX(Suivi!$F:$F,1980))</f>
        <v/>
      </c>
      <c r="F1943">
        <f>IF($B1943="","",INDEX(Suivi!$G:$G,1980))</f>
        <v/>
      </c>
      <c r="H1943">
        <f>IF(OR($B1943="",NOT(ISNUMBER($D1943))),"",IF($E1943&lt;$D$2,"Passé",IF($D1943&gt;$F$2,"À venir","Dans la période")))</f>
        <v/>
      </c>
      <c r="I1943">
        <f>IF(OR($B1943="",NOT(ISNUMBER($D1943))),"",IF(AND($E1943&lt;$D$2,$G1943&lt;&gt;"X",$F1943&lt;&gt;"Réalisé",$F1943&lt;&gt;"Clôturé"),"RETARD",""))</f>
        <v/>
      </c>
      <c r="J1943" s="29">
        <f>IF($B1943="","",IF(INDEX(Dossiers!$F$4:$F$63,37)="","",INDEX(Dossiers!$F$4:$F$63,37)))</f>
        <v/>
      </c>
      <c r="K1943" s="29">
        <f>IF($B1943="","",IF(INDEX(Dossiers!$G$4:$G$63,37)="","",INDEX(Dossiers!$G$4:$G$63,37)))</f>
        <v/>
      </c>
    </row>
    <row r="1944">
      <c r="A1944">
        <f>IF($B1944="","",INDEX(Dossiers!$E$4:$E$63,37))</f>
        <v/>
      </c>
      <c r="B1944">
        <f>IF(INDEX(Suivi!$B:$B,1981)="","",INDEX(Suivi!$B:$B,1981))</f>
        <v/>
      </c>
      <c r="C1944">
        <f>IF($B1944="","",IF(INDEX(Suivi!$D:$D,1981)="",INDEX(Suivi!$C:$C,1981),INDEX(Suivi!$D:$D,1981)))</f>
        <v/>
      </c>
      <c r="D1944" s="29">
        <f>IF($B1944="","",INDEX(Suivi!$E:$E,1981))</f>
        <v/>
      </c>
      <c r="E1944" s="29">
        <f>IF($B1944="","",INDEX(Suivi!$F:$F,1981))</f>
        <v/>
      </c>
      <c r="F1944">
        <f>IF($B1944="","",INDEX(Suivi!$G:$G,1981))</f>
        <v/>
      </c>
      <c r="H1944">
        <f>IF(OR($B1944="",NOT(ISNUMBER($D1944))),"",IF($E1944&lt;$D$2,"Passé",IF($D1944&gt;$F$2,"À venir","Dans la période")))</f>
        <v/>
      </c>
      <c r="I1944">
        <f>IF(OR($B1944="",NOT(ISNUMBER($D1944))),"",IF(AND($E1944&lt;$D$2,$G1944&lt;&gt;"X",$F1944&lt;&gt;"Réalisé",$F1944&lt;&gt;"Clôturé"),"RETARD",""))</f>
        <v/>
      </c>
      <c r="J1944" s="29">
        <f>IF($B1944="","",IF(INDEX(Dossiers!$F$4:$F$63,37)="","",INDEX(Dossiers!$F$4:$F$63,37)))</f>
        <v/>
      </c>
      <c r="K1944" s="29">
        <f>IF($B1944="","",IF(INDEX(Dossiers!$G$4:$G$63,37)="","",INDEX(Dossiers!$G$4:$G$63,37)))</f>
        <v/>
      </c>
    </row>
    <row r="1945">
      <c r="A1945">
        <f>IF($B1945="","",INDEX(Dossiers!$E$4:$E$63,37))</f>
        <v/>
      </c>
      <c r="B1945">
        <f>IF(INDEX(Suivi!$B:$B,1982)="","",INDEX(Suivi!$B:$B,1982))</f>
        <v/>
      </c>
      <c r="C1945">
        <f>IF($B1945="","",IF(INDEX(Suivi!$D:$D,1982)="",INDEX(Suivi!$C:$C,1982),INDEX(Suivi!$D:$D,1982)))</f>
        <v/>
      </c>
      <c r="D1945" s="29">
        <f>IF($B1945="","",INDEX(Suivi!$E:$E,1982))</f>
        <v/>
      </c>
      <c r="E1945" s="29">
        <f>IF($B1945="","",INDEX(Suivi!$F:$F,1982))</f>
        <v/>
      </c>
      <c r="F1945">
        <f>IF($B1945="","",INDEX(Suivi!$G:$G,1982))</f>
        <v/>
      </c>
      <c r="H1945">
        <f>IF(OR($B1945="",NOT(ISNUMBER($D1945))),"",IF($E1945&lt;$D$2,"Passé",IF($D1945&gt;$F$2,"À venir","Dans la période")))</f>
        <v/>
      </c>
      <c r="I1945">
        <f>IF(OR($B1945="",NOT(ISNUMBER($D1945))),"",IF(AND($E1945&lt;$D$2,$G1945&lt;&gt;"X",$F1945&lt;&gt;"Réalisé",$F1945&lt;&gt;"Clôturé"),"RETARD",""))</f>
        <v/>
      </c>
      <c r="J1945" s="29">
        <f>IF($B1945="","",IF(INDEX(Dossiers!$F$4:$F$63,37)="","",INDEX(Dossiers!$F$4:$F$63,37)))</f>
        <v/>
      </c>
      <c r="K1945" s="29">
        <f>IF($B1945="","",IF(INDEX(Dossiers!$G$4:$G$63,37)="","",INDEX(Dossiers!$G$4:$G$63,37)))</f>
        <v/>
      </c>
    </row>
    <row r="1946">
      <c r="A1946">
        <f>IF($B1946="","",INDEX(Dossiers!$E$4:$E$63,37))</f>
        <v/>
      </c>
      <c r="B1946">
        <f>IF(INDEX(Suivi!$B:$B,1983)="","",INDEX(Suivi!$B:$B,1983))</f>
        <v/>
      </c>
      <c r="C1946">
        <f>IF($B1946="","",IF(INDEX(Suivi!$D:$D,1983)="",INDEX(Suivi!$C:$C,1983),INDEX(Suivi!$D:$D,1983)))</f>
        <v/>
      </c>
      <c r="D1946" s="29">
        <f>IF($B1946="","",INDEX(Suivi!$E:$E,1983))</f>
        <v/>
      </c>
      <c r="E1946" s="29">
        <f>IF($B1946="","",INDEX(Suivi!$F:$F,1983))</f>
        <v/>
      </c>
      <c r="F1946">
        <f>IF($B1946="","",INDEX(Suivi!$G:$G,1983))</f>
        <v/>
      </c>
      <c r="H1946">
        <f>IF(OR($B1946="",NOT(ISNUMBER($D1946))),"",IF($E1946&lt;$D$2,"Passé",IF($D1946&gt;$F$2,"À venir","Dans la période")))</f>
        <v/>
      </c>
      <c r="I1946">
        <f>IF(OR($B1946="",NOT(ISNUMBER($D1946))),"",IF(AND($E1946&lt;$D$2,$G1946&lt;&gt;"X",$F1946&lt;&gt;"Réalisé",$F1946&lt;&gt;"Clôturé"),"RETARD",""))</f>
        <v/>
      </c>
      <c r="J1946" s="29">
        <f>IF($B1946="","",IF(INDEX(Dossiers!$F$4:$F$63,37)="","",INDEX(Dossiers!$F$4:$F$63,37)))</f>
        <v/>
      </c>
      <c r="K1946" s="29">
        <f>IF($B1946="","",IF(INDEX(Dossiers!$G$4:$G$63,37)="","",INDEX(Dossiers!$G$4:$G$63,37)))</f>
        <v/>
      </c>
    </row>
    <row r="1947">
      <c r="A1947">
        <f>IF($B1947="","",INDEX(Dossiers!$E$4:$E$63,37))</f>
        <v/>
      </c>
      <c r="B1947">
        <f>IF(INDEX(Suivi!$B:$B,1984)="","",INDEX(Suivi!$B:$B,1984))</f>
        <v/>
      </c>
      <c r="C1947">
        <f>IF($B1947="","",IF(INDEX(Suivi!$D:$D,1984)="",INDEX(Suivi!$C:$C,1984),INDEX(Suivi!$D:$D,1984)))</f>
        <v/>
      </c>
      <c r="D1947" s="29">
        <f>IF($B1947="","",INDEX(Suivi!$E:$E,1984))</f>
        <v/>
      </c>
      <c r="E1947" s="29">
        <f>IF($B1947="","",INDEX(Suivi!$F:$F,1984))</f>
        <v/>
      </c>
      <c r="F1947">
        <f>IF($B1947="","",INDEX(Suivi!$G:$G,1984))</f>
        <v/>
      </c>
      <c r="H1947">
        <f>IF(OR($B1947="",NOT(ISNUMBER($D1947))),"",IF($E1947&lt;$D$2,"Passé",IF($D1947&gt;$F$2,"À venir","Dans la période")))</f>
        <v/>
      </c>
      <c r="I1947">
        <f>IF(OR($B1947="",NOT(ISNUMBER($D1947))),"",IF(AND($E1947&lt;$D$2,$G1947&lt;&gt;"X",$F1947&lt;&gt;"Réalisé",$F1947&lt;&gt;"Clôturé"),"RETARD",""))</f>
        <v/>
      </c>
      <c r="J1947" s="29">
        <f>IF($B1947="","",IF(INDEX(Dossiers!$F$4:$F$63,37)="","",INDEX(Dossiers!$F$4:$F$63,37)))</f>
        <v/>
      </c>
      <c r="K1947" s="29">
        <f>IF($B1947="","",IF(INDEX(Dossiers!$G$4:$G$63,37)="","",INDEX(Dossiers!$G$4:$G$63,37)))</f>
        <v/>
      </c>
    </row>
    <row r="1948">
      <c r="A1948">
        <f>IF($B1948="","",INDEX(Dossiers!$E$4:$E$63,37))</f>
        <v/>
      </c>
      <c r="B1948">
        <f>IF(INDEX(Suivi!$B:$B,1985)="","",INDEX(Suivi!$B:$B,1985))</f>
        <v/>
      </c>
      <c r="C1948">
        <f>IF($B1948="","",IF(INDEX(Suivi!$D:$D,1985)="",INDEX(Suivi!$C:$C,1985),INDEX(Suivi!$D:$D,1985)))</f>
        <v/>
      </c>
      <c r="D1948" s="29">
        <f>IF($B1948="","",INDEX(Suivi!$E:$E,1985))</f>
        <v/>
      </c>
      <c r="E1948" s="29">
        <f>IF($B1948="","",INDEX(Suivi!$F:$F,1985))</f>
        <v/>
      </c>
      <c r="F1948">
        <f>IF($B1948="","",INDEX(Suivi!$G:$G,1985))</f>
        <v/>
      </c>
      <c r="H1948">
        <f>IF(OR($B1948="",NOT(ISNUMBER($D1948))),"",IF($E1948&lt;$D$2,"Passé",IF($D1948&gt;$F$2,"À venir","Dans la période")))</f>
        <v/>
      </c>
      <c r="I1948">
        <f>IF(OR($B1948="",NOT(ISNUMBER($D1948))),"",IF(AND($E1948&lt;$D$2,$G1948&lt;&gt;"X",$F1948&lt;&gt;"Réalisé",$F1948&lt;&gt;"Clôturé"),"RETARD",""))</f>
        <v/>
      </c>
      <c r="J1948" s="29">
        <f>IF($B1948="","",IF(INDEX(Dossiers!$F$4:$F$63,37)="","",INDEX(Dossiers!$F$4:$F$63,37)))</f>
        <v/>
      </c>
      <c r="K1948" s="29">
        <f>IF($B1948="","",IF(INDEX(Dossiers!$G$4:$G$63,37)="","",INDEX(Dossiers!$G$4:$G$63,37)))</f>
        <v/>
      </c>
    </row>
    <row r="1949">
      <c r="A1949">
        <f>IF($B1949="","",INDEX(Dossiers!$E$4:$E$63,37))</f>
        <v/>
      </c>
      <c r="B1949">
        <f>IF(INDEX(Suivi!$B:$B,1986)="","",INDEX(Suivi!$B:$B,1986))</f>
        <v/>
      </c>
      <c r="C1949">
        <f>IF($B1949="","",IF(INDEX(Suivi!$D:$D,1986)="",INDEX(Suivi!$C:$C,1986),INDEX(Suivi!$D:$D,1986)))</f>
        <v/>
      </c>
      <c r="D1949" s="29">
        <f>IF($B1949="","",INDEX(Suivi!$E:$E,1986))</f>
        <v/>
      </c>
      <c r="E1949" s="29">
        <f>IF($B1949="","",INDEX(Suivi!$F:$F,1986))</f>
        <v/>
      </c>
      <c r="F1949">
        <f>IF($B1949="","",INDEX(Suivi!$G:$G,1986))</f>
        <v/>
      </c>
      <c r="H1949">
        <f>IF(OR($B1949="",NOT(ISNUMBER($D1949))),"",IF($E1949&lt;$D$2,"Passé",IF($D1949&gt;$F$2,"À venir","Dans la période")))</f>
        <v/>
      </c>
      <c r="I1949">
        <f>IF(OR($B1949="",NOT(ISNUMBER($D1949))),"",IF(AND($E1949&lt;$D$2,$G1949&lt;&gt;"X",$F1949&lt;&gt;"Réalisé",$F1949&lt;&gt;"Clôturé"),"RETARD",""))</f>
        <v/>
      </c>
      <c r="J1949" s="29">
        <f>IF($B1949="","",IF(INDEX(Dossiers!$F$4:$F$63,37)="","",INDEX(Dossiers!$F$4:$F$63,37)))</f>
        <v/>
      </c>
      <c r="K1949" s="29">
        <f>IF($B1949="","",IF(INDEX(Dossiers!$G$4:$G$63,37)="","",INDEX(Dossiers!$G$4:$G$63,37)))</f>
        <v/>
      </c>
    </row>
    <row r="1950">
      <c r="A1950">
        <f>IF($B1950="","",INDEX(Dossiers!$E$4:$E$63,37))</f>
        <v/>
      </c>
      <c r="B1950">
        <f>IF(INDEX(Suivi!$B:$B,1987)="","",INDEX(Suivi!$B:$B,1987))</f>
        <v/>
      </c>
      <c r="C1950">
        <f>IF($B1950="","",IF(INDEX(Suivi!$D:$D,1987)="",INDEX(Suivi!$C:$C,1987),INDEX(Suivi!$D:$D,1987)))</f>
        <v/>
      </c>
      <c r="D1950" s="29">
        <f>IF($B1950="","",INDEX(Suivi!$E:$E,1987))</f>
        <v/>
      </c>
      <c r="E1950" s="29">
        <f>IF($B1950="","",INDEX(Suivi!$F:$F,1987))</f>
        <v/>
      </c>
      <c r="F1950">
        <f>IF($B1950="","",INDEX(Suivi!$G:$G,1987))</f>
        <v/>
      </c>
      <c r="H1950">
        <f>IF(OR($B1950="",NOT(ISNUMBER($D1950))),"",IF($E1950&lt;$D$2,"Passé",IF($D1950&gt;$F$2,"À venir","Dans la période")))</f>
        <v/>
      </c>
      <c r="I1950">
        <f>IF(OR($B1950="",NOT(ISNUMBER($D1950))),"",IF(AND($E1950&lt;$D$2,$G1950&lt;&gt;"X",$F1950&lt;&gt;"Réalisé",$F1950&lt;&gt;"Clôturé"),"RETARD",""))</f>
        <v/>
      </c>
      <c r="J1950" s="29">
        <f>IF($B1950="","",IF(INDEX(Dossiers!$F$4:$F$63,37)="","",INDEX(Dossiers!$F$4:$F$63,37)))</f>
        <v/>
      </c>
      <c r="K1950" s="29">
        <f>IF($B1950="","",IF(INDEX(Dossiers!$G$4:$G$63,37)="","",INDEX(Dossiers!$G$4:$G$63,37)))</f>
        <v/>
      </c>
    </row>
    <row r="1951">
      <c r="A1951">
        <f>IF($B1951="","",INDEX(Dossiers!$E$4:$E$63,37))</f>
        <v/>
      </c>
      <c r="B1951">
        <f>IF(INDEX(Suivi!$B:$B,1988)="","",INDEX(Suivi!$B:$B,1988))</f>
        <v/>
      </c>
      <c r="C1951">
        <f>IF($B1951="","",IF(INDEX(Suivi!$D:$D,1988)="",INDEX(Suivi!$C:$C,1988),INDEX(Suivi!$D:$D,1988)))</f>
        <v/>
      </c>
      <c r="D1951" s="29">
        <f>IF($B1951="","",INDEX(Suivi!$E:$E,1988))</f>
        <v/>
      </c>
      <c r="E1951" s="29">
        <f>IF($B1951="","",INDEX(Suivi!$F:$F,1988))</f>
        <v/>
      </c>
      <c r="F1951">
        <f>IF($B1951="","",INDEX(Suivi!$G:$G,1988))</f>
        <v/>
      </c>
      <c r="H1951">
        <f>IF(OR($B1951="",NOT(ISNUMBER($D1951))),"",IF($E1951&lt;$D$2,"Passé",IF($D1951&gt;$F$2,"À venir","Dans la période")))</f>
        <v/>
      </c>
      <c r="I1951">
        <f>IF(OR($B1951="",NOT(ISNUMBER($D1951))),"",IF(AND($E1951&lt;$D$2,$G1951&lt;&gt;"X",$F1951&lt;&gt;"Réalisé",$F1951&lt;&gt;"Clôturé"),"RETARD",""))</f>
        <v/>
      </c>
      <c r="J1951" s="29">
        <f>IF($B1951="","",IF(INDEX(Dossiers!$F$4:$F$63,37)="","",INDEX(Dossiers!$F$4:$F$63,37)))</f>
        <v/>
      </c>
      <c r="K1951" s="29">
        <f>IF($B1951="","",IF(INDEX(Dossiers!$G$4:$G$63,37)="","",INDEX(Dossiers!$G$4:$G$63,37)))</f>
        <v/>
      </c>
    </row>
    <row r="1952">
      <c r="A1952">
        <f>IF($B1952="","",INDEX(Dossiers!$E$4:$E$63,37))</f>
        <v/>
      </c>
      <c r="B1952">
        <f>IF(INDEX(Suivi!$B:$B,1989)="","",INDEX(Suivi!$B:$B,1989))</f>
        <v/>
      </c>
      <c r="C1952">
        <f>IF($B1952="","",IF(INDEX(Suivi!$D:$D,1989)="",INDEX(Suivi!$C:$C,1989),INDEX(Suivi!$D:$D,1989)))</f>
        <v/>
      </c>
      <c r="D1952" s="29">
        <f>IF($B1952="","",INDEX(Suivi!$E:$E,1989))</f>
        <v/>
      </c>
      <c r="E1952" s="29">
        <f>IF($B1952="","",INDEX(Suivi!$F:$F,1989))</f>
        <v/>
      </c>
      <c r="F1952">
        <f>IF($B1952="","",INDEX(Suivi!$G:$G,1989))</f>
        <v/>
      </c>
      <c r="H1952">
        <f>IF(OR($B1952="",NOT(ISNUMBER($D1952))),"",IF($E1952&lt;$D$2,"Passé",IF($D1952&gt;$F$2,"À venir","Dans la période")))</f>
        <v/>
      </c>
      <c r="I1952">
        <f>IF(OR($B1952="",NOT(ISNUMBER($D1952))),"",IF(AND($E1952&lt;$D$2,$G1952&lt;&gt;"X",$F1952&lt;&gt;"Réalisé",$F1952&lt;&gt;"Clôturé"),"RETARD",""))</f>
        <v/>
      </c>
      <c r="J1952" s="29">
        <f>IF($B1952="","",IF(INDEX(Dossiers!$F$4:$F$63,37)="","",INDEX(Dossiers!$F$4:$F$63,37)))</f>
        <v/>
      </c>
      <c r="K1952" s="29">
        <f>IF($B1952="","",IF(INDEX(Dossiers!$G$4:$G$63,37)="","",INDEX(Dossiers!$G$4:$G$63,37)))</f>
        <v/>
      </c>
    </row>
    <row r="1953">
      <c r="A1953">
        <f>IF($B1953="","",INDEX(Dossiers!$E$4:$E$63,37))</f>
        <v/>
      </c>
      <c r="B1953">
        <f>IF(INDEX(Suivi!$B:$B,1990)="","",INDEX(Suivi!$B:$B,1990))</f>
        <v/>
      </c>
      <c r="C1953">
        <f>IF($B1953="","",IF(INDEX(Suivi!$D:$D,1990)="",INDEX(Suivi!$C:$C,1990),INDEX(Suivi!$D:$D,1990)))</f>
        <v/>
      </c>
      <c r="D1953" s="29">
        <f>IF($B1953="","",INDEX(Suivi!$E:$E,1990))</f>
        <v/>
      </c>
      <c r="E1953" s="29">
        <f>IF($B1953="","",INDEX(Suivi!$F:$F,1990))</f>
        <v/>
      </c>
      <c r="F1953">
        <f>IF($B1953="","",INDEX(Suivi!$G:$G,1990))</f>
        <v/>
      </c>
      <c r="H1953">
        <f>IF(OR($B1953="",NOT(ISNUMBER($D1953))),"",IF($E1953&lt;$D$2,"Passé",IF($D1953&gt;$F$2,"À venir","Dans la période")))</f>
        <v/>
      </c>
      <c r="I1953">
        <f>IF(OR($B1953="",NOT(ISNUMBER($D1953))),"",IF(AND($E1953&lt;$D$2,$G1953&lt;&gt;"X",$F1953&lt;&gt;"Réalisé",$F1953&lt;&gt;"Clôturé"),"RETARD",""))</f>
        <v/>
      </c>
      <c r="J1953" s="29">
        <f>IF($B1953="","",IF(INDEX(Dossiers!$F$4:$F$63,37)="","",INDEX(Dossiers!$F$4:$F$63,37)))</f>
        <v/>
      </c>
      <c r="K1953" s="29">
        <f>IF($B1953="","",IF(INDEX(Dossiers!$G$4:$G$63,37)="","",INDEX(Dossiers!$G$4:$G$63,37)))</f>
        <v/>
      </c>
    </row>
    <row r="1954">
      <c r="A1954">
        <f>IF($B1954="","",INDEX(Dossiers!$E$4:$E$63,37))</f>
        <v/>
      </c>
      <c r="B1954">
        <f>IF(INDEX(Suivi!$B:$B,1991)="","",INDEX(Suivi!$B:$B,1991))</f>
        <v/>
      </c>
      <c r="C1954">
        <f>IF($B1954="","",IF(INDEX(Suivi!$D:$D,1991)="",INDEX(Suivi!$C:$C,1991),INDEX(Suivi!$D:$D,1991)))</f>
        <v/>
      </c>
      <c r="D1954" s="29">
        <f>IF($B1954="","",INDEX(Suivi!$E:$E,1991))</f>
        <v/>
      </c>
      <c r="E1954" s="29">
        <f>IF($B1954="","",INDEX(Suivi!$F:$F,1991))</f>
        <v/>
      </c>
      <c r="F1954">
        <f>IF($B1954="","",INDEX(Suivi!$G:$G,1991))</f>
        <v/>
      </c>
      <c r="H1954">
        <f>IF(OR($B1954="",NOT(ISNUMBER($D1954))),"",IF($E1954&lt;$D$2,"Passé",IF($D1954&gt;$F$2,"À venir","Dans la période")))</f>
        <v/>
      </c>
      <c r="I1954">
        <f>IF(OR($B1954="",NOT(ISNUMBER($D1954))),"",IF(AND($E1954&lt;$D$2,$G1954&lt;&gt;"X",$F1954&lt;&gt;"Réalisé",$F1954&lt;&gt;"Clôturé"),"RETARD",""))</f>
        <v/>
      </c>
      <c r="J1954" s="29">
        <f>IF($B1954="","",IF(INDEX(Dossiers!$F$4:$F$63,37)="","",INDEX(Dossiers!$F$4:$F$63,37)))</f>
        <v/>
      </c>
      <c r="K1954" s="29">
        <f>IF($B1954="","",IF(INDEX(Dossiers!$G$4:$G$63,37)="","",INDEX(Dossiers!$G$4:$G$63,37)))</f>
        <v/>
      </c>
    </row>
    <row r="1955">
      <c r="A1955">
        <f>IF($B1955="","",INDEX(Dossiers!$E$4:$E$63,37))</f>
        <v/>
      </c>
      <c r="B1955">
        <f>IF(INDEX(Suivi!$B:$B,1992)="","",INDEX(Suivi!$B:$B,1992))</f>
        <v/>
      </c>
      <c r="C1955">
        <f>IF($B1955="","",IF(INDEX(Suivi!$D:$D,1992)="",INDEX(Suivi!$C:$C,1992),INDEX(Suivi!$D:$D,1992)))</f>
        <v/>
      </c>
      <c r="D1955" s="29">
        <f>IF($B1955="","",INDEX(Suivi!$E:$E,1992))</f>
        <v/>
      </c>
      <c r="E1955" s="29">
        <f>IF($B1955="","",INDEX(Suivi!$F:$F,1992))</f>
        <v/>
      </c>
      <c r="F1955">
        <f>IF($B1955="","",INDEX(Suivi!$G:$G,1992))</f>
        <v/>
      </c>
      <c r="H1955">
        <f>IF(OR($B1955="",NOT(ISNUMBER($D1955))),"",IF($E1955&lt;$D$2,"Passé",IF($D1955&gt;$F$2,"À venir","Dans la période")))</f>
        <v/>
      </c>
      <c r="I1955">
        <f>IF(OR($B1955="",NOT(ISNUMBER($D1955))),"",IF(AND($E1955&lt;$D$2,$G1955&lt;&gt;"X",$F1955&lt;&gt;"Réalisé",$F1955&lt;&gt;"Clôturé"),"RETARD",""))</f>
        <v/>
      </c>
      <c r="J1955" s="29">
        <f>IF($B1955="","",IF(INDEX(Dossiers!$F$4:$F$63,37)="","",INDEX(Dossiers!$F$4:$F$63,37)))</f>
        <v/>
      </c>
      <c r="K1955" s="29">
        <f>IF($B1955="","",IF(INDEX(Dossiers!$G$4:$G$63,37)="","",INDEX(Dossiers!$G$4:$G$63,37)))</f>
        <v/>
      </c>
    </row>
    <row r="1956">
      <c r="A1956">
        <f>IF($B1956="","",INDEX(Dossiers!$E$4:$E$63,37))</f>
        <v/>
      </c>
      <c r="B1956">
        <f>IF(INDEX(Suivi!$B:$B,1993)="","",INDEX(Suivi!$B:$B,1993))</f>
        <v/>
      </c>
      <c r="C1956">
        <f>IF($B1956="","",IF(INDEX(Suivi!$D:$D,1993)="",INDEX(Suivi!$C:$C,1993),INDEX(Suivi!$D:$D,1993)))</f>
        <v/>
      </c>
      <c r="D1956" s="29">
        <f>IF($B1956="","",INDEX(Suivi!$E:$E,1993))</f>
        <v/>
      </c>
      <c r="E1956" s="29">
        <f>IF($B1956="","",INDEX(Suivi!$F:$F,1993))</f>
        <v/>
      </c>
      <c r="F1956">
        <f>IF($B1956="","",INDEX(Suivi!$G:$G,1993))</f>
        <v/>
      </c>
      <c r="H1956">
        <f>IF(OR($B1956="",NOT(ISNUMBER($D1956))),"",IF($E1956&lt;$D$2,"Passé",IF($D1956&gt;$F$2,"À venir","Dans la période")))</f>
        <v/>
      </c>
      <c r="I1956">
        <f>IF(OR($B1956="",NOT(ISNUMBER($D1956))),"",IF(AND($E1956&lt;$D$2,$G1956&lt;&gt;"X",$F1956&lt;&gt;"Réalisé",$F1956&lt;&gt;"Clôturé"),"RETARD",""))</f>
        <v/>
      </c>
      <c r="J1956" s="29">
        <f>IF($B1956="","",IF(INDEX(Dossiers!$F$4:$F$63,37)="","",INDEX(Dossiers!$F$4:$F$63,37)))</f>
        <v/>
      </c>
      <c r="K1956" s="29">
        <f>IF($B1956="","",IF(INDEX(Dossiers!$G$4:$G$63,37)="","",INDEX(Dossiers!$G$4:$G$63,37)))</f>
        <v/>
      </c>
    </row>
    <row r="1957">
      <c r="A1957">
        <f>IF($B1957="","",INDEX(Dossiers!$E$4:$E$63,37))</f>
        <v/>
      </c>
      <c r="B1957">
        <f>IF(INDEX(Suivi!$B:$B,1994)="","",INDEX(Suivi!$B:$B,1994))</f>
        <v/>
      </c>
      <c r="C1957">
        <f>IF($B1957="","",IF(INDEX(Suivi!$D:$D,1994)="",INDEX(Suivi!$C:$C,1994),INDEX(Suivi!$D:$D,1994)))</f>
        <v/>
      </c>
      <c r="D1957" s="29">
        <f>IF($B1957="","",INDEX(Suivi!$E:$E,1994))</f>
        <v/>
      </c>
      <c r="E1957" s="29">
        <f>IF($B1957="","",INDEX(Suivi!$F:$F,1994))</f>
        <v/>
      </c>
      <c r="F1957">
        <f>IF($B1957="","",INDEX(Suivi!$G:$G,1994))</f>
        <v/>
      </c>
      <c r="H1957">
        <f>IF(OR($B1957="",NOT(ISNUMBER($D1957))),"",IF($E1957&lt;$D$2,"Passé",IF($D1957&gt;$F$2,"À venir","Dans la période")))</f>
        <v/>
      </c>
      <c r="I1957">
        <f>IF(OR($B1957="",NOT(ISNUMBER($D1957))),"",IF(AND($E1957&lt;$D$2,$G1957&lt;&gt;"X",$F1957&lt;&gt;"Réalisé",$F1957&lt;&gt;"Clôturé"),"RETARD",""))</f>
        <v/>
      </c>
      <c r="J1957" s="29">
        <f>IF($B1957="","",IF(INDEX(Dossiers!$F$4:$F$63,37)="","",INDEX(Dossiers!$F$4:$F$63,37)))</f>
        <v/>
      </c>
      <c r="K1957" s="29">
        <f>IF($B1957="","",IF(INDEX(Dossiers!$G$4:$G$63,37)="","",INDEX(Dossiers!$G$4:$G$63,37)))</f>
        <v/>
      </c>
    </row>
    <row r="1958">
      <c r="A1958">
        <f>IF($B1958="","",INDEX(Dossiers!$E$4:$E$63,37))</f>
        <v/>
      </c>
      <c r="B1958">
        <f>IF(INDEX(Suivi!$B:$B,1995)="","",INDEX(Suivi!$B:$B,1995))</f>
        <v/>
      </c>
      <c r="C1958">
        <f>IF($B1958="","",IF(INDEX(Suivi!$D:$D,1995)="",INDEX(Suivi!$C:$C,1995),INDEX(Suivi!$D:$D,1995)))</f>
        <v/>
      </c>
      <c r="D1958" s="29">
        <f>IF($B1958="","",INDEX(Suivi!$E:$E,1995))</f>
        <v/>
      </c>
      <c r="E1958" s="29">
        <f>IF($B1958="","",INDEX(Suivi!$F:$F,1995))</f>
        <v/>
      </c>
      <c r="F1958">
        <f>IF($B1958="","",INDEX(Suivi!$G:$G,1995))</f>
        <v/>
      </c>
      <c r="H1958">
        <f>IF(OR($B1958="",NOT(ISNUMBER($D1958))),"",IF($E1958&lt;$D$2,"Passé",IF($D1958&gt;$F$2,"À venir","Dans la période")))</f>
        <v/>
      </c>
      <c r="I1958">
        <f>IF(OR($B1958="",NOT(ISNUMBER($D1958))),"",IF(AND($E1958&lt;$D$2,$G1958&lt;&gt;"X",$F1958&lt;&gt;"Réalisé",$F1958&lt;&gt;"Clôturé"),"RETARD",""))</f>
        <v/>
      </c>
      <c r="J1958" s="29">
        <f>IF($B1958="","",IF(INDEX(Dossiers!$F$4:$F$63,37)="","",INDEX(Dossiers!$F$4:$F$63,37)))</f>
        <v/>
      </c>
      <c r="K1958" s="29">
        <f>IF($B1958="","",IF(INDEX(Dossiers!$G$4:$G$63,37)="","",INDEX(Dossiers!$G$4:$G$63,37)))</f>
        <v/>
      </c>
    </row>
    <row r="1959">
      <c r="A1959">
        <f>IF($B1959="","",INDEX(Dossiers!$E$4:$E$63,37))</f>
        <v/>
      </c>
      <c r="B1959">
        <f>IF(INDEX(Suivi!$B:$B,1996)="","",INDEX(Suivi!$B:$B,1996))</f>
        <v/>
      </c>
      <c r="C1959">
        <f>IF($B1959="","",IF(INDEX(Suivi!$D:$D,1996)="",INDEX(Suivi!$C:$C,1996),INDEX(Suivi!$D:$D,1996)))</f>
        <v/>
      </c>
      <c r="D1959" s="29">
        <f>IF($B1959="","",INDEX(Suivi!$E:$E,1996))</f>
        <v/>
      </c>
      <c r="E1959" s="29">
        <f>IF($B1959="","",INDEX(Suivi!$F:$F,1996))</f>
        <v/>
      </c>
      <c r="F1959">
        <f>IF($B1959="","",INDEX(Suivi!$G:$G,1996))</f>
        <v/>
      </c>
      <c r="H1959">
        <f>IF(OR($B1959="",NOT(ISNUMBER($D1959))),"",IF($E1959&lt;$D$2,"Passé",IF($D1959&gt;$F$2,"À venir","Dans la période")))</f>
        <v/>
      </c>
      <c r="I1959">
        <f>IF(OR($B1959="",NOT(ISNUMBER($D1959))),"",IF(AND($E1959&lt;$D$2,$G1959&lt;&gt;"X",$F1959&lt;&gt;"Réalisé",$F1959&lt;&gt;"Clôturé"),"RETARD",""))</f>
        <v/>
      </c>
      <c r="J1959" s="29">
        <f>IF($B1959="","",IF(INDEX(Dossiers!$F$4:$F$63,37)="","",INDEX(Dossiers!$F$4:$F$63,37)))</f>
        <v/>
      </c>
      <c r="K1959" s="29">
        <f>IF($B1959="","",IF(INDEX(Dossiers!$G$4:$G$63,37)="","",INDEX(Dossiers!$G$4:$G$63,37)))</f>
        <v/>
      </c>
    </row>
    <row r="1960">
      <c r="A1960">
        <f>IF($B1960="","",INDEX(Dossiers!$E$4:$E$63,37))</f>
        <v/>
      </c>
      <c r="B1960">
        <f>IF(INDEX(Suivi!$B:$B,1997)="","",INDEX(Suivi!$B:$B,1997))</f>
        <v/>
      </c>
      <c r="C1960">
        <f>IF($B1960="","",IF(INDEX(Suivi!$D:$D,1997)="",INDEX(Suivi!$C:$C,1997),INDEX(Suivi!$D:$D,1997)))</f>
        <v/>
      </c>
      <c r="D1960" s="29">
        <f>IF($B1960="","",INDEX(Suivi!$E:$E,1997))</f>
        <v/>
      </c>
      <c r="E1960" s="29">
        <f>IF($B1960="","",INDEX(Suivi!$F:$F,1997))</f>
        <v/>
      </c>
      <c r="F1960">
        <f>IF($B1960="","",INDEX(Suivi!$G:$G,1997))</f>
        <v/>
      </c>
      <c r="H1960">
        <f>IF(OR($B1960="",NOT(ISNUMBER($D1960))),"",IF($E1960&lt;$D$2,"Passé",IF($D1960&gt;$F$2,"À venir","Dans la période")))</f>
        <v/>
      </c>
      <c r="I1960">
        <f>IF(OR($B1960="",NOT(ISNUMBER($D1960))),"",IF(AND($E1960&lt;$D$2,$G1960&lt;&gt;"X",$F1960&lt;&gt;"Réalisé",$F1960&lt;&gt;"Clôturé"),"RETARD",""))</f>
        <v/>
      </c>
      <c r="J1960" s="29">
        <f>IF($B1960="","",IF(INDEX(Dossiers!$F$4:$F$63,37)="","",INDEX(Dossiers!$F$4:$F$63,37)))</f>
        <v/>
      </c>
      <c r="K1960" s="29">
        <f>IF($B1960="","",IF(INDEX(Dossiers!$G$4:$G$63,37)="","",INDEX(Dossiers!$G$4:$G$63,37)))</f>
        <v/>
      </c>
    </row>
    <row r="1961">
      <c r="A1961">
        <f>IF($B1961="","",INDEX(Dossiers!$E$4:$E$63,37))</f>
        <v/>
      </c>
      <c r="B1961">
        <f>IF(INDEX(Suivi!$B:$B,1998)="","",INDEX(Suivi!$B:$B,1998))</f>
        <v/>
      </c>
      <c r="C1961">
        <f>IF($B1961="","",IF(INDEX(Suivi!$D:$D,1998)="",INDEX(Suivi!$C:$C,1998),INDEX(Suivi!$D:$D,1998)))</f>
        <v/>
      </c>
      <c r="D1961" s="29">
        <f>IF($B1961="","",INDEX(Suivi!$E:$E,1998))</f>
        <v/>
      </c>
      <c r="E1961" s="29">
        <f>IF($B1961="","",INDEX(Suivi!$F:$F,1998))</f>
        <v/>
      </c>
      <c r="F1961">
        <f>IF($B1961="","",INDEX(Suivi!$G:$G,1998))</f>
        <v/>
      </c>
      <c r="H1961">
        <f>IF(OR($B1961="",NOT(ISNUMBER($D1961))),"",IF($E1961&lt;$D$2,"Passé",IF($D1961&gt;$F$2,"À venir","Dans la période")))</f>
        <v/>
      </c>
      <c r="I1961">
        <f>IF(OR($B1961="",NOT(ISNUMBER($D1961))),"",IF(AND($E1961&lt;$D$2,$G1961&lt;&gt;"X",$F1961&lt;&gt;"Réalisé",$F1961&lt;&gt;"Clôturé"),"RETARD",""))</f>
        <v/>
      </c>
      <c r="J1961" s="29">
        <f>IF($B1961="","",IF(INDEX(Dossiers!$F$4:$F$63,37)="","",INDEX(Dossiers!$F$4:$F$63,37)))</f>
        <v/>
      </c>
      <c r="K1961" s="29">
        <f>IF($B1961="","",IF(INDEX(Dossiers!$G$4:$G$63,37)="","",INDEX(Dossiers!$G$4:$G$63,37)))</f>
        <v/>
      </c>
    </row>
    <row r="1962">
      <c r="A1962">
        <f>IF($B1962="","",INDEX(Dossiers!$E$4:$E$63,37))</f>
        <v/>
      </c>
      <c r="B1962">
        <f>IF(INDEX(Suivi!$B:$B,1999)="","",INDEX(Suivi!$B:$B,1999))</f>
        <v/>
      </c>
      <c r="C1962">
        <f>IF($B1962="","",IF(INDEX(Suivi!$D:$D,1999)="",INDEX(Suivi!$C:$C,1999),INDEX(Suivi!$D:$D,1999)))</f>
        <v/>
      </c>
      <c r="D1962" s="29">
        <f>IF($B1962="","",INDEX(Suivi!$E:$E,1999))</f>
        <v/>
      </c>
      <c r="E1962" s="29">
        <f>IF($B1962="","",INDEX(Suivi!$F:$F,1999))</f>
        <v/>
      </c>
      <c r="F1962">
        <f>IF($B1962="","",INDEX(Suivi!$G:$G,1999))</f>
        <v/>
      </c>
      <c r="H1962">
        <f>IF(OR($B1962="",NOT(ISNUMBER($D1962))),"",IF($E1962&lt;$D$2,"Passé",IF($D1962&gt;$F$2,"À venir","Dans la période")))</f>
        <v/>
      </c>
      <c r="I1962">
        <f>IF(OR($B1962="",NOT(ISNUMBER($D1962))),"",IF(AND($E1962&lt;$D$2,$G1962&lt;&gt;"X",$F1962&lt;&gt;"Réalisé",$F1962&lt;&gt;"Clôturé"),"RETARD",""))</f>
        <v/>
      </c>
      <c r="J1962" s="29">
        <f>IF($B1962="","",IF(INDEX(Dossiers!$F$4:$F$63,37)="","",INDEX(Dossiers!$F$4:$F$63,37)))</f>
        <v/>
      </c>
      <c r="K1962" s="29">
        <f>IF($B1962="","",IF(INDEX(Dossiers!$G$4:$G$63,37)="","",INDEX(Dossiers!$G$4:$G$63,37)))</f>
        <v/>
      </c>
    </row>
    <row r="1963">
      <c r="A1963">
        <f>IF($B1963="","",INDEX(Dossiers!$E$4:$E$63,37))</f>
        <v/>
      </c>
      <c r="B1963">
        <f>IF(INDEX(Suivi!$B:$B,2000)="","",INDEX(Suivi!$B:$B,2000))</f>
        <v/>
      </c>
      <c r="C1963">
        <f>IF($B1963="","",IF(INDEX(Suivi!$D:$D,2000)="",INDEX(Suivi!$C:$C,2000),INDEX(Suivi!$D:$D,2000)))</f>
        <v/>
      </c>
      <c r="D1963" s="29">
        <f>IF($B1963="","",INDEX(Suivi!$E:$E,2000))</f>
        <v/>
      </c>
      <c r="E1963" s="29">
        <f>IF($B1963="","",INDEX(Suivi!$F:$F,2000))</f>
        <v/>
      </c>
      <c r="F1963">
        <f>IF($B1963="","",INDEX(Suivi!$G:$G,2000))</f>
        <v/>
      </c>
      <c r="H1963">
        <f>IF(OR($B1963="",NOT(ISNUMBER($D1963))),"",IF($E1963&lt;$D$2,"Passé",IF($D1963&gt;$F$2,"À venir","Dans la période")))</f>
        <v/>
      </c>
      <c r="I1963">
        <f>IF(OR($B1963="",NOT(ISNUMBER($D1963))),"",IF(AND($E1963&lt;$D$2,$G1963&lt;&gt;"X",$F1963&lt;&gt;"Réalisé",$F1963&lt;&gt;"Clôturé"),"RETARD",""))</f>
        <v/>
      </c>
      <c r="J1963" s="29">
        <f>IF($B1963="","",IF(INDEX(Dossiers!$F$4:$F$63,37)="","",INDEX(Dossiers!$F$4:$F$63,37)))</f>
        <v/>
      </c>
      <c r="K1963" s="29">
        <f>IF($B1963="","",IF(INDEX(Dossiers!$G$4:$G$63,37)="","",INDEX(Dossiers!$G$4:$G$63,37)))</f>
        <v/>
      </c>
    </row>
    <row r="1964">
      <c r="A1964">
        <f>IF($B1964="","",INDEX(Dossiers!$E$4:$E$63,37))</f>
        <v/>
      </c>
      <c r="B1964">
        <f>IF(INDEX(Suivi!$B:$B,2001)="","",INDEX(Suivi!$B:$B,2001))</f>
        <v/>
      </c>
      <c r="C1964">
        <f>IF($B1964="","",IF(INDEX(Suivi!$D:$D,2001)="",INDEX(Suivi!$C:$C,2001),INDEX(Suivi!$D:$D,2001)))</f>
        <v/>
      </c>
      <c r="D1964" s="29">
        <f>IF($B1964="","",INDEX(Suivi!$E:$E,2001))</f>
        <v/>
      </c>
      <c r="E1964" s="29">
        <f>IF($B1964="","",INDEX(Suivi!$F:$F,2001))</f>
        <v/>
      </c>
      <c r="F1964">
        <f>IF($B1964="","",INDEX(Suivi!$G:$G,2001))</f>
        <v/>
      </c>
      <c r="H1964">
        <f>IF(OR($B1964="",NOT(ISNUMBER($D1964))),"",IF($E1964&lt;$D$2,"Passé",IF($D1964&gt;$F$2,"À venir","Dans la période")))</f>
        <v/>
      </c>
      <c r="I1964">
        <f>IF(OR($B1964="",NOT(ISNUMBER($D1964))),"",IF(AND($E1964&lt;$D$2,$G1964&lt;&gt;"X",$F1964&lt;&gt;"Réalisé",$F1964&lt;&gt;"Clôturé"),"RETARD",""))</f>
        <v/>
      </c>
      <c r="J1964" s="29">
        <f>IF($B1964="","",IF(INDEX(Dossiers!$F$4:$F$63,37)="","",INDEX(Dossiers!$F$4:$F$63,37)))</f>
        <v/>
      </c>
      <c r="K1964" s="29">
        <f>IF($B1964="","",IF(INDEX(Dossiers!$G$4:$G$63,37)="","",INDEX(Dossiers!$G$4:$G$63,37)))</f>
        <v/>
      </c>
    </row>
    <row r="1965">
      <c r="A1965">
        <f>IF($B1965="","",INDEX(Dossiers!$E$4:$E$63,38))</f>
        <v/>
      </c>
      <c r="B1965">
        <f>IF(INDEX(Suivi!$B:$B,2003)="","",INDEX(Suivi!$B:$B,2003))</f>
        <v/>
      </c>
      <c r="C1965">
        <f>IF($B1965="","",IF(INDEX(Suivi!$D:$D,2003)="",INDEX(Suivi!$C:$C,2003),INDEX(Suivi!$D:$D,2003)))</f>
        <v/>
      </c>
      <c r="D1965" s="29">
        <f>IF($B1965="","",INDEX(Suivi!$E:$E,2003))</f>
        <v/>
      </c>
      <c r="E1965" s="29">
        <f>IF($B1965="","",INDEX(Suivi!$F:$F,2003))</f>
        <v/>
      </c>
      <c r="F1965">
        <f>IF($B1965="","",INDEX(Suivi!$G:$G,2003))</f>
        <v/>
      </c>
      <c r="H1965">
        <f>IF(OR($B1965="",NOT(ISNUMBER($D1965))),"",IF($E1965&lt;$D$2,"Passé",IF($D1965&gt;$F$2,"À venir","Dans la période")))</f>
        <v/>
      </c>
      <c r="I1965">
        <f>IF(OR($B1965="",NOT(ISNUMBER($D1965))),"",IF(AND($E1965&lt;$D$2,$G1965&lt;&gt;"X",$F1965&lt;&gt;"Réalisé",$F1965&lt;&gt;"Clôturé"),"RETARD",""))</f>
        <v/>
      </c>
      <c r="J1965" s="29">
        <f>IF($B1965="","",IF(INDEX(Dossiers!$F$4:$F$63,38)="","",INDEX(Dossiers!$F$4:$F$63,38)))</f>
        <v/>
      </c>
      <c r="K1965" s="29">
        <f>IF($B1965="","",IF(INDEX(Dossiers!$G$4:$G$63,38)="","",INDEX(Dossiers!$G$4:$G$63,38)))</f>
        <v/>
      </c>
    </row>
    <row r="1966">
      <c r="A1966">
        <f>IF($B1966="","",INDEX(Dossiers!$E$4:$E$63,38))</f>
        <v/>
      </c>
      <c r="B1966">
        <f>IF(INDEX(Suivi!$B:$B,2004)="","",INDEX(Suivi!$B:$B,2004))</f>
        <v/>
      </c>
      <c r="C1966">
        <f>IF($B1966="","",IF(INDEX(Suivi!$D:$D,2004)="",INDEX(Suivi!$C:$C,2004),INDEX(Suivi!$D:$D,2004)))</f>
        <v/>
      </c>
      <c r="D1966" s="29">
        <f>IF($B1966="","",INDEX(Suivi!$E:$E,2004))</f>
        <v/>
      </c>
      <c r="E1966" s="29">
        <f>IF($B1966="","",INDEX(Suivi!$F:$F,2004))</f>
        <v/>
      </c>
      <c r="F1966">
        <f>IF($B1966="","",INDEX(Suivi!$G:$G,2004))</f>
        <v/>
      </c>
      <c r="H1966">
        <f>IF(OR($B1966="",NOT(ISNUMBER($D1966))),"",IF($E1966&lt;$D$2,"Passé",IF($D1966&gt;$F$2,"À venir","Dans la période")))</f>
        <v/>
      </c>
      <c r="I1966">
        <f>IF(OR($B1966="",NOT(ISNUMBER($D1966))),"",IF(AND($E1966&lt;$D$2,$G1966&lt;&gt;"X",$F1966&lt;&gt;"Réalisé",$F1966&lt;&gt;"Clôturé"),"RETARD",""))</f>
        <v/>
      </c>
      <c r="J1966" s="29">
        <f>IF($B1966="","",IF(INDEX(Dossiers!$F$4:$F$63,38)="","",INDEX(Dossiers!$F$4:$F$63,38)))</f>
        <v/>
      </c>
      <c r="K1966" s="29">
        <f>IF($B1966="","",IF(INDEX(Dossiers!$G$4:$G$63,38)="","",INDEX(Dossiers!$G$4:$G$63,38)))</f>
        <v/>
      </c>
    </row>
    <row r="1967">
      <c r="A1967">
        <f>IF($B1967="","",INDEX(Dossiers!$E$4:$E$63,38))</f>
        <v/>
      </c>
      <c r="B1967">
        <f>IF(INDEX(Suivi!$B:$B,2005)="","",INDEX(Suivi!$B:$B,2005))</f>
        <v/>
      </c>
      <c r="C1967">
        <f>IF($B1967="","",IF(INDEX(Suivi!$D:$D,2005)="",INDEX(Suivi!$C:$C,2005),INDEX(Suivi!$D:$D,2005)))</f>
        <v/>
      </c>
      <c r="D1967" s="29">
        <f>IF($B1967="","",INDEX(Suivi!$E:$E,2005))</f>
        <v/>
      </c>
      <c r="E1967" s="29">
        <f>IF($B1967="","",INDEX(Suivi!$F:$F,2005))</f>
        <v/>
      </c>
      <c r="F1967">
        <f>IF($B1967="","",INDEX(Suivi!$G:$G,2005))</f>
        <v/>
      </c>
      <c r="H1967">
        <f>IF(OR($B1967="",NOT(ISNUMBER($D1967))),"",IF($E1967&lt;$D$2,"Passé",IF($D1967&gt;$F$2,"À venir","Dans la période")))</f>
        <v/>
      </c>
      <c r="I1967">
        <f>IF(OR($B1967="",NOT(ISNUMBER($D1967))),"",IF(AND($E1967&lt;$D$2,$G1967&lt;&gt;"X",$F1967&lt;&gt;"Réalisé",$F1967&lt;&gt;"Clôturé"),"RETARD",""))</f>
        <v/>
      </c>
      <c r="J1967" s="29">
        <f>IF($B1967="","",IF(INDEX(Dossiers!$F$4:$F$63,38)="","",INDEX(Dossiers!$F$4:$F$63,38)))</f>
        <v/>
      </c>
      <c r="K1967" s="29">
        <f>IF($B1967="","",IF(INDEX(Dossiers!$G$4:$G$63,38)="","",INDEX(Dossiers!$G$4:$G$63,38)))</f>
        <v/>
      </c>
    </row>
    <row r="1968">
      <c r="A1968">
        <f>IF($B1968="","",INDEX(Dossiers!$E$4:$E$63,38))</f>
        <v/>
      </c>
      <c r="B1968">
        <f>IF(INDEX(Suivi!$B:$B,2006)="","",INDEX(Suivi!$B:$B,2006))</f>
        <v/>
      </c>
      <c r="C1968">
        <f>IF($B1968="","",IF(INDEX(Suivi!$D:$D,2006)="",INDEX(Suivi!$C:$C,2006),INDEX(Suivi!$D:$D,2006)))</f>
        <v/>
      </c>
      <c r="D1968" s="29">
        <f>IF($B1968="","",INDEX(Suivi!$E:$E,2006))</f>
        <v/>
      </c>
      <c r="E1968" s="29">
        <f>IF($B1968="","",INDEX(Suivi!$F:$F,2006))</f>
        <v/>
      </c>
      <c r="F1968">
        <f>IF($B1968="","",INDEX(Suivi!$G:$G,2006))</f>
        <v/>
      </c>
      <c r="H1968">
        <f>IF(OR($B1968="",NOT(ISNUMBER($D1968))),"",IF($E1968&lt;$D$2,"Passé",IF($D1968&gt;$F$2,"À venir","Dans la période")))</f>
        <v/>
      </c>
      <c r="I1968">
        <f>IF(OR($B1968="",NOT(ISNUMBER($D1968))),"",IF(AND($E1968&lt;$D$2,$G1968&lt;&gt;"X",$F1968&lt;&gt;"Réalisé",$F1968&lt;&gt;"Clôturé"),"RETARD",""))</f>
        <v/>
      </c>
      <c r="J1968" s="29">
        <f>IF($B1968="","",IF(INDEX(Dossiers!$F$4:$F$63,38)="","",INDEX(Dossiers!$F$4:$F$63,38)))</f>
        <v/>
      </c>
      <c r="K1968" s="29">
        <f>IF($B1968="","",IF(INDEX(Dossiers!$G$4:$G$63,38)="","",INDEX(Dossiers!$G$4:$G$63,38)))</f>
        <v/>
      </c>
    </row>
    <row r="1969">
      <c r="A1969">
        <f>IF($B1969="","",INDEX(Dossiers!$E$4:$E$63,38))</f>
        <v/>
      </c>
      <c r="B1969">
        <f>IF(INDEX(Suivi!$B:$B,2007)="","",INDEX(Suivi!$B:$B,2007))</f>
        <v/>
      </c>
      <c r="C1969">
        <f>IF($B1969="","",IF(INDEX(Suivi!$D:$D,2007)="",INDEX(Suivi!$C:$C,2007),INDEX(Suivi!$D:$D,2007)))</f>
        <v/>
      </c>
      <c r="D1969" s="29">
        <f>IF($B1969="","",INDEX(Suivi!$E:$E,2007))</f>
        <v/>
      </c>
      <c r="E1969" s="29">
        <f>IF($B1969="","",INDEX(Suivi!$F:$F,2007))</f>
        <v/>
      </c>
      <c r="F1969">
        <f>IF($B1969="","",INDEX(Suivi!$G:$G,2007))</f>
        <v/>
      </c>
      <c r="H1969">
        <f>IF(OR($B1969="",NOT(ISNUMBER($D1969))),"",IF($E1969&lt;$D$2,"Passé",IF($D1969&gt;$F$2,"À venir","Dans la période")))</f>
        <v/>
      </c>
      <c r="I1969">
        <f>IF(OR($B1969="",NOT(ISNUMBER($D1969))),"",IF(AND($E1969&lt;$D$2,$G1969&lt;&gt;"X",$F1969&lt;&gt;"Réalisé",$F1969&lt;&gt;"Clôturé"),"RETARD",""))</f>
        <v/>
      </c>
      <c r="J1969" s="29">
        <f>IF($B1969="","",IF(INDEX(Dossiers!$F$4:$F$63,38)="","",INDEX(Dossiers!$F$4:$F$63,38)))</f>
        <v/>
      </c>
      <c r="K1969" s="29">
        <f>IF($B1969="","",IF(INDEX(Dossiers!$G$4:$G$63,38)="","",INDEX(Dossiers!$G$4:$G$63,38)))</f>
        <v/>
      </c>
    </row>
    <row r="1970">
      <c r="A1970">
        <f>IF($B1970="","",INDEX(Dossiers!$E$4:$E$63,38))</f>
        <v/>
      </c>
      <c r="B1970">
        <f>IF(INDEX(Suivi!$B:$B,2008)="","",INDEX(Suivi!$B:$B,2008))</f>
        <v/>
      </c>
      <c r="C1970">
        <f>IF($B1970="","",IF(INDEX(Suivi!$D:$D,2008)="",INDEX(Suivi!$C:$C,2008),INDEX(Suivi!$D:$D,2008)))</f>
        <v/>
      </c>
      <c r="D1970" s="29">
        <f>IF($B1970="","",INDEX(Suivi!$E:$E,2008))</f>
        <v/>
      </c>
      <c r="E1970" s="29">
        <f>IF($B1970="","",INDEX(Suivi!$F:$F,2008))</f>
        <v/>
      </c>
      <c r="F1970">
        <f>IF($B1970="","",INDEX(Suivi!$G:$G,2008))</f>
        <v/>
      </c>
      <c r="H1970">
        <f>IF(OR($B1970="",NOT(ISNUMBER($D1970))),"",IF($E1970&lt;$D$2,"Passé",IF($D1970&gt;$F$2,"À venir","Dans la période")))</f>
        <v/>
      </c>
      <c r="I1970">
        <f>IF(OR($B1970="",NOT(ISNUMBER($D1970))),"",IF(AND($E1970&lt;$D$2,$G1970&lt;&gt;"X",$F1970&lt;&gt;"Réalisé",$F1970&lt;&gt;"Clôturé"),"RETARD",""))</f>
        <v/>
      </c>
      <c r="J1970" s="29">
        <f>IF($B1970="","",IF(INDEX(Dossiers!$F$4:$F$63,38)="","",INDEX(Dossiers!$F$4:$F$63,38)))</f>
        <v/>
      </c>
      <c r="K1970" s="29">
        <f>IF($B1970="","",IF(INDEX(Dossiers!$G$4:$G$63,38)="","",INDEX(Dossiers!$G$4:$G$63,38)))</f>
        <v/>
      </c>
    </row>
    <row r="1971">
      <c r="A1971">
        <f>IF($B1971="","",INDEX(Dossiers!$E$4:$E$63,38))</f>
        <v/>
      </c>
      <c r="B1971">
        <f>IF(INDEX(Suivi!$B:$B,2009)="","",INDEX(Suivi!$B:$B,2009))</f>
        <v/>
      </c>
      <c r="C1971">
        <f>IF($B1971="","",IF(INDEX(Suivi!$D:$D,2009)="",INDEX(Suivi!$C:$C,2009),INDEX(Suivi!$D:$D,2009)))</f>
        <v/>
      </c>
      <c r="D1971" s="29">
        <f>IF($B1971="","",INDEX(Suivi!$E:$E,2009))</f>
        <v/>
      </c>
      <c r="E1971" s="29">
        <f>IF($B1971="","",INDEX(Suivi!$F:$F,2009))</f>
        <v/>
      </c>
      <c r="F1971">
        <f>IF($B1971="","",INDEX(Suivi!$G:$G,2009))</f>
        <v/>
      </c>
      <c r="H1971">
        <f>IF(OR($B1971="",NOT(ISNUMBER($D1971))),"",IF($E1971&lt;$D$2,"Passé",IF($D1971&gt;$F$2,"À venir","Dans la période")))</f>
        <v/>
      </c>
      <c r="I1971">
        <f>IF(OR($B1971="",NOT(ISNUMBER($D1971))),"",IF(AND($E1971&lt;$D$2,$G1971&lt;&gt;"X",$F1971&lt;&gt;"Réalisé",$F1971&lt;&gt;"Clôturé"),"RETARD",""))</f>
        <v/>
      </c>
      <c r="J1971" s="29">
        <f>IF($B1971="","",IF(INDEX(Dossiers!$F$4:$F$63,38)="","",INDEX(Dossiers!$F$4:$F$63,38)))</f>
        <v/>
      </c>
      <c r="K1971" s="29">
        <f>IF($B1971="","",IF(INDEX(Dossiers!$G$4:$G$63,38)="","",INDEX(Dossiers!$G$4:$G$63,38)))</f>
        <v/>
      </c>
    </row>
    <row r="1972">
      <c r="A1972">
        <f>IF($B1972="","",INDEX(Dossiers!$E$4:$E$63,38))</f>
        <v/>
      </c>
      <c r="B1972">
        <f>IF(INDEX(Suivi!$B:$B,2010)="","",INDEX(Suivi!$B:$B,2010))</f>
        <v/>
      </c>
      <c r="C1972">
        <f>IF($B1972="","",IF(INDEX(Suivi!$D:$D,2010)="",INDEX(Suivi!$C:$C,2010),INDEX(Suivi!$D:$D,2010)))</f>
        <v/>
      </c>
      <c r="D1972" s="29">
        <f>IF($B1972="","",INDEX(Suivi!$E:$E,2010))</f>
        <v/>
      </c>
      <c r="E1972" s="29">
        <f>IF($B1972="","",INDEX(Suivi!$F:$F,2010))</f>
        <v/>
      </c>
      <c r="F1972">
        <f>IF($B1972="","",INDEX(Suivi!$G:$G,2010))</f>
        <v/>
      </c>
      <c r="H1972">
        <f>IF(OR($B1972="",NOT(ISNUMBER($D1972))),"",IF($E1972&lt;$D$2,"Passé",IF($D1972&gt;$F$2,"À venir","Dans la période")))</f>
        <v/>
      </c>
      <c r="I1972">
        <f>IF(OR($B1972="",NOT(ISNUMBER($D1972))),"",IF(AND($E1972&lt;$D$2,$G1972&lt;&gt;"X",$F1972&lt;&gt;"Réalisé",$F1972&lt;&gt;"Clôturé"),"RETARD",""))</f>
        <v/>
      </c>
      <c r="J1972" s="29">
        <f>IF($B1972="","",IF(INDEX(Dossiers!$F$4:$F$63,38)="","",INDEX(Dossiers!$F$4:$F$63,38)))</f>
        <v/>
      </c>
      <c r="K1972" s="29">
        <f>IF($B1972="","",IF(INDEX(Dossiers!$G$4:$G$63,38)="","",INDEX(Dossiers!$G$4:$G$63,38)))</f>
        <v/>
      </c>
    </row>
    <row r="1973">
      <c r="A1973">
        <f>IF($B1973="","",INDEX(Dossiers!$E$4:$E$63,38))</f>
        <v/>
      </c>
      <c r="B1973">
        <f>IF(INDEX(Suivi!$B:$B,2011)="","",INDEX(Suivi!$B:$B,2011))</f>
        <v/>
      </c>
      <c r="C1973">
        <f>IF($B1973="","",IF(INDEX(Suivi!$D:$D,2011)="",INDEX(Suivi!$C:$C,2011),INDEX(Suivi!$D:$D,2011)))</f>
        <v/>
      </c>
      <c r="D1973" s="29">
        <f>IF($B1973="","",INDEX(Suivi!$E:$E,2011))</f>
        <v/>
      </c>
      <c r="E1973" s="29">
        <f>IF($B1973="","",INDEX(Suivi!$F:$F,2011))</f>
        <v/>
      </c>
      <c r="F1973">
        <f>IF($B1973="","",INDEX(Suivi!$G:$G,2011))</f>
        <v/>
      </c>
      <c r="H1973">
        <f>IF(OR($B1973="",NOT(ISNUMBER($D1973))),"",IF($E1973&lt;$D$2,"Passé",IF($D1973&gt;$F$2,"À venir","Dans la période")))</f>
        <v/>
      </c>
      <c r="I1973">
        <f>IF(OR($B1973="",NOT(ISNUMBER($D1973))),"",IF(AND($E1973&lt;$D$2,$G1973&lt;&gt;"X",$F1973&lt;&gt;"Réalisé",$F1973&lt;&gt;"Clôturé"),"RETARD",""))</f>
        <v/>
      </c>
      <c r="J1973" s="29">
        <f>IF($B1973="","",IF(INDEX(Dossiers!$F$4:$F$63,38)="","",INDEX(Dossiers!$F$4:$F$63,38)))</f>
        <v/>
      </c>
      <c r="K1973" s="29">
        <f>IF($B1973="","",IF(INDEX(Dossiers!$G$4:$G$63,38)="","",INDEX(Dossiers!$G$4:$G$63,38)))</f>
        <v/>
      </c>
    </row>
    <row r="1974">
      <c r="A1974">
        <f>IF($B1974="","",INDEX(Dossiers!$E$4:$E$63,38))</f>
        <v/>
      </c>
      <c r="B1974">
        <f>IF(INDEX(Suivi!$B:$B,2012)="","",INDEX(Suivi!$B:$B,2012))</f>
        <v/>
      </c>
      <c r="C1974">
        <f>IF($B1974="","",IF(INDEX(Suivi!$D:$D,2012)="",INDEX(Suivi!$C:$C,2012),INDEX(Suivi!$D:$D,2012)))</f>
        <v/>
      </c>
      <c r="D1974" s="29">
        <f>IF($B1974="","",INDEX(Suivi!$E:$E,2012))</f>
        <v/>
      </c>
      <c r="E1974" s="29">
        <f>IF($B1974="","",INDEX(Suivi!$F:$F,2012))</f>
        <v/>
      </c>
      <c r="F1974">
        <f>IF($B1974="","",INDEX(Suivi!$G:$G,2012))</f>
        <v/>
      </c>
      <c r="H1974">
        <f>IF(OR($B1974="",NOT(ISNUMBER($D1974))),"",IF($E1974&lt;$D$2,"Passé",IF($D1974&gt;$F$2,"À venir","Dans la période")))</f>
        <v/>
      </c>
      <c r="I1974">
        <f>IF(OR($B1974="",NOT(ISNUMBER($D1974))),"",IF(AND($E1974&lt;$D$2,$G1974&lt;&gt;"X",$F1974&lt;&gt;"Réalisé",$F1974&lt;&gt;"Clôturé"),"RETARD",""))</f>
        <v/>
      </c>
      <c r="J1974" s="29">
        <f>IF($B1974="","",IF(INDEX(Dossiers!$F$4:$F$63,38)="","",INDEX(Dossiers!$F$4:$F$63,38)))</f>
        <v/>
      </c>
      <c r="K1974" s="29">
        <f>IF($B1974="","",IF(INDEX(Dossiers!$G$4:$G$63,38)="","",INDEX(Dossiers!$G$4:$G$63,38)))</f>
        <v/>
      </c>
    </row>
    <row r="1975">
      <c r="A1975">
        <f>IF($B1975="","",INDEX(Dossiers!$E$4:$E$63,38))</f>
        <v/>
      </c>
      <c r="B1975">
        <f>IF(INDEX(Suivi!$B:$B,2013)="","",INDEX(Suivi!$B:$B,2013))</f>
        <v/>
      </c>
      <c r="C1975">
        <f>IF($B1975="","",IF(INDEX(Suivi!$D:$D,2013)="",INDEX(Suivi!$C:$C,2013),INDEX(Suivi!$D:$D,2013)))</f>
        <v/>
      </c>
      <c r="D1975" s="29">
        <f>IF($B1975="","",INDEX(Suivi!$E:$E,2013))</f>
        <v/>
      </c>
      <c r="E1975" s="29">
        <f>IF($B1975="","",INDEX(Suivi!$F:$F,2013))</f>
        <v/>
      </c>
      <c r="F1975">
        <f>IF($B1975="","",INDEX(Suivi!$G:$G,2013))</f>
        <v/>
      </c>
      <c r="H1975">
        <f>IF(OR($B1975="",NOT(ISNUMBER($D1975))),"",IF($E1975&lt;$D$2,"Passé",IF($D1975&gt;$F$2,"À venir","Dans la période")))</f>
        <v/>
      </c>
      <c r="I1975">
        <f>IF(OR($B1975="",NOT(ISNUMBER($D1975))),"",IF(AND($E1975&lt;$D$2,$G1975&lt;&gt;"X",$F1975&lt;&gt;"Réalisé",$F1975&lt;&gt;"Clôturé"),"RETARD",""))</f>
        <v/>
      </c>
      <c r="J1975" s="29">
        <f>IF($B1975="","",IF(INDEX(Dossiers!$F$4:$F$63,38)="","",INDEX(Dossiers!$F$4:$F$63,38)))</f>
        <v/>
      </c>
      <c r="K1975" s="29">
        <f>IF($B1975="","",IF(INDEX(Dossiers!$G$4:$G$63,38)="","",INDEX(Dossiers!$G$4:$G$63,38)))</f>
        <v/>
      </c>
    </row>
    <row r="1976">
      <c r="A1976">
        <f>IF($B1976="","",INDEX(Dossiers!$E$4:$E$63,38))</f>
        <v/>
      </c>
      <c r="B1976">
        <f>IF(INDEX(Suivi!$B:$B,2014)="","",INDEX(Suivi!$B:$B,2014))</f>
        <v/>
      </c>
      <c r="C1976">
        <f>IF($B1976="","",IF(INDEX(Suivi!$D:$D,2014)="",INDEX(Suivi!$C:$C,2014),INDEX(Suivi!$D:$D,2014)))</f>
        <v/>
      </c>
      <c r="D1976" s="29">
        <f>IF($B1976="","",INDEX(Suivi!$E:$E,2014))</f>
        <v/>
      </c>
      <c r="E1976" s="29">
        <f>IF($B1976="","",INDEX(Suivi!$F:$F,2014))</f>
        <v/>
      </c>
      <c r="F1976">
        <f>IF($B1976="","",INDEX(Suivi!$G:$G,2014))</f>
        <v/>
      </c>
      <c r="H1976">
        <f>IF(OR($B1976="",NOT(ISNUMBER($D1976))),"",IF($E1976&lt;$D$2,"Passé",IF($D1976&gt;$F$2,"À venir","Dans la période")))</f>
        <v/>
      </c>
      <c r="I1976">
        <f>IF(OR($B1976="",NOT(ISNUMBER($D1976))),"",IF(AND($E1976&lt;$D$2,$G1976&lt;&gt;"X",$F1976&lt;&gt;"Réalisé",$F1976&lt;&gt;"Clôturé"),"RETARD",""))</f>
        <v/>
      </c>
      <c r="J1976" s="29">
        <f>IF($B1976="","",IF(INDEX(Dossiers!$F$4:$F$63,38)="","",INDEX(Dossiers!$F$4:$F$63,38)))</f>
        <v/>
      </c>
      <c r="K1976" s="29">
        <f>IF($B1976="","",IF(INDEX(Dossiers!$G$4:$G$63,38)="","",INDEX(Dossiers!$G$4:$G$63,38)))</f>
        <v/>
      </c>
    </row>
    <row r="1977">
      <c r="A1977">
        <f>IF($B1977="","",INDEX(Dossiers!$E$4:$E$63,38))</f>
        <v/>
      </c>
      <c r="B1977">
        <f>IF(INDEX(Suivi!$B:$B,2015)="","",INDEX(Suivi!$B:$B,2015))</f>
        <v/>
      </c>
      <c r="C1977">
        <f>IF($B1977="","",IF(INDEX(Suivi!$D:$D,2015)="",INDEX(Suivi!$C:$C,2015),INDEX(Suivi!$D:$D,2015)))</f>
        <v/>
      </c>
      <c r="D1977" s="29">
        <f>IF($B1977="","",INDEX(Suivi!$E:$E,2015))</f>
        <v/>
      </c>
      <c r="E1977" s="29">
        <f>IF($B1977="","",INDEX(Suivi!$F:$F,2015))</f>
        <v/>
      </c>
      <c r="F1977">
        <f>IF($B1977="","",INDEX(Suivi!$G:$G,2015))</f>
        <v/>
      </c>
      <c r="H1977">
        <f>IF(OR($B1977="",NOT(ISNUMBER($D1977))),"",IF($E1977&lt;$D$2,"Passé",IF($D1977&gt;$F$2,"À venir","Dans la période")))</f>
        <v/>
      </c>
      <c r="I1977">
        <f>IF(OR($B1977="",NOT(ISNUMBER($D1977))),"",IF(AND($E1977&lt;$D$2,$G1977&lt;&gt;"X",$F1977&lt;&gt;"Réalisé",$F1977&lt;&gt;"Clôturé"),"RETARD",""))</f>
        <v/>
      </c>
      <c r="J1977" s="29">
        <f>IF($B1977="","",IF(INDEX(Dossiers!$F$4:$F$63,38)="","",INDEX(Dossiers!$F$4:$F$63,38)))</f>
        <v/>
      </c>
      <c r="K1977" s="29">
        <f>IF($B1977="","",IF(INDEX(Dossiers!$G$4:$G$63,38)="","",INDEX(Dossiers!$G$4:$G$63,38)))</f>
        <v/>
      </c>
    </row>
    <row r="1978">
      <c r="A1978">
        <f>IF($B1978="","",INDEX(Dossiers!$E$4:$E$63,38))</f>
        <v/>
      </c>
      <c r="B1978">
        <f>IF(INDEX(Suivi!$B:$B,2016)="","",INDEX(Suivi!$B:$B,2016))</f>
        <v/>
      </c>
      <c r="C1978">
        <f>IF($B1978="","",IF(INDEX(Suivi!$D:$D,2016)="",INDEX(Suivi!$C:$C,2016),INDEX(Suivi!$D:$D,2016)))</f>
        <v/>
      </c>
      <c r="D1978" s="29">
        <f>IF($B1978="","",INDEX(Suivi!$E:$E,2016))</f>
        <v/>
      </c>
      <c r="E1978" s="29">
        <f>IF($B1978="","",INDEX(Suivi!$F:$F,2016))</f>
        <v/>
      </c>
      <c r="F1978">
        <f>IF($B1978="","",INDEX(Suivi!$G:$G,2016))</f>
        <v/>
      </c>
      <c r="H1978">
        <f>IF(OR($B1978="",NOT(ISNUMBER($D1978))),"",IF($E1978&lt;$D$2,"Passé",IF($D1978&gt;$F$2,"À venir","Dans la période")))</f>
        <v/>
      </c>
      <c r="I1978">
        <f>IF(OR($B1978="",NOT(ISNUMBER($D1978))),"",IF(AND($E1978&lt;$D$2,$G1978&lt;&gt;"X",$F1978&lt;&gt;"Réalisé",$F1978&lt;&gt;"Clôturé"),"RETARD",""))</f>
        <v/>
      </c>
      <c r="J1978" s="29">
        <f>IF($B1978="","",IF(INDEX(Dossiers!$F$4:$F$63,38)="","",INDEX(Dossiers!$F$4:$F$63,38)))</f>
        <v/>
      </c>
      <c r="K1978" s="29">
        <f>IF($B1978="","",IF(INDEX(Dossiers!$G$4:$G$63,38)="","",INDEX(Dossiers!$G$4:$G$63,38)))</f>
        <v/>
      </c>
    </row>
    <row r="1979">
      <c r="A1979">
        <f>IF($B1979="","",INDEX(Dossiers!$E$4:$E$63,38))</f>
        <v/>
      </c>
      <c r="B1979">
        <f>IF(INDEX(Suivi!$B:$B,2017)="","",INDEX(Suivi!$B:$B,2017))</f>
        <v/>
      </c>
      <c r="C1979">
        <f>IF($B1979="","",IF(INDEX(Suivi!$D:$D,2017)="",INDEX(Suivi!$C:$C,2017),INDEX(Suivi!$D:$D,2017)))</f>
        <v/>
      </c>
      <c r="D1979" s="29">
        <f>IF($B1979="","",INDEX(Suivi!$E:$E,2017))</f>
        <v/>
      </c>
      <c r="E1979" s="29">
        <f>IF($B1979="","",INDEX(Suivi!$F:$F,2017))</f>
        <v/>
      </c>
      <c r="F1979">
        <f>IF($B1979="","",INDEX(Suivi!$G:$G,2017))</f>
        <v/>
      </c>
      <c r="H1979">
        <f>IF(OR($B1979="",NOT(ISNUMBER($D1979))),"",IF($E1979&lt;$D$2,"Passé",IF($D1979&gt;$F$2,"À venir","Dans la période")))</f>
        <v/>
      </c>
      <c r="I1979">
        <f>IF(OR($B1979="",NOT(ISNUMBER($D1979))),"",IF(AND($E1979&lt;$D$2,$G1979&lt;&gt;"X",$F1979&lt;&gt;"Réalisé",$F1979&lt;&gt;"Clôturé"),"RETARD",""))</f>
        <v/>
      </c>
      <c r="J1979" s="29">
        <f>IF($B1979="","",IF(INDEX(Dossiers!$F$4:$F$63,38)="","",INDEX(Dossiers!$F$4:$F$63,38)))</f>
        <v/>
      </c>
      <c r="K1979" s="29">
        <f>IF($B1979="","",IF(INDEX(Dossiers!$G$4:$G$63,38)="","",INDEX(Dossiers!$G$4:$G$63,38)))</f>
        <v/>
      </c>
    </row>
    <row r="1980">
      <c r="A1980">
        <f>IF($B1980="","",INDEX(Dossiers!$E$4:$E$63,38))</f>
        <v/>
      </c>
      <c r="B1980">
        <f>IF(INDEX(Suivi!$B:$B,2018)="","",INDEX(Suivi!$B:$B,2018))</f>
        <v/>
      </c>
      <c r="C1980">
        <f>IF($B1980="","",IF(INDEX(Suivi!$D:$D,2018)="",INDEX(Suivi!$C:$C,2018),INDEX(Suivi!$D:$D,2018)))</f>
        <v/>
      </c>
      <c r="D1980" s="29">
        <f>IF($B1980="","",INDEX(Suivi!$E:$E,2018))</f>
        <v/>
      </c>
      <c r="E1980" s="29">
        <f>IF($B1980="","",INDEX(Suivi!$F:$F,2018))</f>
        <v/>
      </c>
      <c r="F1980">
        <f>IF($B1980="","",INDEX(Suivi!$G:$G,2018))</f>
        <v/>
      </c>
      <c r="H1980">
        <f>IF(OR($B1980="",NOT(ISNUMBER($D1980))),"",IF($E1980&lt;$D$2,"Passé",IF($D1980&gt;$F$2,"À venir","Dans la période")))</f>
        <v/>
      </c>
      <c r="I1980">
        <f>IF(OR($B1980="",NOT(ISNUMBER($D1980))),"",IF(AND($E1980&lt;$D$2,$G1980&lt;&gt;"X",$F1980&lt;&gt;"Réalisé",$F1980&lt;&gt;"Clôturé"),"RETARD",""))</f>
        <v/>
      </c>
      <c r="J1980" s="29">
        <f>IF($B1980="","",IF(INDEX(Dossiers!$F$4:$F$63,38)="","",INDEX(Dossiers!$F$4:$F$63,38)))</f>
        <v/>
      </c>
      <c r="K1980" s="29">
        <f>IF($B1980="","",IF(INDEX(Dossiers!$G$4:$G$63,38)="","",INDEX(Dossiers!$G$4:$G$63,38)))</f>
        <v/>
      </c>
    </row>
    <row r="1981">
      <c r="A1981">
        <f>IF($B1981="","",INDEX(Dossiers!$E$4:$E$63,38))</f>
        <v/>
      </c>
      <c r="B1981">
        <f>IF(INDEX(Suivi!$B:$B,2019)="","",INDEX(Suivi!$B:$B,2019))</f>
        <v/>
      </c>
      <c r="C1981">
        <f>IF($B1981="","",IF(INDEX(Suivi!$D:$D,2019)="",INDEX(Suivi!$C:$C,2019),INDEX(Suivi!$D:$D,2019)))</f>
        <v/>
      </c>
      <c r="D1981" s="29">
        <f>IF($B1981="","",INDEX(Suivi!$E:$E,2019))</f>
        <v/>
      </c>
      <c r="E1981" s="29">
        <f>IF($B1981="","",INDEX(Suivi!$F:$F,2019))</f>
        <v/>
      </c>
      <c r="F1981">
        <f>IF($B1981="","",INDEX(Suivi!$G:$G,2019))</f>
        <v/>
      </c>
      <c r="H1981">
        <f>IF(OR($B1981="",NOT(ISNUMBER($D1981))),"",IF($E1981&lt;$D$2,"Passé",IF($D1981&gt;$F$2,"À venir","Dans la période")))</f>
        <v/>
      </c>
      <c r="I1981">
        <f>IF(OR($B1981="",NOT(ISNUMBER($D1981))),"",IF(AND($E1981&lt;$D$2,$G1981&lt;&gt;"X",$F1981&lt;&gt;"Réalisé",$F1981&lt;&gt;"Clôturé"),"RETARD",""))</f>
        <v/>
      </c>
      <c r="J1981" s="29">
        <f>IF($B1981="","",IF(INDEX(Dossiers!$F$4:$F$63,38)="","",INDEX(Dossiers!$F$4:$F$63,38)))</f>
        <v/>
      </c>
      <c r="K1981" s="29">
        <f>IF($B1981="","",IF(INDEX(Dossiers!$G$4:$G$63,38)="","",INDEX(Dossiers!$G$4:$G$63,38)))</f>
        <v/>
      </c>
    </row>
    <row r="1982">
      <c r="A1982">
        <f>IF($B1982="","",INDEX(Dossiers!$E$4:$E$63,38))</f>
        <v/>
      </c>
      <c r="B1982">
        <f>IF(INDEX(Suivi!$B:$B,2020)="","",INDEX(Suivi!$B:$B,2020))</f>
        <v/>
      </c>
      <c r="C1982">
        <f>IF($B1982="","",IF(INDEX(Suivi!$D:$D,2020)="",INDEX(Suivi!$C:$C,2020),INDEX(Suivi!$D:$D,2020)))</f>
        <v/>
      </c>
      <c r="D1982" s="29">
        <f>IF($B1982="","",INDEX(Suivi!$E:$E,2020))</f>
        <v/>
      </c>
      <c r="E1982" s="29">
        <f>IF($B1982="","",INDEX(Suivi!$F:$F,2020))</f>
        <v/>
      </c>
      <c r="F1982">
        <f>IF($B1982="","",INDEX(Suivi!$G:$G,2020))</f>
        <v/>
      </c>
      <c r="H1982">
        <f>IF(OR($B1982="",NOT(ISNUMBER($D1982))),"",IF($E1982&lt;$D$2,"Passé",IF($D1982&gt;$F$2,"À venir","Dans la période")))</f>
        <v/>
      </c>
      <c r="I1982">
        <f>IF(OR($B1982="",NOT(ISNUMBER($D1982))),"",IF(AND($E1982&lt;$D$2,$G1982&lt;&gt;"X",$F1982&lt;&gt;"Réalisé",$F1982&lt;&gt;"Clôturé"),"RETARD",""))</f>
        <v/>
      </c>
      <c r="J1982" s="29">
        <f>IF($B1982="","",IF(INDEX(Dossiers!$F$4:$F$63,38)="","",INDEX(Dossiers!$F$4:$F$63,38)))</f>
        <v/>
      </c>
      <c r="K1982" s="29">
        <f>IF($B1982="","",IF(INDEX(Dossiers!$G$4:$G$63,38)="","",INDEX(Dossiers!$G$4:$G$63,38)))</f>
        <v/>
      </c>
    </row>
    <row r="1983">
      <c r="A1983">
        <f>IF($B1983="","",INDEX(Dossiers!$E$4:$E$63,38))</f>
        <v/>
      </c>
      <c r="B1983">
        <f>IF(INDEX(Suivi!$B:$B,2021)="","",INDEX(Suivi!$B:$B,2021))</f>
        <v/>
      </c>
      <c r="C1983">
        <f>IF($B1983="","",IF(INDEX(Suivi!$D:$D,2021)="",INDEX(Suivi!$C:$C,2021),INDEX(Suivi!$D:$D,2021)))</f>
        <v/>
      </c>
      <c r="D1983" s="29">
        <f>IF($B1983="","",INDEX(Suivi!$E:$E,2021))</f>
        <v/>
      </c>
      <c r="E1983" s="29">
        <f>IF($B1983="","",INDEX(Suivi!$F:$F,2021))</f>
        <v/>
      </c>
      <c r="F1983">
        <f>IF($B1983="","",INDEX(Suivi!$G:$G,2021))</f>
        <v/>
      </c>
      <c r="H1983">
        <f>IF(OR($B1983="",NOT(ISNUMBER($D1983))),"",IF($E1983&lt;$D$2,"Passé",IF($D1983&gt;$F$2,"À venir","Dans la période")))</f>
        <v/>
      </c>
      <c r="I1983">
        <f>IF(OR($B1983="",NOT(ISNUMBER($D1983))),"",IF(AND($E1983&lt;$D$2,$G1983&lt;&gt;"X",$F1983&lt;&gt;"Réalisé",$F1983&lt;&gt;"Clôturé"),"RETARD",""))</f>
        <v/>
      </c>
      <c r="J1983" s="29">
        <f>IF($B1983="","",IF(INDEX(Dossiers!$F$4:$F$63,38)="","",INDEX(Dossiers!$F$4:$F$63,38)))</f>
        <v/>
      </c>
      <c r="K1983" s="29">
        <f>IF($B1983="","",IF(INDEX(Dossiers!$G$4:$G$63,38)="","",INDEX(Dossiers!$G$4:$G$63,38)))</f>
        <v/>
      </c>
    </row>
    <row r="1984">
      <c r="A1984">
        <f>IF($B1984="","",INDEX(Dossiers!$E$4:$E$63,38))</f>
        <v/>
      </c>
      <c r="B1984">
        <f>IF(INDEX(Suivi!$B:$B,2022)="","",INDEX(Suivi!$B:$B,2022))</f>
        <v/>
      </c>
      <c r="C1984">
        <f>IF($B1984="","",IF(INDEX(Suivi!$D:$D,2022)="",INDEX(Suivi!$C:$C,2022),INDEX(Suivi!$D:$D,2022)))</f>
        <v/>
      </c>
      <c r="D1984" s="29">
        <f>IF($B1984="","",INDEX(Suivi!$E:$E,2022))</f>
        <v/>
      </c>
      <c r="E1984" s="29">
        <f>IF($B1984="","",INDEX(Suivi!$F:$F,2022))</f>
        <v/>
      </c>
      <c r="F1984">
        <f>IF($B1984="","",INDEX(Suivi!$G:$G,2022))</f>
        <v/>
      </c>
      <c r="H1984">
        <f>IF(OR($B1984="",NOT(ISNUMBER($D1984))),"",IF($E1984&lt;$D$2,"Passé",IF($D1984&gt;$F$2,"À venir","Dans la période")))</f>
        <v/>
      </c>
      <c r="I1984">
        <f>IF(OR($B1984="",NOT(ISNUMBER($D1984))),"",IF(AND($E1984&lt;$D$2,$G1984&lt;&gt;"X",$F1984&lt;&gt;"Réalisé",$F1984&lt;&gt;"Clôturé"),"RETARD",""))</f>
        <v/>
      </c>
      <c r="J1984" s="29">
        <f>IF($B1984="","",IF(INDEX(Dossiers!$F$4:$F$63,38)="","",INDEX(Dossiers!$F$4:$F$63,38)))</f>
        <v/>
      </c>
      <c r="K1984" s="29">
        <f>IF($B1984="","",IF(INDEX(Dossiers!$G$4:$G$63,38)="","",INDEX(Dossiers!$G$4:$G$63,38)))</f>
        <v/>
      </c>
    </row>
    <row r="1985">
      <c r="A1985">
        <f>IF($B1985="","",INDEX(Dossiers!$E$4:$E$63,38))</f>
        <v/>
      </c>
      <c r="B1985">
        <f>IF(INDEX(Suivi!$B:$B,2023)="","",INDEX(Suivi!$B:$B,2023))</f>
        <v/>
      </c>
      <c r="C1985">
        <f>IF($B1985="","",IF(INDEX(Suivi!$D:$D,2023)="",INDEX(Suivi!$C:$C,2023),INDEX(Suivi!$D:$D,2023)))</f>
        <v/>
      </c>
      <c r="D1985" s="29">
        <f>IF($B1985="","",INDEX(Suivi!$E:$E,2023))</f>
        <v/>
      </c>
      <c r="E1985" s="29">
        <f>IF($B1985="","",INDEX(Suivi!$F:$F,2023))</f>
        <v/>
      </c>
      <c r="F1985">
        <f>IF($B1985="","",INDEX(Suivi!$G:$G,2023))</f>
        <v/>
      </c>
      <c r="H1985">
        <f>IF(OR($B1985="",NOT(ISNUMBER($D1985))),"",IF($E1985&lt;$D$2,"Passé",IF($D1985&gt;$F$2,"À venir","Dans la période")))</f>
        <v/>
      </c>
      <c r="I1985">
        <f>IF(OR($B1985="",NOT(ISNUMBER($D1985))),"",IF(AND($E1985&lt;$D$2,$G1985&lt;&gt;"X",$F1985&lt;&gt;"Réalisé",$F1985&lt;&gt;"Clôturé"),"RETARD",""))</f>
        <v/>
      </c>
      <c r="J1985" s="29">
        <f>IF($B1985="","",IF(INDEX(Dossiers!$F$4:$F$63,38)="","",INDEX(Dossiers!$F$4:$F$63,38)))</f>
        <v/>
      </c>
      <c r="K1985" s="29">
        <f>IF($B1985="","",IF(INDEX(Dossiers!$G$4:$G$63,38)="","",INDEX(Dossiers!$G$4:$G$63,38)))</f>
        <v/>
      </c>
    </row>
    <row r="1986">
      <c r="A1986">
        <f>IF($B1986="","",INDEX(Dossiers!$E$4:$E$63,38))</f>
        <v/>
      </c>
      <c r="B1986">
        <f>IF(INDEX(Suivi!$B:$B,2024)="","",INDEX(Suivi!$B:$B,2024))</f>
        <v/>
      </c>
      <c r="C1986">
        <f>IF($B1986="","",IF(INDEX(Suivi!$D:$D,2024)="",INDEX(Suivi!$C:$C,2024),INDEX(Suivi!$D:$D,2024)))</f>
        <v/>
      </c>
      <c r="D1986" s="29">
        <f>IF($B1986="","",INDEX(Suivi!$E:$E,2024))</f>
        <v/>
      </c>
      <c r="E1986" s="29">
        <f>IF($B1986="","",INDEX(Suivi!$F:$F,2024))</f>
        <v/>
      </c>
      <c r="F1986">
        <f>IF($B1986="","",INDEX(Suivi!$G:$G,2024))</f>
        <v/>
      </c>
      <c r="H1986">
        <f>IF(OR($B1986="",NOT(ISNUMBER($D1986))),"",IF($E1986&lt;$D$2,"Passé",IF($D1986&gt;$F$2,"À venir","Dans la période")))</f>
        <v/>
      </c>
      <c r="I1986">
        <f>IF(OR($B1986="",NOT(ISNUMBER($D1986))),"",IF(AND($E1986&lt;$D$2,$G1986&lt;&gt;"X",$F1986&lt;&gt;"Réalisé",$F1986&lt;&gt;"Clôturé"),"RETARD",""))</f>
        <v/>
      </c>
      <c r="J1986" s="29">
        <f>IF($B1986="","",IF(INDEX(Dossiers!$F$4:$F$63,38)="","",INDEX(Dossiers!$F$4:$F$63,38)))</f>
        <v/>
      </c>
      <c r="K1986" s="29">
        <f>IF($B1986="","",IF(INDEX(Dossiers!$G$4:$G$63,38)="","",INDEX(Dossiers!$G$4:$G$63,38)))</f>
        <v/>
      </c>
    </row>
    <row r="1987">
      <c r="A1987">
        <f>IF($B1987="","",INDEX(Dossiers!$E$4:$E$63,38))</f>
        <v/>
      </c>
      <c r="B1987">
        <f>IF(INDEX(Suivi!$B:$B,2025)="","",INDEX(Suivi!$B:$B,2025))</f>
        <v/>
      </c>
      <c r="C1987">
        <f>IF($B1987="","",IF(INDEX(Suivi!$D:$D,2025)="",INDEX(Suivi!$C:$C,2025),INDEX(Suivi!$D:$D,2025)))</f>
        <v/>
      </c>
      <c r="D1987" s="29">
        <f>IF($B1987="","",INDEX(Suivi!$E:$E,2025))</f>
        <v/>
      </c>
      <c r="E1987" s="29">
        <f>IF($B1987="","",INDEX(Suivi!$F:$F,2025))</f>
        <v/>
      </c>
      <c r="F1987">
        <f>IF($B1987="","",INDEX(Suivi!$G:$G,2025))</f>
        <v/>
      </c>
      <c r="H1987">
        <f>IF(OR($B1987="",NOT(ISNUMBER($D1987))),"",IF($E1987&lt;$D$2,"Passé",IF($D1987&gt;$F$2,"À venir","Dans la période")))</f>
        <v/>
      </c>
      <c r="I1987">
        <f>IF(OR($B1987="",NOT(ISNUMBER($D1987))),"",IF(AND($E1987&lt;$D$2,$G1987&lt;&gt;"X",$F1987&lt;&gt;"Réalisé",$F1987&lt;&gt;"Clôturé"),"RETARD",""))</f>
        <v/>
      </c>
      <c r="J1987" s="29">
        <f>IF($B1987="","",IF(INDEX(Dossiers!$F$4:$F$63,38)="","",INDEX(Dossiers!$F$4:$F$63,38)))</f>
        <v/>
      </c>
      <c r="K1987" s="29">
        <f>IF($B1987="","",IF(INDEX(Dossiers!$G$4:$G$63,38)="","",INDEX(Dossiers!$G$4:$G$63,38)))</f>
        <v/>
      </c>
    </row>
    <row r="1988">
      <c r="A1988">
        <f>IF($B1988="","",INDEX(Dossiers!$E$4:$E$63,38))</f>
        <v/>
      </c>
      <c r="B1988">
        <f>IF(INDEX(Suivi!$B:$B,2026)="","",INDEX(Suivi!$B:$B,2026))</f>
        <v/>
      </c>
      <c r="C1988">
        <f>IF($B1988="","",IF(INDEX(Suivi!$D:$D,2026)="",INDEX(Suivi!$C:$C,2026),INDEX(Suivi!$D:$D,2026)))</f>
        <v/>
      </c>
      <c r="D1988" s="29">
        <f>IF($B1988="","",INDEX(Suivi!$E:$E,2026))</f>
        <v/>
      </c>
      <c r="E1988" s="29">
        <f>IF($B1988="","",INDEX(Suivi!$F:$F,2026))</f>
        <v/>
      </c>
      <c r="F1988">
        <f>IF($B1988="","",INDEX(Suivi!$G:$G,2026))</f>
        <v/>
      </c>
      <c r="H1988">
        <f>IF(OR($B1988="",NOT(ISNUMBER($D1988))),"",IF($E1988&lt;$D$2,"Passé",IF($D1988&gt;$F$2,"À venir","Dans la période")))</f>
        <v/>
      </c>
      <c r="I1988">
        <f>IF(OR($B1988="",NOT(ISNUMBER($D1988))),"",IF(AND($E1988&lt;$D$2,$G1988&lt;&gt;"X",$F1988&lt;&gt;"Réalisé",$F1988&lt;&gt;"Clôturé"),"RETARD",""))</f>
        <v/>
      </c>
      <c r="J1988" s="29">
        <f>IF($B1988="","",IF(INDEX(Dossiers!$F$4:$F$63,38)="","",INDEX(Dossiers!$F$4:$F$63,38)))</f>
        <v/>
      </c>
      <c r="K1988" s="29">
        <f>IF($B1988="","",IF(INDEX(Dossiers!$G$4:$G$63,38)="","",INDEX(Dossiers!$G$4:$G$63,38)))</f>
        <v/>
      </c>
    </row>
    <row r="1989">
      <c r="A1989">
        <f>IF($B1989="","",INDEX(Dossiers!$E$4:$E$63,38))</f>
        <v/>
      </c>
      <c r="B1989">
        <f>IF(INDEX(Suivi!$B:$B,2027)="","",INDEX(Suivi!$B:$B,2027))</f>
        <v/>
      </c>
      <c r="C1989">
        <f>IF($B1989="","",IF(INDEX(Suivi!$D:$D,2027)="",INDEX(Suivi!$C:$C,2027),INDEX(Suivi!$D:$D,2027)))</f>
        <v/>
      </c>
      <c r="D1989" s="29">
        <f>IF($B1989="","",INDEX(Suivi!$E:$E,2027))</f>
        <v/>
      </c>
      <c r="E1989" s="29">
        <f>IF($B1989="","",INDEX(Suivi!$F:$F,2027))</f>
        <v/>
      </c>
      <c r="F1989">
        <f>IF($B1989="","",INDEX(Suivi!$G:$G,2027))</f>
        <v/>
      </c>
      <c r="H1989">
        <f>IF(OR($B1989="",NOT(ISNUMBER($D1989))),"",IF($E1989&lt;$D$2,"Passé",IF($D1989&gt;$F$2,"À venir","Dans la période")))</f>
        <v/>
      </c>
      <c r="I1989">
        <f>IF(OR($B1989="",NOT(ISNUMBER($D1989))),"",IF(AND($E1989&lt;$D$2,$G1989&lt;&gt;"X",$F1989&lt;&gt;"Réalisé",$F1989&lt;&gt;"Clôturé"),"RETARD",""))</f>
        <v/>
      </c>
      <c r="J1989" s="29">
        <f>IF($B1989="","",IF(INDEX(Dossiers!$F$4:$F$63,38)="","",INDEX(Dossiers!$F$4:$F$63,38)))</f>
        <v/>
      </c>
      <c r="K1989" s="29">
        <f>IF($B1989="","",IF(INDEX(Dossiers!$G$4:$G$63,38)="","",INDEX(Dossiers!$G$4:$G$63,38)))</f>
        <v/>
      </c>
    </row>
    <row r="1990">
      <c r="A1990">
        <f>IF($B1990="","",INDEX(Dossiers!$E$4:$E$63,38))</f>
        <v/>
      </c>
      <c r="B1990">
        <f>IF(INDEX(Suivi!$B:$B,2028)="","",INDEX(Suivi!$B:$B,2028))</f>
        <v/>
      </c>
      <c r="C1990">
        <f>IF($B1990="","",IF(INDEX(Suivi!$D:$D,2028)="",INDEX(Suivi!$C:$C,2028),INDEX(Suivi!$D:$D,2028)))</f>
        <v/>
      </c>
      <c r="D1990" s="29">
        <f>IF($B1990="","",INDEX(Suivi!$E:$E,2028))</f>
        <v/>
      </c>
      <c r="E1990" s="29">
        <f>IF($B1990="","",INDEX(Suivi!$F:$F,2028))</f>
        <v/>
      </c>
      <c r="F1990">
        <f>IF($B1990="","",INDEX(Suivi!$G:$G,2028))</f>
        <v/>
      </c>
      <c r="H1990">
        <f>IF(OR($B1990="",NOT(ISNUMBER($D1990))),"",IF($E1990&lt;$D$2,"Passé",IF($D1990&gt;$F$2,"À venir","Dans la période")))</f>
        <v/>
      </c>
      <c r="I1990">
        <f>IF(OR($B1990="",NOT(ISNUMBER($D1990))),"",IF(AND($E1990&lt;$D$2,$G1990&lt;&gt;"X",$F1990&lt;&gt;"Réalisé",$F1990&lt;&gt;"Clôturé"),"RETARD",""))</f>
        <v/>
      </c>
      <c r="J1990" s="29">
        <f>IF($B1990="","",IF(INDEX(Dossiers!$F$4:$F$63,38)="","",INDEX(Dossiers!$F$4:$F$63,38)))</f>
        <v/>
      </c>
      <c r="K1990" s="29">
        <f>IF($B1990="","",IF(INDEX(Dossiers!$G$4:$G$63,38)="","",INDEX(Dossiers!$G$4:$G$63,38)))</f>
        <v/>
      </c>
    </row>
    <row r="1991">
      <c r="A1991">
        <f>IF($B1991="","",INDEX(Dossiers!$E$4:$E$63,38))</f>
        <v/>
      </c>
      <c r="B1991">
        <f>IF(INDEX(Suivi!$B:$B,2029)="","",INDEX(Suivi!$B:$B,2029))</f>
        <v/>
      </c>
      <c r="C1991">
        <f>IF($B1991="","",IF(INDEX(Suivi!$D:$D,2029)="",INDEX(Suivi!$C:$C,2029),INDEX(Suivi!$D:$D,2029)))</f>
        <v/>
      </c>
      <c r="D1991" s="29">
        <f>IF($B1991="","",INDEX(Suivi!$E:$E,2029))</f>
        <v/>
      </c>
      <c r="E1991" s="29">
        <f>IF($B1991="","",INDEX(Suivi!$F:$F,2029))</f>
        <v/>
      </c>
      <c r="F1991">
        <f>IF($B1991="","",INDEX(Suivi!$G:$G,2029))</f>
        <v/>
      </c>
      <c r="H1991">
        <f>IF(OR($B1991="",NOT(ISNUMBER($D1991))),"",IF($E1991&lt;$D$2,"Passé",IF($D1991&gt;$F$2,"À venir","Dans la période")))</f>
        <v/>
      </c>
      <c r="I1991">
        <f>IF(OR($B1991="",NOT(ISNUMBER($D1991))),"",IF(AND($E1991&lt;$D$2,$G1991&lt;&gt;"X",$F1991&lt;&gt;"Réalisé",$F1991&lt;&gt;"Clôturé"),"RETARD",""))</f>
        <v/>
      </c>
      <c r="J1991" s="29">
        <f>IF($B1991="","",IF(INDEX(Dossiers!$F$4:$F$63,38)="","",INDEX(Dossiers!$F$4:$F$63,38)))</f>
        <v/>
      </c>
      <c r="K1991" s="29">
        <f>IF($B1991="","",IF(INDEX(Dossiers!$G$4:$G$63,38)="","",INDEX(Dossiers!$G$4:$G$63,38)))</f>
        <v/>
      </c>
    </row>
    <row r="1992">
      <c r="A1992">
        <f>IF($B1992="","",INDEX(Dossiers!$E$4:$E$63,38))</f>
        <v/>
      </c>
      <c r="B1992">
        <f>IF(INDEX(Suivi!$B:$B,2030)="","",INDEX(Suivi!$B:$B,2030))</f>
        <v/>
      </c>
      <c r="C1992">
        <f>IF($B1992="","",IF(INDEX(Suivi!$D:$D,2030)="",INDEX(Suivi!$C:$C,2030),INDEX(Suivi!$D:$D,2030)))</f>
        <v/>
      </c>
      <c r="D1992" s="29">
        <f>IF($B1992="","",INDEX(Suivi!$E:$E,2030))</f>
        <v/>
      </c>
      <c r="E1992" s="29">
        <f>IF($B1992="","",INDEX(Suivi!$F:$F,2030))</f>
        <v/>
      </c>
      <c r="F1992">
        <f>IF($B1992="","",INDEX(Suivi!$G:$G,2030))</f>
        <v/>
      </c>
      <c r="H1992">
        <f>IF(OR($B1992="",NOT(ISNUMBER($D1992))),"",IF($E1992&lt;$D$2,"Passé",IF($D1992&gt;$F$2,"À venir","Dans la période")))</f>
        <v/>
      </c>
      <c r="I1992">
        <f>IF(OR($B1992="",NOT(ISNUMBER($D1992))),"",IF(AND($E1992&lt;$D$2,$G1992&lt;&gt;"X",$F1992&lt;&gt;"Réalisé",$F1992&lt;&gt;"Clôturé"),"RETARD",""))</f>
        <v/>
      </c>
      <c r="J1992" s="29">
        <f>IF($B1992="","",IF(INDEX(Dossiers!$F$4:$F$63,38)="","",INDEX(Dossiers!$F$4:$F$63,38)))</f>
        <v/>
      </c>
      <c r="K1992" s="29">
        <f>IF($B1992="","",IF(INDEX(Dossiers!$G$4:$G$63,38)="","",INDEX(Dossiers!$G$4:$G$63,38)))</f>
        <v/>
      </c>
    </row>
    <row r="1993">
      <c r="A1993">
        <f>IF($B1993="","",INDEX(Dossiers!$E$4:$E$63,38))</f>
        <v/>
      </c>
      <c r="B1993">
        <f>IF(INDEX(Suivi!$B:$B,2031)="","",INDEX(Suivi!$B:$B,2031))</f>
        <v/>
      </c>
      <c r="C1993">
        <f>IF($B1993="","",IF(INDEX(Suivi!$D:$D,2031)="",INDEX(Suivi!$C:$C,2031),INDEX(Suivi!$D:$D,2031)))</f>
        <v/>
      </c>
      <c r="D1993" s="29">
        <f>IF($B1993="","",INDEX(Suivi!$E:$E,2031))</f>
        <v/>
      </c>
      <c r="E1993" s="29">
        <f>IF($B1993="","",INDEX(Suivi!$F:$F,2031))</f>
        <v/>
      </c>
      <c r="F1993">
        <f>IF($B1993="","",INDEX(Suivi!$G:$G,2031))</f>
        <v/>
      </c>
      <c r="H1993">
        <f>IF(OR($B1993="",NOT(ISNUMBER($D1993))),"",IF($E1993&lt;$D$2,"Passé",IF($D1993&gt;$F$2,"À venir","Dans la période")))</f>
        <v/>
      </c>
      <c r="I1993">
        <f>IF(OR($B1993="",NOT(ISNUMBER($D1993))),"",IF(AND($E1993&lt;$D$2,$G1993&lt;&gt;"X",$F1993&lt;&gt;"Réalisé",$F1993&lt;&gt;"Clôturé"),"RETARD",""))</f>
        <v/>
      </c>
      <c r="J1993" s="29">
        <f>IF($B1993="","",IF(INDEX(Dossiers!$F$4:$F$63,38)="","",INDEX(Dossiers!$F$4:$F$63,38)))</f>
        <v/>
      </c>
      <c r="K1993" s="29">
        <f>IF($B1993="","",IF(INDEX(Dossiers!$G$4:$G$63,38)="","",INDEX(Dossiers!$G$4:$G$63,38)))</f>
        <v/>
      </c>
    </row>
    <row r="1994">
      <c r="A1994">
        <f>IF($B1994="","",INDEX(Dossiers!$E$4:$E$63,38))</f>
        <v/>
      </c>
      <c r="B1994">
        <f>IF(INDEX(Suivi!$B:$B,2032)="","",INDEX(Suivi!$B:$B,2032))</f>
        <v/>
      </c>
      <c r="C1994">
        <f>IF($B1994="","",IF(INDEX(Suivi!$D:$D,2032)="",INDEX(Suivi!$C:$C,2032),INDEX(Suivi!$D:$D,2032)))</f>
        <v/>
      </c>
      <c r="D1994" s="29">
        <f>IF($B1994="","",INDEX(Suivi!$E:$E,2032))</f>
        <v/>
      </c>
      <c r="E1994" s="29">
        <f>IF($B1994="","",INDEX(Suivi!$F:$F,2032))</f>
        <v/>
      </c>
      <c r="F1994">
        <f>IF($B1994="","",INDEX(Suivi!$G:$G,2032))</f>
        <v/>
      </c>
      <c r="H1994">
        <f>IF(OR($B1994="",NOT(ISNUMBER($D1994))),"",IF($E1994&lt;$D$2,"Passé",IF($D1994&gt;$F$2,"À venir","Dans la période")))</f>
        <v/>
      </c>
      <c r="I1994">
        <f>IF(OR($B1994="",NOT(ISNUMBER($D1994))),"",IF(AND($E1994&lt;$D$2,$G1994&lt;&gt;"X",$F1994&lt;&gt;"Réalisé",$F1994&lt;&gt;"Clôturé"),"RETARD",""))</f>
        <v/>
      </c>
      <c r="J1994" s="29">
        <f>IF($B1994="","",IF(INDEX(Dossiers!$F$4:$F$63,38)="","",INDEX(Dossiers!$F$4:$F$63,38)))</f>
        <v/>
      </c>
      <c r="K1994" s="29">
        <f>IF($B1994="","",IF(INDEX(Dossiers!$G$4:$G$63,38)="","",INDEX(Dossiers!$G$4:$G$63,38)))</f>
        <v/>
      </c>
    </row>
    <row r="1995">
      <c r="A1995">
        <f>IF($B1995="","",INDEX(Dossiers!$E$4:$E$63,38))</f>
        <v/>
      </c>
      <c r="B1995">
        <f>IF(INDEX(Suivi!$B:$B,2033)="","",INDEX(Suivi!$B:$B,2033))</f>
        <v/>
      </c>
      <c r="C1995">
        <f>IF($B1995="","",IF(INDEX(Suivi!$D:$D,2033)="",INDEX(Suivi!$C:$C,2033),INDEX(Suivi!$D:$D,2033)))</f>
        <v/>
      </c>
      <c r="D1995" s="29">
        <f>IF($B1995="","",INDEX(Suivi!$E:$E,2033))</f>
        <v/>
      </c>
      <c r="E1995" s="29">
        <f>IF($B1995="","",INDEX(Suivi!$F:$F,2033))</f>
        <v/>
      </c>
      <c r="F1995">
        <f>IF($B1995="","",INDEX(Suivi!$G:$G,2033))</f>
        <v/>
      </c>
      <c r="H1995">
        <f>IF(OR($B1995="",NOT(ISNUMBER($D1995))),"",IF($E1995&lt;$D$2,"Passé",IF($D1995&gt;$F$2,"À venir","Dans la période")))</f>
        <v/>
      </c>
      <c r="I1995">
        <f>IF(OR($B1995="",NOT(ISNUMBER($D1995))),"",IF(AND($E1995&lt;$D$2,$G1995&lt;&gt;"X",$F1995&lt;&gt;"Réalisé",$F1995&lt;&gt;"Clôturé"),"RETARD",""))</f>
        <v/>
      </c>
      <c r="J1995" s="29">
        <f>IF($B1995="","",IF(INDEX(Dossiers!$F$4:$F$63,38)="","",INDEX(Dossiers!$F$4:$F$63,38)))</f>
        <v/>
      </c>
      <c r="K1995" s="29">
        <f>IF($B1995="","",IF(INDEX(Dossiers!$G$4:$G$63,38)="","",INDEX(Dossiers!$G$4:$G$63,38)))</f>
        <v/>
      </c>
    </row>
    <row r="1996">
      <c r="A1996">
        <f>IF($B1996="","",INDEX(Dossiers!$E$4:$E$63,38))</f>
        <v/>
      </c>
      <c r="B1996">
        <f>IF(INDEX(Suivi!$B:$B,2034)="","",INDEX(Suivi!$B:$B,2034))</f>
        <v/>
      </c>
      <c r="C1996">
        <f>IF($B1996="","",IF(INDEX(Suivi!$D:$D,2034)="",INDEX(Suivi!$C:$C,2034),INDEX(Suivi!$D:$D,2034)))</f>
        <v/>
      </c>
      <c r="D1996" s="29">
        <f>IF($B1996="","",INDEX(Suivi!$E:$E,2034))</f>
        <v/>
      </c>
      <c r="E1996" s="29">
        <f>IF($B1996="","",INDEX(Suivi!$F:$F,2034))</f>
        <v/>
      </c>
      <c r="F1996">
        <f>IF($B1996="","",INDEX(Suivi!$G:$G,2034))</f>
        <v/>
      </c>
      <c r="H1996">
        <f>IF(OR($B1996="",NOT(ISNUMBER($D1996))),"",IF($E1996&lt;$D$2,"Passé",IF($D1996&gt;$F$2,"À venir","Dans la période")))</f>
        <v/>
      </c>
      <c r="I1996">
        <f>IF(OR($B1996="",NOT(ISNUMBER($D1996))),"",IF(AND($E1996&lt;$D$2,$G1996&lt;&gt;"X",$F1996&lt;&gt;"Réalisé",$F1996&lt;&gt;"Clôturé"),"RETARD",""))</f>
        <v/>
      </c>
      <c r="J1996" s="29">
        <f>IF($B1996="","",IF(INDEX(Dossiers!$F$4:$F$63,38)="","",INDEX(Dossiers!$F$4:$F$63,38)))</f>
        <v/>
      </c>
      <c r="K1996" s="29">
        <f>IF($B1996="","",IF(INDEX(Dossiers!$G$4:$G$63,38)="","",INDEX(Dossiers!$G$4:$G$63,38)))</f>
        <v/>
      </c>
    </row>
    <row r="1997">
      <c r="A1997">
        <f>IF($B1997="","",INDEX(Dossiers!$E$4:$E$63,38))</f>
        <v/>
      </c>
      <c r="B1997">
        <f>IF(INDEX(Suivi!$B:$B,2035)="","",INDEX(Suivi!$B:$B,2035))</f>
        <v/>
      </c>
      <c r="C1997">
        <f>IF($B1997="","",IF(INDEX(Suivi!$D:$D,2035)="",INDEX(Suivi!$C:$C,2035),INDEX(Suivi!$D:$D,2035)))</f>
        <v/>
      </c>
      <c r="D1997" s="29">
        <f>IF($B1997="","",INDEX(Suivi!$E:$E,2035))</f>
        <v/>
      </c>
      <c r="E1997" s="29">
        <f>IF($B1997="","",INDEX(Suivi!$F:$F,2035))</f>
        <v/>
      </c>
      <c r="F1997">
        <f>IF($B1997="","",INDEX(Suivi!$G:$G,2035))</f>
        <v/>
      </c>
      <c r="H1997">
        <f>IF(OR($B1997="",NOT(ISNUMBER($D1997))),"",IF($E1997&lt;$D$2,"Passé",IF($D1997&gt;$F$2,"À venir","Dans la période")))</f>
        <v/>
      </c>
      <c r="I1997">
        <f>IF(OR($B1997="",NOT(ISNUMBER($D1997))),"",IF(AND($E1997&lt;$D$2,$G1997&lt;&gt;"X",$F1997&lt;&gt;"Réalisé",$F1997&lt;&gt;"Clôturé"),"RETARD",""))</f>
        <v/>
      </c>
      <c r="J1997" s="29">
        <f>IF($B1997="","",IF(INDEX(Dossiers!$F$4:$F$63,38)="","",INDEX(Dossiers!$F$4:$F$63,38)))</f>
        <v/>
      </c>
      <c r="K1997" s="29">
        <f>IF($B1997="","",IF(INDEX(Dossiers!$G$4:$G$63,38)="","",INDEX(Dossiers!$G$4:$G$63,38)))</f>
        <v/>
      </c>
    </row>
    <row r="1998">
      <c r="A1998">
        <f>IF($B1998="","",INDEX(Dossiers!$E$4:$E$63,38))</f>
        <v/>
      </c>
      <c r="B1998">
        <f>IF(INDEX(Suivi!$B:$B,2036)="","",INDEX(Suivi!$B:$B,2036))</f>
        <v/>
      </c>
      <c r="C1998">
        <f>IF($B1998="","",IF(INDEX(Suivi!$D:$D,2036)="",INDEX(Suivi!$C:$C,2036),INDEX(Suivi!$D:$D,2036)))</f>
        <v/>
      </c>
      <c r="D1998" s="29">
        <f>IF($B1998="","",INDEX(Suivi!$E:$E,2036))</f>
        <v/>
      </c>
      <c r="E1998" s="29">
        <f>IF($B1998="","",INDEX(Suivi!$F:$F,2036))</f>
        <v/>
      </c>
      <c r="F1998">
        <f>IF($B1998="","",INDEX(Suivi!$G:$G,2036))</f>
        <v/>
      </c>
      <c r="H1998">
        <f>IF(OR($B1998="",NOT(ISNUMBER($D1998))),"",IF($E1998&lt;$D$2,"Passé",IF($D1998&gt;$F$2,"À venir","Dans la période")))</f>
        <v/>
      </c>
      <c r="I1998">
        <f>IF(OR($B1998="",NOT(ISNUMBER($D1998))),"",IF(AND($E1998&lt;$D$2,$G1998&lt;&gt;"X",$F1998&lt;&gt;"Réalisé",$F1998&lt;&gt;"Clôturé"),"RETARD",""))</f>
        <v/>
      </c>
      <c r="J1998" s="29">
        <f>IF($B1998="","",IF(INDEX(Dossiers!$F$4:$F$63,38)="","",INDEX(Dossiers!$F$4:$F$63,38)))</f>
        <v/>
      </c>
      <c r="K1998" s="29">
        <f>IF($B1998="","",IF(INDEX(Dossiers!$G$4:$G$63,38)="","",INDEX(Dossiers!$G$4:$G$63,38)))</f>
        <v/>
      </c>
    </row>
    <row r="1999">
      <c r="A1999">
        <f>IF($B1999="","",INDEX(Dossiers!$E$4:$E$63,38))</f>
        <v/>
      </c>
      <c r="B1999">
        <f>IF(INDEX(Suivi!$B:$B,2037)="","",INDEX(Suivi!$B:$B,2037))</f>
        <v/>
      </c>
      <c r="C1999">
        <f>IF($B1999="","",IF(INDEX(Suivi!$D:$D,2037)="",INDEX(Suivi!$C:$C,2037),INDEX(Suivi!$D:$D,2037)))</f>
        <v/>
      </c>
      <c r="D1999" s="29">
        <f>IF($B1999="","",INDEX(Suivi!$E:$E,2037))</f>
        <v/>
      </c>
      <c r="E1999" s="29">
        <f>IF($B1999="","",INDEX(Suivi!$F:$F,2037))</f>
        <v/>
      </c>
      <c r="F1999">
        <f>IF($B1999="","",INDEX(Suivi!$G:$G,2037))</f>
        <v/>
      </c>
      <c r="H1999">
        <f>IF(OR($B1999="",NOT(ISNUMBER($D1999))),"",IF($E1999&lt;$D$2,"Passé",IF($D1999&gt;$F$2,"À venir","Dans la période")))</f>
        <v/>
      </c>
      <c r="I1999">
        <f>IF(OR($B1999="",NOT(ISNUMBER($D1999))),"",IF(AND($E1999&lt;$D$2,$G1999&lt;&gt;"X",$F1999&lt;&gt;"Réalisé",$F1999&lt;&gt;"Clôturé"),"RETARD",""))</f>
        <v/>
      </c>
      <c r="J1999" s="29">
        <f>IF($B1999="","",IF(INDEX(Dossiers!$F$4:$F$63,38)="","",INDEX(Dossiers!$F$4:$F$63,38)))</f>
        <v/>
      </c>
      <c r="K1999" s="29">
        <f>IF($B1999="","",IF(INDEX(Dossiers!$G$4:$G$63,38)="","",INDEX(Dossiers!$G$4:$G$63,38)))</f>
        <v/>
      </c>
    </row>
    <row r="2000">
      <c r="A2000">
        <f>IF($B2000="","",INDEX(Dossiers!$E$4:$E$63,38))</f>
        <v/>
      </c>
      <c r="B2000">
        <f>IF(INDEX(Suivi!$B:$B,2038)="","",INDEX(Suivi!$B:$B,2038))</f>
        <v/>
      </c>
      <c r="C2000">
        <f>IF($B2000="","",IF(INDEX(Suivi!$D:$D,2038)="",INDEX(Suivi!$C:$C,2038),INDEX(Suivi!$D:$D,2038)))</f>
        <v/>
      </c>
      <c r="D2000" s="29">
        <f>IF($B2000="","",INDEX(Suivi!$E:$E,2038))</f>
        <v/>
      </c>
      <c r="E2000" s="29">
        <f>IF($B2000="","",INDEX(Suivi!$F:$F,2038))</f>
        <v/>
      </c>
      <c r="F2000">
        <f>IF($B2000="","",INDEX(Suivi!$G:$G,2038))</f>
        <v/>
      </c>
      <c r="H2000">
        <f>IF(OR($B2000="",NOT(ISNUMBER($D2000))),"",IF($E2000&lt;$D$2,"Passé",IF($D2000&gt;$F$2,"À venir","Dans la période")))</f>
        <v/>
      </c>
      <c r="I2000">
        <f>IF(OR($B2000="",NOT(ISNUMBER($D2000))),"",IF(AND($E2000&lt;$D$2,$G2000&lt;&gt;"X",$F2000&lt;&gt;"Réalisé",$F2000&lt;&gt;"Clôturé"),"RETARD",""))</f>
        <v/>
      </c>
      <c r="J2000" s="29">
        <f>IF($B2000="","",IF(INDEX(Dossiers!$F$4:$F$63,38)="","",INDEX(Dossiers!$F$4:$F$63,38)))</f>
        <v/>
      </c>
      <c r="K2000" s="29">
        <f>IF($B2000="","",IF(INDEX(Dossiers!$G$4:$G$63,38)="","",INDEX(Dossiers!$G$4:$G$63,38)))</f>
        <v/>
      </c>
    </row>
    <row r="2001">
      <c r="A2001">
        <f>IF($B2001="","",INDEX(Dossiers!$E$4:$E$63,38))</f>
        <v/>
      </c>
      <c r="B2001">
        <f>IF(INDEX(Suivi!$B:$B,2039)="","",INDEX(Suivi!$B:$B,2039))</f>
        <v/>
      </c>
      <c r="C2001">
        <f>IF($B2001="","",IF(INDEX(Suivi!$D:$D,2039)="",INDEX(Suivi!$C:$C,2039),INDEX(Suivi!$D:$D,2039)))</f>
        <v/>
      </c>
      <c r="D2001" s="29">
        <f>IF($B2001="","",INDEX(Suivi!$E:$E,2039))</f>
        <v/>
      </c>
      <c r="E2001" s="29">
        <f>IF($B2001="","",INDEX(Suivi!$F:$F,2039))</f>
        <v/>
      </c>
      <c r="F2001">
        <f>IF($B2001="","",INDEX(Suivi!$G:$G,2039))</f>
        <v/>
      </c>
      <c r="H2001">
        <f>IF(OR($B2001="",NOT(ISNUMBER($D2001))),"",IF($E2001&lt;$D$2,"Passé",IF($D2001&gt;$F$2,"À venir","Dans la période")))</f>
        <v/>
      </c>
      <c r="I2001">
        <f>IF(OR($B2001="",NOT(ISNUMBER($D2001))),"",IF(AND($E2001&lt;$D$2,$G2001&lt;&gt;"X",$F2001&lt;&gt;"Réalisé",$F2001&lt;&gt;"Clôturé"),"RETARD",""))</f>
        <v/>
      </c>
      <c r="J2001" s="29">
        <f>IF($B2001="","",IF(INDEX(Dossiers!$F$4:$F$63,38)="","",INDEX(Dossiers!$F$4:$F$63,38)))</f>
        <v/>
      </c>
      <c r="K2001" s="29">
        <f>IF($B2001="","",IF(INDEX(Dossiers!$G$4:$G$63,38)="","",INDEX(Dossiers!$G$4:$G$63,38)))</f>
        <v/>
      </c>
    </row>
    <row r="2002">
      <c r="A2002">
        <f>IF($B2002="","",INDEX(Dossiers!$E$4:$E$63,38))</f>
        <v/>
      </c>
      <c r="B2002">
        <f>IF(INDEX(Suivi!$B:$B,2040)="","",INDEX(Suivi!$B:$B,2040))</f>
        <v/>
      </c>
      <c r="C2002">
        <f>IF($B2002="","",IF(INDEX(Suivi!$D:$D,2040)="",INDEX(Suivi!$C:$C,2040),INDEX(Suivi!$D:$D,2040)))</f>
        <v/>
      </c>
      <c r="D2002" s="29">
        <f>IF($B2002="","",INDEX(Suivi!$E:$E,2040))</f>
        <v/>
      </c>
      <c r="E2002" s="29">
        <f>IF($B2002="","",INDEX(Suivi!$F:$F,2040))</f>
        <v/>
      </c>
      <c r="F2002">
        <f>IF($B2002="","",INDEX(Suivi!$G:$G,2040))</f>
        <v/>
      </c>
      <c r="H2002">
        <f>IF(OR($B2002="",NOT(ISNUMBER($D2002))),"",IF($E2002&lt;$D$2,"Passé",IF($D2002&gt;$F$2,"À venir","Dans la période")))</f>
        <v/>
      </c>
      <c r="I2002">
        <f>IF(OR($B2002="",NOT(ISNUMBER($D2002))),"",IF(AND($E2002&lt;$D$2,$G2002&lt;&gt;"X",$F2002&lt;&gt;"Réalisé",$F2002&lt;&gt;"Clôturé"),"RETARD",""))</f>
        <v/>
      </c>
      <c r="J2002" s="29">
        <f>IF($B2002="","",IF(INDEX(Dossiers!$F$4:$F$63,38)="","",INDEX(Dossiers!$F$4:$F$63,38)))</f>
        <v/>
      </c>
      <c r="K2002" s="29">
        <f>IF($B2002="","",IF(INDEX(Dossiers!$G$4:$G$63,38)="","",INDEX(Dossiers!$G$4:$G$63,38)))</f>
        <v/>
      </c>
    </row>
    <row r="2003">
      <c r="A2003">
        <f>IF($B2003="","",INDEX(Dossiers!$E$4:$E$63,38))</f>
        <v/>
      </c>
      <c r="B2003">
        <f>IF(INDEX(Suivi!$B:$B,2041)="","",INDEX(Suivi!$B:$B,2041))</f>
        <v/>
      </c>
      <c r="C2003">
        <f>IF($B2003="","",IF(INDEX(Suivi!$D:$D,2041)="",INDEX(Suivi!$C:$C,2041),INDEX(Suivi!$D:$D,2041)))</f>
        <v/>
      </c>
      <c r="D2003" s="29">
        <f>IF($B2003="","",INDEX(Suivi!$E:$E,2041))</f>
        <v/>
      </c>
      <c r="E2003" s="29">
        <f>IF($B2003="","",INDEX(Suivi!$F:$F,2041))</f>
        <v/>
      </c>
      <c r="F2003">
        <f>IF($B2003="","",INDEX(Suivi!$G:$G,2041))</f>
        <v/>
      </c>
      <c r="H2003">
        <f>IF(OR($B2003="",NOT(ISNUMBER($D2003))),"",IF($E2003&lt;$D$2,"Passé",IF($D2003&gt;$F$2,"À venir","Dans la période")))</f>
        <v/>
      </c>
      <c r="I2003">
        <f>IF(OR($B2003="",NOT(ISNUMBER($D2003))),"",IF(AND($E2003&lt;$D$2,$G2003&lt;&gt;"X",$F2003&lt;&gt;"Réalisé",$F2003&lt;&gt;"Clôturé"),"RETARD",""))</f>
        <v/>
      </c>
      <c r="J2003" s="29">
        <f>IF($B2003="","",IF(INDEX(Dossiers!$F$4:$F$63,38)="","",INDEX(Dossiers!$F$4:$F$63,38)))</f>
        <v/>
      </c>
      <c r="K2003" s="29">
        <f>IF($B2003="","",IF(INDEX(Dossiers!$G$4:$G$63,38)="","",INDEX(Dossiers!$G$4:$G$63,38)))</f>
        <v/>
      </c>
    </row>
    <row r="2004">
      <c r="A2004">
        <f>IF($B2004="","",INDEX(Dossiers!$E$4:$E$63,38))</f>
        <v/>
      </c>
      <c r="B2004">
        <f>IF(INDEX(Suivi!$B:$B,2042)="","",INDEX(Suivi!$B:$B,2042))</f>
        <v/>
      </c>
      <c r="C2004">
        <f>IF($B2004="","",IF(INDEX(Suivi!$D:$D,2042)="",INDEX(Suivi!$C:$C,2042),INDEX(Suivi!$D:$D,2042)))</f>
        <v/>
      </c>
      <c r="D2004" s="29">
        <f>IF($B2004="","",INDEX(Suivi!$E:$E,2042))</f>
        <v/>
      </c>
      <c r="E2004" s="29">
        <f>IF($B2004="","",INDEX(Suivi!$F:$F,2042))</f>
        <v/>
      </c>
      <c r="F2004">
        <f>IF($B2004="","",INDEX(Suivi!$G:$G,2042))</f>
        <v/>
      </c>
      <c r="H2004">
        <f>IF(OR($B2004="",NOT(ISNUMBER($D2004))),"",IF($E2004&lt;$D$2,"Passé",IF($D2004&gt;$F$2,"À venir","Dans la période")))</f>
        <v/>
      </c>
      <c r="I2004">
        <f>IF(OR($B2004="",NOT(ISNUMBER($D2004))),"",IF(AND($E2004&lt;$D$2,$G2004&lt;&gt;"X",$F2004&lt;&gt;"Réalisé",$F2004&lt;&gt;"Clôturé"),"RETARD",""))</f>
        <v/>
      </c>
      <c r="J2004" s="29">
        <f>IF($B2004="","",IF(INDEX(Dossiers!$F$4:$F$63,38)="","",INDEX(Dossiers!$F$4:$F$63,38)))</f>
        <v/>
      </c>
      <c r="K2004" s="29">
        <f>IF($B2004="","",IF(INDEX(Dossiers!$G$4:$G$63,38)="","",INDEX(Dossiers!$G$4:$G$63,38)))</f>
        <v/>
      </c>
    </row>
    <row r="2005">
      <c r="A2005">
        <f>IF($B2005="","",INDEX(Dossiers!$E$4:$E$63,38))</f>
        <v/>
      </c>
      <c r="B2005">
        <f>IF(INDEX(Suivi!$B:$B,2043)="","",INDEX(Suivi!$B:$B,2043))</f>
        <v/>
      </c>
      <c r="C2005">
        <f>IF($B2005="","",IF(INDEX(Suivi!$D:$D,2043)="",INDEX(Suivi!$C:$C,2043),INDEX(Suivi!$D:$D,2043)))</f>
        <v/>
      </c>
      <c r="D2005" s="29">
        <f>IF($B2005="","",INDEX(Suivi!$E:$E,2043))</f>
        <v/>
      </c>
      <c r="E2005" s="29">
        <f>IF($B2005="","",INDEX(Suivi!$F:$F,2043))</f>
        <v/>
      </c>
      <c r="F2005">
        <f>IF($B2005="","",INDEX(Suivi!$G:$G,2043))</f>
        <v/>
      </c>
      <c r="H2005">
        <f>IF(OR($B2005="",NOT(ISNUMBER($D2005))),"",IF($E2005&lt;$D$2,"Passé",IF($D2005&gt;$F$2,"À venir","Dans la période")))</f>
        <v/>
      </c>
      <c r="I2005">
        <f>IF(OR($B2005="",NOT(ISNUMBER($D2005))),"",IF(AND($E2005&lt;$D$2,$G2005&lt;&gt;"X",$F2005&lt;&gt;"Réalisé",$F2005&lt;&gt;"Clôturé"),"RETARD",""))</f>
        <v/>
      </c>
      <c r="J2005" s="29">
        <f>IF($B2005="","",IF(INDEX(Dossiers!$F$4:$F$63,38)="","",INDEX(Dossiers!$F$4:$F$63,38)))</f>
        <v/>
      </c>
      <c r="K2005" s="29">
        <f>IF($B2005="","",IF(INDEX(Dossiers!$G$4:$G$63,38)="","",INDEX(Dossiers!$G$4:$G$63,38)))</f>
        <v/>
      </c>
    </row>
    <row r="2006">
      <c r="A2006">
        <f>IF($B2006="","",INDEX(Dossiers!$E$4:$E$63,38))</f>
        <v/>
      </c>
      <c r="B2006">
        <f>IF(INDEX(Suivi!$B:$B,2044)="","",INDEX(Suivi!$B:$B,2044))</f>
        <v/>
      </c>
      <c r="C2006">
        <f>IF($B2006="","",IF(INDEX(Suivi!$D:$D,2044)="",INDEX(Suivi!$C:$C,2044),INDEX(Suivi!$D:$D,2044)))</f>
        <v/>
      </c>
      <c r="D2006" s="29">
        <f>IF($B2006="","",INDEX(Suivi!$E:$E,2044))</f>
        <v/>
      </c>
      <c r="E2006" s="29">
        <f>IF($B2006="","",INDEX(Suivi!$F:$F,2044))</f>
        <v/>
      </c>
      <c r="F2006">
        <f>IF($B2006="","",INDEX(Suivi!$G:$G,2044))</f>
        <v/>
      </c>
      <c r="H2006">
        <f>IF(OR($B2006="",NOT(ISNUMBER($D2006))),"",IF($E2006&lt;$D$2,"Passé",IF($D2006&gt;$F$2,"À venir","Dans la période")))</f>
        <v/>
      </c>
      <c r="I2006">
        <f>IF(OR($B2006="",NOT(ISNUMBER($D2006))),"",IF(AND($E2006&lt;$D$2,$G2006&lt;&gt;"X",$F2006&lt;&gt;"Réalisé",$F2006&lt;&gt;"Clôturé"),"RETARD",""))</f>
        <v/>
      </c>
      <c r="J2006" s="29">
        <f>IF($B2006="","",IF(INDEX(Dossiers!$F$4:$F$63,38)="","",INDEX(Dossiers!$F$4:$F$63,38)))</f>
        <v/>
      </c>
      <c r="K2006" s="29">
        <f>IF($B2006="","",IF(INDEX(Dossiers!$G$4:$G$63,38)="","",INDEX(Dossiers!$G$4:$G$63,38)))</f>
        <v/>
      </c>
    </row>
    <row r="2007">
      <c r="A2007">
        <f>IF($B2007="","",INDEX(Dossiers!$E$4:$E$63,38))</f>
        <v/>
      </c>
      <c r="B2007">
        <f>IF(INDEX(Suivi!$B:$B,2045)="","",INDEX(Suivi!$B:$B,2045))</f>
        <v/>
      </c>
      <c r="C2007">
        <f>IF($B2007="","",IF(INDEX(Suivi!$D:$D,2045)="",INDEX(Suivi!$C:$C,2045),INDEX(Suivi!$D:$D,2045)))</f>
        <v/>
      </c>
      <c r="D2007" s="29">
        <f>IF($B2007="","",INDEX(Suivi!$E:$E,2045))</f>
        <v/>
      </c>
      <c r="E2007" s="29">
        <f>IF($B2007="","",INDEX(Suivi!$F:$F,2045))</f>
        <v/>
      </c>
      <c r="F2007">
        <f>IF($B2007="","",INDEX(Suivi!$G:$G,2045))</f>
        <v/>
      </c>
      <c r="H2007">
        <f>IF(OR($B2007="",NOT(ISNUMBER($D2007))),"",IF($E2007&lt;$D$2,"Passé",IF($D2007&gt;$F$2,"À venir","Dans la période")))</f>
        <v/>
      </c>
      <c r="I2007">
        <f>IF(OR($B2007="",NOT(ISNUMBER($D2007))),"",IF(AND($E2007&lt;$D$2,$G2007&lt;&gt;"X",$F2007&lt;&gt;"Réalisé",$F2007&lt;&gt;"Clôturé"),"RETARD",""))</f>
        <v/>
      </c>
      <c r="J2007" s="29">
        <f>IF($B2007="","",IF(INDEX(Dossiers!$F$4:$F$63,38)="","",INDEX(Dossiers!$F$4:$F$63,38)))</f>
        <v/>
      </c>
      <c r="K2007" s="29">
        <f>IF($B2007="","",IF(INDEX(Dossiers!$G$4:$G$63,38)="","",INDEX(Dossiers!$G$4:$G$63,38)))</f>
        <v/>
      </c>
    </row>
    <row r="2008">
      <c r="A2008">
        <f>IF($B2008="","",INDEX(Dossiers!$E$4:$E$63,38))</f>
        <v/>
      </c>
      <c r="B2008">
        <f>IF(INDEX(Suivi!$B:$B,2046)="","",INDEX(Suivi!$B:$B,2046))</f>
        <v/>
      </c>
      <c r="C2008">
        <f>IF($B2008="","",IF(INDEX(Suivi!$D:$D,2046)="",INDEX(Suivi!$C:$C,2046),INDEX(Suivi!$D:$D,2046)))</f>
        <v/>
      </c>
      <c r="D2008" s="29">
        <f>IF($B2008="","",INDEX(Suivi!$E:$E,2046))</f>
        <v/>
      </c>
      <c r="E2008" s="29">
        <f>IF($B2008="","",INDEX(Suivi!$F:$F,2046))</f>
        <v/>
      </c>
      <c r="F2008">
        <f>IF($B2008="","",INDEX(Suivi!$G:$G,2046))</f>
        <v/>
      </c>
      <c r="H2008">
        <f>IF(OR($B2008="",NOT(ISNUMBER($D2008))),"",IF($E2008&lt;$D$2,"Passé",IF($D2008&gt;$F$2,"À venir","Dans la période")))</f>
        <v/>
      </c>
      <c r="I2008">
        <f>IF(OR($B2008="",NOT(ISNUMBER($D2008))),"",IF(AND($E2008&lt;$D$2,$G2008&lt;&gt;"X",$F2008&lt;&gt;"Réalisé",$F2008&lt;&gt;"Clôturé"),"RETARD",""))</f>
        <v/>
      </c>
      <c r="J2008" s="29">
        <f>IF($B2008="","",IF(INDEX(Dossiers!$F$4:$F$63,38)="","",INDEX(Dossiers!$F$4:$F$63,38)))</f>
        <v/>
      </c>
      <c r="K2008" s="29">
        <f>IF($B2008="","",IF(INDEX(Dossiers!$G$4:$G$63,38)="","",INDEX(Dossiers!$G$4:$G$63,38)))</f>
        <v/>
      </c>
    </row>
    <row r="2009">
      <c r="A2009">
        <f>IF($B2009="","",INDEX(Dossiers!$E$4:$E$63,38))</f>
        <v/>
      </c>
      <c r="B2009">
        <f>IF(INDEX(Suivi!$B:$B,2047)="","",INDEX(Suivi!$B:$B,2047))</f>
        <v/>
      </c>
      <c r="C2009">
        <f>IF($B2009="","",IF(INDEX(Suivi!$D:$D,2047)="",INDEX(Suivi!$C:$C,2047),INDEX(Suivi!$D:$D,2047)))</f>
        <v/>
      </c>
      <c r="D2009" s="29">
        <f>IF($B2009="","",INDEX(Suivi!$E:$E,2047))</f>
        <v/>
      </c>
      <c r="E2009" s="29">
        <f>IF($B2009="","",INDEX(Suivi!$F:$F,2047))</f>
        <v/>
      </c>
      <c r="F2009">
        <f>IF($B2009="","",INDEX(Suivi!$G:$G,2047))</f>
        <v/>
      </c>
      <c r="H2009">
        <f>IF(OR($B2009="",NOT(ISNUMBER($D2009))),"",IF($E2009&lt;$D$2,"Passé",IF($D2009&gt;$F$2,"À venir","Dans la période")))</f>
        <v/>
      </c>
      <c r="I2009">
        <f>IF(OR($B2009="",NOT(ISNUMBER($D2009))),"",IF(AND($E2009&lt;$D$2,$G2009&lt;&gt;"X",$F2009&lt;&gt;"Réalisé",$F2009&lt;&gt;"Clôturé"),"RETARD",""))</f>
        <v/>
      </c>
      <c r="J2009" s="29">
        <f>IF($B2009="","",IF(INDEX(Dossiers!$F$4:$F$63,38)="","",INDEX(Dossiers!$F$4:$F$63,38)))</f>
        <v/>
      </c>
      <c r="K2009" s="29">
        <f>IF($B2009="","",IF(INDEX(Dossiers!$G$4:$G$63,38)="","",INDEX(Dossiers!$G$4:$G$63,38)))</f>
        <v/>
      </c>
    </row>
    <row r="2010">
      <c r="A2010">
        <f>IF($B2010="","",INDEX(Dossiers!$E$4:$E$63,38))</f>
        <v/>
      </c>
      <c r="B2010">
        <f>IF(INDEX(Suivi!$B:$B,2048)="","",INDEX(Suivi!$B:$B,2048))</f>
        <v/>
      </c>
      <c r="C2010">
        <f>IF($B2010="","",IF(INDEX(Suivi!$D:$D,2048)="",INDEX(Suivi!$C:$C,2048),INDEX(Suivi!$D:$D,2048)))</f>
        <v/>
      </c>
      <c r="D2010" s="29">
        <f>IF($B2010="","",INDEX(Suivi!$E:$E,2048))</f>
        <v/>
      </c>
      <c r="E2010" s="29">
        <f>IF($B2010="","",INDEX(Suivi!$F:$F,2048))</f>
        <v/>
      </c>
      <c r="F2010">
        <f>IF($B2010="","",INDEX(Suivi!$G:$G,2048))</f>
        <v/>
      </c>
      <c r="H2010">
        <f>IF(OR($B2010="",NOT(ISNUMBER($D2010))),"",IF($E2010&lt;$D$2,"Passé",IF($D2010&gt;$F$2,"À venir","Dans la période")))</f>
        <v/>
      </c>
      <c r="I2010">
        <f>IF(OR($B2010="",NOT(ISNUMBER($D2010))),"",IF(AND($E2010&lt;$D$2,$G2010&lt;&gt;"X",$F2010&lt;&gt;"Réalisé",$F2010&lt;&gt;"Clôturé"),"RETARD",""))</f>
        <v/>
      </c>
      <c r="J2010" s="29">
        <f>IF($B2010="","",IF(INDEX(Dossiers!$F$4:$F$63,38)="","",INDEX(Dossiers!$F$4:$F$63,38)))</f>
        <v/>
      </c>
      <c r="K2010" s="29">
        <f>IF($B2010="","",IF(INDEX(Dossiers!$G$4:$G$63,38)="","",INDEX(Dossiers!$G$4:$G$63,38)))</f>
        <v/>
      </c>
    </row>
    <row r="2011">
      <c r="A2011">
        <f>IF($B2011="","",INDEX(Dossiers!$E$4:$E$63,38))</f>
        <v/>
      </c>
      <c r="B2011">
        <f>IF(INDEX(Suivi!$B:$B,2049)="","",INDEX(Suivi!$B:$B,2049))</f>
        <v/>
      </c>
      <c r="C2011">
        <f>IF($B2011="","",IF(INDEX(Suivi!$D:$D,2049)="",INDEX(Suivi!$C:$C,2049),INDEX(Suivi!$D:$D,2049)))</f>
        <v/>
      </c>
      <c r="D2011" s="29">
        <f>IF($B2011="","",INDEX(Suivi!$E:$E,2049))</f>
        <v/>
      </c>
      <c r="E2011" s="29">
        <f>IF($B2011="","",INDEX(Suivi!$F:$F,2049))</f>
        <v/>
      </c>
      <c r="F2011">
        <f>IF($B2011="","",INDEX(Suivi!$G:$G,2049))</f>
        <v/>
      </c>
      <c r="H2011">
        <f>IF(OR($B2011="",NOT(ISNUMBER($D2011))),"",IF($E2011&lt;$D$2,"Passé",IF($D2011&gt;$F$2,"À venir","Dans la période")))</f>
        <v/>
      </c>
      <c r="I2011">
        <f>IF(OR($B2011="",NOT(ISNUMBER($D2011))),"",IF(AND($E2011&lt;$D$2,$G2011&lt;&gt;"X",$F2011&lt;&gt;"Réalisé",$F2011&lt;&gt;"Clôturé"),"RETARD",""))</f>
        <v/>
      </c>
      <c r="J2011" s="29">
        <f>IF($B2011="","",IF(INDEX(Dossiers!$F$4:$F$63,38)="","",INDEX(Dossiers!$F$4:$F$63,38)))</f>
        <v/>
      </c>
      <c r="K2011" s="29">
        <f>IF($B2011="","",IF(INDEX(Dossiers!$G$4:$G$63,38)="","",INDEX(Dossiers!$G$4:$G$63,38)))</f>
        <v/>
      </c>
    </row>
    <row r="2012">
      <c r="A2012">
        <f>IF($B2012="","",INDEX(Dossiers!$E$4:$E$63,38))</f>
        <v/>
      </c>
      <c r="B2012">
        <f>IF(INDEX(Suivi!$B:$B,2050)="","",INDEX(Suivi!$B:$B,2050))</f>
        <v/>
      </c>
      <c r="C2012">
        <f>IF($B2012="","",IF(INDEX(Suivi!$D:$D,2050)="",INDEX(Suivi!$C:$C,2050),INDEX(Suivi!$D:$D,2050)))</f>
        <v/>
      </c>
      <c r="D2012" s="29">
        <f>IF($B2012="","",INDEX(Suivi!$E:$E,2050))</f>
        <v/>
      </c>
      <c r="E2012" s="29">
        <f>IF($B2012="","",INDEX(Suivi!$F:$F,2050))</f>
        <v/>
      </c>
      <c r="F2012">
        <f>IF($B2012="","",INDEX(Suivi!$G:$G,2050))</f>
        <v/>
      </c>
      <c r="H2012">
        <f>IF(OR($B2012="",NOT(ISNUMBER($D2012))),"",IF($E2012&lt;$D$2,"Passé",IF($D2012&gt;$F$2,"À venir","Dans la période")))</f>
        <v/>
      </c>
      <c r="I2012">
        <f>IF(OR($B2012="",NOT(ISNUMBER($D2012))),"",IF(AND($E2012&lt;$D$2,$G2012&lt;&gt;"X",$F2012&lt;&gt;"Réalisé",$F2012&lt;&gt;"Clôturé"),"RETARD",""))</f>
        <v/>
      </c>
      <c r="J2012" s="29">
        <f>IF($B2012="","",IF(INDEX(Dossiers!$F$4:$F$63,38)="","",INDEX(Dossiers!$F$4:$F$63,38)))</f>
        <v/>
      </c>
      <c r="K2012" s="29">
        <f>IF($B2012="","",IF(INDEX(Dossiers!$G$4:$G$63,38)="","",INDEX(Dossiers!$G$4:$G$63,38)))</f>
        <v/>
      </c>
    </row>
    <row r="2013">
      <c r="A2013">
        <f>IF($B2013="","",INDEX(Dossiers!$E$4:$E$63,38))</f>
        <v/>
      </c>
      <c r="B2013">
        <f>IF(INDEX(Suivi!$B:$B,2051)="","",INDEX(Suivi!$B:$B,2051))</f>
        <v/>
      </c>
      <c r="C2013">
        <f>IF($B2013="","",IF(INDEX(Suivi!$D:$D,2051)="",INDEX(Suivi!$C:$C,2051),INDEX(Suivi!$D:$D,2051)))</f>
        <v/>
      </c>
      <c r="D2013" s="29">
        <f>IF($B2013="","",INDEX(Suivi!$E:$E,2051))</f>
        <v/>
      </c>
      <c r="E2013" s="29">
        <f>IF($B2013="","",INDEX(Suivi!$F:$F,2051))</f>
        <v/>
      </c>
      <c r="F2013">
        <f>IF($B2013="","",INDEX(Suivi!$G:$G,2051))</f>
        <v/>
      </c>
      <c r="H2013">
        <f>IF(OR($B2013="",NOT(ISNUMBER($D2013))),"",IF($E2013&lt;$D$2,"Passé",IF($D2013&gt;$F$2,"À venir","Dans la période")))</f>
        <v/>
      </c>
      <c r="I2013">
        <f>IF(OR($B2013="",NOT(ISNUMBER($D2013))),"",IF(AND($E2013&lt;$D$2,$G2013&lt;&gt;"X",$F2013&lt;&gt;"Réalisé",$F2013&lt;&gt;"Clôturé"),"RETARD",""))</f>
        <v/>
      </c>
      <c r="J2013" s="29">
        <f>IF($B2013="","",IF(INDEX(Dossiers!$F$4:$F$63,38)="","",INDEX(Dossiers!$F$4:$F$63,38)))</f>
        <v/>
      </c>
      <c r="K2013" s="29">
        <f>IF($B2013="","",IF(INDEX(Dossiers!$G$4:$G$63,38)="","",INDEX(Dossiers!$G$4:$G$63,38)))</f>
        <v/>
      </c>
    </row>
    <row r="2014">
      <c r="A2014">
        <f>IF($B2014="","",INDEX(Dossiers!$E$4:$E$63,38))</f>
        <v/>
      </c>
      <c r="B2014">
        <f>IF(INDEX(Suivi!$B:$B,2052)="","",INDEX(Suivi!$B:$B,2052))</f>
        <v/>
      </c>
      <c r="C2014">
        <f>IF($B2014="","",IF(INDEX(Suivi!$D:$D,2052)="",INDEX(Suivi!$C:$C,2052),INDEX(Suivi!$D:$D,2052)))</f>
        <v/>
      </c>
      <c r="D2014" s="29">
        <f>IF($B2014="","",INDEX(Suivi!$E:$E,2052))</f>
        <v/>
      </c>
      <c r="E2014" s="29">
        <f>IF($B2014="","",INDEX(Suivi!$F:$F,2052))</f>
        <v/>
      </c>
      <c r="F2014">
        <f>IF($B2014="","",INDEX(Suivi!$G:$G,2052))</f>
        <v/>
      </c>
      <c r="H2014">
        <f>IF(OR($B2014="",NOT(ISNUMBER($D2014))),"",IF($E2014&lt;$D$2,"Passé",IF($D2014&gt;$F$2,"À venir","Dans la période")))</f>
        <v/>
      </c>
      <c r="I2014">
        <f>IF(OR($B2014="",NOT(ISNUMBER($D2014))),"",IF(AND($E2014&lt;$D$2,$G2014&lt;&gt;"X",$F2014&lt;&gt;"Réalisé",$F2014&lt;&gt;"Clôturé"),"RETARD",""))</f>
        <v/>
      </c>
      <c r="J2014" s="29">
        <f>IF($B2014="","",IF(INDEX(Dossiers!$F$4:$F$63,38)="","",INDEX(Dossiers!$F$4:$F$63,38)))</f>
        <v/>
      </c>
      <c r="K2014" s="29">
        <f>IF($B2014="","",IF(INDEX(Dossiers!$G$4:$G$63,38)="","",INDEX(Dossiers!$G$4:$G$63,38)))</f>
        <v/>
      </c>
    </row>
    <row r="2015">
      <c r="A2015">
        <f>IF($B2015="","",INDEX(Dossiers!$E$4:$E$63,38))</f>
        <v/>
      </c>
      <c r="B2015">
        <f>IF(INDEX(Suivi!$B:$B,2053)="","",INDEX(Suivi!$B:$B,2053))</f>
        <v/>
      </c>
      <c r="C2015">
        <f>IF($B2015="","",IF(INDEX(Suivi!$D:$D,2053)="",INDEX(Suivi!$C:$C,2053),INDEX(Suivi!$D:$D,2053)))</f>
        <v/>
      </c>
      <c r="D2015" s="29">
        <f>IF($B2015="","",INDEX(Suivi!$E:$E,2053))</f>
        <v/>
      </c>
      <c r="E2015" s="29">
        <f>IF($B2015="","",INDEX(Suivi!$F:$F,2053))</f>
        <v/>
      </c>
      <c r="F2015">
        <f>IF($B2015="","",INDEX(Suivi!$G:$G,2053))</f>
        <v/>
      </c>
      <c r="H2015">
        <f>IF(OR($B2015="",NOT(ISNUMBER($D2015))),"",IF($E2015&lt;$D$2,"Passé",IF($D2015&gt;$F$2,"À venir","Dans la période")))</f>
        <v/>
      </c>
      <c r="I2015">
        <f>IF(OR($B2015="",NOT(ISNUMBER($D2015))),"",IF(AND($E2015&lt;$D$2,$G2015&lt;&gt;"X",$F2015&lt;&gt;"Réalisé",$F2015&lt;&gt;"Clôturé"),"RETARD",""))</f>
        <v/>
      </c>
      <c r="J2015" s="29">
        <f>IF($B2015="","",IF(INDEX(Dossiers!$F$4:$F$63,38)="","",INDEX(Dossiers!$F$4:$F$63,38)))</f>
        <v/>
      </c>
      <c r="K2015" s="29">
        <f>IF($B2015="","",IF(INDEX(Dossiers!$G$4:$G$63,38)="","",INDEX(Dossiers!$G$4:$G$63,38)))</f>
        <v/>
      </c>
    </row>
    <row r="2016">
      <c r="A2016">
        <f>IF($B2016="","",INDEX(Dossiers!$E$4:$E$63,38))</f>
        <v/>
      </c>
      <c r="B2016">
        <f>IF(INDEX(Suivi!$B:$B,2054)="","",INDEX(Suivi!$B:$B,2054))</f>
        <v/>
      </c>
      <c r="C2016">
        <f>IF($B2016="","",IF(INDEX(Suivi!$D:$D,2054)="",INDEX(Suivi!$C:$C,2054),INDEX(Suivi!$D:$D,2054)))</f>
        <v/>
      </c>
      <c r="D2016" s="29">
        <f>IF($B2016="","",INDEX(Suivi!$E:$E,2054))</f>
        <v/>
      </c>
      <c r="E2016" s="29">
        <f>IF($B2016="","",INDEX(Suivi!$F:$F,2054))</f>
        <v/>
      </c>
      <c r="F2016">
        <f>IF($B2016="","",INDEX(Suivi!$G:$G,2054))</f>
        <v/>
      </c>
      <c r="H2016">
        <f>IF(OR($B2016="",NOT(ISNUMBER($D2016))),"",IF($E2016&lt;$D$2,"Passé",IF($D2016&gt;$F$2,"À venir","Dans la période")))</f>
        <v/>
      </c>
      <c r="I2016">
        <f>IF(OR($B2016="",NOT(ISNUMBER($D2016))),"",IF(AND($E2016&lt;$D$2,$G2016&lt;&gt;"X",$F2016&lt;&gt;"Réalisé",$F2016&lt;&gt;"Clôturé"),"RETARD",""))</f>
        <v/>
      </c>
      <c r="J2016" s="29">
        <f>IF($B2016="","",IF(INDEX(Dossiers!$F$4:$F$63,38)="","",INDEX(Dossiers!$F$4:$F$63,38)))</f>
        <v/>
      </c>
      <c r="K2016" s="29">
        <f>IF($B2016="","",IF(INDEX(Dossiers!$G$4:$G$63,38)="","",INDEX(Dossiers!$G$4:$G$63,38)))</f>
        <v/>
      </c>
    </row>
    <row r="2017">
      <c r="A2017">
        <f>IF($B2017="","",INDEX(Dossiers!$E$4:$E$63,38))</f>
        <v/>
      </c>
      <c r="B2017">
        <f>IF(INDEX(Suivi!$B:$B,2055)="","",INDEX(Suivi!$B:$B,2055))</f>
        <v/>
      </c>
      <c r="C2017">
        <f>IF($B2017="","",IF(INDEX(Suivi!$D:$D,2055)="",INDEX(Suivi!$C:$C,2055),INDEX(Suivi!$D:$D,2055)))</f>
        <v/>
      </c>
      <c r="D2017" s="29">
        <f>IF($B2017="","",INDEX(Suivi!$E:$E,2055))</f>
        <v/>
      </c>
      <c r="E2017" s="29">
        <f>IF($B2017="","",INDEX(Suivi!$F:$F,2055))</f>
        <v/>
      </c>
      <c r="F2017">
        <f>IF($B2017="","",INDEX(Suivi!$G:$G,2055))</f>
        <v/>
      </c>
      <c r="H2017">
        <f>IF(OR($B2017="",NOT(ISNUMBER($D2017))),"",IF($E2017&lt;$D$2,"Passé",IF($D2017&gt;$F$2,"À venir","Dans la période")))</f>
        <v/>
      </c>
      <c r="I2017">
        <f>IF(OR($B2017="",NOT(ISNUMBER($D2017))),"",IF(AND($E2017&lt;$D$2,$G2017&lt;&gt;"X",$F2017&lt;&gt;"Réalisé",$F2017&lt;&gt;"Clôturé"),"RETARD",""))</f>
        <v/>
      </c>
      <c r="J2017" s="29">
        <f>IF($B2017="","",IF(INDEX(Dossiers!$F$4:$F$63,38)="","",INDEX(Dossiers!$F$4:$F$63,38)))</f>
        <v/>
      </c>
      <c r="K2017" s="29">
        <f>IF($B2017="","",IF(INDEX(Dossiers!$G$4:$G$63,38)="","",INDEX(Dossiers!$G$4:$G$63,38)))</f>
        <v/>
      </c>
    </row>
    <row r="2018">
      <c r="A2018">
        <f>IF($B2018="","",INDEX(Dossiers!$E$4:$E$63,39))</f>
        <v/>
      </c>
      <c r="B2018">
        <f>IF(INDEX(Suivi!$B:$B,2057)="","",INDEX(Suivi!$B:$B,2057))</f>
        <v/>
      </c>
      <c r="C2018">
        <f>IF($B2018="","",IF(INDEX(Suivi!$D:$D,2057)="",INDEX(Suivi!$C:$C,2057),INDEX(Suivi!$D:$D,2057)))</f>
        <v/>
      </c>
      <c r="D2018" s="29">
        <f>IF($B2018="","",INDEX(Suivi!$E:$E,2057))</f>
        <v/>
      </c>
      <c r="E2018" s="29">
        <f>IF($B2018="","",INDEX(Suivi!$F:$F,2057))</f>
        <v/>
      </c>
      <c r="F2018">
        <f>IF($B2018="","",INDEX(Suivi!$G:$G,2057))</f>
        <v/>
      </c>
      <c r="H2018">
        <f>IF(OR($B2018="",NOT(ISNUMBER($D2018))),"",IF($E2018&lt;$D$2,"Passé",IF($D2018&gt;$F$2,"À venir","Dans la période")))</f>
        <v/>
      </c>
      <c r="I2018">
        <f>IF(OR($B2018="",NOT(ISNUMBER($D2018))),"",IF(AND($E2018&lt;$D$2,$G2018&lt;&gt;"X",$F2018&lt;&gt;"Réalisé",$F2018&lt;&gt;"Clôturé"),"RETARD",""))</f>
        <v/>
      </c>
      <c r="J2018" s="29">
        <f>IF($B2018="","",IF(INDEX(Dossiers!$F$4:$F$63,39)="","",INDEX(Dossiers!$F$4:$F$63,39)))</f>
        <v/>
      </c>
      <c r="K2018" s="29">
        <f>IF($B2018="","",IF(INDEX(Dossiers!$G$4:$G$63,39)="","",INDEX(Dossiers!$G$4:$G$63,39)))</f>
        <v/>
      </c>
    </row>
    <row r="2019">
      <c r="A2019">
        <f>IF($B2019="","",INDEX(Dossiers!$E$4:$E$63,39))</f>
        <v/>
      </c>
      <c r="B2019">
        <f>IF(INDEX(Suivi!$B:$B,2058)="","",INDEX(Suivi!$B:$B,2058))</f>
        <v/>
      </c>
      <c r="C2019">
        <f>IF($B2019="","",IF(INDEX(Suivi!$D:$D,2058)="",INDEX(Suivi!$C:$C,2058),INDEX(Suivi!$D:$D,2058)))</f>
        <v/>
      </c>
      <c r="D2019" s="29">
        <f>IF($B2019="","",INDEX(Suivi!$E:$E,2058))</f>
        <v/>
      </c>
      <c r="E2019" s="29">
        <f>IF($B2019="","",INDEX(Suivi!$F:$F,2058))</f>
        <v/>
      </c>
      <c r="F2019">
        <f>IF($B2019="","",INDEX(Suivi!$G:$G,2058))</f>
        <v/>
      </c>
      <c r="H2019">
        <f>IF(OR($B2019="",NOT(ISNUMBER($D2019))),"",IF($E2019&lt;$D$2,"Passé",IF($D2019&gt;$F$2,"À venir","Dans la période")))</f>
        <v/>
      </c>
      <c r="I2019">
        <f>IF(OR($B2019="",NOT(ISNUMBER($D2019))),"",IF(AND($E2019&lt;$D$2,$G2019&lt;&gt;"X",$F2019&lt;&gt;"Réalisé",$F2019&lt;&gt;"Clôturé"),"RETARD",""))</f>
        <v/>
      </c>
      <c r="J2019" s="29">
        <f>IF($B2019="","",IF(INDEX(Dossiers!$F$4:$F$63,39)="","",INDEX(Dossiers!$F$4:$F$63,39)))</f>
        <v/>
      </c>
      <c r="K2019" s="29">
        <f>IF($B2019="","",IF(INDEX(Dossiers!$G$4:$G$63,39)="","",INDEX(Dossiers!$G$4:$G$63,39)))</f>
        <v/>
      </c>
    </row>
    <row r="2020">
      <c r="A2020">
        <f>IF($B2020="","",INDEX(Dossiers!$E$4:$E$63,39))</f>
        <v/>
      </c>
      <c r="B2020">
        <f>IF(INDEX(Suivi!$B:$B,2059)="","",INDEX(Suivi!$B:$B,2059))</f>
        <v/>
      </c>
      <c r="C2020">
        <f>IF($B2020="","",IF(INDEX(Suivi!$D:$D,2059)="",INDEX(Suivi!$C:$C,2059),INDEX(Suivi!$D:$D,2059)))</f>
        <v/>
      </c>
      <c r="D2020" s="29">
        <f>IF($B2020="","",INDEX(Suivi!$E:$E,2059))</f>
        <v/>
      </c>
      <c r="E2020" s="29">
        <f>IF($B2020="","",INDEX(Suivi!$F:$F,2059))</f>
        <v/>
      </c>
      <c r="F2020">
        <f>IF($B2020="","",INDEX(Suivi!$G:$G,2059))</f>
        <v/>
      </c>
      <c r="H2020">
        <f>IF(OR($B2020="",NOT(ISNUMBER($D2020))),"",IF($E2020&lt;$D$2,"Passé",IF($D2020&gt;$F$2,"À venir","Dans la période")))</f>
        <v/>
      </c>
      <c r="I2020">
        <f>IF(OR($B2020="",NOT(ISNUMBER($D2020))),"",IF(AND($E2020&lt;$D$2,$G2020&lt;&gt;"X",$F2020&lt;&gt;"Réalisé",$F2020&lt;&gt;"Clôturé"),"RETARD",""))</f>
        <v/>
      </c>
      <c r="J2020" s="29">
        <f>IF($B2020="","",IF(INDEX(Dossiers!$F$4:$F$63,39)="","",INDEX(Dossiers!$F$4:$F$63,39)))</f>
        <v/>
      </c>
      <c r="K2020" s="29">
        <f>IF($B2020="","",IF(INDEX(Dossiers!$G$4:$G$63,39)="","",INDEX(Dossiers!$G$4:$G$63,39)))</f>
        <v/>
      </c>
    </row>
    <row r="2021">
      <c r="A2021">
        <f>IF($B2021="","",INDEX(Dossiers!$E$4:$E$63,39))</f>
        <v/>
      </c>
      <c r="B2021">
        <f>IF(INDEX(Suivi!$B:$B,2060)="","",INDEX(Suivi!$B:$B,2060))</f>
        <v/>
      </c>
      <c r="C2021">
        <f>IF($B2021="","",IF(INDEX(Suivi!$D:$D,2060)="",INDEX(Suivi!$C:$C,2060),INDEX(Suivi!$D:$D,2060)))</f>
        <v/>
      </c>
      <c r="D2021" s="29">
        <f>IF($B2021="","",INDEX(Suivi!$E:$E,2060))</f>
        <v/>
      </c>
      <c r="E2021" s="29">
        <f>IF($B2021="","",INDEX(Suivi!$F:$F,2060))</f>
        <v/>
      </c>
      <c r="F2021">
        <f>IF($B2021="","",INDEX(Suivi!$G:$G,2060))</f>
        <v/>
      </c>
      <c r="H2021">
        <f>IF(OR($B2021="",NOT(ISNUMBER($D2021))),"",IF($E2021&lt;$D$2,"Passé",IF($D2021&gt;$F$2,"À venir","Dans la période")))</f>
        <v/>
      </c>
      <c r="I2021">
        <f>IF(OR($B2021="",NOT(ISNUMBER($D2021))),"",IF(AND($E2021&lt;$D$2,$G2021&lt;&gt;"X",$F2021&lt;&gt;"Réalisé",$F2021&lt;&gt;"Clôturé"),"RETARD",""))</f>
        <v/>
      </c>
      <c r="J2021" s="29">
        <f>IF($B2021="","",IF(INDEX(Dossiers!$F$4:$F$63,39)="","",INDEX(Dossiers!$F$4:$F$63,39)))</f>
        <v/>
      </c>
      <c r="K2021" s="29">
        <f>IF($B2021="","",IF(INDEX(Dossiers!$G$4:$G$63,39)="","",INDEX(Dossiers!$G$4:$G$63,39)))</f>
        <v/>
      </c>
    </row>
    <row r="2022">
      <c r="A2022">
        <f>IF($B2022="","",INDEX(Dossiers!$E$4:$E$63,39))</f>
        <v/>
      </c>
      <c r="B2022">
        <f>IF(INDEX(Suivi!$B:$B,2061)="","",INDEX(Suivi!$B:$B,2061))</f>
        <v/>
      </c>
      <c r="C2022">
        <f>IF($B2022="","",IF(INDEX(Suivi!$D:$D,2061)="",INDEX(Suivi!$C:$C,2061),INDEX(Suivi!$D:$D,2061)))</f>
        <v/>
      </c>
      <c r="D2022" s="29">
        <f>IF($B2022="","",INDEX(Suivi!$E:$E,2061))</f>
        <v/>
      </c>
      <c r="E2022" s="29">
        <f>IF($B2022="","",INDEX(Suivi!$F:$F,2061))</f>
        <v/>
      </c>
      <c r="F2022">
        <f>IF($B2022="","",INDEX(Suivi!$G:$G,2061))</f>
        <v/>
      </c>
      <c r="H2022">
        <f>IF(OR($B2022="",NOT(ISNUMBER($D2022))),"",IF($E2022&lt;$D$2,"Passé",IF($D2022&gt;$F$2,"À venir","Dans la période")))</f>
        <v/>
      </c>
      <c r="I2022">
        <f>IF(OR($B2022="",NOT(ISNUMBER($D2022))),"",IF(AND($E2022&lt;$D$2,$G2022&lt;&gt;"X",$F2022&lt;&gt;"Réalisé",$F2022&lt;&gt;"Clôturé"),"RETARD",""))</f>
        <v/>
      </c>
      <c r="J2022" s="29">
        <f>IF($B2022="","",IF(INDEX(Dossiers!$F$4:$F$63,39)="","",INDEX(Dossiers!$F$4:$F$63,39)))</f>
        <v/>
      </c>
      <c r="K2022" s="29">
        <f>IF($B2022="","",IF(INDEX(Dossiers!$G$4:$G$63,39)="","",INDEX(Dossiers!$G$4:$G$63,39)))</f>
        <v/>
      </c>
    </row>
    <row r="2023">
      <c r="A2023">
        <f>IF($B2023="","",INDEX(Dossiers!$E$4:$E$63,39))</f>
        <v/>
      </c>
      <c r="B2023">
        <f>IF(INDEX(Suivi!$B:$B,2062)="","",INDEX(Suivi!$B:$B,2062))</f>
        <v/>
      </c>
      <c r="C2023">
        <f>IF($B2023="","",IF(INDEX(Suivi!$D:$D,2062)="",INDEX(Suivi!$C:$C,2062),INDEX(Suivi!$D:$D,2062)))</f>
        <v/>
      </c>
      <c r="D2023" s="29">
        <f>IF($B2023="","",INDEX(Suivi!$E:$E,2062))</f>
        <v/>
      </c>
      <c r="E2023" s="29">
        <f>IF($B2023="","",INDEX(Suivi!$F:$F,2062))</f>
        <v/>
      </c>
      <c r="F2023">
        <f>IF($B2023="","",INDEX(Suivi!$G:$G,2062))</f>
        <v/>
      </c>
      <c r="H2023">
        <f>IF(OR($B2023="",NOT(ISNUMBER($D2023))),"",IF($E2023&lt;$D$2,"Passé",IF($D2023&gt;$F$2,"À venir","Dans la période")))</f>
        <v/>
      </c>
      <c r="I2023">
        <f>IF(OR($B2023="",NOT(ISNUMBER($D2023))),"",IF(AND($E2023&lt;$D$2,$G2023&lt;&gt;"X",$F2023&lt;&gt;"Réalisé",$F2023&lt;&gt;"Clôturé"),"RETARD",""))</f>
        <v/>
      </c>
      <c r="J2023" s="29">
        <f>IF($B2023="","",IF(INDEX(Dossiers!$F$4:$F$63,39)="","",INDEX(Dossiers!$F$4:$F$63,39)))</f>
        <v/>
      </c>
      <c r="K2023" s="29">
        <f>IF($B2023="","",IF(INDEX(Dossiers!$G$4:$G$63,39)="","",INDEX(Dossiers!$G$4:$G$63,39)))</f>
        <v/>
      </c>
    </row>
    <row r="2024">
      <c r="A2024">
        <f>IF($B2024="","",INDEX(Dossiers!$E$4:$E$63,39))</f>
        <v/>
      </c>
      <c r="B2024">
        <f>IF(INDEX(Suivi!$B:$B,2063)="","",INDEX(Suivi!$B:$B,2063))</f>
        <v/>
      </c>
      <c r="C2024">
        <f>IF($B2024="","",IF(INDEX(Suivi!$D:$D,2063)="",INDEX(Suivi!$C:$C,2063),INDEX(Suivi!$D:$D,2063)))</f>
        <v/>
      </c>
      <c r="D2024" s="29">
        <f>IF($B2024="","",INDEX(Suivi!$E:$E,2063))</f>
        <v/>
      </c>
      <c r="E2024" s="29">
        <f>IF($B2024="","",INDEX(Suivi!$F:$F,2063))</f>
        <v/>
      </c>
      <c r="F2024">
        <f>IF($B2024="","",INDEX(Suivi!$G:$G,2063))</f>
        <v/>
      </c>
      <c r="H2024">
        <f>IF(OR($B2024="",NOT(ISNUMBER($D2024))),"",IF($E2024&lt;$D$2,"Passé",IF($D2024&gt;$F$2,"À venir","Dans la période")))</f>
        <v/>
      </c>
      <c r="I2024">
        <f>IF(OR($B2024="",NOT(ISNUMBER($D2024))),"",IF(AND($E2024&lt;$D$2,$G2024&lt;&gt;"X",$F2024&lt;&gt;"Réalisé",$F2024&lt;&gt;"Clôturé"),"RETARD",""))</f>
        <v/>
      </c>
      <c r="J2024" s="29">
        <f>IF($B2024="","",IF(INDEX(Dossiers!$F$4:$F$63,39)="","",INDEX(Dossiers!$F$4:$F$63,39)))</f>
        <v/>
      </c>
      <c r="K2024" s="29">
        <f>IF($B2024="","",IF(INDEX(Dossiers!$G$4:$G$63,39)="","",INDEX(Dossiers!$G$4:$G$63,39)))</f>
        <v/>
      </c>
    </row>
    <row r="2025">
      <c r="A2025">
        <f>IF($B2025="","",INDEX(Dossiers!$E$4:$E$63,39))</f>
        <v/>
      </c>
      <c r="B2025">
        <f>IF(INDEX(Suivi!$B:$B,2064)="","",INDEX(Suivi!$B:$B,2064))</f>
        <v/>
      </c>
      <c r="C2025">
        <f>IF($B2025="","",IF(INDEX(Suivi!$D:$D,2064)="",INDEX(Suivi!$C:$C,2064),INDEX(Suivi!$D:$D,2064)))</f>
        <v/>
      </c>
      <c r="D2025" s="29">
        <f>IF($B2025="","",INDEX(Suivi!$E:$E,2064))</f>
        <v/>
      </c>
      <c r="E2025" s="29">
        <f>IF($B2025="","",INDEX(Suivi!$F:$F,2064))</f>
        <v/>
      </c>
      <c r="F2025">
        <f>IF($B2025="","",INDEX(Suivi!$G:$G,2064))</f>
        <v/>
      </c>
      <c r="H2025">
        <f>IF(OR($B2025="",NOT(ISNUMBER($D2025))),"",IF($E2025&lt;$D$2,"Passé",IF($D2025&gt;$F$2,"À venir","Dans la période")))</f>
        <v/>
      </c>
      <c r="I2025">
        <f>IF(OR($B2025="",NOT(ISNUMBER($D2025))),"",IF(AND($E2025&lt;$D$2,$G2025&lt;&gt;"X",$F2025&lt;&gt;"Réalisé",$F2025&lt;&gt;"Clôturé"),"RETARD",""))</f>
        <v/>
      </c>
      <c r="J2025" s="29">
        <f>IF($B2025="","",IF(INDEX(Dossiers!$F$4:$F$63,39)="","",INDEX(Dossiers!$F$4:$F$63,39)))</f>
        <v/>
      </c>
      <c r="K2025" s="29">
        <f>IF($B2025="","",IF(INDEX(Dossiers!$G$4:$G$63,39)="","",INDEX(Dossiers!$G$4:$G$63,39)))</f>
        <v/>
      </c>
    </row>
    <row r="2026">
      <c r="A2026">
        <f>IF($B2026="","",INDEX(Dossiers!$E$4:$E$63,39))</f>
        <v/>
      </c>
      <c r="B2026">
        <f>IF(INDEX(Suivi!$B:$B,2065)="","",INDEX(Suivi!$B:$B,2065))</f>
        <v/>
      </c>
      <c r="C2026">
        <f>IF($B2026="","",IF(INDEX(Suivi!$D:$D,2065)="",INDEX(Suivi!$C:$C,2065),INDEX(Suivi!$D:$D,2065)))</f>
        <v/>
      </c>
      <c r="D2026" s="29">
        <f>IF($B2026="","",INDEX(Suivi!$E:$E,2065))</f>
        <v/>
      </c>
      <c r="E2026" s="29">
        <f>IF($B2026="","",INDEX(Suivi!$F:$F,2065))</f>
        <v/>
      </c>
      <c r="F2026">
        <f>IF($B2026="","",INDEX(Suivi!$G:$G,2065))</f>
        <v/>
      </c>
      <c r="H2026">
        <f>IF(OR($B2026="",NOT(ISNUMBER($D2026))),"",IF($E2026&lt;$D$2,"Passé",IF($D2026&gt;$F$2,"À venir","Dans la période")))</f>
        <v/>
      </c>
      <c r="I2026">
        <f>IF(OR($B2026="",NOT(ISNUMBER($D2026))),"",IF(AND($E2026&lt;$D$2,$G2026&lt;&gt;"X",$F2026&lt;&gt;"Réalisé",$F2026&lt;&gt;"Clôturé"),"RETARD",""))</f>
        <v/>
      </c>
      <c r="J2026" s="29">
        <f>IF($B2026="","",IF(INDEX(Dossiers!$F$4:$F$63,39)="","",INDEX(Dossiers!$F$4:$F$63,39)))</f>
        <v/>
      </c>
      <c r="K2026" s="29">
        <f>IF($B2026="","",IF(INDEX(Dossiers!$G$4:$G$63,39)="","",INDEX(Dossiers!$G$4:$G$63,39)))</f>
        <v/>
      </c>
    </row>
    <row r="2027">
      <c r="A2027">
        <f>IF($B2027="","",INDEX(Dossiers!$E$4:$E$63,39))</f>
        <v/>
      </c>
      <c r="B2027">
        <f>IF(INDEX(Suivi!$B:$B,2066)="","",INDEX(Suivi!$B:$B,2066))</f>
        <v/>
      </c>
      <c r="C2027">
        <f>IF($B2027="","",IF(INDEX(Suivi!$D:$D,2066)="",INDEX(Suivi!$C:$C,2066),INDEX(Suivi!$D:$D,2066)))</f>
        <v/>
      </c>
      <c r="D2027" s="29">
        <f>IF($B2027="","",INDEX(Suivi!$E:$E,2066))</f>
        <v/>
      </c>
      <c r="E2027" s="29">
        <f>IF($B2027="","",INDEX(Suivi!$F:$F,2066))</f>
        <v/>
      </c>
      <c r="F2027">
        <f>IF($B2027="","",INDEX(Suivi!$G:$G,2066))</f>
        <v/>
      </c>
      <c r="H2027">
        <f>IF(OR($B2027="",NOT(ISNUMBER($D2027))),"",IF($E2027&lt;$D$2,"Passé",IF($D2027&gt;$F$2,"À venir","Dans la période")))</f>
        <v/>
      </c>
      <c r="I2027">
        <f>IF(OR($B2027="",NOT(ISNUMBER($D2027))),"",IF(AND($E2027&lt;$D$2,$G2027&lt;&gt;"X",$F2027&lt;&gt;"Réalisé",$F2027&lt;&gt;"Clôturé"),"RETARD",""))</f>
        <v/>
      </c>
      <c r="J2027" s="29">
        <f>IF($B2027="","",IF(INDEX(Dossiers!$F$4:$F$63,39)="","",INDEX(Dossiers!$F$4:$F$63,39)))</f>
        <v/>
      </c>
      <c r="K2027" s="29">
        <f>IF($B2027="","",IF(INDEX(Dossiers!$G$4:$G$63,39)="","",INDEX(Dossiers!$G$4:$G$63,39)))</f>
        <v/>
      </c>
    </row>
    <row r="2028">
      <c r="A2028">
        <f>IF($B2028="","",INDEX(Dossiers!$E$4:$E$63,39))</f>
        <v/>
      </c>
      <c r="B2028">
        <f>IF(INDEX(Suivi!$B:$B,2067)="","",INDEX(Suivi!$B:$B,2067))</f>
        <v/>
      </c>
      <c r="C2028">
        <f>IF($B2028="","",IF(INDEX(Suivi!$D:$D,2067)="",INDEX(Suivi!$C:$C,2067),INDEX(Suivi!$D:$D,2067)))</f>
        <v/>
      </c>
      <c r="D2028" s="29">
        <f>IF($B2028="","",INDEX(Suivi!$E:$E,2067))</f>
        <v/>
      </c>
      <c r="E2028" s="29">
        <f>IF($B2028="","",INDEX(Suivi!$F:$F,2067))</f>
        <v/>
      </c>
      <c r="F2028">
        <f>IF($B2028="","",INDEX(Suivi!$G:$G,2067))</f>
        <v/>
      </c>
      <c r="H2028">
        <f>IF(OR($B2028="",NOT(ISNUMBER($D2028))),"",IF($E2028&lt;$D$2,"Passé",IF($D2028&gt;$F$2,"À venir","Dans la période")))</f>
        <v/>
      </c>
      <c r="I2028">
        <f>IF(OR($B2028="",NOT(ISNUMBER($D2028))),"",IF(AND($E2028&lt;$D$2,$G2028&lt;&gt;"X",$F2028&lt;&gt;"Réalisé",$F2028&lt;&gt;"Clôturé"),"RETARD",""))</f>
        <v/>
      </c>
      <c r="J2028" s="29">
        <f>IF($B2028="","",IF(INDEX(Dossiers!$F$4:$F$63,39)="","",INDEX(Dossiers!$F$4:$F$63,39)))</f>
        <v/>
      </c>
      <c r="K2028" s="29">
        <f>IF($B2028="","",IF(INDEX(Dossiers!$G$4:$G$63,39)="","",INDEX(Dossiers!$G$4:$G$63,39)))</f>
        <v/>
      </c>
    </row>
    <row r="2029">
      <c r="A2029">
        <f>IF($B2029="","",INDEX(Dossiers!$E$4:$E$63,39))</f>
        <v/>
      </c>
      <c r="B2029">
        <f>IF(INDEX(Suivi!$B:$B,2068)="","",INDEX(Suivi!$B:$B,2068))</f>
        <v/>
      </c>
      <c r="C2029">
        <f>IF($B2029="","",IF(INDEX(Suivi!$D:$D,2068)="",INDEX(Suivi!$C:$C,2068),INDEX(Suivi!$D:$D,2068)))</f>
        <v/>
      </c>
      <c r="D2029" s="29">
        <f>IF($B2029="","",INDEX(Suivi!$E:$E,2068))</f>
        <v/>
      </c>
      <c r="E2029" s="29">
        <f>IF($B2029="","",INDEX(Suivi!$F:$F,2068))</f>
        <v/>
      </c>
      <c r="F2029">
        <f>IF($B2029="","",INDEX(Suivi!$G:$G,2068))</f>
        <v/>
      </c>
      <c r="H2029">
        <f>IF(OR($B2029="",NOT(ISNUMBER($D2029))),"",IF($E2029&lt;$D$2,"Passé",IF($D2029&gt;$F$2,"À venir","Dans la période")))</f>
        <v/>
      </c>
      <c r="I2029">
        <f>IF(OR($B2029="",NOT(ISNUMBER($D2029))),"",IF(AND($E2029&lt;$D$2,$G2029&lt;&gt;"X",$F2029&lt;&gt;"Réalisé",$F2029&lt;&gt;"Clôturé"),"RETARD",""))</f>
        <v/>
      </c>
      <c r="J2029" s="29">
        <f>IF($B2029="","",IF(INDEX(Dossiers!$F$4:$F$63,39)="","",INDEX(Dossiers!$F$4:$F$63,39)))</f>
        <v/>
      </c>
      <c r="K2029" s="29">
        <f>IF($B2029="","",IF(INDEX(Dossiers!$G$4:$G$63,39)="","",INDEX(Dossiers!$G$4:$G$63,39)))</f>
        <v/>
      </c>
    </row>
    <row r="2030">
      <c r="A2030">
        <f>IF($B2030="","",INDEX(Dossiers!$E$4:$E$63,39))</f>
        <v/>
      </c>
      <c r="B2030">
        <f>IF(INDEX(Suivi!$B:$B,2069)="","",INDEX(Suivi!$B:$B,2069))</f>
        <v/>
      </c>
      <c r="C2030">
        <f>IF($B2030="","",IF(INDEX(Suivi!$D:$D,2069)="",INDEX(Suivi!$C:$C,2069),INDEX(Suivi!$D:$D,2069)))</f>
        <v/>
      </c>
      <c r="D2030" s="29">
        <f>IF($B2030="","",INDEX(Suivi!$E:$E,2069))</f>
        <v/>
      </c>
      <c r="E2030" s="29">
        <f>IF($B2030="","",INDEX(Suivi!$F:$F,2069))</f>
        <v/>
      </c>
      <c r="F2030">
        <f>IF($B2030="","",INDEX(Suivi!$G:$G,2069))</f>
        <v/>
      </c>
      <c r="H2030">
        <f>IF(OR($B2030="",NOT(ISNUMBER($D2030))),"",IF($E2030&lt;$D$2,"Passé",IF($D2030&gt;$F$2,"À venir","Dans la période")))</f>
        <v/>
      </c>
      <c r="I2030">
        <f>IF(OR($B2030="",NOT(ISNUMBER($D2030))),"",IF(AND($E2030&lt;$D$2,$G2030&lt;&gt;"X",$F2030&lt;&gt;"Réalisé",$F2030&lt;&gt;"Clôturé"),"RETARD",""))</f>
        <v/>
      </c>
      <c r="J2030" s="29">
        <f>IF($B2030="","",IF(INDEX(Dossiers!$F$4:$F$63,39)="","",INDEX(Dossiers!$F$4:$F$63,39)))</f>
        <v/>
      </c>
      <c r="K2030" s="29">
        <f>IF($B2030="","",IF(INDEX(Dossiers!$G$4:$G$63,39)="","",INDEX(Dossiers!$G$4:$G$63,39)))</f>
        <v/>
      </c>
    </row>
    <row r="2031">
      <c r="A2031">
        <f>IF($B2031="","",INDEX(Dossiers!$E$4:$E$63,39))</f>
        <v/>
      </c>
      <c r="B2031">
        <f>IF(INDEX(Suivi!$B:$B,2070)="","",INDEX(Suivi!$B:$B,2070))</f>
        <v/>
      </c>
      <c r="C2031">
        <f>IF($B2031="","",IF(INDEX(Suivi!$D:$D,2070)="",INDEX(Suivi!$C:$C,2070),INDEX(Suivi!$D:$D,2070)))</f>
        <v/>
      </c>
      <c r="D2031" s="29">
        <f>IF($B2031="","",INDEX(Suivi!$E:$E,2070))</f>
        <v/>
      </c>
      <c r="E2031" s="29">
        <f>IF($B2031="","",INDEX(Suivi!$F:$F,2070))</f>
        <v/>
      </c>
      <c r="F2031">
        <f>IF($B2031="","",INDEX(Suivi!$G:$G,2070))</f>
        <v/>
      </c>
      <c r="H2031">
        <f>IF(OR($B2031="",NOT(ISNUMBER($D2031))),"",IF($E2031&lt;$D$2,"Passé",IF($D2031&gt;$F$2,"À venir","Dans la période")))</f>
        <v/>
      </c>
      <c r="I2031">
        <f>IF(OR($B2031="",NOT(ISNUMBER($D2031))),"",IF(AND($E2031&lt;$D$2,$G2031&lt;&gt;"X",$F2031&lt;&gt;"Réalisé",$F2031&lt;&gt;"Clôturé"),"RETARD",""))</f>
        <v/>
      </c>
      <c r="J2031" s="29">
        <f>IF($B2031="","",IF(INDEX(Dossiers!$F$4:$F$63,39)="","",INDEX(Dossiers!$F$4:$F$63,39)))</f>
        <v/>
      </c>
      <c r="K2031" s="29">
        <f>IF($B2031="","",IF(INDEX(Dossiers!$G$4:$G$63,39)="","",INDEX(Dossiers!$G$4:$G$63,39)))</f>
        <v/>
      </c>
    </row>
    <row r="2032">
      <c r="A2032">
        <f>IF($B2032="","",INDEX(Dossiers!$E$4:$E$63,39))</f>
        <v/>
      </c>
      <c r="B2032">
        <f>IF(INDEX(Suivi!$B:$B,2071)="","",INDEX(Suivi!$B:$B,2071))</f>
        <v/>
      </c>
      <c r="C2032">
        <f>IF($B2032="","",IF(INDEX(Suivi!$D:$D,2071)="",INDEX(Suivi!$C:$C,2071),INDEX(Suivi!$D:$D,2071)))</f>
        <v/>
      </c>
      <c r="D2032" s="29">
        <f>IF($B2032="","",INDEX(Suivi!$E:$E,2071))</f>
        <v/>
      </c>
      <c r="E2032" s="29">
        <f>IF($B2032="","",INDEX(Suivi!$F:$F,2071))</f>
        <v/>
      </c>
      <c r="F2032">
        <f>IF($B2032="","",INDEX(Suivi!$G:$G,2071))</f>
        <v/>
      </c>
      <c r="H2032">
        <f>IF(OR($B2032="",NOT(ISNUMBER($D2032))),"",IF($E2032&lt;$D$2,"Passé",IF($D2032&gt;$F$2,"À venir","Dans la période")))</f>
        <v/>
      </c>
      <c r="I2032">
        <f>IF(OR($B2032="",NOT(ISNUMBER($D2032))),"",IF(AND($E2032&lt;$D$2,$G2032&lt;&gt;"X",$F2032&lt;&gt;"Réalisé",$F2032&lt;&gt;"Clôturé"),"RETARD",""))</f>
        <v/>
      </c>
      <c r="J2032" s="29">
        <f>IF($B2032="","",IF(INDEX(Dossiers!$F$4:$F$63,39)="","",INDEX(Dossiers!$F$4:$F$63,39)))</f>
        <v/>
      </c>
      <c r="K2032" s="29">
        <f>IF($B2032="","",IF(INDEX(Dossiers!$G$4:$G$63,39)="","",INDEX(Dossiers!$G$4:$G$63,39)))</f>
        <v/>
      </c>
    </row>
    <row r="2033">
      <c r="A2033">
        <f>IF($B2033="","",INDEX(Dossiers!$E$4:$E$63,39))</f>
        <v/>
      </c>
      <c r="B2033">
        <f>IF(INDEX(Suivi!$B:$B,2072)="","",INDEX(Suivi!$B:$B,2072))</f>
        <v/>
      </c>
      <c r="C2033">
        <f>IF($B2033="","",IF(INDEX(Suivi!$D:$D,2072)="",INDEX(Suivi!$C:$C,2072),INDEX(Suivi!$D:$D,2072)))</f>
        <v/>
      </c>
      <c r="D2033" s="29">
        <f>IF($B2033="","",INDEX(Suivi!$E:$E,2072))</f>
        <v/>
      </c>
      <c r="E2033" s="29">
        <f>IF($B2033="","",INDEX(Suivi!$F:$F,2072))</f>
        <v/>
      </c>
      <c r="F2033">
        <f>IF($B2033="","",INDEX(Suivi!$G:$G,2072))</f>
        <v/>
      </c>
      <c r="H2033">
        <f>IF(OR($B2033="",NOT(ISNUMBER($D2033))),"",IF($E2033&lt;$D$2,"Passé",IF($D2033&gt;$F$2,"À venir","Dans la période")))</f>
        <v/>
      </c>
      <c r="I2033">
        <f>IF(OR($B2033="",NOT(ISNUMBER($D2033))),"",IF(AND($E2033&lt;$D$2,$G2033&lt;&gt;"X",$F2033&lt;&gt;"Réalisé",$F2033&lt;&gt;"Clôturé"),"RETARD",""))</f>
        <v/>
      </c>
      <c r="J2033" s="29">
        <f>IF($B2033="","",IF(INDEX(Dossiers!$F$4:$F$63,39)="","",INDEX(Dossiers!$F$4:$F$63,39)))</f>
        <v/>
      </c>
      <c r="K2033" s="29">
        <f>IF($B2033="","",IF(INDEX(Dossiers!$G$4:$G$63,39)="","",INDEX(Dossiers!$G$4:$G$63,39)))</f>
        <v/>
      </c>
    </row>
    <row r="2034">
      <c r="A2034">
        <f>IF($B2034="","",INDEX(Dossiers!$E$4:$E$63,39))</f>
        <v/>
      </c>
      <c r="B2034">
        <f>IF(INDEX(Suivi!$B:$B,2073)="","",INDEX(Suivi!$B:$B,2073))</f>
        <v/>
      </c>
      <c r="C2034">
        <f>IF($B2034="","",IF(INDEX(Suivi!$D:$D,2073)="",INDEX(Suivi!$C:$C,2073),INDEX(Suivi!$D:$D,2073)))</f>
        <v/>
      </c>
      <c r="D2034" s="29">
        <f>IF($B2034="","",INDEX(Suivi!$E:$E,2073))</f>
        <v/>
      </c>
      <c r="E2034" s="29">
        <f>IF($B2034="","",INDEX(Suivi!$F:$F,2073))</f>
        <v/>
      </c>
      <c r="F2034">
        <f>IF($B2034="","",INDEX(Suivi!$G:$G,2073))</f>
        <v/>
      </c>
      <c r="H2034">
        <f>IF(OR($B2034="",NOT(ISNUMBER($D2034))),"",IF($E2034&lt;$D$2,"Passé",IF($D2034&gt;$F$2,"À venir","Dans la période")))</f>
        <v/>
      </c>
      <c r="I2034">
        <f>IF(OR($B2034="",NOT(ISNUMBER($D2034))),"",IF(AND($E2034&lt;$D$2,$G2034&lt;&gt;"X",$F2034&lt;&gt;"Réalisé",$F2034&lt;&gt;"Clôturé"),"RETARD",""))</f>
        <v/>
      </c>
      <c r="J2034" s="29">
        <f>IF($B2034="","",IF(INDEX(Dossiers!$F$4:$F$63,39)="","",INDEX(Dossiers!$F$4:$F$63,39)))</f>
        <v/>
      </c>
      <c r="K2034" s="29">
        <f>IF($B2034="","",IF(INDEX(Dossiers!$G$4:$G$63,39)="","",INDEX(Dossiers!$G$4:$G$63,39)))</f>
        <v/>
      </c>
    </row>
    <row r="2035">
      <c r="A2035">
        <f>IF($B2035="","",INDEX(Dossiers!$E$4:$E$63,39))</f>
        <v/>
      </c>
      <c r="B2035">
        <f>IF(INDEX(Suivi!$B:$B,2074)="","",INDEX(Suivi!$B:$B,2074))</f>
        <v/>
      </c>
      <c r="C2035">
        <f>IF($B2035="","",IF(INDEX(Suivi!$D:$D,2074)="",INDEX(Suivi!$C:$C,2074),INDEX(Suivi!$D:$D,2074)))</f>
        <v/>
      </c>
      <c r="D2035" s="29">
        <f>IF($B2035="","",INDEX(Suivi!$E:$E,2074))</f>
        <v/>
      </c>
      <c r="E2035" s="29">
        <f>IF($B2035="","",INDEX(Suivi!$F:$F,2074))</f>
        <v/>
      </c>
      <c r="F2035">
        <f>IF($B2035="","",INDEX(Suivi!$G:$G,2074))</f>
        <v/>
      </c>
      <c r="H2035">
        <f>IF(OR($B2035="",NOT(ISNUMBER($D2035))),"",IF($E2035&lt;$D$2,"Passé",IF($D2035&gt;$F$2,"À venir","Dans la période")))</f>
        <v/>
      </c>
      <c r="I2035">
        <f>IF(OR($B2035="",NOT(ISNUMBER($D2035))),"",IF(AND($E2035&lt;$D$2,$G2035&lt;&gt;"X",$F2035&lt;&gt;"Réalisé",$F2035&lt;&gt;"Clôturé"),"RETARD",""))</f>
        <v/>
      </c>
      <c r="J2035" s="29">
        <f>IF($B2035="","",IF(INDEX(Dossiers!$F$4:$F$63,39)="","",INDEX(Dossiers!$F$4:$F$63,39)))</f>
        <v/>
      </c>
      <c r="K2035" s="29">
        <f>IF($B2035="","",IF(INDEX(Dossiers!$G$4:$G$63,39)="","",INDEX(Dossiers!$G$4:$G$63,39)))</f>
        <v/>
      </c>
    </row>
    <row r="2036">
      <c r="A2036">
        <f>IF($B2036="","",INDEX(Dossiers!$E$4:$E$63,39))</f>
        <v/>
      </c>
      <c r="B2036">
        <f>IF(INDEX(Suivi!$B:$B,2075)="","",INDEX(Suivi!$B:$B,2075))</f>
        <v/>
      </c>
      <c r="C2036">
        <f>IF($B2036="","",IF(INDEX(Suivi!$D:$D,2075)="",INDEX(Suivi!$C:$C,2075),INDEX(Suivi!$D:$D,2075)))</f>
        <v/>
      </c>
      <c r="D2036" s="29">
        <f>IF($B2036="","",INDEX(Suivi!$E:$E,2075))</f>
        <v/>
      </c>
      <c r="E2036" s="29">
        <f>IF($B2036="","",INDEX(Suivi!$F:$F,2075))</f>
        <v/>
      </c>
      <c r="F2036">
        <f>IF($B2036="","",INDEX(Suivi!$G:$G,2075))</f>
        <v/>
      </c>
      <c r="H2036">
        <f>IF(OR($B2036="",NOT(ISNUMBER($D2036))),"",IF($E2036&lt;$D$2,"Passé",IF($D2036&gt;$F$2,"À venir","Dans la période")))</f>
        <v/>
      </c>
      <c r="I2036">
        <f>IF(OR($B2036="",NOT(ISNUMBER($D2036))),"",IF(AND($E2036&lt;$D$2,$G2036&lt;&gt;"X",$F2036&lt;&gt;"Réalisé",$F2036&lt;&gt;"Clôturé"),"RETARD",""))</f>
        <v/>
      </c>
      <c r="J2036" s="29">
        <f>IF($B2036="","",IF(INDEX(Dossiers!$F$4:$F$63,39)="","",INDEX(Dossiers!$F$4:$F$63,39)))</f>
        <v/>
      </c>
      <c r="K2036" s="29">
        <f>IF($B2036="","",IF(INDEX(Dossiers!$G$4:$G$63,39)="","",INDEX(Dossiers!$G$4:$G$63,39)))</f>
        <v/>
      </c>
    </row>
    <row r="2037">
      <c r="A2037">
        <f>IF($B2037="","",INDEX(Dossiers!$E$4:$E$63,39))</f>
        <v/>
      </c>
      <c r="B2037">
        <f>IF(INDEX(Suivi!$B:$B,2076)="","",INDEX(Suivi!$B:$B,2076))</f>
        <v/>
      </c>
      <c r="C2037">
        <f>IF($B2037="","",IF(INDEX(Suivi!$D:$D,2076)="",INDEX(Suivi!$C:$C,2076),INDEX(Suivi!$D:$D,2076)))</f>
        <v/>
      </c>
      <c r="D2037" s="29">
        <f>IF($B2037="","",INDEX(Suivi!$E:$E,2076))</f>
        <v/>
      </c>
      <c r="E2037" s="29">
        <f>IF($B2037="","",INDEX(Suivi!$F:$F,2076))</f>
        <v/>
      </c>
      <c r="F2037">
        <f>IF($B2037="","",INDEX(Suivi!$G:$G,2076))</f>
        <v/>
      </c>
      <c r="H2037">
        <f>IF(OR($B2037="",NOT(ISNUMBER($D2037))),"",IF($E2037&lt;$D$2,"Passé",IF($D2037&gt;$F$2,"À venir","Dans la période")))</f>
        <v/>
      </c>
      <c r="I2037">
        <f>IF(OR($B2037="",NOT(ISNUMBER($D2037))),"",IF(AND($E2037&lt;$D$2,$G2037&lt;&gt;"X",$F2037&lt;&gt;"Réalisé",$F2037&lt;&gt;"Clôturé"),"RETARD",""))</f>
        <v/>
      </c>
      <c r="J2037" s="29">
        <f>IF($B2037="","",IF(INDEX(Dossiers!$F$4:$F$63,39)="","",INDEX(Dossiers!$F$4:$F$63,39)))</f>
        <v/>
      </c>
      <c r="K2037" s="29">
        <f>IF($B2037="","",IF(INDEX(Dossiers!$G$4:$G$63,39)="","",INDEX(Dossiers!$G$4:$G$63,39)))</f>
        <v/>
      </c>
    </row>
    <row r="2038">
      <c r="A2038">
        <f>IF($B2038="","",INDEX(Dossiers!$E$4:$E$63,39))</f>
        <v/>
      </c>
      <c r="B2038">
        <f>IF(INDEX(Suivi!$B:$B,2077)="","",INDEX(Suivi!$B:$B,2077))</f>
        <v/>
      </c>
      <c r="C2038">
        <f>IF($B2038="","",IF(INDEX(Suivi!$D:$D,2077)="",INDEX(Suivi!$C:$C,2077),INDEX(Suivi!$D:$D,2077)))</f>
        <v/>
      </c>
      <c r="D2038" s="29">
        <f>IF($B2038="","",INDEX(Suivi!$E:$E,2077))</f>
        <v/>
      </c>
      <c r="E2038" s="29">
        <f>IF($B2038="","",INDEX(Suivi!$F:$F,2077))</f>
        <v/>
      </c>
      <c r="F2038">
        <f>IF($B2038="","",INDEX(Suivi!$G:$G,2077))</f>
        <v/>
      </c>
      <c r="H2038">
        <f>IF(OR($B2038="",NOT(ISNUMBER($D2038))),"",IF($E2038&lt;$D$2,"Passé",IF($D2038&gt;$F$2,"À venir","Dans la période")))</f>
        <v/>
      </c>
      <c r="I2038">
        <f>IF(OR($B2038="",NOT(ISNUMBER($D2038))),"",IF(AND($E2038&lt;$D$2,$G2038&lt;&gt;"X",$F2038&lt;&gt;"Réalisé",$F2038&lt;&gt;"Clôturé"),"RETARD",""))</f>
        <v/>
      </c>
      <c r="J2038" s="29">
        <f>IF($B2038="","",IF(INDEX(Dossiers!$F$4:$F$63,39)="","",INDEX(Dossiers!$F$4:$F$63,39)))</f>
        <v/>
      </c>
      <c r="K2038" s="29">
        <f>IF($B2038="","",IF(INDEX(Dossiers!$G$4:$G$63,39)="","",INDEX(Dossiers!$G$4:$G$63,39)))</f>
        <v/>
      </c>
    </row>
    <row r="2039">
      <c r="A2039">
        <f>IF($B2039="","",INDEX(Dossiers!$E$4:$E$63,39))</f>
        <v/>
      </c>
      <c r="B2039">
        <f>IF(INDEX(Suivi!$B:$B,2078)="","",INDEX(Suivi!$B:$B,2078))</f>
        <v/>
      </c>
      <c r="C2039">
        <f>IF($B2039="","",IF(INDEX(Suivi!$D:$D,2078)="",INDEX(Suivi!$C:$C,2078),INDEX(Suivi!$D:$D,2078)))</f>
        <v/>
      </c>
      <c r="D2039" s="29">
        <f>IF($B2039="","",INDEX(Suivi!$E:$E,2078))</f>
        <v/>
      </c>
      <c r="E2039" s="29">
        <f>IF($B2039="","",INDEX(Suivi!$F:$F,2078))</f>
        <v/>
      </c>
      <c r="F2039">
        <f>IF($B2039="","",INDEX(Suivi!$G:$G,2078))</f>
        <v/>
      </c>
      <c r="H2039">
        <f>IF(OR($B2039="",NOT(ISNUMBER($D2039))),"",IF($E2039&lt;$D$2,"Passé",IF($D2039&gt;$F$2,"À venir","Dans la période")))</f>
        <v/>
      </c>
      <c r="I2039">
        <f>IF(OR($B2039="",NOT(ISNUMBER($D2039))),"",IF(AND($E2039&lt;$D$2,$G2039&lt;&gt;"X",$F2039&lt;&gt;"Réalisé",$F2039&lt;&gt;"Clôturé"),"RETARD",""))</f>
        <v/>
      </c>
      <c r="J2039" s="29">
        <f>IF($B2039="","",IF(INDEX(Dossiers!$F$4:$F$63,39)="","",INDEX(Dossiers!$F$4:$F$63,39)))</f>
        <v/>
      </c>
      <c r="K2039" s="29">
        <f>IF($B2039="","",IF(INDEX(Dossiers!$G$4:$G$63,39)="","",INDEX(Dossiers!$G$4:$G$63,39)))</f>
        <v/>
      </c>
    </row>
    <row r="2040">
      <c r="A2040">
        <f>IF($B2040="","",INDEX(Dossiers!$E$4:$E$63,39))</f>
        <v/>
      </c>
      <c r="B2040">
        <f>IF(INDEX(Suivi!$B:$B,2079)="","",INDEX(Suivi!$B:$B,2079))</f>
        <v/>
      </c>
      <c r="C2040">
        <f>IF($B2040="","",IF(INDEX(Suivi!$D:$D,2079)="",INDEX(Suivi!$C:$C,2079),INDEX(Suivi!$D:$D,2079)))</f>
        <v/>
      </c>
      <c r="D2040" s="29">
        <f>IF($B2040="","",INDEX(Suivi!$E:$E,2079))</f>
        <v/>
      </c>
      <c r="E2040" s="29">
        <f>IF($B2040="","",INDEX(Suivi!$F:$F,2079))</f>
        <v/>
      </c>
      <c r="F2040">
        <f>IF($B2040="","",INDEX(Suivi!$G:$G,2079))</f>
        <v/>
      </c>
      <c r="H2040">
        <f>IF(OR($B2040="",NOT(ISNUMBER($D2040))),"",IF($E2040&lt;$D$2,"Passé",IF($D2040&gt;$F$2,"À venir","Dans la période")))</f>
        <v/>
      </c>
      <c r="I2040">
        <f>IF(OR($B2040="",NOT(ISNUMBER($D2040))),"",IF(AND($E2040&lt;$D$2,$G2040&lt;&gt;"X",$F2040&lt;&gt;"Réalisé",$F2040&lt;&gt;"Clôturé"),"RETARD",""))</f>
        <v/>
      </c>
      <c r="J2040" s="29">
        <f>IF($B2040="","",IF(INDEX(Dossiers!$F$4:$F$63,39)="","",INDEX(Dossiers!$F$4:$F$63,39)))</f>
        <v/>
      </c>
      <c r="K2040" s="29">
        <f>IF($B2040="","",IF(INDEX(Dossiers!$G$4:$G$63,39)="","",INDEX(Dossiers!$G$4:$G$63,39)))</f>
        <v/>
      </c>
    </row>
    <row r="2041">
      <c r="A2041">
        <f>IF($B2041="","",INDEX(Dossiers!$E$4:$E$63,39))</f>
        <v/>
      </c>
      <c r="B2041">
        <f>IF(INDEX(Suivi!$B:$B,2080)="","",INDEX(Suivi!$B:$B,2080))</f>
        <v/>
      </c>
      <c r="C2041">
        <f>IF($B2041="","",IF(INDEX(Suivi!$D:$D,2080)="",INDEX(Suivi!$C:$C,2080),INDEX(Suivi!$D:$D,2080)))</f>
        <v/>
      </c>
      <c r="D2041" s="29">
        <f>IF($B2041="","",INDEX(Suivi!$E:$E,2080))</f>
        <v/>
      </c>
      <c r="E2041" s="29">
        <f>IF($B2041="","",INDEX(Suivi!$F:$F,2080))</f>
        <v/>
      </c>
      <c r="F2041">
        <f>IF($B2041="","",INDEX(Suivi!$G:$G,2080))</f>
        <v/>
      </c>
      <c r="H2041">
        <f>IF(OR($B2041="",NOT(ISNUMBER($D2041))),"",IF($E2041&lt;$D$2,"Passé",IF($D2041&gt;$F$2,"À venir","Dans la période")))</f>
        <v/>
      </c>
      <c r="I2041">
        <f>IF(OR($B2041="",NOT(ISNUMBER($D2041))),"",IF(AND($E2041&lt;$D$2,$G2041&lt;&gt;"X",$F2041&lt;&gt;"Réalisé",$F2041&lt;&gt;"Clôturé"),"RETARD",""))</f>
        <v/>
      </c>
      <c r="J2041" s="29">
        <f>IF($B2041="","",IF(INDEX(Dossiers!$F$4:$F$63,39)="","",INDEX(Dossiers!$F$4:$F$63,39)))</f>
        <v/>
      </c>
      <c r="K2041" s="29">
        <f>IF($B2041="","",IF(INDEX(Dossiers!$G$4:$G$63,39)="","",INDEX(Dossiers!$G$4:$G$63,39)))</f>
        <v/>
      </c>
    </row>
    <row r="2042">
      <c r="A2042">
        <f>IF($B2042="","",INDEX(Dossiers!$E$4:$E$63,39))</f>
        <v/>
      </c>
      <c r="B2042">
        <f>IF(INDEX(Suivi!$B:$B,2081)="","",INDEX(Suivi!$B:$B,2081))</f>
        <v/>
      </c>
      <c r="C2042">
        <f>IF($B2042="","",IF(INDEX(Suivi!$D:$D,2081)="",INDEX(Suivi!$C:$C,2081),INDEX(Suivi!$D:$D,2081)))</f>
        <v/>
      </c>
      <c r="D2042" s="29">
        <f>IF($B2042="","",INDEX(Suivi!$E:$E,2081))</f>
        <v/>
      </c>
      <c r="E2042" s="29">
        <f>IF($B2042="","",INDEX(Suivi!$F:$F,2081))</f>
        <v/>
      </c>
      <c r="F2042">
        <f>IF($B2042="","",INDEX(Suivi!$G:$G,2081))</f>
        <v/>
      </c>
      <c r="H2042">
        <f>IF(OR($B2042="",NOT(ISNUMBER($D2042))),"",IF($E2042&lt;$D$2,"Passé",IF($D2042&gt;$F$2,"À venir","Dans la période")))</f>
        <v/>
      </c>
      <c r="I2042">
        <f>IF(OR($B2042="",NOT(ISNUMBER($D2042))),"",IF(AND($E2042&lt;$D$2,$G2042&lt;&gt;"X",$F2042&lt;&gt;"Réalisé",$F2042&lt;&gt;"Clôturé"),"RETARD",""))</f>
        <v/>
      </c>
      <c r="J2042" s="29">
        <f>IF($B2042="","",IF(INDEX(Dossiers!$F$4:$F$63,39)="","",INDEX(Dossiers!$F$4:$F$63,39)))</f>
        <v/>
      </c>
      <c r="K2042" s="29">
        <f>IF($B2042="","",IF(INDEX(Dossiers!$G$4:$G$63,39)="","",INDEX(Dossiers!$G$4:$G$63,39)))</f>
        <v/>
      </c>
    </row>
    <row r="2043">
      <c r="A2043">
        <f>IF($B2043="","",INDEX(Dossiers!$E$4:$E$63,39))</f>
        <v/>
      </c>
      <c r="B2043">
        <f>IF(INDEX(Suivi!$B:$B,2082)="","",INDEX(Suivi!$B:$B,2082))</f>
        <v/>
      </c>
      <c r="C2043">
        <f>IF($B2043="","",IF(INDEX(Suivi!$D:$D,2082)="",INDEX(Suivi!$C:$C,2082),INDEX(Suivi!$D:$D,2082)))</f>
        <v/>
      </c>
      <c r="D2043" s="29">
        <f>IF($B2043="","",INDEX(Suivi!$E:$E,2082))</f>
        <v/>
      </c>
      <c r="E2043" s="29">
        <f>IF($B2043="","",INDEX(Suivi!$F:$F,2082))</f>
        <v/>
      </c>
      <c r="F2043">
        <f>IF($B2043="","",INDEX(Suivi!$G:$G,2082))</f>
        <v/>
      </c>
      <c r="H2043">
        <f>IF(OR($B2043="",NOT(ISNUMBER($D2043))),"",IF($E2043&lt;$D$2,"Passé",IF($D2043&gt;$F$2,"À venir","Dans la période")))</f>
        <v/>
      </c>
      <c r="I2043">
        <f>IF(OR($B2043="",NOT(ISNUMBER($D2043))),"",IF(AND($E2043&lt;$D$2,$G2043&lt;&gt;"X",$F2043&lt;&gt;"Réalisé",$F2043&lt;&gt;"Clôturé"),"RETARD",""))</f>
        <v/>
      </c>
      <c r="J2043" s="29">
        <f>IF($B2043="","",IF(INDEX(Dossiers!$F$4:$F$63,39)="","",INDEX(Dossiers!$F$4:$F$63,39)))</f>
        <v/>
      </c>
      <c r="K2043" s="29">
        <f>IF($B2043="","",IF(INDEX(Dossiers!$G$4:$G$63,39)="","",INDEX(Dossiers!$G$4:$G$63,39)))</f>
        <v/>
      </c>
    </row>
    <row r="2044">
      <c r="A2044">
        <f>IF($B2044="","",INDEX(Dossiers!$E$4:$E$63,39))</f>
        <v/>
      </c>
      <c r="B2044">
        <f>IF(INDEX(Suivi!$B:$B,2083)="","",INDEX(Suivi!$B:$B,2083))</f>
        <v/>
      </c>
      <c r="C2044">
        <f>IF($B2044="","",IF(INDEX(Suivi!$D:$D,2083)="",INDEX(Suivi!$C:$C,2083),INDEX(Suivi!$D:$D,2083)))</f>
        <v/>
      </c>
      <c r="D2044" s="29">
        <f>IF($B2044="","",INDEX(Suivi!$E:$E,2083))</f>
        <v/>
      </c>
      <c r="E2044" s="29">
        <f>IF($B2044="","",INDEX(Suivi!$F:$F,2083))</f>
        <v/>
      </c>
      <c r="F2044">
        <f>IF($B2044="","",INDEX(Suivi!$G:$G,2083))</f>
        <v/>
      </c>
      <c r="H2044">
        <f>IF(OR($B2044="",NOT(ISNUMBER($D2044))),"",IF($E2044&lt;$D$2,"Passé",IF($D2044&gt;$F$2,"À venir","Dans la période")))</f>
        <v/>
      </c>
      <c r="I2044">
        <f>IF(OR($B2044="",NOT(ISNUMBER($D2044))),"",IF(AND($E2044&lt;$D$2,$G2044&lt;&gt;"X",$F2044&lt;&gt;"Réalisé",$F2044&lt;&gt;"Clôturé"),"RETARD",""))</f>
        <v/>
      </c>
      <c r="J2044" s="29">
        <f>IF($B2044="","",IF(INDEX(Dossiers!$F$4:$F$63,39)="","",INDEX(Dossiers!$F$4:$F$63,39)))</f>
        <v/>
      </c>
      <c r="K2044" s="29">
        <f>IF($B2044="","",IF(INDEX(Dossiers!$G$4:$G$63,39)="","",INDEX(Dossiers!$G$4:$G$63,39)))</f>
        <v/>
      </c>
    </row>
    <row r="2045">
      <c r="A2045">
        <f>IF($B2045="","",INDEX(Dossiers!$E$4:$E$63,39))</f>
        <v/>
      </c>
      <c r="B2045">
        <f>IF(INDEX(Suivi!$B:$B,2084)="","",INDEX(Suivi!$B:$B,2084))</f>
        <v/>
      </c>
      <c r="C2045">
        <f>IF($B2045="","",IF(INDEX(Suivi!$D:$D,2084)="",INDEX(Suivi!$C:$C,2084),INDEX(Suivi!$D:$D,2084)))</f>
        <v/>
      </c>
      <c r="D2045" s="29">
        <f>IF($B2045="","",INDEX(Suivi!$E:$E,2084))</f>
        <v/>
      </c>
      <c r="E2045" s="29">
        <f>IF($B2045="","",INDEX(Suivi!$F:$F,2084))</f>
        <v/>
      </c>
      <c r="F2045">
        <f>IF($B2045="","",INDEX(Suivi!$G:$G,2084))</f>
        <v/>
      </c>
      <c r="H2045">
        <f>IF(OR($B2045="",NOT(ISNUMBER($D2045))),"",IF($E2045&lt;$D$2,"Passé",IF($D2045&gt;$F$2,"À venir","Dans la période")))</f>
        <v/>
      </c>
      <c r="I2045">
        <f>IF(OR($B2045="",NOT(ISNUMBER($D2045))),"",IF(AND($E2045&lt;$D$2,$G2045&lt;&gt;"X",$F2045&lt;&gt;"Réalisé",$F2045&lt;&gt;"Clôturé"),"RETARD",""))</f>
        <v/>
      </c>
      <c r="J2045" s="29">
        <f>IF($B2045="","",IF(INDEX(Dossiers!$F$4:$F$63,39)="","",INDEX(Dossiers!$F$4:$F$63,39)))</f>
        <v/>
      </c>
      <c r="K2045" s="29">
        <f>IF($B2045="","",IF(INDEX(Dossiers!$G$4:$G$63,39)="","",INDEX(Dossiers!$G$4:$G$63,39)))</f>
        <v/>
      </c>
    </row>
    <row r="2046">
      <c r="A2046">
        <f>IF($B2046="","",INDEX(Dossiers!$E$4:$E$63,39))</f>
        <v/>
      </c>
      <c r="B2046">
        <f>IF(INDEX(Suivi!$B:$B,2085)="","",INDEX(Suivi!$B:$B,2085))</f>
        <v/>
      </c>
      <c r="C2046">
        <f>IF($B2046="","",IF(INDEX(Suivi!$D:$D,2085)="",INDEX(Suivi!$C:$C,2085),INDEX(Suivi!$D:$D,2085)))</f>
        <v/>
      </c>
      <c r="D2046" s="29">
        <f>IF($B2046="","",INDEX(Suivi!$E:$E,2085))</f>
        <v/>
      </c>
      <c r="E2046" s="29">
        <f>IF($B2046="","",INDEX(Suivi!$F:$F,2085))</f>
        <v/>
      </c>
      <c r="F2046">
        <f>IF($B2046="","",INDEX(Suivi!$G:$G,2085))</f>
        <v/>
      </c>
      <c r="H2046">
        <f>IF(OR($B2046="",NOT(ISNUMBER($D2046))),"",IF($E2046&lt;$D$2,"Passé",IF($D2046&gt;$F$2,"À venir","Dans la période")))</f>
        <v/>
      </c>
      <c r="I2046">
        <f>IF(OR($B2046="",NOT(ISNUMBER($D2046))),"",IF(AND($E2046&lt;$D$2,$G2046&lt;&gt;"X",$F2046&lt;&gt;"Réalisé",$F2046&lt;&gt;"Clôturé"),"RETARD",""))</f>
        <v/>
      </c>
      <c r="J2046" s="29">
        <f>IF($B2046="","",IF(INDEX(Dossiers!$F$4:$F$63,39)="","",INDEX(Dossiers!$F$4:$F$63,39)))</f>
        <v/>
      </c>
      <c r="K2046" s="29">
        <f>IF($B2046="","",IF(INDEX(Dossiers!$G$4:$G$63,39)="","",INDEX(Dossiers!$G$4:$G$63,39)))</f>
        <v/>
      </c>
    </row>
    <row r="2047">
      <c r="A2047">
        <f>IF($B2047="","",INDEX(Dossiers!$E$4:$E$63,39))</f>
        <v/>
      </c>
      <c r="B2047">
        <f>IF(INDEX(Suivi!$B:$B,2086)="","",INDEX(Suivi!$B:$B,2086))</f>
        <v/>
      </c>
      <c r="C2047">
        <f>IF($B2047="","",IF(INDEX(Suivi!$D:$D,2086)="",INDEX(Suivi!$C:$C,2086),INDEX(Suivi!$D:$D,2086)))</f>
        <v/>
      </c>
      <c r="D2047" s="29">
        <f>IF($B2047="","",INDEX(Suivi!$E:$E,2086))</f>
        <v/>
      </c>
      <c r="E2047" s="29">
        <f>IF($B2047="","",INDEX(Suivi!$F:$F,2086))</f>
        <v/>
      </c>
      <c r="F2047">
        <f>IF($B2047="","",INDEX(Suivi!$G:$G,2086))</f>
        <v/>
      </c>
      <c r="H2047">
        <f>IF(OR($B2047="",NOT(ISNUMBER($D2047))),"",IF($E2047&lt;$D$2,"Passé",IF($D2047&gt;$F$2,"À venir","Dans la période")))</f>
        <v/>
      </c>
      <c r="I2047">
        <f>IF(OR($B2047="",NOT(ISNUMBER($D2047))),"",IF(AND($E2047&lt;$D$2,$G2047&lt;&gt;"X",$F2047&lt;&gt;"Réalisé",$F2047&lt;&gt;"Clôturé"),"RETARD",""))</f>
        <v/>
      </c>
      <c r="J2047" s="29">
        <f>IF($B2047="","",IF(INDEX(Dossiers!$F$4:$F$63,39)="","",INDEX(Dossiers!$F$4:$F$63,39)))</f>
        <v/>
      </c>
      <c r="K2047" s="29">
        <f>IF($B2047="","",IF(INDEX(Dossiers!$G$4:$G$63,39)="","",INDEX(Dossiers!$G$4:$G$63,39)))</f>
        <v/>
      </c>
    </row>
    <row r="2048">
      <c r="A2048">
        <f>IF($B2048="","",INDEX(Dossiers!$E$4:$E$63,39))</f>
        <v/>
      </c>
      <c r="B2048">
        <f>IF(INDEX(Suivi!$B:$B,2087)="","",INDEX(Suivi!$B:$B,2087))</f>
        <v/>
      </c>
      <c r="C2048">
        <f>IF($B2048="","",IF(INDEX(Suivi!$D:$D,2087)="",INDEX(Suivi!$C:$C,2087),INDEX(Suivi!$D:$D,2087)))</f>
        <v/>
      </c>
      <c r="D2048" s="29">
        <f>IF($B2048="","",INDEX(Suivi!$E:$E,2087))</f>
        <v/>
      </c>
      <c r="E2048" s="29">
        <f>IF($B2048="","",INDEX(Suivi!$F:$F,2087))</f>
        <v/>
      </c>
      <c r="F2048">
        <f>IF($B2048="","",INDEX(Suivi!$G:$G,2087))</f>
        <v/>
      </c>
      <c r="H2048">
        <f>IF(OR($B2048="",NOT(ISNUMBER($D2048))),"",IF($E2048&lt;$D$2,"Passé",IF($D2048&gt;$F$2,"À venir","Dans la période")))</f>
        <v/>
      </c>
      <c r="I2048">
        <f>IF(OR($B2048="",NOT(ISNUMBER($D2048))),"",IF(AND($E2048&lt;$D$2,$G2048&lt;&gt;"X",$F2048&lt;&gt;"Réalisé",$F2048&lt;&gt;"Clôturé"),"RETARD",""))</f>
        <v/>
      </c>
      <c r="J2048" s="29">
        <f>IF($B2048="","",IF(INDEX(Dossiers!$F$4:$F$63,39)="","",INDEX(Dossiers!$F$4:$F$63,39)))</f>
        <v/>
      </c>
      <c r="K2048" s="29">
        <f>IF($B2048="","",IF(INDEX(Dossiers!$G$4:$G$63,39)="","",INDEX(Dossiers!$G$4:$G$63,39)))</f>
        <v/>
      </c>
    </row>
    <row r="2049">
      <c r="A2049">
        <f>IF($B2049="","",INDEX(Dossiers!$E$4:$E$63,39))</f>
        <v/>
      </c>
      <c r="B2049">
        <f>IF(INDEX(Suivi!$B:$B,2088)="","",INDEX(Suivi!$B:$B,2088))</f>
        <v/>
      </c>
      <c r="C2049">
        <f>IF($B2049="","",IF(INDEX(Suivi!$D:$D,2088)="",INDEX(Suivi!$C:$C,2088),INDEX(Suivi!$D:$D,2088)))</f>
        <v/>
      </c>
      <c r="D2049" s="29">
        <f>IF($B2049="","",INDEX(Suivi!$E:$E,2088))</f>
        <v/>
      </c>
      <c r="E2049" s="29">
        <f>IF($B2049="","",INDEX(Suivi!$F:$F,2088))</f>
        <v/>
      </c>
      <c r="F2049">
        <f>IF($B2049="","",INDEX(Suivi!$G:$G,2088))</f>
        <v/>
      </c>
      <c r="H2049">
        <f>IF(OR($B2049="",NOT(ISNUMBER($D2049))),"",IF($E2049&lt;$D$2,"Passé",IF($D2049&gt;$F$2,"À venir","Dans la période")))</f>
        <v/>
      </c>
      <c r="I2049">
        <f>IF(OR($B2049="",NOT(ISNUMBER($D2049))),"",IF(AND($E2049&lt;$D$2,$G2049&lt;&gt;"X",$F2049&lt;&gt;"Réalisé",$F2049&lt;&gt;"Clôturé"),"RETARD",""))</f>
        <v/>
      </c>
      <c r="J2049" s="29">
        <f>IF($B2049="","",IF(INDEX(Dossiers!$F$4:$F$63,39)="","",INDEX(Dossiers!$F$4:$F$63,39)))</f>
        <v/>
      </c>
      <c r="K2049" s="29">
        <f>IF($B2049="","",IF(INDEX(Dossiers!$G$4:$G$63,39)="","",INDEX(Dossiers!$G$4:$G$63,39)))</f>
        <v/>
      </c>
    </row>
    <row r="2050">
      <c r="A2050">
        <f>IF($B2050="","",INDEX(Dossiers!$E$4:$E$63,39))</f>
        <v/>
      </c>
      <c r="B2050">
        <f>IF(INDEX(Suivi!$B:$B,2089)="","",INDEX(Suivi!$B:$B,2089))</f>
        <v/>
      </c>
      <c r="C2050">
        <f>IF($B2050="","",IF(INDEX(Suivi!$D:$D,2089)="",INDEX(Suivi!$C:$C,2089),INDEX(Suivi!$D:$D,2089)))</f>
        <v/>
      </c>
      <c r="D2050" s="29">
        <f>IF($B2050="","",INDEX(Suivi!$E:$E,2089))</f>
        <v/>
      </c>
      <c r="E2050" s="29">
        <f>IF($B2050="","",INDEX(Suivi!$F:$F,2089))</f>
        <v/>
      </c>
      <c r="F2050">
        <f>IF($B2050="","",INDEX(Suivi!$G:$G,2089))</f>
        <v/>
      </c>
      <c r="H2050">
        <f>IF(OR($B2050="",NOT(ISNUMBER($D2050))),"",IF($E2050&lt;$D$2,"Passé",IF($D2050&gt;$F$2,"À venir","Dans la période")))</f>
        <v/>
      </c>
      <c r="I2050">
        <f>IF(OR($B2050="",NOT(ISNUMBER($D2050))),"",IF(AND($E2050&lt;$D$2,$G2050&lt;&gt;"X",$F2050&lt;&gt;"Réalisé",$F2050&lt;&gt;"Clôturé"),"RETARD",""))</f>
        <v/>
      </c>
      <c r="J2050" s="29">
        <f>IF($B2050="","",IF(INDEX(Dossiers!$F$4:$F$63,39)="","",INDEX(Dossiers!$F$4:$F$63,39)))</f>
        <v/>
      </c>
      <c r="K2050" s="29">
        <f>IF($B2050="","",IF(INDEX(Dossiers!$G$4:$G$63,39)="","",INDEX(Dossiers!$G$4:$G$63,39)))</f>
        <v/>
      </c>
    </row>
    <row r="2051">
      <c r="A2051">
        <f>IF($B2051="","",INDEX(Dossiers!$E$4:$E$63,39))</f>
        <v/>
      </c>
      <c r="B2051">
        <f>IF(INDEX(Suivi!$B:$B,2090)="","",INDEX(Suivi!$B:$B,2090))</f>
        <v/>
      </c>
      <c r="C2051">
        <f>IF($B2051="","",IF(INDEX(Suivi!$D:$D,2090)="",INDEX(Suivi!$C:$C,2090),INDEX(Suivi!$D:$D,2090)))</f>
        <v/>
      </c>
      <c r="D2051" s="29">
        <f>IF($B2051="","",INDEX(Suivi!$E:$E,2090))</f>
        <v/>
      </c>
      <c r="E2051" s="29">
        <f>IF($B2051="","",INDEX(Suivi!$F:$F,2090))</f>
        <v/>
      </c>
      <c r="F2051">
        <f>IF($B2051="","",INDEX(Suivi!$G:$G,2090))</f>
        <v/>
      </c>
      <c r="H2051">
        <f>IF(OR($B2051="",NOT(ISNUMBER($D2051))),"",IF($E2051&lt;$D$2,"Passé",IF($D2051&gt;$F$2,"À venir","Dans la période")))</f>
        <v/>
      </c>
      <c r="I2051">
        <f>IF(OR($B2051="",NOT(ISNUMBER($D2051))),"",IF(AND($E2051&lt;$D$2,$G2051&lt;&gt;"X",$F2051&lt;&gt;"Réalisé",$F2051&lt;&gt;"Clôturé"),"RETARD",""))</f>
        <v/>
      </c>
      <c r="J2051" s="29">
        <f>IF($B2051="","",IF(INDEX(Dossiers!$F$4:$F$63,39)="","",INDEX(Dossiers!$F$4:$F$63,39)))</f>
        <v/>
      </c>
      <c r="K2051" s="29">
        <f>IF($B2051="","",IF(INDEX(Dossiers!$G$4:$G$63,39)="","",INDEX(Dossiers!$G$4:$G$63,39)))</f>
        <v/>
      </c>
    </row>
    <row r="2052">
      <c r="A2052">
        <f>IF($B2052="","",INDEX(Dossiers!$E$4:$E$63,39))</f>
        <v/>
      </c>
      <c r="B2052">
        <f>IF(INDEX(Suivi!$B:$B,2091)="","",INDEX(Suivi!$B:$B,2091))</f>
        <v/>
      </c>
      <c r="C2052">
        <f>IF($B2052="","",IF(INDEX(Suivi!$D:$D,2091)="",INDEX(Suivi!$C:$C,2091),INDEX(Suivi!$D:$D,2091)))</f>
        <v/>
      </c>
      <c r="D2052" s="29">
        <f>IF($B2052="","",INDEX(Suivi!$E:$E,2091))</f>
        <v/>
      </c>
      <c r="E2052" s="29">
        <f>IF($B2052="","",INDEX(Suivi!$F:$F,2091))</f>
        <v/>
      </c>
      <c r="F2052">
        <f>IF($B2052="","",INDEX(Suivi!$G:$G,2091))</f>
        <v/>
      </c>
      <c r="H2052">
        <f>IF(OR($B2052="",NOT(ISNUMBER($D2052))),"",IF($E2052&lt;$D$2,"Passé",IF($D2052&gt;$F$2,"À venir","Dans la période")))</f>
        <v/>
      </c>
      <c r="I2052">
        <f>IF(OR($B2052="",NOT(ISNUMBER($D2052))),"",IF(AND($E2052&lt;$D$2,$G2052&lt;&gt;"X",$F2052&lt;&gt;"Réalisé",$F2052&lt;&gt;"Clôturé"),"RETARD",""))</f>
        <v/>
      </c>
      <c r="J2052" s="29">
        <f>IF($B2052="","",IF(INDEX(Dossiers!$F$4:$F$63,39)="","",INDEX(Dossiers!$F$4:$F$63,39)))</f>
        <v/>
      </c>
      <c r="K2052" s="29">
        <f>IF($B2052="","",IF(INDEX(Dossiers!$G$4:$G$63,39)="","",INDEX(Dossiers!$G$4:$G$63,39)))</f>
        <v/>
      </c>
    </row>
    <row r="2053">
      <c r="A2053">
        <f>IF($B2053="","",INDEX(Dossiers!$E$4:$E$63,39))</f>
        <v/>
      </c>
      <c r="B2053">
        <f>IF(INDEX(Suivi!$B:$B,2092)="","",INDEX(Suivi!$B:$B,2092))</f>
        <v/>
      </c>
      <c r="C2053">
        <f>IF($B2053="","",IF(INDEX(Suivi!$D:$D,2092)="",INDEX(Suivi!$C:$C,2092),INDEX(Suivi!$D:$D,2092)))</f>
        <v/>
      </c>
      <c r="D2053" s="29">
        <f>IF($B2053="","",INDEX(Suivi!$E:$E,2092))</f>
        <v/>
      </c>
      <c r="E2053" s="29">
        <f>IF($B2053="","",INDEX(Suivi!$F:$F,2092))</f>
        <v/>
      </c>
      <c r="F2053">
        <f>IF($B2053="","",INDEX(Suivi!$G:$G,2092))</f>
        <v/>
      </c>
      <c r="H2053">
        <f>IF(OR($B2053="",NOT(ISNUMBER($D2053))),"",IF($E2053&lt;$D$2,"Passé",IF($D2053&gt;$F$2,"À venir","Dans la période")))</f>
        <v/>
      </c>
      <c r="I2053">
        <f>IF(OR($B2053="",NOT(ISNUMBER($D2053))),"",IF(AND($E2053&lt;$D$2,$G2053&lt;&gt;"X",$F2053&lt;&gt;"Réalisé",$F2053&lt;&gt;"Clôturé"),"RETARD",""))</f>
        <v/>
      </c>
      <c r="J2053" s="29">
        <f>IF($B2053="","",IF(INDEX(Dossiers!$F$4:$F$63,39)="","",INDEX(Dossiers!$F$4:$F$63,39)))</f>
        <v/>
      </c>
      <c r="K2053" s="29">
        <f>IF($B2053="","",IF(INDEX(Dossiers!$G$4:$G$63,39)="","",INDEX(Dossiers!$G$4:$G$63,39)))</f>
        <v/>
      </c>
    </row>
    <row r="2054">
      <c r="A2054">
        <f>IF($B2054="","",INDEX(Dossiers!$E$4:$E$63,39))</f>
        <v/>
      </c>
      <c r="B2054">
        <f>IF(INDEX(Suivi!$B:$B,2093)="","",INDEX(Suivi!$B:$B,2093))</f>
        <v/>
      </c>
      <c r="C2054">
        <f>IF($B2054="","",IF(INDEX(Suivi!$D:$D,2093)="",INDEX(Suivi!$C:$C,2093),INDEX(Suivi!$D:$D,2093)))</f>
        <v/>
      </c>
      <c r="D2054" s="29">
        <f>IF($B2054="","",INDEX(Suivi!$E:$E,2093))</f>
        <v/>
      </c>
      <c r="E2054" s="29">
        <f>IF($B2054="","",INDEX(Suivi!$F:$F,2093))</f>
        <v/>
      </c>
      <c r="F2054">
        <f>IF($B2054="","",INDEX(Suivi!$G:$G,2093))</f>
        <v/>
      </c>
      <c r="H2054">
        <f>IF(OR($B2054="",NOT(ISNUMBER($D2054))),"",IF($E2054&lt;$D$2,"Passé",IF($D2054&gt;$F$2,"À venir","Dans la période")))</f>
        <v/>
      </c>
      <c r="I2054">
        <f>IF(OR($B2054="",NOT(ISNUMBER($D2054))),"",IF(AND($E2054&lt;$D$2,$G2054&lt;&gt;"X",$F2054&lt;&gt;"Réalisé",$F2054&lt;&gt;"Clôturé"),"RETARD",""))</f>
        <v/>
      </c>
      <c r="J2054" s="29">
        <f>IF($B2054="","",IF(INDEX(Dossiers!$F$4:$F$63,39)="","",INDEX(Dossiers!$F$4:$F$63,39)))</f>
        <v/>
      </c>
      <c r="K2054" s="29">
        <f>IF($B2054="","",IF(INDEX(Dossiers!$G$4:$G$63,39)="","",INDEX(Dossiers!$G$4:$G$63,39)))</f>
        <v/>
      </c>
    </row>
    <row r="2055">
      <c r="A2055">
        <f>IF($B2055="","",INDEX(Dossiers!$E$4:$E$63,39))</f>
        <v/>
      </c>
      <c r="B2055">
        <f>IF(INDEX(Suivi!$B:$B,2094)="","",INDEX(Suivi!$B:$B,2094))</f>
        <v/>
      </c>
      <c r="C2055">
        <f>IF($B2055="","",IF(INDEX(Suivi!$D:$D,2094)="",INDEX(Suivi!$C:$C,2094),INDEX(Suivi!$D:$D,2094)))</f>
        <v/>
      </c>
      <c r="D2055" s="29">
        <f>IF($B2055="","",INDEX(Suivi!$E:$E,2094))</f>
        <v/>
      </c>
      <c r="E2055" s="29">
        <f>IF($B2055="","",INDEX(Suivi!$F:$F,2094))</f>
        <v/>
      </c>
      <c r="F2055">
        <f>IF($B2055="","",INDEX(Suivi!$G:$G,2094))</f>
        <v/>
      </c>
      <c r="H2055">
        <f>IF(OR($B2055="",NOT(ISNUMBER($D2055))),"",IF($E2055&lt;$D$2,"Passé",IF($D2055&gt;$F$2,"À venir","Dans la période")))</f>
        <v/>
      </c>
      <c r="I2055">
        <f>IF(OR($B2055="",NOT(ISNUMBER($D2055))),"",IF(AND($E2055&lt;$D$2,$G2055&lt;&gt;"X",$F2055&lt;&gt;"Réalisé",$F2055&lt;&gt;"Clôturé"),"RETARD",""))</f>
        <v/>
      </c>
      <c r="J2055" s="29">
        <f>IF($B2055="","",IF(INDEX(Dossiers!$F$4:$F$63,39)="","",INDEX(Dossiers!$F$4:$F$63,39)))</f>
        <v/>
      </c>
      <c r="K2055" s="29">
        <f>IF($B2055="","",IF(INDEX(Dossiers!$G$4:$G$63,39)="","",INDEX(Dossiers!$G$4:$G$63,39)))</f>
        <v/>
      </c>
    </row>
    <row r="2056">
      <c r="A2056">
        <f>IF($B2056="","",INDEX(Dossiers!$E$4:$E$63,39))</f>
        <v/>
      </c>
      <c r="B2056">
        <f>IF(INDEX(Suivi!$B:$B,2095)="","",INDEX(Suivi!$B:$B,2095))</f>
        <v/>
      </c>
      <c r="C2056">
        <f>IF($B2056="","",IF(INDEX(Suivi!$D:$D,2095)="",INDEX(Suivi!$C:$C,2095),INDEX(Suivi!$D:$D,2095)))</f>
        <v/>
      </c>
      <c r="D2056" s="29">
        <f>IF($B2056="","",INDEX(Suivi!$E:$E,2095))</f>
        <v/>
      </c>
      <c r="E2056" s="29">
        <f>IF($B2056="","",INDEX(Suivi!$F:$F,2095))</f>
        <v/>
      </c>
      <c r="F2056">
        <f>IF($B2056="","",INDEX(Suivi!$G:$G,2095))</f>
        <v/>
      </c>
      <c r="H2056">
        <f>IF(OR($B2056="",NOT(ISNUMBER($D2056))),"",IF($E2056&lt;$D$2,"Passé",IF($D2056&gt;$F$2,"À venir","Dans la période")))</f>
        <v/>
      </c>
      <c r="I2056">
        <f>IF(OR($B2056="",NOT(ISNUMBER($D2056))),"",IF(AND($E2056&lt;$D$2,$G2056&lt;&gt;"X",$F2056&lt;&gt;"Réalisé",$F2056&lt;&gt;"Clôturé"),"RETARD",""))</f>
        <v/>
      </c>
      <c r="J2056" s="29">
        <f>IF($B2056="","",IF(INDEX(Dossiers!$F$4:$F$63,39)="","",INDEX(Dossiers!$F$4:$F$63,39)))</f>
        <v/>
      </c>
      <c r="K2056" s="29">
        <f>IF($B2056="","",IF(INDEX(Dossiers!$G$4:$G$63,39)="","",INDEX(Dossiers!$G$4:$G$63,39)))</f>
        <v/>
      </c>
    </row>
    <row r="2057">
      <c r="A2057">
        <f>IF($B2057="","",INDEX(Dossiers!$E$4:$E$63,39))</f>
        <v/>
      </c>
      <c r="B2057">
        <f>IF(INDEX(Suivi!$B:$B,2096)="","",INDEX(Suivi!$B:$B,2096))</f>
        <v/>
      </c>
      <c r="C2057">
        <f>IF($B2057="","",IF(INDEX(Suivi!$D:$D,2096)="",INDEX(Suivi!$C:$C,2096),INDEX(Suivi!$D:$D,2096)))</f>
        <v/>
      </c>
      <c r="D2057" s="29">
        <f>IF($B2057="","",INDEX(Suivi!$E:$E,2096))</f>
        <v/>
      </c>
      <c r="E2057" s="29">
        <f>IF($B2057="","",INDEX(Suivi!$F:$F,2096))</f>
        <v/>
      </c>
      <c r="F2057">
        <f>IF($B2057="","",INDEX(Suivi!$G:$G,2096))</f>
        <v/>
      </c>
      <c r="H2057">
        <f>IF(OR($B2057="",NOT(ISNUMBER($D2057))),"",IF($E2057&lt;$D$2,"Passé",IF($D2057&gt;$F$2,"À venir","Dans la période")))</f>
        <v/>
      </c>
      <c r="I2057">
        <f>IF(OR($B2057="",NOT(ISNUMBER($D2057))),"",IF(AND($E2057&lt;$D$2,$G2057&lt;&gt;"X",$F2057&lt;&gt;"Réalisé",$F2057&lt;&gt;"Clôturé"),"RETARD",""))</f>
        <v/>
      </c>
      <c r="J2057" s="29">
        <f>IF($B2057="","",IF(INDEX(Dossiers!$F$4:$F$63,39)="","",INDEX(Dossiers!$F$4:$F$63,39)))</f>
        <v/>
      </c>
      <c r="K2057" s="29">
        <f>IF($B2057="","",IF(INDEX(Dossiers!$G$4:$G$63,39)="","",INDEX(Dossiers!$G$4:$G$63,39)))</f>
        <v/>
      </c>
    </row>
    <row r="2058">
      <c r="A2058">
        <f>IF($B2058="","",INDEX(Dossiers!$E$4:$E$63,39))</f>
        <v/>
      </c>
      <c r="B2058">
        <f>IF(INDEX(Suivi!$B:$B,2097)="","",INDEX(Suivi!$B:$B,2097))</f>
        <v/>
      </c>
      <c r="C2058">
        <f>IF($B2058="","",IF(INDEX(Suivi!$D:$D,2097)="",INDEX(Suivi!$C:$C,2097),INDEX(Suivi!$D:$D,2097)))</f>
        <v/>
      </c>
      <c r="D2058" s="29">
        <f>IF($B2058="","",INDEX(Suivi!$E:$E,2097))</f>
        <v/>
      </c>
      <c r="E2058" s="29">
        <f>IF($B2058="","",INDEX(Suivi!$F:$F,2097))</f>
        <v/>
      </c>
      <c r="F2058">
        <f>IF($B2058="","",INDEX(Suivi!$G:$G,2097))</f>
        <v/>
      </c>
      <c r="H2058">
        <f>IF(OR($B2058="",NOT(ISNUMBER($D2058))),"",IF($E2058&lt;$D$2,"Passé",IF($D2058&gt;$F$2,"À venir","Dans la période")))</f>
        <v/>
      </c>
      <c r="I2058">
        <f>IF(OR($B2058="",NOT(ISNUMBER($D2058))),"",IF(AND($E2058&lt;$D$2,$G2058&lt;&gt;"X",$F2058&lt;&gt;"Réalisé",$F2058&lt;&gt;"Clôturé"),"RETARD",""))</f>
        <v/>
      </c>
      <c r="J2058" s="29">
        <f>IF($B2058="","",IF(INDEX(Dossiers!$F$4:$F$63,39)="","",INDEX(Dossiers!$F$4:$F$63,39)))</f>
        <v/>
      </c>
      <c r="K2058" s="29">
        <f>IF($B2058="","",IF(INDEX(Dossiers!$G$4:$G$63,39)="","",INDEX(Dossiers!$G$4:$G$63,39)))</f>
        <v/>
      </c>
    </row>
    <row r="2059">
      <c r="A2059">
        <f>IF($B2059="","",INDEX(Dossiers!$E$4:$E$63,39))</f>
        <v/>
      </c>
      <c r="B2059">
        <f>IF(INDEX(Suivi!$B:$B,2098)="","",INDEX(Suivi!$B:$B,2098))</f>
        <v/>
      </c>
      <c r="C2059">
        <f>IF($B2059="","",IF(INDEX(Suivi!$D:$D,2098)="",INDEX(Suivi!$C:$C,2098),INDEX(Suivi!$D:$D,2098)))</f>
        <v/>
      </c>
      <c r="D2059" s="29">
        <f>IF($B2059="","",INDEX(Suivi!$E:$E,2098))</f>
        <v/>
      </c>
      <c r="E2059" s="29">
        <f>IF($B2059="","",INDEX(Suivi!$F:$F,2098))</f>
        <v/>
      </c>
      <c r="F2059">
        <f>IF($B2059="","",INDEX(Suivi!$G:$G,2098))</f>
        <v/>
      </c>
      <c r="H2059">
        <f>IF(OR($B2059="",NOT(ISNUMBER($D2059))),"",IF($E2059&lt;$D$2,"Passé",IF($D2059&gt;$F$2,"À venir","Dans la période")))</f>
        <v/>
      </c>
      <c r="I2059">
        <f>IF(OR($B2059="",NOT(ISNUMBER($D2059))),"",IF(AND($E2059&lt;$D$2,$G2059&lt;&gt;"X",$F2059&lt;&gt;"Réalisé",$F2059&lt;&gt;"Clôturé"),"RETARD",""))</f>
        <v/>
      </c>
      <c r="J2059" s="29">
        <f>IF($B2059="","",IF(INDEX(Dossiers!$F$4:$F$63,39)="","",INDEX(Dossiers!$F$4:$F$63,39)))</f>
        <v/>
      </c>
      <c r="K2059" s="29">
        <f>IF($B2059="","",IF(INDEX(Dossiers!$G$4:$G$63,39)="","",INDEX(Dossiers!$G$4:$G$63,39)))</f>
        <v/>
      </c>
    </row>
    <row r="2060">
      <c r="A2060">
        <f>IF($B2060="","",INDEX(Dossiers!$E$4:$E$63,39))</f>
        <v/>
      </c>
      <c r="B2060">
        <f>IF(INDEX(Suivi!$B:$B,2099)="","",INDEX(Suivi!$B:$B,2099))</f>
        <v/>
      </c>
      <c r="C2060">
        <f>IF($B2060="","",IF(INDEX(Suivi!$D:$D,2099)="",INDEX(Suivi!$C:$C,2099),INDEX(Suivi!$D:$D,2099)))</f>
        <v/>
      </c>
      <c r="D2060" s="29">
        <f>IF($B2060="","",INDEX(Suivi!$E:$E,2099))</f>
        <v/>
      </c>
      <c r="E2060" s="29">
        <f>IF($B2060="","",INDEX(Suivi!$F:$F,2099))</f>
        <v/>
      </c>
      <c r="F2060">
        <f>IF($B2060="","",INDEX(Suivi!$G:$G,2099))</f>
        <v/>
      </c>
      <c r="H2060">
        <f>IF(OR($B2060="",NOT(ISNUMBER($D2060))),"",IF($E2060&lt;$D$2,"Passé",IF($D2060&gt;$F$2,"À venir","Dans la période")))</f>
        <v/>
      </c>
      <c r="I2060">
        <f>IF(OR($B2060="",NOT(ISNUMBER($D2060))),"",IF(AND($E2060&lt;$D$2,$G2060&lt;&gt;"X",$F2060&lt;&gt;"Réalisé",$F2060&lt;&gt;"Clôturé"),"RETARD",""))</f>
        <v/>
      </c>
      <c r="J2060" s="29">
        <f>IF($B2060="","",IF(INDEX(Dossiers!$F$4:$F$63,39)="","",INDEX(Dossiers!$F$4:$F$63,39)))</f>
        <v/>
      </c>
      <c r="K2060" s="29">
        <f>IF($B2060="","",IF(INDEX(Dossiers!$G$4:$G$63,39)="","",INDEX(Dossiers!$G$4:$G$63,39)))</f>
        <v/>
      </c>
    </row>
    <row r="2061">
      <c r="A2061">
        <f>IF($B2061="","",INDEX(Dossiers!$E$4:$E$63,39))</f>
        <v/>
      </c>
      <c r="B2061">
        <f>IF(INDEX(Suivi!$B:$B,2100)="","",INDEX(Suivi!$B:$B,2100))</f>
        <v/>
      </c>
      <c r="C2061">
        <f>IF($B2061="","",IF(INDEX(Suivi!$D:$D,2100)="",INDEX(Suivi!$C:$C,2100),INDEX(Suivi!$D:$D,2100)))</f>
        <v/>
      </c>
      <c r="D2061" s="29">
        <f>IF($B2061="","",INDEX(Suivi!$E:$E,2100))</f>
        <v/>
      </c>
      <c r="E2061" s="29">
        <f>IF($B2061="","",INDEX(Suivi!$F:$F,2100))</f>
        <v/>
      </c>
      <c r="F2061">
        <f>IF($B2061="","",INDEX(Suivi!$G:$G,2100))</f>
        <v/>
      </c>
      <c r="H2061">
        <f>IF(OR($B2061="",NOT(ISNUMBER($D2061))),"",IF($E2061&lt;$D$2,"Passé",IF($D2061&gt;$F$2,"À venir","Dans la période")))</f>
        <v/>
      </c>
      <c r="I2061">
        <f>IF(OR($B2061="",NOT(ISNUMBER($D2061))),"",IF(AND($E2061&lt;$D$2,$G2061&lt;&gt;"X",$F2061&lt;&gt;"Réalisé",$F2061&lt;&gt;"Clôturé"),"RETARD",""))</f>
        <v/>
      </c>
      <c r="J2061" s="29">
        <f>IF($B2061="","",IF(INDEX(Dossiers!$F$4:$F$63,39)="","",INDEX(Dossiers!$F$4:$F$63,39)))</f>
        <v/>
      </c>
      <c r="K2061" s="29">
        <f>IF($B2061="","",IF(INDEX(Dossiers!$G$4:$G$63,39)="","",INDEX(Dossiers!$G$4:$G$63,39)))</f>
        <v/>
      </c>
    </row>
    <row r="2062">
      <c r="A2062">
        <f>IF($B2062="","",INDEX(Dossiers!$E$4:$E$63,39))</f>
        <v/>
      </c>
      <c r="B2062">
        <f>IF(INDEX(Suivi!$B:$B,2101)="","",INDEX(Suivi!$B:$B,2101))</f>
        <v/>
      </c>
      <c r="C2062">
        <f>IF($B2062="","",IF(INDEX(Suivi!$D:$D,2101)="",INDEX(Suivi!$C:$C,2101),INDEX(Suivi!$D:$D,2101)))</f>
        <v/>
      </c>
      <c r="D2062" s="29">
        <f>IF($B2062="","",INDEX(Suivi!$E:$E,2101))</f>
        <v/>
      </c>
      <c r="E2062" s="29">
        <f>IF($B2062="","",INDEX(Suivi!$F:$F,2101))</f>
        <v/>
      </c>
      <c r="F2062">
        <f>IF($B2062="","",INDEX(Suivi!$G:$G,2101))</f>
        <v/>
      </c>
      <c r="H2062">
        <f>IF(OR($B2062="",NOT(ISNUMBER($D2062))),"",IF($E2062&lt;$D$2,"Passé",IF($D2062&gt;$F$2,"À venir","Dans la période")))</f>
        <v/>
      </c>
      <c r="I2062">
        <f>IF(OR($B2062="",NOT(ISNUMBER($D2062))),"",IF(AND($E2062&lt;$D$2,$G2062&lt;&gt;"X",$F2062&lt;&gt;"Réalisé",$F2062&lt;&gt;"Clôturé"),"RETARD",""))</f>
        <v/>
      </c>
      <c r="J2062" s="29">
        <f>IF($B2062="","",IF(INDEX(Dossiers!$F$4:$F$63,39)="","",INDEX(Dossiers!$F$4:$F$63,39)))</f>
        <v/>
      </c>
      <c r="K2062" s="29">
        <f>IF($B2062="","",IF(INDEX(Dossiers!$G$4:$G$63,39)="","",INDEX(Dossiers!$G$4:$G$63,39)))</f>
        <v/>
      </c>
    </row>
    <row r="2063">
      <c r="A2063">
        <f>IF($B2063="","",INDEX(Dossiers!$E$4:$E$63,39))</f>
        <v/>
      </c>
      <c r="B2063">
        <f>IF(INDEX(Suivi!$B:$B,2102)="","",INDEX(Suivi!$B:$B,2102))</f>
        <v/>
      </c>
      <c r="C2063">
        <f>IF($B2063="","",IF(INDEX(Suivi!$D:$D,2102)="",INDEX(Suivi!$C:$C,2102),INDEX(Suivi!$D:$D,2102)))</f>
        <v/>
      </c>
      <c r="D2063" s="29">
        <f>IF($B2063="","",INDEX(Suivi!$E:$E,2102))</f>
        <v/>
      </c>
      <c r="E2063" s="29">
        <f>IF($B2063="","",INDEX(Suivi!$F:$F,2102))</f>
        <v/>
      </c>
      <c r="F2063">
        <f>IF($B2063="","",INDEX(Suivi!$G:$G,2102))</f>
        <v/>
      </c>
      <c r="H2063">
        <f>IF(OR($B2063="",NOT(ISNUMBER($D2063))),"",IF($E2063&lt;$D$2,"Passé",IF($D2063&gt;$F$2,"À venir","Dans la période")))</f>
        <v/>
      </c>
      <c r="I2063">
        <f>IF(OR($B2063="",NOT(ISNUMBER($D2063))),"",IF(AND($E2063&lt;$D$2,$G2063&lt;&gt;"X",$F2063&lt;&gt;"Réalisé",$F2063&lt;&gt;"Clôturé"),"RETARD",""))</f>
        <v/>
      </c>
      <c r="J2063" s="29">
        <f>IF($B2063="","",IF(INDEX(Dossiers!$F$4:$F$63,39)="","",INDEX(Dossiers!$F$4:$F$63,39)))</f>
        <v/>
      </c>
      <c r="K2063" s="29">
        <f>IF($B2063="","",IF(INDEX(Dossiers!$G$4:$G$63,39)="","",INDEX(Dossiers!$G$4:$G$63,39)))</f>
        <v/>
      </c>
    </row>
    <row r="2064">
      <c r="A2064">
        <f>IF($B2064="","",INDEX(Dossiers!$E$4:$E$63,39))</f>
        <v/>
      </c>
      <c r="B2064">
        <f>IF(INDEX(Suivi!$B:$B,2103)="","",INDEX(Suivi!$B:$B,2103))</f>
        <v/>
      </c>
      <c r="C2064">
        <f>IF($B2064="","",IF(INDEX(Suivi!$D:$D,2103)="",INDEX(Suivi!$C:$C,2103),INDEX(Suivi!$D:$D,2103)))</f>
        <v/>
      </c>
      <c r="D2064" s="29">
        <f>IF($B2064="","",INDEX(Suivi!$E:$E,2103))</f>
        <v/>
      </c>
      <c r="E2064" s="29">
        <f>IF($B2064="","",INDEX(Suivi!$F:$F,2103))</f>
        <v/>
      </c>
      <c r="F2064">
        <f>IF($B2064="","",INDEX(Suivi!$G:$G,2103))</f>
        <v/>
      </c>
      <c r="H2064">
        <f>IF(OR($B2064="",NOT(ISNUMBER($D2064))),"",IF($E2064&lt;$D$2,"Passé",IF($D2064&gt;$F$2,"À venir","Dans la période")))</f>
        <v/>
      </c>
      <c r="I2064">
        <f>IF(OR($B2064="",NOT(ISNUMBER($D2064))),"",IF(AND($E2064&lt;$D$2,$G2064&lt;&gt;"X",$F2064&lt;&gt;"Réalisé",$F2064&lt;&gt;"Clôturé"),"RETARD",""))</f>
        <v/>
      </c>
      <c r="J2064" s="29">
        <f>IF($B2064="","",IF(INDEX(Dossiers!$F$4:$F$63,39)="","",INDEX(Dossiers!$F$4:$F$63,39)))</f>
        <v/>
      </c>
      <c r="K2064" s="29">
        <f>IF($B2064="","",IF(INDEX(Dossiers!$G$4:$G$63,39)="","",INDEX(Dossiers!$G$4:$G$63,39)))</f>
        <v/>
      </c>
    </row>
    <row r="2065">
      <c r="A2065">
        <f>IF($B2065="","",INDEX(Dossiers!$E$4:$E$63,39))</f>
        <v/>
      </c>
      <c r="B2065">
        <f>IF(INDEX(Suivi!$B:$B,2104)="","",INDEX(Suivi!$B:$B,2104))</f>
        <v/>
      </c>
      <c r="C2065">
        <f>IF($B2065="","",IF(INDEX(Suivi!$D:$D,2104)="",INDEX(Suivi!$C:$C,2104),INDEX(Suivi!$D:$D,2104)))</f>
        <v/>
      </c>
      <c r="D2065" s="29">
        <f>IF($B2065="","",INDEX(Suivi!$E:$E,2104))</f>
        <v/>
      </c>
      <c r="E2065" s="29">
        <f>IF($B2065="","",INDEX(Suivi!$F:$F,2104))</f>
        <v/>
      </c>
      <c r="F2065">
        <f>IF($B2065="","",INDEX(Suivi!$G:$G,2104))</f>
        <v/>
      </c>
      <c r="H2065">
        <f>IF(OR($B2065="",NOT(ISNUMBER($D2065))),"",IF($E2065&lt;$D$2,"Passé",IF($D2065&gt;$F$2,"À venir","Dans la période")))</f>
        <v/>
      </c>
      <c r="I2065">
        <f>IF(OR($B2065="",NOT(ISNUMBER($D2065))),"",IF(AND($E2065&lt;$D$2,$G2065&lt;&gt;"X",$F2065&lt;&gt;"Réalisé",$F2065&lt;&gt;"Clôturé"),"RETARD",""))</f>
        <v/>
      </c>
      <c r="J2065" s="29">
        <f>IF($B2065="","",IF(INDEX(Dossiers!$F$4:$F$63,39)="","",INDEX(Dossiers!$F$4:$F$63,39)))</f>
        <v/>
      </c>
      <c r="K2065" s="29">
        <f>IF($B2065="","",IF(INDEX(Dossiers!$G$4:$G$63,39)="","",INDEX(Dossiers!$G$4:$G$63,39)))</f>
        <v/>
      </c>
    </row>
    <row r="2066">
      <c r="A2066">
        <f>IF($B2066="","",INDEX(Dossiers!$E$4:$E$63,39))</f>
        <v/>
      </c>
      <c r="B2066">
        <f>IF(INDEX(Suivi!$B:$B,2105)="","",INDEX(Suivi!$B:$B,2105))</f>
        <v/>
      </c>
      <c r="C2066">
        <f>IF($B2066="","",IF(INDEX(Suivi!$D:$D,2105)="",INDEX(Suivi!$C:$C,2105),INDEX(Suivi!$D:$D,2105)))</f>
        <v/>
      </c>
      <c r="D2066" s="29">
        <f>IF($B2066="","",INDEX(Suivi!$E:$E,2105))</f>
        <v/>
      </c>
      <c r="E2066" s="29">
        <f>IF($B2066="","",INDEX(Suivi!$F:$F,2105))</f>
        <v/>
      </c>
      <c r="F2066">
        <f>IF($B2066="","",INDEX(Suivi!$G:$G,2105))</f>
        <v/>
      </c>
      <c r="H2066">
        <f>IF(OR($B2066="",NOT(ISNUMBER($D2066))),"",IF($E2066&lt;$D$2,"Passé",IF($D2066&gt;$F$2,"À venir","Dans la période")))</f>
        <v/>
      </c>
      <c r="I2066">
        <f>IF(OR($B2066="",NOT(ISNUMBER($D2066))),"",IF(AND($E2066&lt;$D$2,$G2066&lt;&gt;"X",$F2066&lt;&gt;"Réalisé",$F2066&lt;&gt;"Clôturé"),"RETARD",""))</f>
        <v/>
      </c>
      <c r="J2066" s="29">
        <f>IF($B2066="","",IF(INDEX(Dossiers!$F$4:$F$63,39)="","",INDEX(Dossiers!$F$4:$F$63,39)))</f>
        <v/>
      </c>
      <c r="K2066" s="29">
        <f>IF($B2066="","",IF(INDEX(Dossiers!$G$4:$G$63,39)="","",INDEX(Dossiers!$G$4:$G$63,39)))</f>
        <v/>
      </c>
    </row>
    <row r="2067">
      <c r="A2067">
        <f>IF($B2067="","",INDEX(Dossiers!$E$4:$E$63,39))</f>
        <v/>
      </c>
      <c r="B2067">
        <f>IF(INDEX(Suivi!$B:$B,2106)="","",INDEX(Suivi!$B:$B,2106))</f>
        <v/>
      </c>
      <c r="C2067">
        <f>IF($B2067="","",IF(INDEX(Suivi!$D:$D,2106)="",INDEX(Suivi!$C:$C,2106),INDEX(Suivi!$D:$D,2106)))</f>
        <v/>
      </c>
      <c r="D2067" s="29">
        <f>IF($B2067="","",INDEX(Suivi!$E:$E,2106))</f>
        <v/>
      </c>
      <c r="E2067" s="29">
        <f>IF($B2067="","",INDEX(Suivi!$F:$F,2106))</f>
        <v/>
      </c>
      <c r="F2067">
        <f>IF($B2067="","",INDEX(Suivi!$G:$G,2106))</f>
        <v/>
      </c>
      <c r="H2067">
        <f>IF(OR($B2067="",NOT(ISNUMBER($D2067))),"",IF($E2067&lt;$D$2,"Passé",IF($D2067&gt;$F$2,"À venir","Dans la période")))</f>
        <v/>
      </c>
      <c r="I2067">
        <f>IF(OR($B2067="",NOT(ISNUMBER($D2067))),"",IF(AND($E2067&lt;$D$2,$G2067&lt;&gt;"X",$F2067&lt;&gt;"Réalisé",$F2067&lt;&gt;"Clôturé"),"RETARD",""))</f>
        <v/>
      </c>
      <c r="J2067" s="29">
        <f>IF($B2067="","",IF(INDEX(Dossiers!$F$4:$F$63,39)="","",INDEX(Dossiers!$F$4:$F$63,39)))</f>
        <v/>
      </c>
      <c r="K2067" s="29">
        <f>IF($B2067="","",IF(INDEX(Dossiers!$G$4:$G$63,39)="","",INDEX(Dossiers!$G$4:$G$63,39)))</f>
        <v/>
      </c>
    </row>
    <row r="2068">
      <c r="A2068">
        <f>IF($B2068="","",INDEX(Dossiers!$E$4:$E$63,39))</f>
        <v/>
      </c>
      <c r="B2068">
        <f>IF(INDEX(Suivi!$B:$B,2107)="","",INDEX(Suivi!$B:$B,2107))</f>
        <v/>
      </c>
      <c r="C2068">
        <f>IF($B2068="","",IF(INDEX(Suivi!$D:$D,2107)="",INDEX(Suivi!$C:$C,2107),INDEX(Suivi!$D:$D,2107)))</f>
        <v/>
      </c>
      <c r="D2068" s="29">
        <f>IF($B2068="","",INDEX(Suivi!$E:$E,2107))</f>
        <v/>
      </c>
      <c r="E2068" s="29">
        <f>IF($B2068="","",INDEX(Suivi!$F:$F,2107))</f>
        <v/>
      </c>
      <c r="F2068">
        <f>IF($B2068="","",INDEX(Suivi!$G:$G,2107))</f>
        <v/>
      </c>
      <c r="H2068">
        <f>IF(OR($B2068="",NOT(ISNUMBER($D2068))),"",IF($E2068&lt;$D$2,"Passé",IF($D2068&gt;$F$2,"À venir","Dans la période")))</f>
        <v/>
      </c>
      <c r="I2068">
        <f>IF(OR($B2068="",NOT(ISNUMBER($D2068))),"",IF(AND($E2068&lt;$D$2,$G2068&lt;&gt;"X",$F2068&lt;&gt;"Réalisé",$F2068&lt;&gt;"Clôturé"),"RETARD",""))</f>
        <v/>
      </c>
      <c r="J2068" s="29">
        <f>IF($B2068="","",IF(INDEX(Dossiers!$F$4:$F$63,39)="","",INDEX(Dossiers!$F$4:$F$63,39)))</f>
        <v/>
      </c>
      <c r="K2068" s="29">
        <f>IF($B2068="","",IF(INDEX(Dossiers!$G$4:$G$63,39)="","",INDEX(Dossiers!$G$4:$G$63,39)))</f>
        <v/>
      </c>
    </row>
    <row r="2069">
      <c r="A2069">
        <f>IF($B2069="","",INDEX(Dossiers!$E$4:$E$63,39))</f>
        <v/>
      </c>
      <c r="B2069">
        <f>IF(INDEX(Suivi!$B:$B,2108)="","",INDEX(Suivi!$B:$B,2108))</f>
        <v/>
      </c>
      <c r="C2069">
        <f>IF($B2069="","",IF(INDEX(Suivi!$D:$D,2108)="",INDEX(Suivi!$C:$C,2108),INDEX(Suivi!$D:$D,2108)))</f>
        <v/>
      </c>
      <c r="D2069" s="29">
        <f>IF($B2069="","",INDEX(Suivi!$E:$E,2108))</f>
        <v/>
      </c>
      <c r="E2069" s="29">
        <f>IF($B2069="","",INDEX(Suivi!$F:$F,2108))</f>
        <v/>
      </c>
      <c r="F2069">
        <f>IF($B2069="","",INDEX(Suivi!$G:$G,2108))</f>
        <v/>
      </c>
      <c r="H2069">
        <f>IF(OR($B2069="",NOT(ISNUMBER($D2069))),"",IF($E2069&lt;$D$2,"Passé",IF($D2069&gt;$F$2,"À venir","Dans la période")))</f>
        <v/>
      </c>
      <c r="I2069">
        <f>IF(OR($B2069="",NOT(ISNUMBER($D2069))),"",IF(AND($E2069&lt;$D$2,$G2069&lt;&gt;"X",$F2069&lt;&gt;"Réalisé",$F2069&lt;&gt;"Clôturé"),"RETARD",""))</f>
        <v/>
      </c>
      <c r="J2069" s="29">
        <f>IF($B2069="","",IF(INDEX(Dossiers!$F$4:$F$63,39)="","",INDEX(Dossiers!$F$4:$F$63,39)))</f>
        <v/>
      </c>
      <c r="K2069" s="29">
        <f>IF($B2069="","",IF(INDEX(Dossiers!$G$4:$G$63,39)="","",INDEX(Dossiers!$G$4:$G$63,39)))</f>
        <v/>
      </c>
    </row>
    <row r="2070">
      <c r="A2070">
        <f>IF($B2070="","",INDEX(Dossiers!$E$4:$E$63,39))</f>
        <v/>
      </c>
      <c r="B2070">
        <f>IF(INDEX(Suivi!$B:$B,2109)="","",INDEX(Suivi!$B:$B,2109))</f>
        <v/>
      </c>
      <c r="C2070">
        <f>IF($B2070="","",IF(INDEX(Suivi!$D:$D,2109)="",INDEX(Suivi!$C:$C,2109),INDEX(Suivi!$D:$D,2109)))</f>
        <v/>
      </c>
      <c r="D2070" s="29">
        <f>IF($B2070="","",INDEX(Suivi!$E:$E,2109))</f>
        <v/>
      </c>
      <c r="E2070" s="29">
        <f>IF($B2070="","",INDEX(Suivi!$F:$F,2109))</f>
        <v/>
      </c>
      <c r="F2070">
        <f>IF($B2070="","",INDEX(Suivi!$G:$G,2109))</f>
        <v/>
      </c>
      <c r="H2070">
        <f>IF(OR($B2070="",NOT(ISNUMBER($D2070))),"",IF($E2070&lt;$D$2,"Passé",IF($D2070&gt;$F$2,"À venir","Dans la période")))</f>
        <v/>
      </c>
      <c r="I2070">
        <f>IF(OR($B2070="",NOT(ISNUMBER($D2070))),"",IF(AND($E2070&lt;$D$2,$G2070&lt;&gt;"X",$F2070&lt;&gt;"Réalisé",$F2070&lt;&gt;"Clôturé"),"RETARD",""))</f>
        <v/>
      </c>
      <c r="J2070" s="29">
        <f>IF($B2070="","",IF(INDEX(Dossiers!$F$4:$F$63,39)="","",INDEX(Dossiers!$F$4:$F$63,39)))</f>
        <v/>
      </c>
      <c r="K2070" s="29">
        <f>IF($B2070="","",IF(INDEX(Dossiers!$G$4:$G$63,39)="","",INDEX(Dossiers!$G$4:$G$63,39)))</f>
        <v/>
      </c>
    </row>
    <row r="2071">
      <c r="A2071">
        <f>IF($B2071="","",INDEX(Dossiers!$E$4:$E$63,40))</f>
        <v/>
      </c>
      <c r="B2071">
        <f>IF(INDEX(Suivi!$B:$B,2111)="","",INDEX(Suivi!$B:$B,2111))</f>
        <v/>
      </c>
      <c r="C2071">
        <f>IF($B2071="","",IF(INDEX(Suivi!$D:$D,2111)="",INDEX(Suivi!$C:$C,2111),INDEX(Suivi!$D:$D,2111)))</f>
        <v/>
      </c>
      <c r="D2071" s="29">
        <f>IF($B2071="","",INDEX(Suivi!$E:$E,2111))</f>
        <v/>
      </c>
      <c r="E2071" s="29">
        <f>IF($B2071="","",INDEX(Suivi!$F:$F,2111))</f>
        <v/>
      </c>
      <c r="F2071">
        <f>IF($B2071="","",INDEX(Suivi!$G:$G,2111))</f>
        <v/>
      </c>
      <c r="H2071">
        <f>IF(OR($B2071="",NOT(ISNUMBER($D2071))),"",IF($E2071&lt;$D$2,"Passé",IF($D2071&gt;$F$2,"À venir","Dans la période")))</f>
        <v/>
      </c>
      <c r="I2071">
        <f>IF(OR($B2071="",NOT(ISNUMBER($D2071))),"",IF(AND($E2071&lt;$D$2,$G2071&lt;&gt;"X",$F2071&lt;&gt;"Réalisé",$F2071&lt;&gt;"Clôturé"),"RETARD",""))</f>
        <v/>
      </c>
      <c r="J2071" s="29">
        <f>IF($B2071="","",IF(INDEX(Dossiers!$F$4:$F$63,40)="","",INDEX(Dossiers!$F$4:$F$63,40)))</f>
        <v/>
      </c>
      <c r="K2071" s="29">
        <f>IF($B2071="","",IF(INDEX(Dossiers!$G$4:$G$63,40)="","",INDEX(Dossiers!$G$4:$G$63,40)))</f>
        <v/>
      </c>
    </row>
    <row r="2072">
      <c r="A2072">
        <f>IF($B2072="","",INDEX(Dossiers!$E$4:$E$63,40))</f>
        <v/>
      </c>
      <c r="B2072">
        <f>IF(INDEX(Suivi!$B:$B,2112)="","",INDEX(Suivi!$B:$B,2112))</f>
        <v/>
      </c>
      <c r="C2072">
        <f>IF($B2072="","",IF(INDEX(Suivi!$D:$D,2112)="",INDEX(Suivi!$C:$C,2112),INDEX(Suivi!$D:$D,2112)))</f>
        <v/>
      </c>
      <c r="D2072" s="29">
        <f>IF($B2072="","",INDEX(Suivi!$E:$E,2112))</f>
        <v/>
      </c>
      <c r="E2072" s="29">
        <f>IF($B2072="","",INDEX(Suivi!$F:$F,2112))</f>
        <v/>
      </c>
      <c r="F2072">
        <f>IF($B2072="","",INDEX(Suivi!$G:$G,2112))</f>
        <v/>
      </c>
      <c r="H2072">
        <f>IF(OR($B2072="",NOT(ISNUMBER($D2072))),"",IF($E2072&lt;$D$2,"Passé",IF($D2072&gt;$F$2,"À venir","Dans la période")))</f>
        <v/>
      </c>
      <c r="I2072">
        <f>IF(OR($B2072="",NOT(ISNUMBER($D2072))),"",IF(AND($E2072&lt;$D$2,$G2072&lt;&gt;"X",$F2072&lt;&gt;"Réalisé",$F2072&lt;&gt;"Clôturé"),"RETARD",""))</f>
        <v/>
      </c>
      <c r="J2072" s="29">
        <f>IF($B2072="","",IF(INDEX(Dossiers!$F$4:$F$63,40)="","",INDEX(Dossiers!$F$4:$F$63,40)))</f>
        <v/>
      </c>
      <c r="K2072" s="29">
        <f>IF($B2072="","",IF(INDEX(Dossiers!$G$4:$G$63,40)="","",INDEX(Dossiers!$G$4:$G$63,40)))</f>
        <v/>
      </c>
    </row>
    <row r="2073">
      <c r="A2073">
        <f>IF($B2073="","",INDEX(Dossiers!$E$4:$E$63,40))</f>
        <v/>
      </c>
      <c r="B2073">
        <f>IF(INDEX(Suivi!$B:$B,2113)="","",INDEX(Suivi!$B:$B,2113))</f>
        <v/>
      </c>
      <c r="C2073">
        <f>IF($B2073="","",IF(INDEX(Suivi!$D:$D,2113)="",INDEX(Suivi!$C:$C,2113),INDEX(Suivi!$D:$D,2113)))</f>
        <v/>
      </c>
      <c r="D2073" s="29">
        <f>IF($B2073="","",INDEX(Suivi!$E:$E,2113))</f>
        <v/>
      </c>
      <c r="E2073" s="29">
        <f>IF($B2073="","",INDEX(Suivi!$F:$F,2113))</f>
        <v/>
      </c>
      <c r="F2073">
        <f>IF($B2073="","",INDEX(Suivi!$G:$G,2113))</f>
        <v/>
      </c>
      <c r="H2073">
        <f>IF(OR($B2073="",NOT(ISNUMBER($D2073))),"",IF($E2073&lt;$D$2,"Passé",IF($D2073&gt;$F$2,"À venir","Dans la période")))</f>
        <v/>
      </c>
      <c r="I2073">
        <f>IF(OR($B2073="",NOT(ISNUMBER($D2073))),"",IF(AND($E2073&lt;$D$2,$G2073&lt;&gt;"X",$F2073&lt;&gt;"Réalisé",$F2073&lt;&gt;"Clôturé"),"RETARD",""))</f>
        <v/>
      </c>
      <c r="J2073" s="29">
        <f>IF($B2073="","",IF(INDEX(Dossiers!$F$4:$F$63,40)="","",INDEX(Dossiers!$F$4:$F$63,40)))</f>
        <v/>
      </c>
      <c r="K2073" s="29">
        <f>IF($B2073="","",IF(INDEX(Dossiers!$G$4:$G$63,40)="","",INDEX(Dossiers!$G$4:$G$63,40)))</f>
        <v/>
      </c>
    </row>
    <row r="2074">
      <c r="A2074">
        <f>IF($B2074="","",INDEX(Dossiers!$E$4:$E$63,40))</f>
        <v/>
      </c>
      <c r="B2074">
        <f>IF(INDEX(Suivi!$B:$B,2114)="","",INDEX(Suivi!$B:$B,2114))</f>
        <v/>
      </c>
      <c r="C2074">
        <f>IF($B2074="","",IF(INDEX(Suivi!$D:$D,2114)="",INDEX(Suivi!$C:$C,2114),INDEX(Suivi!$D:$D,2114)))</f>
        <v/>
      </c>
      <c r="D2074" s="29">
        <f>IF($B2074="","",INDEX(Suivi!$E:$E,2114))</f>
        <v/>
      </c>
      <c r="E2074" s="29">
        <f>IF($B2074="","",INDEX(Suivi!$F:$F,2114))</f>
        <v/>
      </c>
      <c r="F2074">
        <f>IF($B2074="","",INDEX(Suivi!$G:$G,2114))</f>
        <v/>
      </c>
      <c r="H2074">
        <f>IF(OR($B2074="",NOT(ISNUMBER($D2074))),"",IF($E2074&lt;$D$2,"Passé",IF($D2074&gt;$F$2,"À venir","Dans la période")))</f>
        <v/>
      </c>
      <c r="I2074">
        <f>IF(OR($B2074="",NOT(ISNUMBER($D2074))),"",IF(AND($E2074&lt;$D$2,$G2074&lt;&gt;"X",$F2074&lt;&gt;"Réalisé",$F2074&lt;&gt;"Clôturé"),"RETARD",""))</f>
        <v/>
      </c>
      <c r="J2074" s="29">
        <f>IF($B2074="","",IF(INDEX(Dossiers!$F$4:$F$63,40)="","",INDEX(Dossiers!$F$4:$F$63,40)))</f>
        <v/>
      </c>
      <c r="K2074" s="29">
        <f>IF($B2074="","",IF(INDEX(Dossiers!$G$4:$G$63,40)="","",INDEX(Dossiers!$G$4:$G$63,40)))</f>
        <v/>
      </c>
    </row>
    <row r="2075">
      <c r="A2075">
        <f>IF($B2075="","",INDEX(Dossiers!$E$4:$E$63,40))</f>
        <v/>
      </c>
      <c r="B2075">
        <f>IF(INDEX(Suivi!$B:$B,2115)="","",INDEX(Suivi!$B:$B,2115))</f>
        <v/>
      </c>
      <c r="C2075">
        <f>IF($B2075="","",IF(INDEX(Suivi!$D:$D,2115)="",INDEX(Suivi!$C:$C,2115),INDEX(Suivi!$D:$D,2115)))</f>
        <v/>
      </c>
      <c r="D2075" s="29">
        <f>IF($B2075="","",INDEX(Suivi!$E:$E,2115))</f>
        <v/>
      </c>
      <c r="E2075" s="29">
        <f>IF($B2075="","",INDEX(Suivi!$F:$F,2115))</f>
        <v/>
      </c>
      <c r="F2075">
        <f>IF($B2075="","",INDEX(Suivi!$G:$G,2115))</f>
        <v/>
      </c>
      <c r="H2075">
        <f>IF(OR($B2075="",NOT(ISNUMBER($D2075))),"",IF($E2075&lt;$D$2,"Passé",IF($D2075&gt;$F$2,"À venir","Dans la période")))</f>
        <v/>
      </c>
      <c r="I2075">
        <f>IF(OR($B2075="",NOT(ISNUMBER($D2075))),"",IF(AND($E2075&lt;$D$2,$G2075&lt;&gt;"X",$F2075&lt;&gt;"Réalisé",$F2075&lt;&gt;"Clôturé"),"RETARD",""))</f>
        <v/>
      </c>
      <c r="J2075" s="29">
        <f>IF($B2075="","",IF(INDEX(Dossiers!$F$4:$F$63,40)="","",INDEX(Dossiers!$F$4:$F$63,40)))</f>
        <v/>
      </c>
      <c r="K2075" s="29">
        <f>IF($B2075="","",IF(INDEX(Dossiers!$G$4:$G$63,40)="","",INDEX(Dossiers!$G$4:$G$63,40)))</f>
        <v/>
      </c>
    </row>
    <row r="2076">
      <c r="A2076">
        <f>IF($B2076="","",INDEX(Dossiers!$E$4:$E$63,40))</f>
        <v/>
      </c>
      <c r="B2076">
        <f>IF(INDEX(Suivi!$B:$B,2116)="","",INDEX(Suivi!$B:$B,2116))</f>
        <v/>
      </c>
      <c r="C2076">
        <f>IF($B2076="","",IF(INDEX(Suivi!$D:$D,2116)="",INDEX(Suivi!$C:$C,2116),INDEX(Suivi!$D:$D,2116)))</f>
        <v/>
      </c>
      <c r="D2076" s="29">
        <f>IF($B2076="","",INDEX(Suivi!$E:$E,2116))</f>
        <v/>
      </c>
      <c r="E2076" s="29">
        <f>IF($B2076="","",INDEX(Suivi!$F:$F,2116))</f>
        <v/>
      </c>
      <c r="F2076">
        <f>IF($B2076="","",INDEX(Suivi!$G:$G,2116))</f>
        <v/>
      </c>
      <c r="H2076">
        <f>IF(OR($B2076="",NOT(ISNUMBER($D2076))),"",IF($E2076&lt;$D$2,"Passé",IF($D2076&gt;$F$2,"À venir","Dans la période")))</f>
        <v/>
      </c>
      <c r="I2076">
        <f>IF(OR($B2076="",NOT(ISNUMBER($D2076))),"",IF(AND($E2076&lt;$D$2,$G2076&lt;&gt;"X",$F2076&lt;&gt;"Réalisé",$F2076&lt;&gt;"Clôturé"),"RETARD",""))</f>
        <v/>
      </c>
      <c r="J2076" s="29">
        <f>IF($B2076="","",IF(INDEX(Dossiers!$F$4:$F$63,40)="","",INDEX(Dossiers!$F$4:$F$63,40)))</f>
        <v/>
      </c>
      <c r="K2076" s="29">
        <f>IF($B2076="","",IF(INDEX(Dossiers!$G$4:$G$63,40)="","",INDEX(Dossiers!$G$4:$G$63,40)))</f>
        <v/>
      </c>
    </row>
    <row r="2077">
      <c r="A2077">
        <f>IF($B2077="","",INDEX(Dossiers!$E$4:$E$63,40))</f>
        <v/>
      </c>
      <c r="B2077">
        <f>IF(INDEX(Suivi!$B:$B,2117)="","",INDEX(Suivi!$B:$B,2117))</f>
        <v/>
      </c>
      <c r="C2077">
        <f>IF($B2077="","",IF(INDEX(Suivi!$D:$D,2117)="",INDEX(Suivi!$C:$C,2117),INDEX(Suivi!$D:$D,2117)))</f>
        <v/>
      </c>
      <c r="D2077" s="29">
        <f>IF($B2077="","",INDEX(Suivi!$E:$E,2117))</f>
        <v/>
      </c>
      <c r="E2077" s="29">
        <f>IF($B2077="","",INDEX(Suivi!$F:$F,2117))</f>
        <v/>
      </c>
      <c r="F2077">
        <f>IF($B2077="","",INDEX(Suivi!$G:$G,2117))</f>
        <v/>
      </c>
      <c r="H2077">
        <f>IF(OR($B2077="",NOT(ISNUMBER($D2077))),"",IF($E2077&lt;$D$2,"Passé",IF($D2077&gt;$F$2,"À venir","Dans la période")))</f>
        <v/>
      </c>
      <c r="I2077">
        <f>IF(OR($B2077="",NOT(ISNUMBER($D2077))),"",IF(AND($E2077&lt;$D$2,$G2077&lt;&gt;"X",$F2077&lt;&gt;"Réalisé",$F2077&lt;&gt;"Clôturé"),"RETARD",""))</f>
        <v/>
      </c>
      <c r="J2077" s="29">
        <f>IF($B2077="","",IF(INDEX(Dossiers!$F$4:$F$63,40)="","",INDEX(Dossiers!$F$4:$F$63,40)))</f>
        <v/>
      </c>
      <c r="K2077" s="29">
        <f>IF($B2077="","",IF(INDEX(Dossiers!$G$4:$G$63,40)="","",INDEX(Dossiers!$G$4:$G$63,40)))</f>
        <v/>
      </c>
    </row>
    <row r="2078">
      <c r="A2078">
        <f>IF($B2078="","",INDEX(Dossiers!$E$4:$E$63,40))</f>
        <v/>
      </c>
      <c r="B2078">
        <f>IF(INDEX(Suivi!$B:$B,2118)="","",INDEX(Suivi!$B:$B,2118))</f>
        <v/>
      </c>
      <c r="C2078">
        <f>IF($B2078="","",IF(INDEX(Suivi!$D:$D,2118)="",INDEX(Suivi!$C:$C,2118),INDEX(Suivi!$D:$D,2118)))</f>
        <v/>
      </c>
      <c r="D2078" s="29">
        <f>IF($B2078="","",INDEX(Suivi!$E:$E,2118))</f>
        <v/>
      </c>
      <c r="E2078" s="29">
        <f>IF($B2078="","",INDEX(Suivi!$F:$F,2118))</f>
        <v/>
      </c>
      <c r="F2078">
        <f>IF($B2078="","",INDEX(Suivi!$G:$G,2118))</f>
        <v/>
      </c>
      <c r="H2078">
        <f>IF(OR($B2078="",NOT(ISNUMBER($D2078))),"",IF($E2078&lt;$D$2,"Passé",IF($D2078&gt;$F$2,"À venir","Dans la période")))</f>
        <v/>
      </c>
      <c r="I2078">
        <f>IF(OR($B2078="",NOT(ISNUMBER($D2078))),"",IF(AND($E2078&lt;$D$2,$G2078&lt;&gt;"X",$F2078&lt;&gt;"Réalisé",$F2078&lt;&gt;"Clôturé"),"RETARD",""))</f>
        <v/>
      </c>
      <c r="J2078" s="29">
        <f>IF($B2078="","",IF(INDEX(Dossiers!$F$4:$F$63,40)="","",INDEX(Dossiers!$F$4:$F$63,40)))</f>
        <v/>
      </c>
      <c r="K2078" s="29">
        <f>IF($B2078="","",IF(INDEX(Dossiers!$G$4:$G$63,40)="","",INDEX(Dossiers!$G$4:$G$63,40)))</f>
        <v/>
      </c>
    </row>
    <row r="2079">
      <c r="A2079">
        <f>IF($B2079="","",INDEX(Dossiers!$E$4:$E$63,40))</f>
        <v/>
      </c>
      <c r="B2079">
        <f>IF(INDEX(Suivi!$B:$B,2119)="","",INDEX(Suivi!$B:$B,2119))</f>
        <v/>
      </c>
      <c r="C2079">
        <f>IF($B2079="","",IF(INDEX(Suivi!$D:$D,2119)="",INDEX(Suivi!$C:$C,2119),INDEX(Suivi!$D:$D,2119)))</f>
        <v/>
      </c>
      <c r="D2079" s="29">
        <f>IF($B2079="","",INDEX(Suivi!$E:$E,2119))</f>
        <v/>
      </c>
      <c r="E2079" s="29">
        <f>IF($B2079="","",INDEX(Suivi!$F:$F,2119))</f>
        <v/>
      </c>
      <c r="F2079">
        <f>IF($B2079="","",INDEX(Suivi!$G:$G,2119))</f>
        <v/>
      </c>
      <c r="H2079">
        <f>IF(OR($B2079="",NOT(ISNUMBER($D2079))),"",IF($E2079&lt;$D$2,"Passé",IF($D2079&gt;$F$2,"À venir","Dans la période")))</f>
        <v/>
      </c>
      <c r="I2079">
        <f>IF(OR($B2079="",NOT(ISNUMBER($D2079))),"",IF(AND($E2079&lt;$D$2,$G2079&lt;&gt;"X",$F2079&lt;&gt;"Réalisé",$F2079&lt;&gt;"Clôturé"),"RETARD",""))</f>
        <v/>
      </c>
      <c r="J2079" s="29">
        <f>IF($B2079="","",IF(INDEX(Dossiers!$F$4:$F$63,40)="","",INDEX(Dossiers!$F$4:$F$63,40)))</f>
        <v/>
      </c>
      <c r="K2079" s="29">
        <f>IF($B2079="","",IF(INDEX(Dossiers!$G$4:$G$63,40)="","",INDEX(Dossiers!$G$4:$G$63,40)))</f>
        <v/>
      </c>
    </row>
    <row r="2080">
      <c r="A2080">
        <f>IF($B2080="","",INDEX(Dossiers!$E$4:$E$63,40))</f>
        <v/>
      </c>
      <c r="B2080">
        <f>IF(INDEX(Suivi!$B:$B,2120)="","",INDEX(Suivi!$B:$B,2120))</f>
        <v/>
      </c>
      <c r="C2080">
        <f>IF($B2080="","",IF(INDEX(Suivi!$D:$D,2120)="",INDEX(Suivi!$C:$C,2120),INDEX(Suivi!$D:$D,2120)))</f>
        <v/>
      </c>
      <c r="D2080" s="29">
        <f>IF($B2080="","",INDEX(Suivi!$E:$E,2120))</f>
        <v/>
      </c>
      <c r="E2080" s="29">
        <f>IF($B2080="","",INDEX(Suivi!$F:$F,2120))</f>
        <v/>
      </c>
      <c r="F2080">
        <f>IF($B2080="","",INDEX(Suivi!$G:$G,2120))</f>
        <v/>
      </c>
      <c r="H2080">
        <f>IF(OR($B2080="",NOT(ISNUMBER($D2080))),"",IF($E2080&lt;$D$2,"Passé",IF($D2080&gt;$F$2,"À venir","Dans la période")))</f>
        <v/>
      </c>
      <c r="I2080">
        <f>IF(OR($B2080="",NOT(ISNUMBER($D2080))),"",IF(AND($E2080&lt;$D$2,$G2080&lt;&gt;"X",$F2080&lt;&gt;"Réalisé",$F2080&lt;&gt;"Clôturé"),"RETARD",""))</f>
        <v/>
      </c>
      <c r="J2080" s="29">
        <f>IF($B2080="","",IF(INDEX(Dossiers!$F$4:$F$63,40)="","",INDEX(Dossiers!$F$4:$F$63,40)))</f>
        <v/>
      </c>
      <c r="K2080" s="29">
        <f>IF($B2080="","",IF(INDEX(Dossiers!$G$4:$G$63,40)="","",INDEX(Dossiers!$G$4:$G$63,40)))</f>
        <v/>
      </c>
    </row>
    <row r="2081">
      <c r="A2081">
        <f>IF($B2081="","",INDEX(Dossiers!$E$4:$E$63,40))</f>
        <v/>
      </c>
      <c r="B2081">
        <f>IF(INDEX(Suivi!$B:$B,2121)="","",INDEX(Suivi!$B:$B,2121))</f>
        <v/>
      </c>
      <c r="C2081">
        <f>IF($B2081="","",IF(INDEX(Suivi!$D:$D,2121)="",INDEX(Suivi!$C:$C,2121),INDEX(Suivi!$D:$D,2121)))</f>
        <v/>
      </c>
      <c r="D2081" s="29">
        <f>IF($B2081="","",INDEX(Suivi!$E:$E,2121))</f>
        <v/>
      </c>
      <c r="E2081" s="29">
        <f>IF($B2081="","",INDEX(Suivi!$F:$F,2121))</f>
        <v/>
      </c>
      <c r="F2081">
        <f>IF($B2081="","",INDEX(Suivi!$G:$G,2121))</f>
        <v/>
      </c>
      <c r="H2081">
        <f>IF(OR($B2081="",NOT(ISNUMBER($D2081))),"",IF($E2081&lt;$D$2,"Passé",IF($D2081&gt;$F$2,"À venir","Dans la période")))</f>
        <v/>
      </c>
      <c r="I2081">
        <f>IF(OR($B2081="",NOT(ISNUMBER($D2081))),"",IF(AND($E2081&lt;$D$2,$G2081&lt;&gt;"X",$F2081&lt;&gt;"Réalisé",$F2081&lt;&gt;"Clôturé"),"RETARD",""))</f>
        <v/>
      </c>
      <c r="J2081" s="29">
        <f>IF($B2081="","",IF(INDEX(Dossiers!$F$4:$F$63,40)="","",INDEX(Dossiers!$F$4:$F$63,40)))</f>
        <v/>
      </c>
      <c r="K2081" s="29">
        <f>IF($B2081="","",IF(INDEX(Dossiers!$G$4:$G$63,40)="","",INDEX(Dossiers!$G$4:$G$63,40)))</f>
        <v/>
      </c>
    </row>
    <row r="2082">
      <c r="A2082">
        <f>IF($B2082="","",INDEX(Dossiers!$E$4:$E$63,40))</f>
        <v/>
      </c>
      <c r="B2082">
        <f>IF(INDEX(Suivi!$B:$B,2122)="","",INDEX(Suivi!$B:$B,2122))</f>
        <v/>
      </c>
      <c r="C2082">
        <f>IF($B2082="","",IF(INDEX(Suivi!$D:$D,2122)="",INDEX(Suivi!$C:$C,2122),INDEX(Suivi!$D:$D,2122)))</f>
        <v/>
      </c>
      <c r="D2082" s="29">
        <f>IF($B2082="","",INDEX(Suivi!$E:$E,2122))</f>
        <v/>
      </c>
      <c r="E2082" s="29">
        <f>IF($B2082="","",INDEX(Suivi!$F:$F,2122))</f>
        <v/>
      </c>
      <c r="F2082">
        <f>IF($B2082="","",INDEX(Suivi!$G:$G,2122))</f>
        <v/>
      </c>
      <c r="H2082">
        <f>IF(OR($B2082="",NOT(ISNUMBER($D2082))),"",IF($E2082&lt;$D$2,"Passé",IF($D2082&gt;$F$2,"À venir","Dans la période")))</f>
        <v/>
      </c>
      <c r="I2082">
        <f>IF(OR($B2082="",NOT(ISNUMBER($D2082))),"",IF(AND($E2082&lt;$D$2,$G2082&lt;&gt;"X",$F2082&lt;&gt;"Réalisé",$F2082&lt;&gt;"Clôturé"),"RETARD",""))</f>
        <v/>
      </c>
      <c r="J2082" s="29">
        <f>IF($B2082="","",IF(INDEX(Dossiers!$F$4:$F$63,40)="","",INDEX(Dossiers!$F$4:$F$63,40)))</f>
        <v/>
      </c>
      <c r="K2082" s="29">
        <f>IF($B2082="","",IF(INDEX(Dossiers!$G$4:$G$63,40)="","",INDEX(Dossiers!$G$4:$G$63,40)))</f>
        <v/>
      </c>
    </row>
    <row r="2083">
      <c r="A2083">
        <f>IF($B2083="","",INDEX(Dossiers!$E$4:$E$63,40))</f>
        <v/>
      </c>
      <c r="B2083">
        <f>IF(INDEX(Suivi!$B:$B,2123)="","",INDEX(Suivi!$B:$B,2123))</f>
        <v/>
      </c>
      <c r="C2083">
        <f>IF($B2083="","",IF(INDEX(Suivi!$D:$D,2123)="",INDEX(Suivi!$C:$C,2123),INDEX(Suivi!$D:$D,2123)))</f>
        <v/>
      </c>
      <c r="D2083" s="29">
        <f>IF($B2083="","",INDEX(Suivi!$E:$E,2123))</f>
        <v/>
      </c>
      <c r="E2083" s="29">
        <f>IF($B2083="","",INDEX(Suivi!$F:$F,2123))</f>
        <v/>
      </c>
      <c r="F2083">
        <f>IF($B2083="","",INDEX(Suivi!$G:$G,2123))</f>
        <v/>
      </c>
      <c r="H2083">
        <f>IF(OR($B2083="",NOT(ISNUMBER($D2083))),"",IF($E2083&lt;$D$2,"Passé",IF($D2083&gt;$F$2,"À venir","Dans la période")))</f>
        <v/>
      </c>
      <c r="I2083">
        <f>IF(OR($B2083="",NOT(ISNUMBER($D2083))),"",IF(AND($E2083&lt;$D$2,$G2083&lt;&gt;"X",$F2083&lt;&gt;"Réalisé",$F2083&lt;&gt;"Clôturé"),"RETARD",""))</f>
        <v/>
      </c>
      <c r="J2083" s="29">
        <f>IF($B2083="","",IF(INDEX(Dossiers!$F$4:$F$63,40)="","",INDEX(Dossiers!$F$4:$F$63,40)))</f>
        <v/>
      </c>
      <c r="K2083" s="29">
        <f>IF($B2083="","",IF(INDEX(Dossiers!$G$4:$G$63,40)="","",INDEX(Dossiers!$G$4:$G$63,40)))</f>
        <v/>
      </c>
    </row>
    <row r="2084">
      <c r="A2084">
        <f>IF($B2084="","",INDEX(Dossiers!$E$4:$E$63,40))</f>
        <v/>
      </c>
      <c r="B2084">
        <f>IF(INDEX(Suivi!$B:$B,2124)="","",INDEX(Suivi!$B:$B,2124))</f>
        <v/>
      </c>
      <c r="C2084">
        <f>IF($B2084="","",IF(INDEX(Suivi!$D:$D,2124)="",INDEX(Suivi!$C:$C,2124),INDEX(Suivi!$D:$D,2124)))</f>
        <v/>
      </c>
      <c r="D2084" s="29">
        <f>IF($B2084="","",INDEX(Suivi!$E:$E,2124))</f>
        <v/>
      </c>
      <c r="E2084" s="29">
        <f>IF($B2084="","",INDEX(Suivi!$F:$F,2124))</f>
        <v/>
      </c>
      <c r="F2084">
        <f>IF($B2084="","",INDEX(Suivi!$G:$G,2124))</f>
        <v/>
      </c>
      <c r="H2084">
        <f>IF(OR($B2084="",NOT(ISNUMBER($D2084))),"",IF($E2084&lt;$D$2,"Passé",IF($D2084&gt;$F$2,"À venir","Dans la période")))</f>
        <v/>
      </c>
      <c r="I2084">
        <f>IF(OR($B2084="",NOT(ISNUMBER($D2084))),"",IF(AND($E2084&lt;$D$2,$G2084&lt;&gt;"X",$F2084&lt;&gt;"Réalisé",$F2084&lt;&gt;"Clôturé"),"RETARD",""))</f>
        <v/>
      </c>
      <c r="J2084" s="29">
        <f>IF($B2084="","",IF(INDEX(Dossiers!$F$4:$F$63,40)="","",INDEX(Dossiers!$F$4:$F$63,40)))</f>
        <v/>
      </c>
      <c r="K2084" s="29">
        <f>IF($B2084="","",IF(INDEX(Dossiers!$G$4:$G$63,40)="","",INDEX(Dossiers!$G$4:$G$63,40)))</f>
        <v/>
      </c>
    </row>
    <row r="2085">
      <c r="A2085">
        <f>IF($B2085="","",INDEX(Dossiers!$E$4:$E$63,40))</f>
        <v/>
      </c>
      <c r="B2085">
        <f>IF(INDEX(Suivi!$B:$B,2125)="","",INDEX(Suivi!$B:$B,2125))</f>
        <v/>
      </c>
      <c r="C2085">
        <f>IF($B2085="","",IF(INDEX(Suivi!$D:$D,2125)="",INDEX(Suivi!$C:$C,2125),INDEX(Suivi!$D:$D,2125)))</f>
        <v/>
      </c>
      <c r="D2085" s="29">
        <f>IF($B2085="","",INDEX(Suivi!$E:$E,2125))</f>
        <v/>
      </c>
      <c r="E2085" s="29">
        <f>IF($B2085="","",INDEX(Suivi!$F:$F,2125))</f>
        <v/>
      </c>
      <c r="F2085">
        <f>IF($B2085="","",INDEX(Suivi!$G:$G,2125))</f>
        <v/>
      </c>
      <c r="H2085">
        <f>IF(OR($B2085="",NOT(ISNUMBER($D2085))),"",IF($E2085&lt;$D$2,"Passé",IF($D2085&gt;$F$2,"À venir","Dans la période")))</f>
        <v/>
      </c>
      <c r="I2085">
        <f>IF(OR($B2085="",NOT(ISNUMBER($D2085))),"",IF(AND($E2085&lt;$D$2,$G2085&lt;&gt;"X",$F2085&lt;&gt;"Réalisé",$F2085&lt;&gt;"Clôturé"),"RETARD",""))</f>
        <v/>
      </c>
      <c r="J2085" s="29">
        <f>IF($B2085="","",IF(INDEX(Dossiers!$F$4:$F$63,40)="","",INDEX(Dossiers!$F$4:$F$63,40)))</f>
        <v/>
      </c>
      <c r="K2085" s="29">
        <f>IF($B2085="","",IF(INDEX(Dossiers!$G$4:$G$63,40)="","",INDEX(Dossiers!$G$4:$G$63,40)))</f>
        <v/>
      </c>
    </row>
    <row r="2086">
      <c r="A2086">
        <f>IF($B2086="","",INDEX(Dossiers!$E$4:$E$63,40))</f>
        <v/>
      </c>
      <c r="B2086">
        <f>IF(INDEX(Suivi!$B:$B,2126)="","",INDEX(Suivi!$B:$B,2126))</f>
        <v/>
      </c>
      <c r="C2086">
        <f>IF($B2086="","",IF(INDEX(Suivi!$D:$D,2126)="",INDEX(Suivi!$C:$C,2126),INDEX(Suivi!$D:$D,2126)))</f>
        <v/>
      </c>
      <c r="D2086" s="29">
        <f>IF($B2086="","",INDEX(Suivi!$E:$E,2126))</f>
        <v/>
      </c>
      <c r="E2086" s="29">
        <f>IF($B2086="","",INDEX(Suivi!$F:$F,2126))</f>
        <v/>
      </c>
      <c r="F2086">
        <f>IF($B2086="","",INDEX(Suivi!$G:$G,2126))</f>
        <v/>
      </c>
      <c r="H2086">
        <f>IF(OR($B2086="",NOT(ISNUMBER($D2086))),"",IF($E2086&lt;$D$2,"Passé",IF($D2086&gt;$F$2,"À venir","Dans la période")))</f>
        <v/>
      </c>
      <c r="I2086">
        <f>IF(OR($B2086="",NOT(ISNUMBER($D2086))),"",IF(AND($E2086&lt;$D$2,$G2086&lt;&gt;"X",$F2086&lt;&gt;"Réalisé",$F2086&lt;&gt;"Clôturé"),"RETARD",""))</f>
        <v/>
      </c>
      <c r="J2086" s="29">
        <f>IF($B2086="","",IF(INDEX(Dossiers!$F$4:$F$63,40)="","",INDEX(Dossiers!$F$4:$F$63,40)))</f>
        <v/>
      </c>
      <c r="K2086" s="29">
        <f>IF($B2086="","",IF(INDEX(Dossiers!$G$4:$G$63,40)="","",INDEX(Dossiers!$G$4:$G$63,40)))</f>
        <v/>
      </c>
    </row>
    <row r="2087">
      <c r="A2087">
        <f>IF($B2087="","",INDEX(Dossiers!$E$4:$E$63,40))</f>
        <v/>
      </c>
      <c r="B2087">
        <f>IF(INDEX(Suivi!$B:$B,2127)="","",INDEX(Suivi!$B:$B,2127))</f>
        <v/>
      </c>
      <c r="C2087">
        <f>IF($B2087="","",IF(INDEX(Suivi!$D:$D,2127)="",INDEX(Suivi!$C:$C,2127),INDEX(Suivi!$D:$D,2127)))</f>
        <v/>
      </c>
      <c r="D2087" s="29">
        <f>IF($B2087="","",INDEX(Suivi!$E:$E,2127))</f>
        <v/>
      </c>
      <c r="E2087" s="29">
        <f>IF($B2087="","",INDEX(Suivi!$F:$F,2127))</f>
        <v/>
      </c>
      <c r="F2087">
        <f>IF($B2087="","",INDEX(Suivi!$G:$G,2127))</f>
        <v/>
      </c>
      <c r="H2087">
        <f>IF(OR($B2087="",NOT(ISNUMBER($D2087))),"",IF($E2087&lt;$D$2,"Passé",IF($D2087&gt;$F$2,"À venir","Dans la période")))</f>
        <v/>
      </c>
      <c r="I2087">
        <f>IF(OR($B2087="",NOT(ISNUMBER($D2087))),"",IF(AND($E2087&lt;$D$2,$G2087&lt;&gt;"X",$F2087&lt;&gt;"Réalisé",$F2087&lt;&gt;"Clôturé"),"RETARD",""))</f>
        <v/>
      </c>
      <c r="J2087" s="29">
        <f>IF($B2087="","",IF(INDEX(Dossiers!$F$4:$F$63,40)="","",INDEX(Dossiers!$F$4:$F$63,40)))</f>
        <v/>
      </c>
      <c r="K2087" s="29">
        <f>IF($B2087="","",IF(INDEX(Dossiers!$G$4:$G$63,40)="","",INDEX(Dossiers!$G$4:$G$63,40)))</f>
        <v/>
      </c>
    </row>
    <row r="2088">
      <c r="A2088">
        <f>IF($B2088="","",INDEX(Dossiers!$E$4:$E$63,40))</f>
        <v/>
      </c>
      <c r="B2088">
        <f>IF(INDEX(Suivi!$B:$B,2128)="","",INDEX(Suivi!$B:$B,2128))</f>
        <v/>
      </c>
      <c r="C2088">
        <f>IF($B2088="","",IF(INDEX(Suivi!$D:$D,2128)="",INDEX(Suivi!$C:$C,2128),INDEX(Suivi!$D:$D,2128)))</f>
        <v/>
      </c>
      <c r="D2088" s="29">
        <f>IF($B2088="","",INDEX(Suivi!$E:$E,2128))</f>
        <v/>
      </c>
      <c r="E2088" s="29">
        <f>IF($B2088="","",INDEX(Suivi!$F:$F,2128))</f>
        <v/>
      </c>
      <c r="F2088">
        <f>IF($B2088="","",INDEX(Suivi!$G:$G,2128))</f>
        <v/>
      </c>
      <c r="H2088">
        <f>IF(OR($B2088="",NOT(ISNUMBER($D2088))),"",IF($E2088&lt;$D$2,"Passé",IF($D2088&gt;$F$2,"À venir","Dans la période")))</f>
        <v/>
      </c>
      <c r="I2088">
        <f>IF(OR($B2088="",NOT(ISNUMBER($D2088))),"",IF(AND($E2088&lt;$D$2,$G2088&lt;&gt;"X",$F2088&lt;&gt;"Réalisé",$F2088&lt;&gt;"Clôturé"),"RETARD",""))</f>
        <v/>
      </c>
      <c r="J2088" s="29">
        <f>IF($B2088="","",IF(INDEX(Dossiers!$F$4:$F$63,40)="","",INDEX(Dossiers!$F$4:$F$63,40)))</f>
        <v/>
      </c>
      <c r="K2088" s="29">
        <f>IF($B2088="","",IF(INDEX(Dossiers!$G$4:$G$63,40)="","",INDEX(Dossiers!$G$4:$G$63,40)))</f>
        <v/>
      </c>
    </row>
    <row r="2089">
      <c r="A2089">
        <f>IF($B2089="","",INDEX(Dossiers!$E$4:$E$63,40))</f>
        <v/>
      </c>
      <c r="B2089">
        <f>IF(INDEX(Suivi!$B:$B,2129)="","",INDEX(Suivi!$B:$B,2129))</f>
        <v/>
      </c>
      <c r="C2089">
        <f>IF($B2089="","",IF(INDEX(Suivi!$D:$D,2129)="",INDEX(Suivi!$C:$C,2129),INDEX(Suivi!$D:$D,2129)))</f>
        <v/>
      </c>
      <c r="D2089" s="29">
        <f>IF($B2089="","",INDEX(Suivi!$E:$E,2129))</f>
        <v/>
      </c>
      <c r="E2089" s="29">
        <f>IF($B2089="","",INDEX(Suivi!$F:$F,2129))</f>
        <v/>
      </c>
      <c r="F2089">
        <f>IF($B2089="","",INDEX(Suivi!$G:$G,2129))</f>
        <v/>
      </c>
      <c r="H2089">
        <f>IF(OR($B2089="",NOT(ISNUMBER($D2089))),"",IF($E2089&lt;$D$2,"Passé",IF($D2089&gt;$F$2,"À venir","Dans la période")))</f>
        <v/>
      </c>
      <c r="I2089">
        <f>IF(OR($B2089="",NOT(ISNUMBER($D2089))),"",IF(AND($E2089&lt;$D$2,$G2089&lt;&gt;"X",$F2089&lt;&gt;"Réalisé",$F2089&lt;&gt;"Clôturé"),"RETARD",""))</f>
        <v/>
      </c>
      <c r="J2089" s="29">
        <f>IF($B2089="","",IF(INDEX(Dossiers!$F$4:$F$63,40)="","",INDEX(Dossiers!$F$4:$F$63,40)))</f>
        <v/>
      </c>
      <c r="K2089" s="29">
        <f>IF($B2089="","",IF(INDEX(Dossiers!$G$4:$G$63,40)="","",INDEX(Dossiers!$G$4:$G$63,40)))</f>
        <v/>
      </c>
    </row>
    <row r="2090">
      <c r="A2090">
        <f>IF($B2090="","",INDEX(Dossiers!$E$4:$E$63,40))</f>
        <v/>
      </c>
      <c r="B2090">
        <f>IF(INDEX(Suivi!$B:$B,2130)="","",INDEX(Suivi!$B:$B,2130))</f>
        <v/>
      </c>
      <c r="C2090">
        <f>IF($B2090="","",IF(INDEX(Suivi!$D:$D,2130)="",INDEX(Suivi!$C:$C,2130),INDEX(Suivi!$D:$D,2130)))</f>
        <v/>
      </c>
      <c r="D2090" s="29">
        <f>IF($B2090="","",INDEX(Suivi!$E:$E,2130))</f>
        <v/>
      </c>
      <c r="E2090" s="29">
        <f>IF($B2090="","",INDEX(Suivi!$F:$F,2130))</f>
        <v/>
      </c>
      <c r="F2090">
        <f>IF($B2090="","",INDEX(Suivi!$G:$G,2130))</f>
        <v/>
      </c>
      <c r="H2090">
        <f>IF(OR($B2090="",NOT(ISNUMBER($D2090))),"",IF($E2090&lt;$D$2,"Passé",IF($D2090&gt;$F$2,"À venir","Dans la période")))</f>
        <v/>
      </c>
      <c r="I2090">
        <f>IF(OR($B2090="",NOT(ISNUMBER($D2090))),"",IF(AND($E2090&lt;$D$2,$G2090&lt;&gt;"X",$F2090&lt;&gt;"Réalisé",$F2090&lt;&gt;"Clôturé"),"RETARD",""))</f>
        <v/>
      </c>
      <c r="J2090" s="29">
        <f>IF($B2090="","",IF(INDEX(Dossiers!$F$4:$F$63,40)="","",INDEX(Dossiers!$F$4:$F$63,40)))</f>
        <v/>
      </c>
      <c r="K2090" s="29">
        <f>IF($B2090="","",IF(INDEX(Dossiers!$G$4:$G$63,40)="","",INDEX(Dossiers!$G$4:$G$63,40)))</f>
        <v/>
      </c>
    </row>
    <row r="2091">
      <c r="A2091">
        <f>IF($B2091="","",INDEX(Dossiers!$E$4:$E$63,40))</f>
        <v/>
      </c>
      <c r="B2091">
        <f>IF(INDEX(Suivi!$B:$B,2131)="","",INDEX(Suivi!$B:$B,2131))</f>
        <v/>
      </c>
      <c r="C2091">
        <f>IF($B2091="","",IF(INDEX(Suivi!$D:$D,2131)="",INDEX(Suivi!$C:$C,2131),INDEX(Suivi!$D:$D,2131)))</f>
        <v/>
      </c>
      <c r="D2091" s="29">
        <f>IF($B2091="","",INDEX(Suivi!$E:$E,2131))</f>
        <v/>
      </c>
      <c r="E2091" s="29">
        <f>IF($B2091="","",INDEX(Suivi!$F:$F,2131))</f>
        <v/>
      </c>
      <c r="F2091">
        <f>IF($B2091="","",INDEX(Suivi!$G:$G,2131))</f>
        <v/>
      </c>
      <c r="H2091">
        <f>IF(OR($B2091="",NOT(ISNUMBER($D2091))),"",IF($E2091&lt;$D$2,"Passé",IF($D2091&gt;$F$2,"À venir","Dans la période")))</f>
        <v/>
      </c>
      <c r="I2091">
        <f>IF(OR($B2091="",NOT(ISNUMBER($D2091))),"",IF(AND($E2091&lt;$D$2,$G2091&lt;&gt;"X",$F2091&lt;&gt;"Réalisé",$F2091&lt;&gt;"Clôturé"),"RETARD",""))</f>
        <v/>
      </c>
      <c r="J2091" s="29">
        <f>IF($B2091="","",IF(INDEX(Dossiers!$F$4:$F$63,40)="","",INDEX(Dossiers!$F$4:$F$63,40)))</f>
        <v/>
      </c>
      <c r="K2091" s="29">
        <f>IF($B2091="","",IF(INDEX(Dossiers!$G$4:$G$63,40)="","",INDEX(Dossiers!$G$4:$G$63,40)))</f>
        <v/>
      </c>
    </row>
    <row r="2092">
      <c r="A2092">
        <f>IF($B2092="","",INDEX(Dossiers!$E$4:$E$63,40))</f>
        <v/>
      </c>
      <c r="B2092">
        <f>IF(INDEX(Suivi!$B:$B,2132)="","",INDEX(Suivi!$B:$B,2132))</f>
        <v/>
      </c>
      <c r="C2092">
        <f>IF($B2092="","",IF(INDEX(Suivi!$D:$D,2132)="",INDEX(Suivi!$C:$C,2132),INDEX(Suivi!$D:$D,2132)))</f>
        <v/>
      </c>
      <c r="D2092" s="29">
        <f>IF($B2092="","",INDEX(Suivi!$E:$E,2132))</f>
        <v/>
      </c>
      <c r="E2092" s="29">
        <f>IF($B2092="","",INDEX(Suivi!$F:$F,2132))</f>
        <v/>
      </c>
      <c r="F2092">
        <f>IF($B2092="","",INDEX(Suivi!$G:$G,2132))</f>
        <v/>
      </c>
      <c r="H2092">
        <f>IF(OR($B2092="",NOT(ISNUMBER($D2092))),"",IF($E2092&lt;$D$2,"Passé",IF($D2092&gt;$F$2,"À venir","Dans la période")))</f>
        <v/>
      </c>
      <c r="I2092">
        <f>IF(OR($B2092="",NOT(ISNUMBER($D2092))),"",IF(AND($E2092&lt;$D$2,$G2092&lt;&gt;"X",$F2092&lt;&gt;"Réalisé",$F2092&lt;&gt;"Clôturé"),"RETARD",""))</f>
        <v/>
      </c>
      <c r="J2092" s="29">
        <f>IF($B2092="","",IF(INDEX(Dossiers!$F$4:$F$63,40)="","",INDEX(Dossiers!$F$4:$F$63,40)))</f>
        <v/>
      </c>
      <c r="K2092" s="29">
        <f>IF($B2092="","",IF(INDEX(Dossiers!$G$4:$G$63,40)="","",INDEX(Dossiers!$G$4:$G$63,40)))</f>
        <v/>
      </c>
    </row>
    <row r="2093">
      <c r="A2093">
        <f>IF($B2093="","",INDEX(Dossiers!$E$4:$E$63,40))</f>
        <v/>
      </c>
      <c r="B2093">
        <f>IF(INDEX(Suivi!$B:$B,2133)="","",INDEX(Suivi!$B:$B,2133))</f>
        <v/>
      </c>
      <c r="C2093">
        <f>IF($B2093="","",IF(INDEX(Suivi!$D:$D,2133)="",INDEX(Suivi!$C:$C,2133),INDEX(Suivi!$D:$D,2133)))</f>
        <v/>
      </c>
      <c r="D2093" s="29">
        <f>IF($B2093="","",INDEX(Suivi!$E:$E,2133))</f>
        <v/>
      </c>
      <c r="E2093" s="29">
        <f>IF($B2093="","",INDEX(Suivi!$F:$F,2133))</f>
        <v/>
      </c>
      <c r="F2093">
        <f>IF($B2093="","",INDEX(Suivi!$G:$G,2133))</f>
        <v/>
      </c>
      <c r="H2093">
        <f>IF(OR($B2093="",NOT(ISNUMBER($D2093))),"",IF($E2093&lt;$D$2,"Passé",IF($D2093&gt;$F$2,"À venir","Dans la période")))</f>
        <v/>
      </c>
      <c r="I2093">
        <f>IF(OR($B2093="",NOT(ISNUMBER($D2093))),"",IF(AND($E2093&lt;$D$2,$G2093&lt;&gt;"X",$F2093&lt;&gt;"Réalisé",$F2093&lt;&gt;"Clôturé"),"RETARD",""))</f>
        <v/>
      </c>
      <c r="J2093" s="29">
        <f>IF($B2093="","",IF(INDEX(Dossiers!$F$4:$F$63,40)="","",INDEX(Dossiers!$F$4:$F$63,40)))</f>
        <v/>
      </c>
      <c r="K2093" s="29">
        <f>IF($B2093="","",IF(INDEX(Dossiers!$G$4:$G$63,40)="","",INDEX(Dossiers!$G$4:$G$63,40)))</f>
        <v/>
      </c>
    </row>
    <row r="2094">
      <c r="A2094">
        <f>IF($B2094="","",INDEX(Dossiers!$E$4:$E$63,40))</f>
        <v/>
      </c>
      <c r="B2094">
        <f>IF(INDEX(Suivi!$B:$B,2134)="","",INDEX(Suivi!$B:$B,2134))</f>
        <v/>
      </c>
      <c r="C2094">
        <f>IF($B2094="","",IF(INDEX(Suivi!$D:$D,2134)="",INDEX(Suivi!$C:$C,2134),INDEX(Suivi!$D:$D,2134)))</f>
        <v/>
      </c>
      <c r="D2094" s="29">
        <f>IF($B2094="","",INDEX(Suivi!$E:$E,2134))</f>
        <v/>
      </c>
      <c r="E2094" s="29">
        <f>IF($B2094="","",INDEX(Suivi!$F:$F,2134))</f>
        <v/>
      </c>
      <c r="F2094">
        <f>IF($B2094="","",INDEX(Suivi!$G:$G,2134))</f>
        <v/>
      </c>
      <c r="H2094">
        <f>IF(OR($B2094="",NOT(ISNUMBER($D2094))),"",IF($E2094&lt;$D$2,"Passé",IF($D2094&gt;$F$2,"À venir","Dans la période")))</f>
        <v/>
      </c>
      <c r="I2094">
        <f>IF(OR($B2094="",NOT(ISNUMBER($D2094))),"",IF(AND($E2094&lt;$D$2,$G2094&lt;&gt;"X",$F2094&lt;&gt;"Réalisé",$F2094&lt;&gt;"Clôturé"),"RETARD",""))</f>
        <v/>
      </c>
      <c r="J2094" s="29">
        <f>IF($B2094="","",IF(INDEX(Dossiers!$F$4:$F$63,40)="","",INDEX(Dossiers!$F$4:$F$63,40)))</f>
        <v/>
      </c>
      <c r="K2094" s="29">
        <f>IF($B2094="","",IF(INDEX(Dossiers!$G$4:$G$63,40)="","",INDEX(Dossiers!$G$4:$G$63,40)))</f>
        <v/>
      </c>
    </row>
    <row r="2095">
      <c r="A2095">
        <f>IF($B2095="","",INDEX(Dossiers!$E$4:$E$63,40))</f>
        <v/>
      </c>
      <c r="B2095">
        <f>IF(INDEX(Suivi!$B:$B,2135)="","",INDEX(Suivi!$B:$B,2135))</f>
        <v/>
      </c>
      <c r="C2095">
        <f>IF($B2095="","",IF(INDEX(Suivi!$D:$D,2135)="",INDEX(Suivi!$C:$C,2135),INDEX(Suivi!$D:$D,2135)))</f>
        <v/>
      </c>
      <c r="D2095" s="29">
        <f>IF($B2095="","",INDEX(Suivi!$E:$E,2135))</f>
        <v/>
      </c>
      <c r="E2095" s="29">
        <f>IF($B2095="","",INDEX(Suivi!$F:$F,2135))</f>
        <v/>
      </c>
      <c r="F2095">
        <f>IF($B2095="","",INDEX(Suivi!$G:$G,2135))</f>
        <v/>
      </c>
      <c r="H2095">
        <f>IF(OR($B2095="",NOT(ISNUMBER($D2095))),"",IF($E2095&lt;$D$2,"Passé",IF($D2095&gt;$F$2,"À venir","Dans la période")))</f>
        <v/>
      </c>
      <c r="I2095">
        <f>IF(OR($B2095="",NOT(ISNUMBER($D2095))),"",IF(AND($E2095&lt;$D$2,$G2095&lt;&gt;"X",$F2095&lt;&gt;"Réalisé",$F2095&lt;&gt;"Clôturé"),"RETARD",""))</f>
        <v/>
      </c>
      <c r="J2095" s="29">
        <f>IF($B2095="","",IF(INDEX(Dossiers!$F$4:$F$63,40)="","",INDEX(Dossiers!$F$4:$F$63,40)))</f>
        <v/>
      </c>
      <c r="K2095" s="29">
        <f>IF($B2095="","",IF(INDEX(Dossiers!$G$4:$G$63,40)="","",INDEX(Dossiers!$G$4:$G$63,40)))</f>
        <v/>
      </c>
    </row>
    <row r="2096">
      <c r="A2096">
        <f>IF($B2096="","",INDEX(Dossiers!$E$4:$E$63,40))</f>
        <v/>
      </c>
      <c r="B2096">
        <f>IF(INDEX(Suivi!$B:$B,2136)="","",INDEX(Suivi!$B:$B,2136))</f>
        <v/>
      </c>
      <c r="C2096">
        <f>IF($B2096="","",IF(INDEX(Suivi!$D:$D,2136)="",INDEX(Suivi!$C:$C,2136),INDEX(Suivi!$D:$D,2136)))</f>
        <v/>
      </c>
      <c r="D2096" s="29">
        <f>IF($B2096="","",INDEX(Suivi!$E:$E,2136))</f>
        <v/>
      </c>
      <c r="E2096" s="29">
        <f>IF($B2096="","",INDEX(Suivi!$F:$F,2136))</f>
        <v/>
      </c>
      <c r="F2096">
        <f>IF($B2096="","",INDEX(Suivi!$G:$G,2136))</f>
        <v/>
      </c>
      <c r="H2096">
        <f>IF(OR($B2096="",NOT(ISNUMBER($D2096))),"",IF($E2096&lt;$D$2,"Passé",IF($D2096&gt;$F$2,"À venir","Dans la période")))</f>
        <v/>
      </c>
      <c r="I2096">
        <f>IF(OR($B2096="",NOT(ISNUMBER($D2096))),"",IF(AND($E2096&lt;$D$2,$G2096&lt;&gt;"X",$F2096&lt;&gt;"Réalisé",$F2096&lt;&gt;"Clôturé"),"RETARD",""))</f>
        <v/>
      </c>
      <c r="J2096" s="29">
        <f>IF($B2096="","",IF(INDEX(Dossiers!$F$4:$F$63,40)="","",INDEX(Dossiers!$F$4:$F$63,40)))</f>
        <v/>
      </c>
      <c r="K2096" s="29">
        <f>IF($B2096="","",IF(INDEX(Dossiers!$G$4:$G$63,40)="","",INDEX(Dossiers!$G$4:$G$63,40)))</f>
        <v/>
      </c>
    </row>
    <row r="2097">
      <c r="A2097">
        <f>IF($B2097="","",INDEX(Dossiers!$E$4:$E$63,40))</f>
        <v/>
      </c>
      <c r="B2097">
        <f>IF(INDEX(Suivi!$B:$B,2137)="","",INDEX(Suivi!$B:$B,2137))</f>
        <v/>
      </c>
      <c r="C2097">
        <f>IF($B2097="","",IF(INDEX(Suivi!$D:$D,2137)="",INDEX(Suivi!$C:$C,2137),INDEX(Suivi!$D:$D,2137)))</f>
        <v/>
      </c>
      <c r="D2097" s="29">
        <f>IF($B2097="","",INDEX(Suivi!$E:$E,2137))</f>
        <v/>
      </c>
      <c r="E2097" s="29">
        <f>IF($B2097="","",INDEX(Suivi!$F:$F,2137))</f>
        <v/>
      </c>
      <c r="F2097">
        <f>IF($B2097="","",INDEX(Suivi!$G:$G,2137))</f>
        <v/>
      </c>
      <c r="H2097">
        <f>IF(OR($B2097="",NOT(ISNUMBER($D2097))),"",IF($E2097&lt;$D$2,"Passé",IF($D2097&gt;$F$2,"À venir","Dans la période")))</f>
        <v/>
      </c>
      <c r="I2097">
        <f>IF(OR($B2097="",NOT(ISNUMBER($D2097))),"",IF(AND($E2097&lt;$D$2,$G2097&lt;&gt;"X",$F2097&lt;&gt;"Réalisé",$F2097&lt;&gt;"Clôturé"),"RETARD",""))</f>
        <v/>
      </c>
      <c r="J2097" s="29">
        <f>IF($B2097="","",IF(INDEX(Dossiers!$F$4:$F$63,40)="","",INDEX(Dossiers!$F$4:$F$63,40)))</f>
        <v/>
      </c>
      <c r="K2097" s="29">
        <f>IF($B2097="","",IF(INDEX(Dossiers!$G$4:$G$63,40)="","",INDEX(Dossiers!$G$4:$G$63,40)))</f>
        <v/>
      </c>
    </row>
    <row r="2098">
      <c r="A2098">
        <f>IF($B2098="","",INDEX(Dossiers!$E$4:$E$63,40))</f>
        <v/>
      </c>
      <c r="B2098">
        <f>IF(INDEX(Suivi!$B:$B,2138)="","",INDEX(Suivi!$B:$B,2138))</f>
        <v/>
      </c>
      <c r="C2098">
        <f>IF($B2098="","",IF(INDEX(Suivi!$D:$D,2138)="",INDEX(Suivi!$C:$C,2138),INDEX(Suivi!$D:$D,2138)))</f>
        <v/>
      </c>
      <c r="D2098" s="29">
        <f>IF($B2098="","",INDEX(Suivi!$E:$E,2138))</f>
        <v/>
      </c>
      <c r="E2098" s="29">
        <f>IF($B2098="","",INDEX(Suivi!$F:$F,2138))</f>
        <v/>
      </c>
      <c r="F2098">
        <f>IF($B2098="","",INDEX(Suivi!$G:$G,2138))</f>
        <v/>
      </c>
      <c r="H2098">
        <f>IF(OR($B2098="",NOT(ISNUMBER($D2098))),"",IF($E2098&lt;$D$2,"Passé",IF($D2098&gt;$F$2,"À venir","Dans la période")))</f>
        <v/>
      </c>
      <c r="I2098">
        <f>IF(OR($B2098="",NOT(ISNUMBER($D2098))),"",IF(AND($E2098&lt;$D$2,$G2098&lt;&gt;"X",$F2098&lt;&gt;"Réalisé",$F2098&lt;&gt;"Clôturé"),"RETARD",""))</f>
        <v/>
      </c>
      <c r="J2098" s="29">
        <f>IF($B2098="","",IF(INDEX(Dossiers!$F$4:$F$63,40)="","",INDEX(Dossiers!$F$4:$F$63,40)))</f>
        <v/>
      </c>
      <c r="K2098" s="29">
        <f>IF($B2098="","",IF(INDEX(Dossiers!$G$4:$G$63,40)="","",INDEX(Dossiers!$G$4:$G$63,40)))</f>
        <v/>
      </c>
    </row>
    <row r="2099">
      <c r="A2099">
        <f>IF($B2099="","",INDEX(Dossiers!$E$4:$E$63,40))</f>
        <v/>
      </c>
      <c r="B2099">
        <f>IF(INDEX(Suivi!$B:$B,2139)="","",INDEX(Suivi!$B:$B,2139))</f>
        <v/>
      </c>
      <c r="C2099">
        <f>IF($B2099="","",IF(INDEX(Suivi!$D:$D,2139)="",INDEX(Suivi!$C:$C,2139),INDEX(Suivi!$D:$D,2139)))</f>
        <v/>
      </c>
      <c r="D2099" s="29">
        <f>IF($B2099="","",INDEX(Suivi!$E:$E,2139))</f>
        <v/>
      </c>
      <c r="E2099" s="29">
        <f>IF($B2099="","",INDEX(Suivi!$F:$F,2139))</f>
        <v/>
      </c>
      <c r="F2099">
        <f>IF($B2099="","",INDEX(Suivi!$G:$G,2139))</f>
        <v/>
      </c>
      <c r="H2099">
        <f>IF(OR($B2099="",NOT(ISNUMBER($D2099))),"",IF($E2099&lt;$D$2,"Passé",IF($D2099&gt;$F$2,"À venir","Dans la période")))</f>
        <v/>
      </c>
      <c r="I2099">
        <f>IF(OR($B2099="",NOT(ISNUMBER($D2099))),"",IF(AND($E2099&lt;$D$2,$G2099&lt;&gt;"X",$F2099&lt;&gt;"Réalisé",$F2099&lt;&gt;"Clôturé"),"RETARD",""))</f>
        <v/>
      </c>
      <c r="J2099" s="29">
        <f>IF($B2099="","",IF(INDEX(Dossiers!$F$4:$F$63,40)="","",INDEX(Dossiers!$F$4:$F$63,40)))</f>
        <v/>
      </c>
      <c r="K2099" s="29">
        <f>IF($B2099="","",IF(INDEX(Dossiers!$G$4:$G$63,40)="","",INDEX(Dossiers!$G$4:$G$63,40)))</f>
        <v/>
      </c>
    </row>
    <row r="2100">
      <c r="A2100">
        <f>IF($B2100="","",INDEX(Dossiers!$E$4:$E$63,40))</f>
        <v/>
      </c>
      <c r="B2100">
        <f>IF(INDEX(Suivi!$B:$B,2140)="","",INDEX(Suivi!$B:$B,2140))</f>
        <v/>
      </c>
      <c r="C2100">
        <f>IF($B2100="","",IF(INDEX(Suivi!$D:$D,2140)="",INDEX(Suivi!$C:$C,2140),INDEX(Suivi!$D:$D,2140)))</f>
        <v/>
      </c>
      <c r="D2100" s="29">
        <f>IF($B2100="","",INDEX(Suivi!$E:$E,2140))</f>
        <v/>
      </c>
      <c r="E2100" s="29">
        <f>IF($B2100="","",INDEX(Suivi!$F:$F,2140))</f>
        <v/>
      </c>
      <c r="F2100">
        <f>IF($B2100="","",INDEX(Suivi!$G:$G,2140))</f>
        <v/>
      </c>
      <c r="H2100">
        <f>IF(OR($B2100="",NOT(ISNUMBER($D2100))),"",IF($E2100&lt;$D$2,"Passé",IF($D2100&gt;$F$2,"À venir","Dans la période")))</f>
        <v/>
      </c>
      <c r="I2100">
        <f>IF(OR($B2100="",NOT(ISNUMBER($D2100))),"",IF(AND($E2100&lt;$D$2,$G2100&lt;&gt;"X",$F2100&lt;&gt;"Réalisé",$F2100&lt;&gt;"Clôturé"),"RETARD",""))</f>
        <v/>
      </c>
      <c r="J2100" s="29">
        <f>IF($B2100="","",IF(INDEX(Dossiers!$F$4:$F$63,40)="","",INDEX(Dossiers!$F$4:$F$63,40)))</f>
        <v/>
      </c>
      <c r="K2100" s="29">
        <f>IF($B2100="","",IF(INDEX(Dossiers!$G$4:$G$63,40)="","",INDEX(Dossiers!$G$4:$G$63,40)))</f>
        <v/>
      </c>
    </row>
    <row r="2101">
      <c r="A2101">
        <f>IF($B2101="","",INDEX(Dossiers!$E$4:$E$63,40))</f>
        <v/>
      </c>
      <c r="B2101">
        <f>IF(INDEX(Suivi!$B:$B,2141)="","",INDEX(Suivi!$B:$B,2141))</f>
        <v/>
      </c>
      <c r="C2101">
        <f>IF($B2101="","",IF(INDEX(Suivi!$D:$D,2141)="",INDEX(Suivi!$C:$C,2141),INDEX(Suivi!$D:$D,2141)))</f>
        <v/>
      </c>
      <c r="D2101" s="29">
        <f>IF($B2101="","",INDEX(Suivi!$E:$E,2141))</f>
        <v/>
      </c>
      <c r="E2101" s="29">
        <f>IF($B2101="","",INDEX(Suivi!$F:$F,2141))</f>
        <v/>
      </c>
      <c r="F2101">
        <f>IF($B2101="","",INDEX(Suivi!$G:$G,2141))</f>
        <v/>
      </c>
      <c r="H2101">
        <f>IF(OR($B2101="",NOT(ISNUMBER($D2101))),"",IF($E2101&lt;$D$2,"Passé",IF($D2101&gt;$F$2,"À venir","Dans la période")))</f>
        <v/>
      </c>
      <c r="I2101">
        <f>IF(OR($B2101="",NOT(ISNUMBER($D2101))),"",IF(AND($E2101&lt;$D$2,$G2101&lt;&gt;"X",$F2101&lt;&gt;"Réalisé",$F2101&lt;&gt;"Clôturé"),"RETARD",""))</f>
        <v/>
      </c>
      <c r="J2101" s="29">
        <f>IF($B2101="","",IF(INDEX(Dossiers!$F$4:$F$63,40)="","",INDEX(Dossiers!$F$4:$F$63,40)))</f>
        <v/>
      </c>
      <c r="K2101" s="29">
        <f>IF($B2101="","",IF(INDEX(Dossiers!$G$4:$G$63,40)="","",INDEX(Dossiers!$G$4:$G$63,40)))</f>
        <v/>
      </c>
    </row>
    <row r="2102">
      <c r="A2102">
        <f>IF($B2102="","",INDEX(Dossiers!$E$4:$E$63,40))</f>
        <v/>
      </c>
      <c r="B2102">
        <f>IF(INDEX(Suivi!$B:$B,2142)="","",INDEX(Suivi!$B:$B,2142))</f>
        <v/>
      </c>
      <c r="C2102">
        <f>IF($B2102="","",IF(INDEX(Suivi!$D:$D,2142)="",INDEX(Suivi!$C:$C,2142),INDEX(Suivi!$D:$D,2142)))</f>
        <v/>
      </c>
      <c r="D2102" s="29">
        <f>IF($B2102="","",INDEX(Suivi!$E:$E,2142))</f>
        <v/>
      </c>
      <c r="E2102" s="29">
        <f>IF($B2102="","",INDEX(Suivi!$F:$F,2142))</f>
        <v/>
      </c>
      <c r="F2102">
        <f>IF($B2102="","",INDEX(Suivi!$G:$G,2142))</f>
        <v/>
      </c>
      <c r="H2102">
        <f>IF(OR($B2102="",NOT(ISNUMBER($D2102))),"",IF($E2102&lt;$D$2,"Passé",IF($D2102&gt;$F$2,"À venir","Dans la période")))</f>
        <v/>
      </c>
      <c r="I2102">
        <f>IF(OR($B2102="",NOT(ISNUMBER($D2102))),"",IF(AND($E2102&lt;$D$2,$G2102&lt;&gt;"X",$F2102&lt;&gt;"Réalisé",$F2102&lt;&gt;"Clôturé"),"RETARD",""))</f>
        <v/>
      </c>
      <c r="J2102" s="29">
        <f>IF($B2102="","",IF(INDEX(Dossiers!$F$4:$F$63,40)="","",INDEX(Dossiers!$F$4:$F$63,40)))</f>
        <v/>
      </c>
      <c r="K2102" s="29">
        <f>IF($B2102="","",IF(INDEX(Dossiers!$G$4:$G$63,40)="","",INDEX(Dossiers!$G$4:$G$63,40)))</f>
        <v/>
      </c>
    </row>
    <row r="2103">
      <c r="A2103">
        <f>IF($B2103="","",INDEX(Dossiers!$E$4:$E$63,40))</f>
        <v/>
      </c>
      <c r="B2103">
        <f>IF(INDEX(Suivi!$B:$B,2143)="","",INDEX(Suivi!$B:$B,2143))</f>
        <v/>
      </c>
      <c r="C2103">
        <f>IF($B2103="","",IF(INDEX(Suivi!$D:$D,2143)="",INDEX(Suivi!$C:$C,2143),INDEX(Suivi!$D:$D,2143)))</f>
        <v/>
      </c>
      <c r="D2103" s="29">
        <f>IF($B2103="","",INDEX(Suivi!$E:$E,2143))</f>
        <v/>
      </c>
      <c r="E2103" s="29">
        <f>IF($B2103="","",INDEX(Suivi!$F:$F,2143))</f>
        <v/>
      </c>
      <c r="F2103">
        <f>IF($B2103="","",INDEX(Suivi!$G:$G,2143))</f>
        <v/>
      </c>
      <c r="H2103">
        <f>IF(OR($B2103="",NOT(ISNUMBER($D2103))),"",IF($E2103&lt;$D$2,"Passé",IF($D2103&gt;$F$2,"À venir","Dans la période")))</f>
        <v/>
      </c>
      <c r="I2103">
        <f>IF(OR($B2103="",NOT(ISNUMBER($D2103))),"",IF(AND($E2103&lt;$D$2,$G2103&lt;&gt;"X",$F2103&lt;&gt;"Réalisé",$F2103&lt;&gt;"Clôturé"),"RETARD",""))</f>
        <v/>
      </c>
      <c r="J2103" s="29">
        <f>IF($B2103="","",IF(INDEX(Dossiers!$F$4:$F$63,40)="","",INDEX(Dossiers!$F$4:$F$63,40)))</f>
        <v/>
      </c>
      <c r="K2103" s="29">
        <f>IF($B2103="","",IF(INDEX(Dossiers!$G$4:$G$63,40)="","",INDEX(Dossiers!$G$4:$G$63,40)))</f>
        <v/>
      </c>
    </row>
    <row r="2104">
      <c r="A2104">
        <f>IF($B2104="","",INDEX(Dossiers!$E$4:$E$63,40))</f>
        <v/>
      </c>
      <c r="B2104">
        <f>IF(INDEX(Suivi!$B:$B,2144)="","",INDEX(Suivi!$B:$B,2144))</f>
        <v/>
      </c>
      <c r="C2104">
        <f>IF($B2104="","",IF(INDEX(Suivi!$D:$D,2144)="",INDEX(Suivi!$C:$C,2144),INDEX(Suivi!$D:$D,2144)))</f>
        <v/>
      </c>
      <c r="D2104" s="29">
        <f>IF($B2104="","",INDEX(Suivi!$E:$E,2144))</f>
        <v/>
      </c>
      <c r="E2104" s="29">
        <f>IF($B2104="","",INDEX(Suivi!$F:$F,2144))</f>
        <v/>
      </c>
      <c r="F2104">
        <f>IF($B2104="","",INDEX(Suivi!$G:$G,2144))</f>
        <v/>
      </c>
      <c r="H2104">
        <f>IF(OR($B2104="",NOT(ISNUMBER($D2104))),"",IF($E2104&lt;$D$2,"Passé",IF($D2104&gt;$F$2,"À venir","Dans la période")))</f>
        <v/>
      </c>
      <c r="I2104">
        <f>IF(OR($B2104="",NOT(ISNUMBER($D2104))),"",IF(AND($E2104&lt;$D$2,$G2104&lt;&gt;"X",$F2104&lt;&gt;"Réalisé",$F2104&lt;&gt;"Clôturé"),"RETARD",""))</f>
        <v/>
      </c>
      <c r="J2104" s="29">
        <f>IF($B2104="","",IF(INDEX(Dossiers!$F$4:$F$63,40)="","",INDEX(Dossiers!$F$4:$F$63,40)))</f>
        <v/>
      </c>
      <c r="K2104" s="29">
        <f>IF($B2104="","",IF(INDEX(Dossiers!$G$4:$G$63,40)="","",INDEX(Dossiers!$G$4:$G$63,40)))</f>
        <v/>
      </c>
    </row>
    <row r="2105">
      <c r="A2105">
        <f>IF($B2105="","",INDEX(Dossiers!$E$4:$E$63,40))</f>
        <v/>
      </c>
      <c r="B2105">
        <f>IF(INDEX(Suivi!$B:$B,2145)="","",INDEX(Suivi!$B:$B,2145))</f>
        <v/>
      </c>
      <c r="C2105">
        <f>IF($B2105="","",IF(INDEX(Suivi!$D:$D,2145)="",INDEX(Suivi!$C:$C,2145),INDEX(Suivi!$D:$D,2145)))</f>
        <v/>
      </c>
      <c r="D2105" s="29">
        <f>IF($B2105="","",INDEX(Suivi!$E:$E,2145))</f>
        <v/>
      </c>
      <c r="E2105" s="29">
        <f>IF($B2105="","",INDEX(Suivi!$F:$F,2145))</f>
        <v/>
      </c>
      <c r="F2105">
        <f>IF($B2105="","",INDEX(Suivi!$G:$G,2145))</f>
        <v/>
      </c>
      <c r="H2105">
        <f>IF(OR($B2105="",NOT(ISNUMBER($D2105))),"",IF($E2105&lt;$D$2,"Passé",IF($D2105&gt;$F$2,"À venir","Dans la période")))</f>
        <v/>
      </c>
      <c r="I2105">
        <f>IF(OR($B2105="",NOT(ISNUMBER($D2105))),"",IF(AND($E2105&lt;$D$2,$G2105&lt;&gt;"X",$F2105&lt;&gt;"Réalisé",$F2105&lt;&gt;"Clôturé"),"RETARD",""))</f>
        <v/>
      </c>
      <c r="J2105" s="29">
        <f>IF($B2105="","",IF(INDEX(Dossiers!$F$4:$F$63,40)="","",INDEX(Dossiers!$F$4:$F$63,40)))</f>
        <v/>
      </c>
      <c r="K2105" s="29">
        <f>IF($B2105="","",IF(INDEX(Dossiers!$G$4:$G$63,40)="","",INDEX(Dossiers!$G$4:$G$63,40)))</f>
        <v/>
      </c>
    </row>
    <row r="2106">
      <c r="A2106">
        <f>IF($B2106="","",INDEX(Dossiers!$E$4:$E$63,40))</f>
        <v/>
      </c>
      <c r="B2106">
        <f>IF(INDEX(Suivi!$B:$B,2146)="","",INDEX(Suivi!$B:$B,2146))</f>
        <v/>
      </c>
      <c r="C2106">
        <f>IF($B2106="","",IF(INDEX(Suivi!$D:$D,2146)="",INDEX(Suivi!$C:$C,2146),INDEX(Suivi!$D:$D,2146)))</f>
        <v/>
      </c>
      <c r="D2106" s="29">
        <f>IF($B2106="","",INDEX(Suivi!$E:$E,2146))</f>
        <v/>
      </c>
      <c r="E2106" s="29">
        <f>IF($B2106="","",INDEX(Suivi!$F:$F,2146))</f>
        <v/>
      </c>
      <c r="F2106">
        <f>IF($B2106="","",INDEX(Suivi!$G:$G,2146))</f>
        <v/>
      </c>
      <c r="H2106">
        <f>IF(OR($B2106="",NOT(ISNUMBER($D2106))),"",IF($E2106&lt;$D$2,"Passé",IF($D2106&gt;$F$2,"À venir","Dans la période")))</f>
        <v/>
      </c>
      <c r="I2106">
        <f>IF(OR($B2106="",NOT(ISNUMBER($D2106))),"",IF(AND($E2106&lt;$D$2,$G2106&lt;&gt;"X",$F2106&lt;&gt;"Réalisé",$F2106&lt;&gt;"Clôturé"),"RETARD",""))</f>
        <v/>
      </c>
      <c r="J2106" s="29">
        <f>IF($B2106="","",IF(INDEX(Dossiers!$F$4:$F$63,40)="","",INDEX(Dossiers!$F$4:$F$63,40)))</f>
        <v/>
      </c>
      <c r="K2106" s="29">
        <f>IF($B2106="","",IF(INDEX(Dossiers!$G$4:$G$63,40)="","",INDEX(Dossiers!$G$4:$G$63,40)))</f>
        <v/>
      </c>
    </row>
    <row r="2107">
      <c r="A2107">
        <f>IF($B2107="","",INDEX(Dossiers!$E$4:$E$63,40))</f>
        <v/>
      </c>
      <c r="B2107">
        <f>IF(INDEX(Suivi!$B:$B,2147)="","",INDEX(Suivi!$B:$B,2147))</f>
        <v/>
      </c>
      <c r="C2107">
        <f>IF($B2107="","",IF(INDEX(Suivi!$D:$D,2147)="",INDEX(Suivi!$C:$C,2147),INDEX(Suivi!$D:$D,2147)))</f>
        <v/>
      </c>
      <c r="D2107" s="29">
        <f>IF($B2107="","",INDEX(Suivi!$E:$E,2147))</f>
        <v/>
      </c>
      <c r="E2107" s="29">
        <f>IF($B2107="","",INDEX(Suivi!$F:$F,2147))</f>
        <v/>
      </c>
      <c r="F2107">
        <f>IF($B2107="","",INDEX(Suivi!$G:$G,2147))</f>
        <v/>
      </c>
      <c r="H2107">
        <f>IF(OR($B2107="",NOT(ISNUMBER($D2107))),"",IF($E2107&lt;$D$2,"Passé",IF($D2107&gt;$F$2,"À venir","Dans la période")))</f>
        <v/>
      </c>
      <c r="I2107">
        <f>IF(OR($B2107="",NOT(ISNUMBER($D2107))),"",IF(AND($E2107&lt;$D$2,$G2107&lt;&gt;"X",$F2107&lt;&gt;"Réalisé",$F2107&lt;&gt;"Clôturé"),"RETARD",""))</f>
        <v/>
      </c>
      <c r="J2107" s="29">
        <f>IF($B2107="","",IF(INDEX(Dossiers!$F$4:$F$63,40)="","",INDEX(Dossiers!$F$4:$F$63,40)))</f>
        <v/>
      </c>
      <c r="K2107" s="29">
        <f>IF($B2107="","",IF(INDEX(Dossiers!$G$4:$G$63,40)="","",INDEX(Dossiers!$G$4:$G$63,40)))</f>
        <v/>
      </c>
    </row>
    <row r="2108">
      <c r="A2108">
        <f>IF($B2108="","",INDEX(Dossiers!$E$4:$E$63,40))</f>
        <v/>
      </c>
      <c r="B2108">
        <f>IF(INDEX(Suivi!$B:$B,2148)="","",INDEX(Suivi!$B:$B,2148))</f>
        <v/>
      </c>
      <c r="C2108">
        <f>IF($B2108="","",IF(INDEX(Suivi!$D:$D,2148)="",INDEX(Suivi!$C:$C,2148),INDEX(Suivi!$D:$D,2148)))</f>
        <v/>
      </c>
      <c r="D2108" s="29">
        <f>IF($B2108="","",INDEX(Suivi!$E:$E,2148))</f>
        <v/>
      </c>
      <c r="E2108" s="29">
        <f>IF($B2108="","",INDEX(Suivi!$F:$F,2148))</f>
        <v/>
      </c>
      <c r="F2108">
        <f>IF($B2108="","",INDEX(Suivi!$G:$G,2148))</f>
        <v/>
      </c>
      <c r="H2108">
        <f>IF(OR($B2108="",NOT(ISNUMBER($D2108))),"",IF($E2108&lt;$D$2,"Passé",IF($D2108&gt;$F$2,"À venir","Dans la période")))</f>
        <v/>
      </c>
      <c r="I2108">
        <f>IF(OR($B2108="",NOT(ISNUMBER($D2108))),"",IF(AND($E2108&lt;$D$2,$G2108&lt;&gt;"X",$F2108&lt;&gt;"Réalisé",$F2108&lt;&gt;"Clôturé"),"RETARD",""))</f>
        <v/>
      </c>
      <c r="J2108" s="29">
        <f>IF($B2108="","",IF(INDEX(Dossiers!$F$4:$F$63,40)="","",INDEX(Dossiers!$F$4:$F$63,40)))</f>
        <v/>
      </c>
      <c r="K2108" s="29">
        <f>IF($B2108="","",IF(INDEX(Dossiers!$G$4:$G$63,40)="","",INDEX(Dossiers!$G$4:$G$63,40)))</f>
        <v/>
      </c>
    </row>
    <row r="2109">
      <c r="A2109">
        <f>IF($B2109="","",INDEX(Dossiers!$E$4:$E$63,40))</f>
        <v/>
      </c>
      <c r="B2109">
        <f>IF(INDEX(Suivi!$B:$B,2149)="","",INDEX(Suivi!$B:$B,2149))</f>
        <v/>
      </c>
      <c r="C2109">
        <f>IF($B2109="","",IF(INDEX(Suivi!$D:$D,2149)="",INDEX(Suivi!$C:$C,2149),INDEX(Suivi!$D:$D,2149)))</f>
        <v/>
      </c>
      <c r="D2109" s="29">
        <f>IF($B2109="","",INDEX(Suivi!$E:$E,2149))</f>
        <v/>
      </c>
      <c r="E2109" s="29">
        <f>IF($B2109="","",INDEX(Suivi!$F:$F,2149))</f>
        <v/>
      </c>
      <c r="F2109">
        <f>IF($B2109="","",INDEX(Suivi!$G:$G,2149))</f>
        <v/>
      </c>
      <c r="H2109">
        <f>IF(OR($B2109="",NOT(ISNUMBER($D2109))),"",IF($E2109&lt;$D$2,"Passé",IF($D2109&gt;$F$2,"À venir","Dans la période")))</f>
        <v/>
      </c>
      <c r="I2109">
        <f>IF(OR($B2109="",NOT(ISNUMBER($D2109))),"",IF(AND($E2109&lt;$D$2,$G2109&lt;&gt;"X",$F2109&lt;&gt;"Réalisé",$F2109&lt;&gt;"Clôturé"),"RETARD",""))</f>
        <v/>
      </c>
      <c r="J2109" s="29">
        <f>IF($B2109="","",IF(INDEX(Dossiers!$F$4:$F$63,40)="","",INDEX(Dossiers!$F$4:$F$63,40)))</f>
        <v/>
      </c>
      <c r="K2109" s="29">
        <f>IF($B2109="","",IF(INDEX(Dossiers!$G$4:$G$63,40)="","",INDEX(Dossiers!$G$4:$G$63,40)))</f>
        <v/>
      </c>
    </row>
    <row r="2110">
      <c r="A2110">
        <f>IF($B2110="","",INDEX(Dossiers!$E$4:$E$63,40))</f>
        <v/>
      </c>
      <c r="B2110">
        <f>IF(INDEX(Suivi!$B:$B,2150)="","",INDEX(Suivi!$B:$B,2150))</f>
        <v/>
      </c>
      <c r="C2110">
        <f>IF($B2110="","",IF(INDEX(Suivi!$D:$D,2150)="",INDEX(Suivi!$C:$C,2150),INDEX(Suivi!$D:$D,2150)))</f>
        <v/>
      </c>
      <c r="D2110" s="29">
        <f>IF($B2110="","",INDEX(Suivi!$E:$E,2150))</f>
        <v/>
      </c>
      <c r="E2110" s="29">
        <f>IF($B2110="","",INDEX(Suivi!$F:$F,2150))</f>
        <v/>
      </c>
      <c r="F2110">
        <f>IF($B2110="","",INDEX(Suivi!$G:$G,2150))</f>
        <v/>
      </c>
      <c r="H2110">
        <f>IF(OR($B2110="",NOT(ISNUMBER($D2110))),"",IF($E2110&lt;$D$2,"Passé",IF($D2110&gt;$F$2,"À venir","Dans la période")))</f>
        <v/>
      </c>
      <c r="I2110">
        <f>IF(OR($B2110="",NOT(ISNUMBER($D2110))),"",IF(AND($E2110&lt;$D$2,$G2110&lt;&gt;"X",$F2110&lt;&gt;"Réalisé",$F2110&lt;&gt;"Clôturé"),"RETARD",""))</f>
        <v/>
      </c>
      <c r="J2110" s="29">
        <f>IF($B2110="","",IF(INDEX(Dossiers!$F$4:$F$63,40)="","",INDEX(Dossiers!$F$4:$F$63,40)))</f>
        <v/>
      </c>
      <c r="K2110" s="29">
        <f>IF($B2110="","",IF(INDEX(Dossiers!$G$4:$G$63,40)="","",INDEX(Dossiers!$G$4:$G$63,40)))</f>
        <v/>
      </c>
    </row>
    <row r="2111">
      <c r="A2111">
        <f>IF($B2111="","",INDEX(Dossiers!$E$4:$E$63,40))</f>
        <v/>
      </c>
      <c r="B2111">
        <f>IF(INDEX(Suivi!$B:$B,2151)="","",INDEX(Suivi!$B:$B,2151))</f>
        <v/>
      </c>
      <c r="C2111">
        <f>IF($B2111="","",IF(INDEX(Suivi!$D:$D,2151)="",INDEX(Suivi!$C:$C,2151),INDEX(Suivi!$D:$D,2151)))</f>
        <v/>
      </c>
      <c r="D2111" s="29">
        <f>IF($B2111="","",INDEX(Suivi!$E:$E,2151))</f>
        <v/>
      </c>
      <c r="E2111" s="29">
        <f>IF($B2111="","",INDEX(Suivi!$F:$F,2151))</f>
        <v/>
      </c>
      <c r="F2111">
        <f>IF($B2111="","",INDEX(Suivi!$G:$G,2151))</f>
        <v/>
      </c>
      <c r="H2111">
        <f>IF(OR($B2111="",NOT(ISNUMBER($D2111))),"",IF($E2111&lt;$D$2,"Passé",IF($D2111&gt;$F$2,"À venir","Dans la période")))</f>
        <v/>
      </c>
      <c r="I2111">
        <f>IF(OR($B2111="",NOT(ISNUMBER($D2111))),"",IF(AND($E2111&lt;$D$2,$G2111&lt;&gt;"X",$F2111&lt;&gt;"Réalisé",$F2111&lt;&gt;"Clôturé"),"RETARD",""))</f>
        <v/>
      </c>
      <c r="J2111" s="29">
        <f>IF($B2111="","",IF(INDEX(Dossiers!$F$4:$F$63,40)="","",INDEX(Dossiers!$F$4:$F$63,40)))</f>
        <v/>
      </c>
      <c r="K2111" s="29">
        <f>IF($B2111="","",IF(INDEX(Dossiers!$G$4:$G$63,40)="","",INDEX(Dossiers!$G$4:$G$63,40)))</f>
        <v/>
      </c>
    </row>
    <row r="2112">
      <c r="A2112">
        <f>IF($B2112="","",INDEX(Dossiers!$E$4:$E$63,40))</f>
        <v/>
      </c>
      <c r="B2112">
        <f>IF(INDEX(Suivi!$B:$B,2152)="","",INDEX(Suivi!$B:$B,2152))</f>
        <v/>
      </c>
      <c r="C2112">
        <f>IF($B2112="","",IF(INDEX(Suivi!$D:$D,2152)="",INDEX(Suivi!$C:$C,2152),INDEX(Suivi!$D:$D,2152)))</f>
        <v/>
      </c>
      <c r="D2112" s="29">
        <f>IF($B2112="","",INDEX(Suivi!$E:$E,2152))</f>
        <v/>
      </c>
      <c r="E2112" s="29">
        <f>IF($B2112="","",INDEX(Suivi!$F:$F,2152))</f>
        <v/>
      </c>
      <c r="F2112">
        <f>IF($B2112="","",INDEX(Suivi!$G:$G,2152))</f>
        <v/>
      </c>
      <c r="H2112">
        <f>IF(OR($B2112="",NOT(ISNUMBER($D2112))),"",IF($E2112&lt;$D$2,"Passé",IF($D2112&gt;$F$2,"À venir","Dans la période")))</f>
        <v/>
      </c>
      <c r="I2112">
        <f>IF(OR($B2112="",NOT(ISNUMBER($D2112))),"",IF(AND($E2112&lt;$D$2,$G2112&lt;&gt;"X",$F2112&lt;&gt;"Réalisé",$F2112&lt;&gt;"Clôturé"),"RETARD",""))</f>
        <v/>
      </c>
      <c r="J2112" s="29">
        <f>IF($B2112="","",IF(INDEX(Dossiers!$F$4:$F$63,40)="","",INDEX(Dossiers!$F$4:$F$63,40)))</f>
        <v/>
      </c>
      <c r="K2112" s="29">
        <f>IF($B2112="","",IF(INDEX(Dossiers!$G$4:$G$63,40)="","",INDEX(Dossiers!$G$4:$G$63,40)))</f>
        <v/>
      </c>
    </row>
    <row r="2113">
      <c r="A2113">
        <f>IF($B2113="","",INDEX(Dossiers!$E$4:$E$63,40))</f>
        <v/>
      </c>
      <c r="B2113">
        <f>IF(INDEX(Suivi!$B:$B,2153)="","",INDEX(Suivi!$B:$B,2153))</f>
        <v/>
      </c>
      <c r="C2113">
        <f>IF($B2113="","",IF(INDEX(Suivi!$D:$D,2153)="",INDEX(Suivi!$C:$C,2153),INDEX(Suivi!$D:$D,2153)))</f>
        <v/>
      </c>
      <c r="D2113" s="29">
        <f>IF($B2113="","",INDEX(Suivi!$E:$E,2153))</f>
        <v/>
      </c>
      <c r="E2113" s="29">
        <f>IF($B2113="","",INDEX(Suivi!$F:$F,2153))</f>
        <v/>
      </c>
      <c r="F2113">
        <f>IF($B2113="","",INDEX(Suivi!$G:$G,2153))</f>
        <v/>
      </c>
      <c r="H2113">
        <f>IF(OR($B2113="",NOT(ISNUMBER($D2113))),"",IF($E2113&lt;$D$2,"Passé",IF($D2113&gt;$F$2,"À venir","Dans la période")))</f>
        <v/>
      </c>
      <c r="I2113">
        <f>IF(OR($B2113="",NOT(ISNUMBER($D2113))),"",IF(AND($E2113&lt;$D$2,$G2113&lt;&gt;"X",$F2113&lt;&gt;"Réalisé",$F2113&lt;&gt;"Clôturé"),"RETARD",""))</f>
        <v/>
      </c>
      <c r="J2113" s="29">
        <f>IF($B2113="","",IF(INDEX(Dossiers!$F$4:$F$63,40)="","",INDEX(Dossiers!$F$4:$F$63,40)))</f>
        <v/>
      </c>
      <c r="K2113" s="29">
        <f>IF($B2113="","",IF(INDEX(Dossiers!$G$4:$G$63,40)="","",INDEX(Dossiers!$G$4:$G$63,40)))</f>
        <v/>
      </c>
    </row>
    <row r="2114">
      <c r="A2114">
        <f>IF($B2114="","",INDEX(Dossiers!$E$4:$E$63,40))</f>
        <v/>
      </c>
      <c r="B2114">
        <f>IF(INDEX(Suivi!$B:$B,2154)="","",INDEX(Suivi!$B:$B,2154))</f>
        <v/>
      </c>
      <c r="C2114">
        <f>IF($B2114="","",IF(INDEX(Suivi!$D:$D,2154)="",INDEX(Suivi!$C:$C,2154),INDEX(Suivi!$D:$D,2154)))</f>
        <v/>
      </c>
      <c r="D2114" s="29">
        <f>IF($B2114="","",INDEX(Suivi!$E:$E,2154))</f>
        <v/>
      </c>
      <c r="E2114" s="29">
        <f>IF($B2114="","",INDEX(Suivi!$F:$F,2154))</f>
        <v/>
      </c>
      <c r="F2114">
        <f>IF($B2114="","",INDEX(Suivi!$G:$G,2154))</f>
        <v/>
      </c>
      <c r="H2114">
        <f>IF(OR($B2114="",NOT(ISNUMBER($D2114))),"",IF($E2114&lt;$D$2,"Passé",IF($D2114&gt;$F$2,"À venir","Dans la période")))</f>
        <v/>
      </c>
      <c r="I2114">
        <f>IF(OR($B2114="",NOT(ISNUMBER($D2114))),"",IF(AND($E2114&lt;$D$2,$G2114&lt;&gt;"X",$F2114&lt;&gt;"Réalisé",$F2114&lt;&gt;"Clôturé"),"RETARD",""))</f>
        <v/>
      </c>
      <c r="J2114" s="29">
        <f>IF($B2114="","",IF(INDEX(Dossiers!$F$4:$F$63,40)="","",INDEX(Dossiers!$F$4:$F$63,40)))</f>
        <v/>
      </c>
      <c r="K2114" s="29">
        <f>IF($B2114="","",IF(INDEX(Dossiers!$G$4:$G$63,40)="","",INDEX(Dossiers!$G$4:$G$63,40)))</f>
        <v/>
      </c>
    </row>
    <row r="2115">
      <c r="A2115">
        <f>IF($B2115="","",INDEX(Dossiers!$E$4:$E$63,40))</f>
        <v/>
      </c>
      <c r="B2115">
        <f>IF(INDEX(Suivi!$B:$B,2155)="","",INDEX(Suivi!$B:$B,2155))</f>
        <v/>
      </c>
      <c r="C2115">
        <f>IF($B2115="","",IF(INDEX(Suivi!$D:$D,2155)="",INDEX(Suivi!$C:$C,2155),INDEX(Suivi!$D:$D,2155)))</f>
        <v/>
      </c>
      <c r="D2115" s="29">
        <f>IF($B2115="","",INDEX(Suivi!$E:$E,2155))</f>
        <v/>
      </c>
      <c r="E2115" s="29">
        <f>IF($B2115="","",INDEX(Suivi!$F:$F,2155))</f>
        <v/>
      </c>
      <c r="F2115">
        <f>IF($B2115="","",INDEX(Suivi!$G:$G,2155))</f>
        <v/>
      </c>
      <c r="H2115">
        <f>IF(OR($B2115="",NOT(ISNUMBER($D2115))),"",IF($E2115&lt;$D$2,"Passé",IF($D2115&gt;$F$2,"À venir","Dans la période")))</f>
        <v/>
      </c>
      <c r="I2115">
        <f>IF(OR($B2115="",NOT(ISNUMBER($D2115))),"",IF(AND($E2115&lt;$D$2,$G2115&lt;&gt;"X",$F2115&lt;&gt;"Réalisé",$F2115&lt;&gt;"Clôturé"),"RETARD",""))</f>
        <v/>
      </c>
      <c r="J2115" s="29">
        <f>IF($B2115="","",IF(INDEX(Dossiers!$F$4:$F$63,40)="","",INDEX(Dossiers!$F$4:$F$63,40)))</f>
        <v/>
      </c>
      <c r="K2115" s="29">
        <f>IF($B2115="","",IF(INDEX(Dossiers!$G$4:$G$63,40)="","",INDEX(Dossiers!$G$4:$G$63,40)))</f>
        <v/>
      </c>
    </row>
    <row r="2116">
      <c r="A2116">
        <f>IF($B2116="","",INDEX(Dossiers!$E$4:$E$63,40))</f>
        <v/>
      </c>
      <c r="B2116">
        <f>IF(INDEX(Suivi!$B:$B,2156)="","",INDEX(Suivi!$B:$B,2156))</f>
        <v/>
      </c>
      <c r="C2116">
        <f>IF($B2116="","",IF(INDEX(Suivi!$D:$D,2156)="",INDEX(Suivi!$C:$C,2156),INDEX(Suivi!$D:$D,2156)))</f>
        <v/>
      </c>
      <c r="D2116" s="29">
        <f>IF($B2116="","",INDEX(Suivi!$E:$E,2156))</f>
        <v/>
      </c>
      <c r="E2116" s="29">
        <f>IF($B2116="","",INDEX(Suivi!$F:$F,2156))</f>
        <v/>
      </c>
      <c r="F2116">
        <f>IF($B2116="","",INDEX(Suivi!$G:$G,2156))</f>
        <v/>
      </c>
      <c r="H2116">
        <f>IF(OR($B2116="",NOT(ISNUMBER($D2116))),"",IF($E2116&lt;$D$2,"Passé",IF($D2116&gt;$F$2,"À venir","Dans la période")))</f>
        <v/>
      </c>
      <c r="I2116">
        <f>IF(OR($B2116="",NOT(ISNUMBER($D2116))),"",IF(AND($E2116&lt;$D$2,$G2116&lt;&gt;"X",$F2116&lt;&gt;"Réalisé",$F2116&lt;&gt;"Clôturé"),"RETARD",""))</f>
        <v/>
      </c>
      <c r="J2116" s="29">
        <f>IF($B2116="","",IF(INDEX(Dossiers!$F$4:$F$63,40)="","",INDEX(Dossiers!$F$4:$F$63,40)))</f>
        <v/>
      </c>
      <c r="K2116" s="29">
        <f>IF($B2116="","",IF(INDEX(Dossiers!$G$4:$G$63,40)="","",INDEX(Dossiers!$G$4:$G$63,40)))</f>
        <v/>
      </c>
    </row>
    <row r="2117">
      <c r="A2117">
        <f>IF($B2117="","",INDEX(Dossiers!$E$4:$E$63,40))</f>
        <v/>
      </c>
      <c r="B2117">
        <f>IF(INDEX(Suivi!$B:$B,2157)="","",INDEX(Suivi!$B:$B,2157))</f>
        <v/>
      </c>
      <c r="C2117">
        <f>IF($B2117="","",IF(INDEX(Suivi!$D:$D,2157)="",INDEX(Suivi!$C:$C,2157),INDEX(Suivi!$D:$D,2157)))</f>
        <v/>
      </c>
      <c r="D2117" s="29">
        <f>IF($B2117="","",INDEX(Suivi!$E:$E,2157))</f>
        <v/>
      </c>
      <c r="E2117" s="29">
        <f>IF($B2117="","",INDEX(Suivi!$F:$F,2157))</f>
        <v/>
      </c>
      <c r="F2117">
        <f>IF($B2117="","",INDEX(Suivi!$G:$G,2157))</f>
        <v/>
      </c>
      <c r="H2117">
        <f>IF(OR($B2117="",NOT(ISNUMBER($D2117))),"",IF($E2117&lt;$D$2,"Passé",IF($D2117&gt;$F$2,"À venir","Dans la période")))</f>
        <v/>
      </c>
      <c r="I2117">
        <f>IF(OR($B2117="",NOT(ISNUMBER($D2117))),"",IF(AND($E2117&lt;$D$2,$G2117&lt;&gt;"X",$F2117&lt;&gt;"Réalisé",$F2117&lt;&gt;"Clôturé"),"RETARD",""))</f>
        <v/>
      </c>
      <c r="J2117" s="29">
        <f>IF($B2117="","",IF(INDEX(Dossiers!$F$4:$F$63,40)="","",INDEX(Dossiers!$F$4:$F$63,40)))</f>
        <v/>
      </c>
      <c r="K2117" s="29">
        <f>IF($B2117="","",IF(INDEX(Dossiers!$G$4:$G$63,40)="","",INDEX(Dossiers!$G$4:$G$63,40)))</f>
        <v/>
      </c>
    </row>
    <row r="2118">
      <c r="A2118">
        <f>IF($B2118="","",INDEX(Dossiers!$E$4:$E$63,40))</f>
        <v/>
      </c>
      <c r="B2118">
        <f>IF(INDEX(Suivi!$B:$B,2158)="","",INDEX(Suivi!$B:$B,2158))</f>
        <v/>
      </c>
      <c r="C2118">
        <f>IF($B2118="","",IF(INDEX(Suivi!$D:$D,2158)="",INDEX(Suivi!$C:$C,2158),INDEX(Suivi!$D:$D,2158)))</f>
        <v/>
      </c>
      <c r="D2118" s="29">
        <f>IF($B2118="","",INDEX(Suivi!$E:$E,2158))</f>
        <v/>
      </c>
      <c r="E2118" s="29">
        <f>IF($B2118="","",INDEX(Suivi!$F:$F,2158))</f>
        <v/>
      </c>
      <c r="F2118">
        <f>IF($B2118="","",INDEX(Suivi!$G:$G,2158))</f>
        <v/>
      </c>
      <c r="H2118">
        <f>IF(OR($B2118="",NOT(ISNUMBER($D2118))),"",IF($E2118&lt;$D$2,"Passé",IF($D2118&gt;$F$2,"À venir","Dans la période")))</f>
        <v/>
      </c>
      <c r="I2118">
        <f>IF(OR($B2118="",NOT(ISNUMBER($D2118))),"",IF(AND($E2118&lt;$D$2,$G2118&lt;&gt;"X",$F2118&lt;&gt;"Réalisé",$F2118&lt;&gt;"Clôturé"),"RETARD",""))</f>
        <v/>
      </c>
      <c r="J2118" s="29">
        <f>IF($B2118="","",IF(INDEX(Dossiers!$F$4:$F$63,40)="","",INDEX(Dossiers!$F$4:$F$63,40)))</f>
        <v/>
      </c>
      <c r="K2118" s="29">
        <f>IF($B2118="","",IF(INDEX(Dossiers!$G$4:$G$63,40)="","",INDEX(Dossiers!$G$4:$G$63,40)))</f>
        <v/>
      </c>
    </row>
    <row r="2119">
      <c r="A2119">
        <f>IF($B2119="","",INDEX(Dossiers!$E$4:$E$63,40))</f>
        <v/>
      </c>
      <c r="B2119">
        <f>IF(INDEX(Suivi!$B:$B,2159)="","",INDEX(Suivi!$B:$B,2159))</f>
        <v/>
      </c>
      <c r="C2119">
        <f>IF($B2119="","",IF(INDEX(Suivi!$D:$D,2159)="",INDEX(Suivi!$C:$C,2159),INDEX(Suivi!$D:$D,2159)))</f>
        <v/>
      </c>
      <c r="D2119" s="29">
        <f>IF($B2119="","",INDEX(Suivi!$E:$E,2159))</f>
        <v/>
      </c>
      <c r="E2119" s="29">
        <f>IF($B2119="","",INDEX(Suivi!$F:$F,2159))</f>
        <v/>
      </c>
      <c r="F2119">
        <f>IF($B2119="","",INDEX(Suivi!$G:$G,2159))</f>
        <v/>
      </c>
      <c r="H2119">
        <f>IF(OR($B2119="",NOT(ISNUMBER($D2119))),"",IF($E2119&lt;$D$2,"Passé",IF($D2119&gt;$F$2,"À venir","Dans la période")))</f>
        <v/>
      </c>
      <c r="I2119">
        <f>IF(OR($B2119="",NOT(ISNUMBER($D2119))),"",IF(AND($E2119&lt;$D$2,$G2119&lt;&gt;"X",$F2119&lt;&gt;"Réalisé",$F2119&lt;&gt;"Clôturé"),"RETARD",""))</f>
        <v/>
      </c>
      <c r="J2119" s="29">
        <f>IF($B2119="","",IF(INDEX(Dossiers!$F$4:$F$63,40)="","",INDEX(Dossiers!$F$4:$F$63,40)))</f>
        <v/>
      </c>
      <c r="K2119" s="29">
        <f>IF($B2119="","",IF(INDEX(Dossiers!$G$4:$G$63,40)="","",INDEX(Dossiers!$G$4:$G$63,40)))</f>
        <v/>
      </c>
    </row>
    <row r="2120">
      <c r="A2120">
        <f>IF($B2120="","",INDEX(Dossiers!$E$4:$E$63,40))</f>
        <v/>
      </c>
      <c r="B2120">
        <f>IF(INDEX(Suivi!$B:$B,2160)="","",INDEX(Suivi!$B:$B,2160))</f>
        <v/>
      </c>
      <c r="C2120">
        <f>IF($B2120="","",IF(INDEX(Suivi!$D:$D,2160)="",INDEX(Suivi!$C:$C,2160),INDEX(Suivi!$D:$D,2160)))</f>
        <v/>
      </c>
      <c r="D2120" s="29">
        <f>IF($B2120="","",INDEX(Suivi!$E:$E,2160))</f>
        <v/>
      </c>
      <c r="E2120" s="29">
        <f>IF($B2120="","",INDEX(Suivi!$F:$F,2160))</f>
        <v/>
      </c>
      <c r="F2120">
        <f>IF($B2120="","",INDEX(Suivi!$G:$G,2160))</f>
        <v/>
      </c>
      <c r="H2120">
        <f>IF(OR($B2120="",NOT(ISNUMBER($D2120))),"",IF($E2120&lt;$D$2,"Passé",IF($D2120&gt;$F$2,"À venir","Dans la période")))</f>
        <v/>
      </c>
      <c r="I2120">
        <f>IF(OR($B2120="",NOT(ISNUMBER($D2120))),"",IF(AND($E2120&lt;$D$2,$G2120&lt;&gt;"X",$F2120&lt;&gt;"Réalisé",$F2120&lt;&gt;"Clôturé"),"RETARD",""))</f>
        <v/>
      </c>
      <c r="J2120" s="29">
        <f>IF($B2120="","",IF(INDEX(Dossiers!$F$4:$F$63,40)="","",INDEX(Dossiers!$F$4:$F$63,40)))</f>
        <v/>
      </c>
      <c r="K2120" s="29">
        <f>IF($B2120="","",IF(INDEX(Dossiers!$G$4:$G$63,40)="","",INDEX(Dossiers!$G$4:$G$63,40)))</f>
        <v/>
      </c>
    </row>
    <row r="2121">
      <c r="A2121">
        <f>IF($B2121="","",INDEX(Dossiers!$E$4:$E$63,40))</f>
        <v/>
      </c>
      <c r="B2121">
        <f>IF(INDEX(Suivi!$B:$B,2161)="","",INDEX(Suivi!$B:$B,2161))</f>
        <v/>
      </c>
      <c r="C2121">
        <f>IF($B2121="","",IF(INDEX(Suivi!$D:$D,2161)="",INDEX(Suivi!$C:$C,2161),INDEX(Suivi!$D:$D,2161)))</f>
        <v/>
      </c>
      <c r="D2121" s="29">
        <f>IF($B2121="","",INDEX(Suivi!$E:$E,2161))</f>
        <v/>
      </c>
      <c r="E2121" s="29">
        <f>IF($B2121="","",INDEX(Suivi!$F:$F,2161))</f>
        <v/>
      </c>
      <c r="F2121">
        <f>IF($B2121="","",INDEX(Suivi!$G:$G,2161))</f>
        <v/>
      </c>
      <c r="H2121">
        <f>IF(OR($B2121="",NOT(ISNUMBER($D2121))),"",IF($E2121&lt;$D$2,"Passé",IF($D2121&gt;$F$2,"À venir","Dans la période")))</f>
        <v/>
      </c>
      <c r="I2121">
        <f>IF(OR($B2121="",NOT(ISNUMBER($D2121))),"",IF(AND($E2121&lt;$D$2,$G2121&lt;&gt;"X",$F2121&lt;&gt;"Réalisé",$F2121&lt;&gt;"Clôturé"),"RETARD",""))</f>
        <v/>
      </c>
      <c r="J2121" s="29">
        <f>IF($B2121="","",IF(INDEX(Dossiers!$F$4:$F$63,40)="","",INDEX(Dossiers!$F$4:$F$63,40)))</f>
        <v/>
      </c>
      <c r="K2121" s="29">
        <f>IF($B2121="","",IF(INDEX(Dossiers!$G$4:$G$63,40)="","",INDEX(Dossiers!$G$4:$G$63,40)))</f>
        <v/>
      </c>
    </row>
    <row r="2122">
      <c r="A2122">
        <f>IF($B2122="","",INDEX(Dossiers!$E$4:$E$63,40))</f>
        <v/>
      </c>
      <c r="B2122">
        <f>IF(INDEX(Suivi!$B:$B,2162)="","",INDEX(Suivi!$B:$B,2162))</f>
        <v/>
      </c>
      <c r="C2122">
        <f>IF($B2122="","",IF(INDEX(Suivi!$D:$D,2162)="",INDEX(Suivi!$C:$C,2162),INDEX(Suivi!$D:$D,2162)))</f>
        <v/>
      </c>
      <c r="D2122" s="29">
        <f>IF($B2122="","",INDEX(Suivi!$E:$E,2162))</f>
        <v/>
      </c>
      <c r="E2122" s="29">
        <f>IF($B2122="","",INDEX(Suivi!$F:$F,2162))</f>
        <v/>
      </c>
      <c r="F2122">
        <f>IF($B2122="","",INDEX(Suivi!$G:$G,2162))</f>
        <v/>
      </c>
      <c r="H2122">
        <f>IF(OR($B2122="",NOT(ISNUMBER($D2122))),"",IF($E2122&lt;$D$2,"Passé",IF($D2122&gt;$F$2,"À venir","Dans la période")))</f>
        <v/>
      </c>
      <c r="I2122">
        <f>IF(OR($B2122="",NOT(ISNUMBER($D2122))),"",IF(AND($E2122&lt;$D$2,$G2122&lt;&gt;"X",$F2122&lt;&gt;"Réalisé",$F2122&lt;&gt;"Clôturé"),"RETARD",""))</f>
        <v/>
      </c>
      <c r="J2122" s="29">
        <f>IF($B2122="","",IF(INDEX(Dossiers!$F$4:$F$63,40)="","",INDEX(Dossiers!$F$4:$F$63,40)))</f>
        <v/>
      </c>
      <c r="K2122" s="29">
        <f>IF($B2122="","",IF(INDEX(Dossiers!$G$4:$G$63,40)="","",INDEX(Dossiers!$G$4:$G$63,40)))</f>
        <v/>
      </c>
    </row>
    <row r="2123">
      <c r="A2123">
        <f>IF($B2123="","",INDEX(Dossiers!$E$4:$E$63,40))</f>
        <v/>
      </c>
      <c r="B2123">
        <f>IF(INDEX(Suivi!$B:$B,2163)="","",INDEX(Suivi!$B:$B,2163))</f>
        <v/>
      </c>
      <c r="C2123">
        <f>IF($B2123="","",IF(INDEX(Suivi!$D:$D,2163)="",INDEX(Suivi!$C:$C,2163),INDEX(Suivi!$D:$D,2163)))</f>
        <v/>
      </c>
      <c r="D2123" s="29">
        <f>IF($B2123="","",INDEX(Suivi!$E:$E,2163))</f>
        <v/>
      </c>
      <c r="E2123" s="29">
        <f>IF($B2123="","",INDEX(Suivi!$F:$F,2163))</f>
        <v/>
      </c>
      <c r="F2123">
        <f>IF($B2123="","",INDEX(Suivi!$G:$G,2163))</f>
        <v/>
      </c>
      <c r="H2123">
        <f>IF(OR($B2123="",NOT(ISNUMBER($D2123))),"",IF($E2123&lt;$D$2,"Passé",IF($D2123&gt;$F$2,"À venir","Dans la période")))</f>
        <v/>
      </c>
      <c r="I2123">
        <f>IF(OR($B2123="",NOT(ISNUMBER($D2123))),"",IF(AND($E2123&lt;$D$2,$G2123&lt;&gt;"X",$F2123&lt;&gt;"Réalisé",$F2123&lt;&gt;"Clôturé"),"RETARD",""))</f>
        <v/>
      </c>
      <c r="J2123" s="29">
        <f>IF($B2123="","",IF(INDEX(Dossiers!$F$4:$F$63,40)="","",INDEX(Dossiers!$F$4:$F$63,40)))</f>
        <v/>
      </c>
      <c r="K2123" s="29">
        <f>IF($B2123="","",IF(INDEX(Dossiers!$G$4:$G$63,40)="","",INDEX(Dossiers!$G$4:$G$63,40)))</f>
        <v/>
      </c>
    </row>
    <row r="2124">
      <c r="A2124">
        <f>IF($B2124="","",INDEX(Dossiers!$E$4:$E$63,41))</f>
        <v/>
      </c>
      <c r="B2124">
        <f>IF(INDEX(Suivi!$B:$B,2165)="","",INDEX(Suivi!$B:$B,2165))</f>
        <v/>
      </c>
      <c r="C2124">
        <f>IF($B2124="","",IF(INDEX(Suivi!$D:$D,2165)="",INDEX(Suivi!$C:$C,2165),INDEX(Suivi!$D:$D,2165)))</f>
        <v/>
      </c>
      <c r="D2124" s="29">
        <f>IF($B2124="","",INDEX(Suivi!$E:$E,2165))</f>
        <v/>
      </c>
      <c r="E2124" s="29">
        <f>IF($B2124="","",INDEX(Suivi!$F:$F,2165))</f>
        <v/>
      </c>
      <c r="F2124">
        <f>IF($B2124="","",INDEX(Suivi!$G:$G,2165))</f>
        <v/>
      </c>
      <c r="H2124">
        <f>IF(OR($B2124="",NOT(ISNUMBER($D2124))),"",IF($E2124&lt;$D$2,"Passé",IF($D2124&gt;$F$2,"À venir","Dans la période")))</f>
        <v/>
      </c>
      <c r="I2124">
        <f>IF(OR($B2124="",NOT(ISNUMBER($D2124))),"",IF(AND($E2124&lt;$D$2,$G2124&lt;&gt;"X",$F2124&lt;&gt;"Réalisé",$F2124&lt;&gt;"Clôturé"),"RETARD",""))</f>
        <v/>
      </c>
      <c r="J2124" s="29">
        <f>IF($B2124="","",IF(INDEX(Dossiers!$F$4:$F$63,41)="","",INDEX(Dossiers!$F$4:$F$63,41)))</f>
        <v/>
      </c>
      <c r="K2124" s="29">
        <f>IF($B2124="","",IF(INDEX(Dossiers!$G$4:$G$63,41)="","",INDEX(Dossiers!$G$4:$G$63,41)))</f>
        <v/>
      </c>
    </row>
    <row r="2125">
      <c r="A2125">
        <f>IF($B2125="","",INDEX(Dossiers!$E$4:$E$63,41))</f>
        <v/>
      </c>
      <c r="B2125">
        <f>IF(INDEX(Suivi!$B:$B,2166)="","",INDEX(Suivi!$B:$B,2166))</f>
        <v/>
      </c>
      <c r="C2125">
        <f>IF($B2125="","",IF(INDEX(Suivi!$D:$D,2166)="",INDEX(Suivi!$C:$C,2166),INDEX(Suivi!$D:$D,2166)))</f>
        <v/>
      </c>
      <c r="D2125" s="29">
        <f>IF($B2125="","",INDEX(Suivi!$E:$E,2166))</f>
        <v/>
      </c>
      <c r="E2125" s="29">
        <f>IF($B2125="","",INDEX(Suivi!$F:$F,2166))</f>
        <v/>
      </c>
      <c r="F2125">
        <f>IF($B2125="","",INDEX(Suivi!$G:$G,2166))</f>
        <v/>
      </c>
      <c r="H2125">
        <f>IF(OR($B2125="",NOT(ISNUMBER($D2125))),"",IF($E2125&lt;$D$2,"Passé",IF($D2125&gt;$F$2,"À venir","Dans la période")))</f>
        <v/>
      </c>
      <c r="I2125">
        <f>IF(OR($B2125="",NOT(ISNUMBER($D2125))),"",IF(AND($E2125&lt;$D$2,$G2125&lt;&gt;"X",$F2125&lt;&gt;"Réalisé",$F2125&lt;&gt;"Clôturé"),"RETARD",""))</f>
        <v/>
      </c>
      <c r="J2125" s="29">
        <f>IF($B2125="","",IF(INDEX(Dossiers!$F$4:$F$63,41)="","",INDEX(Dossiers!$F$4:$F$63,41)))</f>
        <v/>
      </c>
      <c r="K2125" s="29">
        <f>IF($B2125="","",IF(INDEX(Dossiers!$G$4:$G$63,41)="","",INDEX(Dossiers!$G$4:$G$63,41)))</f>
        <v/>
      </c>
    </row>
    <row r="2126">
      <c r="A2126">
        <f>IF($B2126="","",INDEX(Dossiers!$E$4:$E$63,41))</f>
        <v/>
      </c>
      <c r="B2126">
        <f>IF(INDEX(Suivi!$B:$B,2167)="","",INDEX(Suivi!$B:$B,2167))</f>
        <v/>
      </c>
      <c r="C2126">
        <f>IF($B2126="","",IF(INDEX(Suivi!$D:$D,2167)="",INDEX(Suivi!$C:$C,2167),INDEX(Suivi!$D:$D,2167)))</f>
        <v/>
      </c>
      <c r="D2126" s="29">
        <f>IF($B2126="","",INDEX(Suivi!$E:$E,2167))</f>
        <v/>
      </c>
      <c r="E2126" s="29">
        <f>IF($B2126="","",INDEX(Suivi!$F:$F,2167))</f>
        <v/>
      </c>
      <c r="F2126">
        <f>IF($B2126="","",INDEX(Suivi!$G:$G,2167))</f>
        <v/>
      </c>
      <c r="H2126">
        <f>IF(OR($B2126="",NOT(ISNUMBER($D2126))),"",IF($E2126&lt;$D$2,"Passé",IF($D2126&gt;$F$2,"À venir","Dans la période")))</f>
        <v/>
      </c>
      <c r="I2126">
        <f>IF(OR($B2126="",NOT(ISNUMBER($D2126))),"",IF(AND($E2126&lt;$D$2,$G2126&lt;&gt;"X",$F2126&lt;&gt;"Réalisé",$F2126&lt;&gt;"Clôturé"),"RETARD",""))</f>
        <v/>
      </c>
      <c r="J2126" s="29">
        <f>IF($B2126="","",IF(INDEX(Dossiers!$F$4:$F$63,41)="","",INDEX(Dossiers!$F$4:$F$63,41)))</f>
        <v/>
      </c>
      <c r="K2126" s="29">
        <f>IF($B2126="","",IF(INDEX(Dossiers!$G$4:$G$63,41)="","",INDEX(Dossiers!$G$4:$G$63,41)))</f>
        <v/>
      </c>
    </row>
    <row r="2127">
      <c r="A2127">
        <f>IF($B2127="","",INDEX(Dossiers!$E$4:$E$63,41))</f>
        <v/>
      </c>
      <c r="B2127">
        <f>IF(INDEX(Suivi!$B:$B,2168)="","",INDEX(Suivi!$B:$B,2168))</f>
        <v/>
      </c>
      <c r="C2127">
        <f>IF($B2127="","",IF(INDEX(Suivi!$D:$D,2168)="",INDEX(Suivi!$C:$C,2168),INDEX(Suivi!$D:$D,2168)))</f>
        <v/>
      </c>
      <c r="D2127" s="29">
        <f>IF($B2127="","",INDEX(Suivi!$E:$E,2168))</f>
        <v/>
      </c>
      <c r="E2127" s="29">
        <f>IF($B2127="","",INDEX(Suivi!$F:$F,2168))</f>
        <v/>
      </c>
      <c r="F2127">
        <f>IF($B2127="","",INDEX(Suivi!$G:$G,2168))</f>
        <v/>
      </c>
      <c r="H2127">
        <f>IF(OR($B2127="",NOT(ISNUMBER($D2127))),"",IF($E2127&lt;$D$2,"Passé",IF($D2127&gt;$F$2,"À venir","Dans la période")))</f>
        <v/>
      </c>
      <c r="I2127">
        <f>IF(OR($B2127="",NOT(ISNUMBER($D2127))),"",IF(AND($E2127&lt;$D$2,$G2127&lt;&gt;"X",$F2127&lt;&gt;"Réalisé",$F2127&lt;&gt;"Clôturé"),"RETARD",""))</f>
        <v/>
      </c>
      <c r="J2127" s="29">
        <f>IF($B2127="","",IF(INDEX(Dossiers!$F$4:$F$63,41)="","",INDEX(Dossiers!$F$4:$F$63,41)))</f>
        <v/>
      </c>
      <c r="K2127" s="29">
        <f>IF($B2127="","",IF(INDEX(Dossiers!$G$4:$G$63,41)="","",INDEX(Dossiers!$G$4:$G$63,41)))</f>
        <v/>
      </c>
    </row>
    <row r="2128">
      <c r="A2128">
        <f>IF($B2128="","",INDEX(Dossiers!$E$4:$E$63,41))</f>
        <v/>
      </c>
      <c r="B2128">
        <f>IF(INDEX(Suivi!$B:$B,2169)="","",INDEX(Suivi!$B:$B,2169))</f>
        <v/>
      </c>
      <c r="C2128">
        <f>IF($B2128="","",IF(INDEX(Suivi!$D:$D,2169)="",INDEX(Suivi!$C:$C,2169),INDEX(Suivi!$D:$D,2169)))</f>
        <v/>
      </c>
      <c r="D2128" s="29">
        <f>IF($B2128="","",INDEX(Suivi!$E:$E,2169))</f>
        <v/>
      </c>
      <c r="E2128" s="29">
        <f>IF($B2128="","",INDEX(Suivi!$F:$F,2169))</f>
        <v/>
      </c>
      <c r="F2128">
        <f>IF($B2128="","",INDEX(Suivi!$G:$G,2169))</f>
        <v/>
      </c>
      <c r="H2128">
        <f>IF(OR($B2128="",NOT(ISNUMBER($D2128))),"",IF($E2128&lt;$D$2,"Passé",IF($D2128&gt;$F$2,"À venir","Dans la période")))</f>
        <v/>
      </c>
      <c r="I2128">
        <f>IF(OR($B2128="",NOT(ISNUMBER($D2128))),"",IF(AND($E2128&lt;$D$2,$G2128&lt;&gt;"X",$F2128&lt;&gt;"Réalisé",$F2128&lt;&gt;"Clôturé"),"RETARD",""))</f>
        <v/>
      </c>
      <c r="J2128" s="29">
        <f>IF($B2128="","",IF(INDEX(Dossiers!$F$4:$F$63,41)="","",INDEX(Dossiers!$F$4:$F$63,41)))</f>
        <v/>
      </c>
      <c r="K2128" s="29">
        <f>IF($B2128="","",IF(INDEX(Dossiers!$G$4:$G$63,41)="","",INDEX(Dossiers!$G$4:$G$63,41)))</f>
        <v/>
      </c>
    </row>
    <row r="2129">
      <c r="A2129">
        <f>IF($B2129="","",INDEX(Dossiers!$E$4:$E$63,41))</f>
        <v/>
      </c>
      <c r="B2129">
        <f>IF(INDEX(Suivi!$B:$B,2170)="","",INDEX(Suivi!$B:$B,2170))</f>
        <v/>
      </c>
      <c r="C2129">
        <f>IF($B2129="","",IF(INDEX(Suivi!$D:$D,2170)="",INDEX(Suivi!$C:$C,2170),INDEX(Suivi!$D:$D,2170)))</f>
        <v/>
      </c>
      <c r="D2129" s="29">
        <f>IF($B2129="","",INDEX(Suivi!$E:$E,2170))</f>
        <v/>
      </c>
      <c r="E2129" s="29">
        <f>IF($B2129="","",INDEX(Suivi!$F:$F,2170))</f>
        <v/>
      </c>
      <c r="F2129">
        <f>IF($B2129="","",INDEX(Suivi!$G:$G,2170))</f>
        <v/>
      </c>
      <c r="H2129">
        <f>IF(OR($B2129="",NOT(ISNUMBER($D2129))),"",IF($E2129&lt;$D$2,"Passé",IF($D2129&gt;$F$2,"À venir","Dans la période")))</f>
        <v/>
      </c>
      <c r="I2129">
        <f>IF(OR($B2129="",NOT(ISNUMBER($D2129))),"",IF(AND($E2129&lt;$D$2,$G2129&lt;&gt;"X",$F2129&lt;&gt;"Réalisé",$F2129&lt;&gt;"Clôturé"),"RETARD",""))</f>
        <v/>
      </c>
      <c r="J2129" s="29">
        <f>IF($B2129="","",IF(INDEX(Dossiers!$F$4:$F$63,41)="","",INDEX(Dossiers!$F$4:$F$63,41)))</f>
        <v/>
      </c>
      <c r="K2129" s="29">
        <f>IF($B2129="","",IF(INDEX(Dossiers!$G$4:$G$63,41)="","",INDEX(Dossiers!$G$4:$G$63,41)))</f>
        <v/>
      </c>
    </row>
    <row r="2130">
      <c r="A2130">
        <f>IF($B2130="","",INDEX(Dossiers!$E$4:$E$63,41))</f>
        <v/>
      </c>
      <c r="B2130">
        <f>IF(INDEX(Suivi!$B:$B,2171)="","",INDEX(Suivi!$B:$B,2171))</f>
        <v/>
      </c>
      <c r="C2130">
        <f>IF($B2130="","",IF(INDEX(Suivi!$D:$D,2171)="",INDEX(Suivi!$C:$C,2171),INDEX(Suivi!$D:$D,2171)))</f>
        <v/>
      </c>
      <c r="D2130" s="29">
        <f>IF($B2130="","",INDEX(Suivi!$E:$E,2171))</f>
        <v/>
      </c>
      <c r="E2130" s="29">
        <f>IF($B2130="","",INDEX(Suivi!$F:$F,2171))</f>
        <v/>
      </c>
      <c r="F2130">
        <f>IF($B2130="","",INDEX(Suivi!$G:$G,2171))</f>
        <v/>
      </c>
      <c r="H2130">
        <f>IF(OR($B2130="",NOT(ISNUMBER($D2130))),"",IF($E2130&lt;$D$2,"Passé",IF($D2130&gt;$F$2,"À venir","Dans la période")))</f>
        <v/>
      </c>
      <c r="I2130">
        <f>IF(OR($B2130="",NOT(ISNUMBER($D2130))),"",IF(AND($E2130&lt;$D$2,$G2130&lt;&gt;"X",$F2130&lt;&gt;"Réalisé",$F2130&lt;&gt;"Clôturé"),"RETARD",""))</f>
        <v/>
      </c>
      <c r="J2130" s="29">
        <f>IF($B2130="","",IF(INDEX(Dossiers!$F$4:$F$63,41)="","",INDEX(Dossiers!$F$4:$F$63,41)))</f>
        <v/>
      </c>
      <c r="K2130" s="29">
        <f>IF($B2130="","",IF(INDEX(Dossiers!$G$4:$G$63,41)="","",INDEX(Dossiers!$G$4:$G$63,41)))</f>
        <v/>
      </c>
    </row>
    <row r="2131">
      <c r="A2131">
        <f>IF($B2131="","",INDEX(Dossiers!$E$4:$E$63,41))</f>
        <v/>
      </c>
      <c r="B2131">
        <f>IF(INDEX(Suivi!$B:$B,2172)="","",INDEX(Suivi!$B:$B,2172))</f>
        <v/>
      </c>
      <c r="C2131">
        <f>IF($B2131="","",IF(INDEX(Suivi!$D:$D,2172)="",INDEX(Suivi!$C:$C,2172),INDEX(Suivi!$D:$D,2172)))</f>
        <v/>
      </c>
      <c r="D2131" s="29">
        <f>IF($B2131="","",INDEX(Suivi!$E:$E,2172))</f>
        <v/>
      </c>
      <c r="E2131" s="29">
        <f>IF($B2131="","",INDEX(Suivi!$F:$F,2172))</f>
        <v/>
      </c>
      <c r="F2131">
        <f>IF($B2131="","",INDEX(Suivi!$G:$G,2172))</f>
        <v/>
      </c>
      <c r="H2131">
        <f>IF(OR($B2131="",NOT(ISNUMBER($D2131))),"",IF($E2131&lt;$D$2,"Passé",IF($D2131&gt;$F$2,"À venir","Dans la période")))</f>
        <v/>
      </c>
      <c r="I2131">
        <f>IF(OR($B2131="",NOT(ISNUMBER($D2131))),"",IF(AND($E2131&lt;$D$2,$G2131&lt;&gt;"X",$F2131&lt;&gt;"Réalisé",$F2131&lt;&gt;"Clôturé"),"RETARD",""))</f>
        <v/>
      </c>
      <c r="J2131" s="29">
        <f>IF($B2131="","",IF(INDEX(Dossiers!$F$4:$F$63,41)="","",INDEX(Dossiers!$F$4:$F$63,41)))</f>
        <v/>
      </c>
      <c r="K2131" s="29">
        <f>IF($B2131="","",IF(INDEX(Dossiers!$G$4:$G$63,41)="","",INDEX(Dossiers!$G$4:$G$63,41)))</f>
        <v/>
      </c>
    </row>
    <row r="2132">
      <c r="A2132">
        <f>IF($B2132="","",INDEX(Dossiers!$E$4:$E$63,41))</f>
        <v/>
      </c>
      <c r="B2132">
        <f>IF(INDEX(Suivi!$B:$B,2173)="","",INDEX(Suivi!$B:$B,2173))</f>
        <v/>
      </c>
      <c r="C2132">
        <f>IF($B2132="","",IF(INDEX(Suivi!$D:$D,2173)="",INDEX(Suivi!$C:$C,2173),INDEX(Suivi!$D:$D,2173)))</f>
        <v/>
      </c>
      <c r="D2132" s="29">
        <f>IF($B2132="","",INDEX(Suivi!$E:$E,2173))</f>
        <v/>
      </c>
      <c r="E2132" s="29">
        <f>IF($B2132="","",INDEX(Suivi!$F:$F,2173))</f>
        <v/>
      </c>
      <c r="F2132">
        <f>IF($B2132="","",INDEX(Suivi!$G:$G,2173))</f>
        <v/>
      </c>
      <c r="H2132">
        <f>IF(OR($B2132="",NOT(ISNUMBER($D2132))),"",IF($E2132&lt;$D$2,"Passé",IF($D2132&gt;$F$2,"À venir","Dans la période")))</f>
        <v/>
      </c>
      <c r="I2132">
        <f>IF(OR($B2132="",NOT(ISNUMBER($D2132))),"",IF(AND($E2132&lt;$D$2,$G2132&lt;&gt;"X",$F2132&lt;&gt;"Réalisé",$F2132&lt;&gt;"Clôturé"),"RETARD",""))</f>
        <v/>
      </c>
      <c r="J2132" s="29">
        <f>IF($B2132="","",IF(INDEX(Dossiers!$F$4:$F$63,41)="","",INDEX(Dossiers!$F$4:$F$63,41)))</f>
        <v/>
      </c>
      <c r="K2132" s="29">
        <f>IF($B2132="","",IF(INDEX(Dossiers!$G$4:$G$63,41)="","",INDEX(Dossiers!$G$4:$G$63,41)))</f>
        <v/>
      </c>
    </row>
    <row r="2133">
      <c r="A2133">
        <f>IF($B2133="","",INDEX(Dossiers!$E$4:$E$63,41))</f>
        <v/>
      </c>
      <c r="B2133">
        <f>IF(INDEX(Suivi!$B:$B,2174)="","",INDEX(Suivi!$B:$B,2174))</f>
        <v/>
      </c>
      <c r="C2133">
        <f>IF($B2133="","",IF(INDEX(Suivi!$D:$D,2174)="",INDEX(Suivi!$C:$C,2174),INDEX(Suivi!$D:$D,2174)))</f>
        <v/>
      </c>
      <c r="D2133" s="29">
        <f>IF($B2133="","",INDEX(Suivi!$E:$E,2174))</f>
        <v/>
      </c>
      <c r="E2133" s="29">
        <f>IF($B2133="","",INDEX(Suivi!$F:$F,2174))</f>
        <v/>
      </c>
      <c r="F2133">
        <f>IF($B2133="","",INDEX(Suivi!$G:$G,2174))</f>
        <v/>
      </c>
      <c r="H2133">
        <f>IF(OR($B2133="",NOT(ISNUMBER($D2133))),"",IF($E2133&lt;$D$2,"Passé",IF($D2133&gt;$F$2,"À venir","Dans la période")))</f>
        <v/>
      </c>
      <c r="I2133">
        <f>IF(OR($B2133="",NOT(ISNUMBER($D2133))),"",IF(AND($E2133&lt;$D$2,$G2133&lt;&gt;"X",$F2133&lt;&gt;"Réalisé",$F2133&lt;&gt;"Clôturé"),"RETARD",""))</f>
        <v/>
      </c>
      <c r="J2133" s="29">
        <f>IF($B2133="","",IF(INDEX(Dossiers!$F$4:$F$63,41)="","",INDEX(Dossiers!$F$4:$F$63,41)))</f>
        <v/>
      </c>
      <c r="K2133" s="29">
        <f>IF($B2133="","",IF(INDEX(Dossiers!$G$4:$G$63,41)="","",INDEX(Dossiers!$G$4:$G$63,41)))</f>
        <v/>
      </c>
    </row>
    <row r="2134">
      <c r="A2134">
        <f>IF($B2134="","",INDEX(Dossiers!$E$4:$E$63,41))</f>
        <v/>
      </c>
      <c r="B2134">
        <f>IF(INDEX(Suivi!$B:$B,2175)="","",INDEX(Suivi!$B:$B,2175))</f>
        <v/>
      </c>
      <c r="C2134">
        <f>IF($B2134="","",IF(INDEX(Suivi!$D:$D,2175)="",INDEX(Suivi!$C:$C,2175),INDEX(Suivi!$D:$D,2175)))</f>
        <v/>
      </c>
      <c r="D2134" s="29">
        <f>IF($B2134="","",INDEX(Suivi!$E:$E,2175))</f>
        <v/>
      </c>
      <c r="E2134" s="29">
        <f>IF($B2134="","",INDEX(Suivi!$F:$F,2175))</f>
        <v/>
      </c>
      <c r="F2134">
        <f>IF($B2134="","",INDEX(Suivi!$G:$G,2175))</f>
        <v/>
      </c>
      <c r="H2134">
        <f>IF(OR($B2134="",NOT(ISNUMBER($D2134))),"",IF($E2134&lt;$D$2,"Passé",IF($D2134&gt;$F$2,"À venir","Dans la période")))</f>
        <v/>
      </c>
      <c r="I2134">
        <f>IF(OR($B2134="",NOT(ISNUMBER($D2134))),"",IF(AND($E2134&lt;$D$2,$G2134&lt;&gt;"X",$F2134&lt;&gt;"Réalisé",$F2134&lt;&gt;"Clôturé"),"RETARD",""))</f>
        <v/>
      </c>
      <c r="J2134" s="29">
        <f>IF($B2134="","",IF(INDEX(Dossiers!$F$4:$F$63,41)="","",INDEX(Dossiers!$F$4:$F$63,41)))</f>
        <v/>
      </c>
      <c r="K2134" s="29">
        <f>IF($B2134="","",IF(INDEX(Dossiers!$G$4:$G$63,41)="","",INDEX(Dossiers!$G$4:$G$63,41)))</f>
        <v/>
      </c>
    </row>
    <row r="2135">
      <c r="A2135">
        <f>IF($B2135="","",INDEX(Dossiers!$E$4:$E$63,41))</f>
        <v/>
      </c>
      <c r="B2135">
        <f>IF(INDEX(Suivi!$B:$B,2176)="","",INDEX(Suivi!$B:$B,2176))</f>
        <v/>
      </c>
      <c r="C2135">
        <f>IF($B2135="","",IF(INDEX(Suivi!$D:$D,2176)="",INDEX(Suivi!$C:$C,2176),INDEX(Suivi!$D:$D,2176)))</f>
        <v/>
      </c>
      <c r="D2135" s="29">
        <f>IF($B2135="","",INDEX(Suivi!$E:$E,2176))</f>
        <v/>
      </c>
      <c r="E2135" s="29">
        <f>IF($B2135="","",INDEX(Suivi!$F:$F,2176))</f>
        <v/>
      </c>
      <c r="F2135">
        <f>IF($B2135="","",INDEX(Suivi!$G:$G,2176))</f>
        <v/>
      </c>
      <c r="H2135">
        <f>IF(OR($B2135="",NOT(ISNUMBER($D2135))),"",IF($E2135&lt;$D$2,"Passé",IF($D2135&gt;$F$2,"À venir","Dans la période")))</f>
        <v/>
      </c>
      <c r="I2135">
        <f>IF(OR($B2135="",NOT(ISNUMBER($D2135))),"",IF(AND($E2135&lt;$D$2,$G2135&lt;&gt;"X",$F2135&lt;&gt;"Réalisé",$F2135&lt;&gt;"Clôturé"),"RETARD",""))</f>
        <v/>
      </c>
      <c r="J2135" s="29">
        <f>IF($B2135="","",IF(INDEX(Dossiers!$F$4:$F$63,41)="","",INDEX(Dossiers!$F$4:$F$63,41)))</f>
        <v/>
      </c>
      <c r="K2135" s="29">
        <f>IF($B2135="","",IF(INDEX(Dossiers!$G$4:$G$63,41)="","",INDEX(Dossiers!$G$4:$G$63,41)))</f>
        <v/>
      </c>
    </row>
    <row r="2136">
      <c r="A2136">
        <f>IF($B2136="","",INDEX(Dossiers!$E$4:$E$63,41))</f>
        <v/>
      </c>
      <c r="B2136">
        <f>IF(INDEX(Suivi!$B:$B,2177)="","",INDEX(Suivi!$B:$B,2177))</f>
        <v/>
      </c>
      <c r="C2136">
        <f>IF($B2136="","",IF(INDEX(Suivi!$D:$D,2177)="",INDEX(Suivi!$C:$C,2177),INDEX(Suivi!$D:$D,2177)))</f>
        <v/>
      </c>
      <c r="D2136" s="29">
        <f>IF($B2136="","",INDEX(Suivi!$E:$E,2177))</f>
        <v/>
      </c>
      <c r="E2136" s="29">
        <f>IF($B2136="","",INDEX(Suivi!$F:$F,2177))</f>
        <v/>
      </c>
      <c r="F2136">
        <f>IF($B2136="","",INDEX(Suivi!$G:$G,2177))</f>
        <v/>
      </c>
      <c r="H2136">
        <f>IF(OR($B2136="",NOT(ISNUMBER($D2136))),"",IF($E2136&lt;$D$2,"Passé",IF($D2136&gt;$F$2,"À venir","Dans la période")))</f>
        <v/>
      </c>
      <c r="I2136">
        <f>IF(OR($B2136="",NOT(ISNUMBER($D2136))),"",IF(AND($E2136&lt;$D$2,$G2136&lt;&gt;"X",$F2136&lt;&gt;"Réalisé",$F2136&lt;&gt;"Clôturé"),"RETARD",""))</f>
        <v/>
      </c>
      <c r="J2136" s="29">
        <f>IF($B2136="","",IF(INDEX(Dossiers!$F$4:$F$63,41)="","",INDEX(Dossiers!$F$4:$F$63,41)))</f>
        <v/>
      </c>
      <c r="K2136" s="29">
        <f>IF($B2136="","",IF(INDEX(Dossiers!$G$4:$G$63,41)="","",INDEX(Dossiers!$G$4:$G$63,41)))</f>
        <v/>
      </c>
    </row>
    <row r="2137">
      <c r="A2137">
        <f>IF($B2137="","",INDEX(Dossiers!$E$4:$E$63,41))</f>
        <v/>
      </c>
      <c r="B2137">
        <f>IF(INDEX(Suivi!$B:$B,2178)="","",INDEX(Suivi!$B:$B,2178))</f>
        <v/>
      </c>
      <c r="C2137">
        <f>IF($B2137="","",IF(INDEX(Suivi!$D:$D,2178)="",INDEX(Suivi!$C:$C,2178),INDEX(Suivi!$D:$D,2178)))</f>
        <v/>
      </c>
      <c r="D2137" s="29">
        <f>IF($B2137="","",INDEX(Suivi!$E:$E,2178))</f>
        <v/>
      </c>
      <c r="E2137" s="29">
        <f>IF($B2137="","",INDEX(Suivi!$F:$F,2178))</f>
        <v/>
      </c>
      <c r="F2137">
        <f>IF($B2137="","",INDEX(Suivi!$G:$G,2178))</f>
        <v/>
      </c>
      <c r="H2137">
        <f>IF(OR($B2137="",NOT(ISNUMBER($D2137))),"",IF($E2137&lt;$D$2,"Passé",IF($D2137&gt;$F$2,"À venir","Dans la période")))</f>
        <v/>
      </c>
      <c r="I2137">
        <f>IF(OR($B2137="",NOT(ISNUMBER($D2137))),"",IF(AND($E2137&lt;$D$2,$G2137&lt;&gt;"X",$F2137&lt;&gt;"Réalisé",$F2137&lt;&gt;"Clôturé"),"RETARD",""))</f>
        <v/>
      </c>
      <c r="J2137" s="29">
        <f>IF($B2137="","",IF(INDEX(Dossiers!$F$4:$F$63,41)="","",INDEX(Dossiers!$F$4:$F$63,41)))</f>
        <v/>
      </c>
      <c r="K2137" s="29">
        <f>IF($B2137="","",IF(INDEX(Dossiers!$G$4:$G$63,41)="","",INDEX(Dossiers!$G$4:$G$63,41)))</f>
        <v/>
      </c>
    </row>
    <row r="2138">
      <c r="A2138">
        <f>IF($B2138="","",INDEX(Dossiers!$E$4:$E$63,41))</f>
        <v/>
      </c>
      <c r="B2138">
        <f>IF(INDEX(Suivi!$B:$B,2179)="","",INDEX(Suivi!$B:$B,2179))</f>
        <v/>
      </c>
      <c r="C2138">
        <f>IF($B2138="","",IF(INDEX(Suivi!$D:$D,2179)="",INDEX(Suivi!$C:$C,2179),INDEX(Suivi!$D:$D,2179)))</f>
        <v/>
      </c>
      <c r="D2138" s="29">
        <f>IF($B2138="","",INDEX(Suivi!$E:$E,2179))</f>
        <v/>
      </c>
      <c r="E2138" s="29">
        <f>IF($B2138="","",INDEX(Suivi!$F:$F,2179))</f>
        <v/>
      </c>
      <c r="F2138">
        <f>IF($B2138="","",INDEX(Suivi!$G:$G,2179))</f>
        <v/>
      </c>
      <c r="H2138">
        <f>IF(OR($B2138="",NOT(ISNUMBER($D2138))),"",IF($E2138&lt;$D$2,"Passé",IF($D2138&gt;$F$2,"À venir","Dans la période")))</f>
        <v/>
      </c>
      <c r="I2138">
        <f>IF(OR($B2138="",NOT(ISNUMBER($D2138))),"",IF(AND($E2138&lt;$D$2,$G2138&lt;&gt;"X",$F2138&lt;&gt;"Réalisé",$F2138&lt;&gt;"Clôturé"),"RETARD",""))</f>
        <v/>
      </c>
      <c r="J2138" s="29">
        <f>IF($B2138="","",IF(INDEX(Dossiers!$F$4:$F$63,41)="","",INDEX(Dossiers!$F$4:$F$63,41)))</f>
        <v/>
      </c>
      <c r="K2138" s="29">
        <f>IF($B2138="","",IF(INDEX(Dossiers!$G$4:$G$63,41)="","",INDEX(Dossiers!$G$4:$G$63,41)))</f>
        <v/>
      </c>
    </row>
    <row r="2139">
      <c r="A2139">
        <f>IF($B2139="","",INDEX(Dossiers!$E$4:$E$63,41))</f>
        <v/>
      </c>
      <c r="B2139">
        <f>IF(INDEX(Suivi!$B:$B,2180)="","",INDEX(Suivi!$B:$B,2180))</f>
        <v/>
      </c>
      <c r="C2139">
        <f>IF($B2139="","",IF(INDEX(Suivi!$D:$D,2180)="",INDEX(Suivi!$C:$C,2180),INDEX(Suivi!$D:$D,2180)))</f>
        <v/>
      </c>
      <c r="D2139" s="29">
        <f>IF($B2139="","",INDEX(Suivi!$E:$E,2180))</f>
        <v/>
      </c>
      <c r="E2139" s="29">
        <f>IF($B2139="","",INDEX(Suivi!$F:$F,2180))</f>
        <v/>
      </c>
      <c r="F2139">
        <f>IF($B2139="","",INDEX(Suivi!$G:$G,2180))</f>
        <v/>
      </c>
      <c r="H2139">
        <f>IF(OR($B2139="",NOT(ISNUMBER($D2139))),"",IF($E2139&lt;$D$2,"Passé",IF($D2139&gt;$F$2,"À venir","Dans la période")))</f>
        <v/>
      </c>
      <c r="I2139">
        <f>IF(OR($B2139="",NOT(ISNUMBER($D2139))),"",IF(AND($E2139&lt;$D$2,$G2139&lt;&gt;"X",$F2139&lt;&gt;"Réalisé",$F2139&lt;&gt;"Clôturé"),"RETARD",""))</f>
        <v/>
      </c>
      <c r="J2139" s="29">
        <f>IF($B2139="","",IF(INDEX(Dossiers!$F$4:$F$63,41)="","",INDEX(Dossiers!$F$4:$F$63,41)))</f>
        <v/>
      </c>
      <c r="K2139" s="29">
        <f>IF($B2139="","",IF(INDEX(Dossiers!$G$4:$G$63,41)="","",INDEX(Dossiers!$G$4:$G$63,41)))</f>
        <v/>
      </c>
    </row>
    <row r="2140">
      <c r="A2140">
        <f>IF($B2140="","",INDEX(Dossiers!$E$4:$E$63,41))</f>
        <v/>
      </c>
      <c r="B2140">
        <f>IF(INDEX(Suivi!$B:$B,2181)="","",INDEX(Suivi!$B:$B,2181))</f>
        <v/>
      </c>
      <c r="C2140">
        <f>IF($B2140="","",IF(INDEX(Suivi!$D:$D,2181)="",INDEX(Suivi!$C:$C,2181),INDEX(Suivi!$D:$D,2181)))</f>
        <v/>
      </c>
      <c r="D2140" s="29">
        <f>IF($B2140="","",INDEX(Suivi!$E:$E,2181))</f>
        <v/>
      </c>
      <c r="E2140" s="29">
        <f>IF($B2140="","",INDEX(Suivi!$F:$F,2181))</f>
        <v/>
      </c>
      <c r="F2140">
        <f>IF($B2140="","",INDEX(Suivi!$G:$G,2181))</f>
        <v/>
      </c>
      <c r="H2140">
        <f>IF(OR($B2140="",NOT(ISNUMBER($D2140))),"",IF($E2140&lt;$D$2,"Passé",IF($D2140&gt;$F$2,"À venir","Dans la période")))</f>
        <v/>
      </c>
      <c r="I2140">
        <f>IF(OR($B2140="",NOT(ISNUMBER($D2140))),"",IF(AND($E2140&lt;$D$2,$G2140&lt;&gt;"X",$F2140&lt;&gt;"Réalisé",$F2140&lt;&gt;"Clôturé"),"RETARD",""))</f>
        <v/>
      </c>
      <c r="J2140" s="29">
        <f>IF($B2140="","",IF(INDEX(Dossiers!$F$4:$F$63,41)="","",INDEX(Dossiers!$F$4:$F$63,41)))</f>
        <v/>
      </c>
      <c r="K2140" s="29">
        <f>IF($B2140="","",IF(INDEX(Dossiers!$G$4:$G$63,41)="","",INDEX(Dossiers!$G$4:$G$63,41)))</f>
        <v/>
      </c>
    </row>
    <row r="2141">
      <c r="A2141">
        <f>IF($B2141="","",INDEX(Dossiers!$E$4:$E$63,41))</f>
        <v/>
      </c>
      <c r="B2141">
        <f>IF(INDEX(Suivi!$B:$B,2182)="","",INDEX(Suivi!$B:$B,2182))</f>
        <v/>
      </c>
      <c r="C2141">
        <f>IF($B2141="","",IF(INDEX(Suivi!$D:$D,2182)="",INDEX(Suivi!$C:$C,2182),INDEX(Suivi!$D:$D,2182)))</f>
        <v/>
      </c>
      <c r="D2141" s="29">
        <f>IF($B2141="","",INDEX(Suivi!$E:$E,2182))</f>
        <v/>
      </c>
      <c r="E2141" s="29">
        <f>IF($B2141="","",INDEX(Suivi!$F:$F,2182))</f>
        <v/>
      </c>
      <c r="F2141">
        <f>IF($B2141="","",INDEX(Suivi!$G:$G,2182))</f>
        <v/>
      </c>
      <c r="H2141">
        <f>IF(OR($B2141="",NOT(ISNUMBER($D2141))),"",IF($E2141&lt;$D$2,"Passé",IF($D2141&gt;$F$2,"À venir","Dans la période")))</f>
        <v/>
      </c>
      <c r="I2141">
        <f>IF(OR($B2141="",NOT(ISNUMBER($D2141))),"",IF(AND($E2141&lt;$D$2,$G2141&lt;&gt;"X",$F2141&lt;&gt;"Réalisé",$F2141&lt;&gt;"Clôturé"),"RETARD",""))</f>
        <v/>
      </c>
      <c r="J2141" s="29">
        <f>IF($B2141="","",IF(INDEX(Dossiers!$F$4:$F$63,41)="","",INDEX(Dossiers!$F$4:$F$63,41)))</f>
        <v/>
      </c>
      <c r="K2141" s="29">
        <f>IF($B2141="","",IF(INDEX(Dossiers!$G$4:$G$63,41)="","",INDEX(Dossiers!$G$4:$G$63,41)))</f>
        <v/>
      </c>
    </row>
    <row r="2142">
      <c r="A2142">
        <f>IF($B2142="","",INDEX(Dossiers!$E$4:$E$63,41))</f>
        <v/>
      </c>
      <c r="B2142">
        <f>IF(INDEX(Suivi!$B:$B,2183)="","",INDEX(Suivi!$B:$B,2183))</f>
        <v/>
      </c>
      <c r="C2142">
        <f>IF($B2142="","",IF(INDEX(Suivi!$D:$D,2183)="",INDEX(Suivi!$C:$C,2183),INDEX(Suivi!$D:$D,2183)))</f>
        <v/>
      </c>
      <c r="D2142" s="29">
        <f>IF($B2142="","",INDEX(Suivi!$E:$E,2183))</f>
        <v/>
      </c>
      <c r="E2142" s="29">
        <f>IF($B2142="","",INDEX(Suivi!$F:$F,2183))</f>
        <v/>
      </c>
      <c r="F2142">
        <f>IF($B2142="","",INDEX(Suivi!$G:$G,2183))</f>
        <v/>
      </c>
      <c r="H2142">
        <f>IF(OR($B2142="",NOT(ISNUMBER($D2142))),"",IF($E2142&lt;$D$2,"Passé",IF($D2142&gt;$F$2,"À venir","Dans la période")))</f>
        <v/>
      </c>
      <c r="I2142">
        <f>IF(OR($B2142="",NOT(ISNUMBER($D2142))),"",IF(AND($E2142&lt;$D$2,$G2142&lt;&gt;"X",$F2142&lt;&gt;"Réalisé",$F2142&lt;&gt;"Clôturé"),"RETARD",""))</f>
        <v/>
      </c>
      <c r="J2142" s="29">
        <f>IF($B2142="","",IF(INDEX(Dossiers!$F$4:$F$63,41)="","",INDEX(Dossiers!$F$4:$F$63,41)))</f>
        <v/>
      </c>
      <c r="K2142" s="29">
        <f>IF($B2142="","",IF(INDEX(Dossiers!$G$4:$G$63,41)="","",INDEX(Dossiers!$G$4:$G$63,41)))</f>
        <v/>
      </c>
    </row>
    <row r="2143">
      <c r="A2143">
        <f>IF($B2143="","",INDEX(Dossiers!$E$4:$E$63,41))</f>
        <v/>
      </c>
      <c r="B2143">
        <f>IF(INDEX(Suivi!$B:$B,2184)="","",INDEX(Suivi!$B:$B,2184))</f>
        <v/>
      </c>
      <c r="C2143">
        <f>IF($B2143="","",IF(INDEX(Suivi!$D:$D,2184)="",INDEX(Suivi!$C:$C,2184),INDEX(Suivi!$D:$D,2184)))</f>
        <v/>
      </c>
      <c r="D2143" s="29">
        <f>IF($B2143="","",INDEX(Suivi!$E:$E,2184))</f>
        <v/>
      </c>
      <c r="E2143" s="29">
        <f>IF($B2143="","",INDEX(Suivi!$F:$F,2184))</f>
        <v/>
      </c>
      <c r="F2143">
        <f>IF($B2143="","",INDEX(Suivi!$G:$G,2184))</f>
        <v/>
      </c>
      <c r="H2143">
        <f>IF(OR($B2143="",NOT(ISNUMBER($D2143))),"",IF($E2143&lt;$D$2,"Passé",IF($D2143&gt;$F$2,"À venir","Dans la période")))</f>
        <v/>
      </c>
      <c r="I2143">
        <f>IF(OR($B2143="",NOT(ISNUMBER($D2143))),"",IF(AND($E2143&lt;$D$2,$G2143&lt;&gt;"X",$F2143&lt;&gt;"Réalisé",$F2143&lt;&gt;"Clôturé"),"RETARD",""))</f>
        <v/>
      </c>
      <c r="J2143" s="29">
        <f>IF($B2143="","",IF(INDEX(Dossiers!$F$4:$F$63,41)="","",INDEX(Dossiers!$F$4:$F$63,41)))</f>
        <v/>
      </c>
      <c r="K2143" s="29">
        <f>IF($B2143="","",IF(INDEX(Dossiers!$G$4:$G$63,41)="","",INDEX(Dossiers!$G$4:$G$63,41)))</f>
        <v/>
      </c>
    </row>
    <row r="2144">
      <c r="A2144">
        <f>IF($B2144="","",INDEX(Dossiers!$E$4:$E$63,41))</f>
        <v/>
      </c>
      <c r="B2144">
        <f>IF(INDEX(Suivi!$B:$B,2185)="","",INDEX(Suivi!$B:$B,2185))</f>
        <v/>
      </c>
      <c r="C2144">
        <f>IF($B2144="","",IF(INDEX(Suivi!$D:$D,2185)="",INDEX(Suivi!$C:$C,2185),INDEX(Suivi!$D:$D,2185)))</f>
        <v/>
      </c>
      <c r="D2144" s="29">
        <f>IF($B2144="","",INDEX(Suivi!$E:$E,2185))</f>
        <v/>
      </c>
      <c r="E2144" s="29">
        <f>IF($B2144="","",INDEX(Suivi!$F:$F,2185))</f>
        <v/>
      </c>
      <c r="F2144">
        <f>IF($B2144="","",INDEX(Suivi!$G:$G,2185))</f>
        <v/>
      </c>
      <c r="H2144">
        <f>IF(OR($B2144="",NOT(ISNUMBER($D2144))),"",IF($E2144&lt;$D$2,"Passé",IF($D2144&gt;$F$2,"À venir","Dans la période")))</f>
        <v/>
      </c>
      <c r="I2144">
        <f>IF(OR($B2144="",NOT(ISNUMBER($D2144))),"",IF(AND($E2144&lt;$D$2,$G2144&lt;&gt;"X",$F2144&lt;&gt;"Réalisé",$F2144&lt;&gt;"Clôturé"),"RETARD",""))</f>
        <v/>
      </c>
      <c r="J2144" s="29">
        <f>IF($B2144="","",IF(INDEX(Dossiers!$F$4:$F$63,41)="","",INDEX(Dossiers!$F$4:$F$63,41)))</f>
        <v/>
      </c>
      <c r="K2144" s="29">
        <f>IF($B2144="","",IF(INDEX(Dossiers!$G$4:$G$63,41)="","",INDEX(Dossiers!$G$4:$G$63,41)))</f>
        <v/>
      </c>
    </row>
    <row r="2145">
      <c r="A2145">
        <f>IF($B2145="","",INDEX(Dossiers!$E$4:$E$63,41))</f>
        <v/>
      </c>
      <c r="B2145">
        <f>IF(INDEX(Suivi!$B:$B,2186)="","",INDEX(Suivi!$B:$B,2186))</f>
        <v/>
      </c>
      <c r="C2145">
        <f>IF($B2145="","",IF(INDEX(Suivi!$D:$D,2186)="",INDEX(Suivi!$C:$C,2186),INDEX(Suivi!$D:$D,2186)))</f>
        <v/>
      </c>
      <c r="D2145" s="29">
        <f>IF($B2145="","",INDEX(Suivi!$E:$E,2186))</f>
        <v/>
      </c>
      <c r="E2145" s="29">
        <f>IF($B2145="","",INDEX(Suivi!$F:$F,2186))</f>
        <v/>
      </c>
      <c r="F2145">
        <f>IF($B2145="","",INDEX(Suivi!$G:$G,2186))</f>
        <v/>
      </c>
      <c r="H2145">
        <f>IF(OR($B2145="",NOT(ISNUMBER($D2145))),"",IF($E2145&lt;$D$2,"Passé",IF($D2145&gt;$F$2,"À venir","Dans la période")))</f>
        <v/>
      </c>
      <c r="I2145">
        <f>IF(OR($B2145="",NOT(ISNUMBER($D2145))),"",IF(AND($E2145&lt;$D$2,$G2145&lt;&gt;"X",$F2145&lt;&gt;"Réalisé",$F2145&lt;&gt;"Clôturé"),"RETARD",""))</f>
        <v/>
      </c>
      <c r="J2145" s="29">
        <f>IF($B2145="","",IF(INDEX(Dossiers!$F$4:$F$63,41)="","",INDEX(Dossiers!$F$4:$F$63,41)))</f>
        <v/>
      </c>
      <c r="K2145" s="29">
        <f>IF($B2145="","",IF(INDEX(Dossiers!$G$4:$G$63,41)="","",INDEX(Dossiers!$G$4:$G$63,41)))</f>
        <v/>
      </c>
    </row>
    <row r="2146">
      <c r="A2146">
        <f>IF($B2146="","",INDEX(Dossiers!$E$4:$E$63,41))</f>
        <v/>
      </c>
      <c r="B2146">
        <f>IF(INDEX(Suivi!$B:$B,2187)="","",INDEX(Suivi!$B:$B,2187))</f>
        <v/>
      </c>
      <c r="C2146">
        <f>IF($B2146="","",IF(INDEX(Suivi!$D:$D,2187)="",INDEX(Suivi!$C:$C,2187),INDEX(Suivi!$D:$D,2187)))</f>
        <v/>
      </c>
      <c r="D2146" s="29">
        <f>IF($B2146="","",INDEX(Suivi!$E:$E,2187))</f>
        <v/>
      </c>
      <c r="E2146" s="29">
        <f>IF($B2146="","",INDEX(Suivi!$F:$F,2187))</f>
        <v/>
      </c>
      <c r="F2146">
        <f>IF($B2146="","",INDEX(Suivi!$G:$G,2187))</f>
        <v/>
      </c>
      <c r="H2146">
        <f>IF(OR($B2146="",NOT(ISNUMBER($D2146))),"",IF($E2146&lt;$D$2,"Passé",IF($D2146&gt;$F$2,"À venir","Dans la période")))</f>
        <v/>
      </c>
      <c r="I2146">
        <f>IF(OR($B2146="",NOT(ISNUMBER($D2146))),"",IF(AND($E2146&lt;$D$2,$G2146&lt;&gt;"X",$F2146&lt;&gt;"Réalisé",$F2146&lt;&gt;"Clôturé"),"RETARD",""))</f>
        <v/>
      </c>
      <c r="J2146" s="29">
        <f>IF($B2146="","",IF(INDEX(Dossiers!$F$4:$F$63,41)="","",INDEX(Dossiers!$F$4:$F$63,41)))</f>
        <v/>
      </c>
      <c r="K2146" s="29">
        <f>IF($B2146="","",IF(INDEX(Dossiers!$G$4:$G$63,41)="","",INDEX(Dossiers!$G$4:$G$63,41)))</f>
        <v/>
      </c>
    </row>
    <row r="2147">
      <c r="A2147">
        <f>IF($B2147="","",INDEX(Dossiers!$E$4:$E$63,41))</f>
        <v/>
      </c>
      <c r="B2147">
        <f>IF(INDEX(Suivi!$B:$B,2188)="","",INDEX(Suivi!$B:$B,2188))</f>
        <v/>
      </c>
      <c r="C2147">
        <f>IF($B2147="","",IF(INDEX(Suivi!$D:$D,2188)="",INDEX(Suivi!$C:$C,2188),INDEX(Suivi!$D:$D,2188)))</f>
        <v/>
      </c>
      <c r="D2147" s="29">
        <f>IF($B2147="","",INDEX(Suivi!$E:$E,2188))</f>
        <v/>
      </c>
      <c r="E2147" s="29">
        <f>IF($B2147="","",INDEX(Suivi!$F:$F,2188))</f>
        <v/>
      </c>
      <c r="F2147">
        <f>IF($B2147="","",INDEX(Suivi!$G:$G,2188))</f>
        <v/>
      </c>
      <c r="H2147">
        <f>IF(OR($B2147="",NOT(ISNUMBER($D2147))),"",IF($E2147&lt;$D$2,"Passé",IF($D2147&gt;$F$2,"À venir","Dans la période")))</f>
        <v/>
      </c>
      <c r="I2147">
        <f>IF(OR($B2147="",NOT(ISNUMBER($D2147))),"",IF(AND($E2147&lt;$D$2,$G2147&lt;&gt;"X",$F2147&lt;&gt;"Réalisé",$F2147&lt;&gt;"Clôturé"),"RETARD",""))</f>
        <v/>
      </c>
      <c r="J2147" s="29">
        <f>IF($B2147="","",IF(INDEX(Dossiers!$F$4:$F$63,41)="","",INDEX(Dossiers!$F$4:$F$63,41)))</f>
        <v/>
      </c>
      <c r="K2147" s="29">
        <f>IF($B2147="","",IF(INDEX(Dossiers!$G$4:$G$63,41)="","",INDEX(Dossiers!$G$4:$G$63,41)))</f>
        <v/>
      </c>
    </row>
    <row r="2148">
      <c r="A2148">
        <f>IF($B2148="","",INDEX(Dossiers!$E$4:$E$63,41))</f>
        <v/>
      </c>
      <c r="B2148">
        <f>IF(INDEX(Suivi!$B:$B,2189)="","",INDEX(Suivi!$B:$B,2189))</f>
        <v/>
      </c>
      <c r="C2148">
        <f>IF($B2148="","",IF(INDEX(Suivi!$D:$D,2189)="",INDEX(Suivi!$C:$C,2189),INDEX(Suivi!$D:$D,2189)))</f>
        <v/>
      </c>
      <c r="D2148" s="29">
        <f>IF($B2148="","",INDEX(Suivi!$E:$E,2189))</f>
        <v/>
      </c>
      <c r="E2148" s="29">
        <f>IF($B2148="","",INDEX(Suivi!$F:$F,2189))</f>
        <v/>
      </c>
      <c r="F2148">
        <f>IF($B2148="","",INDEX(Suivi!$G:$G,2189))</f>
        <v/>
      </c>
      <c r="H2148">
        <f>IF(OR($B2148="",NOT(ISNUMBER($D2148))),"",IF($E2148&lt;$D$2,"Passé",IF($D2148&gt;$F$2,"À venir","Dans la période")))</f>
        <v/>
      </c>
      <c r="I2148">
        <f>IF(OR($B2148="",NOT(ISNUMBER($D2148))),"",IF(AND($E2148&lt;$D$2,$G2148&lt;&gt;"X",$F2148&lt;&gt;"Réalisé",$F2148&lt;&gt;"Clôturé"),"RETARD",""))</f>
        <v/>
      </c>
      <c r="J2148" s="29">
        <f>IF($B2148="","",IF(INDEX(Dossiers!$F$4:$F$63,41)="","",INDEX(Dossiers!$F$4:$F$63,41)))</f>
        <v/>
      </c>
      <c r="K2148" s="29">
        <f>IF($B2148="","",IF(INDEX(Dossiers!$G$4:$G$63,41)="","",INDEX(Dossiers!$G$4:$G$63,41)))</f>
        <v/>
      </c>
    </row>
    <row r="2149">
      <c r="A2149">
        <f>IF($B2149="","",INDEX(Dossiers!$E$4:$E$63,41))</f>
        <v/>
      </c>
      <c r="B2149">
        <f>IF(INDEX(Suivi!$B:$B,2190)="","",INDEX(Suivi!$B:$B,2190))</f>
        <v/>
      </c>
      <c r="C2149">
        <f>IF($B2149="","",IF(INDEX(Suivi!$D:$D,2190)="",INDEX(Suivi!$C:$C,2190),INDEX(Suivi!$D:$D,2190)))</f>
        <v/>
      </c>
      <c r="D2149" s="29">
        <f>IF($B2149="","",INDEX(Suivi!$E:$E,2190))</f>
        <v/>
      </c>
      <c r="E2149" s="29">
        <f>IF($B2149="","",INDEX(Suivi!$F:$F,2190))</f>
        <v/>
      </c>
      <c r="F2149">
        <f>IF($B2149="","",INDEX(Suivi!$G:$G,2190))</f>
        <v/>
      </c>
      <c r="H2149">
        <f>IF(OR($B2149="",NOT(ISNUMBER($D2149))),"",IF($E2149&lt;$D$2,"Passé",IF($D2149&gt;$F$2,"À venir","Dans la période")))</f>
        <v/>
      </c>
      <c r="I2149">
        <f>IF(OR($B2149="",NOT(ISNUMBER($D2149))),"",IF(AND($E2149&lt;$D$2,$G2149&lt;&gt;"X",$F2149&lt;&gt;"Réalisé",$F2149&lt;&gt;"Clôturé"),"RETARD",""))</f>
        <v/>
      </c>
      <c r="J2149" s="29">
        <f>IF($B2149="","",IF(INDEX(Dossiers!$F$4:$F$63,41)="","",INDEX(Dossiers!$F$4:$F$63,41)))</f>
        <v/>
      </c>
      <c r="K2149" s="29">
        <f>IF($B2149="","",IF(INDEX(Dossiers!$G$4:$G$63,41)="","",INDEX(Dossiers!$G$4:$G$63,41)))</f>
        <v/>
      </c>
    </row>
    <row r="2150">
      <c r="A2150">
        <f>IF($B2150="","",INDEX(Dossiers!$E$4:$E$63,41))</f>
        <v/>
      </c>
      <c r="B2150">
        <f>IF(INDEX(Suivi!$B:$B,2191)="","",INDEX(Suivi!$B:$B,2191))</f>
        <v/>
      </c>
      <c r="C2150">
        <f>IF($B2150="","",IF(INDEX(Suivi!$D:$D,2191)="",INDEX(Suivi!$C:$C,2191),INDEX(Suivi!$D:$D,2191)))</f>
        <v/>
      </c>
      <c r="D2150" s="29">
        <f>IF($B2150="","",INDEX(Suivi!$E:$E,2191))</f>
        <v/>
      </c>
      <c r="E2150" s="29">
        <f>IF($B2150="","",INDEX(Suivi!$F:$F,2191))</f>
        <v/>
      </c>
      <c r="F2150">
        <f>IF($B2150="","",INDEX(Suivi!$G:$G,2191))</f>
        <v/>
      </c>
      <c r="H2150">
        <f>IF(OR($B2150="",NOT(ISNUMBER($D2150))),"",IF($E2150&lt;$D$2,"Passé",IF($D2150&gt;$F$2,"À venir","Dans la période")))</f>
        <v/>
      </c>
      <c r="I2150">
        <f>IF(OR($B2150="",NOT(ISNUMBER($D2150))),"",IF(AND($E2150&lt;$D$2,$G2150&lt;&gt;"X",$F2150&lt;&gt;"Réalisé",$F2150&lt;&gt;"Clôturé"),"RETARD",""))</f>
        <v/>
      </c>
      <c r="J2150" s="29">
        <f>IF($B2150="","",IF(INDEX(Dossiers!$F$4:$F$63,41)="","",INDEX(Dossiers!$F$4:$F$63,41)))</f>
        <v/>
      </c>
      <c r="K2150" s="29">
        <f>IF($B2150="","",IF(INDEX(Dossiers!$G$4:$G$63,41)="","",INDEX(Dossiers!$G$4:$G$63,41)))</f>
        <v/>
      </c>
    </row>
    <row r="2151">
      <c r="A2151">
        <f>IF($B2151="","",INDEX(Dossiers!$E$4:$E$63,41))</f>
        <v/>
      </c>
      <c r="B2151">
        <f>IF(INDEX(Suivi!$B:$B,2192)="","",INDEX(Suivi!$B:$B,2192))</f>
        <v/>
      </c>
      <c r="C2151">
        <f>IF($B2151="","",IF(INDEX(Suivi!$D:$D,2192)="",INDEX(Suivi!$C:$C,2192),INDEX(Suivi!$D:$D,2192)))</f>
        <v/>
      </c>
      <c r="D2151" s="29">
        <f>IF($B2151="","",INDEX(Suivi!$E:$E,2192))</f>
        <v/>
      </c>
      <c r="E2151" s="29">
        <f>IF($B2151="","",INDEX(Suivi!$F:$F,2192))</f>
        <v/>
      </c>
      <c r="F2151">
        <f>IF($B2151="","",INDEX(Suivi!$G:$G,2192))</f>
        <v/>
      </c>
      <c r="H2151">
        <f>IF(OR($B2151="",NOT(ISNUMBER($D2151))),"",IF($E2151&lt;$D$2,"Passé",IF($D2151&gt;$F$2,"À venir","Dans la période")))</f>
        <v/>
      </c>
      <c r="I2151">
        <f>IF(OR($B2151="",NOT(ISNUMBER($D2151))),"",IF(AND($E2151&lt;$D$2,$G2151&lt;&gt;"X",$F2151&lt;&gt;"Réalisé",$F2151&lt;&gt;"Clôturé"),"RETARD",""))</f>
        <v/>
      </c>
      <c r="J2151" s="29">
        <f>IF($B2151="","",IF(INDEX(Dossiers!$F$4:$F$63,41)="","",INDEX(Dossiers!$F$4:$F$63,41)))</f>
        <v/>
      </c>
      <c r="K2151" s="29">
        <f>IF($B2151="","",IF(INDEX(Dossiers!$G$4:$G$63,41)="","",INDEX(Dossiers!$G$4:$G$63,41)))</f>
        <v/>
      </c>
    </row>
    <row r="2152">
      <c r="A2152">
        <f>IF($B2152="","",INDEX(Dossiers!$E$4:$E$63,41))</f>
        <v/>
      </c>
      <c r="B2152">
        <f>IF(INDEX(Suivi!$B:$B,2193)="","",INDEX(Suivi!$B:$B,2193))</f>
        <v/>
      </c>
      <c r="C2152">
        <f>IF($B2152="","",IF(INDEX(Suivi!$D:$D,2193)="",INDEX(Suivi!$C:$C,2193),INDEX(Suivi!$D:$D,2193)))</f>
        <v/>
      </c>
      <c r="D2152" s="29">
        <f>IF($B2152="","",INDEX(Suivi!$E:$E,2193))</f>
        <v/>
      </c>
      <c r="E2152" s="29">
        <f>IF($B2152="","",INDEX(Suivi!$F:$F,2193))</f>
        <v/>
      </c>
      <c r="F2152">
        <f>IF($B2152="","",INDEX(Suivi!$G:$G,2193))</f>
        <v/>
      </c>
      <c r="H2152">
        <f>IF(OR($B2152="",NOT(ISNUMBER($D2152))),"",IF($E2152&lt;$D$2,"Passé",IF($D2152&gt;$F$2,"À venir","Dans la période")))</f>
        <v/>
      </c>
      <c r="I2152">
        <f>IF(OR($B2152="",NOT(ISNUMBER($D2152))),"",IF(AND($E2152&lt;$D$2,$G2152&lt;&gt;"X",$F2152&lt;&gt;"Réalisé",$F2152&lt;&gt;"Clôturé"),"RETARD",""))</f>
        <v/>
      </c>
      <c r="J2152" s="29">
        <f>IF($B2152="","",IF(INDEX(Dossiers!$F$4:$F$63,41)="","",INDEX(Dossiers!$F$4:$F$63,41)))</f>
        <v/>
      </c>
      <c r="K2152" s="29">
        <f>IF($B2152="","",IF(INDEX(Dossiers!$G$4:$G$63,41)="","",INDEX(Dossiers!$G$4:$G$63,41)))</f>
        <v/>
      </c>
    </row>
    <row r="2153">
      <c r="A2153">
        <f>IF($B2153="","",INDEX(Dossiers!$E$4:$E$63,41))</f>
        <v/>
      </c>
      <c r="B2153">
        <f>IF(INDEX(Suivi!$B:$B,2194)="","",INDEX(Suivi!$B:$B,2194))</f>
        <v/>
      </c>
      <c r="C2153">
        <f>IF($B2153="","",IF(INDEX(Suivi!$D:$D,2194)="",INDEX(Suivi!$C:$C,2194),INDEX(Suivi!$D:$D,2194)))</f>
        <v/>
      </c>
      <c r="D2153" s="29">
        <f>IF($B2153="","",INDEX(Suivi!$E:$E,2194))</f>
        <v/>
      </c>
      <c r="E2153" s="29">
        <f>IF($B2153="","",INDEX(Suivi!$F:$F,2194))</f>
        <v/>
      </c>
      <c r="F2153">
        <f>IF($B2153="","",INDEX(Suivi!$G:$G,2194))</f>
        <v/>
      </c>
      <c r="H2153">
        <f>IF(OR($B2153="",NOT(ISNUMBER($D2153))),"",IF($E2153&lt;$D$2,"Passé",IF($D2153&gt;$F$2,"À venir","Dans la période")))</f>
        <v/>
      </c>
      <c r="I2153">
        <f>IF(OR($B2153="",NOT(ISNUMBER($D2153))),"",IF(AND($E2153&lt;$D$2,$G2153&lt;&gt;"X",$F2153&lt;&gt;"Réalisé",$F2153&lt;&gt;"Clôturé"),"RETARD",""))</f>
        <v/>
      </c>
      <c r="J2153" s="29">
        <f>IF($B2153="","",IF(INDEX(Dossiers!$F$4:$F$63,41)="","",INDEX(Dossiers!$F$4:$F$63,41)))</f>
        <v/>
      </c>
      <c r="K2153" s="29">
        <f>IF($B2153="","",IF(INDEX(Dossiers!$G$4:$G$63,41)="","",INDEX(Dossiers!$G$4:$G$63,41)))</f>
        <v/>
      </c>
    </row>
    <row r="2154">
      <c r="A2154">
        <f>IF($B2154="","",INDEX(Dossiers!$E$4:$E$63,41))</f>
        <v/>
      </c>
      <c r="B2154">
        <f>IF(INDEX(Suivi!$B:$B,2195)="","",INDEX(Suivi!$B:$B,2195))</f>
        <v/>
      </c>
      <c r="C2154">
        <f>IF($B2154="","",IF(INDEX(Suivi!$D:$D,2195)="",INDEX(Suivi!$C:$C,2195),INDEX(Suivi!$D:$D,2195)))</f>
        <v/>
      </c>
      <c r="D2154" s="29">
        <f>IF($B2154="","",INDEX(Suivi!$E:$E,2195))</f>
        <v/>
      </c>
      <c r="E2154" s="29">
        <f>IF($B2154="","",INDEX(Suivi!$F:$F,2195))</f>
        <v/>
      </c>
      <c r="F2154">
        <f>IF($B2154="","",INDEX(Suivi!$G:$G,2195))</f>
        <v/>
      </c>
      <c r="H2154">
        <f>IF(OR($B2154="",NOT(ISNUMBER($D2154))),"",IF($E2154&lt;$D$2,"Passé",IF($D2154&gt;$F$2,"À venir","Dans la période")))</f>
        <v/>
      </c>
      <c r="I2154">
        <f>IF(OR($B2154="",NOT(ISNUMBER($D2154))),"",IF(AND($E2154&lt;$D$2,$G2154&lt;&gt;"X",$F2154&lt;&gt;"Réalisé",$F2154&lt;&gt;"Clôturé"),"RETARD",""))</f>
        <v/>
      </c>
      <c r="J2154" s="29">
        <f>IF($B2154="","",IF(INDEX(Dossiers!$F$4:$F$63,41)="","",INDEX(Dossiers!$F$4:$F$63,41)))</f>
        <v/>
      </c>
      <c r="K2154" s="29">
        <f>IF($B2154="","",IF(INDEX(Dossiers!$G$4:$G$63,41)="","",INDEX(Dossiers!$G$4:$G$63,41)))</f>
        <v/>
      </c>
    </row>
    <row r="2155">
      <c r="A2155">
        <f>IF($B2155="","",INDEX(Dossiers!$E$4:$E$63,41))</f>
        <v/>
      </c>
      <c r="B2155">
        <f>IF(INDEX(Suivi!$B:$B,2196)="","",INDEX(Suivi!$B:$B,2196))</f>
        <v/>
      </c>
      <c r="C2155">
        <f>IF($B2155="","",IF(INDEX(Suivi!$D:$D,2196)="",INDEX(Suivi!$C:$C,2196),INDEX(Suivi!$D:$D,2196)))</f>
        <v/>
      </c>
      <c r="D2155" s="29">
        <f>IF($B2155="","",INDEX(Suivi!$E:$E,2196))</f>
        <v/>
      </c>
      <c r="E2155" s="29">
        <f>IF($B2155="","",INDEX(Suivi!$F:$F,2196))</f>
        <v/>
      </c>
      <c r="F2155">
        <f>IF($B2155="","",INDEX(Suivi!$G:$G,2196))</f>
        <v/>
      </c>
      <c r="H2155">
        <f>IF(OR($B2155="",NOT(ISNUMBER($D2155))),"",IF($E2155&lt;$D$2,"Passé",IF($D2155&gt;$F$2,"À venir","Dans la période")))</f>
        <v/>
      </c>
      <c r="I2155">
        <f>IF(OR($B2155="",NOT(ISNUMBER($D2155))),"",IF(AND($E2155&lt;$D$2,$G2155&lt;&gt;"X",$F2155&lt;&gt;"Réalisé",$F2155&lt;&gt;"Clôturé"),"RETARD",""))</f>
        <v/>
      </c>
      <c r="J2155" s="29">
        <f>IF($B2155="","",IF(INDEX(Dossiers!$F$4:$F$63,41)="","",INDEX(Dossiers!$F$4:$F$63,41)))</f>
        <v/>
      </c>
      <c r="K2155" s="29">
        <f>IF($B2155="","",IF(INDEX(Dossiers!$G$4:$G$63,41)="","",INDEX(Dossiers!$G$4:$G$63,41)))</f>
        <v/>
      </c>
    </row>
    <row r="2156">
      <c r="A2156">
        <f>IF($B2156="","",INDEX(Dossiers!$E$4:$E$63,41))</f>
        <v/>
      </c>
      <c r="B2156">
        <f>IF(INDEX(Suivi!$B:$B,2197)="","",INDEX(Suivi!$B:$B,2197))</f>
        <v/>
      </c>
      <c r="C2156">
        <f>IF($B2156="","",IF(INDEX(Suivi!$D:$D,2197)="",INDEX(Suivi!$C:$C,2197),INDEX(Suivi!$D:$D,2197)))</f>
        <v/>
      </c>
      <c r="D2156" s="29">
        <f>IF($B2156="","",INDEX(Suivi!$E:$E,2197))</f>
        <v/>
      </c>
      <c r="E2156" s="29">
        <f>IF($B2156="","",INDEX(Suivi!$F:$F,2197))</f>
        <v/>
      </c>
      <c r="F2156">
        <f>IF($B2156="","",INDEX(Suivi!$G:$G,2197))</f>
        <v/>
      </c>
      <c r="H2156">
        <f>IF(OR($B2156="",NOT(ISNUMBER($D2156))),"",IF($E2156&lt;$D$2,"Passé",IF($D2156&gt;$F$2,"À venir","Dans la période")))</f>
        <v/>
      </c>
      <c r="I2156">
        <f>IF(OR($B2156="",NOT(ISNUMBER($D2156))),"",IF(AND($E2156&lt;$D$2,$G2156&lt;&gt;"X",$F2156&lt;&gt;"Réalisé",$F2156&lt;&gt;"Clôturé"),"RETARD",""))</f>
        <v/>
      </c>
      <c r="J2156" s="29">
        <f>IF($B2156="","",IF(INDEX(Dossiers!$F$4:$F$63,41)="","",INDEX(Dossiers!$F$4:$F$63,41)))</f>
        <v/>
      </c>
      <c r="K2156" s="29">
        <f>IF($B2156="","",IF(INDEX(Dossiers!$G$4:$G$63,41)="","",INDEX(Dossiers!$G$4:$G$63,41)))</f>
        <v/>
      </c>
    </row>
    <row r="2157">
      <c r="A2157">
        <f>IF($B2157="","",INDEX(Dossiers!$E$4:$E$63,41))</f>
        <v/>
      </c>
      <c r="B2157">
        <f>IF(INDEX(Suivi!$B:$B,2198)="","",INDEX(Suivi!$B:$B,2198))</f>
        <v/>
      </c>
      <c r="C2157">
        <f>IF($B2157="","",IF(INDEX(Suivi!$D:$D,2198)="",INDEX(Suivi!$C:$C,2198),INDEX(Suivi!$D:$D,2198)))</f>
        <v/>
      </c>
      <c r="D2157" s="29">
        <f>IF($B2157="","",INDEX(Suivi!$E:$E,2198))</f>
        <v/>
      </c>
      <c r="E2157" s="29">
        <f>IF($B2157="","",INDEX(Suivi!$F:$F,2198))</f>
        <v/>
      </c>
      <c r="F2157">
        <f>IF($B2157="","",INDEX(Suivi!$G:$G,2198))</f>
        <v/>
      </c>
      <c r="H2157">
        <f>IF(OR($B2157="",NOT(ISNUMBER($D2157))),"",IF($E2157&lt;$D$2,"Passé",IF($D2157&gt;$F$2,"À venir","Dans la période")))</f>
        <v/>
      </c>
      <c r="I2157">
        <f>IF(OR($B2157="",NOT(ISNUMBER($D2157))),"",IF(AND($E2157&lt;$D$2,$G2157&lt;&gt;"X",$F2157&lt;&gt;"Réalisé",$F2157&lt;&gt;"Clôturé"),"RETARD",""))</f>
        <v/>
      </c>
      <c r="J2157" s="29">
        <f>IF($B2157="","",IF(INDEX(Dossiers!$F$4:$F$63,41)="","",INDEX(Dossiers!$F$4:$F$63,41)))</f>
        <v/>
      </c>
      <c r="K2157" s="29">
        <f>IF($B2157="","",IF(INDEX(Dossiers!$G$4:$G$63,41)="","",INDEX(Dossiers!$G$4:$G$63,41)))</f>
        <v/>
      </c>
    </row>
    <row r="2158">
      <c r="A2158">
        <f>IF($B2158="","",INDEX(Dossiers!$E$4:$E$63,41))</f>
        <v/>
      </c>
      <c r="B2158">
        <f>IF(INDEX(Suivi!$B:$B,2199)="","",INDEX(Suivi!$B:$B,2199))</f>
        <v/>
      </c>
      <c r="C2158">
        <f>IF($B2158="","",IF(INDEX(Suivi!$D:$D,2199)="",INDEX(Suivi!$C:$C,2199),INDEX(Suivi!$D:$D,2199)))</f>
        <v/>
      </c>
      <c r="D2158" s="29">
        <f>IF($B2158="","",INDEX(Suivi!$E:$E,2199))</f>
        <v/>
      </c>
      <c r="E2158" s="29">
        <f>IF($B2158="","",INDEX(Suivi!$F:$F,2199))</f>
        <v/>
      </c>
      <c r="F2158">
        <f>IF($B2158="","",INDEX(Suivi!$G:$G,2199))</f>
        <v/>
      </c>
      <c r="H2158">
        <f>IF(OR($B2158="",NOT(ISNUMBER($D2158))),"",IF($E2158&lt;$D$2,"Passé",IF($D2158&gt;$F$2,"À venir","Dans la période")))</f>
        <v/>
      </c>
      <c r="I2158">
        <f>IF(OR($B2158="",NOT(ISNUMBER($D2158))),"",IF(AND($E2158&lt;$D$2,$G2158&lt;&gt;"X",$F2158&lt;&gt;"Réalisé",$F2158&lt;&gt;"Clôturé"),"RETARD",""))</f>
        <v/>
      </c>
      <c r="J2158" s="29">
        <f>IF($B2158="","",IF(INDEX(Dossiers!$F$4:$F$63,41)="","",INDEX(Dossiers!$F$4:$F$63,41)))</f>
        <v/>
      </c>
      <c r="K2158" s="29">
        <f>IF($B2158="","",IF(INDEX(Dossiers!$G$4:$G$63,41)="","",INDEX(Dossiers!$G$4:$G$63,41)))</f>
        <v/>
      </c>
    </row>
    <row r="2159">
      <c r="A2159">
        <f>IF($B2159="","",INDEX(Dossiers!$E$4:$E$63,41))</f>
        <v/>
      </c>
      <c r="B2159">
        <f>IF(INDEX(Suivi!$B:$B,2200)="","",INDEX(Suivi!$B:$B,2200))</f>
        <v/>
      </c>
      <c r="C2159">
        <f>IF($B2159="","",IF(INDEX(Suivi!$D:$D,2200)="",INDEX(Suivi!$C:$C,2200),INDEX(Suivi!$D:$D,2200)))</f>
        <v/>
      </c>
      <c r="D2159" s="29">
        <f>IF($B2159="","",INDEX(Suivi!$E:$E,2200))</f>
        <v/>
      </c>
      <c r="E2159" s="29">
        <f>IF($B2159="","",INDEX(Suivi!$F:$F,2200))</f>
        <v/>
      </c>
      <c r="F2159">
        <f>IF($B2159="","",INDEX(Suivi!$G:$G,2200))</f>
        <v/>
      </c>
      <c r="H2159">
        <f>IF(OR($B2159="",NOT(ISNUMBER($D2159))),"",IF($E2159&lt;$D$2,"Passé",IF($D2159&gt;$F$2,"À venir","Dans la période")))</f>
        <v/>
      </c>
      <c r="I2159">
        <f>IF(OR($B2159="",NOT(ISNUMBER($D2159))),"",IF(AND($E2159&lt;$D$2,$G2159&lt;&gt;"X",$F2159&lt;&gt;"Réalisé",$F2159&lt;&gt;"Clôturé"),"RETARD",""))</f>
        <v/>
      </c>
      <c r="J2159" s="29">
        <f>IF($B2159="","",IF(INDEX(Dossiers!$F$4:$F$63,41)="","",INDEX(Dossiers!$F$4:$F$63,41)))</f>
        <v/>
      </c>
      <c r="K2159" s="29">
        <f>IF($B2159="","",IF(INDEX(Dossiers!$G$4:$G$63,41)="","",INDEX(Dossiers!$G$4:$G$63,41)))</f>
        <v/>
      </c>
    </row>
    <row r="2160">
      <c r="A2160">
        <f>IF($B2160="","",INDEX(Dossiers!$E$4:$E$63,41))</f>
        <v/>
      </c>
      <c r="B2160">
        <f>IF(INDEX(Suivi!$B:$B,2201)="","",INDEX(Suivi!$B:$B,2201))</f>
        <v/>
      </c>
      <c r="C2160">
        <f>IF($B2160="","",IF(INDEX(Suivi!$D:$D,2201)="",INDEX(Suivi!$C:$C,2201),INDEX(Suivi!$D:$D,2201)))</f>
        <v/>
      </c>
      <c r="D2160" s="29">
        <f>IF($B2160="","",INDEX(Suivi!$E:$E,2201))</f>
        <v/>
      </c>
      <c r="E2160" s="29">
        <f>IF($B2160="","",INDEX(Suivi!$F:$F,2201))</f>
        <v/>
      </c>
      <c r="F2160">
        <f>IF($B2160="","",INDEX(Suivi!$G:$G,2201))</f>
        <v/>
      </c>
      <c r="H2160">
        <f>IF(OR($B2160="",NOT(ISNUMBER($D2160))),"",IF($E2160&lt;$D$2,"Passé",IF($D2160&gt;$F$2,"À venir","Dans la période")))</f>
        <v/>
      </c>
      <c r="I2160">
        <f>IF(OR($B2160="",NOT(ISNUMBER($D2160))),"",IF(AND($E2160&lt;$D$2,$G2160&lt;&gt;"X",$F2160&lt;&gt;"Réalisé",$F2160&lt;&gt;"Clôturé"),"RETARD",""))</f>
        <v/>
      </c>
      <c r="J2160" s="29">
        <f>IF($B2160="","",IF(INDEX(Dossiers!$F$4:$F$63,41)="","",INDEX(Dossiers!$F$4:$F$63,41)))</f>
        <v/>
      </c>
      <c r="K2160" s="29">
        <f>IF($B2160="","",IF(INDEX(Dossiers!$G$4:$G$63,41)="","",INDEX(Dossiers!$G$4:$G$63,41)))</f>
        <v/>
      </c>
    </row>
    <row r="2161">
      <c r="A2161">
        <f>IF($B2161="","",INDEX(Dossiers!$E$4:$E$63,41))</f>
        <v/>
      </c>
      <c r="B2161">
        <f>IF(INDEX(Suivi!$B:$B,2202)="","",INDEX(Suivi!$B:$B,2202))</f>
        <v/>
      </c>
      <c r="C2161">
        <f>IF($B2161="","",IF(INDEX(Suivi!$D:$D,2202)="",INDEX(Suivi!$C:$C,2202),INDEX(Suivi!$D:$D,2202)))</f>
        <v/>
      </c>
      <c r="D2161" s="29">
        <f>IF($B2161="","",INDEX(Suivi!$E:$E,2202))</f>
        <v/>
      </c>
      <c r="E2161" s="29">
        <f>IF($B2161="","",INDEX(Suivi!$F:$F,2202))</f>
        <v/>
      </c>
      <c r="F2161">
        <f>IF($B2161="","",INDEX(Suivi!$G:$G,2202))</f>
        <v/>
      </c>
      <c r="H2161">
        <f>IF(OR($B2161="",NOT(ISNUMBER($D2161))),"",IF($E2161&lt;$D$2,"Passé",IF($D2161&gt;$F$2,"À venir","Dans la période")))</f>
        <v/>
      </c>
      <c r="I2161">
        <f>IF(OR($B2161="",NOT(ISNUMBER($D2161))),"",IF(AND($E2161&lt;$D$2,$G2161&lt;&gt;"X",$F2161&lt;&gt;"Réalisé",$F2161&lt;&gt;"Clôturé"),"RETARD",""))</f>
        <v/>
      </c>
      <c r="J2161" s="29">
        <f>IF($B2161="","",IF(INDEX(Dossiers!$F$4:$F$63,41)="","",INDEX(Dossiers!$F$4:$F$63,41)))</f>
        <v/>
      </c>
      <c r="K2161" s="29">
        <f>IF($B2161="","",IF(INDEX(Dossiers!$G$4:$G$63,41)="","",INDEX(Dossiers!$G$4:$G$63,41)))</f>
        <v/>
      </c>
    </row>
    <row r="2162">
      <c r="A2162">
        <f>IF($B2162="","",INDEX(Dossiers!$E$4:$E$63,41))</f>
        <v/>
      </c>
      <c r="B2162">
        <f>IF(INDEX(Suivi!$B:$B,2203)="","",INDEX(Suivi!$B:$B,2203))</f>
        <v/>
      </c>
      <c r="C2162">
        <f>IF($B2162="","",IF(INDEX(Suivi!$D:$D,2203)="",INDEX(Suivi!$C:$C,2203),INDEX(Suivi!$D:$D,2203)))</f>
        <v/>
      </c>
      <c r="D2162" s="29">
        <f>IF($B2162="","",INDEX(Suivi!$E:$E,2203))</f>
        <v/>
      </c>
      <c r="E2162" s="29">
        <f>IF($B2162="","",INDEX(Suivi!$F:$F,2203))</f>
        <v/>
      </c>
      <c r="F2162">
        <f>IF($B2162="","",INDEX(Suivi!$G:$G,2203))</f>
        <v/>
      </c>
      <c r="H2162">
        <f>IF(OR($B2162="",NOT(ISNUMBER($D2162))),"",IF($E2162&lt;$D$2,"Passé",IF($D2162&gt;$F$2,"À venir","Dans la période")))</f>
        <v/>
      </c>
      <c r="I2162">
        <f>IF(OR($B2162="",NOT(ISNUMBER($D2162))),"",IF(AND($E2162&lt;$D$2,$G2162&lt;&gt;"X",$F2162&lt;&gt;"Réalisé",$F2162&lt;&gt;"Clôturé"),"RETARD",""))</f>
        <v/>
      </c>
      <c r="J2162" s="29">
        <f>IF($B2162="","",IF(INDEX(Dossiers!$F$4:$F$63,41)="","",INDEX(Dossiers!$F$4:$F$63,41)))</f>
        <v/>
      </c>
      <c r="K2162" s="29">
        <f>IF($B2162="","",IF(INDEX(Dossiers!$G$4:$G$63,41)="","",INDEX(Dossiers!$G$4:$G$63,41)))</f>
        <v/>
      </c>
    </row>
    <row r="2163">
      <c r="A2163">
        <f>IF($B2163="","",INDEX(Dossiers!$E$4:$E$63,41))</f>
        <v/>
      </c>
      <c r="B2163">
        <f>IF(INDEX(Suivi!$B:$B,2204)="","",INDEX(Suivi!$B:$B,2204))</f>
        <v/>
      </c>
      <c r="C2163">
        <f>IF($B2163="","",IF(INDEX(Suivi!$D:$D,2204)="",INDEX(Suivi!$C:$C,2204),INDEX(Suivi!$D:$D,2204)))</f>
        <v/>
      </c>
      <c r="D2163" s="29">
        <f>IF($B2163="","",INDEX(Suivi!$E:$E,2204))</f>
        <v/>
      </c>
      <c r="E2163" s="29">
        <f>IF($B2163="","",INDEX(Suivi!$F:$F,2204))</f>
        <v/>
      </c>
      <c r="F2163">
        <f>IF($B2163="","",INDEX(Suivi!$G:$G,2204))</f>
        <v/>
      </c>
      <c r="H2163">
        <f>IF(OR($B2163="",NOT(ISNUMBER($D2163))),"",IF($E2163&lt;$D$2,"Passé",IF($D2163&gt;$F$2,"À venir","Dans la période")))</f>
        <v/>
      </c>
      <c r="I2163">
        <f>IF(OR($B2163="",NOT(ISNUMBER($D2163))),"",IF(AND($E2163&lt;$D$2,$G2163&lt;&gt;"X",$F2163&lt;&gt;"Réalisé",$F2163&lt;&gt;"Clôturé"),"RETARD",""))</f>
        <v/>
      </c>
      <c r="J2163" s="29">
        <f>IF($B2163="","",IF(INDEX(Dossiers!$F$4:$F$63,41)="","",INDEX(Dossiers!$F$4:$F$63,41)))</f>
        <v/>
      </c>
      <c r="K2163" s="29">
        <f>IF($B2163="","",IF(INDEX(Dossiers!$G$4:$G$63,41)="","",INDEX(Dossiers!$G$4:$G$63,41)))</f>
        <v/>
      </c>
    </row>
    <row r="2164">
      <c r="A2164">
        <f>IF($B2164="","",INDEX(Dossiers!$E$4:$E$63,41))</f>
        <v/>
      </c>
      <c r="B2164">
        <f>IF(INDEX(Suivi!$B:$B,2205)="","",INDEX(Suivi!$B:$B,2205))</f>
        <v/>
      </c>
      <c r="C2164">
        <f>IF($B2164="","",IF(INDEX(Suivi!$D:$D,2205)="",INDEX(Suivi!$C:$C,2205),INDEX(Suivi!$D:$D,2205)))</f>
        <v/>
      </c>
      <c r="D2164" s="29">
        <f>IF($B2164="","",INDEX(Suivi!$E:$E,2205))</f>
        <v/>
      </c>
      <c r="E2164" s="29">
        <f>IF($B2164="","",INDEX(Suivi!$F:$F,2205))</f>
        <v/>
      </c>
      <c r="F2164">
        <f>IF($B2164="","",INDEX(Suivi!$G:$G,2205))</f>
        <v/>
      </c>
      <c r="H2164">
        <f>IF(OR($B2164="",NOT(ISNUMBER($D2164))),"",IF($E2164&lt;$D$2,"Passé",IF($D2164&gt;$F$2,"À venir","Dans la période")))</f>
        <v/>
      </c>
      <c r="I2164">
        <f>IF(OR($B2164="",NOT(ISNUMBER($D2164))),"",IF(AND($E2164&lt;$D$2,$G2164&lt;&gt;"X",$F2164&lt;&gt;"Réalisé",$F2164&lt;&gt;"Clôturé"),"RETARD",""))</f>
        <v/>
      </c>
      <c r="J2164" s="29">
        <f>IF($B2164="","",IF(INDEX(Dossiers!$F$4:$F$63,41)="","",INDEX(Dossiers!$F$4:$F$63,41)))</f>
        <v/>
      </c>
      <c r="K2164" s="29">
        <f>IF($B2164="","",IF(INDEX(Dossiers!$G$4:$G$63,41)="","",INDEX(Dossiers!$G$4:$G$63,41)))</f>
        <v/>
      </c>
    </row>
    <row r="2165">
      <c r="A2165">
        <f>IF($B2165="","",INDEX(Dossiers!$E$4:$E$63,41))</f>
        <v/>
      </c>
      <c r="B2165">
        <f>IF(INDEX(Suivi!$B:$B,2206)="","",INDEX(Suivi!$B:$B,2206))</f>
        <v/>
      </c>
      <c r="C2165">
        <f>IF($B2165="","",IF(INDEX(Suivi!$D:$D,2206)="",INDEX(Suivi!$C:$C,2206),INDEX(Suivi!$D:$D,2206)))</f>
        <v/>
      </c>
      <c r="D2165" s="29">
        <f>IF($B2165="","",INDEX(Suivi!$E:$E,2206))</f>
        <v/>
      </c>
      <c r="E2165" s="29">
        <f>IF($B2165="","",INDEX(Suivi!$F:$F,2206))</f>
        <v/>
      </c>
      <c r="F2165">
        <f>IF($B2165="","",INDEX(Suivi!$G:$G,2206))</f>
        <v/>
      </c>
      <c r="H2165">
        <f>IF(OR($B2165="",NOT(ISNUMBER($D2165))),"",IF($E2165&lt;$D$2,"Passé",IF($D2165&gt;$F$2,"À venir","Dans la période")))</f>
        <v/>
      </c>
      <c r="I2165">
        <f>IF(OR($B2165="",NOT(ISNUMBER($D2165))),"",IF(AND($E2165&lt;$D$2,$G2165&lt;&gt;"X",$F2165&lt;&gt;"Réalisé",$F2165&lt;&gt;"Clôturé"),"RETARD",""))</f>
        <v/>
      </c>
      <c r="J2165" s="29">
        <f>IF($B2165="","",IF(INDEX(Dossiers!$F$4:$F$63,41)="","",INDEX(Dossiers!$F$4:$F$63,41)))</f>
        <v/>
      </c>
      <c r="K2165" s="29">
        <f>IF($B2165="","",IF(INDEX(Dossiers!$G$4:$G$63,41)="","",INDEX(Dossiers!$G$4:$G$63,41)))</f>
        <v/>
      </c>
    </row>
    <row r="2166">
      <c r="A2166">
        <f>IF($B2166="","",INDEX(Dossiers!$E$4:$E$63,41))</f>
        <v/>
      </c>
      <c r="B2166">
        <f>IF(INDEX(Suivi!$B:$B,2207)="","",INDEX(Suivi!$B:$B,2207))</f>
        <v/>
      </c>
      <c r="C2166">
        <f>IF($B2166="","",IF(INDEX(Suivi!$D:$D,2207)="",INDEX(Suivi!$C:$C,2207),INDEX(Suivi!$D:$D,2207)))</f>
        <v/>
      </c>
      <c r="D2166" s="29">
        <f>IF($B2166="","",INDEX(Suivi!$E:$E,2207))</f>
        <v/>
      </c>
      <c r="E2166" s="29">
        <f>IF($B2166="","",INDEX(Suivi!$F:$F,2207))</f>
        <v/>
      </c>
      <c r="F2166">
        <f>IF($B2166="","",INDEX(Suivi!$G:$G,2207))</f>
        <v/>
      </c>
      <c r="H2166">
        <f>IF(OR($B2166="",NOT(ISNUMBER($D2166))),"",IF($E2166&lt;$D$2,"Passé",IF($D2166&gt;$F$2,"À venir","Dans la période")))</f>
        <v/>
      </c>
      <c r="I2166">
        <f>IF(OR($B2166="",NOT(ISNUMBER($D2166))),"",IF(AND($E2166&lt;$D$2,$G2166&lt;&gt;"X",$F2166&lt;&gt;"Réalisé",$F2166&lt;&gt;"Clôturé"),"RETARD",""))</f>
        <v/>
      </c>
      <c r="J2166" s="29">
        <f>IF($B2166="","",IF(INDEX(Dossiers!$F$4:$F$63,41)="","",INDEX(Dossiers!$F$4:$F$63,41)))</f>
        <v/>
      </c>
      <c r="K2166" s="29">
        <f>IF($B2166="","",IF(INDEX(Dossiers!$G$4:$G$63,41)="","",INDEX(Dossiers!$G$4:$G$63,41)))</f>
        <v/>
      </c>
    </row>
    <row r="2167">
      <c r="A2167">
        <f>IF($B2167="","",INDEX(Dossiers!$E$4:$E$63,41))</f>
        <v/>
      </c>
      <c r="B2167">
        <f>IF(INDEX(Suivi!$B:$B,2208)="","",INDEX(Suivi!$B:$B,2208))</f>
        <v/>
      </c>
      <c r="C2167">
        <f>IF($B2167="","",IF(INDEX(Suivi!$D:$D,2208)="",INDEX(Suivi!$C:$C,2208),INDEX(Suivi!$D:$D,2208)))</f>
        <v/>
      </c>
      <c r="D2167" s="29">
        <f>IF($B2167="","",INDEX(Suivi!$E:$E,2208))</f>
        <v/>
      </c>
      <c r="E2167" s="29">
        <f>IF($B2167="","",INDEX(Suivi!$F:$F,2208))</f>
        <v/>
      </c>
      <c r="F2167">
        <f>IF($B2167="","",INDEX(Suivi!$G:$G,2208))</f>
        <v/>
      </c>
      <c r="H2167">
        <f>IF(OR($B2167="",NOT(ISNUMBER($D2167))),"",IF($E2167&lt;$D$2,"Passé",IF($D2167&gt;$F$2,"À venir","Dans la période")))</f>
        <v/>
      </c>
      <c r="I2167">
        <f>IF(OR($B2167="",NOT(ISNUMBER($D2167))),"",IF(AND($E2167&lt;$D$2,$G2167&lt;&gt;"X",$F2167&lt;&gt;"Réalisé",$F2167&lt;&gt;"Clôturé"),"RETARD",""))</f>
        <v/>
      </c>
      <c r="J2167" s="29">
        <f>IF($B2167="","",IF(INDEX(Dossiers!$F$4:$F$63,41)="","",INDEX(Dossiers!$F$4:$F$63,41)))</f>
        <v/>
      </c>
      <c r="K2167" s="29">
        <f>IF($B2167="","",IF(INDEX(Dossiers!$G$4:$G$63,41)="","",INDEX(Dossiers!$G$4:$G$63,41)))</f>
        <v/>
      </c>
    </row>
    <row r="2168">
      <c r="A2168">
        <f>IF($B2168="","",INDEX(Dossiers!$E$4:$E$63,41))</f>
        <v/>
      </c>
      <c r="B2168">
        <f>IF(INDEX(Suivi!$B:$B,2209)="","",INDEX(Suivi!$B:$B,2209))</f>
        <v/>
      </c>
      <c r="C2168">
        <f>IF($B2168="","",IF(INDEX(Suivi!$D:$D,2209)="",INDEX(Suivi!$C:$C,2209),INDEX(Suivi!$D:$D,2209)))</f>
        <v/>
      </c>
      <c r="D2168" s="29">
        <f>IF($B2168="","",INDEX(Suivi!$E:$E,2209))</f>
        <v/>
      </c>
      <c r="E2168" s="29">
        <f>IF($B2168="","",INDEX(Suivi!$F:$F,2209))</f>
        <v/>
      </c>
      <c r="F2168">
        <f>IF($B2168="","",INDEX(Suivi!$G:$G,2209))</f>
        <v/>
      </c>
      <c r="H2168">
        <f>IF(OR($B2168="",NOT(ISNUMBER($D2168))),"",IF($E2168&lt;$D$2,"Passé",IF($D2168&gt;$F$2,"À venir","Dans la période")))</f>
        <v/>
      </c>
      <c r="I2168">
        <f>IF(OR($B2168="",NOT(ISNUMBER($D2168))),"",IF(AND($E2168&lt;$D$2,$G2168&lt;&gt;"X",$F2168&lt;&gt;"Réalisé",$F2168&lt;&gt;"Clôturé"),"RETARD",""))</f>
        <v/>
      </c>
      <c r="J2168" s="29">
        <f>IF($B2168="","",IF(INDEX(Dossiers!$F$4:$F$63,41)="","",INDEX(Dossiers!$F$4:$F$63,41)))</f>
        <v/>
      </c>
      <c r="K2168" s="29">
        <f>IF($B2168="","",IF(INDEX(Dossiers!$G$4:$G$63,41)="","",INDEX(Dossiers!$G$4:$G$63,41)))</f>
        <v/>
      </c>
    </row>
    <row r="2169">
      <c r="A2169">
        <f>IF($B2169="","",INDEX(Dossiers!$E$4:$E$63,41))</f>
        <v/>
      </c>
      <c r="B2169">
        <f>IF(INDEX(Suivi!$B:$B,2210)="","",INDEX(Suivi!$B:$B,2210))</f>
        <v/>
      </c>
      <c r="C2169">
        <f>IF($B2169="","",IF(INDEX(Suivi!$D:$D,2210)="",INDEX(Suivi!$C:$C,2210),INDEX(Suivi!$D:$D,2210)))</f>
        <v/>
      </c>
      <c r="D2169" s="29">
        <f>IF($B2169="","",INDEX(Suivi!$E:$E,2210))</f>
        <v/>
      </c>
      <c r="E2169" s="29">
        <f>IF($B2169="","",INDEX(Suivi!$F:$F,2210))</f>
        <v/>
      </c>
      <c r="F2169">
        <f>IF($B2169="","",INDEX(Suivi!$G:$G,2210))</f>
        <v/>
      </c>
      <c r="H2169">
        <f>IF(OR($B2169="",NOT(ISNUMBER($D2169))),"",IF($E2169&lt;$D$2,"Passé",IF($D2169&gt;$F$2,"À venir","Dans la période")))</f>
        <v/>
      </c>
      <c r="I2169">
        <f>IF(OR($B2169="",NOT(ISNUMBER($D2169))),"",IF(AND($E2169&lt;$D$2,$G2169&lt;&gt;"X",$F2169&lt;&gt;"Réalisé",$F2169&lt;&gt;"Clôturé"),"RETARD",""))</f>
        <v/>
      </c>
      <c r="J2169" s="29">
        <f>IF($B2169="","",IF(INDEX(Dossiers!$F$4:$F$63,41)="","",INDEX(Dossiers!$F$4:$F$63,41)))</f>
        <v/>
      </c>
      <c r="K2169" s="29">
        <f>IF($B2169="","",IF(INDEX(Dossiers!$G$4:$G$63,41)="","",INDEX(Dossiers!$G$4:$G$63,41)))</f>
        <v/>
      </c>
    </row>
    <row r="2170">
      <c r="A2170">
        <f>IF($B2170="","",INDEX(Dossiers!$E$4:$E$63,41))</f>
        <v/>
      </c>
      <c r="B2170">
        <f>IF(INDEX(Suivi!$B:$B,2211)="","",INDEX(Suivi!$B:$B,2211))</f>
        <v/>
      </c>
      <c r="C2170">
        <f>IF($B2170="","",IF(INDEX(Suivi!$D:$D,2211)="",INDEX(Suivi!$C:$C,2211),INDEX(Suivi!$D:$D,2211)))</f>
        <v/>
      </c>
      <c r="D2170" s="29">
        <f>IF($B2170="","",INDEX(Suivi!$E:$E,2211))</f>
        <v/>
      </c>
      <c r="E2170" s="29">
        <f>IF($B2170="","",INDEX(Suivi!$F:$F,2211))</f>
        <v/>
      </c>
      <c r="F2170">
        <f>IF($B2170="","",INDEX(Suivi!$G:$G,2211))</f>
        <v/>
      </c>
      <c r="H2170">
        <f>IF(OR($B2170="",NOT(ISNUMBER($D2170))),"",IF($E2170&lt;$D$2,"Passé",IF($D2170&gt;$F$2,"À venir","Dans la période")))</f>
        <v/>
      </c>
      <c r="I2170">
        <f>IF(OR($B2170="",NOT(ISNUMBER($D2170))),"",IF(AND($E2170&lt;$D$2,$G2170&lt;&gt;"X",$F2170&lt;&gt;"Réalisé",$F2170&lt;&gt;"Clôturé"),"RETARD",""))</f>
        <v/>
      </c>
      <c r="J2170" s="29">
        <f>IF($B2170="","",IF(INDEX(Dossiers!$F$4:$F$63,41)="","",INDEX(Dossiers!$F$4:$F$63,41)))</f>
        <v/>
      </c>
      <c r="K2170" s="29">
        <f>IF($B2170="","",IF(INDEX(Dossiers!$G$4:$G$63,41)="","",INDEX(Dossiers!$G$4:$G$63,41)))</f>
        <v/>
      </c>
    </row>
    <row r="2171">
      <c r="A2171">
        <f>IF($B2171="","",INDEX(Dossiers!$E$4:$E$63,41))</f>
        <v/>
      </c>
      <c r="B2171">
        <f>IF(INDEX(Suivi!$B:$B,2212)="","",INDEX(Suivi!$B:$B,2212))</f>
        <v/>
      </c>
      <c r="C2171">
        <f>IF($B2171="","",IF(INDEX(Suivi!$D:$D,2212)="",INDEX(Suivi!$C:$C,2212),INDEX(Suivi!$D:$D,2212)))</f>
        <v/>
      </c>
      <c r="D2171" s="29">
        <f>IF($B2171="","",INDEX(Suivi!$E:$E,2212))</f>
        <v/>
      </c>
      <c r="E2171" s="29">
        <f>IF($B2171="","",INDEX(Suivi!$F:$F,2212))</f>
        <v/>
      </c>
      <c r="F2171">
        <f>IF($B2171="","",INDEX(Suivi!$G:$G,2212))</f>
        <v/>
      </c>
      <c r="H2171">
        <f>IF(OR($B2171="",NOT(ISNUMBER($D2171))),"",IF($E2171&lt;$D$2,"Passé",IF($D2171&gt;$F$2,"À venir","Dans la période")))</f>
        <v/>
      </c>
      <c r="I2171">
        <f>IF(OR($B2171="",NOT(ISNUMBER($D2171))),"",IF(AND($E2171&lt;$D$2,$G2171&lt;&gt;"X",$F2171&lt;&gt;"Réalisé",$F2171&lt;&gt;"Clôturé"),"RETARD",""))</f>
        <v/>
      </c>
      <c r="J2171" s="29">
        <f>IF($B2171="","",IF(INDEX(Dossiers!$F$4:$F$63,41)="","",INDEX(Dossiers!$F$4:$F$63,41)))</f>
        <v/>
      </c>
      <c r="K2171" s="29">
        <f>IF($B2171="","",IF(INDEX(Dossiers!$G$4:$G$63,41)="","",INDEX(Dossiers!$G$4:$G$63,41)))</f>
        <v/>
      </c>
    </row>
    <row r="2172">
      <c r="A2172">
        <f>IF($B2172="","",INDEX(Dossiers!$E$4:$E$63,41))</f>
        <v/>
      </c>
      <c r="B2172">
        <f>IF(INDEX(Suivi!$B:$B,2213)="","",INDEX(Suivi!$B:$B,2213))</f>
        <v/>
      </c>
      <c r="C2172">
        <f>IF($B2172="","",IF(INDEX(Suivi!$D:$D,2213)="",INDEX(Suivi!$C:$C,2213),INDEX(Suivi!$D:$D,2213)))</f>
        <v/>
      </c>
      <c r="D2172" s="29">
        <f>IF($B2172="","",INDEX(Suivi!$E:$E,2213))</f>
        <v/>
      </c>
      <c r="E2172" s="29">
        <f>IF($B2172="","",INDEX(Suivi!$F:$F,2213))</f>
        <v/>
      </c>
      <c r="F2172">
        <f>IF($B2172="","",INDEX(Suivi!$G:$G,2213))</f>
        <v/>
      </c>
      <c r="H2172">
        <f>IF(OR($B2172="",NOT(ISNUMBER($D2172))),"",IF($E2172&lt;$D$2,"Passé",IF($D2172&gt;$F$2,"À venir","Dans la période")))</f>
        <v/>
      </c>
      <c r="I2172">
        <f>IF(OR($B2172="",NOT(ISNUMBER($D2172))),"",IF(AND($E2172&lt;$D$2,$G2172&lt;&gt;"X",$F2172&lt;&gt;"Réalisé",$F2172&lt;&gt;"Clôturé"),"RETARD",""))</f>
        <v/>
      </c>
      <c r="J2172" s="29">
        <f>IF($B2172="","",IF(INDEX(Dossiers!$F$4:$F$63,41)="","",INDEX(Dossiers!$F$4:$F$63,41)))</f>
        <v/>
      </c>
      <c r="K2172" s="29">
        <f>IF($B2172="","",IF(INDEX(Dossiers!$G$4:$G$63,41)="","",INDEX(Dossiers!$G$4:$G$63,41)))</f>
        <v/>
      </c>
    </row>
    <row r="2173">
      <c r="A2173">
        <f>IF($B2173="","",INDEX(Dossiers!$E$4:$E$63,41))</f>
        <v/>
      </c>
      <c r="B2173">
        <f>IF(INDEX(Suivi!$B:$B,2214)="","",INDEX(Suivi!$B:$B,2214))</f>
        <v/>
      </c>
      <c r="C2173">
        <f>IF($B2173="","",IF(INDEX(Suivi!$D:$D,2214)="",INDEX(Suivi!$C:$C,2214),INDEX(Suivi!$D:$D,2214)))</f>
        <v/>
      </c>
      <c r="D2173" s="29">
        <f>IF($B2173="","",INDEX(Suivi!$E:$E,2214))</f>
        <v/>
      </c>
      <c r="E2173" s="29">
        <f>IF($B2173="","",INDEX(Suivi!$F:$F,2214))</f>
        <v/>
      </c>
      <c r="F2173">
        <f>IF($B2173="","",INDEX(Suivi!$G:$G,2214))</f>
        <v/>
      </c>
      <c r="H2173">
        <f>IF(OR($B2173="",NOT(ISNUMBER($D2173))),"",IF($E2173&lt;$D$2,"Passé",IF($D2173&gt;$F$2,"À venir","Dans la période")))</f>
        <v/>
      </c>
      <c r="I2173">
        <f>IF(OR($B2173="",NOT(ISNUMBER($D2173))),"",IF(AND($E2173&lt;$D$2,$G2173&lt;&gt;"X",$F2173&lt;&gt;"Réalisé",$F2173&lt;&gt;"Clôturé"),"RETARD",""))</f>
        <v/>
      </c>
      <c r="J2173" s="29">
        <f>IF($B2173="","",IF(INDEX(Dossiers!$F$4:$F$63,41)="","",INDEX(Dossiers!$F$4:$F$63,41)))</f>
        <v/>
      </c>
      <c r="K2173" s="29">
        <f>IF($B2173="","",IF(INDEX(Dossiers!$G$4:$G$63,41)="","",INDEX(Dossiers!$G$4:$G$63,41)))</f>
        <v/>
      </c>
    </row>
    <row r="2174">
      <c r="A2174">
        <f>IF($B2174="","",INDEX(Dossiers!$E$4:$E$63,41))</f>
        <v/>
      </c>
      <c r="B2174">
        <f>IF(INDEX(Suivi!$B:$B,2215)="","",INDEX(Suivi!$B:$B,2215))</f>
        <v/>
      </c>
      <c r="C2174">
        <f>IF($B2174="","",IF(INDEX(Suivi!$D:$D,2215)="",INDEX(Suivi!$C:$C,2215),INDEX(Suivi!$D:$D,2215)))</f>
        <v/>
      </c>
      <c r="D2174" s="29">
        <f>IF($B2174="","",INDEX(Suivi!$E:$E,2215))</f>
        <v/>
      </c>
      <c r="E2174" s="29">
        <f>IF($B2174="","",INDEX(Suivi!$F:$F,2215))</f>
        <v/>
      </c>
      <c r="F2174">
        <f>IF($B2174="","",INDEX(Suivi!$G:$G,2215))</f>
        <v/>
      </c>
      <c r="H2174">
        <f>IF(OR($B2174="",NOT(ISNUMBER($D2174))),"",IF($E2174&lt;$D$2,"Passé",IF($D2174&gt;$F$2,"À venir","Dans la période")))</f>
        <v/>
      </c>
      <c r="I2174">
        <f>IF(OR($B2174="",NOT(ISNUMBER($D2174))),"",IF(AND($E2174&lt;$D$2,$G2174&lt;&gt;"X",$F2174&lt;&gt;"Réalisé",$F2174&lt;&gt;"Clôturé"),"RETARD",""))</f>
        <v/>
      </c>
      <c r="J2174" s="29">
        <f>IF($B2174="","",IF(INDEX(Dossiers!$F$4:$F$63,41)="","",INDEX(Dossiers!$F$4:$F$63,41)))</f>
        <v/>
      </c>
      <c r="K2174" s="29">
        <f>IF($B2174="","",IF(INDEX(Dossiers!$G$4:$G$63,41)="","",INDEX(Dossiers!$G$4:$G$63,41)))</f>
        <v/>
      </c>
    </row>
    <row r="2175">
      <c r="A2175">
        <f>IF($B2175="","",INDEX(Dossiers!$E$4:$E$63,41))</f>
        <v/>
      </c>
      <c r="B2175">
        <f>IF(INDEX(Suivi!$B:$B,2216)="","",INDEX(Suivi!$B:$B,2216))</f>
        <v/>
      </c>
      <c r="C2175">
        <f>IF($B2175="","",IF(INDEX(Suivi!$D:$D,2216)="",INDEX(Suivi!$C:$C,2216),INDEX(Suivi!$D:$D,2216)))</f>
        <v/>
      </c>
      <c r="D2175" s="29">
        <f>IF($B2175="","",INDEX(Suivi!$E:$E,2216))</f>
        <v/>
      </c>
      <c r="E2175" s="29">
        <f>IF($B2175="","",INDEX(Suivi!$F:$F,2216))</f>
        <v/>
      </c>
      <c r="F2175">
        <f>IF($B2175="","",INDEX(Suivi!$G:$G,2216))</f>
        <v/>
      </c>
      <c r="H2175">
        <f>IF(OR($B2175="",NOT(ISNUMBER($D2175))),"",IF($E2175&lt;$D$2,"Passé",IF($D2175&gt;$F$2,"À venir","Dans la période")))</f>
        <v/>
      </c>
      <c r="I2175">
        <f>IF(OR($B2175="",NOT(ISNUMBER($D2175))),"",IF(AND($E2175&lt;$D$2,$G2175&lt;&gt;"X",$F2175&lt;&gt;"Réalisé",$F2175&lt;&gt;"Clôturé"),"RETARD",""))</f>
        <v/>
      </c>
      <c r="J2175" s="29">
        <f>IF($B2175="","",IF(INDEX(Dossiers!$F$4:$F$63,41)="","",INDEX(Dossiers!$F$4:$F$63,41)))</f>
        <v/>
      </c>
      <c r="K2175" s="29">
        <f>IF($B2175="","",IF(INDEX(Dossiers!$G$4:$G$63,41)="","",INDEX(Dossiers!$G$4:$G$63,41)))</f>
        <v/>
      </c>
    </row>
    <row r="2176">
      <c r="A2176">
        <f>IF($B2176="","",INDEX(Dossiers!$E$4:$E$63,41))</f>
        <v/>
      </c>
      <c r="B2176">
        <f>IF(INDEX(Suivi!$B:$B,2217)="","",INDEX(Suivi!$B:$B,2217))</f>
        <v/>
      </c>
      <c r="C2176">
        <f>IF($B2176="","",IF(INDEX(Suivi!$D:$D,2217)="",INDEX(Suivi!$C:$C,2217),INDEX(Suivi!$D:$D,2217)))</f>
        <v/>
      </c>
      <c r="D2176" s="29">
        <f>IF($B2176="","",INDEX(Suivi!$E:$E,2217))</f>
        <v/>
      </c>
      <c r="E2176" s="29">
        <f>IF($B2176="","",INDEX(Suivi!$F:$F,2217))</f>
        <v/>
      </c>
      <c r="F2176">
        <f>IF($B2176="","",INDEX(Suivi!$G:$G,2217))</f>
        <v/>
      </c>
      <c r="H2176">
        <f>IF(OR($B2176="",NOT(ISNUMBER($D2176))),"",IF($E2176&lt;$D$2,"Passé",IF($D2176&gt;$F$2,"À venir","Dans la période")))</f>
        <v/>
      </c>
      <c r="I2176">
        <f>IF(OR($B2176="",NOT(ISNUMBER($D2176))),"",IF(AND($E2176&lt;$D$2,$G2176&lt;&gt;"X",$F2176&lt;&gt;"Réalisé",$F2176&lt;&gt;"Clôturé"),"RETARD",""))</f>
        <v/>
      </c>
      <c r="J2176" s="29">
        <f>IF($B2176="","",IF(INDEX(Dossiers!$F$4:$F$63,41)="","",INDEX(Dossiers!$F$4:$F$63,41)))</f>
        <v/>
      </c>
      <c r="K2176" s="29">
        <f>IF($B2176="","",IF(INDEX(Dossiers!$G$4:$G$63,41)="","",INDEX(Dossiers!$G$4:$G$63,41)))</f>
        <v/>
      </c>
    </row>
    <row r="2177">
      <c r="A2177">
        <f>IF($B2177="","",INDEX(Dossiers!$E$4:$E$63,42))</f>
        <v/>
      </c>
      <c r="B2177">
        <f>IF(INDEX(Suivi!$B:$B,2219)="","",INDEX(Suivi!$B:$B,2219))</f>
        <v/>
      </c>
      <c r="C2177">
        <f>IF($B2177="","",IF(INDEX(Suivi!$D:$D,2219)="",INDEX(Suivi!$C:$C,2219),INDEX(Suivi!$D:$D,2219)))</f>
        <v/>
      </c>
      <c r="D2177" s="29">
        <f>IF($B2177="","",INDEX(Suivi!$E:$E,2219))</f>
        <v/>
      </c>
      <c r="E2177" s="29">
        <f>IF($B2177="","",INDEX(Suivi!$F:$F,2219))</f>
        <v/>
      </c>
      <c r="F2177">
        <f>IF($B2177="","",INDEX(Suivi!$G:$G,2219))</f>
        <v/>
      </c>
      <c r="H2177">
        <f>IF(OR($B2177="",NOT(ISNUMBER($D2177))),"",IF($E2177&lt;$D$2,"Passé",IF($D2177&gt;$F$2,"À venir","Dans la période")))</f>
        <v/>
      </c>
      <c r="I2177">
        <f>IF(OR($B2177="",NOT(ISNUMBER($D2177))),"",IF(AND($E2177&lt;$D$2,$G2177&lt;&gt;"X",$F2177&lt;&gt;"Réalisé",$F2177&lt;&gt;"Clôturé"),"RETARD",""))</f>
        <v/>
      </c>
      <c r="J2177" s="29">
        <f>IF($B2177="","",IF(INDEX(Dossiers!$F$4:$F$63,42)="","",INDEX(Dossiers!$F$4:$F$63,42)))</f>
        <v/>
      </c>
      <c r="K2177" s="29">
        <f>IF($B2177="","",IF(INDEX(Dossiers!$G$4:$G$63,42)="","",INDEX(Dossiers!$G$4:$G$63,42)))</f>
        <v/>
      </c>
    </row>
    <row r="2178">
      <c r="A2178">
        <f>IF($B2178="","",INDEX(Dossiers!$E$4:$E$63,42))</f>
        <v/>
      </c>
      <c r="B2178">
        <f>IF(INDEX(Suivi!$B:$B,2220)="","",INDEX(Suivi!$B:$B,2220))</f>
        <v/>
      </c>
      <c r="C2178">
        <f>IF($B2178="","",IF(INDEX(Suivi!$D:$D,2220)="",INDEX(Suivi!$C:$C,2220),INDEX(Suivi!$D:$D,2220)))</f>
        <v/>
      </c>
      <c r="D2178" s="29">
        <f>IF($B2178="","",INDEX(Suivi!$E:$E,2220))</f>
        <v/>
      </c>
      <c r="E2178" s="29">
        <f>IF($B2178="","",INDEX(Suivi!$F:$F,2220))</f>
        <v/>
      </c>
      <c r="F2178">
        <f>IF($B2178="","",INDEX(Suivi!$G:$G,2220))</f>
        <v/>
      </c>
      <c r="H2178">
        <f>IF(OR($B2178="",NOT(ISNUMBER($D2178))),"",IF($E2178&lt;$D$2,"Passé",IF($D2178&gt;$F$2,"À venir","Dans la période")))</f>
        <v/>
      </c>
      <c r="I2178">
        <f>IF(OR($B2178="",NOT(ISNUMBER($D2178))),"",IF(AND($E2178&lt;$D$2,$G2178&lt;&gt;"X",$F2178&lt;&gt;"Réalisé",$F2178&lt;&gt;"Clôturé"),"RETARD",""))</f>
        <v/>
      </c>
      <c r="J2178" s="29">
        <f>IF($B2178="","",IF(INDEX(Dossiers!$F$4:$F$63,42)="","",INDEX(Dossiers!$F$4:$F$63,42)))</f>
        <v/>
      </c>
      <c r="K2178" s="29">
        <f>IF($B2178="","",IF(INDEX(Dossiers!$G$4:$G$63,42)="","",INDEX(Dossiers!$G$4:$G$63,42)))</f>
        <v/>
      </c>
    </row>
    <row r="2179">
      <c r="A2179">
        <f>IF($B2179="","",INDEX(Dossiers!$E$4:$E$63,42))</f>
        <v/>
      </c>
      <c r="B2179">
        <f>IF(INDEX(Suivi!$B:$B,2221)="","",INDEX(Suivi!$B:$B,2221))</f>
        <v/>
      </c>
      <c r="C2179">
        <f>IF($B2179="","",IF(INDEX(Suivi!$D:$D,2221)="",INDEX(Suivi!$C:$C,2221),INDEX(Suivi!$D:$D,2221)))</f>
        <v/>
      </c>
      <c r="D2179" s="29">
        <f>IF($B2179="","",INDEX(Suivi!$E:$E,2221))</f>
        <v/>
      </c>
      <c r="E2179" s="29">
        <f>IF($B2179="","",INDEX(Suivi!$F:$F,2221))</f>
        <v/>
      </c>
      <c r="F2179">
        <f>IF($B2179="","",INDEX(Suivi!$G:$G,2221))</f>
        <v/>
      </c>
      <c r="H2179">
        <f>IF(OR($B2179="",NOT(ISNUMBER($D2179))),"",IF($E2179&lt;$D$2,"Passé",IF($D2179&gt;$F$2,"À venir","Dans la période")))</f>
        <v/>
      </c>
      <c r="I2179">
        <f>IF(OR($B2179="",NOT(ISNUMBER($D2179))),"",IF(AND($E2179&lt;$D$2,$G2179&lt;&gt;"X",$F2179&lt;&gt;"Réalisé",$F2179&lt;&gt;"Clôturé"),"RETARD",""))</f>
        <v/>
      </c>
      <c r="J2179" s="29">
        <f>IF($B2179="","",IF(INDEX(Dossiers!$F$4:$F$63,42)="","",INDEX(Dossiers!$F$4:$F$63,42)))</f>
        <v/>
      </c>
      <c r="K2179" s="29">
        <f>IF($B2179="","",IF(INDEX(Dossiers!$G$4:$G$63,42)="","",INDEX(Dossiers!$G$4:$G$63,42)))</f>
        <v/>
      </c>
    </row>
    <row r="2180">
      <c r="A2180">
        <f>IF($B2180="","",INDEX(Dossiers!$E$4:$E$63,42))</f>
        <v/>
      </c>
      <c r="B2180">
        <f>IF(INDEX(Suivi!$B:$B,2222)="","",INDEX(Suivi!$B:$B,2222))</f>
        <v/>
      </c>
      <c r="C2180">
        <f>IF($B2180="","",IF(INDEX(Suivi!$D:$D,2222)="",INDEX(Suivi!$C:$C,2222),INDEX(Suivi!$D:$D,2222)))</f>
        <v/>
      </c>
      <c r="D2180" s="29">
        <f>IF($B2180="","",INDEX(Suivi!$E:$E,2222))</f>
        <v/>
      </c>
      <c r="E2180" s="29">
        <f>IF($B2180="","",INDEX(Suivi!$F:$F,2222))</f>
        <v/>
      </c>
      <c r="F2180">
        <f>IF($B2180="","",INDEX(Suivi!$G:$G,2222))</f>
        <v/>
      </c>
      <c r="H2180">
        <f>IF(OR($B2180="",NOT(ISNUMBER($D2180))),"",IF($E2180&lt;$D$2,"Passé",IF($D2180&gt;$F$2,"À venir","Dans la période")))</f>
        <v/>
      </c>
      <c r="I2180">
        <f>IF(OR($B2180="",NOT(ISNUMBER($D2180))),"",IF(AND($E2180&lt;$D$2,$G2180&lt;&gt;"X",$F2180&lt;&gt;"Réalisé",$F2180&lt;&gt;"Clôturé"),"RETARD",""))</f>
        <v/>
      </c>
      <c r="J2180" s="29">
        <f>IF($B2180="","",IF(INDEX(Dossiers!$F$4:$F$63,42)="","",INDEX(Dossiers!$F$4:$F$63,42)))</f>
        <v/>
      </c>
      <c r="K2180" s="29">
        <f>IF($B2180="","",IF(INDEX(Dossiers!$G$4:$G$63,42)="","",INDEX(Dossiers!$G$4:$G$63,42)))</f>
        <v/>
      </c>
    </row>
    <row r="2181">
      <c r="A2181">
        <f>IF($B2181="","",INDEX(Dossiers!$E$4:$E$63,42))</f>
        <v/>
      </c>
      <c r="B2181">
        <f>IF(INDEX(Suivi!$B:$B,2223)="","",INDEX(Suivi!$B:$B,2223))</f>
        <v/>
      </c>
      <c r="C2181">
        <f>IF($B2181="","",IF(INDEX(Suivi!$D:$D,2223)="",INDEX(Suivi!$C:$C,2223),INDEX(Suivi!$D:$D,2223)))</f>
        <v/>
      </c>
      <c r="D2181" s="29">
        <f>IF($B2181="","",INDEX(Suivi!$E:$E,2223))</f>
        <v/>
      </c>
      <c r="E2181" s="29">
        <f>IF($B2181="","",INDEX(Suivi!$F:$F,2223))</f>
        <v/>
      </c>
      <c r="F2181">
        <f>IF($B2181="","",INDEX(Suivi!$G:$G,2223))</f>
        <v/>
      </c>
      <c r="H2181">
        <f>IF(OR($B2181="",NOT(ISNUMBER($D2181))),"",IF($E2181&lt;$D$2,"Passé",IF($D2181&gt;$F$2,"À venir","Dans la période")))</f>
        <v/>
      </c>
      <c r="I2181">
        <f>IF(OR($B2181="",NOT(ISNUMBER($D2181))),"",IF(AND($E2181&lt;$D$2,$G2181&lt;&gt;"X",$F2181&lt;&gt;"Réalisé",$F2181&lt;&gt;"Clôturé"),"RETARD",""))</f>
        <v/>
      </c>
      <c r="J2181" s="29">
        <f>IF($B2181="","",IF(INDEX(Dossiers!$F$4:$F$63,42)="","",INDEX(Dossiers!$F$4:$F$63,42)))</f>
        <v/>
      </c>
      <c r="K2181" s="29">
        <f>IF($B2181="","",IF(INDEX(Dossiers!$G$4:$G$63,42)="","",INDEX(Dossiers!$G$4:$G$63,42)))</f>
        <v/>
      </c>
    </row>
    <row r="2182">
      <c r="A2182">
        <f>IF($B2182="","",INDEX(Dossiers!$E$4:$E$63,42))</f>
        <v/>
      </c>
      <c r="B2182">
        <f>IF(INDEX(Suivi!$B:$B,2224)="","",INDEX(Suivi!$B:$B,2224))</f>
        <v/>
      </c>
      <c r="C2182">
        <f>IF($B2182="","",IF(INDEX(Suivi!$D:$D,2224)="",INDEX(Suivi!$C:$C,2224),INDEX(Suivi!$D:$D,2224)))</f>
        <v/>
      </c>
      <c r="D2182" s="29">
        <f>IF($B2182="","",INDEX(Suivi!$E:$E,2224))</f>
        <v/>
      </c>
      <c r="E2182" s="29">
        <f>IF($B2182="","",INDEX(Suivi!$F:$F,2224))</f>
        <v/>
      </c>
      <c r="F2182">
        <f>IF($B2182="","",INDEX(Suivi!$G:$G,2224))</f>
        <v/>
      </c>
      <c r="H2182">
        <f>IF(OR($B2182="",NOT(ISNUMBER($D2182))),"",IF($E2182&lt;$D$2,"Passé",IF($D2182&gt;$F$2,"À venir","Dans la période")))</f>
        <v/>
      </c>
      <c r="I2182">
        <f>IF(OR($B2182="",NOT(ISNUMBER($D2182))),"",IF(AND($E2182&lt;$D$2,$G2182&lt;&gt;"X",$F2182&lt;&gt;"Réalisé",$F2182&lt;&gt;"Clôturé"),"RETARD",""))</f>
        <v/>
      </c>
      <c r="J2182" s="29">
        <f>IF($B2182="","",IF(INDEX(Dossiers!$F$4:$F$63,42)="","",INDEX(Dossiers!$F$4:$F$63,42)))</f>
        <v/>
      </c>
      <c r="K2182" s="29">
        <f>IF($B2182="","",IF(INDEX(Dossiers!$G$4:$G$63,42)="","",INDEX(Dossiers!$G$4:$G$63,42)))</f>
        <v/>
      </c>
    </row>
    <row r="2183">
      <c r="A2183">
        <f>IF($B2183="","",INDEX(Dossiers!$E$4:$E$63,42))</f>
        <v/>
      </c>
      <c r="B2183">
        <f>IF(INDEX(Suivi!$B:$B,2225)="","",INDEX(Suivi!$B:$B,2225))</f>
        <v/>
      </c>
      <c r="C2183">
        <f>IF($B2183="","",IF(INDEX(Suivi!$D:$D,2225)="",INDEX(Suivi!$C:$C,2225),INDEX(Suivi!$D:$D,2225)))</f>
        <v/>
      </c>
      <c r="D2183" s="29">
        <f>IF($B2183="","",INDEX(Suivi!$E:$E,2225))</f>
        <v/>
      </c>
      <c r="E2183" s="29">
        <f>IF($B2183="","",INDEX(Suivi!$F:$F,2225))</f>
        <v/>
      </c>
      <c r="F2183">
        <f>IF($B2183="","",INDEX(Suivi!$G:$G,2225))</f>
        <v/>
      </c>
      <c r="H2183">
        <f>IF(OR($B2183="",NOT(ISNUMBER($D2183))),"",IF($E2183&lt;$D$2,"Passé",IF($D2183&gt;$F$2,"À venir","Dans la période")))</f>
        <v/>
      </c>
      <c r="I2183">
        <f>IF(OR($B2183="",NOT(ISNUMBER($D2183))),"",IF(AND($E2183&lt;$D$2,$G2183&lt;&gt;"X",$F2183&lt;&gt;"Réalisé",$F2183&lt;&gt;"Clôturé"),"RETARD",""))</f>
        <v/>
      </c>
      <c r="J2183" s="29">
        <f>IF($B2183="","",IF(INDEX(Dossiers!$F$4:$F$63,42)="","",INDEX(Dossiers!$F$4:$F$63,42)))</f>
        <v/>
      </c>
      <c r="K2183" s="29">
        <f>IF($B2183="","",IF(INDEX(Dossiers!$G$4:$G$63,42)="","",INDEX(Dossiers!$G$4:$G$63,42)))</f>
        <v/>
      </c>
    </row>
    <row r="2184">
      <c r="A2184">
        <f>IF($B2184="","",INDEX(Dossiers!$E$4:$E$63,42))</f>
        <v/>
      </c>
      <c r="B2184">
        <f>IF(INDEX(Suivi!$B:$B,2226)="","",INDEX(Suivi!$B:$B,2226))</f>
        <v/>
      </c>
      <c r="C2184">
        <f>IF($B2184="","",IF(INDEX(Suivi!$D:$D,2226)="",INDEX(Suivi!$C:$C,2226),INDEX(Suivi!$D:$D,2226)))</f>
        <v/>
      </c>
      <c r="D2184" s="29">
        <f>IF($B2184="","",INDEX(Suivi!$E:$E,2226))</f>
        <v/>
      </c>
      <c r="E2184" s="29">
        <f>IF($B2184="","",INDEX(Suivi!$F:$F,2226))</f>
        <v/>
      </c>
      <c r="F2184">
        <f>IF($B2184="","",INDEX(Suivi!$G:$G,2226))</f>
        <v/>
      </c>
      <c r="H2184">
        <f>IF(OR($B2184="",NOT(ISNUMBER($D2184))),"",IF($E2184&lt;$D$2,"Passé",IF($D2184&gt;$F$2,"À venir","Dans la période")))</f>
        <v/>
      </c>
      <c r="I2184">
        <f>IF(OR($B2184="",NOT(ISNUMBER($D2184))),"",IF(AND($E2184&lt;$D$2,$G2184&lt;&gt;"X",$F2184&lt;&gt;"Réalisé",$F2184&lt;&gt;"Clôturé"),"RETARD",""))</f>
        <v/>
      </c>
      <c r="J2184" s="29">
        <f>IF($B2184="","",IF(INDEX(Dossiers!$F$4:$F$63,42)="","",INDEX(Dossiers!$F$4:$F$63,42)))</f>
        <v/>
      </c>
      <c r="K2184" s="29">
        <f>IF($B2184="","",IF(INDEX(Dossiers!$G$4:$G$63,42)="","",INDEX(Dossiers!$G$4:$G$63,42)))</f>
        <v/>
      </c>
    </row>
    <row r="2185">
      <c r="A2185">
        <f>IF($B2185="","",INDEX(Dossiers!$E$4:$E$63,42))</f>
        <v/>
      </c>
      <c r="B2185">
        <f>IF(INDEX(Suivi!$B:$B,2227)="","",INDEX(Suivi!$B:$B,2227))</f>
        <v/>
      </c>
      <c r="C2185">
        <f>IF($B2185="","",IF(INDEX(Suivi!$D:$D,2227)="",INDEX(Suivi!$C:$C,2227),INDEX(Suivi!$D:$D,2227)))</f>
        <v/>
      </c>
      <c r="D2185" s="29">
        <f>IF($B2185="","",INDEX(Suivi!$E:$E,2227))</f>
        <v/>
      </c>
      <c r="E2185" s="29">
        <f>IF($B2185="","",INDEX(Suivi!$F:$F,2227))</f>
        <v/>
      </c>
      <c r="F2185">
        <f>IF($B2185="","",INDEX(Suivi!$G:$G,2227))</f>
        <v/>
      </c>
      <c r="H2185">
        <f>IF(OR($B2185="",NOT(ISNUMBER($D2185))),"",IF($E2185&lt;$D$2,"Passé",IF($D2185&gt;$F$2,"À venir","Dans la période")))</f>
        <v/>
      </c>
      <c r="I2185">
        <f>IF(OR($B2185="",NOT(ISNUMBER($D2185))),"",IF(AND($E2185&lt;$D$2,$G2185&lt;&gt;"X",$F2185&lt;&gt;"Réalisé",$F2185&lt;&gt;"Clôturé"),"RETARD",""))</f>
        <v/>
      </c>
      <c r="J2185" s="29">
        <f>IF($B2185="","",IF(INDEX(Dossiers!$F$4:$F$63,42)="","",INDEX(Dossiers!$F$4:$F$63,42)))</f>
        <v/>
      </c>
      <c r="K2185" s="29">
        <f>IF($B2185="","",IF(INDEX(Dossiers!$G$4:$G$63,42)="","",INDEX(Dossiers!$G$4:$G$63,42)))</f>
        <v/>
      </c>
    </row>
    <row r="2186">
      <c r="A2186">
        <f>IF($B2186="","",INDEX(Dossiers!$E$4:$E$63,42))</f>
        <v/>
      </c>
      <c r="B2186">
        <f>IF(INDEX(Suivi!$B:$B,2228)="","",INDEX(Suivi!$B:$B,2228))</f>
        <v/>
      </c>
      <c r="C2186">
        <f>IF($B2186="","",IF(INDEX(Suivi!$D:$D,2228)="",INDEX(Suivi!$C:$C,2228),INDEX(Suivi!$D:$D,2228)))</f>
        <v/>
      </c>
      <c r="D2186" s="29">
        <f>IF($B2186="","",INDEX(Suivi!$E:$E,2228))</f>
        <v/>
      </c>
      <c r="E2186" s="29">
        <f>IF($B2186="","",INDEX(Suivi!$F:$F,2228))</f>
        <v/>
      </c>
      <c r="F2186">
        <f>IF($B2186="","",INDEX(Suivi!$G:$G,2228))</f>
        <v/>
      </c>
      <c r="H2186">
        <f>IF(OR($B2186="",NOT(ISNUMBER($D2186))),"",IF($E2186&lt;$D$2,"Passé",IF($D2186&gt;$F$2,"À venir","Dans la période")))</f>
        <v/>
      </c>
      <c r="I2186">
        <f>IF(OR($B2186="",NOT(ISNUMBER($D2186))),"",IF(AND($E2186&lt;$D$2,$G2186&lt;&gt;"X",$F2186&lt;&gt;"Réalisé",$F2186&lt;&gt;"Clôturé"),"RETARD",""))</f>
        <v/>
      </c>
      <c r="J2186" s="29">
        <f>IF($B2186="","",IF(INDEX(Dossiers!$F$4:$F$63,42)="","",INDEX(Dossiers!$F$4:$F$63,42)))</f>
        <v/>
      </c>
      <c r="K2186" s="29">
        <f>IF($B2186="","",IF(INDEX(Dossiers!$G$4:$G$63,42)="","",INDEX(Dossiers!$G$4:$G$63,42)))</f>
        <v/>
      </c>
    </row>
    <row r="2187">
      <c r="A2187">
        <f>IF($B2187="","",INDEX(Dossiers!$E$4:$E$63,42))</f>
        <v/>
      </c>
      <c r="B2187">
        <f>IF(INDEX(Suivi!$B:$B,2229)="","",INDEX(Suivi!$B:$B,2229))</f>
        <v/>
      </c>
      <c r="C2187">
        <f>IF($B2187="","",IF(INDEX(Suivi!$D:$D,2229)="",INDEX(Suivi!$C:$C,2229),INDEX(Suivi!$D:$D,2229)))</f>
        <v/>
      </c>
      <c r="D2187" s="29">
        <f>IF($B2187="","",INDEX(Suivi!$E:$E,2229))</f>
        <v/>
      </c>
      <c r="E2187" s="29">
        <f>IF($B2187="","",INDEX(Suivi!$F:$F,2229))</f>
        <v/>
      </c>
      <c r="F2187">
        <f>IF($B2187="","",INDEX(Suivi!$G:$G,2229))</f>
        <v/>
      </c>
      <c r="H2187">
        <f>IF(OR($B2187="",NOT(ISNUMBER($D2187))),"",IF($E2187&lt;$D$2,"Passé",IF($D2187&gt;$F$2,"À venir","Dans la période")))</f>
        <v/>
      </c>
      <c r="I2187">
        <f>IF(OR($B2187="",NOT(ISNUMBER($D2187))),"",IF(AND($E2187&lt;$D$2,$G2187&lt;&gt;"X",$F2187&lt;&gt;"Réalisé",$F2187&lt;&gt;"Clôturé"),"RETARD",""))</f>
        <v/>
      </c>
      <c r="J2187" s="29">
        <f>IF($B2187="","",IF(INDEX(Dossiers!$F$4:$F$63,42)="","",INDEX(Dossiers!$F$4:$F$63,42)))</f>
        <v/>
      </c>
      <c r="K2187" s="29">
        <f>IF($B2187="","",IF(INDEX(Dossiers!$G$4:$G$63,42)="","",INDEX(Dossiers!$G$4:$G$63,42)))</f>
        <v/>
      </c>
    </row>
    <row r="2188">
      <c r="A2188">
        <f>IF($B2188="","",INDEX(Dossiers!$E$4:$E$63,42))</f>
        <v/>
      </c>
      <c r="B2188">
        <f>IF(INDEX(Suivi!$B:$B,2230)="","",INDEX(Suivi!$B:$B,2230))</f>
        <v/>
      </c>
      <c r="C2188">
        <f>IF($B2188="","",IF(INDEX(Suivi!$D:$D,2230)="",INDEX(Suivi!$C:$C,2230),INDEX(Suivi!$D:$D,2230)))</f>
        <v/>
      </c>
      <c r="D2188" s="29">
        <f>IF($B2188="","",INDEX(Suivi!$E:$E,2230))</f>
        <v/>
      </c>
      <c r="E2188" s="29">
        <f>IF($B2188="","",INDEX(Suivi!$F:$F,2230))</f>
        <v/>
      </c>
      <c r="F2188">
        <f>IF($B2188="","",INDEX(Suivi!$G:$G,2230))</f>
        <v/>
      </c>
      <c r="H2188">
        <f>IF(OR($B2188="",NOT(ISNUMBER($D2188))),"",IF($E2188&lt;$D$2,"Passé",IF($D2188&gt;$F$2,"À venir","Dans la période")))</f>
        <v/>
      </c>
      <c r="I2188">
        <f>IF(OR($B2188="",NOT(ISNUMBER($D2188))),"",IF(AND($E2188&lt;$D$2,$G2188&lt;&gt;"X",$F2188&lt;&gt;"Réalisé",$F2188&lt;&gt;"Clôturé"),"RETARD",""))</f>
        <v/>
      </c>
      <c r="J2188" s="29">
        <f>IF($B2188="","",IF(INDEX(Dossiers!$F$4:$F$63,42)="","",INDEX(Dossiers!$F$4:$F$63,42)))</f>
        <v/>
      </c>
      <c r="K2188" s="29">
        <f>IF($B2188="","",IF(INDEX(Dossiers!$G$4:$G$63,42)="","",INDEX(Dossiers!$G$4:$G$63,42)))</f>
        <v/>
      </c>
    </row>
    <row r="2189">
      <c r="A2189">
        <f>IF($B2189="","",INDEX(Dossiers!$E$4:$E$63,42))</f>
        <v/>
      </c>
      <c r="B2189">
        <f>IF(INDEX(Suivi!$B:$B,2231)="","",INDEX(Suivi!$B:$B,2231))</f>
        <v/>
      </c>
      <c r="C2189">
        <f>IF($B2189="","",IF(INDEX(Suivi!$D:$D,2231)="",INDEX(Suivi!$C:$C,2231),INDEX(Suivi!$D:$D,2231)))</f>
        <v/>
      </c>
      <c r="D2189" s="29">
        <f>IF($B2189="","",INDEX(Suivi!$E:$E,2231))</f>
        <v/>
      </c>
      <c r="E2189" s="29">
        <f>IF($B2189="","",INDEX(Suivi!$F:$F,2231))</f>
        <v/>
      </c>
      <c r="F2189">
        <f>IF($B2189="","",INDEX(Suivi!$G:$G,2231))</f>
        <v/>
      </c>
      <c r="H2189">
        <f>IF(OR($B2189="",NOT(ISNUMBER($D2189))),"",IF($E2189&lt;$D$2,"Passé",IF($D2189&gt;$F$2,"À venir","Dans la période")))</f>
        <v/>
      </c>
      <c r="I2189">
        <f>IF(OR($B2189="",NOT(ISNUMBER($D2189))),"",IF(AND($E2189&lt;$D$2,$G2189&lt;&gt;"X",$F2189&lt;&gt;"Réalisé",$F2189&lt;&gt;"Clôturé"),"RETARD",""))</f>
        <v/>
      </c>
      <c r="J2189" s="29">
        <f>IF($B2189="","",IF(INDEX(Dossiers!$F$4:$F$63,42)="","",INDEX(Dossiers!$F$4:$F$63,42)))</f>
        <v/>
      </c>
      <c r="K2189" s="29">
        <f>IF($B2189="","",IF(INDEX(Dossiers!$G$4:$G$63,42)="","",INDEX(Dossiers!$G$4:$G$63,42)))</f>
        <v/>
      </c>
    </row>
    <row r="2190">
      <c r="A2190">
        <f>IF($B2190="","",INDEX(Dossiers!$E$4:$E$63,42))</f>
        <v/>
      </c>
      <c r="B2190">
        <f>IF(INDEX(Suivi!$B:$B,2232)="","",INDEX(Suivi!$B:$B,2232))</f>
        <v/>
      </c>
      <c r="C2190">
        <f>IF($B2190="","",IF(INDEX(Suivi!$D:$D,2232)="",INDEX(Suivi!$C:$C,2232),INDEX(Suivi!$D:$D,2232)))</f>
        <v/>
      </c>
      <c r="D2190" s="29">
        <f>IF($B2190="","",INDEX(Suivi!$E:$E,2232))</f>
        <v/>
      </c>
      <c r="E2190" s="29">
        <f>IF($B2190="","",INDEX(Suivi!$F:$F,2232))</f>
        <v/>
      </c>
      <c r="F2190">
        <f>IF($B2190="","",INDEX(Suivi!$G:$G,2232))</f>
        <v/>
      </c>
      <c r="H2190">
        <f>IF(OR($B2190="",NOT(ISNUMBER($D2190))),"",IF($E2190&lt;$D$2,"Passé",IF($D2190&gt;$F$2,"À venir","Dans la période")))</f>
        <v/>
      </c>
      <c r="I2190">
        <f>IF(OR($B2190="",NOT(ISNUMBER($D2190))),"",IF(AND($E2190&lt;$D$2,$G2190&lt;&gt;"X",$F2190&lt;&gt;"Réalisé",$F2190&lt;&gt;"Clôturé"),"RETARD",""))</f>
        <v/>
      </c>
      <c r="J2190" s="29">
        <f>IF($B2190="","",IF(INDEX(Dossiers!$F$4:$F$63,42)="","",INDEX(Dossiers!$F$4:$F$63,42)))</f>
        <v/>
      </c>
      <c r="K2190" s="29">
        <f>IF($B2190="","",IF(INDEX(Dossiers!$G$4:$G$63,42)="","",INDEX(Dossiers!$G$4:$G$63,42)))</f>
        <v/>
      </c>
    </row>
    <row r="2191">
      <c r="A2191">
        <f>IF($B2191="","",INDEX(Dossiers!$E$4:$E$63,42))</f>
        <v/>
      </c>
      <c r="B2191">
        <f>IF(INDEX(Suivi!$B:$B,2233)="","",INDEX(Suivi!$B:$B,2233))</f>
        <v/>
      </c>
      <c r="C2191">
        <f>IF($B2191="","",IF(INDEX(Suivi!$D:$D,2233)="",INDEX(Suivi!$C:$C,2233),INDEX(Suivi!$D:$D,2233)))</f>
        <v/>
      </c>
      <c r="D2191" s="29">
        <f>IF($B2191="","",INDEX(Suivi!$E:$E,2233))</f>
        <v/>
      </c>
      <c r="E2191" s="29">
        <f>IF($B2191="","",INDEX(Suivi!$F:$F,2233))</f>
        <v/>
      </c>
      <c r="F2191">
        <f>IF($B2191="","",INDEX(Suivi!$G:$G,2233))</f>
        <v/>
      </c>
      <c r="H2191">
        <f>IF(OR($B2191="",NOT(ISNUMBER($D2191))),"",IF($E2191&lt;$D$2,"Passé",IF($D2191&gt;$F$2,"À venir","Dans la période")))</f>
        <v/>
      </c>
      <c r="I2191">
        <f>IF(OR($B2191="",NOT(ISNUMBER($D2191))),"",IF(AND($E2191&lt;$D$2,$G2191&lt;&gt;"X",$F2191&lt;&gt;"Réalisé",$F2191&lt;&gt;"Clôturé"),"RETARD",""))</f>
        <v/>
      </c>
      <c r="J2191" s="29">
        <f>IF($B2191="","",IF(INDEX(Dossiers!$F$4:$F$63,42)="","",INDEX(Dossiers!$F$4:$F$63,42)))</f>
        <v/>
      </c>
      <c r="K2191" s="29">
        <f>IF($B2191="","",IF(INDEX(Dossiers!$G$4:$G$63,42)="","",INDEX(Dossiers!$G$4:$G$63,42)))</f>
        <v/>
      </c>
    </row>
    <row r="2192">
      <c r="A2192">
        <f>IF($B2192="","",INDEX(Dossiers!$E$4:$E$63,42))</f>
        <v/>
      </c>
      <c r="B2192">
        <f>IF(INDEX(Suivi!$B:$B,2234)="","",INDEX(Suivi!$B:$B,2234))</f>
        <v/>
      </c>
      <c r="C2192">
        <f>IF($B2192="","",IF(INDEX(Suivi!$D:$D,2234)="",INDEX(Suivi!$C:$C,2234),INDEX(Suivi!$D:$D,2234)))</f>
        <v/>
      </c>
      <c r="D2192" s="29">
        <f>IF($B2192="","",INDEX(Suivi!$E:$E,2234))</f>
        <v/>
      </c>
      <c r="E2192" s="29">
        <f>IF($B2192="","",INDEX(Suivi!$F:$F,2234))</f>
        <v/>
      </c>
      <c r="F2192">
        <f>IF($B2192="","",INDEX(Suivi!$G:$G,2234))</f>
        <v/>
      </c>
      <c r="H2192">
        <f>IF(OR($B2192="",NOT(ISNUMBER($D2192))),"",IF($E2192&lt;$D$2,"Passé",IF($D2192&gt;$F$2,"À venir","Dans la période")))</f>
        <v/>
      </c>
      <c r="I2192">
        <f>IF(OR($B2192="",NOT(ISNUMBER($D2192))),"",IF(AND($E2192&lt;$D$2,$G2192&lt;&gt;"X",$F2192&lt;&gt;"Réalisé",$F2192&lt;&gt;"Clôturé"),"RETARD",""))</f>
        <v/>
      </c>
      <c r="J2192" s="29">
        <f>IF($B2192="","",IF(INDEX(Dossiers!$F$4:$F$63,42)="","",INDEX(Dossiers!$F$4:$F$63,42)))</f>
        <v/>
      </c>
      <c r="K2192" s="29">
        <f>IF($B2192="","",IF(INDEX(Dossiers!$G$4:$G$63,42)="","",INDEX(Dossiers!$G$4:$G$63,42)))</f>
        <v/>
      </c>
    </row>
    <row r="2193">
      <c r="A2193">
        <f>IF($B2193="","",INDEX(Dossiers!$E$4:$E$63,42))</f>
        <v/>
      </c>
      <c r="B2193">
        <f>IF(INDEX(Suivi!$B:$B,2235)="","",INDEX(Suivi!$B:$B,2235))</f>
        <v/>
      </c>
      <c r="C2193">
        <f>IF($B2193="","",IF(INDEX(Suivi!$D:$D,2235)="",INDEX(Suivi!$C:$C,2235),INDEX(Suivi!$D:$D,2235)))</f>
        <v/>
      </c>
      <c r="D2193" s="29">
        <f>IF($B2193="","",INDEX(Suivi!$E:$E,2235))</f>
        <v/>
      </c>
      <c r="E2193" s="29">
        <f>IF($B2193="","",INDEX(Suivi!$F:$F,2235))</f>
        <v/>
      </c>
      <c r="F2193">
        <f>IF($B2193="","",INDEX(Suivi!$G:$G,2235))</f>
        <v/>
      </c>
      <c r="H2193">
        <f>IF(OR($B2193="",NOT(ISNUMBER($D2193))),"",IF($E2193&lt;$D$2,"Passé",IF($D2193&gt;$F$2,"À venir","Dans la période")))</f>
        <v/>
      </c>
      <c r="I2193">
        <f>IF(OR($B2193="",NOT(ISNUMBER($D2193))),"",IF(AND($E2193&lt;$D$2,$G2193&lt;&gt;"X",$F2193&lt;&gt;"Réalisé",$F2193&lt;&gt;"Clôturé"),"RETARD",""))</f>
        <v/>
      </c>
      <c r="J2193" s="29">
        <f>IF($B2193="","",IF(INDEX(Dossiers!$F$4:$F$63,42)="","",INDEX(Dossiers!$F$4:$F$63,42)))</f>
        <v/>
      </c>
      <c r="K2193" s="29">
        <f>IF($B2193="","",IF(INDEX(Dossiers!$G$4:$G$63,42)="","",INDEX(Dossiers!$G$4:$G$63,42)))</f>
        <v/>
      </c>
    </row>
    <row r="2194">
      <c r="A2194">
        <f>IF($B2194="","",INDEX(Dossiers!$E$4:$E$63,42))</f>
        <v/>
      </c>
      <c r="B2194">
        <f>IF(INDEX(Suivi!$B:$B,2236)="","",INDEX(Suivi!$B:$B,2236))</f>
        <v/>
      </c>
      <c r="C2194">
        <f>IF($B2194="","",IF(INDEX(Suivi!$D:$D,2236)="",INDEX(Suivi!$C:$C,2236),INDEX(Suivi!$D:$D,2236)))</f>
        <v/>
      </c>
      <c r="D2194" s="29">
        <f>IF($B2194="","",INDEX(Suivi!$E:$E,2236))</f>
        <v/>
      </c>
      <c r="E2194" s="29">
        <f>IF($B2194="","",INDEX(Suivi!$F:$F,2236))</f>
        <v/>
      </c>
      <c r="F2194">
        <f>IF($B2194="","",INDEX(Suivi!$G:$G,2236))</f>
        <v/>
      </c>
      <c r="H2194">
        <f>IF(OR($B2194="",NOT(ISNUMBER($D2194))),"",IF($E2194&lt;$D$2,"Passé",IF($D2194&gt;$F$2,"À venir","Dans la période")))</f>
        <v/>
      </c>
      <c r="I2194">
        <f>IF(OR($B2194="",NOT(ISNUMBER($D2194))),"",IF(AND($E2194&lt;$D$2,$G2194&lt;&gt;"X",$F2194&lt;&gt;"Réalisé",$F2194&lt;&gt;"Clôturé"),"RETARD",""))</f>
        <v/>
      </c>
      <c r="J2194" s="29">
        <f>IF($B2194="","",IF(INDEX(Dossiers!$F$4:$F$63,42)="","",INDEX(Dossiers!$F$4:$F$63,42)))</f>
        <v/>
      </c>
      <c r="K2194" s="29">
        <f>IF($B2194="","",IF(INDEX(Dossiers!$G$4:$G$63,42)="","",INDEX(Dossiers!$G$4:$G$63,42)))</f>
        <v/>
      </c>
    </row>
    <row r="2195">
      <c r="A2195">
        <f>IF($B2195="","",INDEX(Dossiers!$E$4:$E$63,42))</f>
        <v/>
      </c>
      <c r="B2195">
        <f>IF(INDEX(Suivi!$B:$B,2237)="","",INDEX(Suivi!$B:$B,2237))</f>
        <v/>
      </c>
      <c r="C2195">
        <f>IF($B2195="","",IF(INDEX(Suivi!$D:$D,2237)="",INDEX(Suivi!$C:$C,2237),INDEX(Suivi!$D:$D,2237)))</f>
        <v/>
      </c>
      <c r="D2195" s="29">
        <f>IF($B2195="","",INDEX(Suivi!$E:$E,2237))</f>
        <v/>
      </c>
      <c r="E2195" s="29">
        <f>IF($B2195="","",INDEX(Suivi!$F:$F,2237))</f>
        <v/>
      </c>
      <c r="F2195">
        <f>IF($B2195="","",INDEX(Suivi!$G:$G,2237))</f>
        <v/>
      </c>
      <c r="H2195">
        <f>IF(OR($B2195="",NOT(ISNUMBER($D2195))),"",IF($E2195&lt;$D$2,"Passé",IF($D2195&gt;$F$2,"À venir","Dans la période")))</f>
        <v/>
      </c>
      <c r="I2195">
        <f>IF(OR($B2195="",NOT(ISNUMBER($D2195))),"",IF(AND($E2195&lt;$D$2,$G2195&lt;&gt;"X",$F2195&lt;&gt;"Réalisé",$F2195&lt;&gt;"Clôturé"),"RETARD",""))</f>
        <v/>
      </c>
      <c r="J2195" s="29">
        <f>IF($B2195="","",IF(INDEX(Dossiers!$F$4:$F$63,42)="","",INDEX(Dossiers!$F$4:$F$63,42)))</f>
        <v/>
      </c>
      <c r="K2195" s="29">
        <f>IF($B2195="","",IF(INDEX(Dossiers!$G$4:$G$63,42)="","",INDEX(Dossiers!$G$4:$G$63,42)))</f>
        <v/>
      </c>
    </row>
    <row r="2196">
      <c r="A2196">
        <f>IF($B2196="","",INDEX(Dossiers!$E$4:$E$63,42))</f>
        <v/>
      </c>
      <c r="B2196">
        <f>IF(INDEX(Suivi!$B:$B,2238)="","",INDEX(Suivi!$B:$B,2238))</f>
        <v/>
      </c>
      <c r="C2196">
        <f>IF($B2196="","",IF(INDEX(Suivi!$D:$D,2238)="",INDEX(Suivi!$C:$C,2238),INDEX(Suivi!$D:$D,2238)))</f>
        <v/>
      </c>
      <c r="D2196" s="29">
        <f>IF($B2196="","",INDEX(Suivi!$E:$E,2238))</f>
        <v/>
      </c>
      <c r="E2196" s="29">
        <f>IF($B2196="","",INDEX(Suivi!$F:$F,2238))</f>
        <v/>
      </c>
      <c r="F2196">
        <f>IF($B2196="","",INDEX(Suivi!$G:$G,2238))</f>
        <v/>
      </c>
      <c r="H2196">
        <f>IF(OR($B2196="",NOT(ISNUMBER($D2196))),"",IF($E2196&lt;$D$2,"Passé",IF($D2196&gt;$F$2,"À venir","Dans la période")))</f>
        <v/>
      </c>
      <c r="I2196">
        <f>IF(OR($B2196="",NOT(ISNUMBER($D2196))),"",IF(AND($E2196&lt;$D$2,$G2196&lt;&gt;"X",$F2196&lt;&gt;"Réalisé",$F2196&lt;&gt;"Clôturé"),"RETARD",""))</f>
        <v/>
      </c>
      <c r="J2196" s="29">
        <f>IF($B2196="","",IF(INDEX(Dossiers!$F$4:$F$63,42)="","",INDEX(Dossiers!$F$4:$F$63,42)))</f>
        <v/>
      </c>
      <c r="K2196" s="29">
        <f>IF($B2196="","",IF(INDEX(Dossiers!$G$4:$G$63,42)="","",INDEX(Dossiers!$G$4:$G$63,42)))</f>
        <v/>
      </c>
    </row>
    <row r="2197">
      <c r="A2197">
        <f>IF($B2197="","",INDEX(Dossiers!$E$4:$E$63,42))</f>
        <v/>
      </c>
      <c r="B2197">
        <f>IF(INDEX(Suivi!$B:$B,2239)="","",INDEX(Suivi!$B:$B,2239))</f>
        <v/>
      </c>
      <c r="C2197">
        <f>IF($B2197="","",IF(INDEX(Suivi!$D:$D,2239)="",INDEX(Suivi!$C:$C,2239),INDEX(Suivi!$D:$D,2239)))</f>
        <v/>
      </c>
      <c r="D2197" s="29">
        <f>IF($B2197="","",INDEX(Suivi!$E:$E,2239))</f>
        <v/>
      </c>
      <c r="E2197" s="29">
        <f>IF($B2197="","",INDEX(Suivi!$F:$F,2239))</f>
        <v/>
      </c>
      <c r="F2197">
        <f>IF($B2197="","",INDEX(Suivi!$G:$G,2239))</f>
        <v/>
      </c>
      <c r="H2197">
        <f>IF(OR($B2197="",NOT(ISNUMBER($D2197))),"",IF($E2197&lt;$D$2,"Passé",IF($D2197&gt;$F$2,"À venir","Dans la période")))</f>
        <v/>
      </c>
      <c r="I2197">
        <f>IF(OR($B2197="",NOT(ISNUMBER($D2197))),"",IF(AND($E2197&lt;$D$2,$G2197&lt;&gt;"X",$F2197&lt;&gt;"Réalisé",$F2197&lt;&gt;"Clôturé"),"RETARD",""))</f>
        <v/>
      </c>
      <c r="J2197" s="29">
        <f>IF($B2197="","",IF(INDEX(Dossiers!$F$4:$F$63,42)="","",INDEX(Dossiers!$F$4:$F$63,42)))</f>
        <v/>
      </c>
      <c r="K2197" s="29">
        <f>IF($B2197="","",IF(INDEX(Dossiers!$G$4:$G$63,42)="","",INDEX(Dossiers!$G$4:$G$63,42)))</f>
        <v/>
      </c>
    </row>
    <row r="2198">
      <c r="A2198">
        <f>IF($B2198="","",INDEX(Dossiers!$E$4:$E$63,42))</f>
        <v/>
      </c>
      <c r="B2198">
        <f>IF(INDEX(Suivi!$B:$B,2240)="","",INDEX(Suivi!$B:$B,2240))</f>
        <v/>
      </c>
      <c r="C2198">
        <f>IF($B2198="","",IF(INDEX(Suivi!$D:$D,2240)="",INDEX(Suivi!$C:$C,2240),INDEX(Suivi!$D:$D,2240)))</f>
        <v/>
      </c>
      <c r="D2198" s="29">
        <f>IF($B2198="","",INDEX(Suivi!$E:$E,2240))</f>
        <v/>
      </c>
      <c r="E2198" s="29">
        <f>IF($B2198="","",INDEX(Suivi!$F:$F,2240))</f>
        <v/>
      </c>
      <c r="F2198">
        <f>IF($B2198="","",INDEX(Suivi!$G:$G,2240))</f>
        <v/>
      </c>
      <c r="H2198">
        <f>IF(OR($B2198="",NOT(ISNUMBER($D2198))),"",IF($E2198&lt;$D$2,"Passé",IF($D2198&gt;$F$2,"À venir","Dans la période")))</f>
        <v/>
      </c>
      <c r="I2198">
        <f>IF(OR($B2198="",NOT(ISNUMBER($D2198))),"",IF(AND($E2198&lt;$D$2,$G2198&lt;&gt;"X",$F2198&lt;&gt;"Réalisé",$F2198&lt;&gt;"Clôturé"),"RETARD",""))</f>
        <v/>
      </c>
      <c r="J2198" s="29">
        <f>IF($B2198="","",IF(INDEX(Dossiers!$F$4:$F$63,42)="","",INDEX(Dossiers!$F$4:$F$63,42)))</f>
        <v/>
      </c>
      <c r="K2198" s="29">
        <f>IF($B2198="","",IF(INDEX(Dossiers!$G$4:$G$63,42)="","",INDEX(Dossiers!$G$4:$G$63,42)))</f>
        <v/>
      </c>
    </row>
    <row r="2199">
      <c r="A2199">
        <f>IF($B2199="","",INDEX(Dossiers!$E$4:$E$63,42))</f>
        <v/>
      </c>
      <c r="B2199">
        <f>IF(INDEX(Suivi!$B:$B,2241)="","",INDEX(Suivi!$B:$B,2241))</f>
        <v/>
      </c>
      <c r="C2199">
        <f>IF($B2199="","",IF(INDEX(Suivi!$D:$D,2241)="",INDEX(Suivi!$C:$C,2241),INDEX(Suivi!$D:$D,2241)))</f>
        <v/>
      </c>
      <c r="D2199" s="29">
        <f>IF($B2199="","",INDEX(Suivi!$E:$E,2241))</f>
        <v/>
      </c>
      <c r="E2199" s="29">
        <f>IF($B2199="","",INDEX(Suivi!$F:$F,2241))</f>
        <v/>
      </c>
      <c r="F2199">
        <f>IF($B2199="","",INDEX(Suivi!$G:$G,2241))</f>
        <v/>
      </c>
      <c r="H2199">
        <f>IF(OR($B2199="",NOT(ISNUMBER($D2199))),"",IF($E2199&lt;$D$2,"Passé",IF($D2199&gt;$F$2,"À venir","Dans la période")))</f>
        <v/>
      </c>
      <c r="I2199">
        <f>IF(OR($B2199="",NOT(ISNUMBER($D2199))),"",IF(AND($E2199&lt;$D$2,$G2199&lt;&gt;"X",$F2199&lt;&gt;"Réalisé",$F2199&lt;&gt;"Clôturé"),"RETARD",""))</f>
        <v/>
      </c>
      <c r="J2199" s="29">
        <f>IF($B2199="","",IF(INDEX(Dossiers!$F$4:$F$63,42)="","",INDEX(Dossiers!$F$4:$F$63,42)))</f>
        <v/>
      </c>
      <c r="K2199" s="29">
        <f>IF($B2199="","",IF(INDEX(Dossiers!$G$4:$G$63,42)="","",INDEX(Dossiers!$G$4:$G$63,42)))</f>
        <v/>
      </c>
    </row>
    <row r="2200">
      <c r="A2200">
        <f>IF($B2200="","",INDEX(Dossiers!$E$4:$E$63,42))</f>
        <v/>
      </c>
      <c r="B2200">
        <f>IF(INDEX(Suivi!$B:$B,2242)="","",INDEX(Suivi!$B:$B,2242))</f>
        <v/>
      </c>
      <c r="C2200">
        <f>IF($B2200="","",IF(INDEX(Suivi!$D:$D,2242)="",INDEX(Suivi!$C:$C,2242),INDEX(Suivi!$D:$D,2242)))</f>
        <v/>
      </c>
      <c r="D2200" s="29">
        <f>IF($B2200="","",INDEX(Suivi!$E:$E,2242))</f>
        <v/>
      </c>
      <c r="E2200" s="29">
        <f>IF($B2200="","",INDEX(Suivi!$F:$F,2242))</f>
        <v/>
      </c>
      <c r="F2200">
        <f>IF($B2200="","",INDEX(Suivi!$G:$G,2242))</f>
        <v/>
      </c>
      <c r="H2200">
        <f>IF(OR($B2200="",NOT(ISNUMBER($D2200))),"",IF($E2200&lt;$D$2,"Passé",IF($D2200&gt;$F$2,"À venir","Dans la période")))</f>
        <v/>
      </c>
      <c r="I2200">
        <f>IF(OR($B2200="",NOT(ISNUMBER($D2200))),"",IF(AND($E2200&lt;$D$2,$G2200&lt;&gt;"X",$F2200&lt;&gt;"Réalisé",$F2200&lt;&gt;"Clôturé"),"RETARD",""))</f>
        <v/>
      </c>
      <c r="J2200" s="29">
        <f>IF($B2200="","",IF(INDEX(Dossiers!$F$4:$F$63,42)="","",INDEX(Dossiers!$F$4:$F$63,42)))</f>
        <v/>
      </c>
      <c r="K2200" s="29">
        <f>IF($B2200="","",IF(INDEX(Dossiers!$G$4:$G$63,42)="","",INDEX(Dossiers!$G$4:$G$63,42)))</f>
        <v/>
      </c>
    </row>
    <row r="2201">
      <c r="A2201">
        <f>IF($B2201="","",INDEX(Dossiers!$E$4:$E$63,42))</f>
        <v/>
      </c>
      <c r="B2201">
        <f>IF(INDEX(Suivi!$B:$B,2243)="","",INDEX(Suivi!$B:$B,2243))</f>
        <v/>
      </c>
      <c r="C2201">
        <f>IF($B2201="","",IF(INDEX(Suivi!$D:$D,2243)="",INDEX(Suivi!$C:$C,2243),INDEX(Suivi!$D:$D,2243)))</f>
        <v/>
      </c>
      <c r="D2201" s="29">
        <f>IF($B2201="","",INDEX(Suivi!$E:$E,2243))</f>
        <v/>
      </c>
      <c r="E2201" s="29">
        <f>IF($B2201="","",INDEX(Suivi!$F:$F,2243))</f>
        <v/>
      </c>
      <c r="F2201">
        <f>IF($B2201="","",INDEX(Suivi!$G:$G,2243))</f>
        <v/>
      </c>
      <c r="H2201">
        <f>IF(OR($B2201="",NOT(ISNUMBER($D2201))),"",IF($E2201&lt;$D$2,"Passé",IF($D2201&gt;$F$2,"À venir","Dans la période")))</f>
        <v/>
      </c>
      <c r="I2201">
        <f>IF(OR($B2201="",NOT(ISNUMBER($D2201))),"",IF(AND($E2201&lt;$D$2,$G2201&lt;&gt;"X",$F2201&lt;&gt;"Réalisé",$F2201&lt;&gt;"Clôturé"),"RETARD",""))</f>
        <v/>
      </c>
      <c r="J2201" s="29">
        <f>IF($B2201="","",IF(INDEX(Dossiers!$F$4:$F$63,42)="","",INDEX(Dossiers!$F$4:$F$63,42)))</f>
        <v/>
      </c>
      <c r="K2201" s="29">
        <f>IF($B2201="","",IF(INDEX(Dossiers!$G$4:$G$63,42)="","",INDEX(Dossiers!$G$4:$G$63,42)))</f>
        <v/>
      </c>
    </row>
    <row r="2202">
      <c r="A2202">
        <f>IF($B2202="","",INDEX(Dossiers!$E$4:$E$63,42))</f>
        <v/>
      </c>
      <c r="B2202">
        <f>IF(INDEX(Suivi!$B:$B,2244)="","",INDEX(Suivi!$B:$B,2244))</f>
        <v/>
      </c>
      <c r="C2202">
        <f>IF($B2202="","",IF(INDEX(Suivi!$D:$D,2244)="",INDEX(Suivi!$C:$C,2244),INDEX(Suivi!$D:$D,2244)))</f>
        <v/>
      </c>
      <c r="D2202" s="29">
        <f>IF($B2202="","",INDEX(Suivi!$E:$E,2244))</f>
        <v/>
      </c>
      <c r="E2202" s="29">
        <f>IF($B2202="","",INDEX(Suivi!$F:$F,2244))</f>
        <v/>
      </c>
      <c r="F2202">
        <f>IF($B2202="","",INDEX(Suivi!$G:$G,2244))</f>
        <v/>
      </c>
      <c r="H2202">
        <f>IF(OR($B2202="",NOT(ISNUMBER($D2202))),"",IF($E2202&lt;$D$2,"Passé",IF($D2202&gt;$F$2,"À venir","Dans la période")))</f>
        <v/>
      </c>
      <c r="I2202">
        <f>IF(OR($B2202="",NOT(ISNUMBER($D2202))),"",IF(AND($E2202&lt;$D$2,$G2202&lt;&gt;"X",$F2202&lt;&gt;"Réalisé",$F2202&lt;&gt;"Clôturé"),"RETARD",""))</f>
        <v/>
      </c>
      <c r="J2202" s="29">
        <f>IF($B2202="","",IF(INDEX(Dossiers!$F$4:$F$63,42)="","",INDEX(Dossiers!$F$4:$F$63,42)))</f>
        <v/>
      </c>
      <c r="K2202" s="29">
        <f>IF($B2202="","",IF(INDEX(Dossiers!$G$4:$G$63,42)="","",INDEX(Dossiers!$G$4:$G$63,42)))</f>
        <v/>
      </c>
    </row>
    <row r="2203">
      <c r="A2203">
        <f>IF($B2203="","",INDEX(Dossiers!$E$4:$E$63,42))</f>
        <v/>
      </c>
      <c r="B2203">
        <f>IF(INDEX(Suivi!$B:$B,2245)="","",INDEX(Suivi!$B:$B,2245))</f>
        <v/>
      </c>
      <c r="C2203">
        <f>IF($B2203="","",IF(INDEX(Suivi!$D:$D,2245)="",INDEX(Suivi!$C:$C,2245),INDEX(Suivi!$D:$D,2245)))</f>
        <v/>
      </c>
      <c r="D2203" s="29">
        <f>IF($B2203="","",INDEX(Suivi!$E:$E,2245))</f>
        <v/>
      </c>
      <c r="E2203" s="29">
        <f>IF($B2203="","",INDEX(Suivi!$F:$F,2245))</f>
        <v/>
      </c>
      <c r="F2203">
        <f>IF($B2203="","",INDEX(Suivi!$G:$G,2245))</f>
        <v/>
      </c>
      <c r="H2203">
        <f>IF(OR($B2203="",NOT(ISNUMBER($D2203))),"",IF($E2203&lt;$D$2,"Passé",IF($D2203&gt;$F$2,"À venir","Dans la période")))</f>
        <v/>
      </c>
      <c r="I2203">
        <f>IF(OR($B2203="",NOT(ISNUMBER($D2203))),"",IF(AND($E2203&lt;$D$2,$G2203&lt;&gt;"X",$F2203&lt;&gt;"Réalisé",$F2203&lt;&gt;"Clôturé"),"RETARD",""))</f>
        <v/>
      </c>
      <c r="J2203" s="29">
        <f>IF($B2203="","",IF(INDEX(Dossiers!$F$4:$F$63,42)="","",INDEX(Dossiers!$F$4:$F$63,42)))</f>
        <v/>
      </c>
      <c r="K2203" s="29">
        <f>IF($B2203="","",IF(INDEX(Dossiers!$G$4:$G$63,42)="","",INDEX(Dossiers!$G$4:$G$63,42)))</f>
        <v/>
      </c>
    </row>
    <row r="2204">
      <c r="A2204">
        <f>IF($B2204="","",INDEX(Dossiers!$E$4:$E$63,42))</f>
        <v/>
      </c>
      <c r="B2204">
        <f>IF(INDEX(Suivi!$B:$B,2246)="","",INDEX(Suivi!$B:$B,2246))</f>
        <v/>
      </c>
      <c r="C2204">
        <f>IF($B2204="","",IF(INDEX(Suivi!$D:$D,2246)="",INDEX(Suivi!$C:$C,2246),INDEX(Suivi!$D:$D,2246)))</f>
        <v/>
      </c>
      <c r="D2204" s="29">
        <f>IF($B2204="","",INDEX(Suivi!$E:$E,2246))</f>
        <v/>
      </c>
      <c r="E2204" s="29">
        <f>IF($B2204="","",INDEX(Suivi!$F:$F,2246))</f>
        <v/>
      </c>
      <c r="F2204">
        <f>IF($B2204="","",INDEX(Suivi!$G:$G,2246))</f>
        <v/>
      </c>
      <c r="H2204">
        <f>IF(OR($B2204="",NOT(ISNUMBER($D2204))),"",IF($E2204&lt;$D$2,"Passé",IF($D2204&gt;$F$2,"À venir","Dans la période")))</f>
        <v/>
      </c>
      <c r="I2204">
        <f>IF(OR($B2204="",NOT(ISNUMBER($D2204))),"",IF(AND($E2204&lt;$D$2,$G2204&lt;&gt;"X",$F2204&lt;&gt;"Réalisé",$F2204&lt;&gt;"Clôturé"),"RETARD",""))</f>
        <v/>
      </c>
      <c r="J2204" s="29">
        <f>IF($B2204="","",IF(INDEX(Dossiers!$F$4:$F$63,42)="","",INDEX(Dossiers!$F$4:$F$63,42)))</f>
        <v/>
      </c>
      <c r="K2204" s="29">
        <f>IF($B2204="","",IF(INDEX(Dossiers!$G$4:$G$63,42)="","",INDEX(Dossiers!$G$4:$G$63,42)))</f>
        <v/>
      </c>
    </row>
    <row r="2205">
      <c r="A2205">
        <f>IF($B2205="","",INDEX(Dossiers!$E$4:$E$63,42))</f>
        <v/>
      </c>
      <c r="B2205">
        <f>IF(INDEX(Suivi!$B:$B,2247)="","",INDEX(Suivi!$B:$B,2247))</f>
        <v/>
      </c>
      <c r="C2205">
        <f>IF($B2205="","",IF(INDEX(Suivi!$D:$D,2247)="",INDEX(Suivi!$C:$C,2247),INDEX(Suivi!$D:$D,2247)))</f>
        <v/>
      </c>
      <c r="D2205" s="29">
        <f>IF($B2205="","",INDEX(Suivi!$E:$E,2247))</f>
        <v/>
      </c>
      <c r="E2205" s="29">
        <f>IF($B2205="","",INDEX(Suivi!$F:$F,2247))</f>
        <v/>
      </c>
      <c r="F2205">
        <f>IF($B2205="","",INDEX(Suivi!$G:$G,2247))</f>
        <v/>
      </c>
      <c r="H2205">
        <f>IF(OR($B2205="",NOT(ISNUMBER($D2205))),"",IF($E2205&lt;$D$2,"Passé",IF($D2205&gt;$F$2,"À venir","Dans la période")))</f>
        <v/>
      </c>
      <c r="I2205">
        <f>IF(OR($B2205="",NOT(ISNUMBER($D2205))),"",IF(AND($E2205&lt;$D$2,$G2205&lt;&gt;"X",$F2205&lt;&gt;"Réalisé",$F2205&lt;&gt;"Clôturé"),"RETARD",""))</f>
        <v/>
      </c>
      <c r="J2205" s="29">
        <f>IF($B2205="","",IF(INDEX(Dossiers!$F$4:$F$63,42)="","",INDEX(Dossiers!$F$4:$F$63,42)))</f>
        <v/>
      </c>
      <c r="K2205" s="29">
        <f>IF($B2205="","",IF(INDEX(Dossiers!$G$4:$G$63,42)="","",INDEX(Dossiers!$G$4:$G$63,42)))</f>
        <v/>
      </c>
    </row>
    <row r="2206">
      <c r="A2206">
        <f>IF($B2206="","",INDEX(Dossiers!$E$4:$E$63,42))</f>
        <v/>
      </c>
      <c r="B2206">
        <f>IF(INDEX(Suivi!$B:$B,2248)="","",INDEX(Suivi!$B:$B,2248))</f>
        <v/>
      </c>
      <c r="C2206">
        <f>IF($B2206="","",IF(INDEX(Suivi!$D:$D,2248)="",INDEX(Suivi!$C:$C,2248),INDEX(Suivi!$D:$D,2248)))</f>
        <v/>
      </c>
      <c r="D2206" s="29">
        <f>IF($B2206="","",INDEX(Suivi!$E:$E,2248))</f>
        <v/>
      </c>
      <c r="E2206" s="29">
        <f>IF($B2206="","",INDEX(Suivi!$F:$F,2248))</f>
        <v/>
      </c>
      <c r="F2206">
        <f>IF($B2206="","",INDEX(Suivi!$G:$G,2248))</f>
        <v/>
      </c>
      <c r="H2206">
        <f>IF(OR($B2206="",NOT(ISNUMBER($D2206))),"",IF($E2206&lt;$D$2,"Passé",IF($D2206&gt;$F$2,"À venir","Dans la période")))</f>
        <v/>
      </c>
      <c r="I2206">
        <f>IF(OR($B2206="",NOT(ISNUMBER($D2206))),"",IF(AND($E2206&lt;$D$2,$G2206&lt;&gt;"X",$F2206&lt;&gt;"Réalisé",$F2206&lt;&gt;"Clôturé"),"RETARD",""))</f>
        <v/>
      </c>
      <c r="J2206" s="29">
        <f>IF($B2206="","",IF(INDEX(Dossiers!$F$4:$F$63,42)="","",INDEX(Dossiers!$F$4:$F$63,42)))</f>
        <v/>
      </c>
      <c r="K2206" s="29">
        <f>IF($B2206="","",IF(INDEX(Dossiers!$G$4:$G$63,42)="","",INDEX(Dossiers!$G$4:$G$63,42)))</f>
        <v/>
      </c>
    </row>
    <row r="2207">
      <c r="A2207">
        <f>IF($B2207="","",INDEX(Dossiers!$E$4:$E$63,42))</f>
        <v/>
      </c>
      <c r="B2207">
        <f>IF(INDEX(Suivi!$B:$B,2249)="","",INDEX(Suivi!$B:$B,2249))</f>
        <v/>
      </c>
      <c r="C2207">
        <f>IF($B2207="","",IF(INDEX(Suivi!$D:$D,2249)="",INDEX(Suivi!$C:$C,2249),INDEX(Suivi!$D:$D,2249)))</f>
        <v/>
      </c>
      <c r="D2207" s="29">
        <f>IF($B2207="","",INDEX(Suivi!$E:$E,2249))</f>
        <v/>
      </c>
      <c r="E2207" s="29">
        <f>IF($B2207="","",INDEX(Suivi!$F:$F,2249))</f>
        <v/>
      </c>
      <c r="F2207">
        <f>IF($B2207="","",INDEX(Suivi!$G:$G,2249))</f>
        <v/>
      </c>
      <c r="H2207">
        <f>IF(OR($B2207="",NOT(ISNUMBER($D2207))),"",IF($E2207&lt;$D$2,"Passé",IF($D2207&gt;$F$2,"À venir","Dans la période")))</f>
        <v/>
      </c>
      <c r="I2207">
        <f>IF(OR($B2207="",NOT(ISNUMBER($D2207))),"",IF(AND($E2207&lt;$D$2,$G2207&lt;&gt;"X",$F2207&lt;&gt;"Réalisé",$F2207&lt;&gt;"Clôturé"),"RETARD",""))</f>
        <v/>
      </c>
      <c r="J2207" s="29">
        <f>IF($B2207="","",IF(INDEX(Dossiers!$F$4:$F$63,42)="","",INDEX(Dossiers!$F$4:$F$63,42)))</f>
        <v/>
      </c>
      <c r="K2207" s="29">
        <f>IF($B2207="","",IF(INDEX(Dossiers!$G$4:$G$63,42)="","",INDEX(Dossiers!$G$4:$G$63,42)))</f>
        <v/>
      </c>
    </row>
    <row r="2208">
      <c r="A2208">
        <f>IF($B2208="","",INDEX(Dossiers!$E$4:$E$63,42))</f>
        <v/>
      </c>
      <c r="B2208">
        <f>IF(INDEX(Suivi!$B:$B,2250)="","",INDEX(Suivi!$B:$B,2250))</f>
        <v/>
      </c>
      <c r="C2208">
        <f>IF($B2208="","",IF(INDEX(Suivi!$D:$D,2250)="",INDEX(Suivi!$C:$C,2250),INDEX(Suivi!$D:$D,2250)))</f>
        <v/>
      </c>
      <c r="D2208" s="29">
        <f>IF($B2208="","",INDEX(Suivi!$E:$E,2250))</f>
        <v/>
      </c>
      <c r="E2208" s="29">
        <f>IF($B2208="","",INDEX(Suivi!$F:$F,2250))</f>
        <v/>
      </c>
      <c r="F2208">
        <f>IF($B2208="","",INDEX(Suivi!$G:$G,2250))</f>
        <v/>
      </c>
      <c r="H2208">
        <f>IF(OR($B2208="",NOT(ISNUMBER($D2208))),"",IF($E2208&lt;$D$2,"Passé",IF($D2208&gt;$F$2,"À venir","Dans la période")))</f>
        <v/>
      </c>
      <c r="I2208">
        <f>IF(OR($B2208="",NOT(ISNUMBER($D2208))),"",IF(AND($E2208&lt;$D$2,$G2208&lt;&gt;"X",$F2208&lt;&gt;"Réalisé",$F2208&lt;&gt;"Clôturé"),"RETARD",""))</f>
        <v/>
      </c>
      <c r="J2208" s="29">
        <f>IF($B2208="","",IF(INDEX(Dossiers!$F$4:$F$63,42)="","",INDEX(Dossiers!$F$4:$F$63,42)))</f>
        <v/>
      </c>
      <c r="K2208" s="29">
        <f>IF($B2208="","",IF(INDEX(Dossiers!$G$4:$G$63,42)="","",INDEX(Dossiers!$G$4:$G$63,42)))</f>
        <v/>
      </c>
    </row>
    <row r="2209">
      <c r="A2209">
        <f>IF($B2209="","",INDEX(Dossiers!$E$4:$E$63,42))</f>
        <v/>
      </c>
      <c r="B2209">
        <f>IF(INDEX(Suivi!$B:$B,2251)="","",INDEX(Suivi!$B:$B,2251))</f>
        <v/>
      </c>
      <c r="C2209">
        <f>IF($B2209="","",IF(INDEX(Suivi!$D:$D,2251)="",INDEX(Suivi!$C:$C,2251),INDEX(Suivi!$D:$D,2251)))</f>
        <v/>
      </c>
      <c r="D2209" s="29">
        <f>IF($B2209="","",INDEX(Suivi!$E:$E,2251))</f>
        <v/>
      </c>
      <c r="E2209" s="29">
        <f>IF($B2209="","",INDEX(Suivi!$F:$F,2251))</f>
        <v/>
      </c>
      <c r="F2209">
        <f>IF($B2209="","",INDEX(Suivi!$G:$G,2251))</f>
        <v/>
      </c>
      <c r="H2209">
        <f>IF(OR($B2209="",NOT(ISNUMBER($D2209))),"",IF($E2209&lt;$D$2,"Passé",IF($D2209&gt;$F$2,"À venir","Dans la période")))</f>
        <v/>
      </c>
      <c r="I2209">
        <f>IF(OR($B2209="",NOT(ISNUMBER($D2209))),"",IF(AND($E2209&lt;$D$2,$G2209&lt;&gt;"X",$F2209&lt;&gt;"Réalisé",$F2209&lt;&gt;"Clôturé"),"RETARD",""))</f>
        <v/>
      </c>
      <c r="J2209" s="29">
        <f>IF($B2209="","",IF(INDEX(Dossiers!$F$4:$F$63,42)="","",INDEX(Dossiers!$F$4:$F$63,42)))</f>
        <v/>
      </c>
      <c r="K2209" s="29">
        <f>IF($B2209="","",IF(INDEX(Dossiers!$G$4:$G$63,42)="","",INDEX(Dossiers!$G$4:$G$63,42)))</f>
        <v/>
      </c>
    </row>
    <row r="2210">
      <c r="A2210">
        <f>IF($B2210="","",INDEX(Dossiers!$E$4:$E$63,42))</f>
        <v/>
      </c>
      <c r="B2210">
        <f>IF(INDEX(Suivi!$B:$B,2252)="","",INDEX(Suivi!$B:$B,2252))</f>
        <v/>
      </c>
      <c r="C2210">
        <f>IF($B2210="","",IF(INDEX(Suivi!$D:$D,2252)="",INDEX(Suivi!$C:$C,2252),INDEX(Suivi!$D:$D,2252)))</f>
        <v/>
      </c>
      <c r="D2210" s="29">
        <f>IF($B2210="","",INDEX(Suivi!$E:$E,2252))</f>
        <v/>
      </c>
      <c r="E2210" s="29">
        <f>IF($B2210="","",INDEX(Suivi!$F:$F,2252))</f>
        <v/>
      </c>
      <c r="F2210">
        <f>IF($B2210="","",INDEX(Suivi!$G:$G,2252))</f>
        <v/>
      </c>
      <c r="H2210">
        <f>IF(OR($B2210="",NOT(ISNUMBER($D2210))),"",IF($E2210&lt;$D$2,"Passé",IF($D2210&gt;$F$2,"À venir","Dans la période")))</f>
        <v/>
      </c>
      <c r="I2210">
        <f>IF(OR($B2210="",NOT(ISNUMBER($D2210))),"",IF(AND($E2210&lt;$D$2,$G2210&lt;&gt;"X",$F2210&lt;&gt;"Réalisé",$F2210&lt;&gt;"Clôturé"),"RETARD",""))</f>
        <v/>
      </c>
      <c r="J2210" s="29">
        <f>IF($B2210="","",IF(INDEX(Dossiers!$F$4:$F$63,42)="","",INDEX(Dossiers!$F$4:$F$63,42)))</f>
        <v/>
      </c>
      <c r="K2210" s="29">
        <f>IF($B2210="","",IF(INDEX(Dossiers!$G$4:$G$63,42)="","",INDEX(Dossiers!$G$4:$G$63,42)))</f>
        <v/>
      </c>
    </row>
    <row r="2211">
      <c r="A2211">
        <f>IF($B2211="","",INDEX(Dossiers!$E$4:$E$63,42))</f>
        <v/>
      </c>
      <c r="B2211">
        <f>IF(INDEX(Suivi!$B:$B,2253)="","",INDEX(Suivi!$B:$B,2253))</f>
        <v/>
      </c>
      <c r="C2211">
        <f>IF($B2211="","",IF(INDEX(Suivi!$D:$D,2253)="",INDEX(Suivi!$C:$C,2253),INDEX(Suivi!$D:$D,2253)))</f>
        <v/>
      </c>
      <c r="D2211" s="29">
        <f>IF($B2211="","",INDEX(Suivi!$E:$E,2253))</f>
        <v/>
      </c>
      <c r="E2211" s="29">
        <f>IF($B2211="","",INDEX(Suivi!$F:$F,2253))</f>
        <v/>
      </c>
      <c r="F2211">
        <f>IF($B2211="","",INDEX(Suivi!$G:$G,2253))</f>
        <v/>
      </c>
      <c r="H2211">
        <f>IF(OR($B2211="",NOT(ISNUMBER($D2211))),"",IF($E2211&lt;$D$2,"Passé",IF($D2211&gt;$F$2,"À venir","Dans la période")))</f>
        <v/>
      </c>
      <c r="I2211">
        <f>IF(OR($B2211="",NOT(ISNUMBER($D2211))),"",IF(AND($E2211&lt;$D$2,$G2211&lt;&gt;"X",$F2211&lt;&gt;"Réalisé",$F2211&lt;&gt;"Clôturé"),"RETARD",""))</f>
        <v/>
      </c>
      <c r="J2211" s="29">
        <f>IF($B2211="","",IF(INDEX(Dossiers!$F$4:$F$63,42)="","",INDEX(Dossiers!$F$4:$F$63,42)))</f>
        <v/>
      </c>
      <c r="K2211" s="29">
        <f>IF($B2211="","",IF(INDEX(Dossiers!$G$4:$G$63,42)="","",INDEX(Dossiers!$G$4:$G$63,42)))</f>
        <v/>
      </c>
    </row>
    <row r="2212">
      <c r="A2212">
        <f>IF($B2212="","",INDEX(Dossiers!$E$4:$E$63,42))</f>
        <v/>
      </c>
      <c r="B2212">
        <f>IF(INDEX(Suivi!$B:$B,2254)="","",INDEX(Suivi!$B:$B,2254))</f>
        <v/>
      </c>
      <c r="C2212">
        <f>IF($B2212="","",IF(INDEX(Suivi!$D:$D,2254)="",INDEX(Suivi!$C:$C,2254),INDEX(Suivi!$D:$D,2254)))</f>
        <v/>
      </c>
      <c r="D2212" s="29">
        <f>IF($B2212="","",INDEX(Suivi!$E:$E,2254))</f>
        <v/>
      </c>
      <c r="E2212" s="29">
        <f>IF($B2212="","",INDEX(Suivi!$F:$F,2254))</f>
        <v/>
      </c>
      <c r="F2212">
        <f>IF($B2212="","",INDEX(Suivi!$G:$G,2254))</f>
        <v/>
      </c>
      <c r="H2212">
        <f>IF(OR($B2212="",NOT(ISNUMBER($D2212))),"",IF($E2212&lt;$D$2,"Passé",IF($D2212&gt;$F$2,"À venir","Dans la période")))</f>
        <v/>
      </c>
      <c r="I2212">
        <f>IF(OR($B2212="",NOT(ISNUMBER($D2212))),"",IF(AND($E2212&lt;$D$2,$G2212&lt;&gt;"X",$F2212&lt;&gt;"Réalisé",$F2212&lt;&gt;"Clôturé"),"RETARD",""))</f>
        <v/>
      </c>
      <c r="J2212" s="29">
        <f>IF($B2212="","",IF(INDEX(Dossiers!$F$4:$F$63,42)="","",INDEX(Dossiers!$F$4:$F$63,42)))</f>
        <v/>
      </c>
      <c r="K2212" s="29">
        <f>IF($B2212="","",IF(INDEX(Dossiers!$G$4:$G$63,42)="","",INDEX(Dossiers!$G$4:$G$63,42)))</f>
        <v/>
      </c>
    </row>
    <row r="2213">
      <c r="A2213">
        <f>IF($B2213="","",INDEX(Dossiers!$E$4:$E$63,42))</f>
        <v/>
      </c>
      <c r="B2213">
        <f>IF(INDEX(Suivi!$B:$B,2255)="","",INDEX(Suivi!$B:$B,2255))</f>
        <v/>
      </c>
      <c r="C2213">
        <f>IF($B2213="","",IF(INDEX(Suivi!$D:$D,2255)="",INDEX(Suivi!$C:$C,2255),INDEX(Suivi!$D:$D,2255)))</f>
        <v/>
      </c>
      <c r="D2213" s="29">
        <f>IF($B2213="","",INDEX(Suivi!$E:$E,2255))</f>
        <v/>
      </c>
      <c r="E2213" s="29">
        <f>IF($B2213="","",INDEX(Suivi!$F:$F,2255))</f>
        <v/>
      </c>
      <c r="F2213">
        <f>IF($B2213="","",INDEX(Suivi!$G:$G,2255))</f>
        <v/>
      </c>
      <c r="H2213">
        <f>IF(OR($B2213="",NOT(ISNUMBER($D2213))),"",IF($E2213&lt;$D$2,"Passé",IF($D2213&gt;$F$2,"À venir","Dans la période")))</f>
        <v/>
      </c>
      <c r="I2213">
        <f>IF(OR($B2213="",NOT(ISNUMBER($D2213))),"",IF(AND($E2213&lt;$D$2,$G2213&lt;&gt;"X",$F2213&lt;&gt;"Réalisé",$F2213&lt;&gt;"Clôturé"),"RETARD",""))</f>
        <v/>
      </c>
      <c r="J2213" s="29">
        <f>IF($B2213="","",IF(INDEX(Dossiers!$F$4:$F$63,42)="","",INDEX(Dossiers!$F$4:$F$63,42)))</f>
        <v/>
      </c>
      <c r="K2213" s="29">
        <f>IF($B2213="","",IF(INDEX(Dossiers!$G$4:$G$63,42)="","",INDEX(Dossiers!$G$4:$G$63,42)))</f>
        <v/>
      </c>
    </row>
    <row r="2214">
      <c r="A2214">
        <f>IF($B2214="","",INDEX(Dossiers!$E$4:$E$63,42))</f>
        <v/>
      </c>
      <c r="B2214">
        <f>IF(INDEX(Suivi!$B:$B,2256)="","",INDEX(Suivi!$B:$B,2256))</f>
        <v/>
      </c>
      <c r="C2214">
        <f>IF($B2214="","",IF(INDEX(Suivi!$D:$D,2256)="",INDEX(Suivi!$C:$C,2256),INDEX(Suivi!$D:$D,2256)))</f>
        <v/>
      </c>
      <c r="D2214" s="29">
        <f>IF($B2214="","",INDEX(Suivi!$E:$E,2256))</f>
        <v/>
      </c>
      <c r="E2214" s="29">
        <f>IF($B2214="","",INDEX(Suivi!$F:$F,2256))</f>
        <v/>
      </c>
      <c r="F2214">
        <f>IF($B2214="","",INDEX(Suivi!$G:$G,2256))</f>
        <v/>
      </c>
      <c r="H2214">
        <f>IF(OR($B2214="",NOT(ISNUMBER($D2214))),"",IF($E2214&lt;$D$2,"Passé",IF($D2214&gt;$F$2,"À venir","Dans la période")))</f>
        <v/>
      </c>
      <c r="I2214">
        <f>IF(OR($B2214="",NOT(ISNUMBER($D2214))),"",IF(AND($E2214&lt;$D$2,$G2214&lt;&gt;"X",$F2214&lt;&gt;"Réalisé",$F2214&lt;&gt;"Clôturé"),"RETARD",""))</f>
        <v/>
      </c>
      <c r="J2214" s="29">
        <f>IF($B2214="","",IF(INDEX(Dossiers!$F$4:$F$63,42)="","",INDEX(Dossiers!$F$4:$F$63,42)))</f>
        <v/>
      </c>
      <c r="K2214" s="29">
        <f>IF($B2214="","",IF(INDEX(Dossiers!$G$4:$G$63,42)="","",INDEX(Dossiers!$G$4:$G$63,42)))</f>
        <v/>
      </c>
    </row>
    <row r="2215">
      <c r="A2215">
        <f>IF($B2215="","",INDEX(Dossiers!$E$4:$E$63,42))</f>
        <v/>
      </c>
      <c r="B2215">
        <f>IF(INDEX(Suivi!$B:$B,2257)="","",INDEX(Suivi!$B:$B,2257))</f>
        <v/>
      </c>
      <c r="C2215">
        <f>IF($B2215="","",IF(INDEX(Suivi!$D:$D,2257)="",INDEX(Suivi!$C:$C,2257),INDEX(Suivi!$D:$D,2257)))</f>
        <v/>
      </c>
      <c r="D2215" s="29">
        <f>IF($B2215="","",INDEX(Suivi!$E:$E,2257))</f>
        <v/>
      </c>
      <c r="E2215" s="29">
        <f>IF($B2215="","",INDEX(Suivi!$F:$F,2257))</f>
        <v/>
      </c>
      <c r="F2215">
        <f>IF($B2215="","",INDEX(Suivi!$G:$G,2257))</f>
        <v/>
      </c>
      <c r="H2215">
        <f>IF(OR($B2215="",NOT(ISNUMBER($D2215))),"",IF($E2215&lt;$D$2,"Passé",IF($D2215&gt;$F$2,"À venir","Dans la période")))</f>
        <v/>
      </c>
      <c r="I2215">
        <f>IF(OR($B2215="",NOT(ISNUMBER($D2215))),"",IF(AND($E2215&lt;$D$2,$G2215&lt;&gt;"X",$F2215&lt;&gt;"Réalisé",$F2215&lt;&gt;"Clôturé"),"RETARD",""))</f>
        <v/>
      </c>
      <c r="J2215" s="29">
        <f>IF($B2215="","",IF(INDEX(Dossiers!$F$4:$F$63,42)="","",INDEX(Dossiers!$F$4:$F$63,42)))</f>
        <v/>
      </c>
      <c r="K2215" s="29">
        <f>IF($B2215="","",IF(INDEX(Dossiers!$G$4:$G$63,42)="","",INDEX(Dossiers!$G$4:$G$63,42)))</f>
        <v/>
      </c>
    </row>
    <row r="2216">
      <c r="A2216">
        <f>IF($B2216="","",INDEX(Dossiers!$E$4:$E$63,42))</f>
        <v/>
      </c>
      <c r="B2216">
        <f>IF(INDEX(Suivi!$B:$B,2258)="","",INDEX(Suivi!$B:$B,2258))</f>
        <v/>
      </c>
      <c r="C2216">
        <f>IF($B2216="","",IF(INDEX(Suivi!$D:$D,2258)="",INDEX(Suivi!$C:$C,2258),INDEX(Suivi!$D:$D,2258)))</f>
        <v/>
      </c>
      <c r="D2216" s="29">
        <f>IF($B2216="","",INDEX(Suivi!$E:$E,2258))</f>
        <v/>
      </c>
      <c r="E2216" s="29">
        <f>IF($B2216="","",INDEX(Suivi!$F:$F,2258))</f>
        <v/>
      </c>
      <c r="F2216">
        <f>IF($B2216="","",INDEX(Suivi!$G:$G,2258))</f>
        <v/>
      </c>
      <c r="H2216">
        <f>IF(OR($B2216="",NOT(ISNUMBER($D2216))),"",IF($E2216&lt;$D$2,"Passé",IF($D2216&gt;$F$2,"À venir","Dans la période")))</f>
        <v/>
      </c>
      <c r="I2216">
        <f>IF(OR($B2216="",NOT(ISNUMBER($D2216))),"",IF(AND($E2216&lt;$D$2,$G2216&lt;&gt;"X",$F2216&lt;&gt;"Réalisé",$F2216&lt;&gt;"Clôturé"),"RETARD",""))</f>
        <v/>
      </c>
      <c r="J2216" s="29">
        <f>IF($B2216="","",IF(INDEX(Dossiers!$F$4:$F$63,42)="","",INDEX(Dossiers!$F$4:$F$63,42)))</f>
        <v/>
      </c>
      <c r="K2216" s="29">
        <f>IF($B2216="","",IF(INDEX(Dossiers!$G$4:$G$63,42)="","",INDEX(Dossiers!$G$4:$G$63,42)))</f>
        <v/>
      </c>
    </row>
    <row r="2217">
      <c r="A2217">
        <f>IF($B2217="","",INDEX(Dossiers!$E$4:$E$63,42))</f>
        <v/>
      </c>
      <c r="B2217">
        <f>IF(INDEX(Suivi!$B:$B,2259)="","",INDEX(Suivi!$B:$B,2259))</f>
        <v/>
      </c>
      <c r="C2217">
        <f>IF($B2217="","",IF(INDEX(Suivi!$D:$D,2259)="",INDEX(Suivi!$C:$C,2259),INDEX(Suivi!$D:$D,2259)))</f>
        <v/>
      </c>
      <c r="D2217" s="29">
        <f>IF($B2217="","",INDEX(Suivi!$E:$E,2259))</f>
        <v/>
      </c>
      <c r="E2217" s="29">
        <f>IF($B2217="","",INDEX(Suivi!$F:$F,2259))</f>
        <v/>
      </c>
      <c r="F2217">
        <f>IF($B2217="","",INDEX(Suivi!$G:$G,2259))</f>
        <v/>
      </c>
      <c r="H2217">
        <f>IF(OR($B2217="",NOT(ISNUMBER($D2217))),"",IF($E2217&lt;$D$2,"Passé",IF($D2217&gt;$F$2,"À venir","Dans la période")))</f>
        <v/>
      </c>
      <c r="I2217">
        <f>IF(OR($B2217="",NOT(ISNUMBER($D2217))),"",IF(AND($E2217&lt;$D$2,$G2217&lt;&gt;"X",$F2217&lt;&gt;"Réalisé",$F2217&lt;&gt;"Clôturé"),"RETARD",""))</f>
        <v/>
      </c>
      <c r="J2217" s="29">
        <f>IF($B2217="","",IF(INDEX(Dossiers!$F$4:$F$63,42)="","",INDEX(Dossiers!$F$4:$F$63,42)))</f>
        <v/>
      </c>
      <c r="K2217" s="29">
        <f>IF($B2217="","",IF(INDEX(Dossiers!$G$4:$G$63,42)="","",INDEX(Dossiers!$G$4:$G$63,42)))</f>
        <v/>
      </c>
    </row>
    <row r="2218">
      <c r="A2218">
        <f>IF($B2218="","",INDEX(Dossiers!$E$4:$E$63,42))</f>
        <v/>
      </c>
      <c r="B2218">
        <f>IF(INDEX(Suivi!$B:$B,2260)="","",INDEX(Suivi!$B:$B,2260))</f>
        <v/>
      </c>
      <c r="C2218">
        <f>IF($B2218="","",IF(INDEX(Suivi!$D:$D,2260)="",INDEX(Suivi!$C:$C,2260),INDEX(Suivi!$D:$D,2260)))</f>
        <v/>
      </c>
      <c r="D2218" s="29">
        <f>IF($B2218="","",INDEX(Suivi!$E:$E,2260))</f>
        <v/>
      </c>
      <c r="E2218" s="29">
        <f>IF($B2218="","",INDEX(Suivi!$F:$F,2260))</f>
        <v/>
      </c>
      <c r="F2218">
        <f>IF($B2218="","",INDEX(Suivi!$G:$G,2260))</f>
        <v/>
      </c>
      <c r="H2218">
        <f>IF(OR($B2218="",NOT(ISNUMBER($D2218))),"",IF($E2218&lt;$D$2,"Passé",IF($D2218&gt;$F$2,"À venir","Dans la période")))</f>
        <v/>
      </c>
      <c r="I2218">
        <f>IF(OR($B2218="",NOT(ISNUMBER($D2218))),"",IF(AND($E2218&lt;$D$2,$G2218&lt;&gt;"X",$F2218&lt;&gt;"Réalisé",$F2218&lt;&gt;"Clôturé"),"RETARD",""))</f>
        <v/>
      </c>
      <c r="J2218" s="29">
        <f>IF($B2218="","",IF(INDEX(Dossiers!$F$4:$F$63,42)="","",INDEX(Dossiers!$F$4:$F$63,42)))</f>
        <v/>
      </c>
      <c r="K2218" s="29">
        <f>IF($B2218="","",IF(INDEX(Dossiers!$G$4:$G$63,42)="","",INDEX(Dossiers!$G$4:$G$63,42)))</f>
        <v/>
      </c>
    </row>
    <row r="2219">
      <c r="A2219">
        <f>IF($B2219="","",INDEX(Dossiers!$E$4:$E$63,42))</f>
        <v/>
      </c>
      <c r="B2219">
        <f>IF(INDEX(Suivi!$B:$B,2261)="","",INDEX(Suivi!$B:$B,2261))</f>
        <v/>
      </c>
      <c r="C2219">
        <f>IF($B2219="","",IF(INDEX(Suivi!$D:$D,2261)="",INDEX(Suivi!$C:$C,2261),INDEX(Suivi!$D:$D,2261)))</f>
        <v/>
      </c>
      <c r="D2219" s="29">
        <f>IF($B2219="","",INDEX(Suivi!$E:$E,2261))</f>
        <v/>
      </c>
      <c r="E2219" s="29">
        <f>IF($B2219="","",INDEX(Suivi!$F:$F,2261))</f>
        <v/>
      </c>
      <c r="F2219">
        <f>IF($B2219="","",INDEX(Suivi!$G:$G,2261))</f>
        <v/>
      </c>
      <c r="H2219">
        <f>IF(OR($B2219="",NOT(ISNUMBER($D2219))),"",IF($E2219&lt;$D$2,"Passé",IF($D2219&gt;$F$2,"À venir","Dans la période")))</f>
        <v/>
      </c>
      <c r="I2219">
        <f>IF(OR($B2219="",NOT(ISNUMBER($D2219))),"",IF(AND($E2219&lt;$D$2,$G2219&lt;&gt;"X",$F2219&lt;&gt;"Réalisé",$F2219&lt;&gt;"Clôturé"),"RETARD",""))</f>
        <v/>
      </c>
      <c r="J2219" s="29">
        <f>IF($B2219="","",IF(INDEX(Dossiers!$F$4:$F$63,42)="","",INDEX(Dossiers!$F$4:$F$63,42)))</f>
        <v/>
      </c>
      <c r="K2219" s="29">
        <f>IF($B2219="","",IF(INDEX(Dossiers!$G$4:$G$63,42)="","",INDEX(Dossiers!$G$4:$G$63,42)))</f>
        <v/>
      </c>
    </row>
    <row r="2220">
      <c r="A2220">
        <f>IF($B2220="","",INDEX(Dossiers!$E$4:$E$63,42))</f>
        <v/>
      </c>
      <c r="B2220">
        <f>IF(INDEX(Suivi!$B:$B,2262)="","",INDEX(Suivi!$B:$B,2262))</f>
        <v/>
      </c>
      <c r="C2220">
        <f>IF($B2220="","",IF(INDEX(Suivi!$D:$D,2262)="",INDEX(Suivi!$C:$C,2262),INDEX(Suivi!$D:$D,2262)))</f>
        <v/>
      </c>
      <c r="D2220" s="29">
        <f>IF($B2220="","",INDEX(Suivi!$E:$E,2262))</f>
        <v/>
      </c>
      <c r="E2220" s="29">
        <f>IF($B2220="","",INDEX(Suivi!$F:$F,2262))</f>
        <v/>
      </c>
      <c r="F2220">
        <f>IF($B2220="","",INDEX(Suivi!$G:$G,2262))</f>
        <v/>
      </c>
      <c r="H2220">
        <f>IF(OR($B2220="",NOT(ISNUMBER($D2220))),"",IF($E2220&lt;$D$2,"Passé",IF($D2220&gt;$F$2,"À venir","Dans la période")))</f>
        <v/>
      </c>
      <c r="I2220">
        <f>IF(OR($B2220="",NOT(ISNUMBER($D2220))),"",IF(AND($E2220&lt;$D$2,$G2220&lt;&gt;"X",$F2220&lt;&gt;"Réalisé",$F2220&lt;&gt;"Clôturé"),"RETARD",""))</f>
        <v/>
      </c>
      <c r="J2220" s="29">
        <f>IF($B2220="","",IF(INDEX(Dossiers!$F$4:$F$63,42)="","",INDEX(Dossiers!$F$4:$F$63,42)))</f>
        <v/>
      </c>
      <c r="K2220" s="29">
        <f>IF($B2220="","",IF(INDEX(Dossiers!$G$4:$G$63,42)="","",INDEX(Dossiers!$G$4:$G$63,42)))</f>
        <v/>
      </c>
    </row>
    <row r="2221">
      <c r="A2221">
        <f>IF($B2221="","",INDEX(Dossiers!$E$4:$E$63,42))</f>
        <v/>
      </c>
      <c r="B2221">
        <f>IF(INDEX(Suivi!$B:$B,2263)="","",INDEX(Suivi!$B:$B,2263))</f>
        <v/>
      </c>
      <c r="C2221">
        <f>IF($B2221="","",IF(INDEX(Suivi!$D:$D,2263)="",INDEX(Suivi!$C:$C,2263),INDEX(Suivi!$D:$D,2263)))</f>
        <v/>
      </c>
      <c r="D2221" s="29">
        <f>IF($B2221="","",INDEX(Suivi!$E:$E,2263))</f>
        <v/>
      </c>
      <c r="E2221" s="29">
        <f>IF($B2221="","",INDEX(Suivi!$F:$F,2263))</f>
        <v/>
      </c>
      <c r="F2221">
        <f>IF($B2221="","",INDEX(Suivi!$G:$G,2263))</f>
        <v/>
      </c>
      <c r="H2221">
        <f>IF(OR($B2221="",NOT(ISNUMBER($D2221))),"",IF($E2221&lt;$D$2,"Passé",IF($D2221&gt;$F$2,"À venir","Dans la période")))</f>
        <v/>
      </c>
      <c r="I2221">
        <f>IF(OR($B2221="",NOT(ISNUMBER($D2221))),"",IF(AND($E2221&lt;$D$2,$G2221&lt;&gt;"X",$F2221&lt;&gt;"Réalisé",$F2221&lt;&gt;"Clôturé"),"RETARD",""))</f>
        <v/>
      </c>
      <c r="J2221" s="29">
        <f>IF($B2221="","",IF(INDEX(Dossiers!$F$4:$F$63,42)="","",INDEX(Dossiers!$F$4:$F$63,42)))</f>
        <v/>
      </c>
      <c r="K2221" s="29">
        <f>IF($B2221="","",IF(INDEX(Dossiers!$G$4:$G$63,42)="","",INDEX(Dossiers!$G$4:$G$63,42)))</f>
        <v/>
      </c>
    </row>
    <row r="2222">
      <c r="A2222">
        <f>IF($B2222="","",INDEX(Dossiers!$E$4:$E$63,42))</f>
        <v/>
      </c>
      <c r="B2222">
        <f>IF(INDEX(Suivi!$B:$B,2264)="","",INDEX(Suivi!$B:$B,2264))</f>
        <v/>
      </c>
      <c r="C2222">
        <f>IF($B2222="","",IF(INDEX(Suivi!$D:$D,2264)="",INDEX(Suivi!$C:$C,2264),INDEX(Suivi!$D:$D,2264)))</f>
        <v/>
      </c>
      <c r="D2222" s="29">
        <f>IF($B2222="","",INDEX(Suivi!$E:$E,2264))</f>
        <v/>
      </c>
      <c r="E2222" s="29">
        <f>IF($B2222="","",INDEX(Suivi!$F:$F,2264))</f>
        <v/>
      </c>
      <c r="F2222">
        <f>IF($B2222="","",INDEX(Suivi!$G:$G,2264))</f>
        <v/>
      </c>
      <c r="H2222">
        <f>IF(OR($B2222="",NOT(ISNUMBER($D2222))),"",IF($E2222&lt;$D$2,"Passé",IF($D2222&gt;$F$2,"À venir","Dans la période")))</f>
        <v/>
      </c>
      <c r="I2222">
        <f>IF(OR($B2222="",NOT(ISNUMBER($D2222))),"",IF(AND($E2222&lt;$D$2,$G2222&lt;&gt;"X",$F2222&lt;&gt;"Réalisé",$F2222&lt;&gt;"Clôturé"),"RETARD",""))</f>
        <v/>
      </c>
      <c r="J2222" s="29">
        <f>IF($B2222="","",IF(INDEX(Dossiers!$F$4:$F$63,42)="","",INDEX(Dossiers!$F$4:$F$63,42)))</f>
        <v/>
      </c>
      <c r="K2222" s="29">
        <f>IF($B2222="","",IF(INDEX(Dossiers!$G$4:$G$63,42)="","",INDEX(Dossiers!$G$4:$G$63,42)))</f>
        <v/>
      </c>
    </row>
    <row r="2223">
      <c r="A2223">
        <f>IF($B2223="","",INDEX(Dossiers!$E$4:$E$63,42))</f>
        <v/>
      </c>
      <c r="B2223">
        <f>IF(INDEX(Suivi!$B:$B,2265)="","",INDEX(Suivi!$B:$B,2265))</f>
        <v/>
      </c>
      <c r="C2223">
        <f>IF($B2223="","",IF(INDEX(Suivi!$D:$D,2265)="",INDEX(Suivi!$C:$C,2265),INDEX(Suivi!$D:$D,2265)))</f>
        <v/>
      </c>
      <c r="D2223" s="29">
        <f>IF($B2223="","",INDEX(Suivi!$E:$E,2265))</f>
        <v/>
      </c>
      <c r="E2223" s="29">
        <f>IF($B2223="","",INDEX(Suivi!$F:$F,2265))</f>
        <v/>
      </c>
      <c r="F2223">
        <f>IF($B2223="","",INDEX(Suivi!$G:$G,2265))</f>
        <v/>
      </c>
      <c r="H2223">
        <f>IF(OR($B2223="",NOT(ISNUMBER($D2223))),"",IF($E2223&lt;$D$2,"Passé",IF($D2223&gt;$F$2,"À venir","Dans la période")))</f>
        <v/>
      </c>
      <c r="I2223">
        <f>IF(OR($B2223="",NOT(ISNUMBER($D2223))),"",IF(AND($E2223&lt;$D$2,$G2223&lt;&gt;"X",$F2223&lt;&gt;"Réalisé",$F2223&lt;&gt;"Clôturé"),"RETARD",""))</f>
        <v/>
      </c>
      <c r="J2223" s="29">
        <f>IF($B2223="","",IF(INDEX(Dossiers!$F$4:$F$63,42)="","",INDEX(Dossiers!$F$4:$F$63,42)))</f>
        <v/>
      </c>
      <c r="K2223" s="29">
        <f>IF($B2223="","",IF(INDEX(Dossiers!$G$4:$G$63,42)="","",INDEX(Dossiers!$G$4:$G$63,42)))</f>
        <v/>
      </c>
    </row>
    <row r="2224">
      <c r="A2224">
        <f>IF($B2224="","",INDEX(Dossiers!$E$4:$E$63,42))</f>
        <v/>
      </c>
      <c r="B2224">
        <f>IF(INDEX(Suivi!$B:$B,2266)="","",INDEX(Suivi!$B:$B,2266))</f>
        <v/>
      </c>
      <c r="C2224">
        <f>IF($B2224="","",IF(INDEX(Suivi!$D:$D,2266)="",INDEX(Suivi!$C:$C,2266),INDEX(Suivi!$D:$D,2266)))</f>
        <v/>
      </c>
      <c r="D2224" s="29">
        <f>IF($B2224="","",INDEX(Suivi!$E:$E,2266))</f>
        <v/>
      </c>
      <c r="E2224" s="29">
        <f>IF($B2224="","",INDEX(Suivi!$F:$F,2266))</f>
        <v/>
      </c>
      <c r="F2224">
        <f>IF($B2224="","",INDEX(Suivi!$G:$G,2266))</f>
        <v/>
      </c>
      <c r="H2224">
        <f>IF(OR($B2224="",NOT(ISNUMBER($D2224))),"",IF($E2224&lt;$D$2,"Passé",IF($D2224&gt;$F$2,"À venir","Dans la période")))</f>
        <v/>
      </c>
      <c r="I2224">
        <f>IF(OR($B2224="",NOT(ISNUMBER($D2224))),"",IF(AND($E2224&lt;$D$2,$G2224&lt;&gt;"X",$F2224&lt;&gt;"Réalisé",$F2224&lt;&gt;"Clôturé"),"RETARD",""))</f>
        <v/>
      </c>
      <c r="J2224" s="29">
        <f>IF($B2224="","",IF(INDEX(Dossiers!$F$4:$F$63,42)="","",INDEX(Dossiers!$F$4:$F$63,42)))</f>
        <v/>
      </c>
      <c r="K2224" s="29">
        <f>IF($B2224="","",IF(INDEX(Dossiers!$G$4:$G$63,42)="","",INDEX(Dossiers!$G$4:$G$63,42)))</f>
        <v/>
      </c>
    </row>
    <row r="2225">
      <c r="A2225">
        <f>IF($B2225="","",INDEX(Dossiers!$E$4:$E$63,42))</f>
        <v/>
      </c>
      <c r="B2225">
        <f>IF(INDEX(Suivi!$B:$B,2267)="","",INDEX(Suivi!$B:$B,2267))</f>
        <v/>
      </c>
      <c r="C2225">
        <f>IF($B2225="","",IF(INDEX(Suivi!$D:$D,2267)="",INDEX(Suivi!$C:$C,2267),INDEX(Suivi!$D:$D,2267)))</f>
        <v/>
      </c>
      <c r="D2225" s="29">
        <f>IF($B2225="","",INDEX(Suivi!$E:$E,2267))</f>
        <v/>
      </c>
      <c r="E2225" s="29">
        <f>IF($B2225="","",INDEX(Suivi!$F:$F,2267))</f>
        <v/>
      </c>
      <c r="F2225">
        <f>IF($B2225="","",INDEX(Suivi!$G:$G,2267))</f>
        <v/>
      </c>
      <c r="H2225">
        <f>IF(OR($B2225="",NOT(ISNUMBER($D2225))),"",IF($E2225&lt;$D$2,"Passé",IF($D2225&gt;$F$2,"À venir","Dans la période")))</f>
        <v/>
      </c>
      <c r="I2225">
        <f>IF(OR($B2225="",NOT(ISNUMBER($D2225))),"",IF(AND($E2225&lt;$D$2,$G2225&lt;&gt;"X",$F2225&lt;&gt;"Réalisé",$F2225&lt;&gt;"Clôturé"),"RETARD",""))</f>
        <v/>
      </c>
      <c r="J2225" s="29">
        <f>IF($B2225="","",IF(INDEX(Dossiers!$F$4:$F$63,42)="","",INDEX(Dossiers!$F$4:$F$63,42)))</f>
        <v/>
      </c>
      <c r="K2225" s="29">
        <f>IF($B2225="","",IF(INDEX(Dossiers!$G$4:$G$63,42)="","",INDEX(Dossiers!$G$4:$G$63,42)))</f>
        <v/>
      </c>
    </row>
    <row r="2226">
      <c r="A2226">
        <f>IF($B2226="","",INDEX(Dossiers!$E$4:$E$63,42))</f>
        <v/>
      </c>
      <c r="B2226">
        <f>IF(INDEX(Suivi!$B:$B,2268)="","",INDEX(Suivi!$B:$B,2268))</f>
        <v/>
      </c>
      <c r="C2226">
        <f>IF($B2226="","",IF(INDEX(Suivi!$D:$D,2268)="",INDEX(Suivi!$C:$C,2268),INDEX(Suivi!$D:$D,2268)))</f>
        <v/>
      </c>
      <c r="D2226" s="29">
        <f>IF($B2226="","",INDEX(Suivi!$E:$E,2268))</f>
        <v/>
      </c>
      <c r="E2226" s="29">
        <f>IF($B2226="","",INDEX(Suivi!$F:$F,2268))</f>
        <v/>
      </c>
      <c r="F2226">
        <f>IF($B2226="","",INDEX(Suivi!$G:$G,2268))</f>
        <v/>
      </c>
      <c r="H2226">
        <f>IF(OR($B2226="",NOT(ISNUMBER($D2226))),"",IF($E2226&lt;$D$2,"Passé",IF($D2226&gt;$F$2,"À venir","Dans la période")))</f>
        <v/>
      </c>
      <c r="I2226">
        <f>IF(OR($B2226="",NOT(ISNUMBER($D2226))),"",IF(AND($E2226&lt;$D$2,$G2226&lt;&gt;"X",$F2226&lt;&gt;"Réalisé",$F2226&lt;&gt;"Clôturé"),"RETARD",""))</f>
        <v/>
      </c>
      <c r="J2226" s="29">
        <f>IF($B2226="","",IF(INDEX(Dossiers!$F$4:$F$63,42)="","",INDEX(Dossiers!$F$4:$F$63,42)))</f>
        <v/>
      </c>
      <c r="K2226" s="29">
        <f>IF($B2226="","",IF(INDEX(Dossiers!$G$4:$G$63,42)="","",INDEX(Dossiers!$G$4:$G$63,42)))</f>
        <v/>
      </c>
    </row>
    <row r="2227">
      <c r="A2227">
        <f>IF($B2227="","",INDEX(Dossiers!$E$4:$E$63,42))</f>
        <v/>
      </c>
      <c r="B2227">
        <f>IF(INDEX(Suivi!$B:$B,2269)="","",INDEX(Suivi!$B:$B,2269))</f>
        <v/>
      </c>
      <c r="C2227">
        <f>IF($B2227="","",IF(INDEX(Suivi!$D:$D,2269)="",INDEX(Suivi!$C:$C,2269),INDEX(Suivi!$D:$D,2269)))</f>
        <v/>
      </c>
      <c r="D2227" s="29">
        <f>IF($B2227="","",INDEX(Suivi!$E:$E,2269))</f>
        <v/>
      </c>
      <c r="E2227" s="29">
        <f>IF($B2227="","",INDEX(Suivi!$F:$F,2269))</f>
        <v/>
      </c>
      <c r="F2227">
        <f>IF($B2227="","",INDEX(Suivi!$G:$G,2269))</f>
        <v/>
      </c>
      <c r="H2227">
        <f>IF(OR($B2227="",NOT(ISNUMBER($D2227))),"",IF($E2227&lt;$D$2,"Passé",IF($D2227&gt;$F$2,"À venir","Dans la période")))</f>
        <v/>
      </c>
      <c r="I2227">
        <f>IF(OR($B2227="",NOT(ISNUMBER($D2227))),"",IF(AND($E2227&lt;$D$2,$G2227&lt;&gt;"X",$F2227&lt;&gt;"Réalisé",$F2227&lt;&gt;"Clôturé"),"RETARD",""))</f>
        <v/>
      </c>
      <c r="J2227" s="29">
        <f>IF($B2227="","",IF(INDEX(Dossiers!$F$4:$F$63,42)="","",INDEX(Dossiers!$F$4:$F$63,42)))</f>
        <v/>
      </c>
      <c r="K2227" s="29">
        <f>IF($B2227="","",IF(INDEX(Dossiers!$G$4:$G$63,42)="","",INDEX(Dossiers!$G$4:$G$63,42)))</f>
        <v/>
      </c>
    </row>
    <row r="2228">
      <c r="A2228">
        <f>IF($B2228="","",INDEX(Dossiers!$E$4:$E$63,42))</f>
        <v/>
      </c>
      <c r="B2228">
        <f>IF(INDEX(Suivi!$B:$B,2270)="","",INDEX(Suivi!$B:$B,2270))</f>
        <v/>
      </c>
      <c r="C2228">
        <f>IF($B2228="","",IF(INDEX(Suivi!$D:$D,2270)="",INDEX(Suivi!$C:$C,2270),INDEX(Suivi!$D:$D,2270)))</f>
        <v/>
      </c>
      <c r="D2228" s="29">
        <f>IF($B2228="","",INDEX(Suivi!$E:$E,2270))</f>
        <v/>
      </c>
      <c r="E2228" s="29">
        <f>IF($B2228="","",INDEX(Suivi!$F:$F,2270))</f>
        <v/>
      </c>
      <c r="F2228">
        <f>IF($B2228="","",INDEX(Suivi!$G:$G,2270))</f>
        <v/>
      </c>
      <c r="H2228">
        <f>IF(OR($B2228="",NOT(ISNUMBER($D2228))),"",IF($E2228&lt;$D$2,"Passé",IF($D2228&gt;$F$2,"À venir","Dans la période")))</f>
        <v/>
      </c>
      <c r="I2228">
        <f>IF(OR($B2228="",NOT(ISNUMBER($D2228))),"",IF(AND($E2228&lt;$D$2,$G2228&lt;&gt;"X",$F2228&lt;&gt;"Réalisé",$F2228&lt;&gt;"Clôturé"),"RETARD",""))</f>
        <v/>
      </c>
      <c r="J2228" s="29">
        <f>IF($B2228="","",IF(INDEX(Dossiers!$F$4:$F$63,42)="","",INDEX(Dossiers!$F$4:$F$63,42)))</f>
        <v/>
      </c>
      <c r="K2228" s="29">
        <f>IF($B2228="","",IF(INDEX(Dossiers!$G$4:$G$63,42)="","",INDEX(Dossiers!$G$4:$G$63,42)))</f>
        <v/>
      </c>
    </row>
    <row r="2229">
      <c r="A2229">
        <f>IF($B2229="","",INDEX(Dossiers!$E$4:$E$63,42))</f>
        <v/>
      </c>
      <c r="B2229">
        <f>IF(INDEX(Suivi!$B:$B,2271)="","",INDEX(Suivi!$B:$B,2271))</f>
        <v/>
      </c>
      <c r="C2229">
        <f>IF($B2229="","",IF(INDEX(Suivi!$D:$D,2271)="",INDEX(Suivi!$C:$C,2271),INDEX(Suivi!$D:$D,2271)))</f>
        <v/>
      </c>
      <c r="D2229" s="29">
        <f>IF($B2229="","",INDEX(Suivi!$E:$E,2271))</f>
        <v/>
      </c>
      <c r="E2229" s="29">
        <f>IF($B2229="","",INDEX(Suivi!$F:$F,2271))</f>
        <v/>
      </c>
      <c r="F2229">
        <f>IF($B2229="","",INDEX(Suivi!$G:$G,2271))</f>
        <v/>
      </c>
      <c r="H2229">
        <f>IF(OR($B2229="",NOT(ISNUMBER($D2229))),"",IF($E2229&lt;$D$2,"Passé",IF($D2229&gt;$F$2,"À venir","Dans la période")))</f>
        <v/>
      </c>
      <c r="I2229">
        <f>IF(OR($B2229="",NOT(ISNUMBER($D2229))),"",IF(AND($E2229&lt;$D$2,$G2229&lt;&gt;"X",$F2229&lt;&gt;"Réalisé",$F2229&lt;&gt;"Clôturé"),"RETARD",""))</f>
        <v/>
      </c>
      <c r="J2229" s="29">
        <f>IF($B2229="","",IF(INDEX(Dossiers!$F$4:$F$63,42)="","",INDEX(Dossiers!$F$4:$F$63,42)))</f>
        <v/>
      </c>
      <c r="K2229" s="29">
        <f>IF($B2229="","",IF(INDEX(Dossiers!$G$4:$G$63,42)="","",INDEX(Dossiers!$G$4:$G$63,42)))</f>
        <v/>
      </c>
    </row>
    <row r="2230">
      <c r="A2230">
        <f>IF($B2230="","",INDEX(Dossiers!$E$4:$E$63,43))</f>
        <v/>
      </c>
      <c r="B2230">
        <f>IF(INDEX(Suivi!$B:$B,2273)="","",INDEX(Suivi!$B:$B,2273))</f>
        <v/>
      </c>
      <c r="C2230">
        <f>IF($B2230="","",IF(INDEX(Suivi!$D:$D,2273)="",INDEX(Suivi!$C:$C,2273),INDEX(Suivi!$D:$D,2273)))</f>
        <v/>
      </c>
      <c r="D2230" s="29">
        <f>IF($B2230="","",INDEX(Suivi!$E:$E,2273))</f>
        <v/>
      </c>
      <c r="E2230" s="29">
        <f>IF($B2230="","",INDEX(Suivi!$F:$F,2273))</f>
        <v/>
      </c>
      <c r="F2230">
        <f>IF($B2230="","",INDEX(Suivi!$G:$G,2273))</f>
        <v/>
      </c>
      <c r="H2230">
        <f>IF(OR($B2230="",NOT(ISNUMBER($D2230))),"",IF($E2230&lt;$D$2,"Passé",IF($D2230&gt;$F$2,"À venir","Dans la période")))</f>
        <v/>
      </c>
      <c r="I2230">
        <f>IF(OR($B2230="",NOT(ISNUMBER($D2230))),"",IF(AND($E2230&lt;$D$2,$G2230&lt;&gt;"X",$F2230&lt;&gt;"Réalisé",$F2230&lt;&gt;"Clôturé"),"RETARD",""))</f>
        <v/>
      </c>
      <c r="J2230" s="29">
        <f>IF($B2230="","",IF(INDEX(Dossiers!$F$4:$F$63,43)="","",INDEX(Dossiers!$F$4:$F$63,43)))</f>
        <v/>
      </c>
      <c r="K2230" s="29">
        <f>IF($B2230="","",IF(INDEX(Dossiers!$G$4:$G$63,43)="","",INDEX(Dossiers!$G$4:$G$63,43)))</f>
        <v/>
      </c>
    </row>
    <row r="2231">
      <c r="A2231">
        <f>IF($B2231="","",INDEX(Dossiers!$E$4:$E$63,43))</f>
        <v/>
      </c>
      <c r="B2231">
        <f>IF(INDEX(Suivi!$B:$B,2274)="","",INDEX(Suivi!$B:$B,2274))</f>
        <v/>
      </c>
      <c r="C2231">
        <f>IF($B2231="","",IF(INDEX(Suivi!$D:$D,2274)="",INDEX(Suivi!$C:$C,2274),INDEX(Suivi!$D:$D,2274)))</f>
        <v/>
      </c>
      <c r="D2231" s="29">
        <f>IF($B2231="","",INDEX(Suivi!$E:$E,2274))</f>
        <v/>
      </c>
      <c r="E2231" s="29">
        <f>IF($B2231="","",INDEX(Suivi!$F:$F,2274))</f>
        <v/>
      </c>
      <c r="F2231">
        <f>IF($B2231="","",INDEX(Suivi!$G:$G,2274))</f>
        <v/>
      </c>
      <c r="H2231">
        <f>IF(OR($B2231="",NOT(ISNUMBER($D2231))),"",IF($E2231&lt;$D$2,"Passé",IF($D2231&gt;$F$2,"À venir","Dans la période")))</f>
        <v/>
      </c>
      <c r="I2231">
        <f>IF(OR($B2231="",NOT(ISNUMBER($D2231))),"",IF(AND($E2231&lt;$D$2,$G2231&lt;&gt;"X",$F2231&lt;&gt;"Réalisé",$F2231&lt;&gt;"Clôturé"),"RETARD",""))</f>
        <v/>
      </c>
      <c r="J2231" s="29">
        <f>IF($B2231="","",IF(INDEX(Dossiers!$F$4:$F$63,43)="","",INDEX(Dossiers!$F$4:$F$63,43)))</f>
        <v/>
      </c>
      <c r="K2231" s="29">
        <f>IF($B2231="","",IF(INDEX(Dossiers!$G$4:$G$63,43)="","",INDEX(Dossiers!$G$4:$G$63,43)))</f>
        <v/>
      </c>
    </row>
    <row r="2232">
      <c r="A2232">
        <f>IF($B2232="","",INDEX(Dossiers!$E$4:$E$63,43))</f>
        <v/>
      </c>
      <c r="B2232">
        <f>IF(INDEX(Suivi!$B:$B,2275)="","",INDEX(Suivi!$B:$B,2275))</f>
        <v/>
      </c>
      <c r="C2232">
        <f>IF($B2232="","",IF(INDEX(Suivi!$D:$D,2275)="",INDEX(Suivi!$C:$C,2275),INDEX(Suivi!$D:$D,2275)))</f>
        <v/>
      </c>
      <c r="D2232" s="29">
        <f>IF($B2232="","",INDEX(Suivi!$E:$E,2275))</f>
        <v/>
      </c>
      <c r="E2232" s="29">
        <f>IF($B2232="","",INDEX(Suivi!$F:$F,2275))</f>
        <v/>
      </c>
      <c r="F2232">
        <f>IF($B2232="","",INDEX(Suivi!$G:$G,2275))</f>
        <v/>
      </c>
      <c r="H2232">
        <f>IF(OR($B2232="",NOT(ISNUMBER($D2232))),"",IF($E2232&lt;$D$2,"Passé",IF($D2232&gt;$F$2,"À venir","Dans la période")))</f>
        <v/>
      </c>
      <c r="I2232">
        <f>IF(OR($B2232="",NOT(ISNUMBER($D2232))),"",IF(AND($E2232&lt;$D$2,$G2232&lt;&gt;"X",$F2232&lt;&gt;"Réalisé",$F2232&lt;&gt;"Clôturé"),"RETARD",""))</f>
        <v/>
      </c>
      <c r="J2232" s="29">
        <f>IF($B2232="","",IF(INDEX(Dossiers!$F$4:$F$63,43)="","",INDEX(Dossiers!$F$4:$F$63,43)))</f>
        <v/>
      </c>
      <c r="K2232" s="29">
        <f>IF($B2232="","",IF(INDEX(Dossiers!$G$4:$G$63,43)="","",INDEX(Dossiers!$G$4:$G$63,43)))</f>
        <v/>
      </c>
    </row>
    <row r="2233">
      <c r="A2233">
        <f>IF($B2233="","",INDEX(Dossiers!$E$4:$E$63,43))</f>
        <v/>
      </c>
      <c r="B2233">
        <f>IF(INDEX(Suivi!$B:$B,2276)="","",INDEX(Suivi!$B:$B,2276))</f>
        <v/>
      </c>
      <c r="C2233">
        <f>IF($B2233="","",IF(INDEX(Suivi!$D:$D,2276)="",INDEX(Suivi!$C:$C,2276),INDEX(Suivi!$D:$D,2276)))</f>
        <v/>
      </c>
      <c r="D2233" s="29">
        <f>IF($B2233="","",INDEX(Suivi!$E:$E,2276))</f>
        <v/>
      </c>
      <c r="E2233" s="29">
        <f>IF($B2233="","",INDEX(Suivi!$F:$F,2276))</f>
        <v/>
      </c>
      <c r="F2233">
        <f>IF($B2233="","",INDEX(Suivi!$G:$G,2276))</f>
        <v/>
      </c>
      <c r="H2233">
        <f>IF(OR($B2233="",NOT(ISNUMBER($D2233))),"",IF($E2233&lt;$D$2,"Passé",IF($D2233&gt;$F$2,"À venir","Dans la période")))</f>
        <v/>
      </c>
      <c r="I2233">
        <f>IF(OR($B2233="",NOT(ISNUMBER($D2233))),"",IF(AND($E2233&lt;$D$2,$G2233&lt;&gt;"X",$F2233&lt;&gt;"Réalisé",$F2233&lt;&gt;"Clôturé"),"RETARD",""))</f>
        <v/>
      </c>
      <c r="J2233" s="29">
        <f>IF($B2233="","",IF(INDEX(Dossiers!$F$4:$F$63,43)="","",INDEX(Dossiers!$F$4:$F$63,43)))</f>
        <v/>
      </c>
      <c r="K2233" s="29">
        <f>IF($B2233="","",IF(INDEX(Dossiers!$G$4:$G$63,43)="","",INDEX(Dossiers!$G$4:$G$63,43)))</f>
        <v/>
      </c>
    </row>
    <row r="2234">
      <c r="A2234">
        <f>IF($B2234="","",INDEX(Dossiers!$E$4:$E$63,43))</f>
        <v/>
      </c>
      <c r="B2234">
        <f>IF(INDEX(Suivi!$B:$B,2277)="","",INDEX(Suivi!$B:$B,2277))</f>
        <v/>
      </c>
      <c r="C2234">
        <f>IF($B2234="","",IF(INDEX(Suivi!$D:$D,2277)="",INDEX(Suivi!$C:$C,2277),INDEX(Suivi!$D:$D,2277)))</f>
        <v/>
      </c>
      <c r="D2234" s="29">
        <f>IF($B2234="","",INDEX(Suivi!$E:$E,2277))</f>
        <v/>
      </c>
      <c r="E2234" s="29">
        <f>IF($B2234="","",INDEX(Suivi!$F:$F,2277))</f>
        <v/>
      </c>
      <c r="F2234">
        <f>IF($B2234="","",INDEX(Suivi!$G:$G,2277))</f>
        <v/>
      </c>
      <c r="H2234">
        <f>IF(OR($B2234="",NOT(ISNUMBER($D2234))),"",IF($E2234&lt;$D$2,"Passé",IF($D2234&gt;$F$2,"À venir","Dans la période")))</f>
        <v/>
      </c>
      <c r="I2234">
        <f>IF(OR($B2234="",NOT(ISNUMBER($D2234))),"",IF(AND($E2234&lt;$D$2,$G2234&lt;&gt;"X",$F2234&lt;&gt;"Réalisé",$F2234&lt;&gt;"Clôturé"),"RETARD",""))</f>
        <v/>
      </c>
      <c r="J2234" s="29">
        <f>IF($B2234="","",IF(INDEX(Dossiers!$F$4:$F$63,43)="","",INDEX(Dossiers!$F$4:$F$63,43)))</f>
        <v/>
      </c>
      <c r="K2234" s="29">
        <f>IF($B2234="","",IF(INDEX(Dossiers!$G$4:$G$63,43)="","",INDEX(Dossiers!$G$4:$G$63,43)))</f>
        <v/>
      </c>
    </row>
    <row r="2235">
      <c r="A2235">
        <f>IF($B2235="","",INDEX(Dossiers!$E$4:$E$63,43))</f>
        <v/>
      </c>
      <c r="B2235">
        <f>IF(INDEX(Suivi!$B:$B,2278)="","",INDEX(Suivi!$B:$B,2278))</f>
        <v/>
      </c>
      <c r="C2235">
        <f>IF($B2235="","",IF(INDEX(Suivi!$D:$D,2278)="",INDEX(Suivi!$C:$C,2278),INDEX(Suivi!$D:$D,2278)))</f>
        <v/>
      </c>
      <c r="D2235" s="29">
        <f>IF($B2235="","",INDEX(Suivi!$E:$E,2278))</f>
        <v/>
      </c>
      <c r="E2235" s="29">
        <f>IF($B2235="","",INDEX(Suivi!$F:$F,2278))</f>
        <v/>
      </c>
      <c r="F2235">
        <f>IF($B2235="","",INDEX(Suivi!$G:$G,2278))</f>
        <v/>
      </c>
      <c r="H2235">
        <f>IF(OR($B2235="",NOT(ISNUMBER($D2235))),"",IF($E2235&lt;$D$2,"Passé",IF($D2235&gt;$F$2,"À venir","Dans la période")))</f>
        <v/>
      </c>
      <c r="I2235">
        <f>IF(OR($B2235="",NOT(ISNUMBER($D2235))),"",IF(AND($E2235&lt;$D$2,$G2235&lt;&gt;"X",$F2235&lt;&gt;"Réalisé",$F2235&lt;&gt;"Clôturé"),"RETARD",""))</f>
        <v/>
      </c>
      <c r="J2235" s="29">
        <f>IF($B2235="","",IF(INDEX(Dossiers!$F$4:$F$63,43)="","",INDEX(Dossiers!$F$4:$F$63,43)))</f>
        <v/>
      </c>
      <c r="K2235" s="29">
        <f>IF($B2235="","",IF(INDEX(Dossiers!$G$4:$G$63,43)="","",INDEX(Dossiers!$G$4:$G$63,43)))</f>
        <v/>
      </c>
    </row>
    <row r="2236">
      <c r="A2236">
        <f>IF($B2236="","",INDEX(Dossiers!$E$4:$E$63,43))</f>
        <v/>
      </c>
      <c r="B2236">
        <f>IF(INDEX(Suivi!$B:$B,2279)="","",INDEX(Suivi!$B:$B,2279))</f>
        <v/>
      </c>
      <c r="C2236">
        <f>IF($B2236="","",IF(INDEX(Suivi!$D:$D,2279)="",INDEX(Suivi!$C:$C,2279),INDEX(Suivi!$D:$D,2279)))</f>
        <v/>
      </c>
      <c r="D2236" s="29">
        <f>IF($B2236="","",INDEX(Suivi!$E:$E,2279))</f>
        <v/>
      </c>
      <c r="E2236" s="29">
        <f>IF($B2236="","",INDEX(Suivi!$F:$F,2279))</f>
        <v/>
      </c>
      <c r="F2236">
        <f>IF($B2236="","",INDEX(Suivi!$G:$G,2279))</f>
        <v/>
      </c>
      <c r="H2236">
        <f>IF(OR($B2236="",NOT(ISNUMBER($D2236))),"",IF($E2236&lt;$D$2,"Passé",IF($D2236&gt;$F$2,"À venir","Dans la période")))</f>
        <v/>
      </c>
      <c r="I2236">
        <f>IF(OR($B2236="",NOT(ISNUMBER($D2236))),"",IF(AND($E2236&lt;$D$2,$G2236&lt;&gt;"X",$F2236&lt;&gt;"Réalisé",$F2236&lt;&gt;"Clôturé"),"RETARD",""))</f>
        <v/>
      </c>
      <c r="J2236" s="29">
        <f>IF($B2236="","",IF(INDEX(Dossiers!$F$4:$F$63,43)="","",INDEX(Dossiers!$F$4:$F$63,43)))</f>
        <v/>
      </c>
      <c r="K2236" s="29">
        <f>IF($B2236="","",IF(INDEX(Dossiers!$G$4:$G$63,43)="","",INDEX(Dossiers!$G$4:$G$63,43)))</f>
        <v/>
      </c>
    </row>
    <row r="2237">
      <c r="A2237">
        <f>IF($B2237="","",INDEX(Dossiers!$E$4:$E$63,43))</f>
        <v/>
      </c>
      <c r="B2237">
        <f>IF(INDEX(Suivi!$B:$B,2280)="","",INDEX(Suivi!$B:$B,2280))</f>
        <v/>
      </c>
      <c r="C2237">
        <f>IF($B2237="","",IF(INDEX(Suivi!$D:$D,2280)="",INDEX(Suivi!$C:$C,2280),INDEX(Suivi!$D:$D,2280)))</f>
        <v/>
      </c>
      <c r="D2237" s="29">
        <f>IF($B2237="","",INDEX(Suivi!$E:$E,2280))</f>
        <v/>
      </c>
      <c r="E2237" s="29">
        <f>IF($B2237="","",INDEX(Suivi!$F:$F,2280))</f>
        <v/>
      </c>
      <c r="F2237">
        <f>IF($B2237="","",INDEX(Suivi!$G:$G,2280))</f>
        <v/>
      </c>
      <c r="H2237">
        <f>IF(OR($B2237="",NOT(ISNUMBER($D2237))),"",IF($E2237&lt;$D$2,"Passé",IF($D2237&gt;$F$2,"À venir","Dans la période")))</f>
        <v/>
      </c>
      <c r="I2237">
        <f>IF(OR($B2237="",NOT(ISNUMBER($D2237))),"",IF(AND($E2237&lt;$D$2,$G2237&lt;&gt;"X",$F2237&lt;&gt;"Réalisé",$F2237&lt;&gt;"Clôturé"),"RETARD",""))</f>
        <v/>
      </c>
      <c r="J2237" s="29">
        <f>IF($B2237="","",IF(INDEX(Dossiers!$F$4:$F$63,43)="","",INDEX(Dossiers!$F$4:$F$63,43)))</f>
        <v/>
      </c>
      <c r="K2237" s="29">
        <f>IF($B2237="","",IF(INDEX(Dossiers!$G$4:$G$63,43)="","",INDEX(Dossiers!$G$4:$G$63,43)))</f>
        <v/>
      </c>
    </row>
    <row r="2238">
      <c r="A2238">
        <f>IF($B2238="","",INDEX(Dossiers!$E$4:$E$63,43))</f>
        <v/>
      </c>
      <c r="B2238">
        <f>IF(INDEX(Suivi!$B:$B,2281)="","",INDEX(Suivi!$B:$B,2281))</f>
        <v/>
      </c>
      <c r="C2238">
        <f>IF($B2238="","",IF(INDEX(Suivi!$D:$D,2281)="",INDEX(Suivi!$C:$C,2281),INDEX(Suivi!$D:$D,2281)))</f>
        <v/>
      </c>
      <c r="D2238" s="29">
        <f>IF($B2238="","",INDEX(Suivi!$E:$E,2281))</f>
        <v/>
      </c>
      <c r="E2238" s="29">
        <f>IF($B2238="","",INDEX(Suivi!$F:$F,2281))</f>
        <v/>
      </c>
      <c r="F2238">
        <f>IF($B2238="","",INDEX(Suivi!$G:$G,2281))</f>
        <v/>
      </c>
      <c r="H2238">
        <f>IF(OR($B2238="",NOT(ISNUMBER($D2238))),"",IF($E2238&lt;$D$2,"Passé",IF($D2238&gt;$F$2,"À venir","Dans la période")))</f>
        <v/>
      </c>
      <c r="I2238">
        <f>IF(OR($B2238="",NOT(ISNUMBER($D2238))),"",IF(AND($E2238&lt;$D$2,$G2238&lt;&gt;"X",$F2238&lt;&gt;"Réalisé",$F2238&lt;&gt;"Clôturé"),"RETARD",""))</f>
        <v/>
      </c>
      <c r="J2238" s="29">
        <f>IF($B2238="","",IF(INDEX(Dossiers!$F$4:$F$63,43)="","",INDEX(Dossiers!$F$4:$F$63,43)))</f>
        <v/>
      </c>
      <c r="K2238" s="29">
        <f>IF($B2238="","",IF(INDEX(Dossiers!$G$4:$G$63,43)="","",INDEX(Dossiers!$G$4:$G$63,43)))</f>
        <v/>
      </c>
    </row>
    <row r="2239">
      <c r="A2239">
        <f>IF($B2239="","",INDEX(Dossiers!$E$4:$E$63,43))</f>
        <v/>
      </c>
      <c r="B2239">
        <f>IF(INDEX(Suivi!$B:$B,2282)="","",INDEX(Suivi!$B:$B,2282))</f>
        <v/>
      </c>
      <c r="C2239">
        <f>IF($B2239="","",IF(INDEX(Suivi!$D:$D,2282)="",INDEX(Suivi!$C:$C,2282),INDEX(Suivi!$D:$D,2282)))</f>
        <v/>
      </c>
      <c r="D2239" s="29">
        <f>IF($B2239="","",INDEX(Suivi!$E:$E,2282))</f>
        <v/>
      </c>
      <c r="E2239" s="29">
        <f>IF($B2239="","",INDEX(Suivi!$F:$F,2282))</f>
        <v/>
      </c>
      <c r="F2239">
        <f>IF($B2239="","",INDEX(Suivi!$G:$G,2282))</f>
        <v/>
      </c>
      <c r="H2239">
        <f>IF(OR($B2239="",NOT(ISNUMBER($D2239))),"",IF($E2239&lt;$D$2,"Passé",IF($D2239&gt;$F$2,"À venir","Dans la période")))</f>
        <v/>
      </c>
      <c r="I2239">
        <f>IF(OR($B2239="",NOT(ISNUMBER($D2239))),"",IF(AND($E2239&lt;$D$2,$G2239&lt;&gt;"X",$F2239&lt;&gt;"Réalisé",$F2239&lt;&gt;"Clôturé"),"RETARD",""))</f>
        <v/>
      </c>
      <c r="J2239" s="29">
        <f>IF($B2239="","",IF(INDEX(Dossiers!$F$4:$F$63,43)="","",INDEX(Dossiers!$F$4:$F$63,43)))</f>
        <v/>
      </c>
      <c r="K2239" s="29">
        <f>IF($B2239="","",IF(INDEX(Dossiers!$G$4:$G$63,43)="","",INDEX(Dossiers!$G$4:$G$63,43)))</f>
        <v/>
      </c>
    </row>
    <row r="2240">
      <c r="A2240">
        <f>IF($B2240="","",INDEX(Dossiers!$E$4:$E$63,43))</f>
        <v/>
      </c>
      <c r="B2240">
        <f>IF(INDEX(Suivi!$B:$B,2283)="","",INDEX(Suivi!$B:$B,2283))</f>
        <v/>
      </c>
      <c r="C2240">
        <f>IF($B2240="","",IF(INDEX(Suivi!$D:$D,2283)="",INDEX(Suivi!$C:$C,2283),INDEX(Suivi!$D:$D,2283)))</f>
        <v/>
      </c>
      <c r="D2240" s="29">
        <f>IF($B2240="","",INDEX(Suivi!$E:$E,2283))</f>
        <v/>
      </c>
      <c r="E2240" s="29">
        <f>IF($B2240="","",INDEX(Suivi!$F:$F,2283))</f>
        <v/>
      </c>
      <c r="F2240">
        <f>IF($B2240="","",INDEX(Suivi!$G:$G,2283))</f>
        <v/>
      </c>
      <c r="H2240">
        <f>IF(OR($B2240="",NOT(ISNUMBER($D2240))),"",IF($E2240&lt;$D$2,"Passé",IF($D2240&gt;$F$2,"À venir","Dans la période")))</f>
        <v/>
      </c>
      <c r="I2240">
        <f>IF(OR($B2240="",NOT(ISNUMBER($D2240))),"",IF(AND($E2240&lt;$D$2,$G2240&lt;&gt;"X",$F2240&lt;&gt;"Réalisé",$F2240&lt;&gt;"Clôturé"),"RETARD",""))</f>
        <v/>
      </c>
      <c r="J2240" s="29">
        <f>IF($B2240="","",IF(INDEX(Dossiers!$F$4:$F$63,43)="","",INDEX(Dossiers!$F$4:$F$63,43)))</f>
        <v/>
      </c>
      <c r="K2240" s="29">
        <f>IF($B2240="","",IF(INDEX(Dossiers!$G$4:$G$63,43)="","",INDEX(Dossiers!$G$4:$G$63,43)))</f>
        <v/>
      </c>
    </row>
    <row r="2241">
      <c r="A2241">
        <f>IF($B2241="","",INDEX(Dossiers!$E$4:$E$63,43))</f>
        <v/>
      </c>
      <c r="B2241">
        <f>IF(INDEX(Suivi!$B:$B,2284)="","",INDEX(Suivi!$B:$B,2284))</f>
        <v/>
      </c>
      <c r="C2241">
        <f>IF($B2241="","",IF(INDEX(Suivi!$D:$D,2284)="",INDEX(Suivi!$C:$C,2284),INDEX(Suivi!$D:$D,2284)))</f>
        <v/>
      </c>
      <c r="D2241" s="29">
        <f>IF($B2241="","",INDEX(Suivi!$E:$E,2284))</f>
        <v/>
      </c>
      <c r="E2241" s="29">
        <f>IF($B2241="","",INDEX(Suivi!$F:$F,2284))</f>
        <v/>
      </c>
      <c r="F2241">
        <f>IF($B2241="","",INDEX(Suivi!$G:$G,2284))</f>
        <v/>
      </c>
      <c r="H2241">
        <f>IF(OR($B2241="",NOT(ISNUMBER($D2241))),"",IF($E2241&lt;$D$2,"Passé",IF($D2241&gt;$F$2,"À venir","Dans la période")))</f>
        <v/>
      </c>
      <c r="I2241">
        <f>IF(OR($B2241="",NOT(ISNUMBER($D2241))),"",IF(AND($E2241&lt;$D$2,$G2241&lt;&gt;"X",$F2241&lt;&gt;"Réalisé",$F2241&lt;&gt;"Clôturé"),"RETARD",""))</f>
        <v/>
      </c>
      <c r="J2241" s="29">
        <f>IF($B2241="","",IF(INDEX(Dossiers!$F$4:$F$63,43)="","",INDEX(Dossiers!$F$4:$F$63,43)))</f>
        <v/>
      </c>
      <c r="K2241" s="29">
        <f>IF($B2241="","",IF(INDEX(Dossiers!$G$4:$G$63,43)="","",INDEX(Dossiers!$G$4:$G$63,43)))</f>
        <v/>
      </c>
    </row>
    <row r="2242">
      <c r="A2242">
        <f>IF($B2242="","",INDEX(Dossiers!$E$4:$E$63,43))</f>
        <v/>
      </c>
      <c r="B2242">
        <f>IF(INDEX(Suivi!$B:$B,2285)="","",INDEX(Suivi!$B:$B,2285))</f>
        <v/>
      </c>
      <c r="C2242">
        <f>IF($B2242="","",IF(INDEX(Suivi!$D:$D,2285)="",INDEX(Suivi!$C:$C,2285),INDEX(Suivi!$D:$D,2285)))</f>
        <v/>
      </c>
      <c r="D2242" s="29">
        <f>IF($B2242="","",INDEX(Suivi!$E:$E,2285))</f>
        <v/>
      </c>
      <c r="E2242" s="29">
        <f>IF($B2242="","",INDEX(Suivi!$F:$F,2285))</f>
        <v/>
      </c>
      <c r="F2242">
        <f>IF($B2242="","",INDEX(Suivi!$G:$G,2285))</f>
        <v/>
      </c>
      <c r="H2242">
        <f>IF(OR($B2242="",NOT(ISNUMBER($D2242))),"",IF($E2242&lt;$D$2,"Passé",IF($D2242&gt;$F$2,"À venir","Dans la période")))</f>
        <v/>
      </c>
      <c r="I2242">
        <f>IF(OR($B2242="",NOT(ISNUMBER($D2242))),"",IF(AND($E2242&lt;$D$2,$G2242&lt;&gt;"X",$F2242&lt;&gt;"Réalisé",$F2242&lt;&gt;"Clôturé"),"RETARD",""))</f>
        <v/>
      </c>
      <c r="J2242" s="29">
        <f>IF($B2242="","",IF(INDEX(Dossiers!$F$4:$F$63,43)="","",INDEX(Dossiers!$F$4:$F$63,43)))</f>
        <v/>
      </c>
      <c r="K2242" s="29">
        <f>IF($B2242="","",IF(INDEX(Dossiers!$G$4:$G$63,43)="","",INDEX(Dossiers!$G$4:$G$63,43)))</f>
        <v/>
      </c>
    </row>
    <row r="2243">
      <c r="A2243">
        <f>IF($B2243="","",INDEX(Dossiers!$E$4:$E$63,43))</f>
        <v/>
      </c>
      <c r="B2243">
        <f>IF(INDEX(Suivi!$B:$B,2286)="","",INDEX(Suivi!$B:$B,2286))</f>
        <v/>
      </c>
      <c r="C2243">
        <f>IF($B2243="","",IF(INDEX(Suivi!$D:$D,2286)="",INDEX(Suivi!$C:$C,2286),INDEX(Suivi!$D:$D,2286)))</f>
        <v/>
      </c>
      <c r="D2243" s="29">
        <f>IF($B2243="","",INDEX(Suivi!$E:$E,2286))</f>
        <v/>
      </c>
      <c r="E2243" s="29">
        <f>IF($B2243="","",INDEX(Suivi!$F:$F,2286))</f>
        <v/>
      </c>
      <c r="F2243">
        <f>IF($B2243="","",INDEX(Suivi!$G:$G,2286))</f>
        <v/>
      </c>
      <c r="H2243">
        <f>IF(OR($B2243="",NOT(ISNUMBER($D2243))),"",IF($E2243&lt;$D$2,"Passé",IF($D2243&gt;$F$2,"À venir","Dans la période")))</f>
        <v/>
      </c>
      <c r="I2243">
        <f>IF(OR($B2243="",NOT(ISNUMBER($D2243))),"",IF(AND($E2243&lt;$D$2,$G2243&lt;&gt;"X",$F2243&lt;&gt;"Réalisé",$F2243&lt;&gt;"Clôturé"),"RETARD",""))</f>
        <v/>
      </c>
      <c r="J2243" s="29">
        <f>IF($B2243="","",IF(INDEX(Dossiers!$F$4:$F$63,43)="","",INDEX(Dossiers!$F$4:$F$63,43)))</f>
        <v/>
      </c>
      <c r="K2243" s="29">
        <f>IF($B2243="","",IF(INDEX(Dossiers!$G$4:$G$63,43)="","",INDEX(Dossiers!$G$4:$G$63,43)))</f>
        <v/>
      </c>
    </row>
    <row r="2244">
      <c r="A2244">
        <f>IF($B2244="","",INDEX(Dossiers!$E$4:$E$63,43))</f>
        <v/>
      </c>
      <c r="B2244">
        <f>IF(INDEX(Suivi!$B:$B,2287)="","",INDEX(Suivi!$B:$B,2287))</f>
        <v/>
      </c>
      <c r="C2244">
        <f>IF($B2244="","",IF(INDEX(Suivi!$D:$D,2287)="",INDEX(Suivi!$C:$C,2287),INDEX(Suivi!$D:$D,2287)))</f>
        <v/>
      </c>
      <c r="D2244" s="29">
        <f>IF($B2244="","",INDEX(Suivi!$E:$E,2287))</f>
        <v/>
      </c>
      <c r="E2244" s="29">
        <f>IF($B2244="","",INDEX(Suivi!$F:$F,2287))</f>
        <v/>
      </c>
      <c r="F2244">
        <f>IF($B2244="","",INDEX(Suivi!$G:$G,2287))</f>
        <v/>
      </c>
      <c r="H2244">
        <f>IF(OR($B2244="",NOT(ISNUMBER($D2244))),"",IF($E2244&lt;$D$2,"Passé",IF($D2244&gt;$F$2,"À venir","Dans la période")))</f>
        <v/>
      </c>
      <c r="I2244">
        <f>IF(OR($B2244="",NOT(ISNUMBER($D2244))),"",IF(AND($E2244&lt;$D$2,$G2244&lt;&gt;"X",$F2244&lt;&gt;"Réalisé",$F2244&lt;&gt;"Clôturé"),"RETARD",""))</f>
        <v/>
      </c>
      <c r="J2244" s="29">
        <f>IF($B2244="","",IF(INDEX(Dossiers!$F$4:$F$63,43)="","",INDEX(Dossiers!$F$4:$F$63,43)))</f>
        <v/>
      </c>
      <c r="K2244" s="29">
        <f>IF($B2244="","",IF(INDEX(Dossiers!$G$4:$G$63,43)="","",INDEX(Dossiers!$G$4:$G$63,43)))</f>
        <v/>
      </c>
    </row>
    <row r="2245">
      <c r="A2245">
        <f>IF($B2245="","",INDEX(Dossiers!$E$4:$E$63,43))</f>
        <v/>
      </c>
      <c r="B2245">
        <f>IF(INDEX(Suivi!$B:$B,2288)="","",INDEX(Suivi!$B:$B,2288))</f>
        <v/>
      </c>
      <c r="C2245">
        <f>IF($B2245="","",IF(INDEX(Suivi!$D:$D,2288)="",INDEX(Suivi!$C:$C,2288),INDEX(Suivi!$D:$D,2288)))</f>
        <v/>
      </c>
      <c r="D2245" s="29">
        <f>IF($B2245="","",INDEX(Suivi!$E:$E,2288))</f>
        <v/>
      </c>
      <c r="E2245" s="29">
        <f>IF($B2245="","",INDEX(Suivi!$F:$F,2288))</f>
        <v/>
      </c>
      <c r="F2245">
        <f>IF($B2245="","",INDEX(Suivi!$G:$G,2288))</f>
        <v/>
      </c>
      <c r="H2245">
        <f>IF(OR($B2245="",NOT(ISNUMBER($D2245))),"",IF($E2245&lt;$D$2,"Passé",IF($D2245&gt;$F$2,"À venir","Dans la période")))</f>
        <v/>
      </c>
      <c r="I2245">
        <f>IF(OR($B2245="",NOT(ISNUMBER($D2245))),"",IF(AND($E2245&lt;$D$2,$G2245&lt;&gt;"X",$F2245&lt;&gt;"Réalisé",$F2245&lt;&gt;"Clôturé"),"RETARD",""))</f>
        <v/>
      </c>
      <c r="J2245" s="29">
        <f>IF($B2245="","",IF(INDEX(Dossiers!$F$4:$F$63,43)="","",INDEX(Dossiers!$F$4:$F$63,43)))</f>
        <v/>
      </c>
      <c r="K2245" s="29">
        <f>IF($B2245="","",IF(INDEX(Dossiers!$G$4:$G$63,43)="","",INDEX(Dossiers!$G$4:$G$63,43)))</f>
        <v/>
      </c>
    </row>
    <row r="2246">
      <c r="A2246">
        <f>IF($B2246="","",INDEX(Dossiers!$E$4:$E$63,43))</f>
        <v/>
      </c>
      <c r="B2246">
        <f>IF(INDEX(Suivi!$B:$B,2289)="","",INDEX(Suivi!$B:$B,2289))</f>
        <v/>
      </c>
      <c r="C2246">
        <f>IF($B2246="","",IF(INDEX(Suivi!$D:$D,2289)="",INDEX(Suivi!$C:$C,2289),INDEX(Suivi!$D:$D,2289)))</f>
        <v/>
      </c>
      <c r="D2246" s="29">
        <f>IF($B2246="","",INDEX(Suivi!$E:$E,2289))</f>
        <v/>
      </c>
      <c r="E2246" s="29">
        <f>IF($B2246="","",INDEX(Suivi!$F:$F,2289))</f>
        <v/>
      </c>
      <c r="F2246">
        <f>IF($B2246="","",INDEX(Suivi!$G:$G,2289))</f>
        <v/>
      </c>
      <c r="H2246">
        <f>IF(OR($B2246="",NOT(ISNUMBER($D2246))),"",IF($E2246&lt;$D$2,"Passé",IF($D2246&gt;$F$2,"À venir","Dans la période")))</f>
        <v/>
      </c>
      <c r="I2246">
        <f>IF(OR($B2246="",NOT(ISNUMBER($D2246))),"",IF(AND($E2246&lt;$D$2,$G2246&lt;&gt;"X",$F2246&lt;&gt;"Réalisé",$F2246&lt;&gt;"Clôturé"),"RETARD",""))</f>
        <v/>
      </c>
      <c r="J2246" s="29">
        <f>IF($B2246="","",IF(INDEX(Dossiers!$F$4:$F$63,43)="","",INDEX(Dossiers!$F$4:$F$63,43)))</f>
        <v/>
      </c>
      <c r="K2246" s="29">
        <f>IF($B2246="","",IF(INDEX(Dossiers!$G$4:$G$63,43)="","",INDEX(Dossiers!$G$4:$G$63,43)))</f>
        <v/>
      </c>
    </row>
    <row r="2247">
      <c r="A2247">
        <f>IF($B2247="","",INDEX(Dossiers!$E$4:$E$63,43))</f>
        <v/>
      </c>
      <c r="B2247">
        <f>IF(INDEX(Suivi!$B:$B,2290)="","",INDEX(Suivi!$B:$B,2290))</f>
        <v/>
      </c>
      <c r="C2247">
        <f>IF($B2247="","",IF(INDEX(Suivi!$D:$D,2290)="",INDEX(Suivi!$C:$C,2290),INDEX(Suivi!$D:$D,2290)))</f>
        <v/>
      </c>
      <c r="D2247" s="29">
        <f>IF($B2247="","",INDEX(Suivi!$E:$E,2290))</f>
        <v/>
      </c>
      <c r="E2247" s="29">
        <f>IF($B2247="","",INDEX(Suivi!$F:$F,2290))</f>
        <v/>
      </c>
      <c r="F2247">
        <f>IF($B2247="","",INDEX(Suivi!$G:$G,2290))</f>
        <v/>
      </c>
      <c r="H2247">
        <f>IF(OR($B2247="",NOT(ISNUMBER($D2247))),"",IF($E2247&lt;$D$2,"Passé",IF($D2247&gt;$F$2,"À venir","Dans la période")))</f>
        <v/>
      </c>
      <c r="I2247">
        <f>IF(OR($B2247="",NOT(ISNUMBER($D2247))),"",IF(AND($E2247&lt;$D$2,$G2247&lt;&gt;"X",$F2247&lt;&gt;"Réalisé",$F2247&lt;&gt;"Clôturé"),"RETARD",""))</f>
        <v/>
      </c>
      <c r="J2247" s="29">
        <f>IF($B2247="","",IF(INDEX(Dossiers!$F$4:$F$63,43)="","",INDEX(Dossiers!$F$4:$F$63,43)))</f>
        <v/>
      </c>
      <c r="K2247" s="29">
        <f>IF($B2247="","",IF(INDEX(Dossiers!$G$4:$G$63,43)="","",INDEX(Dossiers!$G$4:$G$63,43)))</f>
        <v/>
      </c>
    </row>
    <row r="2248">
      <c r="A2248">
        <f>IF($B2248="","",INDEX(Dossiers!$E$4:$E$63,43))</f>
        <v/>
      </c>
      <c r="B2248">
        <f>IF(INDEX(Suivi!$B:$B,2291)="","",INDEX(Suivi!$B:$B,2291))</f>
        <v/>
      </c>
      <c r="C2248">
        <f>IF($B2248="","",IF(INDEX(Suivi!$D:$D,2291)="",INDEX(Suivi!$C:$C,2291),INDEX(Suivi!$D:$D,2291)))</f>
        <v/>
      </c>
      <c r="D2248" s="29">
        <f>IF($B2248="","",INDEX(Suivi!$E:$E,2291))</f>
        <v/>
      </c>
      <c r="E2248" s="29">
        <f>IF($B2248="","",INDEX(Suivi!$F:$F,2291))</f>
        <v/>
      </c>
      <c r="F2248">
        <f>IF($B2248="","",INDEX(Suivi!$G:$G,2291))</f>
        <v/>
      </c>
      <c r="H2248">
        <f>IF(OR($B2248="",NOT(ISNUMBER($D2248))),"",IF($E2248&lt;$D$2,"Passé",IF($D2248&gt;$F$2,"À venir","Dans la période")))</f>
        <v/>
      </c>
      <c r="I2248">
        <f>IF(OR($B2248="",NOT(ISNUMBER($D2248))),"",IF(AND($E2248&lt;$D$2,$G2248&lt;&gt;"X",$F2248&lt;&gt;"Réalisé",$F2248&lt;&gt;"Clôturé"),"RETARD",""))</f>
        <v/>
      </c>
      <c r="J2248" s="29">
        <f>IF($B2248="","",IF(INDEX(Dossiers!$F$4:$F$63,43)="","",INDEX(Dossiers!$F$4:$F$63,43)))</f>
        <v/>
      </c>
      <c r="K2248" s="29">
        <f>IF($B2248="","",IF(INDEX(Dossiers!$G$4:$G$63,43)="","",INDEX(Dossiers!$G$4:$G$63,43)))</f>
        <v/>
      </c>
    </row>
    <row r="2249">
      <c r="A2249">
        <f>IF($B2249="","",INDEX(Dossiers!$E$4:$E$63,43))</f>
        <v/>
      </c>
      <c r="B2249">
        <f>IF(INDEX(Suivi!$B:$B,2292)="","",INDEX(Suivi!$B:$B,2292))</f>
        <v/>
      </c>
      <c r="C2249">
        <f>IF($B2249="","",IF(INDEX(Suivi!$D:$D,2292)="",INDEX(Suivi!$C:$C,2292),INDEX(Suivi!$D:$D,2292)))</f>
        <v/>
      </c>
      <c r="D2249" s="29">
        <f>IF($B2249="","",INDEX(Suivi!$E:$E,2292))</f>
        <v/>
      </c>
      <c r="E2249" s="29">
        <f>IF($B2249="","",INDEX(Suivi!$F:$F,2292))</f>
        <v/>
      </c>
      <c r="F2249">
        <f>IF($B2249="","",INDEX(Suivi!$G:$G,2292))</f>
        <v/>
      </c>
      <c r="H2249">
        <f>IF(OR($B2249="",NOT(ISNUMBER($D2249))),"",IF($E2249&lt;$D$2,"Passé",IF($D2249&gt;$F$2,"À venir","Dans la période")))</f>
        <v/>
      </c>
      <c r="I2249">
        <f>IF(OR($B2249="",NOT(ISNUMBER($D2249))),"",IF(AND($E2249&lt;$D$2,$G2249&lt;&gt;"X",$F2249&lt;&gt;"Réalisé",$F2249&lt;&gt;"Clôturé"),"RETARD",""))</f>
        <v/>
      </c>
      <c r="J2249" s="29">
        <f>IF($B2249="","",IF(INDEX(Dossiers!$F$4:$F$63,43)="","",INDEX(Dossiers!$F$4:$F$63,43)))</f>
        <v/>
      </c>
      <c r="K2249" s="29">
        <f>IF($B2249="","",IF(INDEX(Dossiers!$G$4:$G$63,43)="","",INDEX(Dossiers!$G$4:$G$63,43)))</f>
        <v/>
      </c>
    </row>
    <row r="2250">
      <c r="A2250">
        <f>IF($B2250="","",INDEX(Dossiers!$E$4:$E$63,43))</f>
        <v/>
      </c>
      <c r="B2250">
        <f>IF(INDEX(Suivi!$B:$B,2293)="","",INDEX(Suivi!$B:$B,2293))</f>
        <v/>
      </c>
      <c r="C2250">
        <f>IF($B2250="","",IF(INDEX(Suivi!$D:$D,2293)="",INDEX(Suivi!$C:$C,2293),INDEX(Suivi!$D:$D,2293)))</f>
        <v/>
      </c>
      <c r="D2250" s="29">
        <f>IF($B2250="","",INDEX(Suivi!$E:$E,2293))</f>
        <v/>
      </c>
      <c r="E2250" s="29">
        <f>IF($B2250="","",INDEX(Suivi!$F:$F,2293))</f>
        <v/>
      </c>
      <c r="F2250">
        <f>IF($B2250="","",INDEX(Suivi!$G:$G,2293))</f>
        <v/>
      </c>
      <c r="H2250">
        <f>IF(OR($B2250="",NOT(ISNUMBER($D2250))),"",IF($E2250&lt;$D$2,"Passé",IF($D2250&gt;$F$2,"À venir","Dans la période")))</f>
        <v/>
      </c>
      <c r="I2250">
        <f>IF(OR($B2250="",NOT(ISNUMBER($D2250))),"",IF(AND($E2250&lt;$D$2,$G2250&lt;&gt;"X",$F2250&lt;&gt;"Réalisé",$F2250&lt;&gt;"Clôturé"),"RETARD",""))</f>
        <v/>
      </c>
      <c r="J2250" s="29">
        <f>IF($B2250="","",IF(INDEX(Dossiers!$F$4:$F$63,43)="","",INDEX(Dossiers!$F$4:$F$63,43)))</f>
        <v/>
      </c>
      <c r="K2250" s="29">
        <f>IF($B2250="","",IF(INDEX(Dossiers!$G$4:$G$63,43)="","",INDEX(Dossiers!$G$4:$G$63,43)))</f>
        <v/>
      </c>
    </row>
    <row r="2251">
      <c r="A2251">
        <f>IF($B2251="","",INDEX(Dossiers!$E$4:$E$63,43))</f>
        <v/>
      </c>
      <c r="B2251">
        <f>IF(INDEX(Suivi!$B:$B,2294)="","",INDEX(Suivi!$B:$B,2294))</f>
        <v/>
      </c>
      <c r="C2251">
        <f>IF($B2251="","",IF(INDEX(Suivi!$D:$D,2294)="",INDEX(Suivi!$C:$C,2294),INDEX(Suivi!$D:$D,2294)))</f>
        <v/>
      </c>
      <c r="D2251" s="29">
        <f>IF($B2251="","",INDEX(Suivi!$E:$E,2294))</f>
        <v/>
      </c>
      <c r="E2251" s="29">
        <f>IF($B2251="","",INDEX(Suivi!$F:$F,2294))</f>
        <v/>
      </c>
      <c r="F2251">
        <f>IF($B2251="","",INDEX(Suivi!$G:$G,2294))</f>
        <v/>
      </c>
      <c r="H2251">
        <f>IF(OR($B2251="",NOT(ISNUMBER($D2251))),"",IF($E2251&lt;$D$2,"Passé",IF($D2251&gt;$F$2,"À venir","Dans la période")))</f>
        <v/>
      </c>
      <c r="I2251">
        <f>IF(OR($B2251="",NOT(ISNUMBER($D2251))),"",IF(AND($E2251&lt;$D$2,$G2251&lt;&gt;"X",$F2251&lt;&gt;"Réalisé",$F2251&lt;&gt;"Clôturé"),"RETARD",""))</f>
        <v/>
      </c>
      <c r="J2251" s="29">
        <f>IF($B2251="","",IF(INDEX(Dossiers!$F$4:$F$63,43)="","",INDEX(Dossiers!$F$4:$F$63,43)))</f>
        <v/>
      </c>
      <c r="K2251" s="29">
        <f>IF($B2251="","",IF(INDEX(Dossiers!$G$4:$G$63,43)="","",INDEX(Dossiers!$G$4:$G$63,43)))</f>
        <v/>
      </c>
    </row>
    <row r="2252">
      <c r="A2252">
        <f>IF($B2252="","",INDEX(Dossiers!$E$4:$E$63,43))</f>
        <v/>
      </c>
      <c r="B2252">
        <f>IF(INDEX(Suivi!$B:$B,2295)="","",INDEX(Suivi!$B:$B,2295))</f>
        <v/>
      </c>
      <c r="C2252">
        <f>IF($B2252="","",IF(INDEX(Suivi!$D:$D,2295)="",INDEX(Suivi!$C:$C,2295),INDEX(Suivi!$D:$D,2295)))</f>
        <v/>
      </c>
      <c r="D2252" s="29">
        <f>IF($B2252="","",INDEX(Suivi!$E:$E,2295))</f>
        <v/>
      </c>
      <c r="E2252" s="29">
        <f>IF($B2252="","",INDEX(Suivi!$F:$F,2295))</f>
        <v/>
      </c>
      <c r="F2252">
        <f>IF($B2252="","",INDEX(Suivi!$G:$G,2295))</f>
        <v/>
      </c>
      <c r="H2252">
        <f>IF(OR($B2252="",NOT(ISNUMBER($D2252))),"",IF($E2252&lt;$D$2,"Passé",IF($D2252&gt;$F$2,"À venir","Dans la période")))</f>
        <v/>
      </c>
      <c r="I2252">
        <f>IF(OR($B2252="",NOT(ISNUMBER($D2252))),"",IF(AND($E2252&lt;$D$2,$G2252&lt;&gt;"X",$F2252&lt;&gt;"Réalisé",$F2252&lt;&gt;"Clôturé"),"RETARD",""))</f>
        <v/>
      </c>
      <c r="J2252" s="29">
        <f>IF($B2252="","",IF(INDEX(Dossiers!$F$4:$F$63,43)="","",INDEX(Dossiers!$F$4:$F$63,43)))</f>
        <v/>
      </c>
      <c r="K2252" s="29">
        <f>IF($B2252="","",IF(INDEX(Dossiers!$G$4:$G$63,43)="","",INDEX(Dossiers!$G$4:$G$63,43)))</f>
        <v/>
      </c>
    </row>
    <row r="2253">
      <c r="A2253">
        <f>IF($B2253="","",INDEX(Dossiers!$E$4:$E$63,43))</f>
        <v/>
      </c>
      <c r="B2253">
        <f>IF(INDEX(Suivi!$B:$B,2296)="","",INDEX(Suivi!$B:$B,2296))</f>
        <v/>
      </c>
      <c r="C2253">
        <f>IF($B2253="","",IF(INDEX(Suivi!$D:$D,2296)="",INDEX(Suivi!$C:$C,2296),INDEX(Suivi!$D:$D,2296)))</f>
        <v/>
      </c>
      <c r="D2253" s="29">
        <f>IF($B2253="","",INDEX(Suivi!$E:$E,2296))</f>
        <v/>
      </c>
      <c r="E2253" s="29">
        <f>IF($B2253="","",INDEX(Suivi!$F:$F,2296))</f>
        <v/>
      </c>
      <c r="F2253">
        <f>IF($B2253="","",INDEX(Suivi!$G:$G,2296))</f>
        <v/>
      </c>
      <c r="H2253">
        <f>IF(OR($B2253="",NOT(ISNUMBER($D2253))),"",IF($E2253&lt;$D$2,"Passé",IF($D2253&gt;$F$2,"À venir","Dans la période")))</f>
        <v/>
      </c>
      <c r="I2253">
        <f>IF(OR($B2253="",NOT(ISNUMBER($D2253))),"",IF(AND($E2253&lt;$D$2,$G2253&lt;&gt;"X",$F2253&lt;&gt;"Réalisé",$F2253&lt;&gt;"Clôturé"),"RETARD",""))</f>
        <v/>
      </c>
      <c r="J2253" s="29">
        <f>IF($B2253="","",IF(INDEX(Dossiers!$F$4:$F$63,43)="","",INDEX(Dossiers!$F$4:$F$63,43)))</f>
        <v/>
      </c>
      <c r="K2253" s="29">
        <f>IF($B2253="","",IF(INDEX(Dossiers!$G$4:$G$63,43)="","",INDEX(Dossiers!$G$4:$G$63,43)))</f>
        <v/>
      </c>
    </row>
    <row r="2254">
      <c r="A2254">
        <f>IF($B2254="","",INDEX(Dossiers!$E$4:$E$63,43))</f>
        <v/>
      </c>
      <c r="B2254">
        <f>IF(INDEX(Suivi!$B:$B,2297)="","",INDEX(Suivi!$B:$B,2297))</f>
        <v/>
      </c>
      <c r="C2254">
        <f>IF($B2254="","",IF(INDEX(Suivi!$D:$D,2297)="",INDEX(Suivi!$C:$C,2297),INDEX(Suivi!$D:$D,2297)))</f>
        <v/>
      </c>
      <c r="D2254" s="29">
        <f>IF($B2254="","",INDEX(Suivi!$E:$E,2297))</f>
        <v/>
      </c>
      <c r="E2254" s="29">
        <f>IF($B2254="","",INDEX(Suivi!$F:$F,2297))</f>
        <v/>
      </c>
      <c r="F2254">
        <f>IF($B2254="","",INDEX(Suivi!$G:$G,2297))</f>
        <v/>
      </c>
      <c r="H2254">
        <f>IF(OR($B2254="",NOT(ISNUMBER($D2254))),"",IF($E2254&lt;$D$2,"Passé",IF($D2254&gt;$F$2,"À venir","Dans la période")))</f>
        <v/>
      </c>
      <c r="I2254">
        <f>IF(OR($B2254="",NOT(ISNUMBER($D2254))),"",IF(AND($E2254&lt;$D$2,$G2254&lt;&gt;"X",$F2254&lt;&gt;"Réalisé",$F2254&lt;&gt;"Clôturé"),"RETARD",""))</f>
        <v/>
      </c>
      <c r="J2254" s="29">
        <f>IF($B2254="","",IF(INDEX(Dossiers!$F$4:$F$63,43)="","",INDEX(Dossiers!$F$4:$F$63,43)))</f>
        <v/>
      </c>
      <c r="K2254" s="29">
        <f>IF($B2254="","",IF(INDEX(Dossiers!$G$4:$G$63,43)="","",INDEX(Dossiers!$G$4:$G$63,43)))</f>
        <v/>
      </c>
    </row>
    <row r="2255">
      <c r="A2255">
        <f>IF($B2255="","",INDEX(Dossiers!$E$4:$E$63,43))</f>
        <v/>
      </c>
      <c r="B2255">
        <f>IF(INDEX(Suivi!$B:$B,2298)="","",INDEX(Suivi!$B:$B,2298))</f>
        <v/>
      </c>
      <c r="C2255">
        <f>IF($B2255="","",IF(INDEX(Suivi!$D:$D,2298)="",INDEX(Suivi!$C:$C,2298),INDEX(Suivi!$D:$D,2298)))</f>
        <v/>
      </c>
      <c r="D2255" s="29">
        <f>IF($B2255="","",INDEX(Suivi!$E:$E,2298))</f>
        <v/>
      </c>
      <c r="E2255" s="29">
        <f>IF($B2255="","",INDEX(Suivi!$F:$F,2298))</f>
        <v/>
      </c>
      <c r="F2255">
        <f>IF($B2255="","",INDEX(Suivi!$G:$G,2298))</f>
        <v/>
      </c>
      <c r="H2255">
        <f>IF(OR($B2255="",NOT(ISNUMBER($D2255))),"",IF($E2255&lt;$D$2,"Passé",IF($D2255&gt;$F$2,"À venir","Dans la période")))</f>
        <v/>
      </c>
      <c r="I2255">
        <f>IF(OR($B2255="",NOT(ISNUMBER($D2255))),"",IF(AND($E2255&lt;$D$2,$G2255&lt;&gt;"X",$F2255&lt;&gt;"Réalisé",$F2255&lt;&gt;"Clôturé"),"RETARD",""))</f>
        <v/>
      </c>
      <c r="J2255" s="29">
        <f>IF($B2255="","",IF(INDEX(Dossiers!$F$4:$F$63,43)="","",INDEX(Dossiers!$F$4:$F$63,43)))</f>
        <v/>
      </c>
      <c r="K2255" s="29">
        <f>IF($B2255="","",IF(INDEX(Dossiers!$G$4:$G$63,43)="","",INDEX(Dossiers!$G$4:$G$63,43)))</f>
        <v/>
      </c>
    </row>
    <row r="2256">
      <c r="A2256">
        <f>IF($B2256="","",INDEX(Dossiers!$E$4:$E$63,43))</f>
        <v/>
      </c>
      <c r="B2256">
        <f>IF(INDEX(Suivi!$B:$B,2299)="","",INDEX(Suivi!$B:$B,2299))</f>
        <v/>
      </c>
      <c r="C2256">
        <f>IF($B2256="","",IF(INDEX(Suivi!$D:$D,2299)="",INDEX(Suivi!$C:$C,2299),INDEX(Suivi!$D:$D,2299)))</f>
        <v/>
      </c>
      <c r="D2256" s="29">
        <f>IF($B2256="","",INDEX(Suivi!$E:$E,2299))</f>
        <v/>
      </c>
      <c r="E2256" s="29">
        <f>IF($B2256="","",INDEX(Suivi!$F:$F,2299))</f>
        <v/>
      </c>
      <c r="F2256">
        <f>IF($B2256="","",INDEX(Suivi!$G:$G,2299))</f>
        <v/>
      </c>
      <c r="H2256">
        <f>IF(OR($B2256="",NOT(ISNUMBER($D2256))),"",IF($E2256&lt;$D$2,"Passé",IF($D2256&gt;$F$2,"À venir","Dans la période")))</f>
        <v/>
      </c>
      <c r="I2256">
        <f>IF(OR($B2256="",NOT(ISNUMBER($D2256))),"",IF(AND($E2256&lt;$D$2,$G2256&lt;&gt;"X",$F2256&lt;&gt;"Réalisé",$F2256&lt;&gt;"Clôturé"),"RETARD",""))</f>
        <v/>
      </c>
      <c r="J2256" s="29">
        <f>IF($B2256="","",IF(INDEX(Dossiers!$F$4:$F$63,43)="","",INDEX(Dossiers!$F$4:$F$63,43)))</f>
        <v/>
      </c>
      <c r="K2256" s="29">
        <f>IF($B2256="","",IF(INDEX(Dossiers!$G$4:$G$63,43)="","",INDEX(Dossiers!$G$4:$G$63,43)))</f>
        <v/>
      </c>
    </row>
    <row r="2257">
      <c r="A2257">
        <f>IF($B2257="","",INDEX(Dossiers!$E$4:$E$63,43))</f>
        <v/>
      </c>
      <c r="B2257">
        <f>IF(INDEX(Suivi!$B:$B,2300)="","",INDEX(Suivi!$B:$B,2300))</f>
        <v/>
      </c>
      <c r="C2257">
        <f>IF($B2257="","",IF(INDEX(Suivi!$D:$D,2300)="",INDEX(Suivi!$C:$C,2300),INDEX(Suivi!$D:$D,2300)))</f>
        <v/>
      </c>
      <c r="D2257" s="29">
        <f>IF($B2257="","",INDEX(Suivi!$E:$E,2300))</f>
        <v/>
      </c>
      <c r="E2257" s="29">
        <f>IF($B2257="","",INDEX(Suivi!$F:$F,2300))</f>
        <v/>
      </c>
      <c r="F2257">
        <f>IF($B2257="","",INDEX(Suivi!$G:$G,2300))</f>
        <v/>
      </c>
      <c r="H2257">
        <f>IF(OR($B2257="",NOT(ISNUMBER($D2257))),"",IF($E2257&lt;$D$2,"Passé",IF($D2257&gt;$F$2,"À venir","Dans la période")))</f>
        <v/>
      </c>
      <c r="I2257">
        <f>IF(OR($B2257="",NOT(ISNUMBER($D2257))),"",IF(AND($E2257&lt;$D$2,$G2257&lt;&gt;"X",$F2257&lt;&gt;"Réalisé",$F2257&lt;&gt;"Clôturé"),"RETARD",""))</f>
        <v/>
      </c>
      <c r="J2257" s="29">
        <f>IF($B2257="","",IF(INDEX(Dossiers!$F$4:$F$63,43)="","",INDEX(Dossiers!$F$4:$F$63,43)))</f>
        <v/>
      </c>
      <c r="K2257" s="29">
        <f>IF($B2257="","",IF(INDEX(Dossiers!$G$4:$G$63,43)="","",INDEX(Dossiers!$G$4:$G$63,43)))</f>
        <v/>
      </c>
    </row>
    <row r="2258">
      <c r="A2258">
        <f>IF($B2258="","",INDEX(Dossiers!$E$4:$E$63,43))</f>
        <v/>
      </c>
      <c r="B2258">
        <f>IF(INDEX(Suivi!$B:$B,2301)="","",INDEX(Suivi!$B:$B,2301))</f>
        <v/>
      </c>
      <c r="C2258">
        <f>IF($B2258="","",IF(INDEX(Suivi!$D:$D,2301)="",INDEX(Suivi!$C:$C,2301),INDEX(Suivi!$D:$D,2301)))</f>
        <v/>
      </c>
      <c r="D2258" s="29">
        <f>IF($B2258="","",INDEX(Suivi!$E:$E,2301))</f>
        <v/>
      </c>
      <c r="E2258" s="29">
        <f>IF($B2258="","",INDEX(Suivi!$F:$F,2301))</f>
        <v/>
      </c>
      <c r="F2258">
        <f>IF($B2258="","",INDEX(Suivi!$G:$G,2301))</f>
        <v/>
      </c>
      <c r="H2258">
        <f>IF(OR($B2258="",NOT(ISNUMBER($D2258))),"",IF($E2258&lt;$D$2,"Passé",IF($D2258&gt;$F$2,"À venir","Dans la période")))</f>
        <v/>
      </c>
      <c r="I2258">
        <f>IF(OR($B2258="",NOT(ISNUMBER($D2258))),"",IF(AND($E2258&lt;$D$2,$G2258&lt;&gt;"X",$F2258&lt;&gt;"Réalisé",$F2258&lt;&gt;"Clôturé"),"RETARD",""))</f>
        <v/>
      </c>
      <c r="J2258" s="29">
        <f>IF($B2258="","",IF(INDEX(Dossiers!$F$4:$F$63,43)="","",INDEX(Dossiers!$F$4:$F$63,43)))</f>
        <v/>
      </c>
      <c r="K2258" s="29">
        <f>IF($B2258="","",IF(INDEX(Dossiers!$G$4:$G$63,43)="","",INDEX(Dossiers!$G$4:$G$63,43)))</f>
        <v/>
      </c>
    </row>
    <row r="2259">
      <c r="A2259">
        <f>IF($B2259="","",INDEX(Dossiers!$E$4:$E$63,43))</f>
        <v/>
      </c>
      <c r="B2259">
        <f>IF(INDEX(Suivi!$B:$B,2302)="","",INDEX(Suivi!$B:$B,2302))</f>
        <v/>
      </c>
      <c r="C2259">
        <f>IF($B2259="","",IF(INDEX(Suivi!$D:$D,2302)="",INDEX(Suivi!$C:$C,2302),INDEX(Suivi!$D:$D,2302)))</f>
        <v/>
      </c>
      <c r="D2259" s="29">
        <f>IF($B2259="","",INDEX(Suivi!$E:$E,2302))</f>
        <v/>
      </c>
      <c r="E2259" s="29">
        <f>IF($B2259="","",INDEX(Suivi!$F:$F,2302))</f>
        <v/>
      </c>
      <c r="F2259">
        <f>IF($B2259="","",INDEX(Suivi!$G:$G,2302))</f>
        <v/>
      </c>
      <c r="H2259">
        <f>IF(OR($B2259="",NOT(ISNUMBER($D2259))),"",IF($E2259&lt;$D$2,"Passé",IF($D2259&gt;$F$2,"À venir","Dans la période")))</f>
        <v/>
      </c>
      <c r="I2259">
        <f>IF(OR($B2259="",NOT(ISNUMBER($D2259))),"",IF(AND($E2259&lt;$D$2,$G2259&lt;&gt;"X",$F2259&lt;&gt;"Réalisé",$F2259&lt;&gt;"Clôturé"),"RETARD",""))</f>
        <v/>
      </c>
      <c r="J2259" s="29">
        <f>IF($B2259="","",IF(INDEX(Dossiers!$F$4:$F$63,43)="","",INDEX(Dossiers!$F$4:$F$63,43)))</f>
        <v/>
      </c>
      <c r="K2259" s="29">
        <f>IF($B2259="","",IF(INDEX(Dossiers!$G$4:$G$63,43)="","",INDEX(Dossiers!$G$4:$G$63,43)))</f>
        <v/>
      </c>
    </row>
    <row r="2260">
      <c r="A2260">
        <f>IF($B2260="","",INDEX(Dossiers!$E$4:$E$63,43))</f>
        <v/>
      </c>
      <c r="B2260">
        <f>IF(INDEX(Suivi!$B:$B,2303)="","",INDEX(Suivi!$B:$B,2303))</f>
        <v/>
      </c>
      <c r="C2260">
        <f>IF($B2260="","",IF(INDEX(Suivi!$D:$D,2303)="",INDEX(Suivi!$C:$C,2303),INDEX(Suivi!$D:$D,2303)))</f>
        <v/>
      </c>
      <c r="D2260" s="29">
        <f>IF($B2260="","",INDEX(Suivi!$E:$E,2303))</f>
        <v/>
      </c>
      <c r="E2260" s="29">
        <f>IF($B2260="","",INDEX(Suivi!$F:$F,2303))</f>
        <v/>
      </c>
      <c r="F2260">
        <f>IF($B2260="","",INDEX(Suivi!$G:$G,2303))</f>
        <v/>
      </c>
      <c r="H2260">
        <f>IF(OR($B2260="",NOT(ISNUMBER($D2260))),"",IF($E2260&lt;$D$2,"Passé",IF($D2260&gt;$F$2,"À venir","Dans la période")))</f>
        <v/>
      </c>
      <c r="I2260">
        <f>IF(OR($B2260="",NOT(ISNUMBER($D2260))),"",IF(AND($E2260&lt;$D$2,$G2260&lt;&gt;"X",$F2260&lt;&gt;"Réalisé",$F2260&lt;&gt;"Clôturé"),"RETARD",""))</f>
        <v/>
      </c>
      <c r="J2260" s="29">
        <f>IF($B2260="","",IF(INDEX(Dossiers!$F$4:$F$63,43)="","",INDEX(Dossiers!$F$4:$F$63,43)))</f>
        <v/>
      </c>
      <c r="K2260" s="29">
        <f>IF($B2260="","",IF(INDEX(Dossiers!$G$4:$G$63,43)="","",INDEX(Dossiers!$G$4:$G$63,43)))</f>
        <v/>
      </c>
    </row>
    <row r="2261">
      <c r="A2261">
        <f>IF($B2261="","",INDEX(Dossiers!$E$4:$E$63,43))</f>
        <v/>
      </c>
      <c r="B2261">
        <f>IF(INDEX(Suivi!$B:$B,2304)="","",INDEX(Suivi!$B:$B,2304))</f>
        <v/>
      </c>
      <c r="C2261">
        <f>IF($B2261="","",IF(INDEX(Suivi!$D:$D,2304)="",INDEX(Suivi!$C:$C,2304),INDEX(Suivi!$D:$D,2304)))</f>
        <v/>
      </c>
      <c r="D2261" s="29">
        <f>IF($B2261="","",INDEX(Suivi!$E:$E,2304))</f>
        <v/>
      </c>
      <c r="E2261" s="29">
        <f>IF($B2261="","",INDEX(Suivi!$F:$F,2304))</f>
        <v/>
      </c>
      <c r="F2261">
        <f>IF($B2261="","",INDEX(Suivi!$G:$G,2304))</f>
        <v/>
      </c>
      <c r="H2261">
        <f>IF(OR($B2261="",NOT(ISNUMBER($D2261))),"",IF($E2261&lt;$D$2,"Passé",IF($D2261&gt;$F$2,"À venir","Dans la période")))</f>
        <v/>
      </c>
      <c r="I2261">
        <f>IF(OR($B2261="",NOT(ISNUMBER($D2261))),"",IF(AND($E2261&lt;$D$2,$G2261&lt;&gt;"X",$F2261&lt;&gt;"Réalisé",$F2261&lt;&gt;"Clôturé"),"RETARD",""))</f>
        <v/>
      </c>
      <c r="J2261" s="29">
        <f>IF($B2261="","",IF(INDEX(Dossiers!$F$4:$F$63,43)="","",INDEX(Dossiers!$F$4:$F$63,43)))</f>
        <v/>
      </c>
      <c r="K2261" s="29">
        <f>IF($B2261="","",IF(INDEX(Dossiers!$G$4:$G$63,43)="","",INDEX(Dossiers!$G$4:$G$63,43)))</f>
        <v/>
      </c>
    </row>
    <row r="2262">
      <c r="A2262">
        <f>IF($B2262="","",INDEX(Dossiers!$E$4:$E$63,43))</f>
        <v/>
      </c>
      <c r="B2262">
        <f>IF(INDEX(Suivi!$B:$B,2305)="","",INDEX(Suivi!$B:$B,2305))</f>
        <v/>
      </c>
      <c r="C2262">
        <f>IF($B2262="","",IF(INDEX(Suivi!$D:$D,2305)="",INDEX(Suivi!$C:$C,2305),INDEX(Suivi!$D:$D,2305)))</f>
        <v/>
      </c>
      <c r="D2262" s="29">
        <f>IF($B2262="","",INDEX(Suivi!$E:$E,2305))</f>
        <v/>
      </c>
      <c r="E2262" s="29">
        <f>IF($B2262="","",INDEX(Suivi!$F:$F,2305))</f>
        <v/>
      </c>
      <c r="F2262">
        <f>IF($B2262="","",INDEX(Suivi!$G:$G,2305))</f>
        <v/>
      </c>
      <c r="H2262">
        <f>IF(OR($B2262="",NOT(ISNUMBER($D2262))),"",IF($E2262&lt;$D$2,"Passé",IF($D2262&gt;$F$2,"À venir","Dans la période")))</f>
        <v/>
      </c>
      <c r="I2262">
        <f>IF(OR($B2262="",NOT(ISNUMBER($D2262))),"",IF(AND($E2262&lt;$D$2,$G2262&lt;&gt;"X",$F2262&lt;&gt;"Réalisé",$F2262&lt;&gt;"Clôturé"),"RETARD",""))</f>
        <v/>
      </c>
      <c r="J2262" s="29">
        <f>IF($B2262="","",IF(INDEX(Dossiers!$F$4:$F$63,43)="","",INDEX(Dossiers!$F$4:$F$63,43)))</f>
        <v/>
      </c>
      <c r="K2262" s="29">
        <f>IF($B2262="","",IF(INDEX(Dossiers!$G$4:$G$63,43)="","",INDEX(Dossiers!$G$4:$G$63,43)))</f>
        <v/>
      </c>
    </row>
    <row r="2263">
      <c r="A2263">
        <f>IF($B2263="","",INDEX(Dossiers!$E$4:$E$63,43))</f>
        <v/>
      </c>
      <c r="B2263">
        <f>IF(INDEX(Suivi!$B:$B,2306)="","",INDEX(Suivi!$B:$B,2306))</f>
        <v/>
      </c>
      <c r="C2263">
        <f>IF($B2263="","",IF(INDEX(Suivi!$D:$D,2306)="",INDEX(Suivi!$C:$C,2306),INDEX(Suivi!$D:$D,2306)))</f>
        <v/>
      </c>
      <c r="D2263" s="29">
        <f>IF($B2263="","",INDEX(Suivi!$E:$E,2306))</f>
        <v/>
      </c>
      <c r="E2263" s="29">
        <f>IF($B2263="","",INDEX(Suivi!$F:$F,2306))</f>
        <v/>
      </c>
      <c r="F2263">
        <f>IF($B2263="","",INDEX(Suivi!$G:$G,2306))</f>
        <v/>
      </c>
      <c r="H2263">
        <f>IF(OR($B2263="",NOT(ISNUMBER($D2263))),"",IF($E2263&lt;$D$2,"Passé",IF($D2263&gt;$F$2,"À venir","Dans la période")))</f>
        <v/>
      </c>
      <c r="I2263">
        <f>IF(OR($B2263="",NOT(ISNUMBER($D2263))),"",IF(AND($E2263&lt;$D$2,$G2263&lt;&gt;"X",$F2263&lt;&gt;"Réalisé",$F2263&lt;&gt;"Clôturé"),"RETARD",""))</f>
        <v/>
      </c>
      <c r="J2263" s="29">
        <f>IF($B2263="","",IF(INDEX(Dossiers!$F$4:$F$63,43)="","",INDEX(Dossiers!$F$4:$F$63,43)))</f>
        <v/>
      </c>
      <c r="K2263" s="29">
        <f>IF($B2263="","",IF(INDEX(Dossiers!$G$4:$G$63,43)="","",INDEX(Dossiers!$G$4:$G$63,43)))</f>
        <v/>
      </c>
    </row>
    <row r="2264">
      <c r="A2264">
        <f>IF($B2264="","",INDEX(Dossiers!$E$4:$E$63,43))</f>
        <v/>
      </c>
      <c r="B2264">
        <f>IF(INDEX(Suivi!$B:$B,2307)="","",INDEX(Suivi!$B:$B,2307))</f>
        <v/>
      </c>
      <c r="C2264">
        <f>IF($B2264="","",IF(INDEX(Suivi!$D:$D,2307)="",INDEX(Suivi!$C:$C,2307),INDEX(Suivi!$D:$D,2307)))</f>
        <v/>
      </c>
      <c r="D2264" s="29">
        <f>IF($B2264="","",INDEX(Suivi!$E:$E,2307))</f>
        <v/>
      </c>
      <c r="E2264" s="29">
        <f>IF($B2264="","",INDEX(Suivi!$F:$F,2307))</f>
        <v/>
      </c>
      <c r="F2264">
        <f>IF($B2264="","",INDEX(Suivi!$G:$G,2307))</f>
        <v/>
      </c>
      <c r="H2264">
        <f>IF(OR($B2264="",NOT(ISNUMBER($D2264))),"",IF($E2264&lt;$D$2,"Passé",IF($D2264&gt;$F$2,"À venir","Dans la période")))</f>
        <v/>
      </c>
      <c r="I2264">
        <f>IF(OR($B2264="",NOT(ISNUMBER($D2264))),"",IF(AND($E2264&lt;$D$2,$G2264&lt;&gt;"X",$F2264&lt;&gt;"Réalisé",$F2264&lt;&gt;"Clôturé"),"RETARD",""))</f>
        <v/>
      </c>
      <c r="J2264" s="29">
        <f>IF($B2264="","",IF(INDEX(Dossiers!$F$4:$F$63,43)="","",INDEX(Dossiers!$F$4:$F$63,43)))</f>
        <v/>
      </c>
      <c r="K2264" s="29">
        <f>IF($B2264="","",IF(INDEX(Dossiers!$G$4:$G$63,43)="","",INDEX(Dossiers!$G$4:$G$63,43)))</f>
        <v/>
      </c>
    </row>
    <row r="2265">
      <c r="A2265">
        <f>IF($B2265="","",INDEX(Dossiers!$E$4:$E$63,43))</f>
        <v/>
      </c>
      <c r="B2265">
        <f>IF(INDEX(Suivi!$B:$B,2308)="","",INDEX(Suivi!$B:$B,2308))</f>
        <v/>
      </c>
      <c r="C2265">
        <f>IF($B2265="","",IF(INDEX(Suivi!$D:$D,2308)="",INDEX(Suivi!$C:$C,2308),INDEX(Suivi!$D:$D,2308)))</f>
        <v/>
      </c>
      <c r="D2265" s="29">
        <f>IF($B2265="","",INDEX(Suivi!$E:$E,2308))</f>
        <v/>
      </c>
      <c r="E2265" s="29">
        <f>IF($B2265="","",INDEX(Suivi!$F:$F,2308))</f>
        <v/>
      </c>
      <c r="F2265">
        <f>IF($B2265="","",INDEX(Suivi!$G:$G,2308))</f>
        <v/>
      </c>
      <c r="H2265">
        <f>IF(OR($B2265="",NOT(ISNUMBER($D2265))),"",IF($E2265&lt;$D$2,"Passé",IF($D2265&gt;$F$2,"À venir","Dans la période")))</f>
        <v/>
      </c>
      <c r="I2265">
        <f>IF(OR($B2265="",NOT(ISNUMBER($D2265))),"",IF(AND($E2265&lt;$D$2,$G2265&lt;&gt;"X",$F2265&lt;&gt;"Réalisé",$F2265&lt;&gt;"Clôturé"),"RETARD",""))</f>
        <v/>
      </c>
      <c r="J2265" s="29">
        <f>IF($B2265="","",IF(INDEX(Dossiers!$F$4:$F$63,43)="","",INDEX(Dossiers!$F$4:$F$63,43)))</f>
        <v/>
      </c>
      <c r="K2265" s="29">
        <f>IF($B2265="","",IF(INDEX(Dossiers!$G$4:$G$63,43)="","",INDEX(Dossiers!$G$4:$G$63,43)))</f>
        <v/>
      </c>
    </row>
    <row r="2266">
      <c r="A2266">
        <f>IF($B2266="","",INDEX(Dossiers!$E$4:$E$63,43))</f>
        <v/>
      </c>
      <c r="B2266">
        <f>IF(INDEX(Suivi!$B:$B,2309)="","",INDEX(Suivi!$B:$B,2309))</f>
        <v/>
      </c>
      <c r="C2266">
        <f>IF($B2266="","",IF(INDEX(Suivi!$D:$D,2309)="",INDEX(Suivi!$C:$C,2309),INDEX(Suivi!$D:$D,2309)))</f>
        <v/>
      </c>
      <c r="D2266" s="29">
        <f>IF($B2266="","",INDEX(Suivi!$E:$E,2309))</f>
        <v/>
      </c>
      <c r="E2266" s="29">
        <f>IF($B2266="","",INDEX(Suivi!$F:$F,2309))</f>
        <v/>
      </c>
      <c r="F2266">
        <f>IF($B2266="","",INDEX(Suivi!$G:$G,2309))</f>
        <v/>
      </c>
      <c r="H2266">
        <f>IF(OR($B2266="",NOT(ISNUMBER($D2266))),"",IF($E2266&lt;$D$2,"Passé",IF($D2266&gt;$F$2,"À venir","Dans la période")))</f>
        <v/>
      </c>
      <c r="I2266">
        <f>IF(OR($B2266="",NOT(ISNUMBER($D2266))),"",IF(AND($E2266&lt;$D$2,$G2266&lt;&gt;"X",$F2266&lt;&gt;"Réalisé",$F2266&lt;&gt;"Clôturé"),"RETARD",""))</f>
        <v/>
      </c>
      <c r="J2266" s="29">
        <f>IF($B2266="","",IF(INDEX(Dossiers!$F$4:$F$63,43)="","",INDEX(Dossiers!$F$4:$F$63,43)))</f>
        <v/>
      </c>
      <c r="K2266" s="29">
        <f>IF($B2266="","",IF(INDEX(Dossiers!$G$4:$G$63,43)="","",INDEX(Dossiers!$G$4:$G$63,43)))</f>
        <v/>
      </c>
    </row>
    <row r="2267">
      <c r="A2267">
        <f>IF($B2267="","",INDEX(Dossiers!$E$4:$E$63,43))</f>
        <v/>
      </c>
      <c r="B2267">
        <f>IF(INDEX(Suivi!$B:$B,2310)="","",INDEX(Suivi!$B:$B,2310))</f>
        <v/>
      </c>
      <c r="C2267">
        <f>IF($B2267="","",IF(INDEX(Suivi!$D:$D,2310)="",INDEX(Suivi!$C:$C,2310),INDEX(Suivi!$D:$D,2310)))</f>
        <v/>
      </c>
      <c r="D2267" s="29">
        <f>IF($B2267="","",INDEX(Suivi!$E:$E,2310))</f>
        <v/>
      </c>
      <c r="E2267" s="29">
        <f>IF($B2267="","",INDEX(Suivi!$F:$F,2310))</f>
        <v/>
      </c>
      <c r="F2267">
        <f>IF($B2267="","",INDEX(Suivi!$G:$G,2310))</f>
        <v/>
      </c>
      <c r="H2267">
        <f>IF(OR($B2267="",NOT(ISNUMBER($D2267))),"",IF($E2267&lt;$D$2,"Passé",IF($D2267&gt;$F$2,"À venir","Dans la période")))</f>
        <v/>
      </c>
      <c r="I2267">
        <f>IF(OR($B2267="",NOT(ISNUMBER($D2267))),"",IF(AND($E2267&lt;$D$2,$G2267&lt;&gt;"X",$F2267&lt;&gt;"Réalisé",$F2267&lt;&gt;"Clôturé"),"RETARD",""))</f>
        <v/>
      </c>
      <c r="J2267" s="29">
        <f>IF($B2267="","",IF(INDEX(Dossiers!$F$4:$F$63,43)="","",INDEX(Dossiers!$F$4:$F$63,43)))</f>
        <v/>
      </c>
      <c r="K2267" s="29">
        <f>IF($B2267="","",IF(INDEX(Dossiers!$G$4:$G$63,43)="","",INDEX(Dossiers!$G$4:$G$63,43)))</f>
        <v/>
      </c>
    </row>
    <row r="2268">
      <c r="A2268">
        <f>IF($B2268="","",INDEX(Dossiers!$E$4:$E$63,43))</f>
        <v/>
      </c>
      <c r="B2268">
        <f>IF(INDEX(Suivi!$B:$B,2311)="","",INDEX(Suivi!$B:$B,2311))</f>
        <v/>
      </c>
      <c r="C2268">
        <f>IF($B2268="","",IF(INDEX(Suivi!$D:$D,2311)="",INDEX(Suivi!$C:$C,2311),INDEX(Suivi!$D:$D,2311)))</f>
        <v/>
      </c>
      <c r="D2268" s="29">
        <f>IF($B2268="","",INDEX(Suivi!$E:$E,2311))</f>
        <v/>
      </c>
      <c r="E2268" s="29">
        <f>IF($B2268="","",INDEX(Suivi!$F:$F,2311))</f>
        <v/>
      </c>
      <c r="F2268">
        <f>IF($B2268="","",INDEX(Suivi!$G:$G,2311))</f>
        <v/>
      </c>
      <c r="H2268">
        <f>IF(OR($B2268="",NOT(ISNUMBER($D2268))),"",IF($E2268&lt;$D$2,"Passé",IF($D2268&gt;$F$2,"À venir","Dans la période")))</f>
        <v/>
      </c>
      <c r="I2268">
        <f>IF(OR($B2268="",NOT(ISNUMBER($D2268))),"",IF(AND($E2268&lt;$D$2,$G2268&lt;&gt;"X",$F2268&lt;&gt;"Réalisé",$F2268&lt;&gt;"Clôturé"),"RETARD",""))</f>
        <v/>
      </c>
      <c r="J2268" s="29">
        <f>IF($B2268="","",IF(INDEX(Dossiers!$F$4:$F$63,43)="","",INDEX(Dossiers!$F$4:$F$63,43)))</f>
        <v/>
      </c>
      <c r="K2268" s="29">
        <f>IF($B2268="","",IF(INDEX(Dossiers!$G$4:$G$63,43)="","",INDEX(Dossiers!$G$4:$G$63,43)))</f>
        <v/>
      </c>
    </row>
    <row r="2269">
      <c r="A2269">
        <f>IF($B2269="","",INDEX(Dossiers!$E$4:$E$63,43))</f>
        <v/>
      </c>
      <c r="B2269">
        <f>IF(INDEX(Suivi!$B:$B,2312)="","",INDEX(Suivi!$B:$B,2312))</f>
        <v/>
      </c>
      <c r="C2269">
        <f>IF($B2269="","",IF(INDEX(Suivi!$D:$D,2312)="",INDEX(Suivi!$C:$C,2312),INDEX(Suivi!$D:$D,2312)))</f>
        <v/>
      </c>
      <c r="D2269" s="29">
        <f>IF($B2269="","",INDEX(Suivi!$E:$E,2312))</f>
        <v/>
      </c>
      <c r="E2269" s="29">
        <f>IF($B2269="","",INDEX(Suivi!$F:$F,2312))</f>
        <v/>
      </c>
      <c r="F2269">
        <f>IF($B2269="","",INDEX(Suivi!$G:$G,2312))</f>
        <v/>
      </c>
      <c r="H2269">
        <f>IF(OR($B2269="",NOT(ISNUMBER($D2269))),"",IF($E2269&lt;$D$2,"Passé",IF($D2269&gt;$F$2,"À venir","Dans la période")))</f>
        <v/>
      </c>
      <c r="I2269">
        <f>IF(OR($B2269="",NOT(ISNUMBER($D2269))),"",IF(AND($E2269&lt;$D$2,$G2269&lt;&gt;"X",$F2269&lt;&gt;"Réalisé",$F2269&lt;&gt;"Clôturé"),"RETARD",""))</f>
        <v/>
      </c>
      <c r="J2269" s="29">
        <f>IF($B2269="","",IF(INDEX(Dossiers!$F$4:$F$63,43)="","",INDEX(Dossiers!$F$4:$F$63,43)))</f>
        <v/>
      </c>
      <c r="K2269" s="29">
        <f>IF($B2269="","",IF(INDEX(Dossiers!$G$4:$G$63,43)="","",INDEX(Dossiers!$G$4:$G$63,43)))</f>
        <v/>
      </c>
    </row>
    <row r="2270">
      <c r="A2270">
        <f>IF($B2270="","",INDEX(Dossiers!$E$4:$E$63,43))</f>
        <v/>
      </c>
      <c r="B2270">
        <f>IF(INDEX(Suivi!$B:$B,2313)="","",INDEX(Suivi!$B:$B,2313))</f>
        <v/>
      </c>
      <c r="C2270">
        <f>IF($B2270="","",IF(INDEX(Suivi!$D:$D,2313)="",INDEX(Suivi!$C:$C,2313),INDEX(Suivi!$D:$D,2313)))</f>
        <v/>
      </c>
      <c r="D2270" s="29">
        <f>IF($B2270="","",INDEX(Suivi!$E:$E,2313))</f>
        <v/>
      </c>
      <c r="E2270" s="29">
        <f>IF($B2270="","",INDEX(Suivi!$F:$F,2313))</f>
        <v/>
      </c>
      <c r="F2270">
        <f>IF($B2270="","",INDEX(Suivi!$G:$G,2313))</f>
        <v/>
      </c>
      <c r="H2270">
        <f>IF(OR($B2270="",NOT(ISNUMBER($D2270))),"",IF($E2270&lt;$D$2,"Passé",IF($D2270&gt;$F$2,"À venir","Dans la période")))</f>
        <v/>
      </c>
      <c r="I2270">
        <f>IF(OR($B2270="",NOT(ISNUMBER($D2270))),"",IF(AND($E2270&lt;$D$2,$G2270&lt;&gt;"X",$F2270&lt;&gt;"Réalisé",$F2270&lt;&gt;"Clôturé"),"RETARD",""))</f>
        <v/>
      </c>
      <c r="J2270" s="29">
        <f>IF($B2270="","",IF(INDEX(Dossiers!$F$4:$F$63,43)="","",INDEX(Dossiers!$F$4:$F$63,43)))</f>
        <v/>
      </c>
      <c r="K2270" s="29">
        <f>IF($B2270="","",IF(INDEX(Dossiers!$G$4:$G$63,43)="","",INDEX(Dossiers!$G$4:$G$63,43)))</f>
        <v/>
      </c>
    </row>
    <row r="2271">
      <c r="A2271">
        <f>IF($B2271="","",INDEX(Dossiers!$E$4:$E$63,43))</f>
        <v/>
      </c>
      <c r="B2271">
        <f>IF(INDEX(Suivi!$B:$B,2314)="","",INDEX(Suivi!$B:$B,2314))</f>
        <v/>
      </c>
      <c r="C2271">
        <f>IF($B2271="","",IF(INDEX(Suivi!$D:$D,2314)="",INDEX(Suivi!$C:$C,2314),INDEX(Suivi!$D:$D,2314)))</f>
        <v/>
      </c>
      <c r="D2271" s="29">
        <f>IF($B2271="","",INDEX(Suivi!$E:$E,2314))</f>
        <v/>
      </c>
      <c r="E2271" s="29">
        <f>IF($B2271="","",INDEX(Suivi!$F:$F,2314))</f>
        <v/>
      </c>
      <c r="F2271">
        <f>IF($B2271="","",INDEX(Suivi!$G:$G,2314))</f>
        <v/>
      </c>
      <c r="H2271">
        <f>IF(OR($B2271="",NOT(ISNUMBER($D2271))),"",IF($E2271&lt;$D$2,"Passé",IF($D2271&gt;$F$2,"À venir","Dans la période")))</f>
        <v/>
      </c>
      <c r="I2271">
        <f>IF(OR($B2271="",NOT(ISNUMBER($D2271))),"",IF(AND($E2271&lt;$D$2,$G2271&lt;&gt;"X",$F2271&lt;&gt;"Réalisé",$F2271&lt;&gt;"Clôturé"),"RETARD",""))</f>
        <v/>
      </c>
      <c r="J2271" s="29">
        <f>IF($B2271="","",IF(INDEX(Dossiers!$F$4:$F$63,43)="","",INDEX(Dossiers!$F$4:$F$63,43)))</f>
        <v/>
      </c>
      <c r="K2271" s="29">
        <f>IF($B2271="","",IF(INDEX(Dossiers!$G$4:$G$63,43)="","",INDEX(Dossiers!$G$4:$G$63,43)))</f>
        <v/>
      </c>
    </row>
    <row r="2272">
      <c r="A2272">
        <f>IF($B2272="","",INDEX(Dossiers!$E$4:$E$63,43))</f>
        <v/>
      </c>
      <c r="B2272">
        <f>IF(INDEX(Suivi!$B:$B,2315)="","",INDEX(Suivi!$B:$B,2315))</f>
        <v/>
      </c>
      <c r="C2272">
        <f>IF($B2272="","",IF(INDEX(Suivi!$D:$D,2315)="",INDEX(Suivi!$C:$C,2315),INDEX(Suivi!$D:$D,2315)))</f>
        <v/>
      </c>
      <c r="D2272" s="29">
        <f>IF($B2272="","",INDEX(Suivi!$E:$E,2315))</f>
        <v/>
      </c>
      <c r="E2272" s="29">
        <f>IF($B2272="","",INDEX(Suivi!$F:$F,2315))</f>
        <v/>
      </c>
      <c r="F2272">
        <f>IF($B2272="","",INDEX(Suivi!$G:$G,2315))</f>
        <v/>
      </c>
      <c r="H2272">
        <f>IF(OR($B2272="",NOT(ISNUMBER($D2272))),"",IF($E2272&lt;$D$2,"Passé",IF($D2272&gt;$F$2,"À venir","Dans la période")))</f>
        <v/>
      </c>
      <c r="I2272">
        <f>IF(OR($B2272="",NOT(ISNUMBER($D2272))),"",IF(AND($E2272&lt;$D$2,$G2272&lt;&gt;"X",$F2272&lt;&gt;"Réalisé",$F2272&lt;&gt;"Clôturé"),"RETARD",""))</f>
        <v/>
      </c>
      <c r="J2272" s="29">
        <f>IF($B2272="","",IF(INDEX(Dossiers!$F$4:$F$63,43)="","",INDEX(Dossiers!$F$4:$F$63,43)))</f>
        <v/>
      </c>
      <c r="K2272" s="29">
        <f>IF($B2272="","",IF(INDEX(Dossiers!$G$4:$G$63,43)="","",INDEX(Dossiers!$G$4:$G$63,43)))</f>
        <v/>
      </c>
    </row>
    <row r="2273">
      <c r="A2273">
        <f>IF($B2273="","",INDEX(Dossiers!$E$4:$E$63,43))</f>
        <v/>
      </c>
      <c r="B2273">
        <f>IF(INDEX(Suivi!$B:$B,2316)="","",INDEX(Suivi!$B:$B,2316))</f>
        <v/>
      </c>
      <c r="C2273">
        <f>IF($B2273="","",IF(INDEX(Suivi!$D:$D,2316)="",INDEX(Suivi!$C:$C,2316),INDEX(Suivi!$D:$D,2316)))</f>
        <v/>
      </c>
      <c r="D2273" s="29">
        <f>IF($B2273="","",INDEX(Suivi!$E:$E,2316))</f>
        <v/>
      </c>
      <c r="E2273" s="29">
        <f>IF($B2273="","",INDEX(Suivi!$F:$F,2316))</f>
        <v/>
      </c>
      <c r="F2273">
        <f>IF($B2273="","",INDEX(Suivi!$G:$G,2316))</f>
        <v/>
      </c>
      <c r="H2273">
        <f>IF(OR($B2273="",NOT(ISNUMBER($D2273))),"",IF($E2273&lt;$D$2,"Passé",IF($D2273&gt;$F$2,"À venir","Dans la période")))</f>
        <v/>
      </c>
      <c r="I2273">
        <f>IF(OR($B2273="",NOT(ISNUMBER($D2273))),"",IF(AND($E2273&lt;$D$2,$G2273&lt;&gt;"X",$F2273&lt;&gt;"Réalisé",$F2273&lt;&gt;"Clôturé"),"RETARD",""))</f>
        <v/>
      </c>
      <c r="J2273" s="29">
        <f>IF($B2273="","",IF(INDEX(Dossiers!$F$4:$F$63,43)="","",INDEX(Dossiers!$F$4:$F$63,43)))</f>
        <v/>
      </c>
      <c r="K2273" s="29">
        <f>IF($B2273="","",IF(INDEX(Dossiers!$G$4:$G$63,43)="","",INDEX(Dossiers!$G$4:$G$63,43)))</f>
        <v/>
      </c>
    </row>
    <row r="2274">
      <c r="A2274">
        <f>IF($B2274="","",INDEX(Dossiers!$E$4:$E$63,43))</f>
        <v/>
      </c>
      <c r="B2274">
        <f>IF(INDEX(Suivi!$B:$B,2317)="","",INDEX(Suivi!$B:$B,2317))</f>
        <v/>
      </c>
      <c r="C2274">
        <f>IF($B2274="","",IF(INDEX(Suivi!$D:$D,2317)="",INDEX(Suivi!$C:$C,2317),INDEX(Suivi!$D:$D,2317)))</f>
        <v/>
      </c>
      <c r="D2274" s="29">
        <f>IF($B2274="","",INDEX(Suivi!$E:$E,2317))</f>
        <v/>
      </c>
      <c r="E2274" s="29">
        <f>IF($B2274="","",INDEX(Suivi!$F:$F,2317))</f>
        <v/>
      </c>
      <c r="F2274">
        <f>IF($B2274="","",INDEX(Suivi!$G:$G,2317))</f>
        <v/>
      </c>
      <c r="H2274">
        <f>IF(OR($B2274="",NOT(ISNUMBER($D2274))),"",IF($E2274&lt;$D$2,"Passé",IF($D2274&gt;$F$2,"À venir","Dans la période")))</f>
        <v/>
      </c>
      <c r="I2274">
        <f>IF(OR($B2274="",NOT(ISNUMBER($D2274))),"",IF(AND($E2274&lt;$D$2,$G2274&lt;&gt;"X",$F2274&lt;&gt;"Réalisé",$F2274&lt;&gt;"Clôturé"),"RETARD",""))</f>
        <v/>
      </c>
      <c r="J2274" s="29">
        <f>IF($B2274="","",IF(INDEX(Dossiers!$F$4:$F$63,43)="","",INDEX(Dossiers!$F$4:$F$63,43)))</f>
        <v/>
      </c>
      <c r="K2274" s="29">
        <f>IF($B2274="","",IF(INDEX(Dossiers!$G$4:$G$63,43)="","",INDEX(Dossiers!$G$4:$G$63,43)))</f>
        <v/>
      </c>
    </row>
    <row r="2275">
      <c r="A2275">
        <f>IF($B2275="","",INDEX(Dossiers!$E$4:$E$63,43))</f>
        <v/>
      </c>
      <c r="B2275">
        <f>IF(INDEX(Suivi!$B:$B,2318)="","",INDEX(Suivi!$B:$B,2318))</f>
        <v/>
      </c>
      <c r="C2275">
        <f>IF($B2275="","",IF(INDEX(Suivi!$D:$D,2318)="",INDEX(Suivi!$C:$C,2318),INDEX(Suivi!$D:$D,2318)))</f>
        <v/>
      </c>
      <c r="D2275" s="29">
        <f>IF($B2275="","",INDEX(Suivi!$E:$E,2318))</f>
        <v/>
      </c>
      <c r="E2275" s="29">
        <f>IF($B2275="","",INDEX(Suivi!$F:$F,2318))</f>
        <v/>
      </c>
      <c r="F2275">
        <f>IF($B2275="","",INDEX(Suivi!$G:$G,2318))</f>
        <v/>
      </c>
      <c r="H2275">
        <f>IF(OR($B2275="",NOT(ISNUMBER($D2275))),"",IF($E2275&lt;$D$2,"Passé",IF($D2275&gt;$F$2,"À venir","Dans la période")))</f>
        <v/>
      </c>
      <c r="I2275">
        <f>IF(OR($B2275="",NOT(ISNUMBER($D2275))),"",IF(AND($E2275&lt;$D$2,$G2275&lt;&gt;"X",$F2275&lt;&gt;"Réalisé",$F2275&lt;&gt;"Clôturé"),"RETARD",""))</f>
        <v/>
      </c>
      <c r="J2275" s="29">
        <f>IF($B2275="","",IF(INDEX(Dossiers!$F$4:$F$63,43)="","",INDEX(Dossiers!$F$4:$F$63,43)))</f>
        <v/>
      </c>
      <c r="K2275" s="29">
        <f>IF($B2275="","",IF(INDEX(Dossiers!$G$4:$G$63,43)="","",INDEX(Dossiers!$G$4:$G$63,43)))</f>
        <v/>
      </c>
    </row>
    <row r="2276">
      <c r="A2276">
        <f>IF($B2276="","",INDEX(Dossiers!$E$4:$E$63,43))</f>
        <v/>
      </c>
      <c r="B2276">
        <f>IF(INDEX(Suivi!$B:$B,2319)="","",INDEX(Suivi!$B:$B,2319))</f>
        <v/>
      </c>
      <c r="C2276">
        <f>IF($B2276="","",IF(INDEX(Suivi!$D:$D,2319)="",INDEX(Suivi!$C:$C,2319),INDEX(Suivi!$D:$D,2319)))</f>
        <v/>
      </c>
      <c r="D2276" s="29">
        <f>IF($B2276="","",INDEX(Suivi!$E:$E,2319))</f>
        <v/>
      </c>
      <c r="E2276" s="29">
        <f>IF($B2276="","",INDEX(Suivi!$F:$F,2319))</f>
        <v/>
      </c>
      <c r="F2276">
        <f>IF($B2276="","",INDEX(Suivi!$G:$G,2319))</f>
        <v/>
      </c>
      <c r="H2276">
        <f>IF(OR($B2276="",NOT(ISNUMBER($D2276))),"",IF($E2276&lt;$D$2,"Passé",IF($D2276&gt;$F$2,"À venir","Dans la période")))</f>
        <v/>
      </c>
      <c r="I2276">
        <f>IF(OR($B2276="",NOT(ISNUMBER($D2276))),"",IF(AND($E2276&lt;$D$2,$G2276&lt;&gt;"X",$F2276&lt;&gt;"Réalisé",$F2276&lt;&gt;"Clôturé"),"RETARD",""))</f>
        <v/>
      </c>
      <c r="J2276" s="29">
        <f>IF($B2276="","",IF(INDEX(Dossiers!$F$4:$F$63,43)="","",INDEX(Dossiers!$F$4:$F$63,43)))</f>
        <v/>
      </c>
      <c r="K2276" s="29">
        <f>IF($B2276="","",IF(INDEX(Dossiers!$G$4:$G$63,43)="","",INDEX(Dossiers!$G$4:$G$63,43)))</f>
        <v/>
      </c>
    </row>
    <row r="2277">
      <c r="A2277">
        <f>IF($B2277="","",INDEX(Dossiers!$E$4:$E$63,43))</f>
        <v/>
      </c>
      <c r="B2277">
        <f>IF(INDEX(Suivi!$B:$B,2320)="","",INDEX(Suivi!$B:$B,2320))</f>
        <v/>
      </c>
      <c r="C2277">
        <f>IF($B2277="","",IF(INDEX(Suivi!$D:$D,2320)="",INDEX(Suivi!$C:$C,2320),INDEX(Suivi!$D:$D,2320)))</f>
        <v/>
      </c>
      <c r="D2277" s="29">
        <f>IF($B2277="","",INDEX(Suivi!$E:$E,2320))</f>
        <v/>
      </c>
      <c r="E2277" s="29">
        <f>IF($B2277="","",INDEX(Suivi!$F:$F,2320))</f>
        <v/>
      </c>
      <c r="F2277">
        <f>IF($B2277="","",INDEX(Suivi!$G:$G,2320))</f>
        <v/>
      </c>
      <c r="H2277">
        <f>IF(OR($B2277="",NOT(ISNUMBER($D2277))),"",IF($E2277&lt;$D$2,"Passé",IF($D2277&gt;$F$2,"À venir","Dans la période")))</f>
        <v/>
      </c>
      <c r="I2277">
        <f>IF(OR($B2277="",NOT(ISNUMBER($D2277))),"",IF(AND($E2277&lt;$D$2,$G2277&lt;&gt;"X",$F2277&lt;&gt;"Réalisé",$F2277&lt;&gt;"Clôturé"),"RETARD",""))</f>
        <v/>
      </c>
      <c r="J2277" s="29">
        <f>IF($B2277="","",IF(INDEX(Dossiers!$F$4:$F$63,43)="","",INDEX(Dossiers!$F$4:$F$63,43)))</f>
        <v/>
      </c>
      <c r="K2277" s="29">
        <f>IF($B2277="","",IF(INDEX(Dossiers!$G$4:$G$63,43)="","",INDEX(Dossiers!$G$4:$G$63,43)))</f>
        <v/>
      </c>
    </row>
    <row r="2278">
      <c r="A2278">
        <f>IF($B2278="","",INDEX(Dossiers!$E$4:$E$63,43))</f>
        <v/>
      </c>
      <c r="B2278">
        <f>IF(INDEX(Suivi!$B:$B,2321)="","",INDEX(Suivi!$B:$B,2321))</f>
        <v/>
      </c>
      <c r="C2278">
        <f>IF($B2278="","",IF(INDEX(Suivi!$D:$D,2321)="",INDEX(Suivi!$C:$C,2321),INDEX(Suivi!$D:$D,2321)))</f>
        <v/>
      </c>
      <c r="D2278" s="29">
        <f>IF($B2278="","",INDEX(Suivi!$E:$E,2321))</f>
        <v/>
      </c>
      <c r="E2278" s="29">
        <f>IF($B2278="","",INDEX(Suivi!$F:$F,2321))</f>
        <v/>
      </c>
      <c r="F2278">
        <f>IF($B2278="","",INDEX(Suivi!$G:$G,2321))</f>
        <v/>
      </c>
      <c r="H2278">
        <f>IF(OR($B2278="",NOT(ISNUMBER($D2278))),"",IF($E2278&lt;$D$2,"Passé",IF($D2278&gt;$F$2,"À venir","Dans la période")))</f>
        <v/>
      </c>
      <c r="I2278">
        <f>IF(OR($B2278="",NOT(ISNUMBER($D2278))),"",IF(AND($E2278&lt;$D$2,$G2278&lt;&gt;"X",$F2278&lt;&gt;"Réalisé",$F2278&lt;&gt;"Clôturé"),"RETARD",""))</f>
        <v/>
      </c>
      <c r="J2278" s="29">
        <f>IF($B2278="","",IF(INDEX(Dossiers!$F$4:$F$63,43)="","",INDEX(Dossiers!$F$4:$F$63,43)))</f>
        <v/>
      </c>
      <c r="K2278" s="29">
        <f>IF($B2278="","",IF(INDEX(Dossiers!$G$4:$G$63,43)="","",INDEX(Dossiers!$G$4:$G$63,43)))</f>
        <v/>
      </c>
    </row>
    <row r="2279">
      <c r="A2279">
        <f>IF($B2279="","",INDEX(Dossiers!$E$4:$E$63,43))</f>
        <v/>
      </c>
      <c r="B2279">
        <f>IF(INDEX(Suivi!$B:$B,2322)="","",INDEX(Suivi!$B:$B,2322))</f>
        <v/>
      </c>
      <c r="C2279">
        <f>IF($B2279="","",IF(INDEX(Suivi!$D:$D,2322)="",INDEX(Suivi!$C:$C,2322),INDEX(Suivi!$D:$D,2322)))</f>
        <v/>
      </c>
      <c r="D2279" s="29">
        <f>IF($B2279="","",INDEX(Suivi!$E:$E,2322))</f>
        <v/>
      </c>
      <c r="E2279" s="29">
        <f>IF($B2279="","",INDEX(Suivi!$F:$F,2322))</f>
        <v/>
      </c>
      <c r="F2279">
        <f>IF($B2279="","",INDEX(Suivi!$G:$G,2322))</f>
        <v/>
      </c>
      <c r="H2279">
        <f>IF(OR($B2279="",NOT(ISNUMBER($D2279))),"",IF($E2279&lt;$D$2,"Passé",IF($D2279&gt;$F$2,"À venir","Dans la période")))</f>
        <v/>
      </c>
      <c r="I2279">
        <f>IF(OR($B2279="",NOT(ISNUMBER($D2279))),"",IF(AND($E2279&lt;$D$2,$G2279&lt;&gt;"X",$F2279&lt;&gt;"Réalisé",$F2279&lt;&gt;"Clôturé"),"RETARD",""))</f>
        <v/>
      </c>
      <c r="J2279" s="29">
        <f>IF($B2279="","",IF(INDEX(Dossiers!$F$4:$F$63,43)="","",INDEX(Dossiers!$F$4:$F$63,43)))</f>
        <v/>
      </c>
      <c r="K2279" s="29">
        <f>IF($B2279="","",IF(INDEX(Dossiers!$G$4:$G$63,43)="","",INDEX(Dossiers!$G$4:$G$63,43)))</f>
        <v/>
      </c>
    </row>
    <row r="2280">
      <c r="A2280">
        <f>IF($B2280="","",INDEX(Dossiers!$E$4:$E$63,43))</f>
        <v/>
      </c>
      <c r="B2280">
        <f>IF(INDEX(Suivi!$B:$B,2323)="","",INDEX(Suivi!$B:$B,2323))</f>
        <v/>
      </c>
      <c r="C2280">
        <f>IF($B2280="","",IF(INDEX(Suivi!$D:$D,2323)="",INDEX(Suivi!$C:$C,2323),INDEX(Suivi!$D:$D,2323)))</f>
        <v/>
      </c>
      <c r="D2280" s="29">
        <f>IF($B2280="","",INDEX(Suivi!$E:$E,2323))</f>
        <v/>
      </c>
      <c r="E2280" s="29">
        <f>IF($B2280="","",INDEX(Suivi!$F:$F,2323))</f>
        <v/>
      </c>
      <c r="F2280">
        <f>IF($B2280="","",INDEX(Suivi!$G:$G,2323))</f>
        <v/>
      </c>
      <c r="H2280">
        <f>IF(OR($B2280="",NOT(ISNUMBER($D2280))),"",IF($E2280&lt;$D$2,"Passé",IF($D2280&gt;$F$2,"À venir","Dans la période")))</f>
        <v/>
      </c>
      <c r="I2280">
        <f>IF(OR($B2280="",NOT(ISNUMBER($D2280))),"",IF(AND($E2280&lt;$D$2,$G2280&lt;&gt;"X",$F2280&lt;&gt;"Réalisé",$F2280&lt;&gt;"Clôturé"),"RETARD",""))</f>
        <v/>
      </c>
      <c r="J2280" s="29">
        <f>IF($B2280="","",IF(INDEX(Dossiers!$F$4:$F$63,43)="","",INDEX(Dossiers!$F$4:$F$63,43)))</f>
        <v/>
      </c>
      <c r="K2280" s="29">
        <f>IF($B2280="","",IF(INDEX(Dossiers!$G$4:$G$63,43)="","",INDEX(Dossiers!$G$4:$G$63,43)))</f>
        <v/>
      </c>
    </row>
    <row r="2281">
      <c r="A2281">
        <f>IF($B2281="","",INDEX(Dossiers!$E$4:$E$63,43))</f>
        <v/>
      </c>
      <c r="B2281">
        <f>IF(INDEX(Suivi!$B:$B,2324)="","",INDEX(Suivi!$B:$B,2324))</f>
        <v/>
      </c>
      <c r="C2281">
        <f>IF($B2281="","",IF(INDEX(Suivi!$D:$D,2324)="",INDEX(Suivi!$C:$C,2324),INDEX(Suivi!$D:$D,2324)))</f>
        <v/>
      </c>
      <c r="D2281" s="29">
        <f>IF($B2281="","",INDEX(Suivi!$E:$E,2324))</f>
        <v/>
      </c>
      <c r="E2281" s="29">
        <f>IF($B2281="","",INDEX(Suivi!$F:$F,2324))</f>
        <v/>
      </c>
      <c r="F2281">
        <f>IF($B2281="","",INDEX(Suivi!$G:$G,2324))</f>
        <v/>
      </c>
      <c r="H2281">
        <f>IF(OR($B2281="",NOT(ISNUMBER($D2281))),"",IF($E2281&lt;$D$2,"Passé",IF($D2281&gt;$F$2,"À venir","Dans la période")))</f>
        <v/>
      </c>
      <c r="I2281">
        <f>IF(OR($B2281="",NOT(ISNUMBER($D2281))),"",IF(AND($E2281&lt;$D$2,$G2281&lt;&gt;"X",$F2281&lt;&gt;"Réalisé",$F2281&lt;&gt;"Clôturé"),"RETARD",""))</f>
        <v/>
      </c>
      <c r="J2281" s="29">
        <f>IF($B2281="","",IF(INDEX(Dossiers!$F$4:$F$63,43)="","",INDEX(Dossiers!$F$4:$F$63,43)))</f>
        <v/>
      </c>
      <c r="K2281" s="29">
        <f>IF($B2281="","",IF(INDEX(Dossiers!$G$4:$G$63,43)="","",INDEX(Dossiers!$G$4:$G$63,43)))</f>
        <v/>
      </c>
    </row>
    <row r="2282">
      <c r="A2282">
        <f>IF($B2282="","",INDEX(Dossiers!$E$4:$E$63,43))</f>
        <v/>
      </c>
      <c r="B2282">
        <f>IF(INDEX(Suivi!$B:$B,2325)="","",INDEX(Suivi!$B:$B,2325))</f>
        <v/>
      </c>
      <c r="C2282">
        <f>IF($B2282="","",IF(INDEX(Suivi!$D:$D,2325)="",INDEX(Suivi!$C:$C,2325),INDEX(Suivi!$D:$D,2325)))</f>
        <v/>
      </c>
      <c r="D2282" s="29">
        <f>IF($B2282="","",INDEX(Suivi!$E:$E,2325))</f>
        <v/>
      </c>
      <c r="E2282" s="29">
        <f>IF($B2282="","",INDEX(Suivi!$F:$F,2325))</f>
        <v/>
      </c>
      <c r="F2282">
        <f>IF($B2282="","",INDEX(Suivi!$G:$G,2325))</f>
        <v/>
      </c>
      <c r="H2282">
        <f>IF(OR($B2282="",NOT(ISNUMBER($D2282))),"",IF($E2282&lt;$D$2,"Passé",IF($D2282&gt;$F$2,"À venir","Dans la période")))</f>
        <v/>
      </c>
      <c r="I2282">
        <f>IF(OR($B2282="",NOT(ISNUMBER($D2282))),"",IF(AND($E2282&lt;$D$2,$G2282&lt;&gt;"X",$F2282&lt;&gt;"Réalisé",$F2282&lt;&gt;"Clôturé"),"RETARD",""))</f>
        <v/>
      </c>
      <c r="J2282" s="29">
        <f>IF($B2282="","",IF(INDEX(Dossiers!$F$4:$F$63,43)="","",INDEX(Dossiers!$F$4:$F$63,43)))</f>
        <v/>
      </c>
      <c r="K2282" s="29">
        <f>IF($B2282="","",IF(INDEX(Dossiers!$G$4:$G$63,43)="","",INDEX(Dossiers!$G$4:$G$63,43)))</f>
        <v/>
      </c>
    </row>
    <row r="2283">
      <c r="A2283">
        <f>IF($B2283="","",INDEX(Dossiers!$E$4:$E$63,44))</f>
        <v/>
      </c>
      <c r="B2283">
        <f>IF(INDEX(Suivi!$B:$B,2327)="","",INDEX(Suivi!$B:$B,2327))</f>
        <v/>
      </c>
      <c r="C2283">
        <f>IF($B2283="","",IF(INDEX(Suivi!$D:$D,2327)="",INDEX(Suivi!$C:$C,2327),INDEX(Suivi!$D:$D,2327)))</f>
        <v/>
      </c>
      <c r="D2283" s="29">
        <f>IF($B2283="","",INDEX(Suivi!$E:$E,2327))</f>
        <v/>
      </c>
      <c r="E2283" s="29">
        <f>IF($B2283="","",INDEX(Suivi!$F:$F,2327))</f>
        <v/>
      </c>
      <c r="F2283">
        <f>IF($B2283="","",INDEX(Suivi!$G:$G,2327))</f>
        <v/>
      </c>
      <c r="H2283">
        <f>IF(OR($B2283="",NOT(ISNUMBER($D2283))),"",IF($E2283&lt;$D$2,"Passé",IF($D2283&gt;$F$2,"À venir","Dans la période")))</f>
        <v/>
      </c>
      <c r="I2283">
        <f>IF(OR($B2283="",NOT(ISNUMBER($D2283))),"",IF(AND($E2283&lt;$D$2,$G2283&lt;&gt;"X",$F2283&lt;&gt;"Réalisé",$F2283&lt;&gt;"Clôturé"),"RETARD",""))</f>
        <v/>
      </c>
      <c r="J2283" s="29">
        <f>IF($B2283="","",IF(INDEX(Dossiers!$F$4:$F$63,44)="","",INDEX(Dossiers!$F$4:$F$63,44)))</f>
        <v/>
      </c>
      <c r="K2283" s="29">
        <f>IF($B2283="","",IF(INDEX(Dossiers!$G$4:$G$63,44)="","",INDEX(Dossiers!$G$4:$G$63,44)))</f>
        <v/>
      </c>
    </row>
    <row r="2284">
      <c r="A2284">
        <f>IF($B2284="","",INDEX(Dossiers!$E$4:$E$63,44))</f>
        <v/>
      </c>
      <c r="B2284">
        <f>IF(INDEX(Suivi!$B:$B,2328)="","",INDEX(Suivi!$B:$B,2328))</f>
        <v/>
      </c>
      <c r="C2284">
        <f>IF($B2284="","",IF(INDEX(Suivi!$D:$D,2328)="",INDEX(Suivi!$C:$C,2328),INDEX(Suivi!$D:$D,2328)))</f>
        <v/>
      </c>
      <c r="D2284" s="29">
        <f>IF($B2284="","",INDEX(Suivi!$E:$E,2328))</f>
        <v/>
      </c>
      <c r="E2284" s="29">
        <f>IF($B2284="","",INDEX(Suivi!$F:$F,2328))</f>
        <v/>
      </c>
      <c r="F2284">
        <f>IF($B2284="","",INDEX(Suivi!$G:$G,2328))</f>
        <v/>
      </c>
      <c r="H2284">
        <f>IF(OR($B2284="",NOT(ISNUMBER($D2284))),"",IF($E2284&lt;$D$2,"Passé",IF($D2284&gt;$F$2,"À venir","Dans la période")))</f>
        <v/>
      </c>
      <c r="I2284">
        <f>IF(OR($B2284="",NOT(ISNUMBER($D2284))),"",IF(AND($E2284&lt;$D$2,$G2284&lt;&gt;"X",$F2284&lt;&gt;"Réalisé",$F2284&lt;&gt;"Clôturé"),"RETARD",""))</f>
        <v/>
      </c>
      <c r="J2284" s="29">
        <f>IF($B2284="","",IF(INDEX(Dossiers!$F$4:$F$63,44)="","",INDEX(Dossiers!$F$4:$F$63,44)))</f>
        <v/>
      </c>
      <c r="K2284" s="29">
        <f>IF($B2284="","",IF(INDEX(Dossiers!$G$4:$G$63,44)="","",INDEX(Dossiers!$G$4:$G$63,44)))</f>
        <v/>
      </c>
    </row>
    <row r="2285">
      <c r="A2285">
        <f>IF($B2285="","",INDEX(Dossiers!$E$4:$E$63,44))</f>
        <v/>
      </c>
      <c r="B2285">
        <f>IF(INDEX(Suivi!$B:$B,2329)="","",INDEX(Suivi!$B:$B,2329))</f>
        <v/>
      </c>
      <c r="C2285">
        <f>IF($B2285="","",IF(INDEX(Suivi!$D:$D,2329)="",INDEX(Suivi!$C:$C,2329),INDEX(Suivi!$D:$D,2329)))</f>
        <v/>
      </c>
      <c r="D2285" s="29">
        <f>IF($B2285="","",INDEX(Suivi!$E:$E,2329))</f>
        <v/>
      </c>
      <c r="E2285" s="29">
        <f>IF($B2285="","",INDEX(Suivi!$F:$F,2329))</f>
        <v/>
      </c>
      <c r="F2285">
        <f>IF($B2285="","",INDEX(Suivi!$G:$G,2329))</f>
        <v/>
      </c>
      <c r="H2285">
        <f>IF(OR($B2285="",NOT(ISNUMBER($D2285))),"",IF($E2285&lt;$D$2,"Passé",IF($D2285&gt;$F$2,"À venir","Dans la période")))</f>
        <v/>
      </c>
      <c r="I2285">
        <f>IF(OR($B2285="",NOT(ISNUMBER($D2285))),"",IF(AND($E2285&lt;$D$2,$G2285&lt;&gt;"X",$F2285&lt;&gt;"Réalisé",$F2285&lt;&gt;"Clôturé"),"RETARD",""))</f>
        <v/>
      </c>
      <c r="J2285" s="29">
        <f>IF($B2285="","",IF(INDEX(Dossiers!$F$4:$F$63,44)="","",INDEX(Dossiers!$F$4:$F$63,44)))</f>
        <v/>
      </c>
      <c r="K2285" s="29">
        <f>IF($B2285="","",IF(INDEX(Dossiers!$G$4:$G$63,44)="","",INDEX(Dossiers!$G$4:$G$63,44)))</f>
        <v/>
      </c>
    </row>
    <row r="2286">
      <c r="A2286">
        <f>IF($B2286="","",INDEX(Dossiers!$E$4:$E$63,44))</f>
        <v/>
      </c>
      <c r="B2286">
        <f>IF(INDEX(Suivi!$B:$B,2330)="","",INDEX(Suivi!$B:$B,2330))</f>
        <v/>
      </c>
      <c r="C2286">
        <f>IF($B2286="","",IF(INDEX(Suivi!$D:$D,2330)="",INDEX(Suivi!$C:$C,2330),INDEX(Suivi!$D:$D,2330)))</f>
        <v/>
      </c>
      <c r="D2286" s="29">
        <f>IF($B2286="","",INDEX(Suivi!$E:$E,2330))</f>
        <v/>
      </c>
      <c r="E2286" s="29">
        <f>IF($B2286="","",INDEX(Suivi!$F:$F,2330))</f>
        <v/>
      </c>
      <c r="F2286">
        <f>IF($B2286="","",INDEX(Suivi!$G:$G,2330))</f>
        <v/>
      </c>
      <c r="H2286">
        <f>IF(OR($B2286="",NOT(ISNUMBER($D2286))),"",IF($E2286&lt;$D$2,"Passé",IF($D2286&gt;$F$2,"À venir","Dans la période")))</f>
        <v/>
      </c>
      <c r="I2286">
        <f>IF(OR($B2286="",NOT(ISNUMBER($D2286))),"",IF(AND($E2286&lt;$D$2,$G2286&lt;&gt;"X",$F2286&lt;&gt;"Réalisé",$F2286&lt;&gt;"Clôturé"),"RETARD",""))</f>
        <v/>
      </c>
      <c r="J2286" s="29">
        <f>IF($B2286="","",IF(INDEX(Dossiers!$F$4:$F$63,44)="","",INDEX(Dossiers!$F$4:$F$63,44)))</f>
        <v/>
      </c>
      <c r="K2286" s="29">
        <f>IF($B2286="","",IF(INDEX(Dossiers!$G$4:$G$63,44)="","",INDEX(Dossiers!$G$4:$G$63,44)))</f>
        <v/>
      </c>
    </row>
    <row r="2287">
      <c r="A2287">
        <f>IF($B2287="","",INDEX(Dossiers!$E$4:$E$63,44))</f>
        <v/>
      </c>
      <c r="B2287">
        <f>IF(INDEX(Suivi!$B:$B,2331)="","",INDEX(Suivi!$B:$B,2331))</f>
        <v/>
      </c>
      <c r="C2287">
        <f>IF($B2287="","",IF(INDEX(Suivi!$D:$D,2331)="",INDEX(Suivi!$C:$C,2331),INDEX(Suivi!$D:$D,2331)))</f>
        <v/>
      </c>
      <c r="D2287" s="29">
        <f>IF($B2287="","",INDEX(Suivi!$E:$E,2331))</f>
        <v/>
      </c>
      <c r="E2287" s="29">
        <f>IF($B2287="","",INDEX(Suivi!$F:$F,2331))</f>
        <v/>
      </c>
      <c r="F2287">
        <f>IF($B2287="","",INDEX(Suivi!$G:$G,2331))</f>
        <v/>
      </c>
      <c r="H2287">
        <f>IF(OR($B2287="",NOT(ISNUMBER($D2287))),"",IF($E2287&lt;$D$2,"Passé",IF($D2287&gt;$F$2,"À venir","Dans la période")))</f>
        <v/>
      </c>
      <c r="I2287">
        <f>IF(OR($B2287="",NOT(ISNUMBER($D2287))),"",IF(AND($E2287&lt;$D$2,$G2287&lt;&gt;"X",$F2287&lt;&gt;"Réalisé",$F2287&lt;&gt;"Clôturé"),"RETARD",""))</f>
        <v/>
      </c>
      <c r="J2287" s="29">
        <f>IF($B2287="","",IF(INDEX(Dossiers!$F$4:$F$63,44)="","",INDEX(Dossiers!$F$4:$F$63,44)))</f>
        <v/>
      </c>
      <c r="K2287" s="29">
        <f>IF($B2287="","",IF(INDEX(Dossiers!$G$4:$G$63,44)="","",INDEX(Dossiers!$G$4:$G$63,44)))</f>
        <v/>
      </c>
    </row>
    <row r="2288">
      <c r="A2288">
        <f>IF($B2288="","",INDEX(Dossiers!$E$4:$E$63,44))</f>
        <v/>
      </c>
      <c r="B2288">
        <f>IF(INDEX(Suivi!$B:$B,2332)="","",INDEX(Suivi!$B:$B,2332))</f>
        <v/>
      </c>
      <c r="C2288">
        <f>IF($B2288="","",IF(INDEX(Suivi!$D:$D,2332)="",INDEX(Suivi!$C:$C,2332),INDEX(Suivi!$D:$D,2332)))</f>
        <v/>
      </c>
      <c r="D2288" s="29">
        <f>IF($B2288="","",INDEX(Suivi!$E:$E,2332))</f>
        <v/>
      </c>
      <c r="E2288" s="29">
        <f>IF($B2288="","",INDEX(Suivi!$F:$F,2332))</f>
        <v/>
      </c>
      <c r="F2288">
        <f>IF($B2288="","",INDEX(Suivi!$G:$G,2332))</f>
        <v/>
      </c>
      <c r="H2288">
        <f>IF(OR($B2288="",NOT(ISNUMBER($D2288))),"",IF($E2288&lt;$D$2,"Passé",IF($D2288&gt;$F$2,"À venir","Dans la période")))</f>
        <v/>
      </c>
      <c r="I2288">
        <f>IF(OR($B2288="",NOT(ISNUMBER($D2288))),"",IF(AND($E2288&lt;$D$2,$G2288&lt;&gt;"X",$F2288&lt;&gt;"Réalisé",$F2288&lt;&gt;"Clôturé"),"RETARD",""))</f>
        <v/>
      </c>
      <c r="J2288" s="29">
        <f>IF($B2288="","",IF(INDEX(Dossiers!$F$4:$F$63,44)="","",INDEX(Dossiers!$F$4:$F$63,44)))</f>
        <v/>
      </c>
      <c r="K2288" s="29">
        <f>IF($B2288="","",IF(INDEX(Dossiers!$G$4:$G$63,44)="","",INDEX(Dossiers!$G$4:$G$63,44)))</f>
        <v/>
      </c>
    </row>
    <row r="2289">
      <c r="A2289">
        <f>IF($B2289="","",INDEX(Dossiers!$E$4:$E$63,44))</f>
        <v/>
      </c>
      <c r="B2289">
        <f>IF(INDEX(Suivi!$B:$B,2333)="","",INDEX(Suivi!$B:$B,2333))</f>
        <v/>
      </c>
      <c r="C2289">
        <f>IF($B2289="","",IF(INDEX(Suivi!$D:$D,2333)="",INDEX(Suivi!$C:$C,2333),INDEX(Suivi!$D:$D,2333)))</f>
        <v/>
      </c>
      <c r="D2289" s="29">
        <f>IF($B2289="","",INDEX(Suivi!$E:$E,2333))</f>
        <v/>
      </c>
      <c r="E2289" s="29">
        <f>IF($B2289="","",INDEX(Suivi!$F:$F,2333))</f>
        <v/>
      </c>
      <c r="F2289">
        <f>IF($B2289="","",INDEX(Suivi!$G:$G,2333))</f>
        <v/>
      </c>
      <c r="H2289">
        <f>IF(OR($B2289="",NOT(ISNUMBER($D2289))),"",IF($E2289&lt;$D$2,"Passé",IF($D2289&gt;$F$2,"À venir","Dans la période")))</f>
        <v/>
      </c>
      <c r="I2289">
        <f>IF(OR($B2289="",NOT(ISNUMBER($D2289))),"",IF(AND($E2289&lt;$D$2,$G2289&lt;&gt;"X",$F2289&lt;&gt;"Réalisé",$F2289&lt;&gt;"Clôturé"),"RETARD",""))</f>
        <v/>
      </c>
      <c r="J2289" s="29">
        <f>IF($B2289="","",IF(INDEX(Dossiers!$F$4:$F$63,44)="","",INDEX(Dossiers!$F$4:$F$63,44)))</f>
        <v/>
      </c>
      <c r="K2289" s="29">
        <f>IF($B2289="","",IF(INDEX(Dossiers!$G$4:$G$63,44)="","",INDEX(Dossiers!$G$4:$G$63,44)))</f>
        <v/>
      </c>
    </row>
    <row r="2290">
      <c r="A2290">
        <f>IF($B2290="","",INDEX(Dossiers!$E$4:$E$63,44))</f>
        <v/>
      </c>
      <c r="B2290">
        <f>IF(INDEX(Suivi!$B:$B,2334)="","",INDEX(Suivi!$B:$B,2334))</f>
        <v/>
      </c>
      <c r="C2290">
        <f>IF($B2290="","",IF(INDEX(Suivi!$D:$D,2334)="",INDEX(Suivi!$C:$C,2334),INDEX(Suivi!$D:$D,2334)))</f>
        <v/>
      </c>
      <c r="D2290" s="29">
        <f>IF($B2290="","",INDEX(Suivi!$E:$E,2334))</f>
        <v/>
      </c>
      <c r="E2290" s="29">
        <f>IF($B2290="","",INDEX(Suivi!$F:$F,2334))</f>
        <v/>
      </c>
      <c r="F2290">
        <f>IF($B2290="","",INDEX(Suivi!$G:$G,2334))</f>
        <v/>
      </c>
      <c r="H2290">
        <f>IF(OR($B2290="",NOT(ISNUMBER($D2290))),"",IF($E2290&lt;$D$2,"Passé",IF($D2290&gt;$F$2,"À venir","Dans la période")))</f>
        <v/>
      </c>
      <c r="I2290">
        <f>IF(OR($B2290="",NOT(ISNUMBER($D2290))),"",IF(AND($E2290&lt;$D$2,$G2290&lt;&gt;"X",$F2290&lt;&gt;"Réalisé",$F2290&lt;&gt;"Clôturé"),"RETARD",""))</f>
        <v/>
      </c>
      <c r="J2290" s="29">
        <f>IF($B2290="","",IF(INDEX(Dossiers!$F$4:$F$63,44)="","",INDEX(Dossiers!$F$4:$F$63,44)))</f>
        <v/>
      </c>
      <c r="K2290" s="29">
        <f>IF($B2290="","",IF(INDEX(Dossiers!$G$4:$G$63,44)="","",INDEX(Dossiers!$G$4:$G$63,44)))</f>
        <v/>
      </c>
    </row>
    <row r="2291">
      <c r="A2291">
        <f>IF($B2291="","",INDEX(Dossiers!$E$4:$E$63,44))</f>
        <v/>
      </c>
      <c r="B2291">
        <f>IF(INDEX(Suivi!$B:$B,2335)="","",INDEX(Suivi!$B:$B,2335))</f>
        <v/>
      </c>
      <c r="C2291">
        <f>IF($B2291="","",IF(INDEX(Suivi!$D:$D,2335)="",INDEX(Suivi!$C:$C,2335),INDEX(Suivi!$D:$D,2335)))</f>
        <v/>
      </c>
      <c r="D2291" s="29">
        <f>IF($B2291="","",INDEX(Suivi!$E:$E,2335))</f>
        <v/>
      </c>
      <c r="E2291" s="29">
        <f>IF($B2291="","",INDEX(Suivi!$F:$F,2335))</f>
        <v/>
      </c>
      <c r="F2291">
        <f>IF($B2291="","",INDEX(Suivi!$G:$G,2335))</f>
        <v/>
      </c>
      <c r="H2291">
        <f>IF(OR($B2291="",NOT(ISNUMBER($D2291))),"",IF($E2291&lt;$D$2,"Passé",IF($D2291&gt;$F$2,"À venir","Dans la période")))</f>
        <v/>
      </c>
      <c r="I2291">
        <f>IF(OR($B2291="",NOT(ISNUMBER($D2291))),"",IF(AND($E2291&lt;$D$2,$G2291&lt;&gt;"X",$F2291&lt;&gt;"Réalisé",$F2291&lt;&gt;"Clôturé"),"RETARD",""))</f>
        <v/>
      </c>
      <c r="J2291" s="29">
        <f>IF($B2291="","",IF(INDEX(Dossiers!$F$4:$F$63,44)="","",INDEX(Dossiers!$F$4:$F$63,44)))</f>
        <v/>
      </c>
      <c r="K2291" s="29">
        <f>IF($B2291="","",IF(INDEX(Dossiers!$G$4:$G$63,44)="","",INDEX(Dossiers!$G$4:$G$63,44)))</f>
        <v/>
      </c>
    </row>
    <row r="2292">
      <c r="A2292">
        <f>IF($B2292="","",INDEX(Dossiers!$E$4:$E$63,44))</f>
        <v/>
      </c>
      <c r="B2292">
        <f>IF(INDEX(Suivi!$B:$B,2336)="","",INDEX(Suivi!$B:$B,2336))</f>
        <v/>
      </c>
      <c r="C2292">
        <f>IF($B2292="","",IF(INDEX(Suivi!$D:$D,2336)="",INDEX(Suivi!$C:$C,2336),INDEX(Suivi!$D:$D,2336)))</f>
        <v/>
      </c>
      <c r="D2292" s="29">
        <f>IF($B2292="","",INDEX(Suivi!$E:$E,2336))</f>
        <v/>
      </c>
      <c r="E2292" s="29">
        <f>IF($B2292="","",INDEX(Suivi!$F:$F,2336))</f>
        <v/>
      </c>
      <c r="F2292">
        <f>IF($B2292="","",INDEX(Suivi!$G:$G,2336))</f>
        <v/>
      </c>
      <c r="H2292">
        <f>IF(OR($B2292="",NOT(ISNUMBER($D2292))),"",IF($E2292&lt;$D$2,"Passé",IF($D2292&gt;$F$2,"À venir","Dans la période")))</f>
        <v/>
      </c>
      <c r="I2292">
        <f>IF(OR($B2292="",NOT(ISNUMBER($D2292))),"",IF(AND($E2292&lt;$D$2,$G2292&lt;&gt;"X",$F2292&lt;&gt;"Réalisé",$F2292&lt;&gt;"Clôturé"),"RETARD",""))</f>
        <v/>
      </c>
      <c r="J2292" s="29">
        <f>IF($B2292="","",IF(INDEX(Dossiers!$F$4:$F$63,44)="","",INDEX(Dossiers!$F$4:$F$63,44)))</f>
        <v/>
      </c>
      <c r="K2292" s="29">
        <f>IF($B2292="","",IF(INDEX(Dossiers!$G$4:$G$63,44)="","",INDEX(Dossiers!$G$4:$G$63,44)))</f>
        <v/>
      </c>
    </row>
    <row r="2293">
      <c r="A2293">
        <f>IF($B2293="","",INDEX(Dossiers!$E$4:$E$63,44))</f>
        <v/>
      </c>
      <c r="B2293">
        <f>IF(INDEX(Suivi!$B:$B,2337)="","",INDEX(Suivi!$B:$B,2337))</f>
        <v/>
      </c>
      <c r="C2293">
        <f>IF($B2293="","",IF(INDEX(Suivi!$D:$D,2337)="",INDEX(Suivi!$C:$C,2337),INDEX(Suivi!$D:$D,2337)))</f>
        <v/>
      </c>
      <c r="D2293" s="29">
        <f>IF($B2293="","",INDEX(Suivi!$E:$E,2337))</f>
        <v/>
      </c>
      <c r="E2293" s="29">
        <f>IF($B2293="","",INDEX(Suivi!$F:$F,2337))</f>
        <v/>
      </c>
      <c r="F2293">
        <f>IF($B2293="","",INDEX(Suivi!$G:$G,2337))</f>
        <v/>
      </c>
      <c r="H2293">
        <f>IF(OR($B2293="",NOT(ISNUMBER($D2293))),"",IF($E2293&lt;$D$2,"Passé",IF($D2293&gt;$F$2,"À venir","Dans la période")))</f>
        <v/>
      </c>
      <c r="I2293">
        <f>IF(OR($B2293="",NOT(ISNUMBER($D2293))),"",IF(AND($E2293&lt;$D$2,$G2293&lt;&gt;"X",$F2293&lt;&gt;"Réalisé",$F2293&lt;&gt;"Clôturé"),"RETARD",""))</f>
        <v/>
      </c>
      <c r="J2293" s="29">
        <f>IF($B2293="","",IF(INDEX(Dossiers!$F$4:$F$63,44)="","",INDEX(Dossiers!$F$4:$F$63,44)))</f>
        <v/>
      </c>
      <c r="K2293" s="29">
        <f>IF($B2293="","",IF(INDEX(Dossiers!$G$4:$G$63,44)="","",INDEX(Dossiers!$G$4:$G$63,44)))</f>
        <v/>
      </c>
    </row>
    <row r="2294">
      <c r="A2294">
        <f>IF($B2294="","",INDEX(Dossiers!$E$4:$E$63,44))</f>
        <v/>
      </c>
      <c r="B2294">
        <f>IF(INDEX(Suivi!$B:$B,2338)="","",INDEX(Suivi!$B:$B,2338))</f>
        <v/>
      </c>
      <c r="C2294">
        <f>IF($B2294="","",IF(INDEX(Suivi!$D:$D,2338)="",INDEX(Suivi!$C:$C,2338),INDEX(Suivi!$D:$D,2338)))</f>
        <v/>
      </c>
      <c r="D2294" s="29">
        <f>IF($B2294="","",INDEX(Suivi!$E:$E,2338))</f>
        <v/>
      </c>
      <c r="E2294" s="29">
        <f>IF($B2294="","",INDEX(Suivi!$F:$F,2338))</f>
        <v/>
      </c>
      <c r="F2294">
        <f>IF($B2294="","",INDEX(Suivi!$G:$G,2338))</f>
        <v/>
      </c>
      <c r="H2294">
        <f>IF(OR($B2294="",NOT(ISNUMBER($D2294))),"",IF($E2294&lt;$D$2,"Passé",IF($D2294&gt;$F$2,"À venir","Dans la période")))</f>
        <v/>
      </c>
      <c r="I2294">
        <f>IF(OR($B2294="",NOT(ISNUMBER($D2294))),"",IF(AND($E2294&lt;$D$2,$G2294&lt;&gt;"X",$F2294&lt;&gt;"Réalisé",$F2294&lt;&gt;"Clôturé"),"RETARD",""))</f>
        <v/>
      </c>
      <c r="J2294" s="29">
        <f>IF($B2294="","",IF(INDEX(Dossiers!$F$4:$F$63,44)="","",INDEX(Dossiers!$F$4:$F$63,44)))</f>
        <v/>
      </c>
      <c r="K2294" s="29">
        <f>IF($B2294="","",IF(INDEX(Dossiers!$G$4:$G$63,44)="","",INDEX(Dossiers!$G$4:$G$63,44)))</f>
        <v/>
      </c>
    </row>
    <row r="2295">
      <c r="A2295">
        <f>IF($B2295="","",INDEX(Dossiers!$E$4:$E$63,44))</f>
        <v/>
      </c>
      <c r="B2295">
        <f>IF(INDEX(Suivi!$B:$B,2339)="","",INDEX(Suivi!$B:$B,2339))</f>
        <v/>
      </c>
      <c r="C2295">
        <f>IF($B2295="","",IF(INDEX(Suivi!$D:$D,2339)="",INDEX(Suivi!$C:$C,2339),INDEX(Suivi!$D:$D,2339)))</f>
        <v/>
      </c>
      <c r="D2295" s="29">
        <f>IF($B2295="","",INDEX(Suivi!$E:$E,2339))</f>
        <v/>
      </c>
      <c r="E2295" s="29">
        <f>IF($B2295="","",INDEX(Suivi!$F:$F,2339))</f>
        <v/>
      </c>
      <c r="F2295">
        <f>IF($B2295="","",INDEX(Suivi!$G:$G,2339))</f>
        <v/>
      </c>
      <c r="H2295">
        <f>IF(OR($B2295="",NOT(ISNUMBER($D2295))),"",IF($E2295&lt;$D$2,"Passé",IF($D2295&gt;$F$2,"À venir","Dans la période")))</f>
        <v/>
      </c>
      <c r="I2295">
        <f>IF(OR($B2295="",NOT(ISNUMBER($D2295))),"",IF(AND($E2295&lt;$D$2,$G2295&lt;&gt;"X",$F2295&lt;&gt;"Réalisé",$F2295&lt;&gt;"Clôturé"),"RETARD",""))</f>
        <v/>
      </c>
      <c r="J2295" s="29">
        <f>IF($B2295="","",IF(INDEX(Dossiers!$F$4:$F$63,44)="","",INDEX(Dossiers!$F$4:$F$63,44)))</f>
        <v/>
      </c>
      <c r="K2295" s="29">
        <f>IF($B2295="","",IF(INDEX(Dossiers!$G$4:$G$63,44)="","",INDEX(Dossiers!$G$4:$G$63,44)))</f>
        <v/>
      </c>
    </row>
    <row r="2296">
      <c r="A2296">
        <f>IF($B2296="","",INDEX(Dossiers!$E$4:$E$63,44))</f>
        <v/>
      </c>
      <c r="B2296">
        <f>IF(INDEX(Suivi!$B:$B,2340)="","",INDEX(Suivi!$B:$B,2340))</f>
        <v/>
      </c>
      <c r="C2296">
        <f>IF($B2296="","",IF(INDEX(Suivi!$D:$D,2340)="",INDEX(Suivi!$C:$C,2340),INDEX(Suivi!$D:$D,2340)))</f>
        <v/>
      </c>
      <c r="D2296" s="29">
        <f>IF($B2296="","",INDEX(Suivi!$E:$E,2340))</f>
        <v/>
      </c>
      <c r="E2296" s="29">
        <f>IF($B2296="","",INDEX(Suivi!$F:$F,2340))</f>
        <v/>
      </c>
      <c r="F2296">
        <f>IF($B2296="","",INDEX(Suivi!$G:$G,2340))</f>
        <v/>
      </c>
      <c r="H2296">
        <f>IF(OR($B2296="",NOT(ISNUMBER($D2296))),"",IF($E2296&lt;$D$2,"Passé",IF($D2296&gt;$F$2,"À venir","Dans la période")))</f>
        <v/>
      </c>
      <c r="I2296">
        <f>IF(OR($B2296="",NOT(ISNUMBER($D2296))),"",IF(AND($E2296&lt;$D$2,$G2296&lt;&gt;"X",$F2296&lt;&gt;"Réalisé",$F2296&lt;&gt;"Clôturé"),"RETARD",""))</f>
        <v/>
      </c>
      <c r="J2296" s="29">
        <f>IF($B2296="","",IF(INDEX(Dossiers!$F$4:$F$63,44)="","",INDEX(Dossiers!$F$4:$F$63,44)))</f>
        <v/>
      </c>
      <c r="K2296" s="29">
        <f>IF($B2296="","",IF(INDEX(Dossiers!$G$4:$G$63,44)="","",INDEX(Dossiers!$G$4:$G$63,44)))</f>
        <v/>
      </c>
    </row>
    <row r="2297">
      <c r="A2297">
        <f>IF($B2297="","",INDEX(Dossiers!$E$4:$E$63,44))</f>
        <v/>
      </c>
      <c r="B2297">
        <f>IF(INDEX(Suivi!$B:$B,2341)="","",INDEX(Suivi!$B:$B,2341))</f>
        <v/>
      </c>
      <c r="C2297">
        <f>IF($B2297="","",IF(INDEX(Suivi!$D:$D,2341)="",INDEX(Suivi!$C:$C,2341),INDEX(Suivi!$D:$D,2341)))</f>
        <v/>
      </c>
      <c r="D2297" s="29">
        <f>IF($B2297="","",INDEX(Suivi!$E:$E,2341))</f>
        <v/>
      </c>
      <c r="E2297" s="29">
        <f>IF($B2297="","",INDEX(Suivi!$F:$F,2341))</f>
        <v/>
      </c>
      <c r="F2297">
        <f>IF($B2297="","",INDEX(Suivi!$G:$G,2341))</f>
        <v/>
      </c>
      <c r="H2297">
        <f>IF(OR($B2297="",NOT(ISNUMBER($D2297))),"",IF($E2297&lt;$D$2,"Passé",IF($D2297&gt;$F$2,"À venir","Dans la période")))</f>
        <v/>
      </c>
      <c r="I2297">
        <f>IF(OR($B2297="",NOT(ISNUMBER($D2297))),"",IF(AND($E2297&lt;$D$2,$G2297&lt;&gt;"X",$F2297&lt;&gt;"Réalisé",$F2297&lt;&gt;"Clôturé"),"RETARD",""))</f>
        <v/>
      </c>
      <c r="J2297" s="29">
        <f>IF($B2297="","",IF(INDEX(Dossiers!$F$4:$F$63,44)="","",INDEX(Dossiers!$F$4:$F$63,44)))</f>
        <v/>
      </c>
      <c r="K2297" s="29">
        <f>IF($B2297="","",IF(INDEX(Dossiers!$G$4:$G$63,44)="","",INDEX(Dossiers!$G$4:$G$63,44)))</f>
        <v/>
      </c>
    </row>
    <row r="2298">
      <c r="A2298">
        <f>IF($B2298="","",INDEX(Dossiers!$E$4:$E$63,44))</f>
        <v/>
      </c>
      <c r="B2298">
        <f>IF(INDEX(Suivi!$B:$B,2342)="","",INDEX(Suivi!$B:$B,2342))</f>
        <v/>
      </c>
      <c r="C2298">
        <f>IF($B2298="","",IF(INDEX(Suivi!$D:$D,2342)="",INDEX(Suivi!$C:$C,2342),INDEX(Suivi!$D:$D,2342)))</f>
        <v/>
      </c>
      <c r="D2298" s="29">
        <f>IF($B2298="","",INDEX(Suivi!$E:$E,2342))</f>
        <v/>
      </c>
      <c r="E2298" s="29">
        <f>IF($B2298="","",INDEX(Suivi!$F:$F,2342))</f>
        <v/>
      </c>
      <c r="F2298">
        <f>IF($B2298="","",INDEX(Suivi!$G:$G,2342))</f>
        <v/>
      </c>
      <c r="H2298">
        <f>IF(OR($B2298="",NOT(ISNUMBER($D2298))),"",IF($E2298&lt;$D$2,"Passé",IF($D2298&gt;$F$2,"À venir","Dans la période")))</f>
        <v/>
      </c>
      <c r="I2298">
        <f>IF(OR($B2298="",NOT(ISNUMBER($D2298))),"",IF(AND($E2298&lt;$D$2,$G2298&lt;&gt;"X",$F2298&lt;&gt;"Réalisé",$F2298&lt;&gt;"Clôturé"),"RETARD",""))</f>
        <v/>
      </c>
      <c r="J2298" s="29">
        <f>IF($B2298="","",IF(INDEX(Dossiers!$F$4:$F$63,44)="","",INDEX(Dossiers!$F$4:$F$63,44)))</f>
        <v/>
      </c>
      <c r="K2298" s="29">
        <f>IF($B2298="","",IF(INDEX(Dossiers!$G$4:$G$63,44)="","",INDEX(Dossiers!$G$4:$G$63,44)))</f>
        <v/>
      </c>
    </row>
    <row r="2299">
      <c r="A2299">
        <f>IF($B2299="","",INDEX(Dossiers!$E$4:$E$63,44))</f>
        <v/>
      </c>
      <c r="B2299">
        <f>IF(INDEX(Suivi!$B:$B,2343)="","",INDEX(Suivi!$B:$B,2343))</f>
        <v/>
      </c>
      <c r="C2299">
        <f>IF($B2299="","",IF(INDEX(Suivi!$D:$D,2343)="",INDEX(Suivi!$C:$C,2343),INDEX(Suivi!$D:$D,2343)))</f>
        <v/>
      </c>
      <c r="D2299" s="29">
        <f>IF($B2299="","",INDEX(Suivi!$E:$E,2343))</f>
        <v/>
      </c>
      <c r="E2299" s="29">
        <f>IF($B2299="","",INDEX(Suivi!$F:$F,2343))</f>
        <v/>
      </c>
      <c r="F2299">
        <f>IF($B2299="","",INDEX(Suivi!$G:$G,2343))</f>
        <v/>
      </c>
      <c r="H2299">
        <f>IF(OR($B2299="",NOT(ISNUMBER($D2299))),"",IF($E2299&lt;$D$2,"Passé",IF($D2299&gt;$F$2,"À venir","Dans la période")))</f>
        <v/>
      </c>
      <c r="I2299">
        <f>IF(OR($B2299="",NOT(ISNUMBER($D2299))),"",IF(AND($E2299&lt;$D$2,$G2299&lt;&gt;"X",$F2299&lt;&gt;"Réalisé",$F2299&lt;&gt;"Clôturé"),"RETARD",""))</f>
        <v/>
      </c>
      <c r="J2299" s="29">
        <f>IF($B2299="","",IF(INDEX(Dossiers!$F$4:$F$63,44)="","",INDEX(Dossiers!$F$4:$F$63,44)))</f>
        <v/>
      </c>
      <c r="K2299" s="29">
        <f>IF($B2299="","",IF(INDEX(Dossiers!$G$4:$G$63,44)="","",INDEX(Dossiers!$G$4:$G$63,44)))</f>
        <v/>
      </c>
    </row>
    <row r="2300">
      <c r="A2300">
        <f>IF($B2300="","",INDEX(Dossiers!$E$4:$E$63,44))</f>
        <v/>
      </c>
      <c r="B2300">
        <f>IF(INDEX(Suivi!$B:$B,2344)="","",INDEX(Suivi!$B:$B,2344))</f>
        <v/>
      </c>
      <c r="C2300">
        <f>IF($B2300="","",IF(INDEX(Suivi!$D:$D,2344)="",INDEX(Suivi!$C:$C,2344),INDEX(Suivi!$D:$D,2344)))</f>
        <v/>
      </c>
      <c r="D2300" s="29">
        <f>IF($B2300="","",INDEX(Suivi!$E:$E,2344))</f>
        <v/>
      </c>
      <c r="E2300" s="29">
        <f>IF($B2300="","",INDEX(Suivi!$F:$F,2344))</f>
        <v/>
      </c>
      <c r="F2300">
        <f>IF($B2300="","",INDEX(Suivi!$G:$G,2344))</f>
        <v/>
      </c>
      <c r="H2300">
        <f>IF(OR($B2300="",NOT(ISNUMBER($D2300))),"",IF($E2300&lt;$D$2,"Passé",IF($D2300&gt;$F$2,"À venir","Dans la période")))</f>
        <v/>
      </c>
      <c r="I2300">
        <f>IF(OR($B2300="",NOT(ISNUMBER($D2300))),"",IF(AND($E2300&lt;$D$2,$G2300&lt;&gt;"X",$F2300&lt;&gt;"Réalisé",$F2300&lt;&gt;"Clôturé"),"RETARD",""))</f>
        <v/>
      </c>
      <c r="J2300" s="29">
        <f>IF($B2300="","",IF(INDEX(Dossiers!$F$4:$F$63,44)="","",INDEX(Dossiers!$F$4:$F$63,44)))</f>
        <v/>
      </c>
      <c r="K2300" s="29">
        <f>IF($B2300="","",IF(INDEX(Dossiers!$G$4:$G$63,44)="","",INDEX(Dossiers!$G$4:$G$63,44)))</f>
        <v/>
      </c>
    </row>
    <row r="2301">
      <c r="A2301">
        <f>IF($B2301="","",INDEX(Dossiers!$E$4:$E$63,44))</f>
        <v/>
      </c>
      <c r="B2301">
        <f>IF(INDEX(Suivi!$B:$B,2345)="","",INDEX(Suivi!$B:$B,2345))</f>
        <v/>
      </c>
      <c r="C2301">
        <f>IF($B2301="","",IF(INDEX(Suivi!$D:$D,2345)="",INDEX(Suivi!$C:$C,2345),INDEX(Suivi!$D:$D,2345)))</f>
        <v/>
      </c>
      <c r="D2301" s="29">
        <f>IF($B2301="","",INDEX(Suivi!$E:$E,2345))</f>
        <v/>
      </c>
      <c r="E2301" s="29">
        <f>IF($B2301="","",INDEX(Suivi!$F:$F,2345))</f>
        <v/>
      </c>
      <c r="F2301">
        <f>IF($B2301="","",INDEX(Suivi!$G:$G,2345))</f>
        <v/>
      </c>
      <c r="H2301">
        <f>IF(OR($B2301="",NOT(ISNUMBER($D2301))),"",IF($E2301&lt;$D$2,"Passé",IF($D2301&gt;$F$2,"À venir","Dans la période")))</f>
        <v/>
      </c>
      <c r="I2301">
        <f>IF(OR($B2301="",NOT(ISNUMBER($D2301))),"",IF(AND($E2301&lt;$D$2,$G2301&lt;&gt;"X",$F2301&lt;&gt;"Réalisé",$F2301&lt;&gt;"Clôturé"),"RETARD",""))</f>
        <v/>
      </c>
      <c r="J2301" s="29">
        <f>IF($B2301="","",IF(INDEX(Dossiers!$F$4:$F$63,44)="","",INDEX(Dossiers!$F$4:$F$63,44)))</f>
        <v/>
      </c>
      <c r="K2301" s="29">
        <f>IF($B2301="","",IF(INDEX(Dossiers!$G$4:$G$63,44)="","",INDEX(Dossiers!$G$4:$G$63,44)))</f>
        <v/>
      </c>
    </row>
    <row r="2302">
      <c r="A2302">
        <f>IF($B2302="","",INDEX(Dossiers!$E$4:$E$63,44))</f>
        <v/>
      </c>
      <c r="B2302">
        <f>IF(INDEX(Suivi!$B:$B,2346)="","",INDEX(Suivi!$B:$B,2346))</f>
        <v/>
      </c>
      <c r="C2302">
        <f>IF($B2302="","",IF(INDEX(Suivi!$D:$D,2346)="",INDEX(Suivi!$C:$C,2346),INDEX(Suivi!$D:$D,2346)))</f>
        <v/>
      </c>
      <c r="D2302" s="29">
        <f>IF($B2302="","",INDEX(Suivi!$E:$E,2346))</f>
        <v/>
      </c>
      <c r="E2302" s="29">
        <f>IF($B2302="","",INDEX(Suivi!$F:$F,2346))</f>
        <v/>
      </c>
      <c r="F2302">
        <f>IF($B2302="","",INDEX(Suivi!$G:$G,2346))</f>
        <v/>
      </c>
      <c r="H2302">
        <f>IF(OR($B2302="",NOT(ISNUMBER($D2302))),"",IF($E2302&lt;$D$2,"Passé",IF($D2302&gt;$F$2,"À venir","Dans la période")))</f>
        <v/>
      </c>
      <c r="I2302">
        <f>IF(OR($B2302="",NOT(ISNUMBER($D2302))),"",IF(AND($E2302&lt;$D$2,$G2302&lt;&gt;"X",$F2302&lt;&gt;"Réalisé",$F2302&lt;&gt;"Clôturé"),"RETARD",""))</f>
        <v/>
      </c>
      <c r="J2302" s="29">
        <f>IF($B2302="","",IF(INDEX(Dossiers!$F$4:$F$63,44)="","",INDEX(Dossiers!$F$4:$F$63,44)))</f>
        <v/>
      </c>
      <c r="K2302" s="29">
        <f>IF($B2302="","",IF(INDEX(Dossiers!$G$4:$G$63,44)="","",INDEX(Dossiers!$G$4:$G$63,44)))</f>
        <v/>
      </c>
    </row>
    <row r="2303">
      <c r="A2303">
        <f>IF($B2303="","",INDEX(Dossiers!$E$4:$E$63,44))</f>
        <v/>
      </c>
      <c r="B2303">
        <f>IF(INDEX(Suivi!$B:$B,2347)="","",INDEX(Suivi!$B:$B,2347))</f>
        <v/>
      </c>
      <c r="C2303">
        <f>IF($B2303="","",IF(INDEX(Suivi!$D:$D,2347)="",INDEX(Suivi!$C:$C,2347),INDEX(Suivi!$D:$D,2347)))</f>
        <v/>
      </c>
      <c r="D2303" s="29">
        <f>IF($B2303="","",INDEX(Suivi!$E:$E,2347))</f>
        <v/>
      </c>
      <c r="E2303" s="29">
        <f>IF($B2303="","",INDEX(Suivi!$F:$F,2347))</f>
        <v/>
      </c>
      <c r="F2303">
        <f>IF($B2303="","",INDEX(Suivi!$G:$G,2347))</f>
        <v/>
      </c>
      <c r="H2303">
        <f>IF(OR($B2303="",NOT(ISNUMBER($D2303))),"",IF($E2303&lt;$D$2,"Passé",IF($D2303&gt;$F$2,"À venir","Dans la période")))</f>
        <v/>
      </c>
      <c r="I2303">
        <f>IF(OR($B2303="",NOT(ISNUMBER($D2303))),"",IF(AND($E2303&lt;$D$2,$G2303&lt;&gt;"X",$F2303&lt;&gt;"Réalisé",$F2303&lt;&gt;"Clôturé"),"RETARD",""))</f>
        <v/>
      </c>
      <c r="J2303" s="29">
        <f>IF($B2303="","",IF(INDEX(Dossiers!$F$4:$F$63,44)="","",INDEX(Dossiers!$F$4:$F$63,44)))</f>
        <v/>
      </c>
      <c r="K2303" s="29">
        <f>IF($B2303="","",IF(INDEX(Dossiers!$G$4:$G$63,44)="","",INDEX(Dossiers!$G$4:$G$63,44)))</f>
        <v/>
      </c>
    </row>
    <row r="2304">
      <c r="A2304">
        <f>IF($B2304="","",INDEX(Dossiers!$E$4:$E$63,44))</f>
        <v/>
      </c>
      <c r="B2304">
        <f>IF(INDEX(Suivi!$B:$B,2348)="","",INDEX(Suivi!$B:$B,2348))</f>
        <v/>
      </c>
      <c r="C2304">
        <f>IF($B2304="","",IF(INDEX(Suivi!$D:$D,2348)="",INDEX(Suivi!$C:$C,2348),INDEX(Suivi!$D:$D,2348)))</f>
        <v/>
      </c>
      <c r="D2304" s="29">
        <f>IF($B2304="","",INDEX(Suivi!$E:$E,2348))</f>
        <v/>
      </c>
      <c r="E2304" s="29">
        <f>IF($B2304="","",INDEX(Suivi!$F:$F,2348))</f>
        <v/>
      </c>
      <c r="F2304">
        <f>IF($B2304="","",INDEX(Suivi!$G:$G,2348))</f>
        <v/>
      </c>
      <c r="H2304">
        <f>IF(OR($B2304="",NOT(ISNUMBER($D2304))),"",IF($E2304&lt;$D$2,"Passé",IF($D2304&gt;$F$2,"À venir","Dans la période")))</f>
        <v/>
      </c>
      <c r="I2304">
        <f>IF(OR($B2304="",NOT(ISNUMBER($D2304))),"",IF(AND($E2304&lt;$D$2,$G2304&lt;&gt;"X",$F2304&lt;&gt;"Réalisé",$F2304&lt;&gt;"Clôturé"),"RETARD",""))</f>
        <v/>
      </c>
      <c r="J2304" s="29">
        <f>IF($B2304="","",IF(INDEX(Dossiers!$F$4:$F$63,44)="","",INDEX(Dossiers!$F$4:$F$63,44)))</f>
        <v/>
      </c>
      <c r="K2304" s="29">
        <f>IF($B2304="","",IF(INDEX(Dossiers!$G$4:$G$63,44)="","",INDEX(Dossiers!$G$4:$G$63,44)))</f>
        <v/>
      </c>
    </row>
    <row r="2305">
      <c r="A2305">
        <f>IF($B2305="","",INDEX(Dossiers!$E$4:$E$63,44))</f>
        <v/>
      </c>
      <c r="B2305">
        <f>IF(INDEX(Suivi!$B:$B,2349)="","",INDEX(Suivi!$B:$B,2349))</f>
        <v/>
      </c>
      <c r="C2305">
        <f>IF($B2305="","",IF(INDEX(Suivi!$D:$D,2349)="",INDEX(Suivi!$C:$C,2349),INDEX(Suivi!$D:$D,2349)))</f>
        <v/>
      </c>
      <c r="D2305" s="29">
        <f>IF($B2305="","",INDEX(Suivi!$E:$E,2349))</f>
        <v/>
      </c>
      <c r="E2305" s="29">
        <f>IF($B2305="","",INDEX(Suivi!$F:$F,2349))</f>
        <v/>
      </c>
      <c r="F2305">
        <f>IF($B2305="","",INDEX(Suivi!$G:$G,2349))</f>
        <v/>
      </c>
      <c r="H2305">
        <f>IF(OR($B2305="",NOT(ISNUMBER($D2305))),"",IF($E2305&lt;$D$2,"Passé",IF($D2305&gt;$F$2,"À venir","Dans la période")))</f>
        <v/>
      </c>
      <c r="I2305">
        <f>IF(OR($B2305="",NOT(ISNUMBER($D2305))),"",IF(AND($E2305&lt;$D$2,$G2305&lt;&gt;"X",$F2305&lt;&gt;"Réalisé",$F2305&lt;&gt;"Clôturé"),"RETARD",""))</f>
        <v/>
      </c>
      <c r="J2305" s="29">
        <f>IF($B2305="","",IF(INDEX(Dossiers!$F$4:$F$63,44)="","",INDEX(Dossiers!$F$4:$F$63,44)))</f>
        <v/>
      </c>
      <c r="K2305" s="29">
        <f>IF($B2305="","",IF(INDEX(Dossiers!$G$4:$G$63,44)="","",INDEX(Dossiers!$G$4:$G$63,44)))</f>
        <v/>
      </c>
    </row>
    <row r="2306">
      <c r="A2306">
        <f>IF($B2306="","",INDEX(Dossiers!$E$4:$E$63,44))</f>
        <v/>
      </c>
      <c r="B2306">
        <f>IF(INDEX(Suivi!$B:$B,2350)="","",INDEX(Suivi!$B:$B,2350))</f>
        <v/>
      </c>
      <c r="C2306">
        <f>IF($B2306="","",IF(INDEX(Suivi!$D:$D,2350)="",INDEX(Suivi!$C:$C,2350),INDEX(Suivi!$D:$D,2350)))</f>
        <v/>
      </c>
      <c r="D2306" s="29">
        <f>IF($B2306="","",INDEX(Suivi!$E:$E,2350))</f>
        <v/>
      </c>
      <c r="E2306" s="29">
        <f>IF($B2306="","",INDEX(Suivi!$F:$F,2350))</f>
        <v/>
      </c>
      <c r="F2306">
        <f>IF($B2306="","",INDEX(Suivi!$G:$G,2350))</f>
        <v/>
      </c>
      <c r="H2306">
        <f>IF(OR($B2306="",NOT(ISNUMBER($D2306))),"",IF($E2306&lt;$D$2,"Passé",IF($D2306&gt;$F$2,"À venir","Dans la période")))</f>
        <v/>
      </c>
      <c r="I2306">
        <f>IF(OR($B2306="",NOT(ISNUMBER($D2306))),"",IF(AND($E2306&lt;$D$2,$G2306&lt;&gt;"X",$F2306&lt;&gt;"Réalisé",$F2306&lt;&gt;"Clôturé"),"RETARD",""))</f>
        <v/>
      </c>
      <c r="J2306" s="29">
        <f>IF($B2306="","",IF(INDEX(Dossiers!$F$4:$F$63,44)="","",INDEX(Dossiers!$F$4:$F$63,44)))</f>
        <v/>
      </c>
      <c r="K2306" s="29">
        <f>IF($B2306="","",IF(INDEX(Dossiers!$G$4:$G$63,44)="","",INDEX(Dossiers!$G$4:$G$63,44)))</f>
        <v/>
      </c>
    </row>
    <row r="2307">
      <c r="A2307">
        <f>IF($B2307="","",INDEX(Dossiers!$E$4:$E$63,44))</f>
        <v/>
      </c>
      <c r="B2307">
        <f>IF(INDEX(Suivi!$B:$B,2351)="","",INDEX(Suivi!$B:$B,2351))</f>
        <v/>
      </c>
      <c r="C2307">
        <f>IF($B2307="","",IF(INDEX(Suivi!$D:$D,2351)="",INDEX(Suivi!$C:$C,2351),INDEX(Suivi!$D:$D,2351)))</f>
        <v/>
      </c>
      <c r="D2307" s="29">
        <f>IF($B2307="","",INDEX(Suivi!$E:$E,2351))</f>
        <v/>
      </c>
      <c r="E2307" s="29">
        <f>IF($B2307="","",INDEX(Suivi!$F:$F,2351))</f>
        <v/>
      </c>
      <c r="F2307">
        <f>IF($B2307="","",INDEX(Suivi!$G:$G,2351))</f>
        <v/>
      </c>
      <c r="H2307">
        <f>IF(OR($B2307="",NOT(ISNUMBER($D2307))),"",IF($E2307&lt;$D$2,"Passé",IF($D2307&gt;$F$2,"À venir","Dans la période")))</f>
        <v/>
      </c>
      <c r="I2307">
        <f>IF(OR($B2307="",NOT(ISNUMBER($D2307))),"",IF(AND($E2307&lt;$D$2,$G2307&lt;&gt;"X",$F2307&lt;&gt;"Réalisé",$F2307&lt;&gt;"Clôturé"),"RETARD",""))</f>
        <v/>
      </c>
      <c r="J2307" s="29">
        <f>IF($B2307="","",IF(INDEX(Dossiers!$F$4:$F$63,44)="","",INDEX(Dossiers!$F$4:$F$63,44)))</f>
        <v/>
      </c>
      <c r="K2307" s="29">
        <f>IF($B2307="","",IF(INDEX(Dossiers!$G$4:$G$63,44)="","",INDEX(Dossiers!$G$4:$G$63,44)))</f>
        <v/>
      </c>
    </row>
    <row r="2308">
      <c r="A2308">
        <f>IF($B2308="","",INDEX(Dossiers!$E$4:$E$63,44))</f>
        <v/>
      </c>
      <c r="B2308">
        <f>IF(INDEX(Suivi!$B:$B,2352)="","",INDEX(Suivi!$B:$B,2352))</f>
        <v/>
      </c>
      <c r="C2308">
        <f>IF($B2308="","",IF(INDEX(Suivi!$D:$D,2352)="",INDEX(Suivi!$C:$C,2352),INDEX(Suivi!$D:$D,2352)))</f>
        <v/>
      </c>
      <c r="D2308" s="29">
        <f>IF($B2308="","",INDEX(Suivi!$E:$E,2352))</f>
        <v/>
      </c>
      <c r="E2308" s="29">
        <f>IF($B2308="","",INDEX(Suivi!$F:$F,2352))</f>
        <v/>
      </c>
      <c r="F2308">
        <f>IF($B2308="","",INDEX(Suivi!$G:$G,2352))</f>
        <v/>
      </c>
      <c r="H2308">
        <f>IF(OR($B2308="",NOT(ISNUMBER($D2308))),"",IF($E2308&lt;$D$2,"Passé",IF($D2308&gt;$F$2,"À venir","Dans la période")))</f>
        <v/>
      </c>
      <c r="I2308">
        <f>IF(OR($B2308="",NOT(ISNUMBER($D2308))),"",IF(AND($E2308&lt;$D$2,$G2308&lt;&gt;"X",$F2308&lt;&gt;"Réalisé",$F2308&lt;&gt;"Clôturé"),"RETARD",""))</f>
        <v/>
      </c>
      <c r="J2308" s="29">
        <f>IF($B2308="","",IF(INDEX(Dossiers!$F$4:$F$63,44)="","",INDEX(Dossiers!$F$4:$F$63,44)))</f>
        <v/>
      </c>
      <c r="K2308" s="29">
        <f>IF($B2308="","",IF(INDEX(Dossiers!$G$4:$G$63,44)="","",INDEX(Dossiers!$G$4:$G$63,44)))</f>
        <v/>
      </c>
    </row>
    <row r="2309">
      <c r="A2309">
        <f>IF($B2309="","",INDEX(Dossiers!$E$4:$E$63,44))</f>
        <v/>
      </c>
      <c r="B2309">
        <f>IF(INDEX(Suivi!$B:$B,2353)="","",INDEX(Suivi!$B:$B,2353))</f>
        <v/>
      </c>
      <c r="C2309">
        <f>IF($B2309="","",IF(INDEX(Suivi!$D:$D,2353)="",INDEX(Suivi!$C:$C,2353),INDEX(Suivi!$D:$D,2353)))</f>
        <v/>
      </c>
      <c r="D2309" s="29">
        <f>IF($B2309="","",INDEX(Suivi!$E:$E,2353))</f>
        <v/>
      </c>
      <c r="E2309" s="29">
        <f>IF($B2309="","",INDEX(Suivi!$F:$F,2353))</f>
        <v/>
      </c>
      <c r="F2309">
        <f>IF($B2309="","",INDEX(Suivi!$G:$G,2353))</f>
        <v/>
      </c>
      <c r="H2309">
        <f>IF(OR($B2309="",NOT(ISNUMBER($D2309))),"",IF($E2309&lt;$D$2,"Passé",IF($D2309&gt;$F$2,"À venir","Dans la période")))</f>
        <v/>
      </c>
      <c r="I2309">
        <f>IF(OR($B2309="",NOT(ISNUMBER($D2309))),"",IF(AND($E2309&lt;$D$2,$G2309&lt;&gt;"X",$F2309&lt;&gt;"Réalisé",$F2309&lt;&gt;"Clôturé"),"RETARD",""))</f>
        <v/>
      </c>
      <c r="J2309" s="29">
        <f>IF($B2309="","",IF(INDEX(Dossiers!$F$4:$F$63,44)="","",INDEX(Dossiers!$F$4:$F$63,44)))</f>
        <v/>
      </c>
      <c r="K2309" s="29">
        <f>IF($B2309="","",IF(INDEX(Dossiers!$G$4:$G$63,44)="","",INDEX(Dossiers!$G$4:$G$63,44)))</f>
        <v/>
      </c>
    </row>
    <row r="2310">
      <c r="A2310">
        <f>IF($B2310="","",INDEX(Dossiers!$E$4:$E$63,44))</f>
        <v/>
      </c>
      <c r="B2310">
        <f>IF(INDEX(Suivi!$B:$B,2354)="","",INDEX(Suivi!$B:$B,2354))</f>
        <v/>
      </c>
      <c r="C2310">
        <f>IF($B2310="","",IF(INDEX(Suivi!$D:$D,2354)="",INDEX(Suivi!$C:$C,2354),INDEX(Suivi!$D:$D,2354)))</f>
        <v/>
      </c>
      <c r="D2310" s="29">
        <f>IF($B2310="","",INDEX(Suivi!$E:$E,2354))</f>
        <v/>
      </c>
      <c r="E2310" s="29">
        <f>IF($B2310="","",INDEX(Suivi!$F:$F,2354))</f>
        <v/>
      </c>
      <c r="F2310">
        <f>IF($B2310="","",INDEX(Suivi!$G:$G,2354))</f>
        <v/>
      </c>
      <c r="H2310">
        <f>IF(OR($B2310="",NOT(ISNUMBER($D2310))),"",IF($E2310&lt;$D$2,"Passé",IF($D2310&gt;$F$2,"À venir","Dans la période")))</f>
        <v/>
      </c>
      <c r="I2310">
        <f>IF(OR($B2310="",NOT(ISNUMBER($D2310))),"",IF(AND($E2310&lt;$D$2,$G2310&lt;&gt;"X",$F2310&lt;&gt;"Réalisé",$F2310&lt;&gt;"Clôturé"),"RETARD",""))</f>
        <v/>
      </c>
      <c r="J2310" s="29">
        <f>IF($B2310="","",IF(INDEX(Dossiers!$F$4:$F$63,44)="","",INDEX(Dossiers!$F$4:$F$63,44)))</f>
        <v/>
      </c>
      <c r="K2310" s="29">
        <f>IF($B2310="","",IF(INDEX(Dossiers!$G$4:$G$63,44)="","",INDEX(Dossiers!$G$4:$G$63,44)))</f>
        <v/>
      </c>
    </row>
    <row r="2311">
      <c r="A2311">
        <f>IF($B2311="","",INDEX(Dossiers!$E$4:$E$63,44))</f>
        <v/>
      </c>
      <c r="B2311">
        <f>IF(INDEX(Suivi!$B:$B,2355)="","",INDEX(Suivi!$B:$B,2355))</f>
        <v/>
      </c>
      <c r="C2311">
        <f>IF($B2311="","",IF(INDEX(Suivi!$D:$D,2355)="",INDEX(Suivi!$C:$C,2355),INDEX(Suivi!$D:$D,2355)))</f>
        <v/>
      </c>
      <c r="D2311" s="29">
        <f>IF($B2311="","",INDEX(Suivi!$E:$E,2355))</f>
        <v/>
      </c>
      <c r="E2311" s="29">
        <f>IF($B2311="","",INDEX(Suivi!$F:$F,2355))</f>
        <v/>
      </c>
      <c r="F2311">
        <f>IF($B2311="","",INDEX(Suivi!$G:$G,2355))</f>
        <v/>
      </c>
      <c r="H2311">
        <f>IF(OR($B2311="",NOT(ISNUMBER($D2311))),"",IF($E2311&lt;$D$2,"Passé",IF($D2311&gt;$F$2,"À venir","Dans la période")))</f>
        <v/>
      </c>
      <c r="I2311">
        <f>IF(OR($B2311="",NOT(ISNUMBER($D2311))),"",IF(AND($E2311&lt;$D$2,$G2311&lt;&gt;"X",$F2311&lt;&gt;"Réalisé",$F2311&lt;&gt;"Clôturé"),"RETARD",""))</f>
        <v/>
      </c>
      <c r="J2311" s="29">
        <f>IF($B2311="","",IF(INDEX(Dossiers!$F$4:$F$63,44)="","",INDEX(Dossiers!$F$4:$F$63,44)))</f>
        <v/>
      </c>
      <c r="K2311" s="29">
        <f>IF($B2311="","",IF(INDEX(Dossiers!$G$4:$G$63,44)="","",INDEX(Dossiers!$G$4:$G$63,44)))</f>
        <v/>
      </c>
    </row>
    <row r="2312">
      <c r="A2312">
        <f>IF($B2312="","",INDEX(Dossiers!$E$4:$E$63,44))</f>
        <v/>
      </c>
      <c r="B2312">
        <f>IF(INDEX(Suivi!$B:$B,2356)="","",INDEX(Suivi!$B:$B,2356))</f>
        <v/>
      </c>
      <c r="C2312">
        <f>IF($B2312="","",IF(INDEX(Suivi!$D:$D,2356)="",INDEX(Suivi!$C:$C,2356),INDEX(Suivi!$D:$D,2356)))</f>
        <v/>
      </c>
      <c r="D2312" s="29">
        <f>IF($B2312="","",INDEX(Suivi!$E:$E,2356))</f>
        <v/>
      </c>
      <c r="E2312" s="29">
        <f>IF($B2312="","",INDEX(Suivi!$F:$F,2356))</f>
        <v/>
      </c>
      <c r="F2312">
        <f>IF($B2312="","",INDEX(Suivi!$G:$G,2356))</f>
        <v/>
      </c>
      <c r="H2312">
        <f>IF(OR($B2312="",NOT(ISNUMBER($D2312))),"",IF($E2312&lt;$D$2,"Passé",IF($D2312&gt;$F$2,"À venir","Dans la période")))</f>
        <v/>
      </c>
      <c r="I2312">
        <f>IF(OR($B2312="",NOT(ISNUMBER($D2312))),"",IF(AND($E2312&lt;$D$2,$G2312&lt;&gt;"X",$F2312&lt;&gt;"Réalisé",$F2312&lt;&gt;"Clôturé"),"RETARD",""))</f>
        <v/>
      </c>
      <c r="J2312" s="29">
        <f>IF($B2312="","",IF(INDEX(Dossiers!$F$4:$F$63,44)="","",INDEX(Dossiers!$F$4:$F$63,44)))</f>
        <v/>
      </c>
      <c r="K2312" s="29">
        <f>IF($B2312="","",IF(INDEX(Dossiers!$G$4:$G$63,44)="","",INDEX(Dossiers!$G$4:$G$63,44)))</f>
        <v/>
      </c>
    </row>
    <row r="2313">
      <c r="A2313">
        <f>IF($B2313="","",INDEX(Dossiers!$E$4:$E$63,44))</f>
        <v/>
      </c>
      <c r="B2313">
        <f>IF(INDEX(Suivi!$B:$B,2357)="","",INDEX(Suivi!$B:$B,2357))</f>
        <v/>
      </c>
      <c r="C2313">
        <f>IF($B2313="","",IF(INDEX(Suivi!$D:$D,2357)="",INDEX(Suivi!$C:$C,2357),INDEX(Suivi!$D:$D,2357)))</f>
        <v/>
      </c>
      <c r="D2313" s="29">
        <f>IF($B2313="","",INDEX(Suivi!$E:$E,2357))</f>
        <v/>
      </c>
      <c r="E2313" s="29">
        <f>IF($B2313="","",INDEX(Suivi!$F:$F,2357))</f>
        <v/>
      </c>
      <c r="F2313">
        <f>IF($B2313="","",INDEX(Suivi!$G:$G,2357))</f>
        <v/>
      </c>
      <c r="H2313">
        <f>IF(OR($B2313="",NOT(ISNUMBER($D2313))),"",IF($E2313&lt;$D$2,"Passé",IF($D2313&gt;$F$2,"À venir","Dans la période")))</f>
        <v/>
      </c>
      <c r="I2313">
        <f>IF(OR($B2313="",NOT(ISNUMBER($D2313))),"",IF(AND($E2313&lt;$D$2,$G2313&lt;&gt;"X",$F2313&lt;&gt;"Réalisé",$F2313&lt;&gt;"Clôturé"),"RETARD",""))</f>
        <v/>
      </c>
      <c r="J2313" s="29">
        <f>IF($B2313="","",IF(INDEX(Dossiers!$F$4:$F$63,44)="","",INDEX(Dossiers!$F$4:$F$63,44)))</f>
        <v/>
      </c>
      <c r="K2313" s="29">
        <f>IF($B2313="","",IF(INDEX(Dossiers!$G$4:$G$63,44)="","",INDEX(Dossiers!$G$4:$G$63,44)))</f>
        <v/>
      </c>
    </row>
    <row r="2314">
      <c r="A2314">
        <f>IF($B2314="","",INDEX(Dossiers!$E$4:$E$63,44))</f>
        <v/>
      </c>
      <c r="B2314">
        <f>IF(INDEX(Suivi!$B:$B,2358)="","",INDEX(Suivi!$B:$B,2358))</f>
        <v/>
      </c>
      <c r="C2314">
        <f>IF($B2314="","",IF(INDEX(Suivi!$D:$D,2358)="",INDEX(Suivi!$C:$C,2358),INDEX(Suivi!$D:$D,2358)))</f>
        <v/>
      </c>
      <c r="D2314" s="29">
        <f>IF($B2314="","",INDEX(Suivi!$E:$E,2358))</f>
        <v/>
      </c>
      <c r="E2314" s="29">
        <f>IF($B2314="","",INDEX(Suivi!$F:$F,2358))</f>
        <v/>
      </c>
      <c r="F2314">
        <f>IF($B2314="","",INDEX(Suivi!$G:$G,2358))</f>
        <v/>
      </c>
      <c r="H2314">
        <f>IF(OR($B2314="",NOT(ISNUMBER($D2314))),"",IF($E2314&lt;$D$2,"Passé",IF($D2314&gt;$F$2,"À venir","Dans la période")))</f>
        <v/>
      </c>
      <c r="I2314">
        <f>IF(OR($B2314="",NOT(ISNUMBER($D2314))),"",IF(AND($E2314&lt;$D$2,$G2314&lt;&gt;"X",$F2314&lt;&gt;"Réalisé",$F2314&lt;&gt;"Clôturé"),"RETARD",""))</f>
        <v/>
      </c>
      <c r="J2314" s="29">
        <f>IF($B2314="","",IF(INDEX(Dossiers!$F$4:$F$63,44)="","",INDEX(Dossiers!$F$4:$F$63,44)))</f>
        <v/>
      </c>
      <c r="K2314" s="29">
        <f>IF($B2314="","",IF(INDEX(Dossiers!$G$4:$G$63,44)="","",INDEX(Dossiers!$G$4:$G$63,44)))</f>
        <v/>
      </c>
    </row>
    <row r="2315">
      <c r="A2315">
        <f>IF($B2315="","",INDEX(Dossiers!$E$4:$E$63,44))</f>
        <v/>
      </c>
      <c r="B2315">
        <f>IF(INDEX(Suivi!$B:$B,2359)="","",INDEX(Suivi!$B:$B,2359))</f>
        <v/>
      </c>
      <c r="C2315">
        <f>IF($B2315="","",IF(INDEX(Suivi!$D:$D,2359)="",INDEX(Suivi!$C:$C,2359),INDEX(Suivi!$D:$D,2359)))</f>
        <v/>
      </c>
      <c r="D2315" s="29">
        <f>IF($B2315="","",INDEX(Suivi!$E:$E,2359))</f>
        <v/>
      </c>
      <c r="E2315" s="29">
        <f>IF($B2315="","",INDEX(Suivi!$F:$F,2359))</f>
        <v/>
      </c>
      <c r="F2315">
        <f>IF($B2315="","",INDEX(Suivi!$G:$G,2359))</f>
        <v/>
      </c>
      <c r="H2315">
        <f>IF(OR($B2315="",NOT(ISNUMBER($D2315))),"",IF($E2315&lt;$D$2,"Passé",IF($D2315&gt;$F$2,"À venir","Dans la période")))</f>
        <v/>
      </c>
      <c r="I2315">
        <f>IF(OR($B2315="",NOT(ISNUMBER($D2315))),"",IF(AND($E2315&lt;$D$2,$G2315&lt;&gt;"X",$F2315&lt;&gt;"Réalisé",$F2315&lt;&gt;"Clôturé"),"RETARD",""))</f>
        <v/>
      </c>
      <c r="J2315" s="29">
        <f>IF($B2315="","",IF(INDEX(Dossiers!$F$4:$F$63,44)="","",INDEX(Dossiers!$F$4:$F$63,44)))</f>
        <v/>
      </c>
      <c r="K2315" s="29">
        <f>IF($B2315="","",IF(INDEX(Dossiers!$G$4:$G$63,44)="","",INDEX(Dossiers!$G$4:$G$63,44)))</f>
        <v/>
      </c>
    </row>
    <row r="2316">
      <c r="A2316">
        <f>IF($B2316="","",INDEX(Dossiers!$E$4:$E$63,44))</f>
        <v/>
      </c>
      <c r="B2316">
        <f>IF(INDEX(Suivi!$B:$B,2360)="","",INDEX(Suivi!$B:$B,2360))</f>
        <v/>
      </c>
      <c r="C2316">
        <f>IF($B2316="","",IF(INDEX(Suivi!$D:$D,2360)="",INDEX(Suivi!$C:$C,2360),INDEX(Suivi!$D:$D,2360)))</f>
        <v/>
      </c>
      <c r="D2316" s="29">
        <f>IF($B2316="","",INDEX(Suivi!$E:$E,2360))</f>
        <v/>
      </c>
      <c r="E2316" s="29">
        <f>IF($B2316="","",INDEX(Suivi!$F:$F,2360))</f>
        <v/>
      </c>
      <c r="F2316">
        <f>IF($B2316="","",INDEX(Suivi!$G:$G,2360))</f>
        <v/>
      </c>
      <c r="H2316">
        <f>IF(OR($B2316="",NOT(ISNUMBER($D2316))),"",IF($E2316&lt;$D$2,"Passé",IF($D2316&gt;$F$2,"À venir","Dans la période")))</f>
        <v/>
      </c>
      <c r="I2316">
        <f>IF(OR($B2316="",NOT(ISNUMBER($D2316))),"",IF(AND($E2316&lt;$D$2,$G2316&lt;&gt;"X",$F2316&lt;&gt;"Réalisé",$F2316&lt;&gt;"Clôturé"),"RETARD",""))</f>
        <v/>
      </c>
      <c r="J2316" s="29">
        <f>IF($B2316="","",IF(INDEX(Dossiers!$F$4:$F$63,44)="","",INDEX(Dossiers!$F$4:$F$63,44)))</f>
        <v/>
      </c>
      <c r="K2316" s="29">
        <f>IF($B2316="","",IF(INDEX(Dossiers!$G$4:$G$63,44)="","",INDEX(Dossiers!$G$4:$G$63,44)))</f>
        <v/>
      </c>
    </row>
    <row r="2317">
      <c r="A2317">
        <f>IF($B2317="","",INDEX(Dossiers!$E$4:$E$63,44))</f>
        <v/>
      </c>
      <c r="B2317">
        <f>IF(INDEX(Suivi!$B:$B,2361)="","",INDEX(Suivi!$B:$B,2361))</f>
        <v/>
      </c>
      <c r="C2317">
        <f>IF($B2317="","",IF(INDEX(Suivi!$D:$D,2361)="",INDEX(Suivi!$C:$C,2361),INDEX(Suivi!$D:$D,2361)))</f>
        <v/>
      </c>
      <c r="D2317" s="29">
        <f>IF($B2317="","",INDEX(Suivi!$E:$E,2361))</f>
        <v/>
      </c>
      <c r="E2317" s="29">
        <f>IF($B2317="","",INDEX(Suivi!$F:$F,2361))</f>
        <v/>
      </c>
      <c r="F2317">
        <f>IF($B2317="","",INDEX(Suivi!$G:$G,2361))</f>
        <v/>
      </c>
      <c r="H2317">
        <f>IF(OR($B2317="",NOT(ISNUMBER($D2317))),"",IF($E2317&lt;$D$2,"Passé",IF($D2317&gt;$F$2,"À venir","Dans la période")))</f>
        <v/>
      </c>
      <c r="I2317">
        <f>IF(OR($B2317="",NOT(ISNUMBER($D2317))),"",IF(AND($E2317&lt;$D$2,$G2317&lt;&gt;"X",$F2317&lt;&gt;"Réalisé",$F2317&lt;&gt;"Clôturé"),"RETARD",""))</f>
        <v/>
      </c>
      <c r="J2317" s="29">
        <f>IF($B2317="","",IF(INDEX(Dossiers!$F$4:$F$63,44)="","",INDEX(Dossiers!$F$4:$F$63,44)))</f>
        <v/>
      </c>
      <c r="K2317" s="29">
        <f>IF($B2317="","",IF(INDEX(Dossiers!$G$4:$G$63,44)="","",INDEX(Dossiers!$G$4:$G$63,44)))</f>
        <v/>
      </c>
    </row>
    <row r="2318">
      <c r="A2318">
        <f>IF($B2318="","",INDEX(Dossiers!$E$4:$E$63,44))</f>
        <v/>
      </c>
      <c r="B2318">
        <f>IF(INDEX(Suivi!$B:$B,2362)="","",INDEX(Suivi!$B:$B,2362))</f>
        <v/>
      </c>
      <c r="C2318">
        <f>IF($B2318="","",IF(INDEX(Suivi!$D:$D,2362)="",INDEX(Suivi!$C:$C,2362),INDEX(Suivi!$D:$D,2362)))</f>
        <v/>
      </c>
      <c r="D2318" s="29">
        <f>IF($B2318="","",INDEX(Suivi!$E:$E,2362))</f>
        <v/>
      </c>
      <c r="E2318" s="29">
        <f>IF($B2318="","",INDEX(Suivi!$F:$F,2362))</f>
        <v/>
      </c>
      <c r="F2318">
        <f>IF($B2318="","",INDEX(Suivi!$G:$G,2362))</f>
        <v/>
      </c>
      <c r="H2318">
        <f>IF(OR($B2318="",NOT(ISNUMBER($D2318))),"",IF($E2318&lt;$D$2,"Passé",IF($D2318&gt;$F$2,"À venir","Dans la période")))</f>
        <v/>
      </c>
      <c r="I2318">
        <f>IF(OR($B2318="",NOT(ISNUMBER($D2318))),"",IF(AND($E2318&lt;$D$2,$G2318&lt;&gt;"X",$F2318&lt;&gt;"Réalisé",$F2318&lt;&gt;"Clôturé"),"RETARD",""))</f>
        <v/>
      </c>
      <c r="J2318" s="29">
        <f>IF($B2318="","",IF(INDEX(Dossiers!$F$4:$F$63,44)="","",INDEX(Dossiers!$F$4:$F$63,44)))</f>
        <v/>
      </c>
      <c r="K2318" s="29">
        <f>IF($B2318="","",IF(INDEX(Dossiers!$G$4:$G$63,44)="","",INDEX(Dossiers!$G$4:$G$63,44)))</f>
        <v/>
      </c>
    </row>
    <row r="2319">
      <c r="A2319">
        <f>IF($B2319="","",INDEX(Dossiers!$E$4:$E$63,44))</f>
        <v/>
      </c>
      <c r="B2319">
        <f>IF(INDEX(Suivi!$B:$B,2363)="","",INDEX(Suivi!$B:$B,2363))</f>
        <v/>
      </c>
      <c r="C2319">
        <f>IF($B2319="","",IF(INDEX(Suivi!$D:$D,2363)="",INDEX(Suivi!$C:$C,2363),INDEX(Suivi!$D:$D,2363)))</f>
        <v/>
      </c>
      <c r="D2319" s="29">
        <f>IF($B2319="","",INDEX(Suivi!$E:$E,2363))</f>
        <v/>
      </c>
      <c r="E2319" s="29">
        <f>IF($B2319="","",INDEX(Suivi!$F:$F,2363))</f>
        <v/>
      </c>
      <c r="F2319">
        <f>IF($B2319="","",INDEX(Suivi!$G:$G,2363))</f>
        <v/>
      </c>
      <c r="H2319">
        <f>IF(OR($B2319="",NOT(ISNUMBER($D2319))),"",IF($E2319&lt;$D$2,"Passé",IF($D2319&gt;$F$2,"À venir","Dans la période")))</f>
        <v/>
      </c>
      <c r="I2319">
        <f>IF(OR($B2319="",NOT(ISNUMBER($D2319))),"",IF(AND($E2319&lt;$D$2,$G2319&lt;&gt;"X",$F2319&lt;&gt;"Réalisé",$F2319&lt;&gt;"Clôturé"),"RETARD",""))</f>
        <v/>
      </c>
      <c r="J2319" s="29">
        <f>IF($B2319="","",IF(INDEX(Dossiers!$F$4:$F$63,44)="","",INDEX(Dossiers!$F$4:$F$63,44)))</f>
        <v/>
      </c>
      <c r="K2319" s="29">
        <f>IF($B2319="","",IF(INDEX(Dossiers!$G$4:$G$63,44)="","",INDEX(Dossiers!$G$4:$G$63,44)))</f>
        <v/>
      </c>
    </row>
    <row r="2320">
      <c r="A2320">
        <f>IF($B2320="","",INDEX(Dossiers!$E$4:$E$63,44))</f>
        <v/>
      </c>
      <c r="B2320">
        <f>IF(INDEX(Suivi!$B:$B,2364)="","",INDEX(Suivi!$B:$B,2364))</f>
        <v/>
      </c>
      <c r="C2320">
        <f>IF($B2320="","",IF(INDEX(Suivi!$D:$D,2364)="",INDEX(Suivi!$C:$C,2364),INDEX(Suivi!$D:$D,2364)))</f>
        <v/>
      </c>
      <c r="D2320" s="29">
        <f>IF($B2320="","",INDEX(Suivi!$E:$E,2364))</f>
        <v/>
      </c>
      <c r="E2320" s="29">
        <f>IF($B2320="","",INDEX(Suivi!$F:$F,2364))</f>
        <v/>
      </c>
      <c r="F2320">
        <f>IF($B2320="","",INDEX(Suivi!$G:$G,2364))</f>
        <v/>
      </c>
      <c r="H2320">
        <f>IF(OR($B2320="",NOT(ISNUMBER($D2320))),"",IF($E2320&lt;$D$2,"Passé",IF($D2320&gt;$F$2,"À venir","Dans la période")))</f>
        <v/>
      </c>
      <c r="I2320">
        <f>IF(OR($B2320="",NOT(ISNUMBER($D2320))),"",IF(AND($E2320&lt;$D$2,$G2320&lt;&gt;"X",$F2320&lt;&gt;"Réalisé",$F2320&lt;&gt;"Clôturé"),"RETARD",""))</f>
        <v/>
      </c>
      <c r="J2320" s="29">
        <f>IF($B2320="","",IF(INDEX(Dossiers!$F$4:$F$63,44)="","",INDEX(Dossiers!$F$4:$F$63,44)))</f>
        <v/>
      </c>
      <c r="K2320" s="29">
        <f>IF($B2320="","",IF(INDEX(Dossiers!$G$4:$G$63,44)="","",INDEX(Dossiers!$G$4:$G$63,44)))</f>
        <v/>
      </c>
    </row>
    <row r="2321">
      <c r="A2321">
        <f>IF($B2321="","",INDEX(Dossiers!$E$4:$E$63,44))</f>
        <v/>
      </c>
      <c r="B2321">
        <f>IF(INDEX(Suivi!$B:$B,2365)="","",INDEX(Suivi!$B:$B,2365))</f>
        <v/>
      </c>
      <c r="C2321">
        <f>IF($B2321="","",IF(INDEX(Suivi!$D:$D,2365)="",INDEX(Suivi!$C:$C,2365),INDEX(Suivi!$D:$D,2365)))</f>
        <v/>
      </c>
      <c r="D2321" s="29">
        <f>IF($B2321="","",INDEX(Suivi!$E:$E,2365))</f>
        <v/>
      </c>
      <c r="E2321" s="29">
        <f>IF($B2321="","",INDEX(Suivi!$F:$F,2365))</f>
        <v/>
      </c>
      <c r="F2321">
        <f>IF($B2321="","",INDEX(Suivi!$G:$G,2365))</f>
        <v/>
      </c>
      <c r="H2321">
        <f>IF(OR($B2321="",NOT(ISNUMBER($D2321))),"",IF($E2321&lt;$D$2,"Passé",IF($D2321&gt;$F$2,"À venir","Dans la période")))</f>
        <v/>
      </c>
      <c r="I2321">
        <f>IF(OR($B2321="",NOT(ISNUMBER($D2321))),"",IF(AND($E2321&lt;$D$2,$G2321&lt;&gt;"X",$F2321&lt;&gt;"Réalisé",$F2321&lt;&gt;"Clôturé"),"RETARD",""))</f>
        <v/>
      </c>
      <c r="J2321" s="29">
        <f>IF($B2321="","",IF(INDEX(Dossiers!$F$4:$F$63,44)="","",INDEX(Dossiers!$F$4:$F$63,44)))</f>
        <v/>
      </c>
      <c r="K2321" s="29">
        <f>IF($B2321="","",IF(INDEX(Dossiers!$G$4:$G$63,44)="","",INDEX(Dossiers!$G$4:$G$63,44)))</f>
        <v/>
      </c>
    </row>
    <row r="2322">
      <c r="A2322">
        <f>IF($B2322="","",INDEX(Dossiers!$E$4:$E$63,44))</f>
        <v/>
      </c>
      <c r="B2322">
        <f>IF(INDEX(Suivi!$B:$B,2366)="","",INDEX(Suivi!$B:$B,2366))</f>
        <v/>
      </c>
      <c r="C2322">
        <f>IF($B2322="","",IF(INDEX(Suivi!$D:$D,2366)="",INDEX(Suivi!$C:$C,2366),INDEX(Suivi!$D:$D,2366)))</f>
        <v/>
      </c>
      <c r="D2322" s="29">
        <f>IF($B2322="","",INDEX(Suivi!$E:$E,2366))</f>
        <v/>
      </c>
      <c r="E2322" s="29">
        <f>IF($B2322="","",INDEX(Suivi!$F:$F,2366))</f>
        <v/>
      </c>
      <c r="F2322">
        <f>IF($B2322="","",INDEX(Suivi!$G:$G,2366))</f>
        <v/>
      </c>
      <c r="H2322">
        <f>IF(OR($B2322="",NOT(ISNUMBER($D2322))),"",IF($E2322&lt;$D$2,"Passé",IF($D2322&gt;$F$2,"À venir","Dans la période")))</f>
        <v/>
      </c>
      <c r="I2322">
        <f>IF(OR($B2322="",NOT(ISNUMBER($D2322))),"",IF(AND($E2322&lt;$D$2,$G2322&lt;&gt;"X",$F2322&lt;&gt;"Réalisé",$F2322&lt;&gt;"Clôturé"),"RETARD",""))</f>
        <v/>
      </c>
      <c r="J2322" s="29">
        <f>IF($B2322="","",IF(INDEX(Dossiers!$F$4:$F$63,44)="","",INDEX(Dossiers!$F$4:$F$63,44)))</f>
        <v/>
      </c>
      <c r="K2322" s="29">
        <f>IF($B2322="","",IF(INDEX(Dossiers!$G$4:$G$63,44)="","",INDEX(Dossiers!$G$4:$G$63,44)))</f>
        <v/>
      </c>
    </row>
    <row r="2323">
      <c r="A2323">
        <f>IF($B2323="","",INDEX(Dossiers!$E$4:$E$63,44))</f>
        <v/>
      </c>
      <c r="B2323">
        <f>IF(INDEX(Suivi!$B:$B,2367)="","",INDEX(Suivi!$B:$B,2367))</f>
        <v/>
      </c>
      <c r="C2323">
        <f>IF($B2323="","",IF(INDEX(Suivi!$D:$D,2367)="",INDEX(Suivi!$C:$C,2367),INDEX(Suivi!$D:$D,2367)))</f>
        <v/>
      </c>
      <c r="D2323" s="29">
        <f>IF($B2323="","",INDEX(Suivi!$E:$E,2367))</f>
        <v/>
      </c>
      <c r="E2323" s="29">
        <f>IF($B2323="","",INDEX(Suivi!$F:$F,2367))</f>
        <v/>
      </c>
      <c r="F2323">
        <f>IF($B2323="","",INDEX(Suivi!$G:$G,2367))</f>
        <v/>
      </c>
      <c r="H2323">
        <f>IF(OR($B2323="",NOT(ISNUMBER($D2323))),"",IF($E2323&lt;$D$2,"Passé",IF($D2323&gt;$F$2,"À venir","Dans la période")))</f>
        <v/>
      </c>
      <c r="I2323">
        <f>IF(OR($B2323="",NOT(ISNUMBER($D2323))),"",IF(AND($E2323&lt;$D$2,$G2323&lt;&gt;"X",$F2323&lt;&gt;"Réalisé",$F2323&lt;&gt;"Clôturé"),"RETARD",""))</f>
        <v/>
      </c>
      <c r="J2323" s="29">
        <f>IF($B2323="","",IF(INDEX(Dossiers!$F$4:$F$63,44)="","",INDEX(Dossiers!$F$4:$F$63,44)))</f>
        <v/>
      </c>
      <c r="K2323" s="29">
        <f>IF($B2323="","",IF(INDEX(Dossiers!$G$4:$G$63,44)="","",INDEX(Dossiers!$G$4:$G$63,44)))</f>
        <v/>
      </c>
    </row>
    <row r="2324">
      <c r="A2324">
        <f>IF($B2324="","",INDEX(Dossiers!$E$4:$E$63,44))</f>
        <v/>
      </c>
      <c r="B2324">
        <f>IF(INDEX(Suivi!$B:$B,2368)="","",INDEX(Suivi!$B:$B,2368))</f>
        <v/>
      </c>
      <c r="C2324">
        <f>IF($B2324="","",IF(INDEX(Suivi!$D:$D,2368)="",INDEX(Suivi!$C:$C,2368),INDEX(Suivi!$D:$D,2368)))</f>
        <v/>
      </c>
      <c r="D2324" s="29">
        <f>IF($B2324="","",INDEX(Suivi!$E:$E,2368))</f>
        <v/>
      </c>
      <c r="E2324" s="29">
        <f>IF($B2324="","",INDEX(Suivi!$F:$F,2368))</f>
        <v/>
      </c>
      <c r="F2324">
        <f>IF($B2324="","",INDEX(Suivi!$G:$G,2368))</f>
        <v/>
      </c>
      <c r="H2324">
        <f>IF(OR($B2324="",NOT(ISNUMBER($D2324))),"",IF($E2324&lt;$D$2,"Passé",IF($D2324&gt;$F$2,"À venir","Dans la période")))</f>
        <v/>
      </c>
      <c r="I2324">
        <f>IF(OR($B2324="",NOT(ISNUMBER($D2324))),"",IF(AND($E2324&lt;$D$2,$G2324&lt;&gt;"X",$F2324&lt;&gt;"Réalisé",$F2324&lt;&gt;"Clôturé"),"RETARD",""))</f>
        <v/>
      </c>
      <c r="J2324" s="29">
        <f>IF($B2324="","",IF(INDEX(Dossiers!$F$4:$F$63,44)="","",INDEX(Dossiers!$F$4:$F$63,44)))</f>
        <v/>
      </c>
      <c r="K2324" s="29">
        <f>IF($B2324="","",IF(INDEX(Dossiers!$G$4:$G$63,44)="","",INDEX(Dossiers!$G$4:$G$63,44)))</f>
        <v/>
      </c>
    </row>
    <row r="2325">
      <c r="A2325">
        <f>IF($B2325="","",INDEX(Dossiers!$E$4:$E$63,44))</f>
        <v/>
      </c>
      <c r="B2325">
        <f>IF(INDEX(Suivi!$B:$B,2369)="","",INDEX(Suivi!$B:$B,2369))</f>
        <v/>
      </c>
      <c r="C2325">
        <f>IF($B2325="","",IF(INDEX(Suivi!$D:$D,2369)="",INDEX(Suivi!$C:$C,2369),INDEX(Suivi!$D:$D,2369)))</f>
        <v/>
      </c>
      <c r="D2325" s="29">
        <f>IF($B2325="","",INDEX(Suivi!$E:$E,2369))</f>
        <v/>
      </c>
      <c r="E2325" s="29">
        <f>IF($B2325="","",INDEX(Suivi!$F:$F,2369))</f>
        <v/>
      </c>
      <c r="F2325">
        <f>IF($B2325="","",INDEX(Suivi!$G:$G,2369))</f>
        <v/>
      </c>
      <c r="H2325">
        <f>IF(OR($B2325="",NOT(ISNUMBER($D2325))),"",IF($E2325&lt;$D$2,"Passé",IF($D2325&gt;$F$2,"À venir","Dans la période")))</f>
        <v/>
      </c>
      <c r="I2325">
        <f>IF(OR($B2325="",NOT(ISNUMBER($D2325))),"",IF(AND($E2325&lt;$D$2,$G2325&lt;&gt;"X",$F2325&lt;&gt;"Réalisé",$F2325&lt;&gt;"Clôturé"),"RETARD",""))</f>
        <v/>
      </c>
      <c r="J2325" s="29">
        <f>IF($B2325="","",IF(INDEX(Dossiers!$F$4:$F$63,44)="","",INDEX(Dossiers!$F$4:$F$63,44)))</f>
        <v/>
      </c>
      <c r="K2325" s="29">
        <f>IF($B2325="","",IF(INDEX(Dossiers!$G$4:$G$63,44)="","",INDEX(Dossiers!$G$4:$G$63,44)))</f>
        <v/>
      </c>
    </row>
    <row r="2326">
      <c r="A2326">
        <f>IF($B2326="","",INDEX(Dossiers!$E$4:$E$63,44))</f>
        <v/>
      </c>
      <c r="B2326">
        <f>IF(INDEX(Suivi!$B:$B,2370)="","",INDEX(Suivi!$B:$B,2370))</f>
        <v/>
      </c>
      <c r="C2326">
        <f>IF($B2326="","",IF(INDEX(Suivi!$D:$D,2370)="",INDEX(Suivi!$C:$C,2370),INDEX(Suivi!$D:$D,2370)))</f>
        <v/>
      </c>
      <c r="D2326" s="29">
        <f>IF($B2326="","",INDEX(Suivi!$E:$E,2370))</f>
        <v/>
      </c>
      <c r="E2326" s="29">
        <f>IF($B2326="","",INDEX(Suivi!$F:$F,2370))</f>
        <v/>
      </c>
      <c r="F2326">
        <f>IF($B2326="","",INDEX(Suivi!$G:$G,2370))</f>
        <v/>
      </c>
      <c r="H2326">
        <f>IF(OR($B2326="",NOT(ISNUMBER($D2326))),"",IF($E2326&lt;$D$2,"Passé",IF($D2326&gt;$F$2,"À venir","Dans la période")))</f>
        <v/>
      </c>
      <c r="I2326">
        <f>IF(OR($B2326="",NOT(ISNUMBER($D2326))),"",IF(AND($E2326&lt;$D$2,$G2326&lt;&gt;"X",$F2326&lt;&gt;"Réalisé",$F2326&lt;&gt;"Clôturé"),"RETARD",""))</f>
        <v/>
      </c>
      <c r="J2326" s="29">
        <f>IF($B2326="","",IF(INDEX(Dossiers!$F$4:$F$63,44)="","",INDEX(Dossiers!$F$4:$F$63,44)))</f>
        <v/>
      </c>
      <c r="K2326" s="29">
        <f>IF($B2326="","",IF(INDEX(Dossiers!$G$4:$G$63,44)="","",INDEX(Dossiers!$G$4:$G$63,44)))</f>
        <v/>
      </c>
    </row>
    <row r="2327">
      <c r="A2327">
        <f>IF($B2327="","",INDEX(Dossiers!$E$4:$E$63,44))</f>
        <v/>
      </c>
      <c r="B2327">
        <f>IF(INDEX(Suivi!$B:$B,2371)="","",INDEX(Suivi!$B:$B,2371))</f>
        <v/>
      </c>
      <c r="C2327">
        <f>IF($B2327="","",IF(INDEX(Suivi!$D:$D,2371)="",INDEX(Suivi!$C:$C,2371),INDEX(Suivi!$D:$D,2371)))</f>
        <v/>
      </c>
      <c r="D2327" s="29">
        <f>IF($B2327="","",INDEX(Suivi!$E:$E,2371))</f>
        <v/>
      </c>
      <c r="E2327" s="29">
        <f>IF($B2327="","",INDEX(Suivi!$F:$F,2371))</f>
        <v/>
      </c>
      <c r="F2327">
        <f>IF($B2327="","",INDEX(Suivi!$G:$G,2371))</f>
        <v/>
      </c>
      <c r="H2327">
        <f>IF(OR($B2327="",NOT(ISNUMBER($D2327))),"",IF($E2327&lt;$D$2,"Passé",IF($D2327&gt;$F$2,"À venir","Dans la période")))</f>
        <v/>
      </c>
      <c r="I2327">
        <f>IF(OR($B2327="",NOT(ISNUMBER($D2327))),"",IF(AND($E2327&lt;$D$2,$G2327&lt;&gt;"X",$F2327&lt;&gt;"Réalisé",$F2327&lt;&gt;"Clôturé"),"RETARD",""))</f>
        <v/>
      </c>
      <c r="J2327" s="29">
        <f>IF($B2327="","",IF(INDEX(Dossiers!$F$4:$F$63,44)="","",INDEX(Dossiers!$F$4:$F$63,44)))</f>
        <v/>
      </c>
      <c r="K2327" s="29">
        <f>IF($B2327="","",IF(INDEX(Dossiers!$G$4:$G$63,44)="","",INDEX(Dossiers!$G$4:$G$63,44)))</f>
        <v/>
      </c>
    </row>
    <row r="2328">
      <c r="A2328">
        <f>IF($B2328="","",INDEX(Dossiers!$E$4:$E$63,44))</f>
        <v/>
      </c>
      <c r="B2328">
        <f>IF(INDEX(Suivi!$B:$B,2372)="","",INDEX(Suivi!$B:$B,2372))</f>
        <v/>
      </c>
      <c r="C2328">
        <f>IF($B2328="","",IF(INDEX(Suivi!$D:$D,2372)="",INDEX(Suivi!$C:$C,2372),INDEX(Suivi!$D:$D,2372)))</f>
        <v/>
      </c>
      <c r="D2328" s="29">
        <f>IF($B2328="","",INDEX(Suivi!$E:$E,2372))</f>
        <v/>
      </c>
      <c r="E2328" s="29">
        <f>IF($B2328="","",INDEX(Suivi!$F:$F,2372))</f>
        <v/>
      </c>
      <c r="F2328">
        <f>IF($B2328="","",INDEX(Suivi!$G:$G,2372))</f>
        <v/>
      </c>
      <c r="H2328">
        <f>IF(OR($B2328="",NOT(ISNUMBER($D2328))),"",IF($E2328&lt;$D$2,"Passé",IF($D2328&gt;$F$2,"À venir","Dans la période")))</f>
        <v/>
      </c>
      <c r="I2328">
        <f>IF(OR($B2328="",NOT(ISNUMBER($D2328))),"",IF(AND($E2328&lt;$D$2,$G2328&lt;&gt;"X",$F2328&lt;&gt;"Réalisé",$F2328&lt;&gt;"Clôturé"),"RETARD",""))</f>
        <v/>
      </c>
      <c r="J2328" s="29">
        <f>IF($B2328="","",IF(INDEX(Dossiers!$F$4:$F$63,44)="","",INDEX(Dossiers!$F$4:$F$63,44)))</f>
        <v/>
      </c>
      <c r="K2328" s="29">
        <f>IF($B2328="","",IF(INDEX(Dossiers!$G$4:$G$63,44)="","",INDEX(Dossiers!$G$4:$G$63,44)))</f>
        <v/>
      </c>
    </row>
    <row r="2329">
      <c r="A2329">
        <f>IF($B2329="","",INDEX(Dossiers!$E$4:$E$63,44))</f>
        <v/>
      </c>
      <c r="B2329">
        <f>IF(INDEX(Suivi!$B:$B,2373)="","",INDEX(Suivi!$B:$B,2373))</f>
        <v/>
      </c>
      <c r="C2329">
        <f>IF($B2329="","",IF(INDEX(Suivi!$D:$D,2373)="",INDEX(Suivi!$C:$C,2373),INDEX(Suivi!$D:$D,2373)))</f>
        <v/>
      </c>
      <c r="D2329" s="29">
        <f>IF($B2329="","",INDEX(Suivi!$E:$E,2373))</f>
        <v/>
      </c>
      <c r="E2329" s="29">
        <f>IF($B2329="","",INDEX(Suivi!$F:$F,2373))</f>
        <v/>
      </c>
      <c r="F2329">
        <f>IF($B2329="","",INDEX(Suivi!$G:$G,2373))</f>
        <v/>
      </c>
      <c r="H2329">
        <f>IF(OR($B2329="",NOT(ISNUMBER($D2329))),"",IF($E2329&lt;$D$2,"Passé",IF($D2329&gt;$F$2,"À venir","Dans la période")))</f>
        <v/>
      </c>
      <c r="I2329">
        <f>IF(OR($B2329="",NOT(ISNUMBER($D2329))),"",IF(AND($E2329&lt;$D$2,$G2329&lt;&gt;"X",$F2329&lt;&gt;"Réalisé",$F2329&lt;&gt;"Clôturé"),"RETARD",""))</f>
        <v/>
      </c>
      <c r="J2329" s="29">
        <f>IF($B2329="","",IF(INDEX(Dossiers!$F$4:$F$63,44)="","",INDEX(Dossiers!$F$4:$F$63,44)))</f>
        <v/>
      </c>
      <c r="K2329" s="29">
        <f>IF($B2329="","",IF(INDEX(Dossiers!$G$4:$G$63,44)="","",INDEX(Dossiers!$G$4:$G$63,44)))</f>
        <v/>
      </c>
    </row>
    <row r="2330">
      <c r="A2330">
        <f>IF($B2330="","",INDEX(Dossiers!$E$4:$E$63,44))</f>
        <v/>
      </c>
      <c r="B2330">
        <f>IF(INDEX(Suivi!$B:$B,2374)="","",INDEX(Suivi!$B:$B,2374))</f>
        <v/>
      </c>
      <c r="C2330">
        <f>IF($B2330="","",IF(INDEX(Suivi!$D:$D,2374)="",INDEX(Suivi!$C:$C,2374),INDEX(Suivi!$D:$D,2374)))</f>
        <v/>
      </c>
      <c r="D2330" s="29">
        <f>IF($B2330="","",INDEX(Suivi!$E:$E,2374))</f>
        <v/>
      </c>
      <c r="E2330" s="29">
        <f>IF($B2330="","",INDEX(Suivi!$F:$F,2374))</f>
        <v/>
      </c>
      <c r="F2330">
        <f>IF($B2330="","",INDEX(Suivi!$G:$G,2374))</f>
        <v/>
      </c>
      <c r="H2330">
        <f>IF(OR($B2330="",NOT(ISNUMBER($D2330))),"",IF($E2330&lt;$D$2,"Passé",IF($D2330&gt;$F$2,"À venir","Dans la période")))</f>
        <v/>
      </c>
      <c r="I2330">
        <f>IF(OR($B2330="",NOT(ISNUMBER($D2330))),"",IF(AND($E2330&lt;$D$2,$G2330&lt;&gt;"X",$F2330&lt;&gt;"Réalisé",$F2330&lt;&gt;"Clôturé"),"RETARD",""))</f>
        <v/>
      </c>
      <c r="J2330" s="29">
        <f>IF($B2330="","",IF(INDEX(Dossiers!$F$4:$F$63,44)="","",INDEX(Dossiers!$F$4:$F$63,44)))</f>
        <v/>
      </c>
      <c r="K2330" s="29">
        <f>IF($B2330="","",IF(INDEX(Dossiers!$G$4:$G$63,44)="","",INDEX(Dossiers!$G$4:$G$63,44)))</f>
        <v/>
      </c>
    </row>
    <row r="2331">
      <c r="A2331">
        <f>IF($B2331="","",INDEX(Dossiers!$E$4:$E$63,44))</f>
        <v/>
      </c>
      <c r="B2331">
        <f>IF(INDEX(Suivi!$B:$B,2375)="","",INDEX(Suivi!$B:$B,2375))</f>
        <v/>
      </c>
      <c r="C2331">
        <f>IF($B2331="","",IF(INDEX(Suivi!$D:$D,2375)="",INDEX(Suivi!$C:$C,2375),INDEX(Suivi!$D:$D,2375)))</f>
        <v/>
      </c>
      <c r="D2331" s="29">
        <f>IF($B2331="","",INDEX(Suivi!$E:$E,2375))</f>
        <v/>
      </c>
      <c r="E2331" s="29">
        <f>IF($B2331="","",INDEX(Suivi!$F:$F,2375))</f>
        <v/>
      </c>
      <c r="F2331">
        <f>IF($B2331="","",INDEX(Suivi!$G:$G,2375))</f>
        <v/>
      </c>
      <c r="H2331">
        <f>IF(OR($B2331="",NOT(ISNUMBER($D2331))),"",IF($E2331&lt;$D$2,"Passé",IF($D2331&gt;$F$2,"À venir","Dans la période")))</f>
        <v/>
      </c>
      <c r="I2331">
        <f>IF(OR($B2331="",NOT(ISNUMBER($D2331))),"",IF(AND($E2331&lt;$D$2,$G2331&lt;&gt;"X",$F2331&lt;&gt;"Réalisé",$F2331&lt;&gt;"Clôturé"),"RETARD",""))</f>
        <v/>
      </c>
      <c r="J2331" s="29">
        <f>IF($B2331="","",IF(INDEX(Dossiers!$F$4:$F$63,44)="","",INDEX(Dossiers!$F$4:$F$63,44)))</f>
        <v/>
      </c>
      <c r="K2331" s="29">
        <f>IF($B2331="","",IF(INDEX(Dossiers!$G$4:$G$63,44)="","",INDEX(Dossiers!$G$4:$G$63,44)))</f>
        <v/>
      </c>
    </row>
    <row r="2332">
      <c r="A2332">
        <f>IF($B2332="","",INDEX(Dossiers!$E$4:$E$63,44))</f>
        <v/>
      </c>
      <c r="B2332">
        <f>IF(INDEX(Suivi!$B:$B,2376)="","",INDEX(Suivi!$B:$B,2376))</f>
        <v/>
      </c>
      <c r="C2332">
        <f>IF($B2332="","",IF(INDEX(Suivi!$D:$D,2376)="",INDEX(Suivi!$C:$C,2376),INDEX(Suivi!$D:$D,2376)))</f>
        <v/>
      </c>
      <c r="D2332" s="29">
        <f>IF($B2332="","",INDEX(Suivi!$E:$E,2376))</f>
        <v/>
      </c>
      <c r="E2332" s="29">
        <f>IF($B2332="","",INDEX(Suivi!$F:$F,2376))</f>
        <v/>
      </c>
      <c r="F2332">
        <f>IF($B2332="","",INDEX(Suivi!$G:$G,2376))</f>
        <v/>
      </c>
      <c r="H2332">
        <f>IF(OR($B2332="",NOT(ISNUMBER($D2332))),"",IF($E2332&lt;$D$2,"Passé",IF($D2332&gt;$F$2,"À venir","Dans la période")))</f>
        <v/>
      </c>
      <c r="I2332">
        <f>IF(OR($B2332="",NOT(ISNUMBER($D2332))),"",IF(AND($E2332&lt;$D$2,$G2332&lt;&gt;"X",$F2332&lt;&gt;"Réalisé",$F2332&lt;&gt;"Clôturé"),"RETARD",""))</f>
        <v/>
      </c>
      <c r="J2332" s="29">
        <f>IF($B2332="","",IF(INDEX(Dossiers!$F$4:$F$63,44)="","",INDEX(Dossiers!$F$4:$F$63,44)))</f>
        <v/>
      </c>
      <c r="K2332" s="29">
        <f>IF($B2332="","",IF(INDEX(Dossiers!$G$4:$G$63,44)="","",INDEX(Dossiers!$G$4:$G$63,44)))</f>
        <v/>
      </c>
    </row>
    <row r="2333">
      <c r="A2333">
        <f>IF($B2333="","",INDEX(Dossiers!$E$4:$E$63,44))</f>
        <v/>
      </c>
      <c r="B2333">
        <f>IF(INDEX(Suivi!$B:$B,2377)="","",INDEX(Suivi!$B:$B,2377))</f>
        <v/>
      </c>
      <c r="C2333">
        <f>IF($B2333="","",IF(INDEX(Suivi!$D:$D,2377)="",INDEX(Suivi!$C:$C,2377),INDEX(Suivi!$D:$D,2377)))</f>
        <v/>
      </c>
      <c r="D2333" s="29">
        <f>IF($B2333="","",INDEX(Suivi!$E:$E,2377))</f>
        <v/>
      </c>
      <c r="E2333" s="29">
        <f>IF($B2333="","",INDEX(Suivi!$F:$F,2377))</f>
        <v/>
      </c>
      <c r="F2333">
        <f>IF($B2333="","",INDEX(Suivi!$G:$G,2377))</f>
        <v/>
      </c>
      <c r="H2333">
        <f>IF(OR($B2333="",NOT(ISNUMBER($D2333))),"",IF($E2333&lt;$D$2,"Passé",IF($D2333&gt;$F$2,"À venir","Dans la période")))</f>
        <v/>
      </c>
      <c r="I2333">
        <f>IF(OR($B2333="",NOT(ISNUMBER($D2333))),"",IF(AND($E2333&lt;$D$2,$G2333&lt;&gt;"X",$F2333&lt;&gt;"Réalisé",$F2333&lt;&gt;"Clôturé"),"RETARD",""))</f>
        <v/>
      </c>
      <c r="J2333" s="29">
        <f>IF($B2333="","",IF(INDEX(Dossiers!$F$4:$F$63,44)="","",INDEX(Dossiers!$F$4:$F$63,44)))</f>
        <v/>
      </c>
      <c r="K2333" s="29">
        <f>IF($B2333="","",IF(INDEX(Dossiers!$G$4:$G$63,44)="","",INDEX(Dossiers!$G$4:$G$63,44)))</f>
        <v/>
      </c>
    </row>
    <row r="2334">
      <c r="A2334">
        <f>IF($B2334="","",INDEX(Dossiers!$E$4:$E$63,44))</f>
        <v/>
      </c>
      <c r="B2334">
        <f>IF(INDEX(Suivi!$B:$B,2378)="","",INDEX(Suivi!$B:$B,2378))</f>
        <v/>
      </c>
      <c r="C2334">
        <f>IF($B2334="","",IF(INDEX(Suivi!$D:$D,2378)="",INDEX(Suivi!$C:$C,2378),INDEX(Suivi!$D:$D,2378)))</f>
        <v/>
      </c>
      <c r="D2334" s="29">
        <f>IF($B2334="","",INDEX(Suivi!$E:$E,2378))</f>
        <v/>
      </c>
      <c r="E2334" s="29">
        <f>IF($B2334="","",INDEX(Suivi!$F:$F,2378))</f>
        <v/>
      </c>
      <c r="F2334">
        <f>IF($B2334="","",INDEX(Suivi!$G:$G,2378))</f>
        <v/>
      </c>
      <c r="H2334">
        <f>IF(OR($B2334="",NOT(ISNUMBER($D2334))),"",IF($E2334&lt;$D$2,"Passé",IF($D2334&gt;$F$2,"À venir","Dans la période")))</f>
        <v/>
      </c>
      <c r="I2334">
        <f>IF(OR($B2334="",NOT(ISNUMBER($D2334))),"",IF(AND($E2334&lt;$D$2,$G2334&lt;&gt;"X",$F2334&lt;&gt;"Réalisé",$F2334&lt;&gt;"Clôturé"),"RETARD",""))</f>
        <v/>
      </c>
      <c r="J2334" s="29">
        <f>IF($B2334="","",IF(INDEX(Dossiers!$F$4:$F$63,44)="","",INDEX(Dossiers!$F$4:$F$63,44)))</f>
        <v/>
      </c>
      <c r="K2334" s="29">
        <f>IF($B2334="","",IF(INDEX(Dossiers!$G$4:$G$63,44)="","",INDEX(Dossiers!$G$4:$G$63,44)))</f>
        <v/>
      </c>
    </row>
    <row r="2335">
      <c r="A2335">
        <f>IF($B2335="","",INDEX(Dossiers!$E$4:$E$63,44))</f>
        <v/>
      </c>
      <c r="B2335">
        <f>IF(INDEX(Suivi!$B:$B,2379)="","",INDEX(Suivi!$B:$B,2379))</f>
        <v/>
      </c>
      <c r="C2335">
        <f>IF($B2335="","",IF(INDEX(Suivi!$D:$D,2379)="",INDEX(Suivi!$C:$C,2379),INDEX(Suivi!$D:$D,2379)))</f>
        <v/>
      </c>
      <c r="D2335" s="29">
        <f>IF($B2335="","",INDEX(Suivi!$E:$E,2379))</f>
        <v/>
      </c>
      <c r="E2335" s="29">
        <f>IF($B2335="","",INDEX(Suivi!$F:$F,2379))</f>
        <v/>
      </c>
      <c r="F2335">
        <f>IF($B2335="","",INDEX(Suivi!$G:$G,2379))</f>
        <v/>
      </c>
      <c r="H2335">
        <f>IF(OR($B2335="",NOT(ISNUMBER($D2335))),"",IF($E2335&lt;$D$2,"Passé",IF($D2335&gt;$F$2,"À venir","Dans la période")))</f>
        <v/>
      </c>
      <c r="I2335">
        <f>IF(OR($B2335="",NOT(ISNUMBER($D2335))),"",IF(AND($E2335&lt;$D$2,$G2335&lt;&gt;"X",$F2335&lt;&gt;"Réalisé",$F2335&lt;&gt;"Clôturé"),"RETARD",""))</f>
        <v/>
      </c>
      <c r="J2335" s="29">
        <f>IF($B2335="","",IF(INDEX(Dossiers!$F$4:$F$63,44)="","",INDEX(Dossiers!$F$4:$F$63,44)))</f>
        <v/>
      </c>
      <c r="K2335" s="29">
        <f>IF($B2335="","",IF(INDEX(Dossiers!$G$4:$G$63,44)="","",INDEX(Dossiers!$G$4:$G$63,44)))</f>
        <v/>
      </c>
    </row>
    <row r="2336">
      <c r="A2336">
        <f>IF($B2336="","",INDEX(Dossiers!$E$4:$E$63,45))</f>
        <v/>
      </c>
      <c r="B2336">
        <f>IF(INDEX(Suivi!$B:$B,2381)="","",INDEX(Suivi!$B:$B,2381))</f>
        <v/>
      </c>
      <c r="C2336">
        <f>IF($B2336="","",IF(INDEX(Suivi!$D:$D,2381)="",INDEX(Suivi!$C:$C,2381),INDEX(Suivi!$D:$D,2381)))</f>
        <v/>
      </c>
      <c r="D2336" s="29">
        <f>IF($B2336="","",INDEX(Suivi!$E:$E,2381))</f>
        <v/>
      </c>
      <c r="E2336" s="29">
        <f>IF($B2336="","",INDEX(Suivi!$F:$F,2381))</f>
        <v/>
      </c>
      <c r="F2336">
        <f>IF($B2336="","",INDEX(Suivi!$G:$G,2381))</f>
        <v/>
      </c>
      <c r="H2336">
        <f>IF(OR($B2336="",NOT(ISNUMBER($D2336))),"",IF($E2336&lt;$D$2,"Passé",IF($D2336&gt;$F$2,"À venir","Dans la période")))</f>
        <v/>
      </c>
      <c r="I2336">
        <f>IF(OR($B2336="",NOT(ISNUMBER($D2336))),"",IF(AND($E2336&lt;$D$2,$G2336&lt;&gt;"X",$F2336&lt;&gt;"Réalisé",$F2336&lt;&gt;"Clôturé"),"RETARD",""))</f>
        <v/>
      </c>
      <c r="J2336" s="29">
        <f>IF($B2336="","",IF(INDEX(Dossiers!$F$4:$F$63,45)="","",INDEX(Dossiers!$F$4:$F$63,45)))</f>
        <v/>
      </c>
      <c r="K2336" s="29">
        <f>IF($B2336="","",IF(INDEX(Dossiers!$G$4:$G$63,45)="","",INDEX(Dossiers!$G$4:$G$63,45)))</f>
        <v/>
      </c>
    </row>
    <row r="2337">
      <c r="A2337">
        <f>IF($B2337="","",INDEX(Dossiers!$E$4:$E$63,45))</f>
        <v/>
      </c>
      <c r="B2337">
        <f>IF(INDEX(Suivi!$B:$B,2382)="","",INDEX(Suivi!$B:$B,2382))</f>
        <v/>
      </c>
      <c r="C2337">
        <f>IF($B2337="","",IF(INDEX(Suivi!$D:$D,2382)="",INDEX(Suivi!$C:$C,2382),INDEX(Suivi!$D:$D,2382)))</f>
        <v/>
      </c>
      <c r="D2337" s="29">
        <f>IF($B2337="","",INDEX(Suivi!$E:$E,2382))</f>
        <v/>
      </c>
      <c r="E2337" s="29">
        <f>IF($B2337="","",INDEX(Suivi!$F:$F,2382))</f>
        <v/>
      </c>
      <c r="F2337">
        <f>IF($B2337="","",INDEX(Suivi!$G:$G,2382))</f>
        <v/>
      </c>
      <c r="H2337">
        <f>IF(OR($B2337="",NOT(ISNUMBER($D2337))),"",IF($E2337&lt;$D$2,"Passé",IF($D2337&gt;$F$2,"À venir","Dans la période")))</f>
        <v/>
      </c>
      <c r="I2337">
        <f>IF(OR($B2337="",NOT(ISNUMBER($D2337))),"",IF(AND($E2337&lt;$D$2,$G2337&lt;&gt;"X",$F2337&lt;&gt;"Réalisé",$F2337&lt;&gt;"Clôturé"),"RETARD",""))</f>
        <v/>
      </c>
      <c r="J2337" s="29">
        <f>IF($B2337="","",IF(INDEX(Dossiers!$F$4:$F$63,45)="","",INDEX(Dossiers!$F$4:$F$63,45)))</f>
        <v/>
      </c>
      <c r="K2337" s="29">
        <f>IF($B2337="","",IF(INDEX(Dossiers!$G$4:$G$63,45)="","",INDEX(Dossiers!$G$4:$G$63,45)))</f>
        <v/>
      </c>
    </row>
    <row r="2338">
      <c r="A2338">
        <f>IF($B2338="","",INDEX(Dossiers!$E$4:$E$63,45))</f>
        <v/>
      </c>
      <c r="B2338">
        <f>IF(INDEX(Suivi!$B:$B,2383)="","",INDEX(Suivi!$B:$B,2383))</f>
        <v/>
      </c>
      <c r="C2338">
        <f>IF($B2338="","",IF(INDEX(Suivi!$D:$D,2383)="",INDEX(Suivi!$C:$C,2383),INDEX(Suivi!$D:$D,2383)))</f>
        <v/>
      </c>
      <c r="D2338" s="29">
        <f>IF($B2338="","",INDEX(Suivi!$E:$E,2383))</f>
        <v/>
      </c>
      <c r="E2338" s="29">
        <f>IF($B2338="","",INDEX(Suivi!$F:$F,2383))</f>
        <v/>
      </c>
      <c r="F2338">
        <f>IF($B2338="","",INDEX(Suivi!$G:$G,2383))</f>
        <v/>
      </c>
      <c r="H2338">
        <f>IF(OR($B2338="",NOT(ISNUMBER($D2338))),"",IF($E2338&lt;$D$2,"Passé",IF($D2338&gt;$F$2,"À venir","Dans la période")))</f>
        <v/>
      </c>
      <c r="I2338">
        <f>IF(OR($B2338="",NOT(ISNUMBER($D2338))),"",IF(AND($E2338&lt;$D$2,$G2338&lt;&gt;"X",$F2338&lt;&gt;"Réalisé",$F2338&lt;&gt;"Clôturé"),"RETARD",""))</f>
        <v/>
      </c>
      <c r="J2338" s="29">
        <f>IF($B2338="","",IF(INDEX(Dossiers!$F$4:$F$63,45)="","",INDEX(Dossiers!$F$4:$F$63,45)))</f>
        <v/>
      </c>
      <c r="K2338" s="29">
        <f>IF($B2338="","",IF(INDEX(Dossiers!$G$4:$G$63,45)="","",INDEX(Dossiers!$G$4:$G$63,45)))</f>
        <v/>
      </c>
    </row>
    <row r="2339">
      <c r="A2339">
        <f>IF($B2339="","",INDEX(Dossiers!$E$4:$E$63,45))</f>
        <v/>
      </c>
      <c r="B2339">
        <f>IF(INDEX(Suivi!$B:$B,2384)="","",INDEX(Suivi!$B:$B,2384))</f>
        <v/>
      </c>
      <c r="C2339">
        <f>IF($B2339="","",IF(INDEX(Suivi!$D:$D,2384)="",INDEX(Suivi!$C:$C,2384),INDEX(Suivi!$D:$D,2384)))</f>
        <v/>
      </c>
      <c r="D2339" s="29">
        <f>IF($B2339="","",INDEX(Suivi!$E:$E,2384))</f>
        <v/>
      </c>
      <c r="E2339" s="29">
        <f>IF($B2339="","",INDEX(Suivi!$F:$F,2384))</f>
        <v/>
      </c>
      <c r="F2339">
        <f>IF($B2339="","",INDEX(Suivi!$G:$G,2384))</f>
        <v/>
      </c>
      <c r="H2339">
        <f>IF(OR($B2339="",NOT(ISNUMBER($D2339))),"",IF($E2339&lt;$D$2,"Passé",IF($D2339&gt;$F$2,"À venir","Dans la période")))</f>
        <v/>
      </c>
      <c r="I2339">
        <f>IF(OR($B2339="",NOT(ISNUMBER($D2339))),"",IF(AND($E2339&lt;$D$2,$G2339&lt;&gt;"X",$F2339&lt;&gt;"Réalisé",$F2339&lt;&gt;"Clôturé"),"RETARD",""))</f>
        <v/>
      </c>
      <c r="J2339" s="29">
        <f>IF($B2339="","",IF(INDEX(Dossiers!$F$4:$F$63,45)="","",INDEX(Dossiers!$F$4:$F$63,45)))</f>
        <v/>
      </c>
      <c r="K2339" s="29">
        <f>IF($B2339="","",IF(INDEX(Dossiers!$G$4:$G$63,45)="","",INDEX(Dossiers!$G$4:$G$63,45)))</f>
        <v/>
      </c>
    </row>
    <row r="2340">
      <c r="A2340">
        <f>IF($B2340="","",INDEX(Dossiers!$E$4:$E$63,45))</f>
        <v/>
      </c>
      <c r="B2340">
        <f>IF(INDEX(Suivi!$B:$B,2385)="","",INDEX(Suivi!$B:$B,2385))</f>
        <v/>
      </c>
      <c r="C2340">
        <f>IF($B2340="","",IF(INDEX(Suivi!$D:$D,2385)="",INDEX(Suivi!$C:$C,2385),INDEX(Suivi!$D:$D,2385)))</f>
        <v/>
      </c>
      <c r="D2340" s="29">
        <f>IF($B2340="","",INDEX(Suivi!$E:$E,2385))</f>
        <v/>
      </c>
      <c r="E2340" s="29">
        <f>IF($B2340="","",INDEX(Suivi!$F:$F,2385))</f>
        <v/>
      </c>
      <c r="F2340">
        <f>IF($B2340="","",INDEX(Suivi!$G:$G,2385))</f>
        <v/>
      </c>
      <c r="H2340">
        <f>IF(OR($B2340="",NOT(ISNUMBER($D2340))),"",IF($E2340&lt;$D$2,"Passé",IF($D2340&gt;$F$2,"À venir","Dans la période")))</f>
        <v/>
      </c>
      <c r="I2340">
        <f>IF(OR($B2340="",NOT(ISNUMBER($D2340))),"",IF(AND($E2340&lt;$D$2,$G2340&lt;&gt;"X",$F2340&lt;&gt;"Réalisé",$F2340&lt;&gt;"Clôturé"),"RETARD",""))</f>
        <v/>
      </c>
      <c r="J2340" s="29">
        <f>IF($B2340="","",IF(INDEX(Dossiers!$F$4:$F$63,45)="","",INDEX(Dossiers!$F$4:$F$63,45)))</f>
        <v/>
      </c>
      <c r="K2340" s="29">
        <f>IF($B2340="","",IF(INDEX(Dossiers!$G$4:$G$63,45)="","",INDEX(Dossiers!$G$4:$G$63,45)))</f>
        <v/>
      </c>
    </row>
    <row r="2341">
      <c r="A2341">
        <f>IF($B2341="","",INDEX(Dossiers!$E$4:$E$63,45))</f>
        <v/>
      </c>
      <c r="B2341">
        <f>IF(INDEX(Suivi!$B:$B,2386)="","",INDEX(Suivi!$B:$B,2386))</f>
        <v/>
      </c>
      <c r="C2341">
        <f>IF($B2341="","",IF(INDEX(Suivi!$D:$D,2386)="",INDEX(Suivi!$C:$C,2386),INDEX(Suivi!$D:$D,2386)))</f>
        <v/>
      </c>
      <c r="D2341" s="29">
        <f>IF($B2341="","",INDEX(Suivi!$E:$E,2386))</f>
        <v/>
      </c>
      <c r="E2341" s="29">
        <f>IF($B2341="","",INDEX(Suivi!$F:$F,2386))</f>
        <v/>
      </c>
      <c r="F2341">
        <f>IF($B2341="","",INDEX(Suivi!$G:$G,2386))</f>
        <v/>
      </c>
      <c r="H2341">
        <f>IF(OR($B2341="",NOT(ISNUMBER($D2341))),"",IF($E2341&lt;$D$2,"Passé",IF($D2341&gt;$F$2,"À venir","Dans la période")))</f>
        <v/>
      </c>
      <c r="I2341">
        <f>IF(OR($B2341="",NOT(ISNUMBER($D2341))),"",IF(AND($E2341&lt;$D$2,$G2341&lt;&gt;"X",$F2341&lt;&gt;"Réalisé",$F2341&lt;&gt;"Clôturé"),"RETARD",""))</f>
        <v/>
      </c>
      <c r="J2341" s="29">
        <f>IF($B2341="","",IF(INDEX(Dossiers!$F$4:$F$63,45)="","",INDEX(Dossiers!$F$4:$F$63,45)))</f>
        <v/>
      </c>
      <c r="K2341" s="29">
        <f>IF($B2341="","",IF(INDEX(Dossiers!$G$4:$G$63,45)="","",INDEX(Dossiers!$G$4:$G$63,45)))</f>
        <v/>
      </c>
    </row>
    <row r="2342">
      <c r="A2342">
        <f>IF($B2342="","",INDEX(Dossiers!$E$4:$E$63,45))</f>
        <v/>
      </c>
      <c r="B2342">
        <f>IF(INDEX(Suivi!$B:$B,2387)="","",INDEX(Suivi!$B:$B,2387))</f>
        <v/>
      </c>
      <c r="C2342">
        <f>IF($B2342="","",IF(INDEX(Suivi!$D:$D,2387)="",INDEX(Suivi!$C:$C,2387),INDEX(Suivi!$D:$D,2387)))</f>
        <v/>
      </c>
      <c r="D2342" s="29">
        <f>IF($B2342="","",INDEX(Suivi!$E:$E,2387))</f>
        <v/>
      </c>
      <c r="E2342" s="29">
        <f>IF($B2342="","",INDEX(Suivi!$F:$F,2387))</f>
        <v/>
      </c>
      <c r="F2342">
        <f>IF($B2342="","",INDEX(Suivi!$G:$G,2387))</f>
        <v/>
      </c>
      <c r="H2342">
        <f>IF(OR($B2342="",NOT(ISNUMBER($D2342))),"",IF($E2342&lt;$D$2,"Passé",IF($D2342&gt;$F$2,"À venir","Dans la période")))</f>
        <v/>
      </c>
      <c r="I2342">
        <f>IF(OR($B2342="",NOT(ISNUMBER($D2342))),"",IF(AND($E2342&lt;$D$2,$G2342&lt;&gt;"X",$F2342&lt;&gt;"Réalisé",$F2342&lt;&gt;"Clôturé"),"RETARD",""))</f>
        <v/>
      </c>
      <c r="J2342" s="29">
        <f>IF($B2342="","",IF(INDEX(Dossiers!$F$4:$F$63,45)="","",INDEX(Dossiers!$F$4:$F$63,45)))</f>
        <v/>
      </c>
      <c r="K2342" s="29">
        <f>IF($B2342="","",IF(INDEX(Dossiers!$G$4:$G$63,45)="","",INDEX(Dossiers!$G$4:$G$63,45)))</f>
        <v/>
      </c>
    </row>
    <row r="2343">
      <c r="A2343">
        <f>IF($B2343="","",INDEX(Dossiers!$E$4:$E$63,45))</f>
        <v/>
      </c>
      <c r="B2343">
        <f>IF(INDEX(Suivi!$B:$B,2388)="","",INDEX(Suivi!$B:$B,2388))</f>
        <v/>
      </c>
      <c r="C2343">
        <f>IF($B2343="","",IF(INDEX(Suivi!$D:$D,2388)="",INDEX(Suivi!$C:$C,2388),INDEX(Suivi!$D:$D,2388)))</f>
        <v/>
      </c>
      <c r="D2343" s="29">
        <f>IF($B2343="","",INDEX(Suivi!$E:$E,2388))</f>
        <v/>
      </c>
      <c r="E2343" s="29">
        <f>IF($B2343="","",INDEX(Suivi!$F:$F,2388))</f>
        <v/>
      </c>
      <c r="F2343">
        <f>IF($B2343="","",INDEX(Suivi!$G:$G,2388))</f>
        <v/>
      </c>
      <c r="H2343">
        <f>IF(OR($B2343="",NOT(ISNUMBER($D2343))),"",IF($E2343&lt;$D$2,"Passé",IF($D2343&gt;$F$2,"À venir","Dans la période")))</f>
        <v/>
      </c>
      <c r="I2343">
        <f>IF(OR($B2343="",NOT(ISNUMBER($D2343))),"",IF(AND($E2343&lt;$D$2,$G2343&lt;&gt;"X",$F2343&lt;&gt;"Réalisé",$F2343&lt;&gt;"Clôturé"),"RETARD",""))</f>
        <v/>
      </c>
      <c r="J2343" s="29">
        <f>IF($B2343="","",IF(INDEX(Dossiers!$F$4:$F$63,45)="","",INDEX(Dossiers!$F$4:$F$63,45)))</f>
        <v/>
      </c>
      <c r="K2343" s="29">
        <f>IF($B2343="","",IF(INDEX(Dossiers!$G$4:$G$63,45)="","",INDEX(Dossiers!$G$4:$G$63,45)))</f>
        <v/>
      </c>
    </row>
    <row r="2344">
      <c r="A2344">
        <f>IF($B2344="","",INDEX(Dossiers!$E$4:$E$63,45))</f>
        <v/>
      </c>
      <c r="B2344">
        <f>IF(INDEX(Suivi!$B:$B,2389)="","",INDEX(Suivi!$B:$B,2389))</f>
        <v/>
      </c>
      <c r="C2344">
        <f>IF($B2344="","",IF(INDEX(Suivi!$D:$D,2389)="",INDEX(Suivi!$C:$C,2389),INDEX(Suivi!$D:$D,2389)))</f>
        <v/>
      </c>
      <c r="D2344" s="29">
        <f>IF($B2344="","",INDEX(Suivi!$E:$E,2389))</f>
        <v/>
      </c>
      <c r="E2344" s="29">
        <f>IF($B2344="","",INDEX(Suivi!$F:$F,2389))</f>
        <v/>
      </c>
      <c r="F2344">
        <f>IF($B2344="","",INDEX(Suivi!$G:$G,2389))</f>
        <v/>
      </c>
      <c r="H2344">
        <f>IF(OR($B2344="",NOT(ISNUMBER($D2344))),"",IF($E2344&lt;$D$2,"Passé",IF($D2344&gt;$F$2,"À venir","Dans la période")))</f>
        <v/>
      </c>
      <c r="I2344">
        <f>IF(OR($B2344="",NOT(ISNUMBER($D2344))),"",IF(AND($E2344&lt;$D$2,$G2344&lt;&gt;"X",$F2344&lt;&gt;"Réalisé",$F2344&lt;&gt;"Clôturé"),"RETARD",""))</f>
        <v/>
      </c>
      <c r="J2344" s="29">
        <f>IF($B2344="","",IF(INDEX(Dossiers!$F$4:$F$63,45)="","",INDEX(Dossiers!$F$4:$F$63,45)))</f>
        <v/>
      </c>
      <c r="K2344" s="29">
        <f>IF($B2344="","",IF(INDEX(Dossiers!$G$4:$G$63,45)="","",INDEX(Dossiers!$G$4:$G$63,45)))</f>
        <v/>
      </c>
    </row>
    <row r="2345">
      <c r="A2345">
        <f>IF($B2345="","",INDEX(Dossiers!$E$4:$E$63,45))</f>
        <v/>
      </c>
      <c r="B2345">
        <f>IF(INDEX(Suivi!$B:$B,2390)="","",INDEX(Suivi!$B:$B,2390))</f>
        <v/>
      </c>
      <c r="C2345">
        <f>IF($B2345="","",IF(INDEX(Suivi!$D:$D,2390)="",INDEX(Suivi!$C:$C,2390),INDEX(Suivi!$D:$D,2390)))</f>
        <v/>
      </c>
      <c r="D2345" s="29">
        <f>IF($B2345="","",INDEX(Suivi!$E:$E,2390))</f>
        <v/>
      </c>
      <c r="E2345" s="29">
        <f>IF($B2345="","",INDEX(Suivi!$F:$F,2390))</f>
        <v/>
      </c>
      <c r="F2345">
        <f>IF($B2345="","",INDEX(Suivi!$G:$G,2390))</f>
        <v/>
      </c>
      <c r="H2345">
        <f>IF(OR($B2345="",NOT(ISNUMBER($D2345))),"",IF($E2345&lt;$D$2,"Passé",IF($D2345&gt;$F$2,"À venir","Dans la période")))</f>
        <v/>
      </c>
      <c r="I2345">
        <f>IF(OR($B2345="",NOT(ISNUMBER($D2345))),"",IF(AND($E2345&lt;$D$2,$G2345&lt;&gt;"X",$F2345&lt;&gt;"Réalisé",$F2345&lt;&gt;"Clôturé"),"RETARD",""))</f>
        <v/>
      </c>
      <c r="J2345" s="29">
        <f>IF($B2345="","",IF(INDEX(Dossiers!$F$4:$F$63,45)="","",INDEX(Dossiers!$F$4:$F$63,45)))</f>
        <v/>
      </c>
      <c r="K2345" s="29">
        <f>IF($B2345="","",IF(INDEX(Dossiers!$G$4:$G$63,45)="","",INDEX(Dossiers!$G$4:$G$63,45)))</f>
        <v/>
      </c>
    </row>
    <row r="2346">
      <c r="A2346">
        <f>IF($B2346="","",INDEX(Dossiers!$E$4:$E$63,45))</f>
        <v/>
      </c>
      <c r="B2346">
        <f>IF(INDEX(Suivi!$B:$B,2391)="","",INDEX(Suivi!$B:$B,2391))</f>
        <v/>
      </c>
      <c r="C2346">
        <f>IF($B2346="","",IF(INDEX(Suivi!$D:$D,2391)="",INDEX(Suivi!$C:$C,2391),INDEX(Suivi!$D:$D,2391)))</f>
        <v/>
      </c>
      <c r="D2346" s="29">
        <f>IF($B2346="","",INDEX(Suivi!$E:$E,2391))</f>
        <v/>
      </c>
      <c r="E2346" s="29">
        <f>IF($B2346="","",INDEX(Suivi!$F:$F,2391))</f>
        <v/>
      </c>
      <c r="F2346">
        <f>IF($B2346="","",INDEX(Suivi!$G:$G,2391))</f>
        <v/>
      </c>
      <c r="H2346">
        <f>IF(OR($B2346="",NOT(ISNUMBER($D2346))),"",IF($E2346&lt;$D$2,"Passé",IF($D2346&gt;$F$2,"À venir","Dans la période")))</f>
        <v/>
      </c>
      <c r="I2346">
        <f>IF(OR($B2346="",NOT(ISNUMBER($D2346))),"",IF(AND($E2346&lt;$D$2,$G2346&lt;&gt;"X",$F2346&lt;&gt;"Réalisé",$F2346&lt;&gt;"Clôturé"),"RETARD",""))</f>
        <v/>
      </c>
      <c r="J2346" s="29">
        <f>IF($B2346="","",IF(INDEX(Dossiers!$F$4:$F$63,45)="","",INDEX(Dossiers!$F$4:$F$63,45)))</f>
        <v/>
      </c>
      <c r="K2346" s="29">
        <f>IF($B2346="","",IF(INDEX(Dossiers!$G$4:$G$63,45)="","",INDEX(Dossiers!$G$4:$G$63,45)))</f>
        <v/>
      </c>
    </row>
    <row r="2347">
      <c r="A2347">
        <f>IF($B2347="","",INDEX(Dossiers!$E$4:$E$63,45))</f>
        <v/>
      </c>
      <c r="B2347">
        <f>IF(INDEX(Suivi!$B:$B,2392)="","",INDEX(Suivi!$B:$B,2392))</f>
        <v/>
      </c>
      <c r="C2347">
        <f>IF($B2347="","",IF(INDEX(Suivi!$D:$D,2392)="",INDEX(Suivi!$C:$C,2392),INDEX(Suivi!$D:$D,2392)))</f>
        <v/>
      </c>
      <c r="D2347" s="29">
        <f>IF($B2347="","",INDEX(Suivi!$E:$E,2392))</f>
        <v/>
      </c>
      <c r="E2347" s="29">
        <f>IF($B2347="","",INDEX(Suivi!$F:$F,2392))</f>
        <v/>
      </c>
      <c r="F2347">
        <f>IF($B2347="","",INDEX(Suivi!$G:$G,2392))</f>
        <v/>
      </c>
      <c r="H2347">
        <f>IF(OR($B2347="",NOT(ISNUMBER($D2347))),"",IF($E2347&lt;$D$2,"Passé",IF($D2347&gt;$F$2,"À venir","Dans la période")))</f>
        <v/>
      </c>
      <c r="I2347">
        <f>IF(OR($B2347="",NOT(ISNUMBER($D2347))),"",IF(AND($E2347&lt;$D$2,$G2347&lt;&gt;"X",$F2347&lt;&gt;"Réalisé",$F2347&lt;&gt;"Clôturé"),"RETARD",""))</f>
        <v/>
      </c>
      <c r="J2347" s="29">
        <f>IF($B2347="","",IF(INDEX(Dossiers!$F$4:$F$63,45)="","",INDEX(Dossiers!$F$4:$F$63,45)))</f>
        <v/>
      </c>
      <c r="K2347" s="29">
        <f>IF($B2347="","",IF(INDEX(Dossiers!$G$4:$G$63,45)="","",INDEX(Dossiers!$G$4:$G$63,45)))</f>
        <v/>
      </c>
    </row>
    <row r="2348">
      <c r="A2348">
        <f>IF($B2348="","",INDEX(Dossiers!$E$4:$E$63,45))</f>
        <v/>
      </c>
      <c r="B2348">
        <f>IF(INDEX(Suivi!$B:$B,2393)="","",INDEX(Suivi!$B:$B,2393))</f>
        <v/>
      </c>
      <c r="C2348">
        <f>IF($B2348="","",IF(INDEX(Suivi!$D:$D,2393)="",INDEX(Suivi!$C:$C,2393),INDEX(Suivi!$D:$D,2393)))</f>
        <v/>
      </c>
      <c r="D2348" s="29">
        <f>IF($B2348="","",INDEX(Suivi!$E:$E,2393))</f>
        <v/>
      </c>
      <c r="E2348" s="29">
        <f>IF($B2348="","",INDEX(Suivi!$F:$F,2393))</f>
        <v/>
      </c>
      <c r="F2348">
        <f>IF($B2348="","",INDEX(Suivi!$G:$G,2393))</f>
        <v/>
      </c>
      <c r="H2348">
        <f>IF(OR($B2348="",NOT(ISNUMBER($D2348))),"",IF($E2348&lt;$D$2,"Passé",IF($D2348&gt;$F$2,"À venir","Dans la période")))</f>
        <v/>
      </c>
      <c r="I2348">
        <f>IF(OR($B2348="",NOT(ISNUMBER($D2348))),"",IF(AND($E2348&lt;$D$2,$G2348&lt;&gt;"X",$F2348&lt;&gt;"Réalisé",$F2348&lt;&gt;"Clôturé"),"RETARD",""))</f>
        <v/>
      </c>
      <c r="J2348" s="29">
        <f>IF($B2348="","",IF(INDEX(Dossiers!$F$4:$F$63,45)="","",INDEX(Dossiers!$F$4:$F$63,45)))</f>
        <v/>
      </c>
      <c r="K2348" s="29">
        <f>IF($B2348="","",IF(INDEX(Dossiers!$G$4:$G$63,45)="","",INDEX(Dossiers!$G$4:$G$63,45)))</f>
        <v/>
      </c>
    </row>
    <row r="2349">
      <c r="A2349">
        <f>IF($B2349="","",INDEX(Dossiers!$E$4:$E$63,45))</f>
        <v/>
      </c>
      <c r="B2349">
        <f>IF(INDEX(Suivi!$B:$B,2394)="","",INDEX(Suivi!$B:$B,2394))</f>
        <v/>
      </c>
      <c r="C2349">
        <f>IF($B2349="","",IF(INDEX(Suivi!$D:$D,2394)="",INDEX(Suivi!$C:$C,2394),INDEX(Suivi!$D:$D,2394)))</f>
        <v/>
      </c>
      <c r="D2349" s="29">
        <f>IF($B2349="","",INDEX(Suivi!$E:$E,2394))</f>
        <v/>
      </c>
      <c r="E2349" s="29">
        <f>IF($B2349="","",INDEX(Suivi!$F:$F,2394))</f>
        <v/>
      </c>
      <c r="F2349">
        <f>IF($B2349="","",INDEX(Suivi!$G:$G,2394))</f>
        <v/>
      </c>
      <c r="H2349">
        <f>IF(OR($B2349="",NOT(ISNUMBER($D2349))),"",IF($E2349&lt;$D$2,"Passé",IF($D2349&gt;$F$2,"À venir","Dans la période")))</f>
        <v/>
      </c>
      <c r="I2349">
        <f>IF(OR($B2349="",NOT(ISNUMBER($D2349))),"",IF(AND($E2349&lt;$D$2,$G2349&lt;&gt;"X",$F2349&lt;&gt;"Réalisé",$F2349&lt;&gt;"Clôturé"),"RETARD",""))</f>
        <v/>
      </c>
      <c r="J2349" s="29">
        <f>IF($B2349="","",IF(INDEX(Dossiers!$F$4:$F$63,45)="","",INDEX(Dossiers!$F$4:$F$63,45)))</f>
        <v/>
      </c>
      <c r="K2349" s="29">
        <f>IF($B2349="","",IF(INDEX(Dossiers!$G$4:$G$63,45)="","",INDEX(Dossiers!$G$4:$G$63,45)))</f>
        <v/>
      </c>
    </row>
    <row r="2350">
      <c r="A2350">
        <f>IF($B2350="","",INDEX(Dossiers!$E$4:$E$63,45))</f>
        <v/>
      </c>
      <c r="B2350">
        <f>IF(INDEX(Suivi!$B:$B,2395)="","",INDEX(Suivi!$B:$B,2395))</f>
        <v/>
      </c>
      <c r="C2350">
        <f>IF($B2350="","",IF(INDEX(Suivi!$D:$D,2395)="",INDEX(Suivi!$C:$C,2395),INDEX(Suivi!$D:$D,2395)))</f>
        <v/>
      </c>
      <c r="D2350" s="29">
        <f>IF($B2350="","",INDEX(Suivi!$E:$E,2395))</f>
        <v/>
      </c>
      <c r="E2350" s="29">
        <f>IF($B2350="","",INDEX(Suivi!$F:$F,2395))</f>
        <v/>
      </c>
      <c r="F2350">
        <f>IF($B2350="","",INDEX(Suivi!$G:$G,2395))</f>
        <v/>
      </c>
      <c r="H2350">
        <f>IF(OR($B2350="",NOT(ISNUMBER($D2350))),"",IF($E2350&lt;$D$2,"Passé",IF($D2350&gt;$F$2,"À venir","Dans la période")))</f>
        <v/>
      </c>
      <c r="I2350">
        <f>IF(OR($B2350="",NOT(ISNUMBER($D2350))),"",IF(AND($E2350&lt;$D$2,$G2350&lt;&gt;"X",$F2350&lt;&gt;"Réalisé",$F2350&lt;&gt;"Clôturé"),"RETARD",""))</f>
        <v/>
      </c>
      <c r="J2350" s="29">
        <f>IF($B2350="","",IF(INDEX(Dossiers!$F$4:$F$63,45)="","",INDEX(Dossiers!$F$4:$F$63,45)))</f>
        <v/>
      </c>
      <c r="K2350" s="29">
        <f>IF($B2350="","",IF(INDEX(Dossiers!$G$4:$G$63,45)="","",INDEX(Dossiers!$G$4:$G$63,45)))</f>
        <v/>
      </c>
    </row>
    <row r="2351">
      <c r="A2351">
        <f>IF($B2351="","",INDEX(Dossiers!$E$4:$E$63,45))</f>
        <v/>
      </c>
      <c r="B2351">
        <f>IF(INDEX(Suivi!$B:$B,2396)="","",INDEX(Suivi!$B:$B,2396))</f>
        <v/>
      </c>
      <c r="C2351">
        <f>IF($B2351="","",IF(INDEX(Suivi!$D:$D,2396)="",INDEX(Suivi!$C:$C,2396),INDEX(Suivi!$D:$D,2396)))</f>
        <v/>
      </c>
      <c r="D2351" s="29">
        <f>IF($B2351="","",INDEX(Suivi!$E:$E,2396))</f>
        <v/>
      </c>
      <c r="E2351" s="29">
        <f>IF($B2351="","",INDEX(Suivi!$F:$F,2396))</f>
        <v/>
      </c>
      <c r="F2351">
        <f>IF($B2351="","",INDEX(Suivi!$G:$G,2396))</f>
        <v/>
      </c>
      <c r="H2351">
        <f>IF(OR($B2351="",NOT(ISNUMBER($D2351))),"",IF($E2351&lt;$D$2,"Passé",IF($D2351&gt;$F$2,"À venir","Dans la période")))</f>
        <v/>
      </c>
      <c r="I2351">
        <f>IF(OR($B2351="",NOT(ISNUMBER($D2351))),"",IF(AND($E2351&lt;$D$2,$G2351&lt;&gt;"X",$F2351&lt;&gt;"Réalisé",$F2351&lt;&gt;"Clôturé"),"RETARD",""))</f>
        <v/>
      </c>
      <c r="J2351" s="29">
        <f>IF($B2351="","",IF(INDEX(Dossiers!$F$4:$F$63,45)="","",INDEX(Dossiers!$F$4:$F$63,45)))</f>
        <v/>
      </c>
      <c r="K2351" s="29">
        <f>IF($B2351="","",IF(INDEX(Dossiers!$G$4:$G$63,45)="","",INDEX(Dossiers!$G$4:$G$63,45)))</f>
        <v/>
      </c>
    </row>
    <row r="2352">
      <c r="A2352">
        <f>IF($B2352="","",INDEX(Dossiers!$E$4:$E$63,45))</f>
        <v/>
      </c>
      <c r="B2352">
        <f>IF(INDEX(Suivi!$B:$B,2397)="","",INDEX(Suivi!$B:$B,2397))</f>
        <v/>
      </c>
      <c r="C2352">
        <f>IF($B2352="","",IF(INDEX(Suivi!$D:$D,2397)="",INDEX(Suivi!$C:$C,2397),INDEX(Suivi!$D:$D,2397)))</f>
        <v/>
      </c>
      <c r="D2352" s="29">
        <f>IF($B2352="","",INDEX(Suivi!$E:$E,2397))</f>
        <v/>
      </c>
      <c r="E2352" s="29">
        <f>IF($B2352="","",INDEX(Suivi!$F:$F,2397))</f>
        <v/>
      </c>
      <c r="F2352">
        <f>IF($B2352="","",INDEX(Suivi!$G:$G,2397))</f>
        <v/>
      </c>
      <c r="H2352">
        <f>IF(OR($B2352="",NOT(ISNUMBER($D2352))),"",IF($E2352&lt;$D$2,"Passé",IF($D2352&gt;$F$2,"À venir","Dans la période")))</f>
        <v/>
      </c>
      <c r="I2352">
        <f>IF(OR($B2352="",NOT(ISNUMBER($D2352))),"",IF(AND($E2352&lt;$D$2,$G2352&lt;&gt;"X",$F2352&lt;&gt;"Réalisé",$F2352&lt;&gt;"Clôturé"),"RETARD",""))</f>
        <v/>
      </c>
      <c r="J2352" s="29">
        <f>IF($B2352="","",IF(INDEX(Dossiers!$F$4:$F$63,45)="","",INDEX(Dossiers!$F$4:$F$63,45)))</f>
        <v/>
      </c>
      <c r="K2352" s="29">
        <f>IF($B2352="","",IF(INDEX(Dossiers!$G$4:$G$63,45)="","",INDEX(Dossiers!$G$4:$G$63,45)))</f>
        <v/>
      </c>
    </row>
    <row r="2353">
      <c r="A2353">
        <f>IF($B2353="","",INDEX(Dossiers!$E$4:$E$63,45))</f>
        <v/>
      </c>
      <c r="B2353">
        <f>IF(INDEX(Suivi!$B:$B,2398)="","",INDEX(Suivi!$B:$B,2398))</f>
        <v/>
      </c>
      <c r="C2353">
        <f>IF($B2353="","",IF(INDEX(Suivi!$D:$D,2398)="",INDEX(Suivi!$C:$C,2398),INDEX(Suivi!$D:$D,2398)))</f>
        <v/>
      </c>
      <c r="D2353" s="29">
        <f>IF($B2353="","",INDEX(Suivi!$E:$E,2398))</f>
        <v/>
      </c>
      <c r="E2353" s="29">
        <f>IF($B2353="","",INDEX(Suivi!$F:$F,2398))</f>
        <v/>
      </c>
      <c r="F2353">
        <f>IF($B2353="","",INDEX(Suivi!$G:$G,2398))</f>
        <v/>
      </c>
      <c r="H2353">
        <f>IF(OR($B2353="",NOT(ISNUMBER($D2353))),"",IF($E2353&lt;$D$2,"Passé",IF($D2353&gt;$F$2,"À venir","Dans la période")))</f>
        <v/>
      </c>
      <c r="I2353">
        <f>IF(OR($B2353="",NOT(ISNUMBER($D2353))),"",IF(AND($E2353&lt;$D$2,$G2353&lt;&gt;"X",$F2353&lt;&gt;"Réalisé",$F2353&lt;&gt;"Clôturé"),"RETARD",""))</f>
        <v/>
      </c>
      <c r="J2353" s="29">
        <f>IF($B2353="","",IF(INDEX(Dossiers!$F$4:$F$63,45)="","",INDEX(Dossiers!$F$4:$F$63,45)))</f>
        <v/>
      </c>
      <c r="K2353" s="29">
        <f>IF($B2353="","",IF(INDEX(Dossiers!$G$4:$G$63,45)="","",INDEX(Dossiers!$G$4:$G$63,45)))</f>
        <v/>
      </c>
    </row>
    <row r="2354">
      <c r="A2354">
        <f>IF($B2354="","",INDEX(Dossiers!$E$4:$E$63,45))</f>
        <v/>
      </c>
      <c r="B2354">
        <f>IF(INDEX(Suivi!$B:$B,2399)="","",INDEX(Suivi!$B:$B,2399))</f>
        <v/>
      </c>
      <c r="C2354">
        <f>IF($B2354="","",IF(INDEX(Suivi!$D:$D,2399)="",INDEX(Suivi!$C:$C,2399),INDEX(Suivi!$D:$D,2399)))</f>
        <v/>
      </c>
      <c r="D2354" s="29">
        <f>IF($B2354="","",INDEX(Suivi!$E:$E,2399))</f>
        <v/>
      </c>
      <c r="E2354" s="29">
        <f>IF($B2354="","",INDEX(Suivi!$F:$F,2399))</f>
        <v/>
      </c>
      <c r="F2354">
        <f>IF($B2354="","",INDEX(Suivi!$G:$G,2399))</f>
        <v/>
      </c>
      <c r="H2354">
        <f>IF(OR($B2354="",NOT(ISNUMBER($D2354))),"",IF($E2354&lt;$D$2,"Passé",IF($D2354&gt;$F$2,"À venir","Dans la période")))</f>
        <v/>
      </c>
      <c r="I2354">
        <f>IF(OR($B2354="",NOT(ISNUMBER($D2354))),"",IF(AND($E2354&lt;$D$2,$G2354&lt;&gt;"X",$F2354&lt;&gt;"Réalisé",$F2354&lt;&gt;"Clôturé"),"RETARD",""))</f>
        <v/>
      </c>
      <c r="J2354" s="29">
        <f>IF($B2354="","",IF(INDEX(Dossiers!$F$4:$F$63,45)="","",INDEX(Dossiers!$F$4:$F$63,45)))</f>
        <v/>
      </c>
      <c r="K2354" s="29">
        <f>IF($B2354="","",IF(INDEX(Dossiers!$G$4:$G$63,45)="","",INDEX(Dossiers!$G$4:$G$63,45)))</f>
        <v/>
      </c>
    </row>
    <row r="2355">
      <c r="A2355">
        <f>IF($B2355="","",INDEX(Dossiers!$E$4:$E$63,45))</f>
        <v/>
      </c>
      <c r="B2355">
        <f>IF(INDEX(Suivi!$B:$B,2400)="","",INDEX(Suivi!$B:$B,2400))</f>
        <v/>
      </c>
      <c r="C2355">
        <f>IF($B2355="","",IF(INDEX(Suivi!$D:$D,2400)="",INDEX(Suivi!$C:$C,2400),INDEX(Suivi!$D:$D,2400)))</f>
        <v/>
      </c>
      <c r="D2355" s="29">
        <f>IF($B2355="","",INDEX(Suivi!$E:$E,2400))</f>
        <v/>
      </c>
      <c r="E2355" s="29">
        <f>IF($B2355="","",INDEX(Suivi!$F:$F,2400))</f>
        <v/>
      </c>
      <c r="F2355">
        <f>IF($B2355="","",INDEX(Suivi!$G:$G,2400))</f>
        <v/>
      </c>
      <c r="H2355">
        <f>IF(OR($B2355="",NOT(ISNUMBER($D2355))),"",IF($E2355&lt;$D$2,"Passé",IF($D2355&gt;$F$2,"À venir","Dans la période")))</f>
        <v/>
      </c>
      <c r="I2355">
        <f>IF(OR($B2355="",NOT(ISNUMBER($D2355))),"",IF(AND($E2355&lt;$D$2,$G2355&lt;&gt;"X",$F2355&lt;&gt;"Réalisé",$F2355&lt;&gt;"Clôturé"),"RETARD",""))</f>
        <v/>
      </c>
      <c r="J2355" s="29">
        <f>IF($B2355="","",IF(INDEX(Dossiers!$F$4:$F$63,45)="","",INDEX(Dossiers!$F$4:$F$63,45)))</f>
        <v/>
      </c>
      <c r="K2355" s="29">
        <f>IF($B2355="","",IF(INDEX(Dossiers!$G$4:$G$63,45)="","",INDEX(Dossiers!$G$4:$G$63,45)))</f>
        <v/>
      </c>
    </row>
    <row r="2356">
      <c r="A2356">
        <f>IF($B2356="","",INDEX(Dossiers!$E$4:$E$63,45))</f>
        <v/>
      </c>
      <c r="B2356">
        <f>IF(INDEX(Suivi!$B:$B,2401)="","",INDEX(Suivi!$B:$B,2401))</f>
        <v/>
      </c>
      <c r="C2356">
        <f>IF($B2356="","",IF(INDEX(Suivi!$D:$D,2401)="",INDEX(Suivi!$C:$C,2401),INDEX(Suivi!$D:$D,2401)))</f>
        <v/>
      </c>
      <c r="D2356" s="29">
        <f>IF($B2356="","",INDEX(Suivi!$E:$E,2401))</f>
        <v/>
      </c>
      <c r="E2356" s="29">
        <f>IF($B2356="","",INDEX(Suivi!$F:$F,2401))</f>
        <v/>
      </c>
      <c r="F2356">
        <f>IF($B2356="","",INDEX(Suivi!$G:$G,2401))</f>
        <v/>
      </c>
      <c r="H2356">
        <f>IF(OR($B2356="",NOT(ISNUMBER($D2356))),"",IF($E2356&lt;$D$2,"Passé",IF($D2356&gt;$F$2,"À venir","Dans la période")))</f>
        <v/>
      </c>
      <c r="I2356">
        <f>IF(OR($B2356="",NOT(ISNUMBER($D2356))),"",IF(AND($E2356&lt;$D$2,$G2356&lt;&gt;"X",$F2356&lt;&gt;"Réalisé",$F2356&lt;&gt;"Clôturé"),"RETARD",""))</f>
        <v/>
      </c>
      <c r="J2356" s="29">
        <f>IF($B2356="","",IF(INDEX(Dossiers!$F$4:$F$63,45)="","",INDEX(Dossiers!$F$4:$F$63,45)))</f>
        <v/>
      </c>
      <c r="K2356" s="29">
        <f>IF($B2356="","",IF(INDEX(Dossiers!$G$4:$G$63,45)="","",INDEX(Dossiers!$G$4:$G$63,45)))</f>
        <v/>
      </c>
    </row>
    <row r="2357">
      <c r="A2357">
        <f>IF($B2357="","",INDEX(Dossiers!$E$4:$E$63,45))</f>
        <v/>
      </c>
      <c r="B2357">
        <f>IF(INDEX(Suivi!$B:$B,2402)="","",INDEX(Suivi!$B:$B,2402))</f>
        <v/>
      </c>
      <c r="C2357">
        <f>IF($B2357="","",IF(INDEX(Suivi!$D:$D,2402)="",INDEX(Suivi!$C:$C,2402),INDEX(Suivi!$D:$D,2402)))</f>
        <v/>
      </c>
      <c r="D2357" s="29">
        <f>IF($B2357="","",INDEX(Suivi!$E:$E,2402))</f>
        <v/>
      </c>
      <c r="E2357" s="29">
        <f>IF($B2357="","",INDEX(Suivi!$F:$F,2402))</f>
        <v/>
      </c>
      <c r="F2357">
        <f>IF($B2357="","",INDEX(Suivi!$G:$G,2402))</f>
        <v/>
      </c>
      <c r="H2357">
        <f>IF(OR($B2357="",NOT(ISNUMBER($D2357))),"",IF($E2357&lt;$D$2,"Passé",IF($D2357&gt;$F$2,"À venir","Dans la période")))</f>
        <v/>
      </c>
      <c r="I2357">
        <f>IF(OR($B2357="",NOT(ISNUMBER($D2357))),"",IF(AND($E2357&lt;$D$2,$G2357&lt;&gt;"X",$F2357&lt;&gt;"Réalisé",$F2357&lt;&gt;"Clôturé"),"RETARD",""))</f>
        <v/>
      </c>
      <c r="J2357" s="29">
        <f>IF($B2357="","",IF(INDEX(Dossiers!$F$4:$F$63,45)="","",INDEX(Dossiers!$F$4:$F$63,45)))</f>
        <v/>
      </c>
      <c r="K2357" s="29">
        <f>IF($B2357="","",IF(INDEX(Dossiers!$G$4:$G$63,45)="","",INDEX(Dossiers!$G$4:$G$63,45)))</f>
        <v/>
      </c>
    </row>
    <row r="2358">
      <c r="A2358">
        <f>IF($B2358="","",INDEX(Dossiers!$E$4:$E$63,45))</f>
        <v/>
      </c>
      <c r="B2358">
        <f>IF(INDEX(Suivi!$B:$B,2403)="","",INDEX(Suivi!$B:$B,2403))</f>
        <v/>
      </c>
      <c r="C2358">
        <f>IF($B2358="","",IF(INDEX(Suivi!$D:$D,2403)="",INDEX(Suivi!$C:$C,2403),INDEX(Suivi!$D:$D,2403)))</f>
        <v/>
      </c>
      <c r="D2358" s="29">
        <f>IF($B2358="","",INDEX(Suivi!$E:$E,2403))</f>
        <v/>
      </c>
      <c r="E2358" s="29">
        <f>IF($B2358="","",INDEX(Suivi!$F:$F,2403))</f>
        <v/>
      </c>
      <c r="F2358">
        <f>IF($B2358="","",INDEX(Suivi!$G:$G,2403))</f>
        <v/>
      </c>
      <c r="H2358">
        <f>IF(OR($B2358="",NOT(ISNUMBER($D2358))),"",IF($E2358&lt;$D$2,"Passé",IF($D2358&gt;$F$2,"À venir","Dans la période")))</f>
        <v/>
      </c>
      <c r="I2358">
        <f>IF(OR($B2358="",NOT(ISNUMBER($D2358))),"",IF(AND($E2358&lt;$D$2,$G2358&lt;&gt;"X",$F2358&lt;&gt;"Réalisé",$F2358&lt;&gt;"Clôturé"),"RETARD",""))</f>
        <v/>
      </c>
      <c r="J2358" s="29">
        <f>IF($B2358="","",IF(INDEX(Dossiers!$F$4:$F$63,45)="","",INDEX(Dossiers!$F$4:$F$63,45)))</f>
        <v/>
      </c>
      <c r="K2358" s="29">
        <f>IF($B2358="","",IF(INDEX(Dossiers!$G$4:$G$63,45)="","",INDEX(Dossiers!$G$4:$G$63,45)))</f>
        <v/>
      </c>
    </row>
    <row r="2359">
      <c r="A2359">
        <f>IF($B2359="","",INDEX(Dossiers!$E$4:$E$63,45))</f>
        <v/>
      </c>
      <c r="B2359">
        <f>IF(INDEX(Suivi!$B:$B,2404)="","",INDEX(Suivi!$B:$B,2404))</f>
        <v/>
      </c>
      <c r="C2359">
        <f>IF($B2359="","",IF(INDEX(Suivi!$D:$D,2404)="",INDEX(Suivi!$C:$C,2404),INDEX(Suivi!$D:$D,2404)))</f>
        <v/>
      </c>
      <c r="D2359" s="29">
        <f>IF($B2359="","",INDEX(Suivi!$E:$E,2404))</f>
        <v/>
      </c>
      <c r="E2359" s="29">
        <f>IF($B2359="","",INDEX(Suivi!$F:$F,2404))</f>
        <v/>
      </c>
      <c r="F2359">
        <f>IF($B2359="","",INDEX(Suivi!$G:$G,2404))</f>
        <v/>
      </c>
      <c r="H2359">
        <f>IF(OR($B2359="",NOT(ISNUMBER($D2359))),"",IF($E2359&lt;$D$2,"Passé",IF($D2359&gt;$F$2,"À venir","Dans la période")))</f>
        <v/>
      </c>
      <c r="I2359">
        <f>IF(OR($B2359="",NOT(ISNUMBER($D2359))),"",IF(AND($E2359&lt;$D$2,$G2359&lt;&gt;"X",$F2359&lt;&gt;"Réalisé",$F2359&lt;&gt;"Clôturé"),"RETARD",""))</f>
        <v/>
      </c>
      <c r="J2359" s="29">
        <f>IF($B2359="","",IF(INDEX(Dossiers!$F$4:$F$63,45)="","",INDEX(Dossiers!$F$4:$F$63,45)))</f>
        <v/>
      </c>
      <c r="K2359" s="29">
        <f>IF($B2359="","",IF(INDEX(Dossiers!$G$4:$G$63,45)="","",INDEX(Dossiers!$G$4:$G$63,45)))</f>
        <v/>
      </c>
    </row>
    <row r="2360">
      <c r="A2360">
        <f>IF($B2360="","",INDEX(Dossiers!$E$4:$E$63,45))</f>
        <v/>
      </c>
      <c r="B2360">
        <f>IF(INDEX(Suivi!$B:$B,2405)="","",INDEX(Suivi!$B:$B,2405))</f>
        <v/>
      </c>
      <c r="C2360">
        <f>IF($B2360="","",IF(INDEX(Suivi!$D:$D,2405)="",INDEX(Suivi!$C:$C,2405),INDEX(Suivi!$D:$D,2405)))</f>
        <v/>
      </c>
      <c r="D2360" s="29">
        <f>IF($B2360="","",INDEX(Suivi!$E:$E,2405))</f>
        <v/>
      </c>
      <c r="E2360" s="29">
        <f>IF($B2360="","",INDEX(Suivi!$F:$F,2405))</f>
        <v/>
      </c>
      <c r="F2360">
        <f>IF($B2360="","",INDEX(Suivi!$G:$G,2405))</f>
        <v/>
      </c>
      <c r="H2360">
        <f>IF(OR($B2360="",NOT(ISNUMBER($D2360))),"",IF($E2360&lt;$D$2,"Passé",IF($D2360&gt;$F$2,"À venir","Dans la période")))</f>
        <v/>
      </c>
      <c r="I2360">
        <f>IF(OR($B2360="",NOT(ISNUMBER($D2360))),"",IF(AND($E2360&lt;$D$2,$G2360&lt;&gt;"X",$F2360&lt;&gt;"Réalisé",$F2360&lt;&gt;"Clôturé"),"RETARD",""))</f>
        <v/>
      </c>
      <c r="J2360" s="29">
        <f>IF($B2360="","",IF(INDEX(Dossiers!$F$4:$F$63,45)="","",INDEX(Dossiers!$F$4:$F$63,45)))</f>
        <v/>
      </c>
      <c r="K2360" s="29">
        <f>IF($B2360="","",IF(INDEX(Dossiers!$G$4:$G$63,45)="","",INDEX(Dossiers!$G$4:$G$63,45)))</f>
        <v/>
      </c>
    </row>
    <row r="2361">
      <c r="A2361">
        <f>IF($B2361="","",INDEX(Dossiers!$E$4:$E$63,45))</f>
        <v/>
      </c>
      <c r="B2361">
        <f>IF(INDEX(Suivi!$B:$B,2406)="","",INDEX(Suivi!$B:$B,2406))</f>
        <v/>
      </c>
      <c r="C2361">
        <f>IF($B2361="","",IF(INDEX(Suivi!$D:$D,2406)="",INDEX(Suivi!$C:$C,2406),INDEX(Suivi!$D:$D,2406)))</f>
        <v/>
      </c>
      <c r="D2361" s="29">
        <f>IF($B2361="","",INDEX(Suivi!$E:$E,2406))</f>
        <v/>
      </c>
      <c r="E2361" s="29">
        <f>IF($B2361="","",INDEX(Suivi!$F:$F,2406))</f>
        <v/>
      </c>
      <c r="F2361">
        <f>IF($B2361="","",INDEX(Suivi!$G:$G,2406))</f>
        <v/>
      </c>
      <c r="H2361">
        <f>IF(OR($B2361="",NOT(ISNUMBER($D2361))),"",IF($E2361&lt;$D$2,"Passé",IF($D2361&gt;$F$2,"À venir","Dans la période")))</f>
        <v/>
      </c>
      <c r="I2361">
        <f>IF(OR($B2361="",NOT(ISNUMBER($D2361))),"",IF(AND($E2361&lt;$D$2,$G2361&lt;&gt;"X",$F2361&lt;&gt;"Réalisé",$F2361&lt;&gt;"Clôturé"),"RETARD",""))</f>
        <v/>
      </c>
      <c r="J2361" s="29">
        <f>IF($B2361="","",IF(INDEX(Dossiers!$F$4:$F$63,45)="","",INDEX(Dossiers!$F$4:$F$63,45)))</f>
        <v/>
      </c>
      <c r="K2361" s="29">
        <f>IF($B2361="","",IF(INDEX(Dossiers!$G$4:$G$63,45)="","",INDEX(Dossiers!$G$4:$G$63,45)))</f>
        <v/>
      </c>
    </row>
    <row r="2362">
      <c r="A2362">
        <f>IF($B2362="","",INDEX(Dossiers!$E$4:$E$63,45))</f>
        <v/>
      </c>
      <c r="B2362">
        <f>IF(INDEX(Suivi!$B:$B,2407)="","",INDEX(Suivi!$B:$B,2407))</f>
        <v/>
      </c>
      <c r="C2362">
        <f>IF($B2362="","",IF(INDEX(Suivi!$D:$D,2407)="",INDEX(Suivi!$C:$C,2407),INDEX(Suivi!$D:$D,2407)))</f>
        <v/>
      </c>
      <c r="D2362" s="29">
        <f>IF($B2362="","",INDEX(Suivi!$E:$E,2407))</f>
        <v/>
      </c>
      <c r="E2362" s="29">
        <f>IF($B2362="","",INDEX(Suivi!$F:$F,2407))</f>
        <v/>
      </c>
      <c r="F2362">
        <f>IF($B2362="","",INDEX(Suivi!$G:$G,2407))</f>
        <v/>
      </c>
      <c r="H2362">
        <f>IF(OR($B2362="",NOT(ISNUMBER($D2362))),"",IF($E2362&lt;$D$2,"Passé",IF($D2362&gt;$F$2,"À venir","Dans la période")))</f>
        <v/>
      </c>
      <c r="I2362">
        <f>IF(OR($B2362="",NOT(ISNUMBER($D2362))),"",IF(AND($E2362&lt;$D$2,$G2362&lt;&gt;"X",$F2362&lt;&gt;"Réalisé",$F2362&lt;&gt;"Clôturé"),"RETARD",""))</f>
        <v/>
      </c>
      <c r="J2362" s="29">
        <f>IF($B2362="","",IF(INDEX(Dossiers!$F$4:$F$63,45)="","",INDEX(Dossiers!$F$4:$F$63,45)))</f>
        <v/>
      </c>
      <c r="K2362" s="29">
        <f>IF($B2362="","",IF(INDEX(Dossiers!$G$4:$G$63,45)="","",INDEX(Dossiers!$G$4:$G$63,45)))</f>
        <v/>
      </c>
    </row>
    <row r="2363">
      <c r="A2363">
        <f>IF($B2363="","",INDEX(Dossiers!$E$4:$E$63,45))</f>
        <v/>
      </c>
      <c r="B2363">
        <f>IF(INDEX(Suivi!$B:$B,2408)="","",INDEX(Suivi!$B:$B,2408))</f>
        <v/>
      </c>
      <c r="C2363">
        <f>IF($B2363="","",IF(INDEX(Suivi!$D:$D,2408)="",INDEX(Suivi!$C:$C,2408),INDEX(Suivi!$D:$D,2408)))</f>
        <v/>
      </c>
      <c r="D2363" s="29">
        <f>IF($B2363="","",INDEX(Suivi!$E:$E,2408))</f>
        <v/>
      </c>
      <c r="E2363" s="29">
        <f>IF($B2363="","",INDEX(Suivi!$F:$F,2408))</f>
        <v/>
      </c>
      <c r="F2363">
        <f>IF($B2363="","",INDEX(Suivi!$G:$G,2408))</f>
        <v/>
      </c>
      <c r="H2363">
        <f>IF(OR($B2363="",NOT(ISNUMBER($D2363))),"",IF($E2363&lt;$D$2,"Passé",IF($D2363&gt;$F$2,"À venir","Dans la période")))</f>
        <v/>
      </c>
      <c r="I2363">
        <f>IF(OR($B2363="",NOT(ISNUMBER($D2363))),"",IF(AND($E2363&lt;$D$2,$G2363&lt;&gt;"X",$F2363&lt;&gt;"Réalisé",$F2363&lt;&gt;"Clôturé"),"RETARD",""))</f>
        <v/>
      </c>
      <c r="J2363" s="29">
        <f>IF($B2363="","",IF(INDEX(Dossiers!$F$4:$F$63,45)="","",INDEX(Dossiers!$F$4:$F$63,45)))</f>
        <v/>
      </c>
      <c r="K2363" s="29">
        <f>IF($B2363="","",IF(INDEX(Dossiers!$G$4:$G$63,45)="","",INDEX(Dossiers!$G$4:$G$63,45)))</f>
        <v/>
      </c>
    </row>
    <row r="2364">
      <c r="A2364">
        <f>IF($B2364="","",INDEX(Dossiers!$E$4:$E$63,45))</f>
        <v/>
      </c>
      <c r="B2364">
        <f>IF(INDEX(Suivi!$B:$B,2409)="","",INDEX(Suivi!$B:$B,2409))</f>
        <v/>
      </c>
      <c r="C2364">
        <f>IF($B2364="","",IF(INDEX(Suivi!$D:$D,2409)="",INDEX(Suivi!$C:$C,2409),INDEX(Suivi!$D:$D,2409)))</f>
        <v/>
      </c>
      <c r="D2364" s="29">
        <f>IF($B2364="","",INDEX(Suivi!$E:$E,2409))</f>
        <v/>
      </c>
      <c r="E2364" s="29">
        <f>IF($B2364="","",INDEX(Suivi!$F:$F,2409))</f>
        <v/>
      </c>
      <c r="F2364">
        <f>IF($B2364="","",INDEX(Suivi!$G:$G,2409))</f>
        <v/>
      </c>
      <c r="H2364">
        <f>IF(OR($B2364="",NOT(ISNUMBER($D2364))),"",IF($E2364&lt;$D$2,"Passé",IF($D2364&gt;$F$2,"À venir","Dans la période")))</f>
        <v/>
      </c>
      <c r="I2364">
        <f>IF(OR($B2364="",NOT(ISNUMBER($D2364))),"",IF(AND($E2364&lt;$D$2,$G2364&lt;&gt;"X",$F2364&lt;&gt;"Réalisé",$F2364&lt;&gt;"Clôturé"),"RETARD",""))</f>
        <v/>
      </c>
      <c r="J2364" s="29">
        <f>IF($B2364="","",IF(INDEX(Dossiers!$F$4:$F$63,45)="","",INDEX(Dossiers!$F$4:$F$63,45)))</f>
        <v/>
      </c>
      <c r="K2364" s="29">
        <f>IF($B2364="","",IF(INDEX(Dossiers!$G$4:$G$63,45)="","",INDEX(Dossiers!$G$4:$G$63,45)))</f>
        <v/>
      </c>
    </row>
    <row r="2365">
      <c r="A2365">
        <f>IF($B2365="","",INDEX(Dossiers!$E$4:$E$63,45))</f>
        <v/>
      </c>
      <c r="B2365">
        <f>IF(INDEX(Suivi!$B:$B,2410)="","",INDEX(Suivi!$B:$B,2410))</f>
        <v/>
      </c>
      <c r="C2365">
        <f>IF($B2365="","",IF(INDEX(Suivi!$D:$D,2410)="",INDEX(Suivi!$C:$C,2410),INDEX(Suivi!$D:$D,2410)))</f>
        <v/>
      </c>
      <c r="D2365" s="29">
        <f>IF($B2365="","",INDEX(Suivi!$E:$E,2410))</f>
        <v/>
      </c>
      <c r="E2365" s="29">
        <f>IF($B2365="","",INDEX(Suivi!$F:$F,2410))</f>
        <v/>
      </c>
      <c r="F2365">
        <f>IF($B2365="","",INDEX(Suivi!$G:$G,2410))</f>
        <v/>
      </c>
      <c r="H2365">
        <f>IF(OR($B2365="",NOT(ISNUMBER($D2365))),"",IF($E2365&lt;$D$2,"Passé",IF($D2365&gt;$F$2,"À venir","Dans la période")))</f>
        <v/>
      </c>
      <c r="I2365">
        <f>IF(OR($B2365="",NOT(ISNUMBER($D2365))),"",IF(AND($E2365&lt;$D$2,$G2365&lt;&gt;"X",$F2365&lt;&gt;"Réalisé",$F2365&lt;&gt;"Clôturé"),"RETARD",""))</f>
        <v/>
      </c>
      <c r="J2365" s="29">
        <f>IF($B2365="","",IF(INDEX(Dossiers!$F$4:$F$63,45)="","",INDEX(Dossiers!$F$4:$F$63,45)))</f>
        <v/>
      </c>
      <c r="K2365" s="29">
        <f>IF($B2365="","",IF(INDEX(Dossiers!$G$4:$G$63,45)="","",INDEX(Dossiers!$G$4:$G$63,45)))</f>
        <v/>
      </c>
    </row>
    <row r="2366">
      <c r="A2366">
        <f>IF($B2366="","",INDEX(Dossiers!$E$4:$E$63,45))</f>
        <v/>
      </c>
      <c r="B2366">
        <f>IF(INDEX(Suivi!$B:$B,2411)="","",INDEX(Suivi!$B:$B,2411))</f>
        <v/>
      </c>
      <c r="C2366">
        <f>IF($B2366="","",IF(INDEX(Suivi!$D:$D,2411)="",INDEX(Suivi!$C:$C,2411),INDEX(Suivi!$D:$D,2411)))</f>
        <v/>
      </c>
      <c r="D2366" s="29">
        <f>IF($B2366="","",INDEX(Suivi!$E:$E,2411))</f>
        <v/>
      </c>
      <c r="E2366" s="29">
        <f>IF($B2366="","",INDEX(Suivi!$F:$F,2411))</f>
        <v/>
      </c>
      <c r="F2366">
        <f>IF($B2366="","",INDEX(Suivi!$G:$G,2411))</f>
        <v/>
      </c>
      <c r="H2366">
        <f>IF(OR($B2366="",NOT(ISNUMBER($D2366))),"",IF($E2366&lt;$D$2,"Passé",IF($D2366&gt;$F$2,"À venir","Dans la période")))</f>
        <v/>
      </c>
      <c r="I2366">
        <f>IF(OR($B2366="",NOT(ISNUMBER($D2366))),"",IF(AND($E2366&lt;$D$2,$G2366&lt;&gt;"X",$F2366&lt;&gt;"Réalisé",$F2366&lt;&gt;"Clôturé"),"RETARD",""))</f>
        <v/>
      </c>
      <c r="J2366" s="29">
        <f>IF($B2366="","",IF(INDEX(Dossiers!$F$4:$F$63,45)="","",INDEX(Dossiers!$F$4:$F$63,45)))</f>
        <v/>
      </c>
      <c r="K2366" s="29">
        <f>IF($B2366="","",IF(INDEX(Dossiers!$G$4:$G$63,45)="","",INDEX(Dossiers!$G$4:$G$63,45)))</f>
        <v/>
      </c>
    </row>
    <row r="2367">
      <c r="A2367">
        <f>IF($B2367="","",INDEX(Dossiers!$E$4:$E$63,45))</f>
        <v/>
      </c>
      <c r="B2367">
        <f>IF(INDEX(Suivi!$B:$B,2412)="","",INDEX(Suivi!$B:$B,2412))</f>
        <v/>
      </c>
      <c r="C2367">
        <f>IF($B2367="","",IF(INDEX(Suivi!$D:$D,2412)="",INDEX(Suivi!$C:$C,2412),INDEX(Suivi!$D:$D,2412)))</f>
        <v/>
      </c>
      <c r="D2367" s="29">
        <f>IF($B2367="","",INDEX(Suivi!$E:$E,2412))</f>
        <v/>
      </c>
      <c r="E2367" s="29">
        <f>IF($B2367="","",INDEX(Suivi!$F:$F,2412))</f>
        <v/>
      </c>
      <c r="F2367">
        <f>IF($B2367="","",INDEX(Suivi!$G:$G,2412))</f>
        <v/>
      </c>
      <c r="H2367">
        <f>IF(OR($B2367="",NOT(ISNUMBER($D2367))),"",IF($E2367&lt;$D$2,"Passé",IF($D2367&gt;$F$2,"À venir","Dans la période")))</f>
        <v/>
      </c>
      <c r="I2367">
        <f>IF(OR($B2367="",NOT(ISNUMBER($D2367))),"",IF(AND($E2367&lt;$D$2,$G2367&lt;&gt;"X",$F2367&lt;&gt;"Réalisé",$F2367&lt;&gt;"Clôturé"),"RETARD",""))</f>
        <v/>
      </c>
      <c r="J2367" s="29">
        <f>IF($B2367="","",IF(INDEX(Dossiers!$F$4:$F$63,45)="","",INDEX(Dossiers!$F$4:$F$63,45)))</f>
        <v/>
      </c>
      <c r="K2367" s="29">
        <f>IF($B2367="","",IF(INDEX(Dossiers!$G$4:$G$63,45)="","",INDEX(Dossiers!$G$4:$G$63,45)))</f>
        <v/>
      </c>
    </row>
    <row r="2368">
      <c r="A2368">
        <f>IF($B2368="","",INDEX(Dossiers!$E$4:$E$63,45))</f>
        <v/>
      </c>
      <c r="B2368">
        <f>IF(INDEX(Suivi!$B:$B,2413)="","",INDEX(Suivi!$B:$B,2413))</f>
        <v/>
      </c>
      <c r="C2368">
        <f>IF($B2368="","",IF(INDEX(Suivi!$D:$D,2413)="",INDEX(Suivi!$C:$C,2413),INDEX(Suivi!$D:$D,2413)))</f>
        <v/>
      </c>
      <c r="D2368" s="29">
        <f>IF($B2368="","",INDEX(Suivi!$E:$E,2413))</f>
        <v/>
      </c>
      <c r="E2368" s="29">
        <f>IF($B2368="","",INDEX(Suivi!$F:$F,2413))</f>
        <v/>
      </c>
      <c r="F2368">
        <f>IF($B2368="","",INDEX(Suivi!$G:$G,2413))</f>
        <v/>
      </c>
      <c r="H2368">
        <f>IF(OR($B2368="",NOT(ISNUMBER($D2368))),"",IF($E2368&lt;$D$2,"Passé",IF($D2368&gt;$F$2,"À venir","Dans la période")))</f>
        <v/>
      </c>
      <c r="I2368">
        <f>IF(OR($B2368="",NOT(ISNUMBER($D2368))),"",IF(AND($E2368&lt;$D$2,$G2368&lt;&gt;"X",$F2368&lt;&gt;"Réalisé",$F2368&lt;&gt;"Clôturé"),"RETARD",""))</f>
        <v/>
      </c>
      <c r="J2368" s="29">
        <f>IF($B2368="","",IF(INDEX(Dossiers!$F$4:$F$63,45)="","",INDEX(Dossiers!$F$4:$F$63,45)))</f>
        <v/>
      </c>
      <c r="K2368" s="29">
        <f>IF($B2368="","",IF(INDEX(Dossiers!$G$4:$G$63,45)="","",INDEX(Dossiers!$G$4:$G$63,45)))</f>
        <v/>
      </c>
    </row>
    <row r="2369">
      <c r="A2369">
        <f>IF($B2369="","",INDEX(Dossiers!$E$4:$E$63,45))</f>
        <v/>
      </c>
      <c r="B2369">
        <f>IF(INDEX(Suivi!$B:$B,2414)="","",INDEX(Suivi!$B:$B,2414))</f>
        <v/>
      </c>
      <c r="C2369">
        <f>IF($B2369="","",IF(INDEX(Suivi!$D:$D,2414)="",INDEX(Suivi!$C:$C,2414),INDEX(Suivi!$D:$D,2414)))</f>
        <v/>
      </c>
      <c r="D2369" s="29">
        <f>IF($B2369="","",INDEX(Suivi!$E:$E,2414))</f>
        <v/>
      </c>
      <c r="E2369" s="29">
        <f>IF($B2369="","",INDEX(Suivi!$F:$F,2414))</f>
        <v/>
      </c>
      <c r="F2369">
        <f>IF($B2369="","",INDEX(Suivi!$G:$G,2414))</f>
        <v/>
      </c>
      <c r="H2369">
        <f>IF(OR($B2369="",NOT(ISNUMBER($D2369))),"",IF($E2369&lt;$D$2,"Passé",IF($D2369&gt;$F$2,"À venir","Dans la période")))</f>
        <v/>
      </c>
      <c r="I2369">
        <f>IF(OR($B2369="",NOT(ISNUMBER($D2369))),"",IF(AND($E2369&lt;$D$2,$G2369&lt;&gt;"X",$F2369&lt;&gt;"Réalisé",$F2369&lt;&gt;"Clôturé"),"RETARD",""))</f>
        <v/>
      </c>
      <c r="J2369" s="29">
        <f>IF($B2369="","",IF(INDEX(Dossiers!$F$4:$F$63,45)="","",INDEX(Dossiers!$F$4:$F$63,45)))</f>
        <v/>
      </c>
      <c r="K2369" s="29">
        <f>IF($B2369="","",IF(INDEX(Dossiers!$G$4:$G$63,45)="","",INDEX(Dossiers!$G$4:$G$63,45)))</f>
        <v/>
      </c>
    </row>
    <row r="2370">
      <c r="A2370">
        <f>IF($B2370="","",INDEX(Dossiers!$E$4:$E$63,45))</f>
        <v/>
      </c>
      <c r="B2370">
        <f>IF(INDEX(Suivi!$B:$B,2415)="","",INDEX(Suivi!$B:$B,2415))</f>
        <v/>
      </c>
      <c r="C2370">
        <f>IF($B2370="","",IF(INDEX(Suivi!$D:$D,2415)="",INDEX(Suivi!$C:$C,2415),INDEX(Suivi!$D:$D,2415)))</f>
        <v/>
      </c>
      <c r="D2370" s="29">
        <f>IF($B2370="","",INDEX(Suivi!$E:$E,2415))</f>
        <v/>
      </c>
      <c r="E2370" s="29">
        <f>IF($B2370="","",INDEX(Suivi!$F:$F,2415))</f>
        <v/>
      </c>
      <c r="F2370">
        <f>IF($B2370="","",INDEX(Suivi!$G:$G,2415))</f>
        <v/>
      </c>
      <c r="H2370">
        <f>IF(OR($B2370="",NOT(ISNUMBER($D2370))),"",IF($E2370&lt;$D$2,"Passé",IF($D2370&gt;$F$2,"À venir","Dans la période")))</f>
        <v/>
      </c>
      <c r="I2370">
        <f>IF(OR($B2370="",NOT(ISNUMBER($D2370))),"",IF(AND($E2370&lt;$D$2,$G2370&lt;&gt;"X",$F2370&lt;&gt;"Réalisé",$F2370&lt;&gt;"Clôturé"),"RETARD",""))</f>
        <v/>
      </c>
      <c r="J2370" s="29">
        <f>IF($B2370="","",IF(INDEX(Dossiers!$F$4:$F$63,45)="","",INDEX(Dossiers!$F$4:$F$63,45)))</f>
        <v/>
      </c>
      <c r="K2370" s="29">
        <f>IF($B2370="","",IF(INDEX(Dossiers!$G$4:$G$63,45)="","",INDEX(Dossiers!$G$4:$G$63,45)))</f>
        <v/>
      </c>
    </row>
    <row r="2371">
      <c r="A2371">
        <f>IF($B2371="","",INDEX(Dossiers!$E$4:$E$63,45))</f>
        <v/>
      </c>
      <c r="B2371">
        <f>IF(INDEX(Suivi!$B:$B,2416)="","",INDEX(Suivi!$B:$B,2416))</f>
        <v/>
      </c>
      <c r="C2371">
        <f>IF($B2371="","",IF(INDEX(Suivi!$D:$D,2416)="",INDEX(Suivi!$C:$C,2416),INDEX(Suivi!$D:$D,2416)))</f>
        <v/>
      </c>
      <c r="D2371" s="29">
        <f>IF($B2371="","",INDEX(Suivi!$E:$E,2416))</f>
        <v/>
      </c>
      <c r="E2371" s="29">
        <f>IF($B2371="","",INDEX(Suivi!$F:$F,2416))</f>
        <v/>
      </c>
      <c r="F2371">
        <f>IF($B2371="","",INDEX(Suivi!$G:$G,2416))</f>
        <v/>
      </c>
      <c r="H2371">
        <f>IF(OR($B2371="",NOT(ISNUMBER($D2371))),"",IF($E2371&lt;$D$2,"Passé",IF($D2371&gt;$F$2,"À venir","Dans la période")))</f>
        <v/>
      </c>
      <c r="I2371">
        <f>IF(OR($B2371="",NOT(ISNUMBER($D2371))),"",IF(AND($E2371&lt;$D$2,$G2371&lt;&gt;"X",$F2371&lt;&gt;"Réalisé",$F2371&lt;&gt;"Clôturé"),"RETARD",""))</f>
        <v/>
      </c>
      <c r="J2371" s="29">
        <f>IF($B2371="","",IF(INDEX(Dossiers!$F$4:$F$63,45)="","",INDEX(Dossiers!$F$4:$F$63,45)))</f>
        <v/>
      </c>
      <c r="K2371" s="29">
        <f>IF($B2371="","",IF(INDEX(Dossiers!$G$4:$G$63,45)="","",INDEX(Dossiers!$G$4:$G$63,45)))</f>
        <v/>
      </c>
    </row>
    <row r="2372">
      <c r="A2372">
        <f>IF($B2372="","",INDEX(Dossiers!$E$4:$E$63,45))</f>
        <v/>
      </c>
      <c r="B2372">
        <f>IF(INDEX(Suivi!$B:$B,2417)="","",INDEX(Suivi!$B:$B,2417))</f>
        <v/>
      </c>
      <c r="C2372">
        <f>IF($B2372="","",IF(INDEX(Suivi!$D:$D,2417)="",INDEX(Suivi!$C:$C,2417),INDEX(Suivi!$D:$D,2417)))</f>
        <v/>
      </c>
      <c r="D2372" s="29">
        <f>IF($B2372="","",INDEX(Suivi!$E:$E,2417))</f>
        <v/>
      </c>
      <c r="E2372" s="29">
        <f>IF($B2372="","",INDEX(Suivi!$F:$F,2417))</f>
        <v/>
      </c>
      <c r="F2372">
        <f>IF($B2372="","",INDEX(Suivi!$G:$G,2417))</f>
        <v/>
      </c>
      <c r="H2372">
        <f>IF(OR($B2372="",NOT(ISNUMBER($D2372))),"",IF($E2372&lt;$D$2,"Passé",IF($D2372&gt;$F$2,"À venir","Dans la période")))</f>
        <v/>
      </c>
      <c r="I2372">
        <f>IF(OR($B2372="",NOT(ISNUMBER($D2372))),"",IF(AND($E2372&lt;$D$2,$G2372&lt;&gt;"X",$F2372&lt;&gt;"Réalisé",$F2372&lt;&gt;"Clôturé"),"RETARD",""))</f>
        <v/>
      </c>
      <c r="J2372" s="29">
        <f>IF($B2372="","",IF(INDEX(Dossiers!$F$4:$F$63,45)="","",INDEX(Dossiers!$F$4:$F$63,45)))</f>
        <v/>
      </c>
      <c r="K2372" s="29">
        <f>IF($B2372="","",IF(INDEX(Dossiers!$G$4:$G$63,45)="","",INDEX(Dossiers!$G$4:$G$63,45)))</f>
        <v/>
      </c>
    </row>
    <row r="2373">
      <c r="A2373">
        <f>IF($B2373="","",INDEX(Dossiers!$E$4:$E$63,45))</f>
        <v/>
      </c>
      <c r="B2373">
        <f>IF(INDEX(Suivi!$B:$B,2418)="","",INDEX(Suivi!$B:$B,2418))</f>
        <v/>
      </c>
      <c r="C2373">
        <f>IF($B2373="","",IF(INDEX(Suivi!$D:$D,2418)="",INDEX(Suivi!$C:$C,2418),INDEX(Suivi!$D:$D,2418)))</f>
        <v/>
      </c>
      <c r="D2373" s="29">
        <f>IF($B2373="","",INDEX(Suivi!$E:$E,2418))</f>
        <v/>
      </c>
      <c r="E2373" s="29">
        <f>IF($B2373="","",INDEX(Suivi!$F:$F,2418))</f>
        <v/>
      </c>
      <c r="F2373">
        <f>IF($B2373="","",INDEX(Suivi!$G:$G,2418))</f>
        <v/>
      </c>
      <c r="H2373">
        <f>IF(OR($B2373="",NOT(ISNUMBER($D2373))),"",IF($E2373&lt;$D$2,"Passé",IF($D2373&gt;$F$2,"À venir","Dans la période")))</f>
        <v/>
      </c>
      <c r="I2373">
        <f>IF(OR($B2373="",NOT(ISNUMBER($D2373))),"",IF(AND($E2373&lt;$D$2,$G2373&lt;&gt;"X",$F2373&lt;&gt;"Réalisé",$F2373&lt;&gt;"Clôturé"),"RETARD",""))</f>
        <v/>
      </c>
      <c r="J2373" s="29">
        <f>IF($B2373="","",IF(INDEX(Dossiers!$F$4:$F$63,45)="","",INDEX(Dossiers!$F$4:$F$63,45)))</f>
        <v/>
      </c>
      <c r="K2373" s="29">
        <f>IF($B2373="","",IF(INDEX(Dossiers!$G$4:$G$63,45)="","",INDEX(Dossiers!$G$4:$G$63,45)))</f>
        <v/>
      </c>
    </row>
    <row r="2374">
      <c r="A2374">
        <f>IF($B2374="","",INDEX(Dossiers!$E$4:$E$63,45))</f>
        <v/>
      </c>
      <c r="B2374">
        <f>IF(INDEX(Suivi!$B:$B,2419)="","",INDEX(Suivi!$B:$B,2419))</f>
        <v/>
      </c>
      <c r="C2374">
        <f>IF($B2374="","",IF(INDEX(Suivi!$D:$D,2419)="",INDEX(Suivi!$C:$C,2419),INDEX(Suivi!$D:$D,2419)))</f>
        <v/>
      </c>
      <c r="D2374" s="29">
        <f>IF($B2374="","",INDEX(Suivi!$E:$E,2419))</f>
        <v/>
      </c>
      <c r="E2374" s="29">
        <f>IF($B2374="","",INDEX(Suivi!$F:$F,2419))</f>
        <v/>
      </c>
      <c r="F2374">
        <f>IF($B2374="","",INDEX(Suivi!$G:$G,2419))</f>
        <v/>
      </c>
      <c r="H2374">
        <f>IF(OR($B2374="",NOT(ISNUMBER($D2374))),"",IF($E2374&lt;$D$2,"Passé",IF($D2374&gt;$F$2,"À venir","Dans la période")))</f>
        <v/>
      </c>
      <c r="I2374">
        <f>IF(OR($B2374="",NOT(ISNUMBER($D2374))),"",IF(AND($E2374&lt;$D$2,$G2374&lt;&gt;"X",$F2374&lt;&gt;"Réalisé",$F2374&lt;&gt;"Clôturé"),"RETARD",""))</f>
        <v/>
      </c>
      <c r="J2374" s="29">
        <f>IF($B2374="","",IF(INDEX(Dossiers!$F$4:$F$63,45)="","",INDEX(Dossiers!$F$4:$F$63,45)))</f>
        <v/>
      </c>
      <c r="K2374" s="29">
        <f>IF($B2374="","",IF(INDEX(Dossiers!$G$4:$G$63,45)="","",INDEX(Dossiers!$G$4:$G$63,45)))</f>
        <v/>
      </c>
    </row>
    <row r="2375">
      <c r="A2375">
        <f>IF($B2375="","",INDEX(Dossiers!$E$4:$E$63,45))</f>
        <v/>
      </c>
      <c r="B2375">
        <f>IF(INDEX(Suivi!$B:$B,2420)="","",INDEX(Suivi!$B:$B,2420))</f>
        <v/>
      </c>
      <c r="C2375">
        <f>IF($B2375="","",IF(INDEX(Suivi!$D:$D,2420)="",INDEX(Suivi!$C:$C,2420),INDEX(Suivi!$D:$D,2420)))</f>
        <v/>
      </c>
      <c r="D2375" s="29">
        <f>IF($B2375="","",INDEX(Suivi!$E:$E,2420))</f>
        <v/>
      </c>
      <c r="E2375" s="29">
        <f>IF($B2375="","",INDEX(Suivi!$F:$F,2420))</f>
        <v/>
      </c>
      <c r="F2375">
        <f>IF($B2375="","",INDEX(Suivi!$G:$G,2420))</f>
        <v/>
      </c>
      <c r="H2375">
        <f>IF(OR($B2375="",NOT(ISNUMBER($D2375))),"",IF($E2375&lt;$D$2,"Passé",IF($D2375&gt;$F$2,"À venir","Dans la période")))</f>
        <v/>
      </c>
      <c r="I2375">
        <f>IF(OR($B2375="",NOT(ISNUMBER($D2375))),"",IF(AND($E2375&lt;$D$2,$G2375&lt;&gt;"X",$F2375&lt;&gt;"Réalisé",$F2375&lt;&gt;"Clôturé"),"RETARD",""))</f>
        <v/>
      </c>
      <c r="J2375" s="29">
        <f>IF($B2375="","",IF(INDEX(Dossiers!$F$4:$F$63,45)="","",INDEX(Dossiers!$F$4:$F$63,45)))</f>
        <v/>
      </c>
      <c r="K2375" s="29">
        <f>IF($B2375="","",IF(INDEX(Dossiers!$G$4:$G$63,45)="","",INDEX(Dossiers!$G$4:$G$63,45)))</f>
        <v/>
      </c>
    </row>
    <row r="2376">
      <c r="A2376">
        <f>IF($B2376="","",INDEX(Dossiers!$E$4:$E$63,45))</f>
        <v/>
      </c>
      <c r="B2376">
        <f>IF(INDEX(Suivi!$B:$B,2421)="","",INDEX(Suivi!$B:$B,2421))</f>
        <v/>
      </c>
      <c r="C2376">
        <f>IF($B2376="","",IF(INDEX(Suivi!$D:$D,2421)="",INDEX(Suivi!$C:$C,2421),INDEX(Suivi!$D:$D,2421)))</f>
        <v/>
      </c>
      <c r="D2376" s="29">
        <f>IF($B2376="","",INDEX(Suivi!$E:$E,2421))</f>
        <v/>
      </c>
      <c r="E2376" s="29">
        <f>IF($B2376="","",INDEX(Suivi!$F:$F,2421))</f>
        <v/>
      </c>
      <c r="F2376">
        <f>IF($B2376="","",INDEX(Suivi!$G:$G,2421))</f>
        <v/>
      </c>
      <c r="H2376">
        <f>IF(OR($B2376="",NOT(ISNUMBER($D2376))),"",IF($E2376&lt;$D$2,"Passé",IF($D2376&gt;$F$2,"À venir","Dans la période")))</f>
        <v/>
      </c>
      <c r="I2376">
        <f>IF(OR($B2376="",NOT(ISNUMBER($D2376))),"",IF(AND($E2376&lt;$D$2,$G2376&lt;&gt;"X",$F2376&lt;&gt;"Réalisé",$F2376&lt;&gt;"Clôturé"),"RETARD",""))</f>
        <v/>
      </c>
      <c r="J2376" s="29">
        <f>IF($B2376="","",IF(INDEX(Dossiers!$F$4:$F$63,45)="","",INDEX(Dossiers!$F$4:$F$63,45)))</f>
        <v/>
      </c>
      <c r="K2376" s="29">
        <f>IF($B2376="","",IF(INDEX(Dossiers!$G$4:$G$63,45)="","",INDEX(Dossiers!$G$4:$G$63,45)))</f>
        <v/>
      </c>
    </row>
    <row r="2377">
      <c r="A2377">
        <f>IF($B2377="","",INDEX(Dossiers!$E$4:$E$63,45))</f>
        <v/>
      </c>
      <c r="B2377">
        <f>IF(INDEX(Suivi!$B:$B,2422)="","",INDEX(Suivi!$B:$B,2422))</f>
        <v/>
      </c>
      <c r="C2377">
        <f>IF($B2377="","",IF(INDEX(Suivi!$D:$D,2422)="",INDEX(Suivi!$C:$C,2422),INDEX(Suivi!$D:$D,2422)))</f>
        <v/>
      </c>
      <c r="D2377" s="29">
        <f>IF($B2377="","",INDEX(Suivi!$E:$E,2422))</f>
        <v/>
      </c>
      <c r="E2377" s="29">
        <f>IF($B2377="","",INDEX(Suivi!$F:$F,2422))</f>
        <v/>
      </c>
      <c r="F2377">
        <f>IF($B2377="","",INDEX(Suivi!$G:$G,2422))</f>
        <v/>
      </c>
      <c r="H2377">
        <f>IF(OR($B2377="",NOT(ISNUMBER($D2377))),"",IF($E2377&lt;$D$2,"Passé",IF($D2377&gt;$F$2,"À venir","Dans la période")))</f>
        <v/>
      </c>
      <c r="I2377">
        <f>IF(OR($B2377="",NOT(ISNUMBER($D2377))),"",IF(AND($E2377&lt;$D$2,$G2377&lt;&gt;"X",$F2377&lt;&gt;"Réalisé",$F2377&lt;&gt;"Clôturé"),"RETARD",""))</f>
        <v/>
      </c>
      <c r="J2377" s="29">
        <f>IF($B2377="","",IF(INDEX(Dossiers!$F$4:$F$63,45)="","",INDEX(Dossiers!$F$4:$F$63,45)))</f>
        <v/>
      </c>
      <c r="K2377" s="29">
        <f>IF($B2377="","",IF(INDEX(Dossiers!$G$4:$G$63,45)="","",INDEX(Dossiers!$G$4:$G$63,45)))</f>
        <v/>
      </c>
    </row>
    <row r="2378">
      <c r="A2378">
        <f>IF($B2378="","",INDEX(Dossiers!$E$4:$E$63,45))</f>
        <v/>
      </c>
      <c r="B2378">
        <f>IF(INDEX(Suivi!$B:$B,2423)="","",INDEX(Suivi!$B:$B,2423))</f>
        <v/>
      </c>
      <c r="C2378">
        <f>IF($B2378="","",IF(INDEX(Suivi!$D:$D,2423)="",INDEX(Suivi!$C:$C,2423),INDEX(Suivi!$D:$D,2423)))</f>
        <v/>
      </c>
      <c r="D2378" s="29">
        <f>IF($B2378="","",INDEX(Suivi!$E:$E,2423))</f>
        <v/>
      </c>
      <c r="E2378" s="29">
        <f>IF($B2378="","",INDEX(Suivi!$F:$F,2423))</f>
        <v/>
      </c>
      <c r="F2378">
        <f>IF($B2378="","",INDEX(Suivi!$G:$G,2423))</f>
        <v/>
      </c>
      <c r="H2378">
        <f>IF(OR($B2378="",NOT(ISNUMBER($D2378))),"",IF($E2378&lt;$D$2,"Passé",IF($D2378&gt;$F$2,"À venir","Dans la période")))</f>
        <v/>
      </c>
      <c r="I2378">
        <f>IF(OR($B2378="",NOT(ISNUMBER($D2378))),"",IF(AND($E2378&lt;$D$2,$G2378&lt;&gt;"X",$F2378&lt;&gt;"Réalisé",$F2378&lt;&gt;"Clôturé"),"RETARD",""))</f>
        <v/>
      </c>
      <c r="J2378" s="29">
        <f>IF($B2378="","",IF(INDEX(Dossiers!$F$4:$F$63,45)="","",INDEX(Dossiers!$F$4:$F$63,45)))</f>
        <v/>
      </c>
      <c r="K2378" s="29">
        <f>IF($B2378="","",IF(INDEX(Dossiers!$G$4:$G$63,45)="","",INDEX(Dossiers!$G$4:$G$63,45)))</f>
        <v/>
      </c>
    </row>
    <row r="2379">
      <c r="A2379">
        <f>IF($B2379="","",INDEX(Dossiers!$E$4:$E$63,45))</f>
        <v/>
      </c>
      <c r="B2379">
        <f>IF(INDEX(Suivi!$B:$B,2424)="","",INDEX(Suivi!$B:$B,2424))</f>
        <v/>
      </c>
      <c r="C2379">
        <f>IF($B2379="","",IF(INDEX(Suivi!$D:$D,2424)="",INDEX(Suivi!$C:$C,2424),INDEX(Suivi!$D:$D,2424)))</f>
        <v/>
      </c>
      <c r="D2379" s="29">
        <f>IF($B2379="","",INDEX(Suivi!$E:$E,2424))</f>
        <v/>
      </c>
      <c r="E2379" s="29">
        <f>IF($B2379="","",INDEX(Suivi!$F:$F,2424))</f>
        <v/>
      </c>
      <c r="F2379">
        <f>IF($B2379="","",INDEX(Suivi!$G:$G,2424))</f>
        <v/>
      </c>
      <c r="H2379">
        <f>IF(OR($B2379="",NOT(ISNUMBER($D2379))),"",IF($E2379&lt;$D$2,"Passé",IF($D2379&gt;$F$2,"À venir","Dans la période")))</f>
        <v/>
      </c>
      <c r="I2379">
        <f>IF(OR($B2379="",NOT(ISNUMBER($D2379))),"",IF(AND($E2379&lt;$D$2,$G2379&lt;&gt;"X",$F2379&lt;&gt;"Réalisé",$F2379&lt;&gt;"Clôturé"),"RETARD",""))</f>
        <v/>
      </c>
      <c r="J2379" s="29">
        <f>IF($B2379="","",IF(INDEX(Dossiers!$F$4:$F$63,45)="","",INDEX(Dossiers!$F$4:$F$63,45)))</f>
        <v/>
      </c>
      <c r="K2379" s="29">
        <f>IF($B2379="","",IF(INDEX(Dossiers!$G$4:$G$63,45)="","",INDEX(Dossiers!$G$4:$G$63,45)))</f>
        <v/>
      </c>
    </row>
    <row r="2380">
      <c r="A2380">
        <f>IF($B2380="","",INDEX(Dossiers!$E$4:$E$63,45))</f>
        <v/>
      </c>
      <c r="B2380">
        <f>IF(INDEX(Suivi!$B:$B,2425)="","",INDEX(Suivi!$B:$B,2425))</f>
        <v/>
      </c>
      <c r="C2380">
        <f>IF($B2380="","",IF(INDEX(Suivi!$D:$D,2425)="",INDEX(Suivi!$C:$C,2425),INDEX(Suivi!$D:$D,2425)))</f>
        <v/>
      </c>
      <c r="D2380" s="29">
        <f>IF($B2380="","",INDEX(Suivi!$E:$E,2425))</f>
        <v/>
      </c>
      <c r="E2380" s="29">
        <f>IF($B2380="","",INDEX(Suivi!$F:$F,2425))</f>
        <v/>
      </c>
      <c r="F2380">
        <f>IF($B2380="","",INDEX(Suivi!$G:$G,2425))</f>
        <v/>
      </c>
      <c r="H2380">
        <f>IF(OR($B2380="",NOT(ISNUMBER($D2380))),"",IF($E2380&lt;$D$2,"Passé",IF($D2380&gt;$F$2,"À venir","Dans la période")))</f>
        <v/>
      </c>
      <c r="I2380">
        <f>IF(OR($B2380="",NOT(ISNUMBER($D2380))),"",IF(AND($E2380&lt;$D$2,$G2380&lt;&gt;"X",$F2380&lt;&gt;"Réalisé",$F2380&lt;&gt;"Clôturé"),"RETARD",""))</f>
        <v/>
      </c>
      <c r="J2380" s="29">
        <f>IF($B2380="","",IF(INDEX(Dossiers!$F$4:$F$63,45)="","",INDEX(Dossiers!$F$4:$F$63,45)))</f>
        <v/>
      </c>
      <c r="K2380" s="29">
        <f>IF($B2380="","",IF(INDEX(Dossiers!$G$4:$G$63,45)="","",INDEX(Dossiers!$G$4:$G$63,45)))</f>
        <v/>
      </c>
    </row>
    <row r="2381">
      <c r="A2381">
        <f>IF($B2381="","",INDEX(Dossiers!$E$4:$E$63,45))</f>
        <v/>
      </c>
      <c r="B2381">
        <f>IF(INDEX(Suivi!$B:$B,2426)="","",INDEX(Suivi!$B:$B,2426))</f>
        <v/>
      </c>
      <c r="C2381">
        <f>IF($B2381="","",IF(INDEX(Suivi!$D:$D,2426)="",INDEX(Suivi!$C:$C,2426),INDEX(Suivi!$D:$D,2426)))</f>
        <v/>
      </c>
      <c r="D2381" s="29">
        <f>IF($B2381="","",INDEX(Suivi!$E:$E,2426))</f>
        <v/>
      </c>
      <c r="E2381" s="29">
        <f>IF($B2381="","",INDEX(Suivi!$F:$F,2426))</f>
        <v/>
      </c>
      <c r="F2381">
        <f>IF($B2381="","",INDEX(Suivi!$G:$G,2426))</f>
        <v/>
      </c>
      <c r="H2381">
        <f>IF(OR($B2381="",NOT(ISNUMBER($D2381))),"",IF($E2381&lt;$D$2,"Passé",IF($D2381&gt;$F$2,"À venir","Dans la période")))</f>
        <v/>
      </c>
      <c r="I2381">
        <f>IF(OR($B2381="",NOT(ISNUMBER($D2381))),"",IF(AND($E2381&lt;$D$2,$G2381&lt;&gt;"X",$F2381&lt;&gt;"Réalisé",$F2381&lt;&gt;"Clôturé"),"RETARD",""))</f>
        <v/>
      </c>
      <c r="J2381" s="29">
        <f>IF($B2381="","",IF(INDEX(Dossiers!$F$4:$F$63,45)="","",INDEX(Dossiers!$F$4:$F$63,45)))</f>
        <v/>
      </c>
      <c r="K2381" s="29">
        <f>IF($B2381="","",IF(INDEX(Dossiers!$G$4:$G$63,45)="","",INDEX(Dossiers!$G$4:$G$63,45)))</f>
        <v/>
      </c>
    </row>
    <row r="2382">
      <c r="A2382">
        <f>IF($B2382="","",INDEX(Dossiers!$E$4:$E$63,45))</f>
        <v/>
      </c>
      <c r="B2382">
        <f>IF(INDEX(Suivi!$B:$B,2427)="","",INDEX(Suivi!$B:$B,2427))</f>
        <v/>
      </c>
      <c r="C2382">
        <f>IF($B2382="","",IF(INDEX(Suivi!$D:$D,2427)="",INDEX(Suivi!$C:$C,2427),INDEX(Suivi!$D:$D,2427)))</f>
        <v/>
      </c>
      <c r="D2382" s="29">
        <f>IF($B2382="","",INDEX(Suivi!$E:$E,2427))</f>
        <v/>
      </c>
      <c r="E2382" s="29">
        <f>IF($B2382="","",INDEX(Suivi!$F:$F,2427))</f>
        <v/>
      </c>
      <c r="F2382">
        <f>IF($B2382="","",INDEX(Suivi!$G:$G,2427))</f>
        <v/>
      </c>
      <c r="H2382">
        <f>IF(OR($B2382="",NOT(ISNUMBER($D2382))),"",IF($E2382&lt;$D$2,"Passé",IF($D2382&gt;$F$2,"À venir","Dans la période")))</f>
        <v/>
      </c>
      <c r="I2382">
        <f>IF(OR($B2382="",NOT(ISNUMBER($D2382))),"",IF(AND($E2382&lt;$D$2,$G2382&lt;&gt;"X",$F2382&lt;&gt;"Réalisé",$F2382&lt;&gt;"Clôturé"),"RETARD",""))</f>
        <v/>
      </c>
      <c r="J2382" s="29">
        <f>IF($B2382="","",IF(INDEX(Dossiers!$F$4:$F$63,45)="","",INDEX(Dossiers!$F$4:$F$63,45)))</f>
        <v/>
      </c>
      <c r="K2382" s="29">
        <f>IF($B2382="","",IF(INDEX(Dossiers!$G$4:$G$63,45)="","",INDEX(Dossiers!$G$4:$G$63,45)))</f>
        <v/>
      </c>
    </row>
    <row r="2383">
      <c r="A2383">
        <f>IF($B2383="","",INDEX(Dossiers!$E$4:$E$63,45))</f>
        <v/>
      </c>
      <c r="B2383">
        <f>IF(INDEX(Suivi!$B:$B,2428)="","",INDEX(Suivi!$B:$B,2428))</f>
        <v/>
      </c>
      <c r="C2383">
        <f>IF($B2383="","",IF(INDEX(Suivi!$D:$D,2428)="",INDEX(Suivi!$C:$C,2428),INDEX(Suivi!$D:$D,2428)))</f>
        <v/>
      </c>
      <c r="D2383" s="29">
        <f>IF($B2383="","",INDEX(Suivi!$E:$E,2428))</f>
        <v/>
      </c>
      <c r="E2383" s="29">
        <f>IF($B2383="","",INDEX(Suivi!$F:$F,2428))</f>
        <v/>
      </c>
      <c r="F2383">
        <f>IF($B2383="","",INDEX(Suivi!$G:$G,2428))</f>
        <v/>
      </c>
      <c r="H2383">
        <f>IF(OR($B2383="",NOT(ISNUMBER($D2383))),"",IF($E2383&lt;$D$2,"Passé",IF($D2383&gt;$F$2,"À venir","Dans la période")))</f>
        <v/>
      </c>
      <c r="I2383">
        <f>IF(OR($B2383="",NOT(ISNUMBER($D2383))),"",IF(AND($E2383&lt;$D$2,$G2383&lt;&gt;"X",$F2383&lt;&gt;"Réalisé",$F2383&lt;&gt;"Clôturé"),"RETARD",""))</f>
        <v/>
      </c>
      <c r="J2383" s="29">
        <f>IF($B2383="","",IF(INDEX(Dossiers!$F$4:$F$63,45)="","",INDEX(Dossiers!$F$4:$F$63,45)))</f>
        <v/>
      </c>
      <c r="K2383" s="29">
        <f>IF($B2383="","",IF(INDEX(Dossiers!$G$4:$G$63,45)="","",INDEX(Dossiers!$G$4:$G$63,45)))</f>
        <v/>
      </c>
    </row>
    <row r="2384">
      <c r="A2384">
        <f>IF($B2384="","",INDEX(Dossiers!$E$4:$E$63,45))</f>
        <v/>
      </c>
      <c r="B2384">
        <f>IF(INDEX(Suivi!$B:$B,2429)="","",INDEX(Suivi!$B:$B,2429))</f>
        <v/>
      </c>
      <c r="C2384">
        <f>IF($B2384="","",IF(INDEX(Suivi!$D:$D,2429)="",INDEX(Suivi!$C:$C,2429),INDEX(Suivi!$D:$D,2429)))</f>
        <v/>
      </c>
      <c r="D2384" s="29">
        <f>IF($B2384="","",INDEX(Suivi!$E:$E,2429))</f>
        <v/>
      </c>
      <c r="E2384" s="29">
        <f>IF($B2384="","",INDEX(Suivi!$F:$F,2429))</f>
        <v/>
      </c>
      <c r="F2384">
        <f>IF($B2384="","",INDEX(Suivi!$G:$G,2429))</f>
        <v/>
      </c>
      <c r="H2384">
        <f>IF(OR($B2384="",NOT(ISNUMBER($D2384))),"",IF($E2384&lt;$D$2,"Passé",IF($D2384&gt;$F$2,"À venir","Dans la période")))</f>
        <v/>
      </c>
      <c r="I2384">
        <f>IF(OR($B2384="",NOT(ISNUMBER($D2384))),"",IF(AND($E2384&lt;$D$2,$G2384&lt;&gt;"X",$F2384&lt;&gt;"Réalisé",$F2384&lt;&gt;"Clôturé"),"RETARD",""))</f>
        <v/>
      </c>
      <c r="J2384" s="29">
        <f>IF($B2384="","",IF(INDEX(Dossiers!$F$4:$F$63,45)="","",INDEX(Dossiers!$F$4:$F$63,45)))</f>
        <v/>
      </c>
      <c r="K2384" s="29">
        <f>IF($B2384="","",IF(INDEX(Dossiers!$G$4:$G$63,45)="","",INDEX(Dossiers!$G$4:$G$63,45)))</f>
        <v/>
      </c>
    </row>
    <row r="2385">
      <c r="A2385">
        <f>IF($B2385="","",INDEX(Dossiers!$E$4:$E$63,45))</f>
        <v/>
      </c>
      <c r="B2385">
        <f>IF(INDEX(Suivi!$B:$B,2430)="","",INDEX(Suivi!$B:$B,2430))</f>
        <v/>
      </c>
      <c r="C2385">
        <f>IF($B2385="","",IF(INDEX(Suivi!$D:$D,2430)="",INDEX(Suivi!$C:$C,2430),INDEX(Suivi!$D:$D,2430)))</f>
        <v/>
      </c>
      <c r="D2385" s="29">
        <f>IF($B2385="","",INDEX(Suivi!$E:$E,2430))</f>
        <v/>
      </c>
      <c r="E2385" s="29">
        <f>IF($B2385="","",INDEX(Suivi!$F:$F,2430))</f>
        <v/>
      </c>
      <c r="F2385">
        <f>IF($B2385="","",INDEX(Suivi!$G:$G,2430))</f>
        <v/>
      </c>
      <c r="H2385">
        <f>IF(OR($B2385="",NOT(ISNUMBER($D2385))),"",IF($E2385&lt;$D$2,"Passé",IF($D2385&gt;$F$2,"À venir","Dans la période")))</f>
        <v/>
      </c>
      <c r="I2385">
        <f>IF(OR($B2385="",NOT(ISNUMBER($D2385))),"",IF(AND($E2385&lt;$D$2,$G2385&lt;&gt;"X",$F2385&lt;&gt;"Réalisé",$F2385&lt;&gt;"Clôturé"),"RETARD",""))</f>
        <v/>
      </c>
      <c r="J2385" s="29">
        <f>IF($B2385="","",IF(INDEX(Dossiers!$F$4:$F$63,45)="","",INDEX(Dossiers!$F$4:$F$63,45)))</f>
        <v/>
      </c>
      <c r="K2385" s="29">
        <f>IF($B2385="","",IF(INDEX(Dossiers!$G$4:$G$63,45)="","",INDEX(Dossiers!$G$4:$G$63,45)))</f>
        <v/>
      </c>
    </row>
    <row r="2386">
      <c r="A2386">
        <f>IF($B2386="","",INDEX(Dossiers!$E$4:$E$63,45))</f>
        <v/>
      </c>
      <c r="B2386">
        <f>IF(INDEX(Suivi!$B:$B,2431)="","",INDEX(Suivi!$B:$B,2431))</f>
        <v/>
      </c>
      <c r="C2386">
        <f>IF($B2386="","",IF(INDEX(Suivi!$D:$D,2431)="",INDEX(Suivi!$C:$C,2431),INDEX(Suivi!$D:$D,2431)))</f>
        <v/>
      </c>
      <c r="D2386" s="29">
        <f>IF($B2386="","",INDEX(Suivi!$E:$E,2431))</f>
        <v/>
      </c>
      <c r="E2386" s="29">
        <f>IF($B2386="","",INDEX(Suivi!$F:$F,2431))</f>
        <v/>
      </c>
      <c r="F2386">
        <f>IF($B2386="","",INDEX(Suivi!$G:$G,2431))</f>
        <v/>
      </c>
      <c r="H2386">
        <f>IF(OR($B2386="",NOT(ISNUMBER($D2386))),"",IF($E2386&lt;$D$2,"Passé",IF($D2386&gt;$F$2,"À venir","Dans la période")))</f>
        <v/>
      </c>
      <c r="I2386">
        <f>IF(OR($B2386="",NOT(ISNUMBER($D2386))),"",IF(AND($E2386&lt;$D$2,$G2386&lt;&gt;"X",$F2386&lt;&gt;"Réalisé",$F2386&lt;&gt;"Clôturé"),"RETARD",""))</f>
        <v/>
      </c>
      <c r="J2386" s="29">
        <f>IF($B2386="","",IF(INDEX(Dossiers!$F$4:$F$63,45)="","",INDEX(Dossiers!$F$4:$F$63,45)))</f>
        <v/>
      </c>
      <c r="K2386" s="29">
        <f>IF($B2386="","",IF(INDEX(Dossiers!$G$4:$G$63,45)="","",INDEX(Dossiers!$G$4:$G$63,45)))</f>
        <v/>
      </c>
    </row>
    <row r="2387">
      <c r="A2387">
        <f>IF($B2387="","",INDEX(Dossiers!$E$4:$E$63,45))</f>
        <v/>
      </c>
      <c r="B2387">
        <f>IF(INDEX(Suivi!$B:$B,2432)="","",INDEX(Suivi!$B:$B,2432))</f>
        <v/>
      </c>
      <c r="C2387">
        <f>IF($B2387="","",IF(INDEX(Suivi!$D:$D,2432)="",INDEX(Suivi!$C:$C,2432),INDEX(Suivi!$D:$D,2432)))</f>
        <v/>
      </c>
      <c r="D2387" s="29">
        <f>IF($B2387="","",INDEX(Suivi!$E:$E,2432))</f>
        <v/>
      </c>
      <c r="E2387" s="29">
        <f>IF($B2387="","",INDEX(Suivi!$F:$F,2432))</f>
        <v/>
      </c>
      <c r="F2387">
        <f>IF($B2387="","",INDEX(Suivi!$G:$G,2432))</f>
        <v/>
      </c>
      <c r="H2387">
        <f>IF(OR($B2387="",NOT(ISNUMBER($D2387))),"",IF($E2387&lt;$D$2,"Passé",IF($D2387&gt;$F$2,"À venir","Dans la période")))</f>
        <v/>
      </c>
      <c r="I2387">
        <f>IF(OR($B2387="",NOT(ISNUMBER($D2387))),"",IF(AND($E2387&lt;$D$2,$G2387&lt;&gt;"X",$F2387&lt;&gt;"Réalisé",$F2387&lt;&gt;"Clôturé"),"RETARD",""))</f>
        <v/>
      </c>
      <c r="J2387" s="29">
        <f>IF($B2387="","",IF(INDEX(Dossiers!$F$4:$F$63,45)="","",INDEX(Dossiers!$F$4:$F$63,45)))</f>
        <v/>
      </c>
      <c r="K2387" s="29">
        <f>IF($B2387="","",IF(INDEX(Dossiers!$G$4:$G$63,45)="","",INDEX(Dossiers!$G$4:$G$63,45)))</f>
        <v/>
      </c>
    </row>
    <row r="2388">
      <c r="A2388">
        <f>IF($B2388="","",INDEX(Dossiers!$E$4:$E$63,45))</f>
        <v/>
      </c>
      <c r="B2388">
        <f>IF(INDEX(Suivi!$B:$B,2433)="","",INDEX(Suivi!$B:$B,2433))</f>
        <v/>
      </c>
      <c r="C2388">
        <f>IF($B2388="","",IF(INDEX(Suivi!$D:$D,2433)="",INDEX(Suivi!$C:$C,2433),INDEX(Suivi!$D:$D,2433)))</f>
        <v/>
      </c>
      <c r="D2388" s="29">
        <f>IF($B2388="","",INDEX(Suivi!$E:$E,2433))</f>
        <v/>
      </c>
      <c r="E2388" s="29">
        <f>IF($B2388="","",INDEX(Suivi!$F:$F,2433))</f>
        <v/>
      </c>
      <c r="F2388">
        <f>IF($B2388="","",INDEX(Suivi!$G:$G,2433))</f>
        <v/>
      </c>
      <c r="H2388">
        <f>IF(OR($B2388="",NOT(ISNUMBER($D2388))),"",IF($E2388&lt;$D$2,"Passé",IF($D2388&gt;$F$2,"À venir","Dans la période")))</f>
        <v/>
      </c>
      <c r="I2388">
        <f>IF(OR($B2388="",NOT(ISNUMBER($D2388))),"",IF(AND($E2388&lt;$D$2,$G2388&lt;&gt;"X",$F2388&lt;&gt;"Réalisé",$F2388&lt;&gt;"Clôturé"),"RETARD",""))</f>
        <v/>
      </c>
      <c r="J2388" s="29">
        <f>IF($B2388="","",IF(INDEX(Dossiers!$F$4:$F$63,45)="","",INDEX(Dossiers!$F$4:$F$63,45)))</f>
        <v/>
      </c>
      <c r="K2388" s="29">
        <f>IF($B2388="","",IF(INDEX(Dossiers!$G$4:$G$63,45)="","",INDEX(Dossiers!$G$4:$G$63,45)))</f>
        <v/>
      </c>
    </row>
    <row r="2389">
      <c r="A2389">
        <f>IF($B2389="","",INDEX(Dossiers!$E$4:$E$63,46))</f>
        <v/>
      </c>
      <c r="B2389">
        <f>IF(INDEX(Suivi!$B:$B,2435)="","",INDEX(Suivi!$B:$B,2435))</f>
        <v/>
      </c>
      <c r="C2389">
        <f>IF($B2389="","",IF(INDEX(Suivi!$D:$D,2435)="",INDEX(Suivi!$C:$C,2435),INDEX(Suivi!$D:$D,2435)))</f>
        <v/>
      </c>
      <c r="D2389" s="29">
        <f>IF($B2389="","",INDEX(Suivi!$E:$E,2435))</f>
        <v/>
      </c>
      <c r="E2389" s="29">
        <f>IF($B2389="","",INDEX(Suivi!$F:$F,2435))</f>
        <v/>
      </c>
      <c r="F2389">
        <f>IF($B2389="","",INDEX(Suivi!$G:$G,2435))</f>
        <v/>
      </c>
      <c r="H2389">
        <f>IF(OR($B2389="",NOT(ISNUMBER($D2389))),"",IF($E2389&lt;$D$2,"Passé",IF($D2389&gt;$F$2,"À venir","Dans la période")))</f>
        <v/>
      </c>
      <c r="I2389">
        <f>IF(OR($B2389="",NOT(ISNUMBER($D2389))),"",IF(AND($E2389&lt;$D$2,$G2389&lt;&gt;"X",$F2389&lt;&gt;"Réalisé",$F2389&lt;&gt;"Clôturé"),"RETARD",""))</f>
        <v/>
      </c>
      <c r="J2389" s="29">
        <f>IF($B2389="","",IF(INDEX(Dossiers!$F$4:$F$63,46)="","",INDEX(Dossiers!$F$4:$F$63,46)))</f>
        <v/>
      </c>
      <c r="K2389" s="29">
        <f>IF($B2389="","",IF(INDEX(Dossiers!$G$4:$G$63,46)="","",INDEX(Dossiers!$G$4:$G$63,46)))</f>
        <v/>
      </c>
    </row>
    <row r="2390">
      <c r="A2390">
        <f>IF($B2390="","",INDEX(Dossiers!$E$4:$E$63,46))</f>
        <v/>
      </c>
      <c r="B2390">
        <f>IF(INDEX(Suivi!$B:$B,2436)="","",INDEX(Suivi!$B:$B,2436))</f>
        <v/>
      </c>
      <c r="C2390">
        <f>IF($B2390="","",IF(INDEX(Suivi!$D:$D,2436)="",INDEX(Suivi!$C:$C,2436),INDEX(Suivi!$D:$D,2436)))</f>
        <v/>
      </c>
      <c r="D2390" s="29">
        <f>IF($B2390="","",INDEX(Suivi!$E:$E,2436))</f>
        <v/>
      </c>
      <c r="E2390" s="29">
        <f>IF($B2390="","",INDEX(Suivi!$F:$F,2436))</f>
        <v/>
      </c>
      <c r="F2390">
        <f>IF($B2390="","",INDEX(Suivi!$G:$G,2436))</f>
        <v/>
      </c>
      <c r="H2390">
        <f>IF(OR($B2390="",NOT(ISNUMBER($D2390))),"",IF($E2390&lt;$D$2,"Passé",IF($D2390&gt;$F$2,"À venir","Dans la période")))</f>
        <v/>
      </c>
      <c r="I2390">
        <f>IF(OR($B2390="",NOT(ISNUMBER($D2390))),"",IF(AND($E2390&lt;$D$2,$G2390&lt;&gt;"X",$F2390&lt;&gt;"Réalisé",$F2390&lt;&gt;"Clôturé"),"RETARD",""))</f>
        <v/>
      </c>
      <c r="J2390" s="29">
        <f>IF($B2390="","",IF(INDEX(Dossiers!$F$4:$F$63,46)="","",INDEX(Dossiers!$F$4:$F$63,46)))</f>
        <v/>
      </c>
      <c r="K2390" s="29">
        <f>IF($B2390="","",IF(INDEX(Dossiers!$G$4:$G$63,46)="","",INDEX(Dossiers!$G$4:$G$63,46)))</f>
        <v/>
      </c>
    </row>
    <row r="2391">
      <c r="A2391">
        <f>IF($B2391="","",INDEX(Dossiers!$E$4:$E$63,46))</f>
        <v/>
      </c>
      <c r="B2391">
        <f>IF(INDEX(Suivi!$B:$B,2437)="","",INDEX(Suivi!$B:$B,2437))</f>
        <v/>
      </c>
      <c r="C2391">
        <f>IF($B2391="","",IF(INDEX(Suivi!$D:$D,2437)="",INDEX(Suivi!$C:$C,2437),INDEX(Suivi!$D:$D,2437)))</f>
        <v/>
      </c>
      <c r="D2391" s="29">
        <f>IF($B2391="","",INDEX(Suivi!$E:$E,2437))</f>
        <v/>
      </c>
      <c r="E2391" s="29">
        <f>IF($B2391="","",INDEX(Suivi!$F:$F,2437))</f>
        <v/>
      </c>
      <c r="F2391">
        <f>IF($B2391="","",INDEX(Suivi!$G:$G,2437))</f>
        <v/>
      </c>
      <c r="H2391">
        <f>IF(OR($B2391="",NOT(ISNUMBER($D2391))),"",IF($E2391&lt;$D$2,"Passé",IF($D2391&gt;$F$2,"À venir","Dans la période")))</f>
        <v/>
      </c>
      <c r="I2391">
        <f>IF(OR($B2391="",NOT(ISNUMBER($D2391))),"",IF(AND($E2391&lt;$D$2,$G2391&lt;&gt;"X",$F2391&lt;&gt;"Réalisé",$F2391&lt;&gt;"Clôturé"),"RETARD",""))</f>
        <v/>
      </c>
      <c r="J2391" s="29">
        <f>IF($B2391="","",IF(INDEX(Dossiers!$F$4:$F$63,46)="","",INDEX(Dossiers!$F$4:$F$63,46)))</f>
        <v/>
      </c>
      <c r="K2391" s="29">
        <f>IF($B2391="","",IF(INDEX(Dossiers!$G$4:$G$63,46)="","",INDEX(Dossiers!$G$4:$G$63,46)))</f>
        <v/>
      </c>
    </row>
    <row r="2392">
      <c r="A2392">
        <f>IF($B2392="","",INDEX(Dossiers!$E$4:$E$63,46))</f>
        <v/>
      </c>
      <c r="B2392">
        <f>IF(INDEX(Suivi!$B:$B,2438)="","",INDEX(Suivi!$B:$B,2438))</f>
        <v/>
      </c>
      <c r="C2392">
        <f>IF($B2392="","",IF(INDEX(Suivi!$D:$D,2438)="",INDEX(Suivi!$C:$C,2438),INDEX(Suivi!$D:$D,2438)))</f>
        <v/>
      </c>
      <c r="D2392" s="29">
        <f>IF($B2392="","",INDEX(Suivi!$E:$E,2438))</f>
        <v/>
      </c>
      <c r="E2392" s="29">
        <f>IF($B2392="","",INDEX(Suivi!$F:$F,2438))</f>
        <v/>
      </c>
      <c r="F2392">
        <f>IF($B2392="","",INDEX(Suivi!$G:$G,2438))</f>
        <v/>
      </c>
      <c r="H2392">
        <f>IF(OR($B2392="",NOT(ISNUMBER($D2392))),"",IF($E2392&lt;$D$2,"Passé",IF($D2392&gt;$F$2,"À venir","Dans la période")))</f>
        <v/>
      </c>
      <c r="I2392">
        <f>IF(OR($B2392="",NOT(ISNUMBER($D2392))),"",IF(AND($E2392&lt;$D$2,$G2392&lt;&gt;"X",$F2392&lt;&gt;"Réalisé",$F2392&lt;&gt;"Clôturé"),"RETARD",""))</f>
        <v/>
      </c>
      <c r="J2392" s="29">
        <f>IF($B2392="","",IF(INDEX(Dossiers!$F$4:$F$63,46)="","",INDEX(Dossiers!$F$4:$F$63,46)))</f>
        <v/>
      </c>
      <c r="K2392" s="29">
        <f>IF($B2392="","",IF(INDEX(Dossiers!$G$4:$G$63,46)="","",INDEX(Dossiers!$G$4:$G$63,46)))</f>
        <v/>
      </c>
    </row>
    <row r="2393">
      <c r="A2393">
        <f>IF($B2393="","",INDEX(Dossiers!$E$4:$E$63,46))</f>
        <v/>
      </c>
      <c r="B2393">
        <f>IF(INDEX(Suivi!$B:$B,2439)="","",INDEX(Suivi!$B:$B,2439))</f>
        <v/>
      </c>
      <c r="C2393">
        <f>IF($B2393="","",IF(INDEX(Suivi!$D:$D,2439)="",INDEX(Suivi!$C:$C,2439),INDEX(Suivi!$D:$D,2439)))</f>
        <v/>
      </c>
      <c r="D2393" s="29">
        <f>IF($B2393="","",INDEX(Suivi!$E:$E,2439))</f>
        <v/>
      </c>
      <c r="E2393" s="29">
        <f>IF($B2393="","",INDEX(Suivi!$F:$F,2439))</f>
        <v/>
      </c>
      <c r="F2393">
        <f>IF($B2393="","",INDEX(Suivi!$G:$G,2439))</f>
        <v/>
      </c>
      <c r="H2393">
        <f>IF(OR($B2393="",NOT(ISNUMBER($D2393))),"",IF($E2393&lt;$D$2,"Passé",IF($D2393&gt;$F$2,"À venir","Dans la période")))</f>
        <v/>
      </c>
      <c r="I2393">
        <f>IF(OR($B2393="",NOT(ISNUMBER($D2393))),"",IF(AND($E2393&lt;$D$2,$G2393&lt;&gt;"X",$F2393&lt;&gt;"Réalisé",$F2393&lt;&gt;"Clôturé"),"RETARD",""))</f>
        <v/>
      </c>
      <c r="J2393" s="29">
        <f>IF($B2393="","",IF(INDEX(Dossiers!$F$4:$F$63,46)="","",INDEX(Dossiers!$F$4:$F$63,46)))</f>
        <v/>
      </c>
      <c r="K2393" s="29">
        <f>IF($B2393="","",IF(INDEX(Dossiers!$G$4:$G$63,46)="","",INDEX(Dossiers!$G$4:$G$63,46)))</f>
        <v/>
      </c>
    </row>
    <row r="2394">
      <c r="A2394">
        <f>IF($B2394="","",INDEX(Dossiers!$E$4:$E$63,46))</f>
        <v/>
      </c>
      <c r="B2394">
        <f>IF(INDEX(Suivi!$B:$B,2440)="","",INDEX(Suivi!$B:$B,2440))</f>
        <v/>
      </c>
      <c r="C2394">
        <f>IF($B2394="","",IF(INDEX(Suivi!$D:$D,2440)="",INDEX(Suivi!$C:$C,2440),INDEX(Suivi!$D:$D,2440)))</f>
        <v/>
      </c>
      <c r="D2394" s="29">
        <f>IF($B2394="","",INDEX(Suivi!$E:$E,2440))</f>
        <v/>
      </c>
      <c r="E2394" s="29">
        <f>IF($B2394="","",INDEX(Suivi!$F:$F,2440))</f>
        <v/>
      </c>
      <c r="F2394">
        <f>IF($B2394="","",INDEX(Suivi!$G:$G,2440))</f>
        <v/>
      </c>
      <c r="H2394">
        <f>IF(OR($B2394="",NOT(ISNUMBER($D2394))),"",IF($E2394&lt;$D$2,"Passé",IF($D2394&gt;$F$2,"À venir","Dans la période")))</f>
        <v/>
      </c>
      <c r="I2394">
        <f>IF(OR($B2394="",NOT(ISNUMBER($D2394))),"",IF(AND($E2394&lt;$D$2,$G2394&lt;&gt;"X",$F2394&lt;&gt;"Réalisé",$F2394&lt;&gt;"Clôturé"),"RETARD",""))</f>
        <v/>
      </c>
      <c r="J2394" s="29">
        <f>IF($B2394="","",IF(INDEX(Dossiers!$F$4:$F$63,46)="","",INDEX(Dossiers!$F$4:$F$63,46)))</f>
        <v/>
      </c>
      <c r="K2394" s="29">
        <f>IF($B2394="","",IF(INDEX(Dossiers!$G$4:$G$63,46)="","",INDEX(Dossiers!$G$4:$G$63,46)))</f>
        <v/>
      </c>
    </row>
    <row r="2395">
      <c r="A2395">
        <f>IF($B2395="","",INDEX(Dossiers!$E$4:$E$63,46))</f>
        <v/>
      </c>
      <c r="B2395">
        <f>IF(INDEX(Suivi!$B:$B,2441)="","",INDEX(Suivi!$B:$B,2441))</f>
        <v/>
      </c>
      <c r="C2395">
        <f>IF($B2395="","",IF(INDEX(Suivi!$D:$D,2441)="",INDEX(Suivi!$C:$C,2441),INDEX(Suivi!$D:$D,2441)))</f>
        <v/>
      </c>
      <c r="D2395" s="29">
        <f>IF($B2395="","",INDEX(Suivi!$E:$E,2441))</f>
        <v/>
      </c>
      <c r="E2395" s="29">
        <f>IF($B2395="","",INDEX(Suivi!$F:$F,2441))</f>
        <v/>
      </c>
      <c r="F2395">
        <f>IF($B2395="","",INDEX(Suivi!$G:$G,2441))</f>
        <v/>
      </c>
      <c r="H2395">
        <f>IF(OR($B2395="",NOT(ISNUMBER($D2395))),"",IF($E2395&lt;$D$2,"Passé",IF($D2395&gt;$F$2,"À venir","Dans la période")))</f>
        <v/>
      </c>
      <c r="I2395">
        <f>IF(OR($B2395="",NOT(ISNUMBER($D2395))),"",IF(AND($E2395&lt;$D$2,$G2395&lt;&gt;"X",$F2395&lt;&gt;"Réalisé",$F2395&lt;&gt;"Clôturé"),"RETARD",""))</f>
        <v/>
      </c>
      <c r="J2395" s="29">
        <f>IF($B2395="","",IF(INDEX(Dossiers!$F$4:$F$63,46)="","",INDEX(Dossiers!$F$4:$F$63,46)))</f>
        <v/>
      </c>
      <c r="K2395" s="29">
        <f>IF($B2395="","",IF(INDEX(Dossiers!$G$4:$G$63,46)="","",INDEX(Dossiers!$G$4:$G$63,46)))</f>
        <v/>
      </c>
    </row>
    <row r="2396">
      <c r="A2396">
        <f>IF($B2396="","",INDEX(Dossiers!$E$4:$E$63,46))</f>
        <v/>
      </c>
      <c r="B2396">
        <f>IF(INDEX(Suivi!$B:$B,2442)="","",INDEX(Suivi!$B:$B,2442))</f>
        <v/>
      </c>
      <c r="C2396">
        <f>IF($B2396="","",IF(INDEX(Suivi!$D:$D,2442)="",INDEX(Suivi!$C:$C,2442),INDEX(Suivi!$D:$D,2442)))</f>
        <v/>
      </c>
      <c r="D2396" s="29">
        <f>IF($B2396="","",INDEX(Suivi!$E:$E,2442))</f>
        <v/>
      </c>
      <c r="E2396" s="29">
        <f>IF($B2396="","",INDEX(Suivi!$F:$F,2442))</f>
        <v/>
      </c>
      <c r="F2396">
        <f>IF($B2396="","",INDEX(Suivi!$G:$G,2442))</f>
        <v/>
      </c>
      <c r="H2396">
        <f>IF(OR($B2396="",NOT(ISNUMBER($D2396))),"",IF($E2396&lt;$D$2,"Passé",IF($D2396&gt;$F$2,"À venir","Dans la période")))</f>
        <v/>
      </c>
      <c r="I2396">
        <f>IF(OR($B2396="",NOT(ISNUMBER($D2396))),"",IF(AND($E2396&lt;$D$2,$G2396&lt;&gt;"X",$F2396&lt;&gt;"Réalisé",$F2396&lt;&gt;"Clôturé"),"RETARD",""))</f>
        <v/>
      </c>
      <c r="J2396" s="29">
        <f>IF($B2396="","",IF(INDEX(Dossiers!$F$4:$F$63,46)="","",INDEX(Dossiers!$F$4:$F$63,46)))</f>
        <v/>
      </c>
      <c r="K2396" s="29">
        <f>IF($B2396="","",IF(INDEX(Dossiers!$G$4:$G$63,46)="","",INDEX(Dossiers!$G$4:$G$63,46)))</f>
        <v/>
      </c>
    </row>
    <row r="2397">
      <c r="A2397">
        <f>IF($B2397="","",INDEX(Dossiers!$E$4:$E$63,46))</f>
        <v/>
      </c>
      <c r="B2397">
        <f>IF(INDEX(Suivi!$B:$B,2443)="","",INDEX(Suivi!$B:$B,2443))</f>
        <v/>
      </c>
      <c r="C2397">
        <f>IF($B2397="","",IF(INDEX(Suivi!$D:$D,2443)="",INDEX(Suivi!$C:$C,2443),INDEX(Suivi!$D:$D,2443)))</f>
        <v/>
      </c>
      <c r="D2397" s="29">
        <f>IF($B2397="","",INDEX(Suivi!$E:$E,2443))</f>
        <v/>
      </c>
      <c r="E2397" s="29">
        <f>IF($B2397="","",INDEX(Suivi!$F:$F,2443))</f>
        <v/>
      </c>
      <c r="F2397">
        <f>IF($B2397="","",INDEX(Suivi!$G:$G,2443))</f>
        <v/>
      </c>
      <c r="H2397">
        <f>IF(OR($B2397="",NOT(ISNUMBER($D2397))),"",IF($E2397&lt;$D$2,"Passé",IF($D2397&gt;$F$2,"À venir","Dans la période")))</f>
        <v/>
      </c>
      <c r="I2397">
        <f>IF(OR($B2397="",NOT(ISNUMBER($D2397))),"",IF(AND($E2397&lt;$D$2,$G2397&lt;&gt;"X",$F2397&lt;&gt;"Réalisé",$F2397&lt;&gt;"Clôturé"),"RETARD",""))</f>
        <v/>
      </c>
      <c r="J2397" s="29">
        <f>IF($B2397="","",IF(INDEX(Dossiers!$F$4:$F$63,46)="","",INDEX(Dossiers!$F$4:$F$63,46)))</f>
        <v/>
      </c>
      <c r="K2397" s="29">
        <f>IF($B2397="","",IF(INDEX(Dossiers!$G$4:$G$63,46)="","",INDEX(Dossiers!$G$4:$G$63,46)))</f>
        <v/>
      </c>
    </row>
    <row r="2398">
      <c r="A2398">
        <f>IF($B2398="","",INDEX(Dossiers!$E$4:$E$63,46))</f>
        <v/>
      </c>
      <c r="B2398">
        <f>IF(INDEX(Suivi!$B:$B,2444)="","",INDEX(Suivi!$B:$B,2444))</f>
        <v/>
      </c>
      <c r="C2398">
        <f>IF($B2398="","",IF(INDEX(Suivi!$D:$D,2444)="",INDEX(Suivi!$C:$C,2444),INDEX(Suivi!$D:$D,2444)))</f>
        <v/>
      </c>
      <c r="D2398" s="29">
        <f>IF($B2398="","",INDEX(Suivi!$E:$E,2444))</f>
        <v/>
      </c>
      <c r="E2398" s="29">
        <f>IF($B2398="","",INDEX(Suivi!$F:$F,2444))</f>
        <v/>
      </c>
      <c r="F2398">
        <f>IF($B2398="","",INDEX(Suivi!$G:$G,2444))</f>
        <v/>
      </c>
      <c r="H2398">
        <f>IF(OR($B2398="",NOT(ISNUMBER($D2398))),"",IF($E2398&lt;$D$2,"Passé",IF($D2398&gt;$F$2,"À venir","Dans la période")))</f>
        <v/>
      </c>
      <c r="I2398">
        <f>IF(OR($B2398="",NOT(ISNUMBER($D2398))),"",IF(AND($E2398&lt;$D$2,$G2398&lt;&gt;"X",$F2398&lt;&gt;"Réalisé",$F2398&lt;&gt;"Clôturé"),"RETARD",""))</f>
        <v/>
      </c>
      <c r="J2398" s="29">
        <f>IF($B2398="","",IF(INDEX(Dossiers!$F$4:$F$63,46)="","",INDEX(Dossiers!$F$4:$F$63,46)))</f>
        <v/>
      </c>
      <c r="K2398" s="29">
        <f>IF($B2398="","",IF(INDEX(Dossiers!$G$4:$G$63,46)="","",INDEX(Dossiers!$G$4:$G$63,46)))</f>
        <v/>
      </c>
    </row>
    <row r="2399">
      <c r="A2399">
        <f>IF($B2399="","",INDEX(Dossiers!$E$4:$E$63,46))</f>
        <v/>
      </c>
      <c r="B2399">
        <f>IF(INDEX(Suivi!$B:$B,2445)="","",INDEX(Suivi!$B:$B,2445))</f>
        <v/>
      </c>
      <c r="C2399">
        <f>IF($B2399="","",IF(INDEX(Suivi!$D:$D,2445)="",INDEX(Suivi!$C:$C,2445),INDEX(Suivi!$D:$D,2445)))</f>
        <v/>
      </c>
      <c r="D2399" s="29">
        <f>IF($B2399="","",INDEX(Suivi!$E:$E,2445))</f>
        <v/>
      </c>
      <c r="E2399" s="29">
        <f>IF($B2399="","",INDEX(Suivi!$F:$F,2445))</f>
        <v/>
      </c>
      <c r="F2399">
        <f>IF($B2399="","",INDEX(Suivi!$G:$G,2445))</f>
        <v/>
      </c>
      <c r="H2399">
        <f>IF(OR($B2399="",NOT(ISNUMBER($D2399))),"",IF($E2399&lt;$D$2,"Passé",IF($D2399&gt;$F$2,"À venir","Dans la période")))</f>
        <v/>
      </c>
      <c r="I2399">
        <f>IF(OR($B2399="",NOT(ISNUMBER($D2399))),"",IF(AND($E2399&lt;$D$2,$G2399&lt;&gt;"X",$F2399&lt;&gt;"Réalisé",$F2399&lt;&gt;"Clôturé"),"RETARD",""))</f>
        <v/>
      </c>
      <c r="J2399" s="29">
        <f>IF($B2399="","",IF(INDEX(Dossiers!$F$4:$F$63,46)="","",INDEX(Dossiers!$F$4:$F$63,46)))</f>
        <v/>
      </c>
      <c r="K2399" s="29">
        <f>IF($B2399="","",IF(INDEX(Dossiers!$G$4:$G$63,46)="","",INDEX(Dossiers!$G$4:$G$63,46)))</f>
        <v/>
      </c>
    </row>
    <row r="2400">
      <c r="A2400">
        <f>IF($B2400="","",INDEX(Dossiers!$E$4:$E$63,46))</f>
        <v/>
      </c>
      <c r="B2400">
        <f>IF(INDEX(Suivi!$B:$B,2446)="","",INDEX(Suivi!$B:$B,2446))</f>
        <v/>
      </c>
      <c r="C2400">
        <f>IF($B2400="","",IF(INDEX(Suivi!$D:$D,2446)="",INDEX(Suivi!$C:$C,2446),INDEX(Suivi!$D:$D,2446)))</f>
        <v/>
      </c>
      <c r="D2400" s="29">
        <f>IF($B2400="","",INDEX(Suivi!$E:$E,2446))</f>
        <v/>
      </c>
      <c r="E2400" s="29">
        <f>IF($B2400="","",INDEX(Suivi!$F:$F,2446))</f>
        <v/>
      </c>
      <c r="F2400">
        <f>IF($B2400="","",INDEX(Suivi!$G:$G,2446))</f>
        <v/>
      </c>
      <c r="H2400">
        <f>IF(OR($B2400="",NOT(ISNUMBER($D2400))),"",IF($E2400&lt;$D$2,"Passé",IF($D2400&gt;$F$2,"À venir","Dans la période")))</f>
        <v/>
      </c>
      <c r="I2400">
        <f>IF(OR($B2400="",NOT(ISNUMBER($D2400))),"",IF(AND($E2400&lt;$D$2,$G2400&lt;&gt;"X",$F2400&lt;&gt;"Réalisé",$F2400&lt;&gt;"Clôturé"),"RETARD",""))</f>
        <v/>
      </c>
      <c r="J2400" s="29">
        <f>IF($B2400="","",IF(INDEX(Dossiers!$F$4:$F$63,46)="","",INDEX(Dossiers!$F$4:$F$63,46)))</f>
        <v/>
      </c>
      <c r="K2400" s="29">
        <f>IF($B2400="","",IF(INDEX(Dossiers!$G$4:$G$63,46)="","",INDEX(Dossiers!$G$4:$G$63,46)))</f>
        <v/>
      </c>
    </row>
    <row r="2401">
      <c r="A2401">
        <f>IF($B2401="","",INDEX(Dossiers!$E$4:$E$63,46))</f>
        <v/>
      </c>
      <c r="B2401">
        <f>IF(INDEX(Suivi!$B:$B,2447)="","",INDEX(Suivi!$B:$B,2447))</f>
        <v/>
      </c>
      <c r="C2401">
        <f>IF($B2401="","",IF(INDEX(Suivi!$D:$D,2447)="",INDEX(Suivi!$C:$C,2447),INDEX(Suivi!$D:$D,2447)))</f>
        <v/>
      </c>
      <c r="D2401" s="29">
        <f>IF($B2401="","",INDEX(Suivi!$E:$E,2447))</f>
        <v/>
      </c>
      <c r="E2401" s="29">
        <f>IF($B2401="","",INDEX(Suivi!$F:$F,2447))</f>
        <v/>
      </c>
      <c r="F2401">
        <f>IF($B2401="","",INDEX(Suivi!$G:$G,2447))</f>
        <v/>
      </c>
      <c r="H2401">
        <f>IF(OR($B2401="",NOT(ISNUMBER($D2401))),"",IF($E2401&lt;$D$2,"Passé",IF($D2401&gt;$F$2,"À venir","Dans la période")))</f>
        <v/>
      </c>
      <c r="I2401">
        <f>IF(OR($B2401="",NOT(ISNUMBER($D2401))),"",IF(AND($E2401&lt;$D$2,$G2401&lt;&gt;"X",$F2401&lt;&gt;"Réalisé",$F2401&lt;&gt;"Clôturé"),"RETARD",""))</f>
        <v/>
      </c>
      <c r="J2401" s="29">
        <f>IF($B2401="","",IF(INDEX(Dossiers!$F$4:$F$63,46)="","",INDEX(Dossiers!$F$4:$F$63,46)))</f>
        <v/>
      </c>
      <c r="K2401" s="29">
        <f>IF($B2401="","",IF(INDEX(Dossiers!$G$4:$G$63,46)="","",INDEX(Dossiers!$G$4:$G$63,46)))</f>
        <v/>
      </c>
    </row>
    <row r="2402">
      <c r="A2402">
        <f>IF($B2402="","",INDEX(Dossiers!$E$4:$E$63,46))</f>
        <v/>
      </c>
      <c r="B2402">
        <f>IF(INDEX(Suivi!$B:$B,2448)="","",INDEX(Suivi!$B:$B,2448))</f>
        <v/>
      </c>
      <c r="C2402">
        <f>IF($B2402="","",IF(INDEX(Suivi!$D:$D,2448)="",INDEX(Suivi!$C:$C,2448),INDEX(Suivi!$D:$D,2448)))</f>
        <v/>
      </c>
      <c r="D2402" s="29">
        <f>IF($B2402="","",INDEX(Suivi!$E:$E,2448))</f>
        <v/>
      </c>
      <c r="E2402" s="29">
        <f>IF($B2402="","",INDEX(Suivi!$F:$F,2448))</f>
        <v/>
      </c>
      <c r="F2402">
        <f>IF($B2402="","",INDEX(Suivi!$G:$G,2448))</f>
        <v/>
      </c>
      <c r="H2402">
        <f>IF(OR($B2402="",NOT(ISNUMBER($D2402))),"",IF($E2402&lt;$D$2,"Passé",IF($D2402&gt;$F$2,"À venir","Dans la période")))</f>
        <v/>
      </c>
      <c r="I2402">
        <f>IF(OR($B2402="",NOT(ISNUMBER($D2402))),"",IF(AND($E2402&lt;$D$2,$G2402&lt;&gt;"X",$F2402&lt;&gt;"Réalisé",$F2402&lt;&gt;"Clôturé"),"RETARD",""))</f>
        <v/>
      </c>
      <c r="J2402" s="29">
        <f>IF($B2402="","",IF(INDEX(Dossiers!$F$4:$F$63,46)="","",INDEX(Dossiers!$F$4:$F$63,46)))</f>
        <v/>
      </c>
      <c r="K2402" s="29">
        <f>IF($B2402="","",IF(INDEX(Dossiers!$G$4:$G$63,46)="","",INDEX(Dossiers!$G$4:$G$63,46)))</f>
        <v/>
      </c>
    </row>
    <row r="2403">
      <c r="A2403">
        <f>IF($B2403="","",INDEX(Dossiers!$E$4:$E$63,46))</f>
        <v/>
      </c>
      <c r="B2403">
        <f>IF(INDEX(Suivi!$B:$B,2449)="","",INDEX(Suivi!$B:$B,2449))</f>
        <v/>
      </c>
      <c r="C2403">
        <f>IF($B2403="","",IF(INDEX(Suivi!$D:$D,2449)="",INDEX(Suivi!$C:$C,2449),INDEX(Suivi!$D:$D,2449)))</f>
        <v/>
      </c>
      <c r="D2403" s="29">
        <f>IF($B2403="","",INDEX(Suivi!$E:$E,2449))</f>
        <v/>
      </c>
      <c r="E2403" s="29">
        <f>IF($B2403="","",INDEX(Suivi!$F:$F,2449))</f>
        <v/>
      </c>
      <c r="F2403">
        <f>IF($B2403="","",INDEX(Suivi!$G:$G,2449))</f>
        <v/>
      </c>
      <c r="H2403">
        <f>IF(OR($B2403="",NOT(ISNUMBER($D2403))),"",IF($E2403&lt;$D$2,"Passé",IF($D2403&gt;$F$2,"À venir","Dans la période")))</f>
        <v/>
      </c>
      <c r="I2403">
        <f>IF(OR($B2403="",NOT(ISNUMBER($D2403))),"",IF(AND($E2403&lt;$D$2,$G2403&lt;&gt;"X",$F2403&lt;&gt;"Réalisé",$F2403&lt;&gt;"Clôturé"),"RETARD",""))</f>
        <v/>
      </c>
      <c r="J2403" s="29">
        <f>IF($B2403="","",IF(INDEX(Dossiers!$F$4:$F$63,46)="","",INDEX(Dossiers!$F$4:$F$63,46)))</f>
        <v/>
      </c>
      <c r="K2403" s="29">
        <f>IF($B2403="","",IF(INDEX(Dossiers!$G$4:$G$63,46)="","",INDEX(Dossiers!$G$4:$G$63,46)))</f>
        <v/>
      </c>
    </row>
    <row r="2404">
      <c r="A2404">
        <f>IF($B2404="","",INDEX(Dossiers!$E$4:$E$63,46))</f>
        <v/>
      </c>
      <c r="B2404">
        <f>IF(INDEX(Suivi!$B:$B,2450)="","",INDEX(Suivi!$B:$B,2450))</f>
        <v/>
      </c>
      <c r="C2404">
        <f>IF($B2404="","",IF(INDEX(Suivi!$D:$D,2450)="",INDEX(Suivi!$C:$C,2450),INDEX(Suivi!$D:$D,2450)))</f>
        <v/>
      </c>
      <c r="D2404" s="29">
        <f>IF($B2404="","",INDEX(Suivi!$E:$E,2450))</f>
        <v/>
      </c>
      <c r="E2404" s="29">
        <f>IF($B2404="","",INDEX(Suivi!$F:$F,2450))</f>
        <v/>
      </c>
      <c r="F2404">
        <f>IF($B2404="","",INDEX(Suivi!$G:$G,2450))</f>
        <v/>
      </c>
      <c r="H2404">
        <f>IF(OR($B2404="",NOT(ISNUMBER($D2404))),"",IF($E2404&lt;$D$2,"Passé",IF($D2404&gt;$F$2,"À venir","Dans la période")))</f>
        <v/>
      </c>
      <c r="I2404">
        <f>IF(OR($B2404="",NOT(ISNUMBER($D2404))),"",IF(AND($E2404&lt;$D$2,$G2404&lt;&gt;"X",$F2404&lt;&gt;"Réalisé",$F2404&lt;&gt;"Clôturé"),"RETARD",""))</f>
        <v/>
      </c>
      <c r="J2404" s="29">
        <f>IF($B2404="","",IF(INDEX(Dossiers!$F$4:$F$63,46)="","",INDEX(Dossiers!$F$4:$F$63,46)))</f>
        <v/>
      </c>
      <c r="K2404" s="29">
        <f>IF($B2404="","",IF(INDEX(Dossiers!$G$4:$G$63,46)="","",INDEX(Dossiers!$G$4:$G$63,46)))</f>
        <v/>
      </c>
    </row>
    <row r="2405">
      <c r="A2405">
        <f>IF($B2405="","",INDEX(Dossiers!$E$4:$E$63,46))</f>
        <v/>
      </c>
      <c r="B2405">
        <f>IF(INDEX(Suivi!$B:$B,2451)="","",INDEX(Suivi!$B:$B,2451))</f>
        <v/>
      </c>
      <c r="C2405">
        <f>IF($B2405="","",IF(INDEX(Suivi!$D:$D,2451)="",INDEX(Suivi!$C:$C,2451),INDEX(Suivi!$D:$D,2451)))</f>
        <v/>
      </c>
      <c r="D2405" s="29">
        <f>IF($B2405="","",INDEX(Suivi!$E:$E,2451))</f>
        <v/>
      </c>
      <c r="E2405" s="29">
        <f>IF($B2405="","",INDEX(Suivi!$F:$F,2451))</f>
        <v/>
      </c>
      <c r="F2405">
        <f>IF($B2405="","",INDEX(Suivi!$G:$G,2451))</f>
        <v/>
      </c>
      <c r="H2405">
        <f>IF(OR($B2405="",NOT(ISNUMBER($D2405))),"",IF($E2405&lt;$D$2,"Passé",IF($D2405&gt;$F$2,"À venir","Dans la période")))</f>
        <v/>
      </c>
      <c r="I2405">
        <f>IF(OR($B2405="",NOT(ISNUMBER($D2405))),"",IF(AND($E2405&lt;$D$2,$G2405&lt;&gt;"X",$F2405&lt;&gt;"Réalisé",$F2405&lt;&gt;"Clôturé"),"RETARD",""))</f>
        <v/>
      </c>
      <c r="J2405" s="29">
        <f>IF($B2405="","",IF(INDEX(Dossiers!$F$4:$F$63,46)="","",INDEX(Dossiers!$F$4:$F$63,46)))</f>
        <v/>
      </c>
      <c r="K2405" s="29">
        <f>IF($B2405="","",IF(INDEX(Dossiers!$G$4:$G$63,46)="","",INDEX(Dossiers!$G$4:$G$63,46)))</f>
        <v/>
      </c>
    </row>
    <row r="2406">
      <c r="A2406">
        <f>IF($B2406="","",INDEX(Dossiers!$E$4:$E$63,46))</f>
        <v/>
      </c>
      <c r="B2406">
        <f>IF(INDEX(Suivi!$B:$B,2452)="","",INDEX(Suivi!$B:$B,2452))</f>
        <v/>
      </c>
      <c r="C2406">
        <f>IF($B2406="","",IF(INDEX(Suivi!$D:$D,2452)="",INDEX(Suivi!$C:$C,2452),INDEX(Suivi!$D:$D,2452)))</f>
        <v/>
      </c>
      <c r="D2406" s="29">
        <f>IF($B2406="","",INDEX(Suivi!$E:$E,2452))</f>
        <v/>
      </c>
      <c r="E2406" s="29">
        <f>IF($B2406="","",INDEX(Suivi!$F:$F,2452))</f>
        <v/>
      </c>
      <c r="F2406">
        <f>IF($B2406="","",INDEX(Suivi!$G:$G,2452))</f>
        <v/>
      </c>
      <c r="H2406">
        <f>IF(OR($B2406="",NOT(ISNUMBER($D2406))),"",IF($E2406&lt;$D$2,"Passé",IF($D2406&gt;$F$2,"À venir","Dans la période")))</f>
        <v/>
      </c>
      <c r="I2406">
        <f>IF(OR($B2406="",NOT(ISNUMBER($D2406))),"",IF(AND($E2406&lt;$D$2,$G2406&lt;&gt;"X",$F2406&lt;&gt;"Réalisé",$F2406&lt;&gt;"Clôturé"),"RETARD",""))</f>
        <v/>
      </c>
      <c r="J2406" s="29">
        <f>IF($B2406="","",IF(INDEX(Dossiers!$F$4:$F$63,46)="","",INDEX(Dossiers!$F$4:$F$63,46)))</f>
        <v/>
      </c>
      <c r="K2406" s="29">
        <f>IF($B2406="","",IF(INDEX(Dossiers!$G$4:$G$63,46)="","",INDEX(Dossiers!$G$4:$G$63,46)))</f>
        <v/>
      </c>
    </row>
    <row r="2407">
      <c r="A2407">
        <f>IF($B2407="","",INDEX(Dossiers!$E$4:$E$63,46))</f>
        <v/>
      </c>
      <c r="B2407">
        <f>IF(INDEX(Suivi!$B:$B,2453)="","",INDEX(Suivi!$B:$B,2453))</f>
        <v/>
      </c>
      <c r="C2407">
        <f>IF($B2407="","",IF(INDEX(Suivi!$D:$D,2453)="",INDEX(Suivi!$C:$C,2453),INDEX(Suivi!$D:$D,2453)))</f>
        <v/>
      </c>
      <c r="D2407" s="29">
        <f>IF($B2407="","",INDEX(Suivi!$E:$E,2453))</f>
        <v/>
      </c>
      <c r="E2407" s="29">
        <f>IF($B2407="","",INDEX(Suivi!$F:$F,2453))</f>
        <v/>
      </c>
      <c r="F2407">
        <f>IF($B2407="","",INDEX(Suivi!$G:$G,2453))</f>
        <v/>
      </c>
      <c r="H2407">
        <f>IF(OR($B2407="",NOT(ISNUMBER($D2407))),"",IF($E2407&lt;$D$2,"Passé",IF($D2407&gt;$F$2,"À venir","Dans la période")))</f>
        <v/>
      </c>
      <c r="I2407">
        <f>IF(OR($B2407="",NOT(ISNUMBER($D2407))),"",IF(AND($E2407&lt;$D$2,$G2407&lt;&gt;"X",$F2407&lt;&gt;"Réalisé",$F2407&lt;&gt;"Clôturé"),"RETARD",""))</f>
        <v/>
      </c>
      <c r="J2407" s="29">
        <f>IF($B2407="","",IF(INDEX(Dossiers!$F$4:$F$63,46)="","",INDEX(Dossiers!$F$4:$F$63,46)))</f>
        <v/>
      </c>
      <c r="K2407" s="29">
        <f>IF($B2407="","",IF(INDEX(Dossiers!$G$4:$G$63,46)="","",INDEX(Dossiers!$G$4:$G$63,46)))</f>
        <v/>
      </c>
    </row>
    <row r="2408">
      <c r="A2408">
        <f>IF($B2408="","",INDEX(Dossiers!$E$4:$E$63,46))</f>
        <v/>
      </c>
      <c r="B2408">
        <f>IF(INDEX(Suivi!$B:$B,2454)="","",INDEX(Suivi!$B:$B,2454))</f>
        <v/>
      </c>
      <c r="C2408">
        <f>IF($B2408="","",IF(INDEX(Suivi!$D:$D,2454)="",INDEX(Suivi!$C:$C,2454),INDEX(Suivi!$D:$D,2454)))</f>
        <v/>
      </c>
      <c r="D2408" s="29">
        <f>IF($B2408="","",INDEX(Suivi!$E:$E,2454))</f>
        <v/>
      </c>
      <c r="E2408" s="29">
        <f>IF($B2408="","",INDEX(Suivi!$F:$F,2454))</f>
        <v/>
      </c>
      <c r="F2408">
        <f>IF($B2408="","",INDEX(Suivi!$G:$G,2454))</f>
        <v/>
      </c>
      <c r="H2408">
        <f>IF(OR($B2408="",NOT(ISNUMBER($D2408))),"",IF($E2408&lt;$D$2,"Passé",IF($D2408&gt;$F$2,"À venir","Dans la période")))</f>
        <v/>
      </c>
      <c r="I2408">
        <f>IF(OR($B2408="",NOT(ISNUMBER($D2408))),"",IF(AND($E2408&lt;$D$2,$G2408&lt;&gt;"X",$F2408&lt;&gt;"Réalisé",$F2408&lt;&gt;"Clôturé"),"RETARD",""))</f>
        <v/>
      </c>
      <c r="J2408" s="29">
        <f>IF($B2408="","",IF(INDEX(Dossiers!$F$4:$F$63,46)="","",INDEX(Dossiers!$F$4:$F$63,46)))</f>
        <v/>
      </c>
      <c r="K2408" s="29">
        <f>IF($B2408="","",IF(INDEX(Dossiers!$G$4:$G$63,46)="","",INDEX(Dossiers!$G$4:$G$63,46)))</f>
        <v/>
      </c>
    </row>
    <row r="2409">
      <c r="A2409">
        <f>IF($B2409="","",INDEX(Dossiers!$E$4:$E$63,46))</f>
        <v/>
      </c>
      <c r="B2409">
        <f>IF(INDEX(Suivi!$B:$B,2455)="","",INDEX(Suivi!$B:$B,2455))</f>
        <v/>
      </c>
      <c r="C2409">
        <f>IF($B2409="","",IF(INDEX(Suivi!$D:$D,2455)="",INDEX(Suivi!$C:$C,2455),INDEX(Suivi!$D:$D,2455)))</f>
        <v/>
      </c>
      <c r="D2409" s="29">
        <f>IF($B2409="","",INDEX(Suivi!$E:$E,2455))</f>
        <v/>
      </c>
      <c r="E2409" s="29">
        <f>IF($B2409="","",INDEX(Suivi!$F:$F,2455))</f>
        <v/>
      </c>
      <c r="F2409">
        <f>IF($B2409="","",INDEX(Suivi!$G:$G,2455))</f>
        <v/>
      </c>
      <c r="H2409">
        <f>IF(OR($B2409="",NOT(ISNUMBER($D2409))),"",IF($E2409&lt;$D$2,"Passé",IF($D2409&gt;$F$2,"À venir","Dans la période")))</f>
        <v/>
      </c>
      <c r="I2409">
        <f>IF(OR($B2409="",NOT(ISNUMBER($D2409))),"",IF(AND($E2409&lt;$D$2,$G2409&lt;&gt;"X",$F2409&lt;&gt;"Réalisé",$F2409&lt;&gt;"Clôturé"),"RETARD",""))</f>
        <v/>
      </c>
      <c r="J2409" s="29">
        <f>IF($B2409="","",IF(INDEX(Dossiers!$F$4:$F$63,46)="","",INDEX(Dossiers!$F$4:$F$63,46)))</f>
        <v/>
      </c>
      <c r="K2409" s="29">
        <f>IF($B2409="","",IF(INDEX(Dossiers!$G$4:$G$63,46)="","",INDEX(Dossiers!$G$4:$G$63,46)))</f>
        <v/>
      </c>
    </row>
    <row r="2410">
      <c r="A2410">
        <f>IF($B2410="","",INDEX(Dossiers!$E$4:$E$63,46))</f>
        <v/>
      </c>
      <c r="B2410">
        <f>IF(INDEX(Suivi!$B:$B,2456)="","",INDEX(Suivi!$B:$B,2456))</f>
        <v/>
      </c>
      <c r="C2410">
        <f>IF($B2410="","",IF(INDEX(Suivi!$D:$D,2456)="",INDEX(Suivi!$C:$C,2456),INDEX(Suivi!$D:$D,2456)))</f>
        <v/>
      </c>
      <c r="D2410" s="29">
        <f>IF($B2410="","",INDEX(Suivi!$E:$E,2456))</f>
        <v/>
      </c>
      <c r="E2410" s="29">
        <f>IF($B2410="","",INDEX(Suivi!$F:$F,2456))</f>
        <v/>
      </c>
      <c r="F2410">
        <f>IF($B2410="","",INDEX(Suivi!$G:$G,2456))</f>
        <v/>
      </c>
      <c r="H2410">
        <f>IF(OR($B2410="",NOT(ISNUMBER($D2410))),"",IF($E2410&lt;$D$2,"Passé",IF($D2410&gt;$F$2,"À venir","Dans la période")))</f>
        <v/>
      </c>
      <c r="I2410">
        <f>IF(OR($B2410="",NOT(ISNUMBER($D2410))),"",IF(AND($E2410&lt;$D$2,$G2410&lt;&gt;"X",$F2410&lt;&gt;"Réalisé",$F2410&lt;&gt;"Clôturé"),"RETARD",""))</f>
        <v/>
      </c>
      <c r="J2410" s="29">
        <f>IF($B2410="","",IF(INDEX(Dossiers!$F$4:$F$63,46)="","",INDEX(Dossiers!$F$4:$F$63,46)))</f>
        <v/>
      </c>
      <c r="K2410" s="29">
        <f>IF($B2410="","",IF(INDEX(Dossiers!$G$4:$G$63,46)="","",INDEX(Dossiers!$G$4:$G$63,46)))</f>
        <v/>
      </c>
    </row>
    <row r="2411">
      <c r="A2411">
        <f>IF($B2411="","",INDEX(Dossiers!$E$4:$E$63,46))</f>
        <v/>
      </c>
      <c r="B2411">
        <f>IF(INDEX(Suivi!$B:$B,2457)="","",INDEX(Suivi!$B:$B,2457))</f>
        <v/>
      </c>
      <c r="C2411">
        <f>IF($B2411="","",IF(INDEX(Suivi!$D:$D,2457)="",INDEX(Suivi!$C:$C,2457),INDEX(Suivi!$D:$D,2457)))</f>
        <v/>
      </c>
      <c r="D2411" s="29">
        <f>IF($B2411="","",INDEX(Suivi!$E:$E,2457))</f>
        <v/>
      </c>
      <c r="E2411" s="29">
        <f>IF($B2411="","",INDEX(Suivi!$F:$F,2457))</f>
        <v/>
      </c>
      <c r="F2411">
        <f>IF($B2411="","",INDEX(Suivi!$G:$G,2457))</f>
        <v/>
      </c>
      <c r="H2411">
        <f>IF(OR($B2411="",NOT(ISNUMBER($D2411))),"",IF($E2411&lt;$D$2,"Passé",IF($D2411&gt;$F$2,"À venir","Dans la période")))</f>
        <v/>
      </c>
      <c r="I2411">
        <f>IF(OR($B2411="",NOT(ISNUMBER($D2411))),"",IF(AND($E2411&lt;$D$2,$G2411&lt;&gt;"X",$F2411&lt;&gt;"Réalisé",$F2411&lt;&gt;"Clôturé"),"RETARD",""))</f>
        <v/>
      </c>
      <c r="J2411" s="29">
        <f>IF($B2411="","",IF(INDEX(Dossiers!$F$4:$F$63,46)="","",INDEX(Dossiers!$F$4:$F$63,46)))</f>
        <v/>
      </c>
      <c r="K2411" s="29">
        <f>IF($B2411="","",IF(INDEX(Dossiers!$G$4:$G$63,46)="","",INDEX(Dossiers!$G$4:$G$63,46)))</f>
        <v/>
      </c>
    </row>
    <row r="2412">
      <c r="A2412">
        <f>IF($B2412="","",INDEX(Dossiers!$E$4:$E$63,46))</f>
        <v/>
      </c>
      <c r="B2412">
        <f>IF(INDEX(Suivi!$B:$B,2458)="","",INDEX(Suivi!$B:$B,2458))</f>
        <v/>
      </c>
      <c r="C2412">
        <f>IF($B2412="","",IF(INDEX(Suivi!$D:$D,2458)="",INDEX(Suivi!$C:$C,2458),INDEX(Suivi!$D:$D,2458)))</f>
        <v/>
      </c>
      <c r="D2412" s="29">
        <f>IF($B2412="","",INDEX(Suivi!$E:$E,2458))</f>
        <v/>
      </c>
      <c r="E2412" s="29">
        <f>IF($B2412="","",INDEX(Suivi!$F:$F,2458))</f>
        <v/>
      </c>
      <c r="F2412">
        <f>IF($B2412="","",INDEX(Suivi!$G:$G,2458))</f>
        <v/>
      </c>
      <c r="H2412">
        <f>IF(OR($B2412="",NOT(ISNUMBER($D2412))),"",IF($E2412&lt;$D$2,"Passé",IF($D2412&gt;$F$2,"À venir","Dans la période")))</f>
        <v/>
      </c>
      <c r="I2412">
        <f>IF(OR($B2412="",NOT(ISNUMBER($D2412))),"",IF(AND($E2412&lt;$D$2,$G2412&lt;&gt;"X",$F2412&lt;&gt;"Réalisé",$F2412&lt;&gt;"Clôturé"),"RETARD",""))</f>
        <v/>
      </c>
      <c r="J2412" s="29">
        <f>IF($B2412="","",IF(INDEX(Dossiers!$F$4:$F$63,46)="","",INDEX(Dossiers!$F$4:$F$63,46)))</f>
        <v/>
      </c>
      <c r="K2412" s="29">
        <f>IF($B2412="","",IF(INDEX(Dossiers!$G$4:$G$63,46)="","",INDEX(Dossiers!$G$4:$G$63,46)))</f>
        <v/>
      </c>
    </row>
    <row r="2413">
      <c r="A2413">
        <f>IF($B2413="","",INDEX(Dossiers!$E$4:$E$63,46))</f>
        <v/>
      </c>
      <c r="B2413">
        <f>IF(INDEX(Suivi!$B:$B,2459)="","",INDEX(Suivi!$B:$B,2459))</f>
        <v/>
      </c>
      <c r="C2413">
        <f>IF($B2413="","",IF(INDEX(Suivi!$D:$D,2459)="",INDEX(Suivi!$C:$C,2459),INDEX(Suivi!$D:$D,2459)))</f>
        <v/>
      </c>
      <c r="D2413" s="29">
        <f>IF($B2413="","",INDEX(Suivi!$E:$E,2459))</f>
        <v/>
      </c>
      <c r="E2413" s="29">
        <f>IF($B2413="","",INDEX(Suivi!$F:$F,2459))</f>
        <v/>
      </c>
      <c r="F2413">
        <f>IF($B2413="","",INDEX(Suivi!$G:$G,2459))</f>
        <v/>
      </c>
      <c r="H2413">
        <f>IF(OR($B2413="",NOT(ISNUMBER($D2413))),"",IF($E2413&lt;$D$2,"Passé",IF($D2413&gt;$F$2,"À venir","Dans la période")))</f>
        <v/>
      </c>
      <c r="I2413">
        <f>IF(OR($B2413="",NOT(ISNUMBER($D2413))),"",IF(AND($E2413&lt;$D$2,$G2413&lt;&gt;"X",$F2413&lt;&gt;"Réalisé",$F2413&lt;&gt;"Clôturé"),"RETARD",""))</f>
        <v/>
      </c>
      <c r="J2413" s="29">
        <f>IF($B2413="","",IF(INDEX(Dossiers!$F$4:$F$63,46)="","",INDEX(Dossiers!$F$4:$F$63,46)))</f>
        <v/>
      </c>
      <c r="K2413" s="29">
        <f>IF($B2413="","",IF(INDEX(Dossiers!$G$4:$G$63,46)="","",INDEX(Dossiers!$G$4:$G$63,46)))</f>
        <v/>
      </c>
    </row>
    <row r="2414">
      <c r="A2414">
        <f>IF($B2414="","",INDEX(Dossiers!$E$4:$E$63,46))</f>
        <v/>
      </c>
      <c r="B2414">
        <f>IF(INDEX(Suivi!$B:$B,2460)="","",INDEX(Suivi!$B:$B,2460))</f>
        <v/>
      </c>
      <c r="C2414">
        <f>IF($B2414="","",IF(INDEX(Suivi!$D:$D,2460)="",INDEX(Suivi!$C:$C,2460),INDEX(Suivi!$D:$D,2460)))</f>
        <v/>
      </c>
      <c r="D2414" s="29">
        <f>IF($B2414="","",INDEX(Suivi!$E:$E,2460))</f>
        <v/>
      </c>
      <c r="E2414" s="29">
        <f>IF($B2414="","",INDEX(Suivi!$F:$F,2460))</f>
        <v/>
      </c>
      <c r="F2414">
        <f>IF($B2414="","",INDEX(Suivi!$G:$G,2460))</f>
        <v/>
      </c>
      <c r="H2414">
        <f>IF(OR($B2414="",NOT(ISNUMBER($D2414))),"",IF($E2414&lt;$D$2,"Passé",IF($D2414&gt;$F$2,"À venir","Dans la période")))</f>
        <v/>
      </c>
      <c r="I2414">
        <f>IF(OR($B2414="",NOT(ISNUMBER($D2414))),"",IF(AND($E2414&lt;$D$2,$G2414&lt;&gt;"X",$F2414&lt;&gt;"Réalisé",$F2414&lt;&gt;"Clôturé"),"RETARD",""))</f>
        <v/>
      </c>
      <c r="J2414" s="29">
        <f>IF($B2414="","",IF(INDEX(Dossiers!$F$4:$F$63,46)="","",INDEX(Dossiers!$F$4:$F$63,46)))</f>
        <v/>
      </c>
      <c r="K2414" s="29">
        <f>IF($B2414="","",IF(INDEX(Dossiers!$G$4:$G$63,46)="","",INDEX(Dossiers!$G$4:$G$63,46)))</f>
        <v/>
      </c>
    </row>
    <row r="2415">
      <c r="A2415">
        <f>IF($B2415="","",INDEX(Dossiers!$E$4:$E$63,46))</f>
        <v/>
      </c>
      <c r="B2415">
        <f>IF(INDEX(Suivi!$B:$B,2461)="","",INDEX(Suivi!$B:$B,2461))</f>
        <v/>
      </c>
      <c r="C2415">
        <f>IF($B2415="","",IF(INDEX(Suivi!$D:$D,2461)="",INDEX(Suivi!$C:$C,2461),INDEX(Suivi!$D:$D,2461)))</f>
        <v/>
      </c>
      <c r="D2415" s="29">
        <f>IF($B2415="","",INDEX(Suivi!$E:$E,2461))</f>
        <v/>
      </c>
      <c r="E2415" s="29">
        <f>IF($B2415="","",INDEX(Suivi!$F:$F,2461))</f>
        <v/>
      </c>
      <c r="F2415">
        <f>IF($B2415="","",INDEX(Suivi!$G:$G,2461))</f>
        <v/>
      </c>
      <c r="H2415">
        <f>IF(OR($B2415="",NOT(ISNUMBER($D2415))),"",IF($E2415&lt;$D$2,"Passé",IF($D2415&gt;$F$2,"À venir","Dans la période")))</f>
        <v/>
      </c>
      <c r="I2415">
        <f>IF(OR($B2415="",NOT(ISNUMBER($D2415))),"",IF(AND($E2415&lt;$D$2,$G2415&lt;&gt;"X",$F2415&lt;&gt;"Réalisé",$F2415&lt;&gt;"Clôturé"),"RETARD",""))</f>
        <v/>
      </c>
      <c r="J2415" s="29">
        <f>IF($B2415="","",IF(INDEX(Dossiers!$F$4:$F$63,46)="","",INDEX(Dossiers!$F$4:$F$63,46)))</f>
        <v/>
      </c>
      <c r="K2415" s="29">
        <f>IF($B2415="","",IF(INDEX(Dossiers!$G$4:$G$63,46)="","",INDEX(Dossiers!$G$4:$G$63,46)))</f>
        <v/>
      </c>
    </row>
    <row r="2416">
      <c r="A2416">
        <f>IF($B2416="","",INDEX(Dossiers!$E$4:$E$63,46))</f>
        <v/>
      </c>
      <c r="B2416">
        <f>IF(INDEX(Suivi!$B:$B,2462)="","",INDEX(Suivi!$B:$B,2462))</f>
        <v/>
      </c>
      <c r="C2416">
        <f>IF($B2416="","",IF(INDEX(Suivi!$D:$D,2462)="",INDEX(Suivi!$C:$C,2462),INDEX(Suivi!$D:$D,2462)))</f>
        <v/>
      </c>
      <c r="D2416" s="29">
        <f>IF($B2416="","",INDEX(Suivi!$E:$E,2462))</f>
        <v/>
      </c>
      <c r="E2416" s="29">
        <f>IF($B2416="","",INDEX(Suivi!$F:$F,2462))</f>
        <v/>
      </c>
      <c r="F2416">
        <f>IF($B2416="","",INDEX(Suivi!$G:$G,2462))</f>
        <v/>
      </c>
      <c r="H2416">
        <f>IF(OR($B2416="",NOT(ISNUMBER($D2416))),"",IF($E2416&lt;$D$2,"Passé",IF($D2416&gt;$F$2,"À venir","Dans la période")))</f>
        <v/>
      </c>
      <c r="I2416">
        <f>IF(OR($B2416="",NOT(ISNUMBER($D2416))),"",IF(AND($E2416&lt;$D$2,$G2416&lt;&gt;"X",$F2416&lt;&gt;"Réalisé",$F2416&lt;&gt;"Clôturé"),"RETARD",""))</f>
        <v/>
      </c>
      <c r="J2416" s="29">
        <f>IF($B2416="","",IF(INDEX(Dossiers!$F$4:$F$63,46)="","",INDEX(Dossiers!$F$4:$F$63,46)))</f>
        <v/>
      </c>
      <c r="K2416" s="29">
        <f>IF($B2416="","",IF(INDEX(Dossiers!$G$4:$G$63,46)="","",INDEX(Dossiers!$G$4:$G$63,46)))</f>
        <v/>
      </c>
    </row>
    <row r="2417">
      <c r="A2417">
        <f>IF($B2417="","",INDEX(Dossiers!$E$4:$E$63,46))</f>
        <v/>
      </c>
      <c r="B2417">
        <f>IF(INDEX(Suivi!$B:$B,2463)="","",INDEX(Suivi!$B:$B,2463))</f>
        <v/>
      </c>
      <c r="C2417">
        <f>IF($B2417="","",IF(INDEX(Suivi!$D:$D,2463)="",INDEX(Suivi!$C:$C,2463),INDEX(Suivi!$D:$D,2463)))</f>
        <v/>
      </c>
      <c r="D2417" s="29">
        <f>IF($B2417="","",INDEX(Suivi!$E:$E,2463))</f>
        <v/>
      </c>
      <c r="E2417" s="29">
        <f>IF($B2417="","",INDEX(Suivi!$F:$F,2463))</f>
        <v/>
      </c>
      <c r="F2417">
        <f>IF($B2417="","",INDEX(Suivi!$G:$G,2463))</f>
        <v/>
      </c>
      <c r="H2417">
        <f>IF(OR($B2417="",NOT(ISNUMBER($D2417))),"",IF($E2417&lt;$D$2,"Passé",IF($D2417&gt;$F$2,"À venir","Dans la période")))</f>
        <v/>
      </c>
      <c r="I2417">
        <f>IF(OR($B2417="",NOT(ISNUMBER($D2417))),"",IF(AND($E2417&lt;$D$2,$G2417&lt;&gt;"X",$F2417&lt;&gt;"Réalisé",$F2417&lt;&gt;"Clôturé"),"RETARD",""))</f>
        <v/>
      </c>
      <c r="J2417" s="29">
        <f>IF($B2417="","",IF(INDEX(Dossiers!$F$4:$F$63,46)="","",INDEX(Dossiers!$F$4:$F$63,46)))</f>
        <v/>
      </c>
      <c r="K2417" s="29">
        <f>IF($B2417="","",IF(INDEX(Dossiers!$G$4:$G$63,46)="","",INDEX(Dossiers!$G$4:$G$63,46)))</f>
        <v/>
      </c>
    </row>
    <row r="2418">
      <c r="A2418">
        <f>IF($B2418="","",INDEX(Dossiers!$E$4:$E$63,46))</f>
        <v/>
      </c>
      <c r="B2418">
        <f>IF(INDEX(Suivi!$B:$B,2464)="","",INDEX(Suivi!$B:$B,2464))</f>
        <v/>
      </c>
      <c r="C2418">
        <f>IF($B2418="","",IF(INDEX(Suivi!$D:$D,2464)="",INDEX(Suivi!$C:$C,2464),INDEX(Suivi!$D:$D,2464)))</f>
        <v/>
      </c>
      <c r="D2418" s="29">
        <f>IF($B2418="","",INDEX(Suivi!$E:$E,2464))</f>
        <v/>
      </c>
      <c r="E2418" s="29">
        <f>IF($B2418="","",INDEX(Suivi!$F:$F,2464))</f>
        <v/>
      </c>
      <c r="F2418">
        <f>IF($B2418="","",INDEX(Suivi!$G:$G,2464))</f>
        <v/>
      </c>
      <c r="H2418">
        <f>IF(OR($B2418="",NOT(ISNUMBER($D2418))),"",IF($E2418&lt;$D$2,"Passé",IF($D2418&gt;$F$2,"À venir","Dans la période")))</f>
        <v/>
      </c>
      <c r="I2418">
        <f>IF(OR($B2418="",NOT(ISNUMBER($D2418))),"",IF(AND($E2418&lt;$D$2,$G2418&lt;&gt;"X",$F2418&lt;&gt;"Réalisé",$F2418&lt;&gt;"Clôturé"),"RETARD",""))</f>
        <v/>
      </c>
      <c r="J2418" s="29">
        <f>IF($B2418="","",IF(INDEX(Dossiers!$F$4:$F$63,46)="","",INDEX(Dossiers!$F$4:$F$63,46)))</f>
        <v/>
      </c>
      <c r="K2418" s="29">
        <f>IF($B2418="","",IF(INDEX(Dossiers!$G$4:$G$63,46)="","",INDEX(Dossiers!$G$4:$G$63,46)))</f>
        <v/>
      </c>
    </row>
    <row r="2419">
      <c r="A2419">
        <f>IF($B2419="","",INDEX(Dossiers!$E$4:$E$63,46))</f>
        <v/>
      </c>
      <c r="B2419">
        <f>IF(INDEX(Suivi!$B:$B,2465)="","",INDEX(Suivi!$B:$B,2465))</f>
        <v/>
      </c>
      <c r="C2419">
        <f>IF($B2419="","",IF(INDEX(Suivi!$D:$D,2465)="",INDEX(Suivi!$C:$C,2465),INDEX(Suivi!$D:$D,2465)))</f>
        <v/>
      </c>
      <c r="D2419" s="29">
        <f>IF($B2419="","",INDEX(Suivi!$E:$E,2465))</f>
        <v/>
      </c>
      <c r="E2419" s="29">
        <f>IF($B2419="","",INDEX(Suivi!$F:$F,2465))</f>
        <v/>
      </c>
      <c r="F2419">
        <f>IF($B2419="","",INDEX(Suivi!$G:$G,2465))</f>
        <v/>
      </c>
      <c r="H2419">
        <f>IF(OR($B2419="",NOT(ISNUMBER($D2419))),"",IF($E2419&lt;$D$2,"Passé",IF($D2419&gt;$F$2,"À venir","Dans la période")))</f>
        <v/>
      </c>
      <c r="I2419">
        <f>IF(OR($B2419="",NOT(ISNUMBER($D2419))),"",IF(AND($E2419&lt;$D$2,$G2419&lt;&gt;"X",$F2419&lt;&gt;"Réalisé",$F2419&lt;&gt;"Clôturé"),"RETARD",""))</f>
        <v/>
      </c>
      <c r="J2419" s="29">
        <f>IF($B2419="","",IF(INDEX(Dossiers!$F$4:$F$63,46)="","",INDEX(Dossiers!$F$4:$F$63,46)))</f>
        <v/>
      </c>
      <c r="K2419" s="29">
        <f>IF($B2419="","",IF(INDEX(Dossiers!$G$4:$G$63,46)="","",INDEX(Dossiers!$G$4:$G$63,46)))</f>
        <v/>
      </c>
    </row>
    <row r="2420">
      <c r="A2420">
        <f>IF($B2420="","",INDEX(Dossiers!$E$4:$E$63,46))</f>
        <v/>
      </c>
      <c r="B2420">
        <f>IF(INDEX(Suivi!$B:$B,2466)="","",INDEX(Suivi!$B:$B,2466))</f>
        <v/>
      </c>
      <c r="C2420">
        <f>IF($B2420="","",IF(INDEX(Suivi!$D:$D,2466)="",INDEX(Suivi!$C:$C,2466),INDEX(Suivi!$D:$D,2466)))</f>
        <v/>
      </c>
      <c r="D2420" s="29">
        <f>IF($B2420="","",INDEX(Suivi!$E:$E,2466))</f>
        <v/>
      </c>
      <c r="E2420" s="29">
        <f>IF($B2420="","",INDEX(Suivi!$F:$F,2466))</f>
        <v/>
      </c>
      <c r="F2420">
        <f>IF($B2420="","",INDEX(Suivi!$G:$G,2466))</f>
        <v/>
      </c>
      <c r="H2420">
        <f>IF(OR($B2420="",NOT(ISNUMBER($D2420))),"",IF($E2420&lt;$D$2,"Passé",IF($D2420&gt;$F$2,"À venir","Dans la période")))</f>
        <v/>
      </c>
      <c r="I2420">
        <f>IF(OR($B2420="",NOT(ISNUMBER($D2420))),"",IF(AND($E2420&lt;$D$2,$G2420&lt;&gt;"X",$F2420&lt;&gt;"Réalisé",$F2420&lt;&gt;"Clôturé"),"RETARD",""))</f>
        <v/>
      </c>
      <c r="J2420" s="29">
        <f>IF($B2420="","",IF(INDEX(Dossiers!$F$4:$F$63,46)="","",INDEX(Dossiers!$F$4:$F$63,46)))</f>
        <v/>
      </c>
      <c r="K2420" s="29">
        <f>IF($B2420="","",IF(INDEX(Dossiers!$G$4:$G$63,46)="","",INDEX(Dossiers!$G$4:$G$63,46)))</f>
        <v/>
      </c>
    </row>
    <row r="2421">
      <c r="A2421">
        <f>IF($B2421="","",INDEX(Dossiers!$E$4:$E$63,46))</f>
        <v/>
      </c>
      <c r="B2421">
        <f>IF(INDEX(Suivi!$B:$B,2467)="","",INDEX(Suivi!$B:$B,2467))</f>
        <v/>
      </c>
      <c r="C2421">
        <f>IF($B2421="","",IF(INDEX(Suivi!$D:$D,2467)="",INDEX(Suivi!$C:$C,2467),INDEX(Suivi!$D:$D,2467)))</f>
        <v/>
      </c>
      <c r="D2421" s="29">
        <f>IF($B2421="","",INDEX(Suivi!$E:$E,2467))</f>
        <v/>
      </c>
      <c r="E2421" s="29">
        <f>IF($B2421="","",INDEX(Suivi!$F:$F,2467))</f>
        <v/>
      </c>
      <c r="F2421">
        <f>IF($B2421="","",INDEX(Suivi!$G:$G,2467))</f>
        <v/>
      </c>
      <c r="H2421">
        <f>IF(OR($B2421="",NOT(ISNUMBER($D2421))),"",IF($E2421&lt;$D$2,"Passé",IF($D2421&gt;$F$2,"À venir","Dans la période")))</f>
        <v/>
      </c>
      <c r="I2421">
        <f>IF(OR($B2421="",NOT(ISNUMBER($D2421))),"",IF(AND($E2421&lt;$D$2,$G2421&lt;&gt;"X",$F2421&lt;&gt;"Réalisé",$F2421&lt;&gt;"Clôturé"),"RETARD",""))</f>
        <v/>
      </c>
      <c r="J2421" s="29">
        <f>IF($B2421="","",IF(INDEX(Dossiers!$F$4:$F$63,46)="","",INDEX(Dossiers!$F$4:$F$63,46)))</f>
        <v/>
      </c>
      <c r="K2421" s="29">
        <f>IF($B2421="","",IF(INDEX(Dossiers!$G$4:$G$63,46)="","",INDEX(Dossiers!$G$4:$G$63,46)))</f>
        <v/>
      </c>
    </row>
    <row r="2422">
      <c r="A2422">
        <f>IF($B2422="","",INDEX(Dossiers!$E$4:$E$63,46))</f>
        <v/>
      </c>
      <c r="B2422">
        <f>IF(INDEX(Suivi!$B:$B,2468)="","",INDEX(Suivi!$B:$B,2468))</f>
        <v/>
      </c>
      <c r="C2422">
        <f>IF($B2422="","",IF(INDEX(Suivi!$D:$D,2468)="",INDEX(Suivi!$C:$C,2468),INDEX(Suivi!$D:$D,2468)))</f>
        <v/>
      </c>
      <c r="D2422" s="29">
        <f>IF($B2422="","",INDEX(Suivi!$E:$E,2468))</f>
        <v/>
      </c>
      <c r="E2422" s="29">
        <f>IF($B2422="","",INDEX(Suivi!$F:$F,2468))</f>
        <v/>
      </c>
      <c r="F2422">
        <f>IF($B2422="","",INDEX(Suivi!$G:$G,2468))</f>
        <v/>
      </c>
      <c r="H2422">
        <f>IF(OR($B2422="",NOT(ISNUMBER($D2422))),"",IF($E2422&lt;$D$2,"Passé",IF($D2422&gt;$F$2,"À venir","Dans la période")))</f>
        <v/>
      </c>
      <c r="I2422">
        <f>IF(OR($B2422="",NOT(ISNUMBER($D2422))),"",IF(AND($E2422&lt;$D$2,$G2422&lt;&gt;"X",$F2422&lt;&gt;"Réalisé",$F2422&lt;&gt;"Clôturé"),"RETARD",""))</f>
        <v/>
      </c>
      <c r="J2422" s="29">
        <f>IF($B2422="","",IF(INDEX(Dossiers!$F$4:$F$63,46)="","",INDEX(Dossiers!$F$4:$F$63,46)))</f>
        <v/>
      </c>
      <c r="K2422" s="29">
        <f>IF($B2422="","",IF(INDEX(Dossiers!$G$4:$G$63,46)="","",INDEX(Dossiers!$G$4:$G$63,46)))</f>
        <v/>
      </c>
    </row>
    <row r="2423">
      <c r="A2423">
        <f>IF($B2423="","",INDEX(Dossiers!$E$4:$E$63,46))</f>
        <v/>
      </c>
      <c r="B2423">
        <f>IF(INDEX(Suivi!$B:$B,2469)="","",INDEX(Suivi!$B:$B,2469))</f>
        <v/>
      </c>
      <c r="C2423">
        <f>IF($B2423="","",IF(INDEX(Suivi!$D:$D,2469)="",INDEX(Suivi!$C:$C,2469),INDEX(Suivi!$D:$D,2469)))</f>
        <v/>
      </c>
      <c r="D2423" s="29">
        <f>IF($B2423="","",INDEX(Suivi!$E:$E,2469))</f>
        <v/>
      </c>
      <c r="E2423" s="29">
        <f>IF($B2423="","",INDEX(Suivi!$F:$F,2469))</f>
        <v/>
      </c>
      <c r="F2423">
        <f>IF($B2423="","",INDEX(Suivi!$G:$G,2469))</f>
        <v/>
      </c>
      <c r="H2423">
        <f>IF(OR($B2423="",NOT(ISNUMBER($D2423))),"",IF($E2423&lt;$D$2,"Passé",IF($D2423&gt;$F$2,"À venir","Dans la période")))</f>
        <v/>
      </c>
      <c r="I2423">
        <f>IF(OR($B2423="",NOT(ISNUMBER($D2423))),"",IF(AND($E2423&lt;$D$2,$G2423&lt;&gt;"X",$F2423&lt;&gt;"Réalisé",$F2423&lt;&gt;"Clôturé"),"RETARD",""))</f>
        <v/>
      </c>
      <c r="J2423" s="29">
        <f>IF($B2423="","",IF(INDEX(Dossiers!$F$4:$F$63,46)="","",INDEX(Dossiers!$F$4:$F$63,46)))</f>
        <v/>
      </c>
      <c r="K2423" s="29">
        <f>IF($B2423="","",IF(INDEX(Dossiers!$G$4:$G$63,46)="","",INDEX(Dossiers!$G$4:$G$63,46)))</f>
        <v/>
      </c>
    </row>
    <row r="2424">
      <c r="A2424">
        <f>IF($B2424="","",INDEX(Dossiers!$E$4:$E$63,46))</f>
        <v/>
      </c>
      <c r="B2424">
        <f>IF(INDEX(Suivi!$B:$B,2470)="","",INDEX(Suivi!$B:$B,2470))</f>
        <v/>
      </c>
      <c r="C2424">
        <f>IF($B2424="","",IF(INDEX(Suivi!$D:$D,2470)="",INDEX(Suivi!$C:$C,2470),INDEX(Suivi!$D:$D,2470)))</f>
        <v/>
      </c>
      <c r="D2424" s="29">
        <f>IF($B2424="","",INDEX(Suivi!$E:$E,2470))</f>
        <v/>
      </c>
      <c r="E2424" s="29">
        <f>IF($B2424="","",INDEX(Suivi!$F:$F,2470))</f>
        <v/>
      </c>
      <c r="F2424">
        <f>IF($B2424="","",INDEX(Suivi!$G:$G,2470))</f>
        <v/>
      </c>
      <c r="H2424">
        <f>IF(OR($B2424="",NOT(ISNUMBER($D2424))),"",IF($E2424&lt;$D$2,"Passé",IF($D2424&gt;$F$2,"À venir","Dans la période")))</f>
        <v/>
      </c>
      <c r="I2424">
        <f>IF(OR($B2424="",NOT(ISNUMBER($D2424))),"",IF(AND($E2424&lt;$D$2,$G2424&lt;&gt;"X",$F2424&lt;&gt;"Réalisé",$F2424&lt;&gt;"Clôturé"),"RETARD",""))</f>
        <v/>
      </c>
      <c r="J2424" s="29">
        <f>IF($B2424="","",IF(INDEX(Dossiers!$F$4:$F$63,46)="","",INDEX(Dossiers!$F$4:$F$63,46)))</f>
        <v/>
      </c>
      <c r="K2424" s="29">
        <f>IF($B2424="","",IF(INDEX(Dossiers!$G$4:$G$63,46)="","",INDEX(Dossiers!$G$4:$G$63,46)))</f>
        <v/>
      </c>
    </row>
    <row r="2425">
      <c r="A2425">
        <f>IF($B2425="","",INDEX(Dossiers!$E$4:$E$63,46))</f>
        <v/>
      </c>
      <c r="B2425">
        <f>IF(INDEX(Suivi!$B:$B,2471)="","",INDEX(Suivi!$B:$B,2471))</f>
        <v/>
      </c>
      <c r="C2425">
        <f>IF($B2425="","",IF(INDEX(Suivi!$D:$D,2471)="",INDEX(Suivi!$C:$C,2471),INDEX(Suivi!$D:$D,2471)))</f>
        <v/>
      </c>
      <c r="D2425" s="29">
        <f>IF($B2425="","",INDEX(Suivi!$E:$E,2471))</f>
        <v/>
      </c>
      <c r="E2425" s="29">
        <f>IF($B2425="","",INDEX(Suivi!$F:$F,2471))</f>
        <v/>
      </c>
      <c r="F2425">
        <f>IF($B2425="","",INDEX(Suivi!$G:$G,2471))</f>
        <v/>
      </c>
      <c r="H2425">
        <f>IF(OR($B2425="",NOT(ISNUMBER($D2425))),"",IF($E2425&lt;$D$2,"Passé",IF($D2425&gt;$F$2,"À venir","Dans la période")))</f>
        <v/>
      </c>
      <c r="I2425">
        <f>IF(OR($B2425="",NOT(ISNUMBER($D2425))),"",IF(AND($E2425&lt;$D$2,$G2425&lt;&gt;"X",$F2425&lt;&gt;"Réalisé",$F2425&lt;&gt;"Clôturé"),"RETARD",""))</f>
        <v/>
      </c>
      <c r="J2425" s="29">
        <f>IF($B2425="","",IF(INDEX(Dossiers!$F$4:$F$63,46)="","",INDEX(Dossiers!$F$4:$F$63,46)))</f>
        <v/>
      </c>
      <c r="K2425" s="29">
        <f>IF($B2425="","",IF(INDEX(Dossiers!$G$4:$G$63,46)="","",INDEX(Dossiers!$G$4:$G$63,46)))</f>
        <v/>
      </c>
    </row>
    <row r="2426">
      <c r="A2426">
        <f>IF($B2426="","",INDEX(Dossiers!$E$4:$E$63,46))</f>
        <v/>
      </c>
      <c r="B2426">
        <f>IF(INDEX(Suivi!$B:$B,2472)="","",INDEX(Suivi!$B:$B,2472))</f>
        <v/>
      </c>
      <c r="C2426">
        <f>IF($B2426="","",IF(INDEX(Suivi!$D:$D,2472)="",INDEX(Suivi!$C:$C,2472),INDEX(Suivi!$D:$D,2472)))</f>
        <v/>
      </c>
      <c r="D2426" s="29">
        <f>IF($B2426="","",INDEX(Suivi!$E:$E,2472))</f>
        <v/>
      </c>
      <c r="E2426" s="29">
        <f>IF($B2426="","",INDEX(Suivi!$F:$F,2472))</f>
        <v/>
      </c>
      <c r="F2426">
        <f>IF($B2426="","",INDEX(Suivi!$G:$G,2472))</f>
        <v/>
      </c>
      <c r="H2426">
        <f>IF(OR($B2426="",NOT(ISNUMBER($D2426))),"",IF($E2426&lt;$D$2,"Passé",IF($D2426&gt;$F$2,"À venir","Dans la période")))</f>
        <v/>
      </c>
      <c r="I2426">
        <f>IF(OR($B2426="",NOT(ISNUMBER($D2426))),"",IF(AND($E2426&lt;$D$2,$G2426&lt;&gt;"X",$F2426&lt;&gt;"Réalisé",$F2426&lt;&gt;"Clôturé"),"RETARD",""))</f>
        <v/>
      </c>
      <c r="J2426" s="29">
        <f>IF($B2426="","",IF(INDEX(Dossiers!$F$4:$F$63,46)="","",INDEX(Dossiers!$F$4:$F$63,46)))</f>
        <v/>
      </c>
      <c r="K2426" s="29">
        <f>IF($B2426="","",IF(INDEX(Dossiers!$G$4:$G$63,46)="","",INDEX(Dossiers!$G$4:$G$63,46)))</f>
        <v/>
      </c>
    </row>
    <row r="2427">
      <c r="A2427">
        <f>IF($B2427="","",INDEX(Dossiers!$E$4:$E$63,46))</f>
        <v/>
      </c>
      <c r="B2427">
        <f>IF(INDEX(Suivi!$B:$B,2473)="","",INDEX(Suivi!$B:$B,2473))</f>
        <v/>
      </c>
      <c r="C2427">
        <f>IF($B2427="","",IF(INDEX(Suivi!$D:$D,2473)="",INDEX(Suivi!$C:$C,2473),INDEX(Suivi!$D:$D,2473)))</f>
        <v/>
      </c>
      <c r="D2427" s="29">
        <f>IF($B2427="","",INDEX(Suivi!$E:$E,2473))</f>
        <v/>
      </c>
      <c r="E2427" s="29">
        <f>IF($B2427="","",INDEX(Suivi!$F:$F,2473))</f>
        <v/>
      </c>
      <c r="F2427">
        <f>IF($B2427="","",INDEX(Suivi!$G:$G,2473))</f>
        <v/>
      </c>
      <c r="H2427">
        <f>IF(OR($B2427="",NOT(ISNUMBER($D2427))),"",IF($E2427&lt;$D$2,"Passé",IF($D2427&gt;$F$2,"À venir","Dans la période")))</f>
        <v/>
      </c>
      <c r="I2427">
        <f>IF(OR($B2427="",NOT(ISNUMBER($D2427))),"",IF(AND($E2427&lt;$D$2,$G2427&lt;&gt;"X",$F2427&lt;&gt;"Réalisé",$F2427&lt;&gt;"Clôturé"),"RETARD",""))</f>
        <v/>
      </c>
      <c r="J2427" s="29">
        <f>IF($B2427="","",IF(INDEX(Dossiers!$F$4:$F$63,46)="","",INDEX(Dossiers!$F$4:$F$63,46)))</f>
        <v/>
      </c>
      <c r="K2427" s="29">
        <f>IF($B2427="","",IF(INDEX(Dossiers!$G$4:$G$63,46)="","",INDEX(Dossiers!$G$4:$G$63,46)))</f>
        <v/>
      </c>
    </row>
    <row r="2428">
      <c r="A2428">
        <f>IF($B2428="","",INDEX(Dossiers!$E$4:$E$63,46))</f>
        <v/>
      </c>
      <c r="B2428">
        <f>IF(INDEX(Suivi!$B:$B,2474)="","",INDEX(Suivi!$B:$B,2474))</f>
        <v/>
      </c>
      <c r="C2428">
        <f>IF($B2428="","",IF(INDEX(Suivi!$D:$D,2474)="",INDEX(Suivi!$C:$C,2474),INDEX(Suivi!$D:$D,2474)))</f>
        <v/>
      </c>
      <c r="D2428" s="29">
        <f>IF($B2428="","",INDEX(Suivi!$E:$E,2474))</f>
        <v/>
      </c>
      <c r="E2428" s="29">
        <f>IF($B2428="","",INDEX(Suivi!$F:$F,2474))</f>
        <v/>
      </c>
      <c r="F2428">
        <f>IF($B2428="","",INDEX(Suivi!$G:$G,2474))</f>
        <v/>
      </c>
      <c r="H2428">
        <f>IF(OR($B2428="",NOT(ISNUMBER($D2428))),"",IF($E2428&lt;$D$2,"Passé",IF($D2428&gt;$F$2,"À venir","Dans la période")))</f>
        <v/>
      </c>
      <c r="I2428">
        <f>IF(OR($B2428="",NOT(ISNUMBER($D2428))),"",IF(AND($E2428&lt;$D$2,$G2428&lt;&gt;"X",$F2428&lt;&gt;"Réalisé",$F2428&lt;&gt;"Clôturé"),"RETARD",""))</f>
        <v/>
      </c>
      <c r="J2428" s="29">
        <f>IF($B2428="","",IF(INDEX(Dossiers!$F$4:$F$63,46)="","",INDEX(Dossiers!$F$4:$F$63,46)))</f>
        <v/>
      </c>
      <c r="K2428" s="29">
        <f>IF($B2428="","",IF(INDEX(Dossiers!$G$4:$G$63,46)="","",INDEX(Dossiers!$G$4:$G$63,46)))</f>
        <v/>
      </c>
    </row>
    <row r="2429">
      <c r="A2429">
        <f>IF($B2429="","",INDEX(Dossiers!$E$4:$E$63,46))</f>
        <v/>
      </c>
      <c r="B2429">
        <f>IF(INDEX(Suivi!$B:$B,2475)="","",INDEX(Suivi!$B:$B,2475))</f>
        <v/>
      </c>
      <c r="C2429">
        <f>IF($B2429="","",IF(INDEX(Suivi!$D:$D,2475)="",INDEX(Suivi!$C:$C,2475),INDEX(Suivi!$D:$D,2475)))</f>
        <v/>
      </c>
      <c r="D2429" s="29">
        <f>IF($B2429="","",INDEX(Suivi!$E:$E,2475))</f>
        <v/>
      </c>
      <c r="E2429" s="29">
        <f>IF($B2429="","",INDEX(Suivi!$F:$F,2475))</f>
        <v/>
      </c>
      <c r="F2429">
        <f>IF($B2429="","",INDEX(Suivi!$G:$G,2475))</f>
        <v/>
      </c>
      <c r="H2429">
        <f>IF(OR($B2429="",NOT(ISNUMBER($D2429))),"",IF($E2429&lt;$D$2,"Passé",IF($D2429&gt;$F$2,"À venir","Dans la période")))</f>
        <v/>
      </c>
      <c r="I2429">
        <f>IF(OR($B2429="",NOT(ISNUMBER($D2429))),"",IF(AND($E2429&lt;$D$2,$G2429&lt;&gt;"X",$F2429&lt;&gt;"Réalisé",$F2429&lt;&gt;"Clôturé"),"RETARD",""))</f>
        <v/>
      </c>
      <c r="J2429" s="29">
        <f>IF($B2429="","",IF(INDEX(Dossiers!$F$4:$F$63,46)="","",INDEX(Dossiers!$F$4:$F$63,46)))</f>
        <v/>
      </c>
      <c r="K2429" s="29">
        <f>IF($B2429="","",IF(INDEX(Dossiers!$G$4:$G$63,46)="","",INDEX(Dossiers!$G$4:$G$63,46)))</f>
        <v/>
      </c>
    </row>
    <row r="2430">
      <c r="A2430">
        <f>IF($B2430="","",INDEX(Dossiers!$E$4:$E$63,46))</f>
        <v/>
      </c>
      <c r="B2430">
        <f>IF(INDEX(Suivi!$B:$B,2476)="","",INDEX(Suivi!$B:$B,2476))</f>
        <v/>
      </c>
      <c r="C2430">
        <f>IF($B2430="","",IF(INDEX(Suivi!$D:$D,2476)="",INDEX(Suivi!$C:$C,2476),INDEX(Suivi!$D:$D,2476)))</f>
        <v/>
      </c>
      <c r="D2430" s="29">
        <f>IF($B2430="","",INDEX(Suivi!$E:$E,2476))</f>
        <v/>
      </c>
      <c r="E2430" s="29">
        <f>IF($B2430="","",INDEX(Suivi!$F:$F,2476))</f>
        <v/>
      </c>
      <c r="F2430">
        <f>IF($B2430="","",INDEX(Suivi!$G:$G,2476))</f>
        <v/>
      </c>
      <c r="H2430">
        <f>IF(OR($B2430="",NOT(ISNUMBER($D2430))),"",IF($E2430&lt;$D$2,"Passé",IF($D2430&gt;$F$2,"À venir","Dans la période")))</f>
        <v/>
      </c>
      <c r="I2430">
        <f>IF(OR($B2430="",NOT(ISNUMBER($D2430))),"",IF(AND($E2430&lt;$D$2,$G2430&lt;&gt;"X",$F2430&lt;&gt;"Réalisé",$F2430&lt;&gt;"Clôturé"),"RETARD",""))</f>
        <v/>
      </c>
      <c r="J2430" s="29">
        <f>IF($B2430="","",IF(INDEX(Dossiers!$F$4:$F$63,46)="","",INDEX(Dossiers!$F$4:$F$63,46)))</f>
        <v/>
      </c>
      <c r="K2430" s="29">
        <f>IF($B2430="","",IF(INDEX(Dossiers!$G$4:$G$63,46)="","",INDEX(Dossiers!$G$4:$G$63,46)))</f>
        <v/>
      </c>
    </row>
    <row r="2431">
      <c r="A2431">
        <f>IF($B2431="","",INDEX(Dossiers!$E$4:$E$63,46))</f>
        <v/>
      </c>
      <c r="B2431">
        <f>IF(INDEX(Suivi!$B:$B,2477)="","",INDEX(Suivi!$B:$B,2477))</f>
        <v/>
      </c>
      <c r="C2431">
        <f>IF($B2431="","",IF(INDEX(Suivi!$D:$D,2477)="",INDEX(Suivi!$C:$C,2477),INDEX(Suivi!$D:$D,2477)))</f>
        <v/>
      </c>
      <c r="D2431" s="29">
        <f>IF($B2431="","",INDEX(Suivi!$E:$E,2477))</f>
        <v/>
      </c>
      <c r="E2431" s="29">
        <f>IF($B2431="","",INDEX(Suivi!$F:$F,2477))</f>
        <v/>
      </c>
      <c r="F2431">
        <f>IF($B2431="","",INDEX(Suivi!$G:$G,2477))</f>
        <v/>
      </c>
      <c r="H2431">
        <f>IF(OR($B2431="",NOT(ISNUMBER($D2431))),"",IF($E2431&lt;$D$2,"Passé",IF($D2431&gt;$F$2,"À venir","Dans la période")))</f>
        <v/>
      </c>
      <c r="I2431">
        <f>IF(OR($B2431="",NOT(ISNUMBER($D2431))),"",IF(AND($E2431&lt;$D$2,$G2431&lt;&gt;"X",$F2431&lt;&gt;"Réalisé",$F2431&lt;&gt;"Clôturé"),"RETARD",""))</f>
        <v/>
      </c>
      <c r="J2431" s="29">
        <f>IF($B2431="","",IF(INDEX(Dossiers!$F$4:$F$63,46)="","",INDEX(Dossiers!$F$4:$F$63,46)))</f>
        <v/>
      </c>
      <c r="K2431" s="29">
        <f>IF($B2431="","",IF(INDEX(Dossiers!$G$4:$G$63,46)="","",INDEX(Dossiers!$G$4:$G$63,46)))</f>
        <v/>
      </c>
    </row>
    <row r="2432">
      <c r="A2432">
        <f>IF($B2432="","",INDEX(Dossiers!$E$4:$E$63,46))</f>
        <v/>
      </c>
      <c r="B2432">
        <f>IF(INDEX(Suivi!$B:$B,2478)="","",INDEX(Suivi!$B:$B,2478))</f>
        <v/>
      </c>
      <c r="C2432">
        <f>IF($B2432="","",IF(INDEX(Suivi!$D:$D,2478)="",INDEX(Suivi!$C:$C,2478),INDEX(Suivi!$D:$D,2478)))</f>
        <v/>
      </c>
      <c r="D2432" s="29">
        <f>IF($B2432="","",INDEX(Suivi!$E:$E,2478))</f>
        <v/>
      </c>
      <c r="E2432" s="29">
        <f>IF($B2432="","",INDEX(Suivi!$F:$F,2478))</f>
        <v/>
      </c>
      <c r="F2432">
        <f>IF($B2432="","",INDEX(Suivi!$G:$G,2478))</f>
        <v/>
      </c>
      <c r="H2432">
        <f>IF(OR($B2432="",NOT(ISNUMBER($D2432))),"",IF($E2432&lt;$D$2,"Passé",IF($D2432&gt;$F$2,"À venir","Dans la période")))</f>
        <v/>
      </c>
      <c r="I2432">
        <f>IF(OR($B2432="",NOT(ISNUMBER($D2432))),"",IF(AND($E2432&lt;$D$2,$G2432&lt;&gt;"X",$F2432&lt;&gt;"Réalisé",$F2432&lt;&gt;"Clôturé"),"RETARD",""))</f>
        <v/>
      </c>
      <c r="J2432" s="29">
        <f>IF($B2432="","",IF(INDEX(Dossiers!$F$4:$F$63,46)="","",INDEX(Dossiers!$F$4:$F$63,46)))</f>
        <v/>
      </c>
      <c r="K2432" s="29">
        <f>IF($B2432="","",IF(INDEX(Dossiers!$G$4:$G$63,46)="","",INDEX(Dossiers!$G$4:$G$63,46)))</f>
        <v/>
      </c>
    </row>
    <row r="2433">
      <c r="A2433">
        <f>IF($B2433="","",INDEX(Dossiers!$E$4:$E$63,46))</f>
        <v/>
      </c>
      <c r="B2433">
        <f>IF(INDEX(Suivi!$B:$B,2479)="","",INDEX(Suivi!$B:$B,2479))</f>
        <v/>
      </c>
      <c r="C2433">
        <f>IF($B2433="","",IF(INDEX(Suivi!$D:$D,2479)="",INDEX(Suivi!$C:$C,2479),INDEX(Suivi!$D:$D,2479)))</f>
        <v/>
      </c>
      <c r="D2433" s="29">
        <f>IF($B2433="","",INDEX(Suivi!$E:$E,2479))</f>
        <v/>
      </c>
      <c r="E2433" s="29">
        <f>IF($B2433="","",INDEX(Suivi!$F:$F,2479))</f>
        <v/>
      </c>
      <c r="F2433">
        <f>IF($B2433="","",INDEX(Suivi!$G:$G,2479))</f>
        <v/>
      </c>
      <c r="H2433">
        <f>IF(OR($B2433="",NOT(ISNUMBER($D2433))),"",IF($E2433&lt;$D$2,"Passé",IF($D2433&gt;$F$2,"À venir","Dans la période")))</f>
        <v/>
      </c>
      <c r="I2433">
        <f>IF(OR($B2433="",NOT(ISNUMBER($D2433))),"",IF(AND($E2433&lt;$D$2,$G2433&lt;&gt;"X",$F2433&lt;&gt;"Réalisé",$F2433&lt;&gt;"Clôturé"),"RETARD",""))</f>
        <v/>
      </c>
      <c r="J2433" s="29">
        <f>IF($B2433="","",IF(INDEX(Dossiers!$F$4:$F$63,46)="","",INDEX(Dossiers!$F$4:$F$63,46)))</f>
        <v/>
      </c>
      <c r="K2433" s="29">
        <f>IF($B2433="","",IF(INDEX(Dossiers!$G$4:$G$63,46)="","",INDEX(Dossiers!$G$4:$G$63,46)))</f>
        <v/>
      </c>
    </row>
    <row r="2434">
      <c r="A2434">
        <f>IF($B2434="","",INDEX(Dossiers!$E$4:$E$63,46))</f>
        <v/>
      </c>
      <c r="B2434">
        <f>IF(INDEX(Suivi!$B:$B,2480)="","",INDEX(Suivi!$B:$B,2480))</f>
        <v/>
      </c>
      <c r="C2434">
        <f>IF($B2434="","",IF(INDEX(Suivi!$D:$D,2480)="",INDEX(Suivi!$C:$C,2480),INDEX(Suivi!$D:$D,2480)))</f>
        <v/>
      </c>
      <c r="D2434" s="29">
        <f>IF($B2434="","",INDEX(Suivi!$E:$E,2480))</f>
        <v/>
      </c>
      <c r="E2434" s="29">
        <f>IF($B2434="","",INDEX(Suivi!$F:$F,2480))</f>
        <v/>
      </c>
      <c r="F2434">
        <f>IF($B2434="","",INDEX(Suivi!$G:$G,2480))</f>
        <v/>
      </c>
      <c r="H2434">
        <f>IF(OR($B2434="",NOT(ISNUMBER($D2434))),"",IF($E2434&lt;$D$2,"Passé",IF($D2434&gt;$F$2,"À venir","Dans la période")))</f>
        <v/>
      </c>
      <c r="I2434">
        <f>IF(OR($B2434="",NOT(ISNUMBER($D2434))),"",IF(AND($E2434&lt;$D$2,$G2434&lt;&gt;"X",$F2434&lt;&gt;"Réalisé",$F2434&lt;&gt;"Clôturé"),"RETARD",""))</f>
        <v/>
      </c>
      <c r="J2434" s="29">
        <f>IF($B2434="","",IF(INDEX(Dossiers!$F$4:$F$63,46)="","",INDEX(Dossiers!$F$4:$F$63,46)))</f>
        <v/>
      </c>
      <c r="K2434" s="29">
        <f>IF($B2434="","",IF(INDEX(Dossiers!$G$4:$G$63,46)="","",INDEX(Dossiers!$G$4:$G$63,46)))</f>
        <v/>
      </c>
    </row>
    <row r="2435">
      <c r="A2435">
        <f>IF($B2435="","",INDEX(Dossiers!$E$4:$E$63,46))</f>
        <v/>
      </c>
      <c r="B2435">
        <f>IF(INDEX(Suivi!$B:$B,2481)="","",INDEX(Suivi!$B:$B,2481))</f>
        <v/>
      </c>
      <c r="C2435">
        <f>IF($B2435="","",IF(INDEX(Suivi!$D:$D,2481)="",INDEX(Suivi!$C:$C,2481),INDEX(Suivi!$D:$D,2481)))</f>
        <v/>
      </c>
      <c r="D2435" s="29">
        <f>IF($B2435="","",INDEX(Suivi!$E:$E,2481))</f>
        <v/>
      </c>
      <c r="E2435" s="29">
        <f>IF($B2435="","",INDEX(Suivi!$F:$F,2481))</f>
        <v/>
      </c>
      <c r="F2435">
        <f>IF($B2435="","",INDEX(Suivi!$G:$G,2481))</f>
        <v/>
      </c>
      <c r="H2435">
        <f>IF(OR($B2435="",NOT(ISNUMBER($D2435))),"",IF($E2435&lt;$D$2,"Passé",IF($D2435&gt;$F$2,"À venir","Dans la période")))</f>
        <v/>
      </c>
      <c r="I2435">
        <f>IF(OR($B2435="",NOT(ISNUMBER($D2435))),"",IF(AND($E2435&lt;$D$2,$G2435&lt;&gt;"X",$F2435&lt;&gt;"Réalisé",$F2435&lt;&gt;"Clôturé"),"RETARD",""))</f>
        <v/>
      </c>
      <c r="J2435" s="29">
        <f>IF($B2435="","",IF(INDEX(Dossiers!$F$4:$F$63,46)="","",INDEX(Dossiers!$F$4:$F$63,46)))</f>
        <v/>
      </c>
      <c r="K2435" s="29">
        <f>IF($B2435="","",IF(INDEX(Dossiers!$G$4:$G$63,46)="","",INDEX(Dossiers!$G$4:$G$63,46)))</f>
        <v/>
      </c>
    </row>
    <row r="2436">
      <c r="A2436">
        <f>IF($B2436="","",INDEX(Dossiers!$E$4:$E$63,46))</f>
        <v/>
      </c>
      <c r="B2436">
        <f>IF(INDEX(Suivi!$B:$B,2482)="","",INDEX(Suivi!$B:$B,2482))</f>
        <v/>
      </c>
      <c r="C2436">
        <f>IF($B2436="","",IF(INDEX(Suivi!$D:$D,2482)="",INDEX(Suivi!$C:$C,2482),INDEX(Suivi!$D:$D,2482)))</f>
        <v/>
      </c>
      <c r="D2436" s="29">
        <f>IF($B2436="","",INDEX(Suivi!$E:$E,2482))</f>
        <v/>
      </c>
      <c r="E2436" s="29">
        <f>IF($B2436="","",INDEX(Suivi!$F:$F,2482))</f>
        <v/>
      </c>
      <c r="F2436">
        <f>IF($B2436="","",INDEX(Suivi!$G:$G,2482))</f>
        <v/>
      </c>
      <c r="H2436">
        <f>IF(OR($B2436="",NOT(ISNUMBER($D2436))),"",IF($E2436&lt;$D$2,"Passé",IF($D2436&gt;$F$2,"À venir","Dans la période")))</f>
        <v/>
      </c>
      <c r="I2436">
        <f>IF(OR($B2436="",NOT(ISNUMBER($D2436))),"",IF(AND($E2436&lt;$D$2,$G2436&lt;&gt;"X",$F2436&lt;&gt;"Réalisé",$F2436&lt;&gt;"Clôturé"),"RETARD",""))</f>
        <v/>
      </c>
      <c r="J2436" s="29">
        <f>IF($B2436="","",IF(INDEX(Dossiers!$F$4:$F$63,46)="","",INDEX(Dossiers!$F$4:$F$63,46)))</f>
        <v/>
      </c>
      <c r="K2436" s="29">
        <f>IF($B2436="","",IF(INDEX(Dossiers!$G$4:$G$63,46)="","",INDEX(Dossiers!$G$4:$G$63,46)))</f>
        <v/>
      </c>
    </row>
    <row r="2437">
      <c r="A2437">
        <f>IF($B2437="","",INDEX(Dossiers!$E$4:$E$63,46))</f>
        <v/>
      </c>
      <c r="B2437">
        <f>IF(INDEX(Suivi!$B:$B,2483)="","",INDEX(Suivi!$B:$B,2483))</f>
        <v/>
      </c>
      <c r="C2437">
        <f>IF($B2437="","",IF(INDEX(Suivi!$D:$D,2483)="",INDEX(Suivi!$C:$C,2483),INDEX(Suivi!$D:$D,2483)))</f>
        <v/>
      </c>
      <c r="D2437" s="29">
        <f>IF($B2437="","",INDEX(Suivi!$E:$E,2483))</f>
        <v/>
      </c>
      <c r="E2437" s="29">
        <f>IF($B2437="","",INDEX(Suivi!$F:$F,2483))</f>
        <v/>
      </c>
      <c r="F2437">
        <f>IF($B2437="","",INDEX(Suivi!$G:$G,2483))</f>
        <v/>
      </c>
      <c r="H2437">
        <f>IF(OR($B2437="",NOT(ISNUMBER($D2437))),"",IF($E2437&lt;$D$2,"Passé",IF($D2437&gt;$F$2,"À venir","Dans la période")))</f>
        <v/>
      </c>
      <c r="I2437">
        <f>IF(OR($B2437="",NOT(ISNUMBER($D2437))),"",IF(AND($E2437&lt;$D$2,$G2437&lt;&gt;"X",$F2437&lt;&gt;"Réalisé",$F2437&lt;&gt;"Clôturé"),"RETARD",""))</f>
        <v/>
      </c>
      <c r="J2437" s="29">
        <f>IF($B2437="","",IF(INDEX(Dossiers!$F$4:$F$63,46)="","",INDEX(Dossiers!$F$4:$F$63,46)))</f>
        <v/>
      </c>
      <c r="K2437" s="29">
        <f>IF($B2437="","",IF(INDEX(Dossiers!$G$4:$G$63,46)="","",INDEX(Dossiers!$G$4:$G$63,46)))</f>
        <v/>
      </c>
    </row>
    <row r="2438">
      <c r="A2438">
        <f>IF($B2438="","",INDEX(Dossiers!$E$4:$E$63,46))</f>
        <v/>
      </c>
      <c r="B2438">
        <f>IF(INDEX(Suivi!$B:$B,2484)="","",INDEX(Suivi!$B:$B,2484))</f>
        <v/>
      </c>
      <c r="C2438">
        <f>IF($B2438="","",IF(INDEX(Suivi!$D:$D,2484)="",INDEX(Suivi!$C:$C,2484),INDEX(Suivi!$D:$D,2484)))</f>
        <v/>
      </c>
      <c r="D2438" s="29">
        <f>IF($B2438="","",INDEX(Suivi!$E:$E,2484))</f>
        <v/>
      </c>
      <c r="E2438" s="29">
        <f>IF($B2438="","",INDEX(Suivi!$F:$F,2484))</f>
        <v/>
      </c>
      <c r="F2438">
        <f>IF($B2438="","",INDEX(Suivi!$G:$G,2484))</f>
        <v/>
      </c>
      <c r="H2438">
        <f>IF(OR($B2438="",NOT(ISNUMBER($D2438))),"",IF($E2438&lt;$D$2,"Passé",IF($D2438&gt;$F$2,"À venir","Dans la période")))</f>
        <v/>
      </c>
      <c r="I2438">
        <f>IF(OR($B2438="",NOT(ISNUMBER($D2438))),"",IF(AND($E2438&lt;$D$2,$G2438&lt;&gt;"X",$F2438&lt;&gt;"Réalisé",$F2438&lt;&gt;"Clôturé"),"RETARD",""))</f>
        <v/>
      </c>
      <c r="J2438" s="29">
        <f>IF($B2438="","",IF(INDEX(Dossiers!$F$4:$F$63,46)="","",INDEX(Dossiers!$F$4:$F$63,46)))</f>
        <v/>
      </c>
      <c r="K2438" s="29">
        <f>IF($B2438="","",IF(INDEX(Dossiers!$G$4:$G$63,46)="","",INDEX(Dossiers!$G$4:$G$63,46)))</f>
        <v/>
      </c>
    </row>
    <row r="2439">
      <c r="A2439">
        <f>IF($B2439="","",INDEX(Dossiers!$E$4:$E$63,46))</f>
        <v/>
      </c>
      <c r="B2439">
        <f>IF(INDEX(Suivi!$B:$B,2485)="","",INDEX(Suivi!$B:$B,2485))</f>
        <v/>
      </c>
      <c r="C2439">
        <f>IF($B2439="","",IF(INDEX(Suivi!$D:$D,2485)="",INDEX(Suivi!$C:$C,2485),INDEX(Suivi!$D:$D,2485)))</f>
        <v/>
      </c>
      <c r="D2439" s="29">
        <f>IF($B2439="","",INDEX(Suivi!$E:$E,2485))</f>
        <v/>
      </c>
      <c r="E2439" s="29">
        <f>IF($B2439="","",INDEX(Suivi!$F:$F,2485))</f>
        <v/>
      </c>
      <c r="F2439">
        <f>IF($B2439="","",INDEX(Suivi!$G:$G,2485))</f>
        <v/>
      </c>
      <c r="H2439">
        <f>IF(OR($B2439="",NOT(ISNUMBER($D2439))),"",IF($E2439&lt;$D$2,"Passé",IF($D2439&gt;$F$2,"À venir","Dans la période")))</f>
        <v/>
      </c>
      <c r="I2439">
        <f>IF(OR($B2439="",NOT(ISNUMBER($D2439))),"",IF(AND($E2439&lt;$D$2,$G2439&lt;&gt;"X",$F2439&lt;&gt;"Réalisé",$F2439&lt;&gt;"Clôturé"),"RETARD",""))</f>
        <v/>
      </c>
      <c r="J2439" s="29">
        <f>IF($B2439="","",IF(INDEX(Dossiers!$F$4:$F$63,46)="","",INDEX(Dossiers!$F$4:$F$63,46)))</f>
        <v/>
      </c>
      <c r="K2439" s="29">
        <f>IF($B2439="","",IF(INDEX(Dossiers!$G$4:$G$63,46)="","",INDEX(Dossiers!$G$4:$G$63,46)))</f>
        <v/>
      </c>
    </row>
    <row r="2440">
      <c r="A2440">
        <f>IF($B2440="","",INDEX(Dossiers!$E$4:$E$63,46))</f>
        <v/>
      </c>
      <c r="B2440">
        <f>IF(INDEX(Suivi!$B:$B,2486)="","",INDEX(Suivi!$B:$B,2486))</f>
        <v/>
      </c>
      <c r="C2440">
        <f>IF($B2440="","",IF(INDEX(Suivi!$D:$D,2486)="",INDEX(Suivi!$C:$C,2486),INDEX(Suivi!$D:$D,2486)))</f>
        <v/>
      </c>
      <c r="D2440" s="29">
        <f>IF($B2440="","",INDEX(Suivi!$E:$E,2486))</f>
        <v/>
      </c>
      <c r="E2440" s="29">
        <f>IF($B2440="","",INDEX(Suivi!$F:$F,2486))</f>
        <v/>
      </c>
      <c r="F2440">
        <f>IF($B2440="","",INDEX(Suivi!$G:$G,2486))</f>
        <v/>
      </c>
      <c r="H2440">
        <f>IF(OR($B2440="",NOT(ISNUMBER($D2440))),"",IF($E2440&lt;$D$2,"Passé",IF($D2440&gt;$F$2,"À venir","Dans la période")))</f>
        <v/>
      </c>
      <c r="I2440">
        <f>IF(OR($B2440="",NOT(ISNUMBER($D2440))),"",IF(AND($E2440&lt;$D$2,$G2440&lt;&gt;"X",$F2440&lt;&gt;"Réalisé",$F2440&lt;&gt;"Clôturé"),"RETARD",""))</f>
        <v/>
      </c>
      <c r="J2440" s="29">
        <f>IF($B2440="","",IF(INDEX(Dossiers!$F$4:$F$63,46)="","",INDEX(Dossiers!$F$4:$F$63,46)))</f>
        <v/>
      </c>
      <c r="K2440" s="29">
        <f>IF($B2440="","",IF(INDEX(Dossiers!$G$4:$G$63,46)="","",INDEX(Dossiers!$G$4:$G$63,46)))</f>
        <v/>
      </c>
    </row>
    <row r="2441">
      <c r="A2441">
        <f>IF($B2441="","",INDEX(Dossiers!$E$4:$E$63,46))</f>
        <v/>
      </c>
      <c r="B2441">
        <f>IF(INDEX(Suivi!$B:$B,2487)="","",INDEX(Suivi!$B:$B,2487))</f>
        <v/>
      </c>
      <c r="C2441">
        <f>IF($B2441="","",IF(INDEX(Suivi!$D:$D,2487)="",INDEX(Suivi!$C:$C,2487),INDEX(Suivi!$D:$D,2487)))</f>
        <v/>
      </c>
      <c r="D2441" s="29">
        <f>IF($B2441="","",INDEX(Suivi!$E:$E,2487))</f>
        <v/>
      </c>
      <c r="E2441" s="29">
        <f>IF($B2441="","",INDEX(Suivi!$F:$F,2487))</f>
        <v/>
      </c>
      <c r="F2441">
        <f>IF($B2441="","",INDEX(Suivi!$G:$G,2487))</f>
        <v/>
      </c>
      <c r="H2441">
        <f>IF(OR($B2441="",NOT(ISNUMBER($D2441))),"",IF($E2441&lt;$D$2,"Passé",IF($D2441&gt;$F$2,"À venir","Dans la période")))</f>
        <v/>
      </c>
      <c r="I2441">
        <f>IF(OR($B2441="",NOT(ISNUMBER($D2441))),"",IF(AND($E2441&lt;$D$2,$G2441&lt;&gt;"X",$F2441&lt;&gt;"Réalisé",$F2441&lt;&gt;"Clôturé"),"RETARD",""))</f>
        <v/>
      </c>
      <c r="J2441" s="29">
        <f>IF($B2441="","",IF(INDEX(Dossiers!$F$4:$F$63,46)="","",INDEX(Dossiers!$F$4:$F$63,46)))</f>
        <v/>
      </c>
      <c r="K2441" s="29">
        <f>IF($B2441="","",IF(INDEX(Dossiers!$G$4:$G$63,46)="","",INDEX(Dossiers!$G$4:$G$63,46)))</f>
        <v/>
      </c>
    </row>
    <row r="2442">
      <c r="A2442">
        <f>IF($B2442="","",INDEX(Dossiers!$E$4:$E$63,47))</f>
        <v/>
      </c>
      <c r="B2442">
        <f>IF(INDEX(Suivi!$B:$B,2489)="","",INDEX(Suivi!$B:$B,2489))</f>
        <v/>
      </c>
      <c r="C2442">
        <f>IF($B2442="","",IF(INDEX(Suivi!$D:$D,2489)="",INDEX(Suivi!$C:$C,2489),INDEX(Suivi!$D:$D,2489)))</f>
        <v/>
      </c>
      <c r="D2442" s="29">
        <f>IF($B2442="","",INDEX(Suivi!$E:$E,2489))</f>
        <v/>
      </c>
      <c r="E2442" s="29">
        <f>IF($B2442="","",INDEX(Suivi!$F:$F,2489))</f>
        <v/>
      </c>
      <c r="F2442">
        <f>IF($B2442="","",INDEX(Suivi!$G:$G,2489))</f>
        <v/>
      </c>
      <c r="H2442">
        <f>IF(OR($B2442="",NOT(ISNUMBER($D2442))),"",IF($E2442&lt;$D$2,"Passé",IF($D2442&gt;$F$2,"À venir","Dans la période")))</f>
        <v/>
      </c>
      <c r="I2442">
        <f>IF(OR($B2442="",NOT(ISNUMBER($D2442))),"",IF(AND($E2442&lt;$D$2,$G2442&lt;&gt;"X",$F2442&lt;&gt;"Réalisé",$F2442&lt;&gt;"Clôturé"),"RETARD",""))</f>
        <v/>
      </c>
      <c r="J2442" s="29">
        <f>IF($B2442="","",IF(INDEX(Dossiers!$F$4:$F$63,47)="","",INDEX(Dossiers!$F$4:$F$63,47)))</f>
        <v/>
      </c>
      <c r="K2442" s="29">
        <f>IF($B2442="","",IF(INDEX(Dossiers!$G$4:$G$63,47)="","",INDEX(Dossiers!$G$4:$G$63,47)))</f>
        <v/>
      </c>
    </row>
    <row r="2443">
      <c r="A2443">
        <f>IF($B2443="","",INDEX(Dossiers!$E$4:$E$63,47))</f>
        <v/>
      </c>
      <c r="B2443">
        <f>IF(INDEX(Suivi!$B:$B,2490)="","",INDEX(Suivi!$B:$B,2490))</f>
        <v/>
      </c>
      <c r="C2443">
        <f>IF($B2443="","",IF(INDEX(Suivi!$D:$D,2490)="",INDEX(Suivi!$C:$C,2490),INDEX(Suivi!$D:$D,2490)))</f>
        <v/>
      </c>
      <c r="D2443" s="29">
        <f>IF($B2443="","",INDEX(Suivi!$E:$E,2490))</f>
        <v/>
      </c>
      <c r="E2443" s="29">
        <f>IF($B2443="","",INDEX(Suivi!$F:$F,2490))</f>
        <v/>
      </c>
      <c r="F2443">
        <f>IF($B2443="","",INDEX(Suivi!$G:$G,2490))</f>
        <v/>
      </c>
      <c r="H2443">
        <f>IF(OR($B2443="",NOT(ISNUMBER($D2443))),"",IF($E2443&lt;$D$2,"Passé",IF($D2443&gt;$F$2,"À venir","Dans la période")))</f>
        <v/>
      </c>
      <c r="I2443">
        <f>IF(OR($B2443="",NOT(ISNUMBER($D2443))),"",IF(AND($E2443&lt;$D$2,$G2443&lt;&gt;"X",$F2443&lt;&gt;"Réalisé",$F2443&lt;&gt;"Clôturé"),"RETARD",""))</f>
        <v/>
      </c>
      <c r="J2443" s="29">
        <f>IF($B2443="","",IF(INDEX(Dossiers!$F$4:$F$63,47)="","",INDEX(Dossiers!$F$4:$F$63,47)))</f>
        <v/>
      </c>
      <c r="K2443" s="29">
        <f>IF($B2443="","",IF(INDEX(Dossiers!$G$4:$G$63,47)="","",INDEX(Dossiers!$G$4:$G$63,47)))</f>
        <v/>
      </c>
    </row>
    <row r="2444">
      <c r="A2444">
        <f>IF($B2444="","",INDEX(Dossiers!$E$4:$E$63,47))</f>
        <v/>
      </c>
      <c r="B2444">
        <f>IF(INDEX(Suivi!$B:$B,2491)="","",INDEX(Suivi!$B:$B,2491))</f>
        <v/>
      </c>
      <c r="C2444">
        <f>IF($B2444="","",IF(INDEX(Suivi!$D:$D,2491)="",INDEX(Suivi!$C:$C,2491),INDEX(Suivi!$D:$D,2491)))</f>
        <v/>
      </c>
      <c r="D2444" s="29">
        <f>IF($B2444="","",INDEX(Suivi!$E:$E,2491))</f>
        <v/>
      </c>
      <c r="E2444" s="29">
        <f>IF($B2444="","",INDEX(Suivi!$F:$F,2491))</f>
        <v/>
      </c>
      <c r="F2444">
        <f>IF($B2444="","",INDEX(Suivi!$G:$G,2491))</f>
        <v/>
      </c>
      <c r="H2444">
        <f>IF(OR($B2444="",NOT(ISNUMBER($D2444))),"",IF($E2444&lt;$D$2,"Passé",IF($D2444&gt;$F$2,"À venir","Dans la période")))</f>
        <v/>
      </c>
      <c r="I2444">
        <f>IF(OR($B2444="",NOT(ISNUMBER($D2444))),"",IF(AND($E2444&lt;$D$2,$G2444&lt;&gt;"X",$F2444&lt;&gt;"Réalisé",$F2444&lt;&gt;"Clôturé"),"RETARD",""))</f>
        <v/>
      </c>
      <c r="J2444" s="29">
        <f>IF($B2444="","",IF(INDEX(Dossiers!$F$4:$F$63,47)="","",INDEX(Dossiers!$F$4:$F$63,47)))</f>
        <v/>
      </c>
      <c r="K2444" s="29">
        <f>IF($B2444="","",IF(INDEX(Dossiers!$G$4:$G$63,47)="","",INDEX(Dossiers!$G$4:$G$63,47)))</f>
        <v/>
      </c>
    </row>
    <row r="2445">
      <c r="A2445">
        <f>IF($B2445="","",INDEX(Dossiers!$E$4:$E$63,47))</f>
        <v/>
      </c>
      <c r="B2445">
        <f>IF(INDEX(Suivi!$B:$B,2492)="","",INDEX(Suivi!$B:$B,2492))</f>
        <v/>
      </c>
      <c r="C2445">
        <f>IF($B2445="","",IF(INDEX(Suivi!$D:$D,2492)="",INDEX(Suivi!$C:$C,2492),INDEX(Suivi!$D:$D,2492)))</f>
        <v/>
      </c>
      <c r="D2445" s="29">
        <f>IF($B2445="","",INDEX(Suivi!$E:$E,2492))</f>
        <v/>
      </c>
      <c r="E2445" s="29">
        <f>IF($B2445="","",INDEX(Suivi!$F:$F,2492))</f>
        <v/>
      </c>
      <c r="F2445">
        <f>IF($B2445="","",INDEX(Suivi!$G:$G,2492))</f>
        <v/>
      </c>
      <c r="H2445">
        <f>IF(OR($B2445="",NOT(ISNUMBER($D2445))),"",IF($E2445&lt;$D$2,"Passé",IF($D2445&gt;$F$2,"À venir","Dans la période")))</f>
        <v/>
      </c>
      <c r="I2445">
        <f>IF(OR($B2445="",NOT(ISNUMBER($D2445))),"",IF(AND($E2445&lt;$D$2,$G2445&lt;&gt;"X",$F2445&lt;&gt;"Réalisé",$F2445&lt;&gt;"Clôturé"),"RETARD",""))</f>
        <v/>
      </c>
      <c r="J2445" s="29">
        <f>IF($B2445="","",IF(INDEX(Dossiers!$F$4:$F$63,47)="","",INDEX(Dossiers!$F$4:$F$63,47)))</f>
        <v/>
      </c>
      <c r="K2445" s="29">
        <f>IF($B2445="","",IF(INDEX(Dossiers!$G$4:$G$63,47)="","",INDEX(Dossiers!$G$4:$G$63,47)))</f>
        <v/>
      </c>
    </row>
    <row r="2446">
      <c r="A2446">
        <f>IF($B2446="","",INDEX(Dossiers!$E$4:$E$63,47))</f>
        <v/>
      </c>
      <c r="B2446">
        <f>IF(INDEX(Suivi!$B:$B,2493)="","",INDEX(Suivi!$B:$B,2493))</f>
        <v/>
      </c>
      <c r="C2446">
        <f>IF($B2446="","",IF(INDEX(Suivi!$D:$D,2493)="",INDEX(Suivi!$C:$C,2493),INDEX(Suivi!$D:$D,2493)))</f>
        <v/>
      </c>
      <c r="D2446" s="29">
        <f>IF($B2446="","",INDEX(Suivi!$E:$E,2493))</f>
        <v/>
      </c>
      <c r="E2446" s="29">
        <f>IF($B2446="","",INDEX(Suivi!$F:$F,2493))</f>
        <v/>
      </c>
      <c r="F2446">
        <f>IF($B2446="","",INDEX(Suivi!$G:$G,2493))</f>
        <v/>
      </c>
      <c r="H2446">
        <f>IF(OR($B2446="",NOT(ISNUMBER($D2446))),"",IF($E2446&lt;$D$2,"Passé",IF($D2446&gt;$F$2,"À venir","Dans la période")))</f>
        <v/>
      </c>
      <c r="I2446">
        <f>IF(OR($B2446="",NOT(ISNUMBER($D2446))),"",IF(AND($E2446&lt;$D$2,$G2446&lt;&gt;"X",$F2446&lt;&gt;"Réalisé",$F2446&lt;&gt;"Clôturé"),"RETARD",""))</f>
        <v/>
      </c>
      <c r="J2446" s="29">
        <f>IF($B2446="","",IF(INDEX(Dossiers!$F$4:$F$63,47)="","",INDEX(Dossiers!$F$4:$F$63,47)))</f>
        <v/>
      </c>
      <c r="K2446" s="29">
        <f>IF($B2446="","",IF(INDEX(Dossiers!$G$4:$G$63,47)="","",INDEX(Dossiers!$G$4:$G$63,47)))</f>
        <v/>
      </c>
    </row>
    <row r="2447">
      <c r="A2447">
        <f>IF($B2447="","",INDEX(Dossiers!$E$4:$E$63,47))</f>
        <v/>
      </c>
      <c r="B2447">
        <f>IF(INDEX(Suivi!$B:$B,2494)="","",INDEX(Suivi!$B:$B,2494))</f>
        <v/>
      </c>
      <c r="C2447">
        <f>IF($B2447="","",IF(INDEX(Suivi!$D:$D,2494)="",INDEX(Suivi!$C:$C,2494),INDEX(Suivi!$D:$D,2494)))</f>
        <v/>
      </c>
      <c r="D2447" s="29">
        <f>IF($B2447="","",INDEX(Suivi!$E:$E,2494))</f>
        <v/>
      </c>
      <c r="E2447" s="29">
        <f>IF($B2447="","",INDEX(Suivi!$F:$F,2494))</f>
        <v/>
      </c>
      <c r="F2447">
        <f>IF($B2447="","",INDEX(Suivi!$G:$G,2494))</f>
        <v/>
      </c>
      <c r="H2447">
        <f>IF(OR($B2447="",NOT(ISNUMBER($D2447))),"",IF($E2447&lt;$D$2,"Passé",IF($D2447&gt;$F$2,"À venir","Dans la période")))</f>
        <v/>
      </c>
      <c r="I2447">
        <f>IF(OR($B2447="",NOT(ISNUMBER($D2447))),"",IF(AND($E2447&lt;$D$2,$G2447&lt;&gt;"X",$F2447&lt;&gt;"Réalisé",$F2447&lt;&gt;"Clôturé"),"RETARD",""))</f>
        <v/>
      </c>
      <c r="J2447" s="29">
        <f>IF($B2447="","",IF(INDEX(Dossiers!$F$4:$F$63,47)="","",INDEX(Dossiers!$F$4:$F$63,47)))</f>
        <v/>
      </c>
      <c r="K2447" s="29">
        <f>IF($B2447="","",IF(INDEX(Dossiers!$G$4:$G$63,47)="","",INDEX(Dossiers!$G$4:$G$63,47)))</f>
        <v/>
      </c>
    </row>
    <row r="2448">
      <c r="A2448">
        <f>IF($B2448="","",INDEX(Dossiers!$E$4:$E$63,47))</f>
        <v/>
      </c>
      <c r="B2448">
        <f>IF(INDEX(Suivi!$B:$B,2495)="","",INDEX(Suivi!$B:$B,2495))</f>
        <v/>
      </c>
      <c r="C2448">
        <f>IF($B2448="","",IF(INDEX(Suivi!$D:$D,2495)="",INDEX(Suivi!$C:$C,2495),INDEX(Suivi!$D:$D,2495)))</f>
        <v/>
      </c>
      <c r="D2448" s="29">
        <f>IF($B2448="","",INDEX(Suivi!$E:$E,2495))</f>
        <v/>
      </c>
      <c r="E2448" s="29">
        <f>IF($B2448="","",INDEX(Suivi!$F:$F,2495))</f>
        <v/>
      </c>
      <c r="F2448">
        <f>IF($B2448="","",INDEX(Suivi!$G:$G,2495))</f>
        <v/>
      </c>
      <c r="H2448">
        <f>IF(OR($B2448="",NOT(ISNUMBER($D2448))),"",IF($E2448&lt;$D$2,"Passé",IF($D2448&gt;$F$2,"À venir","Dans la période")))</f>
        <v/>
      </c>
      <c r="I2448">
        <f>IF(OR($B2448="",NOT(ISNUMBER($D2448))),"",IF(AND($E2448&lt;$D$2,$G2448&lt;&gt;"X",$F2448&lt;&gt;"Réalisé",$F2448&lt;&gt;"Clôturé"),"RETARD",""))</f>
        <v/>
      </c>
      <c r="J2448" s="29">
        <f>IF($B2448="","",IF(INDEX(Dossiers!$F$4:$F$63,47)="","",INDEX(Dossiers!$F$4:$F$63,47)))</f>
        <v/>
      </c>
      <c r="K2448" s="29">
        <f>IF($B2448="","",IF(INDEX(Dossiers!$G$4:$G$63,47)="","",INDEX(Dossiers!$G$4:$G$63,47)))</f>
        <v/>
      </c>
    </row>
    <row r="2449">
      <c r="A2449">
        <f>IF($B2449="","",INDEX(Dossiers!$E$4:$E$63,47))</f>
        <v/>
      </c>
      <c r="B2449">
        <f>IF(INDEX(Suivi!$B:$B,2496)="","",INDEX(Suivi!$B:$B,2496))</f>
        <v/>
      </c>
      <c r="C2449">
        <f>IF($B2449="","",IF(INDEX(Suivi!$D:$D,2496)="",INDEX(Suivi!$C:$C,2496),INDEX(Suivi!$D:$D,2496)))</f>
        <v/>
      </c>
      <c r="D2449" s="29">
        <f>IF($B2449="","",INDEX(Suivi!$E:$E,2496))</f>
        <v/>
      </c>
      <c r="E2449" s="29">
        <f>IF($B2449="","",INDEX(Suivi!$F:$F,2496))</f>
        <v/>
      </c>
      <c r="F2449">
        <f>IF($B2449="","",INDEX(Suivi!$G:$G,2496))</f>
        <v/>
      </c>
      <c r="H2449">
        <f>IF(OR($B2449="",NOT(ISNUMBER($D2449))),"",IF($E2449&lt;$D$2,"Passé",IF($D2449&gt;$F$2,"À venir","Dans la période")))</f>
        <v/>
      </c>
      <c r="I2449">
        <f>IF(OR($B2449="",NOT(ISNUMBER($D2449))),"",IF(AND($E2449&lt;$D$2,$G2449&lt;&gt;"X",$F2449&lt;&gt;"Réalisé",$F2449&lt;&gt;"Clôturé"),"RETARD",""))</f>
        <v/>
      </c>
      <c r="J2449" s="29">
        <f>IF($B2449="","",IF(INDEX(Dossiers!$F$4:$F$63,47)="","",INDEX(Dossiers!$F$4:$F$63,47)))</f>
        <v/>
      </c>
      <c r="K2449" s="29">
        <f>IF($B2449="","",IF(INDEX(Dossiers!$G$4:$G$63,47)="","",INDEX(Dossiers!$G$4:$G$63,47)))</f>
        <v/>
      </c>
    </row>
    <row r="2450">
      <c r="A2450">
        <f>IF($B2450="","",INDEX(Dossiers!$E$4:$E$63,47))</f>
        <v/>
      </c>
      <c r="B2450">
        <f>IF(INDEX(Suivi!$B:$B,2497)="","",INDEX(Suivi!$B:$B,2497))</f>
        <v/>
      </c>
      <c r="C2450">
        <f>IF($B2450="","",IF(INDEX(Suivi!$D:$D,2497)="",INDEX(Suivi!$C:$C,2497),INDEX(Suivi!$D:$D,2497)))</f>
        <v/>
      </c>
      <c r="D2450" s="29">
        <f>IF($B2450="","",INDEX(Suivi!$E:$E,2497))</f>
        <v/>
      </c>
      <c r="E2450" s="29">
        <f>IF($B2450="","",INDEX(Suivi!$F:$F,2497))</f>
        <v/>
      </c>
      <c r="F2450">
        <f>IF($B2450="","",INDEX(Suivi!$G:$G,2497))</f>
        <v/>
      </c>
      <c r="H2450">
        <f>IF(OR($B2450="",NOT(ISNUMBER($D2450))),"",IF($E2450&lt;$D$2,"Passé",IF($D2450&gt;$F$2,"À venir","Dans la période")))</f>
        <v/>
      </c>
      <c r="I2450">
        <f>IF(OR($B2450="",NOT(ISNUMBER($D2450))),"",IF(AND($E2450&lt;$D$2,$G2450&lt;&gt;"X",$F2450&lt;&gt;"Réalisé",$F2450&lt;&gt;"Clôturé"),"RETARD",""))</f>
        <v/>
      </c>
      <c r="J2450" s="29">
        <f>IF($B2450="","",IF(INDEX(Dossiers!$F$4:$F$63,47)="","",INDEX(Dossiers!$F$4:$F$63,47)))</f>
        <v/>
      </c>
      <c r="K2450" s="29">
        <f>IF($B2450="","",IF(INDEX(Dossiers!$G$4:$G$63,47)="","",INDEX(Dossiers!$G$4:$G$63,47)))</f>
        <v/>
      </c>
    </row>
    <row r="2451">
      <c r="A2451">
        <f>IF($B2451="","",INDEX(Dossiers!$E$4:$E$63,47))</f>
        <v/>
      </c>
      <c r="B2451">
        <f>IF(INDEX(Suivi!$B:$B,2498)="","",INDEX(Suivi!$B:$B,2498))</f>
        <v/>
      </c>
      <c r="C2451">
        <f>IF($B2451="","",IF(INDEX(Suivi!$D:$D,2498)="",INDEX(Suivi!$C:$C,2498),INDEX(Suivi!$D:$D,2498)))</f>
        <v/>
      </c>
      <c r="D2451" s="29">
        <f>IF($B2451="","",INDEX(Suivi!$E:$E,2498))</f>
        <v/>
      </c>
      <c r="E2451" s="29">
        <f>IF($B2451="","",INDEX(Suivi!$F:$F,2498))</f>
        <v/>
      </c>
      <c r="F2451">
        <f>IF($B2451="","",INDEX(Suivi!$G:$G,2498))</f>
        <v/>
      </c>
      <c r="H2451">
        <f>IF(OR($B2451="",NOT(ISNUMBER($D2451))),"",IF($E2451&lt;$D$2,"Passé",IF($D2451&gt;$F$2,"À venir","Dans la période")))</f>
        <v/>
      </c>
      <c r="I2451">
        <f>IF(OR($B2451="",NOT(ISNUMBER($D2451))),"",IF(AND($E2451&lt;$D$2,$G2451&lt;&gt;"X",$F2451&lt;&gt;"Réalisé",$F2451&lt;&gt;"Clôturé"),"RETARD",""))</f>
        <v/>
      </c>
      <c r="J2451" s="29">
        <f>IF($B2451="","",IF(INDEX(Dossiers!$F$4:$F$63,47)="","",INDEX(Dossiers!$F$4:$F$63,47)))</f>
        <v/>
      </c>
      <c r="K2451" s="29">
        <f>IF($B2451="","",IF(INDEX(Dossiers!$G$4:$G$63,47)="","",INDEX(Dossiers!$G$4:$G$63,47)))</f>
        <v/>
      </c>
    </row>
    <row r="2452">
      <c r="A2452">
        <f>IF($B2452="","",INDEX(Dossiers!$E$4:$E$63,47))</f>
        <v/>
      </c>
      <c r="B2452">
        <f>IF(INDEX(Suivi!$B:$B,2499)="","",INDEX(Suivi!$B:$B,2499))</f>
        <v/>
      </c>
      <c r="C2452">
        <f>IF($B2452="","",IF(INDEX(Suivi!$D:$D,2499)="",INDEX(Suivi!$C:$C,2499),INDEX(Suivi!$D:$D,2499)))</f>
        <v/>
      </c>
      <c r="D2452" s="29">
        <f>IF($B2452="","",INDEX(Suivi!$E:$E,2499))</f>
        <v/>
      </c>
      <c r="E2452" s="29">
        <f>IF($B2452="","",INDEX(Suivi!$F:$F,2499))</f>
        <v/>
      </c>
      <c r="F2452">
        <f>IF($B2452="","",INDEX(Suivi!$G:$G,2499))</f>
        <v/>
      </c>
      <c r="H2452">
        <f>IF(OR($B2452="",NOT(ISNUMBER($D2452))),"",IF($E2452&lt;$D$2,"Passé",IF($D2452&gt;$F$2,"À venir","Dans la période")))</f>
        <v/>
      </c>
      <c r="I2452">
        <f>IF(OR($B2452="",NOT(ISNUMBER($D2452))),"",IF(AND($E2452&lt;$D$2,$G2452&lt;&gt;"X",$F2452&lt;&gt;"Réalisé",$F2452&lt;&gt;"Clôturé"),"RETARD",""))</f>
        <v/>
      </c>
      <c r="J2452" s="29">
        <f>IF($B2452="","",IF(INDEX(Dossiers!$F$4:$F$63,47)="","",INDEX(Dossiers!$F$4:$F$63,47)))</f>
        <v/>
      </c>
      <c r="K2452" s="29">
        <f>IF($B2452="","",IF(INDEX(Dossiers!$G$4:$G$63,47)="","",INDEX(Dossiers!$G$4:$G$63,47)))</f>
        <v/>
      </c>
    </row>
    <row r="2453">
      <c r="A2453">
        <f>IF($B2453="","",INDEX(Dossiers!$E$4:$E$63,47))</f>
        <v/>
      </c>
      <c r="B2453">
        <f>IF(INDEX(Suivi!$B:$B,2500)="","",INDEX(Suivi!$B:$B,2500))</f>
        <v/>
      </c>
      <c r="C2453">
        <f>IF($B2453="","",IF(INDEX(Suivi!$D:$D,2500)="",INDEX(Suivi!$C:$C,2500),INDEX(Suivi!$D:$D,2500)))</f>
        <v/>
      </c>
      <c r="D2453" s="29">
        <f>IF($B2453="","",INDEX(Suivi!$E:$E,2500))</f>
        <v/>
      </c>
      <c r="E2453" s="29">
        <f>IF($B2453="","",INDEX(Suivi!$F:$F,2500))</f>
        <v/>
      </c>
      <c r="F2453">
        <f>IF($B2453="","",INDEX(Suivi!$G:$G,2500))</f>
        <v/>
      </c>
      <c r="H2453">
        <f>IF(OR($B2453="",NOT(ISNUMBER($D2453))),"",IF($E2453&lt;$D$2,"Passé",IF($D2453&gt;$F$2,"À venir","Dans la période")))</f>
        <v/>
      </c>
      <c r="I2453">
        <f>IF(OR($B2453="",NOT(ISNUMBER($D2453))),"",IF(AND($E2453&lt;$D$2,$G2453&lt;&gt;"X",$F2453&lt;&gt;"Réalisé",$F2453&lt;&gt;"Clôturé"),"RETARD",""))</f>
        <v/>
      </c>
      <c r="J2453" s="29">
        <f>IF($B2453="","",IF(INDEX(Dossiers!$F$4:$F$63,47)="","",INDEX(Dossiers!$F$4:$F$63,47)))</f>
        <v/>
      </c>
      <c r="K2453" s="29">
        <f>IF($B2453="","",IF(INDEX(Dossiers!$G$4:$G$63,47)="","",INDEX(Dossiers!$G$4:$G$63,47)))</f>
        <v/>
      </c>
    </row>
    <row r="2454">
      <c r="A2454">
        <f>IF($B2454="","",INDEX(Dossiers!$E$4:$E$63,47))</f>
        <v/>
      </c>
      <c r="B2454">
        <f>IF(INDEX(Suivi!$B:$B,2501)="","",INDEX(Suivi!$B:$B,2501))</f>
        <v/>
      </c>
      <c r="C2454">
        <f>IF($B2454="","",IF(INDEX(Suivi!$D:$D,2501)="",INDEX(Suivi!$C:$C,2501),INDEX(Suivi!$D:$D,2501)))</f>
        <v/>
      </c>
      <c r="D2454" s="29">
        <f>IF($B2454="","",INDEX(Suivi!$E:$E,2501))</f>
        <v/>
      </c>
      <c r="E2454" s="29">
        <f>IF($B2454="","",INDEX(Suivi!$F:$F,2501))</f>
        <v/>
      </c>
      <c r="F2454">
        <f>IF($B2454="","",INDEX(Suivi!$G:$G,2501))</f>
        <v/>
      </c>
      <c r="H2454">
        <f>IF(OR($B2454="",NOT(ISNUMBER($D2454))),"",IF($E2454&lt;$D$2,"Passé",IF($D2454&gt;$F$2,"À venir","Dans la période")))</f>
        <v/>
      </c>
      <c r="I2454">
        <f>IF(OR($B2454="",NOT(ISNUMBER($D2454))),"",IF(AND($E2454&lt;$D$2,$G2454&lt;&gt;"X",$F2454&lt;&gt;"Réalisé",$F2454&lt;&gt;"Clôturé"),"RETARD",""))</f>
        <v/>
      </c>
      <c r="J2454" s="29">
        <f>IF($B2454="","",IF(INDEX(Dossiers!$F$4:$F$63,47)="","",INDEX(Dossiers!$F$4:$F$63,47)))</f>
        <v/>
      </c>
      <c r="K2454" s="29">
        <f>IF($B2454="","",IF(INDEX(Dossiers!$G$4:$G$63,47)="","",INDEX(Dossiers!$G$4:$G$63,47)))</f>
        <v/>
      </c>
    </row>
    <row r="2455">
      <c r="A2455">
        <f>IF($B2455="","",INDEX(Dossiers!$E$4:$E$63,47))</f>
        <v/>
      </c>
      <c r="B2455">
        <f>IF(INDEX(Suivi!$B:$B,2502)="","",INDEX(Suivi!$B:$B,2502))</f>
        <v/>
      </c>
      <c r="C2455">
        <f>IF($B2455="","",IF(INDEX(Suivi!$D:$D,2502)="",INDEX(Suivi!$C:$C,2502),INDEX(Suivi!$D:$D,2502)))</f>
        <v/>
      </c>
      <c r="D2455" s="29">
        <f>IF($B2455="","",INDEX(Suivi!$E:$E,2502))</f>
        <v/>
      </c>
      <c r="E2455" s="29">
        <f>IF($B2455="","",INDEX(Suivi!$F:$F,2502))</f>
        <v/>
      </c>
      <c r="F2455">
        <f>IF($B2455="","",INDEX(Suivi!$G:$G,2502))</f>
        <v/>
      </c>
      <c r="H2455">
        <f>IF(OR($B2455="",NOT(ISNUMBER($D2455))),"",IF($E2455&lt;$D$2,"Passé",IF($D2455&gt;$F$2,"À venir","Dans la période")))</f>
        <v/>
      </c>
      <c r="I2455">
        <f>IF(OR($B2455="",NOT(ISNUMBER($D2455))),"",IF(AND($E2455&lt;$D$2,$G2455&lt;&gt;"X",$F2455&lt;&gt;"Réalisé",$F2455&lt;&gt;"Clôturé"),"RETARD",""))</f>
        <v/>
      </c>
      <c r="J2455" s="29">
        <f>IF($B2455="","",IF(INDEX(Dossiers!$F$4:$F$63,47)="","",INDEX(Dossiers!$F$4:$F$63,47)))</f>
        <v/>
      </c>
      <c r="K2455" s="29">
        <f>IF($B2455="","",IF(INDEX(Dossiers!$G$4:$G$63,47)="","",INDEX(Dossiers!$G$4:$G$63,47)))</f>
        <v/>
      </c>
    </row>
    <row r="2456">
      <c r="A2456">
        <f>IF($B2456="","",INDEX(Dossiers!$E$4:$E$63,47))</f>
        <v/>
      </c>
      <c r="B2456">
        <f>IF(INDEX(Suivi!$B:$B,2503)="","",INDEX(Suivi!$B:$B,2503))</f>
        <v/>
      </c>
      <c r="C2456">
        <f>IF($B2456="","",IF(INDEX(Suivi!$D:$D,2503)="",INDEX(Suivi!$C:$C,2503),INDEX(Suivi!$D:$D,2503)))</f>
        <v/>
      </c>
      <c r="D2456" s="29">
        <f>IF($B2456="","",INDEX(Suivi!$E:$E,2503))</f>
        <v/>
      </c>
      <c r="E2456" s="29">
        <f>IF($B2456="","",INDEX(Suivi!$F:$F,2503))</f>
        <v/>
      </c>
      <c r="F2456">
        <f>IF($B2456="","",INDEX(Suivi!$G:$G,2503))</f>
        <v/>
      </c>
      <c r="H2456">
        <f>IF(OR($B2456="",NOT(ISNUMBER($D2456))),"",IF($E2456&lt;$D$2,"Passé",IF($D2456&gt;$F$2,"À venir","Dans la période")))</f>
        <v/>
      </c>
      <c r="I2456">
        <f>IF(OR($B2456="",NOT(ISNUMBER($D2456))),"",IF(AND($E2456&lt;$D$2,$G2456&lt;&gt;"X",$F2456&lt;&gt;"Réalisé",$F2456&lt;&gt;"Clôturé"),"RETARD",""))</f>
        <v/>
      </c>
      <c r="J2456" s="29">
        <f>IF($B2456="","",IF(INDEX(Dossiers!$F$4:$F$63,47)="","",INDEX(Dossiers!$F$4:$F$63,47)))</f>
        <v/>
      </c>
      <c r="K2456" s="29">
        <f>IF($B2456="","",IF(INDEX(Dossiers!$G$4:$G$63,47)="","",INDEX(Dossiers!$G$4:$G$63,47)))</f>
        <v/>
      </c>
    </row>
    <row r="2457">
      <c r="A2457">
        <f>IF($B2457="","",INDEX(Dossiers!$E$4:$E$63,47))</f>
        <v/>
      </c>
      <c r="B2457">
        <f>IF(INDEX(Suivi!$B:$B,2504)="","",INDEX(Suivi!$B:$B,2504))</f>
        <v/>
      </c>
      <c r="C2457">
        <f>IF($B2457="","",IF(INDEX(Suivi!$D:$D,2504)="",INDEX(Suivi!$C:$C,2504),INDEX(Suivi!$D:$D,2504)))</f>
        <v/>
      </c>
      <c r="D2457" s="29">
        <f>IF($B2457="","",INDEX(Suivi!$E:$E,2504))</f>
        <v/>
      </c>
      <c r="E2457" s="29">
        <f>IF($B2457="","",INDEX(Suivi!$F:$F,2504))</f>
        <v/>
      </c>
      <c r="F2457">
        <f>IF($B2457="","",INDEX(Suivi!$G:$G,2504))</f>
        <v/>
      </c>
      <c r="H2457">
        <f>IF(OR($B2457="",NOT(ISNUMBER($D2457))),"",IF($E2457&lt;$D$2,"Passé",IF($D2457&gt;$F$2,"À venir","Dans la période")))</f>
        <v/>
      </c>
      <c r="I2457">
        <f>IF(OR($B2457="",NOT(ISNUMBER($D2457))),"",IF(AND($E2457&lt;$D$2,$G2457&lt;&gt;"X",$F2457&lt;&gt;"Réalisé",$F2457&lt;&gt;"Clôturé"),"RETARD",""))</f>
        <v/>
      </c>
      <c r="J2457" s="29">
        <f>IF($B2457="","",IF(INDEX(Dossiers!$F$4:$F$63,47)="","",INDEX(Dossiers!$F$4:$F$63,47)))</f>
        <v/>
      </c>
      <c r="K2457" s="29">
        <f>IF($B2457="","",IF(INDEX(Dossiers!$G$4:$G$63,47)="","",INDEX(Dossiers!$G$4:$G$63,47)))</f>
        <v/>
      </c>
    </row>
    <row r="2458">
      <c r="A2458">
        <f>IF($B2458="","",INDEX(Dossiers!$E$4:$E$63,47))</f>
        <v/>
      </c>
      <c r="B2458">
        <f>IF(INDEX(Suivi!$B:$B,2505)="","",INDEX(Suivi!$B:$B,2505))</f>
        <v/>
      </c>
      <c r="C2458">
        <f>IF($B2458="","",IF(INDEX(Suivi!$D:$D,2505)="",INDEX(Suivi!$C:$C,2505),INDEX(Suivi!$D:$D,2505)))</f>
        <v/>
      </c>
      <c r="D2458" s="29">
        <f>IF($B2458="","",INDEX(Suivi!$E:$E,2505))</f>
        <v/>
      </c>
      <c r="E2458" s="29">
        <f>IF($B2458="","",INDEX(Suivi!$F:$F,2505))</f>
        <v/>
      </c>
      <c r="F2458">
        <f>IF($B2458="","",INDEX(Suivi!$G:$G,2505))</f>
        <v/>
      </c>
      <c r="H2458">
        <f>IF(OR($B2458="",NOT(ISNUMBER($D2458))),"",IF($E2458&lt;$D$2,"Passé",IF($D2458&gt;$F$2,"À venir","Dans la période")))</f>
        <v/>
      </c>
      <c r="I2458">
        <f>IF(OR($B2458="",NOT(ISNUMBER($D2458))),"",IF(AND($E2458&lt;$D$2,$G2458&lt;&gt;"X",$F2458&lt;&gt;"Réalisé",$F2458&lt;&gt;"Clôturé"),"RETARD",""))</f>
        <v/>
      </c>
      <c r="J2458" s="29">
        <f>IF($B2458="","",IF(INDEX(Dossiers!$F$4:$F$63,47)="","",INDEX(Dossiers!$F$4:$F$63,47)))</f>
        <v/>
      </c>
      <c r="K2458" s="29">
        <f>IF($B2458="","",IF(INDEX(Dossiers!$G$4:$G$63,47)="","",INDEX(Dossiers!$G$4:$G$63,47)))</f>
        <v/>
      </c>
    </row>
    <row r="2459">
      <c r="A2459">
        <f>IF($B2459="","",INDEX(Dossiers!$E$4:$E$63,47))</f>
        <v/>
      </c>
      <c r="B2459">
        <f>IF(INDEX(Suivi!$B:$B,2506)="","",INDEX(Suivi!$B:$B,2506))</f>
        <v/>
      </c>
      <c r="C2459">
        <f>IF($B2459="","",IF(INDEX(Suivi!$D:$D,2506)="",INDEX(Suivi!$C:$C,2506),INDEX(Suivi!$D:$D,2506)))</f>
        <v/>
      </c>
      <c r="D2459" s="29">
        <f>IF($B2459="","",INDEX(Suivi!$E:$E,2506))</f>
        <v/>
      </c>
      <c r="E2459" s="29">
        <f>IF($B2459="","",INDEX(Suivi!$F:$F,2506))</f>
        <v/>
      </c>
      <c r="F2459">
        <f>IF($B2459="","",INDEX(Suivi!$G:$G,2506))</f>
        <v/>
      </c>
      <c r="H2459">
        <f>IF(OR($B2459="",NOT(ISNUMBER($D2459))),"",IF($E2459&lt;$D$2,"Passé",IF($D2459&gt;$F$2,"À venir","Dans la période")))</f>
        <v/>
      </c>
      <c r="I2459">
        <f>IF(OR($B2459="",NOT(ISNUMBER($D2459))),"",IF(AND($E2459&lt;$D$2,$G2459&lt;&gt;"X",$F2459&lt;&gt;"Réalisé",$F2459&lt;&gt;"Clôturé"),"RETARD",""))</f>
        <v/>
      </c>
      <c r="J2459" s="29">
        <f>IF($B2459="","",IF(INDEX(Dossiers!$F$4:$F$63,47)="","",INDEX(Dossiers!$F$4:$F$63,47)))</f>
        <v/>
      </c>
      <c r="K2459" s="29">
        <f>IF($B2459="","",IF(INDEX(Dossiers!$G$4:$G$63,47)="","",INDEX(Dossiers!$G$4:$G$63,47)))</f>
        <v/>
      </c>
    </row>
    <row r="2460">
      <c r="A2460">
        <f>IF($B2460="","",INDEX(Dossiers!$E$4:$E$63,47))</f>
        <v/>
      </c>
      <c r="B2460">
        <f>IF(INDEX(Suivi!$B:$B,2507)="","",INDEX(Suivi!$B:$B,2507))</f>
        <v/>
      </c>
      <c r="C2460">
        <f>IF($B2460="","",IF(INDEX(Suivi!$D:$D,2507)="",INDEX(Suivi!$C:$C,2507),INDEX(Suivi!$D:$D,2507)))</f>
        <v/>
      </c>
      <c r="D2460" s="29">
        <f>IF($B2460="","",INDEX(Suivi!$E:$E,2507))</f>
        <v/>
      </c>
      <c r="E2460" s="29">
        <f>IF($B2460="","",INDEX(Suivi!$F:$F,2507))</f>
        <v/>
      </c>
      <c r="F2460">
        <f>IF($B2460="","",INDEX(Suivi!$G:$G,2507))</f>
        <v/>
      </c>
      <c r="H2460">
        <f>IF(OR($B2460="",NOT(ISNUMBER($D2460))),"",IF($E2460&lt;$D$2,"Passé",IF($D2460&gt;$F$2,"À venir","Dans la période")))</f>
        <v/>
      </c>
      <c r="I2460">
        <f>IF(OR($B2460="",NOT(ISNUMBER($D2460))),"",IF(AND($E2460&lt;$D$2,$G2460&lt;&gt;"X",$F2460&lt;&gt;"Réalisé",$F2460&lt;&gt;"Clôturé"),"RETARD",""))</f>
        <v/>
      </c>
      <c r="J2460" s="29">
        <f>IF($B2460="","",IF(INDEX(Dossiers!$F$4:$F$63,47)="","",INDEX(Dossiers!$F$4:$F$63,47)))</f>
        <v/>
      </c>
      <c r="K2460" s="29">
        <f>IF($B2460="","",IF(INDEX(Dossiers!$G$4:$G$63,47)="","",INDEX(Dossiers!$G$4:$G$63,47)))</f>
        <v/>
      </c>
    </row>
    <row r="2461">
      <c r="A2461">
        <f>IF($B2461="","",INDEX(Dossiers!$E$4:$E$63,47))</f>
        <v/>
      </c>
      <c r="B2461">
        <f>IF(INDEX(Suivi!$B:$B,2508)="","",INDEX(Suivi!$B:$B,2508))</f>
        <v/>
      </c>
      <c r="C2461">
        <f>IF($B2461="","",IF(INDEX(Suivi!$D:$D,2508)="",INDEX(Suivi!$C:$C,2508),INDEX(Suivi!$D:$D,2508)))</f>
        <v/>
      </c>
      <c r="D2461" s="29">
        <f>IF($B2461="","",INDEX(Suivi!$E:$E,2508))</f>
        <v/>
      </c>
      <c r="E2461" s="29">
        <f>IF($B2461="","",INDEX(Suivi!$F:$F,2508))</f>
        <v/>
      </c>
      <c r="F2461">
        <f>IF($B2461="","",INDEX(Suivi!$G:$G,2508))</f>
        <v/>
      </c>
      <c r="H2461">
        <f>IF(OR($B2461="",NOT(ISNUMBER($D2461))),"",IF($E2461&lt;$D$2,"Passé",IF($D2461&gt;$F$2,"À venir","Dans la période")))</f>
        <v/>
      </c>
      <c r="I2461">
        <f>IF(OR($B2461="",NOT(ISNUMBER($D2461))),"",IF(AND($E2461&lt;$D$2,$G2461&lt;&gt;"X",$F2461&lt;&gt;"Réalisé",$F2461&lt;&gt;"Clôturé"),"RETARD",""))</f>
        <v/>
      </c>
      <c r="J2461" s="29">
        <f>IF($B2461="","",IF(INDEX(Dossiers!$F$4:$F$63,47)="","",INDEX(Dossiers!$F$4:$F$63,47)))</f>
        <v/>
      </c>
      <c r="K2461" s="29">
        <f>IF($B2461="","",IF(INDEX(Dossiers!$G$4:$G$63,47)="","",INDEX(Dossiers!$G$4:$G$63,47)))</f>
        <v/>
      </c>
    </row>
    <row r="2462">
      <c r="A2462">
        <f>IF($B2462="","",INDEX(Dossiers!$E$4:$E$63,47))</f>
        <v/>
      </c>
      <c r="B2462">
        <f>IF(INDEX(Suivi!$B:$B,2509)="","",INDEX(Suivi!$B:$B,2509))</f>
        <v/>
      </c>
      <c r="C2462">
        <f>IF($B2462="","",IF(INDEX(Suivi!$D:$D,2509)="",INDEX(Suivi!$C:$C,2509),INDEX(Suivi!$D:$D,2509)))</f>
        <v/>
      </c>
      <c r="D2462" s="29">
        <f>IF($B2462="","",INDEX(Suivi!$E:$E,2509))</f>
        <v/>
      </c>
      <c r="E2462" s="29">
        <f>IF($B2462="","",INDEX(Suivi!$F:$F,2509))</f>
        <v/>
      </c>
      <c r="F2462">
        <f>IF($B2462="","",INDEX(Suivi!$G:$G,2509))</f>
        <v/>
      </c>
      <c r="H2462">
        <f>IF(OR($B2462="",NOT(ISNUMBER($D2462))),"",IF($E2462&lt;$D$2,"Passé",IF($D2462&gt;$F$2,"À venir","Dans la période")))</f>
        <v/>
      </c>
      <c r="I2462">
        <f>IF(OR($B2462="",NOT(ISNUMBER($D2462))),"",IF(AND($E2462&lt;$D$2,$G2462&lt;&gt;"X",$F2462&lt;&gt;"Réalisé",$F2462&lt;&gt;"Clôturé"),"RETARD",""))</f>
        <v/>
      </c>
      <c r="J2462" s="29">
        <f>IF($B2462="","",IF(INDEX(Dossiers!$F$4:$F$63,47)="","",INDEX(Dossiers!$F$4:$F$63,47)))</f>
        <v/>
      </c>
      <c r="K2462" s="29">
        <f>IF($B2462="","",IF(INDEX(Dossiers!$G$4:$G$63,47)="","",INDEX(Dossiers!$G$4:$G$63,47)))</f>
        <v/>
      </c>
    </row>
    <row r="2463">
      <c r="A2463">
        <f>IF($B2463="","",INDEX(Dossiers!$E$4:$E$63,47))</f>
        <v/>
      </c>
      <c r="B2463">
        <f>IF(INDEX(Suivi!$B:$B,2510)="","",INDEX(Suivi!$B:$B,2510))</f>
        <v/>
      </c>
      <c r="C2463">
        <f>IF($B2463="","",IF(INDEX(Suivi!$D:$D,2510)="",INDEX(Suivi!$C:$C,2510),INDEX(Suivi!$D:$D,2510)))</f>
        <v/>
      </c>
      <c r="D2463" s="29">
        <f>IF($B2463="","",INDEX(Suivi!$E:$E,2510))</f>
        <v/>
      </c>
      <c r="E2463" s="29">
        <f>IF($B2463="","",INDEX(Suivi!$F:$F,2510))</f>
        <v/>
      </c>
      <c r="F2463">
        <f>IF($B2463="","",INDEX(Suivi!$G:$G,2510))</f>
        <v/>
      </c>
      <c r="H2463">
        <f>IF(OR($B2463="",NOT(ISNUMBER($D2463))),"",IF($E2463&lt;$D$2,"Passé",IF($D2463&gt;$F$2,"À venir","Dans la période")))</f>
        <v/>
      </c>
      <c r="I2463">
        <f>IF(OR($B2463="",NOT(ISNUMBER($D2463))),"",IF(AND($E2463&lt;$D$2,$G2463&lt;&gt;"X",$F2463&lt;&gt;"Réalisé",$F2463&lt;&gt;"Clôturé"),"RETARD",""))</f>
        <v/>
      </c>
      <c r="J2463" s="29">
        <f>IF($B2463="","",IF(INDEX(Dossiers!$F$4:$F$63,47)="","",INDEX(Dossiers!$F$4:$F$63,47)))</f>
        <v/>
      </c>
      <c r="K2463" s="29">
        <f>IF($B2463="","",IF(INDEX(Dossiers!$G$4:$G$63,47)="","",INDEX(Dossiers!$G$4:$G$63,47)))</f>
        <v/>
      </c>
    </row>
    <row r="2464">
      <c r="A2464">
        <f>IF($B2464="","",INDEX(Dossiers!$E$4:$E$63,47))</f>
        <v/>
      </c>
      <c r="B2464">
        <f>IF(INDEX(Suivi!$B:$B,2511)="","",INDEX(Suivi!$B:$B,2511))</f>
        <v/>
      </c>
      <c r="C2464">
        <f>IF($B2464="","",IF(INDEX(Suivi!$D:$D,2511)="",INDEX(Suivi!$C:$C,2511),INDEX(Suivi!$D:$D,2511)))</f>
        <v/>
      </c>
      <c r="D2464" s="29">
        <f>IF($B2464="","",INDEX(Suivi!$E:$E,2511))</f>
        <v/>
      </c>
      <c r="E2464" s="29">
        <f>IF($B2464="","",INDEX(Suivi!$F:$F,2511))</f>
        <v/>
      </c>
      <c r="F2464">
        <f>IF($B2464="","",INDEX(Suivi!$G:$G,2511))</f>
        <v/>
      </c>
      <c r="H2464">
        <f>IF(OR($B2464="",NOT(ISNUMBER($D2464))),"",IF($E2464&lt;$D$2,"Passé",IF($D2464&gt;$F$2,"À venir","Dans la période")))</f>
        <v/>
      </c>
      <c r="I2464">
        <f>IF(OR($B2464="",NOT(ISNUMBER($D2464))),"",IF(AND($E2464&lt;$D$2,$G2464&lt;&gt;"X",$F2464&lt;&gt;"Réalisé",$F2464&lt;&gt;"Clôturé"),"RETARD",""))</f>
        <v/>
      </c>
      <c r="J2464" s="29">
        <f>IF($B2464="","",IF(INDEX(Dossiers!$F$4:$F$63,47)="","",INDEX(Dossiers!$F$4:$F$63,47)))</f>
        <v/>
      </c>
      <c r="K2464" s="29">
        <f>IF($B2464="","",IF(INDEX(Dossiers!$G$4:$G$63,47)="","",INDEX(Dossiers!$G$4:$G$63,47)))</f>
        <v/>
      </c>
    </row>
    <row r="2465">
      <c r="A2465">
        <f>IF($B2465="","",INDEX(Dossiers!$E$4:$E$63,47))</f>
        <v/>
      </c>
      <c r="B2465">
        <f>IF(INDEX(Suivi!$B:$B,2512)="","",INDEX(Suivi!$B:$B,2512))</f>
        <v/>
      </c>
      <c r="C2465">
        <f>IF($B2465="","",IF(INDEX(Suivi!$D:$D,2512)="",INDEX(Suivi!$C:$C,2512),INDEX(Suivi!$D:$D,2512)))</f>
        <v/>
      </c>
      <c r="D2465" s="29">
        <f>IF($B2465="","",INDEX(Suivi!$E:$E,2512))</f>
        <v/>
      </c>
      <c r="E2465" s="29">
        <f>IF($B2465="","",INDEX(Suivi!$F:$F,2512))</f>
        <v/>
      </c>
      <c r="F2465">
        <f>IF($B2465="","",INDEX(Suivi!$G:$G,2512))</f>
        <v/>
      </c>
      <c r="H2465">
        <f>IF(OR($B2465="",NOT(ISNUMBER($D2465))),"",IF($E2465&lt;$D$2,"Passé",IF($D2465&gt;$F$2,"À venir","Dans la période")))</f>
        <v/>
      </c>
      <c r="I2465">
        <f>IF(OR($B2465="",NOT(ISNUMBER($D2465))),"",IF(AND($E2465&lt;$D$2,$G2465&lt;&gt;"X",$F2465&lt;&gt;"Réalisé",$F2465&lt;&gt;"Clôturé"),"RETARD",""))</f>
        <v/>
      </c>
      <c r="J2465" s="29">
        <f>IF($B2465="","",IF(INDEX(Dossiers!$F$4:$F$63,47)="","",INDEX(Dossiers!$F$4:$F$63,47)))</f>
        <v/>
      </c>
      <c r="K2465" s="29">
        <f>IF($B2465="","",IF(INDEX(Dossiers!$G$4:$G$63,47)="","",INDEX(Dossiers!$G$4:$G$63,47)))</f>
        <v/>
      </c>
    </row>
    <row r="2466">
      <c r="A2466">
        <f>IF($B2466="","",INDEX(Dossiers!$E$4:$E$63,47))</f>
        <v/>
      </c>
      <c r="B2466">
        <f>IF(INDEX(Suivi!$B:$B,2513)="","",INDEX(Suivi!$B:$B,2513))</f>
        <v/>
      </c>
      <c r="C2466">
        <f>IF($B2466="","",IF(INDEX(Suivi!$D:$D,2513)="",INDEX(Suivi!$C:$C,2513),INDEX(Suivi!$D:$D,2513)))</f>
        <v/>
      </c>
      <c r="D2466" s="29">
        <f>IF($B2466="","",INDEX(Suivi!$E:$E,2513))</f>
        <v/>
      </c>
      <c r="E2466" s="29">
        <f>IF($B2466="","",INDEX(Suivi!$F:$F,2513))</f>
        <v/>
      </c>
      <c r="F2466">
        <f>IF($B2466="","",INDEX(Suivi!$G:$G,2513))</f>
        <v/>
      </c>
      <c r="H2466">
        <f>IF(OR($B2466="",NOT(ISNUMBER($D2466))),"",IF($E2466&lt;$D$2,"Passé",IF($D2466&gt;$F$2,"À venir","Dans la période")))</f>
        <v/>
      </c>
      <c r="I2466">
        <f>IF(OR($B2466="",NOT(ISNUMBER($D2466))),"",IF(AND($E2466&lt;$D$2,$G2466&lt;&gt;"X",$F2466&lt;&gt;"Réalisé",$F2466&lt;&gt;"Clôturé"),"RETARD",""))</f>
        <v/>
      </c>
      <c r="J2466" s="29">
        <f>IF($B2466="","",IF(INDEX(Dossiers!$F$4:$F$63,47)="","",INDEX(Dossiers!$F$4:$F$63,47)))</f>
        <v/>
      </c>
      <c r="K2466" s="29">
        <f>IF($B2466="","",IF(INDEX(Dossiers!$G$4:$G$63,47)="","",INDEX(Dossiers!$G$4:$G$63,47)))</f>
        <v/>
      </c>
    </row>
    <row r="2467">
      <c r="A2467">
        <f>IF($B2467="","",INDEX(Dossiers!$E$4:$E$63,47))</f>
        <v/>
      </c>
      <c r="B2467">
        <f>IF(INDEX(Suivi!$B:$B,2514)="","",INDEX(Suivi!$B:$B,2514))</f>
        <v/>
      </c>
      <c r="C2467">
        <f>IF($B2467="","",IF(INDEX(Suivi!$D:$D,2514)="",INDEX(Suivi!$C:$C,2514),INDEX(Suivi!$D:$D,2514)))</f>
        <v/>
      </c>
      <c r="D2467" s="29">
        <f>IF($B2467="","",INDEX(Suivi!$E:$E,2514))</f>
        <v/>
      </c>
      <c r="E2467" s="29">
        <f>IF($B2467="","",INDEX(Suivi!$F:$F,2514))</f>
        <v/>
      </c>
      <c r="F2467">
        <f>IF($B2467="","",INDEX(Suivi!$G:$G,2514))</f>
        <v/>
      </c>
      <c r="H2467">
        <f>IF(OR($B2467="",NOT(ISNUMBER($D2467))),"",IF($E2467&lt;$D$2,"Passé",IF($D2467&gt;$F$2,"À venir","Dans la période")))</f>
        <v/>
      </c>
      <c r="I2467">
        <f>IF(OR($B2467="",NOT(ISNUMBER($D2467))),"",IF(AND($E2467&lt;$D$2,$G2467&lt;&gt;"X",$F2467&lt;&gt;"Réalisé",$F2467&lt;&gt;"Clôturé"),"RETARD",""))</f>
        <v/>
      </c>
      <c r="J2467" s="29">
        <f>IF($B2467="","",IF(INDEX(Dossiers!$F$4:$F$63,47)="","",INDEX(Dossiers!$F$4:$F$63,47)))</f>
        <v/>
      </c>
      <c r="K2467" s="29">
        <f>IF($B2467="","",IF(INDEX(Dossiers!$G$4:$G$63,47)="","",INDEX(Dossiers!$G$4:$G$63,47)))</f>
        <v/>
      </c>
    </row>
    <row r="2468">
      <c r="A2468">
        <f>IF($B2468="","",INDEX(Dossiers!$E$4:$E$63,47))</f>
        <v/>
      </c>
      <c r="B2468">
        <f>IF(INDEX(Suivi!$B:$B,2515)="","",INDEX(Suivi!$B:$B,2515))</f>
        <v/>
      </c>
      <c r="C2468">
        <f>IF($B2468="","",IF(INDEX(Suivi!$D:$D,2515)="",INDEX(Suivi!$C:$C,2515),INDEX(Suivi!$D:$D,2515)))</f>
        <v/>
      </c>
      <c r="D2468" s="29">
        <f>IF($B2468="","",INDEX(Suivi!$E:$E,2515))</f>
        <v/>
      </c>
      <c r="E2468" s="29">
        <f>IF($B2468="","",INDEX(Suivi!$F:$F,2515))</f>
        <v/>
      </c>
      <c r="F2468">
        <f>IF($B2468="","",INDEX(Suivi!$G:$G,2515))</f>
        <v/>
      </c>
      <c r="H2468">
        <f>IF(OR($B2468="",NOT(ISNUMBER($D2468))),"",IF($E2468&lt;$D$2,"Passé",IF($D2468&gt;$F$2,"À venir","Dans la période")))</f>
        <v/>
      </c>
      <c r="I2468">
        <f>IF(OR($B2468="",NOT(ISNUMBER($D2468))),"",IF(AND($E2468&lt;$D$2,$G2468&lt;&gt;"X",$F2468&lt;&gt;"Réalisé",$F2468&lt;&gt;"Clôturé"),"RETARD",""))</f>
        <v/>
      </c>
      <c r="J2468" s="29">
        <f>IF($B2468="","",IF(INDEX(Dossiers!$F$4:$F$63,47)="","",INDEX(Dossiers!$F$4:$F$63,47)))</f>
        <v/>
      </c>
      <c r="K2468" s="29">
        <f>IF($B2468="","",IF(INDEX(Dossiers!$G$4:$G$63,47)="","",INDEX(Dossiers!$G$4:$G$63,47)))</f>
        <v/>
      </c>
    </row>
    <row r="2469">
      <c r="A2469">
        <f>IF($B2469="","",INDEX(Dossiers!$E$4:$E$63,47))</f>
        <v/>
      </c>
      <c r="B2469">
        <f>IF(INDEX(Suivi!$B:$B,2516)="","",INDEX(Suivi!$B:$B,2516))</f>
        <v/>
      </c>
      <c r="C2469">
        <f>IF($B2469="","",IF(INDEX(Suivi!$D:$D,2516)="",INDEX(Suivi!$C:$C,2516),INDEX(Suivi!$D:$D,2516)))</f>
        <v/>
      </c>
      <c r="D2469" s="29">
        <f>IF($B2469="","",INDEX(Suivi!$E:$E,2516))</f>
        <v/>
      </c>
      <c r="E2469" s="29">
        <f>IF($B2469="","",INDEX(Suivi!$F:$F,2516))</f>
        <v/>
      </c>
      <c r="F2469">
        <f>IF($B2469="","",INDEX(Suivi!$G:$G,2516))</f>
        <v/>
      </c>
      <c r="H2469">
        <f>IF(OR($B2469="",NOT(ISNUMBER($D2469))),"",IF($E2469&lt;$D$2,"Passé",IF($D2469&gt;$F$2,"À venir","Dans la période")))</f>
        <v/>
      </c>
      <c r="I2469">
        <f>IF(OR($B2469="",NOT(ISNUMBER($D2469))),"",IF(AND($E2469&lt;$D$2,$G2469&lt;&gt;"X",$F2469&lt;&gt;"Réalisé",$F2469&lt;&gt;"Clôturé"),"RETARD",""))</f>
        <v/>
      </c>
      <c r="J2469" s="29">
        <f>IF($B2469="","",IF(INDEX(Dossiers!$F$4:$F$63,47)="","",INDEX(Dossiers!$F$4:$F$63,47)))</f>
        <v/>
      </c>
      <c r="K2469" s="29">
        <f>IF($B2469="","",IF(INDEX(Dossiers!$G$4:$G$63,47)="","",INDEX(Dossiers!$G$4:$G$63,47)))</f>
        <v/>
      </c>
    </row>
    <row r="2470">
      <c r="A2470">
        <f>IF($B2470="","",INDEX(Dossiers!$E$4:$E$63,47))</f>
        <v/>
      </c>
      <c r="B2470">
        <f>IF(INDEX(Suivi!$B:$B,2517)="","",INDEX(Suivi!$B:$B,2517))</f>
        <v/>
      </c>
      <c r="C2470">
        <f>IF($B2470="","",IF(INDEX(Suivi!$D:$D,2517)="",INDEX(Suivi!$C:$C,2517),INDEX(Suivi!$D:$D,2517)))</f>
        <v/>
      </c>
      <c r="D2470" s="29">
        <f>IF($B2470="","",INDEX(Suivi!$E:$E,2517))</f>
        <v/>
      </c>
      <c r="E2470" s="29">
        <f>IF($B2470="","",INDEX(Suivi!$F:$F,2517))</f>
        <v/>
      </c>
      <c r="F2470">
        <f>IF($B2470="","",INDEX(Suivi!$G:$G,2517))</f>
        <v/>
      </c>
      <c r="H2470">
        <f>IF(OR($B2470="",NOT(ISNUMBER($D2470))),"",IF($E2470&lt;$D$2,"Passé",IF($D2470&gt;$F$2,"À venir","Dans la période")))</f>
        <v/>
      </c>
      <c r="I2470">
        <f>IF(OR($B2470="",NOT(ISNUMBER($D2470))),"",IF(AND($E2470&lt;$D$2,$G2470&lt;&gt;"X",$F2470&lt;&gt;"Réalisé",$F2470&lt;&gt;"Clôturé"),"RETARD",""))</f>
        <v/>
      </c>
      <c r="J2470" s="29">
        <f>IF($B2470="","",IF(INDEX(Dossiers!$F$4:$F$63,47)="","",INDEX(Dossiers!$F$4:$F$63,47)))</f>
        <v/>
      </c>
      <c r="K2470" s="29">
        <f>IF($B2470="","",IF(INDEX(Dossiers!$G$4:$G$63,47)="","",INDEX(Dossiers!$G$4:$G$63,47)))</f>
        <v/>
      </c>
    </row>
    <row r="2471">
      <c r="A2471">
        <f>IF($B2471="","",INDEX(Dossiers!$E$4:$E$63,47))</f>
        <v/>
      </c>
      <c r="B2471">
        <f>IF(INDEX(Suivi!$B:$B,2518)="","",INDEX(Suivi!$B:$B,2518))</f>
        <v/>
      </c>
      <c r="C2471">
        <f>IF($B2471="","",IF(INDEX(Suivi!$D:$D,2518)="",INDEX(Suivi!$C:$C,2518),INDEX(Suivi!$D:$D,2518)))</f>
        <v/>
      </c>
      <c r="D2471" s="29">
        <f>IF($B2471="","",INDEX(Suivi!$E:$E,2518))</f>
        <v/>
      </c>
      <c r="E2471" s="29">
        <f>IF($B2471="","",INDEX(Suivi!$F:$F,2518))</f>
        <v/>
      </c>
      <c r="F2471">
        <f>IF($B2471="","",INDEX(Suivi!$G:$G,2518))</f>
        <v/>
      </c>
      <c r="H2471">
        <f>IF(OR($B2471="",NOT(ISNUMBER($D2471))),"",IF($E2471&lt;$D$2,"Passé",IF($D2471&gt;$F$2,"À venir","Dans la période")))</f>
        <v/>
      </c>
      <c r="I2471">
        <f>IF(OR($B2471="",NOT(ISNUMBER($D2471))),"",IF(AND($E2471&lt;$D$2,$G2471&lt;&gt;"X",$F2471&lt;&gt;"Réalisé",$F2471&lt;&gt;"Clôturé"),"RETARD",""))</f>
        <v/>
      </c>
      <c r="J2471" s="29">
        <f>IF($B2471="","",IF(INDEX(Dossiers!$F$4:$F$63,47)="","",INDEX(Dossiers!$F$4:$F$63,47)))</f>
        <v/>
      </c>
      <c r="K2471" s="29">
        <f>IF($B2471="","",IF(INDEX(Dossiers!$G$4:$G$63,47)="","",INDEX(Dossiers!$G$4:$G$63,47)))</f>
        <v/>
      </c>
    </row>
    <row r="2472">
      <c r="A2472">
        <f>IF($B2472="","",INDEX(Dossiers!$E$4:$E$63,47))</f>
        <v/>
      </c>
      <c r="B2472">
        <f>IF(INDEX(Suivi!$B:$B,2519)="","",INDEX(Suivi!$B:$B,2519))</f>
        <v/>
      </c>
      <c r="C2472">
        <f>IF($B2472="","",IF(INDEX(Suivi!$D:$D,2519)="",INDEX(Suivi!$C:$C,2519),INDEX(Suivi!$D:$D,2519)))</f>
        <v/>
      </c>
      <c r="D2472" s="29">
        <f>IF($B2472="","",INDEX(Suivi!$E:$E,2519))</f>
        <v/>
      </c>
      <c r="E2472" s="29">
        <f>IF($B2472="","",INDEX(Suivi!$F:$F,2519))</f>
        <v/>
      </c>
      <c r="F2472">
        <f>IF($B2472="","",INDEX(Suivi!$G:$G,2519))</f>
        <v/>
      </c>
      <c r="H2472">
        <f>IF(OR($B2472="",NOT(ISNUMBER($D2472))),"",IF($E2472&lt;$D$2,"Passé",IF($D2472&gt;$F$2,"À venir","Dans la période")))</f>
        <v/>
      </c>
      <c r="I2472">
        <f>IF(OR($B2472="",NOT(ISNUMBER($D2472))),"",IF(AND($E2472&lt;$D$2,$G2472&lt;&gt;"X",$F2472&lt;&gt;"Réalisé",$F2472&lt;&gt;"Clôturé"),"RETARD",""))</f>
        <v/>
      </c>
      <c r="J2472" s="29">
        <f>IF($B2472="","",IF(INDEX(Dossiers!$F$4:$F$63,47)="","",INDEX(Dossiers!$F$4:$F$63,47)))</f>
        <v/>
      </c>
      <c r="K2472" s="29">
        <f>IF($B2472="","",IF(INDEX(Dossiers!$G$4:$G$63,47)="","",INDEX(Dossiers!$G$4:$G$63,47)))</f>
        <v/>
      </c>
    </row>
    <row r="2473">
      <c r="A2473">
        <f>IF($B2473="","",INDEX(Dossiers!$E$4:$E$63,47))</f>
        <v/>
      </c>
      <c r="B2473">
        <f>IF(INDEX(Suivi!$B:$B,2520)="","",INDEX(Suivi!$B:$B,2520))</f>
        <v/>
      </c>
      <c r="C2473">
        <f>IF($B2473="","",IF(INDEX(Suivi!$D:$D,2520)="",INDEX(Suivi!$C:$C,2520),INDEX(Suivi!$D:$D,2520)))</f>
        <v/>
      </c>
      <c r="D2473" s="29">
        <f>IF($B2473="","",INDEX(Suivi!$E:$E,2520))</f>
        <v/>
      </c>
      <c r="E2473" s="29">
        <f>IF($B2473="","",INDEX(Suivi!$F:$F,2520))</f>
        <v/>
      </c>
      <c r="F2473">
        <f>IF($B2473="","",INDEX(Suivi!$G:$G,2520))</f>
        <v/>
      </c>
      <c r="H2473">
        <f>IF(OR($B2473="",NOT(ISNUMBER($D2473))),"",IF($E2473&lt;$D$2,"Passé",IF($D2473&gt;$F$2,"À venir","Dans la période")))</f>
        <v/>
      </c>
      <c r="I2473">
        <f>IF(OR($B2473="",NOT(ISNUMBER($D2473))),"",IF(AND($E2473&lt;$D$2,$G2473&lt;&gt;"X",$F2473&lt;&gt;"Réalisé",$F2473&lt;&gt;"Clôturé"),"RETARD",""))</f>
        <v/>
      </c>
      <c r="J2473" s="29">
        <f>IF($B2473="","",IF(INDEX(Dossiers!$F$4:$F$63,47)="","",INDEX(Dossiers!$F$4:$F$63,47)))</f>
        <v/>
      </c>
      <c r="K2473" s="29">
        <f>IF($B2473="","",IF(INDEX(Dossiers!$G$4:$G$63,47)="","",INDEX(Dossiers!$G$4:$G$63,47)))</f>
        <v/>
      </c>
    </row>
    <row r="2474">
      <c r="A2474">
        <f>IF($B2474="","",INDEX(Dossiers!$E$4:$E$63,47))</f>
        <v/>
      </c>
      <c r="B2474">
        <f>IF(INDEX(Suivi!$B:$B,2521)="","",INDEX(Suivi!$B:$B,2521))</f>
        <v/>
      </c>
      <c r="C2474">
        <f>IF($B2474="","",IF(INDEX(Suivi!$D:$D,2521)="",INDEX(Suivi!$C:$C,2521),INDEX(Suivi!$D:$D,2521)))</f>
        <v/>
      </c>
      <c r="D2474" s="29">
        <f>IF($B2474="","",INDEX(Suivi!$E:$E,2521))</f>
        <v/>
      </c>
      <c r="E2474" s="29">
        <f>IF($B2474="","",INDEX(Suivi!$F:$F,2521))</f>
        <v/>
      </c>
      <c r="F2474">
        <f>IF($B2474="","",INDEX(Suivi!$G:$G,2521))</f>
        <v/>
      </c>
      <c r="H2474">
        <f>IF(OR($B2474="",NOT(ISNUMBER($D2474))),"",IF($E2474&lt;$D$2,"Passé",IF($D2474&gt;$F$2,"À venir","Dans la période")))</f>
        <v/>
      </c>
      <c r="I2474">
        <f>IF(OR($B2474="",NOT(ISNUMBER($D2474))),"",IF(AND($E2474&lt;$D$2,$G2474&lt;&gt;"X",$F2474&lt;&gt;"Réalisé",$F2474&lt;&gt;"Clôturé"),"RETARD",""))</f>
        <v/>
      </c>
      <c r="J2474" s="29">
        <f>IF($B2474="","",IF(INDEX(Dossiers!$F$4:$F$63,47)="","",INDEX(Dossiers!$F$4:$F$63,47)))</f>
        <v/>
      </c>
      <c r="K2474" s="29">
        <f>IF($B2474="","",IF(INDEX(Dossiers!$G$4:$G$63,47)="","",INDEX(Dossiers!$G$4:$G$63,47)))</f>
        <v/>
      </c>
    </row>
    <row r="2475">
      <c r="A2475">
        <f>IF($B2475="","",INDEX(Dossiers!$E$4:$E$63,47))</f>
        <v/>
      </c>
      <c r="B2475">
        <f>IF(INDEX(Suivi!$B:$B,2522)="","",INDEX(Suivi!$B:$B,2522))</f>
        <v/>
      </c>
      <c r="C2475">
        <f>IF($B2475="","",IF(INDEX(Suivi!$D:$D,2522)="",INDEX(Suivi!$C:$C,2522),INDEX(Suivi!$D:$D,2522)))</f>
        <v/>
      </c>
      <c r="D2475" s="29">
        <f>IF($B2475="","",INDEX(Suivi!$E:$E,2522))</f>
        <v/>
      </c>
      <c r="E2475" s="29">
        <f>IF($B2475="","",INDEX(Suivi!$F:$F,2522))</f>
        <v/>
      </c>
      <c r="F2475">
        <f>IF($B2475="","",INDEX(Suivi!$G:$G,2522))</f>
        <v/>
      </c>
      <c r="H2475">
        <f>IF(OR($B2475="",NOT(ISNUMBER($D2475))),"",IF($E2475&lt;$D$2,"Passé",IF($D2475&gt;$F$2,"À venir","Dans la période")))</f>
        <v/>
      </c>
      <c r="I2475">
        <f>IF(OR($B2475="",NOT(ISNUMBER($D2475))),"",IF(AND($E2475&lt;$D$2,$G2475&lt;&gt;"X",$F2475&lt;&gt;"Réalisé",$F2475&lt;&gt;"Clôturé"),"RETARD",""))</f>
        <v/>
      </c>
      <c r="J2475" s="29">
        <f>IF($B2475="","",IF(INDEX(Dossiers!$F$4:$F$63,47)="","",INDEX(Dossiers!$F$4:$F$63,47)))</f>
        <v/>
      </c>
      <c r="K2475" s="29">
        <f>IF($B2475="","",IF(INDEX(Dossiers!$G$4:$G$63,47)="","",INDEX(Dossiers!$G$4:$G$63,47)))</f>
        <v/>
      </c>
    </row>
    <row r="2476">
      <c r="A2476">
        <f>IF($B2476="","",INDEX(Dossiers!$E$4:$E$63,47))</f>
        <v/>
      </c>
      <c r="B2476">
        <f>IF(INDEX(Suivi!$B:$B,2523)="","",INDEX(Suivi!$B:$B,2523))</f>
        <v/>
      </c>
      <c r="C2476">
        <f>IF($B2476="","",IF(INDEX(Suivi!$D:$D,2523)="",INDEX(Suivi!$C:$C,2523),INDEX(Suivi!$D:$D,2523)))</f>
        <v/>
      </c>
      <c r="D2476" s="29">
        <f>IF($B2476="","",INDEX(Suivi!$E:$E,2523))</f>
        <v/>
      </c>
      <c r="E2476" s="29">
        <f>IF($B2476="","",INDEX(Suivi!$F:$F,2523))</f>
        <v/>
      </c>
      <c r="F2476">
        <f>IF($B2476="","",INDEX(Suivi!$G:$G,2523))</f>
        <v/>
      </c>
      <c r="H2476">
        <f>IF(OR($B2476="",NOT(ISNUMBER($D2476))),"",IF($E2476&lt;$D$2,"Passé",IF($D2476&gt;$F$2,"À venir","Dans la période")))</f>
        <v/>
      </c>
      <c r="I2476">
        <f>IF(OR($B2476="",NOT(ISNUMBER($D2476))),"",IF(AND($E2476&lt;$D$2,$G2476&lt;&gt;"X",$F2476&lt;&gt;"Réalisé",$F2476&lt;&gt;"Clôturé"),"RETARD",""))</f>
        <v/>
      </c>
      <c r="J2476" s="29">
        <f>IF($B2476="","",IF(INDEX(Dossiers!$F$4:$F$63,47)="","",INDEX(Dossiers!$F$4:$F$63,47)))</f>
        <v/>
      </c>
      <c r="K2476" s="29">
        <f>IF($B2476="","",IF(INDEX(Dossiers!$G$4:$G$63,47)="","",INDEX(Dossiers!$G$4:$G$63,47)))</f>
        <v/>
      </c>
    </row>
    <row r="2477">
      <c r="A2477">
        <f>IF($B2477="","",INDEX(Dossiers!$E$4:$E$63,47))</f>
        <v/>
      </c>
      <c r="B2477">
        <f>IF(INDEX(Suivi!$B:$B,2524)="","",INDEX(Suivi!$B:$B,2524))</f>
        <v/>
      </c>
      <c r="C2477">
        <f>IF($B2477="","",IF(INDEX(Suivi!$D:$D,2524)="",INDEX(Suivi!$C:$C,2524),INDEX(Suivi!$D:$D,2524)))</f>
        <v/>
      </c>
      <c r="D2477" s="29">
        <f>IF($B2477="","",INDEX(Suivi!$E:$E,2524))</f>
        <v/>
      </c>
      <c r="E2477" s="29">
        <f>IF($B2477="","",INDEX(Suivi!$F:$F,2524))</f>
        <v/>
      </c>
      <c r="F2477">
        <f>IF($B2477="","",INDEX(Suivi!$G:$G,2524))</f>
        <v/>
      </c>
      <c r="H2477">
        <f>IF(OR($B2477="",NOT(ISNUMBER($D2477))),"",IF($E2477&lt;$D$2,"Passé",IF($D2477&gt;$F$2,"À venir","Dans la période")))</f>
        <v/>
      </c>
      <c r="I2477">
        <f>IF(OR($B2477="",NOT(ISNUMBER($D2477))),"",IF(AND($E2477&lt;$D$2,$G2477&lt;&gt;"X",$F2477&lt;&gt;"Réalisé",$F2477&lt;&gt;"Clôturé"),"RETARD",""))</f>
        <v/>
      </c>
      <c r="J2477" s="29">
        <f>IF($B2477="","",IF(INDEX(Dossiers!$F$4:$F$63,47)="","",INDEX(Dossiers!$F$4:$F$63,47)))</f>
        <v/>
      </c>
      <c r="K2477" s="29">
        <f>IF($B2477="","",IF(INDEX(Dossiers!$G$4:$G$63,47)="","",INDEX(Dossiers!$G$4:$G$63,47)))</f>
        <v/>
      </c>
    </row>
    <row r="2478">
      <c r="A2478">
        <f>IF($B2478="","",INDEX(Dossiers!$E$4:$E$63,47))</f>
        <v/>
      </c>
      <c r="B2478">
        <f>IF(INDEX(Suivi!$B:$B,2525)="","",INDEX(Suivi!$B:$B,2525))</f>
        <v/>
      </c>
      <c r="C2478">
        <f>IF($B2478="","",IF(INDEX(Suivi!$D:$D,2525)="",INDEX(Suivi!$C:$C,2525),INDEX(Suivi!$D:$D,2525)))</f>
        <v/>
      </c>
      <c r="D2478" s="29">
        <f>IF($B2478="","",INDEX(Suivi!$E:$E,2525))</f>
        <v/>
      </c>
      <c r="E2478" s="29">
        <f>IF($B2478="","",INDEX(Suivi!$F:$F,2525))</f>
        <v/>
      </c>
      <c r="F2478">
        <f>IF($B2478="","",INDEX(Suivi!$G:$G,2525))</f>
        <v/>
      </c>
      <c r="H2478">
        <f>IF(OR($B2478="",NOT(ISNUMBER($D2478))),"",IF($E2478&lt;$D$2,"Passé",IF($D2478&gt;$F$2,"À venir","Dans la période")))</f>
        <v/>
      </c>
      <c r="I2478">
        <f>IF(OR($B2478="",NOT(ISNUMBER($D2478))),"",IF(AND($E2478&lt;$D$2,$G2478&lt;&gt;"X",$F2478&lt;&gt;"Réalisé",$F2478&lt;&gt;"Clôturé"),"RETARD",""))</f>
        <v/>
      </c>
      <c r="J2478" s="29">
        <f>IF($B2478="","",IF(INDEX(Dossiers!$F$4:$F$63,47)="","",INDEX(Dossiers!$F$4:$F$63,47)))</f>
        <v/>
      </c>
      <c r="K2478" s="29">
        <f>IF($B2478="","",IF(INDEX(Dossiers!$G$4:$G$63,47)="","",INDEX(Dossiers!$G$4:$G$63,47)))</f>
        <v/>
      </c>
    </row>
    <row r="2479">
      <c r="A2479">
        <f>IF($B2479="","",INDEX(Dossiers!$E$4:$E$63,47))</f>
        <v/>
      </c>
      <c r="B2479">
        <f>IF(INDEX(Suivi!$B:$B,2526)="","",INDEX(Suivi!$B:$B,2526))</f>
        <v/>
      </c>
      <c r="C2479">
        <f>IF($B2479="","",IF(INDEX(Suivi!$D:$D,2526)="",INDEX(Suivi!$C:$C,2526),INDEX(Suivi!$D:$D,2526)))</f>
        <v/>
      </c>
      <c r="D2479" s="29">
        <f>IF($B2479="","",INDEX(Suivi!$E:$E,2526))</f>
        <v/>
      </c>
      <c r="E2479" s="29">
        <f>IF($B2479="","",INDEX(Suivi!$F:$F,2526))</f>
        <v/>
      </c>
      <c r="F2479">
        <f>IF($B2479="","",INDEX(Suivi!$G:$G,2526))</f>
        <v/>
      </c>
      <c r="H2479">
        <f>IF(OR($B2479="",NOT(ISNUMBER($D2479))),"",IF($E2479&lt;$D$2,"Passé",IF($D2479&gt;$F$2,"À venir","Dans la période")))</f>
        <v/>
      </c>
      <c r="I2479">
        <f>IF(OR($B2479="",NOT(ISNUMBER($D2479))),"",IF(AND($E2479&lt;$D$2,$G2479&lt;&gt;"X",$F2479&lt;&gt;"Réalisé",$F2479&lt;&gt;"Clôturé"),"RETARD",""))</f>
        <v/>
      </c>
      <c r="J2479" s="29">
        <f>IF($B2479="","",IF(INDEX(Dossiers!$F$4:$F$63,47)="","",INDEX(Dossiers!$F$4:$F$63,47)))</f>
        <v/>
      </c>
      <c r="K2479" s="29">
        <f>IF($B2479="","",IF(INDEX(Dossiers!$G$4:$G$63,47)="","",INDEX(Dossiers!$G$4:$G$63,47)))</f>
        <v/>
      </c>
    </row>
    <row r="2480">
      <c r="A2480">
        <f>IF($B2480="","",INDEX(Dossiers!$E$4:$E$63,47))</f>
        <v/>
      </c>
      <c r="B2480">
        <f>IF(INDEX(Suivi!$B:$B,2527)="","",INDEX(Suivi!$B:$B,2527))</f>
        <v/>
      </c>
      <c r="C2480">
        <f>IF($B2480="","",IF(INDEX(Suivi!$D:$D,2527)="",INDEX(Suivi!$C:$C,2527),INDEX(Suivi!$D:$D,2527)))</f>
        <v/>
      </c>
      <c r="D2480" s="29">
        <f>IF($B2480="","",INDEX(Suivi!$E:$E,2527))</f>
        <v/>
      </c>
      <c r="E2480" s="29">
        <f>IF($B2480="","",INDEX(Suivi!$F:$F,2527))</f>
        <v/>
      </c>
      <c r="F2480">
        <f>IF($B2480="","",INDEX(Suivi!$G:$G,2527))</f>
        <v/>
      </c>
      <c r="H2480">
        <f>IF(OR($B2480="",NOT(ISNUMBER($D2480))),"",IF($E2480&lt;$D$2,"Passé",IF($D2480&gt;$F$2,"À venir","Dans la période")))</f>
        <v/>
      </c>
      <c r="I2480">
        <f>IF(OR($B2480="",NOT(ISNUMBER($D2480))),"",IF(AND($E2480&lt;$D$2,$G2480&lt;&gt;"X",$F2480&lt;&gt;"Réalisé",$F2480&lt;&gt;"Clôturé"),"RETARD",""))</f>
        <v/>
      </c>
      <c r="J2480" s="29">
        <f>IF($B2480="","",IF(INDEX(Dossiers!$F$4:$F$63,47)="","",INDEX(Dossiers!$F$4:$F$63,47)))</f>
        <v/>
      </c>
      <c r="K2480" s="29">
        <f>IF($B2480="","",IF(INDEX(Dossiers!$G$4:$G$63,47)="","",INDEX(Dossiers!$G$4:$G$63,47)))</f>
        <v/>
      </c>
    </row>
    <row r="2481">
      <c r="A2481">
        <f>IF($B2481="","",INDEX(Dossiers!$E$4:$E$63,47))</f>
        <v/>
      </c>
      <c r="B2481">
        <f>IF(INDEX(Suivi!$B:$B,2528)="","",INDEX(Suivi!$B:$B,2528))</f>
        <v/>
      </c>
      <c r="C2481">
        <f>IF($B2481="","",IF(INDEX(Suivi!$D:$D,2528)="",INDEX(Suivi!$C:$C,2528),INDEX(Suivi!$D:$D,2528)))</f>
        <v/>
      </c>
      <c r="D2481" s="29">
        <f>IF($B2481="","",INDEX(Suivi!$E:$E,2528))</f>
        <v/>
      </c>
      <c r="E2481" s="29">
        <f>IF($B2481="","",INDEX(Suivi!$F:$F,2528))</f>
        <v/>
      </c>
      <c r="F2481">
        <f>IF($B2481="","",INDEX(Suivi!$G:$G,2528))</f>
        <v/>
      </c>
      <c r="H2481">
        <f>IF(OR($B2481="",NOT(ISNUMBER($D2481))),"",IF($E2481&lt;$D$2,"Passé",IF($D2481&gt;$F$2,"À venir","Dans la période")))</f>
        <v/>
      </c>
      <c r="I2481">
        <f>IF(OR($B2481="",NOT(ISNUMBER($D2481))),"",IF(AND($E2481&lt;$D$2,$G2481&lt;&gt;"X",$F2481&lt;&gt;"Réalisé",$F2481&lt;&gt;"Clôturé"),"RETARD",""))</f>
        <v/>
      </c>
      <c r="J2481" s="29">
        <f>IF($B2481="","",IF(INDEX(Dossiers!$F$4:$F$63,47)="","",INDEX(Dossiers!$F$4:$F$63,47)))</f>
        <v/>
      </c>
      <c r="K2481" s="29">
        <f>IF($B2481="","",IF(INDEX(Dossiers!$G$4:$G$63,47)="","",INDEX(Dossiers!$G$4:$G$63,47)))</f>
        <v/>
      </c>
    </row>
    <row r="2482">
      <c r="A2482">
        <f>IF($B2482="","",INDEX(Dossiers!$E$4:$E$63,47))</f>
        <v/>
      </c>
      <c r="B2482">
        <f>IF(INDEX(Suivi!$B:$B,2529)="","",INDEX(Suivi!$B:$B,2529))</f>
        <v/>
      </c>
      <c r="C2482">
        <f>IF($B2482="","",IF(INDEX(Suivi!$D:$D,2529)="",INDEX(Suivi!$C:$C,2529),INDEX(Suivi!$D:$D,2529)))</f>
        <v/>
      </c>
      <c r="D2482" s="29">
        <f>IF($B2482="","",INDEX(Suivi!$E:$E,2529))</f>
        <v/>
      </c>
      <c r="E2482" s="29">
        <f>IF($B2482="","",INDEX(Suivi!$F:$F,2529))</f>
        <v/>
      </c>
      <c r="F2482">
        <f>IF($B2482="","",INDEX(Suivi!$G:$G,2529))</f>
        <v/>
      </c>
      <c r="H2482">
        <f>IF(OR($B2482="",NOT(ISNUMBER($D2482))),"",IF($E2482&lt;$D$2,"Passé",IF($D2482&gt;$F$2,"À venir","Dans la période")))</f>
        <v/>
      </c>
      <c r="I2482">
        <f>IF(OR($B2482="",NOT(ISNUMBER($D2482))),"",IF(AND($E2482&lt;$D$2,$G2482&lt;&gt;"X",$F2482&lt;&gt;"Réalisé",$F2482&lt;&gt;"Clôturé"),"RETARD",""))</f>
        <v/>
      </c>
      <c r="J2482" s="29">
        <f>IF($B2482="","",IF(INDEX(Dossiers!$F$4:$F$63,47)="","",INDEX(Dossiers!$F$4:$F$63,47)))</f>
        <v/>
      </c>
      <c r="K2482" s="29">
        <f>IF($B2482="","",IF(INDEX(Dossiers!$G$4:$G$63,47)="","",INDEX(Dossiers!$G$4:$G$63,47)))</f>
        <v/>
      </c>
    </row>
    <row r="2483">
      <c r="A2483">
        <f>IF($B2483="","",INDEX(Dossiers!$E$4:$E$63,47))</f>
        <v/>
      </c>
      <c r="B2483">
        <f>IF(INDEX(Suivi!$B:$B,2530)="","",INDEX(Suivi!$B:$B,2530))</f>
        <v/>
      </c>
      <c r="C2483">
        <f>IF($B2483="","",IF(INDEX(Suivi!$D:$D,2530)="",INDEX(Suivi!$C:$C,2530),INDEX(Suivi!$D:$D,2530)))</f>
        <v/>
      </c>
      <c r="D2483" s="29">
        <f>IF($B2483="","",INDEX(Suivi!$E:$E,2530))</f>
        <v/>
      </c>
      <c r="E2483" s="29">
        <f>IF($B2483="","",INDEX(Suivi!$F:$F,2530))</f>
        <v/>
      </c>
      <c r="F2483">
        <f>IF($B2483="","",INDEX(Suivi!$G:$G,2530))</f>
        <v/>
      </c>
      <c r="H2483">
        <f>IF(OR($B2483="",NOT(ISNUMBER($D2483))),"",IF($E2483&lt;$D$2,"Passé",IF($D2483&gt;$F$2,"À venir","Dans la période")))</f>
        <v/>
      </c>
      <c r="I2483">
        <f>IF(OR($B2483="",NOT(ISNUMBER($D2483))),"",IF(AND($E2483&lt;$D$2,$G2483&lt;&gt;"X",$F2483&lt;&gt;"Réalisé",$F2483&lt;&gt;"Clôturé"),"RETARD",""))</f>
        <v/>
      </c>
      <c r="J2483" s="29">
        <f>IF($B2483="","",IF(INDEX(Dossiers!$F$4:$F$63,47)="","",INDEX(Dossiers!$F$4:$F$63,47)))</f>
        <v/>
      </c>
      <c r="K2483" s="29">
        <f>IF($B2483="","",IF(INDEX(Dossiers!$G$4:$G$63,47)="","",INDEX(Dossiers!$G$4:$G$63,47)))</f>
        <v/>
      </c>
    </row>
    <row r="2484">
      <c r="A2484">
        <f>IF($B2484="","",INDEX(Dossiers!$E$4:$E$63,47))</f>
        <v/>
      </c>
      <c r="B2484">
        <f>IF(INDEX(Suivi!$B:$B,2531)="","",INDEX(Suivi!$B:$B,2531))</f>
        <v/>
      </c>
      <c r="C2484">
        <f>IF($B2484="","",IF(INDEX(Suivi!$D:$D,2531)="",INDEX(Suivi!$C:$C,2531),INDEX(Suivi!$D:$D,2531)))</f>
        <v/>
      </c>
      <c r="D2484" s="29">
        <f>IF($B2484="","",INDEX(Suivi!$E:$E,2531))</f>
        <v/>
      </c>
      <c r="E2484" s="29">
        <f>IF($B2484="","",INDEX(Suivi!$F:$F,2531))</f>
        <v/>
      </c>
      <c r="F2484">
        <f>IF($B2484="","",INDEX(Suivi!$G:$G,2531))</f>
        <v/>
      </c>
      <c r="H2484">
        <f>IF(OR($B2484="",NOT(ISNUMBER($D2484))),"",IF($E2484&lt;$D$2,"Passé",IF($D2484&gt;$F$2,"À venir","Dans la période")))</f>
        <v/>
      </c>
      <c r="I2484">
        <f>IF(OR($B2484="",NOT(ISNUMBER($D2484))),"",IF(AND($E2484&lt;$D$2,$G2484&lt;&gt;"X",$F2484&lt;&gt;"Réalisé",$F2484&lt;&gt;"Clôturé"),"RETARD",""))</f>
        <v/>
      </c>
      <c r="J2484" s="29">
        <f>IF($B2484="","",IF(INDEX(Dossiers!$F$4:$F$63,47)="","",INDEX(Dossiers!$F$4:$F$63,47)))</f>
        <v/>
      </c>
      <c r="K2484" s="29">
        <f>IF($B2484="","",IF(INDEX(Dossiers!$G$4:$G$63,47)="","",INDEX(Dossiers!$G$4:$G$63,47)))</f>
        <v/>
      </c>
    </row>
    <row r="2485">
      <c r="A2485">
        <f>IF($B2485="","",INDEX(Dossiers!$E$4:$E$63,47))</f>
        <v/>
      </c>
      <c r="B2485">
        <f>IF(INDEX(Suivi!$B:$B,2532)="","",INDEX(Suivi!$B:$B,2532))</f>
        <v/>
      </c>
      <c r="C2485">
        <f>IF($B2485="","",IF(INDEX(Suivi!$D:$D,2532)="",INDEX(Suivi!$C:$C,2532),INDEX(Suivi!$D:$D,2532)))</f>
        <v/>
      </c>
      <c r="D2485" s="29">
        <f>IF($B2485="","",INDEX(Suivi!$E:$E,2532))</f>
        <v/>
      </c>
      <c r="E2485" s="29">
        <f>IF($B2485="","",INDEX(Suivi!$F:$F,2532))</f>
        <v/>
      </c>
      <c r="F2485">
        <f>IF($B2485="","",INDEX(Suivi!$G:$G,2532))</f>
        <v/>
      </c>
      <c r="H2485">
        <f>IF(OR($B2485="",NOT(ISNUMBER($D2485))),"",IF($E2485&lt;$D$2,"Passé",IF($D2485&gt;$F$2,"À venir","Dans la période")))</f>
        <v/>
      </c>
      <c r="I2485">
        <f>IF(OR($B2485="",NOT(ISNUMBER($D2485))),"",IF(AND($E2485&lt;$D$2,$G2485&lt;&gt;"X",$F2485&lt;&gt;"Réalisé",$F2485&lt;&gt;"Clôturé"),"RETARD",""))</f>
        <v/>
      </c>
      <c r="J2485" s="29">
        <f>IF($B2485="","",IF(INDEX(Dossiers!$F$4:$F$63,47)="","",INDEX(Dossiers!$F$4:$F$63,47)))</f>
        <v/>
      </c>
      <c r="K2485" s="29">
        <f>IF($B2485="","",IF(INDEX(Dossiers!$G$4:$G$63,47)="","",INDEX(Dossiers!$G$4:$G$63,47)))</f>
        <v/>
      </c>
    </row>
    <row r="2486">
      <c r="A2486">
        <f>IF($B2486="","",INDEX(Dossiers!$E$4:$E$63,47))</f>
        <v/>
      </c>
      <c r="B2486">
        <f>IF(INDEX(Suivi!$B:$B,2533)="","",INDEX(Suivi!$B:$B,2533))</f>
        <v/>
      </c>
      <c r="C2486">
        <f>IF($B2486="","",IF(INDEX(Suivi!$D:$D,2533)="",INDEX(Suivi!$C:$C,2533),INDEX(Suivi!$D:$D,2533)))</f>
        <v/>
      </c>
      <c r="D2486" s="29">
        <f>IF($B2486="","",INDEX(Suivi!$E:$E,2533))</f>
        <v/>
      </c>
      <c r="E2486" s="29">
        <f>IF($B2486="","",INDEX(Suivi!$F:$F,2533))</f>
        <v/>
      </c>
      <c r="F2486">
        <f>IF($B2486="","",INDEX(Suivi!$G:$G,2533))</f>
        <v/>
      </c>
      <c r="H2486">
        <f>IF(OR($B2486="",NOT(ISNUMBER($D2486))),"",IF($E2486&lt;$D$2,"Passé",IF($D2486&gt;$F$2,"À venir","Dans la période")))</f>
        <v/>
      </c>
      <c r="I2486">
        <f>IF(OR($B2486="",NOT(ISNUMBER($D2486))),"",IF(AND($E2486&lt;$D$2,$G2486&lt;&gt;"X",$F2486&lt;&gt;"Réalisé",$F2486&lt;&gt;"Clôturé"),"RETARD",""))</f>
        <v/>
      </c>
      <c r="J2486" s="29">
        <f>IF($B2486="","",IF(INDEX(Dossiers!$F$4:$F$63,47)="","",INDEX(Dossiers!$F$4:$F$63,47)))</f>
        <v/>
      </c>
      <c r="K2486" s="29">
        <f>IF($B2486="","",IF(INDEX(Dossiers!$G$4:$G$63,47)="","",INDEX(Dossiers!$G$4:$G$63,47)))</f>
        <v/>
      </c>
    </row>
    <row r="2487">
      <c r="A2487">
        <f>IF($B2487="","",INDEX(Dossiers!$E$4:$E$63,47))</f>
        <v/>
      </c>
      <c r="B2487">
        <f>IF(INDEX(Suivi!$B:$B,2534)="","",INDEX(Suivi!$B:$B,2534))</f>
        <v/>
      </c>
      <c r="C2487">
        <f>IF($B2487="","",IF(INDEX(Suivi!$D:$D,2534)="",INDEX(Suivi!$C:$C,2534),INDEX(Suivi!$D:$D,2534)))</f>
        <v/>
      </c>
      <c r="D2487" s="29">
        <f>IF($B2487="","",INDEX(Suivi!$E:$E,2534))</f>
        <v/>
      </c>
      <c r="E2487" s="29">
        <f>IF($B2487="","",INDEX(Suivi!$F:$F,2534))</f>
        <v/>
      </c>
      <c r="F2487">
        <f>IF($B2487="","",INDEX(Suivi!$G:$G,2534))</f>
        <v/>
      </c>
      <c r="H2487">
        <f>IF(OR($B2487="",NOT(ISNUMBER($D2487))),"",IF($E2487&lt;$D$2,"Passé",IF($D2487&gt;$F$2,"À venir","Dans la période")))</f>
        <v/>
      </c>
      <c r="I2487">
        <f>IF(OR($B2487="",NOT(ISNUMBER($D2487))),"",IF(AND($E2487&lt;$D$2,$G2487&lt;&gt;"X",$F2487&lt;&gt;"Réalisé",$F2487&lt;&gt;"Clôturé"),"RETARD",""))</f>
        <v/>
      </c>
      <c r="J2487" s="29">
        <f>IF($B2487="","",IF(INDEX(Dossiers!$F$4:$F$63,47)="","",INDEX(Dossiers!$F$4:$F$63,47)))</f>
        <v/>
      </c>
      <c r="K2487" s="29">
        <f>IF($B2487="","",IF(INDEX(Dossiers!$G$4:$G$63,47)="","",INDEX(Dossiers!$G$4:$G$63,47)))</f>
        <v/>
      </c>
    </row>
    <row r="2488">
      <c r="A2488">
        <f>IF($B2488="","",INDEX(Dossiers!$E$4:$E$63,47))</f>
        <v/>
      </c>
      <c r="B2488">
        <f>IF(INDEX(Suivi!$B:$B,2535)="","",INDEX(Suivi!$B:$B,2535))</f>
        <v/>
      </c>
      <c r="C2488">
        <f>IF($B2488="","",IF(INDEX(Suivi!$D:$D,2535)="",INDEX(Suivi!$C:$C,2535),INDEX(Suivi!$D:$D,2535)))</f>
        <v/>
      </c>
      <c r="D2488" s="29">
        <f>IF($B2488="","",INDEX(Suivi!$E:$E,2535))</f>
        <v/>
      </c>
      <c r="E2488" s="29">
        <f>IF($B2488="","",INDEX(Suivi!$F:$F,2535))</f>
        <v/>
      </c>
      <c r="F2488">
        <f>IF($B2488="","",INDEX(Suivi!$G:$G,2535))</f>
        <v/>
      </c>
      <c r="H2488">
        <f>IF(OR($B2488="",NOT(ISNUMBER($D2488))),"",IF($E2488&lt;$D$2,"Passé",IF($D2488&gt;$F$2,"À venir","Dans la période")))</f>
        <v/>
      </c>
      <c r="I2488">
        <f>IF(OR($B2488="",NOT(ISNUMBER($D2488))),"",IF(AND($E2488&lt;$D$2,$G2488&lt;&gt;"X",$F2488&lt;&gt;"Réalisé",$F2488&lt;&gt;"Clôturé"),"RETARD",""))</f>
        <v/>
      </c>
      <c r="J2488" s="29">
        <f>IF($B2488="","",IF(INDEX(Dossiers!$F$4:$F$63,47)="","",INDEX(Dossiers!$F$4:$F$63,47)))</f>
        <v/>
      </c>
      <c r="K2488" s="29">
        <f>IF($B2488="","",IF(INDEX(Dossiers!$G$4:$G$63,47)="","",INDEX(Dossiers!$G$4:$G$63,47)))</f>
        <v/>
      </c>
    </row>
    <row r="2489">
      <c r="A2489">
        <f>IF($B2489="","",INDEX(Dossiers!$E$4:$E$63,47))</f>
        <v/>
      </c>
      <c r="B2489">
        <f>IF(INDEX(Suivi!$B:$B,2536)="","",INDEX(Suivi!$B:$B,2536))</f>
        <v/>
      </c>
      <c r="C2489">
        <f>IF($B2489="","",IF(INDEX(Suivi!$D:$D,2536)="",INDEX(Suivi!$C:$C,2536),INDEX(Suivi!$D:$D,2536)))</f>
        <v/>
      </c>
      <c r="D2489" s="29">
        <f>IF($B2489="","",INDEX(Suivi!$E:$E,2536))</f>
        <v/>
      </c>
      <c r="E2489" s="29">
        <f>IF($B2489="","",INDEX(Suivi!$F:$F,2536))</f>
        <v/>
      </c>
      <c r="F2489">
        <f>IF($B2489="","",INDEX(Suivi!$G:$G,2536))</f>
        <v/>
      </c>
      <c r="H2489">
        <f>IF(OR($B2489="",NOT(ISNUMBER($D2489))),"",IF($E2489&lt;$D$2,"Passé",IF($D2489&gt;$F$2,"À venir","Dans la période")))</f>
        <v/>
      </c>
      <c r="I2489">
        <f>IF(OR($B2489="",NOT(ISNUMBER($D2489))),"",IF(AND($E2489&lt;$D$2,$G2489&lt;&gt;"X",$F2489&lt;&gt;"Réalisé",$F2489&lt;&gt;"Clôturé"),"RETARD",""))</f>
        <v/>
      </c>
      <c r="J2489" s="29">
        <f>IF($B2489="","",IF(INDEX(Dossiers!$F$4:$F$63,47)="","",INDEX(Dossiers!$F$4:$F$63,47)))</f>
        <v/>
      </c>
      <c r="K2489" s="29">
        <f>IF($B2489="","",IF(INDEX(Dossiers!$G$4:$G$63,47)="","",INDEX(Dossiers!$G$4:$G$63,47)))</f>
        <v/>
      </c>
    </row>
    <row r="2490">
      <c r="A2490">
        <f>IF($B2490="","",INDEX(Dossiers!$E$4:$E$63,47))</f>
        <v/>
      </c>
      <c r="B2490">
        <f>IF(INDEX(Suivi!$B:$B,2537)="","",INDEX(Suivi!$B:$B,2537))</f>
        <v/>
      </c>
      <c r="C2490">
        <f>IF($B2490="","",IF(INDEX(Suivi!$D:$D,2537)="",INDEX(Suivi!$C:$C,2537),INDEX(Suivi!$D:$D,2537)))</f>
        <v/>
      </c>
      <c r="D2490" s="29">
        <f>IF($B2490="","",INDEX(Suivi!$E:$E,2537))</f>
        <v/>
      </c>
      <c r="E2490" s="29">
        <f>IF($B2490="","",INDEX(Suivi!$F:$F,2537))</f>
        <v/>
      </c>
      <c r="F2490">
        <f>IF($B2490="","",INDEX(Suivi!$G:$G,2537))</f>
        <v/>
      </c>
      <c r="H2490">
        <f>IF(OR($B2490="",NOT(ISNUMBER($D2490))),"",IF($E2490&lt;$D$2,"Passé",IF($D2490&gt;$F$2,"À venir","Dans la période")))</f>
        <v/>
      </c>
      <c r="I2490">
        <f>IF(OR($B2490="",NOT(ISNUMBER($D2490))),"",IF(AND($E2490&lt;$D$2,$G2490&lt;&gt;"X",$F2490&lt;&gt;"Réalisé",$F2490&lt;&gt;"Clôturé"),"RETARD",""))</f>
        <v/>
      </c>
      <c r="J2490" s="29">
        <f>IF($B2490="","",IF(INDEX(Dossiers!$F$4:$F$63,47)="","",INDEX(Dossiers!$F$4:$F$63,47)))</f>
        <v/>
      </c>
      <c r="K2490" s="29">
        <f>IF($B2490="","",IF(INDEX(Dossiers!$G$4:$G$63,47)="","",INDEX(Dossiers!$G$4:$G$63,47)))</f>
        <v/>
      </c>
    </row>
    <row r="2491">
      <c r="A2491">
        <f>IF($B2491="","",INDEX(Dossiers!$E$4:$E$63,47))</f>
        <v/>
      </c>
      <c r="B2491">
        <f>IF(INDEX(Suivi!$B:$B,2538)="","",INDEX(Suivi!$B:$B,2538))</f>
        <v/>
      </c>
      <c r="C2491">
        <f>IF($B2491="","",IF(INDEX(Suivi!$D:$D,2538)="",INDEX(Suivi!$C:$C,2538),INDEX(Suivi!$D:$D,2538)))</f>
        <v/>
      </c>
      <c r="D2491" s="29">
        <f>IF($B2491="","",INDEX(Suivi!$E:$E,2538))</f>
        <v/>
      </c>
      <c r="E2491" s="29">
        <f>IF($B2491="","",INDEX(Suivi!$F:$F,2538))</f>
        <v/>
      </c>
      <c r="F2491">
        <f>IF($B2491="","",INDEX(Suivi!$G:$G,2538))</f>
        <v/>
      </c>
      <c r="H2491">
        <f>IF(OR($B2491="",NOT(ISNUMBER($D2491))),"",IF($E2491&lt;$D$2,"Passé",IF($D2491&gt;$F$2,"À venir","Dans la période")))</f>
        <v/>
      </c>
      <c r="I2491">
        <f>IF(OR($B2491="",NOT(ISNUMBER($D2491))),"",IF(AND($E2491&lt;$D$2,$G2491&lt;&gt;"X",$F2491&lt;&gt;"Réalisé",$F2491&lt;&gt;"Clôturé"),"RETARD",""))</f>
        <v/>
      </c>
      <c r="J2491" s="29">
        <f>IF($B2491="","",IF(INDEX(Dossiers!$F$4:$F$63,47)="","",INDEX(Dossiers!$F$4:$F$63,47)))</f>
        <v/>
      </c>
      <c r="K2491" s="29">
        <f>IF($B2491="","",IF(INDEX(Dossiers!$G$4:$G$63,47)="","",INDEX(Dossiers!$G$4:$G$63,47)))</f>
        <v/>
      </c>
    </row>
    <row r="2492">
      <c r="A2492">
        <f>IF($B2492="","",INDEX(Dossiers!$E$4:$E$63,47))</f>
        <v/>
      </c>
      <c r="B2492">
        <f>IF(INDEX(Suivi!$B:$B,2539)="","",INDEX(Suivi!$B:$B,2539))</f>
        <v/>
      </c>
      <c r="C2492">
        <f>IF($B2492="","",IF(INDEX(Suivi!$D:$D,2539)="",INDEX(Suivi!$C:$C,2539),INDEX(Suivi!$D:$D,2539)))</f>
        <v/>
      </c>
      <c r="D2492" s="29">
        <f>IF($B2492="","",INDEX(Suivi!$E:$E,2539))</f>
        <v/>
      </c>
      <c r="E2492" s="29">
        <f>IF($B2492="","",INDEX(Suivi!$F:$F,2539))</f>
        <v/>
      </c>
      <c r="F2492">
        <f>IF($B2492="","",INDEX(Suivi!$G:$G,2539))</f>
        <v/>
      </c>
      <c r="H2492">
        <f>IF(OR($B2492="",NOT(ISNUMBER($D2492))),"",IF($E2492&lt;$D$2,"Passé",IF($D2492&gt;$F$2,"À venir","Dans la période")))</f>
        <v/>
      </c>
      <c r="I2492">
        <f>IF(OR($B2492="",NOT(ISNUMBER($D2492))),"",IF(AND($E2492&lt;$D$2,$G2492&lt;&gt;"X",$F2492&lt;&gt;"Réalisé",$F2492&lt;&gt;"Clôturé"),"RETARD",""))</f>
        <v/>
      </c>
      <c r="J2492" s="29">
        <f>IF($B2492="","",IF(INDEX(Dossiers!$F$4:$F$63,47)="","",INDEX(Dossiers!$F$4:$F$63,47)))</f>
        <v/>
      </c>
      <c r="K2492" s="29">
        <f>IF($B2492="","",IF(INDEX(Dossiers!$G$4:$G$63,47)="","",INDEX(Dossiers!$G$4:$G$63,47)))</f>
        <v/>
      </c>
    </row>
    <row r="2493">
      <c r="A2493">
        <f>IF($B2493="","",INDEX(Dossiers!$E$4:$E$63,47))</f>
        <v/>
      </c>
      <c r="B2493">
        <f>IF(INDEX(Suivi!$B:$B,2540)="","",INDEX(Suivi!$B:$B,2540))</f>
        <v/>
      </c>
      <c r="C2493">
        <f>IF($B2493="","",IF(INDEX(Suivi!$D:$D,2540)="",INDEX(Suivi!$C:$C,2540),INDEX(Suivi!$D:$D,2540)))</f>
        <v/>
      </c>
      <c r="D2493" s="29">
        <f>IF($B2493="","",INDEX(Suivi!$E:$E,2540))</f>
        <v/>
      </c>
      <c r="E2493" s="29">
        <f>IF($B2493="","",INDEX(Suivi!$F:$F,2540))</f>
        <v/>
      </c>
      <c r="F2493">
        <f>IF($B2493="","",INDEX(Suivi!$G:$G,2540))</f>
        <v/>
      </c>
      <c r="H2493">
        <f>IF(OR($B2493="",NOT(ISNUMBER($D2493))),"",IF($E2493&lt;$D$2,"Passé",IF($D2493&gt;$F$2,"À venir","Dans la période")))</f>
        <v/>
      </c>
      <c r="I2493">
        <f>IF(OR($B2493="",NOT(ISNUMBER($D2493))),"",IF(AND($E2493&lt;$D$2,$G2493&lt;&gt;"X",$F2493&lt;&gt;"Réalisé",$F2493&lt;&gt;"Clôturé"),"RETARD",""))</f>
        <v/>
      </c>
      <c r="J2493" s="29">
        <f>IF($B2493="","",IF(INDEX(Dossiers!$F$4:$F$63,47)="","",INDEX(Dossiers!$F$4:$F$63,47)))</f>
        <v/>
      </c>
      <c r="K2493" s="29">
        <f>IF($B2493="","",IF(INDEX(Dossiers!$G$4:$G$63,47)="","",INDEX(Dossiers!$G$4:$G$63,47)))</f>
        <v/>
      </c>
    </row>
    <row r="2494">
      <c r="A2494">
        <f>IF($B2494="","",INDEX(Dossiers!$E$4:$E$63,47))</f>
        <v/>
      </c>
      <c r="B2494">
        <f>IF(INDEX(Suivi!$B:$B,2541)="","",INDEX(Suivi!$B:$B,2541))</f>
        <v/>
      </c>
      <c r="C2494">
        <f>IF($B2494="","",IF(INDEX(Suivi!$D:$D,2541)="",INDEX(Suivi!$C:$C,2541),INDEX(Suivi!$D:$D,2541)))</f>
        <v/>
      </c>
      <c r="D2494" s="29">
        <f>IF($B2494="","",INDEX(Suivi!$E:$E,2541))</f>
        <v/>
      </c>
      <c r="E2494" s="29">
        <f>IF($B2494="","",INDEX(Suivi!$F:$F,2541))</f>
        <v/>
      </c>
      <c r="F2494">
        <f>IF($B2494="","",INDEX(Suivi!$G:$G,2541))</f>
        <v/>
      </c>
      <c r="H2494">
        <f>IF(OR($B2494="",NOT(ISNUMBER($D2494))),"",IF($E2494&lt;$D$2,"Passé",IF($D2494&gt;$F$2,"À venir","Dans la période")))</f>
        <v/>
      </c>
      <c r="I2494">
        <f>IF(OR($B2494="",NOT(ISNUMBER($D2494))),"",IF(AND($E2494&lt;$D$2,$G2494&lt;&gt;"X",$F2494&lt;&gt;"Réalisé",$F2494&lt;&gt;"Clôturé"),"RETARD",""))</f>
        <v/>
      </c>
      <c r="J2494" s="29">
        <f>IF($B2494="","",IF(INDEX(Dossiers!$F$4:$F$63,47)="","",INDEX(Dossiers!$F$4:$F$63,47)))</f>
        <v/>
      </c>
      <c r="K2494" s="29">
        <f>IF($B2494="","",IF(INDEX(Dossiers!$G$4:$G$63,47)="","",INDEX(Dossiers!$G$4:$G$63,47)))</f>
        <v/>
      </c>
    </row>
    <row r="2495">
      <c r="A2495">
        <f>IF($B2495="","",INDEX(Dossiers!$E$4:$E$63,48))</f>
        <v/>
      </c>
      <c r="B2495">
        <f>IF(INDEX(Suivi!$B:$B,2543)="","",INDEX(Suivi!$B:$B,2543))</f>
        <v/>
      </c>
      <c r="C2495">
        <f>IF($B2495="","",IF(INDEX(Suivi!$D:$D,2543)="",INDEX(Suivi!$C:$C,2543),INDEX(Suivi!$D:$D,2543)))</f>
        <v/>
      </c>
      <c r="D2495" s="29">
        <f>IF($B2495="","",INDEX(Suivi!$E:$E,2543))</f>
        <v/>
      </c>
      <c r="E2495" s="29">
        <f>IF($B2495="","",INDEX(Suivi!$F:$F,2543))</f>
        <v/>
      </c>
      <c r="F2495">
        <f>IF($B2495="","",INDEX(Suivi!$G:$G,2543))</f>
        <v/>
      </c>
      <c r="H2495">
        <f>IF(OR($B2495="",NOT(ISNUMBER($D2495))),"",IF($E2495&lt;$D$2,"Passé",IF($D2495&gt;$F$2,"À venir","Dans la période")))</f>
        <v/>
      </c>
      <c r="I2495">
        <f>IF(OR($B2495="",NOT(ISNUMBER($D2495))),"",IF(AND($E2495&lt;$D$2,$G2495&lt;&gt;"X",$F2495&lt;&gt;"Réalisé",$F2495&lt;&gt;"Clôturé"),"RETARD",""))</f>
        <v/>
      </c>
      <c r="J2495" s="29">
        <f>IF($B2495="","",IF(INDEX(Dossiers!$F$4:$F$63,48)="","",INDEX(Dossiers!$F$4:$F$63,48)))</f>
        <v/>
      </c>
      <c r="K2495" s="29">
        <f>IF($B2495="","",IF(INDEX(Dossiers!$G$4:$G$63,48)="","",INDEX(Dossiers!$G$4:$G$63,48)))</f>
        <v/>
      </c>
    </row>
    <row r="2496">
      <c r="A2496">
        <f>IF($B2496="","",INDEX(Dossiers!$E$4:$E$63,48))</f>
        <v/>
      </c>
      <c r="B2496">
        <f>IF(INDEX(Suivi!$B:$B,2544)="","",INDEX(Suivi!$B:$B,2544))</f>
        <v/>
      </c>
      <c r="C2496">
        <f>IF($B2496="","",IF(INDEX(Suivi!$D:$D,2544)="",INDEX(Suivi!$C:$C,2544),INDEX(Suivi!$D:$D,2544)))</f>
        <v/>
      </c>
      <c r="D2496" s="29">
        <f>IF($B2496="","",INDEX(Suivi!$E:$E,2544))</f>
        <v/>
      </c>
      <c r="E2496" s="29">
        <f>IF($B2496="","",INDEX(Suivi!$F:$F,2544))</f>
        <v/>
      </c>
      <c r="F2496">
        <f>IF($B2496="","",INDEX(Suivi!$G:$G,2544))</f>
        <v/>
      </c>
      <c r="H2496">
        <f>IF(OR($B2496="",NOT(ISNUMBER($D2496))),"",IF($E2496&lt;$D$2,"Passé",IF($D2496&gt;$F$2,"À venir","Dans la période")))</f>
        <v/>
      </c>
      <c r="I2496">
        <f>IF(OR($B2496="",NOT(ISNUMBER($D2496))),"",IF(AND($E2496&lt;$D$2,$G2496&lt;&gt;"X",$F2496&lt;&gt;"Réalisé",$F2496&lt;&gt;"Clôturé"),"RETARD",""))</f>
        <v/>
      </c>
      <c r="J2496" s="29">
        <f>IF($B2496="","",IF(INDEX(Dossiers!$F$4:$F$63,48)="","",INDEX(Dossiers!$F$4:$F$63,48)))</f>
        <v/>
      </c>
      <c r="K2496" s="29">
        <f>IF($B2496="","",IF(INDEX(Dossiers!$G$4:$G$63,48)="","",INDEX(Dossiers!$G$4:$G$63,48)))</f>
        <v/>
      </c>
    </row>
    <row r="2497">
      <c r="A2497">
        <f>IF($B2497="","",INDEX(Dossiers!$E$4:$E$63,48))</f>
        <v/>
      </c>
      <c r="B2497">
        <f>IF(INDEX(Suivi!$B:$B,2545)="","",INDEX(Suivi!$B:$B,2545))</f>
        <v/>
      </c>
      <c r="C2497">
        <f>IF($B2497="","",IF(INDEX(Suivi!$D:$D,2545)="",INDEX(Suivi!$C:$C,2545),INDEX(Suivi!$D:$D,2545)))</f>
        <v/>
      </c>
      <c r="D2497" s="29">
        <f>IF($B2497="","",INDEX(Suivi!$E:$E,2545))</f>
        <v/>
      </c>
      <c r="E2497" s="29">
        <f>IF($B2497="","",INDEX(Suivi!$F:$F,2545))</f>
        <v/>
      </c>
      <c r="F2497">
        <f>IF($B2497="","",INDEX(Suivi!$G:$G,2545))</f>
        <v/>
      </c>
      <c r="H2497">
        <f>IF(OR($B2497="",NOT(ISNUMBER($D2497))),"",IF($E2497&lt;$D$2,"Passé",IF($D2497&gt;$F$2,"À venir","Dans la période")))</f>
        <v/>
      </c>
      <c r="I2497">
        <f>IF(OR($B2497="",NOT(ISNUMBER($D2497))),"",IF(AND($E2497&lt;$D$2,$G2497&lt;&gt;"X",$F2497&lt;&gt;"Réalisé",$F2497&lt;&gt;"Clôturé"),"RETARD",""))</f>
        <v/>
      </c>
      <c r="J2497" s="29">
        <f>IF($B2497="","",IF(INDEX(Dossiers!$F$4:$F$63,48)="","",INDEX(Dossiers!$F$4:$F$63,48)))</f>
        <v/>
      </c>
      <c r="K2497" s="29">
        <f>IF($B2497="","",IF(INDEX(Dossiers!$G$4:$G$63,48)="","",INDEX(Dossiers!$G$4:$G$63,48)))</f>
        <v/>
      </c>
    </row>
    <row r="2498">
      <c r="A2498">
        <f>IF($B2498="","",INDEX(Dossiers!$E$4:$E$63,48))</f>
        <v/>
      </c>
      <c r="B2498">
        <f>IF(INDEX(Suivi!$B:$B,2546)="","",INDEX(Suivi!$B:$B,2546))</f>
        <v/>
      </c>
      <c r="C2498">
        <f>IF($B2498="","",IF(INDEX(Suivi!$D:$D,2546)="",INDEX(Suivi!$C:$C,2546),INDEX(Suivi!$D:$D,2546)))</f>
        <v/>
      </c>
      <c r="D2498" s="29">
        <f>IF($B2498="","",INDEX(Suivi!$E:$E,2546))</f>
        <v/>
      </c>
      <c r="E2498" s="29">
        <f>IF($B2498="","",INDEX(Suivi!$F:$F,2546))</f>
        <v/>
      </c>
      <c r="F2498">
        <f>IF($B2498="","",INDEX(Suivi!$G:$G,2546))</f>
        <v/>
      </c>
      <c r="H2498">
        <f>IF(OR($B2498="",NOT(ISNUMBER($D2498))),"",IF($E2498&lt;$D$2,"Passé",IF($D2498&gt;$F$2,"À venir","Dans la période")))</f>
        <v/>
      </c>
      <c r="I2498">
        <f>IF(OR($B2498="",NOT(ISNUMBER($D2498))),"",IF(AND($E2498&lt;$D$2,$G2498&lt;&gt;"X",$F2498&lt;&gt;"Réalisé",$F2498&lt;&gt;"Clôturé"),"RETARD",""))</f>
        <v/>
      </c>
      <c r="J2498" s="29">
        <f>IF($B2498="","",IF(INDEX(Dossiers!$F$4:$F$63,48)="","",INDEX(Dossiers!$F$4:$F$63,48)))</f>
        <v/>
      </c>
      <c r="K2498" s="29">
        <f>IF($B2498="","",IF(INDEX(Dossiers!$G$4:$G$63,48)="","",INDEX(Dossiers!$G$4:$G$63,48)))</f>
        <v/>
      </c>
    </row>
    <row r="2499">
      <c r="A2499">
        <f>IF($B2499="","",INDEX(Dossiers!$E$4:$E$63,48))</f>
        <v/>
      </c>
      <c r="B2499">
        <f>IF(INDEX(Suivi!$B:$B,2547)="","",INDEX(Suivi!$B:$B,2547))</f>
        <v/>
      </c>
      <c r="C2499">
        <f>IF($B2499="","",IF(INDEX(Suivi!$D:$D,2547)="",INDEX(Suivi!$C:$C,2547),INDEX(Suivi!$D:$D,2547)))</f>
        <v/>
      </c>
      <c r="D2499" s="29">
        <f>IF($B2499="","",INDEX(Suivi!$E:$E,2547))</f>
        <v/>
      </c>
      <c r="E2499" s="29">
        <f>IF($B2499="","",INDEX(Suivi!$F:$F,2547))</f>
        <v/>
      </c>
      <c r="F2499">
        <f>IF($B2499="","",INDEX(Suivi!$G:$G,2547))</f>
        <v/>
      </c>
      <c r="H2499">
        <f>IF(OR($B2499="",NOT(ISNUMBER($D2499))),"",IF($E2499&lt;$D$2,"Passé",IF($D2499&gt;$F$2,"À venir","Dans la période")))</f>
        <v/>
      </c>
      <c r="I2499">
        <f>IF(OR($B2499="",NOT(ISNUMBER($D2499))),"",IF(AND($E2499&lt;$D$2,$G2499&lt;&gt;"X",$F2499&lt;&gt;"Réalisé",$F2499&lt;&gt;"Clôturé"),"RETARD",""))</f>
        <v/>
      </c>
      <c r="J2499" s="29">
        <f>IF($B2499="","",IF(INDEX(Dossiers!$F$4:$F$63,48)="","",INDEX(Dossiers!$F$4:$F$63,48)))</f>
        <v/>
      </c>
      <c r="K2499" s="29">
        <f>IF($B2499="","",IF(INDEX(Dossiers!$G$4:$G$63,48)="","",INDEX(Dossiers!$G$4:$G$63,48)))</f>
        <v/>
      </c>
    </row>
    <row r="2500">
      <c r="A2500">
        <f>IF($B2500="","",INDEX(Dossiers!$E$4:$E$63,48))</f>
        <v/>
      </c>
      <c r="B2500">
        <f>IF(INDEX(Suivi!$B:$B,2548)="","",INDEX(Suivi!$B:$B,2548))</f>
        <v/>
      </c>
      <c r="C2500">
        <f>IF($B2500="","",IF(INDEX(Suivi!$D:$D,2548)="",INDEX(Suivi!$C:$C,2548),INDEX(Suivi!$D:$D,2548)))</f>
        <v/>
      </c>
      <c r="D2500" s="29">
        <f>IF($B2500="","",INDEX(Suivi!$E:$E,2548))</f>
        <v/>
      </c>
      <c r="E2500" s="29">
        <f>IF($B2500="","",INDEX(Suivi!$F:$F,2548))</f>
        <v/>
      </c>
      <c r="F2500">
        <f>IF($B2500="","",INDEX(Suivi!$G:$G,2548))</f>
        <v/>
      </c>
      <c r="H2500">
        <f>IF(OR($B2500="",NOT(ISNUMBER($D2500))),"",IF($E2500&lt;$D$2,"Passé",IF($D2500&gt;$F$2,"À venir","Dans la période")))</f>
        <v/>
      </c>
      <c r="I2500">
        <f>IF(OR($B2500="",NOT(ISNUMBER($D2500))),"",IF(AND($E2500&lt;$D$2,$G2500&lt;&gt;"X",$F2500&lt;&gt;"Réalisé",$F2500&lt;&gt;"Clôturé"),"RETARD",""))</f>
        <v/>
      </c>
      <c r="J2500" s="29">
        <f>IF($B2500="","",IF(INDEX(Dossiers!$F$4:$F$63,48)="","",INDEX(Dossiers!$F$4:$F$63,48)))</f>
        <v/>
      </c>
      <c r="K2500" s="29">
        <f>IF($B2500="","",IF(INDEX(Dossiers!$G$4:$G$63,48)="","",INDEX(Dossiers!$G$4:$G$63,48)))</f>
        <v/>
      </c>
    </row>
    <row r="2501">
      <c r="A2501">
        <f>IF($B2501="","",INDEX(Dossiers!$E$4:$E$63,48))</f>
        <v/>
      </c>
      <c r="B2501">
        <f>IF(INDEX(Suivi!$B:$B,2549)="","",INDEX(Suivi!$B:$B,2549))</f>
        <v/>
      </c>
      <c r="C2501">
        <f>IF($B2501="","",IF(INDEX(Suivi!$D:$D,2549)="",INDEX(Suivi!$C:$C,2549),INDEX(Suivi!$D:$D,2549)))</f>
        <v/>
      </c>
      <c r="D2501" s="29">
        <f>IF($B2501="","",INDEX(Suivi!$E:$E,2549))</f>
        <v/>
      </c>
      <c r="E2501" s="29">
        <f>IF($B2501="","",INDEX(Suivi!$F:$F,2549))</f>
        <v/>
      </c>
      <c r="F2501">
        <f>IF($B2501="","",INDEX(Suivi!$G:$G,2549))</f>
        <v/>
      </c>
      <c r="H2501">
        <f>IF(OR($B2501="",NOT(ISNUMBER($D2501))),"",IF($E2501&lt;$D$2,"Passé",IF($D2501&gt;$F$2,"À venir","Dans la période")))</f>
        <v/>
      </c>
      <c r="I2501">
        <f>IF(OR($B2501="",NOT(ISNUMBER($D2501))),"",IF(AND($E2501&lt;$D$2,$G2501&lt;&gt;"X",$F2501&lt;&gt;"Réalisé",$F2501&lt;&gt;"Clôturé"),"RETARD",""))</f>
        <v/>
      </c>
      <c r="J2501" s="29">
        <f>IF($B2501="","",IF(INDEX(Dossiers!$F$4:$F$63,48)="","",INDEX(Dossiers!$F$4:$F$63,48)))</f>
        <v/>
      </c>
      <c r="K2501" s="29">
        <f>IF($B2501="","",IF(INDEX(Dossiers!$G$4:$G$63,48)="","",INDEX(Dossiers!$G$4:$G$63,48)))</f>
        <v/>
      </c>
    </row>
    <row r="2502">
      <c r="A2502">
        <f>IF($B2502="","",INDEX(Dossiers!$E$4:$E$63,48))</f>
        <v/>
      </c>
      <c r="B2502">
        <f>IF(INDEX(Suivi!$B:$B,2550)="","",INDEX(Suivi!$B:$B,2550))</f>
        <v/>
      </c>
      <c r="C2502">
        <f>IF($B2502="","",IF(INDEX(Suivi!$D:$D,2550)="",INDEX(Suivi!$C:$C,2550),INDEX(Suivi!$D:$D,2550)))</f>
        <v/>
      </c>
      <c r="D2502" s="29">
        <f>IF($B2502="","",INDEX(Suivi!$E:$E,2550))</f>
        <v/>
      </c>
      <c r="E2502" s="29">
        <f>IF($B2502="","",INDEX(Suivi!$F:$F,2550))</f>
        <v/>
      </c>
      <c r="F2502">
        <f>IF($B2502="","",INDEX(Suivi!$G:$G,2550))</f>
        <v/>
      </c>
      <c r="H2502">
        <f>IF(OR($B2502="",NOT(ISNUMBER($D2502))),"",IF($E2502&lt;$D$2,"Passé",IF($D2502&gt;$F$2,"À venir","Dans la période")))</f>
        <v/>
      </c>
      <c r="I2502">
        <f>IF(OR($B2502="",NOT(ISNUMBER($D2502))),"",IF(AND($E2502&lt;$D$2,$G2502&lt;&gt;"X",$F2502&lt;&gt;"Réalisé",$F2502&lt;&gt;"Clôturé"),"RETARD",""))</f>
        <v/>
      </c>
      <c r="J2502" s="29">
        <f>IF($B2502="","",IF(INDEX(Dossiers!$F$4:$F$63,48)="","",INDEX(Dossiers!$F$4:$F$63,48)))</f>
        <v/>
      </c>
      <c r="K2502" s="29">
        <f>IF($B2502="","",IF(INDEX(Dossiers!$G$4:$G$63,48)="","",INDEX(Dossiers!$G$4:$G$63,48)))</f>
        <v/>
      </c>
    </row>
    <row r="2503">
      <c r="A2503">
        <f>IF($B2503="","",INDEX(Dossiers!$E$4:$E$63,48))</f>
        <v/>
      </c>
      <c r="B2503">
        <f>IF(INDEX(Suivi!$B:$B,2551)="","",INDEX(Suivi!$B:$B,2551))</f>
        <v/>
      </c>
      <c r="C2503">
        <f>IF($B2503="","",IF(INDEX(Suivi!$D:$D,2551)="",INDEX(Suivi!$C:$C,2551),INDEX(Suivi!$D:$D,2551)))</f>
        <v/>
      </c>
      <c r="D2503" s="29">
        <f>IF($B2503="","",INDEX(Suivi!$E:$E,2551))</f>
        <v/>
      </c>
      <c r="E2503" s="29">
        <f>IF($B2503="","",INDEX(Suivi!$F:$F,2551))</f>
        <v/>
      </c>
      <c r="F2503">
        <f>IF($B2503="","",INDEX(Suivi!$G:$G,2551))</f>
        <v/>
      </c>
      <c r="H2503">
        <f>IF(OR($B2503="",NOT(ISNUMBER($D2503))),"",IF($E2503&lt;$D$2,"Passé",IF($D2503&gt;$F$2,"À venir","Dans la période")))</f>
        <v/>
      </c>
      <c r="I2503">
        <f>IF(OR($B2503="",NOT(ISNUMBER($D2503))),"",IF(AND($E2503&lt;$D$2,$G2503&lt;&gt;"X",$F2503&lt;&gt;"Réalisé",$F2503&lt;&gt;"Clôturé"),"RETARD",""))</f>
        <v/>
      </c>
      <c r="J2503" s="29">
        <f>IF($B2503="","",IF(INDEX(Dossiers!$F$4:$F$63,48)="","",INDEX(Dossiers!$F$4:$F$63,48)))</f>
        <v/>
      </c>
      <c r="K2503" s="29">
        <f>IF($B2503="","",IF(INDEX(Dossiers!$G$4:$G$63,48)="","",INDEX(Dossiers!$G$4:$G$63,48)))</f>
        <v/>
      </c>
    </row>
    <row r="2504">
      <c r="A2504">
        <f>IF($B2504="","",INDEX(Dossiers!$E$4:$E$63,48))</f>
        <v/>
      </c>
      <c r="B2504">
        <f>IF(INDEX(Suivi!$B:$B,2552)="","",INDEX(Suivi!$B:$B,2552))</f>
        <v/>
      </c>
      <c r="C2504">
        <f>IF($B2504="","",IF(INDEX(Suivi!$D:$D,2552)="",INDEX(Suivi!$C:$C,2552),INDEX(Suivi!$D:$D,2552)))</f>
        <v/>
      </c>
      <c r="D2504" s="29">
        <f>IF($B2504="","",INDEX(Suivi!$E:$E,2552))</f>
        <v/>
      </c>
      <c r="E2504" s="29">
        <f>IF($B2504="","",INDEX(Suivi!$F:$F,2552))</f>
        <v/>
      </c>
      <c r="F2504">
        <f>IF($B2504="","",INDEX(Suivi!$G:$G,2552))</f>
        <v/>
      </c>
      <c r="H2504">
        <f>IF(OR($B2504="",NOT(ISNUMBER($D2504))),"",IF($E2504&lt;$D$2,"Passé",IF($D2504&gt;$F$2,"À venir","Dans la période")))</f>
        <v/>
      </c>
      <c r="I2504">
        <f>IF(OR($B2504="",NOT(ISNUMBER($D2504))),"",IF(AND($E2504&lt;$D$2,$G2504&lt;&gt;"X",$F2504&lt;&gt;"Réalisé",$F2504&lt;&gt;"Clôturé"),"RETARD",""))</f>
        <v/>
      </c>
      <c r="J2504" s="29">
        <f>IF($B2504="","",IF(INDEX(Dossiers!$F$4:$F$63,48)="","",INDEX(Dossiers!$F$4:$F$63,48)))</f>
        <v/>
      </c>
      <c r="K2504" s="29">
        <f>IF($B2504="","",IF(INDEX(Dossiers!$G$4:$G$63,48)="","",INDEX(Dossiers!$G$4:$G$63,48)))</f>
        <v/>
      </c>
    </row>
    <row r="2505">
      <c r="A2505">
        <f>IF($B2505="","",INDEX(Dossiers!$E$4:$E$63,48))</f>
        <v/>
      </c>
      <c r="B2505">
        <f>IF(INDEX(Suivi!$B:$B,2553)="","",INDEX(Suivi!$B:$B,2553))</f>
        <v/>
      </c>
      <c r="C2505">
        <f>IF($B2505="","",IF(INDEX(Suivi!$D:$D,2553)="",INDEX(Suivi!$C:$C,2553),INDEX(Suivi!$D:$D,2553)))</f>
        <v/>
      </c>
      <c r="D2505" s="29">
        <f>IF($B2505="","",INDEX(Suivi!$E:$E,2553))</f>
        <v/>
      </c>
      <c r="E2505" s="29">
        <f>IF($B2505="","",INDEX(Suivi!$F:$F,2553))</f>
        <v/>
      </c>
      <c r="F2505">
        <f>IF($B2505="","",INDEX(Suivi!$G:$G,2553))</f>
        <v/>
      </c>
      <c r="H2505">
        <f>IF(OR($B2505="",NOT(ISNUMBER($D2505))),"",IF($E2505&lt;$D$2,"Passé",IF($D2505&gt;$F$2,"À venir","Dans la période")))</f>
        <v/>
      </c>
      <c r="I2505">
        <f>IF(OR($B2505="",NOT(ISNUMBER($D2505))),"",IF(AND($E2505&lt;$D$2,$G2505&lt;&gt;"X",$F2505&lt;&gt;"Réalisé",$F2505&lt;&gt;"Clôturé"),"RETARD",""))</f>
        <v/>
      </c>
      <c r="J2505" s="29">
        <f>IF($B2505="","",IF(INDEX(Dossiers!$F$4:$F$63,48)="","",INDEX(Dossiers!$F$4:$F$63,48)))</f>
        <v/>
      </c>
      <c r="K2505" s="29">
        <f>IF($B2505="","",IF(INDEX(Dossiers!$G$4:$G$63,48)="","",INDEX(Dossiers!$G$4:$G$63,48)))</f>
        <v/>
      </c>
    </row>
    <row r="2506">
      <c r="A2506">
        <f>IF($B2506="","",INDEX(Dossiers!$E$4:$E$63,48))</f>
        <v/>
      </c>
      <c r="B2506">
        <f>IF(INDEX(Suivi!$B:$B,2554)="","",INDEX(Suivi!$B:$B,2554))</f>
        <v/>
      </c>
      <c r="C2506">
        <f>IF($B2506="","",IF(INDEX(Suivi!$D:$D,2554)="",INDEX(Suivi!$C:$C,2554),INDEX(Suivi!$D:$D,2554)))</f>
        <v/>
      </c>
      <c r="D2506" s="29">
        <f>IF($B2506="","",INDEX(Suivi!$E:$E,2554))</f>
        <v/>
      </c>
      <c r="E2506" s="29">
        <f>IF($B2506="","",INDEX(Suivi!$F:$F,2554))</f>
        <v/>
      </c>
      <c r="F2506">
        <f>IF($B2506="","",INDEX(Suivi!$G:$G,2554))</f>
        <v/>
      </c>
      <c r="H2506">
        <f>IF(OR($B2506="",NOT(ISNUMBER($D2506))),"",IF($E2506&lt;$D$2,"Passé",IF($D2506&gt;$F$2,"À venir","Dans la période")))</f>
        <v/>
      </c>
      <c r="I2506">
        <f>IF(OR($B2506="",NOT(ISNUMBER($D2506))),"",IF(AND($E2506&lt;$D$2,$G2506&lt;&gt;"X",$F2506&lt;&gt;"Réalisé",$F2506&lt;&gt;"Clôturé"),"RETARD",""))</f>
        <v/>
      </c>
      <c r="J2506" s="29">
        <f>IF($B2506="","",IF(INDEX(Dossiers!$F$4:$F$63,48)="","",INDEX(Dossiers!$F$4:$F$63,48)))</f>
        <v/>
      </c>
      <c r="K2506" s="29">
        <f>IF($B2506="","",IF(INDEX(Dossiers!$G$4:$G$63,48)="","",INDEX(Dossiers!$G$4:$G$63,48)))</f>
        <v/>
      </c>
    </row>
    <row r="2507">
      <c r="A2507">
        <f>IF($B2507="","",INDEX(Dossiers!$E$4:$E$63,48))</f>
        <v/>
      </c>
      <c r="B2507">
        <f>IF(INDEX(Suivi!$B:$B,2555)="","",INDEX(Suivi!$B:$B,2555))</f>
        <v/>
      </c>
      <c r="C2507">
        <f>IF($B2507="","",IF(INDEX(Suivi!$D:$D,2555)="",INDEX(Suivi!$C:$C,2555),INDEX(Suivi!$D:$D,2555)))</f>
        <v/>
      </c>
      <c r="D2507" s="29">
        <f>IF($B2507="","",INDEX(Suivi!$E:$E,2555))</f>
        <v/>
      </c>
      <c r="E2507" s="29">
        <f>IF($B2507="","",INDEX(Suivi!$F:$F,2555))</f>
        <v/>
      </c>
      <c r="F2507">
        <f>IF($B2507="","",INDEX(Suivi!$G:$G,2555))</f>
        <v/>
      </c>
      <c r="H2507">
        <f>IF(OR($B2507="",NOT(ISNUMBER($D2507))),"",IF($E2507&lt;$D$2,"Passé",IF($D2507&gt;$F$2,"À venir","Dans la période")))</f>
        <v/>
      </c>
      <c r="I2507">
        <f>IF(OR($B2507="",NOT(ISNUMBER($D2507))),"",IF(AND($E2507&lt;$D$2,$G2507&lt;&gt;"X",$F2507&lt;&gt;"Réalisé",$F2507&lt;&gt;"Clôturé"),"RETARD",""))</f>
        <v/>
      </c>
      <c r="J2507" s="29">
        <f>IF($B2507="","",IF(INDEX(Dossiers!$F$4:$F$63,48)="","",INDEX(Dossiers!$F$4:$F$63,48)))</f>
        <v/>
      </c>
      <c r="K2507" s="29">
        <f>IF($B2507="","",IF(INDEX(Dossiers!$G$4:$G$63,48)="","",INDEX(Dossiers!$G$4:$G$63,48)))</f>
        <v/>
      </c>
    </row>
    <row r="2508">
      <c r="A2508">
        <f>IF($B2508="","",INDEX(Dossiers!$E$4:$E$63,48))</f>
        <v/>
      </c>
      <c r="B2508">
        <f>IF(INDEX(Suivi!$B:$B,2556)="","",INDEX(Suivi!$B:$B,2556))</f>
        <v/>
      </c>
      <c r="C2508">
        <f>IF($B2508="","",IF(INDEX(Suivi!$D:$D,2556)="",INDEX(Suivi!$C:$C,2556),INDEX(Suivi!$D:$D,2556)))</f>
        <v/>
      </c>
      <c r="D2508" s="29">
        <f>IF($B2508="","",INDEX(Suivi!$E:$E,2556))</f>
        <v/>
      </c>
      <c r="E2508" s="29">
        <f>IF($B2508="","",INDEX(Suivi!$F:$F,2556))</f>
        <v/>
      </c>
      <c r="F2508">
        <f>IF($B2508="","",INDEX(Suivi!$G:$G,2556))</f>
        <v/>
      </c>
      <c r="H2508">
        <f>IF(OR($B2508="",NOT(ISNUMBER($D2508))),"",IF($E2508&lt;$D$2,"Passé",IF($D2508&gt;$F$2,"À venir","Dans la période")))</f>
        <v/>
      </c>
      <c r="I2508">
        <f>IF(OR($B2508="",NOT(ISNUMBER($D2508))),"",IF(AND($E2508&lt;$D$2,$G2508&lt;&gt;"X",$F2508&lt;&gt;"Réalisé",$F2508&lt;&gt;"Clôturé"),"RETARD",""))</f>
        <v/>
      </c>
      <c r="J2508" s="29">
        <f>IF($B2508="","",IF(INDEX(Dossiers!$F$4:$F$63,48)="","",INDEX(Dossiers!$F$4:$F$63,48)))</f>
        <v/>
      </c>
      <c r="K2508" s="29">
        <f>IF($B2508="","",IF(INDEX(Dossiers!$G$4:$G$63,48)="","",INDEX(Dossiers!$G$4:$G$63,48)))</f>
        <v/>
      </c>
    </row>
    <row r="2509">
      <c r="A2509">
        <f>IF($B2509="","",INDEX(Dossiers!$E$4:$E$63,48))</f>
        <v/>
      </c>
      <c r="B2509">
        <f>IF(INDEX(Suivi!$B:$B,2557)="","",INDEX(Suivi!$B:$B,2557))</f>
        <v/>
      </c>
      <c r="C2509">
        <f>IF($B2509="","",IF(INDEX(Suivi!$D:$D,2557)="",INDEX(Suivi!$C:$C,2557),INDEX(Suivi!$D:$D,2557)))</f>
        <v/>
      </c>
      <c r="D2509" s="29">
        <f>IF($B2509="","",INDEX(Suivi!$E:$E,2557))</f>
        <v/>
      </c>
      <c r="E2509" s="29">
        <f>IF($B2509="","",INDEX(Suivi!$F:$F,2557))</f>
        <v/>
      </c>
      <c r="F2509">
        <f>IF($B2509="","",INDEX(Suivi!$G:$G,2557))</f>
        <v/>
      </c>
      <c r="H2509">
        <f>IF(OR($B2509="",NOT(ISNUMBER($D2509))),"",IF($E2509&lt;$D$2,"Passé",IF($D2509&gt;$F$2,"À venir","Dans la période")))</f>
        <v/>
      </c>
      <c r="I2509">
        <f>IF(OR($B2509="",NOT(ISNUMBER($D2509))),"",IF(AND($E2509&lt;$D$2,$G2509&lt;&gt;"X",$F2509&lt;&gt;"Réalisé",$F2509&lt;&gt;"Clôturé"),"RETARD",""))</f>
        <v/>
      </c>
      <c r="J2509" s="29">
        <f>IF($B2509="","",IF(INDEX(Dossiers!$F$4:$F$63,48)="","",INDEX(Dossiers!$F$4:$F$63,48)))</f>
        <v/>
      </c>
      <c r="K2509" s="29">
        <f>IF($B2509="","",IF(INDEX(Dossiers!$G$4:$G$63,48)="","",INDEX(Dossiers!$G$4:$G$63,48)))</f>
        <v/>
      </c>
    </row>
    <row r="2510">
      <c r="A2510">
        <f>IF($B2510="","",INDEX(Dossiers!$E$4:$E$63,48))</f>
        <v/>
      </c>
      <c r="B2510">
        <f>IF(INDEX(Suivi!$B:$B,2558)="","",INDEX(Suivi!$B:$B,2558))</f>
        <v/>
      </c>
      <c r="C2510">
        <f>IF($B2510="","",IF(INDEX(Suivi!$D:$D,2558)="",INDEX(Suivi!$C:$C,2558),INDEX(Suivi!$D:$D,2558)))</f>
        <v/>
      </c>
      <c r="D2510" s="29">
        <f>IF($B2510="","",INDEX(Suivi!$E:$E,2558))</f>
        <v/>
      </c>
      <c r="E2510" s="29">
        <f>IF($B2510="","",INDEX(Suivi!$F:$F,2558))</f>
        <v/>
      </c>
      <c r="F2510">
        <f>IF($B2510="","",INDEX(Suivi!$G:$G,2558))</f>
        <v/>
      </c>
      <c r="H2510">
        <f>IF(OR($B2510="",NOT(ISNUMBER($D2510))),"",IF($E2510&lt;$D$2,"Passé",IF($D2510&gt;$F$2,"À venir","Dans la période")))</f>
        <v/>
      </c>
      <c r="I2510">
        <f>IF(OR($B2510="",NOT(ISNUMBER($D2510))),"",IF(AND($E2510&lt;$D$2,$G2510&lt;&gt;"X",$F2510&lt;&gt;"Réalisé",$F2510&lt;&gt;"Clôturé"),"RETARD",""))</f>
        <v/>
      </c>
      <c r="J2510" s="29">
        <f>IF($B2510="","",IF(INDEX(Dossiers!$F$4:$F$63,48)="","",INDEX(Dossiers!$F$4:$F$63,48)))</f>
        <v/>
      </c>
      <c r="K2510" s="29">
        <f>IF($B2510="","",IF(INDEX(Dossiers!$G$4:$G$63,48)="","",INDEX(Dossiers!$G$4:$G$63,48)))</f>
        <v/>
      </c>
    </row>
    <row r="2511">
      <c r="A2511">
        <f>IF($B2511="","",INDEX(Dossiers!$E$4:$E$63,48))</f>
        <v/>
      </c>
      <c r="B2511">
        <f>IF(INDEX(Suivi!$B:$B,2559)="","",INDEX(Suivi!$B:$B,2559))</f>
        <v/>
      </c>
      <c r="C2511">
        <f>IF($B2511="","",IF(INDEX(Suivi!$D:$D,2559)="",INDEX(Suivi!$C:$C,2559),INDEX(Suivi!$D:$D,2559)))</f>
        <v/>
      </c>
      <c r="D2511" s="29">
        <f>IF($B2511="","",INDEX(Suivi!$E:$E,2559))</f>
        <v/>
      </c>
      <c r="E2511" s="29">
        <f>IF($B2511="","",INDEX(Suivi!$F:$F,2559))</f>
        <v/>
      </c>
      <c r="F2511">
        <f>IF($B2511="","",INDEX(Suivi!$G:$G,2559))</f>
        <v/>
      </c>
      <c r="H2511">
        <f>IF(OR($B2511="",NOT(ISNUMBER($D2511))),"",IF($E2511&lt;$D$2,"Passé",IF($D2511&gt;$F$2,"À venir","Dans la période")))</f>
        <v/>
      </c>
      <c r="I2511">
        <f>IF(OR($B2511="",NOT(ISNUMBER($D2511))),"",IF(AND($E2511&lt;$D$2,$G2511&lt;&gt;"X",$F2511&lt;&gt;"Réalisé",$F2511&lt;&gt;"Clôturé"),"RETARD",""))</f>
        <v/>
      </c>
      <c r="J2511" s="29">
        <f>IF($B2511="","",IF(INDEX(Dossiers!$F$4:$F$63,48)="","",INDEX(Dossiers!$F$4:$F$63,48)))</f>
        <v/>
      </c>
      <c r="K2511" s="29">
        <f>IF($B2511="","",IF(INDEX(Dossiers!$G$4:$G$63,48)="","",INDEX(Dossiers!$G$4:$G$63,48)))</f>
        <v/>
      </c>
    </row>
    <row r="2512">
      <c r="A2512">
        <f>IF($B2512="","",INDEX(Dossiers!$E$4:$E$63,48))</f>
        <v/>
      </c>
      <c r="B2512">
        <f>IF(INDEX(Suivi!$B:$B,2560)="","",INDEX(Suivi!$B:$B,2560))</f>
        <v/>
      </c>
      <c r="C2512">
        <f>IF($B2512="","",IF(INDEX(Suivi!$D:$D,2560)="",INDEX(Suivi!$C:$C,2560),INDEX(Suivi!$D:$D,2560)))</f>
        <v/>
      </c>
      <c r="D2512" s="29">
        <f>IF($B2512="","",INDEX(Suivi!$E:$E,2560))</f>
        <v/>
      </c>
      <c r="E2512" s="29">
        <f>IF($B2512="","",INDEX(Suivi!$F:$F,2560))</f>
        <v/>
      </c>
      <c r="F2512">
        <f>IF($B2512="","",INDEX(Suivi!$G:$G,2560))</f>
        <v/>
      </c>
      <c r="H2512">
        <f>IF(OR($B2512="",NOT(ISNUMBER($D2512))),"",IF($E2512&lt;$D$2,"Passé",IF($D2512&gt;$F$2,"À venir","Dans la période")))</f>
        <v/>
      </c>
      <c r="I2512">
        <f>IF(OR($B2512="",NOT(ISNUMBER($D2512))),"",IF(AND($E2512&lt;$D$2,$G2512&lt;&gt;"X",$F2512&lt;&gt;"Réalisé",$F2512&lt;&gt;"Clôturé"),"RETARD",""))</f>
        <v/>
      </c>
      <c r="J2512" s="29">
        <f>IF($B2512="","",IF(INDEX(Dossiers!$F$4:$F$63,48)="","",INDEX(Dossiers!$F$4:$F$63,48)))</f>
        <v/>
      </c>
      <c r="K2512" s="29">
        <f>IF($B2512="","",IF(INDEX(Dossiers!$G$4:$G$63,48)="","",INDEX(Dossiers!$G$4:$G$63,48)))</f>
        <v/>
      </c>
    </row>
    <row r="2513">
      <c r="A2513">
        <f>IF($B2513="","",INDEX(Dossiers!$E$4:$E$63,48))</f>
        <v/>
      </c>
      <c r="B2513">
        <f>IF(INDEX(Suivi!$B:$B,2561)="","",INDEX(Suivi!$B:$B,2561))</f>
        <v/>
      </c>
      <c r="C2513">
        <f>IF($B2513="","",IF(INDEX(Suivi!$D:$D,2561)="",INDEX(Suivi!$C:$C,2561),INDEX(Suivi!$D:$D,2561)))</f>
        <v/>
      </c>
      <c r="D2513" s="29">
        <f>IF($B2513="","",INDEX(Suivi!$E:$E,2561))</f>
        <v/>
      </c>
      <c r="E2513" s="29">
        <f>IF($B2513="","",INDEX(Suivi!$F:$F,2561))</f>
        <v/>
      </c>
      <c r="F2513">
        <f>IF($B2513="","",INDEX(Suivi!$G:$G,2561))</f>
        <v/>
      </c>
      <c r="H2513">
        <f>IF(OR($B2513="",NOT(ISNUMBER($D2513))),"",IF($E2513&lt;$D$2,"Passé",IF($D2513&gt;$F$2,"À venir","Dans la période")))</f>
        <v/>
      </c>
      <c r="I2513">
        <f>IF(OR($B2513="",NOT(ISNUMBER($D2513))),"",IF(AND($E2513&lt;$D$2,$G2513&lt;&gt;"X",$F2513&lt;&gt;"Réalisé",$F2513&lt;&gt;"Clôturé"),"RETARD",""))</f>
        <v/>
      </c>
      <c r="J2513" s="29">
        <f>IF($B2513="","",IF(INDEX(Dossiers!$F$4:$F$63,48)="","",INDEX(Dossiers!$F$4:$F$63,48)))</f>
        <v/>
      </c>
      <c r="K2513" s="29">
        <f>IF($B2513="","",IF(INDEX(Dossiers!$G$4:$G$63,48)="","",INDEX(Dossiers!$G$4:$G$63,48)))</f>
        <v/>
      </c>
    </row>
    <row r="2514">
      <c r="A2514">
        <f>IF($B2514="","",INDEX(Dossiers!$E$4:$E$63,48))</f>
        <v/>
      </c>
      <c r="B2514">
        <f>IF(INDEX(Suivi!$B:$B,2562)="","",INDEX(Suivi!$B:$B,2562))</f>
        <v/>
      </c>
      <c r="C2514">
        <f>IF($B2514="","",IF(INDEX(Suivi!$D:$D,2562)="",INDEX(Suivi!$C:$C,2562),INDEX(Suivi!$D:$D,2562)))</f>
        <v/>
      </c>
      <c r="D2514" s="29">
        <f>IF($B2514="","",INDEX(Suivi!$E:$E,2562))</f>
        <v/>
      </c>
      <c r="E2514" s="29">
        <f>IF($B2514="","",INDEX(Suivi!$F:$F,2562))</f>
        <v/>
      </c>
      <c r="F2514">
        <f>IF($B2514="","",INDEX(Suivi!$G:$G,2562))</f>
        <v/>
      </c>
      <c r="H2514">
        <f>IF(OR($B2514="",NOT(ISNUMBER($D2514))),"",IF($E2514&lt;$D$2,"Passé",IF($D2514&gt;$F$2,"À venir","Dans la période")))</f>
        <v/>
      </c>
      <c r="I2514">
        <f>IF(OR($B2514="",NOT(ISNUMBER($D2514))),"",IF(AND($E2514&lt;$D$2,$G2514&lt;&gt;"X",$F2514&lt;&gt;"Réalisé",$F2514&lt;&gt;"Clôturé"),"RETARD",""))</f>
        <v/>
      </c>
      <c r="J2514" s="29">
        <f>IF($B2514="","",IF(INDEX(Dossiers!$F$4:$F$63,48)="","",INDEX(Dossiers!$F$4:$F$63,48)))</f>
        <v/>
      </c>
      <c r="K2514" s="29">
        <f>IF($B2514="","",IF(INDEX(Dossiers!$G$4:$G$63,48)="","",INDEX(Dossiers!$G$4:$G$63,48)))</f>
        <v/>
      </c>
    </row>
    <row r="2515">
      <c r="A2515">
        <f>IF($B2515="","",INDEX(Dossiers!$E$4:$E$63,48))</f>
        <v/>
      </c>
      <c r="B2515">
        <f>IF(INDEX(Suivi!$B:$B,2563)="","",INDEX(Suivi!$B:$B,2563))</f>
        <v/>
      </c>
      <c r="C2515">
        <f>IF($B2515="","",IF(INDEX(Suivi!$D:$D,2563)="",INDEX(Suivi!$C:$C,2563),INDEX(Suivi!$D:$D,2563)))</f>
        <v/>
      </c>
      <c r="D2515" s="29">
        <f>IF($B2515="","",INDEX(Suivi!$E:$E,2563))</f>
        <v/>
      </c>
      <c r="E2515" s="29">
        <f>IF($B2515="","",INDEX(Suivi!$F:$F,2563))</f>
        <v/>
      </c>
      <c r="F2515">
        <f>IF($B2515="","",INDEX(Suivi!$G:$G,2563))</f>
        <v/>
      </c>
      <c r="H2515">
        <f>IF(OR($B2515="",NOT(ISNUMBER($D2515))),"",IF($E2515&lt;$D$2,"Passé",IF($D2515&gt;$F$2,"À venir","Dans la période")))</f>
        <v/>
      </c>
      <c r="I2515">
        <f>IF(OR($B2515="",NOT(ISNUMBER($D2515))),"",IF(AND($E2515&lt;$D$2,$G2515&lt;&gt;"X",$F2515&lt;&gt;"Réalisé",$F2515&lt;&gt;"Clôturé"),"RETARD",""))</f>
        <v/>
      </c>
      <c r="J2515" s="29">
        <f>IF($B2515="","",IF(INDEX(Dossiers!$F$4:$F$63,48)="","",INDEX(Dossiers!$F$4:$F$63,48)))</f>
        <v/>
      </c>
      <c r="K2515" s="29">
        <f>IF($B2515="","",IF(INDEX(Dossiers!$G$4:$G$63,48)="","",INDEX(Dossiers!$G$4:$G$63,48)))</f>
        <v/>
      </c>
    </row>
    <row r="2516">
      <c r="A2516">
        <f>IF($B2516="","",INDEX(Dossiers!$E$4:$E$63,48))</f>
        <v/>
      </c>
      <c r="B2516">
        <f>IF(INDEX(Suivi!$B:$B,2564)="","",INDEX(Suivi!$B:$B,2564))</f>
        <v/>
      </c>
      <c r="C2516">
        <f>IF($B2516="","",IF(INDEX(Suivi!$D:$D,2564)="",INDEX(Suivi!$C:$C,2564),INDEX(Suivi!$D:$D,2564)))</f>
        <v/>
      </c>
      <c r="D2516" s="29">
        <f>IF($B2516="","",INDEX(Suivi!$E:$E,2564))</f>
        <v/>
      </c>
      <c r="E2516" s="29">
        <f>IF($B2516="","",INDEX(Suivi!$F:$F,2564))</f>
        <v/>
      </c>
      <c r="F2516">
        <f>IF($B2516="","",INDEX(Suivi!$G:$G,2564))</f>
        <v/>
      </c>
      <c r="H2516">
        <f>IF(OR($B2516="",NOT(ISNUMBER($D2516))),"",IF($E2516&lt;$D$2,"Passé",IF($D2516&gt;$F$2,"À venir","Dans la période")))</f>
        <v/>
      </c>
      <c r="I2516">
        <f>IF(OR($B2516="",NOT(ISNUMBER($D2516))),"",IF(AND($E2516&lt;$D$2,$G2516&lt;&gt;"X",$F2516&lt;&gt;"Réalisé",$F2516&lt;&gt;"Clôturé"),"RETARD",""))</f>
        <v/>
      </c>
      <c r="J2516" s="29">
        <f>IF($B2516="","",IF(INDEX(Dossiers!$F$4:$F$63,48)="","",INDEX(Dossiers!$F$4:$F$63,48)))</f>
        <v/>
      </c>
      <c r="K2516" s="29">
        <f>IF($B2516="","",IF(INDEX(Dossiers!$G$4:$G$63,48)="","",INDEX(Dossiers!$G$4:$G$63,48)))</f>
        <v/>
      </c>
    </row>
    <row r="2517">
      <c r="A2517">
        <f>IF($B2517="","",INDEX(Dossiers!$E$4:$E$63,48))</f>
        <v/>
      </c>
      <c r="B2517">
        <f>IF(INDEX(Suivi!$B:$B,2565)="","",INDEX(Suivi!$B:$B,2565))</f>
        <v/>
      </c>
      <c r="C2517">
        <f>IF($B2517="","",IF(INDEX(Suivi!$D:$D,2565)="",INDEX(Suivi!$C:$C,2565),INDEX(Suivi!$D:$D,2565)))</f>
        <v/>
      </c>
      <c r="D2517" s="29">
        <f>IF($B2517="","",INDEX(Suivi!$E:$E,2565))</f>
        <v/>
      </c>
      <c r="E2517" s="29">
        <f>IF($B2517="","",INDEX(Suivi!$F:$F,2565))</f>
        <v/>
      </c>
      <c r="F2517">
        <f>IF($B2517="","",INDEX(Suivi!$G:$G,2565))</f>
        <v/>
      </c>
      <c r="H2517">
        <f>IF(OR($B2517="",NOT(ISNUMBER($D2517))),"",IF($E2517&lt;$D$2,"Passé",IF($D2517&gt;$F$2,"À venir","Dans la période")))</f>
        <v/>
      </c>
      <c r="I2517">
        <f>IF(OR($B2517="",NOT(ISNUMBER($D2517))),"",IF(AND($E2517&lt;$D$2,$G2517&lt;&gt;"X",$F2517&lt;&gt;"Réalisé",$F2517&lt;&gt;"Clôturé"),"RETARD",""))</f>
        <v/>
      </c>
      <c r="J2517" s="29">
        <f>IF($B2517="","",IF(INDEX(Dossiers!$F$4:$F$63,48)="","",INDEX(Dossiers!$F$4:$F$63,48)))</f>
        <v/>
      </c>
      <c r="K2517" s="29">
        <f>IF($B2517="","",IF(INDEX(Dossiers!$G$4:$G$63,48)="","",INDEX(Dossiers!$G$4:$G$63,48)))</f>
        <v/>
      </c>
    </row>
    <row r="2518">
      <c r="A2518">
        <f>IF($B2518="","",INDEX(Dossiers!$E$4:$E$63,48))</f>
        <v/>
      </c>
      <c r="B2518">
        <f>IF(INDEX(Suivi!$B:$B,2566)="","",INDEX(Suivi!$B:$B,2566))</f>
        <v/>
      </c>
      <c r="C2518">
        <f>IF($B2518="","",IF(INDEX(Suivi!$D:$D,2566)="",INDEX(Suivi!$C:$C,2566),INDEX(Suivi!$D:$D,2566)))</f>
        <v/>
      </c>
      <c r="D2518" s="29">
        <f>IF($B2518="","",INDEX(Suivi!$E:$E,2566))</f>
        <v/>
      </c>
      <c r="E2518" s="29">
        <f>IF($B2518="","",INDEX(Suivi!$F:$F,2566))</f>
        <v/>
      </c>
      <c r="F2518">
        <f>IF($B2518="","",INDEX(Suivi!$G:$G,2566))</f>
        <v/>
      </c>
      <c r="H2518">
        <f>IF(OR($B2518="",NOT(ISNUMBER($D2518))),"",IF($E2518&lt;$D$2,"Passé",IF($D2518&gt;$F$2,"À venir","Dans la période")))</f>
        <v/>
      </c>
      <c r="I2518">
        <f>IF(OR($B2518="",NOT(ISNUMBER($D2518))),"",IF(AND($E2518&lt;$D$2,$G2518&lt;&gt;"X",$F2518&lt;&gt;"Réalisé",$F2518&lt;&gt;"Clôturé"),"RETARD",""))</f>
        <v/>
      </c>
      <c r="J2518" s="29">
        <f>IF($B2518="","",IF(INDEX(Dossiers!$F$4:$F$63,48)="","",INDEX(Dossiers!$F$4:$F$63,48)))</f>
        <v/>
      </c>
      <c r="K2518" s="29">
        <f>IF($B2518="","",IF(INDEX(Dossiers!$G$4:$G$63,48)="","",INDEX(Dossiers!$G$4:$G$63,48)))</f>
        <v/>
      </c>
    </row>
    <row r="2519">
      <c r="A2519">
        <f>IF($B2519="","",INDEX(Dossiers!$E$4:$E$63,48))</f>
        <v/>
      </c>
      <c r="B2519">
        <f>IF(INDEX(Suivi!$B:$B,2567)="","",INDEX(Suivi!$B:$B,2567))</f>
        <v/>
      </c>
      <c r="C2519">
        <f>IF($B2519="","",IF(INDEX(Suivi!$D:$D,2567)="",INDEX(Suivi!$C:$C,2567),INDEX(Suivi!$D:$D,2567)))</f>
        <v/>
      </c>
      <c r="D2519" s="29">
        <f>IF($B2519="","",INDEX(Suivi!$E:$E,2567))</f>
        <v/>
      </c>
      <c r="E2519" s="29">
        <f>IF($B2519="","",INDEX(Suivi!$F:$F,2567))</f>
        <v/>
      </c>
      <c r="F2519">
        <f>IF($B2519="","",INDEX(Suivi!$G:$G,2567))</f>
        <v/>
      </c>
      <c r="H2519">
        <f>IF(OR($B2519="",NOT(ISNUMBER($D2519))),"",IF($E2519&lt;$D$2,"Passé",IF($D2519&gt;$F$2,"À venir","Dans la période")))</f>
        <v/>
      </c>
      <c r="I2519">
        <f>IF(OR($B2519="",NOT(ISNUMBER($D2519))),"",IF(AND($E2519&lt;$D$2,$G2519&lt;&gt;"X",$F2519&lt;&gt;"Réalisé",$F2519&lt;&gt;"Clôturé"),"RETARD",""))</f>
        <v/>
      </c>
      <c r="J2519" s="29">
        <f>IF($B2519="","",IF(INDEX(Dossiers!$F$4:$F$63,48)="","",INDEX(Dossiers!$F$4:$F$63,48)))</f>
        <v/>
      </c>
      <c r="K2519" s="29">
        <f>IF($B2519="","",IF(INDEX(Dossiers!$G$4:$G$63,48)="","",INDEX(Dossiers!$G$4:$G$63,48)))</f>
        <v/>
      </c>
    </row>
    <row r="2520">
      <c r="A2520">
        <f>IF($B2520="","",INDEX(Dossiers!$E$4:$E$63,48))</f>
        <v/>
      </c>
      <c r="B2520">
        <f>IF(INDEX(Suivi!$B:$B,2568)="","",INDEX(Suivi!$B:$B,2568))</f>
        <v/>
      </c>
      <c r="C2520">
        <f>IF($B2520="","",IF(INDEX(Suivi!$D:$D,2568)="",INDEX(Suivi!$C:$C,2568),INDEX(Suivi!$D:$D,2568)))</f>
        <v/>
      </c>
      <c r="D2520" s="29">
        <f>IF($B2520="","",INDEX(Suivi!$E:$E,2568))</f>
        <v/>
      </c>
      <c r="E2520" s="29">
        <f>IF($B2520="","",INDEX(Suivi!$F:$F,2568))</f>
        <v/>
      </c>
      <c r="F2520">
        <f>IF($B2520="","",INDEX(Suivi!$G:$G,2568))</f>
        <v/>
      </c>
      <c r="H2520">
        <f>IF(OR($B2520="",NOT(ISNUMBER($D2520))),"",IF($E2520&lt;$D$2,"Passé",IF($D2520&gt;$F$2,"À venir","Dans la période")))</f>
        <v/>
      </c>
      <c r="I2520">
        <f>IF(OR($B2520="",NOT(ISNUMBER($D2520))),"",IF(AND($E2520&lt;$D$2,$G2520&lt;&gt;"X",$F2520&lt;&gt;"Réalisé",$F2520&lt;&gt;"Clôturé"),"RETARD",""))</f>
        <v/>
      </c>
      <c r="J2520" s="29">
        <f>IF($B2520="","",IF(INDEX(Dossiers!$F$4:$F$63,48)="","",INDEX(Dossiers!$F$4:$F$63,48)))</f>
        <v/>
      </c>
      <c r="K2520" s="29">
        <f>IF($B2520="","",IF(INDEX(Dossiers!$G$4:$G$63,48)="","",INDEX(Dossiers!$G$4:$G$63,48)))</f>
        <v/>
      </c>
    </row>
    <row r="2521">
      <c r="A2521">
        <f>IF($B2521="","",INDEX(Dossiers!$E$4:$E$63,48))</f>
        <v/>
      </c>
      <c r="B2521">
        <f>IF(INDEX(Suivi!$B:$B,2569)="","",INDEX(Suivi!$B:$B,2569))</f>
        <v/>
      </c>
      <c r="C2521">
        <f>IF($B2521="","",IF(INDEX(Suivi!$D:$D,2569)="",INDEX(Suivi!$C:$C,2569),INDEX(Suivi!$D:$D,2569)))</f>
        <v/>
      </c>
      <c r="D2521" s="29">
        <f>IF($B2521="","",INDEX(Suivi!$E:$E,2569))</f>
        <v/>
      </c>
      <c r="E2521" s="29">
        <f>IF($B2521="","",INDEX(Suivi!$F:$F,2569))</f>
        <v/>
      </c>
      <c r="F2521">
        <f>IF($B2521="","",INDEX(Suivi!$G:$G,2569))</f>
        <v/>
      </c>
      <c r="H2521">
        <f>IF(OR($B2521="",NOT(ISNUMBER($D2521))),"",IF($E2521&lt;$D$2,"Passé",IF($D2521&gt;$F$2,"À venir","Dans la période")))</f>
        <v/>
      </c>
      <c r="I2521">
        <f>IF(OR($B2521="",NOT(ISNUMBER($D2521))),"",IF(AND($E2521&lt;$D$2,$G2521&lt;&gt;"X",$F2521&lt;&gt;"Réalisé",$F2521&lt;&gt;"Clôturé"),"RETARD",""))</f>
        <v/>
      </c>
      <c r="J2521" s="29">
        <f>IF($B2521="","",IF(INDEX(Dossiers!$F$4:$F$63,48)="","",INDEX(Dossiers!$F$4:$F$63,48)))</f>
        <v/>
      </c>
      <c r="K2521" s="29">
        <f>IF($B2521="","",IF(INDEX(Dossiers!$G$4:$G$63,48)="","",INDEX(Dossiers!$G$4:$G$63,48)))</f>
        <v/>
      </c>
    </row>
    <row r="2522">
      <c r="A2522">
        <f>IF($B2522="","",INDEX(Dossiers!$E$4:$E$63,48))</f>
        <v/>
      </c>
      <c r="B2522">
        <f>IF(INDEX(Suivi!$B:$B,2570)="","",INDEX(Suivi!$B:$B,2570))</f>
        <v/>
      </c>
      <c r="C2522">
        <f>IF($B2522="","",IF(INDEX(Suivi!$D:$D,2570)="",INDEX(Suivi!$C:$C,2570),INDEX(Suivi!$D:$D,2570)))</f>
        <v/>
      </c>
      <c r="D2522" s="29">
        <f>IF($B2522="","",INDEX(Suivi!$E:$E,2570))</f>
        <v/>
      </c>
      <c r="E2522" s="29">
        <f>IF($B2522="","",INDEX(Suivi!$F:$F,2570))</f>
        <v/>
      </c>
      <c r="F2522">
        <f>IF($B2522="","",INDEX(Suivi!$G:$G,2570))</f>
        <v/>
      </c>
      <c r="H2522">
        <f>IF(OR($B2522="",NOT(ISNUMBER($D2522))),"",IF($E2522&lt;$D$2,"Passé",IF($D2522&gt;$F$2,"À venir","Dans la période")))</f>
        <v/>
      </c>
      <c r="I2522">
        <f>IF(OR($B2522="",NOT(ISNUMBER($D2522))),"",IF(AND($E2522&lt;$D$2,$G2522&lt;&gt;"X",$F2522&lt;&gt;"Réalisé",$F2522&lt;&gt;"Clôturé"),"RETARD",""))</f>
        <v/>
      </c>
      <c r="J2522" s="29">
        <f>IF($B2522="","",IF(INDEX(Dossiers!$F$4:$F$63,48)="","",INDEX(Dossiers!$F$4:$F$63,48)))</f>
        <v/>
      </c>
      <c r="K2522" s="29">
        <f>IF($B2522="","",IF(INDEX(Dossiers!$G$4:$G$63,48)="","",INDEX(Dossiers!$G$4:$G$63,48)))</f>
        <v/>
      </c>
    </row>
    <row r="2523">
      <c r="A2523">
        <f>IF($B2523="","",INDEX(Dossiers!$E$4:$E$63,48))</f>
        <v/>
      </c>
      <c r="B2523">
        <f>IF(INDEX(Suivi!$B:$B,2571)="","",INDEX(Suivi!$B:$B,2571))</f>
        <v/>
      </c>
      <c r="C2523">
        <f>IF($B2523="","",IF(INDEX(Suivi!$D:$D,2571)="",INDEX(Suivi!$C:$C,2571),INDEX(Suivi!$D:$D,2571)))</f>
        <v/>
      </c>
      <c r="D2523" s="29">
        <f>IF($B2523="","",INDEX(Suivi!$E:$E,2571))</f>
        <v/>
      </c>
      <c r="E2523" s="29">
        <f>IF($B2523="","",INDEX(Suivi!$F:$F,2571))</f>
        <v/>
      </c>
      <c r="F2523">
        <f>IF($B2523="","",INDEX(Suivi!$G:$G,2571))</f>
        <v/>
      </c>
      <c r="H2523">
        <f>IF(OR($B2523="",NOT(ISNUMBER($D2523))),"",IF($E2523&lt;$D$2,"Passé",IF($D2523&gt;$F$2,"À venir","Dans la période")))</f>
        <v/>
      </c>
      <c r="I2523">
        <f>IF(OR($B2523="",NOT(ISNUMBER($D2523))),"",IF(AND($E2523&lt;$D$2,$G2523&lt;&gt;"X",$F2523&lt;&gt;"Réalisé",$F2523&lt;&gt;"Clôturé"),"RETARD",""))</f>
        <v/>
      </c>
      <c r="J2523" s="29">
        <f>IF($B2523="","",IF(INDEX(Dossiers!$F$4:$F$63,48)="","",INDEX(Dossiers!$F$4:$F$63,48)))</f>
        <v/>
      </c>
      <c r="K2523" s="29">
        <f>IF($B2523="","",IF(INDEX(Dossiers!$G$4:$G$63,48)="","",INDEX(Dossiers!$G$4:$G$63,48)))</f>
        <v/>
      </c>
    </row>
    <row r="2524">
      <c r="A2524">
        <f>IF($B2524="","",INDEX(Dossiers!$E$4:$E$63,48))</f>
        <v/>
      </c>
      <c r="B2524">
        <f>IF(INDEX(Suivi!$B:$B,2572)="","",INDEX(Suivi!$B:$B,2572))</f>
        <v/>
      </c>
      <c r="C2524">
        <f>IF($B2524="","",IF(INDEX(Suivi!$D:$D,2572)="",INDEX(Suivi!$C:$C,2572),INDEX(Suivi!$D:$D,2572)))</f>
        <v/>
      </c>
      <c r="D2524" s="29">
        <f>IF($B2524="","",INDEX(Suivi!$E:$E,2572))</f>
        <v/>
      </c>
      <c r="E2524" s="29">
        <f>IF($B2524="","",INDEX(Suivi!$F:$F,2572))</f>
        <v/>
      </c>
      <c r="F2524">
        <f>IF($B2524="","",INDEX(Suivi!$G:$G,2572))</f>
        <v/>
      </c>
      <c r="H2524">
        <f>IF(OR($B2524="",NOT(ISNUMBER($D2524))),"",IF($E2524&lt;$D$2,"Passé",IF($D2524&gt;$F$2,"À venir","Dans la période")))</f>
        <v/>
      </c>
      <c r="I2524">
        <f>IF(OR($B2524="",NOT(ISNUMBER($D2524))),"",IF(AND($E2524&lt;$D$2,$G2524&lt;&gt;"X",$F2524&lt;&gt;"Réalisé",$F2524&lt;&gt;"Clôturé"),"RETARD",""))</f>
        <v/>
      </c>
      <c r="J2524" s="29">
        <f>IF($B2524="","",IF(INDEX(Dossiers!$F$4:$F$63,48)="","",INDEX(Dossiers!$F$4:$F$63,48)))</f>
        <v/>
      </c>
      <c r="K2524" s="29">
        <f>IF($B2524="","",IF(INDEX(Dossiers!$G$4:$G$63,48)="","",INDEX(Dossiers!$G$4:$G$63,48)))</f>
        <v/>
      </c>
    </row>
    <row r="2525">
      <c r="A2525">
        <f>IF($B2525="","",INDEX(Dossiers!$E$4:$E$63,48))</f>
        <v/>
      </c>
      <c r="B2525">
        <f>IF(INDEX(Suivi!$B:$B,2573)="","",INDEX(Suivi!$B:$B,2573))</f>
        <v/>
      </c>
      <c r="C2525">
        <f>IF($B2525="","",IF(INDEX(Suivi!$D:$D,2573)="",INDEX(Suivi!$C:$C,2573),INDEX(Suivi!$D:$D,2573)))</f>
        <v/>
      </c>
      <c r="D2525" s="29">
        <f>IF($B2525="","",INDEX(Suivi!$E:$E,2573))</f>
        <v/>
      </c>
      <c r="E2525" s="29">
        <f>IF($B2525="","",INDEX(Suivi!$F:$F,2573))</f>
        <v/>
      </c>
      <c r="F2525">
        <f>IF($B2525="","",INDEX(Suivi!$G:$G,2573))</f>
        <v/>
      </c>
      <c r="H2525">
        <f>IF(OR($B2525="",NOT(ISNUMBER($D2525))),"",IF($E2525&lt;$D$2,"Passé",IF($D2525&gt;$F$2,"À venir","Dans la période")))</f>
        <v/>
      </c>
      <c r="I2525">
        <f>IF(OR($B2525="",NOT(ISNUMBER($D2525))),"",IF(AND($E2525&lt;$D$2,$G2525&lt;&gt;"X",$F2525&lt;&gt;"Réalisé",$F2525&lt;&gt;"Clôturé"),"RETARD",""))</f>
        <v/>
      </c>
      <c r="J2525" s="29">
        <f>IF($B2525="","",IF(INDEX(Dossiers!$F$4:$F$63,48)="","",INDEX(Dossiers!$F$4:$F$63,48)))</f>
        <v/>
      </c>
      <c r="K2525" s="29">
        <f>IF($B2525="","",IF(INDEX(Dossiers!$G$4:$G$63,48)="","",INDEX(Dossiers!$G$4:$G$63,48)))</f>
        <v/>
      </c>
    </row>
    <row r="2526">
      <c r="A2526">
        <f>IF($B2526="","",INDEX(Dossiers!$E$4:$E$63,48))</f>
        <v/>
      </c>
      <c r="B2526">
        <f>IF(INDEX(Suivi!$B:$B,2574)="","",INDEX(Suivi!$B:$B,2574))</f>
        <v/>
      </c>
      <c r="C2526">
        <f>IF($B2526="","",IF(INDEX(Suivi!$D:$D,2574)="",INDEX(Suivi!$C:$C,2574),INDEX(Suivi!$D:$D,2574)))</f>
        <v/>
      </c>
      <c r="D2526" s="29">
        <f>IF($B2526="","",INDEX(Suivi!$E:$E,2574))</f>
        <v/>
      </c>
      <c r="E2526" s="29">
        <f>IF($B2526="","",INDEX(Suivi!$F:$F,2574))</f>
        <v/>
      </c>
      <c r="F2526">
        <f>IF($B2526="","",INDEX(Suivi!$G:$G,2574))</f>
        <v/>
      </c>
      <c r="H2526">
        <f>IF(OR($B2526="",NOT(ISNUMBER($D2526))),"",IF($E2526&lt;$D$2,"Passé",IF($D2526&gt;$F$2,"À venir","Dans la période")))</f>
        <v/>
      </c>
      <c r="I2526">
        <f>IF(OR($B2526="",NOT(ISNUMBER($D2526))),"",IF(AND($E2526&lt;$D$2,$G2526&lt;&gt;"X",$F2526&lt;&gt;"Réalisé",$F2526&lt;&gt;"Clôturé"),"RETARD",""))</f>
        <v/>
      </c>
      <c r="J2526" s="29">
        <f>IF($B2526="","",IF(INDEX(Dossiers!$F$4:$F$63,48)="","",INDEX(Dossiers!$F$4:$F$63,48)))</f>
        <v/>
      </c>
      <c r="K2526" s="29">
        <f>IF($B2526="","",IF(INDEX(Dossiers!$G$4:$G$63,48)="","",INDEX(Dossiers!$G$4:$G$63,48)))</f>
        <v/>
      </c>
    </row>
    <row r="2527">
      <c r="A2527">
        <f>IF($B2527="","",INDEX(Dossiers!$E$4:$E$63,48))</f>
        <v/>
      </c>
      <c r="B2527">
        <f>IF(INDEX(Suivi!$B:$B,2575)="","",INDEX(Suivi!$B:$B,2575))</f>
        <v/>
      </c>
      <c r="C2527">
        <f>IF($B2527="","",IF(INDEX(Suivi!$D:$D,2575)="",INDEX(Suivi!$C:$C,2575),INDEX(Suivi!$D:$D,2575)))</f>
        <v/>
      </c>
      <c r="D2527" s="29">
        <f>IF($B2527="","",INDEX(Suivi!$E:$E,2575))</f>
        <v/>
      </c>
      <c r="E2527" s="29">
        <f>IF($B2527="","",INDEX(Suivi!$F:$F,2575))</f>
        <v/>
      </c>
      <c r="F2527">
        <f>IF($B2527="","",INDEX(Suivi!$G:$G,2575))</f>
        <v/>
      </c>
      <c r="H2527">
        <f>IF(OR($B2527="",NOT(ISNUMBER($D2527))),"",IF($E2527&lt;$D$2,"Passé",IF($D2527&gt;$F$2,"À venir","Dans la période")))</f>
        <v/>
      </c>
      <c r="I2527">
        <f>IF(OR($B2527="",NOT(ISNUMBER($D2527))),"",IF(AND($E2527&lt;$D$2,$G2527&lt;&gt;"X",$F2527&lt;&gt;"Réalisé",$F2527&lt;&gt;"Clôturé"),"RETARD",""))</f>
        <v/>
      </c>
      <c r="J2527" s="29">
        <f>IF($B2527="","",IF(INDEX(Dossiers!$F$4:$F$63,48)="","",INDEX(Dossiers!$F$4:$F$63,48)))</f>
        <v/>
      </c>
      <c r="K2527" s="29">
        <f>IF($B2527="","",IF(INDEX(Dossiers!$G$4:$G$63,48)="","",INDEX(Dossiers!$G$4:$G$63,48)))</f>
        <v/>
      </c>
    </row>
    <row r="2528">
      <c r="A2528">
        <f>IF($B2528="","",INDEX(Dossiers!$E$4:$E$63,48))</f>
        <v/>
      </c>
      <c r="B2528">
        <f>IF(INDEX(Suivi!$B:$B,2576)="","",INDEX(Suivi!$B:$B,2576))</f>
        <v/>
      </c>
      <c r="C2528">
        <f>IF($B2528="","",IF(INDEX(Suivi!$D:$D,2576)="",INDEX(Suivi!$C:$C,2576),INDEX(Suivi!$D:$D,2576)))</f>
        <v/>
      </c>
      <c r="D2528" s="29">
        <f>IF($B2528="","",INDEX(Suivi!$E:$E,2576))</f>
        <v/>
      </c>
      <c r="E2528" s="29">
        <f>IF($B2528="","",INDEX(Suivi!$F:$F,2576))</f>
        <v/>
      </c>
      <c r="F2528">
        <f>IF($B2528="","",INDEX(Suivi!$G:$G,2576))</f>
        <v/>
      </c>
      <c r="H2528">
        <f>IF(OR($B2528="",NOT(ISNUMBER($D2528))),"",IF($E2528&lt;$D$2,"Passé",IF($D2528&gt;$F$2,"À venir","Dans la période")))</f>
        <v/>
      </c>
      <c r="I2528">
        <f>IF(OR($B2528="",NOT(ISNUMBER($D2528))),"",IF(AND($E2528&lt;$D$2,$G2528&lt;&gt;"X",$F2528&lt;&gt;"Réalisé",$F2528&lt;&gt;"Clôturé"),"RETARD",""))</f>
        <v/>
      </c>
      <c r="J2528" s="29">
        <f>IF($B2528="","",IF(INDEX(Dossiers!$F$4:$F$63,48)="","",INDEX(Dossiers!$F$4:$F$63,48)))</f>
        <v/>
      </c>
      <c r="K2528" s="29">
        <f>IF($B2528="","",IF(INDEX(Dossiers!$G$4:$G$63,48)="","",INDEX(Dossiers!$G$4:$G$63,48)))</f>
        <v/>
      </c>
    </row>
    <row r="2529">
      <c r="A2529">
        <f>IF($B2529="","",INDEX(Dossiers!$E$4:$E$63,48))</f>
        <v/>
      </c>
      <c r="B2529">
        <f>IF(INDEX(Suivi!$B:$B,2577)="","",INDEX(Suivi!$B:$B,2577))</f>
        <v/>
      </c>
      <c r="C2529">
        <f>IF($B2529="","",IF(INDEX(Suivi!$D:$D,2577)="",INDEX(Suivi!$C:$C,2577),INDEX(Suivi!$D:$D,2577)))</f>
        <v/>
      </c>
      <c r="D2529" s="29">
        <f>IF($B2529="","",INDEX(Suivi!$E:$E,2577))</f>
        <v/>
      </c>
      <c r="E2529" s="29">
        <f>IF($B2529="","",INDEX(Suivi!$F:$F,2577))</f>
        <v/>
      </c>
      <c r="F2529">
        <f>IF($B2529="","",INDEX(Suivi!$G:$G,2577))</f>
        <v/>
      </c>
      <c r="H2529">
        <f>IF(OR($B2529="",NOT(ISNUMBER($D2529))),"",IF($E2529&lt;$D$2,"Passé",IF($D2529&gt;$F$2,"À venir","Dans la période")))</f>
        <v/>
      </c>
      <c r="I2529">
        <f>IF(OR($B2529="",NOT(ISNUMBER($D2529))),"",IF(AND($E2529&lt;$D$2,$G2529&lt;&gt;"X",$F2529&lt;&gt;"Réalisé",$F2529&lt;&gt;"Clôturé"),"RETARD",""))</f>
        <v/>
      </c>
      <c r="J2529" s="29">
        <f>IF($B2529="","",IF(INDEX(Dossiers!$F$4:$F$63,48)="","",INDEX(Dossiers!$F$4:$F$63,48)))</f>
        <v/>
      </c>
      <c r="K2529" s="29">
        <f>IF($B2529="","",IF(INDEX(Dossiers!$G$4:$G$63,48)="","",INDEX(Dossiers!$G$4:$G$63,48)))</f>
        <v/>
      </c>
    </row>
    <row r="2530">
      <c r="A2530">
        <f>IF($B2530="","",INDEX(Dossiers!$E$4:$E$63,48))</f>
        <v/>
      </c>
      <c r="B2530">
        <f>IF(INDEX(Suivi!$B:$B,2578)="","",INDEX(Suivi!$B:$B,2578))</f>
        <v/>
      </c>
      <c r="C2530">
        <f>IF($B2530="","",IF(INDEX(Suivi!$D:$D,2578)="",INDEX(Suivi!$C:$C,2578),INDEX(Suivi!$D:$D,2578)))</f>
        <v/>
      </c>
      <c r="D2530" s="29">
        <f>IF($B2530="","",INDEX(Suivi!$E:$E,2578))</f>
        <v/>
      </c>
      <c r="E2530" s="29">
        <f>IF($B2530="","",INDEX(Suivi!$F:$F,2578))</f>
        <v/>
      </c>
      <c r="F2530">
        <f>IF($B2530="","",INDEX(Suivi!$G:$G,2578))</f>
        <v/>
      </c>
      <c r="H2530">
        <f>IF(OR($B2530="",NOT(ISNUMBER($D2530))),"",IF($E2530&lt;$D$2,"Passé",IF($D2530&gt;$F$2,"À venir","Dans la période")))</f>
        <v/>
      </c>
      <c r="I2530">
        <f>IF(OR($B2530="",NOT(ISNUMBER($D2530))),"",IF(AND($E2530&lt;$D$2,$G2530&lt;&gt;"X",$F2530&lt;&gt;"Réalisé",$F2530&lt;&gt;"Clôturé"),"RETARD",""))</f>
        <v/>
      </c>
      <c r="J2530" s="29">
        <f>IF($B2530="","",IF(INDEX(Dossiers!$F$4:$F$63,48)="","",INDEX(Dossiers!$F$4:$F$63,48)))</f>
        <v/>
      </c>
      <c r="K2530" s="29">
        <f>IF($B2530="","",IF(INDEX(Dossiers!$G$4:$G$63,48)="","",INDEX(Dossiers!$G$4:$G$63,48)))</f>
        <v/>
      </c>
    </row>
    <row r="2531">
      <c r="A2531">
        <f>IF($B2531="","",INDEX(Dossiers!$E$4:$E$63,48))</f>
        <v/>
      </c>
      <c r="B2531">
        <f>IF(INDEX(Suivi!$B:$B,2579)="","",INDEX(Suivi!$B:$B,2579))</f>
        <v/>
      </c>
      <c r="C2531">
        <f>IF($B2531="","",IF(INDEX(Suivi!$D:$D,2579)="",INDEX(Suivi!$C:$C,2579),INDEX(Suivi!$D:$D,2579)))</f>
        <v/>
      </c>
      <c r="D2531" s="29">
        <f>IF($B2531="","",INDEX(Suivi!$E:$E,2579))</f>
        <v/>
      </c>
      <c r="E2531" s="29">
        <f>IF($B2531="","",INDEX(Suivi!$F:$F,2579))</f>
        <v/>
      </c>
      <c r="F2531">
        <f>IF($B2531="","",INDEX(Suivi!$G:$G,2579))</f>
        <v/>
      </c>
      <c r="H2531">
        <f>IF(OR($B2531="",NOT(ISNUMBER($D2531))),"",IF($E2531&lt;$D$2,"Passé",IF($D2531&gt;$F$2,"À venir","Dans la période")))</f>
        <v/>
      </c>
      <c r="I2531">
        <f>IF(OR($B2531="",NOT(ISNUMBER($D2531))),"",IF(AND($E2531&lt;$D$2,$G2531&lt;&gt;"X",$F2531&lt;&gt;"Réalisé",$F2531&lt;&gt;"Clôturé"),"RETARD",""))</f>
        <v/>
      </c>
      <c r="J2531" s="29">
        <f>IF($B2531="","",IF(INDEX(Dossiers!$F$4:$F$63,48)="","",INDEX(Dossiers!$F$4:$F$63,48)))</f>
        <v/>
      </c>
      <c r="K2531" s="29">
        <f>IF($B2531="","",IF(INDEX(Dossiers!$G$4:$G$63,48)="","",INDEX(Dossiers!$G$4:$G$63,48)))</f>
        <v/>
      </c>
    </row>
    <row r="2532">
      <c r="A2532">
        <f>IF($B2532="","",INDEX(Dossiers!$E$4:$E$63,48))</f>
        <v/>
      </c>
      <c r="B2532">
        <f>IF(INDEX(Suivi!$B:$B,2580)="","",INDEX(Suivi!$B:$B,2580))</f>
        <v/>
      </c>
      <c r="C2532">
        <f>IF($B2532="","",IF(INDEX(Suivi!$D:$D,2580)="",INDEX(Suivi!$C:$C,2580),INDEX(Suivi!$D:$D,2580)))</f>
        <v/>
      </c>
      <c r="D2532" s="29">
        <f>IF($B2532="","",INDEX(Suivi!$E:$E,2580))</f>
        <v/>
      </c>
      <c r="E2532" s="29">
        <f>IF($B2532="","",INDEX(Suivi!$F:$F,2580))</f>
        <v/>
      </c>
      <c r="F2532">
        <f>IF($B2532="","",INDEX(Suivi!$G:$G,2580))</f>
        <v/>
      </c>
      <c r="H2532">
        <f>IF(OR($B2532="",NOT(ISNUMBER($D2532))),"",IF($E2532&lt;$D$2,"Passé",IF($D2532&gt;$F$2,"À venir","Dans la période")))</f>
        <v/>
      </c>
      <c r="I2532">
        <f>IF(OR($B2532="",NOT(ISNUMBER($D2532))),"",IF(AND($E2532&lt;$D$2,$G2532&lt;&gt;"X",$F2532&lt;&gt;"Réalisé",$F2532&lt;&gt;"Clôturé"),"RETARD",""))</f>
        <v/>
      </c>
      <c r="J2532" s="29">
        <f>IF($B2532="","",IF(INDEX(Dossiers!$F$4:$F$63,48)="","",INDEX(Dossiers!$F$4:$F$63,48)))</f>
        <v/>
      </c>
      <c r="K2532" s="29">
        <f>IF($B2532="","",IF(INDEX(Dossiers!$G$4:$G$63,48)="","",INDEX(Dossiers!$G$4:$G$63,48)))</f>
        <v/>
      </c>
    </row>
    <row r="2533">
      <c r="A2533">
        <f>IF($B2533="","",INDEX(Dossiers!$E$4:$E$63,48))</f>
        <v/>
      </c>
      <c r="B2533">
        <f>IF(INDEX(Suivi!$B:$B,2581)="","",INDEX(Suivi!$B:$B,2581))</f>
        <v/>
      </c>
      <c r="C2533">
        <f>IF($B2533="","",IF(INDEX(Suivi!$D:$D,2581)="",INDEX(Suivi!$C:$C,2581),INDEX(Suivi!$D:$D,2581)))</f>
        <v/>
      </c>
      <c r="D2533" s="29">
        <f>IF($B2533="","",INDEX(Suivi!$E:$E,2581))</f>
        <v/>
      </c>
      <c r="E2533" s="29">
        <f>IF($B2533="","",INDEX(Suivi!$F:$F,2581))</f>
        <v/>
      </c>
      <c r="F2533">
        <f>IF($B2533="","",INDEX(Suivi!$G:$G,2581))</f>
        <v/>
      </c>
      <c r="H2533">
        <f>IF(OR($B2533="",NOT(ISNUMBER($D2533))),"",IF($E2533&lt;$D$2,"Passé",IF($D2533&gt;$F$2,"À venir","Dans la période")))</f>
        <v/>
      </c>
      <c r="I2533">
        <f>IF(OR($B2533="",NOT(ISNUMBER($D2533))),"",IF(AND($E2533&lt;$D$2,$G2533&lt;&gt;"X",$F2533&lt;&gt;"Réalisé",$F2533&lt;&gt;"Clôturé"),"RETARD",""))</f>
        <v/>
      </c>
      <c r="J2533" s="29">
        <f>IF($B2533="","",IF(INDEX(Dossiers!$F$4:$F$63,48)="","",INDEX(Dossiers!$F$4:$F$63,48)))</f>
        <v/>
      </c>
      <c r="K2533" s="29">
        <f>IF($B2533="","",IF(INDEX(Dossiers!$G$4:$G$63,48)="","",INDEX(Dossiers!$G$4:$G$63,48)))</f>
        <v/>
      </c>
    </row>
    <row r="2534">
      <c r="A2534">
        <f>IF($B2534="","",INDEX(Dossiers!$E$4:$E$63,48))</f>
        <v/>
      </c>
      <c r="B2534">
        <f>IF(INDEX(Suivi!$B:$B,2582)="","",INDEX(Suivi!$B:$B,2582))</f>
        <v/>
      </c>
      <c r="C2534">
        <f>IF($B2534="","",IF(INDEX(Suivi!$D:$D,2582)="",INDEX(Suivi!$C:$C,2582),INDEX(Suivi!$D:$D,2582)))</f>
        <v/>
      </c>
      <c r="D2534" s="29">
        <f>IF($B2534="","",INDEX(Suivi!$E:$E,2582))</f>
        <v/>
      </c>
      <c r="E2534" s="29">
        <f>IF($B2534="","",INDEX(Suivi!$F:$F,2582))</f>
        <v/>
      </c>
      <c r="F2534">
        <f>IF($B2534="","",INDEX(Suivi!$G:$G,2582))</f>
        <v/>
      </c>
      <c r="H2534">
        <f>IF(OR($B2534="",NOT(ISNUMBER($D2534))),"",IF($E2534&lt;$D$2,"Passé",IF($D2534&gt;$F$2,"À venir","Dans la période")))</f>
        <v/>
      </c>
      <c r="I2534">
        <f>IF(OR($B2534="",NOT(ISNUMBER($D2534))),"",IF(AND($E2534&lt;$D$2,$G2534&lt;&gt;"X",$F2534&lt;&gt;"Réalisé",$F2534&lt;&gt;"Clôturé"),"RETARD",""))</f>
        <v/>
      </c>
      <c r="J2534" s="29">
        <f>IF($B2534="","",IF(INDEX(Dossiers!$F$4:$F$63,48)="","",INDEX(Dossiers!$F$4:$F$63,48)))</f>
        <v/>
      </c>
      <c r="K2534" s="29">
        <f>IF($B2534="","",IF(INDEX(Dossiers!$G$4:$G$63,48)="","",INDEX(Dossiers!$G$4:$G$63,48)))</f>
        <v/>
      </c>
    </row>
    <row r="2535">
      <c r="A2535">
        <f>IF($B2535="","",INDEX(Dossiers!$E$4:$E$63,48))</f>
        <v/>
      </c>
      <c r="B2535">
        <f>IF(INDEX(Suivi!$B:$B,2583)="","",INDEX(Suivi!$B:$B,2583))</f>
        <v/>
      </c>
      <c r="C2535">
        <f>IF($B2535="","",IF(INDEX(Suivi!$D:$D,2583)="",INDEX(Suivi!$C:$C,2583),INDEX(Suivi!$D:$D,2583)))</f>
        <v/>
      </c>
      <c r="D2535" s="29">
        <f>IF($B2535="","",INDEX(Suivi!$E:$E,2583))</f>
        <v/>
      </c>
      <c r="E2535" s="29">
        <f>IF($B2535="","",INDEX(Suivi!$F:$F,2583))</f>
        <v/>
      </c>
      <c r="F2535">
        <f>IF($B2535="","",INDEX(Suivi!$G:$G,2583))</f>
        <v/>
      </c>
      <c r="H2535">
        <f>IF(OR($B2535="",NOT(ISNUMBER($D2535))),"",IF($E2535&lt;$D$2,"Passé",IF($D2535&gt;$F$2,"À venir","Dans la période")))</f>
        <v/>
      </c>
      <c r="I2535">
        <f>IF(OR($B2535="",NOT(ISNUMBER($D2535))),"",IF(AND($E2535&lt;$D$2,$G2535&lt;&gt;"X",$F2535&lt;&gt;"Réalisé",$F2535&lt;&gt;"Clôturé"),"RETARD",""))</f>
        <v/>
      </c>
      <c r="J2535" s="29">
        <f>IF($B2535="","",IF(INDEX(Dossiers!$F$4:$F$63,48)="","",INDEX(Dossiers!$F$4:$F$63,48)))</f>
        <v/>
      </c>
      <c r="K2535" s="29">
        <f>IF($B2535="","",IF(INDEX(Dossiers!$G$4:$G$63,48)="","",INDEX(Dossiers!$G$4:$G$63,48)))</f>
        <v/>
      </c>
    </row>
    <row r="2536">
      <c r="A2536">
        <f>IF($B2536="","",INDEX(Dossiers!$E$4:$E$63,48))</f>
        <v/>
      </c>
      <c r="B2536">
        <f>IF(INDEX(Suivi!$B:$B,2584)="","",INDEX(Suivi!$B:$B,2584))</f>
        <v/>
      </c>
      <c r="C2536">
        <f>IF($B2536="","",IF(INDEX(Suivi!$D:$D,2584)="",INDEX(Suivi!$C:$C,2584),INDEX(Suivi!$D:$D,2584)))</f>
        <v/>
      </c>
      <c r="D2536" s="29">
        <f>IF($B2536="","",INDEX(Suivi!$E:$E,2584))</f>
        <v/>
      </c>
      <c r="E2536" s="29">
        <f>IF($B2536="","",INDEX(Suivi!$F:$F,2584))</f>
        <v/>
      </c>
      <c r="F2536">
        <f>IF($B2536="","",INDEX(Suivi!$G:$G,2584))</f>
        <v/>
      </c>
      <c r="H2536">
        <f>IF(OR($B2536="",NOT(ISNUMBER($D2536))),"",IF($E2536&lt;$D$2,"Passé",IF($D2536&gt;$F$2,"À venir","Dans la période")))</f>
        <v/>
      </c>
      <c r="I2536">
        <f>IF(OR($B2536="",NOT(ISNUMBER($D2536))),"",IF(AND($E2536&lt;$D$2,$G2536&lt;&gt;"X",$F2536&lt;&gt;"Réalisé",$F2536&lt;&gt;"Clôturé"),"RETARD",""))</f>
        <v/>
      </c>
      <c r="J2536" s="29">
        <f>IF($B2536="","",IF(INDEX(Dossiers!$F$4:$F$63,48)="","",INDEX(Dossiers!$F$4:$F$63,48)))</f>
        <v/>
      </c>
      <c r="K2536" s="29">
        <f>IF($B2536="","",IF(INDEX(Dossiers!$G$4:$G$63,48)="","",INDEX(Dossiers!$G$4:$G$63,48)))</f>
        <v/>
      </c>
    </row>
    <row r="2537">
      <c r="A2537">
        <f>IF($B2537="","",INDEX(Dossiers!$E$4:$E$63,48))</f>
        <v/>
      </c>
      <c r="B2537">
        <f>IF(INDEX(Suivi!$B:$B,2585)="","",INDEX(Suivi!$B:$B,2585))</f>
        <v/>
      </c>
      <c r="C2537">
        <f>IF($B2537="","",IF(INDEX(Suivi!$D:$D,2585)="",INDEX(Suivi!$C:$C,2585),INDEX(Suivi!$D:$D,2585)))</f>
        <v/>
      </c>
      <c r="D2537" s="29">
        <f>IF($B2537="","",INDEX(Suivi!$E:$E,2585))</f>
        <v/>
      </c>
      <c r="E2537" s="29">
        <f>IF($B2537="","",INDEX(Suivi!$F:$F,2585))</f>
        <v/>
      </c>
      <c r="F2537">
        <f>IF($B2537="","",INDEX(Suivi!$G:$G,2585))</f>
        <v/>
      </c>
      <c r="H2537">
        <f>IF(OR($B2537="",NOT(ISNUMBER($D2537))),"",IF($E2537&lt;$D$2,"Passé",IF($D2537&gt;$F$2,"À venir","Dans la période")))</f>
        <v/>
      </c>
      <c r="I2537">
        <f>IF(OR($B2537="",NOT(ISNUMBER($D2537))),"",IF(AND($E2537&lt;$D$2,$G2537&lt;&gt;"X",$F2537&lt;&gt;"Réalisé",$F2537&lt;&gt;"Clôturé"),"RETARD",""))</f>
        <v/>
      </c>
      <c r="J2537" s="29">
        <f>IF($B2537="","",IF(INDEX(Dossiers!$F$4:$F$63,48)="","",INDEX(Dossiers!$F$4:$F$63,48)))</f>
        <v/>
      </c>
      <c r="K2537" s="29">
        <f>IF($B2537="","",IF(INDEX(Dossiers!$G$4:$G$63,48)="","",INDEX(Dossiers!$G$4:$G$63,48)))</f>
        <v/>
      </c>
    </row>
    <row r="2538">
      <c r="A2538">
        <f>IF($B2538="","",INDEX(Dossiers!$E$4:$E$63,48))</f>
        <v/>
      </c>
      <c r="B2538">
        <f>IF(INDEX(Suivi!$B:$B,2586)="","",INDEX(Suivi!$B:$B,2586))</f>
        <v/>
      </c>
      <c r="C2538">
        <f>IF($B2538="","",IF(INDEX(Suivi!$D:$D,2586)="",INDEX(Suivi!$C:$C,2586),INDEX(Suivi!$D:$D,2586)))</f>
        <v/>
      </c>
      <c r="D2538" s="29">
        <f>IF($B2538="","",INDEX(Suivi!$E:$E,2586))</f>
        <v/>
      </c>
      <c r="E2538" s="29">
        <f>IF($B2538="","",INDEX(Suivi!$F:$F,2586))</f>
        <v/>
      </c>
      <c r="F2538">
        <f>IF($B2538="","",INDEX(Suivi!$G:$G,2586))</f>
        <v/>
      </c>
      <c r="H2538">
        <f>IF(OR($B2538="",NOT(ISNUMBER($D2538))),"",IF($E2538&lt;$D$2,"Passé",IF($D2538&gt;$F$2,"À venir","Dans la période")))</f>
        <v/>
      </c>
      <c r="I2538">
        <f>IF(OR($B2538="",NOT(ISNUMBER($D2538))),"",IF(AND($E2538&lt;$D$2,$G2538&lt;&gt;"X",$F2538&lt;&gt;"Réalisé",$F2538&lt;&gt;"Clôturé"),"RETARD",""))</f>
        <v/>
      </c>
      <c r="J2538" s="29">
        <f>IF($B2538="","",IF(INDEX(Dossiers!$F$4:$F$63,48)="","",INDEX(Dossiers!$F$4:$F$63,48)))</f>
        <v/>
      </c>
      <c r="K2538" s="29">
        <f>IF($B2538="","",IF(INDEX(Dossiers!$G$4:$G$63,48)="","",INDEX(Dossiers!$G$4:$G$63,48)))</f>
        <v/>
      </c>
    </row>
    <row r="2539">
      <c r="A2539">
        <f>IF($B2539="","",INDEX(Dossiers!$E$4:$E$63,48))</f>
        <v/>
      </c>
      <c r="B2539">
        <f>IF(INDEX(Suivi!$B:$B,2587)="","",INDEX(Suivi!$B:$B,2587))</f>
        <v/>
      </c>
      <c r="C2539">
        <f>IF($B2539="","",IF(INDEX(Suivi!$D:$D,2587)="",INDEX(Suivi!$C:$C,2587),INDEX(Suivi!$D:$D,2587)))</f>
        <v/>
      </c>
      <c r="D2539" s="29">
        <f>IF($B2539="","",INDEX(Suivi!$E:$E,2587))</f>
        <v/>
      </c>
      <c r="E2539" s="29">
        <f>IF($B2539="","",INDEX(Suivi!$F:$F,2587))</f>
        <v/>
      </c>
      <c r="F2539">
        <f>IF($B2539="","",INDEX(Suivi!$G:$G,2587))</f>
        <v/>
      </c>
      <c r="H2539">
        <f>IF(OR($B2539="",NOT(ISNUMBER($D2539))),"",IF($E2539&lt;$D$2,"Passé",IF($D2539&gt;$F$2,"À venir","Dans la période")))</f>
        <v/>
      </c>
      <c r="I2539">
        <f>IF(OR($B2539="",NOT(ISNUMBER($D2539))),"",IF(AND($E2539&lt;$D$2,$G2539&lt;&gt;"X",$F2539&lt;&gt;"Réalisé",$F2539&lt;&gt;"Clôturé"),"RETARD",""))</f>
        <v/>
      </c>
      <c r="J2539" s="29">
        <f>IF($B2539="","",IF(INDEX(Dossiers!$F$4:$F$63,48)="","",INDEX(Dossiers!$F$4:$F$63,48)))</f>
        <v/>
      </c>
      <c r="K2539" s="29">
        <f>IF($B2539="","",IF(INDEX(Dossiers!$G$4:$G$63,48)="","",INDEX(Dossiers!$G$4:$G$63,48)))</f>
        <v/>
      </c>
    </row>
    <row r="2540">
      <c r="A2540">
        <f>IF($B2540="","",INDEX(Dossiers!$E$4:$E$63,48))</f>
        <v/>
      </c>
      <c r="B2540">
        <f>IF(INDEX(Suivi!$B:$B,2588)="","",INDEX(Suivi!$B:$B,2588))</f>
        <v/>
      </c>
      <c r="C2540">
        <f>IF($B2540="","",IF(INDEX(Suivi!$D:$D,2588)="",INDEX(Suivi!$C:$C,2588),INDEX(Suivi!$D:$D,2588)))</f>
        <v/>
      </c>
      <c r="D2540" s="29">
        <f>IF($B2540="","",INDEX(Suivi!$E:$E,2588))</f>
        <v/>
      </c>
      <c r="E2540" s="29">
        <f>IF($B2540="","",INDEX(Suivi!$F:$F,2588))</f>
        <v/>
      </c>
      <c r="F2540">
        <f>IF($B2540="","",INDEX(Suivi!$G:$G,2588))</f>
        <v/>
      </c>
      <c r="H2540">
        <f>IF(OR($B2540="",NOT(ISNUMBER($D2540))),"",IF($E2540&lt;$D$2,"Passé",IF($D2540&gt;$F$2,"À venir","Dans la période")))</f>
        <v/>
      </c>
      <c r="I2540">
        <f>IF(OR($B2540="",NOT(ISNUMBER($D2540))),"",IF(AND($E2540&lt;$D$2,$G2540&lt;&gt;"X",$F2540&lt;&gt;"Réalisé",$F2540&lt;&gt;"Clôturé"),"RETARD",""))</f>
        <v/>
      </c>
      <c r="J2540" s="29">
        <f>IF($B2540="","",IF(INDEX(Dossiers!$F$4:$F$63,48)="","",INDEX(Dossiers!$F$4:$F$63,48)))</f>
        <v/>
      </c>
      <c r="K2540" s="29">
        <f>IF($B2540="","",IF(INDEX(Dossiers!$G$4:$G$63,48)="","",INDEX(Dossiers!$G$4:$G$63,48)))</f>
        <v/>
      </c>
    </row>
    <row r="2541">
      <c r="A2541">
        <f>IF($B2541="","",INDEX(Dossiers!$E$4:$E$63,48))</f>
        <v/>
      </c>
      <c r="B2541">
        <f>IF(INDEX(Suivi!$B:$B,2589)="","",INDEX(Suivi!$B:$B,2589))</f>
        <v/>
      </c>
      <c r="C2541">
        <f>IF($B2541="","",IF(INDEX(Suivi!$D:$D,2589)="",INDEX(Suivi!$C:$C,2589),INDEX(Suivi!$D:$D,2589)))</f>
        <v/>
      </c>
      <c r="D2541" s="29">
        <f>IF($B2541="","",INDEX(Suivi!$E:$E,2589))</f>
        <v/>
      </c>
      <c r="E2541" s="29">
        <f>IF($B2541="","",INDEX(Suivi!$F:$F,2589))</f>
        <v/>
      </c>
      <c r="F2541">
        <f>IF($B2541="","",INDEX(Suivi!$G:$G,2589))</f>
        <v/>
      </c>
      <c r="H2541">
        <f>IF(OR($B2541="",NOT(ISNUMBER($D2541))),"",IF($E2541&lt;$D$2,"Passé",IF($D2541&gt;$F$2,"À venir","Dans la période")))</f>
        <v/>
      </c>
      <c r="I2541">
        <f>IF(OR($B2541="",NOT(ISNUMBER($D2541))),"",IF(AND($E2541&lt;$D$2,$G2541&lt;&gt;"X",$F2541&lt;&gt;"Réalisé",$F2541&lt;&gt;"Clôturé"),"RETARD",""))</f>
        <v/>
      </c>
      <c r="J2541" s="29">
        <f>IF($B2541="","",IF(INDEX(Dossiers!$F$4:$F$63,48)="","",INDEX(Dossiers!$F$4:$F$63,48)))</f>
        <v/>
      </c>
      <c r="K2541" s="29">
        <f>IF($B2541="","",IF(INDEX(Dossiers!$G$4:$G$63,48)="","",INDEX(Dossiers!$G$4:$G$63,48)))</f>
        <v/>
      </c>
    </row>
    <row r="2542">
      <c r="A2542">
        <f>IF($B2542="","",INDEX(Dossiers!$E$4:$E$63,48))</f>
        <v/>
      </c>
      <c r="B2542">
        <f>IF(INDEX(Suivi!$B:$B,2590)="","",INDEX(Suivi!$B:$B,2590))</f>
        <v/>
      </c>
      <c r="C2542">
        <f>IF($B2542="","",IF(INDEX(Suivi!$D:$D,2590)="",INDEX(Suivi!$C:$C,2590),INDEX(Suivi!$D:$D,2590)))</f>
        <v/>
      </c>
      <c r="D2542" s="29">
        <f>IF($B2542="","",INDEX(Suivi!$E:$E,2590))</f>
        <v/>
      </c>
      <c r="E2542" s="29">
        <f>IF($B2542="","",INDEX(Suivi!$F:$F,2590))</f>
        <v/>
      </c>
      <c r="F2542">
        <f>IF($B2542="","",INDEX(Suivi!$G:$G,2590))</f>
        <v/>
      </c>
      <c r="H2542">
        <f>IF(OR($B2542="",NOT(ISNUMBER($D2542))),"",IF($E2542&lt;$D$2,"Passé",IF($D2542&gt;$F$2,"À venir","Dans la période")))</f>
        <v/>
      </c>
      <c r="I2542">
        <f>IF(OR($B2542="",NOT(ISNUMBER($D2542))),"",IF(AND($E2542&lt;$D$2,$G2542&lt;&gt;"X",$F2542&lt;&gt;"Réalisé",$F2542&lt;&gt;"Clôturé"),"RETARD",""))</f>
        <v/>
      </c>
      <c r="J2542" s="29">
        <f>IF($B2542="","",IF(INDEX(Dossiers!$F$4:$F$63,48)="","",INDEX(Dossiers!$F$4:$F$63,48)))</f>
        <v/>
      </c>
      <c r="K2542" s="29">
        <f>IF($B2542="","",IF(INDEX(Dossiers!$G$4:$G$63,48)="","",INDEX(Dossiers!$G$4:$G$63,48)))</f>
        <v/>
      </c>
    </row>
    <row r="2543">
      <c r="A2543">
        <f>IF($B2543="","",INDEX(Dossiers!$E$4:$E$63,48))</f>
        <v/>
      </c>
      <c r="B2543">
        <f>IF(INDEX(Suivi!$B:$B,2591)="","",INDEX(Suivi!$B:$B,2591))</f>
        <v/>
      </c>
      <c r="C2543">
        <f>IF($B2543="","",IF(INDEX(Suivi!$D:$D,2591)="",INDEX(Suivi!$C:$C,2591),INDEX(Suivi!$D:$D,2591)))</f>
        <v/>
      </c>
      <c r="D2543" s="29">
        <f>IF($B2543="","",INDEX(Suivi!$E:$E,2591))</f>
        <v/>
      </c>
      <c r="E2543" s="29">
        <f>IF($B2543="","",INDEX(Suivi!$F:$F,2591))</f>
        <v/>
      </c>
      <c r="F2543">
        <f>IF($B2543="","",INDEX(Suivi!$G:$G,2591))</f>
        <v/>
      </c>
      <c r="H2543">
        <f>IF(OR($B2543="",NOT(ISNUMBER($D2543))),"",IF($E2543&lt;$D$2,"Passé",IF($D2543&gt;$F$2,"À venir","Dans la période")))</f>
        <v/>
      </c>
      <c r="I2543">
        <f>IF(OR($B2543="",NOT(ISNUMBER($D2543))),"",IF(AND($E2543&lt;$D$2,$G2543&lt;&gt;"X",$F2543&lt;&gt;"Réalisé",$F2543&lt;&gt;"Clôturé"),"RETARD",""))</f>
        <v/>
      </c>
      <c r="J2543" s="29">
        <f>IF($B2543="","",IF(INDEX(Dossiers!$F$4:$F$63,48)="","",INDEX(Dossiers!$F$4:$F$63,48)))</f>
        <v/>
      </c>
      <c r="K2543" s="29">
        <f>IF($B2543="","",IF(INDEX(Dossiers!$G$4:$G$63,48)="","",INDEX(Dossiers!$G$4:$G$63,48)))</f>
        <v/>
      </c>
    </row>
    <row r="2544">
      <c r="A2544">
        <f>IF($B2544="","",INDEX(Dossiers!$E$4:$E$63,48))</f>
        <v/>
      </c>
      <c r="B2544">
        <f>IF(INDEX(Suivi!$B:$B,2592)="","",INDEX(Suivi!$B:$B,2592))</f>
        <v/>
      </c>
      <c r="C2544">
        <f>IF($B2544="","",IF(INDEX(Suivi!$D:$D,2592)="",INDEX(Suivi!$C:$C,2592),INDEX(Suivi!$D:$D,2592)))</f>
        <v/>
      </c>
      <c r="D2544" s="29">
        <f>IF($B2544="","",INDEX(Suivi!$E:$E,2592))</f>
        <v/>
      </c>
      <c r="E2544" s="29">
        <f>IF($B2544="","",INDEX(Suivi!$F:$F,2592))</f>
        <v/>
      </c>
      <c r="F2544">
        <f>IF($B2544="","",INDEX(Suivi!$G:$G,2592))</f>
        <v/>
      </c>
      <c r="H2544">
        <f>IF(OR($B2544="",NOT(ISNUMBER($D2544))),"",IF($E2544&lt;$D$2,"Passé",IF($D2544&gt;$F$2,"À venir","Dans la période")))</f>
        <v/>
      </c>
      <c r="I2544">
        <f>IF(OR($B2544="",NOT(ISNUMBER($D2544))),"",IF(AND($E2544&lt;$D$2,$G2544&lt;&gt;"X",$F2544&lt;&gt;"Réalisé",$F2544&lt;&gt;"Clôturé"),"RETARD",""))</f>
        <v/>
      </c>
      <c r="J2544" s="29">
        <f>IF($B2544="","",IF(INDEX(Dossiers!$F$4:$F$63,48)="","",INDEX(Dossiers!$F$4:$F$63,48)))</f>
        <v/>
      </c>
      <c r="K2544" s="29">
        <f>IF($B2544="","",IF(INDEX(Dossiers!$G$4:$G$63,48)="","",INDEX(Dossiers!$G$4:$G$63,48)))</f>
        <v/>
      </c>
    </row>
    <row r="2545">
      <c r="A2545">
        <f>IF($B2545="","",INDEX(Dossiers!$E$4:$E$63,48))</f>
        <v/>
      </c>
      <c r="B2545">
        <f>IF(INDEX(Suivi!$B:$B,2593)="","",INDEX(Suivi!$B:$B,2593))</f>
        <v/>
      </c>
      <c r="C2545">
        <f>IF($B2545="","",IF(INDEX(Suivi!$D:$D,2593)="",INDEX(Suivi!$C:$C,2593),INDEX(Suivi!$D:$D,2593)))</f>
        <v/>
      </c>
      <c r="D2545" s="29">
        <f>IF($B2545="","",INDEX(Suivi!$E:$E,2593))</f>
        <v/>
      </c>
      <c r="E2545" s="29">
        <f>IF($B2545="","",INDEX(Suivi!$F:$F,2593))</f>
        <v/>
      </c>
      <c r="F2545">
        <f>IF($B2545="","",INDEX(Suivi!$G:$G,2593))</f>
        <v/>
      </c>
      <c r="H2545">
        <f>IF(OR($B2545="",NOT(ISNUMBER($D2545))),"",IF($E2545&lt;$D$2,"Passé",IF($D2545&gt;$F$2,"À venir","Dans la période")))</f>
        <v/>
      </c>
      <c r="I2545">
        <f>IF(OR($B2545="",NOT(ISNUMBER($D2545))),"",IF(AND($E2545&lt;$D$2,$G2545&lt;&gt;"X",$F2545&lt;&gt;"Réalisé",$F2545&lt;&gt;"Clôturé"),"RETARD",""))</f>
        <v/>
      </c>
      <c r="J2545" s="29">
        <f>IF($B2545="","",IF(INDEX(Dossiers!$F$4:$F$63,48)="","",INDEX(Dossiers!$F$4:$F$63,48)))</f>
        <v/>
      </c>
      <c r="K2545" s="29">
        <f>IF($B2545="","",IF(INDEX(Dossiers!$G$4:$G$63,48)="","",INDEX(Dossiers!$G$4:$G$63,48)))</f>
        <v/>
      </c>
    </row>
    <row r="2546">
      <c r="A2546">
        <f>IF($B2546="","",INDEX(Dossiers!$E$4:$E$63,48))</f>
        <v/>
      </c>
      <c r="B2546">
        <f>IF(INDEX(Suivi!$B:$B,2594)="","",INDEX(Suivi!$B:$B,2594))</f>
        <v/>
      </c>
      <c r="C2546">
        <f>IF($B2546="","",IF(INDEX(Suivi!$D:$D,2594)="",INDEX(Suivi!$C:$C,2594),INDEX(Suivi!$D:$D,2594)))</f>
        <v/>
      </c>
      <c r="D2546" s="29">
        <f>IF($B2546="","",INDEX(Suivi!$E:$E,2594))</f>
        <v/>
      </c>
      <c r="E2546" s="29">
        <f>IF($B2546="","",INDEX(Suivi!$F:$F,2594))</f>
        <v/>
      </c>
      <c r="F2546">
        <f>IF($B2546="","",INDEX(Suivi!$G:$G,2594))</f>
        <v/>
      </c>
      <c r="H2546">
        <f>IF(OR($B2546="",NOT(ISNUMBER($D2546))),"",IF($E2546&lt;$D$2,"Passé",IF($D2546&gt;$F$2,"À venir","Dans la période")))</f>
        <v/>
      </c>
      <c r="I2546">
        <f>IF(OR($B2546="",NOT(ISNUMBER($D2546))),"",IF(AND($E2546&lt;$D$2,$G2546&lt;&gt;"X",$F2546&lt;&gt;"Réalisé",$F2546&lt;&gt;"Clôturé"),"RETARD",""))</f>
        <v/>
      </c>
      <c r="J2546" s="29">
        <f>IF($B2546="","",IF(INDEX(Dossiers!$F$4:$F$63,48)="","",INDEX(Dossiers!$F$4:$F$63,48)))</f>
        <v/>
      </c>
      <c r="K2546" s="29">
        <f>IF($B2546="","",IF(INDEX(Dossiers!$G$4:$G$63,48)="","",INDEX(Dossiers!$G$4:$G$63,48)))</f>
        <v/>
      </c>
    </row>
    <row r="2547">
      <c r="A2547">
        <f>IF($B2547="","",INDEX(Dossiers!$E$4:$E$63,48))</f>
        <v/>
      </c>
      <c r="B2547">
        <f>IF(INDEX(Suivi!$B:$B,2595)="","",INDEX(Suivi!$B:$B,2595))</f>
        <v/>
      </c>
      <c r="C2547">
        <f>IF($B2547="","",IF(INDEX(Suivi!$D:$D,2595)="",INDEX(Suivi!$C:$C,2595),INDEX(Suivi!$D:$D,2595)))</f>
        <v/>
      </c>
      <c r="D2547" s="29">
        <f>IF($B2547="","",INDEX(Suivi!$E:$E,2595))</f>
        <v/>
      </c>
      <c r="E2547" s="29">
        <f>IF($B2547="","",INDEX(Suivi!$F:$F,2595))</f>
        <v/>
      </c>
      <c r="F2547">
        <f>IF($B2547="","",INDEX(Suivi!$G:$G,2595))</f>
        <v/>
      </c>
      <c r="H2547">
        <f>IF(OR($B2547="",NOT(ISNUMBER($D2547))),"",IF($E2547&lt;$D$2,"Passé",IF($D2547&gt;$F$2,"À venir","Dans la période")))</f>
        <v/>
      </c>
      <c r="I2547">
        <f>IF(OR($B2547="",NOT(ISNUMBER($D2547))),"",IF(AND($E2547&lt;$D$2,$G2547&lt;&gt;"X",$F2547&lt;&gt;"Réalisé",$F2547&lt;&gt;"Clôturé"),"RETARD",""))</f>
        <v/>
      </c>
      <c r="J2547" s="29">
        <f>IF($B2547="","",IF(INDEX(Dossiers!$F$4:$F$63,48)="","",INDEX(Dossiers!$F$4:$F$63,48)))</f>
        <v/>
      </c>
      <c r="K2547" s="29">
        <f>IF($B2547="","",IF(INDEX(Dossiers!$G$4:$G$63,48)="","",INDEX(Dossiers!$G$4:$G$63,48)))</f>
        <v/>
      </c>
    </row>
    <row r="2548">
      <c r="A2548">
        <f>IF($B2548="","",INDEX(Dossiers!$E$4:$E$63,49))</f>
        <v/>
      </c>
      <c r="B2548">
        <f>IF(INDEX(Suivi!$B:$B,2597)="","",INDEX(Suivi!$B:$B,2597))</f>
        <v/>
      </c>
      <c r="C2548">
        <f>IF($B2548="","",IF(INDEX(Suivi!$D:$D,2597)="",INDEX(Suivi!$C:$C,2597),INDEX(Suivi!$D:$D,2597)))</f>
        <v/>
      </c>
      <c r="D2548" s="29">
        <f>IF($B2548="","",INDEX(Suivi!$E:$E,2597))</f>
        <v/>
      </c>
      <c r="E2548" s="29">
        <f>IF($B2548="","",INDEX(Suivi!$F:$F,2597))</f>
        <v/>
      </c>
      <c r="F2548">
        <f>IF($B2548="","",INDEX(Suivi!$G:$G,2597))</f>
        <v/>
      </c>
      <c r="H2548">
        <f>IF(OR($B2548="",NOT(ISNUMBER($D2548))),"",IF($E2548&lt;$D$2,"Passé",IF($D2548&gt;$F$2,"À venir","Dans la période")))</f>
        <v/>
      </c>
      <c r="I2548">
        <f>IF(OR($B2548="",NOT(ISNUMBER($D2548))),"",IF(AND($E2548&lt;$D$2,$G2548&lt;&gt;"X",$F2548&lt;&gt;"Réalisé",$F2548&lt;&gt;"Clôturé"),"RETARD",""))</f>
        <v/>
      </c>
      <c r="J2548" s="29">
        <f>IF($B2548="","",IF(INDEX(Dossiers!$F$4:$F$63,49)="","",INDEX(Dossiers!$F$4:$F$63,49)))</f>
        <v/>
      </c>
      <c r="K2548" s="29">
        <f>IF($B2548="","",IF(INDEX(Dossiers!$G$4:$G$63,49)="","",INDEX(Dossiers!$G$4:$G$63,49)))</f>
        <v/>
      </c>
    </row>
    <row r="2549">
      <c r="A2549">
        <f>IF($B2549="","",INDEX(Dossiers!$E$4:$E$63,49))</f>
        <v/>
      </c>
      <c r="B2549">
        <f>IF(INDEX(Suivi!$B:$B,2598)="","",INDEX(Suivi!$B:$B,2598))</f>
        <v/>
      </c>
      <c r="C2549">
        <f>IF($B2549="","",IF(INDEX(Suivi!$D:$D,2598)="",INDEX(Suivi!$C:$C,2598),INDEX(Suivi!$D:$D,2598)))</f>
        <v/>
      </c>
      <c r="D2549" s="29">
        <f>IF($B2549="","",INDEX(Suivi!$E:$E,2598))</f>
        <v/>
      </c>
      <c r="E2549" s="29">
        <f>IF($B2549="","",INDEX(Suivi!$F:$F,2598))</f>
        <v/>
      </c>
      <c r="F2549">
        <f>IF($B2549="","",INDEX(Suivi!$G:$G,2598))</f>
        <v/>
      </c>
      <c r="H2549">
        <f>IF(OR($B2549="",NOT(ISNUMBER($D2549))),"",IF($E2549&lt;$D$2,"Passé",IF($D2549&gt;$F$2,"À venir","Dans la période")))</f>
        <v/>
      </c>
      <c r="I2549">
        <f>IF(OR($B2549="",NOT(ISNUMBER($D2549))),"",IF(AND($E2549&lt;$D$2,$G2549&lt;&gt;"X",$F2549&lt;&gt;"Réalisé",$F2549&lt;&gt;"Clôturé"),"RETARD",""))</f>
        <v/>
      </c>
      <c r="J2549" s="29">
        <f>IF($B2549="","",IF(INDEX(Dossiers!$F$4:$F$63,49)="","",INDEX(Dossiers!$F$4:$F$63,49)))</f>
        <v/>
      </c>
      <c r="K2549" s="29">
        <f>IF($B2549="","",IF(INDEX(Dossiers!$G$4:$G$63,49)="","",INDEX(Dossiers!$G$4:$G$63,49)))</f>
        <v/>
      </c>
    </row>
    <row r="2550">
      <c r="A2550">
        <f>IF($B2550="","",INDEX(Dossiers!$E$4:$E$63,49))</f>
        <v/>
      </c>
      <c r="B2550">
        <f>IF(INDEX(Suivi!$B:$B,2599)="","",INDEX(Suivi!$B:$B,2599))</f>
        <v/>
      </c>
      <c r="C2550">
        <f>IF($B2550="","",IF(INDEX(Suivi!$D:$D,2599)="",INDEX(Suivi!$C:$C,2599),INDEX(Suivi!$D:$D,2599)))</f>
        <v/>
      </c>
      <c r="D2550" s="29">
        <f>IF($B2550="","",INDEX(Suivi!$E:$E,2599))</f>
        <v/>
      </c>
      <c r="E2550" s="29">
        <f>IF($B2550="","",INDEX(Suivi!$F:$F,2599))</f>
        <v/>
      </c>
      <c r="F2550">
        <f>IF($B2550="","",INDEX(Suivi!$G:$G,2599))</f>
        <v/>
      </c>
      <c r="H2550">
        <f>IF(OR($B2550="",NOT(ISNUMBER($D2550))),"",IF($E2550&lt;$D$2,"Passé",IF($D2550&gt;$F$2,"À venir","Dans la période")))</f>
        <v/>
      </c>
      <c r="I2550">
        <f>IF(OR($B2550="",NOT(ISNUMBER($D2550))),"",IF(AND($E2550&lt;$D$2,$G2550&lt;&gt;"X",$F2550&lt;&gt;"Réalisé",$F2550&lt;&gt;"Clôturé"),"RETARD",""))</f>
        <v/>
      </c>
      <c r="J2550" s="29">
        <f>IF($B2550="","",IF(INDEX(Dossiers!$F$4:$F$63,49)="","",INDEX(Dossiers!$F$4:$F$63,49)))</f>
        <v/>
      </c>
      <c r="K2550" s="29">
        <f>IF($B2550="","",IF(INDEX(Dossiers!$G$4:$G$63,49)="","",INDEX(Dossiers!$G$4:$G$63,49)))</f>
        <v/>
      </c>
    </row>
    <row r="2551">
      <c r="A2551">
        <f>IF($B2551="","",INDEX(Dossiers!$E$4:$E$63,49))</f>
        <v/>
      </c>
      <c r="B2551">
        <f>IF(INDEX(Suivi!$B:$B,2600)="","",INDEX(Suivi!$B:$B,2600))</f>
        <v/>
      </c>
      <c r="C2551">
        <f>IF($B2551="","",IF(INDEX(Suivi!$D:$D,2600)="",INDEX(Suivi!$C:$C,2600),INDEX(Suivi!$D:$D,2600)))</f>
        <v/>
      </c>
      <c r="D2551" s="29">
        <f>IF($B2551="","",INDEX(Suivi!$E:$E,2600))</f>
        <v/>
      </c>
      <c r="E2551" s="29">
        <f>IF($B2551="","",INDEX(Suivi!$F:$F,2600))</f>
        <v/>
      </c>
      <c r="F2551">
        <f>IF($B2551="","",INDEX(Suivi!$G:$G,2600))</f>
        <v/>
      </c>
      <c r="H2551">
        <f>IF(OR($B2551="",NOT(ISNUMBER($D2551))),"",IF($E2551&lt;$D$2,"Passé",IF($D2551&gt;$F$2,"À venir","Dans la période")))</f>
        <v/>
      </c>
      <c r="I2551">
        <f>IF(OR($B2551="",NOT(ISNUMBER($D2551))),"",IF(AND($E2551&lt;$D$2,$G2551&lt;&gt;"X",$F2551&lt;&gt;"Réalisé",$F2551&lt;&gt;"Clôturé"),"RETARD",""))</f>
        <v/>
      </c>
      <c r="J2551" s="29">
        <f>IF($B2551="","",IF(INDEX(Dossiers!$F$4:$F$63,49)="","",INDEX(Dossiers!$F$4:$F$63,49)))</f>
        <v/>
      </c>
      <c r="K2551" s="29">
        <f>IF($B2551="","",IF(INDEX(Dossiers!$G$4:$G$63,49)="","",INDEX(Dossiers!$G$4:$G$63,49)))</f>
        <v/>
      </c>
    </row>
    <row r="2552">
      <c r="A2552">
        <f>IF($B2552="","",INDEX(Dossiers!$E$4:$E$63,49))</f>
        <v/>
      </c>
      <c r="B2552">
        <f>IF(INDEX(Suivi!$B:$B,2601)="","",INDEX(Suivi!$B:$B,2601))</f>
        <v/>
      </c>
      <c r="C2552">
        <f>IF($B2552="","",IF(INDEX(Suivi!$D:$D,2601)="",INDEX(Suivi!$C:$C,2601),INDEX(Suivi!$D:$D,2601)))</f>
        <v/>
      </c>
      <c r="D2552" s="29">
        <f>IF($B2552="","",INDEX(Suivi!$E:$E,2601))</f>
        <v/>
      </c>
      <c r="E2552" s="29">
        <f>IF($B2552="","",INDEX(Suivi!$F:$F,2601))</f>
        <v/>
      </c>
      <c r="F2552">
        <f>IF($B2552="","",INDEX(Suivi!$G:$G,2601))</f>
        <v/>
      </c>
      <c r="H2552">
        <f>IF(OR($B2552="",NOT(ISNUMBER($D2552))),"",IF($E2552&lt;$D$2,"Passé",IF($D2552&gt;$F$2,"À venir","Dans la période")))</f>
        <v/>
      </c>
      <c r="I2552">
        <f>IF(OR($B2552="",NOT(ISNUMBER($D2552))),"",IF(AND($E2552&lt;$D$2,$G2552&lt;&gt;"X",$F2552&lt;&gt;"Réalisé",$F2552&lt;&gt;"Clôturé"),"RETARD",""))</f>
        <v/>
      </c>
      <c r="J2552" s="29">
        <f>IF($B2552="","",IF(INDEX(Dossiers!$F$4:$F$63,49)="","",INDEX(Dossiers!$F$4:$F$63,49)))</f>
        <v/>
      </c>
      <c r="K2552" s="29">
        <f>IF($B2552="","",IF(INDEX(Dossiers!$G$4:$G$63,49)="","",INDEX(Dossiers!$G$4:$G$63,49)))</f>
        <v/>
      </c>
    </row>
    <row r="2553">
      <c r="A2553">
        <f>IF($B2553="","",INDEX(Dossiers!$E$4:$E$63,49))</f>
        <v/>
      </c>
      <c r="B2553">
        <f>IF(INDEX(Suivi!$B:$B,2602)="","",INDEX(Suivi!$B:$B,2602))</f>
        <v/>
      </c>
      <c r="C2553">
        <f>IF($B2553="","",IF(INDEX(Suivi!$D:$D,2602)="",INDEX(Suivi!$C:$C,2602),INDEX(Suivi!$D:$D,2602)))</f>
        <v/>
      </c>
      <c r="D2553" s="29">
        <f>IF($B2553="","",INDEX(Suivi!$E:$E,2602))</f>
        <v/>
      </c>
      <c r="E2553" s="29">
        <f>IF($B2553="","",INDEX(Suivi!$F:$F,2602))</f>
        <v/>
      </c>
      <c r="F2553">
        <f>IF($B2553="","",INDEX(Suivi!$G:$G,2602))</f>
        <v/>
      </c>
      <c r="H2553">
        <f>IF(OR($B2553="",NOT(ISNUMBER($D2553))),"",IF($E2553&lt;$D$2,"Passé",IF($D2553&gt;$F$2,"À venir","Dans la période")))</f>
        <v/>
      </c>
      <c r="I2553">
        <f>IF(OR($B2553="",NOT(ISNUMBER($D2553))),"",IF(AND($E2553&lt;$D$2,$G2553&lt;&gt;"X",$F2553&lt;&gt;"Réalisé",$F2553&lt;&gt;"Clôturé"),"RETARD",""))</f>
        <v/>
      </c>
      <c r="J2553" s="29">
        <f>IF($B2553="","",IF(INDEX(Dossiers!$F$4:$F$63,49)="","",INDEX(Dossiers!$F$4:$F$63,49)))</f>
        <v/>
      </c>
      <c r="K2553" s="29">
        <f>IF($B2553="","",IF(INDEX(Dossiers!$G$4:$G$63,49)="","",INDEX(Dossiers!$G$4:$G$63,49)))</f>
        <v/>
      </c>
    </row>
    <row r="2554">
      <c r="A2554">
        <f>IF($B2554="","",INDEX(Dossiers!$E$4:$E$63,49))</f>
        <v/>
      </c>
      <c r="B2554">
        <f>IF(INDEX(Suivi!$B:$B,2603)="","",INDEX(Suivi!$B:$B,2603))</f>
        <v/>
      </c>
      <c r="C2554">
        <f>IF($B2554="","",IF(INDEX(Suivi!$D:$D,2603)="",INDEX(Suivi!$C:$C,2603),INDEX(Suivi!$D:$D,2603)))</f>
        <v/>
      </c>
      <c r="D2554" s="29">
        <f>IF($B2554="","",INDEX(Suivi!$E:$E,2603))</f>
        <v/>
      </c>
      <c r="E2554" s="29">
        <f>IF($B2554="","",INDEX(Suivi!$F:$F,2603))</f>
        <v/>
      </c>
      <c r="F2554">
        <f>IF($B2554="","",INDEX(Suivi!$G:$G,2603))</f>
        <v/>
      </c>
      <c r="H2554">
        <f>IF(OR($B2554="",NOT(ISNUMBER($D2554))),"",IF($E2554&lt;$D$2,"Passé",IF($D2554&gt;$F$2,"À venir","Dans la période")))</f>
        <v/>
      </c>
      <c r="I2554">
        <f>IF(OR($B2554="",NOT(ISNUMBER($D2554))),"",IF(AND($E2554&lt;$D$2,$G2554&lt;&gt;"X",$F2554&lt;&gt;"Réalisé",$F2554&lt;&gt;"Clôturé"),"RETARD",""))</f>
        <v/>
      </c>
      <c r="J2554" s="29">
        <f>IF($B2554="","",IF(INDEX(Dossiers!$F$4:$F$63,49)="","",INDEX(Dossiers!$F$4:$F$63,49)))</f>
        <v/>
      </c>
      <c r="K2554" s="29">
        <f>IF($B2554="","",IF(INDEX(Dossiers!$G$4:$G$63,49)="","",INDEX(Dossiers!$G$4:$G$63,49)))</f>
        <v/>
      </c>
    </row>
    <row r="2555">
      <c r="A2555">
        <f>IF($B2555="","",INDEX(Dossiers!$E$4:$E$63,49))</f>
        <v/>
      </c>
      <c r="B2555">
        <f>IF(INDEX(Suivi!$B:$B,2604)="","",INDEX(Suivi!$B:$B,2604))</f>
        <v/>
      </c>
      <c r="C2555">
        <f>IF($B2555="","",IF(INDEX(Suivi!$D:$D,2604)="",INDEX(Suivi!$C:$C,2604),INDEX(Suivi!$D:$D,2604)))</f>
        <v/>
      </c>
      <c r="D2555" s="29">
        <f>IF($B2555="","",INDEX(Suivi!$E:$E,2604))</f>
        <v/>
      </c>
      <c r="E2555" s="29">
        <f>IF($B2555="","",INDEX(Suivi!$F:$F,2604))</f>
        <v/>
      </c>
      <c r="F2555">
        <f>IF($B2555="","",INDEX(Suivi!$G:$G,2604))</f>
        <v/>
      </c>
      <c r="H2555">
        <f>IF(OR($B2555="",NOT(ISNUMBER($D2555))),"",IF($E2555&lt;$D$2,"Passé",IF($D2555&gt;$F$2,"À venir","Dans la période")))</f>
        <v/>
      </c>
      <c r="I2555">
        <f>IF(OR($B2555="",NOT(ISNUMBER($D2555))),"",IF(AND($E2555&lt;$D$2,$G2555&lt;&gt;"X",$F2555&lt;&gt;"Réalisé",$F2555&lt;&gt;"Clôturé"),"RETARD",""))</f>
        <v/>
      </c>
      <c r="J2555" s="29">
        <f>IF($B2555="","",IF(INDEX(Dossiers!$F$4:$F$63,49)="","",INDEX(Dossiers!$F$4:$F$63,49)))</f>
        <v/>
      </c>
      <c r="K2555" s="29">
        <f>IF($B2555="","",IF(INDEX(Dossiers!$G$4:$G$63,49)="","",INDEX(Dossiers!$G$4:$G$63,49)))</f>
        <v/>
      </c>
    </row>
    <row r="2556">
      <c r="A2556">
        <f>IF($B2556="","",INDEX(Dossiers!$E$4:$E$63,49))</f>
        <v/>
      </c>
      <c r="B2556">
        <f>IF(INDEX(Suivi!$B:$B,2605)="","",INDEX(Suivi!$B:$B,2605))</f>
        <v/>
      </c>
      <c r="C2556">
        <f>IF($B2556="","",IF(INDEX(Suivi!$D:$D,2605)="",INDEX(Suivi!$C:$C,2605),INDEX(Suivi!$D:$D,2605)))</f>
        <v/>
      </c>
      <c r="D2556" s="29">
        <f>IF($B2556="","",INDEX(Suivi!$E:$E,2605))</f>
        <v/>
      </c>
      <c r="E2556" s="29">
        <f>IF($B2556="","",INDEX(Suivi!$F:$F,2605))</f>
        <v/>
      </c>
      <c r="F2556">
        <f>IF($B2556="","",INDEX(Suivi!$G:$G,2605))</f>
        <v/>
      </c>
      <c r="H2556">
        <f>IF(OR($B2556="",NOT(ISNUMBER($D2556))),"",IF($E2556&lt;$D$2,"Passé",IF($D2556&gt;$F$2,"À venir","Dans la période")))</f>
        <v/>
      </c>
      <c r="I2556">
        <f>IF(OR($B2556="",NOT(ISNUMBER($D2556))),"",IF(AND($E2556&lt;$D$2,$G2556&lt;&gt;"X",$F2556&lt;&gt;"Réalisé",$F2556&lt;&gt;"Clôturé"),"RETARD",""))</f>
        <v/>
      </c>
      <c r="J2556" s="29">
        <f>IF($B2556="","",IF(INDEX(Dossiers!$F$4:$F$63,49)="","",INDEX(Dossiers!$F$4:$F$63,49)))</f>
        <v/>
      </c>
      <c r="K2556" s="29">
        <f>IF($B2556="","",IF(INDEX(Dossiers!$G$4:$G$63,49)="","",INDEX(Dossiers!$G$4:$G$63,49)))</f>
        <v/>
      </c>
    </row>
    <row r="2557">
      <c r="A2557">
        <f>IF($B2557="","",INDEX(Dossiers!$E$4:$E$63,49))</f>
        <v/>
      </c>
      <c r="B2557">
        <f>IF(INDEX(Suivi!$B:$B,2606)="","",INDEX(Suivi!$B:$B,2606))</f>
        <v/>
      </c>
      <c r="C2557">
        <f>IF($B2557="","",IF(INDEX(Suivi!$D:$D,2606)="",INDEX(Suivi!$C:$C,2606),INDEX(Suivi!$D:$D,2606)))</f>
        <v/>
      </c>
      <c r="D2557" s="29">
        <f>IF($B2557="","",INDEX(Suivi!$E:$E,2606))</f>
        <v/>
      </c>
      <c r="E2557" s="29">
        <f>IF($B2557="","",INDEX(Suivi!$F:$F,2606))</f>
        <v/>
      </c>
      <c r="F2557">
        <f>IF($B2557="","",INDEX(Suivi!$G:$G,2606))</f>
        <v/>
      </c>
      <c r="H2557">
        <f>IF(OR($B2557="",NOT(ISNUMBER($D2557))),"",IF($E2557&lt;$D$2,"Passé",IF($D2557&gt;$F$2,"À venir","Dans la période")))</f>
        <v/>
      </c>
      <c r="I2557">
        <f>IF(OR($B2557="",NOT(ISNUMBER($D2557))),"",IF(AND($E2557&lt;$D$2,$G2557&lt;&gt;"X",$F2557&lt;&gt;"Réalisé",$F2557&lt;&gt;"Clôturé"),"RETARD",""))</f>
        <v/>
      </c>
      <c r="J2557" s="29">
        <f>IF($B2557="","",IF(INDEX(Dossiers!$F$4:$F$63,49)="","",INDEX(Dossiers!$F$4:$F$63,49)))</f>
        <v/>
      </c>
      <c r="K2557" s="29">
        <f>IF($B2557="","",IF(INDEX(Dossiers!$G$4:$G$63,49)="","",INDEX(Dossiers!$G$4:$G$63,49)))</f>
        <v/>
      </c>
    </row>
    <row r="2558">
      <c r="A2558">
        <f>IF($B2558="","",INDEX(Dossiers!$E$4:$E$63,49))</f>
        <v/>
      </c>
      <c r="B2558">
        <f>IF(INDEX(Suivi!$B:$B,2607)="","",INDEX(Suivi!$B:$B,2607))</f>
        <v/>
      </c>
      <c r="C2558">
        <f>IF($B2558="","",IF(INDEX(Suivi!$D:$D,2607)="",INDEX(Suivi!$C:$C,2607),INDEX(Suivi!$D:$D,2607)))</f>
        <v/>
      </c>
      <c r="D2558" s="29">
        <f>IF($B2558="","",INDEX(Suivi!$E:$E,2607))</f>
        <v/>
      </c>
      <c r="E2558" s="29">
        <f>IF($B2558="","",INDEX(Suivi!$F:$F,2607))</f>
        <v/>
      </c>
      <c r="F2558">
        <f>IF($B2558="","",INDEX(Suivi!$G:$G,2607))</f>
        <v/>
      </c>
      <c r="H2558">
        <f>IF(OR($B2558="",NOT(ISNUMBER($D2558))),"",IF($E2558&lt;$D$2,"Passé",IF($D2558&gt;$F$2,"À venir","Dans la période")))</f>
        <v/>
      </c>
      <c r="I2558">
        <f>IF(OR($B2558="",NOT(ISNUMBER($D2558))),"",IF(AND($E2558&lt;$D$2,$G2558&lt;&gt;"X",$F2558&lt;&gt;"Réalisé",$F2558&lt;&gt;"Clôturé"),"RETARD",""))</f>
        <v/>
      </c>
      <c r="J2558" s="29">
        <f>IF($B2558="","",IF(INDEX(Dossiers!$F$4:$F$63,49)="","",INDEX(Dossiers!$F$4:$F$63,49)))</f>
        <v/>
      </c>
      <c r="K2558" s="29">
        <f>IF($B2558="","",IF(INDEX(Dossiers!$G$4:$G$63,49)="","",INDEX(Dossiers!$G$4:$G$63,49)))</f>
        <v/>
      </c>
    </row>
    <row r="2559">
      <c r="A2559">
        <f>IF($B2559="","",INDEX(Dossiers!$E$4:$E$63,49))</f>
        <v/>
      </c>
      <c r="B2559">
        <f>IF(INDEX(Suivi!$B:$B,2608)="","",INDEX(Suivi!$B:$B,2608))</f>
        <v/>
      </c>
      <c r="C2559">
        <f>IF($B2559="","",IF(INDEX(Suivi!$D:$D,2608)="",INDEX(Suivi!$C:$C,2608),INDEX(Suivi!$D:$D,2608)))</f>
        <v/>
      </c>
      <c r="D2559" s="29">
        <f>IF($B2559="","",INDEX(Suivi!$E:$E,2608))</f>
        <v/>
      </c>
      <c r="E2559" s="29">
        <f>IF($B2559="","",INDEX(Suivi!$F:$F,2608))</f>
        <v/>
      </c>
      <c r="F2559">
        <f>IF($B2559="","",INDEX(Suivi!$G:$G,2608))</f>
        <v/>
      </c>
      <c r="H2559">
        <f>IF(OR($B2559="",NOT(ISNUMBER($D2559))),"",IF($E2559&lt;$D$2,"Passé",IF($D2559&gt;$F$2,"À venir","Dans la période")))</f>
        <v/>
      </c>
      <c r="I2559">
        <f>IF(OR($B2559="",NOT(ISNUMBER($D2559))),"",IF(AND($E2559&lt;$D$2,$G2559&lt;&gt;"X",$F2559&lt;&gt;"Réalisé",$F2559&lt;&gt;"Clôturé"),"RETARD",""))</f>
        <v/>
      </c>
      <c r="J2559" s="29">
        <f>IF($B2559="","",IF(INDEX(Dossiers!$F$4:$F$63,49)="","",INDEX(Dossiers!$F$4:$F$63,49)))</f>
        <v/>
      </c>
      <c r="K2559" s="29">
        <f>IF($B2559="","",IF(INDEX(Dossiers!$G$4:$G$63,49)="","",INDEX(Dossiers!$G$4:$G$63,49)))</f>
        <v/>
      </c>
    </row>
    <row r="2560">
      <c r="A2560">
        <f>IF($B2560="","",INDEX(Dossiers!$E$4:$E$63,49))</f>
        <v/>
      </c>
      <c r="B2560">
        <f>IF(INDEX(Suivi!$B:$B,2609)="","",INDEX(Suivi!$B:$B,2609))</f>
        <v/>
      </c>
      <c r="C2560">
        <f>IF($B2560="","",IF(INDEX(Suivi!$D:$D,2609)="",INDEX(Suivi!$C:$C,2609),INDEX(Suivi!$D:$D,2609)))</f>
        <v/>
      </c>
      <c r="D2560" s="29">
        <f>IF($B2560="","",INDEX(Suivi!$E:$E,2609))</f>
        <v/>
      </c>
      <c r="E2560" s="29">
        <f>IF($B2560="","",INDEX(Suivi!$F:$F,2609))</f>
        <v/>
      </c>
      <c r="F2560">
        <f>IF($B2560="","",INDEX(Suivi!$G:$G,2609))</f>
        <v/>
      </c>
      <c r="H2560">
        <f>IF(OR($B2560="",NOT(ISNUMBER($D2560))),"",IF($E2560&lt;$D$2,"Passé",IF($D2560&gt;$F$2,"À venir","Dans la période")))</f>
        <v/>
      </c>
      <c r="I2560">
        <f>IF(OR($B2560="",NOT(ISNUMBER($D2560))),"",IF(AND($E2560&lt;$D$2,$G2560&lt;&gt;"X",$F2560&lt;&gt;"Réalisé",$F2560&lt;&gt;"Clôturé"),"RETARD",""))</f>
        <v/>
      </c>
      <c r="J2560" s="29">
        <f>IF($B2560="","",IF(INDEX(Dossiers!$F$4:$F$63,49)="","",INDEX(Dossiers!$F$4:$F$63,49)))</f>
        <v/>
      </c>
      <c r="K2560" s="29">
        <f>IF($B2560="","",IF(INDEX(Dossiers!$G$4:$G$63,49)="","",INDEX(Dossiers!$G$4:$G$63,49)))</f>
        <v/>
      </c>
    </row>
    <row r="2561">
      <c r="A2561">
        <f>IF($B2561="","",INDEX(Dossiers!$E$4:$E$63,49))</f>
        <v/>
      </c>
      <c r="B2561">
        <f>IF(INDEX(Suivi!$B:$B,2610)="","",INDEX(Suivi!$B:$B,2610))</f>
        <v/>
      </c>
      <c r="C2561">
        <f>IF($B2561="","",IF(INDEX(Suivi!$D:$D,2610)="",INDEX(Suivi!$C:$C,2610),INDEX(Suivi!$D:$D,2610)))</f>
        <v/>
      </c>
      <c r="D2561" s="29">
        <f>IF($B2561="","",INDEX(Suivi!$E:$E,2610))</f>
        <v/>
      </c>
      <c r="E2561" s="29">
        <f>IF($B2561="","",INDEX(Suivi!$F:$F,2610))</f>
        <v/>
      </c>
      <c r="F2561">
        <f>IF($B2561="","",INDEX(Suivi!$G:$G,2610))</f>
        <v/>
      </c>
      <c r="H2561">
        <f>IF(OR($B2561="",NOT(ISNUMBER($D2561))),"",IF($E2561&lt;$D$2,"Passé",IF($D2561&gt;$F$2,"À venir","Dans la période")))</f>
        <v/>
      </c>
      <c r="I2561">
        <f>IF(OR($B2561="",NOT(ISNUMBER($D2561))),"",IF(AND($E2561&lt;$D$2,$G2561&lt;&gt;"X",$F2561&lt;&gt;"Réalisé",$F2561&lt;&gt;"Clôturé"),"RETARD",""))</f>
        <v/>
      </c>
      <c r="J2561" s="29">
        <f>IF($B2561="","",IF(INDEX(Dossiers!$F$4:$F$63,49)="","",INDEX(Dossiers!$F$4:$F$63,49)))</f>
        <v/>
      </c>
      <c r="K2561" s="29">
        <f>IF($B2561="","",IF(INDEX(Dossiers!$G$4:$G$63,49)="","",INDEX(Dossiers!$G$4:$G$63,49)))</f>
        <v/>
      </c>
    </row>
    <row r="2562">
      <c r="A2562">
        <f>IF($B2562="","",INDEX(Dossiers!$E$4:$E$63,49))</f>
        <v/>
      </c>
      <c r="B2562">
        <f>IF(INDEX(Suivi!$B:$B,2611)="","",INDEX(Suivi!$B:$B,2611))</f>
        <v/>
      </c>
      <c r="C2562">
        <f>IF($B2562="","",IF(INDEX(Suivi!$D:$D,2611)="",INDEX(Suivi!$C:$C,2611),INDEX(Suivi!$D:$D,2611)))</f>
        <v/>
      </c>
      <c r="D2562" s="29">
        <f>IF($B2562="","",INDEX(Suivi!$E:$E,2611))</f>
        <v/>
      </c>
      <c r="E2562" s="29">
        <f>IF($B2562="","",INDEX(Suivi!$F:$F,2611))</f>
        <v/>
      </c>
      <c r="F2562">
        <f>IF($B2562="","",INDEX(Suivi!$G:$G,2611))</f>
        <v/>
      </c>
      <c r="H2562">
        <f>IF(OR($B2562="",NOT(ISNUMBER($D2562))),"",IF($E2562&lt;$D$2,"Passé",IF($D2562&gt;$F$2,"À venir","Dans la période")))</f>
        <v/>
      </c>
      <c r="I2562">
        <f>IF(OR($B2562="",NOT(ISNUMBER($D2562))),"",IF(AND($E2562&lt;$D$2,$G2562&lt;&gt;"X",$F2562&lt;&gt;"Réalisé",$F2562&lt;&gt;"Clôturé"),"RETARD",""))</f>
        <v/>
      </c>
      <c r="J2562" s="29">
        <f>IF($B2562="","",IF(INDEX(Dossiers!$F$4:$F$63,49)="","",INDEX(Dossiers!$F$4:$F$63,49)))</f>
        <v/>
      </c>
      <c r="K2562" s="29">
        <f>IF($B2562="","",IF(INDEX(Dossiers!$G$4:$G$63,49)="","",INDEX(Dossiers!$G$4:$G$63,49)))</f>
        <v/>
      </c>
    </row>
    <row r="2563">
      <c r="A2563">
        <f>IF($B2563="","",INDEX(Dossiers!$E$4:$E$63,49))</f>
        <v/>
      </c>
      <c r="B2563">
        <f>IF(INDEX(Suivi!$B:$B,2612)="","",INDEX(Suivi!$B:$B,2612))</f>
        <v/>
      </c>
      <c r="C2563">
        <f>IF($B2563="","",IF(INDEX(Suivi!$D:$D,2612)="",INDEX(Suivi!$C:$C,2612),INDEX(Suivi!$D:$D,2612)))</f>
        <v/>
      </c>
      <c r="D2563" s="29">
        <f>IF($B2563="","",INDEX(Suivi!$E:$E,2612))</f>
        <v/>
      </c>
      <c r="E2563" s="29">
        <f>IF($B2563="","",INDEX(Suivi!$F:$F,2612))</f>
        <v/>
      </c>
      <c r="F2563">
        <f>IF($B2563="","",INDEX(Suivi!$G:$G,2612))</f>
        <v/>
      </c>
      <c r="H2563">
        <f>IF(OR($B2563="",NOT(ISNUMBER($D2563))),"",IF($E2563&lt;$D$2,"Passé",IF($D2563&gt;$F$2,"À venir","Dans la période")))</f>
        <v/>
      </c>
      <c r="I2563">
        <f>IF(OR($B2563="",NOT(ISNUMBER($D2563))),"",IF(AND($E2563&lt;$D$2,$G2563&lt;&gt;"X",$F2563&lt;&gt;"Réalisé",$F2563&lt;&gt;"Clôturé"),"RETARD",""))</f>
        <v/>
      </c>
      <c r="J2563" s="29">
        <f>IF($B2563="","",IF(INDEX(Dossiers!$F$4:$F$63,49)="","",INDEX(Dossiers!$F$4:$F$63,49)))</f>
        <v/>
      </c>
      <c r="K2563" s="29">
        <f>IF($B2563="","",IF(INDEX(Dossiers!$G$4:$G$63,49)="","",INDEX(Dossiers!$G$4:$G$63,49)))</f>
        <v/>
      </c>
    </row>
    <row r="2564">
      <c r="A2564">
        <f>IF($B2564="","",INDEX(Dossiers!$E$4:$E$63,49))</f>
        <v/>
      </c>
      <c r="B2564">
        <f>IF(INDEX(Suivi!$B:$B,2613)="","",INDEX(Suivi!$B:$B,2613))</f>
        <v/>
      </c>
      <c r="C2564">
        <f>IF($B2564="","",IF(INDEX(Suivi!$D:$D,2613)="",INDEX(Suivi!$C:$C,2613),INDEX(Suivi!$D:$D,2613)))</f>
        <v/>
      </c>
      <c r="D2564" s="29">
        <f>IF($B2564="","",INDEX(Suivi!$E:$E,2613))</f>
        <v/>
      </c>
      <c r="E2564" s="29">
        <f>IF($B2564="","",INDEX(Suivi!$F:$F,2613))</f>
        <v/>
      </c>
      <c r="F2564">
        <f>IF($B2564="","",INDEX(Suivi!$G:$G,2613))</f>
        <v/>
      </c>
      <c r="H2564">
        <f>IF(OR($B2564="",NOT(ISNUMBER($D2564))),"",IF($E2564&lt;$D$2,"Passé",IF($D2564&gt;$F$2,"À venir","Dans la période")))</f>
        <v/>
      </c>
      <c r="I2564">
        <f>IF(OR($B2564="",NOT(ISNUMBER($D2564))),"",IF(AND($E2564&lt;$D$2,$G2564&lt;&gt;"X",$F2564&lt;&gt;"Réalisé",$F2564&lt;&gt;"Clôturé"),"RETARD",""))</f>
        <v/>
      </c>
      <c r="J2564" s="29">
        <f>IF($B2564="","",IF(INDEX(Dossiers!$F$4:$F$63,49)="","",INDEX(Dossiers!$F$4:$F$63,49)))</f>
        <v/>
      </c>
      <c r="K2564" s="29">
        <f>IF($B2564="","",IF(INDEX(Dossiers!$G$4:$G$63,49)="","",INDEX(Dossiers!$G$4:$G$63,49)))</f>
        <v/>
      </c>
    </row>
    <row r="2565">
      <c r="A2565">
        <f>IF($B2565="","",INDEX(Dossiers!$E$4:$E$63,49))</f>
        <v/>
      </c>
      <c r="B2565">
        <f>IF(INDEX(Suivi!$B:$B,2614)="","",INDEX(Suivi!$B:$B,2614))</f>
        <v/>
      </c>
      <c r="C2565">
        <f>IF($B2565="","",IF(INDEX(Suivi!$D:$D,2614)="",INDEX(Suivi!$C:$C,2614),INDEX(Suivi!$D:$D,2614)))</f>
        <v/>
      </c>
      <c r="D2565" s="29">
        <f>IF($B2565="","",INDEX(Suivi!$E:$E,2614))</f>
        <v/>
      </c>
      <c r="E2565" s="29">
        <f>IF($B2565="","",INDEX(Suivi!$F:$F,2614))</f>
        <v/>
      </c>
      <c r="F2565">
        <f>IF($B2565="","",INDEX(Suivi!$G:$G,2614))</f>
        <v/>
      </c>
      <c r="H2565">
        <f>IF(OR($B2565="",NOT(ISNUMBER($D2565))),"",IF($E2565&lt;$D$2,"Passé",IF($D2565&gt;$F$2,"À venir","Dans la période")))</f>
        <v/>
      </c>
      <c r="I2565">
        <f>IF(OR($B2565="",NOT(ISNUMBER($D2565))),"",IF(AND($E2565&lt;$D$2,$G2565&lt;&gt;"X",$F2565&lt;&gt;"Réalisé",$F2565&lt;&gt;"Clôturé"),"RETARD",""))</f>
        <v/>
      </c>
      <c r="J2565" s="29">
        <f>IF($B2565="","",IF(INDEX(Dossiers!$F$4:$F$63,49)="","",INDEX(Dossiers!$F$4:$F$63,49)))</f>
        <v/>
      </c>
      <c r="K2565" s="29">
        <f>IF($B2565="","",IF(INDEX(Dossiers!$G$4:$G$63,49)="","",INDEX(Dossiers!$G$4:$G$63,49)))</f>
        <v/>
      </c>
    </row>
    <row r="2566">
      <c r="A2566">
        <f>IF($B2566="","",INDEX(Dossiers!$E$4:$E$63,49))</f>
        <v/>
      </c>
      <c r="B2566">
        <f>IF(INDEX(Suivi!$B:$B,2615)="","",INDEX(Suivi!$B:$B,2615))</f>
        <v/>
      </c>
      <c r="C2566">
        <f>IF($B2566="","",IF(INDEX(Suivi!$D:$D,2615)="",INDEX(Suivi!$C:$C,2615),INDEX(Suivi!$D:$D,2615)))</f>
        <v/>
      </c>
      <c r="D2566" s="29">
        <f>IF($B2566="","",INDEX(Suivi!$E:$E,2615))</f>
        <v/>
      </c>
      <c r="E2566" s="29">
        <f>IF($B2566="","",INDEX(Suivi!$F:$F,2615))</f>
        <v/>
      </c>
      <c r="F2566">
        <f>IF($B2566="","",INDEX(Suivi!$G:$G,2615))</f>
        <v/>
      </c>
      <c r="H2566">
        <f>IF(OR($B2566="",NOT(ISNUMBER($D2566))),"",IF($E2566&lt;$D$2,"Passé",IF($D2566&gt;$F$2,"À venir","Dans la période")))</f>
        <v/>
      </c>
      <c r="I2566">
        <f>IF(OR($B2566="",NOT(ISNUMBER($D2566))),"",IF(AND($E2566&lt;$D$2,$G2566&lt;&gt;"X",$F2566&lt;&gt;"Réalisé",$F2566&lt;&gt;"Clôturé"),"RETARD",""))</f>
        <v/>
      </c>
      <c r="J2566" s="29">
        <f>IF($B2566="","",IF(INDEX(Dossiers!$F$4:$F$63,49)="","",INDEX(Dossiers!$F$4:$F$63,49)))</f>
        <v/>
      </c>
      <c r="K2566" s="29">
        <f>IF($B2566="","",IF(INDEX(Dossiers!$G$4:$G$63,49)="","",INDEX(Dossiers!$G$4:$G$63,49)))</f>
        <v/>
      </c>
    </row>
    <row r="2567">
      <c r="A2567">
        <f>IF($B2567="","",INDEX(Dossiers!$E$4:$E$63,49))</f>
        <v/>
      </c>
      <c r="B2567">
        <f>IF(INDEX(Suivi!$B:$B,2616)="","",INDEX(Suivi!$B:$B,2616))</f>
        <v/>
      </c>
      <c r="C2567">
        <f>IF($B2567="","",IF(INDEX(Suivi!$D:$D,2616)="",INDEX(Suivi!$C:$C,2616),INDEX(Suivi!$D:$D,2616)))</f>
        <v/>
      </c>
      <c r="D2567" s="29">
        <f>IF($B2567="","",INDEX(Suivi!$E:$E,2616))</f>
        <v/>
      </c>
      <c r="E2567" s="29">
        <f>IF($B2567="","",INDEX(Suivi!$F:$F,2616))</f>
        <v/>
      </c>
      <c r="F2567">
        <f>IF($B2567="","",INDEX(Suivi!$G:$G,2616))</f>
        <v/>
      </c>
      <c r="H2567">
        <f>IF(OR($B2567="",NOT(ISNUMBER($D2567))),"",IF($E2567&lt;$D$2,"Passé",IF($D2567&gt;$F$2,"À venir","Dans la période")))</f>
        <v/>
      </c>
      <c r="I2567">
        <f>IF(OR($B2567="",NOT(ISNUMBER($D2567))),"",IF(AND($E2567&lt;$D$2,$G2567&lt;&gt;"X",$F2567&lt;&gt;"Réalisé",$F2567&lt;&gt;"Clôturé"),"RETARD",""))</f>
        <v/>
      </c>
      <c r="J2567" s="29">
        <f>IF($B2567="","",IF(INDEX(Dossiers!$F$4:$F$63,49)="","",INDEX(Dossiers!$F$4:$F$63,49)))</f>
        <v/>
      </c>
      <c r="K2567" s="29">
        <f>IF($B2567="","",IF(INDEX(Dossiers!$G$4:$G$63,49)="","",INDEX(Dossiers!$G$4:$G$63,49)))</f>
        <v/>
      </c>
    </row>
    <row r="2568">
      <c r="A2568">
        <f>IF($B2568="","",INDEX(Dossiers!$E$4:$E$63,49))</f>
        <v/>
      </c>
      <c r="B2568">
        <f>IF(INDEX(Suivi!$B:$B,2617)="","",INDEX(Suivi!$B:$B,2617))</f>
        <v/>
      </c>
      <c r="C2568">
        <f>IF($B2568="","",IF(INDEX(Suivi!$D:$D,2617)="",INDEX(Suivi!$C:$C,2617),INDEX(Suivi!$D:$D,2617)))</f>
        <v/>
      </c>
      <c r="D2568" s="29">
        <f>IF($B2568="","",INDEX(Suivi!$E:$E,2617))</f>
        <v/>
      </c>
      <c r="E2568" s="29">
        <f>IF($B2568="","",INDEX(Suivi!$F:$F,2617))</f>
        <v/>
      </c>
      <c r="F2568">
        <f>IF($B2568="","",INDEX(Suivi!$G:$G,2617))</f>
        <v/>
      </c>
      <c r="H2568">
        <f>IF(OR($B2568="",NOT(ISNUMBER($D2568))),"",IF($E2568&lt;$D$2,"Passé",IF($D2568&gt;$F$2,"À venir","Dans la période")))</f>
        <v/>
      </c>
      <c r="I2568">
        <f>IF(OR($B2568="",NOT(ISNUMBER($D2568))),"",IF(AND($E2568&lt;$D$2,$G2568&lt;&gt;"X",$F2568&lt;&gt;"Réalisé",$F2568&lt;&gt;"Clôturé"),"RETARD",""))</f>
        <v/>
      </c>
      <c r="J2568" s="29">
        <f>IF($B2568="","",IF(INDEX(Dossiers!$F$4:$F$63,49)="","",INDEX(Dossiers!$F$4:$F$63,49)))</f>
        <v/>
      </c>
      <c r="K2568" s="29">
        <f>IF($B2568="","",IF(INDEX(Dossiers!$G$4:$G$63,49)="","",INDEX(Dossiers!$G$4:$G$63,49)))</f>
        <v/>
      </c>
    </row>
    <row r="2569">
      <c r="A2569">
        <f>IF($B2569="","",INDEX(Dossiers!$E$4:$E$63,49))</f>
        <v/>
      </c>
      <c r="B2569">
        <f>IF(INDEX(Suivi!$B:$B,2618)="","",INDEX(Suivi!$B:$B,2618))</f>
        <v/>
      </c>
      <c r="C2569">
        <f>IF($B2569="","",IF(INDEX(Suivi!$D:$D,2618)="",INDEX(Suivi!$C:$C,2618),INDEX(Suivi!$D:$D,2618)))</f>
        <v/>
      </c>
      <c r="D2569" s="29">
        <f>IF($B2569="","",INDEX(Suivi!$E:$E,2618))</f>
        <v/>
      </c>
      <c r="E2569" s="29">
        <f>IF($B2569="","",INDEX(Suivi!$F:$F,2618))</f>
        <v/>
      </c>
      <c r="F2569">
        <f>IF($B2569="","",INDEX(Suivi!$G:$G,2618))</f>
        <v/>
      </c>
      <c r="H2569">
        <f>IF(OR($B2569="",NOT(ISNUMBER($D2569))),"",IF($E2569&lt;$D$2,"Passé",IF($D2569&gt;$F$2,"À venir","Dans la période")))</f>
        <v/>
      </c>
      <c r="I2569">
        <f>IF(OR($B2569="",NOT(ISNUMBER($D2569))),"",IF(AND($E2569&lt;$D$2,$G2569&lt;&gt;"X",$F2569&lt;&gt;"Réalisé",$F2569&lt;&gt;"Clôturé"),"RETARD",""))</f>
        <v/>
      </c>
      <c r="J2569" s="29">
        <f>IF($B2569="","",IF(INDEX(Dossiers!$F$4:$F$63,49)="","",INDEX(Dossiers!$F$4:$F$63,49)))</f>
        <v/>
      </c>
      <c r="K2569" s="29">
        <f>IF($B2569="","",IF(INDEX(Dossiers!$G$4:$G$63,49)="","",INDEX(Dossiers!$G$4:$G$63,49)))</f>
        <v/>
      </c>
    </row>
    <row r="2570">
      <c r="A2570">
        <f>IF($B2570="","",INDEX(Dossiers!$E$4:$E$63,49))</f>
        <v/>
      </c>
      <c r="B2570">
        <f>IF(INDEX(Suivi!$B:$B,2619)="","",INDEX(Suivi!$B:$B,2619))</f>
        <v/>
      </c>
      <c r="C2570">
        <f>IF($B2570="","",IF(INDEX(Suivi!$D:$D,2619)="",INDEX(Suivi!$C:$C,2619),INDEX(Suivi!$D:$D,2619)))</f>
        <v/>
      </c>
      <c r="D2570" s="29">
        <f>IF($B2570="","",INDEX(Suivi!$E:$E,2619))</f>
        <v/>
      </c>
      <c r="E2570" s="29">
        <f>IF($B2570="","",INDEX(Suivi!$F:$F,2619))</f>
        <v/>
      </c>
      <c r="F2570">
        <f>IF($B2570="","",INDEX(Suivi!$G:$G,2619))</f>
        <v/>
      </c>
      <c r="H2570">
        <f>IF(OR($B2570="",NOT(ISNUMBER($D2570))),"",IF($E2570&lt;$D$2,"Passé",IF($D2570&gt;$F$2,"À venir","Dans la période")))</f>
        <v/>
      </c>
      <c r="I2570">
        <f>IF(OR($B2570="",NOT(ISNUMBER($D2570))),"",IF(AND($E2570&lt;$D$2,$G2570&lt;&gt;"X",$F2570&lt;&gt;"Réalisé",$F2570&lt;&gt;"Clôturé"),"RETARD",""))</f>
        <v/>
      </c>
      <c r="J2570" s="29">
        <f>IF($B2570="","",IF(INDEX(Dossiers!$F$4:$F$63,49)="","",INDEX(Dossiers!$F$4:$F$63,49)))</f>
        <v/>
      </c>
      <c r="K2570" s="29">
        <f>IF($B2570="","",IF(INDEX(Dossiers!$G$4:$G$63,49)="","",INDEX(Dossiers!$G$4:$G$63,49)))</f>
        <v/>
      </c>
    </row>
    <row r="2571">
      <c r="A2571">
        <f>IF($B2571="","",INDEX(Dossiers!$E$4:$E$63,49))</f>
        <v/>
      </c>
      <c r="B2571">
        <f>IF(INDEX(Suivi!$B:$B,2620)="","",INDEX(Suivi!$B:$B,2620))</f>
        <v/>
      </c>
      <c r="C2571">
        <f>IF($B2571="","",IF(INDEX(Suivi!$D:$D,2620)="",INDEX(Suivi!$C:$C,2620),INDEX(Suivi!$D:$D,2620)))</f>
        <v/>
      </c>
      <c r="D2571" s="29">
        <f>IF($B2571="","",INDEX(Suivi!$E:$E,2620))</f>
        <v/>
      </c>
      <c r="E2571" s="29">
        <f>IF($B2571="","",INDEX(Suivi!$F:$F,2620))</f>
        <v/>
      </c>
      <c r="F2571">
        <f>IF($B2571="","",INDEX(Suivi!$G:$G,2620))</f>
        <v/>
      </c>
      <c r="H2571">
        <f>IF(OR($B2571="",NOT(ISNUMBER($D2571))),"",IF($E2571&lt;$D$2,"Passé",IF($D2571&gt;$F$2,"À venir","Dans la période")))</f>
        <v/>
      </c>
      <c r="I2571">
        <f>IF(OR($B2571="",NOT(ISNUMBER($D2571))),"",IF(AND($E2571&lt;$D$2,$G2571&lt;&gt;"X",$F2571&lt;&gt;"Réalisé",$F2571&lt;&gt;"Clôturé"),"RETARD",""))</f>
        <v/>
      </c>
      <c r="J2571" s="29">
        <f>IF($B2571="","",IF(INDEX(Dossiers!$F$4:$F$63,49)="","",INDEX(Dossiers!$F$4:$F$63,49)))</f>
        <v/>
      </c>
      <c r="K2571" s="29">
        <f>IF($B2571="","",IF(INDEX(Dossiers!$G$4:$G$63,49)="","",INDEX(Dossiers!$G$4:$G$63,49)))</f>
        <v/>
      </c>
    </row>
    <row r="2572">
      <c r="A2572">
        <f>IF($B2572="","",INDEX(Dossiers!$E$4:$E$63,49))</f>
        <v/>
      </c>
      <c r="B2572">
        <f>IF(INDEX(Suivi!$B:$B,2621)="","",INDEX(Suivi!$B:$B,2621))</f>
        <v/>
      </c>
      <c r="C2572">
        <f>IF($B2572="","",IF(INDEX(Suivi!$D:$D,2621)="",INDEX(Suivi!$C:$C,2621),INDEX(Suivi!$D:$D,2621)))</f>
        <v/>
      </c>
      <c r="D2572" s="29">
        <f>IF($B2572="","",INDEX(Suivi!$E:$E,2621))</f>
        <v/>
      </c>
      <c r="E2572" s="29">
        <f>IF($B2572="","",INDEX(Suivi!$F:$F,2621))</f>
        <v/>
      </c>
      <c r="F2572">
        <f>IF($B2572="","",INDEX(Suivi!$G:$G,2621))</f>
        <v/>
      </c>
      <c r="H2572">
        <f>IF(OR($B2572="",NOT(ISNUMBER($D2572))),"",IF($E2572&lt;$D$2,"Passé",IF($D2572&gt;$F$2,"À venir","Dans la période")))</f>
        <v/>
      </c>
      <c r="I2572">
        <f>IF(OR($B2572="",NOT(ISNUMBER($D2572))),"",IF(AND($E2572&lt;$D$2,$G2572&lt;&gt;"X",$F2572&lt;&gt;"Réalisé",$F2572&lt;&gt;"Clôturé"),"RETARD",""))</f>
        <v/>
      </c>
      <c r="J2572" s="29">
        <f>IF($B2572="","",IF(INDEX(Dossiers!$F$4:$F$63,49)="","",INDEX(Dossiers!$F$4:$F$63,49)))</f>
        <v/>
      </c>
      <c r="K2572" s="29">
        <f>IF($B2572="","",IF(INDEX(Dossiers!$G$4:$G$63,49)="","",INDEX(Dossiers!$G$4:$G$63,49)))</f>
        <v/>
      </c>
    </row>
    <row r="2573">
      <c r="A2573">
        <f>IF($B2573="","",INDEX(Dossiers!$E$4:$E$63,49))</f>
        <v/>
      </c>
      <c r="B2573">
        <f>IF(INDEX(Suivi!$B:$B,2622)="","",INDEX(Suivi!$B:$B,2622))</f>
        <v/>
      </c>
      <c r="C2573">
        <f>IF($B2573="","",IF(INDEX(Suivi!$D:$D,2622)="",INDEX(Suivi!$C:$C,2622),INDEX(Suivi!$D:$D,2622)))</f>
        <v/>
      </c>
      <c r="D2573" s="29">
        <f>IF($B2573="","",INDEX(Suivi!$E:$E,2622))</f>
        <v/>
      </c>
      <c r="E2573" s="29">
        <f>IF($B2573="","",INDEX(Suivi!$F:$F,2622))</f>
        <v/>
      </c>
      <c r="F2573">
        <f>IF($B2573="","",INDEX(Suivi!$G:$G,2622))</f>
        <v/>
      </c>
      <c r="H2573">
        <f>IF(OR($B2573="",NOT(ISNUMBER($D2573))),"",IF($E2573&lt;$D$2,"Passé",IF($D2573&gt;$F$2,"À venir","Dans la période")))</f>
        <v/>
      </c>
      <c r="I2573">
        <f>IF(OR($B2573="",NOT(ISNUMBER($D2573))),"",IF(AND($E2573&lt;$D$2,$G2573&lt;&gt;"X",$F2573&lt;&gt;"Réalisé",$F2573&lt;&gt;"Clôturé"),"RETARD",""))</f>
        <v/>
      </c>
      <c r="J2573" s="29">
        <f>IF($B2573="","",IF(INDEX(Dossiers!$F$4:$F$63,49)="","",INDEX(Dossiers!$F$4:$F$63,49)))</f>
        <v/>
      </c>
      <c r="K2573" s="29">
        <f>IF($B2573="","",IF(INDEX(Dossiers!$G$4:$G$63,49)="","",INDEX(Dossiers!$G$4:$G$63,49)))</f>
        <v/>
      </c>
    </row>
    <row r="2574">
      <c r="A2574">
        <f>IF($B2574="","",INDEX(Dossiers!$E$4:$E$63,49))</f>
        <v/>
      </c>
      <c r="B2574">
        <f>IF(INDEX(Suivi!$B:$B,2623)="","",INDEX(Suivi!$B:$B,2623))</f>
        <v/>
      </c>
      <c r="C2574">
        <f>IF($B2574="","",IF(INDEX(Suivi!$D:$D,2623)="",INDEX(Suivi!$C:$C,2623),INDEX(Suivi!$D:$D,2623)))</f>
        <v/>
      </c>
      <c r="D2574" s="29">
        <f>IF($B2574="","",INDEX(Suivi!$E:$E,2623))</f>
        <v/>
      </c>
      <c r="E2574" s="29">
        <f>IF($B2574="","",INDEX(Suivi!$F:$F,2623))</f>
        <v/>
      </c>
      <c r="F2574">
        <f>IF($B2574="","",INDEX(Suivi!$G:$G,2623))</f>
        <v/>
      </c>
      <c r="H2574">
        <f>IF(OR($B2574="",NOT(ISNUMBER($D2574))),"",IF($E2574&lt;$D$2,"Passé",IF($D2574&gt;$F$2,"À venir","Dans la période")))</f>
        <v/>
      </c>
      <c r="I2574">
        <f>IF(OR($B2574="",NOT(ISNUMBER($D2574))),"",IF(AND($E2574&lt;$D$2,$G2574&lt;&gt;"X",$F2574&lt;&gt;"Réalisé",$F2574&lt;&gt;"Clôturé"),"RETARD",""))</f>
        <v/>
      </c>
      <c r="J2574" s="29">
        <f>IF($B2574="","",IF(INDEX(Dossiers!$F$4:$F$63,49)="","",INDEX(Dossiers!$F$4:$F$63,49)))</f>
        <v/>
      </c>
      <c r="K2574" s="29">
        <f>IF($B2574="","",IF(INDEX(Dossiers!$G$4:$G$63,49)="","",INDEX(Dossiers!$G$4:$G$63,49)))</f>
        <v/>
      </c>
    </row>
    <row r="2575">
      <c r="A2575">
        <f>IF($B2575="","",INDEX(Dossiers!$E$4:$E$63,49))</f>
        <v/>
      </c>
      <c r="B2575">
        <f>IF(INDEX(Suivi!$B:$B,2624)="","",INDEX(Suivi!$B:$B,2624))</f>
        <v/>
      </c>
      <c r="C2575">
        <f>IF($B2575="","",IF(INDEX(Suivi!$D:$D,2624)="",INDEX(Suivi!$C:$C,2624),INDEX(Suivi!$D:$D,2624)))</f>
        <v/>
      </c>
      <c r="D2575" s="29">
        <f>IF($B2575="","",INDEX(Suivi!$E:$E,2624))</f>
        <v/>
      </c>
      <c r="E2575" s="29">
        <f>IF($B2575="","",INDEX(Suivi!$F:$F,2624))</f>
        <v/>
      </c>
      <c r="F2575">
        <f>IF($B2575="","",INDEX(Suivi!$G:$G,2624))</f>
        <v/>
      </c>
      <c r="H2575">
        <f>IF(OR($B2575="",NOT(ISNUMBER($D2575))),"",IF($E2575&lt;$D$2,"Passé",IF($D2575&gt;$F$2,"À venir","Dans la période")))</f>
        <v/>
      </c>
      <c r="I2575">
        <f>IF(OR($B2575="",NOT(ISNUMBER($D2575))),"",IF(AND($E2575&lt;$D$2,$G2575&lt;&gt;"X",$F2575&lt;&gt;"Réalisé",$F2575&lt;&gt;"Clôturé"),"RETARD",""))</f>
        <v/>
      </c>
      <c r="J2575" s="29">
        <f>IF($B2575="","",IF(INDEX(Dossiers!$F$4:$F$63,49)="","",INDEX(Dossiers!$F$4:$F$63,49)))</f>
        <v/>
      </c>
      <c r="K2575" s="29">
        <f>IF($B2575="","",IF(INDEX(Dossiers!$G$4:$G$63,49)="","",INDEX(Dossiers!$G$4:$G$63,49)))</f>
        <v/>
      </c>
    </row>
    <row r="2576">
      <c r="A2576">
        <f>IF($B2576="","",INDEX(Dossiers!$E$4:$E$63,49))</f>
        <v/>
      </c>
      <c r="B2576">
        <f>IF(INDEX(Suivi!$B:$B,2625)="","",INDEX(Suivi!$B:$B,2625))</f>
        <v/>
      </c>
      <c r="C2576">
        <f>IF($B2576="","",IF(INDEX(Suivi!$D:$D,2625)="",INDEX(Suivi!$C:$C,2625),INDEX(Suivi!$D:$D,2625)))</f>
        <v/>
      </c>
      <c r="D2576" s="29">
        <f>IF($B2576="","",INDEX(Suivi!$E:$E,2625))</f>
        <v/>
      </c>
      <c r="E2576" s="29">
        <f>IF($B2576="","",INDEX(Suivi!$F:$F,2625))</f>
        <v/>
      </c>
      <c r="F2576">
        <f>IF($B2576="","",INDEX(Suivi!$G:$G,2625))</f>
        <v/>
      </c>
      <c r="H2576">
        <f>IF(OR($B2576="",NOT(ISNUMBER($D2576))),"",IF($E2576&lt;$D$2,"Passé",IF($D2576&gt;$F$2,"À venir","Dans la période")))</f>
        <v/>
      </c>
      <c r="I2576">
        <f>IF(OR($B2576="",NOT(ISNUMBER($D2576))),"",IF(AND($E2576&lt;$D$2,$G2576&lt;&gt;"X",$F2576&lt;&gt;"Réalisé",$F2576&lt;&gt;"Clôturé"),"RETARD",""))</f>
        <v/>
      </c>
      <c r="J2576" s="29">
        <f>IF($B2576="","",IF(INDEX(Dossiers!$F$4:$F$63,49)="","",INDEX(Dossiers!$F$4:$F$63,49)))</f>
        <v/>
      </c>
      <c r="K2576" s="29">
        <f>IF($B2576="","",IF(INDEX(Dossiers!$G$4:$G$63,49)="","",INDEX(Dossiers!$G$4:$G$63,49)))</f>
        <v/>
      </c>
    </row>
    <row r="2577">
      <c r="A2577">
        <f>IF($B2577="","",INDEX(Dossiers!$E$4:$E$63,49))</f>
        <v/>
      </c>
      <c r="B2577">
        <f>IF(INDEX(Suivi!$B:$B,2626)="","",INDEX(Suivi!$B:$B,2626))</f>
        <v/>
      </c>
      <c r="C2577">
        <f>IF($B2577="","",IF(INDEX(Suivi!$D:$D,2626)="",INDEX(Suivi!$C:$C,2626),INDEX(Suivi!$D:$D,2626)))</f>
        <v/>
      </c>
      <c r="D2577" s="29">
        <f>IF($B2577="","",INDEX(Suivi!$E:$E,2626))</f>
        <v/>
      </c>
      <c r="E2577" s="29">
        <f>IF($B2577="","",INDEX(Suivi!$F:$F,2626))</f>
        <v/>
      </c>
      <c r="F2577">
        <f>IF($B2577="","",INDEX(Suivi!$G:$G,2626))</f>
        <v/>
      </c>
      <c r="H2577">
        <f>IF(OR($B2577="",NOT(ISNUMBER($D2577))),"",IF($E2577&lt;$D$2,"Passé",IF($D2577&gt;$F$2,"À venir","Dans la période")))</f>
        <v/>
      </c>
      <c r="I2577">
        <f>IF(OR($B2577="",NOT(ISNUMBER($D2577))),"",IF(AND($E2577&lt;$D$2,$G2577&lt;&gt;"X",$F2577&lt;&gt;"Réalisé",$F2577&lt;&gt;"Clôturé"),"RETARD",""))</f>
        <v/>
      </c>
      <c r="J2577" s="29">
        <f>IF($B2577="","",IF(INDEX(Dossiers!$F$4:$F$63,49)="","",INDEX(Dossiers!$F$4:$F$63,49)))</f>
        <v/>
      </c>
      <c r="K2577" s="29">
        <f>IF($B2577="","",IF(INDEX(Dossiers!$G$4:$G$63,49)="","",INDEX(Dossiers!$G$4:$G$63,49)))</f>
        <v/>
      </c>
    </row>
    <row r="2578">
      <c r="A2578">
        <f>IF($B2578="","",INDEX(Dossiers!$E$4:$E$63,49))</f>
        <v/>
      </c>
      <c r="B2578">
        <f>IF(INDEX(Suivi!$B:$B,2627)="","",INDEX(Suivi!$B:$B,2627))</f>
        <v/>
      </c>
      <c r="C2578">
        <f>IF($B2578="","",IF(INDEX(Suivi!$D:$D,2627)="",INDEX(Suivi!$C:$C,2627),INDEX(Suivi!$D:$D,2627)))</f>
        <v/>
      </c>
      <c r="D2578" s="29">
        <f>IF($B2578="","",INDEX(Suivi!$E:$E,2627))</f>
        <v/>
      </c>
      <c r="E2578" s="29">
        <f>IF($B2578="","",INDEX(Suivi!$F:$F,2627))</f>
        <v/>
      </c>
      <c r="F2578">
        <f>IF($B2578="","",INDEX(Suivi!$G:$G,2627))</f>
        <v/>
      </c>
      <c r="H2578">
        <f>IF(OR($B2578="",NOT(ISNUMBER($D2578))),"",IF($E2578&lt;$D$2,"Passé",IF($D2578&gt;$F$2,"À venir","Dans la période")))</f>
        <v/>
      </c>
      <c r="I2578">
        <f>IF(OR($B2578="",NOT(ISNUMBER($D2578))),"",IF(AND($E2578&lt;$D$2,$G2578&lt;&gt;"X",$F2578&lt;&gt;"Réalisé",$F2578&lt;&gt;"Clôturé"),"RETARD",""))</f>
        <v/>
      </c>
      <c r="J2578" s="29">
        <f>IF($B2578="","",IF(INDEX(Dossiers!$F$4:$F$63,49)="","",INDEX(Dossiers!$F$4:$F$63,49)))</f>
        <v/>
      </c>
      <c r="K2578" s="29">
        <f>IF($B2578="","",IF(INDEX(Dossiers!$G$4:$G$63,49)="","",INDEX(Dossiers!$G$4:$G$63,49)))</f>
        <v/>
      </c>
    </row>
    <row r="2579">
      <c r="A2579">
        <f>IF($B2579="","",INDEX(Dossiers!$E$4:$E$63,49))</f>
        <v/>
      </c>
      <c r="B2579">
        <f>IF(INDEX(Suivi!$B:$B,2628)="","",INDEX(Suivi!$B:$B,2628))</f>
        <v/>
      </c>
      <c r="C2579">
        <f>IF($B2579="","",IF(INDEX(Suivi!$D:$D,2628)="",INDEX(Suivi!$C:$C,2628),INDEX(Suivi!$D:$D,2628)))</f>
        <v/>
      </c>
      <c r="D2579" s="29">
        <f>IF($B2579="","",INDEX(Suivi!$E:$E,2628))</f>
        <v/>
      </c>
      <c r="E2579" s="29">
        <f>IF($B2579="","",INDEX(Suivi!$F:$F,2628))</f>
        <v/>
      </c>
      <c r="F2579">
        <f>IF($B2579="","",INDEX(Suivi!$G:$G,2628))</f>
        <v/>
      </c>
      <c r="H2579">
        <f>IF(OR($B2579="",NOT(ISNUMBER($D2579))),"",IF($E2579&lt;$D$2,"Passé",IF($D2579&gt;$F$2,"À venir","Dans la période")))</f>
        <v/>
      </c>
      <c r="I2579">
        <f>IF(OR($B2579="",NOT(ISNUMBER($D2579))),"",IF(AND($E2579&lt;$D$2,$G2579&lt;&gt;"X",$F2579&lt;&gt;"Réalisé",$F2579&lt;&gt;"Clôturé"),"RETARD",""))</f>
        <v/>
      </c>
      <c r="J2579" s="29">
        <f>IF($B2579="","",IF(INDEX(Dossiers!$F$4:$F$63,49)="","",INDEX(Dossiers!$F$4:$F$63,49)))</f>
        <v/>
      </c>
      <c r="K2579" s="29">
        <f>IF($B2579="","",IF(INDEX(Dossiers!$G$4:$G$63,49)="","",INDEX(Dossiers!$G$4:$G$63,49)))</f>
        <v/>
      </c>
    </row>
    <row r="2580">
      <c r="A2580">
        <f>IF($B2580="","",INDEX(Dossiers!$E$4:$E$63,49))</f>
        <v/>
      </c>
      <c r="B2580">
        <f>IF(INDEX(Suivi!$B:$B,2629)="","",INDEX(Suivi!$B:$B,2629))</f>
        <v/>
      </c>
      <c r="C2580">
        <f>IF($B2580="","",IF(INDEX(Suivi!$D:$D,2629)="",INDEX(Suivi!$C:$C,2629),INDEX(Suivi!$D:$D,2629)))</f>
        <v/>
      </c>
      <c r="D2580" s="29">
        <f>IF($B2580="","",INDEX(Suivi!$E:$E,2629))</f>
        <v/>
      </c>
      <c r="E2580" s="29">
        <f>IF($B2580="","",INDEX(Suivi!$F:$F,2629))</f>
        <v/>
      </c>
      <c r="F2580">
        <f>IF($B2580="","",INDEX(Suivi!$G:$G,2629))</f>
        <v/>
      </c>
      <c r="H2580">
        <f>IF(OR($B2580="",NOT(ISNUMBER($D2580))),"",IF($E2580&lt;$D$2,"Passé",IF($D2580&gt;$F$2,"À venir","Dans la période")))</f>
        <v/>
      </c>
      <c r="I2580">
        <f>IF(OR($B2580="",NOT(ISNUMBER($D2580))),"",IF(AND($E2580&lt;$D$2,$G2580&lt;&gt;"X",$F2580&lt;&gt;"Réalisé",$F2580&lt;&gt;"Clôturé"),"RETARD",""))</f>
        <v/>
      </c>
      <c r="J2580" s="29">
        <f>IF($B2580="","",IF(INDEX(Dossiers!$F$4:$F$63,49)="","",INDEX(Dossiers!$F$4:$F$63,49)))</f>
        <v/>
      </c>
      <c r="K2580" s="29">
        <f>IF($B2580="","",IF(INDEX(Dossiers!$G$4:$G$63,49)="","",INDEX(Dossiers!$G$4:$G$63,49)))</f>
        <v/>
      </c>
    </row>
    <row r="2581">
      <c r="A2581">
        <f>IF($B2581="","",INDEX(Dossiers!$E$4:$E$63,49))</f>
        <v/>
      </c>
      <c r="B2581">
        <f>IF(INDEX(Suivi!$B:$B,2630)="","",INDEX(Suivi!$B:$B,2630))</f>
        <v/>
      </c>
      <c r="C2581">
        <f>IF($B2581="","",IF(INDEX(Suivi!$D:$D,2630)="",INDEX(Suivi!$C:$C,2630),INDEX(Suivi!$D:$D,2630)))</f>
        <v/>
      </c>
      <c r="D2581" s="29">
        <f>IF($B2581="","",INDEX(Suivi!$E:$E,2630))</f>
        <v/>
      </c>
      <c r="E2581" s="29">
        <f>IF($B2581="","",INDEX(Suivi!$F:$F,2630))</f>
        <v/>
      </c>
      <c r="F2581">
        <f>IF($B2581="","",INDEX(Suivi!$G:$G,2630))</f>
        <v/>
      </c>
      <c r="H2581">
        <f>IF(OR($B2581="",NOT(ISNUMBER($D2581))),"",IF($E2581&lt;$D$2,"Passé",IF($D2581&gt;$F$2,"À venir","Dans la période")))</f>
        <v/>
      </c>
      <c r="I2581">
        <f>IF(OR($B2581="",NOT(ISNUMBER($D2581))),"",IF(AND($E2581&lt;$D$2,$G2581&lt;&gt;"X",$F2581&lt;&gt;"Réalisé",$F2581&lt;&gt;"Clôturé"),"RETARD",""))</f>
        <v/>
      </c>
      <c r="J2581" s="29">
        <f>IF($B2581="","",IF(INDEX(Dossiers!$F$4:$F$63,49)="","",INDEX(Dossiers!$F$4:$F$63,49)))</f>
        <v/>
      </c>
      <c r="K2581" s="29">
        <f>IF($B2581="","",IF(INDEX(Dossiers!$G$4:$G$63,49)="","",INDEX(Dossiers!$G$4:$G$63,49)))</f>
        <v/>
      </c>
    </row>
    <row r="2582">
      <c r="A2582">
        <f>IF($B2582="","",INDEX(Dossiers!$E$4:$E$63,49))</f>
        <v/>
      </c>
      <c r="B2582">
        <f>IF(INDEX(Suivi!$B:$B,2631)="","",INDEX(Suivi!$B:$B,2631))</f>
        <v/>
      </c>
      <c r="C2582">
        <f>IF($B2582="","",IF(INDEX(Suivi!$D:$D,2631)="",INDEX(Suivi!$C:$C,2631),INDEX(Suivi!$D:$D,2631)))</f>
        <v/>
      </c>
      <c r="D2582" s="29">
        <f>IF($B2582="","",INDEX(Suivi!$E:$E,2631))</f>
        <v/>
      </c>
      <c r="E2582" s="29">
        <f>IF($B2582="","",INDEX(Suivi!$F:$F,2631))</f>
        <v/>
      </c>
      <c r="F2582">
        <f>IF($B2582="","",INDEX(Suivi!$G:$G,2631))</f>
        <v/>
      </c>
      <c r="H2582">
        <f>IF(OR($B2582="",NOT(ISNUMBER($D2582))),"",IF($E2582&lt;$D$2,"Passé",IF($D2582&gt;$F$2,"À venir","Dans la période")))</f>
        <v/>
      </c>
      <c r="I2582">
        <f>IF(OR($B2582="",NOT(ISNUMBER($D2582))),"",IF(AND($E2582&lt;$D$2,$G2582&lt;&gt;"X",$F2582&lt;&gt;"Réalisé",$F2582&lt;&gt;"Clôturé"),"RETARD",""))</f>
        <v/>
      </c>
      <c r="J2582" s="29">
        <f>IF($B2582="","",IF(INDEX(Dossiers!$F$4:$F$63,49)="","",INDEX(Dossiers!$F$4:$F$63,49)))</f>
        <v/>
      </c>
      <c r="K2582" s="29">
        <f>IF($B2582="","",IF(INDEX(Dossiers!$G$4:$G$63,49)="","",INDEX(Dossiers!$G$4:$G$63,49)))</f>
        <v/>
      </c>
    </row>
    <row r="2583">
      <c r="A2583">
        <f>IF($B2583="","",INDEX(Dossiers!$E$4:$E$63,49))</f>
        <v/>
      </c>
      <c r="B2583">
        <f>IF(INDEX(Suivi!$B:$B,2632)="","",INDEX(Suivi!$B:$B,2632))</f>
        <v/>
      </c>
      <c r="C2583">
        <f>IF($B2583="","",IF(INDEX(Suivi!$D:$D,2632)="",INDEX(Suivi!$C:$C,2632),INDEX(Suivi!$D:$D,2632)))</f>
        <v/>
      </c>
      <c r="D2583" s="29">
        <f>IF($B2583="","",INDEX(Suivi!$E:$E,2632))</f>
        <v/>
      </c>
      <c r="E2583" s="29">
        <f>IF($B2583="","",INDEX(Suivi!$F:$F,2632))</f>
        <v/>
      </c>
      <c r="F2583">
        <f>IF($B2583="","",INDEX(Suivi!$G:$G,2632))</f>
        <v/>
      </c>
      <c r="H2583">
        <f>IF(OR($B2583="",NOT(ISNUMBER($D2583))),"",IF($E2583&lt;$D$2,"Passé",IF($D2583&gt;$F$2,"À venir","Dans la période")))</f>
        <v/>
      </c>
      <c r="I2583">
        <f>IF(OR($B2583="",NOT(ISNUMBER($D2583))),"",IF(AND($E2583&lt;$D$2,$G2583&lt;&gt;"X",$F2583&lt;&gt;"Réalisé",$F2583&lt;&gt;"Clôturé"),"RETARD",""))</f>
        <v/>
      </c>
      <c r="J2583" s="29">
        <f>IF($B2583="","",IF(INDEX(Dossiers!$F$4:$F$63,49)="","",INDEX(Dossiers!$F$4:$F$63,49)))</f>
        <v/>
      </c>
      <c r="K2583" s="29">
        <f>IF($B2583="","",IF(INDEX(Dossiers!$G$4:$G$63,49)="","",INDEX(Dossiers!$G$4:$G$63,49)))</f>
        <v/>
      </c>
    </row>
    <row r="2584">
      <c r="A2584">
        <f>IF($B2584="","",INDEX(Dossiers!$E$4:$E$63,49))</f>
        <v/>
      </c>
      <c r="B2584">
        <f>IF(INDEX(Suivi!$B:$B,2633)="","",INDEX(Suivi!$B:$B,2633))</f>
        <v/>
      </c>
      <c r="C2584">
        <f>IF($B2584="","",IF(INDEX(Suivi!$D:$D,2633)="",INDEX(Suivi!$C:$C,2633),INDEX(Suivi!$D:$D,2633)))</f>
        <v/>
      </c>
      <c r="D2584" s="29">
        <f>IF($B2584="","",INDEX(Suivi!$E:$E,2633))</f>
        <v/>
      </c>
      <c r="E2584" s="29">
        <f>IF($B2584="","",INDEX(Suivi!$F:$F,2633))</f>
        <v/>
      </c>
      <c r="F2584">
        <f>IF($B2584="","",INDEX(Suivi!$G:$G,2633))</f>
        <v/>
      </c>
      <c r="H2584">
        <f>IF(OR($B2584="",NOT(ISNUMBER($D2584))),"",IF($E2584&lt;$D$2,"Passé",IF($D2584&gt;$F$2,"À venir","Dans la période")))</f>
        <v/>
      </c>
      <c r="I2584">
        <f>IF(OR($B2584="",NOT(ISNUMBER($D2584))),"",IF(AND($E2584&lt;$D$2,$G2584&lt;&gt;"X",$F2584&lt;&gt;"Réalisé",$F2584&lt;&gt;"Clôturé"),"RETARD",""))</f>
        <v/>
      </c>
      <c r="J2584" s="29">
        <f>IF($B2584="","",IF(INDEX(Dossiers!$F$4:$F$63,49)="","",INDEX(Dossiers!$F$4:$F$63,49)))</f>
        <v/>
      </c>
      <c r="K2584" s="29">
        <f>IF($B2584="","",IF(INDEX(Dossiers!$G$4:$G$63,49)="","",INDEX(Dossiers!$G$4:$G$63,49)))</f>
        <v/>
      </c>
    </row>
    <row r="2585">
      <c r="A2585">
        <f>IF($B2585="","",INDEX(Dossiers!$E$4:$E$63,49))</f>
        <v/>
      </c>
      <c r="B2585">
        <f>IF(INDEX(Suivi!$B:$B,2634)="","",INDEX(Suivi!$B:$B,2634))</f>
        <v/>
      </c>
      <c r="C2585">
        <f>IF($B2585="","",IF(INDEX(Suivi!$D:$D,2634)="",INDEX(Suivi!$C:$C,2634),INDEX(Suivi!$D:$D,2634)))</f>
        <v/>
      </c>
      <c r="D2585" s="29">
        <f>IF($B2585="","",INDEX(Suivi!$E:$E,2634))</f>
        <v/>
      </c>
      <c r="E2585" s="29">
        <f>IF($B2585="","",INDEX(Suivi!$F:$F,2634))</f>
        <v/>
      </c>
      <c r="F2585">
        <f>IF($B2585="","",INDEX(Suivi!$G:$G,2634))</f>
        <v/>
      </c>
      <c r="H2585">
        <f>IF(OR($B2585="",NOT(ISNUMBER($D2585))),"",IF($E2585&lt;$D$2,"Passé",IF($D2585&gt;$F$2,"À venir","Dans la période")))</f>
        <v/>
      </c>
      <c r="I2585">
        <f>IF(OR($B2585="",NOT(ISNUMBER($D2585))),"",IF(AND($E2585&lt;$D$2,$G2585&lt;&gt;"X",$F2585&lt;&gt;"Réalisé",$F2585&lt;&gt;"Clôturé"),"RETARD",""))</f>
        <v/>
      </c>
      <c r="J2585" s="29">
        <f>IF($B2585="","",IF(INDEX(Dossiers!$F$4:$F$63,49)="","",INDEX(Dossiers!$F$4:$F$63,49)))</f>
        <v/>
      </c>
      <c r="K2585" s="29">
        <f>IF($B2585="","",IF(INDEX(Dossiers!$G$4:$G$63,49)="","",INDEX(Dossiers!$G$4:$G$63,49)))</f>
        <v/>
      </c>
    </row>
    <row r="2586">
      <c r="A2586">
        <f>IF($B2586="","",INDEX(Dossiers!$E$4:$E$63,49))</f>
        <v/>
      </c>
      <c r="B2586">
        <f>IF(INDEX(Suivi!$B:$B,2635)="","",INDEX(Suivi!$B:$B,2635))</f>
        <v/>
      </c>
      <c r="C2586">
        <f>IF($B2586="","",IF(INDEX(Suivi!$D:$D,2635)="",INDEX(Suivi!$C:$C,2635),INDEX(Suivi!$D:$D,2635)))</f>
        <v/>
      </c>
      <c r="D2586" s="29">
        <f>IF($B2586="","",INDEX(Suivi!$E:$E,2635))</f>
        <v/>
      </c>
      <c r="E2586" s="29">
        <f>IF($B2586="","",INDEX(Suivi!$F:$F,2635))</f>
        <v/>
      </c>
      <c r="F2586">
        <f>IF($B2586="","",INDEX(Suivi!$G:$G,2635))</f>
        <v/>
      </c>
      <c r="H2586">
        <f>IF(OR($B2586="",NOT(ISNUMBER($D2586))),"",IF($E2586&lt;$D$2,"Passé",IF($D2586&gt;$F$2,"À venir","Dans la période")))</f>
        <v/>
      </c>
      <c r="I2586">
        <f>IF(OR($B2586="",NOT(ISNUMBER($D2586))),"",IF(AND($E2586&lt;$D$2,$G2586&lt;&gt;"X",$F2586&lt;&gt;"Réalisé",$F2586&lt;&gt;"Clôturé"),"RETARD",""))</f>
        <v/>
      </c>
      <c r="J2586" s="29">
        <f>IF($B2586="","",IF(INDEX(Dossiers!$F$4:$F$63,49)="","",INDEX(Dossiers!$F$4:$F$63,49)))</f>
        <v/>
      </c>
      <c r="K2586" s="29">
        <f>IF($B2586="","",IF(INDEX(Dossiers!$G$4:$G$63,49)="","",INDEX(Dossiers!$G$4:$G$63,49)))</f>
        <v/>
      </c>
    </row>
    <row r="2587">
      <c r="A2587">
        <f>IF($B2587="","",INDEX(Dossiers!$E$4:$E$63,49))</f>
        <v/>
      </c>
      <c r="B2587">
        <f>IF(INDEX(Suivi!$B:$B,2636)="","",INDEX(Suivi!$B:$B,2636))</f>
        <v/>
      </c>
      <c r="C2587">
        <f>IF($B2587="","",IF(INDEX(Suivi!$D:$D,2636)="",INDEX(Suivi!$C:$C,2636),INDEX(Suivi!$D:$D,2636)))</f>
        <v/>
      </c>
      <c r="D2587" s="29">
        <f>IF($B2587="","",INDEX(Suivi!$E:$E,2636))</f>
        <v/>
      </c>
      <c r="E2587" s="29">
        <f>IF($B2587="","",INDEX(Suivi!$F:$F,2636))</f>
        <v/>
      </c>
      <c r="F2587">
        <f>IF($B2587="","",INDEX(Suivi!$G:$G,2636))</f>
        <v/>
      </c>
      <c r="H2587">
        <f>IF(OR($B2587="",NOT(ISNUMBER($D2587))),"",IF($E2587&lt;$D$2,"Passé",IF($D2587&gt;$F$2,"À venir","Dans la période")))</f>
        <v/>
      </c>
      <c r="I2587">
        <f>IF(OR($B2587="",NOT(ISNUMBER($D2587))),"",IF(AND($E2587&lt;$D$2,$G2587&lt;&gt;"X",$F2587&lt;&gt;"Réalisé",$F2587&lt;&gt;"Clôturé"),"RETARD",""))</f>
        <v/>
      </c>
      <c r="J2587" s="29">
        <f>IF($B2587="","",IF(INDEX(Dossiers!$F$4:$F$63,49)="","",INDEX(Dossiers!$F$4:$F$63,49)))</f>
        <v/>
      </c>
      <c r="K2587" s="29">
        <f>IF($B2587="","",IF(INDEX(Dossiers!$G$4:$G$63,49)="","",INDEX(Dossiers!$G$4:$G$63,49)))</f>
        <v/>
      </c>
    </row>
    <row r="2588">
      <c r="A2588">
        <f>IF($B2588="","",INDEX(Dossiers!$E$4:$E$63,49))</f>
        <v/>
      </c>
      <c r="B2588">
        <f>IF(INDEX(Suivi!$B:$B,2637)="","",INDEX(Suivi!$B:$B,2637))</f>
        <v/>
      </c>
      <c r="C2588">
        <f>IF($B2588="","",IF(INDEX(Suivi!$D:$D,2637)="",INDEX(Suivi!$C:$C,2637),INDEX(Suivi!$D:$D,2637)))</f>
        <v/>
      </c>
      <c r="D2588" s="29">
        <f>IF($B2588="","",INDEX(Suivi!$E:$E,2637))</f>
        <v/>
      </c>
      <c r="E2588" s="29">
        <f>IF($B2588="","",INDEX(Suivi!$F:$F,2637))</f>
        <v/>
      </c>
      <c r="F2588">
        <f>IF($B2588="","",INDEX(Suivi!$G:$G,2637))</f>
        <v/>
      </c>
      <c r="H2588">
        <f>IF(OR($B2588="",NOT(ISNUMBER($D2588))),"",IF($E2588&lt;$D$2,"Passé",IF($D2588&gt;$F$2,"À venir","Dans la période")))</f>
        <v/>
      </c>
      <c r="I2588">
        <f>IF(OR($B2588="",NOT(ISNUMBER($D2588))),"",IF(AND($E2588&lt;$D$2,$G2588&lt;&gt;"X",$F2588&lt;&gt;"Réalisé",$F2588&lt;&gt;"Clôturé"),"RETARD",""))</f>
        <v/>
      </c>
      <c r="J2588" s="29">
        <f>IF($B2588="","",IF(INDEX(Dossiers!$F$4:$F$63,49)="","",INDEX(Dossiers!$F$4:$F$63,49)))</f>
        <v/>
      </c>
      <c r="K2588" s="29">
        <f>IF($B2588="","",IF(INDEX(Dossiers!$G$4:$G$63,49)="","",INDEX(Dossiers!$G$4:$G$63,49)))</f>
        <v/>
      </c>
    </row>
    <row r="2589">
      <c r="A2589">
        <f>IF($B2589="","",INDEX(Dossiers!$E$4:$E$63,49))</f>
        <v/>
      </c>
      <c r="B2589">
        <f>IF(INDEX(Suivi!$B:$B,2638)="","",INDEX(Suivi!$B:$B,2638))</f>
        <v/>
      </c>
      <c r="C2589">
        <f>IF($B2589="","",IF(INDEX(Suivi!$D:$D,2638)="",INDEX(Suivi!$C:$C,2638),INDEX(Suivi!$D:$D,2638)))</f>
        <v/>
      </c>
      <c r="D2589" s="29">
        <f>IF($B2589="","",INDEX(Suivi!$E:$E,2638))</f>
        <v/>
      </c>
      <c r="E2589" s="29">
        <f>IF($B2589="","",INDEX(Suivi!$F:$F,2638))</f>
        <v/>
      </c>
      <c r="F2589">
        <f>IF($B2589="","",INDEX(Suivi!$G:$G,2638))</f>
        <v/>
      </c>
      <c r="H2589">
        <f>IF(OR($B2589="",NOT(ISNUMBER($D2589))),"",IF($E2589&lt;$D$2,"Passé",IF($D2589&gt;$F$2,"À venir","Dans la période")))</f>
        <v/>
      </c>
      <c r="I2589">
        <f>IF(OR($B2589="",NOT(ISNUMBER($D2589))),"",IF(AND($E2589&lt;$D$2,$G2589&lt;&gt;"X",$F2589&lt;&gt;"Réalisé",$F2589&lt;&gt;"Clôturé"),"RETARD",""))</f>
        <v/>
      </c>
      <c r="J2589" s="29">
        <f>IF($B2589="","",IF(INDEX(Dossiers!$F$4:$F$63,49)="","",INDEX(Dossiers!$F$4:$F$63,49)))</f>
        <v/>
      </c>
      <c r="K2589" s="29">
        <f>IF($B2589="","",IF(INDEX(Dossiers!$G$4:$G$63,49)="","",INDEX(Dossiers!$G$4:$G$63,49)))</f>
        <v/>
      </c>
    </row>
    <row r="2590">
      <c r="A2590">
        <f>IF($B2590="","",INDEX(Dossiers!$E$4:$E$63,49))</f>
        <v/>
      </c>
      <c r="B2590">
        <f>IF(INDEX(Suivi!$B:$B,2639)="","",INDEX(Suivi!$B:$B,2639))</f>
        <v/>
      </c>
      <c r="C2590">
        <f>IF($B2590="","",IF(INDEX(Suivi!$D:$D,2639)="",INDEX(Suivi!$C:$C,2639),INDEX(Suivi!$D:$D,2639)))</f>
        <v/>
      </c>
      <c r="D2590" s="29">
        <f>IF($B2590="","",INDEX(Suivi!$E:$E,2639))</f>
        <v/>
      </c>
      <c r="E2590" s="29">
        <f>IF($B2590="","",INDEX(Suivi!$F:$F,2639))</f>
        <v/>
      </c>
      <c r="F2590">
        <f>IF($B2590="","",INDEX(Suivi!$G:$G,2639))</f>
        <v/>
      </c>
      <c r="H2590">
        <f>IF(OR($B2590="",NOT(ISNUMBER($D2590))),"",IF($E2590&lt;$D$2,"Passé",IF($D2590&gt;$F$2,"À venir","Dans la période")))</f>
        <v/>
      </c>
      <c r="I2590">
        <f>IF(OR($B2590="",NOT(ISNUMBER($D2590))),"",IF(AND($E2590&lt;$D$2,$G2590&lt;&gt;"X",$F2590&lt;&gt;"Réalisé",$F2590&lt;&gt;"Clôturé"),"RETARD",""))</f>
        <v/>
      </c>
      <c r="J2590" s="29">
        <f>IF($B2590="","",IF(INDEX(Dossiers!$F$4:$F$63,49)="","",INDEX(Dossiers!$F$4:$F$63,49)))</f>
        <v/>
      </c>
      <c r="K2590" s="29">
        <f>IF($B2590="","",IF(INDEX(Dossiers!$G$4:$G$63,49)="","",INDEX(Dossiers!$G$4:$G$63,49)))</f>
        <v/>
      </c>
    </row>
    <row r="2591">
      <c r="A2591">
        <f>IF($B2591="","",INDEX(Dossiers!$E$4:$E$63,49))</f>
        <v/>
      </c>
      <c r="B2591">
        <f>IF(INDEX(Suivi!$B:$B,2640)="","",INDEX(Suivi!$B:$B,2640))</f>
        <v/>
      </c>
      <c r="C2591">
        <f>IF($B2591="","",IF(INDEX(Suivi!$D:$D,2640)="",INDEX(Suivi!$C:$C,2640),INDEX(Suivi!$D:$D,2640)))</f>
        <v/>
      </c>
      <c r="D2591" s="29">
        <f>IF($B2591="","",INDEX(Suivi!$E:$E,2640))</f>
        <v/>
      </c>
      <c r="E2591" s="29">
        <f>IF($B2591="","",INDEX(Suivi!$F:$F,2640))</f>
        <v/>
      </c>
      <c r="F2591">
        <f>IF($B2591="","",INDEX(Suivi!$G:$G,2640))</f>
        <v/>
      </c>
      <c r="H2591">
        <f>IF(OR($B2591="",NOT(ISNUMBER($D2591))),"",IF($E2591&lt;$D$2,"Passé",IF($D2591&gt;$F$2,"À venir","Dans la période")))</f>
        <v/>
      </c>
      <c r="I2591">
        <f>IF(OR($B2591="",NOT(ISNUMBER($D2591))),"",IF(AND($E2591&lt;$D$2,$G2591&lt;&gt;"X",$F2591&lt;&gt;"Réalisé",$F2591&lt;&gt;"Clôturé"),"RETARD",""))</f>
        <v/>
      </c>
      <c r="J2591" s="29">
        <f>IF($B2591="","",IF(INDEX(Dossiers!$F$4:$F$63,49)="","",INDEX(Dossiers!$F$4:$F$63,49)))</f>
        <v/>
      </c>
      <c r="K2591" s="29">
        <f>IF($B2591="","",IF(INDEX(Dossiers!$G$4:$G$63,49)="","",INDEX(Dossiers!$G$4:$G$63,49)))</f>
        <v/>
      </c>
    </row>
    <row r="2592">
      <c r="A2592">
        <f>IF($B2592="","",INDEX(Dossiers!$E$4:$E$63,49))</f>
        <v/>
      </c>
      <c r="B2592">
        <f>IF(INDEX(Suivi!$B:$B,2641)="","",INDEX(Suivi!$B:$B,2641))</f>
        <v/>
      </c>
      <c r="C2592">
        <f>IF($B2592="","",IF(INDEX(Suivi!$D:$D,2641)="",INDEX(Suivi!$C:$C,2641),INDEX(Suivi!$D:$D,2641)))</f>
        <v/>
      </c>
      <c r="D2592" s="29">
        <f>IF($B2592="","",INDEX(Suivi!$E:$E,2641))</f>
        <v/>
      </c>
      <c r="E2592" s="29">
        <f>IF($B2592="","",INDEX(Suivi!$F:$F,2641))</f>
        <v/>
      </c>
      <c r="F2592">
        <f>IF($B2592="","",INDEX(Suivi!$G:$G,2641))</f>
        <v/>
      </c>
      <c r="H2592">
        <f>IF(OR($B2592="",NOT(ISNUMBER($D2592))),"",IF($E2592&lt;$D$2,"Passé",IF($D2592&gt;$F$2,"À venir","Dans la période")))</f>
        <v/>
      </c>
      <c r="I2592">
        <f>IF(OR($B2592="",NOT(ISNUMBER($D2592))),"",IF(AND($E2592&lt;$D$2,$G2592&lt;&gt;"X",$F2592&lt;&gt;"Réalisé",$F2592&lt;&gt;"Clôturé"),"RETARD",""))</f>
        <v/>
      </c>
      <c r="J2592" s="29">
        <f>IF($B2592="","",IF(INDEX(Dossiers!$F$4:$F$63,49)="","",INDEX(Dossiers!$F$4:$F$63,49)))</f>
        <v/>
      </c>
      <c r="K2592" s="29">
        <f>IF($B2592="","",IF(INDEX(Dossiers!$G$4:$G$63,49)="","",INDEX(Dossiers!$G$4:$G$63,49)))</f>
        <v/>
      </c>
    </row>
    <row r="2593">
      <c r="A2593">
        <f>IF($B2593="","",INDEX(Dossiers!$E$4:$E$63,49))</f>
        <v/>
      </c>
      <c r="B2593">
        <f>IF(INDEX(Suivi!$B:$B,2642)="","",INDEX(Suivi!$B:$B,2642))</f>
        <v/>
      </c>
      <c r="C2593">
        <f>IF($B2593="","",IF(INDEX(Suivi!$D:$D,2642)="",INDEX(Suivi!$C:$C,2642),INDEX(Suivi!$D:$D,2642)))</f>
        <v/>
      </c>
      <c r="D2593" s="29">
        <f>IF($B2593="","",INDEX(Suivi!$E:$E,2642))</f>
        <v/>
      </c>
      <c r="E2593" s="29">
        <f>IF($B2593="","",INDEX(Suivi!$F:$F,2642))</f>
        <v/>
      </c>
      <c r="F2593">
        <f>IF($B2593="","",INDEX(Suivi!$G:$G,2642))</f>
        <v/>
      </c>
      <c r="H2593">
        <f>IF(OR($B2593="",NOT(ISNUMBER($D2593))),"",IF($E2593&lt;$D$2,"Passé",IF($D2593&gt;$F$2,"À venir","Dans la période")))</f>
        <v/>
      </c>
      <c r="I2593">
        <f>IF(OR($B2593="",NOT(ISNUMBER($D2593))),"",IF(AND($E2593&lt;$D$2,$G2593&lt;&gt;"X",$F2593&lt;&gt;"Réalisé",$F2593&lt;&gt;"Clôturé"),"RETARD",""))</f>
        <v/>
      </c>
      <c r="J2593" s="29">
        <f>IF($B2593="","",IF(INDEX(Dossiers!$F$4:$F$63,49)="","",INDEX(Dossiers!$F$4:$F$63,49)))</f>
        <v/>
      </c>
      <c r="K2593" s="29">
        <f>IF($B2593="","",IF(INDEX(Dossiers!$G$4:$G$63,49)="","",INDEX(Dossiers!$G$4:$G$63,49)))</f>
        <v/>
      </c>
    </row>
    <row r="2594">
      <c r="A2594">
        <f>IF($B2594="","",INDEX(Dossiers!$E$4:$E$63,49))</f>
        <v/>
      </c>
      <c r="B2594">
        <f>IF(INDEX(Suivi!$B:$B,2643)="","",INDEX(Suivi!$B:$B,2643))</f>
        <v/>
      </c>
      <c r="C2594">
        <f>IF($B2594="","",IF(INDEX(Suivi!$D:$D,2643)="",INDEX(Suivi!$C:$C,2643),INDEX(Suivi!$D:$D,2643)))</f>
        <v/>
      </c>
      <c r="D2594" s="29">
        <f>IF($B2594="","",INDEX(Suivi!$E:$E,2643))</f>
        <v/>
      </c>
      <c r="E2594" s="29">
        <f>IF($B2594="","",INDEX(Suivi!$F:$F,2643))</f>
        <v/>
      </c>
      <c r="F2594">
        <f>IF($B2594="","",INDEX(Suivi!$G:$G,2643))</f>
        <v/>
      </c>
      <c r="H2594">
        <f>IF(OR($B2594="",NOT(ISNUMBER($D2594))),"",IF($E2594&lt;$D$2,"Passé",IF($D2594&gt;$F$2,"À venir","Dans la période")))</f>
        <v/>
      </c>
      <c r="I2594">
        <f>IF(OR($B2594="",NOT(ISNUMBER($D2594))),"",IF(AND($E2594&lt;$D$2,$G2594&lt;&gt;"X",$F2594&lt;&gt;"Réalisé",$F2594&lt;&gt;"Clôturé"),"RETARD",""))</f>
        <v/>
      </c>
      <c r="J2594" s="29">
        <f>IF($B2594="","",IF(INDEX(Dossiers!$F$4:$F$63,49)="","",INDEX(Dossiers!$F$4:$F$63,49)))</f>
        <v/>
      </c>
      <c r="K2594" s="29">
        <f>IF($B2594="","",IF(INDEX(Dossiers!$G$4:$G$63,49)="","",INDEX(Dossiers!$G$4:$G$63,49)))</f>
        <v/>
      </c>
    </row>
    <row r="2595">
      <c r="A2595">
        <f>IF($B2595="","",INDEX(Dossiers!$E$4:$E$63,49))</f>
        <v/>
      </c>
      <c r="B2595">
        <f>IF(INDEX(Suivi!$B:$B,2644)="","",INDEX(Suivi!$B:$B,2644))</f>
        <v/>
      </c>
      <c r="C2595">
        <f>IF($B2595="","",IF(INDEX(Suivi!$D:$D,2644)="",INDEX(Suivi!$C:$C,2644),INDEX(Suivi!$D:$D,2644)))</f>
        <v/>
      </c>
      <c r="D2595" s="29">
        <f>IF($B2595="","",INDEX(Suivi!$E:$E,2644))</f>
        <v/>
      </c>
      <c r="E2595" s="29">
        <f>IF($B2595="","",INDEX(Suivi!$F:$F,2644))</f>
        <v/>
      </c>
      <c r="F2595">
        <f>IF($B2595="","",INDEX(Suivi!$G:$G,2644))</f>
        <v/>
      </c>
      <c r="H2595">
        <f>IF(OR($B2595="",NOT(ISNUMBER($D2595))),"",IF($E2595&lt;$D$2,"Passé",IF($D2595&gt;$F$2,"À venir","Dans la période")))</f>
        <v/>
      </c>
      <c r="I2595">
        <f>IF(OR($B2595="",NOT(ISNUMBER($D2595))),"",IF(AND($E2595&lt;$D$2,$G2595&lt;&gt;"X",$F2595&lt;&gt;"Réalisé",$F2595&lt;&gt;"Clôturé"),"RETARD",""))</f>
        <v/>
      </c>
      <c r="J2595" s="29">
        <f>IF($B2595="","",IF(INDEX(Dossiers!$F$4:$F$63,49)="","",INDEX(Dossiers!$F$4:$F$63,49)))</f>
        <v/>
      </c>
      <c r="K2595" s="29">
        <f>IF($B2595="","",IF(INDEX(Dossiers!$G$4:$G$63,49)="","",INDEX(Dossiers!$G$4:$G$63,49)))</f>
        <v/>
      </c>
    </row>
    <row r="2596">
      <c r="A2596">
        <f>IF($B2596="","",INDEX(Dossiers!$E$4:$E$63,49))</f>
        <v/>
      </c>
      <c r="B2596">
        <f>IF(INDEX(Suivi!$B:$B,2645)="","",INDEX(Suivi!$B:$B,2645))</f>
        <v/>
      </c>
      <c r="C2596">
        <f>IF($B2596="","",IF(INDEX(Suivi!$D:$D,2645)="",INDEX(Suivi!$C:$C,2645),INDEX(Suivi!$D:$D,2645)))</f>
        <v/>
      </c>
      <c r="D2596" s="29">
        <f>IF($B2596="","",INDEX(Suivi!$E:$E,2645))</f>
        <v/>
      </c>
      <c r="E2596" s="29">
        <f>IF($B2596="","",INDEX(Suivi!$F:$F,2645))</f>
        <v/>
      </c>
      <c r="F2596">
        <f>IF($B2596="","",INDEX(Suivi!$G:$G,2645))</f>
        <v/>
      </c>
      <c r="H2596">
        <f>IF(OR($B2596="",NOT(ISNUMBER($D2596))),"",IF($E2596&lt;$D$2,"Passé",IF($D2596&gt;$F$2,"À venir","Dans la période")))</f>
        <v/>
      </c>
      <c r="I2596">
        <f>IF(OR($B2596="",NOT(ISNUMBER($D2596))),"",IF(AND($E2596&lt;$D$2,$G2596&lt;&gt;"X",$F2596&lt;&gt;"Réalisé",$F2596&lt;&gt;"Clôturé"),"RETARD",""))</f>
        <v/>
      </c>
      <c r="J2596" s="29">
        <f>IF($B2596="","",IF(INDEX(Dossiers!$F$4:$F$63,49)="","",INDEX(Dossiers!$F$4:$F$63,49)))</f>
        <v/>
      </c>
      <c r="K2596" s="29">
        <f>IF($B2596="","",IF(INDEX(Dossiers!$G$4:$G$63,49)="","",INDEX(Dossiers!$G$4:$G$63,49)))</f>
        <v/>
      </c>
    </row>
    <row r="2597">
      <c r="A2597">
        <f>IF($B2597="","",INDEX(Dossiers!$E$4:$E$63,49))</f>
        <v/>
      </c>
      <c r="B2597">
        <f>IF(INDEX(Suivi!$B:$B,2646)="","",INDEX(Suivi!$B:$B,2646))</f>
        <v/>
      </c>
      <c r="C2597">
        <f>IF($B2597="","",IF(INDEX(Suivi!$D:$D,2646)="",INDEX(Suivi!$C:$C,2646),INDEX(Suivi!$D:$D,2646)))</f>
        <v/>
      </c>
      <c r="D2597" s="29">
        <f>IF($B2597="","",INDEX(Suivi!$E:$E,2646))</f>
        <v/>
      </c>
      <c r="E2597" s="29">
        <f>IF($B2597="","",INDEX(Suivi!$F:$F,2646))</f>
        <v/>
      </c>
      <c r="F2597">
        <f>IF($B2597="","",INDEX(Suivi!$G:$G,2646))</f>
        <v/>
      </c>
      <c r="H2597">
        <f>IF(OR($B2597="",NOT(ISNUMBER($D2597))),"",IF($E2597&lt;$D$2,"Passé",IF($D2597&gt;$F$2,"À venir","Dans la période")))</f>
        <v/>
      </c>
      <c r="I2597">
        <f>IF(OR($B2597="",NOT(ISNUMBER($D2597))),"",IF(AND($E2597&lt;$D$2,$G2597&lt;&gt;"X",$F2597&lt;&gt;"Réalisé",$F2597&lt;&gt;"Clôturé"),"RETARD",""))</f>
        <v/>
      </c>
      <c r="J2597" s="29">
        <f>IF($B2597="","",IF(INDEX(Dossiers!$F$4:$F$63,49)="","",INDEX(Dossiers!$F$4:$F$63,49)))</f>
        <v/>
      </c>
      <c r="K2597" s="29">
        <f>IF($B2597="","",IF(INDEX(Dossiers!$G$4:$G$63,49)="","",INDEX(Dossiers!$G$4:$G$63,49)))</f>
        <v/>
      </c>
    </row>
    <row r="2598">
      <c r="A2598">
        <f>IF($B2598="","",INDEX(Dossiers!$E$4:$E$63,49))</f>
        <v/>
      </c>
      <c r="B2598">
        <f>IF(INDEX(Suivi!$B:$B,2647)="","",INDEX(Suivi!$B:$B,2647))</f>
        <v/>
      </c>
      <c r="C2598">
        <f>IF($B2598="","",IF(INDEX(Suivi!$D:$D,2647)="",INDEX(Suivi!$C:$C,2647),INDEX(Suivi!$D:$D,2647)))</f>
        <v/>
      </c>
      <c r="D2598" s="29">
        <f>IF($B2598="","",INDEX(Suivi!$E:$E,2647))</f>
        <v/>
      </c>
      <c r="E2598" s="29">
        <f>IF($B2598="","",INDEX(Suivi!$F:$F,2647))</f>
        <v/>
      </c>
      <c r="F2598">
        <f>IF($B2598="","",INDEX(Suivi!$G:$G,2647))</f>
        <v/>
      </c>
      <c r="H2598">
        <f>IF(OR($B2598="",NOT(ISNUMBER($D2598))),"",IF($E2598&lt;$D$2,"Passé",IF($D2598&gt;$F$2,"À venir","Dans la période")))</f>
        <v/>
      </c>
      <c r="I2598">
        <f>IF(OR($B2598="",NOT(ISNUMBER($D2598))),"",IF(AND($E2598&lt;$D$2,$G2598&lt;&gt;"X",$F2598&lt;&gt;"Réalisé",$F2598&lt;&gt;"Clôturé"),"RETARD",""))</f>
        <v/>
      </c>
      <c r="J2598" s="29">
        <f>IF($B2598="","",IF(INDEX(Dossiers!$F$4:$F$63,49)="","",INDEX(Dossiers!$F$4:$F$63,49)))</f>
        <v/>
      </c>
      <c r="K2598" s="29">
        <f>IF($B2598="","",IF(INDEX(Dossiers!$G$4:$G$63,49)="","",INDEX(Dossiers!$G$4:$G$63,49)))</f>
        <v/>
      </c>
    </row>
    <row r="2599">
      <c r="A2599">
        <f>IF($B2599="","",INDEX(Dossiers!$E$4:$E$63,49))</f>
        <v/>
      </c>
      <c r="B2599">
        <f>IF(INDEX(Suivi!$B:$B,2648)="","",INDEX(Suivi!$B:$B,2648))</f>
        <v/>
      </c>
      <c r="C2599">
        <f>IF($B2599="","",IF(INDEX(Suivi!$D:$D,2648)="",INDEX(Suivi!$C:$C,2648),INDEX(Suivi!$D:$D,2648)))</f>
        <v/>
      </c>
      <c r="D2599" s="29">
        <f>IF($B2599="","",INDEX(Suivi!$E:$E,2648))</f>
        <v/>
      </c>
      <c r="E2599" s="29">
        <f>IF($B2599="","",INDEX(Suivi!$F:$F,2648))</f>
        <v/>
      </c>
      <c r="F2599">
        <f>IF($B2599="","",INDEX(Suivi!$G:$G,2648))</f>
        <v/>
      </c>
      <c r="H2599">
        <f>IF(OR($B2599="",NOT(ISNUMBER($D2599))),"",IF($E2599&lt;$D$2,"Passé",IF($D2599&gt;$F$2,"À venir","Dans la période")))</f>
        <v/>
      </c>
      <c r="I2599">
        <f>IF(OR($B2599="",NOT(ISNUMBER($D2599))),"",IF(AND($E2599&lt;$D$2,$G2599&lt;&gt;"X",$F2599&lt;&gt;"Réalisé",$F2599&lt;&gt;"Clôturé"),"RETARD",""))</f>
        <v/>
      </c>
      <c r="J2599" s="29">
        <f>IF($B2599="","",IF(INDEX(Dossiers!$F$4:$F$63,49)="","",INDEX(Dossiers!$F$4:$F$63,49)))</f>
        <v/>
      </c>
      <c r="K2599" s="29">
        <f>IF($B2599="","",IF(INDEX(Dossiers!$G$4:$G$63,49)="","",INDEX(Dossiers!$G$4:$G$63,49)))</f>
        <v/>
      </c>
    </row>
    <row r="2600">
      <c r="A2600">
        <f>IF($B2600="","",INDEX(Dossiers!$E$4:$E$63,49))</f>
        <v/>
      </c>
      <c r="B2600">
        <f>IF(INDEX(Suivi!$B:$B,2649)="","",INDEX(Suivi!$B:$B,2649))</f>
        <v/>
      </c>
      <c r="C2600">
        <f>IF($B2600="","",IF(INDEX(Suivi!$D:$D,2649)="",INDEX(Suivi!$C:$C,2649),INDEX(Suivi!$D:$D,2649)))</f>
        <v/>
      </c>
      <c r="D2600" s="29">
        <f>IF($B2600="","",INDEX(Suivi!$E:$E,2649))</f>
        <v/>
      </c>
      <c r="E2600" s="29">
        <f>IF($B2600="","",INDEX(Suivi!$F:$F,2649))</f>
        <v/>
      </c>
      <c r="F2600">
        <f>IF($B2600="","",INDEX(Suivi!$G:$G,2649))</f>
        <v/>
      </c>
      <c r="H2600">
        <f>IF(OR($B2600="",NOT(ISNUMBER($D2600))),"",IF($E2600&lt;$D$2,"Passé",IF($D2600&gt;$F$2,"À venir","Dans la période")))</f>
        <v/>
      </c>
      <c r="I2600">
        <f>IF(OR($B2600="",NOT(ISNUMBER($D2600))),"",IF(AND($E2600&lt;$D$2,$G2600&lt;&gt;"X",$F2600&lt;&gt;"Réalisé",$F2600&lt;&gt;"Clôturé"),"RETARD",""))</f>
        <v/>
      </c>
      <c r="J2600" s="29">
        <f>IF($B2600="","",IF(INDEX(Dossiers!$F$4:$F$63,49)="","",INDEX(Dossiers!$F$4:$F$63,49)))</f>
        <v/>
      </c>
      <c r="K2600" s="29">
        <f>IF($B2600="","",IF(INDEX(Dossiers!$G$4:$G$63,49)="","",INDEX(Dossiers!$G$4:$G$63,49)))</f>
        <v/>
      </c>
    </row>
    <row r="2601">
      <c r="A2601">
        <f>IF($B2601="","",INDEX(Dossiers!$E$4:$E$63,50))</f>
        <v/>
      </c>
      <c r="B2601">
        <f>IF(INDEX(Suivi!$B:$B,2651)="","",INDEX(Suivi!$B:$B,2651))</f>
        <v/>
      </c>
      <c r="C2601">
        <f>IF($B2601="","",IF(INDEX(Suivi!$D:$D,2651)="",INDEX(Suivi!$C:$C,2651),INDEX(Suivi!$D:$D,2651)))</f>
        <v/>
      </c>
      <c r="D2601" s="29">
        <f>IF($B2601="","",INDEX(Suivi!$E:$E,2651))</f>
        <v/>
      </c>
      <c r="E2601" s="29">
        <f>IF($B2601="","",INDEX(Suivi!$F:$F,2651))</f>
        <v/>
      </c>
      <c r="F2601">
        <f>IF($B2601="","",INDEX(Suivi!$G:$G,2651))</f>
        <v/>
      </c>
      <c r="H2601">
        <f>IF(OR($B2601="",NOT(ISNUMBER($D2601))),"",IF($E2601&lt;$D$2,"Passé",IF($D2601&gt;$F$2,"À venir","Dans la période")))</f>
        <v/>
      </c>
      <c r="I2601">
        <f>IF(OR($B2601="",NOT(ISNUMBER($D2601))),"",IF(AND($E2601&lt;$D$2,$G2601&lt;&gt;"X",$F2601&lt;&gt;"Réalisé",$F2601&lt;&gt;"Clôturé"),"RETARD",""))</f>
        <v/>
      </c>
      <c r="J2601" s="29">
        <f>IF($B2601="","",IF(INDEX(Dossiers!$F$4:$F$63,50)="","",INDEX(Dossiers!$F$4:$F$63,50)))</f>
        <v/>
      </c>
      <c r="K2601" s="29">
        <f>IF($B2601="","",IF(INDEX(Dossiers!$G$4:$G$63,50)="","",INDEX(Dossiers!$G$4:$G$63,50)))</f>
        <v/>
      </c>
    </row>
    <row r="2602">
      <c r="A2602">
        <f>IF($B2602="","",INDEX(Dossiers!$E$4:$E$63,50))</f>
        <v/>
      </c>
      <c r="B2602">
        <f>IF(INDEX(Suivi!$B:$B,2652)="","",INDEX(Suivi!$B:$B,2652))</f>
        <v/>
      </c>
      <c r="C2602">
        <f>IF($B2602="","",IF(INDEX(Suivi!$D:$D,2652)="",INDEX(Suivi!$C:$C,2652),INDEX(Suivi!$D:$D,2652)))</f>
        <v/>
      </c>
      <c r="D2602" s="29">
        <f>IF($B2602="","",INDEX(Suivi!$E:$E,2652))</f>
        <v/>
      </c>
      <c r="E2602" s="29">
        <f>IF($B2602="","",INDEX(Suivi!$F:$F,2652))</f>
        <v/>
      </c>
      <c r="F2602">
        <f>IF($B2602="","",INDEX(Suivi!$G:$G,2652))</f>
        <v/>
      </c>
      <c r="H2602">
        <f>IF(OR($B2602="",NOT(ISNUMBER($D2602))),"",IF($E2602&lt;$D$2,"Passé",IF($D2602&gt;$F$2,"À venir","Dans la période")))</f>
        <v/>
      </c>
      <c r="I2602">
        <f>IF(OR($B2602="",NOT(ISNUMBER($D2602))),"",IF(AND($E2602&lt;$D$2,$G2602&lt;&gt;"X",$F2602&lt;&gt;"Réalisé",$F2602&lt;&gt;"Clôturé"),"RETARD",""))</f>
        <v/>
      </c>
      <c r="J2602" s="29">
        <f>IF($B2602="","",IF(INDEX(Dossiers!$F$4:$F$63,50)="","",INDEX(Dossiers!$F$4:$F$63,50)))</f>
        <v/>
      </c>
      <c r="K2602" s="29">
        <f>IF($B2602="","",IF(INDEX(Dossiers!$G$4:$G$63,50)="","",INDEX(Dossiers!$G$4:$G$63,50)))</f>
        <v/>
      </c>
    </row>
    <row r="2603">
      <c r="A2603">
        <f>IF($B2603="","",INDEX(Dossiers!$E$4:$E$63,50))</f>
        <v/>
      </c>
      <c r="B2603">
        <f>IF(INDEX(Suivi!$B:$B,2653)="","",INDEX(Suivi!$B:$B,2653))</f>
        <v/>
      </c>
      <c r="C2603">
        <f>IF($B2603="","",IF(INDEX(Suivi!$D:$D,2653)="",INDEX(Suivi!$C:$C,2653),INDEX(Suivi!$D:$D,2653)))</f>
        <v/>
      </c>
      <c r="D2603" s="29">
        <f>IF($B2603="","",INDEX(Suivi!$E:$E,2653))</f>
        <v/>
      </c>
      <c r="E2603" s="29">
        <f>IF($B2603="","",INDEX(Suivi!$F:$F,2653))</f>
        <v/>
      </c>
      <c r="F2603">
        <f>IF($B2603="","",INDEX(Suivi!$G:$G,2653))</f>
        <v/>
      </c>
      <c r="H2603">
        <f>IF(OR($B2603="",NOT(ISNUMBER($D2603))),"",IF($E2603&lt;$D$2,"Passé",IF($D2603&gt;$F$2,"À venir","Dans la période")))</f>
        <v/>
      </c>
      <c r="I2603">
        <f>IF(OR($B2603="",NOT(ISNUMBER($D2603))),"",IF(AND($E2603&lt;$D$2,$G2603&lt;&gt;"X",$F2603&lt;&gt;"Réalisé",$F2603&lt;&gt;"Clôturé"),"RETARD",""))</f>
        <v/>
      </c>
      <c r="J2603" s="29">
        <f>IF($B2603="","",IF(INDEX(Dossiers!$F$4:$F$63,50)="","",INDEX(Dossiers!$F$4:$F$63,50)))</f>
        <v/>
      </c>
      <c r="K2603" s="29">
        <f>IF($B2603="","",IF(INDEX(Dossiers!$G$4:$G$63,50)="","",INDEX(Dossiers!$G$4:$G$63,50)))</f>
        <v/>
      </c>
    </row>
    <row r="2604">
      <c r="A2604">
        <f>IF($B2604="","",INDEX(Dossiers!$E$4:$E$63,50))</f>
        <v/>
      </c>
      <c r="B2604">
        <f>IF(INDEX(Suivi!$B:$B,2654)="","",INDEX(Suivi!$B:$B,2654))</f>
        <v/>
      </c>
      <c r="C2604">
        <f>IF($B2604="","",IF(INDEX(Suivi!$D:$D,2654)="",INDEX(Suivi!$C:$C,2654),INDEX(Suivi!$D:$D,2654)))</f>
        <v/>
      </c>
      <c r="D2604" s="29">
        <f>IF($B2604="","",INDEX(Suivi!$E:$E,2654))</f>
        <v/>
      </c>
      <c r="E2604" s="29">
        <f>IF($B2604="","",INDEX(Suivi!$F:$F,2654))</f>
        <v/>
      </c>
      <c r="F2604">
        <f>IF($B2604="","",INDEX(Suivi!$G:$G,2654))</f>
        <v/>
      </c>
      <c r="H2604">
        <f>IF(OR($B2604="",NOT(ISNUMBER($D2604))),"",IF($E2604&lt;$D$2,"Passé",IF($D2604&gt;$F$2,"À venir","Dans la période")))</f>
        <v/>
      </c>
      <c r="I2604">
        <f>IF(OR($B2604="",NOT(ISNUMBER($D2604))),"",IF(AND($E2604&lt;$D$2,$G2604&lt;&gt;"X",$F2604&lt;&gt;"Réalisé",$F2604&lt;&gt;"Clôturé"),"RETARD",""))</f>
        <v/>
      </c>
      <c r="J2604" s="29">
        <f>IF($B2604="","",IF(INDEX(Dossiers!$F$4:$F$63,50)="","",INDEX(Dossiers!$F$4:$F$63,50)))</f>
        <v/>
      </c>
      <c r="K2604" s="29">
        <f>IF($B2604="","",IF(INDEX(Dossiers!$G$4:$G$63,50)="","",INDEX(Dossiers!$G$4:$G$63,50)))</f>
        <v/>
      </c>
    </row>
    <row r="2605">
      <c r="A2605">
        <f>IF($B2605="","",INDEX(Dossiers!$E$4:$E$63,50))</f>
        <v/>
      </c>
      <c r="B2605">
        <f>IF(INDEX(Suivi!$B:$B,2655)="","",INDEX(Suivi!$B:$B,2655))</f>
        <v/>
      </c>
      <c r="C2605">
        <f>IF($B2605="","",IF(INDEX(Suivi!$D:$D,2655)="",INDEX(Suivi!$C:$C,2655),INDEX(Suivi!$D:$D,2655)))</f>
        <v/>
      </c>
      <c r="D2605" s="29">
        <f>IF($B2605="","",INDEX(Suivi!$E:$E,2655))</f>
        <v/>
      </c>
      <c r="E2605" s="29">
        <f>IF($B2605="","",INDEX(Suivi!$F:$F,2655))</f>
        <v/>
      </c>
      <c r="F2605">
        <f>IF($B2605="","",INDEX(Suivi!$G:$G,2655))</f>
        <v/>
      </c>
      <c r="H2605">
        <f>IF(OR($B2605="",NOT(ISNUMBER($D2605))),"",IF($E2605&lt;$D$2,"Passé",IF($D2605&gt;$F$2,"À venir","Dans la période")))</f>
        <v/>
      </c>
      <c r="I2605">
        <f>IF(OR($B2605="",NOT(ISNUMBER($D2605))),"",IF(AND($E2605&lt;$D$2,$G2605&lt;&gt;"X",$F2605&lt;&gt;"Réalisé",$F2605&lt;&gt;"Clôturé"),"RETARD",""))</f>
        <v/>
      </c>
      <c r="J2605" s="29">
        <f>IF($B2605="","",IF(INDEX(Dossiers!$F$4:$F$63,50)="","",INDEX(Dossiers!$F$4:$F$63,50)))</f>
        <v/>
      </c>
      <c r="K2605" s="29">
        <f>IF($B2605="","",IF(INDEX(Dossiers!$G$4:$G$63,50)="","",INDEX(Dossiers!$G$4:$G$63,50)))</f>
        <v/>
      </c>
    </row>
    <row r="2606">
      <c r="A2606">
        <f>IF($B2606="","",INDEX(Dossiers!$E$4:$E$63,50))</f>
        <v/>
      </c>
      <c r="B2606">
        <f>IF(INDEX(Suivi!$B:$B,2656)="","",INDEX(Suivi!$B:$B,2656))</f>
        <v/>
      </c>
      <c r="C2606">
        <f>IF($B2606="","",IF(INDEX(Suivi!$D:$D,2656)="",INDEX(Suivi!$C:$C,2656),INDEX(Suivi!$D:$D,2656)))</f>
        <v/>
      </c>
      <c r="D2606" s="29">
        <f>IF($B2606="","",INDEX(Suivi!$E:$E,2656))</f>
        <v/>
      </c>
      <c r="E2606" s="29">
        <f>IF($B2606="","",INDEX(Suivi!$F:$F,2656))</f>
        <v/>
      </c>
      <c r="F2606">
        <f>IF($B2606="","",INDEX(Suivi!$G:$G,2656))</f>
        <v/>
      </c>
      <c r="H2606">
        <f>IF(OR($B2606="",NOT(ISNUMBER($D2606))),"",IF($E2606&lt;$D$2,"Passé",IF($D2606&gt;$F$2,"À venir","Dans la période")))</f>
        <v/>
      </c>
      <c r="I2606">
        <f>IF(OR($B2606="",NOT(ISNUMBER($D2606))),"",IF(AND($E2606&lt;$D$2,$G2606&lt;&gt;"X",$F2606&lt;&gt;"Réalisé",$F2606&lt;&gt;"Clôturé"),"RETARD",""))</f>
        <v/>
      </c>
      <c r="J2606" s="29">
        <f>IF($B2606="","",IF(INDEX(Dossiers!$F$4:$F$63,50)="","",INDEX(Dossiers!$F$4:$F$63,50)))</f>
        <v/>
      </c>
      <c r="K2606" s="29">
        <f>IF($B2606="","",IF(INDEX(Dossiers!$G$4:$G$63,50)="","",INDEX(Dossiers!$G$4:$G$63,50)))</f>
        <v/>
      </c>
    </row>
    <row r="2607">
      <c r="A2607">
        <f>IF($B2607="","",INDEX(Dossiers!$E$4:$E$63,50))</f>
        <v/>
      </c>
      <c r="B2607">
        <f>IF(INDEX(Suivi!$B:$B,2657)="","",INDEX(Suivi!$B:$B,2657))</f>
        <v/>
      </c>
      <c r="C2607">
        <f>IF($B2607="","",IF(INDEX(Suivi!$D:$D,2657)="",INDEX(Suivi!$C:$C,2657),INDEX(Suivi!$D:$D,2657)))</f>
        <v/>
      </c>
      <c r="D2607" s="29">
        <f>IF($B2607="","",INDEX(Suivi!$E:$E,2657))</f>
        <v/>
      </c>
      <c r="E2607" s="29">
        <f>IF($B2607="","",INDEX(Suivi!$F:$F,2657))</f>
        <v/>
      </c>
      <c r="F2607">
        <f>IF($B2607="","",INDEX(Suivi!$G:$G,2657))</f>
        <v/>
      </c>
      <c r="H2607">
        <f>IF(OR($B2607="",NOT(ISNUMBER($D2607))),"",IF($E2607&lt;$D$2,"Passé",IF($D2607&gt;$F$2,"À venir","Dans la période")))</f>
        <v/>
      </c>
      <c r="I2607">
        <f>IF(OR($B2607="",NOT(ISNUMBER($D2607))),"",IF(AND($E2607&lt;$D$2,$G2607&lt;&gt;"X",$F2607&lt;&gt;"Réalisé",$F2607&lt;&gt;"Clôturé"),"RETARD",""))</f>
        <v/>
      </c>
      <c r="J2607" s="29">
        <f>IF($B2607="","",IF(INDEX(Dossiers!$F$4:$F$63,50)="","",INDEX(Dossiers!$F$4:$F$63,50)))</f>
        <v/>
      </c>
      <c r="K2607" s="29">
        <f>IF($B2607="","",IF(INDEX(Dossiers!$G$4:$G$63,50)="","",INDEX(Dossiers!$G$4:$G$63,50)))</f>
        <v/>
      </c>
    </row>
    <row r="2608">
      <c r="A2608">
        <f>IF($B2608="","",INDEX(Dossiers!$E$4:$E$63,50))</f>
        <v/>
      </c>
      <c r="B2608">
        <f>IF(INDEX(Suivi!$B:$B,2658)="","",INDEX(Suivi!$B:$B,2658))</f>
        <v/>
      </c>
      <c r="C2608">
        <f>IF($B2608="","",IF(INDEX(Suivi!$D:$D,2658)="",INDEX(Suivi!$C:$C,2658),INDEX(Suivi!$D:$D,2658)))</f>
        <v/>
      </c>
      <c r="D2608" s="29">
        <f>IF($B2608="","",INDEX(Suivi!$E:$E,2658))</f>
        <v/>
      </c>
      <c r="E2608" s="29">
        <f>IF($B2608="","",INDEX(Suivi!$F:$F,2658))</f>
        <v/>
      </c>
      <c r="F2608">
        <f>IF($B2608="","",INDEX(Suivi!$G:$G,2658))</f>
        <v/>
      </c>
      <c r="H2608">
        <f>IF(OR($B2608="",NOT(ISNUMBER($D2608))),"",IF($E2608&lt;$D$2,"Passé",IF($D2608&gt;$F$2,"À venir","Dans la période")))</f>
        <v/>
      </c>
      <c r="I2608">
        <f>IF(OR($B2608="",NOT(ISNUMBER($D2608))),"",IF(AND($E2608&lt;$D$2,$G2608&lt;&gt;"X",$F2608&lt;&gt;"Réalisé",$F2608&lt;&gt;"Clôturé"),"RETARD",""))</f>
        <v/>
      </c>
      <c r="J2608" s="29">
        <f>IF($B2608="","",IF(INDEX(Dossiers!$F$4:$F$63,50)="","",INDEX(Dossiers!$F$4:$F$63,50)))</f>
        <v/>
      </c>
      <c r="K2608" s="29">
        <f>IF($B2608="","",IF(INDEX(Dossiers!$G$4:$G$63,50)="","",INDEX(Dossiers!$G$4:$G$63,50)))</f>
        <v/>
      </c>
    </row>
    <row r="2609">
      <c r="A2609">
        <f>IF($B2609="","",INDEX(Dossiers!$E$4:$E$63,50))</f>
        <v/>
      </c>
      <c r="B2609">
        <f>IF(INDEX(Suivi!$B:$B,2659)="","",INDEX(Suivi!$B:$B,2659))</f>
        <v/>
      </c>
      <c r="C2609">
        <f>IF($B2609="","",IF(INDEX(Suivi!$D:$D,2659)="",INDEX(Suivi!$C:$C,2659),INDEX(Suivi!$D:$D,2659)))</f>
        <v/>
      </c>
      <c r="D2609" s="29">
        <f>IF($B2609="","",INDEX(Suivi!$E:$E,2659))</f>
        <v/>
      </c>
      <c r="E2609" s="29">
        <f>IF($B2609="","",INDEX(Suivi!$F:$F,2659))</f>
        <v/>
      </c>
      <c r="F2609">
        <f>IF($B2609="","",INDEX(Suivi!$G:$G,2659))</f>
        <v/>
      </c>
      <c r="H2609">
        <f>IF(OR($B2609="",NOT(ISNUMBER($D2609))),"",IF($E2609&lt;$D$2,"Passé",IF($D2609&gt;$F$2,"À venir","Dans la période")))</f>
        <v/>
      </c>
      <c r="I2609">
        <f>IF(OR($B2609="",NOT(ISNUMBER($D2609))),"",IF(AND($E2609&lt;$D$2,$G2609&lt;&gt;"X",$F2609&lt;&gt;"Réalisé",$F2609&lt;&gt;"Clôturé"),"RETARD",""))</f>
        <v/>
      </c>
      <c r="J2609" s="29">
        <f>IF($B2609="","",IF(INDEX(Dossiers!$F$4:$F$63,50)="","",INDEX(Dossiers!$F$4:$F$63,50)))</f>
        <v/>
      </c>
      <c r="K2609" s="29">
        <f>IF($B2609="","",IF(INDEX(Dossiers!$G$4:$G$63,50)="","",INDEX(Dossiers!$G$4:$G$63,50)))</f>
        <v/>
      </c>
    </row>
    <row r="2610">
      <c r="A2610">
        <f>IF($B2610="","",INDEX(Dossiers!$E$4:$E$63,50))</f>
        <v/>
      </c>
      <c r="B2610">
        <f>IF(INDEX(Suivi!$B:$B,2660)="","",INDEX(Suivi!$B:$B,2660))</f>
        <v/>
      </c>
      <c r="C2610">
        <f>IF($B2610="","",IF(INDEX(Suivi!$D:$D,2660)="",INDEX(Suivi!$C:$C,2660),INDEX(Suivi!$D:$D,2660)))</f>
        <v/>
      </c>
      <c r="D2610" s="29">
        <f>IF($B2610="","",INDEX(Suivi!$E:$E,2660))</f>
        <v/>
      </c>
      <c r="E2610" s="29">
        <f>IF($B2610="","",INDEX(Suivi!$F:$F,2660))</f>
        <v/>
      </c>
      <c r="F2610">
        <f>IF($B2610="","",INDEX(Suivi!$G:$G,2660))</f>
        <v/>
      </c>
      <c r="H2610">
        <f>IF(OR($B2610="",NOT(ISNUMBER($D2610))),"",IF($E2610&lt;$D$2,"Passé",IF($D2610&gt;$F$2,"À venir","Dans la période")))</f>
        <v/>
      </c>
      <c r="I2610">
        <f>IF(OR($B2610="",NOT(ISNUMBER($D2610))),"",IF(AND($E2610&lt;$D$2,$G2610&lt;&gt;"X",$F2610&lt;&gt;"Réalisé",$F2610&lt;&gt;"Clôturé"),"RETARD",""))</f>
        <v/>
      </c>
      <c r="J2610" s="29">
        <f>IF($B2610="","",IF(INDEX(Dossiers!$F$4:$F$63,50)="","",INDEX(Dossiers!$F$4:$F$63,50)))</f>
        <v/>
      </c>
      <c r="K2610" s="29">
        <f>IF($B2610="","",IF(INDEX(Dossiers!$G$4:$G$63,50)="","",INDEX(Dossiers!$G$4:$G$63,50)))</f>
        <v/>
      </c>
    </row>
    <row r="2611">
      <c r="A2611">
        <f>IF($B2611="","",INDEX(Dossiers!$E$4:$E$63,50))</f>
        <v/>
      </c>
      <c r="B2611">
        <f>IF(INDEX(Suivi!$B:$B,2661)="","",INDEX(Suivi!$B:$B,2661))</f>
        <v/>
      </c>
      <c r="C2611">
        <f>IF($B2611="","",IF(INDEX(Suivi!$D:$D,2661)="",INDEX(Suivi!$C:$C,2661),INDEX(Suivi!$D:$D,2661)))</f>
        <v/>
      </c>
      <c r="D2611" s="29">
        <f>IF($B2611="","",INDEX(Suivi!$E:$E,2661))</f>
        <v/>
      </c>
      <c r="E2611" s="29">
        <f>IF($B2611="","",INDEX(Suivi!$F:$F,2661))</f>
        <v/>
      </c>
      <c r="F2611">
        <f>IF($B2611="","",INDEX(Suivi!$G:$G,2661))</f>
        <v/>
      </c>
      <c r="H2611">
        <f>IF(OR($B2611="",NOT(ISNUMBER($D2611))),"",IF($E2611&lt;$D$2,"Passé",IF($D2611&gt;$F$2,"À venir","Dans la période")))</f>
        <v/>
      </c>
      <c r="I2611">
        <f>IF(OR($B2611="",NOT(ISNUMBER($D2611))),"",IF(AND($E2611&lt;$D$2,$G2611&lt;&gt;"X",$F2611&lt;&gt;"Réalisé",$F2611&lt;&gt;"Clôturé"),"RETARD",""))</f>
        <v/>
      </c>
      <c r="J2611" s="29">
        <f>IF($B2611="","",IF(INDEX(Dossiers!$F$4:$F$63,50)="","",INDEX(Dossiers!$F$4:$F$63,50)))</f>
        <v/>
      </c>
      <c r="K2611" s="29">
        <f>IF($B2611="","",IF(INDEX(Dossiers!$G$4:$G$63,50)="","",INDEX(Dossiers!$G$4:$G$63,50)))</f>
        <v/>
      </c>
    </row>
    <row r="2612">
      <c r="A2612">
        <f>IF($B2612="","",INDEX(Dossiers!$E$4:$E$63,50))</f>
        <v/>
      </c>
      <c r="B2612">
        <f>IF(INDEX(Suivi!$B:$B,2662)="","",INDEX(Suivi!$B:$B,2662))</f>
        <v/>
      </c>
      <c r="C2612">
        <f>IF($B2612="","",IF(INDEX(Suivi!$D:$D,2662)="",INDEX(Suivi!$C:$C,2662),INDEX(Suivi!$D:$D,2662)))</f>
        <v/>
      </c>
      <c r="D2612" s="29">
        <f>IF($B2612="","",INDEX(Suivi!$E:$E,2662))</f>
        <v/>
      </c>
      <c r="E2612" s="29">
        <f>IF($B2612="","",INDEX(Suivi!$F:$F,2662))</f>
        <v/>
      </c>
      <c r="F2612">
        <f>IF($B2612="","",INDEX(Suivi!$G:$G,2662))</f>
        <v/>
      </c>
      <c r="H2612">
        <f>IF(OR($B2612="",NOT(ISNUMBER($D2612))),"",IF($E2612&lt;$D$2,"Passé",IF($D2612&gt;$F$2,"À venir","Dans la période")))</f>
        <v/>
      </c>
      <c r="I2612">
        <f>IF(OR($B2612="",NOT(ISNUMBER($D2612))),"",IF(AND($E2612&lt;$D$2,$G2612&lt;&gt;"X",$F2612&lt;&gt;"Réalisé",$F2612&lt;&gt;"Clôturé"),"RETARD",""))</f>
        <v/>
      </c>
      <c r="J2612" s="29">
        <f>IF($B2612="","",IF(INDEX(Dossiers!$F$4:$F$63,50)="","",INDEX(Dossiers!$F$4:$F$63,50)))</f>
        <v/>
      </c>
      <c r="K2612" s="29">
        <f>IF($B2612="","",IF(INDEX(Dossiers!$G$4:$G$63,50)="","",INDEX(Dossiers!$G$4:$G$63,50)))</f>
        <v/>
      </c>
    </row>
    <row r="2613">
      <c r="A2613">
        <f>IF($B2613="","",INDEX(Dossiers!$E$4:$E$63,50))</f>
        <v/>
      </c>
      <c r="B2613">
        <f>IF(INDEX(Suivi!$B:$B,2663)="","",INDEX(Suivi!$B:$B,2663))</f>
        <v/>
      </c>
      <c r="C2613">
        <f>IF($B2613="","",IF(INDEX(Suivi!$D:$D,2663)="",INDEX(Suivi!$C:$C,2663),INDEX(Suivi!$D:$D,2663)))</f>
        <v/>
      </c>
      <c r="D2613" s="29">
        <f>IF($B2613="","",INDEX(Suivi!$E:$E,2663))</f>
        <v/>
      </c>
      <c r="E2613" s="29">
        <f>IF($B2613="","",INDEX(Suivi!$F:$F,2663))</f>
        <v/>
      </c>
      <c r="F2613">
        <f>IF($B2613="","",INDEX(Suivi!$G:$G,2663))</f>
        <v/>
      </c>
      <c r="H2613">
        <f>IF(OR($B2613="",NOT(ISNUMBER($D2613))),"",IF($E2613&lt;$D$2,"Passé",IF($D2613&gt;$F$2,"À venir","Dans la période")))</f>
        <v/>
      </c>
      <c r="I2613">
        <f>IF(OR($B2613="",NOT(ISNUMBER($D2613))),"",IF(AND($E2613&lt;$D$2,$G2613&lt;&gt;"X",$F2613&lt;&gt;"Réalisé",$F2613&lt;&gt;"Clôturé"),"RETARD",""))</f>
        <v/>
      </c>
      <c r="J2613" s="29">
        <f>IF($B2613="","",IF(INDEX(Dossiers!$F$4:$F$63,50)="","",INDEX(Dossiers!$F$4:$F$63,50)))</f>
        <v/>
      </c>
      <c r="K2613" s="29">
        <f>IF($B2613="","",IF(INDEX(Dossiers!$G$4:$G$63,50)="","",INDEX(Dossiers!$G$4:$G$63,50)))</f>
        <v/>
      </c>
    </row>
    <row r="2614">
      <c r="A2614">
        <f>IF($B2614="","",INDEX(Dossiers!$E$4:$E$63,50))</f>
        <v/>
      </c>
      <c r="B2614">
        <f>IF(INDEX(Suivi!$B:$B,2664)="","",INDEX(Suivi!$B:$B,2664))</f>
        <v/>
      </c>
      <c r="C2614">
        <f>IF($B2614="","",IF(INDEX(Suivi!$D:$D,2664)="",INDEX(Suivi!$C:$C,2664),INDEX(Suivi!$D:$D,2664)))</f>
        <v/>
      </c>
      <c r="D2614" s="29">
        <f>IF($B2614="","",INDEX(Suivi!$E:$E,2664))</f>
        <v/>
      </c>
      <c r="E2614" s="29">
        <f>IF($B2614="","",INDEX(Suivi!$F:$F,2664))</f>
        <v/>
      </c>
      <c r="F2614">
        <f>IF($B2614="","",INDEX(Suivi!$G:$G,2664))</f>
        <v/>
      </c>
      <c r="H2614">
        <f>IF(OR($B2614="",NOT(ISNUMBER($D2614))),"",IF($E2614&lt;$D$2,"Passé",IF($D2614&gt;$F$2,"À venir","Dans la période")))</f>
        <v/>
      </c>
      <c r="I2614">
        <f>IF(OR($B2614="",NOT(ISNUMBER($D2614))),"",IF(AND($E2614&lt;$D$2,$G2614&lt;&gt;"X",$F2614&lt;&gt;"Réalisé",$F2614&lt;&gt;"Clôturé"),"RETARD",""))</f>
        <v/>
      </c>
      <c r="J2614" s="29">
        <f>IF($B2614="","",IF(INDEX(Dossiers!$F$4:$F$63,50)="","",INDEX(Dossiers!$F$4:$F$63,50)))</f>
        <v/>
      </c>
      <c r="K2614" s="29">
        <f>IF($B2614="","",IF(INDEX(Dossiers!$G$4:$G$63,50)="","",INDEX(Dossiers!$G$4:$G$63,50)))</f>
        <v/>
      </c>
    </row>
    <row r="2615">
      <c r="A2615">
        <f>IF($B2615="","",INDEX(Dossiers!$E$4:$E$63,50))</f>
        <v/>
      </c>
      <c r="B2615">
        <f>IF(INDEX(Suivi!$B:$B,2665)="","",INDEX(Suivi!$B:$B,2665))</f>
        <v/>
      </c>
      <c r="C2615">
        <f>IF($B2615="","",IF(INDEX(Suivi!$D:$D,2665)="",INDEX(Suivi!$C:$C,2665),INDEX(Suivi!$D:$D,2665)))</f>
        <v/>
      </c>
      <c r="D2615" s="29">
        <f>IF($B2615="","",INDEX(Suivi!$E:$E,2665))</f>
        <v/>
      </c>
      <c r="E2615" s="29">
        <f>IF($B2615="","",INDEX(Suivi!$F:$F,2665))</f>
        <v/>
      </c>
      <c r="F2615">
        <f>IF($B2615="","",INDEX(Suivi!$G:$G,2665))</f>
        <v/>
      </c>
      <c r="H2615">
        <f>IF(OR($B2615="",NOT(ISNUMBER($D2615))),"",IF($E2615&lt;$D$2,"Passé",IF($D2615&gt;$F$2,"À venir","Dans la période")))</f>
        <v/>
      </c>
      <c r="I2615">
        <f>IF(OR($B2615="",NOT(ISNUMBER($D2615))),"",IF(AND($E2615&lt;$D$2,$G2615&lt;&gt;"X",$F2615&lt;&gt;"Réalisé",$F2615&lt;&gt;"Clôturé"),"RETARD",""))</f>
        <v/>
      </c>
      <c r="J2615" s="29">
        <f>IF($B2615="","",IF(INDEX(Dossiers!$F$4:$F$63,50)="","",INDEX(Dossiers!$F$4:$F$63,50)))</f>
        <v/>
      </c>
      <c r="K2615" s="29">
        <f>IF($B2615="","",IF(INDEX(Dossiers!$G$4:$G$63,50)="","",INDEX(Dossiers!$G$4:$G$63,50)))</f>
        <v/>
      </c>
    </row>
    <row r="2616">
      <c r="A2616">
        <f>IF($B2616="","",INDEX(Dossiers!$E$4:$E$63,50))</f>
        <v/>
      </c>
      <c r="B2616">
        <f>IF(INDEX(Suivi!$B:$B,2666)="","",INDEX(Suivi!$B:$B,2666))</f>
        <v/>
      </c>
      <c r="C2616">
        <f>IF($B2616="","",IF(INDEX(Suivi!$D:$D,2666)="",INDEX(Suivi!$C:$C,2666),INDEX(Suivi!$D:$D,2666)))</f>
        <v/>
      </c>
      <c r="D2616" s="29">
        <f>IF($B2616="","",INDEX(Suivi!$E:$E,2666))</f>
        <v/>
      </c>
      <c r="E2616" s="29">
        <f>IF($B2616="","",INDEX(Suivi!$F:$F,2666))</f>
        <v/>
      </c>
      <c r="F2616">
        <f>IF($B2616="","",INDEX(Suivi!$G:$G,2666))</f>
        <v/>
      </c>
      <c r="H2616">
        <f>IF(OR($B2616="",NOT(ISNUMBER($D2616))),"",IF($E2616&lt;$D$2,"Passé",IF($D2616&gt;$F$2,"À venir","Dans la période")))</f>
        <v/>
      </c>
      <c r="I2616">
        <f>IF(OR($B2616="",NOT(ISNUMBER($D2616))),"",IF(AND($E2616&lt;$D$2,$G2616&lt;&gt;"X",$F2616&lt;&gt;"Réalisé",$F2616&lt;&gt;"Clôturé"),"RETARD",""))</f>
        <v/>
      </c>
      <c r="J2616" s="29">
        <f>IF($B2616="","",IF(INDEX(Dossiers!$F$4:$F$63,50)="","",INDEX(Dossiers!$F$4:$F$63,50)))</f>
        <v/>
      </c>
      <c r="K2616" s="29">
        <f>IF($B2616="","",IF(INDEX(Dossiers!$G$4:$G$63,50)="","",INDEX(Dossiers!$G$4:$G$63,50)))</f>
        <v/>
      </c>
    </row>
    <row r="2617">
      <c r="A2617">
        <f>IF($B2617="","",INDEX(Dossiers!$E$4:$E$63,50))</f>
        <v/>
      </c>
      <c r="B2617">
        <f>IF(INDEX(Suivi!$B:$B,2667)="","",INDEX(Suivi!$B:$B,2667))</f>
        <v/>
      </c>
      <c r="C2617">
        <f>IF($B2617="","",IF(INDEX(Suivi!$D:$D,2667)="",INDEX(Suivi!$C:$C,2667),INDEX(Suivi!$D:$D,2667)))</f>
        <v/>
      </c>
      <c r="D2617" s="29">
        <f>IF($B2617="","",INDEX(Suivi!$E:$E,2667))</f>
        <v/>
      </c>
      <c r="E2617" s="29">
        <f>IF($B2617="","",INDEX(Suivi!$F:$F,2667))</f>
        <v/>
      </c>
      <c r="F2617">
        <f>IF($B2617="","",INDEX(Suivi!$G:$G,2667))</f>
        <v/>
      </c>
      <c r="H2617">
        <f>IF(OR($B2617="",NOT(ISNUMBER($D2617))),"",IF($E2617&lt;$D$2,"Passé",IF($D2617&gt;$F$2,"À venir","Dans la période")))</f>
        <v/>
      </c>
      <c r="I2617">
        <f>IF(OR($B2617="",NOT(ISNUMBER($D2617))),"",IF(AND($E2617&lt;$D$2,$G2617&lt;&gt;"X",$F2617&lt;&gt;"Réalisé",$F2617&lt;&gt;"Clôturé"),"RETARD",""))</f>
        <v/>
      </c>
      <c r="J2617" s="29">
        <f>IF($B2617="","",IF(INDEX(Dossiers!$F$4:$F$63,50)="","",INDEX(Dossiers!$F$4:$F$63,50)))</f>
        <v/>
      </c>
      <c r="K2617" s="29">
        <f>IF($B2617="","",IF(INDEX(Dossiers!$G$4:$G$63,50)="","",INDEX(Dossiers!$G$4:$G$63,50)))</f>
        <v/>
      </c>
    </row>
    <row r="2618">
      <c r="A2618">
        <f>IF($B2618="","",INDEX(Dossiers!$E$4:$E$63,50))</f>
        <v/>
      </c>
      <c r="B2618">
        <f>IF(INDEX(Suivi!$B:$B,2668)="","",INDEX(Suivi!$B:$B,2668))</f>
        <v/>
      </c>
      <c r="C2618">
        <f>IF($B2618="","",IF(INDEX(Suivi!$D:$D,2668)="",INDEX(Suivi!$C:$C,2668),INDEX(Suivi!$D:$D,2668)))</f>
        <v/>
      </c>
      <c r="D2618" s="29">
        <f>IF($B2618="","",INDEX(Suivi!$E:$E,2668))</f>
        <v/>
      </c>
      <c r="E2618" s="29">
        <f>IF($B2618="","",INDEX(Suivi!$F:$F,2668))</f>
        <v/>
      </c>
      <c r="F2618">
        <f>IF($B2618="","",INDEX(Suivi!$G:$G,2668))</f>
        <v/>
      </c>
      <c r="H2618">
        <f>IF(OR($B2618="",NOT(ISNUMBER($D2618))),"",IF($E2618&lt;$D$2,"Passé",IF($D2618&gt;$F$2,"À venir","Dans la période")))</f>
        <v/>
      </c>
      <c r="I2618">
        <f>IF(OR($B2618="",NOT(ISNUMBER($D2618))),"",IF(AND($E2618&lt;$D$2,$G2618&lt;&gt;"X",$F2618&lt;&gt;"Réalisé",$F2618&lt;&gt;"Clôturé"),"RETARD",""))</f>
        <v/>
      </c>
      <c r="J2618" s="29">
        <f>IF($B2618="","",IF(INDEX(Dossiers!$F$4:$F$63,50)="","",INDEX(Dossiers!$F$4:$F$63,50)))</f>
        <v/>
      </c>
      <c r="K2618" s="29">
        <f>IF($B2618="","",IF(INDEX(Dossiers!$G$4:$G$63,50)="","",INDEX(Dossiers!$G$4:$G$63,50)))</f>
        <v/>
      </c>
    </row>
    <row r="2619">
      <c r="A2619">
        <f>IF($B2619="","",INDEX(Dossiers!$E$4:$E$63,50))</f>
        <v/>
      </c>
      <c r="B2619">
        <f>IF(INDEX(Suivi!$B:$B,2669)="","",INDEX(Suivi!$B:$B,2669))</f>
        <v/>
      </c>
      <c r="C2619">
        <f>IF($B2619="","",IF(INDEX(Suivi!$D:$D,2669)="",INDEX(Suivi!$C:$C,2669),INDEX(Suivi!$D:$D,2669)))</f>
        <v/>
      </c>
      <c r="D2619" s="29">
        <f>IF($B2619="","",INDEX(Suivi!$E:$E,2669))</f>
        <v/>
      </c>
      <c r="E2619" s="29">
        <f>IF($B2619="","",INDEX(Suivi!$F:$F,2669))</f>
        <v/>
      </c>
      <c r="F2619">
        <f>IF($B2619="","",INDEX(Suivi!$G:$G,2669))</f>
        <v/>
      </c>
      <c r="H2619">
        <f>IF(OR($B2619="",NOT(ISNUMBER($D2619))),"",IF($E2619&lt;$D$2,"Passé",IF($D2619&gt;$F$2,"À venir","Dans la période")))</f>
        <v/>
      </c>
      <c r="I2619">
        <f>IF(OR($B2619="",NOT(ISNUMBER($D2619))),"",IF(AND($E2619&lt;$D$2,$G2619&lt;&gt;"X",$F2619&lt;&gt;"Réalisé",$F2619&lt;&gt;"Clôturé"),"RETARD",""))</f>
        <v/>
      </c>
      <c r="J2619" s="29">
        <f>IF($B2619="","",IF(INDEX(Dossiers!$F$4:$F$63,50)="","",INDEX(Dossiers!$F$4:$F$63,50)))</f>
        <v/>
      </c>
      <c r="K2619" s="29">
        <f>IF($B2619="","",IF(INDEX(Dossiers!$G$4:$G$63,50)="","",INDEX(Dossiers!$G$4:$G$63,50)))</f>
        <v/>
      </c>
    </row>
    <row r="2620">
      <c r="A2620">
        <f>IF($B2620="","",INDEX(Dossiers!$E$4:$E$63,50))</f>
        <v/>
      </c>
      <c r="B2620">
        <f>IF(INDEX(Suivi!$B:$B,2670)="","",INDEX(Suivi!$B:$B,2670))</f>
        <v/>
      </c>
      <c r="C2620">
        <f>IF($B2620="","",IF(INDEX(Suivi!$D:$D,2670)="",INDEX(Suivi!$C:$C,2670),INDEX(Suivi!$D:$D,2670)))</f>
        <v/>
      </c>
      <c r="D2620" s="29">
        <f>IF($B2620="","",INDEX(Suivi!$E:$E,2670))</f>
        <v/>
      </c>
      <c r="E2620" s="29">
        <f>IF($B2620="","",INDEX(Suivi!$F:$F,2670))</f>
        <v/>
      </c>
      <c r="F2620">
        <f>IF($B2620="","",INDEX(Suivi!$G:$G,2670))</f>
        <v/>
      </c>
      <c r="H2620">
        <f>IF(OR($B2620="",NOT(ISNUMBER($D2620))),"",IF($E2620&lt;$D$2,"Passé",IF($D2620&gt;$F$2,"À venir","Dans la période")))</f>
        <v/>
      </c>
      <c r="I2620">
        <f>IF(OR($B2620="",NOT(ISNUMBER($D2620))),"",IF(AND($E2620&lt;$D$2,$G2620&lt;&gt;"X",$F2620&lt;&gt;"Réalisé",$F2620&lt;&gt;"Clôturé"),"RETARD",""))</f>
        <v/>
      </c>
      <c r="J2620" s="29">
        <f>IF($B2620="","",IF(INDEX(Dossiers!$F$4:$F$63,50)="","",INDEX(Dossiers!$F$4:$F$63,50)))</f>
        <v/>
      </c>
      <c r="K2620" s="29">
        <f>IF($B2620="","",IF(INDEX(Dossiers!$G$4:$G$63,50)="","",INDEX(Dossiers!$G$4:$G$63,50)))</f>
        <v/>
      </c>
    </row>
    <row r="2621">
      <c r="A2621">
        <f>IF($B2621="","",INDEX(Dossiers!$E$4:$E$63,50))</f>
        <v/>
      </c>
      <c r="B2621">
        <f>IF(INDEX(Suivi!$B:$B,2671)="","",INDEX(Suivi!$B:$B,2671))</f>
        <v/>
      </c>
      <c r="C2621">
        <f>IF($B2621="","",IF(INDEX(Suivi!$D:$D,2671)="",INDEX(Suivi!$C:$C,2671),INDEX(Suivi!$D:$D,2671)))</f>
        <v/>
      </c>
      <c r="D2621" s="29">
        <f>IF($B2621="","",INDEX(Suivi!$E:$E,2671))</f>
        <v/>
      </c>
      <c r="E2621" s="29">
        <f>IF($B2621="","",INDEX(Suivi!$F:$F,2671))</f>
        <v/>
      </c>
      <c r="F2621">
        <f>IF($B2621="","",INDEX(Suivi!$G:$G,2671))</f>
        <v/>
      </c>
      <c r="H2621">
        <f>IF(OR($B2621="",NOT(ISNUMBER($D2621))),"",IF($E2621&lt;$D$2,"Passé",IF($D2621&gt;$F$2,"À venir","Dans la période")))</f>
        <v/>
      </c>
      <c r="I2621">
        <f>IF(OR($B2621="",NOT(ISNUMBER($D2621))),"",IF(AND($E2621&lt;$D$2,$G2621&lt;&gt;"X",$F2621&lt;&gt;"Réalisé",$F2621&lt;&gt;"Clôturé"),"RETARD",""))</f>
        <v/>
      </c>
      <c r="J2621" s="29">
        <f>IF($B2621="","",IF(INDEX(Dossiers!$F$4:$F$63,50)="","",INDEX(Dossiers!$F$4:$F$63,50)))</f>
        <v/>
      </c>
      <c r="K2621" s="29">
        <f>IF($B2621="","",IF(INDEX(Dossiers!$G$4:$G$63,50)="","",INDEX(Dossiers!$G$4:$G$63,50)))</f>
        <v/>
      </c>
    </row>
    <row r="2622">
      <c r="A2622">
        <f>IF($B2622="","",INDEX(Dossiers!$E$4:$E$63,50))</f>
        <v/>
      </c>
      <c r="B2622">
        <f>IF(INDEX(Suivi!$B:$B,2672)="","",INDEX(Suivi!$B:$B,2672))</f>
        <v/>
      </c>
      <c r="C2622">
        <f>IF($B2622="","",IF(INDEX(Suivi!$D:$D,2672)="",INDEX(Suivi!$C:$C,2672),INDEX(Suivi!$D:$D,2672)))</f>
        <v/>
      </c>
      <c r="D2622" s="29">
        <f>IF($B2622="","",INDEX(Suivi!$E:$E,2672))</f>
        <v/>
      </c>
      <c r="E2622" s="29">
        <f>IF($B2622="","",INDEX(Suivi!$F:$F,2672))</f>
        <v/>
      </c>
      <c r="F2622">
        <f>IF($B2622="","",INDEX(Suivi!$G:$G,2672))</f>
        <v/>
      </c>
      <c r="H2622">
        <f>IF(OR($B2622="",NOT(ISNUMBER($D2622))),"",IF($E2622&lt;$D$2,"Passé",IF($D2622&gt;$F$2,"À venir","Dans la période")))</f>
        <v/>
      </c>
      <c r="I2622">
        <f>IF(OR($B2622="",NOT(ISNUMBER($D2622))),"",IF(AND($E2622&lt;$D$2,$G2622&lt;&gt;"X",$F2622&lt;&gt;"Réalisé",$F2622&lt;&gt;"Clôturé"),"RETARD",""))</f>
        <v/>
      </c>
      <c r="J2622" s="29">
        <f>IF($B2622="","",IF(INDEX(Dossiers!$F$4:$F$63,50)="","",INDEX(Dossiers!$F$4:$F$63,50)))</f>
        <v/>
      </c>
      <c r="K2622" s="29">
        <f>IF($B2622="","",IF(INDEX(Dossiers!$G$4:$G$63,50)="","",INDEX(Dossiers!$G$4:$G$63,50)))</f>
        <v/>
      </c>
    </row>
    <row r="2623">
      <c r="A2623">
        <f>IF($B2623="","",INDEX(Dossiers!$E$4:$E$63,50))</f>
        <v/>
      </c>
      <c r="B2623">
        <f>IF(INDEX(Suivi!$B:$B,2673)="","",INDEX(Suivi!$B:$B,2673))</f>
        <v/>
      </c>
      <c r="C2623">
        <f>IF($B2623="","",IF(INDEX(Suivi!$D:$D,2673)="",INDEX(Suivi!$C:$C,2673),INDEX(Suivi!$D:$D,2673)))</f>
        <v/>
      </c>
      <c r="D2623" s="29">
        <f>IF($B2623="","",INDEX(Suivi!$E:$E,2673))</f>
        <v/>
      </c>
      <c r="E2623" s="29">
        <f>IF($B2623="","",INDEX(Suivi!$F:$F,2673))</f>
        <v/>
      </c>
      <c r="F2623">
        <f>IF($B2623="","",INDEX(Suivi!$G:$G,2673))</f>
        <v/>
      </c>
      <c r="H2623">
        <f>IF(OR($B2623="",NOT(ISNUMBER($D2623))),"",IF($E2623&lt;$D$2,"Passé",IF($D2623&gt;$F$2,"À venir","Dans la période")))</f>
        <v/>
      </c>
      <c r="I2623">
        <f>IF(OR($B2623="",NOT(ISNUMBER($D2623))),"",IF(AND($E2623&lt;$D$2,$G2623&lt;&gt;"X",$F2623&lt;&gt;"Réalisé",$F2623&lt;&gt;"Clôturé"),"RETARD",""))</f>
        <v/>
      </c>
      <c r="J2623" s="29">
        <f>IF($B2623="","",IF(INDEX(Dossiers!$F$4:$F$63,50)="","",INDEX(Dossiers!$F$4:$F$63,50)))</f>
        <v/>
      </c>
      <c r="K2623" s="29">
        <f>IF($B2623="","",IF(INDEX(Dossiers!$G$4:$G$63,50)="","",INDEX(Dossiers!$G$4:$G$63,50)))</f>
        <v/>
      </c>
    </row>
    <row r="2624">
      <c r="A2624">
        <f>IF($B2624="","",INDEX(Dossiers!$E$4:$E$63,50))</f>
        <v/>
      </c>
      <c r="B2624">
        <f>IF(INDEX(Suivi!$B:$B,2674)="","",INDEX(Suivi!$B:$B,2674))</f>
        <v/>
      </c>
      <c r="C2624">
        <f>IF($B2624="","",IF(INDEX(Suivi!$D:$D,2674)="",INDEX(Suivi!$C:$C,2674),INDEX(Suivi!$D:$D,2674)))</f>
        <v/>
      </c>
      <c r="D2624" s="29">
        <f>IF($B2624="","",INDEX(Suivi!$E:$E,2674))</f>
        <v/>
      </c>
      <c r="E2624" s="29">
        <f>IF($B2624="","",INDEX(Suivi!$F:$F,2674))</f>
        <v/>
      </c>
      <c r="F2624">
        <f>IF($B2624="","",INDEX(Suivi!$G:$G,2674))</f>
        <v/>
      </c>
      <c r="H2624">
        <f>IF(OR($B2624="",NOT(ISNUMBER($D2624))),"",IF($E2624&lt;$D$2,"Passé",IF($D2624&gt;$F$2,"À venir","Dans la période")))</f>
        <v/>
      </c>
      <c r="I2624">
        <f>IF(OR($B2624="",NOT(ISNUMBER($D2624))),"",IF(AND($E2624&lt;$D$2,$G2624&lt;&gt;"X",$F2624&lt;&gt;"Réalisé",$F2624&lt;&gt;"Clôturé"),"RETARD",""))</f>
        <v/>
      </c>
      <c r="J2624" s="29">
        <f>IF($B2624="","",IF(INDEX(Dossiers!$F$4:$F$63,50)="","",INDEX(Dossiers!$F$4:$F$63,50)))</f>
        <v/>
      </c>
      <c r="K2624" s="29">
        <f>IF($B2624="","",IF(INDEX(Dossiers!$G$4:$G$63,50)="","",INDEX(Dossiers!$G$4:$G$63,50)))</f>
        <v/>
      </c>
    </row>
    <row r="2625">
      <c r="A2625">
        <f>IF($B2625="","",INDEX(Dossiers!$E$4:$E$63,50))</f>
        <v/>
      </c>
      <c r="B2625">
        <f>IF(INDEX(Suivi!$B:$B,2675)="","",INDEX(Suivi!$B:$B,2675))</f>
        <v/>
      </c>
      <c r="C2625">
        <f>IF($B2625="","",IF(INDEX(Suivi!$D:$D,2675)="",INDEX(Suivi!$C:$C,2675),INDEX(Suivi!$D:$D,2675)))</f>
        <v/>
      </c>
      <c r="D2625" s="29">
        <f>IF($B2625="","",INDEX(Suivi!$E:$E,2675))</f>
        <v/>
      </c>
      <c r="E2625" s="29">
        <f>IF($B2625="","",INDEX(Suivi!$F:$F,2675))</f>
        <v/>
      </c>
      <c r="F2625">
        <f>IF($B2625="","",INDEX(Suivi!$G:$G,2675))</f>
        <v/>
      </c>
      <c r="H2625">
        <f>IF(OR($B2625="",NOT(ISNUMBER($D2625))),"",IF($E2625&lt;$D$2,"Passé",IF($D2625&gt;$F$2,"À venir","Dans la période")))</f>
        <v/>
      </c>
      <c r="I2625">
        <f>IF(OR($B2625="",NOT(ISNUMBER($D2625))),"",IF(AND($E2625&lt;$D$2,$G2625&lt;&gt;"X",$F2625&lt;&gt;"Réalisé",$F2625&lt;&gt;"Clôturé"),"RETARD",""))</f>
        <v/>
      </c>
      <c r="J2625" s="29">
        <f>IF($B2625="","",IF(INDEX(Dossiers!$F$4:$F$63,50)="","",INDEX(Dossiers!$F$4:$F$63,50)))</f>
        <v/>
      </c>
      <c r="K2625" s="29">
        <f>IF($B2625="","",IF(INDEX(Dossiers!$G$4:$G$63,50)="","",INDEX(Dossiers!$G$4:$G$63,50)))</f>
        <v/>
      </c>
    </row>
    <row r="2626">
      <c r="A2626">
        <f>IF($B2626="","",INDEX(Dossiers!$E$4:$E$63,50))</f>
        <v/>
      </c>
      <c r="B2626">
        <f>IF(INDEX(Suivi!$B:$B,2676)="","",INDEX(Suivi!$B:$B,2676))</f>
        <v/>
      </c>
      <c r="C2626">
        <f>IF($B2626="","",IF(INDEX(Suivi!$D:$D,2676)="",INDEX(Suivi!$C:$C,2676),INDEX(Suivi!$D:$D,2676)))</f>
        <v/>
      </c>
      <c r="D2626" s="29">
        <f>IF($B2626="","",INDEX(Suivi!$E:$E,2676))</f>
        <v/>
      </c>
      <c r="E2626" s="29">
        <f>IF($B2626="","",INDEX(Suivi!$F:$F,2676))</f>
        <v/>
      </c>
      <c r="F2626">
        <f>IF($B2626="","",INDEX(Suivi!$G:$G,2676))</f>
        <v/>
      </c>
      <c r="H2626">
        <f>IF(OR($B2626="",NOT(ISNUMBER($D2626))),"",IF($E2626&lt;$D$2,"Passé",IF($D2626&gt;$F$2,"À venir","Dans la période")))</f>
        <v/>
      </c>
      <c r="I2626">
        <f>IF(OR($B2626="",NOT(ISNUMBER($D2626))),"",IF(AND($E2626&lt;$D$2,$G2626&lt;&gt;"X",$F2626&lt;&gt;"Réalisé",$F2626&lt;&gt;"Clôturé"),"RETARD",""))</f>
        <v/>
      </c>
      <c r="J2626" s="29">
        <f>IF($B2626="","",IF(INDEX(Dossiers!$F$4:$F$63,50)="","",INDEX(Dossiers!$F$4:$F$63,50)))</f>
        <v/>
      </c>
      <c r="K2626" s="29">
        <f>IF($B2626="","",IF(INDEX(Dossiers!$G$4:$G$63,50)="","",INDEX(Dossiers!$G$4:$G$63,50)))</f>
        <v/>
      </c>
    </row>
    <row r="2627">
      <c r="A2627">
        <f>IF($B2627="","",INDEX(Dossiers!$E$4:$E$63,50))</f>
        <v/>
      </c>
      <c r="B2627">
        <f>IF(INDEX(Suivi!$B:$B,2677)="","",INDEX(Suivi!$B:$B,2677))</f>
        <v/>
      </c>
      <c r="C2627">
        <f>IF($B2627="","",IF(INDEX(Suivi!$D:$D,2677)="",INDEX(Suivi!$C:$C,2677),INDEX(Suivi!$D:$D,2677)))</f>
        <v/>
      </c>
      <c r="D2627" s="29">
        <f>IF($B2627="","",INDEX(Suivi!$E:$E,2677))</f>
        <v/>
      </c>
      <c r="E2627" s="29">
        <f>IF($B2627="","",INDEX(Suivi!$F:$F,2677))</f>
        <v/>
      </c>
      <c r="F2627">
        <f>IF($B2627="","",INDEX(Suivi!$G:$G,2677))</f>
        <v/>
      </c>
      <c r="H2627">
        <f>IF(OR($B2627="",NOT(ISNUMBER($D2627))),"",IF($E2627&lt;$D$2,"Passé",IF($D2627&gt;$F$2,"À venir","Dans la période")))</f>
        <v/>
      </c>
      <c r="I2627">
        <f>IF(OR($B2627="",NOT(ISNUMBER($D2627))),"",IF(AND($E2627&lt;$D$2,$G2627&lt;&gt;"X",$F2627&lt;&gt;"Réalisé",$F2627&lt;&gt;"Clôturé"),"RETARD",""))</f>
        <v/>
      </c>
      <c r="J2627" s="29">
        <f>IF($B2627="","",IF(INDEX(Dossiers!$F$4:$F$63,50)="","",INDEX(Dossiers!$F$4:$F$63,50)))</f>
        <v/>
      </c>
      <c r="K2627" s="29">
        <f>IF($B2627="","",IF(INDEX(Dossiers!$G$4:$G$63,50)="","",INDEX(Dossiers!$G$4:$G$63,50)))</f>
        <v/>
      </c>
    </row>
    <row r="2628">
      <c r="A2628">
        <f>IF($B2628="","",INDEX(Dossiers!$E$4:$E$63,50))</f>
        <v/>
      </c>
      <c r="B2628">
        <f>IF(INDEX(Suivi!$B:$B,2678)="","",INDEX(Suivi!$B:$B,2678))</f>
        <v/>
      </c>
      <c r="C2628">
        <f>IF($B2628="","",IF(INDEX(Suivi!$D:$D,2678)="",INDEX(Suivi!$C:$C,2678),INDEX(Suivi!$D:$D,2678)))</f>
        <v/>
      </c>
      <c r="D2628" s="29">
        <f>IF($B2628="","",INDEX(Suivi!$E:$E,2678))</f>
        <v/>
      </c>
      <c r="E2628" s="29">
        <f>IF($B2628="","",INDEX(Suivi!$F:$F,2678))</f>
        <v/>
      </c>
      <c r="F2628">
        <f>IF($B2628="","",INDEX(Suivi!$G:$G,2678))</f>
        <v/>
      </c>
      <c r="H2628">
        <f>IF(OR($B2628="",NOT(ISNUMBER($D2628))),"",IF($E2628&lt;$D$2,"Passé",IF($D2628&gt;$F$2,"À venir","Dans la période")))</f>
        <v/>
      </c>
      <c r="I2628">
        <f>IF(OR($B2628="",NOT(ISNUMBER($D2628))),"",IF(AND($E2628&lt;$D$2,$G2628&lt;&gt;"X",$F2628&lt;&gt;"Réalisé",$F2628&lt;&gt;"Clôturé"),"RETARD",""))</f>
        <v/>
      </c>
      <c r="J2628" s="29">
        <f>IF($B2628="","",IF(INDEX(Dossiers!$F$4:$F$63,50)="","",INDEX(Dossiers!$F$4:$F$63,50)))</f>
        <v/>
      </c>
      <c r="K2628" s="29">
        <f>IF($B2628="","",IF(INDEX(Dossiers!$G$4:$G$63,50)="","",INDEX(Dossiers!$G$4:$G$63,50)))</f>
        <v/>
      </c>
    </row>
    <row r="2629">
      <c r="A2629">
        <f>IF($B2629="","",INDEX(Dossiers!$E$4:$E$63,50))</f>
        <v/>
      </c>
      <c r="B2629">
        <f>IF(INDEX(Suivi!$B:$B,2679)="","",INDEX(Suivi!$B:$B,2679))</f>
        <v/>
      </c>
      <c r="C2629">
        <f>IF($B2629="","",IF(INDEX(Suivi!$D:$D,2679)="",INDEX(Suivi!$C:$C,2679),INDEX(Suivi!$D:$D,2679)))</f>
        <v/>
      </c>
      <c r="D2629" s="29">
        <f>IF($B2629="","",INDEX(Suivi!$E:$E,2679))</f>
        <v/>
      </c>
      <c r="E2629" s="29">
        <f>IF($B2629="","",INDEX(Suivi!$F:$F,2679))</f>
        <v/>
      </c>
      <c r="F2629">
        <f>IF($B2629="","",INDEX(Suivi!$G:$G,2679))</f>
        <v/>
      </c>
      <c r="H2629">
        <f>IF(OR($B2629="",NOT(ISNUMBER($D2629))),"",IF($E2629&lt;$D$2,"Passé",IF($D2629&gt;$F$2,"À venir","Dans la période")))</f>
        <v/>
      </c>
      <c r="I2629">
        <f>IF(OR($B2629="",NOT(ISNUMBER($D2629))),"",IF(AND($E2629&lt;$D$2,$G2629&lt;&gt;"X",$F2629&lt;&gt;"Réalisé",$F2629&lt;&gt;"Clôturé"),"RETARD",""))</f>
        <v/>
      </c>
      <c r="J2629" s="29">
        <f>IF($B2629="","",IF(INDEX(Dossiers!$F$4:$F$63,50)="","",INDEX(Dossiers!$F$4:$F$63,50)))</f>
        <v/>
      </c>
      <c r="K2629" s="29">
        <f>IF($B2629="","",IF(INDEX(Dossiers!$G$4:$G$63,50)="","",INDEX(Dossiers!$G$4:$G$63,50)))</f>
        <v/>
      </c>
    </row>
    <row r="2630">
      <c r="A2630">
        <f>IF($B2630="","",INDEX(Dossiers!$E$4:$E$63,50))</f>
        <v/>
      </c>
      <c r="B2630">
        <f>IF(INDEX(Suivi!$B:$B,2680)="","",INDEX(Suivi!$B:$B,2680))</f>
        <v/>
      </c>
      <c r="C2630">
        <f>IF($B2630="","",IF(INDEX(Suivi!$D:$D,2680)="",INDEX(Suivi!$C:$C,2680),INDEX(Suivi!$D:$D,2680)))</f>
        <v/>
      </c>
      <c r="D2630" s="29">
        <f>IF($B2630="","",INDEX(Suivi!$E:$E,2680))</f>
        <v/>
      </c>
      <c r="E2630" s="29">
        <f>IF($B2630="","",INDEX(Suivi!$F:$F,2680))</f>
        <v/>
      </c>
      <c r="F2630">
        <f>IF($B2630="","",INDEX(Suivi!$G:$G,2680))</f>
        <v/>
      </c>
      <c r="H2630">
        <f>IF(OR($B2630="",NOT(ISNUMBER($D2630))),"",IF($E2630&lt;$D$2,"Passé",IF($D2630&gt;$F$2,"À venir","Dans la période")))</f>
        <v/>
      </c>
      <c r="I2630">
        <f>IF(OR($B2630="",NOT(ISNUMBER($D2630))),"",IF(AND($E2630&lt;$D$2,$G2630&lt;&gt;"X",$F2630&lt;&gt;"Réalisé",$F2630&lt;&gt;"Clôturé"),"RETARD",""))</f>
        <v/>
      </c>
      <c r="J2630" s="29">
        <f>IF($B2630="","",IF(INDEX(Dossiers!$F$4:$F$63,50)="","",INDEX(Dossiers!$F$4:$F$63,50)))</f>
        <v/>
      </c>
      <c r="K2630" s="29">
        <f>IF($B2630="","",IF(INDEX(Dossiers!$G$4:$G$63,50)="","",INDEX(Dossiers!$G$4:$G$63,50)))</f>
        <v/>
      </c>
    </row>
    <row r="2631">
      <c r="A2631">
        <f>IF($B2631="","",INDEX(Dossiers!$E$4:$E$63,50))</f>
        <v/>
      </c>
      <c r="B2631">
        <f>IF(INDEX(Suivi!$B:$B,2681)="","",INDEX(Suivi!$B:$B,2681))</f>
        <v/>
      </c>
      <c r="C2631">
        <f>IF($B2631="","",IF(INDEX(Suivi!$D:$D,2681)="",INDEX(Suivi!$C:$C,2681),INDEX(Suivi!$D:$D,2681)))</f>
        <v/>
      </c>
      <c r="D2631" s="29">
        <f>IF($B2631="","",INDEX(Suivi!$E:$E,2681))</f>
        <v/>
      </c>
      <c r="E2631" s="29">
        <f>IF($B2631="","",INDEX(Suivi!$F:$F,2681))</f>
        <v/>
      </c>
      <c r="F2631">
        <f>IF($B2631="","",INDEX(Suivi!$G:$G,2681))</f>
        <v/>
      </c>
      <c r="H2631">
        <f>IF(OR($B2631="",NOT(ISNUMBER($D2631))),"",IF($E2631&lt;$D$2,"Passé",IF($D2631&gt;$F$2,"À venir","Dans la période")))</f>
        <v/>
      </c>
      <c r="I2631">
        <f>IF(OR($B2631="",NOT(ISNUMBER($D2631))),"",IF(AND($E2631&lt;$D$2,$G2631&lt;&gt;"X",$F2631&lt;&gt;"Réalisé",$F2631&lt;&gt;"Clôturé"),"RETARD",""))</f>
        <v/>
      </c>
      <c r="J2631" s="29">
        <f>IF($B2631="","",IF(INDEX(Dossiers!$F$4:$F$63,50)="","",INDEX(Dossiers!$F$4:$F$63,50)))</f>
        <v/>
      </c>
      <c r="K2631" s="29">
        <f>IF($B2631="","",IF(INDEX(Dossiers!$G$4:$G$63,50)="","",INDEX(Dossiers!$G$4:$G$63,50)))</f>
        <v/>
      </c>
    </row>
    <row r="2632">
      <c r="A2632">
        <f>IF($B2632="","",INDEX(Dossiers!$E$4:$E$63,50))</f>
        <v/>
      </c>
      <c r="B2632">
        <f>IF(INDEX(Suivi!$B:$B,2682)="","",INDEX(Suivi!$B:$B,2682))</f>
        <v/>
      </c>
      <c r="C2632">
        <f>IF($B2632="","",IF(INDEX(Suivi!$D:$D,2682)="",INDEX(Suivi!$C:$C,2682),INDEX(Suivi!$D:$D,2682)))</f>
        <v/>
      </c>
      <c r="D2632" s="29">
        <f>IF($B2632="","",INDEX(Suivi!$E:$E,2682))</f>
        <v/>
      </c>
      <c r="E2632" s="29">
        <f>IF($B2632="","",INDEX(Suivi!$F:$F,2682))</f>
        <v/>
      </c>
      <c r="F2632">
        <f>IF($B2632="","",INDEX(Suivi!$G:$G,2682))</f>
        <v/>
      </c>
      <c r="H2632">
        <f>IF(OR($B2632="",NOT(ISNUMBER($D2632))),"",IF($E2632&lt;$D$2,"Passé",IF($D2632&gt;$F$2,"À venir","Dans la période")))</f>
        <v/>
      </c>
      <c r="I2632">
        <f>IF(OR($B2632="",NOT(ISNUMBER($D2632))),"",IF(AND($E2632&lt;$D$2,$G2632&lt;&gt;"X",$F2632&lt;&gt;"Réalisé",$F2632&lt;&gt;"Clôturé"),"RETARD",""))</f>
        <v/>
      </c>
      <c r="J2632" s="29">
        <f>IF($B2632="","",IF(INDEX(Dossiers!$F$4:$F$63,50)="","",INDEX(Dossiers!$F$4:$F$63,50)))</f>
        <v/>
      </c>
      <c r="K2632" s="29">
        <f>IF($B2632="","",IF(INDEX(Dossiers!$G$4:$G$63,50)="","",INDEX(Dossiers!$G$4:$G$63,50)))</f>
        <v/>
      </c>
    </row>
    <row r="2633">
      <c r="A2633">
        <f>IF($B2633="","",INDEX(Dossiers!$E$4:$E$63,50))</f>
        <v/>
      </c>
      <c r="B2633">
        <f>IF(INDEX(Suivi!$B:$B,2683)="","",INDEX(Suivi!$B:$B,2683))</f>
        <v/>
      </c>
      <c r="C2633">
        <f>IF($B2633="","",IF(INDEX(Suivi!$D:$D,2683)="",INDEX(Suivi!$C:$C,2683),INDEX(Suivi!$D:$D,2683)))</f>
        <v/>
      </c>
      <c r="D2633" s="29">
        <f>IF($B2633="","",INDEX(Suivi!$E:$E,2683))</f>
        <v/>
      </c>
      <c r="E2633" s="29">
        <f>IF($B2633="","",INDEX(Suivi!$F:$F,2683))</f>
        <v/>
      </c>
      <c r="F2633">
        <f>IF($B2633="","",INDEX(Suivi!$G:$G,2683))</f>
        <v/>
      </c>
      <c r="H2633">
        <f>IF(OR($B2633="",NOT(ISNUMBER($D2633))),"",IF($E2633&lt;$D$2,"Passé",IF($D2633&gt;$F$2,"À venir","Dans la période")))</f>
        <v/>
      </c>
      <c r="I2633">
        <f>IF(OR($B2633="",NOT(ISNUMBER($D2633))),"",IF(AND($E2633&lt;$D$2,$G2633&lt;&gt;"X",$F2633&lt;&gt;"Réalisé",$F2633&lt;&gt;"Clôturé"),"RETARD",""))</f>
        <v/>
      </c>
      <c r="J2633" s="29">
        <f>IF($B2633="","",IF(INDEX(Dossiers!$F$4:$F$63,50)="","",INDEX(Dossiers!$F$4:$F$63,50)))</f>
        <v/>
      </c>
      <c r="K2633" s="29">
        <f>IF($B2633="","",IF(INDEX(Dossiers!$G$4:$G$63,50)="","",INDEX(Dossiers!$G$4:$G$63,50)))</f>
        <v/>
      </c>
    </row>
    <row r="2634">
      <c r="A2634">
        <f>IF($B2634="","",INDEX(Dossiers!$E$4:$E$63,50))</f>
        <v/>
      </c>
      <c r="B2634">
        <f>IF(INDEX(Suivi!$B:$B,2684)="","",INDEX(Suivi!$B:$B,2684))</f>
        <v/>
      </c>
      <c r="C2634">
        <f>IF($B2634="","",IF(INDEX(Suivi!$D:$D,2684)="",INDEX(Suivi!$C:$C,2684),INDEX(Suivi!$D:$D,2684)))</f>
        <v/>
      </c>
      <c r="D2634" s="29">
        <f>IF($B2634="","",INDEX(Suivi!$E:$E,2684))</f>
        <v/>
      </c>
      <c r="E2634" s="29">
        <f>IF($B2634="","",INDEX(Suivi!$F:$F,2684))</f>
        <v/>
      </c>
      <c r="F2634">
        <f>IF($B2634="","",INDEX(Suivi!$G:$G,2684))</f>
        <v/>
      </c>
      <c r="H2634">
        <f>IF(OR($B2634="",NOT(ISNUMBER($D2634))),"",IF($E2634&lt;$D$2,"Passé",IF($D2634&gt;$F$2,"À venir","Dans la période")))</f>
        <v/>
      </c>
      <c r="I2634">
        <f>IF(OR($B2634="",NOT(ISNUMBER($D2634))),"",IF(AND($E2634&lt;$D$2,$G2634&lt;&gt;"X",$F2634&lt;&gt;"Réalisé",$F2634&lt;&gt;"Clôturé"),"RETARD",""))</f>
        <v/>
      </c>
      <c r="J2634" s="29">
        <f>IF($B2634="","",IF(INDEX(Dossiers!$F$4:$F$63,50)="","",INDEX(Dossiers!$F$4:$F$63,50)))</f>
        <v/>
      </c>
      <c r="K2634" s="29">
        <f>IF($B2634="","",IF(INDEX(Dossiers!$G$4:$G$63,50)="","",INDEX(Dossiers!$G$4:$G$63,50)))</f>
        <v/>
      </c>
    </row>
    <row r="2635">
      <c r="A2635">
        <f>IF($B2635="","",INDEX(Dossiers!$E$4:$E$63,50))</f>
        <v/>
      </c>
      <c r="B2635">
        <f>IF(INDEX(Suivi!$B:$B,2685)="","",INDEX(Suivi!$B:$B,2685))</f>
        <v/>
      </c>
      <c r="C2635">
        <f>IF($B2635="","",IF(INDEX(Suivi!$D:$D,2685)="",INDEX(Suivi!$C:$C,2685),INDEX(Suivi!$D:$D,2685)))</f>
        <v/>
      </c>
      <c r="D2635" s="29">
        <f>IF($B2635="","",INDEX(Suivi!$E:$E,2685))</f>
        <v/>
      </c>
      <c r="E2635" s="29">
        <f>IF($B2635="","",INDEX(Suivi!$F:$F,2685))</f>
        <v/>
      </c>
      <c r="F2635">
        <f>IF($B2635="","",INDEX(Suivi!$G:$G,2685))</f>
        <v/>
      </c>
      <c r="H2635">
        <f>IF(OR($B2635="",NOT(ISNUMBER($D2635))),"",IF($E2635&lt;$D$2,"Passé",IF($D2635&gt;$F$2,"À venir","Dans la période")))</f>
        <v/>
      </c>
      <c r="I2635">
        <f>IF(OR($B2635="",NOT(ISNUMBER($D2635))),"",IF(AND($E2635&lt;$D$2,$G2635&lt;&gt;"X",$F2635&lt;&gt;"Réalisé",$F2635&lt;&gt;"Clôturé"),"RETARD",""))</f>
        <v/>
      </c>
      <c r="J2635" s="29">
        <f>IF($B2635="","",IF(INDEX(Dossiers!$F$4:$F$63,50)="","",INDEX(Dossiers!$F$4:$F$63,50)))</f>
        <v/>
      </c>
      <c r="K2635" s="29">
        <f>IF($B2635="","",IF(INDEX(Dossiers!$G$4:$G$63,50)="","",INDEX(Dossiers!$G$4:$G$63,50)))</f>
        <v/>
      </c>
    </row>
    <row r="2636">
      <c r="A2636">
        <f>IF($B2636="","",INDEX(Dossiers!$E$4:$E$63,50))</f>
        <v/>
      </c>
      <c r="B2636">
        <f>IF(INDEX(Suivi!$B:$B,2686)="","",INDEX(Suivi!$B:$B,2686))</f>
        <v/>
      </c>
      <c r="C2636">
        <f>IF($B2636="","",IF(INDEX(Suivi!$D:$D,2686)="",INDEX(Suivi!$C:$C,2686),INDEX(Suivi!$D:$D,2686)))</f>
        <v/>
      </c>
      <c r="D2636" s="29">
        <f>IF($B2636="","",INDEX(Suivi!$E:$E,2686))</f>
        <v/>
      </c>
      <c r="E2636" s="29">
        <f>IF($B2636="","",INDEX(Suivi!$F:$F,2686))</f>
        <v/>
      </c>
      <c r="F2636">
        <f>IF($B2636="","",INDEX(Suivi!$G:$G,2686))</f>
        <v/>
      </c>
      <c r="H2636">
        <f>IF(OR($B2636="",NOT(ISNUMBER($D2636))),"",IF($E2636&lt;$D$2,"Passé",IF($D2636&gt;$F$2,"À venir","Dans la période")))</f>
        <v/>
      </c>
      <c r="I2636">
        <f>IF(OR($B2636="",NOT(ISNUMBER($D2636))),"",IF(AND($E2636&lt;$D$2,$G2636&lt;&gt;"X",$F2636&lt;&gt;"Réalisé",$F2636&lt;&gt;"Clôturé"),"RETARD",""))</f>
        <v/>
      </c>
      <c r="J2636" s="29">
        <f>IF($B2636="","",IF(INDEX(Dossiers!$F$4:$F$63,50)="","",INDEX(Dossiers!$F$4:$F$63,50)))</f>
        <v/>
      </c>
      <c r="K2636" s="29">
        <f>IF($B2636="","",IF(INDEX(Dossiers!$G$4:$G$63,50)="","",INDEX(Dossiers!$G$4:$G$63,50)))</f>
        <v/>
      </c>
    </row>
    <row r="2637">
      <c r="A2637">
        <f>IF($B2637="","",INDEX(Dossiers!$E$4:$E$63,50))</f>
        <v/>
      </c>
      <c r="B2637">
        <f>IF(INDEX(Suivi!$B:$B,2687)="","",INDEX(Suivi!$B:$B,2687))</f>
        <v/>
      </c>
      <c r="C2637">
        <f>IF($B2637="","",IF(INDEX(Suivi!$D:$D,2687)="",INDEX(Suivi!$C:$C,2687),INDEX(Suivi!$D:$D,2687)))</f>
        <v/>
      </c>
      <c r="D2637" s="29">
        <f>IF($B2637="","",INDEX(Suivi!$E:$E,2687))</f>
        <v/>
      </c>
      <c r="E2637" s="29">
        <f>IF($B2637="","",INDEX(Suivi!$F:$F,2687))</f>
        <v/>
      </c>
      <c r="F2637">
        <f>IF($B2637="","",INDEX(Suivi!$G:$G,2687))</f>
        <v/>
      </c>
      <c r="H2637">
        <f>IF(OR($B2637="",NOT(ISNUMBER($D2637))),"",IF($E2637&lt;$D$2,"Passé",IF($D2637&gt;$F$2,"À venir","Dans la période")))</f>
        <v/>
      </c>
      <c r="I2637">
        <f>IF(OR($B2637="",NOT(ISNUMBER($D2637))),"",IF(AND($E2637&lt;$D$2,$G2637&lt;&gt;"X",$F2637&lt;&gt;"Réalisé",$F2637&lt;&gt;"Clôturé"),"RETARD",""))</f>
        <v/>
      </c>
      <c r="J2637" s="29">
        <f>IF($B2637="","",IF(INDEX(Dossiers!$F$4:$F$63,50)="","",INDEX(Dossiers!$F$4:$F$63,50)))</f>
        <v/>
      </c>
      <c r="K2637" s="29">
        <f>IF($B2637="","",IF(INDEX(Dossiers!$G$4:$G$63,50)="","",INDEX(Dossiers!$G$4:$G$63,50)))</f>
        <v/>
      </c>
    </row>
    <row r="2638">
      <c r="A2638">
        <f>IF($B2638="","",INDEX(Dossiers!$E$4:$E$63,50))</f>
        <v/>
      </c>
      <c r="B2638">
        <f>IF(INDEX(Suivi!$B:$B,2688)="","",INDEX(Suivi!$B:$B,2688))</f>
        <v/>
      </c>
      <c r="C2638">
        <f>IF($B2638="","",IF(INDEX(Suivi!$D:$D,2688)="",INDEX(Suivi!$C:$C,2688),INDEX(Suivi!$D:$D,2688)))</f>
        <v/>
      </c>
      <c r="D2638" s="29">
        <f>IF($B2638="","",INDEX(Suivi!$E:$E,2688))</f>
        <v/>
      </c>
      <c r="E2638" s="29">
        <f>IF($B2638="","",INDEX(Suivi!$F:$F,2688))</f>
        <v/>
      </c>
      <c r="F2638">
        <f>IF($B2638="","",INDEX(Suivi!$G:$G,2688))</f>
        <v/>
      </c>
      <c r="H2638">
        <f>IF(OR($B2638="",NOT(ISNUMBER($D2638))),"",IF($E2638&lt;$D$2,"Passé",IF($D2638&gt;$F$2,"À venir","Dans la période")))</f>
        <v/>
      </c>
      <c r="I2638">
        <f>IF(OR($B2638="",NOT(ISNUMBER($D2638))),"",IF(AND($E2638&lt;$D$2,$G2638&lt;&gt;"X",$F2638&lt;&gt;"Réalisé",$F2638&lt;&gt;"Clôturé"),"RETARD",""))</f>
        <v/>
      </c>
      <c r="J2638" s="29">
        <f>IF($B2638="","",IF(INDEX(Dossiers!$F$4:$F$63,50)="","",INDEX(Dossiers!$F$4:$F$63,50)))</f>
        <v/>
      </c>
      <c r="K2638" s="29">
        <f>IF($B2638="","",IF(INDEX(Dossiers!$G$4:$G$63,50)="","",INDEX(Dossiers!$G$4:$G$63,50)))</f>
        <v/>
      </c>
    </row>
    <row r="2639">
      <c r="A2639">
        <f>IF($B2639="","",INDEX(Dossiers!$E$4:$E$63,50))</f>
        <v/>
      </c>
      <c r="B2639">
        <f>IF(INDEX(Suivi!$B:$B,2689)="","",INDEX(Suivi!$B:$B,2689))</f>
        <v/>
      </c>
      <c r="C2639">
        <f>IF($B2639="","",IF(INDEX(Suivi!$D:$D,2689)="",INDEX(Suivi!$C:$C,2689),INDEX(Suivi!$D:$D,2689)))</f>
        <v/>
      </c>
      <c r="D2639" s="29">
        <f>IF($B2639="","",INDEX(Suivi!$E:$E,2689))</f>
        <v/>
      </c>
      <c r="E2639" s="29">
        <f>IF($B2639="","",INDEX(Suivi!$F:$F,2689))</f>
        <v/>
      </c>
      <c r="F2639">
        <f>IF($B2639="","",INDEX(Suivi!$G:$G,2689))</f>
        <v/>
      </c>
      <c r="H2639">
        <f>IF(OR($B2639="",NOT(ISNUMBER($D2639))),"",IF($E2639&lt;$D$2,"Passé",IF($D2639&gt;$F$2,"À venir","Dans la période")))</f>
        <v/>
      </c>
      <c r="I2639">
        <f>IF(OR($B2639="",NOT(ISNUMBER($D2639))),"",IF(AND($E2639&lt;$D$2,$G2639&lt;&gt;"X",$F2639&lt;&gt;"Réalisé",$F2639&lt;&gt;"Clôturé"),"RETARD",""))</f>
        <v/>
      </c>
      <c r="J2639" s="29">
        <f>IF($B2639="","",IF(INDEX(Dossiers!$F$4:$F$63,50)="","",INDEX(Dossiers!$F$4:$F$63,50)))</f>
        <v/>
      </c>
      <c r="K2639" s="29">
        <f>IF($B2639="","",IF(INDEX(Dossiers!$G$4:$G$63,50)="","",INDEX(Dossiers!$G$4:$G$63,50)))</f>
        <v/>
      </c>
    </row>
    <row r="2640">
      <c r="A2640">
        <f>IF($B2640="","",INDEX(Dossiers!$E$4:$E$63,50))</f>
        <v/>
      </c>
      <c r="B2640">
        <f>IF(INDEX(Suivi!$B:$B,2690)="","",INDEX(Suivi!$B:$B,2690))</f>
        <v/>
      </c>
      <c r="C2640">
        <f>IF($B2640="","",IF(INDEX(Suivi!$D:$D,2690)="",INDEX(Suivi!$C:$C,2690),INDEX(Suivi!$D:$D,2690)))</f>
        <v/>
      </c>
      <c r="D2640" s="29">
        <f>IF($B2640="","",INDEX(Suivi!$E:$E,2690))</f>
        <v/>
      </c>
      <c r="E2640" s="29">
        <f>IF($B2640="","",INDEX(Suivi!$F:$F,2690))</f>
        <v/>
      </c>
      <c r="F2640">
        <f>IF($B2640="","",INDEX(Suivi!$G:$G,2690))</f>
        <v/>
      </c>
      <c r="H2640">
        <f>IF(OR($B2640="",NOT(ISNUMBER($D2640))),"",IF($E2640&lt;$D$2,"Passé",IF($D2640&gt;$F$2,"À venir","Dans la période")))</f>
        <v/>
      </c>
      <c r="I2640">
        <f>IF(OR($B2640="",NOT(ISNUMBER($D2640))),"",IF(AND($E2640&lt;$D$2,$G2640&lt;&gt;"X",$F2640&lt;&gt;"Réalisé",$F2640&lt;&gt;"Clôturé"),"RETARD",""))</f>
        <v/>
      </c>
      <c r="J2640" s="29">
        <f>IF($B2640="","",IF(INDEX(Dossiers!$F$4:$F$63,50)="","",INDEX(Dossiers!$F$4:$F$63,50)))</f>
        <v/>
      </c>
      <c r="K2640" s="29">
        <f>IF($B2640="","",IF(INDEX(Dossiers!$G$4:$G$63,50)="","",INDEX(Dossiers!$G$4:$G$63,50)))</f>
        <v/>
      </c>
    </row>
    <row r="2641">
      <c r="A2641">
        <f>IF($B2641="","",INDEX(Dossiers!$E$4:$E$63,50))</f>
        <v/>
      </c>
      <c r="B2641">
        <f>IF(INDEX(Suivi!$B:$B,2691)="","",INDEX(Suivi!$B:$B,2691))</f>
        <v/>
      </c>
      <c r="C2641">
        <f>IF($B2641="","",IF(INDEX(Suivi!$D:$D,2691)="",INDEX(Suivi!$C:$C,2691),INDEX(Suivi!$D:$D,2691)))</f>
        <v/>
      </c>
      <c r="D2641" s="29">
        <f>IF($B2641="","",INDEX(Suivi!$E:$E,2691))</f>
        <v/>
      </c>
      <c r="E2641" s="29">
        <f>IF($B2641="","",INDEX(Suivi!$F:$F,2691))</f>
        <v/>
      </c>
      <c r="F2641">
        <f>IF($B2641="","",INDEX(Suivi!$G:$G,2691))</f>
        <v/>
      </c>
      <c r="H2641">
        <f>IF(OR($B2641="",NOT(ISNUMBER($D2641))),"",IF($E2641&lt;$D$2,"Passé",IF($D2641&gt;$F$2,"À venir","Dans la période")))</f>
        <v/>
      </c>
      <c r="I2641">
        <f>IF(OR($B2641="",NOT(ISNUMBER($D2641))),"",IF(AND($E2641&lt;$D$2,$G2641&lt;&gt;"X",$F2641&lt;&gt;"Réalisé",$F2641&lt;&gt;"Clôturé"),"RETARD",""))</f>
        <v/>
      </c>
      <c r="J2641" s="29">
        <f>IF($B2641="","",IF(INDEX(Dossiers!$F$4:$F$63,50)="","",INDEX(Dossiers!$F$4:$F$63,50)))</f>
        <v/>
      </c>
      <c r="K2641" s="29">
        <f>IF($B2641="","",IF(INDEX(Dossiers!$G$4:$G$63,50)="","",INDEX(Dossiers!$G$4:$G$63,50)))</f>
        <v/>
      </c>
    </row>
    <row r="2642">
      <c r="A2642">
        <f>IF($B2642="","",INDEX(Dossiers!$E$4:$E$63,50))</f>
        <v/>
      </c>
      <c r="B2642">
        <f>IF(INDEX(Suivi!$B:$B,2692)="","",INDEX(Suivi!$B:$B,2692))</f>
        <v/>
      </c>
      <c r="C2642">
        <f>IF($B2642="","",IF(INDEX(Suivi!$D:$D,2692)="",INDEX(Suivi!$C:$C,2692),INDEX(Suivi!$D:$D,2692)))</f>
        <v/>
      </c>
      <c r="D2642" s="29">
        <f>IF($B2642="","",INDEX(Suivi!$E:$E,2692))</f>
        <v/>
      </c>
      <c r="E2642" s="29">
        <f>IF($B2642="","",INDEX(Suivi!$F:$F,2692))</f>
        <v/>
      </c>
      <c r="F2642">
        <f>IF($B2642="","",INDEX(Suivi!$G:$G,2692))</f>
        <v/>
      </c>
      <c r="H2642">
        <f>IF(OR($B2642="",NOT(ISNUMBER($D2642))),"",IF($E2642&lt;$D$2,"Passé",IF($D2642&gt;$F$2,"À venir","Dans la période")))</f>
        <v/>
      </c>
      <c r="I2642">
        <f>IF(OR($B2642="",NOT(ISNUMBER($D2642))),"",IF(AND($E2642&lt;$D$2,$G2642&lt;&gt;"X",$F2642&lt;&gt;"Réalisé",$F2642&lt;&gt;"Clôturé"),"RETARD",""))</f>
        <v/>
      </c>
      <c r="J2642" s="29">
        <f>IF($B2642="","",IF(INDEX(Dossiers!$F$4:$F$63,50)="","",INDEX(Dossiers!$F$4:$F$63,50)))</f>
        <v/>
      </c>
      <c r="K2642" s="29">
        <f>IF($B2642="","",IF(INDEX(Dossiers!$G$4:$G$63,50)="","",INDEX(Dossiers!$G$4:$G$63,50)))</f>
        <v/>
      </c>
    </row>
    <row r="2643">
      <c r="A2643">
        <f>IF($B2643="","",INDEX(Dossiers!$E$4:$E$63,50))</f>
        <v/>
      </c>
      <c r="B2643">
        <f>IF(INDEX(Suivi!$B:$B,2693)="","",INDEX(Suivi!$B:$B,2693))</f>
        <v/>
      </c>
      <c r="C2643">
        <f>IF($B2643="","",IF(INDEX(Suivi!$D:$D,2693)="",INDEX(Suivi!$C:$C,2693),INDEX(Suivi!$D:$D,2693)))</f>
        <v/>
      </c>
      <c r="D2643" s="29">
        <f>IF($B2643="","",INDEX(Suivi!$E:$E,2693))</f>
        <v/>
      </c>
      <c r="E2643" s="29">
        <f>IF($B2643="","",INDEX(Suivi!$F:$F,2693))</f>
        <v/>
      </c>
      <c r="F2643">
        <f>IF($B2643="","",INDEX(Suivi!$G:$G,2693))</f>
        <v/>
      </c>
      <c r="H2643">
        <f>IF(OR($B2643="",NOT(ISNUMBER($D2643))),"",IF($E2643&lt;$D$2,"Passé",IF($D2643&gt;$F$2,"À venir","Dans la période")))</f>
        <v/>
      </c>
      <c r="I2643">
        <f>IF(OR($B2643="",NOT(ISNUMBER($D2643))),"",IF(AND($E2643&lt;$D$2,$G2643&lt;&gt;"X",$F2643&lt;&gt;"Réalisé",$F2643&lt;&gt;"Clôturé"),"RETARD",""))</f>
        <v/>
      </c>
      <c r="J2643" s="29">
        <f>IF($B2643="","",IF(INDEX(Dossiers!$F$4:$F$63,50)="","",INDEX(Dossiers!$F$4:$F$63,50)))</f>
        <v/>
      </c>
      <c r="K2643" s="29">
        <f>IF($B2643="","",IF(INDEX(Dossiers!$G$4:$G$63,50)="","",INDEX(Dossiers!$G$4:$G$63,50)))</f>
        <v/>
      </c>
    </row>
    <row r="2644">
      <c r="A2644">
        <f>IF($B2644="","",INDEX(Dossiers!$E$4:$E$63,50))</f>
        <v/>
      </c>
      <c r="B2644">
        <f>IF(INDEX(Suivi!$B:$B,2694)="","",INDEX(Suivi!$B:$B,2694))</f>
        <v/>
      </c>
      <c r="C2644">
        <f>IF($B2644="","",IF(INDEX(Suivi!$D:$D,2694)="",INDEX(Suivi!$C:$C,2694),INDEX(Suivi!$D:$D,2694)))</f>
        <v/>
      </c>
      <c r="D2644" s="29">
        <f>IF($B2644="","",INDEX(Suivi!$E:$E,2694))</f>
        <v/>
      </c>
      <c r="E2644" s="29">
        <f>IF($B2644="","",INDEX(Suivi!$F:$F,2694))</f>
        <v/>
      </c>
      <c r="F2644">
        <f>IF($B2644="","",INDEX(Suivi!$G:$G,2694))</f>
        <v/>
      </c>
      <c r="H2644">
        <f>IF(OR($B2644="",NOT(ISNUMBER($D2644))),"",IF($E2644&lt;$D$2,"Passé",IF($D2644&gt;$F$2,"À venir","Dans la période")))</f>
        <v/>
      </c>
      <c r="I2644">
        <f>IF(OR($B2644="",NOT(ISNUMBER($D2644))),"",IF(AND($E2644&lt;$D$2,$G2644&lt;&gt;"X",$F2644&lt;&gt;"Réalisé",$F2644&lt;&gt;"Clôturé"),"RETARD",""))</f>
        <v/>
      </c>
      <c r="J2644" s="29">
        <f>IF($B2644="","",IF(INDEX(Dossiers!$F$4:$F$63,50)="","",INDEX(Dossiers!$F$4:$F$63,50)))</f>
        <v/>
      </c>
      <c r="K2644" s="29">
        <f>IF($B2644="","",IF(INDEX(Dossiers!$G$4:$G$63,50)="","",INDEX(Dossiers!$G$4:$G$63,50)))</f>
        <v/>
      </c>
    </row>
    <row r="2645">
      <c r="A2645">
        <f>IF($B2645="","",INDEX(Dossiers!$E$4:$E$63,50))</f>
        <v/>
      </c>
      <c r="B2645">
        <f>IF(INDEX(Suivi!$B:$B,2695)="","",INDEX(Suivi!$B:$B,2695))</f>
        <v/>
      </c>
      <c r="C2645">
        <f>IF($B2645="","",IF(INDEX(Suivi!$D:$D,2695)="",INDEX(Suivi!$C:$C,2695),INDEX(Suivi!$D:$D,2695)))</f>
        <v/>
      </c>
      <c r="D2645" s="29">
        <f>IF($B2645="","",INDEX(Suivi!$E:$E,2695))</f>
        <v/>
      </c>
      <c r="E2645" s="29">
        <f>IF($B2645="","",INDEX(Suivi!$F:$F,2695))</f>
        <v/>
      </c>
      <c r="F2645">
        <f>IF($B2645="","",INDEX(Suivi!$G:$G,2695))</f>
        <v/>
      </c>
      <c r="H2645">
        <f>IF(OR($B2645="",NOT(ISNUMBER($D2645))),"",IF($E2645&lt;$D$2,"Passé",IF($D2645&gt;$F$2,"À venir","Dans la période")))</f>
        <v/>
      </c>
      <c r="I2645">
        <f>IF(OR($B2645="",NOT(ISNUMBER($D2645))),"",IF(AND($E2645&lt;$D$2,$G2645&lt;&gt;"X",$F2645&lt;&gt;"Réalisé",$F2645&lt;&gt;"Clôturé"),"RETARD",""))</f>
        <v/>
      </c>
      <c r="J2645" s="29">
        <f>IF($B2645="","",IF(INDEX(Dossiers!$F$4:$F$63,50)="","",INDEX(Dossiers!$F$4:$F$63,50)))</f>
        <v/>
      </c>
      <c r="K2645" s="29">
        <f>IF($B2645="","",IF(INDEX(Dossiers!$G$4:$G$63,50)="","",INDEX(Dossiers!$G$4:$G$63,50)))</f>
        <v/>
      </c>
    </row>
    <row r="2646">
      <c r="A2646">
        <f>IF($B2646="","",INDEX(Dossiers!$E$4:$E$63,50))</f>
        <v/>
      </c>
      <c r="B2646">
        <f>IF(INDEX(Suivi!$B:$B,2696)="","",INDEX(Suivi!$B:$B,2696))</f>
        <v/>
      </c>
      <c r="C2646">
        <f>IF($B2646="","",IF(INDEX(Suivi!$D:$D,2696)="",INDEX(Suivi!$C:$C,2696),INDEX(Suivi!$D:$D,2696)))</f>
        <v/>
      </c>
      <c r="D2646" s="29">
        <f>IF($B2646="","",INDEX(Suivi!$E:$E,2696))</f>
        <v/>
      </c>
      <c r="E2646" s="29">
        <f>IF($B2646="","",INDEX(Suivi!$F:$F,2696))</f>
        <v/>
      </c>
      <c r="F2646">
        <f>IF($B2646="","",INDEX(Suivi!$G:$G,2696))</f>
        <v/>
      </c>
      <c r="H2646">
        <f>IF(OR($B2646="",NOT(ISNUMBER($D2646))),"",IF($E2646&lt;$D$2,"Passé",IF($D2646&gt;$F$2,"À venir","Dans la période")))</f>
        <v/>
      </c>
      <c r="I2646">
        <f>IF(OR($B2646="",NOT(ISNUMBER($D2646))),"",IF(AND($E2646&lt;$D$2,$G2646&lt;&gt;"X",$F2646&lt;&gt;"Réalisé",$F2646&lt;&gt;"Clôturé"),"RETARD",""))</f>
        <v/>
      </c>
      <c r="J2646" s="29">
        <f>IF($B2646="","",IF(INDEX(Dossiers!$F$4:$F$63,50)="","",INDEX(Dossiers!$F$4:$F$63,50)))</f>
        <v/>
      </c>
      <c r="K2646" s="29">
        <f>IF($B2646="","",IF(INDEX(Dossiers!$G$4:$G$63,50)="","",INDEX(Dossiers!$G$4:$G$63,50)))</f>
        <v/>
      </c>
    </row>
    <row r="2647">
      <c r="A2647">
        <f>IF($B2647="","",INDEX(Dossiers!$E$4:$E$63,50))</f>
        <v/>
      </c>
      <c r="B2647">
        <f>IF(INDEX(Suivi!$B:$B,2697)="","",INDEX(Suivi!$B:$B,2697))</f>
        <v/>
      </c>
      <c r="C2647">
        <f>IF($B2647="","",IF(INDEX(Suivi!$D:$D,2697)="",INDEX(Suivi!$C:$C,2697),INDEX(Suivi!$D:$D,2697)))</f>
        <v/>
      </c>
      <c r="D2647" s="29">
        <f>IF($B2647="","",INDEX(Suivi!$E:$E,2697))</f>
        <v/>
      </c>
      <c r="E2647" s="29">
        <f>IF($B2647="","",INDEX(Suivi!$F:$F,2697))</f>
        <v/>
      </c>
      <c r="F2647">
        <f>IF($B2647="","",INDEX(Suivi!$G:$G,2697))</f>
        <v/>
      </c>
      <c r="H2647">
        <f>IF(OR($B2647="",NOT(ISNUMBER($D2647))),"",IF($E2647&lt;$D$2,"Passé",IF($D2647&gt;$F$2,"À venir","Dans la période")))</f>
        <v/>
      </c>
      <c r="I2647">
        <f>IF(OR($B2647="",NOT(ISNUMBER($D2647))),"",IF(AND($E2647&lt;$D$2,$G2647&lt;&gt;"X",$F2647&lt;&gt;"Réalisé",$F2647&lt;&gt;"Clôturé"),"RETARD",""))</f>
        <v/>
      </c>
      <c r="J2647" s="29">
        <f>IF($B2647="","",IF(INDEX(Dossiers!$F$4:$F$63,50)="","",INDEX(Dossiers!$F$4:$F$63,50)))</f>
        <v/>
      </c>
      <c r="K2647" s="29">
        <f>IF($B2647="","",IF(INDEX(Dossiers!$G$4:$G$63,50)="","",INDEX(Dossiers!$G$4:$G$63,50)))</f>
        <v/>
      </c>
    </row>
    <row r="2648">
      <c r="A2648">
        <f>IF($B2648="","",INDEX(Dossiers!$E$4:$E$63,50))</f>
        <v/>
      </c>
      <c r="B2648">
        <f>IF(INDEX(Suivi!$B:$B,2698)="","",INDEX(Suivi!$B:$B,2698))</f>
        <v/>
      </c>
      <c r="C2648">
        <f>IF($B2648="","",IF(INDEX(Suivi!$D:$D,2698)="",INDEX(Suivi!$C:$C,2698),INDEX(Suivi!$D:$D,2698)))</f>
        <v/>
      </c>
      <c r="D2648" s="29">
        <f>IF($B2648="","",INDEX(Suivi!$E:$E,2698))</f>
        <v/>
      </c>
      <c r="E2648" s="29">
        <f>IF($B2648="","",INDEX(Suivi!$F:$F,2698))</f>
        <v/>
      </c>
      <c r="F2648">
        <f>IF($B2648="","",INDEX(Suivi!$G:$G,2698))</f>
        <v/>
      </c>
      <c r="H2648">
        <f>IF(OR($B2648="",NOT(ISNUMBER($D2648))),"",IF($E2648&lt;$D$2,"Passé",IF($D2648&gt;$F$2,"À venir","Dans la période")))</f>
        <v/>
      </c>
      <c r="I2648">
        <f>IF(OR($B2648="",NOT(ISNUMBER($D2648))),"",IF(AND($E2648&lt;$D$2,$G2648&lt;&gt;"X",$F2648&lt;&gt;"Réalisé",$F2648&lt;&gt;"Clôturé"),"RETARD",""))</f>
        <v/>
      </c>
      <c r="J2648" s="29">
        <f>IF($B2648="","",IF(INDEX(Dossiers!$F$4:$F$63,50)="","",INDEX(Dossiers!$F$4:$F$63,50)))</f>
        <v/>
      </c>
      <c r="K2648" s="29">
        <f>IF($B2648="","",IF(INDEX(Dossiers!$G$4:$G$63,50)="","",INDEX(Dossiers!$G$4:$G$63,50)))</f>
        <v/>
      </c>
    </row>
    <row r="2649">
      <c r="A2649">
        <f>IF($B2649="","",INDEX(Dossiers!$E$4:$E$63,50))</f>
        <v/>
      </c>
      <c r="B2649">
        <f>IF(INDEX(Suivi!$B:$B,2699)="","",INDEX(Suivi!$B:$B,2699))</f>
        <v/>
      </c>
      <c r="C2649">
        <f>IF($B2649="","",IF(INDEX(Suivi!$D:$D,2699)="",INDEX(Suivi!$C:$C,2699),INDEX(Suivi!$D:$D,2699)))</f>
        <v/>
      </c>
      <c r="D2649" s="29">
        <f>IF($B2649="","",INDEX(Suivi!$E:$E,2699))</f>
        <v/>
      </c>
      <c r="E2649" s="29">
        <f>IF($B2649="","",INDEX(Suivi!$F:$F,2699))</f>
        <v/>
      </c>
      <c r="F2649">
        <f>IF($B2649="","",INDEX(Suivi!$G:$G,2699))</f>
        <v/>
      </c>
      <c r="H2649">
        <f>IF(OR($B2649="",NOT(ISNUMBER($D2649))),"",IF($E2649&lt;$D$2,"Passé",IF($D2649&gt;$F$2,"À venir","Dans la période")))</f>
        <v/>
      </c>
      <c r="I2649">
        <f>IF(OR($B2649="",NOT(ISNUMBER($D2649))),"",IF(AND($E2649&lt;$D$2,$G2649&lt;&gt;"X",$F2649&lt;&gt;"Réalisé",$F2649&lt;&gt;"Clôturé"),"RETARD",""))</f>
        <v/>
      </c>
      <c r="J2649" s="29">
        <f>IF($B2649="","",IF(INDEX(Dossiers!$F$4:$F$63,50)="","",INDEX(Dossiers!$F$4:$F$63,50)))</f>
        <v/>
      </c>
      <c r="K2649" s="29">
        <f>IF($B2649="","",IF(INDEX(Dossiers!$G$4:$G$63,50)="","",INDEX(Dossiers!$G$4:$G$63,50)))</f>
        <v/>
      </c>
    </row>
    <row r="2650">
      <c r="A2650">
        <f>IF($B2650="","",INDEX(Dossiers!$E$4:$E$63,50))</f>
        <v/>
      </c>
      <c r="B2650">
        <f>IF(INDEX(Suivi!$B:$B,2700)="","",INDEX(Suivi!$B:$B,2700))</f>
        <v/>
      </c>
      <c r="C2650">
        <f>IF($B2650="","",IF(INDEX(Suivi!$D:$D,2700)="",INDEX(Suivi!$C:$C,2700),INDEX(Suivi!$D:$D,2700)))</f>
        <v/>
      </c>
      <c r="D2650" s="29">
        <f>IF($B2650="","",INDEX(Suivi!$E:$E,2700))</f>
        <v/>
      </c>
      <c r="E2650" s="29">
        <f>IF($B2650="","",INDEX(Suivi!$F:$F,2700))</f>
        <v/>
      </c>
      <c r="F2650">
        <f>IF($B2650="","",INDEX(Suivi!$G:$G,2700))</f>
        <v/>
      </c>
      <c r="H2650">
        <f>IF(OR($B2650="",NOT(ISNUMBER($D2650))),"",IF($E2650&lt;$D$2,"Passé",IF($D2650&gt;$F$2,"À venir","Dans la période")))</f>
        <v/>
      </c>
      <c r="I2650">
        <f>IF(OR($B2650="",NOT(ISNUMBER($D2650))),"",IF(AND($E2650&lt;$D$2,$G2650&lt;&gt;"X",$F2650&lt;&gt;"Réalisé",$F2650&lt;&gt;"Clôturé"),"RETARD",""))</f>
        <v/>
      </c>
      <c r="J2650" s="29">
        <f>IF($B2650="","",IF(INDEX(Dossiers!$F$4:$F$63,50)="","",INDEX(Dossiers!$F$4:$F$63,50)))</f>
        <v/>
      </c>
      <c r="K2650" s="29">
        <f>IF($B2650="","",IF(INDEX(Dossiers!$G$4:$G$63,50)="","",INDEX(Dossiers!$G$4:$G$63,50)))</f>
        <v/>
      </c>
    </row>
    <row r="2651">
      <c r="A2651">
        <f>IF($B2651="","",INDEX(Dossiers!$E$4:$E$63,50))</f>
        <v/>
      </c>
      <c r="B2651">
        <f>IF(INDEX(Suivi!$B:$B,2701)="","",INDEX(Suivi!$B:$B,2701))</f>
        <v/>
      </c>
      <c r="C2651">
        <f>IF($B2651="","",IF(INDEX(Suivi!$D:$D,2701)="",INDEX(Suivi!$C:$C,2701),INDEX(Suivi!$D:$D,2701)))</f>
        <v/>
      </c>
      <c r="D2651" s="29">
        <f>IF($B2651="","",INDEX(Suivi!$E:$E,2701))</f>
        <v/>
      </c>
      <c r="E2651" s="29">
        <f>IF($B2651="","",INDEX(Suivi!$F:$F,2701))</f>
        <v/>
      </c>
      <c r="F2651">
        <f>IF($B2651="","",INDEX(Suivi!$G:$G,2701))</f>
        <v/>
      </c>
      <c r="H2651">
        <f>IF(OR($B2651="",NOT(ISNUMBER($D2651))),"",IF($E2651&lt;$D$2,"Passé",IF($D2651&gt;$F$2,"À venir","Dans la période")))</f>
        <v/>
      </c>
      <c r="I2651">
        <f>IF(OR($B2651="",NOT(ISNUMBER($D2651))),"",IF(AND($E2651&lt;$D$2,$G2651&lt;&gt;"X",$F2651&lt;&gt;"Réalisé",$F2651&lt;&gt;"Clôturé"),"RETARD",""))</f>
        <v/>
      </c>
      <c r="J2651" s="29">
        <f>IF($B2651="","",IF(INDEX(Dossiers!$F$4:$F$63,50)="","",INDEX(Dossiers!$F$4:$F$63,50)))</f>
        <v/>
      </c>
      <c r="K2651" s="29">
        <f>IF($B2651="","",IF(INDEX(Dossiers!$G$4:$G$63,50)="","",INDEX(Dossiers!$G$4:$G$63,50)))</f>
        <v/>
      </c>
    </row>
    <row r="2652">
      <c r="A2652">
        <f>IF($B2652="","",INDEX(Dossiers!$E$4:$E$63,50))</f>
        <v/>
      </c>
      <c r="B2652">
        <f>IF(INDEX(Suivi!$B:$B,2702)="","",INDEX(Suivi!$B:$B,2702))</f>
        <v/>
      </c>
      <c r="C2652">
        <f>IF($B2652="","",IF(INDEX(Suivi!$D:$D,2702)="",INDEX(Suivi!$C:$C,2702),INDEX(Suivi!$D:$D,2702)))</f>
        <v/>
      </c>
      <c r="D2652" s="29">
        <f>IF($B2652="","",INDEX(Suivi!$E:$E,2702))</f>
        <v/>
      </c>
      <c r="E2652" s="29">
        <f>IF($B2652="","",INDEX(Suivi!$F:$F,2702))</f>
        <v/>
      </c>
      <c r="F2652">
        <f>IF($B2652="","",INDEX(Suivi!$G:$G,2702))</f>
        <v/>
      </c>
      <c r="H2652">
        <f>IF(OR($B2652="",NOT(ISNUMBER($D2652))),"",IF($E2652&lt;$D$2,"Passé",IF($D2652&gt;$F$2,"À venir","Dans la période")))</f>
        <v/>
      </c>
      <c r="I2652">
        <f>IF(OR($B2652="",NOT(ISNUMBER($D2652))),"",IF(AND($E2652&lt;$D$2,$G2652&lt;&gt;"X",$F2652&lt;&gt;"Réalisé",$F2652&lt;&gt;"Clôturé"),"RETARD",""))</f>
        <v/>
      </c>
      <c r="J2652" s="29">
        <f>IF($B2652="","",IF(INDEX(Dossiers!$F$4:$F$63,50)="","",INDEX(Dossiers!$F$4:$F$63,50)))</f>
        <v/>
      </c>
      <c r="K2652" s="29">
        <f>IF($B2652="","",IF(INDEX(Dossiers!$G$4:$G$63,50)="","",INDEX(Dossiers!$G$4:$G$63,50)))</f>
        <v/>
      </c>
    </row>
    <row r="2653">
      <c r="A2653">
        <f>IF($B2653="","",INDEX(Dossiers!$E$4:$E$63,50))</f>
        <v/>
      </c>
      <c r="B2653">
        <f>IF(INDEX(Suivi!$B:$B,2703)="","",INDEX(Suivi!$B:$B,2703))</f>
        <v/>
      </c>
      <c r="C2653">
        <f>IF($B2653="","",IF(INDEX(Suivi!$D:$D,2703)="",INDEX(Suivi!$C:$C,2703),INDEX(Suivi!$D:$D,2703)))</f>
        <v/>
      </c>
      <c r="D2653" s="29">
        <f>IF($B2653="","",INDEX(Suivi!$E:$E,2703))</f>
        <v/>
      </c>
      <c r="E2653" s="29">
        <f>IF($B2653="","",INDEX(Suivi!$F:$F,2703))</f>
        <v/>
      </c>
      <c r="F2653">
        <f>IF($B2653="","",INDEX(Suivi!$G:$G,2703))</f>
        <v/>
      </c>
      <c r="H2653">
        <f>IF(OR($B2653="",NOT(ISNUMBER($D2653))),"",IF($E2653&lt;$D$2,"Passé",IF($D2653&gt;$F$2,"À venir","Dans la période")))</f>
        <v/>
      </c>
      <c r="I2653">
        <f>IF(OR($B2653="",NOT(ISNUMBER($D2653))),"",IF(AND($E2653&lt;$D$2,$G2653&lt;&gt;"X",$F2653&lt;&gt;"Réalisé",$F2653&lt;&gt;"Clôturé"),"RETARD",""))</f>
        <v/>
      </c>
      <c r="J2653" s="29">
        <f>IF($B2653="","",IF(INDEX(Dossiers!$F$4:$F$63,50)="","",INDEX(Dossiers!$F$4:$F$63,50)))</f>
        <v/>
      </c>
      <c r="K2653" s="29">
        <f>IF($B2653="","",IF(INDEX(Dossiers!$G$4:$G$63,50)="","",INDEX(Dossiers!$G$4:$G$63,50)))</f>
        <v/>
      </c>
    </row>
    <row r="2654">
      <c r="A2654">
        <f>IF($B2654="","",INDEX(Dossiers!$E$4:$E$63,51))</f>
        <v/>
      </c>
      <c r="B2654">
        <f>IF(INDEX(Suivi!$B:$B,2705)="","",INDEX(Suivi!$B:$B,2705))</f>
        <v/>
      </c>
      <c r="C2654">
        <f>IF($B2654="","",IF(INDEX(Suivi!$D:$D,2705)="",INDEX(Suivi!$C:$C,2705),INDEX(Suivi!$D:$D,2705)))</f>
        <v/>
      </c>
      <c r="D2654" s="29">
        <f>IF($B2654="","",INDEX(Suivi!$E:$E,2705))</f>
        <v/>
      </c>
      <c r="E2654" s="29">
        <f>IF($B2654="","",INDEX(Suivi!$F:$F,2705))</f>
        <v/>
      </c>
      <c r="F2654">
        <f>IF($B2654="","",INDEX(Suivi!$G:$G,2705))</f>
        <v/>
      </c>
      <c r="H2654">
        <f>IF(OR($B2654="",NOT(ISNUMBER($D2654))),"",IF($E2654&lt;$D$2,"Passé",IF($D2654&gt;$F$2,"À venir","Dans la période")))</f>
        <v/>
      </c>
      <c r="I2654">
        <f>IF(OR($B2654="",NOT(ISNUMBER($D2654))),"",IF(AND($E2654&lt;$D$2,$G2654&lt;&gt;"X",$F2654&lt;&gt;"Réalisé",$F2654&lt;&gt;"Clôturé"),"RETARD",""))</f>
        <v/>
      </c>
      <c r="J2654" s="29">
        <f>IF($B2654="","",IF(INDEX(Dossiers!$F$4:$F$63,51)="","",INDEX(Dossiers!$F$4:$F$63,51)))</f>
        <v/>
      </c>
      <c r="K2654" s="29">
        <f>IF($B2654="","",IF(INDEX(Dossiers!$G$4:$G$63,51)="","",INDEX(Dossiers!$G$4:$G$63,51)))</f>
        <v/>
      </c>
    </row>
    <row r="2655">
      <c r="A2655">
        <f>IF($B2655="","",INDEX(Dossiers!$E$4:$E$63,51))</f>
        <v/>
      </c>
      <c r="B2655">
        <f>IF(INDEX(Suivi!$B:$B,2706)="","",INDEX(Suivi!$B:$B,2706))</f>
        <v/>
      </c>
      <c r="C2655">
        <f>IF($B2655="","",IF(INDEX(Suivi!$D:$D,2706)="",INDEX(Suivi!$C:$C,2706),INDEX(Suivi!$D:$D,2706)))</f>
        <v/>
      </c>
      <c r="D2655" s="29">
        <f>IF($B2655="","",INDEX(Suivi!$E:$E,2706))</f>
        <v/>
      </c>
      <c r="E2655" s="29">
        <f>IF($B2655="","",INDEX(Suivi!$F:$F,2706))</f>
        <v/>
      </c>
      <c r="F2655">
        <f>IF($B2655="","",INDEX(Suivi!$G:$G,2706))</f>
        <v/>
      </c>
      <c r="H2655">
        <f>IF(OR($B2655="",NOT(ISNUMBER($D2655))),"",IF($E2655&lt;$D$2,"Passé",IF($D2655&gt;$F$2,"À venir","Dans la période")))</f>
        <v/>
      </c>
      <c r="I2655">
        <f>IF(OR($B2655="",NOT(ISNUMBER($D2655))),"",IF(AND($E2655&lt;$D$2,$G2655&lt;&gt;"X",$F2655&lt;&gt;"Réalisé",$F2655&lt;&gt;"Clôturé"),"RETARD",""))</f>
        <v/>
      </c>
      <c r="J2655" s="29">
        <f>IF($B2655="","",IF(INDEX(Dossiers!$F$4:$F$63,51)="","",INDEX(Dossiers!$F$4:$F$63,51)))</f>
        <v/>
      </c>
      <c r="K2655" s="29">
        <f>IF($B2655="","",IF(INDEX(Dossiers!$G$4:$G$63,51)="","",INDEX(Dossiers!$G$4:$G$63,51)))</f>
        <v/>
      </c>
    </row>
    <row r="2656">
      <c r="A2656">
        <f>IF($B2656="","",INDEX(Dossiers!$E$4:$E$63,51))</f>
        <v/>
      </c>
      <c r="B2656">
        <f>IF(INDEX(Suivi!$B:$B,2707)="","",INDEX(Suivi!$B:$B,2707))</f>
        <v/>
      </c>
      <c r="C2656">
        <f>IF($B2656="","",IF(INDEX(Suivi!$D:$D,2707)="",INDEX(Suivi!$C:$C,2707),INDEX(Suivi!$D:$D,2707)))</f>
        <v/>
      </c>
      <c r="D2656" s="29">
        <f>IF($B2656="","",INDEX(Suivi!$E:$E,2707))</f>
        <v/>
      </c>
      <c r="E2656" s="29">
        <f>IF($B2656="","",INDEX(Suivi!$F:$F,2707))</f>
        <v/>
      </c>
      <c r="F2656">
        <f>IF($B2656="","",INDEX(Suivi!$G:$G,2707))</f>
        <v/>
      </c>
      <c r="H2656">
        <f>IF(OR($B2656="",NOT(ISNUMBER($D2656))),"",IF($E2656&lt;$D$2,"Passé",IF($D2656&gt;$F$2,"À venir","Dans la période")))</f>
        <v/>
      </c>
      <c r="I2656">
        <f>IF(OR($B2656="",NOT(ISNUMBER($D2656))),"",IF(AND($E2656&lt;$D$2,$G2656&lt;&gt;"X",$F2656&lt;&gt;"Réalisé",$F2656&lt;&gt;"Clôturé"),"RETARD",""))</f>
        <v/>
      </c>
      <c r="J2656" s="29">
        <f>IF($B2656="","",IF(INDEX(Dossiers!$F$4:$F$63,51)="","",INDEX(Dossiers!$F$4:$F$63,51)))</f>
        <v/>
      </c>
      <c r="K2656" s="29">
        <f>IF($B2656="","",IF(INDEX(Dossiers!$G$4:$G$63,51)="","",INDEX(Dossiers!$G$4:$G$63,51)))</f>
        <v/>
      </c>
    </row>
    <row r="2657">
      <c r="A2657">
        <f>IF($B2657="","",INDEX(Dossiers!$E$4:$E$63,51))</f>
        <v/>
      </c>
      <c r="B2657">
        <f>IF(INDEX(Suivi!$B:$B,2708)="","",INDEX(Suivi!$B:$B,2708))</f>
        <v/>
      </c>
      <c r="C2657">
        <f>IF($B2657="","",IF(INDEX(Suivi!$D:$D,2708)="",INDEX(Suivi!$C:$C,2708),INDEX(Suivi!$D:$D,2708)))</f>
        <v/>
      </c>
      <c r="D2657" s="29">
        <f>IF($B2657="","",INDEX(Suivi!$E:$E,2708))</f>
        <v/>
      </c>
      <c r="E2657" s="29">
        <f>IF($B2657="","",INDEX(Suivi!$F:$F,2708))</f>
        <v/>
      </c>
      <c r="F2657">
        <f>IF($B2657="","",INDEX(Suivi!$G:$G,2708))</f>
        <v/>
      </c>
      <c r="H2657">
        <f>IF(OR($B2657="",NOT(ISNUMBER($D2657))),"",IF($E2657&lt;$D$2,"Passé",IF($D2657&gt;$F$2,"À venir","Dans la période")))</f>
        <v/>
      </c>
      <c r="I2657">
        <f>IF(OR($B2657="",NOT(ISNUMBER($D2657))),"",IF(AND($E2657&lt;$D$2,$G2657&lt;&gt;"X",$F2657&lt;&gt;"Réalisé",$F2657&lt;&gt;"Clôturé"),"RETARD",""))</f>
        <v/>
      </c>
      <c r="J2657" s="29">
        <f>IF($B2657="","",IF(INDEX(Dossiers!$F$4:$F$63,51)="","",INDEX(Dossiers!$F$4:$F$63,51)))</f>
        <v/>
      </c>
      <c r="K2657" s="29">
        <f>IF($B2657="","",IF(INDEX(Dossiers!$G$4:$G$63,51)="","",INDEX(Dossiers!$G$4:$G$63,51)))</f>
        <v/>
      </c>
    </row>
    <row r="2658">
      <c r="A2658">
        <f>IF($B2658="","",INDEX(Dossiers!$E$4:$E$63,51))</f>
        <v/>
      </c>
      <c r="B2658">
        <f>IF(INDEX(Suivi!$B:$B,2709)="","",INDEX(Suivi!$B:$B,2709))</f>
        <v/>
      </c>
      <c r="C2658">
        <f>IF($B2658="","",IF(INDEX(Suivi!$D:$D,2709)="",INDEX(Suivi!$C:$C,2709),INDEX(Suivi!$D:$D,2709)))</f>
        <v/>
      </c>
      <c r="D2658" s="29">
        <f>IF($B2658="","",INDEX(Suivi!$E:$E,2709))</f>
        <v/>
      </c>
      <c r="E2658" s="29">
        <f>IF($B2658="","",INDEX(Suivi!$F:$F,2709))</f>
        <v/>
      </c>
      <c r="F2658">
        <f>IF($B2658="","",INDEX(Suivi!$G:$G,2709))</f>
        <v/>
      </c>
      <c r="H2658">
        <f>IF(OR($B2658="",NOT(ISNUMBER($D2658))),"",IF($E2658&lt;$D$2,"Passé",IF($D2658&gt;$F$2,"À venir","Dans la période")))</f>
        <v/>
      </c>
      <c r="I2658">
        <f>IF(OR($B2658="",NOT(ISNUMBER($D2658))),"",IF(AND($E2658&lt;$D$2,$G2658&lt;&gt;"X",$F2658&lt;&gt;"Réalisé",$F2658&lt;&gt;"Clôturé"),"RETARD",""))</f>
        <v/>
      </c>
      <c r="J2658" s="29">
        <f>IF($B2658="","",IF(INDEX(Dossiers!$F$4:$F$63,51)="","",INDEX(Dossiers!$F$4:$F$63,51)))</f>
        <v/>
      </c>
      <c r="K2658" s="29">
        <f>IF($B2658="","",IF(INDEX(Dossiers!$G$4:$G$63,51)="","",INDEX(Dossiers!$G$4:$G$63,51)))</f>
        <v/>
      </c>
    </row>
    <row r="2659">
      <c r="A2659">
        <f>IF($B2659="","",INDEX(Dossiers!$E$4:$E$63,51))</f>
        <v/>
      </c>
      <c r="B2659">
        <f>IF(INDEX(Suivi!$B:$B,2710)="","",INDEX(Suivi!$B:$B,2710))</f>
        <v/>
      </c>
      <c r="C2659">
        <f>IF($B2659="","",IF(INDEX(Suivi!$D:$D,2710)="",INDEX(Suivi!$C:$C,2710),INDEX(Suivi!$D:$D,2710)))</f>
        <v/>
      </c>
      <c r="D2659" s="29">
        <f>IF($B2659="","",INDEX(Suivi!$E:$E,2710))</f>
        <v/>
      </c>
      <c r="E2659" s="29">
        <f>IF($B2659="","",INDEX(Suivi!$F:$F,2710))</f>
        <v/>
      </c>
      <c r="F2659">
        <f>IF($B2659="","",INDEX(Suivi!$G:$G,2710))</f>
        <v/>
      </c>
      <c r="H2659">
        <f>IF(OR($B2659="",NOT(ISNUMBER($D2659))),"",IF($E2659&lt;$D$2,"Passé",IF($D2659&gt;$F$2,"À venir","Dans la période")))</f>
        <v/>
      </c>
      <c r="I2659">
        <f>IF(OR($B2659="",NOT(ISNUMBER($D2659))),"",IF(AND($E2659&lt;$D$2,$G2659&lt;&gt;"X",$F2659&lt;&gt;"Réalisé",$F2659&lt;&gt;"Clôturé"),"RETARD",""))</f>
        <v/>
      </c>
      <c r="J2659" s="29">
        <f>IF($B2659="","",IF(INDEX(Dossiers!$F$4:$F$63,51)="","",INDEX(Dossiers!$F$4:$F$63,51)))</f>
        <v/>
      </c>
      <c r="K2659" s="29">
        <f>IF($B2659="","",IF(INDEX(Dossiers!$G$4:$G$63,51)="","",INDEX(Dossiers!$G$4:$G$63,51)))</f>
        <v/>
      </c>
    </row>
    <row r="2660">
      <c r="A2660">
        <f>IF($B2660="","",INDEX(Dossiers!$E$4:$E$63,51))</f>
        <v/>
      </c>
      <c r="B2660">
        <f>IF(INDEX(Suivi!$B:$B,2711)="","",INDEX(Suivi!$B:$B,2711))</f>
        <v/>
      </c>
      <c r="C2660">
        <f>IF($B2660="","",IF(INDEX(Suivi!$D:$D,2711)="",INDEX(Suivi!$C:$C,2711),INDEX(Suivi!$D:$D,2711)))</f>
        <v/>
      </c>
      <c r="D2660" s="29">
        <f>IF($B2660="","",INDEX(Suivi!$E:$E,2711))</f>
        <v/>
      </c>
      <c r="E2660" s="29">
        <f>IF($B2660="","",INDEX(Suivi!$F:$F,2711))</f>
        <v/>
      </c>
      <c r="F2660">
        <f>IF($B2660="","",INDEX(Suivi!$G:$G,2711))</f>
        <v/>
      </c>
      <c r="H2660">
        <f>IF(OR($B2660="",NOT(ISNUMBER($D2660))),"",IF($E2660&lt;$D$2,"Passé",IF($D2660&gt;$F$2,"À venir","Dans la période")))</f>
        <v/>
      </c>
      <c r="I2660">
        <f>IF(OR($B2660="",NOT(ISNUMBER($D2660))),"",IF(AND($E2660&lt;$D$2,$G2660&lt;&gt;"X",$F2660&lt;&gt;"Réalisé",$F2660&lt;&gt;"Clôturé"),"RETARD",""))</f>
        <v/>
      </c>
      <c r="J2660" s="29">
        <f>IF($B2660="","",IF(INDEX(Dossiers!$F$4:$F$63,51)="","",INDEX(Dossiers!$F$4:$F$63,51)))</f>
        <v/>
      </c>
      <c r="K2660" s="29">
        <f>IF($B2660="","",IF(INDEX(Dossiers!$G$4:$G$63,51)="","",INDEX(Dossiers!$G$4:$G$63,51)))</f>
        <v/>
      </c>
    </row>
    <row r="2661">
      <c r="A2661">
        <f>IF($B2661="","",INDEX(Dossiers!$E$4:$E$63,51))</f>
        <v/>
      </c>
      <c r="B2661">
        <f>IF(INDEX(Suivi!$B:$B,2712)="","",INDEX(Suivi!$B:$B,2712))</f>
        <v/>
      </c>
      <c r="C2661">
        <f>IF($B2661="","",IF(INDEX(Suivi!$D:$D,2712)="",INDEX(Suivi!$C:$C,2712),INDEX(Suivi!$D:$D,2712)))</f>
        <v/>
      </c>
      <c r="D2661" s="29">
        <f>IF($B2661="","",INDEX(Suivi!$E:$E,2712))</f>
        <v/>
      </c>
      <c r="E2661" s="29">
        <f>IF($B2661="","",INDEX(Suivi!$F:$F,2712))</f>
        <v/>
      </c>
      <c r="F2661">
        <f>IF($B2661="","",INDEX(Suivi!$G:$G,2712))</f>
        <v/>
      </c>
      <c r="H2661">
        <f>IF(OR($B2661="",NOT(ISNUMBER($D2661))),"",IF($E2661&lt;$D$2,"Passé",IF($D2661&gt;$F$2,"À venir","Dans la période")))</f>
        <v/>
      </c>
      <c r="I2661">
        <f>IF(OR($B2661="",NOT(ISNUMBER($D2661))),"",IF(AND($E2661&lt;$D$2,$G2661&lt;&gt;"X",$F2661&lt;&gt;"Réalisé",$F2661&lt;&gt;"Clôturé"),"RETARD",""))</f>
        <v/>
      </c>
      <c r="J2661" s="29">
        <f>IF($B2661="","",IF(INDEX(Dossiers!$F$4:$F$63,51)="","",INDEX(Dossiers!$F$4:$F$63,51)))</f>
        <v/>
      </c>
      <c r="K2661" s="29">
        <f>IF($B2661="","",IF(INDEX(Dossiers!$G$4:$G$63,51)="","",INDEX(Dossiers!$G$4:$G$63,51)))</f>
        <v/>
      </c>
    </row>
    <row r="2662">
      <c r="A2662">
        <f>IF($B2662="","",INDEX(Dossiers!$E$4:$E$63,51))</f>
        <v/>
      </c>
      <c r="B2662">
        <f>IF(INDEX(Suivi!$B:$B,2713)="","",INDEX(Suivi!$B:$B,2713))</f>
        <v/>
      </c>
      <c r="C2662">
        <f>IF($B2662="","",IF(INDEX(Suivi!$D:$D,2713)="",INDEX(Suivi!$C:$C,2713),INDEX(Suivi!$D:$D,2713)))</f>
        <v/>
      </c>
      <c r="D2662" s="29">
        <f>IF($B2662="","",INDEX(Suivi!$E:$E,2713))</f>
        <v/>
      </c>
      <c r="E2662" s="29">
        <f>IF($B2662="","",INDEX(Suivi!$F:$F,2713))</f>
        <v/>
      </c>
      <c r="F2662">
        <f>IF($B2662="","",INDEX(Suivi!$G:$G,2713))</f>
        <v/>
      </c>
      <c r="H2662">
        <f>IF(OR($B2662="",NOT(ISNUMBER($D2662))),"",IF($E2662&lt;$D$2,"Passé",IF($D2662&gt;$F$2,"À venir","Dans la période")))</f>
        <v/>
      </c>
      <c r="I2662">
        <f>IF(OR($B2662="",NOT(ISNUMBER($D2662))),"",IF(AND($E2662&lt;$D$2,$G2662&lt;&gt;"X",$F2662&lt;&gt;"Réalisé",$F2662&lt;&gt;"Clôturé"),"RETARD",""))</f>
        <v/>
      </c>
      <c r="J2662" s="29">
        <f>IF($B2662="","",IF(INDEX(Dossiers!$F$4:$F$63,51)="","",INDEX(Dossiers!$F$4:$F$63,51)))</f>
        <v/>
      </c>
      <c r="K2662" s="29">
        <f>IF($B2662="","",IF(INDEX(Dossiers!$G$4:$G$63,51)="","",INDEX(Dossiers!$G$4:$G$63,51)))</f>
        <v/>
      </c>
    </row>
    <row r="2663">
      <c r="A2663">
        <f>IF($B2663="","",INDEX(Dossiers!$E$4:$E$63,51))</f>
        <v/>
      </c>
      <c r="B2663">
        <f>IF(INDEX(Suivi!$B:$B,2714)="","",INDEX(Suivi!$B:$B,2714))</f>
        <v/>
      </c>
      <c r="C2663">
        <f>IF($B2663="","",IF(INDEX(Suivi!$D:$D,2714)="",INDEX(Suivi!$C:$C,2714),INDEX(Suivi!$D:$D,2714)))</f>
        <v/>
      </c>
      <c r="D2663" s="29">
        <f>IF($B2663="","",INDEX(Suivi!$E:$E,2714))</f>
        <v/>
      </c>
      <c r="E2663" s="29">
        <f>IF($B2663="","",INDEX(Suivi!$F:$F,2714))</f>
        <v/>
      </c>
      <c r="F2663">
        <f>IF($B2663="","",INDEX(Suivi!$G:$G,2714))</f>
        <v/>
      </c>
      <c r="H2663">
        <f>IF(OR($B2663="",NOT(ISNUMBER($D2663))),"",IF($E2663&lt;$D$2,"Passé",IF($D2663&gt;$F$2,"À venir","Dans la période")))</f>
        <v/>
      </c>
      <c r="I2663">
        <f>IF(OR($B2663="",NOT(ISNUMBER($D2663))),"",IF(AND($E2663&lt;$D$2,$G2663&lt;&gt;"X",$F2663&lt;&gt;"Réalisé",$F2663&lt;&gt;"Clôturé"),"RETARD",""))</f>
        <v/>
      </c>
      <c r="J2663" s="29">
        <f>IF($B2663="","",IF(INDEX(Dossiers!$F$4:$F$63,51)="","",INDEX(Dossiers!$F$4:$F$63,51)))</f>
        <v/>
      </c>
      <c r="K2663" s="29">
        <f>IF($B2663="","",IF(INDEX(Dossiers!$G$4:$G$63,51)="","",INDEX(Dossiers!$G$4:$G$63,51)))</f>
        <v/>
      </c>
    </row>
    <row r="2664">
      <c r="A2664">
        <f>IF($B2664="","",INDEX(Dossiers!$E$4:$E$63,51))</f>
        <v/>
      </c>
      <c r="B2664">
        <f>IF(INDEX(Suivi!$B:$B,2715)="","",INDEX(Suivi!$B:$B,2715))</f>
        <v/>
      </c>
      <c r="C2664">
        <f>IF($B2664="","",IF(INDEX(Suivi!$D:$D,2715)="",INDEX(Suivi!$C:$C,2715),INDEX(Suivi!$D:$D,2715)))</f>
        <v/>
      </c>
      <c r="D2664" s="29">
        <f>IF($B2664="","",INDEX(Suivi!$E:$E,2715))</f>
        <v/>
      </c>
      <c r="E2664" s="29">
        <f>IF($B2664="","",INDEX(Suivi!$F:$F,2715))</f>
        <v/>
      </c>
      <c r="F2664">
        <f>IF($B2664="","",INDEX(Suivi!$G:$G,2715))</f>
        <v/>
      </c>
      <c r="H2664">
        <f>IF(OR($B2664="",NOT(ISNUMBER($D2664))),"",IF($E2664&lt;$D$2,"Passé",IF($D2664&gt;$F$2,"À venir","Dans la période")))</f>
        <v/>
      </c>
      <c r="I2664">
        <f>IF(OR($B2664="",NOT(ISNUMBER($D2664))),"",IF(AND($E2664&lt;$D$2,$G2664&lt;&gt;"X",$F2664&lt;&gt;"Réalisé",$F2664&lt;&gt;"Clôturé"),"RETARD",""))</f>
        <v/>
      </c>
      <c r="J2664" s="29">
        <f>IF($B2664="","",IF(INDEX(Dossiers!$F$4:$F$63,51)="","",INDEX(Dossiers!$F$4:$F$63,51)))</f>
        <v/>
      </c>
      <c r="K2664" s="29">
        <f>IF($B2664="","",IF(INDEX(Dossiers!$G$4:$G$63,51)="","",INDEX(Dossiers!$G$4:$G$63,51)))</f>
        <v/>
      </c>
    </row>
    <row r="2665">
      <c r="A2665">
        <f>IF($B2665="","",INDEX(Dossiers!$E$4:$E$63,51))</f>
        <v/>
      </c>
      <c r="B2665">
        <f>IF(INDEX(Suivi!$B:$B,2716)="","",INDEX(Suivi!$B:$B,2716))</f>
        <v/>
      </c>
      <c r="C2665">
        <f>IF($B2665="","",IF(INDEX(Suivi!$D:$D,2716)="",INDEX(Suivi!$C:$C,2716),INDEX(Suivi!$D:$D,2716)))</f>
        <v/>
      </c>
      <c r="D2665" s="29">
        <f>IF($B2665="","",INDEX(Suivi!$E:$E,2716))</f>
        <v/>
      </c>
      <c r="E2665" s="29">
        <f>IF($B2665="","",INDEX(Suivi!$F:$F,2716))</f>
        <v/>
      </c>
      <c r="F2665">
        <f>IF($B2665="","",INDEX(Suivi!$G:$G,2716))</f>
        <v/>
      </c>
      <c r="H2665">
        <f>IF(OR($B2665="",NOT(ISNUMBER($D2665))),"",IF($E2665&lt;$D$2,"Passé",IF($D2665&gt;$F$2,"À venir","Dans la période")))</f>
        <v/>
      </c>
      <c r="I2665">
        <f>IF(OR($B2665="",NOT(ISNUMBER($D2665))),"",IF(AND($E2665&lt;$D$2,$G2665&lt;&gt;"X",$F2665&lt;&gt;"Réalisé",$F2665&lt;&gt;"Clôturé"),"RETARD",""))</f>
        <v/>
      </c>
      <c r="J2665" s="29">
        <f>IF($B2665="","",IF(INDEX(Dossiers!$F$4:$F$63,51)="","",INDEX(Dossiers!$F$4:$F$63,51)))</f>
        <v/>
      </c>
      <c r="K2665" s="29">
        <f>IF($B2665="","",IF(INDEX(Dossiers!$G$4:$G$63,51)="","",INDEX(Dossiers!$G$4:$G$63,51)))</f>
        <v/>
      </c>
    </row>
    <row r="2666">
      <c r="A2666">
        <f>IF($B2666="","",INDEX(Dossiers!$E$4:$E$63,51))</f>
        <v/>
      </c>
      <c r="B2666">
        <f>IF(INDEX(Suivi!$B:$B,2717)="","",INDEX(Suivi!$B:$B,2717))</f>
        <v/>
      </c>
      <c r="C2666">
        <f>IF($B2666="","",IF(INDEX(Suivi!$D:$D,2717)="",INDEX(Suivi!$C:$C,2717),INDEX(Suivi!$D:$D,2717)))</f>
        <v/>
      </c>
      <c r="D2666" s="29">
        <f>IF($B2666="","",INDEX(Suivi!$E:$E,2717))</f>
        <v/>
      </c>
      <c r="E2666" s="29">
        <f>IF($B2666="","",INDEX(Suivi!$F:$F,2717))</f>
        <v/>
      </c>
      <c r="F2666">
        <f>IF($B2666="","",INDEX(Suivi!$G:$G,2717))</f>
        <v/>
      </c>
      <c r="H2666">
        <f>IF(OR($B2666="",NOT(ISNUMBER($D2666))),"",IF($E2666&lt;$D$2,"Passé",IF($D2666&gt;$F$2,"À venir","Dans la période")))</f>
        <v/>
      </c>
      <c r="I2666">
        <f>IF(OR($B2666="",NOT(ISNUMBER($D2666))),"",IF(AND($E2666&lt;$D$2,$G2666&lt;&gt;"X",$F2666&lt;&gt;"Réalisé",$F2666&lt;&gt;"Clôturé"),"RETARD",""))</f>
        <v/>
      </c>
      <c r="J2666" s="29">
        <f>IF($B2666="","",IF(INDEX(Dossiers!$F$4:$F$63,51)="","",INDEX(Dossiers!$F$4:$F$63,51)))</f>
        <v/>
      </c>
      <c r="K2666" s="29">
        <f>IF($B2666="","",IF(INDEX(Dossiers!$G$4:$G$63,51)="","",INDEX(Dossiers!$G$4:$G$63,51)))</f>
        <v/>
      </c>
    </row>
    <row r="2667">
      <c r="A2667">
        <f>IF($B2667="","",INDEX(Dossiers!$E$4:$E$63,51))</f>
        <v/>
      </c>
      <c r="B2667">
        <f>IF(INDEX(Suivi!$B:$B,2718)="","",INDEX(Suivi!$B:$B,2718))</f>
        <v/>
      </c>
      <c r="C2667">
        <f>IF($B2667="","",IF(INDEX(Suivi!$D:$D,2718)="",INDEX(Suivi!$C:$C,2718),INDEX(Suivi!$D:$D,2718)))</f>
        <v/>
      </c>
      <c r="D2667" s="29">
        <f>IF($B2667="","",INDEX(Suivi!$E:$E,2718))</f>
        <v/>
      </c>
      <c r="E2667" s="29">
        <f>IF($B2667="","",INDEX(Suivi!$F:$F,2718))</f>
        <v/>
      </c>
      <c r="F2667">
        <f>IF($B2667="","",INDEX(Suivi!$G:$G,2718))</f>
        <v/>
      </c>
      <c r="H2667">
        <f>IF(OR($B2667="",NOT(ISNUMBER($D2667))),"",IF($E2667&lt;$D$2,"Passé",IF($D2667&gt;$F$2,"À venir","Dans la période")))</f>
        <v/>
      </c>
      <c r="I2667">
        <f>IF(OR($B2667="",NOT(ISNUMBER($D2667))),"",IF(AND($E2667&lt;$D$2,$G2667&lt;&gt;"X",$F2667&lt;&gt;"Réalisé",$F2667&lt;&gt;"Clôturé"),"RETARD",""))</f>
        <v/>
      </c>
      <c r="J2667" s="29">
        <f>IF($B2667="","",IF(INDEX(Dossiers!$F$4:$F$63,51)="","",INDEX(Dossiers!$F$4:$F$63,51)))</f>
        <v/>
      </c>
      <c r="K2667" s="29">
        <f>IF($B2667="","",IF(INDEX(Dossiers!$G$4:$G$63,51)="","",INDEX(Dossiers!$G$4:$G$63,51)))</f>
        <v/>
      </c>
    </row>
    <row r="2668">
      <c r="A2668">
        <f>IF($B2668="","",INDEX(Dossiers!$E$4:$E$63,51))</f>
        <v/>
      </c>
      <c r="B2668">
        <f>IF(INDEX(Suivi!$B:$B,2719)="","",INDEX(Suivi!$B:$B,2719))</f>
        <v/>
      </c>
      <c r="C2668">
        <f>IF($B2668="","",IF(INDEX(Suivi!$D:$D,2719)="",INDEX(Suivi!$C:$C,2719),INDEX(Suivi!$D:$D,2719)))</f>
        <v/>
      </c>
      <c r="D2668" s="29">
        <f>IF($B2668="","",INDEX(Suivi!$E:$E,2719))</f>
        <v/>
      </c>
      <c r="E2668" s="29">
        <f>IF($B2668="","",INDEX(Suivi!$F:$F,2719))</f>
        <v/>
      </c>
      <c r="F2668">
        <f>IF($B2668="","",INDEX(Suivi!$G:$G,2719))</f>
        <v/>
      </c>
      <c r="H2668">
        <f>IF(OR($B2668="",NOT(ISNUMBER($D2668))),"",IF($E2668&lt;$D$2,"Passé",IF($D2668&gt;$F$2,"À venir","Dans la période")))</f>
        <v/>
      </c>
      <c r="I2668">
        <f>IF(OR($B2668="",NOT(ISNUMBER($D2668))),"",IF(AND($E2668&lt;$D$2,$G2668&lt;&gt;"X",$F2668&lt;&gt;"Réalisé",$F2668&lt;&gt;"Clôturé"),"RETARD",""))</f>
        <v/>
      </c>
      <c r="J2668" s="29">
        <f>IF($B2668="","",IF(INDEX(Dossiers!$F$4:$F$63,51)="","",INDEX(Dossiers!$F$4:$F$63,51)))</f>
        <v/>
      </c>
      <c r="K2668" s="29">
        <f>IF($B2668="","",IF(INDEX(Dossiers!$G$4:$G$63,51)="","",INDEX(Dossiers!$G$4:$G$63,51)))</f>
        <v/>
      </c>
    </row>
    <row r="2669">
      <c r="A2669">
        <f>IF($B2669="","",INDEX(Dossiers!$E$4:$E$63,51))</f>
        <v/>
      </c>
      <c r="B2669">
        <f>IF(INDEX(Suivi!$B:$B,2720)="","",INDEX(Suivi!$B:$B,2720))</f>
        <v/>
      </c>
      <c r="C2669">
        <f>IF($B2669="","",IF(INDEX(Suivi!$D:$D,2720)="",INDEX(Suivi!$C:$C,2720),INDEX(Suivi!$D:$D,2720)))</f>
        <v/>
      </c>
      <c r="D2669" s="29">
        <f>IF($B2669="","",INDEX(Suivi!$E:$E,2720))</f>
        <v/>
      </c>
      <c r="E2669" s="29">
        <f>IF($B2669="","",INDEX(Suivi!$F:$F,2720))</f>
        <v/>
      </c>
      <c r="F2669">
        <f>IF($B2669="","",INDEX(Suivi!$G:$G,2720))</f>
        <v/>
      </c>
      <c r="H2669">
        <f>IF(OR($B2669="",NOT(ISNUMBER($D2669))),"",IF($E2669&lt;$D$2,"Passé",IF($D2669&gt;$F$2,"À venir","Dans la période")))</f>
        <v/>
      </c>
      <c r="I2669">
        <f>IF(OR($B2669="",NOT(ISNUMBER($D2669))),"",IF(AND($E2669&lt;$D$2,$G2669&lt;&gt;"X",$F2669&lt;&gt;"Réalisé",$F2669&lt;&gt;"Clôturé"),"RETARD",""))</f>
        <v/>
      </c>
      <c r="J2669" s="29">
        <f>IF($B2669="","",IF(INDEX(Dossiers!$F$4:$F$63,51)="","",INDEX(Dossiers!$F$4:$F$63,51)))</f>
        <v/>
      </c>
      <c r="K2669" s="29">
        <f>IF($B2669="","",IF(INDEX(Dossiers!$G$4:$G$63,51)="","",INDEX(Dossiers!$G$4:$G$63,51)))</f>
        <v/>
      </c>
    </row>
    <row r="2670">
      <c r="A2670">
        <f>IF($B2670="","",INDEX(Dossiers!$E$4:$E$63,51))</f>
        <v/>
      </c>
      <c r="B2670">
        <f>IF(INDEX(Suivi!$B:$B,2721)="","",INDEX(Suivi!$B:$B,2721))</f>
        <v/>
      </c>
      <c r="C2670">
        <f>IF($B2670="","",IF(INDEX(Suivi!$D:$D,2721)="",INDEX(Suivi!$C:$C,2721),INDEX(Suivi!$D:$D,2721)))</f>
        <v/>
      </c>
      <c r="D2670" s="29">
        <f>IF($B2670="","",INDEX(Suivi!$E:$E,2721))</f>
        <v/>
      </c>
      <c r="E2670" s="29">
        <f>IF($B2670="","",INDEX(Suivi!$F:$F,2721))</f>
        <v/>
      </c>
      <c r="F2670">
        <f>IF($B2670="","",INDEX(Suivi!$G:$G,2721))</f>
        <v/>
      </c>
      <c r="H2670">
        <f>IF(OR($B2670="",NOT(ISNUMBER($D2670))),"",IF($E2670&lt;$D$2,"Passé",IF($D2670&gt;$F$2,"À venir","Dans la période")))</f>
        <v/>
      </c>
      <c r="I2670">
        <f>IF(OR($B2670="",NOT(ISNUMBER($D2670))),"",IF(AND($E2670&lt;$D$2,$G2670&lt;&gt;"X",$F2670&lt;&gt;"Réalisé",$F2670&lt;&gt;"Clôturé"),"RETARD",""))</f>
        <v/>
      </c>
      <c r="J2670" s="29">
        <f>IF($B2670="","",IF(INDEX(Dossiers!$F$4:$F$63,51)="","",INDEX(Dossiers!$F$4:$F$63,51)))</f>
        <v/>
      </c>
      <c r="K2670" s="29">
        <f>IF($B2670="","",IF(INDEX(Dossiers!$G$4:$G$63,51)="","",INDEX(Dossiers!$G$4:$G$63,51)))</f>
        <v/>
      </c>
    </row>
    <row r="2671">
      <c r="A2671">
        <f>IF($B2671="","",INDEX(Dossiers!$E$4:$E$63,51))</f>
        <v/>
      </c>
      <c r="B2671">
        <f>IF(INDEX(Suivi!$B:$B,2722)="","",INDEX(Suivi!$B:$B,2722))</f>
        <v/>
      </c>
      <c r="C2671">
        <f>IF($B2671="","",IF(INDEX(Suivi!$D:$D,2722)="",INDEX(Suivi!$C:$C,2722),INDEX(Suivi!$D:$D,2722)))</f>
        <v/>
      </c>
      <c r="D2671" s="29">
        <f>IF($B2671="","",INDEX(Suivi!$E:$E,2722))</f>
        <v/>
      </c>
      <c r="E2671" s="29">
        <f>IF($B2671="","",INDEX(Suivi!$F:$F,2722))</f>
        <v/>
      </c>
      <c r="F2671">
        <f>IF($B2671="","",INDEX(Suivi!$G:$G,2722))</f>
        <v/>
      </c>
      <c r="H2671">
        <f>IF(OR($B2671="",NOT(ISNUMBER($D2671))),"",IF($E2671&lt;$D$2,"Passé",IF($D2671&gt;$F$2,"À venir","Dans la période")))</f>
        <v/>
      </c>
      <c r="I2671">
        <f>IF(OR($B2671="",NOT(ISNUMBER($D2671))),"",IF(AND($E2671&lt;$D$2,$G2671&lt;&gt;"X",$F2671&lt;&gt;"Réalisé",$F2671&lt;&gt;"Clôturé"),"RETARD",""))</f>
        <v/>
      </c>
      <c r="J2671" s="29">
        <f>IF($B2671="","",IF(INDEX(Dossiers!$F$4:$F$63,51)="","",INDEX(Dossiers!$F$4:$F$63,51)))</f>
        <v/>
      </c>
      <c r="K2671" s="29">
        <f>IF($B2671="","",IF(INDEX(Dossiers!$G$4:$G$63,51)="","",INDEX(Dossiers!$G$4:$G$63,51)))</f>
        <v/>
      </c>
    </row>
    <row r="2672">
      <c r="A2672">
        <f>IF($B2672="","",INDEX(Dossiers!$E$4:$E$63,51))</f>
        <v/>
      </c>
      <c r="B2672">
        <f>IF(INDEX(Suivi!$B:$B,2723)="","",INDEX(Suivi!$B:$B,2723))</f>
        <v/>
      </c>
      <c r="C2672">
        <f>IF($B2672="","",IF(INDEX(Suivi!$D:$D,2723)="",INDEX(Suivi!$C:$C,2723),INDEX(Suivi!$D:$D,2723)))</f>
        <v/>
      </c>
      <c r="D2672" s="29">
        <f>IF($B2672="","",INDEX(Suivi!$E:$E,2723))</f>
        <v/>
      </c>
      <c r="E2672" s="29">
        <f>IF($B2672="","",INDEX(Suivi!$F:$F,2723))</f>
        <v/>
      </c>
      <c r="F2672">
        <f>IF($B2672="","",INDEX(Suivi!$G:$G,2723))</f>
        <v/>
      </c>
      <c r="H2672">
        <f>IF(OR($B2672="",NOT(ISNUMBER($D2672))),"",IF($E2672&lt;$D$2,"Passé",IF($D2672&gt;$F$2,"À venir","Dans la période")))</f>
        <v/>
      </c>
      <c r="I2672">
        <f>IF(OR($B2672="",NOT(ISNUMBER($D2672))),"",IF(AND($E2672&lt;$D$2,$G2672&lt;&gt;"X",$F2672&lt;&gt;"Réalisé",$F2672&lt;&gt;"Clôturé"),"RETARD",""))</f>
        <v/>
      </c>
      <c r="J2672" s="29">
        <f>IF($B2672="","",IF(INDEX(Dossiers!$F$4:$F$63,51)="","",INDEX(Dossiers!$F$4:$F$63,51)))</f>
        <v/>
      </c>
      <c r="K2672" s="29">
        <f>IF($B2672="","",IF(INDEX(Dossiers!$G$4:$G$63,51)="","",INDEX(Dossiers!$G$4:$G$63,51)))</f>
        <v/>
      </c>
    </row>
    <row r="2673">
      <c r="A2673">
        <f>IF($B2673="","",INDEX(Dossiers!$E$4:$E$63,51))</f>
        <v/>
      </c>
      <c r="B2673">
        <f>IF(INDEX(Suivi!$B:$B,2724)="","",INDEX(Suivi!$B:$B,2724))</f>
        <v/>
      </c>
      <c r="C2673">
        <f>IF($B2673="","",IF(INDEX(Suivi!$D:$D,2724)="",INDEX(Suivi!$C:$C,2724),INDEX(Suivi!$D:$D,2724)))</f>
        <v/>
      </c>
      <c r="D2673" s="29">
        <f>IF($B2673="","",INDEX(Suivi!$E:$E,2724))</f>
        <v/>
      </c>
      <c r="E2673" s="29">
        <f>IF($B2673="","",INDEX(Suivi!$F:$F,2724))</f>
        <v/>
      </c>
      <c r="F2673">
        <f>IF($B2673="","",INDEX(Suivi!$G:$G,2724))</f>
        <v/>
      </c>
      <c r="H2673">
        <f>IF(OR($B2673="",NOT(ISNUMBER($D2673))),"",IF($E2673&lt;$D$2,"Passé",IF($D2673&gt;$F$2,"À venir","Dans la période")))</f>
        <v/>
      </c>
      <c r="I2673">
        <f>IF(OR($B2673="",NOT(ISNUMBER($D2673))),"",IF(AND($E2673&lt;$D$2,$G2673&lt;&gt;"X",$F2673&lt;&gt;"Réalisé",$F2673&lt;&gt;"Clôturé"),"RETARD",""))</f>
        <v/>
      </c>
      <c r="J2673" s="29">
        <f>IF($B2673="","",IF(INDEX(Dossiers!$F$4:$F$63,51)="","",INDEX(Dossiers!$F$4:$F$63,51)))</f>
        <v/>
      </c>
      <c r="K2673" s="29">
        <f>IF($B2673="","",IF(INDEX(Dossiers!$G$4:$G$63,51)="","",INDEX(Dossiers!$G$4:$G$63,51)))</f>
        <v/>
      </c>
    </row>
    <row r="2674">
      <c r="A2674">
        <f>IF($B2674="","",INDEX(Dossiers!$E$4:$E$63,51))</f>
        <v/>
      </c>
      <c r="B2674">
        <f>IF(INDEX(Suivi!$B:$B,2725)="","",INDEX(Suivi!$B:$B,2725))</f>
        <v/>
      </c>
      <c r="C2674">
        <f>IF($B2674="","",IF(INDEX(Suivi!$D:$D,2725)="",INDEX(Suivi!$C:$C,2725),INDEX(Suivi!$D:$D,2725)))</f>
        <v/>
      </c>
      <c r="D2674" s="29">
        <f>IF($B2674="","",INDEX(Suivi!$E:$E,2725))</f>
        <v/>
      </c>
      <c r="E2674" s="29">
        <f>IF($B2674="","",INDEX(Suivi!$F:$F,2725))</f>
        <v/>
      </c>
      <c r="F2674">
        <f>IF($B2674="","",INDEX(Suivi!$G:$G,2725))</f>
        <v/>
      </c>
      <c r="H2674">
        <f>IF(OR($B2674="",NOT(ISNUMBER($D2674))),"",IF($E2674&lt;$D$2,"Passé",IF($D2674&gt;$F$2,"À venir","Dans la période")))</f>
        <v/>
      </c>
      <c r="I2674">
        <f>IF(OR($B2674="",NOT(ISNUMBER($D2674))),"",IF(AND($E2674&lt;$D$2,$G2674&lt;&gt;"X",$F2674&lt;&gt;"Réalisé",$F2674&lt;&gt;"Clôturé"),"RETARD",""))</f>
        <v/>
      </c>
      <c r="J2674" s="29">
        <f>IF($B2674="","",IF(INDEX(Dossiers!$F$4:$F$63,51)="","",INDEX(Dossiers!$F$4:$F$63,51)))</f>
        <v/>
      </c>
      <c r="K2674" s="29">
        <f>IF($B2674="","",IF(INDEX(Dossiers!$G$4:$G$63,51)="","",INDEX(Dossiers!$G$4:$G$63,51)))</f>
        <v/>
      </c>
    </row>
    <row r="2675">
      <c r="A2675">
        <f>IF($B2675="","",INDEX(Dossiers!$E$4:$E$63,51))</f>
        <v/>
      </c>
      <c r="B2675">
        <f>IF(INDEX(Suivi!$B:$B,2726)="","",INDEX(Suivi!$B:$B,2726))</f>
        <v/>
      </c>
      <c r="C2675">
        <f>IF($B2675="","",IF(INDEX(Suivi!$D:$D,2726)="",INDEX(Suivi!$C:$C,2726),INDEX(Suivi!$D:$D,2726)))</f>
        <v/>
      </c>
      <c r="D2675" s="29">
        <f>IF($B2675="","",INDEX(Suivi!$E:$E,2726))</f>
        <v/>
      </c>
      <c r="E2675" s="29">
        <f>IF($B2675="","",INDEX(Suivi!$F:$F,2726))</f>
        <v/>
      </c>
      <c r="F2675">
        <f>IF($B2675="","",INDEX(Suivi!$G:$G,2726))</f>
        <v/>
      </c>
      <c r="H2675">
        <f>IF(OR($B2675="",NOT(ISNUMBER($D2675))),"",IF($E2675&lt;$D$2,"Passé",IF($D2675&gt;$F$2,"À venir","Dans la période")))</f>
        <v/>
      </c>
      <c r="I2675">
        <f>IF(OR($B2675="",NOT(ISNUMBER($D2675))),"",IF(AND($E2675&lt;$D$2,$G2675&lt;&gt;"X",$F2675&lt;&gt;"Réalisé",$F2675&lt;&gt;"Clôturé"),"RETARD",""))</f>
        <v/>
      </c>
      <c r="J2675" s="29">
        <f>IF($B2675="","",IF(INDEX(Dossiers!$F$4:$F$63,51)="","",INDEX(Dossiers!$F$4:$F$63,51)))</f>
        <v/>
      </c>
      <c r="K2675" s="29">
        <f>IF($B2675="","",IF(INDEX(Dossiers!$G$4:$G$63,51)="","",INDEX(Dossiers!$G$4:$G$63,51)))</f>
        <v/>
      </c>
    </row>
    <row r="2676">
      <c r="A2676">
        <f>IF($B2676="","",INDEX(Dossiers!$E$4:$E$63,51))</f>
        <v/>
      </c>
      <c r="B2676">
        <f>IF(INDEX(Suivi!$B:$B,2727)="","",INDEX(Suivi!$B:$B,2727))</f>
        <v/>
      </c>
      <c r="C2676">
        <f>IF($B2676="","",IF(INDEX(Suivi!$D:$D,2727)="",INDEX(Suivi!$C:$C,2727),INDEX(Suivi!$D:$D,2727)))</f>
        <v/>
      </c>
      <c r="D2676" s="29">
        <f>IF($B2676="","",INDEX(Suivi!$E:$E,2727))</f>
        <v/>
      </c>
      <c r="E2676" s="29">
        <f>IF($B2676="","",INDEX(Suivi!$F:$F,2727))</f>
        <v/>
      </c>
      <c r="F2676">
        <f>IF($B2676="","",INDEX(Suivi!$G:$G,2727))</f>
        <v/>
      </c>
      <c r="H2676">
        <f>IF(OR($B2676="",NOT(ISNUMBER($D2676))),"",IF($E2676&lt;$D$2,"Passé",IF($D2676&gt;$F$2,"À venir","Dans la période")))</f>
        <v/>
      </c>
      <c r="I2676">
        <f>IF(OR($B2676="",NOT(ISNUMBER($D2676))),"",IF(AND($E2676&lt;$D$2,$G2676&lt;&gt;"X",$F2676&lt;&gt;"Réalisé",$F2676&lt;&gt;"Clôturé"),"RETARD",""))</f>
        <v/>
      </c>
      <c r="J2676" s="29">
        <f>IF($B2676="","",IF(INDEX(Dossiers!$F$4:$F$63,51)="","",INDEX(Dossiers!$F$4:$F$63,51)))</f>
        <v/>
      </c>
      <c r="K2676" s="29">
        <f>IF($B2676="","",IF(INDEX(Dossiers!$G$4:$G$63,51)="","",INDEX(Dossiers!$G$4:$G$63,51)))</f>
        <v/>
      </c>
    </row>
    <row r="2677">
      <c r="A2677">
        <f>IF($B2677="","",INDEX(Dossiers!$E$4:$E$63,51))</f>
        <v/>
      </c>
      <c r="B2677">
        <f>IF(INDEX(Suivi!$B:$B,2728)="","",INDEX(Suivi!$B:$B,2728))</f>
        <v/>
      </c>
      <c r="C2677">
        <f>IF($B2677="","",IF(INDEX(Suivi!$D:$D,2728)="",INDEX(Suivi!$C:$C,2728),INDEX(Suivi!$D:$D,2728)))</f>
        <v/>
      </c>
      <c r="D2677" s="29">
        <f>IF($B2677="","",INDEX(Suivi!$E:$E,2728))</f>
        <v/>
      </c>
      <c r="E2677" s="29">
        <f>IF($B2677="","",INDEX(Suivi!$F:$F,2728))</f>
        <v/>
      </c>
      <c r="F2677">
        <f>IF($B2677="","",INDEX(Suivi!$G:$G,2728))</f>
        <v/>
      </c>
      <c r="H2677">
        <f>IF(OR($B2677="",NOT(ISNUMBER($D2677))),"",IF($E2677&lt;$D$2,"Passé",IF($D2677&gt;$F$2,"À venir","Dans la période")))</f>
        <v/>
      </c>
      <c r="I2677">
        <f>IF(OR($B2677="",NOT(ISNUMBER($D2677))),"",IF(AND($E2677&lt;$D$2,$G2677&lt;&gt;"X",$F2677&lt;&gt;"Réalisé",$F2677&lt;&gt;"Clôturé"),"RETARD",""))</f>
        <v/>
      </c>
      <c r="J2677" s="29">
        <f>IF($B2677="","",IF(INDEX(Dossiers!$F$4:$F$63,51)="","",INDEX(Dossiers!$F$4:$F$63,51)))</f>
        <v/>
      </c>
      <c r="K2677" s="29">
        <f>IF($B2677="","",IF(INDEX(Dossiers!$G$4:$G$63,51)="","",INDEX(Dossiers!$G$4:$G$63,51)))</f>
        <v/>
      </c>
    </row>
    <row r="2678">
      <c r="A2678">
        <f>IF($B2678="","",INDEX(Dossiers!$E$4:$E$63,51))</f>
        <v/>
      </c>
      <c r="B2678">
        <f>IF(INDEX(Suivi!$B:$B,2729)="","",INDEX(Suivi!$B:$B,2729))</f>
        <v/>
      </c>
      <c r="C2678">
        <f>IF($B2678="","",IF(INDEX(Suivi!$D:$D,2729)="",INDEX(Suivi!$C:$C,2729),INDEX(Suivi!$D:$D,2729)))</f>
        <v/>
      </c>
      <c r="D2678" s="29">
        <f>IF($B2678="","",INDEX(Suivi!$E:$E,2729))</f>
        <v/>
      </c>
      <c r="E2678" s="29">
        <f>IF($B2678="","",INDEX(Suivi!$F:$F,2729))</f>
        <v/>
      </c>
      <c r="F2678">
        <f>IF($B2678="","",INDEX(Suivi!$G:$G,2729))</f>
        <v/>
      </c>
      <c r="H2678">
        <f>IF(OR($B2678="",NOT(ISNUMBER($D2678))),"",IF($E2678&lt;$D$2,"Passé",IF($D2678&gt;$F$2,"À venir","Dans la période")))</f>
        <v/>
      </c>
      <c r="I2678">
        <f>IF(OR($B2678="",NOT(ISNUMBER($D2678))),"",IF(AND($E2678&lt;$D$2,$G2678&lt;&gt;"X",$F2678&lt;&gt;"Réalisé",$F2678&lt;&gt;"Clôturé"),"RETARD",""))</f>
        <v/>
      </c>
      <c r="J2678" s="29">
        <f>IF($B2678="","",IF(INDEX(Dossiers!$F$4:$F$63,51)="","",INDEX(Dossiers!$F$4:$F$63,51)))</f>
        <v/>
      </c>
      <c r="K2678" s="29">
        <f>IF($B2678="","",IF(INDEX(Dossiers!$G$4:$G$63,51)="","",INDEX(Dossiers!$G$4:$G$63,51)))</f>
        <v/>
      </c>
    </row>
    <row r="2679">
      <c r="A2679">
        <f>IF($B2679="","",INDEX(Dossiers!$E$4:$E$63,51))</f>
        <v/>
      </c>
      <c r="B2679">
        <f>IF(INDEX(Suivi!$B:$B,2730)="","",INDEX(Suivi!$B:$B,2730))</f>
        <v/>
      </c>
      <c r="C2679">
        <f>IF($B2679="","",IF(INDEX(Suivi!$D:$D,2730)="",INDEX(Suivi!$C:$C,2730),INDEX(Suivi!$D:$D,2730)))</f>
        <v/>
      </c>
      <c r="D2679" s="29">
        <f>IF($B2679="","",INDEX(Suivi!$E:$E,2730))</f>
        <v/>
      </c>
      <c r="E2679" s="29">
        <f>IF($B2679="","",INDEX(Suivi!$F:$F,2730))</f>
        <v/>
      </c>
      <c r="F2679">
        <f>IF($B2679="","",INDEX(Suivi!$G:$G,2730))</f>
        <v/>
      </c>
      <c r="H2679">
        <f>IF(OR($B2679="",NOT(ISNUMBER($D2679))),"",IF($E2679&lt;$D$2,"Passé",IF($D2679&gt;$F$2,"À venir","Dans la période")))</f>
        <v/>
      </c>
      <c r="I2679">
        <f>IF(OR($B2679="",NOT(ISNUMBER($D2679))),"",IF(AND($E2679&lt;$D$2,$G2679&lt;&gt;"X",$F2679&lt;&gt;"Réalisé",$F2679&lt;&gt;"Clôturé"),"RETARD",""))</f>
        <v/>
      </c>
      <c r="J2679" s="29">
        <f>IF($B2679="","",IF(INDEX(Dossiers!$F$4:$F$63,51)="","",INDEX(Dossiers!$F$4:$F$63,51)))</f>
        <v/>
      </c>
      <c r="K2679" s="29">
        <f>IF($B2679="","",IF(INDEX(Dossiers!$G$4:$G$63,51)="","",INDEX(Dossiers!$G$4:$G$63,51)))</f>
        <v/>
      </c>
    </row>
    <row r="2680">
      <c r="A2680">
        <f>IF($B2680="","",INDEX(Dossiers!$E$4:$E$63,51))</f>
        <v/>
      </c>
      <c r="B2680">
        <f>IF(INDEX(Suivi!$B:$B,2731)="","",INDEX(Suivi!$B:$B,2731))</f>
        <v/>
      </c>
      <c r="C2680">
        <f>IF($B2680="","",IF(INDEX(Suivi!$D:$D,2731)="",INDEX(Suivi!$C:$C,2731),INDEX(Suivi!$D:$D,2731)))</f>
        <v/>
      </c>
      <c r="D2680" s="29">
        <f>IF($B2680="","",INDEX(Suivi!$E:$E,2731))</f>
        <v/>
      </c>
      <c r="E2680" s="29">
        <f>IF($B2680="","",INDEX(Suivi!$F:$F,2731))</f>
        <v/>
      </c>
      <c r="F2680">
        <f>IF($B2680="","",INDEX(Suivi!$G:$G,2731))</f>
        <v/>
      </c>
      <c r="H2680">
        <f>IF(OR($B2680="",NOT(ISNUMBER($D2680))),"",IF($E2680&lt;$D$2,"Passé",IF($D2680&gt;$F$2,"À venir","Dans la période")))</f>
        <v/>
      </c>
      <c r="I2680">
        <f>IF(OR($B2680="",NOT(ISNUMBER($D2680))),"",IF(AND($E2680&lt;$D$2,$G2680&lt;&gt;"X",$F2680&lt;&gt;"Réalisé",$F2680&lt;&gt;"Clôturé"),"RETARD",""))</f>
        <v/>
      </c>
      <c r="J2680" s="29">
        <f>IF($B2680="","",IF(INDEX(Dossiers!$F$4:$F$63,51)="","",INDEX(Dossiers!$F$4:$F$63,51)))</f>
        <v/>
      </c>
      <c r="K2680" s="29">
        <f>IF($B2680="","",IF(INDEX(Dossiers!$G$4:$G$63,51)="","",INDEX(Dossiers!$G$4:$G$63,51)))</f>
        <v/>
      </c>
    </row>
    <row r="2681">
      <c r="A2681">
        <f>IF($B2681="","",INDEX(Dossiers!$E$4:$E$63,51))</f>
        <v/>
      </c>
      <c r="B2681">
        <f>IF(INDEX(Suivi!$B:$B,2732)="","",INDEX(Suivi!$B:$B,2732))</f>
        <v/>
      </c>
      <c r="C2681">
        <f>IF($B2681="","",IF(INDEX(Suivi!$D:$D,2732)="",INDEX(Suivi!$C:$C,2732),INDEX(Suivi!$D:$D,2732)))</f>
        <v/>
      </c>
      <c r="D2681" s="29">
        <f>IF($B2681="","",INDEX(Suivi!$E:$E,2732))</f>
        <v/>
      </c>
      <c r="E2681" s="29">
        <f>IF($B2681="","",INDEX(Suivi!$F:$F,2732))</f>
        <v/>
      </c>
      <c r="F2681">
        <f>IF($B2681="","",INDEX(Suivi!$G:$G,2732))</f>
        <v/>
      </c>
      <c r="H2681">
        <f>IF(OR($B2681="",NOT(ISNUMBER($D2681))),"",IF($E2681&lt;$D$2,"Passé",IF($D2681&gt;$F$2,"À venir","Dans la période")))</f>
        <v/>
      </c>
      <c r="I2681">
        <f>IF(OR($B2681="",NOT(ISNUMBER($D2681))),"",IF(AND($E2681&lt;$D$2,$G2681&lt;&gt;"X",$F2681&lt;&gt;"Réalisé",$F2681&lt;&gt;"Clôturé"),"RETARD",""))</f>
        <v/>
      </c>
      <c r="J2681" s="29">
        <f>IF($B2681="","",IF(INDEX(Dossiers!$F$4:$F$63,51)="","",INDEX(Dossiers!$F$4:$F$63,51)))</f>
        <v/>
      </c>
      <c r="K2681" s="29">
        <f>IF($B2681="","",IF(INDEX(Dossiers!$G$4:$G$63,51)="","",INDEX(Dossiers!$G$4:$G$63,51)))</f>
        <v/>
      </c>
    </row>
    <row r="2682">
      <c r="A2682">
        <f>IF($B2682="","",INDEX(Dossiers!$E$4:$E$63,51))</f>
        <v/>
      </c>
      <c r="B2682">
        <f>IF(INDEX(Suivi!$B:$B,2733)="","",INDEX(Suivi!$B:$B,2733))</f>
        <v/>
      </c>
      <c r="C2682">
        <f>IF($B2682="","",IF(INDEX(Suivi!$D:$D,2733)="",INDEX(Suivi!$C:$C,2733),INDEX(Suivi!$D:$D,2733)))</f>
        <v/>
      </c>
      <c r="D2682" s="29">
        <f>IF($B2682="","",INDEX(Suivi!$E:$E,2733))</f>
        <v/>
      </c>
      <c r="E2682" s="29">
        <f>IF($B2682="","",INDEX(Suivi!$F:$F,2733))</f>
        <v/>
      </c>
      <c r="F2682">
        <f>IF($B2682="","",INDEX(Suivi!$G:$G,2733))</f>
        <v/>
      </c>
      <c r="H2682">
        <f>IF(OR($B2682="",NOT(ISNUMBER($D2682))),"",IF($E2682&lt;$D$2,"Passé",IF($D2682&gt;$F$2,"À venir","Dans la période")))</f>
        <v/>
      </c>
      <c r="I2682">
        <f>IF(OR($B2682="",NOT(ISNUMBER($D2682))),"",IF(AND($E2682&lt;$D$2,$G2682&lt;&gt;"X",$F2682&lt;&gt;"Réalisé",$F2682&lt;&gt;"Clôturé"),"RETARD",""))</f>
        <v/>
      </c>
      <c r="J2682" s="29">
        <f>IF($B2682="","",IF(INDEX(Dossiers!$F$4:$F$63,51)="","",INDEX(Dossiers!$F$4:$F$63,51)))</f>
        <v/>
      </c>
      <c r="K2682" s="29">
        <f>IF($B2682="","",IF(INDEX(Dossiers!$G$4:$G$63,51)="","",INDEX(Dossiers!$G$4:$G$63,51)))</f>
        <v/>
      </c>
    </row>
    <row r="2683">
      <c r="A2683">
        <f>IF($B2683="","",INDEX(Dossiers!$E$4:$E$63,51))</f>
        <v/>
      </c>
      <c r="B2683">
        <f>IF(INDEX(Suivi!$B:$B,2734)="","",INDEX(Suivi!$B:$B,2734))</f>
        <v/>
      </c>
      <c r="C2683">
        <f>IF($B2683="","",IF(INDEX(Suivi!$D:$D,2734)="",INDEX(Suivi!$C:$C,2734),INDEX(Suivi!$D:$D,2734)))</f>
        <v/>
      </c>
      <c r="D2683" s="29">
        <f>IF($B2683="","",INDEX(Suivi!$E:$E,2734))</f>
        <v/>
      </c>
      <c r="E2683" s="29">
        <f>IF($B2683="","",INDEX(Suivi!$F:$F,2734))</f>
        <v/>
      </c>
      <c r="F2683">
        <f>IF($B2683="","",INDEX(Suivi!$G:$G,2734))</f>
        <v/>
      </c>
      <c r="H2683">
        <f>IF(OR($B2683="",NOT(ISNUMBER($D2683))),"",IF($E2683&lt;$D$2,"Passé",IF($D2683&gt;$F$2,"À venir","Dans la période")))</f>
        <v/>
      </c>
      <c r="I2683">
        <f>IF(OR($B2683="",NOT(ISNUMBER($D2683))),"",IF(AND($E2683&lt;$D$2,$G2683&lt;&gt;"X",$F2683&lt;&gt;"Réalisé",$F2683&lt;&gt;"Clôturé"),"RETARD",""))</f>
        <v/>
      </c>
      <c r="J2683" s="29">
        <f>IF($B2683="","",IF(INDEX(Dossiers!$F$4:$F$63,51)="","",INDEX(Dossiers!$F$4:$F$63,51)))</f>
        <v/>
      </c>
      <c r="K2683" s="29">
        <f>IF($B2683="","",IF(INDEX(Dossiers!$G$4:$G$63,51)="","",INDEX(Dossiers!$G$4:$G$63,51)))</f>
        <v/>
      </c>
    </row>
    <row r="2684">
      <c r="A2684">
        <f>IF($B2684="","",INDEX(Dossiers!$E$4:$E$63,51))</f>
        <v/>
      </c>
      <c r="B2684">
        <f>IF(INDEX(Suivi!$B:$B,2735)="","",INDEX(Suivi!$B:$B,2735))</f>
        <v/>
      </c>
      <c r="C2684">
        <f>IF($B2684="","",IF(INDEX(Suivi!$D:$D,2735)="",INDEX(Suivi!$C:$C,2735),INDEX(Suivi!$D:$D,2735)))</f>
        <v/>
      </c>
      <c r="D2684" s="29">
        <f>IF($B2684="","",INDEX(Suivi!$E:$E,2735))</f>
        <v/>
      </c>
      <c r="E2684" s="29">
        <f>IF($B2684="","",INDEX(Suivi!$F:$F,2735))</f>
        <v/>
      </c>
      <c r="F2684">
        <f>IF($B2684="","",INDEX(Suivi!$G:$G,2735))</f>
        <v/>
      </c>
      <c r="H2684">
        <f>IF(OR($B2684="",NOT(ISNUMBER($D2684))),"",IF($E2684&lt;$D$2,"Passé",IF($D2684&gt;$F$2,"À venir","Dans la période")))</f>
        <v/>
      </c>
      <c r="I2684">
        <f>IF(OR($B2684="",NOT(ISNUMBER($D2684))),"",IF(AND($E2684&lt;$D$2,$G2684&lt;&gt;"X",$F2684&lt;&gt;"Réalisé",$F2684&lt;&gt;"Clôturé"),"RETARD",""))</f>
        <v/>
      </c>
      <c r="J2684" s="29">
        <f>IF($B2684="","",IF(INDEX(Dossiers!$F$4:$F$63,51)="","",INDEX(Dossiers!$F$4:$F$63,51)))</f>
        <v/>
      </c>
      <c r="K2684" s="29">
        <f>IF($B2684="","",IF(INDEX(Dossiers!$G$4:$G$63,51)="","",INDEX(Dossiers!$G$4:$G$63,51)))</f>
        <v/>
      </c>
    </row>
    <row r="2685">
      <c r="A2685">
        <f>IF($B2685="","",INDEX(Dossiers!$E$4:$E$63,51))</f>
        <v/>
      </c>
      <c r="B2685">
        <f>IF(INDEX(Suivi!$B:$B,2736)="","",INDEX(Suivi!$B:$B,2736))</f>
        <v/>
      </c>
      <c r="C2685">
        <f>IF($B2685="","",IF(INDEX(Suivi!$D:$D,2736)="",INDEX(Suivi!$C:$C,2736),INDEX(Suivi!$D:$D,2736)))</f>
        <v/>
      </c>
      <c r="D2685" s="29">
        <f>IF($B2685="","",INDEX(Suivi!$E:$E,2736))</f>
        <v/>
      </c>
      <c r="E2685" s="29">
        <f>IF($B2685="","",INDEX(Suivi!$F:$F,2736))</f>
        <v/>
      </c>
      <c r="F2685">
        <f>IF($B2685="","",INDEX(Suivi!$G:$G,2736))</f>
        <v/>
      </c>
      <c r="H2685">
        <f>IF(OR($B2685="",NOT(ISNUMBER($D2685))),"",IF($E2685&lt;$D$2,"Passé",IF($D2685&gt;$F$2,"À venir","Dans la période")))</f>
        <v/>
      </c>
      <c r="I2685">
        <f>IF(OR($B2685="",NOT(ISNUMBER($D2685))),"",IF(AND($E2685&lt;$D$2,$G2685&lt;&gt;"X",$F2685&lt;&gt;"Réalisé",$F2685&lt;&gt;"Clôturé"),"RETARD",""))</f>
        <v/>
      </c>
      <c r="J2685" s="29">
        <f>IF($B2685="","",IF(INDEX(Dossiers!$F$4:$F$63,51)="","",INDEX(Dossiers!$F$4:$F$63,51)))</f>
        <v/>
      </c>
      <c r="K2685" s="29">
        <f>IF($B2685="","",IF(INDEX(Dossiers!$G$4:$G$63,51)="","",INDEX(Dossiers!$G$4:$G$63,51)))</f>
        <v/>
      </c>
    </row>
    <row r="2686">
      <c r="A2686">
        <f>IF($B2686="","",INDEX(Dossiers!$E$4:$E$63,51))</f>
        <v/>
      </c>
      <c r="B2686">
        <f>IF(INDEX(Suivi!$B:$B,2737)="","",INDEX(Suivi!$B:$B,2737))</f>
        <v/>
      </c>
      <c r="C2686">
        <f>IF($B2686="","",IF(INDEX(Suivi!$D:$D,2737)="",INDEX(Suivi!$C:$C,2737),INDEX(Suivi!$D:$D,2737)))</f>
        <v/>
      </c>
      <c r="D2686" s="29">
        <f>IF($B2686="","",INDEX(Suivi!$E:$E,2737))</f>
        <v/>
      </c>
      <c r="E2686" s="29">
        <f>IF($B2686="","",INDEX(Suivi!$F:$F,2737))</f>
        <v/>
      </c>
      <c r="F2686">
        <f>IF($B2686="","",INDEX(Suivi!$G:$G,2737))</f>
        <v/>
      </c>
      <c r="H2686">
        <f>IF(OR($B2686="",NOT(ISNUMBER($D2686))),"",IF($E2686&lt;$D$2,"Passé",IF($D2686&gt;$F$2,"À venir","Dans la période")))</f>
        <v/>
      </c>
      <c r="I2686">
        <f>IF(OR($B2686="",NOT(ISNUMBER($D2686))),"",IF(AND($E2686&lt;$D$2,$G2686&lt;&gt;"X",$F2686&lt;&gt;"Réalisé",$F2686&lt;&gt;"Clôturé"),"RETARD",""))</f>
        <v/>
      </c>
      <c r="J2686" s="29">
        <f>IF($B2686="","",IF(INDEX(Dossiers!$F$4:$F$63,51)="","",INDEX(Dossiers!$F$4:$F$63,51)))</f>
        <v/>
      </c>
      <c r="K2686" s="29">
        <f>IF($B2686="","",IF(INDEX(Dossiers!$G$4:$G$63,51)="","",INDEX(Dossiers!$G$4:$G$63,51)))</f>
        <v/>
      </c>
    </row>
    <row r="2687">
      <c r="A2687">
        <f>IF($B2687="","",INDEX(Dossiers!$E$4:$E$63,51))</f>
        <v/>
      </c>
      <c r="B2687">
        <f>IF(INDEX(Suivi!$B:$B,2738)="","",INDEX(Suivi!$B:$B,2738))</f>
        <v/>
      </c>
      <c r="C2687">
        <f>IF($B2687="","",IF(INDEX(Suivi!$D:$D,2738)="",INDEX(Suivi!$C:$C,2738),INDEX(Suivi!$D:$D,2738)))</f>
        <v/>
      </c>
      <c r="D2687" s="29">
        <f>IF($B2687="","",INDEX(Suivi!$E:$E,2738))</f>
        <v/>
      </c>
      <c r="E2687" s="29">
        <f>IF($B2687="","",INDEX(Suivi!$F:$F,2738))</f>
        <v/>
      </c>
      <c r="F2687">
        <f>IF($B2687="","",INDEX(Suivi!$G:$G,2738))</f>
        <v/>
      </c>
      <c r="H2687">
        <f>IF(OR($B2687="",NOT(ISNUMBER($D2687))),"",IF($E2687&lt;$D$2,"Passé",IF($D2687&gt;$F$2,"À venir","Dans la période")))</f>
        <v/>
      </c>
      <c r="I2687">
        <f>IF(OR($B2687="",NOT(ISNUMBER($D2687))),"",IF(AND($E2687&lt;$D$2,$G2687&lt;&gt;"X",$F2687&lt;&gt;"Réalisé",$F2687&lt;&gt;"Clôturé"),"RETARD",""))</f>
        <v/>
      </c>
      <c r="J2687" s="29">
        <f>IF($B2687="","",IF(INDEX(Dossiers!$F$4:$F$63,51)="","",INDEX(Dossiers!$F$4:$F$63,51)))</f>
        <v/>
      </c>
      <c r="K2687" s="29">
        <f>IF($B2687="","",IF(INDEX(Dossiers!$G$4:$G$63,51)="","",INDEX(Dossiers!$G$4:$G$63,51)))</f>
        <v/>
      </c>
    </row>
    <row r="2688">
      <c r="A2688">
        <f>IF($B2688="","",INDEX(Dossiers!$E$4:$E$63,51))</f>
        <v/>
      </c>
      <c r="B2688">
        <f>IF(INDEX(Suivi!$B:$B,2739)="","",INDEX(Suivi!$B:$B,2739))</f>
        <v/>
      </c>
      <c r="C2688">
        <f>IF($B2688="","",IF(INDEX(Suivi!$D:$D,2739)="",INDEX(Suivi!$C:$C,2739),INDEX(Suivi!$D:$D,2739)))</f>
        <v/>
      </c>
      <c r="D2688" s="29">
        <f>IF($B2688="","",INDEX(Suivi!$E:$E,2739))</f>
        <v/>
      </c>
      <c r="E2688" s="29">
        <f>IF($B2688="","",INDEX(Suivi!$F:$F,2739))</f>
        <v/>
      </c>
      <c r="F2688">
        <f>IF($B2688="","",INDEX(Suivi!$G:$G,2739))</f>
        <v/>
      </c>
      <c r="H2688">
        <f>IF(OR($B2688="",NOT(ISNUMBER($D2688))),"",IF($E2688&lt;$D$2,"Passé",IF($D2688&gt;$F$2,"À venir","Dans la période")))</f>
        <v/>
      </c>
      <c r="I2688">
        <f>IF(OR($B2688="",NOT(ISNUMBER($D2688))),"",IF(AND($E2688&lt;$D$2,$G2688&lt;&gt;"X",$F2688&lt;&gt;"Réalisé",$F2688&lt;&gt;"Clôturé"),"RETARD",""))</f>
        <v/>
      </c>
      <c r="J2688" s="29">
        <f>IF($B2688="","",IF(INDEX(Dossiers!$F$4:$F$63,51)="","",INDEX(Dossiers!$F$4:$F$63,51)))</f>
        <v/>
      </c>
      <c r="K2688" s="29">
        <f>IF($B2688="","",IF(INDEX(Dossiers!$G$4:$G$63,51)="","",INDEX(Dossiers!$G$4:$G$63,51)))</f>
        <v/>
      </c>
    </row>
    <row r="2689">
      <c r="A2689">
        <f>IF($B2689="","",INDEX(Dossiers!$E$4:$E$63,51))</f>
        <v/>
      </c>
      <c r="B2689">
        <f>IF(INDEX(Suivi!$B:$B,2740)="","",INDEX(Suivi!$B:$B,2740))</f>
        <v/>
      </c>
      <c r="C2689">
        <f>IF($B2689="","",IF(INDEX(Suivi!$D:$D,2740)="",INDEX(Suivi!$C:$C,2740),INDEX(Suivi!$D:$D,2740)))</f>
        <v/>
      </c>
      <c r="D2689" s="29">
        <f>IF($B2689="","",INDEX(Suivi!$E:$E,2740))</f>
        <v/>
      </c>
      <c r="E2689" s="29">
        <f>IF($B2689="","",INDEX(Suivi!$F:$F,2740))</f>
        <v/>
      </c>
      <c r="F2689">
        <f>IF($B2689="","",INDEX(Suivi!$G:$G,2740))</f>
        <v/>
      </c>
      <c r="H2689">
        <f>IF(OR($B2689="",NOT(ISNUMBER($D2689))),"",IF($E2689&lt;$D$2,"Passé",IF($D2689&gt;$F$2,"À venir","Dans la période")))</f>
        <v/>
      </c>
      <c r="I2689">
        <f>IF(OR($B2689="",NOT(ISNUMBER($D2689))),"",IF(AND($E2689&lt;$D$2,$G2689&lt;&gt;"X",$F2689&lt;&gt;"Réalisé",$F2689&lt;&gt;"Clôturé"),"RETARD",""))</f>
        <v/>
      </c>
      <c r="J2689" s="29">
        <f>IF($B2689="","",IF(INDEX(Dossiers!$F$4:$F$63,51)="","",INDEX(Dossiers!$F$4:$F$63,51)))</f>
        <v/>
      </c>
      <c r="K2689" s="29">
        <f>IF($B2689="","",IF(INDEX(Dossiers!$G$4:$G$63,51)="","",INDEX(Dossiers!$G$4:$G$63,51)))</f>
        <v/>
      </c>
    </row>
    <row r="2690">
      <c r="A2690">
        <f>IF($B2690="","",INDEX(Dossiers!$E$4:$E$63,51))</f>
        <v/>
      </c>
      <c r="B2690">
        <f>IF(INDEX(Suivi!$B:$B,2741)="","",INDEX(Suivi!$B:$B,2741))</f>
        <v/>
      </c>
      <c r="C2690">
        <f>IF($B2690="","",IF(INDEX(Suivi!$D:$D,2741)="",INDEX(Suivi!$C:$C,2741),INDEX(Suivi!$D:$D,2741)))</f>
        <v/>
      </c>
      <c r="D2690" s="29">
        <f>IF($B2690="","",INDEX(Suivi!$E:$E,2741))</f>
        <v/>
      </c>
      <c r="E2690" s="29">
        <f>IF($B2690="","",INDEX(Suivi!$F:$F,2741))</f>
        <v/>
      </c>
      <c r="F2690">
        <f>IF($B2690="","",INDEX(Suivi!$G:$G,2741))</f>
        <v/>
      </c>
      <c r="H2690">
        <f>IF(OR($B2690="",NOT(ISNUMBER($D2690))),"",IF($E2690&lt;$D$2,"Passé",IF($D2690&gt;$F$2,"À venir","Dans la période")))</f>
        <v/>
      </c>
      <c r="I2690">
        <f>IF(OR($B2690="",NOT(ISNUMBER($D2690))),"",IF(AND($E2690&lt;$D$2,$G2690&lt;&gt;"X",$F2690&lt;&gt;"Réalisé",$F2690&lt;&gt;"Clôturé"),"RETARD",""))</f>
        <v/>
      </c>
      <c r="J2690" s="29">
        <f>IF($B2690="","",IF(INDEX(Dossiers!$F$4:$F$63,51)="","",INDEX(Dossiers!$F$4:$F$63,51)))</f>
        <v/>
      </c>
      <c r="K2690" s="29">
        <f>IF($B2690="","",IF(INDEX(Dossiers!$G$4:$G$63,51)="","",INDEX(Dossiers!$G$4:$G$63,51)))</f>
        <v/>
      </c>
    </row>
    <row r="2691">
      <c r="A2691">
        <f>IF($B2691="","",INDEX(Dossiers!$E$4:$E$63,51))</f>
        <v/>
      </c>
      <c r="B2691">
        <f>IF(INDEX(Suivi!$B:$B,2742)="","",INDEX(Suivi!$B:$B,2742))</f>
        <v/>
      </c>
      <c r="C2691">
        <f>IF($B2691="","",IF(INDEX(Suivi!$D:$D,2742)="",INDEX(Suivi!$C:$C,2742),INDEX(Suivi!$D:$D,2742)))</f>
        <v/>
      </c>
      <c r="D2691" s="29">
        <f>IF($B2691="","",INDEX(Suivi!$E:$E,2742))</f>
        <v/>
      </c>
      <c r="E2691" s="29">
        <f>IF($B2691="","",INDEX(Suivi!$F:$F,2742))</f>
        <v/>
      </c>
      <c r="F2691">
        <f>IF($B2691="","",INDEX(Suivi!$G:$G,2742))</f>
        <v/>
      </c>
      <c r="H2691">
        <f>IF(OR($B2691="",NOT(ISNUMBER($D2691))),"",IF($E2691&lt;$D$2,"Passé",IF($D2691&gt;$F$2,"À venir","Dans la période")))</f>
        <v/>
      </c>
      <c r="I2691">
        <f>IF(OR($B2691="",NOT(ISNUMBER($D2691))),"",IF(AND($E2691&lt;$D$2,$G2691&lt;&gt;"X",$F2691&lt;&gt;"Réalisé",$F2691&lt;&gt;"Clôturé"),"RETARD",""))</f>
        <v/>
      </c>
      <c r="J2691" s="29">
        <f>IF($B2691="","",IF(INDEX(Dossiers!$F$4:$F$63,51)="","",INDEX(Dossiers!$F$4:$F$63,51)))</f>
        <v/>
      </c>
      <c r="K2691" s="29">
        <f>IF($B2691="","",IF(INDEX(Dossiers!$G$4:$G$63,51)="","",INDEX(Dossiers!$G$4:$G$63,51)))</f>
        <v/>
      </c>
    </row>
    <row r="2692">
      <c r="A2692">
        <f>IF($B2692="","",INDEX(Dossiers!$E$4:$E$63,51))</f>
        <v/>
      </c>
      <c r="B2692">
        <f>IF(INDEX(Suivi!$B:$B,2743)="","",INDEX(Suivi!$B:$B,2743))</f>
        <v/>
      </c>
      <c r="C2692">
        <f>IF($B2692="","",IF(INDEX(Suivi!$D:$D,2743)="",INDEX(Suivi!$C:$C,2743),INDEX(Suivi!$D:$D,2743)))</f>
        <v/>
      </c>
      <c r="D2692" s="29">
        <f>IF($B2692="","",INDEX(Suivi!$E:$E,2743))</f>
        <v/>
      </c>
      <c r="E2692" s="29">
        <f>IF($B2692="","",INDEX(Suivi!$F:$F,2743))</f>
        <v/>
      </c>
      <c r="F2692">
        <f>IF($B2692="","",INDEX(Suivi!$G:$G,2743))</f>
        <v/>
      </c>
      <c r="H2692">
        <f>IF(OR($B2692="",NOT(ISNUMBER($D2692))),"",IF($E2692&lt;$D$2,"Passé",IF($D2692&gt;$F$2,"À venir","Dans la période")))</f>
        <v/>
      </c>
      <c r="I2692">
        <f>IF(OR($B2692="",NOT(ISNUMBER($D2692))),"",IF(AND($E2692&lt;$D$2,$G2692&lt;&gt;"X",$F2692&lt;&gt;"Réalisé",$F2692&lt;&gt;"Clôturé"),"RETARD",""))</f>
        <v/>
      </c>
      <c r="J2692" s="29">
        <f>IF($B2692="","",IF(INDEX(Dossiers!$F$4:$F$63,51)="","",INDEX(Dossiers!$F$4:$F$63,51)))</f>
        <v/>
      </c>
      <c r="K2692" s="29">
        <f>IF($B2692="","",IF(INDEX(Dossiers!$G$4:$G$63,51)="","",INDEX(Dossiers!$G$4:$G$63,51)))</f>
        <v/>
      </c>
    </row>
    <row r="2693">
      <c r="A2693">
        <f>IF($B2693="","",INDEX(Dossiers!$E$4:$E$63,51))</f>
        <v/>
      </c>
      <c r="B2693">
        <f>IF(INDEX(Suivi!$B:$B,2744)="","",INDEX(Suivi!$B:$B,2744))</f>
        <v/>
      </c>
      <c r="C2693">
        <f>IF($B2693="","",IF(INDEX(Suivi!$D:$D,2744)="",INDEX(Suivi!$C:$C,2744),INDEX(Suivi!$D:$D,2744)))</f>
        <v/>
      </c>
      <c r="D2693" s="29">
        <f>IF($B2693="","",INDEX(Suivi!$E:$E,2744))</f>
        <v/>
      </c>
      <c r="E2693" s="29">
        <f>IF($B2693="","",INDEX(Suivi!$F:$F,2744))</f>
        <v/>
      </c>
      <c r="F2693">
        <f>IF($B2693="","",INDEX(Suivi!$G:$G,2744))</f>
        <v/>
      </c>
      <c r="H2693">
        <f>IF(OR($B2693="",NOT(ISNUMBER($D2693))),"",IF($E2693&lt;$D$2,"Passé",IF($D2693&gt;$F$2,"À venir","Dans la période")))</f>
        <v/>
      </c>
      <c r="I2693">
        <f>IF(OR($B2693="",NOT(ISNUMBER($D2693))),"",IF(AND($E2693&lt;$D$2,$G2693&lt;&gt;"X",$F2693&lt;&gt;"Réalisé",$F2693&lt;&gt;"Clôturé"),"RETARD",""))</f>
        <v/>
      </c>
      <c r="J2693" s="29">
        <f>IF($B2693="","",IF(INDEX(Dossiers!$F$4:$F$63,51)="","",INDEX(Dossiers!$F$4:$F$63,51)))</f>
        <v/>
      </c>
      <c r="K2693" s="29">
        <f>IF($B2693="","",IF(INDEX(Dossiers!$G$4:$G$63,51)="","",INDEX(Dossiers!$G$4:$G$63,51)))</f>
        <v/>
      </c>
    </row>
    <row r="2694">
      <c r="A2694">
        <f>IF($B2694="","",INDEX(Dossiers!$E$4:$E$63,51))</f>
        <v/>
      </c>
      <c r="B2694">
        <f>IF(INDEX(Suivi!$B:$B,2745)="","",INDEX(Suivi!$B:$B,2745))</f>
        <v/>
      </c>
      <c r="C2694">
        <f>IF($B2694="","",IF(INDEX(Suivi!$D:$D,2745)="",INDEX(Suivi!$C:$C,2745),INDEX(Suivi!$D:$D,2745)))</f>
        <v/>
      </c>
      <c r="D2694" s="29">
        <f>IF($B2694="","",INDEX(Suivi!$E:$E,2745))</f>
        <v/>
      </c>
      <c r="E2694" s="29">
        <f>IF($B2694="","",INDEX(Suivi!$F:$F,2745))</f>
        <v/>
      </c>
      <c r="F2694">
        <f>IF($B2694="","",INDEX(Suivi!$G:$G,2745))</f>
        <v/>
      </c>
      <c r="H2694">
        <f>IF(OR($B2694="",NOT(ISNUMBER($D2694))),"",IF($E2694&lt;$D$2,"Passé",IF($D2694&gt;$F$2,"À venir","Dans la période")))</f>
        <v/>
      </c>
      <c r="I2694">
        <f>IF(OR($B2694="",NOT(ISNUMBER($D2694))),"",IF(AND($E2694&lt;$D$2,$G2694&lt;&gt;"X",$F2694&lt;&gt;"Réalisé",$F2694&lt;&gt;"Clôturé"),"RETARD",""))</f>
        <v/>
      </c>
      <c r="J2694" s="29">
        <f>IF($B2694="","",IF(INDEX(Dossiers!$F$4:$F$63,51)="","",INDEX(Dossiers!$F$4:$F$63,51)))</f>
        <v/>
      </c>
      <c r="K2694" s="29">
        <f>IF($B2694="","",IF(INDEX(Dossiers!$G$4:$G$63,51)="","",INDEX(Dossiers!$G$4:$G$63,51)))</f>
        <v/>
      </c>
    </row>
    <row r="2695">
      <c r="A2695">
        <f>IF($B2695="","",INDEX(Dossiers!$E$4:$E$63,51))</f>
        <v/>
      </c>
      <c r="B2695">
        <f>IF(INDEX(Suivi!$B:$B,2746)="","",INDEX(Suivi!$B:$B,2746))</f>
        <v/>
      </c>
      <c r="C2695">
        <f>IF($B2695="","",IF(INDEX(Suivi!$D:$D,2746)="",INDEX(Suivi!$C:$C,2746),INDEX(Suivi!$D:$D,2746)))</f>
        <v/>
      </c>
      <c r="D2695" s="29">
        <f>IF($B2695="","",INDEX(Suivi!$E:$E,2746))</f>
        <v/>
      </c>
      <c r="E2695" s="29">
        <f>IF($B2695="","",INDEX(Suivi!$F:$F,2746))</f>
        <v/>
      </c>
      <c r="F2695">
        <f>IF($B2695="","",INDEX(Suivi!$G:$G,2746))</f>
        <v/>
      </c>
      <c r="H2695">
        <f>IF(OR($B2695="",NOT(ISNUMBER($D2695))),"",IF($E2695&lt;$D$2,"Passé",IF($D2695&gt;$F$2,"À venir","Dans la période")))</f>
        <v/>
      </c>
      <c r="I2695">
        <f>IF(OR($B2695="",NOT(ISNUMBER($D2695))),"",IF(AND($E2695&lt;$D$2,$G2695&lt;&gt;"X",$F2695&lt;&gt;"Réalisé",$F2695&lt;&gt;"Clôturé"),"RETARD",""))</f>
        <v/>
      </c>
      <c r="J2695" s="29">
        <f>IF($B2695="","",IF(INDEX(Dossiers!$F$4:$F$63,51)="","",INDEX(Dossiers!$F$4:$F$63,51)))</f>
        <v/>
      </c>
      <c r="K2695" s="29">
        <f>IF($B2695="","",IF(INDEX(Dossiers!$G$4:$G$63,51)="","",INDEX(Dossiers!$G$4:$G$63,51)))</f>
        <v/>
      </c>
    </row>
    <row r="2696">
      <c r="A2696">
        <f>IF($B2696="","",INDEX(Dossiers!$E$4:$E$63,51))</f>
        <v/>
      </c>
      <c r="B2696">
        <f>IF(INDEX(Suivi!$B:$B,2747)="","",INDEX(Suivi!$B:$B,2747))</f>
        <v/>
      </c>
      <c r="C2696">
        <f>IF($B2696="","",IF(INDEX(Suivi!$D:$D,2747)="",INDEX(Suivi!$C:$C,2747),INDEX(Suivi!$D:$D,2747)))</f>
        <v/>
      </c>
      <c r="D2696" s="29">
        <f>IF($B2696="","",INDEX(Suivi!$E:$E,2747))</f>
        <v/>
      </c>
      <c r="E2696" s="29">
        <f>IF($B2696="","",INDEX(Suivi!$F:$F,2747))</f>
        <v/>
      </c>
      <c r="F2696">
        <f>IF($B2696="","",INDEX(Suivi!$G:$G,2747))</f>
        <v/>
      </c>
      <c r="H2696">
        <f>IF(OR($B2696="",NOT(ISNUMBER($D2696))),"",IF($E2696&lt;$D$2,"Passé",IF($D2696&gt;$F$2,"À venir","Dans la période")))</f>
        <v/>
      </c>
      <c r="I2696">
        <f>IF(OR($B2696="",NOT(ISNUMBER($D2696))),"",IF(AND($E2696&lt;$D$2,$G2696&lt;&gt;"X",$F2696&lt;&gt;"Réalisé",$F2696&lt;&gt;"Clôturé"),"RETARD",""))</f>
        <v/>
      </c>
      <c r="J2696" s="29">
        <f>IF($B2696="","",IF(INDEX(Dossiers!$F$4:$F$63,51)="","",INDEX(Dossiers!$F$4:$F$63,51)))</f>
        <v/>
      </c>
      <c r="K2696" s="29">
        <f>IF($B2696="","",IF(INDEX(Dossiers!$G$4:$G$63,51)="","",INDEX(Dossiers!$G$4:$G$63,51)))</f>
        <v/>
      </c>
    </row>
    <row r="2697">
      <c r="A2697">
        <f>IF($B2697="","",INDEX(Dossiers!$E$4:$E$63,51))</f>
        <v/>
      </c>
      <c r="B2697">
        <f>IF(INDEX(Suivi!$B:$B,2748)="","",INDEX(Suivi!$B:$B,2748))</f>
        <v/>
      </c>
      <c r="C2697">
        <f>IF($B2697="","",IF(INDEX(Suivi!$D:$D,2748)="",INDEX(Suivi!$C:$C,2748),INDEX(Suivi!$D:$D,2748)))</f>
        <v/>
      </c>
      <c r="D2697" s="29">
        <f>IF($B2697="","",INDEX(Suivi!$E:$E,2748))</f>
        <v/>
      </c>
      <c r="E2697" s="29">
        <f>IF($B2697="","",INDEX(Suivi!$F:$F,2748))</f>
        <v/>
      </c>
      <c r="F2697">
        <f>IF($B2697="","",INDEX(Suivi!$G:$G,2748))</f>
        <v/>
      </c>
      <c r="H2697">
        <f>IF(OR($B2697="",NOT(ISNUMBER($D2697))),"",IF($E2697&lt;$D$2,"Passé",IF($D2697&gt;$F$2,"À venir","Dans la période")))</f>
        <v/>
      </c>
      <c r="I2697">
        <f>IF(OR($B2697="",NOT(ISNUMBER($D2697))),"",IF(AND($E2697&lt;$D$2,$G2697&lt;&gt;"X",$F2697&lt;&gt;"Réalisé",$F2697&lt;&gt;"Clôturé"),"RETARD",""))</f>
        <v/>
      </c>
      <c r="J2697" s="29">
        <f>IF($B2697="","",IF(INDEX(Dossiers!$F$4:$F$63,51)="","",INDEX(Dossiers!$F$4:$F$63,51)))</f>
        <v/>
      </c>
      <c r="K2697" s="29">
        <f>IF($B2697="","",IF(INDEX(Dossiers!$G$4:$G$63,51)="","",INDEX(Dossiers!$G$4:$G$63,51)))</f>
        <v/>
      </c>
    </row>
    <row r="2698">
      <c r="A2698">
        <f>IF($B2698="","",INDEX(Dossiers!$E$4:$E$63,51))</f>
        <v/>
      </c>
      <c r="B2698">
        <f>IF(INDEX(Suivi!$B:$B,2749)="","",INDEX(Suivi!$B:$B,2749))</f>
        <v/>
      </c>
      <c r="C2698">
        <f>IF($B2698="","",IF(INDEX(Suivi!$D:$D,2749)="",INDEX(Suivi!$C:$C,2749),INDEX(Suivi!$D:$D,2749)))</f>
        <v/>
      </c>
      <c r="D2698" s="29">
        <f>IF($B2698="","",INDEX(Suivi!$E:$E,2749))</f>
        <v/>
      </c>
      <c r="E2698" s="29">
        <f>IF($B2698="","",INDEX(Suivi!$F:$F,2749))</f>
        <v/>
      </c>
      <c r="F2698">
        <f>IF($B2698="","",INDEX(Suivi!$G:$G,2749))</f>
        <v/>
      </c>
      <c r="H2698">
        <f>IF(OR($B2698="",NOT(ISNUMBER($D2698))),"",IF($E2698&lt;$D$2,"Passé",IF($D2698&gt;$F$2,"À venir","Dans la période")))</f>
        <v/>
      </c>
      <c r="I2698">
        <f>IF(OR($B2698="",NOT(ISNUMBER($D2698))),"",IF(AND($E2698&lt;$D$2,$G2698&lt;&gt;"X",$F2698&lt;&gt;"Réalisé",$F2698&lt;&gt;"Clôturé"),"RETARD",""))</f>
        <v/>
      </c>
      <c r="J2698" s="29">
        <f>IF($B2698="","",IF(INDEX(Dossiers!$F$4:$F$63,51)="","",INDEX(Dossiers!$F$4:$F$63,51)))</f>
        <v/>
      </c>
      <c r="K2698" s="29">
        <f>IF($B2698="","",IF(INDEX(Dossiers!$G$4:$G$63,51)="","",INDEX(Dossiers!$G$4:$G$63,51)))</f>
        <v/>
      </c>
    </row>
    <row r="2699">
      <c r="A2699">
        <f>IF($B2699="","",INDEX(Dossiers!$E$4:$E$63,51))</f>
        <v/>
      </c>
      <c r="B2699">
        <f>IF(INDEX(Suivi!$B:$B,2750)="","",INDEX(Suivi!$B:$B,2750))</f>
        <v/>
      </c>
      <c r="C2699">
        <f>IF($B2699="","",IF(INDEX(Suivi!$D:$D,2750)="",INDEX(Suivi!$C:$C,2750),INDEX(Suivi!$D:$D,2750)))</f>
        <v/>
      </c>
      <c r="D2699" s="29">
        <f>IF($B2699="","",INDEX(Suivi!$E:$E,2750))</f>
        <v/>
      </c>
      <c r="E2699" s="29">
        <f>IF($B2699="","",INDEX(Suivi!$F:$F,2750))</f>
        <v/>
      </c>
      <c r="F2699">
        <f>IF($B2699="","",INDEX(Suivi!$G:$G,2750))</f>
        <v/>
      </c>
      <c r="H2699">
        <f>IF(OR($B2699="",NOT(ISNUMBER($D2699))),"",IF($E2699&lt;$D$2,"Passé",IF($D2699&gt;$F$2,"À venir","Dans la période")))</f>
        <v/>
      </c>
      <c r="I2699">
        <f>IF(OR($B2699="",NOT(ISNUMBER($D2699))),"",IF(AND($E2699&lt;$D$2,$G2699&lt;&gt;"X",$F2699&lt;&gt;"Réalisé",$F2699&lt;&gt;"Clôturé"),"RETARD",""))</f>
        <v/>
      </c>
      <c r="J2699" s="29">
        <f>IF($B2699="","",IF(INDEX(Dossiers!$F$4:$F$63,51)="","",INDEX(Dossiers!$F$4:$F$63,51)))</f>
        <v/>
      </c>
      <c r="K2699" s="29">
        <f>IF($B2699="","",IF(INDEX(Dossiers!$G$4:$G$63,51)="","",INDEX(Dossiers!$G$4:$G$63,51)))</f>
        <v/>
      </c>
    </row>
    <row r="2700">
      <c r="A2700">
        <f>IF($B2700="","",INDEX(Dossiers!$E$4:$E$63,51))</f>
        <v/>
      </c>
      <c r="B2700">
        <f>IF(INDEX(Suivi!$B:$B,2751)="","",INDEX(Suivi!$B:$B,2751))</f>
        <v/>
      </c>
      <c r="C2700">
        <f>IF($B2700="","",IF(INDEX(Suivi!$D:$D,2751)="",INDEX(Suivi!$C:$C,2751),INDEX(Suivi!$D:$D,2751)))</f>
        <v/>
      </c>
      <c r="D2700" s="29">
        <f>IF($B2700="","",INDEX(Suivi!$E:$E,2751))</f>
        <v/>
      </c>
      <c r="E2700" s="29">
        <f>IF($B2700="","",INDEX(Suivi!$F:$F,2751))</f>
        <v/>
      </c>
      <c r="F2700">
        <f>IF($B2700="","",INDEX(Suivi!$G:$G,2751))</f>
        <v/>
      </c>
      <c r="H2700">
        <f>IF(OR($B2700="",NOT(ISNUMBER($D2700))),"",IF($E2700&lt;$D$2,"Passé",IF($D2700&gt;$F$2,"À venir","Dans la période")))</f>
        <v/>
      </c>
      <c r="I2700">
        <f>IF(OR($B2700="",NOT(ISNUMBER($D2700))),"",IF(AND($E2700&lt;$D$2,$G2700&lt;&gt;"X",$F2700&lt;&gt;"Réalisé",$F2700&lt;&gt;"Clôturé"),"RETARD",""))</f>
        <v/>
      </c>
      <c r="J2700" s="29">
        <f>IF($B2700="","",IF(INDEX(Dossiers!$F$4:$F$63,51)="","",INDEX(Dossiers!$F$4:$F$63,51)))</f>
        <v/>
      </c>
      <c r="K2700" s="29">
        <f>IF($B2700="","",IF(INDEX(Dossiers!$G$4:$G$63,51)="","",INDEX(Dossiers!$G$4:$G$63,51)))</f>
        <v/>
      </c>
    </row>
    <row r="2701">
      <c r="A2701">
        <f>IF($B2701="","",INDEX(Dossiers!$E$4:$E$63,51))</f>
        <v/>
      </c>
      <c r="B2701">
        <f>IF(INDEX(Suivi!$B:$B,2752)="","",INDEX(Suivi!$B:$B,2752))</f>
        <v/>
      </c>
      <c r="C2701">
        <f>IF($B2701="","",IF(INDEX(Suivi!$D:$D,2752)="",INDEX(Suivi!$C:$C,2752),INDEX(Suivi!$D:$D,2752)))</f>
        <v/>
      </c>
      <c r="D2701" s="29">
        <f>IF($B2701="","",INDEX(Suivi!$E:$E,2752))</f>
        <v/>
      </c>
      <c r="E2701" s="29">
        <f>IF($B2701="","",INDEX(Suivi!$F:$F,2752))</f>
        <v/>
      </c>
      <c r="F2701">
        <f>IF($B2701="","",INDEX(Suivi!$G:$G,2752))</f>
        <v/>
      </c>
      <c r="H2701">
        <f>IF(OR($B2701="",NOT(ISNUMBER($D2701))),"",IF($E2701&lt;$D$2,"Passé",IF($D2701&gt;$F$2,"À venir","Dans la période")))</f>
        <v/>
      </c>
      <c r="I2701">
        <f>IF(OR($B2701="",NOT(ISNUMBER($D2701))),"",IF(AND($E2701&lt;$D$2,$G2701&lt;&gt;"X",$F2701&lt;&gt;"Réalisé",$F2701&lt;&gt;"Clôturé"),"RETARD",""))</f>
        <v/>
      </c>
      <c r="J2701" s="29">
        <f>IF($B2701="","",IF(INDEX(Dossiers!$F$4:$F$63,51)="","",INDEX(Dossiers!$F$4:$F$63,51)))</f>
        <v/>
      </c>
      <c r="K2701" s="29">
        <f>IF($B2701="","",IF(INDEX(Dossiers!$G$4:$G$63,51)="","",INDEX(Dossiers!$G$4:$G$63,51)))</f>
        <v/>
      </c>
    </row>
    <row r="2702">
      <c r="A2702">
        <f>IF($B2702="","",INDEX(Dossiers!$E$4:$E$63,51))</f>
        <v/>
      </c>
      <c r="B2702">
        <f>IF(INDEX(Suivi!$B:$B,2753)="","",INDEX(Suivi!$B:$B,2753))</f>
        <v/>
      </c>
      <c r="C2702">
        <f>IF($B2702="","",IF(INDEX(Suivi!$D:$D,2753)="",INDEX(Suivi!$C:$C,2753),INDEX(Suivi!$D:$D,2753)))</f>
        <v/>
      </c>
      <c r="D2702" s="29">
        <f>IF($B2702="","",INDEX(Suivi!$E:$E,2753))</f>
        <v/>
      </c>
      <c r="E2702" s="29">
        <f>IF($B2702="","",INDEX(Suivi!$F:$F,2753))</f>
        <v/>
      </c>
      <c r="F2702">
        <f>IF($B2702="","",INDEX(Suivi!$G:$G,2753))</f>
        <v/>
      </c>
      <c r="H2702">
        <f>IF(OR($B2702="",NOT(ISNUMBER($D2702))),"",IF($E2702&lt;$D$2,"Passé",IF($D2702&gt;$F$2,"À venir","Dans la période")))</f>
        <v/>
      </c>
      <c r="I2702">
        <f>IF(OR($B2702="",NOT(ISNUMBER($D2702))),"",IF(AND($E2702&lt;$D$2,$G2702&lt;&gt;"X",$F2702&lt;&gt;"Réalisé",$F2702&lt;&gt;"Clôturé"),"RETARD",""))</f>
        <v/>
      </c>
      <c r="J2702" s="29">
        <f>IF($B2702="","",IF(INDEX(Dossiers!$F$4:$F$63,51)="","",INDEX(Dossiers!$F$4:$F$63,51)))</f>
        <v/>
      </c>
      <c r="K2702" s="29">
        <f>IF($B2702="","",IF(INDEX(Dossiers!$G$4:$G$63,51)="","",INDEX(Dossiers!$G$4:$G$63,51)))</f>
        <v/>
      </c>
    </row>
    <row r="2703">
      <c r="A2703">
        <f>IF($B2703="","",INDEX(Dossiers!$E$4:$E$63,51))</f>
        <v/>
      </c>
      <c r="B2703">
        <f>IF(INDEX(Suivi!$B:$B,2754)="","",INDEX(Suivi!$B:$B,2754))</f>
        <v/>
      </c>
      <c r="C2703">
        <f>IF($B2703="","",IF(INDEX(Suivi!$D:$D,2754)="",INDEX(Suivi!$C:$C,2754),INDEX(Suivi!$D:$D,2754)))</f>
        <v/>
      </c>
      <c r="D2703" s="29">
        <f>IF($B2703="","",INDEX(Suivi!$E:$E,2754))</f>
        <v/>
      </c>
      <c r="E2703" s="29">
        <f>IF($B2703="","",INDEX(Suivi!$F:$F,2754))</f>
        <v/>
      </c>
      <c r="F2703">
        <f>IF($B2703="","",INDEX(Suivi!$G:$G,2754))</f>
        <v/>
      </c>
      <c r="H2703">
        <f>IF(OR($B2703="",NOT(ISNUMBER($D2703))),"",IF($E2703&lt;$D$2,"Passé",IF($D2703&gt;$F$2,"À venir","Dans la période")))</f>
        <v/>
      </c>
      <c r="I2703">
        <f>IF(OR($B2703="",NOT(ISNUMBER($D2703))),"",IF(AND($E2703&lt;$D$2,$G2703&lt;&gt;"X",$F2703&lt;&gt;"Réalisé",$F2703&lt;&gt;"Clôturé"),"RETARD",""))</f>
        <v/>
      </c>
      <c r="J2703" s="29">
        <f>IF($B2703="","",IF(INDEX(Dossiers!$F$4:$F$63,51)="","",INDEX(Dossiers!$F$4:$F$63,51)))</f>
        <v/>
      </c>
      <c r="K2703" s="29">
        <f>IF($B2703="","",IF(INDEX(Dossiers!$G$4:$G$63,51)="","",INDEX(Dossiers!$G$4:$G$63,51)))</f>
        <v/>
      </c>
    </row>
    <row r="2704">
      <c r="A2704">
        <f>IF($B2704="","",INDEX(Dossiers!$E$4:$E$63,51))</f>
        <v/>
      </c>
      <c r="B2704">
        <f>IF(INDEX(Suivi!$B:$B,2755)="","",INDEX(Suivi!$B:$B,2755))</f>
        <v/>
      </c>
      <c r="C2704">
        <f>IF($B2704="","",IF(INDEX(Suivi!$D:$D,2755)="",INDEX(Suivi!$C:$C,2755),INDEX(Suivi!$D:$D,2755)))</f>
        <v/>
      </c>
      <c r="D2704" s="29">
        <f>IF($B2704="","",INDEX(Suivi!$E:$E,2755))</f>
        <v/>
      </c>
      <c r="E2704" s="29">
        <f>IF($B2704="","",INDEX(Suivi!$F:$F,2755))</f>
        <v/>
      </c>
      <c r="F2704">
        <f>IF($B2704="","",INDEX(Suivi!$G:$G,2755))</f>
        <v/>
      </c>
      <c r="H2704">
        <f>IF(OR($B2704="",NOT(ISNUMBER($D2704))),"",IF($E2704&lt;$D$2,"Passé",IF($D2704&gt;$F$2,"À venir","Dans la période")))</f>
        <v/>
      </c>
      <c r="I2704">
        <f>IF(OR($B2704="",NOT(ISNUMBER($D2704))),"",IF(AND($E2704&lt;$D$2,$G2704&lt;&gt;"X",$F2704&lt;&gt;"Réalisé",$F2704&lt;&gt;"Clôturé"),"RETARD",""))</f>
        <v/>
      </c>
      <c r="J2704" s="29">
        <f>IF($B2704="","",IF(INDEX(Dossiers!$F$4:$F$63,51)="","",INDEX(Dossiers!$F$4:$F$63,51)))</f>
        <v/>
      </c>
      <c r="K2704" s="29">
        <f>IF($B2704="","",IF(INDEX(Dossiers!$G$4:$G$63,51)="","",INDEX(Dossiers!$G$4:$G$63,51)))</f>
        <v/>
      </c>
    </row>
    <row r="2705">
      <c r="A2705">
        <f>IF($B2705="","",INDEX(Dossiers!$E$4:$E$63,51))</f>
        <v/>
      </c>
      <c r="B2705">
        <f>IF(INDEX(Suivi!$B:$B,2756)="","",INDEX(Suivi!$B:$B,2756))</f>
        <v/>
      </c>
      <c r="C2705">
        <f>IF($B2705="","",IF(INDEX(Suivi!$D:$D,2756)="",INDEX(Suivi!$C:$C,2756),INDEX(Suivi!$D:$D,2756)))</f>
        <v/>
      </c>
      <c r="D2705" s="29">
        <f>IF($B2705="","",INDEX(Suivi!$E:$E,2756))</f>
        <v/>
      </c>
      <c r="E2705" s="29">
        <f>IF($B2705="","",INDEX(Suivi!$F:$F,2756))</f>
        <v/>
      </c>
      <c r="F2705">
        <f>IF($B2705="","",INDEX(Suivi!$G:$G,2756))</f>
        <v/>
      </c>
      <c r="H2705">
        <f>IF(OR($B2705="",NOT(ISNUMBER($D2705))),"",IF($E2705&lt;$D$2,"Passé",IF($D2705&gt;$F$2,"À venir","Dans la période")))</f>
        <v/>
      </c>
      <c r="I2705">
        <f>IF(OR($B2705="",NOT(ISNUMBER($D2705))),"",IF(AND($E2705&lt;$D$2,$G2705&lt;&gt;"X",$F2705&lt;&gt;"Réalisé",$F2705&lt;&gt;"Clôturé"),"RETARD",""))</f>
        <v/>
      </c>
      <c r="J2705" s="29">
        <f>IF($B2705="","",IF(INDEX(Dossiers!$F$4:$F$63,51)="","",INDEX(Dossiers!$F$4:$F$63,51)))</f>
        <v/>
      </c>
      <c r="K2705" s="29">
        <f>IF($B2705="","",IF(INDEX(Dossiers!$G$4:$G$63,51)="","",INDEX(Dossiers!$G$4:$G$63,51)))</f>
        <v/>
      </c>
    </row>
    <row r="2706">
      <c r="A2706">
        <f>IF($B2706="","",INDEX(Dossiers!$E$4:$E$63,51))</f>
        <v/>
      </c>
      <c r="B2706">
        <f>IF(INDEX(Suivi!$B:$B,2757)="","",INDEX(Suivi!$B:$B,2757))</f>
        <v/>
      </c>
      <c r="C2706">
        <f>IF($B2706="","",IF(INDEX(Suivi!$D:$D,2757)="",INDEX(Suivi!$C:$C,2757),INDEX(Suivi!$D:$D,2757)))</f>
        <v/>
      </c>
      <c r="D2706" s="29">
        <f>IF($B2706="","",INDEX(Suivi!$E:$E,2757))</f>
        <v/>
      </c>
      <c r="E2706" s="29">
        <f>IF($B2706="","",INDEX(Suivi!$F:$F,2757))</f>
        <v/>
      </c>
      <c r="F2706">
        <f>IF($B2706="","",INDEX(Suivi!$G:$G,2757))</f>
        <v/>
      </c>
      <c r="H2706">
        <f>IF(OR($B2706="",NOT(ISNUMBER($D2706))),"",IF($E2706&lt;$D$2,"Passé",IF($D2706&gt;$F$2,"À venir","Dans la période")))</f>
        <v/>
      </c>
      <c r="I2706">
        <f>IF(OR($B2706="",NOT(ISNUMBER($D2706))),"",IF(AND($E2706&lt;$D$2,$G2706&lt;&gt;"X",$F2706&lt;&gt;"Réalisé",$F2706&lt;&gt;"Clôturé"),"RETARD",""))</f>
        <v/>
      </c>
      <c r="J2706" s="29">
        <f>IF($B2706="","",IF(INDEX(Dossiers!$F$4:$F$63,51)="","",INDEX(Dossiers!$F$4:$F$63,51)))</f>
        <v/>
      </c>
      <c r="K2706" s="29">
        <f>IF($B2706="","",IF(INDEX(Dossiers!$G$4:$G$63,51)="","",INDEX(Dossiers!$G$4:$G$63,51)))</f>
        <v/>
      </c>
    </row>
    <row r="2707">
      <c r="A2707">
        <f>IF($B2707="","",INDEX(Dossiers!$E$4:$E$63,52))</f>
        <v/>
      </c>
      <c r="B2707">
        <f>IF(INDEX(Suivi!$B:$B,2759)="","",INDEX(Suivi!$B:$B,2759))</f>
        <v/>
      </c>
      <c r="C2707">
        <f>IF($B2707="","",IF(INDEX(Suivi!$D:$D,2759)="",INDEX(Suivi!$C:$C,2759),INDEX(Suivi!$D:$D,2759)))</f>
        <v/>
      </c>
      <c r="D2707" s="29">
        <f>IF($B2707="","",INDEX(Suivi!$E:$E,2759))</f>
        <v/>
      </c>
      <c r="E2707" s="29">
        <f>IF($B2707="","",INDEX(Suivi!$F:$F,2759))</f>
        <v/>
      </c>
      <c r="F2707">
        <f>IF($B2707="","",INDEX(Suivi!$G:$G,2759))</f>
        <v/>
      </c>
      <c r="H2707">
        <f>IF(OR($B2707="",NOT(ISNUMBER($D2707))),"",IF($E2707&lt;$D$2,"Passé",IF($D2707&gt;$F$2,"À venir","Dans la période")))</f>
        <v/>
      </c>
      <c r="I2707">
        <f>IF(OR($B2707="",NOT(ISNUMBER($D2707))),"",IF(AND($E2707&lt;$D$2,$G2707&lt;&gt;"X",$F2707&lt;&gt;"Réalisé",$F2707&lt;&gt;"Clôturé"),"RETARD",""))</f>
        <v/>
      </c>
      <c r="J2707" s="29">
        <f>IF($B2707="","",IF(INDEX(Dossiers!$F$4:$F$63,52)="","",INDEX(Dossiers!$F$4:$F$63,52)))</f>
        <v/>
      </c>
      <c r="K2707" s="29">
        <f>IF($B2707="","",IF(INDEX(Dossiers!$G$4:$G$63,52)="","",INDEX(Dossiers!$G$4:$G$63,52)))</f>
        <v/>
      </c>
    </row>
    <row r="2708">
      <c r="A2708">
        <f>IF($B2708="","",INDEX(Dossiers!$E$4:$E$63,52))</f>
        <v/>
      </c>
      <c r="B2708">
        <f>IF(INDEX(Suivi!$B:$B,2760)="","",INDEX(Suivi!$B:$B,2760))</f>
        <v/>
      </c>
      <c r="C2708">
        <f>IF($B2708="","",IF(INDEX(Suivi!$D:$D,2760)="",INDEX(Suivi!$C:$C,2760),INDEX(Suivi!$D:$D,2760)))</f>
        <v/>
      </c>
      <c r="D2708" s="29">
        <f>IF($B2708="","",INDEX(Suivi!$E:$E,2760))</f>
        <v/>
      </c>
      <c r="E2708" s="29">
        <f>IF($B2708="","",INDEX(Suivi!$F:$F,2760))</f>
        <v/>
      </c>
      <c r="F2708">
        <f>IF($B2708="","",INDEX(Suivi!$G:$G,2760))</f>
        <v/>
      </c>
      <c r="H2708">
        <f>IF(OR($B2708="",NOT(ISNUMBER($D2708))),"",IF($E2708&lt;$D$2,"Passé",IF($D2708&gt;$F$2,"À venir","Dans la période")))</f>
        <v/>
      </c>
      <c r="I2708">
        <f>IF(OR($B2708="",NOT(ISNUMBER($D2708))),"",IF(AND($E2708&lt;$D$2,$G2708&lt;&gt;"X",$F2708&lt;&gt;"Réalisé",$F2708&lt;&gt;"Clôturé"),"RETARD",""))</f>
        <v/>
      </c>
      <c r="J2708" s="29">
        <f>IF($B2708="","",IF(INDEX(Dossiers!$F$4:$F$63,52)="","",INDEX(Dossiers!$F$4:$F$63,52)))</f>
        <v/>
      </c>
      <c r="K2708" s="29">
        <f>IF($B2708="","",IF(INDEX(Dossiers!$G$4:$G$63,52)="","",INDEX(Dossiers!$G$4:$G$63,52)))</f>
        <v/>
      </c>
    </row>
    <row r="2709">
      <c r="A2709">
        <f>IF($B2709="","",INDEX(Dossiers!$E$4:$E$63,52))</f>
        <v/>
      </c>
      <c r="B2709">
        <f>IF(INDEX(Suivi!$B:$B,2761)="","",INDEX(Suivi!$B:$B,2761))</f>
        <v/>
      </c>
      <c r="C2709">
        <f>IF($B2709="","",IF(INDEX(Suivi!$D:$D,2761)="",INDEX(Suivi!$C:$C,2761),INDEX(Suivi!$D:$D,2761)))</f>
        <v/>
      </c>
      <c r="D2709" s="29">
        <f>IF($B2709="","",INDEX(Suivi!$E:$E,2761))</f>
        <v/>
      </c>
      <c r="E2709" s="29">
        <f>IF($B2709="","",INDEX(Suivi!$F:$F,2761))</f>
        <v/>
      </c>
      <c r="F2709">
        <f>IF($B2709="","",INDEX(Suivi!$G:$G,2761))</f>
        <v/>
      </c>
      <c r="H2709">
        <f>IF(OR($B2709="",NOT(ISNUMBER($D2709))),"",IF($E2709&lt;$D$2,"Passé",IF($D2709&gt;$F$2,"À venir","Dans la période")))</f>
        <v/>
      </c>
      <c r="I2709">
        <f>IF(OR($B2709="",NOT(ISNUMBER($D2709))),"",IF(AND($E2709&lt;$D$2,$G2709&lt;&gt;"X",$F2709&lt;&gt;"Réalisé",$F2709&lt;&gt;"Clôturé"),"RETARD",""))</f>
        <v/>
      </c>
      <c r="J2709" s="29">
        <f>IF($B2709="","",IF(INDEX(Dossiers!$F$4:$F$63,52)="","",INDEX(Dossiers!$F$4:$F$63,52)))</f>
        <v/>
      </c>
      <c r="K2709" s="29">
        <f>IF($B2709="","",IF(INDEX(Dossiers!$G$4:$G$63,52)="","",INDEX(Dossiers!$G$4:$G$63,52)))</f>
        <v/>
      </c>
    </row>
    <row r="2710">
      <c r="A2710">
        <f>IF($B2710="","",INDEX(Dossiers!$E$4:$E$63,52))</f>
        <v/>
      </c>
      <c r="B2710">
        <f>IF(INDEX(Suivi!$B:$B,2762)="","",INDEX(Suivi!$B:$B,2762))</f>
        <v/>
      </c>
      <c r="C2710">
        <f>IF($B2710="","",IF(INDEX(Suivi!$D:$D,2762)="",INDEX(Suivi!$C:$C,2762),INDEX(Suivi!$D:$D,2762)))</f>
        <v/>
      </c>
      <c r="D2710" s="29">
        <f>IF($B2710="","",INDEX(Suivi!$E:$E,2762))</f>
        <v/>
      </c>
      <c r="E2710" s="29">
        <f>IF($B2710="","",INDEX(Suivi!$F:$F,2762))</f>
        <v/>
      </c>
      <c r="F2710">
        <f>IF($B2710="","",INDEX(Suivi!$G:$G,2762))</f>
        <v/>
      </c>
      <c r="H2710">
        <f>IF(OR($B2710="",NOT(ISNUMBER($D2710))),"",IF($E2710&lt;$D$2,"Passé",IF($D2710&gt;$F$2,"À venir","Dans la période")))</f>
        <v/>
      </c>
      <c r="I2710">
        <f>IF(OR($B2710="",NOT(ISNUMBER($D2710))),"",IF(AND($E2710&lt;$D$2,$G2710&lt;&gt;"X",$F2710&lt;&gt;"Réalisé",$F2710&lt;&gt;"Clôturé"),"RETARD",""))</f>
        <v/>
      </c>
      <c r="J2710" s="29">
        <f>IF($B2710="","",IF(INDEX(Dossiers!$F$4:$F$63,52)="","",INDEX(Dossiers!$F$4:$F$63,52)))</f>
        <v/>
      </c>
      <c r="K2710" s="29">
        <f>IF($B2710="","",IF(INDEX(Dossiers!$G$4:$G$63,52)="","",INDEX(Dossiers!$G$4:$G$63,52)))</f>
        <v/>
      </c>
    </row>
    <row r="2711">
      <c r="A2711">
        <f>IF($B2711="","",INDEX(Dossiers!$E$4:$E$63,52))</f>
        <v/>
      </c>
      <c r="B2711">
        <f>IF(INDEX(Suivi!$B:$B,2763)="","",INDEX(Suivi!$B:$B,2763))</f>
        <v/>
      </c>
      <c r="C2711">
        <f>IF($B2711="","",IF(INDEX(Suivi!$D:$D,2763)="",INDEX(Suivi!$C:$C,2763),INDEX(Suivi!$D:$D,2763)))</f>
        <v/>
      </c>
      <c r="D2711" s="29">
        <f>IF($B2711="","",INDEX(Suivi!$E:$E,2763))</f>
        <v/>
      </c>
      <c r="E2711" s="29">
        <f>IF($B2711="","",INDEX(Suivi!$F:$F,2763))</f>
        <v/>
      </c>
      <c r="F2711">
        <f>IF($B2711="","",INDEX(Suivi!$G:$G,2763))</f>
        <v/>
      </c>
      <c r="H2711">
        <f>IF(OR($B2711="",NOT(ISNUMBER($D2711))),"",IF($E2711&lt;$D$2,"Passé",IF($D2711&gt;$F$2,"À venir","Dans la période")))</f>
        <v/>
      </c>
      <c r="I2711">
        <f>IF(OR($B2711="",NOT(ISNUMBER($D2711))),"",IF(AND($E2711&lt;$D$2,$G2711&lt;&gt;"X",$F2711&lt;&gt;"Réalisé",$F2711&lt;&gt;"Clôturé"),"RETARD",""))</f>
        <v/>
      </c>
      <c r="J2711" s="29">
        <f>IF($B2711="","",IF(INDEX(Dossiers!$F$4:$F$63,52)="","",INDEX(Dossiers!$F$4:$F$63,52)))</f>
        <v/>
      </c>
      <c r="K2711" s="29">
        <f>IF($B2711="","",IF(INDEX(Dossiers!$G$4:$G$63,52)="","",INDEX(Dossiers!$G$4:$G$63,52)))</f>
        <v/>
      </c>
    </row>
    <row r="2712">
      <c r="A2712">
        <f>IF($B2712="","",INDEX(Dossiers!$E$4:$E$63,52))</f>
        <v/>
      </c>
      <c r="B2712">
        <f>IF(INDEX(Suivi!$B:$B,2764)="","",INDEX(Suivi!$B:$B,2764))</f>
        <v/>
      </c>
      <c r="C2712">
        <f>IF($B2712="","",IF(INDEX(Suivi!$D:$D,2764)="",INDEX(Suivi!$C:$C,2764),INDEX(Suivi!$D:$D,2764)))</f>
        <v/>
      </c>
      <c r="D2712" s="29">
        <f>IF($B2712="","",INDEX(Suivi!$E:$E,2764))</f>
        <v/>
      </c>
      <c r="E2712" s="29">
        <f>IF($B2712="","",INDEX(Suivi!$F:$F,2764))</f>
        <v/>
      </c>
      <c r="F2712">
        <f>IF($B2712="","",INDEX(Suivi!$G:$G,2764))</f>
        <v/>
      </c>
      <c r="H2712">
        <f>IF(OR($B2712="",NOT(ISNUMBER($D2712))),"",IF($E2712&lt;$D$2,"Passé",IF($D2712&gt;$F$2,"À venir","Dans la période")))</f>
        <v/>
      </c>
      <c r="I2712">
        <f>IF(OR($B2712="",NOT(ISNUMBER($D2712))),"",IF(AND($E2712&lt;$D$2,$G2712&lt;&gt;"X",$F2712&lt;&gt;"Réalisé",$F2712&lt;&gt;"Clôturé"),"RETARD",""))</f>
        <v/>
      </c>
      <c r="J2712" s="29">
        <f>IF($B2712="","",IF(INDEX(Dossiers!$F$4:$F$63,52)="","",INDEX(Dossiers!$F$4:$F$63,52)))</f>
        <v/>
      </c>
      <c r="K2712" s="29">
        <f>IF($B2712="","",IF(INDEX(Dossiers!$G$4:$G$63,52)="","",INDEX(Dossiers!$G$4:$G$63,52)))</f>
        <v/>
      </c>
    </row>
    <row r="2713">
      <c r="A2713">
        <f>IF($B2713="","",INDEX(Dossiers!$E$4:$E$63,52))</f>
        <v/>
      </c>
      <c r="B2713">
        <f>IF(INDEX(Suivi!$B:$B,2765)="","",INDEX(Suivi!$B:$B,2765))</f>
        <v/>
      </c>
      <c r="C2713">
        <f>IF($B2713="","",IF(INDEX(Suivi!$D:$D,2765)="",INDEX(Suivi!$C:$C,2765),INDEX(Suivi!$D:$D,2765)))</f>
        <v/>
      </c>
      <c r="D2713" s="29">
        <f>IF($B2713="","",INDEX(Suivi!$E:$E,2765))</f>
        <v/>
      </c>
      <c r="E2713" s="29">
        <f>IF($B2713="","",INDEX(Suivi!$F:$F,2765))</f>
        <v/>
      </c>
      <c r="F2713">
        <f>IF($B2713="","",INDEX(Suivi!$G:$G,2765))</f>
        <v/>
      </c>
      <c r="H2713">
        <f>IF(OR($B2713="",NOT(ISNUMBER($D2713))),"",IF($E2713&lt;$D$2,"Passé",IF($D2713&gt;$F$2,"À venir","Dans la période")))</f>
        <v/>
      </c>
      <c r="I2713">
        <f>IF(OR($B2713="",NOT(ISNUMBER($D2713))),"",IF(AND($E2713&lt;$D$2,$G2713&lt;&gt;"X",$F2713&lt;&gt;"Réalisé",$F2713&lt;&gt;"Clôturé"),"RETARD",""))</f>
        <v/>
      </c>
      <c r="J2713" s="29">
        <f>IF($B2713="","",IF(INDEX(Dossiers!$F$4:$F$63,52)="","",INDEX(Dossiers!$F$4:$F$63,52)))</f>
        <v/>
      </c>
      <c r="K2713" s="29">
        <f>IF($B2713="","",IF(INDEX(Dossiers!$G$4:$G$63,52)="","",INDEX(Dossiers!$G$4:$G$63,52)))</f>
        <v/>
      </c>
    </row>
    <row r="2714">
      <c r="A2714">
        <f>IF($B2714="","",INDEX(Dossiers!$E$4:$E$63,52))</f>
        <v/>
      </c>
      <c r="B2714">
        <f>IF(INDEX(Suivi!$B:$B,2766)="","",INDEX(Suivi!$B:$B,2766))</f>
        <v/>
      </c>
      <c r="C2714">
        <f>IF($B2714="","",IF(INDEX(Suivi!$D:$D,2766)="",INDEX(Suivi!$C:$C,2766),INDEX(Suivi!$D:$D,2766)))</f>
        <v/>
      </c>
      <c r="D2714" s="29">
        <f>IF($B2714="","",INDEX(Suivi!$E:$E,2766))</f>
        <v/>
      </c>
      <c r="E2714" s="29">
        <f>IF($B2714="","",INDEX(Suivi!$F:$F,2766))</f>
        <v/>
      </c>
      <c r="F2714">
        <f>IF($B2714="","",INDEX(Suivi!$G:$G,2766))</f>
        <v/>
      </c>
      <c r="H2714">
        <f>IF(OR($B2714="",NOT(ISNUMBER($D2714))),"",IF($E2714&lt;$D$2,"Passé",IF($D2714&gt;$F$2,"À venir","Dans la période")))</f>
        <v/>
      </c>
      <c r="I2714">
        <f>IF(OR($B2714="",NOT(ISNUMBER($D2714))),"",IF(AND($E2714&lt;$D$2,$G2714&lt;&gt;"X",$F2714&lt;&gt;"Réalisé",$F2714&lt;&gt;"Clôturé"),"RETARD",""))</f>
        <v/>
      </c>
      <c r="J2714" s="29">
        <f>IF($B2714="","",IF(INDEX(Dossiers!$F$4:$F$63,52)="","",INDEX(Dossiers!$F$4:$F$63,52)))</f>
        <v/>
      </c>
      <c r="K2714" s="29">
        <f>IF($B2714="","",IF(INDEX(Dossiers!$G$4:$G$63,52)="","",INDEX(Dossiers!$G$4:$G$63,52)))</f>
        <v/>
      </c>
    </row>
    <row r="2715">
      <c r="A2715">
        <f>IF($B2715="","",INDEX(Dossiers!$E$4:$E$63,52))</f>
        <v/>
      </c>
      <c r="B2715">
        <f>IF(INDEX(Suivi!$B:$B,2767)="","",INDEX(Suivi!$B:$B,2767))</f>
        <v/>
      </c>
      <c r="C2715">
        <f>IF($B2715="","",IF(INDEX(Suivi!$D:$D,2767)="",INDEX(Suivi!$C:$C,2767),INDEX(Suivi!$D:$D,2767)))</f>
        <v/>
      </c>
      <c r="D2715" s="29">
        <f>IF($B2715="","",INDEX(Suivi!$E:$E,2767))</f>
        <v/>
      </c>
      <c r="E2715" s="29">
        <f>IF($B2715="","",INDEX(Suivi!$F:$F,2767))</f>
        <v/>
      </c>
      <c r="F2715">
        <f>IF($B2715="","",INDEX(Suivi!$G:$G,2767))</f>
        <v/>
      </c>
      <c r="H2715">
        <f>IF(OR($B2715="",NOT(ISNUMBER($D2715))),"",IF($E2715&lt;$D$2,"Passé",IF($D2715&gt;$F$2,"À venir","Dans la période")))</f>
        <v/>
      </c>
      <c r="I2715">
        <f>IF(OR($B2715="",NOT(ISNUMBER($D2715))),"",IF(AND($E2715&lt;$D$2,$G2715&lt;&gt;"X",$F2715&lt;&gt;"Réalisé",$F2715&lt;&gt;"Clôturé"),"RETARD",""))</f>
        <v/>
      </c>
      <c r="J2715" s="29">
        <f>IF($B2715="","",IF(INDEX(Dossiers!$F$4:$F$63,52)="","",INDEX(Dossiers!$F$4:$F$63,52)))</f>
        <v/>
      </c>
      <c r="K2715" s="29">
        <f>IF($B2715="","",IF(INDEX(Dossiers!$G$4:$G$63,52)="","",INDEX(Dossiers!$G$4:$G$63,52)))</f>
        <v/>
      </c>
    </row>
    <row r="2716">
      <c r="A2716">
        <f>IF($B2716="","",INDEX(Dossiers!$E$4:$E$63,52))</f>
        <v/>
      </c>
      <c r="B2716">
        <f>IF(INDEX(Suivi!$B:$B,2768)="","",INDEX(Suivi!$B:$B,2768))</f>
        <v/>
      </c>
      <c r="C2716">
        <f>IF($B2716="","",IF(INDEX(Suivi!$D:$D,2768)="",INDEX(Suivi!$C:$C,2768),INDEX(Suivi!$D:$D,2768)))</f>
        <v/>
      </c>
      <c r="D2716" s="29">
        <f>IF($B2716="","",INDEX(Suivi!$E:$E,2768))</f>
        <v/>
      </c>
      <c r="E2716" s="29">
        <f>IF($B2716="","",INDEX(Suivi!$F:$F,2768))</f>
        <v/>
      </c>
      <c r="F2716">
        <f>IF($B2716="","",INDEX(Suivi!$G:$G,2768))</f>
        <v/>
      </c>
      <c r="H2716">
        <f>IF(OR($B2716="",NOT(ISNUMBER($D2716))),"",IF($E2716&lt;$D$2,"Passé",IF($D2716&gt;$F$2,"À venir","Dans la période")))</f>
        <v/>
      </c>
      <c r="I2716">
        <f>IF(OR($B2716="",NOT(ISNUMBER($D2716))),"",IF(AND($E2716&lt;$D$2,$G2716&lt;&gt;"X",$F2716&lt;&gt;"Réalisé",$F2716&lt;&gt;"Clôturé"),"RETARD",""))</f>
        <v/>
      </c>
      <c r="J2716" s="29">
        <f>IF($B2716="","",IF(INDEX(Dossiers!$F$4:$F$63,52)="","",INDEX(Dossiers!$F$4:$F$63,52)))</f>
        <v/>
      </c>
      <c r="K2716" s="29">
        <f>IF($B2716="","",IF(INDEX(Dossiers!$G$4:$G$63,52)="","",INDEX(Dossiers!$G$4:$G$63,52)))</f>
        <v/>
      </c>
    </row>
    <row r="2717">
      <c r="A2717">
        <f>IF($B2717="","",INDEX(Dossiers!$E$4:$E$63,52))</f>
        <v/>
      </c>
      <c r="B2717">
        <f>IF(INDEX(Suivi!$B:$B,2769)="","",INDEX(Suivi!$B:$B,2769))</f>
        <v/>
      </c>
      <c r="C2717">
        <f>IF($B2717="","",IF(INDEX(Suivi!$D:$D,2769)="",INDEX(Suivi!$C:$C,2769),INDEX(Suivi!$D:$D,2769)))</f>
        <v/>
      </c>
      <c r="D2717" s="29">
        <f>IF($B2717="","",INDEX(Suivi!$E:$E,2769))</f>
        <v/>
      </c>
      <c r="E2717" s="29">
        <f>IF($B2717="","",INDEX(Suivi!$F:$F,2769))</f>
        <v/>
      </c>
      <c r="F2717">
        <f>IF($B2717="","",INDEX(Suivi!$G:$G,2769))</f>
        <v/>
      </c>
      <c r="H2717">
        <f>IF(OR($B2717="",NOT(ISNUMBER($D2717))),"",IF($E2717&lt;$D$2,"Passé",IF($D2717&gt;$F$2,"À venir","Dans la période")))</f>
        <v/>
      </c>
      <c r="I2717">
        <f>IF(OR($B2717="",NOT(ISNUMBER($D2717))),"",IF(AND($E2717&lt;$D$2,$G2717&lt;&gt;"X",$F2717&lt;&gt;"Réalisé",$F2717&lt;&gt;"Clôturé"),"RETARD",""))</f>
        <v/>
      </c>
      <c r="J2717" s="29">
        <f>IF($B2717="","",IF(INDEX(Dossiers!$F$4:$F$63,52)="","",INDEX(Dossiers!$F$4:$F$63,52)))</f>
        <v/>
      </c>
      <c r="K2717" s="29">
        <f>IF($B2717="","",IF(INDEX(Dossiers!$G$4:$G$63,52)="","",INDEX(Dossiers!$G$4:$G$63,52)))</f>
        <v/>
      </c>
    </row>
    <row r="2718">
      <c r="A2718">
        <f>IF($B2718="","",INDEX(Dossiers!$E$4:$E$63,52))</f>
        <v/>
      </c>
      <c r="B2718">
        <f>IF(INDEX(Suivi!$B:$B,2770)="","",INDEX(Suivi!$B:$B,2770))</f>
        <v/>
      </c>
      <c r="C2718">
        <f>IF($B2718="","",IF(INDEX(Suivi!$D:$D,2770)="",INDEX(Suivi!$C:$C,2770),INDEX(Suivi!$D:$D,2770)))</f>
        <v/>
      </c>
      <c r="D2718" s="29">
        <f>IF($B2718="","",INDEX(Suivi!$E:$E,2770))</f>
        <v/>
      </c>
      <c r="E2718" s="29">
        <f>IF($B2718="","",INDEX(Suivi!$F:$F,2770))</f>
        <v/>
      </c>
      <c r="F2718">
        <f>IF($B2718="","",INDEX(Suivi!$G:$G,2770))</f>
        <v/>
      </c>
      <c r="H2718">
        <f>IF(OR($B2718="",NOT(ISNUMBER($D2718))),"",IF($E2718&lt;$D$2,"Passé",IF($D2718&gt;$F$2,"À venir","Dans la période")))</f>
        <v/>
      </c>
      <c r="I2718">
        <f>IF(OR($B2718="",NOT(ISNUMBER($D2718))),"",IF(AND($E2718&lt;$D$2,$G2718&lt;&gt;"X",$F2718&lt;&gt;"Réalisé",$F2718&lt;&gt;"Clôturé"),"RETARD",""))</f>
        <v/>
      </c>
      <c r="J2718" s="29">
        <f>IF($B2718="","",IF(INDEX(Dossiers!$F$4:$F$63,52)="","",INDEX(Dossiers!$F$4:$F$63,52)))</f>
        <v/>
      </c>
      <c r="K2718" s="29">
        <f>IF($B2718="","",IF(INDEX(Dossiers!$G$4:$G$63,52)="","",INDEX(Dossiers!$G$4:$G$63,52)))</f>
        <v/>
      </c>
    </row>
    <row r="2719">
      <c r="A2719">
        <f>IF($B2719="","",INDEX(Dossiers!$E$4:$E$63,52))</f>
        <v/>
      </c>
      <c r="B2719">
        <f>IF(INDEX(Suivi!$B:$B,2771)="","",INDEX(Suivi!$B:$B,2771))</f>
        <v/>
      </c>
      <c r="C2719">
        <f>IF($B2719="","",IF(INDEX(Suivi!$D:$D,2771)="",INDEX(Suivi!$C:$C,2771),INDEX(Suivi!$D:$D,2771)))</f>
        <v/>
      </c>
      <c r="D2719" s="29">
        <f>IF($B2719="","",INDEX(Suivi!$E:$E,2771))</f>
        <v/>
      </c>
      <c r="E2719" s="29">
        <f>IF($B2719="","",INDEX(Suivi!$F:$F,2771))</f>
        <v/>
      </c>
      <c r="F2719">
        <f>IF($B2719="","",INDEX(Suivi!$G:$G,2771))</f>
        <v/>
      </c>
      <c r="H2719">
        <f>IF(OR($B2719="",NOT(ISNUMBER($D2719))),"",IF($E2719&lt;$D$2,"Passé",IF($D2719&gt;$F$2,"À venir","Dans la période")))</f>
        <v/>
      </c>
      <c r="I2719">
        <f>IF(OR($B2719="",NOT(ISNUMBER($D2719))),"",IF(AND($E2719&lt;$D$2,$G2719&lt;&gt;"X",$F2719&lt;&gt;"Réalisé",$F2719&lt;&gt;"Clôturé"),"RETARD",""))</f>
        <v/>
      </c>
      <c r="J2719" s="29">
        <f>IF($B2719="","",IF(INDEX(Dossiers!$F$4:$F$63,52)="","",INDEX(Dossiers!$F$4:$F$63,52)))</f>
        <v/>
      </c>
      <c r="K2719" s="29">
        <f>IF($B2719="","",IF(INDEX(Dossiers!$G$4:$G$63,52)="","",INDEX(Dossiers!$G$4:$G$63,52)))</f>
        <v/>
      </c>
    </row>
    <row r="2720">
      <c r="A2720">
        <f>IF($B2720="","",INDEX(Dossiers!$E$4:$E$63,52))</f>
        <v/>
      </c>
      <c r="B2720">
        <f>IF(INDEX(Suivi!$B:$B,2772)="","",INDEX(Suivi!$B:$B,2772))</f>
        <v/>
      </c>
      <c r="C2720">
        <f>IF($B2720="","",IF(INDEX(Suivi!$D:$D,2772)="",INDEX(Suivi!$C:$C,2772),INDEX(Suivi!$D:$D,2772)))</f>
        <v/>
      </c>
      <c r="D2720" s="29">
        <f>IF($B2720="","",INDEX(Suivi!$E:$E,2772))</f>
        <v/>
      </c>
      <c r="E2720" s="29">
        <f>IF($B2720="","",INDEX(Suivi!$F:$F,2772))</f>
        <v/>
      </c>
      <c r="F2720">
        <f>IF($B2720="","",INDEX(Suivi!$G:$G,2772))</f>
        <v/>
      </c>
      <c r="H2720">
        <f>IF(OR($B2720="",NOT(ISNUMBER($D2720))),"",IF($E2720&lt;$D$2,"Passé",IF($D2720&gt;$F$2,"À venir","Dans la période")))</f>
        <v/>
      </c>
      <c r="I2720">
        <f>IF(OR($B2720="",NOT(ISNUMBER($D2720))),"",IF(AND($E2720&lt;$D$2,$G2720&lt;&gt;"X",$F2720&lt;&gt;"Réalisé",$F2720&lt;&gt;"Clôturé"),"RETARD",""))</f>
        <v/>
      </c>
      <c r="J2720" s="29">
        <f>IF($B2720="","",IF(INDEX(Dossiers!$F$4:$F$63,52)="","",INDEX(Dossiers!$F$4:$F$63,52)))</f>
        <v/>
      </c>
      <c r="K2720" s="29">
        <f>IF($B2720="","",IF(INDEX(Dossiers!$G$4:$G$63,52)="","",INDEX(Dossiers!$G$4:$G$63,52)))</f>
        <v/>
      </c>
    </row>
    <row r="2721">
      <c r="A2721">
        <f>IF($B2721="","",INDEX(Dossiers!$E$4:$E$63,52))</f>
        <v/>
      </c>
      <c r="B2721">
        <f>IF(INDEX(Suivi!$B:$B,2773)="","",INDEX(Suivi!$B:$B,2773))</f>
        <v/>
      </c>
      <c r="C2721">
        <f>IF($B2721="","",IF(INDEX(Suivi!$D:$D,2773)="",INDEX(Suivi!$C:$C,2773),INDEX(Suivi!$D:$D,2773)))</f>
        <v/>
      </c>
      <c r="D2721" s="29">
        <f>IF($B2721="","",INDEX(Suivi!$E:$E,2773))</f>
        <v/>
      </c>
      <c r="E2721" s="29">
        <f>IF($B2721="","",INDEX(Suivi!$F:$F,2773))</f>
        <v/>
      </c>
      <c r="F2721">
        <f>IF($B2721="","",INDEX(Suivi!$G:$G,2773))</f>
        <v/>
      </c>
      <c r="H2721">
        <f>IF(OR($B2721="",NOT(ISNUMBER($D2721))),"",IF($E2721&lt;$D$2,"Passé",IF($D2721&gt;$F$2,"À venir","Dans la période")))</f>
        <v/>
      </c>
      <c r="I2721">
        <f>IF(OR($B2721="",NOT(ISNUMBER($D2721))),"",IF(AND($E2721&lt;$D$2,$G2721&lt;&gt;"X",$F2721&lt;&gt;"Réalisé",$F2721&lt;&gt;"Clôturé"),"RETARD",""))</f>
        <v/>
      </c>
      <c r="J2721" s="29">
        <f>IF($B2721="","",IF(INDEX(Dossiers!$F$4:$F$63,52)="","",INDEX(Dossiers!$F$4:$F$63,52)))</f>
        <v/>
      </c>
      <c r="K2721" s="29">
        <f>IF($B2721="","",IF(INDEX(Dossiers!$G$4:$G$63,52)="","",INDEX(Dossiers!$G$4:$G$63,52)))</f>
        <v/>
      </c>
    </row>
    <row r="2722">
      <c r="A2722">
        <f>IF($B2722="","",INDEX(Dossiers!$E$4:$E$63,52))</f>
        <v/>
      </c>
      <c r="B2722">
        <f>IF(INDEX(Suivi!$B:$B,2774)="","",INDEX(Suivi!$B:$B,2774))</f>
        <v/>
      </c>
      <c r="C2722">
        <f>IF($B2722="","",IF(INDEX(Suivi!$D:$D,2774)="",INDEX(Suivi!$C:$C,2774),INDEX(Suivi!$D:$D,2774)))</f>
        <v/>
      </c>
      <c r="D2722" s="29">
        <f>IF($B2722="","",INDEX(Suivi!$E:$E,2774))</f>
        <v/>
      </c>
      <c r="E2722" s="29">
        <f>IF($B2722="","",INDEX(Suivi!$F:$F,2774))</f>
        <v/>
      </c>
      <c r="F2722">
        <f>IF($B2722="","",INDEX(Suivi!$G:$G,2774))</f>
        <v/>
      </c>
      <c r="H2722">
        <f>IF(OR($B2722="",NOT(ISNUMBER($D2722))),"",IF($E2722&lt;$D$2,"Passé",IF($D2722&gt;$F$2,"À venir","Dans la période")))</f>
        <v/>
      </c>
      <c r="I2722">
        <f>IF(OR($B2722="",NOT(ISNUMBER($D2722))),"",IF(AND($E2722&lt;$D$2,$G2722&lt;&gt;"X",$F2722&lt;&gt;"Réalisé",$F2722&lt;&gt;"Clôturé"),"RETARD",""))</f>
        <v/>
      </c>
      <c r="J2722" s="29">
        <f>IF($B2722="","",IF(INDEX(Dossiers!$F$4:$F$63,52)="","",INDEX(Dossiers!$F$4:$F$63,52)))</f>
        <v/>
      </c>
      <c r="K2722" s="29">
        <f>IF($B2722="","",IF(INDEX(Dossiers!$G$4:$G$63,52)="","",INDEX(Dossiers!$G$4:$G$63,52)))</f>
        <v/>
      </c>
    </row>
    <row r="2723">
      <c r="A2723">
        <f>IF($B2723="","",INDEX(Dossiers!$E$4:$E$63,52))</f>
        <v/>
      </c>
      <c r="B2723">
        <f>IF(INDEX(Suivi!$B:$B,2775)="","",INDEX(Suivi!$B:$B,2775))</f>
        <v/>
      </c>
      <c r="C2723">
        <f>IF($B2723="","",IF(INDEX(Suivi!$D:$D,2775)="",INDEX(Suivi!$C:$C,2775),INDEX(Suivi!$D:$D,2775)))</f>
        <v/>
      </c>
      <c r="D2723" s="29">
        <f>IF($B2723="","",INDEX(Suivi!$E:$E,2775))</f>
        <v/>
      </c>
      <c r="E2723" s="29">
        <f>IF($B2723="","",INDEX(Suivi!$F:$F,2775))</f>
        <v/>
      </c>
      <c r="F2723">
        <f>IF($B2723="","",INDEX(Suivi!$G:$G,2775))</f>
        <v/>
      </c>
      <c r="H2723">
        <f>IF(OR($B2723="",NOT(ISNUMBER($D2723))),"",IF($E2723&lt;$D$2,"Passé",IF($D2723&gt;$F$2,"À venir","Dans la période")))</f>
        <v/>
      </c>
      <c r="I2723">
        <f>IF(OR($B2723="",NOT(ISNUMBER($D2723))),"",IF(AND($E2723&lt;$D$2,$G2723&lt;&gt;"X",$F2723&lt;&gt;"Réalisé",$F2723&lt;&gt;"Clôturé"),"RETARD",""))</f>
        <v/>
      </c>
      <c r="J2723" s="29">
        <f>IF($B2723="","",IF(INDEX(Dossiers!$F$4:$F$63,52)="","",INDEX(Dossiers!$F$4:$F$63,52)))</f>
        <v/>
      </c>
      <c r="K2723" s="29">
        <f>IF($B2723="","",IF(INDEX(Dossiers!$G$4:$G$63,52)="","",INDEX(Dossiers!$G$4:$G$63,52)))</f>
        <v/>
      </c>
    </row>
    <row r="2724">
      <c r="A2724">
        <f>IF($B2724="","",INDEX(Dossiers!$E$4:$E$63,52))</f>
        <v/>
      </c>
      <c r="B2724">
        <f>IF(INDEX(Suivi!$B:$B,2776)="","",INDEX(Suivi!$B:$B,2776))</f>
        <v/>
      </c>
      <c r="C2724">
        <f>IF($B2724="","",IF(INDEX(Suivi!$D:$D,2776)="",INDEX(Suivi!$C:$C,2776),INDEX(Suivi!$D:$D,2776)))</f>
        <v/>
      </c>
      <c r="D2724" s="29">
        <f>IF($B2724="","",INDEX(Suivi!$E:$E,2776))</f>
        <v/>
      </c>
      <c r="E2724" s="29">
        <f>IF($B2724="","",INDEX(Suivi!$F:$F,2776))</f>
        <v/>
      </c>
      <c r="F2724">
        <f>IF($B2724="","",INDEX(Suivi!$G:$G,2776))</f>
        <v/>
      </c>
      <c r="H2724">
        <f>IF(OR($B2724="",NOT(ISNUMBER($D2724))),"",IF($E2724&lt;$D$2,"Passé",IF($D2724&gt;$F$2,"À venir","Dans la période")))</f>
        <v/>
      </c>
      <c r="I2724">
        <f>IF(OR($B2724="",NOT(ISNUMBER($D2724))),"",IF(AND($E2724&lt;$D$2,$G2724&lt;&gt;"X",$F2724&lt;&gt;"Réalisé",$F2724&lt;&gt;"Clôturé"),"RETARD",""))</f>
        <v/>
      </c>
      <c r="J2724" s="29">
        <f>IF($B2724="","",IF(INDEX(Dossiers!$F$4:$F$63,52)="","",INDEX(Dossiers!$F$4:$F$63,52)))</f>
        <v/>
      </c>
      <c r="K2724" s="29">
        <f>IF($B2724="","",IF(INDEX(Dossiers!$G$4:$G$63,52)="","",INDEX(Dossiers!$G$4:$G$63,52)))</f>
        <v/>
      </c>
    </row>
    <row r="2725">
      <c r="A2725">
        <f>IF($B2725="","",INDEX(Dossiers!$E$4:$E$63,52))</f>
        <v/>
      </c>
      <c r="B2725">
        <f>IF(INDEX(Suivi!$B:$B,2777)="","",INDEX(Suivi!$B:$B,2777))</f>
        <v/>
      </c>
      <c r="C2725">
        <f>IF($B2725="","",IF(INDEX(Suivi!$D:$D,2777)="",INDEX(Suivi!$C:$C,2777),INDEX(Suivi!$D:$D,2777)))</f>
        <v/>
      </c>
      <c r="D2725" s="29">
        <f>IF($B2725="","",INDEX(Suivi!$E:$E,2777))</f>
        <v/>
      </c>
      <c r="E2725" s="29">
        <f>IF($B2725="","",INDEX(Suivi!$F:$F,2777))</f>
        <v/>
      </c>
      <c r="F2725">
        <f>IF($B2725="","",INDEX(Suivi!$G:$G,2777))</f>
        <v/>
      </c>
      <c r="H2725">
        <f>IF(OR($B2725="",NOT(ISNUMBER($D2725))),"",IF($E2725&lt;$D$2,"Passé",IF($D2725&gt;$F$2,"À venir","Dans la période")))</f>
        <v/>
      </c>
      <c r="I2725">
        <f>IF(OR($B2725="",NOT(ISNUMBER($D2725))),"",IF(AND($E2725&lt;$D$2,$G2725&lt;&gt;"X",$F2725&lt;&gt;"Réalisé",$F2725&lt;&gt;"Clôturé"),"RETARD",""))</f>
        <v/>
      </c>
      <c r="J2725" s="29">
        <f>IF($B2725="","",IF(INDEX(Dossiers!$F$4:$F$63,52)="","",INDEX(Dossiers!$F$4:$F$63,52)))</f>
        <v/>
      </c>
      <c r="K2725" s="29">
        <f>IF($B2725="","",IF(INDEX(Dossiers!$G$4:$G$63,52)="","",INDEX(Dossiers!$G$4:$G$63,52)))</f>
        <v/>
      </c>
    </row>
    <row r="2726">
      <c r="A2726">
        <f>IF($B2726="","",INDEX(Dossiers!$E$4:$E$63,52))</f>
        <v/>
      </c>
      <c r="B2726">
        <f>IF(INDEX(Suivi!$B:$B,2778)="","",INDEX(Suivi!$B:$B,2778))</f>
        <v/>
      </c>
      <c r="C2726">
        <f>IF($B2726="","",IF(INDEX(Suivi!$D:$D,2778)="",INDEX(Suivi!$C:$C,2778),INDEX(Suivi!$D:$D,2778)))</f>
        <v/>
      </c>
      <c r="D2726" s="29">
        <f>IF($B2726="","",INDEX(Suivi!$E:$E,2778))</f>
        <v/>
      </c>
      <c r="E2726" s="29">
        <f>IF($B2726="","",INDEX(Suivi!$F:$F,2778))</f>
        <v/>
      </c>
      <c r="F2726">
        <f>IF($B2726="","",INDEX(Suivi!$G:$G,2778))</f>
        <v/>
      </c>
      <c r="H2726">
        <f>IF(OR($B2726="",NOT(ISNUMBER($D2726))),"",IF($E2726&lt;$D$2,"Passé",IF($D2726&gt;$F$2,"À venir","Dans la période")))</f>
        <v/>
      </c>
      <c r="I2726">
        <f>IF(OR($B2726="",NOT(ISNUMBER($D2726))),"",IF(AND($E2726&lt;$D$2,$G2726&lt;&gt;"X",$F2726&lt;&gt;"Réalisé",$F2726&lt;&gt;"Clôturé"),"RETARD",""))</f>
        <v/>
      </c>
      <c r="J2726" s="29">
        <f>IF($B2726="","",IF(INDEX(Dossiers!$F$4:$F$63,52)="","",INDEX(Dossiers!$F$4:$F$63,52)))</f>
        <v/>
      </c>
      <c r="K2726" s="29">
        <f>IF($B2726="","",IF(INDEX(Dossiers!$G$4:$G$63,52)="","",INDEX(Dossiers!$G$4:$G$63,52)))</f>
        <v/>
      </c>
    </row>
    <row r="2727">
      <c r="A2727">
        <f>IF($B2727="","",INDEX(Dossiers!$E$4:$E$63,52))</f>
        <v/>
      </c>
      <c r="B2727">
        <f>IF(INDEX(Suivi!$B:$B,2779)="","",INDEX(Suivi!$B:$B,2779))</f>
        <v/>
      </c>
      <c r="C2727">
        <f>IF($B2727="","",IF(INDEX(Suivi!$D:$D,2779)="",INDEX(Suivi!$C:$C,2779),INDEX(Suivi!$D:$D,2779)))</f>
        <v/>
      </c>
      <c r="D2727" s="29">
        <f>IF($B2727="","",INDEX(Suivi!$E:$E,2779))</f>
        <v/>
      </c>
      <c r="E2727" s="29">
        <f>IF($B2727="","",INDEX(Suivi!$F:$F,2779))</f>
        <v/>
      </c>
      <c r="F2727">
        <f>IF($B2727="","",INDEX(Suivi!$G:$G,2779))</f>
        <v/>
      </c>
      <c r="H2727">
        <f>IF(OR($B2727="",NOT(ISNUMBER($D2727))),"",IF($E2727&lt;$D$2,"Passé",IF($D2727&gt;$F$2,"À venir","Dans la période")))</f>
        <v/>
      </c>
      <c r="I2727">
        <f>IF(OR($B2727="",NOT(ISNUMBER($D2727))),"",IF(AND($E2727&lt;$D$2,$G2727&lt;&gt;"X",$F2727&lt;&gt;"Réalisé",$F2727&lt;&gt;"Clôturé"),"RETARD",""))</f>
        <v/>
      </c>
      <c r="J2727" s="29">
        <f>IF($B2727="","",IF(INDEX(Dossiers!$F$4:$F$63,52)="","",INDEX(Dossiers!$F$4:$F$63,52)))</f>
        <v/>
      </c>
      <c r="K2727" s="29">
        <f>IF($B2727="","",IF(INDEX(Dossiers!$G$4:$G$63,52)="","",INDEX(Dossiers!$G$4:$G$63,52)))</f>
        <v/>
      </c>
    </row>
    <row r="2728">
      <c r="A2728">
        <f>IF($B2728="","",INDEX(Dossiers!$E$4:$E$63,52))</f>
        <v/>
      </c>
      <c r="B2728">
        <f>IF(INDEX(Suivi!$B:$B,2780)="","",INDEX(Suivi!$B:$B,2780))</f>
        <v/>
      </c>
      <c r="C2728">
        <f>IF($B2728="","",IF(INDEX(Suivi!$D:$D,2780)="",INDEX(Suivi!$C:$C,2780),INDEX(Suivi!$D:$D,2780)))</f>
        <v/>
      </c>
      <c r="D2728" s="29">
        <f>IF($B2728="","",INDEX(Suivi!$E:$E,2780))</f>
        <v/>
      </c>
      <c r="E2728" s="29">
        <f>IF($B2728="","",INDEX(Suivi!$F:$F,2780))</f>
        <v/>
      </c>
      <c r="F2728">
        <f>IF($B2728="","",INDEX(Suivi!$G:$G,2780))</f>
        <v/>
      </c>
      <c r="H2728">
        <f>IF(OR($B2728="",NOT(ISNUMBER($D2728))),"",IF($E2728&lt;$D$2,"Passé",IF($D2728&gt;$F$2,"À venir","Dans la période")))</f>
        <v/>
      </c>
      <c r="I2728">
        <f>IF(OR($B2728="",NOT(ISNUMBER($D2728))),"",IF(AND($E2728&lt;$D$2,$G2728&lt;&gt;"X",$F2728&lt;&gt;"Réalisé",$F2728&lt;&gt;"Clôturé"),"RETARD",""))</f>
        <v/>
      </c>
      <c r="J2728" s="29">
        <f>IF($B2728="","",IF(INDEX(Dossiers!$F$4:$F$63,52)="","",INDEX(Dossiers!$F$4:$F$63,52)))</f>
        <v/>
      </c>
      <c r="K2728" s="29">
        <f>IF($B2728="","",IF(INDEX(Dossiers!$G$4:$G$63,52)="","",INDEX(Dossiers!$G$4:$G$63,52)))</f>
        <v/>
      </c>
    </row>
    <row r="2729">
      <c r="A2729">
        <f>IF($B2729="","",INDEX(Dossiers!$E$4:$E$63,52))</f>
        <v/>
      </c>
      <c r="B2729">
        <f>IF(INDEX(Suivi!$B:$B,2781)="","",INDEX(Suivi!$B:$B,2781))</f>
        <v/>
      </c>
      <c r="C2729">
        <f>IF($B2729="","",IF(INDEX(Suivi!$D:$D,2781)="",INDEX(Suivi!$C:$C,2781),INDEX(Suivi!$D:$D,2781)))</f>
        <v/>
      </c>
      <c r="D2729" s="29">
        <f>IF($B2729="","",INDEX(Suivi!$E:$E,2781))</f>
        <v/>
      </c>
      <c r="E2729" s="29">
        <f>IF($B2729="","",INDEX(Suivi!$F:$F,2781))</f>
        <v/>
      </c>
      <c r="F2729">
        <f>IF($B2729="","",INDEX(Suivi!$G:$G,2781))</f>
        <v/>
      </c>
      <c r="H2729">
        <f>IF(OR($B2729="",NOT(ISNUMBER($D2729))),"",IF($E2729&lt;$D$2,"Passé",IF($D2729&gt;$F$2,"À venir","Dans la période")))</f>
        <v/>
      </c>
      <c r="I2729">
        <f>IF(OR($B2729="",NOT(ISNUMBER($D2729))),"",IF(AND($E2729&lt;$D$2,$G2729&lt;&gt;"X",$F2729&lt;&gt;"Réalisé",$F2729&lt;&gt;"Clôturé"),"RETARD",""))</f>
        <v/>
      </c>
      <c r="J2729" s="29">
        <f>IF($B2729="","",IF(INDEX(Dossiers!$F$4:$F$63,52)="","",INDEX(Dossiers!$F$4:$F$63,52)))</f>
        <v/>
      </c>
      <c r="K2729" s="29">
        <f>IF($B2729="","",IF(INDEX(Dossiers!$G$4:$G$63,52)="","",INDEX(Dossiers!$G$4:$G$63,52)))</f>
        <v/>
      </c>
    </row>
    <row r="2730">
      <c r="A2730">
        <f>IF($B2730="","",INDEX(Dossiers!$E$4:$E$63,52))</f>
        <v/>
      </c>
      <c r="B2730">
        <f>IF(INDEX(Suivi!$B:$B,2782)="","",INDEX(Suivi!$B:$B,2782))</f>
        <v/>
      </c>
      <c r="C2730">
        <f>IF($B2730="","",IF(INDEX(Suivi!$D:$D,2782)="",INDEX(Suivi!$C:$C,2782),INDEX(Suivi!$D:$D,2782)))</f>
        <v/>
      </c>
      <c r="D2730" s="29">
        <f>IF($B2730="","",INDEX(Suivi!$E:$E,2782))</f>
        <v/>
      </c>
      <c r="E2730" s="29">
        <f>IF($B2730="","",INDEX(Suivi!$F:$F,2782))</f>
        <v/>
      </c>
      <c r="F2730">
        <f>IF($B2730="","",INDEX(Suivi!$G:$G,2782))</f>
        <v/>
      </c>
      <c r="H2730">
        <f>IF(OR($B2730="",NOT(ISNUMBER($D2730))),"",IF($E2730&lt;$D$2,"Passé",IF($D2730&gt;$F$2,"À venir","Dans la période")))</f>
        <v/>
      </c>
      <c r="I2730">
        <f>IF(OR($B2730="",NOT(ISNUMBER($D2730))),"",IF(AND($E2730&lt;$D$2,$G2730&lt;&gt;"X",$F2730&lt;&gt;"Réalisé",$F2730&lt;&gt;"Clôturé"),"RETARD",""))</f>
        <v/>
      </c>
      <c r="J2730" s="29">
        <f>IF($B2730="","",IF(INDEX(Dossiers!$F$4:$F$63,52)="","",INDEX(Dossiers!$F$4:$F$63,52)))</f>
        <v/>
      </c>
      <c r="K2730" s="29">
        <f>IF($B2730="","",IF(INDEX(Dossiers!$G$4:$G$63,52)="","",INDEX(Dossiers!$G$4:$G$63,52)))</f>
        <v/>
      </c>
    </row>
    <row r="2731">
      <c r="A2731">
        <f>IF($B2731="","",INDEX(Dossiers!$E$4:$E$63,52))</f>
        <v/>
      </c>
      <c r="B2731">
        <f>IF(INDEX(Suivi!$B:$B,2783)="","",INDEX(Suivi!$B:$B,2783))</f>
        <v/>
      </c>
      <c r="C2731">
        <f>IF($B2731="","",IF(INDEX(Suivi!$D:$D,2783)="",INDEX(Suivi!$C:$C,2783),INDEX(Suivi!$D:$D,2783)))</f>
        <v/>
      </c>
      <c r="D2731" s="29">
        <f>IF($B2731="","",INDEX(Suivi!$E:$E,2783))</f>
        <v/>
      </c>
      <c r="E2731" s="29">
        <f>IF($B2731="","",INDEX(Suivi!$F:$F,2783))</f>
        <v/>
      </c>
      <c r="F2731">
        <f>IF($B2731="","",INDEX(Suivi!$G:$G,2783))</f>
        <v/>
      </c>
      <c r="H2731">
        <f>IF(OR($B2731="",NOT(ISNUMBER($D2731))),"",IF($E2731&lt;$D$2,"Passé",IF($D2731&gt;$F$2,"À venir","Dans la période")))</f>
        <v/>
      </c>
      <c r="I2731">
        <f>IF(OR($B2731="",NOT(ISNUMBER($D2731))),"",IF(AND($E2731&lt;$D$2,$G2731&lt;&gt;"X",$F2731&lt;&gt;"Réalisé",$F2731&lt;&gt;"Clôturé"),"RETARD",""))</f>
        <v/>
      </c>
      <c r="J2731" s="29">
        <f>IF($B2731="","",IF(INDEX(Dossiers!$F$4:$F$63,52)="","",INDEX(Dossiers!$F$4:$F$63,52)))</f>
        <v/>
      </c>
      <c r="K2731" s="29">
        <f>IF($B2731="","",IF(INDEX(Dossiers!$G$4:$G$63,52)="","",INDEX(Dossiers!$G$4:$G$63,52)))</f>
        <v/>
      </c>
    </row>
    <row r="2732">
      <c r="A2732">
        <f>IF($B2732="","",INDEX(Dossiers!$E$4:$E$63,52))</f>
        <v/>
      </c>
      <c r="B2732">
        <f>IF(INDEX(Suivi!$B:$B,2784)="","",INDEX(Suivi!$B:$B,2784))</f>
        <v/>
      </c>
      <c r="C2732">
        <f>IF($B2732="","",IF(INDEX(Suivi!$D:$D,2784)="",INDEX(Suivi!$C:$C,2784),INDEX(Suivi!$D:$D,2784)))</f>
        <v/>
      </c>
      <c r="D2732" s="29">
        <f>IF($B2732="","",INDEX(Suivi!$E:$E,2784))</f>
        <v/>
      </c>
      <c r="E2732" s="29">
        <f>IF($B2732="","",INDEX(Suivi!$F:$F,2784))</f>
        <v/>
      </c>
      <c r="F2732">
        <f>IF($B2732="","",INDEX(Suivi!$G:$G,2784))</f>
        <v/>
      </c>
      <c r="H2732">
        <f>IF(OR($B2732="",NOT(ISNUMBER($D2732))),"",IF($E2732&lt;$D$2,"Passé",IF($D2732&gt;$F$2,"À venir","Dans la période")))</f>
        <v/>
      </c>
      <c r="I2732">
        <f>IF(OR($B2732="",NOT(ISNUMBER($D2732))),"",IF(AND($E2732&lt;$D$2,$G2732&lt;&gt;"X",$F2732&lt;&gt;"Réalisé",$F2732&lt;&gt;"Clôturé"),"RETARD",""))</f>
        <v/>
      </c>
      <c r="J2732" s="29">
        <f>IF($B2732="","",IF(INDEX(Dossiers!$F$4:$F$63,52)="","",INDEX(Dossiers!$F$4:$F$63,52)))</f>
        <v/>
      </c>
      <c r="K2732" s="29">
        <f>IF($B2732="","",IF(INDEX(Dossiers!$G$4:$G$63,52)="","",INDEX(Dossiers!$G$4:$G$63,52)))</f>
        <v/>
      </c>
    </row>
    <row r="2733">
      <c r="A2733">
        <f>IF($B2733="","",INDEX(Dossiers!$E$4:$E$63,52))</f>
        <v/>
      </c>
      <c r="B2733">
        <f>IF(INDEX(Suivi!$B:$B,2785)="","",INDEX(Suivi!$B:$B,2785))</f>
        <v/>
      </c>
      <c r="C2733">
        <f>IF($B2733="","",IF(INDEX(Suivi!$D:$D,2785)="",INDEX(Suivi!$C:$C,2785),INDEX(Suivi!$D:$D,2785)))</f>
        <v/>
      </c>
      <c r="D2733" s="29">
        <f>IF($B2733="","",INDEX(Suivi!$E:$E,2785))</f>
        <v/>
      </c>
      <c r="E2733" s="29">
        <f>IF($B2733="","",INDEX(Suivi!$F:$F,2785))</f>
        <v/>
      </c>
      <c r="F2733">
        <f>IF($B2733="","",INDEX(Suivi!$G:$G,2785))</f>
        <v/>
      </c>
      <c r="H2733">
        <f>IF(OR($B2733="",NOT(ISNUMBER($D2733))),"",IF($E2733&lt;$D$2,"Passé",IF($D2733&gt;$F$2,"À venir","Dans la période")))</f>
        <v/>
      </c>
      <c r="I2733">
        <f>IF(OR($B2733="",NOT(ISNUMBER($D2733))),"",IF(AND($E2733&lt;$D$2,$G2733&lt;&gt;"X",$F2733&lt;&gt;"Réalisé",$F2733&lt;&gt;"Clôturé"),"RETARD",""))</f>
        <v/>
      </c>
      <c r="J2733" s="29">
        <f>IF($B2733="","",IF(INDEX(Dossiers!$F$4:$F$63,52)="","",INDEX(Dossiers!$F$4:$F$63,52)))</f>
        <v/>
      </c>
      <c r="K2733" s="29">
        <f>IF($B2733="","",IF(INDEX(Dossiers!$G$4:$G$63,52)="","",INDEX(Dossiers!$G$4:$G$63,52)))</f>
        <v/>
      </c>
    </row>
    <row r="2734">
      <c r="A2734">
        <f>IF($B2734="","",INDEX(Dossiers!$E$4:$E$63,52))</f>
        <v/>
      </c>
      <c r="B2734">
        <f>IF(INDEX(Suivi!$B:$B,2786)="","",INDEX(Suivi!$B:$B,2786))</f>
        <v/>
      </c>
      <c r="C2734">
        <f>IF($B2734="","",IF(INDEX(Suivi!$D:$D,2786)="",INDEX(Suivi!$C:$C,2786),INDEX(Suivi!$D:$D,2786)))</f>
        <v/>
      </c>
      <c r="D2734" s="29">
        <f>IF($B2734="","",INDEX(Suivi!$E:$E,2786))</f>
        <v/>
      </c>
      <c r="E2734" s="29">
        <f>IF($B2734="","",INDEX(Suivi!$F:$F,2786))</f>
        <v/>
      </c>
      <c r="F2734">
        <f>IF($B2734="","",INDEX(Suivi!$G:$G,2786))</f>
        <v/>
      </c>
      <c r="H2734">
        <f>IF(OR($B2734="",NOT(ISNUMBER($D2734))),"",IF($E2734&lt;$D$2,"Passé",IF($D2734&gt;$F$2,"À venir","Dans la période")))</f>
        <v/>
      </c>
      <c r="I2734">
        <f>IF(OR($B2734="",NOT(ISNUMBER($D2734))),"",IF(AND($E2734&lt;$D$2,$G2734&lt;&gt;"X",$F2734&lt;&gt;"Réalisé",$F2734&lt;&gt;"Clôturé"),"RETARD",""))</f>
        <v/>
      </c>
      <c r="J2734" s="29">
        <f>IF($B2734="","",IF(INDEX(Dossiers!$F$4:$F$63,52)="","",INDEX(Dossiers!$F$4:$F$63,52)))</f>
        <v/>
      </c>
      <c r="K2734" s="29">
        <f>IF($B2734="","",IF(INDEX(Dossiers!$G$4:$G$63,52)="","",INDEX(Dossiers!$G$4:$G$63,52)))</f>
        <v/>
      </c>
    </row>
    <row r="2735">
      <c r="A2735">
        <f>IF($B2735="","",INDEX(Dossiers!$E$4:$E$63,52))</f>
        <v/>
      </c>
      <c r="B2735">
        <f>IF(INDEX(Suivi!$B:$B,2787)="","",INDEX(Suivi!$B:$B,2787))</f>
        <v/>
      </c>
      <c r="C2735">
        <f>IF($B2735="","",IF(INDEX(Suivi!$D:$D,2787)="",INDEX(Suivi!$C:$C,2787),INDEX(Suivi!$D:$D,2787)))</f>
        <v/>
      </c>
      <c r="D2735" s="29">
        <f>IF($B2735="","",INDEX(Suivi!$E:$E,2787))</f>
        <v/>
      </c>
      <c r="E2735" s="29">
        <f>IF($B2735="","",INDEX(Suivi!$F:$F,2787))</f>
        <v/>
      </c>
      <c r="F2735">
        <f>IF($B2735="","",INDEX(Suivi!$G:$G,2787))</f>
        <v/>
      </c>
      <c r="H2735">
        <f>IF(OR($B2735="",NOT(ISNUMBER($D2735))),"",IF($E2735&lt;$D$2,"Passé",IF($D2735&gt;$F$2,"À venir","Dans la période")))</f>
        <v/>
      </c>
      <c r="I2735">
        <f>IF(OR($B2735="",NOT(ISNUMBER($D2735))),"",IF(AND($E2735&lt;$D$2,$G2735&lt;&gt;"X",$F2735&lt;&gt;"Réalisé",$F2735&lt;&gt;"Clôturé"),"RETARD",""))</f>
        <v/>
      </c>
      <c r="J2735" s="29">
        <f>IF($B2735="","",IF(INDEX(Dossiers!$F$4:$F$63,52)="","",INDEX(Dossiers!$F$4:$F$63,52)))</f>
        <v/>
      </c>
      <c r="K2735" s="29">
        <f>IF($B2735="","",IF(INDEX(Dossiers!$G$4:$G$63,52)="","",INDEX(Dossiers!$G$4:$G$63,52)))</f>
        <v/>
      </c>
    </row>
    <row r="2736">
      <c r="A2736">
        <f>IF($B2736="","",INDEX(Dossiers!$E$4:$E$63,52))</f>
        <v/>
      </c>
      <c r="B2736">
        <f>IF(INDEX(Suivi!$B:$B,2788)="","",INDEX(Suivi!$B:$B,2788))</f>
        <v/>
      </c>
      <c r="C2736">
        <f>IF($B2736="","",IF(INDEX(Suivi!$D:$D,2788)="",INDEX(Suivi!$C:$C,2788),INDEX(Suivi!$D:$D,2788)))</f>
        <v/>
      </c>
      <c r="D2736" s="29">
        <f>IF($B2736="","",INDEX(Suivi!$E:$E,2788))</f>
        <v/>
      </c>
      <c r="E2736" s="29">
        <f>IF($B2736="","",INDEX(Suivi!$F:$F,2788))</f>
        <v/>
      </c>
      <c r="F2736">
        <f>IF($B2736="","",INDEX(Suivi!$G:$G,2788))</f>
        <v/>
      </c>
      <c r="H2736">
        <f>IF(OR($B2736="",NOT(ISNUMBER($D2736))),"",IF($E2736&lt;$D$2,"Passé",IF($D2736&gt;$F$2,"À venir","Dans la période")))</f>
        <v/>
      </c>
      <c r="I2736">
        <f>IF(OR($B2736="",NOT(ISNUMBER($D2736))),"",IF(AND($E2736&lt;$D$2,$G2736&lt;&gt;"X",$F2736&lt;&gt;"Réalisé",$F2736&lt;&gt;"Clôturé"),"RETARD",""))</f>
        <v/>
      </c>
      <c r="J2736" s="29">
        <f>IF($B2736="","",IF(INDEX(Dossiers!$F$4:$F$63,52)="","",INDEX(Dossiers!$F$4:$F$63,52)))</f>
        <v/>
      </c>
      <c r="K2736" s="29">
        <f>IF($B2736="","",IF(INDEX(Dossiers!$G$4:$G$63,52)="","",INDEX(Dossiers!$G$4:$G$63,52)))</f>
        <v/>
      </c>
    </row>
    <row r="2737">
      <c r="A2737">
        <f>IF($B2737="","",INDEX(Dossiers!$E$4:$E$63,52))</f>
        <v/>
      </c>
      <c r="B2737">
        <f>IF(INDEX(Suivi!$B:$B,2789)="","",INDEX(Suivi!$B:$B,2789))</f>
        <v/>
      </c>
      <c r="C2737">
        <f>IF($B2737="","",IF(INDEX(Suivi!$D:$D,2789)="",INDEX(Suivi!$C:$C,2789),INDEX(Suivi!$D:$D,2789)))</f>
        <v/>
      </c>
      <c r="D2737" s="29">
        <f>IF($B2737="","",INDEX(Suivi!$E:$E,2789))</f>
        <v/>
      </c>
      <c r="E2737" s="29">
        <f>IF($B2737="","",INDEX(Suivi!$F:$F,2789))</f>
        <v/>
      </c>
      <c r="F2737">
        <f>IF($B2737="","",INDEX(Suivi!$G:$G,2789))</f>
        <v/>
      </c>
      <c r="H2737">
        <f>IF(OR($B2737="",NOT(ISNUMBER($D2737))),"",IF($E2737&lt;$D$2,"Passé",IF($D2737&gt;$F$2,"À venir","Dans la période")))</f>
        <v/>
      </c>
      <c r="I2737">
        <f>IF(OR($B2737="",NOT(ISNUMBER($D2737))),"",IF(AND($E2737&lt;$D$2,$G2737&lt;&gt;"X",$F2737&lt;&gt;"Réalisé",$F2737&lt;&gt;"Clôturé"),"RETARD",""))</f>
        <v/>
      </c>
      <c r="J2737" s="29">
        <f>IF($B2737="","",IF(INDEX(Dossiers!$F$4:$F$63,52)="","",INDEX(Dossiers!$F$4:$F$63,52)))</f>
        <v/>
      </c>
      <c r="K2737" s="29">
        <f>IF($B2737="","",IF(INDEX(Dossiers!$G$4:$G$63,52)="","",INDEX(Dossiers!$G$4:$G$63,52)))</f>
        <v/>
      </c>
    </row>
    <row r="2738">
      <c r="A2738">
        <f>IF($B2738="","",INDEX(Dossiers!$E$4:$E$63,52))</f>
        <v/>
      </c>
      <c r="B2738">
        <f>IF(INDEX(Suivi!$B:$B,2790)="","",INDEX(Suivi!$B:$B,2790))</f>
        <v/>
      </c>
      <c r="C2738">
        <f>IF($B2738="","",IF(INDEX(Suivi!$D:$D,2790)="",INDEX(Suivi!$C:$C,2790),INDEX(Suivi!$D:$D,2790)))</f>
        <v/>
      </c>
      <c r="D2738" s="29">
        <f>IF($B2738="","",INDEX(Suivi!$E:$E,2790))</f>
        <v/>
      </c>
      <c r="E2738" s="29">
        <f>IF($B2738="","",INDEX(Suivi!$F:$F,2790))</f>
        <v/>
      </c>
      <c r="F2738">
        <f>IF($B2738="","",INDEX(Suivi!$G:$G,2790))</f>
        <v/>
      </c>
      <c r="H2738">
        <f>IF(OR($B2738="",NOT(ISNUMBER($D2738))),"",IF($E2738&lt;$D$2,"Passé",IF($D2738&gt;$F$2,"À venir","Dans la période")))</f>
        <v/>
      </c>
      <c r="I2738">
        <f>IF(OR($B2738="",NOT(ISNUMBER($D2738))),"",IF(AND($E2738&lt;$D$2,$G2738&lt;&gt;"X",$F2738&lt;&gt;"Réalisé",$F2738&lt;&gt;"Clôturé"),"RETARD",""))</f>
        <v/>
      </c>
      <c r="J2738" s="29">
        <f>IF($B2738="","",IF(INDEX(Dossiers!$F$4:$F$63,52)="","",INDEX(Dossiers!$F$4:$F$63,52)))</f>
        <v/>
      </c>
      <c r="K2738" s="29">
        <f>IF($B2738="","",IF(INDEX(Dossiers!$G$4:$G$63,52)="","",INDEX(Dossiers!$G$4:$G$63,52)))</f>
        <v/>
      </c>
    </row>
    <row r="2739">
      <c r="A2739">
        <f>IF($B2739="","",INDEX(Dossiers!$E$4:$E$63,52))</f>
        <v/>
      </c>
      <c r="B2739">
        <f>IF(INDEX(Suivi!$B:$B,2791)="","",INDEX(Suivi!$B:$B,2791))</f>
        <v/>
      </c>
      <c r="C2739">
        <f>IF($B2739="","",IF(INDEX(Suivi!$D:$D,2791)="",INDEX(Suivi!$C:$C,2791),INDEX(Suivi!$D:$D,2791)))</f>
        <v/>
      </c>
      <c r="D2739" s="29">
        <f>IF($B2739="","",INDEX(Suivi!$E:$E,2791))</f>
        <v/>
      </c>
      <c r="E2739" s="29">
        <f>IF($B2739="","",INDEX(Suivi!$F:$F,2791))</f>
        <v/>
      </c>
      <c r="F2739">
        <f>IF($B2739="","",INDEX(Suivi!$G:$G,2791))</f>
        <v/>
      </c>
      <c r="H2739">
        <f>IF(OR($B2739="",NOT(ISNUMBER($D2739))),"",IF($E2739&lt;$D$2,"Passé",IF($D2739&gt;$F$2,"À venir","Dans la période")))</f>
        <v/>
      </c>
      <c r="I2739">
        <f>IF(OR($B2739="",NOT(ISNUMBER($D2739))),"",IF(AND($E2739&lt;$D$2,$G2739&lt;&gt;"X",$F2739&lt;&gt;"Réalisé",$F2739&lt;&gt;"Clôturé"),"RETARD",""))</f>
        <v/>
      </c>
      <c r="J2739" s="29">
        <f>IF($B2739="","",IF(INDEX(Dossiers!$F$4:$F$63,52)="","",INDEX(Dossiers!$F$4:$F$63,52)))</f>
        <v/>
      </c>
      <c r="K2739" s="29">
        <f>IF($B2739="","",IF(INDEX(Dossiers!$G$4:$G$63,52)="","",INDEX(Dossiers!$G$4:$G$63,52)))</f>
        <v/>
      </c>
    </row>
    <row r="2740">
      <c r="A2740">
        <f>IF($B2740="","",INDEX(Dossiers!$E$4:$E$63,52))</f>
        <v/>
      </c>
      <c r="B2740">
        <f>IF(INDEX(Suivi!$B:$B,2792)="","",INDEX(Suivi!$B:$B,2792))</f>
        <v/>
      </c>
      <c r="C2740">
        <f>IF($B2740="","",IF(INDEX(Suivi!$D:$D,2792)="",INDEX(Suivi!$C:$C,2792),INDEX(Suivi!$D:$D,2792)))</f>
        <v/>
      </c>
      <c r="D2740" s="29">
        <f>IF($B2740="","",INDEX(Suivi!$E:$E,2792))</f>
        <v/>
      </c>
      <c r="E2740" s="29">
        <f>IF($B2740="","",INDEX(Suivi!$F:$F,2792))</f>
        <v/>
      </c>
      <c r="F2740">
        <f>IF($B2740="","",INDEX(Suivi!$G:$G,2792))</f>
        <v/>
      </c>
      <c r="H2740">
        <f>IF(OR($B2740="",NOT(ISNUMBER($D2740))),"",IF($E2740&lt;$D$2,"Passé",IF($D2740&gt;$F$2,"À venir","Dans la période")))</f>
        <v/>
      </c>
      <c r="I2740">
        <f>IF(OR($B2740="",NOT(ISNUMBER($D2740))),"",IF(AND($E2740&lt;$D$2,$G2740&lt;&gt;"X",$F2740&lt;&gt;"Réalisé",$F2740&lt;&gt;"Clôturé"),"RETARD",""))</f>
        <v/>
      </c>
      <c r="J2740" s="29">
        <f>IF($B2740="","",IF(INDEX(Dossiers!$F$4:$F$63,52)="","",INDEX(Dossiers!$F$4:$F$63,52)))</f>
        <v/>
      </c>
      <c r="K2740" s="29">
        <f>IF($B2740="","",IF(INDEX(Dossiers!$G$4:$G$63,52)="","",INDEX(Dossiers!$G$4:$G$63,52)))</f>
        <v/>
      </c>
    </row>
    <row r="2741">
      <c r="A2741">
        <f>IF($B2741="","",INDEX(Dossiers!$E$4:$E$63,52))</f>
        <v/>
      </c>
      <c r="B2741">
        <f>IF(INDEX(Suivi!$B:$B,2793)="","",INDEX(Suivi!$B:$B,2793))</f>
        <v/>
      </c>
      <c r="C2741">
        <f>IF($B2741="","",IF(INDEX(Suivi!$D:$D,2793)="",INDEX(Suivi!$C:$C,2793),INDEX(Suivi!$D:$D,2793)))</f>
        <v/>
      </c>
      <c r="D2741" s="29">
        <f>IF($B2741="","",INDEX(Suivi!$E:$E,2793))</f>
        <v/>
      </c>
      <c r="E2741" s="29">
        <f>IF($B2741="","",INDEX(Suivi!$F:$F,2793))</f>
        <v/>
      </c>
      <c r="F2741">
        <f>IF($B2741="","",INDEX(Suivi!$G:$G,2793))</f>
        <v/>
      </c>
      <c r="H2741">
        <f>IF(OR($B2741="",NOT(ISNUMBER($D2741))),"",IF($E2741&lt;$D$2,"Passé",IF($D2741&gt;$F$2,"À venir","Dans la période")))</f>
        <v/>
      </c>
      <c r="I2741">
        <f>IF(OR($B2741="",NOT(ISNUMBER($D2741))),"",IF(AND($E2741&lt;$D$2,$G2741&lt;&gt;"X",$F2741&lt;&gt;"Réalisé",$F2741&lt;&gt;"Clôturé"),"RETARD",""))</f>
        <v/>
      </c>
      <c r="J2741" s="29">
        <f>IF($B2741="","",IF(INDEX(Dossiers!$F$4:$F$63,52)="","",INDEX(Dossiers!$F$4:$F$63,52)))</f>
        <v/>
      </c>
      <c r="K2741" s="29">
        <f>IF($B2741="","",IF(INDEX(Dossiers!$G$4:$G$63,52)="","",INDEX(Dossiers!$G$4:$G$63,52)))</f>
        <v/>
      </c>
    </row>
    <row r="2742">
      <c r="A2742">
        <f>IF($B2742="","",INDEX(Dossiers!$E$4:$E$63,52))</f>
        <v/>
      </c>
      <c r="B2742">
        <f>IF(INDEX(Suivi!$B:$B,2794)="","",INDEX(Suivi!$B:$B,2794))</f>
        <v/>
      </c>
      <c r="C2742">
        <f>IF($B2742="","",IF(INDEX(Suivi!$D:$D,2794)="",INDEX(Suivi!$C:$C,2794),INDEX(Suivi!$D:$D,2794)))</f>
        <v/>
      </c>
      <c r="D2742" s="29">
        <f>IF($B2742="","",INDEX(Suivi!$E:$E,2794))</f>
        <v/>
      </c>
      <c r="E2742" s="29">
        <f>IF($B2742="","",INDEX(Suivi!$F:$F,2794))</f>
        <v/>
      </c>
      <c r="F2742">
        <f>IF($B2742="","",INDEX(Suivi!$G:$G,2794))</f>
        <v/>
      </c>
      <c r="H2742">
        <f>IF(OR($B2742="",NOT(ISNUMBER($D2742))),"",IF($E2742&lt;$D$2,"Passé",IF($D2742&gt;$F$2,"À venir","Dans la période")))</f>
        <v/>
      </c>
      <c r="I2742">
        <f>IF(OR($B2742="",NOT(ISNUMBER($D2742))),"",IF(AND($E2742&lt;$D$2,$G2742&lt;&gt;"X",$F2742&lt;&gt;"Réalisé",$F2742&lt;&gt;"Clôturé"),"RETARD",""))</f>
        <v/>
      </c>
      <c r="J2742" s="29">
        <f>IF($B2742="","",IF(INDEX(Dossiers!$F$4:$F$63,52)="","",INDEX(Dossiers!$F$4:$F$63,52)))</f>
        <v/>
      </c>
      <c r="K2742" s="29">
        <f>IF($B2742="","",IF(INDEX(Dossiers!$G$4:$G$63,52)="","",INDEX(Dossiers!$G$4:$G$63,52)))</f>
        <v/>
      </c>
    </row>
    <row r="2743">
      <c r="A2743">
        <f>IF($B2743="","",INDEX(Dossiers!$E$4:$E$63,52))</f>
        <v/>
      </c>
      <c r="B2743">
        <f>IF(INDEX(Suivi!$B:$B,2795)="","",INDEX(Suivi!$B:$B,2795))</f>
        <v/>
      </c>
      <c r="C2743">
        <f>IF($B2743="","",IF(INDEX(Suivi!$D:$D,2795)="",INDEX(Suivi!$C:$C,2795),INDEX(Suivi!$D:$D,2795)))</f>
        <v/>
      </c>
      <c r="D2743" s="29">
        <f>IF($B2743="","",INDEX(Suivi!$E:$E,2795))</f>
        <v/>
      </c>
      <c r="E2743" s="29">
        <f>IF($B2743="","",INDEX(Suivi!$F:$F,2795))</f>
        <v/>
      </c>
      <c r="F2743">
        <f>IF($B2743="","",INDEX(Suivi!$G:$G,2795))</f>
        <v/>
      </c>
      <c r="H2743">
        <f>IF(OR($B2743="",NOT(ISNUMBER($D2743))),"",IF($E2743&lt;$D$2,"Passé",IF($D2743&gt;$F$2,"À venir","Dans la période")))</f>
        <v/>
      </c>
      <c r="I2743">
        <f>IF(OR($B2743="",NOT(ISNUMBER($D2743))),"",IF(AND($E2743&lt;$D$2,$G2743&lt;&gt;"X",$F2743&lt;&gt;"Réalisé",$F2743&lt;&gt;"Clôturé"),"RETARD",""))</f>
        <v/>
      </c>
      <c r="J2743" s="29">
        <f>IF($B2743="","",IF(INDEX(Dossiers!$F$4:$F$63,52)="","",INDEX(Dossiers!$F$4:$F$63,52)))</f>
        <v/>
      </c>
      <c r="K2743" s="29">
        <f>IF($B2743="","",IF(INDEX(Dossiers!$G$4:$G$63,52)="","",INDEX(Dossiers!$G$4:$G$63,52)))</f>
        <v/>
      </c>
    </row>
    <row r="2744">
      <c r="A2744">
        <f>IF($B2744="","",INDEX(Dossiers!$E$4:$E$63,52))</f>
        <v/>
      </c>
      <c r="B2744">
        <f>IF(INDEX(Suivi!$B:$B,2796)="","",INDEX(Suivi!$B:$B,2796))</f>
        <v/>
      </c>
      <c r="C2744">
        <f>IF($B2744="","",IF(INDEX(Suivi!$D:$D,2796)="",INDEX(Suivi!$C:$C,2796),INDEX(Suivi!$D:$D,2796)))</f>
        <v/>
      </c>
      <c r="D2744" s="29">
        <f>IF($B2744="","",INDEX(Suivi!$E:$E,2796))</f>
        <v/>
      </c>
      <c r="E2744" s="29">
        <f>IF($B2744="","",INDEX(Suivi!$F:$F,2796))</f>
        <v/>
      </c>
      <c r="F2744">
        <f>IF($B2744="","",INDEX(Suivi!$G:$G,2796))</f>
        <v/>
      </c>
      <c r="H2744">
        <f>IF(OR($B2744="",NOT(ISNUMBER($D2744))),"",IF($E2744&lt;$D$2,"Passé",IF($D2744&gt;$F$2,"À venir","Dans la période")))</f>
        <v/>
      </c>
      <c r="I2744">
        <f>IF(OR($B2744="",NOT(ISNUMBER($D2744))),"",IF(AND($E2744&lt;$D$2,$G2744&lt;&gt;"X",$F2744&lt;&gt;"Réalisé",$F2744&lt;&gt;"Clôturé"),"RETARD",""))</f>
        <v/>
      </c>
      <c r="J2744" s="29">
        <f>IF($B2744="","",IF(INDEX(Dossiers!$F$4:$F$63,52)="","",INDEX(Dossiers!$F$4:$F$63,52)))</f>
        <v/>
      </c>
      <c r="K2744" s="29">
        <f>IF($B2744="","",IF(INDEX(Dossiers!$G$4:$G$63,52)="","",INDEX(Dossiers!$G$4:$G$63,52)))</f>
        <v/>
      </c>
    </row>
    <row r="2745">
      <c r="A2745">
        <f>IF($B2745="","",INDEX(Dossiers!$E$4:$E$63,52))</f>
        <v/>
      </c>
      <c r="B2745">
        <f>IF(INDEX(Suivi!$B:$B,2797)="","",INDEX(Suivi!$B:$B,2797))</f>
        <v/>
      </c>
      <c r="C2745">
        <f>IF($B2745="","",IF(INDEX(Suivi!$D:$D,2797)="",INDEX(Suivi!$C:$C,2797),INDEX(Suivi!$D:$D,2797)))</f>
        <v/>
      </c>
      <c r="D2745" s="29">
        <f>IF($B2745="","",INDEX(Suivi!$E:$E,2797))</f>
        <v/>
      </c>
      <c r="E2745" s="29">
        <f>IF($B2745="","",INDEX(Suivi!$F:$F,2797))</f>
        <v/>
      </c>
      <c r="F2745">
        <f>IF($B2745="","",INDEX(Suivi!$G:$G,2797))</f>
        <v/>
      </c>
      <c r="H2745">
        <f>IF(OR($B2745="",NOT(ISNUMBER($D2745))),"",IF($E2745&lt;$D$2,"Passé",IF($D2745&gt;$F$2,"À venir","Dans la période")))</f>
        <v/>
      </c>
      <c r="I2745">
        <f>IF(OR($B2745="",NOT(ISNUMBER($D2745))),"",IF(AND($E2745&lt;$D$2,$G2745&lt;&gt;"X",$F2745&lt;&gt;"Réalisé",$F2745&lt;&gt;"Clôturé"),"RETARD",""))</f>
        <v/>
      </c>
      <c r="J2745" s="29">
        <f>IF($B2745="","",IF(INDEX(Dossiers!$F$4:$F$63,52)="","",INDEX(Dossiers!$F$4:$F$63,52)))</f>
        <v/>
      </c>
      <c r="K2745" s="29">
        <f>IF($B2745="","",IF(INDEX(Dossiers!$G$4:$G$63,52)="","",INDEX(Dossiers!$G$4:$G$63,52)))</f>
        <v/>
      </c>
    </row>
    <row r="2746">
      <c r="A2746">
        <f>IF($B2746="","",INDEX(Dossiers!$E$4:$E$63,52))</f>
        <v/>
      </c>
      <c r="B2746">
        <f>IF(INDEX(Suivi!$B:$B,2798)="","",INDEX(Suivi!$B:$B,2798))</f>
        <v/>
      </c>
      <c r="C2746">
        <f>IF($B2746="","",IF(INDEX(Suivi!$D:$D,2798)="",INDEX(Suivi!$C:$C,2798),INDEX(Suivi!$D:$D,2798)))</f>
        <v/>
      </c>
      <c r="D2746" s="29">
        <f>IF($B2746="","",INDEX(Suivi!$E:$E,2798))</f>
        <v/>
      </c>
      <c r="E2746" s="29">
        <f>IF($B2746="","",INDEX(Suivi!$F:$F,2798))</f>
        <v/>
      </c>
      <c r="F2746">
        <f>IF($B2746="","",INDEX(Suivi!$G:$G,2798))</f>
        <v/>
      </c>
      <c r="H2746">
        <f>IF(OR($B2746="",NOT(ISNUMBER($D2746))),"",IF($E2746&lt;$D$2,"Passé",IF($D2746&gt;$F$2,"À venir","Dans la période")))</f>
        <v/>
      </c>
      <c r="I2746">
        <f>IF(OR($B2746="",NOT(ISNUMBER($D2746))),"",IF(AND($E2746&lt;$D$2,$G2746&lt;&gt;"X",$F2746&lt;&gt;"Réalisé",$F2746&lt;&gt;"Clôturé"),"RETARD",""))</f>
        <v/>
      </c>
      <c r="J2746" s="29">
        <f>IF($B2746="","",IF(INDEX(Dossiers!$F$4:$F$63,52)="","",INDEX(Dossiers!$F$4:$F$63,52)))</f>
        <v/>
      </c>
      <c r="K2746" s="29">
        <f>IF($B2746="","",IF(INDEX(Dossiers!$G$4:$G$63,52)="","",INDEX(Dossiers!$G$4:$G$63,52)))</f>
        <v/>
      </c>
    </row>
    <row r="2747">
      <c r="A2747">
        <f>IF($B2747="","",INDEX(Dossiers!$E$4:$E$63,52))</f>
        <v/>
      </c>
      <c r="B2747">
        <f>IF(INDEX(Suivi!$B:$B,2799)="","",INDEX(Suivi!$B:$B,2799))</f>
        <v/>
      </c>
      <c r="C2747">
        <f>IF($B2747="","",IF(INDEX(Suivi!$D:$D,2799)="",INDEX(Suivi!$C:$C,2799),INDEX(Suivi!$D:$D,2799)))</f>
        <v/>
      </c>
      <c r="D2747" s="29">
        <f>IF($B2747="","",INDEX(Suivi!$E:$E,2799))</f>
        <v/>
      </c>
      <c r="E2747" s="29">
        <f>IF($B2747="","",INDEX(Suivi!$F:$F,2799))</f>
        <v/>
      </c>
      <c r="F2747">
        <f>IF($B2747="","",INDEX(Suivi!$G:$G,2799))</f>
        <v/>
      </c>
      <c r="H2747">
        <f>IF(OR($B2747="",NOT(ISNUMBER($D2747))),"",IF($E2747&lt;$D$2,"Passé",IF($D2747&gt;$F$2,"À venir","Dans la période")))</f>
        <v/>
      </c>
      <c r="I2747">
        <f>IF(OR($B2747="",NOT(ISNUMBER($D2747))),"",IF(AND($E2747&lt;$D$2,$G2747&lt;&gt;"X",$F2747&lt;&gt;"Réalisé",$F2747&lt;&gt;"Clôturé"),"RETARD",""))</f>
        <v/>
      </c>
      <c r="J2747" s="29">
        <f>IF($B2747="","",IF(INDEX(Dossiers!$F$4:$F$63,52)="","",INDEX(Dossiers!$F$4:$F$63,52)))</f>
        <v/>
      </c>
      <c r="K2747" s="29">
        <f>IF($B2747="","",IF(INDEX(Dossiers!$G$4:$G$63,52)="","",INDEX(Dossiers!$G$4:$G$63,52)))</f>
        <v/>
      </c>
    </row>
    <row r="2748">
      <c r="A2748">
        <f>IF($B2748="","",INDEX(Dossiers!$E$4:$E$63,52))</f>
        <v/>
      </c>
      <c r="B2748">
        <f>IF(INDEX(Suivi!$B:$B,2800)="","",INDEX(Suivi!$B:$B,2800))</f>
        <v/>
      </c>
      <c r="C2748">
        <f>IF($B2748="","",IF(INDEX(Suivi!$D:$D,2800)="",INDEX(Suivi!$C:$C,2800),INDEX(Suivi!$D:$D,2800)))</f>
        <v/>
      </c>
      <c r="D2748" s="29">
        <f>IF($B2748="","",INDEX(Suivi!$E:$E,2800))</f>
        <v/>
      </c>
      <c r="E2748" s="29">
        <f>IF($B2748="","",INDEX(Suivi!$F:$F,2800))</f>
        <v/>
      </c>
      <c r="F2748">
        <f>IF($B2748="","",INDEX(Suivi!$G:$G,2800))</f>
        <v/>
      </c>
      <c r="H2748">
        <f>IF(OR($B2748="",NOT(ISNUMBER($D2748))),"",IF($E2748&lt;$D$2,"Passé",IF($D2748&gt;$F$2,"À venir","Dans la période")))</f>
        <v/>
      </c>
      <c r="I2748">
        <f>IF(OR($B2748="",NOT(ISNUMBER($D2748))),"",IF(AND($E2748&lt;$D$2,$G2748&lt;&gt;"X",$F2748&lt;&gt;"Réalisé",$F2748&lt;&gt;"Clôturé"),"RETARD",""))</f>
        <v/>
      </c>
      <c r="J2748" s="29">
        <f>IF($B2748="","",IF(INDEX(Dossiers!$F$4:$F$63,52)="","",INDEX(Dossiers!$F$4:$F$63,52)))</f>
        <v/>
      </c>
      <c r="K2748" s="29">
        <f>IF($B2748="","",IF(INDEX(Dossiers!$G$4:$G$63,52)="","",INDEX(Dossiers!$G$4:$G$63,52)))</f>
        <v/>
      </c>
    </row>
    <row r="2749">
      <c r="A2749">
        <f>IF($B2749="","",INDEX(Dossiers!$E$4:$E$63,52))</f>
        <v/>
      </c>
      <c r="B2749">
        <f>IF(INDEX(Suivi!$B:$B,2801)="","",INDEX(Suivi!$B:$B,2801))</f>
        <v/>
      </c>
      <c r="C2749">
        <f>IF($B2749="","",IF(INDEX(Suivi!$D:$D,2801)="",INDEX(Suivi!$C:$C,2801),INDEX(Suivi!$D:$D,2801)))</f>
        <v/>
      </c>
      <c r="D2749" s="29">
        <f>IF($B2749="","",INDEX(Suivi!$E:$E,2801))</f>
        <v/>
      </c>
      <c r="E2749" s="29">
        <f>IF($B2749="","",INDEX(Suivi!$F:$F,2801))</f>
        <v/>
      </c>
      <c r="F2749">
        <f>IF($B2749="","",INDEX(Suivi!$G:$G,2801))</f>
        <v/>
      </c>
      <c r="H2749">
        <f>IF(OR($B2749="",NOT(ISNUMBER($D2749))),"",IF($E2749&lt;$D$2,"Passé",IF($D2749&gt;$F$2,"À venir","Dans la période")))</f>
        <v/>
      </c>
      <c r="I2749">
        <f>IF(OR($B2749="",NOT(ISNUMBER($D2749))),"",IF(AND($E2749&lt;$D$2,$G2749&lt;&gt;"X",$F2749&lt;&gt;"Réalisé",$F2749&lt;&gt;"Clôturé"),"RETARD",""))</f>
        <v/>
      </c>
      <c r="J2749" s="29">
        <f>IF($B2749="","",IF(INDEX(Dossiers!$F$4:$F$63,52)="","",INDEX(Dossiers!$F$4:$F$63,52)))</f>
        <v/>
      </c>
      <c r="K2749" s="29">
        <f>IF($B2749="","",IF(INDEX(Dossiers!$G$4:$G$63,52)="","",INDEX(Dossiers!$G$4:$G$63,52)))</f>
        <v/>
      </c>
    </row>
    <row r="2750">
      <c r="A2750">
        <f>IF($B2750="","",INDEX(Dossiers!$E$4:$E$63,52))</f>
        <v/>
      </c>
      <c r="B2750">
        <f>IF(INDEX(Suivi!$B:$B,2802)="","",INDEX(Suivi!$B:$B,2802))</f>
        <v/>
      </c>
      <c r="C2750">
        <f>IF($B2750="","",IF(INDEX(Suivi!$D:$D,2802)="",INDEX(Suivi!$C:$C,2802),INDEX(Suivi!$D:$D,2802)))</f>
        <v/>
      </c>
      <c r="D2750" s="29">
        <f>IF($B2750="","",INDEX(Suivi!$E:$E,2802))</f>
        <v/>
      </c>
      <c r="E2750" s="29">
        <f>IF($B2750="","",INDEX(Suivi!$F:$F,2802))</f>
        <v/>
      </c>
      <c r="F2750">
        <f>IF($B2750="","",INDEX(Suivi!$G:$G,2802))</f>
        <v/>
      </c>
      <c r="H2750">
        <f>IF(OR($B2750="",NOT(ISNUMBER($D2750))),"",IF($E2750&lt;$D$2,"Passé",IF($D2750&gt;$F$2,"À venir","Dans la période")))</f>
        <v/>
      </c>
      <c r="I2750">
        <f>IF(OR($B2750="",NOT(ISNUMBER($D2750))),"",IF(AND($E2750&lt;$D$2,$G2750&lt;&gt;"X",$F2750&lt;&gt;"Réalisé",$F2750&lt;&gt;"Clôturé"),"RETARD",""))</f>
        <v/>
      </c>
      <c r="J2750" s="29">
        <f>IF($B2750="","",IF(INDEX(Dossiers!$F$4:$F$63,52)="","",INDEX(Dossiers!$F$4:$F$63,52)))</f>
        <v/>
      </c>
      <c r="K2750" s="29">
        <f>IF($B2750="","",IF(INDEX(Dossiers!$G$4:$G$63,52)="","",INDEX(Dossiers!$G$4:$G$63,52)))</f>
        <v/>
      </c>
    </row>
    <row r="2751">
      <c r="A2751">
        <f>IF($B2751="","",INDEX(Dossiers!$E$4:$E$63,52))</f>
        <v/>
      </c>
      <c r="B2751">
        <f>IF(INDEX(Suivi!$B:$B,2803)="","",INDEX(Suivi!$B:$B,2803))</f>
        <v/>
      </c>
      <c r="C2751">
        <f>IF($B2751="","",IF(INDEX(Suivi!$D:$D,2803)="",INDEX(Suivi!$C:$C,2803),INDEX(Suivi!$D:$D,2803)))</f>
        <v/>
      </c>
      <c r="D2751" s="29">
        <f>IF($B2751="","",INDEX(Suivi!$E:$E,2803))</f>
        <v/>
      </c>
      <c r="E2751" s="29">
        <f>IF($B2751="","",INDEX(Suivi!$F:$F,2803))</f>
        <v/>
      </c>
      <c r="F2751">
        <f>IF($B2751="","",INDEX(Suivi!$G:$G,2803))</f>
        <v/>
      </c>
      <c r="H2751">
        <f>IF(OR($B2751="",NOT(ISNUMBER($D2751))),"",IF($E2751&lt;$D$2,"Passé",IF($D2751&gt;$F$2,"À venir","Dans la période")))</f>
        <v/>
      </c>
      <c r="I2751">
        <f>IF(OR($B2751="",NOT(ISNUMBER($D2751))),"",IF(AND($E2751&lt;$D$2,$G2751&lt;&gt;"X",$F2751&lt;&gt;"Réalisé",$F2751&lt;&gt;"Clôturé"),"RETARD",""))</f>
        <v/>
      </c>
      <c r="J2751" s="29">
        <f>IF($B2751="","",IF(INDEX(Dossiers!$F$4:$F$63,52)="","",INDEX(Dossiers!$F$4:$F$63,52)))</f>
        <v/>
      </c>
      <c r="K2751" s="29">
        <f>IF($B2751="","",IF(INDEX(Dossiers!$G$4:$G$63,52)="","",INDEX(Dossiers!$G$4:$G$63,52)))</f>
        <v/>
      </c>
    </row>
    <row r="2752">
      <c r="A2752">
        <f>IF($B2752="","",INDEX(Dossiers!$E$4:$E$63,52))</f>
        <v/>
      </c>
      <c r="B2752">
        <f>IF(INDEX(Suivi!$B:$B,2804)="","",INDEX(Suivi!$B:$B,2804))</f>
        <v/>
      </c>
      <c r="C2752">
        <f>IF($B2752="","",IF(INDEX(Suivi!$D:$D,2804)="",INDEX(Suivi!$C:$C,2804),INDEX(Suivi!$D:$D,2804)))</f>
        <v/>
      </c>
      <c r="D2752" s="29">
        <f>IF($B2752="","",INDEX(Suivi!$E:$E,2804))</f>
        <v/>
      </c>
      <c r="E2752" s="29">
        <f>IF($B2752="","",INDEX(Suivi!$F:$F,2804))</f>
        <v/>
      </c>
      <c r="F2752">
        <f>IF($B2752="","",INDEX(Suivi!$G:$G,2804))</f>
        <v/>
      </c>
      <c r="H2752">
        <f>IF(OR($B2752="",NOT(ISNUMBER($D2752))),"",IF($E2752&lt;$D$2,"Passé",IF($D2752&gt;$F$2,"À venir","Dans la période")))</f>
        <v/>
      </c>
      <c r="I2752">
        <f>IF(OR($B2752="",NOT(ISNUMBER($D2752))),"",IF(AND($E2752&lt;$D$2,$G2752&lt;&gt;"X",$F2752&lt;&gt;"Réalisé",$F2752&lt;&gt;"Clôturé"),"RETARD",""))</f>
        <v/>
      </c>
      <c r="J2752" s="29">
        <f>IF($B2752="","",IF(INDEX(Dossiers!$F$4:$F$63,52)="","",INDEX(Dossiers!$F$4:$F$63,52)))</f>
        <v/>
      </c>
      <c r="K2752" s="29">
        <f>IF($B2752="","",IF(INDEX(Dossiers!$G$4:$G$63,52)="","",INDEX(Dossiers!$G$4:$G$63,52)))</f>
        <v/>
      </c>
    </row>
    <row r="2753">
      <c r="A2753">
        <f>IF($B2753="","",INDEX(Dossiers!$E$4:$E$63,52))</f>
        <v/>
      </c>
      <c r="B2753">
        <f>IF(INDEX(Suivi!$B:$B,2805)="","",INDEX(Suivi!$B:$B,2805))</f>
        <v/>
      </c>
      <c r="C2753">
        <f>IF($B2753="","",IF(INDEX(Suivi!$D:$D,2805)="",INDEX(Suivi!$C:$C,2805),INDEX(Suivi!$D:$D,2805)))</f>
        <v/>
      </c>
      <c r="D2753" s="29">
        <f>IF($B2753="","",INDEX(Suivi!$E:$E,2805))</f>
        <v/>
      </c>
      <c r="E2753" s="29">
        <f>IF($B2753="","",INDEX(Suivi!$F:$F,2805))</f>
        <v/>
      </c>
      <c r="F2753">
        <f>IF($B2753="","",INDEX(Suivi!$G:$G,2805))</f>
        <v/>
      </c>
      <c r="H2753">
        <f>IF(OR($B2753="",NOT(ISNUMBER($D2753))),"",IF($E2753&lt;$D$2,"Passé",IF($D2753&gt;$F$2,"À venir","Dans la période")))</f>
        <v/>
      </c>
      <c r="I2753">
        <f>IF(OR($B2753="",NOT(ISNUMBER($D2753))),"",IF(AND($E2753&lt;$D$2,$G2753&lt;&gt;"X",$F2753&lt;&gt;"Réalisé",$F2753&lt;&gt;"Clôturé"),"RETARD",""))</f>
        <v/>
      </c>
      <c r="J2753" s="29">
        <f>IF($B2753="","",IF(INDEX(Dossiers!$F$4:$F$63,52)="","",INDEX(Dossiers!$F$4:$F$63,52)))</f>
        <v/>
      </c>
      <c r="K2753" s="29">
        <f>IF($B2753="","",IF(INDEX(Dossiers!$G$4:$G$63,52)="","",INDEX(Dossiers!$G$4:$G$63,52)))</f>
        <v/>
      </c>
    </row>
    <row r="2754">
      <c r="A2754">
        <f>IF($B2754="","",INDEX(Dossiers!$E$4:$E$63,52))</f>
        <v/>
      </c>
      <c r="B2754">
        <f>IF(INDEX(Suivi!$B:$B,2806)="","",INDEX(Suivi!$B:$B,2806))</f>
        <v/>
      </c>
      <c r="C2754">
        <f>IF($B2754="","",IF(INDEX(Suivi!$D:$D,2806)="",INDEX(Suivi!$C:$C,2806),INDEX(Suivi!$D:$D,2806)))</f>
        <v/>
      </c>
      <c r="D2754" s="29">
        <f>IF($B2754="","",INDEX(Suivi!$E:$E,2806))</f>
        <v/>
      </c>
      <c r="E2754" s="29">
        <f>IF($B2754="","",INDEX(Suivi!$F:$F,2806))</f>
        <v/>
      </c>
      <c r="F2754">
        <f>IF($B2754="","",INDEX(Suivi!$G:$G,2806))</f>
        <v/>
      </c>
      <c r="H2754">
        <f>IF(OR($B2754="",NOT(ISNUMBER($D2754))),"",IF($E2754&lt;$D$2,"Passé",IF($D2754&gt;$F$2,"À venir","Dans la période")))</f>
        <v/>
      </c>
      <c r="I2754">
        <f>IF(OR($B2754="",NOT(ISNUMBER($D2754))),"",IF(AND($E2754&lt;$D$2,$G2754&lt;&gt;"X",$F2754&lt;&gt;"Réalisé",$F2754&lt;&gt;"Clôturé"),"RETARD",""))</f>
        <v/>
      </c>
      <c r="J2754" s="29">
        <f>IF($B2754="","",IF(INDEX(Dossiers!$F$4:$F$63,52)="","",INDEX(Dossiers!$F$4:$F$63,52)))</f>
        <v/>
      </c>
      <c r="K2754" s="29">
        <f>IF($B2754="","",IF(INDEX(Dossiers!$G$4:$G$63,52)="","",INDEX(Dossiers!$G$4:$G$63,52)))</f>
        <v/>
      </c>
    </row>
    <row r="2755">
      <c r="A2755">
        <f>IF($B2755="","",INDEX(Dossiers!$E$4:$E$63,52))</f>
        <v/>
      </c>
      <c r="B2755">
        <f>IF(INDEX(Suivi!$B:$B,2807)="","",INDEX(Suivi!$B:$B,2807))</f>
        <v/>
      </c>
      <c r="C2755">
        <f>IF($B2755="","",IF(INDEX(Suivi!$D:$D,2807)="",INDEX(Suivi!$C:$C,2807),INDEX(Suivi!$D:$D,2807)))</f>
        <v/>
      </c>
      <c r="D2755" s="29">
        <f>IF($B2755="","",INDEX(Suivi!$E:$E,2807))</f>
        <v/>
      </c>
      <c r="E2755" s="29">
        <f>IF($B2755="","",INDEX(Suivi!$F:$F,2807))</f>
        <v/>
      </c>
      <c r="F2755">
        <f>IF($B2755="","",INDEX(Suivi!$G:$G,2807))</f>
        <v/>
      </c>
      <c r="H2755">
        <f>IF(OR($B2755="",NOT(ISNUMBER($D2755))),"",IF($E2755&lt;$D$2,"Passé",IF($D2755&gt;$F$2,"À venir","Dans la période")))</f>
        <v/>
      </c>
      <c r="I2755">
        <f>IF(OR($B2755="",NOT(ISNUMBER($D2755))),"",IF(AND($E2755&lt;$D$2,$G2755&lt;&gt;"X",$F2755&lt;&gt;"Réalisé",$F2755&lt;&gt;"Clôturé"),"RETARD",""))</f>
        <v/>
      </c>
      <c r="J2755" s="29">
        <f>IF($B2755="","",IF(INDEX(Dossiers!$F$4:$F$63,52)="","",INDEX(Dossiers!$F$4:$F$63,52)))</f>
        <v/>
      </c>
      <c r="K2755" s="29">
        <f>IF($B2755="","",IF(INDEX(Dossiers!$G$4:$G$63,52)="","",INDEX(Dossiers!$G$4:$G$63,52)))</f>
        <v/>
      </c>
    </row>
    <row r="2756">
      <c r="A2756">
        <f>IF($B2756="","",INDEX(Dossiers!$E$4:$E$63,52))</f>
        <v/>
      </c>
      <c r="B2756">
        <f>IF(INDEX(Suivi!$B:$B,2808)="","",INDEX(Suivi!$B:$B,2808))</f>
        <v/>
      </c>
      <c r="C2756">
        <f>IF($B2756="","",IF(INDEX(Suivi!$D:$D,2808)="",INDEX(Suivi!$C:$C,2808),INDEX(Suivi!$D:$D,2808)))</f>
        <v/>
      </c>
      <c r="D2756" s="29">
        <f>IF($B2756="","",INDEX(Suivi!$E:$E,2808))</f>
        <v/>
      </c>
      <c r="E2756" s="29">
        <f>IF($B2756="","",INDEX(Suivi!$F:$F,2808))</f>
        <v/>
      </c>
      <c r="F2756">
        <f>IF($B2756="","",INDEX(Suivi!$G:$G,2808))</f>
        <v/>
      </c>
      <c r="H2756">
        <f>IF(OR($B2756="",NOT(ISNUMBER($D2756))),"",IF($E2756&lt;$D$2,"Passé",IF($D2756&gt;$F$2,"À venir","Dans la période")))</f>
        <v/>
      </c>
      <c r="I2756">
        <f>IF(OR($B2756="",NOT(ISNUMBER($D2756))),"",IF(AND($E2756&lt;$D$2,$G2756&lt;&gt;"X",$F2756&lt;&gt;"Réalisé",$F2756&lt;&gt;"Clôturé"),"RETARD",""))</f>
        <v/>
      </c>
      <c r="J2756" s="29">
        <f>IF($B2756="","",IF(INDEX(Dossiers!$F$4:$F$63,52)="","",INDEX(Dossiers!$F$4:$F$63,52)))</f>
        <v/>
      </c>
      <c r="K2756" s="29">
        <f>IF($B2756="","",IF(INDEX(Dossiers!$G$4:$G$63,52)="","",INDEX(Dossiers!$G$4:$G$63,52)))</f>
        <v/>
      </c>
    </row>
    <row r="2757">
      <c r="A2757">
        <f>IF($B2757="","",INDEX(Dossiers!$E$4:$E$63,52))</f>
        <v/>
      </c>
      <c r="B2757">
        <f>IF(INDEX(Suivi!$B:$B,2809)="","",INDEX(Suivi!$B:$B,2809))</f>
        <v/>
      </c>
      <c r="C2757">
        <f>IF($B2757="","",IF(INDEX(Suivi!$D:$D,2809)="",INDEX(Suivi!$C:$C,2809),INDEX(Suivi!$D:$D,2809)))</f>
        <v/>
      </c>
      <c r="D2757" s="29">
        <f>IF($B2757="","",INDEX(Suivi!$E:$E,2809))</f>
        <v/>
      </c>
      <c r="E2757" s="29">
        <f>IF($B2757="","",INDEX(Suivi!$F:$F,2809))</f>
        <v/>
      </c>
      <c r="F2757">
        <f>IF($B2757="","",INDEX(Suivi!$G:$G,2809))</f>
        <v/>
      </c>
      <c r="H2757">
        <f>IF(OR($B2757="",NOT(ISNUMBER($D2757))),"",IF($E2757&lt;$D$2,"Passé",IF($D2757&gt;$F$2,"À venir","Dans la période")))</f>
        <v/>
      </c>
      <c r="I2757">
        <f>IF(OR($B2757="",NOT(ISNUMBER($D2757))),"",IF(AND($E2757&lt;$D$2,$G2757&lt;&gt;"X",$F2757&lt;&gt;"Réalisé",$F2757&lt;&gt;"Clôturé"),"RETARD",""))</f>
        <v/>
      </c>
      <c r="J2757" s="29">
        <f>IF($B2757="","",IF(INDEX(Dossiers!$F$4:$F$63,52)="","",INDEX(Dossiers!$F$4:$F$63,52)))</f>
        <v/>
      </c>
      <c r="K2757" s="29">
        <f>IF($B2757="","",IF(INDEX(Dossiers!$G$4:$G$63,52)="","",INDEX(Dossiers!$G$4:$G$63,52)))</f>
        <v/>
      </c>
    </row>
    <row r="2758">
      <c r="A2758">
        <f>IF($B2758="","",INDEX(Dossiers!$E$4:$E$63,52))</f>
        <v/>
      </c>
      <c r="B2758">
        <f>IF(INDEX(Suivi!$B:$B,2810)="","",INDEX(Suivi!$B:$B,2810))</f>
        <v/>
      </c>
      <c r="C2758">
        <f>IF($B2758="","",IF(INDEX(Suivi!$D:$D,2810)="",INDEX(Suivi!$C:$C,2810),INDEX(Suivi!$D:$D,2810)))</f>
        <v/>
      </c>
      <c r="D2758" s="29">
        <f>IF($B2758="","",INDEX(Suivi!$E:$E,2810))</f>
        <v/>
      </c>
      <c r="E2758" s="29">
        <f>IF($B2758="","",INDEX(Suivi!$F:$F,2810))</f>
        <v/>
      </c>
      <c r="F2758">
        <f>IF($B2758="","",INDEX(Suivi!$G:$G,2810))</f>
        <v/>
      </c>
      <c r="H2758">
        <f>IF(OR($B2758="",NOT(ISNUMBER($D2758))),"",IF($E2758&lt;$D$2,"Passé",IF($D2758&gt;$F$2,"À venir","Dans la période")))</f>
        <v/>
      </c>
      <c r="I2758">
        <f>IF(OR($B2758="",NOT(ISNUMBER($D2758))),"",IF(AND($E2758&lt;$D$2,$G2758&lt;&gt;"X",$F2758&lt;&gt;"Réalisé",$F2758&lt;&gt;"Clôturé"),"RETARD",""))</f>
        <v/>
      </c>
      <c r="J2758" s="29">
        <f>IF($B2758="","",IF(INDEX(Dossiers!$F$4:$F$63,52)="","",INDEX(Dossiers!$F$4:$F$63,52)))</f>
        <v/>
      </c>
      <c r="K2758" s="29">
        <f>IF($B2758="","",IF(INDEX(Dossiers!$G$4:$G$63,52)="","",INDEX(Dossiers!$G$4:$G$63,52)))</f>
        <v/>
      </c>
    </row>
    <row r="2759">
      <c r="A2759">
        <f>IF($B2759="","",INDEX(Dossiers!$E$4:$E$63,52))</f>
        <v/>
      </c>
      <c r="B2759">
        <f>IF(INDEX(Suivi!$B:$B,2811)="","",INDEX(Suivi!$B:$B,2811))</f>
        <v/>
      </c>
      <c r="C2759">
        <f>IF($B2759="","",IF(INDEX(Suivi!$D:$D,2811)="",INDEX(Suivi!$C:$C,2811),INDEX(Suivi!$D:$D,2811)))</f>
        <v/>
      </c>
      <c r="D2759" s="29">
        <f>IF($B2759="","",INDEX(Suivi!$E:$E,2811))</f>
        <v/>
      </c>
      <c r="E2759" s="29">
        <f>IF($B2759="","",INDEX(Suivi!$F:$F,2811))</f>
        <v/>
      </c>
      <c r="F2759">
        <f>IF($B2759="","",INDEX(Suivi!$G:$G,2811))</f>
        <v/>
      </c>
      <c r="H2759">
        <f>IF(OR($B2759="",NOT(ISNUMBER($D2759))),"",IF($E2759&lt;$D$2,"Passé",IF($D2759&gt;$F$2,"À venir","Dans la période")))</f>
        <v/>
      </c>
      <c r="I2759">
        <f>IF(OR($B2759="",NOT(ISNUMBER($D2759))),"",IF(AND($E2759&lt;$D$2,$G2759&lt;&gt;"X",$F2759&lt;&gt;"Réalisé",$F2759&lt;&gt;"Clôturé"),"RETARD",""))</f>
        <v/>
      </c>
      <c r="J2759" s="29">
        <f>IF($B2759="","",IF(INDEX(Dossiers!$F$4:$F$63,52)="","",INDEX(Dossiers!$F$4:$F$63,52)))</f>
        <v/>
      </c>
      <c r="K2759" s="29">
        <f>IF($B2759="","",IF(INDEX(Dossiers!$G$4:$G$63,52)="","",INDEX(Dossiers!$G$4:$G$63,52)))</f>
        <v/>
      </c>
    </row>
    <row r="2760">
      <c r="A2760">
        <f>IF($B2760="","",INDEX(Dossiers!$E$4:$E$63,53))</f>
        <v/>
      </c>
      <c r="B2760">
        <f>IF(INDEX(Suivi!$B:$B,2813)="","",INDEX(Suivi!$B:$B,2813))</f>
        <v/>
      </c>
      <c r="C2760">
        <f>IF($B2760="","",IF(INDEX(Suivi!$D:$D,2813)="",INDEX(Suivi!$C:$C,2813),INDEX(Suivi!$D:$D,2813)))</f>
        <v/>
      </c>
      <c r="D2760" s="29">
        <f>IF($B2760="","",INDEX(Suivi!$E:$E,2813))</f>
        <v/>
      </c>
      <c r="E2760" s="29">
        <f>IF($B2760="","",INDEX(Suivi!$F:$F,2813))</f>
        <v/>
      </c>
      <c r="F2760">
        <f>IF($B2760="","",INDEX(Suivi!$G:$G,2813))</f>
        <v/>
      </c>
      <c r="H2760">
        <f>IF(OR($B2760="",NOT(ISNUMBER($D2760))),"",IF($E2760&lt;$D$2,"Passé",IF($D2760&gt;$F$2,"À venir","Dans la période")))</f>
        <v/>
      </c>
      <c r="I2760">
        <f>IF(OR($B2760="",NOT(ISNUMBER($D2760))),"",IF(AND($E2760&lt;$D$2,$G2760&lt;&gt;"X",$F2760&lt;&gt;"Réalisé",$F2760&lt;&gt;"Clôturé"),"RETARD",""))</f>
        <v/>
      </c>
      <c r="J2760" s="29">
        <f>IF($B2760="","",IF(INDEX(Dossiers!$F$4:$F$63,53)="","",INDEX(Dossiers!$F$4:$F$63,53)))</f>
        <v/>
      </c>
      <c r="K2760" s="29">
        <f>IF($B2760="","",IF(INDEX(Dossiers!$G$4:$G$63,53)="","",INDEX(Dossiers!$G$4:$G$63,53)))</f>
        <v/>
      </c>
    </row>
    <row r="2761">
      <c r="A2761">
        <f>IF($B2761="","",INDEX(Dossiers!$E$4:$E$63,53))</f>
        <v/>
      </c>
      <c r="B2761">
        <f>IF(INDEX(Suivi!$B:$B,2814)="","",INDEX(Suivi!$B:$B,2814))</f>
        <v/>
      </c>
      <c r="C2761">
        <f>IF($B2761="","",IF(INDEX(Suivi!$D:$D,2814)="",INDEX(Suivi!$C:$C,2814),INDEX(Suivi!$D:$D,2814)))</f>
        <v/>
      </c>
      <c r="D2761" s="29">
        <f>IF($B2761="","",INDEX(Suivi!$E:$E,2814))</f>
        <v/>
      </c>
      <c r="E2761" s="29">
        <f>IF($B2761="","",INDEX(Suivi!$F:$F,2814))</f>
        <v/>
      </c>
      <c r="F2761">
        <f>IF($B2761="","",INDEX(Suivi!$G:$G,2814))</f>
        <v/>
      </c>
      <c r="H2761">
        <f>IF(OR($B2761="",NOT(ISNUMBER($D2761))),"",IF($E2761&lt;$D$2,"Passé",IF($D2761&gt;$F$2,"À venir","Dans la période")))</f>
        <v/>
      </c>
      <c r="I2761">
        <f>IF(OR($B2761="",NOT(ISNUMBER($D2761))),"",IF(AND($E2761&lt;$D$2,$G2761&lt;&gt;"X",$F2761&lt;&gt;"Réalisé",$F2761&lt;&gt;"Clôturé"),"RETARD",""))</f>
        <v/>
      </c>
      <c r="J2761" s="29">
        <f>IF($B2761="","",IF(INDEX(Dossiers!$F$4:$F$63,53)="","",INDEX(Dossiers!$F$4:$F$63,53)))</f>
        <v/>
      </c>
      <c r="K2761" s="29">
        <f>IF($B2761="","",IF(INDEX(Dossiers!$G$4:$G$63,53)="","",INDEX(Dossiers!$G$4:$G$63,53)))</f>
        <v/>
      </c>
    </row>
    <row r="2762">
      <c r="A2762">
        <f>IF($B2762="","",INDEX(Dossiers!$E$4:$E$63,53))</f>
        <v/>
      </c>
      <c r="B2762">
        <f>IF(INDEX(Suivi!$B:$B,2815)="","",INDEX(Suivi!$B:$B,2815))</f>
        <v/>
      </c>
      <c r="C2762">
        <f>IF($B2762="","",IF(INDEX(Suivi!$D:$D,2815)="",INDEX(Suivi!$C:$C,2815),INDEX(Suivi!$D:$D,2815)))</f>
        <v/>
      </c>
      <c r="D2762" s="29">
        <f>IF($B2762="","",INDEX(Suivi!$E:$E,2815))</f>
        <v/>
      </c>
      <c r="E2762" s="29">
        <f>IF($B2762="","",INDEX(Suivi!$F:$F,2815))</f>
        <v/>
      </c>
      <c r="F2762">
        <f>IF($B2762="","",INDEX(Suivi!$G:$G,2815))</f>
        <v/>
      </c>
      <c r="H2762">
        <f>IF(OR($B2762="",NOT(ISNUMBER($D2762))),"",IF($E2762&lt;$D$2,"Passé",IF($D2762&gt;$F$2,"À venir","Dans la période")))</f>
        <v/>
      </c>
      <c r="I2762">
        <f>IF(OR($B2762="",NOT(ISNUMBER($D2762))),"",IF(AND($E2762&lt;$D$2,$G2762&lt;&gt;"X",$F2762&lt;&gt;"Réalisé",$F2762&lt;&gt;"Clôturé"),"RETARD",""))</f>
        <v/>
      </c>
      <c r="J2762" s="29">
        <f>IF($B2762="","",IF(INDEX(Dossiers!$F$4:$F$63,53)="","",INDEX(Dossiers!$F$4:$F$63,53)))</f>
        <v/>
      </c>
      <c r="K2762" s="29">
        <f>IF($B2762="","",IF(INDEX(Dossiers!$G$4:$G$63,53)="","",INDEX(Dossiers!$G$4:$G$63,53)))</f>
        <v/>
      </c>
    </row>
    <row r="2763">
      <c r="A2763">
        <f>IF($B2763="","",INDEX(Dossiers!$E$4:$E$63,53))</f>
        <v/>
      </c>
      <c r="B2763">
        <f>IF(INDEX(Suivi!$B:$B,2816)="","",INDEX(Suivi!$B:$B,2816))</f>
        <v/>
      </c>
      <c r="C2763">
        <f>IF($B2763="","",IF(INDEX(Suivi!$D:$D,2816)="",INDEX(Suivi!$C:$C,2816),INDEX(Suivi!$D:$D,2816)))</f>
        <v/>
      </c>
      <c r="D2763" s="29">
        <f>IF($B2763="","",INDEX(Suivi!$E:$E,2816))</f>
        <v/>
      </c>
      <c r="E2763" s="29">
        <f>IF($B2763="","",INDEX(Suivi!$F:$F,2816))</f>
        <v/>
      </c>
      <c r="F2763">
        <f>IF($B2763="","",INDEX(Suivi!$G:$G,2816))</f>
        <v/>
      </c>
      <c r="H2763">
        <f>IF(OR($B2763="",NOT(ISNUMBER($D2763))),"",IF($E2763&lt;$D$2,"Passé",IF($D2763&gt;$F$2,"À venir","Dans la période")))</f>
        <v/>
      </c>
      <c r="I2763">
        <f>IF(OR($B2763="",NOT(ISNUMBER($D2763))),"",IF(AND($E2763&lt;$D$2,$G2763&lt;&gt;"X",$F2763&lt;&gt;"Réalisé",$F2763&lt;&gt;"Clôturé"),"RETARD",""))</f>
        <v/>
      </c>
      <c r="J2763" s="29">
        <f>IF($B2763="","",IF(INDEX(Dossiers!$F$4:$F$63,53)="","",INDEX(Dossiers!$F$4:$F$63,53)))</f>
        <v/>
      </c>
      <c r="K2763" s="29">
        <f>IF($B2763="","",IF(INDEX(Dossiers!$G$4:$G$63,53)="","",INDEX(Dossiers!$G$4:$G$63,53)))</f>
        <v/>
      </c>
    </row>
    <row r="2764">
      <c r="A2764">
        <f>IF($B2764="","",INDEX(Dossiers!$E$4:$E$63,53))</f>
        <v/>
      </c>
      <c r="B2764">
        <f>IF(INDEX(Suivi!$B:$B,2817)="","",INDEX(Suivi!$B:$B,2817))</f>
        <v/>
      </c>
      <c r="C2764">
        <f>IF($B2764="","",IF(INDEX(Suivi!$D:$D,2817)="",INDEX(Suivi!$C:$C,2817),INDEX(Suivi!$D:$D,2817)))</f>
        <v/>
      </c>
      <c r="D2764" s="29">
        <f>IF($B2764="","",INDEX(Suivi!$E:$E,2817))</f>
        <v/>
      </c>
      <c r="E2764" s="29">
        <f>IF($B2764="","",INDEX(Suivi!$F:$F,2817))</f>
        <v/>
      </c>
      <c r="F2764">
        <f>IF($B2764="","",INDEX(Suivi!$G:$G,2817))</f>
        <v/>
      </c>
      <c r="H2764">
        <f>IF(OR($B2764="",NOT(ISNUMBER($D2764))),"",IF($E2764&lt;$D$2,"Passé",IF($D2764&gt;$F$2,"À venir","Dans la période")))</f>
        <v/>
      </c>
      <c r="I2764">
        <f>IF(OR($B2764="",NOT(ISNUMBER($D2764))),"",IF(AND($E2764&lt;$D$2,$G2764&lt;&gt;"X",$F2764&lt;&gt;"Réalisé",$F2764&lt;&gt;"Clôturé"),"RETARD",""))</f>
        <v/>
      </c>
      <c r="J2764" s="29">
        <f>IF($B2764="","",IF(INDEX(Dossiers!$F$4:$F$63,53)="","",INDEX(Dossiers!$F$4:$F$63,53)))</f>
        <v/>
      </c>
      <c r="K2764" s="29">
        <f>IF($B2764="","",IF(INDEX(Dossiers!$G$4:$G$63,53)="","",INDEX(Dossiers!$G$4:$G$63,53)))</f>
        <v/>
      </c>
    </row>
    <row r="2765">
      <c r="A2765">
        <f>IF($B2765="","",INDEX(Dossiers!$E$4:$E$63,53))</f>
        <v/>
      </c>
      <c r="B2765">
        <f>IF(INDEX(Suivi!$B:$B,2818)="","",INDEX(Suivi!$B:$B,2818))</f>
        <v/>
      </c>
      <c r="C2765">
        <f>IF($B2765="","",IF(INDEX(Suivi!$D:$D,2818)="",INDEX(Suivi!$C:$C,2818),INDEX(Suivi!$D:$D,2818)))</f>
        <v/>
      </c>
      <c r="D2765" s="29">
        <f>IF($B2765="","",INDEX(Suivi!$E:$E,2818))</f>
        <v/>
      </c>
      <c r="E2765" s="29">
        <f>IF($B2765="","",INDEX(Suivi!$F:$F,2818))</f>
        <v/>
      </c>
      <c r="F2765">
        <f>IF($B2765="","",INDEX(Suivi!$G:$G,2818))</f>
        <v/>
      </c>
      <c r="H2765">
        <f>IF(OR($B2765="",NOT(ISNUMBER($D2765))),"",IF($E2765&lt;$D$2,"Passé",IF($D2765&gt;$F$2,"À venir","Dans la période")))</f>
        <v/>
      </c>
      <c r="I2765">
        <f>IF(OR($B2765="",NOT(ISNUMBER($D2765))),"",IF(AND($E2765&lt;$D$2,$G2765&lt;&gt;"X",$F2765&lt;&gt;"Réalisé",$F2765&lt;&gt;"Clôturé"),"RETARD",""))</f>
        <v/>
      </c>
      <c r="J2765" s="29">
        <f>IF($B2765="","",IF(INDEX(Dossiers!$F$4:$F$63,53)="","",INDEX(Dossiers!$F$4:$F$63,53)))</f>
        <v/>
      </c>
      <c r="K2765" s="29">
        <f>IF($B2765="","",IF(INDEX(Dossiers!$G$4:$G$63,53)="","",INDEX(Dossiers!$G$4:$G$63,53)))</f>
        <v/>
      </c>
    </row>
    <row r="2766">
      <c r="A2766">
        <f>IF($B2766="","",INDEX(Dossiers!$E$4:$E$63,53))</f>
        <v/>
      </c>
      <c r="B2766">
        <f>IF(INDEX(Suivi!$B:$B,2819)="","",INDEX(Suivi!$B:$B,2819))</f>
        <v/>
      </c>
      <c r="C2766">
        <f>IF($B2766="","",IF(INDEX(Suivi!$D:$D,2819)="",INDEX(Suivi!$C:$C,2819),INDEX(Suivi!$D:$D,2819)))</f>
        <v/>
      </c>
      <c r="D2766" s="29">
        <f>IF($B2766="","",INDEX(Suivi!$E:$E,2819))</f>
        <v/>
      </c>
      <c r="E2766" s="29">
        <f>IF($B2766="","",INDEX(Suivi!$F:$F,2819))</f>
        <v/>
      </c>
      <c r="F2766">
        <f>IF($B2766="","",INDEX(Suivi!$G:$G,2819))</f>
        <v/>
      </c>
      <c r="H2766">
        <f>IF(OR($B2766="",NOT(ISNUMBER($D2766))),"",IF($E2766&lt;$D$2,"Passé",IF($D2766&gt;$F$2,"À venir","Dans la période")))</f>
        <v/>
      </c>
      <c r="I2766">
        <f>IF(OR($B2766="",NOT(ISNUMBER($D2766))),"",IF(AND($E2766&lt;$D$2,$G2766&lt;&gt;"X",$F2766&lt;&gt;"Réalisé",$F2766&lt;&gt;"Clôturé"),"RETARD",""))</f>
        <v/>
      </c>
      <c r="J2766" s="29">
        <f>IF($B2766="","",IF(INDEX(Dossiers!$F$4:$F$63,53)="","",INDEX(Dossiers!$F$4:$F$63,53)))</f>
        <v/>
      </c>
      <c r="K2766" s="29">
        <f>IF($B2766="","",IF(INDEX(Dossiers!$G$4:$G$63,53)="","",INDEX(Dossiers!$G$4:$G$63,53)))</f>
        <v/>
      </c>
    </row>
    <row r="2767">
      <c r="A2767">
        <f>IF($B2767="","",INDEX(Dossiers!$E$4:$E$63,53))</f>
        <v/>
      </c>
      <c r="B2767">
        <f>IF(INDEX(Suivi!$B:$B,2820)="","",INDEX(Suivi!$B:$B,2820))</f>
        <v/>
      </c>
      <c r="C2767">
        <f>IF($B2767="","",IF(INDEX(Suivi!$D:$D,2820)="",INDEX(Suivi!$C:$C,2820),INDEX(Suivi!$D:$D,2820)))</f>
        <v/>
      </c>
      <c r="D2767" s="29">
        <f>IF($B2767="","",INDEX(Suivi!$E:$E,2820))</f>
        <v/>
      </c>
      <c r="E2767" s="29">
        <f>IF($B2767="","",INDEX(Suivi!$F:$F,2820))</f>
        <v/>
      </c>
      <c r="F2767">
        <f>IF($B2767="","",INDEX(Suivi!$G:$G,2820))</f>
        <v/>
      </c>
      <c r="H2767">
        <f>IF(OR($B2767="",NOT(ISNUMBER($D2767))),"",IF($E2767&lt;$D$2,"Passé",IF($D2767&gt;$F$2,"À venir","Dans la période")))</f>
        <v/>
      </c>
      <c r="I2767">
        <f>IF(OR($B2767="",NOT(ISNUMBER($D2767))),"",IF(AND($E2767&lt;$D$2,$G2767&lt;&gt;"X",$F2767&lt;&gt;"Réalisé",$F2767&lt;&gt;"Clôturé"),"RETARD",""))</f>
        <v/>
      </c>
      <c r="J2767" s="29">
        <f>IF($B2767="","",IF(INDEX(Dossiers!$F$4:$F$63,53)="","",INDEX(Dossiers!$F$4:$F$63,53)))</f>
        <v/>
      </c>
      <c r="K2767" s="29">
        <f>IF($B2767="","",IF(INDEX(Dossiers!$G$4:$G$63,53)="","",INDEX(Dossiers!$G$4:$G$63,53)))</f>
        <v/>
      </c>
    </row>
    <row r="2768">
      <c r="A2768">
        <f>IF($B2768="","",INDEX(Dossiers!$E$4:$E$63,53))</f>
        <v/>
      </c>
      <c r="B2768">
        <f>IF(INDEX(Suivi!$B:$B,2821)="","",INDEX(Suivi!$B:$B,2821))</f>
        <v/>
      </c>
      <c r="C2768">
        <f>IF($B2768="","",IF(INDEX(Suivi!$D:$D,2821)="",INDEX(Suivi!$C:$C,2821),INDEX(Suivi!$D:$D,2821)))</f>
        <v/>
      </c>
      <c r="D2768" s="29">
        <f>IF($B2768="","",INDEX(Suivi!$E:$E,2821))</f>
        <v/>
      </c>
      <c r="E2768" s="29">
        <f>IF($B2768="","",INDEX(Suivi!$F:$F,2821))</f>
        <v/>
      </c>
      <c r="F2768">
        <f>IF($B2768="","",INDEX(Suivi!$G:$G,2821))</f>
        <v/>
      </c>
      <c r="H2768">
        <f>IF(OR($B2768="",NOT(ISNUMBER($D2768))),"",IF($E2768&lt;$D$2,"Passé",IF($D2768&gt;$F$2,"À venir","Dans la période")))</f>
        <v/>
      </c>
      <c r="I2768">
        <f>IF(OR($B2768="",NOT(ISNUMBER($D2768))),"",IF(AND($E2768&lt;$D$2,$G2768&lt;&gt;"X",$F2768&lt;&gt;"Réalisé",$F2768&lt;&gt;"Clôturé"),"RETARD",""))</f>
        <v/>
      </c>
      <c r="J2768" s="29">
        <f>IF($B2768="","",IF(INDEX(Dossiers!$F$4:$F$63,53)="","",INDEX(Dossiers!$F$4:$F$63,53)))</f>
        <v/>
      </c>
      <c r="K2768" s="29">
        <f>IF($B2768="","",IF(INDEX(Dossiers!$G$4:$G$63,53)="","",INDEX(Dossiers!$G$4:$G$63,53)))</f>
        <v/>
      </c>
    </row>
    <row r="2769">
      <c r="A2769">
        <f>IF($B2769="","",INDEX(Dossiers!$E$4:$E$63,53))</f>
        <v/>
      </c>
      <c r="B2769">
        <f>IF(INDEX(Suivi!$B:$B,2822)="","",INDEX(Suivi!$B:$B,2822))</f>
        <v/>
      </c>
      <c r="C2769">
        <f>IF($B2769="","",IF(INDEX(Suivi!$D:$D,2822)="",INDEX(Suivi!$C:$C,2822),INDEX(Suivi!$D:$D,2822)))</f>
        <v/>
      </c>
      <c r="D2769" s="29">
        <f>IF($B2769="","",INDEX(Suivi!$E:$E,2822))</f>
        <v/>
      </c>
      <c r="E2769" s="29">
        <f>IF($B2769="","",INDEX(Suivi!$F:$F,2822))</f>
        <v/>
      </c>
      <c r="F2769">
        <f>IF($B2769="","",INDEX(Suivi!$G:$G,2822))</f>
        <v/>
      </c>
      <c r="H2769">
        <f>IF(OR($B2769="",NOT(ISNUMBER($D2769))),"",IF($E2769&lt;$D$2,"Passé",IF($D2769&gt;$F$2,"À venir","Dans la période")))</f>
        <v/>
      </c>
      <c r="I2769">
        <f>IF(OR($B2769="",NOT(ISNUMBER($D2769))),"",IF(AND($E2769&lt;$D$2,$G2769&lt;&gt;"X",$F2769&lt;&gt;"Réalisé",$F2769&lt;&gt;"Clôturé"),"RETARD",""))</f>
        <v/>
      </c>
      <c r="J2769" s="29">
        <f>IF($B2769="","",IF(INDEX(Dossiers!$F$4:$F$63,53)="","",INDEX(Dossiers!$F$4:$F$63,53)))</f>
        <v/>
      </c>
      <c r="K2769" s="29">
        <f>IF($B2769="","",IF(INDEX(Dossiers!$G$4:$G$63,53)="","",INDEX(Dossiers!$G$4:$G$63,53)))</f>
        <v/>
      </c>
    </row>
    <row r="2770">
      <c r="A2770">
        <f>IF($B2770="","",INDEX(Dossiers!$E$4:$E$63,53))</f>
        <v/>
      </c>
      <c r="B2770">
        <f>IF(INDEX(Suivi!$B:$B,2823)="","",INDEX(Suivi!$B:$B,2823))</f>
        <v/>
      </c>
      <c r="C2770">
        <f>IF($B2770="","",IF(INDEX(Suivi!$D:$D,2823)="",INDEX(Suivi!$C:$C,2823),INDEX(Suivi!$D:$D,2823)))</f>
        <v/>
      </c>
      <c r="D2770" s="29">
        <f>IF($B2770="","",INDEX(Suivi!$E:$E,2823))</f>
        <v/>
      </c>
      <c r="E2770" s="29">
        <f>IF($B2770="","",INDEX(Suivi!$F:$F,2823))</f>
        <v/>
      </c>
      <c r="F2770">
        <f>IF($B2770="","",INDEX(Suivi!$G:$G,2823))</f>
        <v/>
      </c>
      <c r="H2770">
        <f>IF(OR($B2770="",NOT(ISNUMBER($D2770))),"",IF($E2770&lt;$D$2,"Passé",IF($D2770&gt;$F$2,"À venir","Dans la période")))</f>
        <v/>
      </c>
      <c r="I2770">
        <f>IF(OR($B2770="",NOT(ISNUMBER($D2770))),"",IF(AND($E2770&lt;$D$2,$G2770&lt;&gt;"X",$F2770&lt;&gt;"Réalisé",$F2770&lt;&gt;"Clôturé"),"RETARD",""))</f>
        <v/>
      </c>
      <c r="J2770" s="29">
        <f>IF($B2770="","",IF(INDEX(Dossiers!$F$4:$F$63,53)="","",INDEX(Dossiers!$F$4:$F$63,53)))</f>
        <v/>
      </c>
      <c r="K2770" s="29">
        <f>IF($B2770="","",IF(INDEX(Dossiers!$G$4:$G$63,53)="","",INDEX(Dossiers!$G$4:$G$63,53)))</f>
        <v/>
      </c>
    </row>
    <row r="2771">
      <c r="A2771">
        <f>IF($B2771="","",INDEX(Dossiers!$E$4:$E$63,53))</f>
        <v/>
      </c>
      <c r="B2771">
        <f>IF(INDEX(Suivi!$B:$B,2824)="","",INDEX(Suivi!$B:$B,2824))</f>
        <v/>
      </c>
      <c r="C2771">
        <f>IF($B2771="","",IF(INDEX(Suivi!$D:$D,2824)="",INDEX(Suivi!$C:$C,2824),INDEX(Suivi!$D:$D,2824)))</f>
        <v/>
      </c>
      <c r="D2771" s="29">
        <f>IF($B2771="","",INDEX(Suivi!$E:$E,2824))</f>
        <v/>
      </c>
      <c r="E2771" s="29">
        <f>IF($B2771="","",INDEX(Suivi!$F:$F,2824))</f>
        <v/>
      </c>
      <c r="F2771">
        <f>IF($B2771="","",INDEX(Suivi!$G:$G,2824))</f>
        <v/>
      </c>
      <c r="H2771">
        <f>IF(OR($B2771="",NOT(ISNUMBER($D2771))),"",IF($E2771&lt;$D$2,"Passé",IF($D2771&gt;$F$2,"À venir","Dans la période")))</f>
        <v/>
      </c>
      <c r="I2771">
        <f>IF(OR($B2771="",NOT(ISNUMBER($D2771))),"",IF(AND($E2771&lt;$D$2,$G2771&lt;&gt;"X",$F2771&lt;&gt;"Réalisé",$F2771&lt;&gt;"Clôturé"),"RETARD",""))</f>
        <v/>
      </c>
      <c r="J2771" s="29">
        <f>IF($B2771="","",IF(INDEX(Dossiers!$F$4:$F$63,53)="","",INDEX(Dossiers!$F$4:$F$63,53)))</f>
        <v/>
      </c>
      <c r="K2771" s="29">
        <f>IF($B2771="","",IF(INDEX(Dossiers!$G$4:$G$63,53)="","",INDEX(Dossiers!$G$4:$G$63,53)))</f>
        <v/>
      </c>
    </row>
    <row r="2772">
      <c r="A2772">
        <f>IF($B2772="","",INDEX(Dossiers!$E$4:$E$63,53))</f>
        <v/>
      </c>
      <c r="B2772">
        <f>IF(INDEX(Suivi!$B:$B,2825)="","",INDEX(Suivi!$B:$B,2825))</f>
        <v/>
      </c>
      <c r="C2772">
        <f>IF($B2772="","",IF(INDEX(Suivi!$D:$D,2825)="",INDEX(Suivi!$C:$C,2825),INDEX(Suivi!$D:$D,2825)))</f>
        <v/>
      </c>
      <c r="D2772" s="29">
        <f>IF($B2772="","",INDEX(Suivi!$E:$E,2825))</f>
        <v/>
      </c>
      <c r="E2772" s="29">
        <f>IF($B2772="","",INDEX(Suivi!$F:$F,2825))</f>
        <v/>
      </c>
      <c r="F2772">
        <f>IF($B2772="","",INDEX(Suivi!$G:$G,2825))</f>
        <v/>
      </c>
      <c r="H2772">
        <f>IF(OR($B2772="",NOT(ISNUMBER($D2772))),"",IF($E2772&lt;$D$2,"Passé",IF($D2772&gt;$F$2,"À venir","Dans la période")))</f>
        <v/>
      </c>
      <c r="I2772">
        <f>IF(OR($B2772="",NOT(ISNUMBER($D2772))),"",IF(AND($E2772&lt;$D$2,$G2772&lt;&gt;"X",$F2772&lt;&gt;"Réalisé",$F2772&lt;&gt;"Clôturé"),"RETARD",""))</f>
        <v/>
      </c>
      <c r="J2772" s="29">
        <f>IF($B2772="","",IF(INDEX(Dossiers!$F$4:$F$63,53)="","",INDEX(Dossiers!$F$4:$F$63,53)))</f>
        <v/>
      </c>
      <c r="K2772" s="29">
        <f>IF($B2772="","",IF(INDEX(Dossiers!$G$4:$G$63,53)="","",INDEX(Dossiers!$G$4:$G$63,53)))</f>
        <v/>
      </c>
    </row>
    <row r="2773">
      <c r="A2773">
        <f>IF($B2773="","",INDEX(Dossiers!$E$4:$E$63,53))</f>
        <v/>
      </c>
      <c r="B2773">
        <f>IF(INDEX(Suivi!$B:$B,2826)="","",INDEX(Suivi!$B:$B,2826))</f>
        <v/>
      </c>
      <c r="C2773">
        <f>IF($B2773="","",IF(INDEX(Suivi!$D:$D,2826)="",INDEX(Suivi!$C:$C,2826),INDEX(Suivi!$D:$D,2826)))</f>
        <v/>
      </c>
      <c r="D2773" s="29">
        <f>IF($B2773="","",INDEX(Suivi!$E:$E,2826))</f>
        <v/>
      </c>
      <c r="E2773" s="29">
        <f>IF($B2773="","",INDEX(Suivi!$F:$F,2826))</f>
        <v/>
      </c>
      <c r="F2773">
        <f>IF($B2773="","",INDEX(Suivi!$G:$G,2826))</f>
        <v/>
      </c>
      <c r="H2773">
        <f>IF(OR($B2773="",NOT(ISNUMBER($D2773))),"",IF($E2773&lt;$D$2,"Passé",IF($D2773&gt;$F$2,"À venir","Dans la période")))</f>
        <v/>
      </c>
      <c r="I2773">
        <f>IF(OR($B2773="",NOT(ISNUMBER($D2773))),"",IF(AND($E2773&lt;$D$2,$G2773&lt;&gt;"X",$F2773&lt;&gt;"Réalisé",$F2773&lt;&gt;"Clôturé"),"RETARD",""))</f>
        <v/>
      </c>
      <c r="J2773" s="29">
        <f>IF($B2773="","",IF(INDEX(Dossiers!$F$4:$F$63,53)="","",INDEX(Dossiers!$F$4:$F$63,53)))</f>
        <v/>
      </c>
      <c r="K2773" s="29">
        <f>IF($B2773="","",IF(INDEX(Dossiers!$G$4:$G$63,53)="","",INDEX(Dossiers!$G$4:$G$63,53)))</f>
        <v/>
      </c>
    </row>
    <row r="2774">
      <c r="A2774">
        <f>IF($B2774="","",INDEX(Dossiers!$E$4:$E$63,53))</f>
        <v/>
      </c>
      <c r="B2774">
        <f>IF(INDEX(Suivi!$B:$B,2827)="","",INDEX(Suivi!$B:$B,2827))</f>
        <v/>
      </c>
      <c r="C2774">
        <f>IF($B2774="","",IF(INDEX(Suivi!$D:$D,2827)="",INDEX(Suivi!$C:$C,2827),INDEX(Suivi!$D:$D,2827)))</f>
        <v/>
      </c>
      <c r="D2774" s="29">
        <f>IF($B2774="","",INDEX(Suivi!$E:$E,2827))</f>
        <v/>
      </c>
      <c r="E2774" s="29">
        <f>IF($B2774="","",INDEX(Suivi!$F:$F,2827))</f>
        <v/>
      </c>
      <c r="F2774">
        <f>IF($B2774="","",INDEX(Suivi!$G:$G,2827))</f>
        <v/>
      </c>
      <c r="H2774">
        <f>IF(OR($B2774="",NOT(ISNUMBER($D2774))),"",IF($E2774&lt;$D$2,"Passé",IF($D2774&gt;$F$2,"À venir","Dans la période")))</f>
        <v/>
      </c>
      <c r="I2774">
        <f>IF(OR($B2774="",NOT(ISNUMBER($D2774))),"",IF(AND($E2774&lt;$D$2,$G2774&lt;&gt;"X",$F2774&lt;&gt;"Réalisé",$F2774&lt;&gt;"Clôturé"),"RETARD",""))</f>
        <v/>
      </c>
      <c r="J2774" s="29">
        <f>IF($B2774="","",IF(INDEX(Dossiers!$F$4:$F$63,53)="","",INDEX(Dossiers!$F$4:$F$63,53)))</f>
        <v/>
      </c>
      <c r="K2774" s="29">
        <f>IF($B2774="","",IF(INDEX(Dossiers!$G$4:$G$63,53)="","",INDEX(Dossiers!$G$4:$G$63,53)))</f>
        <v/>
      </c>
    </row>
    <row r="2775">
      <c r="A2775">
        <f>IF($B2775="","",INDEX(Dossiers!$E$4:$E$63,53))</f>
        <v/>
      </c>
      <c r="B2775">
        <f>IF(INDEX(Suivi!$B:$B,2828)="","",INDEX(Suivi!$B:$B,2828))</f>
        <v/>
      </c>
      <c r="C2775">
        <f>IF($B2775="","",IF(INDEX(Suivi!$D:$D,2828)="",INDEX(Suivi!$C:$C,2828),INDEX(Suivi!$D:$D,2828)))</f>
        <v/>
      </c>
      <c r="D2775" s="29">
        <f>IF($B2775="","",INDEX(Suivi!$E:$E,2828))</f>
        <v/>
      </c>
      <c r="E2775" s="29">
        <f>IF($B2775="","",INDEX(Suivi!$F:$F,2828))</f>
        <v/>
      </c>
      <c r="F2775">
        <f>IF($B2775="","",INDEX(Suivi!$G:$G,2828))</f>
        <v/>
      </c>
      <c r="H2775">
        <f>IF(OR($B2775="",NOT(ISNUMBER($D2775))),"",IF($E2775&lt;$D$2,"Passé",IF($D2775&gt;$F$2,"À venir","Dans la période")))</f>
        <v/>
      </c>
      <c r="I2775">
        <f>IF(OR($B2775="",NOT(ISNUMBER($D2775))),"",IF(AND($E2775&lt;$D$2,$G2775&lt;&gt;"X",$F2775&lt;&gt;"Réalisé",$F2775&lt;&gt;"Clôturé"),"RETARD",""))</f>
        <v/>
      </c>
      <c r="J2775" s="29">
        <f>IF($B2775="","",IF(INDEX(Dossiers!$F$4:$F$63,53)="","",INDEX(Dossiers!$F$4:$F$63,53)))</f>
        <v/>
      </c>
      <c r="K2775" s="29">
        <f>IF($B2775="","",IF(INDEX(Dossiers!$G$4:$G$63,53)="","",INDEX(Dossiers!$G$4:$G$63,53)))</f>
        <v/>
      </c>
    </row>
    <row r="2776">
      <c r="A2776">
        <f>IF($B2776="","",INDEX(Dossiers!$E$4:$E$63,53))</f>
        <v/>
      </c>
      <c r="B2776">
        <f>IF(INDEX(Suivi!$B:$B,2829)="","",INDEX(Suivi!$B:$B,2829))</f>
        <v/>
      </c>
      <c r="C2776">
        <f>IF($B2776="","",IF(INDEX(Suivi!$D:$D,2829)="",INDEX(Suivi!$C:$C,2829),INDEX(Suivi!$D:$D,2829)))</f>
        <v/>
      </c>
      <c r="D2776" s="29">
        <f>IF($B2776="","",INDEX(Suivi!$E:$E,2829))</f>
        <v/>
      </c>
      <c r="E2776" s="29">
        <f>IF($B2776="","",INDEX(Suivi!$F:$F,2829))</f>
        <v/>
      </c>
      <c r="F2776">
        <f>IF($B2776="","",INDEX(Suivi!$G:$G,2829))</f>
        <v/>
      </c>
      <c r="H2776">
        <f>IF(OR($B2776="",NOT(ISNUMBER($D2776))),"",IF($E2776&lt;$D$2,"Passé",IF($D2776&gt;$F$2,"À venir","Dans la période")))</f>
        <v/>
      </c>
      <c r="I2776">
        <f>IF(OR($B2776="",NOT(ISNUMBER($D2776))),"",IF(AND($E2776&lt;$D$2,$G2776&lt;&gt;"X",$F2776&lt;&gt;"Réalisé",$F2776&lt;&gt;"Clôturé"),"RETARD",""))</f>
        <v/>
      </c>
      <c r="J2776" s="29">
        <f>IF($B2776="","",IF(INDEX(Dossiers!$F$4:$F$63,53)="","",INDEX(Dossiers!$F$4:$F$63,53)))</f>
        <v/>
      </c>
      <c r="K2776" s="29">
        <f>IF($B2776="","",IF(INDEX(Dossiers!$G$4:$G$63,53)="","",INDEX(Dossiers!$G$4:$G$63,53)))</f>
        <v/>
      </c>
    </row>
    <row r="2777">
      <c r="A2777">
        <f>IF($B2777="","",INDEX(Dossiers!$E$4:$E$63,53))</f>
        <v/>
      </c>
      <c r="B2777">
        <f>IF(INDEX(Suivi!$B:$B,2830)="","",INDEX(Suivi!$B:$B,2830))</f>
        <v/>
      </c>
      <c r="C2777">
        <f>IF($B2777="","",IF(INDEX(Suivi!$D:$D,2830)="",INDEX(Suivi!$C:$C,2830),INDEX(Suivi!$D:$D,2830)))</f>
        <v/>
      </c>
      <c r="D2777" s="29">
        <f>IF($B2777="","",INDEX(Suivi!$E:$E,2830))</f>
        <v/>
      </c>
      <c r="E2777" s="29">
        <f>IF($B2777="","",INDEX(Suivi!$F:$F,2830))</f>
        <v/>
      </c>
      <c r="F2777">
        <f>IF($B2777="","",INDEX(Suivi!$G:$G,2830))</f>
        <v/>
      </c>
      <c r="H2777">
        <f>IF(OR($B2777="",NOT(ISNUMBER($D2777))),"",IF($E2777&lt;$D$2,"Passé",IF($D2777&gt;$F$2,"À venir","Dans la période")))</f>
        <v/>
      </c>
      <c r="I2777">
        <f>IF(OR($B2777="",NOT(ISNUMBER($D2777))),"",IF(AND($E2777&lt;$D$2,$G2777&lt;&gt;"X",$F2777&lt;&gt;"Réalisé",$F2777&lt;&gt;"Clôturé"),"RETARD",""))</f>
        <v/>
      </c>
      <c r="J2777" s="29">
        <f>IF($B2777="","",IF(INDEX(Dossiers!$F$4:$F$63,53)="","",INDEX(Dossiers!$F$4:$F$63,53)))</f>
        <v/>
      </c>
      <c r="K2777" s="29">
        <f>IF($B2777="","",IF(INDEX(Dossiers!$G$4:$G$63,53)="","",INDEX(Dossiers!$G$4:$G$63,53)))</f>
        <v/>
      </c>
    </row>
    <row r="2778">
      <c r="A2778">
        <f>IF($B2778="","",INDEX(Dossiers!$E$4:$E$63,53))</f>
        <v/>
      </c>
      <c r="B2778">
        <f>IF(INDEX(Suivi!$B:$B,2831)="","",INDEX(Suivi!$B:$B,2831))</f>
        <v/>
      </c>
      <c r="C2778">
        <f>IF($B2778="","",IF(INDEX(Suivi!$D:$D,2831)="",INDEX(Suivi!$C:$C,2831),INDEX(Suivi!$D:$D,2831)))</f>
        <v/>
      </c>
      <c r="D2778" s="29">
        <f>IF($B2778="","",INDEX(Suivi!$E:$E,2831))</f>
        <v/>
      </c>
      <c r="E2778" s="29">
        <f>IF($B2778="","",INDEX(Suivi!$F:$F,2831))</f>
        <v/>
      </c>
      <c r="F2778">
        <f>IF($B2778="","",INDEX(Suivi!$G:$G,2831))</f>
        <v/>
      </c>
      <c r="H2778">
        <f>IF(OR($B2778="",NOT(ISNUMBER($D2778))),"",IF($E2778&lt;$D$2,"Passé",IF($D2778&gt;$F$2,"À venir","Dans la période")))</f>
        <v/>
      </c>
      <c r="I2778">
        <f>IF(OR($B2778="",NOT(ISNUMBER($D2778))),"",IF(AND($E2778&lt;$D$2,$G2778&lt;&gt;"X",$F2778&lt;&gt;"Réalisé",$F2778&lt;&gt;"Clôturé"),"RETARD",""))</f>
        <v/>
      </c>
      <c r="J2778" s="29">
        <f>IF($B2778="","",IF(INDEX(Dossiers!$F$4:$F$63,53)="","",INDEX(Dossiers!$F$4:$F$63,53)))</f>
        <v/>
      </c>
      <c r="K2778" s="29">
        <f>IF($B2778="","",IF(INDEX(Dossiers!$G$4:$G$63,53)="","",INDEX(Dossiers!$G$4:$G$63,53)))</f>
        <v/>
      </c>
    </row>
    <row r="2779">
      <c r="A2779">
        <f>IF($B2779="","",INDEX(Dossiers!$E$4:$E$63,53))</f>
        <v/>
      </c>
      <c r="B2779">
        <f>IF(INDEX(Suivi!$B:$B,2832)="","",INDEX(Suivi!$B:$B,2832))</f>
        <v/>
      </c>
      <c r="C2779">
        <f>IF($B2779="","",IF(INDEX(Suivi!$D:$D,2832)="",INDEX(Suivi!$C:$C,2832),INDEX(Suivi!$D:$D,2832)))</f>
        <v/>
      </c>
      <c r="D2779" s="29">
        <f>IF($B2779="","",INDEX(Suivi!$E:$E,2832))</f>
        <v/>
      </c>
      <c r="E2779" s="29">
        <f>IF($B2779="","",INDEX(Suivi!$F:$F,2832))</f>
        <v/>
      </c>
      <c r="F2779">
        <f>IF($B2779="","",INDEX(Suivi!$G:$G,2832))</f>
        <v/>
      </c>
      <c r="H2779">
        <f>IF(OR($B2779="",NOT(ISNUMBER($D2779))),"",IF($E2779&lt;$D$2,"Passé",IF($D2779&gt;$F$2,"À venir","Dans la période")))</f>
        <v/>
      </c>
      <c r="I2779">
        <f>IF(OR($B2779="",NOT(ISNUMBER($D2779))),"",IF(AND($E2779&lt;$D$2,$G2779&lt;&gt;"X",$F2779&lt;&gt;"Réalisé",$F2779&lt;&gt;"Clôturé"),"RETARD",""))</f>
        <v/>
      </c>
      <c r="J2779" s="29">
        <f>IF($B2779="","",IF(INDEX(Dossiers!$F$4:$F$63,53)="","",INDEX(Dossiers!$F$4:$F$63,53)))</f>
        <v/>
      </c>
      <c r="K2779" s="29">
        <f>IF($B2779="","",IF(INDEX(Dossiers!$G$4:$G$63,53)="","",INDEX(Dossiers!$G$4:$G$63,53)))</f>
        <v/>
      </c>
    </row>
    <row r="2780">
      <c r="A2780">
        <f>IF($B2780="","",INDEX(Dossiers!$E$4:$E$63,53))</f>
        <v/>
      </c>
      <c r="B2780">
        <f>IF(INDEX(Suivi!$B:$B,2833)="","",INDEX(Suivi!$B:$B,2833))</f>
        <v/>
      </c>
      <c r="C2780">
        <f>IF($B2780="","",IF(INDEX(Suivi!$D:$D,2833)="",INDEX(Suivi!$C:$C,2833),INDEX(Suivi!$D:$D,2833)))</f>
        <v/>
      </c>
      <c r="D2780" s="29">
        <f>IF($B2780="","",INDEX(Suivi!$E:$E,2833))</f>
        <v/>
      </c>
      <c r="E2780" s="29">
        <f>IF($B2780="","",INDEX(Suivi!$F:$F,2833))</f>
        <v/>
      </c>
      <c r="F2780">
        <f>IF($B2780="","",INDEX(Suivi!$G:$G,2833))</f>
        <v/>
      </c>
      <c r="H2780">
        <f>IF(OR($B2780="",NOT(ISNUMBER($D2780))),"",IF($E2780&lt;$D$2,"Passé",IF($D2780&gt;$F$2,"À venir","Dans la période")))</f>
        <v/>
      </c>
      <c r="I2780">
        <f>IF(OR($B2780="",NOT(ISNUMBER($D2780))),"",IF(AND($E2780&lt;$D$2,$G2780&lt;&gt;"X",$F2780&lt;&gt;"Réalisé",$F2780&lt;&gt;"Clôturé"),"RETARD",""))</f>
        <v/>
      </c>
      <c r="J2780" s="29">
        <f>IF($B2780="","",IF(INDEX(Dossiers!$F$4:$F$63,53)="","",INDEX(Dossiers!$F$4:$F$63,53)))</f>
        <v/>
      </c>
      <c r="K2780" s="29">
        <f>IF($B2780="","",IF(INDEX(Dossiers!$G$4:$G$63,53)="","",INDEX(Dossiers!$G$4:$G$63,53)))</f>
        <v/>
      </c>
    </row>
    <row r="2781">
      <c r="A2781">
        <f>IF($B2781="","",INDEX(Dossiers!$E$4:$E$63,53))</f>
        <v/>
      </c>
      <c r="B2781">
        <f>IF(INDEX(Suivi!$B:$B,2834)="","",INDEX(Suivi!$B:$B,2834))</f>
        <v/>
      </c>
      <c r="C2781">
        <f>IF($B2781="","",IF(INDEX(Suivi!$D:$D,2834)="",INDEX(Suivi!$C:$C,2834),INDEX(Suivi!$D:$D,2834)))</f>
        <v/>
      </c>
      <c r="D2781" s="29">
        <f>IF($B2781="","",INDEX(Suivi!$E:$E,2834))</f>
        <v/>
      </c>
      <c r="E2781" s="29">
        <f>IF($B2781="","",INDEX(Suivi!$F:$F,2834))</f>
        <v/>
      </c>
      <c r="F2781">
        <f>IF($B2781="","",INDEX(Suivi!$G:$G,2834))</f>
        <v/>
      </c>
      <c r="H2781">
        <f>IF(OR($B2781="",NOT(ISNUMBER($D2781))),"",IF($E2781&lt;$D$2,"Passé",IF($D2781&gt;$F$2,"À venir","Dans la période")))</f>
        <v/>
      </c>
      <c r="I2781">
        <f>IF(OR($B2781="",NOT(ISNUMBER($D2781))),"",IF(AND($E2781&lt;$D$2,$G2781&lt;&gt;"X",$F2781&lt;&gt;"Réalisé",$F2781&lt;&gt;"Clôturé"),"RETARD",""))</f>
        <v/>
      </c>
      <c r="J2781" s="29">
        <f>IF($B2781="","",IF(INDEX(Dossiers!$F$4:$F$63,53)="","",INDEX(Dossiers!$F$4:$F$63,53)))</f>
        <v/>
      </c>
      <c r="K2781" s="29">
        <f>IF($B2781="","",IF(INDEX(Dossiers!$G$4:$G$63,53)="","",INDEX(Dossiers!$G$4:$G$63,53)))</f>
        <v/>
      </c>
    </row>
    <row r="2782">
      <c r="A2782">
        <f>IF($B2782="","",INDEX(Dossiers!$E$4:$E$63,53))</f>
        <v/>
      </c>
      <c r="B2782">
        <f>IF(INDEX(Suivi!$B:$B,2835)="","",INDEX(Suivi!$B:$B,2835))</f>
        <v/>
      </c>
      <c r="C2782">
        <f>IF($B2782="","",IF(INDEX(Suivi!$D:$D,2835)="",INDEX(Suivi!$C:$C,2835),INDEX(Suivi!$D:$D,2835)))</f>
        <v/>
      </c>
      <c r="D2782" s="29">
        <f>IF($B2782="","",INDEX(Suivi!$E:$E,2835))</f>
        <v/>
      </c>
      <c r="E2782" s="29">
        <f>IF($B2782="","",INDEX(Suivi!$F:$F,2835))</f>
        <v/>
      </c>
      <c r="F2782">
        <f>IF($B2782="","",INDEX(Suivi!$G:$G,2835))</f>
        <v/>
      </c>
      <c r="H2782">
        <f>IF(OR($B2782="",NOT(ISNUMBER($D2782))),"",IF($E2782&lt;$D$2,"Passé",IF($D2782&gt;$F$2,"À venir","Dans la période")))</f>
        <v/>
      </c>
      <c r="I2782">
        <f>IF(OR($B2782="",NOT(ISNUMBER($D2782))),"",IF(AND($E2782&lt;$D$2,$G2782&lt;&gt;"X",$F2782&lt;&gt;"Réalisé",$F2782&lt;&gt;"Clôturé"),"RETARD",""))</f>
        <v/>
      </c>
      <c r="J2782" s="29">
        <f>IF($B2782="","",IF(INDEX(Dossiers!$F$4:$F$63,53)="","",INDEX(Dossiers!$F$4:$F$63,53)))</f>
        <v/>
      </c>
      <c r="K2782" s="29">
        <f>IF($B2782="","",IF(INDEX(Dossiers!$G$4:$G$63,53)="","",INDEX(Dossiers!$G$4:$G$63,53)))</f>
        <v/>
      </c>
    </row>
    <row r="2783">
      <c r="A2783">
        <f>IF($B2783="","",INDEX(Dossiers!$E$4:$E$63,53))</f>
        <v/>
      </c>
      <c r="B2783">
        <f>IF(INDEX(Suivi!$B:$B,2836)="","",INDEX(Suivi!$B:$B,2836))</f>
        <v/>
      </c>
      <c r="C2783">
        <f>IF($B2783="","",IF(INDEX(Suivi!$D:$D,2836)="",INDEX(Suivi!$C:$C,2836),INDEX(Suivi!$D:$D,2836)))</f>
        <v/>
      </c>
      <c r="D2783" s="29">
        <f>IF($B2783="","",INDEX(Suivi!$E:$E,2836))</f>
        <v/>
      </c>
      <c r="E2783" s="29">
        <f>IF($B2783="","",INDEX(Suivi!$F:$F,2836))</f>
        <v/>
      </c>
      <c r="F2783">
        <f>IF($B2783="","",INDEX(Suivi!$G:$G,2836))</f>
        <v/>
      </c>
      <c r="H2783">
        <f>IF(OR($B2783="",NOT(ISNUMBER($D2783))),"",IF($E2783&lt;$D$2,"Passé",IF($D2783&gt;$F$2,"À venir","Dans la période")))</f>
        <v/>
      </c>
      <c r="I2783">
        <f>IF(OR($B2783="",NOT(ISNUMBER($D2783))),"",IF(AND($E2783&lt;$D$2,$G2783&lt;&gt;"X",$F2783&lt;&gt;"Réalisé",$F2783&lt;&gt;"Clôturé"),"RETARD",""))</f>
        <v/>
      </c>
      <c r="J2783" s="29">
        <f>IF($B2783="","",IF(INDEX(Dossiers!$F$4:$F$63,53)="","",INDEX(Dossiers!$F$4:$F$63,53)))</f>
        <v/>
      </c>
      <c r="K2783" s="29">
        <f>IF($B2783="","",IF(INDEX(Dossiers!$G$4:$G$63,53)="","",INDEX(Dossiers!$G$4:$G$63,53)))</f>
        <v/>
      </c>
    </row>
    <row r="2784">
      <c r="A2784">
        <f>IF($B2784="","",INDEX(Dossiers!$E$4:$E$63,53))</f>
        <v/>
      </c>
      <c r="B2784">
        <f>IF(INDEX(Suivi!$B:$B,2837)="","",INDEX(Suivi!$B:$B,2837))</f>
        <v/>
      </c>
      <c r="C2784">
        <f>IF($B2784="","",IF(INDEX(Suivi!$D:$D,2837)="",INDEX(Suivi!$C:$C,2837),INDEX(Suivi!$D:$D,2837)))</f>
        <v/>
      </c>
      <c r="D2784" s="29">
        <f>IF($B2784="","",INDEX(Suivi!$E:$E,2837))</f>
        <v/>
      </c>
      <c r="E2784" s="29">
        <f>IF($B2784="","",INDEX(Suivi!$F:$F,2837))</f>
        <v/>
      </c>
      <c r="F2784">
        <f>IF($B2784="","",INDEX(Suivi!$G:$G,2837))</f>
        <v/>
      </c>
      <c r="H2784">
        <f>IF(OR($B2784="",NOT(ISNUMBER($D2784))),"",IF($E2784&lt;$D$2,"Passé",IF($D2784&gt;$F$2,"À venir","Dans la période")))</f>
        <v/>
      </c>
      <c r="I2784">
        <f>IF(OR($B2784="",NOT(ISNUMBER($D2784))),"",IF(AND($E2784&lt;$D$2,$G2784&lt;&gt;"X",$F2784&lt;&gt;"Réalisé",$F2784&lt;&gt;"Clôturé"),"RETARD",""))</f>
        <v/>
      </c>
      <c r="J2784" s="29">
        <f>IF($B2784="","",IF(INDEX(Dossiers!$F$4:$F$63,53)="","",INDEX(Dossiers!$F$4:$F$63,53)))</f>
        <v/>
      </c>
      <c r="K2784" s="29">
        <f>IF($B2784="","",IF(INDEX(Dossiers!$G$4:$G$63,53)="","",INDEX(Dossiers!$G$4:$G$63,53)))</f>
        <v/>
      </c>
    </row>
    <row r="2785">
      <c r="A2785">
        <f>IF($B2785="","",INDEX(Dossiers!$E$4:$E$63,53))</f>
        <v/>
      </c>
      <c r="B2785">
        <f>IF(INDEX(Suivi!$B:$B,2838)="","",INDEX(Suivi!$B:$B,2838))</f>
        <v/>
      </c>
      <c r="C2785">
        <f>IF($B2785="","",IF(INDEX(Suivi!$D:$D,2838)="",INDEX(Suivi!$C:$C,2838),INDEX(Suivi!$D:$D,2838)))</f>
        <v/>
      </c>
      <c r="D2785" s="29">
        <f>IF($B2785="","",INDEX(Suivi!$E:$E,2838))</f>
        <v/>
      </c>
      <c r="E2785" s="29">
        <f>IF($B2785="","",INDEX(Suivi!$F:$F,2838))</f>
        <v/>
      </c>
      <c r="F2785">
        <f>IF($B2785="","",INDEX(Suivi!$G:$G,2838))</f>
        <v/>
      </c>
      <c r="H2785">
        <f>IF(OR($B2785="",NOT(ISNUMBER($D2785))),"",IF($E2785&lt;$D$2,"Passé",IF($D2785&gt;$F$2,"À venir","Dans la période")))</f>
        <v/>
      </c>
      <c r="I2785">
        <f>IF(OR($B2785="",NOT(ISNUMBER($D2785))),"",IF(AND($E2785&lt;$D$2,$G2785&lt;&gt;"X",$F2785&lt;&gt;"Réalisé",$F2785&lt;&gt;"Clôturé"),"RETARD",""))</f>
        <v/>
      </c>
      <c r="J2785" s="29">
        <f>IF($B2785="","",IF(INDEX(Dossiers!$F$4:$F$63,53)="","",INDEX(Dossiers!$F$4:$F$63,53)))</f>
        <v/>
      </c>
      <c r="K2785" s="29">
        <f>IF($B2785="","",IF(INDEX(Dossiers!$G$4:$G$63,53)="","",INDEX(Dossiers!$G$4:$G$63,53)))</f>
        <v/>
      </c>
    </row>
    <row r="2786">
      <c r="A2786">
        <f>IF($B2786="","",INDEX(Dossiers!$E$4:$E$63,53))</f>
        <v/>
      </c>
      <c r="B2786">
        <f>IF(INDEX(Suivi!$B:$B,2839)="","",INDEX(Suivi!$B:$B,2839))</f>
        <v/>
      </c>
      <c r="C2786">
        <f>IF($B2786="","",IF(INDEX(Suivi!$D:$D,2839)="",INDEX(Suivi!$C:$C,2839),INDEX(Suivi!$D:$D,2839)))</f>
        <v/>
      </c>
      <c r="D2786" s="29">
        <f>IF($B2786="","",INDEX(Suivi!$E:$E,2839))</f>
        <v/>
      </c>
      <c r="E2786" s="29">
        <f>IF($B2786="","",INDEX(Suivi!$F:$F,2839))</f>
        <v/>
      </c>
      <c r="F2786">
        <f>IF($B2786="","",INDEX(Suivi!$G:$G,2839))</f>
        <v/>
      </c>
      <c r="H2786">
        <f>IF(OR($B2786="",NOT(ISNUMBER($D2786))),"",IF($E2786&lt;$D$2,"Passé",IF($D2786&gt;$F$2,"À venir","Dans la période")))</f>
        <v/>
      </c>
      <c r="I2786">
        <f>IF(OR($B2786="",NOT(ISNUMBER($D2786))),"",IF(AND($E2786&lt;$D$2,$G2786&lt;&gt;"X",$F2786&lt;&gt;"Réalisé",$F2786&lt;&gt;"Clôturé"),"RETARD",""))</f>
        <v/>
      </c>
      <c r="J2786" s="29">
        <f>IF($B2786="","",IF(INDEX(Dossiers!$F$4:$F$63,53)="","",INDEX(Dossiers!$F$4:$F$63,53)))</f>
        <v/>
      </c>
      <c r="K2786" s="29">
        <f>IF($B2786="","",IF(INDEX(Dossiers!$G$4:$G$63,53)="","",INDEX(Dossiers!$G$4:$G$63,53)))</f>
        <v/>
      </c>
    </row>
    <row r="2787">
      <c r="A2787">
        <f>IF($B2787="","",INDEX(Dossiers!$E$4:$E$63,53))</f>
        <v/>
      </c>
      <c r="B2787">
        <f>IF(INDEX(Suivi!$B:$B,2840)="","",INDEX(Suivi!$B:$B,2840))</f>
        <v/>
      </c>
      <c r="C2787">
        <f>IF($B2787="","",IF(INDEX(Suivi!$D:$D,2840)="",INDEX(Suivi!$C:$C,2840),INDEX(Suivi!$D:$D,2840)))</f>
        <v/>
      </c>
      <c r="D2787" s="29">
        <f>IF($B2787="","",INDEX(Suivi!$E:$E,2840))</f>
        <v/>
      </c>
      <c r="E2787" s="29">
        <f>IF($B2787="","",INDEX(Suivi!$F:$F,2840))</f>
        <v/>
      </c>
      <c r="F2787">
        <f>IF($B2787="","",INDEX(Suivi!$G:$G,2840))</f>
        <v/>
      </c>
      <c r="H2787">
        <f>IF(OR($B2787="",NOT(ISNUMBER($D2787))),"",IF($E2787&lt;$D$2,"Passé",IF($D2787&gt;$F$2,"À venir","Dans la période")))</f>
        <v/>
      </c>
      <c r="I2787">
        <f>IF(OR($B2787="",NOT(ISNUMBER($D2787))),"",IF(AND($E2787&lt;$D$2,$G2787&lt;&gt;"X",$F2787&lt;&gt;"Réalisé",$F2787&lt;&gt;"Clôturé"),"RETARD",""))</f>
        <v/>
      </c>
      <c r="J2787" s="29">
        <f>IF($B2787="","",IF(INDEX(Dossiers!$F$4:$F$63,53)="","",INDEX(Dossiers!$F$4:$F$63,53)))</f>
        <v/>
      </c>
      <c r="K2787" s="29">
        <f>IF($B2787="","",IF(INDEX(Dossiers!$G$4:$G$63,53)="","",INDEX(Dossiers!$G$4:$G$63,53)))</f>
        <v/>
      </c>
    </row>
    <row r="2788">
      <c r="A2788">
        <f>IF($B2788="","",INDEX(Dossiers!$E$4:$E$63,53))</f>
        <v/>
      </c>
      <c r="B2788">
        <f>IF(INDEX(Suivi!$B:$B,2841)="","",INDEX(Suivi!$B:$B,2841))</f>
        <v/>
      </c>
      <c r="C2788">
        <f>IF($B2788="","",IF(INDEX(Suivi!$D:$D,2841)="",INDEX(Suivi!$C:$C,2841),INDEX(Suivi!$D:$D,2841)))</f>
        <v/>
      </c>
      <c r="D2788" s="29">
        <f>IF($B2788="","",INDEX(Suivi!$E:$E,2841))</f>
        <v/>
      </c>
      <c r="E2788" s="29">
        <f>IF($B2788="","",INDEX(Suivi!$F:$F,2841))</f>
        <v/>
      </c>
      <c r="F2788">
        <f>IF($B2788="","",INDEX(Suivi!$G:$G,2841))</f>
        <v/>
      </c>
      <c r="H2788">
        <f>IF(OR($B2788="",NOT(ISNUMBER($D2788))),"",IF($E2788&lt;$D$2,"Passé",IF($D2788&gt;$F$2,"À venir","Dans la période")))</f>
        <v/>
      </c>
      <c r="I2788">
        <f>IF(OR($B2788="",NOT(ISNUMBER($D2788))),"",IF(AND($E2788&lt;$D$2,$G2788&lt;&gt;"X",$F2788&lt;&gt;"Réalisé",$F2788&lt;&gt;"Clôturé"),"RETARD",""))</f>
        <v/>
      </c>
      <c r="J2788" s="29">
        <f>IF($B2788="","",IF(INDEX(Dossiers!$F$4:$F$63,53)="","",INDEX(Dossiers!$F$4:$F$63,53)))</f>
        <v/>
      </c>
      <c r="K2788" s="29">
        <f>IF($B2788="","",IF(INDEX(Dossiers!$G$4:$G$63,53)="","",INDEX(Dossiers!$G$4:$G$63,53)))</f>
        <v/>
      </c>
    </row>
    <row r="2789">
      <c r="A2789">
        <f>IF($B2789="","",INDEX(Dossiers!$E$4:$E$63,53))</f>
        <v/>
      </c>
      <c r="B2789">
        <f>IF(INDEX(Suivi!$B:$B,2842)="","",INDEX(Suivi!$B:$B,2842))</f>
        <v/>
      </c>
      <c r="C2789">
        <f>IF($B2789="","",IF(INDEX(Suivi!$D:$D,2842)="",INDEX(Suivi!$C:$C,2842),INDEX(Suivi!$D:$D,2842)))</f>
        <v/>
      </c>
      <c r="D2789" s="29">
        <f>IF($B2789="","",INDEX(Suivi!$E:$E,2842))</f>
        <v/>
      </c>
      <c r="E2789" s="29">
        <f>IF($B2789="","",INDEX(Suivi!$F:$F,2842))</f>
        <v/>
      </c>
      <c r="F2789">
        <f>IF($B2789="","",INDEX(Suivi!$G:$G,2842))</f>
        <v/>
      </c>
      <c r="H2789">
        <f>IF(OR($B2789="",NOT(ISNUMBER($D2789))),"",IF($E2789&lt;$D$2,"Passé",IF($D2789&gt;$F$2,"À venir","Dans la période")))</f>
        <v/>
      </c>
      <c r="I2789">
        <f>IF(OR($B2789="",NOT(ISNUMBER($D2789))),"",IF(AND($E2789&lt;$D$2,$G2789&lt;&gt;"X",$F2789&lt;&gt;"Réalisé",$F2789&lt;&gt;"Clôturé"),"RETARD",""))</f>
        <v/>
      </c>
      <c r="J2789" s="29">
        <f>IF($B2789="","",IF(INDEX(Dossiers!$F$4:$F$63,53)="","",INDEX(Dossiers!$F$4:$F$63,53)))</f>
        <v/>
      </c>
      <c r="K2789" s="29">
        <f>IF($B2789="","",IF(INDEX(Dossiers!$G$4:$G$63,53)="","",INDEX(Dossiers!$G$4:$G$63,53)))</f>
        <v/>
      </c>
    </row>
    <row r="2790">
      <c r="A2790">
        <f>IF($B2790="","",INDEX(Dossiers!$E$4:$E$63,53))</f>
        <v/>
      </c>
      <c r="B2790">
        <f>IF(INDEX(Suivi!$B:$B,2843)="","",INDEX(Suivi!$B:$B,2843))</f>
        <v/>
      </c>
      <c r="C2790">
        <f>IF($B2790="","",IF(INDEX(Suivi!$D:$D,2843)="",INDEX(Suivi!$C:$C,2843),INDEX(Suivi!$D:$D,2843)))</f>
        <v/>
      </c>
      <c r="D2790" s="29">
        <f>IF($B2790="","",INDEX(Suivi!$E:$E,2843))</f>
        <v/>
      </c>
      <c r="E2790" s="29">
        <f>IF($B2790="","",INDEX(Suivi!$F:$F,2843))</f>
        <v/>
      </c>
      <c r="F2790">
        <f>IF($B2790="","",INDEX(Suivi!$G:$G,2843))</f>
        <v/>
      </c>
      <c r="H2790">
        <f>IF(OR($B2790="",NOT(ISNUMBER($D2790))),"",IF($E2790&lt;$D$2,"Passé",IF($D2790&gt;$F$2,"À venir","Dans la période")))</f>
        <v/>
      </c>
      <c r="I2790">
        <f>IF(OR($B2790="",NOT(ISNUMBER($D2790))),"",IF(AND($E2790&lt;$D$2,$G2790&lt;&gt;"X",$F2790&lt;&gt;"Réalisé",$F2790&lt;&gt;"Clôturé"),"RETARD",""))</f>
        <v/>
      </c>
      <c r="J2790" s="29">
        <f>IF($B2790="","",IF(INDEX(Dossiers!$F$4:$F$63,53)="","",INDEX(Dossiers!$F$4:$F$63,53)))</f>
        <v/>
      </c>
      <c r="K2790" s="29">
        <f>IF($B2790="","",IF(INDEX(Dossiers!$G$4:$G$63,53)="","",INDEX(Dossiers!$G$4:$G$63,53)))</f>
        <v/>
      </c>
    </row>
    <row r="2791">
      <c r="A2791">
        <f>IF($B2791="","",INDEX(Dossiers!$E$4:$E$63,53))</f>
        <v/>
      </c>
      <c r="B2791">
        <f>IF(INDEX(Suivi!$B:$B,2844)="","",INDEX(Suivi!$B:$B,2844))</f>
        <v/>
      </c>
      <c r="C2791">
        <f>IF($B2791="","",IF(INDEX(Suivi!$D:$D,2844)="",INDEX(Suivi!$C:$C,2844),INDEX(Suivi!$D:$D,2844)))</f>
        <v/>
      </c>
      <c r="D2791" s="29">
        <f>IF($B2791="","",INDEX(Suivi!$E:$E,2844))</f>
        <v/>
      </c>
      <c r="E2791" s="29">
        <f>IF($B2791="","",INDEX(Suivi!$F:$F,2844))</f>
        <v/>
      </c>
      <c r="F2791">
        <f>IF($B2791="","",INDEX(Suivi!$G:$G,2844))</f>
        <v/>
      </c>
      <c r="H2791">
        <f>IF(OR($B2791="",NOT(ISNUMBER($D2791))),"",IF($E2791&lt;$D$2,"Passé",IF($D2791&gt;$F$2,"À venir","Dans la période")))</f>
        <v/>
      </c>
      <c r="I2791">
        <f>IF(OR($B2791="",NOT(ISNUMBER($D2791))),"",IF(AND($E2791&lt;$D$2,$G2791&lt;&gt;"X",$F2791&lt;&gt;"Réalisé",$F2791&lt;&gt;"Clôturé"),"RETARD",""))</f>
        <v/>
      </c>
      <c r="J2791" s="29">
        <f>IF($B2791="","",IF(INDEX(Dossiers!$F$4:$F$63,53)="","",INDEX(Dossiers!$F$4:$F$63,53)))</f>
        <v/>
      </c>
      <c r="K2791" s="29">
        <f>IF($B2791="","",IF(INDEX(Dossiers!$G$4:$G$63,53)="","",INDEX(Dossiers!$G$4:$G$63,53)))</f>
        <v/>
      </c>
    </row>
    <row r="2792">
      <c r="A2792">
        <f>IF($B2792="","",INDEX(Dossiers!$E$4:$E$63,53))</f>
        <v/>
      </c>
      <c r="B2792">
        <f>IF(INDEX(Suivi!$B:$B,2845)="","",INDEX(Suivi!$B:$B,2845))</f>
        <v/>
      </c>
      <c r="C2792">
        <f>IF($B2792="","",IF(INDEX(Suivi!$D:$D,2845)="",INDEX(Suivi!$C:$C,2845),INDEX(Suivi!$D:$D,2845)))</f>
        <v/>
      </c>
      <c r="D2792" s="29">
        <f>IF($B2792="","",INDEX(Suivi!$E:$E,2845))</f>
        <v/>
      </c>
      <c r="E2792" s="29">
        <f>IF($B2792="","",INDEX(Suivi!$F:$F,2845))</f>
        <v/>
      </c>
      <c r="F2792">
        <f>IF($B2792="","",INDEX(Suivi!$G:$G,2845))</f>
        <v/>
      </c>
      <c r="H2792">
        <f>IF(OR($B2792="",NOT(ISNUMBER($D2792))),"",IF($E2792&lt;$D$2,"Passé",IF($D2792&gt;$F$2,"À venir","Dans la période")))</f>
        <v/>
      </c>
      <c r="I2792">
        <f>IF(OR($B2792="",NOT(ISNUMBER($D2792))),"",IF(AND($E2792&lt;$D$2,$G2792&lt;&gt;"X",$F2792&lt;&gt;"Réalisé",$F2792&lt;&gt;"Clôturé"),"RETARD",""))</f>
        <v/>
      </c>
      <c r="J2792" s="29">
        <f>IF($B2792="","",IF(INDEX(Dossiers!$F$4:$F$63,53)="","",INDEX(Dossiers!$F$4:$F$63,53)))</f>
        <v/>
      </c>
      <c r="K2792" s="29">
        <f>IF($B2792="","",IF(INDEX(Dossiers!$G$4:$G$63,53)="","",INDEX(Dossiers!$G$4:$G$63,53)))</f>
        <v/>
      </c>
    </row>
    <row r="2793">
      <c r="A2793">
        <f>IF($B2793="","",INDEX(Dossiers!$E$4:$E$63,53))</f>
        <v/>
      </c>
      <c r="B2793">
        <f>IF(INDEX(Suivi!$B:$B,2846)="","",INDEX(Suivi!$B:$B,2846))</f>
        <v/>
      </c>
      <c r="C2793">
        <f>IF($B2793="","",IF(INDEX(Suivi!$D:$D,2846)="",INDEX(Suivi!$C:$C,2846),INDEX(Suivi!$D:$D,2846)))</f>
        <v/>
      </c>
      <c r="D2793" s="29">
        <f>IF($B2793="","",INDEX(Suivi!$E:$E,2846))</f>
        <v/>
      </c>
      <c r="E2793" s="29">
        <f>IF($B2793="","",INDEX(Suivi!$F:$F,2846))</f>
        <v/>
      </c>
      <c r="F2793">
        <f>IF($B2793="","",INDEX(Suivi!$G:$G,2846))</f>
        <v/>
      </c>
      <c r="H2793">
        <f>IF(OR($B2793="",NOT(ISNUMBER($D2793))),"",IF($E2793&lt;$D$2,"Passé",IF($D2793&gt;$F$2,"À venir","Dans la période")))</f>
        <v/>
      </c>
      <c r="I2793">
        <f>IF(OR($B2793="",NOT(ISNUMBER($D2793))),"",IF(AND($E2793&lt;$D$2,$G2793&lt;&gt;"X",$F2793&lt;&gt;"Réalisé",$F2793&lt;&gt;"Clôturé"),"RETARD",""))</f>
        <v/>
      </c>
      <c r="J2793" s="29">
        <f>IF($B2793="","",IF(INDEX(Dossiers!$F$4:$F$63,53)="","",INDEX(Dossiers!$F$4:$F$63,53)))</f>
        <v/>
      </c>
      <c r="K2793" s="29">
        <f>IF($B2793="","",IF(INDEX(Dossiers!$G$4:$G$63,53)="","",INDEX(Dossiers!$G$4:$G$63,53)))</f>
        <v/>
      </c>
    </row>
    <row r="2794">
      <c r="A2794">
        <f>IF($B2794="","",INDEX(Dossiers!$E$4:$E$63,53))</f>
        <v/>
      </c>
      <c r="B2794">
        <f>IF(INDEX(Suivi!$B:$B,2847)="","",INDEX(Suivi!$B:$B,2847))</f>
        <v/>
      </c>
      <c r="C2794">
        <f>IF($B2794="","",IF(INDEX(Suivi!$D:$D,2847)="",INDEX(Suivi!$C:$C,2847),INDEX(Suivi!$D:$D,2847)))</f>
        <v/>
      </c>
      <c r="D2794" s="29">
        <f>IF($B2794="","",INDEX(Suivi!$E:$E,2847))</f>
        <v/>
      </c>
      <c r="E2794" s="29">
        <f>IF($B2794="","",INDEX(Suivi!$F:$F,2847))</f>
        <v/>
      </c>
      <c r="F2794">
        <f>IF($B2794="","",INDEX(Suivi!$G:$G,2847))</f>
        <v/>
      </c>
      <c r="H2794">
        <f>IF(OR($B2794="",NOT(ISNUMBER($D2794))),"",IF($E2794&lt;$D$2,"Passé",IF($D2794&gt;$F$2,"À venir","Dans la période")))</f>
        <v/>
      </c>
      <c r="I2794">
        <f>IF(OR($B2794="",NOT(ISNUMBER($D2794))),"",IF(AND($E2794&lt;$D$2,$G2794&lt;&gt;"X",$F2794&lt;&gt;"Réalisé",$F2794&lt;&gt;"Clôturé"),"RETARD",""))</f>
        <v/>
      </c>
      <c r="J2794" s="29">
        <f>IF($B2794="","",IF(INDEX(Dossiers!$F$4:$F$63,53)="","",INDEX(Dossiers!$F$4:$F$63,53)))</f>
        <v/>
      </c>
      <c r="K2794" s="29">
        <f>IF($B2794="","",IF(INDEX(Dossiers!$G$4:$G$63,53)="","",INDEX(Dossiers!$G$4:$G$63,53)))</f>
        <v/>
      </c>
    </row>
    <row r="2795">
      <c r="A2795">
        <f>IF($B2795="","",INDEX(Dossiers!$E$4:$E$63,53))</f>
        <v/>
      </c>
      <c r="B2795">
        <f>IF(INDEX(Suivi!$B:$B,2848)="","",INDEX(Suivi!$B:$B,2848))</f>
        <v/>
      </c>
      <c r="C2795">
        <f>IF($B2795="","",IF(INDEX(Suivi!$D:$D,2848)="",INDEX(Suivi!$C:$C,2848),INDEX(Suivi!$D:$D,2848)))</f>
        <v/>
      </c>
      <c r="D2795" s="29">
        <f>IF($B2795="","",INDEX(Suivi!$E:$E,2848))</f>
        <v/>
      </c>
      <c r="E2795" s="29">
        <f>IF($B2795="","",INDEX(Suivi!$F:$F,2848))</f>
        <v/>
      </c>
      <c r="F2795">
        <f>IF($B2795="","",INDEX(Suivi!$G:$G,2848))</f>
        <v/>
      </c>
      <c r="H2795">
        <f>IF(OR($B2795="",NOT(ISNUMBER($D2795))),"",IF($E2795&lt;$D$2,"Passé",IF($D2795&gt;$F$2,"À venir","Dans la période")))</f>
        <v/>
      </c>
      <c r="I2795">
        <f>IF(OR($B2795="",NOT(ISNUMBER($D2795))),"",IF(AND($E2795&lt;$D$2,$G2795&lt;&gt;"X",$F2795&lt;&gt;"Réalisé",$F2795&lt;&gt;"Clôturé"),"RETARD",""))</f>
        <v/>
      </c>
      <c r="J2795" s="29">
        <f>IF($B2795="","",IF(INDEX(Dossiers!$F$4:$F$63,53)="","",INDEX(Dossiers!$F$4:$F$63,53)))</f>
        <v/>
      </c>
      <c r="K2795" s="29">
        <f>IF($B2795="","",IF(INDEX(Dossiers!$G$4:$G$63,53)="","",INDEX(Dossiers!$G$4:$G$63,53)))</f>
        <v/>
      </c>
    </row>
    <row r="2796">
      <c r="A2796">
        <f>IF($B2796="","",INDEX(Dossiers!$E$4:$E$63,53))</f>
        <v/>
      </c>
      <c r="B2796">
        <f>IF(INDEX(Suivi!$B:$B,2849)="","",INDEX(Suivi!$B:$B,2849))</f>
        <v/>
      </c>
      <c r="C2796">
        <f>IF($B2796="","",IF(INDEX(Suivi!$D:$D,2849)="",INDEX(Suivi!$C:$C,2849),INDEX(Suivi!$D:$D,2849)))</f>
        <v/>
      </c>
      <c r="D2796" s="29">
        <f>IF($B2796="","",INDEX(Suivi!$E:$E,2849))</f>
        <v/>
      </c>
      <c r="E2796" s="29">
        <f>IF($B2796="","",INDEX(Suivi!$F:$F,2849))</f>
        <v/>
      </c>
      <c r="F2796">
        <f>IF($B2796="","",INDEX(Suivi!$G:$G,2849))</f>
        <v/>
      </c>
      <c r="H2796">
        <f>IF(OR($B2796="",NOT(ISNUMBER($D2796))),"",IF($E2796&lt;$D$2,"Passé",IF($D2796&gt;$F$2,"À venir","Dans la période")))</f>
        <v/>
      </c>
      <c r="I2796">
        <f>IF(OR($B2796="",NOT(ISNUMBER($D2796))),"",IF(AND($E2796&lt;$D$2,$G2796&lt;&gt;"X",$F2796&lt;&gt;"Réalisé",$F2796&lt;&gt;"Clôturé"),"RETARD",""))</f>
        <v/>
      </c>
      <c r="J2796" s="29">
        <f>IF($B2796="","",IF(INDEX(Dossiers!$F$4:$F$63,53)="","",INDEX(Dossiers!$F$4:$F$63,53)))</f>
        <v/>
      </c>
      <c r="K2796" s="29">
        <f>IF($B2796="","",IF(INDEX(Dossiers!$G$4:$G$63,53)="","",INDEX(Dossiers!$G$4:$G$63,53)))</f>
        <v/>
      </c>
    </row>
    <row r="2797">
      <c r="A2797">
        <f>IF($B2797="","",INDEX(Dossiers!$E$4:$E$63,53))</f>
        <v/>
      </c>
      <c r="B2797">
        <f>IF(INDEX(Suivi!$B:$B,2850)="","",INDEX(Suivi!$B:$B,2850))</f>
        <v/>
      </c>
      <c r="C2797">
        <f>IF($B2797="","",IF(INDEX(Suivi!$D:$D,2850)="",INDEX(Suivi!$C:$C,2850),INDEX(Suivi!$D:$D,2850)))</f>
        <v/>
      </c>
      <c r="D2797" s="29">
        <f>IF($B2797="","",INDEX(Suivi!$E:$E,2850))</f>
        <v/>
      </c>
      <c r="E2797" s="29">
        <f>IF($B2797="","",INDEX(Suivi!$F:$F,2850))</f>
        <v/>
      </c>
      <c r="F2797">
        <f>IF($B2797="","",INDEX(Suivi!$G:$G,2850))</f>
        <v/>
      </c>
      <c r="H2797">
        <f>IF(OR($B2797="",NOT(ISNUMBER($D2797))),"",IF($E2797&lt;$D$2,"Passé",IF($D2797&gt;$F$2,"À venir","Dans la période")))</f>
        <v/>
      </c>
      <c r="I2797">
        <f>IF(OR($B2797="",NOT(ISNUMBER($D2797))),"",IF(AND($E2797&lt;$D$2,$G2797&lt;&gt;"X",$F2797&lt;&gt;"Réalisé",$F2797&lt;&gt;"Clôturé"),"RETARD",""))</f>
        <v/>
      </c>
      <c r="J2797" s="29">
        <f>IF($B2797="","",IF(INDEX(Dossiers!$F$4:$F$63,53)="","",INDEX(Dossiers!$F$4:$F$63,53)))</f>
        <v/>
      </c>
      <c r="K2797" s="29">
        <f>IF($B2797="","",IF(INDEX(Dossiers!$G$4:$G$63,53)="","",INDEX(Dossiers!$G$4:$G$63,53)))</f>
        <v/>
      </c>
    </row>
    <row r="2798">
      <c r="A2798">
        <f>IF($B2798="","",INDEX(Dossiers!$E$4:$E$63,53))</f>
        <v/>
      </c>
      <c r="B2798">
        <f>IF(INDEX(Suivi!$B:$B,2851)="","",INDEX(Suivi!$B:$B,2851))</f>
        <v/>
      </c>
      <c r="C2798">
        <f>IF($B2798="","",IF(INDEX(Suivi!$D:$D,2851)="",INDEX(Suivi!$C:$C,2851),INDEX(Suivi!$D:$D,2851)))</f>
        <v/>
      </c>
      <c r="D2798" s="29">
        <f>IF($B2798="","",INDEX(Suivi!$E:$E,2851))</f>
        <v/>
      </c>
      <c r="E2798" s="29">
        <f>IF($B2798="","",INDEX(Suivi!$F:$F,2851))</f>
        <v/>
      </c>
      <c r="F2798">
        <f>IF($B2798="","",INDEX(Suivi!$G:$G,2851))</f>
        <v/>
      </c>
      <c r="H2798">
        <f>IF(OR($B2798="",NOT(ISNUMBER($D2798))),"",IF($E2798&lt;$D$2,"Passé",IF($D2798&gt;$F$2,"À venir","Dans la période")))</f>
        <v/>
      </c>
      <c r="I2798">
        <f>IF(OR($B2798="",NOT(ISNUMBER($D2798))),"",IF(AND($E2798&lt;$D$2,$G2798&lt;&gt;"X",$F2798&lt;&gt;"Réalisé",$F2798&lt;&gt;"Clôturé"),"RETARD",""))</f>
        <v/>
      </c>
      <c r="J2798" s="29">
        <f>IF($B2798="","",IF(INDEX(Dossiers!$F$4:$F$63,53)="","",INDEX(Dossiers!$F$4:$F$63,53)))</f>
        <v/>
      </c>
      <c r="K2798" s="29">
        <f>IF($B2798="","",IF(INDEX(Dossiers!$G$4:$G$63,53)="","",INDEX(Dossiers!$G$4:$G$63,53)))</f>
        <v/>
      </c>
    </row>
    <row r="2799">
      <c r="A2799">
        <f>IF($B2799="","",INDEX(Dossiers!$E$4:$E$63,53))</f>
        <v/>
      </c>
      <c r="B2799">
        <f>IF(INDEX(Suivi!$B:$B,2852)="","",INDEX(Suivi!$B:$B,2852))</f>
        <v/>
      </c>
      <c r="C2799">
        <f>IF($B2799="","",IF(INDEX(Suivi!$D:$D,2852)="",INDEX(Suivi!$C:$C,2852),INDEX(Suivi!$D:$D,2852)))</f>
        <v/>
      </c>
      <c r="D2799" s="29">
        <f>IF($B2799="","",INDEX(Suivi!$E:$E,2852))</f>
        <v/>
      </c>
      <c r="E2799" s="29">
        <f>IF($B2799="","",INDEX(Suivi!$F:$F,2852))</f>
        <v/>
      </c>
      <c r="F2799">
        <f>IF($B2799="","",INDEX(Suivi!$G:$G,2852))</f>
        <v/>
      </c>
      <c r="H2799">
        <f>IF(OR($B2799="",NOT(ISNUMBER($D2799))),"",IF($E2799&lt;$D$2,"Passé",IF($D2799&gt;$F$2,"À venir","Dans la période")))</f>
        <v/>
      </c>
      <c r="I2799">
        <f>IF(OR($B2799="",NOT(ISNUMBER($D2799))),"",IF(AND($E2799&lt;$D$2,$G2799&lt;&gt;"X",$F2799&lt;&gt;"Réalisé",$F2799&lt;&gt;"Clôturé"),"RETARD",""))</f>
        <v/>
      </c>
      <c r="J2799" s="29">
        <f>IF($B2799="","",IF(INDEX(Dossiers!$F$4:$F$63,53)="","",INDEX(Dossiers!$F$4:$F$63,53)))</f>
        <v/>
      </c>
      <c r="K2799" s="29">
        <f>IF($B2799="","",IF(INDEX(Dossiers!$G$4:$G$63,53)="","",INDEX(Dossiers!$G$4:$G$63,53)))</f>
        <v/>
      </c>
    </row>
    <row r="2800">
      <c r="A2800">
        <f>IF($B2800="","",INDEX(Dossiers!$E$4:$E$63,53))</f>
        <v/>
      </c>
      <c r="B2800">
        <f>IF(INDEX(Suivi!$B:$B,2853)="","",INDEX(Suivi!$B:$B,2853))</f>
        <v/>
      </c>
      <c r="C2800">
        <f>IF($B2800="","",IF(INDEX(Suivi!$D:$D,2853)="",INDEX(Suivi!$C:$C,2853),INDEX(Suivi!$D:$D,2853)))</f>
        <v/>
      </c>
      <c r="D2800" s="29">
        <f>IF($B2800="","",INDEX(Suivi!$E:$E,2853))</f>
        <v/>
      </c>
      <c r="E2800" s="29">
        <f>IF($B2800="","",INDEX(Suivi!$F:$F,2853))</f>
        <v/>
      </c>
      <c r="F2800">
        <f>IF($B2800="","",INDEX(Suivi!$G:$G,2853))</f>
        <v/>
      </c>
      <c r="H2800">
        <f>IF(OR($B2800="",NOT(ISNUMBER($D2800))),"",IF($E2800&lt;$D$2,"Passé",IF($D2800&gt;$F$2,"À venir","Dans la période")))</f>
        <v/>
      </c>
      <c r="I2800">
        <f>IF(OR($B2800="",NOT(ISNUMBER($D2800))),"",IF(AND($E2800&lt;$D$2,$G2800&lt;&gt;"X",$F2800&lt;&gt;"Réalisé",$F2800&lt;&gt;"Clôturé"),"RETARD",""))</f>
        <v/>
      </c>
      <c r="J2800" s="29">
        <f>IF($B2800="","",IF(INDEX(Dossiers!$F$4:$F$63,53)="","",INDEX(Dossiers!$F$4:$F$63,53)))</f>
        <v/>
      </c>
      <c r="K2800" s="29">
        <f>IF($B2800="","",IF(INDEX(Dossiers!$G$4:$G$63,53)="","",INDEX(Dossiers!$G$4:$G$63,53)))</f>
        <v/>
      </c>
    </row>
    <row r="2801">
      <c r="A2801">
        <f>IF($B2801="","",INDEX(Dossiers!$E$4:$E$63,53))</f>
        <v/>
      </c>
      <c r="B2801">
        <f>IF(INDEX(Suivi!$B:$B,2854)="","",INDEX(Suivi!$B:$B,2854))</f>
        <v/>
      </c>
      <c r="C2801">
        <f>IF($B2801="","",IF(INDEX(Suivi!$D:$D,2854)="",INDEX(Suivi!$C:$C,2854),INDEX(Suivi!$D:$D,2854)))</f>
        <v/>
      </c>
      <c r="D2801" s="29">
        <f>IF($B2801="","",INDEX(Suivi!$E:$E,2854))</f>
        <v/>
      </c>
      <c r="E2801" s="29">
        <f>IF($B2801="","",INDEX(Suivi!$F:$F,2854))</f>
        <v/>
      </c>
      <c r="F2801">
        <f>IF($B2801="","",INDEX(Suivi!$G:$G,2854))</f>
        <v/>
      </c>
      <c r="H2801">
        <f>IF(OR($B2801="",NOT(ISNUMBER($D2801))),"",IF($E2801&lt;$D$2,"Passé",IF($D2801&gt;$F$2,"À venir","Dans la période")))</f>
        <v/>
      </c>
      <c r="I2801">
        <f>IF(OR($B2801="",NOT(ISNUMBER($D2801))),"",IF(AND($E2801&lt;$D$2,$G2801&lt;&gt;"X",$F2801&lt;&gt;"Réalisé",$F2801&lt;&gt;"Clôturé"),"RETARD",""))</f>
        <v/>
      </c>
      <c r="J2801" s="29">
        <f>IF($B2801="","",IF(INDEX(Dossiers!$F$4:$F$63,53)="","",INDEX(Dossiers!$F$4:$F$63,53)))</f>
        <v/>
      </c>
      <c r="K2801" s="29">
        <f>IF($B2801="","",IF(INDEX(Dossiers!$G$4:$G$63,53)="","",INDEX(Dossiers!$G$4:$G$63,53)))</f>
        <v/>
      </c>
    </row>
    <row r="2802">
      <c r="A2802">
        <f>IF($B2802="","",INDEX(Dossiers!$E$4:$E$63,53))</f>
        <v/>
      </c>
      <c r="B2802">
        <f>IF(INDEX(Suivi!$B:$B,2855)="","",INDEX(Suivi!$B:$B,2855))</f>
        <v/>
      </c>
      <c r="C2802">
        <f>IF($B2802="","",IF(INDEX(Suivi!$D:$D,2855)="",INDEX(Suivi!$C:$C,2855),INDEX(Suivi!$D:$D,2855)))</f>
        <v/>
      </c>
      <c r="D2802" s="29">
        <f>IF($B2802="","",INDEX(Suivi!$E:$E,2855))</f>
        <v/>
      </c>
      <c r="E2802" s="29">
        <f>IF($B2802="","",INDEX(Suivi!$F:$F,2855))</f>
        <v/>
      </c>
      <c r="F2802">
        <f>IF($B2802="","",INDEX(Suivi!$G:$G,2855))</f>
        <v/>
      </c>
      <c r="H2802">
        <f>IF(OR($B2802="",NOT(ISNUMBER($D2802))),"",IF($E2802&lt;$D$2,"Passé",IF($D2802&gt;$F$2,"À venir","Dans la période")))</f>
        <v/>
      </c>
      <c r="I2802">
        <f>IF(OR($B2802="",NOT(ISNUMBER($D2802))),"",IF(AND($E2802&lt;$D$2,$G2802&lt;&gt;"X",$F2802&lt;&gt;"Réalisé",$F2802&lt;&gt;"Clôturé"),"RETARD",""))</f>
        <v/>
      </c>
      <c r="J2802" s="29">
        <f>IF($B2802="","",IF(INDEX(Dossiers!$F$4:$F$63,53)="","",INDEX(Dossiers!$F$4:$F$63,53)))</f>
        <v/>
      </c>
      <c r="K2802" s="29">
        <f>IF($B2802="","",IF(INDEX(Dossiers!$G$4:$G$63,53)="","",INDEX(Dossiers!$G$4:$G$63,53)))</f>
        <v/>
      </c>
    </row>
    <row r="2803">
      <c r="A2803">
        <f>IF($B2803="","",INDEX(Dossiers!$E$4:$E$63,53))</f>
        <v/>
      </c>
      <c r="B2803">
        <f>IF(INDEX(Suivi!$B:$B,2856)="","",INDEX(Suivi!$B:$B,2856))</f>
        <v/>
      </c>
      <c r="C2803">
        <f>IF($B2803="","",IF(INDEX(Suivi!$D:$D,2856)="",INDEX(Suivi!$C:$C,2856),INDEX(Suivi!$D:$D,2856)))</f>
        <v/>
      </c>
      <c r="D2803" s="29">
        <f>IF($B2803="","",INDEX(Suivi!$E:$E,2856))</f>
        <v/>
      </c>
      <c r="E2803" s="29">
        <f>IF($B2803="","",INDEX(Suivi!$F:$F,2856))</f>
        <v/>
      </c>
      <c r="F2803">
        <f>IF($B2803="","",INDEX(Suivi!$G:$G,2856))</f>
        <v/>
      </c>
      <c r="H2803">
        <f>IF(OR($B2803="",NOT(ISNUMBER($D2803))),"",IF($E2803&lt;$D$2,"Passé",IF($D2803&gt;$F$2,"À venir","Dans la période")))</f>
        <v/>
      </c>
      <c r="I2803">
        <f>IF(OR($B2803="",NOT(ISNUMBER($D2803))),"",IF(AND($E2803&lt;$D$2,$G2803&lt;&gt;"X",$F2803&lt;&gt;"Réalisé",$F2803&lt;&gt;"Clôturé"),"RETARD",""))</f>
        <v/>
      </c>
      <c r="J2803" s="29">
        <f>IF($B2803="","",IF(INDEX(Dossiers!$F$4:$F$63,53)="","",INDEX(Dossiers!$F$4:$F$63,53)))</f>
        <v/>
      </c>
      <c r="K2803" s="29">
        <f>IF($B2803="","",IF(INDEX(Dossiers!$G$4:$G$63,53)="","",INDEX(Dossiers!$G$4:$G$63,53)))</f>
        <v/>
      </c>
    </row>
    <row r="2804">
      <c r="A2804">
        <f>IF($B2804="","",INDEX(Dossiers!$E$4:$E$63,53))</f>
        <v/>
      </c>
      <c r="B2804">
        <f>IF(INDEX(Suivi!$B:$B,2857)="","",INDEX(Suivi!$B:$B,2857))</f>
        <v/>
      </c>
      <c r="C2804">
        <f>IF($B2804="","",IF(INDEX(Suivi!$D:$D,2857)="",INDEX(Suivi!$C:$C,2857),INDEX(Suivi!$D:$D,2857)))</f>
        <v/>
      </c>
      <c r="D2804" s="29">
        <f>IF($B2804="","",INDEX(Suivi!$E:$E,2857))</f>
        <v/>
      </c>
      <c r="E2804" s="29">
        <f>IF($B2804="","",INDEX(Suivi!$F:$F,2857))</f>
        <v/>
      </c>
      <c r="F2804">
        <f>IF($B2804="","",INDEX(Suivi!$G:$G,2857))</f>
        <v/>
      </c>
      <c r="H2804">
        <f>IF(OR($B2804="",NOT(ISNUMBER($D2804))),"",IF($E2804&lt;$D$2,"Passé",IF($D2804&gt;$F$2,"À venir","Dans la période")))</f>
        <v/>
      </c>
      <c r="I2804">
        <f>IF(OR($B2804="",NOT(ISNUMBER($D2804))),"",IF(AND($E2804&lt;$D$2,$G2804&lt;&gt;"X",$F2804&lt;&gt;"Réalisé",$F2804&lt;&gt;"Clôturé"),"RETARD",""))</f>
        <v/>
      </c>
      <c r="J2804" s="29">
        <f>IF($B2804="","",IF(INDEX(Dossiers!$F$4:$F$63,53)="","",INDEX(Dossiers!$F$4:$F$63,53)))</f>
        <v/>
      </c>
      <c r="K2804" s="29">
        <f>IF($B2804="","",IF(INDEX(Dossiers!$G$4:$G$63,53)="","",INDEX(Dossiers!$G$4:$G$63,53)))</f>
        <v/>
      </c>
    </row>
    <row r="2805">
      <c r="A2805">
        <f>IF($B2805="","",INDEX(Dossiers!$E$4:$E$63,53))</f>
        <v/>
      </c>
      <c r="B2805">
        <f>IF(INDEX(Suivi!$B:$B,2858)="","",INDEX(Suivi!$B:$B,2858))</f>
        <v/>
      </c>
      <c r="C2805">
        <f>IF($B2805="","",IF(INDEX(Suivi!$D:$D,2858)="",INDEX(Suivi!$C:$C,2858),INDEX(Suivi!$D:$D,2858)))</f>
        <v/>
      </c>
      <c r="D2805" s="29">
        <f>IF($B2805="","",INDEX(Suivi!$E:$E,2858))</f>
        <v/>
      </c>
      <c r="E2805" s="29">
        <f>IF($B2805="","",INDEX(Suivi!$F:$F,2858))</f>
        <v/>
      </c>
      <c r="F2805">
        <f>IF($B2805="","",INDEX(Suivi!$G:$G,2858))</f>
        <v/>
      </c>
      <c r="H2805">
        <f>IF(OR($B2805="",NOT(ISNUMBER($D2805))),"",IF($E2805&lt;$D$2,"Passé",IF($D2805&gt;$F$2,"À venir","Dans la période")))</f>
        <v/>
      </c>
      <c r="I2805">
        <f>IF(OR($B2805="",NOT(ISNUMBER($D2805))),"",IF(AND($E2805&lt;$D$2,$G2805&lt;&gt;"X",$F2805&lt;&gt;"Réalisé",$F2805&lt;&gt;"Clôturé"),"RETARD",""))</f>
        <v/>
      </c>
      <c r="J2805" s="29">
        <f>IF($B2805="","",IF(INDEX(Dossiers!$F$4:$F$63,53)="","",INDEX(Dossiers!$F$4:$F$63,53)))</f>
        <v/>
      </c>
      <c r="K2805" s="29">
        <f>IF($B2805="","",IF(INDEX(Dossiers!$G$4:$G$63,53)="","",INDEX(Dossiers!$G$4:$G$63,53)))</f>
        <v/>
      </c>
    </row>
    <row r="2806">
      <c r="A2806">
        <f>IF($B2806="","",INDEX(Dossiers!$E$4:$E$63,53))</f>
        <v/>
      </c>
      <c r="B2806">
        <f>IF(INDEX(Suivi!$B:$B,2859)="","",INDEX(Suivi!$B:$B,2859))</f>
        <v/>
      </c>
      <c r="C2806">
        <f>IF($B2806="","",IF(INDEX(Suivi!$D:$D,2859)="",INDEX(Suivi!$C:$C,2859),INDEX(Suivi!$D:$D,2859)))</f>
        <v/>
      </c>
      <c r="D2806" s="29">
        <f>IF($B2806="","",INDEX(Suivi!$E:$E,2859))</f>
        <v/>
      </c>
      <c r="E2806" s="29">
        <f>IF($B2806="","",INDEX(Suivi!$F:$F,2859))</f>
        <v/>
      </c>
      <c r="F2806">
        <f>IF($B2806="","",INDEX(Suivi!$G:$G,2859))</f>
        <v/>
      </c>
      <c r="H2806">
        <f>IF(OR($B2806="",NOT(ISNUMBER($D2806))),"",IF($E2806&lt;$D$2,"Passé",IF($D2806&gt;$F$2,"À venir","Dans la période")))</f>
        <v/>
      </c>
      <c r="I2806">
        <f>IF(OR($B2806="",NOT(ISNUMBER($D2806))),"",IF(AND($E2806&lt;$D$2,$G2806&lt;&gt;"X",$F2806&lt;&gt;"Réalisé",$F2806&lt;&gt;"Clôturé"),"RETARD",""))</f>
        <v/>
      </c>
      <c r="J2806" s="29">
        <f>IF($B2806="","",IF(INDEX(Dossiers!$F$4:$F$63,53)="","",INDEX(Dossiers!$F$4:$F$63,53)))</f>
        <v/>
      </c>
      <c r="K2806" s="29">
        <f>IF($B2806="","",IF(INDEX(Dossiers!$G$4:$G$63,53)="","",INDEX(Dossiers!$G$4:$G$63,53)))</f>
        <v/>
      </c>
    </row>
    <row r="2807">
      <c r="A2807">
        <f>IF($B2807="","",INDEX(Dossiers!$E$4:$E$63,53))</f>
        <v/>
      </c>
      <c r="B2807">
        <f>IF(INDEX(Suivi!$B:$B,2860)="","",INDEX(Suivi!$B:$B,2860))</f>
        <v/>
      </c>
      <c r="C2807">
        <f>IF($B2807="","",IF(INDEX(Suivi!$D:$D,2860)="",INDEX(Suivi!$C:$C,2860),INDEX(Suivi!$D:$D,2860)))</f>
        <v/>
      </c>
      <c r="D2807" s="29">
        <f>IF($B2807="","",INDEX(Suivi!$E:$E,2860))</f>
        <v/>
      </c>
      <c r="E2807" s="29">
        <f>IF($B2807="","",INDEX(Suivi!$F:$F,2860))</f>
        <v/>
      </c>
      <c r="F2807">
        <f>IF($B2807="","",INDEX(Suivi!$G:$G,2860))</f>
        <v/>
      </c>
      <c r="H2807">
        <f>IF(OR($B2807="",NOT(ISNUMBER($D2807))),"",IF($E2807&lt;$D$2,"Passé",IF($D2807&gt;$F$2,"À venir","Dans la période")))</f>
        <v/>
      </c>
      <c r="I2807">
        <f>IF(OR($B2807="",NOT(ISNUMBER($D2807))),"",IF(AND($E2807&lt;$D$2,$G2807&lt;&gt;"X",$F2807&lt;&gt;"Réalisé",$F2807&lt;&gt;"Clôturé"),"RETARD",""))</f>
        <v/>
      </c>
      <c r="J2807" s="29">
        <f>IF($B2807="","",IF(INDEX(Dossiers!$F$4:$F$63,53)="","",INDEX(Dossiers!$F$4:$F$63,53)))</f>
        <v/>
      </c>
      <c r="K2807" s="29">
        <f>IF($B2807="","",IF(INDEX(Dossiers!$G$4:$G$63,53)="","",INDEX(Dossiers!$G$4:$G$63,53)))</f>
        <v/>
      </c>
    </row>
    <row r="2808">
      <c r="A2808">
        <f>IF($B2808="","",INDEX(Dossiers!$E$4:$E$63,53))</f>
        <v/>
      </c>
      <c r="B2808">
        <f>IF(INDEX(Suivi!$B:$B,2861)="","",INDEX(Suivi!$B:$B,2861))</f>
        <v/>
      </c>
      <c r="C2808">
        <f>IF($B2808="","",IF(INDEX(Suivi!$D:$D,2861)="",INDEX(Suivi!$C:$C,2861),INDEX(Suivi!$D:$D,2861)))</f>
        <v/>
      </c>
      <c r="D2808" s="29">
        <f>IF($B2808="","",INDEX(Suivi!$E:$E,2861))</f>
        <v/>
      </c>
      <c r="E2808" s="29">
        <f>IF($B2808="","",INDEX(Suivi!$F:$F,2861))</f>
        <v/>
      </c>
      <c r="F2808">
        <f>IF($B2808="","",INDEX(Suivi!$G:$G,2861))</f>
        <v/>
      </c>
      <c r="H2808">
        <f>IF(OR($B2808="",NOT(ISNUMBER($D2808))),"",IF($E2808&lt;$D$2,"Passé",IF($D2808&gt;$F$2,"À venir","Dans la période")))</f>
        <v/>
      </c>
      <c r="I2808">
        <f>IF(OR($B2808="",NOT(ISNUMBER($D2808))),"",IF(AND($E2808&lt;$D$2,$G2808&lt;&gt;"X",$F2808&lt;&gt;"Réalisé",$F2808&lt;&gt;"Clôturé"),"RETARD",""))</f>
        <v/>
      </c>
      <c r="J2808" s="29">
        <f>IF($B2808="","",IF(INDEX(Dossiers!$F$4:$F$63,53)="","",INDEX(Dossiers!$F$4:$F$63,53)))</f>
        <v/>
      </c>
      <c r="K2808" s="29">
        <f>IF($B2808="","",IF(INDEX(Dossiers!$G$4:$G$63,53)="","",INDEX(Dossiers!$G$4:$G$63,53)))</f>
        <v/>
      </c>
    </row>
    <row r="2809">
      <c r="A2809">
        <f>IF($B2809="","",INDEX(Dossiers!$E$4:$E$63,53))</f>
        <v/>
      </c>
      <c r="B2809">
        <f>IF(INDEX(Suivi!$B:$B,2862)="","",INDEX(Suivi!$B:$B,2862))</f>
        <v/>
      </c>
      <c r="C2809">
        <f>IF($B2809="","",IF(INDEX(Suivi!$D:$D,2862)="",INDEX(Suivi!$C:$C,2862),INDEX(Suivi!$D:$D,2862)))</f>
        <v/>
      </c>
      <c r="D2809" s="29">
        <f>IF($B2809="","",INDEX(Suivi!$E:$E,2862))</f>
        <v/>
      </c>
      <c r="E2809" s="29">
        <f>IF($B2809="","",INDEX(Suivi!$F:$F,2862))</f>
        <v/>
      </c>
      <c r="F2809">
        <f>IF($B2809="","",INDEX(Suivi!$G:$G,2862))</f>
        <v/>
      </c>
      <c r="H2809">
        <f>IF(OR($B2809="",NOT(ISNUMBER($D2809))),"",IF($E2809&lt;$D$2,"Passé",IF($D2809&gt;$F$2,"À venir","Dans la période")))</f>
        <v/>
      </c>
      <c r="I2809">
        <f>IF(OR($B2809="",NOT(ISNUMBER($D2809))),"",IF(AND($E2809&lt;$D$2,$G2809&lt;&gt;"X",$F2809&lt;&gt;"Réalisé",$F2809&lt;&gt;"Clôturé"),"RETARD",""))</f>
        <v/>
      </c>
      <c r="J2809" s="29">
        <f>IF($B2809="","",IF(INDEX(Dossiers!$F$4:$F$63,53)="","",INDEX(Dossiers!$F$4:$F$63,53)))</f>
        <v/>
      </c>
      <c r="K2809" s="29">
        <f>IF($B2809="","",IF(INDEX(Dossiers!$G$4:$G$63,53)="","",INDEX(Dossiers!$G$4:$G$63,53)))</f>
        <v/>
      </c>
    </row>
    <row r="2810">
      <c r="A2810">
        <f>IF($B2810="","",INDEX(Dossiers!$E$4:$E$63,53))</f>
        <v/>
      </c>
      <c r="B2810">
        <f>IF(INDEX(Suivi!$B:$B,2863)="","",INDEX(Suivi!$B:$B,2863))</f>
        <v/>
      </c>
      <c r="C2810">
        <f>IF($B2810="","",IF(INDEX(Suivi!$D:$D,2863)="",INDEX(Suivi!$C:$C,2863),INDEX(Suivi!$D:$D,2863)))</f>
        <v/>
      </c>
      <c r="D2810" s="29">
        <f>IF($B2810="","",INDEX(Suivi!$E:$E,2863))</f>
        <v/>
      </c>
      <c r="E2810" s="29">
        <f>IF($B2810="","",INDEX(Suivi!$F:$F,2863))</f>
        <v/>
      </c>
      <c r="F2810">
        <f>IF($B2810="","",INDEX(Suivi!$G:$G,2863))</f>
        <v/>
      </c>
      <c r="H2810">
        <f>IF(OR($B2810="",NOT(ISNUMBER($D2810))),"",IF($E2810&lt;$D$2,"Passé",IF($D2810&gt;$F$2,"À venir","Dans la période")))</f>
        <v/>
      </c>
      <c r="I2810">
        <f>IF(OR($B2810="",NOT(ISNUMBER($D2810))),"",IF(AND($E2810&lt;$D$2,$G2810&lt;&gt;"X",$F2810&lt;&gt;"Réalisé",$F2810&lt;&gt;"Clôturé"),"RETARD",""))</f>
        <v/>
      </c>
      <c r="J2810" s="29">
        <f>IF($B2810="","",IF(INDEX(Dossiers!$F$4:$F$63,53)="","",INDEX(Dossiers!$F$4:$F$63,53)))</f>
        <v/>
      </c>
      <c r="K2810" s="29">
        <f>IF($B2810="","",IF(INDEX(Dossiers!$G$4:$G$63,53)="","",INDEX(Dossiers!$G$4:$G$63,53)))</f>
        <v/>
      </c>
    </row>
    <row r="2811">
      <c r="A2811">
        <f>IF($B2811="","",INDEX(Dossiers!$E$4:$E$63,53))</f>
        <v/>
      </c>
      <c r="B2811">
        <f>IF(INDEX(Suivi!$B:$B,2864)="","",INDEX(Suivi!$B:$B,2864))</f>
        <v/>
      </c>
      <c r="C2811">
        <f>IF($B2811="","",IF(INDEX(Suivi!$D:$D,2864)="",INDEX(Suivi!$C:$C,2864),INDEX(Suivi!$D:$D,2864)))</f>
        <v/>
      </c>
      <c r="D2811" s="29">
        <f>IF($B2811="","",INDEX(Suivi!$E:$E,2864))</f>
        <v/>
      </c>
      <c r="E2811" s="29">
        <f>IF($B2811="","",INDEX(Suivi!$F:$F,2864))</f>
        <v/>
      </c>
      <c r="F2811">
        <f>IF($B2811="","",INDEX(Suivi!$G:$G,2864))</f>
        <v/>
      </c>
      <c r="H2811">
        <f>IF(OR($B2811="",NOT(ISNUMBER($D2811))),"",IF($E2811&lt;$D$2,"Passé",IF($D2811&gt;$F$2,"À venir","Dans la période")))</f>
        <v/>
      </c>
      <c r="I2811">
        <f>IF(OR($B2811="",NOT(ISNUMBER($D2811))),"",IF(AND($E2811&lt;$D$2,$G2811&lt;&gt;"X",$F2811&lt;&gt;"Réalisé",$F2811&lt;&gt;"Clôturé"),"RETARD",""))</f>
        <v/>
      </c>
      <c r="J2811" s="29">
        <f>IF($B2811="","",IF(INDEX(Dossiers!$F$4:$F$63,53)="","",INDEX(Dossiers!$F$4:$F$63,53)))</f>
        <v/>
      </c>
      <c r="K2811" s="29">
        <f>IF($B2811="","",IF(INDEX(Dossiers!$G$4:$G$63,53)="","",INDEX(Dossiers!$G$4:$G$63,53)))</f>
        <v/>
      </c>
    </row>
    <row r="2812">
      <c r="A2812">
        <f>IF($B2812="","",INDEX(Dossiers!$E$4:$E$63,53))</f>
        <v/>
      </c>
      <c r="B2812">
        <f>IF(INDEX(Suivi!$B:$B,2865)="","",INDEX(Suivi!$B:$B,2865))</f>
        <v/>
      </c>
      <c r="C2812">
        <f>IF($B2812="","",IF(INDEX(Suivi!$D:$D,2865)="",INDEX(Suivi!$C:$C,2865),INDEX(Suivi!$D:$D,2865)))</f>
        <v/>
      </c>
      <c r="D2812" s="29">
        <f>IF($B2812="","",INDEX(Suivi!$E:$E,2865))</f>
        <v/>
      </c>
      <c r="E2812" s="29">
        <f>IF($B2812="","",INDEX(Suivi!$F:$F,2865))</f>
        <v/>
      </c>
      <c r="F2812">
        <f>IF($B2812="","",INDEX(Suivi!$G:$G,2865))</f>
        <v/>
      </c>
      <c r="H2812">
        <f>IF(OR($B2812="",NOT(ISNUMBER($D2812))),"",IF($E2812&lt;$D$2,"Passé",IF($D2812&gt;$F$2,"À venir","Dans la période")))</f>
        <v/>
      </c>
      <c r="I2812">
        <f>IF(OR($B2812="",NOT(ISNUMBER($D2812))),"",IF(AND($E2812&lt;$D$2,$G2812&lt;&gt;"X",$F2812&lt;&gt;"Réalisé",$F2812&lt;&gt;"Clôturé"),"RETARD",""))</f>
        <v/>
      </c>
      <c r="J2812" s="29">
        <f>IF($B2812="","",IF(INDEX(Dossiers!$F$4:$F$63,53)="","",INDEX(Dossiers!$F$4:$F$63,53)))</f>
        <v/>
      </c>
      <c r="K2812" s="29">
        <f>IF($B2812="","",IF(INDEX(Dossiers!$G$4:$G$63,53)="","",INDEX(Dossiers!$G$4:$G$63,53)))</f>
        <v/>
      </c>
    </row>
    <row r="2813">
      <c r="A2813">
        <f>IF($B2813="","",INDEX(Dossiers!$E$4:$E$63,54))</f>
        <v/>
      </c>
      <c r="B2813">
        <f>IF(INDEX(Suivi!$B:$B,2867)="","",INDEX(Suivi!$B:$B,2867))</f>
        <v/>
      </c>
      <c r="C2813">
        <f>IF($B2813="","",IF(INDEX(Suivi!$D:$D,2867)="",INDEX(Suivi!$C:$C,2867),INDEX(Suivi!$D:$D,2867)))</f>
        <v/>
      </c>
      <c r="D2813" s="29">
        <f>IF($B2813="","",INDEX(Suivi!$E:$E,2867))</f>
        <v/>
      </c>
      <c r="E2813" s="29">
        <f>IF($B2813="","",INDEX(Suivi!$F:$F,2867))</f>
        <v/>
      </c>
      <c r="F2813">
        <f>IF($B2813="","",INDEX(Suivi!$G:$G,2867))</f>
        <v/>
      </c>
      <c r="H2813">
        <f>IF(OR($B2813="",NOT(ISNUMBER($D2813))),"",IF($E2813&lt;$D$2,"Passé",IF($D2813&gt;$F$2,"À venir","Dans la période")))</f>
        <v/>
      </c>
      <c r="I2813">
        <f>IF(OR($B2813="",NOT(ISNUMBER($D2813))),"",IF(AND($E2813&lt;$D$2,$G2813&lt;&gt;"X",$F2813&lt;&gt;"Réalisé",$F2813&lt;&gt;"Clôturé"),"RETARD",""))</f>
        <v/>
      </c>
      <c r="J2813" s="29">
        <f>IF($B2813="","",IF(INDEX(Dossiers!$F$4:$F$63,54)="","",INDEX(Dossiers!$F$4:$F$63,54)))</f>
        <v/>
      </c>
      <c r="K2813" s="29">
        <f>IF($B2813="","",IF(INDEX(Dossiers!$G$4:$G$63,54)="","",INDEX(Dossiers!$G$4:$G$63,54)))</f>
        <v/>
      </c>
    </row>
    <row r="2814">
      <c r="A2814">
        <f>IF($B2814="","",INDEX(Dossiers!$E$4:$E$63,54))</f>
        <v/>
      </c>
      <c r="B2814">
        <f>IF(INDEX(Suivi!$B:$B,2868)="","",INDEX(Suivi!$B:$B,2868))</f>
        <v/>
      </c>
      <c r="C2814">
        <f>IF($B2814="","",IF(INDEX(Suivi!$D:$D,2868)="",INDEX(Suivi!$C:$C,2868),INDEX(Suivi!$D:$D,2868)))</f>
        <v/>
      </c>
      <c r="D2814" s="29">
        <f>IF($B2814="","",INDEX(Suivi!$E:$E,2868))</f>
        <v/>
      </c>
      <c r="E2814" s="29">
        <f>IF($B2814="","",INDEX(Suivi!$F:$F,2868))</f>
        <v/>
      </c>
      <c r="F2814">
        <f>IF($B2814="","",INDEX(Suivi!$G:$G,2868))</f>
        <v/>
      </c>
      <c r="H2814">
        <f>IF(OR($B2814="",NOT(ISNUMBER($D2814))),"",IF($E2814&lt;$D$2,"Passé",IF($D2814&gt;$F$2,"À venir","Dans la période")))</f>
        <v/>
      </c>
      <c r="I2814">
        <f>IF(OR($B2814="",NOT(ISNUMBER($D2814))),"",IF(AND($E2814&lt;$D$2,$G2814&lt;&gt;"X",$F2814&lt;&gt;"Réalisé",$F2814&lt;&gt;"Clôturé"),"RETARD",""))</f>
        <v/>
      </c>
      <c r="J2814" s="29">
        <f>IF($B2814="","",IF(INDEX(Dossiers!$F$4:$F$63,54)="","",INDEX(Dossiers!$F$4:$F$63,54)))</f>
        <v/>
      </c>
      <c r="K2814" s="29">
        <f>IF($B2814="","",IF(INDEX(Dossiers!$G$4:$G$63,54)="","",INDEX(Dossiers!$G$4:$G$63,54)))</f>
        <v/>
      </c>
    </row>
    <row r="2815">
      <c r="A2815">
        <f>IF($B2815="","",INDEX(Dossiers!$E$4:$E$63,54))</f>
        <v/>
      </c>
      <c r="B2815">
        <f>IF(INDEX(Suivi!$B:$B,2869)="","",INDEX(Suivi!$B:$B,2869))</f>
        <v/>
      </c>
      <c r="C2815">
        <f>IF($B2815="","",IF(INDEX(Suivi!$D:$D,2869)="",INDEX(Suivi!$C:$C,2869),INDEX(Suivi!$D:$D,2869)))</f>
        <v/>
      </c>
      <c r="D2815" s="29">
        <f>IF($B2815="","",INDEX(Suivi!$E:$E,2869))</f>
        <v/>
      </c>
      <c r="E2815" s="29">
        <f>IF($B2815="","",INDEX(Suivi!$F:$F,2869))</f>
        <v/>
      </c>
      <c r="F2815">
        <f>IF($B2815="","",INDEX(Suivi!$G:$G,2869))</f>
        <v/>
      </c>
      <c r="H2815">
        <f>IF(OR($B2815="",NOT(ISNUMBER($D2815))),"",IF($E2815&lt;$D$2,"Passé",IF($D2815&gt;$F$2,"À venir","Dans la période")))</f>
        <v/>
      </c>
      <c r="I2815">
        <f>IF(OR($B2815="",NOT(ISNUMBER($D2815))),"",IF(AND($E2815&lt;$D$2,$G2815&lt;&gt;"X",$F2815&lt;&gt;"Réalisé",$F2815&lt;&gt;"Clôturé"),"RETARD",""))</f>
        <v/>
      </c>
      <c r="J2815" s="29">
        <f>IF($B2815="","",IF(INDEX(Dossiers!$F$4:$F$63,54)="","",INDEX(Dossiers!$F$4:$F$63,54)))</f>
        <v/>
      </c>
      <c r="K2815" s="29">
        <f>IF($B2815="","",IF(INDEX(Dossiers!$G$4:$G$63,54)="","",INDEX(Dossiers!$G$4:$G$63,54)))</f>
        <v/>
      </c>
    </row>
    <row r="2816">
      <c r="A2816">
        <f>IF($B2816="","",INDEX(Dossiers!$E$4:$E$63,54))</f>
        <v/>
      </c>
      <c r="B2816">
        <f>IF(INDEX(Suivi!$B:$B,2870)="","",INDEX(Suivi!$B:$B,2870))</f>
        <v/>
      </c>
      <c r="C2816">
        <f>IF($B2816="","",IF(INDEX(Suivi!$D:$D,2870)="",INDEX(Suivi!$C:$C,2870),INDEX(Suivi!$D:$D,2870)))</f>
        <v/>
      </c>
      <c r="D2816" s="29">
        <f>IF($B2816="","",INDEX(Suivi!$E:$E,2870))</f>
        <v/>
      </c>
      <c r="E2816" s="29">
        <f>IF($B2816="","",INDEX(Suivi!$F:$F,2870))</f>
        <v/>
      </c>
      <c r="F2816">
        <f>IF($B2816="","",INDEX(Suivi!$G:$G,2870))</f>
        <v/>
      </c>
      <c r="H2816">
        <f>IF(OR($B2816="",NOT(ISNUMBER($D2816))),"",IF($E2816&lt;$D$2,"Passé",IF($D2816&gt;$F$2,"À venir","Dans la période")))</f>
        <v/>
      </c>
      <c r="I2816">
        <f>IF(OR($B2816="",NOT(ISNUMBER($D2816))),"",IF(AND($E2816&lt;$D$2,$G2816&lt;&gt;"X",$F2816&lt;&gt;"Réalisé",$F2816&lt;&gt;"Clôturé"),"RETARD",""))</f>
        <v/>
      </c>
      <c r="J2816" s="29">
        <f>IF($B2816="","",IF(INDEX(Dossiers!$F$4:$F$63,54)="","",INDEX(Dossiers!$F$4:$F$63,54)))</f>
        <v/>
      </c>
      <c r="K2816" s="29">
        <f>IF($B2816="","",IF(INDEX(Dossiers!$G$4:$G$63,54)="","",INDEX(Dossiers!$G$4:$G$63,54)))</f>
        <v/>
      </c>
    </row>
    <row r="2817">
      <c r="A2817">
        <f>IF($B2817="","",INDEX(Dossiers!$E$4:$E$63,54))</f>
        <v/>
      </c>
      <c r="B2817">
        <f>IF(INDEX(Suivi!$B:$B,2871)="","",INDEX(Suivi!$B:$B,2871))</f>
        <v/>
      </c>
      <c r="C2817">
        <f>IF($B2817="","",IF(INDEX(Suivi!$D:$D,2871)="",INDEX(Suivi!$C:$C,2871),INDEX(Suivi!$D:$D,2871)))</f>
        <v/>
      </c>
      <c r="D2817" s="29">
        <f>IF($B2817="","",INDEX(Suivi!$E:$E,2871))</f>
        <v/>
      </c>
      <c r="E2817" s="29">
        <f>IF($B2817="","",INDEX(Suivi!$F:$F,2871))</f>
        <v/>
      </c>
      <c r="F2817">
        <f>IF($B2817="","",INDEX(Suivi!$G:$G,2871))</f>
        <v/>
      </c>
      <c r="H2817">
        <f>IF(OR($B2817="",NOT(ISNUMBER($D2817))),"",IF($E2817&lt;$D$2,"Passé",IF($D2817&gt;$F$2,"À venir","Dans la période")))</f>
        <v/>
      </c>
      <c r="I2817">
        <f>IF(OR($B2817="",NOT(ISNUMBER($D2817))),"",IF(AND($E2817&lt;$D$2,$G2817&lt;&gt;"X",$F2817&lt;&gt;"Réalisé",$F2817&lt;&gt;"Clôturé"),"RETARD",""))</f>
        <v/>
      </c>
      <c r="J2817" s="29">
        <f>IF($B2817="","",IF(INDEX(Dossiers!$F$4:$F$63,54)="","",INDEX(Dossiers!$F$4:$F$63,54)))</f>
        <v/>
      </c>
      <c r="K2817" s="29">
        <f>IF($B2817="","",IF(INDEX(Dossiers!$G$4:$G$63,54)="","",INDEX(Dossiers!$G$4:$G$63,54)))</f>
        <v/>
      </c>
    </row>
    <row r="2818">
      <c r="A2818">
        <f>IF($B2818="","",INDEX(Dossiers!$E$4:$E$63,54))</f>
        <v/>
      </c>
      <c r="B2818">
        <f>IF(INDEX(Suivi!$B:$B,2872)="","",INDEX(Suivi!$B:$B,2872))</f>
        <v/>
      </c>
      <c r="C2818">
        <f>IF($B2818="","",IF(INDEX(Suivi!$D:$D,2872)="",INDEX(Suivi!$C:$C,2872),INDEX(Suivi!$D:$D,2872)))</f>
        <v/>
      </c>
      <c r="D2818" s="29">
        <f>IF($B2818="","",INDEX(Suivi!$E:$E,2872))</f>
        <v/>
      </c>
      <c r="E2818" s="29">
        <f>IF($B2818="","",INDEX(Suivi!$F:$F,2872))</f>
        <v/>
      </c>
      <c r="F2818">
        <f>IF($B2818="","",INDEX(Suivi!$G:$G,2872))</f>
        <v/>
      </c>
      <c r="H2818">
        <f>IF(OR($B2818="",NOT(ISNUMBER($D2818))),"",IF($E2818&lt;$D$2,"Passé",IF($D2818&gt;$F$2,"À venir","Dans la période")))</f>
        <v/>
      </c>
      <c r="I2818">
        <f>IF(OR($B2818="",NOT(ISNUMBER($D2818))),"",IF(AND($E2818&lt;$D$2,$G2818&lt;&gt;"X",$F2818&lt;&gt;"Réalisé",$F2818&lt;&gt;"Clôturé"),"RETARD",""))</f>
        <v/>
      </c>
      <c r="J2818" s="29">
        <f>IF($B2818="","",IF(INDEX(Dossiers!$F$4:$F$63,54)="","",INDEX(Dossiers!$F$4:$F$63,54)))</f>
        <v/>
      </c>
      <c r="K2818" s="29">
        <f>IF($B2818="","",IF(INDEX(Dossiers!$G$4:$G$63,54)="","",INDEX(Dossiers!$G$4:$G$63,54)))</f>
        <v/>
      </c>
    </row>
    <row r="2819">
      <c r="A2819">
        <f>IF($B2819="","",INDEX(Dossiers!$E$4:$E$63,54))</f>
        <v/>
      </c>
      <c r="B2819">
        <f>IF(INDEX(Suivi!$B:$B,2873)="","",INDEX(Suivi!$B:$B,2873))</f>
        <v/>
      </c>
      <c r="C2819">
        <f>IF($B2819="","",IF(INDEX(Suivi!$D:$D,2873)="",INDEX(Suivi!$C:$C,2873),INDEX(Suivi!$D:$D,2873)))</f>
        <v/>
      </c>
      <c r="D2819" s="29">
        <f>IF($B2819="","",INDEX(Suivi!$E:$E,2873))</f>
        <v/>
      </c>
      <c r="E2819" s="29">
        <f>IF($B2819="","",INDEX(Suivi!$F:$F,2873))</f>
        <v/>
      </c>
      <c r="F2819">
        <f>IF($B2819="","",INDEX(Suivi!$G:$G,2873))</f>
        <v/>
      </c>
      <c r="H2819">
        <f>IF(OR($B2819="",NOT(ISNUMBER($D2819))),"",IF($E2819&lt;$D$2,"Passé",IF($D2819&gt;$F$2,"À venir","Dans la période")))</f>
        <v/>
      </c>
      <c r="I2819">
        <f>IF(OR($B2819="",NOT(ISNUMBER($D2819))),"",IF(AND($E2819&lt;$D$2,$G2819&lt;&gt;"X",$F2819&lt;&gt;"Réalisé",$F2819&lt;&gt;"Clôturé"),"RETARD",""))</f>
        <v/>
      </c>
      <c r="J2819" s="29">
        <f>IF($B2819="","",IF(INDEX(Dossiers!$F$4:$F$63,54)="","",INDEX(Dossiers!$F$4:$F$63,54)))</f>
        <v/>
      </c>
      <c r="K2819" s="29">
        <f>IF($B2819="","",IF(INDEX(Dossiers!$G$4:$G$63,54)="","",INDEX(Dossiers!$G$4:$G$63,54)))</f>
        <v/>
      </c>
    </row>
    <row r="2820">
      <c r="A2820">
        <f>IF($B2820="","",INDEX(Dossiers!$E$4:$E$63,54))</f>
        <v/>
      </c>
      <c r="B2820">
        <f>IF(INDEX(Suivi!$B:$B,2874)="","",INDEX(Suivi!$B:$B,2874))</f>
        <v/>
      </c>
      <c r="C2820">
        <f>IF($B2820="","",IF(INDEX(Suivi!$D:$D,2874)="",INDEX(Suivi!$C:$C,2874),INDEX(Suivi!$D:$D,2874)))</f>
        <v/>
      </c>
      <c r="D2820" s="29">
        <f>IF($B2820="","",INDEX(Suivi!$E:$E,2874))</f>
        <v/>
      </c>
      <c r="E2820" s="29">
        <f>IF($B2820="","",INDEX(Suivi!$F:$F,2874))</f>
        <v/>
      </c>
      <c r="F2820">
        <f>IF($B2820="","",INDEX(Suivi!$G:$G,2874))</f>
        <v/>
      </c>
      <c r="H2820">
        <f>IF(OR($B2820="",NOT(ISNUMBER($D2820))),"",IF($E2820&lt;$D$2,"Passé",IF($D2820&gt;$F$2,"À venir","Dans la période")))</f>
        <v/>
      </c>
      <c r="I2820">
        <f>IF(OR($B2820="",NOT(ISNUMBER($D2820))),"",IF(AND($E2820&lt;$D$2,$G2820&lt;&gt;"X",$F2820&lt;&gt;"Réalisé",$F2820&lt;&gt;"Clôturé"),"RETARD",""))</f>
        <v/>
      </c>
      <c r="J2820" s="29">
        <f>IF($B2820="","",IF(INDEX(Dossiers!$F$4:$F$63,54)="","",INDEX(Dossiers!$F$4:$F$63,54)))</f>
        <v/>
      </c>
      <c r="K2820" s="29">
        <f>IF($B2820="","",IF(INDEX(Dossiers!$G$4:$G$63,54)="","",INDEX(Dossiers!$G$4:$G$63,54)))</f>
        <v/>
      </c>
    </row>
    <row r="2821">
      <c r="A2821">
        <f>IF($B2821="","",INDEX(Dossiers!$E$4:$E$63,54))</f>
        <v/>
      </c>
      <c r="B2821">
        <f>IF(INDEX(Suivi!$B:$B,2875)="","",INDEX(Suivi!$B:$B,2875))</f>
        <v/>
      </c>
      <c r="C2821">
        <f>IF($B2821="","",IF(INDEX(Suivi!$D:$D,2875)="",INDEX(Suivi!$C:$C,2875),INDEX(Suivi!$D:$D,2875)))</f>
        <v/>
      </c>
      <c r="D2821" s="29">
        <f>IF($B2821="","",INDEX(Suivi!$E:$E,2875))</f>
        <v/>
      </c>
      <c r="E2821" s="29">
        <f>IF($B2821="","",INDEX(Suivi!$F:$F,2875))</f>
        <v/>
      </c>
      <c r="F2821">
        <f>IF($B2821="","",INDEX(Suivi!$G:$G,2875))</f>
        <v/>
      </c>
      <c r="H2821">
        <f>IF(OR($B2821="",NOT(ISNUMBER($D2821))),"",IF($E2821&lt;$D$2,"Passé",IF($D2821&gt;$F$2,"À venir","Dans la période")))</f>
        <v/>
      </c>
      <c r="I2821">
        <f>IF(OR($B2821="",NOT(ISNUMBER($D2821))),"",IF(AND($E2821&lt;$D$2,$G2821&lt;&gt;"X",$F2821&lt;&gt;"Réalisé",$F2821&lt;&gt;"Clôturé"),"RETARD",""))</f>
        <v/>
      </c>
      <c r="J2821" s="29">
        <f>IF($B2821="","",IF(INDEX(Dossiers!$F$4:$F$63,54)="","",INDEX(Dossiers!$F$4:$F$63,54)))</f>
        <v/>
      </c>
      <c r="K2821" s="29">
        <f>IF($B2821="","",IF(INDEX(Dossiers!$G$4:$G$63,54)="","",INDEX(Dossiers!$G$4:$G$63,54)))</f>
        <v/>
      </c>
    </row>
    <row r="2822">
      <c r="A2822">
        <f>IF($B2822="","",INDEX(Dossiers!$E$4:$E$63,54))</f>
        <v/>
      </c>
      <c r="B2822">
        <f>IF(INDEX(Suivi!$B:$B,2876)="","",INDEX(Suivi!$B:$B,2876))</f>
        <v/>
      </c>
      <c r="C2822">
        <f>IF($B2822="","",IF(INDEX(Suivi!$D:$D,2876)="",INDEX(Suivi!$C:$C,2876),INDEX(Suivi!$D:$D,2876)))</f>
        <v/>
      </c>
      <c r="D2822" s="29">
        <f>IF($B2822="","",INDEX(Suivi!$E:$E,2876))</f>
        <v/>
      </c>
      <c r="E2822" s="29">
        <f>IF($B2822="","",INDEX(Suivi!$F:$F,2876))</f>
        <v/>
      </c>
      <c r="F2822">
        <f>IF($B2822="","",INDEX(Suivi!$G:$G,2876))</f>
        <v/>
      </c>
      <c r="H2822">
        <f>IF(OR($B2822="",NOT(ISNUMBER($D2822))),"",IF($E2822&lt;$D$2,"Passé",IF($D2822&gt;$F$2,"À venir","Dans la période")))</f>
        <v/>
      </c>
      <c r="I2822">
        <f>IF(OR($B2822="",NOT(ISNUMBER($D2822))),"",IF(AND($E2822&lt;$D$2,$G2822&lt;&gt;"X",$F2822&lt;&gt;"Réalisé",$F2822&lt;&gt;"Clôturé"),"RETARD",""))</f>
        <v/>
      </c>
      <c r="J2822" s="29">
        <f>IF($B2822="","",IF(INDEX(Dossiers!$F$4:$F$63,54)="","",INDEX(Dossiers!$F$4:$F$63,54)))</f>
        <v/>
      </c>
      <c r="K2822" s="29">
        <f>IF($B2822="","",IF(INDEX(Dossiers!$G$4:$G$63,54)="","",INDEX(Dossiers!$G$4:$G$63,54)))</f>
        <v/>
      </c>
    </row>
    <row r="2823">
      <c r="A2823">
        <f>IF($B2823="","",INDEX(Dossiers!$E$4:$E$63,54))</f>
        <v/>
      </c>
      <c r="B2823">
        <f>IF(INDEX(Suivi!$B:$B,2877)="","",INDEX(Suivi!$B:$B,2877))</f>
        <v/>
      </c>
      <c r="C2823">
        <f>IF($B2823="","",IF(INDEX(Suivi!$D:$D,2877)="",INDEX(Suivi!$C:$C,2877),INDEX(Suivi!$D:$D,2877)))</f>
        <v/>
      </c>
      <c r="D2823" s="29">
        <f>IF($B2823="","",INDEX(Suivi!$E:$E,2877))</f>
        <v/>
      </c>
      <c r="E2823" s="29">
        <f>IF($B2823="","",INDEX(Suivi!$F:$F,2877))</f>
        <v/>
      </c>
      <c r="F2823">
        <f>IF($B2823="","",INDEX(Suivi!$G:$G,2877))</f>
        <v/>
      </c>
      <c r="H2823">
        <f>IF(OR($B2823="",NOT(ISNUMBER($D2823))),"",IF($E2823&lt;$D$2,"Passé",IF($D2823&gt;$F$2,"À venir","Dans la période")))</f>
        <v/>
      </c>
      <c r="I2823">
        <f>IF(OR($B2823="",NOT(ISNUMBER($D2823))),"",IF(AND($E2823&lt;$D$2,$G2823&lt;&gt;"X",$F2823&lt;&gt;"Réalisé",$F2823&lt;&gt;"Clôturé"),"RETARD",""))</f>
        <v/>
      </c>
      <c r="J2823" s="29">
        <f>IF($B2823="","",IF(INDEX(Dossiers!$F$4:$F$63,54)="","",INDEX(Dossiers!$F$4:$F$63,54)))</f>
        <v/>
      </c>
      <c r="K2823" s="29">
        <f>IF($B2823="","",IF(INDEX(Dossiers!$G$4:$G$63,54)="","",INDEX(Dossiers!$G$4:$G$63,54)))</f>
        <v/>
      </c>
    </row>
    <row r="2824">
      <c r="A2824">
        <f>IF($B2824="","",INDEX(Dossiers!$E$4:$E$63,54))</f>
        <v/>
      </c>
      <c r="B2824">
        <f>IF(INDEX(Suivi!$B:$B,2878)="","",INDEX(Suivi!$B:$B,2878))</f>
        <v/>
      </c>
      <c r="C2824">
        <f>IF($B2824="","",IF(INDEX(Suivi!$D:$D,2878)="",INDEX(Suivi!$C:$C,2878),INDEX(Suivi!$D:$D,2878)))</f>
        <v/>
      </c>
      <c r="D2824" s="29">
        <f>IF($B2824="","",INDEX(Suivi!$E:$E,2878))</f>
        <v/>
      </c>
      <c r="E2824" s="29">
        <f>IF($B2824="","",INDEX(Suivi!$F:$F,2878))</f>
        <v/>
      </c>
      <c r="F2824">
        <f>IF($B2824="","",INDEX(Suivi!$G:$G,2878))</f>
        <v/>
      </c>
      <c r="H2824">
        <f>IF(OR($B2824="",NOT(ISNUMBER($D2824))),"",IF($E2824&lt;$D$2,"Passé",IF($D2824&gt;$F$2,"À venir","Dans la période")))</f>
        <v/>
      </c>
      <c r="I2824">
        <f>IF(OR($B2824="",NOT(ISNUMBER($D2824))),"",IF(AND($E2824&lt;$D$2,$G2824&lt;&gt;"X",$F2824&lt;&gt;"Réalisé",$F2824&lt;&gt;"Clôturé"),"RETARD",""))</f>
        <v/>
      </c>
      <c r="J2824" s="29">
        <f>IF($B2824="","",IF(INDEX(Dossiers!$F$4:$F$63,54)="","",INDEX(Dossiers!$F$4:$F$63,54)))</f>
        <v/>
      </c>
      <c r="K2824" s="29">
        <f>IF($B2824="","",IF(INDEX(Dossiers!$G$4:$G$63,54)="","",INDEX(Dossiers!$G$4:$G$63,54)))</f>
        <v/>
      </c>
    </row>
    <row r="2825">
      <c r="A2825">
        <f>IF($B2825="","",INDEX(Dossiers!$E$4:$E$63,54))</f>
        <v/>
      </c>
      <c r="B2825">
        <f>IF(INDEX(Suivi!$B:$B,2879)="","",INDEX(Suivi!$B:$B,2879))</f>
        <v/>
      </c>
      <c r="C2825">
        <f>IF($B2825="","",IF(INDEX(Suivi!$D:$D,2879)="",INDEX(Suivi!$C:$C,2879),INDEX(Suivi!$D:$D,2879)))</f>
        <v/>
      </c>
      <c r="D2825" s="29">
        <f>IF($B2825="","",INDEX(Suivi!$E:$E,2879))</f>
        <v/>
      </c>
      <c r="E2825" s="29">
        <f>IF($B2825="","",INDEX(Suivi!$F:$F,2879))</f>
        <v/>
      </c>
      <c r="F2825">
        <f>IF($B2825="","",INDEX(Suivi!$G:$G,2879))</f>
        <v/>
      </c>
      <c r="H2825">
        <f>IF(OR($B2825="",NOT(ISNUMBER($D2825))),"",IF($E2825&lt;$D$2,"Passé",IF($D2825&gt;$F$2,"À venir","Dans la période")))</f>
        <v/>
      </c>
      <c r="I2825">
        <f>IF(OR($B2825="",NOT(ISNUMBER($D2825))),"",IF(AND($E2825&lt;$D$2,$G2825&lt;&gt;"X",$F2825&lt;&gt;"Réalisé",$F2825&lt;&gt;"Clôturé"),"RETARD",""))</f>
        <v/>
      </c>
      <c r="J2825" s="29">
        <f>IF($B2825="","",IF(INDEX(Dossiers!$F$4:$F$63,54)="","",INDEX(Dossiers!$F$4:$F$63,54)))</f>
        <v/>
      </c>
      <c r="K2825" s="29">
        <f>IF($B2825="","",IF(INDEX(Dossiers!$G$4:$G$63,54)="","",INDEX(Dossiers!$G$4:$G$63,54)))</f>
        <v/>
      </c>
    </row>
    <row r="2826">
      <c r="A2826">
        <f>IF($B2826="","",INDEX(Dossiers!$E$4:$E$63,54))</f>
        <v/>
      </c>
      <c r="B2826">
        <f>IF(INDEX(Suivi!$B:$B,2880)="","",INDEX(Suivi!$B:$B,2880))</f>
        <v/>
      </c>
      <c r="C2826">
        <f>IF($B2826="","",IF(INDEX(Suivi!$D:$D,2880)="",INDEX(Suivi!$C:$C,2880),INDEX(Suivi!$D:$D,2880)))</f>
        <v/>
      </c>
      <c r="D2826" s="29">
        <f>IF($B2826="","",INDEX(Suivi!$E:$E,2880))</f>
        <v/>
      </c>
      <c r="E2826" s="29">
        <f>IF($B2826="","",INDEX(Suivi!$F:$F,2880))</f>
        <v/>
      </c>
      <c r="F2826">
        <f>IF($B2826="","",INDEX(Suivi!$G:$G,2880))</f>
        <v/>
      </c>
      <c r="H2826">
        <f>IF(OR($B2826="",NOT(ISNUMBER($D2826))),"",IF($E2826&lt;$D$2,"Passé",IF($D2826&gt;$F$2,"À venir","Dans la période")))</f>
        <v/>
      </c>
      <c r="I2826">
        <f>IF(OR($B2826="",NOT(ISNUMBER($D2826))),"",IF(AND($E2826&lt;$D$2,$G2826&lt;&gt;"X",$F2826&lt;&gt;"Réalisé",$F2826&lt;&gt;"Clôturé"),"RETARD",""))</f>
        <v/>
      </c>
      <c r="J2826" s="29">
        <f>IF($B2826="","",IF(INDEX(Dossiers!$F$4:$F$63,54)="","",INDEX(Dossiers!$F$4:$F$63,54)))</f>
        <v/>
      </c>
      <c r="K2826" s="29">
        <f>IF($B2826="","",IF(INDEX(Dossiers!$G$4:$G$63,54)="","",INDEX(Dossiers!$G$4:$G$63,54)))</f>
        <v/>
      </c>
    </row>
    <row r="2827">
      <c r="A2827">
        <f>IF($B2827="","",INDEX(Dossiers!$E$4:$E$63,54))</f>
        <v/>
      </c>
      <c r="B2827">
        <f>IF(INDEX(Suivi!$B:$B,2881)="","",INDEX(Suivi!$B:$B,2881))</f>
        <v/>
      </c>
      <c r="C2827">
        <f>IF($B2827="","",IF(INDEX(Suivi!$D:$D,2881)="",INDEX(Suivi!$C:$C,2881),INDEX(Suivi!$D:$D,2881)))</f>
        <v/>
      </c>
      <c r="D2827" s="29">
        <f>IF($B2827="","",INDEX(Suivi!$E:$E,2881))</f>
        <v/>
      </c>
      <c r="E2827" s="29">
        <f>IF($B2827="","",INDEX(Suivi!$F:$F,2881))</f>
        <v/>
      </c>
      <c r="F2827">
        <f>IF($B2827="","",INDEX(Suivi!$G:$G,2881))</f>
        <v/>
      </c>
      <c r="H2827">
        <f>IF(OR($B2827="",NOT(ISNUMBER($D2827))),"",IF($E2827&lt;$D$2,"Passé",IF($D2827&gt;$F$2,"À venir","Dans la période")))</f>
        <v/>
      </c>
      <c r="I2827">
        <f>IF(OR($B2827="",NOT(ISNUMBER($D2827))),"",IF(AND($E2827&lt;$D$2,$G2827&lt;&gt;"X",$F2827&lt;&gt;"Réalisé",$F2827&lt;&gt;"Clôturé"),"RETARD",""))</f>
        <v/>
      </c>
      <c r="J2827" s="29">
        <f>IF($B2827="","",IF(INDEX(Dossiers!$F$4:$F$63,54)="","",INDEX(Dossiers!$F$4:$F$63,54)))</f>
        <v/>
      </c>
      <c r="K2827" s="29">
        <f>IF($B2827="","",IF(INDEX(Dossiers!$G$4:$G$63,54)="","",INDEX(Dossiers!$G$4:$G$63,54)))</f>
        <v/>
      </c>
    </row>
    <row r="2828">
      <c r="A2828">
        <f>IF($B2828="","",INDEX(Dossiers!$E$4:$E$63,54))</f>
        <v/>
      </c>
      <c r="B2828">
        <f>IF(INDEX(Suivi!$B:$B,2882)="","",INDEX(Suivi!$B:$B,2882))</f>
        <v/>
      </c>
      <c r="C2828">
        <f>IF($B2828="","",IF(INDEX(Suivi!$D:$D,2882)="",INDEX(Suivi!$C:$C,2882),INDEX(Suivi!$D:$D,2882)))</f>
        <v/>
      </c>
      <c r="D2828" s="29">
        <f>IF($B2828="","",INDEX(Suivi!$E:$E,2882))</f>
        <v/>
      </c>
      <c r="E2828" s="29">
        <f>IF($B2828="","",INDEX(Suivi!$F:$F,2882))</f>
        <v/>
      </c>
      <c r="F2828">
        <f>IF($B2828="","",INDEX(Suivi!$G:$G,2882))</f>
        <v/>
      </c>
      <c r="H2828">
        <f>IF(OR($B2828="",NOT(ISNUMBER($D2828))),"",IF($E2828&lt;$D$2,"Passé",IF($D2828&gt;$F$2,"À venir","Dans la période")))</f>
        <v/>
      </c>
      <c r="I2828">
        <f>IF(OR($B2828="",NOT(ISNUMBER($D2828))),"",IF(AND($E2828&lt;$D$2,$G2828&lt;&gt;"X",$F2828&lt;&gt;"Réalisé",$F2828&lt;&gt;"Clôturé"),"RETARD",""))</f>
        <v/>
      </c>
      <c r="J2828" s="29">
        <f>IF($B2828="","",IF(INDEX(Dossiers!$F$4:$F$63,54)="","",INDEX(Dossiers!$F$4:$F$63,54)))</f>
        <v/>
      </c>
      <c r="K2828" s="29">
        <f>IF($B2828="","",IF(INDEX(Dossiers!$G$4:$G$63,54)="","",INDEX(Dossiers!$G$4:$G$63,54)))</f>
        <v/>
      </c>
    </row>
    <row r="2829">
      <c r="A2829">
        <f>IF($B2829="","",INDEX(Dossiers!$E$4:$E$63,54))</f>
        <v/>
      </c>
      <c r="B2829">
        <f>IF(INDEX(Suivi!$B:$B,2883)="","",INDEX(Suivi!$B:$B,2883))</f>
        <v/>
      </c>
      <c r="C2829">
        <f>IF($B2829="","",IF(INDEX(Suivi!$D:$D,2883)="",INDEX(Suivi!$C:$C,2883),INDEX(Suivi!$D:$D,2883)))</f>
        <v/>
      </c>
      <c r="D2829" s="29">
        <f>IF($B2829="","",INDEX(Suivi!$E:$E,2883))</f>
        <v/>
      </c>
      <c r="E2829" s="29">
        <f>IF($B2829="","",INDEX(Suivi!$F:$F,2883))</f>
        <v/>
      </c>
      <c r="F2829">
        <f>IF($B2829="","",INDEX(Suivi!$G:$G,2883))</f>
        <v/>
      </c>
      <c r="H2829">
        <f>IF(OR($B2829="",NOT(ISNUMBER($D2829))),"",IF($E2829&lt;$D$2,"Passé",IF($D2829&gt;$F$2,"À venir","Dans la période")))</f>
        <v/>
      </c>
      <c r="I2829">
        <f>IF(OR($B2829="",NOT(ISNUMBER($D2829))),"",IF(AND($E2829&lt;$D$2,$G2829&lt;&gt;"X",$F2829&lt;&gt;"Réalisé",$F2829&lt;&gt;"Clôturé"),"RETARD",""))</f>
        <v/>
      </c>
      <c r="J2829" s="29">
        <f>IF($B2829="","",IF(INDEX(Dossiers!$F$4:$F$63,54)="","",INDEX(Dossiers!$F$4:$F$63,54)))</f>
        <v/>
      </c>
      <c r="K2829" s="29">
        <f>IF($B2829="","",IF(INDEX(Dossiers!$G$4:$G$63,54)="","",INDEX(Dossiers!$G$4:$G$63,54)))</f>
        <v/>
      </c>
    </row>
    <row r="2830">
      <c r="A2830">
        <f>IF($B2830="","",INDEX(Dossiers!$E$4:$E$63,54))</f>
        <v/>
      </c>
      <c r="B2830">
        <f>IF(INDEX(Suivi!$B:$B,2884)="","",INDEX(Suivi!$B:$B,2884))</f>
        <v/>
      </c>
      <c r="C2830">
        <f>IF($B2830="","",IF(INDEX(Suivi!$D:$D,2884)="",INDEX(Suivi!$C:$C,2884),INDEX(Suivi!$D:$D,2884)))</f>
        <v/>
      </c>
      <c r="D2830" s="29">
        <f>IF($B2830="","",INDEX(Suivi!$E:$E,2884))</f>
        <v/>
      </c>
      <c r="E2830" s="29">
        <f>IF($B2830="","",INDEX(Suivi!$F:$F,2884))</f>
        <v/>
      </c>
      <c r="F2830">
        <f>IF($B2830="","",INDEX(Suivi!$G:$G,2884))</f>
        <v/>
      </c>
      <c r="H2830">
        <f>IF(OR($B2830="",NOT(ISNUMBER($D2830))),"",IF($E2830&lt;$D$2,"Passé",IF($D2830&gt;$F$2,"À venir","Dans la période")))</f>
        <v/>
      </c>
      <c r="I2830">
        <f>IF(OR($B2830="",NOT(ISNUMBER($D2830))),"",IF(AND($E2830&lt;$D$2,$G2830&lt;&gt;"X",$F2830&lt;&gt;"Réalisé",$F2830&lt;&gt;"Clôturé"),"RETARD",""))</f>
        <v/>
      </c>
      <c r="J2830" s="29">
        <f>IF($B2830="","",IF(INDEX(Dossiers!$F$4:$F$63,54)="","",INDEX(Dossiers!$F$4:$F$63,54)))</f>
        <v/>
      </c>
      <c r="K2830" s="29">
        <f>IF($B2830="","",IF(INDEX(Dossiers!$G$4:$G$63,54)="","",INDEX(Dossiers!$G$4:$G$63,54)))</f>
        <v/>
      </c>
    </row>
    <row r="2831">
      <c r="A2831">
        <f>IF($B2831="","",INDEX(Dossiers!$E$4:$E$63,54))</f>
        <v/>
      </c>
      <c r="B2831">
        <f>IF(INDEX(Suivi!$B:$B,2885)="","",INDEX(Suivi!$B:$B,2885))</f>
        <v/>
      </c>
      <c r="C2831">
        <f>IF($B2831="","",IF(INDEX(Suivi!$D:$D,2885)="",INDEX(Suivi!$C:$C,2885),INDEX(Suivi!$D:$D,2885)))</f>
        <v/>
      </c>
      <c r="D2831" s="29">
        <f>IF($B2831="","",INDEX(Suivi!$E:$E,2885))</f>
        <v/>
      </c>
      <c r="E2831" s="29">
        <f>IF($B2831="","",INDEX(Suivi!$F:$F,2885))</f>
        <v/>
      </c>
      <c r="F2831">
        <f>IF($B2831="","",INDEX(Suivi!$G:$G,2885))</f>
        <v/>
      </c>
      <c r="H2831">
        <f>IF(OR($B2831="",NOT(ISNUMBER($D2831))),"",IF($E2831&lt;$D$2,"Passé",IF($D2831&gt;$F$2,"À venir","Dans la période")))</f>
        <v/>
      </c>
      <c r="I2831">
        <f>IF(OR($B2831="",NOT(ISNUMBER($D2831))),"",IF(AND($E2831&lt;$D$2,$G2831&lt;&gt;"X",$F2831&lt;&gt;"Réalisé",$F2831&lt;&gt;"Clôturé"),"RETARD",""))</f>
        <v/>
      </c>
      <c r="J2831" s="29">
        <f>IF($B2831="","",IF(INDEX(Dossiers!$F$4:$F$63,54)="","",INDEX(Dossiers!$F$4:$F$63,54)))</f>
        <v/>
      </c>
      <c r="K2831" s="29">
        <f>IF($B2831="","",IF(INDEX(Dossiers!$G$4:$G$63,54)="","",INDEX(Dossiers!$G$4:$G$63,54)))</f>
        <v/>
      </c>
    </row>
    <row r="2832">
      <c r="A2832">
        <f>IF($B2832="","",INDEX(Dossiers!$E$4:$E$63,54))</f>
        <v/>
      </c>
      <c r="B2832">
        <f>IF(INDEX(Suivi!$B:$B,2886)="","",INDEX(Suivi!$B:$B,2886))</f>
        <v/>
      </c>
      <c r="C2832">
        <f>IF($B2832="","",IF(INDEX(Suivi!$D:$D,2886)="",INDEX(Suivi!$C:$C,2886),INDEX(Suivi!$D:$D,2886)))</f>
        <v/>
      </c>
      <c r="D2832" s="29">
        <f>IF($B2832="","",INDEX(Suivi!$E:$E,2886))</f>
        <v/>
      </c>
      <c r="E2832" s="29">
        <f>IF($B2832="","",INDEX(Suivi!$F:$F,2886))</f>
        <v/>
      </c>
      <c r="F2832">
        <f>IF($B2832="","",INDEX(Suivi!$G:$G,2886))</f>
        <v/>
      </c>
      <c r="H2832">
        <f>IF(OR($B2832="",NOT(ISNUMBER($D2832))),"",IF($E2832&lt;$D$2,"Passé",IF($D2832&gt;$F$2,"À venir","Dans la période")))</f>
        <v/>
      </c>
      <c r="I2832">
        <f>IF(OR($B2832="",NOT(ISNUMBER($D2832))),"",IF(AND($E2832&lt;$D$2,$G2832&lt;&gt;"X",$F2832&lt;&gt;"Réalisé",$F2832&lt;&gt;"Clôturé"),"RETARD",""))</f>
        <v/>
      </c>
      <c r="J2832" s="29">
        <f>IF($B2832="","",IF(INDEX(Dossiers!$F$4:$F$63,54)="","",INDEX(Dossiers!$F$4:$F$63,54)))</f>
        <v/>
      </c>
      <c r="K2832" s="29">
        <f>IF($B2832="","",IF(INDEX(Dossiers!$G$4:$G$63,54)="","",INDEX(Dossiers!$G$4:$G$63,54)))</f>
        <v/>
      </c>
    </row>
    <row r="2833">
      <c r="A2833">
        <f>IF($B2833="","",INDEX(Dossiers!$E$4:$E$63,54))</f>
        <v/>
      </c>
      <c r="B2833">
        <f>IF(INDEX(Suivi!$B:$B,2887)="","",INDEX(Suivi!$B:$B,2887))</f>
        <v/>
      </c>
      <c r="C2833">
        <f>IF($B2833="","",IF(INDEX(Suivi!$D:$D,2887)="",INDEX(Suivi!$C:$C,2887),INDEX(Suivi!$D:$D,2887)))</f>
        <v/>
      </c>
      <c r="D2833" s="29">
        <f>IF($B2833="","",INDEX(Suivi!$E:$E,2887))</f>
        <v/>
      </c>
      <c r="E2833" s="29">
        <f>IF($B2833="","",INDEX(Suivi!$F:$F,2887))</f>
        <v/>
      </c>
      <c r="F2833">
        <f>IF($B2833="","",INDEX(Suivi!$G:$G,2887))</f>
        <v/>
      </c>
      <c r="H2833">
        <f>IF(OR($B2833="",NOT(ISNUMBER($D2833))),"",IF($E2833&lt;$D$2,"Passé",IF($D2833&gt;$F$2,"À venir","Dans la période")))</f>
        <v/>
      </c>
      <c r="I2833">
        <f>IF(OR($B2833="",NOT(ISNUMBER($D2833))),"",IF(AND($E2833&lt;$D$2,$G2833&lt;&gt;"X",$F2833&lt;&gt;"Réalisé",$F2833&lt;&gt;"Clôturé"),"RETARD",""))</f>
        <v/>
      </c>
      <c r="J2833" s="29">
        <f>IF($B2833="","",IF(INDEX(Dossiers!$F$4:$F$63,54)="","",INDEX(Dossiers!$F$4:$F$63,54)))</f>
        <v/>
      </c>
      <c r="K2833" s="29">
        <f>IF($B2833="","",IF(INDEX(Dossiers!$G$4:$G$63,54)="","",INDEX(Dossiers!$G$4:$G$63,54)))</f>
        <v/>
      </c>
    </row>
    <row r="2834">
      <c r="A2834">
        <f>IF($B2834="","",INDEX(Dossiers!$E$4:$E$63,54))</f>
        <v/>
      </c>
      <c r="B2834">
        <f>IF(INDEX(Suivi!$B:$B,2888)="","",INDEX(Suivi!$B:$B,2888))</f>
        <v/>
      </c>
      <c r="C2834">
        <f>IF($B2834="","",IF(INDEX(Suivi!$D:$D,2888)="",INDEX(Suivi!$C:$C,2888),INDEX(Suivi!$D:$D,2888)))</f>
        <v/>
      </c>
      <c r="D2834" s="29">
        <f>IF($B2834="","",INDEX(Suivi!$E:$E,2888))</f>
        <v/>
      </c>
      <c r="E2834" s="29">
        <f>IF($B2834="","",INDEX(Suivi!$F:$F,2888))</f>
        <v/>
      </c>
      <c r="F2834">
        <f>IF($B2834="","",INDEX(Suivi!$G:$G,2888))</f>
        <v/>
      </c>
      <c r="H2834">
        <f>IF(OR($B2834="",NOT(ISNUMBER($D2834))),"",IF($E2834&lt;$D$2,"Passé",IF($D2834&gt;$F$2,"À venir","Dans la période")))</f>
        <v/>
      </c>
      <c r="I2834">
        <f>IF(OR($B2834="",NOT(ISNUMBER($D2834))),"",IF(AND($E2834&lt;$D$2,$G2834&lt;&gt;"X",$F2834&lt;&gt;"Réalisé",$F2834&lt;&gt;"Clôturé"),"RETARD",""))</f>
        <v/>
      </c>
      <c r="J2834" s="29">
        <f>IF($B2834="","",IF(INDEX(Dossiers!$F$4:$F$63,54)="","",INDEX(Dossiers!$F$4:$F$63,54)))</f>
        <v/>
      </c>
      <c r="K2834" s="29">
        <f>IF($B2834="","",IF(INDEX(Dossiers!$G$4:$G$63,54)="","",INDEX(Dossiers!$G$4:$G$63,54)))</f>
        <v/>
      </c>
    </row>
    <row r="2835">
      <c r="A2835">
        <f>IF($B2835="","",INDEX(Dossiers!$E$4:$E$63,54))</f>
        <v/>
      </c>
      <c r="B2835">
        <f>IF(INDEX(Suivi!$B:$B,2889)="","",INDEX(Suivi!$B:$B,2889))</f>
        <v/>
      </c>
      <c r="C2835">
        <f>IF($B2835="","",IF(INDEX(Suivi!$D:$D,2889)="",INDEX(Suivi!$C:$C,2889),INDEX(Suivi!$D:$D,2889)))</f>
        <v/>
      </c>
      <c r="D2835" s="29">
        <f>IF($B2835="","",INDEX(Suivi!$E:$E,2889))</f>
        <v/>
      </c>
      <c r="E2835" s="29">
        <f>IF($B2835="","",INDEX(Suivi!$F:$F,2889))</f>
        <v/>
      </c>
      <c r="F2835">
        <f>IF($B2835="","",INDEX(Suivi!$G:$G,2889))</f>
        <v/>
      </c>
      <c r="H2835">
        <f>IF(OR($B2835="",NOT(ISNUMBER($D2835))),"",IF($E2835&lt;$D$2,"Passé",IF($D2835&gt;$F$2,"À venir","Dans la période")))</f>
        <v/>
      </c>
      <c r="I2835">
        <f>IF(OR($B2835="",NOT(ISNUMBER($D2835))),"",IF(AND($E2835&lt;$D$2,$G2835&lt;&gt;"X",$F2835&lt;&gt;"Réalisé",$F2835&lt;&gt;"Clôturé"),"RETARD",""))</f>
        <v/>
      </c>
      <c r="J2835" s="29">
        <f>IF($B2835="","",IF(INDEX(Dossiers!$F$4:$F$63,54)="","",INDEX(Dossiers!$F$4:$F$63,54)))</f>
        <v/>
      </c>
      <c r="K2835" s="29">
        <f>IF($B2835="","",IF(INDEX(Dossiers!$G$4:$G$63,54)="","",INDEX(Dossiers!$G$4:$G$63,54)))</f>
        <v/>
      </c>
    </row>
    <row r="2836">
      <c r="A2836">
        <f>IF($B2836="","",INDEX(Dossiers!$E$4:$E$63,54))</f>
        <v/>
      </c>
      <c r="B2836">
        <f>IF(INDEX(Suivi!$B:$B,2890)="","",INDEX(Suivi!$B:$B,2890))</f>
        <v/>
      </c>
      <c r="C2836">
        <f>IF($B2836="","",IF(INDEX(Suivi!$D:$D,2890)="",INDEX(Suivi!$C:$C,2890),INDEX(Suivi!$D:$D,2890)))</f>
        <v/>
      </c>
      <c r="D2836" s="29">
        <f>IF($B2836="","",INDEX(Suivi!$E:$E,2890))</f>
        <v/>
      </c>
      <c r="E2836" s="29">
        <f>IF($B2836="","",INDEX(Suivi!$F:$F,2890))</f>
        <v/>
      </c>
      <c r="F2836">
        <f>IF($B2836="","",INDEX(Suivi!$G:$G,2890))</f>
        <v/>
      </c>
      <c r="H2836">
        <f>IF(OR($B2836="",NOT(ISNUMBER($D2836))),"",IF($E2836&lt;$D$2,"Passé",IF($D2836&gt;$F$2,"À venir","Dans la période")))</f>
        <v/>
      </c>
      <c r="I2836">
        <f>IF(OR($B2836="",NOT(ISNUMBER($D2836))),"",IF(AND($E2836&lt;$D$2,$G2836&lt;&gt;"X",$F2836&lt;&gt;"Réalisé",$F2836&lt;&gt;"Clôturé"),"RETARD",""))</f>
        <v/>
      </c>
      <c r="J2836" s="29">
        <f>IF($B2836="","",IF(INDEX(Dossiers!$F$4:$F$63,54)="","",INDEX(Dossiers!$F$4:$F$63,54)))</f>
        <v/>
      </c>
      <c r="K2836" s="29">
        <f>IF($B2836="","",IF(INDEX(Dossiers!$G$4:$G$63,54)="","",INDEX(Dossiers!$G$4:$G$63,54)))</f>
        <v/>
      </c>
    </row>
    <row r="2837">
      <c r="A2837">
        <f>IF($B2837="","",INDEX(Dossiers!$E$4:$E$63,54))</f>
        <v/>
      </c>
      <c r="B2837">
        <f>IF(INDEX(Suivi!$B:$B,2891)="","",INDEX(Suivi!$B:$B,2891))</f>
        <v/>
      </c>
      <c r="C2837">
        <f>IF($B2837="","",IF(INDEX(Suivi!$D:$D,2891)="",INDEX(Suivi!$C:$C,2891),INDEX(Suivi!$D:$D,2891)))</f>
        <v/>
      </c>
      <c r="D2837" s="29">
        <f>IF($B2837="","",INDEX(Suivi!$E:$E,2891))</f>
        <v/>
      </c>
      <c r="E2837" s="29">
        <f>IF($B2837="","",INDEX(Suivi!$F:$F,2891))</f>
        <v/>
      </c>
      <c r="F2837">
        <f>IF($B2837="","",INDEX(Suivi!$G:$G,2891))</f>
        <v/>
      </c>
      <c r="H2837">
        <f>IF(OR($B2837="",NOT(ISNUMBER($D2837))),"",IF($E2837&lt;$D$2,"Passé",IF($D2837&gt;$F$2,"À venir","Dans la période")))</f>
        <v/>
      </c>
      <c r="I2837">
        <f>IF(OR($B2837="",NOT(ISNUMBER($D2837))),"",IF(AND($E2837&lt;$D$2,$G2837&lt;&gt;"X",$F2837&lt;&gt;"Réalisé",$F2837&lt;&gt;"Clôturé"),"RETARD",""))</f>
        <v/>
      </c>
      <c r="J2837" s="29">
        <f>IF($B2837="","",IF(INDEX(Dossiers!$F$4:$F$63,54)="","",INDEX(Dossiers!$F$4:$F$63,54)))</f>
        <v/>
      </c>
      <c r="K2837" s="29">
        <f>IF($B2837="","",IF(INDEX(Dossiers!$G$4:$G$63,54)="","",INDEX(Dossiers!$G$4:$G$63,54)))</f>
        <v/>
      </c>
    </row>
    <row r="2838">
      <c r="A2838">
        <f>IF($B2838="","",INDEX(Dossiers!$E$4:$E$63,54))</f>
        <v/>
      </c>
      <c r="B2838">
        <f>IF(INDEX(Suivi!$B:$B,2892)="","",INDEX(Suivi!$B:$B,2892))</f>
        <v/>
      </c>
      <c r="C2838">
        <f>IF($B2838="","",IF(INDEX(Suivi!$D:$D,2892)="",INDEX(Suivi!$C:$C,2892),INDEX(Suivi!$D:$D,2892)))</f>
        <v/>
      </c>
      <c r="D2838" s="29">
        <f>IF($B2838="","",INDEX(Suivi!$E:$E,2892))</f>
        <v/>
      </c>
      <c r="E2838" s="29">
        <f>IF($B2838="","",INDEX(Suivi!$F:$F,2892))</f>
        <v/>
      </c>
      <c r="F2838">
        <f>IF($B2838="","",INDEX(Suivi!$G:$G,2892))</f>
        <v/>
      </c>
      <c r="H2838">
        <f>IF(OR($B2838="",NOT(ISNUMBER($D2838))),"",IF($E2838&lt;$D$2,"Passé",IF($D2838&gt;$F$2,"À venir","Dans la période")))</f>
        <v/>
      </c>
      <c r="I2838">
        <f>IF(OR($B2838="",NOT(ISNUMBER($D2838))),"",IF(AND($E2838&lt;$D$2,$G2838&lt;&gt;"X",$F2838&lt;&gt;"Réalisé",$F2838&lt;&gt;"Clôturé"),"RETARD",""))</f>
        <v/>
      </c>
      <c r="J2838" s="29">
        <f>IF($B2838="","",IF(INDEX(Dossiers!$F$4:$F$63,54)="","",INDEX(Dossiers!$F$4:$F$63,54)))</f>
        <v/>
      </c>
      <c r="K2838" s="29">
        <f>IF($B2838="","",IF(INDEX(Dossiers!$G$4:$G$63,54)="","",INDEX(Dossiers!$G$4:$G$63,54)))</f>
        <v/>
      </c>
    </row>
    <row r="2839">
      <c r="A2839">
        <f>IF($B2839="","",INDEX(Dossiers!$E$4:$E$63,54))</f>
        <v/>
      </c>
      <c r="B2839">
        <f>IF(INDEX(Suivi!$B:$B,2893)="","",INDEX(Suivi!$B:$B,2893))</f>
        <v/>
      </c>
      <c r="C2839">
        <f>IF($B2839="","",IF(INDEX(Suivi!$D:$D,2893)="",INDEX(Suivi!$C:$C,2893),INDEX(Suivi!$D:$D,2893)))</f>
        <v/>
      </c>
      <c r="D2839" s="29">
        <f>IF($B2839="","",INDEX(Suivi!$E:$E,2893))</f>
        <v/>
      </c>
      <c r="E2839" s="29">
        <f>IF($B2839="","",INDEX(Suivi!$F:$F,2893))</f>
        <v/>
      </c>
      <c r="F2839">
        <f>IF($B2839="","",INDEX(Suivi!$G:$G,2893))</f>
        <v/>
      </c>
      <c r="H2839">
        <f>IF(OR($B2839="",NOT(ISNUMBER($D2839))),"",IF($E2839&lt;$D$2,"Passé",IF($D2839&gt;$F$2,"À venir","Dans la période")))</f>
        <v/>
      </c>
      <c r="I2839">
        <f>IF(OR($B2839="",NOT(ISNUMBER($D2839))),"",IF(AND($E2839&lt;$D$2,$G2839&lt;&gt;"X",$F2839&lt;&gt;"Réalisé",$F2839&lt;&gt;"Clôturé"),"RETARD",""))</f>
        <v/>
      </c>
      <c r="J2839" s="29">
        <f>IF($B2839="","",IF(INDEX(Dossiers!$F$4:$F$63,54)="","",INDEX(Dossiers!$F$4:$F$63,54)))</f>
        <v/>
      </c>
      <c r="K2839" s="29">
        <f>IF($B2839="","",IF(INDEX(Dossiers!$G$4:$G$63,54)="","",INDEX(Dossiers!$G$4:$G$63,54)))</f>
        <v/>
      </c>
    </row>
    <row r="2840">
      <c r="A2840">
        <f>IF($B2840="","",INDEX(Dossiers!$E$4:$E$63,54))</f>
        <v/>
      </c>
      <c r="B2840">
        <f>IF(INDEX(Suivi!$B:$B,2894)="","",INDEX(Suivi!$B:$B,2894))</f>
        <v/>
      </c>
      <c r="C2840">
        <f>IF($B2840="","",IF(INDEX(Suivi!$D:$D,2894)="",INDEX(Suivi!$C:$C,2894),INDEX(Suivi!$D:$D,2894)))</f>
        <v/>
      </c>
      <c r="D2840" s="29">
        <f>IF($B2840="","",INDEX(Suivi!$E:$E,2894))</f>
        <v/>
      </c>
      <c r="E2840" s="29">
        <f>IF($B2840="","",INDEX(Suivi!$F:$F,2894))</f>
        <v/>
      </c>
      <c r="F2840">
        <f>IF($B2840="","",INDEX(Suivi!$G:$G,2894))</f>
        <v/>
      </c>
      <c r="H2840">
        <f>IF(OR($B2840="",NOT(ISNUMBER($D2840))),"",IF($E2840&lt;$D$2,"Passé",IF($D2840&gt;$F$2,"À venir","Dans la période")))</f>
        <v/>
      </c>
      <c r="I2840">
        <f>IF(OR($B2840="",NOT(ISNUMBER($D2840))),"",IF(AND($E2840&lt;$D$2,$G2840&lt;&gt;"X",$F2840&lt;&gt;"Réalisé",$F2840&lt;&gt;"Clôturé"),"RETARD",""))</f>
        <v/>
      </c>
      <c r="J2840" s="29">
        <f>IF($B2840="","",IF(INDEX(Dossiers!$F$4:$F$63,54)="","",INDEX(Dossiers!$F$4:$F$63,54)))</f>
        <v/>
      </c>
      <c r="K2840" s="29">
        <f>IF($B2840="","",IF(INDEX(Dossiers!$G$4:$G$63,54)="","",INDEX(Dossiers!$G$4:$G$63,54)))</f>
        <v/>
      </c>
    </row>
    <row r="2841">
      <c r="A2841">
        <f>IF($B2841="","",INDEX(Dossiers!$E$4:$E$63,54))</f>
        <v/>
      </c>
      <c r="B2841">
        <f>IF(INDEX(Suivi!$B:$B,2895)="","",INDEX(Suivi!$B:$B,2895))</f>
        <v/>
      </c>
      <c r="C2841">
        <f>IF($B2841="","",IF(INDEX(Suivi!$D:$D,2895)="",INDEX(Suivi!$C:$C,2895),INDEX(Suivi!$D:$D,2895)))</f>
        <v/>
      </c>
      <c r="D2841" s="29">
        <f>IF($B2841="","",INDEX(Suivi!$E:$E,2895))</f>
        <v/>
      </c>
      <c r="E2841" s="29">
        <f>IF($B2841="","",INDEX(Suivi!$F:$F,2895))</f>
        <v/>
      </c>
      <c r="F2841">
        <f>IF($B2841="","",INDEX(Suivi!$G:$G,2895))</f>
        <v/>
      </c>
      <c r="H2841">
        <f>IF(OR($B2841="",NOT(ISNUMBER($D2841))),"",IF($E2841&lt;$D$2,"Passé",IF($D2841&gt;$F$2,"À venir","Dans la période")))</f>
        <v/>
      </c>
      <c r="I2841">
        <f>IF(OR($B2841="",NOT(ISNUMBER($D2841))),"",IF(AND($E2841&lt;$D$2,$G2841&lt;&gt;"X",$F2841&lt;&gt;"Réalisé",$F2841&lt;&gt;"Clôturé"),"RETARD",""))</f>
        <v/>
      </c>
      <c r="J2841" s="29">
        <f>IF($B2841="","",IF(INDEX(Dossiers!$F$4:$F$63,54)="","",INDEX(Dossiers!$F$4:$F$63,54)))</f>
        <v/>
      </c>
      <c r="K2841" s="29">
        <f>IF($B2841="","",IF(INDEX(Dossiers!$G$4:$G$63,54)="","",INDEX(Dossiers!$G$4:$G$63,54)))</f>
        <v/>
      </c>
    </row>
    <row r="2842">
      <c r="A2842">
        <f>IF($B2842="","",INDEX(Dossiers!$E$4:$E$63,54))</f>
        <v/>
      </c>
      <c r="B2842">
        <f>IF(INDEX(Suivi!$B:$B,2896)="","",INDEX(Suivi!$B:$B,2896))</f>
        <v/>
      </c>
      <c r="C2842">
        <f>IF($B2842="","",IF(INDEX(Suivi!$D:$D,2896)="",INDEX(Suivi!$C:$C,2896),INDEX(Suivi!$D:$D,2896)))</f>
        <v/>
      </c>
      <c r="D2842" s="29">
        <f>IF($B2842="","",INDEX(Suivi!$E:$E,2896))</f>
        <v/>
      </c>
      <c r="E2842" s="29">
        <f>IF($B2842="","",INDEX(Suivi!$F:$F,2896))</f>
        <v/>
      </c>
      <c r="F2842">
        <f>IF($B2842="","",INDEX(Suivi!$G:$G,2896))</f>
        <v/>
      </c>
      <c r="H2842">
        <f>IF(OR($B2842="",NOT(ISNUMBER($D2842))),"",IF($E2842&lt;$D$2,"Passé",IF($D2842&gt;$F$2,"À venir","Dans la période")))</f>
        <v/>
      </c>
      <c r="I2842">
        <f>IF(OR($B2842="",NOT(ISNUMBER($D2842))),"",IF(AND($E2842&lt;$D$2,$G2842&lt;&gt;"X",$F2842&lt;&gt;"Réalisé",$F2842&lt;&gt;"Clôturé"),"RETARD",""))</f>
        <v/>
      </c>
      <c r="J2842" s="29">
        <f>IF($B2842="","",IF(INDEX(Dossiers!$F$4:$F$63,54)="","",INDEX(Dossiers!$F$4:$F$63,54)))</f>
        <v/>
      </c>
      <c r="K2842" s="29">
        <f>IF($B2842="","",IF(INDEX(Dossiers!$G$4:$G$63,54)="","",INDEX(Dossiers!$G$4:$G$63,54)))</f>
        <v/>
      </c>
    </row>
    <row r="2843">
      <c r="A2843">
        <f>IF($B2843="","",INDEX(Dossiers!$E$4:$E$63,54))</f>
        <v/>
      </c>
      <c r="B2843">
        <f>IF(INDEX(Suivi!$B:$B,2897)="","",INDEX(Suivi!$B:$B,2897))</f>
        <v/>
      </c>
      <c r="C2843">
        <f>IF($B2843="","",IF(INDEX(Suivi!$D:$D,2897)="",INDEX(Suivi!$C:$C,2897),INDEX(Suivi!$D:$D,2897)))</f>
        <v/>
      </c>
      <c r="D2843" s="29">
        <f>IF($B2843="","",INDEX(Suivi!$E:$E,2897))</f>
        <v/>
      </c>
      <c r="E2843" s="29">
        <f>IF($B2843="","",INDEX(Suivi!$F:$F,2897))</f>
        <v/>
      </c>
      <c r="F2843">
        <f>IF($B2843="","",INDEX(Suivi!$G:$G,2897))</f>
        <v/>
      </c>
      <c r="H2843">
        <f>IF(OR($B2843="",NOT(ISNUMBER($D2843))),"",IF($E2843&lt;$D$2,"Passé",IF($D2843&gt;$F$2,"À venir","Dans la période")))</f>
        <v/>
      </c>
      <c r="I2843">
        <f>IF(OR($B2843="",NOT(ISNUMBER($D2843))),"",IF(AND($E2843&lt;$D$2,$G2843&lt;&gt;"X",$F2843&lt;&gt;"Réalisé",$F2843&lt;&gt;"Clôturé"),"RETARD",""))</f>
        <v/>
      </c>
      <c r="J2843" s="29">
        <f>IF($B2843="","",IF(INDEX(Dossiers!$F$4:$F$63,54)="","",INDEX(Dossiers!$F$4:$F$63,54)))</f>
        <v/>
      </c>
      <c r="K2843" s="29">
        <f>IF($B2843="","",IF(INDEX(Dossiers!$G$4:$G$63,54)="","",INDEX(Dossiers!$G$4:$G$63,54)))</f>
        <v/>
      </c>
    </row>
    <row r="2844">
      <c r="A2844">
        <f>IF($B2844="","",INDEX(Dossiers!$E$4:$E$63,54))</f>
        <v/>
      </c>
      <c r="B2844">
        <f>IF(INDEX(Suivi!$B:$B,2898)="","",INDEX(Suivi!$B:$B,2898))</f>
        <v/>
      </c>
      <c r="C2844">
        <f>IF($B2844="","",IF(INDEX(Suivi!$D:$D,2898)="",INDEX(Suivi!$C:$C,2898),INDEX(Suivi!$D:$D,2898)))</f>
        <v/>
      </c>
      <c r="D2844" s="29">
        <f>IF($B2844="","",INDEX(Suivi!$E:$E,2898))</f>
        <v/>
      </c>
      <c r="E2844" s="29">
        <f>IF($B2844="","",INDEX(Suivi!$F:$F,2898))</f>
        <v/>
      </c>
      <c r="F2844">
        <f>IF($B2844="","",INDEX(Suivi!$G:$G,2898))</f>
        <v/>
      </c>
      <c r="H2844">
        <f>IF(OR($B2844="",NOT(ISNUMBER($D2844))),"",IF($E2844&lt;$D$2,"Passé",IF($D2844&gt;$F$2,"À venir","Dans la période")))</f>
        <v/>
      </c>
      <c r="I2844">
        <f>IF(OR($B2844="",NOT(ISNUMBER($D2844))),"",IF(AND($E2844&lt;$D$2,$G2844&lt;&gt;"X",$F2844&lt;&gt;"Réalisé",$F2844&lt;&gt;"Clôturé"),"RETARD",""))</f>
        <v/>
      </c>
      <c r="J2844" s="29">
        <f>IF($B2844="","",IF(INDEX(Dossiers!$F$4:$F$63,54)="","",INDEX(Dossiers!$F$4:$F$63,54)))</f>
        <v/>
      </c>
      <c r="K2844" s="29">
        <f>IF($B2844="","",IF(INDEX(Dossiers!$G$4:$G$63,54)="","",INDEX(Dossiers!$G$4:$G$63,54)))</f>
        <v/>
      </c>
    </row>
    <row r="2845">
      <c r="A2845">
        <f>IF($B2845="","",INDEX(Dossiers!$E$4:$E$63,54))</f>
        <v/>
      </c>
      <c r="B2845">
        <f>IF(INDEX(Suivi!$B:$B,2899)="","",INDEX(Suivi!$B:$B,2899))</f>
        <v/>
      </c>
      <c r="C2845">
        <f>IF($B2845="","",IF(INDEX(Suivi!$D:$D,2899)="",INDEX(Suivi!$C:$C,2899),INDEX(Suivi!$D:$D,2899)))</f>
        <v/>
      </c>
      <c r="D2845" s="29">
        <f>IF($B2845="","",INDEX(Suivi!$E:$E,2899))</f>
        <v/>
      </c>
      <c r="E2845" s="29">
        <f>IF($B2845="","",INDEX(Suivi!$F:$F,2899))</f>
        <v/>
      </c>
      <c r="F2845">
        <f>IF($B2845="","",INDEX(Suivi!$G:$G,2899))</f>
        <v/>
      </c>
      <c r="H2845">
        <f>IF(OR($B2845="",NOT(ISNUMBER($D2845))),"",IF($E2845&lt;$D$2,"Passé",IF($D2845&gt;$F$2,"À venir","Dans la période")))</f>
        <v/>
      </c>
      <c r="I2845">
        <f>IF(OR($B2845="",NOT(ISNUMBER($D2845))),"",IF(AND($E2845&lt;$D$2,$G2845&lt;&gt;"X",$F2845&lt;&gt;"Réalisé",$F2845&lt;&gt;"Clôturé"),"RETARD",""))</f>
        <v/>
      </c>
      <c r="J2845" s="29">
        <f>IF($B2845="","",IF(INDEX(Dossiers!$F$4:$F$63,54)="","",INDEX(Dossiers!$F$4:$F$63,54)))</f>
        <v/>
      </c>
      <c r="K2845" s="29">
        <f>IF($B2845="","",IF(INDEX(Dossiers!$G$4:$G$63,54)="","",INDEX(Dossiers!$G$4:$G$63,54)))</f>
        <v/>
      </c>
    </row>
    <row r="2846">
      <c r="A2846">
        <f>IF($B2846="","",INDEX(Dossiers!$E$4:$E$63,54))</f>
        <v/>
      </c>
      <c r="B2846">
        <f>IF(INDEX(Suivi!$B:$B,2900)="","",INDEX(Suivi!$B:$B,2900))</f>
        <v/>
      </c>
      <c r="C2846">
        <f>IF($B2846="","",IF(INDEX(Suivi!$D:$D,2900)="",INDEX(Suivi!$C:$C,2900),INDEX(Suivi!$D:$D,2900)))</f>
        <v/>
      </c>
      <c r="D2846" s="29">
        <f>IF($B2846="","",INDEX(Suivi!$E:$E,2900))</f>
        <v/>
      </c>
      <c r="E2846" s="29">
        <f>IF($B2846="","",INDEX(Suivi!$F:$F,2900))</f>
        <v/>
      </c>
      <c r="F2846">
        <f>IF($B2846="","",INDEX(Suivi!$G:$G,2900))</f>
        <v/>
      </c>
      <c r="H2846">
        <f>IF(OR($B2846="",NOT(ISNUMBER($D2846))),"",IF($E2846&lt;$D$2,"Passé",IF($D2846&gt;$F$2,"À venir","Dans la période")))</f>
        <v/>
      </c>
      <c r="I2846">
        <f>IF(OR($B2846="",NOT(ISNUMBER($D2846))),"",IF(AND($E2846&lt;$D$2,$G2846&lt;&gt;"X",$F2846&lt;&gt;"Réalisé",$F2846&lt;&gt;"Clôturé"),"RETARD",""))</f>
        <v/>
      </c>
      <c r="J2846" s="29">
        <f>IF($B2846="","",IF(INDEX(Dossiers!$F$4:$F$63,54)="","",INDEX(Dossiers!$F$4:$F$63,54)))</f>
        <v/>
      </c>
      <c r="K2846" s="29">
        <f>IF($B2846="","",IF(INDEX(Dossiers!$G$4:$G$63,54)="","",INDEX(Dossiers!$G$4:$G$63,54)))</f>
        <v/>
      </c>
    </row>
    <row r="2847">
      <c r="A2847">
        <f>IF($B2847="","",INDEX(Dossiers!$E$4:$E$63,54))</f>
        <v/>
      </c>
      <c r="B2847">
        <f>IF(INDEX(Suivi!$B:$B,2901)="","",INDEX(Suivi!$B:$B,2901))</f>
        <v/>
      </c>
      <c r="C2847">
        <f>IF($B2847="","",IF(INDEX(Suivi!$D:$D,2901)="",INDEX(Suivi!$C:$C,2901),INDEX(Suivi!$D:$D,2901)))</f>
        <v/>
      </c>
      <c r="D2847" s="29">
        <f>IF($B2847="","",INDEX(Suivi!$E:$E,2901))</f>
        <v/>
      </c>
      <c r="E2847" s="29">
        <f>IF($B2847="","",INDEX(Suivi!$F:$F,2901))</f>
        <v/>
      </c>
      <c r="F2847">
        <f>IF($B2847="","",INDEX(Suivi!$G:$G,2901))</f>
        <v/>
      </c>
      <c r="H2847">
        <f>IF(OR($B2847="",NOT(ISNUMBER($D2847))),"",IF($E2847&lt;$D$2,"Passé",IF($D2847&gt;$F$2,"À venir","Dans la période")))</f>
        <v/>
      </c>
      <c r="I2847">
        <f>IF(OR($B2847="",NOT(ISNUMBER($D2847))),"",IF(AND($E2847&lt;$D$2,$G2847&lt;&gt;"X",$F2847&lt;&gt;"Réalisé",$F2847&lt;&gt;"Clôturé"),"RETARD",""))</f>
        <v/>
      </c>
      <c r="J2847" s="29">
        <f>IF($B2847="","",IF(INDEX(Dossiers!$F$4:$F$63,54)="","",INDEX(Dossiers!$F$4:$F$63,54)))</f>
        <v/>
      </c>
      <c r="K2847" s="29">
        <f>IF($B2847="","",IF(INDEX(Dossiers!$G$4:$G$63,54)="","",INDEX(Dossiers!$G$4:$G$63,54)))</f>
        <v/>
      </c>
    </row>
    <row r="2848">
      <c r="A2848">
        <f>IF($B2848="","",INDEX(Dossiers!$E$4:$E$63,54))</f>
        <v/>
      </c>
      <c r="B2848">
        <f>IF(INDEX(Suivi!$B:$B,2902)="","",INDEX(Suivi!$B:$B,2902))</f>
        <v/>
      </c>
      <c r="C2848">
        <f>IF($B2848="","",IF(INDEX(Suivi!$D:$D,2902)="",INDEX(Suivi!$C:$C,2902),INDEX(Suivi!$D:$D,2902)))</f>
        <v/>
      </c>
      <c r="D2848" s="29">
        <f>IF($B2848="","",INDEX(Suivi!$E:$E,2902))</f>
        <v/>
      </c>
      <c r="E2848" s="29">
        <f>IF($B2848="","",INDEX(Suivi!$F:$F,2902))</f>
        <v/>
      </c>
      <c r="F2848">
        <f>IF($B2848="","",INDEX(Suivi!$G:$G,2902))</f>
        <v/>
      </c>
      <c r="H2848">
        <f>IF(OR($B2848="",NOT(ISNUMBER($D2848))),"",IF($E2848&lt;$D$2,"Passé",IF($D2848&gt;$F$2,"À venir","Dans la période")))</f>
        <v/>
      </c>
      <c r="I2848">
        <f>IF(OR($B2848="",NOT(ISNUMBER($D2848))),"",IF(AND($E2848&lt;$D$2,$G2848&lt;&gt;"X",$F2848&lt;&gt;"Réalisé",$F2848&lt;&gt;"Clôturé"),"RETARD",""))</f>
        <v/>
      </c>
      <c r="J2848" s="29">
        <f>IF($B2848="","",IF(INDEX(Dossiers!$F$4:$F$63,54)="","",INDEX(Dossiers!$F$4:$F$63,54)))</f>
        <v/>
      </c>
      <c r="K2848" s="29">
        <f>IF($B2848="","",IF(INDEX(Dossiers!$G$4:$G$63,54)="","",INDEX(Dossiers!$G$4:$G$63,54)))</f>
        <v/>
      </c>
    </row>
    <row r="2849">
      <c r="A2849">
        <f>IF($B2849="","",INDEX(Dossiers!$E$4:$E$63,54))</f>
        <v/>
      </c>
      <c r="B2849">
        <f>IF(INDEX(Suivi!$B:$B,2903)="","",INDEX(Suivi!$B:$B,2903))</f>
        <v/>
      </c>
      <c r="C2849">
        <f>IF($B2849="","",IF(INDEX(Suivi!$D:$D,2903)="",INDEX(Suivi!$C:$C,2903),INDEX(Suivi!$D:$D,2903)))</f>
        <v/>
      </c>
      <c r="D2849" s="29">
        <f>IF($B2849="","",INDEX(Suivi!$E:$E,2903))</f>
        <v/>
      </c>
      <c r="E2849" s="29">
        <f>IF($B2849="","",INDEX(Suivi!$F:$F,2903))</f>
        <v/>
      </c>
      <c r="F2849">
        <f>IF($B2849="","",INDEX(Suivi!$G:$G,2903))</f>
        <v/>
      </c>
      <c r="H2849">
        <f>IF(OR($B2849="",NOT(ISNUMBER($D2849))),"",IF($E2849&lt;$D$2,"Passé",IF($D2849&gt;$F$2,"À venir","Dans la période")))</f>
        <v/>
      </c>
      <c r="I2849">
        <f>IF(OR($B2849="",NOT(ISNUMBER($D2849))),"",IF(AND($E2849&lt;$D$2,$G2849&lt;&gt;"X",$F2849&lt;&gt;"Réalisé",$F2849&lt;&gt;"Clôturé"),"RETARD",""))</f>
        <v/>
      </c>
      <c r="J2849" s="29">
        <f>IF($B2849="","",IF(INDEX(Dossiers!$F$4:$F$63,54)="","",INDEX(Dossiers!$F$4:$F$63,54)))</f>
        <v/>
      </c>
      <c r="K2849" s="29">
        <f>IF($B2849="","",IF(INDEX(Dossiers!$G$4:$G$63,54)="","",INDEX(Dossiers!$G$4:$G$63,54)))</f>
        <v/>
      </c>
    </row>
    <row r="2850">
      <c r="A2850">
        <f>IF($B2850="","",INDEX(Dossiers!$E$4:$E$63,54))</f>
        <v/>
      </c>
      <c r="B2850">
        <f>IF(INDEX(Suivi!$B:$B,2904)="","",INDEX(Suivi!$B:$B,2904))</f>
        <v/>
      </c>
      <c r="C2850">
        <f>IF($B2850="","",IF(INDEX(Suivi!$D:$D,2904)="",INDEX(Suivi!$C:$C,2904),INDEX(Suivi!$D:$D,2904)))</f>
        <v/>
      </c>
      <c r="D2850" s="29">
        <f>IF($B2850="","",INDEX(Suivi!$E:$E,2904))</f>
        <v/>
      </c>
      <c r="E2850" s="29">
        <f>IF($B2850="","",INDEX(Suivi!$F:$F,2904))</f>
        <v/>
      </c>
      <c r="F2850">
        <f>IF($B2850="","",INDEX(Suivi!$G:$G,2904))</f>
        <v/>
      </c>
      <c r="H2850">
        <f>IF(OR($B2850="",NOT(ISNUMBER($D2850))),"",IF($E2850&lt;$D$2,"Passé",IF($D2850&gt;$F$2,"À venir","Dans la période")))</f>
        <v/>
      </c>
      <c r="I2850">
        <f>IF(OR($B2850="",NOT(ISNUMBER($D2850))),"",IF(AND($E2850&lt;$D$2,$G2850&lt;&gt;"X",$F2850&lt;&gt;"Réalisé",$F2850&lt;&gt;"Clôturé"),"RETARD",""))</f>
        <v/>
      </c>
      <c r="J2850" s="29">
        <f>IF($B2850="","",IF(INDEX(Dossiers!$F$4:$F$63,54)="","",INDEX(Dossiers!$F$4:$F$63,54)))</f>
        <v/>
      </c>
      <c r="K2850" s="29">
        <f>IF($B2850="","",IF(INDEX(Dossiers!$G$4:$G$63,54)="","",INDEX(Dossiers!$G$4:$G$63,54)))</f>
        <v/>
      </c>
    </row>
    <row r="2851">
      <c r="A2851">
        <f>IF($B2851="","",INDEX(Dossiers!$E$4:$E$63,54))</f>
        <v/>
      </c>
      <c r="B2851">
        <f>IF(INDEX(Suivi!$B:$B,2905)="","",INDEX(Suivi!$B:$B,2905))</f>
        <v/>
      </c>
      <c r="C2851">
        <f>IF($B2851="","",IF(INDEX(Suivi!$D:$D,2905)="",INDEX(Suivi!$C:$C,2905),INDEX(Suivi!$D:$D,2905)))</f>
        <v/>
      </c>
      <c r="D2851" s="29">
        <f>IF($B2851="","",INDEX(Suivi!$E:$E,2905))</f>
        <v/>
      </c>
      <c r="E2851" s="29">
        <f>IF($B2851="","",INDEX(Suivi!$F:$F,2905))</f>
        <v/>
      </c>
      <c r="F2851">
        <f>IF($B2851="","",INDEX(Suivi!$G:$G,2905))</f>
        <v/>
      </c>
      <c r="H2851">
        <f>IF(OR($B2851="",NOT(ISNUMBER($D2851))),"",IF($E2851&lt;$D$2,"Passé",IF($D2851&gt;$F$2,"À venir","Dans la période")))</f>
        <v/>
      </c>
      <c r="I2851">
        <f>IF(OR($B2851="",NOT(ISNUMBER($D2851))),"",IF(AND($E2851&lt;$D$2,$G2851&lt;&gt;"X",$F2851&lt;&gt;"Réalisé",$F2851&lt;&gt;"Clôturé"),"RETARD",""))</f>
        <v/>
      </c>
      <c r="J2851" s="29">
        <f>IF($B2851="","",IF(INDEX(Dossiers!$F$4:$F$63,54)="","",INDEX(Dossiers!$F$4:$F$63,54)))</f>
        <v/>
      </c>
      <c r="K2851" s="29">
        <f>IF($B2851="","",IF(INDEX(Dossiers!$G$4:$G$63,54)="","",INDEX(Dossiers!$G$4:$G$63,54)))</f>
        <v/>
      </c>
    </row>
    <row r="2852">
      <c r="A2852">
        <f>IF($B2852="","",INDEX(Dossiers!$E$4:$E$63,54))</f>
        <v/>
      </c>
      <c r="B2852">
        <f>IF(INDEX(Suivi!$B:$B,2906)="","",INDEX(Suivi!$B:$B,2906))</f>
        <v/>
      </c>
      <c r="C2852">
        <f>IF($B2852="","",IF(INDEX(Suivi!$D:$D,2906)="",INDEX(Suivi!$C:$C,2906),INDEX(Suivi!$D:$D,2906)))</f>
        <v/>
      </c>
      <c r="D2852" s="29">
        <f>IF($B2852="","",INDEX(Suivi!$E:$E,2906))</f>
        <v/>
      </c>
      <c r="E2852" s="29">
        <f>IF($B2852="","",INDEX(Suivi!$F:$F,2906))</f>
        <v/>
      </c>
      <c r="F2852">
        <f>IF($B2852="","",INDEX(Suivi!$G:$G,2906))</f>
        <v/>
      </c>
      <c r="H2852">
        <f>IF(OR($B2852="",NOT(ISNUMBER($D2852))),"",IF($E2852&lt;$D$2,"Passé",IF($D2852&gt;$F$2,"À venir","Dans la période")))</f>
        <v/>
      </c>
      <c r="I2852">
        <f>IF(OR($B2852="",NOT(ISNUMBER($D2852))),"",IF(AND($E2852&lt;$D$2,$G2852&lt;&gt;"X",$F2852&lt;&gt;"Réalisé",$F2852&lt;&gt;"Clôturé"),"RETARD",""))</f>
        <v/>
      </c>
      <c r="J2852" s="29">
        <f>IF($B2852="","",IF(INDEX(Dossiers!$F$4:$F$63,54)="","",INDEX(Dossiers!$F$4:$F$63,54)))</f>
        <v/>
      </c>
      <c r="K2852" s="29">
        <f>IF($B2852="","",IF(INDEX(Dossiers!$G$4:$G$63,54)="","",INDEX(Dossiers!$G$4:$G$63,54)))</f>
        <v/>
      </c>
    </row>
    <row r="2853">
      <c r="A2853">
        <f>IF($B2853="","",INDEX(Dossiers!$E$4:$E$63,54))</f>
        <v/>
      </c>
      <c r="B2853">
        <f>IF(INDEX(Suivi!$B:$B,2907)="","",INDEX(Suivi!$B:$B,2907))</f>
        <v/>
      </c>
      <c r="C2853">
        <f>IF($B2853="","",IF(INDEX(Suivi!$D:$D,2907)="",INDEX(Suivi!$C:$C,2907),INDEX(Suivi!$D:$D,2907)))</f>
        <v/>
      </c>
      <c r="D2853" s="29">
        <f>IF($B2853="","",INDEX(Suivi!$E:$E,2907))</f>
        <v/>
      </c>
      <c r="E2853" s="29">
        <f>IF($B2853="","",INDEX(Suivi!$F:$F,2907))</f>
        <v/>
      </c>
      <c r="F2853">
        <f>IF($B2853="","",INDEX(Suivi!$G:$G,2907))</f>
        <v/>
      </c>
      <c r="H2853">
        <f>IF(OR($B2853="",NOT(ISNUMBER($D2853))),"",IF($E2853&lt;$D$2,"Passé",IF($D2853&gt;$F$2,"À venir","Dans la période")))</f>
        <v/>
      </c>
      <c r="I2853">
        <f>IF(OR($B2853="",NOT(ISNUMBER($D2853))),"",IF(AND($E2853&lt;$D$2,$G2853&lt;&gt;"X",$F2853&lt;&gt;"Réalisé",$F2853&lt;&gt;"Clôturé"),"RETARD",""))</f>
        <v/>
      </c>
      <c r="J2853" s="29">
        <f>IF($B2853="","",IF(INDEX(Dossiers!$F$4:$F$63,54)="","",INDEX(Dossiers!$F$4:$F$63,54)))</f>
        <v/>
      </c>
      <c r="K2853" s="29">
        <f>IF($B2853="","",IF(INDEX(Dossiers!$G$4:$G$63,54)="","",INDEX(Dossiers!$G$4:$G$63,54)))</f>
        <v/>
      </c>
    </row>
    <row r="2854">
      <c r="A2854">
        <f>IF($B2854="","",INDEX(Dossiers!$E$4:$E$63,54))</f>
        <v/>
      </c>
      <c r="B2854">
        <f>IF(INDEX(Suivi!$B:$B,2908)="","",INDEX(Suivi!$B:$B,2908))</f>
        <v/>
      </c>
      <c r="C2854">
        <f>IF($B2854="","",IF(INDEX(Suivi!$D:$D,2908)="",INDEX(Suivi!$C:$C,2908),INDEX(Suivi!$D:$D,2908)))</f>
        <v/>
      </c>
      <c r="D2854" s="29">
        <f>IF($B2854="","",INDEX(Suivi!$E:$E,2908))</f>
        <v/>
      </c>
      <c r="E2854" s="29">
        <f>IF($B2854="","",INDEX(Suivi!$F:$F,2908))</f>
        <v/>
      </c>
      <c r="F2854">
        <f>IF($B2854="","",INDEX(Suivi!$G:$G,2908))</f>
        <v/>
      </c>
      <c r="H2854">
        <f>IF(OR($B2854="",NOT(ISNUMBER($D2854))),"",IF($E2854&lt;$D$2,"Passé",IF($D2854&gt;$F$2,"À venir","Dans la période")))</f>
        <v/>
      </c>
      <c r="I2854">
        <f>IF(OR($B2854="",NOT(ISNUMBER($D2854))),"",IF(AND($E2854&lt;$D$2,$G2854&lt;&gt;"X",$F2854&lt;&gt;"Réalisé",$F2854&lt;&gt;"Clôturé"),"RETARD",""))</f>
        <v/>
      </c>
      <c r="J2854" s="29">
        <f>IF($B2854="","",IF(INDEX(Dossiers!$F$4:$F$63,54)="","",INDEX(Dossiers!$F$4:$F$63,54)))</f>
        <v/>
      </c>
      <c r="K2854" s="29">
        <f>IF($B2854="","",IF(INDEX(Dossiers!$G$4:$G$63,54)="","",INDEX(Dossiers!$G$4:$G$63,54)))</f>
        <v/>
      </c>
    </row>
    <row r="2855">
      <c r="A2855">
        <f>IF($B2855="","",INDEX(Dossiers!$E$4:$E$63,54))</f>
        <v/>
      </c>
      <c r="B2855">
        <f>IF(INDEX(Suivi!$B:$B,2909)="","",INDEX(Suivi!$B:$B,2909))</f>
        <v/>
      </c>
      <c r="C2855">
        <f>IF($B2855="","",IF(INDEX(Suivi!$D:$D,2909)="",INDEX(Suivi!$C:$C,2909),INDEX(Suivi!$D:$D,2909)))</f>
        <v/>
      </c>
      <c r="D2855" s="29">
        <f>IF($B2855="","",INDEX(Suivi!$E:$E,2909))</f>
        <v/>
      </c>
      <c r="E2855" s="29">
        <f>IF($B2855="","",INDEX(Suivi!$F:$F,2909))</f>
        <v/>
      </c>
      <c r="F2855">
        <f>IF($B2855="","",INDEX(Suivi!$G:$G,2909))</f>
        <v/>
      </c>
      <c r="H2855">
        <f>IF(OR($B2855="",NOT(ISNUMBER($D2855))),"",IF($E2855&lt;$D$2,"Passé",IF($D2855&gt;$F$2,"À venir","Dans la période")))</f>
        <v/>
      </c>
      <c r="I2855">
        <f>IF(OR($B2855="",NOT(ISNUMBER($D2855))),"",IF(AND($E2855&lt;$D$2,$G2855&lt;&gt;"X",$F2855&lt;&gt;"Réalisé",$F2855&lt;&gt;"Clôturé"),"RETARD",""))</f>
        <v/>
      </c>
      <c r="J2855" s="29">
        <f>IF($B2855="","",IF(INDEX(Dossiers!$F$4:$F$63,54)="","",INDEX(Dossiers!$F$4:$F$63,54)))</f>
        <v/>
      </c>
      <c r="K2855" s="29">
        <f>IF($B2855="","",IF(INDEX(Dossiers!$G$4:$G$63,54)="","",INDEX(Dossiers!$G$4:$G$63,54)))</f>
        <v/>
      </c>
    </row>
    <row r="2856">
      <c r="A2856">
        <f>IF($B2856="","",INDEX(Dossiers!$E$4:$E$63,54))</f>
        <v/>
      </c>
      <c r="B2856">
        <f>IF(INDEX(Suivi!$B:$B,2910)="","",INDEX(Suivi!$B:$B,2910))</f>
        <v/>
      </c>
      <c r="C2856">
        <f>IF($B2856="","",IF(INDEX(Suivi!$D:$D,2910)="",INDEX(Suivi!$C:$C,2910),INDEX(Suivi!$D:$D,2910)))</f>
        <v/>
      </c>
      <c r="D2856" s="29">
        <f>IF($B2856="","",INDEX(Suivi!$E:$E,2910))</f>
        <v/>
      </c>
      <c r="E2856" s="29">
        <f>IF($B2856="","",INDEX(Suivi!$F:$F,2910))</f>
        <v/>
      </c>
      <c r="F2856">
        <f>IF($B2856="","",INDEX(Suivi!$G:$G,2910))</f>
        <v/>
      </c>
      <c r="H2856">
        <f>IF(OR($B2856="",NOT(ISNUMBER($D2856))),"",IF($E2856&lt;$D$2,"Passé",IF($D2856&gt;$F$2,"À venir","Dans la période")))</f>
        <v/>
      </c>
      <c r="I2856">
        <f>IF(OR($B2856="",NOT(ISNUMBER($D2856))),"",IF(AND($E2856&lt;$D$2,$G2856&lt;&gt;"X",$F2856&lt;&gt;"Réalisé",$F2856&lt;&gt;"Clôturé"),"RETARD",""))</f>
        <v/>
      </c>
      <c r="J2856" s="29">
        <f>IF($B2856="","",IF(INDEX(Dossiers!$F$4:$F$63,54)="","",INDEX(Dossiers!$F$4:$F$63,54)))</f>
        <v/>
      </c>
      <c r="K2856" s="29">
        <f>IF($B2856="","",IF(INDEX(Dossiers!$G$4:$G$63,54)="","",INDEX(Dossiers!$G$4:$G$63,54)))</f>
        <v/>
      </c>
    </row>
    <row r="2857">
      <c r="A2857">
        <f>IF($B2857="","",INDEX(Dossiers!$E$4:$E$63,54))</f>
        <v/>
      </c>
      <c r="B2857">
        <f>IF(INDEX(Suivi!$B:$B,2911)="","",INDEX(Suivi!$B:$B,2911))</f>
        <v/>
      </c>
      <c r="C2857">
        <f>IF($B2857="","",IF(INDEX(Suivi!$D:$D,2911)="",INDEX(Suivi!$C:$C,2911),INDEX(Suivi!$D:$D,2911)))</f>
        <v/>
      </c>
      <c r="D2857" s="29">
        <f>IF($B2857="","",INDEX(Suivi!$E:$E,2911))</f>
        <v/>
      </c>
      <c r="E2857" s="29">
        <f>IF($B2857="","",INDEX(Suivi!$F:$F,2911))</f>
        <v/>
      </c>
      <c r="F2857">
        <f>IF($B2857="","",INDEX(Suivi!$G:$G,2911))</f>
        <v/>
      </c>
      <c r="H2857">
        <f>IF(OR($B2857="",NOT(ISNUMBER($D2857))),"",IF($E2857&lt;$D$2,"Passé",IF($D2857&gt;$F$2,"À venir","Dans la période")))</f>
        <v/>
      </c>
      <c r="I2857">
        <f>IF(OR($B2857="",NOT(ISNUMBER($D2857))),"",IF(AND($E2857&lt;$D$2,$G2857&lt;&gt;"X",$F2857&lt;&gt;"Réalisé",$F2857&lt;&gt;"Clôturé"),"RETARD",""))</f>
        <v/>
      </c>
      <c r="J2857" s="29">
        <f>IF($B2857="","",IF(INDEX(Dossiers!$F$4:$F$63,54)="","",INDEX(Dossiers!$F$4:$F$63,54)))</f>
        <v/>
      </c>
      <c r="K2857" s="29">
        <f>IF($B2857="","",IF(INDEX(Dossiers!$G$4:$G$63,54)="","",INDEX(Dossiers!$G$4:$G$63,54)))</f>
        <v/>
      </c>
    </row>
    <row r="2858">
      <c r="A2858">
        <f>IF($B2858="","",INDEX(Dossiers!$E$4:$E$63,54))</f>
        <v/>
      </c>
      <c r="B2858">
        <f>IF(INDEX(Suivi!$B:$B,2912)="","",INDEX(Suivi!$B:$B,2912))</f>
        <v/>
      </c>
      <c r="C2858">
        <f>IF($B2858="","",IF(INDEX(Suivi!$D:$D,2912)="",INDEX(Suivi!$C:$C,2912),INDEX(Suivi!$D:$D,2912)))</f>
        <v/>
      </c>
      <c r="D2858" s="29">
        <f>IF($B2858="","",INDEX(Suivi!$E:$E,2912))</f>
        <v/>
      </c>
      <c r="E2858" s="29">
        <f>IF($B2858="","",INDEX(Suivi!$F:$F,2912))</f>
        <v/>
      </c>
      <c r="F2858">
        <f>IF($B2858="","",INDEX(Suivi!$G:$G,2912))</f>
        <v/>
      </c>
      <c r="H2858">
        <f>IF(OR($B2858="",NOT(ISNUMBER($D2858))),"",IF($E2858&lt;$D$2,"Passé",IF($D2858&gt;$F$2,"À venir","Dans la période")))</f>
        <v/>
      </c>
      <c r="I2858">
        <f>IF(OR($B2858="",NOT(ISNUMBER($D2858))),"",IF(AND($E2858&lt;$D$2,$G2858&lt;&gt;"X",$F2858&lt;&gt;"Réalisé",$F2858&lt;&gt;"Clôturé"),"RETARD",""))</f>
        <v/>
      </c>
      <c r="J2858" s="29">
        <f>IF($B2858="","",IF(INDEX(Dossiers!$F$4:$F$63,54)="","",INDEX(Dossiers!$F$4:$F$63,54)))</f>
        <v/>
      </c>
      <c r="K2858" s="29">
        <f>IF($B2858="","",IF(INDEX(Dossiers!$G$4:$G$63,54)="","",INDEX(Dossiers!$G$4:$G$63,54)))</f>
        <v/>
      </c>
    </row>
    <row r="2859">
      <c r="A2859">
        <f>IF($B2859="","",INDEX(Dossiers!$E$4:$E$63,54))</f>
        <v/>
      </c>
      <c r="B2859">
        <f>IF(INDEX(Suivi!$B:$B,2913)="","",INDEX(Suivi!$B:$B,2913))</f>
        <v/>
      </c>
      <c r="C2859">
        <f>IF($B2859="","",IF(INDEX(Suivi!$D:$D,2913)="",INDEX(Suivi!$C:$C,2913),INDEX(Suivi!$D:$D,2913)))</f>
        <v/>
      </c>
      <c r="D2859" s="29">
        <f>IF($B2859="","",INDEX(Suivi!$E:$E,2913))</f>
        <v/>
      </c>
      <c r="E2859" s="29">
        <f>IF($B2859="","",INDEX(Suivi!$F:$F,2913))</f>
        <v/>
      </c>
      <c r="F2859">
        <f>IF($B2859="","",INDEX(Suivi!$G:$G,2913))</f>
        <v/>
      </c>
      <c r="H2859">
        <f>IF(OR($B2859="",NOT(ISNUMBER($D2859))),"",IF($E2859&lt;$D$2,"Passé",IF($D2859&gt;$F$2,"À venir","Dans la période")))</f>
        <v/>
      </c>
      <c r="I2859">
        <f>IF(OR($B2859="",NOT(ISNUMBER($D2859))),"",IF(AND($E2859&lt;$D$2,$G2859&lt;&gt;"X",$F2859&lt;&gt;"Réalisé",$F2859&lt;&gt;"Clôturé"),"RETARD",""))</f>
        <v/>
      </c>
      <c r="J2859" s="29">
        <f>IF($B2859="","",IF(INDEX(Dossiers!$F$4:$F$63,54)="","",INDEX(Dossiers!$F$4:$F$63,54)))</f>
        <v/>
      </c>
      <c r="K2859" s="29">
        <f>IF($B2859="","",IF(INDEX(Dossiers!$G$4:$G$63,54)="","",INDEX(Dossiers!$G$4:$G$63,54)))</f>
        <v/>
      </c>
    </row>
    <row r="2860">
      <c r="A2860">
        <f>IF($B2860="","",INDEX(Dossiers!$E$4:$E$63,54))</f>
        <v/>
      </c>
      <c r="B2860">
        <f>IF(INDEX(Suivi!$B:$B,2914)="","",INDEX(Suivi!$B:$B,2914))</f>
        <v/>
      </c>
      <c r="C2860">
        <f>IF($B2860="","",IF(INDEX(Suivi!$D:$D,2914)="",INDEX(Suivi!$C:$C,2914),INDEX(Suivi!$D:$D,2914)))</f>
        <v/>
      </c>
      <c r="D2860" s="29">
        <f>IF($B2860="","",INDEX(Suivi!$E:$E,2914))</f>
        <v/>
      </c>
      <c r="E2860" s="29">
        <f>IF($B2860="","",INDEX(Suivi!$F:$F,2914))</f>
        <v/>
      </c>
      <c r="F2860">
        <f>IF($B2860="","",INDEX(Suivi!$G:$G,2914))</f>
        <v/>
      </c>
      <c r="H2860">
        <f>IF(OR($B2860="",NOT(ISNUMBER($D2860))),"",IF($E2860&lt;$D$2,"Passé",IF($D2860&gt;$F$2,"À venir","Dans la période")))</f>
        <v/>
      </c>
      <c r="I2860">
        <f>IF(OR($B2860="",NOT(ISNUMBER($D2860))),"",IF(AND($E2860&lt;$D$2,$G2860&lt;&gt;"X",$F2860&lt;&gt;"Réalisé",$F2860&lt;&gt;"Clôturé"),"RETARD",""))</f>
        <v/>
      </c>
      <c r="J2860" s="29">
        <f>IF($B2860="","",IF(INDEX(Dossiers!$F$4:$F$63,54)="","",INDEX(Dossiers!$F$4:$F$63,54)))</f>
        <v/>
      </c>
      <c r="K2860" s="29">
        <f>IF($B2860="","",IF(INDEX(Dossiers!$G$4:$G$63,54)="","",INDEX(Dossiers!$G$4:$G$63,54)))</f>
        <v/>
      </c>
    </row>
    <row r="2861">
      <c r="A2861">
        <f>IF($B2861="","",INDEX(Dossiers!$E$4:$E$63,54))</f>
        <v/>
      </c>
      <c r="B2861">
        <f>IF(INDEX(Suivi!$B:$B,2915)="","",INDEX(Suivi!$B:$B,2915))</f>
        <v/>
      </c>
      <c r="C2861">
        <f>IF($B2861="","",IF(INDEX(Suivi!$D:$D,2915)="",INDEX(Suivi!$C:$C,2915),INDEX(Suivi!$D:$D,2915)))</f>
        <v/>
      </c>
      <c r="D2861" s="29">
        <f>IF($B2861="","",INDEX(Suivi!$E:$E,2915))</f>
        <v/>
      </c>
      <c r="E2861" s="29">
        <f>IF($B2861="","",INDEX(Suivi!$F:$F,2915))</f>
        <v/>
      </c>
      <c r="F2861">
        <f>IF($B2861="","",INDEX(Suivi!$G:$G,2915))</f>
        <v/>
      </c>
      <c r="H2861">
        <f>IF(OR($B2861="",NOT(ISNUMBER($D2861))),"",IF($E2861&lt;$D$2,"Passé",IF($D2861&gt;$F$2,"À venir","Dans la période")))</f>
        <v/>
      </c>
      <c r="I2861">
        <f>IF(OR($B2861="",NOT(ISNUMBER($D2861))),"",IF(AND($E2861&lt;$D$2,$G2861&lt;&gt;"X",$F2861&lt;&gt;"Réalisé",$F2861&lt;&gt;"Clôturé"),"RETARD",""))</f>
        <v/>
      </c>
      <c r="J2861" s="29">
        <f>IF($B2861="","",IF(INDEX(Dossiers!$F$4:$F$63,54)="","",INDEX(Dossiers!$F$4:$F$63,54)))</f>
        <v/>
      </c>
      <c r="K2861" s="29">
        <f>IF($B2861="","",IF(INDEX(Dossiers!$G$4:$G$63,54)="","",INDEX(Dossiers!$G$4:$G$63,54)))</f>
        <v/>
      </c>
    </row>
    <row r="2862">
      <c r="A2862">
        <f>IF($B2862="","",INDEX(Dossiers!$E$4:$E$63,54))</f>
        <v/>
      </c>
      <c r="B2862">
        <f>IF(INDEX(Suivi!$B:$B,2916)="","",INDEX(Suivi!$B:$B,2916))</f>
        <v/>
      </c>
      <c r="C2862">
        <f>IF($B2862="","",IF(INDEX(Suivi!$D:$D,2916)="",INDEX(Suivi!$C:$C,2916),INDEX(Suivi!$D:$D,2916)))</f>
        <v/>
      </c>
      <c r="D2862" s="29">
        <f>IF($B2862="","",INDEX(Suivi!$E:$E,2916))</f>
        <v/>
      </c>
      <c r="E2862" s="29">
        <f>IF($B2862="","",INDEX(Suivi!$F:$F,2916))</f>
        <v/>
      </c>
      <c r="F2862">
        <f>IF($B2862="","",INDEX(Suivi!$G:$G,2916))</f>
        <v/>
      </c>
      <c r="H2862">
        <f>IF(OR($B2862="",NOT(ISNUMBER($D2862))),"",IF($E2862&lt;$D$2,"Passé",IF($D2862&gt;$F$2,"À venir","Dans la période")))</f>
        <v/>
      </c>
      <c r="I2862">
        <f>IF(OR($B2862="",NOT(ISNUMBER($D2862))),"",IF(AND($E2862&lt;$D$2,$G2862&lt;&gt;"X",$F2862&lt;&gt;"Réalisé",$F2862&lt;&gt;"Clôturé"),"RETARD",""))</f>
        <v/>
      </c>
      <c r="J2862" s="29">
        <f>IF($B2862="","",IF(INDEX(Dossiers!$F$4:$F$63,54)="","",INDEX(Dossiers!$F$4:$F$63,54)))</f>
        <v/>
      </c>
      <c r="K2862" s="29">
        <f>IF($B2862="","",IF(INDEX(Dossiers!$G$4:$G$63,54)="","",INDEX(Dossiers!$G$4:$G$63,54)))</f>
        <v/>
      </c>
    </row>
    <row r="2863">
      <c r="A2863">
        <f>IF($B2863="","",INDEX(Dossiers!$E$4:$E$63,54))</f>
        <v/>
      </c>
      <c r="B2863">
        <f>IF(INDEX(Suivi!$B:$B,2917)="","",INDEX(Suivi!$B:$B,2917))</f>
        <v/>
      </c>
      <c r="C2863">
        <f>IF($B2863="","",IF(INDEX(Suivi!$D:$D,2917)="",INDEX(Suivi!$C:$C,2917),INDEX(Suivi!$D:$D,2917)))</f>
        <v/>
      </c>
      <c r="D2863" s="29">
        <f>IF($B2863="","",INDEX(Suivi!$E:$E,2917))</f>
        <v/>
      </c>
      <c r="E2863" s="29">
        <f>IF($B2863="","",INDEX(Suivi!$F:$F,2917))</f>
        <v/>
      </c>
      <c r="F2863">
        <f>IF($B2863="","",INDEX(Suivi!$G:$G,2917))</f>
        <v/>
      </c>
      <c r="H2863">
        <f>IF(OR($B2863="",NOT(ISNUMBER($D2863))),"",IF($E2863&lt;$D$2,"Passé",IF($D2863&gt;$F$2,"À venir","Dans la période")))</f>
        <v/>
      </c>
      <c r="I2863">
        <f>IF(OR($B2863="",NOT(ISNUMBER($D2863))),"",IF(AND($E2863&lt;$D$2,$G2863&lt;&gt;"X",$F2863&lt;&gt;"Réalisé",$F2863&lt;&gt;"Clôturé"),"RETARD",""))</f>
        <v/>
      </c>
      <c r="J2863" s="29">
        <f>IF($B2863="","",IF(INDEX(Dossiers!$F$4:$F$63,54)="","",INDEX(Dossiers!$F$4:$F$63,54)))</f>
        <v/>
      </c>
      <c r="K2863" s="29">
        <f>IF($B2863="","",IF(INDEX(Dossiers!$G$4:$G$63,54)="","",INDEX(Dossiers!$G$4:$G$63,54)))</f>
        <v/>
      </c>
    </row>
    <row r="2864">
      <c r="A2864">
        <f>IF($B2864="","",INDEX(Dossiers!$E$4:$E$63,54))</f>
        <v/>
      </c>
      <c r="B2864">
        <f>IF(INDEX(Suivi!$B:$B,2918)="","",INDEX(Suivi!$B:$B,2918))</f>
        <v/>
      </c>
      <c r="C2864">
        <f>IF($B2864="","",IF(INDEX(Suivi!$D:$D,2918)="",INDEX(Suivi!$C:$C,2918),INDEX(Suivi!$D:$D,2918)))</f>
        <v/>
      </c>
      <c r="D2864" s="29">
        <f>IF($B2864="","",INDEX(Suivi!$E:$E,2918))</f>
        <v/>
      </c>
      <c r="E2864" s="29">
        <f>IF($B2864="","",INDEX(Suivi!$F:$F,2918))</f>
        <v/>
      </c>
      <c r="F2864">
        <f>IF($B2864="","",INDEX(Suivi!$G:$G,2918))</f>
        <v/>
      </c>
      <c r="H2864">
        <f>IF(OR($B2864="",NOT(ISNUMBER($D2864))),"",IF($E2864&lt;$D$2,"Passé",IF($D2864&gt;$F$2,"À venir","Dans la période")))</f>
        <v/>
      </c>
      <c r="I2864">
        <f>IF(OR($B2864="",NOT(ISNUMBER($D2864))),"",IF(AND($E2864&lt;$D$2,$G2864&lt;&gt;"X",$F2864&lt;&gt;"Réalisé",$F2864&lt;&gt;"Clôturé"),"RETARD",""))</f>
        <v/>
      </c>
      <c r="J2864" s="29">
        <f>IF($B2864="","",IF(INDEX(Dossiers!$F$4:$F$63,54)="","",INDEX(Dossiers!$F$4:$F$63,54)))</f>
        <v/>
      </c>
      <c r="K2864" s="29">
        <f>IF($B2864="","",IF(INDEX(Dossiers!$G$4:$G$63,54)="","",INDEX(Dossiers!$G$4:$G$63,54)))</f>
        <v/>
      </c>
    </row>
    <row r="2865">
      <c r="A2865">
        <f>IF($B2865="","",INDEX(Dossiers!$E$4:$E$63,54))</f>
        <v/>
      </c>
      <c r="B2865">
        <f>IF(INDEX(Suivi!$B:$B,2919)="","",INDEX(Suivi!$B:$B,2919))</f>
        <v/>
      </c>
      <c r="C2865">
        <f>IF($B2865="","",IF(INDEX(Suivi!$D:$D,2919)="",INDEX(Suivi!$C:$C,2919),INDEX(Suivi!$D:$D,2919)))</f>
        <v/>
      </c>
      <c r="D2865" s="29">
        <f>IF($B2865="","",INDEX(Suivi!$E:$E,2919))</f>
        <v/>
      </c>
      <c r="E2865" s="29">
        <f>IF($B2865="","",INDEX(Suivi!$F:$F,2919))</f>
        <v/>
      </c>
      <c r="F2865">
        <f>IF($B2865="","",INDEX(Suivi!$G:$G,2919))</f>
        <v/>
      </c>
      <c r="H2865">
        <f>IF(OR($B2865="",NOT(ISNUMBER($D2865))),"",IF($E2865&lt;$D$2,"Passé",IF($D2865&gt;$F$2,"À venir","Dans la période")))</f>
        <v/>
      </c>
      <c r="I2865">
        <f>IF(OR($B2865="",NOT(ISNUMBER($D2865))),"",IF(AND($E2865&lt;$D$2,$G2865&lt;&gt;"X",$F2865&lt;&gt;"Réalisé",$F2865&lt;&gt;"Clôturé"),"RETARD",""))</f>
        <v/>
      </c>
      <c r="J2865" s="29">
        <f>IF($B2865="","",IF(INDEX(Dossiers!$F$4:$F$63,54)="","",INDEX(Dossiers!$F$4:$F$63,54)))</f>
        <v/>
      </c>
      <c r="K2865" s="29">
        <f>IF($B2865="","",IF(INDEX(Dossiers!$G$4:$G$63,54)="","",INDEX(Dossiers!$G$4:$G$63,54)))</f>
        <v/>
      </c>
    </row>
    <row r="2866">
      <c r="A2866">
        <f>IF($B2866="","",INDEX(Dossiers!$E$4:$E$63,55))</f>
        <v/>
      </c>
      <c r="B2866">
        <f>IF(INDEX(Suivi!$B:$B,2921)="","",INDEX(Suivi!$B:$B,2921))</f>
        <v/>
      </c>
      <c r="C2866">
        <f>IF($B2866="","",IF(INDEX(Suivi!$D:$D,2921)="",INDEX(Suivi!$C:$C,2921),INDEX(Suivi!$D:$D,2921)))</f>
        <v/>
      </c>
      <c r="D2866" s="29">
        <f>IF($B2866="","",INDEX(Suivi!$E:$E,2921))</f>
        <v/>
      </c>
      <c r="E2866" s="29">
        <f>IF($B2866="","",INDEX(Suivi!$F:$F,2921))</f>
        <v/>
      </c>
      <c r="F2866">
        <f>IF($B2866="","",INDEX(Suivi!$G:$G,2921))</f>
        <v/>
      </c>
      <c r="H2866">
        <f>IF(OR($B2866="",NOT(ISNUMBER($D2866))),"",IF($E2866&lt;$D$2,"Passé",IF($D2866&gt;$F$2,"À venir","Dans la période")))</f>
        <v/>
      </c>
      <c r="I2866">
        <f>IF(OR($B2866="",NOT(ISNUMBER($D2866))),"",IF(AND($E2866&lt;$D$2,$G2866&lt;&gt;"X",$F2866&lt;&gt;"Réalisé",$F2866&lt;&gt;"Clôturé"),"RETARD",""))</f>
        <v/>
      </c>
      <c r="J2866" s="29">
        <f>IF($B2866="","",IF(INDEX(Dossiers!$F$4:$F$63,55)="","",INDEX(Dossiers!$F$4:$F$63,55)))</f>
        <v/>
      </c>
      <c r="K2866" s="29">
        <f>IF($B2866="","",IF(INDEX(Dossiers!$G$4:$G$63,55)="","",INDEX(Dossiers!$G$4:$G$63,55)))</f>
        <v/>
      </c>
    </row>
    <row r="2867">
      <c r="A2867">
        <f>IF($B2867="","",INDEX(Dossiers!$E$4:$E$63,55))</f>
        <v/>
      </c>
      <c r="B2867">
        <f>IF(INDEX(Suivi!$B:$B,2922)="","",INDEX(Suivi!$B:$B,2922))</f>
        <v/>
      </c>
      <c r="C2867">
        <f>IF($B2867="","",IF(INDEX(Suivi!$D:$D,2922)="",INDEX(Suivi!$C:$C,2922),INDEX(Suivi!$D:$D,2922)))</f>
        <v/>
      </c>
      <c r="D2867" s="29">
        <f>IF($B2867="","",INDEX(Suivi!$E:$E,2922))</f>
        <v/>
      </c>
      <c r="E2867" s="29">
        <f>IF($B2867="","",INDEX(Suivi!$F:$F,2922))</f>
        <v/>
      </c>
      <c r="F2867">
        <f>IF($B2867="","",INDEX(Suivi!$G:$G,2922))</f>
        <v/>
      </c>
      <c r="H2867">
        <f>IF(OR($B2867="",NOT(ISNUMBER($D2867))),"",IF($E2867&lt;$D$2,"Passé",IF($D2867&gt;$F$2,"À venir","Dans la période")))</f>
        <v/>
      </c>
      <c r="I2867">
        <f>IF(OR($B2867="",NOT(ISNUMBER($D2867))),"",IF(AND($E2867&lt;$D$2,$G2867&lt;&gt;"X",$F2867&lt;&gt;"Réalisé",$F2867&lt;&gt;"Clôturé"),"RETARD",""))</f>
        <v/>
      </c>
      <c r="J2867" s="29">
        <f>IF($B2867="","",IF(INDEX(Dossiers!$F$4:$F$63,55)="","",INDEX(Dossiers!$F$4:$F$63,55)))</f>
        <v/>
      </c>
      <c r="K2867" s="29">
        <f>IF($B2867="","",IF(INDEX(Dossiers!$G$4:$G$63,55)="","",INDEX(Dossiers!$G$4:$G$63,55)))</f>
        <v/>
      </c>
    </row>
    <row r="2868">
      <c r="A2868">
        <f>IF($B2868="","",INDEX(Dossiers!$E$4:$E$63,55))</f>
        <v/>
      </c>
      <c r="B2868">
        <f>IF(INDEX(Suivi!$B:$B,2923)="","",INDEX(Suivi!$B:$B,2923))</f>
        <v/>
      </c>
      <c r="C2868">
        <f>IF($B2868="","",IF(INDEX(Suivi!$D:$D,2923)="",INDEX(Suivi!$C:$C,2923),INDEX(Suivi!$D:$D,2923)))</f>
        <v/>
      </c>
      <c r="D2868" s="29">
        <f>IF($B2868="","",INDEX(Suivi!$E:$E,2923))</f>
        <v/>
      </c>
      <c r="E2868" s="29">
        <f>IF($B2868="","",INDEX(Suivi!$F:$F,2923))</f>
        <v/>
      </c>
      <c r="F2868">
        <f>IF($B2868="","",INDEX(Suivi!$G:$G,2923))</f>
        <v/>
      </c>
      <c r="H2868">
        <f>IF(OR($B2868="",NOT(ISNUMBER($D2868))),"",IF($E2868&lt;$D$2,"Passé",IF($D2868&gt;$F$2,"À venir","Dans la période")))</f>
        <v/>
      </c>
      <c r="I2868">
        <f>IF(OR($B2868="",NOT(ISNUMBER($D2868))),"",IF(AND($E2868&lt;$D$2,$G2868&lt;&gt;"X",$F2868&lt;&gt;"Réalisé",$F2868&lt;&gt;"Clôturé"),"RETARD",""))</f>
        <v/>
      </c>
      <c r="J2868" s="29">
        <f>IF($B2868="","",IF(INDEX(Dossiers!$F$4:$F$63,55)="","",INDEX(Dossiers!$F$4:$F$63,55)))</f>
        <v/>
      </c>
      <c r="K2868" s="29">
        <f>IF($B2868="","",IF(INDEX(Dossiers!$G$4:$G$63,55)="","",INDEX(Dossiers!$G$4:$G$63,55)))</f>
        <v/>
      </c>
    </row>
    <row r="2869">
      <c r="A2869">
        <f>IF($B2869="","",INDEX(Dossiers!$E$4:$E$63,55))</f>
        <v/>
      </c>
      <c r="B2869">
        <f>IF(INDEX(Suivi!$B:$B,2924)="","",INDEX(Suivi!$B:$B,2924))</f>
        <v/>
      </c>
      <c r="C2869">
        <f>IF($B2869="","",IF(INDEX(Suivi!$D:$D,2924)="",INDEX(Suivi!$C:$C,2924),INDEX(Suivi!$D:$D,2924)))</f>
        <v/>
      </c>
      <c r="D2869" s="29">
        <f>IF($B2869="","",INDEX(Suivi!$E:$E,2924))</f>
        <v/>
      </c>
      <c r="E2869" s="29">
        <f>IF($B2869="","",INDEX(Suivi!$F:$F,2924))</f>
        <v/>
      </c>
      <c r="F2869">
        <f>IF($B2869="","",INDEX(Suivi!$G:$G,2924))</f>
        <v/>
      </c>
      <c r="H2869">
        <f>IF(OR($B2869="",NOT(ISNUMBER($D2869))),"",IF($E2869&lt;$D$2,"Passé",IF($D2869&gt;$F$2,"À venir","Dans la période")))</f>
        <v/>
      </c>
      <c r="I2869">
        <f>IF(OR($B2869="",NOT(ISNUMBER($D2869))),"",IF(AND($E2869&lt;$D$2,$G2869&lt;&gt;"X",$F2869&lt;&gt;"Réalisé",$F2869&lt;&gt;"Clôturé"),"RETARD",""))</f>
        <v/>
      </c>
      <c r="J2869" s="29">
        <f>IF($B2869="","",IF(INDEX(Dossiers!$F$4:$F$63,55)="","",INDEX(Dossiers!$F$4:$F$63,55)))</f>
        <v/>
      </c>
      <c r="K2869" s="29">
        <f>IF($B2869="","",IF(INDEX(Dossiers!$G$4:$G$63,55)="","",INDEX(Dossiers!$G$4:$G$63,55)))</f>
        <v/>
      </c>
    </row>
    <row r="2870">
      <c r="A2870">
        <f>IF($B2870="","",INDEX(Dossiers!$E$4:$E$63,55))</f>
        <v/>
      </c>
      <c r="B2870">
        <f>IF(INDEX(Suivi!$B:$B,2925)="","",INDEX(Suivi!$B:$B,2925))</f>
        <v/>
      </c>
      <c r="C2870">
        <f>IF($B2870="","",IF(INDEX(Suivi!$D:$D,2925)="",INDEX(Suivi!$C:$C,2925),INDEX(Suivi!$D:$D,2925)))</f>
        <v/>
      </c>
      <c r="D2870" s="29">
        <f>IF($B2870="","",INDEX(Suivi!$E:$E,2925))</f>
        <v/>
      </c>
      <c r="E2870" s="29">
        <f>IF($B2870="","",INDEX(Suivi!$F:$F,2925))</f>
        <v/>
      </c>
      <c r="F2870">
        <f>IF($B2870="","",INDEX(Suivi!$G:$G,2925))</f>
        <v/>
      </c>
      <c r="H2870">
        <f>IF(OR($B2870="",NOT(ISNUMBER($D2870))),"",IF($E2870&lt;$D$2,"Passé",IF($D2870&gt;$F$2,"À venir","Dans la période")))</f>
        <v/>
      </c>
      <c r="I2870">
        <f>IF(OR($B2870="",NOT(ISNUMBER($D2870))),"",IF(AND($E2870&lt;$D$2,$G2870&lt;&gt;"X",$F2870&lt;&gt;"Réalisé",$F2870&lt;&gt;"Clôturé"),"RETARD",""))</f>
        <v/>
      </c>
      <c r="J2870" s="29">
        <f>IF($B2870="","",IF(INDEX(Dossiers!$F$4:$F$63,55)="","",INDEX(Dossiers!$F$4:$F$63,55)))</f>
        <v/>
      </c>
      <c r="K2870" s="29">
        <f>IF($B2870="","",IF(INDEX(Dossiers!$G$4:$G$63,55)="","",INDEX(Dossiers!$G$4:$G$63,55)))</f>
        <v/>
      </c>
    </row>
    <row r="2871">
      <c r="A2871">
        <f>IF($B2871="","",INDEX(Dossiers!$E$4:$E$63,55))</f>
        <v/>
      </c>
      <c r="B2871">
        <f>IF(INDEX(Suivi!$B:$B,2926)="","",INDEX(Suivi!$B:$B,2926))</f>
        <v/>
      </c>
      <c r="C2871">
        <f>IF($B2871="","",IF(INDEX(Suivi!$D:$D,2926)="",INDEX(Suivi!$C:$C,2926),INDEX(Suivi!$D:$D,2926)))</f>
        <v/>
      </c>
      <c r="D2871" s="29">
        <f>IF($B2871="","",INDEX(Suivi!$E:$E,2926))</f>
        <v/>
      </c>
      <c r="E2871" s="29">
        <f>IF($B2871="","",INDEX(Suivi!$F:$F,2926))</f>
        <v/>
      </c>
      <c r="F2871">
        <f>IF($B2871="","",INDEX(Suivi!$G:$G,2926))</f>
        <v/>
      </c>
      <c r="H2871">
        <f>IF(OR($B2871="",NOT(ISNUMBER($D2871))),"",IF($E2871&lt;$D$2,"Passé",IF($D2871&gt;$F$2,"À venir","Dans la période")))</f>
        <v/>
      </c>
      <c r="I2871">
        <f>IF(OR($B2871="",NOT(ISNUMBER($D2871))),"",IF(AND($E2871&lt;$D$2,$G2871&lt;&gt;"X",$F2871&lt;&gt;"Réalisé",$F2871&lt;&gt;"Clôturé"),"RETARD",""))</f>
        <v/>
      </c>
      <c r="J2871" s="29">
        <f>IF($B2871="","",IF(INDEX(Dossiers!$F$4:$F$63,55)="","",INDEX(Dossiers!$F$4:$F$63,55)))</f>
        <v/>
      </c>
      <c r="K2871" s="29">
        <f>IF($B2871="","",IF(INDEX(Dossiers!$G$4:$G$63,55)="","",INDEX(Dossiers!$G$4:$G$63,55)))</f>
        <v/>
      </c>
    </row>
    <row r="2872">
      <c r="A2872">
        <f>IF($B2872="","",INDEX(Dossiers!$E$4:$E$63,55))</f>
        <v/>
      </c>
      <c r="B2872">
        <f>IF(INDEX(Suivi!$B:$B,2927)="","",INDEX(Suivi!$B:$B,2927))</f>
        <v/>
      </c>
      <c r="C2872">
        <f>IF($B2872="","",IF(INDEX(Suivi!$D:$D,2927)="",INDEX(Suivi!$C:$C,2927),INDEX(Suivi!$D:$D,2927)))</f>
        <v/>
      </c>
      <c r="D2872" s="29">
        <f>IF($B2872="","",INDEX(Suivi!$E:$E,2927))</f>
        <v/>
      </c>
      <c r="E2872" s="29">
        <f>IF($B2872="","",INDEX(Suivi!$F:$F,2927))</f>
        <v/>
      </c>
      <c r="F2872">
        <f>IF($B2872="","",INDEX(Suivi!$G:$G,2927))</f>
        <v/>
      </c>
      <c r="H2872">
        <f>IF(OR($B2872="",NOT(ISNUMBER($D2872))),"",IF($E2872&lt;$D$2,"Passé",IF($D2872&gt;$F$2,"À venir","Dans la période")))</f>
        <v/>
      </c>
      <c r="I2872">
        <f>IF(OR($B2872="",NOT(ISNUMBER($D2872))),"",IF(AND($E2872&lt;$D$2,$G2872&lt;&gt;"X",$F2872&lt;&gt;"Réalisé",$F2872&lt;&gt;"Clôturé"),"RETARD",""))</f>
        <v/>
      </c>
      <c r="J2872" s="29">
        <f>IF($B2872="","",IF(INDEX(Dossiers!$F$4:$F$63,55)="","",INDEX(Dossiers!$F$4:$F$63,55)))</f>
        <v/>
      </c>
      <c r="K2872" s="29">
        <f>IF($B2872="","",IF(INDEX(Dossiers!$G$4:$G$63,55)="","",INDEX(Dossiers!$G$4:$G$63,55)))</f>
        <v/>
      </c>
    </row>
    <row r="2873">
      <c r="A2873">
        <f>IF($B2873="","",INDEX(Dossiers!$E$4:$E$63,55))</f>
        <v/>
      </c>
      <c r="B2873">
        <f>IF(INDEX(Suivi!$B:$B,2928)="","",INDEX(Suivi!$B:$B,2928))</f>
        <v/>
      </c>
      <c r="C2873">
        <f>IF($B2873="","",IF(INDEX(Suivi!$D:$D,2928)="",INDEX(Suivi!$C:$C,2928),INDEX(Suivi!$D:$D,2928)))</f>
        <v/>
      </c>
      <c r="D2873" s="29">
        <f>IF($B2873="","",INDEX(Suivi!$E:$E,2928))</f>
        <v/>
      </c>
      <c r="E2873" s="29">
        <f>IF($B2873="","",INDEX(Suivi!$F:$F,2928))</f>
        <v/>
      </c>
      <c r="F2873">
        <f>IF($B2873="","",INDEX(Suivi!$G:$G,2928))</f>
        <v/>
      </c>
      <c r="H2873">
        <f>IF(OR($B2873="",NOT(ISNUMBER($D2873))),"",IF($E2873&lt;$D$2,"Passé",IF($D2873&gt;$F$2,"À venir","Dans la période")))</f>
        <v/>
      </c>
      <c r="I2873">
        <f>IF(OR($B2873="",NOT(ISNUMBER($D2873))),"",IF(AND($E2873&lt;$D$2,$G2873&lt;&gt;"X",$F2873&lt;&gt;"Réalisé",$F2873&lt;&gt;"Clôturé"),"RETARD",""))</f>
        <v/>
      </c>
      <c r="J2873" s="29">
        <f>IF($B2873="","",IF(INDEX(Dossiers!$F$4:$F$63,55)="","",INDEX(Dossiers!$F$4:$F$63,55)))</f>
        <v/>
      </c>
      <c r="K2873" s="29">
        <f>IF($B2873="","",IF(INDEX(Dossiers!$G$4:$G$63,55)="","",INDEX(Dossiers!$G$4:$G$63,55)))</f>
        <v/>
      </c>
    </row>
    <row r="2874">
      <c r="A2874">
        <f>IF($B2874="","",INDEX(Dossiers!$E$4:$E$63,55))</f>
        <v/>
      </c>
      <c r="B2874">
        <f>IF(INDEX(Suivi!$B:$B,2929)="","",INDEX(Suivi!$B:$B,2929))</f>
        <v/>
      </c>
      <c r="C2874">
        <f>IF($B2874="","",IF(INDEX(Suivi!$D:$D,2929)="",INDEX(Suivi!$C:$C,2929),INDEX(Suivi!$D:$D,2929)))</f>
        <v/>
      </c>
      <c r="D2874" s="29">
        <f>IF($B2874="","",INDEX(Suivi!$E:$E,2929))</f>
        <v/>
      </c>
      <c r="E2874" s="29">
        <f>IF($B2874="","",INDEX(Suivi!$F:$F,2929))</f>
        <v/>
      </c>
      <c r="F2874">
        <f>IF($B2874="","",INDEX(Suivi!$G:$G,2929))</f>
        <v/>
      </c>
      <c r="H2874">
        <f>IF(OR($B2874="",NOT(ISNUMBER($D2874))),"",IF($E2874&lt;$D$2,"Passé",IF($D2874&gt;$F$2,"À venir","Dans la période")))</f>
        <v/>
      </c>
      <c r="I2874">
        <f>IF(OR($B2874="",NOT(ISNUMBER($D2874))),"",IF(AND($E2874&lt;$D$2,$G2874&lt;&gt;"X",$F2874&lt;&gt;"Réalisé",$F2874&lt;&gt;"Clôturé"),"RETARD",""))</f>
        <v/>
      </c>
      <c r="J2874" s="29">
        <f>IF($B2874="","",IF(INDEX(Dossiers!$F$4:$F$63,55)="","",INDEX(Dossiers!$F$4:$F$63,55)))</f>
        <v/>
      </c>
      <c r="K2874" s="29">
        <f>IF($B2874="","",IF(INDEX(Dossiers!$G$4:$G$63,55)="","",INDEX(Dossiers!$G$4:$G$63,55)))</f>
        <v/>
      </c>
    </row>
    <row r="2875">
      <c r="A2875">
        <f>IF($B2875="","",INDEX(Dossiers!$E$4:$E$63,55))</f>
        <v/>
      </c>
      <c r="B2875">
        <f>IF(INDEX(Suivi!$B:$B,2930)="","",INDEX(Suivi!$B:$B,2930))</f>
        <v/>
      </c>
      <c r="C2875">
        <f>IF($B2875="","",IF(INDEX(Suivi!$D:$D,2930)="",INDEX(Suivi!$C:$C,2930),INDEX(Suivi!$D:$D,2930)))</f>
        <v/>
      </c>
      <c r="D2875" s="29">
        <f>IF($B2875="","",INDEX(Suivi!$E:$E,2930))</f>
        <v/>
      </c>
      <c r="E2875" s="29">
        <f>IF($B2875="","",INDEX(Suivi!$F:$F,2930))</f>
        <v/>
      </c>
      <c r="F2875">
        <f>IF($B2875="","",INDEX(Suivi!$G:$G,2930))</f>
        <v/>
      </c>
      <c r="H2875">
        <f>IF(OR($B2875="",NOT(ISNUMBER($D2875))),"",IF($E2875&lt;$D$2,"Passé",IF($D2875&gt;$F$2,"À venir","Dans la période")))</f>
        <v/>
      </c>
      <c r="I2875">
        <f>IF(OR($B2875="",NOT(ISNUMBER($D2875))),"",IF(AND($E2875&lt;$D$2,$G2875&lt;&gt;"X",$F2875&lt;&gt;"Réalisé",$F2875&lt;&gt;"Clôturé"),"RETARD",""))</f>
        <v/>
      </c>
      <c r="J2875" s="29">
        <f>IF($B2875="","",IF(INDEX(Dossiers!$F$4:$F$63,55)="","",INDEX(Dossiers!$F$4:$F$63,55)))</f>
        <v/>
      </c>
      <c r="K2875" s="29">
        <f>IF($B2875="","",IF(INDEX(Dossiers!$G$4:$G$63,55)="","",INDEX(Dossiers!$G$4:$G$63,55)))</f>
        <v/>
      </c>
    </row>
    <row r="2876">
      <c r="A2876">
        <f>IF($B2876="","",INDEX(Dossiers!$E$4:$E$63,55))</f>
        <v/>
      </c>
      <c r="B2876">
        <f>IF(INDEX(Suivi!$B:$B,2931)="","",INDEX(Suivi!$B:$B,2931))</f>
        <v/>
      </c>
      <c r="C2876">
        <f>IF($B2876="","",IF(INDEX(Suivi!$D:$D,2931)="",INDEX(Suivi!$C:$C,2931),INDEX(Suivi!$D:$D,2931)))</f>
        <v/>
      </c>
      <c r="D2876" s="29">
        <f>IF($B2876="","",INDEX(Suivi!$E:$E,2931))</f>
        <v/>
      </c>
      <c r="E2876" s="29">
        <f>IF($B2876="","",INDEX(Suivi!$F:$F,2931))</f>
        <v/>
      </c>
      <c r="F2876">
        <f>IF($B2876="","",INDEX(Suivi!$G:$G,2931))</f>
        <v/>
      </c>
      <c r="H2876">
        <f>IF(OR($B2876="",NOT(ISNUMBER($D2876))),"",IF($E2876&lt;$D$2,"Passé",IF($D2876&gt;$F$2,"À venir","Dans la période")))</f>
        <v/>
      </c>
      <c r="I2876">
        <f>IF(OR($B2876="",NOT(ISNUMBER($D2876))),"",IF(AND($E2876&lt;$D$2,$G2876&lt;&gt;"X",$F2876&lt;&gt;"Réalisé",$F2876&lt;&gt;"Clôturé"),"RETARD",""))</f>
        <v/>
      </c>
      <c r="J2876" s="29">
        <f>IF($B2876="","",IF(INDEX(Dossiers!$F$4:$F$63,55)="","",INDEX(Dossiers!$F$4:$F$63,55)))</f>
        <v/>
      </c>
      <c r="K2876" s="29">
        <f>IF($B2876="","",IF(INDEX(Dossiers!$G$4:$G$63,55)="","",INDEX(Dossiers!$G$4:$G$63,55)))</f>
        <v/>
      </c>
    </row>
    <row r="2877">
      <c r="A2877">
        <f>IF($B2877="","",INDEX(Dossiers!$E$4:$E$63,55))</f>
        <v/>
      </c>
      <c r="B2877">
        <f>IF(INDEX(Suivi!$B:$B,2932)="","",INDEX(Suivi!$B:$B,2932))</f>
        <v/>
      </c>
      <c r="C2877">
        <f>IF($B2877="","",IF(INDEX(Suivi!$D:$D,2932)="",INDEX(Suivi!$C:$C,2932),INDEX(Suivi!$D:$D,2932)))</f>
        <v/>
      </c>
      <c r="D2877" s="29">
        <f>IF($B2877="","",INDEX(Suivi!$E:$E,2932))</f>
        <v/>
      </c>
      <c r="E2877" s="29">
        <f>IF($B2877="","",INDEX(Suivi!$F:$F,2932))</f>
        <v/>
      </c>
      <c r="F2877">
        <f>IF($B2877="","",INDEX(Suivi!$G:$G,2932))</f>
        <v/>
      </c>
      <c r="H2877">
        <f>IF(OR($B2877="",NOT(ISNUMBER($D2877))),"",IF($E2877&lt;$D$2,"Passé",IF($D2877&gt;$F$2,"À venir","Dans la période")))</f>
        <v/>
      </c>
      <c r="I2877">
        <f>IF(OR($B2877="",NOT(ISNUMBER($D2877))),"",IF(AND($E2877&lt;$D$2,$G2877&lt;&gt;"X",$F2877&lt;&gt;"Réalisé",$F2877&lt;&gt;"Clôturé"),"RETARD",""))</f>
        <v/>
      </c>
      <c r="J2877" s="29">
        <f>IF($B2877="","",IF(INDEX(Dossiers!$F$4:$F$63,55)="","",INDEX(Dossiers!$F$4:$F$63,55)))</f>
        <v/>
      </c>
      <c r="K2877" s="29">
        <f>IF($B2877="","",IF(INDEX(Dossiers!$G$4:$G$63,55)="","",INDEX(Dossiers!$G$4:$G$63,55)))</f>
        <v/>
      </c>
    </row>
    <row r="2878">
      <c r="A2878">
        <f>IF($B2878="","",INDEX(Dossiers!$E$4:$E$63,55))</f>
        <v/>
      </c>
      <c r="B2878">
        <f>IF(INDEX(Suivi!$B:$B,2933)="","",INDEX(Suivi!$B:$B,2933))</f>
        <v/>
      </c>
      <c r="C2878">
        <f>IF($B2878="","",IF(INDEX(Suivi!$D:$D,2933)="",INDEX(Suivi!$C:$C,2933),INDEX(Suivi!$D:$D,2933)))</f>
        <v/>
      </c>
      <c r="D2878" s="29">
        <f>IF($B2878="","",INDEX(Suivi!$E:$E,2933))</f>
        <v/>
      </c>
      <c r="E2878" s="29">
        <f>IF($B2878="","",INDEX(Suivi!$F:$F,2933))</f>
        <v/>
      </c>
      <c r="F2878">
        <f>IF($B2878="","",INDEX(Suivi!$G:$G,2933))</f>
        <v/>
      </c>
      <c r="H2878">
        <f>IF(OR($B2878="",NOT(ISNUMBER($D2878))),"",IF($E2878&lt;$D$2,"Passé",IF($D2878&gt;$F$2,"À venir","Dans la période")))</f>
        <v/>
      </c>
      <c r="I2878">
        <f>IF(OR($B2878="",NOT(ISNUMBER($D2878))),"",IF(AND($E2878&lt;$D$2,$G2878&lt;&gt;"X",$F2878&lt;&gt;"Réalisé",$F2878&lt;&gt;"Clôturé"),"RETARD",""))</f>
        <v/>
      </c>
      <c r="J2878" s="29">
        <f>IF($B2878="","",IF(INDEX(Dossiers!$F$4:$F$63,55)="","",INDEX(Dossiers!$F$4:$F$63,55)))</f>
        <v/>
      </c>
      <c r="K2878" s="29">
        <f>IF($B2878="","",IF(INDEX(Dossiers!$G$4:$G$63,55)="","",INDEX(Dossiers!$G$4:$G$63,55)))</f>
        <v/>
      </c>
    </row>
    <row r="2879">
      <c r="A2879">
        <f>IF($B2879="","",INDEX(Dossiers!$E$4:$E$63,55))</f>
        <v/>
      </c>
      <c r="B2879">
        <f>IF(INDEX(Suivi!$B:$B,2934)="","",INDEX(Suivi!$B:$B,2934))</f>
        <v/>
      </c>
      <c r="C2879">
        <f>IF($B2879="","",IF(INDEX(Suivi!$D:$D,2934)="",INDEX(Suivi!$C:$C,2934),INDEX(Suivi!$D:$D,2934)))</f>
        <v/>
      </c>
      <c r="D2879" s="29">
        <f>IF($B2879="","",INDEX(Suivi!$E:$E,2934))</f>
        <v/>
      </c>
      <c r="E2879" s="29">
        <f>IF($B2879="","",INDEX(Suivi!$F:$F,2934))</f>
        <v/>
      </c>
      <c r="F2879">
        <f>IF($B2879="","",INDEX(Suivi!$G:$G,2934))</f>
        <v/>
      </c>
      <c r="H2879">
        <f>IF(OR($B2879="",NOT(ISNUMBER($D2879))),"",IF($E2879&lt;$D$2,"Passé",IF($D2879&gt;$F$2,"À venir","Dans la période")))</f>
        <v/>
      </c>
      <c r="I2879">
        <f>IF(OR($B2879="",NOT(ISNUMBER($D2879))),"",IF(AND($E2879&lt;$D$2,$G2879&lt;&gt;"X",$F2879&lt;&gt;"Réalisé",$F2879&lt;&gt;"Clôturé"),"RETARD",""))</f>
        <v/>
      </c>
      <c r="J2879" s="29">
        <f>IF($B2879="","",IF(INDEX(Dossiers!$F$4:$F$63,55)="","",INDEX(Dossiers!$F$4:$F$63,55)))</f>
        <v/>
      </c>
      <c r="K2879" s="29">
        <f>IF($B2879="","",IF(INDEX(Dossiers!$G$4:$G$63,55)="","",INDEX(Dossiers!$G$4:$G$63,55)))</f>
        <v/>
      </c>
    </row>
    <row r="2880">
      <c r="A2880">
        <f>IF($B2880="","",INDEX(Dossiers!$E$4:$E$63,55))</f>
        <v/>
      </c>
      <c r="B2880">
        <f>IF(INDEX(Suivi!$B:$B,2935)="","",INDEX(Suivi!$B:$B,2935))</f>
        <v/>
      </c>
      <c r="C2880">
        <f>IF($B2880="","",IF(INDEX(Suivi!$D:$D,2935)="",INDEX(Suivi!$C:$C,2935),INDEX(Suivi!$D:$D,2935)))</f>
        <v/>
      </c>
      <c r="D2880" s="29">
        <f>IF($B2880="","",INDEX(Suivi!$E:$E,2935))</f>
        <v/>
      </c>
      <c r="E2880" s="29">
        <f>IF($B2880="","",INDEX(Suivi!$F:$F,2935))</f>
        <v/>
      </c>
      <c r="F2880">
        <f>IF($B2880="","",INDEX(Suivi!$G:$G,2935))</f>
        <v/>
      </c>
      <c r="H2880">
        <f>IF(OR($B2880="",NOT(ISNUMBER($D2880))),"",IF($E2880&lt;$D$2,"Passé",IF($D2880&gt;$F$2,"À venir","Dans la période")))</f>
        <v/>
      </c>
      <c r="I2880">
        <f>IF(OR($B2880="",NOT(ISNUMBER($D2880))),"",IF(AND($E2880&lt;$D$2,$G2880&lt;&gt;"X",$F2880&lt;&gt;"Réalisé",$F2880&lt;&gt;"Clôturé"),"RETARD",""))</f>
        <v/>
      </c>
      <c r="J2880" s="29">
        <f>IF($B2880="","",IF(INDEX(Dossiers!$F$4:$F$63,55)="","",INDEX(Dossiers!$F$4:$F$63,55)))</f>
        <v/>
      </c>
      <c r="K2880" s="29">
        <f>IF($B2880="","",IF(INDEX(Dossiers!$G$4:$G$63,55)="","",INDEX(Dossiers!$G$4:$G$63,55)))</f>
        <v/>
      </c>
    </row>
    <row r="2881">
      <c r="A2881">
        <f>IF($B2881="","",INDEX(Dossiers!$E$4:$E$63,55))</f>
        <v/>
      </c>
      <c r="B2881">
        <f>IF(INDEX(Suivi!$B:$B,2936)="","",INDEX(Suivi!$B:$B,2936))</f>
        <v/>
      </c>
      <c r="C2881">
        <f>IF($B2881="","",IF(INDEX(Suivi!$D:$D,2936)="",INDEX(Suivi!$C:$C,2936),INDEX(Suivi!$D:$D,2936)))</f>
        <v/>
      </c>
      <c r="D2881" s="29">
        <f>IF($B2881="","",INDEX(Suivi!$E:$E,2936))</f>
        <v/>
      </c>
      <c r="E2881" s="29">
        <f>IF($B2881="","",INDEX(Suivi!$F:$F,2936))</f>
        <v/>
      </c>
      <c r="F2881">
        <f>IF($B2881="","",INDEX(Suivi!$G:$G,2936))</f>
        <v/>
      </c>
      <c r="H2881">
        <f>IF(OR($B2881="",NOT(ISNUMBER($D2881))),"",IF($E2881&lt;$D$2,"Passé",IF($D2881&gt;$F$2,"À venir","Dans la période")))</f>
        <v/>
      </c>
      <c r="I2881">
        <f>IF(OR($B2881="",NOT(ISNUMBER($D2881))),"",IF(AND($E2881&lt;$D$2,$G2881&lt;&gt;"X",$F2881&lt;&gt;"Réalisé",$F2881&lt;&gt;"Clôturé"),"RETARD",""))</f>
        <v/>
      </c>
      <c r="J2881" s="29">
        <f>IF($B2881="","",IF(INDEX(Dossiers!$F$4:$F$63,55)="","",INDEX(Dossiers!$F$4:$F$63,55)))</f>
        <v/>
      </c>
      <c r="K2881" s="29">
        <f>IF($B2881="","",IF(INDEX(Dossiers!$G$4:$G$63,55)="","",INDEX(Dossiers!$G$4:$G$63,55)))</f>
        <v/>
      </c>
    </row>
    <row r="2882">
      <c r="A2882">
        <f>IF($B2882="","",INDEX(Dossiers!$E$4:$E$63,55))</f>
        <v/>
      </c>
      <c r="B2882">
        <f>IF(INDEX(Suivi!$B:$B,2937)="","",INDEX(Suivi!$B:$B,2937))</f>
        <v/>
      </c>
      <c r="C2882">
        <f>IF($B2882="","",IF(INDEX(Suivi!$D:$D,2937)="",INDEX(Suivi!$C:$C,2937),INDEX(Suivi!$D:$D,2937)))</f>
        <v/>
      </c>
      <c r="D2882" s="29">
        <f>IF($B2882="","",INDEX(Suivi!$E:$E,2937))</f>
        <v/>
      </c>
      <c r="E2882" s="29">
        <f>IF($B2882="","",INDEX(Suivi!$F:$F,2937))</f>
        <v/>
      </c>
      <c r="F2882">
        <f>IF($B2882="","",INDEX(Suivi!$G:$G,2937))</f>
        <v/>
      </c>
      <c r="H2882">
        <f>IF(OR($B2882="",NOT(ISNUMBER($D2882))),"",IF($E2882&lt;$D$2,"Passé",IF($D2882&gt;$F$2,"À venir","Dans la période")))</f>
        <v/>
      </c>
      <c r="I2882">
        <f>IF(OR($B2882="",NOT(ISNUMBER($D2882))),"",IF(AND($E2882&lt;$D$2,$G2882&lt;&gt;"X",$F2882&lt;&gt;"Réalisé",$F2882&lt;&gt;"Clôturé"),"RETARD",""))</f>
        <v/>
      </c>
      <c r="J2882" s="29">
        <f>IF($B2882="","",IF(INDEX(Dossiers!$F$4:$F$63,55)="","",INDEX(Dossiers!$F$4:$F$63,55)))</f>
        <v/>
      </c>
      <c r="K2882" s="29">
        <f>IF($B2882="","",IF(INDEX(Dossiers!$G$4:$G$63,55)="","",INDEX(Dossiers!$G$4:$G$63,55)))</f>
        <v/>
      </c>
    </row>
    <row r="2883">
      <c r="A2883">
        <f>IF($B2883="","",INDEX(Dossiers!$E$4:$E$63,55))</f>
        <v/>
      </c>
      <c r="B2883">
        <f>IF(INDEX(Suivi!$B:$B,2938)="","",INDEX(Suivi!$B:$B,2938))</f>
        <v/>
      </c>
      <c r="C2883">
        <f>IF($B2883="","",IF(INDEX(Suivi!$D:$D,2938)="",INDEX(Suivi!$C:$C,2938),INDEX(Suivi!$D:$D,2938)))</f>
        <v/>
      </c>
      <c r="D2883" s="29">
        <f>IF($B2883="","",INDEX(Suivi!$E:$E,2938))</f>
        <v/>
      </c>
      <c r="E2883" s="29">
        <f>IF($B2883="","",INDEX(Suivi!$F:$F,2938))</f>
        <v/>
      </c>
      <c r="F2883">
        <f>IF($B2883="","",INDEX(Suivi!$G:$G,2938))</f>
        <v/>
      </c>
      <c r="H2883">
        <f>IF(OR($B2883="",NOT(ISNUMBER($D2883))),"",IF($E2883&lt;$D$2,"Passé",IF($D2883&gt;$F$2,"À venir","Dans la période")))</f>
        <v/>
      </c>
      <c r="I2883">
        <f>IF(OR($B2883="",NOT(ISNUMBER($D2883))),"",IF(AND($E2883&lt;$D$2,$G2883&lt;&gt;"X",$F2883&lt;&gt;"Réalisé",$F2883&lt;&gt;"Clôturé"),"RETARD",""))</f>
        <v/>
      </c>
      <c r="J2883" s="29">
        <f>IF($B2883="","",IF(INDEX(Dossiers!$F$4:$F$63,55)="","",INDEX(Dossiers!$F$4:$F$63,55)))</f>
        <v/>
      </c>
      <c r="K2883" s="29">
        <f>IF($B2883="","",IF(INDEX(Dossiers!$G$4:$G$63,55)="","",INDEX(Dossiers!$G$4:$G$63,55)))</f>
        <v/>
      </c>
    </row>
    <row r="2884">
      <c r="A2884">
        <f>IF($B2884="","",INDEX(Dossiers!$E$4:$E$63,55))</f>
        <v/>
      </c>
      <c r="B2884">
        <f>IF(INDEX(Suivi!$B:$B,2939)="","",INDEX(Suivi!$B:$B,2939))</f>
        <v/>
      </c>
      <c r="C2884">
        <f>IF($B2884="","",IF(INDEX(Suivi!$D:$D,2939)="",INDEX(Suivi!$C:$C,2939),INDEX(Suivi!$D:$D,2939)))</f>
        <v/>
      </c>
      <c r="D2884" s="29">
        <f>IF($B2884="","",INDEX(Suivi!$E:$E,2939))</f>
        <v/>
      </c>
      <c r="E2884" s="29">
        <f>IF($B2884="","",INDEX(Suivi!$F:$F,2939))</f>
        <v/>
      </c>
      <c r="F2884">
        <f>IF($B2884="","",INDEX(Suivi!$G:$G,2939))</f>
        <v/>
      </c>
      <c r="H2884">
        <f>IF(OR($B2884="",NOT(ISNUMBER($D2884))),"",IF($E2884&lt;$D$2,"Passé",IF($D2884&gt;$F$2,"À venir","Dans la période")))</f>
        <v/>
      </c>
      <c r="I2884">
        <f>IF(OR($B2884="",NOT(ISNUMBER($D2884))),"",IF(AND($E2884&lt;$D$2,$G2884&lt;&gt;"X",$F2884&lt;&gt;"Réalisé",$F2884&lt;&gt;"Clôturé"),"RETARD",""))</f>
        <v/>
      </c>
      <c r="J2884" s="29">
        <f>IF($B2884="","",IF(INDEX(Dossiers!$F$4:$F$63,55)="","",INDEX(Dossiers!$F$4:$F$63,55)))</f>
        <v/>
      </c>
      <c r="K2884" s="29">
        <f>IF($B2884="","",IF(INDEX(Dossiers!$G$4:$G$63,55)="","",INDEX(Dossiers!$G$4:$G$63,55)))</f>
        <v/>
      </c>
    </row>
    <row r="2885">
      <c r="A2885">
        <f>IF($B2885="","",INDEX(Dossiers!$E$4:$E$63,55))</f>
        <v/>
      </c>
      <c r="B2885">
        <f>IF(INDEX(Suivi!$B:$B,2940)="","",INDEX(Suivi!$B:$B,2940))</f>
        <v/>
      </c>
      <c r="C2885">
        <f>IF($B2885="","",IF(INDEX(Suivi!$D:$D,2940)="",INDEX(Suivi!$C:$C,2940),INDEX(Suivi!$D:$D,2940)))</f>
        <v/>
      </c>
      <c r="D2885" s="29">
        <f>IF($B2885="","",INDEX(Suivi!$E:$E,2940))</f>
        <v/>
      </c>
      <c r="E2885" s="29">
        <f>IF($B2885="","",INDEX(Suivi!$F:$F,2940))</f>
        <v/>
      </c>
      <c r="F2885">
        <f>IF($B2885="","",INDEX(Suivi!$G:$G,2940))</f>
        <v/>
      </c>
      <c r="H2885">
        <f>IF(OR($B2885="",NOT(ISNUMBER($D2885))),"",IF($E2885&lt;$D$2,"Passé",IF($D2885&gt;$F$2,"À venir","Dans la période")))</f>
        <v/>
      </c>
      <c r="I2885">
        <f>IF(OR($B2885="",NOT(ISNUMBER($D2885))),"",IF(AND($E2885&lt;$D$2,$G2885&lt;&gt;"X",$F2885&lt;&gt;"Réalisé",$F2885&lt;&gt;"Clôturé"),"RETARD",""))</f>
        <v/>
      </c>
      <c r="J2885" s="29">
        <f>IF($B2885="","",IF(INDEX(Dossiers!$F$4:$F$63,55)="","",INDEX(Dossiers!$F$4:$F$63,55)))</f>
        <v/>
      </c>
      <c r="K2885" s="29">
        <f>IF($B2885="","",IF(INDEX(Dossiers!$G$4:$G$63,55)="","",INDEX(Dossiers!$G$4:$G$63,55)))</f>
        <v/>
      </c>
    </row>
    <row r="2886">
      <c r="A2886">
        <f>IF($B2886="","",INDEX(Dossiers!$E$4:$E$63,55))</f>
        <v/>
      </c>
      <c r="B2886">
        <f>IF(INDEX(Suivi!$B:$B,2941)="","",INDEX(Suivi!$B:$B,2941))</f>
        <v/>
      </c>
      <c r="C2886">
        <f>IF($B2886="","",IF(INDEX(Suivi!$D:$D,2941)="",INDEX(Suivi!$C:$C,2941),INDEX(Suivi!$D:$D,2941)))</f>
        <v/>
      </c>
      <c r="D2886" s="29">
        <f>IF($B2886="","",INDEX(Suivi!$E:$E,2941))</f>
        <v/>
      </c>
      <c r="E2886" s="29">
        <f>IF($B2886="","",INDEX(Suivi!$F:$F,2941))</f>
        <v/>
      </c>
      <c r="F2886">
        <f>IF($B2886="","",INDEX(Suivi!$G:$G,2941))</f>
        <v/>
      </c>
      <c r="H2886">
        <f>IF(OR($B2886="",NOT(ISNUMBER($D2886))),"",IF($E2886&lt;$D$2,"Passé",IF($D2886&gt;$F$2,"À venir","Dans la période")))</f>
        <v/>
      </c>
      <c r="I2886">
        <f>IF(OR($B2886="",NOT(ISNUMBER($D2886))),"",IF(AND($E2886&lt;$D$2,$G2886&lt;&gt;"X",$F2886&lt;&gt;"Réalisé",$F2886&lt;&gt;"Clôturé"),"RETARD",""))</f>
        <v/>
      </c>
      <c r="J2886" s="29">
        <f>IF($B2886="","",IF(INDEX(Dossiers!$F$4:$F$63,55)="","",INDEX(Dossiers!$F$4:$F$63,55)))</f>
        <v/>
      </c>
      <c r="K2886" s="29">
        <f>IF($B2886="","",IF(INDEX(Dossiers!$G$4:$G$63,55)="","",INDEX(Dossiers!$G$4:$G$63,55)))</f>
        <v/>
      </c>
    </row>
    <row r="2887">
      <c r="A2887">
        <f>IF($B2887="","",INDEX(Dossiers!$E$4:$E$63,55))</f>
        <v/>
      </c>
      <c r="B2887">
        <f>IF(INDEX(Suivi!$B:$B,2942)="","",INDEX(Suivi!$B:$B,2942))</f>
        <v/>
      </c>
      <c r="C2887">
        <f>IF($B2887="","",IF(INDEX(Suivi!$D:$D,2942)="",INDEX(Suivi!$C:$C,2942),INDEX(Suivi!$D:$D,2942)))</f>
        <v/>
      </c>
      <c r="D2887" s="29">
        <f>IF($B2887="","",INDEX(Suivi!$E:$E,2942))</f>
        <v/>
      </c>
      <c r="E2887" s="29">
        <f>IF($B2887="","",INDEX(Suivi!$F:$F,2942))</f>
        <v/>
      </c>
      <c r="F2887">
        <f>IF($B2887="","",INDEX(Suivi!$G:$G,2942))</f>
        <v/>
      </c>
      <c r="H2887">
        <f>IF(OR($B2887="",NOT(ISNUMBER($D2887))),"",IF($E2887&lt;$D$2,"Passé",IF($D2887&gt;$F$2,"À venir","Dans la période")))</f>
        <v/>
      </c>
      <c r="I2887">
        <f>IF(OR($B2887="",NOT(ISNUMBER($D2887))),"",IF(AND($E2887&lt;$D$2,$G2887&lt;&gt;"X",$F2887&lt;&gt;"Réalisé",$F2887&lt;&gt;"Clôturé"),"RETARD",""))</f>
        <v/>
      </c>
      <c r="J2887" s="29">
        <f>IF($B2887="","",IF(INDEX(Dossiers!$F$4:$F$63,55)="","",INDEX(Dossiers!$F$4:$F$63,55)))</f>
        <v/>
      </c>
      <c r="K2887" s="29">
        <f>IF($B2887="","",IF(INDEX(Dossiers!$G$4:$G$63,55)="","",INDEX(Dossiers!$G$4:$G$63,55)))</f>
        <v/>
      </c>
    </row>
    <row r="2888">
      <c r="A2888">
        <f>IF($B2888="","",INDEX(Dossiers!$E$4:$E$63,55))</f>
        <v/>
      </c>
      <c r="B2888">
        <f>IF(INDEX(Suivi!$B:$B,2943)="","",INDEX(Suivi!$B:$B,2943))</f>
        <v/>
      </c>
      <c r="C2888">
        <f>IF($B2888="","",IF(INDEX(Suivi!$D:$D,2943)="",INDEX(Suivi!$C:$C,2943),INDEX(Suivi!$D:$D,2943)))</f>
        <v/>
      </c>
      <c r="D2888" s="29">
        <f>IF($B2888="","",INDEX(Suivi!$E:$E,2943))</f>
        <v/>
      </c>
      <c r="E2888" s="29">
        <f>IF($B2888="","",INDEX(Suivi!$F:$F,2943))</f>
        <v/>
      </c>
      <c r="F2888">
        <f>IF($B2888="","",INDEX(Suivi!$G:$G,2943))</f>
        <v/>
      </c>
      <c r="H2888">
        <f>IF(OR($B2888="",NOT(ISNUMBER($D2888))),"",IF($E2888&lt;$D$2,"Passé",IF($D2888&gt;$F$2,"À venir","Dans la période")))</f>
        <v/>
      </c>
      <c r="I2888">
        <f>IF(OR($B2888="",NOT(ISNUMBER($D2888))),"",IF(AND($E2888&lt;$D$2,$G2888&lt;&gt;"X",$F2888&lt;&gt;"Réalisé",$F2888&lt;&gt;"Clôturé"),"RETARD",""))</f>
        <v/>
      </c>
      <c r="J2888" s="29">
        <f>IF($B2888="","",IF(INDEX(Dossiers!$F$4:$F$63,55)="","",INDEX(Dossiers!$F$4:$F$63,55)))</f>
        <v/>
      </c>
      <c r="K2888" s="29">
        <f>IF($B2888="","",IF(INDEX(Dossiers!$G$4:$G$63,55)="","",INDEX(Dossiers!$G$4:$G$63,55)))</f>
        <v/>
      </c>
    </row>
    <row r="2889">
      <c r="A2889">
        <f>IF($B2889="","",INDEX(Dossiers!$E$4:$E$63,55))</f>
        <v/>
      </c>
      <c r="B2889">
        <f>IF(INDEX(Suivi!$B:$B,2944)="","",INDEX(Suivi!$B:$B,2944))</f>
        <v/>
      </c>
      <c r="C2889">
        <f>IF($B2889="","",IF(INDEX(Suivi!$D:$D,2944)="",INDEX(Suivi!$C:$C,2944),INDEX(Suivi!$D:$D,2944)))</f>
        <v/>
      </c>
      <c r="D2889" s="29">
        <f>IF($B2889="","",INDEX(Suivi!$E:$E,2944))</f>
        <v/>
      </c>
      <c r="E2889" s="29">
        <f>IF($B2889="","",INDEX(Suivi!$F:$F,2944))</f>
        <v/>
      </c>
      <c r="F2889">
        <f>IF($B2889="","",INDEX(Suivi!$G:$G,2944))</f>
        <v/>
      </c>
      <c r="H2889">
        <f>IF(OR($B2889="",NOT(ISNUMBER($D2889))),"",IF($E2889&lt;$D$2,"Passé",IF($D2889&gt;$F$2,"À venir","Dans la période")))</f>
        <v/>
      </c>
      <c r="I2889">
        <f>IF(OR($B2889="",NOT(ISNUMBER($D2889))),"",IF(AND($E2889&lt;$D$2,$G2889&lt;&gt;"X",$F2889&lt;&gt;"Réalisé",$F2889&lt;&gt;"Clôturé"),"RETARD",""))</f>
        <v/>
      </c>
      <c r="J2889" s="29">
        <f>IF($B2889="","",IF(INDEX(Dossiers!$F$4:$F$63,55)="","",INDEX(Dossiers!$F$4:$F$63,55)))</f>
        <v/>
      </c>
      <c r="K2889" s="29">
        <f>IF($B2889="","",IF(INDEX(Dossiers!$G$4:$G$63,55)="","",INDEX(Dossiers!$G$4:$G$63,55)))</f>
        <v/>
      </c>
    </row>
    <row r="2890">
      <c r="A2890">
        <f>IF($B2890="","",INDEX(Dossiers!$E$4:$E$63,55))</f>
        <v/>
      </c>
      <c r="B2890">
        <f>IF(INDEX(Suivi!$B:$B,2945)="","",INDEX(Suivi!$B:$B,2945))</f>
        <v/>
      </c>
      <c r="C2890">
        <f>IF($B2890="","",IF(INDEX(Suivi!$D:$D,2945)="",INDEX(Suivi!$C:$C,2945),INDEX(Suivi!$D:$D,2945)))</f>
        <v/>
      </c>
      <c r="D2890" s="29">
        <f>IF($B2890="","",INDEX(Suivi!$E:$E,2945))</f>
        <v/>
      </c>
      <c r="E2890" s="29">
        <f>IF($B2890="","",INDEX(Suivi!$F:$F,2945))</f>
        <v/>
      </c>
      <c r="F2890">
        <f>IF($B2890="","",INDEX(Suivi!$G:$G,2945))</f>
        <v/>
      </c>
      <c r="H2890">
        <f>IF(OR($B2890="",NOT(ISNUMBER($D2890))),"",IF($E2890&lt;$D$2,"Passé",IF($D2890&gt;$F$2,"À venir","Dans la période")))</f>
        <v/>
      </c>
      <c r="I2890">
        <f>IF(OR($B2890="",NOT(ISNUMBER($D2890))),"",IF(AND($E2890&lt;$D$2,$G2890&lt;&gt;"X",$F2890&lt;&gt;"Réalisé",$F2890&lt;&gt;"Clôturé"),"RETARD",""))</f>
        <v/>
      </c>
      <c r="J2890" s="29">
        <f>IF($B2890="","",IF(INDEX(Dossiers!$F$4:$F$63,55)="","",INDEX(Dossiers!$F$4:$F$63,55)))</f>
        <v/>
      </c>
      <c r="K2890" s="29">
        <f>IF($B2890="","",IF(INDEX(Dossiers!$G$4:$G$63,55)="","",INDEX(Dossiers!$G$4:$G$63,55)))</f>
        <v/>
      </c>
    </row>
    <row r="2891">
      <c r="A2891">
        <f>IF($B2891="","",INDEX(Dossiers!$E$4:$E$63,55))</f>
        <v/>
      </c>
      <c r="B2891">
        <f>IF(INDEX(Suivi!$B:$B,2946)="","",INDEX(Suivi!$B:$B,2946))</f>
        <v/>
      </c>
      <c r="C2891">
        <f>IF($B2891="","",IF(INDEX(Suivi!$D:$D,2946)="",INDEX(Suivi!$C:$C,2946),INDEX(Suivi!$D:$D,2946)))</f>
        <v/>
      </c>
      <c r="D2891" s="29">
        <f>IF($B2891="","",INDEX(Suivi!$E:$E,2946))</f>
        <v/>
      </c>
      <c r="E2891" s="29">
        <f>IF($B2891="","",INDEX(Suivi!$F:$F,2946))</f>
        <v/>
      </c>
      <c r="F2891">
        <f>IF($B2891="","",INDEX(Suivi!$G:$G,2946))</f>
        <v/>
      </c>
      <c r="H2891">
        <f>IF(OR($B2891="",NOT(ISNUMBER($D2891))),"",IF($E2891&lt;$D$2,"Passé",IF($D2891&gt;$F$2,"À venir","Dans la période")))</f>
        <v/>
      </c>
      <c r="I2891">
        <f>IF(OR($B2891="",NOT(ISNUMBER($D2891))),"",IF(AND($E2891&lt;$D$2,$G2891&lt;&gt;"X",$F2891&lt;&gt;"Réalisé",$F2891&lt;&gt;"Clôturé"),"RETARD",""))</f>
        <v/>
      </c>
      <c r="J2891" s="29">
        <f>IF($B2891="","",IF(INDEX(Dossiers!$F$4:$F$63,55)="","",INDEX(Dossiers!$F$4:$F$63,55)))</f>
        <v/>
      </c>
      <c r="K2891" s="29">
        <f>IF($B2891="","",IF(INDEX(Dossiers!$G$4:$G$63,55)="","",INDEX(Dossiers!$G$4:$G$63,55)))</f>
        <v/>
      </c>
    </row>
    <row r="2892">
      <c r="A2892">
        <f>IF($B2892="","",INDEX(Dossiers!$E$4:$E$63,55))</f>
        <v/>
      </c>
      <c r="B2892">
        <f>IF(INDEX(Suivi!$B:$B,2947)="","",INDEX(Suivi!$B:$B,2947))</f>
        <v/>
      </c>
      <c r="C2892">
        <f>IF($B2892="","",IF(INDEX(Suivi!$D:$D,2947)="",INDEX(Suivi!$C:$C,2947),INDEX(Suivi!$D:$D,2947)))</f>
        <v/>
      </c>
      <c r="D2892" s="29">
        <f>IF($B2892="","",INDEX(Suivi!$E:$E,2947))</f>
        <v/>
      </c>
      <c r="E2892" s="29">
        <f>IF($B2892="","",INDEX(Suivi!$F:$F,2947))</f>
        <v/>
      </c>
      <c r="F2892">
        <f>IF($B2892="","",INDEX(Suivi!$G:$G,2947))</f>
        <v/>
      </c>
      <c r="H2892">
        <f>IF(OR($B2892="",NOT(ISNUMBER($D2892))),"",IF($E2892&lt;$D$2,"Passé",IF($D2892&gt;$F$2,"À venir","Dans la période")))</f>
        <v/>
      </c>
      <c r="I2892">
        <f>IF(OR($B2892="",NOT(ISNUMBER($D2892))),"",IF(AND($E2892&lt;$D$2,$G2892&lt;&gt;"X",$F2892&lt;&gt;"Réalisé",$F2892&lt;&gt;"Clôturé"),"RETARD",""))</f>
        <v/>
      </c>
      <c r="J2892" s="29">
        <f>IF($B2892="","",IF(INDEX(Dossiers!$F$4:$F$63,55)="","",INDEX(Dossiers!$F$4:$F$63,55)))</f>
        <v/>
      </c>
      <c r="K2892" s="29">
        <f>IF($B2892="","",IF(INDEX(Dossiers!$G$4:$G$63,55)="","",INDEX(Dossiers!$G$4:$G$63,55)))</f>
        <v/>
      </c>
    </row>
    <row r="2893">
      <c r="A2893">
        <f>IF($B2893="","",INDEX(Dossiers!$E$4:$E$63,55))</f>
        <v/>
      </c>
      <c r="B2893">
        <f>IF(INDEX(Suivi!$B:$B,2948)="","",INDEX(Suivi!$B:$B,2948))</f>
        <v/>
      </c>
      <c r="C2893">
        <f>IF($B2893="","",IF(INDEX(Suivi!$D:$D,2948)="",INDEX(Suivi!$C:$C,2948),INDEX(Suivi!$D:$D,2948)))</f>
        <v/>
      </c>
      <c r="D2893" s="29">
        <f>IF($B2893="","",INDEX(Suivi!$E:$E,2948))</f>
        <v/>
      </c>
      <c r="E2893" s="29">
        <f>IF($B2893="","",INDEX(Suivi!$F:$F,2948))</f>
        <v/>
      </c>
      <c r="F2893">
        <f>IF($B2893="","",INDEX(Suivi!$G:$G,2948))</f>
        <v/>
      </c>
      <c r="H2893">
        <f>IF(OR($B2893="",NOT(ISNUMBER($D2893))),"",IF($E2893&lt;$D$2,"Passé",IF($D2893&gt;$F$2,"À venir","Dans la période")))</f>
        <v/>
      </c>
      <c r="I2893">
        <f>IF(OR($B2893="",NOT(ISNUMBER($D2893))),"",IF(AND($E2893&lt;$D$2,$G2893&lt;&gt;"X",$F2893&lt;&gt;"Réalisé",$F2893&lt;&gt;"Clôturé"),"RETARD",""))</f>
        <v/>
      </c>
      <c r="J2893" s="29">
        <f>IF($B2893="","",IF(INDEX(Dossiers!$F$4:$F$63,55)="","",INDEX(Dossiers!$F$4:$F$63,55)))</f>
        <v/>
      </c>
      <c r="K2893" s="29">
        <f>IF($B2893="","",IF(INDEX(Dossiers!$G$4:$G$63,55)="","",INDEX(Dossiers!$G$4:$G$63,55)))</f>
        <v/>
      </c>
    </row>
    <row r="2894">
      <c r="A2894">
        <f>IF($B2894="","",INDEX(Dossiers!$E$4:$E$63,55))</f>
        <v/>
      </c>
      <c r="B2894">
        <f>IF(INDEX(Suivi!$B:$B,2949)="","",INDEX(Suivi!$B:$B,2949))</f>
        <v/>
      </c>
      <c r="C2894">
        <f>IF($B2894="","",IF(INDEX(Suivi!$D:$D,2949)="",INDEX(Suivi!$C:$C,2949),INDEX(Suivi!$D:$D,2949)))</f>
        <v/>
      </c>
      <c r="D2894" s="29">
        <f>IF($B2894="","",INDEX(Suivi!$E:$E,2949))</f>
        <v/>
      </c>
      <c r="E2894" s="29">
        <f>IF($B2894="","",INDEX(Suivi!$F:$F,2949))</f>
        <v/>
      </c>
      <c r="F2894">
        <f>IF($B2894="","",INDEX(Suivi!$G:$G,2949))</f>
        <v/>
      </c>
      <c r="H2894">
        <f>IF(OR($B2894="",NOT(ISNUMBER($D2894))),"",IF($E2894&lt;$D$2,"Passé",IF($D2894&gt;$F$2,"À venir","Dans la période")))</f>
        <v/>
      </c>
      <c r="I2894">
        <f>IF(OR($B2894="",NOT(ISNUMBER($D2894))),"",IF(AND($E2894&lt;$D$2,$G2894&lt;&gt;"X",$F2894&lt;&gt;"Réalisé",$F2894&lt;&gt;"Clôturé"),"RETARD",""))</f>
        <v/>
      </c>
      <c r="J2894" s="29">
        <f>IF($B2894="","",IF(INDEX(Dossiers!$F$4:$F$63,55)="","",INDEX(Dossiers!$F$4:$F$63,55)))</f>
        <v/>
      </c>
      <c r="K2894" s="29">
        <f>IF($B2894="","",IF(INDEX(Dossiers!$G$4:$G$63,55)="","",INDEX(Dossiers!$G$4:$G$63,55)))</f>
        <v/>
      </c>
    </row>
    <row r="2895">
      <c r="A2895">
        <f>IF($B2895="","",INDEX(Dossiers!$E$4:$E$63,55))</f>
        <v/>
      </c>
      <c r="B2895">
        <f>IF(INDEX(Suivi!$B:$B,2950)="","",INDEX(Suivi!$B:$B,2950))</f>
        <v/>
      </c>
      <c r="C2895">
        <f>IF($B2895="","",IF(INDEX(Suivi!$D:$D,2950)="",INDEX(Suivi!$C:$C,2950),INDEX(Suivi!$D:$D,2950)))</f>
        <v/>
      </c>
      <c r="D2895" s="29">
        <f>IF($B2895="","",INDEX(Suivi!$E:$E,2950))</f>
        <v/>
      </c>
      <c r="E2895" s="29">
        <f>IF($B2895="","",INDEX(Suivi!$F:$F,2950))</f>
        <v/>
      </c>
      <c r="F2895">
        <f>IF($B2895="","",INDEX(Suivi!$G:$G,2950))</f>
        <v/>
      </c>
      <c r="H2895">
        <f>IF(OR($B2895="",NOT(ISNUMBER($D2895))),"",IF($E2895&lt;$D$2,"Passé",IF($D2895&gt;$F$2,"À venir","Dans la période")))</f>
        <v/>
      </c>
      <c r="I2895">
        <f>IF(OR($B2895="",NOT(ISNUMBER($D2895))),"",IF(AND($E2895&lt;$D$2,$G2895&lt;&gt;"X",$F2895&lt;&gt;"Réalisé",$F2895&lt;&gt;"Clôturé"),"RETARD",""))</f>
        <v/>
      </c>
      <c r="J2895" s="29">
        <f>IF($B2895="","",IF(INDEX(Dossiers!$F$4:$F$63,55)="","",INDEX(Dossiers!$F$4:$F$63,55)))</f>
        <v/>
      </c>
      <c r="K2895" s="29">
        <f>IF($B2895="","",IF(INDEX(Dossiers!$G$4:$G$63,55)="","",INDEX(Dossiers!$G$4:$G$63,55)))</f>
        <v/>
      </c>
    </row>
    <row r="2896">
      <c r="A2896">
        <f>IF($B2896="","",INDEX(Dossiers!$E$4:$E$63,55))</f>
        <v/>
      </c>
      <c r="B2896">
        <f>IF(INDEX(Suivi!$B:$B,2951)="","",INDEX(Suivi!$B:$B,2951))</f>
        <v/>
      </c>
      <c r="C2896">
        <f>IF($B2896="","",IF(INDEX(Suivi!$D:$D,2951)="",INDEX(Suivi!$C:$C,2951),INDEX(Suivi!$D:$D,2951)))</f>
        <v/>
      </c>
      <c r="D2896" s="29">
        <f>IF($B2896="","",INDEX(Suivi!$E:$E,2951))</f>
        <v/>
      </c>
      <c r="E2896" s="29">
        <f>IF($B2896="","",INDEX(Suivi!$F:$F,2951))</f>
        <v/>
      </c>
      <c r="F2896">
        <f>IF($B2896="","",INDEX(Suivi!$G:$G,2951))</f>
        <v/>
      </c>
      <c r="H2896">
        <f>IF(OR($B2896="",NOT(ISNUMBER($D2896))),"",IF($E2896&lt;$D$2,"Passé",IF($D2896&gt;$F$2,"À venir","Dans la période")))</f>
        <v/>
      </c>
      <c r="I2896">
        <f>IF(OR($B2896="",NOT(ISNUMBER($D2896))),"",IF(AND($E2896&lt;$D$2,$G2896&lt;&gt;"X",$F2896&lt;&gt;"Réalisé",$F2896&lt;&gt;"Clôturé"),"RETARD",""))</f>
        <v/>
      </c>
      <c r="J2896" s="29">
        <f>IF($B2896="","",IF(INDEX(Dossiers!$F$4:$F$63,55)="","",INDEX(Dossiers!$F$4:$F$63,55)))</f>
        <v/>
      </c>
      <c r="K2896" s="29">
        <f>IF($B2896="","",IF(INDEX(Dossiers!$G$4:$G$63,55)="","",INDEX(Dossiers!$G$4:$G$63,55)))</f>
        <v/>
      </c>
    </row>
    <row r="2897">
      <c r="A2897">
        <f>IF($B2897="","",INDEX(Dossiers!$E$4:$E$63,55))</f>
        <v/>
      </c>
      <c r="B2897">
        <f>IF(INDEX(Suivi!$B:$B,2952)="","",INDEX(Suivi!$B:$B,2952))</f>
        <v/>
      </c>
      <c r="C2897">
        <f>IF($B2897="","",IF(INDEX(Suivi!$D:$D,2952)="",INDEX(Suivi!$C:$C,2952),INDEX(Suivi!$D:$D,2952)))</f>
        <v/>
      </c>
      <c r="D2897" s="29">
        <f>IF($B2897="","",INDEX(Suivi!$E:$E,2952))</f>
        <v/>
      </c>
      <c r="E2897" s="29">
        <f>IF($B2897="","",INDEX(Suivi!$F:$F,2952))</f>
        <v/>
      </c>
      <c r="F2897">
        <f>IF($B2897="","",INDEX(Suivi!$G:$G,2952))</f>
        <v/>
      </c>
      <c r="H2897">
        <f>IF(OR($B2897="",NOT(ISNUMBER($D2897))),"",IF($E2897&lt;$D$2,"Passé",IF($D2897&gt;$F$2,"À venir","Dans la période")))</f>
        <v/>
      </c>
      <c r="I2897">
        <f>IF(OR($B2897="",NOT(ISNUMBER($D2897))),"",IF(AND($E2897&lt;$D$2,$G2897&lt;&gt;"X",$F2897&lt;&gt;"Réalisé",$F2897&lt;&gt;"Clôturé"),"RETARD",""))</f>
        <v/>
      </c>
      <c r="J2897" s="29">
        <f>IF($B2897="","",IF(INDEX(Dossiers!$F$4:$F$63,55)="","",INDEX(Dossiers!$F$4:$F$63,55)))</f>
        <v/>
      </c>
      <c r="K2897" s="29">
        <f>IF($B2897="","",IF(INDEX(Dossiers!$G$4:$G$63,55)="","",INDEX(Dossiers!$G$4:$G$63,55)))</f>
        <v/>
      </c>
    </row>
    <row r="2898">
      <c r="A2898">
        <f>IF($B2898="","",INDEX(Dossiers!$E$4:$E$63,55))</f>
        <v/>
      </c>
      <c r="B2898">
        <f>IF(INDEX(Suivi!$B:$B,2953)="","",INDEX(Suivi!$B:$B,2953))</f>
        <v/>
      </c>
      <c r="C2898">
        <f>IF($B2898="","",IF(INDEX(Suivi!$D:$D,2953)="",INDEX(Suivi!$C:$C,2953),INDEX(Suivi!$D:$D,2953)))</f>
        <v/>
      </c>
      <c r="D2898" s="29">
        <f>IF($B2898="","",INDEX(Suivi!$E:$E,2953))</f>
        <v/>
      </c>
      <c r="E2898" s="29">
        <f>IF($B2898="","",INDEX(Suivi!$F:$F,2953))</f>
        <v/>
      </c>
      <c r="F2898">
        <f>IF($B2898="","",INDEX(Suivi!$G:$G,2953))</f>
        <v/>
      </c>
      <c r="H2898">
        <f>IF(OR($B2898="",NOT(ISNUMBER($D2898))),"",IF($E2898&lt;$D$2,"Passé",IF($D2898&gt;$F$2,"À venir","Dans la période")))</f>
        <v/>
      </c>
      <c r="I2898">
        <f>IF(OR($B2898="",NOT(ISNUMBER($D2898))),"",IF(AND($E2898&lt;$D$2,$G2898&lt;&gt;"X",$F2898&lt;&gt;"Réalisé",$F2898&lt;&gt;"Clôturé"),"RETARD",""))</f>
        <v/>
      </c>
      <c r="J2898" s="29">
        <f>IF($B2898="","",IF(INDEX(Dossiers!$F$4:$F$63,55)="","",INDEX(Dossiers!$F$4:$F$63,55)))</f>
        <v/>
      </c>
      <c r="K2898" s="29">
        <f>IF($B2898="","",IF(INDEX(Dossiers!$G$4:$G$63,55)="","",INDEX(Dossiers!$G$4:$G$63,55)))</f>
        <v/>
      </c>
    </row>
    <row r="2899">
      <c r="A2899">
        <f>IF($B2899="","",INDEX(Dossiers!$E$4:$E$63,55))</f>
        <v/>
      </c>
      <c r="B2899">
        <f>IF(INDEX(Suivi!$B:$B,2954)="","",INDEX(Suivi!$B:$B,2954))</f>
        <v/>
      </c>
      <c r="C2899">
        <f>IF($B2899="","",IF(INDEX(Suivi!$D:$D,2954)="",INDEX(Suivi!$C:$C,2954),INDEX(Suivi!$D:$D,2954)))</f>
        <v/>
      </c>
      <c r="D2899" s="29">
        <f>IF($B2899="","",INDEX(Suivi!$E:$E,2954))</f>
        <v/>
      </c>
      <c r="E2899" s="29">
        <f>IF($B2899="","",INDEX(Suivi!$F:$F,2954))</f>
        <v/>
      </c>
      <c r="F2899">
        <f>IF($B2899="","",INDEX(Suivi!$G:$G,2954))</f>
        <v/>
      </c>
      <c r="H2899">
        <f>IF(OR($B2899="",NOT(ISNUMBER($D2899))),"",IF($E2899&lt;$D$2,"Passé",IF($D2899&gt;$F$2,"À venir","Dans la période")))</f>
        <v/>
      </c>
      <c r="I2899">
        <f>IF(OR($B2899="",NOT(ISNUMBER($D2899))),"",IF(AND($E2899&lt;$D$2,$G2899&lt;&gt;"X",$F2899&lt;&gt;"Réalisé",$F2899&lt;&gt;"Clôturé"),"RETARD",""))</f>
        <v/>
      </c>
      <c r="J2899" s="29">
        <f>IF($B2899="","",IF(INDEX(Dossiers!$F$4:$F$63,55)="","",INDEX(Dossiers!$F$4:$F$63,55)))</f>
        <v/>
      </c>
      <c r="K2899" s="29">
        <f>IF($B2899="","",IF(INDEX(Dossiers!$G$4:$G$63,55)="","",INDEX(Dossiers!$G$4:$G$63,55)))</f>
        <v/>
      </c>
    </row>
    <row r="2900">
      <c r="A2900">
        <f>IF($B2900="","",INDEX(Dossiers!$E$4:$E$63,55))</f>
        <v/>
      </c>
      <c r="B2900">
        <f>IF(INDEX(Suivi!$B:$B,2955)="","",INDEX(Suivi!$B:$B,2955))</f>
        <v/>
      </c>
      <c r="C2900">
        <f>IF($B2900="","",IF(INDEX(Suivi!$D:$D,2955)="",INDEX(Suivi!$C:$C,2955),INDEX(Suivi!$D:$D,2955)))</f>
        <v/>
      </c>
      <c r="D2900" s="29">
        <f>IF($B2900="","",INDEX(Suivi!$E:$E,2955))</f>
        <v/>
      </c>
      <c r="E2900" s="29">
        <f>IF($B2900="","",INDEX(Suivi!$F:$F,2955))</f>
        <v/>
      </c>
      <c r="F2900">
        <f>IF($B2900="","",INDEX(Suivi!$G:$G,2955))</f>
        <v/>
      </c>
      <c r="H2900">
        <f>IF(OR($B2900="",NOT(ISNUMBER($D2900))),"",IF($E2900&lt;$D$2,"Passé",IF($D2900&gt;$F$2,"À venir","Dans la période")))</f>
        <v/>
      </c>
      <c r="I2900">
        <f>IF(OR($B2900="",NOT(ISNUMBER($D2900))),"",IF(AND($E2900&lt;$D$2,$G2900&lt;&gt;"X",$F2900&lt;&gt;"Réalisé",$F2900&lt;&gt;"Clôturé"),"RETARD",""))</f>
        <v/>
      </c>
      <c r="J2900" s="29">
        <f>IF($B2900="","",IF(INDEX(Dossiers!$F$4:$F$63,55)="","",INDEX(Dossiers!$F$4:$F$63,55)))</f>
        <v/>
      </c>
      <c r="K2900" s="29">
        <f>IF($B2900="","",IF(INDEX(Dossiers!$G$4:$G$63,55)="","",INDEX(Dossiers!$G$4:$G$63,55)))</f>
        <v/>
      </c>
    </row>
    <row r="2901">
      <c r="A2901">
        <f>IF($B2901="","",INDEX(Dossiers!$E$4:$E$63,55))</f>
        <v/>
      </c>
      <c r="B2901">
        <f>IF(INDEX(Suivi!$B:$B,2956)="","",INDEX(Suivi!$B:$B,2956))</f>
        <v/>
      </c>
      <c r="C2901">
        <f>IF($B2901="","",IF(INDEX(Suivi!$D:$D,2956)="",INDEX(Suivi!$C:$C,2956),INDEX(Suivi!$D:$D,2956)))</f>
        <v/>
      </c>
      <c r="D2901" s="29">
        <f>IF($B2901="","",INDEX(Suivi!$E:$E,2956))</f>
        <v/>
      </c>
      <c r="E2901" s="29">
        <f>IF($B2901="","",INDEX(Suivi!$F:$F,2956))</f>
        <v/>
      </c>
      <c r="F2901">
        <f>IF($B2901="","",INDEX(Suivi!$G:$G,2956))</f>
        <v/>
      </c>
      <c r="H2901">
        <f>IF(OR($B2901="",NOT(ISNUMBER($D2901))),"",IF($E2901&lt;$D$2,"Passé",IF($D2901&gt;$F$2,"À venir","Dans la période")))</f>
        <v/>
      </c>
      <c r="I2901">
        <f>IF(OR($B2901="",NOT(ISNUMBER($D2901))),"",IF(AND($E2901&lt;$D$2,$G2901&lt;&gt;"X",$F2901&lt;&gt;"Réalisé",$F2901&lt;&gt;"Clôturé"),"RETARD",""))</f>
        <v/>
      </c>
      <c r="J2901" s="29">
        <f>IF($B2901="","",IF(INDEX(Dossiers!$F$4:$F$63,55)="","",INDEX(Dossiers!$F$4:$F$63,55)))</f>
        <v/>
      </c>
      <c r="K2901" s="29">
        <f>IF($B2901="","",IF(INDEX(Dossiers!$G$4:$G$63,55)="","",INDEX(Dossiers!$G$4:$G$63,55)))</f>
        <v/>
      </c>
    </row>
    <row r="2902">
      <c r="A2902">
        <f>IF($B2902="","",INDEX(Dossiers!$E$4:$E$63,55))</f>
        <v/>
      </c>
      <c r="B2902">
        <f>IF(INDEX(Suivi!$B:$B,2957)="","",INDEX(Suivi!$B:$B,2957))</f>
        <v/>
      </c>
      <c r="C2902">
        <f>IF($B2902="","",IF(INDEX(Suivi!$D:$D,2957)="",INDEX(Suivi!$C:$C,2957),INDEX(Suivi!$D:$D,2957)))</f>
        <v/>
      </c>
      <c r="D2902" s="29">
        <f>IF($B2902="","",INDEX(Suivi!$E:$E,2957))</f>
        <v/>
      </c>
      <c r="E2902" s="29">
        <f>IF($B2902="","",INDEX(Suivi!$F:$F,2957))</f>
        <v/>
      </c>
      <c r="F2902">
        <f>IF($B2902="","",INDEX(Suivi!$G:$G,2957))</f>
        <v/>
      </c>
      <c r="H2902">
        <f>IF(OR($B2902="",NOT(ISNUMBER($D2902))),"",IF($E2902&lt;$D$2,"Passé",IF($D2902&gt;$F$2,"À venir","Dans la période")))</f>
        <v/>
      </c>
      <c r="I2902">
        <f>IF(OR($B2902="",NOT(ISNUMBER($D2902))),"",IF(AND($E2902&lt;$D$2,$G2902&lt;&gt;"X",$F2902&lt;&gt;"Réalisé",$F2902&lt;&gt;"Clôturé"),"RETARD",""))</f>
        <v/>
      </c>
      <c r="J2902" s="29">
        <f>IF($B2902="","",IF(INDEX(Dossiers!$F$4:$F$63,55)="","",INDEX(Dossiers!$F$4:$F$63,55)))</f>
        <v/>
      </c>
      <c r="K2902" s="29">
        <f>IF($B2902="","",IF(INDEX(Dossiers!$G$4:$G$63,55)="","",INDEX(Dossiers!$G$4:$G$63,55)))</f>
        <v/>
      </c>
    </row>
    <row r="2903">
      <c r="A2903">
        <f>IF($B2903="","",INDEX(Dossiers!$E$4:$E$63,55))</f>
        <v/>
      </c>
      <c r="B2903">
        <f>IF(INDEX(Suivi!$B:$B,2958)="","",INDEX(Suivi!$B:$B,2958))</f>
        <v/>
      </c>
      <c r="C2903">
        <f>IF($B2903="","",IF(INDEX(Suivi!$D:$D,2958)="",INDEX(Suivi!$C:$C,2958),INDEX(Suivi!$D:$D,2958)))</f>
        <v/>
      </c>
      <c r="D2903" s="29">
        <f>IF($B2903="","",INDEX(Suivi!$E:$E,2958))</f>
        <v/>
      </c>
      <c r="E2903" s="29">
        <f>IF($B2903="","",INDEX(Suivi!$F:$F,2958))</f>
        <v/>
      </c>
      <c r="F2903">
        <f>IF($B2903="","",INDEX(Suivi!$G:$G,2958))</f>
        <v/>
      </c>
      <c r="H2903">
        <f>IF(OR($B2903="",NOT(ISNUMBER($D2903))),"",IF($E2903&lt;$D$2,"Passé",IF($D2903&gt;$F$2,"À venir","Dans la période")))</f>
        <v/>
      </c>
      <c r="I2903">
        <f>IF(OR($B2903="",NOT(ISNUMBER($D2903))),"",IF(AND($E2903&lt;$D$2,$G2903&lt;&gt;"X",$F2903&lt;&gt;"Réalisé",$F2903&lt;&gt;"Clôturé"),"RETARD",""))</f>
        <v/>
      </c>
      <c r="J2903" s="29">
        <f>IF($B2903="","",IF(INDEX(Dossiers!$F$4:$F$63,55)="","",INDEX(Dossiers!$F$4:$F$63,55)))</f>
        <v/>
      </c>
      <c r="K2903" s="29">
        <f>IF($B2903="","",IF(INDEX(Dossiers!$G$4:$G$63,55)="","",INDEX(Dossiers!$G$4:$G$63,55)))</f>
        <v/>
      </c>
    </row>
    <row r="2904">
      <c r="A2904">
        <f>IF($B2904="","",INDEX(Dossiers!$E$4:$E$63,55))</f>
        <v/>
      </c>
      <c r="B2904">
        <f>IF(INDEX(Suivi!$B:$B,2959)="","",INDEX(Suivi!$B:$B,2959))</f>
        <v/>
      </c>
      <c r="C2904">
        <f>IF($B2904="","",IF(INDEX(Suivi!$D:$D,2959)="",INDEX(Suivi!$C:$C,2959),INDEX(Suivi!$D:$D,2959)))</f>
        <v/>
      </c>
      <c r="D2904" s="29">
        <f>IF($B2904="","",INDEX(Suivi!$E:$E,2959))</f>
        <v/>
      </c>
      <c r="E2904" s="29">
        <f>IF($B2904="","",INDEX(Suivi!$F:$F,2959))</f>
        <v/>
      </c>
      <c r="F2904">
        <f>IF($B2904="","",INDEX(Suivi!$G:$G,2959))</f>
        <v/>
      </c>
      <c r="H2904">
        <f>IF(OR($B2904="",NOT(ISNUMBER($D2904))),"",IF($E2904&lt;$D$2,"Passé",IF($D2904&gt;$F$2,"À venir","Dans la période")))</f>
        <v/>
      </c>
      <c r="I2904">
        <f>IF(OR($B2904="",NOT(ISNUMBER($D2904))),"",IF(AND($E2904&lt;$D$2,$G2904&lt;&gt;"X",$F2904&lt;&gt;"Réalisé",$F2904&lt;&gt;"Clôturé"),"RETARD",""))</f>
        <v/>
      </c>
      <c r="J2904" s="29">
        <f>IF($B2904="","",IF(INDEX(Dossiers!$F$4:$F$63,55)="","",INDEX(Dossiers!$F$4:$F$63,55)))</f>
        <v/>
      </c>
      <c r="K2904" s="29">
        <f>IF($B2904="","",IF(INDEX(Dossiers!$G$4:$G$63,55)="","",INDEX(Dossiers!$G$4:$G$63,55)))</f>
        <v/>
      </c>
    </row>
    <row r="2905">
      <c r="A2905">
        <f>IF($B2905="","",INDEX(Dossiers!$E$4:$E$63,55))</f>
        <v/>
      </c>
      <c r="B2905">
        <f>IF(INDEX(Suivi!$B:$B,2960)="","",INDEX(Suivi!$B:$B,2960))</f>
        <v/>
      </c>
      <c r="C2905">
        <f>IF($B2905="","",IF(INDEX(Suivi!$D:$D,2960)="",INDEX(Suivi!$C:$C,2960),INDEX(Suivi!$D:$D,2960)))</f>
        <v/>
      </c>
      <c r="D2905" s="29">
        <f>IF($B2905="","",INDEX(Suivi!$E:$E,2960))</f>
        <v/>
      </c>
      <c r="E2905" s="29">
        <f>IF($B2905="","",INDEX(Suivi!$F:$F,2960))</f>
        <v/>
      </c>
      <c r="F2905">
        <f>IF($B2905="","",INDEX(Suivi!$G:$G,2960))</f>
        <v/>
      </c>
      <c r="H2905">
        <f>IF(OR($B2905="",NOT(ISNUMBER($D2905))),"",IF($E2905&lt;$D$2,"Passé",IF($D2905&gt;$F$2,"À venir","Dans la période")))</f>
        <v/>
      </c>
      <c r="I2905">
        <f>IF(OR($B2905="",NOT(ISNUMBER($D2905))),"",IF(AND($E2905&lt;$D$2,$G2905&lt;&gt;"X",$F2905&lt;&gt;"Réalisé",$F2905&lt;&gt;"Clôturé"),"RETARD",""))</f>
        <v/>
      </c>
      <c r="J2905" s="29">
        <f>IF($B2905="","",IF(INDEX(Dossiers!$F$4:$F$63,55)="","",INDEX(Dossiers!$F$4:$F$63,55)))</f>
        <v/>
      </c>
      <c r="K2905" s="29">
        <f>IF($B2905="","",IF(INDEX(Dossiers!$G$4:$G$63,55)="","",INDEX(Dossiers!$G$4:$G$63,55)))</f>
        <v/>
      </c>
    </row>
    <row r="2906">
      <c r="A2906">
        <f>IF($B2906="","",INDEX(Dossiers!$E$4:$E$63,55))</f>
        <v/>
      </c>
      <c r="B2906">
        <f>IF(INDEX(Suivi!$B:$B,2961)="","",INDEX(Suivi!$B:$B,2961))</f>
        <v/>
      </c>
      <c r="C2906">
        <f>IF($B2906="","",IF(INDEX(Suivi!$D:$D,2961)="",INDEX(Suivi!$C:$C,2961),INDEX(Suivi!$D:$D,2961)))</f>
        <v/>
      </c>
      <c r="D2906" s="29">
        <f>IF($B2906="","",INDEX(Suivi!$E:$E,2961))</f>
        <v/>
      </c>
      <c r="E2906" s="29">
        <f>IF($B2906="","",INDEX(Suivi!$F:$F,2961))</f>
        <v/>
      </c>
      <c r="F2906">
        <f>IF($B2906="","",INDEX(Suivi!$G:$G,2961))</f>
        <v/>
      </c>
      <c r="H2906">
        <f>IF(OR($B2906="",NOT(ISNUMBER($D2906))),"",IF($E2906&lt;$D$2,"Passé",IF($D2906&gt;$F$2,"À venir","Dans la période")))</f>
        <v/>
      </c>
      <c r="I2906">
        <f>IF(OR($B2906="",NOT(ISNUMBER($D2906))),"",IF(AND($E2906&lt;$D$2,$G2906&lt;&gt;"X",$F2906&lt;&gt;"Réalisé",$F2906&lt;&gt;"Clôturé"),"RETARD",""))</f>
        <v/>
      </c>
      <c r="J2906" s="29">
        <f>IF($B2906="","",IF(INDEX(Dossiers!$F$4:$F$63,55)="","",INDEX(Dossiers!$F$4:$F$63,55)))</f>
        <v/>
      </c>
      <c r="K2906" s="29">
        <f>IF($B2906="","",IF(INDEX(Dossiers!$G$4:$G$63,55)="","",INDEX(Dossiers!$G$4:$G$63,55)))</f>
        <v/>
      </c>
    </row>
    <row r="2907">
      <c r="A2907">
        <f>IF($B2907="","",INDEX(Dossiers!$E$4:$E$63,55))</f>
        <v/>
      </c>
      <c r="B2907">
        <f>IF(INDEX(Suivi!$B:$B,2962)="","",INDEX(Suivi!$B:$B,2962))</f>
        <v/>
      </c>
      <c r="C2907">
        <f>IF($B2907="","",IF(INDEX(Suivi!$D:$D,2962)="",INDEX(Suivi!$C:$C,2962),INDEX(Suivi!$D:$D,2962)))</f>
        <v/>
      </c>
      <c r="D2907" s="29">
        <f>IF($B2907="","",INDEX(Suivi!$E:$E,2962))</f>
        <v/>
      </c>
      <c r="E2907" s="29">
        <f>IF($B2907="","",INDEX(Suivi!$F:$F,2962))</f>
        <v/>
      </c>
      <c r="F2907">
        <f>IF($B2907="","",INDEX(Suivi!$G:$G,2962))</f>
        <v/>
      </c>
      <c r="H2907">
        <f>IF(OR($B2907="",NOT(ISNUMBER($D2907))),"",IF($E2907&lt;$D$2,"Passé",IF($D2907&gt;$F$2,"À venir","Dans la période")))</f>
        <v/>
      </c>
      <c r="I2907">
        <f>IF(OR($B2907="",NOT(ISNUMBER($D2907))),"",IF(AND($E2907&lt;$D$2,$G2907&lt;&gt;"X",$F2907&lt;&gt;"Réalisé",$F2907&lt;&gt;"Clôturé"),"RETARD",""))</f>
        <v/>
      </c>
      <c r="J2907" s="29">
        <f>IF($B2907="","",IF(INDEX(Dossiers!$F$4:$F$63,55)="","",INDEX(Dossiers!$F$4:$F$63,55)))</f>
        <v/>
      </c>
      <c r="K2907" s="29">
        <f>IF($B2907="","",IF(INDEX(Dossiers!$G$4:$G$63,55)="","",INDEX(Dossiers!$G$4:$G$63,55)))</f>
        <v/>
      </c>
    </row>
    <row r="2908">
      <c r="A2908">
        <f>IF($B2908="","",INDEX(Dossiers!$E$4:$E$63,55))</f>
        <v/>
      </c>
      <c r="B2908">
        <f>IF(INDEX(Suivi!$B:$B,2963)="","",INDEX(Suivi!$B:$B,2963))</f>
        <v/>
      </c>
      <c r="C2908">
        <f>IF($B2908="","",IF(INDEX(Suivi!$D:$D,2963)="",INDEX(Suivi!$C:$C,2963),INDEX(Suivi!$D:$D,2963)))</f>
        <v/>
      </c>
      <c r="D2908" s="29">
        <f>IF($B2908="","",INDEX(Suivi!$E:$E,2963))</f>
        <v/>
      </c>
      <c r="E2908" s="29">
        <f>IF($B2908="","",INDEX(Suivi!$F:$F,2963))</f>
        <v/>
      </c>
      <c r="F2908">
        <f>IF($B2908="","",INDEX(Suivi!$G:$G,2963))</f>
        <v/>
      </c>
      <c r="H2908">
        <f>IF(OR($B2908="",NOT(ISNUMBER($D2908))),"",IF($E2908&lt;$D$2,"Passé",IF($D2908&gt;$F$2,"À venir","Dans la période")))</f>
        <v/>
      </c>
      <c r="I2908">
        <f>IF(OR($B2908="",NOT(ISNUMBER($D2908))),"",IF(AND($E2908&lt;$D$2,$G2908&lt;&gt;"X",$F2908&lt;&gt;"Réalisé",$F2908&lt;&gt;"Clôturé"),"RETARD",""))</f>
        <v/>
      </c>
      <c r="J2908" s="29">
        <f>IF($B2908="","",IF(INDEX(Dossiers!$F$4:$F$63,55)="","",INDEX(Dossiers!$F$4:$F$63,55)))</f>
        <v/>
      </c>
      <c r="K2908" s="29">
        <f>IF($B2908="","",IF(INDEX(Dossiers!$G$4:$G$63,55)="","",INDEX(Dossiers!$G$4:$G$63,55)))</f>
        <v/>
      </c>
    </row>
    <row r="2909">
      <c r="A2909">
        <f>IF($B2909="","",INDEX(Dossiers!$E$4:$E$63,55))</f>
        <v/>
      </c>
      <c r="B2909">
        <f>IF(INDEX(Suivi!$B:$B,2964)="","",INDEX(Suivi!$B:$B,2964))</f>
        <v/>
      </c>
      <c r="C2909">
        <f>IF($B2909="","",IF(INDEX(Suivi!$D:$D,2964)="",INDEX(Suivi!$C:$C,2964),INDEX(Suivi!$D:$D,2964)))</f>
        <v/>
      </c>
      <c r="D2909" s="29">
        <f>IF($B2909="","",INDEX(Suivi!$E:$E,2964))</f>
        <v/>
      </c>
      <c r="E2909" s="29">
        <f>IF($B2909="","",INDEX(Suivi!$F:$F,2964))</f>
        <v/>
      </c>
      <c r="F2909">
        <f>IF($B2909="","",INDEX(Suivi!$G:$G,2964))</f>
        <v/>
      </c>
      <c r="H2909">
        <f>IF(OR($B2909="",NOT(ISNUMBER($D2909))),"",IF($E2909&lt;$D$2,"Passé",IF($D2909&gt;$F$2,"À venir","Dans la période")))</f>
        <v/>
      </c>
      <c r="I2909">
        <f>IF(OR($B2909="",NOT(ISNUMBER($D2909))),"",IF(AND($E2909&lt;$D$2,$G2909&lt;&gt;"X",$F2909&lt;&gt;"Réalisé",$F2909&lt;&gt;"Clôturé"),"RETARD",""))</f>
        <v/>
      </c>
      <c r="J2909" s="29">
        <f>IF($B2909="","",IF(INDEX(Dossiers!$F$4:$F$63,55)="","",INDEX(Dossiers!$F$4:$F$63,55)))</f>
        <v/>
      </c>
      <c r="K2909" s="29">
        <f>IF($B2909="","",IF(INDEX(Dossiers!$G$4:$G$63,55)="","",INDEX(Dossiers!$G$4:$G$63,55)))</f>
        <v/>
      </c>
    </row>
    <row r="2910">
      <c r="A2910">
        <f>IF($B2910="","",INDEX(Dossiers!$E$4:$E$63,55))</f>
        <v/>
      </c>
      <c r="B2910">
        <f>IF(INDEX(Suivi!$B:$B,2965)="","",INDEX(Suivi!$B:$B,2965))</f>
        <v/>
      </c>
      <c r="C2910">
        <f>IF($B2910="","",IF(INDEX(Suivi!$D:$D,2965)="",INDEX(Suivi!$C:$C,2965),INDEX(Suivi!$D:$D,2965)))</f>
        <v/>
      </c>
      <c r="D2910" s="29">
        <f>IF($B2910="","",INDEX(Suivi!$E:$E,2965))</f>
        <v/>
      </c>
      <c r="E2910" s="29">
        <f>IF($B2910="","",INDEX(Suivi!$F:$F,2965))</f>
        <v/>
      </c>
      <c r="F2910">
        <f>IF($B2910="","",INDEX(Suivi!$G:$G,2965))</f>
        <v/>
      </c>
      <c r="H2910">
        <f>IF(OR($B2910="",NOT(ISNUMBER($D2910))),"",IF($E2910&lt;$D$2,"Passé",IF($D2910&gt;$F$2,"À venir","Dans la période")))</f>
        <v/>
      </c>
      <c r="I2910">
        <f>IF(OR($B2910="",NOT(ISNUMBER($D2910))),"",IF(AND($E2910&lt;$D$2,$G2910&lt;&gt;"X",$F2910&lt;&gt;"Réalisé",$F2910&lt;&gt;"Clôturé"),"RETARD",""))</f>
        <v/>
      </c>
      <c r="J2910" s="29">
        <f>IF($B2910="","",IF(INDEX(Dossiers!$F$4:$F$63,55)="","",INDEX(Dossiers!$F$4:$F$63,55)))</f>
        <v/>
      </c>
      <c r="K2910" s="29">
        <f>IF($B2910="","",IF(INDEX(Dossiers!$G$4:$G$63,55)="","",INDEX(Dossiers!$G$4:$G$63,55)))</f>
        <v/>
      </c>
    </row>
    <row r="2911">
      <c r="A2911">
        <f>IF($B2911="","",INDEX(Dossiers!$E$4:$E$63,55))</f>
        <v/>
      </c>
      <c r="B2911">
        <f>IF(INDEX(Suivi!$B:$B,2966)="","",INDEX(Suivi!$B:$B,2966))</f>
        <v/>
      </c>
      <c r="C2911">
        <f>IF($B2911="","",IF(INDEX(Suivi!$D:$D,2966)="",INDEX(Suivi!$C:$C,2966),INDEX(Suivi!$D:$D,2966)))</f>
        <v/>
      </c>
      <c r="D2911" s="29">
        <f>IF($B2911="","",INDEX(Suivi!$E:$E,2966))</f>
        <v/>
      </c>
      <c r="E2911" s="29">
        <f>IF($B2911="","",INDEX(Suivi!$F:$F,2966))</f>
        <v/>
      </c>
      <c r="F2911">
        <f>IF($B2911="","",INDEX(Suivi!$G:$G,2966))</f>
        <v/>
      </c>
      <c r="H2911">
        <f>IF(OR($B2911="",NOT(ISNUMBER($D2911))),"",IF($E2911&lt;$D$2,"Passé",IF($D2911&gt;$F$2,"À venir","Dans la période")))</f>
        <v/>
      </c>
      <c r="I2911">
        <f>IF(OR($B2911="",NOT(ISNUMBER($D2911))),"",IF(AND($E2911&lt;$D$2,$G2911&lt;&gt;"X",$F2911&lt;&gt;"Réalisé",$F2911&lt;&gt;"Clôturé"),"RETARD",""))</f>
        <v/>
      </c>
      <c r="J2911" s="29">
        <f>IF($B2911="","",IF(INDEX(Dossiers!$F$4:$F$63,55)="","",INDEX(Dossiers!$F$4:$F$63,55)))</f>
        <v/>
      </c>
      <c r="K2911" s="29">
        <f>IF($B2911="","",IF(INDEX(Dossiers!$G$4:$G$63,55)="","",INDEX(Dossiers!$G$4:$G$63,55)))</f>
        <v/>
      </c>
    </row>
    <row r="2912">
      <c r="A2912">
        <f>IF($B2912="","",INDEX(Dossiers!$E$4:$E$63,55))</f>
        <v/>
      </c>
      <c r="B2912">
        <f>IF(INDEX(Suivi!$B:$B,2967)="","",INDEX(Suivi!$B:$B,2967))</f>
        <v/>
      </c>
      <c r="C2912">
        <f>IF($B2912="","",IF(INDEX(Suivi!$D:$D,2967)="",INDEX(Suivi!$C:$C,2967),INDEX(Suivi!$D:$D,2967)))</f>
        <v/>
      </c>
      <c r="D2912" s="29">
        <f>IF($B2912="","",INDEX(Suivi!$E:$E,2967))</f>
        <v/>
      </c>
      <c r="E2912" s="29">
        <f>IF($B2912="","",INDEX(Suivi!$F:$F,2967))</f>
        <v/>
      </c>
      <c r="F2912">
        <f>IF($B2912="","",INDEX(Suivi!$G:$G,2967))</f>
        <v/>
      </c>
      <c r="H2912">
        <f>IF(OR($B2912="",NOT(ISNUMBER($D2912))),"",IF($E2912&lt;$D$2,"Passé",IF($D2912&gt;$F$2,"À venir","Dans la période")))</f>
        <v/>
      </c>
      <c r="I2912">
        <f>IF(OR($B2912="",NOT(ISNUMBER($D2912))),"",IF(AND($E2912&lt;$D$2,$G2912&lt;&gt;"X",$F2912&lt;&gt;"Réalisé",$F2912&lt;&gt;"Clôturé"),"RETARD",""))</f>
        <v/>
      </c>
      <c r="J2912" s="29">
        <f>IF($B2912="","",IF(INDEX(Dossiers!$F$4:$F$63,55)="","",INDEX(Dossiers!$F$4:$F$63,55)))</f>
        <v/>
      </c>
      <c r="K2912" s="29">
        <f>IF($B2912="","",IF(INDEX(Dossiers!$G$4:$G$63,55)="","",INDEX(Dossiers!$G$4:$G$63,55)))</f>
        <v/>
      </c>
    </row>
    <row r="2913">
      <c r="A2913">
        <f>IF($B2913="","",INDEX(Dossiers!$E$4:$E$63,55))</f>
        <v/>
      </c>
      <c r="B2913">
        <f>IF(INDEX(Suivi!$B:$B,2968)="","",INDEX(Suivi!$B:$B,2968))</f>
        <v/>
      </c>
      <c r="C2913">
        <f>IF($B2913="","",IF(INDEX(Suivi!$D:$D,2968)="",INDEX(Suivi!$C:$C,2968),INDEX(Suivi!$D:$D,2968)))</f>
        <v/>
      </c>
      <c r="D2913" s="29">
        <f>IF($B2913="","",INDEX(Suivi!$E:$E,2968))</f>
        <v/>
      </c>
      <c r="E2913" s="29">
        <f>IF($B2913="","",INDEX(Suivi!$F:$F,2968))</f>
        <v/>
      </c>
      <c r="F2913">
        <f>IF($B2913="","",INDEX(Suivi!$G:$G,2968))</f>
        <v/>
      </c>
      <c r="H2913">
        <f>IF(OR($B2913="",NOT(ISNUMBER($D2913))),"",IF($E2913&lt;$D$2,"Passé",IF($D2913&gt;$F$2,"À venir","Dans la période")))</f>
        <v/>
      </c>
      <c r="I2913">
        <f>IF(OR($B2913="",NOT(ISNUMBER($D2913))),"",IF(AND($E2913&lt;$D$2,$G2913&lt;&gt;"X",$F2913&lt;&gt;"Réalisé",$F2913&lt;&gt;"Clôturé"),"RETARD",""))</f>
        <v/>
      </c>
      <c r="J2913" s="29">
        <f>IF($B2913="","",IF(INDEX(Dossiers!$F$4:$F$63,55)="","",INDEX(Dossiers!$F$4:$F$63,55)))</f>
        <v/>
      </c>
      <c r="K2913" s="29">
        <f>IF($B2913="","",IF(INDEX(Dossiers!$G$4:$G$63,55)="","",INDEX(Dossiers!$G$4:$G$63,55)))</f>
        <v/>
      </c>
    </row>
    <row r="2914">
      <c r="A2914">
        <f>IF($B2914="","",INDEX(Dossiers!$E$4:$E$63,55))</f>
        <v/>
      </c>
      <c r="B2914">
        <f>IF(INDEX(Suivi!$B:$B,2969)="","",INDEX(Suivi!$B:$B,2969))</f>
        <v/>
      </c>
      <c r="C2914">
        <f>IF($B2914="","",IF(INDEX(Suivi!$D:$D,2969)="",INDEX(Suivi!$C:$C,2969),INDEX(Suivi!$D:$D,2969)))</f>
        <v/>
      </c>
      <c r="D2914" s="29">
        <f>IF($B2914="","",INDEX(Suivi!$E:$E,2969))</f>
        <v/>
      </c>
      <c r="E2914" s="29">
        <f>IF($B2914="","",INDEX(Suivi!$F:$F,2969))</f>
        <v/>
      </c>
      <c r="F2914">
        <f>IF($B2914="","",INDEX(Suivi!$G:$G,2969))</f>
        <v/>
      </c>
      <c r="H2914">
        <f>IF(OR($B2914="",NOT(ISNUMBER($D2914))),"",IF($E2914&lt;$D$2,"Passé",IF($D2914&gt;$F$2,"À venir","Dans la période")))</f>
        <v/>
      </c>
      <c r="I2914">
        <f>IF(OR($B2914="",NOT(ISNUMBER($D2914))),"",IF(AND($E2914&lt;$D$2,$G2914&lt;&gt;"X",$F2914&lt;&gt;"Réalisé",$F2914&lt;&gt;"Clôturé"),"RETARD",""))</f>
        <v/>
      </c>
      <c r="J2914" s="29">
        <f>IF($B2914="","",IF(INDEX(Dossiers!$F$4:$F$63,55)="","",INDEX(Dossiers!$F$4:$F$63,55)))</f>
        <v/>
      </c>
      <c r="K2914" s="29">
        <f>IF($B2914="","",IF(INDEX(Dossiers!$G$4:$G$63,55)="","",INDEX(Dossiers!$G$4:$G$63,55)))</f>
        <v/>
      </c>
    </row>
    <row r="2915">
      <c r="A2915">
        <f>IF($B2915="","",INDEX(Dossiers!$E$4:$E$63,55))</f>
        <v/>
      </c>
      <c r="B2915">
        <f>IF(INDEX(Suivi!$B:$B,2970)="","",INDEX(Suivi!$B:$B,2970))</f>
        <v/>
      </c>
      <c r="C2915">
        <f>IF($B2915="","",IF(INDEX(Suivi!$D:$D,2970)="",INDEX(Suivi!$C:$C,2970),INDEX(Suivi!$D:$D,2970)))</f>
        <v/>
      </c>
      <c r="D2915" s="29">
        <f>IF($B2915="","",INDEX(Suivi!$E:$E,2970))</f>
        <v/>
      </c>
      <c r="E2915" s="29">
        <f>IF($B2915="","",INDEX(Suivi!$F:$F,2970))</f>
        <v/>
      </c>
      <c r="F2915">
        <f>IF($B2915="","",INDEX(Suivi!$G:$G,2970))</f>
        <v/>
      </c>
      <c r="H2915">
        <f>IF(OR($B2915="",NOT(ISNUMBER($D2915))),"",IF($E2915&lt;$D$2,"Passé",IF($D2915&gt;$F$2,"À venir","Dans la période")))</f>
        <v/>
      </c>
      <c r="I2915">
        <f>IF(OR($B2915="",NOT(ISNUMBER($D2915))),"",IF(AND($E2915&lt;$D$2,$G2915&lt;&gt;"X",$F2915&lt;&gt;"Réalisé",$F2915&lt;&gt;"Clôturé"),"RETARD",""))</f>
        <v/>
      </c>
      <c r="J2915" s="29">
        <f>IF($B2915="","",IF(INDEX(Dossiers!$F$4:$F$63,55)="","",INDEX(Dossiers!$F$4:$F$63,55)))</f>
        <v/>
      </c>
      <c r="K2915" s="29">
        <f>IF($B2915="","",IF(INDEX(Dossiers!$G$4:$G$63,55)="","",INDEX(Dossiers!$G$4:$G$63,55)))</f>
        <v/>
      </c>
    </row>
    <row r="2916">
      <c r="A2916">
        <f>IF($B2916="","",INDEX(Dossiers!$E$4:$E$63,55))</f>
        <v/>
      </c>
      <c r="B2916">
        <f>IF(INDEX(Suivi!$B:$B,2971)="","",INDEX(Suivi!$B:$B,2971))</f>
        <v/>
      </c>
      <c r="C2916">
        <f>IF($B2916="","",IF(INDEX(Suivi!$D:$D,2971)="",INDEX(Suivi!$C:$C,2971),INDEX(Suivi!$D:$D,2971)))</f>
        <v/>
      </c>
      <c r="D2916" s="29">
        <f>IF($B2916="","",INDEX(Suivi!$E:$E,2971))</f>
        <v/>
      </c>
      <c r="E2916" s="29">
        <f>IF($B2916="","",INDEX(Suivi!$F:$F,2971))</f>
        <v/>
      </c>
      <c r="F2916">
        <f>IF($B2916="","",INDEX(Suivi!$G:$G,2971))</f>
        <v/>
      </c>
      <c r="H2916">
        <f>IF(OR($B2916="",NOT(ISNUMBER($D2916))),"",IF($E2916&lt;$D$2,"Passé",IF($D2916&gt;$F$2,"À venir","Dans la période")))</f>
        <v/>
      </c>
      <c r="I2916">
        <f>IF(OR($B2916="",NOT(ISNUMBER($D2916))),"",IF(AND($E2916&lt;$D$2,$G2916&lt;&gt;"X",$F2916&lt;&gt;"Réalisé",$F2916&lt;&gt;"Clôturé"),"RETARD",""))</f>
        <v/>
      </c>
      <c r="J2916" s="29">
        <f>IF($B2916="","",IF(INDEX(Dossiers!$F$4:$F$63,55)="","",INDEX(Dossiers!$F$4:$F$63,55)))</f>
        <v/>
      </c>
      <c r="K2916" s="29">
        <f>IF($B2916="","",IF(INDEX(Dossiers!$G$4:$G$63,55)="","",INDEX(Dossiers!$G$4:$G$63,55)))</f>
        <v/>
      </c>
    </row>
    <row r="2917">
      <c r="A2917">
        <f>IF($B2917="","",INDEX(Dossiers!$E$4:$E$63,55))</f>
        <v/>
      </c>
      <c r="B2917">
        <f>IF(INDEX(Suivi!$B:$B,2972)="","",INDEX(Suivi!$B:$B,2972))</f>
        <v/>
      </c>
      <c r="C2917">
        <f>IF($B2917="","",IF(INDEX(Suivi!$D:$D,2972)="",INDEX(Suivi!$C:$C,2972),INDEX(Suivi!$D:$D,2972)))</f>
        <v/>
      </c>
      <c r="D2917" s="29">
        <f>IF($B2917="","",INDEX(Suivi!$E:$E,2972))</f>
        <v/>
      </c>
      <c r="E2917" s="29">
        <f>IF($B2917="","",INDEX(Suivi!$F:$F,2972))</f>
        <v/>
      </c>
      <c r="F2917">
        <f>IF($B2917="","",INDEX(Suivi!$G:$G,2972))</f>
        <v/>
      </c>
      <c r="H2917">
        <f>IF(OR($B2917="",NOT(ISNUMBER($D2917))),"",IF($E2917&lt;$D$2,"Passé",IF($D2917&gt;$F$2,"À venir","Dans la période")))</f>
        <v/>
      </c>
      <c r="I2917">
        <f>IF(OR($B2917="",NOT(ISNUMBER($D2917))),"",IF(AND($E2917&lt;$D$2,$G2917&lt;&gt;"X",$F2917&lt;&gt;"Réalisé",$F2917&lt;&gt;"Clôturé"),"RETARD",""))</f>
        <v/>
      </c>
      <c r="J2917" s="29">
        <f>IF($B2917="","",IF(INDEX(Dossiers!$F$4:$F$63,55)="","",INDEX(Dossiers!$F$4:$F$63,55)))</f>
        <v/>
      </c>
      <c r="K2917" s="29">
        <f>IF($B2917="","",IF(INDEX(Dossiers!$G$4:$G$63,55)="","",INDEX(Dossiers!$G$4:$G$63,55)))</f>
        <v/>
      </c>
    </row>
    <row r="2918">
      <c r="A2918">
        <f>IF($B2918="","",INDEX(Dossiers!$E$4:$E$63,55))</f>
        <v/>
      </c>
      <c r="B2918">
        <f>IF(INDEX(Suivi!$B:$B,2973)="","",INDEX(Suivi!$B:$B,2973))</f>
        <v/>
      </c>
      <c r="C2918">
        <f>IF($B2918="","",IF(INDEX(Suivi!$D:$D,2973)="",INDEX(Suivi!$C:$C,2973),INDEX(Suivi!$D:$D,2973)))</f>
        <v/>
      </c>
      <c r="D2918" s="29">
        <f>IF($B2918="","",INDEX(Suivi!$E:$E,2973))</f>
        <v/>
      </c>
      <c r="E2918" s="29">
        <f>IF($B2918="","",INDEX(Suivi!$F:$F,2973))</f>
        <v/>
      </c>
      <c r="F2918">
        <f>IF($B2918="","",INDEX(Suivi!$G:$G,2973))</f>
        <v/>
      </c>
      <c r="H2918">
        <f>IF(OR($B2918="",NOT(ISNUMBER($D2918))),"",IF($E2918&lt;$D$2,"Passé",IF($D2918&gt;$F$2,"À venir","Dans la période")))</f>
        <v/>
      </c>
      <c r="I2918">
        <f>IF(OR($B2918="",NOT(ISNUMBER($D2918))),"",IF(AND($E2918&lt;$D$2,$G2918&lt;&gt;"X",$F2918&lt;&gt;"Réalisé",$F2918&lt;&gt;"Clôturé"),"RETARD",""))</f>
        <v/>
      </c>
      <c r="J2918" s="29">
        <f>IF($B2918="","",IF(INDEX(Dossiers!$F$4:$F$63,55)="","",INDEX(Dossiers!$F$4:$F$63,55)))</f>
        <v/>
      </c>
      <c r="K2918" s="29">
        <f>IF($B2918="","",IF(INDEX(Dossiers!$G$4:$G$63,55)="","",INDEX(Dossiers!$G$4:$G$63,55)))</f>
        <v/>
      </c>
    </row>
    <row r="2919">
      <c r="A2919">
        <f>IF($B2919="","",INDEX(Dossiers!$E$4:$E$63,56))</f>
        <v/>
      </c>
      <c r="B2919">
        <f>IF(INDEX(Suivi!$B:$B,2975)="","",INDEX(Suivi!$B:$B,2975))</f>
        <v/>
      </c>
      <c r="C2919">
        <f>IF($B2919="","",IF(INDEX(Suivi!$D:$D,2975)="",INDEX(Suivi!$C:$C,2975),INDEX(Suivi!$D:$D,2975)))</f>
        <v/>
      </c>
      <c r="D2919" s="29">
        <f>IF($B2919="","",INDEX(Suivi!$E:$E,2975))</f>
        <v/>
      </c>
      <c r="E2919" s="29">
        <f>IF($B2919="","",INDEX(Suivi!$F:$F,2975))</f>
        <v/>
      </c>
      <c r="F2919">
        <f>IF($B2919="","",INDEX(Suivi!$G:$G,2975))</f>
        <v/>
      </c>
      <c r="H2919">
        <f>IF(OR($B2919="",NOT(ISNUMBER($D2919))),"",IF($E2919&lt;$D$2,"Passé",IF($D2919&gt;$F$2,"À venir","Dans la période")))</f>
        <v/>
      </c>
      <c r="I2919">
        <f>IF(OR($B2919="",NOT(ISNUMBER($D2919))),"",IF(AND($E2919&lt;$D$2,$G2919&lt;&gt;"X",$F2919&lt;&gt;"Réalisé",$F2919&lt;&gt;"Clôturé"),"RETARD",""))</f>
        <v/>
      </c>
      <c r="J2919" s="29">
        <f>IF($B2919="","",IF(INDEX(Dossiers!$F$4:$F$63,56)="","",INDEX(Dossiers!$F$4:$F$63,56)))</f>
        <v/>
      </c>
      <c r="K2919" s="29">
        <f>IF($B2919="","",IF(INDEX(Dossiers!$G$4:$G$63,56)="","",INDEX(Dossiers!$G$4:$G$63,56)))</f>
        <v/>
      </c>
    </row>
    <row r="2920">
      <c r="A2920">
        <f>IF($B2920="","",INDEX(Dossiers!$E$4:$E$63,56))</f>
        <v/>
      </c>
      <c r="B2920">
        <f>IF(INDEX(Suivi!$B:$B,2976)="","",INDEX(Suivi!$B:$B,2976))</f>
        <v/>
      </c>
      <c r="C2920">
        <f>IF($B2920="","",IF(INDEX(Suivi!$D:$D,2976)="",INDEX(Suivi!$C:$C,2976),INDEX(Suivi!$D:$D,2976)))</f>
        <v/>
      </c>
      <c r="D2920" s="29">
        <f>IF($B2920="","",INDEX(Suivi!$E:$E,2976))</f>
        <v/>
      </c>
      <c r="E2920" s="29">
        <f>IF($B2920="","",INDEX(Suivi!$F:$F,2976))</f>
        <v/>
      </c>
      <c r="F2920">
        <f>IF($B2920="","",INDEX(Suivi!$G:$G,2976))</f>
        <v/>
      </c>
      <c r="H2920">
        <f>IF(OR($B2920="",NOT(ISNUMBER($D2920))),"",IF($E2920&lt;$D$2,"Passé",IF($D2920&gt;$F$2,"À venir","Dans la période")))</f>
        <v/>
      </c>
      <c r="I2920">
        <f>IF(OR($B2920="",NOT(ISNUMBER($D2920))),"",IF(AND($E2920&lt;$D$2,$G2920&lt;&gt;"X",$F2920&lt;&gt;"Réalisé",$F2920&lt;&gt;"Clôturé"),"RETARD",""))</f>
        <v/>
      </c>
      <c r="J2920" s="29">
        <f>IF($B2920="","",IF(INDEX(Dossiers!$F$4:$F$63,56)="","",INDEX(Dossiers!$F$4:$F$63,56)))</f>
        <v/>
      </c>
      <c r="K2920" s="29">
        <f>IF($B2920="","",IF(INDEX(Dossiers!$G$4:$G$63,56)="","",INDEX(Dossiers!$G$4:$G$63,56)))</f>
        <v/>
      </c>
    </row>
    <row r="2921">
      <c r="A2921">
        <f>IF($B2921="","",INDEX(Dossiers!$E$4:$E$63,56))</f>
        <v/>
      </c>
      <c r="B2921">
        <f>IF(INDEX(Suivi!$B:$B,2977)="","",INDEX(Suivi!$B:$B,2977))</f>
        <v/>
      </c>
      <c r="C2921">
        <f>IF($B2921="","",IF(INDEX(Suivi!$D:$D,2977)="",INDEX(Suivi!$C:$C,2977),INDEX(Suivi!$D:$D,2977)))</f>
        <v/>
      </c>
      <c r="D2921" s="29">
        <f>IF($B2921="","",INDEX(Suivi!$E:$E,2977))</f>
        <v/>
      </c>
      <c r="E2921" s="29">
        <f>IF($B2921="","",INDEX(Suivi!$F:$F,2977))</f>
        <v/>
      </c>
      <c r="F2921">
        <f>IF($B2921="","",INDEX(Suivi!$G:$G,2977))</f>
        <v/>
      </c>
      <c r="H2921">
        <f>IF(OR($B2921="",NOT(ISNUMBER($D2921))),"",IF($E2921&lt;$D$2,"Passé",IF($D2921&gt;$F$2,"À venir","Dans la période")))</f>
        <v/>
      </c>
      <c r="I2921">
        <f>IF(OR($B2921="",NOT(ISNUMBER($D2921))),"",IF(AND($E2921&lt;$D$2,$G2921&lt;&gt;"X",$F2921&lt;&gt;"Réalisé",$F2921&lt;&gt;"Clôturé"),"RETARD",""))</f>
        <v/>
      </c>
      <c r="J2921" s="29">
        <f>IF($B2921="","",IF(INDEX(Dossiers!$F$4:$F$63,56)="","",INDEX(Dossiers!$F$4:$F$63,56)))</f>
        <v/>
      </c>
      <c r="K2921" s="29">
        <f>IF($B2921="","",IF(INDEX(Dossiers!$G$4:$G$63,56)="","",INDEX(Dossiers!$G$4:$G$63,56)))</f>
        <v/>
      </c>
    </row>
    <row r="2922">
      <c r="A2922">
        <f>IF($B2922="","",INDEX(Dossiers!$E$4:$E$63,56))</f>
        <v/>
      </c>
      <c r="B2922">
        <f>IF(INDEX(Suivi!$B:$B,2978)="","",INDEX(Suivi!$B:$B,2978))</f>
        <v/>
      </c>
      <c r="C2922">
        <f>IF($B2922="","",IF(INDEX(Suivi!$D:$D,2978)="",INDEX(Suivi!$C:$C,2978),INDEX(Suivi!$D:$D,2978)))</f>
        <v/>
      </c>
      <c r="D2922" s="29">
        <f>IF($B2922="","",INDEX(Suivi!$E:$E,2978))</f>
        <v/>
      </c>
      <c r="E2922" s="29">
        <f>IF($B2922="","",INDEX(Suivi!$F:$F,2978))</f>
        <v/>
      </c>
      <c r="F2922">
        <f>IF($B2922="","",INDEX(Suivi!$G:$G,2978))</f>
        <v/>
      </c>
      <c r="H2922">
        <f>IF(OR($B2922="",NOT(ISNUMBER($D2922))),"",IF($E2922&lt;$D$2,"Passé",IF($D2922&gt;$F$2,"À venir","Dans la période")))</f>
        <v/>
      </c>
      <c r="I2922">
        <f>IF(OR($B2922="",NOT(ISNUMBER($D2922))),"",IF(AND($E2922&lt;$D$2,$G2922&lt;&gt;"X",$F2922&lt;&gt;"Réalisé",$F2922&lt;&gt;"Clôturé"),"RETARD",""))</f>
        <v/>
      </c>
      <c r="J2922" s="29">
        <f>IF($B2922="","",IF(INDEX(Dossiers!$F$4:$F$63,56)="","",INDEX(Dossiers!$F$4:$F$63,56)))</f>
        <v/>
      </c>
      <c r="K2922" s="29">
        <f>IF($B2922="","",IF(INDEX(Dossiers!$G$4:$G$63,56)="","",INDEX(Dossiers!$G$4:$G$63,56)))</f>
        <v/>
      </c>
    </row>
    <row r="2923">
      <c r="A2923">
        <f>IF($B2923="","",INDEX(Dossiers!$E$4:$E$63,56))</f>
        <v/>
      </c>
      <c r="B2923">
        <f>IF(INDEX(Suivi!$B:$B,2979)="","",INDEX(Suivi!$B:$B,2979))</f>
        <v/>
      </c>
      <c r="C2923">
        <f>IF($B2923="","",IF(INDEX(Suivi!$D:$D,2979)="",INDEX(Suivi!$C:$C,2979),INDEX(Suivi!$D:$D,2979)))</f>
        <v/>
      </c>
      <c r="D2923" s="29">
        <f>IF($B2923="","",INDEX(Suivi!$E:$E,2979))</f>
        <v/>
      </c>
      <c r="E2923" s="29">
        <f>IF($B2923="","",INDEX(Suivi!$F:$F,2979))</f>
        <v/>
      </c>
      <c r="F2923">
        <f>IF($B2923="","",INDEX(Suivi!$G:$G,2979))</f>
        <v/>
      </c>
      <c r="H2923">
        <f>IF(OR($B2923="",NOT(ISNUMBER($D2923))),"",IF($E2923&lt;$D$2,"Passé",IF($D2923&gt;$F$2,"À venir","Dans la période")))</f>
        <v/>
      </c>
      <c r="I2923">
        <f>IF(OR($B2923="",NOT(ISNUMBER($D2923))),"",IF(AND($E2923&lt;$D$2,$G2923&lt;&gt;"X",$F2923&lt;&gt;"Réalisé",$F2923&lt;&gt;"Clôturé"),"RETARD",""))</f>
        <v/>
      </c>
      <c r="J2923" s="29">
        <f>IF($B2923="","",IF(INDEX(Dossiers!$F$4:$F$63,56)="","",INDEX(Dossiers!$F$4:$F$63,56)))</f>
        <v/>
      </c>
      <c r="K2923" s="29">
        <f>IF($B2923="","",IF(INDEX(Dossiers!$G$4:$G$63,56)="","",INDEX(Dossiers!$G$4:$G$63,56)))</f>
        <v/>
      </c>
    </row>
    <row r="2924">
      <c r="A2924">
        <f>IF($B2924="","",INDEX(Dossiers!$E$4:$E$63,56))</f>
        <v/>
      </c>
      <c r="B2924">
        <f>IF(INDEX(Suivi!$B:$B,2980)="","",INDEX(Suivi!$B:$B,2980))</f>
        <v/>
      </c>
      <c r="C2924">
        <f>IF($B2924="","",IF(INDEX(Suivi!$D:$D,2980)="",INDEX(Suivi!$C:$C,2980),INDEX(Suivi!$D:$D,2980)))</f>
        <v/>
      </c>
      <c r="D2924" s="29">
        <f>IF($B2924="","",INDEX(Suivi!$E:$E,2980))</f>
        <v/>
      </c>
      <c r="E2924" s="29">
        <f>IF($B2924="","",INDEX(Suivi!$F:$F,2980))</f>
        <v/>
      </c>
      <c r="F2924">
        <f>IF($B2924="","",INDEX(Suivi!$G:$G,2980))</f>
        <v/>
      </c>
      <c r="H2924">
        <f>IF(OR($B2924="",NOT(ISNUMBER($D2924))),"",IF($E2924&lt;$D$2,"Passé",IF($D2924&gt;$F$2,"À venir","Dans la période")))</f>
        <v/>
      </c>
      <c r="I2924">
        <f>IF(OR($B2924="",NOT(ISNUMBER($D2924))),"",IF(AND($E2924&lt;$D$2,$G2924&lt;&gt;"X",$F2924&lt;&gt;"Réalisé",$F2924&lt;&gt;"Clôturé"),"RETARD",""))</f>
        <v/>
      </c>
      <c r="J2924" s="29">
        <f>IF($B2924="","",IF(INDEX(Dossiers!$F$4:$F$63,56)="","",INDEX(Dossiers!$F$4:$F$63,56)))</f>
        <v/>
      </c>
      <c r="K2924" s="29">
        <f>IF($B2924="","",IF(INDEX(Dossiers!$G$4:$G$63,56)="","",INDEX(Dossiers!$G$4:$G$63,56)))</f>
        <v/>
      </c>
    </row>
    <row r="2925">
      <c r="A2925">
        <f>IF($B2925="","",INDEX(Dossiers!$E$4:$E$63,56))</f>
        <v/>
      </c>
      <c r="B2925">
        <f>IF(INDEX(Suivi!$B:$B,2981)="","",INDEX(Suivi!$B:$B,2981))</f>
        <v/>
      </c>
      <c r="C2925">
        <f>IF($B2925="","",IF(INDEX(Suivi!$D:$D,2981)="",INDEX(Suivi!$C:$C,2981),INDEX(Suivi!$D:$D,2981)))</f>
        <v/>
      </c>
      <c r="D2925" s="29">
        <f>IF($B2925="","",INDEX(Suivi!$E:$E,2981))</f>
        <v/>
      </c>
      <c r="E2925" s="29">
        <f>IF($B2925="","",INDEX(Suivi!$F:$F,2981))</f>
        <v/>
      </c>
      <c r="F2925">
        <f>IF($B2925="","",INDEX(Suivi!$G:$G,2981))</f>
        <v/>
      </c>
      <c r="H2925">
        <f>IF(OR($B2925="",NOT(ISNUMBER($D2925))),"",IF($E2925&lt;$D$2,"Passé",IF($D2925&gt;$F$2,"À venir","Dans la période")))</f>
        <v/>
      </c>
      <c r="I2925">
        <f>IF(OR($B2925="",NOT(ISNUMBER($D2925))),"",IF(AND($E2925&lt;$D$2,$G2925&lt;&gt;"X",$F2925&lt;&gt;"Réalisé",$F2925&lt;&gt;"Clôturé"),"RETARD",""))</f>
        <v/>
      </c>
      <c r="J2925" s="29">
        <f>IF($B2925="","",IF(INDEX(Dossiers!$F$4:$F$63,56)="","",INDEX(Dossiers!$F$4:$F$63,56)))</f>
        <v/>
      </c>
      <c r="K2925" s="29">
        <f>IF($B2925="","",IF(INDEX(Dossiers!$G$4:$G$63,56)="","",INDEX(Dossiers!$G$4:$G$63,56)))</f>
        <v/>
      </c>
    </row>
    <row r="2926">
      <c r="A2926">
        <f>IF($B2926="","",INDEX(Dossiers!$E$4:$E$63,56))</f>
        <v/>
      </c>
      <c r="B2926">
        <f>IF(INDEX(Suivi!$B:$B,2982)="","",INDEX(Suivi!$B:$B,2982))</f>
        <v/>
      </c>
      <c r="C2926">
        <f>IF($B2926="","",IF(INDEX(Suivi!$D:$D,2982)="",INDEX(Suivi!$C:$C,2982),INDEX(Suivi!$D:$D,2982)))</f>
        <v/>
      </c>
      <c r="D2926" s="29">
        <f>IF($B2926="","",INDEX(Suivi!$E:$E,2982))</f>
        <v/>
      </c>
      <c r="E2926" s="29">
        <f>IF($B2926="","",INDEX(Suivi!$F:$F,2982))</f>
        <v/>
      </c>
      <c r="F2926">
        <f>IF($B2926="","",INDEX(Suivi!$G:$G,2982))</f>
        <v/>
      </c>
      <c r="H2926">
        <f>IF(OR($B2926="",NOT(ISNUMBER($D2926))),"",IF($E2926&lt;$D$2,"Passé",IF($D2926&gt;$F$2,"À venir","Dans la période")))</f>
        <v/>
      </c>
      <c r="I2926">
        <f>IF(OR($B2926="",NOT(ISNUMBER($D2926))),"",IF(AND($E2926&lt;$D$2,$G2926&lt;&gt;"X",$F2926&lt;&gt;"Réalisé",$F2926&lt;&gt;"Clôturé"),"RETARD",""))</f>
        <v/>
      </c>
      <c r="J2926" s="29">
        <f>IF($B2926="","",IF(INDEX(Dossiers!$F$4:$F$63,56)="","",INDEX(Dossiers!$F$4:$F$63,56)))</f>
        <v/>
      </c>
      <c r="K2926" s="29">
        <f>IF($B2926="","",IF(INDEX(Dossiers!$G$4:$G$63,56)="","",INDEX(Dossiers!$G$4:$G$63,56)))</f>
        <v/>
      </c>
    </row>
    <row r="2927">
      <c r="A2927">
        <f>IF($B2927="","",INDEX(Dossiers!$E$4:$E$63,56))</f>
        <v/>
      </c>
      <c r="B2927">
        <f>IF(INDEX(Suivi!$B:$B,2983)="","",INDEX(Suivi!$B:$B,2983))</f>
        <v/>
      </c>
      <c r="C2927">
        <f>IF($B2927="","",IF(INDEX(Suivi!$D:$D,2983)="",INDEX(Suivi!$C:$C,2983),INDEX(Suivi!$D:$D,2983)))</f>
        <v/>
      </c>
      <c r="D2927" s="29">
        <f>IF($B2927="","",INDEX(Suivi!$E:$E,2983))</f>
        <v/>
      </c>
      <c r="E2927" s="29">
        <f>IF($B2927="","",INDEX(Suivi!$F:$F,2983))</f>
        <v/>
      </c>
      <c r="F2927">
        <f>IF($B2927="","",INDEX(Suivi!$G:$G,2983))</f>
        <v/>
      </c>
      <c r="H2927">
        <f>IF(OR($B2927="",NOT(ISNUMBER($D2927))),"",IF($E2927&lt;$D$2,"Passé",IF($D2927&gt;$F$2,"À venir","Dans la période")))</f>
        <v/>
      </c>
      <c r="I2927">
        <f>IF(OR($B2927="",NOT(ISNUMBER($D2927))),"",IF(AND($E2927&lt;$D$2,$G2927&lt;&gt;"X",$F2927&lt;&gt;"Réalisé",$F2927&lt;&gt;"Clôturé"),"RETARD",""))</f>
        <v/>
      </c>
      <c r="J2927" s="29">
        <f>IF($B2927="","",IF(INDEX(Dossiers!$F$4:$F$63,56)="","",INDEX(Dossiers!$F$4:$F$63,56)))</f>
        <v/>
      </c>
      <c r="K2927" s="29">
        <f>IF($B2927="","",IF(INDEX(Dossiers!$G$4:$G$63,56)="","",INDEX(Dossiers!$G$4:$G$63,56)))</f>
        <v/>
      </c>
    </row>
    <row r="2928">
      <c r="A2928">
        <f>IF($B2928="","",INDEX(Dossiers!$E$4:$E$63,56))</f>
        <v/>
      </c>
      <c r="B2928">
        <f>IF(INDEX(Suivi!$B:$B,2984)="","",INDEX(Suivi!$B:$B,2984))</f>
        <v/>
      </c>
      <c r="C2928">
        <f>IF($B2928="","",IF(INDEX(Suivi!$D:$D,2984)="",INDEX(Suivi!$C:$C,2984),INDEX(Suivi!$D:$D,2984)))</f>
        <v/>
      </c>
      <c r="D2928" s="29">
        <f>IF($B2928="","",INDEX(Suivi!$E:$E,2984))</f>
        <v/>
      </c>
      <c r="E2928" s="29">
        <f>IF($B2928="","",INDEX(Suivi!$F:$F,2984))</f>
        <v/>
      </c>
      <c r="F2928">
        <f>IF($B2928="","",INDEX(Suivi!$G:$G,2984))</f>
        <v/>
      </c>
      <c r="H2928">
        <f>IF(OR($B2928="",NOT(ISNUMBER($D2928))),"",IF($E2928&lt;$D$2,"Passé",IF($D2928&gt;$F$2,"À venir","Dans la période")))</f>
        <v/>
      </c>
      <c r="I2928">
        <f>IF(OR($B2928="",NOT(ISNUMBER($D2928))),"",IF(AND($E2928&lt;$D$2,$G2928&lt;&gt;"X",$F2928&lt;&gt;"Réalisé",$F2928&lt;&gt;"Clôturé"),"RETARD",""))</f>
        <v/>
      </c>
      <c r="J2928" s="29">
        <f>IF($B2928="","",IF(INDEX(Dossiers!$F$4:$F$63,56)="","",INDEX(Dossiers!$F$4:$F$63,56)))</f>
        <v/>
      </c>
      <c r="K2928" s="29">
        <f>IF($B2928="","",IF(INDEX(Dossiers!$G$4:$G$63,56)="","",INDEX(Dossiers!$G$4:$G$63,56)))</f>
        <v/>
      </c>
    </row>
    <row r="2929">
      <c r="A2929">
        <f>IF($B2929="","",INDEX(Dossiers!$E$4:$E$63,56))</f>
        <v/>
      </c>
      <c r="B2929">
        <f>IF(INDEX(Suivi!$B:$B,2985)="","",INDEX(Suivi!$B:$B,2985))</f>
        <v/>
      </c>
      <c r="C2929">
        <f>IF($B2929="","",IF(INDEX(Suivi!$D:$D,2985)="",INDEX(Suivi!$C:$C,2985),INDEX(Suivi!$D:$D,2985)))</f>
        <v/>
      </c>
      <c r="D2929" s="29">
        <f>IF($B2929="","",INDEX(Suivi!$E:$E,2985))</f>
        <v/>
      </c>
      <c r="E2929" s="29">
        <f>IF($B2929="","",INDEX(Suivi!$F:$F,2985))</f>
        <v/>
      </c>
      <c r="F2929">
        <f>IF($B2929="","",INDEX(Suivi!$G:$G,2985))</f>
        <v/>
      </c>
      <c r="H2929">
        <f>IF(OR($B2929="",NOT(ISNUMBER($D2929))),"",IF($E2929&lt;$D$2,"Passé",IF($D2929&gt;$F$2,"À venir","Dans la période")))</f>
        <v/>
      </c>
      <c r="I2929">
        <f>IF(OR($B2929="",NOT(ISNUMBER($D2929))),"",IF(AND($E2929&lt;$D$2,$G2929&lt;&gt;"X",$F2929&lt;&gt;"Réalisé",$F2929&lt;&gt;"Clôturé"),"RETARD",""))</f>
        <v/>
      </c>
      <c r="J2929" s="29">
        <f>IF($B2929="","",IF(INDEX(Dossiers!$F$4:$F$63,56)="","",INDEX(Dossiers!$F$4:$F$63,56)))</f>
        <v/>
      </c>
      <c r="K2929" s="29">
        <f>IF($B2929="","",IF(INDEX(Dossiers!$G$4:$G$63,56)="","",INDEX(Dossiers!$G$4:$G$63,56)))</f>
        <v/>
      </c>
    </row>
    <row r="2930">
      <c r="A2930">
        <f>IF($B2930="","",INDEX(Dossiers!$E$4:$E$63,56))</f>
        <v/>
      </c>
      <c r="B2930">
        <f>IF(INDEX(Suivi!$B:$B,2986)="","",INDEX(Suivi!$B:$B,2986))</f>
        <v/>
      </c>
      <c r="C2930">
        <f>IF($B2930="","",IF(INDEX(Suivi!$D:$D,2986)="",INDEX(Suivi!$C:$C,2986),INDEX(Suivi!$D:$D,2986)))</f>
        <v/>
      </c>
      <c r="D2930" s="29">
        <f>IF($B2930="","",INDEX(Suivi!$E:$E,2986))</f>
        <v/>
      </c>
      <c r="E2930" s="29">
        <f>IF($B2930="","",INDEX(Suivi!$F:$F,2986))</f>
        <v/>
      </c>
      <c r="F2930">
        <f>IF($B2930="","",INDEX(Suivi!$G:$G,2986))</f>
        <v/>
      </c>
      <c r="H2930">
        <f>IF(OR($B2930="",NOT(ISNUMBER($D2930))),"",IF($E2930&lt;$D$2,"Passé",IF($D2930&gt;$F$2,"À venir","Dans la période")))</f>
        <v/>
      </c>
      <c r="I2930">
        <f>IF(OR($B2930="",NOT(ISNUMBER($D2930))),"",IF(AND($E2930&lt;$D$2,$G2930&lt;&gt;"X",$F2930&lt;&gt;"Réalisé",$F2930&lt;&gt;"Clôturé"),"RETARD",""))</f>
        <v/>
      </c>
      <c r="J2930" s="29">
        <f>IF($B2930="","",IF(INDEX(Dossiers!$F$4:$F$63,56)="","",INDEX(Dossiers!$F$4:$F$63,56)))</f>
        <v/>
      </c>
      <c r="K2930" s="29">
        <f>IF($B2930="","",IF(INDEX(Dossiers!$G$4:$G$63,56)="","",INDEX(Dossiers!$G$4:$G$63,56)))</f>
        <v/>
      </c>
    </row>
    <row r="2931">
      <c r="A2931">
        <f>IF($B2931="","",INDEX(Dossiers!$E$4:$E$63,56))</f>
        <v/>
      </c>
      <c r="B2931">
        <f>IF(INDEX(Suivi!$B:$B,2987)="","",INDEX(Suivi!$B:$B,2987))</f>
        <v/>
      </c>
      <c r="C2931">
        <f>IF($B2931="","",IF(INDEX(Suivi!$D:$D,2987)="",INDEX(Suivi!$C:$C,2987),INDEX(Suivi!$D:$D,2987)))</f>
        <v/>
      </c>
      <c r="D2931" s="29">
        <f>IF($B2931="","",INDEX(Suivi!$E:$E,2987))</f>
        <v/>
      </c>
      <c r="E2931" s="29">
        <f>IF($B2931="","",INDEX(Suivi!$F:$F,2987))</f>
        <v/>
      </c>
      <c r="F2931">
        <f>IF($B2931="","",INDEX(Suivi!$G:$G,2987))</f>
        <v/>
      </c>
      <c r="H2931">
        <f>IF(OR($B2931="",NOT(ISNUMBER($D2931))),"",IF($E2931&lt;$D$2,"Passé",IF($D2931&gt;$F$2,"À venir","Dans la période")))</f>
        <v/>
      </c>
      <c r="I2931">
        <f>IF(OR($B2931="",NOT(ISNUMBER($D2931))),"",IF(AND($E2931&lt;$D$2,$G2931&lt;&gt;"X",$F2931&lt;&gt;"Réalisé",$F2931&lt;&gt;"Clôturé"),"RETARD",""))</f>
        <v/>
      </c>
      <c r="J2931" s="29">
        <f>IF($B2931="","",IF(INDEX(Dossiers!$F$4:$F$63,56)="","",INDEX(Dossiers!$F$4:$F$63,56)))</f>
        <v/>
      </c>
      <c r="K2931" s="29">
        <f>IF($B2931="","",IF(INDEX(Dossiers!$G$4:$G$63,56)="","",INDEX(Dossiers!$G$4:$G$63,56)))</f>
        <v/>
      </c>
    </row>
    <row r="2932">
      <c r="A2932">
        <f>IF($B2932="","",INDEX(Dossiers!$E$4:$E$63,56))</f>
        <v/>
      </c>
      <c r="B2932">
        <f>IF(INDEX(Suivi!$B:$B,2988)="","",INDEX(Suivi!$B:$B,2988))</f>
        <v/>
      </c>
      <c r="C2932">
        <f>IF($B2932="","",IF(INDEX(Suivi!$D:$D,2988)="",INDEX(Suivi!$C:$C,2988),INDEX(Suivi!$D:$D,2988)))</f>
        <v/>
      </c>
      <c r="D2932" s="29">
        <f>IF($B2932="","",INDEX(Suivi!$E:$E,2988))</f>
        <v/>
      </c>
      <c r="E2932" s="29">
        <f>IF($B2932="","",INDEX(Suivi!$F:$F,2988))</f>
        <v/>
      </c>
      <c r="F2932">
        <f>IF($B2932="","",INDEX(Suivi!$G:$G,2988))</f>
        <v/>
      </c>
      <c r="H2932">
        <f>IF(OR($B2932="",NOT(ISNUMBER($D2932))),"",IF($E2932&lt;$D$2,"Passé",IF($D2932&gt;$F$2,"À venir","Dans la période")))</f>
        <v/>
      </c>
      <c r="I2932">
        <f>IF(OR($B2932="",NOT(ISNUMBER($D2932))),"",IF(AND($E2932&lt;$D$2,$G2932&lt;&gt;"X",$F2932&lt;&gt;"Réalisé",$F2932&lt;&gt;"Clôturé"),"RETARD",""))</f>
        <v/>
      </c>
      <c r="J2932" s="29">
        <f>IF($B2932="","",IF(INDEX(Dossiers!$F$4:$F$63,56)="","",INDEX(Dossiers!$F$4:$F$63,56)))</f>
        <v/>
      </c>
      <c r="K2932" s="29">
        <f>IF($B2932="","",IF(INDEX(Dossiers!$G$4:$G$63,56)="","",INDEX(Dossiers!$G$4:$G$63,56)))</f>
        <v/>
      </c>
    </row>
    <row r="2933">
      <c r="A2933">
        <f>IF($B2933="","",INDEX(Dossiers!$E$4:$E$63,56))</f>
        <v/>
      </c>
      <c r="B2933">
        <f>IF(INDEX(Suivi!$B:$B,2989)="","",INDEX(Suivi!$B:$B,2989))</f>
        <v/>
      </c>
      <c r="C2933">
        <f>IF($B2933="","",IF(INDEX(Suivi!$D:$D,2989)="",INDEX(Suivi!$C:$C,2989),INDEX(Suivi!$D:$D,2989)))</f>
        <v/>
      </c>
      <c r="D2933" s="29">
        <f>IF($B2933="","",INDEX(Suivi!$E:$E,2989))</f>
        <v/>
      </c>
      <c r="E2933" s="29">
        <f>IF($B2933="","",INDEX(Suivi!$F:$F,2989))</f>
        <v/>
      </c>
      <c r="F2933">
        <f>IF($B2933="","",INDEX(Suivi!$G:$G,2989))</f>
        <v/>
      </c>
      <c r="H2933">
        <f>IF(OR($B2933="",NOT(ISNUMBER($D2933))),"",IF($E2933&lt;$D$2,"Passé",IF($D2933&gt;$F$2,"À venir","Dans la période")))</f>
        <v/>
      </c>
      <c r="I2933">
        <f>IF(OR($B2933="",NOT(ISNUMBER($D2933))),"",IF(AND($E2933&lt;$D$2,$G2933&lt;&gt;"X",$F2933&lt;&gt;"Réalisé",$F2933&lt;&gt;"Clôturé"),"RETARD",""))</f>
        <v/>
      </c>
      <c r="J2933" s="29">
        <f>IF($B2933="","",IF(INDEX(Dossiers!$F$4:$F$63,56)="","",INDEX(Dossiers!$F$4:$F$63,56)))</f>
        <v/>
      </c>
      <c r="K2933" s="29">
        <f>IF($B2933="","",IF(INDEX(Dossiers!$G$4:$G$63,56)="","",INDEX(Dossiers!$G$4:$G$63,56)))</f>
        <v/>
      </c>
    </row>
    <row r="2934">
      <c r="A2934">
        <f>IF($B2934="","",INDEX(Dossiers!$E$4:$E$63,56))</f>
        <v/>
      </c>
      <c r="B2934">
        <f>IF(INDEX(Suivi!$B:$B,2990)="","",INDEX(Suivi!$B:$B,2990))</f>
        <v/>
      </c>
      <c r="C2934">
        <f>IF($B2934="","",IF(INDEX(Suivi!$D:$D,2990)="",INDEX(Suivi!$C:$C,2990),INDEX(Suivi!$D:$D,2990)))</f>
        <v/>
      </c>
      <c r="D2934" s="29">
        <f>IF($B2934="","",INDEX(Suivi!$E:$E,2990))</f>
        <v/>
      </c>
      <c r="E2934" s="29">
        <f>IF($B2934="","",INDEX(Suivi!$F:$F,2990))</f>
        <v/>
      </c>
      <c r="F2934">
        <f>IF($B2934="","",INDEX(Suivi!$G:$G,2990))</f>
        <v/>
      </c>
      <c r="H2934">
        <f>IF(OR($B2934="",NOT(ISNUMBER($D2934))),"",IF($E2934&lt;$D$2,"Passé",IF($D2934&gt;$F$2,"À venir","Dans la période")))</f>
        <v/>
      </c>
      <c r="I2934">
        <f>IF(OR($B2934="",NOT(ISNUMBER($D2934))),"",IF(AND($E2934&lt;$D$2,$G2934&lt;&gt;"X",$F2934&lt;&gt;"Réalisé",$F2934&lt;&gt;"Clôturé"),"RETARD",""))</f>
        <v/>
      </c>
      <c r="J2934" s="29">
        <f>IF($B2934="","",IF(INDEX(Dossiers!$F$4:$F$63,56)="","",INDEX(Dossiers!$F$4:$F$63,56)))</f>
        <v/>
      </c>
      <c r="K2934" s="29">
        <f>IF($B2934="","",IF(INDEX(Dossiers!$G$4:$G$63,56)="","",INDEX(Dossiers!$G$4:$G$63,56)))</f>
        <v/>
      </c>
    </row>
    <row r="2935">
      <c r="A2935">
        <f>IF($B2935="","",INDEX(Dossiers!$E$4:$E$63,56))</f>
        <v/>
      </c>
      <c r="B2935">
        <f>IF(INDEX(Suivi!$B:$B,2991)="","",INDEX(Suivi!$B:$B,2991))</f>
        <v/>
      </c>
      <c r="C2935">
        <f>IF($B2935="","",IF(INDEX(Suivi!$D:$D,2991)="",INDEX(Suivi!$C:$C,2991),INDEX(Suivi!$D:$D,2991)))</f>
        <v/>
      </c>
      <c r="D2935" s="29">
        <f>IF($B2935="","",INDEX(Suivi!$E:$E,2991))</f>
        <v/>
      </c>
      <c r="E2935" s="29">
        <f>IF($B2935="","",INDEX(Suivi!$F:$F,2991))</f>
        <v/>
      </c>
      <c r="F2935">
        <f>IF($B2935="","",INDEX(Suivi!$G:$G,2991))</f>
        <v/>
      </c>
      <c r="H2935">
        <f>IF(OR($B2935="",NOT(ISNUMBER($D2935))),"",IF($E2935&lt;$D$2,"Passé",IF($D2935&gt;$F$2,"À venir","Dans la période")))</f>
        <v/>
      </c>
      <c r="I2935">
        <f>IF(OR($B2935="",NOT(ISNUMBER($D2935))),"",IF(AND($E2935&lt;$D$2,$G2935&lt;&gt;"X",$F2935&lt;&gt;"Réalisé",$F2935&lt;&gt;"Clôturé"),"RETARD",""))</f>
        <v/>
      </c>
      <c r="J2935" s="29">
        <f>IF($B2935="","",IF(INDEX(Dossiers!$F$4:$F$63,56)="","",INDEX(Dossiers!$F$4:$F$63,56)))</f>
        <v/>
      </c>
      <c r="K2935" s="29">
        <f>IF($B2935="","",IF(INDEX(Dossiers!$G$4:$G$63,56)="","",INDEX(Dossiers!$G$4:$G$63,56)))</f>
        <v/>
      </c>
    </row>
    <row r="2936">
      <c r="A2936">
        <f>IF($B2936="","",INDEX(Dossiers!$E$4:$E$63,56))</f>
        <v/>
      </c>
      <c r="B2936">
        <f>IF(INDEX(Suivi!$B:$B,2992)="","",INDEX(Suivi!$B:$B,2992))</f>
        <v/>
      </c>
      <c r="C2936">
        <f>IF($B2936="","",IF(INDEX(Suivi!$D:$D,2992)="",INDEX(Suivi!$C:$C,2992),INDEX(Suivi!$D:$D,2992)))</f>
        <v/>
      </c>
      <c r="D2936" s="29">
        <f>IF($B2936="","",INDEX(Suivi!$E:$E,2992))</f>
        <v/>
      </c>
      <c r="E2936" s="29">
        <f>IF($B2936="","",INDEX(Suivi!$F:$F,2992))</f>
        <v/>
      </c>
      <c r="F2936">
        <f>IF($B2936="","",INDEX(Suivi!$G:$G,2992))</f>
        <v/>
      </c>
      <c r="H2936">
        <f>IF(OR($B2936="",NOT(ISNUMBER($D2936))),"",IF($E2936&lt;$D$2,"Passé",IF($D2936&gt;$F$2,"À venir","Dans la période")))</f>
        <v/>
      </c>
      <c r="I2936">
        <f>IF(OR($B2936="",NOT(ISNUMBER($D2936))),"",IF(AND($E2936&lt;$D$2,$G2936&lt;&gt;"X",$F2936&lt;&gt;"Réalisé",$F2936&lt;&gt;"Clôturé"),"RETARD",""))</f>
        <v/>
      </c>
      <c r="J2936" s="29">
        <f>IF($B2936="","",IF(INDEX(Dossiers!$F$4:$F$63,56)="","",INDEX(Dossiers!$F$4:$F$63,56)))</f>
        <v/>
      </c>
      <c r="K2936" s="29">
        <f>IF($B2936="","",IF(INDEX(Dossiers!$G$4:$G$63,56)="","",INDEX(Dossiers!$G$4:$G$63,56)))</f>
        <v/>
      </c>
    </row>
    <row r="2937">
      <c r="A2937">
        <f>IF($B2937="","",INDEX(Dossiers!$E$4:$E$63,56))</f>
        <v/>
      </c>
      <c r="B2937">
        <f>IF(INDEX(Suivi!$B:$B,2993)="","",INDEX(Suivi!$B:$B,2993))</f>
        <v/>
      </c>
      <c r="C2937">
        <f>IF($B2937="","",IF(INDEX(Suivi!$D:$D,2993)="",INDEX(Suivi!$C:$C,2993),INDEX(Suivi!$D:$D,2993)))</f>
        <v/>
      </c>
      <c r="D2937" s="29">
        <f>IF($B2937="","",INDEX(Suivi!$E:$E,2993))</f>
        <v/>
      </c>
      <c r="E2937" s="29">
        <f>IF($B2937="","",INDEX(Suivi!$F:$F,2993))</f>
        <v/>
      </c>
      <c r="F2937">
        <f>IF($B2937="","",INDEX(Suivi!$G:$G,2993))</f>
        <v/>
      </c>
      <c r="H2937">
        <f>IF(OR($B2937="",NOT(ISNUMBER($D2937))),"",IF($E2937&lt;$D$2,"Passé",IF($D2937&gt;$F$2,"À venir","Dans la période")))</f>
        <v/>
      </c>
      <c r="I2937">
        <f>IF(OR($B2937="",NOT(ISNUMBER($D2937))),"",IF(AND($E2937&lt;$D$2,$G2937&lt;&gt;"X",$F2937&lt;&gt;"Réalisé",$F2937&lt;&gt;"Clôturé"),"RETARD",""))</f>
        <v/>
      </c>
      <c r="J2937" s="29">
        <f>IF($B2937="","",IF(INDEX(Dossiers!$F$4:$F$63,56)="","",INDEX(Dossiers!$F$4:$F$63,56)))</f>
        <v/>
      </c>
      <c r="K2937" s="29">
        <f>IF($B2937="","",IF(INDEX(Dossiers!$G$4:$G$63,56)="","",INDEX(Dossiers!$G$4:$G$63,56)))</f>
        <v/>
      </c>
    </row>
    <row r="2938">
      <c r="A2938">
        <f>IF($B2938="","",INDEX(Dossiers!$E$4:$E$63,56))</f>
        <v/>
      </c>
      <c r="B2938">
        <f>IF(INDEX(Suivi!$B:$B,2994)="","",INDEX(Suivi!$B:$B,2994))</f>
        <v/>
      </c>
      <c r="C2938">
        <f>IF($B2938="","",IF(INDEX(Suivi!$D:$D,2994)="",INDEX(Suivi!$C:$C,2994),INDEX(Suivi!$D:$D,2994)))</f>
        <v/>
      </c>
      <c r="D2938" s="29">
        <f>IF($B2938="","",INDEX(Suivi!$E:$E,2994))</f>
        <v/>
      </c>
      <c r="E2938" s="29">
        <f>IF($B2938="","",INDEX(Suivi!$F:$F,2994))</f>
        <v/>
      </c>
      <c r="F2938">
        <f>IF($B2938="","",INDEX(Suivi!$G:$G,2994))</f>
        <v/>
      </c>
      <c r="H2938">
        <f>IF(OR($B2938="",NOT(ISNUMBER($D2938))),"",IF($E2938&lt;$D$2,"Passé",IF($D2938&gt;$F$2,"À venir","Dans la période")))</f>
        <v/>
      </c>
      <c r="I2938">
        <f>IF(OR($B2938="",NOT(ISNUMBER($D2938))),"",IF(AND($E2938&lt;$D$2,$G2938&lt;&gt;"X",$F2938&lt;&gt;"Réalisé",$F2938&lt;&gt;"Clôturé"),"RETARD",""))</f>
        <v/>
      </c>
      <c r="J2938" s="29">
        <f>IF($B2938="","",IF(INDEX(Dossiers!$F$4:$F$63,56)="","",INDEX(Dossiers!$F$4:$F$63,56)))</f>
        <v/>
      </c>
      <c r="K2938" s="29">
        <f>IF($B2938="","",IF(INDEX(Dossiers!$G$4:$G$63,56)="","",INDEX(Dossiers!$G$4:$G$63,56)))</f>
        <v/>
      </c>
    </row>
    <row r="2939">
      <c r="A2939">
        <f>IF($B2939="","",INDEX(Dossiers!$E$4:$E$63,56))</f>
        <v/>
      </c>
      <c r="B2939">
        <f>IF(INDEX(Suivi!$B:$B,2995)="","",INDEX(Suivi!$B:$B,2995))</f>
        <v/>
      </c>
      <c r="C2939">
        <f>IF($B2939="","",IF(INDEX(Suivi!$D:$D,2995)="",INDEX(Suivi!$C:$C,2995),INDEX(Suivi!$D:$D,2995)))</f>
        <v/>
      </c>
      <c r="D2939" s="29">
        <f>IF($B2939="","",INDEX(Suivi!$E:$E,2995))</f>
        <v/>
      </c>
      <c r="E2939" s="29">
        <f>IF($B2939="","",INDEX(Suivi!$F:$F,2995))</f>
        <v/>
      </c>
      <c r="F2939">
        <f>IF($B2939="","",INDEX(Suivi!$G:$G,2995))</f>
        <v/>
      </c>
      <c r="H2939">
        <f>IF(OR($B2939="",NOT(ISNUMBER($D2939))),"",IF($E2939&lt;$D$2,"Passé",IF($D2939&gt;$F$2,"À venir","Dans la période")))</f>
        <v/>
      </c>
      <c r="I2939">
        <f>IF(OR($B2939="",NOT(ISNUMBER($D2939))),"",IF(AND($E2939&lt;$D$2,$G2939&lt;&gt;"X",$F2939&lt;&gt;"Réalisé",$F2939&lt;&gt;"Clôturé"),"RETARD",""))</f>
        <v/>
      </c>
      <c r="J2939" s="29">
        <f>IF($B2939="","",IF(INDEX(Dossiers!$F$4:$F$63,56)="","",INDEX(Dossiers!$F$4:$F$63,56)))</f>
        <v/>
      </c>
      <c r="K2939" s="29">
        <f>IF($B2939="","",IF(INDEX(Dossiers!$G$4:$G$63,56)="","",INDEX(Dossiers!$G$4:$G$63,56)))</f>
        <v/>
      </c>
    </row>
    <row r="2940">
      <c r="A2940">
        <f>IF($B2940="","",INDEX(Dossiers!$E$4:$E$63,56))</f>
        <v/>
      </c>
      <c r="B2940">
        <f>IF(INDEX(Suivi!$B:$B,2996)="","",INDEX(Suivi!$B:$B,2996))</f>
        <v/>
      </c>
      <c r="C2940">
        <f>IF($B2940="","",IF(INDEX(Suivi!$D:$D,2996)="",INDEX(Suivi!$C:$C,2996),INDEX(Suivi!$D:$D,2996)))</f>
        <v/>
      </c>
      <c r="D2940" s="29">
        <f>IF($B2940="","",INDEX(Suivi!$E:$E,2996))</f>
        <v/>
      </c>
      <c r="E2940" s="29">
        <f>IF($B2940="","",INDEX(Suivi!$F:$F,2996))</f>
        <v/>
      </c>
      <c r="F2940">
        <f>IF($B2940="","",INDEX(Suivi!$G:$G,2996))</f>
        <v/>
      </c>
      <c r="H2940">
        <f>IF(OR($B2940="",NOT(ISNUMBER($D2940))),"",IF($E2940&lt;$D$2,"Passé",IF($D2940&gt;$F$2,"À venir","Dans la période")))</f>
        <v/>
      </c>
      <c r="I2940">
        <f>IF(OR($B2940="",NOT(ISNUMBER($D2940))),"",IF(AND($E2940&lt;$D$2,$G2940&lt;&gt;"X",$F2940&lt;&gt;"Réalisé",$F2940&lt;&gt;"Clôturé"),"RETARD",""))</f>
        <v/>
      </c>
      <c r="J2940" s="29">
        <f>IF($B2940="","",IF(INDEX(Dossiers!$F$4:$F$63,56)="","",INDEX(Dossiers!$F$4:$F$63,56)))</f>
        <v/>
      </c>
      <c r="K2940" s="29">
        <f>IF($B2940="","",IF(INDEX(Dossiers!$G$4:$G$63,56)="","",INDEX(Dossiers!$G$4:$G$63,56)))</f>
        <v/>
      </c>
    </row>
    <row r="2941">
      <c r="A2941">
        <f>IF($B2941="","",INDEX(Dossiers!$E$4:$E$63,56))</f>
        <v/>
      </c>
      <c r="B2941">
        <f>IF(INDEX(Suivi!$B:$B,2997)="","",INDEX(Suivi!$B:$B,2997))</f>
        <v/>
      </c>
      <c r="C2941">
        <f>IF($B2941="","",IF(INDEX(Suivi!$D:$D,2997)="",INDEX(Suivi!$C:$C,2997),INDEX(Suivi!$D:$D,2997)))</f>
        <v/>
      </c>
      <c r="D2941" s="29">
        <f>IF($B2941="","",INDEX(Suivi!$E:$E,2997))</f>
        <v/>
      </c>
      <c r="E2941" s="29">
        <f>IF($B2941="","",INDEX(Suivi!$F:$F,2997))</f>
        <v/>
      </c>
      <c r="F2941">
        <f>IF($B2941="","",INDEX(Suivi!$G:$G,2997))</f>
        <v/>
      </c>
      <c r="H2941">
        <f>IF(OR($B2941="",NOT(ISNUMBER($D2941))),"",IF($E2941&lt;$D$2,"Passé",IF($D2941&gt;$F$2,"À venir","Dans la période")))</f>
        <v/>
      </c>
      <c r="I2941">
        <f>IF(OR($B2941="",NOT(ISNUMBER($D2941))),"",IF(AND($E2941&lt;$D$2,$G2941&lt;&gt;"X",$F2941&lt;&gt;"Réalisé",$F2941&lt;&gt;"Clôturé"),"RETARD",""))</f>
        <v/>
      </c>
      <c r="J2941" s="29">
        <f>IF($B2941="","",IF(INDEX(Dossiers!$F$4:$F$63,56)="","",INDEX(Dossiers!$F$4:$F$63,56)))</f>
        <v/>
      </c>
      <c r="K2941" s="29">
        <f>IF($B2941="","",IF(INDEX(Dossiers!$G$4:$G$63,56)="","",INDEX(Dossiers!$G$4:$G$63,56)))</f>
        <v/>
      </c>
    </row>
    <row r="2942">
      <c r="A2942">
        <f>IF($B2942="","",INDEX(Dossiers!$E$4:$E$63,56))</f>
        <v/>
      </c>
      <c r="B2942">
        <f>IF(INDEX(Suivi!$B:$B,2998)="","",INDEX(Suivi!$B:$B,2998))</f>
        <v/>
      </c>
      <c r="C2942">
        <f>IF($B2942="","",IF(INDEX(Suivi!$D:$D,2998)="",INDEX(Suivi!$C:$C,2998),INDEX(Suivi!$D:$D,2998)))</f>
        <v/>
      </c>
      <c r="D2942" s="29">
        <f>IF($B2942="","",INDEX(Suivi!$E:$E,2998))</f>
        <v/>
      </c>
      <c r="E2942" s="29">
        <f>IF($B2942="","",INDEX(Suivi!$F:$F,2998))</f>
        <v/>
      </c>
      <c r="F2942">
        <f>IF($B2942="","",INDEX(Suivi!$G:$G,2998))</f>
        <v/>
      </c>
      <c r="H2942">
        <f>IF(OR($B2942="",NOT(ISNUMBER($D2942))),"",IF($E2942&lt;$D$2,"Passé",IF($D2942&gt;$F$2,"À venir","Dans la période")))</f>
        <v/>
      </c>
      <c r="I2942">
        <f>IF(OR($B2942="",NOT(ISNUMBER($D2942))),"",IF(AND($E2942&lt;$D$2,$G2942&lt;&gt;"X",$F2942&lt;&gt;"Réalisé",$F2942&lt;&gt;"Clôturé"),"RETARD",""))</f>
        <v/>
      </c>
      <c r="J2942" s="29">
        <f>IF($B2942="","",IF(INDEX(Dossiers!$F$4:$F$63,56)="","",INDEX(Dossiers!$F$4:$F$63,56)))</f>
        <v/>
      </c>
      <c r="K2942" s="29">
        <f>IF($B2942="","",IF(INDEX(Dossiers!$G$4:$G$63,56)="","",INDEX(Dossiers!$G$4:$G$63,56)))</f>
        <v/>
      </c>
    </row>
    <row r="2943">
      <c r="A2943">
        <f>IF($B2943="","",INDEX(Dossiers!$E$4:$E$63,56))</f>
        <v/>
      </c>
      <c r="B2943">
        <f>IF(INDEX(Suivi!$B:$B,2999)="","",INDEX(Suivi!$B:$B,2999))</f>
        <v/>
      </c>
      <c r="C2943">
        <f>IF($B2943="","",IF(INDEX(Suivi!$D:$D,2999)="",INDEX(Suivi!$C:$C,2999),INDEX(Suivi!$D:$D,2999)))</f>
        <v/>
      </c>
      <c r="D2943" s="29">
        <f>IF($B2943="","",INDEX(Suivi!$E:$E,2999))</f>
        <v/>
      </c>
      <c r="E2943" s="29">
        <f>IF($B2943="","",INDEX(Suivi!$F:$F,2999))</f>
        <v/>
      </c>
      <c r="F2943">
        <f>IF($B2943="","",INDEX(Suivi!$G:$G,2999))</f>
        <v/>
      </c>
      <c r="H2943">
        <f>IF(OR($B2943="",NOT(ISNUMBER($D2943))),"",IF($E2943&lt;$D$2,"Passé",IF($D2943&gt;$F$2,"À venir","Dans la période")))</f>
        <v/>
      </c>
      <c r="I2943">
        <f>IF(OR($B2943="",NOT(ISNUMBER($D2943))),"",IF(AND($E2943&lt;$D$2,$G2943&lt;&gt;"X",$F2943&lt;&gt;"Réalisé",$F2943&lt;&gt;"Clôturé"),"RETARD",""))</f>
        <v/>
      </c>
      <c r="J2943" s="29">
        <f>IF($B2943="","",IF(INDEX(Dossiers!$F$4:$F$63,56)="","",INDEX(Dossiers!$F$4:$F$63,56)))</f>
        <v/>
      </c>
      <c r="K2943" s="29">
        <f>IF($B2943="","",IF(INDEX(Dossiers!$G$4:$G$63,56)="","",INDEX(Dossiers!$G$4:$G$63,56)))</f>
        <v/>
      </c>
    </row>
    <row r="2944">
      <c r="A2944">
        <f>IF($B2944="","",INDEX(Dossiers!$E$4:$E$63,56))</f>
        <v/>
      </c>
      <c r="B2944">
        <f>IF(INDEX(Suivi!$B:$B,3000)="","",INDEX(Suivi!$B:$B,3000))</f>
        <v/>
      </c>
      <c r="C2944">
        <f>IF($B2944="","",IF(INDEX(Suivi!$D:$D,3000)="",INDEX(Suivi!$C:$C,3000),INDEX(Suivi!$D:$D,3000)))</f>
        <v/>
      </c>
      <c r="D2944" s="29">
        <f>IF($B2944="","",INDEX(Suivi!$E:$E,3000))</f>
        <v/>
      </c>
      <c r="E2944" s="29">
        <f>IF($B2944="","",INDEX(Suivi!$F:$F,3000))</f>
        <v/>
      </c>
      <c r="F2944">
        <f>IF($B2944="","",INDEX(Suivi!$G:$G,3000))</f>
        <v/>
      </c>
      <c r="H2944">
        <f>IF(OR($B2944="",NOT(ISNUMBER($D2944))),"",IF($E2944&lt;$D$2,"Passé",IF($D2944&gt;$F$2,"À venir","Dans la période")))</f>
        <v/>
      </c>
      <c r="I2944">
        <f>IF(OR($B2944="",NOT(ISNUMBER($D2944))),"",IF(AND($E2944&lt;$D$2,$G2944&lt;&gt;"X",$F2944&lt;&gt;"Réalisé",$F2944&lt;&gt;"Clôturé"),"RETARD",""))</f>
        <v/>
      </c>
      <c r="J2944" s="29">
        <f>IF($B2944="","",IF(INDEX(Dossiers!$F$4:$F$63,56)="","",INDEX(Dossiers!$F$4:$F$63,56)))</f>
        <v/>
      </c>
      <c r="K2944" s="29">
        <f>IF($B2944="","",IF(INDEX(Dossiers!$G$4:$G$63,56)="","",INDEX(Dossiers!$G$4:$G$63,56)))</f>
        <v/>
      </c>
    </row>
    <row r="2945">
      <c r="A2945">
        <f>IF($B2945="","",INDEX(Dossiers!$E$4:$E$63,56))</f>
        <v/>
      </c>
      <c r="B2945">
        <f>IF(INDEX(Suivi!$B:$B,3001)="","",INDEX(Suivi!$B:$B,3001))</f>
        <v/>
      </c>
      <c r="C2945">
        <f>IF($B2945="","",IF(INDEX(Suivi!$D:$D,3001)="",INDEX(Suivi!$C:$C,3001),INDEX(Suivi!$D:$D,3001)))</f>
        <v/>
      </c>
      <c r="D2945" s="29">
        <f>IF($B2945="","",INDEX(Suivi!$E:$E,3001))</f>
        <v/>
      </c>
      <c r="E2945" s="29">
        <f>IF($B2945="","",INDEX(Suivi!$F:$F,3001))</f>
        <v/>
      </c>
      <c r="F2945">
        <f>IF($B2945="","",INDEX(Suivi!$G:$G,3001))</f>
        <v/>
      </c>
      <c r="H2945">
        <f>IF(OR($B2945="",NOT(ISNUMBER($D2945))),"",IF($E2945&lt;$D$2,"Passé",IF($D2945&gt;$F$2,"À venir","Dans la période")))</f>
        <v/>
      </c>
      <c r="I2945">
        <f>IF(OR($B2945="",NOT(ISNUMBER($D2945))),"",IF(AND($E2945&lt;$D$2,$G2945&lt;&gt;"X",$F2945&lt;&gt;"Réalisé",$F2945&lt;&gt;"Clôturé"),"RETARD",""))</f>
        <v/>
      </c>
      <c r="J2945" s="29">
        <f>IF($B2945="","",IF(INDEX(Dossiers!$F$4:$F$63,56)="","",INDEX(Dossiers!$F$4:$F$63,56)))</f>
        <v/>
      </c>
      <c r="K2945" s="29">
        <f>IF($B2945="","",IF(INDEX(Dossiers!$G$4:$G$63,56)="","",INDEX(Dossiers!$G$4:$G$63,56)))</f>
        <v/>
      </c>
    </row>
    <row r="2946">
      <c r="A2946">
        <f>IF($B2946="","",INDEX(Dossiers!$E$4:$E$63,56))</f>
        <v/>
      </c>
      <c r="B2946">
        <f>IF(INDEX(Suivi!$B:$B,3002)="","",INDEX(Suivi!$B:$B,3002))</f>
        <v/>
      </c>
      <c r="C2946">
        <f>IF($B2946="","",IF(INDEX(Suivi!$D:$D,3002)="",INDEX(Suivi!$C:$C,3002),INDEX(Suivi!$D:$D,3002)))</f>
        <v/>
      </c>
      <c r="D2946" s="29">
        <f>IF($B2946="","",INDEX(Suivi!$E:$E,3002))</f>
        <v/>
      </c>
      <c r="E2946" s="29">
        <f>IF($B2946="","",INDEX(Suivi!$F:$F,3002))</f>
        <v/>
      </c>
      <c r="F2946">
        <f>IF($B2946="","",INDEX(Suivi!$G:$G,3002))</f>
        <v/>
      </c>
      <c r="H2946">
        <f>IF(OR($B2946="",NOT(ISNUMBER($D2946))),"",IF($E2946&lt;$D$2,"Passé",IF($D2946&gt;$F$2,"À venir","Dans la période")))</f>
        <v/>
      </c>
      <c r="I2946">
        <f>IF(OR($B2946="",NOT(ISNUMBER($D2946))),"",IF(AND($E2946&lt;$D$2,$G2946&lt;&gt;"X",$F2946&lt;&gt;"Réalisé",$F2946&lt;&gt;"Clôturé"),"RETARD",""))</f>
        <v/>
      </c>
      <c r="J2946" s="29">
        <f>IF($B2946="","",IF(INDEX(Dossiers!$F$4:$F$63,56)="","",INDEX(Dossiers!$F$4:$F$63,56)))</f>
        <v/>
      </c>
      <c r="K2946" s="29">
        <f>IF($B2946="","",IF(INDEX(Dossiers!$G$4:$G$63,56)="","",INDEX(Dossiers!$G$4:$G$63,56)))</f>
        <v/>
      </c>
    </row>
    <row r="2947">
      <c r="A2947">
        <f>IF($B2947="","",INDEX(Dossiers!$E$4:$E$63,56))</f>
        <v/>
      </c>
      <c r="B2947">
        <f>IF(INDEX(Suivi!$B:$B,3003)="","",INDEX(Suivi!$B:$B,3003))</f>
        <v/>
      </c>
      <c r="C2947">
        <f>IF($B2947="","",IF(INDEX(Suivi!$D:$D,3003)="",INDEX(Suivi!$C:$C,3003),INDEX(Suivi!$D:$D,3003)))</f>
        <v/>
      </c>
      <c r="D2947" s="29">
        <f>IF($B2947="","",INDEX(Suivi!$E:$E,3003))</f>
        <v/>
      </c>
      <c r="E2947" s="29">
        <f>IF($B2947="","",INDEX(Suivi!$F:$F,3003))</f>
        <v/>
      </c>
      <c r="F2947">
        <f>IF($B2947="","",INDEX(Suivi!$G:$G,3003))</f>
        <v/>
      </c>
      <c r="H2947">
        <f>IF(OR($B2947="",NOT(ISNUMBER($D2947))),"",IF($E2947&lt;$D$2,"Passé",IF($D2947&gt;$F$2,"À venir","Dans la période")))</f>
        <v/>
      </c>
      <c r="I2947">
        <f>IF(OR($B2947="",NOT(ISNUMBER($D2947))),"",IF(AND($E2947&lt;$D$2,$G2947&lt;&gt;"X",$F2947&lt;&gt;"Réalisé",$F2947&lt;&gt;"Clôturé"),"RETARD",""))</f>
        <v/>
      </c>
      <c r="J2947" s="29">
        <f>IF($B2947="","",IF(INDEX(Dossiers!$F$4:$F$63,56)="","",INDEX(Dossiers!$F$4:$F$63,56)))</f>
        <v/>
      </c>
      <c r="K2947" s="29">
        <f>IF($B2947="","",IF(INDEX(Dossiers!$G$4:$G$63,56)="","",INDEX(Dossiers!$G$4:$G$63,56)))</f>
        <v/>
      </c>
    </row>
    <row r="2948">
      <c r="A2948">
        <f>IF($B2948="","",INDEX(Dossiers!$E$4:$E$63,56))</f>
        <v/>
      </c>
      <c r="B2948">
        <f>IF(INDEX(Suivi!$B:$B,3004)="","",INDEX(Suivi!$B:$B,3004))</f>
        <v/>
      </c>
      <c r="C2948">
        <f>IF($B2948="","",IF(INDEX(Suivi!$D:$D,3004)="",INDEX(Suivi!$C:$C,3004),INDEX(Suivi!$D:$D,3004)))</f>
        <v/>
      </c>
      <c r="D2948" s="29">
        <f>IF($B2948="","",INDEX(Suivi!$E:$E,3004))</f>
        <v/>
      </c>
      <c r="E2948" s="29">
        <f>IF($B2948="","",INDEX(Suivi!$F:$F,3004))</f>
        <v/>
      </c>
      <c r="F2948">
        <f>IF($B2948="","",INDEX(Suivi!$G:$G,3004))</f>
        <v/>
      </c>
      <c r="H2948">
        <f>IF(OR($B2948="",NOT(ISNUMBER($D2948))),"",IF($E2948&lt;$D$2,"Passé",IF($D2948&gt;$F$2,"À venir","Dans la période")))</f>
        <v/>
      </c>
      <c r="I2948">
        <f>IF(OR($B2948="",NOT(ISNUMBER($D2948))),"",IF(AND($E2948&lt;$D$2,$G2948&lt;&gt;"X",$F2948&lt;&gt;"Réalisé",$F2948&lt;&gt;"Clôturé"),"RETARD",""))</f>
        <v/>
      </c>
      <c r="J2948" s="29">
        <f>IF($B2948="","",IF(INDEX(Dossiers!$F$4:$F$63,56)="","",INDEX(Dossiers!$F$4:$F$63,56)))</f>
        <v/>
      </c>
      <c r="K2948" s="29">
        <f>IF($B2948="","",IF(INDEX(Dossiers!$G$4:$G$63,56)="","",INDEX(Dossiers!$G$4:$G$63,56)))</f>
        <v/>
      </c>
    </row>
    <row r="2949">
      <c r="A2949">
        <f>IF($B2949="","",INDEX(Dossiers!$E$4:$E$63,56))</f>
        <v/>
      </c>
      <c r="B2949">
        <f>IF(INDEX(Suivi!$B:$B,3005)="","",INDEX(Suivi!$B:$B,3005))</f>
        <v/>
      </c>
      <c r="C2949">
        <f>IF($B2949="","",IF(INDEX(Suivi!$D:$D,3005)="",INDEX(Suivi!$C:$C,3005),INDEX(Suivi!$D:$D,3005)))</f>
        <v/>
      </c>
      <c r="D2949" s="29">
        <f>IF($B2949="","",INDEX(Suivi!$E:$E,3005))</f>
        <v/>
      </c>
      <c r="E2949" s="29">
        <f>IF($B2949="","",INDEX(Suivi!$F:$F,3005))</f>
        <v/>
      </c>
      <c r="F2949">
        <f>IF($B2949="","",INDEX(Suivi!$G:$G,3005))</f>
        <v/>
      </c>
      <c r="H2949">
        <f>IF(OR($B2949="",NOT(ISNUMBER($D2949))),"",IF($E2949&lt;$D$2,"Passé",IF($D2949&gt;$F$2,"À venir","Dans la période")))</f>
        <v/>
      </c>
      <c r="I2949">
        <f>IF(OR($B2949="",NOT(ISNUMBER($D2949))),"",IF(AND($E2949&lt;$D$2,$G2949&lt;&gt;"X",$F2949&lt;&gt;"Réalisé",$F2949&lt;&gt;"Clôturé"),"RETARD",""))</f>
        <v/>
      </c>
      <c r="J2949" s="29">
        <f>IF($B2949="","",IF(INDEX(Dossiers!$F$4:$F$63,56)="","",INDEX(Dossiers!$F$4:$F$63,56)))</f>
        <v/>
      </c>
      <c r="K2949" s="29">
        <f>IF($B2949="","",IF(INDEX(Dossiers!$G$4:$G$63,56)="","",INDEX(Dossiers!$G$4:$G$63,56)))</f>
        <v/>
      </c>
    </row>
    <row r="2950">
      <c r="A2950">
        <f>IF($B2950="","",INDEX(Dossiers!$E$4:$E$63,56))</f>
        <v/>
      </c>
      <c r="B2950">
        <f>IF(INDEX(Suivi!$B:$B,3006)="","",INDEX(Suivi!$B:$B,3006))</f>
        <v/>
      </c>
      <c r="C2950">
        <f>IF($B2950="","",IF(INDEX(Suivi!$D:$D,3006)="",INDEX(Suivi!$C:$C,3006),INDEX(Suivi!$D:$D,3006)))</f>
        <v/>
      </c>
      <c r="D2950" s="29">
        <f>IF($B2950="","",INDEX(Suivi!$E:$E,3006))</f>
        <v/>
      </c>
      <c r="E2950" s="29">
        <f>IF($B2950="","",INDEX(Suivi!$F:$F,3006))</f>
        <v/>
      </c>
      <c r="F2950">
        <f>IF($B2950="","",INDEX(Suivi!$G:$G,3006))</f>
        <v/>
      </c>
      <c r="H2950">
        <f>IF(OR($B2950="",NOT(ISNUMBER($D2950))),"",IF($E2950&lt;$D$2,"Passé",IF($D2950&gt;$F$2,"À venir","Dans la période")))</f>
        <v/>
      </c>
      <c r="I2950">
        <f>IF(OR($B2950="",NOT(ISNUMBER($D2950))),"",IF(AND($E2950&lt;$D$2,$G2950&lt;&gt;"X",$F2950&lt;&gt;"Réalisé",$F2950&lt;&gt;"Clôturé"),"RETARD",""))</f>
        <v/>
      </c>
      <c r="J2950" s="29">
        <f>IF($B2950="","",IF(INDEX(Dossiers!$F$4:$F$63,56)="","",INDEX(Dossiers!$F$4:$F$63,56)))</f>
        <v/>
      </c>
      <c r="K2950" s="29">
        <f>IF($B2950="","",IF(INDEX(Dossiers!$G$4:$G$63,56)="","",INDEX(Dossiers!$G$4:$G$63,56)))</f>
        <v/>
      </c>
    </row>
    <row r="2951">
      <c r="A2951">
        <f>IF($B2951="","",INDEX(Dossiers!$E$4:$E$63,56))</f>
        <v/>
      </c>
      <c r="B2951">
        <f>IF(INDEX(Suivi!$B:$B,3007)="","",INDEX(Suivi!$B:$B,3007))</f>
        <v/>
      </c>
      <c r="C2951">
        <f>IF($B2951="","",IF(INDEX(Suivi!$D:$D,3007)="",INDEX(Suivi!$C:$C,3007),INDEX(Suivi!$D:$D,3007)))</f>
        <v/>
      </c>
      <c r="D2951" s="29">
        <f>IF($B2951="","",INDEX(Suivi!$E:$E,3007))</f>
        <v/>
      </c>
      <c r="E2951" s="29">
        <f>IF($B2951="","",INDEX(Suivi!$F:$F,3007))</f>
        <v/>
      </c>
      <c r="F2951">
        <f>IF($B2951="","",INDEX(Suivi!$G:$G,3007))</f>
        <v/>
      </c>
      <c r="H2951">
        <f>IF(OR($B2951="",NOT(ISNUMBER($D2951))),"",IF($E2951&lt;$D$2,"Passé",IF($D2951&gt;$F$2,"À venir","Dans la période")))</f>
        <v/>
      </c>
      <c r="I2951">
        <f>IF(OR($B2951="",NOT(ISNUMBER($D2951))),"",IF(AND($E2951&lt;$D$2,$G2951&lt;&gt;"X",$F2951&lt;&gt;"Réalisé",$F2951&lt;&gt;"Clôturé"),"RETARD",""))</f>
        <v/>
      </c>
      <c r="J2951" s="29">
        <f>IF($B2951="","",IF(INDEX(Dossiers!$F$4:$F$63,56)="","",INDEX(Dossiers!$F$4:$F$63,56)))</f>
        <v/>
      </c>
      <c r="K2951" s="29">
        <f>IF($B2951="","",IF(INDEX(Dossiers!$G$4:$G$63,56)="","",INDEX(Dossiers!$G$4:$G$63,56)))</f>
        <v/>
      </c>
    </row>
    <row r="2952">
      <c r="A2952">
        <f>IF($B2952="","",INDEX(Dossiers!$E$4:$E$63,56))</f>
        <v/>
      </c>
      <c r="B2952">
        <f>IF(INDEX(Suivi!$B:$B,3008)="","",INDEX(Suivi!$B:$B,3008))</f>
        <v/>
      </c>
      <c r="C2952">
        <f>IF($B2952="","",IF(INDEX(Suivi!$D:$D,3008)="",INDEX(Suivi!$C:$C,3008),INDEX(Suivi!$D:$D,3008)))</f>
        <v/>
      </c>
      <c r="D2952" s="29">
        <f>IF($B2952="","",INDEX(Suivi!$E:$E,3008))</f>
        <v/>
      </c>
      <c r="E2952" s="29">
        <f>IF($B2952="","",INDEX(Suivi!$F:$F,3008))</f>
        <v/>
      </c>
      <c r="F2952">
        <f>IF($B2952="","",INDEX(Suivi!$G:$G,3008))</f>
        <v/>
      </c>
      <c r="H2952">
        <f>IF(OR($B2952="",NOT(ISNUMBER($D2952))),"",IF($E2952&lt;$D$2,"Passé",IF($D2952&gt;$F$2,"À venir","Dans la période")))</f>
        <v/>
      </c>
      <c r="I2952">
        <f>IF(OR($B2952="",NOT(ISNUMBER($D2952))),"",IF(AND($E2952&lt;$D$2,$G2952&lt;&gt;"X",$F2952&lt;&gt;"Réalisé",$F2952&lt;&gt;"Clôturé"),"RETARD",""))</f>
        <v/>
      </c>
      <c r="J2952" s="29">
        <f>IF($B2952="","",IF(INDEX(Dossiers!$F$4:$F$63,56)="","",INDEX(Dossiers!$F$4:$F$63,56)))</f>
        <v/>
      </c>
      <c r="K2952" s="29">
        <f>IF($B2952="","",IF(INDEX(Dossiers!$G$4:$G$63,56)="","",INDEX(Dossiers!$G$4:$G$63,56)))</f>
        <v/>
      </c>
    </row>
    <row r="2953">
      <c r="A2953">
        <f>IF($B2953="","",INDEX(Dossiers!$E$4:$E$63,56))</f>
        <v/>
      </c>
      <c r="B2953">
        <f>IF(INDEX(Suivi!$B:$B,3009)="","",INDEX(Suivi!$B:$B,3009))</f>
        <v/>
      </c>
      <c r="C2953">
        <f>IF($B2953="","",IF(INDEX(Suivi!$D:$D,3009)="",INDEX(Suivi!$C:$C,3009),INDEX(Suivi!$D:$D,3009)))</f>
        <v/>
      </c>
      <c r="D2953" s="29">
        <f>IF($B2953="","",INDEX(Suivi!$E:$E,3009))</f>
        <v/>
      </c>
      <c r="E2953" s="29">
        <f>IF($B2953="","",INDEX(Suivi!$F:$F,3009))</f>
        <v/>
      </c>
      <c r="F2953">
        <f>IF($B2953="","",INDEX(Suivi!$G:$G,3009))</f>
        <v/>
      </c>
      <c r="H2953">
        <f>IF(OR($B2953="",NOT(ISNUMBER($D2953))),"",IF($E2953&lt;$D$2,"Passé",IF($D2953&gt;$F$2,"À venir","Dans la période")))</f>
        <v/>
      </c>
      <c r="I2953">
        <f>IF(OR($B2953="",NOT(ISNUMBER($D2953))),"",IF(AND($E2953&lt;$D$2,$G2953&lt;&gt;"X",$F2953&lt;&gt;"Réalisé",$F2953&lt;&gt;"Clôturé"),"RETARD",""))</f>
        <v/>
      </c>
      <c r="J2953" s="29">
        <f>IF($B2953="","",IF(INDEX(Dossiers!$F$4:$F$63,56)="","",INDEX(Dossiers!$F$4:$F$63,56)))</f>
        <v/>
      </c>
      <c r="K2953" s="29">
        <f>IF($B2953="","",IF(INDEX(Dossiers!$G$4:$G$63,56)="","",INDEX(Dossiers!$G$4:$G$63,56)))</f>
        <v/>
      </c>
    </row>
    <row r="2954">
      <c r="A2954">
        <f>IF($B2954="","",INDEX(Dossiers!$E$4:$E$63,56))</f>
        <v/>
      </c>
      <c r="B2954">
        <f>IF(INDEX(Suivi!$B:$B,3010)="","",INDEX(Suivi!$B:$B,3010))</f>
        <v/>
      </c>
      <c r="C2954">
        <f>IF($B2954="","",IF(INDEX(Suivi!$D:$D,3010)="",INDEX(Suivi!$C:$C,3010),INDEX(Suivi!$D:$D,3010)))</f>
        <v/>
      </c>
      <c r="D2954" s="29">
        <f>IF($B2954="","",INDEX(Suivi!$E:$E,3010))</f>
        <v/>
      </c>
      <c r="E2954" s="29">
        <f>IF($B2954="","",INDEX(Suivi!$F:$F,3010))</f>
        <v/>
      </c>
      <c r="F2954">
        <f>IF($B2954="","",INDEX(Suivi!$G:$G,3010))</f>
        <v/>
      </c>
      <c r="H2954">
        <f>IF(OR($B2954="",NOT(ISNUMBER($D2954))),"",IF($E2954&lt;$D$2,"Passé",IF($D2954&gt;$F$2,"À venir","Dans la période")))</f>
        <v/>
      </c>
      <c r="I2954">
        <f>IF(OR($B2954="",NOT(ISNUMBER($D2954))),"",IF(AND($E2954&lt;$D$2,$G2954&lt;&gt;"X",$F2954&lt;&gt;"Réalisé",$F2954&lt;&gt;"Clôturé"),"RETARD",""))</f>
        <v/>
      </c>
      <c r="J2954" s="29">
        <f>IF($B2954="","",IF(INDEX(Dossiers!$F$4:$F$63,56)="","",INDEX(Dossiers!$F$4:$F$63,56)))</f>
        <v/>
      </c>
      <c r="K2954" s="29">
        <f>IF($B2954="","",IF(INDEX(Dossiers!$G$4:$G$63,56)="","",INDEX(Dossiers!$G$4:$G$63,56)))</f>
        <v/>
      </c>
    </row>
    <row r="2955">
      <c r="A2955">
        <f>IF($B2955="","",INDEX(Dossiers!$E$4:$E$63,56))</f>
        <v/>
      </c>
      <c r="B2955">
        <f>IF(INDEX(Suivi!$B:$B,3011)="","",INDEX(Suivi!$B:$B,3011))</f>
        <v/>
      </c>
      <c r="C2955">
        <f>IF($B2955="","",IF(INDEX(Suivi!$D:$D,3011)="",INDEX(Suivi!$C:$C,3011),INDEX(Suivi!$D:$D,3011)))</f>
        <v/>
      </c>
      <c r="D2955" s="29">
        <f>IF($B2955="","",INDEX(Suivi!$E:$E,3011))</f>
        <v/>
      </c>
      <c r="E2955" s="29">
        <f>IF($B2955="","",INDEX(Suivi!$F:$F,3011))</f>
        <v/>
      </c>
      <c r="F2955">
        <f>IF($B2955="","",INDEX(Suivi!$G:$G,3011))</f>
        <v/>
      </c>
      <c r="H2955">
        <f>IF(OR($B2955="",NOT(ISNUMBER($D2955))),"",IF($E2955&lt;$D$2,"Passé",IF($D2955&gt;$F$2,"À venir","Dans la période")))</f>
        <v/>
      </c>
      <c r="I2955">
        <f>IF(OR($B2955="",NOT(ISNUMBER($D2955))),"",IF(AND($E2955&lt;$D$2,$G2955&lt;&gt;"X",$F2955&lt;&gt;"Réalisé",$F2955&lt;&gt;"Clôturé"),"RETARD",""))</f>
        <v/>
      </c>
      <c r="J2955" s="29">
        <f>IF($B2955="","",IF(INDEX(Dossiers!$F$4:$F$63,56)="","",INDEX(Dossiers!$F$4:$F$63,56)))</f>
        <v/>
      </c>
      <c r="K2955" s="29">
        <f>IF($B2955="","",IF(INDEX(Dossiers!$G$4:$G$63,56)="","",INDEX(Dossiers!$G$4:$G$63,56)))</f>
        <v/>
      </c>
    </row>
    <row r="2956">
      <c r="A2956">
        <f>IF($B2956="","",INDEX(Dossiers!$E$4:$E$63,56))</f>
        <v/>
      </c>
      <c r="B2956">
        <f>IF(INDEX(Suivi!$B:$B,3012)="","",INDEX(Suivi!$B:$B,3012))</f>
        <v/>
      </c>
      <c r="C2956">
        <f>IF($B2956="","",IF(INDEX(Suivi!$D:$D,3012)="",INDEX(Suivi!$C:$C,3012),INDEX(Suivi!$D:$D,3012)))</f>
        <v/>
      </c>
      <c r="D2956" s="29">
        <f>IF($B2956="","",INDEX(Suivi!$E:$E,3012))</f>
        <v/>
      </c>
      <c r="E2956" s="29">
        <f>IF($B2956="","",INDEX(Suivi!$F:$F,3012))</f>
        <v/>
      </c>
      <c r="F2956">
        <f>IF($B2956="","",INDEX(Suivi!$G:$G,3012))</f>
        <v/>
      </c>
      <c r="H2956">
        <f>IF(OR($B2956="",NOT(ISNUMBER($D2956))),"",IF($E2956&lt;$D$2,"Passé",IF($D2956&gt;$F$2,"À venir","Dans la période")))</f>
        <v/>
      </c>
      <c r="I2956">
        <f>IF(OR($B2956="",NOT(ISNUMBER($D2956))),"",IF(AND($E2956&lt;$D$2,$G2956&lt;&gt;"X",$F2956&lt;&gt;"Réalisé",$F2956&lt;&gt;"Clôturé"),"RETARD",""))</f>
        <v/>
      </c>
      <c r="J2956" s="29">
        <f>IF($B2956="","",IF(INDEX(Dossiers!$F$4:$F$63,56)="","",INDEX(Dossiers!$F$4:$F$63,56)))</f>
        <v/>
      </c>
      <c r="K2956" s="29">
        <f>IF($B2956="","",IF(INDEX(Dossiers!$G$4:$G$63,56)="","",INDEX(Dossiers!$G$4:$G$63,56)))</f>
        <v/>
      </c>
    </row>
    <row r="2957">
      <c r="A2957">
        <f>IF($B2957="","",INDEX(Dossiers!$E$4:$E$63,56))</f>
        <v/>
      </c>
      <c r="B2957">
        <f>IF(INDEX(Suivi!$B:$B,3013)="","",INDEX(Suivi!$B:$B,3013))</f>
        <v/>
      </c>
      <c r="C2957">
        <f>IF($B2957="","",IF(INDEX(Suivi!$D:$D,3013)="",INDEX(Suivi!$C:$C,3013),INDEX(Suivi!$D:$D,3013)))</f>
        <v/>
      </c>
      <c r="D2957" s="29">
        <f>IF($B2957="","",INDEX(Suivi!$E:$E,3013))</f>
        <v/>
      </c>
      <c r="E2957" s="29">
        <f>IF($B2957="","",INDEX(Suivi!$F:$F,3013))</f>
        <v/>
      </c>
      <c r="F2957">
        <f>IF($B2957="","",INDEX(Suivi!$G:$G,3013))</f>
        <v/>
      </c>
      <c r="H2957">
        <f>IF(OR($B2957="",NOT(ISNUMBER($D2957))),"",IF($E2957&lt;$D$2,"Passé",IF($D2957&gt;$F$2,"À venir","Dans la période")))</f>
        <v/>
      </c>
      <c r="I2957">
        <f>IF(OR($B2957="",NOT(ISNUMBER($D2957))),"",IF(AND($E2957&lt;$D$2,$G2957&lt;&gt;"X",$F2957&lt;&gt;"Réalisé",$F2957&lt;&gt;"Clôturé"),"RETARD",""))</f>
        <v/>
      </c>
      <c r="J2957" s="29">
        <f>IF($B2957="","",IF(INDEX(Dossiers!$F$4:$F$63,56)="","",INDEX(Dossiers!$F$4:$F$63,56)))</f>
        <v/>
      </c>
      <c r="K2957" s="29">
        <f>IF($B2957="","",IF(INDEX(Dossiers!$G$4:$G$63,56)="","",INDEX(Dossiers!$G$4:$G$63,56)))</f>
        <v/>
      </c>
    </row>
    <row r="2958">
      <c r="A2958">
        <f>IF($B2958="","",INDEX(Dossiers!$E$4:$E$63,56))</f>
        <v/>
      </c>
      <c r="B2958">
        <f>IF(INDEX(Suivi!$B:$B,3014)="","",INDEX(Suivi!$B:$B,3014))</f>
        <v/>
      </c>
      <c r="C2958">
        <f>IF($B2958="","",IF(INDEX(Suivi!$D:$D,3014)="",INDEX(Suivi!$C:$C,3014),INDEX(Suivi!$D:$D,3014)))</f>
        <v/>
      </c>
      <c r="D2958" s="29">
        <f>IF($B2958="","",INDEX(Suivi!$E:$E,3014))</f>
        <v/>
      </c>
      <c r="E2958" s="29">
        <f>IF($B2958="","",INDEX(Suivi!$F:$F,3014))</f>
        <v/>
      </c>
      <c r="F2958">
        <f>IF($B2958="","",INDEX(Suivi!$G:$G,3014))</f>
        <v/>
      </c>
      <c r="H2958">
        <f>IF(OR($B2958="",NOT(ISNUMBER($D2958))),"",IF($E2958&lt;$D$2,"Passé",IF($D2958&gt;$F$2,"À venir","Dans la période")))</f>
        <v/>
      </c>
      <c r="I2958">
        <f>IF(OR($B2958="",NOT(ISNUMBER($D2958))),"",IF(AND($E2958&lt;$D$2,$G2958&lt;&gt;"X",$F2958&lt;&gt;"Réalisé",$F2958&lt;&gt;"Clôturé"),"RETARD",""))</f>
        <v/>
      </c>
      <c r="J2958" s="29">
        <f>IF($B2958="","",IF(INDEX(Dossiers!$F$4:$F$63,56)="","",INDEX(Dossiers!$F$4:$F$63,56)))</f>
        <v/>
      </c>
      <c r="K2958" s="29">
        <f>IF($B2958="","",IF(INDEX(Dossiers!$G$4:$G$63,56)="","",INDEX(Dossiers!$G$4:$G$63,56)))</f>
        <v/>
      </c>
    </row>
    <row r="2959">
      <c r="A2959">
        <f>IF($B2959="","",INDEX(Dossiers!$E$4:$E$63,56))</f>
        <v/>
      </c>
      <c r="B2959">
        <f>IF(INDEX(Suivi!$B:$B,3015)="","",INDEX(Suivi!$B:$B,3015))</f>
        <v/>
      </c>
      <c r="C2959">
        <f>IF($B2959="","",IF(INDEX(Suivi!$D:$D,3015)="",INDEX(Suivi!$C:$C,3015),INDEX(Suivi!$D:$D,3015)))</f>
        <v/>
      </c>
      <c r="D2959" s="29">
        <f>IF($B2959="","",INDEX(Suivi!$E:$E,3015))</f>
        <v/>
      </c>
      <c r="E2959" s="29">
        <f>IF($B2959="","",INDEX(Suivi!$F:$F,3015))</f>
        <v/>
      </c>
      <c r="F2959">
        <f>IF($B2959="","",INDEX(Suivi!$G:$G,3015))</f>
        <v/>
      </c>
      <c r="H2959">
        <f>IF(OR($B2959="",NOT(ISNUMBER($D2959))),"",IF($E2959&lt;$D$2,"Passé",IF($D2959&gt;$F$2,"À venir","Dans la période")))</f>
        <v/>
      </c>
      <c r="I2959">
        <f>IF(OR($B2959="",NOT(ISNUMBER($D2959))),"",IF(AND($E2959&lt;$D$2,$G2959&lt;&gt;"X",$F2959&lt;&gt;"Réalisé",$F2959&lt;&gt;"Clôturé"),"RETARD",""))</f>
        <v/>
      </c>
      <c r="J2959" s="29">
        <f>IF($B2959="","",IF(INDEX(Dossiers!$F$4:$F$63,56)="","",INDEX(Dossiers!$F$4:$F$63,56)))</f>
        <v/>
      </c>
      <c r="K2959" s="29">
        <f>IF($B2959="","",IF(INDEX(Dossiers!$G$4:$G$63,56)="","",INDEX(Dossiers!$G$4:$G$63,56)))</f>
        <v/>
      </c>
    </row>
    <row r="2960">
      <c r="A2960">
        <f>IF($B2960="","",INDEX(Dossiers!$E$4:$E$63,56))</f>
        <v/>
      </c>
      <c r="B2960">
        <f>IF(INDEX(Suivi!$B:$B,3016)="","",INDEX(Suivi!$B:$B,3016))</f>
        <v/>
      </c>
      <c r="C2960">
        <f>IF($B2960="","",IF(INDEX(Suivi!$D:$D,3016)="",INDEX(Suivi!$C:$C,3016),INDEX(Suivi!$D:$D,3016)))</f>
        <v/>
      </c>
      <c r="D2960" s="29">
        <f>IF($B2960="","",INDEX(Suivi!$E:$E,3016))</f>
        <v/>
      </c>
      <c r="E2960" s="29">
        <f>IF($B2960="","",INDEX(Suivi!$F:$F,3016))</f>
        <v/>
      </c>
      <c r="F2960">
        <f>IF($B2960="","",INDEX(Suivi!$G:$G,3016))</f>
        <v/>
      </c>
      <c r="H2960">
        <f>IF(OR($B2960="",NOT(ISNUMBER($D2960))),"",IF($E2960&lt;$D$2,"Passé",IF($D2960&gt;$F$2,"À venir","Dans la période")))</f>
        <v/>
      </c>
      <c r="I2960">
        <f>IF(OR($B2960="",NOT(ISNUMBER($D2960))),"",IF(AND($E2960&lt;$D$2,$G2960&lt;&gt;"X",$F2960&lt;&gt;"Réalisé",$F2960&lt;&gt;"Clôturé"),"RETARD",""))</f>
        <v/>
      </c>
      <c r="J2960" s="29">
        <f>IF($B2960="","",IF(INDEX(Dossiers!$F$4:$F$63,56)="","",INDEX(Dossiers!$F$4:$F$63,56)))</f>
        <v/>
      </c>
      <c r="K2960" s="29">
        <f>IF($B2960="","",IF(INDEX(Dossiers!$G$4:$G$63,56)="","",INDEX(Dossiers!$G$4:$G$63,56)))</f>
        <v/>
      </c>
    </row>
    <row r="2961">
      <c r="A2961">
        <f>IF($B2961="","",INDEX(Dossiers!$E$4:$E$63,56))</f>
        <v/>
      </c>
      <c r="B2961">
        <f>IF(INDEX(Suivi!$B:$B,3017)="","",INDEX(Suivi!$B:$B,3017))</f>
        <v/>
      </c>
      <c r="C2961">
        <f>IF($B2961="","",IF(INDEX(Suivi!$D:$D,3017)="",INDEX(Suivi!$C:$C,3017),INDEX(Suivi!$D:$D,3017)))</f>
        <v/>
      </c>
      <c r="D2961" s="29">
        <f>IF($B2961="","",INDEX(Suivi!$E:$E,3017))</f>
        <v/>
      </c>
      <c r="E2961" s="29">
        <f>IF($B2961="","",INDEX(Suivi!$F:$F,3017))</f>
        <v/>
      </c>
      <c r="F2961">
        <f>IF($B2961="","",INDEX(Suivi!$G:$G,3017))</f>
        <v/>
      </c>
      <c r="H2961">
        <f>IF(OR($B2961="",NOT(ISNUMBER($D2961))),"",IF($E2961&lt;$D$2,"Passé",IF($D2961&gt;$F$2,"À venir","Dans la période")))</f>
        <v/>
      </c>
      <c r="I2961">
        <f>IF(OR($B2961="",NOT(ISNUMBER($D2961))),"",IF(AND($E2961&lt;$D$2,$G2961&lt;&gt;"X",$F2961&lt;&gt;"Réalisé",$F2961&lt;&gt;"Clôturé"),"RETARD",""))</f>
        <v/>
      </c>
      <c r="J2961" s="29">
        <f>IF($B2961="","",IF(INDEX(Dossiers!$F$4:$F$63,56)="","",INDEX(Dossiers!$F$4:$F$63,56)))</f>
        <v/>
      </c>
      <c r="K2961" s="29">
        <f>IF($B2961="","",IF(INDEX(Dossiers!$G$4:$G$63,56)="","",INDEX(Dossiers!$G$4:$G$63,56)))</f>
        <v/>
      </c>
    </row>
    <row r="2962">
      <c r="A2962">
        <f>IF($B2962="","",INDEX(Dossiers!$E$4:$E$63,56))</f>
        <v/>
      </c>
      <c r="B2962">
        <f>IF(INDEX(Suivi!$B:$B,3018)="","",INDEX(Suivi!$B:$B,3018))</f>
        <v/>
      </c>
      <c r="C2962">
        <f>IF($B2962="","",IF(INDEX(Suivi!$D:$D,3018)="",INDEX(Suivi!$C:$C,3018),INDEX(Suivi!$D:$D,3018)))</f>
        <v/>
      </c>
      <c r="D2962" s="29">
        <f>IF($B2962="","",INDEX(Suivi!$E:$E,3018))</f>
        <v/>
      </c>
      <c r="E2962" s="29">
        <f>IF($B2962="","",INDEX(Suivi!$F:$F,3018))</f>
        <v/>
      </c>
      <c r="F2962">
        <f>IF($B2962="","",INDEX(Suivi!$G:$G,3018))</f>
        <v/>
      </c>
      <c r="H2962">
        <f>IF(OR($B2962="",NOT(ISNUMBER($D2962))),"",IF($E2962&lt;$D$2,"Passé",IF($D2962&gt;$F$2,"À venir","Dans la période")))</f>
        <v/>
      </c>
      <c r="I2962">
        <f>IF(OR($B2962="",NOT(ISNUMBER($D2962))),"",IF(AND($E2962&lt;$D$2,$G2962&lt;&gt;"X",$F2962&lt;&gt;"Réalisé",$F2962&lt;&gt;"Clôturé"),"RETARD",""))</f>
        <v/>
      </c>
      <c r="J2962" s="29">
        <f>IF($B2962="","",IF(INDEX(Dossiers!$F$4:$F$63,56)="","",INDEX(Dossiers!$F$4:$F$63,56)))</f>
        <v/>
      </c>
      <c r="K2962" s="29">
        <f>IF($B2962="","",IF(INDEX(Dossiers!$G$4:$G$63,56)="","",INDEX(Dossiers!$G$4:$G$63,56)))</f>
        <v/>
      </c>
    </row>
    <row r="2963">
      <c r="A2963">
        <f>IF($B2963="","",INDEX(Dossiers!$E$4:$E$63,56))</f>
        <v/>
      </c>
      <c r="B2963">
        <f>IF(INDEX(Suivi!$B:$B,3019)="","",INDEX(Suivi!$B:$B,3019))</f>
        <v/>
      </c>
      <c r="C2963">
        <f>IF($B2963="","",IF(INDEX(Suivi!$D:$D,3019)="",INDEX(Suivi!$C:$C,3019),INDEX(Suivi!$D:$D,3019)))</f>
        <v/>
      </c>
      <c r="D2963" s="29">
        <f>IF($B2963="","",INDEX(Suivi!$E:$E,3019))</f>
        <v/>
      </c>
      <c r="E2963" s="29">
        <f>IF($B2963="","",INDEX(Suivi!$F:$F,3019))</f>
        <v/>
      </c>
      <c r="F2963">
        <f>IF($B2963="","",INDEX(Suivi!$G:$G,3019))</f>
        <v/>
      </c>
      <c r="H2963">
        <f>IF(OR($B2963="",NOT(ISNUMBER($D2963))),"",IF($E2963&lt;$D$2,"Passé",IF($D2963&gt;$F$2,"À venir","Dans la période")))</f>
        <v/>
      </c>
      <c r="I2963">
        <f>IF(OR($B2963="",NOT(ISNUMBER($D2963))),"",IF(AND($E2963&lt;$D$2,$G2963&lt;&gt;"X",$F2963&lt;&gt;"Réalisé",$F2963&lt;&gt;"Clôturé"),"RETARD",""))</f>
        <v/>
      </c>
      <c r="J2963" s="29">
        <f>IF($B2963="","",IF(INDEX(Dossiers!$F$4:$F$63,56)="","",INDEX(Dossiers!$F$4:$F$63,56)))</f>
        <v/>
      </c>
      <c r="K2963" s="29">
        <f>IF($B2963="","",IF(INDEX(Dossiers!$G$4:$G$63,56)="","",INDEX(Dossiers!$G$4:$G$63,56)))</f>
        <v/>
      </c>
    </row>
    <row r="2964">
      <c r="A2964">
        <f>IF($B2964="","",INDEX(Dossiers!$E$4:$E$63,56))</f>
        <v/>
      </c>
      <c r="B2964">
        <f>IF(INDEX(Suivi!$B:$B,3020)="","",INDEX(Suivi!$B:$B,3020))</f>
        <v/>
      </c>
      <c r="C2964">
        <f>IF($B2964="","",IF(INDEX(Suivi!$D:$D,3020)="",INDEX(Suivi!$C:$C,3020),INDEX(Suivi!$D:$D,3020)))</f>
        <v/>
      </c>
      <c r="D2964" s="29">
        <f>IF($B2964="","",INDEX(Suivi!$E:$E,3020))</f>
        <v/>
      </c>
      <c r="E2964" s="29">
        <f>IF($B2964="","",INDEX(Suivi!$F:$F,3020))</f>
        <v/>
      </c>
      <c r="F2964">
        <f>IF($B2964="","",INDEX(Suivi!$G:$G,3020))</f>
        <v/>
      </c>
      <c r="H2964">
        <f>IF(OR($B2964="",NOT(ISNUMBER($D2964))),"",IF($E2964&lt;$D$2,"Passé",IF($D2964&gt;$F$2,"À venir","Dans la période")))</f>
        <v/>
      </c>
      <c r="I2964">
        <f>IF(OR($B2964="",NOT(ISNUMBER($D2964))),"",IF(AND($E2964&lt;$D$2,$G2964&lt;&gt;"X",$F2964&lt;&gt;"Réalisé",$F2964&lt;&gt;"Clôturé"),"RETARD",""))</f>
        <v/>
      </c>
      <c r="J2964" s="29">
        <f>IF($B2964="","",IF(INDEX(Dossiers!$F$4:$F$63,56)="","",INDEX(Dossiers!$F$4:$F$63,56)))</f>
        <v/>
      </c>
      <c r="K2964" s="29">
        <f>IF($B2964="","",IF(INDEX(Dossiers!$G$4:$G$63,56)="","",INDEX(Dossiers!$G$4:$G$63,56)))</f>
        <v/>
      </c>
    </row>
    <row r="2965">
      <c r="A2965">
        <f>IF($B2965="","",INDEX(Dossiers!$E$4:$E$63,56))</f>
        <v/>
      </c>
      <c r="B2965">
        <f>IF(INDEX(Suivi!$B:$B,3021)="","",INDEX(Suivi!$B:$B,3021))</f>
        <v/>
      </c>
      <c r="C2965">
        <f>IF($B2965="","",IF(INDEX(Suivi!$D:$D,3021)="",INDEX(Suivi!$C:$C,3021),INDEX(Suivi!$D:$D,3021)))</f>
        <v/>
      </c>
      <c r="D2965" s="29">
        <f>IF($B2965="","",INDEX(Suivi!$E:$E,3021))</f>
        <v/>
      </c>
      <c r="E2965" s="29">
        <f>IF($B2965="","",INDEX(Suivi!$F:$F,3021))</f>
        <v/>
      </c>
      <c r="F2965">
        <f>IF($B2965="","",INDEX(Suivi!$G:$G,3021))</f>
        <v/>
      </c>
      <c r="H2965">
        <f>IF(OR($B2965="",NOT(ISNUMBER($D2965))),"",IF($E2965&lt;$D$2,"Passé",IF($D2965&gt;$F$2,"À venir","Dans la période")))</f>
        <v/>
      </c>
      <c r="I2965">
        <f>IF(OR($B2965="",NOT(ISNUMBER($D2965))),"",IF(AND($E2965&lt;$D$2,$G2965&lt;&gt;"X",$F2965&lt;&gt;"Réalisé",$F2965&lt;&gt;"Clôturé"),"RETARD",""))</f>
        <v/>
      </c>
      <c r="J2965" s="29">
        <f>IF($B2965="","",IF(INDEX(Dossiers!$F$4:$F$63,56)="","",INDEX(Dossiers!$F$4:$F$63,56)))</f>
        <v/>
      </c>
      <c r="K2965" s="29">
        <f>IF($B2965="","",IF(INDEX(Dossiers!$G$4:$G$63,56)="","",INDEX(Dossiers!$G$4:$G$63,56)))</f>
        <v/>
      </c>
    </row>
    <row r="2966">
      <c r="A2966">
        <f>IF($B2966="","",INDEX(Dossiers!$E$4:$E$63,56))</f>
        <v/>
      </c>
      <c r="B2966">
        <f>IF(INDEX(Suivi!$B:$B,3022)="","",INDEX(Suivi!$B:$B,3022))</f>
        <v/>
      </c>
      <c r="C2966">
        <f>IF($B2966="","",IF(INDEX(Suivi!$D:$D,3022)="",INDEX(Suivi!$C:$C,3022),INDEX(Suivi!$D:$D,3022)))</f>
        <v/>
      </c>
      <c r="D2966" s="29">
        <f>IF($B2966="","",INDEX(Suivi!$E:$E,3022))</f>
        <v/>
      </c>
      <c r="E2966" s="29">
        <f>IF($B2966="","",INDEX(Suivi!$F:$F,3022))</f>
        <v/>
      </c>
      <c r="F2966">
        <f>IF($B2966="","",INDEX(Suivi!$G:$G,3022))</f>
        <v/>
      </c>
      <c r="H2966">
        <f>IF(OR($B2966="",NOT(ISNUMBER($D2966))),"",IF($E2966&lt;$D$2,"Passé",IF($D2966&gt;$F$2,"À venir","Dans la période")))</f>
        <v/>
      </c>
      <c r="I2966">
        <f>IF(OR($B2966="",NOT(ISNUMBER($D2966))),"",IF(AND($E2966&lt;$D$2,$G2966&lt;&gt;"X",$F2966&lt;&gt;"Réalisé",$F2966&lt;&gt;"Clôturé"),"RETARD",""))</f>
        <v/>
      </c>
      <c r="J2966" s="29">
        <f>IF($B2966="","",IF(INDEX(Dossiers!$F$4:$F$63,56)="","",INDEX(Dossiers!$F$4:$F$63,56)))</f>
        <v/>
      </c>
      <c r="K2966" s="29">
        <f>IF($B2966="","",IF(INDEX(Dossiers!$G$4:$G$63,56)="","",INDEX(Dossiers!$G$4:$G$63,56)))</f>
        <v/>
      </c>
    </row>
    <row r="2967">
      <c r="A2967">
        <f>IF($B2967="","",INDEX(Dossiers!$E$4:$E$63,56))</f>
        <v/>
      </c>
      <c r="B2967">
        <f>IF(INDEX(Suivi!$B:$B,3023)="","",INDEX(Suivi!$B:$B,3023))</f>
        <v/>
      </c>
      <c r="C2967">
        <f>IF($B2967="","",IF(INDEX(Suivi!$D:$D,3023)="",INDEX(Suivi!$C:$C,3023),INDEX(Suivi!$D:$D,3023)))</f>
        <v/>
      </c>
      <c r="D2967" s="29">
        <f>IF($B2967="","",INDEX(Suivi!$E:$E,3023))</f>
        <v/>
      </c>
      <c r="E2967" s="29">
        <f>IF($B2967="","",INDEX(Suivi!$F:$F,3023))</f>
        <v/>
      </c>
      <c r="F2967">
        <f>IF($B2967="","",INDEX(Suivi!$G:$G,3023))</f>
        <v/>
      </c>
      <c r="H2967">
        <f>IF(OR($B2967="",NOT(ISNUMBER($D2967))),"",IF($E2967&lt;$D$2,"Passé",IF($D2967&gt;$F$2,"À venir","Dans la période")))</f>
        <v/>
      </c>
      <c r="I2967">
        <f>IF(OR($B2967="",NOT(ISNUMBER($D2967))),"",IF(AND($E2967&lt;$D$2,$G2967&lt;&gt;"X",$F2967&lt;&gt;"Réalisé",$F2967&lt;&gt;"Clôturé"),"RETARD",""))</f>
        <v/>
      </c>
      <c r="J2967" s="29">
        <f>IF($B2967="","",IF(INDEX(Dossiers!$F$4:$F$63,56)="","",INDEX(Dossiers!$F$4:$F$63,56)))</f>
        <v/>
      </c>
      <c r="K2967" s="29">
        <f>IF($B2967="","",IF(INDEX(Dossiers!$G$4:$G$63,56)="","",INDEX(Dossiers!$G$4:$G$63,56)))</f>
        <v/>
      </c>
    </row>
    <row r="2968">
      <c r="A2968">
        <f>IF($B2968="","",INDEX(Dossiers!$E$4:$E$63,56))</f>
        <v/>
      </c>
      <c r="B2968">
        <f>IF(INDEX(Suivi!$B:$B,3024)="","",INDEX(Suivi!$B:$B,3024))</f>
        <v/>
      </c>
      <c r="C2968">
        <f>IF($B2968="","",IF(INDEX(Suivi!$D:$D,3024)="",INDEX(Suivi!$C:$C,3024),INDEX(Suivi!$D:$D,3024)))</f>
        <v/>
      </c>
      <c r="D2968" s="29">
        <f>IF($B2968="","",INDEX(Suivi!$E:$E,3024))</f>
        <v/>
      </c>
      <c r="E2968" s="29">
        <f>IF($B2968="","",INDEX(Suivi!$F:$F,3024))</f>
        <v/>
      </c>
      <c r="F2968">
        <f>IF($B2968="","",INDEX(Suivi!$G:$G,3024))</f>
        <v/>
      </c>
      <c r="H2968">
        <f>IF(OR($B2968="",NOT(ISNUMBER($D2968))),"",IF($E2968&lt;$D$2,"Passé",IF($D2968&gt;$F$2,"À venir","Dans la période")))</f>
        <v/>
      </c>
      <c r="I2968">
        <f>IF(OR($B2968="",NOT(ISNUMBER($D2968))),"",IF(AND($E2968&lt;$D$2,$G2968&lt;&gt;"X",$F2968&lt;&gt;"Réalisé",$F2968&lt;&gt;"Clôturé"),"RETARD",""))</f>
        <v/>
      </c>
      <c r="J2968" s="29">
        <f>IF($B2968="","",IF(INDEX(Dossiers!$F$4:$F$63,56)="","",INDEX(Dossiers!$F$4:$F$63,56)))</f>
        <v/>
      </c>
      <c r="K2968" s="29">
        <f>IF($B2968="","",IF(INDEX(Dossiers!$G$4:$G$63,56)="","",INDEX(Dossiers!$G$4:$G$63,56)))</f>
        <v/>
      </c>
    </row>
    <row r="2969">
      <c r="A2969">
        <f>IF($B2969="","",INDEX(Dossiers!$E$4:$E$63,56))</f>
        <v/>
      </c>
      <c r="B2969">
        <f>IF(INDEX(Suivi!$B:$B,3025)="","",INDEX(Suivi!$B:$B,3025))</f>
        <v/>
      </c>
      <c r="C2969">
        <f>IF($B2969="","",IF(INDEX(Suivi!$D:$D,3025)="",INDEX(Suivi!$C:$C,3025),INDEX(Suivi!$D:$D,3025)))</f>
        <v/>
      </c>
      <c r="D2969" s="29">
        <f>IF($B2969="","",INDEX(Suivi!$E:$E,3025))</f>
        <v/>
      </c>
      <c r="E2969" s="29">
        <f>IF($B2969="","",INDEX(Suivi!$F:$F,3025))</f>
        <v/>
      </c>
      <c r="F2969">
        <f>IF($B2969="","",INDEX(Suivi!$G:$G,3025))</f>
        <v/>
      </c>
      <c r="H2969">
        <f>IF(OR($B2969="",NOT(ISNUMBER($D2969))),"",IF($E2969&lt;$D$2,"Passé",IF($D2969&gt;$F$2,"À venir","Dans la période")))</f>
        <v/>
      </c>
      <c r="I2969">
        <f>IF(OR($B2969="",NOT(ISNUMBER($D2969))),"",IF(AND($E2969&lt;$D$2,$G2969&lt;&gt;"X",$F2969&lt;&gt;"Réalisé",$F2969&lt;&gt;"Clôturé"),"RETARD",""))</f>
        <v/>
      </c>
      <c r="J2969" s="29">
        <f>IF($B2969="","",IF(INDEX(Dossiers!$F$4:$F$63,56)="","",INDEX(Dossiers!$F$4:$F$63,56)))</f>
        <v/>
      </c>
      <c r="K2969" s="29">
        <f>IF($B2969="","",IF(INDEX(Dossiers!$G$4:$G$63,56)="","",INDEX(Dossiers!$G$4:$G$63,56)))</f>
        <v/>
      </c>
    </row>
    <row r="2970">
      <c r="A2970">
        <f>IF($B2970="","",INDEX(Dossiers!$E$4:$E$63,56))</f>
        <v/>
      </c>
      <c r="B2970">
        <f>IF(INDEX(Suivi!$B:$B,3026)="","",INDEX(Suivi!$B:$B,3026))</f>
        <v/>
      </c>
      <c r="C2970">
        <f>IF($B2970="","",IF(INDEX(Suivi!$D:$D,3026)="",INDEX(Suivi!$C:$C,3026),INDEX(Suivi!$D:$D,3026)))</f>
        <v/>
      </c>
      <c r="D2970" s="29">
        <f>IF($B2970="","",INDEX(Suivi!$E:$E,3026))</f>
        <v/>
      </c>
      <c r="E2970" s="29">
        <f>IF($B2970="","",INDEX(Suivi!$F:$F,3026))</f>
        <v/>
      </c>
      <c r="F2970">
        <f>IF($B2970="","",INDEX(Suivi!$G:$G,3026))</f>
        <v/>
      </c>
      <c r="H2970">
        <f>IF(OR($B2970="",NOT(ISNUMBER($D2970))),"",IF($E2970&lt;$D$2,"Passé",IF($D2970&gt;$F$2,"À venir","Dans la période")))</f>
        <v/>
      </c>
      <c r="I2970">
        <f>IF(OR($B2970="",NOT(ISNUMBER($D2970))),"",IF(AND($E2970&lt;$D$2,$G2970&lt;&gt;"X",$F2970&lt;&gt;"Réalisé",$F2970&lt;&gt;"Clôturé"),"RETARD",""))</f>
        <v/>
      </c>
      <c r="J2970" s="29">
        <f>IF($B2970="","",IF(INDEX(Dossiers!$F$4:$F$63,56)="","",INDEX(Dossiers!$F$4:$F$63,56)))</f>
        <v/>
      </c>
      <c r="K2970" s="29">
        <f>IF($B2970="","",IF(INDEX(Dossiers!$G$4:$G$63,56)="","",INDEX(Dossiers!$G$4:$G$63,56)))</f>
        <v/>
      </c>
    </row>
    <row r="2971">
      <c r="A2971">
        <f>IF($B2971="","",INDEX(Dossiers!$E$4:$E$63,56))</f>
        <v/>
      </c>
      <c r="B2971">
        <f>IF(INDEX(Suivi!$B:$B,3027)="","",INDEX(Suivi!$B:$B,3027))</f>
        <v/>
      </c>
      <c r="C2971">
        <f>IF($B2971="","",IF(INDEX(Suivi!$D:$D,3027)="",INDEX(Suivi!$C:$C,3027),INDEX(Suivi!$D:$D,3027)))</f>
        <v/>
      </c>
      <c r="D2971" s="29">
        <f>IF($B2971="","",INDEX(Suivi!$E:$E,3027))</f>
        <v/>
      </c>
      <c r="E2971" s="29">
        <f>IF($B2971="","",INDEX(Suivi!$F:$F,3027))</f>
        <v/>
      </c>
      <c r="F2971">
        <f>IF($B2971="","",INDEX(Suivi!$G:$G,3027))</f>
        <v/>
      </c>
      <c r="H2971">
        <f>IF(OR($B2971="",NOT(ISNUMBER($D2971))),"",IF($E2971&lt;$D$2,"Passé",IF($D2971&gt;$F$2,"À venir","Dans la période")))</f>
        <v/>
      </c>
      <c r="I2971">
        <f>IF(OR($B2971="",NOT(ISNUMBER($D2971))),"",IF(AND($E2971&lt;$D$2,$G2971&lt;&gt;"X",$F2971&lt;&gt;"Réalisé",$F2971&lt;&gt;"Clôturé"),"RETARD",""))</f>
        <v/>
      </c>
      <c r="J2971" s="29">
        <f>IF($B2971="","",IF(INDEX(Dossiers!$F$4:$F$63,56)="","",INDEX(Dossiers!$F$4:$F$63,56)))</f>
        <v/>
      </c>
      <c r="K2971" s="29">
        <f>IF($B2971="","",IF(INDEX(Dossiers!$G$4:$G$63,56)="","",INDEX(Dossiers!$G$4:$G$63,56)))</f>
        <v/>
      </c>
    </row>
    <row r="2972">
      <c r="A2972">
        <f>IF($B2972="","",INDEX(Dossiers!$E$4:$E$63,57))</f>
        <v/>
      </c>
      <c r="B2972">
        <f>IF(INDEX(Suivi!$B:$B,3029)="","",INDEX(Suivi!$B:$B,3029))</f>
        <v/>
      </c>
      <c r="C2972">
        <f>IF($B2972="","",IF(INDEX(Suivi!$D:$D,3029)="",INDEX(Suivi!$C:$C,3029),INDEX(Suivi!$D:$D,3029)))</f>
        <v/>
      </c>
      <c r="D2972" s="29">
        <f>IF($B2972="","",INDEX(Suivi!$E:$E,3029))</f>
        <v/>
      </c>
      <c r="E2972" s="29">
        <f>IF($B2972="","",INDEX(Suivi!$F:$F,3029))</f>
        <v/>
      </c>
      <c r="F2972">
        <f>IF($B2972="","",INDEX(Suivi!$G:$G,3029))</f>
        <v/>
      </c>
      <c r="H2972">
        <f>IF(OR($B2972="",NOT(ISNUMBER($D2972))),"",IF($E2972&lt;$D$2,"Passé",IF($D2972&gt;$F$2,"À venir","Dans la période")))</f>
        <v/>
      </c>
      <c r="I2972">
        <f>IF(OR($B2972="",NOT(ISNUMBER($D2972))),"",IF(AND($E2972&lt;$D$2,$G2972&lt;&gt;"X",$F2972&lt;&gt;"Réalisé",$F2972&lt;&gt;"Clôturé"),"RETARD",""))</f>
        <v/>
      </c>
      <c r="J2972" s="29">
        <f>IF($B2972="","",IF(INDEX(Dossiers!$F$4:$F$63,57)="","",INDEX(Dossiers!$F$4:$F$63,57)))</f>
        <v/>
      </c>
      <c r="K2972" s="29">
        <f>IF($B2972="","",IF(INDEX(Dossiers!$G$4:$G$63,57)="","",INDEX(Dossiers!$G$4:$G$63,57)))</f>
        <v/>
      </c>
    </row>
    <row r="2973">
      <c r="A2973">
        <f>IF($B2973="","",INDEX(Dossiers!$E$4:$E$63,57))</f>
        <v/>
      </c>
      <c r="B2973">
        <f>IF(INDEX(Suivi!$B:$B,3030)="","",INDEX(Suivi!$B:$B,3030))</f>
        <v/>
      </c>
      <c r="C2973">
        <f>IF($B2973="","",IF(INDEX(Suivi!$D:$D,3030)="",INDEX(Suivi!$C:$C,3030),INDEX(Suivi!$D:$D,3030)))</f>
        <v/>
      </c>
      <c r="D2973" s="29">
        <f>IF($B2973="","",INDEX(Suivi!$E:$E,3030))</f>
        <v/>
      </c>
      <c r="E2973" s="29">
        <f>IF($B2973="","",INDEX(Suivi!$F:$F,3030))</f>
        <v/>
      </c>
      <c r="F2973">
        <f>IF($B2973="","",INDEX(Suivi!$G:$G,3030))</f>
        <v/>
      </c>
      <c r="H2973">
        <f>IF(OR($B2973="",NOT(ISNUMBER($D2973))),"",IF($E2973&lt;$D$2,"Passé",IF($D2973&gt;$F$2,"À venir","Dans la période")))</f>
        <v/>
      </c>
      <c r="I2973">
        <f>IF(OR($B2973="",NOT(ISNUMBER($D2973))),"",IF(AND($E2973&lt;$D$2,$G2973&lt;&gt;"X",$F2973&lt;&gt;"Réalisé",$F2973&lt;&gt;"Clôturé"),"RETARD",""))</f>
        <v/>
      </c>
      <c r="J2973" s="29">
        <f>IF($B2973="","",IF(INDEX(Dossiers!$F$4:$F$63,57)="","",INDEX(Dossiers!$F$4:$F$63,57)))</f>
        <v/>
      </c>
      <c r="K2973" s="29">
        <f>IF($B2973="","",IF(INDEX(Dossiers!$G$4:$G$63,57)="","",INDEX(Dossiers!$G$4:$G$63,57)))</f>
        <v/>
      </c>
    </row>
    <row r="2974">
      <c r="A2974">
        <f>IF($B2974="","",INDEX(Dossiers!$E$4:$E$63,57))</f>
        <v/>
      </c>
      <c r="B2974">
        <f>IF(INDEX(Suivi!$B:$B,3031)="","",INDEX(Suivi!$B:$B,3031))</f>
        <v/>
      </c>
      <c r="C2974">
        <f>IF($B2974="","",IF(INDEX(Suivi!$D:$D,3031)="",INDEX(Suivi!$C:$C,3031),INDEX(Suivi!$D:$D,3031)))</f>
        <v/>
      </c>
      <c r="D2974" s="29">
        <f>IF($B2974="","",INDEX(Suivi!$E:$E,3031))</f>
        <v/>
      </c>
      <c r="E2974" s="29">
        <f>IF($B2974="","",INDEX(Suivi!$F:$F,3031))</f>
        <v/>
      </c>
      <c r="F2974">
        <f>IF($B2974="","",INDEX(Suivi!$G:$G,3031))</f>
        <v/>
      </c>
      <c r="H2974">
        <f>IF(OR($B2974="",NOT(ISNUMBER($D2974))),"",IF($E2974&lt;$D$2,"Passé",IF($D2974&gt;$F$2,"À venir","Dans la période")))</f>
        <v/>
      </c>
      <c r="I2974">
        <f>IF(OR($B2974="",NOT(ISNUMBER($D2974))),"",IF(AND($E2974&lt;$D$2,$G2974&lt;&gt;"X",$F2974&lt;&gt;"Réalisé",$F2974&lt;&gt;"Clôturé"),"RETARD",""))</f>
        <v/>
      </c>
      <c r="J2974" s="29">
        <f>IF($B2974="","",IF(INDEX(Dossiers!$F$4:$F$63,57)="","",INDEX(Dossiers!$F$4:$F$63,57)))</f>
        <v/>
      </c>
      <c r="K2974" s="29">
        <f>IF($B2974="","",IF(INDEX(Dossiers!$G$4:$G$63,57)="","",INDEX(Dossiers!$G$4:$G$63,57)))</f>
        <v/>
      </c>
    </row>
    <row r="2975">
      <c r="A2975">
        <f>IF($B2975="","",INDEX(Dossiers!$E$4:$E$63,57))</f>
        <v/>
      </c>
      <c r="B2975">
        <f>IF(INDEX(Suivi!$B:$B,3032)="","",INDEX(Suivi!$B:$B,3032))</f>
        <v/>
      </c>
      <c r="C2975">
        <f>IF($B2975="","",IF(INDEX(Suivi!$D:$D,3032)="",INDEX(Suivi!$C:$C,3032),INDEX(Suivi!$D:$D,3032)))</f>
        <v/>
      </c>
      <c r="D2975" s="29">
        <f>IF($B2975="","",INDEX(Suivi!$E:$E,3032))</f>
        <v/>
      </c>
      <c r="E2975" s="29">
        <f>IF($B2975="","",INDEX(Suivi!$F:$F,3032))</f>
        <v/>
      </c>
      <c r="F2975">
        <f>IF($B2975="","",INDEX(Suivi!$G:$G,3032))</f>
        <v/>
      </c>
      <c r="H2975">
        <f>IF(OR($B2975="",NOT(ISNUMBER($D2975))),"",IF($E2975&lt;$D$2,"Passé",IF($D2975&gt;$F$2,"À venir","Dans la période")))</f>
        <v/>
      </c>
      <c r="I2975">
        <f>IF(OR($B2975="",NOT(ISNUMBER($D2975))),"",IF(AND($E2975&lt;$D$2,$G2975&lt;&gt;"X",$F2975&lt;&gt;"Réalisé",$F2975&lt;&gt;"Clôturé"),"RETARD",""))</f>
        <v/>
      </c>
      <c r="J2975" s="29">
        <f>IF($B2975="","",IF(INDEX(Dossiers!$F$4:$F$63,57)="","",INDEX(Dossiers!$F$4:$F$63,57)))</f>
        <v/>
      </c>
      <c r="K2975" s="29">
        <f>IF($B2975="","",IF(INDEX(Dossiers!$G$4:$G$63,57)="","",INDEX(Dossiers!$G$4:$G$63,57)))</f>
        <v/>
      </c>
    </row>
    <row r="2976">
      <c r="A2976">
        <f>IF($B2976="","",INDEX(Dossiers!$E$4:$E$63,57))</f>
        <v/>
      </c>
      <c r="B2976">
        <f>IF(INDEX(Suivi!$B:$B,3033)="","",INDEX(Suivi!$B:$B,3033))</f>
        <v/>
      </c>
      <c r="C2976">
        <f>IF($B2976="","",IF(INDEX(Suivi!$D:$D,3033)="",INDEX(Suivi!$C:$C,3033),INDEX(Suivi!$D:$D,3033)))</f>
        <v/>
      </c>
      <c r="D2976" s="29">
        <f>IF($B2976="","",INDEX(Suivi!$E:$E,3033))</f>
        <v/>
      </c>
      <c r="E2976" s="29">
        <f>IF($B2976="","",INDEX(Suivi!$F:$F,3033))</f>
        <v/>
      </c>
      <c r="F2976">
        <f>IF($B2976="","",INDEX(Suivi!$G:$G,3033))</f>
        <v/>
      </c>
      <c r="H2976">
        <f>IF(OR($B2976="",NOT(ISNUMBER($D2976))),"",IF($E2976&lt;$D$2,"Passé",IF($D2976&gt;$F$2,"À venir","Dans la période")))</f>
        <v/>
      </c>
      <c r="I2976">
        <f>IF(OR($B2976="",NOT(ISNUMBER($D2976))),"",IF(AND($E2976&lt;$D$2,$G2976&lt;&gt;"X",$F2976&lt;&gt;"Réalisé",$F2976&lt;&gt;"Clôturé"),"RETARD",""))</f>
        <v/>
      </c>
      <c r="J2976" s="29">
        <f>IF($B2976="","",IF(INDEX(Dossiers!$F$4:$F$63,57)="","",INDEX(Dossiers!$F$4:$F$63,57)))</f>
        <v/>
      </c>
      <c r="K2976" s="29">
        <f>IF($B2976="","",IF(INDEX(Dossiers!$G$4:$G$63,57)="","",INDEX(Dossiers!$G$4:$G$63,57)))</f>
        <v/>
      </c>
    </row>
    <row r="2977">
      <c r="A2977">
        <f>IF($B2977="","",INDEX(Dossiers!$E$4:$E$63,57))</f>
        <v/>
      </c>
      <c r="B2977">
        <f>IF(INDEX(Suivi!$B:$B,3034)="","",INDEX(Suivi!$B:$B,3034))</f>
        <v/>
      </c>
      <c r="C2977">
        <f>IF($B2977="","",IF(INDEX(Suivi!$D:$D,3034)="",INDEX(Suivi!$C:$C,3034),INDEX(Suivi!$D:$D,3034)))</f>
        <v/>
      </c>
      <c r="D2977" s="29">
        <f>IF($B2977="","",INDEX(Suivi!$E:$E,3034))</f>
        <v/>
      </c>
      <c r="E2977" s="29">
        <f>IF($B2977="","",INDEX(Suivi!$F:$F,3034))</f>
        <v/>
      </c>
      <c r="F2977">
        <f>IF($B2977="","",INDEX(Suivi!$G:$G,3034))</f>
        <v/>
      </c>
      <c r="H2977">
        <f>IF(OR($B2977="",NOT(ISNUMBER($D2977))),"",IF($E2977&lt;$D$2,"Passé",IF($D2977&gt;$F$2,"À venir","Dans la période")))</f>
        <v/>
      </c>
      <c r="I2977">
        <f>IF(OR($B2977="",NOT(ISNUMBER($D2977))),"",IF(AND($E2977&lt;$D$2,$G2977&lt;&gt;"X",$F2977&lt;&gt;"Réalisé",$F2977&lt;&gt;"Clôturé"),"RETARD",""))</f>
        <v/>
      </c>
      <c r="J2977" s="29">
        <f>IF($B2977="","",IF(INDEX(Dossiers!$F$4:$F$63,57)="","",INDEX(Dossiers!$F$4:$F$63,57)))</f>
        <v/>
      </c>
      <c r="K2977" s="29">
        <f>IF($B2977="","",IF(INDEX(Dossiers!$G$4:$G$63,57)="","",INDEX(Dossiers!$G$4:$G$63,57)))</f>
        <v/>
      </c>
    </row>
    <row r="2978">
      <c r="A2978">
        <f>IF($B2978="","",INDEX(Dossiers!$E$4:$E$63,57))</f>
        <v/>
      </c>
      <c r="B2978">
        <f>IF(INDEX(Suivi!$B:$B,3035)="","",INDEX(Suivi!$B:$B,3035))</f>
        <v/>
      </c>
      <c r="C2978">
        <f>IF($B2978="","",IF(INDEX(Suivi!$D:$D,3035)="",INDEX(Suivi!$C:$C,3035),INDEX(Suivi!$D:$D,3035)))</f>
        <v/>
      </c>
      <c r="D2978" s="29">
        <f>IF($B2978="","",INDEX(Suivi!$E:$E,3035))</f>
        <v/>
      </c>
      <c r="E2978" s="29">
        <f>IF($B2978="","",INDEX(Suivi!$F:$F,3035))</f>
        <v/>
      </c>
      <c r="F2978">
        <f>IF($B2978="","",INDEX(Suivi!$G:$G,3035))</f>
        <v/>
      </c>
      <c r="H2978">
        <f>IF(OR($B2978="",NOT(ISNUMBER($D2978))),"",IF($E2978&lt;$D$2,"Passé",IF($D2978&gt;$F$2,"À venir","Dans la période")))</f>
        <v/>
      </c>
      <c r="I2978">
        <f>IF(OR($B2978="",NOT(ISNUMBER($D2978))),"",IF(AND($E2978&lt;$D$2,$G2978&lt;&gt;"X",$F2978&lt;&gt;"Réalisé",$F2978&lt;&gt;"Clôturé"),"RETARD",""))</f>
        <v/>
      </c>
      <c r="J2978" s="29">
        <f>IF($B2978="","",IF(INDEX(Dossiers!$F$4:$F$63,57)="","",INDEX(Dossiers!$F$4:$F$63,57)))</f>
        <v/>
      </c>
      <c r="K2978" s="29">
        <f>IF($B2978="","",IF(INDEX(Dossiers!$G$4:$G$63,57)="","",INDEX(Dossiers!$G$4:$G$63,57)))</f>
        <v/>
      </c>
    </row>
    <row r="2979">
      <c r="A2979">
        <f>IF($B2979="","",INDEX(Dossiers!$E$4:$E$63,57))</f>
        <v/>
      </c>
      <c r="B2979">
        <f>IF(INDEX(Suivi!$B:$B,3036)="","",INDEX(Suivi!$B:$B,3036))</f>
        <v/>
      </c>
      <c r="C2979">
        <f>IF($B2979="","",IF(INDEX(Suivi!$D:$D,3036)="",INDEX(Suivi!$C:$C,3036),INDEX(Suivi!$D:$D,3036)))</f>
        <v/>
      </c>
      <c r="D2979" s="29">
        <f>IF($B2979="","",INDEX(Suivi!$E:$E,3036))</f>
        <v/>
      </c>
      <c r="E2979" s="29">
        <f>IF($B2979="","",INDEX(Suivi!$F:$F,3036))</f>
        <v/>
      </c>
      <c r="F2979">
        <f>IF($B2979="","",INDEX(Suivi!$G:$G,3036))</f>
        <v/>
      </c>
      <c r="H2979">
        <f>IF(OR($B2979="",NOT(ISNUMBER($D2979))),"",IF($E2979&lt;$D$2,"Passé",IF($D2979&gt;$F$2,"À venir","Dans la période")))</f>
        <v/>
      </c>
      <c r="I2979">
        <f>IF(OR($B2979="",NOT(ISNUMBER($D2979))),"",IF(AND($E2979&lt;$D$2,$G2979&lt;&gt;"X",$F2979&lt;&gt;"Réalisé",$F2979&lt;&gt;"Clôturé"),"RETARD",""))</f>
        <v/>
      </c>
      <c r="J2979" s="29">
        <f>IF($B2979="","",IF(INDEX(Dossiers!$F$4:$F$63,57)="","",INDEX(Dossiers!$F$4:$F$63,57)))</f>
        <v/>
      </c>
      <c r="K2979" s="29">
        <f>IF($B2979="","",IF(INDEX(Dossiers!$G$4:$G$63,57)="","",INDEX(Dossiers!$G$4:$G$63,57)))</f>
        <v/>
      </c>
    </row>
    <row r="2980">
      <c r="A2980">
        <f>IF($B2980="","",INDEX(Dossiers!$E$4:$E$63,57))</f>
        <v/>
      </c>
      <c r="B2980">
        <f>IF(INDEX(Suivi!$B:$B,3037)="","",INDEX(Suivi!$B:$B,3037))</f>
        <v/>
      </c>
      <c r="C2980">
        <f>IF($B2980="","",IF(INDEX(Suivi!$D:$D,3037)="",INDEX(Suivi!$C:$C,3037),INDEX(Suivi!$D:$D,3037)))</f>
        <v/>
      </c>
      <c r="D2980" s="29">
        <f>IF($B2980="","",INDEX(Suivi!$E:$E,3037))</f>
        <v/>
      </c>
      <c r="E2980" s="29">
        <f>IF($B2980="","",INDEX(Suivi!$F:$F,3037))</f>
        <v/>
      </c>
      <c r="F2980">
        <f>IF($B2980="","",INDEX(Suivi!$G:$G,3037))</f>
        <v/>
      </c>
      <c r="H2980">
        <f>IF(OR($B2980="",NOT(ISNUMBER($D2980))),"",IF($E2980&lt;$D$2,"Passé",IF($D2980&gt;$F$2,"À venir","Dans la période")))</f>
        <v/>
      </c>
      <c r="I2980">
        <f>IF(OR($B2980="",NOT(ISNUMBER($D2980))),"",IF(AND($E2980&lt;$D$2,$G2980&lt;&gt;"X",$F2980&lt;&gt;"Réalisé",$F2980&lt;&gt;"Clôturé"),"RETARD",""))</f>
        <v/>
      </c>
      <c r="J2980" s="29">
        <f>IF($B2980="","",IF(INDEX(Dossiers!$F$4:$F$63,57)="","",INDEX(Dossiers!$F$4:$F$63,57)))</f>
        <v/>
      </c>
      <c r="K2980" s="29">
        <f>IF($B2980="","",IF(INDEX(Dossiers!$G$4:$G$63,57)="","",INDEX(Dossiers!$G$4:$G$63,57)))</f>
        <v/>
      </c>
    </row>
    <row r="2981">
      <c r="A2981">
        <f>IF($B2981="","",INDEX(Dossiers!$E$4:$E$63,57))</f>
        <v/>
      </c>
      <c r="B2981">
        <f>IF(INDEX(Suivi!$B:$B,3038)="","",INDEX(Suivi!$B:$B,3038))</f>
        <v/>
      </c>
      <c r="C2981">
        <f>IF($B2981="","",IF(INDEX(Suivi!$D:$D,3038)="",INDEX(Suivi!$C:$C,3038),INDEX(Suivi!$D:$D,3038)))</f>
        <v/>
      </c>
      <c r="D2981" s="29">
        <f>IF($B2981="","",INDEX(Suivi!$E:$E,3038))</f>
        <v/>
      </c>
      <c r="E2981" s="29">
        <f>IF($B2981="","",INDEX(Suivi!$F:$F,3038))</f>
        <v/>
      </c>
      <c r="F2981">
        <f>IF($B2981="","",INDEX(Suivi!$G:$G,3038))</f>
        <v/>
      </c>
      <c r="H2981">
        <f>IF(OR($B2981="",NOT(ISNUMBER($D2981))),"",IF($E2981&lt;$D$2,"Passé",IF($D2981&gt;$F$2,"À venir","Dans la période")))</f>
        <v/>
      </c>
      <c r="I2981">
        <f>IF(OR($B2981="",NOT(ISNUMBER($D2981))),"",IF(AND($E2981&lt;$D$2,$G2981&lt;&gt;"X",$F2981&lt;&gt;"Réalisé",$F2981&lt;&gt;"Clôturé"),"RETARD",""))</f>
        <v/>
      </c>
      <c r="J2981" s="29">
        <f>IF($B2981="","",IF(INDEX(Dossiers!$F$4:$F$63,57)="","",INDEX(Dossiers!$F$4:$F$63,57)))</f>
        <v/>
      </c>
      <c r="K2981" s="29">
        <f>IF($B2981="","",IF(INDEX(Dossiers!$G$4:$G$63,57)="","",INDEX(Dossiers!$G$4:$G$63,57)))</f>
        <v/>
      </c>
    </row>
    <row r="2982">
      <c r="A2982">
        <f>IF($B2982="","",INDEX(Dossiers!$E$4:$E$63,57))</f>
        <v/>
      </c>
      <c r="B2982">
        <f>IF(INDEX(Suivi!$B:$B,3039)="","",INDEX(Suivi!$B:$B,3039))</f>
        <v/>
      </c>
      <c r="C2982">
        <f>IF($B2982="","",IF(INDEX(Suivi!$D:$D,3039)="",INDEX(Suivi!$C:$C,3039),INDEX(Suivi!$D:$D,3039)))</f>
        <v/>
      </c>
      <c r="D2982" s="29">
        <f>IF($B2982="","",INDEX(Suivi!$E:$E,3039))</f>
        <v/>
      </c>
      <c r="E2982" s="29">
        <f>IF($B2982="","",INDEX(Suivi!$F:$F,3039))</f>
        <v/>
      </c>
      <c r="F2982">
        <f>IF($B2982="","",INDEX(Suivi!$G:$G,3039))</f>
        <v/>
      </c>
      <c r="H2982">
        <f>IF(OR($B2982="",NOT(ISNUMBER($D2982))),"",IF($E2982&lt;$D$2,"Passé",IF($D2982&gt;$F$2,"À venir","Dans la période")))</f>
        <v/>
      </c>
      <c r="I2982">
        <f>IF(OR($B2982="",NOT(ISNUMBER($D2982))),"",IF(AND($E2982&lt;$D$2,$G2982&lt;&gt;"X",$F2982&lt;&gt;"Réalisé",$F2982&lt;&gt;"Clôturé"),"RETARD",""))</f>
        <v/>
      </c>
      <c r="J2982" s="29">
        <f>IF($B2982="","",IF(INDEX(Dossiers!$F$4:$F$63,57)="","",INDEX(Dossiers!$F$4:$F$63,57)))</f>
        <v/>
      </c>
      <c r="K2982" s="29">
        <f>IF($B2982="","",IF(INDEX(Dossiers!$G$4:$G$63,57)="","",INDEX(Dossiers!$G$4:$G$63,57)))</f>
        <v/>
      </c>
    </row>
    <row r="2983">
      <c r="A2983">
        <f>IF($B2983="","",INDEX(Dossiers!$E$4:$E$63,57))</f>
        <v/>
      </c>
      <c r="B2983">
        <f>IF(INDEX(Suivi!$B:$B,3040)="","",INDEX(Suivi!$B:$B,3040))</f>
        <v/>
      </c>
      <c r="C2983">
        <f>IF($B2983="","",IF(INDEX(Suivi!$D:$D,3040)="",INDEX(Suivi!$C:$C,3040),INDEX(Suivi!$D:$D,3040)))</f>
        <v/>
      </c>
      <c r="D2983" s="29">
        <f>IF($B2983="","",INDEX(Suivi!$E:$E,3040))</f>
        <v/>
      </c>
      <c r="E2983" s="29">
        <f>IF($B2983="","",INDEX(Suivi!$F:$F,3040))</f>
        <v/>
      </c>
      <c r="F2983">
        <f>IF($B2983="","",INDEX(Suivi!$G:$G,3040))</f>
        <v/>
      </c>
      <c r="H2983">
        <f>IF(OR($B2983="",NOT(ISNUMBER($D2983))),"",IF($E2983&lt;$D$2,"Passé",IF($D2983&gt;$F$2,"À venir","Dans la période")))</f>
        <v/>
      </c>
      <c r="I2983">
        <f>IF(OR($B2983="",NOT(ISNUMBER($D2983))),"",IF(AND($E2983&lt;$D$2,$G2983&lt;&gt;"X",$F2983&lt;&gt;"Réalisé",$F2983&lt;&gt;"Clôturé"),"RETARD",""))</f>
        <v/>
      </c>
      <c r="J2983" s="29">
        <f>IF($B2983="","",IF(INDEX(Dossiers!$F$4:$F$63,57)="","",INDEX(Dossiers!$F$4:$F$63,57)))</f>
        <v/>
      </c>
      <c r="K2983" s="29">
        <f>IF($B2983="","",IF(INDEX(Dossiers!$G$4:$G$63,57)="","",INDEX(Dossiers!$G$4:$G$63,57)))</f>
        <v/>
      </c>
    </row>
    <row r="2984">
      <c r="A2984">
        <f>IF($B2984="","",INDEX(Dossiers!$E$4:$E$63,57))</f>
        <v/>
      </c>
      <c r="B2984">
        <f>IF(INDEX(Suivi!$B:$B,3041)="","",INDEX(Suivi!$B:$B,3041))</f>
        <v/>
      </c>
      <c r="C2984">
        <f>IF($B2984="","",IF(INDEX(Suivi!$D:$D,3041)="",INDEX(Suivi!$C:$C,3041),INDEX(Suivi!$D:$D,3041)))</f>
        <v/>
      </c>
      <c r="D2984" s="29">
        <f>IF($B2984="","",INDEX(Suivi!$E:$E,3041))</f>
        <v/>
      </c>
      <c r="E2984" s="29">
        <f>IF($B2984="","",INDEX(Suivi!$F:$F,3041))</f>
        <v/>
      </c>
      <c r="F2984">
        <f>IF($B2984="","",INDEX(Suivi!$G:$G,3041))</f>
        <v/>
      </c>
      <c r="H2984">
        <f>IF(OR($B2984="",NOT(ISNUMBER($D2984))),"",IF($E2984&lt;$D$2,"Passé",IF($D2984&gt;$F$2,"À venir","Dans la période")))</f>
        <v/>
      </c>
      <c r="I2984">
        <f>IF(OR($B2984="",NOT(ISNUMBER($D2984))),"",IF(AND($E2984&lt;$D$2,$G2984&lt;&gt;"X",$F2984&lt;&gt;"Réalisé",$F2984&lt;&gt;"Clôturé"),"RETARD",""))</f>
        <v/>
      </c>
      <c r="J2984" s="29">
        <f>IF($B2984="","",IF(INDEX(Dossiers!$F$4:$F$63,57)="","",INDEX(Dossiers!$F$4:$F$63,57)))</f>
        <v/>
      </c>
      <c r="K2984" s="29">
        <f>IF($B2984="","",IF(INDEX(Dossiers!$G$4:$G$63,57)="","",INDEX(Dossiers!$G$4:$G$63,57)))</f>
        <v/>
      </c>
    </row>
    <row r="2985">
      <c r="A2985">
        <f>IF($B2985="","",INDEX(Dossiers!$E$4:$E$63,57))</f>
        <v/>
      </c>
      <c r="B2985">
        <f>IF(INDEX(Suivi!$B:$B,3042)="","",INDEX(Suivi!$B:$B,3042))</f>
        <v/>
      </c>
      <c r="C2985">
        <f>IF($B2985="","",IF(INDEX(Suivi!$D:$D,3042)="",INDEX(Suivi!$C:$C,3042),INDEX(Suivi!$D:$D,3042)))</f>
        <v/>
      </c>
      <c r="D2985" s="29">
        <f>IF($B2985="","",INDEX(Suivi!$E:$E,3042))</f>
        <v/>
      </c>
      <c r="E2985" s="29">
        <f>IF($B2985="","",INDEX(Suivi!$F:$F,3042))</f>
        <v/>
      </c>
      <c r="F2985">
        <f>IF($B2985="","",INDEX(Suivi!$G:$G,3042))</f>
        <v/>
      </c>
      <c r="H2985">
        <f>IF(OR($B2985="",NOT(ISNUMBER($D2985))),"",IF($E2985&lt;$D$2,"Passé",IF($D2985&gt;$F$2,"À venir","Dans la période")))</f>
        <v/>
      </c>
      <c r="I2985">
        <f>IF(OR($B2985="",NOT(ISNUMBER($D2985))),"",IF(AND($E2985&lt;$D$2,$G2985&lt;&gt;"X",$F2985&lt;&gt;"Réalisé",$F2985&lt;&gt;"Clôturé"),"RETARD",""))</f>
        <v/>
      </c>
      <c r="J2985" s="29">
        <f>IF($B2985="","",IF(INDEX(Dossiers!$F$4:$F$63,57)="","",INDEX(Dossiers!$F$4:$F$63,57)))</f>
        <v/>
      </c>
      <c r="K2985" s="29">
        <f>IF($B2985="","",IF(INDEX(Dossiers!$G$4:$G$63,57)="","",INDEX(Dossiers!$G$4:$G$63,57)))</f>
        <v/>
      </c>
    </row>
    <row r="2986">
      <c r="A2986">
        <f>IF($B2986="","",INDEX(Dossiers!$E$4:$E$63,57))</f>
        <v/>
      </c>
      <c r="B2986">
        <f>IF(INDEX(Suivi!$B:$B,3043)="","",INDEX(Suivi!$B:$B,3043))</f>
        <v/>
      </c>
      <c r="C2986">
        <f>IF($B2986="","",IF(INDEX(Suivi!$D:$D,3043)="",INDEX(Suivi!$C:$C,3043),INDEX(Suivi!$D:$D,3043)))</f>
        <v/>
      </c>
      <c r="D2986" s="29">
        <f>IF($B2986="","",INDEX(Suivi!$E:$E,3043))</f>
        <v/>
      </c>
      <c r="E2986" s="29">
        <f>IF($B2986="","",INDEX(Suivi!$F:$F,3043))</f>
        <v/>
      </c>
      <c r="F2986">
        <f>IF($B2986="","",INDEX(Suivi!$G:$G,3043))</f>
        <v/>
      </c>
      <c r="H2986">
        <f>IF(OR($B2986="",NOT(ISNUMBER($D2986))),"",IF($E2986&lt;$D$2,"Passé",IF($D2986&gt;$F$2,"À venir","Dans la période")))</f>
        <v/>
      </c>
      <c r="I2986">
        <f>IF(OR($B2986="",NOT(ISNUMBER($D2986))),"",IF(AND($E2986&lt;$D$2,$G2986&lt;&gt;"X",$F2986&lt;&gt;"Réalisé",$F2986&lt;&gt;"Clôturé"),"RETARD",""))</f>
        <v/>
      </c>
      <c r="J2986" s="29">
        <f>IF($B2986="","",IF(INDEX(Dossiers!$F$4:$F$63,57)="","",INDEX(Dossiers!$F$4:$F$63,57)))</f>
        <v/>
      </c>
      <c r="K2986" s="29">
        <f>IF($B2986="","",IF(INDEX(Dossiers!$G$4:$G$63,57)="","",INDEX(Dossiers!$G$4:$G$63,57)))</f>
        <v/>
      </c>
    </row>
    <row r="2987">
      <c r="A2987">
        <f>IF($B2987="","",INDEX(Dossiers!$E$4:$E$63,57))</f>
        <v/>
      </c>
      <c r="B2987">
        <f>IF(INDEX(Suivi!$B:$B,3044)="","",INDEX(Suivi!$B:$B,3044))</f>
        <v/>
      </c>
      <c r="C2987">
        <f>IF($B2987="","",IF(INDEX(Suivi!$D:$D,3044)="",INDEX(Suivi!$C:$C,3044),INDEX(Suivi!$D:$D,3044)))</f>
        <v/>
      </c>
      <c r="D2987" s="29">
        <f>IF($B2987="","",INDEX(Suivi!$E:$E,3044))</f>
        <v/>
      </c>
      <c r="E2987" s="29">
        <f>IF($B2987="","",INDEX(Suivi!$F:$F,3044))</f>
        <v/>
      </c>
      <c r="F2987">
        <f>IF($B2987="","",INDEX(Suivi!$G:$G,3044))</f>
        <v/>
      </c>
      <c r="H2987">
        <f>IF(OR($B2987="",NOT(ISNUMBER($D2987))),"",IF($E2987&lt;$D$2,"Passé",IF($D2987&gt;$F$2,"À venir","Dans la période")))</f>
        <v/>
      </c>
      <c r="I2987">
        <f>IF(OR($B2987="",NOT(ISNUMBER($D2987))),"",IF(AND($E2987&lt;$D$2,$G2987&lt;&gt;"X",$F2987&lt;&gt;"Réalisé",$F2987&lt;&gt;"Clôturé"),"RETARD",""))</f>
        <v/>
      </c>
      <c r="J2987" s="29">
        <f>IF($B2987="","",IF(INDEX(Dossiers!$F$4:$F$63,57)="","",INDEX(Dossiers!$F$4:$F$63,57)))</f>
        <v/>
      </c>
      <c r="K2987" s="29">
        <f>IF($B2987="","",IF(INDEX(Dossiers!$G$4:$G$63,57)="","",INDEX(Dossiers!$G$4:$G$63,57)))</f>
        <v/>
      </c>
    </row>
    <row r="2988">
      <c r="A2988">
        <f>IF($B2988="","",INDEX(Dossiers!$E$4:$E$63,57))</f>
        <v/>
      </c>
      <c r="B2988">
        <f>IF(INDEX(Suivi!$B:$B,3045)="","",INDEX(Suivi!$B:$B,3045))</f>
        <v/>
      </c>
      <c r="C2988">
        <f>IF($B2988="","",IF(INDEX(Suivi!$D:$D,3045)="",INDEX(Suivi!$C:$C,3045),INDEX(Suivi!$D:$D,3045)))</f>
        <v/>
      </c>
      <c r="D2988" s="29">
        <f>IF($B2988="","",INDEX(Suivi!$E:$E,3045))</f>
        <v/>
      </c>
      <c r="E2988" s="29">
        <f>IF($B2988="","",INDEX(Suivi!$F:$F,3045))</f>
        <v/>
      </c>
      <c r="F2988">
        <f>IF($B2988="","",INDEX(Suivi!$G:$G,3045))</f>
        <v/>
      </c>
      <c r="H2988">
        <f>IF(OR($B2988="",NOT(ISNUMBER($D2988))),"",IF($E2988&lt;$D$2,"Passé",IF($D2988&gt;$F$2,"À venir","Dans la période")))</f>
        <v/>
      </c>
      <c r="I2988">
        <f>IF(OR($B2988="",NOT(ISNUMBER($D2988))),"",IF(AND($E2988&lt;$D$2,$G2988&lt;&gt;"X",$F2988&lt;&gt;"Réalisé",$F2988&lt;&gt;"Clôturé"),"RETARD",""))</f>
        <v/>
      </c>
      <c r="J2988" s="29">
        <f>IF($B2988="","",IF(INDEX(Dossiers!$F$4:$F$63,57)="","",INDEX(Dossiers!$F$4:$F$63,57)))</f>
        <v/>
      </c>
      <c r="K2988" s="29">
        <f>IF($B2988="","",IF(INDEX(Dossiers!$G$4:$G$63,57)="","",INDEX(Dossiers!$G$4:$G$63,57)))</f>
        <v/>
      </c>
    </row>
    <row r="2989">
      <c r="A2989">
        <f>IF($B2989="","",INDEX(Dossiers!$E$4:$E$63,57))</f>
        <v/>
      </c>
      <c r="B2989">
        <f>IF(INDEX(Suivi!$B:$B,3046)="","",INDEX(Suivi!$B:$B,3046))</f>
        <v/>
      </c>
      <c r="C2989">
        <f>IF($B2989="","",IF(INDEX(Suivi!$D:$D,3046)="",INDEX(Suivi!$C:$C,3046),INDEX(Suivi!$D:$D,3046)))</f>
        <v/>
      </c>
      <c r="D2989" s="29">
        <f>IF($B2989="","",INDEX(Suivi!$E:$E,3046))</f>
        <v/>
      </c>
      <c r="E2989" s="29">
        <f>IF($B2989="","",INDEX(Suivi!$F:$F,3046))</f>
        <v/>
      </c>
      <c r="F2989">
        <f>IF($B2989="","",INDEX(Suivi!$G:$G,3046))</f>
        <v/>
      </c>
      <c r="H2989">
        <f>IF(OR($B2989="",NOT(ISNUMBER($D2989))),"",IF($E2989&lt;$D$2,"Passé",IF($D2989&gt;$F$2,"À venir","Dans la période")))</f>
        <v/>
      </c>
      <c r="I2989">
        <f>IF(OR($B2989="",NOT(ISNUMBER($D2989))),"",IF(AND($E2989&lt;$D$2,$G2989&lt;&gt;"X",$F2989&lt;&gt;"Réalisé",$F2989&lt;&gt;"Clôturé"),"RETARD",""))</f>
        <v/>
      </c>
      <c r="J2989" s="29">
        <f>IF($B2989="","",IF(INDEX(Dossiers!$F$4:$F$63,57)="","",INDEX(Dossiers!$F$4:$F$63,57)))</f>
        <v/>
      </c>
      <c r="K2989" s="29">
        <f>IF($B2989="","",IF(INDEX(Dossiers!$G$4:$G$63,57)="","",INDEX(Dossiers!$G$4:$G$63,57)))</f>
        <v/>
      </c>
    </row>
    <row r="2990">
      <c r="A2990">
        <f>IF($B2990="","",INDEX(Dossiers!$E$4:$E$63,57))</f>
        <v/>
      </c>
      <c r="B2990">
        <f>IF(INDEX(Suivi!$B:$B,3047)="","",INDEX(Suivi!$B:$B,3047))</f>
        <v/>
      </c>
      <c r="C2990">
        <f>IF($B2990="","",IF(INDEX(Suivi!$D:$D,3047)="",INDEX(Suivi!$C:$C,3047),INDEX(Suivi!$D:$D,3047)))</f>
        <v/>
      </c>
      <c r="D2990" s="29">
        <f>IF($B2990="","",INDEX(Suivi!$E:$E,3047))</f>
        <v/>
      </c>
      <c r="E2990" s="29">
        <f>IF($B2990="","",INDEX(Suivi!$F:$F,3047))</f>
        <v/>
      </c>
      <c r="F2990">
        <f>IF($B2990="","",INDEX(Suivi!$G:$G,3047))</f>
        <v/>
      </c>
      <c r="H2990">
        <f>IF(OR($B2990="",NOT(ISNUMBER($D2990))),"",IF($E2990&lt;$D$2,"Passé",IF($D2990&gt;$F$2,"À venir","Dans la période")))</f>
        <v/>
      </c>
      <c r="I2990">
        <f>IF(OR($B2990="",NOT(ISNUMBER($D2990))),"",IF(AND($E2990&lt;$D$2,$G2990&lt;&gt;"X",$F2990&lt;&gt;"Réalisé",$F2990&lt;&gt;"Clôturé"),"RETARD",""))</f>
        <v/>
      </c>
      <c r="J2990" s="29">
        <f>IF($B2990="","",IF(INDEX(Dossiers!$F$4:$F$63,57)="","",INDEX(Dossiers!$F$4:$F$63,57)))</f>
        <v/>
      </c>
      <c r="K2990" s="29">
        <f>IF($B2990="","",IF(INDEX(Dossiers!$G$4:$G$63,57)="","",INDEX(Dossiers!$G$4:$G$63,57)))</f>
        <v/>
      </c>
    </row>
    <row r="2991">
      <c r="A2991">
        <f>IF($B2991="","",INDEX(Dossiers!$E$4:$E$63,57))</f>
        <v/>
      </c>
      <c r="B2991">
        <f>IF(INDEX(Suivi!$B:$B,3048)="","",INDEX(Suivi!$B:$B,3048))</f>
        <v/>
      </c>
      <c r="C2991">
        <f>IF($B2991="","",IF(INDEX(Suivi!$D:$D,3048)="",INDEX(Suivi!$C:$C,3048),INDEX(Suivi!$D:$D,3048)))</f>
        <v/>
      </c>
      <c r="D2991" s="29">
        <f>IF($B2991="","",INDEX(Suivi!$E:$E,3048))</f>
        <v/>
      </c>
      <c r="E2991" s="29">
        <f>IF($B2991="","",INDEX(Suivi!$F:$F,3048))</f>
        <v/>
      </c>
      <c r="F2991">
        <f>IF($B2991="","",INDEX(Suivi!$G:$G,3048))</f>
        <v/>
      </c>
      <c r="H2991">
        <f>IF(OR($B2991="",NOT(ISNUMBER($D2991))),"",IF($E2991&lt;$D$2,"Passé",IF($D2991&gt;$F$2,"À venir","Dans la période")))</f>
        <v/>
      </c>
      <c r="I2991">
        <f>IF(OR($B2991="",NOT(ISNUMBER($D2991))),"",IF(AND($E2991&lt;$D$2,$G2991&lt;&gt;"X",$F2991&lt;&gt;"Réalisé",$F2991&lt;&gt;"Clôturé"),"RETARD",""))</f>
        <v/>
      </c>
      <c r="J2991" s="29">
        <f>IF($B2991="","",IF(INDEX(Dossiers!$F$4:$F$63,57)="","",INDEX(Dossiers!$F$4:$F$63,57)))</f>
        <v/>
      </c>
      <c r="K2991" s="29">
        <f>IF($B2991="","",IF(INDEX(Dossiers!$G$4:$G$63,57)="","",INDEX(Dossiers!$G$4:$G$63,57)))</f>
        <v/>
      </c>
    </row>
    <row r="2992">
      <c r="A2992">
        <f>IF($B2992="","",INDEX(Dossiers!$E$4:$E$63,57))</f>
        <v/>
      </c>
      <c r="B2992">
        <f>IF(INDEX(Suivi!$B:$B,3049)="","",INDEX(Suivi!$B:$B,3049))</f>
        <v/>
      </c>
      <c r="C2992">
        <f>IF($B2992="","",IF(INDEX(Suivi!$D:$D,3049)="",INDEX(Suivi!$C:$C,3049),INDEX(Suivi!$D:$D,3049)))</f>
        <v/>
      </c>
      <c r="D2992" s="29">
        <f>IF($B2992="","",INDEX(Suivi!$E:$E,3049))</f>
        <v/>
      </c>
      <c r="E2992" s="29">
        <f>IF($B2992="","",INDEX(Suivi!$F:$F,3049))</f>
        <v/>
      </c>
      <c r="F2992">
        <f>IF($B2992="","",INDEX(Suivi!$G:$G,3049))</f>
        <v/>
      </c>
      <c r="H2992">
        <f>IF(OR($B2992="",NOT(ISNUMBER($D2992))),"",IF($E2992&lt;$D$2,"Passé",IF($D2992&gt;$F$2,"À venir","Dans la période")))</f>
        <v/>
      </c>
      <c r="I2992">
        <f>IF(OR($B2992="",NOT(ISNUMBER($D2992))),"",IF(AND($E2992&lt;$D$2,$G2992&lt;&gt;"X",$F2992&lt;&gt;"Réalisé",$F2992&lt;&gt;"Clôturé"),"RETARD",""))</f>
        <v/>
      </c>
      <c r="J2992" s="29">
        <f>IF($B2992="","",IF(INDEX(Dossiers!$F$4:$F$63,57)="","",INDEX(Dossiers!$F$4:$F$63,57)))</f>
        <v/>
      </c>
      <c r="K2992" s="29">
        <f>IF($B2992="","",IF(INDEX(Dossiers!$G$4:$G$63,57)="","",INDEX(Dossiers!$G$4:$G$63,57)))</f>
        <v/>
      </c>
    </row>
    <row r="2993">
      <c r="A2993">
        <f>IF($B2993="","",INDEX(Dossiers!$E$4:$E$63,57))</f>
        <v/>
      </c>
      <c r="B2993">
        <f>IF(INDEX(Suivi!$B:$B,3050)="","",INDEX(Suivi!$B:$B,3050))</f>
        <v/>
      </c>
      <c r="C2993">
        <f>IF($B2993="","",IF(INDEX(Suivi!$D:$D,3050)="",INDEX(Suivi!$C:$C,3050),INDEX(Suivi!$D:$D,3050)))</f>
        <v/>
      </c>
      <c r="D2993" s="29">
        <f>IF($B2993="","",INDEX(Suivi!$E:$E,3050))</f>
        <v/>
      </c>
      <c r="E2993" s="29">
        <f>IF($B2993="","",INDEX(Suivi!$F:$F,3050))</f>
        <v/>
      </c>
      <c r="F2993">
        <f>IF($B2993="","",INDEX(Suivi!$G:$G,3050))</f>
        <v/>
      </c>
      <c r="H2993">
        <f>IF(OR($B2993="",NOT(ISNUMBER($D2993))),"",IF($E2993&lt;$D$2,"Passé",IF($D2993&gt;$F$2,"À venir","Dans la période")))</f>
        <v/>
      </c>
      <c r="I2993">
        <f>IF(OR($B2993="",NOT(ISNUMBER($D2993))),"",IF(AND($E2993&lt;$D$2,$G2993&lt;&gt;"X",$F2993&lt;&gt;"Réalisé",$F2993&lt;&gt;"Clôturé"),"RETARD",""))</f>
        <v/>
      </c>
      <c r="J2993" s="29">
        <f>IF($B2993="","",IF(INDEX(Dossiers!$F$4:$F$63,57)="","",INDEX(Dossiers!$F$4:$F$63,57)))</f>
        <v/>
      </c>
      <c r="K2993" s="29">
        <f>IF($B2993="","",IF(INDEX(Dossiers!$G$4:$G$63,57)="","",INDEX(Dossiers!$G$4:$G$63,57)))</f>
        <v/>
      </c>
    </row>
    <row r="2994">
      <c r="A2994">
        <f>IF($B2994="","",INDEX(Dossiers!$E$4:$E$63,57))</f>
        <v/>
      </c>
      <c r="B2994">
        <f>IF(INDEX(Suivi!$B:$B,3051)="","",INDEX(Suivi!$B:$B,3051))</f>
        <v/>
      </c>
      <c r="C2994">
        <f>IF($B2994="","",IF(INDEX(Suivi!$D:$D,3051)="",INDEX(Suivi!$C:$C,3051),INDEX(Suivi!$D:$D,3051)))</f>
        <v/>
      </c>
      <c r="D2994" s="29">
        <f>IF($B2994="","",INDEX(Suivi!$E:$E,3051))</f>
        <v/>
      </c>
      <c r="E2994" s="29">
        <f>IF($B2994="","",INDEX(Suivi!$F:$F,3051))</f>
        <v/>
      </c>
      <c r="F2994">
        <f>IF($B2994="","",INDEX(Suivi!$G:$G,3051))</f>
        <v/>
      </c>
      <c r="H2994">
        <f>IF(OR($B2994="",NOT(ISNUMBER($D2994))),"",IF($E2994&lt;$D$2,"Passé",IF($D2994&gt;$F$2,"À venir","Dans la période")))</f>
        <v/>
      </c>
      <c r="I2994">
        <f>IF(OR($B2994="",NOT(ISNUMBER($D2994))),"",IF(AND($E2994&lt;$D$2,$G2994&lt;&gt;"X",$F2994&lt;&gt;"Réalisé",$F2994&lt;&gt;"Clôturé"),"RETARD",""))</f>
        <v/>
      </c>
      <c r="J2994" s="29">
        <f>IF($B2994="","",IF(INDEX(Dossiers!$F$4:$F$63,57)="","",INDEX(Dossiers!$F$4:$F$63,57)))</f>
        <v/>
      </c>
      <c r="K2994" s="29">
        <f>IF($B2994="","",IF(INDEX(Dossiers!$G$4:$G$63,57)="","",INDEX(Dossiers!$G$4:$G$63,57)))</f>
        <v/>
      </c>
    </row>
    <row r="2995">
      <c r="A2995">
        <f>IF($B2995="","",INDEX(Dossiers!$E$4:$E$63,57))</f>
        <v/>
      </c>
      <c r="B2995">
        <f>IF(INDEX(Suivi!$B:$B,3052)="","",INDEX(Suivi!$B:$B,3052))</f>
        <v/>
      </c>
      <c r="C2995">
        <f>IF($B2995="","",IF(INDEX(Suivi!$D:$D,3052)="",INDEX(Suivi!$C:$C,3052),INDEX(Suivi!$D:$D,3052)))</f>
        <v/>
      </c>
      <c r="D2995" s="29">
        <f>IF($B2995="","",INDEX(Suivi!$E:$E,3052))</f>
        <v/>
      </c>
      <c r="E2995" s="29">
        <f>IF($B2995="","",INDEX(Suivi!$F:$F,3052))</f>
        <v/>
      </c>
      <c r="F2995">
        <f>IF($B2995="","",INDEX(Suivi!$G:$G,3052))</f>
        <v/>
      </c>
      <c r="H2995">
        <f>IF(OR($B2995="",NOT(ISNUMBER($D2995))),"",IF($E2995&lt;$D$2,"Passé",IF($D2995&gt;$F$2,"À venir","Dans la période")))</f>
        <v/>
      </c>
      <c r="I2995">
        <f>IF(OR($B2995="",NOT(ISNUMBER($D2995))),"",IF(AND($E2995&lt;$D$2,$G2995&lt;&gt;"X",$F2995&lt;&gt;"Réalisé",$F2995&lt;&gt;"Clôturé"),"RETARD",""))</f>
        <v/>
      </c>
      <c r="J2995" s="29">
        <f>IF($B2995="","",IF(INDEX(Dossiers!$F$4:$F$63,57)="","",INDEX(Dossiers!$F$4:$F$63,57)))</f>
        <v/>
      </c>
      <c r="K2995" s="29">
        <f>IF($B2995="","",IF(INDEX(Dossiers!$G$4:$G$63,57)="","",INDEX(Dossiers!$G$4:$G$63,57)))</f>
        <v/>
      </c>
    </row>
    <row r="2996">
      <c r="A2996">
        <f>IF($B2996="","",INDEX(Dossiers!$E$4:$E$63,57))</f>
        <v/>
      </c>
      <c r="B2996">
        <f>IF(INDEX(Suivi!$B:$B,3053)="","",INDEX(Suivi!$B:$B,3053))</f>
        <v/>
      </c>
      <c r="C2996">
        <f>IF($B2996="","",IF(INDEX(Suivi!$D:$D,3053)="",INDEX(Suivi!$C:$C,3053),INDEX(Suivi!$D:$D,3053)))</f>
        <v/>
      </c>
      <c r="D2996" s="29">
        <f>IF($B2996="","",INDEX(Suivi!$E:$E,3053))</f>
        <v/>
      </c>
      <c r="E2996" s="29">
        <f>IF($B2996="","",INDEX(Suivi!$F:$F,3053))</f>
        <v/>
      </c>
      <c r="F2996">
        <f>IF($B2996="","",INDEX(Suivi!$G:$G,3053))</f>
        <v/>
      </c>
      <c r="H2996">
        <f>IF(OR($B2996="",NOT(ISNUMBER($D2996))),"",IF($E2996&lt;$D$2,"Passé",IF($D2996&gt;$F$2,"À venir","Dans la période")))</f>
        <v/>
      </c>
      <c r="I2996">
        <f>IF(OR($B2996="",NOT(ISNUMBER($D2996))),"",IF(AND($E2996&lt;$D$2,$G2996&lt;&gt;"X",$F2996&lt;&gt;"Réalisé",$F2996&lt;&gt;"Clôturé"),"RETARD",""))</f>
        <v/>
      </c>
      <c r="J2996" s="29">
        <f>IF($B2996="","",IF(INDEX(Dossiers!$F$4:$F$63,57)="","",INDEX(Dossiers!$F$4:$F$63,57)))</f>
        <v/>
      </c>
      <c r="K2996" s="29">
        <f>IF($B2996="","",IF(INDEX(Dossiers!$G$4:$G$63,57)="","",INDEX(Dossiers!$G$4:$G$63,57)))</f>
        <v/>
      </c>
    </row>
    <row r="2997">
      <c r="A2997">
        <f>IF($B2997="","",INDEX(Dossiers!$E$4:$E$63,57))</f>
        <v/>
      </c>
      <c r="B2997">
        <f>IF(INDEX(Suivi!$B:$B,3054)="","",INDEX(Suivi!$B:$B,3054))</f>
        <v/>
      </c>
      <c r="C2997">
        <f>IF($B2997="","",IF(INDEX(Suivi!$D:$D,3054)="",INDEX(Suivi!$C:$C,3054),INDEX(Suivi!$D:$D,3054)))</f>
        <v/>
      </c>
      <c r="D2997" s="29">
        <f>IF($B2997="","",INDEX(Suivi!$E:$E,3054))</f>
        <v/>
      </c>
      <c r="E2997" s="29">
        <f>IF($B2997="","",INDEX(Suivi!$F:$F,3054))</f>
        <v/>
      </c>
      <c r="F2997">
        <f>IF($B2997="","",INDEX(Suivi!$G:$G,3054))</f>
        <v/>
      </c>
      <c r="H2997">
        <f>IF(OR($B2997="",NOT(ISNUMBER($D2997))),"",IF($E2997&lt;$D$2,"Passé",IF($D2997&gt;$F$2,"À venir","Dans la période")))</f>
        <v/>
      </c>
      <c r="I2997">
        <f>IF(OR($B2997="",NOT(ISNUMBER($D2997))),"",IF(AND($E2997&lt;$D$2,$G2997&lt;&gt;"X",$F2997&lt;&gt;"Réalisé",$F2997&lt;&gt;"Clôturé"),"RETARD",""))</f>
        <v/>
      </c>
      <c r="J2997" s="29">
        <f>IF($B2997="","",IF(INDEX(Dossiers!$F$4:$F$63,57)="","",INDEX(Dossiers!$F$4:$F$63,57)))</f>
        <v/>
      </c>
      <c r="K2997" s="29">
        <f>IF($B2997="","",IF(INDEX(Dossiers!$G$4:$G$63,57)="","",INDEX(Dossiers!$G$4:$G$63,57)))</f>
        <v/>
      </c>
    </row>
    <row r="2998">
      <c r="A2998">
        <f>IF($B2998="","",INDEX(Dossiers!$E$4:$E$63,57))</f>
        <v/>
      </c>
      <c r="B2998">
        <f>IF(INDEX(Suivi!$B:$B,3055)="","",INDEX(Suivi!$B:$B,3055))</f>
        <v/>
      </c>
      <c r="C2998">
        <f>IF($B2998="","",IF(INDEX(Suivi!$D:$D,3055)="",INDEX(Suivi!$C:$C,3055),INDEX(Suivi!$D:$D,3055)))</f>
        <v/>
      </c>
      <c r="D2998" s="29">
        <f>IF($B2998="","",INDEX(Suivi!$E:$E,3055))</f>
        <v/>
      </c>
      <c r="E2998" s="29">
        <f>IF($B2998="","",INDEX(Suivi!$F:$F,3055))</f>
        <v/>
      </c>
      <c r="F2998">
        <f>IF($B2998="","",INDEX(Suivi!$G:$G,3055))</f>
        <v/>
      </c>
      <c r="H2998">
        <f>IF(OR($B2998="",NOT(ISNUMBER($D2998))),"",IF($E2998&lt;$D$2,"Passé",IF($D2998&gt;$F$2,"À venir","Dans la période")))</f>
        <v/>
      </c>
      <c r="I2998">
        <f>IF(OR($B2998="",NOT(ISNUMBER($D2998))),"",IF(AND($E2998&lt;$D$2,$G2998&lt;&gt;"X",$F2998&lt;&gt;"Réalisé",$F2998&lt;&gt;"Clôturé"),"RETARD",""))</f>
        <v/>
      </c>
      <c r="J2998" s="29">
        <f>IF($B2998="","",IF(INDEX(Dossiers!$F$4:$F$63,57)="","",INDEX(Dossiers!$F$4:$F$63,57)))</f>
        <v/>
      </c>
      <c r="K2998" s="29">
        <f>IF($B2998="","",IF(INDEX(Dossiers!$G$4:$G$63,57)="","",INDEX(Dossiers!$G$4:$G$63,57)))</f>
        <v/>
      </c>
    </row>
    <row r="2999">
      <c r="A2999">
        <f>IF($B2999="","",INDEX(Dossiers!$E$4:$E$63,57))</f>
        <v/>
      </c>
      <c r="B2999">
        <f>IF(INDEX(Suivi!$B:$B,3056)="","",INDEX(Suivi!$B:$B,3056))</f>
        <v/>
      </c>
      <c r="C2999">
        <f>IF($B2999="","",IF(INDEX(Suivi!$D:$D,3056)="",INDEX(Suivi!$C:$C,3056),INDEX(Suivi!$D:$D,3056)))</f>
        <v/>
      </c>
      <c r="D2999" s="29">
        <f>IF($B2999="","",INDEX(Suivi!$E:$E,3056))</f>
        <v/>
      </c>
      <c r="E2999" s="29">
        <f>IF($B2999="","",INDEX(Suivi!$F:$F,3056))</f>
        <v/>
      </c>
      <c r="F2999">
        <f>IF($B2999="","",INDEX(Suivi!$G:$G,3056))</f>
        <v/>
      </c>
      <c r="H2999">
        <f>IF(OR($B2999="",NOT(ISNUMBER($D2999))),"",IF($E2999&lt;$D$2,"Passé",IF($D2999&gt;$F$2,"À venir","Dans la période")))</f>
        <v/>
      </c>
      <c r="I2999">
        <f>IF(OR($B2999="",NOT(ISNUMBER($D2999))),"",IF(AND($E2999&lt;$D$2,$G2999&lt;&gt;"X",$F2999&lt;&gt;"Réalisé",$F2999&lt;&gt;"Clôturé"),"RETARD",""))</f>
        <v/>
      </c>
      <c r="J2999" s="29">
        <f>IF($B2999="","",IF(INDEX(Dossiers!$F$4:$F$63,57)="","",INDEX(Dossiers!$F$4:$F$63,57)))</f>
        <v/>
      </c>
      <c r="K2999" s="29">
        <f>IF($B2999="","",IF(INDEX(Dossiers!$G$4:$G$63,57)="","",INDEX(Dossiers!$G$4:$G$63,57)))</f>
        <v/>
      </c>
    </row>
    <row r="3000">
      <c r="A3000">
        <f>IF($B3000="","",INDEX(Dossiers!$E$4:$E$63,57))</f>
        <v/>
      </c>
      <c r="B3000">
        <f>IF(INDEX(Suivi!$B:$B,3057)="","",INDEX(Suivi!$B:$B,3057))</f>
        <v/>
      </c>
      <c r="C3000">
        <f>IF($B3000="","",IF(INDEX(Suivi!$D:$D,3057)="",INDEX(Suivi!$C:$C,3057),INDEX(Suivi!$D:$D,3057)))</f>
        <v/>
      </c>
      <c r="D3000" s="29">
        <f>IF($B3000="","",INDEX(Suivi!$E:$E,3057))</f>
        <v/>
      </c>
      <c r="E3000" s="29">
        <f>IF($B3000="","",INDEX(Suivi!$F:$F,3057))</f>
        <v/>
      </c>
      <c r="F3000">
        <f>IF($B3000="","",INDEX(Suivi!$G:$G,3057))</f>
        <v/>
      </c>
      <c r="H3000">
        <f>IF(OR($B3000="",NOT(ISNUMBER($D3000))),"",IF($E3000&lt;$D$2,"Passé",IF($D3000&gt;$F$2,"À venir","Dans la période")))</f>
        <v/>
      </c>
      <c r="I3000">
        <f>IF(OR($B3000="",NOT(ISNUMBER($D3000))),"",IF(AND($E3000&lt;$D$2,$G3000&lt;&gt;"X",$F3000&lt;&gt;"Réalisé",$F3000&lt;&gt;"Clôturé"),"RETARD",""))</f>
        <v/>
      </c>
      <c r="J3000" s="29">
        <f>IF($B3000="","",IF(INDEX(Dossiers!$F$4:$F$63,57)="","",INDEX(Dossiers!$F$4:$F$63,57)))</f>
        <v/>
      </c>
      <c r="K3000" s="29">
        <f>IF($B3000="","",IF(INDEX(Dossiers!$G$4:$G$63,57)="","",INDEX(Dossiers!$G$4:$G$63,57)))</f>
        <v/>
      </c>
    </row>
    <row r="3001">
      <c r="A3001">
        <f>IF($B3001="","",INDEX(Dossiers!$E$4:$E$63,57))</f>
        <v/>
      </c>
      <c r="B3001">
        <f>IF(INDEX(Suivi!$B:$B,3058)="","",INDEX(Suivi!$B:$B,3058))</f>
        <v/>
      </c>
      <c r="C3001">
        <f>IF($B3001="","",IF(INDEX(Suivi!$D:$D,3058)="",INDEX(Suivi!$C:$C,3058),INDEX(Suivi!$D:$D,3058)))</f>
        <v/>
      </c>
      <c r="D3001" s="29">
        <f>IF($B3001="","",INDEX(Suivi!$E:$E,3058))</f>
        <v/>
      </c>
      <c r="E3001" s="29">
        <f>IF($B3001="","",INDEX(Suivi!$F:$F,3058))</f>
        <v/>
      </c>
      <c r="F3001">
        <f>IF($B3001="","",INDEX(Suivi!$G:$G,3058))</f>
        <v/>
      </c>
      <c r="H3001">
        <f>IF(OR($B3001="",NOT(ISNUMBER($D3001))),"",IF($E3001&lt;$D$2,"Passé",IF($D3001&gt;$F$2,"À venir","Dans la période")))</f>
        <v/>
      </c>
      <c r="I3001">
        <f>IF(OR($B3001="",NOT(ISNUMBER($D3001))),"",IF(AND($E3001&lt;$D$2,$G3001&lt;&gt;"X",$F3001&lt;&gt;"Réalisé",$F3001&lt;&gt;"Clôturé"),"RETARD",""))</f>
        <v/>
      </c>
      <c r="J3001" s="29">
        <f>IF($B3001="","",IF(INDEX(Dossiers!$F$4:$F$63,57)="","",INDEX(Dossiers!$F$4:$F$63,57)))</f>
        <v/>
      </c>
      <c r="K3001" s="29">
        <f>IF($B3001="","",IF(INDEX(Dossiers!$G$4:$G$63,57)="","",INDEX(Dossiers!$G$4:$G$63,57)))</f>
        <v/>
      </c>
    </row>
    <row r="3002">
      <c r="A3002">
        <f>IF($B3002="","",INDEX(Dossiers!$E$4:$E$63,57))</f>
        <v/>
      </c>
      <c r="B3002">
        <f>IF(INDEX(Suivi!$B:$B,3059)="","",INDEX(Suivi!$B:$B,3059))</f>
        <v/>
      </c>
      <c r="C3002">
        <f>IF($B3002="","",IF(INDEX(Suivi!$D:$D,3059)="",INDEX(Suivi!$C:$C,3059),INDEX(Suivi!$D:$D,3059)))</f>
        <v/>
      </c>
      <c r="D3002" s="29">
        <f>IF($B3002="","",INDEX(Suivi!$E:$E,3059))</f>
        <v/>
      </c>
      <c r="E3002" s="29">
        <f>IF($B3002="","",INDEX(Suivi!$F:$F,3059))</f>
        <v/>
      </c>
      <c r="F3002">
        <f>IF($B3002="","",INDEX(Suivi!$G:$G,3059))</f>
        <v/>
      </c>
      <c r="H3002">
        <f>IF(OR($B3002="",NOT(ISNUMBER($D3002))),"",IF($E3002&lt;$D$2,"Passé",IF($D3002&gt;$F$2,"À venir","Dans la période")))</f>
        <v/>
      </c>
      <c r="I3002">
        <f>IF(OR($B3002="",NOT(ISNUMBER($D3002))),"",IF(AND($E3002&lt;$D$2,$G3002&lt;&gt;"X",$F3002&lt;&gt;"Réalisé",$F3002&lt;&gt;"Clôturé"),"RETARD",""))</f>
        <v/>
      </c>
      <c r="J3002" s="29">
        <f>IF($B3002="","",IF(INDEX(Dossiers!$F$4:$F$63,57)="","",INDEX(Dossiers!$F$4:$F$63,57)))</f>
        <v/>
      </c>
      <c r="K3002" s="29">
        <f>IF($B3002="","",IF(INDEX(Dossiers!$G$4:$G$63,57)="","",INDEX(Dossiers!$G$4:$G$63,57)))</f>
        <v/>
      </c>
    </row>
    <row r="3003">
      <c r="A3003">
        <f>IF($B3003="","",INDEX(Dossiers!$E$4:$E$63,57))</f>
        <v/>
      </c>
      <c r="B3003">
        <f>IF(INDEX(Suivi!$B:$B,3060)="","",INDEX(Suivi!$B:$B,3060))</f>
        <v/>
      </c>
      <c r="C3003">
        <f>IF($B3003="","",IF(INDEX(Suivi!$D:$D,3060)="",INDEX(Suivi!$C:$C,3060),INDEX(Suivi!$D:$D,3060)))</f>
        <v/>
      </c>
      <c r="D3003" s="29">
        <f>IF($B3003="","",INDEX(Suivi!$E:$E,3060))</f>
        <v/>
      </c>
      <c r="E3003" s="29">
        <f>IF($B3003="","",INDEX(Suivi!$F:$F,3060))</f>
        <v/>
      </c>
      <c r="F3003">
        <f>IF($B3003="","",INDEX(Suivi!$G:$G,3060))</f>
        <v/>
      </c>
      <c r="H3003">
        <f>IF(OR($B3003="",NOT(ISNUMBER($D3003))),"",IF($E3003&lt;$D$2,"Passé",IF($D3003&gt;$F$2,"À venir","Dans la période")))</f>
        <v/>
      </c>
      <c r="I3003">
        <f>IF(OR($B3003="",NOT(ISNUMBER($D3003))),"",IF(AND($E3003&lt;$D$2,$G3003&lt;&gt;"X",$F3003&lt;&gt;"Réalisé",$F3003&lt;&gt;"Clôturé"),"RETARD",""))</f>
        <v/>
      </c>
      <c r="J3003" s="29">
        <f>IF($B3003="","",IF(INDEX(Dossiers!$F$4:$F$63,57)="","",INDEX(Dossiers!$F$4:$F$63,57)))</f>
        <v/>
      </c>
      <c r="K3003" s="29">
        <f>IF($B3003="","",IF(INDEX(Dossiers!$G$4:$G$63,57)="","",INDEX(Dossiers!$G$4:$G$63,57)))</f>
        <v/>
      </c>
    </row>
    <row r="3004">
      <c r="A3004">
        <f>IF($B3004="","",INDEX(Dossiers!$E$4:$E$63,57))</f>
        <v/>
      </c>
      <c r="B3004">
        <f>IF(INDEX(Suivi!$B:$B,3061)="","",INDEX(Suivi!$B:$B,3061))</f>
        <v/>
      </c>
      <c r="C3004">
        <f>IF($B3004="","",IF(INDEX(Suivi!$D:$D,3061)="",INDEX(Suivi!$C:$C,3061),INDEX(Suivi!$D:$D,3061)))</f>
        <v/>
      </c>
      <c r="D3004" s="29">
        <f>IF($B3004="","",INDEX(Suivi!$E:$E,3061))</f>
        <v/>
      </c>
      <c r="E3004" s="29">
        <f>IF($B3004="","",INDEX(Suivi!$F:$F,3061))</f>
        <v/>
      </c>
      <c r="F3004">
        <f>IF($B3004="","",INDEX(Suivi!$G:$G,3061))</f>
        <v/>
      </c>
      <c r="H3004">
        <f>IF(OR($B3004="",NOT(ISNUMBER($D3004))),"",IF($E3004&lt;$D$2,"Passé",IF($D3004&gt;$F$2,"À venir","Dans la période")))</f>
        <v/>
      </c>
      <c r="I3004">
        <f>IF(OR($B3004="",NOT(ISNUMBER($D3004))),"",IF(AND($E3004&lt;$D$2,$G3004&lt;&gt;"X",$F3004&lt;&gt;"Réalisé",$F3004&lt;&gt;"Clôturé"),"RETARD",""))</f>
        <v/>
      </c>
      <c r="J3004" s="29">
        <f>IF($B3004="","",IF(INDEX(Dossiers!$F$4:$F$63,57)="","",INDEX(Dossiers!$F$4:$F$63,57)))</f>
        <v/>
      </c>
      <c r="K3004" s="29">
        <f>IF($B3004="","",IF(INDEX(Dossiers!$G$4:$G$63,57)="","",INDEX(Dossiers!$G$4:$G$63,57)))</f>
        <v/>
      </c>
    </row>
    <row r="3005">
      <c r="A3005">
        <f>IF($B3005="","",INDEX(Dossiers!$E$4:$E$63,57))</f>
        <v/>
      </c>
      <c r="B3005">
        <f>IF(INDEX(Suivi!$B:$B,3062)="","",INDEX(Suivi!$B:$B,3062))</f>
        <v/>
      </c>
      <c r="C3005">
        <f>IF($B3005="","",IF(INDEX(Suivi!$D:$D,3062)="",INDEX(Suivi!$C:$C,3062),INDEX(Suivi!$D:$D,3062)))</f>
        <v/>
      </c>
      <c r="D3005" s="29">
        <f>IF($B3005="","",INDEX(Suivi!$E:$E,3062))</f>
        <v/>
      </c>
      <c r="E3005" s="29">
        <f>IF($B3005="","",INDEX(Suivi!$F:$F,3062))</f>
        <v/>
      </c>
      <c r="F3005">
        <f>IF($B3005="","",INDEX(Suivi!$G:$G,3062))</f>
        <v/>
      </c>
      <c r="H3005">
        <f>IF(OR($B3005="",NOT(ISNUMBER($D3005))),"",IF($E3005&lt;$D$2,"Passé",IF($D3005&gt;$F$2,"À venir","Dans la période")))</f>
        <v/>
      </c>
      <c r="I3005">
        <f>IF(OR($B3005="",NOT(ISNUMBER($D3005))),"",IF(AND($E3005&lt;$D$2,$G3005&lt;&gt;"X",$F3005&lt;&gt;"Réalisé",$F3005&lt;&gt;"Clôturé"),"RETARD",""))</f>
        <v/>
      </c>
      <c r="J3005" s="29">
        <f>IF($B3005="","",IF(INDEX(Dossiers!$F$4:$F$63,57)="","",INDEX(Dossiers!$F$4:$F$63,57)))</f>
        <v/>
      </c>
      <c r="K3005" s="29">
        <f>IF($B3005="","",IF(INDEX(Dossiers!$G$4:$G$63,57)="","",INDEX(Dossiers!$G$4:$G$63,57)))</f>
        <v/>
      </c>
    </row>
    <row r="3006">
      <c r="A3006">
        <f>IF($B3006="","",INDEX(Dossiers!$E$4:$E$63,57))</f>
        <v/>
      </c>
      <c r="B3006">
        <f>IF(INDEX(Suivi!$B:$B,3063)="","",INDEX(Suivi!$B:$B,3063))</f>
        <v/>
      </c>
      <c r="C3006">
        <f>IF($B3006="","",IF(INDEX(Suivi!$D:$D,3063)="",INDEX(Suivi!$C:$C,3063),INDEX(Suivi!$D:$D,3063)))</f>
        <v/>
      </c>
      <c r="D3006" s="29">
        <f>IF($B3006="","",INDEX(Suivi!$E:$E,3063))</f>
        <v/>
      </c>
      <c r="E3006" s="29">
        <f>IF($B3006="","",INDEX(Suivi!$F:$F,3063))</f>
        <v/>
      </c>
      <c r="F3006">
        <f>IF($B3006="","",INDEX(Suivi!$G:$G,3063))</f>
        <v/>
      </c>
      <c r="H3006">
        <f>IF(OR($B3006="",NOT(ISNUMBER($D3006))),"",IF($E3006&lt;$D$2,"Passé",IF($D3006&gt;$F$2,"À venir","Dans la période")))</f>
        <v/>
      </c>
      <c r="I3006">
        <f>IF(OR($B3006="",NOT(ISNUMBER($D3006))),"",IF(AND($E3006&lt;$D$2,$G3006&lt;&gt;"X",$F3006&lt;&gt;"Réalisé",$F3006&lt;&gt;"Clôturé"),"RETARD",""))</f>
        <v/>
      </c>
      <c r="J3006" s="29">
        <f>IF($B3006="","",IF(INDEX(Dossiers!$F$4:$F$63,57)="","",INDEX(Dossiers!$F$4:$F$63,57)))</f>
        <v/>
      </c>
      <c r="K3006" s="29">
        <f>IF($B3006="","",IF(INDEX(Dossiers!$G$4:$G$63,57)="","",INDEX(Dossiers!$G$4:$G$63,57)))</f>
        <v/>
      </c>
    </row>
    <row r="3007">
      <c r="A3007">
        <f>IF($B3007="","",INDEX(Dossiers!$E$4:$E$63,57))</f>
        <v/>
      </c>
      <c r="B3007">
        <f>IF(INDEX(Suivi!$B:$B,3064)="","",INDEX(Suivi!$B:$B,3064))</f>
        <v/>
      </c>
      <c r="C3007">
        <f>IF($B3007="","",IF(INDEX(Suivi!$D:$D,3064)="",INDEX(Suivi!$C:$C,3064),INDEX(Suivi!$D:$D,3064)))</f>
        <v/>
      </c>
      <c r="D3007" s="29">
        <f>IF($B3007="","",INDEX(Suivi!$E:$E,3064))</f>
        <v/>
      </c>
      <c r="E3007" s="29">
        <f>IF($B3007="","",INDEX(Suivi!$F:$F,3064))</f>
        <v/>
      </c>
      <c r="F3007">
        <f>IF($B3007="","",INDEX(Suivi!$G:$G,3064))</f>
        <v/>
      </c>
      <c r="H3007">
        <f>IF(OR($B3007="",NOT(ISNUMBER($D3007))),"",IF($E3007&lt;$D$2,"Passé",IF($D3007&gt;$F$2,"À venir","Dans la période")))</f>
        <v/>
      </c>
      <c r="I3007">
        <f>IF(OR($B3007="",NOT(ISNUMBER($D3007))),"",IF(AND($E3007&lt;$D$2,$G3007&lt;&gt;"X",$F3007&lt;&gt;"Réalisé",$F3007&lt;&gt;"Clôturé"),"RETARD",""))</f>
        <v/>
      </c>
      <c r="J3007" s="29">
        <f>IF($B3007="","",IF(INDEX(Dossiers!$F$4:$F$63,57)="","",INDEX(Dossiers!$F$4:$F$63,57)))</f>
        <v/>
      </c>
      <c r="K3007" s="29">
        <f>IF($B3007="","",IF(INDEX(Dossiers!$G$4:$G$63,57)="","",INDEX(Dossiers!$G$4:$G$63,57)))</f>
        <v/>
      </c>
    </row>
    <row r="3008">
      <c r="A3008">
        <f>IF($B3008="","",INDEX(Dossiers!$E$4:$E$63,57))</f>
        <v/>
      </c>
      <c r="B3008">
        <f>IF(INDEX(Suivi!$B:$B,3065)="","",INDEX(Suivi!$B:$B,3065))</f>
        <v/>
      </c>
      <c r="C3008">
        <f>IF($B3008="","",IF(INDEX(Suivi!$D:$D,3065)="",INDEX(Suivi!$C:$C,3065),INDEX(Suivi!$D:$D,3065)))</f>
        <v/>
      </c>
      <c r="D3008" s="29">
        <f>IF($B3008="","",INDEX(Suivi!$E:$E,3065))</f>
        <v/>
      </c>
      <c r="E3008" s="29">
        <f>IF($B3008="","",INDEX(Suivi!$F:$F,3065))</f>
        <v/>
      </c>
      <c r="F3008">
        <f>IF($B3008="","",INDEX(Suivi!$G:$G,3065))</f>
        <v/>
      </c>
      <c r="H3008">
        <f>IF(OR($B3008="",NOT(ISNUMBER($D3008))),"",IF($E3008&lt;$D$2,"Passé",IF($D3008&gt;$F$2,"À venir","Dans la période")))</f>
        <v/>
      </c>
      <c r="I3008">
        <f>IF(OR($B3008="",NOT(ISNUMBER($D3008))),"",IF(AND($E3008&lt;$D$2,$G3008&lt;&gt;"X",$F3008&lt;&gt;"Réalisé",$F3008&lt;&gt;"Clôturé"),"RETARD",""))</f>
        <v/>
      </c>
      <c r="J3008" s="29">
        <f>IF($B3008="","",IF(INDEX(Dossiers!$F$4:$F$63,57)="","",INDEX(Dossiers!$F$4:$F$63,57)))</f>
        <v/>
      </c>
      <c r="K3008" s="29">
        <f>IF($B3008="","",IF(INDEX(Dossiers!$G$4:$G$63,57)="","",INDEX(Dossiers!$G$4:$G$63,57)))</f>
        <v/>
      </c>
    </row>
    <row r="3009">
      <c r="A3009">
        <f>IF($B3009="","",INDEX(Dossiers!$E$4:$E$63,57))</f>
        <v/>
      </c>
      <c r="B3009">
        <f>IF(INDEX(Suivi!$B:$B,3066)="","",INDEX(Suivi!$B:$B,3066))</f>
        <v/>
      </c>
      <c r="C3009">
        <f>IF($B3009="","",IF(INDEX(Suivi!$D:$D,3066)="",INDEX(Suivi!$C:$C,3066),INDEX(Suivi!$D:$D,3066)))</f>
        <v/>
      </c>
      <c r="D3009" s="29">
        <f>IF($B3009="","",INDEX(Suivi!$E:$E,3066))</f>
        <v/>
      </c>
      <c r="E3009" s="29">
        <f>IF($B3009="","",INDEX(Suivi!$F:$F,3066))</f>
        <v/>
      </c>
      <c r="F3009">
        <f>IF($B3009="","",INDEX(Suivi!$G:$G,3066))</f>
        <v/>
      </c>
      <c r="H3009">
        <f>IF(OR($B3009="",NOT(ISNUMBER($D3009))),"",IF($E3009&lt;$D$2,"Passé",IF($D3009&gt;$F$2,"À venir","Dans la période")))</f>
        <v/>
      </c>
      <c r="I3009">
        <f>IF(OR($B3009="",NOT(ISNUMBER($D3009))),"",IF(AND($E3009&lt;$D$2,$G3009&lt;&gt;"X",$F3009&lt;&gt;"Réalisé",$F3009&lt;&gt;"Clôturé"),"RETARD",""))</f>
        <v/>
      </c>
      <c r="J3009" s="29">
        <f>IF($B3009="","",IF(INDEX(Dossiers!$F$4:$F$63,57)="","",INDEX(Dossiers!$F$4:$F$63,57)))</f>
        <v/>
      </c>
      <c r="K3009" s="29">
        <f>IF($B3009="","",IF(INDEX(Dossiers!$G$4:$G$63,57)="","",INDEX(Dossiers!$G$4:$G$63,57)))</f>
        <v/>
      </c>
    </row>
    <row r="3010">
      <c r="A3010">
        <f>IF($B3010="","",INDEX(Dossiers!$E$4:$E$63,57))</f>
        <v/>
      </c>
      <c r="B3010">
        <f>IF(INDEX(Suivi!$B:$B,3067)="","",INDEX(Suivi!$B:$B,3067))</f>
        <v/>
      </c>
      <c r="C3010">
        <f>IF($B3010="","",IF(INDEX(Suivi!$D:$D,3067)="",INDEX(Suivi!$C:$C,3067),INDEX(Suivi!$D:$D,3067)))</f>
        <v/>
      </c>
      <c r="D3010" s="29">
        <f>IF($B3010="","",INDEX(Suivi!$E:$E,3067))</f>
        <v/>
      </c>
      <c r="E3010" s="29">
        <f>IF($B3010="","",INDEX(Suivi!$F:$F,3067))</f>
        <v/>
      </c>
      <c r="F3010">
        <f>IF($B3010="","",INDEX(Suivi!$G:$G,3067))</f>
        <v/>
      </c>
      <c r="H3010">
        <f>IF(OR($B3010="",NOT(ISNUMBER($D3010))),"",IF($E3010&lt;$D$2,"Passé",IF($D3010&gt;$F$2,"À venir","Dans la période")))</f>
        <v/>
      </c>
      <c r="I3010">
        <f>IF(OR($B3010="",NOT(ISNUMBER($D3010))),"",IF(AND($E3010&lt;$D$2,$G3010&lt;&gt;"X",$F3010&lt;&gt;"Réalisé",$F3010&lt;&gt;"Clôturé"),"RETARD",""))</f>
        <v/>
      </c>
      <c r="J3010" s="29">
        <f>IF($B3010="","",IF(INDEX(Dossiers!$F$4:$F$63,57)="","",INDEX(Dossiers!$F$4:$F$63,57)))</f>
        <v/>
      </c>
      <c r="K3010" s="29">
        <f>IF($B3010="","",IF(INDEX(Dossiers!$G$4:$G$63,57)="","",INDEX(Dossiers!$G$4:$G$63,57)))</f>
        <v/>
      </c>
    </row>
    <row r="3011">
      <c r="A3011">
        <f>IF($B3011="","",INDEX(Dossiers!$E$4:$E$63,57))</f>
        <v/>
      </c>
      <c r="B3011">
        <f>IF(INDEX(Suivi!$B:$B,3068)="","",INDEX(Suivi!$B:$B,3068))</f>
        <v/>
      </c>
      <c r="C3011">
        <f>IF($B3011="","",IF(INDEX(Suivi!$D:$D,3068)="",INDEX(Suivi!$C:$C,3068),INDEX(Suivi!$D:$D,3068)))</f>
        <v/>
      </c>
      <c r="D3011" s="29">
        <f>IF($B3011="","",INDEX(Suivi!$E:$E,3068))</f>
        <v/>
      </c>
      <c r="E3011" s="29">
        <f>IF($B3011="","",INDEX(Suivi!$F:$F,3068))</f>
        <v/>
      </c>
      <c r="F3011">
        <f>IF($B3011="","",INDEX(Suivi!$G:$G,3068))</f>
        <v/>
      </c>
      <c r="H3011">
        <f>IF(OR($B3011="",NOT(ISNUMBER($D3011))),"",IF($E3011&lt;$D$2,"Passé",IF($D3011&gt;$F$2,"À venir","Dans la période")))</f>
        <v/>
      </c>
      <c r="I3011">
        <f>IF(OR($B3011="",NOT(ISNUMBER($D3011))),"",IF(AND($E3011&lt;$D$2,$G3011&lt;&gt;"X",$F3011&lt;&gt;"Réalisé",$F3011&lt;&gt;"Clôturé"),"RETARD",""))</f>
        <v/>
      </c>
      <c r="J3011" s="29">
        <f>IF($B3011="","",IF(INDEX(Dossiers!$F$4:$F$63,57)="","",INDEX(Dossiers!$F$4:$F$63,57)))</f>
        <v/>
      </c>
      <c r="K3011" s="29">
        <f>IF($B3011="","",IF(INDEX(Dossiers!$G$4:$G$63,57)="","",INDEX(Dossiers!$G$4:$G$63,57)))</f>
        <v/>
      </c>
    </row>
    <row r="3012">
      <c r="A3012">
        <f>IF($B3012="","",INDEX(Dossiers!$E$4:$E$63,57))</f>
        <v/>
      </c>
      <c r="B3012">
        <f>IF(INDEX(Suivi!$B:$B,3069)="","",INDEX(Suivi!$B:$B,3069))</f>
        <v/>
      </c>
      <c r="C3012">
        <f>IF($B3012="","",IF(INDEX(Suivi!$D:$D,3069)="",INDEX(Suivi!$C:$C,3069),INDEX(Suivi!$D:$D,3069)))</f>
        <v/>
      </c>
      <c r="D3012" s="29">
        <f>IF($B3012="","",INDEX(Suivi!$E:$E,3069))</f>
        <v/>
      </c>
      <c r="E3012" s="29">
        <f>IF($B3012="","",INDEX(Suivi!$F:$F,3069))</f>
        <v/>
      </c>
      <c r="F3012">
        <f>IF($B3012="","",INDEX(Suivi!$G:$G,3069))</f>
        <v/>
      </c>
      <c r="H3012">
        <f>IF(OR($B3012="",NOT(ISNUMBER($D3012))),"",IF($E3012&lt;$D$2,"Passé",IF($D3012&gt;$F$2,"À venir","Dans la période")))</f>
        <v/>
      </c>
      <c r="I3012">
        <f>IF(OR($B3012="",NOT(ISNUMBER($D3012))),"",IF(AND($E3012&lt;$D$2,$G3012&lt;&gt;"X",$F3012&lt;&gt;"Réalisé",$F3012&lt;&gt;"Clôturé"),"RETARD",""))</f>
        <v/>
      </c>
      <c r="J3012" s="29">
        <f>IF($B3012="","",IF(INDEX(Dossiers!$F$4:$F$63,57)="","",INDEX(Dossiers!$F$4:$F$63,57)))</f>
        <v/>
      </c>
      <c r="K3012" s="29">
        <f>IF($B3012="","",IF(INDEX(Dossiers!$G$4:$G$63,57)="","",INDEX(Dossiers!$G$4:$G$63,57)))</f>
        <v/>
      </c>
    </row>
    <row r="3013">
      <c r="A3013">
        <f>IF($B3013="","",INDEX(Dossiers!$E$4:$E$63,57))</f>
        <v/>
      </c>
      <c r="B3013">
        <f>IF(INDEX(Suivi!$B:$B,3070)="","",INDEX(Suivi!$B:$B,3070))</f>
        <v/>
      </c>
      <c r="C3013">
        <f>IF($B3013="","",IF(INDEX(Suivi!$D:$D,3070)="",INDEX(Suivi!$C:$C,3070),INDEX(Suivi!$D:$D,3070)))</f>
        <v/>
      </c>
      <c r="D3013" s="29">
        <f>IF($B3013="","",INDEX(Suivi!$E:$E,3070))</f>
        <v/>
      </c>
      <c r="E3013" s="29">
        <f>IF($B3013="","",INDEX(Suivi!$F:$F,3070))</f>
        <v/>
      </c>
      <c r="F3013">
        <f>IF($B3013="","",INDEX(Suivi!$G:$G,3070))</f>
        <v/>
      </c>
      <c r="H3013">
        <f>IF(OR($B3013="",NOT(ISNUMBER($D3013))),"",IF($E3013&lt;$D$2,"Passé",IF($D3013&gt;$F$2,"À venir","Dans la période")))</f>
        <v/>
      </c>
      <c r="I3013">
        <f>IF(OR($B3013="",NOT(ISNUMBER($D3013))),"",IF(AND($E3013&lt;$D$2,$G3013&lt;&gt;"X",$F3013&lt;&gt;"Réalisé",$F3013&lt;&gt;"Clôturé"),"RETARD",""))</f>
        <v/>
      </c>
      <c r="J3013" s="29">
        <f>IF($B3013="","",IF(INDEX(Dossiers!$F$4:$F$63,57)="","",INDEX(Dossiers!$F$4:$F$63,57)))</f>
        <v/>
      </c>
      <c r="K3013" s="29">
        <f>IF($B3013="","",IF(INDEX(Dossiers!$G$4:$G$63,57)="","",INDEX(Dossiers!$G$4:$G$63,57)))</f>
        <v/>
      </c>
    </row>
    <row r="3014">
      <c r="A3014">
        <f>IF($B3014="","",INDEX(Dossiers!$E$4:$E$63,57))</f>
        <v/>
      </c>
      <c r="B3014">
        <f>IF(INDEX(Suivi!$B:$B,3071)="","",INDEX(Suivi!$B:$B,3071))</f>
        <v/>
      </c>
      <c r="C3014">
        <f>IF($B3014="","",IF(INDEX(Suivi!$D:$D,3071)="",INDEX(Suivi!$C:$C,3071),INDEX(Suivi!$D:$D,3071)))</f>
        <v/>
      </c>
      <c r="D3014" s="29">
        <f>IF($B3014="","",INDEX(Suivi!$E:$E,3071))</f>
        <v/>
      </c>
      <c r="E3014" s="29">
        <f>IF($B3014="","",INDEX(Suivi!$F:$F,3071))</f>
        <v/>
      </c>
      <c r="F3014">
        <f>IF($B3014="","",INDEX(Suivi!$G:$G,3071))</f>
        <v/>
      </c>
      <c r="H3014">
        <f>IF(OR($B3014="",NOT(ISNUMBER($D3014))),"",IF($E3014&lt;$D$2,"Passé",IF($D3014&gt;$F$2,"À venir","Dans la période")))</f>
        <v/>
      </c>
      <c r="I3014">
        <f>IF(OR($B3014="",NOT(ISNUMBER($D3014))),"",IF(AND($E3014&lt;$D$2,$G3014&lt;&gt;"X",$F3014&lt;&gt;"Réalisé",$F3014&lt;&gt;"Clôturé"),"RETARD",""))</f>
        <v/>
      </c>
      <c r="J3014" s="29">
        <f>IF($B3014="","",IF(INDEX(Dossiers!$F$4:$F$63,57)="","",INDEX(Dossiers!$F$4:$F$63,57)))</f>
        <v/>
      </c>
      <c r="K3014" s="29">
        <f>IF($B3014="","",IF(INDEX(Dossiers!$G$4:$G$63,57)="","",INDEX(Dossiers!$G$4:$G$63,57)))</f>
        <v/>
      </c>
    </row>
    <row r="3015">
      <c r="A3015">
        <f>IF($B3015="","",INDEX(Dossiers!$E$4:$E$63,57))</f>
        <v/>
      </c>
      <c r="B3015">
        <f>IF(INDEX(Suivi!$B:$B,3072)="","",INDEX(Suivi!$B:$B,3072))</f>
        <v/>
      </c>
      <c r="C3015">
        <f>IF($B3015="","",IF(INDEX(Suivi!$D:$D,3072)="",INDEX(Suivi!$C:$C,3072),INDEX(Suivi!$D:$D,3072)))</f>
        <v/>
      </c>
      <c r="D3015" s="29">
        <f>IF($B3015="","",INDEX(Suivi!$E:$E,3072))</f>
        <v/>
      </c>
      <c r="E3015" s="29">
        <f>IF($B3015="","",INDEX(Suivi!$F:$F,3072))</f>
        <v/>
      </c>
      <c r="F3015">
        <f>IF($B3015="","",INDEX(Suivi!$G:$G,3072))</f>
        <v/>
      </c>
      <c r="H3015">
        <f>IF(OR($B3015="",NOT(ISNUMBER($D3015))),"",IF($E3015&lt;$D$2,"Passé",IF($D3015&gt;$F$2,"À venir","Dans la période")))</f>
        <v/>
      </c>
      <c r="I3015">
        <f>IF(OR($B3015="",NOT(ISNUMBER($D3015))),"",IF(AND($E3015&lt;$D$2,$G3015&lt;&gt;"X",$F3015&lt;&gt;"Réalisé",$F3015&lt;&gt;"Clôturé"),"RETARD",""))</f>
        <v/>
      </c>
      <c r="J3015" s="29">
        <f>IF($B3015="","",IF(INDEX(Dossiers!$F$4:$F$63,57)="","",INDEX(Dossiers!$F$4:$F$63,57)))</f>
        <v/>
      </c>
      <c r="K3015" s="29">
        <f>IF($B3015="","",IF(INDEX(Dossiers!$G$4:$G$63,57)="","",INDEX(Dossiers!$G$4:$G$63,57)))</f>
        <v/>
      </c>
    </row>
    <row r="3016">
      <c r="A3016">
        <f>IF($B3016="","",INDEX(Dossiers!$E$4:$E$63,57))</f>
        <v/>
      </c>
      <c r="B3016">
        <f>IF(INDEX(Suivi!$B:$B,3073)="","",INDEX(Suivi!$B:$B,3073))</f>
        <v/>
      </c>
      <c r="C3016">
        <f>IF($B3016="","",IF(INDEX(Suivi!$D:$D,3073)="",INDEX(Suivi!$C:$C,3073),INDEX(Suivi!$D:$D,3073)))</f>
        <v/>
      </c>
      <c r="D3016" s="29">
        <f>IF($B3016="","",INDEX(Suivi!$E:$E,3073))</f>
        <v/>
      </c>
      <c r="E3016" s="29">
        <f>IF($B3016="","",INDEX(Suivi!$F:$F,3073))</f>
        <v/>
      </c>
      <c r="F3016">
        <f>IF($B3016="","",INDEX(Suivi!$G:$G,3073))</f>
        <v/>
      </c>
      <c r="H3016">
        <f>IF(OR($B3016="",NOT(ISNUMBER($D3016))),"",IF($E3016&lt;$D$2,"Passé",IF($D3016&gt;$F$2,"À venir","Dans la période")))</f>
        <v/>
      </c>
      <c r="I3016">
        <f>IF(OR($B3016="",NOT(ISNUMBER($D3016))),"",IF(AND($E3016&lt;$D$2,$G3016&lt;&gt;"X",$F3016&lt;&gt;"Réalisé",$F3016&lt;&gt;"Clôturé"),"RETARD",""))</f>
        <v/>
      </c>
      <c r="J3016" s="29">
        <f>IF($B3016="","",IF(INDEX(Dossiers!$F$4:$F$63,57)="","",INDEX(Dossiers!$F$4:$F$63,57)))</f>
        <v/>
      </c>
      <c r="K3016" s="29">
        <f>IF($B3016="","",IF(INDEX(Dossiers!$G$4:$G$63,57)="","",INDEX(Dossiers!$G$4:$G$63,57)))</f>
        <v/>
      </c>
    </row>
    <row r="3017">
      <c r="A3017">
        <f>IF($B3017="","",INDEX(Dossiers!$E$4:$E$63,57))</f>
        <v/>
      </c>
      <c r="B3017">
        <f>IF(INDEX(Suivi!$B:$B,3074)="","",INDEX(Suivi!$B:$B,3074))</f>
        <v/>
      </c>
      <c r="C3017">
        <f>IF($B3017="","",IF(INDEX(Suivi!$D:$D,3074)="",INDEX(Suivi!$C:$C,3074),INDEX(Suivi!$D:$D,3074)))</f>
        <v/>
      </c>
      <c r="D3017" s="29">
        <f>IF($B3017="","",INDEX(Suivi!$E:$E,3074))</f>
        <v/>
      </c>
      <c r="E3017" s="29">
        <f>IF($B3017="","",INDEX(Suivi!$F:$F,3074))</f>
        <v/>
      </c>
      <c r="F3017">
        <f>IF($B3017="","",INDEX(Suivi!$G:$G,3074))</f>
        <v/>
      </c>
      <c r="H3017">
        <f>IF(OR($B3017="",NOT(ISNUMBER($D3017))),"",IF($E3017&lt;$D$2,"Passé",IF($D3017&gt;$F$2,"À venir","Dans la période")))</f>
        <v/>
      </c>
      <c r="I3017">
        <f>IF(OR($B3017="",NOT(ISNUMBER($D3017))),"",IF(AND($E3017&lt;$D$2,$G3017&lt;&gt;"X",$F3017&lt;&gt;"Réalisé",$F3017&lt;&gt;"Clôturé"),"RETARD",""))</f>
        <v/>
      </c>
      <c r="J3017" s="29">
        <f>IF($B3017="","",IF(INDEX(Dossiers!$F$4:$F$63,57)="","",INDEX(Dossiers!$F$4:$F$63,57)))</f>
        <v/>
      </c>
      <c r="K3017" s="29">
        <f>IF($B3017="","",IF(INDEX(Dossiers!$G$4:$G$63,57)="","",INDEX(Dossiers!$G$4:$G$63,57)))</f>
        <v/>
      </c>
    </row>
    <row r="3018">
      <c r="A3018">
        <f>IF($B3018="","",INDEX(Dossiers!$E$4:$E$63,57))</f>
        <v/>
      </c>
      <c r="B3018">
        <f>IF(INDEX(Suivi!$B:$B,3075)="","",INDEX(Suivi!$B:$B,3075))</f>
        <v/>
      </c>
      <c r="C3018">
        <f>IF($B3018="","",IF(INDEX(Suivi!$D:$D,3075)="",INDEX(Suivi!$C:$C,3075),INDEX(Suivi!$D:$D,3075)))</f>
        <v/>
      </c>
      <c r="D3018" s="29">
        <f>IF($B3018="","",INDEX(Suivi!$E:$E,3075))</f>
        <v/>
      </c>
      <c r="E3018" s="29">
        <f>IF($B3018="","",INDEX(Suivi!$F:$F,3075))</f>
        <v/>
      </c>
      <c r="F3018">
        <f>IF($B3018="","",INDEX(Suivi!$G:$G,3075))</f>
        <v/>
      </c>
      <c r="H3018">
        <f>IF(OR($B3018="",NOT(ISNUMBER($D3018))),"",IF($E3018&lt;$D$2,"Passé",IF($D3018&gt;$F$2,"À venir","Dans la période")))</f>
        <v/>
      </c>
      <c r="I3018">
        <f>IF(OR($B3018="",NOT(ISNUMBER($D3018))),"",IF(AND($E3018&lt;$D$2,$G3018&lt;&gt;"X",$F3018&lt;&gt;"Réalisé",$F3018&lt;&gt;"Clôturé"),"RETARD",""))</f>
        <v/>
      </c>
      <c r="J3018" s="29">
        <f>IF($B3018="","",IF(INDEX(Dossiers!$F$4:$F$63,57)="","",INDEX(Dossiers!$F$4:$F$63,57)))</f>
        <v/>
      </c>
      <c r="K3018" s="29">
        <f>IF($B3018="","",IF(INDEX(Dossiers!$G$4:$G$63,57)="","",INDEX(Dossiers!$G$4:$G$63,57)))</f>
        <v/>
      </c>
    </row>
    <row r="3019">
      <c r="A3019">
        <f>IF($B3019="","",INDEX(Dossiers!$E$4:$E$63,57))</f>
        <v/>
      </c>
      <c r="B3019">
        <f>IF(INDEX(Suivi!$B:$B,3076)="","",INDEX(Suivi!$B:$B,3076))</f>
        <v/>
      </c>
      <c r="C3019">
        <f>IF($B3019="","",IF(INDEX(Suivi!$D:$D,3076)="",INDEX(Suivi!$C:$C,3076),INDEX(Suivi!$D:$D,3076)))</f>
        <v/>
      </c>
      <c r="D3019" s="29">
        <f>IF($B3019="","",INDEX(Suivi!$E:$E,3076))</f>
        <v/>
      </c>
      <c r="E3019" s="29">
        <f>IF($B3019="","",INDEX(Suivi!$F:$F,3076))</f>
        <v/>
      </c>
      <c r="F3019">
        <f>IF($B3019="","",INDEX(Suivi!$G:$G,3076))</f>
        <v/>
      </c>
      <c r="H3019">
        <f>IF(OR($B3019="",NOT(ISNUMBER($D3019))),"",IF($E3019&lt;$D$2,"Passé",IF($D3019&gt;$F$2,"À venir","Dans la période")))</f>
        <v/>
      </c>
      <c r="I3019">
        <f>IF(OR($B3019="",NOT(ISNUMBER($D3019))),"",IF(AND($E3019&lt;$D$2,$G3019&lt;&gt;"X",$F3019&lt;&gt;"Réalisé",$F3019&lt;&gt;"Clôturé"),"RETARD",""))</f>
        <v/>
      </c>
      <c r="J3019" s="29">
        <f>IF($B3019="","",IF(INDEX(Dossiers!$F$4:$F$63,57)="","",INDEX(Dossiers!$F$4:$F$63,57)))</f>
        <v/>
      </c>
      <c r="K3019" s="29">
        <f>IF($B3019="","",IF(INDEX(Dossiers!$G$4:$G$63,57)="","",INDEX(Dossiers!$G$4:$G$63,57)))</f>
        <v/>
      </c>
    </row>
    <row r="3020">
      <c r="A3020">
        <f>IF($B3020="","",INDEX(Dossiers!$E$4:$E$63,57))</f>
        <v/>
      </c>
      <c r="B3020">
        <f>IF(INDEX(Suivi!$B:$B,3077)="","",INDEX(Suivi!$B:$B,3077))</f>
        <v/>
      </c>
      <c r="C3020">
        <f>IF($B3020="","",IF(INDEX(Suivi!$D:$D,3077)="",INDEX(Suivi!$C:$C,3077),INDEX(Suivi!$D:$D,3077)))</f>
        <v/>
      </c>
      <c r="D3020" s="29">
        <f>IF($B3020="","",INDEX(Suivi!$E:$E,3077))</f>
        <v/>
      </c>
      <c r="E3020" s="29">
        <f>IF($B3020="","",INDEX(Suivi!$F:$F,3077))</f>
        <v/>
      </c>
      <c r="F3020">
        <f>IF($B3020="","",INDEX(Suivi!$G:$G,3077))</f>
        <v/>
      </c>
      <c r="H3020">
        <f>IF(OR($B3020="",NOT(ISNUMBER($D3020))),"",IF($E3020&lt;$D$2,"Passé",IF($D3020&gt;$F$2,"À venir","Dans la période")))</f>
        <v/>
      </c>
      <c r="I3020">
        <f>IF(OR($B3020="",NOT(ISNUMBER($D3020))),"",IF(AND($E3020&lt;$D$2,$G3020&lt;&gt;"X",$F3020&lt;&gt;"Réalisé",$F3020&lt;&gt;"Clôturé"),"RETARD",""))</f>
        <v/>
      </c>
      <c r="J3020" s="29">
        <f>IF($B3020="","",IF(INDEX(Dossiers!$F$4:$F$63,57)="","",INDEX(Dossiers!$F$4:$F$63,57)))</f>
        <v/>
      </c>
      <c r="K3020" s="29">
        <f>IF($B3020="","",IF(INDEX(Dossiers!$G$4:$G$63,57)="","",INDEX(Dossiers!$G$4:$G$63,57)))</f>
        <v/>
      </c>
    </row>
    <row r="3021">
      <c r="A3021">
        <f>IF($B3021="","",INDEX(Dossiers!$E$4:$E$63,57))</f>
        <v/>
      </c>
      <c r="B3021">
        <f>IF(INDEX(Suivi!$B:$B,3078)="","",INDEX(Suivi!$B:$B,3078))</f>
        <v/>
      </c>
      <c r="C3021">
        <f>IF($B3021="","",IF(INDEX(Suivi!$D:$D,3078)="",INDEX(Suivi!$C:$C,3078),INDEX(Suivi!$D:$D,3078)))</f>
        <v/>
      </c>
      <c r="D3021" s="29">
        <f>IF($B3021="","",INDEX(Suivi!$E:$E,3078))</f>
        <v/>
      </c>
      <c r="E3021" s="29">
        <f>IF($B3021="","",INDEX(Suivi!$F:$F,3078))</f>
        <v/>
      </c>
      <c r="F3021">
        <f>IF($B3021="","",INDEX(Suivi!$G:$G,3078))</f>
        <v/>
      </c>
      <c r="H3021">
        <f>IF(OR($B3021="",NOT(ISNUMBER($D3021))),"",IF($E3021&lt;$D$2,"Passé",IF($D3021&gt;$F$2,"À venir","Dans la période")))</f>
        <v/>
      </c>
      <c r="I3021">
        <f>IF(OR($B3021="",NOT(ISNUMBER($D3021))),"",IF(AND($E3021&lt;$D$2,$G3021&lt;&gt;"X",$F3021&lt;&gt;"Réalisé",$F3021&lt;&gt;"Clôturé"),"RETARD",""))</f>
        <v/>
      </c>
      <c r="J3021" s="29">
        <f>IF($B3021="","",IF(INDEX(Dossiers!$F$4:$F$63,57)="","",INDEX(Dossiers!$F$4:$F$63,57)))</f>
        <v/>
      </c>
      <c r="K3021" s="29">
        <f>IF($B3021="","",IF(INDEX(Dossiers!$G$4:$G$63,57)="","",INDEX(Dossiers!$G$4:$G$63,57)))</f>
        <v/>
      </c>
    </row>
    <row r="3022">
      <c r="A3022">
        <f>IF($B3022="","",INDEX(Dossiers!$E$4:$E$63,57))</f>
        <v/>
      </c>
      <c r="B3022">
        <f>IF(INDEX(Suivi!$B:$B,3079)="","",INDEX(Suivi!$B:$B,3079))</f>
        <v/>
      </c>
      <c r="C3022">
        <f>IF($B3022="","",IF(INDEX(Suivi!$D:$D,3079)="",INDEX(Suivi!$C:$C,3079),INDEX(Suivi!$D:$D,3079)))</f>
        <v/>
      </c>
      <c r="D3022" s="29">
        <f>IF($B3022="","",INDEX(Suivi!$E:$E,3079))</f>
        <v/>
      </c>
      <c r="E3022" s="29">
        <f>IF($B3022="","",INDEX(Suivi!$F:$F,3079))</f>
        <v/>
      </c>
      <c r="F3022">
        <f>IF($B3022="","",INDEX(Suivi!$G:$G,3079))</f>
        <v/>
      </c>
      <c r="H3022">
        <f>IF(OR($B3022="",NOT(ISNUMBER($D3022))),"",IF($E3022&lt;$D$2,"Passé",IF($D3022&gt;$F$2,"À venir","Dans la période")))</f>
        <v/>
      </c>
      <c r="I3022">
        <f>IF(OR($B3022="",NOT(ISNUMBER($D3022))),"",IF(AND($E3022&lt;$D$2,$G3022&lt;&gt;"X",$F3022&lt;&gt;"Réalisé",$F3022&lt;&gt;"Clôturé"),"RETARD",""))</f>
        <v/>
      </c>
      <c r="J3022" s="29">
        <f>IF($B3022="","",IF(INDEX(Dossiers!$F$4:$F$63,57)="","",INDEX(Dossiers!$F$4:$F$63,57)))</f>
        <v/>
      </c>
      <c r="K3022" s="29">
        <f>IF($B3022="","",IF(INDEX(Dossiers!$G$4:$G$63,57)="","",INDEX(Dossiers!$G$4:$G$63,57)))</f>
        <v/>
      </c>
    </row>
    <row r="3023">
      <c r="A3023">
        <f>IF($B3023="","",INDEX(Dossiers!$E$4:$E$63,57))</f>
        <v/>
      </c>
      <c r="B3023">
        <f>IF(INDEX(Suivi!$B:$B,3080)="","",INDEX(Suivi!$B:$B,3080))</f>
        <v/>
      </c>
      <c r="C3023">
        <f>IF($B3023="","",IF(INDEX(Suivi!$D:$D,3080)="",INDEX(Suivi!$C:$C,3080),INDEX(Suivi!$D:$D,3080)))</f>
        <v/>
      </c>
      <c r="D3023" s="29">
        <f>IF($B3023="","",INDEX(Suivi!$E:$E,3080))</f>
        <v/>
      </c>
      <c r="E3023" s="29">
        <f>IF($B3023="","",INDEX(Suivi!$F:$F,3080))</f>
        <v/>
      </c>
      <c r="F3023">
        <f>IF($B3023="","",INDEX(Suivi!$G:$G,3080))</f>
        <v/>
      </c>
      <c r="H3023">
        <f>IF(OR($B3023="",NOT(ISNUMBER($D3023))),"",IF($E3023&lt;$D$2,"Passé",IF($D3023&gt;$F$2,"À venir","Dans la période")))</f>
        <v/>
      </c>
      <c r="I3023">
        <f>IF(OR($B3023="",NOT(ISNUMBER($D3023))),"",IF(AND($E3023&lt;$D$2,$G3023&lt;&gt;"X",$F3023&lt;&gt;"Réalisé",$F3023&lt;&gt;"Clôturé"),"RETARD",""))</f>
        <v/>
      </c>
      <c r="J3023" s="29">
        <f>IF($B3023="","",IF(INDEX(Dossiers!$F$4:$F$63,57)="","",INDEX(Dossiers!$F$4:$F$63,57)))</f>
        <v/>
      </c>
      <c r="K3023" s="29">
        <f>IF($B3023="","",IF(INDEX(Dossiers!$G$4:$G$63,57)="","",INDEX(Dossiers!$G$4:$G$63,57)))</f>
        <v/>
      </c>
    </row>
    <row r="3024">
      <c r="A3024">
        <f>IF($B3024="","",INDEX(Dossiers!$E$4:$E$63,57))</f>
        <v/>
      </c>
      <c r="B3024">
        <f>IF(INDEX(Suivi!$B:$B,3081)="","",INDEX(Suivi!$B:$B,3081))</f>
        <v/>
      </c>
      <c r="C3024">
        <f>IF($B3024="","",IF(INDEX(Suivi!$D:$D,3081)="",INDEX(Suivi!$C:$C,3081),INDEX(Suivi!$D:$D,3081)))</f>
        <v/>
      </c>
      <c r="D3024" s="29">
        <f>IF($B3024="","",INDEX(Suivi!$E:$E,3081))</f>
        <v/>
      </c>
      <c r="E3024" s="29">
        <f>IF($B3024="","",INDEX(Suivi!$F:$F,3081))</f>
        <v/>
      </c>
      <c r="F3024">
        <f>IF($B3024="","",INDEX(Suivi!$G:$G,3081))</f>
        <v/>
      </c>
      <c r="H3024">
        <f>IF(OR($B3024="",NOT(ISNUMBER($D3024))),"",IF($E3024&lt;$D$2,"Passé",IF($D3024&gt;$F$2,"À venir","Dans la période")))</f>
        <v/>
      </c>
      <c r="I3024">
        <f>IF(OR($B3024="",NOT(ISNUMBER($D3024))),"",IF(AND($E3024&lt;$D$2,$G3024&lt;&gt;"X",$F3024&lt;&gt;"Réalisé",$F3024&lt;&gt;"Clôturé"),"RETARD",""))</f>
        <v/>
      </c>
      <c r="J3024" s="29">
        <f>IF($B3024="","",IF(INDEX(Dossiers!$F$4:$F$63,57)="","",INDEX(Dossiers!$F$4:$F$63,57)))</f>
        <v/>
      </c>
      <c r="K3024" s="29">
        <f>IF($B3024="","",IF(INDEX(Dossiers!$G$4:$G$63,57)="","",INDEX(Dossiers!$G$4:$G$63,57)))</f>
        <v/>
      </c>
    </row>
    <row r="3025">
      <c r="A3025">
        <f>IF($B3025="","",INDEX(Dossiers!$E$4:$E$63,58))</f>
        <v/>
      </c>
      <c r="B3025">
        <f>IF(INDEX(Suivi!$B:$B,3083)="","",INDEX(Suivi!$B:$B,3083))</f>
        <v/>
      </c>
      <c r="C3025">
        <f>IF($B3025="","",IF(INDEX(Suivi!$D:$D,3083)="",INDEX(Suivi!$C:$C,3083),INDEX(Suivi!$D:$D,3083)))</f>
        <v/>
      </c>
      <c r="D3025" s="29">
        <f>IF($B3025="","",INDEX(Suivi!$E:$E,3083))</f>
        <v/>
      </c>
      <c r="E3025" s="29">
        <f>IF($B3025="","",INDEX(Suivi!$F:$F,3083))</f>
        <v/>
      </c>
      <c r="F3025">
        <f>IF($B3025="","",INDEX(Suivi!$G:$G,3083))</f>
        <v/>
      </c>
      <c r="H3025">
        <f>IF(OR($B3025="",NOT(ISNUMBER($D3025))),"",IF($E3025&lt;$D$2,"Passé",IF($D3025&gt;$F$2,"À venir","Dans la période")))</f>
        <v/>
      </c>
      <c r="I3025">
        <f>IF(OR($B3025="",NOT(ISNUMBER($D3025))),"",IF(AND($E3025&lt;$D$2,$G3025&lt;&gt;"X",$F3025&lt;&gt;"Réalisé",$F3025&lt;&gt;"Clôturé"),"RETARD",""))</f>
        <v/>
      </c>
      <c r="J3025" s="29">
        <f>IF($B3025="","",IF(INDEX(Dossiers!$F$4:$F$63,58)="","",INDEX(Dossiers!$F$4:$F$63,58)))</f>
        <v/>
      </c>
      <c r="K3025" s="29">
        <f>IF($B3025="","",IF(INDEX(Dossiers!$G$4:$G$63,58)="","",INDEX(Dossiers!$G$4:$G$63,58)))</f>
        <v/>
      </c>
    </row>
    <row r="3026">
      <c r="A3026">
        <f>IF($B3026="","",INDEX(Dossiers!$E$4:$E$63,58))</f>
        <v/>
      </c>
      <c r="B3026">
        <f>IF(INDEX(Suivi!$B:$B,3084)="","",INDEX(Suivi!$B:$B,3084))</f>
        <v/>
      </c>
      <c r="C3026">
        <f>IF($B3026="","",IF(INDEX(Suivi!$D:$D,3084)="",INDEX(Suivi!$C:$C,3084),INDEX(Suivi!$D:$D,3084)))</f>
        <v/>
      </c>
      <c r="D3026" s="29">
        <f>IF($B3026="","",INDEX(Suivi!$E:$E,3084))</f>
        <v/>
      </c>
      <c r="E3026" s="29">
        <f>IF($B3026="","",INDEX(Suivi!$F:$F,3084))</f>
        <v/>
      </c>
      <c r="F3026">
        <f>IF($B3026="","",INDEX(Suivi!$G:$G,3084))</f>
        <v/>
      </c>
      <c r="H3026">
        <f>IF(OR($B3026="",NOT(ISNUMBER($D3026))),"",IF($E3026&lt;$D$2,"Passé",IF($D3026&gt;$F$2,"À venir","Dans la période")))</f>
        <v/>
      </c>
      <c r="I3026">
        <f>IF(OR($B3026="",NOT(ISNUMBER($D3026))),"",IF(AND($E3026&lt;$D$2,$G3026&lt;&gt;"X",$F3026&lt;&gt;"Réalisé",$F3026&lt;&gt;"Clôturé"),"RETARD",""))</f>
        <v/>
      </c>
      <c r="J3026" s="29">
        <f>IF($B3026="","",IF(INDEX(Dossiers!$F$4:$F$63,58)="","",INDEX(Dossiers!$F$4:$F$63,58)))</f>
        <v/>
      </c>
      <c r="K3026" s="29">
        <f>IF($B3026="","",IF(INDEX(Dossiers!$G$4:$G$63,58)="","",INDEX(Dossiers!$G$4:$G$63,58)))</f>
        <v/>
      </c>
    </row>
    <row r="3027">
      <c r="A3027">
        <f>IF($B3027="","",INDEX(Dossiers!$E$4:$E$63,58))</f>
        <v/>
      </c>
      <c r="B3027">
        <f>IF(INDEX(Suivi!$B:$B,3085)="","",INDEX(Suivi!$B:$B,3085))</f>
        <v/>
      </c>
      <c r="C3027">
        <f>IF($B3027="","",IF(INDEX(Suivi!$D:$D,3085)="",INDEX(Suivi!$C:$C,3085),INDEX(Suivi!$D:$D,3085)))</f>
        <v/>
      </c>
      <c r="D3027" s="29">
        <f>IF($B3027="","",INDEX(Suivi!$E:$E,3085))</f>
        <v/>
      </c>
      <c r="E3027" s="29">
        <f>IF($B3027="","",INDEX(Suivi!$F:$F,3085))</f>
        <v/>
      </c>
      <c r="F3027">
        <f>IF($B3027="","",INDEX(Suivi!$G:$G,3085))</f>
        <v/>
      </c>
      <c r="H3027">
        <f>IF(OR($B3027="",NOT(ISNUMBER($D3027))),"",IF($E3027&lt;$D$2,"Passé",IF($D3027&gt;$F$2,"À venir","Dans la période")))</f>
        <v/>
      </c>
      <c r="I3027">
        <f>IF(OR($B3027="",NOT(ISNUMBER($D3027))),"",IF(AND($E3027&lt;$D$2,$G3027&lt;&gt;"X",$F3027&lt;&gt;"Réalisé",$F3027&lt;&gt;"Clôturé"),"RETARD",""))</f>
        <v/>
      </c>
      <c r="J3027" s="29">
        <f>IF($B3027="","",IF(INDEX(Dossiers!$F$4:$F$63,58)="","",INDEX(Dossiers!$F$4:$F$63,58)))</f>
        <v/>
      </c>
      <c r="K3027" s="29">
        <f>IF($B3027="","",IF(INDEX(Dossiers!$G$4:$G$63,58)="","",INDEX(Dossiers!$G$4:$G$63,58)))</f>
        <v/>
      </c>
    </row>
    <row r="3028">
      <c r="A3028">
        <f>IF($B3028="","",INDEX(Dossiers!$E$4:$E$63,58))</f>
        <v/>
      </c>
      <c r="B3028">
        <f>IF(INDEX(Suivi!$B:$B,3086)="","",INDEX(Suivi!$B:$B,3086))</f>
        <v/>
      </c>
      <c r="C3028">
        <f>IF($B3028="","",IF(INDEX(Suivi!$D:$D,3086)="",INDEX(Suivi!$C:$C,3086),INDEX(Suivi!$D:$D,3086)))</f>
        <v/>
      </c>
      <c r="D3028" s="29">
        <f>IF($B3028="","",INDEX(Suivi!$E:$E,3086))</f>
        <v/>
      </c>
      <c r="E3028" s="29">
        <f>IF($B3028="","",INDEX(Suivi!$F:$F,3086))</f>
        <v/>
      </c>
      <c r="F3028">
        <f>IF($B3028="","",INDEX(Suivi!$G:$G,3086))</f>
        <v/>
      </c>
      <c r="H3028">
        <f>IF(OR($B3028="",NOT(ISNUMBER($D3028))),"",IF($E3028&lt;$D$2,"Passé",IF($D3028&gt;$F$2,"À venir","Dans la période")))</f>
        <v/>
      </c>
      <c r="I3028">
        <f>IF(OR($B3028="",NOT(ISNUMBER($D3028))),"",IF(AND($E3028&lt;$D$2,$G3028&lt;&gt;"X",$F3028&lt;&gt;"Réalisé",$F3028&lt;&gt;"Clôturé"),"RETARD",""))</f>
        <v/>
      </c>
      <c r="J3028" s="29">
        <f>IF($B3028="","",IF(INDEX(Dossiers!$F$4:$F$63,58)="","",INDEX(Dossiers!$F$4:$F$63,58)))</f>
        <v/>
      </c>
      <c r="K3028" s="29">
        <f>IF($B3028="","",IF(INDEX(Dossiers!$G$4:$G$63,58)="","",INDEX(Dossiers!$G$4:$G$63,58)))</f>
        <v/>
      </c>
    </row>
    <row r="3029">
      <c r="A3029">
        <f>IF($B3029="","",INDEX(Dossiers!$E$4:$E$63,58))</f>
        <v/>
      </c>
      <c r="B3029">
        <f>IF(INDEX(Suivi!$B:$B,3087)="","",INDEX(Suivi!$B:$B,3087))</f>
        <v/>
      </c>
      <c r="C3029">
        <f>IF($B3029="","",IF(INDEX(Suivi!$D:$D,3087)="",INDEX(Suivi!$C:$C,3087),INDEX(Suivi!$D:$D,3087)))</f>
        <v/>
      </c>
      <c r="D3029" s="29">
        <f>IF($B3029="","",INDEX(Suivi!$E:$E,3087))</f>
        <v/>
      </c>
      <c r="E3029" s="29">
        <f>IF($B3029="","",INDEX(Suivi!$F:$F,3087))</f>
        <v/>
      </c>
      <c r="F3029">
        <f>IF($B3029="","",INDEX(Suivi!$G:$G,3087))</f>
        <v/>
      </c>
      <c r="H3029">
        <f>IF(OR($B3029="",NOT(ISNUMBER($D3029))),"",IF($E3029&lt;$D$2,"Passé",IF($D3029&gt;$F$2,"À venir","Dans la période")))</f>
        <v/>
      </c>
      <c r="I3029">
        <f>IF(OR($B3029="",NOT(ISNUMBER($D3029))),"",IF(AND($E3029&lt;$D$2,$G3029&lt;&gt;"X",$F3029&lt;&gt;"Réalisé",$F3029&lt;&gt;"Clôturé"),"RETARD",""))</f>
        <v/>
      </c>
      <c r="J3029" s="29">
        <f>IF($B3029="","",IF(INDEX(Dossiers!$F$4:$F$63,58)="","",INDEX(Dossiers!$F$4:$F$63,58)))</f>
        <v/>
      </c>
      <c r="K3029" s="29">
        <f>IF($B3029="","",IF(INDEX(Dossiers!$G$4:$G$63,58)="","",INDEX(Dossiers!$G$4:$G$63,58)))</f>
        <v/>
      </c>
    </row>
    <row r="3030">
      <c r="A3030">
        <f>IF($B3030="","",INDEX(Dossiers!$E$4:$E$63,58))</f>
        <v/>
      </c>
      <c r="B3030">
        <f>IF(INDEX(Suivi!$B:$B,3088)="","",INDEX(Suivi!$B:$B,3088))</f>
        <v/>
      </c>
      <c r="C3030">
        <f>IF($B3030="","",IF(INDEX(Suivi!$D:$D,3088)="",INDEX(Suivi!$C:$C,3088),INDEX(Suivi!$D:$D,3088)))</f>
        <v/>
      </c>
      <c r="D3030" s="29">
        <f>IF($B3030="","",INDEX(Suivi!$E:$E,3088))</f>
        <v/>
      </c>
      <c r="E3030" s="29">
        <f>IF($B3030="","",INDEX(Suivi!$F:$F,3088))</f>
        <v/>
      </c>
      <c r="F3030">
        <f>IF($B3030="","",INDEX(Suivi!$G:$G,3088))</f>
        <v/>
      </c>
      <c r="H3030">
        <f>IF(OR($B3030="",NOT(ISNUMBER($D3030))),"",IF($E3030&lt;$D$2,"Passé",IF($D3030&gt;$F$2,"À venir","Dans la période")))</f>
        <v/>
      </c>
      <c r="I3030">
        <f>IF(OR($B3030="",NOT(ISNUMBER($D3030))),"",IF(AND($E3030&lt;$D$2,$G3030&lt;&gt;"X",$F3030&lt;&gt;"Réalisé",$F3030&lt;&gt;"Clôturé"),"RETARD",""))</f>
        <v/>
      </c>
      <c r="J3030" s="29">
        <f>IF($B3030="","",IF(INDEX(Dossiers!$F$4:$F$63,58)="","",INDEX(Dossiers!$F$4:$F$63,58)))</f>
        <v/>
      </c>
      <c r="K3030" s="29">
        <f>IF($B3030="","",IF(INDEX(Dossiers!$G$4:$G$63,58)="","",INDEX(Dossiers!$G$4:$G$63,58)))</f>
        <v/>
      </c>
    </row>
    <row r="3031">
      <c r="A3031">
        <f>IF($B3031="","",INDEX(Dossiers!$E$4:$E$63,58))</f>
        <v/>
      </c>
      <c r="B3031">
        <f>IF(INDEX(Suivi!$B:$B,3089)="","",INDEX(Suivi!$B:$B,3089))</f>
        <v/>
      </c>
      <c r="C3031">
        <f>IF($B3031="","",IF(INDEX(Suivi!$D:$D,3089)="",INDEX(Suivi!$C:$C,3089),INDEX(Suivi!$D:$D,3089)))</f>
        <v/>
      </c>
      <c r="D3031" s="29">
        <f>IF($B3031="","",INDEX(Suivi!$E:$E,3089))</f>
        <v/>
      </c>
      <c r="E3031" s="29">
        <f>IF($B3031="","",INDEX(Suivi!$F:$F,3089))</f>
        <v/>
      </c>
      <c r="F3031">
        <f>IF($B3031="","",INDEX(Suivi!$G:$G,3089))</f>
        <v/>
      </c>
      <c r="H3031">
        <f>IF(OR($B3031="",NOT(ISNUMBER($D3031))),"",IF($E3031&lt;$D$2,"Passé",IF($D3031&gt;$F$2,"À venir","Dans la période")))</f>
        <v/>
      </c>
      <c r="I3031">
        <f>IF(OR($B3031="",NOT(ISNUMBER($D3031))),"",IF(AND($E3031&lt;$D$2,$G3031&lt;&gt;"X",$F3031&lt;&gt;"Réalisé",$F3031&lt;&gt;"Clôturé"),"RETARD",""))</f>
        <v/>
      </c>
      <c r="J3031" s="29">
        <f>IF($B3031="","",IF(INDEX(Dossiers!$F$4:$F$63,58)="","",INDEX(Dossiers!$F$4:$F$63,58)))</f>
        <v/>
      </c>
      <c r="K3031" s="29">
        <f>IF($B3031="","",IF(INDEX(Dossiers!$G$4:$G$63,58)="","",INDEX(Dossiers!$G$4:$G$63,58)))</f>
        <v/>
      </c>
    </row>
    <row r="3032">
      <c r="A3032">
        <f>IF($B3032="","",INDEX(Dossiers!$E$4:$E$63,58))</f>
        <v/>
      </c>
      <c r="B3032">
        <f>IF(INDEX(Suivi!$B:$B,3090)="","",INDEX(Suivi!$B:$B,3090))</f>
        <v/>
      </c>
      <c r="C3032">
        <f>IF($B3032="","",IF(INDEX(Suivi!$D:$D,3090)="",INDEX(Suivi!$C:$C,3090),INDEX(Suivi!$D:$D,3090)))</f>
        <v/>
      </c>
      <c r="D3032" s="29">
        <f>IF($B3032="","",INDEX(Suivi!$E:$E,3090))</f>
        <v/>
      </c>
      <c r="E3032" s="29">
        <f>IF($B3032="","",INDEX(Suivi!$F:$F,3090))</f>
        <v/>
      </c>
      <c r="F3032">
        <f>IF($B3032="","",INDEX(Suivi!$G:$G,3090))</f>
        <v/>
      </c>
      <c r="H3032">
        <f>IF(OR($B3032="",NOT(ISNUMBER($D3032))),"",IF($E3032&lt;$D$2,"Passé",IF($D3032&gt;$F$2,"À venir","Dans la période")))</f>
        <v/>
      </c>
      <c r="I3032">
        <f>IF(OR($B3032="",NOT(ISNUMBER($D3032))),"",IF(AND($E3032&lt;$D$2,$G3032&lt;&gt;"X",$F3032&lt;&gt;"Réalisé",$F3032&lt;&gt;"Clôturé"),"RETARD",""))</f>
        <v/>
      </c>
      <c r="J3032" s="29">
        <f>IF($B3032="","",IF(INDEX(Dossiers!$F$4:$F$63,58)="","",INDEX(Dossiers!$F$4:$F$63,58)))</f>
        <v/>
      </c>
      <c r="K3032" s="29">
        <f>IF($B3032="","",IF(INDEX(Dossiers!$G$4:$G$63,58)="","",INDEX(Dossiers!$G$4:$G$63,58)))</f>
        <v/>
      </c>
    </row>
    <row r="3033">
      <c r="A3033">
        <f>IF($B3033="","",INDEX(Dossiers!$E$4:$E$63,58))</f>
        <v/>
      </c>
      <c r="B3033">
        <f>IF(INDEX(Suivi!$B:$B,3091)="","",INDEX(Suivi!$B:$B,3091))</f>
        <v/>
      </c>
      <c r="C3033">
        <f>IF($B3033="","",IF(INDEX(Suivi!$D:$D,3091)="",INDEX(Suivi!$C:$C,3091),INDEX(Suivi!$D:$D,3091)))</f>
        <v/>
      </c>
      <c r="D3033" s="29">
        <f>IF($B3033="","",INDEX(Suivi!$E:$E,3091))</f>
        <v/>
      </c>
      <c r="E3033" s="29">
        <f>IF($B3033="","",INDEX(Suivi!$F:$F,3091))</f>
        <v/>
      </c>
      <c r="F3033">
        <f>IF($B3033="","",INDEX(Suivi!$G:$G,3091))</f>
        <v/>
      </c>
      <c r="H3033">
        <f>IF(OR($B3033="",NOT(ISNUMBER($D3033))),"",IF($E3033&lt;$D$2,"Passé",IF($D3033&gt;$F$2,"À venir","Dans la période")))</f>
        <v/>
      </c>
      <c r="I3033">
        <f>IF(OR($B3033="",NOT(ISNUMBER($D3033))),"",IF(AND($E3033&lt;$D$2,$G3033&lt;&gt;"X",$F3033&lt;&gt;"Réalisé",$F3033&lt;&gt;"Clôturé"),"RETARD",""))</f>
        <v/>
      </c>
      <c r="J3033" s="29">
        <f>IF($B3033="","",IF(INDEX(Dossiers!$F$4:$F$63,58)="","",INDEX(Dossiers!$F$4:$F$63,58)))</f>
        <v/>
      </c>
      <c r="K3033" s="29">
        <f>IF($B3033="","",IF(INDEX(Dossiers!$G$4:$G$63,58)="","",INDEX(Dossiers!$G$4:$G$63,58)))</f>
        <v/>
      </c>
    </row>
    <row r="3034">
      <c r="A3034">
        <f>IF($B3034="","",INDEX(Dossiers!$E$4:$E$63,58))</f>
        <v/>
      </c>
      <c r="B3034">
        <f>IF(INDEX(Suivi!$B:$B,3092)="","",INDEX(Suivi!$B:$B,3092))</f>
        <v/>
      </c>
      <c r="C3034">
        <f>IF($B3034="","",IF(INDEX(Suivi!$D:$D,3092)="",INDEX(Suivi!$C:$C,3092),INDEX(Suivi!$D:$D,3092)))</f>
        <v/>
      </c>
      <c r="D3034" s="29">
        <f>IF($B3034="","",INDEX(Suivi!$E:$E,3092))</f>
        <v/>
      </c>
      <c r="E3034" s="29">
        <f>IF($B3034="","",INDEX(Suivi!$F:$F,3092))</f>
        <v/>
      </c>
      <c r="F3034">
        <f>IF($B3034="","",INDEX(Suivi!$G:$G,3092))</f>
        <v/>
      </c>
      <c r="H3034">
        <f>IF(OR($B3034="",NOT(ISNUMBER($D3034))),"",IF($E3034&lt;$D$2,"Passé",IF($D3034&gt;$F$2,"À venir","Dans la période")))</f>
        <v/>
      </c>
      <c r="I3034">
        <f>IF(OR($B3034="",NOT(ISNUMBER($D3034))),"",IF(AND($E3034&lt;$D$2,$G3034&lt;&gt;"X",$F3034&lt;&gt;"Réalisé",$F3034&lt;&gt;"Clôturé"),"RETARD",""))</f>
        <v/>
      </c>
      <c r="J3034" s="29">
        <f>IF($B3034="","",IF(INDEX(Dossiers!$F$4:$F$63,58)="","",INDEX(Dossiers!$F$4:$F$63,58)))</f>
        <v/>
      </c>
      <c r="K3034" s="29">
        <f>IF($B3034="","",IF(INDEX(Dossiers!$G$4:$G$63,58)="","",INDEX(Dossiers!$G$4:$G$63,58)))</f>
        <v/>
      </c>
    </row>
    <row r="3035">
      <c r="A3035">
        <f>IF($B3035="","",INDEX(Dossiers!$E$4:$E$63,58))</f>
        <v/>
      </c>
      <c r="B3035">
        <f>IF(INDEX(Suivi!$B:$B,3093)="","",INDEX(Suivi!$B:$B,3093))</f>
        <v/>
      </c>
      <c r="C3035">
        <f>IF($B3035="","",IF(INDEX(Suivi!$D:$D,3093)="",INDEX(Suivi!$C:$C,3093),INDEX(Suivi!$D:$D,3093)))</f>
        <v/>
      </c>
      <c r="D3035" s="29">
        <f>IF($B3035="","",INDEX(Suivi!$E:$E,3093))</f>
        <v/>
      </c>
      <c r="E3035" s="29">
        <f>IF($B3035="","",INDEX(Suivi!$F:$F,3093))</f>
        <v/>
      </c>
      <c r="F3035">
        <f>IF($B3035="","",INDEX(Suivi!$G:$G,3093))</f>
        <v/>
      </c>
      <c r="H3035">
        <f>IF(OR($B3035="",NOT(ISNUMBER($D3035))),"",IF($E3035&lt;$D$2,"Passé",IF($D3035&gt;$F$2,"À venir","Dans la période")))</f>
        <v/>
      </c>
      <c r="I3035">
        <f>IF(OR($B3035="",NOT(ISNUMBER($D3035))),"",IF(AND($E3035&lt;$D$2,$G3035&lt;&gt;"X",$F3035&lt;&gt;"Réalisé",$F3035&lt;&gt;"Clôturé"),"RETARD",""))</f>
        <v/>
      </c>
      <c r="J3035" s="29">
        <f>IF($B3035="","",IF(INDEX(Dossiers!$F$4:$F$63,58)="","",INDEX(Dossiers!$F$4:$F$63,58)))</f>
        <v/>
      </c>
      <c r="K3035" s="29">
        <f>IF($B3035="","",IF(INDEX(Dossiers!$G$4:$G$63,58)="","",INDEX(Dossiers!$G$4:$G$63,58)))</f>
        <v/>
      </c>
    </row>
    <row r="3036">
      <c r="A3036">
        <f>IF($B3036="","",INDEX(Dossiers!$E$4:$E$63,58))</f>
        <v/>
      </c>
      <c r="B3036">
        <f>IF(INDEX(Suivi!$B:$B,3094)="","",INDEX(Suivi!$B:$B,3094))</f>
        <v/>
      </c>
      <c r="C3036">
        <f>IF($B3036="","",IF(INDEX(Suivi!$D:$D,3094)="",INDEX(Suivi!$C:$C,3094),INDEX(Suivi!$D:$D,3094)))</f>
        <v/>
      </c>
      <c r="D3036" s="29">
        <f>IF($B3036="","",INDEX(Suivi!$E:$E,3094))</f>
        <v/>
      </c>
      <c r="E3036" s="29">
        <f>IF($B3036="","",INDEX(Suivi!$F:$F,3094))</f>
        <v/>
      </c>
      <c r="F3036">
        <f>IF($B3036="","",INDEX(Suivi!$G:$G,3094))</f>
        <v/>
      </c>
      <c r="H3036">
        <f>IF(OR($B3036="",NOT(ISNUMBER($D3036))),"",IF($E3036&lt;$D$2,"Passé",IF($D3036&gt;$F$2,"À venir","Dans la période")))</f>
        <v/>
      </c>
      <c r="I3036">
        <f>IF(OR($B3036="",NOT(ISNUMBER($D3036))),"",IF(AND($E3036&lt;$D$2,$G3036&lt;&gt;"X",$F3036&lt;&gt;"Réalisé",$F3036&lt;&gt;"Clôturé"),"RETARD",""))</f>
        <v/>
      </c>
      <c r="J3036" s="29">
        <f>IF($B3036="","",IF(INDEX(Dossiers!$F$4:$F$63,58)="","",INDEX(Dossiers!$F$4:$F$63,58)))</f>
        <v/>
      </c>
      <c r="K3036" s="29">
        <f>IF($B3036="","",IF(INDEX(Dossiers!$G$4:$G$63,58)="","",INDEX(Dossiers!$G$4:$G$63,58)))</f>
        <v/>
      </c>
    </row>
    <row r="3037">
      <c r="A3037">
        <f>IF($B3037="","",INDEX(Dossiers!$E$4:$E$63,58))</f>
        <v/>
      </c>
      <c r="B3037">
        <f>IF(INDEX(Suivi!$B:$B,3095)="","",INDEX(Suivi!$B:$B,3095))</f>
        <v/>
      </c>
      <c r="C3037">
        <f>IF($B3037="","",IF(INDEX(Suivi!$D:$D,3095)="",INDEX(Suivi!$C:$C,3095),INDEX(Suivi!$D:$D,3095)))</f>
        <v/>
      </c>
      <c r="D3037" s="29">
        <f>IF($B3037="","",INDEX(Suivi!$E:$E,3095))</f>
        <v/>
      </c>
      <c r="E3037" s="29">
        <f>IF($B3037="","",INDEX(Suivi!$F:$F,3095))</f>
        <v/>
      </c>
      <c r="F3037">
        <f>IF($B3037="","",INDEX(Suivi!$G:$G,3095))</f>
        <v/>
      </c>
      <c r="H3037">
        <f>IF(OR($B3037="",NOT(ISNUMBER($D3037))),"",IF($E3037&lt;$D$2,"Passé",IF($D3037&gt;$F$2,"À venir","Dans la période")))</f>
        <v/>
      </c>
      <c r="I3037">
        <f>IF(OR($B3037="",NOT(ISNUMBER($D3037))),"",IF(AND($E3037&lt;$D$2,$G3037&lt;&gt;"X",$F3037&lt;&gt;"Réalisé",$F3037&lt;&gt;"Clôturé"),"RETARD",""))</f>
        <v/>
      </c>
      <c r="J3037" s="29">
        <f>IF($B3037="","",IF(INDEX(Dossiers!$F$4:$F$63,58)="","",INDEX(Dossiers!$F$4:$F$63,58)))</f>
        <v/>
      </c>
      <c r="K3037" s="29">
        <f>IF($B3037="","",IF(INDEX(Dossiers!$G$4:$G$63,58)="","",INDEX(Dossiers!$G$4:$G$63,58)))</f>
        <v/>
      </c>
    </row>
    <row r="3038">
      <c r="A3038">
        <f>IF($B3038="","",INDEX(Dossiers!$E$4:$E$63,58))</f>
        <v/>
      </c>
      <c r="B3038">
        <f>IF(INDEX(Suivi!$B:$B,3096)="","",INDEX(Suivi!$B:$B,3096))</f>
        <v/>
      </c>
      <c r="C3038">
        <f>IF($B3038="","",IF(INDEX(Suivi!$D:$D,3096)="",INDEX(Suivi!$C:$C,3096),INDEX(Suivi!$D:$D,3096)))</f>
        <v/>
      </c>
      <c r="D3038" s="29">
        <f>IF($B3038="","",INDEX(Suivi!$E:$E,3096))</f>
        <v/>
      </c>
      <c r="E3038" s="29">
        <f>IF($B3038="","",INDEX(Suivi!$F:$F,3096))</f>
        <v/>
      </c>
      <c r="F3038">
        <f>IF($B3038="","",INDEX(Suivi!$G:$G,3096))</f>
        <v/>
      </c>
      <c r="H3038">
        <f>IF(OR($B3038="",NOT(ISNUMBER($D3038))),"",IF($E3038&lt;$D$2,"Passé",IF($D3038&gt;$F$2,"À venir","Dans la période")))</f>
        <v/>
      </c>
      <c r="I3038">
        <f>IF(OR($B3038="",NOT(ISNUMBER($D3038))),"",IF(AND($E3038&lt;$D$2,$G3038&lt;&gt;"X",$F3038&lt;&gt;"Réalisé",$F3038&lt;&gt;"Clôturé"),"RETARD",""))</f>
        <v/>
      </c>
      <c r="J3038" s="29">
        <f>IF($B3038="","",IF(INDEX(Dossiers!$F$4:$F$63,58)="","",INDEX(Dossiers!$F$4:$F$63,58)))</f>
        <v/>
      </c>
      <c r="K3038" s="29">
        <f>IF($B3038="","",IF(INDEX(Dossiers!$G$4:$G$63,58)="","",INDEX(Dossiers!$G$4:$G$63,58)))</f>
        <v/>
      </c>
    </row>
    <row r="3039">
      <c r="A3039">
        <f>IF($B3039="","",INDEX(Dossiers!$E$4:$E$63,58))</f>
        <v/>
      </c>
      <c r="B3039">
        <f>IF(INDEX(Suivi!$B:$B,3097)="","",INDEX(Suivi!$B:$B,3097))</f>
        <v/>
      </c>
      <c r="C3039">
        <f>IF($B3039="","",IF(INDEX(Suivi!$D:$D,3097)="",INDEX(Suivi!$C:$C,3097),INDEX(Suivi!$D:$D,3097)))</f>
        <v/>
      </c>
      <c r="D3039" s="29">
        <f>IF($B3039="","",INDEX(Suivi!$E:$E,3097))</f>
        <v/>
      </c>
      <c r="E3039" s="29">
        <f>IF($B3039="","",INDEX(Suivi!$F:$F,3097))</f>
        <v/>
      </c>
      <c r="F3039">
        <f>IF($B3039="","",INDEX(Suivi!$G:$G,3097))</f>
        <v/>
      </c>
      <c r="H3039">
        <f>IF(OR($B3039="",NOT(ISNUMBER($D3039))),"",IF($E3039&lt;$D$2,"Passé",IF($D3039&gt;$F$2,"À venir","Dans la période")))</f>
        <v/>
      </c>
      <c r="I3039">
        <f>IF(OR($B3039="",NOT(ISNUMBER($D3039))),"",IF(AND($E3039&lt;$D$2,$G3039&lt;&gt;"X",$F3039&lt;&gt;"Réalisé",$F3039&lt;&gt;"Clôturé"),"RETARD",""))</f>
        <v/>
      </c>
      <c r="J3039" s="29">
        <f>IF($B3039="","",IF(INDEX(Dossiers!$F$4:$F$63,58)="","",INDEX(Dossiers!$F$4:$F$63,58)))</f>
        <v/>
      </c>
      <c r="K3039" s="29">
        <f>IF($B3039="","",IF(INDEX(Dossiers!$G$4:$G$63,58)="","",INDEX(Dossiers!$G$4:$G$63,58)))</f>
        <v/>
      </c>
    </row>
    <row r="3040">
      <c r="A3040">
        <f>IF($B3040="","",INDEX(Dossiers!$E$4:$E$63,58))</f>
        <v/>
      </c>
      <c r="B3040">
        <f>IF(INDEX(Suivi!$B:$B,3098)="","",INDEX(Suivi!$B:$B,3098))</f>
        <v/>
      </c>
      <c r="C3040">
        <f>IF($B3040="","",IF(INDEX(Suivi!$D:$D,3098)="",INDEX(Suivi!$C:$C,3098),INDEX(Suivi!$D:$D,3098)))</f>
        <v/>
      </c>
      <c r="D3040" s="29">
        <f>IF($B3040="","",INDEX(Suivi!$E:$E,3098))</f>
        <v/>
      </c>
      <c r="E3040" s="29">
        <f>IF($B3040="","",INDEX(Suivi!$F:$F,3098))</f>
        <v/>
      </c>
      <c r="F3040">
        <f>IF($B3040="","",INDEX(Suivi!$G:$G,3098))</f>
        <v/>
      </c>
      <c r="H3040">
        <f>IF(OR($B3040="",NOT(ISNUMBER($D3040))),"",IF($E3040&lt;$D$2,"Passé",IF($D3040&gt;$F$2,"À venir","Dans la période")))</f>
        <v/>
      </c>
      <c r="I3040">
        <f>IF(OR($B3040="",NOT(ISNUMBER($D3040))),"",IF(AND($E3040&lt;$D$2,$G3040&lt;&gt;"X",$F3040&lt;&gt;"Réalisé",$F3040&lt;&gt;"Clôturé"),"RETARD",""))</f>
        <v/>
      </c>
      <c r="J3040" s="29">
        <f>IF($B3040="","",IF(INDEX(Dossiers!$F$4:$F$63,58)="","",INDEX(Dossiers!$F$4:$F$63,58)))</f>
        <v/>
      </c>
      <c r="K3040" s="29">
        <f>IF($B3040="","",IF(INDEX(Dossiers!$G$4:$G$63,58)="","",INDEX(Dossiers!$G$4:$G$63,58)))</f>
        <v/>
      </c>
    </row>
    <row r="3041">
      <c r="A3041">
        <f>IF($B3041="","",INDEX(Dossiers!$E$4:$E$63,58))</f>
        <v/>
      </c>
      <c r="B3041">
        <f>IF(INDEX(Suivi!$B:$B,3099)="","",INDEX(Suivi!$B:$B,3099))</f>
        <v/>
      </c>
      <c r="C3041">
        <f>IF($B3041="","",IF(INDEX(Suivi!$D:$D,3099)="",INDEX(Suivi!$C:$C,3099),INDEX(Suivi!$D:$D,3099)))</f>
        <v/>
      </c>
      <c r="D3041" s="29">
        <f>IF($B3041="","",INDEX(Suivi!$E:$E,3099))</f>
        <v/>
      </c>
      <c r="E3041" s="29">
        <f>IF($B3041="","",INDEX(Suivi!$F:$F,3099))</f>
        <v/>
      </c>
      <c r="F3041">
        <f>IF($B3041="","",INDEX(Suivi!$G:$G,3099))</f>
        <v/>
      </c>
      <c r="H3041">
        <f>IF(OR($B3041="",NOT(ISNUMBER($D3041))),"",IF($E3041&lt;$D$2,"Passé",IF($D3041&gt;$F$2,"À venir","Dans la période")))</f>
        <v/>
      </c>
      <c r="I3041">
        <f>IF(OR($B3041="",NOT(ISNUMBER($D3041))),"",IF(AND($E3041&lt;$D$2,$G3041&lt;&gt;"X",$F3041&lt;&gt;"Réalisé",$F3041&lt;&gt;"Clôturé"),"RETARD",""))</f>
        <v/>
      </c>
      <c r="J3041" s="29">
        <f>IF($B3041="","",IF(INDEX(Dossiers!$F$4:$F$63,58)="","",INDEX(Dossiers!$F$4:$F$63,58)))</f>
        <v/>
      </c>
      <c r="K3041" s="29">
        <f>IF($B3041="","",IF(INDEX(Dossiers!$G$4:$G$63,58)="","",INDEX(Dossiers!$G$4:$G$63,58)))</f>
        <v/>
      </c>
    </row>
    <row r="3042">
      <c r="A3042">
        <f>IF($B3042="","",INDEX(Dossiers!$E$4:$E$63,58))</f>
        <v/>
      </c>
      <c r="B3042">
        <f>IF(INDEX(Suivi!$B:$B,3100)="","",INDEX(Suivi!$B:$B,3100))</f>
        <v/>
      </c>
      <c r="C3042">
        <f>IF($B3042="","",IF(INDEX(Suivi!$D:$D,3100)="",INDEX(Suivi!$C:$C,3100),INDEX(Suivi!$D:$D,3100)))</f>
        <v/>
      </c>
      <c r="D3042" s="29">
        <f>IF($B3042="","",INDEX(Suivi!$E:$E,3100))</f>
        <v/>
      </c>
      <c r="E3042" s="29">
        <f>IF($B3042="","",INDEX(Suivi!$F:$F,3100))</f>
        <v/>
      </c>
      <c r="F3042">
        <f>IF($B3042="","",INDEX(Suivi!$G:$G,3100))</f>
        <v/>
      </c>
      <c r="H3042">
        <f>IF(OR($B3042="",NOT(ISNUMBER($D3042))),"",IF($E3042&lt;$D$2,"Passé",IF($D3042&gt;$F$2,"À venir","Dans la période")))</f>
        <v/>
      </c>
      <c r="I3042">
        <f>IF(OR($B3042="",NOT(ISNUMBER($D3042))),"",IF(AND($E3042&lt;$D$2,$G3042&lt;&gt;"X",$F3042&lt;&gt;"Réalisé",$F3042&lt;&gt;"Clôturé"),"RETARD",""))</f>
        <v/>
      </c>
      <c r="J3042" s="29">
        <f>IF($B3042="","",IF(INDEX(Dossiers!$F$4:$F$63,58)="","",INDEX(Dossiers!$F$4:$F$63,58)))</f>
        <v/>
      </c>
      <c r="K3042" s="29">
        <f>IF($B3042="","",IF(INDEX(Dossiers!$G$4:$G$63,58)="","",INDEX(Dossiers!$G$4:$G$63,58)))</f>
        <v/>
      </c>
    </row>
    <row r="3043">
      <c r="A3043">
        <f>IF($B3043="","",INDEX(Dossiers!$E$4:$E$63,58))</f>
        <v/>
      </c>
      <c r="B3043">
        <f>IF(INDEX(Suivi!$B:$B,3101)="","",INDEX(Suivi!$B:$B,3101))</f>
        <v/>
      </c>
      <c r="C3043">
        <f>IF($B3043="","",IF(INDEX(Suivi!$D:$D,3101)="",INDEX(Suivi!$C:$C,3101),INDEX(Suivi!$D:$D,3101)))</f>
        <v/>
      </c>
      <c r="D3043" s="29">
        <f>IF($B3043="","",INDEX(Suivi!$E:$E,3101))</f>
        <v/>
      </c>
      <c r="E3043" s="29">
        <f>IF($B3043="","",INDEX(Suivi!$F:$F,3101))</f>
        <v/>
      </c>
      <c r="F3043">
        <f>IF($B3043="","",INDEX(Suivi!$G:$G,3101))</f>
        <v/>
      </c>
      <c r="H3043">
        <f>IF(OR($B3043="",NOT(ISNUMBER($D3043))),"",IF($E3043&lt;$D$2,"Passé",IF($D3043&gt;$F$2,"À venir","Dans la période")))</f>
        <v/>
      </c>
      <c r="I3043">
        <f>IF(OR($B3043="",NOT(ISNUMBER($D3043))),"",IF(AND($E3043&lt;$D$2,$G3043&lt;&gt;"X",$F3043&lt;&gt;"Réalisé",$F3043&lt;&gt;"Clôturé"),"RETARD",""))</f>
        <v/>
      </c>
      <c r="J3043" s="29">
        <f>IF($B3043="","",IF(INDEX(Dossiers!$F$4:$F$63,58)="","",INDEX(Dossiers!$F$4:$F$63,58)))</f>
        <v/>
      </c>
      <c r="K3043" s="29">
        <f>IF($B3043="","",IF(INDEX(Dossiers!$G$4:$G$63,58)="","",INDEX(Dossiers!$G$4:$G$63,58)))</f>
        <v/>
      </c>
    </row>
    <row r="3044">
      <c r="A3044">
        <f>IF($B3044="","",INDEX(Dossiers!$E$4:$E$63,58))</f>
        <v/>
      </c>
      <c r="B3044">
        <f>IF(INDEX(Suivi!$B:$B,3102)="","",INDEX(Suivi!$B:$B,3102))</f>
        <v/>
      </c>
      <c r="C3044">
        <f>IF($B3044="","",IF(INDEX(Suivi!$D:$D,3102)="",INDEX(Suivi!$C:$C,3102),INDEX(Suivi!$D:$D,3102)))</f>
        <v/>
      </c>
      <c r="D3044" s="29">
        <f>IF($B3044="","",INDEX(Suivi!$E:$E,3102))</f>
        <v/>
      </c>
      <c r="E3044" s="29">
        <f>IF($B3044="","",INDEX(Suivi!$F:$F,3102))</f>
        <v/>
      </c>
      <c r="F3044">
        <f>IF($B3044="","",INDEX(Suivi!$G:$G,3102))</f>
        <v/>
      </c>
      <c r="H3044">
        <f>IF(OR($B3044="",NOT(ISNUMBER($D3044))),"",IF($E3044&lt;$D$2,"Passé",IF($D3044&gt;$F$2,"À venir","Dans la période")))</f>
        <v/>
      </c>
      <c r="I3044">
        <f>IF(OR($B3044="",NOT(ISNUMBER($D3044))),"",IF(AND($E3044&lt;$D$2,$G3044&lt;&gt;"X",$F3044&lt;&gt;"Réalisé",$F3044&lt;&gt;"Clôturé"),"RETARD",""))</f>
        <v/>
      </c>
      <c r="J3044" s="29">
        <f>IF($B3044="","",IF(INDEX(Dossiers!$F$4:$F$63,58)="","",INDEX(Dossiers!$F$4:$F$63,58)))</f>
        <v/>
      </c>
      <c r="K3044" s="29">
        <f>IF($B3044="","",IF(INDEX(Dossiers!$G$4:$G$63,58)="","",INDEX(Dossiers!$G$4:$G$63,58)))</f>
        <v/>
      </c>
    </row>
    <row r="3045">
      <c r="A3045">
        <f>IF($B3045="","",INDEX(Dossiers!$E$4:$E$63,58))</f>
        <v/>
      </c>
      <c r="B3045">
        <f>IF(INDEX(Suivi!$B:$B,3103)="","",INDEX(Suivi!$B:$B,3103))</f>
        <v/>
      </c>
      <c r="C3045">
        <f>IF($B3045="","",IF(INDEX(Suivi!$D:$D,3103)="",INDEX(Suivi!$C:$C,3103),INDEX(Suivi!$D:$D,3103)))</f>
        <v/>
      </c>
      <c r="D3045" s="29">
        <f>IF($B3045="","",INDEX(Suivi!$E:$E,3103))</f>
        <v/>
      </c>
      <c r="E3045" s="29">
        <f>IF($B3045="","",INDEX(Suivi!$F:$F,3103))</f>
        <v/>
      </c>
      <c r="F3045">
        <f>IF($B3045="","",INDEX(Suivi!$G:$G,3103))</f>
        <v/>
      </c>
      <c r="H3045">
        <f>IF(OR($B3045="",NOT(ISNUMBER($D3045))),"",IF($E3045&lt;$D$2,"Passé",IF($D3045&gt;$F$2,"À venir","Dans la période")))</f>
        <v/>
      </c>
      <c r="I3045">
        <f>IF(OR($B3045="",NOT(ISNUMBER($D3045))),"",IF(AND($E3045&lt;$D$2,$G3045&lt;&gt;"X",$F3045&lt;&gt;"Réalisé",$F3045&lt;&gt;"Clôturé"),"RETARD",""))</f>
        <v/>
      </c>
      <c r="J3045" s="29">
        <f>IF($B3045="","",IF(INDEX(Dossiers!$F$4:$F$63,58)="","",INDEX(Dossiers!$F$4:$F$63,58)))</f>
        <v/>
      </c>
      <c r="K3045" s="29">
        <f>IF($B3045="","",IF(INDEX(Dossiers!$G$4:$G$63,58)="","",INDEX(Dossiers!$G$4:$G$63,58)))</f>
        <v/>
      </c>
    </row>
    <row r="3046">
      <c r="A3046">
        <f>IF($B3046="","",INDEX(Dossiers!$E$4:$E$63,58))</f>
        <v/>
      </c>
      <c r="B3046">
        <f>IF(INDEX(Suivi!$B:$B,3104)="","",INDEX(Suivi!$B:$B,3104))</f>
        <v/>
      </c>
      <c r="C3046">
        <f>IF($B3046="","",IF(INDEX(Suivi!$D:$D,3104)="",INDEX(Suivi!$C:$C,3104),INDEX(Suivi!$D:$D,3104)))</f>
        <v/>
      </c>
      <c r="D3046" s="29">
        <f>IF($B3046="","",INDEX(Suivi!$E:$E,3104))</f>
        <v/>
      </c>
      <c r="E3046" s="29">
        <f>IF($B3046="","",INDEX(Suivi!$F:$F,3104))</f>
        <v/>
      </c>
      <c r="F3046">
        <f>IF($B3046="","",INDEX(Suivi!$G:$G,3104))</f>
        <v/>
      </c>
      <c r="H3046">
        <f>IF(OR($B3046="",NOT(ISNUMBER($D3046))),"",IF($E3046&lt;$D$2,"Passé",IF($D3046&gt;$F$2,"À venir","Dans la période")))</f>
        <v/>
      </c>
      <c r="I3046">
        <f>IF(OR($B3046="",NOT(ISNUMBER($D3046))),"",IF(AND($E3046&lt;$D$2,$G3046&lt;&gt;"X",$F3046&lt;&gt;"Réalisé",$F3046&lt;&gt;"Clôturé"),"RETARD",""))</f>
        <v/>
      </c>
      <c r="J3046" s="29">
        <f>IF($B3046="","",IF(INDEX(Dossiers!$F$4:$F$63,58)="","",INDEX(Dossiers!$F$4:$F$63,58)))</f>
        <v/>
      </c>
      <c r="K3046" s="29">
        <f>IF($B3046="","",IF(INDEX(Dossiers!$G$4:$G$63,58)="","",INDEX(Dossiers!$G$4:$G$63,58)))</f>
        <v/>
      </c>
    </row>
    <row r="3047">
      <c r="A3047">
        <f>IF($B3047="","",INDEX(Dossiers!$E$4:$E$63,58))</f>
        <v/>
      </c>
      <c r="B3047">
        <f>IF(INDEX(Suivi!$B:$B,3105)="","",INDEX(Suivi!$B:$B,3105))</f>
        <v/>
      </c>
      <c r="C3047">
        <f>IF($B3047="","",IF(INDEX(Suivi!$D:$D,3105)="",INDEX(Suivi!$C:$C,3105),INDEX(Suivi!$D:$D,3105)))</f>
        <v/>
      </c>
      <c r="D3047" s="29">
        <f>IF($B3047="","",INDEX(Suivi!$E:$E,3105))</f>
        <v/>
      </c>
      <c r="E3047" s="29">
        <f>IF($B3047="","",INDEX(Suivi!$F:$F,3105))</f>
        <v/>
      </c>
      <c r="F3047">
        <f>IF($B3047="","",INDEX(Suivi!$G:$G,3105))</f>
        <v/>
      </c>
      <c r="H3047">
        <f>IF(OR($B3047="",NOT(ISNUMBER($D3047))),"",IF($E3047&lt;$D$2,"Passé",IF($D3047&gt;$F$2,"À venir","Dans la période")))</f>
        <v/>
      </c>
      <c r="I3047">
        <f>IF(OR($B3047="",NOT(ISNUMBER($D3047))),"",IF(AND($E3047&lt;$D$2,$G3047&lt;&gt;"X",$F3047&lt;&gt;"Réalisé",$F3047&lt;&gt;"Clôturé"),"RETARD",""))</f>
        <v/>
      </c>
      <c r="J3047" s="29">
        <f>IF($B3047="","",IF(INDEX(Dossiers!$F$4:$F$63,58)="","",INDEX(Dossiers!$F$4:$F$63,58)))</f>
        <v/>
      </c>
      <c r="K3047" s="29">
        <f>IF($B3047="","",IF(INDEX(Dossiers!$G$4:$G$63,58)="","",INDEX(Dossiers!$G$4:$G$63,58)))</f>
        <v/>
      </c>
    </row>
    <row r="3048">
      <c r="A3048">
        <f>IF($B3048="","",INDEX(Dossiers!$E$4:$E$63,58))</f>
        <v/>
      </c>
      <c r="B3048">
        <f>IF(INDEX(Suivi!$B:$B,3106)="","",INDEX(Suivi!$B:$B,3106))</f>
        <v/>
      </c>
      <c r="C3048">
        <f>IF($B3048="","",IF(INDEX(Suivi!$D:$D,3106)="",INDEX(Suivi!$C:$C,3106),INDEX(Suivi!$D:$D,3106)))</f>
        <v/>
      </c>
      <c r="D3048" s="29">
        <f>IF($B3048="","",INDEX(Suivi!$E:$E,3106))</f>
        <v/>
      </c>
      <c r="E3048" s="29">
        <f>IF($B3048="","",INDEX(Suivi!$F:$F,3106))</f>
        <v/>
      </c>
      <c r="F3048">
        <f>IF($B3048="","",INDEX(Suivi!$G:$G,3106))</f>
        <v/>
      </c>
      <c r="H3048">
        <f>IF(OR($B3048="",NOT(ISNUMBER($D3048))),"",IF($E3048&lt;$D$2,"Passé",IF($D3048&gt;$F$2,"À venir","Dans la période")))</f>
        <v/>
      </c>
      <c r="I3048">
        <f>IF(OR($B3048="",NOT(ISNUMBER($D3048))),"",IF(AND($E3048&lt;$D$2,$G3048&lt;&gt;"X",$F3048&lt;&gt;"Réalisé",$F3048&lt;&gt;"Clôturé"),"RETARD",""))</f>
        <v/>
      </c>
      <c r="J3048" s="29">
        <f>IF($B3048="","",IF(INDEX(Dossiers!$F$4:$F$63,58)="","",INDEX(Dossiers!$F$4:$F$63,58)))</f>
        <v/>
      </c>
      <c r="K3048" s="29">
        <f>IF($B3048="","",IF(INDEX(Dossiers!$G$4:$G$63,58)="","",INDEX(Dossiers!$G$4:$G$63,58)))</f>
        <v/>
      </c>
    </row>
    <row r="3049">
      <c r="A3049">
        <f>IF($B3049="","",INDEX(Dossiers!$E$4:$E$63,58))</f>
        <v/>
      </c>
      <c r="B3049">
        <f>IF(INDEX(Suivi!$B:$B,3107)="","",INDEX(Suivi!$B:$B,3107))</f>
        <v/>
      </c>
      <c r="C3049">
        <f>IF($B3049="","",IF(INDEX(Suivi!$D:$D,3107)="",INDEX(Suivi!$C:$C,3107),INDEX(Suivi!$D:$D,3107)))</f>
        <v/>
      </c>
      <c r="D3049" s="29">
        <f>IF($B3049="","",INDEX(Suivi!$E:$E,3107))</f>
        <v/>
      </c>
      <c r="E3049" s="29">
        <f>IF($B3049="","",INDEX(Suivi!$F:$F,3107))</f>
        <v/>
      </c>
      <c r="F3049">
        <f>IF($B3049="","",INDEX(Suivi!$G:$G,3107))</f>
        <v/>
      </c>
      <c r="H3049">
        <f>IF(OR($B3049="",NOT(ISNUMBER($D3049))),"",IF($E3049&lt;$D$2,"Passé",IF($D3049&gt;$F$2,"À venir","Dans la période")))</f>
        <v/>
      </c>
      <c r="I3049">
        <f>IF(OR($B3049="",NOT(ISNUMBER($D3049))),"",IF(AND($E3049&lt;$D$2,$G3049&lt;&gt;"X",$F3049&lt;&gt;"Réalisé",$F3049&lt;&gt;"Clôturé"),"RETARD",""))</f>
        <v/>
      </c>
      <c r="J3049" s="29">
        <f>IF($B3049="","",IF(INDEX(Dossiers!$F$4:$F$63,58)="","",INDEX(Dossiers!$F$4:$F$63,58)))</f>
        <v/>
      </c>
      <c r="K3049" s="29">
        <f>IF($B3049="","",IF(INDEX(Dossiers!$G$4:$G$63,58)="","",INDEX(Dossiers!$G$4:$G$63,58)))</f>
        <v/>
      </c>
    </row>
    <row r="3050">
      <c r="A3050">
        <f>IF($B3050="","",INDEX(Dossiers!$E$4:$E$63,58))</f>
        <v/>
      </c>
      <c r="B3050">
        <f>IF(INDEX(Suivi!$B:$B,3108)="","",INDEX(Suivi!$B:$B,3108))</f>
        <v/>
      </c>
      <c r="C3050">
        <f>IF($B3050="","",IF(INDEX(Suivi!$D:$D,3108)="",INDEX(Suivi!$C:$C,3108),INDEX(Suivi!$D:$D,3108)))</f>
        <v/>
      </c>
      <c r="D3050" s="29">
        <f>IF($B3050="","",INDEX(Suivi!$E:$E,3108))</f>
        <v/>
      </c>
      <c r="E3050" s="29">
        <f>IF($B3050="","",INDEX(Suivi!$F:$F,3108))</f>
        <v/>
      </c>
      <c r="F3050">
        <f>IF($B3050="","",INDEX(Suivi!$G:$G,3108))</f>
        <v/>
      </c>
      <c r="H3050">
        <f>IF(OR($B3050="",NOT(ISNUMBER($D3050))),"",IF($E3050&lt;$D$2,"Passé",IF($D3050&gt;$F$2,"À venir","Dans la période")))</f>
        <v/>
      </c>
      <c r="I3050">
        <f>IF(OR($B3050="",NOT(ISNUMBER($D3050))),"",IF(AND($E3050&lt;$D$2,$G3050&lt;&gt;"X",$F3050&lt;&gt;"Réalisé",$F3050&lt;&gt;"Clôturé"),"RETARD",""))</f>
        <v/>
      </c>
      <c r="J3050" s="29">
        <f>IF($B3050="","",IF(INDEX(Dossiers!$F$4:$F$63,58)="","",INDEX(Dossiers!$F$4:$F$63,58)))</f>
        <v/>
      </c>
      <c r="K3050" s="29">
        <f>IF($B3050="","",IF(INDEX(Dossiers!$G$4:$G$63,58)="","",INDEX(Dossiers!$G$4:$G$63,58)))</f>
        <v/>
      </c>
    </row>
    <row r="3051">
      <c r="A3051">
        <f>IF($B3051="","",INDEX(Dossiers!$E$4:$E$63,58))</f>
        <v/>
      </c>
      <c r="B3051">
        <f>IF(INDEX(Suivi!$B:$B,3109)="","",INDEX(Suivi!$B:$B,3109))</f>
        <v/>
      </c>
      <c r="C3051">
        <f>IF($B3051="","",IF(INDEX(Suivi!$D:$D,3109)="",INDEX(Suivi!$C:$C,3109),INDEX(Suivi!$D:$D,3109)))</f>
        <v/>
      </c>
      <c r="D3051" s="29">
        <f>IF($B3051="","",INDEX(Suivi!$E:$E,3109))</f>
        <v/>
      </c>
      <c r="E3051" s="29">
        <f>IF($B3051="","",INDEX(Suivi!$F:$F,3109))</f>
        <v/>
      </c>
      <c r="F3051">
        <f>IF($B3051="","",INDEX(Suivi!$G:$G,3109))</f>
        <v/>
      </c>
      <c r="H3051">
        <f>IF(OR($B3051="",NOT(ISNUMBER($D3051))),"",IF($E3051&lt;$D$2,"Passé",IF($D3051&gt;$F$2,"À venir","Dans la période")))</f>
        <v/>
      </c>
      <c r="I3051">
        <f>IF(OR($B3051="",NOT(ISNUMBER($D3051))),"",IF(AND($E3051&lt;$D$2,$G3051&lt;&gt;"X",$F3051&lt;&gt;"Réalisé",$F3051&lt;&gt;"Clôturé"),"RETARD",""))</f>
        <v/>
      </c>
      <c r="J3051" s="29">
        <f>IF($B3051="","",IF(INDEX(Dossiers!$F$4:$F$63,58)="","",INDEX(Dossiers!$F$4:$F$63,58)))</f>
        <v/>
      </c>
      <c r="K3051" s="29">
        <f>IF($B3051="","",IF(INDEX(Dossiers!$G$4:$G$63,58)="","",INDEX(Dossiers!$G$4:$G$63,58)))</f>
        <v/>
      </c>
    </row>
    <row r="3052">
      <c r="A3052">
        <f>IF($B3052="","",INDEX(Dossiers!$E$4:$E$63,58))</f>
        <v/>
      </c>
      <c r="B3052">
        <f>IF(INDEX(Suivi!$B:$B,3110)="","",INDEX(Suivi!$B:$B,3110))</f>
        <v/>
      </c>
      <c r="C3052">
        <f>IF($B3052="","",IF(INDEX(Suivi!$D:$D,3110)="",INDEX(Suivi!$C:$C,3110),INDEX(Suivi!$D:$D,3110)))</f>
        <v/>
      </c>
      <c r="D3052" s="29">
        <f>IF($B3052="","",INDEX(Suivi!$E:$E,3110))</f>
        <v/>
      </c>
      <c r="E3052" s="29">
        <f>IF($B3052="","",INDEX(Suivi!$F:$F,3110))</f>
        <v/>
      </c>
      <c r="F3052">
        <f>IF($B3052="","",INDEX(Suivi!$G:$G,3110))</f>
        <v/>
      </c>
      <c r="H3052">
        <f>IF(OR($B3052="",NOT(ISNUMBER($D3052))),"",IF($E3052&lt;$D$2,"Passé",IF($D3052&gt;$F$2,"À venir","Dans la période")))</f>
        <v/>
      </c>
      <c r="I3052">
        <f>IF(OR($B3052="",NOT(ISNUMBER($D3052))),"",IF(AND($E3052&lt;$D$2,$G3052&lt;&gt;"X",$F3052&lt;&gt;"Réalisé",$F3052&lt;&gt;"Clôturé"),"RETARD",""))</f>
        <v/>
      </c>
      <c r="J3052" s="29">
        <f>IF($B3052="","",IF(INDEX(Dossiers!$F$4:$F$63,58)="","",INDEX(Dossiers!$F$4:$F$63,58)))</f>
        <v/>
      </c>
      <c r="K3052" s="29">
        <f>IF($B3052="","",IF(INDEX(Dossiers!$G$4:$G$63,58)="","",INDEX(Dossiers!$G$4:$G$63,58)))</f>
        <v/>
      </c>
    </row>
    <row r="3053">
      <c r="A3053">
        <f>IF($B3053="","",INDEX(Dossiers!$E$4:$E$63,58))</f>
        <v/>
      </c>
      <c r="B3053">
        <f>IF(INDEX(Suivi!$B:$B,3111)="","",INDEX(Suivi!$B:$B,3111))</f>
        <v/>
      </c>
      <c r="C3053">
        <f>IF($B3053="","",IF(INDEX(Suivi!$D:$D,3111)="",INDEX(Suivi!$C:$C,3111),INDEX(Suivi!$D:$D,3111)))</f>
        <v/>
      </c>
      <c r="D3053" s="29">
        <f>IF($B3053="","",INDEX(Suivi!$E:$E,3111))</f>
        <v/>
      </c>
      <c r="E3053" s="29">
        <f>IF($B3053="","",INDEX(Suivi!$F:$F,3111))</f>
        <v/>
      </c>
      <c r="F3053">
        <f>IF($B3053="","",INDEX(Suivi!$G:$G,3111))</f>
        <v/>
      </c>
      <c r="H3053">
        <f>IF(OR($B3053="",NOT(ISNUMBER($D3053))),"",IF($E3053&lt;$D$2,"Passé",IF($D3053&gt;$F$2,"À venir","Dans la période")))</f>
        <v/>
      </c>
      <c r="I3053">
        <f>IF(OR($B3053="",NOT(ISNUMBER($D3053))),"",IF(AND($E3053&lt;$D$2,$G3053&lt;&gt;"X",$F3053&lt;&gt;"Réalisé",$F3053&lt;&gt;"Clôturé"),"RETARD",""))</f>
        <v/>
      </c>
      <c r="J3053" s="29">
        <f>IF($B3053="","",IF(INDEX(Dossiers!$F$4:$F$63,58)="","",INDEX(Dossiers!$F$4:$F$63,58)))</f>
        <v/>
      </c>
      <c r="K3053" s="29">
        <f>IF($B3053="","",IF(INDEX(Dossiers!$G$4:$G$63,58)="","",INDEX(Dossiers!$G$4:$G$63,58)))</f>
        <v/>
      </c>
    </row>
    <row r="3054">
      <c r="A3054">
        <f>IF($B3054="","",INDEX(Dossiers!$E$4:$E$63,58))</f>
        <v/>
      </c>
      <c r="B3054">
        <f>IF(INDEX(Suivi!$B:$B,3112)="","",INDEX(Suivi!$B:$B,3112))</f>
        <v/>
      </c>
      <c r="C3054">
        <f>IF($B3054="","",IF(INDEX(Suivi!$D:$D,3112)="",INDEX(Suivi!$C:$C,3112),INDEX(Suivi!$D:$D,3112)))</f>
        <v/>
      </c>
      <c r="D3054" s="29">
        <f>IF($B3054="","",INDEX(Suivi!$E:$E,3112))</f>
        <v/>
      </c>
      <c r="E3054" s="29">
        <f>IF($B3054="","",INDEX(Suivi!$F:$F,3112))</f>
        <v/>
      </c>
      <c r="F3054">
        <f>IF($B3054="","",INDEX(Suivi!$G:$G,3112))</f>
        <v/>
      </c>
      <c r="H3054">
        <f>IF(OR($B3054="",NOT(ISNUMBER($D3054))),"",IF($E3054&lt;$D$2,"Passé",IF($D3054&gt;$F$2,"À venir","Dans la période")))</f>
        <v/>
      </c>
      <c r="I3054">
        <f>IF(OR($B3054="",NOT(ISNUMBER($D3054))),"",IF(AND($E3054&lt;$D$2,$G3054&lt;&gt;"X",$F3054&lt;&gt;"Réalisé",$F3054&lt;&gt;"Clôturé"),"RETARD",""))</f>
        <v/>
      </c>
      <c r="J3054" s="29">
        <f>IF($B3054="","",IF(INDEX(Dossiers!$F$4:$F$63,58)="","",INDEX(Dossiers!$F$4:$F$63,58)))</f>
        <v/>
      </c>
      <c r="K3054" s="29">
        <f>IF($B3054="","",IF(INDEX(Dossiers!$G$4:$G$63,58)="","",INDEX(Dossiers!$G$4:$G$63,58)))</f>
        <v/>
      </c>
    </row>
    <row r="3055">
      <c r="A3055">
        <f>IF($B3055="","",INDEX(Dossiers!$E$4:$E$63,58))</f>
        <v/>
      </c>
      <c r="B3055">
        <f>IF(INDEX(Suivi!$B:$B,3113)="","",INDEX(Suivi!$B:$B,3113))</f>
        <v/>
      </c>
      <c r="C3055">
        <f>IF($B3055="","",IF(INDEX(Suivi!$D:$D,3113)="",INDEX(Suivi!$C:$C,3113),INDEX(Suivi!$D:$D,3113)))</f>
        <v/>
      </c>
      <c r="D3055" s="29">
        <f>IF($B3055="","",INDEX(Suivi!$E:$E,3113))</f>
        <v/>
      </c>
      <c r="E3055" s="29">
        <f>IF($B3055="","",INDEX(Suivi!$F:$F,3113))</f>
        <v/>
      </c>
      <c r="F3055">
        <f>IF($B3055="","",INDEX(Suivi!$G:$G,3113))</f>
        <v/>
      </c>
      <c r="H3055">
        <f>IF(OR($B3055="",NOT(ISNUMBER($D3055))),"",IF($E3055&lt;$D$2,"Passé",IF($D3055&gt;$F$2,"À venir","Dans la période")))</f>
        <v/>
      </c>
      <c r="I3055">
        <f>IF(OR($B3055="",NOT(ISNUMBER($D3055))),"",IF(AND($E3055&lt;$D$2,$G3055&lt;&gt;"X",$F3055&lt;&gt;"Réalisé",$F3055&lt;&gt;"Clôturé"),"RETARD",""))</f>
        <v/>
      </c>
      <c r="J3055" s="29">
        <f>IF($B3055="","",IF(INDEX(Dossiers!$F$4:$F$63,58)="","",INDEX(Dossiers!$F$4:$F$63,58)))</f>
        <v/>
      </c>
      <c r="K3055" s="29">
        <f>IF($B3055="","",IF(INDEX(Dossiers!$G$4:$G$63,58)="","",INDEX(Dossiers!$G$4:$G$63,58)))</f>
        <v/>
      </c>
    </row>
    <row r="3056">
      <c r="A3056">
        <f>IF($B3056="","",INDEX(Dossiers!$E$4:$E$63,58))</f>
        <v/>
      </c>
      <c r="B3056">
        <f>IF(INDEX(Suivi!$B:$B,3114)="","",INDEX(Suivi!$B:$B,3114))</f>
        <v/>
      </c>
      <c r="C3056">
        <f>IF($B3056="","",IF(INDEX(Suivi!$D:$D,3114)="",INDEX(Suivi!$C:$C,3114),INDEX(Suivi!$D:$D,3114)))</f>
        <v/>
      </c>
      <c r="D3056" s="29">
        <f>IF($B3056="","",INDEX(Suivi!$E:$E,3114))</f>
        <v/>
      </c>
      <c r="E3056" s="29">
        <f>IF($B3056="","",INDEX(Suivi!$F:$F,3114))</f>
        <v/>
      </c>
      <c r="F3056">
        <f>IF($B3056="","",INDEX(Suivi!$G:$G,3114))</f>
        <v/>
      </c>
      <c r="H3056">
        <f>IF(OR($B3056="",NOT(ISNUMBER($D3056))),"",IF($E3056&lt;$D$2,"Passé",IF($D3056&gt;$F$2,"À venir","Dans la période")))</f>
        <v/>
      </c>
      <c r="I3056">
        <f>IF(OR($B3056="",NOT(ISNUMBER($D3056))),"",IF(AND($E3056&lt;$D$2,$G3056&lt;&gt;"X",$F3056&lt;&gt;"Réalisé",$F3056&lt;&gt;"Clôturé"),"RETARD",""))</f>
        <v/>
      </c>
      <c r="J3056" s="29">
        <f>IF($B3056="","",IF(INDEX(Dossiers!$F$4:$F$63,58)="","",INDEX(Dossiers!$F$4:$F$63,58)))</f>
        <v/>
      </c>
      <c r="K3056" s="29">
        <f>IF($B3056="","",IF(INDEX(Dossiers!$G$4:$G$63,58)="","",INDEX(Dossiers!$G$4:$G$63,58)))</f>
        <v/>
      </c>
    </row>
    <row r="3057">
      <c r="A3057">
        <f>IF($B3057="","",INDEX(Dossiers!$E$4:$E$63,58))</f>
        <v/>
      </c>
      <c r="B3057">
        <f>IF(INDEX(Suivi!$B:$B,3115)="","",INDEX(Suivi!$B:$B,3115))</f>
        <v/>
      </c>
      <c r="C3057">
        <f>IF($B3057="","",IF(INDEX(Suivi!$D:$D,3115)="",INDEX(Suivi!$C:$C,3115),INDEX(Suivi!$D:$D,3115)))</f>
        <v/>
      </c>
      <c r="D3057" s="29">
        <f>IF($B3057="","",INDEX(Suivi!$E:$E,3115))</f>
        <v/>
      </c>
      <c r="E3057" s="29">
        <f>IF($B3057="","",INDEX(Suivi!$F:$F,3115))</f>
        <v/>
      </c>
      <c r="F3057">
        <f>IF($B3057="","",INDEX(Suivi!$G:$G,3115))</f>
        <v/>
      </c>
      <c r="H3057">
        <f>IF(OR($B3057="",NOT(ISNUMBER($D3057))),"",IF($E3057&lt;$D$2,"Passé",IF($D3057&gt;$F$2,"À venir","Dans la période")))</f>
        <v/>
      </c>
      <c r="I3057">
        <f>IF(OR($B3057="",NOT(ISNUMBER($D3057))),"",IF(AND($E3057&lt;$D$2,$G3057&lt;&gt;"X",$F3057&lt;&gt;"Réalisé",$F3057&lt;&gt;"Clôturé"),"RETARD",""))</f>
        <v/>
      </c>
      <c r="J3057" s="29">
        <f>IF($B3057="","",IF(INDEX(Dossiers!$F$4:$F$63,58)="","",INDEX(Dossiers!$F$4:$F$63,58)))</f>
        <v/>
      </c>
      <c r="K3057" s="29">
        <f>IF($B3057="","",IF(INDEX(Dossiers!$G$4:$G$63,58)="","",INDEX(Dossiers!$G$4:$G$63,58)))</f>
        <v/>
      </c>
    </row>
    <row r="3058">
      <c r="A3058">
        <f>IF($B3058="","",INDEX(Dossiers!$E$4:$E$63,58))</f>
        <v/>
      </c>
      <c r="B3058">
        <f>IF(INDEX(Suivi!$B:$B,3116)="","",INDEX(Suivi!$B:$B,3116))</f>
        <v/>
      </c>
      <c r="C3058">
        <f>IF($B3058="","",IF(INDEX(Suivi!$D:$D,3116)="",INDEX(Suivi!$C:$C,3116),INDEX(Suivi!$D:$D,3116)))</f>
        <v/>
      </c>
      <c r="D3058" s="29">
        <f>IF($B3058="","",INDEX(Suivi!$E:$E,3116))</f>
        <v/>
      </c>
      <c r="E3058" s="29">
        <f>IF($B3058="","",INDEX(Suivi!$F:$F,3116))</f>
        <v/>
      </c>
      <c r="F3058">
        <f>IF($B3058="","",INDEX(Suivi!$G:$G,3116))</f>
        <v/>
      </c>
      <c r="H3058">
        <f>IF(OR($B3058="",NOT(ISNUMBER($D3058))),"",IF($E3058&lt;$D$2,"Passé",IF($D3058&gt;$F$2,"À venir","Dans la période")))</f>
        <v/>
      </c>
      <c r="I3058">
        <f>IF(OR($B3058="",NOT(ISNUMBER($D3058))),"",IF(AND($E3058&lt;$D$2,$G3058&lt;&gt;"X",$F3058&lt;&gt;"Réalisé",$F3058&lt;&gt;"Clôturé"),"RETARD",""))</f>
        <v/>
      </c>
      <c r="J3058" s="29">
        <f>IF($B3058="","",IF(INDEX(Dossiers!$F$4:$F$63,58)="","",INDEX(Dossiers!$F$4:$F$63,58)))</f>
        <v/>
      </c>
      <c r="K3058" s="29">
        <f>IF($B3058="","",IF(INDEX(Dossiers!$G$4:$G$63,58)="","",INDEX(Dossiers!$G$4:$G$63,58)))</f>
        <v/>
      </c>
    </row>
    <row r="3059">
      <c r="A3059">
        <f>IF($B3059="","",INDEX(Dossiers!$E$4:$E$63,58))</f>
        <v/>
      </c>
      <c r="B3059">
        <f>IF(INDEX(Suivi!$B:$B,3117)="","",INDEX(Suivi!$B:$B,3117))</f>
        <v/>
      </c>
      <c r="C3059">
        <f>IF($B3059="","",IF(INDEX(Suivi!$D:$D,3117)="",INDEX(Suivi!$C:$C,3117),INDEX(Suivi!$D:$D,3117)))</f>
        <v/>
      </c>
      <c r="D3059" s="29">
        <f>IF($B3059="","",INDEX(Suivi!$E:$E,3117))</f>
        <v/>
      </c>
      <c r="E3059" s="29">
        <f>IF($B3059="","",INDEX(Suivi!$F:$F,3117))</f>
        <v/>
      </c>
      <c r="F3059">
        <f>IF($B3059="","",INDEX(Suivi!$G:$G,3117))</f>
        <v/>
      </c>
      <c r="H3059">
        <f>IF(OR($B3059="",NOT(ISNUMBER($D3059))),"",IF($E3059&lt;$D$2,"Passé",IF($D3059&gt;$F$2,"À venir","Dans la période")))</f>
        <v/>
      </c>
      <c r="I3059">
        <f>IF(OR($B3059="",NOT(ISNUMBER($D3059))),"",IF(AND($E3059&lt;$D$2,$G3059&lt;&gt;"X",$F3059&lt;&gt;"Réalisé",$F3059&lt;&gt;"Clôturé"),"RETARD",""))</f>
        <v/>
      </c>
      <c r="J3059" s="29">
        <f>IF($B3059="","",IF(INDEX(Dossiers!$F$4:$F$63,58)="","",INDEX(Dossiers!$F$4:$F$63,58)))</f>
        <v/>
      </c>
      <c r="K3059" s="29">
        <f>IF($B3059="","",IF(INDEX(Dossiers!$G$4:$G$63,58)="","",INDEX(Dossiers!$G$4:$G$63,58)))</f>
        <v/>
      </c>
    </row>
    <row r="3060">
      <c r="A3060">
        <f>IF($B3060="","",INDEX(Dossiers!$E$4:$E$63,58))</f>
        <v/>
      </c>
      <c r="B3060">
        <f>IF(INDEX(Suivi!$B:$B,3118)="","",INDEX(Suivi!$B:$B,3118))</f>
        <v/>
      </c>
      <c r="C3060">
        <f>IF($B3060="","",IF(INDEX(Suivi!$D:$D,3118)="",INDEX(Suivi!$C:$C,3118),INDEX(Suivi!$D:$D,3118)))</f>
        <v/>
      </c>
      <c r="D3060" s="29">
        <f>IF($B3060="","",INDEX(Suivi!$E:$E,3118))</f>
        <v/>
      </c>
      <c r="E3060" s="29">
        <f>IF($B3060="","",INDEX(Suivi!$F:$F,3118))</f>
        <v/>
      </c>
      <c r="F3060">
        <f>IF($B3060="","",INDEX(Suivi!$G:$G,3118))</f>
        <v/>
      </c>
      <c r="H3060">
        <f>IF(OR($B3060="",NOT(ISNUMBER($D3060))),"",IF($E3060&lt;$D$2,"Passé",IF($D3060&gt;$F$2,"À venir","Dans la période")))</f>
        <v/>
      </c>
      <c r="I3060">
        <f>IF(OR($B3060="",NOT(ISNUMBER($D3060))),"",IF(AND($E3060&lt;$D$2,$G3060&lt;&gt;"X",$F3060&lt;&gt;"Réalisé",$F3060&lt;&gt;"Clôturé"),"RETARD",""))</f>
        <v/>
      </c>
      <c r="J3060" s="29">
        <f>IF($B3060="","",IF(INDEX(Dossiers!$F$4:$F$63,58)="","",INDEX(Dossiers!$F$4:$F$63,58)))</f>
        <v/>
      </c>
      <c r="K3060" s="29">
        <f>IF($B3060="","",IF(INDEX(Dossiers!$G$4:$G$63,58)="","",INDEX(Dossiers!$G$4:$G$63,58)))</f>
        <v/>
      </c>
    </row>
    <row r="3061">
      <c r="A3061">
        <f>IF($B3061="","",INDEX(Dossiers!$E$4:$E$63,58))</f>
        <v/>
      </c>
      <c r="B3061">
        <f>IF(INDEX(Suivi!$B:$B,3119)="","",INDEX(Suivi!$B:$B,3119))</f>
        <v/>
      </c>
      <c r="C3061">
        <f>IF($B3061="","",IF(INDEX(Suivi!$D:$D,3119)="",INDEX(Suivi!$C:$C,3119),INDEX(Suivi!$D:$D,3119)))</f>
        <v/>
      </c>
      <c r="D3061" s="29">
        <f>IF($B3061="","",INDEX(Suivi!$E:$E,3119))</f>
        <v/>
      </c>
      <c r="E3061" s="29">
        <f>IF($B3061="","",INDEX(Suivi!$F:$F,3119))</f>
        <v/>
      </c>
      <c r="F3061">
        <f>IF($B3061="","",INDEX(Suivi!$G:$G,3119))</f>
        <v/>
      </c>
      <c r="H3061">
        <f>IF(OR($B3061="",NOT(ISNUMBER($D3061))),"",IF($E3061&lt;$D$2,"Passé",IF($D3061&gt;$F$2,"À venir","Dans la période")))</f>
        <v/>
      </c>
      <c r="I3061">
        <f>IF(OR($B3061="",NOT(ISNUMBER($D3061))),"",IF(AND($E3061&lt;$D$2,$G3061&lt;&gt;"X",$F3061&lt;&gt;"Réalisé",$F3061&lt;&gt;"Clôturé"),"RETARD",""))</f>
        <v/>
      </c>
      <c r="J3061" s="29">
        <f>IF($B3061="","",IF(INDEX(Dossiers!$F$4:$F$63,58)="","",INDEX(Dossiers!$F$4:$F$63,58)))</f>
        <v/>
      </c>
      <c r="K3061" s="29">
        <f>IF($B3061="","",IF(INDEX(Dossiers!$G$4:$G$63,58)="","",INDEX(Dossiers!$G$4:$G$63,58)))</f>
        <v/>
      </c>
    </row>
    <row r="3062">
      <c r="A3062">
        <f>IF($B3062="","",INDEX(Dossiers!$E$4:$E$63,58))</f>
        <v/>
      </c>
      <c r="B3062">
        <f>IF(INDEX(Suivi!$B:$B,3120)="","",INDEX(Suivi!$B:$B,3120))</f>
        <v/>
      </c>
      <c r="C3062">
        <f>IF($B3062="","",IF(INDEX(Suivi!$D:$D,3120)="",INDEX(Suivi!$C:$C,3120),INDEX(Suivi!$D:$D,3120)))</f>
        <v/>
      </c>
      <c r="D3062" s="29">
        <f>IF($B3062="","",INDEX(Suivi!$E:$E,3120))</f>
        <v/>
      </c>
      <c r="E3062" s="29">
        <f>IF($B3062="","",INDEX(Suivi!$F:$F,3120))</f>
        <v/>
      </c>
      <c r="F3062">
        <f>IF($B3062="","",INDEX(Suivi!$G:$G,3120))</f>
        <v/>
      </c>
      <c r="H3062">
        <f>IF(OR($B3062="",NOT(ISNUMBER($D3062))),"",IF($E3062&lt;$D$2,"Passé",IF($D3062&gt;$F$2,"À venir","Dans la période")))</f>
        <v/>
      </c>
      <c r="I3062">
        <f>IF(OR($B3062="",NOT(ISNUMBER($D3062))),"",IF(AND($E3062&lt;$D$2,$G3062&lt;&gt;"X",$F3062&lt;&gt;"Réalisé",$F3062&lt;&gt;"Clôturé"),"RETARD",""))</f>
        <v/>
      </c>
      <c r="J3062" s="29">
        <f>IF($B3062="","",IF(INDEX(Dossiers!$F$4:$F$63,58)="","",INDEX(Dossiers!$F$4:$F$63,58)))</f>
        <v/>
      </c>
      <c r="K3062" s="29">
        <f>IF($B3062="","",IF(INDEX(Dossiers!$G$4:$G$63,58)="","",INDEX(Dossiers!$G$4:$G$63,58)))</f>
        <v/>
      </c>
    </row>
    <row r="3063">
      <c r="A3063">
        <f>IF($B3063="","",INDEX(Dossiers!$E$4:$E$63,58))</f>
        <v/>
      </c>
      <c r="B3063">
        <f>IF(INDEX(Suivi!$B:$B,3121)="","",INDEX(Suivi!$B:$B,3121))</f>
        <v/>
      </c>
      <c r="C3063">
        <f>IF($B3063="","",IF(INDEX(Suivi!$D:$D,3121)="",INDEX(Suivi!$C:$C,3121),INDEX(Suivi!$D:$D,3121)))</f>
        <v/>
      </c>
      <c r="D3063" s="29">
        <f>IF($B3063="","",INDEX(Suivi!$E:$E,3121))</f>
        <v/>
      </c>
      <c r="E3063" s="29">
        <f>IF($B3063="","",INDEX(Suivi!$F:$F,3121))</f>
        <v/>
      </c>
      <c r="F3063">
        <f>IF($B3063="","",INDEX(Suivi!$G:$G,3121))</f>
        <v/>
      </c>
      <c r="H3063">
        <f>IF(OR($B3063="",NOT(ISNUMBER($D3063))),"",IF($E3063&lt;$D$2,"Passé",IF($D3063&gt;$F$2,"À venir","Dans la période")))</f>
        <v/>
      </c>
      <c r="I3063">
        <f>IF(OR($B3063="",NOT(ISNUMBER($D3063))),"",IF(AND($E3063&lt;$D$2,$G3063&lt;&gt;"X",$F3063&lt;&gt;"Réalisé",$F3063&lt;&gt;"Clôturé"),"RETARD",""))</f>
        <v/>
      </c>
      <c r="J3063" s="29">
        <f>IF($B3063="","",IF(INDEX(Dossiers!$F$4:$F$63,58)="","",INDEX(Dossiers!$F$4:$F$63,58)))</f>
        <v/>
      </c>
      <c r="K3063" s="29">
        <f>IF($B3063="","",IF(INDEX(Dossiers!$G$4:$G$63,58)="","",INDEX(Dossiers!$G$4:$G$63,58)))</f>
        <v/>
      </c>
    </row>
    <row r="3064">
      <c r="A3064">
        <f>IF($B3064="","",INDEX(Dossiers!$E$4:$E$63,58))</f>
        <v/>
      </c>
      <c r="B3064">
        <f>IF(INDEX(Suivi!$B:$B,3122)="","",INDEX(Suivi!$B:$B,3122))</f>
        <v/>
      </c>
      <c r="C3064">
        <f>IF($B3064="","",IF(INDEX(Suivi!$D:$D,3122)="",INDEX(Suivi!$C:$C,3122),INDEX(Suivi!$D:$D,3122)))</f>
        <v/>
      </c>
      <c r="D3064" s="29">
        <f>IF($B3064="","",INDEX(Suivi!$E:$E,3122))</f>
        <v/>
      </c>
      <c r="E3064" s="29">
        <f>IF($B3064="","",INDEX(Suivi!$F:$F,3122))</f>
        <v/>
      </c>
      <c r="F3064">
        <f>IF($B3064="","",INDEX(Suivi!$G:$G,3122))</f>
        <v/>
      </c>
      <c r="H3064">
        <f>IF(OR($B3064="",NOT(ISNUMBER($D3064))),"",IF($E3064&lt;$D$2,"Passé",IF($D3064&gt;$F$2,"À venir","Dans la période")))</f>
        <v/>
      </c>
      <c r="I3064">
        <f>IF(OR($B3064="",NOT(ISNUMBER($D3064))),"",IF(AND($E3064&lt;$D$2,$G3064&lt;&gt;"X",$F3064&lt;&gt;"Réalisé",$F3064&lt;&gt;"Clôturé"),"RETARD",""))</f>
        <v/>
      </c>
      <c r="J3064" s="29">
        <f>IF($B3064="","",IF(INDEX(Dossiers!$F$4:$F$63,58)="","",INDEX(Dossiers!$F$4:$F$63,58)))</f>
        <v/>
      </c>
      <c r="K3064" s="29">
        <f>IF($B3064="","",IF(INDEX(Dossiers!$G$4:$G$63,58)="","",INDEX(Dossiers!$G$4:$G$63,58)))</f>
        <v/>
      </c>
    </row>
    <row r="3065">
      <c r="A3065">
        <f>IF($B3065="","",INDEX(Dossiers!$E$4:$E$63,58))</f>
        <v/>
      </c>
      <c r="B3065">
        <f>IF(INDEX(Suivi!$B:$B,3123)="","",INDEX(Suivi!$B:$B,3123))</f>
        <v/>
      </c>
      <c r="C3065">
        <f>IF($B3065="","",IF(INDEX(Suivi!$D:$D,3123)="",INDEX(Suivi!$C:$C,3123),INDEX(Suivi!$D:$D,3123)))</f>
        <v/>
      </c>
      <c r="D3065" s="29">
        <f>IF($B3065="","",INDEX(Suivi!$E:$E,3123))</f>
        <v/>
      </c>
      <c r="E3065" s="29">
        <f>IF($B3065="","",INDEX(Suivi!$F:$F,3123))</f>
        <v/>
      </c>
      <c r="F3065">
        <f>IF($B3065="","",INDEX(Suivi!$G:$G,3123))</f>
        <v/>
      </c>
      <c r="H3065">
        <f>IF(OR($B3065="",NOT(ISNUMBER($D3065))),"",IF($E3065&lt;$D$2,"Passé",IF($D3065&gt;$F$2,"À venir","Dans la période")))</f>
        <v/>
      </c>
      <c r="I3065">
        <f>IF(OR($B3065="",NOT(ISNUMBER($D3065))),"",IF(AND($E3065&lt;$D$2,$G3065&lt;&gt;"X",$F3065&lt;&gt;"Réalisé",$F3065&lt;&gt;"Clôturé"),"RETARD",""))</f>
        <v/>
      </c>
      <c r="J3065" s="29">
        <f>IF($B3065="","",IF(INDEX(Dossiers!$F$4:$F$63,58)="","",INDEX(Dossiers!$F$4:$F$63,58)))</f>
        <v/>
      </c>
      <c r="K3065" s="29">
        <f>IF($B3065="","",IF(INDEX(Dossiers!$G$4:$G$63,58)="","",INDEX(Dossiers!$G$4:$G$63,58)))</f>
        <v/>
      </c>
    </row>
    <row r="3066">
      <c r="A3066">
        <f>IF($B3066="","",INDEX(Dossiers!$E$4:$E$63,58))</f>
        <v/>
      </c>
      <c r="B3066">
        <f>IF(INDEX(Suivi!$B:$B,3124)="","",INDEX(Suivi!$B:$B,3124))</f>
        <v/>
      </c>
      <c r="C3066">
        <f>IF($B3066="","",IF(INDEX(Suivi!$D:$D,3124)="",INDEX(Suivi!$C:$C,3124),INDEX(Suivi!$D:$D,3124)))</f>
        <v/>
      </c>
      <c r="D3066" s="29">
        <f>IF($B3066="","",INDEX(Suivi!$E:$E,3124))</f>
        <v/>
      </c>
      <c r="E3066" s="29">
        <f>IF($B3066="","",INDEX(Suivi!$F:$F,3124))</f>
        <v/>
      </c>
      <c r="F3066">
        <f>IF($B3066="","",INDEX(Suivi!$G:$G,3124))</f>
        <v/>
      </c>
      <c r="H3066">
        <f>IF(OR($B3066="",NOT(ISNUMBER($D3066))),"",IF($E3066&lt;$D$2,"Passé",IF($D3066&gt;$F$2,"À venir","Dans la période")))</f>
        <v/>
      </c>
      <c r="I3066">
        <f>IF(OR($B3066="",NOT(ISNUMBER($D3066))),"",IF(AND($E3066&lt;$D$2,$G3066&lt;&gt;"X",$F3066&lt;&gt;"Réalisé",$F3066&lt;&gt;"Clôturé"),"RETARD",""))</f>
        <v/>
      </c>
      <c r="J3066" s="29">
        <f>IF($B3066="","",IF(INDEX(Dossiers!$F$4:$F$63,58)="","",INDEX(Dossiers!$F$4:$F$63,58)))</f>
        <v/>
      </c>
      <c r="K3066" s="29">
        <f>IF($B3066="","",IF(INDEX(Dossiers!$G$4:$G$63,58)="","",INDEX(Dossiers!$G$4:$G$63,58)))</f>
        <v/>
      </c>
    </row>
    <row r="3067">
      <c r="A3067">
        <f>IF($B3067="","",INDEX(Dossiers!$E$4:$E$63,58))</f>
        <v/>
      </c>
      <c r="B3067">
        <f>IF(INDEX(Suivi!$B:$B,3125)="","",INDEX(Suivi!$B:$B,3125))</f>
        <v/>
      </c>
      <c r="C3067">
        <f>IF($B3067="","",IF(INDEX(Suivi!$D:$D,3125)="",INDEX(Suivi!$C:$C,3125),INDEX(Suivi!$D:$D,3125)))</f>
        <v/>
      </c>
      <c r="D3067" s="29">
        <f>IF($B3067="","",INDEX(Suivi!$E:$E,3125))</f>
        <v/>
      </c>
      <c r="E3067" s="29">
        <f>IF($B3067="","",INDEX(Suivi!$F:$F,3125))</f>
        <v/>
      </c>
      <c r="F3067">
        <f>IF($B3067="","",INDEX(Suivi!$G:$G,3125))</f>
        <v/>
      </c>
      <c r="H3067">
        <f>IF(OR($B3067="",NOT(ISNUMBER($D3067))),"",IF($E3067&lt;$D$2,"Passé",IF($D3067&gt;$F$2,"À venir","Dans la période")))</f>
        <v/>
      </c>
      <c r="I3067">
        <f>IF(OR($B3067="",NOT(ISNUMBER($D3067))),"",IF(AND($E3067&lt;$D$2,$G3067&lt;&gt;"X",$F3067&lt;&gt;"Réalisé",$F3067&lt;&gt;"Clôturé"),"RETARD",""))</f>
        <v/>
      </c>
      <c r="J3067" s="29">
        <f>IF($B3067="","",IF(INDEX(Dossiers!$F$4:$F$63,58)="","",INDEX(Dossiers!$F$4:$F$63,58)))</f>
        <v/>
      </c>
      <c r="K3067" s="29">
        <f>IF($B3067="","",IF(INDEX(Dossiers!$G$4:$G$63,58)="","",INDEX(Dossiers!$G$4:$G$63,58)))</f>
        <v/>
      </c>
    </row>
    <row r="3068">
      <c r="A3068">
        <f>IF($B3068="","",INDEX(Dossiers!$E$4:$E$63,58))</f>
        <v/>
      </c>
      <c r="B3068">
        <f>IF(INDEX(Suivi!$B:$B,3126)="","",INDEX(Suivi!$B:$B,3126))</f>
        <v/>
      </c>
      <c r="C3068">
        <f>IF($B3068="","",IF(INDEX(Suivi!$D:$D,3126)="",INDEX(Suivi!$C:$C,3126),INDEX(Suivi!$D:$D,3126)))</f>
        <v/>
      </c>
      <c r="D3068" s="29">
        <f>IF($B3068="","",INDEX(Suivi!$E:$E,3126))</f>
        <v/>
      </c>
      <c r="E3068" s="29">
        <f>IF($B3068="","",INDEX(Suivi!$F:$F,3126))</f>
        <v/>
      </c>
      <c r="F3068">
        <f>IF($B3068="","",INDEX(Suivi!$G:$G,3126))</f>
        <v/>
      </c>
      <c r="H3068">
        <f>IF(OR($B3068="",NOT(ISNUMBER($D3068))),"",IF($E3068&lt;$D$2,"Passé",IF($D3068&gt;$F$2,"À venir","Dans la période")))</f>
        <v/>
      </c>
      <c r="I3068">
        <f>IF(OR($B3068="",NOT(ISNUMBER($D3068))),"",IF(AND($E3068&lt;$D$2,$G3068&lt;&gt;"X",$F3068&lt;&gt;"Réalisé",$F3068&lt;&gt;"Clôturé"),"RETARD",""))</f>
        <v/>
      </c>
      <c r="J3068" s="29">
        <f>IF($B3068="","",IF(INDEX(Dossiers!$F$4:$F$63,58)="","",INDEX(Dossiers!$F$4:$F$63,58)))</f>
        <v/>
      </c>
      <c r="K3068" s="29">
        <f>IF($B3068="","",IF(INDEX(Dossiers!$G$4:$G$63,58)="","",INDEX(Dossiers!$G$4:$G$63,58)))</f>
        <v/>
      </c>
    </row>
    <row r="3069">
      <c r="A3069">
        <f>IF($B3069="","",INDEX(Dossiers!$E$4:$E$63,58))</f>
        <v/>
      </c>
      <c r="B3069">
        <f>IF(INDEX(Suivi!$B:$B,3127)="","",INDEX(Suivi!$B:$B,3127))</f>
        <v/>
      </c>
      <c r="C3069">
        <f>IF($B3069="","",IF(INDEX(Suivi!$D:$D,3127)="",INDEX(Suivi!$C:$C,3127),INDEX(Suivi!$D:$D,3127)))</f>
        <v/>
      </c>
      <c r="D3069" s="29">
        <f>IF($B3069="","",INDEX(Suivi!$E:$E,3127))</f>
        <v/>
      </c>
      <c r="E3069" s="29">
        <f>IF($B3069="","",INDEX(Suivi!$F:$F,3127))</f>
        <v/>
      </c>
      <c r="F3069">
        <f>IF($B3069="","",INDEX(Suivi!$G:$G,3127))</f>
        <v/>
      </c>
      <c r="H3069">
        <f>IF(OR($B3069="",NOT(ISNUMBER($D3069))),"",IF($E3069&lt;$D$2,"Passé",IF($D3069&gt;$F$2,"À venir","Dans la période")))</f>
        <v/>
      </c>
      <c r="I3069">
        <f>IF(OR($B3069="",NOT(ISNUMBER($D3069))),"",IF(AND($E3069&lt;$D$2,$G3069&lt;&gt;"X",$F3069&lt;&gt;"Réalisé",$F3069&lt;&gt;"Clôturé"),"RETARD",""))</f>
        <v/>
      </c>
      <c r="J3069" s="29">
        <f>IF($B3069="","",IF(INDEX(Dossiers!$F$4:$F$63,58)="","",INDEX(Dossiers!$F$4:$F$63,58)))</f>
        <v/>
      </c>
      <c r="K3069" s="29">
        <f>IF($B3069="","",IF(INDEX(Dossiers!$G$4:$G$63,58)="","",INDEX(Dossiers!$G$4:$G$63,58)))</f>
        <v/>
      </c>
    </row>
    <row r="3070">
      <c r="A3070">
        <f>IF($B3070="","",INDEX(Dossiers!$E$4:$E$63,58))</f>
        <v/>
      </c>
      <c r="B3070">
        <f>IF(INDEX(Suivi!$B:$B,3128)="","",INDEX(Suivi!$B:$B,3128))</f>
        <v/>
      </c>
      <c r="C3070">
        <f>IF($B3070="","",IF(INDEX(Suivi!$D:$D,3128)="",INDEX(Suivi!$C:$C,3128),INDEX(Suivi!$D:$D,3128)))</f>
        <v/>
      </c>
      <c r="D3070" s="29">
        <f>IF($B3070="","",INDEX(Suivi!$E:$E,3128))</f>
        <v/>
      </c>
      <c r="E3070" s="29">
        <f>IF($B3070="","",INDEX(Suivi!$F:$F,3128))</f>
        <v/>
      </c>
      <c r="F3070">
        <f>IF($B3070="","",INDEX(Suivi!$G:$G,3128))</f>
        <v/>
      </c>
      <c r="H3070">
        <f>IF(OR($B3070="",NOT(ISNUMBER($D3070))),"",IF($E3070&lt;$D$2,"Passé",IF($D3070&gt;$F$2,"À venir","Dans la période")))</f>
        <v/>
      </c>
      <c r="I3070">
        <f>IF(OR($B3070="",NOT(ISNUMBER($D3070))),"",IF(AND($E3070&lt;$D$2,$G3070&lt;&gt;"X",$F3070&lt;&gt;"Réalisé",$F3070&lt;&gt;"Clôturé"),"RETARD",""))</f>
        <v/>
      </c>
      <c r="J3070" s="29">
        <f>IF($B3070="","",IF(INDEX(Dossiers!$F$4:$F$63,58)="","",INDEX(Dossiers!$F$4:$F$63,58)))</f>
        <v/>
      </c>
      <c r="K3070" s="29">
        <f>IF($B3070="","",IF(INDEX(Dossiers!$G$4:$G$63,58)="","",INDEX(Dossiers!$G$4:$G$63,58)))</f>
        <v/>
      </c>
    </row>
    <row r="3071">
      <c r="A3071">
        <f>IF($B3071="","",INDEX(Dossiers!$E$4:$E$63,58))</f>
        <v/>
      </c>
      <c r="B3071">
        <f>IF(INDEX(Suivi!$B:$B,3129)="","",INDEX(Suivi!$B:$B,3129))</f>
        <v/>
      </c>
      <c r="C3071">
        <f>IF($B3071="","",IF(INDEX(Suivi!$D:$D,3129)="",INDEX(Suivi!$C:$C,3129),INDEX(Suivi!$D:$D,3129)))</f>
        <v/>
      </c>
      <c r="D3071" s="29">
        <f>IF($B3071="","",INDEX(Suivi!$E:$E,3129))</f>
        <v/>
      </c>
      <c r="E3071" s="29">
        <f>IF($B3071="","",INDEX(Suivi!$F:$F,3129))</f>
        <v/>
      </c>
      <c r="F3071">
        <f>IF($B3071="","",INDEX(Suivi!$G:$G,3129))</f>
        <v/>
      </c>
      <c r="H3071">
        <f>IF(OR($B3071="",NOT(ISNUMBER($D3071))),"",IF($E3071&lt;$D$2,"Passé",IF($D3071&gt;$F$2,"À venir","Dans la période")))</f>
        <v/>
      </c>
      <c r="I3071">
        <f>IF(OR($B3071="",NOT(ISNUMBER($D3071))),"",IF(AND($E3071&lt;$D$2,$G3071&lt;&gt;"X",$F3071&lt;&gt;"Réalisé",$F3071&lt;&gt;"Clôturé"),"RETARD",""))</f>
        <v/>
      </c>
      <c r="J3071" s="29">
        <f>IF($B3071="","",IF(INDEX(Dossiers!$F$4:$F$63,58)="","",INDEX(Dossiers!$F$4:$F$63,58)))</f>
        <v/>
      </c>
      <c r="K3071" s="29">
        <f>IF($B3071="","",IF(INDEX(Dossiers!$G$4:$G$63,58)="","",INDEX(Dossiers!$G$4:$G$63,58)))</f>
        <v/>
      </c>
    </row>
    <row r="3072">
      <c r="A3072">
        <f>IF($B3072="","",INDEX(Dossiers!$E$4:$E$63,58))</f>
        <v/>
      </c>
      <c r="B3072">
        <f>IF(INDEX(Suivi!$B:$B,3130)="","",INDEX(Suivi!$B:$B,3130))</f>
        <v/>
      </c>
      <c r="C3072">
        <f>IF($B3072="","",IF(INDEX(Suivi!$D:$D,3130)="",INDEX(Suivi!$C:$C,3130),INDEX(Suivi!$D:$D,3130)))</f>
        <v/>
      </c>
      <c r="D3072" s="29">
        <f>IF($B3072="","",INDEX(Suivi!$E:$E,3130))</f>
        <v/>
      </c>
      <c r="E3072" s="29">
        <f>IF($B3072="","",INDEX(Suivi!$F:$F,3130))</f>
        <v/>
      </c>
      <c r="F3072">
        <f>IF($B3072="","",INDEX(Suivi!$G:$G,3130))</f>
        <v/>
      </c>
      <c r="H3072">
        <f>IF(OR($B3072="",NOT(ISNUMBER($D3072))),"",IF($E3072&lt;$D$2,"Passé",IF($D3072&gt;$F$2,"À venir","Dans la période")))</f>
        <v/>
      </c>
      <c r="I3072">
        <f>IF(OR($B3072="",NOT(ISNUMBER($D3072))),"",IF(AND($E3072&lt;$D$2,$G3072&lt;&gt;"X",$F3072&lt;&gt;"Réalisé",$F3072&lt;&gt;"Clôturé"),"RETARD",""))</f>
        <v/>
      </c>
      <c r="J3072" s="29">
        <f>IF($B3072="","",IF(INDEX(Dossiers!$F$4:$F$63,58)="","",INDEX(Dossiers!$F$4:$F$63,58)))</f>
        <v/>
      </c>
      <c r="K3072" s="29">
        <f>IF($B3072="","",IF(INDEX(Dossiers!$G$4:$G$63,58)="","",INDEX(Dossiers!$G$4:$G$63,58)))</f>
        <v/>
      </c>
    </row>
    <row r="3073">
      <c r="A3073">
        <f>IF($B3073="","",INDEX(Dossiers!$E$4:$E$63,58))</f>
        <v/>
      </c>
      <c r="B3073">
        <f>IF(INDEX(Suivi!$B:$B,3131)="","",INDEX(Suivi!$B:$B,3131))</f>
        <v/>
      </c>
      <c r="C3073">
        <f>IF($B3073="","",IF(INDEX(Suivi!$D:$D,3131)="",INDEX(Suivi!$C:$C,3131),INDEX(Suivi!$D:$D,3131)))</f>
        <v/>
      </c>
      <c r="D3073" s="29">
        <f>IF($B3073="","",INDEX(Suivi!$E:$E,3131))</f>
        <v/>
      </c>
      <c r="E3073" s="29">
        <f>IF($B3073="","",INDEX(Suivi!$F:$F,3131))</f>
        <v/>
      </c>
      <c r="F3073">
        <f>IF($B3073="","",INDEX(Suivi!$G:$G,3131))</f>
        <v/>
      </c>
      <c r="H3073">
        <f>IF(OR($B3073="",NOT(ISNUMBER($D3073))),"",IF($E3073&lt;$D$2,"Passé",IF($D3073&gt;$F$2,"À venir","Dans la période")))</f>
        <v/>
      </c>
      <c r="I3073">
        <f>IF(OR($B3073="",NOT(ISNUMBER($D3073))),"",IF(AND($E3073&lt;$D$2,$G3073&lt;&gt;"X",$F3073&lt;&gt;"Réalisé",$F3073&lt;&gt;"Clôturé"),"RETARD",""))</f>
        <v/>
      </c>
      <c r="J3073" s="29">
        <f>IF($B3073="","",IF(INDEX(Dossiers!$F$4:$F$63,58)="","",INDEX(Dossiers!$F$4:$F$63,58)))</f>
        <v/>
      </c>
      <c r="K3073" s="29">
        <f>IF($B3073="","",IF(INDEX(Dossiers!$G$4:$G$63,58)="","",INDEX(Dossiers!$G$4:$G$63,58)))</f>
        <v/>
      </c>
    </row>
    <row r="3074">
      <c r="A3074">
        <f>IF($B3074="","",INDEX(Dossiers!$E$4:$E$63,58))</f>
        <v/>
      </c>
      <c r="B3074">
        <f>IF(INDEX(Suivi!$B:$B,3132)="","",INDEX(Suivi!$B:$B,3132))</f>
        <v/>
      </c>
      <c r="C3074">
        <f>IF($B3074="","",IF(INDEX(Suivi!$D:$D,3132)="",INDEX(Suivi!$C:$C,3132),INDEX(Suivi!$D:$D,3132)))</f>
        <v/>
      </c>
      <c r="D3074" s="29">
        <f>IF($B3074="","",INDEX(Suivi!$E:$E,3132))</f>
        <v/>
      </c>
      <c r="E3074" s="29">
        <f>IF($B3074="","",INDEX(Suivi!$F:$F,3132))</f>
        <v/>
      </c>
      <c r="F3074">
        <f>IF($B3074="","",INDEX(Suivi!$G:$G,3132))</f>
        <v/>
      </c>
      <c r="H3074">
        <f>IF(OR($B3074="",NOT(ISNUMBER($D3074))),"",IF($E3074&lt;$D$2,"Passé",IF($D3074&gt;$F$2,"À venir","Dans la période")))</f>
        <v/>
      </c>
      <c r="I3074">
        <f>IF(OR($B3074="",NOT(ISNUMBER($D3074))),"",IF(AND($E3074&lt;$D$2,$G3074&lt;&gt;"X",$F3074&lt;&gt;"Réalisé",$F3074&lt;&gt;"Clôturé"),"RETARD",""))</f>
        <v/>
      </c>
      <c r="J3074" s="29">
        <f>IF($B3074="","",IF(INDEX(Dossiers!$F$4:$F$63,58)="","",INDEX(Dossiers!$F$4:$F$63,58)))</f>
        <v/>
      </c>
      <c r="K3074" s="29">
        <f>IF($B3074="","",IF(INDEX(Dossiers!$G$4:$G$63,58)="","",INDEX(Dossiers!$G$4:$G$63,58)))</f>
        <v/>
      </c>
    </row>
    <row r="3075">
      <c r="A3075">
        <f>IF($B3075="","",INDEX(Dossiers!$E$4:$E$63,58))</f>
        <v/>
      </c>
      <c r="B3075">
        <f>IF(INDEX(Suivi!$B:$B,3133)="","",INDEX(Suivi!$B:$B,3133))</f>
        <v/>
      </c>
      <c r="C3075">
        <f>IF($B3075="","",IF(INDEX(Suivi!$D:$D,3133)="",INDEX(Suivi!$C:$C,3133),INDEX(Suivi!$D:$D,3133)))</f>
        <v/>
      </c>
      <c r="D3075" s="29">
        <f>IF($B3075="","",INDEX(Suivi!$E:$E,3133))</f>
        <v/>
      </c>
      <c r="E3075" s="29">
        <f>IF($B3075="","",INDEX(Suivi!$F:$F,3133))</f>
        <v/>
      </c>
      <c r="F3075">
        <f>IF($B3075="","",INDEX(Suivi!$G:$G,3133))</f>
        <v/>
      </c>
      <c r="H3075">
        <f>IF(OR($B3075="",NOT(ISNUMBER($D3075))),"",IF($E3075&lt;$D$2,"Passé",IF($D3075&gt;$F$2,"À venir","Dans la période")))</f>
        <v/>
      </c>
      <c r="I3075">
        <f>IF(OR($B3075="",NOT(ISNUMBER($D3075))),"",IF(AND($E3075&lt;$D$2,$G3075&lt;&gt;"X",$F3075&lt;&gt;"Réalisé",$F3075&lt;&gt;"Clôturé"),"RETARD",""))</f>
        <v/>
      </c>
      <c r="J3075" s="29">
        <f>IF($B3075="","",IF(INDEX(Dossiers!$F$4:$F$63,58)="","",INDEX(Dossiers!$F$4:$F$63,58)))</f>
        <v/>
      </c>
      <c r="K3075" s="29">
        <f>IF($B3075="","",IF(INDEX(Dossiers!$G$4:$G$63,58)="","",INDEX(Dossiers!$G$4:$G$63,58)))</f>
        <v/>
      </c>
    </row>
    <row r="3076">
      <c r="A3076">
        <f>IF($B3076="","",INDEX(Dossiers!$E$4:$E$63,58))</f>
        <v/>
      </c>
      <c r="B3076">
        <f>IF(INDEX(Suivi!$B:$B,3134)="","",INDEX(Suivi!$B:$B,3134))</f>
        <v/>
      </c>
      <c r="C3076">
        <f>IF($B3076="","",IF(INDEX(Suivi!$D:$D,3134)="",INDEX(Suivi!$C:$C,3134),INDEX(Suivi!$D:$D,3134)))</f>
        <v/>
      </c>
      <c r="D3076" s="29">
        <f>IF($B3076="","",INDEX(Suivi!$E:$E,3134))</f>
        <v/>
      </c>
      <c r="E3076" s="29">
        <f>IF($B3076="","",INDEX(Suivi!$F:$F,3134))</f>
        <v/>
      </c>
      <c r="F3076">
        <f>IF($B3076="","",INDEX(Suivi!$G:$G,3134))</f>
        <v/>
      </c>
      <c r="H3076">
        <f>IF(OR($B3076="",NOT(ISNUMBER($D3076))),"",IF($E3076&lt;$D$2,"Passé",IF($D3076&gt;$F$2,"À venir","Dans la période")))</f>
        <v/>
      </c>
      <c r="I3076">
        <f>IF(OR($B3076="",NOT(ISNUMBER($D3076))),"",IF(AND($E3076&lt;$D$2,$G3076&lt;&gt;"X",$F3076&lt;&gt;"Réalisé",$F3076&lt;&gt;"Clôturé"),"RETARD",""))</f>
        <v/>
      </c>
      <c r="J3076" s="29">
        <f>IF($B3076="","",IF(INDEX(Dossiers!$F$4:$F$63,58)="","",INDEX(Dossiers!$F$4:$F$63,58)))</f>
        <v/>
      </c>
      <c r="K3076" s="29">
        <f>IF($B3076="","",IF(INDEX(Dossiers!$G$4:$G$63,58)="","",INDEX(Dossiers!$G$4:$G$63,58)))</f>
        <v/>
      </c>
    </row>
    <row r="3077">
      <c r="A3077">
        <f>IF($B3077="","",INDEX(Dossiers!$E$4:$E$63,58))</f>
        <v/>
      </c>
      <c r="B3077">
        <f>IF(INDEX(Suivi!$B:$B,3135)="","",INDEX(Suivi!$B:$B,3135))</f>
        <v/>
      </c>
      <c r="C3077">
        <f>IF($B3077="","",IF(INDEX(Suivi!$D:$D,3135)="",INDEX(Suivi!$C:$C,3135),INDEX(Suivi!$D:$D,3135)))</f>
        <v/>
      </c>
      <c r="D3077" s="29">
        <f>IF($B3077="","",INDEX(Suivi!$E:$E,3135))</f>
        <v/>
      </c>
      <c r="E3077" s="29">
        <f>IF($B3077="","",INDEX(Suivi!$F:$F,3135))</f>
        <v/>
      </c>
      <c r="F3077">
        <f>IF($B3077="","",INDEX(Suivi!$G:$G,3135))</f>
        <v/>
      </c>
      <c r="H3077">
        <f>IF(OR($B3077="",NOT(ISNUMBER($D3077))),"",IF($E3077&lt;$D$2,"Passé",IF($D3077&gt;$F$2,"À venir","Dans la période")))</f>
        <v/>
      </c>
      <c r="I3077">
        <f>IF(OR($B3077="",NOT(ISNUMBER($D3077))),"",IF(AND($E3077&lt;$D$2,$G3077&lt;&gt;"X",$F3077&lt;&gt;"Réalisé",$F3077&lt;&gt;"Clôturé"),"RETARD",""))</f>
        <v/>
      </c>
      <c r="J3077" s="29">
        <f>IF($B3077="","",IF(INDEX(Dossiers!$F$4:$F$63,58)="","",INDEX(Dossiers!$F$4:$F$63,58)))</f>
        <v/>
      </c>
      <c r="K3077" s="29">
        <f>IF($B3077="","",IF(INDEX(Dossiers!$G$4:$G$63,58)="","",INDEX(Dossiers!$G$4:$G$63,58)))</f>
        <v/>
      </c>
    </row>
    <row r="3078">
      <c r="A3078">
        <f>IF($B3078="","",INDEX(Dossiers!$E$4:$E$63,59))</f>
        <v/>
      </c>
      <c r="B3078">
        <f>IF(INDEX(Suivi!$B:$B,3137)="","",INDEX(Suivi!$B:$B,3137))</f>
        <v/>
      </c>
      <c r="C3078">
        <f>IF($B3078="","",IF(INDEX(Suivi!$D:$D,3137)="",INDEX(Suivi!$C:$C,3137),INDEX(Suivi!$D:$D,3137)))</f>
        <v/>
      </c>
      <c r="D3078" s="29">
        <f>IF($B3078="","",INDEX(Suivi!$E:$E,3137))</f>
        <v/>
      </c>
      <c r="E3078" s="29">
        <f>IF($B3078="","",INDEX(Suivi!$F:$F,3137))</f>
        <v/>
      </c>
      <c r="F3078">
        <f>IF($B3078="","",INDEX(Suivi!$G:$G,3137))</f>
        <v/>
      </c>
      <c r="H3078">
        <f>IF(OR($B3078="",NOT(ISNUMBER($D3078))),"",IF($E3078&lt;$D$2,"Passé",IF($D3078&gt;$F$2,"À venir","Dans la période")))</f>
        <v/>
      </c>
      <c r="I3078">
        <f>IF(OR($B3078="",NOT(ISNUMBER($D3078))),"",IF(AND($E3078&lt;$D$2,$G3078&lt;&gt;"X",$F3078&lt;&gt;"Réalisé",$F3078&lt;&gt;"Clôturé"),"RETARD",""))</f>
        <v/>
      </c>
      <c r="J3078" s="29">
        <f>IF($B3078="","",IF(INDEX(Dossiers!$F$4:$F$63,59)="","",INDEX(Dossiers!$F$4:$F$63,59)))</f>
        <v/>
      </c>
      <c r="K3078" s="29">
        <f>IF($B3078="","",IF(INDEX(Dossiers!$G$4:$G$63,59)="","",INDEX(Dossiers!$G$4:$G$63,59)))</f>
        <v/>
      </c>
    </row>
    <row r="3079">
      <c r="A3079">
        <f>IF($B3079="","",INDEX(Dossiers!$E$4:$E$63,59))</f>
        <v/>
      </c>
      <c r="B3079">
        <f>IF(INDEX(Suivi!$B:$B,3138)="","",INDEX(Suivi!$B:$B,3138))</f>
        <v/>
      </c>
      <c r="C3079">
        <f>IF($B3079="","",IF(INDEX(Suivi!$D:$D,3138)="",INDEX(Suivi!$C:$C,3138),INDEX(Suivi!$D:$D,3138)))</f>
        <v/>
      </c>
      <c r="D3079" s="29">
        <f>IF($B3079="","",INDEX(Suivi!$E:$E,3138))</f>
        <v/>
      </c>
      <c r="E3079" s="29">
        <f>IF($B3079="","",INDEX(Suivi!$F:$F,3138))</f>
        <v/>
      </c>
      <c r="F3079">
        <f>IF($B3079="","",INDEX(Suivi!$G:$G,3138))</f>
        <v/>
      </c>
      <c r="H3079">
        <f>IF(OR($B3079="",NOT(ISNUMBER($D3079))),"",IF($E3079&lt;$D$2,"Passé",IF($D3079&gt;$F$2,"À venir","Dans la période")))</f>
        <v/>
      </c>
      <c r="I3079">
        <f>IF(OR($B3079="",NOT(ISNUMBER($D3079))),"",IF(AND($E3079&lt;$D$2,$G3079&lt;&gt;"X",$F3079&lt;&gt;"Réalisé",$F3079&lt;&gt;"Clôturé"),"RETARD",""))</f>
        <v/>
      </c>
      <c r="J3079" s="29">
        <f>IF($B3079="","",IF(INDEX(Dossiers!$F$4:$F$63,59)="","",INDEX(Dossiers!$F$4:$F$63,59)))</f>
        <v/>
      </c>
      <c r="K3079" s="29">
        <f>IF($B3079="","",IF(INDEX(Dossiers!$G$4:$G$63,59)="","",INDEX(Dossiers!$G$4:$G$63,59)))</f>
        <v/>
      </c>
    </row>
    <row r="3080">
      <c r="A3080">
        <f>IF($B3080="","",INDEX(Dossiers!$E$4:$E$63,59))</f>
        <v/>
      </c>
      <c r="B3080">
        <f>IF(INDEX(Suivi!$B:$B,3139)="","",INDEX(Suivi!$B:$B,3139))</f>
        <v/>
      </c>
      <c r="C3080">
        <f>IF($B3080="","",IF(INDEX(Suivi!$D:$D,3139)="",INDEX(Suivi!$C:$C,3139),INDEX(Suivi!$D:$D,3139)))</f>
        <v/>
      </c>
      <c r="D3080" s="29">
        <f>IF($B3080="","",INDEX(Suivi!$E:$E,3139))</f>
        <v/>
      </c>
      <c r="E3080" s="29">
        <f>IF($B3080="","",INDEX(Suivi!$F:$F,3139))</f>
        <v/>
      </c>
      <c r="F3080">
        <f>IF($B3080="","",INDEX(Suivi!$G:$G,3139))</f>
        <v/>
      </c>
      <c r="H3080">
        <f>IF(OR($B3080="",NOT(ISNUMBER($D3080))),"",IF($E3080&lt;$D$2,"Passé",IF($D3080&gt;$F$2,"À venir","Dans la période")))</f>
        <v/>
      </c>
      <c r="I3080">
        <f>IF(OR($B3080="",NOT(ISNUMBER($D3080))),"",IF(AND($E3080&lt;$D$2,$G3080&lt;&gt;"X",$F3080&lt;&gt;"Réalisé",$F3080&lt;&gt;"Clôturé"),"RETARD",""))</f>
        <v/>
      </c>
      <c r="J3080" s="29">
        <f>IF($B3080="","",IF(INDEX(Dossiers!$F$4:$F$63,59)="","",INDEX(Dossiers!$F$4:$F$63,59)))</f>
        <v/>
      </c>
      <c r="K3080" s="29">
        <f>IF($B3080="","",IF(INDEX(Dossiers!$G$4:$G$63,59)="","",INDEX(Dossiers!$G$4:$G$63,59)))</f>
        <v/>
      </c>
    </row>
    <row r="3081">
      <c r="A3081">
        <f>IF($B3081="","",INDEX(Dossiers!$E$4:$E$63,59))</f>
        <v/>
      </c>
      <c r="B3081">
        <f>IF(INDEX(Suivi!$B:$B,3140)="","",INDEX(Suivi!$B:$B,3140))</f>
        <v/>
      </c>
      <c r="C3081">
        <f>IF($B3081="","",IF(INDEX(Suivi!$D:$D,3140)="",INDEX(Suivi!$C:$C,3140),INDEX(Suivi!$D:$D,3140)))</f>
        <v/>
      </c>
      <c r="D3081" s="29">
        <f>IF($B3081="","",INDEX(Suivi!$E:$E,3140))</f>
        <v/>
      </c>
      <c r="E3081" s="29">
        <f>IF($B3081="","",INDEX(Suivi!$F:$F,3140))</f>
        <v/>
      </c>
      <c r="F3081">
        <f>IF($B3081="","",INDEX(Suivi!$G:$G,3140))</f>
        <v/>
      </c>
      <c r="H3081">
        <f>IF(OR($B3081="",NOT(ISNUMBER($D3081))),"",IF($E3081&lt;$D$2,"Passé",IF($D3081&gt;$F$2,"À venir","Dans la période")))</f>
        <v/>
      </c>
      <c r="I3081">
        <f>IF(OR($B3081="",NOT(ISNUMBER($D3081))),"",IF(AND($E3081&lt;$D$2,$G3081&lt;&gt;"X",$F3081&lt;&gt;"Réalisé",$F3081&lt;&gt;"Clôturé"),"RETARD",""))</f>
        <v/>
      </c>
      <c r="J3081" s="29">
        <f>IF($B3081="","",IF(INDEX(Dossiers!$F$4:$F$63,59)="","",INDEX(Dossiers!$F$4:$F$63,59)))</f>
        <v/>
      </c>
      <c r="K3081" s="29">
        <f>IF($B3081="","",IF(INDEX(Dossiers!$G$4:$G$63,59)="","",INDEX(Dossiers!$G$4:$G$63,59)))</f>
        <v/>
      </c>
    </row>
    <row r="3082">
      <c r="A3082">
        <f>IF($B3082="","",INDEX(Dossiers!$E$4:$E$63,59))</f>
        <v/>
      </c>
      <c r="B3082">
        <f>IF(INDEX(Suivi!$B:$B,3141)="","",INDEX(Suivi!$B:$B,3141))</f>
        <v/>
      </c>
      <c r="C3082">
        <f>IF($B3082="","",IF(INDEX(Suivi!$D:$D,3141)="",INDEX(Suivi!$C:$C,3141),INDEX(Suivi!$D:$D,3141)))</f>
        <v/>
      </c>
      <c r="D3082" s="29">
        <f>IF($B3082="","",INDEX(Suivi!$E:$E,3141))</f>
        <v/>
      </c>
      <c r="E3082" s="29">
        <f>IF($B3082="","",INDEX(Suivi!$F:$F,3141))</f>
        <v/>
      </c>
      <c r="F3082">
        <f>IF($B3082="","",INDEX(Suivi!$G:$G,3141))</f>
        <v/>
      </c>
      <c r="H3082">
        <f>IF(OR($B3082="",NOT(ISNUMBER($D3082))),"",IF($E3082&lt;$D$2,"Passé",IF($D3082&gt;$F$2,"À venir","Dans la période")))</f>
        <v/>
      </c>
      <c r="I3082">
        <f>IF(OR($B3082="",NOT(ISNUMBER($D3082))),"",IF(AND($E3082&lt;$D$2,$G3082&lt;&gt;"X",$F3082&lt;&gt;"Réalisé",$F3082&lt;&gt;"Clôturé"),"RETARD",""))</f>
        <v/>
      </c>
      <c r="J3082" s="29">
        <f>IF($B3082="","",IF(INDEX(Dossiers!$F$4:$F$63,59)="","",INDEX(Dossiers!$F$4:$F$63,59)))</f>
        <v/>
      </c>
      <c r="K3082" s="29">
        <f>IF($B3082="","",IF(INDEX(Dossiers!$G$4:$G$63,59)="","",INDEX(Dossiers!$G$4:$G$63,59)))</f>
        <v/>
      </c>
    </row>
    <row r="3083">
      <c r="A3083">
        <f>IF($B3083="","",INDEX(Dossiers!$E$4:$E$63,59))</f>
        <v/>
      </c>
      <c r="B3083">
        <f>IF(INDEX(Suivi!$B:$B,3142)="","",INDEX(Suivi!$B:$B,3142))</f>
        <v/>
      </c>
      <c r="C3083">
        <f>IF($B3083="","",IF(INDEX(Suivi!$D:$D,3142)="",INDEX(Suivi!$C:$C,3142),INDEX(Suivi!$D:$D,3142)))</f>
        <v/>
      </c>
      <c r="D3083" s="29">
        <f>IF($B3083="","",INDEX(Suivi!$E:$E,3142))</f>
        <v/>
      </c>
      <c r="E3083" s="29">
        <f>IF($B3083="","",INDEX(Suivi!$F:$F,3142))</f>
        <v/>
      </c>
      <c r="F3083">
        <f>IF($B3083="","",INDEX(Suivi!$G:$G,3142))</f>
        <v/>
      </c>
      <c r="H3083">
        <f>IF(OR($B3083="",NOT(ISNUMBER($D3083))),"",IF($E3083&lt;$D$2,"Passé",IF($D3083&gt;$F$2,"À venir","Dans la période")))</f>
        <v/>
      </c>
      <c r="I3083">
        <f>IF(OR($B3083="",NOT(ISNUMBER($D3083))),"",IF(AND($E3083&lt;$D$2,$G3083&lt;&gt;"X",$F3083&lt;&gt;"Réalisé",$F3083&lt;&gt;"Clôturé"),"RETARD",""))</f>
        <v/>
      </c>
      <c r="J3083" s="29">
        <f>IF($B3083="","",IF(INDEX(Dossiers!$F$4:$F$63,59)="","",INDEX(Dossiers!$F$4:$F$63,59)))</f>
        <v/>
      </c>
      <c r="K3083" s="29">
        <f>IF($B3083="","",IF(INDEX(Dossiers!$G$4:$G$63,59)="","",INDEX(Dossiers!$G$4:$G$63,59)))</f>
        <v/>
      </c>
    </row>
    <row r="3084">
      <c r="A3084">
        <f>IF($B3084="","",INDEX(Dossiers!$E$4:$E$63,59))</f>
        <v/>
      </c>
      <c r="B3084">
        <f>IF(INDEX(Suivi!$B:$B,3143)="","",INDEX(Suivi!$B:$B,3143))</f>
        <v/>
      </c>
      <c r="C3084">
        <f>IF($B3084="","",IF(INDEX(Suivi!$D:$D,3143)="",INDEX(Suivi!$C:$C,3143),INDEX(Suivi!$D:$D,3143)))</f>
        <v/>
      </c>
      <c r="D3084" s="29">
        <f>IF($B3084="","",INDEX(Suivi!$E:$E,3143))</f>
        <v/>
      </c>
      <c r="E3084" s="29">
        <f>IF($B3084="","",INDEX(Suivi!$F:$F,3143))</f>
        <v/>
      </c>
      <c r="F3084">
        <f>IF($B3084="","",INDEX(Suivi!$G:$G,3143))</f>
        <v/>
      </c>
      <c r="H3084">
        <f>IF(OR($B3084="",NOT(ISNUMBER($D3084))),"",IF($E3084&lt;$D$2,"Passé",IF($D3084&gt;$F$2,"À venir","Dans la période")))</f>
        <v/>
      </c>
      <c r="I3084">
        <f>IF(OR($B3084="",NOT(ISNUMBER($D3084))),"",IF(AND($E3084&lt;$D$2,$G3084&lt;&gt;"X",$F3084&lt;&gt;"Réalisé",$F3084&lt;&gt;"Clôturé"),"RETARD",""))</f>
        <v/>
      </c>
      <c r="J3084" s="29">
        <f>IF($B3084="","",IF(INDEX(Dossiers!$F$4:$F$63,59)="","",INDEX(Dossiers!$F$4:$F$63,59)))</f>
        <v/>
      </c>
      <c r="K3084" s="29">
        <f>IF($B3084="","",IF(INDEX(Dossiers!$G$4:$G$63,59)="","",INDEX(Dossiers!$G$4:$G$63,59)))</f>
        <v/>
      </c>
    </row>
    <row r="3085">
      <c r="A3085">
        <f>IF($B3085="","",INDEX(Dossiers!$E$4:$E$63,59))</f>
        <v/>
      </c>
      <c r="B3085">
        <f>IF(INDEX(Suivi!$B:$B,3144)="","",INDEX(Suivi!$B:$B,3144))</f>
        <v/>
      </c>
      <c r="C3085">
        <f>IF($B3085="","",IF(INDEX(Suivi!$D:$D,3144)="",INDEX(Suivi!$C:$C,3144),INDEX(Suivi!$D:$D,3144)))</f>
        <v/>
      </c>
      <c r="D3085" s="29">
        <f>IF($B3085="","",INDEX(Suivi!$E:$E,3144))</f>
        <v/>
      </c>
      <c r="E3085" s="29">
        <f>IF($B3085="","",INDEX(Suivi!$F:$F,3144))</f>
        <v/>
      </c>
      <c r="F3085">
        <f>IF($B3085="","",INDEX(Suivi!$G:$G,3144))</f>
        <v/>
      </c>
      <c r="H3085">
        <f>IF(OR($B3085="",NOT(ISNUMBER($D3085))),"",IF($E3085&lt;$D$2,"Passé",IF($D3085&gt;$F$2,"À venir","Dans la période")))</f>
        <v/>
      </c>
      <c r="I3085">
        <f>IF(OR($B3085="",NOT(ISNUMBER($D3085))),"",IF(AND($E3085&lt;$D$2,$G3085&lt;&gt;"X",$F3085&lt;&gt;"Réalisé",$F3085&lt;&gt;"Clôturé"),"RETARD",""))</f>
        <v/>
      </c>
      <c r="J3085" s="29">
        <f>IF($B3085="","",IF(INDEX(Dossiers!$F$4:$F$63,59)="","",INDEX(Dossiers!$F$4:$F$63,59)))</f>
        <v/>
      </c>
      <c r="K3085" s="29">
        <f>IF($B3085="","",IF(INDEX(Dossiers!$G$4:$G$63,59)="","",INDEX(Dossiers!$G$4:$G$63,59)))</f>
        <v/>
      </c>
    </row>
    <row r="3086">
      <c r="A3086">
        <f>IF($B3086="","",INDEX(Dossiers!$E$4:$E$63,59))</f>
        <v/>
      </c>
      <c r="B3086">
        <f>IF(INDEX(Suivi!$B:$B,3145)="","",INDEX(Suivi!$B:$B,3145))</f>
        <v/>
      </c>
      <c r="C3086">
        <f>IF($B3086="","",IF(INDEX(Suivi!$D:$D,3145)="",INDEX(Suivi!$C:$C,3145),INDEX(Suivi!$D:$D,3145)))</f>
        <v/>
      </c>
      <c r="D3086" s="29">
        <f>IF($B3086="","",INDEX(Suivi!$E:$E,3145))</f>
        <v/>
      </c>
      <c r="E3086" s="29">
        <f>IF($B3086="","",INDEX(Suivi!$F:$F,3145))</f>
        <v/>
      </c>
      <c r="F3086">
        <f>IF($B3086="","",INDEX(Suivi!$G:$G,3145))</f>
        <v/>
      </c>
      <c r="H3086">
        <f>IF(OR($B3086="",NOT(ISNUMBER($D3086))),"",IF($E3086&lt;$D$2,"Passé",IF($D3086&gt;$F$2,"À venir","Dans la période")))</f>
        <v/>
      </c>
      <c r="I3086">
        <f>IF(OR($B3086="",NOT(ISNUMBER($D3086))),"",IF(AND($E3086&lt;$D$2,$G3086&lt;&gt;"X",$F3086&lt;&gt;"Réalisé",$F3086&lt;&gt;"Clôturé"),"RETARD",""))</f>
        <v/>
      </c>
      <c r="J3086" s="29">
        <f>IF($B3086="","",IF(INDEX(Dossiers!$F$4:$F$63,59)="","",INDEX(Dossiers!$F$4:$F$63,59)))</f>
        <v/>
      </c>
      <c r="K3086" s="29">
        <f>IF($B3086="","",IF(INDEX(Dossiers!$G$4:$G$63,59)="","",INDEX(Dossiers!$G$4:$G$63,59)))</f>
        <v/>
      </c>
    </row>
    <row r="3087">
      <c r="A3087">
        <f>IF($B3087="","",INDEX(Dossiers!$E$4:$E$63,59))</f>
        <v/>
      </c>
      <c r="B3087">
        <f>IF(INDEX(Suivi!$B:$B,3146)="","",INDEX(Suivi!$B:$B,3146))</f>
        <v/>
      </c>
      <c r="C3087">
        <f>IF($B3087="","",IF(INDEX(Suivi!$D:$D,3146)="",INDEX(Suivi!$C:$C,3146),INDEX(Suivi!$D:$D,3146)))</f>
        <v/>
      </c>
      <c r="D3087" s="29">
        <f>IF($B3087="","",INDEX(Suivi!$E:$E,3146))</f>
        <v/>
      </c>
      <c r="E3087" s="29">
        <f>IF($B3087="","",INDEX(Suivi!$F:$F,3146))</f>
        <v/>
      </c>
      <c r="F3087">
        <f>IF($B3087="","",INDEX(Suivi!$G:$G,3146))</f>
        <v/>
      </c>
      <c r="H3087">
        <f>IF(OR($B3087="",NOT(ISNUMBER($D3087))),"",IF($E3087&lt;$D$2,"Passé",IF($D3087&gt;$F$2,"À venir","Dans la période")))</f>
        <v/>
      </c>
      <c r="I3087">
        <f>IF(OR($B3087="",NOT(ISNUMBER($D3087))),"",IF(AND($E3087&lt;$D$2,$G3087&lt;&gt;"X",$F3087&lt;&gt;"Réalisé",$F3087&lt;&gt;"Clôturé"),"RETARD",""))</f>
        <v/>
      </c>
      <c r="J3087" s="29">
        <f>IF($B3087="","",IF(INDEX(Dossiers!$F$4:$F$63,59)="","",INDEX(Dossiers!$F$4:$F$63,59)))</f>
        <v/>
      </c>
      <c r="K3087" s="29">
        <f>IF($B3087="","",IF(INDEX(Dossiers!$G$4:$G$63,59)="","",INDEX(Dossiers!$G$4:$G$63,59)))</f>
        <v/>
      </c>
    </row>
    <row r="3088">
      <c r="A3088">
        <f>IF($B3088="","",INDEX(Dossiers!$E$4:$E$63,59))</f>
        <v/>
      </c>
      <c r="B3088">
        <f>IF(INDEX(Suivi!$B:$B,3147)="","",INDEX(Suivi!$B:$B,3147))</f>
        <v/>
      </c>
      <c r="C3088">
        <f>IF($B3088="","",IF(INDEX(Suivi!$D:$D,3147)="",INDEX(Suivi!$C:$C,3147),INDEX(Suivi!$D:$D,3147)))</f>
        <v/>
      </c>
      <c r="D3088" s="29">
        <f>IF($B3088="","",INDEX(Suivi!$E:$E,3147))</f>
        <v/>
      </c>
      <c r="E3088" s="29">
        <f>IF($B3088="","",INDEX(Suivi!$F:$F,3147))</f>
        <v/>
      </c>
      <c r="F3088">
        <f>IF($B3088="","",INDEX(Suivi!$G:$G,3147))</f>
        <v/>
      </c>
      <c r="H3088">
        <f>IF(OR($B3088="",NOT(ISNUMBER($D3088))),"",IF($E3088&lt;$D$2,"Passé",IF($D3088&gt;$F$2,"À venir","Dans la période")))</f>
        <v/>
      </c>
      <c r="I3088">
        <f>IF(OR($B3088="",NOT(ISNUMBER($D3088))),"",IF(AND($E3088&lt;$D$2,$G3088&lt;&gt;"X",$F3088&lt;&gt;"Réalisé",$F3088&lt;&gt;"Clôturé"),"RETARD",""))</f>
        <v/>
      </c>
      <c r="J3088" s="29">
        <f>IF($B3088="","",IF(INDEX(Dossiers!$F$4:$F$63,59)="","",INDEX(Dossiers!$F$4:$F$63,59)))</f>
        <v/>
      </c>
      <c r="K3088" s="29">
        <f>IF($B3088="","",IF(INDEX(Dossiers!$G$4:$G$63,59)="","",INDEX(Dossiers!$G$4:$G$63,59)))</f>
        <v/>
      </c>
    </row>
    <row r="3089">
      <c r="A3089">
        <f>IF($B3089="","",INDEX(Dossiers!$E$4:$E$63,59))</f>
        <v/>
      </c>
      <c r="B3089">
        <f>IF(INDEX(Suivi!$B:$B,3148)="","",INDEX(Suivi!$B:$B,3148))</f>
        <v/>
      </c>
      <c r="C3089">
        <f>IF($B3089="","",IF(INDEX(Suivi!$D:$D,3148)="",INDEX(Suivi!$C:$C,3148),INDEX(Suivi!$D:$D,3148)))</f>
        <v/>
      </c>
      <c r="D3089" s="29">
        <f>IF($B3089="","",INDEX(Suivi!$E:$E,3148))</f>
        <v/>
      </c>
      <c r="E3089" s="29">
        <f>IF($B3089="","",INDEX(Suivi!$F:$F,3148))</f>
        <v/>
      </c>
      <c r="F3089">
        <f>IF($B3089="","",INDEX(Suivi!$G:$G,3148))</f>
        <v/>
      </c>
      <c r="H3089">
        <f>IF(OR($B3089="",NOT(ISNUMBER($D3089))),"",IF($E3089&lt;$D$2,"Passé",IF($D3089&gt;$F$2,"À venir","Dans la période")))</f>
        <v/>
      </c>
      <c r="I3089">
        <f>IF(OR($B3089="",NOT(ISNUMBER($D3089))),"",IF(AND($E3089&lt;$D$2,$G3089&lt;&gt;"X",$F3089&lt;&gt;"Réalisé",$F3089&lt;&gt;"Clôturé"),"RETARD",""))</f>
        <v/>
      </c>
      <c r="J3089" s="29">
        <f>IF($B3089="","",IF(INDEX(Dossiers!$F$4:$F$63,59)="","",INDEX(Dossiers!$F$4:$F$63,59)))</f>
        <v/>
      </c>
      <c r="K3089" s="29">
        <f>IF($B3089="","",IF(INDEX(Dossiers!$G$4:$G$63,59)="","",INDEX(Dossiers!$G$4:$G$63,59)))</f>
        <v/>
      </c>
    </row>
    <row r="3090">
      <c r="A3090">
        <f>IF($B3090="","",INDEX(Dossiers!$E$4:$E$63,59))</f>
        <v/>
      </c>
      <c r="B3090">
        <f>IF(INDEX(Suivi!$B:$B,3149)="","",INDEX(Suivi!$B:$B,3149))</f>
        <v/>
      </c>
      <c r="C3090">
        <f>IF($B3090="","",IF(INDEX(Suivi!$D:$D,3149)="",INDEX(Suivi!$C:$C,3149),INDEX(Suivi!$D:$D,3149)))</f>
        <v/>
      </c>
      <c r="D3090" s="29">
        <f>IF($B3090="","",INDEX(Suivi!$E:$E,3149))</f>
        <v/>
      </c>
      <c r="E3090" s="29">
        <f>IF($B3090="","",INDEX(Suivi!$F:$F,3149))</f>
        <v/>
      </c>
      <c r="F3090">
        <f>IF($B3090="","",INDEX(Suivi!$G:$G,3149))</f>
        <v/>
      </c>
      <c r="H3090">
        <f>IF(OR($B3090="",NOT(ISNUMBER($D3090))),"",IF($E3090&lt;$D$2,"Passé",IF($D3090&gt;$F$2,"À venir","Dans la période")))</f>
        <v/>
      </c>
      <c r="I3090">
        <f>IF(OR($B3090="",NOT(ISNUMBER($D3090))),"",IF(AND($E3090&lt;$D$2,$G3090&lt;&gt;"X",$F3090&lt;&gt;"Réalisé",$F3090&lt;&gt;"Clôturé"),"RETARD",""))</f>
        <v/>
      </c>
      <c r="J3090" s="29">
        <f>IF($B3090="","",IF(INDEX(Dossiers!$F$4:$F$63,59)="","",INDEX(Dossiers!$F$4:$F$63,59)))</f>
        <v/>
      </c>
      <c r="K3090" s="29">
        <f>IF($B3090="","",IF(INDEX(Dossiers!$G$4:$G$63,59)="","",INDEX(Dossiers!$G$4:$G$63,59)))</f>
        <v/>
      </c>
    </row>
    <row r="3091">
      <c r="A3091">
        <f>IF($B3091="","",INDEX(Dossiers!$E$4:$E$63,59))</f>
        <v/>
      </c>
      <c r="B3091">
        <f>IF(INDEX(Suivi!$B:$B,3150)="","",INDEX(Suivi!$B:$B,3150))</f>
        <v/>
      </c>
      <c r="C3091">
        <f>IF($B3091="","",IF(INDEX(Suivi!$D:$D,3150)="",INDEX(Suivi!$C:$C,3150),INDEX(Suivi!$D:$D,3150)))</f>
        <v/>
      </c>
      <c r="D3091" s="29">
        <f>IF($B3091="","",INDEX(Suivi!$E:$E,3150))</f>
        <v/>
      </c>
      <c r="E3091" s="29">
        <f>IF($B3091="","",INDEX(Suivi!$F:$F,3150))</f>
        <v/>
      </c>
      <c r="F3091">
        <f>IF($B3091="","",INDEX(Suivi!$G:$G,3150))</f>
        <v/>
      </c>
      <c r="H3091">
        <f>IF(OR($B3091="",NOT(ISNUMBER($D3091))),"",IF($E3091&lt;$D$2,"Passé",IF($D3091&gt;$F$2,"À venir","Dans la période")))</f>
        <v/>
      </c>
      <c r="I3091">
        <f>IF(OR($B3091="",NOT(ISNUMBER($D3091))),"",IF(AND($E3091&lt;$D$2,$G3091&lt;&gt;"X",$F3091&lt;&gt;"Réalisé",$F3091&lt;&gt;"Clôturé"),"RETARD",""))</f>
        <v/>
      </c>
      <c r="J3091" s="29">
        <f>IF($B3091="","",IF(INDEX(Dossiers!$F$4:$F$63,59)="","",INDEX(Dossiers!$F$4:$F$63,59)))</f>
        <v/>
      </c>
      <c r="K3091" s="29">
        <f>IF($B3091="","",IF(INDEX(Dossiers!$G$4:$G$63,59)="","",INDEX(Dossiers!$G$4:$G$63,59)))</f>
        <v/>
      </c>
    </row>
    <row r="3092">
      <c r="A3092">
        <f>IF($B3092="","",INDEX(Dossiers!$E$4:$E$63,59))</f>
        <v/>
      </c>
      <c r="B3092">
        <f>IF(INDEX(Suivi!$B:$B,3151)="","",INDEX(Suivi!$B:$B,3151))</f>
        <v/>
      </c>
      <c r="C3092">
        <f>IF($B3092="","",IF(INDEX(Suivi!$D:$D,3151)="",INDEX(Suivi!$C:$C,3151),INDEX(Suivi!$D:$D,3151)))</f>
        <v/>
      </c>
      <c r="D3092" s="29">
        <f>IF($B3092="","",INDEX(Suivi!$E:$E,3151))</f>
        <v/>
      </c>
      <c r="E3092" s="29">
        <f>IF($B3092="","",INDEX(Suivi!$F:$F,3151))</f>
        <v/>
      </c>
      <c r="F3092">
        <f>IF($B3092="","",INDEX(Suivi!$G:$G,3151))</f>
        <v/>
      </c>
      <c r="H3092">
        <f>IF(OR($B3092="",NOT(ISNUMBER($D3092))),"",IF($E3092&lt;$D$2,"Passé",IF($D3092&gt;$F$2,"À venir","Dans la période")))</f>
        <v/>
      </c>
      <c r="I3092">
        <f>IF(OR($B3092="",NOT(ISNUMBER($D3092))),"",IF(AND($E3092&lt;$D$2,$G3092&lt;&gt;"X",$F3092&lt;&gt;"Réalisé",$F3092&lt;&gt;"Clôturé"),"RETARD",""))</f>
        <v/>
      </c>
      <c r="J3092" s="29">
        <f>IF($B3092="","",IF(INDEX(Dossiers!$F$4:$F$63,59)="","",INDEX(Dossiers!$F$4:$F$63,59)))</f>
        <v/>
      </c>
      <c r="K3092" s="29">
        <f>IF($B3092="","",IF(INDEX(Dossiers!$G$4:$G$63,59)="","",INDEX(Dossiers!$G$4:$G$63,59)))</f>
        <v/>
      </c>
    </row>
    <row r="3093">
      <c r="A3093">
        <f>IF($B3093="","",INDEX(Dossiers!$E$4:$E$63,59))</f>
        <v/>
      </c>
      <c r="B3093">
        <f>IF(INDEX(Suivi!$B:$B,3152)="","",INDEX(Suivi!$B:$B,3152))</f>
        <v/>
      </c>
      <c r="C3093">
        <f>IF($B3093="","",IF(INDEX(Suivi!$D:$D,3152)="",INDEX(Suivi!$C:$C,3152),INDEX(Suivi!$D:$D,3152)))</f>
        <v/>
      </c>
      <c r="D3093" s="29">
        <f>IF($B3093="","",INDEX(Suivi!$E:$E,3152))</f>
        <v/>
      </c>
      <c r="E3093" s="29">
        <f>IF($B3093="","",INDEX(Suivi!$F:$F,3152))</f>
        <v/>
      </c>
      <c r="F3093">
        <f>IF($B3093="","",INDEX(Suivi!$G:$G,3152))</f>
        <v/>
      </c>
      <c r="H3093">
        <f>IF(OR($B3093="",NOT(ISNUMBER($D3093))),"",IF($E3093&lt;$D$2,"Passé",IF($D3093&gt;$F$2,"À venir","Dans la période")))</f>
        <v/>
      </c>
      <c r="I3093">
        <f>IF(OR($B3093="",NOT(ISNUMBER($D3093))),"",IF(AND($E3093&lt;$D$2,$G3093&lt;&gt;"X",$F3093&lt;&gt;"Réalisé",$F3093&lt;&gt;"Clôturé"),"RETARD",""))</f>
        <v/>
      </c>
      <c r="J3093" s="29">
        <f>IF($B3093="","",IF(INDEX(Dossiers!$F$4:$F$63,59)="","",INDEX(Dossiers!$F$4:$F$63,59)))</f>
        <v/>
      </c>
      <c r="K3093" s="29">
        <f>IF($B3093="","",IF(INDEX(Dossiers!$G$4:$G$63,59)="","",INDEX(Dossiers!$G$4:$G$63,59)))</f>
        <v/>
      </c>
    </row>
    <row r="3094">
      <c r="A3094">
        <f>IF($B3094="","",INDEX(Dossiers!$E$4:$E$63,59))</f>
        <v/>
      </c>
      <c r="B3094">
        <f>IF(INDEX(Suivi!$B:$B,3153)="","",INDEX(Suivi!$B:$B,3153))</f>
        <v/>
      </c>
      <c r="C3094">
        <f>IF($B3094="","",IF(INDEX(Suivi!$D:$D,3153)="",INDEX(Suivi!$C:$C,3153),INDEX(Suivi!$D:$D,3153)))</f>
        <v/>
      </c>
      <c r="D3094" s="29">
        <f>IF($B3094="","",INDEX(Suivi!$E:$E,3153))</f>
        <v/>
      </c>
      <c r="E3094" s="29">
        <f>IF($B3094="","",INDEX(Suivi!$F:$F,3153))</f>
        <v/>
      </c>
      <c r="F3094">
        <f>IF($B3094="","",INDEX(Suivi!$G:$G,3153))</f>
        <v/>
      </c>
      <c r="H3094">
        <f>IF(OR($B3094="",NOT(ISNUMBER($D3094))),"",IF($E3094&lt;$D$2,"Passé",IF($D3094&gt;$F$2,"À venir","Dans la période")))</f>
        <v/>
      </c>
      <c r="I3094">
        <f>IF(OR($B3094="",NOT(ISNUMBER($D3094))),"",IF(AND($E3094&lt;$D$2,$G3094&lt;&gt;"X",$F3094&lt;&gt;"Réalisé",$F3094&lt;&gt;"Clôturé"),"RETARD",""))</f>
        <v/>
      </c>
      <c r="J3094" s="29">
        <f>IF($B3094="","",IF(INDEX(Dossiers!$F$4:$F$63,59)="","",INDEX(Dossiers!$F$4:$F$63,59)))</f>
        <v/>
      </c>
      <c r="K3094" s="29">
        <f>IF($B3094="","",IF(INDEX(Dossiers!$G$4:$G$63,59)="","",INDEX(Dossiers!$G$4:$G$63,59)))</f>
        <v/>
      </c>
    </row>
    <row r="3095">
      <c r="A3095">
        <f>IF($B3095="","",INDEX(Dossiers!$E$4:$E$63,59))</f>
        <v/>
      </c>
      <c r="B3095">
        <f>IF(INDEX(Suivi!$B:$B,3154)="","",INDEX(Suivi!$B:$B,3154))</f>
        <v/>
      </c>
      <c r="C3095">
        <f>IF($B3095="","",IF(INDEX(Suivi!$D:$D,3154)="",INDEX(Suivi!$C:$C,3154),INDEX(Suivi!$D:$D,3154)))</f>
        <v/>
      </c>
      <c r="D3095" s="29">
        <f>IF($B3095="","",INDEX(Suivi!$E:$E,3154))</f>
        <v/>
      </c>
      <c r="E3095" s="29">
        <f>IF($B3095="","",INDEX(Suivi!$F:$F,3154))</f>
        <v/>
      </c>
      <c r="F3095">
        <f>IF($B3095="","",INDEX(Suivi!$G:$G,3154))</f>
        <v/>
      </c>
      <c r="H3095">
        <f>IF(OR($B3095="",NOT(ISNUMBER($D3095))),"",IF($E3095&lt;$D$2,"Passé",IF($D3095&gt;$F$2,"À venir","Dans la période")))</f>
        <v/>
      </c>
      <c r="I3095">
        <f>IF(OR($B3095="",NOT(ISNUMBER($D3095))),"",IF(AND($E3095&lt;$D$2,$G3095&lt;&gt;"X",$F3095&lt;&gt;"Réalisé",$F3095&lt;&gt;"Clôturé"),"RETARD",""))</f>
        <v/>
      </c>
      <c r="J3095" s="29">
        <f>IF($B3095="","",IF(INDEX(Dossiers!$F$4:$F$63,59)="","",INDEX(Dossiers!$F$4:$F$63,59)))</f>
        <v/>
      </c>
      <c r="K3095" s="29">
        <f>IF($B3095="","",IF(INDEX(Dossiers!$G$4:$G$63,59)="","",INDEX(Dossiers!$G$4:$G$63,59)))</f>
        <v/>
      </c>
    </row>
    <row r="3096">
      <c r="A3096">
        <f>IF($B3096="","",INDEX(Dossiers!$E$4:$E$63,59))</f>
        <v/>
      </c>
      <c r="B3096">
        <f>IF(INDEX(Suivi!$B:$B,3155)="","",INDEX(Suivi!$B:$B,3155))</f>
        <v/>
      </c>
      <c r="C3096">
        <f>IF($B3096="","",IF(INDEX(Suivi!$D:$D,3155)="",INDEX(Suivi!$C:$C,3155),INDEX(Suivi!$D:$D,3155)))</f>
        <v/>
      </c>
      <c r="D3096" s="29">
        <f>IF($B3096="","",INDEX(Suivi!$E:$E,3155))</f>
        <v/>
      </c>
      <c r="E3096" s="29">
        <f>IF($B3096="","",INDEX(Suivi!$F:$F,3155))</f>
        <v/>
      </c>
      <c r="F3096">
        <f>IF($B3096="","",INDEX(Suivi!$G:$G,3155))</f>
        <v/>
      </c>
      <c r="H3096">
        <f>IF(OR($B3096="",NOT(ISNUMBER($D3096))),"",IF($E3096&lt;$D$2,"Passé",IF($D3096&gt;$F$2,"À venir","Dans la période")))</f>
        <v/>
      </c>
      <c r="I3096">
        <f>IF(OR($B3096="",NOT(ISNUMBER($D3096))),"",IF(AND($E3096&lt;$D$2,$G3096&lt;&gt;"X",$F3096&lt;&gt;"Réalisé",$F3096&lt;&gt;"Clôturé"),"RETARD",""))</f>
        <v/>
      </c>
      <c r="J3096" s="29">
        <f>IF($B3096="","",IF(INDEX(Dossiers!$F$4:$F$63,59)="","",INDEX(Dossiers!$F$4:$F$63,59)))</f>
        <v/>
      </c>
      <c r="K3096" s="29">
        <f>IF($B3096="","",IF(INDEX(Dossiers!$G$4:$G$63,59)="","",INDEX(Dossiers!$G$4:$G$63,59)))</f>
        <v/>
      </c>
    </row>
    <row r="3097">
      <c r="A3097">
        <f>IF($B3097="","",INDEX(Dossiers!$E$4:$E$63,59))</f>
        <v/>
      </c>
      <c r="B3097">
        <f>IF(INDEX(Suivi!$B:$B,3156)="","",INDEX(Suivi!$B:$B,3156))</f>
        <v/>
      </c>
      <c r="C3097">
        <f>IF($B3097="","",IF(INDEX(Suivi!$D:$D,3156)="",INDEX(Suivi!$C:$C,3156),INDEX(Suivi!$D:$D,3156)))</f>
        <v/>
      </c>
      <c r="D3097" s="29">
        <f>IF($B3097="","",INDEX(Suivi!$E:$E,3156))</f>
        <v/>
      </c>
      <c r="E3097" s="29">
        <f>IF($B3097="","",INDEX(Suivi!$F:$F,3156))</f>
        <v/>
      </c>
      <c r="F3097">
        <f>IF($B3097="","",INDEX(Suivi!$G:$G,3156))</f>
        <v/>
      </c>
      <c r="H3097">
        <f>IF(OR($B3097="",NOT(ISNUMBER($D3097))),"",IF($E3097&lt;$D$2,"Passé",IF($D3097&gt;$F$2,"À venir","Dans la période")))</f>
        <v/>
      </c>
      <c r="I3097">
        <f>IF(OR($B3097="",NOT(ISNUMBER($D3097))),"",IF(AND($E3097&lt;$D$2,$G3097&lt;&gt;"X",$F3097&lt;&gt;"Réalisé",$F3097&lt;&gt;"Clôturé"),"RETARD",""))</f>
        <v/>
      </c>
      <c r="J3097" s="29">
        <f>IF($B3097="","",IF(INDEX(Dossiers!$F$4:$F$63,59)="","",INDEX(Dossiers!$F$4:$F$63,59)))</f>
        <v/>
      </c>
      <c r="K3097" s="29">
        <f>IF($B3097="","",IF(INDEX(Dossiers!$G$4:$G$63,59)="","",INDEX(Dossiers!$G$4:$G$63,59)))</f>
        <v/>
      </c>
    </row>
    <row r="3098">
      <c r="A3098">
        <f>IF($B3098="","",INDEX(Dossiers!$E$4:$E$63,59))</f>
        <v/>
      </c>
      <c r="B3098">
        <f>IF(INDEX(Suivi!$B:$B,3157)="","",INDEX(Suivi!$B:$B,3157))</f>
        <v/>
      </c>
      <c r="C3098">
        <f>IF($B3098="","",IF(INDEX(Suivi!$D:$D,3157)="",INDEX(Suivi!$C:$C,3157),INDEX(Suivi!$D:$D,3157)))</f>
        <v/>
      </c>
      <c r="D3098" s="29">
        <f>IF($B3098="","",INDEX(Suivi!$E:$E,3157))</f>
        <v/>
      </c>
      <c r="E3098" s="29">
        <f>IF($B3098="","",INDEX(Suivi!$F:$F,3157))</f>
        <v/>
      </c>
      <c r="F3098">
        <f>IF($B3098="","",INDEX(Suivi!$G:$G,3157))</f>
        <v/>
      </c>
      <c r="H3098">
        <f>IF(OR($B3098="",NOT(ISNUMBER($D3098))),"",IF($E3098&lt;$D$2,"Passé",IF($D3098&gt;$F$2,"À venir","Dans la période")))</f>
        <v/>
      </c>
      <c r="I3098">
        <f>IF(OR($B3098="",NOT(ISNUMBER($D3098))),"",IF(AND($E3098&lt;$D$2,$G3098&lt;&gt;"X",$F3098&lt;&gt;"Réalisé",$F3098&lt;&gt;"Clôturé"),"RETARD",""))</f>
        <v/>
      </c>
      <c r="J3098" s="29">
        <f>IF($B3098="","",IF(INDEX(Dossiers!$F$4:$F$63,59)="","",INDEX(Dossiers!$F$4:$F$63,59)))</f>
        <v/>
      </c>
      <c r="K3098" s="29">
        <f>IF($B3098="","",IF(INDEX(Dossiers!$G$4:$G$63,59)="","",INDEX(Dossiers!$G$4:$G$63,59)))</f>
        <v/>
      </c>
    </row>
    <row r="3099">
      <c r="A3099">
        <f>IF($B3099="","",INDEX(Dossiers!$E$4:$E$63,59))</f>
        <v/>
      </c>
      <c r="B3099">
        <f>IF(INDEX(Suivi!$B:$B,3158)="","",INDEX(Suivi!$B:$B,3158))</f>
        <v/>
      </c>
      <c r="C3099">
        <f>IF($B3099="","",IF(INDEX(Suivi!$D:$D,3158)="",INDEX(Suivi!$C:$C,3158),INDEX(Suivi!$D:$D,3158)))</f>
        <v/>
      </c>
      <c r="D3099" s="29">
        <f>IF($B3099="","",INDEX(Suivi!$E:$E,3158))</f>
        <v/>
      </c>
      <c r="E3099" s="29">
        <f>IF($B3099="","",INDEX(Suivi!$F:$F,3158))</f>
        <v/>
      </c>
      <c r="F3099">
        <f>IF($B3099="","",INDEX(Suivi!$G:$G,3158))</f>
        <v/>
      </c>
      <c r="H3099">
        <f>IF(OR($B3099="",NOT(ISNUMBER($D3099))),"",IF($E3099&lt;$D$2,"Passé",IF($D3099&gt;$F$2,"À venir","Dans la période")))</f>
        <v/>
      </c>
      <c r="I3099">
        <f>IF(OR($B3099="",NOT(ISNUMBER($D3099))),"",IF(AND($E3099&lt;$D$2,$G3099&lt;&gt;"X",$F3099&lt;&gt;"Réalisé",$F3099&lt;&gt;"Clôturé"),"RETARD",""))</f>
        <v/>
      </c>
      <c r="J3099" s="29">
        <f>IF($B3099="","",IF(INDEX(Dossiers!$F$4:$F$63,59)="","",INDEX(Dossiers!$F$4:$F$63,59)))</f>
        <v/>
      </c>
      <c r="K3099" s="29">
        <f>IF($B3099="","",IF(INDEX(Dossiers!$G$4:$G$63,59)="","",INDEX(Dossiers!$G$4:$G$63,59)))</f>
        <v/>
      </c>
    </row>
    <row r="3100">
      <c r="A3100">
        <f>IF($B3100="","",INDEX(Dossiers!$E$4:$E$63,59))</f>
        <v/>
      </c>
      <c r="B3100">
        <f>IF(INDEX(Suivi!$B:$B,3159)="","",INDEX(Suivi!$B:$B,3159))</f>
        <v/>
      </c>
      <c r="C3100">
        <f>IF($B3100="","",IF(INDEX(Suivi!$D:$D,3159)="",INDEX(Suivi!$C:$C,3159),INDEX(Suivi!$D:$D,3159)))</f>
        <v/>
      </c>
      <c r="D3100" s="29">
        <f>IF($B3100="","",INDEX(Suivi!$E:$E,3159))</f>
        <v/>
      </c>
      <c r="E3100" s="29">
        <f>IF($B3100="","",INDEX(Suivi!$F:$F,3159))</f>
        <v/>
      </c>
      <c r="F3100">
        <f>IF($B3100="","",INDEX(Suivi!$G:$G,3159))</f>
        <v/>
      </c>
      <c r="H3100">
        <f>IF(OR($B3100="",NOT(ISNUMBER($D3100))),"",IF($E3100&lt;$D$2,"Passé",IF($D3100&gt;$F$2,"À venir","Dans la période")))</f>
        <v/>
      </c>
      <c r="I3100">
        <f>IF(OR($B3100="",NOT(ISNUMBER($D3100))),"",IF(AND($E3100&lt;$D$2,$G3100&lt;&gt;"X",$F3100&lt;&gt;"Réalisé",$F3100&lt;&gt;"Clôturé"),"RETARD",""))</f>
        <v/>
      </c>
      <c r="J3100" s="29">
        <f>IF($B3100="","",IF(INDEX(Dossiers!$F$4:$F$63,59)="","",INDEX(Dossiers!$F$4:$F$63,59)))</f>
        <v/>
      </c>
      <c r="K3100" s="29">
        <f>IF($B3100="","",IF(INDEX(Dossiers!$G$4:$G$63,59)="","",INDEX(Dossiers!$G$4:$G$63,59)))</f>
        <v/>
      </c>
    </row>
    <row r="3101">
      <c r="A3101">
        <f>IF($B3101="","",INDEX(Dossiers!$E$4:$E$63,59))</f>
        <v/>
      </c>
      <c r="B3101">
        <f>IF(INDEX(Suivi!$B:$B,3160)="","",INDEX(Suivi!$B:$B,3160))</f>
        <v/>
      </c>
      <c r="C3101">
        <f>IF($B3101="","",IF(INDEX(Suivi!$D:$D,3160)="",INDEX(Suivi!$C:$C,3160),INDEX(Suivi!$D:$D,3160)))</f>
        <v/>
      </c>
      <c r="D3101" s="29">
        <f>IF($B3101="","",INDEX(Suivi!$E:$E,3160))</f>
        <v/>
      </c>
      <c r="E3101" s="29">
        <f>IF($B3101="","",INDEX(Suivi!$F:$F,3160))</f>
        <v/>
      </c>
      <c r="F3101">
        <f>IF($B3101="","",INDEX(Suivi!$G:$G,3160))</f>
        <v/>
      </c>
      <c r="H3101">
        <f>IF(OR($B3101="",NOT(ISNUMBER($D3101))),"",IF($E3101&lt;$D$2,"Passé",IF($D3101&gt;$F$2,"À venir","Dans la période")))</f>
        <v/>
      </c>
      <c r="I3101">
        <f>IF(OR($B3101="",NOT(ISNUMBER($D3101))),"",IF(AND($E3101&lt;$D$2,$G3101&lt;&gt;"X",$F3101&lt;&gt;"Réalisé",$F3101&lt;&gt;"Clôturé"),"RETARD",""))</f>
        <v/>
      </c>
      <c r="J3101" s="29">
        <f>IF($B3101="","",IF(INDEX(Dossiers!$F$4:$F$63,59)="","",INDEX(Dossiers!$F$4:$F$63,59)))</f>
        <v/>
      </c>
      <c r="K3101" s="29">
        <f>IF($B3101="","",IF(INDEX(Dossiers!$G$4:$G$63,59)="","",INDEX(Dossiers!$G$4:$G$63,59)))</f>
        <v/>
      </c>
    </row>
    <row r="3102">
      <c r="A3102">
        <f>IF($B3102="","",INDEX(Dossiers!$E$4:$E$63,59))</f>
        <v/>
      </c>
      <c r="B3102">
        <f>IF(INDEX(Suivi!$B:$B,3161)="","",INDEX(Suivi!$B:$B,3161))</f>
        <v/>
      </c>
      <c r="C3102">
        <f>IF($B3102="","",IF(INDEX(Suivi!$D:$D,3161)="",INDEX(Suivi!$C:$C,3161),INDEX(Suivi!$D:$D,3161)))</f>
        <v/>
      </c>
      <c r="D3102" s="29">
        <f>IF($B3102="","",INDEX(Suivi!$E:$E,3161))</f>
        <v/>
      </c>
      <c r="E3102" s="29">
        <f>IF($B3102="","",INDEX(Suivi!$F:$F,3161))</f>
        <v/>
      </c>
      <c r="F3102">
        <f>IF($B3102="","",INDEX(Suivi!$G:$G,3161))</f>
        <v/>
      </c>
      <c r="H3102">
        <f>IF(OR($B3102="",NOT(ISNUMBER($D3102))),"",IF($E3102&lt;$D$2,"Passé",IF($D3102&gt;$F$2,"À venir","Dans la période")))</f>
        <v/>
      </c>
      <c r="I3102">
        <f>IF(OR($B3102="",NOT(ISNUMBER($D3102))),"",IF(AND($E3102&lt;$D$2,$G3102&lt;&gt;"X",$F3102&lt;&gt;"Réalisé",$F3102&lt;&gt;"Clôturé"),"RETARD",""))</f>
        <v/>
      </c>
      <c r="J3102" s="29">
        <f>IF($B3102="","",IF(INDEX(Dossiers!$F$4:$F$63,59)="","",INDEX(Dossiers!$F$4:$F$63,59)))</f>
        <v/>
      </c>
      <c r="K3102" s="29">
        <f>IF($B3102="","",IF(INDEX(Dossiers!$G$4:$G$63,59)="","",INDEX(Dossiers!$G$4:$G$63,59)))</f>
        <v/>
      </c>
    </row>
    <row r="3103">
      <c r="A3103">
        <f>IF($B3103="","",INDEX(Dossiers!$E$4:$E$63,59))</f>
        <v/>
      </c>
      <c r="B3103">
        <f>IF(INDEX(Suivi!$B:$B,3162)="","",INDEX(Suivi!$B:$B,3162))</f>
        <v/>
      </c>
      <c r="C3103">
        <f>IF($B3103="","",IF(INDEX(Suivi!$D:$D,3162)="",INDEX(Suivi!$C:$C,3162),INDEX(Suivi!$D:$D,3162)))</f>
        <v/>
      </c>
      <c r="D3103" s="29">
        <f>IF($B3103="","",INDEX(Suivi!$E:$E,3162))</f>
        <v/>
      </c>
      <c r="E3103" s="29">
        <f>IF($B3103="","",INDEX(Suivi!$F:$F,3162))</f>
        <v/>
      </c>
      <c r="F3103">
        <f>IF($B3103="","",INDEX(Suivi!$G:$G,3162))</f>
        <v/>
      </c>
      <c r="H3103">
        <f>IF(OR($B3103="",NOT(ISNUMBER($D3103))),"",IF($E3103&lt;$D$2,"Passé",IF($D3103&gt;$F$2,"À venir","Dans la période")))</f>
        <v/>
      </c>
      <c r="I3103">
        <f>IF(OR($B3103="",NOT(ISNUMBER($D3103))),"",IF(AND($E3103&lt;$D$2,$G3103&lt;&gt;"X",$F3103&lt;&gt;"Réalisé",$F3103&lt;&gt;"Clôturé"),"RETARD",""))</f>
        <v/>
      </c>
      <c r="J3103" s="29">
        <f>IF($B3103="","",IF(INDEX(Dossiers!$F$4:$F$63,59)="","",INDEX(Dossiers!$F$4:$F$63,59)))</f>
        <v/>
      </c>
      <c r="K3103" s="29">
        <f>IF($B3103="","",IF(INDEX(Dossiers!$G$4:$G$63,59)="","",INDEX(Dossiers!$G$4:$G$63,59)))</f>
        <v/>
      </c>
    </row>
    <row r="3104">
      <c r="A3104">
        <f>IF($B3104="","",INDEX(Dossiers!$E$4:$E$63,59))</f>
        <v/>
      </c>
      <c r="B3104">
        <f>IF(INDEX(Suivi!$B:$B,3163)="","",INDEX(Suivi!$B:$B,3163))</f>
        <v/>
      </c>
      <c r="C3104">
        <f>IF($B3104="","",IF(INDEX(Suivi!$D:$D,3163)="",INDEX(Suivi!$C:$C,3163),INDEX(Suivi!$D:$D,3163)))</f>
        <v/>
      </c>
      <c r="D3104" s="29">
        <f>IF($B3104="","",INDEX(Suivi!$E:$E,3163))</f>
        <v/>
      </c>
      <c r="E3104" s="29">
        <f>IF($B3104="","",INDEX(Suivi!$F:$F,3163))</f>
        <v/>
      </c>
      <c r="F3104">
        <f>IF($B3104="","",INDEX(Suivi!$G:$G,3163))</f>
        <v/>
      </c>
      <c r="H3104">
        <f>IF(OR($B3104="",NOT(ISNUMBER($D3104))),"",IF($E3104&lt;$D$2,"Passé",IF($D3104&gt;$F$2,"À venir","Dans la période")))</f>
        <v/>
      </c>
      <c r="I3104">
        <f>IF(OR($B3104="",NOT(ISNUMBER($D3104))),"",IF(AND($E3104&lt;$D$2,$G3104&lt;&gt;"X",$F3104&lt;&gt;"Réalisé",$F3104&lt;&gt;"Clôturé"),"RETARD",""))</f>
        <v/>
      </c>
      <c r="J3104" s="29">
        <f>IF($B3104="","",IF(INDEX(Dossiers!$F$4:$F$63,59)="","",INDEX(Dossiers!$F$4:$F$63,59)))</f>
        <v/>
      </c>
      <c r="K3104" s="29">
        <f>IF($B3104="","",IF(INDEX(Dossiers!$G$4:$G$63,59)="","",INDEX(Dossiers!$G$4:$G$63,59)))</f>
        <v/>
      </c>
    </row>
    <row r="3105">
      <c r="A3105">
        <f>IF($B3105="","",INDEX(Dossiers!$E$4:$E$63,59))</f>
        <v/>
      </c>
      <c r="B3105">
        <f>IF(INDEX(Suivi!$B:$B,3164)="","",INDEX(Suivi!$B:$B,3164))</f>
        <v/>
      </c>
      <c r="C3105">
        <f>IF($B3105="","",IF(INDEX(Suivi!$D:$D,3164)="",INDEX(Suivi!$C:$C,3164),INDEX(Suivi!$D:$D,3164)))</f>
        <v/>
      </c>
      <c r="D3105" s="29">
        <f>IF($B3105="","",INDEX(Suivi!$E:$E,3164))</f>
        <v/>
      </c>
      <c r="E3105" s="29">
        <f>IF($B3105="","",INDEX(Suivi!$F:$F,3164))</f>
        <v/>
      </c>
      <c r="F3105">
        <f>IF($B3105="","",INDEX(Suivi!$G:$G,3164))</f>
        <v/>
      </c>
      <c r="H3105">
        <f>IF(OR($B3105="",NOT(ISNUMBER($D3105))),"",IF($E3105&lt;$D$2,"Passé",IF($D3105&gt;$F$2,"À venir","Dans la période")))</f>
        <v/>
      </c>
      <c r="I3105">
        <f>IF(OR($B3105="",NOT(ISNUMBER($D3105))),"",IF(AND($E3105&lt;$D$2,$G3105&lt;&gt;"X",$F3105&lt;&gt;"Réalisé",$F3105&lt;&gt;"Clôturé"),"RETARD",""))</f>
        <v/>
      </c>
      <c r="J3105" s="29">
        <f>IF($B3105="","",IF(INDEX(Dossiers!$F$4:$F$63,59)="","",INDEX(Dossiers!$F$4:$F$63,59)))</f>
        <v/>
      </c>
      <c r="K3105" s="29">
        <f>IF($B3105="","",IF(INDEX(Dossiers!$G$4:$G$63,59)="","",INDEX(Dossiers!$G$4:$G$63,59)))</f>
        <v/>
      </c>
    </row>
    <row r="3106">
      <c r="A3106">
        <f>IF($B3106="","",INDEX(Dossiers!$E$4:$E$63,59))</f>
        <v/>
      </c>
      <c r="B3106">
        <f>IF(INDEX(Suivi!$B:$B,3165)="","",INDEX(Suivi!$B:$B,3165))</f>
        <v/>
      </c>
      <c r="C3106">
        <f>IF($B3106="","",IF(INDEX(Suivi!$D:$D,3165)="",INDEX(Suivi!$C:$C,3165),INDEX(Suivi!$D:$D,3165)))</f>
        <v/>
      </c>
      <c r="D3106" s="29">
        <f>IF($B3106="","",INDEX(Suivi!$E:$E,3165))</f>
        <v/>
      </c>
      <c r="E3106" s="29">
        <f>IF($B3106="","",INDEX(Suivi!$F:$F,3165))</f>
        <v/>
      </c>
      <c r="F3106">
        <f>IF($B3106="","",INDEX(Suivi!$G:$G,3165))</f>
        <v/>
      </c>
      <c r="H3106">
        <f>IF(OR($B3106="",NOT(ISNUMBER($D3106))),"",IF($E3106&lt;$D$2,"Passé",IF($D3106&gt;$F$2,"À venir","Dans la période")))</f>
        <v/>
      </c>
      <c r="I3106">
        <f>IF(OR($B3106="",NOT(ISNUMBER($D3106))),"",IF(AND($E3106&lt;$D$2,$G3106&lt;&gt;"X",$F3106&lt;&gt;"Réalisé",$F3106&lt;&gt;"Clôturé"),"RETARD",""))</f>
        <v/>
      </c>
      <c r="J3106" s="29">
        <f>IF($B3106="","",IF(INDEX(Dossiers!$F$4:$F$63,59)="","",INDEX(Dossiers!$F$4:$F$63,59)))</f>
        <v/>
      </c>
      <c r="K3106" s="29">
        <f>IF($B3106="","",IF(INDEX(Dossiers!$G$4:$G$63,59)="","",INDEX(Dossiers!$G$4:$G$63,59)))</f>
        <v/>
      </c>
    </row>
    <row r="3107">
      <c r="A3107">
        <f>IF($B3107="","",INDEX(Dossiers!$E$4:$E$63,59))</f>
        <v/>
      </c>
      <c r="B3107">
        <f>IF(INDEX(Suivi!$B:$B,3166)="","",INDEX(Suivi!$B:$B,3166))</f>
        <v/>
      </c>
      <c r="C3107">
        <f>IF($B3107="","",IF(INDEX(Suivi!$D:$D,3166)="",INDEX(Suivi!$C:$C,3166),INDEX(Suivi!$D:$D,3166)))</f>
        <v/>
      </c>
      <c r="D3107" s="29">
        <f>IF($B3107="","",INDEX(Suivi!$E:$E,3166))</f>
        <v/>
      </c>
      <c r="E3107" s="29">
        <f>IF($B3107="","",INDEX(Suivi!$F:$F,3166))</f>
        <v/>
      </c>
      <c r="F3107">
        <f>IF($B3107="","",INDEX(Suivi!$G:$G,3166))</f>
        <v/>
      </c>
      <c r="H3107">
        <f>IF(OR($B3107="",NOT(ISNUMBER($D3107))),"",IF($E3107&lt;$D$2,"Passé",IF($D3107&gt;$F$2,"À venir","Dans la période")))</f>
        <v/>
      </c>
      <c r="I3107">
        <f>IF(OR($B3107="",NOT(ISNUMBER($D3107))),"",IF(AND($E3107&lt;$D$2,$G3107&lt;&gt;"X",$F3107&lt;&gt;"Réalisé",$F3107&lt;&gt;"Clôturé"),"RETARD",""))</f>
        <v/>
      </c>
      <c r="J3107" s="29">
        <f>IF($B3107="","",IF(INDEX(Dossiers!$F$4:$F$63,59)="","",INDEX(Dossiers!$F$4:$F$63,59)))</f>
        <v/>
      </c>
      <c r="K3107" s="29">
        <f>IF($B3107="","",IF(INDEX(Dossiers!$G$4:$G$63,59)="","",INDEX(Dossiers!$G$4:$G$63,59)))</f>
        <v/>
      </c>
    </row>
    <row r="3108">
      <c r="A3108">
        <f>IF($B3108="","",INDEX(Dossiers!$E$4:$E$63,59))</f>
        <v/>
      </c>
      <c r="B3108">
        <f>IF(INDEX(Suivi!$B:$B,3167)="","",INDEX(Suivi!$B:$B,3167))</f>
        <v/>
      </c>
      <c r="C3108">
        <f>IF($B3108="","",IF(INDEX(Suivi!$D:$D,3167)="",INDEX(Suivi!$C:$C,3167),INDEX(Suivi!$D:$D,3167)))</f>
        <v/>
      </c>
      <c r="D3108" s="29">
        <f>IF($B3108="","",INDEX(Suivi!$E:$E,3167))</f>
        <v/>
      </c>
      <c r="E3108" s="29">
        <f>IF($B3108="","",INDEX(Suivi!$F:$F,3167))</f>
        <v/>
      </c>
      <c r="F3108">
        <f>IF($B3108="","",INDEX(Suivi!$G:$G,3167))</f>
        <v/>
      </c>
      <c r="H3108">
        <f>IF(OR($B3108="",NOT(ISNUMBER($D3108))),"",IF($E3108&lt;$D$2,"Passé",IF($D3108&gt;$F$2,"À venir","Dans la période")))</f>
        <v/>
      </c>
      <c r="I3108">
        <f>IF(OR($B3108="",NOT(ISNUMBER($D3108))),"",IF(AND($E3108&lt;$D$2,$G3108&lt;&gt;"X",$F3108&lt;&gt;"Réalisé",$F3108&lt;&gt;"Clôturé"),"RETARD",""))</f>
        <v/>
      </c>
      <c r="J3108" s="29">
        <f>IF($B3108="","",IF(INDEX(Dossiers!$F$4:$F$63,59)="","",INDEX(Dossiers!$F$4:$F$63,59)))</f>
        <v/>
      </c>
      <c r="K3108" s="29">
        <f>IF($B3108="","",IF(INDEX(Dossiers!$G$4:$G$63,59)="","",INDEX(Dossiers!$G$4:$G$63,59)))</f>
        <v/>
      </c>
    </row>
    <row r="3109">
      <c r="A3109">
        <f>IF($B3109="","",INDEX(Dossiers!$E$4:$E$63,59))</f>
        <v/>
      </c>
      <c r="B3109">
        <f>IF(INDEX(Suivi!$B:$B,3168)="","",INDEX(Suivi!$B:$B,3168))</f>
        <v/>
      </c>
      <c r="C3109">
        <f>IF($B3109="","",IF(INDEX(Suivi!$D:$D,3168)="",INDEX(Suivi!$C:$C,3168),INDEX(Suivi!$D:$D,3168)))</f>
        <v/>
      </c>
      <c r="D3109" s="29">
        <f>IF($B3109="","",INDEX(Suivi!$E:$E,3168))</f>
        <v/>
      </c>
      <c r="E3109" s="29">
        <f>IF($B3109="","",INDEX(Suivi!$F:$F,3168))</f>
        <v/>
      </c>
      <c r="F3109">
        <f>IF($B3109="","",INDEX(Suivi!$G:$G,3168))</f>
        <v/>
      </c>
      <c r="H3109">
        <f>IF(OR($B3109="",NOT(ISNUMBER($D3109))),"",IF($E3109&lt;$D$2,"Passé",IF($D3109&gt;$F$2,"À venir","Dans la période")))</f>
        <v/>
      </c>
      <c r="I3109">
        <f>IF(OR($B3109="",NOT(ISNUMBER($D3109))),"",IF(AND($E3109&lt;$D$2,$G3109&lt;&gt;"X",$F3109&lt;&gt;"Réalisé",$F3109&lt;&gt;"Clôturé"),"RETARD",""))</f>
        <v/>
      </c>
      <c r="J3109" s="29">
        <f>IF($B3109="","",IF(INDEX(Dossiers!$F$4:$F$63,59)="","",INDEX(Dossiers!$F$4:$F$63,59)))</f>
        <v/>
      </c>
      <c r="K3109" s="29">
        <f>IF($B3109="","",IF(INDEX(Dossiers!$G$4:$G$63,59)="","",INDEX(Dossiers!$G$4:$G$63,59)))</f>
        <v/>
      </c>
    </row>
    <row r="3110">
      <c r="A3110">
        <f>IF($B3110="","",INDEX(Dossiers!$E$4:$E$63,59))</f>
        <v/>
      </c>
      <c r="B3110">
        <f>IF(INDEX(Suivi!$B:$B,3169)="","",INDEX(Suivi!$B:$B,3169))</f>
        <v/>
      </c>
      <c r="C3110">
        <f>IF($B3110="","",IF(INDEX(Suivi!$D:$D,3169)="",INDEX(Suivi!$C:$C,3169),INDEX(Suivi!$D:$D,3169)))</f>
        <v/>
      </c>
      <c r="D3110" s="29">
        <f>IF($B3110="","",INDEX(Suivi!$E:$E,3169))</f>
        <v/>
      </c>
      <c r="E3110" s="29">
        <f>IF($B3110="","",INDEX(Suivi!$F:$F,3169))</f>
        <v/>
      </c>
      <c r="F3110">
        <f>IF($B3110="","",INDEX(Suivi!$G:$G,3169))</f>
        <v/>
      </c>
      <c r="H3110">
        <f>IF(OR($B3110="",NOT(ISNUMBER($D3110))),"",IF($E3110&lt;$D$2,"Passé",IF($D3110&gt;$F$2,"À venir","Dans la période")))</f>
        <v/>
      </c>
      <c r="I3110">
        <f>IF(OR($B3110="",NOT(ISNUMBER($D3110))),"",IF(AND($E3110&lt;$D$2,$G3110&lt;&gt;"X",$F3110&lt;&gt;"Réalisé",$F3110&lt;&gt;"Clôturé"),"RETARD",""))</f>
        <v/>
      </c>
      <c r="J3110" s="29">
        <f>IF($B3110="","",IF(INDEX(Dossiers!$F$4:$F$63,59)="","",INDEX(Dossiers!$F$4:$F$63,59)))</f>
        <v/>
      </c>
      <c r="K3110" s="29">
        <f>IF($B3110="","",IF(INDEX(Dossiers!$G$4:$G$63,59)="","",INDEX(Dossiers!$G$4:$G$63,59)))</f>
        <v/>
      </c>
    </row>
    <row r="3111">
      <c r="A3111">
        <f>IF($B3111="","",INDEX(Dossiers!$E$4:$E$63,59))</f>
        <v/>
      </c>
      <c r="B3111">
        <f>IF(INDEX(Suivi!$B:$B,3170)="","",INDEX(Suivi!$B:$B,3170))</f>
        <v/>
      </c>
      <c r="C3111">
        <f>IF($B3111="","",IF(INDEX(Suivi!$D:$D,3170)="",INDEX(Suivi!$C:$C,3170),INDEX(Suivi!$D:$D,3170)))</f>
        <v/>
      </c>
      <c r="D3111" s="29">
        <f>IF($B3111="","",INDEX(Suivi!$E:$E,3170))</f>
        <v/>
      </c>
      <c r="E3111" s="29">
        <f>IF($B3111="","",INDEX(Suivi!$F:$F,3170))</f>
        <v/>
      </c>
      <c r="F3111">
        <f>IF($B3111="","",INDEX(Suivi!$G:$G,3170))</f>
        <v/>
      </c>
      <c r="H3111">
        <f>IF(OR($B3111="",NOT(ISNUMBER($D3111))),"",IF($E3111&lt;$D$2,"Passé",IF($D3111&gt;$F$2,"À venir","Dans la période")))</f>
        <v/>
      </c>
      <c r="I3111">
        <f>IF(OR($B3111="",NOT(ISNUMBER($D3111))),"",IF(AND($E3111&lt;$D$2,$G3111&lt;&gt;"X",$F3111&lt;&gt;"Réalisé",$F3111&lt;&gt;"Clôturé"),"RETARD",""))</f>
        <v/>
      </c>
      <c r="J3111" s="29">
        <f>IF($B3111="","",IF(INDEX(Dossiers!$F$4:$F$63,59)="","",INDEX(Dossiers!$F$4:$F$63,59)))</f>
        <v/>
      </c>
      <c r="K3111" s="29">
        <f>IF($B3111="","",IF(INDEX(Dossiers!$G$4:$G$63,59)="","",INDEX(Dossiers!$G$4:$G$63,59)))</f>
        <v/>
      </c>
    </row>
    <row r="3112">
      <c r="A3112">
        <f>IF($B3112="","",INDEX(Dossiers!$E$4:$E$63,59))</f>
        <v/>
      </c>
      <c r="B3112">
        <f>IF(INDEX(Suivi!$B:$B,3171)="","",INDEX(Suivi!$B:$B,3171))</f>
        <v/>
      </c>
      <c r="C3112">
        <f>IF($B3112="","",IF(INDEX(Suivi!$D:$D,3171)="",INDEX(Suivi!$C:$C,3171),INDEX(Suivi!$D:$D,3171)))</f>
        <v/>
      </c>
      <c r="D3112" s="29">
        <f>IF($B3112="","",INDEX(Suivi!$E:$E,3171))</f>
        <v/>
      </c>
      <c r="E3112" s="29">
        <f>IF($B3112="","",INDEX(Suivi!$F:$F,3171))</f>
        <v/>
      </c>
      <c r="F3112">
        <f>IF($B3112="","",INDEX(Suivi!$G:$G,3171))</f>
        <v/>
      </c>
      <c r="H3112">
        <f>IF(OR($B3112="",NOT(ISNUMBER($D3112))),"",IF($E3112&lt;$D$2,"Passé",IF($D3112&gt;$F$2,"À venir","Dans la période")))</f>
        <v/>
      </c>
      <c r="I3112">
        <f>IF(OR($B3112="",NOT(ISNUMBER($D3112))),"",IF(AND($E3112&lt;$D$2,$G3112&lt;&gt;"X",$F3112&lt;&gt;"Réalisé",$F3112&lt;&gt;"Clôturé"),"RETARD",""))</f>
        <v/>
      </c>
      <c r="J3112" s="29">
        <f>IF($B3112="","",IF(INDEX(Dossiers!$F$4:$F$63,59)="","",INDEX(Dossiers!$F$4:$F$63,59)))</f>
        <v/>
      </c>
      <c r="K3112" s="29">
        <f>IF($B3112="","",IF(INDEX(Dossiers!$G$4:$G$63,59)="","",INDEX(Dossiers!$G$4:$G$63,59)))</f>
        <v/>
      </c>
    </row>
    <row r="3113">
      <c r="A3113">
        <f>IF($B3113="","",INDEX(Dossiers!$E$4:$E$63,59))</f>
        <v/>
      </c>
      <c r="B3113">
        <f>IF(INDEX(Suivi!$B:$B,3172)="","",INDEX(Suivi!$B:$B,3172))</f>
        <v/>
      </c>
      <c r="C3113">
        <f>IF($B3113="","",IF(INDEX(Suivi!$D:$D,3172)="",INDEX(Suivi!$C:$C,3172),INDEX(Suivi!$D:$D,3172)))</f>
        <v/>
      </c>
      <c r="D3113" s="29">
        <f>IF($B3113="","",INDEX(Suivi!$E:$E,3172))</f>
        <v/>
      </c>
      <c r="E3113" s="29">
        <f>IF($B3113="","",INDEX(Suivi!$F:$F,3172))</f>
        <v/>
      </c>
      <c r="F3113">
        <f>IF($B3113="","",INDEX(Suivi!$G:$G,3172))</f>
        <v/>
      </c>
      <c r="H3113">
        <f>IF(OR($B3113="",NOT(ISNUMBER($D3113))),"",IF($E3113&lt;$D$2,"Passé",IF($D3113&gt;$F$2,"À venir","Dans la période")))</f>
        <v/>
      </c>
      <c r="I3113">
        <f>IF(OR($B3113="",NOT(ISNUMBER($D3113))),"",IF(AND($E3113&lt;$D$2,$G3113&lt;&gt;"X",$F3113&lt;&gt;"Réalisé",$F3113&lt;&gt;"Clôturé"),"RETARD",""))</f>
        <v/>
      </c>
      <c r="J3113" s="29">
        <f>IF($B3113="","",IF(INDEX(Dossiers!$F$4:$F$63,59)="","",INDEX(Dossiers!$F$4:$F$63,59)))</f>
        <v/>
      </c>
      <c r="K3113" s="29">
        <f>IF($B3113="","",IF(INDEX(Dossiers!$G$4:$G$63,59)="","",INDEX(Dossiers!$G$4:$G$63,59)))</f>
        <v/>
      </c>
    </row>
    <row r="3114">
      <c r="A3114">
        <f>IF($B3114="","",INDEX(Dossiers!$E$4:$E$63,59))</f>
        <v/>
      </c>
      <c r="B3114">
        <f>IF(INDEX(Suivi!$B:$B,3173)="","",INDEX(Suivi!$B:$B,3173))</f>
        <v/>
      </c>
      <c r="C3114">
        <f>IF($B3114="","",IF(INDEX(Suivi!$D:$D,3173)="",INDEX(Suivi!$C:$C,3173),INDEX(Suivi!$D:$D,3173)))</f>
        <v/>
      </c>
      <c r="D3114" s="29">
        <f>IF($B3114="","",INDEX(Suivi!$E:$E,3173))</f>
        <v/>
      </c>
      <c r="E3114" s="29">
        <f>IF($B3114="","",INDEX(Suivi!$F:$F,3173))</f>
        <v/>
      </c>
      <c r="F3114">
        <f>IF($B3114="","",INDEX(Suivi!$G:$G,3173))</f>
        <v/>
      </c>
      <c r="H3114">
        <f>IF(OR($B3114="",NOT(ISNUMBER($D3114))),"",IF($E3114&lt;$D$2,"Passé",IF($D3114&gt;$F$2,"À venir","Dans la période")))</f>
        <v/>
      </c>
      <c r="I3114">
        <f>IF(OR($B3114="",NOT(ISNUMBER($D3114))),"",IF(AND($E3114&lt;$D$2,$G3114&lt;&gt;"X",$F3114&lt;&gt;"Réalisé",$F3114&lt;&gt;"Clôturé"),"RETARD",""))</f>
        <v/>
      </c>
      <c r="J3114" s="29">
        <f>IF($B3114="","",IF(INDEX(Dossiers!$F$4:$F$63,59)="","",INDEX(Dossiers!$F$4:$F$63,59)))</f>
        <v/>
      </c>
      <c r="K3114" s="29">
        <f>IF($B3114="","",IF(INDEX(Dossiers!$G$4:$G$63,59)="","",INDEX(Dossiers!$G$4:$G$63,59)))</f>
        <v/>
      </c>
    </row>
    <row r="3115">
      <c r="A3115">
        <f>IF($B3115="","",INDEX(Dossiers!$E$4:$E$63,59))</f>
        <v/>
      </c>
      <c r="B3115">
        <f>IF(INDEX(Suivi!$B:$B,3174)="","",INDEX(Suivi!$B:$B,3174))</f>
        <v/>
      </c>
      <c r="C3115">
        <f>IF($B3115="","",IF(INDEX(Suivi!$D:$D,3174)="",INDEX(Suivi!$C:$C,3174),INDEX(Suivi!$D:$D,3174)))</f>
        <v/>
      </c>
      <c r="D3115" s="29">
        <f>IF($B3115="","",INDEX(Suivi!$E:$E,3174))</f>
        <v/>
      </c>
      <c r="E3115" s="29">
        <f>IF($B3115="","",INDEX(Suivi!$F:$F,3174))</f>
        <v/>
      </c>
      <c r="F3115">
        <f>IF($B3115="","",INDEX(Suivi!$G:$G,3174))</f>
        <v/>
      </c>
      <c r="H3115">
        <f>IF(OR($B3115="",NOT(ISNUMBER($D3115))),"",IF($E3115&lt;$D$2,"Passé",IF($D3115&gt;$F$2,"À venir","Dans la période")))</f>
        <v/>
      </c>
      <c r="I3115">
        <f>IF(OR($B3115="",NOT(ISNUMBER($D3115))),"",IF(AND($E3115&lt;$D$2,$G3115&lt;&gt;"X",$F3115&lt;&gt;"Réalisé",$F3115&lt;&gt;"Clôturé"),"RETARD",""))</f>
        <v/>
      </c>
      <c r="J3115" s="29">
        <f>IF($B3115="","",IF(INDEX(Dossiers!$F$4:$F$63,59)="","",INDEX(Dossiers!$F$4:$F$63,59)))</f>
        <v/>
      </c>
      <c r="K3115" s="29">
        <f>IF($B3115="","",IF(INDEX(Dossiers!$G$4:$G$63,59)="","",INDEX(Dossiers!$G$4:$G$63,59)))</f>
        <v/>
      </c>
    </row>
    <row r="3116">
      <c r="A3116">
        <f>IF($B3116="","",INDEX(Dossiers!$E$4:$E$63,59))</f>
        <v/>
      </c>
      <c r="B3116">
        <f>IF(INDEX(Suivi!$B:$B,3175)="","",INDEX(Suivi!$B:$B,3175))</f>
        <v/>
      </c>
      <c r="C3116">
        <f>IF($B3116="","",IF(INDEX(Suivi!$D:$D,3175)="",INDEX(Suivi!$C:$C,3175),INDEX(Suivi!$D:$D,3175)))</f>
        <v/>
      </c>
      <c r="D3116" s="29">
        <f>IF($B3116="","",INDEX(Suivi!$E:$E,3175))</f>
        <v/>
      </c>
      <c r="E3116" s="29">
        <f>IF($B3116="","",INDEX(Suivi!$F:$F,3175))</f>
        <v/>
      </c>
      <c r="F3116">
        <f>IF($B3116="","",INDEX(Suivi!$G:$G,3175))</f>
        <v/>
      </c>
      <c r="H3116">
        <f>IF(OR($B3116="",NOT(ISNUMBER($D3116))),"",IF($E3116&lt;$D$2,"Passé",IF($D3116&gt;$F$2,"À venir","Dans la période")))</f>
        <v/>
      </c>
      <c r="I3116">
        <f>IF(OR($B3116="",NOT(ISNUMBER($D3116))),"",IF(AND($E3116&lt;$D$2,$G3116&lt;&gt;"X",$F3116&lt;&gt;"Réalisé",$F3116&lt;&gt;"Clôturé"),"RETARD",""))</f>
        <v/>
      </c>
      <c r="J3116" s="29">
        <f>IF($B3116="","",IF(INDEX(Dossiers!$F$4:$F$63,59)="","",INDEX(Dossiers!$F$4:$F$63,59)))</f>
        <v/>
      </c>
      <c r="K3116" s="29">
        <f>IF($B3116="","",IF(INDEX(Dossiers!$G$4:$G$63,59)="","",INDEX(Dossiers!$G$4:$G$63,59)))</f>
        <v/>
      </c>
    </row>
    <row r="3117">
      <c r="A3117">
        <f>IF($B3117="","",INDEX(Dossiers!$E$4:$E$63,59))</f>
        <v/>
      </c>
      <c r="B3117">
        <f>IF(INDEX(Suivi!$B:$B,3176)="","",INDEX(Suivi!$B:$B,3176))</f>
        <v/>
      </c>
      <c r="C3117">
        <f>IF($B3117="","",IF(INDEX(Suivi!$D:$D,3176)="",INDEX(Suivi!$C:$C,3176),INDEX(Suivi!$D:$D,3176)))</f>
        <v/>
      </c>
      <c r="D3117" s="29">
        <f>IF($B3117="","",INDEX(Suivi!$E:$E,3176))</f>
        <v/>
      </c>
      <c r="E3117" s="29">
        <f>IF($B3117="","",INDEX(Suivi!$F:$F,3176))</f>
        <v/>
      </c>
      <c r="F3117">
        <f>IF($B3117="","",INDEX(Suivi!$G:$G,3176))</f>
        <v/>
      </c>
      <c r="H3117">
        <f>IF(OR($B3117="",NOT(ISNUMBER($D3117))),"",IF($E3117&lt;$D$2,"Passé",IF($D3117&gt;$F$2,"À venir","Dans la période")))</f>
        <v/>
      </c>
      <c r="I3117">
        <f>IF(OR($B3117="",NOT(ISNUMBER($D3117))),"",IF(AND($E3117&lt;$D$2,$G3117&lt;&gt;"X",$F3117&lt;&gt;"Réalisé",$F3117&lt;&gt;"Clôturé"),"RETARD",""))</f>
        <v/>
      </c>
      <c r="J3117" s="29">
        <f>IF($B3117="","",IF(INDEX(Dossiers!$F$4:$F$63,59)="","",INDEX(Dossiers!$F$4:$F$63,59)))</f>
        <v/>
      </c>
      <c r="K3117" s="29">
        <f>IF($B3117="","",IF(INDEX(Dossiers!$G$4:$G$63,59)="","",INDEX(Dossiers!$G$4:$G$63,59)))</f>
        <v/>
      </c>
    </row>
    <row r="3118">
      <c r="A3118">
        <f>IF($B3118="","",INDEX(Dossiers!$E$4:$E$63,59))</f>
        <v/>
      </c>
      <c r="B3118">
        <f>IF(INDEX(Suivi!$B:$B,3177)="","",INDEX(Suivi!$B:$B,3177))</f>
        <v/>
      </c>
      <c r="C3118">
        <f>IF($B3118="","",IF(INDEX(Suivi!$D:$D,3177)="",INDEX(Suivi!$C:$C,3177),INDEX(Suivi!$D:$D,3177)))</f>
        <v/>
      </c>
      <c r="D3118" s="29">
        <f>IF($B3118="","",INDEX(Suivi!$E:$E,3177))</f>
        <v/>
      </c>
      <c r="E3118" s="29">
        <f>IF($B3118="","",INDEX(Suivi!$F:$F,3177))</f>
        <v/>
      </c>
      <c r="F3118">
        <f>IF($B3118="","",INDEX(Suivi!$G:$G,3177))</f>
        <v/>
      </c>
      <c r="H3118">
        <f>IF(OR($B3118="",NOT(ISNUMBER($D3118))),"",IF($E3118&lt;$D$2,"Passé",IF($D3118&gt;$F$2,"À venir","Dans la période")))</f>
        <v/>
      </c>
      <c r="I3118">
        <f>IF(OR($B3118="",NOT(ISNUMBER($D3118))),"",IF(AND($E3118&lt;$D$2,$G3118&lt;&gt;"X",$F3118&lt;&gt;"Réalisé",$F3118&lt;&gt;"Clôturé"),"RETARD",""))</f>
        <v/>
      </c>
      <c r="J3118" s="29">
        <f>IF($B3118="","",IF(INDEX(Dossiers!$F$4:$F$63,59)="","",INDEX(Dossiers!$F$4:$F$63,59)))</f>
        <v/>
      </c>
      <c r="K3118" s="29">
        <f>IF($B3118="","",IF(INDEX(Dossiers!$G$4:$G$63,59)="","",INDEX(Dossiers!$G$4:$G$63,59)))</f>
        <v/>
      </c>
    </row>
    <row r="3119">
      <c r="A3119">
        <f>IF($B3119="","",INDEX(Dossiers!$E$4:$E$63,59))</f>
        <v/>
      </c>
      <c r="B3119">
        <f>IF(INDEX(Suivi!$B:$B,3178)="","",INDEX(Suivi!$B:$B,3178))</f>
        <v/>
      </c>
      <c r="C3119">
        <f>IF($B3119="","",IF(INDEX(Suivi!$D:$D,3178)="",INDEX(Suivi!$C:$C,3178),INDEX(Suivi!$D:$D,3178)))</f>
        <v/>
      </c>
      <c r="D3119" s="29">
        <f>IF($B3119="","",INDEX(Suivi!$E:$E,3178))</f>
        <v/>
      </c>
      <c r="E3119" s="29">
        <f>IF($B3119="","",INDEX(Suivi!$F:$F,3178))</f>
        <v/>
      </c>
      <c r="F3119">
        <f>IF($B3119="","",INDEX(Suivi!$G:$G,3178))</f>
        <v/>
      </c>
      <c r="H3119">
        <f>IF(OR($B3119="",NOT(ISNUMBER($D3119))),"",IF($E3119&lt;$D$2,"Passé",IF($D3119&gt;$F$2,"À venir","Dans la période")))</f>
        <v/>
      </c>
      <c r="I3119">
        <f>IF(OR($B3119="",NOT(ISNUMBER($D3119))),"",IF(AND($E3119&lt;$D$2,$G3119&lt;&gt;"X",$F3119&lt;&gt;"Réalisé",$F3119&lt;&gt;"Clôturé"),"RETARD",""))</f>
        <v/>
      </c>
      <c r="J3119" s="29">
        <f>IF($B3119="","",IF(INDEX(Dossiers!$F$4:$F$63,59)="","",INDEX(Dossiers!$F$4:$F$63,59)))</f>
        <v/>
      </c>
      <c r="K3119" s="29">
        <f>IF($B3119="","",IF(INDEX(Dossiers!$G$4:$G$63,59)="","",INDEX(Dossiers!$G$4:$G$63,59)))</f>
        <v/>
      </c>
    </row>
    <row r="3120">
      <c r="A3120">
        <f>IF($B3120="","",INDEX(Dossiers!$E$4:$E$63,59))</f>
        <v/>
      </c>
      <c r="B3120">
        <f>IF(INDEX(Suivi!$B:$B,3179)="","",INDEX(Suivi!$B:$B,3179))</f>
        <v/>
      </c>
      <c r="C3120">
        <f>IF($B3120="","",IF(INDEX(Suivi!$D:$D,3179)="",INDEX(Suivi!$C:$C,3179),INDEX(Suivi!$D:$D,3179)))</f>
        <v/>
      </c>
      <c r="D3120" s="29">
        <f>IF($B3120="","",INDEX(Suivi!$E:$E,3179))</f>
        <v/>
      </c>
      <c r="E3120" s="29">
        <f>IF($B3120="","",INDEX(Suivi!$F:$F,3179))</f>
        <v/>
      </c>
      <c r="F3120">
        <f>IF($B3120="","",INDEX(Suivi!$G:$G,3179))</f>
        <v/>
      </c>
      <c r="H3120">
        <f>IF(OR($B3120="",NOT(ISNUMBER($D3120))),"",IF($E3120&lt;$D$2,"Passé",IF($D3120&gt;$F$2,"À venir","Dans la période")))</f>
        <v/>
      </c>
      <c r="I3120">
        <f>IF(OR($B3120="",NOT(ISNUMBER($D3120))),"",IF(AND($E3120&lt;$D$2,$G3120&lt;&gt;"X",$F3120&lt;&gt;"Réalisé",$F3120&lt;&gt;"Clôturé"),"RETARD",""))</f>
        <v/>
      </c>
      <c r="J3120" s="29">
        <f>IF($B3120="","",IF(INDEX(Dossiers!$F$4:$F$63,59)="","",INDEX(Dossiers!$F$4:$F$63,59)))</f>
        <v/>
      </c>
      <c r="K3120" s="29">
        <f>IF($B3120="","",IF(INDEX(Dossiers!$G$4:$G$63,59)="","",INDEX(Dossiers!$G$4:$G$63,59)))</f>
        <v/>
      </c>
    </row>
    <row r="3121">
      <c r="A3121">
        <f>IF($B3121="","",INDEX(Dossiers!$E$4:$E$63,59))</f>
        <v/>
      </c>
      <c r="B3121">
        <f>IF(INDEX(Suivi!$B:$B,3180)="","",INDEX(Suivi!$B:$B,3180))</f>
        <v/>
      </c>
      <c r="C3121">
        <f>IF($B3121="","",IF(INDEX(Suivi!$D:$D,3180)="",INDEX(Suivi!$C:$C,3180),INDEX(Suivi!$D:$D,3180)))</f>
        <v/>
      </c>
      <c r="D3121" s="29">
        <f>IF($B3121="","",INDEX(Suivi!$E:$E,3180))</f>
        <v/>
      </c>
      <c r="E3121" s="29">
        <f>IF($B3121="","",INDEX(Suivi!$F:$F,3180))</f>
        <v/>
      </c>
      <c r="F3121">
        <f>IF($B3121="","",INDEX(Suivi!$G:$G,3180))</f>
        <v/>
      </c>
      <c r="H3121">
        <f>IF(OR($B3121="",NOT(ISNUMBER($D3121))),"",IF($E3121&lt;$D$2,"Passé",IF($D3121&gt;$F$2,"À venir","Dans la période")))</f>
        <v/>
      </c>
      <c r="I3121">
        <f>IF(OR($B3121="",NOT(ISNUMBER($D3121))),"",IF(AND($E3121&lt;$D$2,$G3121&lt;&gt;"X",$F3121&lt;&gt;"Réalisé",$F3121&lt;&gt;"Clôturé"),"RETARD",""))</f>
        <v/>
      </c>
      <c r="J3121" s="29">
        <f>IF($B3121="","",IF(INDEX(Dossiers!$F$4:$F$63,59)="","",INDEX(Dossiers!$F$4:$F$63,59)))</f>
        <v/>
      </c>
      <c r="K3121" s="29">
        <f>IF($B3121="","",IF(INDEX(Dossiers!$G$4:$G$63,59)="","",INDEX(Dossiers!$G$4:$G$63,59)))</f>
        <v/>
      </c>
    </row>
    <row r="3122">
      <c r="A3122">
        <f>IF($B3122="","",INDEX(Dossiers!$E$4:$E$63,59))</f>
        <v/>
      </c>
      <c r="B3122">
        <f>IF(INDEX(Suivi!$B:$B,3181)="","",INDEX(Suivi!$B:$B,3181))</f>
        <v/>
      </c>
      <c r="C3122">
        <f>IF($B3122="","",IF(INDEX(Suivi!$D:$D,3181)="",INDEX(Suivi!$C:$C,3181),INDEX(Suivi!$D:$D,3181)))</f>
        <v/>
      </c>
      <c r="D3122" s="29">
        <f>IF($B3122="","",INDEX(Suivi!$E:$E,3181))</f>
        <v/>
      </c>
      <c r="E3122" s="29">
        <f>IF($B3122="","",INDEX(Suivi!$F:$F,3181))</f>
        <v/>
      </c>
      <c r="F3122">
        <f>IF($B3122="","",INDEX(Suivi!$G:$G,3181))</f>
        <v/>
      </c>
      <c r="H3122">
        <f>IF(OR($B3122="",NOT(ISNUMBER($D3122))),"",IF($E3122&lt;$D$2,"Passé",IF($D3122&gt;$F$2,"À venir","Dans la période")))</f>
        <v/>
      </c>
      <c r="I3122">
        <f>IF(OR($B3122="",NOT(ISNUMBER($D3122))),"",IF(AND($E3122&lt;$D$2,$G3122&lt;&gt;"X",$F3122&lt;&gt;"Réalisé",$F3122&lt;&gt;"Clôturé"),"RETARD",""))</f>
        <v/>
      </c>
      <c r="J3122" s="29">
        <f>IF($B3122="","",IF(INDEX(Dossiers!$F$4:$F$63,59)="","",INDEX(Dossiers!$F$4:$F$63,59)))</f>
        <v/>
      </c>
      <c r="K3122" s="29">
        <f>IF($B3122="","",IF(INDEX(Dossiers!$G$4:$G$63,59)="","",INDEX(Dossiers!$G$4:$G$63,59)))</f>
        <v/>
      </c>
    </row>
    <row r="3123">
      <c r="A3123">
        <f>IF($B3123="","",INDEX(Dossiers!$E$4:$E$63,59))</f>
        <v/>
      </c>
      <c r="B3123">
        <f>IF(INDEX(Suivi!$B:$B,3182)="","",INDEX(Suivi!$B:$B,3182))</f>
        <v/>
      </c>
      <c r="C3123">
        <f>IF($B3123="","",IF(INDEX(Suivi!$D:$D,3182)="",INDEX(Suivi!$C:$C,3182),INDEX(Suivi!$D:$D,3182)))</f>
        <v/>
      </c>
      <c r="D3123" s="29">
        <f>IF($B3123="","",INDEX(Suivi!$E:$E,3182))</f>
        <v/>
      </c>
      <c r="E3123" s="29">
        <f>IF($B3123="","",INDEX(Suivi!$F:$F,3182))</f>
        <v/>
      </c>
      <c r="F3123">
        <f>IF($B3123="","",INDEX(Suivi!$G:$G,3182))</f>
        <v/>
      </c>
      <c r="H3123">
        <f>IF(OR($B3123="",NOT(ISNUMBER($D3123))),"",IF($E3123&lt;$D$2,"Passé",IF($D3123&gt;$F$2,"À venir","Dans la période")))</f>
        <v/>
      </c>
      <c r="I3123">
        <f>IF(OR($B3123="",NOT(ISNUMBER($D3123))),"",IF(AND($E3123&lt;$D$2,$G3123&lt;&gt;"X",$F3123&lt;&gt;"Réalisé",$F3123&lt;&gt;"Clôturé"),"RETARD",""))</f>
        <v/>
      </c>
      <c r="J3123" s="29">
        <f>IF($B3123="","",IF(INDEX(Dossiers!$F$4:$F$63,59)="","",INDEX(Dossiers!$F$4:$F$63,59)))</f>
        <v/>
      </c>
      <c r="K3123" s="29">
        <f>IF($B3123="","",IF(INDEX(Dossiers!$G$4:$G$63,59)="","",INDEX(Dossiers!$G$4:$G$63,59)))</f>
        <v/>
      </c>
    </row>
    <row r="3124">
      <c r="A3124">
        <f>IF($B3124="","",INDEX(Dossiers!$E$4:$E$63,59))</f>
        <v/>
      </c>
      <c r="B3124">
        <f>IF(INDEX(Suivi!$B:$B,3183)="","",INDEX(Suivi!$B:$B,3183))</f>
        <v/>
      </c>
      <c r="C3124">
        <f>IF($B3124="","",IF(INDEX(Suivi!$D:$D,3183)="",INDEX(Suivi!$C:$C,3183),INDEX(Suivi!$D:$D,3183)))</f>
        <v/>
      </c>
      <c r="D3124" s="29">
        <f>IF($B3124="","",INDEX(Suivi!$E:$E,3183))</f>
        <v/>
      </c>
      <c r="E3124" s="29">
        <f>IF($B3124="","",INDEX(Suivi!$F:$F,3183))</f>
        <v/>
      </c>
      <c r="F3124">
        <f>IF($B3124="","",INDEX(Suivi!$G:$G,3183))</f>
        <v/>
      </c>
      <c r="H3124">
        <f>IF(OR($B3124="",NOT(ISNUMBER($D3124))),"",IF($E3124&lt;$D$2,"Passé",IF($D3124&gt;$F$2,"À venir","Dans la période")))</f>
        <v/>
      </c>
      <c r="I3124">
        <f>IF(OR($B3124="",NOT(ISNUMBER($D3124))),"",IF(AND($E3124&lt;$D$2,$G3124&lt;&gt;"X",$F3124&lt;&gt;"Réalisé",$F3124&lt;&gt;"Clôturé"),"RETARD",""))</f>
        <v/>
      </c>
      <c r="J3124" s="29">
        <f>IF($B3124="","",IF(INDEX(Dossiers!$F$4:$F$63,59)="","",INDEX(Dossiers!$F$4:$F$63,59)))</f>
        <v/>
      </c>
      <c r="K3124" s="29">
        <f>IF($B3124="","",IF(INDEX(Dossiers!$G$4:$G$63,59)="","",INDEX(Dossiers!$G$4:$G$63,59)))</f>
        <v/>
      </c>
    </row>
    <row r="3125">
      <c r="A3125">
        <f>IF($B3125="","",INDEX(Dossiers!$E$4:$E$63,59))</f>
        <v/>
      </c>
      <c r="B3125">
        <f>IF(INDEX(Suivi!$B:$B,3184)="","",INDEX(Suivi!$B:$B,3184))</f>
        <v/>
      </c>
      <c r="C3125">
        <f>IF($B3125="","",IF(INDEX(Suivi!$D:$D,3184)="",INDEX(Suivi!$C:$C,3184),INDEX(Suivi!$D:$D,3184)))</f>
        <v/>
      </c>
      <c r="D3125" s="29">
        <f>IF($B3125="","",INDEX(Suivi!$E:$E,3184))</f>
        <v/>
      </c>
      <c r="E3125" s="29">
        <f>IF($B3125="","",INDEX(Suivi!$F:$F,3184))</f>
        <v/>
      </c>
      <c r="F3125">
        <f>IF($B3125="","",INDEX(Suivi!$G:$G,3184))</f>
        <v/>
      </c>
      <c r="H3125">
        <f>IF(OR($B3125="",NOT(ISNUMBER($D3125))),"",IF($E3125&lt;$D$2,"Passé",IF($D3125&gt;$F$2,"À venir","Dans la période")))</f>
        <v/>
      </c>
      <c r="I3125">
        <f>IF(OR($B3125="",NOT(ISNUMBER($D3125))),"",IF(AND($E3125&lt;$D$2,$G3125&lt;&gt;"X",$F3125&lt;&gt;"Réalisé",$F3125&lt;&gt;"Clôturé"),"RETARD",""))</f>
        <v/>
      </c>
      <c r="J3125" s="29">
        <f>IF($B3125="","",IF(INDEX(Dossiers!$F$4:$F$63,59)="","",INDEX(Dossiers!$F$4:$F$63,59)))</f>
        <v/>
      </c>
      <c r="K3125" s="29">
        <f>IF($B3125="","",IF(INDEX(Dossiers!$G$4:$G$63,59)="","",INDEX(Dossiers!$G$4:$G$63,59)))</f>
        <v/>
      </c>
    </row>
    <row r="3126">
      <c r="A3126">
        <f>IF($B3126="","",INDEX(Dossiers!$E$4:$E$63,59))</f>
        <v/>
      </c>
      <c r="B3126">
        <f>IF(INDEX(Suivi!$B:$B,3185)="","",INDEX(Suivi!$B:$B,3185))</f>
        <v/>
      </c>
      <c r="C3126">
        <f>IF($B3126="","",IF(INDEX(Suivi!$D:$D,3185)="",INDEX(Suivi!$C:$C,3185),INDEX(Suivi!$D:$D,3185)))</f>
        <v/>
      </c>
      <c r="D3126" s="29">
        <f>IF($B3126="","",INDEX(Suivi!$E:$E,3185))</f>
        <v/>
      </c>
      <c r="E3126" s="29">
        <f>IF($B3126="","",INDEX(Suivi!$F:$F,3185))</f>
        <v/>
      </c>
      <c r="F3126">
        <f>IF($B3126="","",INDEX(Suivi!$G:$G,3185))</f>
        <v/>
      </c>
      <c r="H3126">
        <f>IF(OR($B3126="",NOT(ISNUMBER($D3126))),"",IF($E3126&lt;$D$2,"Passé",IF($D3126&gt;$F$2,"À venir","Dans la période")))</f>
        <v/>
      </c>
      <c r="I3126">
        <f>IF(OR($B3126="",NOT(ISNUMBER($D3126))),"",IF(AND($E3126&lt;$D$2,$G3126&lt;&gt;"X",$F3126&lt;&gt;"Réalisé",$F3126&lt;&gt;"Clôturé"),"RETARD",""))</f>
        <v/>
      </c>
      <c r="J3126" s="29">
        <f>IF($B3126="","",IF(INDEX(Dossiers!$F$4:$F$63,59)="","",INDEX(Dossiers!$F$4:$F$63,59)))</f>
        <v/>
      </c>
      <c r="K3126" s="29">
        <f>IF($B3126="","",IF(INDEX(Dossiers!$G$4:$G$63,59)="","",INDEX(Dossiers!$G$4:$G$63,59)))</f>
        <v/>
      </c>
    </row>
    <row r="3127">
      <c r="A3127">
        <f>IF($B3127="","",INDEX(Dossiers!$E$4:$E$63,59))</f>
        <v/>
      </c>
      <c r="B3127">
        <f>IF(INDEX(Suivi!$B:$B,3186)="","",INDEX(Suivi!$B:$B,3186))</f>
        <v/>
      </c>
      <c r="C3127">
        <f>IF($B3127="","",IF(INDEX(Suivi!$D:$D,3186)="",INDEX(Suivi!$C:$C,3186),INDEX(Suivi!$D:$D,3186)))</f>
        <v/>
      </c>
      <c r="D3127" s="29">
        <f>IF($B3127="","",INDEX(Suivi!$E:$E,3186))</f>
        <v/>
      </c>
      <c r="E3127" s="29">
        <f>IF($B3127="","",INDEX(Suivi!$F:$F,3186))</f>
        <v/>
      </c>
      <c r="F3127">
        <f>IF($B3127="","",INDEX(Suivi!$G:$G,3186))</f>
        <v/>
      </c>
      <c r="H3127">
        <f>IF(OR($B3127="",NOT(ISNUMBER($D3127))),"",IF($E3127&lt;$D$2,"Passé",IF($D3127&gt;$F$2,"À venir","Dans la période")))</f>
        <v/>
      </c>
      <c r="I3127">
        <f>IF(OR($B3127="",NOT(ISNUMBER($D3127))),"",IF(AND($E3127&lt;$D$2,$G3127&lt;&gt;"X",$F3127&lt;&gt;"Réalisé",$F3127&lt;&gt;"Clôturé"),"RETARD",""))</f>
        <v/>
      </c>
      <c r="J3127" s="29">
        <f>IF($B3127="","",IF(INDEX(Dossiers!$F$4:$F$63,59)="","",INDEX(Dossiers!$F$4:$F$63,59)))</f>
        <v/>
      </c>
      <c r="K3127" s="29">
        <f>IF($B3127="","",IF(INDEX(Dossiers!$G$4:$G$63,59)="","",INDEX(Dossiers!$G$4:$G$63,59)))</f>
        <v/>
      </c>
    </row>
    <row r="3128">
      <c r="A3128">
        <f>IF($B3128="","",INDEX(Dossiers!$E$4:$E$63,59))</f>
        <v/>
      </c>
      <c r="B3128">
        <f>IF(INDEX(Suivi!$B:$B,3187)="","",INDEX(Suivi!$B:$B,3187))</f>
        <v/>
      </c>
      <c r="C3128">
        <f>IF($B3128="","",IF(INDEX(Suivi!$D:$D,3187)="",INDEX(Suivi!$C:$C,3187),INDEX(Suivi!$D:$D,3187)))</f>
        <v/>
      </c>
      <c r="D3128" s="29">
        <f>IF($B3128="","",INDEX(Suivi!$E:$E,3187))</f>
        <v/>
      </c>
      <c r="E3128" s="29">
        <f>IF($B3128="","",INDEX(Suivi!$F:$F,3187))</f>
        <v/>
      </c>
      <c r="F3128">
        <f>IF($B3128="","",INDEX(Suivi!$G:$G,3187))</f>
        <v/>
      </c>
      <c r="H3128">
        <f>IF(OR($B3128="",NOT(ISNUMBER($D3128))),"",IF($E3128&lt;$D$2,"Passé",IF($D3128&gt;$F$2,"À venir","Dans la période")))</f>
        <v/>
      </c>
      <c r="I3128">
        <f>IF(OR($B3128="",NOT(ISNUMBER($D3128))),"",IF(AND($E3128&lt;$D$2,$G3128&lt;&gt;"X",$F3128&lt;&gt;"Réalisé",$F3128&lt;&gt;"Clôturé"),"RETARD",""))</f>
        <v/>
      </c>
      <c r="J3128" s="29">
        <f>IF($B3128="","",IF(INDEX(Dossiers!$F$4:$F$63,59)="","",INDEX(Dossiers!$F$4:$F$63,59)))</f>
        <v/>
      </c>
      <c r="K3128" s="29">
        <f>IF($B3128="","",IF(INDEX(Dossiers!$G$4:$G$63,59)="","",INDEX(Dossiers!$G$4:$G$63,59)))</f>
        <v/>
      </c>
    </row>
    <row r="3129">
      <c r="A3129">
        <f>IF($B3129="","",INDEX(Dossiers!$E$4:$E$63,59))</f>
        <v/>
      </c>
      <c r="B3129">
        <f>IF(INDEX(Suivi!$B:$B,3188)="","",INDEX(Suivi!$B:$B,3188))</f>
        <v/>
      </c>
      <c r="C3129">
        <f>IF($B3129="","",IF(INDEX(Suivi!$D:$D,3188)="",INDEX(Suivi!$C:$C,3188),INDEX(Suivi!$D:$D,3188)))</f>
        <v/>
      </c>
      <c r="D3129" s="29">
        <f>IF($B3129="","",INDEX(Suivi!$E:$E,3188))</f>
        <v/>
      </c>
      <c r="E3129" s="29">
        <f>IF($B3129="","",INDEX(Suivi!$F:$F,3188))</f>
        <v/>
      </c>
      <c r="F3129">
        <f>IF($B3129="","",INDEX(Suivi!$G:$G,3188))</f>
        <v/>
      </c>
      <c r="H3129">
        <f>IF(OR($B3129="",NOT(ISNUMBER($D3129))),"",IF($E3129&lt;$D$2,"Passé",IF($D3129&gt;$F$2,"À venir","Dans la période")))</f>
        <v/>
      </c>
      <c r="I3129">
        <f>IF(OR($B3129="",NOT(ISNUMBER($D3129))),"",IF(AND($E3129&lt;$D$2,$G3129&lt;&gt;"X",$F3129&lt;&gt;"Réalisé",$F3129&lt;&gt;"Clôturé"),"RETARD",""))</f>
        <v/>
      </c>
      <c r="J3129" s="29">
        <f>IF($B3129="","",IF(INDEX(Dossiers!$F$4:$F$63,59)="","",INDEX(Dossiers!$F$4:$F$63,59)))</f>
        <v/>
      </c>
      <c r="K3129" s="29">
        <f>IF($B3129="","",IF(INDEX(Dossiers!$G$4:$G$63,59)="","",INDEX(Dossiers!$G$4:$G$63,59)))</f>
        <v/>
      </c>
    </row>
    <row r="3130">
      <c r="A3130">
        <f>IF($B3130="","",INDEX(Dossiers!$E$4:$E$63,59))</f>
        <v/>
      </c>
      <c r="B3130">
        <f>IF(INDEX(Suivi!$B:$B,3189)="","",INDEX(Suivi!$B:$B,3189))</f>
        <v/>
      </c>
      <c r="C3130">
        <f>IF($B3130="","",IF(INDEX(Suivi!$D:$D,3189)="",INDEX(Suivi!$C:$C,3189),INDEX(Suivi!$D:$D,3189)))</f>
        <v/>
      </c>
      <c r="D3130" s="29">
        <f>IF($B3130="","",INDEX(Suivi!$E:$E,3189))</f>
        <v/>
      </c>
      <c r="E3130" s="29">
        <f>IF($B3130="","",INDEX(Suivi!$F:$F,3189))</f>
        <v/>
      </c>
      <c r="F3130">
        <f>IF($B3130="","",INDEX(Suivi!$G:$G,3189))</f>
        <v/>
      </c>
      <c r="H3130">
        <f>IF(OR($B3130="",NOT(ISNUMBER($D3130))),"",IF($E3130&lt;$D$2,"Passé",IF($D3130&gt;$F$2,"À venir","Dans la période")))</f>
        <v/>
      </c>
      <c r="I3130">
        <f>IF(OR($B3130="",NOT(ISNUMBER($D3130))),"",IF(AND($E3130&lt;$D$2,$G3130&lt;&gt;"X",$F3130&lt;&gt;"Réalisé",$F3130&lt;&gt;"Clôturé"),"RETARD",""))</f>
        <v/>
      </c>
      <c r="J3130" s="29">
        <f>IF($B3130="","",IF(INDEX(Dossiers!$F$4:$F$63,59)="","",INDEX(Dossiers!$F$4:$F$63,59)))</f>
        <v/>
      </c>
      <c r="K3130" s="29">
        <f>IF($B3130="","",IF(INDEX(Dossiers!$G$4:$G$63,59)="","",INDEX(Dossiers!$G$4:$G$63,59)))</f>
        <v/>
      </c>
    </row>
    <row r="3131">
      <c r="A3131">
        <f>IF($B3131="","",INDEX(Dossiers!$E$4:$E$63,60))</f>
        <v/>
      </c>
      <c r="B3131">
        <f>IF(INDEX(Suivi!$B:$B,3191)="","",INDEX(Suivi!$B:$B,3191))</f>
        <v/>
      </c>
      <c r="C3131">
        <f>IF($B3131="","",IF(INDEX(Suivi!$D:$D,3191)="",INDEX(Suivi!$C:$C,3191),INDEX(Suivi!$D:$D,3191)))</f>
        <v/>
      </c>
      <c r="D3131" s="29">
        <f>IF($B3131="","",INDEX(Suivi!$E:$E,3191))</f>
        <v/>
      </c>
      <c r="E3131" s="29">
        <f>IF($B3131="","",INDEX(Suivi!$F:$F,3191))</f>
        <v/>
      </c>
      <c r="F3131">
        <f>IF($B3131="","",INDEX(Suivi!$G:$G,3191))</f>
        <v/>
      </c>
      <c r="H3131">
        <f>IF(OR($B3131="",NOT(ISNUMBER($D3131))),"",IF($E3131&lt;$D$2,"Passé",IF($D3131&gt;$F$2,"À venir","Dans la période")))</f>
        <v/>
      </c>
      <c r="I3131">
        <f>IF(OR($B3131="",NOT(ISNUMBER($D3131))),"",IF(AND($E3131&lt;$D$2,$G3131&lt;&gt;"X",$F3131&lt;&gt;"Réalisé",$F3131&lt;&gt;"Clôturé"),"RETARD",""))</f>
        <v/>
      </c>
      <c r="J3131" s="29">
        <f>IF($B3131="","",IF(INDEX(Dossiers!$F$4:$F$63,60)="","",INDEX(Dossiers!$F$4:$F$63,60)))</f>
        <v/>
      </c>
      <c r="K3131" s="29">
        <f>IF($B3131="","",IF(INDEX(Dossiers!$G$4:$G$63,60)="","",INDEX(Dossiers!$G$4:$G$63,60)))</f>
        <v/>
      </c>
    </row>
    <row r="3132">
      <c r="A3132">
        <f>IF($B3132="","",INDEX(Dossiers!$E$4:$E$63,60))</f>
        <v/>
      </c>
      <c r="B3132">
        <f>IF(INDEX(Suivi!$B:$B,3192)="","",INDEX(Suivi!$B:$B,3192))</f>
        <v/>
      </c>
      <c r="C3132">
        <f>IF($B3132="","",IF(INDEX(Suivi!$D:$D,3192)="",INDEX(Suivi!$C:$C,3192),INDEX(Suivi!$D:$D,3192)))</f>
        <v/>
      </c>
      <c r="D3132" s="29">
        <f>IF($B3132="","",INDEX(Suivi!$E:$E,3192))</f>
        <v/>
      </c>
      <c r="E3132" s="29">
        <f>IF($B3132="","",INDEX(Suivi!$F:$F,3192))</f>
        <v/>
      </c>
      <c r="F3132">
        <f>IF($B3132="","",INDEX(Suivi!$G:$G,3192))</f>
        <v/>
      </c>
      <c r="H3132">
        <f>IF(OR($B3132="",NOT(ISNUMBER($D3132))),"",IF($E3132&lt;$D$2,"Passé",IF($D3132&gt;$F$2,"À venir","Dans la période")))</f>
        <v/>
      </c>
      <c r="I3132">
        <f>IF(OR($B3132="",NOT(ISNUMBER($D3132))),"",IF(AND($E3132&lt;$D$2,$G3132&lt;&gt;"X",$F3132&lt;&gt;"Réalisé",$F3132&lt;&gt;"Clôturé"),"RETARD",""))</f>
        <v/>
      </c>
      <c r="J3132" s="29">
        <f>IF($B3132="","",IF(INDEX(Dossiers!$F$4:$F$63,60)="","",INDEX(Dossiers!$F$4:$F$63,60)))</f>
        <v/>
      </c>
      <c r="K3132" s="29">
        <f>IF($B3132="","",IF(INDEX(Dossiers!$G$4:$G$63,60)="","",INDEX(Dossiers!$G$4:$G$63,60)))</f>
        <v/>
      </c>
    </row>
    <row r="3133">
      <c r="A3133">
        <f>IF($B3133="","",INDEX(Dossiers!$E$4:$E$63,60))</f>
        <v/>
      </c>
      <c r="B3133">
        <f>IF(INDEX(Suivi!$B:$B,3193)="","",INDEX(Suivi!$B:$B,3193))</f>
        <v/>
      </c>
      <c r="C3133">
        <f>IF($B3133="","",IF(INDEX(Suivi!$D:$D,3193)="",INDEX(Suivi!$C:$C,3193),INDEX(Suivi!$D:$D,3193)))</f>
        <v/>
      </c>
      <c r="D3133" s="29">
        <f>IF($B3133="","",INDEX(Suivi!$E:$E,3193))</f>
        <v/>
      </c>
      <c r="E3133" s="29">
        <f>IF($B3133="","",INDEX(Suivi!$F:$F,3193))</f>
        <v/>
      </c>
      <c r="F3133">
        <f>IF($B3133="","",INDEX(Suivi!$G:$G,3193))</f>
        <v/>
      </c>
      <c r="H3133">
        <f>IF(OR($B3133="",NOT(ISNUMBER($D3133))),"",IF($E3133&lt;$D$2,"Passé",IF($D3133&gt;$F$2,"À venir","Dans la période")))</f>
        <v/>
      </c>
      <c r="I3133">
        <f>IF(OR($B3133="",NOT(ISNUMBER($D3133))),"",IF(AND($E3133&lt;$D$2,$G3133&lt;&gt;"X",$F3133&lt;&gt;"Réalisé",$F3133&lt;&gt;"Clôturé"),"RETARD",""))</f>
        <v/>
      </c>
      <c r="J3133" s="29">
        <f>IF($B3133="","",IF(INDEX(Dossiers!$F$4:$F$63,60)="","",INDEX(Dossiers!$F$4:$F$63,60)))</f>
        <v/>
      </c>
      <c r="K3133" s="29">
        <f>IF($B3133="","",IF(INDEX(Dossiers!$G$4:$G$63,60)="","",INDEX(Dossiers!$G$4:$G$63,60)))</f>
        <v/>
      </c>
    </row>
    <row r="3134">
      <c r="A3134">
        <f>IF($B3134="","",INDEX(Dossiers!$E$4:$E$63,60))</f>
        <v/>
      </c>
      <c r="B3134">
        <f>IF(INDEX(Suivi!$B:$B,3194)="","",INDEX(Suivi!$B:$B,3194))</f>
        <v/>
      </c>
      <c r="C3134">
        <f>IF($B3134="","",IF(INDEX(Suivi!$D:$D,3194)="",INDEX(Suivi!$C:$C,3194),INDEX(Suivi!$D:$D,3194)))</f>
        <v/>
      </c>
      <c r="D3134" s="29">
        <f>IF($B3134="","",INDEX(Suivi!$E:$E,3194))</f>
        <v/>
      </c>
      <c r="E3134" s="29">
        <f>IF($B3134="","",INDEX(Suivi!$F:$F,3194))</f>
        <v/>
      </c>
      <c r="F3134">
        <f>IF($B3134="","",INDEX(Suivi!$G:$G,3194))</f>
        <v/>
      </c>
      <c r="H3134">
        <f>IF(OR($B3134="",NOT(ISNUMBER($D3134))),"",IF($E3134&lt;$D$2,"Passé",IF($D3134&gt;$F$2,"À venir","Dans la période")))</f>
        <v/>
      </c>
      <c r="I3134">
        <f>IF(OR($B3134="",NOT(ISNUMBER($D3134))),"",IF(AND($E3134&lt;$D$2,$G3134&lt;&gt;"X",$F3134&lt;&gt;"Réalisé",$F3134&lt;&gt;"Clôturé"),"RETARD",""))</f>
        <v/>
      </c>
      <c r="J3134" s="29">
        <f>IF($B3134="","",IF(INDEX(Dossiers!$F$4:$F$63,60)="","",INDEX(Dossiers!$F$4:$F$63,60)))</f>
        <v/>
      </c>
      <c r="K3134" s="29">
        <f>IF($B3134="","",IF(INDEX(Dossiers!$G$4:$G$63,60)="","",INDEX(Dossiers!$G$4:$G$63,60)))</f>
        <v/>
      </c>
    </row>
    <row r="3135">
      <c r="A3135">
        <f>IF($B3135="","",INDEX(Dossiers!$E$4:$E$63,60))</f>
        <v/>
      </c>
      <c r="B3135">
        <f>IF(INDEX(Suivi!$B:$B,3195)="","",INDEX(Suivi!$B:$B,3195))</f>
        <v/>
      </c>
      <c r="C3135">
        <f>IF($B3135="","",IF(INDEX(Suivi!$D:$D,3195)="",INDEX(Suivi!$C:$C,3195),INDEX(Suivi!$D:$D,3195)))</f>
        <v/>
      </c>
      <c r="D3135" s="29">
        <f>IF($B3135="","",INDEX(Suivi!$E:$E,3195))</f>
        <v/>
      </c>
      <c r="E3135" s="29">
        <f>IF($B3135="","",INDEX(Suivi!$F:$F,3195))</f>
        <v/>
      </c>
      <c r="F3135">
        <f>IF($B3135="","",INDEX(Suivi!$G:$G,3195))</f>
        <v/>
      </c>
      <c r="H3135">
        <f>IF(OR($B3135="",NOT(ISNUMBER($D3135))),"",IF($E3135&lt;$D$2,"Passé",IF($D3135&gt;$F$2,"À venir","Dans la période")))</f>
        <v/>
      </c>
      <c r="I3135">
        <f>IF(OR($B3135="",NOT(ISNUMBER($D3135))),"",IF(AND($E3135&lt;$D$2,$G3135&lt;&gt;"X",$F3135&lt;&gt;"Réalisé",$F3135&lt;&gt;"Clôturé"),"RETARD",""))</f>
        <v/>
      </c>
      <c r="J3135" s="29">
        <f>IF($B3135="","",IF(INDEX(Dossiers!$F$4:$F$63,60)="","",INDEX(Dossiers!$F$4:$F$63,60)))</f>
        <v/>
      </c>
      <c r="K3135" s="29">
        <f>IF($B3135="","",IF(INDEX(Dossiers!$G$4:$G$63,60)="","",INDEX(Dossiers!$G$4:$G$63,60)))</f>
        <v/>
      </c>
    </row>
    <row r="3136">
      <c r="A3136">
        <f>IF($B3136="","",INDEX(Dossiers!$E$4:$E$63,60))</f>
        <v/>
      </c>
      <c r="B3136">
        <f>IF(INDEX(Suivi!$B:$B,3196)="","",INDEX(Suivi!$B:$B,3196))</f>
        <v/>
      </c>
      <c r="C3136">
        <f>IF($B3136="","",IF(INDEX(Suivi!$D:$D,3196)="",INDEX(Suivi!$C:$C,3196),INDEX(Suivi!$D:$D,3196)))</f>
        <v/>
      </c>
      <c r="D3136" s="29">
        <f>IF($B3136="","",INDEX(Suivi!$E:$E,3196))</f>
        <v/>
      </c>
      <c r="E3136" s="29">
        <f>IF($B3136="","",INDEX(Suivi!$F:$F,3196))</f>
        <v/>
      </c>
      <c r="F3136">
        <f>IF($B3136="","",INDEX(Suivi!$G:$G,3196))</f>
        <v/>
      </c>
      <c r="H3136">
        <f>IF(OR($B3136="",NOT(ISNUMBER($D3136))),"",IF($E3136&lt;$D$2,"Passé",IF($D3136&gt;$F$2,"À venir","Dans la période")))</f>
        <v/>
      </c>
      <c r="I3136">
        <f>IF(OR($B3136="",NOT(ISNUMBER($D3136))),"",IF(AND($E3136&lt;$D$2,$G3136&lt;&gt;"X",$F3136&lt;&gt;"Réalisé",$F3136&lt;&gt;"Clôturé"),"RETARD",""))</f>
        <v/>
      </c>
      <c r="J3136" s="29">
        <f>IF($B3136="","",IF(INDEX(Dossiers!$F$4:$F$63,60)="","",INDEX(Dossiers!$F$4:$F$63,60)))</f>
        <v/>
      </c>
      <c r="K3136" s="29">
        <f>IF($B3136="","",IF(INDEX(Dossiers!$G$4:$G$63,60)="","",INDEX(Dossiers!$G$4:$G$63,60)))</f>
        <v/>
      </c>
    </row>
    <row r="3137">
      <c r="A3137">
        <f>IF($B3137="","",INDEX(Dossiers!$E$4:$E$63,60))</f>
        <v/>
      </c>
      <c r="B3137">
        <f>IF(INDEX(Suivi!$B:$B,3197)="","",INDEX(Suivi!$B:$B,3197))</f>
        <v/>
      </c>
      <c r="C3137">
        <f>IF($B3137="","",IF(INDEX(Suivi!$D:$D,3197)="",INDEX(Suivi!$C:$C,3197),INDEX(Suivi!$D:$D,3197)))</f>
        <v/>
      </c>
      <c r="D3137" s="29">
        <f>IF($B3137="","",INDEX(Suivi!$E:$E,3197))</f>
        <v/>
      </c>
      <c r="E3137" s="29">
        <f>IF($B3137="","",INDEX(Suivi!$F:$F,3197))</f>
        <v/>
      </c>
      <c r="F3137">
        <f>IF($B3137="","",INDEX(Suivi!$G:$G,3197))</f>
        <v/>
      </c>
      <c r="H3137">
        <f>IF(OR($B3137="",NOT(ISNUMBER($D3137))),"",IF($E3137&lt;$D$2,"Passé",IF($D3137&gt;$F$2,"À venir","Dans la période")))</f>
        <v/>
      </c>
      <c r="I3137">
        <f>IF(OR($B3137="",NOT(ISNUMBER($D3137))),"",IF(AND($E3137&lt;$D$2,$G3137&lt;&gt;"X",$F3137&lt;&gt;"Réalisé",$F3137&lt;&gt;"Clôturé"),"RETARD",""))</f>
        <v/>
      </c>
      <c r="J3137" s="29">
        <f>IF($B3137="","",IF(INDEX(Dossiers!$F$4:$F$63,60)="","",INDEX(Dossiers!$F$4:$F$63,60)))</f>
        <v/>
      </c>
      <c r="K3137" s="29">
        <f>IF($B3137="","",IF(INDEX(Dossiers!$G$4:$G$63,60)="","",INDEX(Dossiers!$G$4:$G$63,60)))</f>
        <v/>
      </c>
    </row>
    <row r="3138">
      <c r="A3138">
        <f>IF($B3138="","",INDEX(Dossiers!$E$4:$E$63,60))</f>
        <v/>
      </c>
      <c r="B3138">
        <f>IF(INDEX(Suivi!$B:$B,3198)="","",INDEX(Suivi!$B:$B,3198))</f>
        <v/>
      </c>
      <c r="C3138">
        <f>IF($B3138="","",IF(INDEX(Suivi!$D:$D,3198)="",INDEX(Suivi!$C:$C,3198),INDEX(Suivi!$D:$D,3198)))</f>
        <v/>
      </c>
      <c r="D3138" s="29">
        <f>IF($B3138="","",INDEX(Suivi!$E:$E,3198))</f>
        <v/>
      </c>
      <c r="E3138" s="29">
        <f>IF($B3138="","",INDEX(Suivi!$F:$F,3198))</f>
        <v/>
      </c>
      <c r="F3138">
        <f>IF($B3138="","",INDEX(Suivi!$G:$G,3198))</f>
        <v/>
      </c>
      <c r="H3138">
        <f>IF(OR($B3138="",NOT(ISNUMBER($D3138))),"",IF($E3138&lt;$D$2,"Passé",IF($D3138&gt;$F$2,"À venir","Dans la période")))</f>
        <v/>
      </c>
      <c r="I3138">
        <f>IF(OR($B3138="",NOT(ISNUMBER($D3138))),"",IF(AND($E3138&lt;$D$2,$G3138&lt;&gt;"X",$F3138&lt;&gt;"Réalisé",$F3138&lt;&gt;"Clôturé"),"RETARD",""))</f>
        <v/>
      </c>
      <c r="J3138" s="29">
        <f>IF($B3138="","",IF(INDEX(Dossiers!$F$4:$F$63,60)="","",INDEX(Dossiers!$F$4:$F$63,60)))</f>
        <v/>
      </c>
      <c r="K3138" s="29">
        <f>IF($B3138="","",IF(INDEX(Dossiers!$G$4:$G$63,60)="","",INDEX(Dossiers!$G$4:$G$63,60)))</f>
        <v/>
      </c>
    </row>
    <row r="3139">
      <c r="A3139">
        <f>IF($B3139="","",INDEX(Dossiers!$E$4:$E$63,60))</f>
        <v/>
      </c>
      <c r="B3139">
        <f>IF(INDEX(Suivi!$B:$B,3199)="","",INDEX(Suivi!$B:$B,3199))</f>
        <v/>
      </c>
      <c r="C3139">
        <f>IF($B3139="","",IF(INDEX(Suivi!$D:$D,3199)="",INDEX(Suivi!$C:$C,3199),INDEX(Suivi!$D:$D,3199)))</f>
        <v/>
      </c>
      <c r="D3139" s="29">
        <f>IF($B3139="","",INDEX(Suivi!$E:$E,3199))</f>
        <v/>
      </c>
      <c r="E3139" s="29">
        <f>IF($B3139="","",INDEX(Suivi!$F:$F,3199))</f>
        <v/>
      </c>
      <c r="F3139">
        <f>IF($B3139="","",INDEX(Suivi!$G:$G,3199))</f>
        <v/>
      </c>
      <c r="H3139">
        <f>IF(OR($B3139="",NOT(ISNUMBER($D3139))),"",IF($E3139&lt;$D$2,"Passé",IF($D3139&gt;$F$2,"À venir","Dans la période")))</f>
        <v/>
      </c>
      <c r="I3139">
        <f>IF(OR($B3139="",NOT(ISNUMBER($D3139))),"",IF(AND($E3139&lt;$D$2,$G3139&lt;&gt;"X",$F3139&lt;&gt;"Réalisé",$F3139&lt;&gt;"Clôturé"),"RETARD",""))</f>
        <v/>
      </c>
      <c r="J3139" s="29">
        <f>IF($B3139="","",IF(INDEX(Dossiers!$F$4:$F$63,60)="","",INDEX(Dossiers!$F$4:$F$63,60)))</f>
        <v/>
      </c>
      <c r="K3139" s="29">
        <f>IF($B3139="","",IF(INDEX(Dossiers!$G$4:$G$63,60)="","",INDEX(Dossiers!$G$4:$G$63,60)))</f>
        <v/>
      </c>
    </row>
    <row r="3140">
      <c r="A3140">
        <f>IF($B3140="","",INDEX(Dossiers!$E$4:$E$63,60))</f>
        <v/>
      </c>
      <c r="B3140">
        <f>IF(INDEX(Suivi!$B:$B,3200)="","",INDEX(Suivi!$B:$B,3200))</f>
        <v/>
      </c>
      <c r="C3140">
        <f>IF($B3140="","",IF(INDEX(Suivi!$D:$D,3200)="",INDEX(Suivi!$C:$C,3200),INDEX(Suivi!$D:$D,3200)))</f>
        <v/>
      </c>
      <c r="D3140" s="29">
        <f>IF($B3140="","",INDEX(Suivi!$E:$E,3200))</f>
        <v/>
      </c>
      <c r="E3140" s="29">
        <f>IF($B3140="","",INDEX(Suivi!$F:$F,3200))</f>
        <v/>
      </c>
      <c r="F3140">
        <f>IF($B3140="","",INDEX(Suivi!$G:$G,3200))</f>
        <v/>
      </c>
      <c r="H3140">
        <f>IF(OR($B3140="",NOT(ISNUMBER($D3140))),"",IF($E3140&lt;$D$2,"Passé",IF($D3140&gt;$F$2,"À venir","Dans la période")))</f>
        <v/>
      </c>
      <c r="I3140">
        <f>IF(OR($B3140="",NOT(ISNUMBER($D3140))),"",IF(AND($E3140&lt;$D$2,$G3140&lt;&gt;"X",$F3140&lt;&gt;"Réalisé",$F3140&lt;&gt;"Clôturé"),"RETARD",""))</f>
        <v/>
      </c>
      <c r="J3140" s="29">
        <f>IF($B3140="","",IF(INDEX(Dossiers!$F$4:$F$63,60)="","",INDEX(Dossiers!$F$4:$F$63,60)))</f>
        <v/>
      </c>
      <c r="K3140" s="29">
        <f>IF($B3140="","",IF(INDEX(Dossiers!$G$4:$G$63,60)="","",INDEX(Dossiers!$G$4:$G$63,60)))</f>
        <v/>
      </c>
    </row>
    <row r="3141">
      <c r="A3141">
        <f>IF($B3141="","",INDEX(Dossiers!$E$4:$E$63,60))</f>
        <v/>
      </c>
      <c r="B3141">
        <f>IF(INDEX(Suivi!$B:$B,3201)="","",INDEX(Suivi!$B:$B,3201))</f>
        <v/>
      </c>
      <c r="C3141">
        <f>IF($B3141="","",IF(INDEX(Suivi!$D:$D,3201)="",INDEX(Suivi!$C:$C,3201),INDEX(Suivi!$D:$D,3201)))</f>
        <v/>
      </c>
      <c r="D3141" s="29">
        <f>IF($B3141="","",INDEX(Suivi!$E:$E,3201))</f>
        <v/>
      </c>
      <c r="E3141" s="29">
        <f>IF($B3141="","",INDEX(Suivi!$F:$F,3201))</f>
        <v/>
      </c>
      <c r="F3141">
        <f>IF($B3141="","",INDEX(Suivi!$G:$G,3201))</f>
        <v/>
      </c>
      <c r="H3141">
        <f>IF(OR($B3141="",NOT(ISNUMBER($D3141))),"",IF($E3141&lt;$D$2,"Passé",IF($D3141&gt;$F$2,"À venir","Dans la période")))</f>
        <v/>
      </c>
      <c r="I3141">
        <f>IF(OR($B3141="",NOT(ISNUMBER($D3141))),"",IF(AND($E3141&lt;$D$2,$G3141&lt;&gt;"X",$F3141&lt;&gt;"Réalisé",$F3141&lt;&gt;"Clôturé"),"RETARD",""))</f>
        <v/>
      </c>
      <c r="J3141" s="29">
        <f>IF($B3141="","",IF(INDEX(Dossiers!$F$4:$F$63,60)="","",INDEX(Dossiers!$F$4:$F$63,60)))</f>
        <v/>
      </c>
      <c r="K3141" s="29">
        <f>IF($B3141="","",IF(INDEX(Dossiers!$G$4:$G$63,60)="","",INDEX(Dossiers!$G$4:$G$63,60)))</f>
        <v/>
      </c>
    </row>
    <row r="3142">
      <c r="A3142">
        <f>IF($B3142="","",INDEX(Dossiers!$E$4:$E$63,60))</f>
        <v/>
      </c>
      <c r="B3142">
        <f>IF(INDEX(Suivi!$B:$B,3202)="","",INDEX(Suivi!$B:$B,3202))</f>
        <v/>
      </c>
      <c r="C3142">
        <f>IF($B3142="","",IF(INDEX(Suivi!$D:$D,3202)="",INDEX(Suivi!$C:$C,3202),INDEX(Suivi!$D:$D,3202)))</f>
        <v/>
      </c>
      <c r="D3142" s="29">
        <f>IF($B3142="","",INDEX(Suivi!$E:$E,3202))</f>
        <v/>
      </c>
      <c r="E3142" s="29">
        <f>IF($B3142="","",INDEX(Suivi!$F:$F,3202))</f>
        <v/>
      </c>
      <c r="F3142">
        <f>IF($B3142="","",INDEX(Suivi!$G:$G,3202))</f>
        <v/>
      </c>
      <c r="H3142">
        <f>IF(OR($B3142="",NOT(ISNUMBER($D3142))),"",IF($E3142&lt;$D$2,"Passé",IF($D3142&gt;$F$2,"À venir","Dans la période")))</f>
        <v/>
      </c>
      <c r="I3142">
        <f>IF(OR($B3142="",NOT(ISNUMBER($D3142))),"",IF(AND($E3142&lt;$D$2,$G3142&lt;&gt;"X",$F3142&lt;&gt;"Réalisé",$F3142&lt;&gt;"Clôturé"),"RETARD",""))</f>
        <v/>
      </c>
      <c r="J3142" s="29">
        <f>IF($B3142="","",IF(INDEX(Dossiers!$F$4:$F$63,60)="","",INDEX(Dossiers!$F$4:$F$63,60)))</f>
        <v/>
      </c>
      <c r="K3142" s="29">
        <f>IF($B3142="","",IF(INDEX(Dossiers!$G$4:$G$63,60)="","",INDEX(Dossiers!$G$4:$G$63,60)))</f>
        <v/>
      </c>
    </row>
    <row r="3143">
      <c r="A3143">
        <f>IF($B3143="","",INDEX(Dossiers!$E$4:$E$63,60))</f>
        <v/>
      </c>
      <c r="B3143">
        <f>IF(INDEX(Suivi!$B:$B,3203)="","",INDEX(Suivi!$B:$B,3203))</f>
        <v/>
      </c>
      <c r="C3143">
        <f>IF($B3143="","",IF(INDEX(Suivi!$D:$D,3203)="",INDEX(Suivi!$C:$C,3203),INDEX(Suivi!$D:$D,3203)))</f>
        <v/>
      </c>
      <c r="D3143" s="29">
        <f>IF($B3143="","",INDEX(Suivi!$E:$E,3203))</f>
        <v/>
      </c>
      <c r="E3143" s="29">
        <f>IF($B3143="","",INDEX(Suivi!$F:$F,3203))</f>
        <v/>
      </c>
      <c r="F3143">
        <f>IF($B3143="","",INDEX(Suivi!$G:$G,3203))</f>
        <v/>
      </c>
      <c r="H3143">
        <f>IF(OR($B3143="",NOT(ISNUMBER($D3143))),"",IF($E3143&lt;$D$2,"Passé",IF($D3143&gt;$F$2,"À venir","Dans la période")))</f>
        <v/>
      </c>
      <c r="I3143">
        <f>IF(OR($B3143="",NOT(ISNUMBER($D3143))),"",IF(AND($E3143&lt;$D$2,$G3143&lt;&gt;"X",$F3143&lt;&gt;"Réalisé",$F3143&lt;&gt;"Clôturé"),"RETARD",""))</f>
        <v/>
      </c>
      <c r="J3143" s="29">
        <f>IF($B3143="","",IF(INDEX(Dossiers!$F$4:$F$63,60)="","",INDEX(Dossiers!$F$4:$F$63,60)))</f>
        <v/>
      </c>
      <c r="K3143" s="29">
        <f>IF($B3143="","",IF(INDEX(Dossiers!$G$4:$G$63,60)="","",INDEX(Dossiers!$G$4:$G$63,60)))</f>
        <v/>
      </c>
    </row>
    <row r="3144">
      <c r="A3144">
        <f>IF($B3144="","",INDEX(Dossiers!$E$4:$E$63,60))</f>
        <v/>
      </c>
      <c r="B3144">
        <f>IF(INDEX(Suivi!$B:$B,3204)="","",INDEX(Suivi!$B:$B,3204))</f>
        <v/>
      </c>
      <c r="C3144">
        <f>IF($B3144="","",IF(INDEX(Suivi!$D:$D,3204)="",INDEX(Suivi!$C:$C,3204),INDEX(Suivi!$D:$D,3204)))</f>
        <v/>
      </c>
      <c r="D3144" s="29">
        <f>IF($B3144="","",INDEX(Suivi!$E:$E,3204))</f>
        <v/>
      </c>
      <c r="E3144" s="29">
        <f>IF($B3144="","",INDEX(Suivi!$F:$F,3204))</f>
        <v/>
      </c>
      <c r="F3144">
        <f>IF($B3144="","",INDEX(Suivi!$G:$G,3204))</f>
        <v/>
      </c>
      <c r="H3144">
        <f>IF(OR($B3144="",NOT(ISNUMBER($D3144))),"",IF($E3144&lt;$D$2,"Passé",IF($D3144&gt;$F$2,"À venir","Dans la période")))</f>
        <v/>
      </c>
      <c r="I3144">
        <f>IF(OR($B3144="",NOT(ISNUMBER($D3144))),"",IF(AND($E3144&lt;$D$2,$G3144&lt;&gt;"X",$F3144&lt;&gt;"Réalisé",$F3144&lt;&gt;"Clôturé"),"RETARD",""))</f>
        <v/>
      </c>
      <c r="J3144" s="29">
        <f>IF($B3144="","",IF(INDEX(Dossiers!$F$4:$F$63,60)="","",INDEX(Dossiers!$F$4:$F$63,60)))</f>
        <v/>
      </c>
      <c r="K3144" s="29">
        <f>IF($B3144="","",IF(INDEX(Dossiers!$G$4:$G$63,60)="","",INDEX(Dossiers!$G$4:$G$63,60)))</f>
        <v/>
      </c>
    </row>
    <row r="3145">
      <c r="A3145">
        <f>IF($B3145="","",INDEX(Dossiers!$E$4:$E$63,60))</f>
        <v/>
      </c>
      <c r="B3145">
        <f>IF(INDEX(Suivi!$B:$B,3205)="","",INDEX(Suivi!$B:$B,3205))</f>
        <v/>
      </c>
      <c r="C3145">
        <f>IF($B3145="","",IF(INDEX(Suivi!$D:$D,3205)="",INDEX(Suivi!$C:$C,3205),INDEX(Suivi!$D:$D,3205)))</f>
        <v/>
      </c>
      <c r="D3145" s="29">
        <f>IF($B3145="","",INDEX(Suivi!$E:$E,3205))</f>
        <v/>
      </c>
      <c r="E3145" s="29">
        <f>IF($B3145="","",INDEX(Suivi!$F:$F,3205))</f>
        <v/>
      </c>
      <c r="F3145">
        <f>IF($B3145="","",INDEX(Suivi!$G:$G,3205))</f>
        <v/>
      </c>
      <c r="H3145">
        <f>IF(OR($B3145="",NOT(ISNUMBER($D3145))),"",IF($E3145&lt;$D$2,"Passé",IF($D3145&gt;$F$2,"À venir","Dans la période")))</f>
        <v/>
      </c>
      <c r="I3145">
        <f>IF(OR($B3145="",NOT(ISNUMBER($D3145))),"",IF(AND($E3145&lt;$D$2,$G3145&lt;&gt;"X",$F3145&lt;&gt;"Réalisé",$F3145&lt;&gt;"Clôturé"),"RETARD",""))</f>
        <v/>
      </c>
      <c r="J3145" s="29">
        <f>IF($B3145="","",IF(INDEX(Dossiers!$F$4:$F$63,60)="","",INDEX(Dossiers!$F$4:$F$63,60)))</f>
        <v/>
      </c>
      <c r="K3145" s="29">
        <f>IF($B3145="","",IF(INDEX(Dossiers!$G$4:$G$63,60)="","",INDEX(Dossiers!$G$4:$G$63,60)))</f>
        <v/>
      </c>
    </row>
    <row r="3146">
      <c r="A3146">
        <f>IF($B3146="","",INDEX(Dossiers!$E$4:$E$63,60))</f>
        <v/>
      </c>
      <c r="B3146">
        <f>IF(INDEX(Suivi!$B:$B,3206)="","",INDEX(Suivi!$B:$B,3206))</f>
        <v/>
      </c>
      <c r="C3146">
        <f>IF($B3146="","",IF(INDEX(Suivi!$D:$D,3206)="",INDEX(Suivi!$C:$C,3206),INDEX(Suivi!$D:$D,3206)))</f>
        <v/>
      </c>
      <c r="D3146" s="29">
        <f>IF($B3146="","",INDEX(Suivi!$E:$E,3206))</f>
        <v/>
      </c>
      <c r="E3146" s="29">
        <f>IF($B3146="","",INDEX(Suivi!$F:$F,3206))</f>
        <v/>
      </c>
      <c r="F3146">
        <f>IF($B3146="","",INDEX(Suivi!$G:$G,3206))</f>
        <v/>
      </c>
      <c r="H3146">
        <f>IF(OR($B3146="",NOT(ISNUMBER($D3146))),"",IF($E3146&lt;$D$2,"Passé",IF($D3146&gt;$F$2,"À venir","Dans la période")))</f>
        <v/>
      </c>
      <c r="I3146">
        <f>IF(OR($B3146="",NOT(ISNUMBER($D3146))),"",IF(AND($E3146&lt;$D$2,$G3146&lt;&gt;"X",$F3146&lt;&gt;"Réalisé",$F3146&lt;&gt;"Clôturé"),"RETARD",""))</f>
        <v/>
      </c>
      <c r="J3146" s="29">
        <f>IF($B3146="","",IF(INDEX(Dossiers!$F$4:$F$63,60)="","",INDEX(Dossiers!$F$4:$F$63,60)))</f>
        <v/>
      </c>
      <c r="K3146" s="29">
        <f>IF($B3146="","",IF(INDEX(Dossiers!$G$4:$G$63,60)="","",INDEX(Dossiers!$G$4:$G$63,60)))</f>
        <v/>
      </c>
    </row>
    <row r="3147">
      <c r="A3147">
        <f>IF($B3147="","",INDEX(Dossiers!$E$4:$E$63,60))</f>
        <v/>
      </c>
      <c r="B3147">
        <f>IF(INDEX(Suivi!$B:$B,3207)="","",INDEX(Suivi!$B:$B,3207))</f>
        <v/>
      </c>
      <c r="C3147">
        <f>IF($B3147="","",IF(INDEX(Suivi!$D:$D,3207)="",INDEX(Suivi!$C:$C,3207),INDEX(Suivi!$D:$D,3207)))</f>
        <v/>
      </c>
      <c r="D3147" s="29">
        <f>IF($B3147="","",INDEX(Suivi!$E:$E,3207))</f>
        <v/>
      </c>
      <c r="E3147" s="29">
        <f>IF($B3147="","",INDEX(Suivi!$F:$F,3207))</f>
        <v/>
      </c>
      <c r="F3147">
        <f>IF($B3147="","",INDEX(Suivi!$G:$G,3207))</f>
        <v/>
      </c>
      <c r="H3147">
        <f>IF(OR($B3147="",NOT(ISNUMBER($D3147))),"",IF($E3147&lt;$D$2,"Passé",IF($D3147&gt;$F$2,"À venir","Dans la période")))</f>
        <v/>
      </c>
      <c r="I3147">
        <f>IF(OR($B3147="",NOT(ISNUMBER($D3147))),"",IF(AND($E3147&lt;$D$2,$G3147&lt;&gt;"X",$F3147&lt;&gt;"Réalisé",$F3147&lt;&gt;"Clôturé"),"RETARD",""))</f>
        <v/>
      </c>
      <c r="J3147" s="29">
        <f>IF($B3147="","",IF(INDEX(Dossiers!$F$4:$F$63,60)="","",INDEX(Dossiers!$F$4:$F$63,60)))</f>
        <v/>
      </c>
      <c r="K3147" s="29">
        <f>IF($B3147="","",IF(INDEX(Dossiers!$G$4:$G$63,60)="","",INDEX(Dossiers!$G$4:$G$63,60)))</f>
        <v/>
      </c>
    </row>
    <row r="3148">
      <c r="A3148">
        <f>IF($B3148="","",INDEX(Dossiers!$E$4:$E$63,60))</f>
        <v/>
      </c>
      <c r="B3148">
        <f>IF(INDEX(Suivi!$B:$B,3208)="","",INDEX(Suivi!$B:$B,3208))</f>
        <v/>
      </c>
      <c r="C3148">
        <f>IF($B3148="","",IF(INDEX(Suivi!$D:$D,3208)="",INDEX(Suivi!$C:$C,3208),INDEX(Suivi!$D:$D,3208)))</f>
        <v/>
      </c>
      <c r="D3148" s="29">
        <f>IF($B3148="","",INDEX(Suivi!$E:$E,3208))</f>
        <v/>
      </c>
      <c r="E3148" s="29">
        <f>IF($B3148="","",INDEX(Suivi!$F:$F,3208))</f>
        <v/>
      </c>
      <c r="F3148">
        <f>IF($B3148="","",INDEX(Suivi!$G:$G,3208))</f>
        <v/>
      </c>
      <c r="H3148">
        <f>IF(OR($B3148="",NOT(ISNUMBER($D3148))),"",IF($E3148&lt;$D$2,"Passé",IF($D3148&gt;$F$2,"À venir","Dans la période")))</f>
        <v/>
      </c>
      <c r="I3148">
        <f>IF(OR($B3148="",NOT(ISNUMBER($D3148))),"",IF(AND($E3148&lt;$D$2,$G3148&lt;&gt;"X",$F3148&lt;&gt;"Réalisé",$F3148&lt;&gt;"Clôturé"),"RETARD",""))</f>
        <v/>
      </c>
      <c r="J3148" s="29">
        <f>IF($B3148="","",IF(INDEX(Dossiers!$F$4:$F$63,60)="","",INDEX(Dossiers!$F$4:$F$63,60)))</f>
        <v/>
      </c>
      <c r="K3148" s="29">
        <f>IF($B3148="","",IF(INDEX(Dossiers!$G$4:$G$63,60)="","",INDEX(Dossiers!$G$4:$G$63,60)))</f>
        <v/>
      </c>
    </row>
    <row r="3149">
      <c r="A3149">
        <f>IF($B3149="","",INDEX(Dossiers!$E$4:$E$63,60))</f>
        <v/>
      </c>
      <c r="B3149">
        <f>IF(INDEX(Suivi!$B:$B,3209)="","",INDEX(Suivi!$B:$B,3209))</f>
        <v/>
      </c>
      <c r="C3149">
        <f>IF($B3149="","",IF(INDEX(Suivi!$D:$D,3209)="",INDEX(Suivi!$C:$C,3209),INDEX(Suivi!$D:$D,3209)))</f>
        <v/>
      </c>
      <c r="D3149" s="29">
        <f>IF($B3149="","",INDEX(Suivi!$E:$E,3209))</f>
        <v/>
      </c>
      <c r="E3149" s="29">
        <f>IF($B3149="","",INDEX(Suivi!$F:$F,3209))</f>
        <v/>
      </c>
      <c r="F3149">
        <f>IF($B3149="","",INDEX(Suivi!$G:$G,3209))</f>
        <v/>
      </c>
      <c r="H3149">
        <f>IF(OR($B3149="",NOT(ISNUMBER($D3149))),"",IF($E3149&lt;$D$2,"Passé",IF($D3149&gt;$F$2,"À venir","Dans la période")))</f>
        <v/>
      </c>
      <c r="I3149">
        <f>IF(OR($B3149="",NOT(ISNUMBER($D3149))),"",IF(AND($E3149&lt;$D$2,$G3149&lt;&gt;"X",$F3149&lt;&gt;"Réalisé",$F3149&lt;&gt;"Clôturé"),"RETARD",""))</f>
        <v/>
      </c>
      <c r="J3149" s="29">
        <f>IF($B3149="","",IF(INDEX(Dossiers!$F$4:$F$63,60)="","",INDEX(Dossiers!$F$4:$F$63,60)))</f>
        <v/>
      </c>
      <c r="K3149" s="29">
        <f>IF($B3149="","",IF(INDEX(Dossiers!$G$4:$G$63,60)="","",INDEX(Dossiers!$G$4:$G$63,60)))</f>
        <v/>
      </c>
    </row>
    <row r="3150">
      <c r="A3150">
        <f>IF($B3150="","",INDEX(Dossiers!$E$4:$E$63,60))</f>
        <v/>
      </c>
      <c r="B3150">
        <f>IF(INDEX(Suivi!$B:$B,3210)="","",INDEX(Suivi!$B:$B,3210))</f>
        <v/>
      </c>
      <c r="C3150">
        <f>IF($B3150="","",IF(INDEX(Suivi!$D:$D,3210)="",INDEX(Suivi!$C:$C,3210),INDEX(Suivi!$D:$D,3210)))</f>
        <v/>
      </c>
      <c r="D3150" s="29">
        <f>IF($B3150="","",INDEX(Suivi!$E:$E,3210))</f>
        <v/>
      </c>
      <c r="E3150" s="29">
        <f>IF($B3150="","",INDEX(Suivi!$F:$F,3210))</f>
        <v/>
      </c>
      <c r="F3150">
        <f>IF($B3150="","",INDEX(Suivi!$G:$G,3210))</f>
        <v/>
      </c>
      <c r="H3150">
        <f>IF(OR($B3150="",NOT(ISNUMBER($D3150))),"",IF($E3150&lt;$D$2,"Passé",IF($D3150&gt;$F$2,"À venir","Dans la période")))</f>
        <v/>
      </c>
      <c r="I3150">
        <f>IF(OR($B3150="",NOT(ISNUMBER($D3150))),"",IF(AND($E3150&lt;$D$2,$G3150&lt;&gt;"X",$F3150&lt;&gt;"Réalisé",$F3150&lt;&gt;"Clôturé"),"RETARD",""))</f>
        <v/>
      </c>
      <c r="J3150" s="29">
        <f>IF($B3150="","",IF(INDEX(Dossiers!$F$4:$F$63,60)="","",INDEX(Dossiers!$F$4:$F$63,60)))</f>
        <v/>
      </c>
      <c r="K3150" s="29">
        <f>IF($B3150="","",IF(INDEX(Dossiers!$G$4:$G$63,60)="","",INDEX(Dossiers!$G$4:$G$63,60)))</f>
        <v/>
      </c>
    </row>
    <row r="3151">
      <c r="A3151">
        <f>IF($B3151="","",INDEX(Dossiers!$E$4:$E$63,60))</f>
        <v/>
      </c>
      <c r="B3151">
        <f>IF(INDEX(Suivi!$B:$B,3211)="","",INDEX(Suivi!$B:$B,3211))</f>
        <v/>
      </c>
      <c r="C3151">
        <f>IF($B3151="","",IF(INDEX(Suivi!$D:$D,3211)="",INDEX(Suivi!$C:$C,3211),INDEX(Suivi!$D:$D,3211)))</f>
        <v/>
      </c>
      <c r="D3151" s="29">
        <f>IF($B3151="","",INDEX(Suivi!$E:$E,3211))</f>
        <v/>
      </c>
      <c r="E3151" s="29">
        <f>IF($B3151="","",INDEX(Suivi!$F:$F,3211))</f>
        <v/>
      </c>
      <c r="F3151">
        <f>IF($B3151="","",INDEX(Suivi!$G:$G,3211))</f>
        <v/>
      </c>
      <c r="H3151">
        <f>IF(OR($B3151="",NOT(ISNUMBER($D3151))),"",IF($E3151&lt;$D$2,"Passé",IF($D3151&gt;$F$2,"À venir","Dans la période")))</f>
        <v/>
      </c>
      <c r="I3151">
        <f>IF(OR($B3151="",NOT(ISNUMBER($D3151))),"",IF(AND($E3151&lt;$D$2,$G3151&lt;&gt;"X",$F3151&lt;&gt;"Réalisé",$F3151&lt;&gt;"Clôturé"),"RETARD",""))</f>
        <v/>
      </c>
      <c r="J3151" s="29">
        <f>IF($B3151="","",IF(INDEX(Dossiers!$F$4:$F$63,60)="","",INDEX(Dossiers!$F$4:$F$63,60)))</f>
        <v/>
      </c>
      <c r="K3151" s="29">
        <f>IF($B3151="","",IF(INDEX(Dossiers!$G$4:$G$63,60)="","",INDEX(Dossiers!$G$4:$G$63,60)))</f>
        <v/>
      </c>
    </row>
    <row r="3152">
      <c r="A3152">
        <f>IF($B3152="","",INDEX(Dossiers!$E$4:$E$63,60))</f>
        <v/>
      </c>
      <c r="B3152">
        <f>IF(INDEX(Suivi!$B:$B,3212)="","",INDEX(Suivi!$B:$B,3212))</f>
        <v/>
      </c>
      <c r="C3152">
        <f>IF($B3152="","",IF(INDEX(Suivi!$D:$D,3212)="",INDEX(Suivi!$C:$C,3212),INDEX(Suivi!$D:$D,3212)))</f>
        <v/>
      </c>
      <c r="D3152" s="29">
        <f>IF($B3152="","",INDEX(Suivi!$E:$E,3212))</f>
        <v/>
      </c>
      <c r="E3152" s="29">
        <f>IF($B3152="","",INDEX(Suivi!$F:$F,3212))</f>
        <v/>
      </c>
      <c r="F3152">
        <f>IF($B3152="","",INDEX(Suivi!$G:$G,3212))</f>
        <v/>
      </c>
      <c r="H3152">
        <f>IF(OR($B3152="",NOT(ISNUMBER($D3152))),"",IF($E3152&lt;$D$2,"Passé",IF($D3152&gt;$F$2,"À venir","Dans la période")))</f>
        <v/>
      </c>
      <c r="I3152">
        <f>IF(OR($B3152="",NOT(ISNUMBER($D3152))),"",IF(AND($E3152&lt;$D$2,$G3152&lt;&gt;"X",$F3152&lt;&gt;"Réalisé",$F3152&lt;&gt;"Clôturé"),"RETARD",""))</f>
        <v/>
      </c>
      <c r="J3152" s="29">
        <f>IF($B3152="","",IF(INDEX(Dossiers!$F$4:$F$63,60)="","",INDEX(Dossiers!$F$4:$F$63,60)))</f>
        <v/>
      </c>
      <c r="K3152" s="29">
        <f>IF($B3152="","",IF(INDEX(Dossiers!$G$4:$G$63,60)="","",INDEX(Dossiers!$G$4:$G$63,60)))</f>
        <v/>
      </c>
    </row>
    <row r="3153">
      <c r="A3153">
        <f>IF($B3153="","",INDEX(Dossiers!$E$4:$E$63,60))</f>
        <v/>
      </c>
      <c r="B3153">
        <f>IF(INDEX(Suivi!$B:$B,3213)="","",INDEX(Suivi!$B:$B,3213))</f>
        <v/>
      </c>
      <c r="C3153">
        <f>IF($B3153="","",IF(INDEX(Suivi!$D:$D,3213)="",INDEX(Suivi!$C:$C,3213),INDEX(Suivi!$D:$D,3213)))</f>
        <v/>
      </c>
      <c r="D3153" s="29">
        <f>IF($B3153="","",INDEX(Suivi!$E:$E,3213))</f>
        <v/>
      </c>
      <c r="E3153" s="29">
        <f>IF($B3153="","",INDEX(Suivi!$F:$F,3213))</f>
        <v/>
      </c>
      <c r="F3153">
        <f>IF($B3153="","",INDEX(Suivi!$G:$G,3213))</f>
        <v/>
      </c>
      <c r="H3153">
        <f>IF(OR($B3153="",NOT(ISNUMBER($D3153))),"",IF($E3153&lt;$D$2,"Passé",IF($D3153&gt;$F$2,"À venir","Dans la période")))</f>
        <v/>
      </c>
      <c r="I3153">
        <f>IF(OR($B3153="",NOT(ISNUMBER($D3153))),"",IF(AND($E3153&lt;$D$2,$G3153&lt;&gt;"X",$F3153&lt;&gt;"Réalisé",$F3153&lt;&gt;"Clôturé"),"RETARD",""))</f>
        <v/>
      </c>
      <c r="J3153" s="29">
        <f>IF($B3153="","",IF(INDEX(Dossiers!$F$4:$F$63,60)="","",INDEX(Dossiers!$F$4:$F$63,60)))</f>
        <v/>
      </c>
      <c r="K3153" s="29">
        <f>IF($B3153="","",IF(INDEX(Dossiers!$G$4:$G$63,60)="","",INDEX(Dossiers!$G$4:$G$63,60)))</f>
        <v/>
      </c>
    </row>
    <row r="3154">
      <c r="A3154">
        <f>IF($B3154="","",INDEX(Dossiers!$E$4:$E$63,60))</f>
        <v/>
      </c>
      <c r="B3154">
        <f>IF(INDEX(Suivi!$B:$B,3214)="","",INDEX(Suivi!$B:$B,3214))</f>
        <v/>
      </c>
      <c r="C3154">
        <f>IF($B3154="","",IF(INDEX(Suivi!$D:$D,3214)="",INDEX(Suivi!$C:$C,3214),INDEX(Suivi!$D:$D,3214)))</f>
        <v/>
      </c>
      <c r="D3154" s="29">
        <f>IF($B3154="","",INDEX(Suivi!$E:$E,3214))</f>
        <v/>
      </c>
      <c r="E3154" s="29">
        <f>IF($B3154="","",INDEX(Suivi!$F:$F,3214))</f>
        <v/>
      </c>
      <c r="F3154">
        <f>IF($B3154="","",INDEX(Suivi!$G:$G,3214))</f>
        <v/>
      </c>
      <c r="H3154">
        <f>IF(OR($B3154="",NOT(ISNUMBER($D3154))),"",IF($E3154&lt;$D$2,"Passé",IF($D3154&gt;$F$2,"À venir","Dans la période")))</f>
        <v/>
      </c>
      <c r="I3154">
        <f>IF(OR($B3154="",NOT(ISNUMBER($D3154))),"",IF(AND($E3154&lt;$D$2,$G3154&lt;&gt;"X",$F3154&lt;&gt;"Réalisé",$F3154&lt;&gt;"Clôturé"),"RETARD",""))</f>
        <v/>
      </c>
      <c r="J3154" s="29">
        <f>IF($B3154="","",IF(INDEX(Dossiers!$F$4:$F$63,60)="","",INDEX(Dossiers!$F$4:$F$63,60)))</f>
        <v/>
      </c>
      <c r="K3154" s="29">
        <f>IF($B3154="","",IF(INDEX(Dossiers!$G$4:$G$63,60)="","",INDEX(Dossiers!$G$4:$G$63,60)))</f>
        <v/>
      </c>
    </row>
    <row r="3155">
      <c r="A3155">
        <f>IF($B3155="","",INDEX(Dossiers!$E$4:$E$63,60))</f>
        <v/>
      </c>
      <c r="B3155">
        <f>IF(INDEX(Suivi!$B:$B,3215)="","",INDEX(Suivi!$B:$B,3215))</f>
        <v/>
      </c>
      <c r="C3155">
        <f>IF($B3155="","",IF(INDEX(Suivi!$D:$D,3215)="",INDEX(Suivi!$C:$C,3215),INDEX(Suivi!$D:$D,3215)))</f>
        <v/>
      </c>
      <c r="D3155" s="29">
        <f>IF($B3155="","",INDEX(Suivi!$E:$E,3215))</f>
        <v/>
      </c>
      <c r="E3155" s="29">
        <f>IF($B3155="","",INDEX(Suivi!$F:$F,3215))</f>
        <v/>
      </c>
      <c r="F3155">
        <f>IF($B3155="","",INDEX(Suivi!$G:$G,3215))</f>
        <v/>
      </c>
      <c r="H3155">
        <f>IF(OR($B3155="",NOT(ISNUMBER($D3155))),"",IF($E3155&lt;$D$2,"Passé",IF($D3155&gt;$F$2,"À venir","Dans la période")))</f>
        <v/>
      </c>
      <c r="I3155">
        <f>IF(OR($B3155="",NOT(ISNUMBER($D3155))),"",IF(AND($E3155&lt;$D$2,$G3155&lt;&gt;"X",$F3155&lt;&gt;"Réalisé",$F3155&lt;&gt;"Clôturé"),"RETARD",""))</f>
        <v/>
      </c>
      <c r="J3155" s="29">
        <f>IF($B3155="","",IF(INDEX(Dossiers!$F$4:$F$63,60)="","",INDEX(Dossiers!$F$4:$F$63,60)))</f>
        <v/>
      </c>
      <c r="K3155" s="29">
        <f>IF($B3155="","",IF(INDEX(Dossiers!$G$4:$G$63,60)="","",INDEX(Dossiers!$G$4:$G$63,60)))</f>
        <v/>
      </c>
    </row>
    <row r="3156">
      <c r="A3156">
        <f>IF($B3156="","",INDEX(Dossiers!$E$4:$E$63,60))</f>
        <v/>
      </c>
      <c r="B3156">
        <f>IF(INDEX(Suivi!$B:$B,3216)="","",INDEX(Suivi!$B:$B,3216))</f>
        <v/>
      </c>
      <c r="C3156">
        <f>IF($B3156="","",IF(INDEX(Suivi!$D:$D,3216)="",INDEX(Suivi!$C:$C,3216),INDEX(Suivi!$D:$D,3216)))</f>
        <v/>
      </c>
      <c r="D3156" s="29">
        <f>IF($B3156="","",INDEX(Suivi!$E:$E,3216))</f>
        <v/>
      </c>
      <c r="E3156" s="29">
        <f>IF($B3156="","",INDEX(Suivi!$F:$F,3216))</f>
        <v/>
      </c>
      <c r="F3156">
        <f>IF($B3156="","",INDEX(Suivi!$G:$G,3216))</f>
        <v/>
      </c>
      <c r="H3156">
        <f>IF(OR($B3156="",NOT(ISNUMBER($D3156))),"",IF($E3156&lt;$D$2,"Passé",IF($D3156&gt;$F$2,"À venir","Dans la période")))</f>
        <v/>
      </c>
      <c r="I3156">
        <f>IF(OR($B3156="",NOT(ISNUMBER($D3156))),"",IF(AND($E3156&lt;$D$2,$G3156&lt;&gt;"X",$F3156&lt;&gt;"Réalisé",$F3156&lt;&gt;"Clôturé"),"RETARD",""))</f>
        <v/>
      </c>
      <c r="J3156" s="29">
        <f>IF($B3156="","",IF(INDEX(Dossiers!$F$4:$F$63,60)="","",INDEX(Dossiers!$F$4:$F$63,60)))</f>
        <v/>
      </c>
      <c r="K3156" s="29">
        <f>IF($B3156="","",IF(INDEX(Dossiers!$G$4:$G$63,60)="","",INDEX(Dossiers!$G$4:$G$63,60)))</f>
        <v/>
      </c>
    </row>
    <row r="3157">
      <c r="A3157">
        <f>IF($B3157="","",INDEX(Dossiers!$E$4:$E$63,60))</f>
        <v/>
      </c>
      <c r="B3157">
        <f>IF(INDEX(Suivi!$B:$B,3217)="","",INDEX(Suivi!$B:$B,3217))</f>
        <v/>
      </c>
      <c r="C3157">
        <f>IF($B3157="","",IF(INDEX(Suivi!$D:$D,3217)="",INDEX(Suivi!$C:$C,3217),INDEX(Suivi!$D:$D,3217)))</f>
        <v/>
      </c>
      <c r="D3157" s="29">
        <f>IF($B3157="","",INDEX(Suivi!$E:$E,3217))</f>
        <v/>
      </c>
      <c r="E3157" s="29">
        <f>IF($B3157="","",INDEX(Suivi!$F:$F,3217))</f>
        <v/>
      </c>
      <c r="F3157">
        <f>IF($B3157="","",INDEX(Suivi!$G:$G,3217))</f>
        <v/>
      </c>
      <c r="H3157">
        <f>IF(OR($B3157="",NOT(ISNUMBER($D3157))),"",IF($E3157&lt;$D$2,"Passé",IF($D3157&gt;$F$2,"À venir","Dans la période")))</f>
        <v/>
      </c>
      <c r="I3157">
        <f>IF(OR($B3157="",NOT(ISNUMBER($D3157))),"",IF(AND($E3157&lt;$D$2,$G3157&lt;&gt;"X",$F3157&lt;&gt;"Réalisé",$F3157&lt;&gt;"Clôturé"),"RETARD",""))</f>
        <v/>
      </c>
      <c r="J3157" s="29">
        <f>IF($B3157="","",IF(INDEX(Dossiers!$F$4:$F$63,60)="","",INDEX(Dossiers!$F$4:$F$63,60)))</f>
        <v/>
      </c>
      <c r="K3157" s="29">
        <f>IF($B3157="","",IF(INDEX(Dossiers!$G$4:$G$63,60)="","",INDEX(Dossiers!$G$4:$G$63,60)))</f>
        <v/>
      </c>
    </row>
    <row r="3158">
      <c r="A3158">
        <f>IF($B3158="","",INDEX(Dossiers!$E$4:$E$63,60))</f>
        <v/>
      </c>
      <c r="B3158">
        <f>IF(INDEX(Suivi!$B:$B,3218)="","",INDEX(Suivi!$B:$B,3218))</f>
        <v/>
      </c>
      <c r="C3158">
        <f>IF($B3158="","",IF(INDEX(Suivi!$D:$D,3218)="",INDEX(Suivi!$C:$C,3218),INDEX(Suivi!$D:$D,3218)))</f>
        <v/>
      </c>
      <c r="D3158" s="29">
        <f>IF($B3158="","",INDEX(Suivi!$E:$E,3218))</f>
        <v/>
      </c>
      <c r="E3158" s="29">
        <f>IF($B3158="","",INDEX(Suivi!$F:$F,3218))</f>
        <v/>
      </c>
      <c r="F3158">
        <f>IF($B3158="","",INDEX(Suivi!$G:$G,3218))</f>
        <v/>
      </c>
      <c r="H3158">
        <f>IF(OR($B3158="",NOT(ISNUMBER($D3158))),"",IF($E3158&lt;$D$2,"Passé",IF($D3158&gt;$F$2,"À venir","Dans la période")))</f>
        <v/>
      </c>
      <c r="I3158">
        <f>IF(OR($B3158="",NOT(ISNUMBER($D3158))),"",IF(AND($E3158&lt;$D$2,$G3158&lt;&gt;"X",$F3158&lt;&gt;"Réalisé",$F3158&lt;&gt;"Clôturé"),"RETARD",""))</f>
        <v/>
      </c>
      <c r="J3158" s="29">
        <f>IF($B3158="","",IF(INDEX(Dossiers!$F$4:$F$63,60)="","",INDEX(Dossiers!$F$4:$F$63,60)))</f>
        <v/>
      </c>
      <c r="K3158" s="29">
        <f>IF($B3158="","",IF(INDEX(Dossiers!$G$4:$G$63,60)="","",INDEX(Dossiers!$G$4:$G$63,60)))</f>
        <v/>
      </c>
    </row>
    <row r="3159">
      <c r="A3159">
        <f>IF($B3159="","",INDEX(Dossiers!$E$4:$E$63,60))</f>
        <v/>
      </c>
      <c r="B3159">
        <f>IF(INDEX(Suivi!$B:$B,3219)="","",INDEX(Suivi!$B:$B,3219))</f>
        <v/>
      </c>
      <c r="C3159">
        <f>IF($B3159="","",IF(INDEX(Suivi!$D:$D,3219)="",INDEX(Suivi!$C:$C,3219),INDEX(Suivi!$D:$D,3219)))</f>
        <v/>
      </c>
      <c r="D3159" s="29">
        <f>IF($B3159="","",INDEX(Suivi!$E:$E,3219))</f>
        <v/>
      </c>
      <c r="E3159" s="29">
        <f>IF($B3159="","",INDEX(Suivi!$F:$F,3219))</f>
        <v/>
      </c>
      <c r="F3159">
        <f>IF($B3159="","",INDEX(Suivi!$G:$G,3219))</f>
        <v/>
      </c>
      <c r="H3159">
        <f>IF(OR($B3159="",NOT(ISNUMBER($D3159))),"",IF($E3159&lt;$D$2,"Passé",IF($D3159&gt;$F$2,"À venir","Dans la période")))</f>
        <v/>
      </c>
      <c r="I3159">
        <f>IF(OR($B3159="",NOT(ISNUMBER($D3159))),"",IF(AND($E3159&lt;$D$2,$G3159&lt;&gt;"X",$F3159&lt;&gt;"Réalisé",$F3159&lt;&gt;"Clôturé"),"RETARD",""))</f>
        <v/>
      </c>
      <c r="J3159" s="29">
        <f>IF($B3159="","",IF(INDEX(Dossiers!$F$4:$F$63,60)="","",INDEX(Dossiers!$F$4:$F$63,60)))</f>
        <v/>
      </c>
      <c r="K3159" s="29">
        <f>IF($B3159="","",IF(INDEX(Dossiers!$G$4:$G$63,60)="","",INDEX(Dossiers!$G$4:$G$63,60)))</f>
        <v/>
      </c>
    </row>
    <row r="3160">
      <c r="A3160">
        <f>IF($B3160="","",INDEX(Dossiers!$E$4:$E$63,60))</f>
        <v/>
      </c>
      <c r="B3160">
        <f>IF(INDEX(Suivi!$B:$B,3220)="","",INDEX(Suivi!$B:$B,3220))</f>
        <v/>
      </c>
      <c r="C3160">
        <f>IF($B3160="","",IF(INDEX(Suivi!$D:$D,3220)="",INDEX(Suivi!$C:$C,3220),INDEX(Suivi!$D:$D,3220)))</f>
        <v/>
      </c>
      <c r="D3160" s="29">
        <f>IF($B3160="","",INDEX(Suivi!$E:$E,3220))</f>
        <v/>
      </c>
      <c r="E3160" s="29">
        <f>IF($B3160="","",INDEX(Suivi!$F:$F,3220))</f>
        <v/>
      </c>
      <c r="F3160">
        <f>IF($B3160="","",INDEX(Suivi!$G:$G,3220))</f>
        <v/>
      </c>
      <c r="H3160">
        <f>IF(OR($B3160="",NOT(ISNUMBER($D3160))),"",IF($E3160&lt;$D$2,"Passé",IF($D3160&gt;$F$2,"À venir","Dans la période")))</f>
        <v/>
      </c>
      <c r="I3160">
        <f>IF(OR($B3160="",NOT(ISNUMBER($D3160))),"",IF(AND($E3160&lt;$D$2,$G3160&lt;&gt;"X",$F3160&lt;&gt;"Réalisé",$F3160&lt;&gt;"Clôturé"),"RETARD",""))</f>
        <v/>
      </c>
      <c r="J3160" s="29">
        <f>IF($B3160="","",IF(INDEX(Dossiers!$F$4:$F$63,60)="","",INDEX(Dossiers!$F$4:$F$63,60)))</f>
        <v/>
      </c>
      <c r="K3160" s="29">
        <f>IF($B3160="","",IF(INDEX(Dossiers!$G$4:$G$63,60)="","",INDEX(Dossiers!$G$4:$G$63,60)))</f>
        <v/>
      </c>
    </row>
    <row r="3161">
      <c r="A3161">
        <f>IF($B3161="","",INDEX(Dossiers!$E$4:$E$63,60))</f>
        <v/>
      </c>
      <c r="B3161">
        <f>IF(INDEX(Suivi!$B:$B,3221)="","",INDEX(Suivi!$B:$B,3221))</f>
        <v/>
      </c>
      <c r="C3161">
        <f>IF($B3161="","",IF(INDEX(Suivi!$D:$D,3221)="",INDEX(Suivi!$C:$C,3221),INDEX(Suivi!$D:$D,3221)))</f>
        <v/>
      </c>
      <c r="D3161" s="29">
        <f>IF($B3161="","",INDEX(Suivi!$E:$E,3221))</f>
        <v/>
      </c>
      <c r="E3161" s="29">
        <f>IF($B3161="","",INDEX(Suivi!$F:$F,3221))</f>
        <v/>
      </c>
      <c r="F3161">
        <f>IF($B3161="","",INDEX(Suivi!$G:$G,3221))</f>
        <v/>
      </c>
      <c r="H3161">
        <f>IF(OR($B3161="",NOT(ISNUMBER($D3161))),"",IF($E3161&lt;$D$2,"Passé",IF($D3161&gt;$F$2,"À venir","Dans la période")))</f>
        <v/>
      </c>
      <c r="I3161">
        <f>IF(OR($B3161="",NOT(ISNUMBER($D3161))),"",IF(AND($E3161&lt;$D$2,$G3161&lt;&gt;"X",$F3161&lt;&gt;"Réalisé",$F3161&lt;&gt;"Clôturé"),"RETARD",""))</f>
        <v/>
      </c>
      <c r="J3161" s="29">
        <f>IF($B3161="","",IF(INDEX(Dossiers!$F$4:$F$63,60)="","",INDEX(Dossiers!$F$4:$F$63,60)))</f>
        <v/>
      </c>
      <c r="K3161" s="29">
        <f>IF($B3161="","",IF(INDEX(Dossiers!$G$4:$G$63,60)="","",INDEX(Dossiers!$G$4:$G$63,60)))</f>
        <v/>
      </c>
    </row>
    <row r="3162">
      <c r="A3162">
        <f>IF($B3162="","",INDEX(Dossiers!$E$4:$E$63,60))</f>
        <v/>
      </c>
      <c r="B3162">
        <f>IF(INDEX(Suivi!$B:$B,3222)="","",INDEX(Suivi!$B:$B,3222))</f>
        <v/>
      </c>
      <c r="C3162">
        <f>IF($B3162="","",IF(INDEX(Suivi!$D:$D,3222)="",INDEX(Suivi!$C:$C,3222),INDEX(Suivi!$D:$D,3222)))</f>
        <v/>
      </c>
      <c r="D3162" s="29">
        <f>IF($B3162="","",INDEX(Suivi!$E:$E,3222))</f>
        <v/>
      </c>
      <c r="E3162" s="29">
        <f>IF($B3162="","",INDEX(Suivi!$F:$F,3222))</f>
        <v/>
      </c>
      <c r="F3162">
        <f>IF($B3162="","",INDEX(Suivi!$G:$G,3222))</f>
        <v/>
      </c>
      <c r="H3162">
        <f>IF(OR($B3162="",NOT(ISNUMBER($D3162))),"",IF($E3162&lt;$D$2,"Passé",IF($D3162&gt;$F$2,"À venir","Dans la période")))</f>
        <v/>
      </c>
      <c r="I3162">
        <f>IF(OR($B3162="",NOT(ISNUMBER($D3162))),"",IF(AND($E3162&lt;$D$2,$G3162&lt;&gt;"X",$F3162&lt;&gt;"Réalisé",$F3162&lt;&gt;"Clôturé"),"RETARD",""))</f>
        <v/>
      </c>
      <c r="J3162" s="29">
        <f>IF($B3162="","",IF(INDEX(Dossiers!$F$4:$F$63,60)="","",INDEX(Dossiers!$F$4:$F$63,60)))</f>
        <v/>
      </c>
      <c r="K3162" s="29">
        <f>IF($B3162="","",IF(INDEX(Dossiers!$G$4:$G$63,60)="","",INDEX(Dossiers!$G$4:$G$63,60)))</f>
        <v/>
      </c>
    </row>
    <row r="3163">
      <c r="A3163">
        <f>IF($B3163="","",INDEX(Dossiers!$E$4:$E$63,60))</f>
        <v/>
      </c>
      <c r="B3163">
        <f>IF(INDEX(Suivi!$B:$B,3223)="","",INDEX(Suivi!$B:$B,3223))</f>
        <v/>
      </c>
      <c r="C3163">
        <f>IF($B3163="","",IF(INDEX(Suivi!$D:$D,3223)="",INDEX(Suivi!$C:$C,3223),INDEX(Suivi!$D:$D,3223)))</f>
        <v/>
      </c>
      <c r="D3163" s="29">
        <f>IF($B3163="","",INDEX(Suivi!$E:$E,3223))</f>
        <v/>
      </c>
      <c r="E3163" s="29">
        <f>IF($B3163="","",INDEX(Suivi!$F:$F,3223))</f>
        <v/>
      </c>
      <c r="F3163">
        <f>IF($B3163="","",INDEX(Suivi!$G:$G,3223))</f>
        <v/>
      </c>
      <c r="H3163">
        <f>IF(OR($B3163="",NOT(ISNUMBER($D3163))),"",IF($E3163&lt;$D$2,"Passé",IF($D3163&gt;$F$2,"À venir","Dans la période")))</f>
        <v/>
      </c>
      <c r="I3163">
        <f>IF(OR($B3163="",NOT(ISNUMBER($D3163))),"",IF(AND($E3163&lt;$D$2,$G3163&lt;&gt;"X",$F3163&lt;&gt;"Réalisé",$F3163&lt;&gt;"Clôturé"),"RETARD",""))</f>
        <v/>
      </c>
      <c r="J3163" s="29">
        <f>IF($B3163="","",IF(INDEX(Dossiers!$F$4:$F$63,60)="","",INDEX(Dossiers!$F$4:$F$63,60)))</f>
        <v/>
      </c>
      <c r="K3163" s="29">
        <f>IF($B3163="","",IF(INDEX(Dossiers!$G$4:$G$63,60)="","",INDEX(Dossiers!$G$4:$G$63,60)))</f>
        <v/>
      </c>
    </row>
    <row r="3164">
      <c r="A3164">
        <f>IF($B3164="","",INDEX(Dossiers!$E$4:$E$63,60))</f>
        <v/>
      </c>
      <c r="B3164">
        <f>IF(INDEX(Suivi!$B:$B,3224)="","",INDEX(Suivi!$B:$B,3224))</f>
        <v/>
      </c>
      <c r="C3164">
        <f>IF($B3164="","",IF(INDEX(Suivi!$D:$D,3224)="",INDEX(Suivi!$C:$C,3224),INDEX(Suivi!$D:$D,3224)))</f>
        <v/>
      </c>
      <c r="D3164" s="29">
        <f>IF($B3164="","",INDEX(Suivi!$E:$E,3224))</f>
        <v/>
      </c>
      <c r="E3164" s="29">
        <f>IF($B3164="","",INDEX(Suivi!$F:$F,3224))</f>
        <v/>
      </c>
      <c r="F3164">
        <f>IF($B3164="","",INDEX(Suivi!$G:$G,3224))</f>
        <v/>
      </c>
      <c r="H3164">
        <f>IF(OR($B3164="",NOT(ISNUMBER($D3164))),"",IF($E3164&lt;$D$2,"Passé",IF($D3164&gt;$F$2,"À venir","Dans la période")))</f>
        <v/>
      </c>
      <c r="I3164">
        <f>IF(OR($B3164="",NOT(ISNUMBER($D3164))),"",IF(AND($E3164&lt;$D$2,$G3164&lt;&gt;"X",$F3164&lt;&gt;"Réalisé",$F3164&lt;&gt;"Clôturé"),"RETARD",""))</f>
        <v/>
      </c>
      <c r="J3164" s="29">
        <f>IF($B3164="","",IF(INDEX(Dossiers!$F$4:$F$63,60)="","",INDEX(Dossiers!$F$4:$F$63,60)))</f>
        <v/>
      </c>
      <c r="K3164" s="29">
        <f>IF($B3164="","",IF(INDEX(Dossiers!$G$4:$G$63,60)="","",INDEX(Dossiers!$G$4:$G$63,60)))</f>
        <v/>
      </c>
    </row>
    <row r="3165">
      <c r="A3165">
        <f>IF($B3165="","",INDEX(Dossiers!$E$4:$E$63,60))</f>
        <v/>
      </c>
      <c r="B3165">
        <f>IF(INDEX(Suivi!$B:$B,3225)="","",INDEX(Suivi!$B:$B,3225))</f>
        <v/>
      </c>
      <c r="C3165">
        <f>IF($B3165="","",IF(INDEX(Suivi!$D:$D,3225)="",INDEX(Suivi!$C:$C,3225),INDEX(Suivi!$D:$D,3225)))</f>
        <v/>
      </c>
      <c r="D3165" s="29">
        <f>IF($B3165="","",INDEX(Suivi!$E:$E,3225))</f>
        <v/>
      </c>
      <c r="E3165" s="29">
        <f>IF($B3165="","",INDEX(Suivi!$F:$F,3225))</f>
        <v/>
      </c>
      <c r="F3165">
        <f>IF($B3165="","",INDEX(Suivi!$G:$G,3225))</f>
        <v/>
      </c>
      <c r="H3165">
        <f>IF(OR($B3165="",NOT(ISNUMBER($D3165))),"",IF($E3165&lt;$D$2,"Passé",IF($D3165&gt;$F$2,"À venir","Dans la période")))</f>
        <v/>
      </c>
      <c r="I3165">
        <f>IF(OR($B3165="",NOT(ISNUMBER($D3165))),"",IF(AND($E3165&lt;$D$2,$G3165&lt;&gt;"X",$F3165&lt;&gt;"Réalisé",$F3165&lt;&gt;"Clôturé"),"RETARD",""))</f>
        <v/>
      </c>
      <c r="J3165" s="29">
        <f>IF($B3165="","",IF(INDEX(Dossiers!$F$4:$F$63,60)="","",INDEX(Dossiers!$F$4:$F$63,60)))</f>
        <v/>
      </c>
      <c r="K3165" s="29">
        <f>IF($B3165="","",IF(INDEX(Dossiers!$G$4:$G$63,60)="","",INDEX(Dossiers!$G$4:$G$63,60)))</f>
        <v/>
      </c>
    </row>
    <row r="3166">
      <c r="A3166">
        <f>IF($B3166="","",INDEX(Dossiers!$E$4:$E$63,60))</f>
        <v/>
      </c>
      <c r="B3166">
        <f>IF(INDEX(Suivi!$B:$B,3226)="","",INDEX(Suivi!$B:$B,3226))</f>
        <v/>
      </c>
      <c r="C3166">
        <f>IF($B3166="","",IF(INDEX(Suivi!$D:$D,3226)="",INDEX(Suivi!$C:$C,3226),INDEX(Suivi!$D:$D,3226)))</f>
        <v/>
      </c>
      <c r="D3166" s="29">
        <f>IF($B3166="","",INDEX(Suivi!$E:$E,3226))</f>
        <v/>
      </c>
      <c r="E3166" s="29">
        <f>IF($B3166="","",INDEX(Suivi!$F:$F,3226))</f>
        <v/>
      </c>
      <c r="F3166">
        <f>IF($B3166="","",INDEX(Suivi!$G:$G,3226))</f>
        <v/>
      </c>
      <c r="H3166">
        <f>IF(OR($B3166="",NOT(ISNUMBER($D3166))),"",IF($E3166&lt;$D$2,"Passé",IF($D3166&gt;$F$2,"À venir","Dans la période")))</f>
        <v/>
      </c>
      <c r="I3166">
        <f>IF(OR($B3166="",NOT(ISNUMBER($D3166))),"",IF(AND($E3166&lt;$D$2,$G3166&lt;&gt;"X",$F3166&lt;&gt;"Réalisé",$F3166&lt;&gt;"Clôturé"),"RETARD",""))</f>
        <v/>
      </c>
      <c r="J3166" s="29">
        <f>IF($B3166="","",IF(INDEX(Dossiers!$F$4:$F$63,60)="","",INDEX(Dossiers!$F$4:$F$63,60)))</f>
        <v/>
      </c>
      <c r="K3166" s="29">
        <f>IF($B3166="","",IF(INDEX(Dossiers!$G$4:$G$63,60)="","",INDEX(Dossiers!$G$4:$G$63,60)))</f>
        <v/>
      </c>
    </row>
    <row r="3167">
      <c r="A3167">
        <f>IF($B3167="","",INDEX(Dossiers!$E$4:$E$63,60))</f>
        <v/>
      </c>
      <c r="B3167">
        <f>IF(INDEX(Suivi!$B:$B,3227)="","",INDEX(Suivi!$B:$B,3227))</f>
        <v/>
      </c>
      <c r="C3167">
        <f>IF($B3167="","",IF(INDEX(Suivi!$D:$D,3227)="",INDEX(Suivi!$C:$C,3227),INDEX(Suivi!$D:$D,3227)))</f>
        <v/>
      </c>
      <c r="D3167" s="29">
        <f>IF($B3167="","",INDEX(Suivi!$E:$E,3227))</f>
        <v/>
      </c>
      <c r="E3167" s="29">
        <f>IF($B3167="","",INDEX(Suivi!$F:$F,3227))</f>
        <v/>
      </c>
      <c r="F3167">
        <f>IF($B3167="","",INDEX(Suivi!$G:$G,3227))</f>
        <v/>
      </c>
      <c r="H3167">
        <f>IF(OR($B3167="",NOT(ISNUMBER($D3167))),"",IF($E3167&lt;$D$2,"Passé",IF($D3167&gt;$F$2,"À venir","Dans la période")))</f>
        <v/>
      </c>
      <c r="I3167">
        <f>IF(OR($B3167="",NOT(ISNUMBER($D3167))),"",IF(AND($E3167&lt;$D$2,$G3167&lt;&gt;"X",$F3167&lt;&gt;"Réalisé",$F3167&lt;&gt;"Clôturé"),"RETARD",""))</f>
        <v/>
      </c>
      <c r="J3167" s="29">
        <f>IF($B3167="","",IF(INDEX(Dossiers!$F$4:$F$63,60)="","",INDEX(Dossiers!$F$4:$F$63,60)))</f>
        <v/>
      </c>
      <c r="K3167" s="29">
        <f>IF($B3167="","",IF(INDEX(Dossiers!$G$4:$G$63,60)="","",INDEX(Dossiers!$G$4:$G$63,60)))</f>
        <v/>
      </c>
    </row>
    <row r="3168">
      <c r="A3168">
        <f>IF($B3168="","",INDEX(Dossiers!$E$4:$E$63,60))</f>
        <v/>
      </c>
      <c r="B3168">
        <f>IF(INDEX(Suivi!$B:$B,3228)="","",INDEX(Suivi!$B:$B,3228))</f>
        <v/>
      </c>
      <c r="C3168">
        <f>IF($B3168="","",IF(INDEX(Suivi!$D:$D,3228)="",INDEX(Suivi!$C:$C,3228),INDEX(Suivi!$D:$D,3228)))</f>
        <v/>
      </c>
      <c r="D3168" s="29">
        <f>IF($B3168="","",INDEX(Suivi!$E:$E,3228))</f>
        <v/>
      </c>
      <c r="E3168" s="29">
        <f>IF($B3168="","",INDEX(Suivi!$F:$F,3228))</f>
        <v/>
      </c>
      <c r="F3168">
        <f>IF($B3168="","",INDEX(Suivi!$G:$G,3228))</f>
        <v/>
      </c>
      <c r="H3168">
        <f>IF(OR($B3168="",NOT(ISNUMBER($D3168))),"",IF($E3168&lt;$D$2,"Passé",IF($D3168&gt;$F$2,"À venir","Dans la période")))</f>
        <v/>
      </c>
      <c r="I3168">
        <f>IF(OR($B3168="",NOT(ISNUMBER($D3168))),"",IF(AND($E3168&lt;$D$2,$G3168&lt;&gt;"X",$F3168&lt;&gt;"Réalisé",$F3168&lt;&gt;"Clôturé"),"RETARD",""))</f>
        <v/>
      </c>
      <c r="J3168" s="29">
        <f>IF($B3168="","",IF(INDEX(Dossiers!$F$4:$F$63,60)="","",INDEX(Dossiers!$F$4:$F$63,60)))</f>
        <v/>
      </c>
      <c r="K3168" s="29">
        <f>IF($B3168="","",IF(INDEX(Dossiers!$G$4:$G$63,60)="","",INDEX(Dossiers!$G$4:$G$63,60)))</f>
        <v/>
      </c>
    </row>
    <row r="3169">
      <c r="A3169">
        <f>IF($B3169="","",INDEX(Dossiers!$E$4:$E$63,60))</f>
        <v/>
      </c>
      <c r="B3169">
        <f>IF(INDEX(Suivi!$B:$B,3229)="","",INDEX(Suivi!$B:$B,3229))</f>
        <v/>
      </c>
      <c r="C3169">
        <f>IF($B3169="","",IF(INDEX(Suivi!$D:$D,3229)="",INDEX(Suivi!$C:$C,3229),INDEX(Suivi!$D:$D,3229)))</f>
        <v/>
      </c>
      <c r="D3169" s="29">
        <f>IF($B3169="","",INDEX(Suivi!$E:$E,3229))</f>
        <v/>
      </c>
      <c r="E3169" s="29">
        <f>IF($B3169="","",INDEX(Suivi!$F:$F,3229))</f>
        <v/>
      </c>
      <c r="F3169">
        <f>IF($B3169="","",INDEX(Suivi!$G:$G,3229))</f>
        <v/>
      </c>
      <c r="H3169">
        <f>IF(OR($B3169="",NOT(ISNUMBER($D3169))),"",IF($E3169&lt;$D$2,"Passé",IF($D3169&gt;$F$2,"À venir","Dans la période")))</f>
        <v/>
      </c>
      <c r="I3169">
        <f>IF(OR($B3169="",NOT(ISNUMBER($D3169))),"",IF(AND($E3169&lt;$D$2,$G3169&lt;&gt;"X",$F3169&lt;&gt;"Réalisé",$F3169&lt;&gt;"Clôturé"),"RETARD",""))</f>
        <v/>
      </c>
      <c r="J3169" s="29">
        <f>IF($B3169="","",IF(INDEX(Dossiers!$F$4:$F$63,60)="","",INDEX(Dossiers!$F$4:$F$63,60)))</f>
        <v/>
      </c>
      <c r="K3169" s="29">
        <f>IF($B3169="","",IF(INDEX(Dossiers!$G$4:$G$63,60)="","",INDEX(Dossiers!$G$4:$G$63,60)))</f>
        <v/>
      </c>
    </row>
    <row r="3170">
      <c r="A3170">
        <f>IF($B3170="","",INDEX(Dossiers!$E$4:$E$63,60))</f>
        <v/>
      </c>
      <c r="B3170">
        <f>IF(INDEX(Suivi!$B:$B,3230)="","",INDEX(Suivi!$B:$B,3230))</f>
        <v/>
      </c>
      <c r="C3170">
        <f>IF($B3170="","",IF(INDEX(Suivi!$D:$D,3230)="",INDEX(Suivi!$C:$C,3230),INDEX(Suivi!$D:$D,3230)))</f>
        <v/>
      </c>
      <c r="D3170" s="29">
        <f>IF($B3170="","",INDEX(Suivi!$E:$E,3230))</f>
        <v/>
      </c>
      <c r="E3170" s="29">
        <f>IF($B3170="","",INDEX(Suivi!$F:$F,3230))</f>
        <v/>
      </c>
      <c r="F3170">
        <f>IF($B3170="","",INDEX(Suivi!$G:$G,3230))</f>
        <v/>
      </c>
      <c r="H3170">
        <f>IF(OR($B3170="",NOT(ISNUMBER($D3170))),"",IF($E3170&lt;$D$2,"Passé",IF($D3170&gt;$F$2,"À venir","Dans la période")))</f>
        <v/>
      </c>
      <c r="I3170">
        <f>IF(OR($B3170="",NOT(ISNUMBER($D3170))),"",IF(AND($E3170&lt;$D$2,$G3170&lt;&gt;"X",$F3170&lt;&gt;"Réalisé",$F3170&lt;&gt;"Clôturé"),"RETARD",""))</f>
        <v/>
      </c>
      <c r="J3170" s="29">
        <f>IF($B3170="","",IF(INDEX(Dossiers!$F$4:$F$63,60)="","",INDEX(Dossiers!$F$4:$F$63,60)))</f>
        <v/>
      </c>
      <c r="K3170" s="29">
        <f>IF($B3170="","",IF(INDEX(Dossiers!$G$4:$G$63,60)="","",INDEX(Dossiers!$G$4:$G$63,60)))</f>
        <v/>
      </c>
    </row>
    <row r="3171">
      <c r="A3171">
        <f>IF($B3171="","",INDEX(Dossiers!$E$4:$E$63,60))</f>
        <v/>
      </c>
      <c r="B3171">
        <f>IF(INDEX(Suivi!$B:$B,3231)="","",INDEX(Suivi!$B:$B,3231))</f>
        <v/>
      </c>
      <c r="C3171">
        <f>IF($B3171="","",IF(INDEX(Suivi!$D:$D,3231)="",INDEX(Suivi!$C:$C,3231),INDEX(Suivi!$D:$D,3231)))</f>
        <v/>
      </c>
      <c r="D3171" s="29">
        <f>IF($B3171="","",INDEX(Suivi!$E:$E,3231))</f>
        <v/>
      </c>
      <c r="E3171" s="29">
        <f>IF($B3171="","",INDEX(Suivi!$F:$F,3231))</f>
        <v/>
      </c>
      <c r="F3171">
        <f>IF($B3171="","",INDEX(Suivi!$G:$G,3231))</f>
        <v/>
      </c>
      <c r="H3171">
        <f>IF(OR($B3171="",NOT(ISNUMBER($D3171))),"",IF($E3171&lt;$D$2,"Passé",IF($D3171&gt;$F$2,"À venir","Dans la période")))</f>
        <v/>
      </c>
      <c r="I3171">
        <f>IF(OR($B3171="",NOT(ISNUMBER($D3171))),"",IF(AND($E3171&lt;$D$2,$G3171&lt;&gt;"X",$F3171&lt;&gt;"Réalisé",$F3171&lt;&gt;"Clôturé"),"RETARD",""))</f>
        <v/>
      </c>
      <c r="J3171" s="29">
        <f>IF($B3171="","",IF(INDEX(Dossiers!$F$4:$F$63,60)="","",INDEX(Dossiers!$F$4:$F$63,60)))</f>
        <v/>
      </c>
      <c r="K3171" s="29">
        <f>IF($B3171="","",IF(INDEX(Dossiers!$G$4:$G$63,60)="","",INDEX(Dossiers!$G$4:$G$63,60)))</f>
        <v/>
      </c>
    </row>
    <row r="3172">
      <c r="A3172">
        <f>IF($B3172="","",INDEX(Dossiers!$E$4:$E$63,60))</f>
        <v/>
      </c>
      <c r="B3172">
        <f>IF(INDEX(Suivi!$B:$B,3232)="","",INDEX(Suivi!$B:$B,3232))</f>
        <v/>
      </c>
      <c r="C3172">
        <f>IF($B3172="","",IF(INDEX(Suivi!$D:$D,3232)="",INDEX(Suivi!$C:$C,3232),INDEX(Suivi!$D:$D,3232)))</f>
        <v/>
      </c>
      <c r="D3172" s="29">
        <f>IF($B3172="","",INDEX(Suivi!$E:$E,3232))</f>
        <v/>
      </c>
      <c r="E3172" s="29">
        <f>IF($B3172="","",INDEX(Suivi!$F:$F,3232))</f>
        <v/>
      </c>
      <c r="F3172">
        <f>IF($B3172="","",INDEX(Suivi!$G:$G,3232))</f>
        <v/>
      </c>
      <c r="H3172">
        <f>IF(OR($B3172="",NOT(ISNUMBER($D3172))),"",IF($E3172&lt;$D$2,"Passé",IF($D3172&gt;$F$2,"À venir","Dans la période")))</f>
        <v/>
      </c>
      <c r="I3172">
        <f>IF(OR($B3172="",NOT(ISNUMBER($D3172))),"",IF(AND($E3172&lt;$D$2,$G3172&lt;&gt;"X",$F3172&lt;&gt;"Réalisé",$F3172&lt;&gt;"Clôturé"),"RETARD",""))</f>
        <v/>
      </c>
      <c r="J3172" s="29">
        <f>IF($B3172="","",IF(INDEX(Dossiers!$F$4:$F$63,60)="","",INDEX(Dossiers!$F$4:$F$63,60)))</f>
        <v/>
      </c>
      <c r="K3172" s="29">
        <f>IF($B3172="","",IF(INDEX(Dossiers!$G$4:$G$63,60)="","",INDEX(Dossiers!$G$4:$G$63,60)))</f>
        <v/>
      </c>
    </row>
    <row r="3173">
      <c r="A3173">
        <f>IF($B3173="","",INDEX(Dossiers!$E$4:$E$63,60))</f>
        <v/>
      </c>
      <c r="B3173">
        <f>IF(INDEX(Suivi!$B:$B,3233)="","",INDEX(Suivi!$B:$B,3233))</f>
        <v/>
      </c>
      <c r="C3173">
        <f>IF($B3173="","",IF(INDEX(Suivi!$D:$D,3233)="",INDEX(Suivi!$C:$C,3233),INDEX(Suivi!$D:$D,3233)))</f>
        <v/>
      </c>
      <c r="D3173" s="29">
        <f>IF($B3173="","",INDEX(Suivi!$E:$E,3233))</f>
        <v/>
      </c>
      <c r="E3173" s="29">
        <f>IF($B3173="","",INDEX(Suivi!$F:$F,3233))</f>
        <v/>
      </c>
      <c r="F3173">
        <f>IF($B3173="","",INDEX(Suivi!$G:$G,3233))</f>
        <v/>
      </c>
      <c r="H3173">
        <f>IF(OR($B3173="",NOT(ISNUMBER($D3173))),"",IF($E3173&lt;$D$2,"Passé",IF($D3173&gt;$F$2,"À venir","Dans la période")))</f>
        <v/>
      </c>
      <c r="I3173">
        <f>IF(OR($B3173="",NOT(ISNUMBER($D3173))),"",IF(AND($E3173&lt;$D$2,$G3173&lt;&gt;"X",$F3173&lt;&gt;"Réalisé",$F3173&lt;&gt;"Clôturé"),"RETARD",""))</f>
        <v/>
      </c>
      <c r="J3173" s="29">
        <f>IF($B3173="","",IF(INDEX(Dossiers!$F$4:$F$63,60)="","",INDEX(Dossiers!$F$4:$F$63,60)))</f>
        <v/>
      </c>
      <c r="K3173" s="29">
        <f>IF($B3173="","",IF(INDEX(Dossiers!$G$4:$G$63,60)="","",INDEX(Dossiers!$G$4:$G$63,60)))</f>
        <v/>
      </c>
    </row>
    <row r="3174">
      <c r="A3174">
        <f>IF($B3174="","",INDEX(Dossiers!$E$4:$E$63,60))</f>
        <v/>
      </c>
      <c r="B3174">
        <f>IF(INDEX(Suivi!$B:$B,3234)="","",INDEX(Suivi!$B:$B,3234))</f>
        <v/>
      </c>
      <c r="C3174">
        <f>IF($B3174="","",IF(INDEX(Suivi!$D:$D,3234)="",INDEX(Suivi!$C:$C,3234),INDEX(Suivi!$D:$D,3234)))</f>
        <v/>
      </c>
      <c r="D3174" s="29">
        <f>IF($B3174="","",INDEX(Suivi!$E:$E,3234))</f>
        <v/>
      </c>
      <c r="E3174" s="29">
        <f>IF($B3174="","",INDEX(Suivi!$F:$F,3234))</f>
        <v/>
      </c>
      <c r="F3174">
        <f>IF($B3174="","",INDEX(Suivi!$G:$G,3234))</f>
        <v/>
      </c>
      <c r="H3174">
        <f>IF(OR($B3174="",NOT(ISNUMBER($D3174))),"",IF($E3174&lt;$D$2,"Passé",IF($D3174&gt;$F$2,"À venir","Dans la période")))</f>
        <v/>
      </c>
      <c r="I3174">
        <f>IF(OR($B3174="",NOT(ISNUMBER($D3174))),"",IF(AND($E3174&lt;$D$2,$G3174&lt;&gt;"X",$F3174&lt;&gt;"Réalisé",$F3174&lt;&gt;"Clôturé"),"RETARD",""))</f>
        <v/>
      </c>
      <c r="J3174" s="29">
        <f>IF($B3174="","",IF(INDEX(Dossiers!$F$4:$F$63,60)="","",INDEX(Dossiers!$F$4:$F$63,60)))</f>
        <v/>
      </c>
      <c r="K3174" s="29">
        <f>IF($B3174="","",IF(INDEX(Dossiers!$G$4:$G$63,60)="","",INDEX(Dossiers!$G$4:$G$63,60)))</f>
        <v/>
      </c>
    </row>
    <row r="3175">
      <c r="A3175">
        <f>IF($B3175="","",INDEX(Dossiers!$E$4:$E$63,60))</f>
        <v/>
      </c>
      <c r="B3175">
        <f>IF(INDEX(Suivi!$B:$B,3235)="","",INDEX(Suivi!$B:$B,3235))</f>
        <v/>
      </c>
      <c r="C3175">
        <f>IF($B3175="","",IF(INDEX(Suivi!$D:$D,3235)="",INDEX(Suivi!$C:$C,3235),INDEX(Suivi!$D:$D,3235)))</f>
        <v/>
      </c>
      <c r="D3175" s="29">
        <f>IF($B3175="","",INDEX(Suivi!$E:$E,3235))</f>
        <v/>
      </c>
      <c r="E3175" s="29">
        <f>IF($B3175="","",INDEX(Suivi!$F:$F,3235))</f>
        <v/>
      </c>
      <c r="F3175">
        <f>IF($B3175="","",INDEX(Suivi!$G:$G,3235))</f>
        <v/>
      </c>
      <c r="H3175">
        <f>IF(OR($B3175="",NOT(ISNUMBER($D3175))),"",IF($E3175&lt;$D$2,"Passé",IF($D3175&gt;$F$2,"À venir","Dans la période")))</f>
        <v/>
      </c>
      <c r="I3175">
        <f>IF(OR($B3175="",NOT(ISNUMBER($D3175))),"",IF(AND($E3175&lt;$D$2,$G3175&lt;&gt;"X",$F3175&lt;&gt;"Réalisé",$F3175&lt;&gt;"Clôturé"),"RETARD",""))</f>
        <v/>
      </c>
      <c r="J3175" s="29">
        <f>IF($B3175="","",IF(INDEX(Dossiers!$F$4:$F$63,60)="","",INDEX(Dossiers!$F$4:$F$63,60)))</f>
        <v/>
      </c>
      <c r="K3175" s="29">
        <f>IF($B3175="","",IF(INDEX(Dossiers!$G$4:$G$63,60)="","",INDEX(Dossiers!$G$4:$G$63,60)))</f>
        <v/>
      </c>
    </row>
    <row r="3176">
      <c r="A3176">
        <f>IF($B3176="","",INDEX(Dossiers!$E$4:$E$63,60))</f>
        <v/>
      </c>
      <c r="B3176">
        <f>IF(INDEX(Suivi!$B:$B,3236)="","",INDEX(Suivi!$B:$B,3236))</f>
        <v/>
      </c>
      <c r="C3176">
        <f>IF($B3176="","",IF(INDEX(Suivi!$D:$D,3236)="",INDEX(Suivi!$C:$C,3236),INDEX(Suivi!$D:$D,3236)))</f>
        <v/>
      </c>
      <c r="D3176" s="29">
        <f>IF($B3176="","",INDEX(Suivi!$E:$E,3236))</f>
        <v/>
      </c>
      <c r="E3176" s="29">
        <f>IF($B3176="","",INDEX(Suivi!$F:$F,3236))</f>
        <v/>
      </c>
      <c r="F3176">
        <f>IF($B3176="","",INDEX(Suivi!$G:$G,3236))</f>
        <v/>
      </c>
      <c r="H3176">
        <f>IF(OR($B3176="",NOT(ISNUMBER($D3176))),"",IF($E3176&lt;$D$2,"Passé",IF($D3176&gt;$F$2,"À venir","Dans la période")))</f>
        <v/>
      </c>
      <c r="I3176">
        <f>IF(OR($B3176="",NOT(ISNUMBER($D3176))),"",IF(AND($E3176&lt;$D$2,$G3176&lt;&gt;"X",$F3176&lt;&gt;"Réalisé",$F3176&lt;&gt;"Clôturé"),"RETARD",""))</f>
        <v/>
      </c>
      <c r="J3176" s="29">
        <f>IF($B3176="","",IF(INDEX(Dossiers!$F$4:$F$63,60)="","",INDEX(Dossiers!$F$4:$F$63,60)))</f>
        <v/>
      </c>
      <c r="K3176" s="29">
        <f>IF($B3176="","",IF(INDEX(Dossiers!$G$4:$G$63,60)="","",INDEX(Dossiers!$G$4:$G$63,60)))</f>
        <v/>
      </c>
    </row>
    <row r="3177">
      <c r="A3177">
        <f>IF($B3177="","",INDEX(Dossiers!$E$4:$E$63,60))</f>
        <v/>
      </c>
      <c r="B3177">
        <f>IF(INDEX(Suivi!$B:$B,3237)="","",INDEX(Suivi!$B:$B,3237))</f>
        <v/>
      </c>
      <c r="C3177">
        <f>IF($B3177="","",IF(INDEX(Suivi!$D:$D,3237)="",INDEX(Suivi!$C:$C,3237),INDEX(Suivi!$D:$D,3237)))</f>
        <v/>
      </c>
      <c r="D3177" s="29">
        <f>IF($B3177="","",INDEX(Suivi!$E:$E,3237))</f>
        <v/>
      </c>
      <c r="E3177" s="29">
        <f>IF($B3177="","",INDEX(Suivi!$F:$F,3237))</f>
        <v/>
      </c>
      <c r="F3177">
        <f>IF($B3177="","",INDEX(Suivi!$G:$G,3237))</f>
        <v/>
      </c>
      <c r="H3177">
        <f>IF(OR($B3177="",NOT(ISNUMBER($D3177))),"",IF($E3177&lt;$D$2,"Passé",IF($D3177&gt;$F$2,"À venir","Dans la période")))</f>
        <v/>
      </c>
      <c r="I3177">
        <f>IF(OR($B3177="",NOT(ISNUMBER($D3177))),"",IF(AND($E3177&lt;$D$2,$G3177&lt;&gt;"X",$F3177&lt;&gt;"Réalisé",$F3177&lt;&gt;"Clôturé"),"RETARD",""))</f>
        <v/>
      </c>
      <c r="J3177" s="29">
        <f>IF($B3177="","",IF(INDEX(Dossiers!$F$4:$F$63,60)="","",INDEX(Dossiers!$F$4:$F$63,60)))</f>
        <v/>
      </c>
      <c r="K3177" s="29">
        <f>IF($B3177="","",IF(INDEX(Dossiers!$G$4:$G$63,60)="","",INDEX(Dossiers!$G$4:$G$63,60)))</f>
        <v/>
      </c>
    </row>
    <row r="3178">
      <c r="A3178">
        <f>IF($B3178="","",INDEX(Dossiers!$E$4:$E$63,60))</f>
        <v/>
      </c>
      <c r="B3178">
        <f>IF(INDEX(Suivi!$B:$B,3238)="","",INDEX(Suivi!$B:$B,3238))</f>
        <v/>
      </c>
      <c r="C3178">
        <f>IF($B3178="","",IF(INDEX(Suivi!$D:$D,3238)="",INDEX(Suivi!$C:$C,3238),INDEX(Suivi!$D:$D,3238)))</f>
        <v/>
      </c>
      <c r="D3178" s="29">
        <f>IF($B3178="","",INDEX(Suivi!$E:$E,3238))</f>
        <v/>
      </c>
      <c r="E3178" s="29">
        <f>IF($B3178="","",INDEX(Suivi!$F:$F,3238))</f>
        <v/>
      </c>
      <c r="F3178">
        <f>IF($B3178="","",INDEX(Suivi!$G:$G,3238))</f>
        <v/>
      </c>
      <c r="H3178">
        <f>IF(OR($B3178="",NOT(ISNUMBER($D3178))),"",IF($E3178&lt;$D$2,"Passé",IF($D3178&gt;$F$2,"À venir","Dans la période")))</f>
        <v/>
      </c>
      <c r="I3178">
        <f>IF(OR($B3178="",NOT(ISNUMBER($D3178))),"",IF(AND($E3178&lt;$D$2,$G3178&lt;&gt;"X",$F3178&lt;&gt;"Réalisé",$F3178&lt;&gt;"Clôturé"),"RETARD",""))</f>
        <v/>
      </c>
      <c r="J3178" s="29">
        <f>IF($B3178="","",IF(INDEX(Dossiers!$F$4:$F$63,60)="","",INDEX(Dossiers!$F$4:$F$63,60)))</f>
        <v/>
      </c>
      <c r="K3178" s="29">
        <f>IF($B3178="","",IF(INDEX(Dossiers!$G$4:$G$63,60)="","",INDEX(Dossiers!$G$4:$G$63,60)))</f>
        <v/>
      </c>
    </row>
    <row r="3179">
      <c r="A3179">
        <f>IF($B3179="","",INDEX(Dossiers!$E$4:$E$63,60))</f>
        <v/>
      </c>
      <c r="B3179">
        <f>IF(INDEX(Suivi!$B:$B,3239)="","",INDEX(Suivi!$B:$B,3239))</f>
        <v/>
      </c>
      <c r="C3179">
        <f>IF($B3179="","",IF(INDEX(Suivi!$D:$D,3239)="",INDEX(Suivi!$C:$C,3239),INDEX(Suivi!$D:$D,3239)))</f>
        <v/>
      </c>
      <c r="D3179" s="29">
        <f>IF($B3179="","",INDEX(Suivi!$E:$E,3239))</f>
        <v/>
      </c>
      <c r="E3179" s="29">
        <f>IF($B3179="","",INDEX(Suivi!$F:$F,3239))</f>
        <v/>
      </c>
      <c r="F3179">
        <f>IF($B3179="","",INDEX(Suivi!$G:$G,3239))</f>
        <v/>
      </c>
      <c r="H3179">
        <f>IF(OR($B3179="",NOT(ISNUMBER($D3179))),"",IF($E3179&lt;$D$2,"Passé",IF($D3179&gt;$F$2,"À venir","Dans la période")))</f>
        <v/>
      </c>
      <c r="I3179">
        <f>IF(OR($B3179="",NOT(ISNUMBER($D3179))),"",IF(AND($E3179&lt;$D$2,$G3179&lt;&gt;"X",$F3179&lt;&gt;"Réalisé",$F3179&lt;&gt;"Clôturé"),"RETARD",""))</f>
        <v/>
      </c>
      <c r="J3179" s="29">
        <f>IF($B3179="","",IF(INDEX(Dossiers!$F$4:$F$63,60)="","",INDEX(Dossiers!$F$4:$F$63,60)))</f>
        <v/>
      </c>
      <c r="K3179" s="29">
        <f>IF($B3179="","",IF(INDEX(Dossiers!$G$4:$G$63,60)="","",INDEX(Dossiers!$G$4:$G$63,60)))</f>
        <v/>
      </c>
    </row>
    <row r="3180">
      <c r="A3180">
        <f>IF($B3180="","",INDEX(Dossiers!$E$4:$E$63,60))</f>
        <v/>
      </c>
      <c r="B3180">
        <f>IF(INDEX(Suivi!$B:$B,3240)="","",INDEX(Suivi!$B:$B,3240))</f>
        <v/>
      </c>
      <c r="C3180">
        <f>IF($B3180="","",IF(INDEX(Suivi!$D:$D,3240)="",INDEX(Suivi!$C:$C,3240),INDEX(Suivi!$D:$D,3240)))</f>
        <v/>
      </c>
      <c r="D3180" s="29">
        <f>IF($B3180="","",INDEX(Suivi!$E:$E,3240))</f>
        <v/>
      </c>
      <c r="E3180" s="29">
        <f>IF($B3180="","",INDEX(Suivi!$F:$F,3240))</f>
        <v/>
      </c>
      <c r="F3180">
        <f>IF($B3180="","",INDEX(Suivi!$G:$G,3240))</f>
        <v/>
      </c>
      <c r="H3180">
        <f>IF(OR($B3180="",NOT(ISNUMBER($D3180))),"",IF($E3180&lt;$D$2,"Passé",IF($D3180&gt;$F$2,"À venir","Dans la période")))</f>
        <v/>
      </c>
      <c r="I3180">
        <f>IF(OR($B3180="",NOT(ISNUMBER($D3180))),"",IF(AND($E3180&lt;$D$2,$G3180&lt;&gt;"X",$F3180&lt;&gt;"Réalisé",$F3180&lt;&gt;"Clôturé"),"RETARD",""))</f>
        <v/>
      </c>
      <c r="J3180" s="29">
        <f>IF($B3180="","",IF(INDEX(Dossiers!$F$4:$F$63,60)="","",INDEX(Dossiers!$F$4:$F$63,60)))</f>
        <v/>
      </c>
      <c r="K3180" s="29">
        <f>IF($B3180="","",IF(INDEX(Dossiers!$G$4:$G$63,60)="","",INDEX(Dossiers!$G$4:$G$63,60)))</f>
        <v/>
      </c>
    </row>
    <row r="3181">
      <c r="A3181">
        <f>IF($B3181="","",INDEX(Dossiers!$E$4:$E$63,60))</f>
        <v/>
      </c>
      <c r="B3181">
        <f>IF(INDEX(Suivi!$B:$B,3241)="","",INDEX(Suivi!$B:$B,3241))</f>
        <v/>
      </c>
      <c r="C3181">
        <f>IF($B3181="","",IF(INDEX(Suivi!$D:$D,3241)="",INDEX(Suivi!$C:$C,3241),INDEX(Suivi!$D:$D,3241)))</f>
        <v/>
      </c>
      <c r="D3181" s="29">
        <f>IF($B3181="","",INDEX(Suivi!$E:$E,3241))</f>
        <v/>
      </c>
      <c r="E3181" s="29">
        <f>IF($B3181="","",INDEX(Suivi!$F:$F,3241))</f>
        <v/>
      </c>
      <c r="F3181">
        <f>IF($B3181="","",INDEX(Suivi!$G:$G,3241))</f>
        <v/>
      </c>
      <c r="H3181">
        <f>IF(OR($B3181="",NOT(ISNUMBER($D3181))),"",IF($E3181&lt;$D$2,"Passé",IF($D3181&gt;$F$2,"À venir","Dans la période")))</f>
        <v/>
      </c>
      <c r="I3181">
        <f>IF(OR($B3181="",NOT(ISNUMBER($D3181))),"",IF(AND($E3181&lt;$D$2,$G3181&lt;&gt;"X",$F3181&lt;&gt;"Réalisé",$F3181&lt;&gt;"Clôturé"),"RETARD",""))</f>
        <v/>
      </c>
      <c r="J3181" s="29">
        <f>IF($B3181="","",IF(INDEX(Dossiers!$F$4:$F$63,60)="","",INDEX(Dossiers!$F$4:$F$63,60)))</f>
        <v/>
      </c>
      <c r="K3181" s="29">
        <f>IF($B3181="","",IF(INDEX(Dossiers!$G$4:$G$63,60)="","",INDEX(Dossiers!$G$4:$G$63,60)))</f>
        <v/>
      </c>
    </row>
    <row r="3182">
      <c r="A3182">
        <f>IF($B3182="","",INDEX(Dossiers!$E$4:$E$63,60))</f>
        <v/>
      </c>
      <c r="B3182">
        <f>IF(INDEX(Suivi!$B:$B,3242)="","",INDEX(Suivi!$B:$B,3242))</f>
        <v/>
      </c>
      <c r="C3182">
        <f>IF($B3182="","",IF(INDEX(Suivi!$D:$D,3242)="",INDEX(Suivi!$C:$C,3242),INDEX(Suivi!$D:$D,3242)))</f>
        <v/>
      </c>
      <c r="D3182" s="29">
        <f>IF($B3182="","",INDEX(Suivi!$E:$E,3242))</f>
        <v/>
      </c>
      <c r="E3182" s="29">
        <f>IF($B3182="","",INDEX(Suivi!$F:$F,3242))</f>
        <v/>
      </c>
      <c r="F3182">
        <f>IF($B3182="","",INDEX(Suivi!$G:$G,3242))</f>
        <v/>
      </c>
      <c r="H3182">
        <f>IF(OR($B3182="",NOT(ISNUMBER($D3182))),"",IF($E3182&lt;$D$2,"Passé",IF($D3182&gt;$F$2,"À venir","Dans la période")))</f>
        <v/>
      </c>
      <c r="I3182">
        <f>IF(OR($B3182="",NOT(ISNUMBER($D3182))),"",IF(AND($E3182&lt;$D$2,$G3182&lt;&gt;"X",$F3182&lt;&gt;"Réalisé",$F3182&lt;&gt;"Clôturé"),"RETARD",""))</f>
        <v/>
      </c>
      <c r="J3182" s="29">
        <f>IF($B3182="","",IF(INDEX(Dossiers!$F$4:$F$63,60)="","",INDEX(Dossiers!$F$4:$F$63,60)))</f>
        <v/>
      </c>
      <c r="K3182" s="29">
        <f>IF($B3182="","",IF(INDEX(Dossiers!$G$4:$G$63,60)="","",INDEX(Dossiers!$G$4:$G$63,60)))</f>
        <v/>
      </c>
    </row>
    <row r="3183">
      <c r="A3183">
        <f>IF($B3183="","",INDEX(Dossiers!$E$4:$E$63,60))</f>
        <v/>
      </c>
      <c r="B3183">
        <f>IF(INDEX(Suivi!$B:$B,3243)="","",INDEX(Suivi!$B:$B,3243))</f>
        <v/>
      </c>
      <c r="C3183">
        <f>IF($B3183="","",IF(INDEX(Suivi!$D:$D,3243)="",INDEX(Suivi!$C:$C,3243),INDEX(Suivi!$D:$D,3243)))</f>
        <v/>
      </c>
      <c r="D3183" s="29">
        <f>IF($B3183="","",INDEX(Suivi!$E:$E,3243))</f>
        <v/>
      </c>
      <c r="E3183" s="29">
        <f>IF($B3183="","",INDEX(Suivi!$F:$F,3243))</f>
        <v/>
      </c>
      <c r="F3183">
        <f>IF($B3183="","",INDEX(Suivi!$G:$G,3243))</f>
        <v/>
      </c>
      <c r="H3183">
        <f>IF(OR($B3183="",NOT(ISNUMBER($D3183))),"",IF($E3183&lt;$D$2,"Passé",IF($D3183&gt;$F$2,"À venir","Dans la période")))</f>
        <v/>
      </c>
      <c r="I3183">
        <f>IF(OR($B3183="",NOT(ISNUMBER($D3183))),"",IF(AND($E3183&lt;$D$2,$G3183&lt;&gt;"X",$F3183&lt;&gt;"Réalisé",$F3183&lt;&gt;"Clôturé"),"RETARD",""))</f>
        <v/>
      </c>
      <c r="J3183" s="29">
        <f>IF($B3183="","",IF(INDEX(Dossiers!$F$4:$F$63,60)="","",INDEX(Dossiers!$F$4:$F$63,60)))</f>
        <v/>
      </c>
      <c r="K3183" s="29">
        <f>IF($B3183="","",IF(INDEX(Dossiers!$G$4:$G$63,60)="","",INDEX(Dossiers!$G$4:$G$63,60)))</f>
        <v/>
      </c>
    </row>
  </sheetData>
  <autoFilter ref="A3:K3183"/>
  <conditionalFormatting sqref="A4:K3183">
    <cfRule type="expression" priority="1" dxfId="69" stopIfTrue="1">
      <formula>$I4="RETARD"</formula>
    </cfRule>
    <cfRule type="expression" priority="2" dxfId="70" stopIfTrue="1">
      <formula>$G4="X"</formula>
    </cfRule>
    <cfRule type="expression" priority="3" dxfId="71">
      <formula>OR($H4="Passé",$H4="À venir")</formula>
    </cfRule>
  </conditionalFormatting>
  <conditionalFormatting sqref="H4:H3183">
    <cfRule type="expression" priority="4" dxfId="72">
      <formula>$H4="Dans la période"</formula>
    </cfRule>
  </conditionalFormatting>
  <dataValidations count="1">
    <dataValidation sqref="G4:G3183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baseColWidth="10" defaultColWidth="8.6640625" defaultRowHeight="14.4"/>
  <cols>
    <col width="46" customWidth="1" min="1" max="1"/>
    <col width="12" customWidth="1" min="2" max="3"/>
    <col width="16" customWidth="1" min="4" max="9"/>
    <col width="12" customWidth="1" min="10" max="11"/>
  </cols>
  <sheetData>
    <row r="1" ht="17.25" customHeight="1">
      <c r="A1" s="7" t="inlineStr">
        <is>
          <t>TABLEAU DE BORD DES DOSSIERS</t>
        </is>
      </c>
    </row>
    <row r="2">
      <c r="A2">
        <f>"Dossiers actifs : "&amp;COUNTIF(A5:A64,"?*")</f>
        <v/>
      </c>
      <c r="D2">
        <f>"Dossiers avec étapes en retard : "&amp;COUNTIF(K5:K64,"&gt;0")</f>
        <v/>
      </c>
    </row>
    <row r="3">
      <c r="A3" t="inlineStr">
        <is>
          <t>Cliquer sur un dossier pour ouvrir son détail. Réalisation = étapes « Réalisé » ou « Clôturé » sur le total des étapes.</t>
        </is>
      </c>
    </row>
    <row r="4" ht="48" customHeight="1">
      <c r="A4" s="8" t="inlineStr">
        <is>
          <t>Dossier</t>
        </is>
      </c>
      <c r="B4" s="9" t="inlineStr">
        <is>
          <t>Début</t>
        </is>
      </c>
      <c r="C4" s="9" t="inlineStr">
        <is>
          <t>Fin prévue</t>
        </is>
      </c>
      <c r="D4" s="9">
        <f>Paramètres!G5&amp;" · "&amp;Paramètres!H5</f>
        <v/>
      </c>
      <c r="E4" s="9">
        <f>Paramètres!G10&amp;" · "&amp;Paramètres!H10</f>
        <v/>
      </c>
      <c r="F4" s="9">
        <f>Paramètres!G15&amp;" · "&amp;Paramètres!H15</f>
        <v/>
      </c>
      <c r="G4" s="9">
        <f>Paramètres!G32&amp;" · "&amp;Paramètres!H32</f>
        <v/>
      </c>
      <c r="H4" s="9">
        <f>Paramètres!G37&amp;" · "&amp;Paramètres!H37</f>
        <v/>
      </c>
      <c r="I4" s="9">
        <f>Paramètres!G56&amp;" · "&amp;Paramètres!H56</f>
        <v/>
      </c>
      <c r="J4" s="9" t="inlineStr">
        <is>
          <t>Global</t>
        </is>
      </c>
      <c r="K4" s="9" t="inlineStr">
        <is>
          <t>Étapes en retard</t>
        </is>
      </c>
    </row>
    <row r="5">
      <c r="A5" s="10">
        <f>IF(ISNUMBER(Dossiers!$D$4),HYPERLINK("#Suivi!A4",Dossiers!$E$4),"")</f>
        <v/>
      </c>
      <c r="B5" s="5">
        <f>IF($A5="","",Dossiers!$D$4)</f>
        <v/>
      </c>
      <c r="C5" s="5">
        <f>IF($A5="","",MAX(Suivi!$F$5:$F$57))</f>
        <v/>
      </c>
      <c r="D5" s="11">
        <f>IF($A5="","",(COUNTIF(Suivi!$G$6:$G$9,"Réalisé")+COUNTIF(Suivi!$G$6:$G$9,"Clôturé"))/ROWS(Suivi!$G$6:$G$9))</f>
        <v/>
      </c>
      <c r="E5" s="11">
        <f>IF($A5="","",(COUNTIF(Suivi!$G$11:$G$14,"Réalisé")+COUNTIF(Suivi!$G$11:$G$14,"Clôturé"))/ROWS(Suivi!$G$11:$G$14))</f>
        <v/>
      </c>
      <c r="F5" s="11">
        <f>IF($A5="","",(COUNTIF(Suivi!$G$16:$G$31,"Réalisé")+COUNTIF(Suivi!$G$16:$G$31,"Clôturé"))/ROWS(Suivi!$G$16:$G$31))</f>
        <v/>
      </c>
      <c r="G5" s="11">
        <f>IF($A5="","",(COUNTIF(Suivi!$G$33:$G$36,"Réalisé")+COUNTIF(Suivi!$G$33:$G$36,"Clôturé"))/ROWS(Suivi!$G$33:$G$36))</f>
        <v/>
      </c>
      <c r="H5" s="11">
        <f>IF($A5="","",(COUNTIF(Suivi!$G$38:$G$55,"Réalisé")+COUNTIF(Suivi!$G$38:$G$55,"Clôturé"))/ROWS(Suivi!$G$38:$G$55))</f>
        <v/>
      </c>
      <c r="I5" s="11">
        <f>IF($A5="","",(COUNTIF(Suivi!$G$57:$G$57,"Réalisé")+COUNTIF(Suivi!$G$57:$G$57,"Clôturé"))/ROWS(Suivi!$G$57:$G$57))</f>
        <v/>
      </c>
      <c r="J5" s="11">
        <f>IF($A5="","",SUMPRODUCT(ISNUMBER(SEARCH(".",Suivi!$B$5:$B$57))*((Suivi!$G$5:$G$57="Réalisé")+(Suivi!$G$5:$G$57="Clôturé")))/SUMPRODUCT(--ISNUMBER(SEARCH(".",Suivi!$B$5:$B$57))))</f>
        <v/>
      </c>
      <c r="K5">
        <f>IF($A5="","",SUMPRODUCT(ISNUMBER(SEARCH(".",Suivi!$B$5:$B$57))*ISNUMBER(Suivi!$F$5:$F$57)*(Suivi!$F$5:$F$57&lt;TODAY())*(Suivi!$G$5:$G$57&lt;&gt;"Réalisé")*(Suivi!$G$5:$G$57&lt;&gt;"Clôturé")))</f>
        <v/>
      </c>
    </row>
    <row r="6">
      <c r="A6" s="10">
        <f>IF(ISNUMBER(Dossiers!$D$5),HYPERLINK("#Suivi!A58",Dossiers!$E$5),"")</f>
        <v/>
      </c>
      <c r="B6" s="5">
        <f>IF($A6="","",Dossiers!$D$5)</f>
        <v/>
      </c>
      <c r="C6" s="5">
        <f>IF($A6="","",MAX(Suivi!$F$59:$F$111))</f>
        <v/>
      </c>
      <c r="D6" s="11">
        <f>IF($A6="","",(COUNTIF(Suivi!$G$60:$G$63,"Réalisé")+COUNTIF(Suivi!$G$60:$G$63,"Clôturé"))/ROWS(Suivi!$G$60:$G$63))</f>
        <v/>
      </c>
      <c r="E6" s="11">
        <f>IF($A6="","",(COUNTIF(Suivi!$G$65:$G$68,"Réalisé")+COUNTIF(Suivi!$G$65:$G$68,"Clôturé"))/ROWS(Suivi!$G$65:$G$68))</f>
        <v/>
      </c>
      <c r="F6" s="11">
        <f>IF($A6="","",(COUNTIF(Suivi!$G$70:$G$85,"Réalisé")+COUNTIF(Suivi!$G$70:$G$85,"Clôturé"))/ROWS(Suivi!$G$70:$G$85))</f>
        <v/>
      </c>
      <c r="G6" s="11">
        <f>IF($A6="","",(COUNTIF(Suivi!$G$87:$G$90,"Réalisé")+COUNTIF(Suivi!$G$87:$G$90,"Clôturé"))/ROWS(Suivi!$G$87:$G$90))</f>
        <v/>
      </c>
      <c r="H6" s="11">
        <f>IF($A6="","",(COUNTIF(Suivi!$G$92:$G$109,"Réalisé")+COUNTIF(Suivi!$G$92:$G$109,"Clôturé"))/ROWS(Suivi!$G$92:$G$109))</f>
        <v/>
      </c>
      <c r="I6" s="11">
        <f>IF($A6="","",(COUNTIF(Suivi!$G$111:$G$111,"Réalisé")+COUNTIF(Suivi!$G$111:$G$111,"Clôturé"))/ROWS(Suivi!$G$111:$G$111))</f>
        <v/>
      </c>
      <c r="J6" s="11">
        <f>IF($A6="","",SUMPRODUCT(ISNUMBER(SEARCH(".",Suivi!$B$59:$B$111))*((Suivi!$G$59:$G$111="Réalisé")+(Suivi!$G$59:$G$111="Clôturé")))/SUMPRODUCT(--ISNUMBER(SEARCH(".",Suivi!$B$59:$B$111))))</f>
        <v/>
      </c>
      <c r="K6">
        <f>IF($A6="","",SUMPRODUCT(ISNUMBER(SEARCH(".",Suivi!$B$59:$B$111))*ISNUMBER(Suivi!$F$59:$F$111)*(Suivi!$F$59:$F$111&lt;TODAY())*(Suivi!$G$59:$G$111&lt;&gt;"Réalisé")*(Suivi!$G$59:$G$111&lt;&gt;"Clôturé")))</f>
        <v/>
      </c>
    </row>
    <row r="7">
      <c r="A7" s="10">
        <f>IF(ISNUMBER(Dossiers!$D$6),HYPERLINK("#Suivi!A112",Dossiers!$E$6),"")</f>
        <v/>
      </c>
      <c r="B7" s="5">
        <f>IF($A7="","",Dossiers!$D$6)</f>
        <v/>
      </c>
      <c r="C7" s="5">
        <f>IF($A7="","",MAX(Suivi!$F$113:$F$165))</f>
        <v/>
      </c>
      <c r="D7" s="11">
        <f>IF($A7="","",(COUNTIF(Suivi!$G$114:$G$117,"Réalisé")+COUNTIF(Suivi!$G$114:$G$117,"Clôturé"))/ROWS(Suivi!$G$114:$G$117))</f>
        <v/>
      </c>
      <c r="E7" s="11">
        <f>IF($A7="","",(COUNTIF(Suivi!$G$119:$G$122,"Réalisé")+COUNTIF(Suivi!$G$119:$G$122,"Clôturé"))/ROWS(Suivi!$G$119:$G$122))</f>
        <v/>
      </c>
      <c r="F7" s="11">
        <f>IF($A7="","",(COUNTIF(Suivi!$G$124:$G$139,"Réalisé")+COUNTIF(Suivi!$G$124:$G$139,"Clôturé"))/ROWS(Suivi!$G$124:$G$139))</f>
        <v/>
      </c>
      <c r="G7" s="11">
        <f>IF($A7="","",(COUNTIF(Suivi!$G$141:$G$144,"Réalisé")+COUNTIF(Suivi!$G$141:$G$144,"Clôturé"))/ROWS(Suivi!$G$141:$G$144))</f>
        <v/>
      </c>
      <c r="H7" s="11">
        <f>IF($A7="","",(COUNTIF(Suivi!$G$146:$G$163,"Réalisé")+COUNTIF(Suivi!$G$146:$G$163,"Clôturé"))/ROWS(Suivi!$G$146:$G$163))</f>
        <v/>
      </c>
      <c r="I7" s="11">
        <f>IF($A7="","",(COUNTIF(Suivi!$G$165:$G$165,"Réalisé")+COUNTIF(Suivi!$G$165:$G$165,"Clôturé"))/ROWS(Suivi!$G$165:$G$165))</f>
        <v/>
      </c>
      <c r="J7" s="11">
        <f>IF($A7="","",SUMPRODUCT(ISNUMBER(SEARCH(".",Suivi!$B$113:$B$165))*((Suivi!$G$113:$G$165="Réalisé")+(Suivi!$G$113:$G$165="Clôturé")))/SUMPRODUCT(--ISNUMBER(SEARCH(".",Suivi!$B$113:$B$165))))</f>
        <v/>
      </c>
      <c r="K7">
        <f>IF($A7="","",SUMPRODUCT(ISNUMBER(SEARCH(".",Suivi!$B$113:$B$165))*ISNUMBER(Suivi!$F$113:$F$165)*(Suivi!$F$113:$F$165&lt;TODAY())*(Suivi!$G$113:$G$165&lt;&gt;"Réalisé")*(Suivi!$G$113:$G$165&lt;&gt;"Clôturé")))</f>
        <v/>
      </c>
    </row>
    <row r="8">
      <c r="A8" s="10">
        <f>IF(ISNUMBER(Dossiers!$D$7),HYPERLINK("#Suivi!A166",Dossiers!$E$7),"")</f>
        <v/>
      </c>
      <c r="B8" s="5">
        <f>IF($A8="","",Dossiers!$D$7)</f>
        <v/>
      </c>
      <c r="C8" s="5">
        <f>IF($A8="","",MAX(Suivi!$F$167:$F$219))</f>
        <v/>
      </c>
      <c r="D8" s="11">
        <f>IF($A8="","",(COUNTIF(Suivi!$G$168:$G$171,"Réalisé")+COUNTIF(Suivi!$G$168:$G$171,"Clôturé"))/ROWS(Suivi!$G$168:$G$171))</f>
        <v/>
      </c>
      <c r="E8" s="11">
        <f>IF($A8="","",(COUNTIF(Suivi!$G$173:$G$176,"Réalisé")+COUNTIF(Suivi!$G$173:$G$176,"Clôturé"))/ROWS(Suivi!$G$173:$G$176))</f>
        <v/>
      </c>
      <c r="F8" s="11">
        <f>IF($A8="","",(COUNTIF(Suivi!$G$178:$G$193,"Réalisé")+COUNTIF(Suivi!$G$178:$G$193,"Clôturé"))/ROWS(Suivi!$G$178:$G$193))</f>
        <v/>
      </c>
      <c r="G8" s="11">
        <f>IF($A8="","",(COUNTIF(Suivi!$G$195:$G$198,"Réalisé")+COUNTIF(Suivi!$G$195:$G$198,"Clôturé"))/ROWS(Suivi!$G$195:$G$198))</f>
        <v/>
      </c>
      <c r="H8" s="11">
        <f>IF($A8="","",(COUNTIF(Suivi!$G$200:$G$217,"Réalisé")+COUNTIF(Suivi!$G$200:$G$217,"Clôturé"))/ROWS(Suivi!$G$200:$G$217))</f>
        <v/>
      </c>
      <c r="I8" s="11">
        <f>IF($A8="","",(COUNTIF(Suivi!$G$219:$G$219,"Réalisé")+COUNTIF(Suivi!$G$219:$G$219,"Clôturé"))/ROWS(Suivi!$G$219:$G$219))</f>
        <v/>
      </c>
      <c r="J8" s="11">
        <f>IF($A8="","",SUMPRODUCT(ISNUMBER(SEARCH(".",Suivi!$B$167:$B$219))*((Suivi!$G$167:$G$219="Réalisé")+(Suivi!$G$167:$G$219="Clôturé")))/SUMPRODUCT(--ISNUMBER(SEARCH(".",Suivi!$B$167:$B$219))))</f>
        <v/>
      </c>
      <c r="K8">
        <f>IF($A8="","",SUMPRODUCT(ISNUMBER(SEARCH(".",Suivi!$B$167:$B$219))*ISNUMBER(Suivi!$F$167:$F$219)*(Suivi!$F$167:$F$219&lt;TODAY())*(Suivi!$G$167:$G$219&lt;&gt;"Réalisé")*(Suivi!$G$167:$G$219&lt;&gt;"Clôturé")))</f>
        <v/>
      </c>
    </row>
    <row r="9">
      <c r="A9" s="10">
        <f>IF(ISNUMBER(Dossiers!$D$8),HYPERLINK("#Suivi!A220",Dossiers!$E$8),"")</f>
        <v/>
      </c>
      <c r="B9" s="5">
        <f>IF($A9="","",Dossiers!$D$8)</f>
        <v/>
      </c>
      <c r="C9" s="5">
        <f>IF($A9="","",MAX(Suivi!$F$221:$F$273))</f>
        <v/>
      </c>
      <c r="D9" s="11">
        <f>IF($A9="","",(COUNTIF(Suivi!$G$222:$G$225,"Réalisé")+COUNTIF(Suivi!$G$222:$G$225,"Clôturé"))/ROWS(Suivi!$G$222:$G$225))</f>
        <v/>
      </c>
      <c r="E9" s="11">
        <f>IF($A9="","",(COUNTIF(Suivi!$G$227:$G$230,"Réalisé")+COUNTIF(Suivi!$G$227:$G$230,"Clôturé"))/ROWS(Suivi!$G$227:$G$230))</f>
        <v/>
      </c>
      <c r="F9" s="11">
        <f>IF($A9="","",(COUNTIF(Suivi!$G$232:$G$247,"Réalisé")+COUNTIF(Suivi!$G$232:$G$247,"Clôturé"))/ROWS(Suivi!$G$232:$G$247))</f>
        <v/>
      </c>
      <c r="G9" s="11">
        <f>IF($A9="","",(COUNTIF(Suivi!$G$249:$G$252,"Réalisé")+COUNTIF(Suivi!$G$249:$G$252,"Clôturé"))/ROWS(Suivi!$G$249:$G$252))</f>
        <v/>
      </c>
      <c r="H9" s="11">
        <f>IF($A9="","",(COUNTIF(Suivi!$G$254:$G$271,"Réalisé")+COUNTIF(Suivi!$G$254:$G$271,"Clôturé"))/ROWS(Suivi!$G$254:$G$271))</f>
        <v/>
      </c>
      <c r="I9" s="11">
        <f>IF($A9="","",(COUNTIF(Suivi!$G$273:$G$273,"Réalisé")+COUNTIF(Suivi!$G$273:$G$273,"Clôturé"))/ROWS(Suivi!$G$273:$G$273))</f>
        <v/>
      </c>
      <c r="J9" s="11">
        <f>IF($A9="","",SUMPRODUCT(ISNUMBER(SEARCH(".",Suivi!$B$221:$B$273))*((Suivi!$G$221:$G$273="Réalisé")+(Suivi!$G$221:$G$273="Clôturé")))/SUMPRODUCT(--ISNUMBER(SEARCH(".",Suivi!$B$221:$B$273))))</f>
        <v/>
      </c>
      <c r="K9">
        <f>IF($A9="","",SUMPRODUCT(ISNUMBER(SEARCH(".",Suivi!$B$221:$B$273))*ISNUMBER(Suivi!$F$221:$F$273)*(Suivi!$F$221:$F$273&lt;TODAY())*(Suivi!$G$221:$G$273&lt;&gt;"Réalisé")*(Suivi!$G$221:$G$273&lt;&gt;"Clôturé")))</f>
        <v/>
      </c>
    </row>
    <row r="10">
      <c r="A10" s="10">
        <f>IF(ISNUMBER(Dossiers!$D$9),HYPERLINK("#Suivi!A274",Dossiers!$E$9),"")</f>
        <v/>
      </c>
      <c r="B10" s="5">
        <f>IF($A10="","",Dossiers!$D$9)</f>
        <v/>
      </c>
      <c r="C10" s="5">
        <f>IF($A10="","",MAX(Suivi!$F$275:$F$327))</f>
        <v/>
      </c>
      <c r="D10" s="11">
        <f>IF($A10="","",(COUNTIF(Suivi!$G$276:$G$279,"Réalisé")+COUNTIF(Suivi!$G$276:$G$279,"Clôturé"))/ROWS(Suivi!$G$276:$G$279))</f>
        <v/>
      </c>
      <c r="E10" s="11">
        <f>IF($A10="","",(COUNTIF(Suivi!$G$281:$G$284,"Réalisé")+COUNTIF(Suivi!$G$281:$G$284,"Clôturé"))/ROWS(Suivi!$G$281:$G$284))</f>
        <v/>
      </c>
      <c r="F10" s="11">
        <f>IF($A10="","",(COUNTIF(Suivi!$G$286:$G$301,"Réalisé")+COUNTIF(Suivi!$G$286:$G$301,"Clôturé"))/ROWS(Suivi!$G$286:$G$301))</f>
        <v/>
      </c>
      <c r="G10" s="11">
        <f>IF($A10="","",(COUNTIF(Suivi!$G$303:$G$306,"Réalisé")+COUNTIF(Suivi!$G$303:$G$306,"Clôturé"))/ROWS(Suivi!$G$303:$G$306))</f>
        <v/>
      </c>
      <c r="H10" s="11">
        <f>IF($A10="","",(COUNTIF(Suivi!$G$308:$G$325,"Réalisé")+COUNTIF(Suivi!$G$308:$G$325,"Clôturé"))/ROWS(Suivi!$G$308:$G$325))</f>
        <v/>
      </c>
      <c r="I10" s="11">
        <f>IF($A10="","",(COUNTIF(Suivi!$G$327:$G$327,"Réalisé")+COUNTIF(Suivi!$G$327:$G$327,"Clôturé"))/ROWS(Suivi!$G$327:$G$327))</f>
        <v/>
      </c>
      <c r="J10" s="11">
        <f>IF($A10="","",SUMPRODUCT(ISNUMBER(SEARCH(".",Suivi!$B$275:$B$327))*((Suivi!$G$275:$G$327="Réalisé")+(Suivi!$G$275:$G$327="Clôturé")))/SUMPRODUCT(--ISNUMBER(SEARCH(".",Suivi!$B$275:$B$327))))</f>
        <v/>
      </c>
      <c r="K10">
        <f>IF($A10="","",SUMPRODUCT(ISNUMBER(SEARCH(".",Suivi!$B$275:$B$327))*ISNUMBER(Suivi!$F$275:$F$327)*(Suivi!$F$275:$F$327&lt;TODAY())*(Suivi!$G$275:$G$327&lt;&gt;"Réalisé")*(Suivi!$G$275:$G$327&lt;&gt;"Clôturé")))</f>
        <v/>
      </c>
    </row>
    <row r="11">
      <c r="A11" s="10">
        <f>IF(ISNUMBER(Dossiers!$D$10),HYPERLINK("#Suivi!A328",Dossiers!$E$10),"")</f>
        <v/>
      </c>
      <c r="B11" s="5">
        <f>IF($A11="","",Dossiers!$D$10)</f>
        <v/>
      </c>
      <c r="C11" s="5">
        <f>IF($A11="","",MAX(Suivi!$F$329:$F$381))</f>
        <v/>
      </c>
      <c r="D11" s="11">
        <f>IF($A11="","",(COUNTIF(Suivi!$G$330:$G$333,"Réalisé")+COUNTIF(Suivi!$G$330:$G$333,"Clôturé"))/ROWS(Suivi!$G$330:$G$333))</f>
        <v/>
      </c>
      <c r="E11" s="11">
        <f>IF($A11="","",(COUNTIF(Suivi!$G$335:$G$338,"Réalisé")+COUNTIF(Suivi!$G$335:$G$338,"Clôturé"))/ROWS(Suivi!$G$335:$G$338))</f>
        <v/>
      </c>
      <c r="F11" s="11">
        <f>IF($A11="","",(COUNTIF(Suivi!$G$340:$G$355,"Réalisé")+COUNTIF(Suivi!$G$340:$G$355,"Clôturé"))/ROWS(Suivi!$G$340:$G$355))</f>
        <v/>
      </c>
      <c r="G11" s="11">
        <f>IF($A11="","",(COUNTIF(Suivi!$G$357:$G$360,"Réalisé")+COUNTIF(Suivi!$G$357:$G$360,"Clôturé"))/ROWS(Suivi!$G$357:$G$360))</f>
        <v/>
      </c>
      <c r="H11" s="11">
        <f>IF($A11="","",(COUNTIF(Suivi!$G$362:$G$379,"Réalisé")+COUNTIF(Suivi!$G$362:$G$379,"Clôturé"))/ROWS(Suivi!$G$362:$G$379))</f>
        <v/>
      </c>
      <c r="I11" s="11">
        <f>IF($A11="","",(COUNTIF(Suivi!$G$381:$G$381,"Réalisé")+COUNTIF(Suivi!$G$381:$G$381,"Clôturé"))/ROWS(Suivi!$G$381:$G$381))</f>
        <v/>
      </c>
      <c r="J11" s="11">
        <f>IF($A11="","",SUMPRODUCT(ISNUMBER(SEARCH(".",Suivi!$B$329:$B$381))*((Suivi!$G$329:$G$381="Réalisé")+(Suivi!$G$329:$G$381="Clôturé")))/SUMPRODUCT(--ISNUMBER(SEARCH(".",Suivi!$B$329:$B$381))))</f>
        <v/>
      </c>
      <c r="K11">
        <f>IF($A11="","",SUMPRODUCT(ISNUMBER(SEARCH(".",Suivi!$B$329:$B$381))*ISNUMBER(Suivi!$F$329:$F$381)*(Suivi!$F$329:$F$381&lt;TODAY())*(Suivi!$G$329:$G$381&lt;&gt;"Réalisé")*(Suivi!$G$329:$G$381&lt;&gt;"Clôturé")))</f>
        <v/>
      </c>
    </row>
    <row r="12">
      <c r="A12" s="10">
        <f>IF(ISNUMBER(Dossiers!$D$11),HYPERLINK("#Suivi!A382",Dossiers!$E$11),"")</f>
        <v/>
      </c>
      <c r="B12" s="5">
        <f>IF($A12="","",Dossiers!$D$11)</f>
        <v/>
      </c>
      <c r="C12" s="5">
        <f>IF($A12="","",MAX(Suivi!$F$383:$F$435))</f>
        <v/>
      </c>
      <c r="D12" s="11">
        <f>IF($A12="","",(COUNTIF(Suivi!$G$384:$G$387,"Réalisé")+COUNTIF(Suivi!$G$384:$G$387,"Clôturé"))/ROWS(Suivi!$G$384:$G$387))</f>
        <v/>
      </c>
      <c r="E12" s="11">
        <f>IF($A12="","",(COUNTIF(Suivi!$G$389:$G$392,"Réalisé")+COUNTIF(Suivi!$G$389:$G$392,"Clôturé"))/ROWS(Suivi!$G$389:$G$392))</f>
        <v/>
      </c>
      <c r="F12" s="11">
        <f>IF($A12="","",(COUNTIF(Suivi!$G$394:$G$409,"Réalisé")+COUNTIF(Suivi!$G$394:$G$409,"Clôturé"))/ROWS(Suivi!$G$394:$G$409))</f>
        <v/>
      </c>
      <c r="G12" s="11">
        <f>IF($A12="","",(COUNTIF(Suivi!$G$411:$G$414,"Réalisé")+COUNTIF(Suivi!$G$411:$G$414,"Clôturé"))/ROWS(Suivi!$G$411:$G$414))</f>
        <v/>
      </c>
      <c r="H12" s="11">
        <f>IF($A12="","",(COUNTIF(Suivi!$G$416:$G$433,"Réalisé")+COUNTIF(Suivi!$G$416:$G$433,"Clôturé"))/ROWS(Suivi!$G$416:$G$433))</f>
        <v/>
      </c>
      <c r="I12" s="11">
        <f>IF($A12="","",(COUNTIF(Suivi!$G$435:$G$435,"Réalisé")+COUNTIF(Suivi!$G$435:$G$435,"Clôturé"))/ROWS(Suivi!$G$435:$G$435))</f>
        <v/>
      </c>
      <c r="J12" s="11">
        <f>IF($A12="","",SUMPRODUCT(ISNUMBER(SEARCH(".",Suivi!$B$383:$B$435))*((Suivi!$G$383:$G$435="Réalisé")+(Suivi!$G$383:$G$435="Clôturé")))/SUMPRODUCT(--ISNUMBER(SEARCH(".",Suivi!$B$383:$B$435))))</f>
        <v/>
      </c>
      <c r="K12">
        <f>IF($A12="","",SUMPRODUCT(ISNUMBER(SEARCH(".",Suivi!$B$383:$B$435))*ISNUMBER(Suivi!$F$383:$F$435)*(Suivi!$F$383:$F$435&lt;TODAY())*(Suivi!$G$383:$G$435&lt;&gt;"Réalisé")*(Suivi!$G$383:$G$435&lt;&gt;"Clôturé")))</f>
        <v/>
      </c>
    </row>
    <row r="13">
      <c r="A13" s="10">
        <f>IF(ISNUMBER(Dossiers!$D$12),HYPERLINK("#Suivi!A436",Dossiers!$E$12),"")</f>
        <v/>
      </c>
      <c r="B13" s="5">
        <f>IF($A13="","",Dossiers!$D$12)</f>
        <v/>
      </c>
      <c r="C13" s="5">
        <f>IF($A13="","",MAX(Suivi!$F$437:$F$489))</f>
        <v/>
      </c>
      <c r="D13" s="11">
        <f>IF($A13="","",(COUNTIF(Suivi!$G$438:$G$441,"Réalisé")+COUNTIF(Suivi!$G$438:$G$441,"Clôturé"))/ROWS(Suivi!$G$438:$G$441))</f>
        <v/>
      </c>
      <c r="E13" s="11">
        <f>IF($A13="","",(COUNTIF(Suivi!$G$443:$G$446,"Réalisé")+COUNTIF(Suivi!$G$443:$G$446,"Clôturé"))/ROWS(Suivi!$G$443:$G$446))</f>
        <v/>
      </c>
      <c r="F13" s="11">
        <f>IF($A13="","",(COUNTIF(Suivi!$G$448:$G$463,"Réalisé")+COUNTIF(Suivi!$G$448:$G$463,"Clôturé"))/ROWS(Suivi!$G$448:$G$463))</f>
        <v/>
      </c>
      <c r="G13" s="11">
        <f>IF($A13="","",(COUNTIF(Suivi!$G$465:$G$468,"Réalisé")+COUNTIF(Suivi!$G$465:$G$468,"Clôturé"))/ROWS(Suivi!$G$465:$G$468))</f>
        <v/>
      </c>
      <c r="H13" s="11">
        <f>IF($A13="","",(COUNTIF(Suivi!$G$470:$G$487,"Réalisé")+COUNTIF(Suivi!$G$470:$G$487,"Clôturé"))/ROWS(Suivi!$G$470:$G$487))</f>
        <v/>
      </c>
      <c r="I13" s="11">
        <f>IF($A13="","",(COUNTIF(Suivi!$G$489:$G$489,"Réalisé")+COUNTIF(Suivi!$G$489:$G$489,"Clôturé"))/ROWS(Suivi!$G$489:$G$489))</f>
        <v/>
      </c>
      <c r="J13" s="11">
        <f>IF($A13="","",SUMPRODUCT(ISNUMBER(SEARCH(".",Suivi!$B$437:$B$489))*((Suivi!$G$437:$G$489="Réalisé")+(Suivi!$G$437:$G$489="Clôturé")))/SUMPRODUCT(--ISNUMBER(SEARCH(".",Suivi!$B$437:$B$489))))</f>
        <v/>
      </c>
      <c r="K13">
        <f>IF($A13="","",SUMPRODUCT(ISNUMBER(SEARCH(".",Suivi!$B$437:$B$489))*ISNUMBER(Suivi!$F$437:$F$489)*(Suivi!$F$437:$F$489&lt;TODAY())*(Suivi!$G$437:$G$489&lt;&gt;"Réalisé")*(Suivi!$G$437:$G$489&lt;&gt;"Clôturé")))</f>
        <v/>
      </c>
    </row>
    <row r="14">
      <c r="A14" s="10">
        <f>IF(ISNUMBER(Dossiers!$D$13),HYPERLINK("#Suivi!A490",Dossiers!$E$13),"")</f>
        <v/>
      </c>
      <c r="B14" s="5">
        <f>IF($A14="","",Dossiers!$D$13)</f>
        <v/>
      </c>
      <c r="C14" s="5">
        <f>IF($A14="","",MAX(Suivi!$F$491:$F$543))</f>
        <v/>
      </c>
      <c r="D14" s="11">
        <f>IF($A14="","",(COUNTIF(Suivi!$G$492:$G$495,"Réalisé")+COUNTIF(Suivi!$G$492:$G$495,"Clôturé"))/ROWS(Suivi!$G$492:$G$495))</f>
        <v/>
      </c>
      <c r="E14" s="11">
        <f>IF($A14="","",(COUNTIF(Suivi!$G$497:$G$500,"Réalisé")+COUNTIF(Suivi!$G$497:$G$500,"Clôturé"))/ROWS(Suivi!$G$497:$G$500))</f>
        <v/>
      </c>
      <c r="F14" s="11">
        <f>IF($A14="","",(COUNTIF(Suivi!$G$502:$G$517,"Réalisé")+COUNTIF(Suivi!$G$502:$G$517,"Clôturé"))/ROWS(Suivi!$G$502:$G$517))</f>
        <v/>
      </c>
      <c r="G14" s="11">
        <f>IF($A14="","",(COUNTIF(Suivi!$G$519:$G$522,"Réalisé")+COUNTIF(Suivi!$G$519:$G$522,"Clôturé"))/ROWS(Suivi!$G$519:$G$522))</f>
        <v/>
      </c>
      <c r="H14" s="11">
        <f>IF($A14="","",(COUNTIF(Suivi!$G$524:$G$541,"Réalisé")+COUNTIF(Suivi!$G$524:$G$541,"Clôturé"))/ROWS(Suivi!$G$524:$G$541))</f>
        <v/>
      </c>
      <c r="I14" s="11">
        <f>IF($A14="","",(COUNTIF(Suivi!$G$543:$G$543,"Réalisé")+COUNTIF(Suivi!$G$543:$G$543,"Clôturé"))/ROWS(Suivi!$G$543:$G$543))</f>
        <v/>
      </c>
      <c r="J14" s="11">
        <f>IF($A14="","",SUMPRODUCT(ISNUMBER(SEARCH(".",Suivi!$B$491:$B$543))*((Suivi!$G$491:$G$543="Réalisé")+(Suivi!$G$491:$G$543="Clôturé")))/SUMPRODUCT(--ISNUMBER(SEARCH(".",Suivi!$B$491:$B$543))))</f>
        <v/>
      </c>
      <c r="K14">
        <f>IF($A14="","",SUMPRODUCT(ISNUMBER(SEARCH(".",Suivi!$B$491:$B$543))*ISNUMBER(Suivi!$F$491:$F$543)*(Suivi!$F$491:$F$543&lt;TODAY())*(Suivi!$G$491:$G$543&lt;&gt;"Réalisé")*(Suivi!$G$491:$G$543&lt;&gt;"Clôturé")))</f>
        <v/>
      </c>
    </row>
    <row r="15">
      <c r="A15" s="10">
        <f>IF(ISNUMBER(Dossiers!$D$14),HYPERLINK("#Suivi!A544",Dossiers!$E$14),"")</f>
        <v/>
      </c>
      <c r="B15" s="5">
        <f>IF($A15="","",Dossiers!$D$14)</f>
        <v/>
      </c>
      <c r="C15" s="5">
        <f>IF($A15="","",MAX(Suivi!$F$545:$F$597))</f>
        <v/>
      </c>
      <c r="D15" s="11">
        <f>IF($A15="","",(COUNTIF(Suivi!$G$546:$G$549,"Réalisé")+COUNTIF(Suivi!$G$546:$G$549,"Clôturé"))/ROWS(Suivi!$G$546:$G$549))</f>
        <v/>
      </c>
      <c r="E15" s="11">
        <f>IF($A15="","",(COUNTIF(Suivi!$G$551:$G$554,"Réalisé")+COUNTIF(Suivi!$G$551:$G$554,"Clôturé"))/ROWS(Suivi!$G$551:$G$554))</f>
        <v/>
      </c>
      <c r="F15" s="11">
        <f>IF($A15="","",(COUNTIF(Suivi!$G$556:$G$571,"Réalisé")+COUNTIF(Suivi!$G$556:$G$571,"Clôturé"))/ROWS(Suivi!$G$556:$G$571))</f>
        <v/>
      </c>
      <c r="G15" s="11">
        <f>IF($A15="","",(COUNTIF(Suivi!$G$573:$G$576,"Réalisé")+COUNTIF(Suivi!$G$573:$G$576,"Clôturé"))/ROWS(Suivi!$G$573:$G$576))</f>
        <v/>
      </c>
      <c r="H15" s="11">
        <f>IF($A15="","",(COUNTIF(Suivi!$G$578:$G$595,"Réalisé")+COUNTIF(Suivi!$G$578:$G$595,"Clôturé"))/ROWS(Suivi!$G$578:$G$595))</f>
        <v/>
      </c>
      <c r="I15" s="11">
        <f>IF($A15="","",(COUNTIF(Suivi!$G$597:$G$597,"Réalisé")+COUNTIF(Suivi!$G$597:$G$597,"Clôturé"))/ROWS(Suivi!$G$597:$G$597))</f>
        <v/>
      </c>
      <c r="J15" s="11">
        <f>IF($A15="","",SUMPRODUCT(ISNUMBER(SEARCH(".",Suivi!$B$545:$B$597))*((Suivi!$G$545:$G$597="Réalisé")+(Suivi!$G$545:$G$597="Clôturé")))/SUMPRODUCT(--ISNUMBER(SEARCH(".",Suivi!$B$545:$B$597))))</f>
        <v/>
      </c>
      <c r="K15">
        <f>IF($A15="","",SUMPRODUCT(ISNUMBER(SEARCH(".",Suivi!$B$545:$B$597))*ISNUMBER(Suivi!$F$545:$F$597)*(Suivi!$F$545:$F$597&lt;TODAY())*(Suivi!$G$545:$G$597&lt;&gt;"Réalisé")*(Suivi!$G$545:$G$597&lt;&gt;"Clôturé")))</f>
        <v/>
      </c>
    </row>
    <row r="16">
      <c r="A16" s="10">
        <f>IF(ISNUMBER(Dossiers!$D$15),HYPERLINK("#Suivi!A598",Dossiers!$E$15),"")</f>
        <v/>
      </c>
      <c r="B16" s="5">
        <f>IF($A16="","",Dossiers!$D$15)</f>
        <v/>
      </c>
      <c r="C16" s="5">
        <f>IF($A16="","",MAX(Suivi!$F$599:$F$651))</f>
        <v/>
      </c>
      <c r="D16" s="11">
        <f>IF($A16="","",(COUNTIF(Suivi!$G$600:$G$603,"Réalisé")+COUNTIF(Suivi!$G$600:$G$603,"Clôturé"))/ROWS(Suivi!$G$600:$G$603))</f>
        <v/>
      </c>
      <c r="E16" s="11">
        <f>IF($A16="","",(COUNTIF(Suivi!$G$605:$G$608,"Réalisé")+COUNTIF(Suivi!$G$605:$G$608,"Clôturé"))/ROWS(Suivi!$G$605:$G$608))</f>
        <v/>
      </c>
      <c r="F16" s="11">
        <f>IF($A16="","",(COUNTIF(Suivi!$G$610:$G$625,"Réalisé")+COUNTIF(Suivi!$G$610:$G$625,"Clôturé"))/ROWS(Suivi!$G$610:$G$625))</f>
        <v/>
      </c>
      <c r="G16" s="11">
        <f>IF($A16="","",(COUNTIF(Suivi!$G$627:$G$630,"Réalisé")+COUNTIF(Suivi!$G$627:$G$630,"Clôturé"))/ROWS(Suivi!$G$627:$G$630))</f>
        <v/>
      </c>
      <c r="H16" s="11">
        <f>IF($A16="","",(COUNTIF(Suivi!$G$632:$G$649,"Réalisé")+COUNTIF(Suivi!$G$632:$G$649,"Clôturé"))/ROWS(Suivi!$G$632:$G$649))</f>
        <v/>
      </c>
      <c r="I16" s="11">
        <f>IF($A16="","",(COUNTIF(Suivi!$G$651:$G$651,"Réalisé")+COUNTIF(Suivi!$G$651:$G$651,"Clôturé"))/ROWS(Suivi!$G$651:$G$651))</f>
        <v/>
      </c>
      <c r="J16" s="11">
        <f>IF($A16="","",SUMPRODUCT(ISNUMBER(SEARCH(".",Suivi!$B$599:$B$651))*((Suivi!$G$599:$G$651="Réalisé")+(Suivi!$G$599:$G$651="Clôturé")))/SUMPRODUCT(--ISNUMBER(SEARCH(".",Suivi!$B$599:$B$651))))</f>
        <v/>
      </c>
      <c r="K16">
        <f>IF($A16="","",SUMPRODUCT(ISNUMBER(SEARCH(".",Suivi!$B$599:$B$651))*ISNUMBER(Suivi!$F$599:$F$651)*(Suivi!$F$599:$F$651&lt;TODAY())*(Suivi!$G$599:$G$651&lt;&gt;"Réalisé")*(Suivi!$G$599:$G$651&lt;&gt;"Clôturé")))</f>
        <v/>
      </c>
    </row>
    <row r="17">
      <c r="A17" s="10">
        <f>IF(ISNUMBER(Dossiers!$D$16),HYPERLINK("#Suivi!A652",Dossiers!$E$16),"")</f>
        <v/>
      </c>
      <c r="B17" s="5">
        <f>IF($A17="","",Dossiers!$D$16)</f>
        <v/>
      </c>
      <c r="C17" s="5">
        <f>IF($A17="","",MAX(Suivi!$F$653:$F$705))</f>
        <v/>
      </c>
      <c r="D17" s="11">
        <f>IF($A17="","",(COUNTIF(Suivi!$G$654:$G$657,"Réalisé")+COUNTIF(Suivi!$G$654:$G$657,"Clôturé"))/ROWS(Suivi!$G$654:$G$657))</f>
        <v/>
      </c>
      <c r="E17" s="11">
        <f>IF($A17="","",(COUNTIF(Suivi!$G$659:$G$662,"Réalisé")+COUNTIF(Suivi!$G$659:$G$662,"Clôturé"))/ROWS(Suivi!$G$659:$G$662))</f>
        <v/>
      </c>
      <c r="F17" s="11">
        <f>IF($A17="","",(COUNTIF(Suivi!$G$664:$G$679,"Réalisé")+COUNTIF(Suivi!$G$664:$G$679,"Clôturé"))/ROWS(Suivi!$G$664:$G$679))</f>
        <v/>
      </c>
      <c r="G17" s="11">
        <f>IF($A17="","",(COUNTIF(Suivi!$G$681:$G$684,"Réalisé")+COUNTIF(Suivi!$G$681:$G$684,"Clôturé"))/ROWS(Suivi!$G$681:$G$684))</f>
        <v/>
      </c>
      <c r="H17" s="11">
        <f>IF($A17="","",(COUNTIF(Suivi!$G$686:$G$703,"Réalisé")+COUNTIF(Suivi!$G$686:$G$703,"Clôturé"))/ROWS(Suivi!$G$686:$G$703))</f>
        <v/>
      </c>
      <c r="I17" s="11">
        <f>IF($A17="","",(COUNTIF(Suivi!$G$705:$G$705,"Réalisé")+COUNTIF(Suivi!$G$705:$G$705,"Clôturé"))/ROWS(Suivi!$G$705:$G$705))</f>
        <v/>
      </c>
      <c r="J17" s="11">
        <f>IF($A17="","",SUMPRODUCT(ISNUMBER(SEARCH(".",Suivi!$B$653:$B$705))*((Suivi!$G$653:$G$705="Réalisé")+(Suivi!$G$653:$G$705="Clôturé")))/SUMPRODUCT(--ISNUMBER(SEARCH(".",Suivi!$B$653:$B$705))))</f>
        <v/>
      </c>
      <c r="K17">
        <f>IF($A17="","",SUMPRODUCT(ISNUMBER(SEARCH(".",Suivi!$B$653:$B$705))*ISNUMBER(Suivi!$F$653:$F$705)*(Suivi!$F$653:$F$705&lt;TODAY())*(Suivi!$G$653:$G$705&lt;&gt;"Réalisé")*(Suivi!$G$653:$G$705&lt;&gt;"Clôturé")))</f>
        <v/>
      </c>
    </row>
    <row r="18">
      <c r="A18" s="10">
        <f>IF(ISNUMBER(Dossiers!$D$17),HYPERLINK("#Suivi!A706",Dossiers!$E$17),"")</f>
        <v/>
      </c>
      <c r="B18" s="5">
        <f>IF($A18="","",Dossiers!$D$17)</f>
        <v/>
      </c>
      <c r="C18" s="5">
        <f>IF($A18="","",MAX(Suivi!$F$707:$F$759))</f>
        <v/>
      </c>
      <c r="D18" s="11">
        <f>IF($A18="","",(COUNTIF(Suivi!$G$708:$G$711,"Réalisé")+COUNTIF(Suivi!$G$708:$G$711,"Clôturé"))/ROWS(Suivi!$G$708:$G$711))</f>
        <v/>
      </c>
      <c r="E18" s="11">
        <f>IF($A18="","",(COUNTIF(Suivi!$G$713:$G$716,"Réalisé")+COUNTIF(Suivi!$G$713:$G$716,"Clôturé"))/ROWS(Suivi!$G$713:$G$716))</f>
        <v/>
      </c>
      <c r="F18" s="11">
        <f>IF($A18="","",(COUNTIF(Suivi!$G$718:$G$733,"Réalisé")+COUNTIF(Suivi!$G$718:$G$733,"Clôturé"))/ROWS(Suivi!$G$718:$G$733))</f>
        <v/>
      </c>
      <c r="G18" s="11">
        <f>IF($A18="","",(COUNTIF(Suivi!$G$735:$G$738,"Réalisé")+COUNTIF(Suivi!$G$735:$G$738,"Clôturé"))/ROWS(Suivi!$G$735:$G$738))</f>
        <v/>
      </c>
      <c r="H18" s="11">
        <f>IF($A18="","",(COUNTIF(Suivi!$G$740:$G$757,"Réalisé")+COUNTIF(Suivi!$G$740:$G$757,"Clôturé"))/ROWS(Suivi!$G$740:$G$757))</f>
        <v/>
      </c>
      <c r="I18" s="11">
        <f>IF($A18="","",(COUNTIF(Suivi!$G$759:$G$759,"Réalisé")+COUNTIF(Suivi!$G$759:$G$759,"Clôturé"))/ROWS(Suivi!$G$759:$G$759))</f>
        <v/>
      </c>
      <c r="J18" s="11">
        <f>IF($A18="","",SUMPRODUCT(ISNUMBER(SEARCH(".",Suivi!$B$707:$B$759))*((Suivi!$G$707:$G$759="Réalisé")+(Suivi!$G$707:$G$759="Clôturé")))/SUMPRODUCT(--ISNUMBER(SEARCH(".",Suivi!$B$707:$B$759))))</f>
        <v/>
      </c>
      <c r="K18">
        <f>IF($A18="","",SUMPRODUCT(ISNUMBER(SEARCH(".",Suivi!$B$707:$B$759))*ISNUMBER(Suivi!$F$707:$F$759)*(Suivi!$F$707:$F$759&lt;TODAY())*(Suivi!$G$707:$G$759&lt;&gt;"Réalisé")*(Suivi!$G$707:$G$759&lt;&gt;"Clôturé")))</f>
        <v/>
      </c>
    </row>
    <row r="19">
      <c r="A19" s="10">
        <f>IF(ISNUMBER(Dossiers!$D$18),HYPERLINK("#Suivi!A760",Dossiers!$E$18),"")</f>
        <v/>
      </c>
      <c r="B19" s="5">
        <f>IF($A19="","",Dossiers!$D$18)</f>
        <v/>
      </c>
      <c r="C19" s="5">
        <f>IF($A19="","",MAX(Suivi!$F$761:$F$813))</f>
        <v/>
      </c>
      <c r="D19" s="11">
        <f>IF($A19="","",(COUNTIF(Suivi!$G$762:$G$765,"Réalisé")+COUNTIF(Suivi!$G$762:$G$765,"Clôturé"))/ROWS(Suivi!$G$762:$G$765))</f>
        <v/>
      </c>
      <c r="E19" s="11">
        <f>IF($A19="","",(COUNTIF(Suivi!$G$767:$G$770,"Réalisé")+COUNTIF(Suivi!$G$767:$G$770,"Clôturé"))/ROWS(Suivi!$G$767:$G$770))</f>
        <v/>
      </c>
      <c r="F19" s="11">
        <f>IF($A19="","",(COUNTIF(Suivi!$G$772:$G$787,"Réalisé")+COUNTIF(Suivi!$G$772:$G$787,"Clôturé"))/ROWS(Suivi!$G$772:$G$787))</f>
        <v/>
      </c>
      <c r="G19" s="11">
        <f>IF($A19="","",(COUNTIF(Suivi!$G$789:$G$792,"Réalisé")+COUNTIF(Suivi!$G$789:$G$792,"Clôturé"))/ROWS(Suivi!$G$789:$G$792))</f>
        <v/>
      </c>
      <c r="H19" s="11">
        <f>IF($A19="","",(COUNTIF(Suivi!$G$794:$G$811,"Réalisé")+COUNTIF(Suivi!$G$794:$G$811,"Clôturé"))/ROWS(Suivi!$G$794:$G$811))</f>
        <v/>
      </c>
      <c r="I19" s="11">
        <f>IF($A19="","",(COUNTIF(Suivi!$G$813:$G$813,"Réalisé")+COUNTIF(Suivi!$G$813:$G$813,"Clôturé"))/ROWS(Suivi!$G$813:$G$813))</f>
        <v/>
      </c>
      <c r="J19" s="11">
        <f>IF($A19="","",SUMPRODUCT(ISNUMBER(SEARCH(".",Suivi!$B$761:$B$813))*((Suivi!$G$761:$G$813="Réalisé")+(Suivi!$G$761:$G$813="Clôturé")))/SUMPRODUCT(--ISNUMBER(SEARCH(".",Suivi!$B$761:$B$813))))</f>
        <v/>
      </c>
      <c r="K19">
        <f>IF($A19="","",SUMPRODUCT(ISNUMBER(SEARCH(".",Suivi!$B$761:$B$813))*ISNUMBER(Suivi!$F$761:$F$813)*(Suivi!$F$761:$F$813&lt;TODAY())*(Suivi!$G$761:$G$813&lt;&gt;"Réalisé")*(Suivi!$G$761:$G$813&lt;&gt;"Clôturé")))</f>
        <v/>
      </c>
    </row>
    <row r="20">
      <c r="A20" s="10">
        <f>IF(ISNUMBER(Dossiers!$D$19),HYPERLINK("#Suivi!A814",Dossiers!$E$19),"")</f>
        <v/>
      </c>
      <c r="B20" s="5">
        <f>IF($A20="","",Dossiers!$D$19)</f>
        <v/>
      </c>
      <c r="C20" s="5">
        <f>IF($A20="","",MAX(Suivi!$F$815:$F$867))</f>
        <v/>
      </c>
      <c r="D20" s="11">
        <f>IF($A20="","",(COUNTIF(Suivi!$G$816:$G$819,"Réalisé")+COUNTIF(Suivi!$G$816:$G$819,"Clôturé"))/ROWS(Suivi!$G$816:$G$819))</f>
        <v/>
      </c>
      <c r="E20" s="11">
        <f>IF($A20="","",(COUNTIF(Suivi!$G$821:$G$824,"Réalisé")+COUNTIF(Suivi!$G$821:$G$824,"Clôturé"))/ROWS(Suivi!$G$821:$G$824))</f>
        <v/>
      </c>
      <c r="F20" s="11">
        <f>IF($A20="","",(COUNTIF(Suivi!$G$826:$G$841,"Réalisé")+COUNTIF(Suivi!$G$826:$G$841,"Clôturé"))/ROWS(Suivi!$G$826:$G$841))</f>
        <v/>
      </c>
      <c r="G20" s="11">
        <f>IF($A20="","",(COUNTIF(Suivi!$G$843:$G$846,"Réalisé")+COUNTIF(Suivi!$G$843:$G$846,"Clôturé"))/ROWS(Suivi!$G$843:$G$846))</f>
        <v/>
      </c>
      <c r="H20" s="11">
        <f>IF($A20="","",(COUNTIF(Suivi!$G$848:$G$865,"Réalisé")+COUNTIF(Suivi!$G$848:$G$865,"Clôturé"))/ROWS(Suivi!$G$848:$G$865))</f>
        <v/>
      </c>
      <c r="I20" s="11">
        <f>IF($A20="","",(COUNTIF(Suivi!$G$867:$G$867,"Réalisé")+COUNTIF(Suivi!$G$867:$G$867,"Clôturé"))/ROWS(Suivi!$G$867:$G$867))</f>
        <v/>
      </c>
      <c r="J20" s="11">
        <f>IF($A20="","",SUMPRODUCT(ISNUMBER(SEARCH(".",Suivi!$B$815:$B$867))*((Suivi!$G$815:$G$867="Réalisé")+(Suivi!$G$815:$G$867="Clôturé")))/SUMPRODUCT(--ISNUMBER(SEARCH(".",Suivi!$B$815:$B$867))))</f>
        <v/>
      </c>
      <c r="K20">
        <f>IF($A20="","",SUMPRODUCT(ISNUMBER(SEARCH(".",Suivi!$B$815:$B$867))*ISNUMBER(Suivi!$F$815:$F$867)*(Suivi!$F$815:$F$867&lt;TODAY())*(Suivi!$G$815:$G$867&lt;&gt;"Réalisé")*(Suivi!$G$815:$G$867&lt;&gt;"Clôturé")))</f>
        <v/>
      </c>
    </row>
    <row r="21">
      <c r="A21" s="10">
        <f>IF(ISNUMBER(Dossiers!$D$20),HYPERLINK("#Suivi!A868",Dossiers!$E$20),"")</f>
        <v/>
      </c>
      <c r="B21" s="5">
        <f>IF($A21="","",Dossiers!$D$20)</f>
        <v/>
      </c>
      <c r="C21" s="5">
        <f>IF($A21="","",MAX(Suivi!$F$869:$F$921))</f>
        <v/>
      </c>
      <c r="D21" s="11">
        <f>IF($A21="","",(COUNTIF(Suivi!$G$870:$G$873,"Réalisé")+COUNTIF(Suivi!$G$870:$G$873,"Clôturé"))/ROWS(Suivi!$G$870:$G$873))</f>
        <v/>
      </c>
      <c r="E21" s="11">
        <f>IF($A21="","",(COUNTIF(Suivi!$G$875:$G$878,"Réalisé")+COUNTIF(Suivi!$G$875:$G$878,"Clôturé"))/ROWS(Suivi!$G$875:$G$878))</f>
        <v/>
      </c>
      <c r="F21" s="11">
        <f>IF($A21="","",(COUNTIF(Suivi!$G$880:$G$895,"Réalisé")+COUNTIF(Suivi!$G$880:$G$895,"Clôturé"))/ROWS(Suivi!$G$880:$G$895))</f>
        <v/>
      </c>
      <c r="G21" s="11">
        <f>IF($A21="","",(COUNTIF(Suivi!$G$897:$G$900,"Réalisé")+COUNTIF(Suivi!$G$897:$G$900,"Clôturé"))/ROWS(Suivi!$G$897:$G$900))</f>
        <v/>
      </c>
      <c r="H21" s="11">
        <f>IF($A21="","",(COUNTIF(Suivi!$G$902:$G$919,"Réalisé")+COUNTIF(Suivi!$G$902:$G$919,"Clôturé"))/ROWS(Suivi!$G$902:$G$919))</f>
        <v/>
      </c>
      <c r="I21" s="11">
        <f>IF($A21="","",(COUNTIF(Suivi!$G$921:$G$921,"Réalisé")+COUNTIF(Suivi!$G$921:$G$921,"Clôturé"))/ROWS(Suivi!$G$921:$G$921))</f>
        <v/>
      </c>
      <c r="J21" s="11">
        <f>IF($A21="","",SUMPRODUCT(ISNUMBER(SEARCH(".",Suivi!$B$869:$B$921))*((Suivi!$G$869:$G$921="Réalisé")+(Suivi!$G$869:$G$921="Clôturé")))/SUMPRODUCT(--ISNUMBER(SEARCH(".",Suivi!$B$869:$B$921))))</f>
        <v/>
      </c>
      <c r="K21">
        <f>IF($A21="","",SUMPRODUCT(ISNUMBER(SEARCH(".",Suivi!$B$869:$B$921))*ISNUMBER(Suivi!$F$869:$F$921)*(Suivi!$F$869:$F$921&lt;TODAY())*(Suivi!$G$869:$G$921&lt;&gt;"Réalisé")*(Suivi!$G$869:$G$921&lt;&gt;"Clôturé")))</f>
        <v/>
      </c>
    </row>
    <row r="22">
      <c r="A22" s="10">
        <f>IF(ISNUMBER(Dossiers!$D$21),HYPERLINK("#Suivi!A922",Dossiers!$E$21),"")</f>
        <v/>
      </c>
      <c r="B22" s="5">
        <f>IF($A22="","",Dossiers!$D$21)</f>
        <v/>
      </c>
      <c r="C22" s="5">
        <f>IF($A22="","",MAX(Suivi!$F$923:$F$975))</f>
        <v/>
      </c>
      <c r="D22" s="11">
        <f>IF($A22="","",(COUNTIF(Suivi!$G$924:$G$927,"Réalisé")+COUNTIF(Suivi!$G$924:$G$927,"Clôturé"))/ROWS(Suivi!$G$924:$G$927))</f>
        <v/>
      </c>
      <c r="E22" s="11">
        <f>IF($A22="","",(COUNTIF(Suivi!$G$929:$G$932,"Réalisé")+COUNTIF(Suivi!$G$929:$G$932,"Clôturé"))/ROWS(Suivi!$G$929:$G$932))</f>
        <v/>
      </c>
      <c r="F22" s="11">
        <f>IF($A22="","",(COUNTIF(Suivi!$G$934:$G$949,"Réalisé")+COUNTIF(Suivi!$G$934:$G$949,"Clôturé"))/ROWS(Suivi!$G$934:$G$949))</f>
        <v/>
      </c>
      <c r="G22" s="11">
        <f>IF($A22="","",(COUNTIF(Suivi!$G$951:$G$954,"Réalisé")+COUNTIF(Suivi!$G$951:$G$954,"Clôturé"))/ROWS(Suivi!$G$951:$G$954))</f>
        <v/>
      </c>
      <c r="H22" s="11">
        <f>IF($A22="","",(COUNTIF(Suivi!$G$956:$G$973,"Réalisé")+COUNTIF(Suivi!$G$956:$G$973,"Clôturé"))/ROWS(Suivi!$G$956:$G$973))</f>
        <v/>
      </c>
      <c r="I22" s="11">
        <f>IF($A22="","",(COUNTIF(Suivi!$G$975:$G$975,"Réalisé")+COUNTIF(Suivi!$G$975:$G$975,"Clôturé"))/ROWS(Suivi!$G$975:$G$975))</f>
        <v/>
      </c>
      <c r="J22" s="11">
        <f>IF($A22="","",SUMPRODUCT(ISNUMBER(SEARCH(".",Suivi!$B$923:$B$975))*((Suivi!$G$923:$G$975="Réalisé")+(Suivi!$G$923:$G$975="Clôturé")))/SUMPRODUCT(--ISNUMBER(SEARCH(".",Suivi!$B$923:$B$975))))</f>
        <v/>
      </c>
      <c r="K22">
        <f>IF($A22="","",SUMPRODUCT(ISNUMBER(SEARCH(".",Suivi!$B$923:$B$975))*ISNUMBER(Suivi!$F$923:$F$975)*(Suivi!$F$923:$F$975&lt;TODAY())*(Suivi!$G$923:$G$975&lt;&gt;"Réalisé")*(Suivi!$G$923:$G$975&lt;&gt;"Clôturé")))</f>
        <v/>
      </c>
    </row>
    <row r="23">
      <c r="A23" s="10">
        <f>IF(ISNUMBER(Dossiers!$D$22),HYPERLINK("#Suivi!A976",Dossiers!$E$22),"")</f>
        <v/>
      </c>
      <c r="B23" s="5">
        <f>IF($A23="","",Dossiers!$D$22)</f>
        <v/>
      </c>
      <c r="C23" s="5">
        <f>IF($A23="","",MAX(Suivi!$F$977:$F$1029))</f>
        <v/>
      </c>
      <c r="D23" s="11">
        <f>IF($A23="","",(COUNTIF(Suivi!$G$978:$G$981,"Réalisé")+COUNTIF(Suivi!$G$978:$G$981,"Clôturé"))/ROWS(Suivi!$G$978:$G$981))</f>
        <v/>
      </c>
      <c r="E23" s="11">
        <f>IF($A23="","",(COUNTIF(Suivi!$G$983:$G$986,"Réalisé")+COUNTIF(Suivi!$G$983:$G$986,"Clôturé"))/ROWS(Suivi!$G$983:$G$986))</f>
        <v/>
      </c>
      <c r="F23" s="11">
        <f>IF($A23="","",(COUNTIF(Suivi!$G$988:$G$1003,"Réalisé")+COUNTIF(Suivi!$G$988:$G$1003,"Clôturé"))/ROWS(Suivi!$G$988:$G$1003))</f>
        <v/>
      </c>
      <c r="G23" s="11">
        <f>IF($A23="","",(COUNTIF(Suivi!$G$1005:$G$1008,"Réalisé")+COUNTIF(Suivi!$G$1005:$G$1008,"Clôturé"))/ROWS(Suivi!$G$1005:$G$1008))</f>
        <v/>
      </c>
      <c r="H23" s="11">
        <f>IF($A23="","",(COUNTIF(Suivi!$G$1010:$G$1027,"Réalisé")+COUNTIF(Suivi!$G$1010:$G$1027,"Clôturé"))/ROWS(Suivi!$G$1010:$G$1027))</f>
        <v/>
      </c>
      <c r="I23" s="11">
        <f>IF($A23="","",(COUNTIF(Suivi!$G$1029:$G$1029,"Réalisé")+COUNTIF(Suivi!$G$1029:$G$1029,"Clôturé"))/ROWS(Suivi!$G$1029:$G$1029))</f>
        <v/>
      </c>
      <c r="J23" s="11">
        <f>IF($A23="","",SUMPRODUCT(ISNUMBER(SEARCH(".",Suivi!$B$977:$B$1029))*((Suivi!$G$977:$G$1029="Réalisé")+(Suivi!$G$977:$G$1029="Clôturé")))/SUMPRODUCT(--ISNUMBER(SEARCH(".",Suivi!$B$977:$B$1029))))</f>
        <v/>
      </c>
      <c r="K23">
        <f>IF($A23="","",SUMPRODUCT(ISNUMBER(SEARCH(".",Suivi!$B$977:$B$1029))*ISNUMBER(Suivi!$F$977:$F$1029)*(Suivi!$F$977:$F$1029&lt;TODAY())*(Suivi!$G$977:$G$1029&lt;&gt;"Réalisé")*(Suivi!$G$977:$G$1029&lt;&gt;"Clôturé")))</f>
        <v/>
      </c>
    </row>
    <row r="24">
      <c r="A24" s="10">
        <f>IF(ISNUMBER(Dossiers!$D$23),HYPERLINK("#Suivi!A1030",Dossiers!$E$23),"")</f>
        <v/>
      </c>
      <c r="B24" s="5">
        <f>IF($A24="","",Dossiers!$D$23)</f>
        <v/>
      </c>
      <c r="C24" s="5">
        <f>IF($A24="","",MAX(Suivi!$F$1031:$F$1083))</f>
        <v/>
      </c>
      <c r="D24" s="11">
        <f>IF($A24="","",(COUNTIF(Suivi!$G$1032:$G$1035,"Réalisé")+COUNTIF(Suivi!$G$1032:$G$1035,"Clôturé"))/ROWS(Suivi!$G$1032:$G$1035))</f>
        <v/>
      </c>
      <c r="E24" s="11">
        <f>IF($A24="","",(COUNTIF(Suivi!$G$1037:$G$1040,"Réalisé")+COUNTIF(Suivi!$G$1037:$G$1040,"Clôturé"))/ROWS(Suivi!$G$1037:$G$1040))</f>
        <v/>
      </c>
      <c r="F24" s="11">
        <f>IF($A24="","",(COUNTIF(Suivi!$G$1042:$G$1057,"Réalisé")+COUNTIF(Suivi!$G$1042:$G$1057,"Clôturé"))/ROWS(Suivi!$G$1042:$G$1057))</f>
        <v/>
      </c>
      <c r="G24" s="11">
        <f>IF($A24="","",(COUNTIF(Suivi!$G$1059:$G$1062,"Réalisé")+COUNTIF(Suivi!$G$1059:$G$1062,"Clôturé"))/ROWS(Suivi!$G$1059:$G$1062))</f>
        <v/>
      </c>
      <c r="H24" s="11">
        <f>IF($A24="","",(COUNTIF(Suivi!$G$1064:$G$1081,"Réalisé")+COUNTIF(Suivi!$G$1064:$G$1081,"Clôturé"))/ROWS(Suivi!$G$1064:$G$1081))</f>
        <v/>
      </c>
      <c r="I24" s="11">
        <f>IF($A24="","",(COUNTIF(Suivi!$G$1083:$G$1083,"Réalisé")+COUNTIF(Suivi!$G$1083:$G$1083,"Clôturé"))/ROWS(Suivi!$G$1083:$G$1083))</f>
        <v/>
      </c>
      <c r="J24" s="11">
        <f>IF($A24="","",SUMPRODUCT(ISNUMBER(SEARCH(".",Suivi!$B$1031:$B$1083))*((Suivi!$G$1031:$G$1083="Réalisé")+(Suivi!$G$1031:$G$1083="Clôturé")))/SUMPRODUCT(--ISNUMBER(SEARCH(".",Suivi!$B$1031:$B$1083))))</f>
        <v/>
      </c>
      <c r="K24">
        <f>IF($A24="","",SUMPRODUCT(ISNUMBER(SEARCH(".",Suivi!$B$1031:$B$1083))*ISNUMBER(Suivi!$F$1031:$F$1083)*(Suivi!$F$1031:$F$1083&lt;TODAY())*(Suivi!$G$1031:$G$1083&lt;&gt;"Réalisé")*(Suivi!$G$1031:$G$1083&lt;&gt;"Clôturé")))</f>
        <v/>
      </c>
    </row>
    <row r="25">
      <c r="A25" s="10">
        <f>IF(ISNUMBER(Dossiers!$D$24),HYPERLINK("#Suivi!A1084",Dossiers!$E$24),"")</f>
        <v/>
      </c>
      <c r="B25" s="5">
        <f>IF($A25="","",Dossiers!$D$24)</f>
        <v/>
      </c>
      <c r="C25" s="5">
        <f>IF($A25="","",MAX(Suivi!$F$1085:$F$1137))</f>
        <v/>
      </c>
      <c r="D25" s="11">
        <f>IF($A25="","",(COUNTIF(Suivi!$G$1086:$G$1089,"Réalisé")+COUNTIF(Suivi!$G$1086:$G$1089,"Clôturé"))/ROWS(Suivi!$G$1086:$G$1089))</f>
        <v/>
      </c>
      <c r="E25" s="11">
        <f>IF($A25="","",(COUNTIF(Suivi!$G$1091:$G$1094,"Réalisé")+COUNTIF(Suivi!$G$1091:$G$1094,"Clôturé"))/ROWS(Suivi!$G$1091:$G$1094))</f>
        <v/>
      </c>
      <c r="F25" s="11">
        <f>IF($A25="","",(COUNTIF(Suivi!$G$1096:$G$1111,"Réalisé")+COUNTIF(Suivi!$G$1096:$G$1111,"Clôturé"))/ROWS(Suivi!$G$1096:$G$1111))</f>
        <v/>
      </c>
      <c r="G25" s="11">
        <f>IF($A25="","",(COUNTIF(Suivi!$G$1113:$G$1116,"Réalisé")+COUNTIF(Suivi!$G$1113:$G$1116,"Clôturé"))/ROWS(Suivi!$G$1113:$G$1116))</f>
        <v/>
      </c>
      <c r="H25" s="11">
        <f>IF($A25="","",(COUNTIF(Suivi!$G$1118:$G$1135,"Réalisé")+COUNTIF(Suivi!$G$1118:$G$1135,"Clôturé"))/ROWS(Suivi!$G$1118:$G$1135))</f>
        <v/>
      </c>
      <c r="I25" s="11">
        <f>IF($A25="","",(COUNTIF(Suivi!$G$1137:$G$1137,"Réalisé")+COUNTIF(Suivi!$G$1137:$G$1137,"Clôturé"))/ROWS(Suivi!$G$1137:$G$1137))</f>
        <v/>
      </c>
      <c r="J25" s="11">
        <f>IF($A25="","",SUMPRODUCT(ISNUMBER(SEARCH(".",Suivi!$B$1085:$B$1137))*((Suivi!$G$1085:$G$1137="Réalisé")+(Suivi!$G$1085:$G$1137="Clôturé")))/SUMPRODUCT(--ISNUMBER(SEARCH(".",Suivi!$B$1085:$B$1137))))</f>
        <v/>
      </c>
      <c r="K25">
        <f>IF($A25="","",SUMPRODUCT(ISNUMBER(SEARCH(".",Suivi!$B$1085:$B$1137))*ISNUMBER(Suivi!$F$1085:$F$1137)*(Suivi!$F$1085:$F$1137&lt;TODAY())*(Suivi!$G$1085:$G$1137&lt;&gt;"Réalisé")*(Suivi!$G$1085:$G$1137&lt;&gt;"Clôturé")))</f>
        <v/>
      </c>
    </row>
    <row r="26">
      <c r="A26" s="10">
        <f>IF(ISNUMBER(Dossiers!$D$25),HYPERLINK("#Suivi!A1138",Dossiers!$E$25),"")</f>
        <v/>
      </c>
      <c r="B26" s="5">
        <f>IF($A26="","",Dossiers!$D$25)</f>
        <v/>
      </c>
      <c r="C26" s="5">
        <f>IF($A26="","",MAX(Suivi!$F$1139:$F$1191))</f>
        <v/>
      </c>
      <c r="D26" s="11">
        <f>IF($A26="","",(COUNTIF(Suivi!$G$1140:$G$1143,"Réalisé")+COUNTIF(Suivi!$G$1140:$G$1143,"Clôturé"))/ROWS(Suivi!$G$1140:$G$1143))</f>
        <v/>
      </c>
      <c r="E26" s="11">
        <f>IF($A26="","",(COUNTIF(Suivi!$G$1145:$G$1148,"Réalisé")+COUNTIF(Suivi!$G$1145:$G$1148,"Clôturé"))/ROWS(Suivi!$G$1145:$G$1148))</f>
        <v/>
      </c>
      <c r="F26" s="11">
        <f>IF($A26="","",(COUNTIF(Suivi!$G$1150:$G$1165,"Réalisé")+COUNTIF(Suivi!$G$1150:$G$1165,"Clôturé"))/ROWS(Suivi!$G$1150:$G$1165))</f>
        <v/>
      </c>
      <c r="G26" s="11">
        <f>IF($A26="","",(COUNTIF(Suivi!$G$1167:$G$1170,"Réalisé")+COUNTIF(Suivi!$G$1167:$G$1170,"Clôturé"))/ROWS(Suivi!$G$1167:$G$1170))</f>
        <v/>
      </c>
      <c r="H26" s="11">
        <f>IF($A26="","",(COUNTIF(Suivi!$G$1172:$G$1189,"Réalisé")+COUNTIF(Suivi!$G$1172:$G$1189,"Clôturé"))/ROWS(Suivi!$G$1172:$G$1189))</f>
        <v/>
      </c>
      <c r="I26" s="11">
        <f>IF($A26="","",(COUNTIF(Suivi!$G$1191:$G$1191,"Réalisé")+COUNTIF(Suivi!$G$1191:$G$1191,"Clôturé"))/ROWS(Suivi!$G$1191:$G$1191))</f>
        <v/>
      </c>
      <c r="J26" s="11">
        <f>IF($A26="","",SUMPRODUCT(ISNUMBER(SEARCH(".",Suivi!$B$1139:$B$1191))*((Suivi!$G$1139:$G$1191="Réalisé")+(Suivi!$G$1139:$G$1191="Clôturé")))/SUMPRODUCT(--ISNUMBER(SEARCH(".",Suivi!$B$1139:$B$1191))))</f>
        <v/>
      </c>
      <c r="K26">
        <f>IF($A26="","",SUMPRODUCT(ISNUMBER(SEARCH(".",Suivi!$B$1139:$B$1191))*ISNUMBER(Suivi!$F$1139:$F$1191)*(Suivi!$F$1139:$F$1191&lt;TODAY())*(Suivi!$G$1139:$G$1191&lt;&gt;"Réalisé")*(Suivi!$G$1139:$G$1191&lt;&gt;"Clôturé")))</f>
        <v/>
      </c>
    </row>
    <row r="27">
      <c r="A27" s="10">
        <f>IF(ISNUMBER(Dossiers!$D$26),HYPERLINK("#Suivi!A1192",Dossiers!$E$26),"")</f>
        <v/>
      </c>
      <c r="B27" s="5">
        <f>IF($A27="","",Dossiers!$D$26)</f>
        <v/>
      </c>
      <c r="C27" s="5">
        <f>IF($A27="","",MAX(Suivi!$F$1193:$F$1245))</f>
        <v/>
      </c>
      <c r="D27" s="11">
        <f>IF($A27="","",(COUNTIF(Suivi!$G$1194:$G$1197,"Réalisé")+COUNTIF(Suivi!$G$1194:$G$1197,"Clôturé"))/ROWS(Suivi!$G$1194:$G$1197))</f>
        <v/>
      </c>
      <c r="E27" s="11">
        <f>IF($A27="","",(COUNTIF(Suivi!$G$1199:$G$1202,"Réalisé")+COUNTIF(Suivi!$G$1199:$G$1202,"Clôturé"))/ROWS(Suivi!$G$1199:$G$1202))</f>
        <v/>
      </c>
      <c r="F27" s="11">
        <f>IF($A27="","",(COUNTIF(Suivi!$G$1204:$G$1219,"Réalisé")+COUNTIF(Suivi!$G$1204:$G$1219,"Clôturé"))/ROWS(Suivi!$G$1204:$G$1219))</f>
        <v/>
      </c>
      <c r="G27" s="11">
        <f>IF($A27="","",(COUNTIF(Suivi!$G$1221:$G$1224,"Réalisé")+COUNTIF(Suivi!$G$1221:$G$1224,"Clôturé"))/ROWS(Suivi!$G$1221:$G$1224))</f>
        <v/>
      </c>
      <c r="H27" s="11">
        <f>IF($A27="","",(COUNTIF(Suivi!$G$1226:$G$1243,"Réalisé")+COUNTIF(Suivi!$G$1226:$G$1243,"Clôturé"))/ROWS(Suivi!$G$1226:$G$1243))</f>
        <v/>
      </c>
      <c r="I27" s="11">
        <f>IF($A27="","",(COUNTIF(Suivi!$G$1245:$G$1245,"Réalisé")+COUNTIF(Suivi!$G$1245:$G$1245,"Clôturé"))/ROWS(Suivi!$G$1245:$G$1245))</f>
        <v/>
      </c>
      <c r="J27" s="11">
        <f>IF($A27="","",SUMPRODUCT(ISNUMBER(SEARCH(".",Suivi!$B$1193:$B$1245))*((Suivi!$G$1193:$G$1245="Réalisé")+(Suivi!$G$1193:$G$1245="Clôturé")))/SUMPRODUCT(--ISNUMBER(SEARCH(".",Suivi!$B$1193:$B$1245))))</f>
        <v/>
      </c>
      <c r="K27">
        <f>IF($A27="","",SUMPRODUCT(ISNUMBER(SEARCH(".",Suivi!$B$1193:$B$1245))*ISNUMBER(Suivi!$F$1193:$F$1245)*(Suivi!$F$1193:$F$1245&lt;TODAY())*(Suivi!$G$1193:$G$1245&lt;&gt;"Réalisé")*(Suivi!$G$1193:$G$1245&lt;&gt;"Clôturé")))</f>
        <v/>
      </c>
    </row>
    <row r="28">
      <c r="A28" s="10">
        <f>IF(ISNUMBER(Dossiers!$D$27),HYPERLINK("#Suivi!A1246",Dossiers!$E$27),"")</f>
        <v/>
      </c>
      <c r="B28" s="5">
        <f>IF($A28="","",Dossiers!$D$27)</f>
        <v/>
      </c>
      <c r="C28" s="5">
        <f>IF($A28="","",MAX(Suivi!$F$1247:$F$1299))</f>
        <v/>
      </c>
      <c r="D28" s="11">
        <f>IF($A28="","",(COUNTIF(Suivi!$G$1248:$G$1251,"Réalisé")+COUNTIF(Suivi!$G$1248:$G$1251,"Clôturé"))/ROWS(Suivi!$G$1248:$G$1251))</f>
        <v/>
      </c>
      <c r="E28" s="11">
        <f>IF($A28="","",(COUNTIF(Suivi!$G$1253:$G$1256,"Réalisé")+COUNTIF(Suivi!$G$1253:$G$1256,"Clôturé"))/ROWS(Suivi!$G$1253:$G$1256))</f>
        <v/>
      </c>
      <c r="F28" s="11">
        <f>IF($A28="","",(COUNTIF(Suivi!$G$1258:$G$1273,"Réalisé")+COUNTIF(Suivi!$G$1258:$G$1273,"Clôturé"))/ROWS(Suivi!$G$1258:$G$1273))</f>
        <v/>
      </c>
      <c r="G28" s="11">
        <f>IF($A28="","",(COUNTIF(Suivi!$G$1275:$G$1278,"Réalisé")+COUNTIF(Suivi!$G$1275:$G$1278,"Clôturé"))/ROWS(Suivi!$G$1275:$G$1278))</f>
        <v/>
      </c>
      <c r="H28" s="11">
        <f>IF($A28="","",(COUNTIF(Suivi!$G$1280:$G$1297,"Réalisé")+COUNTIF(Suivi!$G$1280:$G$1297,"Clôturé"))/ROWS(Suivi!$G$1280:$G$1297))</f>
        <v/>
      </c>
      <c r="I28" s="11">
        <f>IF($A28="","",(COUNTIF(Suivi!$G$1299:$G$1299,"Réalisé")+COUNTIF(Suivi!$G$1299:$G$1299,"Clôturé"))/ROWS(Suivi!$G$1299:$G$1299))</f>
        <v/>
      </c>
      <c r="J28" s="11">
        <f>IF($A28="","",SUMPRODUCT(ISNUMBER(SEARCH(".",Suivi!$B$1247:$B$1299))*((Suivi!$G$1247:$G$1299="Réalisé")+(Suivi!$G$1247:$G$1299="Clôturé")))/SUMPRODUCT(--ISNUMBER(SEARCH(".",Suivi!$B$1247:$B$1299))))</f>
        <v/>
      </c>
      <c r="K28">
        <f>IF($A28="","",SUMPRODUCT(ISNUMBER(SEARCH(".",Suivi!$B$1247:$B$1299))*ISNUMBER(Suivi!$F$1247:$F$1299)*(Suivi!$F$1247:$F$1299&lt;TODAY())*(Suivi!$G$1247:$G$1299&lt;&gt;"Réalisé")*(Suivi!$G$1247:$G$1299&lt;&gt;"Clôturé")))</f>
        <v/>
      </c>
    </row>
    <row r="29">
      <c r="A29" s="10">
        <f>IF(ISNUMBER(Dossiers!$D$28),HYPERLINK("#Suivi!A1300",Dossiers!$E$28),"")</f>
        <v/>
      </c>
      <c r="B29" s="5">
        <f>IF($A29="","",Dossiers!$D$28)</f>
        <v/>
      </c>
      <c r="C29" s="5">
        <f>IF($A29="","",MAX(Suivi!$F$1301:$F$1353))</f>
        <v/>
      </c>
      <c r="D29" s="11">
        <f>IF($A29="","",(COUNTIF(Suivi!$G$1302:$G$1305,"Réalisé")+COUNTIF(Suivi!$G$1302:$G$1305,"Clôturé"))/ROWS(Suivi!$G$1302:$G$1305))</f>
        <v/>
      </c>
      <c r="E29" s="11">
        <f>IF($A29="","",(COUNTIF(Suivi!$G$1307:$G$1310,"Réalisé")+COUNTIF(Suivi!$G$1307:$G$1310,"Clôturé"))/ROWS(Suivi!$G$1307:$G$1310))</f>
        <v/>
      </c>
      <c r="F29" s="11">
        <f>IF($A29="","",(COUNTIF(Suivi!$G$1312:$G$1327,"Réalisé")+COUNTIF(Suivi!$G$1312:$G$1327,"Clôturé"))/ROWS(Suivi!$G$1312:$G$1327))</f>
        <v/>
      </c>
      <c r="G29" s="11">
        <f>IF($A29="","",(COUNTIF(Suivi!$G$1329:$G$1332,"Réalisé")+COUNTIF(Suivi!$G$1329:$G$1332,"Clôturé"))/ROWS(Suivi!$G$1329:$G$1332))</f>
        <v/>
      </c>
      <c r="H29" s="11">
        <f>IF($A29="","",(COUNTIF(Suivi!$G$1334:$G$1351,"Réalisé")+COUNTIF(Suivi!$G$1334:$G$1351,"Clôturé"))/ROWS(Suivi!$G$1334:$G$1351))</f>
        <v/>
      </c>
      <c r="I29" s="11">
        <f>IF($A29="","",(COUNTIF(Suivi!$G$1353:$G$1353,"Réalisé")+COUNTIF(Suivi!$G$1353:$G$1353,"Clôturé"))/ROWS(Suivi!$G$1353:$G$1353))</f>
        <v/>
      </c>
      <c r="J29" s="11">
        <f>IF($A29="","",SUMPRODUCT(ISNUMBER(SEARCH(".",Suivi!$B$1301:$B$1353))*((Suivi!$G$1301:$G$1353="Réalisé")+(Suivi!$G$1301:$G$1353="Clôturé")))/SUMPRODUCT(--ISNUMBER(SEARCH(".",Suivi!$B$1301:$B$1353))))</f>
        <v/>
      </c>
      <c r="K29">
        <f>IF($A29="","",SUMPRODUCT(ISNUMBER(SEARCH(".",Suivi!$B$1301:$B$1353))*ISNUMBER(Suivi!$F$1301:$F$1353)*(Suivi!$F$1301:$F$1353&lt;TODAY())*(Suivi!$G$1301:$G$1353&lt;&gt;"Réalisé")*(Suivi!$G$1301:$G$1353&lt;&gt;"Clôturé")))</f>
        <v/>
      </c>
    </row>
    <row r="30">
      <c r="A30" s="10">
        <f>IF(ISNUMBER(Dossiers!$D$29),HYPERLINK("#Suivi!A1354",Dossiers!$E$29),"")</f>
        <v/>
      </c>
      <c r="B30" s="5">
        <f>IF($A30="","",Dossiers!$D$29)</f>
        <v/>
      </c>
      <c r="C30" s="5">
        <f>IF($A30="","",MAX(Suivi!$F$1355:$F$1407))</f>
        <v/>
      </c>
      <c r="D30" s="11">
        <f>IF($A30="","",(COUNTIF(Suivi!$G$1356:$G$1359,"Réalisé")+COUNTIF(Suivi!$G$1356:$G$1359,"Clôturé"))/ROWS(Suivi!$G$1356:$G$1359))</f>
        <v/>
      </c>
      <c r="E30" s="11">
        <f>IF($A30="","",(COUNTIF(Suivi!$G$1361:$G$1364,"Réalisé")+COUNTIF(Suivi!$G$1361:$G$1364,"Clôturé"))/ROWS(Suivi!$G$1361:$G$1364))</f>
        <v/>
      </c>
      <c r="F30" s="11">
        <f>IF($A30="","",(COUNTIF(Suivi!$G$1366:$G$1381,"Réalisé")+COUNTIF(Suivi!$G$1366:$G$1381,"Clôturé"))/ROWS(Suivi!$G$1366:$G$1381))</f>
        <v/>
      </c>
      <c r="G30" s="11">
        <f>IF($A30="","",(COUNTIF(Suivi!$G$1383:$G$1386,"Réalisé")+COUNTIF(Suivi!$G$1383:$G$1386,"Clôturé"))/ROWS(Suivi!$G$1383:$G$1386))</f>
        <v/>
      </c>
      <c r="H30" s="11">
        <f>IF($A30="","",(COUNTIF(Suivi!$G$1388:$G$1405,"Réalisé")+COUNTIF(Suivi!$G$1388:$G$1405,"Clôturé"))/ROWS(Suivi!$G$1388:$G$1405))</f>
        <v/>
      </c>
      <c r="I30" s="11">
        <f>IF($A30="","",(COUNTIF(Suivi!$G$1407:$G$1407,"Réalisé")+COUNTIF(Suivi!$G$1407:$G$1407,"Clôturé"))/ROWS(Suivi!$G$1407:$G$1407))</f>
        <v/>
      </c>
      <c r="J30" s="11">
        <f>IF($A30="","",SUMPRODUCT(ISNUMBER(SEARCH(".",Suivi!$B$1355:$B$1407))*((Suivi!$G$1355:$G$1407="Réalisé")+(Suivi!$G$1355:$G$1407="Clôturé")))/SUMPRODUCT(--ISNUMBER(SEARCH(".",Suivi!$B$1355:$B$1407))))</f>
        <v/>
      </c>
      <c r="K30">
        <f>IF($A30="","",SUMPRODUCT(ISNUMBER(SEARCH(".",Suivi!$B$1355:$B$1407))*ISNUMBER(Suivi!$F$1355:$F$1407)*(Suivi!$F$1355:$F$1407&lt;TODAY())*(Suivi!$G$1355:$G$1407&lt;&gt;"Réalisé")*(Suivi!$G$1355:$G$1407&lt;&gt;"Clôturé")))</f>
        <v/>
      </c>
    </row>
    <row r="31">
      <c r="A31" s="10">
        <f>IF(ISNUMBER(Dossiers!$D$30),HYPERLINK("#Suivi!A1408",Dossiers!$E$30),"")</f>
        <v/>
      </c>
      <c r="B31" s="5">
        <f>IF($A31="","",Dossiers!$D$30)</f>
        <v/>
      </c>
      <c r="C31" s="5">
        <f>IF($A31="","",MAX(Suivi!$F$1409:$F$1461))</f>
        <v/>
      </c>
      <c r="D31" s="11">
        <f>IF($A31="","",(COUNTIF(Suivi!$G$1410:$G$1413,"Réalisé")+COUNTIF(Suivi!$G$1410:$G$1413,"Clôturé"))/ROWS(Suivi!$G$1410:$G$1413))</f>
        <v/>
      </c>
      <c r="E31" s="11">
        <f>IF($A31="","",(COUNTIF(Suivi!$G$1415:$G$1418,"Réalisé")+COUNTIF(Suivi!$G$1415:$G$1418,"Clôturé"))/ROWS(Suivi!$G$1415:$G$1418))</f>
        <v/>
      </c>
      <c r="F31" s="11">
        <f>IF($A31="","",(COUNTIF(Suivi!$G$1420:$G$1435,"Réalisé")+COUNTIF(Suivi!$G$1420:$G$1435,"Clôturé"))/ROWS(Suivi!$G$1420:$G$1435))</f>
        <v/>
      </c>
      <c r="G31" s="11">
        <f>IF($A31="","",(COUNTIF(Suivi!$G$1437:$G$1440,"Réalisé")+COUNTIF(Suivi!$G$1437:$G$1440,"Clôturé"))/ROWS(Suivi!$G$1437:$G$1440))</f>
        <v/>
      </c>
      <c r="H31" s="11">
        <f>IF($A31="","",(COUNTIF(Suivi!$G$1442:$G$1459,"Réalisé")+COUNTIF(Suivi!$G$1442:$G$1459,"Clôturé"))/ROWS(Suivi!$G$1442:$G$1459))</f>
        <v/>
      </c>
      <c r="I31" s="11">
        <f>IF($A31="","",(COUNTIF(Suivi!$G$1461:$G$1461,"Réalisé")+COUNTIF(Suivi!$G$1461:$G$1461,"Clôturé"))/ROWS(Suivi!$G$1461:$G$1461))</f>
        <v/>
      </c>
      <c r="J31" s="11">
        <f>IF($A31="","",SUMPRODUCT(ISNUMBER(SEARCH(".",Suivi!$B$1409:$B$1461))*((Suivi!$G$1409:$G$1461="Réalisé")+(Suivi!$G$1409:$G$1461="Clôturé")))/SUMPRODUCT(--ISNUMBER(SEARCH(".",Suivi!$B$1409:$B$1461))))</f>
        <v/>
      </c>
      <c r="K31">
        <f>IF($A31="","",SUMPRODUCT(ISNUMBER(SEARCH(".",Suivi!$B$1409:$B$1461))*ISNUMBER(Suivi!$F$1409:$F$1461)*(Suivi!$F$1409:$F$1461&lt;TODAY())*(Suivi!$G$1409:$G$1461&lt;&gt;"Réalisé")*(Suivi!$G$1409:$G$1461&lt;&gt;"Clôturé")))</f>
        <v/>
      </c>
    </row>
    <row r="32">
      <c r="A32" s="10">
        <f>IF(ISNUMBER(Dossiers!$D$31),HYPERLINK("#Suivi!A1462",Dossiers!$E$31),"")</f>
        <v/>
      </c>
      <c r="B32" s="5">
        <f>IF($A32="","",Dossiers!$D$31)</f>
        <v/>
      </c>
      <c r="C32" s="5">
        <f>IF($A32="","",MAX(Suivi!$F$1463:$F$1515))</f>
        <v/>
      </c>
      <c r="D32" s="11">
        <f>IF($A32="","",(COUNTIF(Suivi!$G$1464:$G$1467,"Réalisé")+COUNTIF(Suivi!$G$1464:$G$1467,"Clôturé"))/ROWS(Suivi!$G$1464:$G$1467))</f>
        <v/>
      </c>
      <c r="E32" s="11">
        <f>IF($A32="","",(COUNTIF(Suivi!$G$1469:$G$1472,"Réalisé")+COUNTIF(Suivi!$G$1469:$G$1472,"Clôturé"))/ROWS(Suivi!$G$1469:$G$1472))</f>
        <v/>
      </c>
      <c r="F32" s="11">
        <f>IF($A32="","",(COUNTIF(Suivi!$G$1474:$G$1489,"Réalisé")+COUNTIF(Suivi!$G$1474:$G$1489,"Clôturé"))/ROWS(Suivi!$G$1474:$G$1489))</f>
        <v/>
      </c>
      <c r="G32" s="11">
        <f>IF($A32="","",(COUNTIF(Suivi!$G$1491:$G$1494,"Réalisé")+COUNTIF(Suivi!$G$1491:$G$1494,"Clôturé"))/ROWS(Suivi!$G$1491:$G$1494))</f>
        <v/>
      </c>
      <c r="H32" s="11">
        <f>IF($A32="","",(COUNTIF(Suivi!$G$1496:$G$1513,"Réalisé")+COUNTIF(Suivi!$G$1496:$G$1513,"Clôturé"))/ROWS(Suivi!$G$1496:$G$1513))</f>
        <v/>
      </c>
      <c r="I32" s="11">
        <f>IF($A32="","",(COUNTIF(Suivi!$G$1515:$G$1515,"Réalisé")+COUNTIF(Suivi!$G$1515:$G$1515,"Clôturé"))/ROWS(Suivi!$G$1515:$G$1515))</f>
        <v/>
      </c>
      <c r="J32" s="11">
        <f>IF($A32="","",SUMPRODUCT(ISNUMBER(SEARCH(".",Suivi!$B$1463:$B$1515))*((Suivi!$G$1463:$G$1515="Réalisé")+(Suivi!$G$1463:$G$1515="Clôturé")))/SUMPRODUCT(--ISNUMBER(SEARCH(".",Suivi!$B$1463:$B$1515))))</f>
        <v/>
      </c>
      <c r="K32">
        <f>IF($A32="","",SUMPRODUCT(ISNUMBER(SEARCH(".",Suivi!$B$1463:$B$1515))*ISNUMBER(Suivi!$F$1463:$F$1515)*(Suivi!$F$1463:$F$1515&lt;TODAY())*(Suivi!$G$1463:$G$1515&lt;&gt;"Réalisé")*(Suivi!$G$1463:$G$1515&lt;&gt;"Clôturé")))</f>
        <v/>
      </c>
    </row>
    <row r="33">
      <c r="A33" s="10">
        <f>IF(ISNUMBER(Dossiers!$D$32),HYPERLINK("#Suivi!A1516",Dossiers!$E$32),"")</f>
        <v/>
      </c>
      <c r="B33" s="5">
        <f>IF($A33="","",Dossiers!$D$32)</f>
        <v/>
      </c>
      <c r="C33" s="5">
        <f>IF($A33="","",MAX(Suivi!$F$1517:$F$1569))</f>
        <v/>
      </c>
      <c r="D33" s="11">
        <f>IF($A33="","",(COUNTIF(Suivi!$G$1518:$G$1521,"Réalisé")+COUNTIF(Suivi!$G$1518:$G$1521,"Clôturé"))/ROWS(Suivi!$G$1518:$G$1521))</f>
        <v/>
      </c>
      <c r="E33" s="11">
        <f>IF($A33="","",(COUNTIF(Suivi!$G$1523:$G$1526,"Réalisé")+COUNTIF(Suivi!$G$1523:$G$1526,"Clôturé"))/ROWS(Suivi!$G$1523:$G$1526))</f>
        <v/>
      </c>
      <c r="F33" s="11">
        <f>IF($A33="","",(COUNTIF(Suivi!$G$1528:$G$1543,"Réalisé")+COUNTIF(Suivi!$G$1528:$G$1543,"Clôturé"))/ROWS(Suivi!$G$1528:$G$1543))</f>
        <v/>
      </c>
      <c r="G33" s="11">
        <f>IF($A33="","",(COUNTIF(Suivi!$G$1545:$G$1548,"Réalisé")+COUNTIF(Suivi!$G$1545:$G$1548,"Clôturé"))/ROWS(Suivi!$G$1545:$G$1548))</f>
        <v/>
      </c>
      <c r="H33" s="11">
        <f>IF($A33="","",(COUNTIF(Suivi!$G$1550:$G$1567,"Réalisé")+COUNTIF(Suivi!$G$1550:$G$1567,"Clôturé"))/ROWS(Suivi!$G$1550:$G$1567))</f>
        <v/>
      </c>
      <c r="I33" s="11">
        <f>IF($A33="","",(COUNTIF(Suivi!$G$1569:$G$1569,"Réalisé")+COUNTIF(Suivi!$G$1569:$G$1569,"Clôturé"))/ROWS(Suivi!$G$1569:$G$1569))</f>
        <v/>
      </c>
      <c r="J33" s="11">
        <f>IF($A33="","",SUMPRODUCT(ISNUMBER(SEARCH(".",Suivi!$B$1517:$B$1569))*((Suivi!$G$1517:$G$1569="Réalisé")+(Suivi!$G$1517:$G$1569="Clôturé")))/SUMPRODUCT(--ISNUMBER(SEARCH(".",Suivi!$B$1517:$B$1569))))</f>
        <v/>
      </c>
      <c r="K33">
        <f>IF($A33="","",SUMPRODUCT(ISNUMBER(SEARCH(".",Suivi!$B$1517:$B$1569))*ISNUMBER(Suivi!$F$1517:$F$1569)*(Suivi!$F$1517:$F$1569&lt;TODAY())*(Suivi!$G$1517:$G$1569&lt;&gt;"Réalisé")*(Suivi!$G$1517:$G$1569&lt;&gt;"Clôturé")))</f>
        <v/>
      </c>
    </row>
    <row r="34">
      <c r="A34" s="10">
        <f>IF(ISNUMBER(Dossiers!$D$33),HYPERLINK("#Suivi!A1570",Dossiers!$E$33),"")</f>
        <v/>
      </c>
      <c r="B34" s="5">
        <f>IF($A34="","",Dossiers!$D$33)</f>
        <v/>
      </c>
      <c r="C34" s="5">
        <f>IF($A34="","",MAX(Suivi!$F$1571:$F$1623))</f>
        <v/>
      </c>
      <c r="D34" s="11">
        <f>IF($A34="","",(COUNTIF(Suivi!$G$1572:$G$1575,"Réalisé")+COUNTIF(Suivi!$G$1572:$G$1575,"Clôturé"))/ROWS(Suivi!$G$1572:$G$1575))</f>
        <v/>
      </c>
      <c r="E34" s="11">
        <f>IF($A34="","",(COUNTIF(Suivi!$G$1577:$G$1580,"Réalisé")+COUNTIF(Suivi!$G$1577:$G$1580,"Clôturé"))/ROWS(Suivi!$G$1577:$G$1580))</f>
        <v/>
      </c>
      <c r="F34" s="11">
        <f>IF($A34="","",(COUNTIF(Suivi!$G$1582:$G$1597,"Réalisé")+COUNTIF(Suivi!$G$1582:$G$1597,"Clôturé"))/ROWS(Suivi!$G$1582:$G$1597))</f>
        <v/>
      </c>
      <c r="G34" s="11">
        <f>IF($A34="","",(COUNTIF(Suivi!$G$1599:$G$1602,"Réalisé")+COUNTIF(Suivi!$G$1599:$G$1602,"Clôturé"))/ROWS(Suivi!$G$1599:$G$1602))</f>
        <v/>
      </c>
      <c r="H34" s="11">
        <f>IF($A34="","",(COUNTIF(Suivi!$G$1604:$G$1621,"Réalisé")+COUNTIF(Suivi!$G$1604:$G$1621,"Clôturé"))/ROWS(Suivi!$G$1604:$G$1621))</f>
        <v/>
      </c>
      <c r="I34" s="11">
        <f>IF($A34="","",(COUNTIF(Suivi!$G$1623:$G$1623,"Réalisé")+COUNTIF(Suivi!$G$1623:$G$1623,"Clôturé"))/ROWS(Suivi!$G$1623:$G$1623))</f>
        <v/>
      </c>
      <c r="J34" s="11">
        <f>IF($A34="","",SUMPRODUCT(ISNUMBER(SEARCH(".",Suivi!$B$1571:$B$1623))*((Suivi!$G$1571:$G$1623="Réalisé")+(Suivi!$G$1571:$G$1623="Clôturé")))/SUMPRODUCT(--ISNUMBER(SEARCH(".",Suivi!$B$1571:$B$1623))))</f>
        <v/>
      </c>
      <c r="K34">
        <f>IF($A34="","",SUMPRODUCT(ISNUMBER(SEARCH(".",Suivi!$B$1571:$B$1623))*ISNUMBER(Suivi!$F$1571:$F$1623)*(Suivi!$F$1571:$F$1623&lt;TODAY())*(Suivi!$G$1571:$G$1623&lt;&gt;"Réalisé")*(Suivi!$G$1571:$G$1623&lt;&gt;"Clôturé")))</f>
        <v/>
      </c>
    </row>
    <row r="35">
      <c r="A35" s="10">
        <f>IF(ISNUMBER(Dossiers!$D$34),HYPERLINK("#Suivi!A1624",Dossiers!$E$34),"")</f>
        <v/>
      </c>
      <c r="B35" s="5">
        <f>IF($A35="","",Dossiers!$D$34)</f>
        <v/>
      </c>
      <c r="C35" s="5">
        <f>IF($A35="","",MAX(Suivi!$F$1625:$F$1677))</f>
        <v/>
      </c>
      <c r="D35" s="11">
        <f>IF($A35="","",(COUNTIF(Suivi!$G$1626:$G$1629,"Réalisé")+COUNTIF(Suivi!$G$1626:$G$1629,"Clôturé"))/ROWS(Suivi!$G$1626:$G$1629))</f>
        <v/>
      </c>
      <c r="E35" s="11">
        <f>IF($A35="","",(COUNTIF(Suivi!$G$1631:$G$1634,"Réalisé")+COUNTIF(Suivi!$G$1631:$G$1634,"Clôturé"))/ROWS(Suivi!$G$1631:$G$1634))</f>
        <v/>
      </c>
      <c r="F35" s="11">
        <f>IF($A35="","",(COUNTIF(Suivi!$G$1636:$G$1651,"Réalisé")+COUNTIF(Suivi!$G$1636:$G$1651,"Clôturé"))/ROWS(Suivi!$G$1636:$G$1651))</f>
        <v/>
      </c>
      <c r="G35" s="11">
        <f>IF($A35="","",(COUNTIF(Suivi!$G$1653:$G$1656,"Réalisé")+COUNTIF(Suivi!$G$1653:$G$1656,"Clôturé"))/ROWS(Suivi!$G$1653:$G$1656))</f>
        <v/>
      </c>
      <c r="H35" s="11">
        <f>IF($A35="","",(COUNTIF(Suivi!$G$1658:$G$1675,"Réalisé")+COUNTIF(Suivi!$G$1658:$G$1675,"Clôturé"))/ROWS(Suivi!$G$1658:$G$1675))</f>
        <v/>
      </c>
      <c r="I35" s="11">
        <f>IF($A35="","",(COUNTIF(Suivi!$G$1677:$G$1677,"Réalisé")+COUNTIF(Suivi!$G$1677:$G$1677,"Clôturé"))/ROWS(Suivi!$G$1677:$G$1677))</f>
        <v/>
      </c>
      <c r="J35" s="11">
        <f>IF($A35="","",SUMPRODUCT(ISNUMBER(SEARCH(".",Suivi!$B$1625:$B$1677))*((Suivi!$G$1625:$G$1677="Réalisé")+(Suivi!$G$1625:$G$1677="Clôturé")))/SUMPRODUCT(--ISNUMBER(SEARCH(".",Suivi!$B$1625:$B$1677))))</f>
        <v/>
      </c>
      <c r="K35">
        <f>IF($A35="","",SUMPRODUCT(ISNUMBER(SEARCH(".",Suivi!$B$1625:$B$1677))*ISNUMBER(Suivi!$F$1625:$F$1677)*(Suivi!$F$1625:$F$1677&lt;TODAY())*(Suivi!$G$1625:$G$1677&lt;&gt;"Réalisé")*(Suivi!$G$1625:$G$1677&lt;&gt;"Clôturé")))</f>
        <v/>
      </c>
    </row>
    <row r="36">
      <c r="A36" s="10">
        <f>IF(ISNUMBER(Dossiers!$D$35),HYPERLINK("#Suivi!A1678",Dossiers!$E$35),"")</f>
        <v/>
      </c>
      <c r="B36" s="5">
        <f>IF($A36="","",Dossiers!$D$35)</f>
        <v/>
      </c>
      <c r="C36" s="5">
        <f>IF($A36="","",MAX(Suivi!$F$1679:$F$1731))</f>
        <v/>
      </c>
      <c r="D36" s="11">
        <f>IF($A36="","",(COUNTIF(Suivi!$G$1680:$G$1683,"Réalisé")+COUNTIF(Suivi!$G$1680:$G$1683,"Clôturé"))/ROWS(Suivi!$G$1680:$G$1683))</f>
        <v/>
      </c>
      <c r="E36" s="11">
        <f>IF($A36="","",(COUNTIF(Suivi!$G$1685:$G$1688,"Réalisé")+COUNTIF(Suivi!$G$1685:$G$1688,"Clôturé"))/ROWS(Suivi!$G$1685:$G$1688))</f>
        <v/>
      </c>
      <c r="F36" s="11">
        <f>IF($A36="","",(COUNTIF(Suivi!$G$1690:$G$1705,"Réalisé")+COUNTIF(Suivi!$G$1690:$G$1705,"Clôturé"))/ROWS(Suivi!$G$1690:$G$1705))</f>
        <v/>
      </c>
      <c r="G36" s="11">
        <f>IF($A36="","",(COUNTIF(Suivi!$G$1707:$G$1710,"Réalisé")+COUNTIF(Suivi!$G$1707:$G$1710,"Clôturé"))/ROWS(Suivi!$G$1707:$G$1710))</f>
        <v/>
      </c>
      <c r="H36" s="11">
        <f>IF($A36="","",(COUNTIF(Suivi!$G$1712:$G$1729,"Réalisé")+COUNTIF(Suivi!$G$1712:$G$1729,"Clôturé"))/ROWS(Suivi!$G$1712:$G$1729))</f>
        <v/>
      </c>
      <c r="I36" s="11">
        <f>IF($A36="","",(COUNTIF(Suivi!$G$1731:$G$1731,"Réalisé")+COUNTIF(Suivi!$G$1731:$G$1731,"Clôturé"))/ROWS(Suivi!$G$1731:$G$1731))</f>
        <v/>
      </c>
      <c r="J36" s="11">
        <f>IF($A36="","",SUMPRODUCT(ISNUMBER(SEARCH(".",Suivi!$B$1679:$B$1731))*((Suivi!$G$1679:$G$1731="Réalisé")+(Suivi!$G$1679:$G$1731="Clôturé")))/SUMPRODUCT(--ISNUMBER(SEARCH(".",Suivi!$B$1679:$B$1731))))</f>
        <v/>
      </c>
      <c r="K36">
        <f>IF($A36="","",SUMPRODUCT(ISNUMBER(SEARCH(".",Suivi!$B$1679:$B$1731))*ISNUMBER(Suivi!$F$1679:$F$1731)*(Suivi!$F$1679:$F$1731&lt;TODAY())*(Suivi!$G$1679:$G$1731&lt;&gt;"Réalisé")*(Suivi!$G$1679:$G$1731&lt;&gt;"Clôturé")))</f>
        <v/>
      </c>
    </row>
    <row r="37">
      <c r="A37" s="10">
        <f>IF(ISNUMBER(Dossiers!$D$36),HYPERLINK("#Suivi!A1732",Dossiers!$E$36),"")</f>
        <v/>
      </c>
      <c r="B37" s="5">
        <f>IF($A37="","",Dossiers!$D$36)</f>
        <v/>
      </c>
      <c r="C37" s="5">
        <f>IF($A37="","",MAX(Suivi!$F$1733:$F$1785))</f>
        <v/>
      </c>
      <c r="D37" s="11">
        <f>IF($A37="","",(COUNTIF(Suivi!$G$1734:$G$1737,"Réalisé")+COUNTIF(Suivi!$G$1734:$G$1737,"Clôturé"))/ROWS(Suivi!$G$1734:$G$1737))</f>
        <v/>
      </c>
      <c r="E37" s="11">
        <f>IF($A37="","",(COUNTIF(Suivi!$G$1739:$G$1742,"Réalisé")+COUNTIF(Suivi!$G$1739:$G$1742,"Clôturé"))/ROWS(Suivi!$G$1739:$G$1742))</f>
        <v/>
      </c>
      <c r="F37" s="11">
        <f>IF($A37="","",(COUNTIF(Suivi!$G$1744:$G$1759,"Réalisé")+COUNTIF(Suivi!$G$1744:$G$1759,"Clôturé"))/ROWS(Suivi!$G$1744:$G$1759))</f>
        <v/>
      </c>
      <c r="G37" s="11">
        <f>IF($A37="","",(COUNTIF(Suivi!$G$1761:$G$1764,"Réalisé")+COUNTIF(Suivi!$G$1761:$G$1764,"Clôturé"))/ROWS(Suivi!$G$1761:$G$1764))</f>
        <v/>
      </c>
      <c r="H37" s="11">
        <f>IF($A37="","",(COUNTIF(Suivi!$G$1766:$G$1783,"Réalisé")+COUNTIF(Suivi!$G$1766:$G$1783,"Clôturé"))/ROWS(Suivi!$G$1766:$G$1783))</f>
        <v/>
      </c>
      <c r="I37" s="11">
        <f>IF($A37="","",(COUNTIF(Suivi!$G$1785:$G$1785,"Réalisé")+COUNTIF(Suivi!$G$1785:$G$1785,"Clôturé"))/ROWS(Suivi!$G$1785:$G$1785))</f>
        <v/>
      </c>
      <c r="J37" s="11">
        <f>IF($A37="","",SUMPRODUCT(ISNUMBER(SEARCH(".",Suivi!$B$1733:$B$1785))*((Suivi!$G$1733:$G$1785="Réalisé")+(Suivi!$G$1733:$G$1785="Clôturé")))/SUMPRODUCT(--ISNUMBER(SEARCH(".",Suivi!$B$1733:$B$1785))))</f>
        <v/>
      </c>
      <c r="K37">
        <f>IF($A37="","",SUMPRODUCT(ISNUMBER(SEARCH(".",Suivi!$B$1733:$B$1785))*ISNUMBER(Suivi!$F$1733:$F$1785)*(Suivi!$F$1733:$F$1785&lt;TODAY())*(Suivi!$G$1733:$G$1785&lt;&gt;"Réalisé")*(Suivi!$G$1733:$G$1785&lt;&gt;"Clôturé")))</f>
        <v/>
      </c>
    </row>
    <row r="38">
      <c r="A38" s="10">
        <f>IF(ISNUMBER(Dossiers!$D$37),HYPERLINK("#Suivi!A1786",Dossiers!$E$37),"")</f>
        <v/>
      </c>
      <c r="B38" s="5">
        <f>IF($A38="","",Dossiers!$D$37)</f>
        <v/>
      </c>
      <c r="C38" s="5">
        <f>IF($A38="","",MAX(Suivi!$F$1787:$F$1839))</f>
        <v/>
      </c>
      <c r="D38" s="11">
        <f>IF($A38="","",(COUNTIF(Suivi!$G$1788:$G$1791,"Réalisé")+COUNTIF(Suivi!$G$1788:$G$1791,"Clôturé"))/ROWS(Suivi!$G$1788:$G$1791))</f>
        <v/>
      </c>
      <c r="E38" s="11">
        <f>IF($A38="","",(COUNTIF(Suivi!$G$1793:$G$1796,"Réalisé")+COUNTIF(Suivi!$G$1793:$G$1796,"Clôturé"))/ROWS(Suivi!$G$1793:$G$1796))</f>
        <v/>
      </c>
      <c r="F38" s="11">
        <f>IF($A38="","",(COUNTIF(Suivi!$G$1798:$G$1813,"Réalisé")+COUNTIF(Suivi!$G$1798:$G$1813,"Clôturé"))/ROWS(Suivi!$G$1798:$G$1813))</f>
        <v/>
      </c>
      <c r="G38" s="11">
        <f>IF($A38="","",(COUNTIF(Suivi!$G$1815:$G$1818,"Réalisé")+COUNTIF(Suivi!$G$1815:$G$1818,"Clôturé"))/ROWS(Suivi!$G$1815:$G$1818))</f>
        <v/>
      </c>
      <c r="H38" s="11">
        <f>IF($A38="","",(COUNTIF(Suivi!$G$1820:$G$1837,"Réalisé")+COUNTIF(Suivi!$G$1820:$G$1837,"Clôturé"))/ROWS(Suivi!$G$1820:$G$1837))</f>
        <v/>
      </c>
      <c r="I38" s="11">
        <f>IF($A38="","",(COUNTIF(Suivi!$G$1839:$G$1839,"Réalisé")+COUNTIF(Suivi!$G$1839:$G$1839,"Clôturé"))/ROWS(Suivi!$G$1839:$G$1839))</f>
        <v/>
      </c>
      <c r="J38" s="11">
        <f>IF($A38="","",SUMPRODUCT(ISNUMBER(SEARCH(".",Suivi!$B$1787:$B$1839))*((Suivi!$G$1787:$G$1839="Réalisé")+(Suivi!$G$1787:$G$1839="Clôturé")))/SUMPRODUCT(--ISNUMBER(SEARCH(".",Suivi!$B$1787:$B$1839))))</f>
        <v/>
      </c>
      <c r="K38">
        <f>IF($A38="","",SUMPRODUCT(ISNUMBER(SEARCH(".",Suivi!$B$1787:$B$1839))*ISNUMBER(Suivi!$F$1787:$F$1839)*(Suivi!$F$1787:$F$1839&lt;TODAY())*(Suivi!$G$1787:$G$1839&lt;&gt;"Réalisé")*(Suivi!$G$1787:$G$1839&lt;&gt;"Clôturé")))</f>
        <v/>
      </c>
    </row>
    <row r="39">
      <c r="A39" s="10">
        <f>IF(ISNUMBER(Dossiers!$D$38),HYPERLINK("#Suivi!A1840",Dossiers!$E$38),"")</f>
        <v/>
      </c>
      <c r="B39" s="5">
        <f>IF($A39="","",Dossiers!$D$38)</f>
        <v/>
      </c>
      <c r="C39" s="5">
        <f>IF($A39="","",MAX(Suivi!$F$1841:$F$1893))</f>
        <v/>
      </c>
      <c r="D39" s="11">
        <f>IF($A39="","",(COUNTIF(Suivi!$G$1842:$G$1845,"Réalisé")+COUNTIF(Suivi!$G$1842:$G$1845,"Clôturé"))/ROWS(Suivi!$G$1842:$G$1845))</f>
        <v/>
      </c>
      <c r="E39" s="11">
        <f>IF($A39="","",(COUNTIF(Suivi!$G$1847:$G$1850,"Réalisé")+COUNTIF(Suivi!$G$1847:$G$1850,"Clôturé"))/ROWS(Suivi!$G$1847:$G$1850))</f>
        <v/>
      </c>
      <c r="F39" s="11">
        <f>IF($A39="","",(COUNTIF(Suivi!$G$1852:$G$1867,"Réalisé")+COUNTIF(Suivi!$G$1852:$G$1867,"Clôturé"))/ROWS(Suivi!$G$1852:$G$1867))</f>
        <v/>
      </c>
      <c r="G39" s="11">
        <f>IF($A39="","",(COUNTIF(Suivi!$G$1869:$G$1872,"Réalisé")+COUNTIF(Suivi!$G$1869:$G$1872,"Clôturé"))/ROWS(Suivi!$G$1869:$G$1872))</f>
        <v/>
      </c>
      <c r="H39" s="11">
        <f>IF($A39="","",(COUNTIF(Suivi!$G$1874:$G$1891,"Réalisé")+COUNTIF(Suivi!$G$1874:$G$1891,"Clôturé"))/ROWS(Suivi!$G$1874:$G$1891))</f>
        <v/>
      </c>
      <c r="I39" s="11">
        <f>IF($A39="","",(COUNTIF(Suivi!$G$1893:$G$1893,"Réalisé")+COUNTIF(Suivi!$G$1893:$G$1893,"Clôturé"))/ROWS(Suivi!$G$1893:$G$1893))</f>
        <v/>
      </c>
      <c r="J39" s="11">
        <f>IF($A39="","",SUMPRODUCT(ISNUMBER(SEARCH(".",Suivi!$B$1841:$B$1893))*((Suivi!$G$1841:$G$1893="Réalisé")+(Suivi!$G$1841:$G$1893="Clôturé")))/SUMPRODUCT(--ISNUMBER(SEARCH(".",Suivi!$B$1841:$B$1893))))</f>
        <v/>
      </c>
      <c r="K39">
        <f>IF($A39="","",SUMPRODUCT(ISNUMBER(SEARCH(".",Suivi!$B$1841:$B$1893))*ISNUMBER(Suivi!$F$1841:$F$1893)*(Suivi!$F$1841:$F$1893&lt;TODAY())*(Suivi!$G$1841:$G$1893&lt;&gt;"Réalisé")*(Suivi!$G$1841:$G$1893&lt;&gt;"Clôturé")))</f>
        <v/>
      </c>
    </row>
    <row r="40">
      <c r="A40" s="10">
        <f>IF(ISNUMBER(Dossiers!$D$39),HYPERLINK("#Suivi!A1894",Dossiers!$E$39),"")</f>
        <v/>
      </c>
      <c r="B40" s="5">
        <f>IF($A40="","",Dossiers!$D$39)</f>
        <v/>
      </c>
      <c r="C40" s="5">
        <f>IF($A40="","",MAX(Suivi!$F$1895:$F$1947))</f>
        <v/>
      </c>
      <c r="D40" s="11">
        <f>IF($A40="","",(COUNTIF(Suivi!$G$1896:$G$1899,"Réalisé")+COUNTIF(Suivi!$G$1896:$G$1899,"Clôturé"))/ROWS(Suivi!$G$1896:$G$1899))</f>
        <v/>
      </c>
      <c r="E40" s="11">
        <f>IF($A40="","",(COUNTIF(Suivi!$G$1901:$G$1904,"Réalisé")+COUNTIF(Suivi!$G$1901:$G$1904,"Clôturé"))/ROWS(Suivi!$G$1901:$G$1904))</f>
        <v/>
      </c>
      <c r="F40" s="11">
        <f>IF($A40="","",(COUNTIF(Suivi!$G$1906:$G$1921,"Réalisé")+COUNTIF(Suivi!$G$1906:$G$1921,"Clôturé"))/ROWS(Suivi!$G$1906:$G$1921))</f>
        <v/>
      </c>
      <c r="G40" s="11">
        <f>IF($A40="","",(COUNTIF(Suivi!$G$1923:$G$1926,"Réalisé")+COUNTIF(Suivi!$G$1923:$G$1926,"Clôturé"))/ROWS(Suivi!$G$1923:$G$1926))</f>
        <v/>
      </c>
      <c r="H40" s="11">
        <f>IF($A40="","",(COUNTIF(Suivi!$G$1928:$G$1945,"Réalisé")+COUNTIF(Suivi!$G$1928:$G$1945,"Clôturé"))/ROWS(Suivi!$G$1928:$G$1945))</f>
        <v/>
      </c>
      <c r="I40" s="11">
        <f>IF($A40="","",(COUNTIF(Suivi!$G$1947:$G$1947,"Réalisé")+COUNTIF(Suivi!$G$1947:$G$1947,"Clôturé"))/ROWS(Suivi!$G$1947:$G$1947))</f>
        <v/>
      </c>
      <c r="J40" s="11">
        <f>IF($A40="","",SUMPRODUCT(ISNUMBER(SEARCH(".",Suivi!$B$1895:$B$1947))*((Suivi!$G$1895:$G$1947="Réalisé")+(Suivi!$G$1895:$G$1947="Clôturé")))/SUMPRODUCT(--ISNUMBER(SEARCH(".",Suivi!$B$1895:$B$1947))))</f>
        <v/>
      </c>
      <c r="K40">
        <f>IF($A40="","",SUMPRODUCT(ISNUMBER(SEARCH(".",Suivi!$B$1895:$B$1947))*ISNUMBER(Suivi!$F$1895:$F$1947)*(Suivi!$F$1895:$F$1947&lt;TODAY())*(Suivi!$G$1895:$G$1947&lt;&gt;"Réalisé")*(Suivi!$G$1895:$G$1947&lt;&gt;"Clôturé")))</f>
        <v/>
      </c>
    </row>
    <row r="41">
      <c r="A41" s="10">
        <f>IF(ISNUMBER(Dossiers!$D$40),HYPERLINK("#Suivi!A1948",Dossiers!$E$40),"")</f>
        <v/>
      </c>
      <c r="B41" s="5">
        <f>IF($A41="","",Dossiers!$D$40)</f>
        <v/>
      </c>
      <c r="C41" s="5">
        <f>IF($A41="","",MAX(Suivi!$F$1949:$F$2001))</f>
        <v/>
      </c>
      <c r="D41" s="11">
        <f>IF($A41="","",(COUNTIF(Suivi!$G$1950:$G$1953,"Réalisé")+COUNTIF(Suivi!$G$1950:$G$1953,"Clôturé"))/ROWS(Suivi!$G$1950:$G$1953))</f>
        <v/>
      </c>
      <c r="E41" s="11">
        <f>IF($A41="","",(COUNTIF(Suivi!$G$1955:$G$1958,"Réalisé")+COUNTIF(Suivi!$G$1955:$G$1958,"Clôturé"))/ROWS(Suivi!$G$1955:$G$1958))</f>
        <v/>
      </c>
      <c r="F41" s="11">
        <f>IF($A41="","",(COUNTIF(Suivi!$G$1960:$G$1975,"Réalisé")+COUNTIF(Suivi!$G$1960:$G$1975,"Clôturé"))/ROWS(Suivi!$G$1960:$G$1975))</f>
        <v/>
      </c>
      <c r="G41" s="11">
        <f>IF($A41="","",(COUNTIF(Suivi!$G$1977:$G$1980,"Réalisé")+COUNTIF(Suivi!$G$1977:$G$1980,"Clôturé"))/ROWS(Suivi!$G$1977:$G$1980))</f>
        <v/>
      </c>
      <c r="H41" s="11">
        <f>IF($A41="","",(COUNTIF(Suivi!$G$1982:$G$1999,"Réalisé")+COUNTIF(Suivi!$G$1982:$G$1999,"Clôturé"))/ROWS(Suivi!$G$1982:$G$1999))</f>
        <v/>
      </c>
      <c r="I41" s="11">
        <f>IF($A41="","",(COUNTIF(Suivi!$G$2001:$G$2001,"Réalisé")+COUNTIF(Suivi!$G$2001:$G$2001,"Clôturé"))/ROWS(Suivi!$G$2001:$G$2001))</f>
        <v/>
      </c>
      <c r="J41" s="11">
        <f>IF($A41="","",SUMPRODUCT(ISNUMBER(SEARCH(".",Suivi!$B$1949:$B$2001))*((Suivi!$G$1949:$G$2001="Réalisé")+(Suivi!$G$1949:$G$2001="Clôturé")))/SUMPRODUCT(--ISNUMBER(SEARCH(".",Suivi!$B$1949:$B$2001))))</f>
        <v/>
      </c>
      <c r="K41">
        <f>IF($A41="","",SUMPRODUCT(ISNUMBER(SEARCH(".",Suivi!$B$1949:$B$2001))*ISNUMBER(Suivi!$F$1949:$F$2001)*(Suivi!$F$1949:$F$2001&lt;TODAY())*(Suivi!$G$1949:$G$2001&lt;&gt;"Réalisé")*(Suivi!$G$1949:$G$2001&lt;&gt;"Clôturé")))</f>
        <v/>
      </c>
    </row>
    <row r="42">
      <c r="A42" s="10">
        <f>IF(ISNUMBER(Dossiers!$D$41),HYPERLINK("#Suivi!A2002",Dossiers!$E$41),"")</f>
        <v/>
      </c>
      <c r="B42" s="5">
        <f>IF($A42="","",Dossiers!$D$41)</f>
        <v/>
      </c>
      <c r="C42" s="5">
        <f>IF($A42="","",MAX(Suivi!$F$2003:$F$2055))</f>
        <v/>
      </c>
      <c r="D42" s="11">
        <f>IF($A42="","",(COUNTIF(Suivi!$G$2004:$G$2007,"Réalisé")+COUNTIF(Suivi!$G$2004:$G$2007,"Clôturé"))/ROWS(Suivi!$G$2004:$G$2007))</f>
        <v/>
      </c>
      <c r="E42" s="11">
        <f>IF($A42="","",(COUNTIF(Suivi!$G$2009:$G$2012,"Réalisé")+COUNTIF(Suivi!$G$2009:$G$2012,"Clôturé"))/ROWS(Suivi!$G$2009:$G$2012))</f>
        <v/>
      </c>
      <c r="F42" s="11">
        <f>IF($A42="","",(COUNTIF(Suivi!$G$2014:$G$2029,"Réalisé")+COUNTIF(Suivi!$G$2014:$G$2029,"Clôturé"))/ROWS(Suivi!$G$2014:$G$2029))</f>
        <v/>
      </c>
      <c r="G42" s="11">
        <f>IF($A42="","",(COUNTIF(Suivi!$G$2031:$G$2034,"Réalisé")+COUNTIF(Suivi!$G$2031:$G$2034,"Clôturé"))/ROWS(Suivi!$G$2031:$G$2034))</f>
        <v/>
      </c>
      <c r="H42" s="11">
        <f>IF($A42="","",(COUNTIF(Suivi!$G$2036:$G$2053,"Réalisé")+COUNTIF(Suivi!$G$2036:$G$2053,"Clôturé"))/ROWS(Suivi!$G$2036:$G$2053))</f>
        <v/>
      </c>
      <c r="I42" s="11">
        <f>IF($A42="","",(COUNTIF(Suivi!$G$2055:$G$2055,"Réalisé")+COUNTIF(Suivi!$G$2055:$G$2055,"Clôturé"))/ROWS(Suivi!$G$2055:$G$2055))</f>
        <v/>
      </c>
      <c r="J42" s="11">
        <f>IF($A42="","",SUMPRODUCT(ISNUMBER(SEARCH(".",Suivi!$B$2003:$B$2055))*((Suivi!$G$2003:$G$2055="Réalisé")+(Suivi!$G$2003:$G$2055="Clôturé")))/SUMPRODUCT(--ISNUMBER(SEARCH(".",Suivi!$B$2003:$B$2055))))</f>
        <v/>
      </c>
      <c r="K42">
        <f>IF($A42="","",SUMPRODUCT(ISNUMBER(SEARCH(".",Suivi!$B$2003:$B$2055))*ISNUMBER(Suivi!$F$2003:$F$2055)*(Suivi!$F$2003:$F$2055&lt;TODAY())*(Suivi!$G$2003:$G$2055&lt;&gt;"Réalisé")*(Suivi!$G$2003:$G$2055&lt;&gt;"Clôturé")))</f>
        <v/>
      </c>
    </row>
    <row r="43">
      <c r="A43" s="10">
        <f>IF(ISNUMBER(Dossiers!$D$42),HYPERLINK("#Suivi!A2056",Dossiers!$E$42),"")</f>
        <v/>
      </c>
      <c r="B43" s="5">
        <f>IF($A43="","",Dossiers!$D$42)</f>
        <v/>
      </c>
      <c r="C43" s="5">
        <f>IF($A43="","",MAX(Suivi!$F$2057:$F$2109))</f>
        <v/>
      </c>
      <c r="D43" s="11">
        <f>IF($A43="","",(COUNTIF(Suivi!$G$2058:$G$2061,"Réalisé")+COUNTIF(Suivi!$G$2058:$G$2061,"Clôturé"))/ROWS(Suivi!$G$2058:$G$2061))</f>
        <v/>
      </c>
      <c r="E43" s="11">
        <f>IF($A43="","",(COUNTIF(Suivi!$G$2063:$G$2066,"Réalisé")+COUNTIF(Suivi!$G$2063:$G$2066,"Clôturé"))/ROWS(Suivi!$G$2063:$G$2066))</f>
        <v/>
      </c>
      <c r="F43" s="11">
        <f>IF($A43="","",(COUNTIF(Suivi!$G$2068:$G$2083,"Réalisé")+COUNTIF(Suivi!$G$2068:$G$2083,"Clôturé"))/ROWS(Suivi!$G$2068:$G$2083))</f>
        <v/>
      </c>
      <c r="G43" s="11">
        <f>IF($A43="","",(COUNTIF(Suivi!$G$2085:$G$2088,"Réalisé")+COUNTIF(Suivi!$G$2085:$G$2088,"Clôturé"))/ROWS(Suivi!$G$2085:$G$2088))</f>
        <v/>
      </c>
      <c r="H43" s="11">
        <f>IF($A43="","",(COUNTIF(Suivi!$G$2090:$G$2107,"Réalisé")+COUNTIF(Suivi!$G$2090:$G$2107,"Clôturé"))/ROWS(Suivi!$G$2090:$G$2107))</f>
        <v/>
      </c>
      <c r="I43" s="11">
        <f>IF($A43="","",(COUNTIF(Suivi!$G$2109:$G$2109,"Réalisé")+COUNTIF(Suivi!$G$2109:$G$2109,"Clôturé"))/ROWS(Suivi!$G$2109:$G$2109))</f>
        <v/>
      </c>
      <c r="J43" s="11">
        <f>IF($A43="","",SUMPRODUCT(ISNUMBER(SEARCH(".",Suivi!$B$2057:$B$2109))*((Suivi!$G$2057:$G$2109="Réalisé")+(Suivi!$G$2057:$G$2109="Clôturé")))/SUMPRODUCT(--ISNUMBER(SEARCH(".",Suivi!$B$2057:$B$2109))))</f>
        <v/>
      </c>
      <c r="K43">
        <f>IF($A43="","",SUMPRODUCT(ISNUMBER(SEARCH(".",Suivi!$B$2057:$B$2109))*ISNUMBER(Suivi!$F$2057:$F$2109)*(Suivi!$F$2057:$F$2109&lt;TODAY())*(Suivi!$G$2057:$G$2109&lt;&gt;"Réalisé")*(Suivi!$G$2057:$G$2109&lt;&gt;"Clôturé")))</f>
        <v/>
      </c>
    </row>
    <row r="44">
      <c r="A44" s="10">
        <f>IF(ISNUMBER(Dossiers!$D$43),HYPERLINK("#Suivi!A2110",Dossiers!$E$43),"")</f>
        <v/>
      </c>
      <c r="B44" s="5">
        <f>IF($A44="","",Dossiers!$D$43)</f>
        <v/>
      </c>
      <c r="C44" s="5">
        <f>IF($A44="","",MAX(Suivi!$F$2111:$F$2163))</f>
        <v/>
      </c>
      <c r="D44" s="11">
        <f>IF($A44="","",(COUNTIF(Suivi!$G$2112:$G$2115,"Réalisé")+COUNTIF(Suivi!$G$2112:$G$2115,"Clôturé"))/ROWS(Suivi!$G$2112:$G$2115))</f>
        <v/>
      </c>
      <c r="E44" s="11">
        <f>IF($A44="","",(COUNTIF(Suivi!$G$2117:$G$2120,"Réalisé")+COUNTIF(Suivi!$G$2117:$G$2120,"Clôturé"))/ROWS(Suivi!$G$2117:$G$2120))</f>
        <v/>
      </c>
      <c r="F44" s="11">
        <f>IF($A44="","",(COUNTIF(Suivi!$G$2122:$G$2137,"Réalisé")+COUNTIF(Suivi!$G$2122:$G$2137,"Clôturé"))/ROWS(Suivi!$G$2122:$G$2137))</f>
        <v/>
      </c>
      <c r="G44" s="11">
        <f>IF($A44="","",(COUNTIF(Suivi!$G$2139:$G$2142,"Réalisé")+COUNTIF(Suivi!$G$2139:$G$2142,"Clôturé"))/ROWS(Suivi!$G$2139:$G$2142))</f>
        <v/>
      </c>
      <c r="H44" s="11">
        <f>IF($A44="","",(COUNTIF(Suivi!$G$2144:$G$2161,"Réalisé")+COUNTIF(Suivi!$G$2144:$G$2161,"Clôturé"))/ROWS(Suivi!$G$2144:$G$2161))</f>
        <v/>
      </c>
      <c r="I44" s="11">
        <f>IF($A44="","",(COUNTIF(Suivi!$G$2163:$G$2163,"Réalisé")+COUNTIF(Suivi!$G$2163:$G$2163,"Clôturé"))/ROWS(Suivi!$G$2163:$G$2163))</f>
        <v/>
      </c>
      <c r="J44" s="11">
        <f>IF($A44="","",SUMPRODUCT(ISNUMBER(SEARCH(".",Suivi!$B$2111:$B$2163))*((Suivi!$G$2111:$G$2163="Réalisé")+(Suivi!$G$2111:$G$2163="Clôturé")))/SUMPRODUCT(--ISNUMBER(SEARCH(".",Suivi!$B$2111:$B$2163))))</f>
        <v/>
      </c>
      <c r="K44">
        <f>IF($A44="","",SUMPRODUCT(ISNUMBER(SEARCH(".",Suivi!$B$2111:$B$2163))*ISNUMBER(Suivi!$F$2111:$F$2163)*(Suivi!$F$2111:$F$2163&lt;TODAY())*(Suivi!$G$2111:$G$2163&lt;&gt;"Réalisé")*(Suivi!$G$2111:$G$2163&lt;&gt;"Clôturé")))</f>
        <v/>
      </c>
    </row>
    <row r="45">
      <c r="A45" s="10">
        <f>IF(ISNUMBER(Dossiers!$D$44),HYPERLINK("#Suivi!A2164",Dossiers!$E$44),"")</f>
        <v/>
      </c>
      <c r="B45" s="5">
        <f>IF($A45="","",Dossiers!$D$44)</f>
        <v/>
      </c>
      <c r="C45" s="5">
        <f>IF($A45="","",MAX(Suivi!$F$2165:$F$2217))</f>
        <v/>
      </c>
      <c r="D45" s="11">
        <f>IF($A45="","",(COUNTIF(Suivi!$G$2166:$G$2169,"Réalisé")+COUNTIF(Suivi!$G$2166:$G$2169,"Clôturé"))/ROWS(Suivi!$G$2166:$G$2169))</f>
        <v/>
      </c>
      <c r="E45" s="11">
        <f>IF($A45="","",(COUNTIF(Suivi!$G$2171:$G$2174,"Réalisé")+COUNTIF(Suivi!$G$2171:$G$2174,"Clôturé"))/ROWS(Suivi!$G$2171:$G$2174))</f>
        <v/>
      </c>
      <c r="F45" s="11">
        <f>IF($A45="","",(COUNTIF(Suivi!$G$2176:$G$2191,"Réalisé")+COUNTIF(Suivi!$G$2176:$G$2191,"Clôturé"))/ROWS(Suivi!$G$2176:$G$2191))</f>
        <v/>
      </c>
      <c r="G45" s="11">
        <f>IF($A45="","",(COUNTIF(Suivi!$G$2193:$G$2196,"Réalisé")+COUNTIF(Suivi!$G$2193:$G$2196,"Clôturé"))/ROWS(Suivi!$G$2193:$G$2196))</f>
        <v/>
      </c>
      <c r="H45" s="11">
        <f>IF($A45="","",(COUNTIF(Suivi!$G$2198:$G$2215,"Réalisé")+COUNTIF(Suivi!$G$2198:$G$2215,"Clôturé"))/ROWS(Suivi!$G$2198:$G$2215))</f>
        <v/>
      </c>
      <c r="I45" s="11">
        <f>IF($A45="","",(COUNTIF(Suivi!$G$2217:$G$2217,"Réalisé")+COUNTIF(Suivi!$G$2217:$G$2217,"Clôturé"))/ROWS(Suivi!$G$2217:$G$2217))</f>
        <v/>
      </c>
      <c r="J45" s="11">
        <f>IF($A45="","",SUMPRODUCT(ISNUMBER(SEARCH(".",Suivi!$B$2165:$B$2217))*((Suivi!$G$2165:$G$2217="Réalisé")+(Suivi!$G$2165:$G$2217="Clôturé")))/SUMPRODUCT(--ISNUMBER(SEARCH(".",Suivi!$B$2165:$B$2217))))</f>
        <v/>
      </c>
      <c r="K45">
        <f>IF($A45="","",SUMPRODUCT(ISNUMBER(SEARCH(".",Suivi!$B$2165:$B$2217))*ISNUMBER(Suivi!$F$2165:$F$2217)*(Suivi!$F$2165:$F$2217&lt;TODAY())*(Suivi!$G$2165:$G$2217&lt;&gt;"Réalisé")*(Suivi!$G$2165:$G$2217&lt;&gt;"Clôturé")))</f>
        <v/>
      </c>
    </row>
    <row r="46">
      <c r="A46" s="10">
        <f>IF(ISNUMBER(Dossiers!$D$45),HYPERLINK("#Suivi!A2218",Dossiers!$E$45),"")</f>
        <v/>
      </c>
      <c r="B46" s="5">
        <f>IF($A46="","",Dossiers!$D$45)</f>
        <v/>
      </c>
      <c r="C46" s="5">
        <f>IF($A46="","",MAX(Suivi!$F$2219:$F$2271))</f>
        <v/>
      </c>
      <c r="D46" s="11">
        <f>IF($A46="","",(COUNTIF(Suivi!$G$2220:$G$2223,"Réalisé")+COUNTIF(Suivi!$G$2220:$G$2223,"Clôturé"))/ROWS(Suivi!$G$2220:$G$2223))</f>
        <v/>
      </c>
      <c r="E46" s="11">
        <f>IF($A46="","",(COUNTIF(Suivi!$G$2225:$G$2228,"Réalisé")+COUNTIF(Suivi!$G$2225:$G$2228,"Clôturé"))/ROWS(Suivi!$G$2225:$G$2228))</f>
        <v/>
      </c>
      <c r="F46" s="11">
        <f>IF($A46="","",(COUNTIF(Suivi!$G$2230:$G$2245,"Réalisé")+COUNTIF(Suivi!$G$2230:$G$2245,"Clôturé"))/ROWS(Suivi!$G$2230:$G$2245))</f>
        <v/>
      </c>
      <c r="G46" s="11">
        <f>IF($A46="","",(COUNTIF(Suivi!$G$2247:$G$2250,"Réalisé")+COUNTIF(Suivi!$G$2247:$G$2250,"Clôturé"))/ROWS(Suivi!$G$2247:$G$2250))</f>
        <v/>
      </c>
      <c r="H46" s="11">
        <f>IF($A46="","",(COUNTIF(Suivi!$G$2252:$G$2269,"Réalisé")+COUNTIF(Suivi!$G$2252:$G$2269,"Clôturé"))/ROWS(Suivi!$G$2252:$G$2269))</f>
        <v/>
      </c>
      <c r="I46" s="11">
        <f>IF($A46="","",(COUNTIF(Suivi!$G$2271:$G$2271,"Réalisé")+COUNTIF(Suivi!$G$2271:$G$2271,"Clôturé"))/ROWS(Suivi!$G$2271:$G$2271))</f>
        <v/>
      </c>
      <c r="J46" s="11">
        <f>IF($A46="","",SUMPRODUCT(ISNUMBER(SEARCH(".",Suivi!$B$2219:$B$2271))*((Suivi!$G$2219:$G$2271="Réalisé")+(Suivi!$G$2219:$G$2271="Clôturé")))/SUMPRODUCT(--ISNUMBER(SEARCH(".",Suivi!$B$2219:$B$2271))))</f>
        <v/>
      </c>
      <c r="K46">
        <f>IF($A46="","",SUMPRODUCT(ISNUMBER(SEARCH(".",Suivi!$B$2219:$B$2271))*ISNUMBER(Suivi!$F$2219:$F$2271)*(Suivi!$F$2219:$F$2271&lt;TODAY())*(Suivi!$G$2219:$G$2271&lt;&gt;"Réalisé")*(Suivi!$G$2219:$G$2271&lt;&gt;"Clôturé")))</f>
        <v/>
      </c>
    </row>
    <row r="47">
      <c r="A47" s="10">
        <f>IF(ISNUMBER(Dossiers!$D$46),HYPERLINK("#Suivi!A2272",Dossiers!$E$46),"")</f>
        <v/>
      </c>
      <c r="B47" s="5">
        <f>IF($A47="","",Dossiers!$D$46)</f>
        <v/>
      </c>
      <c r="C47" s="5">
        <f>IF($A47="","",MAX(Suivi!$F$2273:$F$2325))</f>
        <v/>
      </c>
      <c r="D47" s="11">
        <f>IF($A47="","",(COUNTIF(Suivi!$G$2274:$G$2277,"Réalisé")+COUNTIF(Suivi!$G$2274:$G$2277,"Clôturé"))/ROWS(Suivi!$G$2274:$G$2277))</f>
        <v/>
      </c>
      <c r="E47" s="11">
        <f>IF($A47="","",(COUNTIF(Suivi!$G$2279:$G$2282,"Réalisé")+COUNTIF(Suivi!$G$2279:$G$2282,"Clôturé"))/ROWS(Suivi!$G$2279:$G$2282))</f>
        <v/>
      </c>
      <c r="F47" s="11">
        <f>IF($A47="","",(COUNTIF(Suivi!$G$2284:$G$2299,"Réalisé")+COUNTIF(Suivi!$G$2284:$G$2299,"Clôturé"))/ROWS(Suivi!$G$2284:$G$2299))</f>
        <v/>
      </c>
      <c r="G47" s="11">
        <f>IF($A47="","",(COUNTIF(Suivi!$G$2301:$G$2304,"Réalisé")+COUNTIF(Suivi!$G$2301:$G$2304,"Clôturé"))/ROWS(Suivi!$G$2301:$G$2304))</f>
        <v/>
      </c>
      <c r="H47" s="11">
        <f>IF($A47="","",(COUNTIF(Suivi!$G$2306:$G$2323,"Réalisé")+COUNTIF(Suivi!$G$2306:$G$2323,"Clôturé"))/ROWS(Suivi!$G$2306:$G$2323))</f>
        <v/>
      </c>
      <c r="I47" s="11">
        <f>IF($A47="","",(COUNTIF(Suivi!$G$2325:$G$2325,"Réalisé")+COUNTIF(Suivi!$G$2325:$G$2325,"Clôturé"))/ROWS(Suivi!$G$2325:$G$2325))</f>
        <v/>
      </c>
      <c r="J47" s="11">
        <f>IF($A47="","",SUMPRODUCT(ISNUMBER(SEARCH(".",Suivi!$B$2273:$B$2325))*((Suivi!$G$2273:$G$2325="Réalisé")+(Suivi!$G$2273:$G$2325="Clôturé")))/SUMPRODUCT(--ISNUMBER(SEARCH(".",Suivi!$B$2273:$B$2325))))</f>
        <v/>
      </c>
      <c r="K47">
        <f>IF($A47="","",SUMPRODUCT(ISNUMBER(SEARCH(".",Suivi!$B$2273:$B$2325))*ISNUMBER(Suivi!$F$2273:$F$2325)*(Suivi!$F$2273:$F$2325&lt;TODAY())*(Suivi!$G$2273:$G$2325&lt;&gt;"Réalisé")*(Suivi!$G$2273:$G$2325&lt;&gt;"Clôturé")))</f>
        <v/>
      </c>
    </row>
    <row r="48">
      <c r="A48" s="10">
        <f>IF(ISNUMBER(Dossiers!$D$47),HYPERLINK("#Suivi!A2326",Dossiers!$E$47),"")</f>
        <v/>
      </c>
      <c r="B48" s="5">
        <f>IF($A48="","",Dossiers!$D$47)</f>
        <v/>
      </c>
      <c r="C48" s="5">
        <f>IF($A48="","",MAX(Suivi!$F$2327:$F$2379))</f>
        <v/>
      </c>
      <c r="D48" s="11">
        <f>IF($A48="","",(COUNTIF(Suivi!$G$2328:$G$2331,"Réalisé")+COUNTIF(Suivi!$G$2328:$G$2331,"Clôturé"))/ROWS(Suivi!$G$2328:$G$2331))</f>
        <v/>
      </c>
      <c r="E48" s="11">
        <f>IF($A48="","",(COUNTIF(Suivi!$G$2333:$G$2336,"Réalisé")+COUNTIF(Suivi!$G$2333:$G$2336,"Clôturé"))/ROWS(Suivi!$G$2333:$G$2336))</f>
        <v/>
      </c>
      <c r="F48" s="11">
        <f>IF($A48="","",(COUNTIF(Suivi!$G$2338:$G$2353,"Réalisé")+COUNTIF(Suivi!$G$2338:$G$2353,"Clôturé"))/ROWS(Suivi!$G$2338:$G$2353))</f>
        <v/>
      </c>
      <c r="G48" s="11">
        <f>IF($A48="","",(COUNTIF(Suivi!$G$2355:$G$2358,"Réalisé")+COUNTIF(Suivi!$G$2355:$G$2358,"Clôturé"))/ROWS(Suivi!$G$2355:$G$2358))</f>
        <v/>
      </c>
      <c r="H48" s="11">
        <f>IF($A48="","",(COUNTIF(Suivi!$G$2360:$G$2377,"Réalisé")+COUNTIF(Suivi!$G$2360:$G$2377,"Clôturé"))/ROWS(Suivi!$G$2360:$G$2377))</f>
        <v/>
      </c>
      <c r="I48" s="11">
        <f>IF($A48="","",(COUNTIF(Suivi!$G$2379:$G$2379,"Réalisé")+COUNTIF(Suivi!$G$2379:$G$2379,"Clôturé"))/ROWS(Suivi!$G$2379:$G$2379))</f>
        <v/>
      </c>
      <c r="J48" s="11">
        <f>IF($A48="","",SUMPRODUCT(ISNUMBER(SEARCH(".",Suivi!$B$2327:$B$2379))*((Suivi!$G$2327:$G$2379="Réalisé")+(Suivi!$G$2327:$G$2379="Clôturé")))/SUMPRODUCT(--ISNUMBER(SEARCH(".",Suivi!$B$2327:$B$2379))))</f>
        <v/>
      </c>
      <c r="K48">
        <f>IF($A48="","",SUMPRODUCT(ISNUMBER(SEARCH(".",Suivi!$B$2327:$B$2379))*ISNUMBER(Suivi!$F$2327:$F$2379)*(Suivi!$F$2327:$F$2379&lt;TODAY())*(Suivi!$G$2327:$G$2379&lt;&gt;"Réalisé")*(Suivi!$G$2327:$G$2379&lt;&gt;"Clôturé")))</f>
        <v/>
      </c>
    </row>
    <row r="49">
      <c r="A49" s="10">
        <f>IF(ISNUMBER(Dossiers!$D$48),HYPERLINK("#Suivi!A2380",Dossiers!$E$48),"")</f>
        <v/>
      </c>
      <c r="B49" s="5">
        <f>IF($A49="","",Dossiers!$D$48)</f>
        <v/>
      </c>
      <c r="C49" s="5">
        <f>IF($A49="","",MAX(Suivi!$F$2381:$F$2433))</f>
        <v/>
      </c>
      <c r="D49" s="11">
        <f>IF($A49="","",(COUNTIF(Suivi!$G$2382:$G$2385,"Réalisé")+COUNTIF(Suivi!$G$2382:$G$2385,"Clôturé"))/ROWS(Suivi!$G$2382:$G$2385))</f>
        <v/>
      </c>
      <c r="E49" s="11">
        <f>IF($A49="","",(COUNTIF(Suivi!$G$2387:$G$2390,"Réalisé")+COUNTIF(Suivi!$G$2387:$G$2390,"Clôturé"))/ROWS(Suivi!$G$2387:$G$2390))</f>
        <v/>
      </c>
      <c r="F49" s="11">
        <f>IF($A49="","",(COUNTIF(Suivi!$G$2392:$G$2407,"Réalisé")+COUNTIF(Suivi!$G$2392:$G$2407,"Clôturé"))/ROWS(Suivi!$G$2392:$G$2407))</f>
        <v/>
      </c>
      <c r="G49" s="11">
        <f>IF($A49="","",(COUNTIF(Suivi!$G$2409:$G$2412,"Réalisé")+COUNTIF(Suivi!$G$2409:$G$2412,"Clôturé"))/ROWS(Suivi!$G$2409:$G$2412))</f>
        <v/>
      </c>
      <c r="H49" s="11">
        <f>IF($A49="","",(COUNTIF(Suivi!$G$2414:$G$2431,"Réalisé")+COUNTIF(Suivi!$G$2414:$G$2431,"Clôturé"))/ROWS(Suivi!$G$2414:$G$2431))</f>
        <v/>
      </c>
      <c r="I49" s="11">
        <f>IF($A49="","",(COUNTIF(Suivi!$G$2433:$G$2433,"Réalisé")+COUNTIF(Suivi!$G$2433:$G$2433,"Clôturé"))/ROWS(Suivi!$G$2433:$G$2433))</f>
        <v/>
      </c>
      <c r="J49" s="11">
        <f>IF($A49="","",SUMPRODUCT(ISNUMBER(SEARCH(".",Suivi!$B$2381:$B$2433))*((Suivi!$G$2381:$G$2433="Réalisé")+(Suivi!$G$2381:$G$2433="Clôturé")))/SUMPRODUCT(--ISNUMBER(SEARCH(".",Suivi!$B$2381:$B$2433))))</f>
        <v/>
      </c>
      <c r="K49">
        <f>IF($A49="","",SUMPRODUCT(ISNUMBER(SEARCH(".",Suivi!$B$2381:$B$2433))*ISNUMBER(Suivi!$F$2381:$F$2433)*(Suivi!$F$2381:$F$2433&lt;TODAY())*(Suivi!$G$2381:$G$2433&lt;&gt;"Réalisé")*(Suivi!$G$2381:$G$2433&lt;&gt;"Clôturé")))</f>
        <v/>
      </c>
    </row>
    <row r="50">
      <c r="A50" s="10">
        <f>IF(ISNUMBER(Dossiers!$D$49),HYPERLINK("#Suivi!A2434",Dossiers!$E$49),"")</f>
        <v/>
      </c>
      <c r="B50" s="5">
        <f>IF($A50="","",Dossiers!$D$49)</f>
        <v/>
      </c>
      <c r="C50" s="5">
        <f>IF($A50="","",MAX(Suivi!$F$2435:$F$2487))</f>
        <v/>
      </c>
      <c r="D50" s="11">
        <f>IF($A50="","",(COUNTIF(Suivi!$G$2436:$G$2439,"Réalisé")+COUNTIF(Suivi!$G$2436:$G$2439,"Clôturé"))/ROWS(Suivi!$G$2436:$G$2439))</f>
        <v/>
      </c>
      <c r="E50" s="11">
        <f>IF($A50="","",(COUNTIF(Suivi!$G$2441:$G$2444,"Réalisé")+COUNTIF(Suivi!$G$2441:$G$2444,"Clôturé"))/ROWS(Suivi!$G$2441:$G$2444))</f>
        <v/>
      </c>
      <c r="F50" s="11">
        <f>IF($A50="","",(COUNTIF(Suivi!$G$2446:$G$2461,"Réalisé")+COUNTIF(Suivi!$G$2446:$G$2461,"Clôturé"))/ROWS(Suivi!$G$2446:$G$2461))</f>
        <v/>
      </c>
      <c r="G50" s="11">
        <f>IF($A50="","",(COUNTIF(Suivi!$G$2463:$G$2466,"Réalisé")+COUNTIF(Suivi!$G$2463:$G$2466,"Clôturé"))/ROWS(Suivi!$G$2463:$G$2466))</f>
        <v/>
      </c>
      <c r="H50" s="11">
        <f>IF($A50="","",(COUNTIF(Suivi!$G$2468:$G$2485,"Réalisé")+COUNTIF(Suivi!$G$2468:$G$2485,"Clôturé"))/ROWS(Suivi!$G$2468:$G$2485))</f>
        <v/>
      </c>
      <c r="I50" s="11">
        <f>IF($A50="","",(COUNTIF(Suivi!$G$2487:$G$2487,"Réalisé")+COUNTIF(Suivi!$G$2487:$G$2487,"Clôturé"))/ROWS(Suivi!$G$2487:$G$2487))</f>
        <v/>
      </c>
      <c r="J50" s="11">
        <f>IF($A50="","",SUMPRODUCT(ISNUMBER(SEARCH(".",Suivi!$B$2435:$B$2487))*((Suivi!$G$2435:$G$2487="Réalisé")+(Suivi!$G$2435:$G$2487="Clôturé")))/SUMPRODUCT(--ISNUMBER(SEARCH(".",Suivi!$B$2435:$B$2487))))</f>
        <v/>
      </c>
      <c r="K50">
        <f>IF($A50="","",SUMPRODUCT(ISNUMBER(SEARCH(".",Suivi!$B$2435:$B$2487))*ISNUMBER(Suivi!$F$2435:$F$2487)*(Suivi!$F$2435:$F$2487&lt;TODAY())*(Suivi!$G$2435:$G$2487&lt;&gt;"Réalisé")*(Suivi!$G$2435:$G$2487&lt;&gt;"Clôturé")))</f>
        <v/>
      </c>
    </row>
    <row r="51">
      <c r="A51" s="10">
        <f>IF(ISNUMBER(Dossiers!$D$50),HYPERLINK("#Suivi!A2488",Dossiers!$E$50),"")</f>
        <v/>
      </c>
      <c r="B51" s="5">
        <f>IF($A51="","",Dossiers!$D$50)</f>
        <v/>
      </c>
      <c r="C51" s="5">
        <f>IF($A51="","",MAX(Suivi!$F$2489:$F$2541))</f>
        <v/>
      </c>
      <c r="D51" s="11">
        <f>IF($A51="","",(COUNTIF(Suivi!$G$2490:$G$2493,"Réalisé")+COUNTIF(Suivi!$G$2490:$G$2493,"Clôturé"))/ROWS(Suivi!$G$2490:$G$2493))</f>
        <v/>
      </c>
      <c r="E51" s="11">
        <f>IF($A51="","",(COUNTIF(Suivi!$G$2495:$G$2498,"Réalisé")+COUNTIF(Suivi!$G$2495:$G$2498,"Clôturé"))/ROWS(Suivi!$G$2495:$G$2498))</f>
        <v/>
      </c>
      <c r="F51" s="11">
        <f>IF($A51="","",(COUNTIF(Suivi!$G$2500:$G$2515,"Réalisé")+COUNTIF(Suivi!$G$2500:$G$2515,"Clôturé"))/ROWS(Suivi!$G$2500:$G$2515))</f>
        <v/>
      </c>
      <c r="G51" s="11">
        <f>IF($A51="","",(COUNTIF(Suivi!$G$2517:$G$2520,"Réalisé")+COUNTIF(Suivi!$G$2517:$G$2520,"Clôturé"))/ROWS(Suivi!$G$2517:$G$2520))</f>
        <v/>
      </c>
      <c r="H51" s="11">
        <f>IF($A51="","",(COUNTIF(Suivi!$G$2522:$G$2539,"Réalisé")+COUNTIF(Suivi!$G$2522:$G$2539,"Clôturé"))/ROWS(Suivi!$G$2522:$G$2539))</f>
        <v/>
      </c>
      <c r="I51" s="11">
        <f>IF($A51="","",(COUNTIF(Suivi!$G$2541:$G$2541,"Réalisé")+COUNTIF(Suivi!$G$2541:$G$2541,"Clôturé"))/ROWS(Suivi!$G$2541:$G$2541))</f>
        <v/>
      </c>
      <c r="J51" s="11">
        <f>IF($A51="","",SUMPRODUCT(ISNUMBER(SEARCH(".",Suivi!$B$2489:$B$2541))*((Suivi!$G$2489:$G$2541="Réalisé")+(Suivi!$G$2489:$G$2541="Clôturé")))/SUMPRODUCT(--ISNUMBER(SEARCH(".",Suivi!$B$2489:$B$2541))))</f>
        <v/>
      </c>
      <c r="K51">
        <f>IF($A51="","",SUMPRODUCT(ISNUMBER(SEARCH(".",Suivi!$B$2489:$B$2541))*ISNUMBER(Suivi!$F$2489:$F$2541)*(Suivi!$F$2489:$F$2541&lt;TODAY())*(Suivi!$G$2489:$G$2541&lt;&gt;"Réalisé")*(Suivi!$G$2489:$G$2541&lt;&gt;"Clôturé")))</f>
        <v/>
      </c>
    </row>
    <row r="52">
      <c r="A52" s="10">
        <f>IF(ISNUMBER(Dossiers!$D$51),HYPERLINK("#Suivi!A2542",Dossiers!$E$51),"")</f>
        <v/>
      </c>
      <c r="B52" s="5">
        <f>IF($A52="","",Dossiers!$D$51)</f>
        <v/>
      </c>
      <c r="C52" s="5">
        <f>IF($A52="","",MAX(Suivi!$F$2543:$F$2595))</f>
        <v/>
      </c>
      <c r="D52" s="11">
        <f>IF($A52="","",(COUNTIF(Suivi!$G$2544:$G$2547,"Réalisé")+COUNTIF(Suivi!$G$2544:$G$2547,"Clôturé"))/ROWS(Suivi!$G$2544:$G$2547))</f>
        <v/>
      </c>
      <c r="E52" s="11">
        <f>IF($A52="","",(COUNTIF(Suivi!$G$2549:$G$2552,"Réalisé")+COUNTIF(Suivi!$G$2549:$G$2552,"Clôturé"))/ROWS(Suivi!$G$2549:$G$2552))</f>
        <v/>
      </c>
      <c r="F52" s="11">
        <f>IF($A52="","",(COUNTIF(Suivi!$G$2554:$G$2569,"Réalisé")+COUNTIF(Suivi!$G$2554:$G$2569,"Clôturé"))/ROWS(Suivi!$G$2554:$G$2569))</f>
        <v/>
      </c>
      <c r="G52" s="11">
        <f>IF($A52="","",(COUNTIF(Suivi!$G$2571:$G$2574,"Réalisé")+COUNTIF(Suivi!$G$2571:$G$2574,"Clôturé"))/ROWS(Suivi!$G$2571:$G$2574))</f>
        <v/>
      </c>
      <c r="H52" s="11">
        <f>IF($A52="","",(COUNTIF(Suivi!$G$2576:$G$2593,"Réalisé")+COUNTIF(Suivi!$G$2576:$G$2593,"Clôturé"))/ROWS(Suivi!$G$2576:$G$2593))</f>
        <v/>
      </c>
      <c r="I52" s="11">
        <f>IF($A52="","",(COUNTIF(Suivi!$G$2595:$G$2595,"Réalisé")+COUNTIF(Suivi!$G$2595:$G$2595,"Clôturé"))/ROWS(Suivi!$G$2595:$G$2595))</f>
        <v/>
      </c>
      <c r="J52" s="11">
        <f>IF($A52="","",SUMPRODUCT(ISNUMBER(SEARCH(".",Suivi!$B$2543:$B$2595))*((Suivi!$G$2543:$G$2595="Réalisé")+(Suivi!$G$2543:$G$2595="Clôturé")))/SUMPRODUCT(--ISNUMBER(SEARCH(".",Suivi!$B$2543:$B$2595))))</f>
        <v/>
      </c>
      <c r="K52">
        <f>IF($A52="","",SUMPRODUCT(ISNUMBER(SEARCH(".",Suivi!$B$2543:$B$2595))*ISNUMBER(Suivi!$F$2543:$F$2595)*(Suivi!$F$2543:$F$2595&lt;TODAY())*(Suivi!$G$2543:$G$2595&lt;&gt;"Réalisé")*(Suivi!$G$2543:$G$2595&lt;&gt;"Clôturé")))</f>
        <v/>
      </c>
    </row>
    <row r="53">
      <c r="A53" s="10">
        <f>IF(ISNUMBER(Dossiers!$D$52),HYPERLINK("#Suivi!A2596",Dossiers!$E$52),"")</f>
        <v/>
      </c>
      <c r="B53" s="5">
        <f>IF($A53="","",Dossiers!$D$52)</f>
        <v/>
      </c>
      <c r="C53" s="5">
        <f>IF($A53="","",MAX(Suivi!$F$2597:$F$2649))</f>
        <v/>
      </c>
      <c r="D53" s="11">
        <f>IF($A53="","",(COUNTIF(Suivi!$G$2598:$G$2601,"Réalisé")+COUNTIF(Suivi!$G$2598:$G$2601,"Clôturé"))/ROWS(Suivi!$G$2598:$G$2601))</f>
        <v/>
      </c>
      <c r="E53" s="11">
        <f>IF($A53="","",(COUNTIF(Suivi!$G$2603:$G$2606,"Réalisé")+COUNTIF(Suivi!$G$2603:$G$2606,"Clôturé"))/ROWS(Suivi!$G$2603:$G$2606))</f>
        <v/>
      </c>
      <c r="F53" s="11">
        <f>IF($A53="","",(COUNTIF(Suivi!$G$2608:$G$2623,"Réalisé")+COUNTIF(Suivi!$G$2608:$G$2623,"Clôturé"))/ROWS(Suivi!$G$2608:$G$2623))</f>
        <v/>
      </c>
      <c r="G53" s="11">
        <f>IF($A53="","",(COUNTIF(Suivi!$G$2625:$G$2628,"Réalisé")+COUNTIF(Suivi!$G$2625:$G$2628,"Clôturé"))/ROWS(Suivi!$G$2625:$G$2628))</f>
        <v/>
      </c>
      <c r="H53" s="11">
        <f>IF($A53="","",(COUNTIF(Suivi!$G$2630:$G$2647,"Réalisé")+COUNTIF(Suivi!$G$2630:$G$2647,"Clôturé"))/ROWS(Suivi!$G$2630:$G$2647))</f>
        <v/>
      </c>
      <c r="I53" s="11">
        <f>IF($A53="","",(COUNTIF(Suivi!$G$2649:$G$2649,"Réalisé")+COUNTIF(Suivi!$G$2649:$G$2649,"Clôturé"))/ROWS(Suivi!$G$2649:$G$2649))</f>
        <v/>
      </c>
      <c r="J53" s="11">
        <f>IF($A53="","",SUMPRODUCT(ISNUMBER(SEARCH(".",Suivi!$B$2597:$B$2649))*((Suivi!$G$2597:$G$2649="Réalisé")+(Suivi!$G$2597:$G$2649="Clôturé")))/SUMPRODUCT(--ISNUMBER(SEARCH(".",Suivi!$B$2597:$B$2649))))</f>
        <v/>
      </c>
      <c r="K53">
        <f>IF($A53="","",SUMPRODUCT(ISNUMBER(SEARCH(".",Suivi!$B$2597:$B$2649))*ISNUMBER(Suivi!$F$2597:$F$2649)*(Suivi!$F$2597:$F$2649&lt;TODAY())*(Suivi!$G$2597:$G$2649&lt;&gt;"Réalisé")*(Suivi!$G$2597:$G$2649&lt;&gt;"Clôturé")))</f>
        <v/>
      </c>
    </row>
    <row r="54">
      <c r="A54" s="10">
        <f>IF(ISNUMBER(Dossiers!$D$53),HYPERLINK("#Suivi!A2650",Dossiers!$E$53),"")</f>
        <v/>
      </c>
      <c r="B54" s="5">
        <f>IF($A54="","",Dossiers!$D$53)</f>
        <v/>
      </c>
      <c r="C54" s="5">
        <f>IF($A54="","",MAX(Suivi!$F$2651:$F$2703))</f>
        <v/>
      </c>
      <c r="D54" s="11">
        <f>IF($A54="","",(COUNTIF(Suivi!$G$2652:$G$2655,"Réalisé")+COUNTIF(Suivi!$G$2652:$G$2655,"Clôturé"))/ROWS(Suivi!$G$2652:$G$2655))</f>
        <v/>
      </c>
      <c r="E54" s="11">
        <f>IF($A54="","",(COUNTIF(Suivi!$G$2657:$G$2660,"Réalisé")+COUNTIF(Suivi!$G$2657:$G$2660,"Clôturé"))/ROWS(Suivi!$G$2657:$G$2660))</f>
        <v/>
      </c>
      <c r="F54" s="11">
        <f>IF($A54="","",(COUNTIF(Suivi!$G$2662:$G$2677,"Réalisé")+COUNTIF(Suivi!$G$2662:$G$2677,"Clôturé"))/ROWS(Suivi!$G$2662:$G$2677))</f>
        <v/>
      </c>
      <c r="G54" s="11">
        <f>IF($A54="","",(COUNTIF(Suivi!$G$2679:$G$2682,"Réalisé")+COUNTIF(Suivi!$G$2679:$G$2682,"Clôturé"))/ROWS(Suivi!$G$2679:$G$2682))</f>
        <v/>
      </c>
      <c r="H54" s="11">
        <f>IF($A54="","",(COUNTIF(Suivi!$G$2684:$G$2701,"Réalisé")+COUNTIF(Suivi!$G$2684:$G$2701,"Clôturé"))/ROWS(Suivi!$G$2684:$G$2701))</f>
        <v/>
      </c>
      <c r="I54" s="11">
        <f>IF($A54="","",(COUNTIF(Suivi!$G$2703:$G$2703,"Réalisé")+COUNTIF(Suivi!$G$2703:$G$2703,"Clôturé"))/ROWS(Suivi!$G$2703:$G$2703))</f>
        <v/>
      </c>
      <c r="J54" s="11">
        <f>IF($A54="","",SUMPRODUCT(ISNUMBER(SEARCH(".",Suivi!$B$2651:$B$2703))*((Suivi!$G$2651:$G$2703="Réalisé")+(Suivi!$G$2651:$G$2703="Clôturé")))/SUMPRODUCT(--ISNUMBER(SEARCH(".",Suivi!$B$2651:$B$2703))))</f>
        <v/>
      </c>
      <c r="K54">
        <f>IF($A54="","",SUMPRODUCT(ISNUMBER(SEARCH(".",Suivi!$B$2651:$B$2703))*ISNUMBER(Suivi!$F$2651:$F$2703)*(Suivi!$F$2651:$F$2703&lt;TODAY())*(Suivi!$G$2651:$G$2703&lt;&gt;"Réalisé")*(Suivi!$G$2651:$G$2703&lt;&gt;"Clôturé")))</f>
        <v/>
      </c>
    </row>
    <row r="55">
      <c r="A55" s="10">
        <f>IF(ISNUMBER(Dossiers!$D$54),HYPERLINK("#Suivi!A2704",Dossiers!$E$54),"")</f>
        <v/>
      </c>
      <c r="B55" s="5">
        <f>IF($A55="","",Dossiers!$D$54)</f>
        <v/>
      </c>
      <c r="C55" s="5">
        <f>IF($A55="","",MAX(Suivi!$F$2705:$F$2757))</f>
        <v/>
      </c>
      <c r="D55" s="11">
        <f>IF($A55="","",(COUNTIF(Suivi!$G$2706:$G$2709,"Réalisé")+COUNTIF(Suivi!$G$2706:$G$2709,"Clôturé"))/ROWS(Suivi!$G$2706:$G$2709))</f>
        <v/>
      </c>
      <c r="E55" s="11">
        <f>IF($A55="","",(COUNTIF(Suivi!$G$2711:$G$2714,"Réalisé")+COUNTIF(Suivi!$G$2711:$G$2714,"Clôturé"))/ROWS(Suivi!$G$2711:$G$2714))</f>
        <v/>
      </c>
      <c r="F55" s="11">
        <f>IF($A55="","",(COUNTIF(Suivi!$G$2716:$G$2731,"Réalisé")+COUNTIF(Suivi!$G$2716:$G$2731,"Clôturé"))/ROWS(Suivi!$G$2716:$G$2731))</f>
        <v/>
      </c>
      <c r="G55" s="11">
        <f>IF($A55="","",(COUNTIF(Suivi!$G$2733:$G$2736,"Réalisé")+COUNTIF(Suivi!$G$2733:$G$2736,"Clôturé"))/ROWS(Suivi!$G$2733:$G$2736))</f>
        <v/>
      </c>
      <c r="H55" s="11">
        <f>IF($A55="","",(COUNTIF(Suivi!$G$2738:$G$2755,"Réalisé")+COUNTIF(Suivi!$G$2738:$G$2755,"Clôturé"))/ROWS(Suivi!$G$2738:$G$2755))</f>
        <v/>
      </c>
      <c r="I55" s="11">
        <f>IF($A55="","",(COUNTIF(Suivi!$G$2757:$G$2757,"Réalisé")+COUNTIF(Suivi!$G$2757:$G$2757,"Clôturé"))/ROWS(Suivi!$G$2757:$G$2757))</f>
        <v/>
      </c>
      <c r="J55" s="11">
        <f>IF($A55="","",SUMPRODUCT(ISNUMBER(SEARCH(".",Suivi!$B$2705:$B$2757))*((Suivi!$G$2705:$G$2757="Réalisé")+(Suivi!$G$2705:$G$2757="Clôturé")))/SUMPRODUCT(--ISNUMBER(SEARCH(".",Suivi!$B$2705:$B$2757))))</f>
        <v/>
      </c>
      <c r="K55">
        <f>IF($A55="","",SUMPRODUCT(ISNUMBER(SEARCH(".",Suivi!$B$2705:$B$2757))*ISNUMBER(Suivi!$F$2705:$F$2757)*(Suivi!$F$2705:$F$2757&lt;TODAY())*(Suivi!$G$2705:$G$2757&lt;&gt;"Réalisé")*(Suivi!$G$2705:$G$2757&lt;&gt;"Clôturé")))</f>
        <v/>
      </c>
    </row>
    <row r="56">
      <c r="A56" s="10">
        <f>IF(ISNUMBER(Dossiers!$D$55),HYPERLINK("#Suivi!A2758",Dossiers!$E$55),"")</f>
        <v/>
      </c>
      <c r="B56" s="5">
        <f>IF($A56="","",Dossiers!$D$55)</f>
        <v/>
      </c>
      <c r="C56" s="5">
        <f>IF($A56="","",MAX(Suivi!$F$2759:$F$2811))</f>
        <v/>
      </c>
      <c r="D56" s="11">
        <f>IF($A56="","",(COUNTIF(Suivi!$G$2760:$G$2763,"Réalisé")+COUNTIF(Suivi!$G$2760:$G$2763,"Clôturé"))/ROWS(Suivi!$G$2760:$G$2763))</f>
        <v/>
      </c>
      <c r="E56" s="11">
        <f>IF($A56="","",(COUNTIF(Suivi!$G$2765:$G$2768,"Réalisé")+COUNTIF(Suivi!$G$2765:$G$2768,"Clôturé"))/ROWS(Suivi!$G$2765:$G$2768))</f>
        <v/>
      </c>
      <c r="F56" s="11">
        <f>IF($A56="","",(COUNTIF(Suivi!$G$2770:$G$2785,"Réalisé")+COUNTIF(Suivi!$G$2770:$G$2785,"Clôturé"))/ROWS(Suivi!$G$2770:$G$2785))</f>
        <v/>
      </c>
      <c r="G56" s="11">
        <f>IF($A56="","",(COUNTIF(Suivi!$G$2787:$G$2790,"Réalisé")+COUNTIF(Suivi!$G$2787:$G$2790,"Clôturé"))/ROWS(Suivi!$G$2787:$G$2790))</f>
        <v/>
      </c>
      <c r="H56" s="11">
        <f>IF($A56="","",(COUNTIF(Suivi!$G$2792:$G$2809,"Réalisé")+COUNTIF(Suivi!$G$2792:$G$2809,"Clôturé"))/ROWS(Suivi!$G$2792:$G$2809))</f>
        <v/>
      </c>
      <c r="I56" s="11">
        <f>IF($A56="","",(COUNTIF(Suivi!$G$2811:$G$2811,"Réalisé")+COUNTIF(Suivi!$G$2811:$G$2811,"Clôturé"))/ROWS(Suivi!$G$2811:$G$2811))</f>
        <v/>
      </c>
      <c r="J56" s="11">
        <f>IF($A56="","",SUMPRODUCT(ISNUMBER(SEARCH(".",Suivi!$B$2759:$B$2811))*((Suivi!$G$2759:$G$2811="Réalisé")+(Suivi!$G$2759:$G$2811="Clôturé")))/SUMPRODUCT(--ISNUMBER(SEARCH(".",Suivi!$B$2759:$B$2811))))</f>
        <v/>
      </c>
      <c r="K56">
        <f>IF($A56="","",SUMPRODUCT(ISNUMBER(SEARCH(".",Suivi!$B$2759:$B$2811))*ISNUMBER(Suivi!$F$2759:$F$2811)*(Suivi!$F$2759:$F$2811&lt;TODAY())*(Suivi!$G$2759:$G$2811&lt;&gt;"Réalisé")*(Suivi!$G$2759:$G$2811&lt;&gt;"Clôturé")))</f>
        <v/>
      </c>
    </row>
    <row r="57">
      <c r="A57" s="10">
        <f>IF(ISNUMBER(Dossiers!$D$56),HYPERLINK("#Suivi!A2812",Dossiers!$E$56),"")</f>
        <v/>
      </c>
      <c r="B57" s="5">
        <f>IF($A57="","",Dossiers!$D$56)</f>
        <v/>
      </c>
      <c r="C57" s="5">
        <f>IF($A57="","",MAX(Suivi!$F$2813:$F$2865))</f>
        <v/>
      </c>
      <c r="D57" s="11">
        <f>IF($A57="","",(COUNTIF(Suivi!$G$2814:$G$2817,"Réalisé")+COUNTIF(Suivi!$G$2814:$G$2817,"Clôturé"))/ROWS(Suivi!$G$2814:$G$2817))</f>
        <v/>
      </c>
      <c r="E57" s="11">
        <f>IF($A57="","",(COUNTIF(Suivi!$G$2819:$G$2822,"Réalisé")+COUNTIF(Suivi!$G$2819:$G$2822,"Clôturé"))/ROWS(Suivi!$G$2819:$G$2822))</f>
        <v/>
      </c>
      <c r="F57" s="11">
        <f>IF($A57="","",(COUNTIF(Suivi!$G$2824:$G$2839,"Réalisé")+COUNTIF(Suivi!$G$2824:$G$2839,"Clôturé"))/ROWS(Suivi!$G$2824:$G$2839))</f>
        <v/>
      </c>
      <c r="G57" s="11">
        <f>IF($A57="","",(COUNTIF(Suivi!$G$2841:$G$2844,"Réalisé")+COUNTIF(Suivi!$G$2841:$G$2844,"Clôturé"))/ROWS(Suivi!$G$2841:$G$2844))</f>
        <v/>
      </c>
      <c r="H57" s="11">
        <f>IF($A57="","",(COUNTIF(Suivi!$G$2846:$G$2863,"Réalisé")+COUNTIF(Suivi!$G$2846:$G$2863,"Clôturé"))/ROWS(Suivi!$G$2846:$G$2863))</f>
        <v/>
      </c>
      <c r="I57" s="11">
        <f>IF($A57="","",(COUNTIF(Suivi!$G$2865:$G$2865,"Réalisé")+COUNTIF(Suivi!$G$2865:$G$2865,"Clôturé"))/ROWS(Suivi!$G$2865:$G$2865))</f>
        <v/>
      </c>
      <c r="J57" s="11">
        <f>IF($A57="","",SUMPRODUCT(ISNUMBER(SEARCH(".",Suivi!$B$2813:$B$2865))*((Suivi!$G$2813:$G$2865="Réalisé")+(Suivi!$G$2813:$G$2865="Clôturé")))/SUMPRODUCT(--ISNUMBER(SEARCH(".",Suivi!$B$2813:$B$2865))))</f>
        <v/>
      </c>
      <c r="K57">
        <f>IF($A57="","",SUMPRODUCT(ISNUMBER(SEARCH(".",Suivi!$B$2813:$B$2865))*ISNUMBER(Suivi!$F$2813:$F$2865)*(Suivi!$F$2813:$F$2865&lt;TODAY())*(Suivi!$G$2813:$G$2865&lt;&gt;"Réalisé")*(Suivi!$G$2813:$G$2865&lt;&gt;"Clôturé")))</f>
        <v/>
      </c>
    </row>
    <row r="58">
      <c r="A58" s="10">
        <f>IF(ISNUMBER(Dossiers!$D$57),HYPERLINK("#Suivi!A2866",Dossiers!$E$57),"")</f>
        <v/>
      </c>
      <c r="B58" s="5">
        <f>IF($A58="","",Dossiers!$D$57)</f>
        <v/>
      </c>
      <c r="C58" s="5">
        <f>IF($A58="","",MAX(Suivi!$F$2867:$F$2919))</f>
        <v/>
      </c>
      <c r="D58" s="11">
        <f>IF($A58="","",(COUNTIF(Suivi!$G$2868:$G$2871,"Réalisé")+COUNTIF(Suivi!$G$2868:$G$2871,"Clôturé"))/ROWS(Suivi!$G$2868:$G$2871))</f>
        <v/>
      </c>
      <c r="E58" s="11">
        <f>IF($A58="","",(COUNTIF(Suivi!$G$2873:$G$2876,"Réalisé")+COUNTIF(Suivi!$G$2873:$G$2876,"Clôturé"))/ROWS(Suivi!$G$2873:$G$2876))</f>
        <v/>
      </c>
      <c r="F58" s="11">
        <f>IF($A58="","",(COUNTIF(Suivi!$G$2878:$G$2893,"Réalisé")+COUNTIF(Suivi!$G$2878:$G$2893,"Clôturé"))/ROWS(Suivi!$G$2878:$G$2893))</f>
        <v/>
      </c>
      <c r="G58" s="11">
        <f>IF($A58="","",(COUNTIF(Suivi!$G$2895:$G$2898,"Réalisé")+COUNTIF(Suivi!$G$2895:$G$2898,"Clôturé"))/ROWS(Suivi!$G$2895:$G$2898))</f>
        <v/>
      </c>
      <c r="H58" s="11">
        <f>IF($A58="","",(COUNTIF(Suivi!$G$2900:$G$2917,"Réalisé")+COUNTIF(Suivi!$G$2900:$G$2917,"Clôturé"))/ROWS(Suivi!$G$2900:$G$2917))</f>
        <v/>
      </c>
      <c r="I58" s="11">
        <f>IF($A58="","",(COUNTIF(Suivi!$G$2919:$G$2919,"Réalisé")+COUNTIF(Suivi!$G$2919:$G$2919,"Clôturé"))/ROWS(Suivi!$G$2919:$G$2919))</f>
        <v/>
      </c>
      <c r="J58" s="11">
        <f>IF($A58="","",SUMPRODUCT(ISNUMBER(SEARCH(".",Suivi!$B$2867:$B$2919))*((Suivi!$G$2867:$G$2919="Réalisé")+(Suivi!$G$2867:$G$2919="Clôturé")))/SUMPRODUCT(--ISNUMBER(SEARCH(".",Suivi!$B$2867:$B$2919))))</f>
        <v/>
      </c>
      <c r="K58">
        <f>IF($A58="","",SUMPRODUCT(ISNUMBER(SEARCH(".",Suivi!$B$2867:$B$2919))*ISNUMBER(Suivi!$F$2867:$F$2919)*(Suivi!$F$2867:$F$2919&lt;TODAY())*(Suivi!$G$2867:$G$2919&lt;&gt;"Réalisé")*(Suivi!$G$2867:$G$2919&lt;&gt;"Clôturé")))</f>
        <v/>
      </c>
    </row>
    <row r="59">
      <c r="A59" s="10">
        <f>IF(ISNUMBER(Dossiers!$D$58),HYPERLINK("#Suivi!A2920",Dossiers!$E$58),"")</f>
        <v/>
      </c>
      <c r="B59" s="5">
        <f>IF($A59="","",Dossiers!$D$58)</f>
        <v/>
      </c>
      <c r="C59" s="5">
        <f>IF($A59="","",MAX(Suivi!$F$2921:$F$2973))</f>
        <v/>
      </c>
      <c r="D59" s="11">
        <f>IF($A59="","",(COUNTIF(Suivi!$G$2922:$G$2925,"Réalisé")+COUNTIF(Suivi!$G$2922:$G$2925,"Clôturé"))/ROWS(Suivi!$G$2922:$G$2925))</f>
        <v/>
      </c>
      <c r="E59" s="11">
        <f>IF($A59="","",(COUNTIF(Suivi!$G$2927:$G$2930,"Réalisé")+COUNTIF(Suivi!$G$2927:$G$2930,"Clôturé"))/ROWS(Suivi!$G$2927:$G$2930))</f>
        <v/>
      </c>
      <c r="F59" s="11">
        <f>IF($A59="","",(COUNTIF(Suivi!$G$2932:$G$2947,"Réalisé")+COUNTIF(Suivi!$G$2932:$G$2947,"Clôturé"))/ROWS(Suivi!$G$2932:$G$2947))</f>
        <v/>
      </c>
      <c r="G59" s="11">
        <f>IF($A59="","",(COUNTIF(Suivi!$G$2949:$G$2952,"Réalisé")+COUNTIF(Suivi!$G$2949:$G$2952,"Clôturé"))/ROWS(Suivi!$G$2949:$G$2952))</f>
        <v/>
      </c>
      <c r="H59" s="11">
        <f>IF($A59="","",(COUNTIF(Suivi!$G$2954:$G$2971,"Réalisé")+COUNTIF(Suivi!$G$2954:$G$2971,"Clôturé"))/ROWS(Suivi!$G$2954:$G$2971))</f>
        <v/>
      </c>
      <c r="I59" s="11">
        <f>IF($A59="","",(COUNTIF(Suivi!$G$2973:$G$2973,"Réalisé")+COUNTIF(Suivi!$G$2973:$G$2973,"Clôturé"))/ROWS(Suivi!$G$2973:$G$2973))</f>
        <v/>
      </c>
      <c r="J59" s="11">
        <f>IF($A59="","",SUMPRODUCT(ISNUMBER(SEARCH(".",Suivi!$B$2921:$B$2973))*((Suivi!$G$2921:$G$2973="Réalisé")+(Suivi!$G$2921:$G$2973="Clôturé")))/SUMPRODUCT(--ISNUMBER(SEARCH(".",Suivi!$B$2921:$B$2973))))</f>
        <v/>
      </c>
      <c r="K59">
        <f>IF($A59="","",SUMPRODUCT(ISNUMBER(SEARCH(".",Suivi!$B$2921:$B$2973))*ISNUMBER(Suivi!$F$2921:$F$2973)*(Suivi!$F$2921:$F$2973&lt;TODAY())*(Suivi!$G$2921:$G$2973&lt;&gt;"Réalisé")*(Suivi!$G$2921:$G$2973&lt;&gt;"Clôturé")))</f>
        <v/>
      </c>
    </row>
    <row r="60">
      <c r="A60" s="10">
        <f>IF(ISNUMBER(Dossiers!$D$59),HYPERLINK("#Suivi!A2974",Dossiers!$E$59),"")</f>
        <v/>
      </c>
      <c r="B60" s="5">
        <f>IF($A60="","",Dossiers!$D$59)</f>
        <v/>
      </c>
      <c r="C60" s="5">
        <f>IF($A60="","",MAX(Suivi!$F$2975:$F$3027))</f>
        <v/>
      </c>
      <c r="D60" s="11">
        <f>IF($A60="","",(COUNTIF(Suivi!$G$2976:$G$2979,"Réalisé")+COUNTIF(Suivi!$G$2976:$G$2979,"Clôturé"))/ROWS(Suivi!$G$2976:$G$2979))</f>
        <v/>
      </c>
      <c r="E60" s="11">
        <f>IF($A60="","",(COUNTIF(Suivi!$G$2981:$G$2984,"Réalisé")+COUNTIF(Suivi!$G$2981:$G$2984,"Clôturé"))/ROWS(Suivi!$G$2981:$G$2984))</f>
        <v/>
      </c>
      <c r="F60" s="11">
        <f>IF($A60="","",(COUNTIF(Suivi!$G$2986:$G$3001,"Réalisé")+COUNTIF(Suivi!$G$2986:$G$3001,"Clôturé"))/ROWS(Suivi!$G$2986:$G$3001))</f>
        <v/>
      </c>
      <c r="G60" s="11">
        <f>IF($A60="","",(COUNTIF(Suivi!$G$3003:$G$3006,"Réalisé")+COUNTIF(Suivi!$G$3003:$G$3006,"Clôturé"))/ROWS(Suivi!$G$3003:$G$3006))</f>
        <v/>
      </c>
      <c r="H60" s="11">
        <f>IF($A60="","",(COUNTIF(Suivi!$G$3008:$G$3025,"Réalisé")+COUNTIF(Suivi!$G$3008:$G$3025,"Clôturé"))/ROWS(Suivi!$G$3008:$G$3025))</f>
        <v/>
      </c>
      <c r="I60" s="11">
        <f>IF($A60="","",(COUNTIF(Suivi!$G$3027:$G$3027,"Réalisé")+COUNTIF(Suivi!$G$3027:$G$3027,"Clôturé"))/ROWS(Suivi!$G$3027:$G$3027))</f>
        <v/>
      </c>
      <c r="J60" s="11">
        <f>IF($A60="","",SUMPRODUCT(ISNUMBER(SEARCH(".",Suivi!$B$2975:$B$3027))*((Suivi!$G$2975:$G$3027="Réalisé")+(Suivi!$G$2975:$G$3027="Clôturé")))/SUMPRODUCT(--ISNUMBER(SEARCH(".",Suivi!$B$2975:$B$3027))))</f>
        <v/>
      </c>
      <c r="K60">
        <f>IF($A60="","",SUMPRODUCT(ISNUMBER(SEARCH(".",Suivi!$B$2975:$B$3027))*ISNUMBER(Suivi!$F$2975:$F$3027)*(Suivi!$F$2975:$F$3027&lt;TODAY())*(Suivi!$G$2975:$G$3027&lt;&gt;"Réalisé")*(Suivi!$G$2975:$G$3027&lt;&gt;"Clôturé")))</f>
        <v/>
      </c>
    </row>
    <row r="61">
      <c r="A61" s="10">
        <f>IF(ISNUMBER(Dossiers!$D$60),HYPERLINK("#Suivi!A3028",Dossiers!$E$60),"")</f>
        <v/>
      </c>
      <c r="B61" s="5">
        <f>IF($A61="","",Dossiers!$D$60)</f>
        <v/>
      </c>
      <c r="C61" s="5">
        <f>IF($A61="","",MAX(Suivi!$F$3029:$F$3081))</f>
        <v/>
      </c>
      <c r="D61" s="11">
        <f>IF($A61="","",(COUNTIF(Suivi!$G$3030:$G$3033,"Réalisé")+COUNTIF(Suivi!$G$3030:$G$3033,"Clôturé"))/ROWS(Suivi!$G$3030:$G$3033))</f>
        <v/>
      </c>
      <c r="E61" s="11">
        <f>IF($A61="","",(COUNTIF(Suivi!$G$3035:$G$3038,"Réalisé")+COUNTIF(Suivi!$G$3035:$G$3038,"Clôturé"))/ROWS(Suivi!$G$3035:$G$3038))</f>
        <v/>
      </c>
      <c r="F61" s="11">
        <f>IF($A61="","",(COUNTIF(Suivi!$G$3040:$G$3055,"Réalisé")+COUNTIF(Suivi!$G$3040:$G$3055,"Clôturé"))/ROWS(Suivi!$G$3040:$G$3055))</f>
        <v/>
      </c>
      <c r="G61" s="11">
        <f>IF($A61="","",(COUNTIF(Suivi!$G$3057:$G$3060,"Réalisé")+COUNTIF(Suivi!$G$3057:$G$3060,"Clôturé"))/ROWS(Suivi!$G$3057:$G$3060))</f>
        <v/>
      </c>
      <c r="H61" s="11">
        <f>IF($A61="","",(COUNTIF(Suivi!$G$3062:$G$3079,"Réalisé")+COUNTIF(Suivi!$G$3062:$G$3079,"Clôturé"))/ROWS(Suivi!$G$3062:$G$3079))</f>
        <v/>
      </c>
      <c r="I61" s="11">
        <f>IF($A61="","",(COUNTIF(Suivi!$G$3081:$G$3081,"Réalisé")+COUNTIF(Suivi!$G$3081:$G$3081,"Clôturé"))/ROWS(Suivi!$G$3081:$G$3081))</f>
        <v/>
      </c>
      <c r="J61" s="11">
        <f>IF($A61="","",SUMPRODUCT(ISNUMBER(SEARCH(".",Suivi!$B$3029:$B$3081))*((Suivi!$G$3029:$G$3081="Réalisé")+(Suivi!$G$3029:$G$3081="Clôturé")))/SUMPRODUCT(--ISNUMBER(SEARCH(".",Suivi!$B$3029:$B$3081))))</f>
        <v/>
      </c>
      <c r="K61">
        <f>IF($A61="","",SUMPRODUCT(ISNUMBER(SEARCH(".",Suivi!$B$3029:$B$3081))*ISNUMBER(Suivi!$F$3029:$F$3081)*(Suivi!$F$3029:$F$3081&lt;TODAY())*(Suivi!$G$3029:$G$3081&lt;&gt;"Réalisé")*(Suivi!$G$3029:$G$3081&lt;&gt;"Clôturé")))</f>
        <v/>
      </c>
    </row>
    <row r="62">
      <c r="A62" s="10">
        <f>IF(ISNUMBER(Dossiers!$D$61),HYPERLINK("#Suivi!A3082",Dossiers!$E$61),"")</f>
        <v/>
      </c>
      <c r="B62" s="5">
        <f>IF($A62="","",Dossiers!$D$61)</f>
        <v/>
      </c>
      <c r="C62" s="5">
        <f>IF($A62="","",MAX(Suivi!$F$3083:$F$3135))</f>
        <v/>
      </c>
      <c r="D62" s="11">
        <f>IF($A62="","",(COUNTIF(Suivi!$G$3084:$G$3087,"Réalisé")+COUNTIF(Suivi!$G$3084:$G$3087,"Clôturé"))/ROWS(Suivi!$G$3084:$G$3087))</f>
        <v/>
      </c>
      <c r="E62" s="11">
        <f>IF($A62="","",(COUNTIF(Suivi!$G$3089:$G$3092,"Réalisé")+COUNTIF(Suivi!$G$3089:$G$3092,"Clôturé"))/ROWS(Suivi!$G$3089:$G$3092))</f>
        <v/>
      </c>
      <c r="F62" s="11">
        <f>IF($A62="","",(COUNTIF(Suivi!$G$3094:$G$3109,"Réalisé")+COUNTIF(Suivi!$G$3094:$G$3109,"Clôturé"))/ROWS(Suivi!$G$3094:$G$3109))</f>
        <v/>
      </c>
      <c r="G62" s="11">
        <f>IF($A62="","",(COUNTIF(Suivi!$G$3111:$G$3114,"Réalisé")+COUNTIF(Suivi!$G$3111:$G$3114,"Clôturé"))/ROWS(Suivi!$G$3111:$G$3114))</f>
        <v/>
      </c>
      <c r="H62" s="11">
        <f>IF($A62="","",(COUNTIF(Suivi!$G$3116:$G$3133,"Réalisé")+COUNTIF(Suivi!$G$3116:$G$3133,"Clôturé"))/ROWS(Suivi!$G$3116:$G$3133))</f>
        <v/>
      </c>
      <c r="I62" s="11">
        <f>IF($A62="","",(COUNTIF(Suivi!$G$3135:$G$3135,"Réalisé")+COUNTIF(Suivi!$G$3135:$G$3135,"Clôturé"))/ROWS(Suivi!$G$3135:$G$3135))</f>
        <v/>
      </c>
      <c r="J62" s="11">
        <f>IF($A62="","",SUMPRODUCT(ISNUMBER(SEARCH(".",Suivi!$B$3083:$B$3135))*((Suivi!$G$3083:$G$3135="Réalisé")+(Suivi!$G$3083:$G$3135="Clôturé")))/SUMPRODUCT(--ISNUMBER(SEARCH(".",Suivi!$B$3083:$B$3135))))</f>
        <v/>
      </c>
      <c r="K62">
        <f>IF($A62="","",SUMPRODUCT(ISNUMBER(SEARCH(".",Suivi!$B$3083:$B$3135))*ISNUMBER(Suivi!$F$3083:$F$3135)*(Suivi!$F$3083:$F$3135&lt;TODAY())*(Suivi!$G$3083:$G$3135&lt;&gt;"Réalisé")*(Suivi!$G$3083:$G$3135&lt;&gt;"Clôturé")))</f>
        <v/>
      </c>
    </row>
    <row r="63">
      <c r="A63" s="10">
        <f>IF(ISNUMBER(Dossiers!$D$62),HYPERLINK("#Suivi!A3136",Dossiers!$E$62),"")</f>
        <v/>
      </c>
      <c r="B63" s="5">
        <f>IF($A63="","",Dossiers!$D$62)</f>
        <v/>
      </c>
      <c r="C63" s="5">
        <f>IF($A63="","",MAX(Suivi!$F$3137:$F$3189))</f>
        <v/>
      </c>
      <c r="D63" s="11">
        <f>IF($A63="","",(COUNTIF(Suivi!$G$3138:$G$3141,"Réalisé")+COUNTIF(Suivi!$G$3138:$G$3141,"Clôturé"))/ROWS(Suivi!$G$3138:$G$3141))</f>
        <v/>
      </c>
      <c r="E63" s="11">
        <f>IF($A63="","",(COUNTIF(Suivi!$G$3143:$G$3146,"Réalisé")+COUNTIF(Suivi!$G$3143:$G$3146,"Clôturé"))/ROWS(Suivi!$G$3143:$G$3146))</f>
        <v/>
      </c>
      <c r="F63" s="11">
        <f>IF($A63="","",(COUNTIF(Suivi!$G$3148:$G$3163,"Réalisé")+COUNTIF(Suivi!$G$3148:$G$3163,"Clôturé"))/ROWS(Suivi!$G$3148:$G$3163))</f>
        <v/>
      </c>
      <c r="G63" s="11">
        <f>IF($A63="","",(COUNTIF(Suivi!$G$3165:$G$3168,"Réalisé")+COUNTIF(Suivi!$G$3165:$G$3168,"Clôturé"))/ROWS(Suivi!$G$3165:$G$3168))</f>
        <v/>
      </c>
      <c r="H63" s="11">
        <f>IF($A63="","",(COUNTIF(Suivi!$G$3170:$G$3187,"Réalisé")+COUNTIF(Suivi!$G$3170:$G$3187,"Clôturé"))/ROWS(Suivi!$G$3170:$G$3187))</f>
        <v/>
      </c>
      <c r="I63" s="11">
        <f>IF($A63="","",(COUNTIF(Suivi!$G$3189:$G$3189,"Réalisé")+COUNTIF(Suivi!$G$3189:$G$3189,"Clôturé"))/ROWS(Suivi!$G$3189:$G$3189))</f>
        <v/>
      </c>
      <c r="J63" s="11">
        <f>IF($A63="","",SUMPRODUCT(ISNUMBER(SEARCH(".",Suivi!$B$3137:$B$3189))*((Suivi!$G$3137:$G$3189="Réalisé")+(Suivi!$G$3137:$G$3189="Clôturé")))/SUMPRODUCT(--ISNUMBER(SEARCH(".",Suivi!$B$3137:$B$3189))))</f>
        <v/>
      </c>
      <c r="K63">
        <f>IF($A63="","",SUMPRODUCT(ISNUMBER(SEARCH(".",Suivi!$B$3137:$B$3189))*ISNUMBER(Suivi!$F$3137:$F$3189)*(Suivi!$F$3137:$F$3189&lt;TODAY())*(Suivi!$G$3137:$G$3189&lt;&gt;"Réalisé")*(Suivi!$G$3137:$G$3189&lt;&gt;"Clôturé")))</f>
        <v/>
      </c>
    </row>
    <row r="64">
      <c r="A64" s="10">
        <f>IF(ISNUMBER(Dossiers!$D$63),HYPERLINK("#Suivi!A3190",Dossiers!$E$63),"")</f>
        <v/>
      </c>
      <c r="B64" s="5">
        <f>IF($A64="","",Dossiers!$D$63)</f>
        <v/>
      </c>
      <c r="C64" s="5">
        <f>IF($A64="","",MAX(Suivi!$F$3191:$F$3243))</f>
        <v/>
      </c>
      <c r="D64" s="11">
        <f>IF($A64="","",(COUNTIF(Suivi!$G$3192:$G$3195,"Réalisé")+COUNTIF(Suivi!$G$3192:$G$3195,"Clôturé"))/ROWS(Suivi!$G$3192:$G$3195))</f>
        <v/>
      </c>
      <c r="E64" s="11">
        <f>IF($A64="","",(COUNTIF(Suivi!$G$3197:$G$3200,"Réalisé")+COUNTIF(Suivi!$G$3197:$G$3200,"Clôturé"))/ROWS(Suivi!$G$3197:$G$3200))</f>
        <v/>
      </c>
      <c r="F64" s="11">
        <f>IF($A64="","",(COUNTIF(Suivi!$G$3202:$G$3217,"Réalisé")+COUNTIF(Suivi!$G$3202:$G$3217,"Clôturé"))/ROWS(Suivi!$G$3202:$G$3217))</f>
        <v/>
      </c>
      <c r="G64" s="11">
        <f>IF($A64="","",(COUNTIF(Suivi!$G$3219:$G$3222,"Réalisé")+COUNTIF(Suivi!$G$3219:$G$3222,"Clôturé"))/ROWS(Suivi!$G$3219:$G$3222))</f>
        <v/>
      </c>
      <c r="H64" s="11">
        <f>IF($A64="","",(COUNTIF(Suivi!$G$3224:$G$3241,"Réalisé")+COUNTIF(Suivi!$G$3224:$G$3241,"Clôturé"))/ROWS(Suivi!$G$3224:$G$3241))</f>
        <v/>
      </c>
      <c r="I64" s="11">
        <f>IF($A64="","",(COUNTIF(Suivi!$G$3243:$G$3243,"Réalisé")+COUNTIF(Suivi!$G$3243:$G$3243,"Clôturé"))/ROWS(Suivi!$G$3243:$G$3243))</f>
        <v/>
      </c>
      <c r="J64" s="11">
        <f>IF($A64="","",SUMPRODUCT(ISNUMBER(SEARCH(".",Suivi!$B$3191:$B$3243))*((Suivi!$G$3191:$G$3243="Réalisé")+(Suivi!$G$3191:$G$3243="Clôturé")))/SUMPRODUCT(--ISNUMBER(SEARCH(".",Suivi!$B$3191:$B$3243))))</f>
        <v/>
      </c>
      <c r="K64">
        <f>IF($A64="","",SUMPRODUCT(ISNUMBER(SEARCH(".",Suivi!$B$3191:$B$3243))*ISNUMBER(Suivi!$F$3191:$F$3243)*(Suivi!$F$3191:$F$3243&lt;TODAY())*(Suivi!$G$3191:$G$3243&lt;&gt;"Réalisé")*(Suivi!$G$3191:$G$3243&lt;&gt;"Clôturé")))</f>
        <v/>
      </c>
    </row>
  </sheetData>
  <conditionalFormatting sqref="D5:J64">
    <cfRule type="dataBar" priority="2">
      <dataBar>
        <cfvo type="num" val="0"/>
        <cfvo type="num" val="1"/>
        <color rgb="FF8FD19E"/>
      </dataBar>
    </cfRule>
  </conditionalFormatting>
  <conditionalFormatting sqref="K5:K64">
    <cfRule type="cellIs" priority="3" operator="greaterThan" dxfId="0">
      <formula>0</formula>
    </cfRule>
  </conditionalFormatting>
  <pageMargins left="0.75" right="0.75" top="1" bottom="1" header="0.511811023622047" footer="0.511811023622047"/>
  <pageSetup orientation="landscape" fitToHeight="0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Paramètres!$C$6:$C$11</xm:f>
          </x14:formula1>
          <x14:formula2>
            <xm:f>0</xm:f>
          </x14:formula2>
          <xm:sqref>G5:G57 G59:G111 G113:G165 G167:G219 G221:G273 G275:G327 G329:G381 G383:G435 G437:G489 G491:G543 G545:G597 G599:G651 G653:G705 G707:G759 G761:G813 G815:G867 G869:G921 G923:G975 G977:G1029 G1031:G1083 G1085:G1137 G1139:G1191 G1193:G1245 G1247:G1299 G1301:G1353 G1355:G1407 G1409:G1461 G1463:G1515 G1517:G1569 G1571:G1623 G1625:G1677 G1679:G1731 G1733:G1785 G1787:G1839 G1841:G1893 G1895:G1947 G1949:G2001 G2003:G2055 G2057:G2109 G2111:G2163 G2165:G2217 G2219:G2271 G2273:G2325 G2327:G2379 G2381:G2433 G2435:G2487 G2489:G2541 G543:G2595 G2597:G2649 G2651:G2703 G2705:G2757 G2759:G2811 G2813:G2865 G2867:G2919 G2921:G2973 G2975:G3027 G3029:G3081 G3083:G3135 G3137:G3189 G3191:G3243</xm:sqref>
        </x14:dataValidation>
      </x14:dataValidations>
    </ext>
  </extLst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243"/>
  <sheetViews>
    <sheetView zoomScaleNormal="100" workbookViewId="0">
      <pane ySplit="3" topLeftCell="A4" activePane="bottomLeft" state="frozen"/>
      <selection pane="bottomLeft" activeCell="G40" sqref="G40"/>
    </sheetView>
  </sheetViews>
  <sheetFormatPr baseColWidth="10" defaultColWidth="8.6640625" defaultRowHeight="14.4"/>
  <cols>
    <col width="44" customWidth="1" min="1" max="1"/>
    <col width="11" customWidth="1" min="2" max="2"/>
    <col width="28" customWidth="1" min="3" max="3"/>
    <col width="36" customWidth="1" min="4" max="4"/>
    <col width="12" customWidth="1" min="5" max="5"/>
    <col width="13" customWidth="1" min="6" max="6"/>
    <col width="16" customWidth="1" min="7" max="7"/>
    <col width="15" customWidth="1" min="8" max="8"/>
    <col width="17" customWidth="1" min="9" max="9"/>
    <col width="20" customWidth="1" min="10" max="10"/>
  </cols>
  <sheetData>
    <row r="1">
      <c r="A1" s="15" t="inlineStr">
        <is>
          <t>SUIVI DES DOSSIERS</t>
        </is>
      </c>
    </row>
    <row r="2">
      <c r="A2" s="2" t="inlineStr">
        <is>
          <t>Saisir le statut (colonne G) et, si besoin, une durée particulière (colonne I). Ne pas insérer ni supprimer de lignes.</t>
        </is>
      </c>
      <c r="B2" s="2" t="n"/>
      <c r="C2" s="2" t="n"/>
      <c r="D2" s="2" t="n"/>
    </row>
    <row r="3">
      <c r="A3" s="15" t="inlineStr">
        <is>
          <t>Dossier</t>
        </is>
      </c>
      <c r="B3" s="15" t="inlineStr">
        <is>
          <t>Identifiant</t>
        </is>
      </c>
      <c r="C3" s="15" t="inlineStr">
        <is>
          <t>Macro Etape</t>
        </is>
      </c>
      <c r="D3" s="15" t="inlineStr">
        <is>
          <t>Etape</t>
        </is>
      </c>
      <c r="E3" s="15" t="inlineStr">
        <is>
          <t>Début le</t>
        </is>
      </c>
      <c r="F3" s="15" t="inlineStr">
        <is>
          <t>Fin prévue le</t>
        </is>
      </c>
      <c r="G3" s="15" t="inlineStr">
        <is>
          <t>Statut</t>
        </is>
      </c>
      <c r="H3" s="15" t="inlineStr">
        <is>
          <t>Durée (jours)</t>
        </is>
      </c>
      <c r="I3" s="15" t="inlineStr">
        <is>
          <t>Durée particulière</t>
        </is>
      </c>
      <c r="J3" s="12">
        <f>HYPERLINK("#'Tableau de bord'!A1","↑ Tableau de bord")</f>
        <v/>
      </c>
    </row>
    <row r="4">
      <c r="A4" s="16">
        <f>IF(ISNUMBER(Dossiers!$D$4),Dossiers!$E$4,"")</f>
        <v/>
      </c>
      <c r="B4" s="16">
        <f>IF($A4="","","Identifiant")</f>
        <v/>
      </c>
      <c r="C4" s="16">
        <f>IF($A4="","","Macro Etape")</f>
        <v/>
      </c>
      <c r="D4" s="16">
        <f>IF($A4="","","Etape")</f>
        <v/>
      </c>
      <c r="E4" s="17">
        <f>IF($A4="","","Début le")</f>
        <v/>
      </c>
      <c r="F4" s="17">
        <f>IF($A4="","","Fin prévue le")</f>
        <v/>
      </c>
      <c r="G4" s="16">
        <f>IF($A4="","","Statut")</f>
        <v/>
      </c>
      <c r="H4" s="16">
        <f>IF($A4="","","Durée (jours)")</f>
        <v/>
      </c>
      <c r="I4" s="16">
        <f>IF($A4="","","Durée particulière")</f>
        <v/>
      </c>
      <c r="J4" s="10">
        <f>IF($A4="","",HYPERLINK("#'Tableau de bord'!A1","↑ Tableau de bord"))</f>
        <v/>
      </c>
    </row>
    <row r="5">
      <c r="A5" s="18">
        <f>IF(ISNUMBER(Dossiers!$D$4),Dossiers!$A$4&amp;" · "&amp;Dossiers!$B$4,"")</f>
        <v/>
      </c>
      <c r="B5" s="18">
        <f>IF($A5="","",Paramètres!G5)</f>
        <v/>
      </c>
      <c r="C5" s="18">
        <f>IF($A5="","",IF(Paramètres!H5="","",Paramètres!H5))</f>
        <v/>
      </c>
      <c r="D5" s="18">
        <f>IF($A5="","",IF(Paramètres!I5="","",Paramètres!I5))</f>
        <v/>
      </c>
      <c r="E5" s="19">
        <f>IF($A5="","",MIN(E6:E9))</f>
        <v/>
      </c>
      <c r="F5" s="19">
        <f>IF($A5="","",MAX(F6:F9))</f>
        <v/>
      </c>
      <c r="G5" s="18" t="inlineStr">
        <is>
          <t>En attente</t>
        </is>
      </c>
      <c r="H5" s="18">
        <f>IF($A5="","",F5-E5+1)</f>
        <v/>
      </c>
      <c r="I5" s="18" t="n"/>
    </row>
    <row r="6">
      <c r="A6" s="18">
        <f>IF(ISNUMBER(Dossiers!$D$4),Dossiers!$A$4&amp;" · "&amp;Dossiers!$B$4,"")</f>
        <v/>
      </c>
      <c r="B6" s="18">
        <f>IF($A6="","",Paramètres!G6)</f>
        <v/>
      </c>
      <c r="C6" s="18">
        <f>IF($A6="","",IF(Paramètres!H6="","",Paramètres!H6))</f>
        <v/>
      </c>
      <c r="D6" s="18">
        <f>IF($A6="","",IF(Paramètres!I6="","",Paramètres!I6))</f>
        <v/>
      </c>
      <c r="E6" s="19">
        <f>IF($A6="","",IF(Paramètres!J6&amp;Paramètres!L6&amp;Paramètres!N6="",Dossiers!$D$4,MAX(IF(Paramètres!J6="",0,IF(Paramètres!K6="",NA(),IF(LEFT(TRIM(Paramètres!K6),1)="F",INDEX($F$5:$F$57,MATCH(Paramètres!J6,Paramètres!$G$5:$G$57,0)),INDEX($E$5:$E$57,MATCH(Paramètres!J6,Paramètres!$G$5:$G$57,0)))+IF(RIGHT(TRIM(Paramètres!K6),3)="Fin",1-$H6,IF(LEFT(TRIM(Paramètres!K6),1)="F",1,0)))),IF(Paramètres!L6="",0,IF(Paramètres!M6="",NA(),IF(LEFT(TRIM(Paramètres!M6),1)="F",INDEX($F$5:$F$57,MATCH(Paramètres!L6,Paramètres!$G$5:$G$57,0)),INDEX($E$5:$E$57,MATCH(Paramètres!L6,Paramètres!$G$5:$G$57,0)))+IF(RIGHT(TRIM(Paramètres!M6),3)="Fin",1-$H6,IF(LEFT(TRIM(Paramètres!M6),1)="F",1,0)))),IF(Paramètres!N6="",0,IF(Paramètres!O6="",NA(),IF(LEFT(TRIM(Paramètres!O6),1)="F",INDEX($F$5:$F$57,MATCH(Paramètres!N6,Paramètres!$G$5:$G$57,0)),INDEX($E$5:$E$57,MATCH(Paramètres!N6,Paramètres!$G$5:$G$57,0)))+IF(RIGHT(TRIM(Paramètres!O6),3)="Fin",1-$H6,IF(LEFT(TRIM(Paramètres!O6),1)="F",1,0)))))))</f>
        <v/>
      </c>
      <c r="F6" s="19">
        <f>IF($A6="","",E6+$H6-1)</f>
        <v/>
      </c>
      <c r="G6" s="18" t="n"/>
      <c r="H6" s="18">
        <f>IF($A6="","",IF(I6&lt;&gt;"",I6,Paramètres!B6))</f>
        <v/>
      </c>
      <c r="I6" s="18" t="n">
        <v>2</v>
      </c>
    </row>
    <row r="7">
      <c r="A7" s="18">
        <f>IF(ISNUMBER(Dossiers!$D$4),Dossiers!$A$4&amp;" · "&amp;Dossiers!$B$4,"")</f>
        <v/>
      </c>
      <c r="B7" s="18">
        <f>IF($A7="","",Paramètres!G7)</f>
        <v/>
      </c>
      <c r="C7" s="18">
        <f>IF($A7="","",IF(Paramètres!H7="","",Paramètres!H7))</f>
        <v/>
      </c>
      <c r="D7" s="18">
        <f>IF($A7="","",IF(Paramètres!I7="","",Paramètres!I7))</f>
        <v/>
      </c>
      <c r="E7" s="19">
        <f>IF($A7="","",IF(Paramètres!J7&amp;Paramètres!L7&amp;Paramètres!N7="",Dossiers!$D$4,MAX(IF(Paramètres!J7="",0,IF(Paramètres!K7="",NA(),IF(LEFT(TRIM(Paramètres!K7),1)="F",INDEX($F$5:$F$57,MATCH(Paramètres!J7,Paramètres!$G$5:$G$57,0)),INDEX($E$5:$E$57,MATCH(Paramètres!J7,Paramètres!$G$5:$G$57,0)))+IF(RIGHT(TRIM(Paramètres!K7),3)="Fin",1-$H7,IF(LEFT(TRIM(Paramètres!K7),1)="F",1,0)))),IF(Paramètres!L7="",0,IF(Paramètres!M7="",NA(),IF(LEFT(TRIM(Paramètres!M7),1)="F",INDEX($F$5:$F$57,MATCH(Paramètres!L7,Paramètres!$G$5:$G$57,0)),INDEX($E$5:$E$57,MATCH(Paramètres!L7,Paramètres!$G$5:$G$57,0)))+IF(RIGHT(TRIM(Paramètres!M7),3)="Fin",1-$H7,IF(LEFT(TRIM(Paramètres!M7),1)="F",1,0)))),IF(Paramètres!N7="",0,IF(Paramètres!O7="",NA(),IF(LEFT(TRIM(Paramètres!O7),1)="F",INDEX($F$5:$F$57,MATCH(Paramètres!N7,Paramètres!$G$5:$G$57,0)),INDEX($E$5:$E$57,MATCH(Paramètres!N7,Paramètres!$G$5:$G$57,0)))+IF(RIGHT(TRIM(Paramètres!O7),3)="Fin",1-$H7,IF(LEFT(TRIM(Paramètres!O7),1)="F",1,0)))))))</f>
        <v/>
      </c>
      <c r="F7" s="19">
        <f>IF($A7="","",E7+$H7-1)</f>
        <v/>
      </c>
      <c r="G7" s="18" t="n"/>
      <c r="H7" s="18">
        <f>IF($A7="","",IF(I7&lt;&gt;"",I7,Paramètres!B7))</f>
        <v/>
      </c>
      <c r="I7" s="18" t="n"/>
    </row>
    <row r="8">
      <c r="A8" s="18">
        <f>IF(ISNUMBER(Dossiers!$D$4),Dossiers!$A$4&amp;" · "&amp;Dossiers!$B$4,"")</f>
        <v/>
      </c>
      <c r="B8" s="18">
        <f>IF($A8="","",Paramètres!G8)</f>
        <v/>
      </c>
      <c r="C8" s="18">
        <f>IF($A8="","",IF(Paramètres!H8="","",Paramètres!H8))</f>
        <v/>
      </c>
      <c r="D8" s="18">
        <f>IF($A8="","",IF(Paramètres!I8="","",Paramètres!I8))</f>
        <v/>
      </c>
      <c r="E8" s="19">
        <f>IF($A8="","",IF(Paramètres!J8&amp;Paramètres!L8&amp;Paramètres!N8="",Dossiers!$D$4,MAX(IF(Paramètres!J8="",0,IF(Paramètres!K8="",NA(),IF(LEFT(TRIM(Paramètres!K8),1)="F",INDEX($F$5:$F$57,MATCH(Paramètres!J8,Paramètres!$G$5:$G$57,0)),INDEX($E$5:$E$57,MATCH(Paramètres!J8,Paramètres!$G$5:$G$57,0)))+IF(RIGHT(TRIM(Paramètres!K8),3)="Fin",1-$H8,IF(LEFT(TRIM(Paramètres!K8),1)="F",1,0)))),IF(Paramètres!L8="",0,IF(Paramètres!M8="",NA(),IF(LEFT(TRIM(Paramètres!M8),1)="F",INDEX($F$5:$F$57,MATCH(Paramètres!L8,Paramètres!$G$5:$G$57,0)),INDEX($E$5:$E$57,MATCH(Paramètres!L8,Paramètres!$G$5:$G$57,0)))+IF(RIGHT(TRIM(Paramètres!M8),3)="Fin",1-$H8,IF(LEFT(TRIM(Paramètres!M8),1)="F",1,0)))),IF(Paramètres!N8="",0,IF(Paramètres!O8="",NA(),IF(LEFT(TRIM(Paramètres!O8),1)="F",INDEX($F$5:$F$57,MATCH(Paramètres!N8,Paramètres!$G$5:$G$57,0)),INDEX($E$5:$E$57,MATCH(Paramètres!N8,Paramètres!$G$5:$G$57,0)))+IF(RIGHT(TRIM(Paramètres!O8),3)="Fin",1-$H8,IF(LEFT(TRIM(Paramètres!O8),1)="F",1,0)))))))</f>
        <v/>
      </c>
      <c r="F8" s="19">
        <f>IF($A8="","",E8+$H8-1)</f>
        <v/>
      </c>
      <c r="G8" s="18" t="n"/>
      <c r="H8" s="18">
        <f>IF($A8="","",IF(I8&lt;&gt;"",I8,Paramètres!B8))</f>
        <v/>
      </c>
      <c r="I8" s="18" t="n"/>
    </row>
    <row r="9">
      <c r="A9" s="18">
        <f>IF(ISNUMBER(Dossiers!$D$4),Dossiers!$A$4&amp;" · "&amp;Dossiers!$B$4,"")</f>
        <v/>
      </c>
      <c r="B9" s="18">
        <f>IF($A9="","",Paramètres!G9)</f>
        <v/>
      </c>
      <c r="C9" s="18">
        <f>IF($A9="","",IF(Paramètres!H9="","",Paramètres!H9))</f>
        <v/>
      </c>
      <c r="D9" s="18">
        <f>IF($A9="","",IF(Paramètres!I9="","",Paramètres!I9))</f>
        <v/>
      </c>
      <c r="E9" s="19">
        <f>IF($A9="","",IF(Paramètres!J9&amp;Paramètres!L9&amp;Paramètres!N9="",Dossiers!$D$4,MAX(IF(Paramètres!J9="",0,IF(Paramètres!K9="",NA(),IF(LEFT(TRIM(Paramètres!K9),1)="F",INDEX($F$5:$F$57,MATCH(Paramètres!J9,Paramètres!$G$5:$G$57,0)),INDEX($E$5:$E$57,MATCH(Paramètres!J9,Paramètres!$G$5:$G$57,0)))+IF(RIGHT(TRIM(Paramètres!K9),3)="Fin",1-$H9,IF(LEFT(TRIM(Paramètres!K9),1)="F",1,0)))),IF(Paramètres!L9="",0,IF(Paramètres!M9="",NA(),IF(LEFT(TRIM(Paramètres!M9),1)="F",INDEX($F$5:$F$57,MATCH(Paramètres!L9,Paramètres!$G$5:$G$57,0)),INDEX($E$5:$E$57,MATCH(Paramètres!L9,Paramètres!$G$5:$G$57,0)))+IF(RIGHT(TRIM(Paramètres!M9),3)="Fin",1-$H9,IF(LEFT(TRIM(Paramètres!M9),1)="F",1,0)))),IF(Paramètres!N9="",0,IF(Paramètres!O9="",NA(),IF(LEFT(TRIM(Paramètres!O9),1)="F",INDEX($F$5:$F$57,MATCH(Paramètres!N9,Paramètres!$G$5:$G$57,0)),INDEX($E$5:$E$57,MATCH(Paramètres!N9,Paramètres!$G$5:$G$57,0)))+IF(RIGHT(TRIM(Paramètres!O9),3)="Fin",1-$H9,IF(LEFT(TRIM(Paramètres!O9),1)="F",1,0)))))))</f>
        <v/>
      </c>
      <c r="F9" s="19">
        <f>IF($A9="","",E9+$H9-1)</f>
        <v/>
      </c>
      <c r="G9" s="18" t="n"/>
      <c r="H9" s="18">
        <f>IF($A9="","",IF(I9&lt;&gt;"",I9,Paramètres!B9))</f>
        <v/>
      </c>
      <c r="I9" s="18" t="n"/>
    </row>
    <row r="10">
      <c r="A10" s="18">
        <f>IF(ISNUMBER(Dossiers!$D$4),Dossiers!$A$4&amp;" · "&amp;Dossiers!$B$4,"")</f>
        <v/>
      </c>
      <c r="B10" s="18">
        <f>IF($A10="","",Paramètres!G10)</f>
        <v/>
      </c>
      <c r="C10" s="18">
        <f>IF($A10="","",IF(Paramètres!H10="","",Paramètres!H10))</f>
        <v/>
      </c>
      <c r="D10" s="18">
        <f>IF($A10="","",IF(Paramètres!I10="","",Paramètres!I10))</f>
        <v/>
      </c>
      <c r="E10" s="19">
        <f>IF($A10="","",MIN(E11:E14))</f>
        <v/>
      </c>
      <c r="F10" s="19">
        <f>IF($A10="","",MAX(F11:F14))</f>
        <v/>
      </c>
      <c r="G10" s="18" t="n"/>
      <c r="H10" s="18">
        <f>IF($A10="","",F10-E10+1)</f>
        <v/>
      </c>
      <c r="I10" s="18" t="n"/>
    </row>
    <row r="11">
      <c r="A11" s="18">
        <f>IF(ISNUMBER(Dossiers!$D$4),Dossiers!$A$4&amp;" · "&amp;Dossiers!$B$4,"")</f>
        <v/>
      </c>
      <c r="B11" s="18">
        <f>IF($A11="","",Paramètres!G11)</f>
        <v/>
      </c>
      <c r="C11" s="18">
        <f>IF($A11="","",IF(Paramètres!H11="","",Paramètres!H11))</f>
        <v/>
      </c>
      <c r="D11" s="18">
        <f>IF($A11="","",IF(Paramètres!I11="","",Paramètres!I11))</f>
        <v/>
      </c>
      <c r="E11" s="19">
        <f>IF($A11="","",IF(Paramètres!J11&amp;Paramètres!L11&amp;Paramètres!N11="",Dossiers!$D$4,MAX(IF(Paramètres!J11="",0,IF(Paramètres!K11="",NA(),IF(LEFT(TRIM(Paramètres!K11),1)="F",INDEX($F$5:$F$57,MATCH(Paramètres!J11,Paramètres!$G$5:$G$57,0)),INDEX($E$5:$E$57,MATCH(Paramètres!J11,Paramètres!$G$5:$G$57,0)))+IF(RIGHT(TRIM(Paramètres!K11),3)="Fin",1-$H11,IF(LEFT(TRIM(Paramètres!K11),1)="F",1,0)))),IF(Paramètres!L11="",0,IF(Paramètres!M11="",NA(),IF(LEFT(TRIM(Paramètres!M11),1)="F",INDEX($F$5:$F$57,MATCH(Paramètres!L11,Paramètres!$G$5:$G$57,0)),INDEX($E$5:$E$57,MATCH(Paramètres!L11,Paramètres!$G$5:$G$57,0)))+IF(RIGHT(TRIM(Paramètres!M11),3)="Fin",1-$H11,IF(LEFT(TRIM(Paramètres!M11),1)="F",1,0)))),IF(Paramètres!N11="",0,IF(Paramètres!O11="",NA(),IF(LEFT(TRIM(Paramètres!O11),1)="F",INDEX($F$5:$F$57,MATCH(Paramètres!N11,Paramètres!$G$5:$G$57,0)),INDEX($E$5:$E$57,MATCH(Paramètres!N11,Paramètres!$G$5:$G$57,0)))+IF(RIGHT(TRIM(Paramètres!O11),3)="Fin",1-$H11,IF(LEFT(TRIM(Paramètres!O11),1)="F",1,0)))))))</f>
        <v/>
      </c>
      <c r="F11" s="19">
        <f>IF($A11="","",E11+$H11-1)</f>
        <v/>
      </c>
      <c r="G11" s="18" t="n"/>
      <c r="H11" s="18">
        <f>IF($A11="","",IF(I11&lt;&gt;"",I11,Paramètres!B11))</f>
        <v/>
      </c>
      <c r="I11" s="18" t="n"/>
    </row>
    <row r="12">
      <c r="A12" s="18">
        <f>IF(ISNUMBER(Dossiers!$D$4),Dossiers!$A$4&amp;" · "&amp;Dossiers!$B$4,"")</f>
        <v/>
      </c>
      <c r="B12" s="18">
        <f>IF($A12="","",Paramètres!G12)</f>
        <v/>
      </c>
      <c r="C12" s="18">
        <f>IF($A12="","",IF(Paramètres!H12="","",Paramètres!H12))</f>
        <v/>
      </c>
      <c r="D12" s="18">
        <f>IF($A12="","",IF(Paramètres!I12="","",Paramètres!I12))</f>
        <v/>
      </c>
      <c r="E12" s="19">
        <f>IF($A12="","",IF(Paramètres!J12&amp;Paramètres!L12&amp;Paramètres!N12="",Dossiers!$D$4,MAX(IF(Paramètres!J12="",0,IF(Paramètres!K12="",NA(),IF(LEFT(TRIM(Paramètres!K12),1)="F",INDEX($F$5:$F$57,MATCH(Paramètres!J12,Paramètres!$G$5:$G$57,0)),INDEX($E$5:$E$57,MATCH(Paramètres!J12,Paramètres!$G$5:$G$57,0)))+IF(RIGHT(TRIM(Paramètres!K12),3)="Fin",1-$H12,IF(LEFT(TRIM(Paramètres!K12),1)="F",1,0)))),IF(Paramètres!L12="",0,IF(Paramètres!M12="",NA(),IF(LEFT(TRIM(Paramètres!M12),1)="F",INDEX($F$5:$F$57,MATCH(Paramètres!L12,Paramètres!$G$5:$G$57,0)),INDEX($E$5:$E$57,MATCH(Paramètres!L12,Paramètres!$G$5:$G$57,0)))+IF(RIGHT(TRIM(Paramètres!M12),3)="Fin",1-$H12,IF(LEFT(TRIM(Paramètres!M12),1)="F",1,0)))),IF(Paramètres!N12="",0,IF(Paramètres!O12="",NA(),IF(LEFT(TRIM(Paramètres!O12),1)="F",INDEX($F$5:$F$57,MATCH(Paramètres!N12,Paramètres!$G$5:$G$57,0)),INDEX($E$5:$E$57,MATCH(Paramètres!N12,Paramètres!$G$5:$G$57,0)))+IF(RIGHT(TRIM(Paramètres!O12),3)="Fin",1-$H12,IF(LEFT(TRIM(Paramètres!O12),1)="F",1,0)))))))</f>
        <v/>
      </c>
      <c r="F12" s="19">
        <f>IF($A12="","",E12+$H12-1)</f>
        <v/>
      </c>
      <c r="G12" s="18" t="n"/>
      <c r="H12" s="18">
        <f>IF($A12="","",IF(I12&lt;&gt;"",I12,Paramètres!B12))</f>
        <v/>
      </c>
      <c r="I12" s="18" t="n">
        <v>0</v>
      </c>
    </row>
    <row r="13">
      <c r="A13" s="18">
        <f>IF(ISNUMBER(Dossiers!$D$4),Dossiers!$A$4&amp;" · "&amp;Dossiers!$B$4,"")</f>
        <v/>
      </c>
      <c r="B13" s="18">
        <f>IF($A13="","",Paramètres!G13)</f>
        <v/>
      </c>
      <c r="C13" s="18">
        <f>IF($A13="","",IF(Paramètres!H13="","",Paramètres!H13))</f>
        <v/>
      </c>
      <c r="D13" s="18">
        <f>IF($A13="","",IF(Paramètres!I13="","",Paramètres!I13))</f>
        <v/>
      </c>
      <c r="E13" s="19">
        <f>IF($A13="","",IF(Paramètres!J13&amp;Paramètres!L13&amp;Paramètres!N13="",Dossiers!$D$4,MAX(IF(Paramètres!J13="",0,IF(Paramètres!K13="",NA(),IF(LEFT(TRIM(Paramètres!K13),1)="F",INDEX($F$5:$F$57,MATCH(Paramètres!J13,Paramètres!$G$5:$G$57,0)),INDEX($E$5:$E$57,MATCH(Paramètres!J13,Paramètres!$G$5:$G$57,0)))+IF(RIGHT(TRIM(Paramètres!K13),3)="Fin",1-$H13,IF(LEFT(TRIM(Paramètres!K13),1)="F",1,0)))),IF(Paramètres!L13="",0,IF(Paramètres!M13="",NA(),IF(LEFT(TRIM(Paramètres!M13),1)="F",INDEX($F$5:$F$57,MATCH(Paramètres!L13,Paramètres!$G$5:$G$57,0)),INDEX($E$5:$E$57,MATCH(Paramètres!L13,Paramètres!$G$5:$G$57,0)))+IF(RIGHT(TRIM(Paramètres!M13),3)="Fin",1-$H13,IF(LEFT(TRIM(Paramètres!M13),1)="F",1,0)))),IF(Paramètres!N13="",0,IF(Paramètres!O13="",NA(),IF(LEFT(TRIM(Paramètres!O13),1)="F",INDEX($F$5:$F$57,MATCH(Paramètres!N13,Paramètres!$G$5:$G$57,0)),INDEX($E$5:$E$57,MATCH(Paramètres!N13,Paramètres!$G$5:$G$57,0)))+IF(RIGHT(TRIM(Paramètres!O13),3)="Fin",1-$H13,IF(LEFT(TRIM(Paramètres!O13),1)="F",1,0)))))))</f>
        <v/>
      </c>
      <c r="F13" s="19">
        <f>IF($A13="","",E13+$H13-1)</f>
        <v/>
      </c>
      <c r="G13" s="18" t="n"/>
      <c r="H13" s="18">
        <f>IF($A13="","",IF(I13&lt;&gt;"",I13,Paramètres!B13))</f>
        <v/>
      </c>
      <c r="I13" s="18" t="n"/>
    </row>
    <row r="14">
      <c r="A14" s="18">
        <f>IF(ISNUMBER(Dossiers!$D$4),Dossiers!$A$4&amp;" · "&amp;Dossiers!$B$4,"")</f>
        <v/>
      </c>
      <c r="B14" s="18">
        <f>IF($A14="","",Paramètres!G14)</f>
        <v/>
      </c>
      <c r="C14" s="18">
        <f>IF($A14="","",IF(Paramètres!H14="","",Paramètres!H14))</f>
        <v/>
      </c>
      <c r="D14" s="18">
        <f>IF($A14="","",IF(Paramètres!I14="","",Paramètres!I14))</f>
        <v/>
      </c>
      <c r="E14" s="19">
        <f>IF($A14="","",IF(Paramètres!J14&amp;Paramètres!L14&amp;Paramètres!N14="",Dossiers!$D$4,MAX(IF(Paramètres!J14="",0,IF(Paramètres!K14="",NA(),IF(LEFT(TRIM(Paramètres!K14),1)="F",INDEX($F$5:$F$57,MATCH(Paramètres!J14,Paramètres!$G$5:$G$57,0)),INDEX($E$5:$E$57,MATCH(Paramètres!J14,Paramètres!$G$5:$G$57,0)))+IF(RIGHT(TRIM(Paramètres!K14),3)="Fin",1-$H14,IF(LEFT(TRIM(Paramètres!K14),1)="F",1,0)))),IF(Paramètres!L14="",0,IF(Paramètres!M14="",NA(),IF(LEFT(TRIM(Paramètres!M14),1)="F",INDEX($F$5:$F$57,MATCH(Paramètres!L14,Paramètres!$G$5:$G$57,0)),INDEX($E$5:$E$57,MATCH(Paramètres!L14,Paramètres!$G$5:$G$57,0)))+IF(RIGHT(TRIM(Paramètres!M14),3)="Fin",1-$H14,IF(LEFT(TRIM(Paramètres!M14),1)="F",1,0)))),IF(Paramètres!N14="",0,IF(Paramètres!O14="",NA(),IF(LEFT(TRIM(Paramètres!O14),1)="F",INDEX($F$5:$F$57,MATCH(Paramètres!N14,Paramètres!$G$5:$G$57,0)),INDEX($E$5:$E$57,MATCH(Paramètres!N14,Paramètres!$G$5:$G$57,0)))+IF(RIGHT(TRIM(Paramètres!O14),3)="Fin",1-$H14,IF(LEFT(TRIM(Paramètres!O14),1)="F",1,0)))))))</f>
        <v/>
      </c>
      <c r="F14" s="19">
        <f>IF($A14="","",E14+$H14-1)</f>
        <v/>
      </c>
      <c r="G14" s="18" t="n"/>
      <c r="H14" s="18">
        <f>IF($A14="","",IF(I14&lt;&gt;"",I14,Paramètres!B14))</f>
        <v/>
      </c>
      <c r="I14" s="18" t="n">
        <v>0</v>
      </c>
    </row>
    <row r="15">
      <c r="A15" s="18">
        <f>IF(ISNUMBER(Dossiers!$D$4),Dossiers!$A$4&amp;" · "&amp;Dossiers!$B$4,"")</f>
        <v/>
      </c>
      <c r="B15" s="18">
        <f>IF($A15="","",Paramètres!G15)</f>
        <v/>
      </c>
      <c r="C15" s="18">
        <f>IF($A15="","",IF(Paramètres!H15="","",Paramètres!H15))</f>
        <v/>
      </c>
      <c r="D15" s="18">
        <f>IF($A15="","",IF(Paramètres!I15="","",Paramètres!I15))</f>
        <v/>
      </c>
      <c r="E15" s="19">
        <f>IF($A15="","",MIN(E16:E31))</f>
        <v/>
      </c>
      <c r="F15" s="19">
        <f>IF($A15="","",MAX(F16:F31))</f>
        <v/>
      </c>
      <c r="G15" s="18" t="n"/>
      <c r="H15" s="18">
        <f>IF($A15="","",F15-E15+1)</f>
        <v/>
      </c>
      <c r="I15" s="18" t="n"/>
    </row>
    <row r="16">
      <c r="A16" s="18">
        <f>IF(ISNUMBER(Dossiers!$D$4),Dossiers!$A$4&amp;" · "&amp;Dossiers!$B$4,"")</f>
        <v/>
      </c>
      <c r="B16" s="18">
        <f>IF($A16="","",Paramètres!G16)</f>
        <v/>
      </c>
      <c r="C16" s="18">
        <f>IF($A16="","",IF(Paramètres!H16="","",Paramètres!H16))</f>
        <v/>
      </c>
      <c r="D16" s="18">
        <f>IF($A16="","",IF(Paramètres!I16="","",Paramètres!I16))</f>
        <v/>
      </c>
      <c r="E16" s="19">
        <f>IF($A16="","",IF(Paramètres!J16&amp;Paramètres!L16&amp;Paramètres!N16="",Dossiers!$D$4,MAX(IF(Paramètres!J16="",0,IF(Paramètres!K16="",NA(),IF(LEFT(TRIM(Paramètres!K16),1)="F",INDEX($F$5:$F$57,MATCH(Paramètres!J16,Paramètres!$G$5:$G$57,0)),INDEX($E$5:$E$57,MATCH(Paramètres!J16,Paramètres!$G$5:$G$57,0)))+IF(RIGHT(TRIM(Paramètres!K16),3)="Fin",1-$H16,IF(LEFT(TRIM(Paramètres!K16),1)="F",1,0)))),IF(Paramètres!L16="",0,IF(Paramètres!M16="",NA(),IF(LEFT(TRIM(Paramètres!M16),1)="F",INDEX($F$5:$F$57,MATCH(Paramètres!L16,Paramètres!$G$5:$G$57,0)),INDEX($E$5:$E$57,MATCH(Paramètres!L16,Paramètres!$G$5:$G$57,0)))+IF(RIGHT(TRIM(Paramètres!M16),3)="Fin",1-$H16,IF(LEFT(TRIM(Paramètres!M16),1)="F",1,0)))),IF(Paramètres!N16="",0,IF(Paramètres!O16="",NA(),IF(LEFT(TRIM(Paramètres!O16),1)="F",INDEX($F$5:$F$57,MATCH(Paramètres!N16,Paramètres!$G$5:$G$57,0)),INDEX($E$5:$E$57,MATCH(Paramètres!N16,Paramètres!$G$5:$G$57,0)))+IF(RIGHT(TRIM(Paramètres!O16),3)="Fin",1-$H16,IF(LEFT(TRIM(Paramètres!O16),1)="F",1,0)))))))</f>
        <v/>
      </c>
      <c r="F16" s="19">
        <f>IF($A16="","",E16+$H16-1)</f>
        <v/>
      </c>
      <c r="G16" s="18" t="n"/>
      <c r="H16" s="18">
        <f>IF($A16="","",IF(I16&lt;&gt;"",I16,Paramètres!B16))</f>
        <v/>
      </c>
      <c r="I16" s="18" t="n"/>
    </row>
    <row r="17">
      <c r="A17" s="18">
        <f>IF(ISNUMBER(Dossiers!$D$4),Dossiers!$A$4&amp;" · "&amp;Dossiers!$B$4,"")</f>
        <v/>
      </c>
      <c r="B17" s="18">
        <f>IF($A17="","",Paramètres!G17)</f>
        <v/>
      </c>
      <c r="C17" s="18">
        <f>IF($A17="","",IF(Paramètres!H17="","",Paramètres!H17))</f>
        <v/>
      </c>
      <c r="D17" s="18">
        <f>IF($A17="","",IF(Paramètres!I17="","",Paramètres!I17))</f>
        <v/>
      </c>
      <c r="E17" s="19">
        <f>IF($A17="","",IF(Paramètres!J17&amp;Paramètres!L17&amp;Paramètres!N17="",Dossiers!$D$4,MAX(IF(Paramètres!J17="",0,IF(Paramètres!K17="",NA(),IF(LEFT(TRIM(Paramètres!K17),1)="F",INDEX($F$5:$F$57,MATCH(Paramètres!J17,Paramètres!$G$5:$G$57,0)),INDEX($E$5:$E$57,MATCH(Paramètres!J17,Paramètres!$G$5:$G$57,0)))+IF(RIGHT(TRIM(Paramètres!K17),3)="Fin",1-$H17,IF(LEFT(TRIM(Paramètres!K17),1)="F",1,0)))),IF(Paramètres!L17="",0,IF(Paramètres!M17="",NA(),IF(LEFT(TRIM(Paramètres!M17),1)="F",INDEX($F$5:$F$57,MATCH(Paramètres!L17,Paramètres!$G$5:$G$57,0)),INDEX($E$5:$E$57,MATCH(Paramètres!L17,Paramètres!$G$5:$G$57,0)))+IF(RIGHT(TRIM(Paramètres!M17),3)="Fin",1-$H17,IF(LEFT(TRIM(Paramètres!M17),1)="F",1,0)))),IF(Paramètres!N17="",0,IF(Paramètres!O17="",NA(),IF(LEFT(TRIM(Paramètres!O17),1)="F",INDEX($F$5:$F$57,MATCH(Paramètres!N17,Paramètres!$G$5:$G$57,0)),INDEX($E$5:$E$57,MATCH(Paramètres!N17,Paramètres!$G$5:$G$57,0)))+IF(RIGHT(TRIM(Paramètres!O17),3)="Fin",1-$H17,IF(LEFT(TRIM(Paramètres!O17),1)="F",1,0)))))))</f>
        <v/>
      </c>
      <c r="F17" s="19">
        <f>IF($A17="","",E17+$H17-1)</f>
        <v/>
      </c>
      <c r="G17" s="18" t="n"/>
      <c r="H17" s="18">
        <f>IF($A17="","",IF(I17&lt;&gt;"",I17,Paramètres!B17))</f>
        <v/>
      </c>
      <c r="I17" s="18" t="n"/>
    </row>
    <row r="18">
      <c r="A18" s="18">
        <f>IF(ISNUMBER(Dossiers!$D$4),Dossiers!$A$4&amp;" · "&amp;Dossiers!$B$4,"")</f>
        <v/>
      </c>
      <c r="B18" s="18">
        <f>IF($A18="","",Paramètres!G18)</f>
        <v/>
      </c>
      <c r="C18" s="18">
        <f>IF($A18="","",IF(Paramètres!H18="","",Paramètres!H18))</f>
        <v/>
      </c>
      <c r="D18" s="18">
        <f>IF($A18="","",IF(Paramètres!I18="","",Paramètres!I18))</f>
        <v/>
      </c>
      <c r="E18" s="19">
        <f>IF($A18="","",IF(Paramètres!J18&amp;Paramètres!L18&amp;Paramètres!N18="",Dossiers!$D$4,MAX(IF(Paramètres!J18="",0,IF(Paramètres!K18="",NA(),IF(LEFT(TRIM(Paramètres!K18),1)="F",INDEX($F$5:$F$57,MATCH(Paramètres!J18,Paramètres!$G$5:$G$57,0)),INDEX($E$5:$E$57,MATCH(Paramètres!J18,Paramètres!$G$5:$G$57,0)))+IF(RIGHT(TRIM(Paramètres!K18),3)="Fin",1-$H18,IF(LEFT(TRIM(Paramètres!K18),1)="F",1,0)))),IF(Paramètres!L18="",0,IF(Paramètres!M18="",NA(),IF(LEFT(TRIM(Paramètres!M18),1)="F",INDEX($F$5:$F$57,MATCH(Paramètres!L18,Paramètres!$G$5:$G$57,0)),INDEX($E$5:$E$57,MATCH(Paramètres!L18,Paramètres!$G$5:$G$57,0)))+IF(RIGHT(TRIM(Paramètres!M18),3)="Fin",1-$H18,IF(LEFT(TRIM(Paramètres!M18),1)="F",1,0)))),IF(Paramètres!N18="",0,IF(Paramètres!O18="",NA(),IF(LEFT(TRIM(Paramètres!O18),1)="F",INDEX($F$5:$F$57,MATCH(Paramètres!N18,Paramètres!$G$5:$G$57,0)),INDEX($E$5:$E$57,MATCH(Paramètres!N18,Paramètres!$G$5:$G$57,0)))+IF(RIGHT(TRIM(Paramètres!O18),3)="Fin",1-$H18,IF(LEFT(TRIM(Paramètres!O18),1)="F",1,0)))))))</f>
        <v/>
      </c>
      <c r="F18" s="19">
        <f>IF($A18="","",E18+$H18-1)</f>
        <v/>
      </c>
      <c r="G18" s="18" t="n"/>
      <c r="H18" s="18">
        <f>IF($A18="","",IF(I18&lt;&gt;"",I18,Paramètres!B18))</f>
        <v/>
      </c>
      <c r="I18" s="18" t="n"/>
    </row>
    <row r="19">
      <c r="A19" s="18">
        <f>IF(ISNUMBER(Dossiers!$D$4),Dossiers!$A$4&amp;" · "&amp;Dossiers!$B$4,"")</f>
        <v/>
      </c>
      <c r="B19" s="18">
        <f>IF($A19="","",Paramètres!G19)</f>
        <v/>
      </c>
      <c r="C19" s="18">
        <f>IF($A19="","",IF(Paramètres!H19="","",Paramètres!H19))</f>
        <v/>
      </c>
      <c r="D19" s="18">
        <f>IF($A19="","",IF(Paramètres!I19="","",Paramètres!I19))</f>
        <v/>
      </c>
      <c r="E19" s="19">
        <f>IF($A19="","",IF(Paramètres!J19&amp;Paramètres!L19&amp;Paramètres!N19="",Dossiers!$D$4,MAX(IF(Paramètres!J19="",0,IF(Paramètres!K19="",NA(),IF(LEFT(TRIM(Paramètres!K19),1)="F",INDEX($F$5:$F$57,MATCH(Paramètres!J19,Paramètres!$G$5:$G$57,0)),INDEX($E$5:$E$57,MATCH(Paramètres!J19,Paramètres!$G$5:$G$57,0)))+IF(RIGHT(TRIM(Paramètres!K19),3)="Fin",1-$H19,IF(LEFT(TRIM(Paramètres!K19),1)="F",1,0)))),IF(Paramètres!L19="",0,IF(Paramètres!M19="",NA(),IF(LEFT(TRIM(Paramètres!M19),1)="F",INDEX($F$5:$F$57,MATCH(Paramètres!L19,Paramètres!$G$5:$G$57,0)),INDEX($E$5:$E$57,MATCH(Paramètres!L19,Paramètres!$G$5:$G$57,0)))+IF(RIGHT(TRIM(Paramètres!M19),3)="Fin",1-$H19,IF(LEFT(TRIM(Paramètres!M19),1)="F",1,0)))),IF(Paramètres!N19="",0,IF(Paramètres!O19="",NA(),IF(LEFT(TRIM(Paramètres!O19),1)="F",INDEX($F$5:$F$57,MATCH(Paramètres!N19,Paramètres!$G$5:$G$57,0)),INDEX($E$5:$E$57,MATCH(Paramètres!N19,Paramètres!$G$5:$G$57,0)))+IF(RIGHT(TRIM(Paramètres!O19),3)="Fin",1-$H19,IF(LEFT(TRIM(Paramètres!O19),1)="F",1,0)))))))</f>
        <v/>
      </c>
      <c r="F19" s="19">
        <f>IF($A19="","",E19+$H19-1)</f>
        <v/>
      </c>
      <c r="G19" s="18" t="n"/>
      <c r="H19" s="18">
        <f>IF($A19="","",IF(I19&lt;&gt;"",I19,Paramètres!B19))</f>
        <v/>
      </c>
      <c r="I19" s="18" t="n"/>
    </row>
    <row r="20">
      <c r="A20" s="18">
        <f>IF(ISNUMBER(Dossiers!$D$4),Dossiers!$A$4&amp;" · "&amp;Dossiers!$B$4,"")</f>
        <v/>
      </c>
      <c r="B20" s="18">
        <f>IF($A20="","",Paramètres!G20)</f>
        <v/>
      </c>
      <c r="C20" s="18">
        <f>IF($A20="","",IF(Paramètres!H20="","",Paramètres!H20))</f>
        <v/>
      </c>
      <c r="D20" s="18">
        <f>IF($A20="","",IF(Paramètres!I20="","",Paramètres!I20))</f>
        <v/>
      </c>
      <c r="E20" s="19">
        <f>IF($A20="","",IF(Paramètres!J20&amp;Paramètres!L20&amp;Paramètres!N20="",Dossiers!$D$4,MAX(IF(Paramètres!J20="",0,IF(Paramètres!K20="",NA(),IF(LEFT(TRIM(Paramètres!K20),1)="F",INDEX($F$5:$F$57,MATCH(Paramètres!J20,Paramètres!$G$5:$G$57,0)),INDEX($E$5:$E$57,MATCH(Paramètres!J20,Paramètres!$G$5:$G$57,0)))+IF(RIGHT(TRIM(Paramètres!K20),3)="Fin",1-$H20,IF(LEFT(TRIM(Paramètres!K20),1)="F",1,0)))),IF(Paramètres!L20="",0,IF(Paramètres!M20="",NA(),IF(LEFT(TRIM(Paramètres!M20),1)="F",INDEX($F$5:$F$57,MATCH(Paramètres!L20,Paramètres!$G$5:$G$57,0)),INDEX($E$5:$E$57,MATCH(Paramètres!L20,Paramètres!$G$5:$G$57,0)))+IF(RIGHT(TRIM(Paramètres!M20),3)="Fin",1-$H20,IF(LEFT(TRIM(Paramètres!M20),1)="F",1,0)))),IF(Paramètres!N20="",0,IF(Paramètres!O20="",NA(),IF(LEFT(TRIM(Paramètres!O20),1)="F",INDEX($F$5:$F$57,MATCH(Paramètres!N20,Paramètres!$G$5:$G$57,0)),INDEX($E$5:$E$57,MATCH(Paramètres!N20,Paramètres!$G$5:$G$57,0)))+IF(RIGHT(TRIM(Paramètres!O20),3)="Fin",1-$H20,IF(LEFT(TRIM(Paramètres!O20),1)="F",1,0)))))))</f>
        <v/>
      </c>
      <c r="F20" s="19">
        <f>IF($A20="","",E20+$H20-1)</f>
        <v/>
      </c>
      <c r="G20" s="18" t="n"/>
      <c r="H20" s="18">
        <f>IF($A20="","",IF(I20&lt;&gt;"",I20,Paramètres!B20))</f>
        <v/>
      </c>
      <c r="I20" s="18" t="n"/>
    </row>
    <row r="21">
      <c r="A21" s="18">
        <f>IF(ISNUMBER(Dossiers!$D$4),Dossiers!$A$4&amp;" · "&amp;Dossiers!$B$4,"")</f>
        <v/>
      </c>
      <c r="B21" s="18">
        <f>IF($A21="","",Paramètres!G21)</f>
        <v/>
      </c>
      <c r="C21" s="18">
        <f>IF($A21="","",IF(Paramètres!H21="","",Paramètres!H21))</f>
        <v/>
      </c>
      <c r="D21" s="18">
        <f>IF($A21="","",IF(Paramètres!I21="","",Paramètres!I21))</f>
        <v/>
      </c>
      <c r="E21" s="19">
        <f>IF($A21="","",IF(Paramètres!J21&amp;Paramètres!L21&amp;Paramètres!N21="",Dossiers!$D$4,MAX(IF(Paramètres!J21="",0,IF(Paramètres!K21="",NA(),IF(LEFT(TRIM(Paramètres!K21),1)="F",INDEX($F$5:$F$57,MATCH(Paramètres!J21,Paramètres!$G$5:$G$57,0)),INDEX($E$5:$E$57,MATCH(Paramètres!J21,Paramètres!$G$5:$G$57,0)))+IF(RIGHT(TRIM(Paramètres!K21),3)="Fin",1-$H21,IF(LEFT(TRIM(Paramètres!K21),1)="F",1,0)))),IF(Paramètres!L21="",0,IF(Paramètres!M21="",NA(),IF(LEFT(TRIM(Paramètres!M21),1)="F",INDEX($F$5:$F$57,MATCH(Paramètres!L21,Paramètres!$G$5:$G$57,0)),INDEX($E$5:$E$57,MATCH(Paramètres!L21,Paramètres!$G$5:$G$57,0)))+IF(RIGHT(TRIM(Paramètres!M21),3)="Fin",1-$H21,IF(LEFT(TRIM(Paramètres!M21),1)="F",1,0)))),IF(Paramètres!N21="",0,IF(Paramètres!O21="",NA(),IF(LEFT(TRIM(Paramètres!O21),1)="F",INDEX($F$5:$F$57,MATCH(Paramètres!N21,Paramètres!$G$5:$G$57,0)),INDEX($E$5:$E$57,MATCH(Paramètres!N21,Paramètres!$G$5:$G$57,0)))+IF(RIGHT(TRIM(Paramètres!O21),3)="Fin",1-$H21,IF(LEFT(TRIM(Paramètres!O21),1)="F",1,0)))))))</f>
        <v/>
      </c>
      <c r="F21" s="19">
        <f>IF($A21="","",E21+$H21-1)</f>
        <v/>
      </c>
      <c r="G21" s="18" t="n"/>
      <c r="H21" s="18">
        <f>IF($A21="","",IF(I21&lt;&gt;"",I21,Paramètres!B21))</f>
        <v/>
      </c>
      <c r="I21" s="18" t="n"/>
    </row>
    <row r="22">
      <c r="A22" s="18">
        <f>IF(ISNUMBER(Dossiers!$D$4),Dossiers!$A$4&amp;" · "&amp;Dossiers!$B$4,"")</f>
        <v/>
      </c>
      <c r="B22" s="18">
        <f>IF($A22="","",Paramètres!G22)</f>
        <v/>
      </c>
      <c r="C22" s="18">
        <f>IF($A22="","",IF(Paramètres!H22="","",Paramètres!H22))</f>
        <v/>
      </c>
      <c r="D22" s="18">
        <f>IF($A22="","",IF(Paramètres!I22="","",Paramètres!I22))</f>
        <v/>
      </c>
      <c r="E22" s="19">
        <f>IF($A22="","",IF(Paramètres!J22&amp;Paramètres!L22&amp;Paramètres!N22="",Dossiers!$D$4,MAX(IF(Paramètres!J22="",0,IF(Paramètres!K22="",NA(),IF(LEFT(TRIM(Paramètres!K22),1)="F",INDEX($F$5:$F$57,MATCH(Paramètres!J22,Paramètres!$G$5:$G$57,0)),INDEX($E$5:$E$57,MATCH(Paramètres!J22,Paramètres!$G$5:$G$57,0)))+IF(RIGHT(TRIM(Paramètres!K22),3)="Fin",1-$H22,IF(LEFT(TRIM(Paramètres!K22),1)="F",1,0)))),IF(Paramètres!L22="",0,IF(Paramètres!M22="",NA(),IF(LEFT(TRIM(Paramètres!M22),1)="F",INDEX($F$5:$F$57,MATCH(Paramètres!L22,Paramètres!$G$5:$G$57,0)),INDEX($E$5:$E$57,MATCH(Paramètres!L22,Paramètres!$G$5:$G$57,0)))+IF(RIGHT(TRIM(Paramètres!M22),3)="Fin",1-$H22,IF(LEFT(TRIM(Paramètres!M22),1)="F",1,0)))),IF(Paramètres!N22="",0,IF(Paramètres!O22="",NA(),IF(LEFT(TRIM(Paramètres!O22),1)="F",INDEX($F$5:$F$57,MATCH(Paramètres!N22,Paramètres!$G$5:$G$57,0)),INDEX($E$5:$E$57,MATCH(Paramètres!N22,Paramètres!$G$5:$G$57,0)))+IF(RIGHT(TRIM(Paramètres!O22),3)="Fin",1-$H22,IF(LEFT(TRIM(Paramètres!O22),1)="F",1,0)))))))</f>
        <v/>
      </c>
      <c r="F22" s="19">
        <f>IF($A22="","",E22+$H22-1)</f>
        <v/>
      </c>
      <c r="G22" s="18" t="n"/>
      <c r="H22" s="18">
        <f>IF($A22="","",IF(I22&lt;&gt;"",I22,Paramètres!B22))</f>
        <v/>
      </c>
      <c r="I22" s="18" t="n"/>
    </row>
    <row r="23">
      <c r="A23" s="18">
        <f>IF(ISNUMBER(Dossiers!$D$4),Dossiers!$A$4&amp;" · "&amp;Dossiers!$B$4,"")</f>
        <v/>
      </c>
      <c r="B23" s="18">
        <f>IF($A23="","",Paramètres!G23)</f>
        <v/>
      </c>
      <c r="C23" s="18">
        <f>IF($A23="","",IF(Paramètres!H23="","",Paramètres!H23))</f>
        <v/>
      </c>
      <c r="D23" s="18">
        <f>IF($A23="","",IF(Paramètres!I23="","",Paramètres!I23))</f>
        <v/>
      </c>
      <c r="E23" s="19">
        <f>IF($A23="","",IF(Paramètres!J23&amp;Paramètres!L23&amp;Paramètres!N23="",Dossiers!$D$4,MAX(IF(Paramètres!J23="",0,IF(Paramètres!K23="",NA(),IF(LEFT(TRIM(Paramètres!K23),1)="F",INDEX($F$5:$F$57,MATCH(Paramètres!J23,Paramètres!$G$5:$G$57,0)),INDEX($E$5:$E$57,MATCH(Paramètres!J23,Paramètres!$G$5:$G$57,0)))+IF(RIGHT(TRIM(Paramètres!K23),3)="Fin",1-$H23,IF(LEFT(TRIM(Paramètres!K23),1)="F",1,0)))),IF(Paramètres!L23="",0,IF(Paramètres!M23="",NA(),IF(LEFT(TRIM(Paramètres!M23),1)="F",INDEX($F$5:$F$57,MATCH(Paramètres!L23,Paramètres!$G$5:$G$57,0)),INDEX($E$5:$E$57,MATCH(Paramètres!L23,Paramètres!$G$5:$G$57,0)))+IF(RIGHT(TRIM(Paramètres!M23),3)="Fin",1-$H23,IF(LEFT(TRIM(Paramètres!M23),1)="F",1,0)))),IF(Paramètres!N23="",0,IF(Paramètres!O23="",NA(),IF(LEFT(TRIM(Paramètres!O23),1)="F",INDEX($F$5:$F$57,MATCH(Paramètres!N23,Paramètres!$G$5:$G$57,0)),INDEX($E$5:$E$57,MATCH(Paramètres!N23,Paramètres!$G$5:$G$57,0)))+IF(RIGHT(TRIM(Paramètres!O23),3)="Fin",1-$H23,IF(LEFT(TRIM(Paramètres!O23),1)="F",1,0)))))))</f>
        <v/>
      </c>
      <c r="F23" s="19">
        <f>IF($A23="","",E23+$H23-1)</f>
        <v/>
      </c>
      <c r="G23" s="18" t="n"/>
      <c r="H23" s="18">
        <f>IF($A23="","",IF(I23&lt;&gt;"",I23,Paramètres!B23))</f>
        <v/>
      </c>
      <c r="I23" s="18" t="n">
        <v>3</v>
      </c>
    </row>
    <row r="24">
      <c r="A24" s="18">
        <f>IF(ISNUMBER(Dossiers!$D$4),Dossiers!$A$4&amp;" · "&amp;Dossiers!$B$4,"")</f>
        <v/>
      </c>
      <c r="B24" s="18">
        <f>IF($A24="","",Paramètres!G24)</f>
        <v/>
      </c>
      <c r="C24" s="18">
        <f>IF($A24="","",IF(Paramètres!H24="","",Paramètres!H24))</f>
        <v/>
      </c>
      <c r="D24" s="18">
        <f>IF($A24="","",IF(Paramètres!I24="","",Paramètres!I24))</f>
        <v/>
      </c>
      <c r="E24" s="19">
        <f>IF($A24="","",IF(Paramètres!J24&amp;Paramètres!L24&amp;Paramètres!N24="",Dossiers!$D$4,MAX(IF(Paramètres!J24="",0,IF(Paramètres!K24="",NA(),IF(LEFT(TRIM(Paramètres!K24),1)="F",INDEX($F$5:$F$57,MATCH(Paramètres!J24,Paramètres!$G$5:$G$57,0)),INDEX($E$5:$E$57,MATCH(Paramètres!J24,Paramètres!$G$5:$G$57,0)))+IF(RIGHT(TRIM(Paramètres!K24),3)="Fin",1-$H24,IF(LEFT(TRIM(Paramètres!K24),1)="F",1,0)))),IF(Paramètres!L24="",0,IF(Paramètres!M24="",NA(),IF(LEFT(TRIM(Paramètres!M24),1)="F",INDEX($F$5:$F$57,MATCH(Paramètres!L24,Paramètres!$G$5:$G$57,0)),INDEX($E$5:$E$57,MATCH(Paramètres!L24,Paramètres!$G$5:$G$57,0)))+IF(RIGHT(TRIM(Paramètres!M24),3)="Fin",1-$H24,IF(LEFT(TRIM(Paramètres!M24),1)="F",1,0)))),IF(Paramètres!N24="",0,IF(Paramètres!O24="",NA(),IF(LEFT(TRIM(Paramètres!O24),1)="F",INDEX($F$5:$F$57,MATCH(Paramètres!N24,Paramètres!$G$5:$G$57,0)),INDEX($E$5:$E$57,MATCH(Paramètres!N24,Paramètres!$G$5:$G$57,0)))+IF(RIGHT(TRIM(Paramètres!O24),3)="Fin",1-$H24,IF(LEFT(TRIM(Paramètres!O24),1)="F",1,0)))))))</f>
        <v/>
      </c>
      <c r="F24" s="19">
        <f>IF($A24="","",E24+$H24-1)</f>
        <v/>
      </c>
      <c r="G24" s="18" t="n"/>
      <c r="H24" s="18">
        <f>IF($A24="","",IF(I24&lt;&gt;"",I24,Paramètres!B24))</f>
        <v/>
      </c>
      <c r="I24" s="18" t="n"/>
    </row>
    <row r="25">
      <c r="A25" s="18">
        <f>IF(ISNUMBER(Dossiers!$D$4),Dossiers!$A$4&amp;" · "&amp;Dossiers!$B$4,"")</f>
        <v/>
      </c>
      <c r="B25" s="18">
        <f>IF($A25="","",Paramètres!G25)</f>
        <v/>
      </c>
      <c r="C25" s="18">
        <f>IF($A25="","",IF(Paramètres!H25="","",Paramètres!H25))</f>
        <v/>
      </c>
      <c r="D25" s="18">
        <f>IF($A25="","",IF(Paramètres!I25="","",Paramètres!I25))</f>
        <v/>
      </c>
      <c r="E25" s="19">
        <f>IF($A25="","",IF(Paramètres!J25&amp;Paramètres!L25&amp;Paramètres!N25="",Dossiers!$D$4,MAX(IF(Paramètres!J25="",0,IF(Paramètres!K25="",NA(),IF(LEFT(TRIM(Paramètres!K25),1)="F",INDEX($F$5:$F$57,MATCH(Paramètres!J25,Paramètres!$G$5:$G$57,0)),INDEX($E$5:$E$57,MATCH(Paramètres!J25,Paramètres!$G$5:$G$57,0)))+IF(RIGHT(TRIM(Paramètres!K25),3)="Fin",1-$H25,IF(LEFT(TRIM(Paramètres!K25),1)="F",1,0)))),IF(Paramètres!L25="",0,IF(Paramètres!M25="",NA(),IF(LEFT(TRIM(Paramètres!M25),1)="F",INDEX($F$5:$F$57,MATCH(Paramètres!L25,Paramètres!$G$5:$G$57,0)),INDEX($E$5:$E$57,MATCH(Paramètres!L25,Paramètres!$G$5:$G$57,0)))+IF(RIGHT(TRIM(Paramètres!M25),3)="Fin",1-$H25,IF(LEFT(TRIM(Paramètres!M25),1)="F",1,0)))),IF(Paramètres!N25="",0,IF(Paramètres!O25="",NA(),IF(LEFT(TRIM(Paramètres!O25),1)="F",INDEX($F$5:$F$57,MATCH(Paramètres!N25,Paramètres!$G$5:$G$57,0)),INDEX($E$5:$E$57,MATCH(Paramètres!N25,Paramètres!$G$5:$G$57,0)))+IF(RIGHT(TRIM(Paramètres!O25),3)="Fin",1-$H25,IF(LEFT(TRIM(Paramètres!O25),1)="F",1,0)))))))</f>
        <v/>
      </c>
      <c r="F25" s="19">
        <f>IF($A25="","",E25+$H25-1)</f>
        <v/>
      </c>
      <c r="G25" s="18" t="n"/>
      <c r="H25" s="18">
        <f>IF($A25="","",IF(I25&lt;&gt;"",I25,Paramètres!B25))</f>
        <v/>
      </c>
      <c r="I25" s="18" t="n"/>
    </row>
    <row r="26">
      <c r="A26" s="18">
        <f>IF(ISNUMBER(Dossiers!$D$4),Dossiers!$A$4&amp;" · "&amp;Dossiers!$B$4,"")</f>
        <v/>
      </c>
      <c r="B26" s="18">
        <f>IF($A26="","",Paramètres!G26)</f>
        <v/>
      </c>
      <c r="C26" s="18">
        <f>IF($A26="","",IF(Paramètres!H26="","",Paramètres!H26))</f>
        <v/>
      </c>
      <c r="D26" s="18">
        <f>IF($A26="","",IF(Paramètres!I26="","",Paramètres!I26))</f>
        <v/>
      </c>
      <c r="E26" s="19">
        <f>IF($A26="","",IF(Paramètres!J26&amp;Paramètres!L26&amp;Paramètres!N26="",Dossiers!$D$4,MAX(IF(Paramètres!J26="",0,IF(Paramètres!K26="",NA(),IF(LEFT(TRIM(Paramètres!K26),1)="F",INDEX($F$5:$F$57,MATCH(Paramètres!J26,Paramètres!$G$5:$G$57,0)),INDEX($E$5:$E$57,MATCH(Paramètres!J26,Paramètres!$G$5:$G$57,0)))+IF(RIGHT(TRIM(Paramètres!K26),3)="Fin",1-$H26,IF(LEFT(TRIM(Paramètres!K26),1)="F",1,0)))),IF(Paramètres!L26="",0,IF(Paramètres!M26="",NA(),IF(LEFT(TRIM(Paramètres!M26),1)="F",INDEX($F$5:$F$57,MATCH(Paramètres!L26,Paramètres!$G$5:$G$57,0)),INDEX($E$5:$E$57,MATCH(Paramètres!L26,Paramètres!$G$5:$G$57,0)))+IF(RIGHT(TRIM(Paramètres!M26),3)="Fin",1-$H26,IF(LEFT(TRIM(Paramètres!M26),1)="F",1,0)))),IF(Paramètres!N26="",0,IF(Paramètres!O26="",NA(),IF(LEFT(TRIM(Paramètres!O26),1)="F",INDEX($F$5:$F$57,MATCH(Paramètres!N26,Paramètres!$G$5:$G$57,0)),INDEX($E$5:$E$57,MATCH(Paramètres!N26,Paramètres!$G$5:$G$57,0)))+IF(RIGHT(TRIM(Paramètres!O26),3)="Fin",1-$H26,IF(LEFT(TRIM(Paramètres!O26),1)="F",1,0)))))))</f>
        <v/>
      </c>
      <c r="F26" s="19">
        <f>IF($A26="","",E26+$H26-1)</f>
        <v/>
      </c>
      <c r="G26" s="18" t="n"/>
      <c r="H26" s="18">
        <f>IF($A26="","",IF(I26&lt;&gt;"",I26,Paramètres!B26))</f>
        <v/>
      </c>
      <c r="I26" s="18" t="n"/>
    </row>
    <row r="27">
      <c r="A27" s="18">
        <f>IF(ISNUMBER(Dossiers!$D$4),Dossiers!$A$4&amp;" · "&amp;Dossiers!$B$4,"")</f>
        <v/>
      </c>
      <c r="B27" s="18">
        <f>IF($A27="","",Paramètres!G27)</f>
        <v/>
      </c>
      <c r="C27" s="18">
        <f>IF($A27="","",IF(Paramètres!H27="","",Paramètres!H27))</f>
        <v/>
      </c>
      <c r="D27" s="18">
        <f>IF($A27="","",IF(Paramètres!I27="","",Paramètres!I27))</f>
        <v/>
      </c>
      <c r="E27" s="19">
        <f>IF($A27="","",IF(Paramètres!J27&amp;Paramètres!L27&amp;Paramètres!N27="",Dossiers!$D$4,MAX(IF(Paramètres!J27="",0,IF(Paramètres!K27="",NA(),IF(LEFT(TRIM(Paramètres!K27),1)="F",INDEX($F$5:$F$57,MATCH(Paramètres!J27,Paramètres!$G$5:$G$57,0)),INDEX($E$5:$E$57,MATCH(Paramètres!J27,Paramètres!$G$5:$G$57,0)))+IF(RIGHT(TRIM(Paramètres!K27),3)="Fin",1-$H27,IF(LEFT(TRIM(Paramètres!K27),1)="F",1,0)))),IF(Paramètres!L27="",0,IF(Paramètres!M27="",NA(),IF(LEFT(TRIM(Paramètres!M27),1)="F",INDEX($F$5:$F$57,MATCH(Paramètres!L27,Paramètres!$G$5:$G$57,0)),INDEX($E$5:$E$57,MATCH(Paramètres!L27,Paramètres!$G$5:$G$57,0)))+IF(RIGHT(TRIM(Paramètres!M27),3)="Fin",1-$H27,IF(LEFT(TRIM(Paramètres!M27),1)="F",1,0)))),IF(Paramètres!N27="",0,IF(Paramètres!O27="",NA(),IF(LEFT(TRIM(Paramètres!O27),1)="F",INDEX($F$5:$F$57,MATCH(Paramètres!N27,Paramètres!$G$5:$G$57,0)),INDEX($E$5:$E$57,MATCH(Paramètres!N27,Paramètres!$G$5:$G$57,0)))+IF(RIGHT(TRIM(Paramètres!O27),3)="Fin",1-$H27,IF(LEFT(TRIM(Paramètres!O27),1)="F",1,0)))))))</f>
        <v/>
      </c>
      <c r="F27" s="19">
        <f>IF($A27="","",E27+$H27-1)</f>
        <v/>
      </c>
      <c r="G27" s="18" t="n"/>
      <c r="H27" s="18">
        <f>IF($A27="","",IF(I27&lt;&gt;"",I27,Paramètres!B27))</f>
        <v/>
      </c>
      <c r="I27" s="18" t="n"/>
    </row>
    <row r="28">
      <c r="A28" s="18">
        <f>IF(ISNUMBER(Dossiers!$D$4),Dossiers!$A$4&amp;" · "&amp;Dossiers!$B$4,"")</f>
        <v/>
      </c>
      <c r="B28" s="18">
        <f>IF($A28="","",Paramètres!G28)</f>
        <v/>
      </c>
      <c r="C28" s="18">
        <f>IF($A28="","",IF(Paramètres!H28="","",Paramètres!H28))</f>
        <v/>
      </c>
      <c r="D28" s="18">
        <f>IF($A28="","",IF(Paramètres!I28="","",Paramètres!I28))</f>
        <v/>
      </c>
      <c r="E28" s="19">
        <f>IF($A28="","",IF(Paramètres!J28&amp;Paramètres!L28&amp;Paramètres!N28="",Dossiers!$D$4,MAX(IF(Paramètres!J28="",0,IF(Paramètres!K28="",NA(),IF(LEFT(TRIM(Paramètres!K28),1)="F",INDEX($F$5:$F$57,MATCH(Paramètres!J28,Paramètres!$G$5:$G$57,0)),INDEX($E$5:$E$57,MATCH(Paramètres!J28,Paramètres!$G$5:$G$57,0)))+IF(RIGHT(TRIM(Paramètres!K28),3)="Fin",1-$H28,IF(LEFT(TRIM(Paramètres!K28),1)="F",1,0)))),IF(Paramètres!L28="",0,IF(Paramètres!M28="",NA(),IF(LEFT(TRIM(Paramètres!M28),1)="F",INDEX($F$5:$F$57,MATCH(Paramètres!L28,Paramètres!$G$5:$G$57,0)),INDEX($E$5:$E$57,MATCH(Paramètres!L28,Paramètres!$G$5:$G$57,0)))+IF(RIGHT(TRIM(Paramètres!M28),3)="Fin",1-$H28,IF(LEFT(TRIM(Paramètres!M28),1)="F",1,0)))),IF(Paramètres!N28="",0,IF(Paramètres!O28="",NA(),IF(LEFT(TRIM(Paramètres!O28),1)="F",INDEX($F$5:$F$57,MATCH(Paramètres!N28,Paramètres!$G$5:$G$57,0)),INDEX($E$5:$E$57,MATCH(Paramètres!N28,Paramètres!$G$5:$G$57,0)))+IF(RIGHT(TRIM(Paramètres!O28),3)="Fin",1-$H28,IF(LEFT(TRIM(Paramètres!O28),1)="F",1,0)))))))</f>
        <v/>
      </c>
      <c r="F28" s="19">
        <f>IF($A28="","",E28+$H28-1)</f>
        <v/>
      </c>
      <c r="G28" s="18" t="n"/>
      <c r="H28" s="18">
        <f>IF($A28="","",IF(I28&lt;&gt;"",I28,Paramètres!B28))</f>
        <v/>
      </c>
      <c r="I28" s="18" t="n"/>
    </row>
    <row r="29">
      <c r="A29" s="18">
        <f>IF(ISNUMBER(Dossiers!$D$4),Dossiers!$A$4&amp;" · "&amp;Dossiers!$B$4,"")</f>
        <v/>
      </c>
      <c r="B29" s="18">
        <f>IF($A29="","",Paramètres!G29)</f>
        <v/>
      </c>
      <c r="C29" s="18">
        <f>IF($A29="","",IF(Paramètres!H29="","",Paramètres!H29))</f>
        <v/>
      </c>
      <c r="D29" s="18">
        <f>IF($A29="","",IF(Paramètres!I29="","",Paramètres!I29))</f>
        <v/>
      </c>
      <c r="E29" s="19">
        <f>IF($A29="","",IF(Paramètres!J29&amp;Paramètres!L29&amp;Paramètres!N29="",Dossiers!$D$4,MAX(IF(Paramètres!J29="",0,IF(Paramètres!K29="",NA(),IF(LEFT(TRIM(Paramètres!K29),1)="F",INDEX($F$5:$F$57,MATCH(Paramètres!J29,Paramètres!$G$5:$G$57,0)),INDEX($E$5:$E$57,MATCH(Paramètres!J29,Paramètres!$G$5:$G$57,0)))+IF(RIGHT(TRIM(Paramètres!K29),3)="Fin",1-$H29,IF(LEFT(TRIM(Paramètres!K29),1)="F",1,0)))),IF(Paramètres!L29="",0,IF(Paramètres!M29="",NA(),IF(LEFT(TRIM(Paramètres!M29),1)="F",INDEX($F$5:$F$57,MATCH(Paramètres!L29,Paramètres!$G$5:$G$57,0)),INDEX($E$5:$E$57,MATCH(Paramètres!L29,Paramètres!$G$5:$G$57,0)))+IF(RIGHT(TRIM(Paramètres!M29),3)="Fin",1-$H29,IF(LEFT(TRIM(Paramètres!M29),1)="F",1,0)))),IF(Paramètres!N29="",0,IF(Paramètres!O29="",NA(),IF(LEFT(TRIM(Paramètres!O29),1)="F",INDEX($F$5:$F$57,MATCH(Paramètres!N29,Paramètres!$G$5:$G$57,0)),INDEX($E$5:$E$57,MATCH(Paramètres!N29,Paramètres!$G$5:$G$57,0)))+IF(RIGHT(TRIM(Paramètres!O29),3)="Fin",1-$H29,IF(LEFT(TRIM(Paramètres!O29),1)="F",1,0)))))))</f>
        <v/>
      </c>
      <c r="F29" s="19">
        <f>IF($A29="","",E29+$H29-1)</f>
        <v/>
      </c>
      <c r="G29" s="18" t="n"/>
      <c r="H29" s="18">
        <f>IF($A29="","",IF(I29&lt;&gt;"",I29,Paramètres!B29))</f>
        <v/>
      </c>
      <c r="I29" s="18" t="n"/>
    </row>
    <row r="30">
      <c r="A30" s="18">
        <f>IF(ISNUMBER(Dossiers!$D$4),Dossiers!$A$4&amp;" · "&amp;Dossiers!$B$4,"")</f>
        <v/>
      </c>
      <c r="B30" s="18">
        <f>IF($A30="","",Paramètres!G30)</f>
        <v/>
      </c>
      <c r="C30" s="18">
        <f>IF($A30="","",IF(Paramètres!H30="","",Paramètres!H30))</f>
        <v/>
      </c>
      <c r="D30" s="18">
        <f>IF($A30="","",IF(Paramètres!I30="","",Paramètres!I30))</f>
        <v/>
      </c>
      <c r="E30" s="19">
        <f>IF($A30="","",IF(Paramètres!J30&amp;Paramètres!L30&amp;Paramètres!N30="",Dossiers!$D$4,MAX(IF(Paramètres!J30="",0,IF(Paramètres!K30="",NA(),IF(LEFT(TRIM(Paramètres!K30),1)="F",INDEX($F$5:$F$57,MATCH(Paramètres!J30,Paramètres!$G$5:$G$57,0)),INDEX($E$5:$E$57,MATCH(Paramètres!J30,Paramètres!$G$5:$G$57,0)))+IF(RIGHT(TRIM(Paramètres!K30),3)="Fin",1-$H30,IF(LEFT(TRIM(Paramètres!K30),1)="F",1,0)))),IF(Paramètres!L30="",0,IF(Paramètres!M30="",NA(),IF(LEFT(TRIM(Paramètres!M30),1)="F",INDEX($F$5:$F$57,MATCH(Paramètres!L30,Paramètres!$G$5:$G$57,0)),INDEX($E$5:$E$57,MATCH(Paramètres!L30,Paramètres!$G$5:$G$57,0)))+IF(RIGHT(TRIM(Paramètres!M30),3)="Fin",1-$H30,IF(LEFT(TRIM(Paramètres!M30),1)="F",1,0)))),IF(Paramètres!N30="",0,IF(Paramètres!O30="",NA(),IF(LEFT(TRIM(Paramètres!O30),1)="F",INDEX($F$5:$F$57,MATCH(Paramètres!N30,Paramètres!$G$5:$G$57,0)),INDEX($E$5:$E$57,MATCH(Paramètres!N30,Paramètres!$G$5:$G$57,0)))+IF(RIGHT(TRIM(Paramètres!O30),3)="Fin",1-$H30,IF(LEFT(TRIM(Paramètres!O30),1)="F",1,0)))))))</f>
        <v/>
      </c>
      <c r="F30" s="19">
        <f>IF($A30="","",E30+$H30-1)</f>
        <v/>
      </c>
      <c r="G30" s="18" t="n"/>
      <c r="H30" s="18">
        <f>IF($A30="","",IF(I30&lt;&gt;"",I30,Paramètres!B30))</f>
        <v/>
      </c>
      <c r="I30" s="18" t="n"/>
    </row>
    <row r="31">
      <c r="A31" s="18">
        <f>IF(ISNUMBER(Dossiers!$D$4),Dossiers!$A$4&amp;" · "&amp;Dossiers!$B$4,"")</f>
        <v/>
      </c>
      <c r="B31" s="18">
        <f>IF($A31="","",Paramètres!G31)</f>
        <v/>
      </c>
      <c r="C31" s="20">
        <f>IF($A31="","",IF(Dossiers!$F$4="","",Dossiers!$F$4))</f>
        <v/>
      </c>
      <c r="D31" s="18">
        <f>IF($A31="","",IF(Paramètres!I31="","",Paramètres!I31))</f>
        <v/>
      </c>
      <c r="E31" s="19">
        <f>IF($A31="","",IF(Paramètres!J31&amp;Paramètres!L31&amp;Paramètres!N31="",Dossiers!$D$4,MAX(IF(Paramètres!J31="",0,IF(Paramètres!K31="",NA(),IF(LEFT(TRIM(Paramètres!K31),1)="F",INDEX($F$5:$F$57,MATCH(Paramètres!J31,Paramètres!$G$5:$G$57,0)),INDEX($E$5:$E$57,MATCH(Paramètres!J31,Paramètres!$G$5:$G$57,0)))+IF(RIGHT(TRIM(Paramètres!K31),3)="Fin",1-$H31,IF(LEFT(TRIM(Paramètres!K31),1)="F",1,0)))),IF(Paramètres!L31="",0,IF(Paramètres!M31="",NA(),IF(LEFT(TRIM(Paramètres!M31),1)="F",INDEX($F$5:$F$57,MATCH(Paramètres!L31,Paramètres!$G$5:$G$57,0)),INDEX($E$5:$E$57,MATCH(Paramètres!L31,Paramètres!$G$5:$G$57,0)))+IF(RIGHT(TRIM(Paramètres!M31),3)="Fin",1-$H31,IF(LEFT(TRIM(Paramètres!M31),1)="F",1,0)))),IF(Paramètres!N31="",0,IF(Paramètres!O31="",NA(),IF(LEFT(TRIM(Paramètres!O31),1)="F",INDEX($F$5:$F$57,MATCH(Paramètres!N31,Paramètres!$G$5:$G$57,0)),INDEX($E$5:$E$57,MATCH(Paramètres!N31,Paramètres!$G$5:$G$57,0)))+IF(RIGHT(TRIM(Paramètres!O31),3)="Fin",1-$H31,IF(LEFT(TRIM(Paramètres!O31),1)="F",1,0)))))))</f>
        <v/>
      </c>
      <c r="F31" s="19">
        <f>IF($A31="","",E31+$H31-1)</f>
        <v/>
      </c>
      <c r="G31" s="18" t="inlineStr">
        <is>
          <t>Alerte retard</t>
        </is>
      </c>
      <c r="H31" s="18">
        <f>IF($A31="","",IF(I31&lt;&gt;"",I31,Paramètres!B31))</f>
        <v/>
      </c>
      <c r="I31" s="18" t="n"/>
    </row>
    <row r="32">
      <c r="A32" s="18">
        <f>IF(ISNUMBER(Dossiers!$D$4),Dossiers!$A$4&amp;" · "&amp;Dossiers!$B$4,"")</f>
        <v/>
      </c>
      <c r="B32" s="18">
        <f>IF($A32="","",Paramètres!G32)</f>
        <v/>
      </c>
      <c r="C32" s="18">
        <f>IF($A32="","",IF(Paramètres!H32="","",Paramètres!H32))</f>
        <v/>
      </c>
      <c r="D32" s="18">
        <f>IF($A32="","",IF(Paramètres!I32="","",Paramètres!I32))</f>
        <v/>
      </c>
      <c r="E32" s="19">
        <f>IF($A32="","",MIN(E33:E36))</f>
        <v/>
      </c>
      <c r="F32" s="19">
        <f>IF($A32="","",MAX(F33:F36))</f>
        <v/>
      </c>
      <c r="G32" s="18" t="n"/>
      <c r="H32" s="18">
        <f>IF($A32="","",F32-E32+1)</f>
        <v/>
      </c>
      <c r="I32" s="18" t="n"/>
    </row>
    <row r="33">
      <c r="A33" s="18">
        <f>IF(ISNUMBER(Dossiers!$D$4),Dossiers!$A$4&amp;" · "&amp;Dossiers!$B$4,"")</f>
        <v/>
      </c>
      <c r="B33" s="18">
        <f>IF($A33="","",Paramètres!G33)</f>
        <v/>
      </c>
      <c r="C33" s="18">
        <f>IF($A33="","",IF(Paramètres!H33="","",Paramètres!H33))</f>
        <v/>
      </c>
      <c r="D33" s="18">
        <f>IF($A33="","",IF(Paramètres!I33="","",Paramètres!I33))</f>
        <v/>
      </c>
      <c r="E33" s="19">
        <f>IF($A33="","",IF(Paramètres!J33&amp;Paramètres!L33&amp;Paramètres!N33="",Dossiers!$D$4,MAX(IF(Paramètres!J33="",0,IF(Paramètres!K33="",NA(),IF(LEFT(TRIM(Paramètres!K33),1)="F",INDEX($F$5:$F$57,MATCH(Paramètres!J33,Paramètres!$G$5:$G$57,0)),INDEX($E$5:$E$57,MATCH(Paramètres!J33,Paramètres!$G$5:$G$57,0)))+IF(RIGHT(TRIM(Paramètres!K33),3)="Fin",1-$H33,IF(LEFT(TRIM(Paramètres!K33),1)="F",1,0)))),IF(Paramètres!L33="",0,IF(Paramètres!M33="",NA(),IF(LEFT(TRIM(Paramètres!M33),1)="F",INDEX($F$5:$F$57,MATCH(Paramètres!L33,Paramètres!$G$5:$G$57,0)),INDEX($E$5:$E$57,MATCH(Paramètres!L33,Paramètres!$G$5:$G$57,0)))+IF(RIGHT(TRIM(Paramètres!M33),3)="Fin",1-$H33,IF(LEFT(TRIM(Paramètres!M33),1)="F",1,0)))),IF(Paramètres!N33="",0,IF(Paramètres!O33="",NA(),IF(LEFT(TRIM(Paramètres!O33),1)="F",INDEX($F$5:$F$57,MATCH(Paramètres!N33,Paramètres!$G$5:$G$57,0)),INDEX($E$5:$E$57,MATCH(Paramètres!N33,Paramètres!$G$5:$G$57,0)))+IF(RIGHT(TRIM(Paramètres!O33),3)="Fin",1-$H33,IF(LEFT(TRIM(Paramètres!O33),1)="F",1,0)))))))</f>
        <v/>
      </c>
      <c r="F33" s="19">
        <f>IF($A33="","",E33+$H33-1)</f>
        <v/>
      </c>
      <c r="G33" s="18" t="n"/>
      <c r="H33" s="18">
        <f>IF($A33="","",IF(I33&lt;&gt;"",I33,Paramètres!B33))</f>
        <v/>
      </c>
      <c r="I33" s="18" t="n"/>
    </row>
    <row r="34">
      <c r="A34" s="18">
        <f>IF(ISNUMBER(Dossiers!$D$4),Dossiers!$A$4&amp;" · "&amp;Dossiers!$B$4,"")</f>
        <v/>
      </c>
      <c r="B34" s="18">
        <f>IF($A34="","",Paramètres!G34)</f>
        <v/>
      </c>
      <c r="C34" s="18">
        <f>IF($A34="","",IF(Paramètres!H34="","",Paramètres!H34))</f>
        <v/>
      </c>
      <c r="D34" s="18">
        <f>IF($A34="","",IF(Paramètres!I34="","",Paramètres!I34))</f>
        <v/>
      </c>
      <c r="E34" s="19">
        <f>IF($A34="","",IF(Paramètres!J34&amp;Paramètres!L34&amp;Paramètres!N34="",Dossiers!$D$4,MAX(IF(Paramètres!J34="",0,IF(Paramètres!K34="",NA(),IF(LEFT(TRIM(Paramètres!K34),1)="F",INDEX($F$5:$F$57,MATCH(Paramètres!J34,Paramètres!$G$5:$G$57,0)),INDEX($E$5:$E$57,MATCH(Paramètres!J34,Paramètres!$G$5:$G$57,0)))+IF(RIGHT(TRIM(Paramètres!K34),3)="Fin",1-$H34,IF(LEFT(TRIM(Paramètres!K34),1)="F",1,0)))),IF(Paramètres!L34="",0,IF(Paramètres!M34="",NA(),IF(LEFT(TRIM(Paramètres!M34),1)="F",INDEX($F$5:$F$57,MATCH(Paramètres!L34,Paramètres!$G$5:$G$57,0)),INDEX($E$5:$E$57,MATCH(Paramètres!L34,Paramètres!$G$5:$G$57,0)))+IF(RIGHT(TRIM(Paramètres!M34),3)="Fin",1-$H34,IF(LEFT(TRIM(Paramètres!M34),1)="F",1,0)))),IF(Paramètres!N34="",0,IF(Paramètres!O34="",NA(),IF(LEFT(TRIM(Paramètres!O34),1)="F",INDEX($F$5:$F$57,MATCH(Paramètres!N34,Paramètres!$G$5:$G$57,0)),INDEX($E$5:$E$57,MATCH(Paramètres!N34,Paramètres!$G$5:$G$57,0)))+IF(RIGHT(TRIM(Paramètres!O34),3)="Fin",1-$H34,IF(LEFT(TRIM(Paramètres!O34),1)="F",1,0)))))))</f>
        <v/>
      </c>
      <c r="F34" s="19">
        <f>IF($A34="","",E34+$H34-1)</f>
        <v/>
      </c>
      <c r="G34" s="18" t="n"/>
      <c r="H34" s="18">
        <f>IF($A34="","",IF(I34&lt;&gt;"",I34,Paramètres!B34))</f>
        <v/>
      </c>
      <c r="I34" s="18" t="n"/>
    </row>
    <row r="35">
      <c r="A35" s="18">
        <f>IF(ISNUMBER(Dossiers!$D$4),Dossiers!$A$4&amp;" · "&amp;Dossiers!$B$4,"")</f>
        <v/>
      </c>
      <c r="B35" s="18">
        <f>IF($A35="","",Paramètres!G35)</f>
        <v/>
      </c>
      <c r="C35" s="18">
        <f>IF($A35="","",IF(Paramètres!H35="","",Paramètres!H35))</f>
        <v/>
      </c>
      <c r="D35" s="18">
        <f>IF($A35="","",IF(Paramètres!I35="","",Paramètres!I35))</f>
        <v/>
      </c>
      <c r="E35" s="19">
        <f>IF($A35="","",IF(Paramètres!J35&amp;Paramètres!L35&amp;Paramètres!N35="",Dossiers!$D$4,MAX(IF(Paramètres!J35="",0,IF(Paramètres!K35="",NA(),IF(LEFT(TRIM(Paramètres!K35),1)="F",INDEX($F$5:$F$57,MATCH(Paramètres!J35,Paramètres!$G$5:$G$57,0)),INDEX($E$5:$E$57,MATCH(Paramètres!J35,Paramètres!$G$5:$G$57,0)))+IF(RIGHT(TRIM(Paramètres!K35),3)="Fin",1-$H35,IF(LEFT(TRIM(Paramètres!K35),1)="F",1,0)))),IF(Paramètres!L35="",0,IF(Paramètres!M35="",NA(),IF(LEFT(TRIM(Paramètres!M35),1)="F",INDEX($F$5:$F$57,MATCH(Paramètres!L35,Paramètres!$G$5:$G$57,0)),INDEX($E$5:$E$57,MATCH(Paramètres!L35,Paramètres!$G$5:$G$57,0)))+IF(RIGHT(TRIM(Paramètres!M35),3)="Fin",1-$H35,IF(LEFT(TRIM(Paramètres!M35),1)="F",1,0)))),IF(Paramètres!N35="",0,IF(Paramètres!O35="",NA(),IF(LEFT(TRIM(Paramètres!O35),1)="F",INDEX($F$5:$F$57,MATCH(Paramètres!N35,Paramètres!$G$5:$G$57,0)),INDEX($E$5:$E$57,MATCH(Paramètres!N35,Paramètres!$G$5:$G$57,0)))+IF(RIGHT(TRIM(Paramètres!O35),3)="Fin",1-$H35,IF(LEFT(TRIM(Paramètres!O35),1)="F",1,0)))))))</f>
        <v/>
      </c>
      <c r="F35" s="19">
        <f>IF($A35="","",E35+$H35-1)</f>
        <v/>
      </c>
      <c r="G35" s="18" t="n"/>
      <c r="H35" s="18">
        <f>IF($A35="","",IF(I35&lt;&gt;"",I35,Paramètres!B35))</f>
        <v/>
      </c>
      <c r="I35" s="18" t="n"/>
    </row>
    <row r="36">
      <c r="A36" s="18">
        <f>IF(ISNUMBER(Dossiers!$D$4),Dossiers!$A$4&amp;" · "&amp;Dossiers!$B$4,"")</f>
        <v/>
      </c>
      <c r="B36" s="18">
        <f>IF($A36="","",Paramètres!G36)</f>
        <v/>
      </c>
      <c r="C36" s="18">
        <f>IF($A36="","",IF(Paramètres!H36="","",Paramètres!H36))</f>
        <v/>
      </c>
      <c r="D36" s="18">
        <f>IF($A36="","",IF(Paramètres!I36="","",Paramètres!I36))</f>
        <v/>
      </c>
      <c r="E36" s="19">
        <f>IF($A36="","",IF(Paramètres!J36&amp;Paramètres!L36&amp;Paramètres!N36="",Dossiers!$D$4,MAX(IF(Paramètres!J36="",0,IF(Paramètres!K36="",NA(),IF(LEFT(TRIM(Paramètres!K36),1)="F",INDEX($F$5:$F$57,MATCH(Paramètres!J36,Paramètres!$G$5:$G$57,0)),INDEX($E$5:$E$57,MATCH(Paramètres!J36,Paramètres!$G$5:$G$57,0)))+IF(RIGHT(TRIM(Paramètres!K36),3)="Fin",1-$H36,IF(LEFT(TRIM(Paramètres!K36),1)="F",1,0)))),IF(Paramètres!L36="",0,IF(Paramètres!M36="",NA(),IF(LEFT(TRIM(Paramètres!M36),1)="F",INDEX($F$5:$F$57,MATCH(Paramètres!L36,Paramètres!$G$5:$G$57,0)),INDEX($E$5:$E$57,MATCH(Paramètres!L36,Paramètres!$G$5:$G$57,0)))+IF(RIGHT(TRIM(Paramètres!M36),3)="Fin",1-$H36,IF(LEFT(TRIM(Paramètres!M36),1)="F",1,0)))),IF(Paramètres!N36="",0,IF(Paramètres!O36="",NA(),IF(LEFT(TRIM(Paramètres!O36),1)="F",INDEX($F$5:$F$57,MATCH(Paramètres!N36,Paramètres!$G$5:$G$57,0)),INDEX($E$5:$E$57,MATCH(Paramètres!N36,Paramètres!$G$5:$G$57,0)))+IF(RIGHT(TRIM(Paramètres!O36),3)="Fin",1-$H36,IF(LEFT(TRIM(Paramètres!O36),1)="F",1,0)))))))</f>
        <v/>
      </c>
      <c r="F36" s="19">
        <f>IF($A36="","",E36+$H36-1)</f>
        <v/>
      </c>
      <c r="G36" s="18" t="n"/>
      <c r="H36" s="18">
        <f>IF($A36="","",IF(I36&lt;&gt;"",I36,Paramètres!B36))</f>
        <v/>
      </c>
      <c r="I36" s="18" t="n"/>
    </row>
    <row r="37">
      <c r="A37" s="18">
        <f>IF(ISNUMBER(Dossiers!$D$4),Dossiers!$A$4&amp;" · "&amp;Dossiers!$B$4,"")</f>
        <v/>
      </c>
      <c r="B37" s="18">
        <f>IF($A37="","",Paramètres!G37)</f>
        <v/>
      </c>
      <c r="C37" s="18">
        <f>IF($A37="","",IF(Paramètres!H37="","",Paramètres!H37))</f>
        <v/>
      </c>
      <c r="D37" s="18">
        <f>IF($A37="","",IF(Paramètres!I37="","",Paramètres!I37))</f>
        <v/>
      </c>
      <c r="E37" s="19">
        <f>IF($A37="","",MIN(E38:E55))</f>
        <v/>
      </c>
      <c r="F37" s="19">
        <f>IF($A37="","",MAX(F38:F55))</f>
        <v/>
      </c>
      <c r="G37" s="18" t="n"/>
      <c r="H37" s="18">
        <f>IF($A37="","",F37-E37+1)</f>
        <v/>
      </c>
      <c r="I37" s="18" t="n"/>
    </row>
    <row r="38">
      <c r="A38" s="18">
        <f>IF(ISNUMBER(Dossiers!$D$4),Dossiers!$A$4&amp;" · "&amp;Dossiers!$B$4,"")</f>
        <v/>
      </c>
      <c r="B38" s="18">
        <f>IF($A38="","",Paramètres!G38)</f>
        <v/>
      </c>
      <c r="C38" s="18">
        <f>IF($A38="","",IF(Paramètres!H38="","",Paramètres!H38))</f>
        <v/>
      </c>
      <c r="D38" s="18">
        <f>IF($A38="","",IF(Paramètres!I38="","",Paramètres!I38))</f>
        <v/>
      </c>
      <c r="E38" s="19">
        <f>IF($A38="","",IF(Paramètres!J38&amp;Paramètres!L38&amp;Paramètres!N38="",Dossiers!$D$4,MAX(IF(Paramètres!J38="",0,IF(Paramètres!K38="",NA(),IF(LEFT(TRIM(Paramètres!K38),1)="F",INDEX($F$5:$F$57,MATCH(Paramètres!J38,Paramètres!$G$5:$G$57,0)),INDEX($E$5:$E$57,MATCH(Paramètres!J38,Paramètres!$G$5:$G$57,0)))+IF(RIGHT(TRIM(Paramètres!K38),3)="Fin",1-$H38,IF(LEFT(TRIM(Paramètres!K38),1)="F",1,0)))),IF(Paramètres!L38="",0,IF(Paramètres!M38="",NA(),IF(LEFT(TRIM(Paramètres!M38),1)="F",INDEX($F$5:$F$57,MATCH(Paramètres!L38,Paramètres!$G$5:$G$57,0)),INDEX($E$5:$E$57,MATCH(Paramètres!L38,Paramètres!$G$5:$G$57,0)))+IF(RIGHT(TRIM(Paramètres!M38),3)="Fin",1-$H38,IF(LEFT(TRIM(Paramètres!M38),1)="F",1,0)))),IF(Paramètres!N38="",0,IF(Paramètres!O38="",NA(),IF(LEFT(TRIM(Paramètres!O38),1)="F",INDEX($F$5:$F$57,MATCH(Paramètres!N38,Paramètres!$G$5:$G$57,0)),INDEX($E$5:$E$57,MATCH(Paramètres!N38,Paramètres!$G$5:$G$57,0)))+IF(RIGHT(TRIM(Paramètres!O38),3)="Fin",1-$H38,IF(LEFT(TRIM(Paramètres!O38),1)="F",1,0)))))))</f>
        <v/>
      </c>
      <c r="F38" s="19">
        <f>IF($A38="","",E38+$H38-1)</f>
        <v/>
      </c>
      <c r="G38" s="18" t="n"/>
      <c r="H38" s="18">
        <f>IF($A38="","",IF(I38&lt;&gt;"",I38,Paramètres!B38))</f>
        <v/>
      </c>
      <c r="I38" s="18" t="n"/>
    </row>
    <row r="39">
      <c r="A39" s="18">
        <f>IF(ISNUMBER(Dossiers!$D$4),Dossiers!$A$4&amp;" · "&amp;Dossiers!$B$4,"")</f>
        <v/>
      </c>
      <c r="B39" s="18">
        <f>IF($A39="","",Paramètres!G39)</f>
        <v/>
      </c>
      <c r="C39" s="18">
        <f>IF($A39="","",IF(Paramètres!H39="","",Paramètres!H39))</f>
        <v/>
      </c>
      <c r="D39" s="18">
        <f>IF($A39="","",IF(Paramètres!I39="","",Paramètres!I39))</f>
        <v/>
      </c>
      <c r="E39" s="19">
        <f>IF($A39="","",IF(Paramètres!J39&amp;Paramètres!L39&amp;Paramètres!N39="",Dossiers!$D$4,MAX(IF(Paramètres!J39="",0,IF(Paramètres!K39="",NA(),IF(LEFT(TRIM(Paramètres!K39),1)="F",INDEX($F$5:$F$57,MATCH(Paramètres!J39,Paramètres!$G$5:$G$57,0)),INDEX($E$5:$E$57,MATCH(Paramètres!J39,Paramètres!$G$5:$G$57,0)))+IF(RIGHT(TRIM(Paramètres!K39),3)="Fin",1-$H39,IF(LEFT(TRIM(Paramètres!K39),1)="F",1,0)))),IF(Paramètres!L39="",0,IF(Paramètres!M39="",NA(),IF(LEFT(TRIM(Paramètres!M39),1)="F",INDEX($F$5:$F$57,MATCH(Paramètres!L39,Paramètres!$G$5:$G$57,0)),INDEX($E$5:$E$57,MATCH(Paramètres!L39,Paramètres!$G$5:$G$57,0)))+IF(RIGHT(TRIM(Paramètres!M39),3)="Fin",1-$H39,IF(LEFT(TRIM(Paramètres!M39),1)="F",1,0)))),IF(Paramètres!N39="",0,IF(Paramètres!O39="",NA(),IF(LEFT(TRIM(Paramètres!O39),1)="F",INDEX($F$5:$F$57,MATCH(Paramètres!N39,Paramètres!$G$5:$G$57,0)),INDEX($E$5:$E$57,MATCH(Paramètres!N39,Paramètres!$G$5:$G$57,0)))+IF(RIGHT(TRIM(Paramètres!O39),3)="Fin",1-$H39,IF(LEFT(TRIM(Paramètres!O39),1)="F",1,0)))))))</f>
        <v/>
      </c>
      <c r="F39" s="19">
        <f>IF($A39="","",E39+$H39-1)</f>
        <v/>
      </c>
      <c r="G39" s="18" t="n"/>
      <c r="H39" s="18">
        <f>IF($A39="","",IF(I39&lt;&gt;"",I39,Paramètres!B39))</f>
        <v/>
      </c>
      <c r="I39" s="18" t="n"/>
    </row>
    <row r="40">
      <c r="A40" s="18">
        <f>IF(ISNUMBER(Dossiers!$D$4),Dossiers!$A$4&amp;" · "&amp;Dossiers!$B$4,"")</f>
        <v/>
      </c>
      <c r="B40" s="18">
        <f>IF($A40="","",Paramètres!G40)</f>
        <v/>
      </c>
      <c r="C40" s="18">
        <f>IF($A40="","",IF(Paramètres!H40="","",Paramètres!H40))</f>
        <v/>
      </c>
      <c r="D40" s="18">
        <f>IF($A40="","",IF(Paramètres!I40="","",Paramètres!I40))</f>
        <v/>
      </c>
      <c r="E40" s="19">
        <f>IF($A40="","",IF(Paramètres!J40&amp;Paramètres!L40&amp;Paramètres!N40="",Dossiers!$D$4,MAX(IF(Paramètres!J40="",0,IF(Paramètres!K40="",NA(),IF(LEFT(TRIM(Paramètres!K40),1)="F",INDEX($F$5:$F$57,MATCH(Paramètres!J40,Paramètres!$G$5:$G$57,0)),INDEX($E$5:$E$57,MATCH(Paramètres!J40,Paramètres!$G$5:$G$57,0)))+IF(RIGHT(TRIM(Paramètres!K40),3)="Fin",1-$H40,IF(LEFT(TRIM(Paramètres!K40),1)="F",1,0)))),IF(Paramètres!L40="",0,IF(Paramètres!M40="",NA(),IF(LEFT(TRIM(Paramètres!M40),1)="F",INDEX($F$5:$F$57,MATCH(Paramètres!L40,Paramètres!$G$5:$G$57,0)),INDEX($E$5:$E$57,MATCH(Paramètres!L40,Paramètres!$G$5:$G$57,0)))+IF(RIGHT(TRIM(Paramètres!M40),3)="Fin",1-$H40,IF(LEFT(TRIM(Paramètres!M40),1)="F",1,0)))),IF(Paramètres!N40="",0,IF(Paramètres!O40="",NA(),IF(LEFT(TRIM(Paramètres!O40),1)="F",INDEX($F$5:$F$57,MATCH(Paramètres!N40,Paramètres!$G$5:$G$57,0)),INDEX($E$5:$E$57,MATCH(Paramètres!N40,Paramètres!$G$5:$G$57,0)))+IF(RIGHT(TRIM(Paramètres!O40),3)="Fin",1-$H40,IF(LEFT(TRIM(Paramètres!O40),1)="F",1,0)))))))</f>
        <v/>
      </c>
      <c r="F40" s="19">
        <f>IF($A40="","",E40+$H40-1)</f>
        <v/>
      </c>
      <c r="G40" s="18" t="n"/>
      <c r="H40" s="18">
        <f>IF($A40="","",IF(I40&lt;&gt;"",I40,Paramètres!B40))</f>
        <v/>
      </c>
      <c r="I40" s="18" t="n">
        <v>2</v>
      </c>
    </row>
    <row r="41">
      <c r="A41" s="18">
        <f>IF(ISNUMBER(Dossiers!$D$4),Dossiers!$A$4&amp;" · "&amp;Dossiers!$B$4,"")</f>
        <v/>
      </c>
      <c r="B41" s="18">
        <f>IF($A41="","",Paramètres!G41)</f>
        <v/>
      </c>
      <c r="C41" s="18">
        <f>IF($A41="","",IF(Paramètres!H41="","",Paramètres!H41))</f>
        <v/>
      </c>
      <c r="D41" s="18">
        <f>IF($A41="","",IF(Paramètres!I41="","",Paramètres!I41))</f>
        <v/>
      </c>
      <c r="E41" s="19">
        <f>IF($A41="","",IF(Paramètres!J41&amp;Paramètres!L41&amp;Paramètres!N41="",Dossiers!$D$4,MAX(IF(Paramètres!J41="",0,IF(Paramètres!K41="",NA(),IF(LEFT(TRIM(Paramètres!K41),1)="F",INDEX($F$5:$F$57,MATCH(Paramètres!J41,Paramètres!$G$5:$G$57,0)),INDEX($E$5:$E$57,MATCH(Paramètres!J41,Paramètres!$G$5:$G$57,0)))+IF(RIGHT(TRIM(Paramètres!K41),3)="Fin",1-$H41,IF(LEFT(TRIM(Paramètres!K41),1)="F",1,0)))),IF(Paramètres!L41="",0,IF(Paramètres!M41="",NA(),IF(LEFT(TRIM(Paramètres!M41),1)="F",INDEX($F$5:$F$57,MATCH(Paramètres!L41,Paramètres!$G$5:$G$57,0)),INDEX($E$5:$E$57,MATCH(Paramètres!L41,Paramètres!$G$5:$G$57,0)))+IF(RIGHT(TRIM(Paramètres!M41),3)="Fin",1-$H41,IF(LEFT(TRIM(Paramètres!M41),1)="F",1,0)))),IF(Paramètres!N41="",0,IF(Paramètres!O41="",NA(),IF(LEFT(TRIM(Paramètres!O41),1)="F",INDEX($F$5:$F$57,MATCH(Paramètres!N41,Paramètres!$G$5:$G$57,0)),INDEX($E$5:$E$57,MATCH(Paramètres!N41,Paramètres!$G$5:$G$57,0)))+IF(RIGHT(TRIM(Paramètres!O41),3)="Fin",1-$H41,IF(LEFT(TRIM(Paramètres!O41),1)="F",1,0)))))))</f>
        <v/>
      </c>
      <c r="F41" s="19">
        <f>IF($A41="","",E41+$H41-1)</f>
        <v/>
      </c>
      <c r="G41" s="18" t="n"/>
      <c r="H41" s="18">
        <f>IF($A41="","",IF(I41&lt;&gt;"",I41,Paramètres!B41))</f>
        <v/>
      </c>
      <c r="I41" s="18" t="n">
        <v>1</v>
      </c>
    </row>
    <row r="42">
      <c r="A42" s="18">
        <f>IF(ISNUMBER(Dossiers!$D$4),Dossiers!$A$4&amp;" · "&amp;Dossiers!$B$4,"")</f>
        <v/>
      </c>
      <c r="B42" s="18">
        <f>IF($A42="","",Paramètres!G42)</f>
        <v/>
      </c>
      <c r="C42" s="18">
        <f>IF($A42="","",IF(Paramètres!H42="","",Paramètres!H42))</f>
        <v/>
      </c>
      <c r="D42" s="18">
        <f>IF($A42="","",IF(Paramètres!I42="","",Paramètres!I42))</f>
        <v/>
      </c>
      <c r="E42" s="19">
        <f>IF($A42="","",IF(Paramètres!J42&amp;Paramètres!L42&amp;Paramètres!N42="",Dossiers!$D$4,MAX(IF(Paramètres!J42="",0,IF(Paramètres!K42="",NA(),IF(LEFT(TRIM(Paramètres!K42),1)="F",INDEX($F$5:$F$57,MATCH(Paramètres!J42,Paramètres!$G$5:$G$57,0)),INDEX($E$5:$E$57,MATCH(Paramètres!J42,Paramètres!$G$5:$G$57,0)))+IF(RIGHT(TRIM(Paramètres!K42),3)="Fin",1-$H42,IF(LEFT(TRIM(Paramètres!K42),1)="F",1,0)))),IF(Paramètres!L42="",0,IF(Paramètres!M42="",NA(),IF(LEFT(TRIM(Paramètres!M42),1)="F",INDEX($F$5:$F$57,MATCH(Paramètres!L42,Paramètres!$G$5:$G$57,0)),INDEX($E$5:$E$57,MATCH(Paramètres!L42,Paramètres!$G$5:$G$57,0)))+IF(RIGHT(TRIM(Paramètres!M42),3)="Fin",1-$H42,IF(LEFT(TRIM(Paramètres!M42),1)="F",1,0)))),IF(Paramètres!N42="",0,IF(Paramètres!O42="",NA(),IF(LEFT(TRIM(Paramètres!O42),1)="F",INDEX($F$5:$F$57,MATCH(Paramètres!N42,Paramètres!$G$5:$G$57,0)),INDEX($E$5:$E$57,MATCH(Paramètres!N42,Paramètres!$G$5:$G$57,0)))+IF(RIGHT(TRIM(Paramètres!O42),3)="Fin",1-$H42,IF(LEFT(TRIM(Paramètres!O42),1)="F",1,0)))))))</f>
        <v/>
      </c>
      <c r="F42" s="19">
        <f>IF($A42="","",E42+$H42-1)</f>
        <v/>
      </c>
      <c r="G42" s="18" t="n"/>
      <c r="H42" s="18">
        <f>IF($A42="","",IF(I42&lt;&gt;"",I42,Paramètres!B42))</f>
        <v/>
      </c>
      <c r="I42" s="18" t="n"/>
    </row>
    <row r="43">
      <c r="A43" s="18">
        <f>IF(ISNUMBER(Dossiers!$D$4),Dossiers!$A$4&amp;" · "&amp;Dossiers!$B$4,"")</f>
        <v/>
      </c>
      <c r="B43" s="18">
        <f>IF($A43="","",Paramètres!G43)</f>
        <v/>
      </c>
      <c r="C43" s="18">
        <f>IF($A43="","",IF(Paramètres!H43="","",Paramètres!H43))</f>
        <v/>
      </c>
      <c r="D43" s="18">
        <f>IF($A43="","",IF(Paramètres!I43="","",Paramètres!I43))</f>
        <v/>
      </c>
      <c r="E43" s="19">
        <f>IF($A43="","",IF(Paramètres!J43&amp;Paramètres!L43&amp;Paramètres!N43="",Dossiers!$D$4,MAX(IF(Paramètres!J43="",0,IF(Paramètres!K43="",NA(),IF(LEFT(TRIM(Paramètres!K43),1)="F",INDEX($F$5:$F$57,MATCH(Paramètres!J43,Paramètres!$G$5:$G$57,0)),INDEX($E$5:$E$57,MATCH(Paramètres!J43,Paramètres!$G$5:$G$57,0)))+IF(RIGHT(TRIM(Paramètres!K43),3)="Fin",1-$H43,IF(LEFT(TRIM(Paramètres!K43),1)="F",1,0)))),IF(Paramètres!L43="",0,IF(Paramètres!M43="",NA(),IF(LEFT(TRIM(Paramètres!M43),1)="F",INDEX($F$5:$F$57,MATCH(Paramètres!L43,Paramètres!$G$5:$G$57,0)),INDEX($E$5:$E$57,MATCH(Paramètres!L43,Paramètres!$G$5:$G$57,0)))+IF(RIGHT(TRIM(Paramètres!M43),3)="Fin",1-$H43,IF(LEFT(TRIM(Paramètres!M43),1)="F",1,0)))),IF(Paramètres!N43="",0,IF(Paramètres!O43="",NA(),IF(LEFT(TRIM(Paramètres!O43),1)="F",INDEX($F$5:$F$57,MATCH(Paramètres!N43,Paramètres!$G$5:$G$57,0)),INDEX($E$5:$E$57,MATCH(Paramètres!N43,Paramètres!$G$5:$G$57,0)))+IF(RIGHT(TRIM(Paramètres!O43),3)="Fin",1-$H43,IF(LEFT(TRIM(Paramètres!O43),1)="F",1,0)))))))</f>
        <v/>
      </c>
      <c r="F43" s="19">
        <f>IF($A43="","",E43+$H43-1)</f>
        <v/>
      </c>
      <c r="G43" s="18" t="n"/>
      <c r="H43" s="18">
        <f>IF($A43="","",IF(I43&lt;&gt;"",I43,Paramètres!B43))</f>
        <v/>
      </c>
      <c r="I43" s="18" t="n"/>
    </row>
    <row r="44">
      <c r="A44" s="18">
        <f>IF(ISNUMBER(Dossiers!$D$4),Dossiers!$A$4&amp;" · "&amp;Dossiers!$B$4,"")</f>
        <v/>
      </c>
      <c r="B44" s="18">
        <f>IF($A44="","",Paramètres!G44)</f>
        <v/>
      </c>
      <c r="C44" s="18">
        <f>IF($A44="","",IF(Paramètres!H44="","",Paramètres!H44))</f>
        <v/>
      </c>
      <c r="D44" s="18">
        <f>IF($A44="","",IF(Paramètres!I44="","",Paramètres!I44))</f>
        <v/>
      </c>
      <c r="E44" s="19">
        <f>IF($A44="","",IF(Paramètres!J44&amp;Paramètres!L44&amp;Paramètres!N44="",Dossiers!$D$4,MAX(IF(Paramètres!J44="",0,IF(Paramètres!K44="",NA(),IF(LEFT(TRIM(Paramètres!K44),1)="F",INDEX($F$5:$F$57,MATCH(Paramètres!J44,Paramètres!$G$5:$G$57,0)),INDEX($E$5:$E$57,MATCH(Paramètres!J44,Paramètres!$G$5:$G$57,0)))+IF(RIGHT(TRIM(Paramètres!K44),3)="Fin",1-$H44,IF(LEFT(TRIM(Paramètres!K44),1)="F",1,0)))),IF(Paramètres!L44="",0,IF(Paramètres!M44="",NA(),IF(LEFT(TRIM(Paramètres!M44),1)="F",INDEX($F$5:$F$57,MATCH(Paramètres!L44,Paramètres!$G$5:$G$57,0)),INDEX($E$5:$E$57,MATCH(Paramètres!L44,Paramètres!$G$5:$G$57,0)))+IF(RIGHT(TRIM(Paramètres!M44),3)="Fin",1-$H44,IF(LEFT(TRIM(Paramètres!M44),1)="F",1,0)))),IF(Paramètres!N44="",0,IF(Paramètres!O44="",NA(),IF(LEFT(TRIM(Paramètres!O44),1)="F",INDEX($F$5:$F$57,MATCH(Paramètres!N44,Paramètres!$G$5:$G$57,0)),INDEX($E$5:$E$57,MATCH(Paramètres!N44,Paramètres!$G$5:$G$57,0)))+IF(RIGHT(TRIM(Paramètres!O44),3)="Fin",1-$H44,IF(LEFT(TRIM(Paramètres!O44),1)="F",1,0)))))))</f>
        <v/>
      </c>
      <c r="F44" s="19">
        <f>IF($A44="","",E44+$H44-1)</f>
        <v/>
      </c>
      <c r="G44" s="18" t="n"/>
      <c r="H44" s="18">
        <f>IF($A44="","",IF(I44&lt;&gt;"",I44,Paramètres!B44))</f>
        <v/>
      </c>
      <c r="I44" s="18" t="n"/>
    </row>
    <row r="45">
      <c r="A45" s="18">
        <f>IF(ISNUMBER(Dossiers!$D$4),Dossiers!$A$4&amp;" · "&amp;Dossiers!$B$4,"")</f>
        <v/>
      </c>
      <c r="B45" s="18">
        <f>IF($A45="","",Paramètres!G45)</f>
        <v/>
      </c>
      <c r="C45" s="20">
        <f>IF($A45="","",IF(Dossiers!$G$4="","",Dossiers!$G$4))</f>
        <v/>
      </c>
      <c r="D45" s="18">
        <f>IF($A45="","",IF(Paramètres!I45="","",Paramètres!I45))</f>
        <v/>
      </c>
      <c r="E45" s="19">
        <f>IF($A45="","",IF(Paramètres!J45&amp;Paramètres!L45&amp;Paramètres!N45="",Dossiers!$D$4,MAX(IF(Paramètres!J45="",0,IF(Paramètres!K45="",NA(),IF(LEFT(TRIM(Paramètres!K45),1)="F",INDEX($F$5:$F$57,MATCH(Paramètres!J45,Paramètres!$G$5:$G$57,0)),INDEX($E$5:$E$57,MATCH(Paramètres!J45,Paramètres!$G$5:$G$57,0)))+IF(RIGHT(TRIM(Paramètres!K45),3)="Fin",1-$H45,IF(LEFT(TRIM(Paramètres!K45),1)="F",1,0)))),IF(Paramètres!L45="",0,IF(Paramètres!M45="",NA(),IF(LEFT(TRIM(Paramètres!M45),1)="F",INDEX($F$5:$F$57,MATCH(Paramètres!L45,Paramètres!$G$5:$G$57,0)),INDEX($E$5:$E$57,MATCH(Paramètres!L45,Paramètres!$G$5:$G$57,0)))+IF(RIGHT(TRIM(Paramètres!M45),3)="Fin",1-$H45,IF(LEFT(TRIM(Paramètres!M45),1)="F",1,0)))),IF(Paramètres!N45="",0,IF(Paramètres!O45="",NA(),IF(LEFT(TRIM(Paramètres!O45),1)="F",INDEX($F$5:$F$57,MATCH(Paramètres!N45,Paramètres!$G$5:$G$57,0)),INDEX($E$5:$E$57,MATCH(Paramètres!N45,Paramètres!$G$5:$G$57,0)))+IF(RIGHT(TRIM(Paramètres!O45),3)="Fin",1-$H45,IF(LEFT(TRIM(Paramètres!O45),1)="F",1,0)))))))</f>
        <v/>
      </c>
      <c r="F45" s="19">
        <f>IF($A45="","",E45+$H45-1)</f>
        <v/>
      </c>
      <c r="G45" s="18" t="inlineStr">
        <is>
          <t>Alerte retard</t>
        </is>
      </c>
      <c r="H45" s="18">
        <f>IF($A45="","",IF(I45&lt;&gt;"",I45,Paramètres!B45))</f>
        <v/>
      </c>
      <c r="I45" s="18" t="n"/>
    </row>
    <row r="46">
      <c r="A46" s="18">
        <f>IF(ISNUMBER(Dossiers!$D$4),Dossiers!$A$4&amp;" · "&amp;Dossiers!$B$4,"")</f>
        <v/>
      </c>
      <c r="B46" s="18">
        <f>IF($A46="","",Paramètres!G46)</f>
        <v/>
      </c>
      <c r="C46" s="18">
        <f>IF($A46="","",IF(Paramètres!H46="","",Paramètres!H46))</f>
        <v/>
      </c>
      <c r="D46" s="18">
        <f>IF($A46="","",IF(Paramètres!I46="","",Paramètres!I46))</f>
        <v/>
      </c>
      <c r="E46" s="19">
        <f>IF($A46="","",IF(Paramètres!J46&amp;Paramètres!L46&amp;Paramètres!N46="",Dossiers!$D$4,MAX(IF(Paramètres!J46="",0,IF(Paramètres!K46="",NA(),IF(LEFT(TRIM(Paramètres!K46),1)="F",INDEX($F$5:$F$57,MATCH(Paramètres!J46,Paramètres!$G$5:$G$57,0)),INDEX($E$5:$E$57,MATCH(Paramètres!J46,Paramètres!$G$5:$G$57,0)))+IF(RIGHT(TRIM(Paramètres!K46),3)="Fin",1-$H46,IF(LEFT(TRIM(Paramètres!K46),1)="F",1,0)))),IF(Paramètres!L46="",0,IF(Paramètres!M46="",NA(),IF(LEFT(TRIM(Paramètres!M46),1)="F",INDEX($F$5:$F$57,MATCH(Paramètres!L46,Paramètres!$G$5:$G$57,0)),INDEX($E$5:$E$57,MATCH(Paramètres!L46,Paramètres!$G$5:$G$57,0)))+IF(RIGHT(TRIM(Paramètres!M46),3)="Fin",1-$H46,IF(LEFT(TRIM(Paramètres!M46),1)="F",1,0)))),IF(Paramètres!N46="",0,IF(Paramètres!O46="",NA(),IF(LEFT(TRIM(Paramètres!O46),1)="F",INDEX($F$5:$F$57,MATCH(Paramètres!N46,Paramètres!$G$5:$G$57,0)),INDEX($E$5:$E$57,MATCH(Paramètres!N46,Paramètres!$G$5:$G$57,0)))+IF(RIGHT(TRIM(Paramètres!O46),3)="Fin",1-$H46,IF(LEFT(TRIM(Paramètres!O46),1)="F",1,0)))))))</f>
        <v/>
      </c>
      <c r="F46" s="19">
        <f>IF($A46="","",E46+$H46-1)</f>
        <v/>
      </c>
      <c r="G46" s="18" t="n"/>
      <c r="H46" s="18">
        <f>IF($A46="","",IF(I46&lt;&gt;"",I46,Paramètres!B46))</f>
        <v/>
      </c>
      <c r="I46" s="18" t="n"/>
    </row>
    <row r="47">
      <c r="A47" s="18">
        <f>IF(ISNUMBER(Dossiers!$D$4),Dossiers!$A$4&amp;" · "&amp;Dossiers!$B$4,"")</f>
        <v/>
      </c>
      <c r="B47" s="18">
        <f>IF($A47="","",Paramètres!G47)</f>
        <v/>
      </c>
      <c r="C47" s="18">
        <f>IF($A47="","",IF(Paramètres!H47="","",Paramètres!H47))</f>
        <v/>
      </c>
      <c r="D47" s="18">
        <f>IF($A47="","",IF(Paramètres!I47="","",Paramètres!I47))</f>
        <v/>
      </c>
      <c r="E47" s="19">
        <f>IF($A47="","",IF(Paramètres!J47&amp;Paramètres!L47&amp;Paramètres!N47="",Dossiers!$D$4,MAX(IF(Paramètres!J47="",0,IF(Paramètres!K47="",NA(),IF(LEFT(TRIM(Paramètres!K47),1)="F",INDEX($F$5:$F$57,MATCH(Paramètres!J47,Paramètres!$G$5:$G$57,0)),INDEX($E$5:$E$57,MATCH(Paramètres!J47,Paramètres!$G$5:$G$57,0)))+IF(RIGHT(TRIM(Paramètres!K47),3)="Fin",1-$H47,IF(LEFT(TRIM(Paramètres!K47),1)="F",1,0)))),IF(Paramètres!L47="",0,IF(Paramètres!M47="",NA(),IF(LEFT(TRIM(Paramètres!M47),1)="F",INDEX($F$5:$F$57,MATCH(Paramètres!L47,Paramètres!$G$5:$G$57,0)),INDEX($E$5:$E$57,MATCH(Paramètres!L47,Paramètres!$G$5:$G$57,0)))+IF(RIGHT(TRIM(Paramètres!M47),3)="Fin",1-$H47,IF(LEFT(TRIM(Paramètres!M47),1)="F",1,0)))),IF(Paramètres!N47="",0,IF(Paramètres!O47="",NA(),IF(LEFT(TRIM(Paramètres!O47),1)="F",INDEX($F$5:$F$57,MATCH(Paramètres!N47,Paramètres!$G$5:$G$57,0)),INDEX($E$5:$E$57,MATCH(Paramètres!N47,Paramètres!$G$5:$G$57,0)))+IF(RIGHT(TRIM(Paramètres!O47),3)="Fin",1-$H47,IF(LEFT(TRIM(Paramètres!O47),1)="F",1,0)))))))</f>
        <v/>
      </c>
      <c r="F47" s="19">
        <f>IF($A47="","",E47+$H47-1)</f>
        <v/>
      </c>
      <c r="G47" s="18" t="n"/>
      <c r="H47" s="18">
        <f>IF($A47="","",IF(I47&lt;&gt;"",I47,Paramètres!B47))</f>
        <v/>
      </c>
      <c r="I47" s="18" t="n"/>
    </row>
    <row r="48">
      <c r="A48" s="18">
        <f>IF(ISNUMBER(Dossiers!$D$4),Dossiers!$A$4&amp;" · "&amp;Dossiers!$B$4,"")</f>
        <v/>
      </c>
      <c r="B48" s="18">
        <f>IF($A48="","",Paramètres!G48)</f>
        <v/>
      </c>
      <c r="C48" s="18">
        <f>IF($A48="","",IF(Paramètres!H48="","",Paramètres!H48))</f>
        <v/>
      </c>
      <c r="D48" s="18">
        <f>IF($A48="","",IF(Paramètres!I48="","",Paramètres!I48))</f>
        <v/>
      </c>
      <c r="E48" s="19">
        <f>IF($A48="","",IF(Paramètres!J48&amp;Paramètres!L48&amp;Paramètres!N48="",Dossiers!$D$4,MAX(IF(Paramètres!J48="",0,IF(Paramètres!K48="",NA(),IF(LEFT(TRIM(Paramètres!K48),1)="F",INDEX($F$5:$F$57,MATCH(Paramètres!J48,Paramètres!$G$5:$G$57,0)),INDEX($E$5:$E$57,MATCH(Paramètres!J48,Paramètres!$G$5:$G$57,0)))+IF(RIGHT(TRIM(Paramètres!K48),3)="Fin",1-$H48,IF(LEFT(TRIM(Paramètres!K48),1)="F",1,0)))),IF(Paramètres!L48="",0,IF(Paramètres!M48="",NA(),IF(LEFT(TRIM(Paramètres!M48),1)="F",INDEX($F$5:$F$57,MATCH(Paramètres!L48,Paramètres!$G$5:$G$57,0)),INDEX($E$5:$E$57,MATCH(Paramètres!L48,Paramètres!$G$5:$G$57,0)))+IF(RIGHT(TRIM(Paramètres!M48),3)="Fin",1-$H48,IF(LEFT(TRIM(Paramètres!M48),1)="F",1,0)))),IF(Paramètres!N48="",0,IF(Paramètres!O48="",NA(),IF(LEFT(TRIM(Paramètres!O48),1)="F",INDEX($F$5:$F$57,MATCH(Paramètres!N48,Paramètres!$G$5:$G$57,0)),INDEX($E$5:$E$57,MATCH(Paramètres!N48,Paramètres!$G$5:$G$57,0)))+IF(RIGHT(TRIM(Paramètres!O48),3)="Fin",1-$H48,IF(LEFT(TRIM(Paramètres!O48),1)="F",1,0)))))))</f>
        <v/>
      </c>
      <c r="F48" s="19">
        <f>IF($A48="","",E48+$H48-1)</f>
        <v/>
      </c>
      <c r="G48" s="18" t="n"/>
      <c r="H48" s="18">
        <f>IF($A48="","",IF(I48&lt;&gt;"",I48,Paramètres!B48))</f>
        <v/>
      </c>
      <c r="I48" s="18" t="n"/>
    </row>
    <row r="49">
      <c r="A49" s="18">
        <f>IF(ISNUMBER(Dossiers!$D$4),Dossiers!$A$4&amp;" · "&amp;Dossiers!$B$4,"")</f>
        <v/>
      </c>
      <c r="B49" s="18">
        <f>IF($A49="","",Paramètres!G49)</f>
        <v/>
      </c>
      <c r="C49" s="18">
        <f>IF($A49="","",IF(Paramètres!H49="","",Paramètres!H49))</f>
        <v/>
      </c>
      <c r="D49" s="18">
        <f>IF($A49="","",IF(Paramètres!I49="","",Paramètres!I49))</f>
        <v/>
      </c>
      <c r="E49" s="19">
        <f>IF($A49="","",IF(Paramètres!J49&amp;Paramètres!L49&amp;Paramètres!N49="",Dossiers!$D$4,MAX(IF(Paramètres!J49="",0,IF(Paramètres!K49="",NA(),IF(LEFT(TRIM(Paramètres!K49),1)="F",INDEX($F$5:$F$57,MATCH(Paramètres!J49,Paramètres!$G$5:$G$57,0)),INDEX($E$5:$E$57,MATCH(Paramètres!J49,Paramètres!$G$5:$G$57,0)))+IF(RIGHT(TRIM(Paramètres!K49),3)="Fin",1-$H49,IF(LEFT(TRIM(Paramètres!K49),1)="F",1,0)))),IF(Paramètres!L49="",0,IF(Paramètres!M49="",NA(),IF(LEFT(TRIM(Paramètres!M49),1)="F",INDEX($F$5:$F$57,MATCH(Paramètres!L49,Paramètres!$G$5:$G$57,0)),INDEX($E$5:$E$57,MATCH(Paramètres!L49,Paramètres!$G$5:$G$57,0)))+IF(RIGHT(TRIM(Paramètres!M49),3)="Fin",1-$H49,IF(LEFT(TRIM(Paramètres!M49),1)="F",1,0)))),IF(Paramètres!N49="",0,IF(Paramètres!O49="",NA(),IF(LEFT(TRIM(Paramètres!O49),1)="F",INDEX($F$5:$F$57,MATCH(Paramètres!N49,Paramètres!$G$5:$G$57,0)),INDEX($E$5:$E$57,MATCH(Paramètres!N49,Paramètres!$G$5:$G$57,0)))+IF(RIGHT(TRIM(Paramètres!O49),3)="Fin",1-$H49,IF(LEFT(TRIM(Paramètres!O49),1)="F",1,0)))))))</f>
        <v/>
      </c>
      <c r="F49" s="19">
        <f>IF($A49="","",E49+$H49-1)</f>
        <v/>
      </c>
      <c r="G49" s="18" t="n"/>
      <c r="H49" s="18">
        <f>IF($A49="","",IF(I49&lt;&gt;"",I49,Paramètres!B49))</f>
        <v/>
      </c>
      <c r="I49" s="18" t="n"/>
    </row>
    <row r="50">
      <c r="A50" s="18">
        <f>IF(ISNUMBER(Dossiers!$D$4),Dossiers!$A$4&amp;" · "&amp;Dossiers!$B$4,"")</f>
        <v/>
      </c>
      <c r="B50" s="18">
        <f>IF($A50="","",Paramètres!G50)</f>
        <v/>
      </c>
      <c r="C50" s="18">
        <f>IF($A50="","",IF(Paramètres!H50="","",Paramètres!H50))</f>
        <v/>
      </c>
      <c r="D50" s="18">
        <f>IF($A50="","",IF(Paramètres!I50="","",Paramètres!I50))</f>
        <v/>
      </c>
      <c r="E50" s="19">
        <f>IF($A50="","",IF(Paramètres!J50&amp;Paramètres!L50&amp;Paramètres!N50="",Dossiers!$D$4,MAX(IF(Paramètres!J50="",0,IF(Paramètres!K50="",NA(),IF(LEFT(TRIM(Paramètres!K50),1)="F",INDEX($F$5:$F$57,MATCH(Paramètres!J50,Paramètres!$G$5:$G$57,0)),INDEX($E$5:$E$57,MATCH(Paramètres!J50,Paramètres!$G$5:$G$57,0)))+IF(RIGHT(TRIM(Paramètres!K50),3)="Fin",1-$H50,IF(LEFT(TRIM(Paramètres!K50),1)="F",1,0)))),IF(Paramètres!L50="",0,IF(Paramètres!M50="",NA(),IF(LEFT(TRIM(Paramètres!M50),1)="F",INDEX($F$5:$F$57,MATCH(Paramètres!L50,Paramètres!$G$5:$G$57,0)),INDEX($E$5:$E$57,MATCH(Paramètres!L50,Paramètres!$G$5:$G$57,0)))+IF(RIGHT(TRIM(Paramètres!M50),3)="Fin",1-$H50,IF(LEFT(TRIM(Paramètres!M50),1)="F",1,0)))),IF(Paramètres!N50="",0,IF(Paramètres!O50="",NA(),IF(LEFT(TRIM(Paramètres!O50),1)="F",INDEX($F$5:$F$57,MATCH(Paramètres!N50,Paramètres!$G$5:$G$57,0)),INDEX($E$5:$E$57,MATCH(Paramètres!N50,Paramètres!$G$5:$G$57,0)))+IF(RIGHT(TRIM(Paramètres!O50),3)="Fin",1-$H50,IF(LEFT(TRIM(Paramètres!O50),1)="F",1,0)))))))</f>
        <v/>
      </c>
      <c r="F50" s="19">
        <f>IF($A50="","",E50+$H50-1)</f>
        <v/>
      </c>
      <c r="G50" s="18" t="n"/>
      <c r="H50" s="18">
        <f>IF($A50="","",IF(I50&lt;&gt;"",I50,Paramètres!B50))</f>
        <v/>
      </c>
      <c r="I50" s="18" t="n"/>
    </row>
    <row r="51">
      <c r="A51" s="18">
        <f>IF(ISNUMBER(Dossiers!$D$4),Dossiers!$A$4&amp;" · "&amp;Dossiers!$B$4,"")</f>
        <v/>
      </c>
      <c r="B51" s="18">
        <f>IF($A51="","",Paramètres!G51)</f>
        <v/>
      </c>
      <c r="C51" s="18">
        <f>IF($A51="","",IF(Paramètres!H51="","",Paramètres!H51))</f>
        <v/>
      </c>
      <c r="D51" s="18">
        <f>IF($A51="","",IF(Paramètres!I51="","",Paramètres!I51))</f>
        <v/>
      </c>
      <c r="E51" s="19">
        <f>IF($A51="","",IF(Paramètres!J51&amp;Paramètres!L51&amp;Paramètres!N51="",Dossiers!$D$4,MAX(IF(Paramètres!J51="",0,IF(Paramètres!K51="",NA(),IF(LEFT(TRIM(Paramètres!K51),1)="F",INDEX($F$5:$F$57,MATCH(Paramètres!J51,Paramètres!$G$5:$G$57,0)),INDEX($E$5:$E$57,MATCH(Paramètres!J51,Paramètres!$G$5:$G$57,0)))+IF(RIGHT(TRIM(Paramètres!K51),3)="Fin",1-$H51,IF(LEFT(TRIM(Paramètres!K51),1)="F",1,0)))),IF(Paramètres!L51="",0,IF(Paramètres!M51="",NA(),IF(LEFT(TRIM(Paramètres!M51),1)="F",INDEX($F$5:$F$57,MATCH(Paramètres!L51,Paramètres!$G$5:$G$57,0)),INDEX($E$5:$E$57,MATCH(Paramètres!L51,Paramètres!$G$5:$G$57,0)))+IF(RIGHT(TRIM(Paramètres!M51),3)="Fin",1-$H51,IF(LEFT(TRIM(Paramètres!M51),1)="F",1,0)))),IF(Paramètres!N51="",0,IF(Paramètres!O51="",NA(),IF(LEFT(TRIM(Paramètres!O51),1)="F",INDEX($F$5:$F$57,MATCH(Paramètres!N51,Paramètres!$G$5:$G$57,0)),INDEX($E$5:$E$57,MATCH(Paramètres!N51,Paramètres!$G$5:$G$57,0)))+IF(RIGHT(TRIM(Paramètres!O51),3)="Fin",1-$H51,IF(LEFT(TRIM(Paramètres!O51),1)="F",1,0)))))))</f>
        <v/>
      </c>
      <c r="F51" s="19">
        <f>IF($A51="","",E51+$H51-1)</f>
        <v/>
      </c>
      <c r="G51" s="18" t="n"/>
      <c r="H51" s="18">
        <f>IF($A51="","",IF(I51&lt;&gt;"",I51,Paramètres!B51))</f>
        <v/>
      </c>
      <c r="I51" s="18" t="n"/>
    </row>
    <row r="52">
      <c r="A52" s="18">
        <f>IF(ISNUMBER(Dossiers!$D$4),Dossiers!$A$4&amp;" · "&amp;Dossiers!$B$4,"")</f>
        <v/>
      </c>
      <c r="B52" s="18">
        <f>IF($A52="","",Paramètres!G52)</f>
        <v/>
      </c>
      <c r="C52" s="18">
        <f>IF($A52="","",IF(Paramètres!H52="","",Paramètres!H52))</f>
        <v/>
      </c>
      <c r="D52" s="18">
        <f>IF($A52="","",IF(Paramètres!I52="","",Paramètres!I52))</f>
        <v/>
      </c>
      <c r="E52" s="19">
        <f>IF($A52="","",IF(Paramètres!J52&amp;Paramètres!L52&amp;Paramètres!N52="",Dossiers!$D$4,MAX(IF(Paramètres!J52="",0,IF(Paramètres!K52="",NA(),IF(LEFT(TRIM(Paramètres!K52),1)="F",INDEX($F$5:$F$57,MATCH(Paramètres!J52,Paramètres!$G$5:$G$57,0)),INDEX($E$5:$E$57,MATCH(Paramètres!J52,Paramètres!$G$5:$G$57,0)))+IF(RIGHT(TRIM(Paramètres!K52),3)="Fin",1-$H52,IF(LEFT(TRIM(Paramètres!K52),1)="F",1,0)))),IF(Paramètres!L52="",0,IF(Paramètres!M52="",NA(),IF(LEFT(TRIM(Paramètres!M52),1)="F",INDEX($F$5:$F$57,MATCH(Paramètres!L52,Paramètres!$G$5:$G$57,0)),INDEX($E$5:$E$57,MATCH(Paramètres!L52,Paramètres!$G$5:$G$57,0)))+IF(RIGHT(TRIM(Paramètres!M52),3)="Fin",1-$H52,IF(LEFT(TRIM(Paramètres!M52),1)="F",1,0)))),IF(Paramètres!N52="",0,IF(Paramètres!O52="",NA(),IF(LEFT(TRIM(Paramètres!O52),1)="F",INDEX($F$5:$F$57,MATCH(Paramètres!N52,Paramètres!$G$5:$G$57,0)),INDEX($E$5:$E$57,MATCH(Paramètres!N52,Paramètres!$G$5:$G$57,0)))+IF(RIGHT(TRIM(Paramètres!O52),3)="Fin",1-$H52,IF(LEFT(TRIM(Paramètres!O52),1)="F",1,0)))))))</f>
        <v/>
      </c>
      <c r="F52" s="19">
        <f>IF($A52="","",E52+$H52-1)</f>
        <v/>
      </c>
      <c r="G52" s="18" t="n"/>
      <c r="H52" s="18">
        <f>IF($A52="","",IF(I52&lt;&gt;"",I52,Paramètres!B52))</f>
        <v/>
      </c>
      <c r="I52" s="18" t="n"/>
    </row>
    <row r="53">
      <c r="A53" s="18">
        <f>IF(ISNUMBER(Dossiers!$D$4),Dossiers!$A$4&amp;" · "&amp;Dossiers!$B$4,"")</f>
        <v/>
      </c>
      <c r="B53" s="18">
        <f>IF($A53="","",Paramètres!G53)</f>
        <v/>
      </c>
      <c r="C53" s="18">
        <f>IF($A53="","",IF(Paramètres!H53="","",Paramètres!H53))</f>
        <v/>
      </c>
      <c r="D53" s="18">
        <f>IF($A53="","",IF(Paramètres!I53="","",Paramètres!I53))</f>
        <v/>
      </c>
      <c r="E53" s="19">
        <f>IF($A53="","",IF(Paramètres!J53&amp;Paramètres!L53&amp;Paramètres!N53="",Dossiers!$D$4,MAX(IF(Paramètres!J53="",0,IF(Paramètres!K53="",NA(),IF(LEFT(TRIM(Paramètres!K53),1)="F",INDEX($F$5:$F$57,MATCH(Paramètres!J53,Paramètres!$G$5:$G$57,0)),INDEX($E$5:$E$57,MATCH(Paramètres!J53,Paramètres!$G$5:$G$57,0)))+IF(RIGHT(TRIM(Paramètres!K53),3)="Fin",1-$H53,IF(LEFT(TRIM(Paramètres!K53),1)="F",1,0)))),IF(Paramètres!L53="",0,IF(Paramètres!M53="",NA(),IF(LEFT(TRIM(Paramètres!M53),1)="F",INDEX($F$5:$F$57,MATCH(Paramètres!L53,Paramètres!$G$5:$G$57,0)),INDEX($E$5:$E$57,MATCH(Paramètres!L53,Paramètres!$G$5:$G$57,0)))+IF(RIGHT(TRIM(Paramètres!M53),3)="Fin",1-$H53,IF(LEFT(TRIM(Paramètres!M53),1)="F",1,0)))),IF(Paramètres!N53="",0,IF(Paramètres!O53="",NA(),IF(LEFT(TRIM(Paramètres!O53),1)="F",INDEX($F$5:$F$57,MATCH(Paramètres!N53,Paramètres!$G$5:$G$57,0)),INDEX($E$5:$E$57,MATCH(Paramètres!N53,Paramètres!$G$5:$G$57,0)))+IF(RIGHT(TRIM(Paramètres!O53),3)="Fin",1-$H53,IF(LEFT(TRIM(Paramètres!O53),1)="F",1,0)))))))</f>
        <v/>
      </c>
      <c r="F53" s="19">
        <f>IF($A53="","",E53+$H53-1)</f>
        <v/>
      </c>
      <c r="G53" s="18" t="n"/>
      <c r="H53" s="18">
        <f>IF($A53="","",IF(I53&lt;&gt;"",I53,Paramètres!B53))</f>
        <v/>
      </c>
      <c r="I53" s="18" t="n"/>
    </row>
    <row r="54">
      <c r="A54" s="18">
        <f>IF(ISNUMBER(Dossiers!$D$4),Dossiers!$A$4&amp;" · "&amp;Dossiers!$B$4,"")</f>
        <v/>
      </c>
      <c r="B54" s="18">
        <f>IF($A54="","",Paramètres!G54)</f>
        <v/>
      </c>
      <c r="C54" s="18">
        <f>IF($A54="","",IF(Paramètres!H54="","",Paramètres!H54))</f>
        <v/>
      </c>
      <c r="D54" s="18">
        <f>IF($A54="","",IF(Paramètres!I54="","",Paramètres!I54))</f>
        <v/>
      </c>
      <c r="E54" s="19">
        <f>IF($A54="","",IF(Paramètres!J54&amp;Paramètres!L54&amp;Paramètres!N54="",Dossiers!$D$4,MAX(IF(Paramètres!J54="",0,IF(Paramètres!K54="",NA(),IF(LEFT(TRIM(Paramètres!K54),1)="F",INDEX($F$5:$F$57,MATCH(Paramètres!J54,Paramètres!$G$5:$G$57,0)),INDEX($E$5:$E$57,MATCH(Paramètres!J54,Paramètres!$G$5:$G$57,0)))+IF(RIGHT(TRIM(Paramètres!K54),3)="Fin",1-$H54,IF(LEFT(TRIM(Paramètres!K54),1)="F",1,0)))),IF(Paramètres!L54="",0,IF(Paramètres!M54="",NA(),IF(LEFT(TRIM(Paramètres!M54),1)="F",INDEX($F$5:$F$57,MATCH(Paramètres!L54,Paramètres!$G$5:$G$57,0)),INDEX($E$5:$E$57,MATCH(Paramètres!L54,Paramètres!$G$5:$G$57,0)))+IF(RIGHT(TRIM(Paramètres!M54),3)="Fin",1-$H54,IF(LEFT(TRIM(Paramètres!M54),1)="F",1,0)))),IF(Paramètres!N54="",0,IF(Paramètres!O54="",NA(),IF(LEFT(TRIM(Paramètres!O54),1)="F",INDEX($F$5:$F$57,MATCH(Paramètres!N54,Paramètres!$G$5:$G$57,0)),INDEX($E$5:$E$57,MATCH(Paramètres!N54,Paramètres!$G$5:$G$57,0)))+IF(RIGHT(TRIM(Paramètres!O54),3)="Fin",1-$H54,IF(LEFT(TRIM(Paramètres!O54),1)="F",1,0)))))))</f>
        <v/>
      </c>
      <c r="F54" s="19">
        <f>IF($A54="","",E54+$H54-1)</f>
        <v/>
      </c>
      <c r="G54" s="18" t="n"/>
      <c r="H54" s="18">
        <f>IF($A54="","",IF(I54&lt;&gt;"",I54,Paramètres!B54))</f>
        <v/>
      </c>
      <c r="I54" s="18" t="n"/>
    </row>
    <row r="55">
      <c r="A55" s="18">
        <f>IF(ISNUMBER(Dossiers!$D$4),Dossiers!$A$4&amp;" · "&amp;Dossiers!$B$4,"")</f>
        <v/>
      </c>
      <c r="B55" s="18">
        <f>IF($A55="","",Paramètres!G55)</f>
        <v/>
      </c>
      <c r="C55" s="18">
        <f>IF($A55="","",IF(Paramètres!H55="","",Paramètres!H55))</f>
        <v/>
      </c>
      <c r="D55" s="18">
        <f>IF($A55="","",IF(Paramètres!I55="","",Paramètres!I55))</f>
        <v/>
      </c>
      <c r="E55" s="19">
        <f>IF($A55="","",IF(Paramètres!J55&amp;Paramètres!L55&amp;Paramètres!N55="",Dossiers!$D$4,MAX(IF(Paramètres!J55="",0,IF(Paramètres!K55="",NA(),IF(LEFT(TRIM(Paramètres!K55),1)="F",INDEX($F$5:$F$57,MATCH(Paramètres!J55,Paramètres!$G$5:$G$57,0)),INDEX($E$5:$E$57,MATCH(Paramètres!J55,Paramètres!$G$5:$G$57,0)))+IF(RIGHT(TRIM(Paramètres!K55),3)="Fin",1-$H55,IF(LEFT(TRIM(Paramètres!K55),1)="F",1,0)))),IF(Paramètres!L55="",0,IF(Paramètres!M55="",NA(),IF(LEFT(TRIM(Paramètres!M55),1)="F",INDEX($F$5:$F$57,MATCH(Paramètres!L55,Paramètres!$G$5:$G$57,0)),INDEX($E$5:$E$57,MATCH(Paramètres!L55,Paramètres!$G$5:$G$57,0)))+IF(RIGHT(TRIM(Paramètres!M55),3)="Fin",1-$H55,IF(LEFT(TRIM(Paramètres!M55),1)="F",1,0)))),IF(Paramètres!N55="",0,IF(Paramètres!O55="",NA(),IF(LEFT(TRIM(Paramètres!O55),1)="F",INDEX($F$5:$F$57,MATCH(Paramètres!N55,Paramètres!$G$5:$G$57,0)),INDEX($E$5:$E$57,MATCH(Paramètres!N55,Paramètres!$G$5:$G$57,0)))+IF(RIGHT(TRIM(Paramètres!O55),3)="Fin",1-$H55,IF(LEFT(TRIM(Paramètres!O55),1)="F",1,0)))))))</f>
        <v/>
      </c>
      <c r="F55" s="19">
        <f>IF($A55="","",E55+$H55-1)</f>
        <v/>
      </c>
      <c r="G55" s="18" t="n"/>
      <c r="H55" s="18">
        <f>IF($A55="","",IF(I55&lt;&gt;"",I55,Paramètres!B55))</f>
        <v/>
      </c>
      <c r="I55" s="18" t="n"/>
    </row>
    <row r="56">
      <c r="A56" s="18">
        <f>IF(ISNUMBER(Dossiers!$D$4),Dossiers!$A$4&amp;" · "&amp;Dossiers!$B$4,"")</f>
        <v/>
      </c>
      <c r="B56" s="18">
        <f>IF($A56="","",Paramètres!G56)</f>
        <v/>
      </c>
      <c r="C56" s="18">
        <f>IF($A56="","",IF(Paramètres!H56="","",Paramètres!H56))</f>
        <v/>
      </c>
      <c r="D56" s="18">
        <f>IF($A56="","",IF(Paramètres!I56="","",Paramètres!I56))</f>
        <v/>
      </c>
      <c r="E56" s="19">
        <f>IF($A56="","",MIN(E57:E57))</f>
        <v/>
      </c>
      <c r="F56" s="19">
        <f>IF($A56="","",MAX(F57:F57))</f>
        <v/>
      </c>
      <c r="G56" s="18" t="n"/>
      <c r="H56" s="18">
        <f>IF($A56="","",F56-E56+1)</f>
        <v/>
      </c>
      <c r="I56" s="18" t="n"/>
    </row>
    <row r="57">
      <c r="A57" s="18">
        <f>IF(ISNUMBER(Dossiers!$D$4),Dossiers!$A$4&amp;" · "&amp;Dossiers!$B$4,"")</f>
        <v/>
      </c>
      <c r="B57" s="18">
        <f>IF($A57="","",Paramètres!G57)</f>
        <v/>
      </c>
      <c r="C57" s="18">
        <f>IF($A57="","",IF(Paramètres!H57="","",Paramètres!H57))</f>
        <v/>
      </c>
      <c r="D57" s="18">
        <f>IF($A57="","",IF(Paramètres!I57="","",Paramètres!I57))</f>
        <v/>
      </c>
      <c r="E57" s="19">
        <f>IF($A57="","",IF(Paramètres!J57&amp;Paramètres!L57&amp;Paramètres!N57="",Dossiers!$D$4,MAX(IF(Paramètres!J57="",0,IF(Paramètres!K57="",NA(),IF(LEFT(TRIM(Paramètres!K57),1)="F",INDEX($F$5:$F$57,MATCH(Paramètres!J57,Paramètres!$G$5:$G$57,0)),INDEX($E$5:$E$57,MATCH(Paramètres!J57,Paramètres!$G$5:$G$57,0)))+IF(RIGHT(TRIM(Paramètres!K57),3)="Fin",1-$H57,IF(LEFT(TRIM(Paramètres!K57),1)="F",1,0)))),IF(Paramètres!L57="",0,IF(Paramètres!M57="",NA(),IF(LEFT(TRIM(Paramètres!M57),1)="F",INDEX($F$5:$F$57,MATCH(Paramètres!L57,Paramètres!$G$5:$G$57,0)),INDEX($E$5:$E$57,MATCH(Paramètres!L57,Paramètres!$G$5:$G$57,0)))+IF(RIGHT(TRIM(Paramètres!M57),3)="Fin",1-$H57,IF(LEFT(TRIM(Paramètres!M57),1)="F",1,0)))),IF(Paramètres!N57="",0,IF(Paramètres!O57="",NA(),IF(LEFT(TRIM(Paramètres!O57),1)="F",INDEX($F$5:$F$57,MATCH(Paramètres!N57,Paramètres!$G$5:$G$57,0)),INDEX($E$5:$E$57,MATCH(Paramètres!N57,Paramètres!$G$5:$G$57,0)))+IF(RIGHT(TRIM(Paramètres!O57),3)="Fin",1-$H57,IF(LEFT(TRIM(Paramètres!O57),1)="F",1,0)))))))</f>
        <v/>
      </c>
      <c r="F57" s="19">
        <f>IF($A57="","",E57+$H57-1)</f>
        <v/>
      </c>
      <c r="G57" s="18" t="n"/>
      <c r="H57" s="18">
        <f>IF($A57="","",IF(I57&lt;&gt;"",I57,Paramètres!B57))</f>
        <v/>
      </c>
      <c r="I57" s="18" t="n"/>
    </row>
    <row r="58">
      <c r="A58" s="16">
        <f>IF(ISNUMBER(Dossiers!$D$5),Dossiers!$E$5,"")</f>
        <v/>
      </c>
      <c r="B58" s="16">
        <f>IF($A58="","","Identifiant")</f>
        <v/>
      </c>
      <c r="C58" s="16">
        <f>IF($A58="","","Macro Etape")</f>
        <v/>
      </c>
      <c r="D58" s="16">
        <f>IF($A58="","","Etape")</f>
        <v/>
      </c>
      <c r="E58" s="17">
        <f>IF($A58="","","Début le")</f>
        <v/>
      </c>
      <c r="F58" s="17">
        <f>IF($A58="","","Fin prévue le")</f>
        <v/>
      </c>
      <c r="G58" s="16">
        <f>IF($A58="","","Statut")</f>
        <v/>
      </c>
      <c r="H58" s="16">
        <f>IF($A58="","","Durée (jours)")</f>
        <v/>
      </c>
      <c r="I58" s="16">
        <f>IF($A58="","","Durée particulière")</f>
        <v/>
      </c>
      <c r="J58" s="10">
        <f>IF($A58="","",HYPERLINK("#'Tableau de bord'!A1","↑ Tableau de bord"))</f>
        <v/>
      </c>
    </row>
    <row r="59">
      <c r="A59" s="18">
        <f>IF(ISNUMBER(Dossiers!$D$5),Dossiers!$A$5&amp;" · "&amp;Dossiers!$B$5,"")</f>
        <v/>
      </c>
      <c r="B59" s="18">
        <f>IF($A59="","",Paramètres!G5)</f>
        <v/>
      </c>
      <c r="C59" s="18">
        <f>IF($A59="","",IF(Paramètres!H5="","",Paramètres!H5))</f>
        <v/>
      </c>
      <c r="D59" s="18">
        <f>IF($A59="","",IF(Paramètres!I5="","",Paramètres!I5))</f>
        <v/>
      </c>
      <c r="E59" s="19">
        <f>IF($A59="","",MIN(E60:E63))</f>
        <v/>
      </c>
      <c r="F59" s="19">
        <f>IF($A59="","",MAX(F60:F63))</f>
        <v/>
      </c>
      <c r="G59" s="18" t="n"/>
      <c r="H59" s="18">
        <f>IF($A59="","",F59-E59+1)</f>
        <v/>
      </c>
      <c r="I59" s="18" t="n"/>
    </row>
    <row r="60">
      <c r="A60" s="18">
        <f>IF(ISNUMBER(Dossiers!$D$5),Dossiers!$A$5&amp;" · "&amp;Dossiers!$B$5,"")</f>
        <v/>
      </c>
      <c r="B60" s="18">
        <f>IF($A60="","",Paramètres!G6)</f>
        <v/>
      </c>
      <c r="C60" s="18">
        <f>IF($A60="","",IF(Paramètres!H6="","",Paramètres!H6))</f>
        <v/>
      </c>
      <c r="D60" s="18">
        <f>IF($A60="","",IF(Paramètres!I6="","",Paramètres!I6))</f>
        <v/>
      </c>
      <c r="E60" s="19">
        <f>IF($A60="","",IF(Paramètres!J6&amp;Paramètres!L6&amp;Paramètres!N6="",Dossiers!$D$5,MAX(IF(Paramètres!J6="",0,IF(Paramètres!K6="",NA(),IF(LEFT(TRIM(Paramètres!K6),1)="F",INDEX($F$59:$F$111,MATCH(Paramètres!J6,Paramètres!$G$5:$G$57,0)),INDEX($E$59:$E$111,MATCH(Paramètres!J6,Paramètres!$G$5:$G$57,0)))+IF(RIGHT(TRIM(Paramètres!K6),3)="Fin",1-$H60,IF(LEFT(TRIM(Paramètres!K6),1)="F",1,0)))),IF(Paramètres!L6="",0,IF(Paramètres!M6="",NA(),IF(LEFT(TRIM(Paramètres!M6),1)="F",INDEX($F$59:$F$111,MATCH(Paramètres!L6,Paramètres!$G$5:$G$57,0)),INDEX($E$59:$E$111,MATCH(Paramètres!L6,Paramètres!$G$5:$G$57,0)))+IF(RIGHT(TRIM(Paramètres!M6),3)="Fin",1-$H60,IF(LEFT(TRIM(Paramètres!M6),1)="F",1,0)))),IF(Paramètres!N6="",0,IF(Paramètres!O6="",NA(),IF(LEFT(TRIM(Paramètres!O6),1)="F",INDEX($F$59:$F$111,MATCH(Paramètres!N6,Paramètres!$G$5:$G$57,0)),INDEX($E$59:$E$111,MATCH(Paramètres!N6,Paramètres!$G$5:$G$57,0)))+IF(RIGHT(TRIM(Paramètres!O6),3)="Fin",1-$H60,IF(LEFT(TRIM(Paramètres!O6),1)="F",1,0)))))))</f>
        <v/>
      </c>
      <c r="F60" s="19">
        <f>IF($A60="","",E60+$H60-1)</f>
        <v/>
      </c>
      <c r="G60" s="18" t="n"/>
      <c r="H60" s="18">
        <f>IF($A60="","",IF(I60&lt;&gt;"",I60,Paramètres!B6))</f>
        <v/>
      </c>
      <c r="I60" s="18" t="n">
        <v>2</v>
      </c>
    </row>
    <row r="61">
      <c r="A61" s="18">
        <f>IF(ISNUMBER(Dossiers!$D$5),Dossiers!$A$5&amp;" · "&amp;Dossiers!$B$5,"")</f>
        <v/>
      </c>
      <c r="B61" s="18">
        <f>IF($A61="","",Paramètres!G7)</f>
        <v/>
      </c>
      <c r="C61" s="18">
        <f>IF($A61="","",IF(Paramètres!H7="","",Paramètres!H7))</f>
        <v/>
      </c>
      <c r="D61" s="18">
        <f>IF($A61="","",IF(Paramètres!I7="","",Paramètres!I7))</f>
        <v/>
      </c>
      <c r="E61" s="19">
        <f>IF($A61="","",IF(Paramètres!J7&amp;Paramètres!L7&amp;Paramètres!N7="",Dossiers!$D$5,MAX(IF(Paramètres!J7="",0,IF(Paramètres!K7="",NA(),IF(LEFT(TRIM(Paramètres!K7),1)="F",INDEX($F$59:$F$111,MATCH(Paramètres!J7,Paramètres!$G$5:$G$57,0)),INDEX($E$59:$E$111,MATCH(Paramètres!J7,Paramètres!$G$5:$G$57,0)))+IF(RIGHT(TRIM(Paramètres!K7),3)="Fin",1-$H61,IF(LEFT(TRIM(Paramètres!K7),1)="F",1,0)))),IF(Paramètres!L7="",0,IF(Paramètres!M7="",NA(),IF(LEFT(TRIM(Paramètres!M7),1)="F",INDEX($F$59:$F$111,MATCH(Paramètres!L7,Paramètres!$G$5:$G$57,0)),INDEX($E$59:$E$111,MATCH(Paramètres!L7,Paramètres!$G$5:$G$57,0)))+IF(RIGHT(TRIM(Paramètres!M7),3)="Fin",1-$H61,IF(LEFT(TRIM(Paramètres!M7),1)="F",1,0)))),IF(Paramètres!N7="",0,IF(Paramètres!O7="",NA(),IF(LEFT(TRIM(Paramètres!O7),1)="F",INDEX($F$59:$F$111,MATCH(Paramètres!N7,Paramètres!$G$5:$G$57,0)),INDEX($E$59:$E$111,MATCH(Paramètres!N7,Paramètres!$G$5:$G$57,0)))+IF(RIGHT(TRIM(Paramètres!O7),3)="Fin",1-$H61,IF(LEFT(TRIM(Paramètres!O7),1)="F",1,0)))))))</f>
        <v/>
      </c>
      <c r="F61" s="19">
        <f>IF($A61="","",E61+$H61-1)</f>
        <v/>
      </c>
      <c r="G61" s="18" t="n"/>
      <c r="H61" s="18">
        <f>IF($A61="","",IF(I61&lt;&gt;"",I61,Paramètres!B7))</f>
        <v/>
      </c>
      <c r="I61" s="18" t="n"/>
    </row>
    <row r="62">
      <c r="A62" s="18">
        <f>IF(ISNUMBER(Dossiers!$D$5),Dossiers!$A$5&amp;" · "&amp;Dossiers!$B$5,"")</f>
        <v/>
      </c>
      <c r="B62" s="18">
        <f>IF($A62="","",Paramètres!G8)</f>
        <v/>
      </c>
      <c r="C62" s="18">
        <f>IF($A62="","",IF(Paramètres!H8="","",Paramètres!H8))</f>
        <v/>
      </c>
      <c r="D62" s="18">
        <f>IF($A62="","",IF(Paramètres!I8="","",Paramètres!I8))</f>
        <v/>
      </c>
      <c r="E62" s="19">
        <f>IF($A62="","",IF(Paramètres!J8&amp;Paramètres!L8&amp;Paramètres!N8="",Dossiers!$D$5,MAX(IF(Paramètres!J8="",0,IF(Paramètres!K8="",NA(),IF(LEFT(TRIM(Paramètres!K8),1)="F",INDEX($F$59:$F$111,MATCH(Paramètres!J8,Paramètres!$G$5:$G$57,0)),INDEX($E$59:$E$111,MATCH(Paramètres!J8,Paramètres!$G$5:$G$57,0)))+IF(RIGHT(TRIM(Paramètres!K8),3)="Fin",1-$H62,IF(LEFT(TRIM(Paramètres!K8),1)="F",1,0)))),IF(Paramètres!L8="",0,IF(Paramètres!M8="",NA(),IF(LEFT(TRIM(Paramètres!M8),1)="F",INDEX($F$59:$F$111,MATCH(Paramètres!L8,Paramètres!$G$5:$G$57,0)),INDEX($E$59:$E$111,MATCH(Paramètres!L8,Paramètres!$G$5:$G$57,0)))+IF(RIGHT(TRIM(Paramètres!M8),3)="Fin",1-$H62,IF(LEFT(TRIM(Paramètres!M8),1)="F",1,0)))),IF(Paramètres!N8="",0,IF(Paramètres!O8="",NA(),IF(LEFT(TRIM(Paramètres!O8),1)="F",INDEX($F$59:$F$111,MATCH(Paramètres!N8,Paramètres!$G$5:$G$57,0)),INDEX($E$59:$E$111,MATCH(Paramètres!N8,Paramètres!$G$5:$G$57,0)))+IF(RIGHT(TRIM(Paramètres!O8),3)="Fin",1-$H62,IF(LEFT(TRIM(Paramètres!O8),1)="F",1,0)))))))</f>
        <v/>
      </c>
      <c r="F62" s="19">
        <f>IF($A62="","",E62+$H62-1)</f>
        <v/>
      </c>
      <c r="G62" s="18" t="n"/>
      <c r="H62" s="18">
        <f>IF($A62="","",IF(I62&lt;&gt;"",I62,Paramètres!B8))</f>
        <v/>
      </c>
      <c r="I62" s="18" t="n"/>
    </row>
    <row r="63">
      <c r="A63" s="18">
        <f>IF(ISNUMBER(Dossiers!$D$5),Dossiers!$A$5&amp;" · "&amp;Dossiers!$B$5,"")</f>
        <v/>
      </c>
      <c r="B63" s="18">
        <f>IF($A63="","",Paramètres!G9)</f>
        <v/>
      </c>
      <c r="C63" s="18">
        <f>IF($A63="","",IF(Paramètres!H9="","",Paramètres!H9))</f>
        <v/>
      </c>
      <c r="D63" s="18">
        <f>IF($A63="","",IF(Paramètres!I9="","",Paramètres!I9))</f>
        <v/>
      </c>
      <c r="E63" s="19">
        <f>IF($A63="","",IF(Paramètres!J9&amp;Paramètres!L9&amp;Paramètres!N9="",Dossiers!$D$5,MAX(IF(Paramètres!J9="",0,IF(Paramètres!K9="",NA(),IF(LEFT(TRIM(Paramètres!K9),1)="F",INDEX($F$59:$F$111,MATCH(Paramètres!J9,Paramètres!$G$5:$G$57,0)),INDEX($E$59:$E$111,MATCH(Paramètres!J9,Paramètres!$G$5:$G$57,0)))+IF(RIGHT(TRIM(Paramètres!K9),3)="Fin",1-$H63,IF(LEFT(TRIM(Paramètres!K9),1)="F",1,0)))),IF(Paramètres!L9="",0,IF(Paramètres!M9="",NA(),IF(LEFT(TRIM(Paramètres!M9),1)="F",INDEX($F$59:$F$111,MATCH(Paramètres!L9,Paramètres!$G$5:$G$57,0)),INDEX($E$59:$E$111,MATCH(Paramètres!L9,Paramètres!$G$5:$G$57,0)))+IF(RIGHT(TRIM(Paramètres!M9),3)="Fin",1-$H63,IF(LEFT(TRIM(Paramètres!M9),1)="F",1,0)))),IF(Paramètres!N9="",0,IF(Paramètres!O9="",NA(),IF(LEFT(TRIM(Paramètres!O9),1)="F",INDEX($F$59:$F$111,MATCH(Paramètres!N9,Paramètres!$G$5:$G$57,0)),INDEX($E$59:$E$111,MATCH(Paramètres!N9,Paramètres!$G$5:$G$57,0)))+IF(RIGHT(TRIM(Paramètres!O9),3)="Fin",1-$H63,IF(LEFT(TRIM(Paramètres!O9),1)="F",1,0)))))))</f>
        <v/>
      </c>
      <c r="F63" s="19">
        <f>IF($A63="","",E63+$H63-1)</f>
        <v/>
      </c>
      <c r="G63" s="18" t="n"/>
      <c r="H63" s="18">
        <f>IF($A63="","",IF(I63&lt;&gt;"",I63,Paramètres!B9))</f>
        <v/>
      </c>
      <c r="I63" s="18" t="n"/>
    </row>
    <row r="64">
      <c r="A64" s="18">
        <f>IF(ISNUMBER(Dossiers!$D$5),Dossiers!$A$5&amp;" · "&amp;Dossiers!$B$5,"")</f>
        <v/>
      </c>
      <c r="B64" s="18">
        <f>IF($A64="","",Paramètres!G10)</f>
        <v/>
      </c>
      <c r="C64" s="18">
        <f>IF($A64="","",IF(Paramètres!H10="","",Paramètres!H10))</f>
        <v/>
      </c>
      <c r="D64" s="18">
        <f>IF($A64="","",IF(Paramètres!I10="","",Paramètres!I10))</f>
        <v/>
      </c>
      <c r="E64" s="19">
        <f>IF($A64="","",MIN(E65:E68))</f>
        <v/>
      </c>
      <c r="F64" s="19">
        <f>IF($A64="","",MAX(F65:F68))</f>
        <v/>
      </c>
      <c r="G64" s="18" t="n"/>
      <c r="H64" s="18">
        <f>IF($A64="","",F64-E64+1)</f>
        <v/>
      </c>
      <c r="I64" s="18" t="n"/>
    </row>
    <row r="65">
      <c r="A65" s="18">
        <f>IF(ISNUMBER(Dossiers!$D$5),Dossiers!$A$5&amp;" · "&amp;Dossiers!$B$5,"")</f>
        <v/>
      </c>
      <c r="B65" s="18">
        <f>IF($A65="","",Paramètres!G11)</f>
        <v/>
      </c>
      <c r="C65" s="18">
        <f>IF($A65="","",IF(Paramètres!H11="","",Paramètres!H11))</f>
        <v/>
      </c>
      <c r="D65" s="18">
        <f>IF($A65="","",IF(Paramètres!I11="","",Paramètres!I11))</f>
        <v/>
      </c>
      <c r="E65" s="19">
        <f>IF($A65="","",IF(Paramètres!J11&amp;Paramètres!L11&amp;Paramètres!N11="",Dossiers!$D$5,MAX(IF(Paramètres!J11="",0,IF(Paramètres!K11="",NA(),IF(LEFT(TRIM(Paramètres!K11),1)="F",INDEX($F$59:$F$111,MATCH(Paramètres!J11,Paramètres!$G$5:$G$57,0)),INDEX($E$59:$E$111,MATCH(Paramètres!J11,Paramètres!$G$5:$G$57,0)))+IF(RIGHT(TRIM(Paramètres!K11),3)="Fin",1-$H65,IF(LEFT(TRIM(Paramètres!K11),1)="F",1,0)))),IF(Paramètres!L11="",0,IF(Paramètres!M11="",NA(),IF(LEFT(TRIM(Paramètres!M11),1)="F",INDEX($F$59:$F$111,MATCH(Paramètres!L11,Paramètres!$G$5:$G$57,0)),INDEX($E$59:$E$111,MATCH(Paramètres!L11,Paramètres!$G$5:$G$57,0)))+IF(RIGHT(TRIM(Paramètres!M11),3)="Fin",1-$H65,IF(LEFT(TRIM(Paramètres!M11),1)="F",1,0)))),IF(Paramètres!N11="",0,IF(Paramètres!O11="",NA(),IF(LEFT(TRIM(Paramètres!O11),1)="F",INDEX($F$59:$F$111,MATCH(Paramètres!N11,Paramètres!$G$5:$G$57,0)),INDEX($E$59:$E$111,MATCH(Paramètres!N11,Paramètres!$G$5:$G$57,0)))+IF(RIGHT(TRIM(Paramètres!O11),3)="Fin",1-$H65,IF(LEFT(TRIM(Paramètres!O11),1)="F",1,0)))))))</f>
        <v/>
      </c>
      <c r="F65" s="19">
        <f>IF($A65="","",E65+$H65-1)</f>
        <v/>
      </c>
      <c r="G65" s="18" t="n"/>
      <c r="H65" s="18">
        <f>IF($A65="","",IF(I65&lt;&gt;"",I65,Paramètres!B11))</f>
        <v/>
      </c>
      <c r="I65" s="18" t="n"/>
    </row>
    <row r="66">
      <c r="A66" s="18">
        <f>IF(ISNUMBER(Dossiers!$D$5),Dossiers!$A$5&amp;" · "&amp;Dossiers!$B$5,"")</f>
        <v/>
      </c>
      <c r="B66" s="18">
        <f>IF($A66="","",Paramètres!G12)</f>
        <v/>
      </c>
      <c r="C66" s="18">
        <f>IF($A66="","",IF(Paramètres!H12="","",Paramètres!H12))</f>
        <v/>
      </c>
      <c r="D66" s="18">
        <f>IF($A66="","",IF(Paramètres!I12="","",Paramètres!I12))</f>
        <v/>
      </c>
      <c r="E66" s="19">
        <f>IF($A66="","",IF(Paramètres!J12&amp;Paramètres!L12&amp;Paramètres!N12="",Dossiers!$D$5,MAX(IF(Paramètres!J12="",0,IF(Paramètres!K12="",NA(),IF(LEFT(TRIM(Paramètres!K12),1)="F",INDEX($F$59:$F$111,MATCH(Paramètres!J12,Paramètres!$G$5:$G$57,0)),INDEX($E$59:$E$111,MATCH(Paramètres!J12,Paramètres!$G$5:$G$57,0)))+IF(RIGHT(TRIM(Paramètres!K12),3)="Fin",1-$H66,IF(LEFT(TRIM(Paramètres!K12),1)="F",1,0)))),IF(Paramètres!L12="",0,IF(Paramètres!M12="",NA(),IF(LEFT(TRIM(Paramètres!M12),1)="F",INDEX($F$59:$F$111,MATCH(Paramètres!L12,Paramètres!$G$5:$G$57,0)),INDEX($E$59:$E$111,MATCH(Paramètres!L12,Paramètres!$G$5:$G$57,0)))+IF(RIGHT(TRIM(Paramètres!M12),3)="Fin",1-$H66,IF(LEFT(TRIM(Paramètres!M12),1)="F",1,0)))),IF(Paramètres!N12="",0,IF(Paramètres!O12="",NA(),IF(LEFT(TRIM(Paramètres!O12),1)="F",INDEX($F$59:$F$111,MATCH(Paramètres!N12,Paramètres!$G$5:$G$57,0)),INDEX($E$59:$E$111,MATCH(Paramètres!N12,Paramètres!$G$5:$G$57,0)))+IF(RIGHT(TRIM(Paramètres!O12),3)="Fin",1-$H66,IF(LEFT(TRIM(Paramètres!O12),1)="F",1,0)))))))</f>
        <v/>
      </c>
      <c r="F66" s="19">
        <f>IF($A66="","",E66+$H66-1)</f>
        <v/>
      </c>
      <c r="G66" s="18" t="n"/>
      <c r="H66" s="18">
        <f>IF($A66="","",IF(I66&lt;&gt;"",I66,Paramètres!B12))</f>
        <v/>
      </c>
      <c r="I66" s="18" t="n">
        <v>0</v>
      </c>
    </row>
    <row r="67">
      <c r="A67" s="18">
        <f>IF(ISNUMBER(Dossiers!$D$5),Dossiers!$A$5&amp;" · "&amp;Dossiers!$B$5,"")</f>
        <v/>
      </c>
      <c r="B67" s="18">
        <f>IF($A67="","",Paramètres!G13)</f>
        <v/>
      </c>
      <c r="C67" s="18">
        <f>IF($A67="","",IF(Paramètres!H13="","",Paramètres!H13))</f>
        <v/>
      </c>
      <c r="D67" s="18">
        <f>IF($A67="","",IF(Paramètres!I13="","",Paramètres!I13))</f>
        <v/>
      </c>
      <c r="E67" s="19">
        <f>IF($A67="","",IF(Paramètres!J13&amp;Paramètres!L13&amp;Paramètres!N13="",Dossiers!$D$5,MAX(IF(Paramètres!J13="",0,IF(Paramètres!K13="",NA(),IF(LEFT(TRIM(Paramètres!K13),1)="F",INDEX($F$59:$F$111,MATCH(Paramètres!J13,Paramètres!$G$5:$G$57,0)),INDEX($E$59:$E$111,MATCH(Paramètres!J13,Paramètres!$G$5:$G$57,0)))+IF(RIGHT(TRIM(Paramètres!K13),3)="Fin",1-$H67,IF(LEFT(TRIM(Paramètres!K13),1)="F",1,0)))),IF(Paramètres!L13="",0,IF(Paramètres!M13="",NA(),IF(LEFT(TRIM(Paramètres!M13),1)="F",INDEX($F$59:$F$111,MATCH(Paramètres!L13,Paramètres!$G$5:$G$57,0)),INDEX($E$59:$E$111,MATCH(Paramètres!L13,Paramètres!$G$5:$G$57,0)))+IF(RIGHT(TRIM(Paramètres!M13),3)="Fin",1-$H67,IF(LEFT(TRIM(Paramètres!M13),1)="F",1,0)))),IF(Paramètres!N13="",0,IF(Paramètres!O13="",NA(),IF(LEFT(TRIM(Paramètres!O13),1)="F",INDEX($F$59:$F$111,MATCH(Paramètres!N13,Paramètres!$G$5:$G$57,0)),INDEX($E$59:$E$111,MATCH(Paramètres!N13,Paramètres!$G$5:$G$57,0)))+IF(RIGHT(TRIM(Paramètres!O13),3)="Fin",1-$H67,IF(LEFT(TRIM(Paramètres!O13),1)="F",1,0)))))))</f>
        <v/>
      </c>
      <c r="F67" s="19">
        <f>IF($A67="","",E67+$H67-1)</f>
        <v/>
      </c>
      <c r="G67" s="18" t="n"/>
      <c r="H67" s="18">
        <f>IF($A67="","",IF(I67&lt;&gt;"",I67,Paramètres!B13))</f>
        <v/>
      </c>
      <c r="I67" s="18" t="n"/>
    </row>
    <row r="68">
      <c r="A68" s="18">
        <f>IF(ISNUMBER(Dossiers!$D$5),Dossiers!$A$5&amp;" · "&amp;Dossiers!$B$5,"")</f>
        <v/>
      </c>
      <c r="B68" s="18">
        <f>IF($A68="","",Paramètres!G14)</f>
        <v/>
      </c>
      <c r="C68" s="18">
        <f>IF($A68="","",IF(Paramètres!H14="","",Paramètres!H14))</f>
        <v/>
      </c>
      <c r="D68" s="18">
        <f>IF($A68="","",IF(Paramètres!I14="","",Paramètres!I14))</f>
        <v/>
      </c>
      <c r="E68" s="19">
        <f>IF($A68="","",IF(Paramètres!J14&amp;Paramètres!L14&amp;Paramètres!N14="",Dossiers!$D$5,MAX(IF(Paramètres!J14="",0,IF(Paramètres!K14="",NA(),IF(LEFT(TRIM(Paramètres!K14),1)="F",INDEX($F$59:$F$111,MATCH(Paramètres!J14,Paramètres!$G$5:$G$57,0)),INDEX($E$59:$E$111,MATCH(Paramètres!J14,Paramètres!$G$5:$G$57,0)))+IF(RIGHT(TRIM(Paramètres!K14),3)="Fin",1-$H68,IF(LEFT(TRIM(Paramètres!K14),1)="F",1,0)))),IF(Paramètres!L14="",0,IF(Paramètres!M14="",NA(),IF(LEFT(TRIM(Paramètres!M14),1)="F",INDEX($F$59:$F$111,MATCH(Paramètres!L14,Paramètres!$G$5:$G$57,0)),INDEX($E$59:$E$111,MATCH(Paramètres!L14,Paramètres!$G$5:$G$57,0)))+IF(RIGHT(TRIM(Paramètres!M14),3)="Fin",1-$H68,IF(LEFT(TRIM(Paramètres!M14),1)="F",1,0)))),IF(Paramètres!N14="",0,IF(Paramètres!O14="",NA(),IF(LEFT(TRIM(Paramètres!O14),1)="F",INDEX($F$59:$F$111,MATCH(Paramètres!N14,Paramètres!$G$5:$G$57,0)),INDEX($E$59:$E$111,MATCH(Paramètres!N14,Paramètres!$G$5:$G$57,0)))+IF(RIGHT(TRIM(Paramètres!O14),3)="Fin",1-$H68,IF(LEFT(TRIM(Paramètres!O14),1)="F",1,0)))))))</f>
        <v/>
      </c>
      <c r="F68" s="19">
        <f>IF($A68="","",E68+$H68-1)</f>
        <v/>
      </c>
      <c r="G68" s="18" t="n"/>
      <c r="H68" s="18">
        <f>IF($A68="","",IF(I68&lt;&gt;"",I68,Paramètres!B14))</f>
        <v/>
      </c>
      <c r="I68" s="18" t="n"/>
    </row>
    <row r="69">
      <c r="A69" s="18">
        <f>IF(ISNUMBER(Dossiers!$D$5),Dossiers!$A$5&amp;" · "&amp;Dossiers!$B$5,"")</f>
        <v/>
      </c>
      <c r="B69" s="18">
        <f>IF($A69="","",Paramètres!G15)</f>
        <v/>
      </c>
      <c r="C69" s="18">
        <f>IF($A69="","",IF(Paramètres!H15="","",Paramètres!H15))</f>
        <v/>
      </c>
      <c r="D69" s="18">
        <f>IF($A69="","",IF(Paramètres!I15="","",Paramètres!I15))</f>
        <v/>
      </c>
      <c r="E69" s="19">
        <f>IF($A69="","",MIN(E70:E85))</f>
        <v/>
      </c>
      <c r="F69" s="19">
        <f>IF($A69="","",MAX(F70:F85))</f>
        <v/>
      </c>
      <c r="G69" s="18" t="n"/>
      <c r="H69" s="18">
        <f>IF($A69="","",F69-E69+1)</f>
        <v/>
      </c>
      <c r="I69" s="18" t="n"/>
    </row>
    <row r="70">
      <c r="A70" s="18">
        <f>IF(ISNUMBER(Dossiers!$D$5),Dossiers!$A$5&amp;" · "&amp;Dossiers!$B$5,"")</f>
        <v/>
      </c>
      <c r="B70" s="18">
        <f>IF($A70="","",Paramètres!G16)</f>
        <v/>
      </c>
      <c r="C70" s="18">
        <f>IF($A70="","",IF(Paramètres!H16="","",Paramètres!H16))</f>
        <v/>
      </c>
      <c r="D70" s="18">
        <f>IF($A70="","",IF(Paramètres!I16="","",Paramètres!I16))</f>
        <v/>
      </c>
      <c r="E70" s="19">
        <f>IF($A70="","",IF(Paramètres!J16&amp;Paramètres!L16&amp;Paramètres!N16="",Dossiers!$D$5,MAX(IF(Paramètres!J16="",0,IF(Paramètres!K16="",NA(),IF(LEFT(TRIM(Paramètres!K16),1)="F",INDEX($F$59:$F$111,MATCH(Paramètres!J16,Paramètres!$G$5:$G$57,0)),INDEX($E$59:$E$111,MATCH(Paramètres!J16,Paramètres!$G$5:$G$57,0)))+IF(RIGHT(TRIM(Paramètres!K16),3)="Fin",1-$H70,IF(LEFT(TRIM(Paramètres!K16),1)="F",1,0)))),IF(Paramètres!L16="",0,IF(Paramètres!M16="",NA(),IF(LEFT(TRIM(Paramètres!M16),1)="F",INDEX($F$59:$F$111,MATCH(Paramètres!L16,Paramètres!$G$5:$G$57,0)),INDEX($E$59:$E$111,MATCH(Paramètres!L16,Paramètres!$G$5:$G$57,0)))+IF(RIGHT(TRIM(Paramètres!M16),3)="Fin",1-$H70,IF(LEFT(TRIM(Paramètres!M16),1)="F",1,0)))),IF(Paramètres!N16="",0,IF(Paramètres!O16="",NA(),IF(LEFT(TRIM(Paramètres!O16),1)="F",INDEX($F$59:$F$111,MATCH(Paramètres!N16,Paramètres!$G$5:$G$57,0)),INDEX($E$59:$E$111,MATCH(Paramètres!N16,Paramètres!$G$5:$G$57,0)))+IF(RIGHT(TRIM(Paramètres!O16),3)="Fin",1-$H70,IF(LEFT(TRIM(Paramètres!O16),1)="F",1,0)))))))</f>
        <v/>
      </c>
      <c r="F70" s="19">
        <f>IF($A70="","",E70+$H70-1)</f>
        <v/>
      </c>
      <c r="G70" s="18" t="n"/>
      <c r="H70" s="18">
        <f>IF($A70="","",IF(I70&lt;&gt;"",I70,Paramètres!B16))</f>
        <v/>
      </c>
      <c r="I70" s="18" t="n"/>
    </row>
    <row r="71">
      <c r="A71" s="18">
        <f>IF(ISNUMBER(Dossiers!$D$5),Dossiers!$A$5&amp;" · "&amp;Dossiers!$B$5,"")</f>
        <v/>
      </c>
      <c r="B71" s="18">
        <f>IF($A71="","",Paramètres!G17)</f>
        <v/>
      </c>
      <c r="C71" s="18">
        <f>IF($A71="","",IF(Paramètres!H17="","",Paramètres!H17))</f>
        <v/>
      </c>
      <c r="D71" s="18">
        <f>IF($A71="","",IF(Paramètres!I17="","",Paramètres!I17))</f>
        <v/>
      </c>
      <c r="E71" s="19">
        <f>IF($A71="","",IF(Paramètres!J17&amp;Paramètres!L17&amp;Paramètres!N17="",Dossiers!$D$5,MAX(IF(Paramètres!J17="",0,IF(Paramètres!K17="",NA(),IF(LEFT(TRIM(Paramètres!K17),1)="F",INDEX($F$59:$F$111,MATCH(Paramètres!J17,Paramètres!$G$5:$G$57,0)),INDEX($E$59:$E$111,MATCH(Paramètres!J17,Paramètres!$G$5:$G$57,0)))+IF(RIGHT(TRIM(Paramètres!K17),3)="Fin",1-$H71,IF(LEFT(TRIM(Paramètres!K17),1)="F",1,0)))),IF(Paramètres!L17="",0,IF(Paramètres!M17="",NA(),IF(LEFT(TRIM(Paramètres!M17),1)="F",INDEX($F$59:$F$111,MATCH(Paramètres!L17,Paramètres!$G$5:$G$57,0)),INDEX($E$59:$E$111,MATCH(Paramètres!L17,Paramètres!$G$5:$G$57,0)))+IF(RIGHT(TRIM(Paramètres!M17),3)="Fin",1-$H71,IF(LEFT(TRIM(Paramètres!M17),1)="F",1,0)))),IF(Paramètres!N17="",0,IF(Paramètres!O17="",NA(),IF(LEFT(TRIM(Paramètres!O17),1)="F",INDEX($F$59:$F$111,MATCH(Paramètres!N17,Paramètres!$G$5:$G$57,0)),INDEX($E$59:$E$111,MATCH(Paramètres!N17,Paramètres!$G$5:$G$57,0)))+IF(RIGHT(TRIM(Paramètres!O17),3)="Fin",1-$H71,IF(LEFT(TRIM(Paramètres!O17),1)="F",1,0)))))))</f>
        <v/>
      </c>
      <c r="F71" s="19">
        <f>IF($A71="","",E71+$H71-1)</f>
        <v/>
      </c>
      <c r="G71" s="18" t="n"/>
      <c r="H71" s="18">
        <f>IF($A71="","",IF(I71&lt;&gt;"",I71,Paramètres!B17))</f>
        <v/>
      </c>
      <c r="I71" s="18" t="n"/>
    </row>
    <row r="72">
      <c r="A72" s="18">
        <f>IF(ISNUMBER(Dossiers!$D$5),Dossiers!$A$5&amp;" · "&amp;Dossiers!$B$5,"")</f>
        <v/>
      </c>
      <c r="B72" s="18">
        <f>IF($A72="","",Paramètres!G18)</f>
        <v/>
      </c>
      <c r="C72" s="18">
        <f>IF($A72="","",IF(Paramètres!H18="","",Paramètres!H18))</f>
        <v/>
      </c>
      <c r="D72" s="18">
        <f>IF($A72="","",IF(Paramètres!I18="","",Paramètres!I18))</f>
        <v/>
      </c>
      <c r="E72" s="19">
        <f>IF($A72="","",IF(Paramètres!J18&amp;Paramètres!L18&amp;Paramètres!N18="",Dossiers!$D$5,MAX(IF(Paramètres!J18="",0,IF(Paramètres!K18="",NA(),IF(LEFT(TRIM(Paramètres!K18),1)="F",INDEX($F$59:$F$111,MATCH(Paramètres!J18,Paramètres!$G$5:$G$57,0)),INDEX($E$59:$E$111,MATCH(Paramètres!J18,Paramètres!$G$5:$G$57,0)))+IF(RIGHT(TRIM(Paramètres!K18),3)="Fin",1-$H72,IF(LEFT(TRIM(Paramètres!K18),1)="F",1,0)))),IF(Paramètres!L18="",0,IF(Paramètres!M18="",NA(),IF(LEFT(TRIM(Paramètres!M18),1)="F",INDEX($F$59:$F$111,MATCH(Paramètres!L18,Paramètres!$G$5:$G$57,0)),INDEX($E$59:$E$111,MATCH(Paramètres!L18,Paramètres!$G$5:$G$57,0)))+IF(RIGHT(TRIM(Paramètres!M18),3)="Fin",1-$H72,IF(LEFT(TRIM(Paramètres!M18),1)="F",1,0)))),IF(Paramètres!N18="",0,IF(Paramètres!O18="",NA(),IF(LEFT(TRIM(Paramètres!O18),1)="F",INDEX($F$59:$F$111,MATCH(Paramètres!N18,Paramètres!$G$5:$G$57,0)),INDEX($E$59:$E$111,MATCH(Paramètres!N18,Paramètres!$G$5:$G$57,0)))+IF(RIGHT(TRIM(Paramètres!O18),3)="Fin",1-$H72,IF(LEFT(TRIM(Paramètres!O18),1)="F",1,0)))))))</f>
        <v/>
      </c>
      <c r="F72" s="19">
        <f>IF($A72="","",E72+$H72-1)</f>
        <v/>
      </c>
      <c r="G72" s="18" t="n"/>
      <c r="H72" s="18">
        <f>IF($A72="","",IF(I72&lt;&gt;"",I72,Paramètres!B18))</f>
        <v/>
      </c>
      <c r="I72" s="18" t="n"/>
    </row>
    <row r="73">
      <c r="A73" s="18">
        <f>IF(ISNUMBER(Dossiers!$D$5),Dossiers!$A$5&amp;" · "&amp;Dossiers!$B$5,"")</f>
        <v/>
      </c>
      <c r="B73" s="18">
        <f>IF($A73="","",Paramètres!G19)</f>
        <v/>
      </c>
      <c r="C73" s="18">
        <f>IF($A73="","",IF(Paramètres!H19="","",Paramètres!H19))</f>
        <v/>
      </c>
      <c r="D73" s="18">
        <f>IF($A73="","",IF(Paramètres!I19="","",Paramètres!I19))</f>
        <v/>
      </c>
      <c r="E73" s="19">
        <f>IF($A73="","",IF(Paramètres!J19&amp;Paramètres!L19&amp;Paramètres!N19="",Dossiers!$D$5,MAX(IF(Paramètres!J19="",0,IF(Paramètres!K19="",NA(),IF(LEFT(TRIM(Paramètres!K19),1)="F",INDEX($F$59:$F$111,MATCH(Paramètres!J19,Paramètres!$G$5:$G$57,0)),INDEX($E$59:$E$111,MATCH(Paramètres!J19,Paramètres!$G$5:$G$57,0)))+IF(RIGHT(TRIM(Paramètres!K19),3)="Fin",1-$H73,IF(LEFT(TRIM(Paramètres!K19),1)="F",1,0)))),IF(Paramètres!L19="",0,IF(Paramètres!M19="",NA(),IF(LEFT(TRIM(Paramètres!M19),1)="F",INDEX($F$59:$F$111,MATCH(Paramètres!L19,Paramètres!$G$5:$G$57,0)),INDEX($E$59:$E$111,MATCH(Paramètres!L19,Paramètres!$G$5:$G$57,0)))+IF(RIGHT(TRIM(Paramètres!M19),3)="Fin",1-$H73,IF(LEFT(TRIM(Paramètres!M19),1)="F",1,0)))),IF(Paramètres!N19="",0,IF(Paramètres!O19="",NA(),IF(LEFT(TRIM(Paramètres!O19),1)="F",INDEX($F$59:$F$111,MATCH(Paramètres!N19,Paramètres!$G$5:$G$57,0)),INDEX($E$59:$E$111,MATCH(Paramètres!N19,Paramètres!$G$5:$G$57,0)))+IF(RIGHT(TRIM(Paramètres!O19),3)="Fin",1-$H73,IF(LEFT(TRIM(Paramètres!O19),1)="F",1,0)))))))</f>
        <v/>
      </c>
      <c r="F73" s="19">
        <f>IF($A73="","",E73+$H73-1)</f>
        <v/>
      </c>
      <c r="G73" s="18" t="n"/>
      <c r="H73" s="18">
        <f>IF($A73="","",IF(I73&lt;&gt;"",I73,Paramètres!B19))</f>
        <v/>
      </c>
      <c r="I73" s="18" t="n"/>
    </row>
    <row r="74">
      <c r="A74" s="18">
        <f>IF(ISNUMBER(Dossiers!$D$5),Dossiers!$A$5&amp;" · "&amp;Dossiers!$B$5,"")</f>
        <v/>
      </c>
      <c r="B74" s="18">
        <f>IF($A74="","",Paramètres!G20)</f>
        <v/>
      </c>
      <c r="C74" s="18">
        <f>IF($A74="","",IF(Paramètres!H20="","",Paramètres!H20))</f>
        <v/>
      </c>
      <c r="D74" s="18">
        <f>IF($A74="","",IF(Paramètres!I20="","",Paramètres!I20))</f>
        <v/>
      </c>
      <c r="E74" s="19">
        <f>IF($A74="","",IF(Paramètres!J20&amp;Paramètres!L20&amp;Paramètres!N20="",Dossiers!$D$5,MAX(IF(Paramètres!J20="",0,IF(Paramètres!K20="",NA(),IF(LEFT(TRIM(Paramètres!K20),1)="F",INDEX($F$59:$F$111,MATCH(Paramètres!J20,Paramètres!$G$5:$G$57,0)),INDEX($E$59:$E$111,MATCH(Paramètres!J20,Paramètres!$G$5:$G$57,0)))+IF(RIGHT(TRIM(Paramètres!K20),3)="Fin",1-$H74,IF(LEFT(TRIM(Paramètres!K20),1)="F",1,0)))),IF(Paramètres!L20="",0,IF(Paramètres!M20="",NA(),IF(LEFT(TRIM(Paramètres!M20),1)="F",INDEX($F$59:$F$111,MATCH(Paramètres!L20,Paramètres!$G$5:$G$57,0)),INDEX($E$59:$E$111,MATCH(Paramètres!L20,Paramètres!$G$5:$G$57,0)))+IF(RIGHT(TRIM(Paramètres!M20),3)="Fin",1-$H74,IF(LEFT(TRIM(Paramètres!M20),1)="F",1,0)))),IF(Paramètres!N20="",0,IF(Paramètres!O20="",NA(),IF(LEFT(TRIM(Paramètres!O20),1)="F",INDEX($F$59:$F$111,MATCH(Paramètres!N20,Paramètres!$G$5:$G$57,0)),INDEX($E$59:$E$111,MATCH(Paramètres!N20,Paramètres!$G$5:$G$57,0)))+IF(RIGHT(TRIM(Paramètres!O20),3)="Fin",1-$H74,IF(LEFT(TRIM(Paramètres!O20),1)="F",1,0)))))))</f>
        <v/>
      </c>
      <c r="F74" s="19">
        <f>IF($A74="","",E74+$H74-1)</f>
        <v/>
      </c>
      <c r="G74" s="18" t="n"/>
      <c r="H74" s="18">
        <f>IF($A74="","",IF(I74&lt;&gt;"",I74,Paramètres!B20))</f>
        <v/>
      </c>
      <c r="I74" s="18" t="n"/>
    </row>
    <row r="75">
      <c r="A75" s="18">
        <f>IF(ISNUMBER(Dossiers!$D$5),Dossiers!$A$5&amp;" · "&amp;Dossiers!$B$5,"")</f>
        <v/>
      </c>
      <c r="B75" s="18">
        <f>IF($A75="","",Paramètres!G21)</f>
        <v/>
      </c>
      <c r="C75" s="18">
        <f>IF($A75="","",IF(Paramètres!H21="","",Paramètres!H21))</f>
        <v/>
      </c>
      <c r="D75" s="18">
        <f>IF($A75="","",IF(Paramètres!I21="","",Paramètres!I21))</f>
        <v/>
      </c>
      <c r="E75" s="19">
        <f>IF($A75="","",IF(Paramètres!J21&amp;Paramètres!L21&amp;Paramètres!N21="",Dossiers!$D$5,MAX(IF(Paramètres!J21="",0,IF(Paramètres!K21="",NA(),IF(LEFT(TRIM(Paramètres!K21),1)="F",INDEX($F$59:$F$111,MATCH(Paramètres!J21,Paramètres!$G$5:$G$57,0)),INDEX($E$59:$E$111,MATCH(Paramètres!J21,Paramètres!$G$5:$G$57,0)))+IF(RIGHT(TRIM(Paramètres!K21),3)="Fin",1-$H75,IF(LEFT(TRIM(Paramètres!K21),1)="F",1,0)))),IF(Paramètres!L21="",0,IF(Paramètres!M21="",NA(),IF(LEFT(TRIM(Paramètres!M21),1)="F",INDEX($F$59:$F$111,MATCH(Paramètres!L21,Paramètres!$G$5:$G$57,0)),INDEX($E$59:$E$111,MATCH(Paramètres!L21,Paramètres!$G$5:$G$57,0)))+IF(RIGHT(TRIM(Paramètres!M21),3)="Fin",1-$H75,IF(LEFT(TRIM(Paramètres!M21),1)="F",1,0)))),IF(Paramètres!N21="",0,IF(Paramètres!O21="",NA(),IF(LEFT(TRIM(Paramètres!O21),1)="F",INDEX($F$59:$F$111,MATCH(Paramètres!N21,Paramètres!$G$5:$G$57,0)),INDEX($E$59:$E$111,MATCH(Paramètres!N21,Paramètres!$G$5:$G$57,0)))+IF(RIGHT(TRIM(Paramètres!O21),3)="Fin",1-$H75,IF(LEFT(TRIM(Paramètres!O21),1)="F",1,0)))))))</f>
        <v/>
      </c>
      <c r="F75" s="19">
        <f>IF($A75="","",E75+$H75-1)</f>
        <v/>
      </c>
      <c r="G75" s="18" t="n"/>
      <c r="H75" s="18">
        <f>IF($A75="","",IF(I75&lt;&gt;"",I75,Paramètres!B21))</f>
        <v/>
      </c>
      <c r="I75" s="18" t="n"/>
    </row>
    <row r="76">
      <c r="A76" s="18">
        <f>IF(ISNUMBER(Dossiers!$D$5),Dossiers!$A$5&amp;" · "&amp;Dossiers!$B$5,"")</f>
        <v/>
      </c>
      <c r="B76" s="18">
        <f>IF($A76="","",Paramètres!G22)</f>
        <v/>
      </c>
      <c r="C76" s="18">
        <f>IF($A76="","",IF(Paramètres!H22="","",Paramètres!H22))</f>
        <v/>
      </c>
      <c r="D76" s="18">
        <f>IF($A76="","",IF(Paramètres!I22="","",Paramètres!I22))</f>
        <v/>
      </c>
      <c r="E76" s="19">
        <f>IF($A76="","",IF(Paramètres!J22&amp;Paramètres!L22&amp;Paramètres!N22="",Dossiers!$D$5,MAX(IF(Paramètres!J22="",0,IF(Paramètres!K22="",NA(),IF(LEFT(TRIM(Paramètres!K22),1)="F",INDEX($F$59:$F$111,MATCH(Paramètres!J22,Paramètres!$G$5:$G$57,0)),INDEX($E$59:$E$111,MATCH(Paramètres!J22,Paramètres!$G$5:$G$57,0)))+IF(RIGHT(TRIM(Paramètres!K22),3)="Fin",1-$H76,IF(LEFT(TRIM(Paramètres!K22),1)="F",1,0)))),IF(Paramètres!L22="",0,IF(Paramètres!M22="",NA(),IF(LEFT(TRIM(Paramètres!M22),1)="F",INDEX($F$59:$F$111,MATCH(Paramètres!L22,Paramètres!$G$5:$G$57,0)),INDEX($E$59:$E$111,MATCH(Paramètres!L22,Paramètres!$G$5:$G$57,0)))+IF(RIGHT(TRIM(Paramètres!M22),3)="Fin",1-$H76,IF(LEFT(TRIM(Paramètres!M22),1)="F",1,0)))),IF(Paramètres!N22="",0,IF(Paramètres!O22="",NA(),IF(LEFT(TRIM(Paramètres!O22),1)="F",INDEX($F$59:$F$111,MATCH(Paramètres!N22,Paramètres!$G$5:$G$57,0)),INDEX($E$59:$E$111,MATCH(Paramètres!N22,Paramètres!$G$5:$G$57,0)))+IF(RIGHT(TRIM(Paramètres!O22),3)="Fin",1-$H76,IF(LEFT(TRIM(Paramètres!O22),1)="F",1,0)))))))</f>
        <v/>
      </c>
      <c r="F76" s="19">
        <f>IF($A76="","",E76+$H76-1)</f>
        <v/>
      </c>
      <c r="G76" s="18" t="n"/>
      <c r="H76" s="18">
        <f>IF($A76="","",IF(I76&lt;&gt;"",I76,Paramètres!B22))</f>
        <v/>
      </c>
      <c r="I76" s="18" t="n"/>
    </row>
    <row r="77">
      <c r="A77" s="18">
        <f>IF(ISNUMBER(Dossiers!$D$5),Dossiers!$A$5&amp;" · "&amp;Dossiers!$B$5,"")</f>
        <v/>
      </c>
      <c r="B77" s="18">
        <f>IF($A77="","",Paramètres!G23)</f>
        <v/>
      </c>
      <c r="C77" s="18">
        <f>IF($A77="","",IF(Paramètres!H23="","",Paramètres!H23))</f>
        <v/>
      </c>
      <c r="D77" s="18">
        <f>IF($A77="","",IF(Paramètres!I23="","",Paramètres!I23))</f>
        <v/>
      </c>
      <c r="E77" s="19">
        <f>IF($A77="","",IF(Paramètres!J23&amp;Paramètres!L23&amp;Paramètres!N23="",Dossiers!$D$5,MAX(IF(Paramètres!J23="",0,IF(Paramètres!K23="",NA(),IF(LEFT(TRIM(Paramètres!K23),1)="F",INDEX($F$59:$F$111,MATCH(Paramètres!J23,Paramètres!$G$5:$G$57,0)),INDEX($E$59:$E$111,MATCH(Paramètres!J23,Paramètres!$G$5:$G$57,0)))+IF(RIGHT(TRIM(Paramètres!K23),3)="Fin",1-$H77,IF(LEFT(TRIM(Paramètres!K23),1)="F",1,0)))),IF(Paramètres!L23="",0,IF(Paramètres!M23="",NA(),IF(LEFT(TRIM(Paramètres!M23),1)="F",INDEX($F$59:$F$111,MATCH(Paramètres!L23,Paramètres!$G$5:$G$57,0)),INDEX($E$59:$E$111,MATCH(Paramètres!L23,Paramètres!$G$5:$G$57,0)))+IF(RIGHT(TRIM(Paramètres!M23),3)="Fin",1-$H77,IF(LEFT(TRIM(Paramètres!M23),1)="F",1,0)))),IF(Paramètres!N23="",0,IF(Paramètres!O23="",NA(),IF(LEFT(TRIM(Paramètres!O23),1)="F",INDEX($F$59:$F$111,MATCH(Paramètres!N23,Paramètres!$G$5:$G$57,0)),INDEX($E$59:$E$111,MATCH(Paramètres!N23,Paramètres!$G$5:$G$57,0)))+IF(RIGHT(TRIM(Paramètres!O23),3)="Fin",1-$H77,IF(LEFT(TRIM(Paramètres!O23),1)="F",1,0)))))))</f>
        <v/>
      </c>
      <c r="F77" s="19">
        <f>IF($A77="","",E77+$H77-1)</f>
        <v/>
      </c>
      <c r="G77" s="18" t="n"/>
      <c r="H77" s="18">
        <f>IF($A77="","",IF(I77&lt;&gt;"",I77,Paramètres!B23))</f>
        <v/>
      </c>
      <c r="I77" s="18" t="n">
        <v>3</v>
      </c>
    </row>
    <row r="78">
      <c r="A78" s="18">
        <f>IF(ISNUMBER(Dossiers!$D$5),Dossiers!$A$5&amp;" · "&amp;Dossiers!$B$5,"")</f>
        <v/>
      </c>
      <c r="B78" s="18">
        <f>IF($A78="","",Paramètres!G24)</f>
        <v/>
      </c>
      <c r="C78" s="18">
        <f>IF($A78="","",IF(Paramètres!H24="","",Paramètres!H24))</f>
        <v/>
      </c>
      <c r="D78" s="18">
        <f>IF($A78="","",IF(Paramètres!I24="","",Paramètres!I24))</f>
        <v/>
      </c>
      <c r="E78" s="19">
        <f>IF($A78="","",IF(Paramètres!J24&amp;Paramètres!L24&amp;Paramètres!N24="",Dossiers!$D$5,MAX(IF(Paramètres!J24="",0,IF(Paramètres!K24="",NA(),IF(LEFT(TRIM(Paramètres!K24),1)="F",INDEX($F$59:$F$111,MATCH(Paramètres!J24,Paramètres!$G$5:$G$57,0)),INDEX($E$59:$E$111,MATCH(Paramètres!J24,Paramètres!$G$5:$G$57,0)))+IF(RIGHT(TRIM(Paramètres!K24),3)="Fin",1-$H78,IF(LEFT(TRIM(Paramètres!K24),1)="F",1,0)))),IF(Paramètres!L24="",0,IF(Paramètres!M24="",NA(),IF(LEFT(TRIM(Paramètres!M24),1)="F",INDEX($F$59:$F$111,MATCH(Paramètres!L24,Paramètres!$G$5:$G$57,0)),INDEX($E$59:$E$111,MATCH(Paramètres!L24,Paramètres!$G$5:$G$57,0)))+IF(RIGHT(TRIM(Paramètres!M24),3)="Fin",1-$H78,IF(LEFT(TRIM(Paramètres!M24),1)="F",1,0)))),IF(Paramètres!N24="",0,IF(Paramètres!O24="",NA(),IF(LEFT(TRIM(Paramètres!O24),1)="F",INDEX($F$59:$F$111,MATCH(Paramètres!N24,Paramètres!$G$5:$G$57,0)),INDEX($E$59:$E$111,MATCH(Paramètres!N24,Paramètres!$G$5:$G$57,0)))+IF(RIGHT(TRIM(Paramètres!O24),3)="Fin",1-$H78,IF(LEFT(TRIM(Paramètres!O24),1)="F",1,0)))))))</f>
        <v/>
      </c>
      <c r="F78" s="19">
        <f>IF($A78="","",E78+$H78-1)</f>
        <v/>
      </c>
      <c r="G78" s="18" t="n"/>
      <c r="H78" s="18">
        <f>IF($A78="","",IF(I78&lt;&gt;"",I78,Paramètres!B24))</f>
        <v/>
      </c>
      <c r="I78" s="18" t="n"/>
    </row>
    <row r="79">
      <c r="A79" s="18">
        <f>IF(ISNUMBER(Dossiers!$D$5),Dossiers!$A$5&amp;" · "&amp;Dossiers!$B$5,"")</f>
        <v/>
      </c>
      <c r="B79" s="18">
        <f>IF($A79="","",Paramètres!G25)</f>
        <v/>
      </c>
      <c r="C79" s="18">
        <f>IF($A79="","",IF(Paramètres!H25="","",Paramètres!H25))</f>
        <v/>
      </c>
      <c r="D79" s="18">
        <f>IF($A79="","",IF(Paramètres!I25="","",Paramètres!I25))</f>
        <v/>
      </c>
      <c r="E79" s="19">
        <f>IF($A79="","",IF(Paramètres!J25&amp;Paramètres!L25&amp;Paramètres!N25="",Dossiers!$D$5,MAX(IF(Paramètres!J25="",0,IF(Paramètres!K25="",NA(),IF(LEFT(TRIM(Paramètres!K25),1)="F",INDEX($F$59:$F$111,MATCH(Paramètres!J25,Paramètres!$G$5:$G$57,0)),INDEX($E$59:$E$111,MATCH(Paramètres!J25,Paramètres!$G$5:$G$57,0)))+IF(RIGHT(TRIM(Paramètres!K25),3)="Fin",1-$H79,IF(LEFT(TRIM(Paramètres!K25),1)="F",1,0)))),IF(Paramètres!L25="",0,IF(Paramètres!M25="",NA(),IF(LEFT(TRIM(Paramètres!M25),1)="F",INDEX($F$59:$F$111,MATCH(Paramètres!L25,Paramètres!$G$5:$G$57,0)),INDEX($E$59:$E$111,MATCH(Paramètres!L25,Paramètres!$G$5:$G$57,0)))+IF(RIGHT(TRIM(Paramètres!M25),3)="Fin",1-$H79,IF(LEFT(TRIM(Paramètres!M25),1)="F",1,0)))),IF(Paramètres!N25="",0,IF(Paramètres!O25="",NA(),IF(LEFT(TRIM(Paramètres!O25),1)="F",INDEX($F$59:$F$111,MATCH(Paramètres!N25,Paramètres!$G$5:$G$57,0)),INDEX($E$59:$E$111,MATCH(Paramètres!N25,Paramètres!$G$5:$G$57,0)))+IF(RIGHT(TRIM(Paramètres!O25),3)="Fin",1-$H79,IF(LEFT(TRIM(Paramètres!O25),1)="F",1,0)))))))</f>
        <v/>
      </c>
      <c r="F79" s="19">
        <f>IF($A79="","",E79+$H79-1)</f>
        <v/>
      </c>
      <c r="G79" s="18" t="n"/>
      <c r="H79" s="18">
        <f>IF($A79="","",IF(I79&lt;&gt;"",I79,Paramètres!B25))</f>
        <v/>
      </c>
      <c r="I79" s="18" t="n"/>
    </row>
    <row r="80">
      <c r="A80" s="18">
        <f>IF(ISNUMBER(Dossiers!$D$5),Dossiers!$A$5&amp;" · "&amp;Dossiers!$B$5,"")</f>
        <v/>
      </c>
      <c r="B80" s="18">
        <f>IF($A80="","",Paramètres!G26)</f>
        <v/>
      </c>
      <c r="C80" s="18">
        <f>IF($A80="","",IF(Paramètres!H26="","",Paramètres!H26))</f>
        <v/>
      </c>
      <c r="D80" s="18">
        <f>IF($A80="","",IF(Paramètres!I26="","",Paramètres!I26))</f>
        <v/>
      </c>
      <c r="E80" s="19">
        <f>IF($A80="","",IF(Paramètres!J26&amp;Paramètres!L26&amp;Paramètres!N26="",Dossiers!$D$5,MAX(IF(Paramètres!J26="",0,IF(Paramètres!K26="",NA(),IF(LEFT(TRIM(Paramètres!K26),1)="F",INDEX($F$59:$F$111,MATCH(Paramètres!J26,Paramètres!$G$5:$G$57,0)),INDEX($E$59:$E$111,MATCH(Paramètres!J26,Paramètres!$G$5:$G$57,0)))+IF(RIGHT(TRIM(Paramètres!K26),3)="Fin",1-$H80,IF(LEFT(TRIM(Paramètres!K26),1)="F",1,0)))),IF(Paramètres!L26="",0,IF(Paramètres!M26="",NA(),IF(LEFT(TRIM(Paramètres!M26),1)="F",INDEX($F$59:$F$111,MATCH(Paramètres!L26,Paramètres!$G$5:$G$57,0)),INDEX($E$59:$E$111,MATCH(Paramètres!L26,Paramètres!$G$5:$G$57,0)))+IF(RIGHT(TRIM(Paramètres!M26),3)="Fin",1-$H80,IF(LEFT(TRIM(Paramètres!M26),1)="F",1,0)))),IF(Paramètres!N26="",0,IF(Paramètres!O26="",NA(),IF(LEFT(TRIM(Paramètres!O26),1)="F",INDEX($F$59:$F$111,MATCH(Paramètres!N26,Paramètres!$G$5:$G$57,0)),INDEX($E$59:$E$111,MATCH(Paramètres!N26,Paramètres!$G$5:$G$57,0)))+IF(RIGHT(TRIM(Paramètres!O26),3)="Fin",1-$H80,IF(LEFT(TRIM(Paramètres!O26),1)="F",1,0)))))))</f>
        <v/>
      </c>
      <c r="F80" s="19">
        <f>IF($A80="","",E80+$H80-1)</f>
        <v/>
      </c>
      <c r="G80" s="18" t="n"/>
      <c r="H80" s="18">
        <f>IF($A80="","",IF(I80&lt;&gt;"",I80,Paramètres!B26))</f>
        <v/>
      </c>
      <c r="I80" s="18" t="n"/>
    </row>
    <row r="81">
      <c r="A81" s="18">
        <f>IF(ISNUMBER(Dossiers!$D$5),Dossiers!$A$5&amp;" · "&amp;Dossiers!$B$5,"")</f>
        <v/>
      </c>
      <c r="B81" s="18">
        <f>IF($A81="","",Paramètres!G27)</f>
        <v/>
      </c>
      <c r="C81" s="18">
        <f>IF($A81="","",IF(Paramètres!H27="","",Paramètres!H27))</f>
        <v/>
      </c>
      <c r="D81" s="18">
        <f>IF($A81="","",IF(Paramètres!I27="","",Paramètres!I27))</f>
        <v/>
      </c>
      <c r="E81" s="19">
        <f>IF($A81="","",IF(Paramètres!J27&amp;Paramètres!L27&amp;Paramètres!N27="",Dossiers!$D$5,MAX(IF(Paramètres!J27="",0,IF(Paramètres!K27="",NA(),IF(LEFT(TRIM(Paramètres!K27),1)="F",INDEX($F$59:$F$111,MATCH(Paramètres!J27,Paramètres!$G$5:$G$57,0)),INDEX($E$59:$E$111,MATCH(Paramètres!J27,Paramètres!$G$5:$G$57,0)))+IF(RIGHT(TRIM(Paramètres!K27),3)="Fin",1-$H81,IF(LEFT(TRIM(Paramètres!K27),1)="F",1,0)))),IF(Paramètres!L27="",0,IF(Paramètres!M27="",NA(),IF(LEFT(TRIM(Paramètres!M27),1)="F",INDEX($F$59:$F$111,MATCH(Paramètres!L27,Paramètres!$G$5:$G$57,0)),INDEX($E$59:$E$111,MATCH(Paramètres!L27,Paramètres!$G$5:$G$57,0)))+IF(RIGHT(TRIM(Paramètres!M27),3)="Fin",1-$H81,IF(LEFT(TRIM(Paramètres!M27),1)="F",1,0)))),IF(Paramètres!N27="",0,IF(Paramètres!O27="",NA(),IF(LEFT(TRIM(Paramètres!O27),1)="F",INDEX($F$59:$F$111,MATCH(Paramètres!N27,Paramètres!$G$5:$G$57,0)),INDEX($E$59:$E$111,MATCH(Paramètres!N27,Paramètres!$G$5:$G$57,0)))+IF(RIGHT(TRIM(Paramètres!O27),3)="Fin",1-$H81,IF(LEFT(TRIM(Paramètres!O27),1)="F",1,0)))))))</f>
        <v/>
      </c>
      <c r="F81" s="19">
        <f>IF($A81="","",E81+$H81-1)</f>
        <v/>
      </c>
      <c r="G81" s="18" t="n"/>
      <c r="H81" s="18">
        <f>IF($A81="","",IF(I81&lt;&gt;"",I81,Paramètres!B27))</f>
        <v/>
      </c>
      <c r="I81" s="18" t="n"/>
    </row>
    <row r="82">
      <c r="A82" s="18">
        <f>IF(ISNUMBER(Dossiers!$D$5),Dossiers!$A$5&amp;" · "&amp;Dossiers!$B$5,"")</f>
        <v/>
      </c>
      <c r="B82" s="18">
        <f>IF($A82="","",Paramètres!G28)</f>
        <v/>
      </c>
      <c r="C82" s="18">
        <f>IF($A82="","",IF(Paramètres!H28="","",Paramètres!H28))</f>
        <v/>
      </c>
      <c r="D82" s="18">
        <f>IF($A82="","",IF(Paramètres!I28="","",Paramètres!I28))</f>
        <v/>
      </c>
      <c r="E82" s="19">
        <f>IF($A82="","",IF(Paramètres!J28&amp;Paramètres!L28&amp;Paramètres!N28="",Dossiers!$D$5,MAX(IF(Paramètres!J28="",0,IF(Paramètres!K28="",NA(),IF(LEFT(TRIM(Paramètres!K28),1)="F",INDEX($F$59:$F$111,MATCH(Paramètres!J28,Paramètres!$G$5:$G$57,0)),INDEX($E$59:$E$111,MATCH(Paramètres!J28,Paramètres!$G$5:$G$57,0)))+IF(RIGHT(TRIM(Paramètres!K28),3)="Fin",1-$H82,IF(LEFT(TRIM(Paramètres!K28),1)="F",1,0)))),IF(Paramètres!L28="",0,IF(Paramètres!M28="",NA(),IF(LEFT(TRIM(Paramètres!M28),1)="F",INDEX($F$59:$F$111,MATCH(Paramètres!L28,Paramètres!$G$5:$G$57,0)),INDEX($E$59:$E$111,MATCH(Paramètres!L28,Paramètres!$G$5:$G$57,0)))+IF(RIGHT(TRIM(Paramètres!M28),3)="Fin",1-$H82,IF(LEFT(TRIM(Paramètres!M28),1)="F",1,0)))),IF(Paramètres!N28="",0,IF(Paramètres!O28="",NA(),IF(LEFT(TRIM(Paramètres!O28),1)="F",INDEX($F$59:$F$111,MATCH(Paramètres!N28,Paramètres!$G$5:$G$57,0)),INDEX($E$59:$E$111,MATCH(Paramètres!N28,Paramètres!$G$5:$G$57,0)))+IF(RIGHT(TRIM(Paramètres!O28),3)="Fin",1-$H82,IF(LEFT(TRIM(Paramètres!O28),1)="F",1,0)))))))</f>
        <v/>
      </c>
      <c r="F82" s="19">
        <f>IF($A82="","",E82+$H82-1)</f>
        <v/>
      </c>
      <c r="G82" s="18" t="n"/>
      <c r="H82" s="18">
        <f>IF($A82="","",IF(I82&lt;&gt;"",I82,Paramètres!B28))</f>
        <v/>
      </c>
      <c r="I82" s="18" t="n"/>
    </row>
    <row r="83">
      <c r="A83" s="18">
        <f>IF(ISNUMBER(Dossiers!$D$5),Dossiers!$A$5&amp;" · "&amp;Dossiers!$B$5,"")</f>
        <v/>
      </c>
      <c r="B83" s="18">
        <f>IF($A83="","",Paramètres!G29)</f>
        <v/>
      </c>
      <c r="C83" s="18">
        <f>IF($A83="","",IF(Paramètres!H29="","",Paramètres!H29))</f>
        <v/>
      </c>
      <c r="D83" s="18">
        <f>IF($A83="","",IF(Paramètres!I29="","",Paramètres!I29))</f>
        <v/>
      </c>
      <c r="E83" s="19">
        <f>IF($A83="","",IF(Paramètres!J29&amp;Paramètres!L29&amp;Paramètres!N29="",Dossiers!$D$5,MAX(IF(Paramètres!J29="",0,IF(Paramètres!K29="",NA(),IF(LEFT(TRIM(Paramètres!K29),1)="F",INDEX($F$59:$F$111,MATCH(Paramètres!J29,Paramètres!$G$5:$G$57,0)),INDEX($E$59:$E$111,MATCH(Paramètres!J29,Paramètres!$G$5:$G$57,0)))+IF(RIGHT(TRIM(Paramètres!K29),3)="Fin",1-$H83,IF(LEFT(TRIM(Paramètres!K29),1)="F",1,0)))),IF(Paramètres!L29="",0,IF(Paramètres!M29="",NA(),IF(LEFT(TRIM(Paramètres!M29),1)="F",INDEX($F$59:$F$111,MATCH(Paramètres!L29,Paramètres!$G$5:$G$57,0)),INDEX($E$59:$E$111,MATCH(Paramètres!L29,Paramètres!$G$5:$G$57,0)))+IF(RIGHT(TRIM(Paramètres!M29),3)="Fin",1-$H83,IF(LEFT(TRIM(Paramètres!M29),1)="F",1,0)))),IF(Paramètres!N29="",0,IF(Paramètres!O29="",NA(),IF(LEFT(TRIM(Paramètres!O29),1)="F",INDEX($F$59:$F$111,MATCH(Paramètres!N29,Paramètres!$G$5:$G$57,0)),INDEX($E$59:$E$111,MATCH(Paramètres!N29,Paramètres!$G$5:$G$57,0)))+IF(RIGHT(TRIM(Paramètres!O29),3)="Fin",1-$H83,IF(LEFT(TRIM(Paramètres!O29),1)="F",1,0)))))))</f>
        <v/>
      </c>
      <c r="F83" s="19">
        <f>IF($A83="","",E83+$H83-1)</f>
        <v/>
      </c>
      <c r="G83" s="18" t="n"/>
      <c r="H83" s="18">
        <f>IF($A83="","",IF(I83&lt;&gt;"",I83,Paramètres!B29))</f>
        <v/>
      </c>
      <c r="I83" s="18" t="n"/>
    </row>
    <row r="84">
      <c r="A84" s="18">
        <f>IF(ISNUMBER(Dossiers!$D$5),Dossiers!$A$5&amp;" · "&amp;Dossiers!$B$5,"")</f>
        <v/>
      </c>
      <c r="B84" s="18">
        <f>IF($A84="","",Paramètres!G30)</f>
        <v/>
      </c>
      <c r="C84" s="18">
        <f>IF($A84="","",IF(Paramètres!H30="","",Paramètres!H30))</f>
        <v/>
      </c>
      <c r="D84" s="18">
        <f>IF($A84="","",IF(Paramètres!I30="","",Paramètres!I30))</f>
        <v/>
      </c>
      <c r="E84" s="19">
        <f>IF($A84="","",IF(Paramètres!J30&amp;Paramètres!L30&amp;Paramètres!N30="",Dossiers!$D$5,MAX(IF(Paramètres!J30="",0,IF(Paramètres!K30="",NA(),IF(LEFT(TRIM(Paramètres!K30),1)="F",INDEX($F$59:$F$111,MATCH(Paramètres!J30,Paramètres!$G$5:$G$57,0)),INDEX($E$59:$E$111,MATCH(Paramètres!J30,Paramètres!$G$5:$G$57,0)))+IF(RIGHT(TRIM(Paramètres!K30),3)="Fin",1-$H84,IF(LEFT(TRIM(Paramètres!K30),1)="F",1,0)))),IF(Paramètres!L30="",0,IF(Paramètres!M30="",NA(),IF(LEFT(TRIM(Paramètres!M30),1)="F",INDEX($F$59:$F$111,MATCH(Paramètres!L30,Paramètres!$G$5:$G$57,0)),INDEX($E$59:$E$111,MATCH(Paramètres!L30,Paramètres!$G$5:$G$57,0)))+IF(RIGHT(TRIM(Paramètres!M30),3)="Fin",1-$H84,IF(LEFT(TRIM(Paramètres!M30),1)="F",1,0)))),IF(Paramètres!N30="",0,IF(Paramètres!O30="",NA(),IF(LEFT(TRIM(Paramètres!O30),1)="F",INDEX($F$59:$F$111,MATCH(Paramètres!N30,Paramètres!$G$5:$G$57,0)),INDEX($E$59:$E$111,MATCH(Paramètres!N30,Paramètres!$G$5:$G$57,0)))+IF(RIGHT(TRIM(Paramètres!O30),3)="Fin",1-$H84,IF(LEFT(TRIM(Paramètres!O30),1)="F",1,0)))))))</f>
        <v/>
      </c>
      <c r="F84" s="19">
        <f>IF($A84="","",E84+$H84-1)</f>
        <v/>
      </c>
      <c r="G84" s="18" t="n"/>
      <c r="H84" s="18">
        <f>IF($A84="","",IF(I84&lt;&gt;"",I84,Paramètres!B30))</f>
        <v/>
      </c>
      <c r="I84" s="18" t="n"/>
    </row>
    <row r="85">
      <c r="A85" s="18">
        <f>IF(ISNUMBER(Dossiers!$D$5),Dossiers!$A$5&amp;" · "&amp;Dossiers!$B$5,"")</f>
        <v/>
      </c>
      <c r="B85" s="18">
        <f>IF($A85="","",Paramètres!G31)</f>
        <v/>
      </c>
      <c r="C85" s="20">
        <f>IF($A85="","",IF(Dossiers!$F$5="","",Dossiers!$F$5))</f>
        <v/>
      </c>
      <c r="D85" s="18">
        <f>IF($A85="","",IF(Paramètres!I31="","",Paramètres!I31))</f>
        <v/>
      </c>
      <c r="E85" s="19">
        <f>IF($A85="","",IF(Paramètres!J31&amp;Paramètres!L31&amp;Paramètres!N31="",Dossiers!$D$5,MAX(IF(Paramètres!J31="",0,IF(Paramètres!K31="",NA(),IF(LEFT(TRIM(Paramètres!K31),1)="F",INDEX($F$59:$F$111,MATCH(Paramètres!J31,Paramètres!$G$5:$G$57,0)),INDEX($E$59:$E$111,MATCH(Paramètres!J31,Paramètres!$G$5:$G$57,0)))+IF(RIGHT(TRIM(Paramètres!K31),3)="Fin",1-$H85,IF(LEFT(TRIM(Paramètres!K31),1)="F",1,0)))),IF(Paramètres!L31="",0,IF(Paramètres!M31="",NA(),IF(LEFT(TRIM(Paramètres!M31),1)="F",INDEX($F$59:$F$111,MATCH(Paramètres!L31,Paramètres!$G$5:$G$57,0)),INDEX($E$59:$E$111,MATCH(Paramètres!L31,Paramètres!$G$5:$G$57,0)))+IF(RIGHT(TRIM(Paramètres!M31),3)="Fin",1-$H85,IF(LEFT(TRIM(Paramètres!M31),1)="F",1,0)))),IF(Paramètres!N31="",0,IF(Paramètres!O31="",NA(),IF(LEFT(TRIM(Paramètres!O31),1)="F",INDEX($F$59:$F$111,MATCH(Paramètres!N31,Paramètres!$G$5:$G$57,0)),INDEX($E$59:$E$111,MATCH(Paramètres!N31,Paramètres!$G$5:$G$57,0)))+IF(RIGHT(TRIM(Paramètres!O31),3)="Fin",1-$H85,IF(LEFT(TRIM(Paramètres!O31),1)="F",1,0)))))))</f>
        <v/>
      </c>
      <c r="F85" s="19">
        <f>IF($A85="","",E85+$H85-1)</f>
        <v/>
      </c>
      <c r="G85" s="18" t="n"/>
      <c r="H85" s="18">
        <f>IF($A85="","",IF(I85&lt;&gt;"",I85,Paramètres!B31))</f>
        <v/>
      </c>
      <c r="I85" s="18" t="n"/>
    </row>
    <row r="86">
      <c r="A86" s="18">
        <f>IF(ISNUMBER(Dossiers!$D$5),Dossiers!$A$5&amp;" · "&amp;Dossiers!$B$5,"")</f>
        <v/>
      </c>
      <c r="B86" s="18">
        <f>IF($A86="","",Paramètres!G32)</f>
        <v/>
      </c>
      <c r="C86" s="18">
        <f>IF($A86="","",IF(Paramètres!H32="","",Paramètres!H32))</f>
        <v/>
      </c>
      <c r="D86" s="18">
        <f>IF($A86="","",IF(Paramètres!I32="","",Paramètres!I32))</f>
        <v/>
      </c>
      <c r="E86" s="19">
        <f>IF($A86="","",MIN(E87:E90))</f>
        <v/>
      </c>
      <c r="F86" s="19">
        <f>IF($A86="","",MAX(F87:F90))</f>
        <v/>
      </c>
      <c r="G86" s="18" t="n"/>
      <c r="H86" s="18">
        <f>IF($A86="","",F86-E86+1)</f>
        <v/>
      </c>
      <c r="I86" s="18" t="n"/>
    </row>
    <row r="87">
      <c r="A87" s="18">
        <f>IF(ISNUMBER(Dossiers!$D$5),Dossiers!$A$5&amp;" · "&amp;Dossiers!$B$5,"")</f>
        <v/>
      </c>
      <c r="B87" s="18">
        <f>IF($A87="","",Paramètres!G33)</f>
        <v/>
      </c>
      <c r="C87" s="18">
        <f>IF($A87="","",IF(Paramètres!H33="","",Paramètres!H33))</f>
        <v/>
      </c>
      <c r="D87" s="18">
        <f>IF($A87="","",IF(Paramètres!I33="","",Paramètres!I33))</f>
        <v/>
      </c>
      <c r="E87" s="19">
        <f>IF($A87="","",IF(Paramètres!J33&amp;Paramètres!L33&amp;Paramètres!N33="",Dossiers!$D$5,MAX(IF(Paramètres!J33="",0,IF(Paramètres!K33="",NA(),IF(LEFT(TRIM(Paramètres!K33),1)="F",INDEX($F$59:$F$111,MATCH(Paramètres!J33,Paramètres!$G$5:$G$57,0)),INDEX($E$59:$E$111,MATCH(Paramètres!J33,Paramètres!$G$5:$G$57,0)))+IF(RIGHT(TRIM(Paramètres!K33),3)="Fin",1-$H87,IF(LEFT(TRIM(Paramètres!K33),1)="F",1,0)))),IF(Paramètres!L33="",0,IF(Paramètres!M33="",NA(),IF(LEFT(TRIM(Paramètres!M33),1)="F",INDEX($F$59:$F$111,MATCH(Paramètres!L33,Paramètres!$G$5:$G$57,0)),INDEX($E$59:$E$111,MATCH(Paramètres!L33,Paramètres!$G$5:$G$57,0)))+IF(RIGHT(TRIM(Paramètres!M33),3)="Fin",1-$H87,IF(LEFT(TRIM(Paramètres!M33),1)="F",1,0)))),IF(Paramètres!N33="",0,IF(Paramètres!O33="",NA(),IF(LEFT(TRIM(Paramètres!O33),1)="F",INDEX($F$59:$F$111,MATCH(Paramètres!N33,Paramètres!$G$5:$G$57,0)),INDEX($E$59:$E$111,MATCH(Paramètres!N33,Paramètres!$G$5:$G$57,0)))+IF(RIGHT(TRIM(Paramètres!O33),3)="Fin",1-$H87,IF(LEFT(TRIM(Paramètres!O33),1)="F",1,0)))))))</f>
        <v/>
      </c>
      <c r="F87" s="19">
        <f>IF($A87="","",E87+$H87-1)</f>
        <v/>
      </c>
      <c r="G87" s="18" t="n"/>
      <c r="H87" s="18">
        <f>IF($A87="","",IF(I87&lt;&gt;"",I87,Paramètres!B33))</f>
        <v/>
      </c>
      <c r="I87" s="18" t="n"/>
    </row>
    <row r="88">
      <c r="A88" s="18">
        <f>IF(ISNUMBER(Dossiers!$D$5),Dossiers!$A$5&amp;" · "&amp;Dossiers!$B$5,"")</f>
        <v/>
      </c>
      <c r="B88" s="18">
        <f>IF($A88="","",Paramètres!G34)</f>
        <v/>
      </c>
      <c r="C88" s="18">
        <f>IF($A88="","",IF(Paramètres!H34="","",Paramètres!H34))</f>
        <v/>
      </c>
      <c r="D88" s="18">
        <f>IF($A88="","",IF(Paramètres!I34="","",Paramètres!I34))</f>
        <v/>
      </c>
      <c r="E88" s="19">
        <f>IF($A88="","",IF(Paramètres!J34&amp;Paramètres!L34&amp;Paramètres!N34="",Dossiers!$D$5,MAX(IF(Paramètres!J34="",0,IF(Paramètres!K34="",NA(),IF(LEFT(TRIM(Paramètres!K34),1)="F",INDEX($F$59:$F$111,MATCH(Paramètres!J34,Paramètres!$G$5:$G$57,0)),INDEX($E$59:$E$111,MATCH(Paramètres!J34,Paramètres!$G$5:$G$57,0)))+IF(RIGHT(TRIM(Paramètres!K34),3)="Fin",1-$H88,IF(LEFT(TRIM(Paramètres!K34),1)="F",1,0)))),IF(Paramètres!L34="",0,IF(Paramètres!M34="",NA(),IF(LEFT(TRIM(Paramètres!M34),1)="F",INDEX($F$59:$F$111,MATCH(Paramètres!L34,Paramètres!$G$5:$G$57,0)),INDEX($E$59:$E$111,MATCH(Paramètres!L34,Paramètres!$G$5:$G$57,0)))+IF(RIGHT(TRIM(Paramètres!M34),3)="Fin",1-$H88,IF(LEFT(TRIM(Paramètres!M34),1)="F",1,0)))),IF(Paramètres!N34="",0,IF(Paramètres!O34="",NA(),IF(LEFT(TRIM(Paramètres!O34),1)="F",INDEX($F$59:$F$111,MATCH(Paramètres!N34,Paramètres!$G$5:$G$57,0)),INDEX($E$59:$E$111,MATCH(Paramètres!N34,Paramètres!$G$5:$G$57,0)))+IF(RIGHT(TRIM(Paramètres!O34),3)="Fin",1-$H88,IF(LEFT(TRIM(Paramètres!O34),1)="F",1,0)))))))</f>
        <v/>
      </c>
      <c r="F88" s="19">
        <f>IF($A88="","",E88+$H88-1)</f>
        <v/>
      </c>
      <c r="G88" s="18" t="n"/>
      <c r="H88" s="18">
        <f>IF($A88="","",IF(I88&lt;&gt;"",I88,Paramètres!B34))</f>
        <v/>
      </c>
      <c r="I88" s="18" t="n"/>
    </row>
    <row r="89">
      <c r="A89" s="18">
        <f>IF(ISNUMBER(Dossiers!$D$5),Dossiers!$A$5&amp;" · "&amp;Dossiers!$B$5,"")</f>
        <v/>
      </c>
      <c r="B89" s="18">
        <f>IF($A89="","",Paramètres!G35)</f>
        <v/>
      </c>
      <c r="C89" s="18">
        <f>IF($A89="","",IF(Paramètres!H35="","",Paramètres!H35))</f>
        <v/>
      </c>
      <c r="D89" s="18">
        <f>IF($A89="","",IF(Paramètres!I35="","",Paramètres!I35))</f>
        <v/>
      </c>
      <c r="E89" s="19">
        <f>IF($A89="","",IF(Paramètres!J35&amp;Paramètres!L35&amp;Paramètres!N35="",Dossiers!$D$5,MAX(IF(Paramètres!J35="",0,IF(Paramètres!K35="",NA(),IF(LEFT(TRIM(Paramètres!K35),1)="F",INDEX($F$59:$F$111,MATCH(Paramètres!J35,Paramètres!$G$5:$G$57,0)),INDEX($E$59:$E$111,MATCH(Paramètres!J35,Paramètres!$G$5:$G$57,0)))+IF(RIGHT(TRIM(Paramètres!K35),3)="Fin",1-$H89,IF(LEFT(TRIM(Paramètres!K35),1)="F",1,0)))),IF(Paramètres!L35="",0,IF(Paramètres!M35="",NA(),IF(LEFT(TRIM(Paramètres!M35),1)="F",INDEX($F$59:$F$111,MATCH(Paramètres!L35,Paramètres!$G$5:$G$57,0)),INDEX($E$59:$E$111,MATCH(Paramètres!L35,Paramètres!$G$5:$G$57,0)))+IF(RIGHT(TRIM(Paramètres!M35),3)="Fin",1-$H89,IF(LEFT(TRIM(Paramètres!M35),1)="F",1,0)))),IF(Paramètres!N35="",0,IF(Paramètres!O35="",NA(),IF(LEFT(TRIM(Paramètres!O35),1)="F",INDEX($F$59:$F$111,MATCH(Paramètres!N35,Paramètres!$G$5:$G$57,0)),INDEX($E$59:$E$111,MATCH(Paramètres!N35,Paramètres!$G$5:$G$57,0)))+IF(RIGHT(TRIM(Paramètres!O35),3)="Fin",1-$H89,IF(LEFT(TRIM(Paramètres!O35),1)="F",1,0)))))))</f>
        <v/>
      </c>
      <c r="F89" s="19">
        <f>IF($A89="","",E89+$H89-1)</f>
        <v/>
      </c>
      <c r="G89" s="18" t="n"/>
      <c r="H89" s="18">
        <f>IF($A89="","",IF(I89&lt;&gt;"",I89,Paramètres!B35))</f>
        <v/>
      </c>
      <c r="I89" s="18" t="n"/>
    </row>
    <row r="90">
      <c r="A90" s="18">
        <f>IF(ISNUMBER(Dossiers!$D$5),Dossiers!$A$5&amp;" · "&amp;Dossiers!$B$5,"")</f>
        <v/>
      </c>
      <c r="B90" s="18">
        <f>IF($A90="","",Paramètres!G36)</f>
        <v/>
      </c>
      <c r="C90" s="18">
        <f>IF($A90="","",IF(Paramètres!H36="","",Paramètres!H36))</f>
        <v/>
      </c>
      <c r="D90" s="18">
        <f>IF($A90="","",IF(Paramètres!I36="","",Paramètres!I36))</f>
        <v/>
      </c>
      <c r="E90" s="19">
        <f>IF($A90="","",IF(Paramètres!J36&amp;Paramètres!L36&amp;Paramètres!N36="",Dossiers!$D$5,MAX(IF(Paramètres!J36="",0,IF(Paramètres!K36="",NA(),IF(LEFT(TRIM(Paramètres!K36),1)="F",INDEX($F$59:$F$111,MATCH(Paramètres!J36,Paramètres!$G$5:$G$57,0)),INDEX($E$59:$E$111,MATCH(Paramètres!J36,Paramètres!$G$5:$G$57,0)))+IF(RIGHT(TRIM(Paramètres!K36),3)="Fin",1-$H90,IF(LEFT(TRIM(Paramètres!K36),1)="F",1,0)))),IF(Paramètres!L36="",0,IF(Paramètres!M36="",NA(),IF(LEFT(TRIM(Paramètres!M36),1)="F",INDEX($F$59:$F$111,MATCH(Paramètres!L36,Paramètres!$G$5:$G$57,0)),INDEX($E$59:$E$111,MATCH(Paramètres!L36,Paramètres!$G$5:$G$57,0)))+IF(RIGHT(TRIM(Paramètres!M36),3)="Fin",1-$H90,IF(LEFT(TRIM(Paramètres!M36),1)="F",1,0)))),IF(Paramètres!N36="",0,IF(Paramètres!O36="",NA(),IF(LEFT(TRIM(Paramètres!O36),1)="F",INDEX($F$59:$F$111,MATCH(Paramètres!N36,Paramètres!$G$5:$G$57,0)),INDEX($E$59:$E$111,MATCH(Paramètres!N36,Paramètres!$G$5:$G$57,0)))+IF(RIGHT(TRIM(Paramètres!O36),3)="Fin",1-$H90,IF(LEFT(TRIM(Paramètres!O36),1)="F",1,0)))))))</f>
        <v/>
      </c>
      <c r="F90" s="19">
        <f>IF($A90="","",E90+$H90-1)</f>
        <v/>
      </c>
      <c r="G90" s="18" t="n"/>
      <c r="H90" s="18">
        <f>IF($A90="","",IF(I90&lt;&gt;"",I90,Paramètres!B36))</f>
        <v/>
      </c>
      <c r="I90" s="18" t="n"/>
    </row>
    <row r="91">
      <c r="A91" s="18">
        <f>IF(ISNUMBER(Dossiers!$D$5),Dossiers!$A$5&amp;" · "&amp;Dossiers!$B$5,"")</f>
        <v/>
      </c>
      <c r="B91" s="18">
        <f>IF($A91="","",Paramètres!G37)</f>
        <v/>
      </c>
      <c r="C91" s="18">
        <f>IF($A91="","",IF(Paramètres!H37="","",Paramètres!H37))</f>
        <v/>
      </c>
      <c r="D91" s="18">
        <f>IF($A91="","",IF(Paramètres!I37="","",Paramètres!I37))</f>
        <v/>
      </c>
      <c r="E91" s="19">
        <f>IF($A91="","",MIN(E92:E109))</f>
        <v/>
      </c>
      <c r="F91" s="19">
        <f>IF($A91="","",MAX(F92:F109))</f>
        <v/>
      </c>
      <c r="G91" s="18" t="n"/>
      <c r="H91" s="18">
        <f>IF($A91="","",F91-E91+1)</f>
        <v/>
      </c>
      <c r="I91" s="18" t="n"/>
    </row>
    <row r="92">
      <c r="A92" s="18">
        <f>IF(ISNUMBER(Dossiers!$D$5),Dossiers!$A$5&amp;" · "&amp;Dossiers!$B$5,"")</f>
        <v/>
      </c>
      <c r="B92" s="18">
        <f>IF($A92="","",Paramètres!G38)</f>
        <v/>
      </c>
      <c r="C92" s="18">
        <f>IF($A92="","",IF(Paramètres!H38="","",Paramètres!H38))</f>
        <v/>
      </c>
      <c r="D92" s="18">
        <f>IF($A92="","",IF(Paramètres!I38="","",Paramètres!I38))</f>
        <v/>
      </c>
      <c r="E92" s="19">
        <f>IF($A92="","",IF(Paramètres!J38&amp;Paramètres!L38&amp;Paramètres!N38="",Dossiers!$D$5,MAX(IF(Paramètres!J38="",0,IF(Paramètres!K38="",NA(),IF(LEFT(TRIM(Paramètres!K38),1)="F",INDEX($F$59:$F$111,MATCH(Paramètres!J38,Paramètres!$G$5:$G$57,0)),INDEX($E$59:$E$111,MATCH(Paramètres!J38,Paramètres!$G$5:$G$57,0)))+IF(RIGHT(TRIM(Paramètres!K38),3)="Fin",1-$H92,IF(LEFT(TRIM(Paramètres!K38),1)="F",1,0)))),IF(Paramètres!L38="",0,IF(Paramètres!M38="",NA(),IF(LEFT(TRIM(Paramètres!M38),1)="F",INDEX($F$59:$F$111,MATCH(Paramètres!L38,Paramètres!$G$5:$G$57,0)),INDEX($E$59:$E$111,MATCH(Paramètres!L38,Paramètres!$G$5:$G$57,0)))+IF(RIGHT(TRIM(Paramètres!M38),3)="Fin",1-$H92,IF(LEFT(TRIM(Paramètres!M38),1)="F",1,0)))),IF(Paramètres!N38="",0,IF(Paramètres!O38="",NA(),IF(LEFT(TRIM(Paramètres!O38),1)="F",INDEX($F$59:$F$111,MATCH(Paramètres!N38,Paramètres!$G$5:$G$57,0)),INDEX($E$59:$E$111,MATCH(Paramètres!N38,Paramètres!$G$5:$G$57,0)))+IF(RIGHT(TRIM(Paramètres!O38),3)="Fin",1-$H92,IF(LEFT(TRIM(Paramètres!O38),1)="F",1,0)))))))</f>
        <v/>
      </c>
      <c r="F92" s="19">
        <f>IF($A92="","",E92+$H92-1)</f>
        <v/>
      </c>
      <c r="G92" s="18" t="n"/>
      <c r="H92" s="18">
        <f>IF($A92="","",IF(I92&lt;&gt;"",I92,Paramètres!B38))</f>
        <v/>
      </c>
      <c r="I92" s="18" t="n">
        <v>1</v>
      </c>
    </row>
    <row r="93">
      <c r="A93" s="18">
        <f>IF(ISNUMBER(Dossiers!$D$5),Dossiers!$A$5&amp;" · "&amp;Dossiers!$B$5,"")</f>
        <v/>
      </c>
      <c r="B93" s="18">
        <f>IF($A93="","",Paramètres!G39)</f>
        <v/>
      </c>
      <c r="C93" s="18">
        <f>IF($A93="","",IF(Paramètres!H39="","",Paramètres!H39))</f>
        <v/>
      </c>
      <c r="D93" s="18">
        <f>IF($A93="","",IF(Paramètres!I39="","",Paramètres!I39))</f>
        <v/>
      </c>
      <c r="E93" s="19">
        <f>IF($A93="","",IF(Paramètres!J39&amp;Paramètres!L39&amp;Paramètres!N39="",Dossiers!$D$5,MAX(IF(Paramètres!J39="",0,IF(Paramètres!K39="",NA(),IF(LEFT(TRIM(Paramètres!K39),1)="F",INDEX($F$59:$F$111,MATCH(Paramètres!J39,Paramètres!$G$5:$G$57,0)),INDEX($E$59:$E$111,MATCH(Paramètres!J39,Paramètres!$G$5:$G$57,0)))+IF(RIGHT(TRIM(Paramètres!K39),3)="Fin",1-$H93,IF(LEFT(TRIM(Paramètres!K39),1)="F",1,0)))),IF(Paramètres!L39="",0,IF(Paramètres!M39="",NA(),IF(LEFT(TRIM(Paramètres!M39),1)="F",INDEX($F$59:$F$111,MATCH(Paramètres!L39,Paramètres!$G$5:$G$57,0)),INDEX($E$59:$E$111,MATCH(Paramètres!L39,Paramètres!$G$5:$G$57,0)))+IF(RIGHT(TRIM(Paramètres!M39),3)="Fin",1-$H93,IF(LEFT(TRIM(Paramètres!M39),1)="F",1,0)))),IF(Paramètres!N39="",0,IF(Paramètres!O39="",NA(),IF(LEFT(TRIM(Paramètres!O39),1)="F",INDEX($F$59:$F$111,MATCH(Paramètres!N39,Paramètres!$G$5:$G$57,0)),INDEX($E$59:$E$111,MATCH(Paramètres!N39,Paramètres!$G$5:$G$57,0)))+IF(RIGHT(TRIM(Paramètres!O39),3)="Fin",1-$H93,IF(LEFT(TRIM(Paramètres!O39),1)="F",1,0)))))))</f>
        <v/>
      </c>
      <c r="F93" s="19">
        <f>IF($A93="","",E93+$H93-1)</f>
        <v/>
      </c>
      <c r="G93" s="18" t="n"/>
      <c r="H93" s="18">
        <f>IF($A93="","",IF(I93&lt;&gt;"",I93,Paramètres!B39))</f>
        <v/>
      </c>
      <c r="I93" s="18" t="n"/>
    </row>
    <row r="94">
      <c r="A94" s="18">
        <f>IF(ISNUMBER(Dossiers!$D$5),Dossiers!$A$5&amp;" · "&amp;Dossiers!$B$5,"")</f>
        <v/>
      </c>
      <c r="B94" s="18">
        <f>IF($A94="","",Paramètres!G40)</f>
        <v/>
      </c>
      <c r="C94" s="18">
        <f>IF($A94="","",IF(Paramètres!H40="","",Paramètres!H40))</f>
        <v/>
      </c>
      <c r="D94" s="18">
        <f>IF($A94="","",IF(Paramètres!I40="","",Paramètres!I40))</f>
        <v/>
      </c>
      <c r="E94" s="19">
        <f>IF($A94="","",IF(Paramètres!J40&amp;Paramètres!L40&amp;Paramètres!N40="",Dossiers!$D$5,MAX(IF(Paramètres!J40="",0,IF(Paramètres!K40="",NA(),IF(LEFT(TRIM(Paramètres!K40),1)="F",INDEX($F$59:$F$111,MATCH(Paramètres!J40,Paramètres!$G$5:$G$57,0)),INDEX($E$59:$E$111,MATCH(Paramètres!J40,Paramètres!$G$5:$G$57,0)))+IF(RIGHT(TRIM(Paramètres!K40),3)="Fin",1-$H94,IF(LEFT(TRIM(Paramètres!K40),1)="F",1,0)))),IF(Paramètres!L40="",0,IF(Paramètres!M40="",NA(),IF(LEFT(TRIM(Paramètres!M40),1)="F",INDEX($F$59:$F$111,MATCH(Paramètres!L40,Paramètres!$G$5:$G$57,0)),INDEX($E$59:$E$111,MATCH(Paramètres!L40,Paramètres!$G$5:$G$57,0)))+IF(RIGHT(TRIM(Paramètres!M40),3)="Fin",1-$H94,IF(LEFT(TRIM(Paramètres!M40),1)="F",1,0)))),IF(Paramètres!N40="",0,IF(Paramètres!O40="",NA(),IF(LEFT(TRIM(Paramètres!O40),1)="F",INDEX($F$59:$F$111,MATCH(Paramètres!N40,Paramètres!$G$5:$G$57,0)),INDEX($E$59:$E$111,MATCH(Paramètres!N40,Paramètres!$G$5:$G$57,0)))+IF(RIGHT(TRIM(Paramètres!O40),3)="Fin",1-$H94,IF(LEFT(TRIM(Paramètres!O40),1)="F",1,0)))))))</f>
        <v/>
      </c>
      <c r="F94" s="19">
        <f>IF($A94="","",E94+$H94-1)</f>
        <v/>
      </c>
      <c r="G94" s="18" t="n"/>
      <c r="H94" s="18">
        <f>IF($A94="","",IF(I94&lt;&gt;"",I94,Paramètres!B40))</f>
        <v/>
      </c>
      <c r="I94" s="18" t="n"/>
    </row>
    <row r="95">
      <c r="A95" s="18">
        <f>IF(ISNUMBER(Dossiers!$D$5),Dossiers!$A$5&amp;" · "&amp;Dossiers!$B$5,"")</f>
        <v/>
      </c>
      <c r="B95" s="18">
        <f>IF($A95="","",Paramètres!G41)</f>
        <v/>
      </c>
      <c r="C95" s="18">
        <f>IF($A95="","",IF(Paramètres!H41="","",Paramètres!H41))</f>
        <v/>
      </c>
      <c r="D95" s="18">
        <f>IF($A95="","",IF(Paramètres!I41="","",Paramètres!I41))</f>
        <v/>
      </c>
      <c r="E95" s="19">
        <f>IF($A95="","",IF(Paramètres!J41&amp;Paramètres!L41&amp;Paramètres!N41="",Dossiers!$D$5,MAX(IF(Paramètres!J41="",0,IF(Paramètres!K41="",NA(),IF(LEFT(TRIM(Paramètres!K41),1)="F",INDEX($F$59:$F$111,MATCH(Paramètres!J41,Paramètres!$G$5:$G$57,0)),INDEX($E$59:$E$111,MATCH(Paramètres!J41,Paramètres!$G$5:$G$57,0)))+IF(RIGHT(TRIM(Paramètres!K41),3)="Fin",1-$H95,IF(LEFT(TRIM(Paramètres!K41),1)="F",1,0)))),IF(Paramètres!L41="",0,IF(Paramètres!M41="",NA(),IF(LEFT(TRIM(Paramètres!M41),1)="F",INDEX($F$59:$F$111,MATCH(Paramètres!L41,Paramètres!$G$5:$G$57,0)),INDEX($E$59:$E$111,MATCH(Paramètres!L41,Paramètres!$G$5:$G$57,0)))+IF(RIGHT(TRIM(Paramètres!M41),3)="Fin",1-$H95,IF(LEFT(TRIM(Paramètres!M41),1)="F",1,0)))),IF(Paramètres!N41="",0,IF(Paramètres!O41="",NA(),IF(LEFT(TRIM(Paramètres!O41),1)="F",INDEX($F$59:$F$111,MATCH(Paramètres!N41,Paramètres!$G$5:$G$57,0)),INDEX($E$59:$E$111,MATCH(Paramètres!N41,Paramètres!$G$5:$G$57,0)))+IF(RIGHT(TRIM(Paramètres!O41),3)="Fin",1-$H95,IF(LEFT(TRIM(Paramètres!O41),1)="F",1,0)))))))</f>
        <v/>
      </c>
      <c r="F95" s="19">
        <f>IF($A95="","",E95+$H95-1)</f>
        <v/>
      </c>
      <c r="G95" s="18" t="n"/>
      <c r="H95" s="18">
        <f>IF($A95="","",IF(I95&lt;&gt;"",I95,Paramètres!B41))</f>
        <v/>
      </c>
      <c r="I95" s="18" t="n">
        <v>1</v>
      </c>
    </row>
    <row r="96">
      <c r="A96" s="18">
        <f>IF(ISNUMBER(Dossiers!$D$5),Dossiers!$A$5&amp;" · "&amp;Dossiers!$B$5,"")</f>
        <v/>
      </c>
      <c r="B96" s="18">
        <f>IF($A96="","",Paramètres!G42)</f>
        <v/>
      </c>
      <c r="C96" s="18">
        <f>IF($A96="","",IF(Paramètres!H42="","",Paramètres!H42))</f>
        <v/>
      </c>
      <c r="D96" s="18">
        <f>IF($A96="","",IF(Paramètres!I42="","",Paramètres!I42))</f>
        <v/>
      </c>
      <c r="E96" s="19">
        <f>IF($A96="","",IF(Paramètres!J42&amp;Paramètres!L42&amp;Paramètres!N42="",Dossiers!$D$5,MAX(IF(Paramètres!J42="",0,IF(Paramètres!K42="",NA(),IF(LEFT(TRIM(Paramètres!K42),1)="F",INDEX($F$59:$F$111,MATCH(Paramètres!J42,Paramètres!$G$5:$G$57,0)),INDEX($E$59:$E$111,MATCH(Paramètres!J42,Paramètres!$G$5:$G$57,0)))+IF(RIGHT(TRIM(Paramètres!K42),3)="Fin",1-$H96,IF(LEFT(TRIM(Paramètres!K42),1)="F",1,0)))),IF(Paramètres!L42="",0,IF(Paramètres!M42="",NA(),IF(LEFT(TRIM(Paramètres!M42),1)="F",INDEX($F$59:$F$111,MATCH(Paramètres!L42,Paramètres!$G$5:$G$57,0)),INDEX($E$59:$E$111,MATCH(Paramètres!L42,Paramètres!$G$5:$G$57,0)))+IF(RIGHT(TRIM(Paramètres!M42),3)="Fin",1-$H96,IF(LEFT(TRIM(Paramètres!M42),1)="F",1,0)))),IF(Paramètres!N42="",0,IF(Paramètres!O42="",NA(),IF(LEFT(TRIM(Paramètres!O42),1)="F",INDEX($F$59:$F$111,MATCH(Paramètres!N42,Paramètres!$G$5:$G$57,0)),INDEX($E$59:$E$111,MATCH(Paramètres!N42,Paramètres!$G$5:$G$57,0)))+IF(RIGHT(TRIM(Paramètres!O42),3)="Fin",1-$H96,IF(LEFT(TRIM(Paramètres!O42),1)="F",1,0)))))))</f>
        <v/>
      </c>
      <c r="F96" s="19">
        <f>IF($A96="","",E96+$H96-1)</f>
        <v/>
      </c>
      <c r="G96" s="18" t="n"/>
      <c r="H96" s="18">
        <f>IF($A96="","",IF(I96&lt;&gt;"",I96,Paramètres!B42))</f>
        <v/>
      </c>
      <c r="I96" s="18" t="n"/>
    </row>
    <row r="97">
      <c r="A97" s="18">
        <f>IF(ISNUMBER(Dossiers!$D$5),Dossiers!$A$5&amp;" · "&amp;Dossiers!$B$5,"")</f>
        <v/>
      </c>
      <c r="B97" s="18">
        <f>IF($A97="","",Paramètres!G43)</f>
        <v/>
      </c>
      <c r="C97" s="18">
        <f>IF($A97="","",IF(Paramètres!H43="","",Paramètres!H43))</f>
        <v/>
      </c>
      <c r="D97" s="18">
        <f>IF($A97="","",IF(Paramètres!I43="","",Paramètres!I43))</f>
        <v/>
      </c>
      <c r="E97" s="19">
        <f>IF($A97="","",IF(Paramètres!J43&amp;Paramètres!L43&amp;Paramètres!N43="",Dossiers!$D$5,MAX(IF(Paramètres!J43="",0,IF(Paramètres!K43="",NA(),IF(LEFT(TRIM(Paramètres!K43),1)="F",INDEX($F$59:$F$111,MATCH(Paramètres!J43,Paramètres!$G$5:$G$57,0)),INDEX($E$59:$E$111,MATCH(Paramètres!J43,Paramètres!$G$5:$G$57,0)))+IF(RIGHT(TRIM(Paramètres!K43),3)="Fin",1-$H97,IF(LEFT(TRIM(Paramètres!K43),1)="F",1,0)))),IF(Paramètres!L43="",0,IF(Paramètres!M43="",NA(),IF(LEFT(TRIM(Paramètres!M43),1)="F",INDEX($F$59:$F$111,MATCH(Paramètres!L43,Paramètres!$G$5:$G$57,0)),INDEX($E$59:$E$111,MATCH(Paramètres!L43,Paramètres!$G$5:$G$57,0)))+IF(RIGHT(TRIM(Paramètres!M43),3)="Fin",1-$H97,IF(LEFT(TRIM(Paramètres!M43),1)="F",1,0)))),IF(Paramètres!N43="",0,IF(Paramètres!O43="",NA(),IF(LEFT(TRIM(Paramètres!O43),1)="F",INDEX($F$59:$F$111,MATCH(Paramètres!N43,Paramètres!$G$5:$G$57,0)),INDEX($E$59:$E$111,MATCH(Paramètres!N43,Paramètres!$G$5:$G$57,0)))+IF(RIGHT(TRIM(Paramètres!O43),3)="Fin",1-$H97,IF(LEFT(TRIM(Paramètres!O43),1)="F",1,0)))))))</f>
        <v/>
      </c>
      <c r="F97" s="19">
        <f>IF($A97="","",E97+$H97-1)</f>
        <v/>
      </c>
      <c r="G97" s="18" t="n"/>
      <c r="H97" s="18">
        <f>IF($A97="","",IF(I97&lt;&gt;"",I97,Paramètres!B43))</f>
        <v/>
      </c>
      <c r="I97" s="18" t="n"/>
    </row>
    <row r="98">
      <c r="A98" s="18">
        <f>IF(ISNUMBER(Dossiers!$D$5),Dossiers!$A$5&amp;" · "&amp;Dossiers!$B$5,"")</f>
        <v/>
      </c>
      <c r="B98" s="18">
        <f>IF($A98="","",Paramètres!G44)</f>
        <v/>
      </c>
      <c r="C98" s="18">
        <f>IF($A98="","",IF(Paramètres!H44="","",Paramètres!H44))</f>
        <v/>
      </c>
      <c r="D98" s="18">
        <f>IF($A98="","",IF(Paramètres!I44="","",Paramètres!I44))</f>
        <v/>
      </c>
      <c r="E98" s="19">
        <f>IF($A98="","",IF(Paramètres!J44&amp;Paramètres!L44&amp;Paramètres!N44="",Dossiers!$D$5,MAX(IF(Paramètres!J44="",0,IF(Paramètres!K44="",NA(),IF(LEFT(TRIM(Paramètres!K44),1)="F",INDEX($F$59:$F$111,MATCH(Paramètres!J44,Paramètres!$G$5:$G$57,0)),INDEX($E$59:$E$111,MATCH(Paramètres!J44,Paramètres!$G$5:$G$57,0)))+IF(RIGHT(TRIM(Paramètres!K44),3)="Fin",1-$H98,IF(LEFT(TRIM(Paramètres!K44),1)="F",1,0)))),IF(Paramètres!L44="",0,IF(Paramètres!M44="",NA(),IF(LEFT(TRIM(Paramètres!M44),1)="F",INDEX($F$59:$F$111,MATCH(Paramètres!L44,Paramètres!$G$5:$G$57,0)),INDEX($E$59:$E$111,MATCH(Paramètres!L44,Paramètres!$G$5:$G$57,0)))+IF(RIGHT(TRIM(Paramètres!M44),3)="Fin",1-$H98,IF(LEFT(TRIM(Paramètres!M44),1)="F",1,0)))),IF(Paramètres!N44="",0,IF(Paramètres!O44="",NA(),IF(LEFT(TRIM(Paramètres!O44),1)="F",INDEX($F$59:$F$111,MATCH(Paramètres!N44,Paramètres!$G$5:$G$57,0)),INDEX($E$59:$E$111,MATCH(Paramètres!N44,Paramètres!$G$5:$G$57,0)))+IF(RIGHT(TRIM(Paramètres!O44),3)="Fin",1-$H98,IF(LEFT(TRIM(Paramètres!O44),1)="F",1,0)))))))</f>
        <v/>
      </c>
      <c r="F98" s="19">
        <f>IF($A98="","",E98+$H98-1)</f>
        <v/>
      </c>
      <c r="G98" s="18" t="n"/>
      <c r="H98" s="18">
        <f>IF($A98="","",IF(I98&lt;&gt;"",I98,Paramètres!B44))</f>
        <v/>
      </c>
      <c r="I98" s="18" t="n"/>
    </row>
    <row r="99">
      <c r="A99" s="18">
        <f>IF(ISNUMBER(Dossiers!$D$5),Dossiers!$A$5&amp;" · "&amp;Dossiers!$B$5,"")</f>
        <v/>
      </c>
      <c r="B99" s="18">
        <f>IF($A99="","",Paramètres!G45)</f>
        <v/>
      </c>
      <c r="C99" s="20">
        <f>IF($A99="","",IF(Dossiers!$G$5="","",Dossiers!$G$5))</f>
        <v/>
      </c>
      <c r="D99" s="18">
        <f>IF($A99="","",IF(Paramètres!I45="","",Paramètres!I45))</f>
        <v/>
      </c>
      <c r="E99" s="19">
        <f>IF($A99="","",IF(Paramètres!J45&amp;Paramètres!L45&amp;Paramètres!N45="",Dossiers!$D$5,MAX(IF(Paramètres!J45="",0,IF(Paramètres!K45="",NA(),IF(LEFT(TRIM(Paramètres!K45),1)="F",INDEX($F$59:$F$111,MATCH(Paramètres!J45,Paramètres!$G$5:$G$57,0)),INDEX($E$59:$E$111,MATCH(Paramètres!J45,Paramètres!$G$5:$G$57,0)))+IF(RIGHT(TRIM(Paramètres!K45),3)="Fin",1-$H99,IF(LEFT(TRIM(Paramètres!K45),1)="F",1,0)))),IF(Paramètres!L45="",0,IF(Paramètres!M45="",NA(),IF(LEFT(TRIM(Paramètres!M45),1)="F",INDEX($F$59:$F$111,MATCH(Paramètres!L45,Paramètres!$G$5:$G$57,0)),INDEX($E$59:$E$111,MATCH(Paramètres!L45,Paramètres!$G$5:$G$57,0)))+IF(RIGHT(TRIM(Paramètres!M45),3)="Fin",1-$H99,IF(LEFT(TRIM(Paramètres!M45),1)="F",1,0)))),IF(Paramètres!N45="",0,IF(Paramètres!O45="",NA(),IF(LEFT(TRIM(Paramètres!O45),1)="F",INDEX($F$59:$F$111,MATCH(Paramètres!N45,Paramètres!$G$5:$G$57,0)),INDEX($E$59:$E$111,MATCH(Paramètres!N45,Paramètres!$G$5:$G$57,0)))+IF(RIGHT(TRIM(Paramètres!O45),3)="Fin",1-$H99,IF(LEFT(TRIM(Paramètres!O45),1)="F",1,0)))))))</f>
        <v/>
      </c>
      <c r="F99" s="19">
        <f>IF($A99="","",E99+$H99-1)</f>
        <v/>
      </c>
      <c r="G99" s="18" t="n"/>
      <c r="H99" s="18">
        <f>IF($A99="","",IF(I99&lt;&gt;"",I99,Paramètres!B45))</f>
        <v/>
      </c>
      <c r="I99" s="18" t="n"/>
    </row>
    <row r="100">
      <c r="A100" s="18">
        <f>IF(ISNUMBER(Dossiers!$D$5),Dossiers!$A$5&amp;" · "&amp;Dossiers!$B$5,"")</f>
        <v/>
      </c>
      <c r="B100" s="18">
        <f>IF($A100="","",Paramètres!G46)</f>
        <v/>
      </c>
      <c r="C100" s="18">
        <f>IF($A100="","",IF(Paramètres!H46="","",Paramètres!H46))</f>
        <v/>
      </c>
      <c r="D100" s="18">
        <f>IF($A100="","",IF(Paramètres!I46="","",Paramètres!I46))</f>
        <v/>
      </c>
      <c r="E100" s="19">
        <f>IF($A100="","",IF(Paramètres!J46&amp;Paramètres!L46&amp;Paramètres!N46="",Dossiers!$D$5,MAX(IF(Paramètres!J46="",0,IF(Paramètres!K46="",NA(),IF(LEFT(TRIM(Paramètres!K46),1)="F",INDEX($F$59:$F$111,MATCH(Paramètres!J46,Paramètres!$G$5:$G$57,0)),INDEX($E$59:$E$111,MATCH(Paramètres!J46,Paramètres!$G$5:$G$57,0)))+IF(RIGHT(TRIM(Paramètres!K46),3)="Fin",1-$H100,IF(LEFT(TRIM(Paramètres!K46),1)="F",1,0)))),IF(Paramètres!L46="",0,IF(Paramètres!M46="",NA(),IF(LEFT(TRIM(Paramètres!M46),1)="F",INDEX($F$59:$F$111,MATCH(Paramètres!L46,Paramètres!$G$5:$G$57,0)),INDEX($E$59:$E$111,MATCH(Paramètres!L46,Paramètres!$G$5:$G$57,0)))+IF(RIGHT(TRIM(Paramètres!M46),3)="Fin",1-$H100,IF(LEFT(TRIM(Paramètres!M46),1)="F",1,0)))),IF(Paramètres!N46="",0,IF(Paramètres!O46="",NA(),IF(LEFT(TRIM(Paramètres!O46),1)="F",INDEX($F$59:$F$111,MATCH(Paramètres!N46,Paramètres!$G$5:$G$57,0)),INDEX($E$59:$E$111,MATCH(Paramètres!N46,Paramètres!$G$5:$G$57,0)))+IF(RIGHT(TRIM(Paramètres!O46),3)="Fin",1-$H100,IF(LEFT(TRIM(Paramètres!O46),1)="F",1,0)))))))</f>
        <v/>
      </c>
      <c r="F100" s="19">
        <f>IF($A100="","",E100+$H100-1)</f>
        <v/>
      </c>
      <c r="G100" s="18" t="n"/>
      <c r="H100" s="18">
        <f>IF($A100="","",IF(I100&lt;&gt;"",I100,Paramètres!B46))</f>
        <v/>
      </c>
      <c r="I100" s="18" t="n"/>
    </row>
    <row r="101">
      <c r="A101" s="18">
        <f>IF(ISNUMBER(Dossiers!$D$5),Dossiers!$A$5&amp;" · "&amp;Dossiers!$B$5,"")</f>
        <v/>
      </c>
      <c r="B101" s="18">
        <f>IF($A101="","",Paramètres!G47)</f>
        <v/>
      </c>
      <c r="C101" s="18">
        <f>IF($A101="","",IF(Paramètres!H47="","",Paramètres!H47))</f>
        <v/>
      </c>
      <c r="D101" s="18">
        <f>IF($A101="","",IF(Paramètres!I47="","",Paramètres!I47))</f>
        <v/>
      </c>
      <c r="E101" s="19">
        <f>IF($A101="","",IF(Paramètres!J47&amp;Paramètres!L47&amp;Paramètres!N47="",Dossiers!$D$5,MAX(IF(Paramètres!J47="",0,IF(Paramètres!K47="",NA(),IF(LEFT(TRIM(Paramètres!K47),1)="F",INDEX($F$59:$F$111,MATCH(Paramètres!J47,Paramètres!$G$5:$G$57,0)),INDEX($E$59:$E$111,MATCH(Paramètres!J47,Paramètres!$G$5:$G$57,0)))+IF(RIGHT(TRIM(Paramètres!K47),3)="Fin",1-$H101,IF(LEFT(TRIM(Paramètres!K47),1)="F",1,0)))),IF(Paramètres!L47="",0,IF(Paramètres!M47="",NA(),IF(LEFT(TRIM(Paramètres!M47),1)="F",INDEX($F$59:$F$111,MATCH(Paramètres!L47,Paramètres!$G$5:$G$57,0)),INDEX($E$59:$E$111,MATCH(Paramètres!L47,Paramètres!$G$5:$G$57,0)))+IF(RIGHT(TRIM(Paramètres!M47),3)="Fin",1-$H101,IF(LEFT(TRIM(Paramètres!M47),1)="F",1,0)))),IF(Paramètres!N47="",0,IF(Paramètres!O47="",NA(),IF(LEFT(TRIM(Paramètres!O47),1)="F",INDEX($F$59:$F$111,MATCH(Paramètres!N47,Paramètres!$G$5:$G$57,0)),INDEX($E$59:$E$111,MATCH(Paramètres!N47,Paramètres!$G$5:$G$57,0)))+IF(RIGHT(TRIM(Paramètres!O47),3)="Fin",1-$H101,IF(LEFT(TRIM(Paramètres!O47),1)="F",1,0)))))))</f>
        <v/>
      </c>
      <c r="F101" s="19">
        <f>IF($A101="","",E101+$H101-1)</f>
        <v/>
      </c>
      <c r="G101" s="18" t="n"/>
      <c r="H101" s="18">
        <f>IF($A101="","",IF(I101&lt;&gt;"",I101,Paramètres!B47))</f>
        <v/>
      </c>
      <c r="I101" s="18" t="n"/>
    </row>
    <row r="102">
      <c r="A102" s="18">
        <f>IF(ISNUMBER(Dossiers!$D$5),Dossiers!$A$5&amp;" · "&amp;Dossiers!$B$5,"")</f>
        <v/>
      </c>
      <c r="B102" s="18">
        <f>IF($A102="","",Paramètres!G48)</f>
        <v/>
      </c>
      <c r="C102" s="18">
        <f>IF($A102="","",IF(Paramètres!H48="","",Paramètres!H48))</f>
        <v/>
      </c>
      <c r="D102" s="18">
        <f>IF($A102="","",IF(Paramètres!I48="","",Paramètres!I48))</f>
        <v/>
      </c>
      <c r="E102" s="19">
        <f>IF($A102="","",IF(Paramètres!J48&amp;Paramètres!L48&amp;Paramètres!N48="",Dossiers!$D$5,MAX(IF(Paramètres!J48="",0,IF(Paramètres!K48="",NA(),IF(LEFT(TRIM(Paramètres!K48),1)="F",INDEX($F$59:$F$111,MATCH(Paramètres!J48,Paramètres!$G$5:$G$57,0)),INDEX($E$59:$E$111,MATCH(Paramètres!J48,Paramètres!$G$5:$G$57,0)))+IF(RIGHT(TRIM(Paramètres!K48),3)="Fin",1-$H102,IF(LEFT(TRIM(Paramètres!K48),1)="F",1,0)))),IF(Paramètres!L48="",0,IF(Paramètres!M48="",NA(),IF(LEFT(TRIM(Paramètres!M48),1)="F",INDEX($F$59:$F$111,MATCH(Paramètres!L48,Paramètres!$G$5:$G$57,0)),INDEX($E$59:$E$111,MATCH(Paramètres!L48,Paramètres!$G$5:$G$57,0)))+IF(RIGHT(TRIM(Paramètres!M48),3)="Fin",1-$H102,IF(LEFT(TRIM(Paramètres!M48),1)="F",1,0)))),IF(Paramètres!N48="",0,IF(Paramètres!O48="",NA(),IF(LEFT(TRIM(Paramètres!O48),1)="F",INDEX($F$59:$F$111,MATCH(Paramètres!N48,Paramètres!$G$5:$G$57,0)),INDEX($E$59:$E$111,MATCH(Paramètres!N48,Paramètres!$G$5:$G$57,0)))+IF(RIGHT(TRIM(Paramètres!O48),3)="Fin",1-$H102,IF(LEFT(TRIM(Paramètres!O48),1)="F",1,0)))))))</f>
        <v/>
      </c>
      <c r="F102" s="19">
        <f>IF($A102="","",E102+$H102-1)</f>
        <v/>
      </c>
      <c r="G102" s="18" t="n"/>
      <c r="H102" s="18">
        <f>IF($A102="","",IF(I102&lt;&gt;"",I102,Paramètres!B48))</f>
        <v/>
      </c>
      <c r="I102" s="18" t="n"/>
    </row>
    <row r="103">
      <c r="A103" s="18">
        <f>IF(ISNUMBER(Dossiers!$D$5),Dossiers!$A$5&amp;" · "&amp;Dossiers!$B$5,"")</f>
        <v/>
      </c>
      <c r="B103" s="18">
        <f>IF($A103="","",Paramètres!G49)</f>
        <v/>
      </c>
      <c r="C103" s="18">
        <f>IF($A103="","",IF(Paramètres!H49="","",Paramètres!H49))</f>
        <v/>
      </c>
      <c r="D103" s="18">
        <f>IF($A103="","",IF(Paramètres!I49="","",Paramètres!I49))</f>
        <v/>
      </c>
      <c r="E103" s="19">
        <f>IF($A103="","",IF(Paramètres!J49&amp;Paramètres!L49&amp;Paramètres!N49="",Dossiers!$D$5,MAX(IF(Paramètres!J49="",0,IF(Paramètres!K49="",NA(),IF(LEFT(TRIM(Paramètres!K49),1)="F",INDEX($F$59:$F$111,MATCH(Paramètres!J49,Paramètres!$G$5:$G$57,0)),INDEX($E$59:$E$111,MATCH(Paramètres!J49,Paramètres!$G$5:$G$57,0)))+IF(RIGHT(TRIM(Paramètres!K49),3)="Fin",1-$H103,IF(LEFT(TRIM(Paramètres!K49),1)="F",1,0)))),IF(Paramètres!L49="",0,IF(Paramètres!M49="",NA(),IF(LEFT(TRIM(Paramètres!M49),1)="F",INDEX($F$59:$F$111,MATCH(Paramètres!L49,Paramètres!$G$5:$G$57,0)),INDEX($E$59:$E$111,MATCH(Paramètres!L49,Paramètres!$G$5:$G$57,0)))+IF(RIGHT(TRIM(Paramètres!M49),3)="Fin",1-$H103,IF(LEFT(TRIM(Paramètres!M49),1)="F",1,0)))),IF(Paramètres!N49="",0,IF(Paramètres!O49="",NA(),IF(LEFT(TRIM(Paramètres!O49),1)="F",INDEX($F$59:$F$111,MATCH(Paramètres!N49,Paramètres!$G$5:$G$57,0)),INDEX($E$59:$E$111,MATCH(Paramètres!N49,Paramètres!$G$5:$G$57,0)))+IF(RIGHT(TRIM(Paramètres!O49),3)="Fin",1-$H103,IF(LEFT(TRIM(Paramètres!O49),1)="F",1,0)))))))</f>
        <v/>
      </c>
      <c r="F103" s="19">
        <f>IF($A103="","",E103+$H103-1)</f>
        <v/>
      </c>
      <c r="G103" s="18" t="n"/>
      <c r="H103" s="18">
        <f>IF($A103="","",IF(I103&lt;&gt;"",I103,Paramètres!B49))</f>
        <v/>
      </c>
      <c r="I103" s="18" t="n"/>
    </row>
    <row r="104">
      <c r="A104" s="18">
        <f>IF(ISNUMBER(Dossiers!$D$5),Dossiers!$A$5&amp;" · "&amp;Dossiers!$B$5,"")</f>
        <v/>
      </c>
      <c r="B104" s="18">
        <f>IF($A104="","",Paramètres!G50)</f>
        <v/>
      </c>
      <c r="C104" s="18">
        <f>IF($A104="","",IF(Paramètres!H50="","",Paramètres!H50))</f>
        <v/>
      </c>
      <c r="D104" s="18">
        <f>IF($A104="","",IF(Paramètres!I50="","",Paramètres!I50))</f>
        <v/>
      </c>
      <c r="E104" s="19">
        <f>IF($A104="","",IF(Paramètres!J50&amp;Paramètres!L50&amp;Paramètres!N50="",Dossiers!$D$5,MAX(IF(Paramètres!J50="",0,IF(Paramètres!K50="",NA(),IF(LEFT(TRIM(Paramètres!K50),1)="F",INDEX($F$59:$F$111,MATCH(Paramètres!J50,Paramètres!$G$5:$G$57,0)),INDEX($E$59:$E$111,MATCH(Paramètres!J50,Paramètres!$G$5:$G$57,0)))+IF(RIGHT(TRIM(Paramètres!K50),3)="Fin",1-$H104,IF(LEFT(TRIM(Paramètres!K50),1)="F",1,0)))),IF(Paramètres!L50="",0,IF(Paramètres!M50="",NA(),IF(LEFT(TRIM(Paramètres!M50),1)="F",INDEX($F$59:$F$111,MATCH(Paramètres!L50,Paramètres!$G$5:$G$57,0)),INDEX($E$59:$E$111,MATCH(Paramètres!L50,Paramètres!$G$5:$G$57,0)))+IF(RIGHT(TRIM(Paramètres!M50),3)="Fin",1-$H104,IF(LEFT(TRIM(Paramètres!M50),1)="F",1,0)))),IF(Paramètres!N50="",0,IF(Paramètres!O50="",NA(),IF(LEFT(TRIM(Paramètres!O50),1)="F",INDEX($F$59:$F$111,MATCH(Paramètres!N50,Paramètres!$G$5:$G$57,0)),INDEX($E$59:$E$111,MATCH(Paramètres!N50,Paramètres!$G$5:$G$57,0)))+IF(RIGHT(TRIM(Paramètres!O50),3)="Fin",1-$H104,IF(LEFT(TRIM(Paramètres!O50),1)="F",1,0)))))))</f>
        <v/>
      </c>
      <c r="F104" s="19">
        <f>IF($A104="","",E104+$H104-1)</f>
        <v/>
      </c>
      <c r="G104" s="18" t="n"/>
      <c r="H104" s="18">
        <f>IF($A104="","",IF(I104&lt;&gt;"",I104,Paramètres!B50))</f>
        <v/>
      </c>
      <c r="I104" s="18" t="n"/>
    </row>
    <row r="105">
      <c r="A105" s="18">
        <f>IF(ISNUMBER(Dossiers!$D$5),Dossiers!$A$5&amp;" · "&amp;Dossiers!$B$5,"")</f>
        <v/>
      </c>
      <c r="B105" s="18">
        <f>IF($A105="","",Paramètres!G51)</f>
        <v/>
      </c>
      <c r="C105" s="18">
        <f>IF($A105="","",IF(Paramètres!H51="","",Paramètres!H51))</f>
        <v/>
      </c>
      <c r="D105" s="18">
        <f>IF($A105="","",IF(Paramètres!I51="","",Paramètres!I51))</f>
        <v/>
      </c>
      <c r="E105" s="19">
        <f>IF($A105="","",IF(Paramètres!J51&amp;Paramètres!L51&amp;Paramètres!N51="",Dossiers!$D$5,MAX(IF(Paramètres!J51="",0,IF(Paramètres!K51="",NA(),IF(LEFT(TRIM(Paramètres!K51),1)="F",INDEX($F$59:$F$111,MATCH(Paramètres!J51,Paramètres!$G$5:$G$57,0)),INDEX($E$59:$E$111,MATCH(Paramètres!J51,Paramètres!$G$5:$G$57,0)))+IF(RIGHT(TRIM(Paramètres!K51),3)="Fin",1-$H105,IF(LEFT(TRIM(Paramètres!K51),1)="F",1,0)))),IF(Paramètres!L51="",0,IF(Paramètres!M51="",NA(),IF(LEFT(TRIM(Paramètres!M51),1)="F",INDEX($F$59:$F$111,MATCH(Paramètres!L51,Paramètres!$G$5:$G$57,0)),INDEX($E$59:$E$111,MATCH(Paramètres!L51,Paramètres!$G$5:$G$57,0)))+IF(RIGHT(TRIM(Paramètres!M51),3)="Fin",1-$H105,IF(LEFT(TRIM(Paramètres!M51),1)="F",1,0)))),IF(Paramètres!N51="",0,IF(Paramètres!O51="",NA(),IF(LEFT(TRIM(Paramètres!O51),1)="F",INDEX($F$59:$F$111,MATCH(Paramètres!N51,Paramètres!$G$5:$G$57,0)),INDEX($E$59:$E$111,MATCH(Paramètres!N51,Paramètres!$G$5:$G$57,0)))+IF(RIGHT(TRIM(Paramètres!O51),3)="Fin",1-$H105,IF(LEFT(TRIM(Paramètres!O51),1)="F",1,0)))))))</f>
        <v/>
      </c>
      <c r="F105" s="19">
        <f>IF($A105="","",E105+$H105-1)</f>
        <v/>
      </c>
      <c r="G105" s="18" t="n"/>
      <c r="H105" s="18">
        <f>IF($A105="","",IF(I105&lt;&gt;"",I105,Paramètres!B51))</f>
        <v/>
      </c>
      <c r="I105" s="18" t="n"/>
    </row>
    <row r="106">
      <c r="A106" s="18">
        <f>IF(ISNUMBER(Dossiers!$D$5),Dossiers!$A$5&amp;" · "&amp;Dossiers!$B$5,"")</f>
        <v/>
      </c>
      <c r="B106" s="18">
        <f>IF($A106="","",Paramètres!G52)</f>
        <v/>
      </c>
      <c r="C106" s="18">
        <f>IF($A106="","",IF(Paramètres!H52="","",Paramètres!H52))</f>
        <v/>
      </c>
      <c r="D106" s="18">
        <f>IF($A106="","",IF(Paramètres!I52="","",Paramètres!I52))</f>
        <v/>
      </c>
      <c r="E106" s="19">
        <f>IF($A106="","",IF(Paramètres!J52&amp;Paramètres!L52&amp;Paramètres!N52="",Dossiers!$D$5,MAX(IF(Paramètres!J52="",0,IF(Paramètres!K52="",NA(),IF(LEFT(TRIM(Paramètres!K52),1)="F",INDEX($F$59:$F$111,MATCH(Paramètres!J52,Paramètres!$G$5:$G$57,0)),INDEX($E$59:$E$111,MATCH(Paramètres!J52,Paramètres!$G$5:$G$57,0)))+IF(RIGHT(TRIM(Paramètres!K52),3)="Fin",1-$H106,IF(LEFT(TRIM(Paramètres!K52),1)="F",1,0)))),IF(Paramètres!L52="",0,IF(Paramètres!M52="",NA(),IF(LEFT(TRIM(Paramètres!M52),1)="F",INDEX($F$59:$F$111,MATCH(Paramètres!L52,Paramètres!$G$5:$G$57,0)),INDEX($E$59:$E$111,MATCH(Paramètres!L52,Paramètres!$G$5:$G$57,0)))+IF(RIGHT(TRIM(Paramètres!M52),3)="Fin",1-$H106,IF(LEFT(TRIM(Paramètres!M52),1)="F",1,0)))),IF(Paramètres!N52="",0,IF(Paramètres!O52="",NA(),IF(LEFT(TRIM(Paramètres!O52),1)="F",INDEX($F$59:$F$111,MATCH(Paramètres!N52,Paramètres!$G$5:$G$57,0)),INDEX($E$59:$E$111,MATCH(Paramètres!N52,Paramètres!$G$5:$G$57,0)))+IF(RIGHT(TRIM(Paramètres!O52),3)="Fin",1-$H106,IF(LEFT(TRIM(Paramètres!O52),1)="F",1,0)))))))</f>
        <v/>
      </c>
      <c r="F106" s="19">
        <f>IF($A106="","",E106+$H106-1)</f>
        <v/>
      </c>
      <c r="G106" s="18" t="n"/>
      <c r="H106" s="18">
        <f>IF($A106="","",IF(I106&lt;&gt;"",I106,Paramètres!B52))</f>
        <v/>
      </c>
      <c r="I106" s="18" t="n"/>
    </row>
    <row r="107">
      <c r="A107" s="18">
        <f>IF(ISNUMBER(Dossiers!$D$5),Dossiers!$A$5&amp;" · "&amp;Dossiers!$B$5,"")</f>
        <v/>
      </c>
      <c r="B107" s="18">
        <f>IF($A107="","",Paramètres!G53)</f>
        <v/>
      </c>
      <c r="C107" s="18">
        <f>IF($A107="","",IF(Paramètres!H53="","",Paramètres!H53))</f>
        <v/>
      </c>
      <c r="D107" s="18">
        <f>IF($A107="","",IF(Paramètres!I53="","",Paramètres!I53))</f>
        <v/>
      </c>
      <c r="E107" s="19">
        <f>IF($A107="","",IF(Paramètres!J53&amp;Paramètres!L53&amp;Paramètres!N53="",Dossiers!$D$5,MAX(IF(Paramètres!J53="",0,IF(Paramètres!K53="",NA(),IF(LEFT(TRIM(Paramètres!K53),1)="F",INDEX($F$59:$F$111,MATCH(Paramètres!J53,Paramètres!$G$5:$G$57,0)),INDEX($E$59:$E$111,MATCH(Paramètres!J53,Paramètres!$G$5:$G$57,0)))+IF(RIGHT(TRIM(Paramètres!K53),3)="Fin",1-$H107,IF(LEFT(TRIM(Paramètres!K53),1)="F",1,0)))),IF(Paramètres!L53="",0,IF(Paramètres!M53="",NA(),IF(LEFT(TRIM(Paramètres!M53),1)="F",INDEX($F$59:$F$111,MATCH(Paramètres!L53,Paramètres!$G$5:$G$57,0)),INDEX($E$59:$E$111,MATCH(Paramètres!L53,Paramètres!$G$5:$G$57,0)))+IF(RIGHT(TRIM(Paramètres!M53),3)="Fin",1-$H107,IF(LEFT(TRIM(Paramètres!M53),1)="F",1,0)))),IF(Paramètres!N53="",0,IF(Paramètres!O53="",NA(),IF(LEFT(TRIM(Paramètres!O53),1)="F",INDEX($F$59:$F$111,MATCH(Paramètres!N53,Paramètres!$G$5:$G$57,0)),INDEX($E$59:$E$111,MATCH(Paramètres!N53,Paramètres!$G$5:$G$57,0)))+IF(RIGHT(TRIM(Paramètres!O53),3)="Fin",1-$H107,IF(LEFT(TRIM(Paramètres!O53),1)="F",1,0)))))))</f>
        <v/>
      </c>
      <c r="F107" s="19">
        <f>IF($A107="","",E107+$H107-1)</f>
        <v/>
      </c>
      <c r="G107" s="18" t="n"/>
      <c r="H107" s="18">
        <f>IF($A107="","",IF(I107&lt;&gt;"",I107,Paramètres!B53))</f>
        <v/>
      </c>
      <c r="I107" s="18" t="n"/>
    </row>
    <row r="108">
      <c r="A108" s="18">
        <f>IF(ISNUMBER(Dossiers!$D$5),Dossiers!$A$5&amp;" · "&amp;Dossiers!$B$5,"")</f>
        <v/>
      </c>
      <c r="B108" s="18">
        <f>IF($A108="","",Paramètres!G54)</f>
        <v/>
      </c>
      <c r="C108" s="18">
        <f>IF($A108="","",IF(Paramètres!H54="","",Paramètres!H54))</f>
        <v/>
      </c>
      <c r="D108" s="18">
        <f>IF($A108="","",IF(Paramètres!I54="","",Paramètres!I54))</f>
        <v/>
      </c>
      <c r="E108" s="19">
        <f>IF($A108="","",IF(Paramètres!J54&amp;Paramètres!L54&amp;Paramètres!N54="",Dossiers!$D$5,MAX(IF(Paramètres!J54="",0,IF(Paramètres!K54="",NA(),IF(LEFT(TRIM(Paramètres!K54),1)="F",INDEX($F$59:$F$111,MATCH(Paramètres!J54,Paramètres!$G$5:$G$57,0)),INDEX($E$59:$E$111,MATCH(Paramètres!J54,Paramètres!$G$5:$G$57,0)))+IF(RIGHT(TRIM(Paramètres!K54),3)="Fin",1-$H108,IF(LEFT(TRIM(Paramètres!K54),1)="F",1,0)))),IF(Paramètres!L54="",0,IF(Paramètres!M54="",NA(),IF(LEFT(TRIM(Paramètres!M54),1)="F",INDEX($F$59:$F$111,MATCH(Paramètres!L54,Paramètres!$G$5:$G$57,0)),INDEX($E$59:$E$111,MATCH(Paramètres!L54,Paramètres!$G$5:$G$57,0)))+IF(RIGHT(TRIM(Paramètres!M54),3)="Fin",1-$H108,IF(LEFT(TRIM(Paramètres!M54),1)="F",1,0)))),IF(Paramètres!N54="",0,IF(Paramètres!O54="",NA(),IF(LEFT(TRIM(Paramètres!O54),1)="F",INDEX($F$59:$F$111,MATCH(Paramètres!N54,Paramètres!$G$5:$G$57,0)),INDEX($E$59:$E$111,MATCH(Paramètres!N54,Paramètres!$G$5:$G$57,0)))+IF(RIGHT(TRIM(Paramètres!O54),3)="Fin",1-$H108,IF(LEFT(TRIM(Paramètres!O54),1)="F",1,0)))))))</f>
        <v/>
      </c>
      <c r="F108" s="19">
        <f>IF($A108="","",E108+$H108-1)</f>
        <v/>
      </c>
      <c r="G108" s="18" t="n"/>
      <c r="H108" s="18">
        <f>IF($A108="","",IF(I108&lt;&gt;"",I108,Paramètres!B54))</f>
        <v/>
      </c>
      <c r="I108" s="18" t="n"/>
    </row>
    <row r="109">
      <c r="A109" s="18">
        <f>IF(ISNUMBER(Dossiers!$D$5),Dossiers!$A$5&amp;" · "&amp;Dossiers!$B$5,"")</f>
        <v/>
      </c>
      <c r="B109" s="18">
        <f>IF($A109="","",Paramètres!G55)</f>
        <v/>
      </c>
      <c r="C109" s="18">
        <f>IF($A109="","",IF(Paramètres!H55="","",Paramètres!H55))</f>
        <v/>
      </c>
      <c r="D109" s="18">
        <f>IF($A109="","",IF(Paramètres!I55="","",Paramètres!I55))</f>
        <v/>
      </c>
      <c r="E109" s="19">
        <f>IF($A109="","",IF(Paramètres!J55&amp;Paramètres!L55&amp;Paramètres!N55="",Dossiers!$D$5,MAX(IF(Paramètres!J55="",0,IF(Paramètres!K55="",NA(),IF(LEFT(TRIM(Paramètres!K55),1)="F",INDEX($F$59:$F$111,MATCH(Paramètres!J55,Paramètres!$G$5:$G$57,0)),INDEX($E$59:$E$111,MATCH(Paramètres!J55,Paramètres!$G$5:$G$57,0)))+IF(RIGHT(TRIM(Paramètres!K55),3)="Fin",1-$H109,IF(LEFT(TRIM(Paramètres!K55),1)="F",1,0)))),IF(Paramètres!L55="",0,IF(Paramètres!M55="",NA(),IF(LEFT(TRIM(Paramètres!M55),1)="F",INDEX($F$59:$F$111,MATCH(Paramètres!L55,Paramètres!$G$5:$G$57,0)),INDEX($E$59:$E$111,MATCH(Paramètres!L55,Paramètres!$G$5:$G$57,0)))+IF(RIGHT(TRIM(Paramètres!M55),3)="Fin",1-$H109,IF(LEFT(TRIM(Paramètres!M55),1)="F",1,0)))),IF(Paramètres!N55="",0,IF(Paramètres!O55="",NA(),IF(LEFT(TRIM(Paramètres!O55),1)="F",INDEX($F$59:$F$111,MATCH(Paramètres!N55,Paramètres!$G$5:$G$57,0)),INDEX($E$59:$E$111,MATCH(Paramètres!N55,Paramètres!$G$5:$G$57,0)))+IF(RIGHT(TRIM(Paramètres!O55),3)="Fin",1-$H109,IF(LEFT(TRIM(Paramètres!O55),1)="F",1,0)))))))</f>
        <v/>
      </c>
      <c r="F109" s="19">
        <f>IF($A109="","",E109+$H109-1)</f>
        <v/>
      </c>
      <c r="G109" s="18" t="n"/>
      <c r="H109" s="18">
        <f>IF($A109="","",IF(I109&lt;&gt;"",I109,Paramètres!B55))</f>
        <v/>
      </c>
      <c r="I109" s="18" t="n"/>
    </row>
    <row r="110">
      <c r="A110" s="18">
        <f>IF(ISNUMBER(Dossiers!$D$5),Dossiers!$A$5&amp;" · "&amp;Dossiers!$B$5,"")</f>
        <v/>
      </c>
      <c r="B110" s="18">
        <f>IF($A110="","",Paramètres!G56)</f>
        <v/>
      </c>
      <c r="C110" s="18">
        <f>IF($A110="","",IF(Paramètres!H56="","",Paramètres!H56))</f>
        <v/>
      </c>
      <c r="D110" s="18">
        <f>IF($A110="","",IF(Paramètres!I56="","",Paramètres!I56))</f>
        <v/>
      </c>
      <c r="E110" s="19">
        <f>IF($A110="","",MIN(E111:E111))</f>
        <v/>
      </c>
      <c r="F110" s="19">
        <f>IF($A110="","",MAX(F111:F111))</f>
        <v/>
      </c>
      <c r="G110" s="18" t="n"/>
      <c r="H110" s="18">
        <f>IF($A110="","",F110-E110+1)</f>
        <v/>
      </c>
      <c r="I110" s="18" t="n"/>
    </row>
    <row r="111">
      <c r="A111" s="18">
        <f>IF(ISNUMBER(Dossiers!$D$5),Dossiers!$A$5&amp;" · "&amp;Dossiers!$B$5,"")</f>
        <v/>
      </c>
      <c r="B111" s="18">
        <f>IF($A111="","",Paramètres!G57)</f>
        <v/>
      </c>
      <c r="C111" s="18">
        <f>IF($A111="","",IF(Paramètres!H57="","",Paramètres!H57))</f>
        <v/>
      </c>
      <c r="D111" s="18">
        <f>IF($A111="","",IF(Paramètres!I57="","",Paramètres!I57))</f>
        <v/>
      </c>
      <c r="E111" s="19">
        <f>IF($A111="","",IF(Paramètres!J57&amp;Paramètres!L57&amp;Paramètres!N57="",Dossiers!$D$5,MAX(IF(Paramètres!J57="",0,IF(Paramètres!K57="",NA(),IF(LEFT(TRIM(Paramètres!K57),1)="F",INDEX($F$59:$F$111,MATCH(Paramètres!J57,Paramètres!$G$5:$G$57,0)),INDEX($E$59:$E$111,MATCH(Paramètres!J57,Paramètres!$G$5:$G$57,0)))+IF(RIGHT(TRIM(Paramètres!K57),3)="Fin",1-$H111,IF(LEFT(TRIM(Paramètres!K57),1)="F",1,0)))),IF(Paramètres!L57="",0,IF(Paramètres!M57="",NA(),IF(LEFT(TRIM(Paramètres!M57),1)="F",INDEX($F$59:$F$111,MATCH(Paramètres!L57,Paramètres!$G$5:$G$57,0)),INDEX($E$59:$E$111,MATCH(Paramètres!L57,Paramètres!$G$5:$G$57,0)))+IF(RIGHT(TRIM(Paramètres!M57),3)="Fin",1-$H111,IF(LEFT(TRIM(Paramètres!M57),1)="F",1,0)))),IF(Paramètres!N57="",0,IF(Paramètres!O57="",NA(),IF(LEFT(TRIM(Paramètres!O57),1)="F",INDEX($F$59:$F$111,MATCH(Paramètres!N57,Paramètres!$G$5:$G$57,0)),INDEX($E$59:$E$111,MATCH(Paramètres!N57,Paramètres!$G$5:$G$57,0)))+IF(RIGHT(TRIM(Paramètres!O57),3)="Fin",1-$H111,IF(LEFT(TRIM(Paramètres!O57),1)="F",1,0)))))))</f>
        <v/>
      </c>
      <c r="F111" s="19">
        <f>IF($A111="","",E111+$H111-1)</f>
        <v/>
      </c>
      <c r="G111" s="18" t="n"/>
      <c r="H111" s="18">
        <f>IF($A111="","",IF(I111&lt;&gt;"",I111,Paramètres!B57))</f>
        <v/>
      </c>
      <c r="I111" s="18" t="n"/>
    </row>
    <row r="112">
      <c r="A112" s="16">
        <f>IF(ISNUMBER(Dossiers!$D$6),Dossiers!$E$6,"")</f>
        <v/>
      </c>
      <c r="B112" s="16">
        <f>IF($A112="","","Identifiant")</f>
        <v/>
      </c>
      <c r="C112" s="16">
        <f>IF($A112="","","Macro Etape")</f>
        <v/>
      </c>
      <c r="D112" s="16">
        <f>IF($A112="","","Etape")</f>
        <v/>
      </c>
      <c r="E112" s="17">
        <f>IF($A112="","","Début le")</f>
        <v/>
      </c>
      <c r="F112" s="17">
        <f>IF($A112="","","Fin prévue le")</f>
        <v/>
      </c>
      <c r="G112" s="16">
        <f>IF($A112="","","Statut")</f>
        <v/>
      </c>
      <c r="H112" s="16">
        <f>IF($A112="","","Durée (jours)")</f>
        <v/>
      </c>
      <c r="I112" s="16">
        <f>IF($A112="","","Durée particulière")</f>
        <v/>
      </c>
      <c r="J112" s="10">
        <f>IF($A112="","",HYPERLINK("#'Tableau de bord'!A1","↑ Tableau de bord"))</f>
        <v/>
      </c>
    </row>
    <row r="113">
      <c r="A113" s="18">
        <f>IF(ISNUMBER(Dossiers!$D$6),Dossiers!$A$6&amp;" · "&amp;Dossiers!$B$6,"")</f>
        <v/>
      </c>
      <c r="B113" s="18">
        <f>IF($A113="","",Paramètres!G5)</f>
        <v/>
      </c>
      <c r="C113" s="18">
        <f>IF($A113="","",IF(Paramètres!H5="","",Paramètres!H5))</f>
        <v/>
      </c>
      <c r="D113" s="18">
        <f>IF($A113="","",IF(Paramètres!I5="","",Paramètres!I5))</f>
        <v/>
      </c>
      <c r="E113" s="19">
        <f>IF($A113="","",MIN(E114:E117))</f>
        <v/>
      </c>
      <c r="F113" s="19">
        <f>IF($A113="","",MAX(F114:F117))</f>
        <v/>
      </c>
      <c r="G113" s="18" t="n"/>
      <c r="H113" s="18">
        <f>IF($A113="","",F113-E113+1)</f>
        <v/>
      </c>
      <c r="I113" s="18" t="n"/>
    </row>
    <row r="114">
      <c r="A114" s="18">
        <f>IF(ISNUMBER(Dossiers!$D$6),Dossiers!$A$6&amp;" · "&amp;Dossiers!$B$6,"")</f>
        <v/>
      </c>
      <c r="B114" s="18">
        <f>IF($A114="","",Paramètres!G6)</f>
        <v/>
      </c>
      <c r="C114" s="18">
        <f>IF($A114="","",IF(Paramètres!H6="","",Paramètres!H6))</f>
        <v/>
      </c>
      <c r="D114" s="18">
        <f>IF($A114="","",IF(Paramètres!I6="","",Paramètres!I6))</f>
        <v/>
      </c>
      <c r="E114" s="19">
        <f>IF($A114="","",IF(Paramètres!J6&amp;Paramètres!L6&amp;Paramètres!N6="",Dossiers!$D$6,MAX(IF(Paramètres!J6="",0,IF(Paramètres!K6="",NA(),IF(LEFT(TRIM(Paramètres!K6),1)="F",INDEX($F$113:$F$165,MATCH(Paramètres!J6,Paramètres!$G$5:$G$57,0)),INDEX($E$113:$E$165,MATCH(Paramètres!J6,Paramètres!$G$5:$G$57,0)))+IF(RIGHT(TRIM(Paramètres!K6),3)="Fin",1-$H114,IF(LEFT(TRIM(Paramètres!K6),1)="F",1,0)))),IF(Paramètres!L6="",0,IF(Paramètres!M6="",NA(),IF(LEFT(TRIM(Paramètres!M6),1)="F",INDEX($F$113:$F$165,MATCH(Paramètres!L6,Paramètres!$G$5:$G$57,0)),INDEX($E$113:$E$165,MATCH(Paramètres!L6,Paramètres!$G$5:$G$57,0)))+IF(RIGHT(TRIM(Paramètres!M6),3)="Fin",1-$H114,IF(LEFT(TRIM(Paramètres!M6),1)="F",1,0)))),IF(Paramètres!N6="",0,IF(Paramètres!O6="",NA(),IF(LEFT(TRIM(Paramètres!O6),1)="F",INDEX($F$113:$F$165,MATCH(Paramètres!N6,Paramètres!$G$5:$G$57,0)),INDEX($E$113:$E$165,MATCH(Paramètres!N6,Paramètres!$G$5:$G$57,0)))+IF(RIGHT(TRIM(Paramètres!O6),3)="Fin",1-$H114,IF(LEFT(TRIM(Paramètres!O6),1)="F",1,0)))))))</f>
        <v/>
      </c>
      <c r="F114" s="19">
        <f>IF($A114="","",E114+$H114-1)</f>
        <v/>
      </c>
      <c r="G114" s="18" t="n"/>
      <c r="H114" s="18">
        <f>IF($A114="","",IF(I114&lt;&gt;"",I114,Paramètres!B6))</f>
        <v/>
      </c>
      <c r="I114" s="18" t="n"/>
    </row>
    <row r="115">
      <c r="A115" s="18">
        <f>IF(ISNUMBER(Dossiers!$D$6),Dossiers!$A$6&amp;" · "&amp;Dossiers!$B$6,"")</f>
        <v/>
      </c>
      <c r="B115" s="18">
        <f>IF($A115="","",Paramètres!G7)</f>
        <v/>
      </c>
      <c r="C115" s="18">
        <f>IF($A115="","",IF(Paramètres!H7="","",Paramètres!H7))</f>
        <v/>
      </c>
      <c r="D115" s="18">
        <f>IF($A115="","",IF(Paramètres!I7="","",Paramètres!I7))</f>
        <v/>
      </c>
      <c r="E115" s="19">
        <f>IF($A115="","",IF(Paramètres!J7&amp;Paramètres!L7&amp;Paramètres!N7="",Dossiers!$D$6,MAX(IF(Paramètres!J7="",0,IF(Paramètres!K7="",NA(),IF(LEFT(TRIM(Paramètres!K7),1)="F",INDEX($F$113:$F$165,MATCH(Paramètres!J7,Paramètres!$G$5:$G$57,0)),INDEX($E$113:$E$165,MATCH(Paramètres!J7,Paramètres!$G$5:$G$57,0)))+IF(RIGHT(TRIM(Paramètres!K7),3)="Fin",1-$H115,IF(LEFT(TRIM(Paramètres!K7),1)="F",1,0)))),IF(Paramètres!L7="",0,IF(Paramètres!M7="",NA(),IF(LEFT(TRIM(Paramètres!M7),1)="F",INDEX($F$113:$F$165,MATCH(Paramètres!L7,Paramètres!$G$5:$G$57,0)),INDEX($E$113:$E$165,MATCH(Paramètres!L7,Paramètres!$G$5:$G$57,0)))+IF(RIGHT(TRIM(Paramètres!M7),3)="Fin",1-$H115,IF(LEFT(TRIM(Paramètres!M7),1)="F",1,0)))),IF(Paramètres!N7="",0,IF(Paramètres!O7="",NA(),IF(LEFT(TRIM(Paramètres!O7),1)="F",INDEX($F$113:$F$165,MATCH(Paramètres!N7,Paramètres!$G$5:$G$57,0)),INDEX($E$113:$E$165,MATCH(Paramètres!N7,Paramètres!$G$5:$G$57,0)))+IF(RIGHT(TRIM(Paramètres!O7),3)="Fin",1-$H115,IF(LEFT(TRIM(Paramètres!O7),1)="F",1,0)))))))</f>
        <v/>
      </c>
      <c r="F115" s="19">
        <f>IF($A115="","",E115+$H115-1)</f>
        <v/>
      </c>
      <c r="G115" s="18" t="n"/>
      <c r="H115" s="18">
        <f>IF($A115="","",IF(I115&lt;&gt;"",I115,Paramètres!B7))</f>
        <v/>
      </c>
      <c r="I115" s="18" t="n"/>
    </row>
    <row r="116">
      <c r="A116" s="18">
        <f>IF(ISNUMBER(Dossiers!$D$6),Dossiers!$A$6&amp;" · "&amp;Dossiers!$B$6,"")</f>
        <v/>
      </c>
      <c r="B116" s="18">
        <f>IF($A116="","",Paramètres!G8)</f>
        <v/>
      </c>
      <c r="C116" s="18">
        <f>IF($A116="","",IF(Paramètres!H8="","",Paramètres!H8))</f>
        <v/>
      </c>
      <c r="D116" s="18">
        <f>IF($A116="","",IF(Paramètres!I8="","",Paramètres!I8))</f>
        <v/>
      </c>
      <c r="E116" s="19">
        <f>IF($A116="","",IF(Paramètres!J8&amp;Paramètres!L8&amp;Paramètres!N8="",Dossiers!$D$6,MAX(IF(Paramètres!J8="",0,IF(Paramètres!K8="",NA(),IF(LEFT(TRIM(Paramètres!K8),1)="F",INDEX($F$113:$F$165,MATCH(Paramètres!J8,Paramètres!$G$5:$G$57,0)),INDEX($E$113:$E$165,MATCH(Paramètres!J8,Paramètres!$G$5:$G$57,0)))+IF(RIGHT(TRIM(Paramètres!K8),3)="Fin",1-$H116,IF(LEFT(TRIM(Paramètres!K8),1)="F",1,0)))),IF(Paramètres!L8="",0,IF(Paramètres!M8="",NA(),IF(LEFT(TRIM(Paramètres!M8),1)="F",INDEX($F$113:$F$165,MATCH(Paramètres!L8,Paramètres!$G$5:$G$57,0)),INDEX($E$113:$E$165,MATCH(Paramètres!L8,Paramètres!$G$5:$G$57,0)))+IF(RIGHT(TRIM(Paramètres!M8),3)="Fin",1-$H116,IF(LEFT(TRIM(Paramètres!M8),1)="F",1,0)))),IF(Paramètres!N8="",0,IF(Paramètres!O8="",NA(),IF(LEFT(TRIM(Paramètres!O8),1)="F",INDEX($F$113:$F$165,MATCH(Paramètres!N8,Paramètres!$G$5:$G$57,0)),INDEX($E$113:$E$165,MATCH(Paramètres!N8,Paramètres!$G$5:$G$57,0)))+IF(RIGHT(TRIM(Paramètres!O8),3)="Fin",1-$H116,IF(LEFT(TRIM(Paramètres!O8),1)="F",1,0)))))))</f>
        <v/>
      </c>
      <c r="F116" s="19">
        <f>IF($A116="","",E116+$H116-1)</f>
        <v/>
      </c>
      <c r="G116" s="18" t="n"/>
      <c r="H116" s="18">
        <f>IF($A116="","",IF(I116&lt;&gt;"",I116,Paramètres!B8))</f>
        <v/>
      </c>
      <c r="I116" s="18" t="n"/>
    </row>
    <row r="117">
      <c r="A117" s="18">
        <f>IF(ISNUMBER(Dossiers!$D$6),Dossiers!$A$6&amp;" · "&amp;Dossiers!$B$6,"")</f>
        <v/>
      </c>
      <c r="B117" s="18">
        <f>IF($A117="","",Paramètres!G9)</f>
        <v/>
      </c>
      <c r="C117" s="18">
        <f>IF($A117="","",IF(Paramètres!H9="","",Paramètres!H9))</f>
        <v/>
      </c>
      <c r="D117" s="18">
        <f>IF($A117="","",IF(Paramètres!I9="","",Paramètres!I9))</f>
        <v/>
      </c>
      <c r="E117" s="19">
        <f>IF($A117="","",IF(Paramètres!J9&amp;Paramètres!L9&amp;Paramètres!N9="",Dossiers!$D$6,MAX(IF(Paramètres!J9="",0,IF(Paramètres!K9="",NA(),IF(LEFT(TRIM(Paramètres!K9),1)="F",INDEX($F$113:$F$165,MATCH(Paramètres!J9,Paramètres!$G$5:$G$57,0)),INDEX($E$113:$E$165,MATCH(Paramètres!J9,Paramètres!$G$5:$G$57,0)))+IF(RIGHT(TRIM(Paramètres!K9),3)="Fin",1-$H117,IF(LEFT(TRIM(Paramètres!K9),1)="F",1,0)))),IF(Paramètres!L9="",0,IF(Paramètres!M9="",NA(),IF(LEFT(TRIM(Paramètres!M9),1)="F",INDEX($F$113:$F$165,MATCH(Paramètres!L9,Paramètres!$G$5:$G$57,0)),INDEX($E$113:$E$165,MATCH(Paramètres!L9,Paramètres!$G$5:$G$57,0)))+IF(RIGHT(TRIM(Paramètres!M9),3)="Fin",1-$H117,IF(LEFT(TRIM(Paramètres!M9),1)="F",1,0)))),IF(Paramètres!N9="",0,IF(Paramètres!O9="",NA(),IF(LEFT(TRIM(Paramètres!O9),1)="F",INDEX($F$113:$F$165,MATCH(Paramètres!N9,Paramètres!$G$5:$G$57,0)),INDEX($E$113:$E$165,MATCH(Paramètres!N9,Paramètres!$G$5:$G$57,0)))+IF(RIGHT(TRIM(Paramètres!O9),3)="Fin",1-$H117,IF(LEFT(TRIM(Paramètres!O9),1)="F",1,0)))))))</f>
        <v/>
      </c>
      <c r="F117" s="19">
        <f>IF($A117="","",E117+$H117-1)</f>
        <v/>
      </c>
      <c r="G117" s="18" t="n"/>
      <c r="H117" s="18">
        <f>IF($A117="","",IF(I117&lt;&gt;"",I117,Paramètres!B9))</f>
        <v/>
      </c>
      <c r="I117" s="18" t="n"/>
    </row>
    <row r="118">
      <c r="A118" s="18">
        <f>IF(ISNUMBER(Dossiers!$D$6),Dossiers!$A$6&amp;" · "&amp;Dossiers!$B$6,"")</f>
        <v/>
      </c>
      <c r="B118" s="18">
        <f>IF($A118="","",Paramètres!G10)</f>
        <v/>
      </c>
      <c r="C118" s="18">
        <f>IF($A118="","",IF(Paramètres!H10="","",Paramètres!H10))</f>
        <v/>
      </c>
      <c r="D118" s="18">
        <f>IF($A118="","",IF(Paramètres!I10="","",Paramètres!I10))</f>
        <v/>
      </c>
      <c r="E118" s="19">
        <f>IF($A118="","",MIN(E119:E122))</f>
        <v/>
      </c>
      <c r="F118" s="19">
        <f>IF($A118="","",MAX(F119:F122))</f>
        <v/>
      </c>
      <c r="G118" s="18" t="n"/>
      <c r="H118" s="18">
        <f>IF($A118="","",F118-E118+1)</f>
        <v/>
      </c>
      <c r="I118" s="18" t="n"/>
    </row>
    <row r="119">
      <c r="A119" s="18">
        <f>IF(ISNUMBER(Dossiers!$D$6),Dossiers!$A$6&amp;" · "&amp;Dossiers!$B$6,"")</f>
        <v/>
      </c>
      <c r="B119" s="18">
        <f>IF($A119="","",Paramètres!G11)</f>
        <v/>
      </c>
      <c r="C119" s="18">
        <f>IF($A119="","",IF(Paramètres!H11="","",Paramètres!H11))</f>
        <v/>
      </c>
      <c r="D119" s="18">
        <f>IF($A119="","",IF(Paramètres!I11="","",Paramètres!I11))</f>
        <v/>
      </c>
      <c r="E119" s="19">
        <f>IF($A119="","",IF(Paramètres!J11&amp;Paramètres!L11&amp;Paramètres!N11="",Dossiers!$D$6,MAX(IF(Paramètres!J11="",0,IF(Paramètres!K11="",NA(),IF(LEFT(TRIM(Paramètres!K11),1)="F",INDEX($F$113:$F$165,MATCH(Paramètres!J11,Paramètres!$G$5:$G$57,0)),INDEX($E$113:$E$165,MATCH(Paramètres!J11,Paramètres!$G$5:$G$57,0)))+IF(RIGHT(TRIM(Paramètres!K11),3)="Fin",1-$H119,IF(LEFT(TRIM(Paramètres!K11),1)="F",1,0)))),IF(Paramètres!L11="",0,IF(Paramètres!M11="",NA(),IF(LEFT(TRIM(Paramètres!M11),1)="F",INDEX($F$113:$F$165,MATCH(Paramètres!L11,Paramètres!$G$5:$G$57,0)),INDEX($E$113:$E$165,MATCH(Paramètres!L11,Paramètres!$G$5:$G$57,0)))+IF(RIGHT(TRIM(Paramètres!M11),3)="Fin",1-$H119,IF(LEFT(TRIM(Paramètres!M11),1)="F",1,0)))),IF(Paramètres!N11="",0,IF(Paramètres!O11="",NA(),IF(LEFT(TRIM(Paramètres!O11),1)="F",INDEX($F$113:$F$165,MATCH(Paramètres!N11,Paramètres!$G$5:$G$57,0)),INDEX($E$113:$E$165,MATCH(Paramètres!N11,Paramètres!$G$5:$G$57,0)))+IF(RIGHT(TRIM(Paramètres!O11),3)="Fin",1-$H119,IF(LEFT(TRIM(Paramètres!O11),1)="F",1,0)))))))</f>
        <v/>
      </c>
      <c r="F119" s="19">
        <f>IF($A119="","",E119+$H119-1)</f>
        <v/>
      </c>
      <c r="G119" s="18" t="n"/>
      <c r="H119" s="18">
        <f>IF($A119="","",IF(I119&lt;&gt;"",I119,Paramètres!B11))</f>
        <v/>
      </c>
      <c r="I119" s="18" t="n"/>
    </row>
    <row r="120">
      <c r="A120" s="18">
        <f>IF(ISNUMBER(Dossiers!$D$6),Dossiers!$A$6&amp;" · "&amp;Dossiers!$B$6,"")</f>
        <v/>
      </c>
      <c r="B120" s="18">
        <f>IF($A120="","",Paramètres!G12)</f>
        <v/>
      </c>
      <c r="C120" s="18">
        <f>IF($A120="","",IF(Paramètres!H12="","",Paramètres!H12))</f>
        <v/>
      </c>
      <c r="D120" s="18">
        <f>IF($A120="","",IF(Paramètres!I12="","",Paramètres!I12))</f>
        <v/>
      </c>
      <c r="E120" s="19">
        <f>IF($A120="","",IF(Paramètres!J12&amp;Paramètres!L12&amp;Paramètres!N12="",Dossiers!$D$6,MAX(IF(Paramètres!J12="",0,IF(Paramètres!K12="",NA(),IF(LEFT(TRIM(Paramètres!K12),1)="F",INDEX($F$113:$F$165,MATCH(Paramètres!J12,Paramètres!$G$5:$G$57,0)),INDEX($E$113:$E$165,MATCH(Paramètres!J12,Paramètres!$G$5:$G$57,0)))+IF(RIGHT(TRIM(Paramètres!K12),3)="Fin",1-$H120,IF(LEFT(TRIM(Paramètres!K12),1)="F",1,0)))),IF(Paramètres!L12="",0,IF(Paramètres!M12="",NA(),IF(LEFT(TRIM(Paramètres!M12),1)="F",INDEX($F$113:$F$165,MATCH(Paramètres!L12,Paramètres!$G$5:$G$57,0)),INDEX($E$113:$E$165,MATCH(Paramètres!L12,Paramètres!$G$5:$G$57,0)))+IF(RIGHT(TRIM(Paramètres!M12),3)="Fin",1-$H120,IF(LEFT(TRIM(Paramètres!M12),1)="F",1,0)))),IF(Paramètres!N12="",0,IF(Paramètres!O12="",NA(),IF(LEFT(TRIM(Paramètres!O12),1)="F",INDEX($F$113:$F$165,MATCH(Paramètres!N12,Paramètres!$G$5:$G$57,0)),INDEX($E$113:$E$165,MATCH(Paramètres!N12,Paramètres!$G$5:$G$57,0)))+IF(RIGHT(TRIM(Paramètres!O12),3)="Fin",1-$H120,IF(LEFT(TRIM(Paramètres!O12),1)="F",1,0)))))))</f>
        <v/>
      </c>
      <c r="F120" s="19">
        <f>IF($A120="","",E120+$H120-1)</f>
        <v/>
      </c>
      <c r="G120" s="18" t="n"/>
      <c r="H120" s="18">
        <f>IF($A120="","",IF(I120&lt;&gt;"",I120,Paramètres!B12))</f>
        <v/>
      </c>
      <c r="I120" s="18" t="n"/>
    </row>
    <row r="121">
      <c r="A121" s="18">
        <f>IF(ISNUMBER(Dossiers!$D$6),Dossiers!$A$6&amp;" · "&amp;Dossiers!$B$6,"")</f>
        <v/>
      </c>
      <c r="B121" s="18">
        <f>IF($A121="","",Paramètres!G13)</f>
        <v/>
      </c>
      <c r="C121" s="18">
        <f>IF($A121="","",IF(Paramètres!H13="","",Paramètres!H13))</f>
        <v/>
      </c>
      <c r="D121" s="18">
        <f>IF($A121="","",IF(Paramètres!I13="","",Paramètres!I13))</f>
        <v/>
      </c>
      <c r="E121" s="19">
        <f>IF($A121="","",IF(Paramètres!J13&amp;Paramètres!L13&amp;Paramètres!N13="",Dossiers!$D$6,MAX(IF(Paramètres!J13="",0,IF(Paramètres!K13="",NA(),IF(LEFT(TRIM(Paramètres!K13),1)="F",INDEX($F$113:$F$165,MATCH(Paramètres!J13,Paramètres!$G$5:$G$57,0)),INDEX($E$113:$E$165,MATCH(Paramètres!J13,Paramètres!$G$5:$G$57,0)))+IF(RIGHT(TRIM(Paramètres!K13),3)="Fin",1-$H121,IF(LEFT(TRIM(Paramètres!K13),1)="F",1,0)))),IF(Paramètres!L13="",0,IF(Paramètres!M13="",NA(),IF(LEFT(TRIM(Paramètres!M13),1)="F",INDEX($F$113:$F$165,MATCH(Paramètres!L13,Paramètres!$G$5:$G$57,0)),INDEX($E$113:$E$165,MATCH(Paramètres!L13,Paramètres!$G$5:$G$57,0)))+IF(RIGHT(TRIM(Paramètres!M13),3)="Fin",1-$H121,IF(LEFT(TRIM(Paramètres!M13),1)="F",1,0)))),IF(Paramètres!N13="",0,IF(Paramètres!O13="",NA(),IF(LEFT(TRIM(Paramètres!O13),1)="F",INDEX($F$113:$F$165,MATCH(Paramètres!N13,Paramètres!$G$5:$G$57,0)),INDEX($E$113:$E$165,MATCH(Paramètres!N13,Paramètres!$G$5:$G$57,0)))+IF(RIGHT(TRIM(Paramètres!O13),3)="Fin",1-$H121,IF(LEFT(TRIM(Paramètres!O13),1)="F",1,0)))))))</f>
        <v/>
      </c>
      <c r="F121" s="19">
        <f>IF($A121="","",E121+$H121-1)</f>
        <v/>
      </c>
      <c r="G121" s="18" t="n"/>
      <c r="H121" s="18">
        <f>IF($A121="","",IF(I121&lt;&gt;"",I121,Paramètres!B13))</f>
        <v/>
      </c>
      <c r="I121" s="18" t="n"/>
    </row>
    <row r="122">
      <c r="A122" s="18">
        <f>IF(ISNUMBER(Dossiers!$D$6),Dossiers!$A$6&amp;" · "&amp;Dossiers!$B$6,"")</f>
        <v/>
      </c>
      <c r="B122" s="18">
        <f>IF($A122="","",Paramètres!G14)</f>
        <v/>
      </c>
      <c r="C122" s="18">
        <f>IF($A122="","",IF(Paramètres!H14="","",Paramètres!H14))</f>
        <v/>
      </c>
      <c r="D122" s="18">
        <f>IF($A122="","",IF(Paramètres!I14="","",Paramètres!I14))</f>
        <v/>
      </c>
      <c r="E122" s="19">
        <f>IF($A122="","",IF(Paramètres!J14&amp;Paramètres!L14&amp;Paramètres!N14="",Dossiers!$D$6,MAX(IF(Paramètres!J14="",0,IF(Paramètres!K14="",NA(),IF(LEFT(TRIM(Paramètres!K14),1)="F",INDEX($F$113:$F$165,MATCH(Paramètres!J14,Paramètres!$G$5:$G$57,0)),INDEX($E$113:$E$165,MATCH(Paramètres!J14,Paramètres!$G$5:$G$57,0)))+IF(RIGHT(TRIM(Paramètres!K14),3)="Fin",1-$H122,IF(LEFT(TRIM(Paramètres!K14),1)="F",1,0)))),IF(Paramètres!L14="",0,IF(Paramètres!M14="",NA(),IF(LEFT(TRIM(Paramètres!M14),1)="F",INDEX($F$113:$F$165,MATCH(Paramètres!L14,Paramètres!$G$5:$G$57,0)),INDEX($E$113:$E$165,MATCH(Paramètres!L14,Paramètres!$G$5:$G$57,0)))+IF(RIGHT(TRIM(Paramètres!M14),3)="Fin",1-$H122,IF(LEFT(TRIM(Paramètres!M14),1)="F",1,0)))),IF(Paramètres!N14="",0,IF(Paramètres!O14="",NA(),IF(LEFT(TRIM(Paramètres!O14),1)="F",INDEX($F$113:$F$165,MATCH(Paramètres!N14,Paramètres!$G$5:$G$57,0)),INDEX($E$113:$E$165,MATCH(Paramètres!N14,Paramètres!$G$5:$G$57,0)))+IF(RIGHT(TRIM(Paramètres!O14),3)="Fin",1-$H122,IF(LEFT(TRIM(Paramètres!O14),1)="F",1,0)))))))</f>
        <v/>
      </c>
      <c r="F122" s="19">
        <f>IF($A122="","",E122+$H122-1)</f>
        <v/>
      </c>
      <c r="G122" s="18" t="n"/>
      <c r="H122" s="18">
        <f>IF($A122="","",IF(I122&lt;&gt;"",I122,Paramètres!B14))</f>
        <v/>
      </c>
      <c r="I122" s="18" t="n"/>
    </row>
    <row r="123">
      <c r="A123" s="18">
        <f>IF(ISNUMBER(Dossiers!$D$6),Dossiers!$A$6&amp;" · "&amp;Dossiers!$B$6,"")</f>
        <v/>
      </c>
      <c r="B123" s="18">
        <f>IF($A123="","",Paramètres!G15)</f>
        <v/>
      </c>
      <c r="C123" s="18">
        <f>IF($A123="","",IF(Paramètres!H15="","",Paramètres!H15))</f>
        <v/>
      </c>
      <c r="D123" s="18">
        <f>IF($A123="","",IF(Paramètres!I15="","",Paramètres!I15))</f>
        <v/>
      </c>
      <c r="E123" s="19">
        <f>IF($A123="","",MIN(E124:E139))</f>
        <v/>
      </c>
      <c r="F123" s="19">
        <f>IF($A123="","",MAX(F124:F139))</f>
        <v/>
      </c>
      <c r="G123" s="18" t="n"/>
      <c r="H123" s="18">
        <f>IF($A123="","",F123-E123+1)</f>
        <v/>
      </c>
      <c r="I123" s="18" t="n"/>
    </row>
    <row r="124">
      <c r="A124" s="18">
        <f>IF(ISNUMBER(Dossiers!$D$6),Dossiers!$A$6&amp;" · "&amp;Dossiers!$B$6,"")</f>
        <v/>
      </c>
      <c r="B124" s="18">
        <f>IF($A124="","",Paramètres!G16)</f>
        <v/>
      </c>
      <c r="C124" s="18">
        <f>IF($A124="","",IF(Paramètres!H16="","",Paramètres!H16))</f>
        <v/>
      </c>
      <c r="D124" s="18">
        <f>IF($A124="","",IF(Paramètres!I16="","",Paramètres!I16))</f>
        <v/>
      </c>
      <c r="E124" s="19">
        <f>IF($A124="","",IF(Paramètres!J16&amp;Paramètres!L16&amp;Paramètres!N16="",Dossiers!$D$6,MAX(IF(Paramètres!J16="",0,IF(Paramètres!K16="",NA(),IF(LEFT(TRIM(Paramètres!K16),1)="F",INDEX($F$113:$F$165,MATCH(Paramètres!J16,Paramètres!$G$5:$G$57,0)),INDEX($E$113:$E$165,MATCH(Paramètres!J16,Paramètres!$G$5:$G$57,0)))+IF(RIGHT(TRIM(Paramètres!K16),3)="Fin",1-$H124,IF(LEFT(TRIM(Paramètres!K16),1)="F",1,0)))),IF(Paramètres!L16="",0,IF(Paramètres!M16="",NA(),IF(LEFT(TRIM(Paramètres!M16),1)="F",INDEX($F$113:$F$165,MATCH(Paramètres!L16,Paramètres!$G$5:$G$57,0)),INDEX($E$113:$E$165,MATCH(Paramètres!L16,Paramètres!$G$5:$G$57,0)))+IF(RIGHT(TRIM(Paramètres!M16),3)="Fin",1-$H124,IF(LEFT(TRIM(Paramètres!M16),1)="F",1,0)))),IF(Paramètres!N16="",0,IF(Paramètres!O16="",NA(),IF(LEFT(TRIM(Paramètres!O16),1)="F",INDEX($F$113:$F$165,MATCH(Paramètres!N16,Paramètres!$G$5:$G$57,0)),INDEX($E$113:$E$165,MATCH(Paramètres!N16,Paramètres!$G$5:$G$57,0)))+IF(RIGHT(TRIM(Paramètres!O16),3)="Fin",1-$H124,IF(LEFT(TRIM(Paramètres!O16),1)="F",1,0)))))))</f>
        <v/>
      </c>
      <c r="F124" s="19">
        <f>IF($A124="","",E124+$H124-1)</f>
        <v/>
      </c>
      <c r="G124" s="18" t="n"/>
      <c r="H124" s="18">
        <f>IF($A124="","",IF(I124&lt;&gt;"",I124,Paramètres!B16))</f>
        <v/>
      </c>
      <c r="I124" s="18" t="n"/>
    </row>
    <row r="125">
      <c r="A125" s="18">
        <f>IF(ISNUMBER(Dossiers!$D$6),Dossiers!$A$6&amp;" · "&amp;Dossiers!$B$6,"")</f>
        <v/>
      </c>
      <c r="B125" s="18">
        <f>IF($A125="","",Paramètres!G17)</f>
        <v/>
      </c>
      <c r="C125" s="18">
        <f>IF($A125="","",IF(Paramètres!H17="","",Paramètres!H17))</f>
        <v/>
      </c>
      <c r="D125" s="18">
        <f>IF($A125="","",IF(Paramètres!I17="","",Paramètres!I17))</f>
        <v/>
      </c>
      <c r="E125" s="19">
        <f>IF($A125="","",IF(Paramètres!J17&amp;Paramètres!L17&amp;Paramètres!N17="",Dossiers!$D$6,MAX(IF(Paramètres!J17="",0,IF(Paramètres!K17="",NA(),IF(LEFT(TRIM(Paramètres!K17),1)="F",INDEX($F$113:$F$165,MATCH(Paramètres!J17,Paramètres!$G$5:$G$57,0)),INDEX($E$113:$E$165,MATCH(Paramètres!J17,Paramètres!$G$5:$G$57,0)))+IF(RIGHT(TRIM(Paramètres!K17),3)="Fin",1-$H125,IF(LEFT(TRIM(Paramètres!K17),1)="F",1,0)))),IF(Paramètres!L17="",0,IF(Paramètres!M17="",NA(),IF(LEFT(TRIM(Paramètres!M17),1)="F",INDEX($F$113:$F$165,MATCH(Paramètres!L17,Paramètres!$G$5:$G$57,0)),INDEX($E$113:$E$165,MATCH(Paramètres!L17,Paramètres!$G$5:$G$57,0)))+IF(RIGHT(TRIM(Paramètres!M17),3)="Fin",1-$H125,IF(LEFT(TRIM(Paramètres!M17),1)="F",1,0)))),IF(Paramètres!N17="",0,IF(Paramètres!O17="",NA(),IF(LEFT(TRIM(Paramètres!O17),1)="F",INDEX($F$113:$F$165,MATCH(Paramètres!N17,Paramètres!$G$5:$G$57,0)),INDEX($E$113:$E$165,MATCH(Paramètres!N17,Paramètres!$G$5:$G$57,0)))+IF(RIGHT(TRIM(Paramètres!O17),3)="Fin",1-$H125,IF(LEFT(TRIM(Paramètres!O17),1)="F",1,0)))))))</f>
        <v/>
      </c>
      <c r="F125" s="19">
        <f>IF($A125="","",E125+$H125-1)</f>
        <v/>
      </c>
      <c r="G125" s="18" t="n"/>
      <c r="H125" s="18">
        <f>IF($A125="","",IF(I125&lt;&gt;"",I125,Paramètres!B17))</f>
        <v/>
      </c>
      <c r="I125" s="18" t="n"/>
    </row>
    <row r="126">
      <c r="A126" s="18">
        <f>IF(ISNUMBER(Dossiers!$D$6),Dossiers!$A$6&amp;" · "&amp;Dossiers!$B$6,"")</f>
        <v/>
      </c>
      <c r="B126" s="18">
        <f>IF($A126="","",Paramètres!G18)</f>
        <v/>
      </c>
      <c r="C126" s="18">
        <f>IF($A126="","",IF(Paramètres!H18="","",Paramètres!H18))</f>
        <v/>
      </c>
      <c r="D126" s="18">
        <f>IF($A126="","",IF(Paramètres!I18="","",Paramètres!I18))</f>
        <v/>
      </c>
      <c r="E126" s="19">
        <f>IF($A126="","",IF(Paramètres!J18&amp;Paramètres!L18&amp;Paramètres!N18="",Dossiers!$D$6,MAX(IF(Paramètres!J18="",0,IF(Paramètres!K18="",NA(),IF(LEFT(TRIM(Paramètres!K18),1)="F",INDEX($F$113:$F$165,MATCH(Paramètres!J18,Paramètres!$G$5:$G$57,0)),INDEX($E$113:$E$165,MATCH(Paramètres!J18,Paramètres!$G$5:$G$57,0)))+IF(RIGHT(TRIM(Paramètres!K18),3)="Fin",1-$H126,IF(LEFT(TRIM(Paramètres!K18),1)="F",1,0)))),IF(Paramètres!L18="",0,IF(Paramètres!M18="",NA(),IF(LEFT(TRIM(Paramètres!M18),1)="F",INDEX($F$113:$F$165,MATCH(Paramètres!L18,Paramètres!$G$5:$G$57,0)),INDEX($E$113:$E$165,MATCH(Paramètres!L18,Paramètres!$G$5:$G$57,0)))+IF(RIGHT(TRIM(Paramètres!M18),3)="Fin",1-$H126,IF(LEFT(TRIM(Paramètres!M18),1)="F",1,0)))),IF(Paramètres!N18="",0,IF(Paramètres!O18="",NA(),IF(LEFT(TRIM(Paramètres!O18),1)="F",INDEX($F$113:$F$165,MATCH(Paramètres!N18,Paramètres!$G$5:$G$57,0)),INDEX($E$113:$E$165,MATCH(Paramètres!N18,Paramètres!$G$5:$G$57,0)))+IF(RIGHT(TRIM(Paramètres!O18),3)="Fin",1-$H126,IF(LEFT(TRIM(Paramètres!O18),1)="F",1,0)))))))</f>
        <v/>
      </c>
      <c r="F126" s="19">
        <f>IF($A126="","",E126+$H126-1)</f>
        <v/>
      </c>
      <c r="G126" s="18" t="n"/>
      <c r="H126" s="18">
        <f>IF($A126="","",IF(I126&lt;&gt;"",I126,Paramètres!B18))</f>
        <v/>
      </c>
      <c r="I126" s="18" t="n"/>
    </row>
    <row r="127">
      <c r="A127" s="18">
        <f>IF(ISNUMBER(Dossiers!$D$6),Dossiers!$A$6&amp;" · "&amp;Dossiers!$B$6,"")</f>
        <v/>
      </c>
      <c r="B127" s="18">
        <f>IF($A127="","",Paramètres!G19)</f>
        <v/>
      </c>
      <c r="C127" s="18">
        <f>IF($A127="","",IF(Paramètres!H19="","",Paramètres!H19))</f>
        <v/>
      </c>
      <c r="D127" s="18">
        <f>IF($A127="","",IF(Paramètres!I19="","",Paramètres!I19))</f>
        <v/>
      </c>
      <c r="E127" s="19">
        <f>IF($A127="","",IF(Paramètres!J19&amp;Paramètres!L19&amp;Paramètres!N19="",Dossiers!$D$6,MAX(IF(Paramètres!J19="",0,IF(Paramètres!K19="",NA(),IF(LEFT(TRIM(Paramètres!K19),1)="F",INDEX($F$113:$F$165,MATCH(Paramètres!J19,Paramètres!$G$5:$G$57,0)),INDEX($E$113:$E$165,MATCH(Paramètres!J19,Paramètres!$G$5:$G$57,0)))+IF(RIGHT(TRIM(Paramètres!K19),3)="Fin",1-$H127,IF(LEFT(TRIM(Paramètres!K19),1)="F",1,0)))),IF(Paramètres!L19="",0,IF(Paramètres!M19="",NA(),IF(LEFT(TRIM(Paramètres!M19),1)="F",INDEX($F$113:$F$165,MATCH(Paramètres!L19,Paramètres!$G$5:$G$57,0)),INDEX($E$113:$E$165,MATCH(Paramètres!L19,Paramètres!$G$5:$G$57,0)))+IF(RIGHT(TRIM(Paramètres!M19),3)="Fin",1-$H127,IF(LEFT(TRIM(Paramètres!M19),1)="F",1,0)))),IF(Paramètres!N19="",0,IF(Paramètres!O19="",NA(),IF(LEFT(TRIM(Paramètres!O19),1)="F",INDEX($F$113:$F$165,MATCH(Paramètres!N19,Paramètres!$G$5:$G$57,0)),INDEX($E$113:$E$165,MATCH(Paramètres!N19,Paramètres!$G$5:$G$57,0)))+IF(RIGHT(TRIM(Paramètres!O19),3)="Fin",1-$H127,IF(LEFT(TRIM(Paramètres!O19),1)="F",1,0)))))))</f>
        <v/>
      </c>
      <c r="F127" s="19">
        <f>IF($A127="","",E127+$H127-1)</f>
        <v/>
      </c>
      <c r="G127" s="18" t="n"/>
      <c r="H127" s="18">
        <f>IF($A127="","",IF(I127&lt;&gt;"",I127,Paramètres!B19))</f>
        <v/>
      </c>
      <c r="I127" s="18" t="n"/>
    </row>
    <row r="128">
      <c r="A128" s="18">
        <f>IF(ISNUMBER(Dossiers!$D$6),Dossiers!$A$6&amp;" · "&amp;Dossiers!$B$6,"")</f>
        <v/>
      </c>
      <c r="B128" s="18">
        <f>IF($A128="","",Paramètres!G20)</f>
        <v/>
      </c>
      <c r="C128" s="18">
        <f>IF($A128="","",IF(Paramètres!H20="","",Paramètres!H20))</f>
        <v/>
      </c>
      <c r="D128" s="18">
        <f>IF($A128="","",IF(Paramètres!I20="","",Paramètres!I20))</f>
        <v/>
      </c>
      <c r="E128" s="19">
        <f>IF($A128="","",IF(Paramètres!J20&amp;Paramètres!L20&amp;Paramètres!N20="",Dossiers!$D$6,MAX(IF(Paramètres!J20="",0,IF(Paramètres!K20="",NA(),IF(LEFT(TRIM(Paramètres!K20),1)="F",INDEX($F$113:$F$165,MATCH(Paramètres!J20,Paramètres!$G$5:$G$57,0)),INDEX($E$113:$E$165,MATCH(Paramètres!J20,Paramètres!$G$5:$G$57,0)))+IF(RIGHT(TRIM(Paramètres!K20),3)="Fin",1-$H128,IF(LEFT(TRIM(Paramètres!K20),1)="F",1,0)))),IF(Paramètres!L20="",0,IF(Paramètres!M20="",NA(),IF(LEFT(TRIM(Paramètres!M20),1)="F",INDEX($F$113:$F$165,MATCH(Paramètres!L20,Paramètres!$G$5:$G$57,0)),INDEX($E$113:$E$165,MATCH(Paramètres!L20,Paramètres!$G$5:$G$57,0)))+IF(RIGHT(TRIM(Paramètres!M20),3)="Fin",1-$H128,IF(LEFT(TRIM(Paramètres!M20),1)="F",1,0)))),IF(Paramètres!N20="",0,IF(Paramètres!O20="",NA(),IF(LEFT(TRIM(Paramètres!O20),1)="F",INDEX($F$113:$F$165,MATCH(Paramètres!N20,Paramètres!$G$5:$G$57,0)),INDEX($E$113:$E$165,MATCH(Paramètres!N20,Paramètres!$G$5:$G$57,0)))+IF(RIGHT(TRIM(Paramètres!O20),3)="Fin",1-$H128,IF(LEFT(TRIM(Paramètres!O20),1)="F",1,0)))))))</f>
        <v/>
      </c>
      <c r="F128" s="19">
        <f>IF($A128="","",E128+$H128-1)</f>
        <v/>
      </c>
      <c r="G128" s="18" t="n"/>
      <c r="H128" s="18">
        <f>IF($A128="","",IF(I128&lt;&gt;"",I128,Paramètres!B20))</f>
        <v/>
      </c>
      <c r="I128" s="18" t="n"/>
    </row>
    <row r="129">
      <c r="A129" s="18">
        <f>IF(ISNUMBER(Dossiers!$D$6),Dossiers!$A$6&amp;" · "&amp;Dossiers!$B$6,"")</f>
        <v/>
      </c>
      <c r="B129" s="18">
        <f>IF($A129="","",Paramètres!G21)</f>
        <v/>
      </c>
      <c r="C129" s="18">
        <f>IF($A129="","",IF(Paramètres!H21="","",Paramètres!H21))</f>
        <v/>
      </c>
      <c r="D129" s="18">
        <f>IF($A129="","",IF(Paramètres!I21="","",Paramètres!I21))</f>
        <v/>
      </c>
      <c r="E129" s="19">
        <f>IF($A129="","",IF(Paramètres!J21&amp;Paramètres!L21&amp;Paramètres!N21="",Dossiers!$D$6,MAX(IF(Paramètres!J21="",0,IF(Paramètres!K21="",NA(),IF(LEFT(TRIM(Paramètres!K21),1)="F",INDEX($F$113:$F$165,MATCH(Paramètres!J21,Paramètres!$G$5:$G$57,0)),INDEX($E$113:$E$165,MATCH(Paramètres!J21,Paramètres!$G$5:$G$57,0)))+IF(RIGHT(TRIM(Paramètres!K21),3)="Fin",1-$H129,IF(LEFT(TRIM(Paramètres!K21),1)="F",1,0)))),IF(Paramètres!L21="",0,IF(Paramètres!M21="",NA(),IF(LEFT(TRIM(Paramètres!M21),1)="F",INDEX($F$113:$F$165,MATCH(Paramètres!L21,Paramètres!$G$5:$G$57,0)),INDEX($E$113:$E$165,MATCH(Paramètres!L21,Paramètres!$G$5:$G$57,0)))+IF(RIGHT(TRIM(Paramètres!M21),3)="Fin",1-$H129,IF(LEFT(TRIM(Paramètres!M21),1)="F",1,0)))),IF(Paramètres!N21="",0,IF(Paramètres!O21="",NA(),IF(LEFT(TRIM(Paramètres!O21),1)="F",INDEX($F$113:$F$165,MATCH(Paramètres!N21,Paramètres!$G$5:$G$57,0)),INDEX($E$113:$E$165,MATCH(Paramètres!N21,Paramètres!$G$5:$G$57,0)))+IF(RIGHT(TRIM(Paramètres!O21),3)="Fin",1-$H129,IF(LEFT(TRIM(Paramètres!O21),1)="F",1,0)))))))</f>
        <v/>
      </c>
      <c r="F129" s="19">
        <f>IF($A129="","",E129+$H129-1)</f>
        <v/>
      </c>
      <c r="G129" s="18" t="n"/>
      <c r="H129" s="18">
        <f>IF($A129="","",IF(I129&lt;&gt;"",I129,Paramètres!B21))</f>
        <v/>
      </c>
      <c r="I129" s="18" t="n"/>
    </row>
    <row r="130">
      <c r="A130" s="18">
        <f>IF(ISNUMBER(Dossiers!$D$6),Dossiers!$A$6&amp;" · "&amp;Dossiers!$B$6,"")</f>
        <v/>
      </c>
      <c r="B130" s="18">
        <f>IF($A130="","",Paramètres!G22)</f>
        <v/>
      </c>
      <c r="C130" s="18">
        <f>IF($A130="","",IF(Paramètres!H22="","",Paramètres!H22))</f>
        <v/>
      </c>
      <c r="D130" s="18">
        <f>IF($A130="","",IF(Paramètres!I22="","",Paramètres!I22))</f>
        <v/>
      </c>
      <c r="E130" s="19">
        <f>IF($A130="","",IF(Paramètres!J22&amp;Paramètres!L22&amp;Paramètres!N22="",Dossiers!$D$6,MAX(IF(Paramètres!J22="",0,IF(Paramètres!K22="",NA(),IF(LEFT(TRIM(Paramètres!K22),1)="F",INDEX($F$113:$F$165,MATCH(Paramètres!J22,Paramètres!$G$5:$G$57,0)),INDEX($E$113:$E$165,MATCH(Paramètres!J22,Paramètres!$G$5:$G$57,0)))+IF(RIGHT(TRIM(Paramètres!K22),3)="Fin",1-$H130,IF(LEFT(TRIM(Paramètres!K22),1)="F",1,0)))),IF(Paramètres!L22="",0,IF(Paramètres!M22="",NA(),IF(LEFT(TRIM(Paramètres!M22),1)="F",INDEX($F$113:$F$165,MATCH(Paramètres!L22,Paramètres!$G$5:$G$57,0)),INDEX($E$113:$E$165,MATCH(Paramètres!L22,Paramètres!$G$5:$G$57,0)))+IF(RIGHT(TRIM(Paramètres!M22),3)="Fin",1-$H130,IF(LEFT(TRIM(Paramètres!M22),1)="F",1,0)))),IF(Paramètres!N22="",0,IF(Paramètres!O22="",NA(),IF(LEFT(TRIM(Paramètres!O22),1)="F",INDEX($F$113:$F$165,MATCH(Paramètres!N22,Paramètres!$G$5:$G$57,0)),INDEX($E$113:$E$165,MATCH(Paramètres!N22,Paramètres!$G$5:$G$57,0)))+IF(RIGHT(TRIM(Paramètres!O22),3)="Fin",1-$H130,IF(LEFT(TRIM(Paramètres!O22),1)="F",1,0)))))))</f>
        <v/>
      </c>
      <c r="F130" s="19">
        <f>IF($A130="","",E130+$H130-1)</f>
        <v/>
      </c>
      <c r="G130" s="18" t="n"/>
      <c r="H130" s="18">
        <f>IF($A130="","",IF(I130&lt;&gt;"",I130,Paramètres!B22))</f>
        <v/>
      </c>
      <c r="I130" s="18" t="n"/>
    </row>
    <row r="131">
      <c r="A131" s="18">
        <f>IF(ISNUMBER(Dossiers!$D$6),Dossiers!$A$6&amp;" · "&amp;Dossiers!$B$6,"")</f>
        <v/>
      </c>
      <c r="B131" s="18">
        <f>IF($A131="","",Paramètres!G23)</f>
        <v/>
      </c>
      <c r="C131" s="18">
        <f>IF($A131="","",IF(Paramètres!H23="","",Paramètres!H23))</f>
        <v/>
      </c>
      <c r="D131" s="18">
        <f>IF($A131="","",IF(Paramètres!I23="","",Paramètres!I23))</f>
        <v/>
      </c>
      <c r="E131" s="19">
        <f>IF($A131="","",IF(Paramètres!J23&amp;Paramètres!L23&amp;Paramètres!N23="",Dossiers!$D$6,MAX(IF(Paramètres!J23="",0,IF(Paramètres!K23="",NA(),IF(LEFT(TRIM(Paramètres!K23),1)="F",INDEX($F$113:$F$165,MATCH(Paramètres!J23,Paramètres!$G$5:$G$57,0)),INDEX($E$113:$E$165,MATCH(Paramètres!J23,Paramètres!$G$5:$G$57,0)))+IF(RIGHT(TRIM(Paramètres!K23),3)="Fin",1-$H131,IF(LEFT(TRIM(Paramètres!K23),1)="F",1,0)))),IF(Paramètres!L23="",0,IF(Paramètres!M23="",NA(),IF(LEFT(TRIM(Paramètres!M23),1)="F",INDEX($F$113:$F$165,MATCH(Paramètres!L23,Paramètres!$G$5:$G$57,0)),INDEX($E$113:$E$165,MATCH(Paramètres!L23,Paramètres!$G$5:$G$57,0)))+IF(RIGHT(TRIM(Paramètres!M23),3)="Fin",1-$H131,IF(LEFT(TRIM(Paramètres!M23),1)="F",1,0)))),IF(Paramètres!N23="",0,IF(Paramètres!O23="",NA(),IF(LEFT(TRIM(Paramètres!O23),1)="F",INDEX($F$113:$F$165,MATCH(Paramètres!N23,Paramètres!$G$5:$G$57,0)),INDEX($E$113:$E$165,MATCH(Paramètres!N23,Paramètres!$G$5:$G$57,0)))+IF(RIGHT(TRIM(Paramètres!O23),3)="Fin",1-$H131,IF(LEFT(TRIM(Paramètres!O23),1)="F",1,0)))))))</f>
        <v/>
      </c>
      <c r="F131" s="19">
        <f>IF($A131="","",E131+$H131-1)</f>
        <v/>
      </c>
      <c r="G131" s="18" t="n"/>
      <c r="H131" s="18">
        <f>IF($A131="","",IF(I131&lt;&gt;"",I131,Paramètres!B23))</f>
        <v/>
      </c>
      <c r="I131" s="18" t="n"/>
    </row>
    <row r="132">
      <c r="A132" s="18">
        <f>IF(ISNUMBER(Dossiers!$D$6),Dossiers!$A$6&amp;" · "&amp;Dossiers!$B$6,"")</f>
        <v/>
      </c>
      <c r="B132" s="18">
        <f>IF($A132="","",Paramètres!G24)</f>
        <v/>
      </c>
      <c r="C132" s="18">
        <f>IF($A132="","",IF(Paramètres!H24="","",Paramètres!H24))</f>
        <v/>
      </c>
      <c r="D132" s="18">
        <f>IF($A132="","",IF(Paramètres!I24="","",Paramètres!I24))</f>
        <v/>
      </c>
      <c r="E132" s="19">
        <f>IF($A132="","",IF(Paramètres!J24&amp;Paramètres!L24&amp;Paramètres!N24="",Dossiers!$D$6,MAX(IF(Paramètres!J24="",0,IF(Paramètres!K24="",NA(),IF(LEFT(TRIM(Paramètres!K24),1)="F",INDEX($F$113:$F$165,MATCH(Paramètres!J24,Paramètres!$G$5:$G$57,0)),INDEX($E$113:$E$165,MATCH(Paramètres!J24,Paramètres!$G$5:$G$57,0)))+IF(RIGHT(TRIM(Paramètres!K24),3)="Fin",1-$H132,IF(LEFT(TRIM(Paramètres!K24),1)="F",1,0)))),IF(Paramètres!L24="",0,IF(Paramètres!M24="",NA(),IF(LEFT(TRIM(Paramètres!M24),1)="F",INDEX($F$113:$F$165,MATCH(Paramètres!L24,Paramètres!$G$5:$G$57,0)),INDEX($E$113:$E$165,MATCH(Paramètres!L24,Paramètres!$G$5:$G$57,0)))+IF(RIGHT(TRIM(Paramètres!M24),3)="Fin",1-$H132,IF(LEFT(TRIM(Paramètres!M24),1)="F",1,0)))),IF(Paramètres!N24="",0,IF(Paramètres!O24="",NA(),IF(LEFT(TRIM(Paramètres!O24),1)="F",INDEX($F$113:$F$165,MATCH(Paramètres!N24,Paramètres!$G$5:$G$57,0)),INDEX($E$113:$E$165,MATCH(Paramètres!N24,Paramètres!$G$5:$G$57,0)))+IF(RIGHT(TRIM(Paramètres!O24),3)="Fin",1-$H132,IF(LEFT(TRIM(Paramètres!O24),1)="F",1,0)))))))</f>
        <v/>
      </c>
      <c r="F132" s="19">
        <f>IF($A132="","",E132+$H132-1)</f>
        <v/>
      </c>
      <c r="G132" s="18" t="n"/>
      <c r="H132" s="18">
        <f>IF($A132="","",IF(I132&lt;&gt;"",I132,Paramètres!B24))</f>
        <v/>
      </c>
      <c r="I132" s="18" t="n"/>
    </row>
    <row r="133">
      <c r="A133" s="18">
        <f>IF(ISNUMBER(Dossiers!$D$6),Dossiers!$A$6&amp;" · "&amp;Dossiers!$B$6,"")</f>
        <v/>
      </c>
      <c r="B133" s="18">
        <f>IF($A133="","",Paramètres!G25)</f>
        <v/>
      </c>
      <c r="C133" s="18">
        <f>IF($A133="","",IF(Paramètres!H25="","",Paramètres!H25))</f>
        <v/>
      </c>
      <c r="D133" s="18">
        <f>IF($A133="","",IF(Paramètres!I25="","",Paramètres!I25))</f>
        <v/>
      </c>
      <c r="E133" s="19">
        <f>IF($A133="","",IF(Paramètres!J25&amp;Paramètres!L25&amp;Paramètres!N25="",Dossiers!$D$6,MAX(IF(Paramètres!J25="",0,IF(Paramètres!K25="",NA(),IF(LEFT(TRIM(Paramètres!K25),1)="F",INDEX($F$113:$F$165,MATCH(Paramètres!J25,Paramètres!$G$5:$G$57,0)),INDEX($E$113:$E$165,MATCH(Paramètres!J25,Paramètres!$G$5:$G$57,0)))+IF(RIGHT(TRIM(Paramètres!K25),3)="Fin",1-$H133,IF(LEFT(TRIM(Paramètres!K25),1)="F",1,0)))),IF(Paramètres!L25="",0,IF(Paramètres!M25="",NA(),IF(LEFT(TRIM(Paramètres!M25),1)="F",INDEX($F$113:$F$165,MATCH(Paramètres!L25,Paramètres!$G$5:$G$57,0)),INDEX($E$113:$E$165,MATCH(Paramètres!L25,Paramètres!$G$5:$G$57,0)))+IF(RIGHT(TRIM(Paramètres!M25),3)="Fin",1-$H133,IF(LEFT(TRIM(Paramètres!M25),1)="F",1,0)))),IF(Paramètres!N25="",0,IF(Paramètres!O25="",NA(),IF(LEFT(TRIM(Paramètres!O25),1)="F",INDEX($F$113:$F$165,MATCH(Paramètres!N25,Paramètres!$G$5:$G$57,0)),INDEX($E$113:$E$165,MATCH(Paramètres!N25,Paramètres!$G$5:$G$57,0)))+IF(RIGHT(TRIM(Paramètres!O25),3)="Fin",1-$H133,IF(LEFT(TRIM(Paramètres!O25),1)="F",1,0)))))))</f>
        <v/>
      </c>
      <c r="F133" s="19">
        <f>IF($A133="","",E133+$H133-1)</f>
        <v/>
      </c>
      <c r="G133" s="18" t="n"/>
      <c r="H133" s="18">
        <f>IF($A133="","",IF(I133&lt;&gt;"",I133,Paramètres!B25))</f>
        <v/>
      </c>
      <c r="I133" s="18" t="n"/>
    </row>
    <row r="134">
      <c r="A134" s="18">
        <f>IF(ISNUMBER(Dossiers!$D$6),Dossiers!$A$6&amp;" · "&amp;Dossiers!$B$6,"")</f>
        <v/>
      </c>
      <c r="B134" s="18">
        <f>IF($A134="","",Paramètres!G26)</f>
        <v/>
      </c>
      <c r="C134" s="18">
        <f>IF($A134="","",IF(Paramètres!H26="","",Paramètres!H26))</f>
        <v/>
      </c>
      <c r="D134" s="18">
        <f>IF($A134="","",IF(Paramètres!I26="","",Paramètres!I26))</f>
        <v/>
      </c>
      <c r="E134" s="19">
        <f>IF($A134="","",IF(Paramètres!J26&amp;Paramètres!L26&amp;Paramètres!N26="",Dossiers!$D$6,MAX(IF(Paramètres!J26="",0,IF(Paramètres!K26="",NA(),IF(LEFT(TRIM(Paramètres!K26),1)="F",INDEX($F$113:$F$165,MATCH(Paramètres!J26,Paramètres!$G$5:$G$57,0)),INDEX($E$113:$E$165,MATCH(Paramètres!J26,Paramètres!$G$5:$G$57,0)))+IF(RIGHT(TRIM(Paramètres!K26),3)="Fin",1-$H134,IF(LEFT(TRIM(Paramètres!K26),1)="F",1,0)))),IF(Paramètres!L26="",0,IF(Paramètres!M26="",NA(),IF(LEFT(TRIM(Paramètres!M26),1)="F",INDEX($F$113:$F$165,MATCH(Paramètres!L26,Paramètres!$G$5:$G$57,0)),INDEX($E$113:$E$165,MATCH(Paramètres!L26,Paramètres!$G$5:$G$57,0)))+IF(RIGHT(TRIM(Paramètres!M26),3)="Fin",1-$H134,IF(LEFT(TRIM(Paramètres!M26),1)="F",1,0)))),IF(Paramètres!N26="",0,IF(Paramètres!O26="",NA(),IF(LEFT(TRIM(Paramètres!O26),1)="F",INDEX($F$113:$F$165,MATCH(Paramètres!N26,Paramètres!$G$5:$G$57,0)),INDEX($E$113:$E$165,MATCH(Paramètres!N26,Paramètres!$G$5:$G$57,0)))+IF(RIGHT(TRIM(Paramètres!O26),3)="Fin",1-$H134,IF(LEFT(TRIM(Paramètres!O26),1)="F",1,0)))))))</f>
        <v/>
      </c>
      <c r="F134" s="19">
        <f>IF($A134="","",E134+$H134-1)</f>
        <v/>
      </c>
      <c r="G134" s="18" t="n"/>
      <c r="H134" s="18">
        <f>IF($A134="","",IF(I134&lt;&gt;"",I134,Paramètres!B26))</f>
        <v/>
      </c>
      <c r="I134" s="18" t="n"/>
    </row>
    <row r="135">
      <c r="A135" s="18">
        <f>IF(ISNUMBER(Dossiers!$D$6),Dossiers!$A$6&amp;" · "&amp;Dossiers!$B$6,"")</f>
        <v/>
      </c>
      <c r="B135" s="18">
        <f>IF($A135="","",Paramètres!G27)</f>
        <v/>
      </c>
      <c r="C135" s="18">
        <f>IF($A135="","",IF(Paramètres!H27="","",Paramètres!H27))</f>
        <v/>
      </c>
      <c r="D135" s="18">
        <f>IF($A135="","",IF(Paramètres!I27="","",Paramètres!I27))</f>
        <v/>
      </c>
      <c r="E135" s="19">
        <f>IF($A135="","",IF(Paramètres!J27&amp;Paramètres!L27&amp;Paramètres!N27="",Dossiers!$D$6,MAX(IF(Paramètres!J27="",0,IF(Paramètres!K27="",NA(),IF(LEFT(TRIM(Paramètres!K27),1)="F",INDEX($F$113:$F$165,MATCH(Paramètres!J27,Paramètres!$G$5:$G$57,0)),INDEX($E$113:$E$165,MATCH(Paramètres!J27,Paramètres!$G$5:$G$57,0)))+IF(RIGHT(TRIM(Paramètres!K27),3)="Fin",1-$H135,IF(LEFT(TRIM(Paramètres!K27),1)="F",1,0)))),IF(Paramètres!L27="",0,IF(Paramètres!M27="",NA(),IF(LEFT(TRIM(Paramètres!M27),1)="F",INDEX($F$113:$F$165,MATCH(Paramètres!L27,Paramètres!$G$5:$G$57,0)),INDEX($E$113:$E$165,MATCH(Paramètres!L27,Paramètres!$G$5:$G$57,0)))+IF(RIGHT(TRIM(Paramètres!M27),3)="Fin",1-$H135,IF(LEFT(TRIM(Paramètres!M27),1)="F",1,0)))),IF(Paramètres!N27="",0,IF(Paramètres!O27="",NA(),IF(LEFT(TRIM(Paramètres!O27),1)="F",INDEX($F$113:$F$165,MATCH(Paramètres!N27,Paramètres!$G$5:$G$57,0)),INDEX($E$113:$E$165,MATCH(Paramètres!N27,Paramètres!$G$5:$G$57,0)))+IF(RIGHT(TRIM(Paramètres!O27),3)="Fin",1-$H135,IF(LEFT(TRIM(Paramètres!O27),1)="F",1,0)))))))</f>
        <v/>
      </c>
      <c r="F135" s="19">
        <f>IF($A135="","",E135+$H135-1)</f>
        <v/>
      </c>
      <c r="G135" s="18" t="n"/>
      <c r="H135" s="18">
        <f>IF($A135="","",IF(I135&lt;&gt;"",I135,Paramètres!B27))</f>
        <v/>
      </c>
      <c r="I135" s="18" t="n"/>
    </row>
    <row r="136">
      <c r="A136" s="18">
        <f>IF(ISNUMBER(Dossiers!$D$6),Dossiers!$A$6&amp;" · "&amp;Dossiers!$B$6,"")</f>
        <v/>
      </c>
      <c r="B136" s="18">
        <f>IF($A136="","",Paramètres!G28)</f>
        <v/>
      </c>
      <c r="C136" s="18">
        <f>IF($A136="","",IF(Paramètres!H28="","",Paramètres!H28))</f>
        <v/>
      </c>
      <c r="D136" s="18">
        <f>IF($A136="","",IF(Paramètres!I28="","",Paramètres!I28))</f>
        <v/>
      </c>
      <c r="E136" s="19">
        <f>IF($A136="","",IF(Paramètres!J28&amp;Paramètres!L28&amp;Paramètres!N28="",Dossiers!$D$6,MAX(IF(Paramètres!J28="",0,IF(Paramètres!K28="",NA(),IF(LEFT(TRIM(Paramètres!K28),1)="F",INDEX($F$113:$F$165,MATCH(Paramètres!J28,Paramètres!$G$5:$G$57,0)),INDEX($E$113:$E$165,MATCH(Paramètres!J28,Paramètres!$G$5:$G$57,0)))+IF(RIGHT(TRIM(Paramètres!K28),3)="Fin",1-$H136,IF(LEFT(TRIM(Paramètres!K28),1)="F",1,0)))),IF(Paramètres!L28="",0,IF(Paramètres!M28="",NA(),IF(LEFT(TRIM(Paramètres!M28),1)="F",INDEX($F$113:$F$165,MATCH(Paramètres!L28,Paramètres!$G$5:$G$57,0)),INDEX($E$113:$E$165,MATCH(Paramètres!L28,Paramètres!$G$5:$G$57,0)))+IF(RIGHT(TRIM(Paramètres!M28),3)="Fin",1-$H136,IF(LEFT(TRIM(Paramètres!M28),1)="F",1,0)))),IF(Paramètres!N28="",0,IF(Paramètres!O28="",NA(),IF(LEFT(TRIM(Paramètres!O28),1)="F",INDEX($F$113:$F$165,MATCH(Paramètres!N28,Paramètres!$G$5:$G$57,0)),INDEX($E$113:$E$165,MATCH(Paramètres!N28,Paramètres!$G$5:$G$57,0)))+IF(RIGHT(TRIM(Paramètres!O28),3)="Fin",1-$H136,IF(LEFT(TRIM(Paramètres!O28),1)="F",1,0)))))))</f>
        <v/>
      </c>
      <c r="F136" s="19">
        <f>IF($A136="","",E136+$H136-1)</f>
        <v/>
      </c>
      <c r="G136" s="18" t="n"/>
      <c r="H136" s="18">
        <f>IF($A136="","",IF(I136&lt;&gt;"",I136,Paramètres!B28))</f>
        <v/>
      </c>
      <c r="I136" s="18" t="n"/>
    </row>
    <row r="137">
      <c r="A137" s="18">
        <f>IF(ISNUMBER(Dossiers!$D$6),Dossiers!$A$6&amp;" · "&amp;Dossiers!$B$6,"")</f>
        <v/>
      </c>
      <c r="B137" s="18">
        <f>IF($A137="","",Paramètres!G29)</f>
        <v/>
      </c>
      <c r="C137" s="18">
        <f>IF($A137="","",IF(Paramètres!H29="","",Paramètres!H29))</f>
        <v/>
      </c>
      <c r="D137" s="18">
        <f>IF($A137="","",IF(Paramètres!I29="","",Paramètres!I29))</f>
        <v/>
      </c>
      <c r="E137" s="19">
        <f>IF($A137="","",IF(Paramètres!J29&amp;Paramètres!L29&amp;Paramètres!N29="",Dossiers!$D$6,MAX(IF(Paramètres!J29="",0,IF(Paramètres!K29="",NA(),IF(LEFT(TRIM(Paramètres!K29),1)="F",INDEX($F$113:$F$165,MATCH(Paramètres!J29,Paramètres!$G$5:$G$57,0)),INDEX($E$113:$E$165,MATCH(Paramètres!J29,Paramètres!$G$5:$G$57,0)))+IF(RIGHT(TRIM(Paramètres!K29),3)="Fin",1-$H137,IF(LEFT(TRIM(Paramètres!K29),1)="F",1,0)))),IF(Paramètres!L29="",0,IF(Paramètres!M29="",NA(),IF(LEFT(TRIM(Paramètres!M29),1)="F",INDEX($F$113:$F$165,MATCH(Paramètres!L29,Paramètres!$G$5:$G$57,0)),INDEX($E$113:$E$165,MATCH(Paramètres!L29,Paramètres!$G$5:$G$57,0)))+IF(RIGHT(TRIM(Paramètres!M29),3)="Fin",1-$H137,IF(LEFT(TRIM(Paramètres!M29),1)="F",1,0)))),IF(Paramètres!N29="",0,IF(Paramètres!O29="",NA(),IF(LEFT(TRIM(Paramètres!O29),1)="F",INDEX($F$113:$F$165,MATCH(Paramètres!N29,Paramètres!$G$5:$G$57,0)),INDEX($E$113:$E$165,MATCH(Paramètres!N29,Paramètres!$G$5:$G$57,0)))+IF(RIGHT(TRIM(Paramètres!O29),3)="Fin",1-$H137,IF(LEFT(TRIM(Paramètres!O29),1)="F",1,0)))))))</f>
        <v/>
      </c>
      <c r="F137" s="19">
        <f>IF($A137="","",E137+$H137-1)</f>
        <v/>
      </c>
      <c r="G137" s="18" t="n"/>
      <c r="H137" s="18">
        <f>IF($A137="","",IF(I137&lt;&gt;"",I137,Paramètres!B29))</f>
        <v/>
      </c>
      <c r="I137" s="18" t="n"/>
    </row>
    <row r="138">
      <c r="A138" s="18">
        <f>IF(ISNUMBER(Dossiers!$D$6),Dossiers!$A$6&amp;" · "&amp;Dossiers!$B$6,"")</f>
        <v/>
      </c>
      <c r="B138" s="18">
        <f>IF($A138="","",Paramètres!G30)</f>
        <v/>
      </c>
      <c r="C138" s="18">
        <f>IF($A138="","",IF(Paramètres!H30="","",Paramètres!H30))</f>
        <v/>
      </c>
      <c r="D138" s="18">
        <f>IF($A138="","",IF(Paramètres!I30="","",Paramètres!I30))</f>
        <v/>
      </c>
      <c r="E138" s="19">
        <f>IF($A138="","",IF(Paramètres!J30&amp;Paramètres!L30&amp;Paramètres!N30="",Dossiers!$D$6,MAX(IF(Paramètres!J30="",0,IF(Paramètres!K30="",NA(),IF(LEFT(TRIM(Paramètres!K30),1)="F",INDEX($F$113:$F$165,MATCH(Paramètres!J30,Paramètres!$G$5:$G$57,0)),INDEX($E$113:$E$165,MATCH(Paramètres!J30,Paramètres!$G$5:$G$57,0)))+IF(RIGHT(TRIM(Paramètres!K30),3)="Fin",1-$H138,IF(LEFT(TRIM(Paramètres!K30),1)="F",1,0)))),IF(Paramètres!L30="",0,IF(Paramètres!M30="",NA(),IF(LEFT(TRIM(Paramètres!M30),1)="F",INDEX($F$113:$F$165,MATCH(Paramètres!L30,Paramètres!$G$5:$G$57,0)),INDEX($E$113:$E$165,MATCH(Paramètres!L30,Paramètres!$G$5:$G$57,0)))+IF(RIGHT(TRIM(Paramètres!M30),3)="Fin",1-$H138,IF(LEFT(TRIM(Paramètres!M30),1)="F",1,0)))),IF(Paramètres!N30="",0,IF(Paramètres!O30="",NA(),IF(LEFT(TRIM(Paramètres!O30),1)="F",INDEX($F$113:$F$165,MATCH(Paramètres!N30,Paramètres!$G$5:$G$57,0)),INDEX($E$113:$E$165,MATCH(Paramètres!N30,Paramètres!$G$5:$G$57,0)))+IF(RIGHT(TRIM(Paramètres!O30),3)="Fin",1-$H138,IF(LEFT(TRIM(Paramètres!O30),1)="F",1,0)))))))</f>
        <v/>
      </c>
      <c r="F138" s="19">
        <f>IF($A138="","",E138+$H138-1)</f>
        <v/>
      </c>
      <c r="G138" s="18" t="n"/>
      <c r="H138" s="18">
        <f>IF($A138="","",IF(I138&lt;&gt;"",I138,Paramètres!B30))</f>
        <v/>
      </c>
      <c r="I138" s="18" t="n"/>
    </row>
    <row r="139">
      <c r="A139" s="18">
        <f>IF(ISNUMBER(Dossiers!$D$6),Dossiers!$A$6&amp;" · "&amp;Dossiers!$B$6,"")</f>
        <v/>
      </c>
      <c r="B139" s="18">
        <f>IF($A139="","",Paramètres!G31)</f>
        <v/>
      </c>
      <c r="C139" s="20">
        <f>IF($A139="","",IF(Dossiers!$F$6="","",Dossiers!$F$6))</f>
        <v/>
      </c>
      <c r="D139" s="18">
        <f>IF($A139="","",IF(Paramètres!I31="","",Paramètres!I31))</f>
        <v/>
      </c>
      <c r="E139" s="19">
        <f>IF($A139="","",IF(Paramètres!J31&amp;Paramètres!L31&amp;Paramètres!N31="",Dossiers!$D$6,MAX(IF(Paramètres!J31="",0,IF(Paramètres!K31="",NA(),IF(LEFT(TRIM(Paramètres!K31),1)="F",INDEX($F$113:$F$165,MATCH(Paramètres!J31,Paramètres!$G$5:$G$57,0)),INDEX($E$113:$E$165,MATCH(Paramètres!J31,Paramètres!$G$5:$G$57,0)))+IF(RIGHT(TRIM(Paramètres!K31),3)="Fin",1-$H139,IF(LEFT(TRIM(Paramètres!K31),1)="F",1,0)))),IF(Paramètres!L31="",0,IF(Paramètres!M31="",NA(),IF(LEFT(TRIM(Paramètres!M31),1)="F",INDEX($F$113:$F$165,MATCH(Paramètres!L31,Paramètres!$G$5:$G$57,0)),INDEX($E$113:$E$165,MATCH(Paramètres!L31,Paramètres!$G$5:$G$57,0)))+IF(RIGHT(TRIM(Paramètres!M31),3)="Fin",1-$H139,IF(LEFT(TRIM(Paramètres!M31),1)="F",1,0)))),IF(Paramètres!N31="",0,IF(Paramètres!O31="",NA(),IF(LEFT(TRIM(Paramètres!O31),1)="F",INDEX($F$113:$F$165,MATCH(Paramètres!N31,Paramètres!$G$5:$G$57,0)),INDEX($E$113:$E$165,MATCH(Paramètres!N31,Paramètres!$G$5:$G$57,0)))+IF(RIGHT(TRIM(Paramètres!O31),3)="Fin",1-$H139,IF(LEFT(TRIM(Paramètres!O31),1)="F",1,0)))))))</f>
        <v/>
      </c>
      <c r="F139" s="19">
        <f>IF($A139="","",E139+$H139-1)</f>
        <v/>
      </c>
      <c r="G139" s="18" t="n"/>
      <c r="H139" s="18">
        <f>IF($A139="","",IF(I139&lt;&gt;"",I139,Paramètres!B31))</f>
        <v/>
      </c>
      <c r="I139" s="18" t="n"/>
    </row>
    <row r="140">
      <c r="A140" s="18">
        <f>IF(ISNUMBER(Dossiers!$D$6),Dossiers!$A$6&amp;" · "&amp;Dossiers!$B$6,"")</f>
        <v/>
      </c>
      <c r="B140" s="18">
        <f>IF($A140="","",Paramètres!G32)</f>
        <v/>
      </c>
      <c r="C140" s="18">
        <f>IF($A140="","",IF(Paramètres!H32="","",Paramètres!H32))</f>
        <v/>
      </c>
      <c r="D140" s="18">
        <f>IF($A140="","",IF(Paramètres!I32="","",Paramètres!I32))</f>
        <v/>
      </c>
      <c r="E140" s="19">
        <f>IF($A140="","",MIN(E141:E144))</f>
        <v/>
      </c>
      <c r="F140" s="19">
        <f>IF($A140="","",MAX(F141:F144))</f>
        <v/>
      </c>
      <c r="G140" s="18" t="n"/>
      <c r="H140" s="18">
        <f>IF($A140="","",F140-E140+1)</f>
        <v/>
      </c>
      <c r="I140" s="18" t="n"/>
    </row>
    <row r="141">
      <c r="A141" s="18">
        <f>IF(ISNUMBER(Dossiers!$D$6),Dossiers!$A$6&amp;" · "&amp;Dossiers!$B$6,"")</f>
        <v/>
      </c>
      <c r="B141" s="18">
        <f>IF($A141="","",Paramètres!G33)</f>
        <v/>
      </c>
      <c r="C141" s="18">
        <f>IF($A141="","",IF(Paramètres!H33="","",Paramètres!H33))</f>
        <v/>
      </c>
      <c r="D141" s="18">
        <f>IF($A141="","",IF(Paramètres!I33="","",Paramètres!I33))</f>
        <v/>
      </c>
      <c r="E141" s="19">
        <f>IF($A141="","",IF(Paramètres!J33&amp;Paramètres!L33&amp;Paramètres!N33="",Dossiers!$D$6,MAX(IF(Paramètres!J33="",0,IF(Paramètres!K33="",NA(),IF(LEFT(TRIM(Paramètres!K33),1)="F",INDEX($F$113:$F$165,MATCH(Paramètres!J33,Paramètres!$G$5:$G$57,0)),INDEX($E$113:$E$165,MATCH(Paramètres!J33,Paramètres!$G$5:$G$57,0)))+IF(RIGHT(TRIM(Paramètres!K33),3)="Fin",1-$H141,IF(LEFT(TRIM(Paramètres!K33),1)="F",1,0)))),IF(Paramètres!L33="",0,IF(Paramètres!M33="",NA(),IF(LEFT(TRIM(Paramètres!M33),1)="F",INDEX($F$113:$F$165,MATCH(Paramètres!L33,Paramètres!$G$5:$G$57,0)),INDEX($E$113:$E$165,MATCH(Paramètres!L33,Paramètres!$G$5:$G$57,0)))+IF(RIGHT(TRIM(Paramètres!M33),3)="Fin",1-$H141,IF(LEFT(TRIM(Paramètres!M33),1)="F",1,0)))),IF(Paramètres!N33="",0,IF(Paramètres!O33="",NA(),IF(LEFT(TRIM(Paramètres!O33),1)="F",INDEX($F$113:$F$165,MATCH(Paramètres!N33,Paramètres!$G$5:$G$57,0)),INDEX($E$113:$E$165,MATCH(Paramètres!N33,Paramètres!$G$5:$G$57,0)))+IF(RIGHT(TRIM(Paramètres!O33),3)="Fin",1-$H141,IF(LEFT(TRIM(Paramètres!O33),1)="F",1,0)))))))</f>
        <v/>
      </c>
      <c r="F141" s="19">
        <f>IF($A141="","",E141+$H141-1)</f>
        <v/>
      </c>
      <c r="G141" s="18" t="n"/>
      <c r="H141" s="18">
        <f>IF($A141="","",IF(I141&lt;&gt;"",I141,Paramètres!B33))</f>
        <v/>
      </c>
      <c r="I141" s="18" t="n"/>
    </row>
    <row r="142">
      <c r="A142" s="18">
        <f>IF(ISNUMBER(Dossiers!$D$6),Dossiers!$A$6&amp;" · "&amp;Dossiers!$B$6,"")</f>
        <v/>
      </c>
      <c r="B142" s="18">
        <f>IF($A142="","",Paramètres!G34)</f>
        <v/>
      </c>
      <c r="C142" s="18">
        <f>IF($A142="","",IF(Paramètres!H34="","",Paramètres!H34))</f>
        <v/>
      </c>
      <c r="D142" s="18">
        <f>IF($A142="","",IF(Paramètres!I34="","",Paramètres!I34))</f>
        <v/>
      </c>
      <c r="E142" s="19">
        <f>IF($A142="","",IF(Paramètres!J34&amp;Paramètres!L34&amp;Paramètres!N34="",Dossiers!$D$6,MAX(IF(Paramètres!J34="",0,IF(Paramètres!K34="",NA(),IF(LEFT(TRIM(Paramètres!K34),1)="F",INDEX($F$113:$F$165,MATCH(Paramètres!J34,Paramètres!$G$5:$G$57,0)),INDEX($E$113:$E$165,MATCH(Paramètres!J34,Paramètres!$G$5:$G$57,0)))+IF(RIGHT(TRIM(Paramètres!K34),3)="Fin",1-$H142,IF(LEFT(TRIM(Paramètres!K34),1)="F",1,0)))),IF(Paramètres!L34="",0,IF(Paramètres!M34="",NA(),IF(LEFT(TRIM(Paramètres!M34),1)="F",INDEX($F$113:$F$165,MATCH(Paramètres!L34,Paramètres!$G$5:$G$57,0)),INDEX($E$113:$E$165,MATCH(Paramètres!L34,Paramètres!$G$5:$G$57,0)))+IF(RIGHT(TRIM(Paramètres!M34),3)="Fin",1-$H142,IF(LEFT(TRIM(Paramètres!M34),1)="F",1,0)))),IF(Paramètres!N34="",0,IF(Paramètres!O34="",NA(),IF(LEFT(TRIM(Paramètres!O34),1)="F",INDEX($F$113:$F$165,MATCH(Paramètres!N34,Paramètres!$G$5:$G$57,0)),INDEX($E$113:$E$165,MATCH(Paramètres!N34,Paramètres!$G$5:$G$57,0)))+IF(RIGHT(TRIM(Paramètres!O34),3)="Fin",1-$H142,IF(LEFT(TRIM(Paramètres!O34),1)="F",1,0)))))))</f>
        <v/>
      </c>
      <c r="F142" s="19">
        <f>IF($A142="","",E142+$H142-1)</f>
        <v/>
      </c>
      <c r="G142" s="18" t="n"/>
      <c r="H142" s="18">
        <f>IF($A142="","",IF(I142&lt;&gt;"",I142,Paramètres!B34))</f>
        <v/>
      </c>
      <c r="I142" s="18" t="n"/>
    </row>
    <row r="143">
      <c r="A143" s="18">
        <f>IF(ISNUMBER(Dossiers!$D$6),Dossiers!$A$6&amp;" · "&amp;Dossiers!$B$6,"")</f>
        <v/>
      </c>
      <c r="B143" s="18">
        <f>IF($A143="","",Paramètres!G35)</f>
        <v/>
      </c>
      <c r="C143" s="18">
        <f>IF($A143="","",IF(Paramètres!H35="","",Paramètres!H35))</f>
        <v/>
      </c>
      <c r="D143" s="18">
        <f>IF($A143="","",IF(Paramètres!I35="","",Paramètres!I35))</f>
        <v/>
      </c>
      <c r="E143" s="19">
        <f>IF($A143="","",IF(Paramètres!J35&amp;Paramètres!L35&amp;Paramètres!N35="",Dossiers!$D$6,MAX(IF(Paramètres!J35="",0,IF(Paramètres!K35="",NA(),IF(LEFT(TRIM(Paramètres!K35),1)="F",INDEX($F$113:$F$165,MATCH(Paramètres!J35,Paramètres!$G$5:$G$57,0)),INDEX($E$113:$E$165,MATCH(Paramètres!J35,Paramètres!$G$5:$G$57,0)))+IF(RIGHT(TRIM(Paramètres!K35),3)="Fin",1-$H143,IF(LEFT(TRIM(Paramètres!K35),1)="F",1,0)))),IF(Paramètres!L35="",0,IF(Paramètres!M35="",NA(),IF(LEFT(TRIM(Paramètres!M35),1)="F",INDEX($F$113:$F$165,MATCH(Paramètres!L35,Paramètres!$G$5:$G$57,0)),INDEX($E$113:$E$165,MATCH(Paramètres!L35,Paramètres!$G$5:$G$57,0)))+IF(RIGHT(TRIM(Paramètres!M35),3)="Fin",1-$H143,IF(LEFT(TRIM(Paramètres!M35),1)="F",1,0)))),IF(Paramètres!N35="",0,IF(Paramètres!O35="",NA(),IF(LEFT(TRIM(Paramètres!O35),1)="F",INDEX($F$113:$F$165,MATCH(Paramètres!N35,Paramètres!$G$5:$G$57,0)),INDEX($E$113:$E$165,MATCH(Paramètres!N35,Paramètres!$G$5:$G$57,0)))+IF(RIGHT(TRIM(Paramètres!O35),3)="Fin",1-$H143,IF(LEFT(TRIM(Paramètres!O35),1)="F",1,0)))))))</f>
        <v/>
      </c>
      <c r="F143" s="19">
        <f>IF($A143="","",E143+$H143-1)</f>
        <v/>
      </c>
      <c r="G143" s="18" t="n"/>
      <c r="H143" s="18">
        <f>IF($A143="","",IF(I143&lt;&gt;"",I143,Paramètres!B35))</f>
        <v/>
      </c>
      <c r="I143" s="18" t="n"/>
    </row>
    <row r="144">
      <c r="A144" s="18">
        <f>IF(ISNUMBER(Dossiers!$D$6),Dossiers!$A$6&amp;" · "&amp;Dossiers!$B$6,"")</f>
        <v/>
      </c>
      <c r="B144" s="18">
        <f>IF($A144="","",Paramètres!G36)</f>
        <v/>
      </c>
      <c r="C144" s="18">
        <f>IF($A144="","",IF(Paramètres!H36="","",Paramètres!H36))</f>
        <v/>
      </c>
      <c r="D144" s="18">
        <f>IF($A144="","",IF(Paramètres!I36="","",Paramètres!I36))</f>
        <v/>
      </c>
      <c r="E144" s="19">
        <f>IF($A144="","",IF(Paramètres!J36&amp;Paramètres!L36&amp;Paramètres!N36="",Dossiers!$D$6,MAX(IF(Paramètres!J36="",0,IF(Paramètres!K36="",NA(),IF(LEFT(TRIM(Paramètres!K36),1)="F",INDEX($F$113:$F$165,MATCH(Paramètres!J36,Paramètres!$G$5:$G$57,0)),INDEX($E$113:$E$165,MATCH(Paramètres!J36,Paramètres!$G$5:$G$57,0)))+IF(RIGHT(TRIM(Paramètres!K36),3)="Fin",1-$H144,IF(LEFT(TRIM(Paramètres!K36),1)="F",1,0)))),IF(Paramètres!L36="",0,IF(Paramètres!M36="",NA(),IF(LEFT(TRIM(Paramètres!M36),1)="F",INDEX($F$113:$F$165,MATCH(Paramètres!L36,Paramètres!$G$5:$G$57,0)),INDEX($E$113:$E$165,MATCH(Paramètres!L36,Paramètres!$G$5:$G$57,0)))+IF(RIGHT(TRIM(Paramètres!M36),3)="Fin",1-$H144,IF(LEFT(TRIM(Paramètres!M36),1)="F",1,0)))),IF(Paramètres!N36="",0,IF(Paramètres!O36="",NA(),IF(LEFT(TRIM(Paramètres!O36),1)="F",INDEX($F$113:$F$165,MATCH(Paramètres!N36,Paramètres!$G$5:$G$57,0)),INDEX($E$113:$E$165,MATCH(Paramètres!N36,Paramètres!$G$5:$G$57,0)))+IF(RIGHT(TRIM(Paramètres!O36),3)="Fin",1-$H144,IF(LEFT(TRIM(Paramètres!O36),1)="F",1,0)))))))</f>
        <v/>
      </c>
      <c r="F144" s="19">
        <f>IF($A144="","",E144+$H144-1)</f>
        <v/>
      </c>
      <c r="G144" s="18" t="n"/>
      <c r="H144" s="18">
        <f>IF($A144="","",IF(I144&lt;&gt;"",I144,Paramètres!B36))</f>
        <v/>
      </c>
      <c r="I144" s="18" t="n"/>
    </row>
    <row r="145">
      <c r="A145" s="18">
        <f>IF(ISNUMBER(Dossiers!$D$6),Dossiers!$A$6&amp;" · "&amp;Dossiers!$B$6,"")</f>
        <v/>
      </c>
      <c r="B145" s="18">
        <f>IF($A145="","",Paramètres!G37)</f>
        <v/>
      </c>
      <c r="C145" s="18">
        <f>IF($A145="","",IF(Paramètres!H37="","",Paramètres!H37))</f>
        <v/>
      </c>
      <c r="D145" s="18">
        <f>IF($A145="","",IF(Paramètres!I37="","",Paramètres!I37))</f>
        <v/>
      </c>
      <c r="E145" s="19">
        <f>IF($A145="","",MIN(E146:E163))</f>
        <v/>
      </c>
      <c r="F145" s="19">
        <f>IF($A145="","",MAX(F146:F163))</f>
        <v/>
      </c>
      <c r="G145" s="18" t="n"/>
      <c r="H145" s="18">
        <f>IF($A145="","",F145-E145+1)</f>
        <v/>
      </c>
      <c r="I145" s="18" t="n"/>
    </row>
    <row r="146">
      <c r="A146" s="18">
        <f>IF(ISNUMBER(Dossiers!$D$6),Dossiers!$A$6&amp;" · "&amp;Dossiers!$B$6,"")</f>
        <v/>
      </c>
      <c r="B146" s="18">
        <f>IF($A146="","",Paramètres!G38)</f>
        <v/>
      </c>
      <c r="C146" s="18">
        <f>IF($A146="","",IF(Paramètres!H38="","",Paramètres!H38))</f>
        <v/>
      </c>
      <c r="D146" s="18">
        <f>IF($A146="","",IF(Paramètres!I38="","",Paramètres!I38))</f>
        <v/>
      </c>
      <c r="E146" s="19">
        <f>IF($A146="","",IF(Paramètres!J38&amp;Paramètres!L38&amp;Paramètres!N38="",Dossiers!$D$6,MAX(IF(Paramètres!J38="",0,IF(Paramètres!K38="",NA(),IF(LEFT(TRIM(Paramètres!K38),1)="F",INDEX($F$113:$F$165,MATCH(Paramètres!J38,Paramètres!$G$5:$G$57,0)),INDEX($E$113:$E$165,MATCH(Paramètres!J38,Paramètres!$G$5:$G$57,0)))+IF(RIGHT(TRIM(Paramètres!K38),3)="Fin",1-$H146,IF(LEFT(TRIM(Paramètres!K38),1)="F",1,0)))),IF(Paramètres!L38="",0,IF(Paramètres!M38="",NA(),IF(LEFT(TRIM(Paramètres!M38),1)="F",INDEX($F$113:$F$165,MATCH(Paramètres!L38,Paramètres!$G$5:$G$57,0)),INDEX($E$113:$E$165,MATCH(Paramètres!L38,Paramètres!$G$5:$G$57,0)))+IF(RIGHT(TRIM(Paramètres!M38),3)="Fin",1-$H146,IF(LEFT(TRIM(Paramètres!M38),1)="F",1,0)))),IF(Paramètres!N38="",0,IF(Paramètres!O38="",NA(),IF(LEFT(TRIM(Paramètres!O38),1)="F",INDEX($F$113:$F$165,MATCH(Paramètres!N38,Paramètres!$G$5:$G$57,0)),INDEX($E$113:$E$165,MATCH(Paramètres!N38,Paramètres!$G$5:$G$57,0)))+IF(RIGHT(TRIM(Paramètres!O38),3)="Fin",1-$H146,IF(LEFT(TRIM(Paramètres!O38),1)="F",1,0)))))))</f>
        <v/>
      </c>
      <c r="F146" s="19">
        <f>IF($A146="","",E146+$H146-1)</f>
        <v/>
      </c>
      <c r="G146" s="18" t="n"/>
      <c r="H146" s="18">
        <f>IF($A146="","",IF(I146&lt;&gt;"",I146,Paramètres!B38))</f>
        <v/>
      </c>
      <c r="I146" s="18" t="n"/>
    </row>
    <row r="147">
      <c r="A147" s="18">
        <f>IF(ISNUMBER(Dossiers!$D$6),Dossiers!$A$6&amp;" · "&amp;Dossiers!$B$6,"")</f>
        <v/>
      </c>
      <c r="B147" s="18">
        <f>IF($A147="","",Paramètres!G39)</f>
        <v/>
      </c>
      <c r="C147" s="18">
        <f>IF($A147="","",IF(Paramètres!H39="","",Paramètres!H39))</f>
        <v/>
      </c>
      <c r="D147" s="18">
        <f>IF($A147="","",IF(Paramètres!I39="","",Paramètres!I39))</f>
        <v/>
      </c>
      <c r="E147" s="19">
        <f>IF($A147="","",IF(Paramètres!J39&amp;Paramètres!L39&amp;Paramètres!N39="",Dossiers!$D$6,MAX(IF(Paramètres!J39="",0,IF(Paramètres!K39="",NA(),IF(LEFT(TRIM(Paramètres!K39),1)="F",INDEX($F$113:$F$165,MATCH(Paramètres!J39,Paramètres!$G$5:$G$57,0)),INDEX($E$113:$E$165,MATCH(Paramètres!J39,Paramètres!$G$5:$G$57,0)))+IF(RIGHT(TRIM(Paramètres!K39),3)="Fin",1-$H147,IF(LEFT(TRIM(Paramètres!K39),1)="F",1,0)))),IF(Paramètres!L39="",0,IF(Paramètres!M39="",NA(),IF(LEFT(TRIM(Paramètres!M39),1)="F",INDEX($F$113:$F$165,MATCH(Paramètres!L39,Paramètres!$G$5:$G$57,0)),INDEX($E$113:$E$165,MATCH(Paramètres!L39,Paramètres!$G$5:$G$57,0)))+IF(RIGHT(TRIM(Paramètres!M39),3)="Fin",1-$H147,IF(LEFT(TRIM(Paramètres!M39),1)="F",1,0)))),IF(Paramètres!N39="",0,IF(Paramètres!O39="",NA(),IF(LEFT(TRIM(Paramètres!O39),1)="F",INDEX($F$113:$F$165,MATCH(Paramètres!N39,Paramètres!$G$5:$G$57,0)),INDEX($E$113:$E$165,MATCH(Paramètres!N39,Paramètres!$G$5:$G$57,0)))+IF(RIGHT(TRIM(Paramètres!O39),3)="Fin",1-$H147,IF(LEFT(TRIM(Paramètres!O39),1)="F",1,0)))))))</f>
        <v/>
      </c>
      <c r="F147" s="19">
        <f>IF($A147="","",E147+$H147-1)</f>
        <v/>
      </c>
      <c r="G147" s="18" t="n"/>
      <c r="H147" s="18">
        <f>IF($A147="","",IF(I147&lt;&gt;"",I147,Paramètres!B39))</f>
        <v/>
      </c>
      <c r="I147" s="18" t="n"/>
    </row>
    <row r="148">
      <c r="A148" s="18">
        <f>IF(ISNUMBER(Dossiers!$D$6),Dossiers!$A$6&amp;" · "&amp;Dossiers!$B$6,"")</f>
        <v/>
      </c>
      <c r="B148" s="18">
        <f>IF($A148="","",Paramètres!G40)</f>
        <v/>
      </c>
      <c r="C148" s="18">
        <f>IF($A148="","",IF(Paramètres!H40="","",Paramètres!H40))</f>
        <v/>
      </c>
      <c r="D148" s="18">
        <f>IF($A148="","",IF(Paramètres!I40="","",Paramètres!I40))</f>
        <v/>
      </c>
      <c r="E148" s="19">
        <f>IF($A148="","",IF(Paramètres!J40&amp;Paramètres!L40&amp;Paramètres!N40="",Dossiers!$D$6,MAX(IF(Paramètres!J40="",0,IF(Paramètres!K40="",NA(),IF(LEFT(TRIM(Paramètres!K40),1)="F",INDEX($F$113:$F$165,MATCH(Paramètres!J40,Paramètres!$G$5:$G$57,0)),INDEX($E$113:$E$165,MATCH(Paramètres!J40,Paramètres!$G$5:$G$57,0)))+IF(RIGHT(TRIM(Paramètres!K40),3)="Fin",1-$H148,IF(LEFT(TRIM(Paramètres!K40),1)="F",1,0)))),IF(Paramètres!L40="",0,IF(Paramètres!M40="",NA(),IF(LEFT(TRIM(Paramètres!M40),1)="F",INDEX($F$113:$F$165,MATCH(Paramètres!L40,Paramètres!$G$5:$G$57,0)),INDEX($E$113:$E$165,MATCH(Paramètres!L40,Paramètres!$G$5:$G$57,0)))+IF(RIGHT(TRIM(Paramètres!M40),3)="Fin",1-$H148,IF(LEFT(TRIM(Paramètres!M40),1)="F",1,0)))),IF(Paramètres!N40="",0,IF(Paramètres!O40="",NA(),IF(LEFT(TRIM(Paramètres!O40),1)="F",INDEX($F$113:$F$165,MATCH(Paramètres!N40,Paramètres!$G$5:$G$57,0)),INDEX($E$113:$E$165,MATCH(Paramètres!N40,Paramètres!$G$5:$G$57,0)))+IF(RIGHT(TRIM(Paramètres!O40),3)="Fin",1-$H148,IF(LEFT(TRIM(Paramètres!O40),1)="F",1,0)))))))</f>
        <v/>
      </c>
      <c r="F148" s="19">
        <f>IF($A148="","",E148+$H148-1)</f>
        <v/>
      </c>
      <c r="G148" s="18" t="n"/>
      <c r="H148" s="18">
        <f>IF($A148="","",IF(I148&lt;&gt;"",I148,Paramètres!B40))</f>
        <v/>
      </c>
      <c r="I148" s="18" t="n"/>
    </row>
    <row r="149">
      <c r="A149" s="18">
        <f>IF(ISNUMBER(Dossiers!$D$6),Dossiers!$A$6&amp;" · "&amp;Dossiers!$B$6,"")</f>
        <v/>
      </c>
      <c r="B149" s="18">
        <f>IF($A149="","",Paramètres!G41)</f>
        <v/>
      </c>
      <c r="C149" s="18">
        <f>IF($A149="","",IF(Paramètres!H41="","",Paramètres!H41))</f>
        <v/>
      </c>
      <c r="D149" s="18">
        <f>IF($A149="","",IF(Paramètres!I41="","",Paramètres!I41))</f>
        <v/>
      </c>
      <c r="E149" s="19">
        <f>IF($A149="","",IF(Paramètres!J41&amp;Paramètres!L41&amp;Paramètres!N41="",Dossiers!$D$6,MAX(IF(Paramètres!J41="",0,IF(Paramètres!K41="",NA(),IF(LEFT(TRIM(Paramètres!K41),1)="F",INDEX($F$113:$F$165,MATCH(Paramètres!J41,Paramètres!$G$5:$G$57,0)),INDEX($E$113:$E$165,MATCH(Paramètres!J41,Paramètres!$G$5:$G$57,0)))+IF(RIGHT(TRIM(Paramètres!K41),3)="Fin",1-$H149,IF(LEFT(TRIM(Paramètres!K41),1)="F",1,0)))),IF(Paramètres!L41="",0,IF(Paramètres!M41="",NA(),IF(LEFT(TRIM(Paramètres!M41),1)="F",INDEX($F$113:$F$165,MATCH(Paramètres!L41,Paramètres!$G$5:$G$57,0)),INDEX($E$113:$E$165,MATCH(Paramètres!L41,Paramètres!$G$5:$G$57,0)))+IF(RIGHT(TRIM(Paramètres!M41),3)="Fin",1-$H149,IF(LEFT(TRIM(Paramètres!M41),1)="F",1,0)))),IF(Paramètres!N41="",0,IF(Paramètres!O41="",NA(),IF(LEFT(TRIM(Paramètres!O41),1)="F",INDEX($F$113:$F$165,MATCH(Paramètres!N41,Paramètres!$G$5:$G$57,0)),INDEX($E$113:$E$165,MATCH(Paramètres!N41,Paramètres!$G$5:$G$57,0)))+IF(RIGHT(TRIM(Paramètres!O41),3)="Fin",1-$H149,IF(LEFT(TRIM(Paramètres!O41),1)="F",1,0)))))))</f>
        <v/>
      </c>
      <c r="F149" s="19">
        <f>IF($A149="","",E149+$H149-1)</f>
        <v/>
      </c>
      <c r="G149" s="18" t="n"/>
      <c r="H149" s="18">
        <f>IF($A149="","",IF(I149&lt;&gt;"",I149,Paramètres!B41))</f>
        <v/>
      </c>
      <c r="I149" s="18" t="n"/>
    </row>
    <row r="150">
      <c r="A150" s="18">
        <f>IF(ISNUMBER(Dossiers!$D$6),Dossiers!$A$6&amp;" · "&amp;Dossiers!$B$6,"")</f>
        <v/>
      </c>
      <c r="B150" s="18">
        <f>IF($A150="","",Paramètres!G42)</f>
        <v/>
      </c>
      <c r="C150" s="18">
        <f>IF($A150="","",IF(Paramètres!H42="","",Paramètres!H42))</f>
        <v/>
      </c>
      <c r="D150" s="18">
        <f>IF($A150="","",IF(Paramètres!I42="","",Paramètres!I42))</f>
        <v/>
      </c>
      <c r="E150" s="19">
        <f>IF($A150="","",IF(Paramètres!J42&amp;Paramètres!L42&amp;Paramètres!N42="",Dossiers!$D$6,MAX(IF(Paramètres!J42="",0,IF(Paramètres!K42="",NA(),IF(LEFT(TRIM(Paramètres!K42),1)="F",INDEX($F$113:$F$165,MATCH(Paramètres!J42,Paramètres!$G$5:$G$57,0)),INDEX($E$113:$E$165,MATCH(Paramètres!J42,Paramètres!$G$5:$G$57,0)))+IF(RIGHT(TRIM(Paramètres!K42),3)="Fin",1-$H150,IF(LEFT(TRIM(Paramètres!K42),1)="F",1,0)))),IF(Paramètres!L42="",0,IF(Paramètres!M42="",NA(),IF(LEFT(TRIM(Paramètres!M42),1)="F",INDEX($F$113:$F$165,MATCH(Paramètres!L42,Paramètres!$G$5:$G$57,0)),INDEX($E$113:$E$165,MATCH(Paramètres!L42,Paramètres!$G$5:$G$57,0)))+IF(RIGHT(TRIM(Paramètres!M42),3)="Fin",1-$H150,IF(LEFT(TRIM(Paramètres!M42),1)="F",1,0)))),IF(Paramètres!N42="",0,IF(Paramètres!O42="",NA(),IF(LEFT(TRIM(Paramètres!O42),1)="F",INDEX($F$113:$F$165,MATCH(Paramètres!N42,Paramètres!$G$5:$G$57,0)),INDEX($E$113:$E$165,MATCH(Paramètres!N42,Paramètres!$G$5:$G$57,0)))+IF(RIGHT(TRIM(Paramètres!O42),3)="Fin",1-$H150,IF(LEFT(TRIM(Paramètres!O42),1)="F",1,0)))))))</f>
        <v/>
      </c>
      <c r="F150" s="19">
        <f>IF($A150="","",E150+$H150-1)</f>
        <v/>
      </c>
      <c r="G150" s="18" t="n"/>
      <c r="H150" s="18">
        <f>IF($A150="","",IF(I150&lt;&gt;"",I150,Paramètres!B42))</f>
        <v/>
      </c>
      <c r="I150" s="18" t="n"/>
    </row>
    <row r="151">
      <c r="A151" s="18">
        <f>IF(ISNUMBER(Dossiers!$D$6),Dossiers!$A$6&amp;" · "&amp;Dossiers!$B$6,"")</f>
        <v/>
      </c>
      <c r="B151" s="18">
        <f>IF($A151="","",Paramètres!G43)</f>
        <v/>
      </c>
      <c r="C151" s="18">
        <f>IF($A151="","",IF(Paramètres!H43="","",Paramètres!H43))</f>
        <v/>
      </c>
      <c r="D151" s="18">
        <f>IF($A151="","",IF(Paramètres!I43="","",Paramètres!I43))</f>
        <v/>
      </c>
      <c r="E151" s="19">
        <f>IF($A151="","",IF(Paramètres!J43&amp;Paramètres!L43&amp;Paramètres!N43="",Dossiers!$D$6,MAX(IF(Paramètres!J43="",0,IF(Paramètres!K43="",NA(),IF(LEFT(TRIM(Paramètres!K43),1)="F",INDEX($F$113:$F$165,MATCH(Paramètres!J43,Paramètres!$G$5:$G$57,0)),INDEX($E$113:$E$165,MATCH(Paramètres!J43,Paramètres!$G$5:$G$57,0)))+IF(RIGHT(TRIM(Paramètres!K43),3)="Fin",1-$H151,IF(LEFT(TRIM(Paramètres!K43),1)="F",1,0)))),IF(Paramètres!L43="",0,IF(Paramètres!M43="",NA(),IF(LEFT(TRIM(Paramètres!M43),1)="F",INDEX($F$113:$F$165,MATCH(Paramètres!L43,Paramètres!$G$5:$G$57,0)),INDEX($E$113:$E$165,MATCH(Paramètres!L43,Paramètres!$G$5:$G$57,0)))+IF(RIGHT(TRIM(Paramètres!M43),3)="Fin",1-$H151,IF(LEFT(TRIM(Paramètres!M43),1)="F",1,0)))),IF(Paramètres!N43="",0,IF(Paramètres!O43="",NA(),IF(LEFT(TRIM(Paramètres!O43),1)="F",INDEX($F$113:$F$165,MATCH(Paramètres!N43,Paramètres!$G$5:$G$57,0)),INDEX($E$113:$E$165,MATCH(Paramètres!N43,Paramètres!$G$5:$G$57,0)))+IF(RIGHT(TRIM(Paramètres!O43),3)="Fin",1-$H151,IF(LEFT(TRIM(Paramètres!O43),1)="F",1,0)))))))</f>
        <v/>
      </c>
      <c r="F151" s="19">
        <f>IF($A151="","",E151+$H151-1)</f>
        <v/>
      </c>
      <c r="G151" s="18" t="n"/>
      <c r="H151" s="18">
        <f>IF($A151="","",IF(I151&lt;&gt;"",I151,Paramètres!B43))</f>
        <v/>
      </c>
      <c r="I151" s="18" t="n"/>
    </row>
    <row r="152">
      <c r="A152" s="18">
        <f>IF(ISNUMBER(Dossiers!$D$6),Dossiers!$A$6&amp;" · "&amp;Dossiers!$B$6,"")</f>
        <v/>
      </c>
      <c r="B152" s="18">
        <f>IF($A152="","",Paramètres!G44)</f>
        <v/>
      </c>
      <c r="C152" s="18">
        <f>IF($A152="","",IF(Paramètres!H44="","",Paramètres!H44))</f>
        <v/>
      </c>
      <c r="D152" s="18">
        <f>IF($A152="","",IF(Paramètres!I44="","",Paramètres!I44))</f>
        <v/>
      </c>
      <c r="E152" s="19">
        <f>IF($A152="","",IF(Paramètres!J44&amp;Paramètres!L44&amp;Paramètres!N44="",Dossiers!$D$6,MAX(IF(Paramètres!J44="",0,IF(Paramètres!K44="",NA(),IF(LEFT(TRIM(Paramètres!K44),1)="F",INDEX($F$113:$F$165,MATCH(Paramètres!J44,Paramètres!$G$5:$G$57,0)),INDEX($E$113:$E$165,MATCH(Paramètres!J44,Paramètres!$G$5:$G$57,0)))+IF(RIGHT(TRIM(Paramètres!K44),3)="Fin",1-$H152,IF(LEFT(TRIM(Paramètres!K44),1)="F",1,0)))),IF(Paramètres!L44="",0,IF(Paramètres!M44="",NA(),IF(LEFT(TRIM(Paramètres!M44),1)="F",INDEX($F$113:$F$165,MATCH(Paramètres!L44,Paramètres!$G$5:$G$57,0)),INDEX($E$113:$E$165,MATCH(Paramètres!L44,Paramètres!$G$5:$G$57,0)))+IF(RIGHT(TRIM(Paramètres!M44),3)="Fin",1-$H152,IF(LEFT(TRIM(Paramètres!M44),1)="F",1,0)))),IF(Paramètres!N44="",0,IF(Paramètres!O44="",NA(),IF(LEFT(TRIM(Paramètres!O44),1)="F",INDEX($F$113:$F$165,MATCH(Paramètres!N44,Paramètres!$G$5:$G$57,0)),INDEX($E$113:$E$165,MATCH(Paramètres!N44,Paramètres!$G$5:$G$57,0)))+IF(RIGHT(TRIM(Paramètres!O44),3)="Fin",1-$H152,IF(LEFT(TRIM(Paramètres!O44),1)="F",1,0)))))))</f>
        <v/>
      </c>
      <c r="F152" s="19">
        <f>IF($A152="","",E152+$H152-1)</f>
        <v/>
      </c>
      <c r="G152" s="18" t="n"/>
      <c r="H152" s="18">
        <f>IF($A152="","",IF(I152&lt;&gt;"",I152,Paramètres!B44))</f>
        <v/>
      </c>
      <c r="I152" s="18" t="n"/>
    </row>
    <row r="153">
      <c r="A153" s="18">
        <f>IF(ISNUMBER(Dossiers!$D$6),Dossiers!$A$6&amp;" · "&amp;Dossiers!$B$6,"")</f>
        <v/>
      </c>
      <c r="B153" s="18">
        <f>IF($A153="","",Paramètres!G45)</f>
        <v/>
      </c>
      <c r="C153" s="20">
        <f>IF($A153="","",IF(Dossiers!$G$6="","",Dossiers!$G$6))</f>
        <v/>
      </c>
      <c r="D153" s="18">
        <f>IF($A153="","",IF(Paramètres!I45="","",Paramètres!I45))</f>
        <v/>
      </c>
      <c r="E153" s="19">
        <f>IF($A153="","",IF(Paramètres!J45&amp;Paramètres!L45&amp;Paramètres!N45="",Dossiers!$D$6,MAX(IF(Paramètres!J45="",0,IF(Paramètres!K45="",NA(),IF(LEFT(TRIM(Paramètres!K45),1)="F",INDEX($F$113:$F$165,MATCH(Paramètres!J45,Paramètres!$G$5:$G$57,0)),INDEX($E$113:$E$165,MATCH(Paramètres!J45,Paramètres!$G$5:$G$57,0)))+IF(RIGHT(TRIM(Paramètres!K45),3)="Fin",1-$H153,IF(LEFT(TRIM(Paramètres!K45),1)="F",1,0)))),IF(Paramètres!L45="",0,IF(Paramètres!M45="",NA(),IF(LEFT(TRIM(Paramètres!M45),1)="F",INDEX($F$113:$F$165,MATCH(Paramètres!L45,Paramètres!$G$5:$G$57,0)),INDEX($E$113:$E$165,MATCH(Paramètres!L45,Paramètres!$G$5:$G$57,0)))+IF(RIGHT(TRIM(Paramètres!M45),3)="Fin",1-$H153,IF(LEFT(TRIM(Paramètres!M45),1)="F",1,0)))),IF(Paramètres!N45="",0,IF(Paramètres!O45="",NA(),IF(LEFT(TRIM(Paramètres!O45),1)="F",INDEX($F$113:$F$165,MATCH(Paramètres!N45,Paramètres!$G$5:$G$57,0)),INDEX($E$113:$E$165,MATCH(Paramètres!N45,Paramètres!$G$5:$G$57,0)))+IF(RIGHT(TRIM(Paramètres!O45),3)="Fin",1-$H153,IF(LEFT(TRIM(Paramètres!O45),1)="F",1,0)))))))</f>
        <v/>
      </c>
      <c r="F153" s="19">
        <f>IF($A153="","",E153+$H153-1)</f>
        <v/>
      </c>
      <c r="G153" s="18" t="n"/>
      <c r="H153" s="18">
        <f>IF($A153="","",IF(I153&lt;&gt;"",I153,Paramètres!B45))</f>
        <v/>
      </c>
      <c r="I153" s="18" t="n"/>
    </row>
    <row r="154">
      <c r="A154" s="18">
        <f>IF(ISNUMBER(Dossiers!$D$6),Dossiers!$A$6&amp;" · "&amp;Dossiers!$B$6,"")</f>
        <v/>
      </c>
      <c r="B154" s="18">
        <f>IF($A154="","",Paramètres!G46)</f>
        <v/>
      </c>
      <c r="C154" s="18">
        <f>IF($A154="","",IF(Paramètres!H46="","",Paramètres!H46))</f>
        <v/>
      </c>
      <c r="D154" s="18">
        <f>IF($A154="","",IF(Paramètres!I46="","",Paramètres!I46))</f>
        <v/>
      </c>
      <c r="E154" s="19">
        <f>IF($A154="","",IF(Paramètres!J46&amp;Paramètres!L46&amp;Paramètres!N46="",Dossiers!$D$6,MAX(IF(Paramètres!J46="",0,IF(Paramètres!K46="",NA(),IF(LEFT(TRIM(Paramètres!K46),1)="F",INDEX($F$113:$F$165,MATCH(Paramètres!J46,Paramètres!$G$5:$G$57,0)),INDEX($E$113:$E$165,MATCH(Paramètres!J46,Paramètres!$G$5:$G$57,0)))+IF(RIGHT(TRIM(Paramètres!K46),3)="Fin",1-$H154,IF(LEFT(TRIM(Paramètres!K46),1)="F",1,0)))),IF(Paramètres!L46="",0,IF(Paramètres!M46="",NA(),IF(LEFT(TRIM(Paramètres!M46),1)="F",INDEX($F$113:$F$165,MATCH(Paramètres!L46,Paramètres!$G$5:$G$57,0)),INDEX($E$113:$E$165,MATCH(Paramètres!L46,Paramètres!$G$5:$G$57,0)))+IF(RIGHT(TRIM(Paramètres!M46),3)="Fin",1-$H154,IF(LEFT(TRIM(Paramètres!M46),1)="F",1,0)))),IF(Paramètres!N46="",0,IF(Paramètres!O46="",NA(),IF(LEFT(TRIM(Paramètres!O46),1)="F",INDEX($F$113:$F$165,MATCH(Paramètres!N46,Paramètres!$G$5:$G$57,0)),INDEX($E$113:$E$165,MATCH(Paramètres!N46,Paramètres!$G$5:$G$57,0)))+IF(RIGHT(TRIM(Paramètres!O46),3)="Fin",1-$H154,IF(LEFT(TRIM(Paramètres!O46),1)="F",1,0)))))))</f>
        <v/>
      </c>
      <c r="F154" s="19">
        <f>IF($A154="","",E154+$H154-1)</f>
        <v/>
      </c>
      <c r="G154" s="18" t="n"/>
      <c r="H154" s="18">
        <f>IF($A154="","",IF(I154&lt;&gt;"",I154,Paramètres!B46))</f>
        <v/>
      </c>
      <c r="I154" s="18" t="n"/>
    </row>
    <row r="155">
      <c r="A155" s="18">
        <f>IF(ISNUMBER(Dossiers!$D$6),Dossiers!$A$6&amp;" · "&amp;Dossiers!$B$6,"")</f>
        <v/>
      </c>
      <c r="B155" s="18">
        <f>IF($A155="","",Paramètres!G47)</f>
        <v/>
      </c>
      <c r="C155" s="18">
        <f>IF($A155="","",IF(Paramètres!H47="","",Paramètres!H47))</f>
        <v/>
      </c>
      <c r="D155" s="18">
        <f>IF($A155="","",IF(Paramètres!I47="","",Paramètres!I47))</f>
        <v/>
      </c>
      <c r="E155" s="19">
        <f>IF($A155="","",IF(Paramètres!J47&amp;Paramètres!L47&amp;Paramètres!N47="",Dossiers!$D$6,MAX(IF(Paramètres!J47="",0,IF(Paramètres!K47="",NA(),IF(LEFT(TRIM(Paramètres!K47),1)="F",INDEX($F$113:$F$165,MATCH(Paramètres!J47,Paramètres!$G$5:$G$57,0)),INDEX($E$113:$E$165,MATCH(Paramètres!J47,Paramètres!$G$5:$G$57,0)))+IF(RIGHT(TRIM(Paramètres!K47),3)="Fin",1-$H155,IF(LEFT(TRIM(Paramètres!K47),1)="F",1,0)))),IF(Paramètres!L47="",0,IF(Paramètres!M47="",NA(),IF(LEFT(TRIM(Paramètres!M47),1)="F",INDEX($F$113:$F$165,MATCH(Paramètres!L47,Paramètres!$G$5:$G$57,0)),INDEX($E$113:$E$165,MATCH(Paramètres!L47,Paramètres!$G$5:$G$57,0)))+IF(RIGHT(TRIM(Paramètres!M47),3)="Fin",1-$H155,IF(LEFT(TRIM(Paramètres!M47),1)="F",1,0)))),IF(Paramètres!N47="",0,IF(Paramètres!O47="",NA(),IF(LEFT(TRIM(Paramètres!O47),1)="F",INDEX($F$113:$F$165,MATCH(Paramètres!N47,Paramètres!$G$5:$G$57,0)),INDEX($E$113:$E$165,MATCH(Paramètres!N47,Paramètres!$G$5:$G$57,0)))+IF(RIGHT(TRIM(Paramètres!O47),3)="Fin",1-$H155,IF(LEFT(TRIM(Paramètres!O47),1)="F",1,0)))))))</f>
        <v/>
      </c>
      <c r="F155" s="19">
        <f>IF($A155="","",E155+$H155-1)</f>
        <v/>
      </c>
      <c r="G155" s="18" t="n"/>
      <c r="H155" s="18">
        <f>IF($A155="","",IF(I155&lt;&gt;"",I155,Paramètres!B47))</f>
        <v/>
      </c>
      <c r="I155" s="18" t="n"/>
    </row>
    <row r="156">
      <c r="A156" s="18">
        <f>IF(ISNUMBER(Dossiers!$D$6),Dossiers!$A$6&amp;" · "&amp;Dossiers!$B$6,"")</f>
        <v/>
      </c>
      <c r="B156" s="18">
        <f>IF($A156="","",Paramètres!G48)</f>
        <v/>
      </c>
      <c r="C156" s="18">
        <f>IF($A156="","",IF(Paramètres!H48="","",Paramètres!H48))</f>
        <v/>
      </c>
      <c r="D156" s="18">
        <f>IF($A156="","",IF(Paramètres!I48="","",Paramètres!I48))</f>
        <v/>
      </c>
      <c r="E156" s="19">
        <f>IF($A156="","",IF(Paramètres!J48&amp;Paramètres!L48&amp;Paramètres!N48="",Dossiers!$D$6,MAX(IF(Paramètres!J48="",0,IF(Paramètres!K48="",NA(),IF(LEFT(TRIM(Paramètres!K48),1)="F",INDEX($F$113:$F$165,MATCH(Paramètres!J48,Paramètres!$G$5:$G$57,0)),INDEX($E$113:$E$165,MATCH(Paramètres!J48,Paramètres!$G$5:$G$57,0)))+IF(RIGHT(TRIM(Paramètres!K48),3)="Fin",1-$H156,IF(LEFT(TRIM(Paramètres!K48),1)="F",1,0)))),IF(Paramètres!L48="",0,IF(Paramètres!M48="",NA(),IF(LEFT(TRIM(Paramètres!M48),1)="F",INDEX($F$113:$F$165,MATCH(Paramètres!L48,Paramètres!$G$5:$G$57,0)),INDEX($E$113:$E$165,MATCH(Paramètres!L48,Paramètres!$G$5:$G$57,0)))+IF(RIGHT(TRIM(Paramètres!M48),3)="Fin",1-$H156,IF(LEFT(TRIM(Paramètres!M48),1)="F",1,0)))),IF(Paramètres!N48="",0,IF(Paramètres!O48="",NA(),IF(LEFT(TRIM(Paramètres!O48),1)="F",INDEX($F$113:$F$165,MATCH(Paramètres!N48,Paramètres!$G$5:$G$57,0)),INDEX($E$113:$E$165,MATCH(Paramètres!N48,Paramètres!$G$5:$G$57,0)))+IF(RIGHT(TRIM(Paramètres!O48),3)="Fin",1-$H156,IF(LEFT(TRIM(Paramètres!O48),1)="F",1,0)))))))</f>
        <v/>
      </c>
      <c r="F156" s="19">
        <f>IF($A156="","",E156+$H156-1)</f>
        <v/>
      </c>
      <c r="G156" s="18" t="n"/>
      <c r="H156" s="18">
        <f>IF($A156="","",IF(I156&lt;&gt;"",I156,Paramètres!B48))</f>
        <v/>
      </c>
      <c r="I156" s="18" t="n"/>
    </row>
    <row r="157">
      <c r="A157" s="18">
        <f>IF(ISNUMBER(Dossiers!$D$6),Dossiers!$A$6&amp;" · "&amp;Dossiers!$B$6,"")</f>
        <v/>
      </c>
      <c r="B157" s="18">
        <f>IF($A157="","",Paramètres!G49)</f>
        <v/>
      </c>
      <c r="C157" s="18">
        <f>IF($A157="","",IF(Paramètres!H49="","",Paramètres!H49))</f>
        <v/>
      </c>
      <c r="D157" s="18">
        <f>IF($A157="","",IF(Paramètres!I49="","",Paramètres!I49))</f>
        <v/>
      </c>
      <c r="E157" s="19">
        <f>IF($A157="","",IF(Paramètres!J49&amp;Paramètres!L49&amp;Paramètres!N49="",Dossiers!$D$6,MAX(IF(Paramètres!J49="",0,IF(Paramètres!K49="",NA(),IF(LEFT(TRIM(Paramètres!K49),1)="F",INDEX($F$113:$F$165,MATCH(Paramètres!J49,Paramètres!$G$5:$G$57,0)),INDEX($E$113:$E$165,MATCH(Paramètres!J49,Paramètres!$G$5:$G$57,0)))+IF(RIGHT(TRIM(Paramètres!K49),3)="Fin",1-$H157,IF(LEFT(TRIM(Paramètres!K49),1)="F",1,0)))),IF(Paramètres!L49="",0,IF(Paramètres!M49="",NA(),IF(LEFT(TRIM(Paramètres!M49),1)="F",INDEX($F$113:$F$165,MATCH(Paramètres!L49,Paramètres!$G$5:$G$57,0)),INDEX($E$113:$E$165,MATCH(Paramètres!L49,Paramètres!$G$5:$G$57,0)))+IF(RIGHT(TRIM(Paramètres!M49),3)="Fin",1-$H157,IF(LEFT(TRIM(Paramètres!M49),1)="F",1,0)))),IF(Paramètres!N49="",0,IF(Paramètres!O49="",NA(),IF(LEFT(TRIM(Paramètres!O49),1)="F",INDEX($F$113:$F$165,MATCH(Paramètres!N49,Paramètres!$G$5:$G$57,0)),INDEX($E$113:$E$165,MATCH(Paramètres!N49,Paramètres!$G$5:$G$57,0)))+IF(RIGHT(TRIM(Paramètres!O49),3)="Fin",1-$H157,IF(LEFT(TRIM(Paramètres!O49),1)="F",1,0)))))))</f>
        <v/>
      </c>
      <c r="F157" s="19">
        <f>IF($A157="","",E157+$H157-1)</f>
        <v/>
      </c>
      <c r="G157" s="18" t="n"/>
      <c r="H157" s="18">
        <f>IF($A157="","",IF(I157&lt;&gt;"",I157,Paramètres!B49))</f>
        <v/>
      </c>
      <c r="I157" s="18" t="n"/>
    </row>
    <row r="158">
      <c r="A158" s="18">
        <f>IF(ISNUMBER(Dossiers!$D$6),Dossiers!$A$6&amp;" · "&amp;Dossiers!$B$6,"")</f>
        <v/>
      </c>
      <c r="B158" s="18">
        <f>IF($A158="","",Paramètres!G50)</f>
        <v/>
      </c>
      <c r="C158" s="18">
        <f>IF($A158="","",IF(Paramètres!H50="","",Paramètres!H50))</f>
        <v/>
      </c>
      <c r="D158" s="18">
        <f>IF($A158="","",IF(Paramètres!I50="","",Paramètres!I50))</f>
        <v/>
      </c>
      <c r="E158" s="19">
        <f>IF($A158="","",IF(Paramètres!J50&amp;Paramètres!L50&amp;Paramètres!N50="",Dossiers!$D$6,MAX(IF(Paramètres!J50="",0,IF(Paramètres!K50="",NA(),IF(LEFT(TRIM(Paramètres!K50),1)="F",INDEX($F$113:$F$165,MATCH(Paramètres!J50,Paramètres!$G$5:$G$57,0)),INDEX($E$113:$E$165,MATCH(Paramètres!J50,Paramètres!$G$5:$G$57,0)))+IF(RIGHT(TRIM(Paramètres!K50),3)="Fin",1-$H158,IF(LEFT(TRIM(Paramètres!K50),1)="F",1,0)))),IF(Paramètres!L50="",0,IF(Paramètres!M50="",NA(),IF(LEFT(TRIM(Paramètres!M50),1)="F",INDEX($F$113:$F$165,MATCH(Paramètres!L50,Paramètres!$G$5:$G$57,0)),INDEX($E$113:$E$165,MATCH(Paramètres!L50,Paramètres!$G$5:$G$57,0)))+IF(RIGHT(TRIM(Paramètres!M50),3)="Fin",1-$H158,IF(LEFT(TRIM(Paramètres!M50),1)="F",1,0)))),IF(Paramètres!N50="",0,IF(Paramètres!O50="",NA(),IF(LEFT(TRIM(Paramètres!O50),1)="F",INDEX($F$113:$F$165,MATCH(Paramètres!N50,Paramètres!$G$5:$G$57,0)),INDEX($E$113:$E$165,MATCH(Paramètres!N50,Paramètres!$G$5:$G$57,0)))+IF(RIGHT(TRIM(Paramètres!O50),3)="Fin",1-$H158,IF(LEFT(TRIM(Paramètres!O50),1)="F",1,0)))))))</f>
        <v/>
      </c>
      <c r="F158" s="19">
        <f>IF($A158="","",E158+$H158-1)</f>
        <v/>
      </c>
      <c r="G158" s="18" t="n"/>
      <c r="H158" s="18">
        <f>IF($A158="","",IF(I158&lt;&gt;"",I158,Paramètres!B50))</f>
        <v/>
      </c>
      <c r="I158" s="18" t="n"/>
    </row>
    <row r="159">
      <c r="A159" s="18">
        <f>IF(ISNUMBER(Dossiers!$D$6),Dossiers!$A$6&amp;" · "&amp;Dossiers!$B$6,"")</f>
        <v/>
      </c>
      <c r="B159" s="18">
        <f>IF($A159="","",Paramètres!G51)</f>
        <v/>
      </c>
      <c r="C159" s="18">
        <f>IF($A159="","",IF(Paramètres!H51="","",Paramètres!H51))</f>
        <v/>
      </c>
      <c r="D159" s="18">
        <f>IF($A159="","",IF(Paramètres!I51="","",Paramètres!I51))</f>
        <v/>
      </c>
      <c r="E159" s="19">
        <f>IF($A159="","",IF(Paramètres!J51&amp;Paramètres!L51&amp;Paramètres!N51="",Dossiers!$D$6,MAX(IF(Paramètres!J51="",0,IF(Paramètres!K51="",NA(),IF(LEFT(TRIM(Paramètres!K51),1)="F",INDEX($F$113:$F$165,MATCH(Paramètres!J51,Paramètres!$G$5:$G$57,0)),INDEX($E$113:$E$165,MATCH(Paramètres!J51,Paramètres!$G$5:$G$57,0)))+IF(RIGHT(TRIM(Paramètres!K51),3)="Fin",1-$H159,IF(LEFT(TRIM(Paramètres!K51),1)="F",1,0)))),IF(Paramètres!L51="",0,IF(Paramètres!M51="",NA(),IF(LEFT(TRIM(Paramètres!M51),1)="F",INDEX($F$113:$F$165,MATCH(Paramètres!L51,Paramètres!$G$5:$G$57,0)),INDEX($E$113:$E$165,MATCH(Paramètres!L51,Paramètres!$G$5:$G$57,0)))+IF(RIGHT(TRIM(Paramètres!M51),3)="Fin",1-$H159,IF(LEFT(TRIM(Paramètres!M51),1)="F",1,0)))),IF(Paramètres!N51="",0,IF(Paramètres!O51="",NA(),IF(LEFT(TRIM(Paramètres!O51),1)="F",INDEX($F$113:$F$165,MATCH(Paramètres!N51,Paramètres!$G$5:$G$57,0)),INDEX($E$113:$E$165,MATCH(Paramètres!N51,Paramètres!$G$5:$G$57,0)))+IF(RIGHT(TRIM(Paramètres!O51),3)="Fin",1-$H159,IF(LEFT(TRIM(Paramètres!O51),1)="F",1,0)))))))</f>
        <v/>
      </c>
      <c r="F159" s="19">
        <f>IF($A159="","",E159+$H159-1)</f>
        <v/>
      </c>
      <c r="G159" s="18" t="n"/>
      <c r="H159" s="18">
        <f>IF($A159="","",IF(I159&lt;&gt;"",I159,Paramètres!B51))</f>
        <v/>
      </c>
      <c r="I159" s="18" t="n"/>
    </row>
    <row r="160">
      <c r="A160" s="18">
        <f>IF(ISNUMBER(Dossiers!$D$6),Dossiers!$A$6&amp;" · "&amp;Dossiers!$B$6,"")</f>
        <v/>
      </c>
      <c r="B160" s="18">
        <f>IF($A160="","",Paramètres!G52)</f>
        <v/>
      </c>
      <c r="C160" s="18">
        <f>IF($A160="","",IF(Paramètres!H52="","",Paramètres!H52))</f>
        <v/>
      </c>
      <c r="D160" s="18">
        <f>IF($A160="","",IF(Paramètres!I52="","",Paramètres!I52))</f>
        <v/>
      </c>
      <c r="E160" s="19">
        <f>IF($A160="","",IF(Paramètres!J52&amp;Paramètres!L52&amp;Paramètres!N52="",Dossiers!$D$6,MAX(IF(Paramètres!J52="",0,IF(Paramètres!K52="",NA(),IF(LEFT(TRIM(Paramètres!K52),1)="F",INDEX($F$113:$F$165,MATCH(Paramètres!J52,Paramètres!$G$5:$G$57,0)),INDEX($E$113:$E$165,MATCH(Paramètres!J52,Paramètres!$G$5:$G$57,0)))+IF(RIGHT(TRIM(Paramètres!K52),3)="Fin",1-$H160,IF(LEFT(TRIM(Paramètres!K52),1)="F",1,0)))),IF(Paramètres!L52="",0,IF(Paramètres!M52="",NA(),IF(LEFT(TRIM(Paramètres!M52),1)="F",INDEX($F$113:$F$165,MATCH(Paramètres!L52,Paramètres!$G$5:$G$57,0)),INDEX($E$113:$E$165,MATCH(Paramètres!L52,Paramètres!$G$5:$G$57,0)))+IF(RIGHT(TRIM(Paramètres!M52),3)="Fin",1-$H160,IF(LEFT(TRIM(Paramètres!M52),1)="F",1,0)))),IF(Paramètres!N52="",0,IF(Paramètres!O52="",NA(),IF(LEFT(TRIM(Paramètres!O52),1)="F",INDEX($F$113:$F$165,MATCH(Paramètres!N52,Paramètres!$G$5:$G$57,0)),INDEX($E$113:$E$165,MATCH(Paramètres!N52,Paramètres!$G$5:$G$57,0)))+IF(RIGHT(TRIM(Paramètres!O52),3)="Fin",1-$H160,IF(LEFT(TRIM(Paramètres!O52),1)="F",1,0)))))))</f>
        <v/>
      </c>
      <c r="F160" s="19">
        <f>IF($A160="","",E160+$H160-1)</f>
        <v/>
      </c>
      <c r="G160" s="18" t="n"/>
      <c r="H160" s="18">
        <f>IF($A160="","",IF(I160&lt;&gt;"",I160,Paramètres!B52))</f>
        <v/>
      </c>
      <c r="I160" s="18" t="n"/>
    </row>
    <row r="161">
      <c r="A161" s="18">
        <f>IF(ISNUMBER(Dossiers!$D$6),Dossiers!$A$6&amp;" · "&amp;Dossiers!$B$6,"")</f>
        <v/>
      </c>
      <c r="B161" s="18">
        <f>IF($A161="","",Paramètres!G53)</f>
        <v/>
      </c>
      <c r="C161" s="18">
        <f>IF($A161="","",IF(Paramètres!H53="","",Paramètres!H53))</f>
        <v/>
      </c>
      <c r="D161" s="18">
        <f>IF($A161="","",IF(Paramètres!I53="","",Paramètres!I53))</f>
        <v/>
      </c>
      <c r="E161" s="19">
        <f>IF($A161="","",IF(Paramètres!J53&amp;Paramètres!L53&amp;Paramètres!N53="",Dossiers!$D$6,MAX(IF(Paramètres!J53="",0,IF(Paramètres!K53="",NA(),IF(LEFT(TRIM(Paramètres!K53),1)="F",INDEX($F$113:$F$165,MATCH(Paramètres!J53,Paramètres!$G$5:$G$57,0)),INDEX($E$113:$E$165,MATCH(Paramètres!J53,Paramètres!$G$5:$G$57,0)))+IF(RIGHT(TRIM(Paramètres!K53),3)="Fin",1-$H161,IF(LEFT(TRIM(Paramètres!K53),1)="F",1,0)))),IF(Paramètres!L53="",0,IF(Paramètres!M53="",NA(),IF(LEFT(TRIM(Paramètres!M53),1)="F",INDEX($F$113:$F$165,MATCH(Paramètres!L53,Paramètres!$G$5:$G$57,0)),INDEX($E$113:$E$165,MATCH(Paramètres!L53,Paramètres!$G$5:$G$57,0)))+IF(RIGHT(TRIM(Paramètres!M53),3)="Fin",1-$H161,IF(LEFT(TRIM(Paramètres!M53),1)="F",1,0)))),IF(Paramètres!N53="",0,IF(Paramètres!O53="",NA(),IF(LEFT(TRIM(Paramètres!O53),1)="F",INDEX($F$113:$F$165,MATCH(Paramètres!N53,Paramètres!$G$5:$G$57,0)),INDEX($E$113:$E$165,MATCH(Paramètres!N53,Paramètres!$G$5:$G$57,0)))+IF(RIGHT(TRIM(Paramètres!O53),3)="Fin",1-$H161,IF(LEFT(TRIM(Paramètres!O53),1)="F",1,0)))))))</f>
        <v/>
      </c>
      <c r="F161" s="19">
        <f>IF($A161="","",E161+$H161-1)</f>
        <v/>
      </c>
      <c r="G161" s="18" t="n"/>
      <c r="H161" s="18">
        <f>IF($A161="","",IF(I161&lt;&gt;"",I161,Paramètres!B53))</f>
        <v/>
      </c>
      <c r="I161" s="18" t="n"/>
    </row>
    <row r="162">
      <c r="A162" s="18">
        <f>IF(ISNUMBER(Dossiers!$D$6),Dossiers!$A$6&amp;" · "&amp;Dossiers!$B$6,"")</f>
        <v/>
      </c>
      <c r="B162" s="18">
        <f>IF($A162="","",Paramètres!G54)</f>
        <v/>
      </c>
      <c r="C162" s="18">
        <f>IF($A162="","",IF(Paramètres!H54="","",Paramètres!H54))</f>
        <v/>
      </c>
      <c r="D162" s="18">
        <f>IF($A162="","",IF(Paramètres!I54="","",Paramètres!I54))</f>
        <v/>
      </c>
      <c r="E162" s="19">
        <f>IF($A162="","",IF(Paramètres!J54&amp;Paramètres!L54&amp;Paramètres!N54="",Dossiers!$D$6,MAX(IF(Paramètres!J54="",0,IF(Paramètres!K54="",NA(),IF(LEFT(TRIM(Paramètres!K54),1)="F",INDEX($F$113:$F$165,MATCH(Paramètres!J54,Paramètres!$G$5:$G$57,0)),INDEX($E$113:$E$165,MATCH(Paramètres!J54,Paramètres!$G$5:$G$57,0)))+IF(RIGHT(TRIM(Paramètres!K54),3)="Fin",1-$H162,IF(LEFT(TRIM(Paramètres!K54),1)="F",1,0)))),IF(Paramètres!L54="",0,IF(Paramètres!M54="",NA(),IF(LEFT(TRIM(Paramètres!M54),1)="F",INDEX($F$113:$F$165,MATCH(Paramètres!L54,Paramètres!$G$5:$G$57,0)),INDEX($E$113:$E$165,MATCH(Paramètres!L54,Paramètres!$G$5:$G$57,0)))+IF(RIGHT(TRIM(Paramètres!M54),3)="Fin",1-$H162,IF(LEFT(TRIM(Paramètres!M54),1)="F",1,0)))),IF(Paramètres!N54="",0,IF(Paramètres!O54="",NA(),IF(LEFT(TRIM(Paramètres!O54),1)="F",INDEX($F$113:$F$165,MATCH(Paramètres!N54,Paramètres!$G$5:$G$57,0)),INDEX($E$113:$E$165,MATCH(Paramètres!N54,Paramètres!$G$5:$G$57,0)))+IF(RIGHT(TRIM(Paramètres!O54),3)="Fin",1-$H162,IF(LEFT(TRIM(Paramètres!O54),1)="F",1,0)))))))</f>
        <v/>
      </c>
      <c r="F162" s="19">
        <f>IF($A162="","",E162+$H162-1)</f>
        <v/>
      </c>
      <c r="G162" s="18" t="n"/>
      <c r="H162" s="18">
        <f>IF($A162="","",IF(I162&lt;&gt;"",I162,Paramètres!B54))</f>
        <v/>
      </c>
      <c r="I162" s="18" t="n"/>
    </row>
    <row r="163">
      <c r="A163" s="18">
        <f>IF(ISNUMBER(Dossiers!$D$6),Dossiers!$A$6&amp;" · "&amp;Dossiers!$B$6,"")</f>
        <v/>
      </c>
      <c r="B163" s="18">
        <f>IF($A163="","",Paramètres!G55)</f>
        <v/>
      </c>
      <c r="C163" s="18">
        <f>IF($A163="","",IF(Paramètres!H55="","",Paramètres!H55))</f>
        <v/>
      </c>
      <c r="D163" s="18">
        <f>IF($A163="","",IF(Paramètres!I55="","",Paramètres!I55))</f>
        <v/>
      </c>
      <c r="E163" s="19">
        <f>IF($A163="","",IF(Paramètres!J55&amp;Paramètres!L55&amp;Paramètres!N55="",Dossiers!$D$6,MAX(IF(Paramètres!J55="",0,IF(Paramètres!K55="",NA(),IF(LEFT(TRIM(Paramètres!K55),1)="F",INDEX($F$113:$F$165,MATCH(Paramètres!J55,Paramètres!$G$5:$G$57,0)),INDEX($E$113:$E$165,MATCH(Paramètres!J55,Paramètres!$G$5:$G$57,0)))+IF(RIGHT(TRIM(Paramètres!K55),3)="Fin",1-$H163,IF(LEFT(TRIM(Paramètres!K55),1)="F",1,0)))),IF(Paramètres!L55="",0,IF(Paramètres!M55="",NA(),IF(LEFT(TRIM(Paramètres!M55),1)="F",INDEX($F$113:$F$165,MATCH(Paramètres!L55,Paramètres!$G$5:$G$57,0)),INDEX($E$113:$E$165,MATCH(Paramètres!L55,Paramètres!$G$5:$G$57,0)))+IF(RIGHT(TRIM(Paramètres!M55),3)="Fin",1-$H163,IF(LEFT(TRIM(Paramètres!M55),1)="F",1,0)))),IF(Paramètres!N55="",0,IF(Paramètres!O55="",NA(),IF(LEFT(TRIM(Paramètres!O55),1)="F",INDEX($F$113:$F$165,MATCH(Paramètres!N55,Paramètres!$G$5:$G$57,0)),INDEX($E$113:$E$165,MATCH(Paramètres!N55,Paramètres!$G$5:$G$57,0)))+IF(RIGHT(TRIM(Paramètres!O55),3)="Fin",1-$H163,IF(LEFT(TRIM(Paramètres!O55),1)="F",1,0)))))))</f>
        <v/>
      </c>
      <c r="F163" s="19">
        <f>IF($A163="","",E163+$H163-1)</f>
        <v/>
      </c>
      <c r="G163" s="18" t="n"/>
      <c r="H163" s="18">
        <f>IF($A163="","",IF(I163&lt;&gt;"",I163,Paramètres!B55))</f>
        <v/>
      </c>
      <c r="I163" s="18" t="n"/>
    </row>
    <row r="164">
      <c r="A164" s="18">
        <f>IF(ISNUMBER(Dossiers!$D$6),Dossiers!$A$6&amp;" · "&amp;Dossiers!$B$6,"")</f>
        <v/>
      </c>
      <c r="B164" s="18">
        <f>IF($A164="","",Paramètres!G56)</f>
        <v/>
      </c>
      <c r="C164" s="18">
        <f>IF($A164="","",IF(Paramètres!H56="","",Paramètres!H56))</f>
        <v/>
      </c>
      <c r="D164" s="18">
        <f>IF($A164="","",IF(Paramètres!I56="","",Paramètres!I56))</f>
        <v/>
      </c>
      <c r="E164" s="19">
        <f>IF($A164="","",MIN(E165:E165))</f>
        <v/>
      </c>
      <c r="F164" s="19">
        <f>IF($A164="","",MAX(F165:F165))</f>
        <v/>
      </c>
      <c r="G164" s="18" t="n"/>
      <c r="H164" s="18">
        <f>IF($A164="","",F164-E164+1)</f>
        <v/>
      </c>
      <c r="I164" s="18" t="n"/>
    </row>
    <row r="165">
      <c r="A165" s="18">
        <f>IF(ISNUMBER(Dossiers!$D$6),Dossiers!$A$6&amp;" · "&amp;Dossiers!$B$6,"")</f>
        <v/>
      </c>
      <c r="B165" s="18">
        <f>IF($A165="","",Paramètres!G57)</f>
        <v/>
      </c>
      <c r="C165" s="18">
        <f>IF($A165="","",IF(Paramètres!H57="","",Paramètres!H57))</f>
        <v/>
      </c>
      <c r="D165" s="18">
        <f>IF($A165="","",IF(Paramètres!I57="","",Paramètres!I57))</f>
        <v/>
      </c>
      <c r="E165" s="19">
        <f>IF($A165="","",IF(Paramètres!J57&amp;Paramètres!L57&amp;Paramètres!N57="",Dossiers!$D$6,MAX(IF(Paramètres!J57="",0,IF(Paramètres!K57="",NA(),IF(LEFT(TRIM(Paramètres!K57),1)="F",INDEX($F$113:$F$165,MATCH(Paramètres!J57,Paramètres!$G$5:$G$57,0)),INDEX($E$113:$E$165,MATCH(Paramètres!J57,Paramètres!$G$5:$G$57,0)))+IF(RIGHT(TRIM(Paramètres!K57),3)="Fin",1-$H165,IF(LEFT(TRIM(Paramètres!K57),1)="F",1,0)))),IF(Paramètres!L57="",0,IF(Paramètres!M57="",NA(),IF(LEFT(TRIM(Paramètres!M57),1)="F",INDEX($F$113:$F$165,MATCH(Paramètres!L57,Paramètres!$G$5:$G$57,0)),INDEX($E$113:$E$165,MATCH(Paramètres!L57,Paramètres!$G$5:$G$57,0)))+IF(RIGHT(TRIM(Paramètres!M57),3)="Fin",1-$H165,IF(LEFT(TRIM(Paramètres!M57),1)="F",1,0)))),IF(Paramètres!N57="",0,IF(Paramètres!O57="",NA(),IF(LEFT(TRIM(Paramètres!O57),1)="F",INDEX($F$113:$F$165,MATCH(Paramètres!N57,Paramètres!$G$5:$G$57,0)),INDEX($E$113:$E$165,MATCH(Paramètres!N57,Paramètres!$G$5:$G$57,0)))+IF(RIGHT(TRIM(Paramètres!O57),3)="Fin",1-$H165,IF(LEFT(TRIM(Paramètres!O57),1)="F",1,0)))))))</f>
        <v/>
      </c>
      <c r="F165" s="19">
        <f>IF($A165="","",E165+$H165-1)</f>
        <v/>
      </c>
      <c r="G165" s="18" t="n"/>
      <c r="H165" s="18">
        <f>IF($A165="","",IF(I165&lt;&gt;"",I165,Paramètres!B57))</f>
        <v/>
      </c>
      <c r="I165" s="18" t="n"/>
    </row>
    <row r="166">
      <c r="A166" s="16">
        <f>IF(ISNUMBER(Dossiers!$D$7),Dossiers!$E$7,"")</f>
        <v/>
      </c>
      <c r="B166" s="16">
        <f>IF($A166="","","Identifiant")</f>
        <v/>
      </c>
      <c r="C166" s="16">
        <f>IF($A166="","","Macro Etape")</f>
        <v/>
      </c>
      <c r="D166" s="16">
        <f>IF($A166="","","Etape")</f>
        <v/>
      </c>
      <c r="E166" s="17">
        <f>IF($A166="","","Début le")</f>
        <v/>
      </c>
      <c r="F166" s="17">
        <f>IF($A166="","","Fin prévue le")</f>
        <v/>
      </c>
      <c r="G166" s="16">
        <f>IF($A166="","","Statut")</f>
        <v/>
      </c>
      <c r="H166" s="16">
        <f>IF($A166="","","Durée (jours)")</f>
        <v/>
      </c>
      <c r="I166" s="16">
        <f>IF($A166="","","Durée particulière")</f>
        <v/>
      </c>
      <c r="J166" s="10">
        <f>IF($A166="","",HYPERLINK("#'Tableau de bord'!A1","↑ Tableau de bord"))</f>
        <v/>
      </c>
    </row>
    <row r="167">
      <c r="A167" s="18">
        <f>IF(ISNUMBER(Dossiers!$D$7),Dossiers!$A$7&amp;" · "&amp;Dossiers!$B$7,"")</f>
        <v/>
      </c>
      <c r="B167" s="18">
        <f>IF($A167="","",Paramètres!G5)</f>
        <v/>
      </c>
      <c r="C167" s="18">
        <f>IF($A167="","",IF(Paramètres!H5="","",Paramètres!H5))</f>
        <v/>
      </c>
      <c r="D167" s="18">
        <f>IF($A167="","",IF(Paramètres!I5="","",Paramètres!I5))</f>
        <v/>
      </c>
      <c r="E167" s="19">
        <f>IF($A167="","",MIN(E168:E171))</f>
        <v/>
      </c>
      <c r="F167" s="19">
        <f>IF($A167="","",MAX(F168:F171))</f>
        <v/>
      </c>
      <c r="G167" s="18" t="n"/>
      <c r="H167" s="18">
        <f>IF($A167="","",F167-E167+1)</f>
        <v/>
      </c>
      <c r="I167" s="18" t="n"/>
    </row>
    <row r="168">
      <c r="A168" s="18">
        <f>IF(ISNUMBER(Dossiers!$D$7),Dossiers!$A$7&amp;" · "&amp;Dossiers!$B$7,"")</f>
        <v/>
      </c>
      <c r="B168" s="18">
        <f>IF($A168="","",Paramètres!G6)</f>
        <v/>
      </c>
      <c r="C168" s="18">
        <f>IF($A168="","",IF(Paramètres!H6="","",Paramètres!H6))</f>
        <v/>
      </c>
      <c r="D168" s="18">
        <f>IF($A168="","",IF(Paramètres!I6="","",Paramètres!I6))</f>
        <v/>
      </c>
      <c r="E168" s="19">
        <f>IF($A168="","",IF(Paramètres!J6&amp;Paramètres!L6&amp;Paramètres!N6="",Dossiers!$D$7,MAX(IF(Paramètres!J6="",0,IF(Paramètres!K6="",NA(),IF(LEFT(TRIM(Paramètres!K6),1)="F",INDEX($F$167:$F$219,MATCH(Paramètres!J6,Paramètres!$G$5:$G$57,0)),INDEX($E$167:$E$219,MATCH(Paramètres!J6,Paramètres!$G$5:$G$57,0)))+IF(RIGHT(TRIM(Paramètres!K6),3)="Fin",1-$H168,IF(LEFT(TRIM(Paramètres!K6),1)="F",1,0)))),IF(Paramètres!L6="",0,IF(Paramètres!M6="",NA(),IF(LEFT(TRIM(Paramètres!M6),1)="F",INDEX($F$167:$F$219,MATCH(Paramètres!L6,Paramètres!$G$5:$G$57,0)),INDEX($E$167:$E$219,MATCH(Paramètres!L6,Paramètres!$G$5:$G$57,0)))+IF(RIGHT(TRIM(Paramètres!M6),3)="Fin",1-$H168,IF(LEFT(TRIM(Paramètres!M6),1)="F",1,0)))),IF(Paramètres!N6="",0,IF(Paramètres!O6="",NA(),IF(LEFT(TRIM(Paramètres!O6),1)="F",INDEX($F$167:$F$219,MATCH(Paramètres!N6,Paramètres!$G$5:$G$57,0)),INDEX($E$167:$E$219,MATCH(Paramètres!N6,Paramètres!$G$5:$G$57,0)))+IF(RIGHT(TRIM(Paramètres!O6),3)="Fin",1-$H168,IF(LEFT(TRIM(Paramètres!O6),1)="F",1,0)))))))</f>
        <v/>
      </c>
      <c r="F168" s="19">
        <f>IF($A168="","",E168+$H168-1)</f>
        <v/>
      </c>
      <c r="G168" s="18" t="n"/>
      <c r="H168" s="18">
        <f>IF($A168="","",IF(I168&lt;&gt;"",I168,Paramètres!B6))</f>
        <v/>
      </c>
      <c r="I168" s="18" t="n"/>
    </row>
    <row r="169">
      <c r="A169" s="18">
        <f>IF(ISNUMBER(Dossiers!$D$7),Dossiers!$A$7&amp;" · "&amp;Dossiers!$B$7,"")</f>
        <v/>
      </c>
      <c r="B169" s="18">
        <f>IF($A169="","",Paramètres!G7)</f>
        <v/>
      </c>
      <c r="C169" s="18">
        <f>IF($A169="","",IF(Paramètres!H7="","",Paramètres!H7))</f>
        <v/>
      </c>
      <c r="D169" s="18">
        <f>IF($A169="","",IF(Paramètres!I7="","",Paramètres!I7))</f>
        <v/>
      </c>
      <c r="E169" s="19">
        <f>IF($A169="","",IF(Paramètres!J7&amp;Paramètres!L7&amp;Paramètres!N7="",Dossiers!$D$7,MAX(IF(Paramètres!J7="",0,IF(Paramètres!K7="",NA(),IF(LEFT(TRIM(Paramètres!K7),1)="F",INDEX($F$167:$F$219,MATCH(Paramètres!J7,Paramètres!$G$5:$G$57,0)),INDEX($E$167:$E$219,MATCH(Paramètres!J7,Paramètres!$G$5:$G$57,0)))+IF(RIGHT(TRIM(Paramètres!K7),3)="Fin",1-$H169,IF(LEFT(TRIM(Paramètres!K7),1)="F",1,0)))),IF(Paramètres!L7="",0,IF(Paramètres!M7="",NA(),IF(LEFT(TRIM(Paramètres!M7),1)="F",INDEX($F$167:$F$219,MATCH(Paramètres!L7,Paramètres!$G$5:$G$57,0)),INDEX($E$167:$E$219,MATCH(Paramètres!L7,Paramètres!$G$5:$G$57,0)))+IF(RIGHT(TRIM(Paramètres!M7),3)="Fin",1-$H169,IF(LEFT(TRIM(Paramètres!M7),1)="F",1,0)))),IF(Paramètres!N7="",0,IF(Paramètres!O7="",NA(),IF(LEFT(TRIM(Paramètres!O7),1)="F",INDEX($F$167:$F$219,MATCH(Paramètres!N7,Paramètres!$G$5:$G$57,0)),INDEX($E$167:$E$219,MATCH(Paramètres!N7,Paramètres!$G$5:$G$57,0)))+IF(RIGHT(TRIM(Paramètres!O7),3)="Fin",1-$H169,IF(LEFT(TRIM(Paramètres!O7),1)="F",1,0)))))))</f>
        <v/>
      </c>
      <c r="F169" s="19">
        <f>IF($A169="","",E169+$H169-1)</f>
        <v/>
      </c>
      <c r="G169" s="18" t="n"/>
      <c r="H169" s="18">
        <f>IF($A169="","",IF(I169&lt;&gt;"",I169,Paramètres!B7))</f>
        <v/>
      </c>
      <c r="I169" s="18" t="n"/>
    </row>
    <row r="170">
      <c r="A170" s="18">
        <f>IF(ISNUMBER(Dossiers!$D$7),Dossiers!$A$7&amp;" · "&amp;Dossiers!$B$7,"")</f>
        <v/>
      </c>
      <c r="B170" s="18">
        <f>IF($A170="","",Paramètres!G8)</f>
        <v/>
      </c>
      <c r="C170" s="18">
        <f>IF($A170="","",IF(Paramètres!H8="","",Paramètres!H8))</f>
        <v/>
      </c>
      <c r="D170" s="18">
        <f>IF($A170="","",IF(Paramètres!I8="","",Paramètres!I8))</f>
        <v/>
      </c>
      <c r="E170" s="19">
        <f>IF($A170="","",IF(Paramètres!J8&amp;Paramètres!L8&amp;Paramètres!N8="",Dossiers!$D$7,MAX(IF(Paramètres!J8="",0,IF(Paramètres!K8="",NA(),IF(LEFT(TRIM(Paramètres!K8),1)="F",INDEX($F$167:$F$219,MATCH(Paramètres!J8,Paramètres!$G$5:$G$57,0)),INDEX($E$167:$E$219,MATCH(Paramètres!J8,Paramètres!$G$5:$G$57,0)))+IF(RIGHT(TRIM(Paramètres!K8),3)="Fin",1-$H170,IF(LEFT(TRIM(Paramètres!K8),1)="F",1,0)))),IF(Paramètres!L8="",0,IF(Paramètres!M8="",NA(),IF(LEFT(TRIM(Paramètres!M8),1)="F",INDEX($F$167:$F$219,MATCH(Paramètres!L8,Paramètres!$G$5:$G$57,0)),INDEX($E$167:$E$219,MATCH(Paramètres!L8,Paramètres!$G$5:$G$57,0)))+IF(RIGHT(TRIM(Paramètres!M8),3)="Fin",1-$H170,IF(LEFT(TRIM(Paramètres!M8),1)="F",1,0)))),IF(Paramètres!N8="",0,IF(Paramètres!O8="",NA(),IF(LEFT(TRIM(Paramètres!O8),1)="F",INDEX($F$167:$F$219,MATCH(Paramètres!N8,Paramètres!$G$5:$G$57,0)),INDEX($E$167:$E$219,MATCH(Paramètres!N8,Paramètres!$G$5:$G$57,0)))+IF(RIGHT(TRIM(Paramètres!O8),3)="Fin",1-$H170,IF(LEFT(TRIM(Paramètres!O8),1)="F",1,0)))))))</f>
        <v/>
      </c>
      <c r="F170" s="19">
        <f>IF($A170="","",E170+$H170-1)</f>
        <v/>
      </c>
      <c r="G170" s="18" t="n"/>
      <c r="H170" s="18">
        <f>IF($A170="","",IF(I170&lt;&gt;"",I170,Paramètres!B8))</f>
        <v/>
      </c>
      <c r="I170" s="18" t="n"/>
    </row>
    <row r="171">
      <c r="A171" s="18">
        <f>IF(ISNUMBER(Dossiers!$D$7),Dossiers!$A$7&amp;" · "&amp;Dossiers!$B$7,"")</f>
        <v/>
      </c>
      <c r="B171" s="18">
        <f>IF($A171="","",Paramètres!G9)</f>
        <v/>
      </c>
      <c r="C171" s="18">
        <f>IF($A171="","",IF(Paramètres!H9="","",Paramètres!H9))</f>
        <v/>
      </c>
      <c r="D171" s="18">
        <f>IF($A171="","",IF(Paramètres!I9="","",Paramètres!I9))</f>
        <v/>
      </c>
      <c r="E171" s="19">
        <f>IF($A171="","",IF(Paramètres!J9&amp;Paramètres!L9&amp;Paramètres!N9="",Dossiers!$D$7,MAX(IF(Paramètres!J9="",0,IF(Paramètres!K9="",NA(),IF(LEFT(TRIM(Paramètres!K9),1)="F",INDEX($F$167:$F$219,MATCH(Paramètres!J9,Paramètres!$G$5:$G$57,0)),INDEX($E$167:$E$219,MATCH(Paramètres!J9,Paramètres!$G$5:$G$57,0)))+IF(RIGHT(TRIM(Paramètres!K9),3)="Fin",1-$H171,IF(LEFT(TRIM(Paramètres!K9),1)="F",1,0)))),IF(Paramètres!L9="",0,IF(Paramètres!M9="",NA(),IF(LEFT(TRIM(Paramètres!M9),1)="F",INDEX($F$167:$F$219,MATCH(Paramètres!L9,Paramètres!$G$5:$G$57,0)),INDEX($E$167:$E$219,MATCH(Paramètres!L9,Paramètres!$G$5:$G$57,0)))+IF(RIGHT(TRIM(Paramètres!M9),3)="Fin",1-$H171,IF(LEFT(TRIM(Paramètres!M9),1)="F",1,0)))),IF(Paramètres!N9="",0,IF(Paramètres!O9="",NA(),IF(LEFT(TRIM(Paramètres!O9),1)="F",INDEX($F$167:$F$219,MATCH(Paramètres!N9,Paramètres!$G$5:$G$57,0)),INDEX($E$167:$E$219,MATCH(Paramètres!N9,Paramètres!$G$5:$G$57,0)))+IF(RIGHT(TRIM(Paramètres!O9),3)="Fin",1-$H171,IF(LEFT(TRIM(Paramètres!O9),1)="F",1,0)))))))</f>
        <v/>
      </c>
      <c r="F171" s="19">
        <f>IF($A171="","",E171+$H171-1)</f>
        <v/>
      </c>
      <c r="G171" s="18" t="n"/>
      <c r="H171" s="18">
        <f>IF($A171="","",IF(I171&lt;&gt;"",I171,Paramètres!B9))</f>
        <v/>
      </c>
      <c r="I171" s="18" t="n"/>
    </row>
    <row r="172">
      <c r="A172" s="18">
        <f>IF(ISNUMBER(Dossiers!$D$7),Dossiers!$A$7&amp;" · "&amp;Dossiers!$B$7,"")</f>
        <v/>
      </c>
      <c r="B172" s="18">
        <f>IF($A172="","",Paramètres!G10)</f>
        <v/>
      </c>
      <c r="C172" s="18">
        <f>IF($A172="","",IF(Paramètres!H10="","",Paramètres!H10))</f>
        <v/>
      </c>
      <c r="D172" s="18">
        <f>IF($A172="","",IF(Paramètres!I10="","",Paramètres!I10))</f>
        <v/>
      </c>
      <c r="E172" s="19">
        <f>IF($A172="","",MIN(E173:E176))</f>
        <v/>
      </c>
      <c r="F172" s="19">
        <f>IF($A172="","",MAX(F173:F176))</f>
        <v/>
      </c>
      <c r="G172" s="18" t="n"/>
      <c r="H172" s="18">
        <f>IF($A172="","",F172-E172+1)</f>
        <v/>
      </c>
      <c r="I172" s="18" t="n"/>
    </row>
    <row r="173">
      <c r="A173" s="18">
        <f>IF(ISNUMBER(Dossiers!$D$7),Dossiers!$A$7&amp;" · "&amp;Dossiers!$B$7,"")</f>
        <v/>
      </c>
      <c r="B173" s="18">
        <f>IF($A173="","",Paramètres!G11)</f>
        <v/>
      </c>
      <c r="C173" s="18">
        <f>IF($A173="","",IF(Paramètres!H11="","",Paramètres!H11))</f>
        <v/>
      </c>
      <c r="D173" s="18">
        <f>IF($A173="","",IF(Paramètres!I11="","",Paramètres!I11))</f>
        <v/>
      </c>
      <c r="E173" s="19">
        <f>IF($A173="","",IF(Paramètres!J11&amp;Paramètres!L11&amp;Paramètres!N11="",Dossiers!$D$7,MAX(IF(Paramètres!J11="",0,IF(Paramètres!K11="",NA(),IF(LEFT(TRIM(Paramètres!K11),1)="F",INDEX($F$167:$F$219,MATCH(Paramètres!J11,Paramètres!$G$5:$G$57,0)),INDEX($E$167:$E$219,MATCH(Paramètres!J11,Paramètres!$G$5:$G$57,0)))+IF(RIGHT(TRIM(Paramètres!K11),3)="Fin",1-$H173,IF(LEFT(TRIM(Paramètres!K11),1)="F",1,0)))),IF(Paramètres!L11="",0,IF(Paramètres!M11="",NA(),IF(LEFT(TRIM(Paramètres!M11),1)="F",INDEX($F$167:$F$219,MATCH(Paramètres!L11,Paramètres!$G$5:$G$57,0)),INDEX($E$167:$E$219,MATCH(Paramètres!L11,Paramètres!$G$5:$G$57,0)))+IF(RIGHT(TRIM(Paramètres!M11),3)="Fin",1-$H173,IF(LEFT(TRIM(Paramètres!M11),1)="F",1,0)))),IF(Paramètres!N11="",0,IF(Paramètres!O11="",NA(),IF(LEFT(TRIM(Paramètres!O11),1)="F",INDEX($F$167:$F$219,MATCH(Paramètres!N11,Paramètres!$G$5:$G$57,0)),INDEX($E$167:$E$219,MATCH(Paramètres!N11,Paramètres!$G$5:$G$57,0)))+IF(RIGHT(TRIM(Paramètres!O11),3)="Fin",1-$H173,IF(LEFT(TRIM(Paramètres!O11),1)="F",1,0)))))))</f>
        <v/>
      </c>
      <c r="F173" s="19">
        <f>IF($A173="","",E173+$H173-1)</f>
        <v/>
      </c>
      <c r="G173" s="18" t="n"/>
      <c r="H173" s="18">
        <f>IF($A173="","",IF(I173&lt;&gt;"",I173,Paramètres!B11))</f>
        <v/>
      </c>
      <c r="I173" s="18" t="n"/>
    </row>
    <row r="174">
      <c r="A174" s="18">
        <f>IF(ISNUMBER(Dossiers!$D$7),Dossiers!$A$7&amp;" · "&amp;Dossiers!$B$7,"")</f>
        <v/>
      </c>
      <c r="B174" s="18">
        <f>IF($A174="","",Paramètres!G12)</f>
        <v/>
      </c>
      <c r="C174" s="18">
        <f>IF($A174="","",IF(Paramètres!H12="","",Paramètres!H12))</f>
        <v/>
      </c>
      <c r="D174" s="18">
        <f>IF($A174="","",IF(Paramètres!I12="","",Paramètres!I12))</f>
        <v/>
      </c>
      <c r="E174" s="19">
        <f>IF($A174="","",IF(Paramètres!J12&amp;Paramètres!L12&amp;Paramètres!N12="",Dossiers!$D$7,MAX(IF(Paramètres!J12="",0,IF(Paramètres!K12="",NA(),IF(LEFT(TRIM(Paramètres!K12),1)="F",INDEX($F$167:$F$219,MATCH(Paramètres!J12,Paramètres!$G$5:$G$57,0)),INDEX($E$167:$E$219,MATCH(Paramètres!J12,Paramètres!$G$5:$G$57,0)))+IF(RIGHT(TRIM(Paramètres!K12),3)="Fin",1-$H174,IF(LEFT(TRIM(Paramètres!K12),1)="F",1,0)))),IF(Paramètres!L12="",0,IF(Paramètres!M12="",NA(),IF(LEFT(TRIM(Paramètres!M12),1)="F",INDEX($F$167:$F$219,MATCH(Paramètres!L12,Paramètres!$G$5:$G$57,0)),INDEX($E$167:$E$219,MATCH(Paramètres!L12,Paramètres!$G$5:$G$57,0)))+IF(RIGHT(TRIM(Paramètres!M12),3)="Fin",1-$H174,IF(LEFT(TRIM(Paramètres!M12),1)="F",1,0)))),IF(Paramètres!N12="",0,IF(Paramètres!O12="",NA(),IF(LEFT(TRIM(Paramètres!O12),1)="F",INDEX($F$167:$F$219,MATCH(Paramètres!N12,Paramètres!$G$5:$G$57,0)),INDEX($E$167:$E$219,MATCH(Paramètres!N12,Paramètres!$G$5:$G$57,0)))+IF(RIGHT(TRIM(Paramètres!O12),3)="Fin",1-$H174,IF(LEFT(TRIM(Paramètres!O12),1)="F",1,0)))))))</f>
        <v/>
      </c>
      <c r="F174" s="19">
        <f>IF($A174="","",E174+$H174-1)</f>
        <v/>
      </c>
      <c r="G174" s="18" t="n"/>
      <c r="H174" s="18">
        <f>IF($A174="","",IF(I174&lt;&gt;"",I174,Paramètres!B12))</f>
        <v/>
      </c>
      <c r="I174" s="18" t="n"/>
    </row>
    <row r="175">
      <c r="A175" s="18">
        <f>IF(ISNUMBER(Dossiers!$D$7),Dossiers!$A$7&amp;" · "&amp;Dossiers!$B$7,"")</f>
        <v/>
      </c>
      <c r="B175" s="18">
        <f>IF($A175="","",Paramètres!G13)</f>
        <v/>
      </c>
      <c r="C175" s="18">
        <f>IF($A175="","",IF(Paramètres!H13="","",Paramètres!H13))</f>
        <v/>
      </c>
      <c r="D175" s="18">
        <f>IF($A175="","",IF(Paramètres!I13="","",Paramètres!I13))</f>
        <v/>
      </c>
      <c r="E175" s="19">
        <f>IF($A175="","",IF(Paramètres!J13&amp;Paramètres!L13&amp;Paramètres!N13="",Dossiers!$D$7,MAX(IF(Paramètres!J13="",0,IF(Paramètres!K13="",NA(),IF(LEFT(TRIM(Paramètres!K13),1)="F",INDEX($F$167:$F$219,MATCH(Paramètres!J13,Paramètres!$G$5:$G$57,0)),INDEX($E$167:$E$219,MATCH(Paramètres!J13,Paramètres!$G$5:$G$57,0)))+IF(RIGHT(TRIM(Paramètres!K13),3)="Fin",1-$H175,IF(LEFT(TRIM(Paramètres!K13),1)="F",1,0)))),IF(Paramètres!L13="",0,IF(Paramètres!M13="",NA(),IF(LEFT(TRIM(Paramètres!M13),1)="F",INDEX($F$167:$F$219,MATCH(Paramètres!L13,Paramètres!$G$5:$G$57,0)),INDEX($E$167:$E$219,MATCH(Paramètres!L13,Paramètres!$G$5:$G$57,0)))+IF(RIGHT(TRIM(Paramètres!M13),3)="Fin",1-$H175,IF(LEFT(TRIM(Paramètres!M13),1)="F",1,0)))),IF(Paramètres!N13="",0,IF(Paramètres!O13="",NA(),IF(LEFT(TRIM(Paramètres!O13),1)="F",INDEX($F$167:$F$219,MATCH(Paramètres!N13,Paramètres!$G$5:$G$57,0)),INDEX($E$167:$E$219,MATCH(Paramètres!N13,Paramètres!$G$5:$G$57,0)))+IF(RIGHT(TRIM(Paramètres!O13),3)="Fin",1-$H175,IF(LEFT(TRIM(Paramètres!O13),1)="F",1,0)))))))</f>
        <v/>
      </c>
      <c r="F175" s="19">
        <f>IF($A175="","",E175+$H175-1)</f>
        <v/>
      </c>
      <c r="G175" s="18" t="n"/>
      <c r="H175" s="18">
        <f>IF($A175="","",IF(I175&lt;&gt;"",I175,Paramètres!B13))</f>
        <v/>
      </c>
      <c r="I175" s="18" t="n"/>
    </row>
    <row r="176">
      <c r="A176" s="18">
        <f>IF(ISNUMBER(Dossiers!$D$7),Dossiers!$A$7&amp;" · "&amp;Dossiers!$B$7,"")</f>
        <v/>
      </c>
      <c r="B176" s="18">
        <f>IF($A176="","",Paramètres!G14)</f>
        <v/>
      </c>
      <c r="C176" s="18">
        <f>IF($A176="","",IF(Paramètres!H14="","",Paramètres!H14))</f>
        <v/>
      </c>
      <c r="D176" s="18">
        <f>IF($A176="","",IF(Paramètres!I14="","",Paramètres!I14))</f>
        <v/>
      </c>
      <c r="E176" s="19">
        <f>IF($A176="","",IF(Paramètres!J14&amp;Paramètres!L14&amp;Paramètres!N14="",Dossiers!$D$7,MAX(IF(Paramètres!J14="",0,IF(Paramètres!K14="",NA(),IF(LEFT(TRIM(Paramètres!K14),1)="F",INDEX($F$167:$F$219,MATCH(Paramètres!J14,Paramètres!$G$5:$G$57,0)),INDEX($E$167:$E$219,MATCH(Paramètres!J14,Paramètres!$G$5:$G$57,0)))+IF(RIGHT(TRIM(Paramètres!K14),3)="Fin",1-$H176,IF(LEFT(TRIM(Paramètres!K14),1)="F",1,0)))),IF(Paramètres!L14="",0,IF(Paramètres!M14="",NA(),IF(LEFT(TRIM(Paramètres!M14),1)="F",INDEX($F$167:$F$219,MATCH(Paramètres!L14,Paramètres!$G$5:$G$57,0)),INDEX($E$167:$E$219,MATCH(Paramètres!L14,Paramètres!$G$5:$G$57,0)))+IF(RIGHT(TRIM(Paramètres!M14),3)="Fin",1-$H176,IF(LEFT(TRIM(Paramètres!M14),1)="F",1,0)))),IF(Paramètres!N14="",0,IF(Paramètres!O14="",NA(),IF(LEFT(TRIM(Paramètres!O14),1)="F",INDEX($F$167:$F$219,MATCH(Paramètres!N14,Paramètres!$G$5:$G$57,0)),INDEX($E$167:$E$219,MATCH(Paramètres!N14,Paramètres!$G$5:$G$57,0)))+IF(RIGHT(TRIM(Paramètres!O14),3)="Fin",1-$H176,IF(LEFT(TRIM(Paramètres!O14),1)="F",1,0)))))))</f>
        <v/>
      </c>
      <c r="F176" s="19">
        <f>IF($A176="","",E176+$H176-1)</f>
        <v/>
      </c>
      <c r="G176" s="18" t="n"/>
      <c r="H176" s="18">
        <f>IF($A176="","",IF(I176&lt;&gt;"",I176,Paramètres!B14))</f>
        <v/>
      </c>
      <c r="I176" s="18" t="n"/>
    </row>
    <row r="177">
      <c r="A177" s="18">
        <f>IF(ISNUMBER(Dossiers!$D$7),Dossiers!$A$7&amp;" · "&amp;Dossiers!$B$7,"")</f>
        <v/>
      </c>
      <c r="B177" s="18">
        <f>IF($A177="","",Paramètres!G15)</f>
        <v/>
      </c>
      <c r="C177" s="18">
        <f>IF($A177="","",IF(Paramètres!H15="","",Paramètres!H15))</f>
        <v/>
      </c>
      <c r="D177" s="18">
        <f>IF($A177="","",IF(Paramètres!I15="","",Paramètres!I15))</f>
        <v/>
      </c>
      <c r="E177" s="19">
        <f>IF($A177="","",MIN(E178:E193))</f>
        <v/>
      </c>
      <c r="F177" s="19">
        <f>IF($A177="","",MAX(F178:F193))</f>
        <v/>
      </c>
      <c r="G177" s="18" t="n"/>
      <c r="H177" s="18">
        <f>IF($A177="","",F177-E177+1)</f>
        <v/>
      </c>
      <c r="I177" s="18" t="n"/>
    </row>
    <row r="178">
      <c r="A178" s="18">
        <f>IF(ISNUMBER(Dossiers!$D$7),Dossiers!$A$7&amp;" · "&amp;Dossiers!$B$7,"")</f>
        <v/>
      </c>
      <c r="B178" s="18">
        <f>IF($A178="","",Paramètres!G16)</f>
        <v/>
      </c>
      <c r="C178" s="18">
        <f>IF($A178="","",IF(Paramètres!H16="","",Paramètres!H16))</f>
        <v/>
      </c>
      <c r="D178" s="18">
        <f>IF($A178="","",IF(Paramètres!I16="","",Paramètres!I16))</f>
        <v/>
      </c>
      <c r="E178" s="19">
        <f>IF($A178="","",IF(Paramètres!J16&amp;Paramètres!L16&amp;Paramètres!N16="",Dossiers!$D$7,MAX(IF(Paramètres!J16="",0,IF(Paramètres!K16="",NA(),IF(LEFT(TRIM(Paramètres!K16),1)="F",INDEX($F$167:$F$219,MATCH(Paramètres!J16,Paramètres!$G$5:$G$57,0)),INDEX($E$167:$E$219,MATCH(Paramètres!J16,Paramètres!$G$5:$G$57,0)))+IF(RIGHT(TRIM(Paramètres!K16),3)="Fin",1-$H178,IF(LEFT(TRIM(Paramètres!K16),1)="F",1,0)))),IF(Paramètres!L16="",0,IF(Paramètres!M16="",NA(),IF(LEFT(TRIM(Paramètres!M16),1)="F",INDEX($F$167:$F$219,MATCH(Paramètres!L16,Paramètres!$G$5:$G$57,0)),INDEX($E$167:$E$219,MATCH(Paramètres!L16,Paramètres!$G$5:$G$57,0)))+IF(RIGHT(TRIM(Paramètres!M16),3)="Fin",1-$H178,IF(LEFT(TRIM(Paramètres!M16),1)="F",1,0)))),IF(Paramètres!N16="",0,IF(Paramètres!O16="",NA(),IF(LEFT(TRIM(Paramètres!O16),1)="F",INDEX($F$167:$F$219,MATCH(Paramètres!N16,Paramètres!$G$5:$G$57,0)),INDEX($E$167:$E$219,MATCH(Paramètres!N16,Paramètres!$G$5:$G$57,0)))+IF(RIGHT(TRIM(Paramètres!O16),3)="Fin",1-$H178,IF(LEFT(TRIM(Paramètres!O16),1)="F",1,0)))))))</f>
        <v/>
      </c>
      <c r="F178" s="19">
        <f>IF($A178="","",E178+$H178-1)</f>
        <v/>
      </c>
      <c r="G178" s="18" t="n"/>
      <c r="H178" s="18">
        <f>IF($A178="","",IF(I178&lt;&gt;"",I178,Paramètres!B16))</f>
        <v/>
      </c>
      <c r="I178" s="18" t="n"/>
    </row>
    <row r="179">
      <c r="A179" s="18">
        <f>IF(ISNUMBER(Dossiers!$D$7),Dossiers!$A$7&amp;" · "&amp;Dossiers!$B$7,"")</f>
        <v/>
      </c>
      <c r="B179" s="18">
        <f>IF($A179="","",Paramètres!G17)</f>
        <v/>
      </c>
      <c r="C179" s="18">
        <f>IF($A179="","",IF(Paramètres!H17="","",Paramètres!H17))</f>
        <v/>
      </c>
      <c r="D179" s="18">
        <f>IF($A179="","",IF(Paramètres!I17="","",Paramètres!I17))</f>
        <v/>
      </c>
      <c r="E179" s="19">
        <f>IF($A179="","",IF(Paramètres!J17&amp;Paramètres!L17&amp;Paramètres!N17="",Dossiers!$D$7,MAX(IF(Paramètres!J17="",0,IF(Paramètres!K17="",NA(),IF(LEFT(TRIM(Paramètres!K17),1)="F",INDEX($F$167:$F$219,MATCH(Paramètres!J17,Paramètres!$G$5:$G$57,0)),INDEX($E$167:$E$219,MATCH(Paramètres!J17,Paramètres!$G$5:$G$57,0)))+IF(RIGHT(TRIM(Paramètres!K17),3)="Fin",1-$H179,IF(LEFT(TRIM(Paramètres!K17),1)="F",1,0)))),IF(Paramètres!L17="",0,IF(Paramètres!M17="",NA(),IF(LEFT(TRIM(Paramètres!M17),1)="F",INDEX($F$167:$F$219,MATCH(Paramètres!L17,Paramètres!$G$5:$G$57,0)),INDEX($E$167:$E$219,MATCH(Paramètres!L17,Paramètres!$G$5:$G$57,0)))+IF(RIGHT(TRIM(Paramètres!M17),3)="Fin",1-$H179,IF(LEFT(TRIM(Paramètres!M17),1)="F",1,0)))),IF(Paramètres!N17="",0,IF(Paramètres!O17="",NA(),IF(LEFT(TRIM(Paramètres!O17),1)="F",INDEX($F$167:$F$219,MATCH(Paramètres!N17,Paramètres!$G$5:$G$57,0)),INDEX($E$167:$E$219,MATCH(Paramètres!N17,Paramètres!$G$5:$G$57,0)))+IF(RIGHT(TRIM(Paramètres!O17),3)="Fin",1-$H179,IF(LEFT(TRIM(Paramètres!O17),1)="F",1,0)))))))</f>
        <v/>
      </c>
      <c r="F179" s="19">
        <f>IF($A179="","",E179+$H179-1)</f>
        <v/>
      </c>
      <c r="G179" s="18" t="n"/>
      <c r="H179" s="18">
        <f>IF($A179="","",IF(I179&lt;&gt;"",I179,Paramètres!B17))</f>
        <v/>
      </c>
      <c r="I179" s="18" t="n"/>
    </row>
    <row r="180">
      <c r="A180" s="18">
        <f>IF(ISNUMBER(Dossiers!$D$7),Dossiers!$A$7&amp;" · "&amp;Dossiers!$B$7,"")</f>
        <v/>
      </c>
      <c r="B180" s="18">
        <f>IF($A180="","",Paramètres!G18)</f>
        <v/>
      </c>
      <c r="C180" s="18">
        <f>IF($A180="","",IF(Paramètres!H18="","",Paramètres!H18))</f>
        <v/>
      </c>
      <c r="D180" s="18">
        <f>IF($A180="","",IF(Paramètres!I18="","",Paramètres!I18))</f>
        <v/>
      </c>
      <c r="E180" s="19">
        <f>IF($A180="","",IF(Paramètres!J18&amp;Paramètres!L18&amp;Paramètres!N18="",Dossiers!$D$7,MAX(IF(Paramètres!J18="",0,IF(Paramètres!K18="",NA(),IF(LEFT(TRIM(Paramètres!K18),1)="F",INDEX($F$167:$F$219,MATCH(Paramètres!J18,Paramètres!$G$5:$G$57,0)),INDEX($E$167:$E$219,MATCH(Paramètres!J18,Paramètres!$G$5:$G$57,0)))+IF(RIGHT(TRIM(Paramètres!K18),3)="Fin",1-$H180,IF(LEFT(TRIM(Paramètres!K18),1)="F",1,0)))),IF(Paramètres!L18="",0,IF(Paramètres!M18="",NA(),IF(LEFT(TRIM(Paramètres!M18),1)="F",INDEX($F$167:$F$219,MATCH(Paramètres!L18,Paramètres!$G$5:$G$57,0)),INDEX($E$167:$E$219,MATCH(Paramètres!L18,Paramètres!$G$5:$G$57,0)))+IF(RIGHT(TRIM(Paramètres!M18),3)="Fin",1-$H180,IF(LEFT(TRIM(Paramètres!M18),1)="F",1,0)))),IF(Paramètres!N18="",0,IF(Paramètres!O18="",NA(),IF(LEFT(TRIM(Paramètres!O18),1)="F",INDEX($F$167:$F$219,MATCH(Paramètres!N18,Paramètres!$G$5:$G$57,0)),INDEX($E$167:$E$219,MATCH(Paramètres!N18,Paramètres!$G$5:$G$57,0)))+IF(RIGHT(TRIM(Paramètres!O18),3)="Fin",1-$H180,IF(LEFT(TRIM(Paramètres!O18),1)="F",1,0)))))))</f>
        <v/>
      </c>
      <c r="F180" s="19">
        <f>IF($A180="","",E180+$H180-1)</f>
        <v/>
      </c>
      <c r="G180" s="18" t="n"/>
      <c r="H180" s="18">
        <f>IF($A180="","",IF(I180&lt;&gt;"",I180,Paramètres!B18))</f>
        <v/>
      </c>
      <c r="I180" s="18" t="n"/>
    </row>
    <row r="181">
      <c r="A181" s="18">
        <f>IF(ISNUMBER(Dossiers!$D$7),Dossiers!$A$7&amp;" · "&amp;Dossiers!$B$7,"")</f>
        <v/>
      </c>
      <c r="B181" s="18">
        <f>IF($A181="","",Paramètres!G19)</f>
        <v/>
      </c>
      <c r="C181" s="18">
        <f>IF($A181="","",IF(Paramètres!H19="","",Paramètres!H19))</f>
        <v/>
      </c>
      <c r="D181" s="18">
        <f>IF($A181="","",IF(Paramètres!I19="","",Paramètres!I19))</f>
        <v/>
      </c>
      <c r="E181" s="19">
        <f>IF($A181="","",IF(Paramètres!J19&amp;Paramètres!L19&amp;Paramètres!N19="",Dossiers!$D$7,MAX(IF(Paramètres!J19="",0,IF(Paramètres!K19="",NA(),IF(LEFT(TRIM(Paramètres!K19),1)="F",INDEX($F$167:$F$219,MATCH(Paramètres!J19,Paramètres!$G$5:$G$57,0)),INDEX($E$167:$E$219,MATCH(Paramètres!J19,Paramètres!$G$5:$G$57,0)))+IF(RIGHT(TRIM(Paramètres!K19),3)="Fin",1-$H181,IF(LEFT(TRIM(Paramètres!K19),1)="F",1,0)))),IF(Paramètres!L19="",0,IF(Paramètres!M19="",NA(),IF(LEFT(TRIM(Paramètres!M19),1)="F",INDEX($F$167:$F$219,MATCH(Paramètres!L19,Paramètres!$G$5:$G$57,0)),INDEX($E$167:$E$219,MATCH(Paramètres!L19,Paramètres!$G$5:$G$57,0)))+IF(RIGHT(TRIM(Paramètres!M19),3)="Fin",1-$H181,IF(LEFT(TRIM(Paramètres!M19),1)="F",1,0)))),IF(Paramètres!N19="",0,IF(Paramètres!O19="",NA(),IF(LEFT(TRIM(Paramètres!O19),1)="F",INDEX($F$167:$F$219,MATCH(Paramètres!N19,Paramètres!$G$5:$G$57,0)),INDEX($E$167:$E$219,MATCH(Paramètres!N19,Paramètres!$G$5:$G$57,0)))+IF(RIGHT(TRIM(Paramètres!O19),3)="Fin",1-$H181,IF(LEFT(TRIM(Paramètres!O19),1)="F",1,0)))))))</f>
        <v/>
      </c>
      <c r="F181" s="19">
        <f>IF($A181="","",E181+$H181-1)</f>
        <v/>
      </c>
      <c r="G181" s="18" t="n"/>
      <c r="H181" s="18">
        <f>IF($A181="","",IF(I181&lt;&gt;"",I181,Paramètres!B19))</f>
        <v/>
      </c>
      <c r="I181" s="18" t="n"/>
    </row>
    <row r="182">
      <c r="A182" s="18">
        <f>IF(ISNUMBER(Dossiers!$D$7),Dossiers!$A$7&amp;" · "&amp;Dossiers!$B$7,"")</f>
        <v/>
      </c>
      <c r="B182" s="18">
        <f>IF($A182="","",Paramètres!G20)</f>
        <v/>
      </c>
      <c r="C182" s="18">
        <f>IF($A182="","",IF(Paramètres!H20="","",Paramètres!H20))</f>
        <v/>
      </c>
      <c r="D182" s="18">
        <f>IF($A182="","",IF(Paramètres!I20="","",Paramètres!I20))</f>
        <v/>
      </c>
      <c r="E182" s="19">
        <f>IF($A182="","",IF(Paramètres!J20&amp;Paramètres!L20&amp;Paramètres!N20="",Dossiers!$D$7,MAX(IF(Paramètres!J20="",0,IF(Paramètres!K20="",NA(),IF(LEFT(TRIM(Paramètres!K20),1)="F",INDEX($F$167:$F$219,MATCH(Paramètres!J20,Paramètres!$G$5:$G$57,0)),INDEX($E$167:$E$219,MATCH(Paramètres!J20,Paramètres!$G$5:$G$57,0)))+IF(RIGHT(TRIM(Paramètres!K20),3)="Fin",1-$H182,IF(LEFT(TRIM(Paramètres!K20),1)="F",1,0)))),IF(Paramètres!L20="",0,IF(Paramètres!M20="",NA(),IF(LEFT(TRIM(Paramètres!M20),1)="F",INDEX($F$167:$F$219,MATCH(Paramètres!L20,Paramètres!$G$5:$G$57,0)),INDEX($E$167:$E$219,MATCH(Paramètres!L20,Paramètres!$G$5:$G$57,0)))+IF(RIGHT(TRIM(Paramètres!M20),3)="Fin",1-$H182,IF(LEFT(TRIM(Paramètres!M20),1)="F",1,0)))),IF(Paramètres!N20="",0,IF(Paramètres!O20="",NA(),IF(LEFT(TRIM(Paramètres!O20),1)="F",INDEX($F$167:$F$219,MATCH(Paramètres!N20,Paramètres!$G$5:$G$57,0)),INDEX($E$167:$E$219,MATCH(Paramètres!N20,Paramètres!$G$5:$G$57,0)))+IF(RIGHT(TRIM(Paramètres!O20),3)="Fin",1-$H182,IF(LEFT(TRIM(Paramètres!O20),1)="F",1,0)))))))</f>
        <v/>
      </c>
      <c r="F182" s="19">
        <f>IF($A182="","",E182+$H182-1)</f>
        <v/>
      </c>
      <c r="G182" s="18" t="n"/>
      <c r="H182" s="18">
        <f>IF($A182="","",IF(I182&lt;&gt;"",I182,Paramètres!B20))</f>
        <v/>
      </c>
      <c r="I182" s="18" t="n"/>
    </row>
    <row r="183">
      <c r="A183" s="18">
        <f>IF(ISNUMBER(Dossiers!$D$7),Dossiers!$A$7&amp;" · "&amp;Dossiers!$B$7,"")</f>
        <v/>
      </c>
      <c r="B183" s="18">
        <f>IF($A183="","",Paramètres!G21)</f>
        <v/>
      </c>
      <c r="C183" s="18">
        <f>IF($A183="","",IF(Paramètres!H21="","",Paramètres!H21))</f>
        <v/>
      </c>
      <c r="D183" s="18">
        <f>IF($A183="","",IF(Paramètres!I21="","",Paramètres!I21))</f>
        <v/>
      </c>
      <c r="E183" s="19">
        <f>IF($A183="","",IF(Paramètres!J21&amp;Paramètres!L21&amp;Paramètres!N21="",Dossiers!$D$7,MAX(IF(Paramètres!J21="",0,IF(Paramètres!K21="",NA(),IF(LEFT(TRIM(Paramètres!K21),1)="F",INDEX($F$167:$F$219,MATCH(Paramètres!J21,Paramètres!$G$5:$G$57,0)),INDEX($E$167:$E$219,MATCH(Paramètres!J21,Paramètres!$G$5:$G$57,0)))+IF(RIGHT(TRIM(Paramètres!K21),3)="Fin",1-$H183,IF(LEFT(TRIM(Paramètres!K21),1)="F",1,0)))),IF(Paramètres!L21="",0,IF(Paramètres!M21="",NA(),IF(LEFT(TRIM(Paramètres!M21),1)="F",INDEX($F$167:$F$219,MATCH(Paramètres!L21,Paramètres!$G$5:$G$57,0)),INDEX($E$167:$E$219,MATCH(Paramètres!L21,Paramètres!$G$5:$G$57,0)))+IF(RIGHT(TRIM(Paramètres!M21),3)="Fin",1-$H183,IF(LEFT(TRIM(Paramètres!M21),1)="F",1,0)))),IF(Paramètres!N21="",0,IF(Paramètres!O21="",NA(),IF(LEFT(TRIM(Paramètres!O21),1)="F",INDEX($F$167:$F$219,MATCH(Paramètres!N21,Paramètres!$G$5:$G$57,0)),INDEX($E$167:$E$219,MATCH(Paramètres!N21,Paramètres!$G$5:$G$57,0)))+IF(RIGHT(TRIM(Paramètres!O21),3)="Fin",1-$H183,IF(LEFT(TRIM(Paramètres!O21),1)="F",1,0)))))))</f>
        <v/>
      </c>
      <c r="F183" s="19">
        <f>IF($A183="","",E183+$H183-1)</f>
        <v/>
      </c>
      <c r="G183" s="18" t="n"/>
      <c r="H183" s="18">
        <f>IF($A183="","",IF(I183&lt;&gt;"",I183,Paramètres!B21))</f>
        <v/>
      </c>
      <c r="I183" s="18" t="n"/>
    </row>
    <row r="184">
      <c r="A184" s="18">
        <f>IF(ISNUMBER(Dossiers!$D$7),Dossiers!$A$7&amp;" · "&amp;Dossiers!$B$7,"")</f>
        <v/>
      </c>
      <c r="B184" s="18">
        <f>IF($A184="","",Paramètres!G22)</f>
        <v/>
      </c>
      <c r="C184" s="18">
        <f>IF($A184="","",IF(Paramètres!H22="","",Paramètres!H22))</f>
        <v/>
      </c>
      <c r="D184" s="18">
        <f>IF($A184="","",IF(Paramètres!I22="","",Paramètres!I22))</f>
        <v/>
      </c>
      <c r="E184" s="19">
        <f>IF($A184="","",IF(Paramètres!J22&amp;Paramètres!L22&amp;Paramètres!N22="",Dossiers!$D$7,MAX(IF(Paramètres!J22="",0,IF(Paramètres!K22="",NA(),IF(LEFT(TRIM(Paramètres!K22),1)="F",INDEX($F$167:$F$219,MATCH(Paramètres!J22,Paramètres!$G$5:$G$57,0)),INDEX($E$167:$E$219,MATCH(Paramètres!J22,Paramètres!$G$5:$G$57,0)))+IF(RIGHT(TRIM(Paramètres!K22),3)="Fin",1-$H184,IF(LEFT(TRIM(Paramètres!K22),1)="F",1,0)))),IF(Paramètres!L22="",0,IF(Paramètres!M22="",NA(),IF(LEFT(TRIM(Paramètres!M22),1)="F",INDEX($F$167:$F$219,MATCH(Paramètres!L22,Paramètres!$G$5:$G$57,0)),INDEX($E$167:$E$219,MATCH(Paramètres!L22,Paramètres!$G$5:$G$57,0)))+IF(RIGHT(TRIM(Paramètres!M22),3)="Fin",1-$H184,IF(LEFT(TRIM(Paramètres!M22),1)="F",1,0)))),IF(Paramètres!N22="",0,IF(Paramètres!O22="",NA(),IF(LEFT(TRIM(Paramètres!O22),1)="F",INDEX($F$167:$F$219,MATCH(Paramètres!N22,Paramètres!$G$5:$G$57,0)),INDEX($E$167:$E$219,MATCH(Paramètres!N22,Paramètres!$G$5:$G$57,0)))+IF(RIGHT(TRIM(Paramètres!O22),3)="Fin",1-$H184,IF(LEFT(TRIM(Paramètres!O22),1)="F",1,0)))))))</f>
        <v/>
      </c>
      <c r="F184" s="19">
        <f>IF($A184="","",E184+$H184-1)</f>
        <v/>
      </c>
      <c r="G184" s="18" t="n"/>
      <c r="H184" s="18">
        <f>IF($A184="","",IF(I184&lt;&gt;"",I184,Paramètres!B22))</f>
        <v/>
      </c>
      <c r="I184" s="18" t="n"/>
    </row>
    <row r="185">
      <c r="A185" s="18">
        <f>IF(ISNUMBER(Dossiers!$D$7),Dossiers!$A$7&amp;" · "&amp;Dossiers!$B$7,"")</f>
        <v/>
      </c>
      <c r="B185" s="18">
        <f>IF($A185="","",Paramètres!G23)</f>
        <v/>
      </c>
      <c r="C185" s="18">
        <f>IF($A185="","",IF(Paramètres!H23="","",Paramètres!H23))</f>
        <v/>
      </c>
      <c r="D185" s="18">
        <f>IF($A185="","",IF(Paramètres!I23="","",Paramètres!I23))</f>
        <v/>
      </c>
      <c r="E185" s="19">
        <f>IF($A185="","",IF(Paramètres!J23&amp;Paramètres!L23&amp;Paramètres!N23="",Dossiers!$D$7,MAX(IF(Paramètres!J23="",0,IF(Paramètres!K23="",NA(),IF(LEFT(TRIM(Paramètres!K23),1)="F",INDEX($F$167:$F$219,MATCH(Paramètres!J23,Paramètres!$G$5:$G$57,0)),INDEX($E$167:$E$219,MATCH(Paramètres!J23,Paramètres!$G$5:$G$57,0)))+IF(RIGHT(TRIM(Paramètres!K23),3)="Fin",1-$H185,IF(LEFT(TRIM(Paramètres!K23),1)="F",1,0)))),IF(Paramètres!L23="",0,IF(Paramètres!M23="",NA(),IF(LEFT(TRIM(Paramètres!M23),1)="F",INDEX($F$167:$F$219,MATCH(Paramètres!L23,Paramètres!$G$5:$G$57,0)),INDEX($E$167:$E$219,MATCH(Paramètres!L23,Paramètres!$G$5:$G$57,0)))+IF(RIGHT(TRIM(Paramètres!M23),3)="Fin",1-$H185,IF(LEFT(TRIM(Paramètres!M23),1)="F",1,0)))),IF(Paramètres!N23="",0,IF(Paramètres!O23="",NA(),IF(LEFT(TRIM(Paramètres!O23),1)="F",INDEX($F$167:$F$219,MATCH(Paramètres!N23,Paramètres!$G$5:$G$57,0)),INDEX($E$167:$E$219,MATCH(Paramètres!N23,Paramètres!$G$5:$G$57,0)))+IF(RIGHT(TRIM(Paramètres!O23),3)="Fin",1-$H185,IF(LEFT(TRIM(Paramètres!O23),1)="F",1,0)))))))</f>
        <v/>
      </c>
      <c r="F185" s="19">
        <f>IF($A185="","",E185+$H185-1)</f>
        <v/>
      </c>
      <c r="G185" s="18" t="n"/>
      <c r="H185" s="18">
        <f>IF($A185="","",IF(I185&lt;&gt;"",I185,Paramètres!B23))</f>
        <v/>
      </c>
      <c r="I185" s="18" t="n"/>
    </row>
    <row r="186">
      <c r="A186" s="18">
        <f>IF(ISNUMBER(Dossiers!$D$7),Dossiers!$A$7&amp;" · "&amp;Dossiers!$B$7,"")</f>
        <v/>
      </c>
      <c r="B186" s="18">
        <f>IF($A186="","",Paramètres!G24)</f>
        <v/>
      </c>
      <c r="C186" s="18">
        <f>IF($A186="","",IF(Paramètres!H24="","",Paramètres!H24))</f>
        <v/>
      </c>
      <c r="D186" s="18">
        <f>IF($A186="","",IF(Paramètres!I24="","",Paramètres!I24))</f>
        <v/>
      </c>
      <c r="E186" s="19">
        <f>IF($A186="","",IF(Paramètres!J24&amp;Paramètres!L24&amp;Paramètres!N24="",Dossiers!$D$7,MAX(IF(Paramètres!J24="",0,IF(Paramètres!K24="",NA(),IF(LEFT(TRIM(Paramètres!K24),1)="F",INDEX($F$167:$F$219,MATCH(Paramètres!J24,Paramètres!$G$5:$G$57,0)),INDEX($E$167:$E$219,MATCH(Paramètres!J24,Paramètres!$G$5:$G$57,0)))+IF(RIGHT(TRIM(Paramètres!K24),3)="Fin",1-$H186,IF(LEFT(TRIM(Paramètres!K24),1)="F",1,0)))),IF(Paramètres!L24="",0,IF(Paramètres!M24="",NA(),IF(LEFT(TRIM(Paramètres!M24),1)="F",INDEX($F$167:$F$219,MATCH(Paramètres!L24,Paramètres!$G$5:$G$57,0)),INDEX($E$167:$E$219,MATCH(Paramètres!L24,Paramètres!$G$5:$G$57,0)))+IF(RIGHT(TRIM(Paramètres!M24),3)="Fin",1-$H186,IF(LEFT(TRIM(Paramètres!M24),1)="F",1,0)))),IF(Paramètres!N24="",0,IF(Paramètres!O24="",NA(),IF(LEFT(TRIM(Paramètres!O24),1)="F",INDEX($F$167:$F$219,MATCH(Paramètres!N24,Paramètres!$G$5:$G$57,0)),INDEX($E$167:$E$219,MATCH(Paramètres!N24,Paramètres!$G$5:$G$57,0)))+IF(RIGHT(TRIM(Paramètres!O24),3)="Fin",1-$H186,IF(LEFT(TRIM(Paramètres!O24),1)="F",1,0)))))))</f>
        <v/>
      </c>
      <c r="F186" s="19">
        <f>IF($A186="","",E186+$H186-1)</f>
        <v/>
      </c>
      <c r="G186" s="18" t="n"/>
      <c r="H186" s="18">
        <f>IF($A186="","",IF(I186&lt;&gt;"",I186,Paramètres!B24))</f>
        <v/>
      </c>
      <c r="I186" s="18" t="n"/>
    </row>
    <row r="187">
      <c r="A187" s="18">
        <f>IF(ISNUMBER(Dossiers!$D$7),Dossiers!$A$7&amp;" · "&amp;Dossiers!$B$7,"")</f>
        <v/>
      </c>
      <c r="B187" s="18">
        <f>IF($A187="","",Paramètres!G25)</f>
        <v/>
      </c>
      <c r="C187" s="18">
        <f>IF($A187="","",IF(Paramètres!H25="","",Paramètres!H25))</f>
        <v/>
      </c>
      <c r="D187" s="18">
        <f>IF($A187="","",IF(Paramètres!I25="","",Paramètres!I25))</f>
        <v/>
      </c>
      <c r="E187" s="19">
        <f>IF($A187="","",IF(Paramètres!J25&amp;Paramètres!L25&amp;Paramètres!N25="",Dossiers!$D$7,MAX(IF(Paramètres!J25="",0,IF(Paramètres!K25="",NA(),IF(LEFT(TRIM(Paramètres!K25),1)="F",INDEX($F$167:$F$219,MATCH(Paramètres!J25,Paramètres!$G$5:$G$57,0)),INDEX($E$167:$E$219,MATCH(Paramètres!J25,Paramètres!$G$5:$G$57,0)))+IF(RIGHT(TRIM(Paramètres!K25),3)="Fin",1-$H187,IF(LEFT(TRIM(Paramètres!K25),1)="F",1,0)))),IF(Paramètres!L25="",0,IF(Paramètres!M25="",NA(),IF(LEFT(TRIM(Paramètres!M25),1)="F",INDEX($F$167:$F$219,MATCH(Paramètres!L25,Paramètres!$G$5:$G$57,0)),INDEX($E$167:$E$219,MATCH(Paramètres!L25,Paramètres!$G$5:$G$57,0)))+IF(RIGHT(TRIM(Paramètres!M25),3)="Fin",1-$H187,IF(LEFT(TRIM(Paramètres!M25),1)="F",1,0)))),IF(Paramètres!N25="",0,IF(Paramètres!O25="",NA(),IF(LEFT(TRIM(Paramètres!O25),1)="F",INDEX($F$167:$F$219,MATCH(Paramètres!N25,Paramètres!$G$5:$G$57,0)),INDEX($E$167:$E$219,MATCH(Paramètres!N25,Paramètres!$G$5:$G$57,0)))+IF(RIGHT(TRIM(Paramètres!O25),3)="Fin",1-$H187,IF(LEFT(TRIM(Paramètres!O25),1)="F",1,0)))))))</f>
        <v/>
      </c>
      <c r="F187" s="19">
        <f>IF($A187="","",E187+$H187-1)</f>
        <v/>
      </c>
      <c r="G187" s="18" t="n"/>
      <c r="H187" s="18">
        <f>IF($A187="","",IF(I187&lt;&gt;"",I187,Paramètres!B25))</f>
        <v/>
      </c>
      <c r="I187" s="18" t="n"/>
    </row>
    <row r="188">
      <c r="A188" s="18">
        <f>IF(ISNUMBER(Dossiers!$D$7),Dossiers!$A$7&amp;" · "&amp;Dossiers!$B$7,"")</f>
        <v/>
      </c>
      <c r="B188" s="18">
        <f>IF($A188="","",Paramètres!G26)</f>
        <v/>
      </c>
      <c r="C188" s="18">
        <f>IF($A188="","",IF(Paramètres!H26="","",Paramètres!H26))</f>
        <v/>
      </c>
      <c r="D188" s="18">
        <f>IF($A188="","",IF(Paramètres!I26="","",Paramètres!I26))</f>
        <v/>
      </c>
      <c r="E188" s="19">
        <f>IF($A188="","",IF(Paramètres!J26&amp;Paramètres!L26&amp;Paramètres!N26="",Dossiers!$D$7,MAX(IF(Paramètres!J26="",0,IF(Paramètres!K26="",NA(),IF(LEFT(TRIM(Paramètres!K26),1)="F",INDEX($F$167:$F$219,MATCH(Paramètres!J26,Paramètres!$G$5:$G$57,0)),INDEX($E$167:$E$219,MATCH(Paramètres!J26,Paramètres!$G$5:$G$57,0)))+IF(RIGHT(TRIM(Paramètres!K26),3)="Fin",1-$H188,IF(LEFT(TRIM(Paramètres!K26),1)="F",1,0)))),IF(Paramètres!L26="",0,IF(Paramètres!M26="",NA(),IF(LEFT(TRIM(Paramètres!M26),1)="F",INDEX($F$167:$F$219,MATCH(Paramètres!L26,Paramètres!$G$5:$G$57,0)),INDEX($E$167:$E$219,MATCH(Paramètres!L26,Paramètres!$G$5:$G$57,0)))+IF(RIGHT(TRIM(Paramètres!M26),3)="Fin",1-$H188,IF(LEFT(TRIM(Paramètres!M26),1)="F",1,0)))),IF(Paramètres!N26="",0,IF(Paramètres!O26="",NA(),IF(LEFT(TRIM(Paramètres!O26),1)="F",INDEX($F$167:$F$219,MATCH(Paramètres!N26,Paramètres!$G$5:$G$57,0)),INDEX($E$167:$E$219,MATCH(Paramètres!N26,Paramètres!$G$5:$G$57,0)))+IF(RIGHT(TRIM(Paramètres!O26),3)="Fin",1-$H188,IF(LEFT(TRIM(Paramètres!O26),1)="F",1,0)))))))</f>
        <v/>
      </c>
      <c r="F188" s="19">
        <f>IF($A188="","",E188+$H188-1)</f>
        <v/>
      </c>
      <c r="G188" s="18" t="n"/>
      <c r="H188" s="18">
        <f>IF($A188="","",IF(I188&lt;&gt;"",I188,Paramètres!B26))</f>
        <v/>
      </c>
      <c r="I188" s="18" t="n"/>
    </row>
    <row r="189">
      <c r="A189" s="18">
        <f>IF(ISNUMBER(Dossiers!$D$7),Dossiers!$A$7&amp;" · "&amp;Dossiers!$B$7,"")</f>
        <v/>
      </c>
      <c r="B189" s="18">
        <f>IF($A189="","",Paramètres!G27)</f>
        <v/>
      </c>
      <c r="C189" s="18">
        <f>IF($A189="","",IF(Paramètres!H27="","",Paramètres!H27))</f>
        <v/>
      </c>
      <c r="D189" s="18">
        <f>IF($A189="","",IF(Paramètres!I27="","",Paramètres!I27))</f>
        <v/>
      </c>
      <c r="E189" s="19">
        <f>IF($A189="","",IF(Paramètres!J27&amp;Paramètres!L27&amp;Paramètres!N27="",Dossiers!$D$7,MAX(IF(Paramètres!J27="",0,IF(Paramètres!K27="",NA(),IF(LEFT(TRIM(Paramètres!K27),1)="F",INDEX($F$167:$F$219,MATCH(Paramètres!J27,Paramètres!$G$5:$G$57,0)),INDEX($E$167:$E$219,MATCH(Paramètres!J27,Paramètres!$G$5:$G$57,0)))+IF(RIGHT(TRIM(Paramètres!K27),3)="Fin",1-$H189,IF(LEFT(TRIM(Paramètres!K27),1)="F",1,0)))),IF(Paramètres!L27="",0,IF(Paramètres!M27="",NA(),IF(LEFT(TRIM(Paramètres!M27),1)="F",INDEX($F$167:$F$219,MATCH(Paramètres!L27,Paramètres!$G$5:$G$57,0)),INDEX($E$167:$E$219,MATCH(Paramètres!L27,Paramètres!$G$5:$G$57,0)))+IF(RIGHT(TRIM(Paramètres!M27),3)="Fin",1-$H189,IF(LEFT(TRIM(Paramètres!M27),1)="F",1,0)))),IF(Paramètres!N27="",0,IF(Paramètres!O27="",NA(),IF(LEFT(TRIM(Paramètres!O27),1)="F",INDEX($F$167:$F$219,MATCH(Paramètres!N27,Paramètres!$G$5:$G$57,0)),INDEX($E$167:$E$219,MATCH(Paramètres!N27,Paramètres!$G$5:$G$57,0)))+IF(RIGHT(TRIM(Paramètres!O27),3)="Fin",1-$H189,IF(LEFT(TRIM(Paramètres!O27),1)="F",1,0)))))))</f>
        <v/>
      </c>
      <c r="F189" s="19">
        <f>IF($A189="","",E189+$H189-1)</f>
        <v/>
      </c>
      <c r="G189" s="18" t="n"/>
      <c r="H189" s="18">
        <f>IF($A189="","",IF(I189&lt;&gt;"",I189,Paramètres!B27))</f>
        <v/>
      </c>
      <c r="I189" s="18" t="n"/>
    </row>
    <row r="190">
      <c r="A190" s="18">
        <f>IF(ISNUMBER(Dossiers!$D$7),Dossiers!$A$7&amp;" · "&amp;Dossiers!$B$7,"")</f>
        <v/>
      </c>
      <c r="B190" s="18">
        <f>IF($A190="","",Paramètres!G28)</f>
        <v/>
      </c>
      <c r="C190" s="18">
        <f>IF($A190="","",IF(Paramètres!H28="","",Paramètres!H28))</f>
        <v/>
      </c>
      <c r="D190" s="18">
        <f>IF($A190="","",IF(Paramètres!I28="","",Paramètres!I28))</f>
        <v/>
      </c>
      <c r="E190" s="19">
        <f>IF($A190="","",IF(Paramètres!J28&amp;Paramètres!L28&amp;Paramètres!N28="",Dossiers!$D$7,MAX(IF(Paramètres!J28="",0,IF(Paramètres!K28="",NA(),IF(LEFT(TRIM(Paramètres!K28),1)="F",INDEX($F$167:$F$219,MATCH(Paramètres!J28,Paramètres!$G$5:$G$57,0)),INDEX($E$167:$E$219,MATCH(Paramètres!J28,Paramètres!$G$5:$G$57,0)))+IF(RIGHT(TRIM(Paramètres!K28),3)="Fin",1-$H190,IF(LEFT(TRIM(Paramètres!K28),1)="F",1,0)))),IF(Paramètres!L28="",0,IF(Paramètres!M28="",NA(),IF(LEFT(TRIM(Paramètres!M28),1)="F",INDEX($F$167:$F$219,MATCH(Paramètres!L28,Paramètres!$G$5:$G$57,0)),INDEX($E$167:$E$219,MATCH(Paramètres!L28,Paramètres!$G$5:$G$57,0)))+IF(RIGHT(TRIM(Paramètres!M28),3)="Fin",1-$H190,IF(LEFT(TRIM(Paramètres!M28),1)="F",1,0)))),IF(Paramètres!N28="",0,IF(Paramètres!O28="",NA(),IF(LEFT(TRIM(Paramètres!O28),1)="F",INDEX($F$167:$F$219,MATCH(Paramètres!N28,Paramètres!$G$5:$G$57,0)),INDEX($E$167:$E$219,MATCH(Paramètres!N28,Paramètres!$G$5:$G$57,0)))+IF(RIGHT(TRIM(Paramètres!O28),3)="Fin",1-$H190,IF(LEFT(TRIM(Paramètres!O28),1)="F",1,0)))))))</f>
        <v/>
      </c>
      <c r="F190" s="19">
        <f>IF($A190="","",E190+$H190-1)</f>
        <v/>
      </c>
      <c r="G190" s="18" t="n"/>
      <c r="H190" s="18">
        <f>IF($A190="","",IF(I190&lt;&gt;"",I190,Paramètres!B28))</f>
        <v/>
      </c>
      <c r="I190" s="18" t="n"/>
    </row>
    <row r="191">
      <c r="A191" s="18">
        <f>IF(ISNUMBER(Dossiers!$D$7),Dossiers!$A$7&amp;" · "&amp;Dossiers!$B$7,"")</f>
        <v/>
      </c>
      <c r="B191" s="18">
        <f>IF($A191="","",Paramètres!G29)</f>
        <v/>
      </c>
      <c r="C191" s="18">
        <f>IF($A191="","",IF(Paramètres!H29="","",Paramètres!H29))</f>
        <v/>
      </c>
      <c r="D191" s="18">
        <f>IF($A191="","",IF(Paramètres!I29="","",Paramètres!I29))</f>
        <v/>
      </c>
      <c r="E191" s="19">
        <f>IF($A191="","",IF(Paramètres!J29&amp;Paramètres!L29&amp;Paramètres!N29="",Dossiers!$D$7,MAX(IF(Paramètres!J29="",0,IF(Paramètres!K29="",NA(),IF(LEFT(TRIM(Paramètres!K29),1)="F",INDEX($F$167:$F$219,MATCH(Paramètres!J29,Paramètres!$G$5:$G$57,0)),INDEX($E$167:$E$219,MATCH(Paramètres!J29,Paramètres!$G$5:$G$57,0)))+IF(RIGHT(TRIM(Paramètres!K29),3)="Fin",1-$H191,IF(LEFT(TRIM(Paramètres!K29),1)="F",1,0)))),IF(Paramètres!L29="",0,IF(Paramètres!M29="",NA(),IF(LEFT(TRIM(Paramètres!M29),1)="F",INDEX($F$167:$F$219,MATCH(Paramètres!L29,Paramètres!$G$5:$G$57,0)),INDEX($E$167:$E$219,MATCH(Paramètres!L29,Paramètres!$G$5:$G$57,0)))+IF(RIGHT(TRIM(Paramètres!M29),3)="Fin",1-$H191,IF(LEFT(TRIM(Paramètres!M29),1)="F",1,0)))),IF(Paramètres!N29="",0,IF(Paramètres!O29="",NA(),IF(LEFT(TRIM(Paramètres!O29),1)="F",INDEX($F$167:$F$219,MATCH(Paramètres!N29,Paramètres!$G$5:$G$57,0)),INDEX($E$167:$E$219,MATCH(Paramètres!N29,Paramètres!$G$5:$G$57,0)))+IF(RIGHT(TRIM(Paramètres!O29),3)="Fin",1-$H191,IF(LEFT(TRIM(Paramètres!O29),1)="F",1,0)))))))</f>
        <v/>
      </c>
      <c r="F191" s="19">
        <f>IF($A191="","",E191+$H191-1)</f>
        <v/>
      </c>
      <c r="G191" s="18" t="n"/>
      <c r="H191" s="18">
        <f>IF($A191="","",IF(I191&lt;&gt;"",I191,Paramètres!B29))</f>
        <v/>
      </c>
      <c r="I191" s="18" t="n"/>
    </row>
    <row r="192">
      <c r="A192" s="18">
        <f>IF(ISNUMBER(Dossiers!$D$7),Dossiers!$A$7&amp;" · "&amp;Dossiers!$B$7,"")</f>
        <v/>
      </c>
      <c r="B192" s="18">
        <f>IF($A192="","",Paramètres!G30)</f>
        <v/>
      </c>
      <c r="C192" s="18">
        <f>IF($A192="","",IF(Paramètres!H30="","",Paramètres!H30))</f>
        <v/>
      </c>
      <c r="D192" s="18">
        <f>IF($A192="","",IF(Paramètres!I30="","",Paramètres!I30))</f>
        <v/>
      </c>
      <c r="E192" s="19">
        <f>IF($A192="","",IF(Paramètres!J30&amp;Paramètres!L30&amp;Paramètres!N30="",Dossiers!$D$7,MAX(IF(Paramètres!J30="",0,IF(Paramètres!K30="",NA(),IF(LEFT(TRIM(Paramètres!K30),1)="F",INDEX($F$167:$F$219,MATCH(Paramètres!J30,Paramètres!$G$5:$G$57,0)),INDEX($E$167:$E$219,MATCH(Paramètres!J30,Paramètres!$G$5:$G$57,0)))+IF(RIGHT(TRIM(Paramètres!K30),3)="Fin",1-$H192,IF(LEFT(TRIM(Paramètres!K30),1)="F",1,0)))),IF(Paramètres!L30="",0,IF(Paramètres!M30="",NA(),IF(LEFT(TRIM(Paramètres!M30),1)="F",INDEX($F$167:$F$219,MATCH(Paramètres!L30,Paramètres!$G$5:$G$57,0)),INDEX($E$167:$E$219,MATCH(Paramètres!L30,Paramètres!$G$5:$G$57,0)))+IF(RIGHT(TRIM(Paramètres!M30),3)="Fin",1-$H192,IF(LEFT(TRIM(Paramètres!M30),1)="F",1,0)))),IF(Paramètres!N30="",0,IF(Paramètres!O30="",NA(),IF(LEFT(TRIM(Paramètres!O30),1)="F",INDEX($F$167:$F$219,MATCH(Paramètres!N30,Paramètres!$G$5:$G$57,0)),INDEX($E$167:$E$219,MATCH(Paramètres!N30,Paramètres!$G$5:$G$57,0)))+IF(RIGHT(TRIM(Paramètres!O30),3)="Fin",1-$H192,IF(LEFT(TRIM(Paramètres!O30),1)="F",1,0)))))))</f>
        <v/>
      </c>
      <c r="F192" s="19">
        <f>IF($A192="","",E192+$H192-1)</f>
        <v/>
      </c>
      <c r="G192" s="18" t="n"/>
      <c r="H192" s="18">
        <f>IF($A192="","",IF(I192&lt;&gt;"",I192,Paramètres!B30))</f>
        <v/>
      </c>
      <c r="I192" s="18" t="n"/>
    </row>
    <row r="193">
      <c r="A193" s="18">
        <f>IF(ISNUMBER(Dossiers!$D$7),Dossiers!$A$7&amp;" · "&amp;Dossiers!$B$7,"")</f>
        <v/>
      </c>
      <c r="B193" s="18">
        <f>IF($A193="","",Paramètres!G31)</f>
        <v/>
      </c>
      <c r="C193" s="20">
        <f>IF($A193="","",IF(Dossiers!$F$7="","",Dossiers!$F$7))</f>
        <v/>
      </c>
      <c r="D193" s="18">
        <f>IF($A193="","",IF(Paramètres!I31="","",Paramètres!I31))</f>
        <v/>
      </c>
      <c r="E193" s="19">
        <f>IF($A193="","",IF(Paramètres!J31&amp;Paramètres!L31&amp;Paramètres!N31="",Dossiers!$D$7,MAX(IF(Paramètres!J31="",0,IF(Paramètres!K31="",NA(),IF(LEFT(TRIM(Paramètres!K31),1)="F",INDEX($F$167:$F$219,MATCH(Paramètres!J31,Paramètres!$G$5:$G$57,0)),INDEX($E$167:$E$219,MATCH(Paramètres!J31,Paramètres!$G$5:$G$57,0)))+IF(RIGHT(TRIM(Paramètres!K31),3)="Fin",1-$H193,IF(LEFT(TRIM(Paramètres!K31),1)="F",1,0)))),IF(Paramètres!L31="",0,IF(Paramètres!M31="",NA(),IF(LEFT(TRIM(Paramètres!M31),1)="F",INDEX($F$167:$F$219,MATCH(Paramètres!L31,Paramètres!$G$5:$G$57,0)),INDEX($E$167:$E$219,MATCH(Paramètres!L31,Paramètres!$G$5:$G$57,0)))+IF(RIGHT(TRIM(Paramètres!M31),3)="Fin",1-$H193,IF(LEFT(TRIM(Paramètres!M31),1)="F",1,0)))),IF(Paramètres!N31="",0,IF(Paramètres!O31="",NA(),IF(LEFT(TRIM(Paramètres!O31),1)="F",INDEX($F$167:$F$219,MATCH(Paramètres!N31,Paramètres!$G$5:$G$57,0)),INDEX($E$167:$E$219,MATCH(Paramètres!N31,Paramètres!$G$5:$G$57,0)))+IF(RIGHT(TRIM(Paramètres!O31),3)="Fin",1-$H193,IF(LEFT(TRIM(Paramètres!O31),1)="F",1,0)))))))</f>
        <v/>
      </c>
      <c r="F193" s="19">
        <f>IF($A193="","",E193+$H193-1)</f>
        <v/>
      </c>
      <c r="G193" s="18" t="n"/>
      <c r="H193" s="18">
        <f>IF($A193="","",IF(I193&lt;&gt;"",I193,Paramètres!B31))</f>
        <v/>
      </c>
      <c r="I193" s="18" t="n"/>
    </row>
    <row r="194">
      <c r="A194" s="18">
        <f>IF(ISNUMBER(Dossiers!$D$7),Dossiers!$A$7&amp;" · "&amp;Dossiers!$B$7,"")</f>
        <v/>
      </c>
      <c r="B194" s="18">
        <f>IF($A194="","",Paramètres!G32)</f>
        <v/>
      </c>
      <c r="C194" s="18">
        <f>IF($A194="","",IF(Paramètres!H32="","",Paramètres!H32))</f>
        <v/>
      </c>
      <c r="D194" s="18">
        <f>IF($A194="","",IF(Paramètres!I32="","",Paramètres!I32))</f>
        <v/>
      </c>
      <c r="E194" s="19">
        <f>IF($A194="","",MIN(E195:E198))</f>
        <v/>
      </c>
      <c r="F194" s="19">
        <f>IF($A194="","",MAX(F195:F198))</f>
        <v/>
      </c>
      <c r="G194" s="18" t="n"/>
      <c r="H194" s="18">
        <f>IF($A194="","",F194-E194+1)</f>
        <v/>
      </c>
      <c r="I194" s="18" t="n"/>
    </row>
    <row r="195">
      <c r="A195" s="18">
        <f>IF(ISNUMBER(Dossiers!$D$7),Dossiers!$A$7&amp;" · "&amp;Dossiers!$B$7,"")</f>
        <v/>
      </c>
      <c r="B195" s="18">
        <f>IF($A195="","",Paramètres!G33)</f>
        <v/>
      </c>
      <c r="C195" s="18">
        <f>IF($A195="","",IF(Paramètres!H33="","",Paramètres!H33))</f>
        <v/>
      </c>
      <c r="D195" s="18">
        <f>IF($A195="","",IF(Paramètres!I33="","",Paramètres!I33))</f>
        <v/>
      </c>
      <c r="E195" s="19">
        <f>IF($A195="","",IF(Paramètres!J33&amp;Paramètres!L33&amp;Paramètres!N33="",Dossiers!$D$7,MAX(IF(Paramètres!J33="",0,IF(Paramètres!K33="",NA(),IF(LEFT(TRIM(Paramètres!K33),1)="F",INDEX($F$167:$F$219,MATCH(Paramètres!J33,Paramètres!$G$5:$G$57,0)),INDEX($E$167:$E$219,MATCH(Paramètres!J33,Paramètres!$G$5:$G$57,0)))+IF(RIGHT(TRIM(Paramètres!K33),3)="Fin",1-$H195,IF(LEFT(TRIM(Paramètres!K33),1)="F",1,0)))),IF(Paramètres!L33="",0,IF(Paramètres!M33="",NA(),IF(LEFT(TRIM(Paramètres!M33),1)="F",INDEX($F$167:$F$219,MATCH(Paramètres!L33,Paramètres!$G$5:$G$57,0)),INDEX($E$167:$E$219,MATCH(Paramètres!L33,Paramètres!$G$5:$G$57,0)))+IF(RIGHT(TRIM(Paramètres!M33),3)="Fin",1-$H195,IF(LEFT(TRIM(Paramètres!M33),1)="F",1,0)))),IF(Paramètres!N33="",0,IF(Paramètres!O33="",NA(),IF(LEFT(TRIM(Paramètres!O33),1)="F",INDEX($F$167:$F$219,MATCH(Paramètres!N33,Paramètres!$G$5:$G$57,0)),INDEX($E$167:$E$219,MATCH(Paramètres!N33,Paramètres!$G$5:$G$57,0)))+IF(RIGHT(TRIM(Paramètres!O33),3)="Fin",1-$H195,IF(LEFT(TRIM(Paramètres!O33),1)="F",1,0)))))))</f>
        <v/>
      </c>
      <c r="F195" s="19">
        <f>IF($A195="","",E195+$H195-1)</f>
        <v/>
      </c>
      <c r="G195" s="18" t="n"/>
      <c r="H195" s="18">
        <f>IF($A195="","",IF(I195&lt;&gt;"",I195,Paramètres!B33))</f>
        <v/>
      </c>
      <c r="I195" s="18" t="n"/>
    </row>
    <row r="196">
      <c r="A196" s="18">
        <f>IF(ISNUMBER(Dossiers!$D$7),Dossiers!$A$7&amp;" · "&amp;Dossiers!$B$7,"")</f>
        <v/>
      </c>
      <c r="B196" s="18">
        <f>IF($A196="","",Paramètres!G34)</f>
        <v/>
      </c>
      <c r="C196" s="18">
        <f>IF($A196="","",IF(Paramètres!H34="","",Paramètres!H34))</f>
        <v/>
      </c>
      <c r="D196" s="18">
        <f>IF($A196="","",IF(Paramètres!I34="","",Paramètres!I34))</f>
        <v/>
      </c>
      <c r="E196" s="19">
        <f>IF($A196="","",IF(Paramètres!J34&amp;Paramètres!L34&amp;Paramètres!N34="",Dossiers!$D$7,MAX(IF(Paramètres!J34="",0,IF(Paramètres!K34="",NA(),IF(LEFT(TRIM(Paramètres!K34),1)="F",INDEX($F$167:$F$219,MATCH(Paramètres!J34,Paramètres!$G$5:$G$57,0)),INDEX($E$167:$E$219,MATCH(Paramètres!J34,Paramètres!$G$5:$G$57,0)))+IF(RIGHT(TRIM(Paramètres!K34),3)="Fin",1-$H196,IF(LEFT(TRIM(Paramètres!K34),1)="F",1,0)))),IF(Paramètres!L34="",0,IF(Paramètres!M34="",NA(),IF(LEFT(TRIM(Paramètres!M34),1)="F",INDEX($F$167:$F$219,MATCH(Paramètres!L34,Paramètres!$G$5:$G$57,0)),INDEX($E$167:$E$219,MATCH(Paramètres!L34,Paramètres!$G$5:$G$57,0)))+IF(RIGHT(TRIM(Paramètres!M34),3)="Fin",1-$H196,IF(LEFT(TRIM(Paramètres!M34),1)="F",1,0)))),IF(Paramètres!N34="",0,IF(Paramètres!O34="",NA(),IF(LEFT(TRIM(Paramètres!O34),1)="F",INDEX($F$167:$F$219,MATCH(Paramètres!N34,Paramètres!$G$5:$G$57,0)),INDEX($E$167:$E$219,MATCH(Paramètres!N34,Paramètres!$G$5:$G$57,0)))+IF(RIGHT(TRIM(Paramètres!O34),3)="Fin",1-$H196,IF(LEFT(TRIM(Paramètres!O34),1)="F",1,0)))))))</f>
        <v/>
      </c>
      <c r="F196" s="19">
        <f>IF($A196="","",E196+$H196-1)</f>
        <v/>
      </c>
      <c r="G196" s="18" t="n"/>
      <c r="H196" s="18">
        <f>IF($A196="","",IF(I196&lt;&gt;"",I196,Paramètres!B34))</f>
        <v/>
      </c>
      <c r="I196" s="18" t="n"/>
    </row>
    <row r="197">
      <c r="A197" s="18">
        <f>IF(ISNUMBER(Dossiers!$D$7),Dossiers!$A$7&amp;" · "&amp;Dossiers!$B$7,"")</f>
        <v/>
      </c>
      <c r="B197" s="18">
        <f>IF($A197="","",Paramètres!G35)</f>
        <v/>
      </c>
      <c r="C197" s="18">
        <f>IF($A197="","",IF(Paramètres!H35="","",Paramètres!H35))</f>
        <v/>
      </c>
      <c r="D197" s="18">
        <f>IF($A197="","",IF(Paramètres!I35="","",Paramètres!I35))</f>
        <v/>
      </c>
      <c r="E197" s="19">
        <f>IF($A197="","",IF(Paramètres!J35&amp;Paramètres!L35&amp;Paramètres!N35="",Dossiers!$D$7,MAX(IF(Paramètres!J35="",0,IF(Paramètres!K35="",NA(),IF(LEFT(TRIM(Paramètres!K35),1)="F",INDEX($F$167:$F$219,MATCH(Paramètres!J35,Paramètres!$G$5:$G$57,0)),INDEX($E$167:$E$219,MATCH(Paramètres!J35,Paramètres!$G$5:$G$57,0)))+IF(RIGHT(TRIM(Paramètres!K35),3)="Fin",1-$H197,IF(LEFT(TRIM(Paramètres!K35),1)="F",1,0)))),IF(Paramètres!L35="",0,IF(Paramètres!M35="",NA(),IF(LEFT(TRIM(Paramètres!M35),1)="F",INDEX($F$167:$F$219,MATCH(Paramètres!L35,Paramètres!$G$5:$G$57,0)),INDEX($E$167:$E$219,MATCH(Paramètres!L35,Paramètres!$G$5:$G$57,0)))+IF(RIGHT(TRIM(Paramètres!M35),3)="Fin",1-$H197,IF(LEFT(TRIM(Paramètres!M35),1)="F",1,0)))),IF(Paramètres!N35="",0,IF(Paramètres!O35="",NA(),IF(LEFT(TRIM(Paramètres!O35),1)="F",INDEX($F$167:$F$219,MATCH(Paramètres!N35,Paramètres!$G$5:$G$57,0)),INDEX($E$167:$E$219,MATCH(Paramètres!N35,Paramètres!$G$5:$G$57,0)))+IF(RIGHT(TRIM(Paramètres!O35),3)="Fin",1-$H197,IF(LEFT(TRIM(Paramètres!O35),1)="F",1,0)))))))</f>
        <v/>
      </c>
      <c r="F197" s="19">
        <f>IF($A197="","",E197+$H197-1)</f>
        <v/>
      </c>
      <c r="G197" s="18" t="n"/>
      <c r="H197" s="18">
        <f>IF($A197="","",IF(I197&lt;&gt;"",I197,Paramètres!B35))</f>
        <v/>
      </c>
      <c r="I197" s="18" t="n"/>
    </row>
    <row r="198">
      <c r="A198" s="18">
        <f>IF(ISNUMBER(Dossiers!$D$7),Dossiers!$A$7&amp;" · "&amp;Dossiers!$B$7,"")</f>
        <v/>
      </c>
      <c r="B198" s="18">
        <f>IF($A198="","",Paramètres!G36)</f>
        <v/>
      </c>
      <c r="C198" s="18">
        <f>IF($A198="","",IF(Paramètres!H36="","",Paramètres!H36))</f>
        <v/>
      </c>
      <c r="D198" s="18">
        <f>IF($A198="","",IF(Paramètres!I36="","",Paramètres!I36))</f>
        <v/>
      </c>
      <c r="E198" s="19">
        <f>IF($A198="","",IF(Paramètres!J36&amp;Paramètres!L36&amp;Paramètres!N36="",Dossiers!$D$7,MAX(IF(Paramètres!J36="",0,IF(Paramètres!K36="",NA(),IF(LEFT(TRIM(Paramètres!K36),1)="F",INDEX($F$167:$F$219,MATCH(Paramètres!J36,Paramètres!$G$5:$G$57,0)),INDEX($E$167:$E$219,MATCH(Paramètres!J36,Paramètres!$G$5:$G$57,0)))+IF(RIGHT(TRIM(Paramètres!K36),3)="Fin",1-$H198,IF(LEFT(TRIM(Paramètres!K36),1)="F",1,0)))),IF(Paramètres!L36="",0,IF(Paramètres!M36="",NA(),IF(LEFT(TRIM(Paramètres!M36),1)="F",INDEX($F$167:$F$219,MATCH(Paramètres!L36,Paramètres!$G$5:$G$57,0)),INDEX($E$167:$E$219,MATCH(Paramètres!L36,Paramètres!$G$5:$G$57,0)))+IF(RIGHT(TRIM(Paramètres!M36),3)="Fin",1-$H198,IF(LEFT(TRIM(Paramètres!M36),1)="F",1,0)))),IF(Paramètres!N36="",0,IF(Paramètres!O36="",NA(),IF(LEFT(TRIM(Paramètres!O36),1)="F",INDEX($F$167:$F$219,MATCH(Paramètres!N36,Paramètres!$G$5:$G$57,0)),INDEX($E$167:$E$219,MATCH(Paramètres!N36,Paramètres!$G$5:$G$57,0)))+IF(RIGHT(TRIM(Paramètres!O36),3)="Fin",1-$H198,IF(LEFT(TRIM(Paramètres!O36),1)="F",1,0)))))))</f>
        <v/>
      </c>
      <c r="F198" s="19">
        <f>IF($A198="","",E198+$H198-1)</f>
        <v/>
      </c>
      <c r="G198" s="18" t="n"/>
      <c r="H198" s="18">
        <f>IF($A198="","",IF(I198&lt;&gt;"",I198,Paramètres!B36))</f>
        <v/>
      </c>
      <c r="I198" s="18" t="n"/>
    </row>
    <row r="199">
      <c r="A199" s="18">
        <f>IF(ISNUMBER(Dossiers!$D$7),Dossiers!$A$7&amp;" · "&amp;Dossiers!$B$7,"")</f>
        <v/>
      </c>
      <c r="B199" s="18">
        <f>IF($A199="","",Paramètres!G37)</f>
        <v/>
      </c>
      <c r="C199" s="18">
        <f>IF($A199="","",IF(Paramètres!H37="","",Paramètres!H37))</f>
        <v/>
      </c>
      <c r="D199" s="18">
        <f>IF($A199="","",IF(Paramètres!I37="","",Paramètres!I37))</f>
        <v/>
      </c>
      <c r="E199" s="19">
        <f>IF($A199="","",MIN(E200:E217))</f>
        <v/>
      </c>
      <c r="F199" s="19">
        <f>IF($A199="","",MAX(F200:F217))</f>
        <v/>
      </c>
      <c r="G199" s="18" t="n"/>
      <c r="H199" s="18">
        <f>IF($A199="","",F199-E199+1)</f>
        <v/>
      </c>
      <c r="I199" s="18" t="n"/>
    </row>
    <row r="200">
      <c r="A200" s="18">
        <f>IF(ISNUMBER(Dossiers!$D$7),Dossiers!$A$7&amp;" · "&amp;Dossiers!$B$7,"")</f>
        <v/>
      </c>
      <c r="B200" s="18">
        <f>IF($A200="","",Paramètres!G38)</f>
        <v/>
      </c>
      <c r="C200" s="18">
        <f>IF($A200="","",IF(Paramètres!H38="","",Paramètres!H38))</f>
        <v/>
      </c>
      <c r="D200" s="18">
        <f>IF($A200="","",IF(Paramètres!I38="","",Paramètres!I38))</f>
        <v/>
      </c>
      <c r="E200" s="19">
        <f>IF($A200="","",IF(Paramètres!J38&amp;Paramètres!L38&amp;Paramètres!N38="",Dossiers!$D$7,MAX(IF(Paramètres!J38="",0,IF(Paramètres!K38="",NA(),IF(LEFT(TRIM(Paramètres!K38),1)="F",INDEX($F$167:$F$219,MATCH(Paramètres!J38,Paramètres!$G$5:$G$57,0)),INDEX($E$167:$E$219,MATCH(Paramètres!J38,Paramètres!$G$5:$G$57,0)))+IF(RIGHT(TRIM(Paramètres!K38),3)="Fin",1-$H200,IF(LEFT(TRIM(Paramètres!K38),1)="F",1,0)))),IF(Paramètres!L38="",0,IF(Paramètres!M38="",NA(),IF(LEFT(TRIM(Paramètres!M38),1)="F",INDEX($F$167:$F$219,MATCH(Paramètres!L38,Paramètres!$G$5:$G$57,0)),INDEX($E$167:$E$219,MATCH(Paramètres!L38,Paramètres!$G$5:$G$57,0)))+IF(RIGHT(TRIM(Paramètres!M38),3)="Fin",1-$H200,IF(LEFT(TRIM(Paramètres!M38),1)="F",1,0)))),IF(Paramètres!N38="",0,IF(Paramètres!O38="",NA(),IF(LEFT(TRIM(Paramètres!O38),1)="F",INDEX($F$167:$F$219,MATCH(Paramètres!N38,Paramètres!$G$5:$G$57,0)),INDEX($E$167:$E$219,MATCH(Paramètres!N38,Paramètres!$G$5:$G$57,0)))+IF(RIGHT(TRIM(Paramètres!O38),3)="Fin",1-$H200,IF(LEFT(TRIM(Paramètres!O38),1)="F",1,0)))))))</f>
        <v/>
      </c>
      <c r="F200" s="19">
        <f>IF($A200="","",E200+$H200-1)</f>
        <v/>
      </c>
      <c r="G200" s="18" t="n"/>
      <c r="H200" s="18">
        <f>IF($A200="","",IF(I200&lt;&gt;"",I200,Paramètres!B38))</f>
        <v/>
      </c>
      <c r="I200" s="18" t="n"/>
    </row>
    <row r="201">
      <c r="A201" s="18">
        <f>IF(ISNUMBER(Dossiers!$D$7),Dossiers!$A$7&amp;" · "&amp;Dossiers!$B$7,"")</f>
        <v/>
      </c>
      <c r="B201" s="18">
        <f>IF($A201="","",Paramètres!G39)</f>
        <v/>
      </c>
      <c r="C201" s="18">
        <f>IF($A201="","",IF(Paramètres!H39="","",Paramètres!H39))</f>
        <v/>
      </c>
      <c r="D201" s="18">
        <f>IF($A201="","",IF(Paramètres!I39="","",Paramètres!I39))</f>
        <v/>
      </c>
      <c r="E201" s="19">
        <f>IF($A201="","",IF(Paramètres!J39&amp;Paramètres!L39&amp;Paramètres!N39="",Dossiers!$D$7,MAX(IF(Paramètres!J39="",0,IF(Paramètres!K39="",NA(),IF(LEFT(TRIM(Paramètres!K39),1)="F",INDEX($F$167:$F$219,MATCH(Paramètres!J39,Paramètres!$G$5:$G$57,0)),INDEX($E$167:$E$219,MATCH(Paramètres!J39,Paramètres!$G$5:$G$57,0)))+IF(RIGHT(TRIM(Paramètres!K39),3)="Fin",1-$H201,IF(LEFT(TRIM(Paramètres!K39),1)="F",1,0)))),IF(Paramètres!L39="",0,IF(Paramètres!M39="",NA(),IF(LEFT(TRIM(Paramètres!M39),1)="F",INDEX($F$167:$F$219,MATCH(Paramètres!L39,Paramètres!$G$5:$G$57,0)),INDEX($E$167:$E$219,MATCH(Paramètres!L39,Paramètres!$G$5:$G$57,0)))+IF(RIGHT(TRIM(Paramètres!M39),3)="Fin",1-$H201,IF(LEFT(TRIM(Paramètres!M39),1)="F",1,0)))),IF(Paramètres!N39="",0,IF(Paramètres!O39="",NA(),IF(LEFT(TRIM(Paramètres!O39),1)="F",INDEX($F$167:$F$219,MATCH(Paramètres!N39,Paramètres!$G$5:$G$57,0)),INDEX($E$167:$E$219,MATCH(Paramètres!N39,Paramètres!$G$5:$G$57,0)))+IF(RIGHT(TRIM(Paramètres!O39),3)="Fin",1-$H201,IF(LEFT(TRIM(Paramètres!O39),1)="F",1,0)))))))</f>
        <v/>
      </c>
      <c r="F201" s="19">
        <f>IF($A201="","",E201+$H201-1)</f>
        <v/>
      </c>
      <c r="G201" s="18" t="n"/>
      <c r="H201" s="18">
        <f>IF($A201="","",IF(I201&lt;&gt;"",I201,Paramètres!B39))</f>
        <v/>
      </c>
      <c r="I201" s="18" t="n"/>
    </row>
    <row r="202">
      <c r="A202" s="18">
        <f>IF(ISNUMBER(Dossiers!$D$7),Dossiers!$A$7&amp;" · "&amp;Dossiers!$B$7,"")</f>
        <v/>
      </c>
      <c r="B202" s="18">
        <f>IF($A202="","",Paramètres!G40)</f>
        <v/>
      </c>
      <c r="C202" s="18">
        <f>IF($A202="","",IF(Paramètres!H40="","",Paramètres!H40))</f>
        <v/>
      </c>
      <c r="D202" s="18">
        <f>IF($A202="","",IF(Paramètres!I40="","",Paramètres!I40))</f>
        <v/>
      </c>
      <c r="E202" s="19">
        <f>IF($A202="","",IF(Paramètres!J40&amp;Paramètres!L40&amp;Paramètres!N40="",Dossiers!$D$7,MAX(IF(Paramètres!J40="",0,IF(Paramètres!K40="",NA(),IF(LEFT(TRIM(Paramètres!K40),1)="F",INDEX($F$167:$F$219,MATCH(Paramètres!J40,Paramètres!$G$5:$G$57,0)),INDEX($E$167:$E$219,MATCH(Paramètres!J40,Paramètres!$G$5:$G$57,0)))+IF(RIGHT(TRIM(Paramètres!K40),3)="Fin",1-$H202,IF(LEFT(TRIM(Paramètres!K40),1)="F",1,0)))),IF(Paramètres!L40="",0,IF(Paramètres!M40="",NA(),IF(LEFT(TRIM(Paramètres!M40),1)="F",INDEX($F$167:$F$219,MATCH(Paramètres!L40,Paramètres!$G$5:$G$57,0)),INDEX($E$167:$E$219,MATCH(Paramètres!L40,Paramètres!$G$5:$G$57,0)))+IF(RIGHT(TRIM(Paramètres!M40),3)="Fin",1-$H202,IF(LEFT(TRIM(Paramètres!M40),1)="F",1,0)))),IF(Paramètres!N40="",0,IF(Paramètres!O40="",NA(),IF(LEFT(TRIM(Paramètres!O40),1)="F",INDEX($F$167:$F$219,MATCH(Paramètres!N40,Paramètres!$G$5:$G$57,0)),INDEX($E$167:$E$219,MATCH(Paramètres!N40,Paramètres!$G$5:$G$57,0)))+IF(RIGHT(TRIM(Paramètres!O40),3)="Fin",1-$H202,IF(LEFT(TRIM(Paramètres!O40),1)="F",1,0)))))))</f>
        <v/>
      </c>
      <c r="F202" s="19">
        <f>IF($A202="","",E202+$H202-1)</f>
        <v/>
      </c>
      <c r="G202" s="18" t="n"/>
      <c r="H202" s="18">
        <f>IF($A202="","",IF(I202&lt;&gt;"",I202,Paramètres!B40))</f>
        <v/>
      </c>
      <c r="I202" s="18" t="n"/>
    </row>
    <row r="203">
      <c r="A203" s="18">
        <f>IF(ISNUMBER(Dossiers!$D$7),Dossiers!$A$7&amp;" · "&amp;Dossiers!$B$7,"")</f>
        <v/>
      </c>
      <c r="B203" s="18">
        <f>IF($A203="","",Paramètres!G41)</f>
        <v/>
      </c>
      <c r="C203" s="18">
        <f>IF($A203="","",IF(Paramètres!H41="","",Paramètres!H41))</f>
        <v/>
      </c>
      <c r="D203" s="18">
        <f>IF($A203="","",IF(Paramètres!I41="","",Paramètres!I41))</f>
        <v/>
      </c>
      <c r="E203" s="19">
        <f>IF($A203="","",IF(Paramètres!J41&amp;Paramètres!L41&amp;Paramètres!N41="",Dossiers!$D$7,MAX(IF(Paramètres!J41="",0,IF(Paramètres!K41="",NA(),IF(LEFT(TRIM(Paramètres!K41),1)="F",INDEX($F$167:$F$219,MATCH(Paramètres!J41,Paramètres!$G$5:$G$57,0)),INDEX($E$167:$E$219,MATCH(Paramètres!J41,Paramètres!$G$5:$G$57,0)))+IF(RIGHT(TRIM(Paramètres!K41),3)="Fin",1-$H203,IF(LEFT(TRIM(Paramètres!K41),1)="F",1,0)))),IF(Paramètres!L41="",0,IF(Paramètres!M41="",NA(),IF(LEFT(TRIM(Paramètres!M41),1)="F",INDEX($F$167:$F$219,MATCH(Paramètres!L41,Paramètres!$G$5:$G$57,0)),INDEX($E$167:$E$219,MATCH(Paramètres!L41,Paramètres!$G$5:$G$57,0)))+IF(RIGHT(TRIM(Paramètres!M41),3)="Fin",1-$H203,IF(LEFT(TRIM(Paramètres!M41),1)="F",1,0)))),IF(Paramètres!N41="",0,IF(Paramètres!O41="",NA(),IF(LEFT(TRIM(Paramètres!O41),1)="F",INDEX($F$167:$F$219,MATCH(Paramètres!N41,Paramètres!$G$5:$G$57,0)),INDEX($E$167:$E$219,MATCH(Paramètres!N41,Paramètres!$G$5:$G$57,0)))+IF(RIGHT(TRIM(Paramètres!O41),3)="Fin",1-$H203,IF(LEFT(TRIM(Paramètres!O41),1)="F",1,0)))))))</f>
        <v/>
      </c>
      <c r="F203" s="19">
        <f>IF($A203="","",E203+$H203-1)</f>
        <v/>
      </c>
      <c r="G203" s="18" t="n"/>
      <c r="H203" s="18">
        <f>IF($A203="","",IF(I203&lt;&gt;"",I203,Paramètres!B41))</f>
        <v/>
      </c>
      <c r="I203" s="18" t="n"/>
    </row>
    <row r="204">
      <c r="A204" s="18">
        <f>IF(ISNUMBER(Dossiers!$D$7),Dossiers!$A$7&amp;" · "&amp;Dossiers!$B$7,"")</f>
        <v/>
      </c>
      <c r="B204" s="18">
        <f>IF($A204="","",Paramètres!G42)</f>
        <v/>
      </c>
      <c r="C204" s="18">
        <f>IF($A204="","",IF(Paramètres!H42="","",Paramètres!H42))</f>
        <v/>
      </c>
      <c r="D204" s="18">
        <f>IF($A204="","",IF(Paramètres!I42="","",Paramètres!I42))</f>
        <v/>
      </c>
      <c r="E204" s="19">
        <f>IF($A204="","",IF(Paramètres!J42&amp;Paramètres!L42&amp;Paramètres!N42="",Dossiers!$D$7,MAX(IF(Paramètres!J42="",0,IF(Paramètres!K42="",NA(),IF(LEFT(TRIM(Paramètres!K42),1)="F",INDEX($F$167:$F$219,MATCH(Paramètres!J42,Paramètres!$G$5:$G$57,0)),INDEX($E$167:$E$219,MATCH(Paramètres!J42,Paramètres!$G$5:$G$57,0)))+IF(RIGHT(TRIM(Paramètres!K42),3)="Fin",1-$H204,IF(LEFT(TRIM(Paramètres!K42),1)="F",1,0)))),IF(Paramètres!L42="",0,IF(Paramètres!M42="",NA(),IF(LEFT(TRIM(Paramètres!M42),1)="F",INDEX($F$167:$F$219,MATCH(Paramètres!L42,Paramètres!$G$5:$G$57,0)),INDEX($E$167:$E$219,MATCH(Paramètres!L42,Paramètres!$G$5:$G$57,0)))+IF(RIGHT(TRIM(Paramètres!M42),3)="Fin",1-$H204,IF(LEFT(TRIM(Paramètres!M42),1)="F",1,0)))),IF(Paramètres!N42="",0,IF(Paramètres!O42="",NA(),IF(LEFT(TRIM(Paramètres!O42),1)="F",INDEX($F$167:$F$219,MATCH(Paramètres!N42,Paramètres!$G$5:$G$57,0)),INDEX($E$167:$E$219,MATCH(Paramètres!N42,Paramètres!$G$5:$G$57,0)))+IF(RIGHT(TRIM(Paramètres!O42),3)="Fin",1-$H204,IF(LEFT(TRIM(Paramètres!O42),1)="F",1,0)))))))</f>
        <v/>
      </c>
      <c r="F204" s="19">
        <f>IF($A204="","",E204+$H204-1)</f>
        <v/>
      </c>
      <c r="G204" s="18" t="n"/>
      <c r="H204" s="18">
        <f>IF($A204="","",IF(I204&lt;&gt;"",I204,Paramètres!B42))</f>
        <v/>
      </c>
      <c r="I204" s="18" t="n"/>
    </row>
    <row r="205">
      <c r="A205" s="18">
        <f>IF(ISNUMBER(Dossiers!$D$7),Dossiers!$A$7&amp;" · "&amp;Dossiers!$B$7,"")</f>
        <v/>
      </c>
      <c r="B205" s="18">
        <f>IF($A205="","",Paramètres!G43)</f>
        <v/>
      </c>
      <c r="C205" s="18">
        <f>IF($A205="","",IF(Paramètres!H43="","",Paramètres!H43))</f>
        <v/>
      </c>
      <c r="D205" s="18">
        <f>IF($A205="","",IF(Paramètres!I43="","",Paramètres!I43))</f>
        <v/>
      </c>
      <c r="E205" s="19">
        <f>IF($A205="","",IF(Paramètres!J43&amp;Paramètres!L43&amp;Paramètres!N43="",Dossiers!$D$7,MAX(IF(Paramètres!J43="",0,IF(Paramètres!K43="",NA(),IF(LEFT(TRIM(Paramètres!K43),1)="F",INDEX($F$167:$F$219,MATCH(Paramètres!J43,Paramètres!$G$5:$G$57,0)),INDEX($E$167:$E$219,MATCH(Paramètres!J43,Paramètres!$G$5:$G$57,0)))+IF(RIGHT(TRIM(Paramètres!K43),3)="Fin",1-$H205,IF(LEFT(TRIM(Paramètres!K43),1)="F",1,0)))),IF(Paramètres!L43="",0,IF(Paramètres!M43="",NA(),IF(LEFT(TRIM(Paramètres!M43),1)="F",INDEX($F$167:$F$219,MATCH(Paramètres!L43,Paramètres!$G$5:$G$57,0)),INDEX($E$167:$E$219,MATCH(Paramètres!L43,Paramètres!$G$5:$G$57,0)))+IF(RIGHT(TRIM(Paramètres!M43),3)="Fin",1-$H205,IF(LEFT(TRIM(Paramètres!M43),1)="F",1,0)))),IF(Paramètres!N43="",0,IF(Paramètres!O43="",NA(),IF(LEFT(TRIM(Paramètres!O43),1)="F",INDEX($F$167:$F$219,MATCH(Paramètres!N43,Paramètres!$G$5:$G$57,0)),INDEX($E$167:$E$219,MATCH(Paramètres!N43,Paramètres!$G$5:$G$57,0)))+IF(RIGHT(TRIM(Paramètres!O43),3)="Fin",1-$H205,IF(LEFT(TRIM(Paramètres!O43),1)="F",1,0)))))))</f>
        <v/>
      </c>
      <c r="F205" s="19">
        <f>IF($A205="","",E205+$H205-1)</f>
        <v/>
      </c>
      <c r="G205" s="18" t="n"/>
      <c r="H205" s="18">
        <f>IF($A205="","",IF(I205&lt;&gt;"",I205,Paramètres!B43))</f>
        <v/>
      </c>
      <c r="I205" s="18" t="n"/>
    </row>
    <row r="206">
      <c r="A206" s="18">
        <f>IF(ISNUMBER(Dossiers!$D$7),Dossiers!$A$7&amp;" · "&amp;Dossiers!$B$7,"")</f>
        <v/>
      </c>
      <c r="B206" s="18">
        <f>IF($A206="","",Paramètres!G44)</f>
        <v/>
      </c>
      <c r="C206" s="18">
        <f>IF($A206="","",IF(Paramètres!H44="","",Paramètres!H44))</f>
        <v/>
      </c>
      <c r="D206" s="18">
        <f>IF($A206="","",IF(Paramètres!I44="","",Paramètres!I44))</f>
        <v/>
      </c>
      <c r="E206" s="19">
        <f>IF($A206="","",IF(Paramètres!J44&amp;Paramètres!L44&amp;Paramètres!N44="",Dossiers!$D$7,MAX(IF(Paramètres!J44="",0,IF(Paramètres!K44="",NA(),IF(LEFT(TRIM(Paramètres!K44),1)="F",INDEX($F$167:$F$219,MATCH(Paramètres!J44,Paramètres!$G$5:$G$57,0)),INDEX($E$167:$E$219,MATCH(Paramètres!J44,Paramètres!$G$5:$G$57,0)))+IF(RIGHT(TRIM(Paramètres!K44),3)="Fin",1-$H206,IF(LEFT(TRIM(Paramètres!K44),1)="F",1,0)))),IF(Paramètres!L44="",0,IF(Paramètres!M44="",NA(),IF(LEFT(TRIM(Paramètres!M44),1)="F",INDEX($F$167:$F$219,MATCH(Paramètres!L44,Paramètres!$G$5:$G$57,0)),INDEX($E$167:$E$219,MATCH(Paramètres!L44,Paramètres!$G$5:$G$57,0)))+IF(RIGHT(TRIM(Paramètres!M44),3)="Fin",1-$H206,IF(LEFT(TRIM(Paramètres!M44),1)="F",1,0)))),IF(Paramètres!N44="",0,IF(Paramètres!O44="",NA(),IF(LEFT(TRIM(Paramètres!O44),1)="F",INDEX($F$167:$F$219,MATCH(Paramètres!N44,Paramètres!$G$5:$G$57,0)),INDEX($E$167:$E$219,MATCH(Paramètres!N44,Paramètres!$G$5:$G$57,0)))+IF(RIGHT(TRIM(Paramètres!O44),3)="Fin",1-$H206,IF(LEFT(TRIM(Paramètres!O44),1)="F",1,0)))))))</f>
        <v/>
      </c>
      <c r="F206" s="19">
        <f>IF($A206="","",E206+$H206-1)</f>
        <v/>
      </c>
      <c r="G206" s="18" t="n"/>
      <c r="H206" s="18">
        <f>IF($A206="","",IF(I206&lt;&gt;"",I206,Paramètres!B44))</f>
        <v/>
      </c>
      <c r="I206" s="18" t="n"/>
    </row>
    <row r="207">
      <c r="A207" s="18">
        <f>IF(ISNUMBER(Dossiers!$D$7),Dossiers!$A$7&amp;" · "&amp;Dossiers!$B$7,"")</f>
        <v/>
      </c>
      <c r="B207" s="18">
        <f>IF($A207="","",Paramètres!G45)</f>
        <v/>
      </c>
      <c r="C207" s="20">
        <f>IF($A207="","",IF(Dossiers!$G$7="","",Dossiers!$G$7))</f>
        <v/>
      </c>
      <c r="D207" s="18">
        <f>IF($A207="","",IF(Paramètres!I45="","",Paramètres!I45))</f>
        <v/>
      </c>
      <c r="E207" s="19">
        <f>IF($A207="","",IF(Paramètres!J45&amp;Paramètres!L45&amp;Paramètres!N45="",Dossiers!$D$7,MAX(IF(Paramètres!J45="",0,IF(Paramètres!K45="",NA(),IF(LEFT(TRIM(Paramètres!K45),1)="F",INDEX($F$167:$F$219,MATCH(Paramètres!J45,Paramètres!$G$5:$G$57,0)),INDEX($E$167:$E$219,MATCH(Paramètres!J45,Paramètres!$G$5:$G$57,0)))+IF(RIGHT(TRIM(Paramètres!K45),3)="Fin",1-$H207,IF(LEFT(TRIM(Paramètres!K45),1)="F",1,0)))),IF(Paramètres!L45="",0,IF(Paramètres!M45="",NA(),IF(LEFT(TRIM(Paramètres!M45),1)="F",INDEX($F$167:$F$219,MATCH(Paramètres!L45,Paramètres!$G$5:$G$57,0)),INDEX($E$167:$E$219,MATCH(Paramètres!L45,Paramètres!$G$5:$G$57,0)))+IF(RIGHT(TRIM(Paramètres!M45),3)="Fin",1-$H207,IF(LEFT(TRIM(Paramètres!M45),1)="F",1,0)))),IF(Paramètres!N45="",0,IF(Paramètres!O45="",NA(),IF(LEFT(TRIM(Paramètres!O45),1)="F",INDEX($F$167:$F$219,MATCH(Paramètres!N45,Paramètres!$G$5:$G$57,0)),INDEX($E$167:$E$219,MATCH(Paramètres!N45,Paramètres!$G$5:$G$57,0)))+IF(RIGHT(TRIM(Paramètres!O45),3)="Fin",1-$H207,IF(LEFT(TRIM(Paramètres!O45),1)="F",1,0)))))))</f>
        <v/>
      </c>
      <c r="F207" s="19">
        <f>IF($A207="","",E207+$H207-1)</f>
        <v/>
      </c>
      <c r="G207" s="18" t="n"/>
      <c r="H207" s="18">
        <f>IF($A207="","",IF(I207&lt;&gt;"",I207,Paramètres!B45))</f>
        <v/>
      </c>
      <c r="I207" s="18" t="n"/>
    </row>
    <row r="208">
      <c r="A208" s="18">
        <f>IF(ISNUMBER(Dossiers!$D$7),Dossiers!$A$7&amp;" · "&amp;Dossiers!$B$7,"")</f>
        <v/>
      </c>
      <c r="B208" s="18">
        <f>IF($A208="","",Paramètres!G46)</f>
        <v/>
      </c>
      <c r="C208" s="18">
        <f>IF($A208="","",IF(Paramètres!H46="","",Paramètres!H46))</f>
        <v/>
      </c>
      <c r="D208" s="18">
        <f>IF($A208="","",IF(Paramètres!I46="","",Paramètres!I46))</f>
        <v/>
      </c>
      <c r="E208" s="19">
        <f>IF($A208="","",IF(Paramètres!J46&amp;Paramètres!L46&amp;Paramètres!N46="",Dossiers!$D$7,MAX(IF(Paramètres!J46="",0,IF(Paramètres!K46="",NA(),IF(LEFT(TRIM(Paramètres!K46),1)="F",INDEX($F$167:$F$219,MATCH(Paramètres!J46,Paramètres!$G$5:$G$57,0)),INDEX($E$167:$E$219,MATCH(Paramètres!J46,Paramètres!$G$5:$G$57,0)))+IF(RIGHT(TRIM(Paramètres!K46),3)="Fin",1-$H208,IF(LEFT(TRIM(Paramètres!K46),1)="F",1,0)))),IF(Paramètres!L46="",0,IF(Paramètres!M46="",NA(),IF(LEFT(TRIM(Paramètres!M46),1)="F",INDEX($F$167:$F$219,MATCH(Paramètres!L46,Paramètres!$G$5:$G$57,0)),INDEX($E$167:$E$219,MATCH(Paramètres!L46,Paramètres!$G$5:$G$57,0)))+IF(RIGHT(TRIM(Paramètres!M46),3)="Fin",1-$H208,IF(LEFT(TRIM(Paramètres!M46),1)="F",1,0)))),IF(Paramètres!N46="",0,IF(Paramètres!O46="",NA(),IF(LEFT(TRIM(Paramètres!O46),1)="F",INDEX($F$167:$F$219,MATCH(Paramètres!N46,Paramètres!$G$5:$G$57,0)),INDEX($E$167:$E$219,MATCH(Paramètres!N46,Paramètres!$G$5:$G$57,0)))+IF(RIGHT(TRIM(Paramètres!O46),3)="Fin",1-$H208,IF(LEFT(TRIM(Paramètres!O46),1)="F",1,0)))))))</f>
        <v/>
      </c>
      <c r="F208" s="19">
        <f>IF($A208="","",E208+$H208-1)</f>
        <v/>
      </c>
      <c r="G208" s="18" t="n"/>
      <c r="H208" s="18">
        <f>IF($A208="","",IF(I208&lt;&gt;"",I208,Paramètres!B46))</f>
        <v/>
      </c>
      <c r="I208" s="18" t="n"/>
    </row>
    <row r="209">
      <c r="A209" s="18">
        <f>IF(ISNUMBER(Dossiers!$D$7),Dossiers!$A$7&amp;" · "&amp;Dossiers!$B$7,"")</f>
        <v/>
      </c>
      <c r="B209" s="18">
        <f>IF($A209="","",Paramètres!G47)</f>
        <v/>
      </c>
      <c r="C209" s="18">
        <f>IF($A209="","",IF(Paramètres!H47="","",Paramètres!H47))</f>
        <v/>
      </c>
      <c r="D209" s="18">
        <f>IF($A209="","",IF(Paramètres!I47="","",Paramètres!I47))</f>
        <v/>
      </c>
      <c r="E209" s="19">
        <f>IF($A209="","",IF(Paramètres!J47&amp;Paramètres!L47&amp;Paramètres!N47="",Dossiers!$D$7,MAX(IF(Paramètres!J47="",0,IF(Paramètres!K47="",NA(),IF(LEFT(TRIM(Paramètres!K47),1)="F",INDEX($F$167:$F$219,MATCH(Paramètres!J47,Paramètres!$G$5:$G$57,0)),INDEX($E$167:$E$219,MATCH(Paramètres!J47,Paramètres!$G$5:$G$57,0)))+IF(RIGHT(TRIM(Paramètres!K47),3)="Fin",1-$H209,IF(LEFT(TRIM(Paramètres!K47),1)="F",1,0)))),IF(Paramètres!L47="",0,IF(Paramètres!M47="",NA(),IF(LEFT(TRIM(Paramètres!M47),1)="F",INDEX($F$167:$F$219,MATCH(Paramètres!L47,Paramètres!$G$5:$G$57,0)),INDEX($E$167:$E$219,MATCH(Paramètres!L47,Paramètres!$G$5:$G$57,0)))+IF(RIGHT(TRIM(Paramètres!M47),3)="Fin",1-$H209,IF(LEFT(TRIM(Paramètres!M47),1)="F",1,0)))),IF(Paramètres!N47="",0,IF(Paramètres!O47="",NA(),IF(LEFT(TRIM(Paramètres!O47),1)="F",INDEX($F$167:$F$219,MATCH(Paramètres!N47,Paramètres!$G$5:$G$57,0)),INDEX($E$167:$E$219,MATCH(Paramètres!N47,Paramètres!$G$5:$G$57,0)))+IF(RIGHT(TRIM(Paramètres!O47),3)="Fin",1-$H209,IF(LEFT(TRIM(Paramètres!O47),1)="F",1,0)))))))</f>
        <v/>
      </c>
      <c r="F209" s="19">
        <f>IF($A209="","",E209+$H209-1)</f>
        <v/>
      </c>
      <c r="G209" s="18" t="n"/>
      <c r="H209" s="18">
        <f>IF($A209="","",IF(I209&lt;&gt;"",I209,Paramètres!B47))</f>
        <v/>
      </c>
      <c r="I209" s="18" t="n"/>
    </row>
    <row r="210">
      <c r="A210" s="18">
        <f>IF(ISNUMBER(Dossiers!$D$7),Dossiers!$A$7&amp;" · "&amp;Dossiers!$B$7,"")</f>
        <v/>
      </c>
      <c r="B210" s="18">
        <f>IF($A210="","",Paramètres!G48)</f>
        <v/>
      </c>
      <c r="C210" s="18">
        <f>IF($A210="","",IF(Paramètres!H48="","",Paramètres!H48))</f>
        <v/>
      </c>
      <c r="D210" s="18">
        <f>IF($A210="","",IF(Paramètres!I48="","",Paramètres!I48))</f>
        <v/>
      </c>
      <c r="E210" s="19">
        <f>IF($A210="","",IF(Paramètres!J48&amp;Paramètres!L48&amp;Paramètres!N48="",Dossiers!$D$7,MAX(IF(Paramètres!J48="",0,IF(Paramètres!K48="",NA(),IF(LEFT(TRIM(Paramètres!K48),1)="F",INDEX($F$167:$F$219,MATCH(Paramètres!J48,Paramètres!$G$5:$G$57,0)),INDEX($E$167:$E$219,MATCH(Paramètres!J48,Paramètres!$G$5:$G$57,0)))+IF(RIGHT(TRIM(Paramètres!K48),3)="Fin",1-$H210,IF(LEFT(TRIM(Paramètres!K48),1)="F",1,0)))),IF(Paramètres!L48="",0,IF(Paramètres!M48="",NA(),IF(LEFT(TRIM(Paramètres!M48),1)="F",INDEX($F$167:$F$219,MATCH(Paramètres!L48,Paramètres!$G$5:$G$57,0)),INDEX($E$167:$E$219,MATCH(Paramètres!L48,Paramètres!$G$5:$G$57,0)))+IF(RIGHT(TRIM(Paramètres!M48),3)="Fin",1-$H210,IF(LEFT(TRIM(Paramètres!M48),1)="F",1,0)))),IF(Paramètres!N48="",0,IF(Paramètres!O48="",NA(),IF(LEFT(TRIM(Paramètres!O48),1)="F",INDEX($F$167:$F$219,MATCH(Paramètres!N48,Paramètres!$G$5:$G$57,0)),INDEX($E$167:$E$219,MATCH(Paramètres!N48,Paramètres!$G$5:$G$57,0)))+IF(RIGHT(TRIM(Paramètres!O48),3)="Fin",1-$H210,IF(LEFT(TRIM(Paramètres!O48),1)="F",1,0)))))))</f>
        <v/>
      </c>
      <c r="F210" s="19">
        <f>IF($A210="","",E210+$H210-1)</f>
        <v/>
      </c>
      <c r="G210" s="18" t="n"/>
      <c r="H210" s="18">
        <f>IF($A210="","",IF(I210&lt;&gt;"",I210,Paramètres!B48))</f>
        <v/>
      </c>
      <c r="I210" s="18" t="n"/>
    </row>
    <row r="211">
      <c r="A211" s="18">
        <f>IF(ISNUMBER(Dossiers!$D$7),Dossiers!$A$7&amp;" · "&amp;Dossiers!$B$7,"")</f>
        <v/>
      </c>
      <c r="B211" s="18">
        <f>IF($A211="","",Paramètres!G49)</f>
        <v/>
      </c>
      <c r="C211" s="18">
        <f>IF($A211="","",IF(Paramètres!H49="","",Paramètres!H49))</f>
        <v/>
      </c>
      <c r="D211" s="18">
        <f>IF($A211="","",IF(Paramètres!I49="","",Paramètres!I49))</f>
        <v/>
      </c>
      <c r="E211" s="19">
        <f>IF($A211="","",IF(Paramètres!J49&amp;Paramètres!L49&amp;Paramètres!N49="",Dossiers!$D$7,MAX(IF(Paramètres!J49="",0,IF(Paramètres!K49="",NA(),IF(LEFT(TRIM(Paramètres!K49),1)="F",INDEX($F$167:$F$219,MATCH(Paramètres!J49,Paramètres!$G$5:$G$57,0)),INDEX($E$167:$E$219,MATCH(Paramètres!J49,Paramètres!$G$5:$G$57,0)))+IF(RIGHT(TRIM(Paramètres!K49),3)="Fin",1-$H211,IF(LEFT(TRIM(Paramètres!K49),1)="F",1,0)))),IF(Paramètres!L49="",0,IF(Paramètres!M49="",NA(),IF(LEFT(TRIM(Paramètres!M49),1)="F",INDEX($F$167:$F$219,MATCH(Paramètres!L49,Paramètres!$G$5:$G$57,0)),INDEX($E$167:$E$219,MATCH(Paramètres!L49,Paramètres!$G$5:$G$57,0)))+IF(RIGHT(TRIM(Paramètres!M49),3)="Fin",1-$H211,IF(LEFT(TRIM(Paramètres!M49),1)="F",1,0)))),IF(Paramètres!N49="",0,IF(Paramètres!O49="",NA(),IF(LEFT(TRIM(Paramètres!O49),1)="F",INDEX($F$167:$F$219,MATCH(Paramètres!N49,Paramètres!$G$5:$G$57,0)),INDEX($E$167:$E$219,MATCH(Paramètres!N49,Paramètres!$G$5:$G$57,0)))+IF(RIGHT(TRIM(Paramètres!O49),3)="Fin",1-$H211,IF(LEFT(TRIM(Paramètres!O49),1)="F",1,0)))))))</f>
        <v/>
      </c>
      <c r="F211" s="19">
        <f>IF($A211="","",E211+$H211-1)</f>
        <v/>
      </c>
      <c r="G211" s="18" t="n"/>
      <c r="H211" s="18">
        <f>IF($A211="","",IF(I211&lt;&gt;"",I211,Paramètres!B49))</f>
        <v/>
      </c>
      <c r="I211" s="18" t="n"/>
    </row>
    <row r="212">
      <c r="A212" s="18">
        <f>IF(ISNUMBER(Dossiers!$D$7),Dossiers!$A$7&amp;" · "&amp;Dossiers!$B$7,"")</f>
        <v/>
      </c>
      <c r="B212" s="18">
        <f>IF($A212="","",Paramètres!G50)</f>
        <v/>
      </c>
      <c r="C212" s="18">
        <f>IF($A212="","",IF(Paramètres!H50="","",Paramètres!H50))</f>
        <v/>
      </c>
      <c r="D212" s="18">
        <f>IF($A212="","",IF(Paramètres!I50="","",Paramètres!I50))</f>
        <v/>
      </c>
      <c r="E212" s="19">
        <f>IF($A212="","",IF(Paramètres!J50&amp;Paramètres!L50&amp;Paramètres!N50="",Dossiers!$D$7,MAX(IF(Paramètres!J50="",0,IF(Paramètres!K50="",NA(),IF(LEFT(TRIM(Paramètres!K50),1)="F",INDEX($F$167:$F$219,MATCH(Paramètres!J50,Paramètres!$G$5:$G$57,0)),INDEX($E$167:$E$219,MATCH(Paramètres!J50,Paramètres!$G$5:$G$57,0)))+IF(RIGHT(TRIM(Paramètres!K50),3)="Fin",1-$H212,IF(LEFT(TRIM(Paramètres!K50),1)="F",1,0)))),IF(Paramètres!L50="",0,IF(Paramètres!M50="",NA(),IF(LEFT(TRIM(Paramètres!M50),1)="F",INDEX($F$167:$F$219,MATCH(Paramètres!L50,Paramètres!$G$5:$G$57,0)),INDEX($E$167:$E$219,MATCH(Paramètres!L50,Paramètres!$G$5:$G$57,0)))+IF(RIGHT(TRIM(Paramètres!M50),3)="Fin",1-$H212,IF(LEFT(TRIM(Paramètres!M50),1)="F",1,0)))),IF(Paramètres!N50="",0,IF(Paramètres!O50="",NA(),IF(LEFT(TRIM(Paramètres!O50),1)="F",INDEX($F$167:$F$219,MATCH(Paramètres!N50,Paramètres!$G$5:$G$57,0)),INDEX($E$167:$E$219,MATCH(Paramètres!N50,Paramètres!$G$5:$G$57,0)))+IF(RIGHT(TRIM(Paramètres!O50),3)="Fin",1-$H212,IF(LEFT(TRIM(Paramètres!O50),1)="F",1,0)))))))</f>
        <v/>
      </c>
      <c r="F212" s="19">
        <f>IF($A212="","",E212+$H212-1)</f>
        <v/>
      </c>
      <c r="G212" s="18" t="n"/>
      <c r="H212" s="18">
        <f>IF($A212="","",IF(I212&lt;&gt;"",I212,Paramètres!B50))</f>
        <v/>
      </c>
      <c r="I212" s="18" t="n"/>
    </row>
    <row r="213">
      <c r="A213" s="18">
        <f>IF(ISNUMBER(Dossiers!$D$7),Dossiers!$A$7&amp;" · "&amp;Dossiers!$B$7,"")</f>
        <v/>
      </c>
      <c r="B213" s="18">
        <f>IF($A213="","",Paramètres!G51)</f>
        <v/>
      </c>
      <c r="C213" s="18">
        <f>IF($A213="","",IF(Paramètres!H51="","",Paramètres!H51))</f>
        <v/>
      </c>
      <c r="D213" s="18">
        <f>IF($A213="","",IF(Paramètres!I51="","",Paramètres!I51))</f>
        <v/>
      </c>
      <c r="E213" s="19">
        <f>IF($A213="","",IF(Paramètres!J51&amp;Paramètres!L51&amp;Paramètres!N51="",Dossiers!$D$7,MAX(IF(Paramètres!J51="",0,IF(Paramètres!K51="",NA(),IF(LEFT(TRIM(Paramètres!K51),1)="F",INDEX($F$167:$F$219,MATCH(Paramètres!J51,Paramètres!$G$5:$G$57,0)),INDEX($E$167:$E$219,MATCH(Paramètres!J51,Paramètres!$G$5:$G$57,0)))+IF(RIGHT(TRIM(Paramètres!K51),3)="Fin",1-$H213,IF(LEFT(TRIM(Paramètres!K51),1)="F",1,0)))),IF(Paramètres!L51="",0,IF(Paramètres!M51="",NA(),IF(LEFT(TRIM(Paramètres!M51),1)="F",INDEX($F$167:$F$219,MATCH(Paramètres!L51,Paramètres!$G$5:$G$57,0)),INDEX($E$167:$E$219,MATCH(Paramètres!L51,Paramètres!$G$5:$G$57,0)))+IF(RIGHT(TRIM(Paramètres!M51),3)="Fin",1-$H213,IF(LEFT(TRIM(Paramètres!M51),1)="F",1,0)))),IF(Paramètres!N51="",0,IF(Paramètres!O51="",NA(),IF(LEFT(TRIM(Paramètres!O51),1)="F",INDEX($F$167:$F$219,MATCH(Paramètres!N51,Paramètres!$G$5:$G$57,0)),INDEX($E$167:$E$219,MATCH(Paramètres!N51,Paramètres!$G$5:$G$57,0)))+IF(RIGHT(TRIM(Paramètres!O51),3)="Fin",1-$H213,IF(LEFT(TRIM(Paramètres!O51),1)="F",1,0)))))))</f>
        <v/>
      </c>
      <c r="F213" s="19">
        <f>IF($A213="","",E213+$H213-1)</f>
        <v/>
      </c>
      <c r="G213" s="18" t="n"/>
      <c r="H213" s="18">
        <f>IF($A213="","",IF(I213&lt;&gt;"",I213,Paramètres!B51))</f>
        <v/>
      </c>
      <c r="I213" s="18" t="n"/>
    </row>
    <row r="214">
      <c r="A214" s="18">
        <f>IF(ISNUMBER(Dossiers!$D$7),Dossiers!$A$7&amp;" · "&amp;Dossiers!$B$7,"")</f>
        <v/>
      </c>
      <c r="B214" s="18">
        <f>IF($A214="","",Paramètres!G52)</f>
        <v/>
      </c>
      <c r="C214" s="18">
        <f>IF($A214="","",IF(Paramètres!H52="","",Paramètres!H52))</f>
        <v/>
      </c>
      <c r="D214" s="18">
        <f>IF($A214="","",IF(Paramètres!I52="","",Paramètres!I52))</f>
        <v/>
      </c>
      <c r="E214" s="19">
        <f>IF($A214="","",IF(Paramètres!J52&amp;Paramètres!L52&amp;Paramètres!N52="",Dossiers!$D$7,MAX(IF(Paramètres!J52="",0,IF(Paramètres!K52="",NA(),IF(LEFT(TRIM(Paramètres!K52),1)="F",INDEX($F$167:$F$219,MATCH(Paramètres!J52,Paramètres!$G$5:$G$57,0)),INDEX($E$167:$E$219,MATCH(Paramètres!J52,Paramètres!$G$5:$G$57,0)))+IF(RIGHT(TRIM(Paramètres!K52),3)="Fin",1-$H214,IF(LEFT(TRIM(Paramètres!K52),1)="F",1,0)))),IF(Paramètres!L52="",0,IF(Paramètres!M52="",NA(),IF(LEFT(TRIM(Paramètres!M52),1)="F",INDEX($F$167:$F$219,MATCH(Paramètres!L52,Paramètres!$G$5:$G$57,0)),INDEX($E$167:$E$219,MATCH(Paramètres!L52,Paramètres!$G$5:$G$57,0)))+IF(RIGHT(TRIM(Paramètres!M52),3)="Fin",1-$H214,IF(LEFT(TRIM(Paramètres!M52),1)="F",1,0)))),IF(Paramètres!N52="",0,IF(Paramètres!O52="",NA(),IF(LEFT(TRIM(Paramètres!O52),1)="F",INDEX($F$167:$F$219,MATCH(Paramètres!N52,Paramètres!$G$5:$G$57,0)),INDEX($E$167:$E$219,MATCH(Paramètres!N52,Paramètres!$G$5:$G$57,0)))+IF(RIGHT(TRIM(Paramètres!O52),3)="Fin",1-$H214,IF(LEFT(TRIM(Paramètres!O52),1)="F",1,0)))))))</f>
        <v/>
      </c>
      <c r="F214" s="19">
        <f>IF($A214="","",E214+$H214-1)</f>
        <v/>
      </c>
      <c r="G214" s="18" t="n"/>
      <c r="H214" s="18">
        <f>IF($A214="","",IF(I214&lt;&gt;"",I214,Paramètres!B52))</f>
        <v/>
      </c>
      <c r="I214" s="18" t="n"/>
    </row>
    <row r="215">
      <c r="A215" s="18">
        <f>IF(ISNUMBER(Dossiers!$D$7),Dossiers!$A$7&amp;" · "&amp;Dossiers!$B$7,"")</f>
        <v/>
      </c>
      <c r="B215" s="18">
        <f>IF($A215="","",Paramètres!G53)</f>
        <v/>
      </c>
      <c r="C215" s="18">
        <f>IF($A215="","",IF(Paramètres!H53="","",Paramètres!H53))</f>
        <v/>
      </c>
      <c r="D215" s="18">
        <f>IF($A215="","",IF(Paramètres!I53="","",Paramètres!I53))</f>
        <v/>
      </c>
      <c r="E215" s="19">
        <f>IF($A215="","",IF(Paramètres!J53&amp;Paramètres!L53&amp;Paramètres!N53="",Dossiers!$D$7,MAX(IF(Paramètres!J53="",0,IF(Paramètres!K53="",NA(),IF(LEFT(TRIM(Paramètres!K53),1)="F",INDEX($F$167:$F$219,MATCH(Paramètres!J53,Paramètres!$G$5:$G$57,0)),INDEX($E$167:$E$219,MATCH(Paramètres!J53,Paramètres!$G$5:$G$57,0)))+IF(RIGHT(TRIM(Paramètres!K53),3)="Fin",1-$H215,IF(LEFT(TRIM(Paramètres!K53),1)="F",1,0)))),IF(Paramètres!L53="",0,IF(Paramètres!M53="",NA(),IF(LEFT(TRIM(Paramètres!M53),1)="F",INDEX($F$167:$F$219,MATCH(Paramètres!L53,Paramètres!$G$5:$G$57,0)),INDEX($E$167:$E$219,MATCH(Paramètres!L53,Paramètres!$G$5:$G$57,0)))+IF(RIGHT(TRIM(Paramètres!M53),3)="Fin",1-$H215,IF(LEFT(TRIM(Paramètres!M53),1)="F",1,0)))),IF(Paramètres!N53="",0,IF(Paramètres!O53="",NA(),IF(LEFT(TRIM(Paramètres!O53),1)="F",INDEX($F$167:$F$219,MATCH(Paramètres!N53,Paramètres!$G$5:$G$57,0)),INDEX($E$167:$E$219,MATCH(Paramètres!N53,Paramètres!$G$5:$G$57,0)))+IF(RIGHT(TRIM(Paramètres!O53),3)="Fin",1-$H215,IF(LEFT(TRIM(Paramètres!O53),1)="F",1,0)))))))</f>
        <v/>
      </c>
      <c r="F215" s="19">
        <f>IF($A215="","",E215+$H215-1)</f>
        <v/>
      </c>
      <c r="G215" s="18" t="n"/>
      <c r="H215" s="18">
        <f>IF($A215="","",IF(I215&lt;&gt;"",I215,Paramètres!B53))</f>
        <v/>
      </c>
      <c r="I215" s="18" t="n"/>
    </row>
    <row r="216">
      <c r="A216" s="18">
        <f>IF(ISNUMBER(Dossiers!$D$7),Dossiers!$A$7&amp;" · "&amp;Dossiers!$B$7,"")</f>
        <v/>
      </c>
      <c r="B216" s="18">
        <f>IF($A216="","",Paramètres!G54)</f>
        <v/>
      </c>
      <c r="C216" s="18">
        <f>IF($A216="","",IF(Paramètres!H54="","",Paramètres!H54))</f>
        <v/>
      </c>
      <c r="D216" s="18">
        <f>IF($A216="","",IF(Paramètres!I54="","",Paramètres!I54))</f>
        <v/>
      </c>
      <c r="E216" s="19">
        <f>IF($A216="","",IF(Paramètres!J54&amp;Paramètres!L54&amp;Paramètres!N54="",Dossiers!$D$7,MAX(IF(Paramètres!J54="",0,IF(Paramètres!K54="",NA(),IF(LEFT(TRIM(Paramètres!K54),1)="F",INDEX($F$167:$F$219,MATCH(Paramètres!J54,Paramètres!$G$5:$G$57,0)),INDEX($E$167:$E$219,MATCH(Paramètres!J54,Paramètres!$G$5:$G$57,0)))+IF(RIGHT(TRIM(Paramètres!K54),3)="Fin",1-$H216,IF(LEFT(TRIM(Paramètres!K54),1)="F",1,0)))),IF(Paramètres!L54="",0,IF(Paramètres!M54="",NA(),IF(LEFT(TRIM(Paramètres!M54),1)="F",INDEX($F$167:$F$219,MATCH(Paramètres!L54,Paramètres!$G$5:$G$57,0)),INDEX($E$167:$E$219,MATCH(Paramètres!L54,Paramètres!$G$5:$G$57,0)))+IF(RIGHT(TRIM(Paramètres!M54),3)="Fin",1-$H216,IF(LEFT(TRIM(Paramètres!M54),1)="F",1,0)))),IF(Paramètres!N54="",0,IF(Paramètres!O54="",NA(),IF(LEFT(TRIM(Paramètres!O54),1)="F",INDEX($F$167:$F$219,MATCH(Paramètres!N54,Paramètres!$G$5:$G$57,0)),INDEX($E$167:$E$219,MATCH(Paramètres!N54,Paramètres!$G$5:$G$57,0)))+IF(RIGHT(TRIM(Paramètres!O54),3)="Fin",1-$H216,IF(LEFT(TRIM(Paramètres!O54),1)="F",1,0)))))))</f>
        <v/>
      </c>
      <c r="F216" s="19">
        <f>IF($A216="","",E216+$H216-1)</f>
        <v/>
      </c>
      <c r="G216" s="18" t="n"/>
      <c r="H216" s="18">
        <f>IF($A216="","",IF(I216&lt;&gt;"",I216,Paramètres!B54))</f>
        <v/>
      </c>
      <c r="I216" s="18" t="n"/>
    </row>
    <row r="217">
      <c r="A217" s="18">
        <f>IF(ISNUMBER(Dossiers!$D$7),Dossiers!$A$7&amp;" · "&amp;Dossiers!$B$7,"")</f>
        <v/>
      </c>
      <c r="B217" s="18">
        <f>IF($A217="","",Paramètres!G55)</f>
        <v/>
      </c>
      <c r="C217" s="18">
        <f>IF($A217="","",IF(Paramètres!H55="","",Paramètres!H55))</f>
        <v/>
      </c>
      <c r="D217" s="18">
        <f>IF($A217="","",IF(Paramètres!I55="","",Paramètres!I55))</f>
        <v/>
      </c>
      <c r="E217" s="19">
        <f>IF($A217="","",IF(Paramètres!J55&amp;Paramètres!L55&amp;Paramètres!N55="",Dossiers!$D$7,MAX(IF(Paramètres!J55="",0,IF(Paramètres!K55="",NA(),IF(LEFT(TRIM(Paramètres!K55),1)="F",INDEX($F$167:$F$219,MATCH(Paramètres!J55,Paramètres!$G$5:$G$57,0)),INDEX($E$167:$E$219,MATCH(Paramètres!J55,Paramètres!$G$5:$G$57,0)))+IF(RIGHT(TRIM(Paramètres!K55),3)="Fin",1-$H217,IF(LEFT(TRIM(Paramètres!K55),1)="F",1,0)))),IF(Paramètres!L55="",0,IF(Paramètres!M55="",NA(),IF(LEFT(TRIM(Paramètres!M55),1)="F",INDEX($F$167:$F$219,MATCH(Paramètres!L55,Paramètres!$G$5:$G$57,0)),INDEX($E$167:$E$219,MATCH(Paramètres!L55,Paramètres!$G$5:$G$57,0)))+IF(RIGHT(TRIM(Paramètres!M55),3)="Fin",1-$H217,IF(LEFT(TRIM(Paramètres!M55),1)="F",1,0)))),IF(Paramètres!N55="",0,IF(Paramètres!O55="",NA(),IF(LEFT(TRIM(Paramètres!O55),1)="F",INDEX($F$167:$F$219,MATCH(Paramètres!N55,Paramètres!$G$5:$G$57,0)),INDEX($E$167:$E$219,MATCH(Paramètres!N55,Paramètres!$G$5:$G$57,0)))+IF(RIGHT(TRIM(Paramètres!O55),3)="Fin",1-$H217,IF(LEFT(TRIM(Paramètres!O55),1)="F",1,0)))))))</f>
        <v/>
      </c>
      <c r="F217" s="19">
        <f>IF($A217="","",E217+$H217-1)</f>
        <v/>
      </c>
      <c r="G217" s="18" t="n"/>
      <c r="H217" s="18">
        <f>IF($A217="","",IF(I217&lt;&gt;"",I217,Paramètres!B55))</f>
        <v/>
      </c>
      <c r="I217" s="18" t="n"/>
    </row>
    <row r="218">
      <c r="A218" s="18">
        <f>IF(ISNUMBER(Dossiers!$D$7),Dossiers!$A$7&amp;" · "&amp;Dossiers!$B$7,"")</f>
        <v/>
      </c>
      <c r="B218" s="18">
        <f>IF($A218="","",Paramètres!G56)</f>
        <v/>
      </c>
      <c r="C218" s="18">
        <f>IF($A218="","",IF(Paramètres!H56="","",Paramètres!H56))</f>
        <v/>
      </c>
      <c r="D218" s="18">
        <f>IF($A218="","",IF(Paramètres!I56="","",Paramètres!I56))</f>
        <v/>
      </c>
      <c r="E218" s="19">
        <f>IF($A218="","",MIN(E219:E219))</f>
        <v/>
      </c>
      <c r="F218" s="19">
        <f>IF($A218="","",MAX(F219:F219))</f>
        <v/>
      </c>
      <c r="G218" s="18" t="n"/>
      <c r="H218" s="18">
        <f>IF($A218="","",F218-E218+1)</f>
        <v/>
      </c>
      <c r="I218" s="18" t="n"/>
    </row>
    <row r="219">
      <c r="A219" s="18">
        <f>IF(ISNUMBER(Dossiers!$D$7),Dossiers!$A$7&amp;" · "&amp;Dossiers!$B$7,"")</f>
        <v/>
      </c>
      <c r="B219" s="18">
        <f>IF($A219="","",Paramètres!G57)</f>
        <v/>
      </c>
      <c r="C219" s="18">
        <f>IF($A219="","",IF(Paramètres!H57="","",Paramètres!H57))</f>
        <v/>
      </c>
      <c r="D219" s="18">
        <f>IF($A219="","",IF(Paramètres!I57="","",Paramètres!I57))</f>
        <v/>
      </c>
      <c r="E219" s="19">
        <f>IF($A219="","",IF(Paramètres!J57&amp;Paramètres!L57&amp;Paramètres!N57="",Dossiers!$D$7,MAX(IF(Paramètres!J57="",0,IF(Paramètres!K57="",NA(),IF(LEFT(TRIM(Paramètres!K57),1)="F",INDEX($F$167:$F$219,MATCH(Paramètres!J57,Paramètres!$G$5:$G$57,0)),INDEX($E$167:$E$219,MATCH(Paramètres!J57,Paramètres!$G$5:$G$57,0)))+IF(RIGHT(TRIM(Paramètres!K57),3)="Fin",1-$H219,IF(LEFT(TRIM(Paramètres!K57),1)="F",1,0)))),IF(Paramètres!L57="",0,IF(Paramètres!M57="",NA(),IF(LEFT(TRIM(Paramètres!M57),1)="F",INDEX($F$167:$F$219,MATCH(Paramètres!L57,Paramètres!$G$5:$G$57,0)),INDEX($E$167:$E$219,MATCH(Paramètres!L57,Paramètres!$G$5:$G$57,0)))+IF(RIGHT(TRIM(Paramètres!M57),3)="Fin",1-$H219,IF(LEFT(TRIM(Paramètres!M57),1)="F",1,0)))),IF(Paramètres!N57="",0,IF(Paramètres!O57="",NA(),IF(LEFT(TRIM(Paramètres!O57),1)="F",INDEX($F$167:$F$219,MATCH(Paramètres!N57,Paramètres!$G$5:$G$57,0)),INDEX($E$167:$E$219,MATCH(Paramètres!N57,Paramètres!$G$5:$G$57,0)))+IF(RIGHT(TRIM(Paramètres!O57),3)="Fin",1-$H219,IF(LEFT(TRIM(Paramètres!O57),1)="F",1,0)))))))</f>
        <v/>
      </c>
      <c r="F219" s="19">
        <f>IF($A219="","",E219+$H219-1)</f>
        <v/>
      </c>
      <c r="G219" s="18" t="n"/>
      <c r="H219" s="18">
        <f>IF($A219="","",IF(I219&lt;&gt;"",I219,Paramètres!B57))</f>
        <v/>
      </c>
      <c r="I219" s="18" t="n"/>
    </row>
    <row r="220">
      <c r="A220" s="16">
        <f>IF(ISNUMBER(Dossiers!$D$8),Dossiers!$E$8,"")</f>
        <v/>
      </c>
      <c r="B220" s="16">
        <f>IF($A220="","","Identifiant")</f>
        <v/>
      </c>
      <c r="C220" s="16">
        <f>IF($A220="","","Macro Etape")</f>
        <v/>
      </c>
      <c r="D220" s="16">
        <f>IF($A220="","","Etape")</f>
        <v/>
      </c>
      <c r="E220" s="17">
        <f>IF($A220="","","Début le")</f>
        <v/>
      </c>
      <c r="F220" s="17">
        <f>IF($A220="","","Fin prévue le")</f>
        <v/>
      </c>
      <c r="G220" s="16">
        <f>IF($A220="","","Statut")</f>
        <v/>
      </c>
      <c r="H220" s="16">
        <f>IF($A220="","","Durée (jours)")</f>
        <v/>
      </c>
      <c r="I220" s="16">
        <f>IF($A220="","","Durée particulière")</f>
        <v/>
      </c>
      <c r="J220" s="10">
        <f>IF($A220="","",HYPERLINK("#'Tableau de bord'!A1","↑ Tableau de bord"))</f>
        <v/>
      </c>
    </row>
    <row r="221">
      <c r="A221" s="18">
        <f>IF(ISNUMBER(Dossiers!$D$8),Dossiers!$A$8&amp;" · "&amp;Dossiers!$B$8,"")</f>
        <v/>
      </c>
      <c r="B221" s="18">
        <f>IF($A221="","",Paramètres!G5)</f>
        <v/>
      </c>
      <c r="C221" s="18">
        <f>IF($A221="","",IF(Paramètres!H5="","",Paramètres!H5))</f>
        <v/>
      </c>
      <c r="D221" s="18">
        <f>IF($A221="","",IF(Paramètres!I5="","",Paramètres!I5))</f>
        <v/>
      </c>
      <c r="E221" s="19">
        <f>IF($A221="","",MIN(E222:E225))</f>
        <v/>
      </c>
      <c r="F221" s="19">
        <f>IF($A221="","",MAX(F222:F225))</f>
        <v/>
      </c>
      <c r="G221" s="18" t="n"/>
      <c r="H221" s="18">
        <f>IF($A221="","",F221-E221+1)</f>
        <v/>
      </c>
      <c r="I221" s="18" t="n"/>
    </row>
    <row r="222">
      <c r="A222" s="18">
        <f>IF(ISNUMBER(Dossiers!$D$8),Dossiers!$A$8&amp;" · "&amp;Dossiers!$B$8,"")</f>
        <v/>
      </c>
      <c r="B222" s="18">
        <f>IF($A222="","",Paramètres!G6)</f>
        <v/>
      </c>
      <c r="C222" s="18">
        <f>IF($A222="","",IF(Paramètres!H6="","",Paramètres!H6))</f>
        <v/>
      </c>
      <c r="D222" s="18">
        <f>IF($A222="","",IF(Paramètres!I6="","",Paramètres!I6))</f>
        <v/>
      </c>
      <c r="E222" s="19">
        <f>IF($A222="","",IF(Paramètres!J6&amp;Paramètres!L6&amp;Paramètres!N6="",Dossiers!$D$8,MAX(IF(Paramètres!J6="",0,IF(Paramètres!K6="",NA(),IF(LEFT(TRIM(Paramètres!K6),1)="F",INDEX($F$221:$F$273,MATCH(Paramètres!J6,Paramètres!$G$5:$G$57,0)),INDEX($E$221:$E$273,MATCH(Paramètres!J6,Paramètres!$G$5:$G$57,0)))+IF(RIGHT(TRIM(Paramètres!K6),3)="Fin",1-$H222,IF(LEFT(TRIM(Paramètres!K6),1)="F",1,0)))),IF(Paramètres!L6="",0,IF(Paramètres!M6="",NA(),IF(LEFT(TRIM(Paramètres!M6),1)="F",INDEX($F$221:$F$273,MATCH(Paramètres!L6,Paramètres!$G$5:$G$57,0)),INDEX($E$221:$E$273,MATCH(Paramètres!L6,Paramètres!$G$5:$G$57,0)))+IF(RIGHT(TRIM(Paramètres!M6),3)="Fin",1-$H222,IF(LEFT(TRIM(Paramètres!M6),1)="F",1,0)))),IF(Paramètres!N6="",0,IF(Paramètres!O6="",NA(),IF(LEFT(TRIM(Paramètres!O6),1)="F",INDEX($F$221:$F$273,MATCH(Paramètres!N6,Paramètres!$G$5:$G$57,0)),INDEX($E$221:$E$273,MATCH(Paramètres!N6,Paramètres!$G$5:$G$57,0)))+IF(RIGHT(TRIM(Paramètres!O6),3)="Fin",1-$H222,IF(LEFT(TRIM(Paramètres!O6),1)="F",1,0)))))))</f>
        <v/>
      </c>
      <c r="F222" s="19">
        <f>IF($A222="","",E222+$H222-1)</f>
        <v/>
      </c>
      <c r="G222" s="18" t="n"/>
      <c r="H222" s="18">
        <f>IF($A222="","",IF(I222&lt;&gt;"",I222,Paramètres!B6))</f>
        <v/>
      </c>
      <c r="I222" s="18" t="n"/>
    </row>
    <row r="223">
      <c r="A223" s="18">
        <f>IF(ISNUMBER(Dossiers!$D$8),Dossiers!$A$8&amp;" · "&amp;Dossiers!$B$8,"")</f>
        <v/>
      </c>
      <c r="B223" s="18">
        <f>IF($A223="","",Paramètres!G7)</f>
        <v/>
      </c>
      <c r="C223" s="18">
        <f>IF($A223="","",IF(Paramètres!H7="","",Paramètres!H7))</f>
        <v/>
      </c>
      <c r="D223" s="18">
        <f>IF($A223="","",IF(Paramètres!I7="","",Paramètres!I7))</f>
        <v/>
      </c>
      <c r="E223" s="19">
        <f>IF($A223="","",IF(Paramètres!J7&amp;Paramètres!L7&amp;Paramètres!N7="",Dossiers!$D$8,MAX(IF(Paramètres!J7="",0,IF(Paramètres!K7="",NA(),IF(LEFT(TRIM(Paramètres!K7),1)="F",INDEX($F$221:$F$273,MATCH(Paramètres!J7,Paramètres!$G$5:$G$57,0)),INDEX($E$221:$E$273,MATCH(Paramètres!J7,Paramètres!$G$5:$G$57,0)))+IF(RIGHT(TRIM(Paramètres!K7),3)="Fin",1-$H223,IF(LEFT(TRIM(Paramètres!K7),1)="F",1,0)))),IF(Paramètres!L7="",0,IF(Paramètres!M7="",NA(),IF(LEFT(TRIM(Paramètres!M7),1)="F",INDEX($F$221:$F$273,MATCH(Paramètres!L7,Paramètres!$G$5:$G$57,0)),INDEX($E$221:$E$273,MATCH(Paramètres!L7,Paramètres!$G$5:$G$57,0)))+IF(RIGHT(TRIM(Paramètres!M7),3)="Fin",1-$H223,IF(LEFT(TRIM(Paramètres!M7),1)="F",1,0)))),IF(Paramètres!N7="",0,IF(Paramètres!O7="",NA(),IF(LEFT(TRIM(Paramètres!O7),1)="F",INDEX($F$221:$F$273,MATCH(Paramètres!N7,Paramètres!$G$5:$G$57,0)),INDEX($E$221:$E$273,MATCH(Paramètres!N7,Paramètres!$G$5:$G$57,0)))+IF(RIGHT(TRIM(Paramètres!O7),3)="Fin",1-$H223,IF(LEFT(TRIM(Paramètres!O7),1)="F",1,0)))))))</f>
        <v/>
      </c>
      <c r="F223" s="19">
        <f>IF($A223="","",E223+$H223-1)</f>
        <v/>
      </c>
      <c r="G223" s="18" t="n"/>
      <c r="H223" s="18">
        <f>IF($A223="","",IF(I223&lt;&gt;"",I223,Paramètres!B7))</f>
        <v/>
      </c>
      <c r="I223" s="18" t="n"/>
    </row>
    <row r="224">
      <c r="A224" s="18">
        <f>IF(ISNUMBER(Dossiers!$D$8),Dossiers!$A$8&amp;" · "&amp;Dossiers!$B$8,"")</f>
        <v/>
      </c>
      <c r="B224" s="18">
        <f>IF($A224="","",Paramètres!G8)</f>
        <v/>
      </c>
      <c r="C224" s="18">
        <f>IF($A224="","",IF(Paramètres!H8="","",Paramètres!H8))</f>
        <v/>
      </c>
      <c r="D224" s="18">
        <f>IF($A224="","",IF(Paramètres!I8="","",Paramètres!I8))</f>
        <v/>
      </c>
      <c r="E224" s="19">
        <f>IF($A224="","",IF(Paramètres!J8&amp;Paramètres!L8&amp;Paramètres!N8="",Dossiers!$D$8,MAX(IF(Paramètres!J8="",0,IF(Paramètres!K8="",NA(),IF(LEFT(TRIM(Paramètres!K8),1)="F",INDEX($F$221:$F$273,MATCH(Paramètres!J8,Paramètres!$G$5:$G$57,0)),INDEX($E$221:$E$273,MATCH(Paramètres!J8,Paramètres!$G$5:$G$57,0)))+IF(RIGHT(TRIM(Paramètres!K8),3)="Fin",1-$H224,IF(LEFT(TRIM(Paramètres!K8),1)="F",1,0)))),IF(Paramètres!L8="",0,IF(Paramètres!M8="",NA(),IF(LEFT(TRIM(Paramètres!M8),1)="F",INDEX($F$221:$F$273,MATCH(Paramètres!L8,Paramètres!$G$5:$G$57,0)),INDEX($E$221:$E$273,MATCH(Paramètres!L8,Paramètres!$G$5:$G$57,0)))+IF(RIGHT(TRIM(Paramètres!M8),3)="Fin",1-$H224,IF(LEFT(TRIM(Paramètres!M8),1)="F",1,0)))),IF(Paramètres!N8="",0,IF(Paramètres!O8="",NA(),IF(LEFT(TRIM(Paramètres!O8),1)="F",INDEX($F$221:$F$273,MATCH(Paramètres!N8,Paramètres!$G$5:$G$57,0)),INDEX($E$221:$E$273,MATCH(Paramètres!N8,Paramètres!$G$5:$G$57,0)))+IF(RIGHT(TRIM(Paramètres!O8),3)="Fin",1-$H224,IF(LEFT(TRIM(Paramètres!O8),1)="F",1,0)))))))</f>
        <v/>
      </c>
      <c r="F224" s="19">
        <f>IF($A224="","",E224+$H224-1)</f>
        <v/>
      </c>
      <c r="G224" s="18" t="n"/>
      <c r="H224" s="18">
        <f>IF($A224="","",IF(I224&lt;&gt;"",I224,Paramètres!B8))</f>
        <v/>
      </c>
      <c r="I224" s="18" t="n"/>
    </row>
    <row r="225">
      <c r="A225" s="18">
        <f>IF(ISNUMBER(Dossiers!$D$8),Dossiers!$A$8&amp;" · "&amp;Dossiers!$B$8,"")</f>
        <v/>
      </c>
      <c r="B225" s="18">
        <f>IF($A225="","",Paramètres!G9)</f>
        <v/>
      </c>
      <c r="C225" s="18">
        <f>IF($A225="","",IF(Paramètres!H9="","",Paramètres!H9))</f>
        <v/>
      </c>
      <c r="D225" s="18">
        <f>IF($A225="","",IF(Paramètres!I9="","",Paramètres!I9))</f>
        <v/>
      </c>
      <c r="E225" s="19">
        <f>IF($A225="","",IF(Paramètres!J9&amp;Paramètres!L9&amp;Paramètres!N9="",Dossiers!$D$8,MAX(IF(Paramètres!J9="",0,IF(Paramètres!K9="",NA(),IF(LEFT(TRIM(Paramètres!K9),1)="F",INDEX($F$221:$F$273,MATCH(Paramètres!J9,Paramètres!$G$5:$G$57,0)),INDEX($E$221:$E$273,MATCH(Paramètres!J9,Paramètres!$G$5:$G$57,0)))+IF(RIGHT(TRIM(Paramètres!K9),3)="Fin",1-$H225,IF(LEFT(TRIM(Paramètres!K9),1)="F",1,0)))),IF(Paramètres!L9="",0,IF(Paramètres!M9="",NA(),IF(LEFT(TRIM(Paramètres!M9),1)="F",INDEX($F$221:$F$273,MATCH(Paramètres!L9,Paramètres!$G$5:$G$57,0)),INDEX($E$221:$E$273,MATCH(Paramètres!L9,Paramètres!$G$5:$G$57,0)))+IF(RIGHT(TRIM(Paramètres!M9),3)="Fin",1-$H225,IF(LEFT(TRIM(Paramètres!M9),1)="F",1,0)))),IF(Paramètres!N9="",0,IF(Paramètres!O9="",NA(),IF(LEFT(TRIM(Paramètres!O9),1)="F",INDEX($F$221:$F$273,MATCH(Paramètres!N9,Paramètres!$G$5:$G$57,0)),INDEX($E$221:$E$273,MATCH(Paramètres!N9,Paramètres!$G$5:$G$57,0)))+IF(RIGHT(TRIM(Paramètres!O9),3)="Fin",1-$H225,IF(LEFT(TRIM(Paramètres!O9),1)="F",1,0)))))))</f>
        <v/>
      </c>
      <c r="F225" s="19">
        <f>IF($A225="","",E225+$H225-1)</f>
        <v/>
      </c>
      <c r="G225" s="18" t="n"/>
      <c r="H225" s="18">
        <f>IF($A225="","",IF(I225&lt;&gt;"",I225,Paramètres!B9))</f>
        <v/>
      </c>
      <c r="I225" s="18" t="n"/>
    </row>
    <row r="226">
      <c r="A226" s="18">
        <f>IF(ISNUMBER(Dossiers!$D$8),Dossiers!$A$8&amp;" · "&amp;Dossiers!$B$8,"")</f>
        <v/>
      </c>
      <c r="B226" s="18">
        <f>IF($A226="","",Paramètres!G10)</f>
        <v/>
      </c>
      <c r="C226" s="18">
        <f>IF($A226="","",IF(Paramètres!H10="","",Paramètres!H10))</f>
        <v/>
      </c>
      <c r="D226" s="18">
        <f>IF($A226="","",IF(Paramètres!I10="","",Paramètres!I10))</f>
        <v/>
      </c>
      <c r="E226" s="19">
        <f>IF($A226="","",MIN(E227:E230))</f>
        <v/>
      </c>
      <c r="F226" s="19">
        <f>IF($A226="","",MAX(F227:F230))</f>
        <v/>
      </c>
      <c r="G226" s="18" t="n"/>
      <c r="H226" s="18">
        <f>IF($A226="","",F226-E226+1)</f>
        <v/>
      </c>
      <c r="I226" s="18" t="n"/>
    </row>
    <row r="227">
      <c r="A227" s="18">
        <f>IF(ISNUMBER(Dossiers!$D$8),Dossiers!$A$8&amp;" · "&amp;Dossiers!$B$8,"")</f>
        <v/>
      </c>
      <c r="B227" s="18">
        <f>IF($A227="","",Paramètres!G11)</f>
        <v/>
      </c>
      <c r="C227" s="18">
        <f>IF($A227="","",IF(Paramètres!H11="","",Paramètres!H11))</f>
        <v/>
      </c>
      <c r="D227" s="18">
        <f>IF($A227="","",IF(Paramètres!I11="","",Paramètres!I11))</f>
        <v/>
      </c>
      <c r="E227" s="19">
        <f>IF($A227="","",IF(Paramètres!J11&amp;Paramètres!L11&amp;Paramètres!N11="",Dossiers!$D$8,MAX(IF(Paramètres!J11="",0,IF(Paramètres!K11="",NA(),IF(LEFT(TRIM(Paramètres!K11),1)="F",INDEX($F$221:$F$273,MATCH(Paramètres!J11,Paramètres!$G$5:$G$57,0)),INDEX($E$221:$E$273,MATCH(Paramètres!J11,Paramètres!$G$5:$G$57,0)))+IF(RIGHT(TRIM(Paramètres!K11),3)="Fin",1-$H227,IF(LEFT(TRIM(Paramètres!K11),1)="F",1,0)))),IF(Paramètres!L11="",0,IF(Paramètres!M11="",NA(),IF(LEFT(TRIM(Paramètres!M11),1)="F",INDEX($F$221:$F$273,MATCH(Paramètres!L11,Paramètres!$G$5:$G$57,0)),INDEX($E$221:$E$273,MATCH(Paramètres!L11,Paramètres!$G$5:$G$57,0)))+IF(RIGHT(TRIM(Paramètres!M11),3)="Fin",1-$H227,IF(LEFT(TRIM(Paramètres!M11),1)="F",1,0)))),IF(Paramètres!N11="",0,IF(Paramètres!O11="",NA(),IF(LEFT(TRIM(Paramètres!O11),1)="F",INDEX($F$221:$F$273,MATCH(Paramètres!N11,Paramètres!$G$5:$G$57,0)),INDEX($E$221:$E$273,MATCH(Paramètres!N11,Paramètres!$G$5:$G$57,0)))+IF(RIGHT(TRIM(Paramètres!O11),3)="Fin",1-$H227,IF(LEFT(TRIM(Paramètres!O11),1)="F",1,0)))))))</f>
        <v/>
      </c>
      <c r="F227" s="19">
        <f>IF($A227="","",E227+$H227-1)</f>
        <v/>
      </c>
      <c r="G227" s="18" t="n"/>
      <c r="H227" s="18">
        <f>IF($A227="","",IF(I227&lt;&gt;"",I227,Paramètres!B11))</f>
        <v/>
      </c>
      <c r="I227" s="18" t="n"/>
    </row>
    <row r="228">
      <c r="A228" s="18">
        <f>IF(ISNUMBER(Dossiers!$D$8),Dossiers!$A$8&amp;" · "&amp;Dossiers!$B$8,"")</f>
        <v/>
      </c>
      <c r="B228" s="18">
        <f>IF($A228="","",Paramètres!G12)</f>
        <v/>
      </c>
      <c r="C228" s="18">
        <f>IF($A228="","",IF(Paramètres!H12="","",Paramètres!H12))</f>
        <v/>
      </c>
      <c r="D228" s="18">
        <f>IF($A228="","",IF(Paramètres!I12="","",Paramètres!I12))</f>
        <v/>
      </c>
      <c r="E228" s="19">
        <f>IF($A228="","",IF(Paramètres!J12&amp;Paramètres!L12&amp;Paramètres!N12="",Dossiers!$D$8,MAX(IF(Paramètres!J12="",0,IF(Paramètres!K12="",NA(),IF(LEFT(TRIM(Paramètres!K12),1)="F",INDEX($F$221:$F$273,MATCH(Paramètres!J12,Paramètres!$G$5:$G$57,0)),INDEX($E$221:$E$273,MATCH(Paramètres!J12,Paramètres!$G$5:$G$57,0)))+IF(RIGHT(TRIM(Paramètres!K12),3)="Fin",1-$H228,IF(LEFT(TRIM(Paramètres!K12),1)="F",1,0)))),IF(Paramètres!L12="",0,IF(Paramètres!M12="",NA(),IF(LEFT(TRIM(Paramètres!M12),1)="F",INDEX($F$221:$F$273,MATCH(Paramètres!L12,Paramètres!$G$5:$G$57,0)),INDEX($E$221:$E$273,MATCH(Paramètres!L12,Paramètres!$G$5:$G$57,0)))+IF(RIGHT(TRIM(Paramètres!M12),3)="Fin",1-$H228,IF(LEFT(TRIM(Paramètres!M12),1)="F",1,0)))),IF(Paramètres!N12="",0,IF(Paramètres!O12="",NA(),IF(LEFT(TRIM(Paramètres!O12),1)="F",INDEX($F$221:$F$273,MATCH(Paramètres!N12,Paramètres!$G$5:$G$57,0)),INDEX($E$221:$E$273,MATCH(Paramètres!N12,Paramètres!$G$5:$G$57,0)))+IF(RIGHT(TRIM(Paramètres!O12),3)="Fin",1-$H228,IF(LEFT(TRIM(Paramètres!O12),1)="F",1,0)))))))</f>
        <v/>
      </c>
      <c r="F228" s="19">
        <f>IF($A228="","",E228+$H228-1)</f>
        <v/>
      </c>
      <c r="G228" s="18" t="n"/>
      <c r="H228" s="18">
        <f>IF($A228="","",IF(I228&lt;&gt;"",I228,Paramètres!B12))</f>
        <v/>
      </c>
      <c r="I228" s="18" t="n"/>
    </row>
    <row r="229">
      <c r="A229" s="18">
        <f>IF(ISNUMBER(Dossiers!$D$8),Dossiers!$A$8&amp;" · "&amp;Dossiers!$B$8,"")</f>
        <v/>
      </c>
      <c r="B229" s="18">
        <f>IF($A229="","",Paramètres!G13)</f>
        <v/>
      </c>
      <c r="C229" s="18">
        <f>IF($A229="","",IF(Paramètres!H13="","",Paramètres!H13))</f>
        <v/>
      </c>
      <c r="D229" s="18">
        <f>IF($A229="","",IF(Paramètres!I13="","",Paramètres!I13))</f>
        <v/>
      </c>
      <c r="E229" s="19">
        <f>IF($A229="","",IF(Paramètres!J13&amp;Paramètres!L13&amp;Paramètres!N13="",Dossiers!$D$8,MAX(IF(Paramètres!J13="",0,IF(Paramètres!K13="",NA(),IF(LEFT(TRIM(Paramètres!K13),1)="F",INDEX($F$221:$F$273,MATCH(Paramètres!J13,Paramètres!$G$5:$G$57,0)),INDEX($E$221:$E$273,MATCH(Paramètres!J13,Paramètres!$G$5:$G$57,0)))+IF(RIGHT(TRIM(Paramètres!K13),3)="Fin",1-$H229,IF(LEFT(TRIM(Paramètres!K13),1)="F",1,0)))),IF(Paramètres!L13="",0,IF(Paramètres!M13="",NA(),IF(LEFT(TRIM(Paramètres!M13),1)="F",INDEX($F$221:$F$273,MATCH(Paramètres!L13,Paramètres!$G$5:$G$57,0)),INDEX($E$221:$E$273,MATCH(Paramètres!L13,Paramètres!$G$5:$G$57,0)))+IF(RIGHT(TRIM(Paramètres!M13),3)="Fin",1-$H229,IF(LEFT(TRIM(Paramètres!M13),1)="F",1,0)))),IF(Paramètres!N13="",0,IF(Paramètres!O13="",NA(),IF(LEFT(TRIM(Paramètres!O13),1)="F",INDEX($F$221:$F$273,MATCH(Paramètres!N13,Paramètres!$G$5:$G$57,0)),INDEX($E$221:$E$273,MATCH(Paramètres!N13,Paramètres!$G$5:$G$57,0)))+IF(RIGHT(TRIM(Paramètres!O13),3)="Fin",1-$H229,IF(LEFT(TRIM(Paramètres!O13),1)="F",1,0)))))))</f>
        <v/>
      </c>
      <c r="F229" s="19">
        <f>IF($A229="","",E229+$H229-1)</f>
        <v/>
      </c>
      <c r="G229" s="18" t="n"/>
      <c r="H229" s="18">
        <f>IF($A229="","",IF(I229&lt;&gt;"",I229,Paramètres!B13))</f>
        <v/>
      </c>
      <c r="I229" s="18" t="n"/>
    </row>
    <row r="230">
      <c r="A230" s="18">
        <f>IF(ISNUMBER(Dossiers!$D$8),Dossiers!$A$8&amp;" · "&amp;Dossiers!$B$8,"")</f>
        <v/>
      </c>
      <c r="B230" s="18">
        <f>IF($A230="","",Paramètres!G14)</f>
        <v/>
      </c>
      <c r="C230" s="18">
        <f>IF($A230="","",IF(Paramètres!H14="","",Paramètres!H14))</f>
        <v/>
      </c>
      <c r="D230" s="18">
        <f>IF($A230="","",IF(Paramètres!I14="","",Paramètres!I14))</f>
        <v/>
      </c>
      <c r="E230" s="19">
        <f>IF($A230="","",IF(Paramètres!J14&amp;Paramètres!L14&amp;Paramètres!N14="",Dossiers!$D$8,MAX(IF(Paramètres!J14="",0,IF(Paramètres!K14="",NA(),IF(LEFT(TRIM(Paramètres!K14),1)="F",INDEX($F$221:$F$273,MATCH(Paramètres!J14,Paramètres!$G$5:$G$57,0)),INDEX($E$221:$E$273,MATCH(Paramètres!J14,Paramètres!$G$5:$G$57,0)))+IF(RIGHT(TRIM(Paramètres!K14),3)="Fin",1-$H230,IF(LEFT(TRIM(Paramètres!K14),1)="F",1,0)))),IF(Paramètres!L14="",0,IF(Paramètres!M14="",NA(),IF(LEFT(TRIM(Paramètres!M14),1)="F",INDEX($F$221:$F$273,MATCH(Paramètres!L14,Paramètres!$G$5:$G$57,0)),INDEX($E$221:$E$273,MATCH(Paramètres!L14,Paramètres!$G$5:$G$57,0)))+IF(RIGHT(TRIM(Paramètres!M14),3)="Fin",1-$H230,IF(LEFT(TRIM(Paramètres!M14),1)="F",1,0)))),IF(Paramètres!N14="",0,IF(Paramètres!O14="",NA(),IF(LEFT(TRIM(Paramètres!O14),1)="F",INDEX($F$221:$F$273,MATCH(Paramètres!N14,Paramètres!$G$5:$G$57,0)),INDEX($E$221:$E$273,MATCH(Paramètres!N14,Paramètres!$G$5:$G$57,0)))+IF(RIGHT(TRIM(Paramètres!O14),3)="Fin",1-$H230,IF(LEFT(TRIM(Paramètres!O14),1)="F",1,0)))))))</f>
        <v/>
      </c>
      <c r="F230" s="19">
        <f>IF($A230="","",E230+$H230-1)</f>
        <v/>
      </c>
      <c r="G230" s="18" t="n"/>
      <c r="H230" s="18">
        <f>IF($A230="","",IF(I230&lt;&gt;"",I230,Paramètres!B14))</f>
        <v/>
      </c>
      <c r="I230" s="18" t="n"/>
    </row>
    <row r="231">
      <c r="A231" s="18">
        <f>IF(ISNUMBER(Dossiers!$D$8),Dossiers!$A$8&amp;" · "&amp;Dossiers!$B$8,"")</f>
        <v/>
      </c>
      <c r="B231" s="18">
        <f>IF($A231="","",Paramètres!G15)</f>
        <v/>
      </c>
      <c r="C231" s="18">
        <f>IF($A231="","",IF(Paramètres!H15="","",Paramètres!H15))</f>
        <v/>
      </c>
      <c r="D231" s="18">
        <f>IF($A231="","",IF(Paramètres!I15="","",Paramètres!I15))</f>
        <v/>
      </c>
      <c r="E231" s="19">
        <f>IF($A231="","",MIN(E232:E247))</f>
        <v/>
      </c>
      <c r="F231" s="19">
        <f>IF($A231="","",MAX(F232:F247))</f>
        <v/>
      </c>
      <c r="G231" s="18" t="n"/>
      <c r="H231" s="18">
        <f>IF($A231="","",F231-E231+1)</f>
        <v/>
      </c>
      <c r="I231" s="18" t="n"/>
    </row>
    <row r="232">
      <c r="A232" s="18">
        <f>IF(ISNUMBER(Dossiers!$D$8),Dossiers!$A$8&amp;" · "&amp;Dossiers!$B$8,"")</f>
        <v/>
      </c>
      <c r="B232" s="18">
        <f>IF($A232="","",Paramètres!G16)</f>
        <v/>
      </c>
      <c r="C232" s="18">
        <f>IF($A232="","",IF(Paramètres!H16="","",Paramètres!H16))</f>
        <v/>
      </c>
      <c r="D232" s="18">
        <f>IF($A232="","",IF(Paramètres!I16="","",Paramètres!I16))</f>
        <v/>
      </c>
      <c r="E232" s="19">
        <f>IF($A232="","",IF(Paramètres!J16&amp;Paramètres!L16&amp;Paramètres!N16="",Dossiers!$D$8,MAX(IF(Paramètres!J16="",0,IF(Paramètres!K16="",NA(),IF(LEFT(TRIM(Paramètres!K16),1)="F",INDEX($F$221:$F$273,MATCH(Paramètres!J16,Paramètres!$G$5:$G$57,0)),INDEX($E$221:$E$273,MATCH(Paramètres!J16,Paramètres!$G$5:$G$57,0)))+IF(RIGHT(TRIM(Paramètres!K16),3)="Fin",1-$H232,IF(LEFT(TRIM(Paramètres!K16),1)="F",1,0)))),IF(Paramètres!L16="",0,IF(Paramètres!M16="",NA(),IF(LEFT(TRIM(Paramètres!M16),1)="F",INDEX($F$221:$F$273,MATCH(Paramètres!L16,Paramètres!$G$5:$G$57,0)),INDEX($E$221:$E$273,MATCH(Paramètres!L16,Paramètres!$G$5:$G$57,0)))+IF(RIGHT(TRIM(Paramètres!M16),3)="Fin",1-$H232,IF(LEFT(TRIM(Paramètres!M16),1)="F",1,0)))),IF(Paramètres!N16="",0,IF(Paramètres!O16="",NA(),IF(LEFT(TRIM(Paramètres!O16),1)="F",INDEX($F$221:$F$273,MATCH(Paramètres!N16,Paramètres!$G$5:$G$57,0)),INDEX($E$221:$E$273,MATCH(Paramètres!N16,Paramètres!$G$5:$G$57,0)))+IF(RIGHT(TRIM(Paramètres!O16),3)="Fin",1-$H232,IF(LEFT(TRIM(Paramètres!O16),1)="F",1,0)))))))</f>
        <v/>
      </c>
      <c r="F232" s="19">
        <f>IF($A232="","",E232+$H232-1)</f>
        <v/>
      </c>
      <c r="G232" s="18" t="n"/>
      <c r="H232" s="18">
        <f>IF($A232="","",IF(I232&lt;&gt;"",I232,Paramètres!B16))</f>
        <v/>
      </c>
      <c r="I232" s="18" t="n"/>
    </row>
    <row r="233">
      <c r="A233" s="18">
        <f>IF(ISNUMBER(Dossiers!$D$8),Dossiers!$A$8&amp;" · "&amp;Dossiers!$B$8,"")</f>
        <v/>
      </c>
      <c r="B233" s="18">
        <f>IF($A233="","",Paramètres!G17)</f>
        <v/>
      </c>
      <c r="C233" s="18">
        <f>IF($A233="","",IF(Paramètres!H17="","",Paramètres!H17))</f>
        <v/>
      </c>
      <c r="D233" s="18">
        <f>IF($A233="","",IF(Paramètres!I17="","",Paramètres!I17))</f>
        <v/>
      </c>
      <c r="E233" s="19">
        <f>IF($A233="","",IF(Paramètres!J17&amp;Paramètres!L17&amp;Paramètres!N17="",Dossiers!$D$8,MAX(IF(Paramètres!J17="",0,IF(Paramètres!K17="",NA(),IF(LEFT(TRIM(Paramètres!K17),1)="F",INDEX($F$221:$F$273,MATCH(Paramètres!J17,Paramètres!$G$5:$G$57,0)),INDEX($E$221:$E$273,MATCH(Paramètres!J17,Paramètres!$G$5:$G$57,0)))+IF(RIGHT(TRIM(Paramètres!K17),3)="Fin",1-$H233,IF(LEFT(TRIM(Paramètres!K17),1)="F",1,0)))),IF(Paramètres!L17="",0,IF(Paramètres!M17="",NA(),IF(LEFT(TRIM(Paramètres!M17),1)="F",INDEX($F$221:$F$273,MATCH(Paramètres!L17,Paramètres!$G$5:$G$57,0)),INDEX($E$221:$E$273,MATCH(Paramètres!L17,Paramètres!$G$5:$G$57,0)))+IF(RIGHT(TRIM(Paramètres!M17),3)="Fin",1-$H233,IF(LEFT(TRIM(Paramètres!M17),1)="F",1,0)))),IF(Paramètres!N17="",0,IF(Paramètres!O17="",NA(),IF(LEFT(TRIM(Paramètres!O17),1)="F",INDEX($F$221:$F$273,MATCH(Paramètres!N17,Paramètres!$G$5:$G$57,0)),INDEX($E$221:$E$273,MATCH(Paramètres!N17,Paramètres!$G$5:$G$57,0)))+IF(RIGHT(TRIM(Paramètres!O17),3)="Fin",1-$H233,IF(LEFT(TRIM(Paramètres!O17),1)="F",1,0)))))))</f>
        <v/>
      </c>
      <c r="F233" s="19">
        <f>IF($A233="","",E233+$H233-1)</f>
        <v/>
      </c>
      <c r="G233" s="18" t="n"/>
      <c r="H233" s="18">
        <f>IF($A233="","",IF(I233&lt;&gt;"",I233,Paramètres!B17))</f>
        <v/>
      </c>
      <c r="I233" s="18" t="n"/>
    </row>
    <row r="234">
      <c r="A234" s="18">
        <f>IF(ISNUMBER(Dossiers!$D$8),Dossiers!$A$8&amp;" · "&amp;Dossiers!$B$8,"")</f>
        <v/>
      </c>
      <c r="B234" s="18">
        <f>IF($A234="","",Paramètres!G18)</f>
        <v/>
      </c>
      <c r="C234" s="18">
        <f>IF($A234="","",IF(Paramètres!H18="","",Paramètres!H18))</f>
        <v/>
      </c>
      <c r="D234" s="18">
        <f>IF($A234="","",IF(Paramètres!I18="","",Paramètres!I18))</f>
        <v/>
      </c>
      <c r="E234" s="19">
        <f>IF($A234="","",IF(Paramètres!J18&amp;Paramètres!L18&amp;Paramètres!N18="",Dossiers!$D$8,MAX(IF(Paramètres!J18="",0,IF(Paramètres!K18="",NA(),IF(LEFT(TRIM(Paramètres!K18),1)="F",INDEX($F$221:$F$273,MATCH(Paramètres!J18,Paramètres!$G$5:$G$57,0)),INDEX($E$221:$E$273,MATCH(Paramètres!J18,Paramètres!$G$5:$G$57,0)))+IF(RIGHT(TRIM(Paramètres!K18),3)="Fin",1-$H234,IF(LEFT(TRIM(Paramètres!K18),1)="F",1,0)))),IF(Paramètres!L18="",0,IF(Paramètres!M18="",NA(),IF(LEFT(TRIM(Paramètres!M18),1)="F",INDEX($F$221:$F$273,MATCH(Paramètres!L18,Paramètres!$G$5:$G$57,0)),INDEX($E$221:$E$273,MATCH(Paramètres!L18,Paramètres!$G$5:$G$57,0)))+IF(RIGHT(TRIM(Paramètres!M18),3)="Fin",1-$H234,IF(LEFT(TRIM(Paramètres!M18),1)="F",1,0)))),IF(Paramètres!N18="",0,IF(Paramètres!O18="",NA(),IF(LEFT(TRIM(Paramètres!O18),1)="F",INDEX($F$221:$F$273,MATCH(Paramètres!N18,Paramètres!$G$5:$G$57,0)),INDEX($E$221:$E$273,MATCH(Paramètres!N18,Paramètres!$G$5:$G$57,0)))+IF(RIGHT(TRIM(Paramètres!O18),3)="Fin",1-$H234,IF(LEFT(TRIM(Paramètres!O18),1)="F",1,0)))))))</f>
        <v/>
      </c>
      <c r="F234" s="19">
        <f>IF($A234="","",E234+$H234-1)</f>
        <v/>
      </c>
      <c r="G234" s="18" t="n"/>
      <c r="H234" s="18">
        <f>IF($A234="","",IF(I234&lt;&gt;"",I234,Paramètres!B18))</f>
        <v/>
      </c>
      <c r="I234" s="18" t="n"/>
    </row>
    <row r="235">
      <c r="A235" s="18">
        <f>IF(ISNUMBER(Dossiers!$D$8),Dossiers!$A$8&amp;" · "&amp;Dossiers!$B$8,"")</f>
        <v/>
      </c>
      <c r="B235" s="18">
        <f>IF($A235="","",Paramètres!G19)</f>
        <v/>
      </c>
      <c r="C235" s="18">
        <f>IF($A235="","",IF(Paramètres!H19="","",Paramètres!H19))</f>
        <v/>
      </c>
      <c r="D235" s="18">
        <f>IF($A235="","",IF(Paramètres!I19="","",Paramètres!I19))</f>
        <v/>
      </c>
      <c r="E235" s="19">
        <f>IF($A235="","",IF(Paramètres!J19&amp;Paramètres!L19&amp;Paramètres!N19="",Dossiers!$D$8,MAX(IF(Paramètres!J19="",0,IF(Paramètres!K19="",NA(),IF(LEFT(TRIM(Paramètres!K19),1)="F",INDEX($F$221:$F$273,MATCH(Paramètres!J19,Paramètres!$G$5:$G$57,0)),INDEX($E$221:$E$273,MATCH(Paramètres!J19,Paramètres!$G$5:$G$57,0)))+IF(RIGHT(TRIM(Paramètres!K19),3)="Fin",1-$H235,IF(LEFT(TRIM(Paramètres!K19),1)="F",1,0)))),IF(Paramètres!L19="",0,IF(Paramètres!M19="",NA(),IF(LEFT(TRIM(Paramètres!M19),1)="F",INDEX($F$221:$F$273,MATCH(Paramètres!L19,Paramètres!$G$5:$G$57,0)),INDEX($E$221:$E$273,MATCH(Paramètres!L19,Paramètres!$G$5:$G$57,0)))+IF(RIGHT(TRIM(Paramètres!M19),3)="Fin",1-$H235,IF(LEFT(TRIM(Paramètres!M19),1)="F",1,0)))),IF(Paramètres!N19="",0,IF(Paramètres!O19="",NA(),IF(LEFT(TRIM(Paramètres!O19),1)="F",INDEX($F$221:$F$273,MATCH(Paramètres!N19,Paramètres!$G$5:$G$57,0)),INDEX($E$221:$E$273,MATCH(Paramètres!N19,Paramètres!$G$5:$G$57,0)))+IF(RIGHT(TRIM(Paramètres!O19),3)="Fin",1-$H235,IF(LEFT(TRIM(Paramètres!O19),1)="F",1,0)))))))</f>
        <v/>
      </c>
      <c r="F235" s="19">
        <f>IF($A235="","",E235+$H235-1)</f>
        <v/>
      </c>
      <c r="G235" s="18" t="n"/>
      <c r="H235" s="18">
        <f>IF($A235="","",IF(I235&lt;&gt;"",I235,Paramètres!B19))</f>
        <v/>
      </c>
      <c r="I235" s="18" t="n"/>
    </row>
    <row r="236">
      <c r="A236" s="18">
        <f>IF(ISNUMBER(Dossiers!$D$8),Dossiers!$A$8&amp;" · "&amp;Dossiers!$B$8,"")</f>
        <v/>
      </c>
      <c r="B236" s="18">
        <f>IF($A236="","",Paramètres!G20)</f>
        <v/>
      </c>
      <c r="C236" s="18">
        <f>IF($A236="","",IF(Paramètres!H20="","",Paramètres!H20))</f>
        <v/>
      </c>
      <c r="D236" s="18">
        <f>IF($A236="","",IF(Paramètres!I20="","",Paramètres!I20))</f>
        <v/>
      </c>
      <c r="E236" s="19">
        <f>IF($A236="","",IF(Paramètres!J20&amp;Paramètres!L20&amp;Paramètres!N20="",Dossiers!$D$8,MAX(IF(Paramètres!J20="",0,IF(Paramètres!K20="",NA(),IF(LEFT(TRIM(Paramètres!K20),1)="F",INDEX($F$221:$F$273,MATCH(Paramètres!J20,Paramètres!$G$5:$G$57,0)),INDEX($E$221:$E$273,MATCH(Paramètres!J20,Paramètres!$G$5:$G$57,0)))+IF(RIGHT(TRIM(Paramètres!K20),3)="Fin",1-$H236,IF(LEFT(TRIM(Paramètres!K20),1)="F",1,0)))),IF(Paramètres!L20="",0,IF(Paramètres!M20="",NA(),IF(LEFT(TRIM(Paramètres!M20),1)="F",INDEX($F$221:$F$273,MATCH(Paramètres!L20,Paramètres!$G$5:$G$57,0)),INDEX($E$221:$E$273,MATCH(Paramètres!L20,Paramètres!$G$5:$G$57,0)))+IF(RIGHT(TRIM(Paramètres!M20),3)="Fin",1-$H236,IF(LEFT(TRIM(Paramètres!M20),1)="F",1,0)))),IF(Paramètres!N20="",0,IF(Paramètres!O20="",NA(),IF(LEFT(TRIM(Paramètres!O20),1)="F",INDEX($F$221:$F$273,MATCH(Paramètres!N20,Paramètres!$G$5:$G$57,0)),INDEX($E$221:$E$273,MATCH(Paramètres!N20,Paramètres!$G$5:$G$57,0)))+IF(RIGHT(TRIM(Paramètres!O20),3)="Fin",1-$H236,IF(LEFT(TRIM(Paramètres!O20),1)="F",1,0)))))))</f>
        <v/>
      </c>
      <c r="F236" s="19">
        <f>IF($A236="","",E236+$H236-1)</f>
        <v/>
      </c>
      <c r="G236" s="18" t="n"/>
      <c r="H236" s="18">
        <f>IF($A236="","",IF(I236&lt;&gt;"",I236,Paramètres!B20))</f>
        <v/>
      </c>
      <c r="I236" s="18" t="n"/>
    </row>
    <row r="237">
      <c r="A237" s="18">
        <f>IF(ISNUMBER(Dossiers!$D$8),Dossiers!$A$8&amp;" · "&amp;Dossiers!$B$8,"")</f>
        <v/>
      </c>
      <c r="B237" s="18">
        <f>IF($A237="","",Paramètres!G21)</f>
        <v/>
      </c>
      <c r="C237" s="18">
        <f>IF($A237="","",IF(Paramètres!H21="","",Paramètres!H21))</f>
        <v/>
      </c>
      <c r="D237" s="18">
        <f>IF($A237="","",IF(Paramètres!I21="","",Paramètres!I21))</f>
        <v/>
      </c>
      <c r="E237" s="19">
        <f>IF($A237="","",IF(Paramètres!J21&amp;Paramètres!L21&amp;Paramètres!N21="",Dossiers!$D$8,MAX(IF(Paramètres!J21="",0,IF(Paramètres!K21="",NA(),IF(LEFT(TRIM(Paramètres!K21),1)="F",INDEX($F$221:$F$273,MATCH(Paramètres!J21,Paramètres!$G$5:$G$57,0)),INDEX($E$221:$E$273,MATCH(Paramètres!J21,Paramètres!$G$5:$G$57,0)))+IF(RIGHT(TRIM(Paramètres!K21),3)="Fin",1-$H237,IF(LEFT(TRIM(Paramètres!K21),1)="F",1,0)))),IF(Paramètres!L21="",0,IF(Paramètres!M21="",NA(),IF(LEFT(TRIM(Paramètres!M21),1)="F",INDEX($F$221:$F$273,MATCH(Paramètres!L21,Paramètres!$G$5:$G$57,0)),INDEX($E$221:$E$273,MATCH(Paramètres!L21,Paramètres!$G$5:$G$57,0)))+IF(RIGHT(TRIM(Paramètres!M21),3)="Fin",1-$H237,IF(LEFT(TRIM(Paramètres!M21),1)="F",1,0)))),IF(Paramètres!N21="",0,IF(Paramètres!O21="",NA(),IF(LEFT(TRIM(Paramètres!O21),1)="F",INDEX($F$221:$F$273,MATCH(Paramètres!N21,Paramètres!$G$5:$G$57,0)),INDEX($E$221:$E$273,MATCH(Paramètres!N21,Paramètres!$G$5:$G$57,0)))+IF(RIGHT(TRIM(Paramètres!O21),3)="Fin",1-$H237,IF(LEFT(TRIM(Paramètres!O21),1)="F",1,0)))))))</f>
        <v/>
      </c>
      <c r="F237" s="19">
        <f>IF($A237="","",E237+$H237-1)</f>
        <v/>
      </c>
      <c r="G237" s="18" t="n"/>
      <c r="H237" s="18">
        <f>IF($A237="","",IF(I237&lt;&gt;"",I237,Paramètres!B21))</f>
        <v/>
      </c>
      <c r="I237" s="18" t="n"/>
    </row>
    <row r="238">
      <c r="A238" s="18">
        <f>IF(ISNUMBER(Dossiers!$D$8),Dossiers!$A$8&amp;" · "&amp;Dossiers!$B$8,"")</f>
        <v/>
      </c>
      <c r="B238" s="18">
        <f>IF($A238="","",Paramètres!G22)</f>
        <v/>
      </c>
      <c r="C238" s="18">
        <f>IF($A238="","",IF(Paramètres!H22="","",Paramètres!H22))</f>
        <v/>
      </c>
      <c r="D238" s="18">
        <f>IF($A238="","",IF(Paramètres!I22="","",Paramètres!I22))</f>
        <v/>
      </c>
      <c r="E238" s="19">
        <f>IF($A238="","",IF(Paramètres!J22&amp;Paramètres!L22&amp;Paramètres!N22="",Dossiers!$D$8,MAX(IF(Paramètres!J22="",0,IF(Paramètres!K22="",NA(),IF(LEFT(TRIM(Paramètres!K22),1)="F",INDEX($F$221:$F$273,MATCH(Paramètres!J22,Paramètres!$G$5:$G$57,0)),INDEX($E$221:$E$273,MATCH(Paramètres!J22,Paramètres!$G$5:$G$57,0)))+IF(RIGHT(TRIM(Paramètres!K22),3)="Fin",1-$H238,IF(LEFT(TRIM(Paramètres!K22),1)="F",1,0)))),IF(Paramètres!L22="",0,IF(Paramètres!M22="",NA(),IF(LEFT(TRIM(Paramètres!M22),1)="F",INDEX($F$221:$F$273,MATCH(Paramètres!L22,Paramètres!$G$5:$G$57,0)),INDEX($E$221:$E$273,MATCH(Paramètres!L22,Paramètres!$G$5:$G$57,0)))+IF(RIGHT(TRIM(Paramètres!M22),3)="Fin",1-$H238,IF(LEFT(TRIM(Paramètres!M22),1)="F",1,0)))),IF(Paramètres!N22="",0,IF(Paramètres!O22="",NA(),IF(LEFT(TRIM(Paramètres!O22),1)="F",INDEX($F$221:$F$273,MATCH(Paramètres!N22,Paramètres!$G$5:$G$57,0)),INDEX($E$221:$E$273,MATCH(Paramètres!N22,Paramètres!$G$5:$G$57,0)))+IF(RIGHT(TRIM(Paramètres!O22),3)="Fin",1-$H238,IF(LEFT(TRIM(Paramètres!O22),1)="F",1,0)))))))</f>
        <v/>
      </c>
      <c r="F238" s="19">
        <f>IF($A238="","",E238+$H238-1)</f>
        <v/>
      </c>
      <c r="G238" s="18" t="n"/>
      <c r="H238" s="18">
        <f>IF($A238="","",IF(I238&lt;&gt;"",I238,Paramètres!B22))</f>
        <v/>
      </c>
      <c r="I238" s="18" t="n"/>
    </row>
    <row r="239">
      <c r="A239" s="18">
        <f>IF(ISNUMBER(Dossiers!$D$8),Dossiers!$A$8&amp;" · "&amp;Dossiers!$B$8,"")</f>
        <v/>
      </c>
      <c r="B239" s="18">
        <f>IF($A239="","",Paramètres!G23)</f>
        <v/>
      </c>
      <c r="C239" s="18">
        <f>IF($A239="","",IF(Paramètres!H23="","",Paramètres!H23))</f>
        <v/>
      </c>
      <c r="D239" s="18">
        <f>IF($A239="","",IF(Paramètres!I23="","",Paramètres!I23))</f>
        <v/>
      </c>
      <c r="E239" s="19">
        <f>IF($A239="","",IF(Paramètres!J23&amp;Paramètres!L23&amp;Paramètres!N23="",Dossiers!$D$8,MAX(IF(Paramètres!J23="",0,IF(Paramètres!K23="",NA(),IF(LEFT(TRIM(Paramètres!K23),1)="F",INDEX($F$221:$F$273,MATCH(Paramètres!J23,Paramètres!$G$5:$G$57,0)),INDEX($E$221:$E$273,MATCH(Paramètres!J23,Paramètres!$G$5:$G$57,0)))+IF(RIGHT(TRIM(Paramètres!K23),3)="Fin",1-$H239,IF(LEFT(TRIM(Paramètres!K23),1)="F",1,0)))),IF(Paramètres!L23="",0,IF(Paramètres!M23="",NA(),IF(LEFT(TRIM(Paramètres!M23),1)="F",INDEX($F$221:$F$273,MATCH(Paramètres!L23,Paramètres!$G$5:$G$57,0)),INDEX($E$221:$E$273,MATCH(Paramètres!L23,Paramètres!$G$5:$G$57,0)))+IF(RIGHT(TRIM(Paramètres!M23),3)="Fin",1-$H239,IF(LEFT(TRIM(Paramètres!M23),1)="F",1,0)))),IF(Paramètres!N23="",0,IF(Paramètres!O23="",NA(),IF(LEFT(TRIM(Paramètres!O23),1)="F",INDEX($F$221:$F$273,MATCH(Paramètres!N23,Paramètres!$G$5:$G$57,0)),INDEX($E$221:$E$273,MATCH(Paramètres!N23,Paramètres!$G$5:$G$57,0)))+IF(RIGHT(TRIM(Paramètres!O23),3)="Fin",1-$H239,IF(LEFT(TRIM(Paramètres!O23),1)="F",1,0)))))))</f>
        <v/>
      </c>
      <c r="F239" s="19">
        <f>IF($A239="","",E239+$H239-1)</f>
        <v/>
      </c>
      <c r="G239" s="18" t="n"/>
      <c r="H239" s="18">
        <f>IF($A239="","",IF(I239&lt;&gt;"",I239,Paramètres!B23))</f>
        <v/>
      </c>
      <c r="I239" s="18" t="n"/>
    </row>
    <row r="240">
      <c r="A240" s="18">
        <f>IF(ISNUMBER(Dossiers!$D$8),Dossiers!$A$8&amp;" · "&amp;Dossiers!$B$8,"")</f>
        <v/>
      </c>
      <c r="B240" s="18">
        <f>IF($A240="","",Paramètres!G24)</f>
        <v/>
      </c>
      <c r="C240" s="18">
        <f>IF($A240="","",IF(Paramètres!H24="","",Paramètres!H24))</f>
        <v/>
      </c>
      <c r="D240" s="18">
        <f>IF($A240="","",IF(Paramètres!I24="","",Paramètres!I24))</f>
        <v/>
      </c>
      <c r="E240" s="19">
        <f>IF($A240="","",IF(Paramètres!J24&amp;Paramètres!L24&amp;Paramètres!N24="",Dossiers!$D$8,MAX(IF(Paramètres!J24="",0,IF(Paramètres!K24="",NA(),IF(LEFT(TRIM(Paramètres!K24),1)="F",INDEX($F$221:$F$273,MATCH(Paramètres!J24,Paramètres!$G$5:$G$57,0)),INDEX($E$221:$E$273,MATCH(Paramètres!J24,Paramètres!$G$5:$G$57,0)))+IF(RIGHT(TRIM(Paramètres!K24),3)="Fin",1-$H240,IF(LEFT(TRIM(Paramètres!K24),1)="F",1,0)))),IF(Paramètres!L24="",0,IF(Paramètres!M24="",NA(),IF(LEFT(TRIM(Paramètres!M24),1)="F",INDEX($F$221:$F$273,MATCH(Paramètres!L24,Paramètres!$G$5:$G$57,0)),INDEX($E$221:$E$273,MATCH(Paramètres!L24,Paramètres!$G$5:$G$57,0)))+IF(RIGHT(TRIM(Paramètres!M24),3)="Fin",1-$H240,IF(LEFT(TRIM(Paramètres!M24),1)="F",1,0)))),IF(Paramètres!N24="",0,IF(Paramètres!O24="",NA(),IF(LEFT(TRIM(Paramètres!O24),1)="F",INDEX($F$221:$F$273,MATCH(Paramètres!N24,Paramètres!$G$5:$G$57,0)),INDEX($E$221:$E$273,MATCH(Paramètres!N24,Paramètres!$G$5:$G$57,0)))+IF(RIGHT(TRIM(Paramètres!O24),3)="Fin",1-$H240,IF(LEFT(TRIM(Paramètres!O24),1)="F",1,0)))))))</f>
        <v/>
      </c>
      <c r="F240" s="19">
        <f>IF($A240="","",E240+$H240-1)</f>
        <v/>
      </c>
      <c r="G240" s="18" t="n"/>
      <c r="H240" s="18">
        <f>IF($A240="","",IF(I240&lt;&gt;"",I240,Paramètres!B24))</f>
        <v/>
      </c>
      <c r="I240" s="18" t="n"/>
    </row>
    <row r="241">
      <c r="A241" s="18">
        <f>IF(ISNUMBER(Dossiers!$D$8),Dossiers!$A$8&amp;" · "&amp;Dossiers!$B$8,"")</f>
        <v/>
      </c>
      <c r="B241" s="18">
        <f>IF($A241="","",Paramètres!G25)</f>
        <v/>
      </c>
      <c r="C241" s="18">
        <f>IF($A241="","",IF(Paramètres!H25="","",Paramètres!H25))</f>
        <v/>
      </c>
      <c r="D241" s="18">
        <f>IF($A241="","",IF(Paramètres!I25="","",Paramètres!I25))</f>
        <v/>
      </c>
      <c r="E241" s="19">
        <f>IF($A241="","",IF(Paramètres!J25&amp;Paramètres!L25&amp;Paramètres!N25="",Dossiers!$D$8,MAX(IF(Paramètres!J25="",0,IF(Paramètres!K25="",NA(),IF(LEFT(TRIM(Paramètres!K25),1)="F",INDEX($F$221:$F$273,MATCH(Paramètres!J25,Paramètres!$G$5:$G$57,0)),INDEX($E$221:$E$273,MATCH(Paramètres!J25,Paramètres!$G$5:$G$57,0)))+IF(RIGHT(TRIM(Paramètres!K25),3)="Fin",1-$H241,IF(LEFT(TRIM(Paramètres!K25),1)="F",1,0)))),IF(Paramètres!L25="",0,IF(Paramètres!M25="",NA(),IF(LEFT(TRIM(Paramètres!M25),1)="F",INDEX($F$221:$F$273,MATCH(Paramètres!L25,Paramètres!$G$5:$G$57,0)),INDEX($E$221:$E$273,MATCH(Paramètres!L25,Paramètres!$G$5:$G$57,0)))+IF(RIGHT(TRIM(Paramètres!M25),3)="Fin",1-$H241,IF(LEFT(TRIM(Paramètres!M25),1)="F",1,0)))),IF(Paramètres!N25="",0,IF(Paramètres!O25="",NA(),IF(LEFT(TRIM(Paramètres!O25),1)="F",INDEX($F$221:$F$273,MATCH(Paramètres!N25,Paramètres!$G$5:$G$57,0)),INDEX($E$221:$E$273,MATCH(Paramètres!N25,Paramètres!$G$5:$G$57,0)))+IF(RIGHT(TRIM(Paramètres!O25),3)="Fin",1-$H241,IF(LEFT(TRIM(Paramètres!O25),1)="F",1,0)))))))</f>
        <v/>
      </c>
      <c r="F241" s="19">
        <f>IF($A241="","",E241+$H241-1)</f>
        <v/>
      </c>
      <c r="G241" s="18" t="n"/>
      <c r="H241" s="18">
        <f>IF($A241="","",IF(I241&lt;&gt;"",I241,Paramètres!B25))</f>
        <v/>
      </c>
      <c r="I241" s="18" t="n"/>
    </row>
    <row r="242">
      <c r="A242" s="18">
        <f>IF(ISNUMBER(Dossiers!$D$8),Dossiers!$A$8&amp;" · "&amp;Dossiers!$B$8,"")</f>
        <v/>
      </c>
      <c r="B242" s="18">
        <f>IF($A242="","",Paramètres!G26)</f>
        <v/>
      </c>
      <c r="C242" s="18">
        <f>IF($A242="","",IF(Paramètres!H26="","",Paramètres!H26))</f>
        <v/>
      </c>
      <c r="D242" s="18">
        <f>IF($A242="","",IF(Paramètres!I26="","",Paramètres!I26))</f>
        <v/>
      </c>
      <c r="E242" s="19">
        <f>IF($A242="","",IF(Paramètres!J26&amp;Paramètres!L26&amp;Paramètres!N26="",Dossiers!$D$8,MAX(IF(Paramètres!J26="",0,IF(Paramètres!K26="",NA(),IF(LEFT(TRIM(Paramètres!K26),1)="F",INDEX($F$221:$F$273,MATCH(Paramètres!J26,Paramètres!$G$5:$G$57,0)),INDEX($E$221:$E$273,MATCH(Paramètres!J26,Paramètres!$G$5:$G$57,0)))+IF(RIGHT(TRIM(Paramètres!K26),3)="Fin",1-$H242,IF(LEFT(TRIM(Paramètres!K26),1)="F",1,0)))),IF(Paramètres!L26="",0,IF(Paramètres!M26="",NA(),IF(LEFT(TRIM(Paramètres!M26),1)="F",INDEX($F$221:$F$273,MATCH(Paramètres!L26,Paramètres!$G$5:$G$57,0)),INDEX($E$221:$E$273,MATCH(Paramètres!L26,Paramètres!$G$5:$G$57,0)))+IF(RIGHT(TRIM(Paramètres!M26),3)="Fin",1-$H242,IF(LEFT(TRIM(Paramètres!M26),1)="F",1,0)))),IF(Paramètres!N26="",0,IF(Paramètres!O26="",NA(),IF(LEFT(TRIM(Paramètres!O26),1)="F",INDEX($F$221:$F$273,MATCH(Paramètres!N26,Paramètres!$G$5:$G$57,0)),INDEX($E$221:$E$273,MATCH(Paramètres!N26,Paramètres!$G$5:$G$57,0)))+IF(RIGHT(TRIM(Paramètres!O26),3)="Fin",1-$H242,IF(LEFT(TRIM(Paramètres!O26),1)="F",1,0)))))))</f>
        <v/>
      </c>
      <c r="F242" s="19">
        <f>IF($A242="","",E242+$H242-1)</f>
        <v/>
      </c>
      <c r="G242" s="18" t="n"/>
      <c r="H242" s="18">
        <f>IF($A242="","",IF(I242&lt;&gt;"",I242,Paramètres!B26))</f>
        <v/>
      </c>
      <c r="I242" s="18" t="n"/>
    </row>
    <row r="243">
      <c r="A243" s="18">
        <f>IF(ISNUMBER(Dossiers!$D$8),Dossiers!$A$8&amp;" · "&amp;Dossiers!$B$8,"")</f>
        <v/>
      </c>
      <c r="B243" s="18">
        <f>IF($A243="","",Paramètres!G27)</f>
        <v/>
      </c>
      <c r="C243" s="18">
        <f>IF($A243="","",IF(Paramètres!H27="","",Paramètres!H27))</f>
        <v/>
      </c>
      <c r="D243" s="18">
        <f>IF($A243="","",IF(Paramètres!I27="","",Paramètres!I27))</f>
        <v/>
      </c>
      <c r="E243" s="19">
        <f>IF($A243="","",IF(Paramètres!J27&amp;Paramètres!L27&amp;Paramètres!N27="",Dossiers!$D$8,MAX(IF(Paramètres!J27="",0,IF(Paramètres!K27="",NA(),IF(LEFT(TRIM(Paramètres!K27),1)="F",INDEX($F$221:$F$273,MATCH(Paramètres!J27,Paramètres!$G$5:$G$57,0)),INDEX($E$221:$E$273,MATCH(Paramètres!J27,Paramètres!$G$5:$G$57,0)))+IF(RIGHT(TRIM(Paramètres!K27),3)="Fin",1-$H243,IF(LEFT(TRIM(Paramètres!K27),1)="F",1,0)))),IF(Paramètres!L27="",0,IF(Paramètres!M27="",NA(),IF(LEFT(TRIM(Paramètres!M27),1)="F",INDEX($F$221:$F$273,MATCH(Paramètres!L27,Paramètres!$G$5:$G$57,0)),INDEX($E$221:$E$273,MATCH(Paramètres!L27,Paramètres!$G$5:$G$57,0)))+IF(RIGHT(TRIM(Paramètres!M27),3)="Fin",1-$H243,IF(LEFT(TRIM(Paramètres!M27),1)="F",1,0)))),IF(Paramètres!N27="",0,IF(Paramètres!O27="",NA(),IF(LEFT(TRIM(Paramètres!O27),1)="F",INDEX($F$221:$F$273,MATCH(Paramètres!N27,Paramètres!$G$5:$G$57,0)),INDEX($E$221:$E$273,MATCH(Paramètres!N27,Paramètres!$G$5:$G$57,0)))+IF(RIGHT(TRIM(Paramètres!O27),3)="Fin",1-$H243,IF(LEFT(TRIM(Paramètres!O27),1)="F",1,0)))))))</f>
        <v/>
      </c>
      <c r="F243" s="19">
        <f>IF($A243="","",E243+$H243-1)</f>
        <v/>
      </c>
      <c r="G243" s="18" t="n"/>
      <c r="H243" s="18">
        <f>IF($A243="","",IF(I243&lt;&gt;"",I243,Paramètres!B27))</f>
        <v/>
      </c>
      <c r="I243" s="18" t="n"/>
    </row>
    <row r="244">
      <c r="A244" s="18">
        <f>IF(ISNUMBER(Dossiers!$D$8),Dossiers!$A$8&amp;" · "&amp;Dossiers!$B$8,"")</f>
        <v/>
      </c>
      <c r="B244" s="18">
        <f>IF($A244="","",Paramètres!G28)</f>
        <v/>
      </c>
      <c r="C244" s="18">
        <f>IF($A244="","",IF(Paramètres!H28="","",Paramètres!H28))</f>
        <v/>
      </c>
      <c r="D244" s="18">
        <f>IF($A244="","",IF(Paramètres!I28="","",Paramètres!I28))</f>
        <v/>
      </c>
      <c r="E244" s="19">
        <f>IF($A244="","",IF(Paramètres!J28&amp;Paramètres!L28&amp;Paramètres!N28="",Dossiers!$D$8,MAX(IF(Paramètres!J28="",0,IF(Paramètres!K28="",NA(),IF(LEFT(TRIM(Paramètres!K28),1)="F",INDEX($F$221:$F$273,MATCH(Paramètres!J28,Paramètres!$G$5:$G$57,0)),INDEX($E$221:$E$273,MATCH(Paramètres!J28,Paramètres!$G$5:$G$57,0)))+IF(RIGHT(TRIM(Paramètres!K28),3)="Fin",1-$H244,IF(LEFT(TRIM(Paramètres!K28),1)="F",1,0)))),IF(Paramètres!L28="",0,IF(Paramètres!M28="",NA(),IF(LEFT(TRIM(Paramètres!M28),1)="F",INDEX($F$221:$F$273,MATCH(Paramètres!L28,Paramètres!$G$5:$G$57,0)),INDEX($E$221:$E$273,MATCH(Paramètres!L28,Paramètres!$G$5:$G$57,0)))+IF(RIGHT(TRIM(Paramètres!M28),3)="Fin",1-$H244,IF(LEFT(TRIM(Paramètres!M28),1)="F",1,0)))),IF(Paramètres!N28="",0,IF(Paramètres!O28="",NA(),IF(LEFT(TRIM(Paramètres!O28),1)="F",INDEX($F$221:$F$273,MATCH(Paramètres!N28,Paramètres!$G$5:$G$57,0)),INDEX($E$221:$E$273,MATCH(Paramètres!N28,Paramètres!$G$5:$G$57,0)))+IF(RIGHT(TRIM(Paramètres!O28),3)="Fin",1-$H244,IF(LEFT(TRIM(Paramètres!O28),1)="F",1,0)))))))</f>
        <v/>
      </c>
      <c r="F244" s="19">
        <f>IF($A244="","",E244+$H244-1)</f>
        <v/>
      </c>
      <c r="G244" s="18" t="n"/>
      <c r="H244" s="18">
        <f>IF($A244="","",IF(I244&lt;&gt;"",I244,Paramètres!B28))</f>
        <v/>
      </c>
      <c r="I244" s="18" t="n"/>
    </row>
    <row r="245">
      <c r="A245" s="18">
        <f>IF(ISNUMBER(Dossiers!$D$8),Dossiers!$A$8&amp;" · "&amp;Dossiers!$B$8,"")</f>
        <v/>
      </c>
      <c r="B245" s="18">
        <f>IF($A245="","",Paramètres!G29)</f>
        <v/>
      </c>
      <c r="C245" s="18">
        <f>IF($A245="","",IF(Paramètres!H29="","",Paramètres!H29))</f>
        <v/>
      </c>
      <c r="D245" s="18">
        <f>IF($A245="","",IF(Paramètres!I29="","",Paramètres!I29))</f>
        <v/>
      </c>
      <c r="E245" s="19">
        <f>IF($A245="","",IF(Paramètres!J29&amp;Paramètres!L29&amp;Paramètres!N29="",Dossiers!$D$8,MAX(IF(Paramètres!J29="",0,IF(Paramètres!K29="",NA(),IF(LEFT(TRIM(Paramètres!K29),1)="F",INDEX($F$221:$F$273,MATCH(Paramètres!J29,Paramètres!$G$5:$G$57,0)),INDEX($E$221:$E$273,MATCH(Paramètres!J29,Paramètres!$G$5:$G$57,0)))+IF(RIGHT(TRIM(Paramètres!K29),3)="Fin",1-$H245,IF(LEFT(TRIM(Paramètres!K29),1)="F",1,0)))),IF(Paramètres!L29="",0,IF(Paramètres!M29="",NA(),IF(LEFT(TRIM(Paramètres!M29),1)="F",INDEX($F$221:$F$273,MATCH(Paramètres!L29,Paramètres!$G$5:$G$57,0)),INDEX($E$221:$E$273,MATCH(Paramètres!L29,Paramètres!$G$5:$G$57,0)))+IF(RIGHT(TRIM(Paramètres!M29),3)="Fin",1-$H245,IF(LEFT(TRIM(Paramètres!M29),1)="F",1,0)))),IF(Paramètres!N29="",0,IF(Paramètres!O29="",NA(),IF(LEFT(TRIM(Paramètres!O29),1)="F",INDEX($F$221:$F$273,MATCH(Paramètres!N29,Paramètres!$G$5:$G$57,0)),INDEX($E$221:$E$273,MATCH(Paramètres!N29,Paramètres!$G$5:$G$57,0)))+IF(RIGHT(TRIM(Paramètres!O29),3)="Fin",1-$H245,IF(LEFT(TRIM(Paramètres!O29),1)="F",1,0)))))))</f>
        <v/>
      </c>
      <c r="F245" s="19">
        <f>IF($A245="","",E245+$H245-1)</f>
        <v/>
      </c>
      <c r="G245" s="18" t="n"/>
      <c r="H245" s="18">
        <f>IF($A245="","",IF(I245&lt;&gt;"",I245,Paramètres!B29))</f>
        <v/>
      </c>
      <c r="I245" s="18" t="n"/>
    </row>
    <row r="246">
      <c r="A246" s="18">
        <f>IF(ISNUMBER(Dossiers!$D$8),Dossiers!$A$8&amp;" · "&amp;Dossiers!$B$8,"")</f>
        <v/>
      </c>
      <c r="B246" s="18">
        <f>IF($A246="","",Paramètres!G30)</f>
        <v/>
      </c>
      <c r="C246" s="18">
        <f>IF($A246="","",IF(Paramètres!H30="","",Paramètres!H30))</f>
        <v/>
      </c>
      <c r="D246" s="18">
        <f>IF($A246="","",IF(Paramètres!I30="","",Paramètres!I30))</f>
        <v/>
      </c>
      <c r="E246" s="19">
        <f>IF($A246="","",IF(Paramètres!J30&amp;Paramètres!L30&amp;Paramètres!N30="",Dossiers!$D$8,MAX(IF(Paramètres!J30="",0,IF(Paramètres!K30="",NA(),IF(LEFT(TRIM(Paramètres!K30),1)="F",INDEX($F$221:$F$273,MATCH(Paramètres!J30,Paramètres!$G$5:$G$57,0)),INDEX($E$221:$E$273,MATCH(Paramètres!J30,Paramètres!$G$5:$G$57,0)))+IF(RIGHT(TRIM(Paramètres!K30),3)="Fin",1-$H246,IF(LEFT(TRIM(Paramètres!K30),1)="F",1,0)))),IF(Paramètres!L30="",0,IF(Paramètres!M30="",NA(),IF(LEFT(TRIM(Paramètres!M30),1)="F",INDEX($F$221:$F$273,MATCH(Paramètres!L30,Paramètres!$G$5:$G$57,0)),INDEX($E$221:$E$273,MATCH(Paramètres!L30,Paramètres!$G$5:$G$57,0)))+IF(RIGHT(TRIM(Paramètres!M30),3)="Fin",1-$H246,IF(LEFT(TRIM(Paramètres!M30),1)="F",1,0)))),IF(Paramètres!N30="",0,IF(Paramètres!O30="",NA(),IF(LEFT(TRIM(Paramètres!O30),1)="F",INDEX($F$221:$F$273,MATCH(Paramètres!N30,Paramètres!$G$5:$G$57,0)),INDEX($E$221:$E$273,MATCH(Paramètres!N30,Paramètres!$G$5:$G$57,0)))+IF(RIGHT(TRIM(Paramètres!O30),3)="Fin",1-$H246,IF(LEFT(TRIM(Paramètres!O30),1)="F",1,0)))))))</f>
        <v/>
      </c>
      <c r="F246" s="19">
        <f>IF($A246="","",E246+$H246-1)</f>
        <v/>
      </c>
      <c r="G246" s="18" t="n"/>
      <c r="H246" s="18">
        <f>IF($A246="","",IF(I246&lt;&gt;"",I246,Paramètres!B30))</f>
        <v/>
      </c>
      <c r="I246" s="18" t="n"/>
    </row>
    <row r="247">
      <c r="A247" s="18">
        <f>IF(ISNUMBER(Dossiers!$D$8),Dossiers!$A$8&amp;" · "&amp;Dossiers!$B$8,"")</f>
        <v/>
      </c>
      <c r="B247" s="18">
        <f>IF($A247="","",Paramètres!G31)</f>
        <v/>
      </c>
      <c r="C247" s="20">
        <f>IF($A247="","",IF(Dossiers!$F$8="","",Dossiers!$F$8))</f>
        <v/>
      </c>
      <c r="D247" s="18">
        <f>IF($A247="","",IF(Paramètres!I31="","",Paramètres!I31))</f>
        <v/>
      </c>
      <c r="E247" s="19">
        <f>IF($A247="","",IF(Paramètres!J31&amp;Paramètres!L31&amp;Paramètres!N31="",Dossiers!$D$8,MAX(IF(Paramètres!J31="",0,IF(Paramètres!K31="",NA(),IF(LEFT(TRIM(Paramètres!K31),1)="F",INDEX($F$221:$F$273,MATCH(Paramètres!J31,Paramètres!$G$5:$G$57,0)),INDEX($E$221:$E$273,MATCH(Paramètres!J31,Paramètres!$G$5:$G$57,0)))+IF(RIGHT(TRIM(Paramètres!K31),3)="Fin",1-$H247,IF(LEFT(TRIM(Paramètres!K31),1)="F",1,0)))),IF(Paramètres!L31="",0,IF(Paramètres!M31="",NA(),IF(LEFT(TRIM(Paramètres!M31),1)="F",INDEX($F$221:$F$273,MATCH(Paramètres!L31,Paramètres!$G$5:$G$57,0)),INDEX($E$221:$E$273,MATCH(Paramètres!L31,Paramètres!$G$5:$G$57,0)))+IF(RIGHT(TRIM(Paramètres!M31),3)="Fin",1-$H247,IF(LEFT(TRIM(Paramètres!M31),1)="F",1,0)))),IF(Paramètres!N31="",0,IF(Paramètres!O31="",NA(),IF(LEFT(TRIM(Paramètres!O31),1)="F",INDEX($F$221:$F$273,MATCH(Paramètres!N31,Paramètres!$G$5:$G$57,0)),INDEX($E$221:$E$273,MATCH(Paramètres!N31,Paramètres!$G$5:$G$57,0)))+IF(RIGHT(TRIM(Paramètres!O31),3)="Fin",1-$H247,IF(LEFT(TRIM(Paramètres!O31),1)="F",1,0)))))))</f>
        <v/>
      </c>
      <c r="F247" s="19">
        <f>IF($A247="","",E247+$H247-1)</f>
        <v/>
      </c>
      <c r="G247" s="18" t="n"/>
      <c r="H247" s="18">
        <f>IF($A247="","",IF(I247&lt;&gt;"",I247,Paramètres!B31))</f>
        <v/>
      </c>
      <c r="I247" s="18" t="n"/>
    </row>
    <row r="248">
      <c r="A248" s="18">
        <f>IF(ISNUMBER(Dossiers!$D$8),Dossiers!$A$8&amp;" · "&amp;Dossiers!$B$8,"")</f>
        <v/>
      </c>
      <c r="B248" s="18">
        <f>IF($A248="","",Paramètres!G32)</f>
        <v/>
      </c>
      <c r="C248" s="18">
        <f>IF($A248="","",IF(Paramètres!H32="","",Paramètres!H32))</f>
        <v/>
      </c>
      <c r="D248" s="18">
        <f>IF($A248="","",IF(Paramètres!I32="","",Paramètres!I32))</f>
        <v/>
      </c>
      <c r="E248" s="19">
        <f>IF($A248="","",MIN(E249:E252))</f>
        <v/>
      </c>
      <c r="F248" s="19">
        <f>IF($A248="","",MAX(F249:F252))</f>
        <v/>
      </c>
      <c r="G248" s="18" t="n"/>
      <c r="H248" s="18">
        <f>IF($A248="","",F248-E248+1)</f>
        <v/>
      </c>
      <c r="I248" s="18" t="n"/>
    </row>
    <row r="249">
      <c r="A249" s="18">
        <f>IF(ISNUMBER(Dossiers!$D$8),Dossiers!$A$8&amp;" · "&amp;Dossiers!$B$8,"")</f>
        <v/>
      </c>
      <c r="B249" s="18">
        <f>IF($A249="","",Paramètres!G33)</f>
        <v/>
      </c>
      <c r="C249" s="18">
        <f>IF($A249="","",IF(Paramètres!H33="","",Paramètres!H33))</f>
        <v/>
      </c>
      <c r="D249" s="18">
        <f>IF($A249="","",IF(Paramètres!I33="","",Paramètres!I33))</f>
        <v/>
      </c>
      <c r="E249" s="19">
        <f>IF($A249="","",IF(Paramètres!J33&amp;Paramètres!L33&amp;Paramètres!N33="",Dossiers!$D$8,MAX(IF(Paramètres!J33="",0,IF(Paramètres!K33="",NA(),IF(LEFT(TRIM(Paramètres!K33),1)="F",INDEX($F$221:$F$273,MATCH(Paramètres!J33,Paramètres!$G$5:$G$57,0)),INDEX($E$221:$E$273,MATCH(Paramètres!J33,Paramètres!$G$5:$G$57,0)))+IF(RIGHT(TRIM(Paramètres!K33),3)="Fin",1-$H249,IF(LEFT(TRIM(Paramètres!K33),1)="F",1,0)))),IF(Paramètres!L33="",0,IF(Paramètres!M33="",NA(),IF(LEFT(TRIM(Paramètres!M33),1)="F",INDEX($F$221:$F$273,MATCH(Paramètres!L33,Paramètres!$G$5:$G$57,0)),INDEX($E$221:$E$273,MATCH(Paramètres!L33,Paramètres!$G$5:$G$57,0)))+IF(RIGHT(TRIM(Paramètres!M33),3)="Fin",1-$H249,IF(LEFT(TRIM(Paramètres!M33),1)="F",1,0)))),IF(Paramètres!N33="",0,IF(Paramètres!O33="",NA(),IF(LEFT(TRIM(Paramètres!O33),1)="F",INDEX($F$221:$F$273,MATCH(Paramètres!N33,Paramètres!$G$5:$G$57,0)),INDEX($E$221:$E$273,MATCH(Paramètres!N33,Paramètres!$G$5:$G$57,0)))+IF(RIGHT(TRIM(Paramètres!O33),3)="Fin",1-$H249,IF(LEFT(TRIM(Paramètres!O33),1)="F",1,0)))))))</f>
        <v/>
      </c>
      <c r="F249" s="19">
        <f>IF($A249="","",E249+$H249-1)</f>
        <v/>
      </c>
      <c r="G249" s="18" t="n"/>
      <c r="H249" s="18">
        <f>IF($A249="","",IF(I249&lt;&gt;"",I249,Paramètres!B33))</f>
        <v/>
      </c>
      <c r="I249" s="18" t="n"/>
    </row>
    <row r="250">
      <c r="A250" s="18">
        <f>IF(ISNUMBER(Dossiers!$D$8),Dossiers!$A$8&amp;" · "&amp;Dossiers!$B$8,"")</f>
        <v/>
      </c>
      <c r="B250" s="18">
        <f>IF($A250="","",Paramètres!G34)</f>
        <v/>
      </c>
      <c r="C250" s="18">
        <f>IF($A250="","",IF(Paramètres!H34="","",Paramètres!H34))</f>
        <v/>
      </c>
      <c r="D250" s="18">
        <f>IF($A250="","",IF(Paramètres!I34="","",Paramètres!I34))</f>
        <v/>
      </c>
      <c r="E250" s="19">
        <f>IF($A250="","",IF(Paramètres!J34&amp;Paramètres!L34&amp;Paramètres!N34="",Dossiers!$D$8,MAX(IF(Paramètres!J34="",0,IF(Paramètres!K34="",NA(),IF(LEFT(TRIM(Paramètres!K34),1)="F",INDEX($F$221:$F$273,MATCH(Paramètres!J34,Paramètres!$G$5:$G$57,0)),INDEX($E$221:$E$273,MATCH(Paramètres!J34,Paramètres!$G$5:$G$57,0)))+IF(RIGHT(TRIM(Paramètres!K34),3)="Fin",1-$H250,IF(LEFT(TRIM(Paramètres!K34),1)="F",1,0)))),IF(Paramètres!L34="",0,IF(Paramètres!M34="",NA(),IF(LEFT(TRIM(Paramètres!M34),1)="F",INDEX($F$221:$F$273,MATCH(Paramètres!L34,Paramètres!$G$5:$G$57,0)),INDEX($E$221:$E$273,MATCH(Paramètres!L34,Paramètres!$G$5:$G$57,0)))+IF(RIGHT(TRIM(Paramètres!M34),3)="Fin",1-$H250,IF(LEFT(TRIM(Paramètres!M34),1)="F",1,0)))),IF(Paramètres!N34="",0,IF(Paramètres!O34="",NA(),IF(LEFT(TRIM(Paramètres!O34),1)="F",INDEX($F$221:$F$273,MATCH(Paramètres!N34,Paramètres!$G$5:$G$57,0)),INDEX($E$221:$E$273,MATCH(Paramètres!N34,Paramètres!$G$5:$G$57,0)))+IF(RIGHT(TRIM(Paramètres!O34),3)="Fin",1-$H250,IF(LEFT(TRIM(Paramètres!O34),1)="F",1,0)))))))</f>
        <v/>
      </c>
      <c r="F250" s="19">
        <f>IF($A250="","",E250+$H250-1)</f>
        <v/>
      </c>
      <c r="G250" s="18" t="n"/>
      <c r="H250" s="18">
        <f>IF($A250="","",IF(I250&lt;&gt;"",I250,Paramètres!B34))</f>
        <v/>
      </c>
      <c r="I250" s="18" t="n"/>
    </row>
    <row r="251">
      <c r="A251" s="18">
        <f>IF(ISNUMBER(Dossiers!$D$8),Dossiers!$A$8&amp;" · "&amp;Dossiers!$B$8,"")</f>
        <v/>
      </c>
      <c r="B251" s="18">
        <f>IF($A251="","",Paramètres!G35)</f>
        <v/>
      </c>
      <c r="C251" s="18">
        <f>IF($A251="","",IF(Paramètres!H35="","",Paramètres!H35))</f>
        <v/>
      </c>
      <c r="D251" s="18">
        <f>IF($A251="","",IF(Paramètres!I35="","",Paramètres!I35))</f>
        <v/>
      </c>
      <c r="E251" s="19">
        <f>IF($A251="","",IF(Paramètres!J35&amp;Paramètres!L35&amp;Paramètres!N35="",Dossiers!$D$8,MAX(IF(Paramètres!J35="",0,IF(Paramètres!K35="",NA(),IF(LEFT(TRIM(Paramètres!K35),1)="F",INDEX($F$221:$F$273,MATCH(Paramètres!J35,Paramètres!$G$5:$G$57,0)),INDEX($E$221:$E$273,MATCH(Paramètres!J35,Paramètres!$G$5:$G$57,0)))+IF(RIGHT(TRIM(Paramètres!K35),3)="Fin",1-$H251,IF(LEFT(TRIM(Paramètres!K35),1)="F",1,0)))),IF(Paramètres!L35="",0,IF(Paramètres!M35="",NA(),IF(LEFT(TRIM(Paramètres!M35),1)="F",INDEX($F$221:$F$273,MATCH(Paramètres!L35,Paramètres!$G$5:$G$57,0)),INDEX($E$221:$E$273,MATCH(Paramètres!L35,Paramètres!$G$5:$G$57,0)))+IF(RIGHT(TRIM(Paramètres!M35),3)="Fin",1-$H251,IF(LEFT(TRIM(Paramètres!M35),1)="F",1,0)))),IF(Paramètres!N35="",0,IF(Paramètres!O35="",NA(),IF(LEFT(TRIM(Paramètres!O35),1)="F",INDEX($F$221:$F$273,MATCH(Paramètres!N35,Paramètres!$G$5:$G$57,0)),INDEX($E$221:$E$273,MATCH(Paramètres!N35,Paramètres!$G$5:$G$57,0)))+IF(RIGHT(TRIM(Paramètres!O35),3)="Fin",1-$H251,IF(LEFT(TRIM(Paramètres!O35),1)="F",1,0)))))))</f>
        <v/>
      </c>
      <c r="F251" s="19">
        <f>IF($A251="","",E251+$H251-1)</f>
        <v/>
      </c>
      <c r="G251" s="18" t="n"/>
      <c r="H251" s="18">
        <f>IF($A251="","",IF(I251&lt;&gt;"",I251,Paramètres!B35))</f>
        <v/>
      </c>
      <c r="I251" s="18" t="n"/>
    </row>
    <row r="252">
      <c r="A252" s="18">
        <f>IF(ISNUMBER(Dossiers!$D$8),Dossiers!$A$8&amp;" · "&amp;Dossiers!$B$8,"")</f>
        <v/>
      </c>
      <c r="B252" s="18">
        <f>IF($A252="","",Paramètres!G36)</f>
        <v/>
      </c>
      <c r="C252" s="18">
        <f>IF($A252="","",IF(Paramètres!H36="","",Paramètres!H36))</f>
        <v/>
      </c>
      <c r="D252" s="18">
        <f>IF($A252="","",IF(Paramètres!I36="","",Paramètres!I36))</f>
        <v/>
      </c>
      <c r="E252" s="19">
        <f>IF($A252="","",IF(Paramètres!J36&amp;Paramètres!L36&amp;Paramètres!N36="",Dossiers!$D$8,MAX(IF(Paramètres!J36="",0,IF(Paramètres!K36="",NA(),IF(LEFT(TRIM(Paramètres!K36),1)="F",INDEX($F$221:$F$273,MATCH(Paramètres!J36,Paramètres!$G$5:$G$57,0)),INDEX($E$221:$E$273,MATCH(Paramètres!J36,Paramètres!$G$5:$G$57,0)))+IF(RIGHT(TRIM(Paramètres!K36),3)="Fin",1-$H252,IF(LEFT(TRIM(Paramètres!K36),1)="F",1,0)))),IF(Paramètres!L36="",0,IF(Paramètres!M36="",NA(),IF(LEFT(TRIM(Paramètres!M36),1)="F",INDEX($F$221:$F$273,MATCH(Paramètres!L36,Paramètres!$G$5:$G$57,0)),INDEX($E$221:$E$273,MATCH(Paramètres!L36,Paramètres!$G$5:$G$57,0)))+IF(RIGHT(TRIM(Paramètres!M36),3)="Fin",1-$H252,IF(LEFT(TRIM(Paramètres!M36),1)="F",1,0)))),IF(Paramètres!N36="",0,IF(Paramètres!O36="",NA(),IF(LEFT(TRIM(Paramètres!O36),1)="F",INDEX($F$221:$F$273,MATCH(Paramètres!N36,Paramètres!$G$5:$G$57,0)),INDEX($E$221:$E$273,MATCH(Paramètres!N36,Paramètres!$G$5:$G$57,0)))+IF(RIGHT(TRIM(Paramètres!O36),3)="Fin",1-$H252,IF(LEFT(TRIM(Paramètres!O36),1)="F",1,0)))))))</f>
        <v/>
      </c>
      <c r="F252" s="19">
        <f>IF($A252="","",E252+$H252-1)</f>
        <v/>
      </c>
      <c r="G252" s="18" t="n"/>
      <c r="H252" s="18">
        <f>IF($A252="","",IF(I252&lt;&gt;"",I252,Paramètres!B36))</f>
        <v/>
      </c>
      <c r="I252" s="18" t="n"/>
    </row>
    <row r="253">
      <c r="A253" s="18">
        <f>IF(ISNUMBER(Dossiers!$D$8),Dossiers!$A$8&amp;" · "&amp;Dossiers!$B$8,"")</f>
        <v/>
      </c>
      <c r="B253" s="18">
        <f>IF($A253="","",Paramètres!G37)</f>
        <v/>
      </c>
      <c r="C253" s="18">
        <f>IF($A253="","",IF(Paramètres!H37="","",Paramètres!H37))</f>
        <v/>
      </c>
      <c r="D253" s="18">
        <f>IF($A253="","",IF(Paramètres!I37="","",Paramètres!I37))</f>
        <v/>
      </c>
      <c r="E253" s="19">
        <f>IF($A253="","",MIN(E254:E271))</f>
        <v/>
      </c>
      <c r="F253" s="19">
        <f>IF($A253="","",MAX(F254:F271))</f>
        <v/>
      </c>
      <c r="G253" s="18" t="n"/>
      <c r="H253" s="18">
        <f>IF($A253="","",F253-E253+1)</f>
        <v/>
      </c>
      <c r="I253" s="18" t="n"/>
    </row>
    <row r="254">
      <c r="A254" s="18">
        <f>IF(ISNUMBER(Dossiers!$D$8),Dossiers!$A$8&amp;" · "&amp;Dossiers!$B$8,"")</f>
        <v/>
      </c>
      <c r="B254" s="18">
        <f>IF($A254="","",Paramètres!G38)</f>
        <v/>
      </c>
      <c r="C254" s="18">
        <f>IF($A254="","",IF(Paramètres!H38="","",Paramètres!H38))</f>
        <v/>
      </c>
      <c r="D254" s="18">
        <f>IF($A254="","",IF(Paramètres!I38="","",Paramètres!I38))</f>
        <v/>
      </c>
      <c r="E254" s="19">
        <f>IF($A254="","",IF(Paramètres!J38&amp;Paramètres!L38&amp;Paramètres!N38="",Dossiers!$D$8,MAX(IF(Paramètres!J38="",0,IF(Paramètres!K38="",NA(),IF(LEFT(TRIM(Paramètres!K38),1)="F",INDEX($F$221:$F$273,MATCH(Paramètres!J38,Paramètres!$G$5:$G$57,0)),INDEX($E$221:$E$273,MATCH(Paramètres!J38,Paramètres!$G$5:$G$57,0)))+IF(RIGHT(TRIM(Paramètres!K38),3)="Fin",1-$H254,IF(LEFT(TRIM(Paramètres!K38),1)="F",1,0)))),IF(Paramètres!L38="",0,IF(Paramètres!M38="",NA(),IF(LEFT(TRIM(Paramètres!M38),1)="F",INDEX($F$221:$F$273,MATCH(Paramètres!L38,Paramètres!$G$5:$G$57,0)),INDEX($E$221:$E$273,MATCH(Paramètres!L38,Paramètres!$G$5:$G$57,0)))+IF(RIGHT(TRIM(Paramètres!M38),3)="Fin",1-$H254,IF(LEFT(TRIM(Paramètres!M38),1)="F",1,0)))),IF(Paramètres!N38="",0,IF(Paramètres!O38="",NA(),IF(LEFT(TRIM(Paramètres!O38),1)="F",INDEX($F$221:$F$273,MATCH(Paramètres!N38,Paramètres!$G$5:$G$57,0)),INDEX($E$221:$E$273,MATCH(Paramètres!N38,Paramètres!$G$5:$G$57,0)))+IF(RIGHT(TRIM(Paramètres!O38),3)="Fin",1-$H254,IF(LEFT(TRIM(Paramètres!O38),1)="F",1,0)))))))</f>
        <v/>
      </c>
      <c r="F254" s="19">
        <f>IF($A254="","",E254+$H254-1)</f>
        <v/>
      </c>
      <c r="G254" s="18" t="n"/>
      <c r="H254" s="18">
        <f>IF($A254="","",IF(I254&lt;&gt;"",I254,Paramètres!B38))</f>
        <v/>
      </c>
      <c r="I254" s="18" t="n"/>
    </row>
    <row r="255">
      <c r="A255" s="18">
        <f>IF(ISNUMBER(Dossiers!$D$8),Dossiers!$A$8&amp;" · "&amp;Dossiers!$B$8,"")</f>
        <v/>
      </c>
      <c r="B255" s="18">
        <f>IF($A255="","",Paramètres!G39)</f>
        <v/>
      </c>
      <c r="C255" s="18">
        <f>IF($A255="","",IF(Paramètres!H39="","",Paramètres!H39))</f>
        <v/>
      </c>
      <c r="D255" s="18">
        <f>IF($A255="","",IF(Paramètres!I39="","",Paramètres!I39))</f>
        <v/>
      </c>
      <c r="E255" s="19">
        <f>IF($A255="","",IF(Paramètres!J39&amp;Paramètres!L39&amp;Paramètres!N39="",Dossiers!$D$8,MAX(IF(Paramètres!J39="",0,IF(Paramètres!K39="",NA(),IF(LEFT(TRIM(Paramètres!K39),1)="F",INDEX($F$221:$F$273,MATCH(Paramètres!J39,Paramètres!$G$5:$G$57,0)),INDEX($E$221:$E$273,MATCH(Paramètres!J39,Paramètres!$G$5:$G$57,0)))+IF(RIGHT(TRIM(Paramètres!K39),3)="Fin",1-$H255,IF(LEFT(TRIM(Paramètres!K39),1)="F",1,0)))),IF(Paramètres!L39="",0,IF(Paramètres!M39="",NA(),IF(LEFT(TRIM(Paramètres!M39),1)="F",INDEX($F$221:$F$273,MATCH(Paramètres!L39,Paramètres!$G$5:$G$57,0)),INDEX($E$221:$E$273,MATCH(Paramètres!L39,Paramètres!$G$5:$G$57,0)))+IF(RIGHT(TRIM(Paramètres!M39),3)="Fin",1-$H255,IF(LEFT(TRIM(Paramètres!M39),1)="F",1,0)))),IF(Paramètres!N39="",0,IF(Paramètres!O39="",NA(),IF(LEFT(TRIM(Paramètres!O39),1)="F",INDEX($F$221:$F$273,MATCH(Paramètres!N39,Paramètres!$G$5:$G$57,0)),INDEX($E$221:$E$273,MATCH(Paramètres!N39,Paramètres!$G$5:$G$57,0)))+IF(RIGHT(TRIM(Paramètres!O39),3)="Fin",1-$H255,IF(LEFT(TRIM(Paramètres!O39),1)="F",1,0)))))))</f>
        <v/>
      </c>
      <c r="F255" s="19">
        <f>IF($A255="","",E255+$H255-1)</f>
        <v/>
      </c>
      <c r="G255" s="18" t="n"/>
      <c r="H255" s="18">
        <f>IF($A255="","",IF(I255&lt;&gt;"",I255,Paramètres!B39))</f>
        <v/>
      </c>
      <c r="I255" s="18" t="n"/>
    </row>
    <row r="256">
      <c r="A256" s="18">
        <f>IF(ISNUMBER(Dossiers!$D$8),Dossiers!$A$8&amp;" · "&amp;Dossiers!$B$8,"")</f>
        <v/>
      </c>
      <c r="B256" s="18">
        <f>IF($A256="","",Paramètres!G40)</f>
        <v/>
      </c>
      <c r="C256" s="18">
        <f>IF($A256="","",IF(Paramètres!H40="","",Paramètres!H40))</f>
        <v/>
      </c>
      <c r="D256" s="18">
        <f>IF($A256="","",IF(Paramètres!I40="","",Paramètres!I40))</f>
        <v/>
      </c>
      <c r="E256" s="19">
        <f>IF($A256="","",IF(Paramètres!J40&amp;Paramètres!L40&amp;Paramètres!N40="",Dossiers!$D$8,MAX(IF(Paramètres!J40="",0,IF(Paramètres!K40="",NA(),IF(LEFT(TRIM(Paramètres!K40),1)="F",INDEX($F$221:$F$273,MATCH(Paramètres!J40,Paramètres!$G$5:$G$57,0)),INDEX($E$221:$E$273,MATCH(Paramètres!J40,Paramètres!$G$5:$G$57,0)))+IF(RIGHT(TRIM(Paramètres!K40),3)="Fin",1-$H256,IF(LEFT(TRIM(Paramètres!K40),1)="F",1,0)))),IF(Paramètres!L40="",0,IF(Paramètres!M40="",NA(),IF(LEFT(TRIM(Paramètres!M40),1)="F",INDEX($F$221:$F$273,MATCH(Paramètres!L40,Paramètres!$G$5:$G$57,0)),INDEX($E$221:$E$273,MATCH(Paramètres!L40,Paramètres!$G$5:$G$57,0)))+IF(RIGHT(TRIM(Paramètres!M40),3)="Fin",1-$H256,IF(LEFT(TRIM(Paramètres!M40),1)="F",1,0)))),IF(Paramètres!N40="",0,IF(Paramètres!O40="",NA(),IF(LEFT(TRIM(Paramètres!O40),1)="F",INDEX($F$221:$F$273,MATCH(Paramètres!N40,Paramètres!$G$5:$G$57,0)),INDEX($E$221:$E$273,MATCH(Paramètres!N40,Paramètres!$G$5:$G$57,0)))+IF(RIGHT(TRIM(Paramètres!O40),3)="Fin",1-$H256,IF(LEFT(TRIM(Paramètres!O40),1)="F",1,0)))))))</f>
        <v/>
      </c>
      <c r="F256" s="19">
        <f>IF($A256="","",E256+$H256-1)</f>
        <v/>
      </c>
      <c r="G256" s="18" t="n"/>
      <c r="H256" s="18">
        <f>IF($A256="","",IF(I256&lt;&gt;"",I256,Paramètres!B40))</f>
        <v/>
      </c>
      <c r="I256" s="18" t="n"/>
    </row>
    <row r="257">
      <c r="A257" s="18">
        <f>IF(ISNUMBER(Dossiers!$D$8),Dossiers!$A$8&amp;" · "&amp;Dossiers!$B$8,"")</f>
        <v/>
      </c>
      <c r="B257" s="18">
        <f>IF($A257="","",Paramètres!G41)</f>
        <v/>
      </c>
      <c r="C257" s="18">
        <f>IF($A257="","",IF(Paramètres!H41="","",Paramètres!H41))</f>
        <v/>
      </c>
      <c r="D257" s="18">
        <f>IF($A257="","",IF(Paramètres!I41="","",Paramètres!I41))</f>
        <v/>
      </c>
      <c r="E257" s="19">
        <f>IF($A257="","",IF(Paramètres!J41&amp;Paramètres!L41&amp;Paramètres!N41="",Dossiers!$D$8,MAX(IF(Paramètres!J41="",0,IF(Paramètres!K41="",NA(),IF(LEFT(TRIM(Paramètres!K41),1)="F",INDEX($F$221:$F$273,MATCH(Paramètres!J41,Paramètres!$G$5:$G$57,0)),INDEX($E$221:$E$273,MATCH(Paramètres!J41,Paramètres!$G$5:$G$57,0)))+IF(RIGHT(TRIM(Paramètres!K41),3)="Fin",1-$H257,IF(LEFT(TRIM(Paramètres!K41),1)="F",1,0)))),IF(Paramètres!L41="",0,IF(Paramètres!M41="",NA(),IF(LEFT(TRIM(Paramètres!M41),1)="F",INDEX($F$221:$F$273,MATCH(Paramètres!L41,Paramètres!$G$5:$G$57,0)),INDEX($E$221:$E$273,MATCH(Paramètres!L41,Paramètres!$G$5:$G$57,0)))+IF(RIGHT(TRIM(Paramètres!M41),3)="Fin",1-$H257,IF(LEFT(TRIM(Paramètres!M41),1)="F",1,0)))),IF(Paramètres!N41="",0,IF(Paramètres!O41="",NA(),IF(LEFT(TRIM(Paramètres!O41),1)="F",INDEX($F$221:$F$273,MATCH(Paramètres!N41,Paramètres!$G$5:$G$57,0)),INDEX($E$221:$E$273,MATCH(Paramètres!N41,Paramètres!$G$5:$G$57,0)))+IF(RIGHT(TRIM(Paramètres!O41),3)="Fin",1-$H257,IF(LEFT(TRIM(Paramètres!O41),1)="F",1,0)))))))</f>
        <v/>
      </c>
      <c r="F257" s="19">
        <f>IF($A257="","",E257+$H257-1)</f>
        <v/>
      </c>
      <c r="G257" s="18" t="n"/>
      <c r="H257" s="18">
        <f>IF($A257="","",IF(I257&lt;&gt;"",I257,Paramètres!B41))</f>
        <v/>
      </c>
      <c r="I257" s="18" t="n"/>
    </row>
    <row r="258">
      <c r="A258" s="18">
        <f>IF(ISNUMBER(Dossiers!$D$8),Dossiers!$A$8&amp;" · "&amp;Dossiers!$B$8,"")</f>
        <v/>
      </c>
      <c r="B258" s="18">
        <f>IF($A258="","",Paramètres!G42)</f>
        <v/>
      </c>
      <c r="C258" s="18">
        <f>IF($A258="","",IF(Paramètres!H42="","",Paramètres!H42))</f>
        <v/>
      </c>
      <c r="D258" s="18">
        <f>IF($A258="","",IF(Paramètres!I42="","",Paramètres!I42))</f>
        <v/>
      </c>
      <c r="E258" s="19">
        <f>IF($A258="","",IF(Paramètres!J42&amp;Paramètres!L42&amp;Paramètres!N42="",Dossiers!$D$8,MAX(IF(Paramètres!J42="",0,IF(Paramètres!K42="",NA(),IF(LEFT(TRIM(Paramètres!K42),1)="F",INDEX($F$221:$F$273,MATCH(Paramètres!J42,Paramètres!$G$5:$G$57,0)),INDEX($E$221:$E$273,MATCH(Paramètres!J42,Paramètres!$G$5:$G$57,0)))+IF(RIGHT(TRIM(Paramètres!K42),3)="Fin",1-$H258,IF(LEFT(TRIM(Paramètres!K42),1)="F",1,0)))),IF(Paramètres!L42="",0,IF(Paramètres!M42="",NA(),IF(LEFT(TRIM(Paramètres!M42),1)="F",INDEX($F$221:$F$273,MATCH(Paramètres!L42,Paramètres!$G$5:$G$57,0)),INDEX($E$221:$E$273,MATCH(Paramètres!L42,Paramètres!$G$5:$G$57,0)))+IF(RIGHT(TRIM(Paramètres!M42),3)="Fin",1-$H258,IF(LEFT(TRIM(Paramètres!M42),1)="F",1,0)))),IF(Paramètres!N42="",0,IF(Paramètres!O42="",NA(),IF(LEFT(TRIM(Paramètres!O42),1)="F",INDEX($F$221:$F$273,MATCH(Paramètres!N42,Paramètres!$G$5:$G$57,0)),INDEX($E$221:$E$273,MATCH(Paramètres!N42,Paramètres!$G$5:$G$57,0)))+IF(RIGHT(TRIM(Paramètres!O42),3)="Fin",1-$H258,IF(LEFT(TRIM(Paramètres!O42),1)="F",1,0)))))))</f>
        <v/>
      </c>
      <c r="F258" s="19">
        <f>IF($A258="","",E258+$H258-1)</f>
        <v/>
      </c>
      <c r="G258" s="18" t="n"/>
      <c r="H258" s="18">
        <f>IF($A258="","",IF(I258&lt;&gt;"",I258,Paramètres!B42))</f>
        <v/>
      </c>
      <c r="I258" s="18" t="n"/>
    </row>
    <row r="259">
      <c r="A259" s="18">
        <f>IF(ISNUMBER(Dossiers!$D$8),Dossiers!$A$8&amp;" · "&amp;Dossiers!$B$8,"")</f>
        <v/>
      </c>
      <c r="B259" s="18">
        <f>IF($A259="","",Paramètres!G43)</f>
        <v/>
      </c>
      <c r="C259" s="18">
        <f>IF($A259="","",IF(Paramètres!H43="","",Paramètres!H43))</f>
        <v/>
      </c>
      <c r="D259" s="18">
        <f>IF($A259="","",IF(Paramètres!I43="","",Paramètres!I43))</f>
        <v/>
      </c>
      <c r="E259" s="19">
        <f>IF($A259="","",IF(Paramètres!J43&amp;Paramètres!L43&amp;Paramètres!N43="",Dossiers!$D$8,MAX(IF(Paramètres!J43="",0,IF(Paramètres!K43="",NA(),IF(LEFT(TRIM(Paramètres!K43),1)="F",INDEX($F$221:$F$273,MATCH(Paramètres!J43,Paramètres!$G$5:$G$57,0)),INDEX($E$221:$E$273,MATCH(Paramètres!J43,Paramètres!$G$5:$G$57,0)))+IF(RIGHT(TRIM(Paramètres!K43),3)="Fin",1-$H259,IF(LEFT(TRIM(Paramètres!K43),1)="F",1,0)))),IF(Paramètres!L43="",0,IF(Paramètres!M43="",NA(),IF(LEFT(TRIM(Paramètres!M43),1)="F",INDEX($F$221:$F$273,MATCH(Paramètres!L43,Paramètres!$G$5:$G$57,0)),INDEX($E$221:$E$273,MATCH(Paramètres!L43,Paramètres!$G$5:$G$57,0)))+IF(RIGHT(TRIM(Paramètres!M43),3)="Fin",1-$H259,IF(LEFT(TRIM(Paramètres!M43),1)="F",1,0)))),IF(Paramètres!N43="",0,IF(Paramètres!O43="",NA(),IF(LEFT(TRIM(Paramètres!O43),1)="F",INDEX($F$221:$F$273,MATCH(Paramètres!N43,Paramètres!$G$5:$G$57,0)),INDEX($E$221:$E$273,MATCH(Paramètres!N43,Paramètres!$G$5:$G$57,0)))+IF(RIGHT(TRIM(Paramètres!O43),3)="Fin",1-$H259,IF(LEFT(TRIM(Paramètres!O43),1)="F",1,0)))))))</f>
        <v/>
      </c>
      <c r="F259" s="19">
        <f>IF($A259="","",E259+$H259-1)</f>
        <v/>
      </c>
      <c r="G259" s="18" t="n"/>
      <c r="H259" s="18">
        <f>IF($A259="","",IF(I259&lt;&gt;"",I259,Paramètres!B43))</f>
        <v/>
      </c>
      <c r="I259" s="18" t="n"/>
    </row>
    <row r="260">
      <c r="A260" s="18">
        <f>IF(ISNUMBER(Dossiers!$D$8),Dossiers!$A$8&amp;" · "&amp;Dossiers!$B$8,"")</f>
        <v/>
      </c>
      <c r="B260" s="18">
        <f>IF($A260="","",Paramètres!G44)</f>
        <v/>
      </c>
      <c r="C260" s="18">
        <f>IF($A260="","",IF(Paramètres!H44="","",Paramètres!H44))</f>
        <v/>
      </c>
      <c r="D260" s="18">
        <f>IF($A260="","",IF(Paramètres!I44="","",Paramètres!I44))</f>
        <v/>
      </c>
      <c r="E260" s="19">
        <f>IF($A260="","",IF(Paramètres!J44&amp;Paramètres!L44&amp;Paramètres!N44="",Dossiers!$D$8,MAX(IF(Paramètres!J44="",0,IF(Paramètres!K44="",NA(),IF(LEFT(TRIM(Paramètres!K44),1)="F",INDEX($F$221:$F$273,MATCH(Paramètres!J44,Paramètres!$G$5:$G$57,0)),INDEX($E$221:$E$273,MATCH(Paramètres!J44,Paramètres!$G$5:$G$57,0)))+IF(RIGHT(TRIM(Paramètres!K44),3)="Fin",1-$H260,IF(LEFT(TRIM(Paramètres!K44),1)="F",1,0)))),IF(Paramètres!L44="",0,IF(Paramètres!M44="",NA(),IF(LEFT(TRIM(Paramètres!M44),1)="F",INDEX($F$221:$F$273,MATCH(Paramètres!L44,Paramètres!$G$5:$G$57,0)),INDEX($E$221:$E$273,MATCH(Paramètres!L44,Paramètres!$G$5:$G$57,0)))+IF(RIGHT(TRIM(Paramètres!M44),3)="Fin",1-$H260,IF(LEFT(TRIM(Paramètres!M44),1)="F",1,0)))),IF(Paramètres!N44="",0,IF(Paramètres!O44="",NA(),IF(LEFT(TRIM(Paramètres!O44),1)="F",INDEX($F$221:$F$273,MATCH(Paramètres!N44,Paramètres!$G$5:$G$57,0)),INDEX($E$221:$E$273,MATCH(Paramètres!N44,Paramètres!$G$5:$G$57,0)))+IF(RIGHT(TRIM(Paramètres!O44),3)="Fin",1-$H260,IF(LEFT(TRIM(Paramètres!O44),1)="F",1,0)))))))</f>
        <v/>
      </c>
      <c r="F260" s="19">
        <f>IF($A260="","",E260+$H260-1)</f>
        <v/>
      </c>
      <c r="G260" s="18" t="n"/>
      <c r="H260" s="18">
        <f>IF($A260="","",IF(I260&lt;&gt;"",I260,Paramètres!B44))</f>
        <v/>
      </c>
      <c r="I260" s="18" t="n"/>
    </row>
    <row r="261">
      <c r="A261" s="18">
        <f>IF(ISNUMBER(Dossiers!$D$8),Dossiers!$A$8&amp;" · "&amp;Dossiers!$B$8,"")</f>
        <v/>
      </c>
      <c r="B261" s="18">
        <f>IF($A261="","",Paramètres!G45)</f>
        <v/>
      </c>
      <c r="C261" s="20">
        <f>IF($A261="","",IF(Dossiers!$G$8="","",Dossiers!$G$8))</f>
        <v/>
      </c>
      <c r="D261" s="18">
        <f>IF($A261="","",IF(Paramètres!I45="","",Paramètres!I45))</f>
        <v/>
      </c>
      <c r="E261" s="19">
        <f>IF($A261="","",IF(Paramètres!J45&amp;Paramètres!L45&amp;Paramètres!N45="",Dossiers!$D$8,MAX(IF(Paramètres!J45="",0,IF(Paramètres!K45="",NA(),IF(LEFT(TRIM(Paramètres!K45),1)="F",INDEX($F$221:$F$273,MATCH(Paramètres!J45,Paramètres!$G$5:$G$57,0)),INDEX($E$221:$E$273,MATCH(Paramètres!J45,Paramètres!$G$5:$G$57,0)))+IF(RIGHT(TRIM(Paramètres!K45),3)="Fin",1-$H261,IF(LEFT(TRIM(Paramètres!K45),1)="F",1,0)))),IF(Paramètres!L45="",0,IF(Paramètres!M45="",NA(),IF(LEFT(TRIM(Paramètres!M45),1)="F",INDEX($F$221:$F$273,MATCH(Paramètres!L45,Paramètres!$G$5:$G$57,0)),INDEX($E$221:$E$273,MATCH(Paramètres!L45,Paramètres!$G$5:$G$57,0)))+IF(RIGHT(TRIM(Paramètres!M45),3)="Fin",1-$H261,IF(LEFT(TRIM(Paramètres!M45),1)="F",1,0)))),IF(Paramètres!N45="",0,IF(Paramètres!O45="",NA(),IF(LEFT(TRIM(Paramètres!O45),1)="F",INDEX($F$221:$F$273,MATCH(Paramètres!N45,Paramètres!$G$5:$G$57,0)),INDEX($E$221:$E$273,MATCH(Paramètres!N45,Paramètres!$G$5:$G$57,0)))+IF(RIGHT(TRIM(Paramètres!O45),3)="Fin",1-$H261,IF(LEFT(TRIM(Paramètres!O45),1)="F",1,0)))))))</f>
        <v/>
      </c>
      <c r="F261" s="19">
        <f>IF($A261="","",E261+$H261-1)</f>
        <v/>
      </c>
      <c r="G261" s="18" t="n"/>
      <c r="H261" s="18">
        <f>IF($A261="","",IF(I261&lt;&gt;"",I261,Paramètres!B45))</f>
        <v/>
      </c>
      <c r="I261" s="18" t="n"/>
    </row>
    <row r="262">
      <c r="A262" s="18">
        <f>IF(ISNUMBER(Dossiers!$D$8),Dossiers!$A$8&amp;" · "&amp;Dossiers!$B$8,"")</f>
        <v/>
      </c>
      <c r="B262" s="18">
        <f>IF($A262="","",Paramètres!G46)</f>
        <v/>
      </c>
      <c r="C262" s="18">
        <f>IF($A262="","",IF(Paramètres!H46="","",Paramètres!H46))</f>
        <v/>
      </c>
      <c r="D262" s="18">
        <f>IF($A262="","",IF(Paramètres!I46="","",Paramètres!I46))</f>
        <v/>
      </c>
      <c r="E262" s="19">
        <f>IF($A262="","",IF(Paramètres!J46&amp;Paramètres!L46&amp;Paramètres!N46="",Dossiers!$D$8,MAX(IF(Paramètres!J46="",0,IF(Paramètres!K46="",NA(),IF(LEFT(TRIM(Paramètres!K46),1)="F",INDEX($F$221:$F$273,MATCH(Paramètres!J46,Paramètres!$G$5:$G$57,0)),INDEX($E$221:$E$273,MATCH(Paramètres!J46,Paramètres!$G$5:$G$57,0)))+IF(RIGHT(TRIM(Paramètres!K46),3)="Fin",1-$H262,IF(LEFT(TRIM(Paramètres!K46),1)="F",1,0)))),IF(Paramètres!L46="",0,IF(Paramètres!M46="",NA(),IF(LEFT(TRIM(Paramètres!M46),1)="F",INDEX($F$221:$F$273,MATCH(Paramètres!L46,Paramètres!$G$5:$G$57,0)),INDEX($E$221:$E$273,MATCH(Paramètres!L46,Paramètres!$G$5:$G$57,0)))+IF(RIGHT(TRIM(Paramètres!M46),3)="Fin",1-$H262,IF(LEFT(TRIM(Paramètres!M46),1)="F",1,0)))),IF(Paramètres!N46="",0,IF(Paramètres!O46="",NA(),IF(LEFT(TRIM(Paramètres!O46),1)="F",INDEX($F$221:$F$273,MATCH(Paramètres!N46,Paramètres!$G$5:$G$57,0)),INDEX($E$221:$E$273,MATCH(Paramètres!N46,Paramètres!$G$5:$G$57,0)))+IF(RIGHT(TRIM(Paramètres!O46),3)="Fin",1-$H262,IF(LEFT(TRIM(Paramètres!O46),1)="F",1,0)))))))</f>
        <v/>
      </c>
      <c r="F262" s="19">
        <f>IF($A262="","",E262+$H262-1)</f>
        <v/>
      </c>
      <c r="G262" s="18" t="n"/>
      <c r="H262" s="18">
        <f>IF($A262="","",IF(I262&lt;&gt;"",I262,Paramètres!B46))</f>
        <v/>
      </c>
      <c r="I262" s="18" t="n"/>
    </row>
    <row r="263">
      <c r="A263" s="18">
        <f>IF(ISNUMBER(Dossiers!$D$8),Dossiers!$A$8&amp;" · "&amp;Dossiers!$B$8,"")</f>
        <v/>
      </c>
      <c r="B263" s="18">
        <f>IF($A263="","",Paramètres!G47)</f>
        <v/>
      </c>
      <c r="C263" s="18">
        <f>IF($A263="","",IF(Paramètres!H47="","",Paramètres!H47))</f>
        <v/>
      </c>
      <c r="D263" s="18">
        <f>IF($A263="","",IF(Paramètres!I47="","",Paramètres!I47))</f>
        <v/>
      </c>
      <c r="E263" s="19">
        <f>IF($A263="","",IF(Paramètres!J47&amp;Paramètres!L47&amp;Paramètres!N47="",Dossiers!$D$8,MAX(IF(Paramètres!J47="",0,IF(Paramètres!K47="",NA(),IF(LEFT(TRIM(Paramètres!K47),1)="F",INDEX($F$221:$F$273,MATCH(Paramètres!J47,Paramètres!$G$5:$G$57,0)),INDEX($E$221:$E$273,MATCH(Paramètres!J47,Paramètres!$G$5:$G$57,0)))+IF(RIGHT(TRIM(Paramètres!K47),3)="Fin",1-$H263,IF(LEFT(TRIM(Paramètres!K47),1)="F",1,0)))),IF(Paramètres!L47="",0,IF(Paramètres!M47="",NA(),IF(LEFT(TRIM(Paramètres!M47),1)="F",INDEX($F$221:$F$273,MATCH(Paramètres!L47,Paramètres!$G$5:$G$57,0)),INDEX($E$221:$E$273,MATCH(Paramètres!L47,Paramètres!$G$5:$G$57,0)))+IF(RIGHT(TRIM(Paramètres!M47),3)="Fin",1-$H263,IF(LEFT(TRIM(Paramètres!M47),1)="F",1,0)))),IF(Paramètres!N47="",0,IF(Paramètres!O47="",NA(),IF(LEFT(TRIM(Paramètres!O47),1)="F",INDEX($F$221:$F$273,MATCH(Paramètres!N47,Paramètres!$G$5:$G$57,0)),INDEX($E$221:$E$273,MATCH(Paramètres!N47,Paramètres!$G$5:$G$57,0)))+IF(RIGHT(TRIM(Paramètres!O47),3)="Fin",1-$H263,IF(LEFT(TRIM(Paramètres!O47),1)="F",1,0)))))))</f>
        <v/>
      </c>
      <c r="F263" s="19">
        <f>IF($A263="","",E263+$H263-1)</f>
        <v/>
      </c>
      <c r="G263" s="18" t="n"/>
      <c r="H263" s="18">
        <f>IF($A263="","",IF(I263&lt;&gt;"",I263,Paramètres!B47))</f>
        <v/>
      </c>
      <c r="I263" s="18" t="n"/>
    </row>
    <row r="264">
      <c r="A264" s="18">
        <f>IF(ISNUMBER(Dossiers!$D$8),Dossiers!$A$8&amp;" · "&amp;Dossiers!$B$8,"")</f>
        <v/>
      </c>
      <c r="B264" s="18">
        <f>IF($A264="","",Paramètres!G48)</f>
        <v/>
      </c>
      <c r="C264" s="18">
        <f>IF($A264="","",IF(Paramètres!H48="","",Paramètres!H48))</f>
        <v/>
      </c>
      <c r="D264" s="18">
        <f>IF($A264="","",IF(Paramètres!I48="","",Paramètres!I48))</f>
        <v/>
      </c>
      <c r="E264" s="19">
        <f>IF($A264="","",IF(Paramètres!J48&amp;Paramètres!L48&amp;Paramètres!N48="",Dossiers!$D$8,MAX(IF(Paramètres!J48="",0,IF(Paramètres!K48="",NA(),IF(LEFT(TRIM(Paramètres!K48),1)="F",INDEX($F$221:$F$273,MATCH(Paramètres!J48,Paramètres!$G$5:$G$57,0)),INDEX($E$221:$E$273,MATCH(Paramètres!J48,Paramètres!$G$5:$G$57,0)))+IF(RIGHT(TRIM(Paramètres!K48),3)="Fin",1-$H264,IF(LEFT(TRIM(Paramètres!K48),1)="F",1,0)))),IF(Paramètres!L48="",0,IF(Paramètres!M48="",NA(),IF(LEFT(TRIM(Paramètres!M48),1)="F",INDEX($F$221:$F$273,MATCH(Paramètres!L48,Paramètres!$G$5:$G$57,0)),INDEX($E$221:$E$273,MATCH(Paramètres!L48,Paramètres!$G$5:$G$57,0)))+IF(RIGHT(TRIM(Paramètres!M48),3)="Fin",1-$H264,IF(LEFT(TRIM(Paramètres!M48),1)="F",1,0)))),IF(Paramètres!N48="",0,IF(Paramètres!O48="",NA(),IF(LEFT(TRIM(Paramètres!O48),1)="F",INDEX($F$221:$F$273,MATCH(Paramètres!N48,Paramètres!$G$5:$G$57,0)),INDEX($E$221:$E$273,MATCH(Paramètres!N48,Paramètres!$G$5:$G$57,0)))+IF(RIGHT(TRIM(Paramètres!O48),3)="Fin",1-$H264,IF(LEFT(TRIM(Paramètres!O48),1)="F",1,0)))))))</f>
        <v/>
      </c>
      <c r="F264" s="19">
        <f>IF($A264="","",E264+$H264-1)</f>
        <v/>
      </c>
      <c r="G264" s="18" t="n"/>
      <c r="H264" s="18">
        <f>IF($A264="","",IF(I264&lt;&gt;"",I264,Paramètres!B48))</f>
        <v/>
      </c>
      <c r="I264" s="18" t="n"/>
    </row>
    <row r="265">
      <c r="A265" s="18">
        <f>IF(ISNUMBER(Dossiers!$D$8),Dossiers!$A$8&amp;" · "&amp;Dossiers!$B$8,"")</f>
        <v/>
      </c>
      <c r="B265" s="18">
        <f>IF($A265="","",Paramètres!G49)</f>
        <v/>
      </c>
      <c r="C265" s="18">
        <f>IF($A265="","",IF(Paramètres!H49="","",Paramètres!H49))</f>
        <v/>
      </c>
      <c r="D265" s="18">
        <f>IF($A265="","",IF(Paramètres!I49="","",Paramètres!I49))</f>
        <v/>
      </c>
      <c r="E265" s="19">
        <f>IF($A265="","",IF(Paramètres!J49&amp;Paramètres!L49&amp;Paramètres!N49="",Dossiers!$D$8,MAX(IF(Paramètres!J49="",0,IF(Paramètres!K49="",NA(),IF(LEFT(TRIM(Paramètres!K49),1)="F",INDEX($F$221:$F$273,MATCH(Paramètres!J49,Paramètres!$G$5:$G$57,0)),INDEX($E$221:$E$273,MATCH(Paramètres!J49,Paramètres!$G$5:$G$57,0)))+IF(RIGHT(TRIM(Paramètres!K49),3)="Fin",1-$H265,IF(LEFT(TRIM(Paramètres!K49),1)="F",1,0)))),IF(Paramètres!L49="",0,IF(Paramètres!M49="",NA(),IF(LEFT(TRIM(Paramètres!M49),1)="F",INDEX($F$221:$F$273,MATCH(Paramètres!L49,Paramètres!$G$5:$G$57,0)),INDEX($E$221:$E$273,MATCH(Paramètres!L49,Paramètres!$G$5:$G$57,0)))+IF(RIGHT(TRIM(Paramètres!M49),3)="Fin",1-$H265,IF(LEFT(TRIM(Paramètres!M49),1)="F",1,0)))),IF(Paramètres!N49="",0,IF(Paramètres!O49="",NA(),IF(LEFT(TRIM(Paramètres!O49),1)="F",INDEX($F$221:$F$273,MATCH(Paramètres!N49,Paramètres!$G$5:$G$57,0)),INDEX($E$221:$E$273,MATCH(Paramètres!N49,Paramètres!$G$5:$G$57,0)))+IF(RIGHT(TRIM(Paramètres!O49),3)="Fin",1-$H265,IF(LEFT(TRIM(Paramètres!O49),1)="F",1,0)))))))</f>
        <v/>
      </c>
      <c r="F265" s="19">
        <f>IF($A265="","",E265+$H265-1)</f>
        <v/>
      </c>
      <c r="G265" s="18" t="n"/>
      <c r="H265" s="18">
        <f>IF($A265="","",IF(I265&lt;&gt;"",I265,Paramètres!B49))</f>
        <v/>
      </c>
      <c r="I265" s="18" t="n"/>
    </row>
    <row r="266">
      <c r="A266" s="18">
        <f>IF(ISNUMBER(Dossiers!$D$8),Dossiers!$A$8&amp;" · "&amp;Dossiers!$B$8,"")</f>
        <v/>
      </c>
      <c r="B266" s="18">
        <f>IF($A266="","",Paramètres!G50)</f>
        <v/>
      </c>
      <c r="C266" s="18">
        <f>IF($A266="","",IF(Paramètres!H50="","",Paramètres!H50))</f>
        <v/>
      </c>
      <c r="D266" s="18">
        <f>IF($A266="","",IF(Paramètres!I50="","",Paramètres!I50))</f>
        <v/>
      </c>
      <c r="E266" s="19">
        <f>IF($A266="","",IF(Paramètres!J50&amp;Paramètres!L50&amp;Paramètres!N50="",Dossiers!$D$8,MAX(IF(Paramètres!J50="",0,IF(Paramètres!K50="",NA(),IF(LEFT(TRIM(Paramètres!K50),1)="F",INDEX($F$221:$F$273,MATCH(Paramètres!J50,Paramètres!$G$5:$G$57,0)),INDEX($E$221:$E$273,MATCH(Paramètres!J50,Paramètres!$G$5:$G$57,0)))+IF(RIGHT(TRIM(Paramètres!K50),3)="Fin",1-$H266,IF(LEFT(TRIM(Paramètres!K50),1)="F",1,0)))),IF(Paramètres!L50="",0,IF(Paramètres!M50="",NA(),IF(LEFT(TRIM(Paramètres!M50),1)="F",INDEX($F$221:$F$273,MATCH(Paramètres!L50,Paramètres!$G$5:$G$57,0)),INDEX($E$221:$E$273,MATCH(Paramètres!L50,Paramètres!$G$5:$G$57,0)))+IF(RIGHT(TRIM(Paramètres!M50),3)="Fin",1-$H266,IF(LEFT(TRIM(Paramètres!M50),1)="F",1,0)))),IF(Paramètres!N50="",0,IF(Paramètres!O50="",NA(),IF(LEFT(TRIM(Paramètres!O50),1)="F",INDEX($F$221:$F$273,MATCH(Paramètres!N50,Paramètres!$G$5:$G$57,0)),INDEX($E$221:$E$273,MATCH(Paramètres!N50,Paramètres!$G$5:$G$57,0)))+IF(RIGHT(TRIM(Paramètres!O50),3)="Fin",1-$H266,IF(LEFT(TRIM(Paramètres!O50),1)="F",1,0)))))))</f>
        <v/>
      </c>
      <c r="F266" s="19">
        <f>IF($A266="","",E266+$H266-1)</f>
        <v/>
      </c>
      <c r="G266" s="18" t="n"/>
      <c r="H266" s="18">
        <f>IF($A266="","",IF(I266&lt;&gt;"",I266,Paramètres!B50))</f>
        <v/>
      </c>
      <c r="I266" s="18" t="n"/>
    </row>
    <row r="267">
      <c r="A267" s="18">
        <f>IF(ISNUMBER(Dossiers!$D$8),Dossiers!$A$8&amp;" · "&amp;Dossiers!$B$8,"")</f>
        <v/>
      </c>
      <c r="B267" s="18">
        <f>IF($A267="","",Paramètres!G51)</f>
        <v/>
      </c>
      <c r="C267" s="18">
        <f>IF($A267="","",IF(Paramètres!H51="","",Paramètres!H51))</f>
        <v/>
      </c>
      <c r="D267" s="18">
        <f>IF($A267="","",IF(Paramètres!I51="","",Paramètres!I51))</f>
        <v/>
      </c>
      <c r="E267" s="19">
        <f>IF($A267="","",IF(Paramètres!J51&amp;Paramètres!L51&amp;Paramètres!N51="",Dossiers!$D$8,MAX(IF(Paramètres!J51="",0,IF(Paramètres!K51="",NA(),IF(LEFT(TRIM(Paramètres!K51),1)="F",INDEX($F$221:$F$273,MATCH(Paramètres!J51,Paramètres!$G$5:$G$57,0)),INDEX($E$221:$E$273,MATCH(Paramètres!J51,Paramètres!$G$5:$G$57,0)))+IF(RIGHT(TRIM(Paramètres!K51),3)="Fin",1-$H267,IF(LEFT(TRIM(Paramètres!K51),1)="F",1,0)))),IF(Paramètres!L51="",0,IF(Paramètres!M51="",NA(),IF(LEFT(TRIM(Paramètres!M51),1)="F",INDEX($F$221:$F$273,MATCH(Paramètres!L51,Paramètres!$G$5:$G$57,0)),INDEX($E$221:$E$273,MATCH(Paramètres!L51,Paramètres!$G$5:$G$57,0)))+IF(RIGHT(TRIM(Paramètres!M51),3)="Fin",1-$H267,IF(LEFT(TRIM(Paramètres!M51),1)="F",1,0)))),IF(Paramètres!N51="",0,IF(Paramètres!O51="",NA(),IF(LEFT(TRIM(Paramètres!O51),1)="F",INDEX($F$221:$F$273,MATCH(Paramètres!N51,Paramètres!$G$5:$G$57,0)),INDEX($E$221:$E$273,MATCH(Paramètres!N51,Paramètres!$G$5:$G$57,0)))+IF(RIGHT(TRIM(Paramètres!O51),3)="Fin",1-$H267,IF(LEFT(TRIM(Paramètres!O51),1)="F",1,0)))))))</f>
        <v/>
      </c>
      <c r="F267" s="19">
        <f>IF($A267="","",E267+$H267-1)</f>
        <v/>
      </c>
      <c r="G267" s="18" t="n"/>
      <c r="H267" s="18">
        <f>IF($A267="","",IF(I267&lt;&gt;"",I267,Paramètres!B51))</f>
        <v/>
      </c>
      <c r="I267" s="18" t="n"/>
    </row>
    <row r="268">
      <c r="A268" s="18">
        <f>IF(ISNUMBER(Dossiers!$D$8),Dossiers!$A$8&amp;" · "&amp;Dossiers!$B$8,"")</f>
        <v/>
      </c>
      <c r="B268" s="18">
        <f>IF($A268="","",Paramètres!G52)</f>
        <v/>
      </c>
      <c r="C268" s="18">
        <f>IF($A268="","",IF(Paramètres!H52="","",Paramètres!H52))</f>
        <v/>
      </c>
      <c r="D268" s="18">
        <f>IF($A268="","",IF(Paramètres!I52="","",Paramètres!I52))</f>
        <v/>
      </c>
      <c r="E268" s="19">
        <f>IF($A268="","",IF(Paramètres!J52&amp;Paramètres!L52&amp;Paramètres!N52="",Dossiers!$D$8,MAX(IF(Paramètres!J52="",0,IF(Paramètres!K52="",NA(),IF(LEFT(TRIM(Paramètres!K52),1)="F",INDEX($F$221:$F$273,MATCH(Paramètres!J52,Paramètres!$G$5:$G$57,0)),INDEX($E$221:$E$273,MATCH(Paramètres!J52,Paramètres!$G$5:$G$57,0)))+IF(RIGHT(TRIM(Paramètres!K52),3)="Fin",1-$H268,IF(LEFT(TRIM(Paramètres!K52),1)="F",1,0)))),IF(Paramètres!L52="",0,IF(Paramètres!M52="",NA(),IF(LEFT(TRIM(Paramètres!M52),1)="F",INDEX($F$221:$F$273,MATCH(Paramètres!L52,Paramètres!$G$5:$G$57,0)),INDEX($E$221:$E$273,MATCH(Paramètres!L52,Paramètres!$G$5:$G$57,0)))+IF(RIGHT(TRIM(Paramètres!M52),3)="Fin",1-$H268,IF(LEFT(TRIM(Paramètres!M52),1)="F",1,0)))),IF(Paramètres!N52="",0,IF(Paramètres!O52="",NA(),IF(LEFT(TRIM(Paramètres!O52),1)="F",INDEX($F$221:$F$273,MATCH(Paramètres!N52,Paramètres!$G$5:$G$57,0)),INDEX($E$221:$E$273,MATCH(Paramètres!N52,Paramètres!$G$5:$G$57,0)))+IF(RIGHT(TRIM(Paramètres!O52),3)="Fin",1-$H268,IF(LEFT(TRIM(Paramètres!O52),1)="F",1,0)))))))</f>
        <v/>
      </c>
      <c r="F268" s="19">
        <f>IF($A268="","",E268+$H268-1)</f>
        <v/>
      </c>
      <c r="G268" s="18" t="n"/>
      <c r="H268" s="18">
        <f>IF($A268="","",IF(I268&lt;&gt;"",I268,Paramètres!B52))</f>
        <v/>
      </c>
      <c r="I268" s="18" t="n"/>
    </row>
    <row r="269">
      <c r="A269" s="18">
        <f>IF(ISNUMBER(Dossiers!$D$8),Dossiers!$A$8&amp;" · "&amp;Dossiers!$B$8,"")</f>
        <v/>
      </c>
      <c r="B269" s="18">
        <f>IF($A269="","",Paramètres!G53)</f>
        <v/>
      </c>
      <c r="C269" s="18">
        <f>IF($A269="","",IF(Paramètres!H53="","",Paramètres!H53))</f>
        <v/>
      </c>
      <c r="D269" s="18">
        <f>IF($A269="","",IF(Paramètres!I53="","",Paramètres!I53))</f>
        <v/>
      </c>
      <c r="E269" s="19">
        <f>IF($A269="","",IF(Paramètres!J53&amp;Paramètres!L53&amp;Paramètres!N53="",Dossiers!$D$8,MAX(IF(Paramètres!J53="",0,IF(Paramètres!K53="",NA(),IF(LEFT(TRIM(Paramètres!K53),1)="F",INDEX($F$221:$F$273,MATCH(Paramètres!J53,Paramètres!$G$5:$G$57,0)),INDEX($E$221:$E$273,MATCH(Paramètres!J53,Paramètres!$G$5:$G$57,0)))+IF(RIGHT(TRIM(Paramètres!K53),3)="Fin",1-$H269,IF(LEFT(TRIM(Paramètres!K53),1)="F",1,0)))),IF(Paramètres!L53="",0,IF(Paramètres!M53="",NA(),IF(LEFT(TRIM(Paramètres!M53),1)="F",INDEX($F$221:$F$273,MATCH(Paramètres!L53,Paramètres!$G$5:$G$57,0)),INDEX($E$221:$E$273,MATCH(Paramètres!L53,Paramètres!$G$5:$G$57,0)))+IF(RIGHT(TRIM(Paramètres!M53),3)="Fin",1-$H269,IF(LEFT(TRIM(Paramètres!M53),1)="F",1,0)))),IF(Paramètres!N53="",0,IF(Paramètres!O53="",NA(),IF(LEFT(TRIM(Paramètres!O53),1)="F",INDEX($F$221:$F$273,MATCH(Paramètres!N53,Paramètres!$G$5:$G$57,0)),INDEX($E$221:$E$273,MATCH(Paramètres!N53,Paramètres!$G$5:$G$57,0)))+IF(RIGHT(TRIM(Paramètres!O53),3)="Fin",1-$H269,IF(LEFT(TRIM(Paramètres!O53),1)="F",1,0)))))))</f>
        <v/>
      </c>
      <c r="F269" s="19">
        <f>IF($A269="","",E269+$H269-1)</f>
        <v/>
      </c>
      <c r="G269" s="18" t="n"/>
      <c r="H269" s="18">
        <f>IF($A269="","",IF(I269&lt;&gt;"",I269,Paramètres!B53))</f>
        <v/>
      </c>
      <c r="I269" s="18" t="n"/>
    </row>
    <row r="270">
      <c r="A270" s="18">
        <f>IF(ISNUMBER(Dossiers!$D$8),Dossiers!$A$8&amp;" · "&amp;Dossiers!$B$8,"")</f>
        <v/>
      </c>
      <c r="B270" s="18">
        <f>IF($A270="","",Paramètres!G54)</f>
        <v/>
      </c>
      <c r="C270" s="18">
        <f>IF($A270="","",IF(Paramètres!H54="","",Paramètres!H54))</f>
        <v/>
      </c>
      <c r="D270" s="18">
        <f>IF($A270="","",IF(Paramètres!I54="","",Paramètres!I54))</f>
        <v/>
      </c>
      <c r="E270" s="19">
        <f>IF($A270="","",IF(Paramètres!J54&amp;Paramètres!L54&amp;Paramètres!N54="",Dossiers!$D$8,MAX(IF(Paramètres!J54="",0,IF(Paramètres!K54="",NA(),IF(LEFT(TRIM(Paramètres!K54),1)="F",INDEX($F$221:$F$273,MATCH(Paramètres!J54,Paramètres!$G$5:$G$57,0)),INDEX($E$221:$E$273,MATCH(Paramètres!J54,Paramètres!$G$5:$G$57,0)))+IF(RIGHT(TRIM(Paramètres!K54),3)="Fin",1-$H270,IF(LEFT(TRIM(Paramètres!K54),1)="F",1,0)))),IF(Paramètres!L54="",0,IF(Paramètres!M54="",NA(),IF(LEFT(TRIM(Paramètres!M54),1)="F",INDEX($F$221:$F$273,MATCH(Paramètres!L54,Paramètres!$G$5:$G$57,0)),INDEX($E$221:$E$273,MATCH(Paramètres!L54,Paramètres!$G$5:$G$57,0)))+IF(RIGHT(TRIM(Paramètres!M54),3)="Fin",1-$H270,IF(LEFT(TRIM(Paramètres!M54),1)="F",1,0)))),IF(Paramètres!N54="",0,IF(Paramètres!O54="",NA(),IF(LEFT(TRIM(Paramètres!O54),1)="F",INDEX($F$221:$F$273,MATCH(Paramètres!N54,Paramètres!$G$5:$G$57,0)),INDEX($E$221:$E$273,MATCH(Paramètres!N54,Paramètres!$G$5:$G$57,0)))+IF(RIGHT(TRIM(Paramètres!O54),3)="Fin",1-$H270,IF(LEFT(TRIM(Paramètres!O54),1)="F",1,0)))))))</f>
        <v/>
      </c>
      <c r="F270" s="19">
        <f>IF($A270="","",E270+$H270-1)</f>
        <v/>
      </c>
      <c r="G270" s="18" t="n"/>
      <c r="H270" s="18">
        <f>IF($A270="","",IF(I270&lt;&gt;"",I270,Paramètres!B54))</f>
        <v/>
      </c>
      <c r="I270" s="18" t="n"/>
    </row>
    <row r="271">
      <c r="A271" s="18">
        <f>IF(ISNUMBER(Dossiers!$D$8),Dossiers!$A$8&amp;" · "&amp;Dossiers!$B$8,"")</f>
        <v/>
      </c>
      <c r="B271" s="18">
        <f>IF($A271="","",Paramètres!G55)</f>
        <v/>
      </c>
      <c r="C271" s="18">
        <f>IF($A271="","",IF(Paramètres!H55="","",Paramètres!H55))</f>
        <v/>
      </c>
      <c r="D271" s="18">
        <f>IF($A271="","",IF(Paramètres!I55="","",Paramètres!I55))</f>
        <v/>
      </c>
      <c r="E271" s="19">
        <f>IF($A271="","",IF(Paramètres!J55&amp;Paramètres!L55&amp;Paramètres!N55="",Dossiers!$D$8,MAX(IF(Paramètres!J55="",0,IF(Paramètres!K55="",NA(),IF(LEFT(TRIM(Paramètres!K55),1)="F",INDEX($F$221:$F$273,MATCH(Paramètres!J55,Paramètres!$G$5:$G$57,0)),INDEX($E$221:$E$273,MATCH(Paramètres!J55,Paramètres!$G$5:$G$57,0)))+IF(RIGHT(TRIM(Paramètres!K55),3)="Fin",1-$H271,IF(LEFT(TRIM(Paramètres!K55),1)="F",1,0)))),IF(Paramètres!L55="",0,IF(Paramètres!M55="",NA(),IF(LEFT(TRIM(Paramètres!M55),1)="F",INDEX($F$221:$F$273,MATCH(Paramètres!L55,Paramètres!$G$5:$G$57,0)),INDEX($E$221:$E$273,MATCH(Paramètres!L55,Paramètres!$G$5:$G$57,0)))+IF(RIGHT(TRIM(Paramètres!M55),3)="Fin",1-$H271,IF(LEFT(TRIM(Paramètres!M55),1)="F",1,0)))),IF(Paramètres!N55="",0,IF(Paramètres!O55="",NA(),IF(LEFT(TRIM(Paramètres!O55),1)="F",INDEX($F$221:$F$273,MATCH(Paramètres!N55,Paramètres!$G$5:$G$57,0)),INDEX($E$221:$E$273,MATCH(Paramètres!N55,Paramètres!$G$5:$G$57,0)))+IF(RIGHT(TRIM(Paramètres!O55),3)="Fin",1-$H271,IF(LEFT(TRIM(Paramètres!O55),1)="F",1,0)))))))</f>
        <v/>
      </c>
      <c r="F271" s="19">
        <f>IF($A271="","",E271+$H271-1)</f>
        <v/>
      </c>
      <c r="G271" s="18" t="n"/>
      <c r="H271" s="18">
        <f>IF($A271="","",IF(I271&lt;&gt;"",I271,Paramètres!B55))</f>
        <v/>
      </c>
      <c r="I271" s="18" t="n"/>
    </row>
    <row r="272">
      <c r="A272" s="18">
        <f>IF(ISNUMBER(Dossiers!$D$8),Dossiers!$A$8&amp;" · "&amp;Dossiers!$B$8,"")</f>
        <v/>
      </c>
      <c r="B272" s="18">
        <f>IF($A272="","",Paramètres!G56)</f>
        <v/>
      </c>
      <c r="C272" s="18">
        <f>IF($A272="","",IF(Paramètres!H56="","",Paramètres!H56))</f>
        <v/>
      </c>
      <c r="D272" s="18">
        <f>IF($A272="","",IF(Paramètres!I56="","",Paramètres!I56))</f>
        <v/>
      </c>
      <c r="E272" s="19">
        <f>IF($A272="","",MIN(E273:E273))</f>
        <v/>
      </c>
      <c r="F272" s="19">
        <f>IF($A272="","",MAX(F273:F273))</f>
        <v/>
      </c>
      <c r="G272" s="18" t="n"/>
      <c r="H272" s="18">
        <f>IF($A272="","",F272-E272+1)</f>
        <v/>
      </c>
      <c r="I272" s="18" t="n"/>
    </row>
    <row r="273">
      <c r="A273" s="18">
        <f>IF(ISNUMBER(Dossiers!$D$8),Dossiers!$A$8&amp;" · "&amp;Dossiers!$B$8,"")</f>
        <v/>
      </c>
      <c r="B273" s="18">
        <f>IF($A273="","",Paramètres!G57)</f>
        <v/>
      </c>
      <c r="C273" s="18">
        <f>IF($A273="","",IF(Paramètres!H57="","",Paramètres!H57))</f>
        <v/>
      </c>
      <c r="D273" s="18">
        <f>IF($A273="","",IF(Paramètres!I57="","",Paramètres!I57))</f>
        <v/>
      </c>
      <c r="E273" s="19">
        <f>IF($A273="","",IF(Paramètres!J57&amp;Paramètres!L57&amp;Paramètres!N57="",Dossiers!$D$8,MAX(IF(Paramètres!J57="",0,IF(Paramètres!K57="",NA(),IF(LEFT(TRIM(Paramètres!K57),1)="F",INDEX($F$221:$F$273,MATCH(Paramètres!J57,Paramètres!$G$5:$G$57,0)),INDEX($E$221:$E$273,MATCH(Paramètres!J57,Paramètres!$G$5:$G$57,0)))+IF(RIGHT(TRIM(Paramètres!K57),3)="Fin",1-$H273,IF(LEFT(TRIM(Paramètres!K57),1)="F",1,0)))),IF(Paramètres!L57="",0,IF(Paramètres!M57="",NA(),IF(LEFT(TRIM(Paramètres!M57),1)="F",INDEX($F$221:$F$273,MATCH(Paramètres!L57,Paramètres!$G$5:$G$57,0)),INDEX($E$221:$E$273,MATCH(Paramètres!L57,Paramètres!$G$5:$G$57,0)))+IF(RIGHT(TRIM(Paramètres!M57),3)="Fin",1-$H273,IF(LEFT(TRIM(Paramètres!M57),1)="F",1,0)))),IF(Paramètres!N57="",0,IF(Paramètres!O57="",NA(),IF(LEFT(TRIM(Paramètres!O57),1)="F",INDEX($F$221:$F$273,MATCH(Paramètres!N57,Paramètres!$G$5:$G$57,0)),INDEX($E$221:$E$273,MATCH(Paramètres!N57,Paramètres!$G$5:$G$57,0)))+IF(RIGHT(TRIM(Paramètres!O57),3)="Fin",1-$H273,IF(LEFT(TRIM(Paramètres!O57),1)="F",1,0)))))))</f>
        <v/>
      </c>
      <c r="F273" s="19">
        <f>IF($A273="","",E273+$H273-1)</f>
        <v/>
      </c>
      <c r="G273" s="18" t="n"/>
      <c r="H273" s="18">
        <f>IF($A273="","",IF(I273&lt;&gt;"",I273,Paramètres!B57))</f>
        <v/>
      </c>
      <c r="I273" s="18" t="n"/>
    </row>
    <row r="274">
      <c r="A274" s="16">
        <f>IF(ISNUMBER(Dossiers!$D$9),Dossiers!$E$9,"")</f>
        <v/>
      </c>
      <c r="B274" s="16">
        <f>IF($A274="","","Identifiant")</f>
        <v/>
      </c>
      <c r="C274" s="16">
        <f>IF($A274="","","Macro Etape")</f>
        <v/>
      </c>
      <c r="D274" s="16">
        <f>IF($A274="","","Etape")</f>
        <v/>
      </c>
      <c r="E274" s="17">
        <f>IF($A274="","","Début le")</f>
        <v/>
      </c>
      <c r="F274" s="17">
        <f>IF($A274="","","Fin prévue le")</f>
        <v/>
      </c>
      <c r="G274" s="16">
        <f>IF($A274="","","Statut")</f>
        <v/>
      </c>
      <c r="H274" s="16">
        <f>IF($A274="","","Durée (jours)")</f>
        <v/>
      </c>
      <c r="I274" s="16">
        <f>IF($A274="","","Durée particulière")</f>
        <v/>
      </c>
      <c r="J274" s="10">
        <f>IF($A274="","",HYPERLINK("#'Tableau de bord'!A1","↑ Tableau de bord"))</f>
        <v/>
      </c>
    </row>
    <row r="275">
      <c r="A275" s="18">
        <f>IF(ISNUMBER(Dossiers!$D$9),Dossiers!$A$9&amp;" · "&amp;Dossiers!$B$9,"")</f>
        <v/>
      </c>
      <c r="B275" s="18">
        <f>IF($A275="","",Paramètres!G5)</f>
        <v/>
      </c>
      <c r="C275" s="18">
        <f>IF($A275="","",IF(Paramètres!H5="","",Paramètres!H5))</f>
        <v/>
      </c>
      <c r="D275" s="18">
        <f>IF($A275="","",IF(Paramètres!I5="","",Paramètres!I5))</f>
        <v/>
      </c>
      <c r="E275" s="19">
        <f>IF($A275="","",MIN(E276:E279))</f>
        <v/>
      </c>
      <c r="F275" s="19">
        <f>IF($A275="","",MAX(F276:F279))</f>
        <v/>
      </c>
      <c r="G275" s="18" t="n"/>
      <c r="H275" s="18">
        <f>IF($A275="","",F275-E275+1)</f>
        <v/>
      </c>
      <c r="I275" s="18" t="n"/>
    </row>
    <row r="276">
      <c r="A276" s="18">
        <f>IF(ISNUMBER(Dossiers!$D$9),Dossiers!$A$9&amp;" · "&amp;Dossiers!$B$9,"")</f>
        <v/>
      </c>
      <c r="B276" s="18">
        <f>IF($A276="","",Paramètres!G6)</f>
        <v/>
      </c>
      <c r="C276" s="18">
        <f>IF($A276="","",IF(Paramètres!H6="","",Paramètres!H6))</f>
        <v/>
      </c>
      <c r="D276" s="18">
        <f>IF($A276="","",IF(Paramètres!I6="","",Paramètres!I6))</f>
        <v/>
      </c>
      <c r="E276" s="19">
        <f>IF($A276="","",IF(Paramètres!J6&amp;Paramètres!L6&amp;Paramètres!N6="",Dossiers!$D$9,MAX(IF(Paramètres!J6="",0,IF(Paramètres!K6="",NA(),IF(LEFT(TRIM(Paramètres!K6),1)="F",INDEX($F$275:$F$327,MATCH(Paramètres!J6,Paramètres!$G$5:$G$57,0)),INDEX($E$275:$E$327,MATCH(Paramètres!J6,Paramètres!$G$5:$G$57,0)))+IF(RIGHT(TRIM(Paramètres!K6),3)="Fin",1-$H276,IF(LEFT(TRIM(Paramètres!K6),1)="F",1,0)))),IF(Paramètres!L6="",0,IF(Paramètres!M6="",NA(),IF(LEFT(TRIM(Paramètres!M6),1)="F",INDEX($F$275:$F$327,MATCH(Paramètres!L6,Paramètres!$G$5:$G$57,0)),INDEX($E$275:$E$327,MATCH(Paramètres!L6,Paramètres!$G$5:$G$57,0)))+IF(RIGHT(TRIM(Paramètres!M6),3)="Fin",1-$H276,IF(LEFT(TRIM(Paramètres!M6),1)="F",1,0)))),IF(Paramètres!N6="",0,IF(Paramètres!O6="",NA(),IF(LEFT(TRIM(Paramètres!O6),1)="F",INDEX($F$275:$F$327,MATCH(Paramètres!N6,Paramètres!$G$5:$G$57,0)),INDEX($E$275:$E$327,MATCH(Paramètres!N6,Paramètres!$G$5:$G$57,0)))+IF(RIGHT(TRIM(Paramètres!O6),3)="Fin",1-$H276,IF(LEFT(TRIM(Paramètres!O6),1)="F",1,0)))))))</f>
        <v/>
      </c>
      <c r="F276" s="19">
        <f>IF($A276="","",E276+$H276-1)</f>
        <v/>
      </c>
      <c r="G276" s="18" t="n"/>
      <c r="H276" s="18">
        <f>IF($A276="","",IF(I276&lt;&gt;"",I276,Paramètres!B6))</f>
        <v/>
      </c>
      <c r="I276" s="18" t="n"/>
    </row>
    <row r="277">
      <c r="A277" s="18">
        <f>IF(ISNUMBER(Dossiers!$D$9),Dossiers!$A$9&amp;" · "&amp;Dossiers!$B$9,"")</f>
        <v/>
      </c>
      <c r="B277" s="18">
        <f>IF($A277="","",Paramètres!G7)</f>
        <v/>
      </c>
      <c r="C277" s="18">
        <f>IF($A277="","",IF(Paramètres!H7="","",Paramètres!H7))</f>
        <v/>
      </c>
      <c r="D277" s="18">
        <f>IF($A277="","",IF(Paramètres!I7="","",Paramètres!I7))</f>
        <v/>
      </c>
      <c r="E277" s="19">
        <f>IF($A277="","",IF(Paramètres!J7&amp;Paramètres!L7&amp;Paramètres!N7="",Dossiers!$D$9,MAX(IF(Paramètres!J7="",0,IF(Paramètres!K7="",NA(),IF(LEFT(TRIM(Paramètres!K7),1)="F",INDEX($F$275:$F$327,MATCH(Paramètres!J7,Paramètres!$G$5:$G$57,0)),INDEX($E$275:$E$327,MATCH(Paramètres!J7,Paramètres!$G$5:$G$57,0)))+IF(RIGHT(TRIM(Paramètres!K7),3)="Fin",1-$H277,IF(LEFT(TRIM(Paramètres!K7),1)="F",1,0)))),IF(Paramètres!L7="",0,IF(Paramètres!M7="",NA(),IF(LEFT(TRIM(Paramètres!M7),1)="F",INDEX($F$275:$F$327,MATCH(Paramètres!L7,Paramètres!$G$5:$G$57,0)),INDEX($E$275:$E$327,MATCH(Paramètres!L7,Paramètres!$G$5:$G$57,0)))+IF(RIGHT(TRIM(Paramètres!M7),3)="Fin",1-$H277,IF(LEFT(TRIM(Paramètres!M7),1)="F",1,0)))),IF(Paramètres!N7="",0,IF(Paramètres!O7="",NA(),IF(LEFT(TRIM(Paramètres!O7),1)="F",INDEX($F$275:$F$327,MATCH(Paramètres!N7,Paramètres!$G$5:$G$57,0)),INDEX($E$275:$E$327,MATCH(Paramètres!N7,Paramètres!$G$5:$G$57,0)))+IF(RIGHT(TRIM(Paramètres!O7),3)="Fin",1-$H277,IF(LEFT(TRIM(Paramètres!O7),1)="F",1,0)))))))</f>
        <v/>
      </c>
      <c r="F277" s="19">
        <f>IF($A277="","",E277+$H277-1)</f>
        <v/>
      </c>
      <c r="G277" s="18" t="n"/>
      <c r="H277" s="18">
        <f>IF($A277="","",IF(I277&lt;&gt;"",I277,Paramètres!B7))</f>
        <v/>
      </c>
      <c r="I277" s="18" t="n"/>
    </row>
    <row r="278">
      <c r="A278" s="18">
        <f>IF(ISNUMBER(Dossiers!$D$9),Dossiers!$A$9&amp;" · "&amp;Dossiers!$B$9,"")</f>
        <v/>
      </c>
      <c r="B278" s="18">
        <f>IF($A278="","",Paramètres!G8)</f>
        <v/>
      </c>
      <c r="C278" s="18">
        <f>IF($A278="","",IF(Paramètres!H8="","",Paramètres!H8))</f>
        <v/>
      </c>
      <c r="D278" s="18">
        <f>IF($A278="","",IF(Paramètres!I8="","",Paramètres!I8))</f>
        <v/>
      </c>
      <c r="E278" s="19">
        <f>IF($A278="","",IF(Paramètres!J8&amp;Paramètres!L8&amp;Paramètres!N8="",Dossiers!$D$9,MAX(IF(Paramètres!J8="",0,IF(Paramètres!K8="",NA(),IF(LEFT(TRIM(Paramètres!K8),1)="F",INDEX($F$275:$F$327,MATCH(Paramètres!J8,Paramètres!$G$5:$G$57,0)),INDEX($E$275:$E$327,MATCH(Paramètres!J8,Paramètres!$G$5:$G$57,0)))+IF(RIGHT(TRIM(Paramètres!K8),3)="Fin",1-$H278,IF(LEFT(TRIM(Paramètres!K8),1)="F",1,0)))),IF(Paramètres!L8="",0,IF(Paramètres!M8="",NA(),IF(LEFT(TRIM(Paramètres!M8),1)="F",INDEX($F$275:$F$327,MATCH(Paramètres!L8,Paramètres!$G$5:$G$57,0)),INDEX($E$275:$E$327,MATCH(Paramètres!L8,Paramètres!$G$5:$G$57,0)))+IF(RIGHT(TRIM(Paramètres!M8),3)="Fin",1-$H278,IF(LEFT(TRIM(Paramètres!M8),1)="F",1,0)))),IF(Paramètres!N8="",0,IF(Paramètres!O8="",NA(),IF(LEFT(TRIM(Paramètres!O8),1)="F",INDEX($F$275:$F$327,MATCH(Paramètres!N8,Paramètres!$G$5:$G$57,0)),INDEX($E$275:$E$327,MATCH(Paramètres!N8,Paramètres!$G$5:$G$57,0)))+IF(RIGHT(TRIM(Paramètres!O8),3)="Fin",1-$H278,IF(LEFT(TRIM(Paramètres!O8),1)="F",1,0)))))))</f>
        <v/>
      </c>
      <c r="F278" s="19">
        <f>IF($A278="","",E278+$H278-1)</f>
        <v/>
      </c>
      <c r="G278" s="18" t="n"/>
      <c r="H278" s="18">
        <f>IF($A278="","",IF(I278&lt;&gt;"",I278,Paramètres!B8))</f>
        <v/>
      </c>
      <c r="I278" s="18" t="n"/>
    </row>
    <row r="279">
      <c r="A279" s="18">
        <f>IF(ISNUMBER(Dossiers!$D$9),Dossiers!$A$9&amp;" · "&amp;Dossiers!$B$9,"")</f>
        <v/>
      </c>
      <c r="B279" s="18">
        <f>IF($A279="","",Paramètres!G9)</f>
        <v/>
      </c>
      <c r="C279" s="18">
        <f>IF($A279="","",IF(Paramètres!H9="","",Paramètres!H9))</f>
        <v/>
      </c>
      <c r="D279" s="18">
        <f>IF($A279="","",IF(Paramètres!I9="","",Paramètres!I9))</f>
        <v/>
      </c>
      <c r="E279" s="19">
        <f>IF($A279="","",IF(Paramètres!J9&amp;Paramètres!L9&amp;Paramètres!N9="",Dossiers!$D$9,MAX(IF(Paramètres!J9="",0,IF(Paramètres!K9="",NA(),IF(LEFT(TRIM(Paramètres!K9),1)="F",INDEX($F$275:$F$327,MATCH(Paramètres!J9,Paramètres!$G$5:$G$57,0)),INDEX($E$275:$E$327,MATCH(Paramètres!J9,Paramètres!$G$5:$G$57,0)))+IF(RIGHT(TRIM(Paramètres!K9),3)="Fin",1-$H279,IF(LEFT(TRIM(Paramètres!K9),1)="F",1,0)))),IF(Paramètres!L9="",0,IF(Paramètres!M9="",NA(),IF(LEFT(TRIM(Paramètres!M9),1)="F",INDEX($F$275:$F$327,MATCH(Paramètres!L9,Paramètres!$G$5:$G$57,0)),INDEX($E$275:$E$327,MATCH(Paramètres!L9,Paramètres!$G$5:$G$57,0)))+IF(RIGHT(TRIM(Paramètres!M9),3)="Fin",1-$H279,IF(LEFT(TRIM(Paramètres!M9),1)="F",1,0)))),IF(Paramètres!N9="",0,IF(Paramètres!O9="",NA(),IF(LEFT(TRIM(Paramètres!O9),1)="F",INDEX($F$275:$F$327,MATCH(Paramètres!N9,Paramètres!$G$5:$G$57,0)),INDEX($E$275:$E$327,MATCH(Paramètres!N9,Paramètres!$G$5:$G$57,0)))+IF(RIGHT(TRIM(Paramètres!O9),3)="Fin",1-$H279,IF(LEFT(TRIM(Paramètres!O9),1)="F",1,0)))))))</f>
        <v/>
      </c>
      <c r="F279" s="19">
        <f>IF($A279="","",E279+$H279-1)</f>
        <v/>
      </c>
      <c r="G279" s="18" t="n"/>
      <c r="H279" s="18">
        <f>IF($A279="","",IF(I279&lt;&gt;"",I279,Paramètres!B9))</f>
        <v/>
      </c>
      <c r="I279" s="18" t="n"/>
    </row>
    <row r="280">
      <c r="A280" s="18">
        <f>IF(ISNUMBER(Dossiers!$D$9),Dossiers!$A$9&amp;" · "&amp;Dossiers!$B$9,"")</f>
        <v/>
      </c>
      <c r="B280" s="18">
        <f>IF($A280="","",Paramètres!G10)</f>
        <v/>
      </c>
      <c r="C280" s="18">
        <f>IF($A280="","",IF(Paramètres!H10="","",Paramètres!H10))</f>
        <v/>
      </c>
      <c r="D280" s="18">
        <f>IF($A280="","",IF(Paramètres!I10="","",Paramètres!I10))</f>
        <v/>
      </c>
      <c r="E280" s="19">
        <f>IF($A280="","",MIN(E281:E284))</f>
        <v/>
      </c>
      <c r="F280" s="19">
        <f>IF($A280="","",MAX(F281:F284))</f>
        <v/>
      </c>
      <c r="G280" s="18" t="n"/>
      <c r="H280" s="18">
        <f>IF($A280="","",F280-E280+1)</f>
        <v/>
      </c>
      <c r="I280" s="18" t="n"/>
    </row>
    <row r="281">
      <c r="A281" s="18">
        <f>IF(ISNUMBER(Dossiers!$D$9),Dossiers!$A$9&amp;" · "&amp;Dossiers!$B$9,"")</f>
        <v/>
      </c>
      <c r="B281" s="18">
        <f>IF($A281="","",Paramètres!G11)</f>
        <v/>
      </c>
      <c r="C281" s="18">
        <f>IF($A281="","",IF(Paramètres!H11="","",Paramètres!H11))</f>
        <v/>
      </c>
      <c r="D281" s="18">
        <f>IF($A281="","",IF(Paramètres!I11="","",Paramètres!I11))</f>
        <v/>
      </c>
      <c r="E281" s="19">
        <f>IF($A281="","",IF(Paramètres!J11&amp;Paramètres!L11&amp;Paramètres!N11="",Dossiers!$D$9,MAX(IF(Paramètres!J11="",0,IF(Paramètres!K11="",NA(),IF(LEFT(TRIM(Paramètres!K11),1)="F",INDEX($F$275:$F$327,MATCH(Paramètres!J11,Paramètres!$G$5:$G$57,0)),INDEX($E$275:$E$327,MATCH(Paramètres!J11,Paramètres!$G$5:$G$57,0)))+IF(RIGHT(TRIM(Paramètres!K11),3)="Fin",1-$H281,IF(LEFT(TRIM(Paramètres!K11),1)="F",1,0)))),IF(Paramètres!L11="",0,IF(Paramètres!M11="",NA(),IF(LEFT(TRIM(Paramètres!M11),1)="F",INDEX($F$275:$F$327,MATCH(Paramètres!L11,Paramètres!$G$5:$G$57,0)),INDEX($E$275:$E$327,MATCH(Paramètres!L11,Paramètres!$G$5:$G$57,0)))+IF(RIGHT(TRIM(Paramètres!M11),3)="Fin",1-$H281,IF(LEFT(TRIM(Paramètres!M11),1)="F",1,0)))),IF(Paramètres!N11="",0,IF(Paramètres!O11="",NA(),IF(LEFT(TRIM(Paramètres!O11),1)="F",INDEX($F$275:$F$327,MATCH(Paramètres!N11,Paramètres!$G$5:$G$57,0)),INDEX($E$275:$E$327,MATCH(Paramètres!N11,Paramètres!$G$5:$G$57,0)))+IF(RIGHT(TRIM(Paramètres!O11),3)="Fin",1-$H281,IF(LEFT(TRIM(Paramètres!O11),1)="F",1,0)))))))</f>
        <v/>
      </c>
      <c r="F281" s="19">
        <f>IF($A281="","",E281+$H281-1)</f>
        <v/>
      </c>
      <c r="G281" s="18" t="n"/>
      <c r="H281" s="18">
        <f>IF($A281="","",IF(I281&lt;&gt;"",I281,Paramètres!B11))</f>
        <v/>
      </c>
      <c r="I281" s="18" t="n"/>
    </row>
    <row r="282">
      <c r="A282" s="18">
        <f>IF(ISNUMBER(Dossiers!$D$9),Dossiers!$A$9&amp;" · "&amp;Dossiers!$B$9,"")</f>
        <v/>
      </c>
      <c r="B282" s="18">
        <f>IF($A282="","",Paramètres!G12)</f>
        <v/>
      </c>
      <c r="C282" s="18">
        <f>IF($A282="","",IF(Paramètres!H12="","",Paramètres!H12))</f>
        <v/>
      </c>
      <c r="D282" s="18">
        <f>IF($A282="","",IF(Paramètres!I12="","",Paramètres!I12))</f>
        <v/>
      </c>
      <c r="E282" s="19">
        <f>IF($A282="","",IF(Paramètres!J12&amp;Paramètres!L12&amp;Paramètres!N12="",Dossiers!$D$9,MAX(IF(Paramètres!J12="",0,IF(Paramètres!K12="",NA(),IF(LEFT(TRIM(Paramètres!K12),1)="F",INDEX($F$275:$F$327,MATCH(Paramètres!J12,Paramètres!$G$5:$G$57,0)),INDEX($E$275:$E$327,MATCH(Paramètres!J12,Paramètres!$G$5:$G$57,0)))+IF(RIGHT(TRIM(Paramètres!K12),3)="Fin",1-$H282,IF(LEFT(TRIM(Paramètres!K12),1)="F",1,0)))),IF(Paramètres!L12="",0,IF(Paramètres!M12="",NA(),IF(LEFT(TRIM(Paramètres!M12),1)="F",INDEX($F$275:$F$327,MATCH(Paramètres!L12,Paramètres!$G$5:$G$57,0)),INDEX($E$275:$E$327,MATCH(Paramètres!L12,Paramètres!$G$5:$G$57,0)))+IF(RIGHT(TRIM(Paramètres!M12),3)="Fin",1-$H282,IF(LEFT(TRIM(Paramètres!M12),1)="F",1,0)))),IF(Paramètres!N12="",0,IF(Paramètres!O12="",NA(),IF(LEFT(TRIM(Paramètres!O12),1)="F",INDEX($F$275:$F$327,MATCH(Paramètres!N12,Paramètres!$G$5:$G$57,0)),INDEX($E$275:$E$327,MATCH(Paramètres!N12,Paramètres!$G$5:$G$57,0)))+IF(RIGHT(TRIM(Paramètres!O12),3)="Fin",1-$H282,IF(LEFT(TRIM(Paramètres!O12),1)="F",1,0)))))))</f>
        <v/>
      </c>
      <c r="F282" s="19">
        <f>IF($A282="","",E282+$H282-1)</f>
        <v/>
      </c>
      <c r="G282" s="18" t="n"/>
      <c r="H282" s="18">
        <f>IF($A282="","",IF(I282&lt;&gt;"",I282,Paramètres!B12))</f>
        <v/>
      </c>
      <c r="I282" s="18" t="n"/>
    </row>
    <row r="283">
      <c r="A283" s="18">
        <f>IF(ISNUMBER(Dossiers!$D$9),Dossiers!$A$9&amp;" · "&amp;Dossiers!$B$9,"")</f>
        <v/>
      </c>
      <c r="B283" s="18">
        <f>IF($A283="","",Paramètres!G13)</f>
        <v/>
      </c>
      <c r="C283" s="18">
        <f>IF($A283="","",IF(Paramètres!H13="","",Paramètres!H13))</f>
        <v/>
      </c>
      <c r="D283" s="18">
        <f>IF($A283="","",IF(Paramètres!I13="","",Paramètres!I13))</f>
        <v/>
      </c>
      <c r="E283" s="19">
        <f>IF($A283="","",IF(Paramètres!J13&amp;Paramètres!L13&amp;Paramètres!N13="",Dossiers!$D$9,MAX(IF(Paramètres!J13="",0,IF(Paramètres!K13="",NA(),IF(LEFT(TRIM(Paramètres!K13),1)="F",INDEX($F$275:$F$327,MATCH(Paramètres!J13,Paramètres!$G$5:$G$57,0)),INDEX($E$275:$E$327,MATCH(Paramètres!J13,Paramètres!$G$5:$G$57,0)))+IF(RIGHT(TRIM(Paramètres!K13),3)="Fin",1-$H283,IF(LEFT(TRIM(Paramètres!K13),1)="F",1,0)))),IF(Paramètres!L13="",0,IF(Paramètres!M13="",NA(),IF(LEFT(TRIM(Paramètres!M13),1)="F",INDEX($F$275:$F$327,MATCH(Paramètres!L13,Paramètres!$G$5:$G$57,0)),INDEX($E$275:$E$327,MATCH(Paramètres!L13,Paramètres!$G$5:$G$57,0)))+IF(RIGHT(TRIM(Paramètres!M13),3)="Fin",1-$H283,IF(LEFT(TRIM(Paramètres!M13),1)="F",1,0)))),IF(Paramètres!N13="",0,IF(Paramètres!O13="",NA(),IF(LEFT(TRIM(Paramètres!O13),1)="F",INDEX($F$275:$F$327,MATCH(Paramètres!N13,Paramètres!$G$5:$G$57,0)),INDEX($E$275:$E$327,MATCH(Paramètres!N13,Paramètres!$G$5:$G$57,0)))+IF(RIGHT(TRIM(Paramètres!O13),3)="Fin",1-$H283,IF(LEFT(TRIM(Paramètres!O13),1)="F",1,0)))))))</f>
        <v/>
      </c>
      <c r="F283" s="19">
        <f>IF($A283="","",E283+$H283-1)</f>
        <v/>
      </c>
      <c r="G283" s="18" t="n"/>
      <c r="H283" s="18">
        <f>IF($A283="","",IF(I283&lt;&gt;"",I283,Paramètres!B13))</f>
        <v/>
      </c>
      <c r="I283" s="18" t="n"/>
    </row>
    <row r="284">
      <c r="A284" s="18">
        <f>IF(ISNUMBER(Dossiers!$D$9),Dossiers!$A$9&amp;" · "&amp;Dossiers!$B$9,"")</f>
        <v/>
      </c>
      <c r="B284" s="18">
        <f>IF($A284="","",Paramètres!G14)</f>
        <v/>
      </c>
      <c r="C284" s="18">
        <f>IF($A284="","",IF(Paramètres!H14="","",Paramètres!H14))</f>
        <v/>
      </c>
      <c r="D284" s="18">
        <f>IF($A284="","",IF(Paramètres!I14="","",Paramètres!I14))</f>
        <v/>
      </c>
      <c r="E284" s="19">
        <f>IF($A284="","",IF(Paramètres!J14&amp;Paramètres!L14&amp;Paramètres!N14="",Dossiers!$D$9,MAX(IF(Paramètres!J14="",0,IF(Paramètres!K14="",NA(),IF(LEFT(TRIM(Paramètres!K14),1)="F",INDEX($F$275:$F$327,MATCH(Paramètres!J14,Paramètres!$G$5:$G$57,0)),INDEX($E$275:$E$327,MATCH(Paramètres!J14,Paramètres!$G$5:$G$57,0)))+IF(RIGHT(TRIM(Paramètres!K14),3)="Fin",1-$H284,IF(LEFT(TRIM(Paramètres!K14),1)="F",1,0)))),IF(Paramètres!L14="",0,IF(Paramètres!M14="",NA(),IF(LEFT(TRIM(Paramètres!M14),1)="F",INDEX($F$275:$F$327,MATCH(Paramètres!L14,Paramètres!$G$5:$G$57,0)),INDEX($E$275:$E$327,MATCH(Paramètres!L14,Paramètres!$G$5:$G$57,0)))+IF(RIGHT(TRIM(Paramètres!M14),3)="Fin",1-$H284,IF(LEFT(TRIM(Paramètres!M14),1)="F",1,0)))),IF(Paramètres!N14="",0,IF(Paramètres!O14="",NA(),IF(LEFT(TRIM(Paramètres!O14),1)="F",INDEX($F$275:$F$327,MATCH(Paramètres!N14,Paramètres!$G$5:$G$57,0)),INDEX($E$275:$E$327,MATCH(Paramètres!N14,Paramètres!$G$5:$G$57,0)))+IF(RIGHT(TRIM(Paramètres!O14),3)="Fin",1-$H284,IF(LEFT(TRIM(Paramètres!O14),1)="F",1,0)))))))</f>
        <v/>
      </c>
      <c r="F284" s="19">
        <f>IF($A284="","",E284+$H284-1)</f>
        <v/>
      </c>
      <c r="G284" s="18" t="n"/>
      <c r="H284" s="18">
        <f>IF($A284="","",IF(I284&lt;&gt;"",I284,Paramètres!B14))</f>
        <v/>
      </c>
      <c r="I284" s="18" t="n"/>
    </row>
    <row r="285">
      <c r="A285" s="18">
        <f>IF(ISNUMBER(Dossiers!$D$9),Dossiers!$A$9&amp;" · "&amp;Dossiers!$B$9,"")</f>
        <v/>
      </c>
      <c r="B285" s="18">
        <f>IF($A285="","",Paramètres!G15)</f>
        <v/>
      </c>
      <c r="C285" s="18">
        <f>IF($A285="","",IF(Paramètres!H15="","",Paramètres!H15))</f>
        <v/>
      </c>
      <c r="D285" s="18">
        <f>IF($A285="","",IF(Paramètres!I15="","",Paramètres!I15))</f>
        <v/>
      </c>
      <c r="E285" s="19">
        <f>IF($A285="","",MIN(E286:E301))</f>
        <v/>
      </c>
      <c r="F285" s="19">
        <f>IF($A285="","",MAX(F286:F301))</f>
        <v/>
      </c>
      <c r="G285" s="18" t="n"/>
      <c r="H285" s="18">
        <f>IF($A285="","",F285-E285+1)</f>
        <v/>
      </c>
      <c r="I285" s="18" t="n"/>
    </row>
    <row r="286">
      <c r="A286" s="18">
        <f>IF(ISNUMBER(Dossiers!$D$9),Dossiers!$A$9&amp;" · "&amp;Dossiers!$B$9,"")</f>
        <v/>
      </c>
      <c r="B286" s="18">
        <f>IF($A286="","",Paramètres!G16)</f>
        <v/>
      </c>
      <c r="C286" s="18">
        <f>IF($A286="","",IF(Paramètres!H16="","",Paramètres!H16))</f>
        <v/>
      </c>
      <c r="D286" s="18">
        <f>IF($A286="","",IF(Paramètres!I16="","",Paramètres!I16))</f>
        <v/>
      </c>
      <c r="E286" s="19">
        <f>IF($A286="","",IF(Paramètres!J16&amp;Paramètres!L16&amp;Paramètres!N16="",Dossiers!$D$9,MAX(IF(Paramètres!J16="",0,IF(Paramètres!K16="",NA(),IF(LEFT(TRIM(Paramètres!K16),1)="F",INDEX($F$275:$F$327,MATCH(Paramètres!J16,Paramètres!$G$5:$G$57,0)),INDEX($E$275:$E$327,MATCH(Paramètres!J16,Paramètres!$G$5:$G$57,0)))+IF(RIGHT(TRIM(Paramètres!K16),3)="Fin",1-$H286,IF(LEFT(TRIM(Paramètres!K16),1)="F",1,0)))),IF(Paramètres!L16="",0,IF(Paramètres!M16="",NA(),IF(LEFT(TRIM(Paramètres!M16),1)="F",INDEX($F$275:$F$327,MATCH(Paramètres!L16,Paramètres!$G$5:$G$57,0)),INDEX($E$275:$E$327,MATCH(Paramètres!L16,Paramètres!$G$5:$G$57,0)))+IF(RIGHT(TRIM(Paramètres!M16),3)="Fin",1-$H286,IF(LEFT(TRIM(Paramètres!M16),1)="F",1,0)))),IF(Paramètres!N16="",0,IF(Paramètres!O16="",NA(),IF(LEFT(TRIM(Paramètres!O16),1)="F",INDEX($F$275:$F$327,MATCH(Paramètres!N16,Paramètres!$G$5:$G$57,0)),INDEX($E$275:$E$327,MATCH(Paramètres!N16,Paramètres!$G$5:$G$57,0)))+IF(RIGHT(TRIM(Paramètres!O16),3)="Fin",1-$H286,IF(LEFT(TRIM(Paramètres!O16),1)="F",1,0)))))))</f>
        <v/>
      </c>
      <c r="F286" s="19">
        <f>IF($A286="","",E286+$H286-1)</f>
        <v/>
      </c>
      <c r="G286" s="18" t="n"/>
      <c r="H286" s="18">
        <f>IF($A286="","",IF(I286&lt;&gt;"",I286,Paramètres!B16))</f>
        <v/>
      </c>
      <c r="I286" s="18" t="n"/>
    </row>
    <row r="287">
      <c r="A287" s="18">
        <f>IF(ISNUMBER(Dossiers!$D$9),Dossiers!$A$9&amp;" · "&amp;Dossiers!$B$9,"")</f>
        <v/>
      </c>
      <c r="B287" s="18">
        <f>IF($A287="","",Paramètres!G17)</f>
        <v/>
      </c>
      <c r="C287" s="18">
        <f>IF($A287="","",IF(Paramètres!H17="","",Paramètres!H17))</f>
        <v/>
      </c>
      <c r="D287" s="18">
        <f>IF($A287="","",IF(Paramètres!I17="","",Paramètres!I17))</f>
        <v/>
      </c>
      <c r="E287" s="19">
        <f>IF($A287="","",IF(Paramètres!J17&amp;Paramètres!L17&amp;Paramètres!N17="",Dossiers!$D$9,MAX(IF(Paramètres!J17="",0,IF(Paramètres!K17="",NA(),IF(LEFT(TRIM(Paramètres!K17),1)="F",INDEX($F$275:$F$327,MATCH(Paramètres!J17,Paramètres!$G$5:$G$57,0)),INDEX($E$275:$E$327,MATCH(Paramètres!J17,Paramètres!$G$5:$G$57,0)))+IF(RIGHT(TRIM(Paramètres!K17),3)="Fin",1-$H287,IF(LEFT(TRIM(Paramètres!K17),1)="F",1,0)))),IF(Paramètres!L17="",0,IF(Paramètres!M17="",NA(),IF(LEFT(TRIM(Paramètres!M17),1)="F",INDEX($F$275:$F$327,MATCH(Paramètres!L17,Paramètres!$G$5:$G$57,0)),INDEX($E$275:$E$327,MATCH(Paramètres!L17,Paramètres!$G$5:$G$57,0)))+IF(RIGHT(TRIM(Paramètres!M17),3)="Fin",1-$H287,IF(LEFT(TRIM(Paramètres!M17),1)="F",1,0)))),IF(Paramètres!N17="",0,IF(Paramètres!O17="",NA(),IF(LEFT(TRIM(Paramètres!O17),1)="F",INDEX($F$275:$F$327,MATCH(Paramètres!N17,Paramètres!$G$5:$G$57,0)),INDEX($E$275:$E$327,MATCH(Paramètres!N17,Paramètres!$G$5:$G$57,0)))+IF(RIGHT(TRIM(Paramètres!O17),3)="Fin",1-$H287,IF(LEFT(TRIM(Paramètres!O17),1)="F",1,0)))))))</f>
        <v/>
      </c>
      <c r="F287" s="19">
        <f>IF($A287="","",E287+$H287-1)</f>
        <v/>
      </c>
      <c r="G287" s="18" t="n"/>
      <c r="H287" s="18">
        <f>IF($A287="","",IF(I287&lt;&gt;"",I287,Paramètres!B17))</f>
        <v/>
      </c>
      <c r="I287" s="18" t="n"/>
    </row>
    <row r="288">
      <c r="A288" s="18">
        <f>IF(ISNUMBER(Dossiers!$D$9),Dossiers!$A$9&amp;" · "&amp;Dossiers!$B$9,"")</f>
        <v/>
      </c>
      <c r="B288" s="18">
        <f>IF($A288="","",Paramètres!G18)</f>
        <v/>
      </c>
      <c r="C288" s="18">
        <f>IF($A288="","",IF(Paramètres!H18="","",Paramètres!H18))</f>
        <v/>
      </c>
      <c r="D288" s="18">
        <f>IF($A288="","",IF(Paramètres!I18="","",Paramètres!I18))</f>
        <v/>
      </c>
      <c r="E288" s="19">
        <f>IF($A288="","",IF(Paramètres!J18&amp;Paramètres!L18&amp;Paramètres!N18="",Dossiers!$D$9,MAX(IF(Paramètres!J18="",0,IF(Paramètres!K18="",NA(),IF(LEFT(TRIM(Paramètres!K18),1)="F",INDEX($F$275:$F$327,MATCH(Paramètres!J18,Paramètres!$G$5:$G$57,0)),INDEX($E$275:$E$327,MATCH(Paramètres!J18,Paramètres!$G$5:$G$57,0)))+IF(RIGHT(TRIM(Paramètres!K18),3)="Fin",1-$H288,IF(LEFT(TRIM(Paramètres!K18),1)="F",1,0)))),IF(Paramètres!L18="",0,IF(Paramètres!M18="",NA(),IF(LEFT(TRIM(Paramètres!M18),1)="F",INDEX($F$275:$F$327,MATCH(Paramètres!L18,Paramètres!$G$5:$G$57,0)),INDEX($E$275:$E$327,MATCH(Paramètres!L18,Paramètres!$G$5:$G$57,0)))+IF(RIGHT(TRIM(Paramètres!M18),3)="Fin",1-$H288,IF(LEFT(TRIM(Paramètres!M18),1)="F",1,0)))),IF(Paramètres!N18="",0,IF(Paramètres!O18="",NA(),IF(LEFT(TRIM(Paramètres!O18),1)="F",INDEX($F$275:$F$327,MATCH(Paramètres!N18,Paramètres!$G$5:$G$57,0)),INDEX($E$275:$E$327,MATCH(Paramètres!N18,Paramètres!$G$5:$G$57,0)))+IF(RIGHT(TRIM(Paramètres!O18),3)="Fin",1-$H288,IF(LEFT(TRIM(Paramètres!O18),1)="F",1,0)))))))</f>
        <v/>
      </c>
      <c r="F288" s="19">
        <f>IF($A288="","",E288+$H288-1)</f>
        <v/>
      </c>
      <c r="G288" s="18" t="n"/>
      <c r="H288" s="18">
        <f>IF($A288="","",IF(I288&lt;&gt;"",I288,Paramètres!B18))</f>
        <v/>
      </c>
      <c r="I288" s="18" t="n"/>
    </row>
    <row r="289">
      <c r="A289" s="18">
        <f>IF(ISNUMBER(Dossiers!$D$9),Dossiers!$A$9&amp;" · "&amp;Dossiers!$B$9,"")</f>
        <v/>
      </c>
      <c r="B289" s="18">
        <f>IF($A289="","",Paramètres!G19)</f>
        <v/>
      </c>
      <c r="C289" s="18">
        <f>IF($A289="","",IF(Paramètres!H19="","",Paramètres!H19))</f>
        <v/>
      </c>
      <c r="D289" s="18">
        <f>IF($A289="","",IF(Paramètres!I19="","",Paramètres!I19))</f>
        <v/>
      </c>
      <c r="E289" s="19">
        <f>IF($A289="","",IF(Paramètres!J19&amp;Paramètres!L19&amp;Paramètres!N19="",Dossiers!$D$9,MAX(IF(Paramètres!J19="",0,IF(Paramètres!K19="",NA(),IF(LEFT(TRIM(Paramètres!K19),1)="F",INDEX($F$275:$F$327,MATCH(Paramètres!J19,Paramètres!$G$5:$G$57,0)),INDEX($E$275:$E$327,MATCH(Paramètres!J19,Paramètres!$G$5:$G$57,0)))+IF(RIGHT(TRIM(Paramètres!K19),3)="Fin",1-$H289,IF(LEFT(TRIM(Paramètres!K19),1)="F",1,0)))),IF(Paramètres!L19="",0,IF(Paramètres!M19="",NA(),IF(LEFT(TRIM(Paramètres!M19),1)="F",INDEX($F$275:$F$327,MATCH(Paramètres!L19,Paramètres!$G$5:$G$57,0)),INDEX($E$275:$E$327,MATCH(Paramètres!L19,Paramètres!$G$5:$G$57,0)))+IF(RIGHT(TRIM(Paramètres!M19),3)="Fin",1-$H289,IF(LEFT(TRIM(Paramètres!M19),1)="F",1,0)))),IF(Paramètres!N19="",0,IF(Paramètres!O19="",NA(),IF(LEFT(TRIM(Paramètres!O19),1)="F",INDEX($F$275:$F$327,MATCH(Paramètres!N19,Paramètres!$G$5:$G$57,0)),INDEX($E$275:$E$327,MATCH(Paramètres!N19,Paramètres!$G$5:$G$57,0)))+IF(RIGHT(TRIM(Paramètres!O19),3)="Fin",1-$H289,IF(LEFT(TRIM(Paramètres!O19),1)="F",1,0)))))))</f>
        <v/>
      </c>
      <c r="F289" s="19">
        <f>IF($A289="","",E289+$H289-1)</f>
        <v/>
      </c>
      <c r="G289" s="18" t="n"/>
      <c r="H289" s="18">
        <f>IF($A289="","",IF(I289&lt;&gt;"",I289,Paramètres!B19))</f>
        <v/>
      </c>
      <c r="I289" s="18" t="n"/>
    </row>
    <row r="290">
      <c r="A290" s="18">
        <f>IF(ISNUMBER(Dossiers!$D$9),Dossiers!$A$9&amp;" · "&amp;Dossiers!$B$9,"")</f>
        <v/>
      </c>
      <c r="B290" s="18">
        <f>IF($A290="","",Paramètres!G20)</f>
        <v/>
      </c>
      <c r="C290" s="18">
        <f>IF($A290="","",IF(Paramètres!H20="","",Paramètres!H20))</f>
        <v/>
      </c>
      <c r="D290" s="18">
        <f>IF($A290="","",IF(Paramètres!I20="","",Paramètres!I20))</f>
        <v/>
      </c>
      <c r="E290" s="19">
        <f>IF($A290="","",IF(Paramètres!J20&amp;Paramètres!L20&amp;Paramètres!N20="",Dossiers!$D$9,MAX(IF(Paramètres!J20="",0,IF(Paramètres!K20="",NA(),IF(LEFT(TRIM(Paramètres!K20),1)="F",INDEX($F$275:$F$327,MATCH(Paramètres!J20,Paramètres!$G$5:$G$57,0)),INDEX($E$275:$E$327,MATCH(Paramètres!J20,Paramètres!$G$5:$G$57,0)))+IF(RIGHT(TRIM(Paramètres!K20),3)="Fin",1-$H290,IF(LEFT(TRIM(Paramètres!K20),1)="F",1,0)))),IF(Paramètres!L20="",0,IF(Paramètres!M20="",NA(),IF(LEFT(TRIM(Paramètres!M20),1)="F",INDEX($F$275:$F$327,MATCH(Paramètres!L20,Paramètres!$G$5:$G$57,0)),INDEX($E$275:$E$327,MATCH(Paramètres!L20,Paramètres!$G$5:$G$57,0)))+IF(RIGHT(TRIM(Paramètres!M20),3)="Fin",1-$H290,IF(LEFT(TRIM(Paramètres!M20),1)="F",1,0)))),IF(Paramètres!N20="",0,IF(Paramètres!O20="",NA(),IF(LEFT(TRIM(Paramètres!O20),1)="F",INDEX($F$275:$F$327,MATCH(Paramètres!N20,Paramètres!$G$5:$G$57,0)),INDEX($E$275:$E$327,MATCH(Paramètres!N20,Paramètres!$G$5:$G$57,0)))+IF(RIGHT(TRIM(Paramètres!O20),3)="Fin",1-$H290,IF(LEFT(TRIM(Paramètres!O20),1)="F",1,0)))))))</f>
        <v/>
      </c>
      <c r="F290" s="19">
        <f>IF($A290="","",E290+$H290-1)</f>
        <v/>
      </c>
      <c r="G290" s="18" t="n"/>
      <c r="H290" s="18">
        <f>IF($A290="","",IF(I290&lt;&gt;"",I290,Paramètres!B20))</f>
        <v/>
      </c>
      <c r="I290" s="18" t="n"/>
    </row>
    <row r="291">
      <c r="A291" s="18">
        <f>IF(ISNUMBER(Dossiers!$D$9),Dossiers!$A$9&amp;" · "&amp;Dossiers!$B$9,"")</f>
        <v/>
      </c>
      <c r="B291" s="18">
        <f>IF($A291="","",Paramètres!G21)</f>
        <v/>
      </c>
      <c r="C291" s="18">
        <f>IF($A291="","",IF(Paramètres!H21="","",Paramètres!H21))</f>
        <v/>
      </c>
      <c r="D291" s="18">
        <f>IF($A291="","",IF(Paramètres!I21="","",Paramètres!I21))</f>
        <v/>
      </c>
      <c r="E291" s="19">
        <f>IF($A291="","",IF(Paramètres!J21&amp;Paramètres!L21&amp;Paramètres!N21="",Dossiers!$D$9,MAX(IF(Paramètres!J21="",0,IF(Paramètres!K21="",NA(),IF(LEFT(TRIM(Paramètres!K21),1)="F",INDEX($F$275:$F$327,MATCH(Paramètres!J21,Paramètres!$G$5:$G$57,0)),INDEX($E$275:$E$327,MATCH(Paramètres!J21,Paramètres!$G$5:$G$57,0)))+IF(RIGHT(TRIM(Paramètres!K21),3)="Fin",1-$H291,IF(LEFT(TRIM(Paramètres!K21),1)="F",1,0)))),IF(Paramètres!L21="",0,IF(Paramètres!M21="",NA(),IF(LEFT(TRIM(Paramètres!M21),1)="F",INDEX($F$275:$F$327,MATCH(Paramètres!L21,Paramètres!$G$5:$G$57,0)),INDEX($E$275:$E$327,MATCH(Paramètres!L21,Paramètres!$G$5:$G$57,0)))+IF(RIGHT(TRIM(Paramètres!M21),3)="Fin",1-$H291,IF(LEFT(TRIM(Paramètres!M21),1)="F",1,0)))),IF(Paramètres!N21="",0,IF(Paramètres!O21="",NA(),IF(LEFT(TRIM(Paramètres!O21),1)="F",INDEX($F$275:$F$327,MATCH(Paramètres!N21,Paramètres!$G$5:$G$57,0)),INDEX($E$275:$E$327,MATCH(Paramètres!N21,Paramètres!$G$5:$G$57,0)))+IF(RIGHT(TRIM(Paramètres!O21),3)="Fin",1-$H291,IF(LEFT(TRIM(Paramètres!O21),1)="F",1,0)))))))</f>
        <v/>
      </c>
      <c r="F291" s="19">
        <f>IF($A291="","",E291+$H291-1)</f>
        <v/>
      </c>
      <c r="G291" s="18" t="n"/>
      <c r="H291" s="18">
        <f>IF($A291="","",IF(I291&lt;&gt;"",I291,Paramètres!B21))</f>
        <v/>
      </c>
      <c r="I291" s="18" t="n"/>
    </row>
    <row r="292">
      <c r="A292" s="18">
        <f>IF(ISNUMBER(Dossiers!$D$9),Dossiers!$A$9&amp;" · "&amp;Dossiers!$B$9,"")</f>
        <v/>
      </c>
      <c r="B292" s="18">
        <f>IF($A292="","",Paramètres!G22)</f>
        <v/>
      </c>
      <c r="C292" s="18">
        <f>IF($A292="","",IF(Paramètres!H22="","",Paramètres!H22))</f>
        <v/>
      </c>
      <c r="D292" s="18">
        <f>IF($A292="","",IF(Paramètres!I22="","",Paramètres!I22))</f>
        <v/>
      </c>
      <c r="E292" s="19">
        <f>IF($A292="","",IF(Paramètres!J22&amp;Paramètres!L22&amp;Paramètres!N22="",Dossiers!$D$9,MAX(IF(Paramètres!J22="",0,IF(Paramètres!K22="",NA(),IF(LEFT(TRIM(Paramètres!K22),1)="F",INDEX($F$275:$F$327,MATCH(Paramètres!J22,Paramètres!$G$5:$G$57,0)),INDEX($E$275:$E$327,MATCH(Paramètres!J22,Paramètres!$G$5:$G$57,0)))+IF(RIGHT(TRIM(Paramètres!K22),3)="Fin",1-$H292,IF(LEFT(TRIM(Paramètres!K22),1)="F",1,0)))),IF(Paramètres!L22="",0,IF(Paramètres!M22="",NA(),IF(LEFT(TRIM(Paramètres!M22),1)="F",INDEX($F$275:$F$327,MATCH(Paramètres!L22,Paramètres!$G$5:$G$57,0)),INDEX($E$275:$E$327,MATCH(Paramètres!L22,Paramètres!$G$5:$G$57,0)))+IF(RIGHT(TRIM(Paramètres!M22),3)="Fin",1-$H292,IF(LEFT(TRIM(Paramètres!M22),1)="F",1,0)))),IF(Paramètres!N22="",0,IF(Paramètres!O22="",NA(),IF(LEFT(TRIM(Paramètres!O22),1)="F",INDEX($F$275:$F$327,MATCH(Paramètres!N22,Paramètres!$G$5:$G$57,0)),INDEX($E$275:$E$327,MATCH(Paramètres!N22,Paramètres!$G$5:$G$57,0)))+IF(RIGHT(TRIM(Paramètres!O22),3)="Fin",1-$H292,IF(LEFT(TRIM(Paramètres!O22),1)="F",1,0)))))))</f>
        <v/>
      </c>
      <c r="F292" s="19">
        <f>IF($A292="","",E292+$H292-1)</f>
        <v/>
      </c>
      <c r="G292" s="18" t="n"/>
      <c r="H292" s="18">
        <f>IF($A292="","",IF(I292&lt;&gt;"",I292,Paramètres!B22))</f>
        <v/>
      </c>
      <c r="I292" s="18" t="n"/>
    </row>
    <row r="293">
      <c r="A293" s="18">
        <f>IF(ISNUMBER(Dossiers!$D$9),Dossiers!$A$9&amp;" · "&amp;Dossiers!$B$9,"")</f>
        <v/>
      </c>
      <c r="B293" s="18">
        <f>IF($A293="","",Paramètres!G23)</f>
        <v/>
      </c>
      <c r="C293" s="18">
        <f>IF($A293="","",IF(Paramètres!H23="","",Paramètres!H23))</f>
        <v/>
      </c>
      <c r="D293" s="18">
        <f>IF($A293="","",IF(Paramètres!I23="","",Paramètres!I23))</f>
        <v/>
      </c>
      <c r="E293" s="19">
        <f>IF($A293="","",IF(Paramètres!J23&amp;Paramètres!L23&amp;Paramètres!N23="",Dossiers!$D$9,MAX(IF(Paramètres!J23="",0,IF(Paramètres!K23="",NA(),IF(LEFT(TRIM(Paramètres!K23),1)="F",INDEX($F$275:$F$327,MATCH(Paramètres!J23,Paramètres!$G$5:$G$57,0)),INDEX($E$275:$E$327,MATCH(Paramètres!J23,Paramètres!$G$5:$G$57,0)))+IF(RIGHT(TRIM(Paramètres!K23),3)="Fin",1-$H293,IF(LEFT(TRIM(Paramètres!K23),1)="F",1,0)))),IF(Paramètres!L23="",0,IF(Paramètres!M23="",NA(),IF(LEFT(TRIM(Paramètres!M23),1)="F",INDEX($F$275:$F$327,MATCH(Paramètres!L23,Paramètres!$G$5:$G$57,0)),INDEX($E$275:$E$327,MATCH(Paramètres!L23,Paramètres!$G$5:$G$57,0)))+IF(RIGHT(TRIM(Paramètres!M23),3)="Fin",1-$H293,IF(LEFT(TRIM(Paramètres!M23),1)="F",1,0)))),IF(Paramètres!N23="",0,IF(Paramètres!O23="",NA(),IF(LEFT(TRIM(Paramètres!O23),1)="F",INDEX($F$275:$F$327,MATCH(Paramètres!N23,Paramètres!$G$5:$G$57,0)),INDEX($E$275:$E$327,MATCH(Paramètres!N23,Paramètres!$G$5:$G$57,0)))+IF(RIGHT(TRIM(Paramètres!O23),3)="Fin",1-$H293,IF(LEFT(TRIM(Paramètres!O23),1)="F",1,0)))))))</f>
        <v/>
      </c>
      <c r="F293" s="19">
        <f>IF($A293="","",E293+$H293-1)</f>
        <v/>
      </c>
      <c r="G293" s="18" t="n"/>
      <c r="H293" s="18">
        <f>IF($A293="","",IF(I293&lt;&gt;"",I293,Paramètres!B23))</f>
        <v/>
      </c>
      <c r="I293" s="18" t="n"/>
    </row>
    <row r="294">
      <c r="A294" s="18">
        <f>IF(ISNUMBER(Dossiers!$D$9),Dossiers!$A$9&amp;" · "&amp;Dossiers!$B$9,"")</f>
        <v/>
      </c>
      <c r="B294" s="18">
        <f>IF($A294="","",Paramètres!G24)</f>
        <v/>
      </c>
      <c r="C294" s="18">
        <f>IF($A294="","",IF(Paramètres!H24="","",Paramètres!H24))</f>
        <v/>
      </c>
      <c r="D294" s="18">
        <f>IF($A294="","",IF(Paramètres!I24="","",Paramètres!I24))</f>
        <v/>
      </c>
      <c r="E294" s="19">
        <f>IF($A294="","",IF(Paramètres!J24&amp;Paramètres!L24&amp;Paramètres!N24="",Dossiers!$D$9,MAX(IF(Paramètres!J24="",0,IF(Paramètres!K24="",NA(),IF(LEFT(TRIM(Paramètres!K24),1)="F",INDEX($F$275:$F$327,MATCH(Paramètres!J24,Paramètres!$G$5:$G$57,0)),INDEX($E$275:$E$327,MATCH(Paramètres!J24,Paramètres!$G$5:$G$57,0)))+IF(RIGHT(TRIM(Paramètres!K24),3)="Fin",1-$H294,IF(LEFT(TRIM(Paramètres!K24),1)="F",1,0)))),IF(Paramètres!L24="",0,IF(Paramètres!M24="",NA(),IF(LEFT(TRIM(Paramètres!M24),1)="F",INDEX($F$275:$F$327,MATCH(Paramètres!L24,Paramètres!$G$5:$G$57,0)),INDEX($E$275:$E$327,MATCH(Paramètres!L24,Paramètres!$G$5:$G$57,0)))+IF(RIGHT(TRIM(Paramètres!M24),3)="Fin",1-$H294,IF(LEFT(TRIM(Paramètres!M24),1)="F",1,0)))),IF(Paramètres!N24="",0,IF(Paramètres!O24="",NA(),IF(LEFT(TRIM(Paramètres!O24),1)="F",INDEX($F$275:$F$327,MATCH(Paramètres!N24,Paramètres!$G$5:$G$57,0)),INDEX($E$275:$E$327,MATCH(Paramètres!N24,Paramètres!$G$5:$G$57,0)))+IF(RIGHT(TRIM(Paramètres!O24),3)="Fin",1-$H294,IF(LEFT(TRIM(Paramètres!O24),1)="F",1,0)))))))</f>
        <v/>
      </c>
      <c r="F294" s="19">
        <f>IF($A294="","",E294+$H294-1)</f>
        <v/>
      </c>
      <c r="G294" s="18" t="n"/>
      <c r="H294" s="18">
        <f>IF($A294="","",IF(I294&lt;&gt;"",I294,Paramètres!B24))</f>
        <v/>
      </c>
      <c r="I294" s="18" t="n"/>
    </row>
    <row r="295">
      <c r="A295" s="18">
        <f>IF(ISNUMBER(Dossiers!$D$9),Dossiers!$A$9&amp;" · "&amp;Dossiers!$B$9,"")</f>
        <v/>
      </c>
      <c r="B295" s="18">
        <f>IF($A295="","",Paramètres!G25)</f>
        <v/>
      </c>
      <c r="C295" s="18">
        <f>IF($A295="","",IF(Paramètres!H25="","",Paramètres!H25))</f>
        <v/>
      </c>
      <c r="D295" s="18">
        <f>IF($A295="","",IF(Paramètres!I25="","",Paramètres!I25))</f>
        <v/>
      </c>
      <c r="E295" s="19">
        <f>IF($A295="","",IF(Paramètres!J25&amp;Paramètres!L25&amp;Paramètres!N25="",Dossiers!$D$9,MAX(IF(Paramètres!J25="",0,IF(Paramètres!K25="",NA(),IF(LEFT(TRIM(Paramètres!K25),1)="F",INDEX($F$275:$F$327,MATCH(Paramètres!J25,Paramètres!$G$5:$G$57,0)),INDEX($E$275:$E$327,MATCH(Paramètres!J25,Paramètres!$G$5:$G$57,0)))+IF(RIGHT(TRIM(Paramètres!K25),3)="Fin",1-$H295,IF(LEFT(TRIM(Paramètres!K25),1)="F",1,0)))),IF(Paramètres!L25="",0,IF(Paramètres!M25="",NA(),IF(LEFT(TRIM(Paramètres!M25),1)="F",INDEX($F$275:$F$327,MATCH(Paramètres!L25,Paramètres!$G$5:$G$57,0)),INDEX($E$275:$E$327,MATCH(Paramètres!L25,Paramètres!$G$5:$G$57,0)))+IF(RIGHT(TRIM(Paramètres!M25),3)="Fin",1-$H295,IF(LEFT(TRIM(Paramètres!M25),1)="F",1,0)))),IF(Paramètres!N25="",0,IF(Paramètres!O25="",NA(),IF(LEFT(TRIM(Paramètres!O25),1)="F",INDEX($F$275:$F$327,MATCH(Paramètres!N25,Paramètres!$G$5:$G$57,0)),INDEX($E$275:$E$327,MATCH(Paramètres!N25,Paramètres!$G$5:$G$57,0)))+IF(RIGHT(TRIM(Paramètres!O25),3)="Fin",1-$H295,IF(LEFT(TRIM(Paramètres!O25),1)="F",1,0)))))))</f>
        <v/>
      </c>
      <c r="F295" s="19">
        <f>IF($A295="","",E295+$H295-1)</f>
        <v/>
      </c>
      <c r="G295" s="18" t="n"/>
      <c r="H295" s="18">
        <f>IF($A295="","",IF(I295&lt;&gt;"",I295,Paramètres!B25))</f>
        <v/>
      </c>
      <c r="I295" s="18" t="n"/>
    </row>
    <row r="296">
      <c r="A296" s="18">
        <f>IF(ISNUMBER(Dossiers!$D$9),Dossiers!$A$9&amp;" · "&amp;Dossiers!$B$9,"")</f>
        <v/>
      </c>
      <c r="B296" s="18">
        <f>IF($A296="","",Paramètres!G26)</f>
        <v/>
      </c>
      <c r="C296" s="18">
        <f>IF($A296="","",IF(Paramètres!H26="","",Paramètres!H26))</f>
        <v/>
      </c>
      <c r="D296" s="18">
        <f>IF($A296="","",IF(Paramètres!I26="","",Paramètres!I26))</f>
        <v/>
      </c>
      <c r="E296" s="19">
        <f>IF($A296="","",IF(Paramètres!J26&amp;Paramètres!L26&amp;Paramètres!N26="",Dossiers!$D$9,MAX(IF(Paramètres!J26="",0,IF(Paramètres!K26="",NA(),IF(LEFT(TRIM(Paramètres!K26),1)="F",INDEX($F$275:$F$327,MATCH(Paramètres!J26,Paramètres!$G$5:$G$57,0)),INDEX($E$275:$E$327,MATCH(Paramètres!J26,Paramètres!$G$5:$G$57,0)))+IF(RIGHT(TRIM(Paramètres!K26),3)="Fin",1-$H296,IF(LEFT(TRIM(Paramètres!K26),1)="F",1,0)))),IF(Paramètres!L26="",0,IF(Paramètres!M26="",NA(),IF(LEFT(TRIM(Paramètres!M26),1)="F",INDEX($F$275:$F$327,MATCH(Paramètres!L26,Paramètres!$G$5:$G$57,0)),INDEX($E$275:$E$327,MATCH(Paramètres!L26,Paramètres!$G$5:$G$57,0)))+IF(RIGHT(TRIM(Paramètres!M26),3)="Fin",1-$H296,IF(LEFT(TRIM(Paramètres!M26),1)="F",1,0)))),IF(Paramètres!N26="",0,IF(Paramètres!O26="",NA(),IF(LEFT(TRIM(Paramètres!O26),1)="F",INDEX($F$275:$F$327,MATCH(Paramètres!N26,Paramètres!$G$5:$G$57,0)),INDEX($E$275:$E$327,MATCH(Paramètres!N26,Paramètres!$G$5:$G$57,0)))+IF(RIGHT(TRIM(Paramètres!O26),3)="Fin",1-$H296,IF(LEFT(TRIM(Paramètres!O26),1)="F",1,0)))))))</f>
        <v/>
      </c>
      <c r="F296" s="19">
        <f>IF($A296="","",E296+$H296-1)</f>
        <v/>
      </c>
      <c r="G296" s="18" t="n"/>
      <c r="H296" s="18">
        <f>IF($A296="","",IF(I296&lt;&gt;"",I296,Paramètres!B26))</f>
        <v/>
      </c>
      <c r="I296" s="18" t="n"/>
    </row>
    <row r="297">
      <c r="A297" s="18">
        <f>IF(ISNUMBER(Dossiers!$D$9),Dossiers!$A$9&amp;" · "&amp;Dossiers!$B$9,"")</f>
        <v/>
      </c>
      <c r="B297" s="18">
        <f>IF($A297="","",Paramètres!G27)</f>
        <v/>
      </c>
      <c r="C297" s="18">
        <f>IF($A297="","",IF(Paramètres!H27="","",Paramètres!H27))</f>
        <v/>
      </c>
      <c r="D297" s="18">
        <f>IF($A297="","",IF(Paramètres!I27="","",Paramètres!I27))</f>
        <v/>
      </c>
      <c r="E297" s="19">
        <f>IF($A297="","",IF(Paramètres!J27&amp;Paramètres!L27&amp;Paramètres!N27="",Dossiers!$D$9,MAX(IF(Paramètres!J27="",0,IF(Paramètres!K27="",NA(),IF(LEFT(TRIM(Paramètres!K27),1)="F",INDEX($F$275:$F$327,MATCH(Paramètres!J27,Paramètres!$G$5:$G$57,0)),INDEX($E$275:$E$327,MATCH(Paramètres!J27,Paramètres!$G$5:$G$57,0)))+IF(RIGHT(TRIM(Paramètres!K27),3)="Fin",1-$H297,IF(LEFT(TRIM(Paramètres!K27),1)="F",1,0)))),IF(Paramètres!L27="",0,IF(Paramètres!M27="",NA(),IF(LEFT(TRIM(Paramètres!M27),1)="F",INDEX($F$275:$F$327,MATCH(Paramètres!L27,Paramètres!$G$5:$G$57,0)),INDEX($E$275:$E$327,MATCH(Paramètres!L27,Paramètres!$G$5:$G$57,0)))+IF(RIGHT(TRIM(Paramètres!M27),3)="Fin",1-$H297,IF(LEFT(TRIM(Paramètres!M27),1)="F",1,0)))),IF(Paramètres!N27="",0,IF(Paramètres!O27="",NA(),IF(LEFT(TRIM(Paramètres!O27),1)="F",INDEX($F$275:$F$327,MATCH(Paramètres!N27,Paramètres!$G$5:$G$57,0)),INDEX($E$275:$E$327,MATCH(Paramètres!N27,Paramètres!$G$5:$G$57,0)))+IF(RIGHT(TRIM(Paramètres!O27),3)="Fin",1-$H297,IF(LEFT(TRIM(Paramètres!O27),1)="F",1,0)))))))</f>
        <v/>
      </c>
      <c r="F297" s="19">
        <f>IF($A297="","",E297+$H297-1)</f>
        <v/>
      </c>
      <c r="G297" s="18" t="n"/>
      <c r="H297" s="18">
        <f>IF($A297="","",IF(I297&lt;&gt;"",I297,Paramètres!B27))</f>
        <v/>
      </c>
      <c r="I297" s="18" t="n"/>
    </row>
    <row r="298">
      <c r="A298" s="18">
        <f>IF(ISNUMBER(Dossiers!$D$9),Dossiers!$A$9&amp;" · "&amp;Dossiers!$B$9,"")</f>
        <v/>
      </c>
      <c r="B298" s="18">
        <f>IF($A298="","",Paramètres!G28)</f>
        <v/>
      </c>
      <c r="C298" s="18">
        <f>IF($A298="","",IF(Paramètres!H28="","",Paramètres!H28))</f>
        <v/>
      </c>
      <c r="D298" s="18">
        <f>IF($A298="","",IF(Paramètres!I28="","",Paramètres!I28))</f>
        <v/>
      </c>
      <c r="E298" s="19">
        <f>IF($A298="","",IF(Paramètres!J28&amp;Paramètres!L28&amp;Paramètres!N28="",Dossiers!$D$9,MAX(IF(Paramètres!J28="",0,IF(Paramètres!K28="",NA(),IF(LEFT(TRIM(Paramètres!K28),1)="F",INDEX($F$275:$F$327,MATCH(Paramètres!J28,Paramètres!$G$5:$G$57,0)),INDEX($E$275:$E$327,MATCH(Paramètres!J28,Paramètres!$G$5:$G$57,0)))+IF(RIGHT(TRIM(Paramètres!K28),3)="Fin",1-$H298,IF(LEFT(TRIM(Paramètres!K28),1)="F",1,0)))),IF(Paramètres!L28="",0,IF(Paramètres!M28="",NA(),IF(LEFT(TRIM(Paramètres!M28),1)="F",INDEX($F$275:$F$327,MATCH(Paramètres!L28,Paramètres!$G$5:$G$57,0)),INDEX($E$275:$E$327,MATCH(Paramètres!L28,Paramètres!$G$5:$G$57,0)))+IF(RIGHT(TRIM(Paramètres!M28),3)="Fin",1-$H298,IF(LEFT(TRIM(Paramètres!M28),1)="F",1,0)))),IF(Paramètres!N28="",0,IF(Paramètres!O28="",NA(),IF(LEFT(TRIM(Paramètres!O28),1)="F",INDEX($F$275:$F$327,MATCH(Paramètres!N28,Paramètres!$G$5:$G$57,0)),INDEX($E$275:$E$327,MATCH(Paramètres!N28,Paramètres!$G$5:$G$57,0)))+IF(RIGHT(TRIM(Paramètres!O28),3)="Fin",1-$H298,IF(LEFT(TRIM(Paramètres!O28),1)="F",1,0)))))))</f>
        <v/>
      </c>
      <c r="F298" s="19">
        <f>IF($A298="","",E298+$H298-1)</f>
        <v/>
      </c>
      <c r="G298" s="18" t="n"/>
      <c r="H298" s="18">
        <f>IF($A298="","",IF(I298&lt;&gt;"",I298,Paramètres!B28))</f>
        <v/>
      </c>
      <c r="I298" s="18" t="n"/>
    </row>
    <row r="299">
      <c r="A299" s="18">
        <f>IF(ISNUMBER(Dossiers!$D$9),Dossiers!$A$9&amp;" · "&amp;Dossiers!$B$9,"")</f>
        <v/>
      </c>
      <c r="B299" s="18">
        <f>IF($A299="","",Paramètres!G29)</f>
        <v/>
      </c>
      <c r="C299" s="18">
        <f>IF($A299="","",IF(Paramètres!H29="","",Paramètres!H29))</f>
        <v/>
      </c>
      <c r="D299" s="18">
        <f>IF($A299="","",IF(Paramètres!I29="","",Paramètres!I29))</f>
        <v/>
      </c>
      <c r="E299" s="19">
        <f>IF($A299="","",IF(Paramètres!J29&amp;Paramètres!L29&amp;Paramètres!N29="",Dossiers!$D$9,MAX(IF(Paramètres!J29="",0,IF(Paramètres!K29="",NA(),IF(LEFT(TRIM(Paramètres!K29),1)="F",INDEX($F$275:$F$327,MATCH(Paramètres!J29,Paramètres!$G$5:$G$57,0)),INDEX($E$275:$E$327,MATCH(Paramètres!J29,Paramètres!$G$5:$G$57,0)))+IF(RIGHT(TRIM(Paramètres!K29),3)="Fin",1-$H299,IF(LEFT(TRIM(Paramètres!K29),1)="F",1,0)))),IF(Paramètres!L29="",0,IF(Paramètres!M29="",NA(),IF(LEFT(TRIM(Paramètres!M29),1)="F",INDEX($F$275:$F$327,MATCH(Paramètres!L29,Paramètres!$G$5:$G$57,0)),INDEX($E$275:$E$327,MATCH(Paramètres!L29,Paramètres!$G$5:$G$57,0)))+IF(RIGHT(TRIM(Paramètres!M29),3)="Fin",1-$H299,IF(LEFT(TRIM(Paramètres!M29),1)="F",1,0)))),IF(Paramètres!N29="",0,IF(Paramètres!O29="",NA(),IF(LEFT(TRIM(Paramètres!O29),1)="F",INDEX($F$275:$F$327,MATCH(Paramètres!N29,Paramètres!$G$5:$G$57,0)),INDEX($E$275:$E$327,MATCH(Paramètres!N29,Paramètres!$G$5:$G$57,0)))+IF(RIGHT(TRIM(Paramètres!O29),3)="Fin",1-$H299,IF(LEFT(TRIM(Paramètres!O29),1)="F",1,0)))))))</f>
        <v/>
      </c>
      <c r="F299" s="19">
        <f>IF($A299="","",E299+$H299-1)</f>
        <v/>
      </c>
      <c r="G299" s="18" t="n"/>
      <c r="H299" s="18">
        <f>IF($A299="","",IF(I299&lt;&gt;"",I299,Paramètres!B29))</f>
        <v/>
      </c>
      <c r="I299" s="18" t="n"/>
    </row>
    <row r="300">
      <c r="A300" s="18">
        <f>IF(ISNUMBER(Dossiers!$D$9),Dossiers!$A$9&amp;" · "&amp;Dossiers!$B$9,"")</f>
        <v/>
      </c>
      <c r="B300" s="18">
        <f>IF($A300="","",Paramètres!G30)</f>
        <v/>
      </c>
      <c r="C300" s="18">
        <f>IF($A300="","",IF(Paramètres!H30="","",Paramètres!H30))</f>
        <v/>
      </c>
      <c r="D300" s="18">
        <f>IF($A300="","",IF(Paramètres!I30="","",Paramètres!I30))</f>
        <v/>
      </c>
      <c r="E300" s="19">
        <f>IF($A300="","",IF(Paramètres!J30&amp;Paramètres!L30&amp;Paramètres!N30="",Dossiers!$D$9,MAX(IF(Paramètres!J30="",0,IF(Paramètres!K30="",NA(),IF(LEFT(TRIM(Paramètres!K30),1)="F",INDEX($F$275:$F$327,MATCH(Paramètres!J30,Paramètres!$G$5:$G$57,0)),INDEX($E$275:$E$327,MATCH(Paramètres!J30,Paramètres!$G$5:$G$57,0)))+IF(RIGHT(TRIM(Paramètres!K30),3)="Fin",1-$H300,IF(LEFT(TRIM(Paramètres!K30),1)="F",1,0)))),IF(Paramètres!L30="",0,IF(Paramètres!M30="",NA(),IF(LEFT(TRIM(Paramètres!M30),1)="F",INDEX($F$275:$F$327,MATCH(Paramètres!L30,Paramètres!$G$5:$G$57,0)),INDEX($E$275:$E$327,MATCH(Paramètres!L30,Paramètres!$G$5:$G$57,0)))+IF(RIGHT(TRIM(Paramètres!M30),3)="Fin",1-$H300,IF(LEFT(TRIM(Paramètres!M30),1)="F",1,0)))),IF(Paramètres!N30="",0,IF(Paramètres!O30="",NA(),IF(LEFT(TRIM(Paramètres!O30),1)="F",INDEX($F$275:$F$327,MATCH(Paramètres!N30,Paramètres!$G$5:$G$57,0)),INDEX($E$275:$E$327,MATCH(Paramètres!N30,Paramètres!$G$5:$G$57,0)))+IF(RIGHT(TRIM(Paramètres!O30),3)="Fin",1-$H300,IF(LEFT(TRIM(Paramètres!O30),1)="F",1,0)))))))</f>
        <v/>
      </c>
      <c r="F300" s="19">
        <f>IF($A300="","",E300+$H300-1)</f>
        <v/>
      </c>
      <c r="G300" s="18" t="n"/>
      <c r="H300" s="18">
        <f>IF($A300="","",IF(I300&lt;&gt;"",I300,Paramètres!B30))</f>
        <v/>
      </c>
      <c r="I300" s="18" t="n"/>
    </row>
    <row r="301">
      <c r="A301" s="18">
        <f>IF(ISNUMBER(Dossiers!$D$9),Dossiers!$A$9&amp;" · "&amp;Dossiers!$B$9,"")</f>
        <v/>
      </c>
      <c r="B301" s="18">
        <f>IF($A301="","",Paramètres!G31)</f>
        <v/>
      </c>
      <c r="C301" s="20">
        <f>IF($A301="","",IF(Dossiers!$F$9="","",Dossiers!$F$9))</f>
        <v/>
      </c>
      <c r="D301" s="18">
        <f>IF($A301="","",IF(Paramètres!I31="","",Paramètres!I31))</f>
        <v/>
      </c>
      <c r="E301" s="19">
        <f>IF($A301="","",IF(Paramètres!J31&amp;Paramètres!L31&amp;Paramètres!N31="",Dossiers!$D$9,MAX(IF(Paramètres!J31="",0,IF(Paramètres!K31="",NA(),IF(LEFT(TRIM(Paramètres!K31),1)="F",INDEX($F$275:$F$327,MATCH(Paramètres!J31,Paramètres!$G$5:$G$57,0)),INDEX($E$275:$E$327,MATCH(Paramètres!J31,Paramètres!$G$5:$G$57,0)))+IF(RIGHT(TRIM(Paramètres!K31),3)="Fin",1-$H301,IF(LEFT(TRIM(Paramètres!K31),1)="F",1,0)))),IF(Paramètres!L31="",0,IF(Paramètres!M31="",NA(),IF(LEFT(TRIM(Paramètres!M31),1)="F",INDEX($F$275:$F$327,MATCH(Paramètres!L31,Paramètres!$G$5:$G$57,0)),INDEX($E$275:$E$327,MATCH(Paramètres!L31,Paramètres!$G$5:$G$57,0)))+IF(RIGHT(TRIM(Paramètres!M31),3)="Fin",1-$H301,IF(LEFT(TRIM(Paramètres!M31),1)="F",1,0)))),IF(Paramètres!N31="",0,IF(Paramètres!O31="",NA(),IF(LEFT(TRIM(Paramètres!O31),1)="F",INDEX($F$275:$F$327,MATCH(Paramètres!N31,Paramètres!$G$5:$G$57,0)),INDEX($E$275:$E$327,MATCH(Paramètres!N31,Paramètres!$G$5:$G$57,0)))+IF(RIGHT(TRIM(Paramètres!O31),3)="Fin",1-$H301,IF(LEFT(TRIM(Paramètres!O31),1)="F",1,0)))))))</f>
        <v/>
      </c>
      <c r="F301" s="19">
        <f>IF($A301="","",E301+$H301-1)</f>
        <v/>
      </c>
      <c r="G301" s="18" t="n"/>
      <c r="H301" s="18">
        <f>IF($A301="","",IF(I301&lt;&gt;"",I301,Paramètres!B31))</f>
        <v/>
      </c>
      <c r="I301" s="18" t="n"/>
    </row>
    <row r="302">
      <c r="A302" s="18">
        <f>IF(ISNUMBER(Dossiers!$D$9),Dossiers!$A$9&amp;" · "&amp;Dossiers!$B$9,"")</f>
        <v/>
      </c>
      <c r="B302" s="18">
        <f>IF($A302="","",Paramètres!G32)</f>
        <v/>
      </c>
      <c r="C302" s="18">
        <f>IF($A302="","",IF(Paramètres!H32="","",Paramètres!H32))</f>
        <v/>
      </c>
      <c r="D302" s="18">
        <f>IF($A302="","",IF(Paramètres!I32="","",Paramètres!I32))</f>
        <v/>
      </c>
      <c r="E302" s="19">
        <f>IF($A302="","",MIN(E303:E306))</f>
        <v/>
      </c>
      <c r="F302" s="19">
        <f>IF($A302="","",MAX(F303:F306))</f>
        <v/>
      </c>
      <c r="G302" s="18" t="n"/>
      <c r="H302" s="18">
        <f>IF($A302="","",F302-E302+1)</f>
        <v/>
      </c>
      <c r="I302" s="18" t="n"/>
    </row>
    <row r="303">
      <c r="A303" s="18">
        <f>IF(ISNUMBER(Dossiers!$D$9),Dossiers!$A$9&amp;" · "&amp;Dossiers!$B$9,"")</f>
        <v/>
      </c>
      <c r="B303" s="18">
        <f>IF($A303="","",Paramètres!G33)</f>
        <v/>
      </c>
      <c r="C303" s="18">
        <f>IF($A303="","",IF(Paramètres!H33="","",Paramètres!H33))</f>
        <v/>
      </c>
      <c r="D303" s="18">
        <f>IF($A303="","",IF(Paramètres!I33="","",Paramètres!I33))</f>
        <v/>
      </c>
      <c r="E303" s="19">
        <f>IF($A303="","",IF(Paramètres!J33&amp;Paramètres!L33&amp;Paramètres!N33="",Dossiers!$D$9,MAX(IF(Paramètres!J33="",0,IF(Paramètres!K33="",NA(),IF(LEFT(TRIM(Paramètres!K33),1)="F",INDEX($F$275:$F$327,MATCH(Paramètres!J33,Paramètres!$G$5:$G$57,0)),INDEX($E$275:$E$327,MATCH(Paramètres!J33,Paramètres!$G$5:$G$57,0)))+IF(RIGHT(TRIM(Paramètres!K33),3)="Fin",1-$H303,IF(LEFT(TRIM(Paramètres!K33),1)="F",1,0)))),IF(Paramètres!L33="",0,IF(Paramètres!M33="",NA(),IF(LEFT(TRIM(Paramètres!M33),1)="F",INDEX($F$275:$F$327,MATCH(Paramètres!L33,Paramètres!$G$5:$G$57,0)),INDEX($E$275:$E$327,MATCH(Paramètres!L33,Paramètres!$G$5:$G$57,0)))+IF(RIGHT(TRIM(Paramètres!M33),3)="Fin",1-$H303,IF(LEFT(TRIM(Paramètres!M33),1)="F",1,0)))),IF(Paramètres!N33="",0,IF(Paramètres!O33="",NA(),IF(LEFT(TRIM(Paramètres!O33),1)="F",INDEX($F$275:$F$327,MATCH(Paramètres!N33,Paramètres!$G$5:$G$57,0)),INDEX($E$275:$E$327,MATCH(Paramètres!N33,Paramètres!$G$5:$G$57,0)))+IF(RIGHT(TRIM(Paramètres!O33),3)="Fin",1-$H303,IF(LEFT(TRIM(Paramètres!O33),1)="F",1,0)))))))</f>
        <v/>
      </c>
      <c r="F303" s="19">
        <f>IF($A303="","",E303+$H303-1)</f>
        <v/>
      </c>
      <c r="G303" s="18" t="n"/>
      <c r="H303" s="18">
        <f>IF($A303="","",IF(I303&lt;&gt;"",I303,Paramètres!B33))</f>
        <v/>
      </c>
      <c r="I303" s="18" t="n"/>
    </row>
    <row r="304">
      <c r="A304" s="18">
        <f>IF(ISNUMBER(Dossiers!$D$9),Dossiers!$A$9&amp;" · "&amp;Dossiers!$B$9,"")</f>
        <v/>
      </c>
      <c r="B304" s="18">
        <f>IF($A304="","",Paramètres!G34)</f>
        <v/>
      </c>
      <c r="C304" s="18">
        <f>IF($A304="","",IF(Paramètres!H34="","",Paramètres!H34))</f>
        <v/>
      </c>
      <c r="D304" s="18">
        <f>IF($A304="","",IF(Paramètres!I34="","",Paramètres!I34))</f>
        <v/>
      </c>
      <c r="E304" s="19">
        <f>IF($A304="","",IF(Paramètres!J34&amp;Paramètres!L34&amp;Paramètres!N34="",Dossiers!$D$9,MAX(IF(Paramètres!J34="",0,IF(Paramètres!K34="",NA(),IF(LEFT(TRIM(Paramètres!K34),1)="F",INDEX($F$275:$F$327,MATCH(Paramètres!J34,Paramètres!$G$5:$G$57,0)),INDEX($E$275:$E$327,MATCH(Paramètres!J34,Paramètres!$G$5:$G$57,0)))+IF(RIGHT(TRIM(Paramètres!K34),3)="Fin",1-$H304,IF(LEFT(TRIM(Paramètres!K34),1)="F",1,0)))),IF(Paramètres!L34="",0,IF(Paramètres!M34="",NA(),IF(LEFT(TRIM(Paramètres!M34),1)="F",INDEX($F$275:$F$327,MATCH(Paramètres!L34,Paramètres!$G$5:$G$57,0)),INDEX($E$275:$E$327,MATCH(Paramètres!L34,Paramètres!$G$5:$G$57,0)))+IF(RIGHT(TRIM(Paramètres!M34),3)="Fin",1-$H304,IF(LEFT(TRIM(Paramètres!M34),1)="F",1,0)))),IF(Paramètres!N34="",0,IF(Paramètres!O34="",NA(),IF(LEFT(TRIM(Paramètres!O34),1)="F",INDEX($F$275:$F$327,MATCH(Paramètres!N34,Paramètres!$G$5:$G$57,0)),INDEX($E$275:$E$327,MATCH(Paramètres!N34,Paramètres!$G$5:$G$57,0)))+IF(RIGHT(TRIM(Paramètres!O34),3)="Fin",1-$H304,IF(LEFT(TRIM(Paramètres!O34),1)="F",1,0)))))))</f>
        <v/>
      </c>
      <c r="F304" s="19">
        <f>IF($A304="","",E304+$H304-1)</f>
        <v/>
      </c>
      <c r="G304" s="18" t="n"/>
      <c r="H304" s="18">
        <f>IF($A304="","",IF(I304&lt;&gt;"",I304,Paramètres!B34))</f>
        <v/>
      </c>
      <c r="I304" s="18" t="n"/>
    </row>
    <row r="305">
      <c r="A305" s="18">
        <f>IF(ISNUMBER(Dossiers!$D$9),Dossiers!$A$9&amp;" · "&amp;Dossiers!$B$9,"")</f>
        <v/>
      </c>
      <c r="B305" s="18">
        <f>IF($A305="","",Paramètres!G35)</f>
        <v/>
      </c>
      <c r="C305" s="18">
        <f>IF($A305="","",IF(Paramètres!H35="","",Paramètres!H35))</f>
        <v/>
      </c>
      <c r="D305" s="18">
        <f>IF($A305="","",IF(Paramètres!I35="","",Paramètres!I35))</f>
        <v/>
      </c>
      <c r="E305" s="19">
        <f>IF($A305="","",IF(Paramètres!J35&amp;Paramètres!L35&amp;Paramètres!N35="",Dossiers!$D$9,MAX(IF(Paramètres!J35="",0,IF(Paramètres!K35="",NA(),IF(LEFT(TRIM(Paramètres!K35),1)="F",INDEX($F$275:$F$327,MATCH(Paramètres!J35,Paramètres!$G$5:$G$57,0)),INDEX($E$275:$E$327,MATCH(Paramètres!J35,Paramètres!$G$5:$G$57,0)))+IF(RIGHT(TRIM(Paramètres!K35),3)="Fin",1-$H305,IF(LEFT(TRIM(Paramètres!K35),1)="F",1,0)))),IF(Paramètres!L35="",0,IF(Paramètres!M35="",NA(),IF(LEFT(TRIM(Paramètres!M35),1)="F",INDEX($F$275:$F$327,MATCH(Paramètres!L35,Paramètres!$G$5:$G$57,0)),INDEX($E$275:$E$327,MATCH(Paramètres!L35,Paramètres!$G$5:$G$57,0)))+IF(RIGHT(TRIM(Paramètres!M35),3)="Fin",1-$H305,IF(LEFT(TRIM(Paramètres!M35),1)="F",1,0)))),IF(Paramètres!N35="",0,IF(Paramètres!O35="",NA(),IF(LEFT(TRIM(Paramètres!O35),1)="F",INDEX($F$275:$F$327,MATCH(Paramètres!N35,Paramètres!$G$5:$G$57,0)),INDEX($E$275:$E$327,MATCH(Paramètres!N35,Paramètres!$G$5:$G$57,0)))+IF(RIGHT(TRIM(Paramètres!O35),3)="Fin",1-$H305,IF(LEFT(TRIM(Paramètres!O35),1)="F",1,0)))))))</f>
        <v/>
      </c>
      <c r="F305" s="19">
        <f>IF($A305="","",E305+$H305-1)</f>
        <v/>
      </c>
      <c r="G305" s="18" t="n"/>
      <c r="H305" s="18">
        <f>IF($A305="","",IF(I305&lt;&gt;"",I305,Paramètres!B35))</f>
        <v/>
      </c>
      <c r="I305" s="18" t="n"/>
    </row>
    <row r="306">
      <c r="A306" s="18">
        <f>IF(ISNUMBER(Dossiers!$D$9),Dossiers!$A$9&amp;" · "&amp;Dossiers!$B$9,"")</f>
        <v/>
      </c>
      <c r="B306" s="18">
        <f>IF($A306="","",Paramètres!G36)</f>
        <v/>
      </c>
      <c r="C306" s="18">
        <f>IF($A306="","",IF(Paramètres!H36="","",Paramètres!H36))</f>
        <v/>
      </c>
      <c r="D306" s="18">
        <f>IF($A306="","",IF(Paramètres!I36="","",Paramètres!I36))</f>
        <v/>
      </c>
      <c r="E306" s="19">
        <f>IF($A306="","",IF(Paramètres!J36&amp;Paramètres!L36&amp;Paramètres!N36="",Dossiers!$D$9,MAX(IF(Paramètres!J36="",0,IF(Paramètres!K36="",NA(),IF(LEFT(TRIM(Paramètres!K36),1)="F",INDEX($F$275:$F$327,MATCH(Paramètres!J36,Paramètres!$G$5:$G$57,0)),INDEX($E$275:$E$327,MATCH(Paramètres!J36,Paramètres!$G$5:$G$57,0)))+IF(RIGHT(TRIM(Paramètres!K36),3)="Fin",1-$H306,IF(LEFT(TRIM(Paramètres!K36),1)="F",1,0)))),IF(Paramètres!L36="",0,IF(Paramètres!M36="",NA(),IF(LEFT(TRIM(Paramètres!M36),1)="F",INDEX($F$275:$F$327,MATCH(Paramètres!L36,Paramètres!$G$5:$G$57,0)),INDEX($E$275:$E$327,MATCH(Paramètres!L36,Paramètres!$G$5:$G$57,0)))+IF(RIGHT(TRIM(Paramètres!M36),3)="Fin",1-$H306,IF(LEFT(TRIM(Paramètres!M36),1)="F",1,0)))),IF(Paramètres!N36="",0,IF(Paramètres!O36="",NA(),IF(LEFT(TRIM(Paramètres!O36),1)="F",INDEX($F$275:$F$327,MATCH(Paramètres!N36,Paramètres!$G$5:$G$57,0)),INDEX($E$275:$E$327,MATCH(Paramètres!N36,Paramètres!$G$5:$G$57,0)))+IF(RIGHT(TRIM(Paramètres!O36),3)="Fin",1-$H306,IF(LEFT(TRIM(Paramètres!O36),1)="F",1,0)))))))</f>
        <v/>
      </c>
      <c r="F306" s="19">
        <f>IF($A306="","",E306+$H306-1)</f>
        <v/>
      </c>
      <c r="G306" s="18" t="n"/>
      <c r="H306" s="18">
        <f>IF($A306="","",IF(I306&lt;&gt;"",I306,Paramètres!B36))</f>
        <v/>
      </c>
      <c r="I306" s="18" t="n"/>
    </row>
    <row r="307">
      <c r="A307" s="18">
        <f>IF(ISNUMBER(Dossiers!$D$9),Dossiers!$A$9&amp;" · "&amp;Dossiers!$B$9,"")</f>
        <v/>
      </c>
      <c r="B307" s="18">
        <f>IF($A307="","",Paramètres!G37)</f>
        <v/>
      </c>
      <c r="C307" s="18">
        <f>IF($A307="","",IF(Paramètres!H37="","",Paramètres!H37))</f>
        <v/>
      </c>
      <c r="D307" s="18">
        <f>IF($A307="","",IF(Paramètres!I37="","",Paramètres!I37))</f>
        <v/>
      </c>
      <c r="E307" s="19">
        <f>IF($A307="","",MIN(E308:E325))</f>
        <v/>
      </c>
      <c r="F307" s="19">
        <f>IF($A307="","",MAX(F308:F325))</f>
        <v/>
      </c>
      <c r="G307" s="18" t="n"/>
      <c r="H307" s="18">
        <f>IF($A307="","",F307-E307+1)</f>
        <v/>
      </c>
      <c r="I307" s="18" t="n"/>
    </row>
    <row r="308">
      <c r="A308" s="18">
        <f>IF(ISNUMBER(Dossiers!$D$9),Dossiers!$A$9&amp;" · "&amp;Dossiers!$B$9,"")</f>
        <v/>
      </c>
      <c r="B308" s="18">
        <f>IF($A308="","",Paramètres!G38)</f>
        <v/>
      </c>
      <c r="C308" s="18">
        <f>IF($A308="","",IF(Paramètres!H38="","",Paramètres!H38))</f>
        <v/>
      </c>
      <c r="D308" s="18">
        <f>IF($A308="","",IF(Paramètres!I38="","",Paramètres!I38))</f>
        <v/>
      </c>
      <c r="E308" s="19">
        <f>IF($A308="","",IF(Paramètres!J38&amp;Paramètres!L38&amp;Paramètres!N38="",Dossiers!$D$9,MAX(IF(Paramètres!J38="",0,IF(Paramètres!K38="",NA(),IF(LEFT(TRIM(Paramètres!K38),1)="F",INDEX($F$275:$F$327,MATCH(Paramètres!J38,Paramètres!$G$5:$G$57,0)),INDEX($E$275:$E$327,MATCH(Paramètres!J38,Paramètres!$G$5:$G$57,0)))+IF(RIGHT(TRIM(Paramètres!K38),3)="Fin",1-$H308,IF(LEFT(TRIM(Paramètres!K38),1)="F",1,0)))),IF(Paramètres!L38="",0,IF(Paramètres!M38="",NA(),IF(LEFT(TRIM(Paramètres!M38),1)="F",INDEX($F$275:$F$327,MATCH(Paramètres!L38,Paramètres!$G$5:$G$57,0)),INDEX($E$275:$E$327,MATCH(Paramètres!L38,Paramètres!$G$5:$G$57,0)))+IF(RIGHT(TRIM(Paramètres!M38),3)="Fin",1-$H308,IF(LEFT(TRIM(Paramètres!M38),1)="F",1,0)))),IF(Paramètres!N38="",0,IF(Paramètres!O38="",NA(),IF(LEFT(TRIM(Paramètres!O38),1)="F",INDEX($F$275:$F$327,MATCH(Paramètres!N38,Paramètres!$G$5:$G$57,0)),INDEX($E$275:$E$327,MATCH(Paramètres!N38,Paramètres!$G$5:$G$57,0)))+IF(RIGHT(TRIM(Paramètres!O38),3)="Fin",1-$H308,IF(LEFT(TRIM(Paramètres!O38),1)="F",1,0)))))))</f>
        <v/>
      </c>
      <c r="F308" s="19">
        <f>IF($A308="","",E308+$H308-1)</f>
        <v/>
      </c>
      <c r="G308" s="18" t="n"/>
      <c r="H308" s="18">
        <f>IF($A308="","",IF(I308&lt;&gt;"",I308,Paramètres!B38))</f>
        <v/>
      </c>
      <c r="I308" s="18" t="n"/>
    </row>
    <row r="309">
      <c r="A309" s="18">
        <f>IF(ISNUMBER(Dossiers!$D$9),Dossiers!$A$9&amp;" · "&amp;Dossiers!$B$9,"")</f>
        <v/>
      </c>
      <c r="B309" s="18">
        <f>IF($A309="","",Paramètres!G39)</f>
        <v/>
      </c>
      <c r="C309" s="18">
        <f>IF($A309="","",IF(Paramètres!H39="","",Paramètres!H39))</f>
        <v/>
      </c>
      <c r="D309" s="18">
        <f>IF($A309="","",IF(Paramètres!I39="","",Paramètres!I39))</f>
        <v/>
      </c>
      <c r="E309" s="19">
        <f>IF($A309="","",IF(Paramètres!J39&amp;Paramètres!L39&amp;Paramètres!N39="",Dossiers!$D$9,MAX(IF(Paramètres!J39="",0,IF(Paramètres!K39="",NA(),IF(LEFT(TRIM(Paramètres!K39),1)="F",INDEX($F$275:$F$327,MATCH(Paramètres!J39,Paramètres!$G$5:$G$57,0)),INDEX($E$275:$E$327,MATCH(Paramètres!J39,Paramètres!$G$5:$G$57,0)))+IF(RIGHT(TRIM(Paramètres!K39),3)="Fin",1-$H309,IF(LEFT(TRIM(Paramètres!K39),1)="F",1,0)))),IF(Paramètres!L39="",0,IF(Paramètres!M39="",NA(),IF(LEFT(TRIM(Paramètres!M39),1)="F",INDEX($F$275:$F$327,MATCH(Paramètres!L39,Paramètres!$G$5:$G$57,0)),INDEX($E$275:$E$327,MATCH(Paramètres!L39,Paramètres!$G$5:$G$57,0)))+IF(RIGHT(TRIM(Paramètres!M39),3)="Fin",1-$H309,IF(LEFT(TRIM(Paramètres!M39),1)="F",1,0)))),IF(Paramètres!N39="",0,IF(Paramètres!O39="",NA(),IF(LEFT(TRIM(Paramètres!O39),1)="F",INDEX($F$275:$F$327,MATCH(Paramètres!N39,Paramètres!$G$5:$G$57,0)),INDEX($E$275:$E$327,MATCH(Paramètres!N39,Paramètres!$G$5:$G$57,0)))+IF(RIGHT(TRIM(Paramètres!O39),3)="Fin",1-$H309,IF(LEFT(TRIM(Paramètres!O39),1)="F",1,0)))))))</f>
        <v/>
      </c>
      <c r="F309" s="19">
        <f>IF($A309="","",E309+$H309-1)</f>
        <v/>
      </c>
      <c r="G309" s="18" t="n"/>
      <c r="H309" s="18">
        <f>IF($A309="","",IF(I309&lt;&gt;"",I309,Paramètres!B39))</f>
        <v/>
      </c>
      <c r="I309" s="18" t="n"/>
    </row>
    <row r="310">
      <c r="A310" s="18">
        <f>IF(ISNUMBER(Dossiers!$D$9),Dossiers!$A$9&amp;" · "&amp;Dossiers!$B$9,"")</f>
        <v/>
      </c>
      <c r="B310" s="18">
        <f>IF($A310="","",Paramètres!G40)</f>
        <v/>
      </c>
      <c r="C310" s="18">
        <f>IF($A310="","",IF(Paramètres!H40="","",Paramètres!H40))</f>
        <v/>
      </c>
      <c r="D310" s="18">
        <f>IF($A310="","",IF(Paramètres!I40="","",Paramètres!I40))</f>
        <v/>
      </c>
      <c r="E310" s="19">
        <f>IF($A310="","",IF(Paramètres!J40&amp;Paramètres!L40&amp;Paramètres!N40="",Dossiers!$D$9,MAX(IF(Paramètres!J40="",0,IF(Paramètres!K40="",NA(),IF(LEFT(TRIM(Paramètres!K40),1)="F",INDEX($F$275:$F$327,MATCH(Paramètres!J40,Paramètres!$G$5:$G$57,0)),INDEX($E$275:$E$327,MATCH(Paramètres!J40,Paramètres!$G$5:$G$57,0)))+IF(RIGHT(TRIM(Paramètres!K40),3)="Fin",1-$H310,IF(LEFT(TRIM(Paramètres!K40),1)="F",1,0)))),IF(Paramètres!L40="",0,IF(Paramètres!M40="",NA(),IF(LEFT(TRIM(Paramètres!M40),1)="F",INDEX($F$275:$F$327,MATCH(Paramètres!L40,Paramètres!$G$5:$G$57,0)),INDEX($E$275:$E$327,MATCH(Paramètres!L40,Paramètres!$G$5:$G$57,0)))+IF(RIGHT(TRIM(Paramètres!M40),3)="Fin",1-$H310,IF(LEFT(TRIM(Paramètres!M40),1)="F",1,0)))),IF(Paramètres!N40="",0,IF(Paramètres!O40="",NA(),IF(LEFT(TRIM(Paramètres!O40),1)="F",INDEX($F$275:$F$327,MATCH(Paramètres!N40,Paramètres!$G$5:$G$57,0)),INDEX($E$275:$E$327,MATCH(Paramètres!N40,Paramètres!$G$5:$G$57,0)))+IF(RIGHT(TRIM(Paramètres!O40),3)="Fin",1-$H310,IF(LEFT(TRIM(Paramètres!O40),1)="F",1,0)))))))</f>
        <v/>
      </c>
      <c r="F310" s="19">
        <f>IF($A310="","",E310+$H310-1)</f>
        <v/>
      </c>
      <c r="G310" s="18" t="n"/>
      <c r="H310" s="18">
        <f>IF($A310="","",IF(I310&lt;&gt;"",I310,Paramètres!B40))</f>
        <v/>
      </c>
      <c r="I310" s="18" t="n"/>
    </row>
    <row r="311">
      <c r="A311" s="18">
        <f>IF(ISNUMBER(Dossiers!$D$9),Dossiers!$A$9&amp;" · "&amp;Dossiers!$B$9,"")</f>
        <v/>
      </c>
      <c r="B311" s="18">
        <f>IF($A311="","",Paramètres!G41)</f>
        <v/>
      </c>
      <c r="C311" s="18">
        <f>IF($A311="","",IF(Paramètres!H41="","",Paramètres!H41))</f>
        <v/>
      </c>
      <c r="D311" s="18">
        <f>IF($A311="","",IF(Paramètres!I41="","",Paramètres!I41))</f>
        <v/>
      </c>
      <c r="E311" s="19">
        <f>IF($A311="","",IF(Paramètres!J41&amp;Paramètres!L41&amp;Paramètres!N41="",Dossiers!$D$9,MAX(IF(Paramètres!J41="",0,IF(Paramètres!K41="",NA(),IF(LEFT(TRIM(Paramètres!K41),1)="F",INDEX($F$275:$F$327,MATCH(Paramètres!J41,Paramètres!$G$5:$G$57,0)),INDEX($E$275:$E$327,MATCH(Paramètres!J41,Paramètres!$G$5:$G$57,0)))+IF(RIGHT(TRIM(Paramètres!K41),3)="Fin",1-$H311,IF(LEFT(TRIM(Paramètres!K41),1)="F",1,0)))),IF(Paramètres!L41="",0,IF(Paramètres!M41="",NA(),IF(LEFT(TRIM(Paramètres!M41),1)="F",INDEX($F$275:$F$327,MATCH(Paramètres!L41,Paramètres!$G$5:$G$57,0)),INDEX($E$275:$E$327,MATCH(Paramètres!L41,Paramètres!$G$5:$G$57,0)))+IF(RIGHT(TRIM(Paramètres!M41),3)="Fin",1-$H311,IF(LEFT(TRIM(Paramètres!M41),1)="F",1,0)))),IF(Paramètres!N41="",0,IF(Paramètres!O41="",NA(),IF(LEFT(TRIM(Paramètres!O41),1)="F",INDEX($F$275:$F$327,MATCH(Paramètres!N41,Paramètres!$G$5:$G$57,0)),INDEX($E$275:$E$327,MATCH(Paramètres!N41,Paramètres!$G$5:$G$57,0)))+IF(RIGHT(TRIM(Paramètres!O41),3)="Fin",1-$H311,IF(LEFT(TRIM(Paramètres!O41),1)="F",1,0)))))))</f>
        <v/>
      </c>
      <c r="F311" s="19">
        <f>IF($A311="","",E311+$H311-1)</f>
        <v/>
      </c>
      <c r="G311" s="18" t="n"/>
      <c r="H311" s="18">
        <f>IF($A311="","",IF(I311&lt;&gt;"",I311,Paramètres!B41))</f>
        <v/>
      </c>
      <c r="I311" s="18" t="n"/>
    </row>
    <row r="312">
      <c r="A312" s="18">
        <f>IF(ISNUMBER(Dossiers!$D$9),Dossiers!$A$9&amp;" · "&amp;Dossiers!$B$9,"")</f>
        <v/>
      </c>
      <c r="B312" s="18">
        <f>IF($A312="","",Paramètres!G42)</f>
        <v/>
      </c>
      <c r="C312" s="18">
        <f>IF($A312="","",IF(Paramètres!H42="","",Paramètres!H42))</f>
        <v/>
      </c>
      <c r="D312" s="18">
        <f>IF($A312="","",IF(Paramètres!I42="","",Paramètres!I42))</f>
        <v/>
      </c>
      <c r="E312" s="19">
        <f>IF($A312="","",IF(Paramètres!J42&amp;Paramètres!L42&amp;Paramètres!N42="",Dossiers!$D$9,MAX(IF(Paramètres!J42="",0,IF(Paramètres!K42="",NA(),IF(LEFT(TRIM(Paramètres!K42),1)="F",INDEX($F$275:$F$327,MATCH(Paramètres!J42,Paramètres!$G$5:$G$57,0)),INDEX($E$275:$E$327,MATCH(Paramètres!J42,Paramètres!$G$5:$G$57,0)))+IF(RIGHT(TRIM(Paramètres!K42),3)="Fin",1-$H312,IF(LEFT(TRIM(Paramètres!K42),1)="F",1,0)))),IF(Paramètres!L42="",0,IF(Paramètres!M42="",NA(),IF(LEFT(TRIM(Paramètres!M42),1)="F",INDEX($F$275:$F$327,MATCH(Paramètres!L42,Paramètres!$G$5:$G$57,0)),INDEX($E$275:$E$327,MATCH(Paramètres!L42,Paramètres!$G$5:$G$57,0)))+IF(RIGHT(TRIM(Paramètres!M42),3)="Fin",1-$H312,IF(LEFT(TRIM(Paramètres!M42),1)="F",1,0)))),IF(Paramètres!N42="",0,IF(Paramètres!O42="",NA(),IF(LEFT(TRIM(Paramètres!O42),1)="F",INDEX($F$275:$F$327,MATCH(Paramètres!N42,Paramètres!$G$5:$G$57,0)),INDEX($E$275:$E$327,MATCH(Paramètres!N42,Paramètres!$G$5:$G$57,0)))+IF(RIGHT(TRIM(Paramètres!O42),3)="Fin",1-$H312,IF(LEFT(TRIM(Paramètres!O42),1)="F",1,0)))))))</f>
        <v/>
      </c>
      <c r="F312" s="19">
        <f>IF($A312="","",E312+$H312-1)</f>
        <v/>
      </c>
      <c r="G312" s="18" t="n"/>
      <c r="H312" s="18">
        <f>IF($A312="","",IF(I312&lt;&gt;"",I312,Paramètres!B42))</f>
        <v/>
      </c>
      <c r="I312" s="18" t="n"/>
    </row>
    <row r="313">
      <c r="A313" s="18">
        <f>IF(ISNUMBER(Dossiers!$D$9),Dossiers!$A$9&amp;" · "&amp;Dossiers!$B$9,"")</f>
        <v/>
      </c>
      <c r="B313" s="18">
        <f>IF($A313="","",Paramètres!G43)</f>
        <v/>
      </c>
      <c r="C313" s="18">
        <f>IF($A313="","",IF(Paramètres!H43="","",Paramètres!H43))</f>
        <v/>
      </c>
      <c r="D313" s="18">
        <f>IF($A313="","",IF(Paramètres!I43="","",Paramètres!I43))</f>
        <v/>
      </c>
      <c r="E313" s="19">
        <f>IF($A313="","",IF(Paramètres!J43&amp;Paramètres!L43&amp;Paramètres!N43="",Dossiers!$D$9,MAX(IF(Paramètres!J43="",0,IF(Paramètres!K43="",NA(),IF(LEFT(TRIM(Paramètres!K43),1)="F",INDEX($F$275:$F$327,MATCH(Paramètres!J43,Paramètres!$G$5:$G$57,0)),INDEX($E$275:$E$327,MATCH(Paramètres!J43,Paramètres!$G$5:$G$57,0)))+IF(RIGHT(TRIM(Paramètres!K43),3)="Fin",1-$H313,IF(LEFT(TRIM(Paramètres!K43),1)="F",1,0)))),IF(Paramètres!L43="",0,IF(Paramètres!M43="",NA(),IF(LEFT(TRIM(Paramètres!M43),1)="F",INDEX($F$275:$F$327,MATCH(Paramètres!L43,Paramètres!$G$5:$G$57,0)),INDEX($E$275:$E$327,MATCH(Paramètres!L43,Paramètres!$G$5:$G$57,0)))+IF(RIGHT(TRIM(Paramètres!M43),3)="Fin",1-$H313,IF(LEFT(TRIM(Paramètres!M43),1)="F",1,0)))),IF(Paramètres!N43="",0,IF(Paramètres!O43="",NA(),IF(LEFT(TRIM(Paramètres!O43),1)="F",INDEX($F$275:$F$327,MATCH(Paramètres!N43,Paramètres!$G$5:$G$57,0)),INDEX($E$275:$E$327,MATCH(Paramètres!N43,Paramètres!$G$5:$G$57,0)))+IF(RIGHT(TRIM(Paramètres!O43),3)="Fin",1-$H313,IF(LEFT(TRIM(Paramètres!O43),1)="F",1,0)))))))</f>
        <v/>
      </c>
      <c r="F313" s="19">
        <f>IF($A313="","",E313+$H313-1)</f>
        <v/>
      </c>
      <c r="G313" s="18" t="n"/>
      <c r="H313" s="18">
        <f>IF($A313="","",IF(I313&lt;&gt;"",I313,Paramètres!B43))</f>
        <v/>
      </c>
      <c r="I313" s="18" t="n"/>
    </row>
    <row r="314">
      <c r="A314" s="18">
        <f>IF(ISNUMBER(Dossiers!$D$9),Dossiers!$A$9&amp;" · "&amp;Dossiers!$B$9,"")</f>
        <v/>
      </c>
      <c r="B314" s="18">
        <f>IF($A314="","",Paramètres!G44)</f>
        <v/>
      </c>
      <c r="C314" s="18">
        <f>IF($A314="","",IF(Paramètres!H44="","",Paramètres!H44))</f>
        <v/>
      </c>
      <c r="D314" s="18">
        <f>IF($A314="","",IF(Paramètres!I44="","",Paramètres!I44))</f>
        <v/>
      </c>
      <c r="E314" s="19">
        <f>IF($A314="","",IF(Paramètres!J44&amp;Paramètres!L44&amp;Paramètres!N44="",Dossiers!$D$9,MAX(IF(Paramètres!J44="",0,IF(Paramètres!K44="",NA(),IF(LEFT(TRIM(Paramètres!K44),1)="F",INDEX($F$275:$F$327,MATCH(Paramètres!J44,Paramètres!$G$5:$G$57,0)),INDEX($E$275:$E$327,MATCH(Paramètres!J44,Paramètres!$G$5:$G$57,0)))+IF(RIGHT(TRIM(Paramètres!K44),3)="Fin",1-$H314,IF(LEFT(TRIM(Paramètres!K44),1)="F",1,0)))),IF(Paramètres!L44="",0,IF(Paramètres!M44="",NA(),IF(LEFT(TRIM(Paramètres!M44),1)="F",INDEX($F$275:$F$327,MATCH(Paramètres!L44,Paramètres!$G$5:$G$57,0)),INDEX($E$275:$E$327,MATCH(Paramètres!L44,Paramètres!$G$5:$G$57,0)))+IF(RIGHT(TRIM(Paramètres!M44),3)="Fin",1-$H314,IF(LEFT(TRIM(Paramètres!M44),1)="F",1,0)))),IF(Paramètres!N44="",0,IF(Paramètres!O44="",NA(),IF(LEFT(TRIM(Paramètres!O44),1)="F",INDEX($F$275:$F$327,MATCH(Paramètres!N44,Paramètres!$G$5:$G$57,0)),INDEX($E$275:$E$327,MATCH(Paramètres!N44,Paramètres!$G$5:$G$57,0)))+IF(RIGHT(TRIM(Paramètres!O44),3)="Fin",1-$H314,IF(LEFT(TRIM(Paramètres!O44),1)="F",1,0)))))))</f>
        <v/>
      </c>
      <c r="F314" s="19">
        <f>IF($A314="","",E314+$H314-1)</f>
        <v/>
      </c>
      <c r="G314" s="18" t="n"/>
      <c r="H314" s="18">
        <f>IF($A314="","",IF(I314&lt;&gt;"",I314,Paramètres!B44))</f>
        <v/>
      </c>
      <c r="I314" s="18" t="n"/>
    </row>
    <row r="315">
      <c r="A315" s="18">
        <f>IF(ISNUMBER(Dossiers!$D$9),Dossiers!$A$9&amp;" · "&amp;Dossiers!$B$9,"")</f>
        <v/>
      </c>
      <c r="B315" s="18">
        <f>IF($A315="","",Paramètres!G45)</f>
        <v/>
      </c>
      <c r="C315" s="20">
        <f>IF($A315="","",IF(Dossiers!$G$9="","",Dossiers!$G$9))</f>
        <v/>
      </c>
      <c r="D315" s="18">
        <f>IF($A315="","",IF(Paramètres!I45="","",Paramètres!I45))</f>
        <v/>
      </c>
      <c r="E315" s="19">
        <f>IF($A315="","",IF(Paramètres!J45&amp;Paramètres!L45&amp;Paramètres!N45="",Dossiers!$D$9,MAX(IF(Paramètres!J45="",0,IF(Paramètres!K45="",NA(),IF(LEFT(TRIM(Paramètres!K45),1)="F",INDEX($F$275:$F$327,MATCH(Paramètres!J45,Paramètres!$G$5:$G$57,0)),INDEX($E$275:$E$327,MATCH(Paramètres!J45,Paramètres!$G$5:$G$57,0)))+IF(RIGHT(TRIM(Paramètres!K45),3)="Fin",1-$H315,IF(LEFT(TRIM(Paramètres!K45),1)="F",1,0)))),IF(Paramètres!L45="",0,IF(Paramètres!M45="",NA(),IF(LEFT(TRIM(Paramètres!M45),1)="F",INDEX($F$275:$F$327,MATCH(Paramètres!L45,Paramètres!$G$5:$G$57,0)),INDEX($E$275:$E$327,MATCH(Paramètres!L45,Paramètres!$G$5:$G$57,0)))+IF(RIGHT(TRIM(Paramètres!M45),3)="Fin",1-$H315,IF(LEFT(TRIM(Paramètres!M45),1)="F",1,0)))),IF(Paramètres!N45="",0,IF(Paramètres!O45="",NA(),IF(LEFT(TRIM(Paramètres!O45),1)="F",INDEX($F$275:$F$327,MATCH(Paramètres!N45,Paramètres!$G$5:$G$57,0)),INDEX($E$275:$E$327,MATCH(Paramètres!N45,Paramètres!$G$5:$G$57,0)))+IF(RIGHT(TRIM(Paramètres!O45),3)="Fin",1-$H315,IF(LEFT(TRIM(Paramètres!O45),1)="F",1,0)))))))</f>
        <v/>
      </c>
      <c r="F315" s="19">
        <f>IF($A315="","",E315+$H315-1)</f>
        <v/>
      </c>
      <c r="G315" s="18" t="n"/>
      <c r="H315" s="18">
        <f>IF($A315="","",IF(I315&lt;&gt;"",I315,Paramètres!B45))</f>
        <v/>
      </c>
      <c r="I315" s="18" t="n"/>
    </row>
    <row r="316">
      <c r="A316" s="18">
        <f>IF(ISNUMBER(Dossiers!$D$9),Dossiers!$A$9&amp;" · "&amp;Dossiers!$B$9,"")</f>
        <v/>
      </c>
      <c r="B316" s="18">
        <f>IF($A316="","",Paramètres!G46)</f>
        <v/>
      </c>
      <c r="C316" s="18">
        <f>IF($A316="","",IF(Paramètres!H46="","",Paramètres!H46))</f>
        <v/>
      </c>
      <c r="D316" s="18">
        <f>IF($A316="","",IF(Paramètres!I46="","",Paramètres!I46))</f>
        <v/>
      </c>
      <c r="E316" s="19">
        <f>IF($A316="","",IF(Paramètres!J46&amp;Paramètres!L46&amp;Paramètres!N46="",Dossiers!$D$9,MAX(IF(Paramètres!J46="",0,IF(Paramètres!K46="",NA(),IF(LEFT(TRIM(Paramètres!K46),1)="F",INDEX($F$275:$F$327,MATCH(Paramètres!J46,Paramètres!$G$5:$G$57,0)),INDEX($E$275:$E$327,MATCH(Paramètres!J46,Paramètres!$G$5:$G$57,0)))+IF(RIGHT(TRIM(Paramètres!K46),3)="Fin",1-$H316,IF(LEFT(TRIM(Paramètres!K46),1)="F",1,0)))),IF(Paramètres!L46="",0,IF(Paramètres!M46="",NA(),IF(LEFT(TRIM(Paramètres!M46),1)="F",INDEX($F$275:$F$327,MATCH(Paramètres!L46,Paramètres!$G$5:$G$57,0)),INDEX($E$275:$E$327,MATCH(Paramètres!L46,Paramètres!$G$5:$G$57,0)))+IF(RIGHT(TRIM(Paramètres!M46),3)="Fin",1-$H316,IF(LEFT(TRIM(Paramètres!M46),1)="F",1,0)))),IF(Paramètres!N46="",0,IF(Paramètres!O46="",NA(),IF(LEFT(TRIM(Paramètres!O46),1)="F",INDEX($F$275:$F$327,MATCH(Paramètres!N46,Paramètres!$G$5:$G$57,0)),INDEX($E$275:$E$327,MATCH(Paramètres!N46,Paramètres!$G$5:$G$57,0)))+IF(RIGHT(TRIM(Paramètres!O46),3)="Fin",1-$H316,IF(LEFT(TRIM(Paramètres!O46),1)="F",1,0)))))))</f>
        <v/>
      </c>
      <c r="F316" s="19">
        <f>IF($A316="","",E316+$H316-1)</f>
        <v/>
      </c>
      <c r="G316" s="18" t="n"/>
      <c r="H316" s="18">
        <f>IF($A316="","",IF(I316&lt;&gt;"",I316,Paramètres!B46))</f>
        <v/>
      </c>
      <c r="I316" s="18" t="n"/>
    </row>
    <row r="317">
      <c r="A317" s="18">
        <f>IF(ISNUMBER(Dossiers!$D$9),Dossiers!$A$9&amp;" · "&amp;Dossiers!$B$9,"")</f>
        <v/>
      </c>
      <c r="B317" s="18">
        <f>IF($A317="","",Paramètres!G47)</f>
        <v/>
      </c>
      <c r="C317" s="18">
        <f>IF($A317="","",IF(Paramètres!H47="","",Paramètres!H47))</f>
        <v/>
      </c>
      <c r="D317" s="18">
        <f>IF($A317="","",IF(Paramètres!I47="","",Paramètres!I47))</f>
        <v/>
      </c>
      <c r="E317" s="19">
        <f>IF($A317="","",IF(Paramètres!J47&amp;Paramètres!L47&amp;Paramètres!N47="",Dossiers!$D$9,MAX(IF(Paramètres!J47="",0,IF(Paramètres!K47="",NA(),IF(LEFT(TRIM(Paramètres!K47),1)="F",INDEX($F$275:$F$327,MATCH(Paramètres!J47,Paramètres!$G$5:$G$57,0)),INDEX($E$275:$E$327,MATCH(Paramètres!J47,Paramètres!$G$5:$G$57,0)))+IF(RIGHT(TRIM(Paramètres!K47),3)="Fin",1-$H317,IF(LEFT(TRIM(Paramètres!K47),1)="F",1,0)))),IF(Paramètres!L47="",0,IF(Paramètres!M47="",NA(),IF(LEFT(TRIM(Paramètres!M47),1)="F",INDEX($F$275:$F$327,MATCH(Paramètres!L47,Paramètres!$G$5:$G$57,0)),INDEX($E$275:$E$327,MATCH(Paramètres!L47,Paramètres!$G$5:$G$57,0)))+IF(RIGHT(TRIM(Paramètres!M47),3)="Fin",1-$H317,IF(LEFT(TRIM(Paramètres!M47),1)="F",1,0)))),IF(Paramètres!N47="",0,IF(Paramètres!O47="",NA(),IF(LEFT(TRIM(Paramètres!O47),1)="F",INDEX($F$275:$F$327,MATCH(Paramètres!N47,Paramètres!$G$5:$G$57,0)),INDEX($E$275:$E$327,MATCH(Paramètres!N47,Paramètres!$G$5:$G$57,0)))+IF(RIGHT(TRIM(Paramètres!O47),3)="Fin",1-$H317,IF(LEFT(TRIM(Paramètres!O47),1)="F",1,0)))))))</f>
        <v/>
      </c>
      <c r="F317" s="19">
        <f>IF($A317="","",E317+$H317-1)</f>
        <v/>
      </c>
      <c r="G317" s="18" t="n"/>
      <c r="H317" s="18">
        <f>IF($A317="","",IF(I317&lt;&gt;"",I317,Paramètres!B47))</f>
        <v/>
      </c>
      <c r="I317" s="18" t="n"/>
    </row>
    <row r="318">
      <c r="A318" s="18">
        <f>IF(ISNUMBER(Dossiers!$D$9),Dossiers!$A$9&amp;" · "&amp;Dossiers!$B$9,"")</f>
        <v/>
      </c>
      <c r="B318" s="18">
        <f>IF($A318="","",Paramètres!G48)</f>
        <v/>
      </c>
      <c r="C318" s="18">
        <f>IF($A318="","",IF(Paramètres!H48="","",Paramètres!H48))</f>
        <v/>
      </c>
      <c r="D318" s="18">
        <f>IF($A318="","",IF(Paramètres!I48="","",Paramètres!I48))</f>
        <v/>
      </c>
      <c r="E318" s="19">
        <f>IF($A318="","",IF(Paramètres!J48&amp;Paramètres!L48&amp;Paramètres!N48="",Dossiers!$D$9,MAX(IF(Paramètres!J48="",0,IF(Paramètres!K48="",NA(),IF(LEFT(TRIM(Paramètres!K48),1)="F",INDEX($F$275:$F$327,MATCH(Paramètres!J48,Paramètres!$G$5:$G$57,0)),INDEX($E$275:$E$327,MATCH(Paramètres!J48,Paramètres!$G$5:$G$57,0)))+IF(RIGHT(TRIM(Paramètres!K48),3)="Fin",1-$H318,IF(LEFT(TRIM(Paramètres!K48),1)="F",1,0)))),IF(Paramètres!L48="",0,IF(Paramètres!M48="",NA(),IF(LEFT(TRIM(Paramètres!M48),1)="F",INDEX($F$275:$F$327,MATCH(Paramètres!L48,Paramètres!$G$5:$G$57,0)),INDEX($E$275:$E$327,MATCH(Paramètres!L48,Paramètres!$G$5:$G$57,0)))+IF(RIGHT(TRIM(Paramètres!M48),3)="Fin",1-$H318,IF(LEFT(TRIM(Paramètres!M48),1)="F",1,0)))),IF(Paramètres!N48="",0,IF(Paramètres!O48="",NA(),IF(LEFT(TRIM(Paramètres!O48),1)="F",INDEX($F$275:$F$327,MATCH(Paramètres!N48,Paramètres!$G$5:$G$57,0)),INDEX($E$275:$E$327,MATCH(Paramètres!N48,Paramètres!$G$5:$G$57,0)))+IF(RIGHT(TRIM(Paramètres!O48),3)="Fin",1-$H318,IF(LEFT(TRIM(Paramètres!O48),1)="F",1,0)))))))</f>
        <v/>
      </c>
      <c r="F318" s="19">
        <f>IF($A318="","",E318+$H318-1)</f>
        <v/>
      </c>
      <c r="G318" s="18" t="n"/>
      <c r="H318" s="18">
        <f>IF($A318="","",IF(I318&lt;&gt;"",I318,Paramètres!B48))</f>
        <v/>
      </c>
      <c r="I318" s="18" t="n"/>
    </row>
    <row r="319">
      <c r="A319" s="18">
        <f>IF(ISNUMBER(Dossiers!$D$9),Dossiers!$A$9&amp;" · "&amp;Dossiers!$B$9,"")</f>
        <v/>
      </c>
      <c r="B319" s="18">
        <f>IF($A319="","",Paramètres!G49)</f>
        <v/>
      </c>
      <c r="C319" s="18">
        <f>IF($A319="","",IF(Paramètres!H49="","",Paramètres!H49))</f>
        <v/>
      </c>
      <c r="D319" s="18">
        <f>IF($A319="","",IF(Paramètres!I49="","",Paramètres!I49))</f>
        <v/>
      </c>
      <c r="E319" s="19">
        <f>IF($A319="","",IF(Paramètres!J49&amp;Paramètres!L49&amp;Paramètres!N49="",Dossiers!$D$9,MAX(IF(Paramètres!J49="",0,IF(Paramètres!K49="",NA(),IF(LEFT(TRIM(Paramètres!K49),1)="F",INDEX($F$275:$F$327,MATCH(Paramètres!J49,Paramètres!$G$5:$G$57,0)),INDEX($E$275:$E$327,MATCH(Paramètres!J49,Paramètres!$G$5:$G$57,0)))+IF(RIGHT(TRIM(Paramètres!K49),3)="Fin",1-$H319,IF(LEFT(TRIM(Paramètres!K49),1)="F",1,0)))),IF(Paramètres!L49="",0,IF(Paramètres!M49="",NA(),IF(LEFT(TRIM(Paramètres!M49),1)="F",INDEX($F$275:$F$327,MATCH(Paramètres!L49,Paramètres!$G$5:$G$57,0)),INDEX($E$275:$E$327,MATCH(Paramètres!L49,Paramètres!$G$5:$G$57,0)))+IF(RIGHT(TRIM(Paramètres!M49),3)="Fin",1-$H319,IF(LEFT(TRIM(Paramètres!M49),1)="F",1,0)))),IF(Paramètres!N49="",0,IF(Paramètres!O49="",NA(),IF(LEFT(TRIM(Paramètres!O49),1)="F",INDEX($F$275:$F$327,MATCH(Paramètres!N49,Paramètres!$G$5:$G$57,0)),INDEX($E$275:$E$327,MATCH(Paramètres!N49,Paramètres!$G$5:$G$57,0)))+IF(RIGHT(TRIM(Paramètres!O49),3)="Fin",1-$H319,IF(LEFT(TRIM(Paramètres!O49),1)="F",1,0)))))))</f>
        <v/>
      </c>
      <c r="F319" s="19">
        <f>IF($A319="","",E319+$H319-1)</f>
        <v/>
      </c>
      <c r="G319" s="18" t="n"/>
      <c r="H319" s="18">
        <f>IF($A319="","",IF(I319&lt;&gt;"",I319,Paramètres!B49))</f>
        <v/>
      </c>
      <c r="I319" s="18" t="n"/>
    </row>
    <row r="320">
      <c r="A320" s="18">
        <f>IF(ISNUMBER(Dossiers!$D$9),Dossiers!$A$9&amp;" · "&amp;Dossiers!$B$9,"")</f>
        <v/>
      </c>
      <c r="B320" s="18">
        <f>IF($A320="","",Paramètres!G50)</f>
        <v/>
      </c>
      <c r="C320" s="18">
        <f>IF($A320="","",IF(Paramètres!H50="","",Paramètres!H50))</f>
        <v/>
      </c>
      <c r="D320" s="18">
        <f>IF($A320="","",IF(Paramètres!I50="","",Paramètres!I50))</f>
        <v/>
      </c>
      <c r="E320" s="19">
        <f>IF($A320="","",IF(Paramètres!J50&amp;Paramètres!L50&amp;Paramètres!N50="",Dossiers!$D$9,MAX(IF(Paramètres!J50="",0,IF(Paramètres!K50="",NA(),IF(LEFT(TRIM(Paramètres!K50),1)="F",INDEX($F$275:$F$327,MATCH(Paramètres!J50,Paramètres!$G$5:$G$57,0)),INDEX($E$275:$E$327,MATCH(Paramètres!J50,Paramètres!$G$5:$G$57,0)))+IF(RIGHT(TRIM(Paramètres!K50),3)="Fin",1-$H320,IF(LEFT(TRIM(Paramètres!K50),1)="F",1,0)))),IF(Paramètres!L50="",0,IF(Paramètres!M50="",NA(),IF(LEFT(TRIM(Paramètres!M50),1)="F",INDEX($F$275:$F$327,MATCH(Paramètres!L50,Paramètres!$G$5:$G$57,0)),INDEX($E$275:$E$327,MATCH(Paramètres!L50,Paramètres!$G$5:$G$57,0)))+IF(RIGHT(TRIM(Paramètres!M50),3)="Fin",1-$H320,IF(LEFT(TRIM(Paramètres!M50),1)="F",1,0)))),IF(Paramètres!N50="",0,IF(Paramètres!O50="",NA(),IF(LEFT(TRIM(Paramètres!O50),1)="F",INDEX($F$275:$F$327,MATCH(Paramètres!N50,Paramètres!$G$5:$G$57,0)),INDEX($E$275:$E$327,MATCH(Paramètres!N50,Paramètres!$G$5:$G$57,0)))+IF(RIGHT(TRIM(Paramètres!O50),3)="Fin",1-$H320,IF(LEFT(TRIM(Paramètres!O50),1)="F",1,0)))))))</f>
        <v/>
      </c>
      <c r="F320" s="19">
        <f>IF($A320="","",E320+$H320-1)</f>
        <v/>
      </c>
      <c r="G320" s="18" t="n"/>
      <c r="H320" s="18">
        <f>IF($A320="","",IF(I320&lt;&gt;"",I320,Paramètres!B50))</f>
        <v/>
      </c>
      <c r="I320" s="18" t="n"/>
    </row>
    <row r="321">
      <c r="A321" s="18">
        <f>IF(ISNUMBER(Dossiers!$D$9),Dossiers!$A$9&amp;" · "&amp;Dossiers!$B$9,"")</f>
        <v/>
      </c>
      <c r="B321" s="18">
        <f>IF($A321="","",Paramètres!G51)</f>
        <v/>
      </c>
      <c r="C321" s="18">
        <f>IF($A321="","",IF(Paramètres!H51="","",Paramètres!H51))</f>
        <v/>
      </c>
      <c r="D321" s="18">
        <f>IF($A321="","",IF(Paramètres!I51="","",Paramètres!I51))</f>
        <v/>
      </c>
      <c r="E321" s="19">
        <f>IF($A321="","",IF(Paramètres!J51&amp;Paramètres!L51&amp;Paramètres!N51="",Dossiers!$D$9,MAX(IF(Paramètres!J51="",0,IF(Paramètres!K51="",NA(),IF(LEFT(TRIM(Paramètres!K51),1)="F",INDEX($F$275:$F$327,MATCH(Paramètres!J51,Paramètres!$G$5:$G$57,0)),INDEX($E$275:$E$327,MATCH(Paramètres!J51,Paramètres!$G$5:$G$57,0)))+IF(RIGHT(TRIM(Paramètres!K51),3)="Fin",1-$H321,IF(LEFT(TRIM(Paramètres!K51),1)="F",1,0)))),IF(Paramètres!L51="",0,IF(Paramètres!M51="",NA(),IF(LEFT(TRIM(Paramètres!M51),1)="F",INDEX($F$275:$F$327,MATCH(Paramètres!L51,Paramètres!$G$5:$G$57,0)),INDEX($E$275:$E$327,MATCH(Paramètres!L51,Paramètres!$G$5:$G$57,0)))+IF(RIGHT(TRIM(Paramètres!M51),3)="Fin",1-$H321,IF(LEFT(TRIM(Paramètres!M51),1)="F",1,0)))),IF(Paramètres!N51="",0,IF(Paramètres!O51="",NA(),IF(LEFT(TRIM(Paramètres!O51),1)="F",INDEX($F$275:$F$327,MATCH(Paramètres!N51,Paramètres!$G$5:$G$57,0)),INDEX($E$275:$E$327,MATCH(Paramètres!N51,Paramètres!$G$5:$G$57,0)))+IF(RIGHT(TRIM(Paramètres!O51),3)="Fin",1-$H321,IF(LEFT(TRIM(Paramètres!O51),1)="F",1,0)))))))</f>
        <v/>
      </c>
      <c r="F321" s="19">
        <f>IF($A321="","",E321+$H321-1)</f>
        <v/>
      </c>
      <c r="G321" s="18" t="n"/>
      <c r="H321" s="18">
        <f>IF($A321="","",IF(I321&lt;&gt;"",I321,Paramètres!B51))</f>
        <v/>
      </c>
      <c r="I321" s="18" t="n"/>
    </row>
    <row r="322">
      <c r="A322" s="18">
        <f>IF(ISNUMBER(Dossiers!$D$9),Dossiers!$A$9&amp;" · "&amp;Dossiers!$B$9,"")</f>
        <v/>
      </c>
      <c r="B322" s="18">
        <f>IF($A322="","",Paramètres!G52)</f>
        <v/>
      </c>
      <c r="C322" s="18">
        <f>IF($A322="","",IF(Paramètres!H52="","",Paramètres!H52))</f>
        <v/>
      </c>
      <c r="D322" s="18">
        <f>IF($A322="","",IF(Paramètres!I52="","",Paramètres!I52))</f>
        <v/>
      </c>
      <c r="E322" s="19">
        <f>IF($A322="","",IF(Paramètres!J52&amp;Paramètres!L52&amp;Paramètres!N52="",Dossiers!$D$9,MAX(IF(Paramètres!J52="",0,IF(Paramètres!K52="",NA(),IF(LEFT(TRIM(Paramètres!K52),1)="F",INDEX($F$275:$F$327,MATCH(Paramètres!J52,Paramètres!$G$5:$G$57,0)),INDEX($E$275:$E$327,MATCH(Paramètres!J52,Paramètres!$G$5:$G$57,0)))+IF(RIGHT(TRIM(Paramètres!K52),3)="Fin",1-$H322,IF(LEFT(TRIM(Paramètres!K52),1)="F",1,0)))),IF(Paramètres!L52="",0,IF(Paramètres!M52="",NA(),IF(LEFT(TRIM(Paramètres!M52),1)="F",INDEX($F$275:$F$327,MATCH(Paramètres!L52,Paramètres!$G$5:$G$57,0)),INDEX($E$275:$E$327,MATCH(Paramètres!L52,Paramètres!$G$5:$G$57,0)))+IF(RIGHT(TRIM(Paramètres!M52),3)="Fin",1-$H322,IF(LEFT(TRIM(Paramètres!M52),1)="F",1,0)))),IF(Paramètres!N52="",0,IF(Paramètres!O52="",NA(),IF(LEFT(TRIM(Paramètres!O52),1)="F",INDEX($F$275:$F$327,MATCH(Paramètres!N52,Paramètres!$G$5:$G$57,0)),INDEX($E$275:$E$327,MATCH(Paramètres!N52,Paramètres!$G$5:$G$57,0)))+IF(RIGHT(TRIM(Paramètres!O52),3)="Fin",1-$H322,IF(LEFT(TRIM(Paramètres!O52),1)="F",1,0)))))))</f>
        <v/>
      </c>
      <c r="F322" s="19">
        <f>IF($A322="","",E322+$H322-1)</f>
        <v/>
      </c>
      <c r="G322" s="18" t="n"/>
      <c r="H322" s="18">
        <f>IF($A322="","",IF(I322&lt;&gt;"",I322,Paramètres!B52))</f>
        <v/>
      </c>
      <c r="I322" s="18" t="n"/>
    </row>
    <row r="323">
      <c r="A323" s="18">
        <f>IF(ISNUMBER(Dossiers!$D$9),Dossiers!$A$9&amp;" · "&amp;Dossiers!$B$9,"")</f>
        <v/>
      </c>
      <c r="B323" s="18">
        <f>IF($A323="","",Paramètres!G53)</f>
        <v/>
      </c>
      <c r="C323" s="18">
        <f>IF($A323="","",IF(Paramètres!H53="","",Paramètres!H53))</f>
        <v/>
      </c>
      <c r="D323" s="18">
        <f>IF($A323="","",IF(Paramètres!I53="","",Paramètres!I53))</f>
        <v/>
      </c>
      <c r="E323" s="19">
        <f>IF($A323="","",IF(Paramètres!J53&amp;Paramètres!L53&amp;Paramètres!N53="",Dossiers!$D$9,MAX(IF(Paramètres!J53="",0,IF(Paramètres!K53="",NA(),IF(LEFT(TRIM(Paramètres!K53),1)="F",INDEX($F$275:$F$327,MATCH(Paramètres!J53,Paramètres!$G$5:$G$57,0)),INDEX($E$275:$E$327,MATCH(Paramètres!J53,Paramètres!$G$5:$G$57,0)))+IF(RIGHT(TRIM(Paramètres!K53),3)="Fin",1-$H323,IF(LEFT(TRIM(Paramètres!K53),1)="F",1,0)))),IF(Paramètres!L53="",0,IF(Paramètres!M53="",NA(),IF(LEFT(TRIM(Paramètres!M53),1)="F",INDEX($F$275:$F$327,MATCH(Paramètres!L53,Paramètres!$G$5:$G$57,0)),INDEX($E$275:$E$327,MATCH(Paramètres!L53,Paramètres!$G$5:$G$57,0)))+IF(RIGHT(TRIM(Paramètres!M53),3)="Fin",1-$H323,IF(LEFT(TRIM(Paramètres!M53),1)="F",1,0)))),IF(Paramètres!N53="",0,IF(Paramètres!O53="",NA(),IF(LEFT(TRIM(Paramètres!O53),1)="F",INDEX($F$275:$F$327,MATCH(Paramètres!N53,Paramètres!$G$5:$G$57,0)),INDEX($E$275:$E$327,MATCH(Paramètres!N53,Paramètres!$G$5:$G$57,0)))+IF(RIGHT(TRIM(Paramètres!O53),3)="Fin",1-$H323,IF(LEFT(TRIM(Paramètres!O53),1)="F",1,0)))))))</f>
        <v/>
      </c>
      <c r="F323" s="19">
        <f>IF($A323="","",E323+$H323-1)</f>
        <v/>
      </c>
      <c r="G323" s="18" t="n"/>
      <c r="H323" s="18">
        <f>IF($A323="","",IF(I323&lt;&gt;"",I323,Paramètres!B53))</f>
        <v/>
      </c>
      <c r="I323" s="18" t="n"/>
    </row>
    <row r="324">
      <c r="A324" s="18">
        <f>IF(ISNUMBER(Dossiers!$D$9),Dossiers!$A$9&amp;" · "&amp;Dossiers!$B$9,"")</f>
        <v/>
      </c>
      <c r="B324" s="18">
        <f>IF($A324="","",Paramètres!G54)</f>
        <v/>
      </c>
      <c r="C324" s="18">
        <f>IF($A324="","",IF(Paramètres!H54="","",Paramètres!H54))</f>
        <v/>
      </c>
      <c r="D324" s="18">
        <f>IF($A324="","",IF(Paramètres!I54="","",Paramètres!I54))</f>
        <v/>
      </c>
      <c r="E324" s="19">
        <f>IF($A324="","",IF(Paramètres!J54&amp;Paramètres!L54&amp;Paramètres!N54="",Dossiers!$D$9,MAX(IF(Paramètres!J54="",0,IF(Paramètres!K54="",NA(),IF(LEFT(TRIM(Paramètres!K54),1)="F",INDEX($F$275:$F$327,MATCH(Paramètres!J54,Paramètres!$G$5:$G$57,0)),INDEX($E$275:$E$327,MATCH(Paramètres!J54,Paramètres!$G$5:$G$57,0)))+IF(RIGHT(TRIM(Paramètres!K54),3)="Fin",1-$H324,IF(LEFT(TRIM(Paramètres!K54),1)="F",1,0)))),IF(Paramètres!L54="",0,IF(Paramètres!M54="",NA(),IF(LEFT(TRIM(Paramètres!M54),1)="F",INDEX($F$275:$F$327,MATCH(Paramètres!L54,Paramètres!$G$5:$G$57,0)),INDEX($E$275:$E$327,MATCH(Paramètres!L54,Paramètres!$G$5:$G$57,0)))+IF(RIGHT(TRIM(Paramètres!M54),3)="Fin",1-$H324,IF(LEFT(TRIM(Paramètres!M54),1)="F",1,0)))),IF(Paramètres!N54="",0,IF(Paramètres!O54="",NA(),IF(LEFT(TRIM(Paramètres!O54),1)="F",INDEX($F$275:$F$327,MATCH(Paramètres!N54,Paramètres!$G$5:$G$57,0)),INDEX($E$275:$E$327,MATCH(Paramètres!N54,Paramètres!$G$5:$G$57,0)))+IF(RIGHT(TRIM(Paramètres!O54),3)="Fin",1-$H324,IF(LEFT(TRIM(Paramètres!O54),1)="F",1,0)))))))</f>
        <v/>
      </c>
      <c r="F324" s="19">
        <f>IF($A324="","",E324+$H324-1)</f>
        <v/>
      </c>
      <c r="G324" s="18" t="n"/>
      <c r="H324" s="18">
        <f>IF($A324="","",IF(I324&lt;&gt;"",I324,Paramètres!B54))</f>
        <v/>
      </c>
      <c r="I324" s="18" t="n"/>
    </row>
    <row r="325">
      <c r="A325" s="18">
        <f>IF(ISNUMBER(Dossiers!$D$9),Dossiers!$A$9&amp;" · "&amp;Dossiers!$B$9,"")</f>
        <v/>
      </c>
      <c r="B325" s="18">
        <f>IF($A325="","",Paramètres!G55)</f>
        <v/>
      </c>
      <c r="C325" s="18">
        <f>IF($A325="","",IF(Paramètres!H55="","",Paramètres!H55))</f>
        <v/>
      </c>
      <c r="D325" s="18">
        <f>IF($A325="","",IF(Paramètres!I55="","",Paramètres!I55))</f>
        <v/>
      </c>
      <c r="E325" s="19">
        <f>IF($A325="","",IF(Paramètres!J55&amp;Paramètres!L55&amp;Paramètres!N55="",Dossiers!$D$9,MAX(IF(Paramètres!J55="",0,IF(Paramètres!K55="",NA(),IF(LEFT(TRIM(Paramètres!K55),1)="F",INDEX($F$275:$F$327,MATCH(Paramètres!J55,Paramètres!$G$5:$G$57,0)),INDEX($E$275:$E$327,MATCH(Paramètres!J55,Paramètres!$G$5:$G$57,0)))+IF(RIGHT(TRIM(Paramètres!K55),3)="Fin",1-$H325,IF(LEFT(TRIM(Paramètres!K55),1)="F",1,0)))),IF(Paramètres!L55="",0,IF(Paramètres!M55="",NA(),IF(LEFT(TRIM(Paramètres!M55),1)="F",INDEX($F$275:$F$327,MATCH(Paramètres!L55,Paramètres!$G$5:$G$57,0)),INDEX($E$275:$E$327,MATCH(Paramètres!L55,Paramètres!$G$5:$G$57,0)))+IF(RIGHT(TRIM(Paramètres!M55),3)="Fin",1-$H325,IF(LEFT(TRIM(Paramètres!M55),1)="F",1,0)))),IF(Paramètres!N55="",0,IF(Paramètres!O55="",NA(),IF(LEFT(TRIM(Paramètres!O55),1)="F",INDEX($F$275:$F$327,MATCH(Paramètres!N55,Paramètres!$G$5:$G$57,0)),INDEX($E$275:$E$327,MATCH(Paramètres!N55,Paramètres!$G$5:$G$57,0)))+IF(RIGHT(TRIM(Paramètres!O55),3)="Fin",1-$H325,IF(LEFT(TRIM(Paramètres!O55),1)="F",1,0)))))))</f>
        <v/>
      </c>
      <c r="F325" s="19">
        <f>IF($A325="","",E325+$H325-1)</f>
        <v/>
      </c>
      <c r="G325" s="18" t="n"/>
      <c r="H325" s="18">
        <f>IF($A325="","",IF(I325&lt;&gt;"",I325,Paramètres!B55))</f>
        <v/>
      </c>
      <c r="I325" s="18" t="n"/>
    </row>
    <row r="326">
      <c r="A326" s="18">
        <f>IF(ISNUMBER(Dossiers!$D$9),Dossiers!$A$9&amp;" · "&amp;Dossiers!$B$9,"")</f>
        <v/>
      </c>
      <c r="B326" s="18">
        <f>IF($A326="","",Paramètres!G56)</f>
        <v/>
      </c>
      <c r="C326" s="18">
        <f>IF($A326="","",IF(Paramètres!H56="","",Paramètres!H56))</f>
        <v/>
      </c>
      <c r="D326" s="18">
        <f>IF($A326="","",IF(Paramètres!I56="","",Paramètres!I56))</f>
        <v/>
      </c>
      <c r="E326" s="19">
        <f>IF($A326="","",MIN(E327:E327))</f>
        <v/>
      </c>
      <c r="F326" s="19">
        <f>IF($A326="","",MAX(F327:F327))</f>
        <v/>
      </c>
      <c r="G326" s="18" t="n"/>
      <c r="H326" s="18">
        <f>IF($A326="","",F326-E326+1)</f>
        <v/>
      </c>
      <c r="I326" s="18" t="n"/>
    </row>
    <row r="327">
      <c r="A327" s="18">
        <f>IF(ISNUMBER(Dossiers!$D$9),Dossiers!$A$9&amp;" · "&amp;Dossiers!$B$9,"")</f>
        <v/>
      </c>
      <c r="B327" s="18">
        <f>IF($A327="","",Paramètres!G57)</f>
        <v/>
      </c>
      <c r="C327" s="18">
        <f>IF($A327="","",IF(Paramètres!H57="","",Paramètres!H57))</f>
        <v/>
      </c>
      <c r="D327" s="18">
        <f>IF($A327="","",IF(Paramètres!I57="","",Paramètres!I57))</f>
        <v/>
      </c>
      <c r="E327" s="19">
        <f>IF($A327="","",IF(Paramètres!J57&amp;Paramètres!L57&amp;Paramètres!N57="",Dossiers!$D$9,MAX(IF(Paramètres!J57="",0,IF(Paramètres!K57="",NA(),IF(LEFT(TRIM(Paramètres!K57),1)="F",INDEX($F$275:$F$327,MATCH(Paramètres!J57,Paramètres!$G$5:$G$57,0)),INDEX($E$275:$E$327,MATCH(Paramètres!J57,Paramètres!$G$5:$G$57,0)))+IF(RIGHT(TRIM(Paramètres!K57),3)="Fin",1-$H327,IF(LEFT(TRIM(Paramètres!K57),1)="F",1,0)))),IF(Paramètres!L57="",0,IF(Paramètres!M57="",NA(),IF(LEFT(TRIM(Paramètres!M57),1)="F",INDEX($F$275:$F$327,MATCH(Paramètres!L57,Paramètres!$G$5:$G$57,0)),INDEX($E$275:$E$327,MATCH(Paramètres!L57,Paramètres!$G$5:$G$57,0)))+IF(RIGHT(TRIM(Paramètres!M57),3)="Fin",1-$H327,IF(LEFT(TRIM(Paramètres!M57),1)="F",1,0)))),IF(Paramètres!N57="",0,IF(Paramètres!O57="",NA(),IF(LEFT(TRIM(Paramètres!O57),1)="F",INDEX($F$275:$F$327,MATCH(Paramètres!N57,Paramètres!$G$5:$G$57,0)),INDEX($E$275:$E$327,MATCH(Paramètres!N57,Paramètres!$G$5:$G$57,0)))+IF(RIGHT(TRIM(Paramètres!O57),3)="Fin",1-$H327,IF(LEFT(TRIM(Paramètres!O57),1)="F",1,0)))))))</f>
        <v/>
      </c>
      <c r="F327" s="19">
        <f>IF($A327="","",E327+$H327-1)</f>
        <v/>
      </c>
      <c r="G327" s="18" t="n"/>
      <c r="H327" s="18">
        <f>IF($A327="","",IF(I327&lt;&gt;"",I327,Paramètres!B57))</f>
        <v/>
      </c>
      <c r="I327" s="18" t="n"/>
    </row>
    <row r="328">
      <c r="A328" s="16">
        <f>IF(ISNUMBER(Dossiers!$D$10),Dossiers!$E$10,"")</f>
        <v/>
      </c>
      <c r="B328" s="16">
        <f>IF($A328="","","Identifiant")</f>
        <v/>
      </c>
      <c r="C328" s="16">
        <f>IF($A328="","","Macro Etape")</f>
        <v/>
      </c>
      <c r="D328" s="16">
        <f>IF($A328="","","Etape")</f>
        <v/>
      </c>
      <c r="E328" s="17">
        <f>IF($A328="","","Début le")</f>
        <v/>
      </c>
      <c r="F328" s="17">
        <f>IF($A328="","","Fin prévue le")</f>
        <v/>
      </c>
      <c r="G328" s="16">
        <f>IF($A328="","","Statut")</f>
        <v/>
      </c>
      <c r="H328" s="16">
        <f>IF($A328="","","Durée (jours)")</f>
        <v/>
      </c>
      <c r="I328" s="16">
        <f>IF($A328="","","Durée particulière")</f>
        <v/>
      </c>
      <c r="J328" s="10">
        <f>IF($A328="","",HYPERLINK("#'Tableau de bord'!A1","↑ Tableau de bord"))</f>
        <v/>
      </c>
    </row>
    <row r="329">
      <c r="A329" s="18">
        <f>IF(ISNUMBER(Dossiers!$D$10),Dossiers!$A$10&amp;" · "&amp;Dossiers!$B$10,"")</f>
        <v/>
      </c>
      <c r="B329" s="18">
        <f>IF($A329="","",Paramètres!G5)</f>
        <v/>
      </c>
      <c r="C329" s="18">
        <f>IF($A329="","",IF(Paramètres!H5="","",Paramètres!H5))</f>
        <v/>
      </c>
      <c r="D329" s="18">
        <f>IF($A329="","",IF(Paramètres!I5="","",Paramètres!I5))</f>
        <v/>
      </c>
      <c r="E329" s="19">
        <f>IF($A329="","",MIN(E330:E333))</f>
        <v/>
      </c>
      <c r="F329" s="19">
        <f>IF($A329="","",MAX(F330:F333))</f>
        <v/>
      </c>
      <c r="G329" s="18" t="n"/>
      <c r="H329" s="18">
        <f>IF($A329="","",F329-E329+1)</f>
        <v/>
      </c>
      <c r="I329" s="18" t="n"/>
    </row>
    <row r="330">
      <c r="A330" s="18">
        <f>IF(ISNUMBER(Dossiers!$D$10),Dossiers!$A$10&amp;" · "&amp;Dossiers!$B$10,"")</f>
        <v/>
      </c>
      <c r="B330" s="18">
        <f>IF($A330="","",Paramètres!G6)</f>
        <v/>
      </c>
      <c r="C330" s="18">
        <f>IF($A330="","",IF(Paramètres!H6="","",Paramètres!H6))</f>
        <v/>
      </c>
      <c r="D330" s="18">
        <f>IF($A330="","",IF(Paramètres!I6="","",Paramètres!I6))</f>
        <v/>
      </c>
      <c r="E330" s="19">
        <f>IF($A330="","",IF(Paramètres!J6&amp;Paramètres!L6&amp;Paramètres!N6="",Dossiers!$D$10,MAX(IF(Paramètres!J6="",0,IF(Paramètres!K6="",NA(),IF(LEFT(TRIM(Paramètres!K6),1)="F",INDEX($F$329:$F$381,MATCH(Paramètres!J6,Paramètres!$G$5:$G$57,0)),INDEX($E$329:$E$381,MATCH(Paramètres!J6,Paramètres!$G$5:$G$57,0)))+IF(RIGHT(TRIM(Paramètres!K6),3)="Fin",1-$H330,IF(LEFT(TRIM(Paramètres!K6),1)="F",1,0)))),IF(Paramètres!L6="",0,IF(Paramètres!M6="",NA(),IF(LEFT(TRIM(Paramètres!M6),1)="F",INDEX($F$329:$F$381,MATCH(Paramètres!L6,Paramètres!$G$5:$G$57,0)),INDEX($E$329:$E$381,MATCH(Paramètres!L6,Paramètres!$G$5:$G$57,0)))+IF(RIGHT(TRIM(Paramètres!M6),3)="Fin",1-$H330,IF(LEFT(TRIM(Paramètres!M6),1)="F",1,0)))),IF(Paramètres!N6="",0,IF(Paramètres!O6="",NA(),IF(LEFT(TRIM(Paramètres!O6),1)="F",INDEX($F$329:$F$381,MATCH(Paramètres!N6,Paramètres!$G$5:$G$57,0)),INDEX($E$329:$E$381,MATCH(Paramètres!N6,Paramètres!$G$5:$G$57,0)))+IF(RIGHT(TRIM(Paramètres!O6),3)="Fin",1-$H330,IF(LEFT(TRIM(Paramètres!O6),1)="F",1,0)))))))</f>
        <v/>
      </c>
      <c r="F330" s="19">
        <f>IF($A330="","",E330+$H330-1)</f>
        <v/>
      </c>
      <c r="G330" s="18" t="n"/>
      <c r="H330" s="18">
        <f>IF($A330="","",IF(I330&lt;&gt;"",I330,Paramètres!B6))</f>
        <v/>
      </c>
      <c r="I330" s="18" t="n"/>
    </row>
    <row r="331">
      <c r="A331" s="18">
        <f>IF(ISNUMBER(Dossiers!$D$10),Dossiers!$A$10&amp;" · "&amp;Dossiers!$B$10,"")</f>
        <v/>
      </c>
      <c r="B331" s="18">
        <f>IF($A331="","",Paramètres!G7)</f>
        <v/>
      </c>
      <c r="C331" s="18">
        <f>IF($A331="","",IF(Paramètres!H7="","",Paramètres!H7))</f>
        <v/>
      </c>
      <c r="D331" s="18">
        <f>IF($A331="","",IF(Paramètres!I7="","",Paramètres!I7))</f>
        <v/>
      </c>
      <c r="E331" s="19">
        <f>IF($A331="","",IF(Paramètres!J7&amp;Paramètres!L7&amp;Paramètres!N7="",Dossiers!$D$10,MAX(IF(Paramètres!J7="",0,IF(Paramètres!K7="",NA(),IF(LEFT(TRIM(Paramètres!K7),1)="F",INDEX($F$329:$F$381,MATCH(Paramètres!J7,Paramètres!$G$5:$G$57,0)),INDEX($E$329:$E$381,MATCH(Paramètres!J7,Paramètres!$G$5:$G$57,0)))+IF(RIGHT(TRIM(Paramètres!K7),3)="Fin",1-$H331,IF(LEFT(TRIM(Paramètres!K7),1)="F",1,0)))),IF(Paramètres!L7="",0,IF(Paramètres!M7="",NA(),IF(LEFT(TRIM(Paramètres!M7),1)="F",INDEX($F$329:$F$381,MATCH(Paramètres!L7,Paramètres!$G$5:$G$57,0)),INDEX($E$329:$E$381,MATCH(Paramètres!L7,Paramètres!$G$5:$G$57,0)))+IF(RIGHT(TRIM(Paramètres!M7),3)="Fin",1-$H331,IF(LEFT(TRIM(Paramètres!M7),1)="F",1,0)))),IF(Paramètres!N7="",0,IF(Paramètres!O7="",NA(),IF(LEFT(TRIM(Paramètres!O7),1)="F",INDEX($F$329:$F$381,MATCH(Paramètres!N7,Paramètres!$G$5:$G$57,0)),INDEX($E$329:$E$381,MATCH(Paramètres!N7,Paramètres!$G$5:$G$57,0)))+IF(RIGHT(TRIM(Paramètres!O7),3)="Fin",1-$H331,IF(LEFT(TRIM(Paramètres!O7),1)="F",1,0)))))))</f>
        <v/>
      </c>
      <c r="F331" s="19">
        <f>IF($A331="","",E331+$H331-1)</f>
        <v/>
      </c>
      <c r="G331" s="18" t="n"/>
      <c r="H331" s="18">
        <f>IF($A331="","",IF(I331&lt;&gt;"",I331,Paramètres!B7))</f>
        <v/>
      </c>
      <c r="I331" s="18" t="n"/>
    </row>
    <row r="332">
      <c r="A332" s="18">
        <f>IF(ISNUMBER(Dossiers!$D$10),Dossiers!$A$10&amp;" · "&amp;Dossiers!$B$10,"")</f>
        <v/>
      </c>
      <c r="B332" s="18">
        <f>IF($A332="","",Paramètres!G8)</f>
        <v/>
      </c>
      <c r="C332" s="18">
        <f>IF($A332="","",IF(Paramètres!H8="","",Paramètres!H8))</f>
        <v/>
      </c>
      <c r="D332" s="18">
        <f>IF($A332="","",IF(Paramètres!I8="","",Paramètres!I8))</f>
        <v/>
      </c>
      <c r="E332" s="19">
        <f>IF($A332="","",IF(Paramètres!J8&amp;Paramètres!L8&amp;Paramètres!N8="",Dossiers!$D$10,MAX(IF(Paramètres!J8="",0,IF(Paramètres!K8="",NA(),IF(LEFT(TRIM(Paramètres!K8),1)="F",INDEX($F$329:$F$381,MATCH(Paramètres!J8,Paramètres!$G$5:$G$57,0)),INDEX($E$329:$E$381,MATCH(Paramètres!J8,Paramètres!$G$5:$G$57,0)))+IF(RIGHT(TRIM(Paramètres!K8),3)="Fin",1-$H332,IF(LEFT(TRIM(Paramètres!K8),1)="F",1,0)))),IF(Paramètres!L8="",0,IF(Paramètres!M8="",NA(),IF(LEFT(TRIM(Paramètres!M8),1)="F",INDEX($F$329:$F$381,MATCH(Paramètres!L8,Paramètres!$G$5:$G$57,0)),INDEX($E$329:$E$381,MATCH(Paramètres!L8,Paramètres!$G$5:$G$57,0)))+IF(RIGHT(TRIM(Paramètres!M8),3)="Fin",1-$H332,IF(LEFT(TRIM(Paramètres!M8),1)="F",1,0)))),IF(Paramètres!N8="",0,IF(Paramètres!O8="",NA(),IF(LEFT(TRIM(Paramètres!O8),1)="F",INDEX($F$329:$F$381,MATCH(Paramètres!N8,Paramètres!$G$5:$G$57,0)),INDEX($E$329:$E$381,MATCH(Paramètres!N8,Paramètres!$G$5:$G$57,0)))+IF(RIGHT(TRIM(Paramètres!O8),3)="Fin",1-$H332,IF(LEFT(TRIM(Paramètres!O8),1)="F",1,0)))))))</f>
        <v/>
      </c>
      <c r="F332" s="19">
        <f>IF($A332="","",E332+$H332-1)</f>
        <v/>
      </c>
      <c r="G332" s="18" t="n"/>
      <c r="H332" s="18">
        <f>IF($A332="","",IF(I332&lt;&gt;"",I332,Paramètres!B8))</f>
        <v/>
      </c>
      <c r="I332" s="18" t="n"/>
    </row>
    <row r="333">
      <c r="A333" s="18">
        <f>IF(ISNUMBER(Dossiers!$D$10),Dossiers!$A$10&amp;" · "&amp;Dossiers!$B$10,"")</f>
        <v/>
      </c>
      <c r="B333" s="18">
        <f>IF($A333="","",Paramètres!G9)</f>
        <v/>
      </c>
      <c r="C333" s="18">
        <f>IF($A333="","",IF(Paramètres!H9="","",Paramètres!H9))</f>
        <v/>
      </c>
      <c r="D333" s="18">
        <f>IF($A333="","",IF(Paramètres!I9="","",Paramètres!I9))</f>
        <v/>
      </c>
      <c r="E333" s="19">
        <f>IF($A333="","",IF(Paramètres!J9&amp;Paramètres!L9&amp;Paramètres!N9="",Dossiers!$D$10,MAX(IF(Paramètres!J9="",0,IF(Paramètres!K9="",NA(),IF(LEFT(TRIM(Paramètres!K9),1)="F",INDEX($F$329:$F$381,MATCH(Paramètres!J9,Paramètres!$G$5:$G$57,0)),INDEX($E$329:$E$381,MATCH(Paramètres!J9,Paramètres!$G$5:$G$57,0)))+IF(RIGHT(TRIM(Paramètres!K9),3)="Fin",1-$H333,IF(LEFT(TRIM(Paramètres!K9),1)="F",1,0)))),IF(Paramètres!L9="",0,IF(Paramètres!M9="",NA(),IF(LEFT(TRIM(Paramètres!M9),1)="F",INDEX($F$329:$F$381,MATCH(Paramètres!L9,Paramètres!$G$5:$G$57,0)),INDEX($E$329:$E$381,MATCH(Paramètres!L9,Paramètres!$G$5:$G$57,0)))+IF(RIGHT(TRIM(Paramètres!M9),3)="Fin",1-$H333,IF(LEFT(TRIM(Paramètres!M9),1)="F",1,0)))),IF(Paramètres!N9="",0,IF(Paramètres!O9="",NA(),IF(LEFT(TRIM(Paramètres!O9),1)="F",INDEX($F$329:$F$381,MATCH(Paramètres!N9,Paramètres!$G$5:$G$57,0)),INDEX($E$329:$E$381,MATCH(Paramètres!N9,Paramètres!$G$5:$G$57,0)))+IF(RIGHT(TRIM(Paramètres!O9),3)="Fin",1-$H333,IF(LEFT(TRIM(Paramètres!O9),1)="F",1,0)))))))</f>
        <v/>
      </c>
      <c r="F333" s="19">
        <f>IF($A333="","",E333+$H333-1)</f>
        <v/>
      </c>
      <c r="G333" s="18" t="n"/>
      <c r="H333" s="18">
        <f>IF($A333="","",IF(I333&lt;&gt;"",I333,Paramètres!B9))</f>
        <v/>
      </c>
      <c r="I333" s="18" t="n"/>
    </row>
    <row r="334">
      <c r="A334" s="18">
        <f>IF(ISNUMBER(Dossiers!$D$10),Dossiers!$A$10&amp;" · "&amp;Dossiers!$B$10,"")</f>
        <v/>
      </c>
      <c r="B334" s="18">
        <f>IF($A334="","",Paramètres!G10)</f>
        <v/>
      </c>
      <c r="C334" s="18">
        <f>IF($A334="","",IF(Paramètres!H10="","",Paramètres!H10))</f>
        <v/>
      </c>
      <c r="D334" s="18">
        <f>IF($A334="","",IF(Paramètres!I10="","",Paramètres!I10))</f>
        <v/>
      </c>
      <c r="E334" s="19">
        <f>IF($A334="","",MIN(E335:E338))</f>
        <v/>
      </c>
      <c r="F334" s="19">
        <f>IF($A334="","",MAX(F335:F338))</f>
        <v/>
      </c>
      <c r="G334" s="18" t="n"/>
      <c r="H334" s="18">
        <f>IF($A334="","",F334-E334+1)</f>
        <v/>
      </c>
      <c r="I334" s="18" t="n"/>
    </row>
    <row r="335">
      <c r="A335" s="18">
        <f>IF(ISNUMBER(Dossiers!$D$10),Dossiers!$A$10&amp;" · "&amp;Dossiers!$B$10,"")</f>
        <v/>
      </c>
      <c r="B335" s="18">
        <f>IF($A335="","",Paramètres!G11)</f>
        <v/>
      </c>
      <c r="C335" s="18">
        <f>IF($A335="","",IF(Paramètres!H11="","",Paramètres!H11))</f>
        <v/>
      </c>
      <c r="D335" s="18">
        <f>IF($A335="","",IF(Paramètres!I11="","",Paramètres!I11))</f>
        <v/>
      </c>
      <c r="E335" s="19">
        <f>IF($A335="","",IF(Paramètres!J11&amp;Paramètres!L11&amp;Paramètres!N11="",Dossiers!$D$10,MAX(IF(Paramètres!J11="",0,IF(Paramètres!K11="",NA(),IF(LEFT(TRIM(Paramètres!K11),1)="F",INDEX($F$329:$F$381,MATCH(Paramètres!J11,Paramètres!$G$5:$G$57,0)),INDEX($E$329:$E$381,MATCH(Paramètres!J11,Paramètres!$G$5:$G$57,0)))+IF(RIGHT(TRIM(Paramètres!K11),3)="Fin",1-$H335,IF(LEFT(TRIM(Paramètres!K11),1)="F",1,0)))),IF(Paramètres!L11="",0,IF(Paramètres!M11="",NA(),IF(LEFT(TRIM(Paramètres!M11),1)="F",INDEX($F$329:$F$381,MATCH(Paramètres!L11,Paramètres!$G$5:$G$57,0)),INDEX($E$329:$E$381,MATCH(Paramètres!L11,Paramètres!$G$5:$G$57,0)))+IF(RIGHT(TRIM(Paramètres!M11),3)="Fin",1-$H335,IF(LEFT(TRIM(Paramètres!M11),1)="F",1,0)))),IF(Paramètres!N11="",0,IF(Paramètres!O11="",NA(),IF(LEFT(TRIM(Paramètres!O11),1)="F",INDEX($F$329:$F$381,MATCH(Paramètres!N11,Paramètres!$G$5:$G$57,0)),INDEX($E$329:$E$381,MATCH(Paramètres!N11,Paramètres!$G$5:$G$57,0)))+IF(RIGHT(TRIM(Paramètres!O11),3)="Fin",1-$H335,IF(LEFT(TRIM(Paramètres!O11),1)="F",1,0)))))))</f>
        <v/>
      </c>
      <c r="F335" s="19">
        <f>IF($A335="","",E335+$H335-1)</f>
        <v/>
      </c>
      <c r="G335" s="18" t="n"/>
      <c r="H335" s="18">
        <f>IF($A335="","",IF(I335&lt;&gt;"",I335,Paramètres!B11))</f>
        <v/>
      </c>
      <c r="I335" s="18" t="n"/>
    </row>
    <row r="336">
      <c r="A336" s="18">
        <f>IF(ISNUMBER(Dossiers!$D$10),Dossiers!$A$10&amp;" · "&amp;Dossiers!$B$10,"")</f>
        <v/>
      </c>
      <c r="B336" s="18">
        <f>IF($A336="","",Paramètres!G12)</f>
        <v/>
      </c>
      <c r="C336" s="18">
        <f>IF($A336="","",IF(Paramètres!H12="","",Paramètres!H12))</f>
        <v/>
      </c>
      <c r="D336" s="18">
        <f>IF($A336="","",IF(Paramètres!I12="","",Paramètres!I12))</f>
        <v/>
      </c>
      <c r="E336" s="19">
        <f>IF($A336="","",IF(Paramètres!J12&amp;Paramètres!L12&amp;Paramètres!N12="",Dossiers!$D$10,MAX(IF(Paramètres!J12="",0,IF(Paramètres!K12="",NA(),IF(LEFT(TRIM(Paramètres!K12),1)="F",INDEX($F$329:$F$381,MATCH(Paramètres!J12,Paramètres!$G$5:$G$57,0)),INDEX($E$329:$E$381,MATCH(Paramètres!J12,Paramètres!$G$5:$G$57,0)))+IF(RIGHT(TRIM(Paramètres!K12),3)="Fin",1-$H336,IF(LEFT(TRIM(Paramètres!K12),1)="F",1,0)))),IF(Paramètres!L12="",0,IF(Paramètres!M12="",NA(),IF(LEFT(TRIM(Paramètres!M12),1)="F",INDEX($F$329:$F$381,MATCH(Paramètres!L12,Paramètres!$G$5:$G$57,0)),INDEX($E$329:$E$381,MATCH(Paramètres!L12,Paramètres!$G$5:$G$57,0)))+IF(RIGHT(TRIM(Paramètres!M12),3)="Fin",1-$H336,IF(LEFT(TRIM(Paramètres!M12),1)="F",1,0)))),IF(Paramètres!N12="",0,IF(Paramètres!O12="",NA(),IF(LEFT(TRIM(Paramètres!O12),1)="F",INDEX($F$329:$F$381,MATCH(Paramètres!N12,Paramètres!$G$5:$G$57,0)),INDEX($E$329:$E$381,MATCH(Paramètres!N12,Paramètres!$G$5:$G$57,0)))+IF(RIGHT(TRIM(Paramètres!O12),3)="Fin",1-$H336,IF(LEFT(TRIM(Paramètres!O12),1)="F",1,0)))))))</f>
        <v/>
      </c>
      <c r="F336" s="19">
        <f>IF($A336="","",E336+$H336-1)</f>
        <v/>
      </c>
      <c r="G336" s="18" t="n"/>
      <c r="H336" s="18">
        <f>IF($A336="","",IF(I336&lt;&gt;"",I336,Paramètres!B12))</f>
        <v/>
      </c>
      <c r="I336" s="18" t="n"/>
    </row>
    <row r="337">
      <c r="A337" s="18">
        <f>IF(ISNUMBER(Dossiers!$D$10),Dossiers!$A$10&amp;" · "&amp;Dossiers!$B$10,"")</f>
        <v/>
      </c>
      <c r="B337" s="18">
        <f>IF($A337="","",Paramètres!G13)</f>
        <v/>
      </c>
      <c r="C337" s="18">
        <f>IF($A337="","",IF(Paramètres!H13="","",Paramètres!H13))</f>
        <v/>
      </c>
      <c r="D337" s="18">
        <f>IF($A337="","",IF(Paramètres!I13="","",Paramètres!I13))</f>
        <v/>
      </c>
      <c r="E337" s="19">
        <f>IF($A337="","",IF(Paramètres!J13&amp;Paramètres!L13&amp;Paramètres!N13="",Dossiers!$D$10,MAX(IF(Paramètres!J13="",0,IF(Paramètres!K13="",NA(),IF(LEFT(TRIM(Paramètres!K13),1)="F",INDEX($F$329:$F$381,MATCH(Paramètres!J13,Paramètres!$G$5:$G$57,0)),INDEX($E$329:$E$381,MATCH(Paramètres!J13,Paramètres!$G$5:$G$57,0)))+IF(RIGHT(TRIM(Paramètres!K13),3)="Fin",1-$H337,IF(LEFT(TRIM(Paramètres!K13),1)="F",1,0)))),IF(Paramètres!L13="",0,IF(Paramètres!M13="",NA(),IF(LEFT(TRIM(Paramètres!M13),1)="F",INDEX($F$329:$F$381,MATCH(Paramètres!L13,Paramètres!$G$5:$G$57,0)),INDEX($E$329:$E$381,MATCH(Paramètres!L13,Paramètres!$G$5:$G$57,0)))+IF(RIGHT(TRIM(Paramètres!M13),3)="Fin",1-$H337,IF(LEFT(TRIM(Paramètres!M13),1)="F",1,0)))),IF(Paramètres!N13="",0,IF(Paramètres!O13="",NA(),IF(LEFT(TRIM(Paramètres!O13),1)="F",INDEX($F$329:$F$381,MATCH(Paramètres!N13,Paramètres!$G$5:$G$57,0)),INDEX($E$329:$E$381,MATCH(Paramètres!N13,Paramètres!$G$5:$G$57,0)))+IF(RIGHT(TRIM(Paramètres!O13),3)="Fin",1-$H337,IF(LEFT(TRIM(Paramètres!O13),1)="F",1,0)))))))</f>
        <v/>
      </c>
      <c r="F337" s="19">
        <f>IF($A337="","",E337+$H337-1)</f>
        <v/>
      </c>
      <c r="G337" s="18" t="n"/>
      <c r="H337" s="18">
        <f>IF($A337="","",IF(I337&lt;&gt;"",I337,Paramètres!B13))</f>
        <v/>
      </c>
      <c r="I337" s="18" t="n"/>
    </row>
    <row r="338">
      <c r="A338" s="18">
        <f>IF(ISNUMBER(Dossiers!$D$10),Dossiers!$A$10&amp;" · "&amp;Dossiers!$B$10,"")</f>
        <v/>
      </c>
      <c r="B338" s="18">
        <f>IF($A338="","",Paramètres!G14)</f>
        <v/>
      </c>
      <c r="C338" s="18">
        <f>IF($A338="","",IF(Paramètres!H14="","",Paramètres!H14))</f>
        <v/>
      </c>
      <c r="D338" s="18">
        <f>IF($A338="","",IF(Paramètres!I14="","",Paramètres!I14))</f>
        <v/>
      </c>
      <c r="E338" s="19">
        <f>IF($A338="","",IF(Paramètres!J14&amp;Paramètres!L14&amp;Paramètres!N14="",Dossiers!$D$10,MAX(IF(Paramètres!J14="",0,IF(Paramètres!K14="",NA(),IF(LEFT(TRIM(Paramètres!K14),1)="F",INDEX($F$329:$F$381,MATCH(Paramètres!J14,Paramètres!$G$5:$G$57,0)),INDEX($E$329:$E$381,MATCH(Paramètres!J14,Paramètres!$G$5:$G$57,0)))+IF(RIGHT(TRIM(Paramètres!K14),3)="Fin",1-$H338,IF(LEFT(TRIM(Paramètres!K14),1)="F",1,0)))),IF(Paramètres!L14="",0,IF(Paramètres!M14="",NA(),IF(LEFT(TRIM(Paramètres!M14),1)="F",INDEX($F$329:$F$381,MATCH(Paramètres!L14,Paramètres!$G$5:$G$57,0)),INDEX($E$329:$E$381,MATCH(Paramètres!L14,Paramètres!$G$5:$G$57,0)))+IF(RIGHT(TRIM(Paramètres!M14),3)="Fin",1-$H338,IF(LEFT(TRIM(Paramètres!M14),1)="F",1,0)))),IF(Paramètres!N14="",0,IF(Paramètres!O14="",NA(),IF(LEFT(TRIM(Paramètres!O14),1)="F",INDEX($F$329:$F$381,MATCH(Paramètres!N14,Paramètres!$G$5:$G$57,0)),INDEX($E$329:$E$381,MATCH(Paramètres!N14,Paramètres!$G$5:$G$57,0)))+IF(RIGHT(TRIM(Paramètres!O14),3)="Fin",1-$H338,IF(LEFT(TRIM(Paramètres!O14),1)="F",1,0)))))))</f>
        <v/>
      </c>
      <c r="F338" s="19">
        <f>IF($A338="","",E338+$H338-1)</f>
        <v/>
      </c>
      <c r="G338" s="18" t="n"/>
      <c r="H338" s="18">
        <f>IF($A338="","",IF(I338&lt;&gt;"",I338,Paramètres!B14))</f>
        <v/>
      </c>
      <c r="I338" s="18" t="n"/>
    </row>
    <row r="339">
      <c r="A339" s="18">
        <f>IF(ISNUMBER(Dossiers!$D$10),Dossiers!$A$10&amp;" · "&amp;Dossiers!$B$10,"")</f>
        <v/>
      </c>
      <c r="B339" s="18">
        <f>IF($A339="","",Paramètres!G15)</f>
        <v/>
      </c>
      <c r="C339" s="18">
        <f>IF($A339="","",IF(Paramètres!H15="","",Paramètres!H15))</f>
        <v/>
      </c>
      <c r="D339" s="18">
        <f>IF($A339="","",IF(Paramètres!I15="","",Paramètres!I15))</f>
        <v/>
      </c>
      <c r="E339" s="19">
        <f>IF($A339="","",MIN(E340:E355))</f>
        <v/>
      </c>
      <c r="F339" s="19">
        <f>IF($A339="","",MAX(F340:F355))</f>
        <v/>
      </c>
      <c r="G339" s="18" t="n"/>
      <c r="H339" s="18">
        <f>IF($A339="","",F339-E339+1)</f>
        <v/>
      </c>
      <c r="I339" s="18" t="n"/>
    </row>
    <row r="340">
      <c r="A340" s="18">
        <f>IF(ISNUMBER(Dossiers!$D$10),Dossiers!$A$10&amp;" · "&amp;Dossiers!$B$10,"")</f>
        <v/>
      </c>
      <c r="B340" s="18">
        <f>IF($A340="","",Paramètres!G16)</f>
        <v/>
      </c>
      <c r="C340" s="18">
        <f>IF($A340="","",IF(Paramètres!H16="","",Paramètres!H16))</f>
        <v/>
      </c>
      <c r="D340" s="18">
        <f>IF($A340="","",IF(Paramètres!I16="","",Paramètres!I16))</f>
        <v/>
      </c>
      <c r="E340" s="19">
        <f>IF($A340="","",IF(Paramètres!J16&amp;Paramètres!L16&amp;Paramètres!N16="",Dossiers!$D$10,MAX(IF(Paramètres!J16="",0,IF(Paramètres!K16="",NA(),IF(LEFT(TRIM(Paramètres!K16),1)="F",INDEX($F$329:$F$381,MATCH(Paramètres!J16,Paramètres!$G$5:$G$57,0)),INDEX($E$329:$E$381,MATCH(Paramètres!J16,Paramètres!$G$5:$G$57,0)))+IF(RIGHT(TRIM(Paramètres!K16),3)="Fin",1-$H340,IF(LEFT(TRIM(Paramètres!K16),1)="F",1,0)))),IF(Paramètres!L16="",0,IF(Paramètres!M16="",NA(),IF(LEFT(TRIM(Paramètres!M16),1)="F",INDEX($F$329:$F$381,MATCH(Paramètres!L16,Paramètres!$G$5:$G$57,0)),INDEX($E$329:$E$381,MATCH(Paramètres!L16,Paramètres!$G$5:$G$57,0)))+IF(RIGHT(TRIM(Paramètres!M16),3)="Fin",1-$H340,IF(LEFT(TRIM(Paramètres!M16),1)="F",1,0)))),IF(Paramètres!N16="",0,IF(Paramètres!O16="",NA(),IF(LEFT(TRIM(Paramètres!O16),1)="F",INDEX($F$329:$F$381,MATCH(Paramètres!N16,Paramètres!$G$5:$G$57,0)),INDEX($E$329:$E$381,MATCH(Paramètres!N16,Paramètres!$G$5:$G$57,0)))+IF(RIGHT(TRIM(Paramètres!O16),3)="Fin",1-$H340,IF(LEFT(TRIM(Paramètres!O16),1)="F",1,0)))))))</f>
        <v/>
      </c>
      <c r="F340" s="19">
        <f>IF($A340="","",E340+$H340-1)</f>
        <v/>
      </c>
      <c r="G340" s="18" t="n"/>
      <c r="H340" s="18">
        <f>IF($A340="","",IF(I340&lt;&gt;"",I340,Paramètres!B16))</f>
        <v/>
      </c>
      <c r="I340" s="18" t="n"/>
    </row>
    <row r="341">
      <c r="A341" s="18">
        <f>IF(ISNUMBER(Dossiers!$D$10),Dossiers!$A$10&amp;" · "&amp;Dossiers!$B$10,"")</f>
        <v/>
      </c>
      <c r="B341" s="18">
        <f>IF($A341="","",Paramètres!G17)</f>
        <v/>
      </c>
      <c r="C341" s="18">
        <f>IF($A341="","",IF(Paramètres!H17="","",Paramètres!H17))</f>
        <v/>
      </c>
      <c r="D341" s="18">
        <f>IF($A341="","",IF(Paramètres!I17="","",Paramètres!I17))</f>
        <v/>
      </c>
      <c r="E341" s="19">
        <f>IF($A341="","",IF(Paramètres!J17&amp;Paramètres!L17&amp;Paramètres!N17="",Dossiers!$D$10,MAX(IF(Paramètres!J17="",0,IF(Paramètres!K17="",NA(),IF(LEFT(TRIM(Paramètres!K17),1)="F",INDEX($F$329:$F$381,MATCH(Paramètres!J17,Paramètres!$G$5:$G$57,0)),INDEX($E$329:$E$381,MATCH(Paramètres!J17,Paramètres!$G$5:$G$57,0)))+IF(RIGHT(TRIM(Paramètres!K17),3)="Fin",1-$H341,IF(LEFT(TRIM(Paramètres!K17),1)="F",1,0)))),IF(Paramètres!L17="",0,IF(Paramètres!M17="",NA(),IF(LEFT(TRIM(Paramètres!M17),1)="F",INDEX($F$329:$F$381,MATCH(Paramètres!L17,Paramètres!$G$5:$G$57,0)),INDEX($E$329:$E$381,MATCH(Paramètres!L17,Paramètres!$G$5:$G$57,0)))+IF(RIGHT(TRIM(Paramètres!M17),3)="Fin",1-$H341,IF(LEFT(TRIM(Paramètres!M17),1)="F",1,0)))),IF(Paramètres!N17="",0,IF(Paramètres!O17="",NA(),IF(LEFT(TRIM(Paramètres!O17),1)="F",INDEX($F$329:$F$381,MATCH(Paramètres!N17,Paramètres!$G$5:$G$57,0)),INDEX($E$329:$E$381,MATCH(Paramètres!N17,Paramètres!$G$5:$G$57,0)))+IF(RIGHT(TRIM(Paramètres!O17),3)="Fin",1-$H341,IF(LEFT(TRIM(Paramètres!O17),1)="F",1,0)))))))</f>
        <v/>
      </c>
      <c r="F341" s="19">
        <f>IF($A341="","",E341+$H341-1)</f>
        <v/>
      </c>
      <c r="G341" s="18" t="n"/>
      <c r="H341" s="18">
        <f>IF($A341="","",IF(I341&lt;&gt;"",I341,Paramètres!B17))</f>
        <v/>
      </c>
      <c r="I341" s="18" t="n"/>
    </row>
    <row r="342">
      <c r="A342" s="18">
        <f>IF(ISNUMBER(Dossiers!$D$10),Dossiers!$A$10&amp;" · "&amp;Dossiers!$B$10,"")</f>
        <v/>
      </c>
      <c r="B342" s="18">
        <f>IF($A342="","",Paramètres!G18)</f>
        <v/>
      </c>
      <c r="C342" s="18">
        <f>IF($A342="","",IF(Paramètres!H18="","",Paramètres!H18))</f>
        <v/>
      </c>
      <c r="D342" s="18">
        <f>IF($A342="","",IF(Paramètres!I18="","",Paramètres!I18))</f>
        <v/>
      </c>
      <c r="E342" s="19">
        <f>IF($A342="","",IF(Paramètres!J18&amp;Paramètres!L18&amp;Paramètres!N18="",Dossiers!$D$10,MAX(IF(Paramètres!J18="",0,IF(Paramètres!K18="",NA(),IF(LEFT(TRIM(Paramètres!K18),1)="F",INDEX($F$329:$F$381,MATCH(Paramètres!J18,Paramètres!$G$5:$G$57,0)),INDEX($E$329:$E$381,MATCH(Paramètres!J18,Paramètres!$G$5:$G$57,0)))+IF(RIGHT(TRIM(Paramètres!K18),3)="Fin",1-$H342,IF(LEFT(TRIM(Paramètres!K18),1)="F",1,0)))),IF(Paramètres!L18="",0,IF(Paramètres!M18="",NA(),IF(LEFT(TRIM(Paramètres!M18),1)="F",INDEX($F$329:$F$381,MATCH(Paramètres!L18,Paramètres!$G$5:$G$57,0)),INDEX($E$329:$E$381,MATCH(Paramètres!L18,Paramètres!$G$5:$G$57,0)))+IF(RIGHT(TRIM(Paramètres!M18),3)="Fin",1-$H342,IF(LEFT(TRIM(Paramètres!M18),1)="F",1,0)))),IF(Paramètres!N18="",0,IF(Paramètres!O18="",NA(),IF(LEFT(TRIM(Paramètres!O18),1)="F",INDEX($F$329:$F$381,MATCH(Paramètres!N18,Paramètres!$G$5:$G$57,0)),INDEX($E$329:$E$381,MATCH(Paramètres!N18,Paramètres!$G$5:$G$57,0)))+IF(RIGHT(TRIM(Paramètres!O18),3)="Fin",1-$H342,IF(LEFT(TRIM(Paramètres!O18),1)="F",1,0)))))))</f>
        <v/>
      </c>
      <c r="F342" s="19">
        <f>IF($A342="","",E342+$H342-1)</f>
        <v/>
      </c>
      <c r="G342" s="18" t="n"/>
      <c r="H342" s="18">
        <f>IF($A342="","",IF(I342&lt;&gt;"",I342,Paramètres!B18))</f>
        <v/>
      </c>
      <c r="I342" s="18" t="n"/>
    </row>
    <row r="343">
      <c r="A343" s="18">
        <f>IF(ISNUMBER(Dossiers!$D$10),Dossiers!$A$10&amp;" · "&amp;Dossiers!$B$10,"")</f>
        <v/>
      </c>
      <c r="B343" s="18">
        <f>IF($A343="","",Paramètres!G19)</f>
        <v/>
      </c>
      <c r="C343" s="18">
        <f>IF($A343="","",IF(Paramètres!H19="","",Paramètres!H19))</f>
        <v/>
      </c>
      <c r="D343" s="18">
        <f>IF($A343="","",IF(Paramètres!I19="","",Paramètres!I19))</f>
        <v/>
      </c>
      <c r="E343" s="19">
        <f>IF($A343="","",IF(Paramètres!J19&amp;Paramètres!L19&amp;Paramètres!N19="",Dossiers!$D$10,MAX(IF(Paramètres!J19="",0,IF(Paramètres!K19="",NA(),IF(LEFT(TRIM(Paramètres!K19),1)="F",INDEX($F$329:$F$381,MATCH(Paramètres!J19,Paramètres!$G$5:$G$57,0)),INDEX($E$329:$E$381,MATCH(Paramètres!J19,Paramètres!$G$5:$G$57,0)))+IF(RIGHT(TRIM(Paramètres!K19),3)="Fin",1-$H343,IF(LEFT(TRIM(Paramètres!K19),1)="F",1,0)))),IF(Paramètres!L19="",0,IF(Paramètres!M19="",NA(),IF(LEFT(TRIM(Paramètres!M19),1)="F",INDEX($F$329:$F$381,MATCH(Paramètres!L19,Paramètres!$G$5:$G$57,0)),INDEX($E$329:$E$381,MATCH(Paramètres!L19,Paramètres!$G$5:$G$57,0)))+IF(RIGHT(TRIM(Paramètres!M19),3)="Fin",1-$H343,IF(LEFT(TRIM(Paramètres!M19),1)="F",1,0)))),IF(Paramètres!N19="",0,IF(Paramètres!O19="",NA(),IF(LEFT(TRIM(Paramètres!O19),1)="F",INDEX($F$329:$F$381,MATCH(Paramètres!N19,Paramètres!$G$5:$G$57,0)),INDEX($E$329:$E$381,MATCH(Paramètres!N19,Paramètres!$G$5:$G$57,0)))+IF(RIGHT(TRIM(Paramètres!O19),3)="Fin",1-$H343,IF(LEFT(TRIM(Paramètres!O19),1)="F",1,0)))))))</f>
        <v/>
      </c>
      <c r="F343" s="19">
        <f>IF($A343="","",E343+$H343-1)</f>
        <v/>
      </c>
      <c r="G343" s="18" t="n"/>
      <c r="H343" s="18">
        <f>IF($A343="","",IF(I343&lt;&gt;"",I343,Paramètres!B19))</f>
        <v/>
      </c>
      <c r="I343" s="18" t="n"/>
    </row>
    <row r="344">
      <c r="A344" s="18">
        <f>IF(ISNUMBER(Dossiers!$D$10),Dossiers!$A$10&amp;" · "&amp;Dossiers!$B$10,"")</f>
        <v/>
      </c>
      <c r="B344" s="18">
        <f>IF($A344="","",Paramètres!G20)</f>
        <v/>
      </c>
      <c r="C344" s="18">
        <f>IF($A344="","",IF(Paramètres!H20="","",Paramètres!H20))</f>
        <v/>
      </c>
      <c r="D344" s="18">
        <f>IF($A344="","",IF(Paramètres!I20="","",Paramètres!I20))</f>
        <v/>
      </c>
      <c r="E344" s="19">
        <f>IF($A344="","",IF(Paramètres!J20&amp;Paramètres!L20&amp;Paramètres!N20="",Dossiers!$D$10,MAX(IF(Paramètres!J20="",0,IF(Paramètres!K20="",NA(),IF(LEFT(TRIM(Paramètres!K20),1)="F",INDEX($F$329:$F$381,MATCH(Paramètres!J20,Paramètres!$G$5:$G$57,0)),INDEX($E$329:$E$381,MATCH(Paramètres!J20,Paramètres!$G$5:$G$57,0)))+IF(RIGHT(TRIM(Paramètres!K20),3)="Fin",1-$H344,IF(LEFT(TRIM(Paramètres!K20),1)="F",1,0)))),IF(Paramètres!L20="",0,IF(Paramètres!M20="",NA(),IF(LEFT(TRIM(Paramètres!M20),1)="F",INDEX($F$329:$F$381,MATCH(Paramètres!L20,Paramètres!$G$5:$G$57,0)),INDEX($E$329:$E$381,MATCH(Paramètres!L20,Paramètres!$G$5:$G$57,0)))+IF(RIGHT(TRIM(Paramètres!M20),3)="Fin",1-$H344,IF(LEFT(TRIM(Paramètres!M20),1)="F",1,0)))),IF(Paramètres!N20="",0,IF(Paramètres!O20="",NA(),IF(LEFT(TRIM(Paramètres!O20),1)="F",INDEX($F$329:$F$381,MATCH(Paramètres!N20,Paramètres!$G$5:$G$57,0)),INDEX($E$329:$E$381,MATCH(Paramètres!N20,Paramètres!$G$5:$G$57,0)))+IF(RIGHT(TRIM(Paramètres!O20),3)="Fin",1-$H344,IF(LEFT(TRIM(Paramètres!O20),1)="F",1,0)))))))</f>
        <v/>
      </c>
      <c r="F344" s="19">
        <f>IF($A344="","",E344+$H344-1)</f>
        <v/>
      </c>
      <c r="G344" s="18" t="n"/>
      <c r="H344" s="18">
        <f>IF($A344="","",IF(I344&lt;&gt;"",I344,Paramètres!B20))</f>
        <v/>
      </c>
      <c r="I344" s="18" t="n"/>
    </row>
    <row r="345">
      <c r="A345" s="18">
        <f>IF(ISNUMBER(Dossiers!$D$10),Dossiers!$A$10&amp;" · "&amp;Dossiers!$B$10,"")</f>
        <v/>
      </c>
      <c r="B345" s="18">
        <f>IF($A345="","",Paramètres!G21)</f>
        <v/>
      </c>
      <c r="C345" s="18">
        <f>IF($A345="","",IF(Paramètres!H21="","",Paramètres!H21))</f>
        <v/>
      </c>
      <c r="D345" s="18">
        <f>IF($A345="","",IF(Paramètres!I21="","",Paramètres!I21))</f>
        <v/>
      </c>
      <c r="E345" s="19">
        <f>IF($A345="","",IF(Paramètres!J21&amp;Paramètres!L21&amp;Paramètres!N21="",Dossiers!$D$10,MAX(IF(Paramètres!J21="",0,IF(Paramètres!K21="",NA(),IF(LEFT(TRIM(Paramètres!K21),1)="F",INDEX($F$329:$F$381,MATCH(Paramètres!J21,Paramètres!$G$5:$G$57,0)),INDEX($E$329:$E$381,MATCH(Paramètres!J21,Paramètres!$G$5:$G$57,0)))+IF(RIGHT(TRIM(Paramètres!K21),3)="Fin",1-$H345,IF(LEFT(TRIM(Paramètres!K21),1)="F",1,0)))),IF(Paramètres!L21="",0,IF(Paramètres!M21="",NA(),IF(LEFT(TRIM(Paramètres!M21),1)="F",INDEX($F$329:$F$381,MATCH(Paramètres!L21,Paramètres!$G$5:$G$57,0)),INDEX($E$329:$E$381,MATCH(Paramètres!L21,Paramètres!$G$5:$G$57,0)))+IF(RIGHT(TRIM(Paramètres!M21),3)="Fin",1-$H345,IF(LEFT(TRIM(Paramètres!M21),1)="F",1,0)))),IF(Paramètres!N21="",0,IF(Paramètres!O21="",NA(),IF(LEFT(TRIM(Paramètres!O21),1)="F",INDEX($F$329:$F$381,MATCH(Paramètres!N21,Paramètres!$G$5:$G$57,0)),INDEX($E$329:$E$381,MATCH(Paramètres!N21,Paramètres!$G$5:$G$57,0)))+IF(RIGHT(TRIM(Paramètres!O21),3)="Fin",1-$H345,IF(LEFT(TRIM(Paramètres!O21),1)="F",1,0)))))))</f>
        <v/>
      </c>
      <c r="F345" s="19">
        <f>IF($A345="","",E345+$H345-1)</f>
        <v/>
      </c>
      <c r="G345" s="18" t="n"/>
      <c r="H345" s="18">
        <f>IF($A345="","",IF(I345&lt;&gt;"",I345,Paramètres!B21))</f>
        <v/>
      </c>
      <c r="I345" s="18" t="n"/>
    </row>
    <row r="346">
      <c r="A346" s="18">
        <f>IF(ISNUMBER(Dossiers!$D$10),Dossiers!$A$10&amp;" · "&amp;Dossiers!$B$10,"")</f>
        <v/>
      </c>
      <c r="B346" s="18">
        <f>IF($A346="","",Paramètres!G22)</f>
        <v/>
      </c>
      <c r="C346" s="18">
        <f>IF($A346="","",IF(Paramètres!H22="","",Paramètres!H22))</f>
        <v/>
      </c>
      <c r="D346" s="18">
        <f>IF($A346="","",IF(Paramètres!I22="","",Paramètres!I22))</f>
        <v/>
      </c>
      <c r="E346" s="19">
        <f>IF($A346="","",IF(Paramètres!J22&amp;Paramètres!L22&amp;Paramètres!N22="",Dossiers!$D$10,MAX(IF(Paramètres!J22="",0,IF(Paramètres!K22="",NA(),IF(LEFT(TRIM(Paramètres!K22),1)="F",INDEX($F$329:$F$381,MATCH(Paramètres!J22,Paramètres!$G$5:$G$57,0)),INDEX($E$329:$E$381,MATCH(Paramètres!J22,Paramètres!$G$5:$G$57,0)))+IF(RIGHT(TRIM(Paramètres!K22),3)="Fin",1-$H346,IF(LEFT(TRIM(Paramètres!K22),1)="F",1,0)))),IF(Paramètres!L22="",0,IF(Paramètres!M22="",NA(),IF(LEFT(TRIM(Paramètres!M22),1)="F",INDEX($F$329:$F$381,MATCH(Paramètres!L22,Paramètres!$G$5:$G$57,0)),INDEX($E$329:$E$381,MATCH(Paramètres!L22,Paramètres!$G$5:$G$57,0)))+IF(RIGHT(TRIM(Paramètres!M22),3)="Fin",1-$H346,IF(LEFT(TRIM(Paramètres!M22),1)="F",1,0)))),IF(Paramètres!N22="",0,IF(Paramètres!O22="",NA(),IF(LEFT(TRIM(Paramètres!O22),1)="F",INDEX($F$329:$F$381,MATCH(Paramètres!N22,Paramètres!$G$5:$G$57,0)),INDEX($E$329:$E$381,MATCH(Paramètres!N22,Paramètres!$G$5:$G$57,0)))+IF(RIGHT(TRIM(Paramètres!O22),3)="Fin",1-$H346,IF(LEFT(TRIM(Paramètres!O22),1)="F",1,0)))))))</f>
        <v/>
      </c>
      <c r="F346" s="19">
        <f>IF($A346="","",E346+$H346-1)</f>
        <v/>
      </c>
      <c r="G346" s="18" t="n"/>
      <c r="H346" s="18">
        <f>IF($A346="","",IF(I346&lt;&gt;"",I346,Paramètres!B22))</f>
        <v/>
      </c>
      <c r="I346" s="18" t="n"/>
    </row>
    <row r="347">
      <c r="A347" s="18">
        <f>IF(ISNUMBER(Dossiers!$D$10),Dossiers!$A$10&amp;" · "&amp;Dossiers!$B$10,"")</f>
        <v/>
      </c>
      <c r="B347" s="18">
        <f>IF($A347="","",Paramètres!G23)</f>
        <v/>
      </c>
      <c r="C347" s="18">
        <f>IF($A347="","",IF(Paramètres!H23="","",Paramètres!H23))</f>
        <v/>
      </c>
      <c r="D347" s="18">
        <f>IF($A347="","",IF(Paramètres!I23="","",Paramètres!I23))</f>
        <v/>
      </c>
      <c r="E347" s="19">
        <f>IF($A347="","",IF(Paramètres!J23&amp;Paramètres!L23&amp;Paramètres!N23="",Dossiers!$D$10,MAX(IF(Paramètres!J23="",0,IF(Paramètres!K23="",NA(),IF(LEFT(TRIM(Paramètres!K23),1)="F",INDEX($F$329:$F$381,MATCH(Paramètres!J23,Paramètres!$G$5:$G$57,0)),INDEX($E$329:$E$381,MATCH(Paramètres!J23,Paramètres!$G$5:$G$57,0)))+IF(RIGHT(TRIM(Paramètres!K23),3)="Fin",1-$H347,IF(LEFT(TRIM(Paramètres!K23),1)="F",1,0)))),IF(Paramètres!L23="",0,IF(Paramètres!M23="",NA(),IF(LEFT(TRIM(Paramètres!M23),1)="F",INDEX($F$329:$F$381,MATCH(Paramètres!L23,Paramètres!$G$5:$G$57,0)),INDEX($E$329:$E$381,MATCH(Paramètres!L23,Paramètres!$G$5:$G$57,0)))+IF(RIGHT(TRIM(Paramètres!M23),3)="Fin",1-$H347,IF(LEFT(TRIM(Paramètres!M23),1)="F",1,0)))),IF(Paramètres!N23="",0,IF(Paramètres!O23="",NA(),IF(LEFT(TRIM(Paramètres!O23),1)="F",INDEX($F$329:$F$381,MATCH(Paramètres!N23,Paramètres!$G$5:$G$57,0)),INDEX($E$329:$E$381,MATCH(Paramètres!N23,Paramètres!$G$5:$G$57,0)))+IF(RIGHT(TRIM(Paramètres!O23),3)="Fin",1-$H347,IF(LEFT(TRIM(Paramètres!O23),1)="F",1,0)))))))</f>
        <v/>
      </c>
      <c r="F347" s="19">
        <f>IF($A347="","",E347+$H347-1)</f>
        <v/>
      </c>
      <c r="G347" s="18" t="n"/>
      <c r="H347" s="18">
        <f>IF($A347="","",IF(I347&lt;&gt;"",I347,Paramètres!B23))</f>
        <v/>
      </c>
      <c r="I347" s="18" t="n"/>
    </row>
    <row r="348">
      <c r="A348" s="18">
        <f>IF(ISNUMBER(Dossiers!$D$10),Dossiers!$A$10&amp;" · "&amp;Dossiers!$B$10,"")</f>
        <v/>
      </c>
      <c r="B348" s="18">
        <f>IF($A348="","",Paramètres!G24)</f>
        <v/>
      </c>
      <c r="C348" s="18">
        <f>IF($A348="","",IF(Paramètres!H24="","",Paramètres!H24))</f>
        <v/>
      </c>
      <c r="D348" s="18">
        <f>IF($A348="","",IF(Paramètres!I24="","",Paramètres!I24))</f>
        <v/>
      </c>
      <c r="E348" s="19">
        <f>IF($A348="","",IF(Paramètres!J24&amp;Paramètres!L24&amp;Paramètres!N24="",Dossiers!$D$10,MAX(IF(Paramètres!J24="",0,IF(Paramètres!K24="",NA(),IF(LEFT(TRIM(Paramètres!K24),1)="F",INDEX($F$329:$F$381,MATCH(Paramètres!J24,Paramètres!$G$5:$G$57,0)),INDEX($E$329:$E$381,MATCH(Paramètres!J24,Paramètres!$G$5:$G$57,0)))+IF(RIGHT(TRIM(Paramètres!K24),3)="Fin",1-$H348,IF(LEFT(TRIM(Paramètres!K24),1)="F",1,0)))),IF(Paramètres!L24="",0,IF(Paramètres!M24="",NA(),IF(LEFT(TRIM(Paramètres!M24),1)="F",INDEX($F$329:$F$381,MATCH(Paramètres!L24,Paramètres!$G$5:$G$57,0)),INDEX($E$329:$E$381,MATCH(Paramètres!L24,Paramètres!$G$5:$G$57,0)))+IF(RIGHT(TRIM(Paramètres!M24),3)="Fin",1-$H348,IF(LEFT(TRIM(Paramètres!M24),1)="F",1,0)))),IF(Paramètres!N24="",0,IF(Paramètres!O24="",NA(),IF(LEFT(TRIM(Paramètres!O24),1)="F",INDEX($F$329:$F$381,MATCH(Paramètres!N24,Paramètres!$G$5:$G$57,0)),INDEX($E$329:$E$381,MATCH(Paramètres!N24,Paramètres!$G$5:$G$57,0)))+IF(RIGHT(TRIM(Paramètres!O24),3)="Fin",1-$H348,IF(LEFT(TRIM(Paramètres!O24),1)="F",1,0)))))))</f>
        <v/>
      </c>
      <c r="F348" s="19">
        <f>IF($A348="","",E348+$H348-1)</f>
        <v/>
      </c>
      <c r="G348" s="18" t="n"/>
      <c r="H348" s="18">
        <f>IF($A348="","",IF(I348&lt;&gt;"",I348,Paramètres!B24))</f>
        <v/>
      </c>
      <c r="I348" s="18" t="n"/>
    </row>
    <row r="349">
      <c r="A349" s="18">
        <f>IF(ISNUMBER(Dossiers!$D$10),Dossiers!$A$10&amp;" · "&amp;Dossiers!$B$10,"")</f>
        <v/>
      </c>
      <c r="B349" s="18">
        <f>IF($A349="","",Paramètres!G25)</f>
        <v/>
      </c>
      <c r="C349" s="18">
        <f>IF($A349="","",IF(Paramètres!H25="","",Paramètres!H25))</f>
        <v/>
      </c>
      <c r="D349" s="18">
        <f>IF($A349="","",IF(Paramètres!I25="","",Paramètres!I25))</f>
        <v/>
      </c>
      <c r="E349" s="19">
        <f>IF($A349="","",IF(Paramètres!J25&amp;Paramètres!L25&amp;Paramètres!N25="",Dossiers!$D$10,MAX(IF(Paramètres!J25="",0,IF(Paramètres!K25="",NA(),IF(LEFT(TRIM(Paramètres!K25),1)="F",INDEX($F$329:$F$381,MATCH(Paramètres!J25,Paramètres!$G$5:$G$57,0)),INDEX($E$329:$E$381,MATCH(Paramètres!J25,Paramètres!$G$5:$G$57,0)))+IF(RIGHT(TRIM(Paramètres!K25),3)="Fin",1-$H349,IF(LEFT(TRIM(Paramètres!K25),1)="F",1,0)))),IF(Paramètres!L25="",0,IF(Paramètres!M25="",NA(),IF(LEFT(TRIM(Paramètres!M25),1)="F",INDEX($F$329:$F$381,MATCH(Paramètres!L25,Paramètres!$G$5:$G$57,0)),INDEX($E$329:$E$381,MATCH(Paramètres!L25,Paramètres!$G$5:$G$57,0)))+IF(RIGHT(TRIM(Paramètres!M25),3)="Fin",1-$H349,IF(LEFT(TRIM(Paramètres!M25),1)="F",1,0)))),IF(Paramètres!N25="",0,IF(Paramètres!O25="",NA(),IF(LEFT(TRIM(Paramètres!O25),1)="F",INDEX($F$329:$F$381,MATCH(Paramètres!N25,Paramètres!$G$5:$G$57,0)),INDEX($E$329:$E$381,MATCH(Paramètres!N25,Paramètres!$G$5:$G$57,0)))+IF(RIGHT(TRIM(Paramètres!O25),3)="Fin",1-$H349,IF(LEFT(TRIM(Paramètres!O25),1)="F",1,0)))))))</f>
        <v/>
      </c>
      <c r="F349" s="19">
        <f>IF($A349="","",E349+$H349-1)</f>
        <v/>
      </c>
      <c r="G349" s="18" t="n"/>
      <c r="H349" s="18">
        <f>IF($A349="","",IF(I349&lt;&gt;"",I349,Paramètres!B25))</f>
        <v/>
      </c>
      <c r="I349" s="18" t="n"/>
    </row>
    <row r="350">
      <c r="A350" s="18">
        <f>IF(ISNUMBER(Dossiers!$D$10),Dossiers!$A$10&amp;" · "&amp;Dossiers!$B$10,"")</f>
        <v/>
      </c>
      <c r="B350" s="18">
        <f>IF($A350="","",Paramètres!G26)</f>
        <v/>
      </c>
      <c r="C350" s="18">
        <f>IF($A350="","",IF(Paramètres!H26="","",Paramètres!H26))</f>
        <v/>
      </c>
      <c r="D350" s="18">
        <f>IF($A350="","",IF(Paramètres!I26="","",Paramètres!I26))</f>
        <v/>
      </c>
      <c r="E350" s="19">
        <f>IF($A350="","",IF(Paramètres!J26&amp;Paramètres!L26&amp;Paramètres!N26="",Dossiers!$D$10,MAX(IF(Paramètres!J26="",0,IF(Paramètres!K26="",NA(),IF(LEFT(TRIM(Paramètres!K26),1)="F",INDEX($F$329:$F$381,MATCH(Paramètres!J26,Paramètres!$G$5:$G$57,0)),INDEX($E$329:$E$381,MATCH(Paramètres!J26,Paramètres!$G$5:$G$57,0)))+IF(RIGHT(TRIM(Paramètres!K26),3)="Fin",1-$H350,IF(LEFT(TRIM(Paramètres!K26),1)="F",1,0)))),IF(Paramètres!L26="",0,IF(Paramètres!M26="",NA(),IF(LEFT(TRIM(Paramètres!M26),1)="F",INDEX($F$329:$F$381,MATCH(Paramètres!L26,Paramètres!$G$5:$G$57,0)),INDEX($E$329:$E$381,MATCH(Paramètres!L26,Paramètres!$G$5:$G$57,0)))+IF(RIGHT(TRIM(Paramètres!M26),3)="Fin",1-$H350,IF(LEFT(TRIM(Paramètres!M26),1)="F",1,0)))),IF(Paramètres!N26="",0,IF(Paramètres!O26="",NA(),IF(LEFT(TRIM(Paramètres!O26),1)="F",INDEX($F$329:$F$381,MATCH(Paramètres!N26,Paramètres!$G$5:$G$57,0)),INDEX($E$329:$E$381,MATCH(Paramètres!N26,Paramètres!$G$5:$G$57,0)))+IF(RIGHT(TRIM(Paramètres!O26),3)="Fin",1-$H350,IF(LEFT(TRIM(Paramètres!O26),1)="F",1,0)))))))</f>
        <v/>
      </c>
      <c r="F350" s="19">
        <f>IF($A350="","",E350+$H350-1)</f>
        <v/>
      </c>
      <c r="G350" s="18" t="n"/>
      <c r="H350" s="18">
        <f>IF($A350="","",IF(I350&lt;&gt;"",I350,Paramètres!B26))</f>
        <v/>
      </c>
      <c r="I350" s="18" t="n"/>
    </row>
    <row r="351">
      <c r="A351" s="18">
        <f>IF(ISNUMBER(Dossiers!$D$10),Dossiers!$A$10&amp;" · "&amp;Dossiers!$B$10,"")</f>
        <v/>
      </c>
      <c r="B351" s="18">
        <f>IF($A351="","",Paramètres!G27)</f>
        <v/>
      </c>
      <c r="C351" s="18">
        <f>IF($A351="","",IF(Paramètres!H27="","",Paramètres!H27))</f>
        <v/>
      </c>
      <c r="D351" s="18">
        <f>IF($A351="","",IF(Paramètres!I27="","",Paramètres!I27))</f>
        <v/>
      </c>
      <c r="E351" s="19">
        <f>IF($A351="","",IF(Paramètres!J27&amp;Paramètres!L27&amp;Paramètres!N27="",Dossiers!$D$10,MAX(IF(Paramètres!J27="",0,IF(Paramètres!K27="",NA(),IF(LEFT(TRIM(Paramètres!K27),1)="F",INDEX($F$329:$F$381,MATCH(Paramètres!J27,Paramètres!$G$5:$G$57,0)),INDEX($E$329:$E$381,MATCH(Paramètres!J27,Paramètres!$G$5:$G$57,0)))+IF(RIGHT(TRIM(Paramètres!K27),3)="Fin",1-$H351,IF(LEFT(TRIM(Paramètres!K27),1)="F",1,0)))),IF(Paramètres!L27="",0,IF(Paramètres!M27="",NA(),IF(LEFT(TRIM(Paramètres!M27),1)="F",INDEX($F$329:$F$381,MATCH(Paramètres!L27,Paramètres!$G$5:$G$57,0)),INDEX($E$329:$E$381,MATCH(Paramètres!L27,Paramètres!$G$5:$G$57,0)))+IF(RIGHT(TRIM(Paramètres!M27),3)="Fin",1-$H351,IF(LEFT(TRIM(Paramètres!M27),1)="F",1,0)))),IF(Paramètres!N27="",0,IF(Paramètres!O27="",NA(),IF(LEFT(TRIM(Paramètres!O27),1)="F",INDEX($F$329:$F$381,MATCH(Paramètres!N27,Paramètres!$G$5:$G$57,0)),INDEX($E$329:$E$381,MATCH(Paramètres!N27,Paramètres!$G$5:$G$57,0)))+IF(RIGHT(TRIM(Paramètres!O27),3)="Fin",1-$H351,IF(LEFT(TRIM(Paramètres!O27),1)="F",1,0)))))))</f>
        <v/>
      </c>
      <c r="F351" s="19">
        <f>IF($A351="","",E351+$H351-1)</f>
        <v/>
      </c>
      <c r="G351" s="18" t="n"/>
      <c r="H351" s="18">
        <f>IF($A351="","",IF(I351&lt;&gt;"",I351,Paramètres!B27))</f>
        <v/>
      </c>
      <c r="I351" s="18" t="n"/>
    </row>
    <row r="352">
      <c r="A352" s="18">
        <f>IF(ISNUMBER(Dossiers!$D$10),Dossiers!$A$10&amp;" · "&amp;Dossiers!$B$10,"")</f>
        <v/>
      </c>
      <c r="B352" s="18">
        <f>IF($A352="","",Paramètres!G28)</f>
        <v/>
      </c>
      <c r="C352" s="18">
        <f>IF($A352="","",IF(Paramètres!H28="","",Paramètres!H28))</f>
        <v/>
      </c>
      <c r="D352" s="18">
        <f>IF($A352="","",IF(Paramètres!I28="","",Paramètres!I28))</f>
        <v/>
      </c>
      <c r="E352" s="19">
        <f>IF($A352="","",IF(Paramètres!J28&amp;Paramètres!L28&amp;Paramètres!N28="",Dossiers!$D$10,MAX(IF(Paramètres!J28="",0,IF(Paramètres!K28="",NA(),IF(LEFT(TRIM(Paramètres!K28),1)="F",INDEX($F$329:$F$381,MATCH(Paramètres!J28,Paramètres!$G$5:$G$57,0)),INDEX($E$329:$E$381,MATCH(Paramètres!J28,Paramètres!$G$5:$G$57,0)))+IF(RIGHT(TRIM(Paramètres!K28),3)="Fin",1-$H352,IF(LEFT(TRIM(Paramètres!K28),1)="F",1,0)))),IF(Paramètres!L28="",0,IF(Paramètres!M28="",NA(),IF(LEFT(TRIM(Paramètres!M28),1)="F",INDEX($F$329:$F$381,MATCH(Paramètres!L28,Paramètres!$G$5:$G$57,0)),INDEX($E$329:$E$381,MATCH(Paramètres!L28,Paramètres!$G$5:$G$57,0)))+IF(RIGHT(TRIM(Paramètres!M28),3)="Fin",1-$H352,IF(LEFT(TRIM(Paramètres!M28),1)="F",1,0)))),IF(Paramètres!N28="",0,IF(Paramètres!O28="",NA(),IF(LEFT(TRIM(Paramètres!O28),1)="F",INDEX($F$329:$F$381,MATCH(Paramètres!N28,Paramètres!$G$5:$G$57,0)),INDEX($E$329:$E$381,MATCH(Paramètres!N28,Paramètres!$G$5:$G$57,0)))+IF(RIGHT(TRIM(Paramètres!O28),3)="Fin",1-$H352,IF(LEFT(TRIM(Paramètres!O28),1)="F",1,0)))))))</f>
        <v/>
      </c>
      <c r="F352" s="19">
        <f>IF($A352="","",E352+$H352-1)</f>
        <v/>
      </c>
      <c r="G352" s="18" t="n"/>
      <c r="H352" s="18">
        <f>IF($A352="","",IF(I352&lt;&gt;"",I352,Paramètres!B28))</f>
        <v/>
      </c>
      <c r="I352" s="18" t="n"/>
    </row>
    <row r="353">
      <c r="A353" s="18">
        <f>IF(ISNUMBER(Dossiers!$D$10),Dossiers!$A$10&amp;" · "&amp;Dossiers!$B$10,"")</f>
        <v/>
      </c>
      <c r="B353" s="18">
        <f>IF($A353="","",Paramètres!G29)</f>
        <v/>
      </c>
      <c r="C353" s="18">
        <f>IF($A353="","",IF(Paramètres!H29="","",Paramètres!H29))</f>
        <v/>
      </c>
      <c r="D353" s="18">
        <f>IF($A353="","",IF(Paramètres!I29="","",Paramètres!I29))</f>
        <v/>
      </c>
      <c r="E353" s="19">
        <f>IF($A353="","",IF(Paramètres!J29&amp;Paramètres!L29&amp;Paramètres!N29="",Dossiers!$D$10,MAX(IF(Paramètres!J29="",0,IF(Paramètres!K29="",NA(),IF(LEFT(TRIM(Paramètres!K29),1)="F",INDEX($F$329:$F$381,MATCH(Paramètres!J29,Paramètres!$G$5:$G$57,0)),INDEX($E$329:$E$381,MATCH(Paramètres!J29,Paramètres!$G$5:$G$57,0)))+IF(RIGHT(TRIM(Paramètres!K29),3)="Fin",1-$H353,IF(LEFT(TRIM(Paramètres!K29),1)="F",1,0)))),IF(Paramètres!L29="",0,IF(Paramètres!M29="",NA(),IF(LEFT(TRIM(Paramètres!M29),1)="F",INDEX($F$329:$F$381,MATCH(Paramètres!L29,Paramètres!$G$5:$G$57,0)),INDEX($E$329:$E$381,MATCH(Paramètres!L29,Paramètres!$G$5:$G$57,0)))+IF(RIGHT(TRIM(Paramètres!M29),3)="Fin",1-$H353,IF(LEFT(TRIM(Paramètres!M29),1)="F",1,0)))),IF(Paramètres!N29="",0,IF(Paramètres!O29="",NA(),IF(LEFT(TRIM(Paramètres!O29),1)="F",INDEX($F$329:$F$381,MATCH(Paramètres!N29,Paramètres!$G$5:$G$57,0)),INDEX($E$329:$E$381,MATCH(Paramètres!N29,Paramètres!$G$5:$G$57,0)))+IF(RIGHT(TRIM(Paramètres!O29),3)="Fin",1-$H353,IF(LEFT(TRIM(Paramètres!O29),1)="F",1,0)))))))</f>
        <v/>
      </c>
      <c r="F353" s="19">
        <f>IF($A353="","",E353+$H353-1)</f>
        <v/>
      </c>
      <c r="G353" s="18" t="n"/>
      <c r="H353" s="18">
        <f>IF($A353="","",IF(I353&lt;&gt;"",I353,Paramètres!B29))</f>
        <v/>
      </c>
      <c r="I353" s="18" t="n"/>
    </row>
    <row r="354">
      <c r="A354" s="18">
        <f>IF(ISNUMBER(Dossiers!$D$10),Dossiers!$A$10&amp;" · "&amp;Dossiers!$B$10,"")</f>
        <v/>
      </c>
      <c r="B354" s="18">
        <f>IF($A354="","",Paramètres!G30)</f>
        <v/>
      </c>
      <c r="C354" s="18">
        <f>IF($A354="","",IF(Paramètres!H30="","",Paramètres!H30))</f>
        <v/>
      </c>
      <c r="D354" s="18">
        <f>IF($A354="","",IF(Paramètres!I30="","",Paramètres!I30))</f>
        <v/>
      </c>
      <c r="E354" s="19">
        <f>IF($A354="","",IF(Paramètres!J30&amp;Paramètres!L30&amp;Paramètres!N30="",Dossiers!$D$10,MAX(IF(Paramètres!J30="",0,IF(Paramètres!K30="",NA(),IF(LEFT(TRIM(Paramètres!K30),1)="F",INDEX($F$329:$F$381,MATCH(Paramètres!J30,Paramètres!$G$5:$G$57,0)),INDEX($E$329:$E$381,MATCH(Paramètres!J30,Paramètres!$G$5:$G$57,0)))+IF(RIGHT(TRIM(Paramètres!K30),3)="Fin",1-$H354,IF(LEFT(TRIM(Paramètres!K30),1)="F",1,0)))),IF(Paramètres!L30="",0,IF(Paramètres!M30="",NA(),IF(LEFT(TRIM(Paramètres!M30),1)="F",INDEX($F$329:$F$381,MATCH(Paramètres!L30,Paramètres!$G$5:$G$57,0)),INDEX($E$329:$E$381,MATCH(Paramètres!L30,Paramètres!$G$5:$G$57,0)))+IF(RIGHT(TRIM(Paramètres!M30),3)="Fin",1-$H354,IF(LEFT(TRIM(Paramètres!M30),1)="F",1,0)))),IF(Paramètres!N30="",0,IF(Paramètres!O30="",NA(),IF(LEFT(TRIM(Paramètres!O30),1)="F",INDEX($F$329:$F$381,MATCH(Paramètres!N30,Paramètres!$G$5:$G$57,0)),INDEX($E$329:$E$381,MATCH(Paramètres!N30,Paramètres!$G$5:$G$57,0)))+IF(RIGHT(TRIM(Paramètres!O30),3)="Fin",1-$H354,IF(LEFT(TRIM(Paramètres!O30),1)="F",1,0)))))))</f>
        <v/>
      </c>
      <c r="F354" s="19">
        <f>IF($A354="","",E354+$H354-1)</f>
        <v/>
      </c>
      <c r="G354" s="18" t="n"/>
      <c r="H354" s="18">
        <f>IF($A354="","",IF(I354&lt;&gt;"",I354,Paramètres!B30))</f>
        <v/>
      </c>
      <c r="I354" s="18" t="n"/>
    </row>
    <row r="355">
      <c r="A355" s="18">
        <f>IF(ISNUMBER(Dossiers!$D$10),Dossiers!$A$10&amp;" · "&amp;Dossiers!$B$10,"")</f>
        <v/>
      </c>
      <c r="B355" s="18">
        <f>IF($A355="","",Paramètres!G31)</f>
        <v/>
      </c>
      <c r="C355" s="20">
        <f>IF($A355="","",IF(Dossiers!$F$10="","",Dossiers!$F$10))</f>
        <v/>
      </c>
      <c r="D355" s="18">
        <f>IF($A355="","",IF(Paramètres!I31="","",Paramètres!I31))</f>
        <v/>
      </c>
      <c r="E355" s="19">
        <f>IF($A355="","",IF(Paramètres!J31&amp;Paramètres!L31&amp;Paramètres!N31="",Dossiers!$D$10,MAX(IF(Paramètres!J31="",0,IF(Paramètres!K31="",NA(),IF(LEFT(TRIM(Paramètres!K31),1)="F",INDEX($F$329:$F$381,MATCH(Paramètres!J31,Paramètres!$G$5:$G$57,0)),INDEX($E$329:$E$381,MATCH(Paramètres!J31,Paramètres!$G$5:$G$57,0)))+IF(RIGHT(TRIM(Paramètres!K31),3)="Fin",1-$H355,IF(LEFT(TRIM(Paramètres!K31),1)="F",1,0)))),IF(Paramètres!L31="",0,IF(Paramètres!M31="",NA(),IF(LEFT(TRIM(Paramètres!M31),1)="F",INDEX($F$329:$F$381,MATCH(Paramètres!L31,Paramètres!$G$5:$G$57,0)),INDEX($E$329:$E$381,MATCH(Paramètres!L31,Paramètres!$G$5:$G$57,0)))+IF(RIGHT(TRIM(Paramètres!M31),3)="Fin",1-$H355,IF(LEFT(TRIM(Paramètres!M31),1)="F",1,0)))),IF(Paramètres!N31="",0,IF(Paramètres!O31="",NA(),IF(LEFT(TRIM(Paramètres!O31),1)="F",INDEX($F$329:$F$381,MATCH(Paramètres!N31,Paramètres!$G$5:$G$57,0)),INDEX($E$329:$E$381,MATCH(Paramètres!N31,Paramètres!$G$5:$G$57,0)))+IF(RIGHT(TRIM(Paramètres!O31),3)="Fin",1-$H355,IF(LEFT(TRIM(Paramètres!O31),1)="F",1,0)))))))</f>
        <v/>
      </c>
      <c r="F355" s="19">
        <f>IF($A355="","",E355+$H355-1)</f>
        <v/>
      </c>
      <c r="G355" s="18" t="n"/>
      <c r="H355" s="18">
        <f>IF($A355="","",IF(I355&lt;&gt;"",I355,Paramètres!B31))</f>
        <v/>
      </c>
      <c r="I355" s="18" t="n"/>
    </row>
    <row r="356">
      <c r="A356" s="18">
        <f>IF(ISNUMBER(Dossiers!$D$10),Dossiers!$A$10&amp;" · "&amp;Dossiers!$B$10,"")</f>
        <v/>
      </c>
      <c r="B356" s="18">
        <f>IF($A356="","",Paramètres!G32)</f>
        <v/>
      </c>
      <c r="C356" s="18">
        <f>IF($A356="","",IF(Paramètres!H32="","",Paramètres!H32))</f>
        <v/>
      </c>
      <c r="D356" s="18">
        <f>IF($A356="","",IF(Paramètres!I32="","",Paramètres!I32))</f>
        <v/>
      </c>
      <c r="E356" s="19">
        <f>IF($A356="","",MIN(E357:E360))</f>
        <v/>
      </c>
      <c r="F356" s="19">
        <f>IF($A356="","",MAX(F357:F360))</f>
        <v/>
      </c>
      <c r="G356" s="18" t="n"/>
      <c r="H356" s="18">
        <f>IF($A356="","",F356-E356+1)</f>
        <v/>
      </c>
      <c r="I356" s="18" t="n"/>
    </row>
    <row r="357">
      <c r="A357" s="18">
        <f>IF(ISNUMBER(Dossiers!$D$10),Dossiers!$A$10&amp;" · "&amp;Dossiers!$B$10,"")</f>
        <v/>
      </c>
      <c r="B357" s="18">
        <f>IF($A357="","",Paramètres!G33)</f>
        <v/>
      </c>
      <c r="C357" s="18">
        <f>IF($A357="","",IF(Paramètres!H33="","",Paramètres!H33))</f>
        <v/>
      </c>
      <c r="D357" s="18">
        <f>IF($A357="","",IF(Paramètres!I33="","",Paramètres!I33))</f>
        <v/>
      </c>
      <c r="E357" s="19">
        <f>IF($A357="","",IF(Paramètres!J33&amp;Paramètres!L33&amp;Paramètres!N33="",Dossiers!$D$10,MAX(IF(Paramètres!J33="",0,IF(Paramètres!K33="",NA(),IF(LEFT(TRIM(Paramètres!K33),1)="F",INDEX($F$329:$F$381,MATCH(Paramètres!J33,Paramètres!$G$5:$G$57,0)),INDEX($E$329:$E$381,MATCH(Paramètres!J33,Paramètres!$G$5:$G$57,0)))+IF(RIGHT(TRIM(Paramètres!K33),3)="Fin",1-$H357,IF(LEFT(TRIM(Paramètres!K33),1)="F",1,0)))),IF(Paramètres!L33="",0,IF(Paramètres!M33="",NA(),IF(LEFT(TRIM(Paramètres!M33),1)="F",INDEX($F$329:$F$381,MATCH(Paramètres!L33,Paramètres!$G$5:$G$57,0)),INDEX($E$329:$E$381,MATCH(Paramètres!L33,Paramètres!$G$5:$G$57,0)))+IF(RIGHT(TRIM(Paramètres!M33),3)="Fin",1-$H357,IF(LEFT(TRIM(Paramètres!M33),1)="F",1,0)))),IF(Paramètres!N33="",0,IF(Paramètres!O33="",NA(),IF(LEFT(TRIM(Paramètres!O33),1)="F",INDEX($F$329:$F$381,MATCH(Paramètres!N33,Paramètres!$G$5:$G$57,0)),INDEX($E$329:$E$381,MATCH(Paramètres!N33,Paramètres!$G$5:$G$57,0)))+IF(RIGHT(TRIM(Paramètres!O33),3)="Fin",1-$H357,IF(LEFT(TRIM(Paramètres!O33),1)="F",1,0)))))))</f>
        <v/>
      </c>
      <c r="F357" s="19">
        <f>IF($A357="","",E357+$H357-1)</f>
        <v/>
      </c>
      <c r="G357" s="18" t="n"/>
      <c r="H357" s="18">
        <f>IF($A357="","",IF(I357&lt;&gt;"",I357,Paramètres!B33))</f>
        <v/>
      </c>
      <c r="I357" s="18" t="n"/>
    </row>
    <row r="358">
      <c r="A358" s="18">
        <f>IF(ISNUMBER(Dossiers!$D$10),Dossiers!$A$10&amp;" · "&amp;Dossiers!$B$10,"")</f>
        <v/>
      </c>
      <c r="B358" s="18">
        <f>IF($A358="","",Paramètres!G34)</f>
        <v/>
      </c>
      <c r="C358" s="18">
        <f>IF($A358="","",IF(Paramètres!H34="","",Paramètres!H34))</f>
        <v/>
      </c>
      <c r="D358" s="18">
        <f>IF($A358="","",IF(Paramètres!I34="","",Paramètres!I34))</f>
        <v/>
      </c>
      <c r="E358" s="19">
        <f>IF($A358="","",IF(Paramètres!J34&amp;Paramètres!L34&amp;Paramètres!N34="",Dossiers!$D$10,MAX(IF(Paramètres!J34="",0,IF(Paramètres!K34="",NA(),IF(LEFT(TRIM(Paramètres!K34),1)="F",INDEX($F$329:$F$381,MATCH(Paramètres!J34,Paramètres!$G$5:$G$57,0)),INDEX($E$329:$E$381,MATCH(Paramètres!J34,Paramètres!$G$5:$G$57,0)))+IF(RIGHT(TRIM(Paramètres!K34),3)="Fin",1-$H358,IF(LEFT(TRIM(Paramètres!K34),1)="F",1,0)))),IF(Paramètres!L34="",0,IF(Paramètres!M34="",NA(),IF(LEFT(TRIM(Paramètres!M34),1)="F",INDEX($F$329:$F$381,MATCH(Paramètres!L34,Paramètres!$G$5:$G$57,0)),INDEX($E$329:$E$381,MATCH(Paramètres!L34,Paramètres!$G$5:$G$57,0)))+IF(RIGHT(TRIM(Paramètres!M34),3)="Fin",1-$H358,IF(LEFT(TRIM(Paramètres!M34),1)="F",1,0)))),IF(Paramètres!N34="",0,IF(Paramètres!O34="",NA(),IF(LEFT(TRIM(Paramètres!O34),1)="F",INDEX($F$329:$F$381,MATCH(Paramètres!N34,Paramètres!$G$5:$G$57,0)),INDEX($E$329:$E$381,MATCH(Paramètres!N34,Paramètres!$G$5:$G$57,0)))+IF(RIGHT(TRIM(Paramètres!O34),3)="Fin",1-$H358,IF(LEFT(TRIM(Paramètres!O34),1)="F",1,0)))))))</f>
        <v/>
      </c>
      <c r="F358" s="19">
        <f>IF($A358="","",E358+$H358-1)</f>
        <v/>
      </c>
      <c r="G358" s="18" t="n"/>
      <c r="H358" s="18">
        <f>IF($A358="","",IF(I358&lt;&gt;"",I358,Paramètres!B34))</f>
        <v/>
      </c>
      <c r="I358" s="18" t="n"/>
    </row>
    <row r="359">
      <c r="A359" s="18">
        <f>IF(ISNUMBER(Dossiers!$D$10),Dossiers!$A$10&amp;" · "&amp;Dossiers!$B$10,"")</f>
        <v/>
      </c>
      <c r="B359" s="18">
        <f>IF($A359="","",Paramètres!G35)</f>
        <v/>
      </c>
      <c r="C359" s="18">
        <f>IF($A359="","",IF(Paramètres!H35="","",Paramètres!H35))</f>
        <v/>
      </c>
      <c r="D359" s="18">
        <f>IF($A359="","",IF(Paramètres!I35="","",Paramètres!I35))</f>
        <v/>
      </c>
      <c r="E359" s="19">
        <f>IF($A359="","",IF(Paramètres!J35&amp;Paramètres!L35&amp;Paramètres!N35="",Dossiers!$D$10,MAX(IF(Paramètres!J35="",0,IF(Paramètres!K35="",NA(),IF(LEFT(TRIM(Paramètres!K35),1)="F",INDEX($F$329:$F$381,MATCH(Paramètres!J35,Paramètres!$G$5:$G$57,0)),INDEX($E$329:$E$381,MATCH(Paramètres!J35,Paramètres!$G$5:$G$57,0)))+IF(RIGHT(TRIM(Paramètres!K35),3)="Fin",1-$H359,IF(LEFT(TRIM(Paramètres!K35),1)="F",1,0)))),IF(Paramètres!L35="",0,IF(Paramètres!M35="",NA(),IF(LEFT(TRIM(Paramètres!M35),1)="F",INDEX($F$329:$F$381,MATCH(Paramètres!L35,Paramètres!$G$5:$G$57,0)),INDEX($E$329:$E$381,MATCH(Paramètres!L35,Paramètres!$G$5:$G$57,0)))+IF(RIGHT(TRIM(Paramètres!M35),3)="Fin",1-$H359,IF(LEFT(TRIM(Paramètres!M35),1)="F",1,0)))),IF(Paramètres!N35="",0,IF(Paramètres!O35="",NA(),IF(LEFT(TRIM(Paramètres!O35),1)="F",INDEX($F$329:$F$381,MATCH(Paramètres!N35,Paramètres!$G$5:$G$57,0)),INDEX($E$329:$E$381,MATCH(Paramètres!N35,Paramètres!$G$5:$G$57,0)))+IF(RIGHT(TRIM(Paramètres!O35),3)="Fin",1-$H359,IF(LEFT(TRIM(Paramètres!O35),1)="F",1,0)))))))</f>
        <v/>
      </c>
      <c r="F359" s="19">
        <f>IF($A359="","",E359+$H359-1)</f>
        <v/>
      </c>
      <c r="G359" s="18" t="n"/>
      <c r="H359" s="18">
        <f>IF($A359="","",IF(I359&lt;&gt;"",I359,Paramètres!B35))</f>
        <v/>
      </c>
      <c r="I359" s="18" t="n"/>
    </row>
    <row r="360">
      <c r="A360" s="18">
        <f>IF(ISNUMBER(Dossiers!$D$10),Dossiers!$A$10&amp;" · "&amp;Dossiers!$B$10,"")</f>
        <v/>
      </c>
      <c r="B360" s="18">
        <f>IF($A360="","",Paramètres!G36)</f>
        <v/>
      </c>
      <c r="C360" s="18">
        <f>IF($A360="","",IF(Paramètres!H36="","",Paramètres!H36))</f>
        <v/>
      </c>
      <c r="D360" s="18">
        <f>IF($A360="","",IF(Paramètres!I36="","",Paramètres!I36))</f>
        <v/>
      </c>
      <c r="E360" s="19">
        <f>IF($A360="","",IF(Paramètres!J36&amp;Paramètres!L36&amp;Paramètres!N36="",Dossiers!$D$10,MAX(IF(Paramètres!J36="",0,IF(Paramètres!K36="",NA(),IF(LEFT(TRIM(Paramètres!K36),1)="F",INDEX($F$329:$F$381,MATCH(Paramètres!J36,Paramètres!$G$5:$G$57,0)),INDEX($E$329:$E$381,MATCH(Paramètres!J36,Paramètres!$G$5:$G$57,0)))+IF(RIGHT(TRIM(Paramètres!K36),3)="Fin",1-$H360,IF(LEFT(TRIM(Paramètres!K36),1)="F",1,0)))),IF(Paramètres!L36="",0,IF(Paramètres!M36="",NA(),IF(LEFT(TRIM(Paramètres!M36),1)="F",INDEX($F$329:$F$381,MATCH(Paramètres!L36,Paramètres!$G$5:$G$57,0)),INDEX($E$329:$E$381,MATCH(Paramètres!L36,Paramètres!$G$5:$G$57,0)))+IF(RIGHT(TRIM(Paramètres!M36),3)="Fin",1-$H360,IF(LEFT(TRIM(Paramètres!M36),1)="F",1,0)))),IF(Paramètres!N36="",0,IF(Paramètres!O36="",NA(),IF(LEFT(TRIM(Paramètres!O36),1)="F",INDEX($F$329:$F$381,MATCH(Paramètres!N36,Paramètres!$G$5:$G$57,0)),INDEX($E$329:$E$381,MATCH(Paramètres!N36,Paramètres!$G$5:$G$57,0)))+IF(RIGHT(TRIM(Paramètres!O36),3)="Fin",1-$H360,IF(LEFT(TRIM(Paramètres!O36),1)="F",1,0)))))))</f>
        <v/>
      </c>
      <c r="F360" s="19">
        <f>IF($A360="","",E360+$H360-1)</f>
        <v/>
      </c>
      <c r="G360" s="18" t="n"/>
      <c r="H360" s="18">
        <f>IF($A360="","",IF(I360&lt;&gt;"",I360,Paramètres!B36))</f>
        <v/>
      </c>
      <c r="I360" s="18" t="n"/>
    </row>
    <row r="361">
      <c r="A361" s="18">
        <f>IF(ISNUMBER(Dossiers!$D$10),Dossiers!$A$10&amp;" · "&amp;Dossiers!$B$10,"")</f>
        <v/>
      </c>
      <c r="B361" s="18">
        <f>IF($A361="","",Paramètres!G37)</f>
        <v/>
      </c>
      <c r="C361" s="18">
        <f>IF($A361="","",IF(Paramètres!H37="","",Paramètres!H37))</f>
        <v/>
      </c>
      <c r="D361" s="18">
        <f>IF($A361="","",IF(Paramètres!I37="","",Paramètres!I37))</f>
        <v/>
      </c>
      <c r="E361" s="19">
        <f>IF($A361="","",MIN(E362:E379))</f>
        <v/>
      </c>
      <c r="F361" s="19">
        <f>IF($A361="","",MAX(F362:F379))</f>
        <v/>
      </c>
      <c r="G361" s="18" t="n"/>
      <c r="H361" s="18">
        <f>IF($A361="","",F361-E361+1)</f>
        <v/>
      </c>
      <c r="I361" s="18" t="n"/>
    </row>
    <row r="362">
      <c r="A362" s="18">
        <f>IF(ISNUMBER(Dossiers!$D$10),Dossiers!$A$10&amp;" · "&amp;Dossiers!$B$10,"")</f>
        <v/>
      </c>
      <c r="B362" s="18">
        <f>IF($A362="","",Paramètres!G38)</f>
        <v/>
      </c>
      <c r="C362" s="18">
        <f>IF($A362="","",IF(Paramètres!H38="","",Paramètres!H38))</f>
        <v/>
      </c>
      <c r="D362" s="18">
        <f>IF($A362="","",IF(Paramètres!I38="","",Paramètres!I38))</f>
        <v/>
      </c>
      <c r="E362" s="19">
        <f>IF($A362="","",IF(Paramètres!J38&amp;Paramètres!L38&amp;Paramètres!N38="",Dossiers!$D$10,MAX(IF(Paramètres!J38="",0,IF(Paramètres!K38="",NA(),IF(LEFT(TRIM(Paramètres!K38),1)="F",INDEX($F$329:$F$381,MATCH(Paramètres!J38,Paramètres!$G$5:$G$57,0)),INDEX($E$329:$E$381,MATCH(Paramètres!J38,Paramètres!$G$5:$G$57,0)))+IF(RIGHT(TRIM(Paramètres!K38),3)="Fin",1-$H362,IF(LEFT(TRIM(Paramètres!K38),1)="F",1,0)))),IF(Paramètres!L38="",0,IF(Paramètres!M38="",NA(),IF(LEFT(TRIM(Paramètres!M38),1)="F",INDEX($F$329:$F$381,MATCH(Paramètres!L38,Paramètres!$G$5:$G$57,0)),INDEX($E$329:$E$381,MATCH(Paramètres!L38,Paramètres!$G$5:$G$57,0)))+IF(RIGHT(TRIM(Paramètres!M38),3)="Fin",1-$H362,IF(LEFT(TRIM(Paramètres!M38),1)="F",1,0)))),IF(Paramètres!N38="",0,IF(Paramètres!O38="",NA(),IF(LEFT(TRIM(Paramètres!O38),1)="F",INDEX($F$329:$F$381,MATCH(Paramètres!N38,Paramètres!$G$5:$G$57,0)),INDEX($E$329:$E$381,MATCH(Paramètres!N38,Paramètres!$G$5:$G$57,0)))+IF(RIGHT(TRIM(Paramètres!O38),3)="Fin",1-$H362,IF(LEFT(TRIM(Paramètres!O38),1)="F",1,0)))))))</f>
        <v/>
      </c>
      <c r="F362" s="19">
        <f>IF($A362="","",E362+$H362-1)</f>
        <v/>
      </c>
      <c r="G362" s="18" t="n"/>
      <c r="H362" s="18">
        <f>IF($A362="","",IF(I362&lt;&gt;"",I362,Paramètres!B38))</f>
        <v/>
      </c>
      <c r="I362" s="18" t="n"/>
    </row>
    <row r="363">
      <c r="A363" s="18">
        <f>IF(ISNUMBER(Dossiers!$D$10),Dossiers!$A$10&amp;" · "&amp;Dossiers!$B$10,"")</f>
        <v/>
      </c>
      <c r="B363" s="18">
        <f>IF($A363="","",Paramètres!G39)</f>
        <v/>
      </c>
      <c r="C363" s="18">
        <f>IF($A363="","",IF(Paramètres!H39="","",Paramètres!H39))</f>
        <v/>
      </c>
      <c r="D363" s="18">
        <f>IF($A363="","",IF(Paramètres!I39="","",Paramètres!I39))</f>
        <v/>
      </c>
      <c r="E363" s="19">
        <f>IF($A363="","",IF(Paramètres!J39&amp;Paramètres!L39&amp;Paramètres!N39="",Dossiers!$D$10,MAX(IF(Paramètres!J39="",0,IF(Paramètres!K39="",NA(),IF(LEFT(TRIM(Paramètres!K39),1)="F",INDEX($F$329:$F$381,MATCH(Paramètres!J39,Paramètres!$G$5:$G$57,0)),INDEX($E$329:$E$381,MATCH(Paramètres!J39,Paramètres!$G$5:$G$57,0)))+IF(RIGHT(TRIM(Paramètres!K39),3)="Fin",1-$H363,IF(LEFT(TRIM(Paramètres!K39),1)="F",1,0)))),IF(Paramètres!L39="",0,IF(Paramètres!M39="",NA(),IF(LEFT(TRIM(Paramètres!M39),1)="F",INDEX($F$329:$F$381,MATCH(Paramètres!L39,Paramètres!$G$5:$G$57,0)),INDEX($E$329:$E$381,MATCH(Paramètres!L39,Paramètres!$G$5:$G$57,0)))+IF(RIGHT(TRIM(Paramètres!M39),3)="Fin",1-$H363,IF(LEFT(TRIM(Paramètres!M39),1)="F",1,0)))),IF(Paramètres!N39="",0,IF(Paramètres!O39="",NA(),IF(LEFT(TRIM(Paramètres!O39),1)="F",INDEX($F$329:$F$381,MATCH(Paramètres!N39,Paramètres!$G$5:$G$57,0)),INDEX($E$329:$E$381,MATCH(Paramètres!N39,Paramètres!$G$5:$G$57,0)))+IF(RIGHT(TRIM(Paramètres!O39),3)="Fin",1-$H363,IF(LEFT(TRIM(Paramètres!O39),1)="F",1,0)))))))</f>
        <v/>
      </c>
      <c r="F363" s="19">
        <f>IF($A363="","",E363+$H363-1)</f>
        <v/>
      </c>
      <c r="G363" s="18" t="n"/>
      <c r="H363" s="18">
        <f>IF($A363="","",IF(I363&lt;&gt;"",I363,Paramètres!B39))</f>
        <v/>
      </c>
      <c r="I363" s="18" t="n"/>
    </row>
    <row r="364">
      <c r="A364" s="18">
        <f>IF(ISNUMBER(Dossiers!$D$10),Dossiers!$A$10&amp;" · "&amp;Dossiers!$B$10,"")</f>
        <v/>
      </c>
      <c r="B364" s="18">
        <f>IF($A364="","",Paramètres!G40)</f>
        <v/>
      </c>
      <c r="C364" s="18">
        <f>IF($A364="","",IF(Paramètres!H40="","",Paramètres!H40))</f>
        <v/>
      </c>
      <c r="D364" s="18">
        <f>IF($A364="","",IF(Paramètres!I40="","",Paramètres!I40))</f>
        <v/>
      </c>
      <c r="E364" s="19">
        <f>IF($A364="","",IF(Paramètres!J40&amp;Paramètres!L40&amp;Paramètres!N40="",Dossiers!$D$10,MAX(IF(Paramètres!J40="",0,IF(Paramètres!K40="",NA(),IF(LEFT(TRIM(Paramètres!K40),1)="F",INDEX($F$329:$F$381,MATCH(Paramètres!J40,Paramètres!$G$5:$G$57,0)),INDEX($E$329:$E$381,MATCH(Paramètres!J40,Paramètres!$G$5:$G$57,0)))+IF(RIGHT(TRIM(Paramètres!K40),3)="Fin",1-$H364,IF(LEFT(TRIM(Paramètres!K40),1)="F",1,0)))),IF(Paramètres!L40="",0,IF(Paramètres!M40="",NA(),IF(LEFT(TRIM(Paramètres!M40),1)="F",INDEX($F$329:$F$381,MATCH(Paramètres!L40,Paramètres!$G$5:$G$57,0)),INDEX($E$329:$E$381,MATCH(Paramètres!L40,Paramètres!$G$5:$G$57,0)))+IF(RIGHT(TRIM(Paramètres!M40),3)="Fin",1-$H364,IF(LEFT(TRIM(Paramètres!M40),1)="F",1,0)))),IF(Paramètres!N40="",0,IF(Paramètres!O40="",NA(),IF(LEFT(TRIM(Paramètres!O40),1)="F",INDEX($F$329:$F$381,MATCH(Paramètres!N40,Paramètres!$G$5:$G$57,0)),INDEX($E$329:$E$381,MATCH(Paramètres!N40,Paramètres!$G$5:$G$57,0)))+IF(RIGHT(TRIM(Paramètres!O40),3)="Fin",1-$H364,IF(LEFT(TRIM(Paramètres!O40),1)="F",1,0)))))))</f>
        <v/>
      </c>
      <c r="F364" s="19">
        <f>IF($A364="","",E364+$H364-1)</f>
        <v/>
      </c>
      <c r="G364" s="18" t="n"/>
      <c r="H364" s="18">
        <f>IF($A364="","",IF(I364&lt;&gt;"",I364,Paramètres!B40))</f>
        <v/>
      </c>
      <c r="I364" s="18" t="n"/>
    </row>
    <row r="365">
      <c r="A365" s="18">
        <f>IF(ISNUMBER(Dossiers!$D$10),Dossiers!$A$10&amp;" · "&amp;Dossiers!$B$10,"")</f>
        <v/>
      </c>
      <c r="B365" s="18">
        <f>IF($A365="","",Paramètres!G41)</f>
        <v/>
      </c>
      <c r="C365" s="18">
        <f>IF($A365="","",IF(Paramètres!H41="","",Paramètres!H41))</f>
        <v/>
      </c>
      <c r="D365" s="18">
        <f>IF($A365="","",IF(Paramètres!I41="","",Paramètres!I41))</f>
        <v/>
      </c>
      <c r="E365" s="19">
        <f>IF($A365="","",IF(Paramètres!J41&amp;Paramètres!L41&amp;Paramètres!N41="",Dossiers!$D$10,MAX(IF(Paramètres!J41="",0,IF(Paramètres!K41="",NA(),IF(LEFT(TRIM(Paramètres!K41),1)="F",INDEX($F$329:$F$381,MATCH(Paramètres!J41,Paramètres!$G$5:$G$57,0)),INDEX($E$329:$E$381,MATCH(Paramètres!J41,Paramètres!$G$5:$G$57,0)))+IF(RIGHT(TRIM(Paramètres!K41),3)="Fin",1-$H365,IF(LEFT(TRIM(Paramètres!K41),1)="F",1,0)))),IF(Paramètres!L41="",0,IF(Paramètres!M41="",NA(),IF(LEFT(TRIM(Paramètres!M41),1)="F",INDEX($F$329:$F$381,MATCH(Paramètres!L41,Paramètres!$G$5:$G$57,0)),INDEX($E$329:$E$381,MATCH(Paramètres!L41,Paramètres!$G$5:$G$57,0)))+IF(RIGHT(TRIM(Paramètres!M41),3)="Fin",1-$H365,IF(LEFT(TRIM(Paramètres!M41),1)="F",1,0)))),IF(Paramètres!N41="",0,IF(Paramètres!O41="",NA(),IF(LEFT(TRIM(Paramètres!O41),1)="F",INDEX($F$329:$F$381,MATCH(Paramètres!N41,Paramètres!$G$5:$G$57,0)),INDEX($E$329:$E$381,MATCH(Paramètres!N41,Paramètres!$G$5:$G$57,0)))+IF(RIGHT(TRIM(Paramètres!O41),3)="Fin",1-$H365,IF(LEFT(TRIM(Paramètres!O41),1)="F",1,0)))))))</f>
        <v/>
      </c>
      <c r="F365" s="19">
        <f>IF($A365="","",E365+$H365-1)</f>
        <v/>
      </c>
      <c r="G365" s="18" t="n"/>
      <c r="H365" s="18">
        <f>IF($A365="","",IF(I365&lt;&gt;"",I365,Paramètres!B41))</f>
        <v/>
      </c>
      <c r="I365" s="18" t="n"/>
    </row>
    <row r="366">
      <c r="A366" s="18">
        <f>IF(ISNUMBER(Dossiers!$D$10),Dossiers!$A$10&amp;" · "&amp;Dossiers!$B$10,"")</f>
        <v/>
      </c>
      <c r="B366" s="18">
        <f>IF($A366="","",Paramètres!G42)</f>
        <v/>
      </c>
      <c r="C366" s="18">
        <f>IF($A366="","",IF(Paramètres!H42="","",Paramètres!H42))</f>
        <v/>
      </c>
      <c r="D366" s="18">
        <f>IF($A366="","",IF(Paramètres!I42="","",Paramètres!I42))</f>
        <v/>
      </c>
      <c r="E366" s="19">
        <f>IF($A366="","",IF(Paramètres!J42&amp;Paramètres!L42&amp;Paramètres!N42="",Dossiers!$D$10,MAX(IF(Paramètres!J42="",0,IF(Paramètres!K42="",NA(),IF(LEFT(TRIM(Paramètres!K42),1)="F",INDEX($F$329:$F$381,MATCH(Paramètres!J42,Paramètres!$G$5:$G$57,0)),INDEX($E$329:$E$381,MATCH(Paramètres!J42,Paramètres!$G$5:$G$57,0)))+IF(RIGHT(TRIM(Paramètres!K42),3)="Fin",1-$H366,IF(LEFT(TRIM(Paramètres!K42),1)="F",1,0)))),IF(Paramètres!L42="",0,IF(Paramètres!M42="",NA(),IF(LEFT(TRIM(Paramètres!M42),1)="F",INDEX($F$329:$F$381,MATCH(Paramètres!L42,Paramètres!$G$5:$G$57,0)),INDEX($E$329:$E$381,MATCH(Paramètres!L42,Paramètres!$G$5:$G$57,0)))+IF(RIGHT(TRIM(Paramètres!M42),3)="Fin",1-$H366,IF(LEFT(TRIM(Paramètres!M42),1)="F",1,0)))),IF(Paramètres!N42="",0,IF(Paramètres!O42="",NA(),IF(LEFT(TRIM(Paramètres!O42),1)="F",INDEX($F$329:$F$381,MATCH(Paramètres!N42,Paramètres!$G$5:$G$57,0)),INDEX($E$329:$E$381,MATCH(Paramètres!N42,Paramètres!$G$5:$G$57,0)))+IF(RIGHT(TRIM(Paramètres!O42),3)="Fin",1-$H366,IF(LEFT(TRIM(Paramètres!O42),1)="F",1,0)))))))</f>
        <v/>
      </c>
      <c r="F366" s="19">
        <f>IF($A366="","",E366+$H366-1)</f>
        <v/>
      </c>
      <c r="G366" s="18" t="n"/>
      <c r="H366" s="18">
        <f>IF($A366="","",IF(I366&lt;&gt;"",I366,Paramètres!B42))</f>
        <v/>
      </c>
      <c r="I366" s="18" t="n"/>
    </row>
    <row r="367">
      <c r="A367" s="18">
        <f>IF(ISNUMBER(Dossiers!$D$10),Dossiers!$A$10&amp;" · "&amp;Dossiers!$B$10,"")</f>
        <v/>
      </c>
      <c r="B367" s="18">
        <f>IF($A367="","",Paramètres!G43)</f>
        <v/>
      </c>
      <c r="C367" s="18">
        <f>IF($A367="","",IF(Paramètres!H43="","",Paramètres!H43))</f>
        <v/>
      </c>
      <c r="D367" s="18">
        <f>IF($A367="","",IF(Paramètres!I43="","",Paramètres!I43))</f>
        <v/>
      </c>
      <c r="E367" s="19">
        <f>IF($A367="","",IF(Paramètres!J43&amp;Paramètres!L43&amp;Paramètres!N43="",Dossiers!$D$10,MAX(IF(Paramètres!J43="",0,IF(Paramètres!K43="",NA(),IF(LEFT(TRIM(Paramètres!K43),1)="F",INDEX($F$329:$F$381,MATCH(Paramètres!J43,Paramètres!$G$5:$G$57,0)),INDEX($E$329:$E$381,MATCH(Paramètres!J43,Paramètres!$G$5:$G$57,0)))+IF(RIGHT(TRIM(Paramètres!K43),3)="Fin",1-$H367,IF(LEFT(TRIM(Paramètres!K43),1)="F",1,0)))),IF(Paramètres!L43="",0,IF(Paramètres!M43="",NA(),IF(LEFT(TRIM(Paramètres!M43),1)="F",INDEX($F$329:$F$381,MATCH(Paramètres!L43,Paramètres!$G$5:$G$57,0)),INDEX($E$329:$E$381,MATCH(Paramètres!L43,Paramètres!$G$5:$G$57,0)))+IF(RIGHT(TRIM(Paramètres!M43),3)="Fin",1-$H367,IF(LEFT(TRIM(Paramètres!M43),1)="F",1,0)))),IF(Paramètres!N43="",0,IF(Paramètres!O43="",NA(),IF(LEFT(TRIM(Paramètres!O43),1)="F",INDEX($F$329:$F$381,MATCH(Paramètres!N43,Paramètres!$G$5:$G$57,0)),INDEX($E$329:$E$381,MATCH(Paramètres!N43,Paramètres!$G$5:$G$57,0)))+IF(RIGHT(TRIM(Paramètres!O43),3)="Fin",1-$H367,IF(LEFT(TRIM(Paramètres!O43),1)="F",1,0)))))))</f>
        <v/>
      </c>
      <c r="F367" s="19">
        <f>IF($A367="","",E367+$H367-1)</f>
        <v/>
      </c>
      <c r="G367" s="18" t="n"/>
      <c r="H367" s="18">
        <f>IF($A367="","",IF(I367&lt;&gt;"",I367,Paramètres!B43))</f>
        <v/>
      </c>
      <c r="I367" s="18" t="n"/>
    </row>
    <row r="368">
      <c r="A368" s="18">
        <f>IF(ISNUMBER(Dossiers!$D$10),Dossiers!$A$10&amp;" · "&amp;Dossiers!$B$10,"")</f>
        <v/>
      </c>
      <c r="B368" s="18">
        <f>IF($A368="","",Paramètres!G44)</f>
        <v/>
      </c>
      <c r="C368" s="18">
        <f>IF($A368="","",IF(Paramètres!H44="","",Paramètres!H44))</f>
        <v/>
      </c>
      <c r="D368" s="18">
        <f>IF($A368="","",IF(Paramètres!I44="","",Paramètres!I44))</f>
        <v/>
      </c>
      <c r="E368" s="19">
        <f>IF($A368="","",IF(Paramètres!J44&amp;Paramètres!L44&amp;Paramètres!N44="",Dossiers!$D$10,MAX(IF(Paramètres!J44="",0,IF(Paramètres!K44="",NA(),IF(LEFT(TRIM(Paramètres!K44),1)="F",INDEX($F$329:$F$381,MATCH(Paramètres!J44,Paramètres!$G$5:$G$57,0)),INDEX($E$329:$E$381,MATCH(Paramètres!J44,Paramètres!$G$5:$G$57,0)))+IF(RIGHT(TRIM(Paramètres!K44),3)="Fin",1-$H368,IF(LEFT(TRIM(Paramètres!K44),1)="F",1,0)))),IF(Paramètres!L44="",0,IF(Paramètres!M44="",NA(),IF(LEFT(TRIM(Paramètres!M44),1)="F",INDEX($F$329:$F$381,MATCH(Paramètres!L44,Paramètres!$G$5:$G$57,0)),INDEX($E$329:$E$381,MATCH(Paramètres!L44,Paramètres!$G$5:$G$57,0)))+IF(RIGHT(TRIM(Paramètres!M44),3)="Fin",1-$H368,IF(LEFT(TRIM(Paramètres!M44),1)="F",1,0)))),IF(Paramètres!N44="",0,IF(Paramètres!O44="",NA(),IF(LEFT(TRIM(Paramètres!O44),1)="F",INDEX($F$329:$F$381,MATCH(Paramètres!N44,Paramètres!$G$5:$G$57,0)),INDEX($E$329:$E$381,MATCH(Paramètres!N44,Paramètres!$G$5:$G$57,0)))+IF(RIGHT(TRIM(Paramètres!O44),3)="Fin",1-$H368,IF(LEFT(TRIM(Paramètres!O44),1)="F",1,0)))))))</f>
        <v/>
      </c>
      <c r="F368" s="19">
        <f>IF($A368="","",E368+$H368-1)</f>
        <v/>
      </c>
      <c r="G368" s="18" t="n"/>
      <c r="H368" s="18">
        <f>IF($A368="","",IF(I368&lt;&gt;"",I368,Paramètres!B44))</f>
        <v/>
      </c>
      <c r="I368" s="18" t="n"/>
    </row>
    <row r="369">
      <c r="A369" s="18">
        <f>IF(ISNUMBER(Dossiers!$D$10),Dossiers!$A$10&amp;" · "&amp;Dossiers!$B$10,"")</f>
        <v/>
      </c>
      <c r="B369" s="18">
        <f>IF($A369="","",Paramètres!G45)</f>
        <v/>
      </c>
      <c r="C369" s="20">
        <f>IF($A369="","",IF(Dossiers!$G$10="","",Dossiers!$G$10))</f>
        <v/>
      </c>
      <c r="D369" s="18">
        <f>IF($A369="","",IF(Paramètres!I45="","",Paramètres!I45))</f>
        <v/>
      </c>
      <c r="E369" s="19">
        <f>IF($A369="","",IF(Paramètres!J45&amp;Paramètres!L45&amp;Paramètres!N45="",Dossiers!$D$10,MAX(IF(Paramètres!J45="",0,IF(Paramètres!K45="",NA(),IF(LEFT(TRIM(Paramètres!K45),1)="F",INDEX($F$329:$F$381,MATCH(Paramètres!J45,Paramètres!$G$5:$G$57,0)),INDEX($E$329:$E$381,MATCH(Paramètres!J45,Paramètres!$G$5:$G$57,0)))+IF(RIGHT(TRIM(Paramètres!K45),3)="Fin",1-$H369,IF(LEFT(TRIM(Paramètres!K45),1)="F",1,0)))),IF(Paramètres!L45="",0,IF(Paramètres!M45="",NA(),IF(LEFT(TRIM(Paramètres!M45),1)="F",INDEX($F$329:$F$381,MATCH(Paramètres!L45,Paramètres!$G$5:$G$57,0)),INDEX($E$329:$E$381,MATCH(Paramètres!L45,Paramètres!$G$5:$G$57,0)))+IF(RIGHT(TRIM(Paramètres!M45),3)="Fin",1-$H369,IF(LEFT(TRIM(Paramètres!M45),1)="F",1,0)))),IF(Paramètres!N45="",0,IF(Paramètres!O45="",NA(),IF(LEFT(TRIM(Paramètres!O45),1)="F",INDEX($F$329:$F$381,MATCH(Paramètres!N45,Paramètres!$G$5:$G$57,0)),INDEX($E$329:$E$381,MATCH(Paramètres!N45,Paramètres!$G$5:$G$57,0)))+IF(RIGHT(TRIM(Paramètres!O45),3)="Fin",1-$H369,IF(LEFT(TRIM(Paramètres!O45),1)="F",1,0)))))))</f>
        <v/>
      </c>
      <c r="F369" s="19">
        <f>IF($A369="","",E369+$H369-1)</f>
        <v/>
      </c>
      <c r="G369" s="18" t="n"/>
      <c r="H369" s="18">
        <f>IF($A369="","",IF(I369&lt;&gt;"",I369,Paramètres!B45))</f>
        <v/>
      </c>
      <c r="I369" s="18" t="n"/>
    </row>
    <row r="370">
      <c r="A370" s="18">
        <f>IF(ISNUMBER(Dossiers!$D$10),Dossiers!$A$10&amp;" · "&amp;Dossiers!$B$10,"")</f>
        <v/>
      </c>
      <c r="B370" s="18">
        <f>IF($A370="","",Paramètres!G46)</f>
        <v/>
      </c>
      <c r="C370" s="18">
        <f>IF($A370="","",IF(Paramètres!H46="","",Paramètres!H46))</f>
        <v/>
      </c>
      <c r="D370" s="18">
        <f>IF($A370="","",IF(Paramètres!I46="","",Paramètres!I46))</f>
        <v/>
      </c>
      <c r="E370" s="19">
        <f>IF($A370="","",IF(Paramètres!J46&amp;Paramètres!L46&amp;Paramètres!N46="",Dossiers!$D$10,MAX(IF(Paramètres!J46="",0,IF(Paramètres!K46="",NA(),IF(LEFT(TRIM(Paramètres!K46),1)="F",INDEX($F$329:$F$381,MATCH(Paramètres!J46,Paramètres!$G$5:$G$57,0)),INDEX($E$329:$E$381,MATCH(Paramètres!J46,Paramètres!$G$5:$G$57,0)))+IF(RIGHT(TRIM(Paramètres!K46),3)="Fin",1-$H370,IF(LEFT(TRIM(Paramètres!K46),1)="F",1,0)))),IF(Paramètres!L46="",0,IF(Paramètres!M46="",NA(),IF(LEFT(TRIM(Paramètres!M46),1)="F",INDEX($F$329:$F$381,MATCH(Paramètres!L46,Paramètres!$G$5:$G$57,0)),INDEX($E$329:$E$381,MATCH(Paramètres!L46,Paramètres!$G$5:$G$57,0)))+IF(RIGHT(TRIM(Paramètres!M46),3)="Fin",1-$H370,IF(LEFT(TRIM(Paramètres!M46),1)="F",1,0)))),IF(Paramètres!N46="",0,IF(Paramètres!O46="",NA(),IF(LEFT(TRIM(Paramètres!O46),1)="F",INDEX($F$329:$F$381,MATCH(Paramètres!N46,Paramètres!$G$5:$G$57,0)),INDEX($E$329:$E$381,MATCH(Paramètres!N46,Paramètres!$G$5:$G$57,0)))+IF(RIGHT(TRIM(Paramètres!O46),3)="Fin",1-$H370,IF(LEFT(TRIM(Paramètres!O46),1)="F",1,0)))))))</f>
        <v/>
      </c>
      <c r="F370" s="19">
        <f>IF($A370="","",E370+$H370-1)</f>
        <v/>
      </c>
      <c r="G370" s="18" t="n"/>
      <c r="H370" s="18">
        <f>IF($A370="","",IF(I370&lt;&gt;"",I370,Paramètres!B46))</f>
        <v/>
      </c>
      <c r="I370" s="18" t="n"/>
    </row>
    <row r="371">
      <c r="A371" s="18">
        <f>IF(ISNUMBER(Dossiers!$D$10),Dossiers!$A$10&amp;" · "&amp;Dossiers!$B$10,"")</f>
        <v/>
      </c>
      <c r="B371" s="18">
        <f>IF($A371="","",Paramètres!G47)</f>
        <v/>
      </c>
      <c r="C371" s="18">
        <f>IF($A371="","",IF(Paramètres!H47="","",Paramètres!H47))</f>
        <v/>
      </c>
      <c r="D371" s="18">
        <f>IF($A371="","",IF(Paramètres!I47="","",Paramètres!I47))</f>
        <v/>
      </c>
      <c r="E371" s="19">
        <f>IF($A371="","",IF(Paramètres!J47&amp;Paramètres!L47&amp;Paramètres!N47="",Dossiers!$D$10,MAX(IF(Paramètres!J47="",0,IF(Paramètres!K47="",NA(),IF(LEFT(TRIM(Paramètres!K47),1)="F",INDEX($F$329:$F$381,MATCH(Paramètres!J47,Paramètres!$G$5:$G$57,0)),INDEX($E$329:$E$381,MATCH(Paramètres!J47,Paramètres!$G$5:$G$57,0)))+IF(RIGHT(TRIM(Paramètres!K47),3)="Fin",1-$H371,IF(LEFT(TRIM(Paramètres!K47),1)="F",1,0)))),IF(Paramètres!L47="",0,IF(Paramètres!M47="",NA(),IF(LEFT(TRIM(Paramètres!M47),1)="F",INDEX($F$329:$F$381,MATCH(Paramètres!L47,Paramètres!$G$5:$G$57,0)),INDEX($E$329:$E$381,MATCH(Paramètres!L47,Paramètres!$G$5:$G$57,0)))+IF(RIGHT(TRIM(Paramètres!M47),3)="Fin",1-$H371,IF(LEFT(TRIM(Paramètres!M47),1)="F",1,0)))),IF(Paramètres!N47="",0,IF(Paramètres!O47="",NA(),IF(LEFT(TRIM(Paramètres!O47),1)="F",INDEX($F$329:$F$381,MATCH(Paramètres!N47,Paramètres!$G$5:$G$57,0)),INDEX($E$329:$E$381,MATCH(Paramètres!N47,Paramètres!$G$5:$G$57,0)))+IF(RIGHT(TRIM(Paramètres!O47),3)="Fin",1-$H371,IF(LEFT(TRIM(Paramètres!O47),1)="F",1,0)))))))</f>
        <v/>
      </c>
      <c r="F371" s="19">
        <f>IF($A371="","",E371+$H371-1)</f>
        <v/>
      </c>
      <c r="G371" s="18" t="n"/>
      <c r="H371" s="18">
        <f>IF($A371="","",IF(I371&lt;&gt;"",I371,Paramètres!B47))</f>
        <v/>
      </c>
      <c r="I371" s="18" t="n"/>
    </row>
    <row r="372">
      <c r="A372" s="18">
        <f>IF(ISNUMBER(Dossiers!$D$10),Dossiers!$A$10&amp;" · "&amp;Dossiers!$B$10,"")</f>
        <v/>
      </c>
      <c r="B372" s="18">
        <f>IF($A372="","",Paramètres!G48)</f>
        <v/>
      </c>
      <c r="C372" s="18">
        <f>IF($A372="","",IF(Paramètres!H48="","",Paramètres!H48))</f>
        <v/>
      </c>
      <c r="D372" s="18">
        <f>IF($A372="","",IF(Paramètres!I48="","",Paramètres!I48))</f>
        <v/>
      </c>
      <c r="E372" s="19">
        <f>IF($A372="","",IF(Paramètres!J48&amp;Paramètres!L48&amp;Paramètres!N48="",Dossiers!$D$10,MAX(IF(Paramètres!J48="",0,IF(Paramètres!K48="",NA(),IF(LEFT(TRIM(Paramètres!K48),1)="F",INDEX($F$329:$F$381,MATCH(Paramètres!J48,Paramètres!$G$5:$G$57,0)),INDEX($E$329:$E$381,MATCH(Paramètres!J48,Paramètres!$G$5:$G$57,0)))+IF(RIGHT(TRIM(Paramètres!K48),3)="Fin",1-$H372,IF(LEFT(TRIM(Paramètres!K48),1)="F",1,0)))),IF(Paramètres!L48="",0,IF(Paramètres!M48="",NA(),IF(LEFT(TRIM(Paramètres!M48),1)="F",INDEX($F$329:$F$381,MATCH(Paramètres!L48,Paramètres!$G$5:$G$57,0)),INDEX($E$329:$E$381,MATCH(Paramètres!L48,Paramètres!$G$5:$G$57,0)))+IF(RIGHT(TRIM(Paramètres!M48),3)="Fin",1-$H372,IF(LEFT(TRIM(Paramètres!M48),1)="F",1,0)))),IF(Paramètres!N48="",0,IF(Paramètres!O48="",NA(),IF(LEFT(TRIM(Paramètres!O48),1)="F",INDEX($F$329:$F$381,MATCH(Paramètres!N48,Paramètres!$G$5:$G$57,0)),INDEX($E$329:$E$381,MATCH(Paramètres!N48,Paramètres!$G$5:$G$57,0)))+IF(RIGHT(TRIM(Paramètres!O48),3)="Fin",1-$H372,IF(LEFT(TRIM(Paramètres!O48),1)="F",1,0)))))))</f>
        <v/>
      </c>
      <c r="F372" s="19">
        <f>IF($A372="","",E372+$H372-1)</f>
        <v/>
      </c>
      <c r="G372" s="18" t="n"/>
      <c r="H372" s="18">
        <f>IF($A372="","",IF(I372&lt;&gt;"",I372,Paramètres!B48))</f>
        <v/>
      </c>
      <c r="I372" s="18" t="n"/>
    </row>
    <row r="373">
      <c r="A373" s="18">
        <f>IF(ISNUMBER(Dossiers!$D$10),Dossiers!$A$10&amp;" · "&amp;Dossiers!$B$10,"")</f>
        <v/>
      </c>
      <c r="B373" s="18">
        <f>IF($A373="","",Paramètres!G49)</f>
        <v/>
      </c>
      <c r="C373" s="18">
        <f>IF($A373="","",IF(Paramètres!H49="","",Paramètres!H49))</f>
        <v/>
      </c>
      <c r="D373" s="18">
        <f>IF($A373="","",IF(Paramètres!I49="","",Paramètres!I49))</f>
        <v/>
      </c>
      <c r="E373" s="19">
        <f>IF($A373="","",IF(Paramètres!J49&amp;Paramètres!L49&amp;Paramètres!N49="",Dossiers!$D$10,MAX(IF(Paramètres!J49="",0,IF(Paramètres!K49="",NA(),IF(LEFT(TRIM(Paramètres!K49),1)="F",INDEX($F$329:$F$381,MATCH(Paramètres!J49,Paramètres!$G$5:$G$57,0)),INDEX($E$329:$E$381,MATCH(Paramètres!J49,Paramètres!$G$5:$G$57,0)))+IF(RIGHT(TRIM(Paramètres!K49),3)="Fin",1-$H373,IF(LEFT(TRIM(Paramètres!K49),1)="F",1,0)))),IF(Paramètres!L49="",0,IF(Paramètres!M49="",NA(),IF(LEFT(TRIM(Paramètres!M49),1)="F",INDEX($F$329:$F$381,MATCH(Paramètres!L49,Paramètres!$G$5:$G$57,0)),INDEX($E$329:$E$381,MATCH(Paramètres!L49,Paramètres!$G$5:$G$57,0)))+IF(RIGHT(TRIM(Paramètres!M49),3)="Fin",1-$H373,IF(LEFT(TRIM(Paramètres!M49),1)="F",1,0)))),IF(Paramètres!N49="",0,IF(Paramètres!O49="",NA(),IF(LEFT(TRIM(Paramètres!O49),1)="F",INDEX($F$329:$F$381,MATCH(Paramètres!N49,Paramètres!$G$5:$G$57,0)),INDEX($E$329:$E$381,MATCH(Paramètres!N49,Paramètres!$G$5:$G$57,0)))+IF(RIGHT(TRIM(Paramètres!O49),3)="Fin",1-$H373,IF(LEFT(TRIM(Paramètres!O49),1)="F",1,0)))))))</f>
        <v/>
      </c>
      <c r="F373" s="19">
        <f>IF($A373="","",E373+$H373-1)</f>
        <v/>
      </c>
      <c r="G373" s="18" t="n"/>
      <c r="H373" s="18">
        <f>IF($A373="","",IF(I373&lt;&gt;"",I373,Paramètres!B49))</f>
        <v/>
      </c>
      <c r="I373" s="18" t="n"/>
    </row>
    <row r="374">
      <c r="A374" s="18">
        <f>IF(ISNUMBER(Dossiers!$D$10),Dossiers!$A$10&amp;" · "&amp;Dossiers!$B$10,"")</f>
        <v/>
      </c>
      <c r="B374" s="18">
        <f>IF($A374="","",Paramètres!G50)</f>
        <v/>
      </c>
      <c r="C374" s="18">
        <f>IF($A374="","",IF(Paramètres!H50="","",Paramètres!H50))</f>
        <v/>
      </c>
      <c r="D374" s="18">
        <f>IF($A374="","",IF(Paramètres!I50="","",Paramètres!I50))</f>
        <v/>
      </c>
      <c r="E374" s="19">
        <f>IF($A374="","",IF(Paramètres!J50&amp;Paramètres!L50&amp;Paramètres!N50="",Dossiers!$D$10,MAX(IF(Paramètres!J50="",0,IF(Paramètres!K50="",NA(),IF(LEFT(TRIM(Paramètres!K50),1)="F",INDEX($F$329:$F$381,MATCH(Paramètres!J50,Paramètres!$G$5:$G$57,0)),INDEX($E$329:$E$381,MATCH(Paramètres!J50,Paramètres!$G$5:$G$57,0)))+IF(RIGHT(TRIM(Paramètres!K50),3)="Fin",1-$H374,IF(LEFT(TRIM(Paramètres!K50),1)="F",1,0)))),IF(Paramètres!L50="",0,IF(Paramètres!M50="",NA(),IF(LEFT(TRIM(Paramètres!M50),1)="F",INDEX($F$329:$F$381,MATCH(Paramètres!L50,Paramètres!$G$5:$G$57,0)),INDEX($E$329:$E$381,MATCH(Paramètres!L50,Paramètres!$G$5:$G$57,0)))+IF(RIGHT(TRIM(Paramètres!M50),3)="Fin",1-$H374,IF(LEFT(TRIM(Paramètres!M50),1)="F",1,0)))),IF(Paramètres!N50="",0,IF(Paramètres!O50="",NA(),IF(LEFT(TRIM(Paramètres!O50),1)="F",INDEX($F$329:$F$381,MATCH(Paramètres!N50,Paramètres!$G$5:$G$57,0)),INDEX($E$329:$E$381,MATCH(Paramètres!N50,Paramètres!$G$5:$G$57,0)))+IF(RIGHT(TRIM(Paramètres!O50),3)="Fin",1-$H374,IF(LEFT(TRIM(Paramètres!O50),1)="F",1,0)))))))</f>
        <v/>
      </c>
      <c r="F374" s="19">
        <f>IF($A374="","",E374+$H374-1)</f>
        <v/>
      </c>
      <c r="G374" s="18" t="n"/>
      <c r="H374" s="18">
        <f>IF($A374="","",IF(I374&lt;&gt;"",I374,Paramètres!B50))</f>
        <v/>
      </c>
      <c r="I374" s="18" t="n"/>
    </row>
    <row r="375">
      <c r="A375" s="18">
        <f>IF(ISNUMBER(Dossiers!$D$10),Dossiers!$A$10&amp;" · "&amp;Dossiers!$B$10,"")</f>
        <v/>
      </c>
      <c r="B375" s="18">
        <f>IF($A375="","",Paramètres!G51)</f>
        <v/>
      </c>
      <c r="C375" s="18">
        <f>IF($A375="","",IF(Paramètres!H51="","",Paramètres!H51))</f>
        <v/>
      </c>
      <c r="D375" s="18">
        <f>IF($A375="","",IF(Paramètres!I51="","",Paramètres!I51))</f>
        <v/>
      </c>
      <c r="E375" s="19">
        <f>IF($A375="","",IF(Paramètres!J51&amp;Paramètres!L51&amp;Paramètres!N51="",Dossiers!$D$10,MAX(IF(Paramètres!J51="",0,IF(Paramètres!K51="",NA(),IF(LEFT(TRIM(Paramètres!K51),1)="F",INDEX($F$329:$F$381,MATCH(Paramètres!J51,Paramètres!$G$5:$G$57,0)),INDEX($E$329:$E$381,MATCH(Paramètres!J51,Paramètres!$G$5:$G$57,0)))+IF(RIGHT(TRIM(Paramètres!K51),3)="Fin",1-$H375,IF(LEFT(TRIM(Paramètres!K51),1)="F",1,0)))),IF(Paramètres!L51="",0,IF(Paramètres!M51="",NA(),IF(LEFT(TRIM(Paramètres!M51),1)="F",INDEX($F$329:$F$381,MATCH(Paramètres!L51,Paramètres!$G$5:$G$57,0)),INDEX($E$329:$E$381,MATCH(Paramètres!L51,Paramètres!$G$5:$G$57,0)))+IF(RIGHT(TRIM(Paramètres!M51),3)="Fin",1-$H375,IF(LEFT(TRIM(Paramètres!M51),1)="F",1,0)))),IF(Paramètres!N51="",0,IF(Paramètres!O51="",NA(),IF(LEFT(TRIM(Paramètres!O51),1)="F",INDEX($F$329:$F$381,MATCH(Paramètres!N51,Paramètres!$G$5:$G$57,0)),INDEX($E$329:$E$381,MATCH(Paramètres!N51,Paramètres!$G$5:$G$57,0)))+IF(RIGHT(TRIM(Paramètres!O51),3)="Fin",1-$H375,IF(LEFT(TRIM(Paramètres!O51),1)="F",1,0)))))))</f>
        <v/>
      </c>
      <c r="F375" s="19">
        <f>IF($A375="","",E375+$H375-1)</f>
        <v/>
      </c>
      <c r="G375" s="18" t="n"/>
      <c r="H375" s="18">
        <f>IF($A375="","",IF(I375&lt;&gt;"",I375,Paramètres!B51))</f>
        <v/>
      </c>
      <c r="I375" s="18" t="n"/>
    </row>
    <row r="376">
      <c r="A376" s="18">
        <f>IF(ISNUMBER(Dossiers!$D$10),Dossiers!$A$10&amp;" · "&amp;Dossiers!$B$10,"")</f>
        <v/>
      </c>
      <c r="B376" s="18">
        <f>IF($A376="","",Paramètres!G52)</f>
        <v/>
      </c>
      <c r="C376" s="18">
        <f>IF($A376="","",IF(Paramètres!H52="","",Paramètres!H52))</f>
        <v/>
      </c>
      <c r="D376" s="18">
        <f>IF($A376="","",IF(Paramètres!I52="","",Paramètres!I52))</f>
        <v/>
      </c>
      <c r="E376" s="19">
        <f>IF($A376="","",IF(Paramètres!J52&amp;Paramètres!L52&amp;Paramètres!N52="",Dossiers!$D$10,MAX(IF(Paramètres!J52="",0,IF(Paramètres!K52="",NA(),IF(LEFT(TRIM(Paramètres!K52),1)="F",INDEX($F$329:$F$381,MATCH(Paramètres!J52,Paramètres!$G$5:$G$57,0)),INDEX($E$329:$E$381,MATCH(Paramètres!J52,Paramètres!$G$5:$G$57,0)))+IF(RIGHT(TRIM(Paramètres!K52),3)="Fin",1-$H376,IF(LEFT(TRIM(Paramètres!K52),1)="F",1,0)))),IF(Paramètres!L52="",0,IF(Paramètres!M52="",NA(),IF(LEFT(TRIM(Paramètres!M52),1)="F",INDEX($F$329:$F$381,MATCH(Paramètres!L52,Paramètres!$G$5:$G$57,0)),INDEX($E$329:$E$381,MATCH(Paramètres!L52,Paramètres!$G$5:$G$57,0)))+IF(RIGHT(TRIM(Paramètres!M52),3)="Fin",1-$H376,IF(LEFT(TRIM(Paramètres!M52),1)="F",1,0)))),IF(Paramètres!N52="",0,IF(Paramètres!O52="",NA(),IF(LEFT(TRIM(Paramètres!O52),1)="F",INDEX($F$329:$F$381,MATCH(Paramètres!N52,Paramètres!$G$5:$G$57,0)),INDEX($E$329:$E$381,MATCH(Paramètres!N52,Paramètres!$G$5:$G$57,0)))+IF(RIGHT(TRIM(Paramètres!O52),3)="Fin",1-$H376,IF(LEFT(TRIM(Paramètres!O52),1)="F",1,0)))))))</f>
        <v/>
      </c>
      <c r="F376" s="19">
        <f>IF($A376="","",E376+$H376-1)</f>
        <v/>
      </c>
      <c r="G376" s="18" t="n"/>
      <c r="H376" s="18">
        <f>IF($A376="","",IF(I376&lt;&gt;"",I376,Paramètres!B52))</f>
        <v/>
      </c>
      <c r="I376" s="18" t="n"/>
    </row>
    <row r="377">
      <c r="A377" s="18">
        <f>IF(ISNUMBER(Dossiers!$D$10),Dossiers!$A$10&amp;" · "&amp;Dossiers!$B$10,"")</f>
        <v/>
      </c>
      <c r="B377" s="18">
        <f>IF($A377="","",Paramètres!G53)</f>
        <v/>
      </c>
      <c r="C377" s="18">
        <f>IF($A377="","",IF(Paramètres!H53="","",Paramètres!H53))</f>
        <v/>
      </c>
      <c r="D377" s="18">
        <f>IF($A377="","",IF(Paramètres!I53="","",Paramètres!I53))</f>
        <v/>
      </c>
      <c r="E377" s="19">
        <f>IF($A377="","",IF(Paramètres!J53&amp;Paramètres!L53&amp;Paramètres!N53="",Dossiers!$D$10,MAX(IF(Paramètres!J53="",0,IF(Paramètres!K53="",NA(),IF(LEFT(TRIM(Paramètres!K53),1)="F",INDEX($F$329:$F$381,MATCH(Paramètres!J53,Paramètres!$G$5:$G$57,0)),INDEX($E$329:$E$381,MATCH(Paramètres!J53,Paramètres!$G$5:$G$57,0)))+IF(RIGHT(TRIM(Paramètres!K53),3)="Fin",1-$H377,IF(LEFT(TRIM(Paramètres!K53),1)="F",1,0)))),IF(Paramètres!L53="",0,IF(Paramètres!M53="",NA(),IF(LEFT(TRIM(Paramètres!M53),1)="F",INDEX($F$329:$F$381,MATCH(Paramètres!L53,Paramètres!$G$5:$G$57,0)),INDEX($E$329:$E$381,MATCH(Paramètres!L53,Paramètres!$G$5:$G$57,0)))+IF(RIGHT(TRIM(Paramètres!M53),3)="Fin",1-$H377,IF(LEFT(TRIM(Paramètres!M53),1)="F",1,0)))),IF(Paramètres!N53="",0,IF(Paramètres!O53="",NA(),IF(LEFT(TRIM(Paramètres!O53),1)="F",INDEX($F$329:$F$381,MATCH(Paramètres!N53,Paramètres!$G$5:$G$57,0)),INDEX($E$329:$E$381,MATCH(Paramètres!N53,Paramètres!$G$5:$G$57,0)))+IF(RIGHT(TRIM(Paramètres!O53),3)="Fin",1-$H377,IF(LEFT(TRIM(Paramètres!O53),1)="F",1,0)))))))</f>
        <v/>
      </c>
      <c r="F377" s="19">
        <f>IF($A377="","",E377+$H377-1)</f>
        <v/>
      </c>
      <c r="G377" s="18" t="n"/>
      <c r="H377" s="18">
        <f>IF($A377="","",IF(I377&lt;&gt;"",I377,Paramètres!B53))</f>
        <v/>
      </c>
      <c r="I377" s="18" t="n"/>
    </row>
    <row r="378">
      <c r="A378" s="18">
        <f>IF(ISNUMBER(Dossiers!$D$10),Dossiers!$A$10&amp;" · "&amp;Dossiers!$B$10,"")</f>
        <v/>
      </c>
      <c r="B378" s="18">
        <f>IF($A378="","",Paramètres!G54)</f>
        <v/>
      </c>
      <c r="C378" s="18">
        <f>IF($A378="","",IF(Paramètres!H54="","",Paramètres!H54))</f>
        <v/>
      </c>
      <c r="D378" s="18">
        <f>IF($A378="","",IF(Paramètres!I54="","",Paramètres!I54))</f>
        <v/>
      </c>
      <c r="E378" s="19">
        <f>IF($A378="","",IF(Paramètres!J54&amp;Paramètres!L54&amp;Paramètres!N54="",Dossiers!$D$10,MAX(IF(Paramètres!J54="",0,IF(Paramètres!K54="",NA(),IF(LEFT(TRIM(Paramètres!K54),1)="F",INDEX($F$329:$F$381,MATCH(Paramètres!J54,Paramètres!$G$5:$G$57,0)),INDEX($E$329:$E$381,MATCH(Paramètres!J54,Paramètres!$G$5:$G$57,0)))+IF(RIGHT(TRIM(Paramètres!K54),3)="Fin",1-$H378,IF(LEFT(TRIM(Paramètres!K54),1)="F",1,0)))),IF(Paramètres!L54="",0,IF(Paramètres!M54="",NA(),IF(LEFT(TRIM(Paramètres!M54),1)="F",INDEX($F$329:$F$381,MATCH(Paramètres!L54,Paramètres!$G$5:$G$57,0)),INDEX($E$329:$E$381,MATCH(Paramètres!L54,Paramètres!$G$5:$G$57,0)))+IF(RIGHT(TRIM(Paramètres!M54),3)="Fin",1-$H378,IF(LEFT(TRIM(Paramètres!M54),1)="F",1,0)))),IF(Paramètres!N54="",0,IF(Paramètres!O54="",NA(),IF(LEFT(TRIM(Paramètres!O54),1)="F",INDEX($F$329:$F$381,MATCH(Paramètres!N54,Paramètres!$G$5:$G$57,0)),INDEX($E$329:$E$381,MATCH(Paramètres!N54,Paramètres!$G$5:$G$57,0)))+IF(RIGHT(TRIM(Paramètres!O54),3)="Fin",1-$H378,IF(LEFT(TRIM(Paramètres!O54),1)="F",1,0)))))))</f>
        <v/>
      </c>
      <c r="F378" s="19">
        <f>IF($A378="","",E378+$H378-1)</f>
        <v/>
      </c>
      <c r="G378" s="18" t="n"/>
      <c r="H378" s="18">
        <f>IF($A378="","",IF(I378&lt;&gt;"",I378,Paramètres!B54))</f>
        <v/>
      </c>
      <c r="I378" s="18" t="n"/>
    </row>
    <row r="379">
      <c r="A379" s="18">
        <f>IF(ISNUMBER(Dossiers!$D$10),Dossiers!$A$10&amp;" · "&amp;Dossiers!$B$10,"")</f>
        <v/>
      </c>
      <c r="B379" s="18">
        <f>IF($A379="","",Paramètres!G55)</f>
        <v/>
      </c>
      <c r="C379" s="18">
        <f>IF($A379="","",IF(Paramètres!H55="","",Paramètres!H55))</f>
        <v/>
      </c>
      <c r="D379" s="18">
        <f>IF($A379="","",IF(Paramètres!I55="","",Paramètres!I55))</f>
        <v/>
      </c>
      <c r="E379" s="19">
        <f>IF($A379="","",IF(Paramètres!J55&amp;Paramètres!L55&amp;Paramètres!N55="",Dossiers!$D$10,MAX(IF(Paramètres!J55="",0,IF(Paramètres!K55="",NA(),IF(LEFT(TRIM(Paramètres!K55),1)="F",INDEX($F$329:$F$381,MATCH(Paramètres!J55,Paramètres!$G$5:$G$57,0)),INDEX($E$329:$E$381,MATCH(Paramètres!J55,Paramètres!$G$5:$G$57,0)))+IF(RIGHT(TRIM(Paramètres!K55),3)="Fin",1-$H379,IF(LEFT(TRIM(Paramètres!K55),1)="F",1,0)))),IF(Paramètres!L55="",0,IF(Paramètres!M55="",NA(),IF(LEFT(TRIM(Paramètres!M55),1)="F",INDEX($F$329:$F$381,MATCH(Paramètres!L55,Paramètres!$G$5:$G$57,0)),INDEX($E$329:$E$381,MATCH(Paramètres!L55,Paramètres!$G$5:$G$57,0)))+IF(RIGHT(TRIM(Paramètres!M55),3)="Fin",1-$H379,IF(LEFT(TRIM(Paramètres!M55),1)="F",1,0)))),IF(Paramètres!N55="",0,IF(Paramètres!O55="",NA(),IF(LEFT(TRIM(Paramètres!O55),1)="F",INDEX($F$329:$F$381,MATCH(Paramètres!N55,Paramètres!$G$5:$G$57,0)),INDEX($E$329:$E$381,MATCH(Paramètres!N55,Paramètres!$G$5:$G$57,0)))+IF(RIGHT(TRIM(Paramètres!O55),3)="Fin",1-$H379,IF(LEFT(TRIM(Paramètres!O55),1)="F",1,0)))))))</f>
        <v/>
      </c>
      <c r="F379" s="19">
        <f>IF($A379="","",E379+$H379-1)</f>
        <v/>
      </c>
      <c r="G379" s="18" t="n"/>
      <c r="H379" s="18">
        <f>IF($A379="","",IF(I379&lt;&gt;"",I379,Paramètres!B55))</f>
        <v/>
      </c>
      <c r="I379" s="18" t="n"/>
    </row>
    <row r="380">
      <c r="A380" s="18">
        <f>IF(ISNUMBER(Dossiers!$D$10),Dossiers!$A$10&amp;" · "&amp;Dossiers!$B$10,"")</f>
        <v/>
      </c>
      <c r="B380" s="18">
        <f>IF($A380="","",Paramètres!G56)</f>
        <v/>
      </c>
      <c r="C380" s="18">
        <f>IF($A380="","",IF(Paramètres!H56="","",Paramètres!H56))</f>
        <v/>
      </c>
      <c r="D380" s="18">
        <f>IF($A380="","",IF(Paramètres!I56="","",Paramètres!I56))</f>
        <v/>
      </c>
      <c r="E380" s="19">
        <f>IF($A380="","",MIN(E381:E381))</f>
        <v/>
      </c>
      <c r="F380" s="19">
        <f>IF($A380="","",MAX(F381:F381))</f>
        <v/>
      </c>
      <c r="G380" s="18" t="n"/>
      <c r="H380" s="18">
        <f>IF($A380="","",F380-E380+1)</f>
        <v/>
      </c>
      <c r="I380" s="18" t="n"/>
    </row>
    <row r="381">
      <c r="A381" s="18">
        <f>IF(ISNUMBER(Dossiers!$D$10),Dossiers!$A$10&amp;" · "&amp;Dossiers!$B$10,"")</f>
        <v/>
      </c>
      <c r="B381" s="18">
        <f>IF($A381="","",Paramètres!G57)</f>
        <v/>
      </c>
      <c r="C381" s="18">
        <f>IF($A381="","",IF(Paramètres!H57="","",Paramètres!H57))</f>
        <v/>
      </c>
      <c r="D381" s="18">
        <f>IF($A381="","",IF(Paramètres!I57="","",Paramètres!I57))</f>
        <v/>
      </c>
      <c r="E381" s="19">
        <f>IF($A381="","",IF(Paramètres!J57&amp;Paramètres!L57&amp;Paramètres!N57="",Dossiers!$D$10,MAX(IF(Paramètres!J57="",0,IF(Paramètres!K57="",NA(),IF(LEFT(TRIM(Paramètres!K57),1)="F",INDEX($F$329:$F$381,MATCH(Paramètres!J57,Paramètres!$G$5:$G$57,0)),INDEX($E$329:$E$381,MATCH(Paramètres!J57,Paramètres!$G$5:$G$57,0)))+IF(RIGHT(TRIM(Paramètres!K57),3)="Fin",1-$H381,IF(LEFT(TRIM(Paramètres!K57),1)="F",1,0)))),IF(Paramètres!L57="",0,IF(Paramètres!M57="",NA(),IF(LEFT(TRIM(Paramètres!M57),1)="F",INDEX($F$329:$F$381,MATCH(Paramètres!L57,Paramètres!$G$5:$G$57,0)),INDEX($E$329:$E$381,MATCH(Paramètres!L57,Paramètres!$G$5:$G$57,0)))+IF(RIGHT(TRIM(Paramètres!M57),3)="Fin",1-$H381,IF(LEFT(TRIM(Paramètres!M57),1)="F",1,0)))),IF(Paramètres!N57="",0,IF(Paramètres!O57="",NA(),IF(LEFT(TRIM(Paramètres!O57),1)="F",INDEX($F$329:$F$381,MATCH(Paramètres!N57,Paramètres!$G$5:$G$57,0)),INDEX($E$329:$E$381,MATCH(Paramètres!N57,Paramètres!$G$5:$G$57,0)))+IF(RIGHT(TRIM(Paramètres!O57),3)="Fin",1-$H381,IF(LEFT(TRIM(Paramètres!O57),1)="F",1,0)))))))</f>
        <v/>
      </c>
      <c r="F381" s="19">
        <f>IF($A381="","",E381+$H381-1)</f>
        <v/>
      </c>
      <c r="G381" s="18" t="n"/>
      <c r="H381" s="18">
        <f>IF($A381="","",IF(I381&lt;&gt;"",I381,Paramètres!B57))</f>
        <v/>
      </c>
      <c r="I381" s="18" t="n"/>
    </row>
    <row r="382">
      <c r="A382" s="16">
        <f>IF(ISNUMBER(Dossiers!$D$11),Dossiers!$E$11,"")</f>
        <v/>
      </c>
      <c r="B382" s="16">
        <f>IF($A382="","","Identifiant")</f>
        <v/>
      </c>
      <c r="C382" s="16">
        <f>IF($A382="","","Macro Etape")</f>
        <v/>
      </c>
      <c r="D382" s="16">
        <f>IF($A382="","","Etape")</f>
        <v/>
      </c>
      <c r="E382" s="17">
        <f>IF($A382="","","Début le")</f>
        <v/>
      </c>
      <c r="F382" s="17">
        <f>IF($A382="","","Fin prévue le")</f>
        <v/>
      </c>
      <c r="G382" s="16">
        <f>IF($A382="","","Statut")</f>
        <v/>
      </c>
      <c r="H382" s="16">
        <f>IF($A382="","","Durée (jours)")</f>
        <v/>
      </c>
      <c r="I382" s="16">
        <f>IF($A382="","","Durée particulière")</f>
        <v/>
      </c>
      <c r="J382" s="10">
        <f>IF($A382="","",HYPERLINK("#'Tableau de bord'!A1","↑ Tableau de bord"))</f>
        <v/>
      </c>
    </row>
    <row r="383">
      <c r="A383" s="18">
        <f>IF(ISNUMBER(Dossiers!$D$11),Dossiers!$A$11&amp;" · "&amp;Dossiers!$B$11,"")</f>
        <v/>
      </c>
      <c r="B383" s="18">
        <f>IF($A383="","",Paramètres!G5)</f>
        <v/>
      </c>
      <c r="C383" s="18">
        <f>IF($A383="","",IF(Paramètres!H5="","",Paramètres!H5))</f>
        <v/>
      </c>
      <c r="D383" s="18">
        <f>IF($A383="","",IF(Paramètres!I5="","",Paramètres!I5))</f>
        <v/>
      </c>
      <c r="E383" s="19">
        <f>IF($A383="","",MIN(E384:E387))</f>
        <v/>
      </c>
      <c r="F383" s="19">
        <f>IF($A383="","",MAX(F384:F387))</f>
        <v/>
      </c>
      <c r="G383" s="18" t="n"/>
      <c r="H383" s="18">
        <f>IF($A383="","",F383-E383+1)</f>
        <v/>
      </c>
      <c r="I383" s="18" t="n"/>
    </row>
    <row r="384">
      <c r="A384" s="18">
        <f>IF(ISNUMBER(Dossiers!$D$11),Dossiers!$A$11&amp;" · "&amp;Dossiers!$B$11,"")</f>
        <v/>
      </c>
      <c r="B384" s="18">
        <f>IF($A384="","",Paramètres!G6)</f>
        <v/>
      </c>
      <c r="C384" s="18">
        <f>IF($A384="","",IF(Paramètres!H6="","",Paramètres!H6))</f>
        <v/>
      </c>
      <c r="D384" s="18">
        <f>IF($A384="","",IF(Paramètres!I6="","",Paramètres!I6))</f>
        <v/>
      </c>
      <c r="E384" s="19">
        <f>IF($A384="","",IF(Paramètres!J6&amp;Paramètres!L6&amp;Paramètres!N6="",Dossiers!$D$11,MAX(IF(Paramètres!J6="",0,IF(Paramètres!K6="",NA(),IF(LEFT(TRIM(Paramètres!K6),1)="F",INDEX($F$383:$F$435,MATCH(Paramètres!J6,Paramètres!$G$5:$G$57,0)),INDEX($E$383:$E$435,MATCH(Paramètres!J6,Paramètres!$G$5:$G$57,0)))+IF(RIGHT(TRIM(Paramètres!K6),3)="Fin",1-$H384,IF(LEFT(TRIM(Paramètres!K6),1)="F",1,0)))),IF(Paramètres!L6="",0,IF(Paramètres!M6="",NA(),IF(LEFT(TRIM(Paramètres!M6),1)="F",INDEX($F$383:$F$435,MATCH(Paramètres!L6,Paramètres!$G$5:$G$57,0)),INDEX($E$383:$E$435,MATCH(Paramètres!L6,Paramètres!$G$5:$G$57,0)))+IF(RIGHT(TRIM(Paramètres!M6),3)="Fin",1-$H384,IF(LEFT(TRIM(Paramètres!M6),1)="F",1,0)))),IF(Paramètres!N6="",0,IF(Paramètres!O6="",NA(),IF(LEFT(TRIM(Paramètres!O6),1)="F",INDEX($F$383:$F$435,MATCH(Paramètres!N6,Paramètres!$G$5:$G$57,0)),INDEX($E$383:$E$435,MATCH(Paramètres!N6,Paramètres!$G$5:$G$57,0)))+IF(RIGHT(TRIM(Paramètres!O6),3)="Fin",1-$H384,IF(LEFT(TRIM(Paramètres!O6),1)="F",1,0)))))))</f>
        <v/>
      </c>
      <c r="F384" s="19">
        <f>IF($A384="","",E384+$H384-1)</f>
        <v/>
      </c>
      <c r="G384" s="18" t="n"/>
      <c r="H384" s="18">
        <f>IF($A384="","",IF(I384&lt;&gt;"",I384,Paramètres!B6))</f>
        <v/>
      </c>
      <c r="I384" s="18" t="n"/>
    </row>
    <row r="385">
      <c r="A385" s="18">
        <f>IF(ISNUMBER(Dossiers!$D$11),Dossiers!$A$11&amp;" · "&amp;Dossiers!$B$11,"")</f>
        <v/>
      </c>
      <c r="B385" s="18">
        <f>IF($A385="","",Paramètres!G7)</f>
        <v/>
      </c>
      <c r="C385" s="18">
        <f>IF($A385="","",IF(Paramètres!H7="","",Paramètres!H7))</f>
        <v/>
      </c>
      <c r="D385" s="18">
        <f>IF($A385="","",IF(Paramètres!I7="","",Paramètres!I7))</f>
        <v/>
      </c>
      <c r="E385" s="19">
        <f>IF($A385="","",IF(Paramètres!J7&amp;Paramètres!L7&amp;Paramètres!N7="",Dossiers!$D$11,MAX(IF(Paramètres!J7="",0,IF(Paramètres!K7="",NA(),IF(LEFT(TRIM(Paramètres!K7),1)="F",INDEX($F$383:$F$435,MATCH(Paramètres!J7,Paramètres!$G$5:$G$57,0)),INDEX($E$383:$E$435,MATCH(Paramètres!J7,Paramètres!$G$5:$G$57,0)))+IF(RIGHT(TRIM(Paramètres!K7),3)="Fin",1-$H385,IF(LEFT(TRIM(Paramètres!K7),1)="F",1,0)))),IF(Paramètres!L7="",0,IF(Paramètres!M7="",NA(),IF(LEFT(TRIM(Paramètres!M7),1)="F",INDEX($F$383:$F$435,MATCH(Paramètres!L7,Paramètres!$G$5:$G$57,0)),INDEX($E$383:$E$435,MATCH(Paramètres!L7,Paramètres!$G$5:$G$57,0)))+IF(RIGHT(TRIM(Paramètres!M7),3)="Fin",1-$H385,IF(LEFT(TRIM(Paramètres!M7),1)="F",1,0)))),IF(Paramètres!N7="",0,IF(Paramètres!O7="",NA(),IF(LEFT(TRIM(Paramètres!O7),1)="F",INDEX($F$383:$F$435,MATCH(Paramètres!N7,Paramètres!$G$5:$G$57,0)),INDEX($E$383:$E$435,MATCH(Paramètres!N7,Paramètres!$G$5:$G$57,0)))+IF(RIGHT(TRIM(Paramètres!O7),3)="Fin",1-$H385,IF(LEFT(TRIM(Paramètres!O7),1)="F",1,0)))))))</f>
        <v/>
      </c>
      <c r="F385" s="19">
        <f>IF($A385="","",E385+$H385-1)</f>
        <v/>
      </c>
      <c r="G385" s="18" t="n"/>
      <c r="H385" s="18">
        <f>IF($A385="","",IF(I385&lt;&gt;"",I385,Paramètres!B7))</f>
        <v/>
      </c>
      <c r="I385" s="18" t="n"/>
    </row>
    <row r="386">
      <c r="A386" s="18">
        <f>IF(ISNUMBER(Dossiers!$D$11),Dossiers!$A$11&amp;" · "&amp;Dossiers!$B$11,"")</f>
        <v/>
      </c>
      <c r="B386" s="18">
        <f>IF($A386="","",Paramètres!G8)</f>
        <v/>
      </c>
      <c r="C386" s="18">
        <f>IF($A386="","",IF(Paramètres!H8="","",Paramètres!H8))</f>
        <v/>
      </c>
      <c r="D386" s="18">
        <f>IF($A386="","",IF(Paramètres!I8="","",Paramètres!I8))</f>
        <v/>
      </c>
      <c r="E386" s="19">
        <f>IF($A386="","",IF(Paramètres!J8&amp;Paramètres!L8&amp;Paramètres!N8="",Dossiers!$D$11,MAX(IF(Paramètres!J8="",0,IF(Paramètres!K8="",NA(),IF(LEFT(TRIM(Paramètres!K8),1)="F",INDEX($F$383:$F$435,MATCH(Paramètres!J8,Paramètres!$G$5:$G$57,0)),INDEX($E$383:$E$435,MATCH(Paramètres!J8,Paramètres!$G$5:$G$57,0)))+IF(RIGHT(TRIM(Paramètres!K8),3)="Fin",1-$H386,IF(LEFT(TRIM(Paramètres!K8),1)="F",1,0)))),IF(Paramètres!L8="",0,IF(Paramètres!M8="",NA(),IF(LEFT(TRIM(Paramètres!M8),1)="F",INDEX($F$383:$F$435,MATCH(Paramètres!L8,Paramètres!$G$5:$G$57,0)),INDEX($E$383:$E$435,MATCH(Paramètres!L8,Paramètres!$G$5:$G$57,0)))+IF(RIGHT(TRIM(Paramètres!M8),3)="Fin",1-$H386,IF(LEFT(TRIM(Paramètres!M8),1)="F",1,0)))),IF(Paramètres!N8="",0,IF(Paramètres!O8="",NA(),IF(LEFT(TRIM(Paramètres!O8),1)="F",INDEX($F$383:$F$435,MATCH(Paramètres!N8,Paramètres!$G$5:$G$57,0)),INDEX($E$383:$E$435,MATCH(Paramètres!N8,Paramètres!$G$5:$G$57,0)))+IF(RIGHT(TRIM(Paramètres!O8),3)="Fin",1-$H386,IF(LEFT(TRIM(Paramètres!O8),1)="F",1,0)))))))</f>
        <v/>
      </c>
      <c r="F386" s="19">
        <f>IF($A386="","",E386+$H386-1)</f>
        <v/>
      </c>
      <c r="G386" s="18" t="n"/>
      <c r="H386" s="18">
        <f>IF($A386="","",IF(I386&lt;&gt;"",I386,Paramètres!B8))</f>
        <v/>
      </c>
      <c r="I386" s="18" t="n"/>
    </row>
    <row r="387">
      <c r="A387" s="18">
        <f>IF(ISNUMBER(Dossiers!$D$11),Dossiers!$A$11&amp;" · "&amp;Dossiers!$B$11,"")</f>
        <v/>
      </c>
      <c r="B387" s="18">
        <f>IF($A387="","",Paramètres!G9)</f>
        <v/>
      </c>
      <c r="C387" s="18">
        <f>IF($A387="","",IF(Paramètres!H9="","",Paramètres!H9))</f>
        <v/>
      </c>
      <c r="D387" s="18">
        <f>IF($A387="","",IF(Paramètres!I9="","",Paramètres!I9))</f>
        <v/>
      </c>
      <c r="E387" s="19">
        <f>IF($A387="","",IF(Paramètres!J9&amp;Paramètres!L9&amp;Paramètres!N9="",Dossiers!$D$11,MAX(IF(Paramètres!J9="",0,IF(Paramètres!K9="",NA(),IF(LEFT(TRIM(Paramètres!K9),1)="F",INDEX($F$383:$F$435,MATCH(Paramètres!J9,Paramètres!$G$5:$G$57,0)),INDEX($E$383:$E$435,MATCH(Paramètres!J9,Paramètres!$G$5:$G$57,0)))+IF(RIGHT(TRIM(Paramètres!K9),3)="Fin",1-$H387,IF(LEFT(TRIM(Paramètres!K9),1)="F",1,0)))),IF(Paramètres!L9="",0,IF(Paramètres!M9="",NA(),IF(LEFT(TRIM(Paramètres!M9),1)="F",INDEX($F$383:$F$435,MATCH(Paramètres!L9,Paramètres!$G$5:$G$57,0)),INDEX($E$383:$E$435,MATCH(Paramètres!L9,Paramètres!$G$5:$G$57,0)))+IF(RIGHT(TRIM(Paramètres!M9),3)="Fin",1-$H387,IF(LEFT(TRIM(Paramètres!M9),1)="F",1,0)))),IF(Paramètres!N9="",0,IF(Paramètres!O9="",NA(),IF(LEFT(TRIM(Paramètres!O9),1)="F",INDEX($F$383:$F$435,MATCH(Paramètres!N9,Paramètres!$G$5:$G$57,0)),INDEX($E$383:$E$435,MATCH(Paramètres!N9,Paramètres!$G$5:$G$57,0)))+IF(RIGHT(TRIM(Paramètres!O9),3)="Fin",1-$H387,IF(LEFT(TRIM(Paramètres!O9),1)="F",1,0)))))))</f>
        <v/>
      </c>
      <c r="F387" s="19">
        <f>IF($A387="","",E387+$H387-1)</f>
        <v/>
      </c>
      <c r="G387" s="18" t="n"/>
      <c r="H387" s="18">
        <f>IF($A387="","",IF(I387&lt;&gt;"",I387,Paramètres!B9))</f>
        <v/>
      </c>
      <c r="I387" s="18" t="n"/>
    </row>
    <row r="388">
      <c r="A388" s="18">
        <f>IF(ISNUMBER(Dossiers!$D$11),Dossiers!$A$11&amp;" · "&amp;Dossiers!$B$11,"")</f>
        <v/>
      </c>
      <c r="B388" s="18">
        <f>IF($A388="","",Paramètres!G10)</f>
        <v/>
      </c>
      <c r="C388" s="18">
        <f>IF($A388="","",IF(Paramètres!H10="","",Paramètres!H10))</f>
        <v/>
      </c>
      <c r="D388" s="18">
        <f>IF($A388="","",IF(Paramètres!I10="","",Paramètres!I10))</f>
        <v/>
      </c>
      <c r="E388" s="19">
        <f>IF($A388="","",MIN(E389:E392))</f>
        <v/>
      </c>
      <c r="F388" s="19">
        <f>IF($A388="","",MAX(F389:F392))</f>
        <v/>
      </c>
      <c r="G388" s="18" t="n"/>
      <c r="H388" s="18">
        <f>IF($A388="","",F388-E388+1)</f>
        <v/>
      </c>
      <c r="I388" s="18" t="n"/>
    </row>
    <row r="389">
      <c r="A389" s="18">
        <f>IF(ISNUMBER(Dossiers!$D$11),Dossiers!$A$11&amp;" · "&amp;Dossiers!$B$11,"")</f>
        <v/>
      </c>
      <c r="B389" s="18">
        <f>IF($A389="","",Paramètres!G11)</f>
        <v/>
      </c>
      <c r="C389" s="18">
        <f>IF($A389="","",IF(Paramètres!H11="","",Paramètres!H11))</f>
        <v/>
      </c>
      <c r="D389" s="18">
        <f>IF($A389="","",IF(Paramètres!I11="","",Paramètres!I11))</f>
        <v/>
      </c>
      <c r="E389" s="19">
        <f>IF($A389="","",IF(Paramètres!J11&amp;Paramètres!L11&amp;Paramètres!N11="",Dossiers!$D$11,MAX(IF(Paramètres!J11="",0,IF(Paramètres!K11="",NA(),IF(LEFT(TRIM(Paramètres!K11),1)="F",INDEX($F$383:$F$435,MATCH(Paramètres!J11,Paramètres!$G$5:$G$57,0)),INDEX($E$383:$E$435,MATCH(Paramètres!J11,Paramètres!$G$5:$G$57,0)))+IF(RIGHT(TRIM(Paramètres!K11),3)="Fin",1-$H389,IF(LEFT(TRIM(Paramètres!K11),1)="F",1,0)))),IF(Paramètres!L11="",0,IF(Paramètres!M11="",NA(),IF(LEFT(TRIM(Paramètres!M11),1)="F",INDEX($F$383:$F$435,MATCH(Paramètres!L11,Paramètres!$G$5:$G$57,0)),INDEX($E$383:$E$435,MATCH(Paramètres!L11,Paramètres!$G$5:$G$57,0)))+IF(RIGHT(TRIM(Paramètres!M11),3)="Fin",1-$H389,IF(LEFT(TRIM(Paramètres!M11),1)="F",1,0)))),IF(Paramètres!N11="",0,IF(Paramètres!O11="",NA(),IF(LEFT(TRIM(Paramètres!O11),1)="F",INDEX($F$383:$F$435,MATCH(Paramètres!N11,Paramètres!$G$5:$G$57,0)),INDEX($E$383:$E$435,MATCH(Paramètres!N11,Paramètres!$G$5:$G$57,0)))+IF(RIGHT(TRIM(Paramètres!O11),3)="Fin",1-$H389,IF(LEFT(TRIM(Paramètres!O11),1)="F",1,0)))))))</f>
        <v/>
      </c>
      <c r="F389" s="19">
        <f>IF($A389="","",E389+$H389-1)</f>
        <v/>
      </c>
      <c r="G389" s="18" t="n"/>
      <c r="H389" s="18">
        <f>IF($A389="","",IF(I389&lt;&gt;"",I389,Paramètres!B11))</f>
        <v/>
      </c>
      <c r="I389" s="18" t="n"/>
    </row>
    <row r="390">
      <c r="A390" s="18">
        <f>IF(ISNUMBER(Dossiers!$D$11),Dossiers!$A$11&amp;" · "&amp;Dossiers!$B$11,"")</f>
        <v/>
      </c>
      <c r="B390" s="18">
        <f>IF($A390="","",Paramètres!G12)</f>
        <v/>
      </c>
      <c r="C390" s="18">
        <f>IF($A390="","",IF(Paramètres!H12="","",Paramètres!H12))</f>
        <v/>
      </c>
      <c r="D390" s="18">
        <f>IF($A390="","",IF(Paramètres!I12="","",Paramètres!I12))</f>
        <v/>
      </c>
      <c r="E390" s="19">
        <f>IF($A390="","",IF(Paramètres!J12&amp;Paramètres!L12&amp;Paramètres!N12="",Dossiers!$D$11,MAX(IF(Paramètres!J12="",0,IF(Paramètres!K12="",NA(),IF(LEFT(TRIM(Paramètres!K12),1)="F",INDEX($F$383:$F$435,MATCH(Paramètres!J12,Paramètres!$G$5:$G$57,0)),INDEX($E$383:$E$435,MATCH(Paramètres!J12,Paramètres!$G$5:$G$57,0)))+IF(RIGHT(TRIM(Paramètres!K12),3)="Fin",1-$H390,IF(LEFT(TRIM(Paramètres!K12),1)="F",1,0)))),IF(Paramètres!L12="",0,IF(Paramètres!M12="",NA(),IF(LEFT(TRIM(Paramètres!M12),1)="F",INDEX($F$383:$F$435,MATCH(Paramètres!L12,Paramètres!$G$5:$G$57,0)),INDEX($E$383:$E$435,MATCH(Paramètres!L12,Paramètres!$G$5:$G$57,0)))+IF(RIGHT(TRIM(Paramètres!M12),3)="Fin",1-$H390,IF(LEFT(TRIM(Paramètres!M12),1)="F",1,0)))),IF(Paramètres!N12="",0,IF(Paramètres!O12="",NA(),IF(LEFT(TRIM(Paramètres!O12),1)="F",INDEX($F$383:$F$435,MATCH(Paramètres!N12,Paramètres!$G$5:$G$57,0)),INDEX($E$383:$E$435,MATCH(Paramètres!N12,Paramètres!$G$5:$G$57,0)))+IF(RIGHT(TRIM(Paramètres!O12),3)="Fin",1-$H390,IF(LEFT(TRIM(Paramètres!O12),1)="F",1,0)))))))</f>
        <v/>
      </c>
      <c r="F390" s="19">
        <f>IF($A390="","",E390+$H390-1)</f>
        <v/>
      </c>
      <c r="G390" s="18" t="n"/>
      <c r="H390" s="18">
        <f>IF($A390="","",IF(I390&lt;&gt;"",I390,Paramètres!B12))</f>
        <v/>
      </c>
      <c r="I390" s="18" t="n"/>
    </row>
    <row r="391">
      <c r="A391" s="18">
        <f>IF(ISNUMBER(Dossiers!$D$11),Dossiers!$A$11&amp;" · "&amp;Dossiers!$B$11,"")</f>
        <v/>
      </c>
      <c r="B391" s="18">
        <f>IF($A391="","",Paramètres!G13)</f>
        <v/>
      </c>
      <c r="C391" s="18">
        <f>IF($A391="","",IF(Paramètres!H13="","",Paramètres!H13))</f>
        <v/>
      </c>
      <c r="D391" s="18">
        <f>IF($A391="","",IF(Paramètres!I13="","",Paramètres!I13))</f>
        <v/>
      </c>
      <c r="E391" s="19">
        <f>IF($A391="","",IF(Paramètres!J13&amp;Paramètres!L13&amp;Paramètres!N13="",Dossiers!$D$11,MAX(IF(Paramètres!J13="",0,IF(Paramètres!K13="",NA(),IF(LEFT(TRIM(Paramètres!K13),1)="F",INDEX($F$383:$F$435,MATCH(Paramètres!J13,Paramètres!$G$5:$G$57,0)),INDEX($E$383:$E$435,MATCH(Paramètres!J13,Paramètres!$G$5:$G$57,0)))+IF(RIGHT(TRIM(Paramètres!K13),3)="Fin",1-$H391,IF(LEFT(TRIM(Paramètres!K13),1)="F",1,0)))),IF(Paramètres!L13="",0,IF(Paramètres!M13="",NA(),IF(LEFT(TRIM(Paramètres!M13),1)="F",INDEX($F$383:$F$435,MATCH(Paramètres!L13,Paramètres!$G$5:$G$57,0)),INDEX($E$383:$E$435,MATCH(Paramètres!L13,Paramètres!$G$5:$G$57,0)))+IF(RIGHT(TRIM(Paramètres!M13),3)="Fin",1-$H391,IF(LEFT(TRIM(Paramètres!M13),1)="F",1,0)))),IF(Paramètres!N13="",0,IF(Paramètres!O13="",NA(),IF(LEFT(TRIM(Paramètres!O13),1)="F",INDEX($F$383:$F$435,MATCH(Paramètres!N13,Paramètres!$G$5:$G$57,0)),INDEX($E$383:$E$435,MATCH(Paramètres!N13,Paramètres!$G$5:$G$57,0)))+IF(RIGHT(TRIM(Paramètres!O13),3)="Fin",1-$H391,IF(LEFT(TRIM(Paramètres!O13),1)="F",1,0)))))))</f>
        <v/>
      </c>
      <c r="F391" s="19">
        <f>IF($A391="","",E391+$H391-1)</f>
        <v/>
      </c>
      <c r="G391" s="18" t="n"/>
      <c r="H391" s="18">
        <f>IF($A391="","",IF(I391&lt;&gt;"",I391,Paramètres!B13))</f>
        <v/>
      </c>
      <c r="I391" s="18" t="n"/>
    </row>
    <row r="392">
      <c r="A392" s="18">
        <f>IF(ISNUMBER(Dossiers!$D$11),Dossiers!$A$11&amp;" · "&amp;Dossiers!$B$11,"")</f>
        <v/>
      </c>
      <c r="B392" s="18">
        <f>IF($A392="","",Paramètres!G14)</f>
        <v/>
      </c>
      <c r="C392" s="18">
        <f>IF($A392="","",IF(Paramètres!H14="","",Paramètres!H14))</f>
        <v/>
      </c>
      <c r="D392" s="18">
        <f>IF($A392="","",IF(Paramètres!I14="","",Paramètres!I14))</f>
        <v/>
      </c>
      <c r="E392" s="19">
        <f>IF($A392="","",IF(Paramètres!J14&amp;Paramètres!L14&amp;Paramètres!N14="",Dossiers!$D$11,MAX(IF(Paramètres!J14="",0,IF(Paramètres!K14="",NA(),IF(LEFT(TRIM(Paramètres!K14),1)="F",INDEX($F$383:$F$435,MATCH(Paramètres!J14,Paramètres!$G$5:$G$57,0)),INDEX($E$383:$E$435,MATCH(Paramètres!J14,Paramètres!$G$5:$G$57,0)))+IF(RIGHT(TRIM(Paramètres!K14),3)="Fin",1-$H392,IF(LEFT(TRIM(Paramètres!K14),1)="F",1,0)))),IF(Paramètres!L14="",0,IF(Paramètres!M14="",NA(),IF(LEFT(TRIM(Paramètres!M14),1)="F",INDEX($F$383:$F$435,MATCH(Paramètres!L14,Paramètres!$G$5:$G$57,0)),INDEX($E$383:$E$435,MATCH(Paramètres!L14,Paramètres!$G$5:$G$57,0)))+IF(RIGHT(TRIM(Paramètres!M14),3)="Fin",1-$H392,IF(LEFT(TRIM(Paramètres!M14),1)="F",1,0)))),IF(Paramètres!N14="",0,IF(Paramètres!O14="",NA(),IF(LEFT(TRIM(Paramètres!O14),1)="F",INDEX($F$383:$F$435,MATCH(Paramètres!N14,Paramètres!$G$5:$G$57,0)),INDEX($E$383:$E$435,MATCH(Paramètres!N14,Paramètres!$G$5:$G$57,0)))+IF(RIGHT(TRIM(Paramètres!O14),3)="Fin",1-$H392,IF(LEFT(TRIM(Paramètres!O14),1)="F",1,0)))))))</f>
        <v/>
      </c>
      <c r="F392" s="19">
        <f>IF($A392="","",E392+$H392-1)</f>
        <v/>
      </c>
      <c r="G392" s="18" t="n"/>
      <c r="H392" s="18">
        <f>IF($A392="","",IF(I392&lt;&gt;"",I392,Paramètres!B14))</f>
        <v/>
      </c>
      <c r="I392" s="18" t="n"/>
    </row>
    <row r="393">
      <c r="A393" s="18">
        <f>IF(ISNUMBER(Dossiers!$D$11),Dossiers!$A$11&amp;" · "&amp;Dossiers!$B$11,"")</f>
        <v/>
      </c>
      <c r="B393" s="18">
        <f>IF($A393="","",Paramètres!G15)</f>
        <v/>
      </c>
      <c r="C393" s="18">
        <f>IF($A393="","",IF(Paramètres!H15="","",Paramètres!H15))</f>
        <v/>
      </c>
      <c r="D393" s="18">
        <f>IF($A393="","",IF(Paramètres!I15="","",Paramètres!I15))</f>
        <v/>
      </c>
      <c r="E393" s="19">
        <f>IF($A393="","",MIN(E394:E409))</f>
        <v/>
      </c>
      <c r="F393" s="19">
        <f>IF($A393="","",MAX(F394:F409))</f>
        <v/>
      </c>
      <c r="G393" s="18" t="n"/>
      <c r="H393" s="18">
        <f>IF($A393="","",F393-E393+1)</f>
        <v/>
      </c>
      <c r="I393" s="18" t="n"/>
    </row>
    <row r="394">
      <c r="A394" s="18">
        <f>IF(ISNUMBER(Dossiers!$D$11),Dossiers!$A$11&amp;" · "&amp;Dossiers!$B$11,"")</f>
        <v/>
      </c>
      <c r="B394" s="18">
        <f>IF($A394="","",Paramètres!G16)</f>
        <v/>
      </c>
      <c r="C394" s="18">
        <f>IF($A394="","",IF(Paramètres!H16="","",Paramètres!H16))</f>
        <v/>
      </c>
      <c r="D394" s="18">
        <f>IF($A394="","",IF(Paramètres!I16="","",Paramètres!I16))</f>
        <v/>
      </c>
      <c r="E394" s="19">
        <f>IF($A394="","",IF(Paramètres!J16&amp;Paramètres!L16&amp;Paramètres!N16="",Dossiers!$D$11,MAX(IF(Paramètres!J16="",0,IF(Paramètres!K16="",NA(),IF(LEFT(TRIM(Paramètres!K16),1)="F",INDEX($F$383:$F$435,MATCH(Paramètres!J16,Paramètres!$G$5:$G$57,0)),INDEX($E$383:$E$435,MATCH(Paramètres!J16,Paramètres!$G$5:$G$57,0)))+IF(RIGHT(TRIM(Paramètres!K16),3)="Fin",1-$H394,IF(LEFT(TRIM(Paramètres!K16),1)="F",1,0)))),IF(Paramètres!L16="",0,IF(Paramètres!M16="",NA(),IF(LEFT(TRIM(Paramètres!M16),1)="F",INDEX($F$383:$F$435,MATCH(Paramètres!L16,Paramètres!$G$5:$G$57,0)),INDEX($E$383:$E$435,MATCH(Paramètres!L16,Paramètres!$G$5:$G$57,0)))+IF(RIGHT(TRIM(Paramètres!M16),3)="Fin",1-$H394,IF(LEFT(TRIM(Paramètres!M16),1)="F",1,0)))),IF(Paramètres!N16="",0,IF(Paramètres!O16="",NA(),IF(LEFT(TRIM(Paramètres!O16),1)="F",INDEX($F$383:$F$435,MATCH(Paramètres!N16,Paramètres!$G$5:$G$57,0)),INDEX($E$383:$E$435,MATCH(Paramètres!N16,Paramètres!$G$5:$G$57,0)))+IF(RIGHT(TRIM(Paramètres!O16),3)="Fin",1-$H394,IF(LEFT(TRIM(Paramètres!O16),1)="F",1,0)))))))</f>
        <v/>
      </c>
      <c r="F394" s="19">
        <f>IF($A394="","",E394+$H394-1)</f>
        <v/>
      </c>
      <c r="G394" s="18" t="n"/>
      <c r="H394" s="18">
        <f>IF($A394="","",IF(I394&lt;&gt;"",I394,Paramètres!B16))</f>
        <v/>
      </c>
      <c r="I394" s="18" t="n"/>
    </row>
    <row r="395">
      <c r="A395" s="18">
        <f>IF(ISNUMBER(Dossiers!$D$11),Dossiers!$A$11&amp;" · "&amp;Dossiers!$B$11,"")</f>
        <v/>
      </c>
      <c r="B395" s="18">
        <f>IF($A395="","",Paramètres!G17)</f>
        <v/>
      </c>
      <c r="C395" s="18">
        <f>IF($A395="","",IF(Paramètres!H17="","",Paramètres!H17))</f>
        <v/>
      </c>
      <c r="D395" s="18">
        <f>IF($A395="","",IF(Paramètres!I17="","",Paramètres!I17))</f>
        <v/>
      </c>
      <c r="E395" s="19">
        <f>IF($A395="","",IF(Paramètres!J17&amp;Paramètres!L17&amp;Paramètres!N17="",Dossiers!$D$11,MAX(IF(Paramètres!J17="",0,IF(Paramètres!K17="",NA(),IF(LEFT(TRIM(Paramètres!K17),1)="F",INDEX($F$383:$F$435,MATCH(Paramètres!J17,Paramètres!$G$5:$G$57,0)),INDEX($E$383:$E$435,MATCH(Paramètres!J17,Paramètres!$G$5:$G$57,0)))+IF(RIGHT(TRIM(Paramètres!K17),3)="Fin",1-$H395,IF(LEFT(TRIM(Paramètres!K17),1)="F",1,0)))),IF(Paramètres!L17="",0,IF(Paramètres!M17="",NA(),IF(LEFT(TRIM(Paramètres!M17),1)="F",INDEX($F$383:$F$435,MATCH(Paramètres!L17,Paramètres!$G$5:$G$57,0)),INDEX($E$383:$E$435,MATCH(Paramètres!L17,Paramètres!$G$5:$G$57,0)))+IF(RIGHT(TRIM(Paramètres!M17),3)="Fin",1-$H395,IF(LEFT(TRIM(Paramètres!M17),1)="F",1,0)))),IF(Paramètres!N17="",0,IF(Paramètres!O17="",NA(),IF(LEFT(TRIM(Paramètres!O17),1)="F",INDEX($F$383:$F$435,MATCH(Paramètres!N17,Paramètres!$G$5:$G$57,0)),INDEX($E$383:$E$435,MATCH(Paramètres!N17,Paramètres!$G$5:$G$57,0)))+IF(RIGHT(TRIM(Paramètres!O17),3)="Fin",1-$H395,IF(LEFT(TRIM(Paramètres!O17),1)="F",1,0)))))))</f>
        <v/>
      </c>
      <c r="F395" s="19">
        <f>IF($A395="","",E395+$H395-1)</f>
        <v/>
      </c>
      <c r="G395" s="18" t="n"/>
      <c r="H395" s="18">
        <f>IF($A395="","",IF(I395&lt;&gt;"",I395,Paramètres!B17))</f>
        <v/>
      </c>
      <c r="I395" s="18" t="n"/>
    </row>
    <row r="396">
      <c r="A396" s="18">
        <f>IF(ISNUMBER(Dossiers!$D$11),Dossiers!$A$11&amp;" · "&amp;Dossiers!$B$11,"")</f>
        <v/>
      </c>
      <c r="B396" s="18">
        <f>IF($A396="","",Paramètres!G18)</f>
        <v/>
      </c>
      <c r="C396" s="18">
        <f>IF($A396="","",IF(Paramètres!H18="","",Paramètres!H18))</f>
        <v/>
      </c>
      <c r="D396" s="18">
        <f>IF($A396="","",IF(Paramètres!I18="","",Paramètres!I18))</f>
        <v/>
      </c>
      <c r="E396" s="19">
        <f>IF($A396="","",IF(Paramètres!J18&amp;Paramètres!L18&amp;Paramètres!N18="",Dossiers!$D$11,MAX(IF(Paramètres!J18="",0,IF(Paramètres!K18="",NA(),IF(LEFT(TRIM(Paramètres!K18),1)="F",INDEX($F$383:$F$435,MATCH(Paramètres!J18,Paramètres!$G$5:$G$57,0)),INDEX($E$383:$E$435,MATCH(Paramètres!J18,Paramètres!$G$5:$G$57,0)))+IF(RIGHT(TRIM(Paramètres!K18),3)="Fin",1-$H396,IF(LEFT(TRIM(Paramètres!K18),1)="F",1,0)))),IF(Paramètres!L18="",0,IF(Paramètres!M18="",NA(),IF(LEFT(TRIM(Paramètres!M18),1)="F",INDEX($F$383:$F$435,MATCH(Paramètres!L18,Paramètres!$G$5:$G$57,0)),INDEX($E$383:$E$435,MATCH(Paramètres!L18,Paramètres!$G$5:$G$57,0)))+IF(RIGHT(TRIM(Paramètres!M18),3)="Fin",1-$H396,IF(LEFT(TRIM(Paramètres!M18),1)="F",1,0)))),IF(Paramètres!N18="",0,IF(Paramètres!O18="",NA(),IF(LEFT(TRIM(Paramètres!O18),1)="F",INDEX($F$383:$F$435,MATCH(Paramètres!N18,Paramètres!$G$5:$G$57,0)),INDEX($E$383:$E$435,MATCH(Paramètres!N18,Paramètres!$G$5:$G$57,0)))+IF(RIGHT(TRIM(Paramètres!O18),3)="Fin",1-$H396,IF(LEFT(TRIM(Paramètres!O18),1)="F",1,0)))))))</f>
        <v/>
      </c>
      <c r="F396" s="19">
        <f>IF($A396="","",E396+$H396-1)</f>
        <v/>
      </c>
      <c r="G396" s="18" t="n"/>
      <c r="H396" s="18">
        <f>IF($A396="","",IF(I396&lt;&gt;"",I396,Paramètres!B18))</f>
        <v/>
      </c>
      <c r="I396" s="18" t="n"/>
    </row>
    <row r="397">
      <c r="A397" s="18">
        <f>IF(ISNUMBER(Dossiers!$D$11),Dossiers!$A$11&amp;" · "&amp;Dossiers!$B$11,"")</f>
        <v/>
      </c>
      <c r="B397" s="18">
        <f>IF($A397="","",Paramètres!G19)</f>
        <v/>
      </c>
      <c r="C397" s="18">
        <f>IF($A397="","",IF(Paramètres!H19="","",Paramètres!H19))</f>
        <v/>
      </c>
      <c r="D397" s="18">
        <f>IF($A397="","",IF(Paramètres!I19="","",Paramètres!I19))</f>
        <v/>
      </c>
      <c r="E397" s="19">
        <f>IF($A397="","",IF(Paramètres!J19&amp;Paramètres!L19&amp;Paramètres!N19="",Dossiers!$D$11,MAX(IF(Paramètres!J19="",0,IF(Paramètres!K19="",NA(),IF(LEFT(TRIM(Paramètres!K19),1)="F",INDEX($F$383:$F$435,MATCH(Paramètres!J19,Paramètres!$G$5:$G$57,0)),INDEX($E$383:$E$435,MATCH(Paramètres!J19,Paramètres!$G$5:$G$57,0)))+IF(RIGHT(TRIM(Paramètres!K19),3)="Fin",1-$H397,IF(LEFT(TRIM(Paramètres!K19),1)="F",1,0)))),IF(Paramètres!L19="",0,IF(Paramètres!M19="",NA(),IF(LEFT(TRIM(Paramètres!M19),1)="F",INDEX($F$383:$F$435,MATCH(Paramètres!L19,Paramètres!$G$5:$G$57,0)),INDEX($E$383:$E$435,MATCH(Paramètres!L19,Paramètres!$G$5:$G$57,0)))+IF(RIGHT(TRIM(Paramètres!M19),3)="Fin",1-$H397,IF(LEFT(TRIM(Paramètres!M19),1)="F",1,0)))),IF(Paramètres!N19="",0,IF(Paramètres!O19="",NA(),IF(LEFT(TRIM(Paramètres!O19),1)="F",INDEX($F$383:$F$435,MATCH(Paramètres!N19,Paramètres!$G$5:$G$57,0)),INDEX($E$383:$E$435,MATCH(Paramètres!N19,Paramètres!$G$5:$G$57,0)))+IF(RIGHT(TRIM(Paramètres!O19),3)="Fin",1-$H397,IF(LEFT(TRIM(Paramètres!O19),1)="F",1,0)))))))</f>
        <v/>
      </c>
      <c r="F397" s="19">
        <f>IF($A397="","",E397+$H397-1)</f>
        <v/>
      </c>
      <c r="G397" s="18" t="n"/>
      <c r="H397" s="18">
        <f>IF($A397="","",IF(I397&lt;&gt;"",I397,Paramètres!B19))</f>
        <v/>
      </c>
      <c r="I397" s="18" t="n"/>
    </row>
    <row r="398">
      <c r="A398" s="18">
        <f>IF(ISNUMBER(Dossiers!$D$11),Dossiers!$A$11&amp;" · "&amp;Dossiers!$B$11,"")</f>
        <v/>
      </c>
      <c r="B398" s="18">
        <f>IF($A398="","",Paramètres!G20)</f>
        <v/>
      </c>
      <c r="C398" s="18">
        <f>IF($A398="","",IF(Paramètres!H20="","",Paramètres!H20))</f>
        <v/>
      </c>
      <c r="D398" s="18">
        <f>IF($A398="","",IF(Paramètres!I20="","",Paramètres!I20))</f>
        <v/>
      </c>
      <c r="E398" s="19">
        <f>IF($A398="","",IF(Paramètres!J20&amp;Paramètres!L20&amp;Paramètres!N20="",Dossiers!$D$11,MAX(IF(Paramètres!J20="",0,IF(Paramètres!K20="",NA(),IF(LEFT(TRIM(Paramètres!K20),1)="F",INDEX($F$383:$F$435,MATCH(Paramètres!J20,Paramètres!$G$5:$G$57,0)),INDEX($E$383:$E$435,MATCH(Paramètres!J20,Paramètres!$G$5:$G$57,0)))+IF(RIGHT(TRIM(Paramètres!K20),3)="Fin",1-$H398,IF(LEFT(TRIM(Paramètres!K20),1)="F",1,0)))),IF(Paramètres!L20="",0,IF(Paramètres!M20="",NA(),IF(LEFT(TRIM(Paramètres!M20),1)="F",INDEX($F$383:$F$435,MATCH(Paramètres!L20,Paramètres!$G$5:$G$57,0)),INDEX($E$383:$E$435,MATCH(Paramètres!L20,Paramètres!$G$5:$G$57,0)))+IF(RIGHT(TRIM(Paramètres!M20),3)="Fin",1-$H398,IF(LEFT(TRIM(Paramètres!M20),1)="F",1,0)))),IF(Paramètres!N20="",0,IF(Paramètres!O20="",NA(),IF(LEFT(TRIM(Paramètres!O20),1)="F",INDEX($F$383:$F$435,MATCH(Paramètres!N20,Paramètres!$G$5:$G$57,0)),INDEX($E$383:$E$435,MATCH(Paramètres!N20,Paramètres!$G$5:$G$57,0)))+IF(RIGHT(TRIM(Paramètres!O20),3)="Fin",1-$H398,IF(LEFT(TRIM(Paramètres!O20),1)="F",1,0)))))))</f>
        <v/>
      </c>
      <c r="F398" s="19">
        <f>IF($A398="","",E398+$H398-1)</f>
        <v/>
      </c>
      <c r="G398" s="18" t="n"/>
      <c r="H398" s="18">
        <f>IF($A398="","",IF(I398&lt;&gt;"",I398,Paramètres!B20))</f>
        <v/>
      </c>
      <c r="I398" s="18" t="n"/>
    </row>
    <row r="399">
      <c r="A399" s="18">
        <f>IF(ISNUMBER(Dossiers!$D$11),Dossiers!$A$11&amp;" · "&amp;Dossiers!$B$11,"")</f>
        <v/>
      </c>
      <c r="B399" s="18">
        <f>IF($A399="","",Paramètres!G21)</f>
        <v/>
      </c>
      <c r="C399" s="18">
        <f>IF($A399="","",IF(Paramètres!H21="","",Paramètres!H21))</f>
        <v/>
      </c>
      <c r="D399" s="18">
        <f>IF($A399="","",IF(Paramètres!I21="","",Paramètres!I21))</f>
        <v/>
      </c>
      <c r="E399" s="19">
        <f>IF($A399="","",IF(Paramètres!J21&amp;Paramètres!L21&amp;Paramètres!N21="",Dossiers!$D$11,MAX(IF(Paramètres!J21="",0,IF(Paramètres!K21="",NA(),IF(LEFT(TRIM(Paramètres!K21),1)="F",INDEX($F$383:$F$435,MATCH(Paramètres!J21,Paramètres!$G$5:$G$57,0)),INDEX($E$383:$E$435,MATCH(Paramètres!J21,Paramètres!$G$5:$G$57,0)))+IF(RIGHT(TRIM(Paramètres!K21),3)="Fin",1-$H399,IF(LEFT(TRIM(Paramètres!K21),1)="F",1,0)))),IF(Paramètres!L21="",0,IF(Paramètres!M21="",NA(),IF(LEFT(TRIM(Paramètres!M21),1)="F",INDEX($F$383:$F$435,MATCH(Paramètres!L21,Paramètres!$G$5:$G$57,0)),INDEX($E$383:$E$435,MATCH(Paramètres!L21,Paramètres!$G$5:$G$57,0)))+IF(RIGHT(TRIM(Paramètres!M21),3)="Fin",1-$H399,IF(LEFT(TRIM(Paramètres!M21),1)="F",1,0)))),IF(Paramètres!N21="",0,IF(Paramètres!O21="",NA(),IF(LEFT(TRIM(Paramètres!O21),1)="F",INDEX($F$383:$F$435,MATCH(Paramètres!N21,Paramètres!$G$5:$G$57,0)),INDEX($E$383:$E$435,MATCH(Paramètres!N21,Paramètres!$G$5:$G$57,0)))+IF(RIGHT(TRIM(Paramètres!O21),3)="Fin",1-$H399,IF(LEFT(TRIM(Paramètres!O21),1)="F",1,0)))))))</f>
        <v/>
      </c>
      <c r="F399" s="19">
        <f>IF($A399="","",E399+$H399-1)</f>
        <v/>
      </c>
      <c r="G399" s="18" t="n"/>
      <c r="H399" s="18">
        <f>IF($A399="","",IF(I399&lt;&gt;"",I399,Paramètres!B21))</f>
        <v/>
      </c>
      <c r="I399" s="18" t="n"/>
    </row>
    <row r="400">
      <c r="A400" s="18">
        <f>IF(ISNUMBER(Dossiers!$D$11),Dossiers!$A$11&amp;" · "&amp;Dossiers!$B$11,"")</f>
        <v/>
      </c>
      <c r="B400" s="18">
        <f>IF($A400="","",Paramètres!G22)</f>
        <v/>
      </c>
      <c r="C400" s="18">
        <f>IF($A400="","",IF(Paramètres!H22="","",Paramètres!H22))</f>
        <v/>
      </c>
      <c r="D400" s="18">
        <f>IF($A400="","",IF(Paramètres!I22="","",Paramètres!I22))</f>
        <v/>
      </c>
      <c r="E400" s="19">
        <f>IF($A400="","",IF(Paramètres!J22&amp;Paramètres!L22&amp;Paramètres!N22="",Dossiers!$D$11,MAX(IF(Paramètres!J22="",0,IF(Paramètres!K22="",NA(),IF(LEFT(TRIM(Paramètres!K22),1)="F",INDEX($F$383:$F$435,MATCH(Paramètres!J22,Paramètres!$G$5:$G$57,0)),INDEX($E$383:$E$435,MATCH(Paramètres!J22,Paramètres!$G$5:$G$57,0)))+IF(RIGHT(TRIM(Paramètres!K22),3)="Fin",1-$H400,IF(LEFT(TRIM(Paramètres!K22),1)="F",1,0)))),IF(Paramètres!L22="",0,IF(Paramètres!M22="",NA(),IF(LEFT(TRIM(Paramètres!M22),1)="F",INDEX($F$383:$F$435,MATCH(Paramètres!L22,Paramètres!$G$5:$G$57,0)),INDEX($E$383:$E$435,MATCH(Paramètres!L22,Paramètres!$G$5:$G$57,0)))+IF(RIGHT(TRIM(Paramètres!M22),3)="Fin",1-$H400,IF(LEFT(TRIM(Paramètres!M22),1)="F",1,0)))),IF(Paramètres!N22="",0,IF(Paramètres!O22="",NA(),IF(LEFT(TRIM(Paramètres!O22),1)="F",INDEX($F$383:$F$435,MATCH(Paramètres!N22,Paramètres!$G$5:$G$57,0)),INDEX($E$383:$E$435,MATCH(Paramètres!N22,Paramètres!$G$5:$G$57,0)))+IF(RIGHT(TRIM(Paramètres!O22),3)="Fin",1-$H400,IF(LEFT(TRIM(Paramètres!O22),1)="F",1,0)))))))</f>
        <v/>
      </c>
      <c r="F400" s="19">
        <f>IF($A400="","",E400+$H400-1)</f>
        <v/>
      </c>
      <c r="G400" s="18" t="n"/>
      <c r="H400" s="18">
        <f>IF($A400="","",IF(I400&lt;&gt;"",I400,Paramètres!B22))</f>
        <v/>
      </c>
      <c r="I400" s="18" t="n"/>
    </row>
    <row r="401">
      <c r="A401" s="18">
        <f>IF(ISNUMBER(Dossiers!$D$11),Dossiers!$A$11&amp;" · "&amp;Dossiers!$B$11,"")</f>
        <v/>
      </c>
      <c r="B401" s="18">
        <f>IF($A401="","",Paramètres!G23)</f>
        <v/>
      </c>
      <c r="C401" s="18">
        <f>IF($A401="","",IF(Paramètres!H23="","",Paramètres!H23))</f>
        <v/>
      </c>
      <c r="D401" s="18">
        <f>IF($A401="","",IF(Paramètres!I23="","",Paramètres!I23))</f>
        <v/>
      </c>
      <c r="E401" s="19">
        <f>IF($A401="","",IF(Paramètres!J23&amp;Paramètres!L23&amp;Paramètres!N23="",Dossiers!$D$11,MAX(IF(Paramètres!J23="",0,IF(Paramètres!K23="",NA(),IF(LEFT(TRIM(Paramètres!K23),1)="F",INDEX($F$383:$F$435,MATCH(Paramètres!J23,Paramètres!$G$5:$G$57,0)),INDEX($E$383:$E$435,MATCH(Paramètres!J23,Paramètres!$G$5:$G$57,0)))+IF(RIGHT(TRIM(Paramètres!K23),3)="Fin",1-$H401,IF(LEFT(TRIM(Paramètres!K23),1)="F",1,0)))),IF(Paramètres!L23="",0,IF(Paramètres!M23="",NA(),IF(LEFT(TRIM(Paramètres!M23),1)="F",INDEX($F$383:$F$435,MATCH(Paramètres!L23,Paramètres!$G$5:$G$57,0)),INDEX($E$383:$E$435,MATCH(Paramètres!L23,Paramètres!$G$5:$G$57,0)))+IF(RIGHT(TRIM(Paramètres!M23),3)="Fin",1-$H401,IF(LEFT(TRIM(Paramètres!M23),1)="F",1,0)))),IF(Paramètres!N23="",0,IF(Paramètres!O23="",NA(),IF(LEFT(TRIM(Paramètres!O23),1)="F",INDEX($F$383:$F$435,MATCH(Paramètres!N23,Paramètres!$G$5:$G$57,0)),INDEX($E$383:$E$435,MATCH(Paramètres!N23,Paramètres!$G$5:$G$57,0)))+IF(RIGHT(TRIM(Paramètres!O23),3)="Fin",1-$H401,IF(LEFT(TRIM(Paramètres!O23),1)="F",1,0)))))))</f>
        <v/>
      </c>
      <c r="F401" s="19">
        <f>IF($A401="","",E401+$H401-1)</f>
        <v/>
      </c>
      <c r="G401" s="18" t="n"/>
      <c r="H401" s="18">
        <f>IF($A401="","",IF(I401&lt;&gt;"",I401,Paramètres!B23))</f>
        <v/>
      </c>
      <c r="I401" s="18" t="n"/>
    </row>
    <row r="402">
      <c r="A402" s="18">
        <f>IF(ISNUMBER(Dossiers!$D$11),Dossiers!$A$11&amp;" · "&amp;Dossiers!$B$11,"")</f>
        <v/>
      </c>
      <c r="B402" s="18">
        <f>IF($A402="","",Paramètres!G24)</f>
        <v/>
      </c>
      <c r="C402" s="18">
        <f>IF($A402="","",IF(Paramètres!H24="","",Paramètres!H24))</f>
        <v/>
      </c>
      <c r="D402" s="18">
        <f>IF($A402="","",IF(Paramètres!I24="","",Paramètres!I24))</f>
        <v/>
      </c>
      <c r="E402" s="19">
        <f>IF($A402="","",IF(Paramètres!J24&amp;Paramètres!L24&amp;Paramètres!N24="",Dossiers!$D$11,MAX(IF(Paramètres!J24="",0,IF(Paramètres!K24="",NA(),IF(LEFT(TRIM(Paramètres!K24),1)="F",INDEX($F$383:$F$435,MATCH(Paramètres!J24,Paramètres!$G$5:$G$57,0)),INDEX($E$383:$E$435,MATCH(Paramètres!J24,Paramètres!$G$5:$G$57,0)))+IF(RIGHT(TRIM(Paramètres!K24),3)="Fin",1-$H402,IF(LEFT(TRIM(Paramètres!K24),1)="F",1,0)))),IF(Paramètres!L24="",0,IF(Paramètres!M24="",NA(),IF(LEFT(TRIM(Paramètres!M24),1)="F",INDEX($F$383:$F$435,MATCH(Paramètres!L24,Paramètres!$G$5:$G$57,0)),INDEX($E$383:$E$435,MATCH(Paramètres!L24,Paramètres!$G$5:$G$57,0)))+IF(RIGHT(TRIM(Paramètres!M24),3)="Fin",1-$H402,IF(LEFT(TRIM(Paramètres!M24),1)="F",1,0)))),IF(Paramètres!N24="",0,IF(Paramètres!O24="",NA(),IF(LEFT(TRIM(Paramètres!O24),1)="F",INDEX($F$383:$F$435,MATCH(Paramètres!N24,Paramètres!$G$5:$G$57,0)),INDEX($E$383:$E$435,MATCH(Paramètres!N24,Paramètres!$G$5:$G$57,0)))+IF(RIGHT(TRIM(Paramètres!O24),3)="Fin",1-$H402,IF(LEFT(TRIM(Paramètres!O24),1)="F",1,0)))))))</f>
        <v/>
      </c>
      <c r="F402" s="19">
        <f>IF($A402="","",E402+$H402-1)</f>
        <v/>
      </c>
      <c r="G402" s="18" t="n"/>
      <c r="H402" s="18">
        <f>IF($A402="","",IF(I402&lt;&gt;"",I402,Paramètres!B24))</f>
        <v/>
      </c>
      <c r="I402" s="18" t="n"/>
    </row>
    <row r="403">
      <c r="A403" s="18">
        <f>IF(ISNUMBER(Dossiers!$D$11),Dossiers!$A$11&amp;" · "&amp;Dossiers!$B$11,"")</f>
        <v/>
      </c>
      <c r="B403" s="18">
        <f>IF($A403="","",Paramètres!G25)</f>
        <v/>
      </c>
      <c r="C403" s="18">
        <f>IF($A403="","",IF(Paramètres!H25="","",Paramètres!H25))</f>
        <v/>
      </c>
      <c r="D403" s="18">
        <f>IF($A403="","",IF(Paramètres!I25="","",Paramètres!I25))</f>
        <v/>
      </c>
      <c r="E403" s="19">
        <f>IF($A403="","",IF(Paramètres!J25&amp;Paramètres!L25&amp;Paramètres!N25="",Dossiers!$D$11,MAX(IF(Paramètres!J25="",0,IF(Paramètres!K25="",NA(),IF(LEFT(TRIM(Paramètres!K25),1)="F",INDEX($F$383:$F$435,MATCH(Paramètres!J25,Paramètres!$G$5:$G$57,0)),INDEX($E$383:$E$435,MATCH(Paramètres!J25,Paramètres!$G$5:$G$57,0)))+IF(RIGHT(TRIM(Paramètres!K25),3)="Fin",1-$H403,IF(LEFT(TRIM(Paramètres!K25),1)="F",1,0)))),IF(Paramètres!L25="",0,IF(Paramètres!M25="",NA(),IF(LEFT(TRIM(Paramètres!M25),1)="F",INDEX($F$383:$F$435,MATCH(Paramètres!L25,Paramètres!$G$5:$G$57,0)),INDEX($E$383:$E$435,MATCH(Paramètres!L25,Paramètres!$G$5:$G$57,0)))+IF(RIGHT(TRIM(Paramètres!M25),3)="Fin",1-$H403,IF(LEFT(TRIM(Paramètres!M25),1)="F",1,0)))),IF(Paramètres!N25="",0,IF(Paramètres!O25="",NA(),IF(LEFT(TRIM(Paramètres!O25),1)="F",INDEX($F$383:$F$435,MATCH(Paramètres!N25,Paramètres!$G$5:$G$57,0)),INDEX($E$383:$E$435,MATCH(Paramètres!N25,Paramètres!$G$5:$G$57,0)))+IF(RIGHT(TRIM(Paramètres!O25),3)="Fin",1-$H403,IF(LEFT(TRIM(Paramètres!O25),1)="F",1,0)))))))</f>
        <v/>
      </c>
      <c r="F403" s="19">
        <f>IF($A403="","",E403+$H403-1)</f>
        <v/>
      </c>
      <c r="G403" s="18" t="n"/>
      <c r="H403" s="18">
        <f>IF($A403="","",IF(I403&lt;&gt;"",I403,Paramètres!B25))</f>
        <v/>
      </c>
      <c r="I403" s="18" t="n"/>
    </row>
    <row r="404">
      <c r="A404" s="18">
        <f>IF(ISNUMBER(Dossiers!$D$11),Dossiers!$A$11&amp;" · "&amp;Dossiers!$B$11,"")</f>
        <v/>
      </c>
      <c r="B404" s="18">
        <f>IF($A404="","",Paramètres!G26)</f>
        <v/>
      </c>
      <c r="C404" s="18">
        <f>IF($A404="","",IF(Paramètres!H26="","",Paramètres!H26))</f>
        <v/>
      </c>
      <c r="D404" s="18">
        <f>IF($A404="","",IF(Paramètres!I26="","",Paramètres!I26))</f>
        <v/>
      </c>
      <c r="E404" s="19">
        <f>IF($A404="","",IF(Paramètres!J26&amp;Paramètres!L26&amp;Paramètres!N26="",Dossiers!$D$11,MAX(IF(Paramètres!J26="",0,IF(Paramètres!K26="",NA(),IF(LEFT(TRIM(Paramètres!K26),1)="F",INDEX($F$383:$F$435,MATCH(Paramètres!J26,Paramètres!$G$5:$G$57,0)),INDEX($E$383:$E$435,MATCH(Paramètres!J26,Paramètres!$G$5:$G$57,0)))+IF(RIGHT(TRIM(Paramètres!K26),3)="Fin",1-$H404,IF(LEFT(TRIM(Paramètres!K26),1)="F",1,0)))),IF(Paramètres!L26="",0,IF(Paramètres!M26="",NA(),IF(LEFT(TRIM(Paramètres!M26),1)="F",INDEX($F$383:$F$435,MATCH(Paramètres!L26,Paramètres!$G$5:$G$57,0)),INDEX($E$383:$E$435,MATCH(Paramètres!L26,Paramètres!$G$5:$G$57,0)))+IF(RIGHT(TRIM(Paramètres!M26),3)="Fin",1-$H404,IF(LEFT(TRIM(Paramètres!M26),1)="F",1,0)))),IF(Paramètres!N26="",0,IF(Paramètres!O26="",NA(),IF(LEFT(TRIM(Paramètres!O26),1)="F",INDEX($F$383:$F$435,MATCH(Paramètres!N26,Paramètres!$G$5:$G$57,0)),INDEX($E$383:$E$435,MATCH(Paramètres!N26,Paramètres!$G$5:$G$57,0)))+IF(RIGHT(TRIM(Paramètres!O26),3)="Fin",1-$H404,IF(LEFT(TRIM(Paramètres!O26),1)="F",1,0)))))))</f>
        <v/>
      </c>
      <c r="F404" s="19">
        <f>IF($A404="","",E404+$H404-1)</f>
        <v/>
      </c>
      <c r="G404" s="18" t="n"/>
      <c r="H404" s="18">
        <f>IF($A404="","",IF(I404&lt;&gt;"",I404,Paramètres!B26))</f>
        <v/>
      </c>
      <c r="I404" s="18" t="n"/>
    </row>
    <row r="405">
      <c r="A405" s="18">
        <f>IF(ISNUMBER(Dossiers!$D$11),Dossiers!$A$11&amp;" · "&amp;Dossiers!$B$11,"")</f>
        <v/>
      </c>
      <c r="B405" s="18">
        <f>IF($A405="","",Paramètres!G27)</f>
        <v/>
      </c>
      <c r="C405" s="18">
        <f>IF($A405="","",IF(Paramètres!H27="","",Paramètres!H27))</f>
        <v/>
      </c>
      <c r="D405" s="18">
        <f>IF($A405="","",IF(Paramètres!I27="","",Paramètres!I27))</f>
        <v/>
      </c>
      <c r="E405" s="19">
        <f>IF($A405="","",IF(Paramètres!J27&amp;Paramètres!L27&amp;Paramètres!N27="",Dossiers!$D$11,MAX(IF(Paramètres!J27="",0,IF(Paramètres!K27="",NA(),IF(LEFT(TRIM(Paramètres!K27),1)="F",INDEX($F$383:$F$435,MATCH(Paramètres!J27,Paramètres!$G$5:$G$57,0)),INDEX($E$383:$E$435,MATCH(Paramètres!J27,Paramètres!$G$5:$G$57,0)))+IF(RIGHT(TRIM(Paramètres!K27),3)="Fin",1-$H405,IF(LEFT(TRIM(Paramètres!K27),1)="F",1,0)))),IF(Paramètres!L27="",0,IF(Paramètres!M27="",NA(),IF(LEFT(TRIM(Paramètres!M27),1)="F",INDEX($F$383:$F$435,MATCH(Paramètres!L27,Paramètres!$G$5:$G$57,0)),INDEX($E$383:$E$435,MATCH(Paramètres!L27,Paramètres!$G$5:$G$57,0)))+IF(RIGHT(TRIM(Paramètres!M27),3)="Fin",1-$H405,IF(LEFT(TRIM(Paramètres!M27),1)="F",1,0)))),IF(Paramètres!N27="",0,IF(Paramètres!O27="",NA(),IF(LEFT(TRIM(Paramètres!O27),1)="F",INDEX($F$383:$F$435,MATCH(Paramètres!N27,Paramètres!$G$5:$G$57,0)),INDEX($E$383:$E$435,MATCH(Paramètres!N27,Paramètres!$G$5:$G$57,0)))+IF(RIGHT(TRIM(Paramètres!O27),3)="Fin",1-$H405,IF(LEFT(TRIM(Paramètres!O27),1)="F",1,0)))))))</f>
        <v/>
      </c>
      <c r="F405" s="19">
        <f>IF($A405="","",E405+$H405-1)</f>
        <v/>
      </c>
      <c r="G405" s="18" t="n"/>
      <c r="H405" s="18">
        <f>IF($A405="","",IF(I405&lt;&gt;"",I405,Paramètres!B27))</f>
        <v/>
      </c>
      <c r="I405" s="18" t="n"/>
    </row>
    <row r="406">
      <c r="A406" s="18">
        <f>IF(ISNUMBER(Dossiers!$D$11),Dossiers!$A$11&amp;" · "&amp;Dossiers!$B$11,"")</f>
        <v/>
      </c>
      <c r="B406" s="18">
        <f>IF($A406="","",Paramètres!G28)</f>
        <v/>
      </c>
      <c r="C406" s="18">
        <f>IF($A406="","",IF(Paramètres!H28="","",Paramètres!H28))</f>
        <v/>
      </c>
      <c r="D406" s="18">
        <f>IF($A406="","",IF(Paramètres!I28="","",Paramètres!I28))</f>
        <v/>
      </c>
      <c r="E406" s="19">
        <f>IF($A406="","",IF(Paramètres!J28&amp;Paramètres!L28&amp;Paramètres!N28="",Dossiers!$D$11,MAX(IF(Paramètres!J28="",0,IF(Paramètres!K28="",NA(),IF(LEFT(TRIM(Paramètres!K28),1)="F",INDEX($F$383:$F$435,MATCH(Paramètres!J28,Paramètres!$G$5:$G$57,0)),INDEX($E$383:$E$435,MATCH(Paramètres!J28,Paramètres!$G$5:$G$57,0)))+IF(RIGHT(TRIM(Paramètres!K28),3)="Fin",1-$H406,IF(LEFT(TRIM(Paramètres!K28),1)="F",1,0)))),IF(Paramètres!L28="",0,IF(Paramètres!M28="",NA(),IF(LEFT(TRIM(Paramètres!M28),1)="F",INDEX($F$383:$F$435,MATCH(Paramètres!L28,Paramètres!$G$5:$G$57,0)),INDEX($E$383:$E$435,MATCH(Paramètres!L28,Paramètres!$G$5:$G$57,0)))+IF(RIGHT(TRIM(Paramètres!M28),3)="Fin",1-$H406,IF(LEFT(TRIM(Paramètres!M28),1)="F",1,0)))),IF(Paramètres!N28="",0,IF(Paramètres!O28="",NA(),IF(LEFT(TRIM(Paramètres!O28),1)="F",INDEX($F$383:$F$435,MATCH(Paramètres!N28,Paramètres!$G$5:$G$57,0)),INDEX($E$383:$E$435,MATCH(Paramètres!N28,Paramètres!$G$5:$G$57,0)))+IF(RIGHT(TRIM(Paramètres!O28),3)="Fin",1-$H406,IF(LEFT(TRIM(Paramètres!O28),1)="F",1,0)))))))</f>
        <v/>
      </c>
      <c r="F406" s="19">
        <f>IF($A406="","",E406+$H406-1)</f>
        <v/>
      </c>
      <c r="G406" s="18" t="n"/>
      <c r="H406" s="18">
        <f>IF($A406="","",IF(I406&lt;&gt;"",I406,Paramètres!B28))</f>
        <v/>
      </c>
      <c r="I406" s="18" t="n"/>
    </row>
    <row r="407">
      <c r="A407" s="18">
        <f>IF(ISNUMBER(Dossiers!$D$11),Dossiers!$A$11&amp;" · "&amp;Dossiers!$B$11,"")</f>
        <v/>
      </c>
      <c r="B407" s="18">
        <f>IF($A407="","",Paramètres!G29)</f>
        <v/>
      </c>
      <c r="C407" s="18">
        <f>IF($A407="","",IF(Paramètres!H29="","",Paramètres!H29))</f>
        <v/>
      </c>
      <c r="D407" s="18">
        <f>IF($A407="","",IF(Paramètres!I29="","",Paramètres!I29))</f>
        <v/>
      </c>
      <c r="E407" s="19">
        <f>IF($A407="","",IF(Paramètres!J29&amp;Paramètres!L29&amp;Paramètres!N29="",Dossiers!$D$11,MAX(IF(Paramètres!J29="",0,IF(Paramètres!K29="",NA(),IF(LEFT(TRIM(Paramètres!K29),1)="F",INDEX($F$383:$F$435,MATCH(Paramètres!J29,Paramètres!$G$5:$G$57,0)),INDEX($E$383:$E$435,MATCH(Paramètres!J29,Paramètres!$G$5:$G$57,0)))+IF(RIGHT(TRIM(Paramètres!K29),3)="Fin",1-$H407,IF(LEFT(TRIM(Paramètres!K29),1)="F",1,0)))),IF(Paramètres!L29="",0,IF(Paramètres!M29="",NA(),IF(LEFT(TRIM(Paramètres!M29),1)="F",INDEX($F$383:$F$435,MATCH(Paramètres!L29,Paramètres!$G$5:$G$57,0)),INDEX($E$383:$E$435,MATCH(Paramètres!L29,Paramètres!$G$5:$G$57,0)))+IF(RIGHT(TRIM(Paramètres!M29),3)="Fin",1-$H407,IF(LEFT(TRIM(Paramètres!M29),1)="F",1,0)))),IF(Paramètres!N29="",0,IF(Paramètres!O29="",NA(),IF(LEFT(TRIM(Paramètres!O29),1)="F",INDEX($F$383:$F$435,MATCH(Paramètres!N29,Paramètres!$G$5:$G$57,0)),INDEX($E$383:$E$435,MATCH(Paramètres!N29,Paramètres!$G$5:$G$57,0)))+IF(RIGHT(TRIM(Paramètres!O29),3)="Fin",1-$H407,IF(LEFT(TRIM(Paramètres!O29),1)="F",1,0)))))))</f>
        <v/>
      </c>
      <c r="F407" s="19">
        <f>IF($A407="","",E407+$H407-1)</f>
        <v/>
      </c>
      <c r="G407" s="18" t="n"/>
      <c r="H407" s="18">
        <f>IF($A407="","",IF(I407&lt;&gt;"",I407,Paramètres!B29))</f>
        <v/>
      </c>
      <c r="I407" s="18" t="n"/>
    </row>
    <row r="408">
      <c r="A408" s="18">
        <f>IF(ISNUMBER(Dossiers!$D$11),Dossiers!$A$11&amp;" · "&amp;Dossiers!$B$11,"")</f>
        <v/>
      </c>
      <c r="B408" s="18">
        <f>IF($A408="","",Paramètres!G30)</f>
        <v/>
      </c>
      <c r="C408" s="18">
        <f>IF($A408="","",IF(Paramètres!H30="","",Paramètres!H30))</f>
        <v/>
      </c>
      <c r="D408" s="18">
        <f>IF($A408="","",IF(Paramètres!I30="","",Paramètres!I30))</f>
        <v/>
      </c>
      <c r="E408" s="19">
        <f>IF($A408="","",IF(Paramètres!J30&amp;Paramètres!L30&amp;Paramètres!N30="",Dossiers!$D$11,MAX(IF(Paramètres!J30="",0,IF(Paramètres!K30="",NA(),IF(LEFT(TRIM(Paramètres!K30),1)="F",INDEX($F$383:$F$435,MATCH(Paramètres!J30,Paramètres!$G$5:$G$57,0)),INDEX($E$383:$E$435,MATCH(Paramètres!J30,Paramètres!$G$5:$G$57,0)))+IF(RIGHT(TRIM(Paramètres!K30),3)="Fin",1-$H408,IF(LEFT(TRIM(Paramètres!K30),1)="F",1,0)))),IF(Paramètres!L30="",0,IF(Paramètres!M30="",NA(),IF(LEFT(TRIM(Paramètres!M30),1)="F",INDEX($F$383:$F$435,MATCH(Paramètres!L30,Paramètres!$G$5:$G$57,0)),INDEX($E$383:$E$435,MATCH(Paramètres!L30,Paramètres!$G$5:$G$57,0)))+IF(RIGHT(TRIM(Paramètres!M30),3)="Fin",1-$H408,IF(LEFT(TRIM(Paramètres!M30),1)="F",1,0)))),IF(Paramètres!N30="",0,IF(Paramètres!O30="",NA(),IF(LEFT(TRIM(Paramètres!O30),1)="F",INDEX($F$383:$F$435,MATCH(Paramètres!N30,Paramètres!$G$5:$G$57,0)),INDEX($E$383:$E$435,MATCH(Paramètres!N30,Paramètres!$G$5:$G$57,0)))+IF(RIGHT(TRIM(Paramètres!O30),3)="Fin",1-$H408,IF(LEFT(TRIM(Paramètres!O30),1)="F",1,0)))))))</f>
        <v/>
      </c>
      <c r="F408" s="19">
        <f>IF($A408="","",E408+$H408-1)</f>
        <v/>
      </c>
      <c r="G408" s="18" t="n"/>
      <c r="H408" s="18">
        <f>IF($A408="","",IF(I408&lt;&gt;"",I408,Paramètres!B30))</f>
        <v/>
      </c>
      <c r="I408" s="18" t="n"/>
    </row>
    <row r="409">
      <c r="A409" s="18">
        <f>IF(ISNUMBER(Dossiers!$D$11),Dossiers!$A$11&amp;" · "&amp;Dossiers!$B$11,"")</f>
        <v/>
      </c>
      <c r="B409" s="18">
        <f>IF($A409="","",Paramètres!G31)</f>
        <v/>
      </c>
      <c r="C409" s="20">
        <f>IF($A409="","",IF(Dossiers!$F$11="","",Dossiers!$F$11))</f>
        <v/>
      </c>
      <c r="D409" s="18">
        <f>IF($A409="","",IF(Paramètres!I31="","",Paramètres!I31))</f>
        <v/>
      </c>
      <c r="E409" s="19">
        <f>IF($A409="","",IF(Paramètres!J31&amp;Paramètres!L31&amp;Paramètres!N31="",Dossiers!$D$11,MAX(IF(Paramètres!J31="",0,IF(Paramètres!K31="",NA(),IF(LEFT(TRIM(Paramètres!K31),1)="F",INDEX($F$383:$F$435,MATCH(Paramètres!J31,Paramètres!$G$5:$G$57,0)),INDEX($E$383:$E$435,MATCH(Paramètres!J31,Paramètres!$G$5:$G$57,0)))+IF(RIGHT(TRIM(Paramètres!K31),3)="Fin",1-$H409,IF(LEFT(TRIM(Paramètres!K31),1)="F",1,0)))),IF(Paramètres!L31="",0,IF(Paramètres!M31="",NA(),IF(LEFT(TRIM(Paramètres!M31),1)="F",INDEX($F$383:$F$435,MATCH(Paramètres!L31,Paramètres!$G$5:$G$57,0)),INDEX($E$383:$E$435,MATCH(Paramètres!L31,Paramètres!$G$5:$G$57,0)))+IF(RIGHT(TRIM(Paramètres!M31),3)="Fin",1-$H409,IF(LEFT(TRIM(Paramètres!M31),1)="F",1,0)))),IF(Paramètres!N31="",0,IF(Paramètres!O31="",NA(),IF(LEFT(TRIM(Paramètres!O31),1)="F",INDEX($F$383:$F$435,MATCH(Paramètres!N31,Paramètres!$G$5:$G$57,0)),INDEX($E$383:$E$435,MATCH(Paramètres!N31,Paramètres!$G$5:$G$57,0)))+IF(RIGHT(TRIM(Paramètres!O31),3)="Fin",1-$H409,IF(LEFT(TRIM(Paramètres!O31),1)="F",1,0)))))))</f>
        <v/>
      </c>
      <c r="F409" s="19">
        <f>IF($A409="","",E409+$H409-1)</f>
        <v/>
      </c>
      <c r="G409" s="18" t="n"/>
      <c r="H409" s="18">
        <f>IF($A409="","",IF(I409&lt;&gt;"",I409,Paramètres!B31))</f>
        <v/>
      </c>
      <c r="I409" s="18" t="n"/>
    </row>
    <row r="410">
      <c r="A410" s="18">
        <f>IF(ISNUMBER(Dossiers!$D$11),Dossiers!$A$11&amp;" · "&amp;Dossiers!$B$11,"")</f>
        <v/>
      </c>
      <c r="B410" s="18">
        <f>IF($A410="","",Paramètres!G32)</f>
        <v/>
      </c>
      <c r="C410" s="18">
        <f>IF($A410="","",IF(Paramètres!H32="","",Paramètres!H32))</f>
        <v/>
      </c>
      <c r="D410" s="18">
        <f>IF($A410="","",IF(Paramètres!I32="","",Paramètres!I32))</f>
        <v/>
      </c>
      <c r="E410" s="19">
        <f>IF($A410="","",MIN(E411:E414))</f>
        <v/>
      </c>
      <c r="F410" s="19">
        <f>IF($A410="","",MAX(F411:F414))</f>
        <v/>
      </c>
      <c r="G410" s="18" t="n"/>
      <c r="H410" s="18">
        <f>IF($A410="","",F410-E410+1)</f>
        <v/>
      </c>
      <c r="I410" s="18" t="n"/>
    </row>
    <row r="411">
      <c r="A411" s="18">
        <f>IF(ISNUMBER(Dossiers!$D$11),Dossiers!$A$11&amp;" · "&amp;Dossiers!$B$11,"")</f>
        <v/>
      </c>
      <c r="B411" s="18">
        <f>IF($A411="","",Paramètres!G33)</f>
        <v/>
      </c>
      <c r="C411" s="18">
        <f>IF($A411="","",IF(Paramètres!H33="","",Paramètres!H33))</f>
        <v/>
      </c>
      <c r="D411" s="18">
        <f>IF($A411="","",IF(Paramètres!I33="","",Paramètres!I33))</f>
        <v/>
      </c>
      <c r="E411" s="19">
        <f>IF($A411="","",IF(Paramètres!J33&amp;Paramètres!L33&amp;Paramètres!N33="",Dossiers!$D$11,MAX(IF(Paramètres!J33="",0,IF(Paramètres!K33="",NA(),IF(LEFT(TRIM(Paramètres!K33),1)="F",INDEX($F$383:$F$435,MATCH(Paramètres!J33,Paramètres!$G$5:$G$57,0)),INDEX($E$383:$E$435,MATCH(Paramètres!J33,Paramètres!$G$5:$G$57,0)))+IF(RIGHT(TRIM(Paramètres!K33),3)="Fin",1-$H411,IF(LEFT(TRIM(Paramètres!K33),1)="F",1,0)))),IF(Paramètres!L33="",0,IF(Paramètres!M33="",NA(),IF(LEFT(TRIM(Paramètres!M33),1)="F",INDEX($F$383:$F$435,MATCH(Paramètres!L33,Paramètres!$G$5:$G$57,0)),INDEX($E$383:$E$435,MATCH(Paramètres!L33,Paramètres!$G$5:$G$57,0)))+IF(RIGHT(TRIM(Paramètres!M33),3)="Fin",1-$H411,IF(LEFT(TRIM(Paramètres!M33),1)="F",1,0)))),IF(Paramètres!N33="",0,IF(Paramètres!O33="",NA(),IF(LEFT(TRIM(Paramètres!O33),1)="F",INDEX($F$383:$F$435,MATCH(Paramètres!N33,Paramètres!$G$5:$G$57,0)),INDEX($E$383:$E$435,MATCH(Paramètres!N33,Paramètres!$G$5:$G$57,0)))+IF(RIGHT(TRIM(Paramètres!O33),3)="Fin",1-$H411,IF(LEFT(TRIM(Paramètres!O33),1)="F",1,0)))))))</f>
        <v/>
      </c>
      <c r="F411" s="19">
        <f>IF($A411="","",E411+$H411-1)</f>
        <v/>
      </c>
      <c r="G411" s="18" t="n"/>
      <c r="H411" s="18">
        <f>IF($A411="","",IF(I411&lt;&gt;"",I411,Paramètres!B33))</f>
        <v/>
      </c>
      <c r="I411" s="18" t="n"/>
    </row>
    <row r="412">
      <c r="A412" s="18">
        <f>IF(ISNUMBER(Dossiers!$D$11),Dossiers!$A$11&amp;" · "&amp;Dossiers!$B$11,"")</f>
        <v/>
      </c>
      <c r="B412" s="18">
        <f>IF($A412="","",Paramètres!G34)</f>
        <v/>
      </c>
      <c r="C412" s="18">
        <f>IF($A412="","",IF(Paramètres!H34="","",Paramètres!H34))</f>
        <v/>
      </c>
      <c r="D412" s="18">
        <f>IF($A412="","",IF(Paramètres!I34="","",Paramètres!I34))</f>
        <v/>
      </c>
      <c r="E412" s="19">
        <f>IF($A412="","",IF(Paramètres!J34&amp;Paramètres!L34&amp;Paramètres!N34="",Dossiers!$D$11,MAX(IF(Paramètres!J34="",0,IF(Paramètres!K34="",NA(),IF(LEFT(TRIM(Paramètres!K34),1)="F",INDEX($F$383:$F$435,MATCH(Paramètres!J34,Paramètres!$G$5:$G$57,0)),INDEX($E$383:$E$435,MATCH(Paramètres!J34,Paramètres!$G$5:$G$57,0)))+IF(RIGHT(TRIM(Paramètres!K34),3)="Fin",1-$H412,IF(LEFT(TRIM(Paramètres!K34),1)="F",1,0)))),IF(Paramètres!L34="",0,IF(Paramètres!M34="",NA(),IF(LEFT(TRIM(Paramètres!M34),1)="F",INDEX($F$383:$F$435,MATCH(Paramètres!L34,Paramètres!$G$5:$G$57,0)),INDEX($E$383:$E$435,MATCH(Paramètres!L34,Paramètres!$G$5:$G$57,0)))+IF(RIGHT(TRIM(Paramètres!M34),3)="Fin",1-$H412,IF(LEFT(TRIM(Paramètres!M34),1)="F",1,0)))),IF(Paramètres!N34="",0,IF(Paramètres!O34="",NA(),IF(LEFT(TRIM(Paramètres!O34),1)="F",INDEX($F$383:$F$435,MATCH(Paramètres!N34,Paramètres!$G$5:$G$57,0)),INDEX($E$383:$E$435,MATCH(Paramètres!N34,Paramètres!$G$5:$G$57,0)))+IF(RIGHT(TRIM(Paramètres!O34),3)="Fin",1-$H412,IF(LEFT(TRIM(Paramètres!O34),1)="F",1,0)))))))</f>
        <v/>
      </c>
      <c r="F412" s="19">
        <f>IF($A412="","",E412+$H412-1)</f>
        <v/>
      </c>
      <c r="G412" s="18" t="n"/>
      <c r="H412" s="18">
        <f>IF($A412="","",IF(I412&lt;&gt;"",I412,Paramètres!B34))</f>
        <v/>
      </c>
      <c r="I412" s="18" t="n"/>
    </row>
    <row r="413">
      <c r="A413" s="18">
        <f>IF(ISNUMBER(Dossiers!$D$11),Dossiers!$A$11&amp;" · "&amp;Dossiers!$B$11,"")</f>
        <v/>
      </c>
      <c r="B413" s="18">
        <f>IF($A413="","",Paramètres!G35)</f>
        <v/>
      </c>
      <c r="C413" s="18">
        <f>IF($A413="","",IF(Paramètres!H35="","",Paramètres!H35))</f>
        <v/>
      </c>
      <c r="D413" s="18">
        <f>IF($A413="","",IF(Paramètres!I35="","",Paramètres!I35))</f>
        <v/>
      </c>
      <c r="E413" s="19">
        <f>IF($A413="","",IF(Paramètres!J35&amp;Paramètres!L35&amp;Paramètres!N35="",Dossiers!$D$11,MAX(IF(Paramètres!J35="",0,IF(Paramètres!K35="",NA(),IF(LEFT(TRIM(Paramètres!K35),1)="F",INDEX($F$383:$F$435,MATCH(Paramètres!J35,Paramètres!$G$5:$G$57,0)),INDEX($E$383:$E$435,MATCH(Paramètres!J35,Paramètres!$G$5:$G$57,0)))+IF(RIGHT(TRIM(Paramètres!K35),3)="Fin",1-$H413,IF(LEFT(TRIM(Paramètres!K35),1)="F",1,0)))),IF(Paramètres!L35="",0,IF(Paramètres!M35="",NA(),IF(LEFT(TRIM(Paramètres!M35),1)="F",INDEX($F$383:$F$435,MATCH(Paramètres!L35,Paramètres!$G$5:$G$57,0)),INDEX($E$383:$E$435,MATCH(Paramètres!L35,Paramètres!$G$5:$G$57,0)))+IF(RIGHT(TRIM(Paramètres!M35),3)="Fin",1-$H413,IF(LEFT(TRIM(Paramètres!M35),1)="F",1,0)))),IF(Paramètres!N35="",0,IF(Paramètres!O35="",NA(),IF(LEFT(TRIM(Paramètres!O35),1)="F",INDEX($F$383:$F$435,MATCH(Paramètres!N35,Paramètres!$G$5:$G$57,0)),INDEX($E$383:$E$435,MATCH(Paramètres!N35,Paramètres!$G$5:$G$57,0)))+IF(RIGHT(TRIM(Paramètres!O35),3)="Fin",1-$H413,IF(LEFT(TRIM(Paramètres!O35),1)="F",1,0)))))))</f>
        <v/>
      </c>
      <c r="F413" s="19">
        <f>IF($A413="","",E413+$H413-1)</f>
        <v/>
      </c>
      <c r="G413" s="18" t="n"/>
      <c r="H413" s="18">
        <f>IF($A413="","",IF(I413&lt;&gt;"",I413,Paramètres!B35))</f>
        <v/>
      </c>
      <c r="I413" s="18" t="n"/>
    </row>
    <row r="414">
      <c r="A414" s="18">
        <f>IF(ISNUMBER(Dossiers!$D$11),Dossiers!$A$11&amp;" · "&amp;Dossiers!$B$11,"")</f>
        <v/>
      </c>
      <c r="B414" s="18">
        <f>IF($A414="","",Paramètres!G36)</f>
        <v/>
      </c>
      <c r="C414" s="18">
        <f>IF($A414="","",IF(Paramètres!H36="","",Paramètres!H36))</f>
        <v/>
      </c>
      <c r="D414" s="18">
        <f>IF($A414="","",IF(Paramètres!I36="","",Paramètres!I36))</f>
        <v/>
      </c>
      <c r="E414" s="19">
        <f>IF($A414="","",IF(Paramètres!J36&amp;Paramètres!L36&amp;Paramètres!N36="",Dossiers!$D$11,MAX(IF(Paramètres!J36="",0,IF(Paramètres!K36="",NA(),IF(LEFT(TRIM(Paramètres!K36),1)="F",INDEX($F$383:$F$435,MATCH(Paramètres!J36,Paramètres!$G$5:$G$57,0)),INDEX($E$383:$E$435,MATCH(Paramètres!J36,Paramètres!$G$5:$G$57,0)))+IF(RIGHT(TRIM(Paramètres!K36),3)="Fin",1-$H414,IF(LEFT(TRIM(Paramètres!K36),1)="F",1,0)))),IF(Paramètres!L36="",0,IF(Paramètres!M36="",NA(),IF(LEFT(TRIM(Paramètres!M36),1)="F",INDEX($F$383:$F$435,MATCH(Paramètres!L36,Paramètres!$G$5:$G$57,0)),INDEX($E$383:$E$435,MATCH(Paramètres!L36,Paramètres!$G$5:$G$57,0)))+IF(RIGHT(TRIM(Paramètres!M36),3)="Fin",1-$H414,IF(LEFT(TRIM(Paramètres!M36),1)="F",1,0)))),IF(Paramètres!N36="",0,IF(Paramètres!O36="",NA(),IF(LEFT(TRIM(Paramètres!O36),1)="F",INDEX($F$383:$F$435,MATCH(Paramètres!N36,Paramètres!$G$5:$G$57,0)),INDEX($E$383:$E$435,MATCH(Paramètres!N36,Paramètres!$G$5:$G$57,0)))+IF(RIGHT(TRIM(Paramètres!O36),3)="Fin",1-$H414,IF(LEFT(TRIM(Paramètres!O36),1)="F",1,0)))))))</f>
        <v/>
      </c>
      <c r="F414" s="19">
        <f>IF($A414="","",E414+$H414-1)</f>
        <v/>
      </c>
      <c r="G414" s="18" t="n"/>
      <c r="H414" s="18">
        <f>IF($A414="","",IF(I414&lt;&gt;"",I414,Paramètres!B36))</f>
        <v/>
      </c>
      <c r="I414" s="18" t="n"/>
    </row>
    <row r="415">
      <c r="A415" s="18">
        <f>IF(ISNUMBER(Dossiers!$D$11),Dossiers!$A$11&amp;" · "&amp;Dossiers!$B$11,"")</f>
        <v/>
      </c>
      <c r="B415" s="18">
        <f>IF($A415="","",Paramètres!G37)</f>
        <v/>
      </c>
      <c r="C415" s="18">
        <f>IF($A415="","",IF(Paramètres!H37="","",Paramètres!H37))</f>
        <v/>
      </c>
      <c r="D415" s="18">
        <f>IF($A415="","",IF(Paramètres!I37="","",Paramètres!I37))</f>
        <v/>
      </c>
      <c r="E415" s="19">
        <f>IF($A415="","",MIN(E416:E433))</f>
        <v/>
      </c>
      <c r="F415" s="19">
        <f>IF($A415="","",MAX(F416:F433))</f>
        <v/>
      </c>
      <c r="G415" s="18" t="n"/>
      <c r="H415" s="18">
        <f>IF($A415="","",F415-E415+1)</f>
        <v/>
      </c>
      <c r="I415" s="18" t="n"/>
    </row>
    <row r="416">
      <c r="A416" s="18">
        <f>IF(ISNUMBER(Dossiers!$D$11),Dossiers!$A$11&amp;" · "&amp;Dossiers!$B$11,"")</f>
        <v/>
      </c>
      <c r="B416" s="18">
        <f>IF($A416="","",Paramètres!G38)</f>
        <v/>
      </c>
      <c r="C416" s="18">
        <f>IF($A416="","",IF(Paramètres!H38="","",Paramètres!H38))</f>
        <v/>
      </c>
      <c r="D416" s="18">
        <f>IF($A416="","",IF(Paramètres!I38="","",Paramètres!I38))</f>
        <v/>
      </c>
      <c r="E416" s="19">
        <f>IF($A416="","",IF(Paramètres!J38&amp;Paramètres!L38&amp;Paramètres!N38="",Dossiers!$D$11,MAX(IF(Paramètres!J38="",0,IF(Paramètres!K38="",NA(),IF(LEFT(TRIM(Paramètres!K38),1)="F",INDEX($F$383:$F$435,MATCH(Paramètres!J38,Paramètres!$G$5:$G$57,0)),INDEX($E$383:$E$435,MATCH(Paramètres!J38,Paramètres!$G$5:$G$57,0)))+IF(RIGHT(TRIM(Paramètres!K38),3)="Fin",1-$H416,IF(LEFT(TRIM(Paramètres!K38),1)="F",1,0)))),IF(Paramètres!L38="",0,IF(Paramètres!M38="",NA(),IF(LEFT(TRIM(Paramètres!M38),1)="F",INDEX($F$383:$F$435,MATCH(Paramètres!L38,Paramètres!$G$5:$G$57,0)),INDEX($E$383:$E$435,MATCH(Paramètres!L38,Paramètres!$G$5:$G$57,0)))+IF(RIGHT(TRIM(Paramètres!M38),3)="Fin",1-$H416,IF(LEFT(TRIM(Paramètres!M38),1)="F",1,0)))),IF(Paramètres!N38="",0,IF(Paramètres!O38="",NA(),IF(LEFT(TRIM(Paramètres!O38),1)="F",INDEX($F$383:$F$435,MATCH(Paramètres!N38,Paramètres!$G$5:$G$57,0)),INDEX($E$383:$E$435,MATCH(Paramètres!N38,Paramètres!$G$5:$G$57,0)))+IF(RIGHT(TRIM(Paramètres!O38),3)="Fin",1-$H416,IF(LEFT(TRIM(Paramètres!O38),1)="F",1,0)))))))</f>
        <v/>
      </c>
      <c r="F416" s="19">
        <f>IF($A416="","",E416+$H416-1)</f>
        <v/>
      </c>
      <c r="G416" s="18" t="n"/>
      <c r="H416" s="18">
        <f>IF($A416="","",IF(I416&lt;&gt;"",I416,Paramètres!B38))</f>
        <v/>
      </c>
      <c r="I416" s="18" t="n"/>
    </row>
    <row r="417">
      <c r="A417" s="18">
        <f>IF(ISNUMBER(Dossiers!$D$11),Dossiers!$A$11&amp;" · "&amp;Dossiers!$B$11,"")</f>
        <v/>
      </c>
      <c r="B417" s="18">
        <f>IF($A417="","",Paramètres!G39)</f>
        <v/>
      </c>
      <c r="C417" s="18">
        <f>IF($A417="","",IF(Paramètres!H39="","",Paramètres!H39))</f>
        <v/>
      </c>
      <c r="D417" s="18">
        <f>IF($A417="","",IF(Paramètres!I39="","",Paramètres!I39))</f>
        <v/>
      </c>
      <c r="E417" s="19">
        <f>IF($A417="","",IF(Paramètres!J39&amp;Paramètres!L39&amp;Paramètres!N39="",Dossiers!$D$11,MAX(IF(Paramètres!J39="",0,IF(Paramètres!K39="",NA(),IF(LEFT(TRIM(Paramètres!K39),1)="F",INDEX($F$383:$F$435,MATCH(Paramètres!J39,Paramètres!$G$5:$G$57,0)),INDEX($E$383:$E$435,MATCH(Paramètres!J39,Paramètres!$G$5:$G$57,0)))+IF(RIGHT(TRIM(Paramètres!K39),3)="Fin",1-$H417,IF(LEFT(TRIM(Paramètres!K39),1)="F",1,0)))),IF(Paramètres!L39="",0,IF(Paramètres!M39="",NA(),IF(LEFT(TRIM(Paramètres!M39),1)="F",INDEX($F$383:$F$435,MATCH(Paramètres!L39,Paramètres!$G$5:$G$57,0)),INDEX($E$383:$E$435,MATCH(Paramètres!L39,Paramètres!$G$5:$G$57,0)))+IF(RIGHT(TRIM(Paramètres!M39),3)="Fin",1-$H417,IF(LEFT(TRIM(Paramètres!M39),1)="F",1,0)))),IF(Paramètres!N39="",0,IF(Paramètres!O39="",NA(),IF(LEFT(TRIM(Paramètres!O39),1)="F",INDEX($F$383:$F$435,MATCH(Paramètres!N39,Paramètres!$G$5:$G$57,0)),INDEX($E$383:$E$435,MATCH(Paramètres!N39,Paramètres!$G$5:$G$57,0)))+IF(RIGHT(TRIM(Paramètres!O39),3)="Fin",1-$H417,IF(LEFT(TRIM(Paramètres!O39),1)="F",1,0)))))))</f>
        <v/>
      </c>
      <c r="F417" s="19">
        <f>IF($A417="","",E417+$H417-1)</f>
        <v/>
      </c>
      <c r="G417" s="18" t="n"/>
      <c r="H417" s="18">
        <f>IF($A417="","",IF(I417&lt;&gt;"",I417,Paramètres!B39))</f>
        <v/>
      </c>
      <c r="I417" s="18" t="n"/>
    </row>
    <row r="418">
      <c r="A418" s="18">
        <f>IF(ISNUMBER(Dossiers!$D$11),Dossiers!$A$11&amp;" · "&amp;Dossiers!$B$11,"")</f>
        <v/>
      </c>
      <c r="B418" s="18">
        <f>IF($A418="","",Paramètres!G40)</f>
        <v/>
      </c>
      <c r="C418" s="18">
        <f>IF($A418="","",IF(Paramètres!H40="","",Paramètres!H40))</f>
        <v/>
      </c>
      <c r="D418" s="18">
        <f>IF($A418="","",IF(Paramètres!I40="","",Paramètres!I40))</f>
        <v/>
      </c>
      <c r="E418" s="19">
        <f>IF($A418="","",IF(Paramètres!J40&amp;Paramètres!L40&amp;Paramètres!N40="",Dossiers!$D$11,MAX(IF(Paramètres!J40="",0,IF(Paramètres!K40="",NA(),IF(LEFT(TRIM(Paramètres!K40),1)="F",INDEX($F$383:$F$435,MATCH(Paramètres!J40,Paramètres!$G$5:$G$57,0)),INDEX($E$383:$E$435,MATCH(Paramètres!J40,Paramètres!$G$5:$G$57,0)))+IF(RIGHT(TRIM(Paramètres!K40),3)="Fin",1-$H418,IF(LEFT(TRIM(Paramètres!K40),1)="F",1,0)))),IF(Paramètres!L40="",0,IF(Paramètres!M40="",NA(),IF(LEFT(TRIM(Paramètres!M40),1)="F",INDEX($F$383:$F$435,MATCH(Paramètres!L40,Paramètres!$G$5:$G$57,0)),INDEX($E$383:$E$435,MATCH(Paramètres!L40,Paramètres!$G$5:$G$57,0)))+IF(RIGHT(TRIM(Paramètres!M40),3)="Fin",1-$H418,IF(LEFT(TRIM(Paramètres!M40),1)="F",1,0)))),IF(Paramètres!N40="",0,IF(Paramètres!O40="",NA(),IF(LEFT(TRIM(Paramètres!O40),1)="F",INDEX($F$383:$F$435,MATCH(Paramètres!N40,Paramètres!$G$5:$G$57,0)),INDEX($E$383:$E$435,MATCH(Paramètres!N40,Paramètres!$G$5:$G$57,0)))+IF(RIGHT(TRIM(Paramètres!O40),3)="Fin",1-$H418,IF(LEFT(TRIM(Paramètres!O40),1)="F",1,0)))))))</f>
        <v/>
      </c>
      <c r="F418" s="19">
        <f>IF($A418="","",E418+$H418-1)</f>
        <v/>
      </c>
      <c r="G418" s="18" t="n"/>
      <c r="H418" s="18">
        <f>IF($A418="","",IF(I418&lt;&gt;"",I418,Paramètres!B40))</f>
        <v/>
      </c>
      <c r="I418" s="18" t="n"/>
    </row>
    <row r="419">
      <c r="A419" s="18">
        <f>IF(ISNUMBER(Dossiers!$D$11),Dossiers!$A$11&amp;" · "&amp;Dossiers!$B$11,"")</f>
        <v/>
      </c>
      <c r="B419" s="18">
        <f>IF($A419="","",Paramètres!G41)</f>
        <v/>
      </c>
      <c r="C419" s="18">
        <f>IF($A419="","",IF(Paramètres!H41="","",Paramètres!H41))</f>
        <v/>
      </c>
      <c r="D419" s="18">
        <f>IF($A419="","",IF(Paramètres!I41="","",Paramètres!I41))</f>
        <v/>
      </c>
      <c r="E419" s="19">
        <f>IF($A419="","",IF(Paramètres!J41&amp;Paramètres!L41&amp;Paramètres!N41="",Dossiers!$D$11,MAX(IF(Paramètres!J41="",0,IF(Paramètres!K41="",NA(),IF(LEFT(TRIM(Paramètres!K41),1)="F",INDEX($F$383:$F$435,MATCH(Paramètres!J41,Paramètres!$G$5:$G$57,0)),INDEX($E$383:$E$435,MATCH(Paramètres!J41,Paramètres!$G$5:$G$57,0)))+IF(RIGHT(TRIM(Paramètres!K41),3)="Fin",1-$H419,IF(LEFT(TRIM(Paramètres!K41),1)="F",1,0)))),IF(Paramètres!L41="",0,IF(Paramètres!M41="",NA(),IF(LEFT(TRIM(Paramètres!M41),1)="F",INDEX($F$383:$F$435,MATCH(Paramètres!L41,Paramètres!$G$5:$G$57,0)),INDEX($E$383:$E$435,MATCH(Paramètres!L41,Paramètres!$G$5:$G$57,0)))+IF(RIGHT(TRIM(Paramètres!M41),3)="Fin",1-$H419,IF(LEFT(TRIM(Paramètres!M41),1)="F",1,0)))),IF(Paramètres!N41="",0,IF(Paramètres!O41="",NA(),IF(LEFT(TRIM(Paramètres!O41),1)="F",INDEX($F$383:$F$435,MATCH(Paramètres!N41,Paramètres!$G$5:$G$57,0)),INDEX($E$383:$E$435,MATCH(Paramètres!N41,Paramètres!$G$5:$G$57,0)))+IF(RIGHT(TRIM(Paramètres!O41),3)="Fin",1-$H419,IF(LEFT(TRIM(Paramètres!O41),1)="F",1,0)))))))</f>
        <v/>
      </c>
      <c r="F419" s="19">
        <f>IF($A419="","",E419+$H419-1)</f>
        <v/>
      </c>
      <c r="G419" s="18" t="n"/>
      <c r="H419" s="18">
        <f>IF($A419="","",IF(I419&lt;&gt;"",I419,Paramètres!B41))</f>
        <v/>
      </c>
      <c r="I419" s="18" t="n"/>
    </row>
    <row r="420">
      <c r="A420" s="18">
        <f>IF(ISNUMBER(Dossiers!$D$11),Dossiers!$A$11&amp;" · "&amp;Dossiers!$B$11,"")</f>
        <v/>
      </c>
      <c r="B420" s="18">
        <f>IF($A420="","",Paramètres!G42)</f>
        <v/>
      </c>
      <c r="C420" s="18">
        <f>IF($A420="","",IF(Paramètres!H42="","",Paramètres!H42))</f>
        <v/>
      </c>
      <c r="D420" s="18">
        <f>IF($A420="","",IF(Paramètres!I42="","",Paramètres!I42))</f>
        <v/>
      </c>
      <c r="E420" s="19">
        <f>IF($A420="","",IF(Paramètres!J42&amp;Paramètres!L42&amp;Paramètres!N42="",Dossiers!$D$11,MAX(IF(Paramètres!J42="",0,IF(Paramètres!K42="",NA(),IF(LEFT(TRIM(Paramètres!K42),1)="F",INDEX($F$383:$F$435,MATCH(Paramètres!J42,Paramètres!$G$5:$G$57,0)),INDEX($E$383:$E$435,MATCH(Paramètres!J42,Paramètres!$G$5:$G$57,0)))+IF(RIGHT(TRIM(Paramètres!K42),3)="Fin",1-$H420,IF(LEFT(TRIM(Paramètres!K42),1)="F",1,0)))),IF(Paramètres!L42="",0,IF(Paramètres!M42="",NA(),IF(LEFT(TRIM(Paramètres!M42),1)="F",INDEX($F$383:$F$435,MATCH(Paramètres!L42,Paramètres!$G$5:$G$57,0)),INDEX($E$383:$E$435,MATCH(Paramètres!L42,Paramètres!$G$5:$G$57,0)))+IF(RIGHT(TRIM(Paramètres!M42),3)="Fin",1-$H420,IF(LEFT(TRIM(Paramètres!M42),1)="F",1,0)))),IF(Paramètres!N42="",0,IF(Paramètres!O42="",NA(),IF(LEFT(TRIM(Paramètres!O42),1)="F",INDEX($F$383:$F$435,MATCH(Paramètres!N42,Paramètres!$G$5:$G$57,0)),INDEX($E$383:$E$435,MATCH(Paramètres!N42,Paramètres!$G$5:$G$57,0)))+IF(RIGHT(TRIM(Paramètres!O42),3)="Fin",1-$H420,IF(LEFT(TRIM(Paramètres!O42),1)="F",1,0)))))))</f>
        <v/>
      </c>
      <c r="F420" s="19">
        <f>IF($A420="","",E420+$H420-1)</f>
        <v/>
      </c>
      <c r="G420" s="18" t="n"/>
      <c r="H420" s="18">
        <f>IF($A420="","",IF(I420&lt;&gt;"",I420,Paramètres!B42))</f>
        <v/>
      </c>
      <c r="I420" s="18" t="n"/>
    </row>
    <row r="421">
      <c r="A421" s="18">
        <f>IF(ISNUMBER(Dossiers!$D$11),Dossiers!$A$11&amp;" · "&amp;Dossiers!$B$11,"")</f>
        <v/>
      </c>
      <c r="B421" s="18">
        <f>IF($A421="","",Paramètres!G43)</f>
        <v/>
      </c>
      <c r="C421" s="18">
        <f>IF($A421="","",IF(Paramètres!H43="","",Paramètres!H43))</f>
        <v/>
      </c>
      <c r="D421" s="18">
        <f>IF($A421="","",IF(Paramètres!I43="","",Paramètres!I43))</f>
        <v/>
      </c>
      <c r="E421" s="19">
        <f>IF($A421="","",IF(Paramètres!J43&amp;Paramètres!L43&amp;Paramètres!N43="",Dossiers!$D$11,MAX(IF(Paramètres!J43="",0,IF(Paramètres!K43="",NA(),IF(LEFT(TRIM(Paramètres!K43),1)="F",INDEX($F$383:$F$435,MATCH(Paramètres!J43,Paramètres!$G$5:$G$57,0)),INDEX($E$383:$E$435,MATCH(Paramètres!J43,Paramètres!$G$5:$G$57,0)))+IF(RIGHT(TRIM(Paramètres!K43),3)="Fin",1-$H421,IF(LEFT(TRIM(Paramètres!K43),1)="F",1,0)))),IF(Paramètres!L43="",0,IF(Paramètres!M43="",NA(),IF(LEFT(TRIM(Paramètres!M43),1)="F",INDEX($F$383:$F$435,MATCH(Paramètres!L43,Paramètres!$G$5:$G$57,0)),INDEX($E$383:$E$435,MATCH(Paramètres!L43,Paramètres!$G$5:$G$57,0)))+IF(RIGHT(TRIM(Paramètres!M43),3)="Fin",1-$H421,IF(LEFT(TRIM(Paramètres!M43),1)="F",1,0)))),IF(Paramètres!N43="",0,IF(Paramètres!O43="",NA(),IF(LEFT(TRIM(Paramètres!O43),1)="F",INDEX($F$383:$F$435,MATCH(Paramètres!N43,Paramètres!$G$5:$G$57,0)),INDEX($E$383:$E$435,MATCH(Paramètres!N43,Paramètres!$G$5:$G$57,0)))+IF(RIGHT(TRIM(Paramètres!O43),3)="Fin",1-$H421,IF(LEFT(TRIM(Paramètres!O43),1)="F",1,0)))))))</f>
        <v/>
      </c>
      <c r="F421" s="19">
        <f>IF($A421="","",E421+$H421-1)</f>
        <v/>
      </c>
      <c r="G421" s="18" t="n"/>
      <c r="H421" s="18">
        <f>IF($A421="","",IF(I421&lt;&gt;"",I421,Paramètres!B43))</f>
        <v/>
      </c>
      <c r="I421" s="18" t="n"/>
    </row>
    <row r="422">
      <c r="A422" s="18">
        <f>IF(ISNUMBER(Dossiers!$D$11),Dossiers!$A$11&amp;" · "&amp;Dossiers!$B$11,"")</f>
        <v/>
      </c>
      <c r="B422" s="18">
        <f>IF($A422="","",Paramètres!G44)</f>
        <v/>
      </c>
      <c r="C422" s="18">
        <f>IF($A422="","",IF(Paramètres!H44="","",Paramètres!H44))</f>
        <v/>
      </c>
      <c r="D422" s="18">
        <f>IF($A422="","",IF(Paramètres!I44="","",Paramètres!I44))</f>
        <v/>
      </c>
      <c r="E422" s="19">
        <f>IF($A422="","",IF(Paramètres!J44&amp;Paramètres!L44&amp;Paramètres!N44="",Dossiers!$D$11,MAX(IF(Paramètres!J44="",0,IF(Paramètres!K44="",NA(),IF(LEFT(TRIM(Paramètres!K44),1)="F",INDEX($F$383:$F$435,MATCH(Paramètres!J44,Paramètres!$G$5:$G$57,0)),INDEX($E$383:$E$435,MATCH(Paramètres!J44,Paramètres!$G$5:$G$57,0)))+IF(RIGHT(TRIM(Paramètres!K44),3)="Fin",1-$H422,IF(LEFT(TRIM(Paramètres!K44),1)="F",1,0)))),IF(Paramètres!L44="",0,IF(Paramètres!M44="",NA(),IF(LEFT(TRIM(Paramètres!M44),1)="F",INDEX($F$383:$F$435,MATCH(Paramètres!L44,Paramètres!$G$5:$G$57,0)),INDEX($E$383:$E$435,MATCH(Paramètres!L44,Paramètres!$G$5:$G$57,0)))+IF(RIGHT(TRIM(Paramètres!M44),3)="Fin",1-$H422,IF(LEFT(TRIM(Paramètres!M44),1)="F",1,0)))),IF(Paramètres!N44="",0,IF(Paramètres!O44="",NA(),IF(LEFT(TRIM(Paramètres!O44),1)="F",INDEX($F$383:$F$435,MATCH(Paramètres!N44,Paramètres!$G$5:$G$57,0)),INDEX($E$383:$E$435,MATCH(Paramètres!N44,Paramètres!$G$5:$G$57,0)))+IF(RIGHT(TRIM(Paramètres!O44),3)="Fin",1-$H422,IF(LEFT(TRIM(Paramètres!O44),1)="F",1,0)))))))</f>
        <v/>
      </c>
      <c r="F422" s="19">
        <f>IF($A422="","",E422+$H422-1)</f>
        <v/>
      </c>
      <c r="G422" s="18" t="n"/>
      <c r="H422" s="18">
        <f>IF($A422="","",IF(I422&lt;&gt;"",I422,Paramètres!B44))</f>
        <v/>
      </c>
      <c r="I422" s="18" t="n"/>
    </row>
    <row r="423">
      <c r="A423" s="18">
        <f>IF(ISNUMBER(Dossiers!$D$11),Dossiers!$A$11&amp;" · "&amp;Dossiers!$B$11,"")</f>
        <v/>
      </c>
      <c r="B423" s="18">
        <f>IF($A423="","",Paramètres!G45)</f>
        <v/>
      </c>
      <c r="C423" s="20">
        <f>IF($A423="","",IF(Dossiers!$G$11="","",Dossiers!$G$11))</f>
        <v/>
      </c>
      <c r="D423" s="18">
        <f>IF($A423="","",IF(Paramètres!I45="","",Paramètres!I45))</f>
        <v/>
      </c>
      <c r="E423" s="19">
        <f>IF($A423="","",IF(Paramètres!J45&amp;Paramètres!L45&amp;Paramètres!N45="",Dossiers!$D$11,MAX(IF(Paramètres!J45="",0,IF(Paramètres!K45="",NA(),IF(LEFT(TRIM(Paramètres!K45),1)="F",INDEX($F$383:$F$435,MATCH(Paramètres!J45,Paramètres!$G$5:$G$57,0)),INDEX($E$383:$E$435,MATCH(Paramètres!J45,Paramètres!$G$5:$G$57,0)))+IF(RIGHT(TRIM(Paramètres!K45),3)="Fin",1-$H423,IF(LEFT(TRIM(Paramètres!K45),1)="F",1,0)))),IF(Paramètres!L45="",0,IF(Paramètres!M45="",NA(),IF(LEFT(TRIM(Paramètres!M45),1)="F",INDEX($F$383:$F$435,MATCH(Paramètres!L45,Paramètres!$G$5:$G$57,0)),INDEX($E$383:$E$435,MATCH(Paramètres!L45,Paramètres!$G$5:$G$57,0)))+IF(RIGHT(TRIM(Paramètres!M45),3)="Fin",1-$H423,IF(LEFT(TRIM(Paramètres!M45),1)="F",1,0)))),IF(Paramètres!N45="",0,IF(Paramètres!O45="",NA(),IF(LEFT(TRIM(Paramètres!O45),1)="F",INDEX($F$383:$F$435,MATCH(Paramètres!N45,Paramètres!$G$5:$G$57,0)),INDEX($E$383:$E$435,MATCH(Paramètres!N45,Paramètres!$G$5:$G$57,0)))+IF(RIGHT(TRIM(Paramètres!O45),3)="Fin",1-$H423,IF(LEFT(TRIM(Paramètres!O45),1)="F",1,0)))))))</f>
        <v/>
      </c>
      <c r="F423" s="19">
        <f>IF($A423="","",E423+$H423-1)</f>
        <v/>
      </c>
      <c r="G423" s="18" t="n"/>
      <c r="H423" s="18">
        <f>IF($A423="","",IF(I423&lt;&gt;"",I423,Paramètres!B45))</f>
        <v/>
      </c>
      <c r="I423" s="18" t="n"/>
    </row>
    <row r="424">
      <c r="A424" s="18">
        <f>IF(ISNUMBER(Dossiers!$D$11),Dossiers!$A$11&amp;" · "&amp;Dossiers!$B$11,"")</f>
        <v/>
      </c>
      <c r="B424" s="18">
        <f>IF($A424="","",Paramètres!G46)</f>
        <v/>
      </c>
      <c r="C424" s="18">
        <f>IF($A424="","",IF(Paramètres!H46="","",Paramètres!H46))</f>
        <v/>
      </c>
      <c r="D424" s="18">
        <f>IF($A424="","",IF(Paramètres!I46="","",Paramètres!I46))</f>
        <v/>
      </c>
      <c r="E424" s="19">
        <f>IF($A424="","",IF(Paramètres!J46&amp;Paramètres!L46&amp;Paramètres!N46="",Dossiers!$D$11,MAX(IF(Paramètres!J46="",0,IF(Paramètres!K46="",NA(),IF(LEFT(TRIM(Paramètres!K46),1)="F",INDEX($F$383:$F$435,MATCH(Paramètres!J46,Paramètres!$G$5:$G$57,0)),INDEX($E$383:$E$435,MATCH(Paramètres!J46,Paramètres!$G$5:$G$57,0)))+IF(RIGHT(TRIM(Paramètres!K46),3)="Fin",1-$H424,IF(LEFT(TRIM(Paramètres!K46),1)="F",1,0)))),IF(Paramètres!L46="",0,IF(Paramètres!M46="",NA(),IF(LEFT(TRIM(Paramètres!M46),1)="F",INDEX($F$383:$F$435,MATCH(Paramètres!L46,Paramètres!$G$5:$G$57,0)),INDEX($E$383:$E$435,MATCH(Paramètres!L46,Paramètres!$G$5:$G$57,0)))+IF(RIGHT(TRIM(Paramètres!M46),3)="Fin",1-$H424,IF(LEFT(TRIM(Paramètres!M46),1)="F",1,0)))),IF(Paramètres!N46="",0,IF(Paramètres!O46="",NA(),IF(LEFT(TRIM(Paramètres!O46),1)="F",INDEX($F$383:$F$435,MATCH(Paramètres!N46,Paramètres!$G$5:$G$57,0)),INDEX($E$383:$E$435,MATCH(Paramètres!N46,Paramètres!$G$5:$G$57,0)))+IF(RIGHT(TRIM(Paramètres!O46),3)="Fin",1-$H424,IF(LEFT(TRIM(Paramètres!O46),1)="F",1,0)))))))</f>
        <v/>
      </c>
      <c r="F424" s="19">
        <f>IF($A424="","",E424+$H424-1)</f>
        <v/>
      </c>
      <c r="G424" s="18" t="n"/>
      <c r="H424" s="18">
        <f>IF($A424="","",IF(I424&lt;&gt;"",I424,Paramètres!B46))</f>
        <v/>
      </c>
      <c r="I424" s="18" t="n"/>
    </row>
    <row r="425">
      <c r="A425" s="18">
        <f>IF(ISNUMBER(Dossiers!$D$11),Dossiers!$A$11&amp;" · "&amp;Dossiers!$B$11,"")</f>
        <v/>
      </c>
      <c r="B425" s="18">
        <f>IF($A425="","",Paramètres!G47)</f>
        <v/>
      </c>
      <c r="C425" s="18">
        <f>IF($A425="","",IF(Paramètres!H47="","",Paramètres!H47))</f>
        <v/>
      </c>
      <c r="D425" s="18">
        <f>IF($A425="","",IF(Paramètres!I47="","",Paramètres!I47))</f>
        <v/>
      </c>
      <c r="E425" s="19">
        <f>IF($A425="","",IF(Paramètres!J47&amp;Paramètres!L47&amp;Paramètres!N47="",Dossiers!$D$11,MAX(IF(Paramètres!J47="",0,IF(Paramètres!K47="",NA(),IF(LEFT(TRIM(Paramètres!K47),1)="F",INDEX($F$383:$F$435,MATCH(Paramètres!J47,Paramètres!$G$5:$G$57,0)),INDEX($E$383:$E$435,MATCH(Paramètres!J47,Paramètres!$G$5:$G$57,0)))+IF(RIGHT(TRIM(Paramètres!K47),3)="Fin",1-$H425,IF(LEFT(TRIM(Paramètres!K47),1)="F",1,0)))),IF(Paramètres!L47="",0,IF(Paramètres!M47="",NA(),IF(LEFT(TRIM(Paramètres!M47),1)="F",INDEX($F$383:$F$435,MATCH(Paramètres!L47,Paramètres!$G$5:$G$57,0)),INDEX($E$383:$E$435,MATCH(Paramètres!L47,Paramètres!$G$5:$G$57,0)))+IF(RIGHT(TRIM(Paramètres!M47),3)="Fin",1-$H425,IF(LEFT(TRIM(Paramètres!M47),1)="F",1,0)))),IF(Paramètres!N47="",0,IF(Paramètres!O47="",NA(),IF(LEFT(TRIM(Paramètres!O47),1)="F",INDEX($F$383:$F$435,MATCH(Paramètres!N47,Paramètres!$G$5:$G$57,0)),INDEX($E$383:$E$435,MATCH(Paramètres!N47,Paramètres!$G$5:$G$57,0)))+IF(RIGHT(TRIM(Paramètres!O47),3)="Fin",1-$H425,IF(LEFT(TRIM(Paramètres!O47),1)="F",1,0)))))))</f>
        <v/>
      </c>
      <c r="F425" s="19">
        <f>IF($A425="","",E425+$H425-1)</f>
        <v/>
      </c>
      <c r="G425" s="18" t="n"/>
      <c r="H425" s="18">
        <f>IF($A425="","",IF(I425&lt;&gt;"",I425,Paramètres!B47))</f>
        <v/>
      </c>
      <c r="I425" s="18" t="n"/>
    </row>
    <row r="426">
      <c r="A426" s="18">
        <f>IF(ISNUMBER(Dossiers!$D$11),Dossiers!$A$11&amp;" · "&amp;Dossiers!$B$11,"")</f>
        <v/>
      </c>
      <c r="B426" s="18">
        <f>IF($A426="","",Paramètres!G48)</f>
        <v/>
      </c>
      <c r="C426" s="18">
        <f>IF($A426="","",IF(Paramètres!H48="","",Paramètres!H48))</f>
        <v/>
      </c>
      <c r="D426" s="18">
        <f>IF($A426="","",IF(Paramètres!I48="","",Paramètres!I48))</f>
        <v/>
      </c>
      <c r="E426" s="19">
        <f>IF($A426="","",IF(Paramètres!J48&amp;Paramètres!L48&amp;Paramètres!N48="",Dossiers!$D$11,MAX(IF(Paramètres!J48="",0,IF(Paramètres!K48="",NA(),IF(LEFT(TRIM(Paramètres!K48),1)="F",INDEX($F$383:$F$435,MATCH(Paramètres!J48,Paramètres!$G$5:$G$57,0)),INDEX($E$383:$E$435,MATCH(Paramètres!J48,Paramètres!$G$5:$G$57,0)))+IF(RIGHT(TRIM(Paramètres!K48),3)="Fin",1-$H426,IF(LEFT(TRIM(Paramètres!K48),1)="F",1,0)))),IF(Paramètres!L48="",0,IF(Paramètres!M48="",NA(),IF(LEFT(TRIM(Paramètres!M48),1)="F",INDEX($F$383:$F$435,MATCH(Paramètres!L48,Paramètres!$G$5:$G$57,0)),INDEX($E$383:$E$435,MATCH(Paramètres!L48,Paramètres!$G$5:$G$57,0)))+IF(RIGHT(TRIM(Paramètres!M48),3)="Fin",1-$H426,IF(LEFT(TRIM(Paramètres!M48),1)="F",1,0)))),IF(Paramètres!N48="",0,IF(Paramètres!O48="",NA(),IF(LEFT(TRIM(Paramètres!O48),1)="F",INDEX($F$383:$F$435,MATCH(Paramètres!N48,Paramètres!$G$5:$G$57,0)),INDEX($E$383:$E$435,MATCH(Paramètres!N48,Paramètres!$G$5:$G$57,0)))+IF(RIGHT(TRIM(Paramètres!O48),3)="Fin",1-$H426,IF(LEFT(TRIM(Paramètres!O48),1)="F",1,0)))))))</f>
        <v/>
      </c>
      <c r="F426" s="19">
        <f>IF($A426="","",E426+$H426-1)</f>
        <v/>
      </c>
      <c r="G426" s="18" t="n"/>
      <c r="H426" s="18">
        <f>IF($A426="","",IF(I426&lt;&gt;"",I426,Paramètres!B48))</f>
        <v/>
      </c>
      <c r="I426" s="18" t="n"/>
    </row>
    <row r="427">
      <c r="A427" s="18">
        <f>IF(ISNUMBER(Dossiers!$D$11),Dossiers!$A$11&amp;" · "&amp;Dossiers!$B$11,"")</f>
        <v/>
      </c>
      <c r="B427" s="18">
        <f>IF($A427="","",Paramètres!G49)</f>
        <v/>
      </c>
      <c r="C427" s="18">
        <f>IF($A427="","",IF(Paramètres!H49="","",Paramètres!H49))</f>
        <v/>
      </c>
      <c r="D427" s="18">
        <f>IF($A427="","",IF(Paramètres!I49="","",Paramètres!I49))</f>
        <v/>
      </c>
      <c r="E427" s="19">
        <f>IF($A427="","",IF(Paramètres!J49&amp;Paramètres!L49&amp;Paramètres!N49="",Dossiers!$D$11,MAX(IF(Paramètres!J49="",0,IF(Paramètres!K49="",NA(),IF(LEFT(TRIM(Paramètres!K49),1)="F",INDEX($F$383:$F$435,MATCH(Paramètres!J49,Paramètres!$G$5:$G$57,0)),INDEX($E$383:$E$435,MATCH(Paramètres!J49,Paramètres!$G$5:$G$57,0)))+IF(RIGHT(TRIM(Paramètres!K49),3)="Fin",1-$H427,IF(LEFT(TRIM(Paramètres!K49),1)="F",1,0)))),IF(Paramètres!L49="",0,IF(Paramètres!M49="",NA(),IF(LEFT(TRIM(Paramètres!M49),1)="F",INDEX($F$383:$F$435,MATCH(Paramètres!L49,Paramètres!$G$5:$G$57,0)),INDEX($E$383:$E$435,MATCH(Paramètres!L49,Paramètres!$G$5:$G$57,0)))+IF(RIGHT(TRIM(Paramètres!M49),3)="Fin",1-$H427,IF(LEFT(TRIM(Paramètres!M49),1)="F",1,0)))),IF(Paramètres!N49="",0,IF(Paramètres!O49="",NA(),IF(LEFT(TRIM(Paramètres!O49),1)="F",INDEX($F$383:$F$435,MATCH(Paramètres!N49,Paramètres!$G$5:$G$57,0)),INDEX($E$383:$E$435,MATCH(Paramètres!N49,Paramètres!$G$5:$G$57,0)))+IF(RIGHT(TRIM(Paramètres!O49),3)="Fin",1-$H427,IF(LEFT(TRIM(Paramètres!O49),1)="F",1,0)))))))</f>
        <v/>
      </c>
      <c r="F427" s="19">
        <f>IF($A427="","",E427+$H427-1)</f>
        <v/>
      </c>
      <c r="G427" s="18" t="n"/>
      <c r="H427" s="18">
        <f>IF($A427="","",IF(I427&lt;&gt;"",I427,Paramètres!B49))</f>
        <v/>
      </c>
      <c r="I427" s="18" t="n"/>
    </row>
    <row r="428">
      <c r="A428" s="18">
        <f>IF(ISNUMBER(Dossiers!$D$11),Dossiers!$A$11&amp;" · "&amp;Dossiers!$B$11,"")</f>
        <v/>
      </c>
      <c r="B428" s="18">
        <f>IF($A428="","",Paramètres!G50)</f>
        <v/>
      </c>
      <c r="C428" s="18">
        <f>IF($A428="","",IF(Paramètres!H50="","",Paramètres!H50))</f>
        <v/>
      </c>
      <c r="D428" s="18">
        <f>IF($A428="","",IF(Paramètres!I50="","",Paramètres!I50))</f>
        <v/>
      </c>
      <c r="E428" s="19">
        <f>IF($A428="","",IF(Paramètres!J50&amp;Paramètres!L50&amp;Paramètres!N50="",Dossiers!$D$11,MAX(IF(Paramètres!J50="",0,IF(Paramètres!K50="",NA(),IF(LEFT(TRIM(Paramètres!K50),1)="F",INDEX($F$383:$F$435,MATCH(Paramètres!J50,Paramètres!$G$5:$G$57,0)),INDEX($E$383:$E$435,MATCH(Paramètres!J50,Paramètres!$G$5:$G$57,0)))+IF(RIGHT(TRIM(Paramètres!K50),3)="Fin",1-$H428,IF(LEFT(TRIM(Paramètres!K50),1)="F",1,0)))),IF(Paramètres!L50="",0,IF(Paramètres!M50="",NA(),IF(LEFT(TRIM(Paramètres!M50),1)="F",INDEX($F$383:$F$435,MATCH(Paramètres!L50,Paramètres!$G$5:$G$57,0)),INDEX($E$383:$E$435,MATCH(Paramètres!L50,Paramètres!$G$5:$G$57,0)))+IF(RIGHT(TRIM(Paramètres!M50),3)="Fin",1-$H428,IF(LEFT(TRIM(Paramètres!M50),1)="F",1,0)))),IF(Paramètres!N50="",0,IF(Paramètres!O50="",NA(),IF(LEFT(TRIM(Paramètres!O50),1)="F",INDEX($F$383:$F$435,MATCH(Paramètres!N50,Paramètres!$G$5:$G$57,0)),INDEX($E$383:$E$435,MATCH(Paramètres!N50,Paramètres!$G$5:$G$57,0)))+IF(RIGHT(TRIM(Paramètres!O50),3)="Fin",1-$H428,IF(LEFT(TRIM(Paramètres!O50),1)="F",1,0)))))))</f>
        <v/>
      </c>
      <c r="F428" s="19">
        <f>IF($A428="","",E428+$H428-1)</f>
        <v/>
      </c>
      <c r="G428" s="18" t="n"/>
      <c r="H428" s="18">
        <f>IF($A428="","",IF(I428&lt;&gt;"",I428,Paramètres!B50))</f>
        <v/>
      </c>
      <c r="I428" s="18" t="n"/>
    </row>
    <row r="429">
      <c r="A429" s="18">
        <f>IF(ISNUMBER(Dossiers!$D$11),Dossiers!$A$11&amp;" · "&amp;Dossiers!$B$11,"")</f>
        <v/>
      </c>
      <c r="B429" s="18">
        <f>IF($A429="","",Paramètres!G51)</f>
        <v/>
      </c>
      <c r="C429" s="18">
        <f>IF($A429="","",IF(Paramètres!H51="","",Paramètres!H51))</f>
        <v/>
      </c>
      <c r="D429" s="18">
        <f>IF($A429="","",IF(Paramètres!I51="","",Paramètres!I51))</f>
        <v/>
      </c>
      <c r="E429" s="19">
        <f>IF($A429="","",IF(Paramètres!J51&amp;Paramètres!L51&amp;Paramètres!N51="",Dossiers!$D$11,MAX(IF(Paramètres!J51="",0,IF(Paramètres!K51="",NA(),IF(LEFT(TRIM(Paramètres!K51),1)="F",INDEX($F$383:$F$435,MATCH(Paramètres!J51,Paramètres!$G$5:$G$57,0)),INDEX($E$383:$E$435,MATCH(Paramètres!J51,Paramètres!$G$5:$G$57,0)))+IF(RIGHT(TRIM(Paramètres!K51),3)="Fin",1-$H429,IF(LEFT(TRIM(Paramètres!K51),1)="F",1,0)))),IF(Paramètres!L51="",0,IF(Paramètres!M51="",NA(),IF(LEFT(TRIM(Paramètres!M51),1)="F",INDEX($F$383:$F$435,MATCH(Paramètres!L51,Paramètres!$G$5:$G$57,0)),INDEX($E$383:$E$435,MATCH(Paramètres!L51,Paramètres!$G$5:$G$57,0)))+IF(RIGHT(TRIM(Paramètres!M51),3)="Fin",1-$H429,IF(LEFT(TRIM(Paramètres!M51),1)="F",1,0)))),IF(Paramètres!N51="",0,IF(Paramètres!O51="",NA(),IF(LEFT(TRIM(Paramètres!O51),1)="F",INDEX($F$383:$F$435,MATCH(Paramètres!N51,Paramètres!$G$5:$G$57,0)),INDEX($E$383:$E$435,MATCH(Paramètres!N51,Paramètres!$G$5:$G$57,0)))+IF(RIGHT(TRIM(Paramètres!O51),3)="Fin",1-$H429,IF(LEFT(TRIM(Paramètres!O51),1)="F",1,0)))))))</f>
        <v/>
      </c>
      <c r="F429" s="19">
        <f>IF($A429="","",E429+$H429-1)</f>
        <v/>
      </c>
      <c r="G429" s="18" t="n"/>
      <c r="H429" s="18">
        <f>IF($A429="","",IF(I429&lt;&gt;"",I429,Paramètres!B51))</f>
        <v/>
      </c>
      <c r="I429" s="18" t="n"/>
    </row>
    <row r="430">
      <c r="A430" s="18">
        <f>IF(ISNUMBER(Dossiers!$D$11),Dossiers!$A$11&amp;" · "&amp;Dossiers!$B$11,"")</f>
        <v/>
      </c>
      <c r="B430" s="18">
        <f>IF($A430="","",Paramètres!G52)</f>
        <v/>
      </c>
      <c r="C430" s="18">
        <f>IF($A430="","",IF(Paramètres!H52="","",Paramètres!H52))</f>
        <v/>
      </c>
      <c r="D430" s="18">
        <f>IF($A430="","",IF(Paramètres!I52="","",Paramètres!I52))</f>
        <v/>
      </c>
      <c r="E430" s="19">
        <f>IF($A430="","",IF(Paramètres!J52&amp;Paramètres!L52&amp;Paramètres!N52="",Dossiers!$D$11,MAX(IF(Paramètres!J52="",0,IF(Paramètres!K52="",NA(),IF(LEFT(TRIM(Paramètres!K52),1)="F",INDEX($F$383:$F$435,MATCH(Paramètres!J52,Paramètres!$G$5:$G$57,0)),INDEX($E$383:$E$435,MATCH(Paramètres!J52,Paramètres!$G$5:$G$57,0)))+IF(RIGHT(TRIM(Paramètres!K52),3)="Fin",1-$H430,IF(LEFT(TRIM(Paramètres!K52),1)="F",1,0)))),IF(Paramètres!L52="",0,IF(Paramètres!M52="",NA(),IF(LEFT(TRIM(Paramètres!M52),1)="F",INDEX($F$383:$F$435,MATCH(Paramètres!L52,Paramètres!$G$5:$G$57,0)),INDEX($E$383:$E$435,MATCH(Paramètres!L52,Paramètres!$G$5:$G$57,0)))+IF(RIGHT(TRIM(Paramètres!M52),3)="Fin",1-$H430,IF(LEFT(TRIM(Paramètres!M52),1)="F",1,0)))),IF(Paramètres!N52="",0,IF(Paramètres!O52="",NA(),IF(LEFT(TRIM(Paramètres!O52),1)="F",INDEX($F$383:$F$435,MATCH(Paramètres!N52,Paramètres!$G$5:$G$57,0)),INDEX($E$383:$E$435,MATCH(Paramètres!N52,Paramètres!$G$5:$G$57,0)))+IF(RIGHT(TRIM(Paramètres!O52),3)="Fin",1-$H430,IF(LEFT(TRIM(Paramètres!O52),1)="F",1,0)))))))</f>
        <v/>
      </c>
      <c r="F430" s="19">
        <f>IF($A430="","",E430+$H430-1)</f>
        <v/>
      </c>
      <c r="G430" s="18" t="n"/>
      <c r="H430" s="18">
        <f>IF($A430="","",IF(I430&lt;&gt;"",I430,Paramètres!B52))</f>
        <v/>
      </c>
      <c r="I430" s="18" t="n"/>
    </row>
    <row r="431">
      <c r="A431" s="18">
        <f>IF(ISNUMBER(Dossiers!$D$11),Dossiers!$A$11&amp;" · "&amp;Dossiers!$B$11,"")</f>
        <v/>
      </c>
      <c r="B431" s="18">
        <f>IF($A431="","",Paramètres!G53)</f>
        <v/>
      </c>
      <c r="C431" s="18">
        <f>IF($A431="","",IF(Paramètres!H53="","",Paramètres!H53))</f>
        <v/>
      </c>
      <c r="D431" s="18">
        <f>IF($A431="","",IF(Paramètres!I53="","",Paramètres!I53))</f>
        <v/>
      </c>
      <c r="E431" s="19">
        <f>IF($A431="","",IF(Paramètres!J53&amp;Paramètres!L53&amp;Paramètres!N53="",Dossiers!$D$11,MAX(IF(Paramètres!J53="",0,IF(Paramètres!K53="",NA(),IF(LEFT(TRIM(Paramètres!K53),1)="F",INDEX($F$383:$F$435,MATCH(Paramètres!J53,Paramètres!$G$5:$G$57,0)),INDEX($E$383:$E$435,MATCH(Paramètres!J53,Paramètres!$G$5:$G$57,0)))+IF(RIGHT(TRIM(Paramètres!K53),3)="Fin",1-$H431,IF(LEFT(TRIM(Paramètres!K53),1)="F",1,0)))),IF(Paramètres!L53="",0,IF(Paramètres!M53="",NA(),IF(LEFT(TRIM(Paramètres!M53),1)="F",INDEX($F$383:$F$435,MATCH(Paramètres!L53,Paramètres!$G$5:$G$57,0)),INDEX($E$383:$E$435,MATCH(Paramètres!L53,Paramètres!$G$5:$G$57,0)))+IF(RIGHT(TRIM(Paramètres!M53),3)="Fin",1-$H431,IF(LEFT(TRIM(Paramètres!M53),1)="F",1,0)))),IF(Paramètres!N53="",0,IF(Paramètres!O53="",NA(),IF(LEFT(TRIM(Paramètres!O53),1)="F",INDEX($F$383:$F$435,MATCH(Paramètres!N53,Paramètres!$G$5:$G$57,0)),INDEX($E$383:$E$435,MATCH(Paramètres!N53,Paramètres!$G$5:$G$57,0)))+IF(RIGHT(TRIM(Paramètres!O53),3)="Fin",1-$H431,IF(LEFT(TRIM(Paramètres!O53),1)="F",1,0)))))))</f>
        <v/>
      </c>
      <c r="F431" s="19">
        <f>IF($A431="","",E431+$H431-1)</f>
        <v/>
      </c>
      <c r="G431" s="18" t="n"/>
      <c r="H431" s="18">
        <f>IF($A431="","",IF(I431&lt;&gt;"",I431,Paramètres!B53))</f>
        <v/>
      </c>
      <c r="I431" s="18" t="n"/>
    </row>
    <row r="432">
      <c r="A432" s="18">
        <f>IF(ISNUMBER(Dossiers!$D$11),Dossiers!$A$11&amp;" · "&amp;Dossiers!$B$11,"")</f>
        <v/>
      </c>
      <c r="B432" s="18">
        <f>IF($A432="","",Paramètres!G54)</f>
        <v/>
      </c>
      <c r="C432" s="18">
        <f>IF($A432="","",IF(Paramètres!H54="","",Paramètres!H54))</f>
        <v/>
      </c>
      <c r="D432" s="18">
        <f>IF($A432="","",IF(Paramètres!I54="","",Paramètres!I54))</f>
        <v/>
      </c>
      <c r="E432" s="19">
        <f>IF($A432="","",IF(Paramètres!J54&amp;Paramètres!L54&amp;Paramètres!N54="",Dossiers!$D$11,MAX(IF(Paramètres!J54="",0,IF(Paramètres!K54="",NA(),IF(LEFT(TRIM(Paramètres!K54),1)="F",INDEX($F$383:$F$435,MATCH(Paramètres!J54,Paramètres!$G$5:$G$57,0)),INDEX($E$383:$E$435,MATCH(Paramètres!J54,Paramètres!$G$5:$G$57,0)))+IF(RIGHT(TRIM(Paramètres!K54),3)="Fin",1-$H432,IF(LEFT(TRIM(Paramètres!K54),1)="F",1,0)))),IF(Paramètres!L54="",0,IF(Paramètres!M54="",NA(),IF(LEFT(TRIM(Paramètres!M54),1)="F",INDEX($F$383:$F$435,MATCH(Paramètres!L54,Paramètres!$G$5:$G$57,0)),INDEX($E$383:$E$435,MATCH(Paramètres!L54,Paramètres!$G$5:$G$57,0)))+IF(RIGHT(TRIM(Paramètres!M54),3)="Fin",1-$H432,IF(LEFT(TRIM(Paramètres!M54),1)="F",1,0)))),IF(Paramètres!N54="",0,IF(Paramètres!O54="",NA(),IF(LEFT(TRIM(Paramètres!O54),1)="F",INDEX($F$383:$F$435,MATCH(Paramètres!N54,Paramètres!$G$5:$G$57,0)),INDEX($E$383:$E$435,MATCH(Paramètres!N54,Paramètres!$G$5:$G$57,0)))+IF(RIGHT(TRIM(Paramètres!O54),3)="Fin",1-$H432,IF(LEFT(TRIM(Paramètres!O54),1)="F",1,0)))))))</f>
        <v/>
      </c>
      <c r="F432" s="19">
        <f>IF($A432="","",E432+$H432-1)</f>
        <v/>
      </c>
      <c r="G432" s="18" t="n"/>
      <c r="H432" s="18">
        <f>IF($A432="","",IF(I432&lt;&gt;"",I432,Paramètres!B54))</f>
        <v/>
      </c>
      <c r="I432" s="18" t="n"/>
    </row>
    <row r="433">
      <c r="A433" s="18">
        <f>IF(ISNUMBER(Dossiers!$D$11),Dossiers!$A$11&amp;" · "&amp;Dossiers!$B$11,"")</f>
        <v/>
      </c>
      <c r="B433" s="18">
        <f>IF($A433="","",Paramètres!G55)</f>
        <v/>
      </c>
      <c r="C433" s="18">
        <f>IF($A433="","",IF(Paramètres!H55="","",Paramètres!H55))</f>
        <v/>
      </c>
      <c r="D433" s="18">
        <f>IF($A433="","",IF(Paramètres!I55="","",Paramètres!I55))</f>
        <v/>
      </c>
      <c r="E433" s="19">
        <f>IF($A433="","",IF(Paramètres!J55&amp;Paramètres!L55&amp;Paramètres!N55="",Dossiers!$D$11,MAX(IF(Paramètres!J55="",0,IF(Paramètres!K55="",NA(),IF(LEFT(TRIM(Paramètres!K55),1)="F",INDEX($F$383:$F$435,MATCH(Paramètres!J55,Paramètres!$G$5:$G$57,0)),INDEX($E$383:$E$435,MATCH(Paramètres!J55,Paramètres!$G$5:$G$57,0)))+IF(RIGHT(TRIM(Paramètres!K55),3)="Fin",1-$H433,IF(LEFT(TRIM(Paramètres!K55),1)="F",1,0)))),IF(Paramètres!L55="",0,IF(Paramètres!M55="",NA(),IF(LEFT(TRIM(Paramètres!M55),1)="F",INDEX($F$383:$F$435,MATCH(Paramètres!L55,Paramètres!$G$5:$G$57,0)),INDEX($E$383:$E$435,MATCH(Paramètres!L55,Paramètres!$G$5:$G$57,0)))+IF(RIGHT(TRIM(Paramètres!M55),3)="Fin",1-$H433,IF(LEFT(TRIM(Paramètres!M55),1)="F",1,0)))),IF(Paramètres!N55="",0,IF(Paramètres!O55="",NA(),IF(LEFT(TRIM(Paramètres!O55),1)="F",INDEX($F$383:$F$435,MATCH(Paramètres!N55,Paramètres!$G$5:$G$57,0)),INDEX($E$383:$E$435,MATCH(Paramètres!N55,Paramètres!$G$5:$G$57,0)))+IF(RIGHT(TRIM(Paramètres!O55),3)="Fin",1-$H433,IF(LEFT(TRIM(Paramètres!O55),1)="F",1,0)))))))</f>
        <v/>
      </c>
      <c r="F433" s="19">
        <f>IF($A433="","",E433+$H433-1)</f>
        <v/>
      </c>
      <c r="G433" s="18" t="n"/>
      <c r="H433" s="18">
        <f>IF($A433="","",IF(I433&lt;&gt;"",I433,Paramètres!B55))</f>
        <v/>
      </c>
      <c r="I433" s="18" t="n"/>
    </row>
    <row r="434">
      <c r="A434" s="18">
        <f>IF(ISNUMBER(Dossiers!$D$11),Dossiers!$A$11&amp;" · "&amp;Dossiers!$B$11,"")</f>
        <v/>
      </c>
      <c r="B434" s="18">
        <f>IF($A434="","",Paramètres!G56)</f>
        <v/>
      </c>
      <c r="C434" s="18">
        <f>IF($A434="","",IF(Paramètres!H56="","",Paramètres!H56))</f>
        <v/>
      </c>
      <c r="D434" s="18">
        <f>IF($A434="","",IF(Paramètres!I56="","",Paramètres!I56))</f>
        <v/>
      </c>
      <c r="E434" s="19">
        <f>IF($A434="","",MIN(E435:E435))</f>
        <v/>
      </c>
      <c r="F434" s="19">
        <f>IF($A434="","",MAX(F435:F435))</f>
        <v/>
      </c>
      <c r="G434" s="18" t="n"/>
      <c r="H434" s="18">
        <f>IF($A434="","",F434-E434+1)</f>
        <v/>
      </c>
      <c r="I434" s="18" t="n"/>
    </row>
    <row r="435">
      <c r="A435" s="18">
        <f>IF(ISNUMBER(Dossiers!$D$11),Dossiers!$A$11&amp;" · "&amp;Dossiers!$B$11,"")</f>
        <v/>
      </c>
      <c r="B435" s="18">
        <f>IF($A435="","",Paramètres!G57)</f>
        <v/>
      </c>
      <c r="C435" s="18">
        <f>IF($A435="","",IF(Paramètres!H57="","",Paramètres!H57))</f>
        <v/>
      </c>
      <c r="D435" s="18">
        <f>IF($A435="","",IF(Paramètres!I57="","",Paramètres!I57))</f>
        <v/>
      </c>
      <c r="E435" s="19">
        <f>IF($A435="","",IF(Paramètres!J57&amp;Paramètres!L57&amp;Paramètres!N57="",Dossiers!$D$11,MAX(IF(Paramètres!J57="",0,IF(Paramètres!K57="",NA(),IF(LEFT(TRIM(Paramètres!K57),1)="F",INDEX($F$383:$F$435,MATCH(Paramètres!J57,Paramètres!$G$5:$G$57,0)),INDEX($E$383:$E$435,MATCH(Paramètres!J57,Paramètres!$G$5:$G$57,0)))+IF(RIGHT(TRIM(Paramètres!K57),3)="Fin",1-$H435,IF(LEFT(TRIM(Paramètres!K57),1)="F",1,0)))),IF(Paramètres!L57="",0,IF(Paramètres!M57="",NA(),IF(LEFT(TRIM(Paramètres!M57),1)="F",INDEX($F$383:$F$435,MATCH(Paramètres!L57,Paramètres!$G$5:$G$57,0)),INDEX($E$383:$E$435,MATCH(Paramètres!L57,Paramètres!$G$5:$G$57,0)))+IF(RIGHT(TRIM(Paramètres!M57),3)="Fin",1-$H435,IF(LEFT(TRIM(Paramètres!M57),1)="F",1,0)))),IF(Paramètres!N57="",0,IF(Paramètres!O57="",NA(),IF(LEFT(TRIM(Paramètres!O57),1)="F",INDEX($F$383:$F$435,MATCH(Paramètres!N57,Paramètres!$G$5:$G$57,0)),INDEX($E$383:$E$435,MATCH(Paramètres!N57,Paramètres!$G$5:$G$57,0)))+IF(RIGHT(TRIM(Paramètres!O57),3)="Fin",1-$H435,IF(LEFT(TRIM(Paramètres!O57),1)="F",1,0)))))))</f>
        <v/>
      </c>
      <c r="F435" s="19">
        <f>IF($A435="","",E435+$H435-1)</f>
        <v/>
      </c>
      <c r="G435" s="18" t="n"/>
      <c r="H435" s="18">
        <f>IF($A435="","",IF(I435&lt;&gt;"",I435,Paramètres!B57))</f>
        <v/>
      </c>
      <c r="I435" s="18" t="n"/>
    </row>
    <row r="436">
      <c r="A436" s="16">
        <f>IF(ISNUMBER(Dossiers!$D$12),Dossiers!$E$12,"")</f>
        <v/>
      </c>
      <c r="B436" s="16">
        <f>IF($A436="","","Identifiant")</f>
        <v/>
      </c>
      <c r="C436" s="16">
        <f>IF($A436="","","Macro Etape")</f>
        <v/>
      </c>
      <c r="D436" s="16">
        <f>IF($A436="","","Etape")</f>
        <v/>
      </c>
      <c r="E436" s="17">
        <f>IF($A436="","","Début le")</f>
        <v/>
      </c>
      <c r="F436" s="17">
        <f>IF($A436="","","Fin prévue le")</f>
        <v/>
      </c>
      <c r="G436" s="16">
        <f>IF($A436="","","Statut")</f>
        <v/>
      </c>
      <c r="H436" s="16">
        <f>IF($A436="","","Durée (jours)")</f>
        <v/>
      </c>
      <c r="I436" s="16">
        <f>IF($A436="","","Durée particulière")</f>
        <v/>
      </c>
      <c r="J436" s="10">
        <f>IF($A436="","",HYPERLINK("#'Tableau de bord'!A1","↑ Tableau de bord"))</f>
        <v/>
      </c>
    </row>
    <row r="437">
      <c r="A437" s="18">
        <f>IF(ISNUMBER(Dossiers!$D$12),Dossiers!$A$12&amp;" · "&amp;Dossiers!$B$12,"")</f>
        <v/>
      </c>
      <c r="B437" s="18">
        <f>IF($A437="","",Paramètres!G5)</f>
        <v/>
      </c>
      <c r="C437" s="18">
        <f>IF($A437="","",IF(Paramètres!H5="","",Paramètres!H5))</f>
        <v/>
      </c>
      <c r="D437" s="18">
        <f>IF($A437="","",IF(Paramètres!I5="","",Paramètres!I5))</f>
        <v/>
      </c>
      <c r="E437" s="19">
        <f>IF($A437="","",MIN(E438:E441))</f>
        <v/>
      </c>
      <c r="F437" s="19">
        <f>IF($A437="","",MAX(F438:F441))</f>
        <v/>
      </c>
      <c r="G437" s="18" t="n"/>
      <c r="H437" s="18">
        <f>IF($A437="","",F437-E437+1)</f>
        <v/>
      </c>
      <c r="I437" s="18" t="n"/>
    </row>
    <row r="438">
      <c r="A438" s="18">
        <f>IF(ISNUMBER(Dossiers!$D$12),Dossiers!$A$12&amp;" · "&amp;Dossiers!$B$12,"")</f>
        <v/>
      </c>
      <c r="B438" s="18">
        <f>IF($A438="","",Paramètres!G6)</f>
        <v/>
      </c>
      <c r="C438" s="18">
        <f>IF($A438="","",IF(Paramètres!H6="","",Paramètres!H6))</f>
        <v/>
      </c>
      <c r="D438" s="18">
        <f>IF($A438="","",IF(Paramètres!I6="","",Paramètres!I6))</f>
        <v/>
      </c>
      <c r="E438" s="19">
        <f>IF($A438="","",IF(Paramètres!J6&amp;Paramètres!L6&amp;Paramètres!N6="",Dossiers!$D$12,MAX(IF(Paramètres!J6="",0,IF(Paramètres!K6="",NA(),IF(LEFT(TRIM(Paramètres!K6),1)="F",INDEX($F$437:$F$489,MATCH(Paramètres!J6,Paramètres!$G$5:$G$57,0)),INDEX($E$437:$E$489,MATCH(Paramètres!J6,Paramètres!$G$5:$G$57,0)))+IF(RIGHT(TRIM(Paramètres!K6),3)="Fin",1-$H438,IF(LEFT(TRIM(Paramètres!K6),1)="F",1,0)))),IF(Paramètres!L6="",0,IF(Paramètres!M6="",NA(),IF(LEFT(TRIM(Paramètres!M6),1)="F",INDEX($F$437:$F$489,MATCH(Paramètres!L6,Paramètres!$G$5:$G$57,0)),INDEX($E$437:$E$489,MATCH(Paramètres!L6,Paramètres!$G$5:$G$57,0)))+IF(RIGHT(TRIM(Paramètres!M6),3)="Fin",1-$H438,IF(LEFT(TRIM(Paramètres!M6),1)="F",1,0)))),IF(Paramètres!N6="",0,IF(Paramètres!O6="",NA(),IF(LEFT(TRIM(Paramètres!O6),1)="F",INDEX($F$437:$F$489,MATCH(Paramètres!N6,Paramètres!$G$5:$G$57,0)),INDEX($E$437:$E$489,MATCH(Paramètres!N6,Paramètres!$G$5:$G$57,0)))+IF(RIGHT(TRIM(Paramètres!O6),3)="Fin",1-$H438,IF(LEFT(TRIM(Paramètres!O6),1)="F",1,0)))))))</f>
        <v/>
      </c>
      <c r="F438" s="19">
        <f>IF($A438="","",E438+$H438-1)</f>
        <v/>
      </c>
      <c r="G438" s="18" t="n"/>
      <c r="H438" s="18">
        <f>IF($A438="","",IF(I438&lt;&gt;"",I438,Paramètres!B6))</f>
        <v/>
      </c>
      <c r="I438" s="18" t="n"/>
    </row>
    <row r="439">
      <c r="A439" s="18">
        <f>IF(ISNUMBER(Dossiers!$D$12),Dossiers!$A$12&amp;" · "&amp;Dossiers!$B$12,"")</f>
        <v/>
      </c>
      <c r="B439" s="18">
        <f>IF($A439="","",Paramètres!G7)</f>
        <v/>
      </c>
      <c r="C439" s="18">
        <f>IF($A439="","",IF(Paramètres!H7="","",Paramètres!H7))</f>
        <v/>
      </c>
      <c r="D439" s="18">
        <f>IF($A439="","",IF(Paramètres!I7="","",Paramètres!I7))</f>
        <v/>
      </c>
      <c r="E439" s="19">
        <f>IF($A439="","",IF(Paramètres!J7&amp;Paramètres!L7&amp;Paramètres!N7="",Dossiers!$D$12,MAX(IF(Paramètres!J7="",0,IF(Paramètres!K7="",NA(),IF(LEFT(TRIM(Paramètres!K7),1)="F",INDEX($F$437:$F$489,MATCH(Paramètres!J7,Paramètres!$G$5:$G$57,0)),INDEX($E$437:$E$489,MATCH(Paramètres!J7,Paramètres!$G$5:$G$57,0)))+IF(RIGHT(TRIM(Paramètres!K7),3)="Fin",1-$H439,IF(LEFT(TRIM(Paramètres!K7),1)="F",1,0)))),IF(Paramètres!L7="",0,IF(Paramètres!M7="",NA(),IF(LEFT(TRIM(Paramètres!M7),1)="F",INDEX($F$437:$F$489,MATCH(Paramètres!L7,Paramètres!$G$5:$G$57,0)),INDEX($E$437:$E$489,MATCH(Paramètres!L7,Paramètres!$G$5:$G$57,0)))+IF(RIGHT(TRIM(Paramètres!M7),3)="Fin",1-$H439,IF(LEFT(TRIM(Paramètres!M7),1)="F",1,0)))),IF(Paramètres!N7="",0,IF(Paramètres!O7="",NA(),IF(LEFT(TRIM(Paramètres!O7),1)="F",INDEX($F$437:$F$489,MATCH(Paramètres!N7,Paramètres!$G$5:$G$57,0)),INDEX($E$437:$E$489,MATCH(Paramètres!N7,Paramètres!$G$5:$G$57,0)))+IF(RIGHT(TRIM(Paramètres!O7),3)="Fin",1-$H439,IF(LEFT(TRIM(Paramètres!O7),1)="F",1,0)))))))</f>
        <v/>
      </c>
      <c r="F439" s="19">
        <f>IF($A439="","",E439+$H439-1)</f>
        <v/>
      </c>
      <c r="G439" s="18" t="n"/>
      <c r="H439" s="18">
        <f>IF($A439="","",IF(I439&lt;&gt;"",I439,Paramètres!B7))</f>
        <v/>
      </c>
      <c r="I439" s="18" t="n"/>
    </row>
    <row r="440">
      <c r="A440" s="18">
        <f>IF(ISNUMBER(Dossiers!$D$12),Dossiers!$A$12&amp;" · "&amp;Dossiers!$B$12,"")</f>
        <v/>
      </c>
      <c r="B440" s="18">
        <f>IF($A440="","",Paramètres!G8)</f>
        <v/>
      </c>
      <c r="C440" s="18">
        <f>IF($A440="","",IF(Paramètres!H8="","",Paramètres!H8))</f>
        <v/>
      </c>
      <c r="D440" s="18">
        <f>IF($A440="","",IF(Paramètres!I8="","",Paramètres!I8))</f>
        <v/>
      </c>
      <c r="E440" s="19">
        <f>IF($A440="","",IF(Paramètres!J8&amp;Paramètres!L8&amp;Paramètres!N8="",Dossiers!$D$12,MAX(IF(Paramètres!J8="",0,IF(Paramètres!K8="",NA(),IF(LEFT(TRIM(Paramètres!K8),1)="F",INDEX($F$437:$F$489,MATCH(Paramètres!J8,Paramètres!$G$5:$G$57,0)),INDEX($E$437:$E$489,MATCH(Paramètres!J8,Paramètres!$G$5:$G$57,0)))+IF(RIGHT(TRIM(Paramètres!K8),3)="Fin",1-$H440,IF(LEFT(TRIM(Paramètres!K8),1)="F",1,0)))),IF(Paramètres!L8="",0,IF(Paramètres!M8="",NA(),IF(LEFT(TRIM(Paramètres!M8),1)="F",INDEX($F$437:$F$489,MATCH(Paramètres!L8,Paramètres!$G$5:$G$57,0)),INDEX($E$437:$E$489,MATCH(Paramètres!L8,Paramètres!$G$5:$G$57,0)))+IF(RIGHT(TRIM(Paramètres!M8),3)="Fin",1-$H440,IF(LEFT(TRIM(Paramètres!M8),1)="F",1,0)))),IF(Paramètres!N8="",0,IF(Paramètres!O8="",NA(),IF(LEFT(TRIM(Paramètres!O8),1)="F",INDEX($F$437:$F$489,MATCH(Paramètres!N8,Paramètres!$G$5:$G$57,0)),INDEX($E$437:$E$489,MATCH(Paramètres!N8,Paramètres!$G$5:$G$57,0)))+IF(RIGHT(TRIM(Paramètres!O8),3)="Fin",1-$H440,IF(LEFT(TRIM(Paramètres!O8),1)="F",1,0)))))))</f>
        <v/>
      </c>
      <c r="F440" s="19">
        <f>IF($A440="","",E440+$H440-1)</f>
        <v/>
      </c>
      <c r="G440" s="18" t="n"/>
      <c r="H440" s="18">
        <f>IF($A440="","",IF(I440&lt;&gt;"",I440,Paramètres!B8))</f>
        <v/>
      </c>
      <c r="I440" s="18" t="n"/>
    </row>
    <row r="441">
      <c r="A441" s="18">
        <f>IF(ISNUMBER(Dossiers!$D$12),Dossiers!$A$12&amp;" · "&amp;Dossiers!$B$12,"")</f>
        <v/>
      </c>
      <c r="B441" s="18">
        <f>IF($A441="","",Paramètres!G9)</f>
        <v/>
      </c>
      <c r="C441" s="18">
        <f>IF($A441="","",IF(Paramètres!H9="","",Paramètres!H9))</f>
        <v/>
      </c>
      <c r="D441" s="18">
        <f>IF($A441="","",IF(Paramètres!I9="","",Paramètres!I9))</f>
        <v/>
      </c>
      <c r="E441" s="19">
        <f>IF($A441="","",IF(Paramètres!J9&amp;Paramètres!L9&amp;Paramètres!N9="",Dossiers!$D$12,MAX(IF(Paramètres!J9="",0,IF(Paramètres!K9="",NA(),IF(LEFT(TRIM(Paramètres!K9),1)="F",INDEX($F$437:$F$489,MATCH(Paramètres!J9,Paramètres!$G$5:$G$57,0)),INDEX($E$437:$E$489,MATCH(Paramètres!J9,Paramètres!$G$5:$G$57,0)))+IF(RIGHT(TRIM(Paramètres!K9),3)="Fin",1-$H441,IF(LEFT(TRIM(Paramètres!K9),1)="F",1,0)))),IF(Paramètres!L9="",0,IF(Paramètres!M9="",NA(),IF(LEFT(TRIM(Paramètres!M9),1)="F",INDEX($F$437:$F$489,MATCH(Paramètres!L9,Paramètres!$G$5:$G$57,0)),INDEX($E$437:$E$489,MATCH(Paramètres!L9,Paramètres!$G$5:$G$57,0)))+IF(RIGHT(TRIM(Paramètres!M9),3)="Fin",1-$H441,IF(LEFT(TRIM(Paramètres!M9),1)="F",1,0)))),IF(Paramètres!N9="",0,IF(Paramètres!O9="",NA(),IF(LEFT(TRIM(Paramètres!O9),1)="F",INDEX($F$437:$F$489,MATCH(Paramètres!N9,Paramètres!$G$5:$G$57,0)),INDEX($E$437:$E$489,MATCH(Paramètres!N9,Paramètres!$G$5:$G$57,0)))+IF(RIGHT(TRIM(Paramètres!O9),3)="Fin",1-$H441,IF(LEFT(TRIM(Paramètres!O9),1)="F",1,0)))))))</f>
        <v/>
      </c>
      <c r="F441" s="19">
        <f>IF($A441="","",E441+$H441-1)</f>
        <v/>
      </c>
      <c r="G441" s="18" t="n"/>
      <c r="H441" s="18">
        <f>IF($A441="","",IF(I441&lt;&gt;"",I441,Paramètres!B9))</f>
        <v/>
      </c>
      <c r="I441" s="18" t="n"/>
    </row>
    <row r="442">
      <c r="A442" s="18">
        <f>IF(ISNUMBER(Dossiers!$D$12),Dossiers!$A$12&amp;" · "&amp;Dossiers!$B$12,"")</f>
        <v/>
      </c>
      <c r="B442" s="18">
        <f>IF($A442="","",Paramètres!G10)</f>
        <v/>
      </c>
      <c r="C442" s="18">
        <f>IF($A442="","",IF(Paramètres!H10="","",Paramètres!H10))</f>
        <v/>
      </c>
      <c r="D442" s="18">
        <f>IF($A442="","",IF(Paramètres!I10="","",Paramètres!I10))</f>
        <v/>
      </c>
      <c r="E442" s="19">
        <f>IF($A442="","",MIN(E443:E446))</f>
        <v/>
      </c>
      <c r="F442" s="19">
        <f>IF($A442="","",MAX(F443:F446))</f>
        <v/>
      </c>
      <c r="G442" s="18" t="n"/>
      <c r="H442" s="18">
        <f>IF($A442="","",F442-E442+1)</f>
        <v/>
      </c>
      <c r="I442" s="18" t="n"/>
    </row>
    <row r="443">
      <c r="A443" s="18">
        <f>IF(ISNUMBER(Dossiers!$D$12),Dossiers!$A$12&amp;" · "&amp;Dossiers!$B$12,"")</f>
        <v/>
      </c>
      <c r="B443" s="18">
        <f>IF($A443="","",Paramètres!G11)</f>
        <v/>
      </c>
      <c r="C443" s="18">
        <f>IF($A443="","",IF(Paramètres!H11="","",Paramètres!H11))</f>
        <v/>
      </c>
      <c r="D443" s="18">
        <f>IF($A443="","",IF(Paramètres!I11="","",Paramètres!I11))</f>
        <v/>
      </c>
      <c r="E443" s="19">
        <f>IF($A443="","",IF(Paramètres!J11&amp;Paramètres!L11&amp;Paramètres!N11="",Dossiers!$D$12,MAX(IF(Paramètres!J11="",0,IF(Paramètres!K11="",NA(),IF(LEFT(TRIM(Paramètres!K11),1)="F",INDEX($F$437:$F$489,MATCH(Paramètres!J11,Paramètres!$G$5:$G$57,0)),INDEX($E$437:$E$489,MATCH(Paramètres!J11,Paramètres!$G$5:$G$57,0)))+IF(RIGHT(TRIM(Paramètres!K11),3)="Fin",1-$H443,IF(LEFT(TRIM(Paramètres!K11),1)="F",1,0)))),IF(Paramètres!L11="",0,IF(Paramètres!M11="",NA(),IF(LEFT(TRIM(Paramètres!M11),1)="F",INDEX($F$437:$F$489,MATCH(Paramètres!L11,Paramètres!$G$5:$G$57,0)),INDEX($E$437:$E$489,MATCH(Paramètres!L11,Paramètres!$G$5:$G$57,0)))+IF(RIGHT(TRIM(Paramètres!M11),3)="Fin",1-$H443,IF(LEFT(TRIM(Paramètres!M11),1)="F",1,0)))),IF(Paramètres!N11="",0,IF(Paramètres!O11="",NA(),IF(LEFT(TRIM(Paramètres!O11),1)="F",INDEX($F$437:$F$489,MATCH(Paramètres!N11,Paramètres!$G$5:$G$57,0)),INDEX($E$437:$E$489,MATCH(Paramètres!N11,Paramètres!$G$5:$G$57,0)))+IF(RIGHT(TRIM(Paramètres!O11),3)="Fin",1-$H443,IF(LEFT(TRIM(Paramètres!O11),1)="F",1,0)))))))</f>
        <v/>
      </c>
      <c r="F443" s="19">
        <f>IF($A443="","",E443+$H443-1)</f>
        <v/>
      </c>
      <c r="G443" s="18" t="n"/>
      <c r="H443" s="18">
        <f>IF($A443="","",IF(I443&lt;&gt;"",I443,Paramètres!B11))</f>
        <v/>
      </c>
      <c r="I443" s="18" t="n"/>
    </row>
    <row r="444">
      <c r="A444" s="18">
        <f>IF(ISNUMBER(Dossiers!$D$12),Dossiers!$A$12&amp;" · "&amp;Dossiers!$B$12,"")</f>
        <v/>
      </c>
      <c r="B444" s="18">
        <f>IF($A444="","",Paramètres!G12)</f>
        <v/>
      </c>
      <c r="C444" s="18">
        <f>IF($A444="","",IF(Paramètres!H12="","",Paramètres!H12))</f>
        <v/>
      </c>
      <c r="D444" s="18">
        <f>IF($A444="","",IF(Paramètres!I12="","",Paramètres!I12))</f>
        <v/>
      </c>
      <c r="E444" s="19">
        <f>IF($A444="","",IF(Paramètres!J12&amp;Paramètres!L12&amp;Paramètres!N12="",Dossiers!$D$12,MAX(IF(Paramètres!J12="",0,IF(Paramètres!K12="",NA(),IF(LEFT(TRIM(Paramètres!K12),1)="F",INDEX($F$437:$F$489,MATCH(Paramètres!J12,Paramètres!$G$5:$G$57,0)),INDEX($E$437:$E$489,MATCH(Paramètres!J12,Paramètres!$G$5:$G$57,0)))+IF(RIGHT(TRIM(Paramètres!K12),3)="Fin",1-$H444,IF(LEFT(TRIM(Paramètres!K12),1)="F",1,0)))),IF(Paramètres!L12="",0,IF(Paramètres!M12="",NA(),IF(LEFT(TRIM(Paramètres!M12),1)="F",INDEX($F$437:$F$489,MATCH(Paramètres!L12,Paramètres!$G$5:$G$57,0)),INDEX($E$437:$E$489,MATCH(Paramètres!L12,Paramètres!$G$5:$G$57,0)))+IF(RIGHT(TRIM(Paramètres!M12),3)="Fin",1-$H444,IF(LEFT(TRIM(Paramètres!M12),1)="F",1,0)))),IF(Paramètres!N12="",0,IF(Paramètres!O12="",NA(),IF(LEFT(TRIM(Paramètres!O12),1)="F",INDEX($F$437:$F$489,MATCH(Paramètres!N12,Paramètres!$G$5:$G$57,0)),INDEX($E$437:$E$489,MATCH(Paramètres!N12,Paramètres!$G$5:$G$57,0)))+IF(RIGHT(TRIM(Paramètres!O12),3)="Fin",1-$H444,IF(LEFT(TRIM(Paramètres!O12),1)="F",1,0)))))))</f>
        <v/>
      </c>
      <c r="F444" s="19">
        <f>IF($A444="","",E444+$H444-1)</f>
        <v/>
      </c>
      <c r="G444" s="18" t="n"/>
      <c r="H444" s="18">
        <f>IF($A444="","",IF(I444&lt;&gt;"",I444,Paramètres!B12))</f>
        <v/>
      </c>
      <c r="I444" s="18" t="n"/>
    </row>
    <row r="445">
      <c r="A445" s="18">
        <f>IF(ISNUMBER(Dossiers!$D$12),Dossiers!$A$12&amp;" · "&amp;Dossiers!$B$12,"")</f>
        <v/>
      </c>
      <c r="B445" s="18">
        <f>IF($A445="","",Paramètres!G13)</f>
        <v/>
      </c>
      <c r="C445" s="18">
        <f>IF($A445="","",IF(Paramètres!H13="","",Paramètres!H13))</f>
        <v/>
      </c>
      <c r="D445" s="18">
        <f>IF($A445="","",IF(Paramètres!I13="","",Paramètres!I13))</f>
        <v/>
      </c>
      <c r="E445" s="19">
        <f>IF($A445="","",IF(Paramètres!J13&amp;Paramètres!L13&amp;Paramètres!N13="",Dossiers!$D$12,MAX(IF(Paramètres!J13="",0,IF(Paramètres!K13="",NA(),IF(LEFT(TRIM(Paramètres!K13),1)="F",INDEX($F$437:$F$489,MATCH(Paramètres!J13,Paramètres!$G$5:$G$57,0)),INDEX($E$437:$E$489,MATCH(Paramètres!J13,Paramètres!$G$5:$G$57,0)))+IF(RIGHT(TRIM(Paramètres!K13),3)="Fin",1-$H445,IF(LEFT(TRIM(Paramètres!K13),1)="F",1,0)))),IF(Paramètres!L13="",0,IF(Paramètres!M13="",NA(),IF(LEFT(TRIM(Paramètres!M13),1)="F",INDEX($F$437:$F$489,MATCH(Paramètres!L13,Paramètres!$G$5:$G$57,0)),INDEX($E$437:$E$489,MATCH(Paramètres!L13,Paramètres!$G$5:$G$57,0)))+IF(RIGHT(TRIM(Paramètres!M13),3)="Fin",1-$H445,IF(LEFT(TRIM(Paramètres!M13),1)="F",1,0)))),IF(Paramètres!N13="",0,IF(Paramètres!O13="",NA(),IF(LEFT(TRIM(Paramètres!O13),1)="F",INDEX($F$437:$F$489,MATCH(Paramètres!N13,Paramètres!$G$5:$G$57,0)),INDEX($E$437:$E$489,MATCH(Paramètres!N13,Paramètres!$G$5:$G$57,0)))+IF(RIGHT(TRIM(Paramètres!O13),3)="Fin",1-$H445,IF(LEFT(TRIM(Paramètres!O13),1)="F",1,0)))))))</f>
        <v/>
      </c>
      <c r="F445" s="19">
        <f>IF($A445="","",E445+$H445-1)</f>
        <v/>
      </c>
      <c r="G445" s="18" t="n"/>
      <c r="H445" s="18">
        <f>IF($A445="","",IF(I445&lt;&gt;"",I445,Paramètres!B13))</f>
        <v/>
      </c>
      <c r="I445" s="18" t="n"/>
    </row>
    <row r="446">
      <c r="A446" s="18">
        <f>IF(ISNUMBER(Dossiers!$D$12),Dossiers!$A$12&amp;" · "&amp;Dossiers!$B$12,"")</f>
        <v/>
      </c>
      <c r="B446" s="18">
        <f>IF($A446="","",Paramètres!G14)</f>
        <v/>
      </c>
      <c r="C446" s="18">
        <f>IF($A446="","",IF(Paramètres!H14="","",Paramètres!H14))</f>
        <v/>
      </c>
      <c r="D446" s="18">
        <f>IF($A446="","",IF(Paramètres!I14="","",Paramètres!I14))</f>
        <v/>
      </c>
      <c r="E446" s="19">
        <f>IF($A446="","",IF(Paramètres!J14&amp;Paramètres!L14&amp;Paramètres!N14="",Dossiers!$D$12,MAX(IF(Paramètres!J14="",0,IF(Paramètres!K14="",NA(),IF(LEFT(TRIM(Paramètres!K14),1)="F",INDEX($F$437:$F$489,MATCH(Paramètres!J14,Paramètres!$G$5:$G$57,0)),INDEX($E$437:$E$489,MATCH(Paramètres!J14,Paramètres!$G$5:$G$57,0)))+IF(RIGHT(TRIM(Paramètres!K14),3)="Fin",1-$H446,IF(LEFT(TRIM(Paramètres!K14),1)="F",1,0)))),IF(Paramètres!L14="",0,IF(Paramètres!M14="",NA(),IF(LEFT(TRIM(Paramètres!M14),1)="F",INDEX($F$437:$F$489,MATCH(Paramètres!L14,Paramètres!$G$5:$G$57,0)),INDEX($E$437:$E$489,MATCH(Paramètres!L14,Paramètres!$G$5:$G$57,0)))+IF(RIGHT(TRIM(Paramètres!M14),3)="Fin",1-$H446,IF(LEFT(TRIM(Paramètres!M14),1)="F",1,0)))),IF(Paramètres!N14="",0,IF(Paramètres!O14="",NA(),IF(LEFT(TRIM(Paramètres!O14),1)="F",INDEX($F$437:$F$489,MATCH(Paramètres!N14,Paramètres!$G$5:$G$57,0)),INDEX($E$437:$E$489,MATCH(Paramètres!N14,Paramètres!$G$5:$G$57,0)))+IF(RIGHT(TRIM(Paramètres!O14),3)="Fin",1-$H446,IF(LEFT(TRIM(Paramètres!O14),1)="F",1,0)))))))</f>
        <v/>
      </c>
      <c r="F446" s="19">
        <f>IF($A446="","",E446+$H446-1)</f>
        <v/>
      </c>
      <c r="G446" s="18" t="n"/>
      <c r="H446" s="18">
        <f>IF($A446="","",IF(I446&lt;&gt;"",I446,Paramètres!B14))</f>
        <v/>
      </c>
      <c r="I446" s="18" t="n"/>
    </row>
    <row r="447">
      <c r="A447" s="18">
        <f>IF(ISNUMBER(Dossiers!$D$12),Dossiers!$A$12&amp;" · "&amp;Dossiers!$B$12,"")</f>
        <v/>
      </c>
      <c r="B447" s="18">
        <f>IF($A447="","",Paramètres!G15)</f>
        <v/>
      </c>
      <c r="C447" s="18">
        <f>IF($A447="","",IF(Paramètres!H15="","",Paramètres!H15))</f>
        <v/>
      </c>
      <c r="D447" s="18">
        <f>IF($A447="","",IF(Paramètres!I15="","",Paramètres!I15))</f>
        <v/>
      </c>
      <c r="E447" s="19">
        <f>IF($A447="","",MIN(E448:E463))</f>
        <v/>
      </c>
      <c r="F447" s="19">
        <f>IF($A447="","",MAX(F448:F463))</f>
        <v/>
      </c>
      <c r="G447" s="18" t="n"/>
      <c r="H447" s="18">
        <f>IF($A447="","",F447-E447+1)</f>
        <v/>
      </c>
      <c r="I447" s="18" t="n"/>
    </row>
    <row r="448">
      <c r="A448" s="18">
        <f>IF(ISNUMBER(Dossiers!$D$12),Dossiers!$A$12&amp;" · "&amp;Dossiers!$B$12,"")</f>
        <v/>
      </c>
      <c r="B448" s="18">
        <f>IF($A448="","",Paramètres!G16)</f>
        <v/>
      </c>
      <c r="C448" s="18">
        <f>IF($A448="","",IF(Paramètres!H16="","",Paramètres!H16))</f>
        <v/>
      </c>
      <c r="D448" s="18">
        <f>IF($A448="","",IF(Paramètres!I16="","",Paramètres!I16))</f>
        <v/>
      </c>
      <c r="E448" s="19">
        <f>IF($A448="","",IF(Paramètres!J16&amp;Paramètres!L16&amp;Paramètres!N16="",Dossiers!$D$12,MAX(IF(Paramètres!J16="",0,IF(Paramètres!K16="",NA(),IF(LEFT(TRIM(Paramètres!K16),1)="F",INDEX($F$437:$F$489,MATCH(Paramètres!J16,Paramètres!$G$5:$G$57,0)),INDEX($E$437:$E$489,MATCH(Paramètres!J16,Paramètres!$G$5:$G$57,0)))+IF(RIGHT(TRIM(Paramètres!K16),3)="Fin",1-$H448,IF(LEFT(TRIM(Paramètres!K16),1)="F",1,0)))),IF(Paramètres!L16="",0,IF(Paramètres!M16="",NA(),IF(LEFT(TRIM(Paramètres!M16),1)="F",INDEX($F$437:$F$489,MATCH(Paramètres!L16,Paramètres!$G$5:$G$57,0)),INDEX($E$437:$E$489,MATCH(Paramètres!L16,Paramètres!$G$5:$G$57,0)))+IF(RIGHT(TRIM(Paramètres!M16),3)="Fin",1-$H448,IF(LEFT(TRIM(Paramètres!M16),1)="F",1,0)))),IF(Paramètres!N16="",0,IF(Paramètres!O16="",NA(),IF(LEFT(TRIM(Paramètres!O16),1)="F",INDEX($F$437:$F$489,MATCH(Paramètres!N16,Paramètres!$G$5:$G$57,0)),INDEX($E$437:$E$489,MATCH(Paramètres!N16,Paramètres!$G$5:$G$57,0)))+IF(RIGHT(TRIM(Paramètres!O16),3)="Fin",1-$H448,IF(LEFT(TRIM(Paramètres!O16),1)="F",1,0)))))))</f>
        <v/>
      </c>
      <c r="F448" s="19">
        <f>IF($A448="","",E448+$H448-1)</f>
        <v/>
      </c>
      <c r="G448" s="18" t="n"/>
      <c r="H448" s="18">
        <f>IF($A448="","",IF(I448&lt;&gt;"",I448,Paramètres!B16))</f>
        <v/>
      </c>
      <c r="I448" s="18" t="n"/>
    </row>
    <row r="449">
      <c r="A449" s="18">
        <f>IF(ISNUMBER(Dossiers!$D$12),Dossiers!$A$12&amp;" · "&amp;Dossiers!$B$12,"")</f>
        <v/>
      </c>
      <c r="B449" s="18">
        <f>IF($A449="","",Paramètres!G17)</f>
        <v/>
      </c>
      <c r="C449" s="18">
        <f>IF($A449="","",IF(Paramètres!H17="","",Paramètres!H17))</f>
        <v/>
      </c>
      <c r="D449" s="18">
        <f>IF($A449="","",IF(Paramètres!I17="","",Paramètres!I17))</f>
        <v/>
      </c>
      <c r="E449" s="19">
        <f>IF($A449="","",IF(Paramètres!J17&amp;Paramètres!L17&amp;Paramètres!N17="",Dossiers!$D$12,MAX(IF(Paramètres!J17="",0,IF(Paramètres!K17="",NA(),IF(LEFT(TRIM(Paramètres!K17),1)="F",INDEX($F$437:$F$489,MATCH(Paramètres!J17,Paramètres!$G$5:$G$57,0)),INDEX($E$437:$E$489,MATCH(Paramètres!J17,Paramètres!$G$5:$G$57,0)))+IF(RIGHT(TRIM(Paramètres!K17),3)="Fin",1-$H449,IF(LEFT(TRIM(Paramètres!K17),1)="F",1,0)))),IF(Paramètres!L17="",0,IF(Paramètres!M17="",NA(),IF(LEFT(TRIM(Paramètres!M17),1)="F",INDEX($F$437:$F$489,MATCH(Paramètres!L17,Paramètres!$G$5:$G$57,0)),INDEX($E$437:$E$489,MATCH(Paramètres!L17,Paramètres!$G$5:$G$57,0)))+IF(RIGHT(TRIM(Paramètres!M17),3)="Fin",1-$H449,IF(LEFT(TRIM(Paramètres!M17),1)="F",1,0)))),IF(Paramètres!N17="",0,IF(Paramètres!O17="",NA(),IF(LEFT(TRIM(Paramètres!O17),1)="F",INDEX($F$437:$F$489,MATCH(Paramètres!N17,Paramètres!$G$5:$G$57,0)),INDEX($E$437:$E$489,MATCH(Paramètres!N17,Paramètres!$G$5:$G$57,0)))+IF(RIGHT(TRIM(Paramètres!O17),3)="Fin",1-$H449,IF(LEFT(TRIM(Paramètres!O17),1)="F",1,0)))))))</f>
        <v/>
      </c>
      <c r="F449" s="19">
        <f>IF($A449="","",E449+$H449-1)</f>
        <v/>
      </c>
      <c r="G449" s="18" t="n"/>
      <c r="H449" s="18">
        <f>IF($A449="","",IF(I449&lt;&gt;"",I449,Paramètres!B17))</f>
        <v/>
      </c>
      <c r="I449" s="18" t="n"/>
    </row>
    <row r="450">
      <c r="A450" s="18">
        <f>IF(ISNUMBER(Dossiers!$D$12),Dossiers!$A$12&amp;" · "&amp;Dossiers!$B$12,"")</f>
        <v/>
      </c>
      <c r="B450" s="18">
        <f>IF($A450="","",Paramètres!G18)</f>
        <v/>
      </c>
      <c r="C450" s="18">
        <f>IF($A450="","",IF(Paramètres!H18="","",Paramètres!H18))</f>
        <v/>
      </c>
      <c r="D450" s="18">
        <f>IF($A450="","",IF(Paramètres!I18="","",Paramètres!I18))</f>
        <v/>
      </c>
      <c r="E450" s="19">
        <f>IF($A450="","",IF(Paramètres!J18&amp;Paramètres!L18&amp;Paramètres!N18="",Dossiers!$D$12,MAX(IF(Paramètres!J18="",0,IF(Paramètres!K18="",NA(),IF(LEFT(TRIM(Paramètres!K18),1)="F",INDEX($F$437:$F$489,MATCH(Paramètres!J18,Paramètres!$G$5:$G$57,0)),INDEX($E$437:$E$489,MATCH(Paramètres!J18,Paramètres!$G$5:$G$57,0)))+IF(RIGHT(TRIM(Paramètres!K18),3)="Fin",1-$H450,IF(LEFT(TRIM(Paramètres!K18),1)="F",1,0)))),IF(Paramètres!L18="",0,IF(Paramètres!M18="",NA(),IF(LEFT(TRIM(Paramètres!M18),1)="F",INDEX($F$437:$F$489,MATCH(Paramètres!L18,Paramètres!$G$5:$G$57,0)),INDEX($E$437:$E$489,MATCH(Paramètres!L18,Paramètres!$G$5:$G$57,0)))+IF(RIGHT(TRIM(Paramètres!M18),3)="Fin",1-$H450,IF(LEFT(TRIM(Paramètres!M18),1)="F",1,0)))),IF(Paramètres!N18="",0,IF(Paramètres!O18="",NA(),IF(LEFT(TRIM(Paramètres!O18),1)="F",INDEX($F$437:$F$489,MATCH(Paramètres!N18,Paramètres!$G$5:$G$57,0)),INDEX($E$437:$E$489,MATCH(Paramètres!N18,Paramètres!$G$5:$G$57,0)))+IF(RIGHT(TRIM(Paramètres!O18),3)="Fin",1-$H450,IF(LEFT(TRIM(Paramètres!O18),1)="F",1,0)))))))</f>
        <v/>
      </c>
      <c r="F450" s="19">
        <f>IF($A450="","",E450+$H450-1)</f>
        <v/>
      </c>
      <c r="G450" s="18" t="n"/>
      <c r="H450" s="18">
        <f>IF($A450="","",IF(I450&lt;&gt;"",I450,Paramètres!B18))</f>
        <v/>
      </c>
      <c r="I450" s="18" t="n"/>
    </row>
    <row r="451">
      <c r="A451" s="18">
        <f>IF(ISNUMBER(Dossiers!$D$12),Dossiers!$A$12&amp;" · "&amp;Dossiers!$B$12,"")</f>
        <v/>
      </c>
      <c r="B451" s="18">
        <f>IF($A451="","",Paramètres!G19)</f>
        <v/>
      </c>
      <c r="C451" s="18">
        <f>IF($A451="","",IF(Paramètres!H19="","",Paramètres!H19))</f>
        <v/>
      </c>
      <c r="D451" s="18">
        <f>IF($A451="","",IF(Paramètres!I19="","",Paramètres!I19))</f>
        <v/>
      </c>
      <c r="E451" s="19">
        <f>IF($A451="","",IF(Paramètres!J19&amp;Paramètres!L19&amp;Paramètres!N19="",Dossiers!$D$12,MAX(IF(Paramètres!J19="",0,IF(Paramètres!K19="",NA(),IF(LEFT(TRIM(Paramètres!K19),1)="F",INDEX($F$437:$F$489,MATCH(Paramètres!J19,Paramètres!$G$5:$G$57,0)),INDEX($E$437:$E$489,MATCH(Paramètres!J19,Paramètres!$G$5:$G$57,0)))+IF(RIGHT(TRIM(Paramètres!K19),3)="Fin",1-$H451,IF(LEFT(TRIM(Paramètres!K19),1)="F",1,0)))),IF(Paramètres!L19="",0,IF(Paramètres!M19="",NA(),IF(LEFT(TRIM(Paramètres!M19),1)="F",INDEX($F$437:$F$489,MATCH(Paramètres!L19,Paramètres!$G$5:$G$57,0)),INDEX($E$437:$E$489,MATCH(Paramètres!L19,Paramètres!$G$5:$G$57,0)))+IF(RIGHT(TRIM(Paramètres!M19),3)="Fin",1-$H451,IF(LEFT(TRIM(Paramètres!M19),1)="F",1,0)))),IF(Paramètres!N19="",0,IF(Paramètres!O19="",NA(),IF(LEFT(TRIM(Paramètres!O19),1)="F",INDEX($F$437:$F$489,MATCH(Paramètres!N19,Paramètres!$G$5:$G$57,0)),INDEX($E$437:$E$489,MATCH(Paramètres!N19,Paramètres!$G$5:$G$57,0)))+IF(RIGHT(TRIM(Paramètres!O19),3)="Fin",1-$H451,IF(LEFT(TRIM(Paramètres!O19),1)="F",1,0)))))))</f>
        <v/>
      </c>
      <c r="F451" s="19">
        <f>IF($A451="","",E451+$H451-1)</f>
        <v/>
      </c>
      <c r="G451" s="18" t="n"/>
      <c r="H451" s="18">
        <f>IF($A451="","",IF(I451&lt;&gt;"",I451,Paramètres!B19))</f>
        <v/>
      </c>
      <c r="I451" s="18" t="n"/>
    </row>
    <row r="452">
      <c r="A452" s="18">
        <f>IF(ISNUMBER(Dossiers!$D$12),Dossiers!$A$12&amp;" · "&amp;Dossiers!$B$12,"")</f>
        <v/>
      </c>
      <c r="B452" s="18">
        <f>IF($A452="","",Paramètres!G20)</f>
        <v/>
      </c>
      <c r="C452" s="18">
        <f>IF($A452="","",IF(Paramètres!H20="","",Paramètres!H20))</f>
        <v/>
      </c>
      <c r="D452" s="18">
        <f>IF($A452="","",IF(Paramètres!I20="","",Paramètres!I20))</f>
        <v/>
      </c>
      <c r="E452" s="19">
        <f>IF($A452="","",IF(Paramètres!J20&amp;Paramètres!L20&amp;Paramètres!N20="",Dossiers!$D$12,MAX(IF(Paramètres!J20="",0,IF(Paramètres!K20="",NA(),IF(LEFT(TRIM(Paramètres!K20),1)="F",INDEX($F$437:$F$489,MATCH(Paramètres!J20,Paramètres!$G$5:$G$57,0)),INDEX($E$437:$E$489,MATCH(Paramètres!J20,Paramètres!$G$5:$G$57,0)))+IF(RIGHT(TRIM(Paramètres!K20),3)="Fin",1-$H452,IF(LEFT(TRIM(Paramètres!K20),1)="F",1,0)))),IF(Paramètres!L20="",0,IF(Paramètres!M20="",NA(),IF(LEFT(TRIM(Paramètres!M20),1)="F",INDEX($F$437:$F$489,MATCH(Paramètres!L20,Paramètres!$G$5:$G$57,0)),INDEX($E$437:$E$489,MATCH(Paramètres!L20,Paramètres!$G$5:$G$57,0)))+IF(RIGHT(TRIM(Paramètres!M20),3)="Fin",1-$H452,IF(LEFT(TRIM(Paramètres!M20),1)="F",1,0)))),IF(Paramètres!N20="",0,IF(Paramètres!O20="",NA(),IF(LEFT(TRIM(Paramètres!O20),1)="F",INDEX($F$437:$F$489,MATCH(Paramètres!N20,Paramètres!$G$5:$G$57,0)),INDEX($E$437:$E$489,MATCH(Paramètres!N20,Paramètres!$G$5:$G$57,0)))+IF(RIGHT(TRIM(Paramètres!O20),3)="Fin",1-$H452,IF(LEFT(TRIM(Paramètres!O20),1)="F",1,0)))))))</f>
        <v/>
      </c>
      <c r="F452" s="19">
        <f>IF($A452="","",E452+$H452-1)</f>
        <v/>
      </c>
      <c r="G452" s="18" t="n"/>
      <c r="H452" s="18">
        <f>IF($A452="","",IF(I452&lt;&gt;"",I452,Paramètres!B20))</f>
        <v/>
      </c>
      <c r="I452" s="18" t="n"/>
    </row>
    <row r="453">
      <c r="A453" s="18">
        <f>IF(ISNUMBER(Dossiers!$D$12),Dossiers!$A$12&amp;" · "&amp;Dossiers!$B$12,"")</f>
        <v/>
      </c>
      <c r="B453" s="18">
        <f>IF($A453="","",Paramètres!G21)</f>
        <v/>
      </c>
      <c r="C453" s="18">
        <f>IF($A453="","",IF(Paramètres!H21="","",Paramètres!H21))</f>
        <v/>
      </c>
      <c r="D453" s="18">
        <f>IF($A453="","",IF(Paramètres!I21="","",Paramètres!I21))</f>
        <v/>
      </c>
      <c r="E453" s="19">
        <f>IF($A453="","",IF(Paramètres!J21&amp;Paramètres!L21&amp;Paramètres!N21="",Dossiers!$D$12,MAX(IF(Paramètres!J21="",0,IF(Paramètres!K21="",NA(),IF(LEFT(TRIM(Paramètres!K21),1)="F",INDEX($F$437:$F$489,MATCH(Paramètres!J21,Paramètres!$G$5:$G$57,0)),INDEX($E$437:$E$489,MATCH(Paramètres!J21,Paramètres!$G$5:$G$57,0)))+IF(RIGHT(TRIM(Paramètres!K21),3)="Fin",1-$H453,IF(LEFT(TRIM(Paramètres!K21),1)="F",1,0)))),IF(Paramètres!L21="",0,IF(Paramètres!M21="",NA(),IF(LEFT(TRIM(Paramètres!M21),1)="F",INDEX($F$437:$F$489,MATCH(Paramètres!L21,Paramètres!$G$5:$G$57,0)),INDEX($E$437:$E$489,MATCH(Paramètres!L21,Paramètres!$G$5:$G$57,0)))+IF(RIGHT(TRIM(Paramètres!M21),3)="Fin",1-$H453,IF(LEFT(TRIM(Paramètres!M21),1)="F",1,0)))),IF(Paramètres!N21="",0,IF(Paramètres!O21="",NA(),IF(LEFT(TRIM(Paramètres!O21),1)="F",INDEX($F$437:$F$489,MATCH(Paramètres!N21,Paramètres!$G$5:$G$57,0)),INDEX($E$437:$E$489,MATCH(Paramètres!N21,Paramètres!$G$5:$G$57,0)))+IF(RIGHT(TRIM(Paramètres!O21),3)="Fin",1-$H453,IF(LEFT(TRIM(Paramètres!O21),1)="F",1,0)))))))</f>
        <v/>
      </c>
      <c r="F453" s="19">
        <f>IF($A453="","",E453+$H453-1)</f>
        <v/>
      </c>
      <c r="G453" s="18" t="n"/>
      <c r="H453" s="18">
        <f>IF($A453="","",IF(I453&lt;&gt;"",I453,Paramètres!B21))</f>
        <v/>
      </c>
      <c r="I453" s="18" t="n"/>
    </row>
    <row r="454">
      <c r="A454" s="18">
        <f>IF(ISNUMBER(Dossiers!$D$12),Dossiers!$A$12&amp;" · "&amp;Dossiers!$B$12,"")</f>
        <v/>
      </c>
      <c r="B454" s="18">
        <f>IF($A454="","",Paramètres!G22)</f>
        <v/>
      </c>
      <c r="C454" s="18">
        <f>IF($A454="","",IF(Paramètres!H22="","",Paramètres!H22))</f>
        <v/>
      </c>
      <c r="D454" s="18">
        <f>IF($A454="","",IF(Paramètres!I22="","",Paramètres!I22))</f>
        <v/>
      </c>
      <c r="E454" s="19">
        <f>IF($A454="","",IF(Paramètres!J22&amp;Paramètres!L22&amp;Paramètres!N22="",Dossiers!$D$12,MAX(IF(Paramètres!J22="",0,IF(Paramètres!K22="",NA(),IF(LEFT(TRIM(Paramètres!K22),1)="F",INDEX($F$437:$F$489,MATCH(Paramètres!J22,Paramètres!$G$5:$G$57,0)),INDEX($E$437:$E$489,MATCH(Paramètres!J22,Paramètres!$G$5:$G$57,0)))+IF(RIGHT(TRIM(Paramètres!K22),3)="Fin",1-$H454,IF(LEFT(TRIM(Paramètres!K22),1)="F",1,0)))),IF(Paramètres!L22="",0,IF(Paramètres!M22="",NA(),IF(LEFT(TRIM(Paramètres!M22),1)="F",INDEX($F$437:$F$489,MATCH(Paramètres!L22,Paramètres!$G$5:$G$57,0)),INDEX($E$437:$E$489,MATCH(Paramètres!L22,Paramètres!$G$5:$G$57,0)))+IF(RIGHT(TRIM(Paramètres!M22),3)="Fin",1-$H454,IF(LEFT(TRIM(Paramètres!M22),1)="F",1,0)))),IF(Paramètres!N22="",0,IF(Paramètres!O22="",NA(),IF(LEFT(TRIM(Paramètres!O22),1)="F",INDEX($F$437:$F$489,MATCH(Paramètres!N22,Paramètres!$G$5:$G$57,0)),INDEX($E$437:$E$489,MATCH(Paramètres!N22,Paramètres!$G$5:$G$57,0)))+IF(RIGHT(TRIM(Paramètres!O22),3)="Fin",1-$H454,IF(LEFT(TRIM(Paramètres!O22),1)="F",1,0)))))))</f>
        <v/>
      </c>
      <c r="F454" s="19">
        <f>IF($A454="","",E454+$H454-1)</f>
        <v/>
      </c>
      <c r="G454" s="18" t="n"/>
      <c r="H454" s="18">
        <f>IF($A454="","",IF(I454&lt;&gt;"",I454,Paramètres!B22))</f>
        <v/>
      </c>
      <c r="I454" s="18" t="n"/>
    </row>
    <row r="455">
      <c r="A455" s="18">
        <f>IF(ISNUMBER(Dossiers!$D$12),Dossiers!$A$12&amp;" · "&amp;Dossiers!$B$12,"")</f>
        <v/>
      </c>
      <c r="B455" s="18">
        <f>IF($A455="","",Paramètres!G23)</f>
        <v/>
      </c>
      <c r="C455" s="18">
        <f>IF($A455="","",IF(Paramètres!H23="","",Paramètres!H23))</f>
        <v/>
      </c>
      <c r="D455" s="18">
        <f>IF($A455="","",IF(Paramètres!I23="","",Paramètres!I23))</f>
        <v/>
      </c>
      <c r="E455" s="19">
        <f>IF($A455="","",IF(Paramètres!J23&amp;Paramètres!L23&amp;Paramètres!N23="",Dossiers!$D$12,MAX(IF(Paramètres!J23="",0,IF(Paramètres!K23="",NA(),IF(LEFT(TRIM(Paramètres!K23),1)="F",INDEX($F$437:$F$489,MATCH(Paramètres!J23,Paramètres!$G$5:$G$57,0)),INDEX($E$437:$E$489,MATCH(Paramètres!J23,Paramètres!$G$5:$G$57,0)))+IF(RIGHT(TRIM(Paramètres!K23),3)="Fin",1-$H455,IF(LEFT(TRIM(Paramètres!K23),1)="F",1,0)))),IF(Paramètres!L23="",0,IF(Paramètres!M23="",NA(),IF(LEFT(TRIM(Paramètres!M23),1)="F",INDEX($F$437:$F$489,MATCH(Paramètres!L23,Paramètres!$G$5:$G$57,0)),INDEX($E$437:$E$489,MATCH(Paramètres!L23,Paramètres!$G$5:$G$57,0)))+IF(RIGHT(TRIM(Paramètres!M23),3)="Fin",1-$H455,IF(LEFT(TRIM(Paramètres!M23),1)="F",1,0)))),IF(Paramètres!N23="",0,IF(Paramètres!O23="",NA(),IF(LEFT(TRIM(Paramètres!O23),1)="F",INDEX($F$437:$F$489,MATCH(Paramètres!N23,Paramètres!$G$5:$G$57,0)),INDEX($E$437:$E$489,MATCH(Paramètres!N23,Paramètres!$G$5:$G$57,0)))+IF(RIGHT(TRIM(Paramètres!O23),3)="Fin",1-$H455,IF(LEFT(TRIM(Paramètres!O23),1)="F",1,0)))))))</f>
        <v/>
      </c>
      <c r="F455" s="19">
        <f>IF($A455="","",E455+$H455-1)</f>
        <v/>
      </c>
      <c r="G455" s="18" t="n"/>
      <c r="H455" s="18">
        <f>IF($A455="","",IF(I455&lt;&gt;"",I455,Paramètres!B23))</f>
        <v/>
      </c>
      <c r="I455" s="18" t="n"/>
    </row>
    <row r="456">
      <c r="A456" s="18">
        <f>IF(ISNUMBER(Dossiers!$D$12),Dossiers!$A$12&amp;" · "&amp;Dossiers!$B$12,"")</f>
        <v/>
      </c>
      <c r="B456" s="18">
        <f>IF($A456="","",Paramètres!G24)</f>
        <v/>
      </c>
      <c r="C456" s="18">
        <f>IF($A456="","",IF(Paramètres!H24="","",Paramètres!H24))</f>
        <v/>
      </c>
      <c r="D456" s="18">
        <f>IF($A456="","",IF(Paramètres!I24="","",Paramètres!I24))</f>
        <v/>
      </c>
      <c r="E456" s="19">
        <f>IF($A456="","",IF(Paramètres!J24&amp;Paramètres!L24&amp;Paramètres!N24="",Dossiers!$D$12,MAX(IF(Paramètres!J24="",0,IF(Paramètres!K24="",NA(),IF(LEFT(TRIM(Paramètres!K24),1)="F",INDEX($F$437:$F$489,MATCH(Paramètres!J24,Paramètres!$G$5:$G$57,0)),INDEX($E$437:$E$489,MATCH(Paramètres!J24,Paramètres!$G$5:$G$57,0)))+IF(RIGHT(TRIM(Paramètres!K24),3)="Fin",1-$H456,IF(LEFT(TRIM(Paramètres!K24),1)="F",1,0)))),IF(Paramètres!L24="",0,IF(Paramètres!M24="",NA(),IF(LEFT(TRIM(Paramètres!M24),1)="F",INDEX($F$437:$F$489,MATCH(Paramètres!L24,Paramètres!$G$5:$G$57,0)),INDEX($E$437:$E$489,MATCH(Paramètres!L24,Paramètres!$G$5:$G$57,0)))+IF(RIGHT(TRIM(Paramètres!M24),3)="Fin",1-$H456,IF(LEFT(TRIM(Paramètres!M24),1)="F",1,0)))),IF(Paramètres!N24="",0,IF(Paramètres!O24="",NA(),IF(LEFT(TRIM(Paramètres!O24),1)="F",INDEX($F$437:$F$489,MATCH(Paramètres!N24,Paramètres!$G$5:$G$57,0)),INDEX($E$437:$E$489,MATCH(Paramètres!N24,Paramètres!$G$5:$G$57,0)))+IF(RIGHT(TRIM(Paramètres!O24),3)="Fin",1-$H456,IF(LEFT(TRIM(Paramètres!O24),1)="F",1,0)))))))</f>
        <v/>
      </c>
      <c r="F456" s="19">
        <f>IF($A456="","",E456+$H456-1)</f>
        <v/>
      </c>
      <c r="G456" s="18" t="n"/>
      <c r="H456" s="18">
        <f>IF($A456="","",IF(I456&lt;&gt;"",I456,Paramètres!B24))</f>
        <v/>
      </c>
      <c r="I456" s="18" t="n"/>
    </row>
    <row r="457">
      <c r="A457" s="18">
        <f>IF(ISNUMBER(Dossiers!$D$12),Dossiers!$A$12&amp;" · "&amp;Dossiers!$B$12,"")</f>
        <v/>
      </c>
      <c r="B457" s="18">
        <f>IF($A457="","",Paramètres!G25)</f>
        <v/>
      </c>
      <c r="C457" s="18">
        <f>IF($A457="","",IF(Paramètres!H25="","",Paramètres!H25))</f>
        <v/>
      </c>
      <c r="D457" s="18">
        <f>IF($A457="","",IF(Paramètres!I25="","",Paramètres!I25))</f>
        <v/>
      </c>
      <c r="E457" s="19">
        <f>IF($A457="","",IF(Paramètres!J25&amp;Paramètres!L25&amp;Paramètres!N25="",Dossiers!$D$12,MAX(IF(Paramètres!J25="",0,IF(Paramètres!K25="",NA(),IF(LEFT(TRIM(Paramètres!K25),1)="F",INDEX($F$437:$F$489,MATCH(Paramètres!J25,Paramètres!$G$5:$G$57,0)),INDEX($E$437:$E$489,MATCH(Paramètres!J25,Paramètres!$G$5:$G$57,0)))+IF(RIGHT(TRIM(Paramètres!K25),3)="Fin",1-$H457,IF(LEFT(TRIM(Paramètres!K25),1)="F",1,0)))),IF(Paramètres!L25="",0,IF(Paramètres!M25="",NA(),IF(LEFT(TRIM(Paramètres!M25),1)="F",INDEX($F$437:$F$489,MATCH(Paramètres!L25,Paramètres!$G$5:$G$57,0)),INDEX($E$437:$E$489,MATCH(Paramètres!L25,Paramètres!$G$5:$G$57,0)))+IF(RIGHT(TRIM(Paramètres!M25),3)="Fin",1-$H457,IF(LEFT(TRIM(Paramètres!M25),1)="F",1,0)))),IF(Paramètres!N25="",0,IF(Paramètres!O25="",NA(),IF(LEFT(TRIM(Paramètres!O25),1)="F",INDEX($F$437:$F$489,MATCH(Paramètres!N25,Paramètres!$G$5:$G$57,0)),INDEX($E$437:$E$489,MATCH(Paramètres!N25,Paramètres!$G$5:$G$57,0)))+IF(RIGHT(TRIM(Paramètres!O25),3)="Fin",1-$H457,IF(LEFT(TRIM(Paramètres!O25),1)="F",1,0)))))))</f>
        <v/>
      </c>
      <c r="F457" s="19">
        <f>IF($A457="","",E457+$H457-1)</f>
        <v/>
      </c>
      <c r="G457" s="18" t="n"/>
      <c r="H457" s="18">
        <f>IF($A457="","",IF(I457&lt;&gt;"",I457,Paramètres!B25))</f>
        <v/>
      </c>
      <c r="I457" s="18" t="n"/>
    </row>
    <row r="458">
      <c r="A458" s="18">
        <f>IF(ISNUMBER(Dossiers!$D$12),Dossiers!$A$12&amp;" · "&amp;Dossiers!$B$12,"")</f>
        <v/>
      </c>
      <c r="B458" s="18">
        <f>IF($A458="","",Paramètres!G26)</f>
        <v/>
      </c>
      <c r="C458" s="18">
        <f>IF($A458="","",IF(Paramètres!H26="","",Paramètres!H26))</f>
        <v/>
      </c>
      <c r="D458" s="18">
        <f>IF($A458="","",IF(Paramètres!I26="","",Paramètres!I26))</f>
        <v/>
      </c>
      <c r="E458" s="19">
        <f>IF($A458="","",IF(Paramètres!J26&amp;Paramètres!L26&amp;Paramètres!N26="",Dossiers!$D$12,MAX(IF(Paramètres!J26="",0,IF(Paramètres!K26="",NA(),IF(LEFT(TRIM(Paramètres!K26),1)="F",INDEX($F$437:$F$489,MATCH(Paramètres!J26,Paramètres!$G$5:$G$57,0)),INDEX($E$437:$E$489,MATCH(Paramètres!J26,Paramètres!$G$5:$G$57,0)))+IF(RIGHT(TRIM(Paramètres!K26),3)="Fin",1-$H458,IF(LEFT(TRIM(Paramètres!K26),1)="F",1,0)))),IF(Paramètres!L26="",0,IF(Paramètres!M26="",NA(),IF(LEFT(TRIM(Paramètres!M26),1)="F",INDEX($F$437:$F$489,MATCH(Paramètres!L26,Paramètres!$G$5:$G$57,0)),INDEX($E$437:$E$489,MATCH(Paramètres!L26,Paramètres!$G$5:$G$57,0)))+IF(RIGHT(TRIM(Paramètres!M26),3)="Fin",1-$H458,IF(LEFT(TRIM(Paramètres!M26),1)="F",1,0)))),IF(Paramètres!N26="",0,IF(Paramètres!O26="",NA(),IF(LEFT(TRIM(Paramètres!O26),1)="F",INDEX($F$437:$F$489,MATCH(Paramètres!N26,Paramètres!$G$5:$G$57,0)),INDEX($E$437:$E$489,MATCH(Paramètres!N26,Paramètres!$G$5:$G$57,0)))+IF(RIGHT(TRIM(Paramètres!O26),3)="Fin",1-$H458,IF(LEFT(TRIM(Paramètres!O26),1)="F",1,0)))))))</f>
        <v/>
      </c>
      <c r="F458" s="19">
        <f>IF($A458="","",E458+$H458-1)</f>
        <v/>
      </c>
      <c r="G458" s="18" t="n"/>
      <c r="H458" s="18">
        <f>IF($A458="","",IF(I458&lt;&gt;"",I458,Paramètres!B26))</f>
        <v/>
      </c>
      <c r="I458" s="18" t="n"/>
    </row>
    <row r="459">
      <c r="A459" s="18">
        <f>IF(ISNUMBER(Dossiers!$D$12),Dossiers!$A$12&amp;" · "&amp;Dossiers!$B$12,"")</f>
        <v/>
      </c>
      <c r="B459" s="18">
        <f>IF($A459="","",Paramètres!G27)</f>
        <v/>
      </c>
      <c r="C459" s="18">
        <f>IF($A459="","",IF(Paramètres!H27="","",Paramètres!H27))</f>
        <v/>
      </c>
      <c r="D459" s="18">
        <f>IF($A459="","",IF(Paramètres!I27="","",Paramètres!I27))</f>
        <v/>
      </c>
      <c r="E459" s="19">
        <f>IF($A459="","",IF(Paramètres!J27&amp;Paramètres!L27&amp;Paramètres!N27="",Dossiers!$D$12,MAX(IF(Paramètres!J27="",0,IF(Paramètres!K27="",NA(),IF(LEFT(TRIM(Paramètres!K27),1)="F",INDEX($F$437:$F$489,MATCH(Paramètres!J27,Paramètres!$G$5:$G$57,0)),INDEX($E$437:$E$489,MATCH(Paramètres!J27,Paramètres!$G$5:$G$57,0)))+IF(RIGHT(TRIM(Paramètres!K27),3)="Fin",1-$H459,IF(LEFT(TRIM(Paramètres!K27),1)="F",1,0)))),IF(Paramètres!L27="",0,IF(Paramètres!M27="",NA(),IF(LEFT(TRIM(Paramètres!M27),1)="F",INDEX($F$437:$F$489,MATCH(Paramètres!L27,Paramètres!$G$5:$G$57,0)),INDEX($E$437:$E$489,MATCH(Paramètres!L27,Paramètres!$G$5:$G$57,0)))+IF(RIGHT(TRIM(Paramètres!M27),3)="Fin",1-$H459,IF(LEFT(TRIM(Paramètres!M27),1)="F",1,0)))),IF(Paramètres!N27="",0,IF(Paramètres!O27="",NA(),IF(LEFT(TRIM(Paramètres!O27),1)="F",INDEX($F$437:$F$489,MATCH(Paramètres!N27,Paramètres!$G$5:$G$57,0)),INDEX($E$437:$E$489,MATCH(Paramètres!N27,Paramètres!$G$5:$G$57,0)))+IF(RIGHT(TRIM(Paramètres!O27),3)="Fin",1-$H459,IF(LEFT(TRIM(Paramètres!O27),1)="F",1,0)))))))</f>
        <v/>
      </c>
      <c r="F459" s="19">
        <f>IF($A459="","",E459+$H459-1)</f>
        <v/>
      </c>
      <c r="G459" s="18" t="n"/>
      <c r="H459" s="18">
        <f>IF($A459="","",IF(I459&lt;&gt;"",I459,Paramètres!B27))</f>
        <v/>
      </c>
      <c r="I459" s="18" t="n"/>
    </row>
    <row r="460">
      <c r="A460" s="18">
        <f>IF(ISNUMBER(Dossiers!$D$12),Dossiers!$A$12&amp;" · "&amp;Dossiers!$B$12,"")</f>
        <v/>
      </c>
      <c r="B460" s="18">
        <f>IF($A460="","",Paramètres!G28)</f>
        <v/>
      </c>
      <c r="C460" s="18">
        <f>IF($A460="","",IF(Paramètres!H28="","",Paramètres!H28))</f>
        <v/>
      </c>
      <c r="D460" s="18">
        <f>IF($A460="","",IF(Paramètres!I28="","",Paramètres!I28))</f>
        <v/>
      </c>
      <c r="E460" s="19">
        <f>IF($A460="","",IF(Paramètres!J28&amp;Paramètres!L28&amp;Paramètres!N28="",Dossiers!$D$12,MAX(IF(Paramètres!J28="",0,IF(Paramètres!K28="",NA(),IF(LEFT(TRIM(Paramètres!K28),1)="F",INDEX($F$437:$F$489,MATCH(Paramètres!J28,Paramètres!$G$5:$G$57,0)),INDEX($E$437:$E$489,MATCH(Paramètres!J28,Paramètres!$G$5:$G$57,0)))+IF(RIGHT(TRIM(Paramètres!K28),3)="Fin",1-$H460,IF(LEFT(TRIM(Paramètres!K28),1)="F",1,0)))),IF(Paramètres!L28="",0,IF(Paramètres!M28="",NA(),IF(LEFT(TRIM(Paramètres!M28),1)="F",INDEX($F$437:$F$489,MATCH(Paramètres!L28,Paramètres!$G$5:$G$57,0)),INDEX($E$437:$E$489,MATCH(Paramètres!L28,Paramètres!$G$5:$G$57,0)))+IF(RIGHT(TRIM(Paramètres!M28),3)="Fin",1-$H460,IF(LEFT(TRIM(Paramètres!M28),1)="F",1,0)))),IF(Paramètres!N28="",0,IF(Paramètres!O28="",NA(),IF(LEFT(TRIM(Paramètres!O28),1)="F",INDEX($F$437:$F$489,MATCH(Paramètres!N28,Paramètres!$G$5:$G$57,0)),INDEX($E$437:$E$489,MATCH(Paramètres!N28,Paramètres!$G$5:$G$57,0)))+IF(RIGHT(TRIM(Paramètres!O28),3)="Fin",1-$H460,IF(LEFT(TRIM(Paramètres!O28),1)="F",1,0)))))))</f>
        <v/>
      </c>
      <c r="F460" s="19">
        <f>IF($A460="","",E460+$H460-1)</f>
        <v/>
      </c>
      <c r="G460" s="18" t="n"/>
      <c r="H460" s="18">
        <f>IF($A460="","",IF(I460&lt;&gt;"",I460,Paramètres!B28))</f>
        <v/>
      </c>
      <c r="I460" s="18" t="n"/>
    </row>
    <row r="461">
      <c r="A461" s="18">
        <f>IF(ISNUMBER(Dossiers!$D$12),Dossiers!$A$12&amp;" · "&amp;Dossiers!$B$12,"")</f>
        <v/>
      </c>
      <c r="B461" s="18">
        <f>IF($A461="","",Paramètres!G29)</f>
        <v/>
      </c>
      <c r="C461" s="18">
        <f>IF($A461="","",IF(Paramètres!H29="","",Paramètres!H29))</f>
        <v/>
      </c>
      <c r="D461" s="18">
        <f>IF($A461="","",IF(Paramètres!I29="","",Paramètres!I29))</f>
        <v/>
      </c>
      <c r="E461" s="19">
        <f>IF($A461="","",IF(Paramètres!J29&amp;Paramètres!L29&amp;Paramètres!N29="",Dossiers!$D$12,MAX(IF(Paramètres!J29="",0,IF(Paramètres!K29="",NA(),IF(LEFT(TRIM(Paramètres!K29),1)="F",INDEX($F$437:$F$489,MATCH(Paramètres!J29,Paramètres!$G$5:$G$57,0)),INDEX($E$437:$E$489,MATCH(Paramètres!J29,Paramètres!$G$5:$G$57,0)))+IF(RIGHT(TRIM(Paramètres!K29),3)="Fin",1-$H461,IF(LEFT(TRIM(Paramètres!K29),1)="F",1,0)))),IF(Paramètres!L29="",0,IF(Paramètres!M29="",NA(),IF(LEFT(TRIM(Paramètres!M29),1)="F",INDEX($F$437:$F$489,MATCH(Paramètres!L29,Paramètres!$G$5:$G$57,0)),INDEX($E$437:$E$489,MATCH(Paramètres!L29,Paramètres!$G$5:$G$57,0)))+IF(RIGHT(TRIM(Paramètres!M29),3)="Fin",1-$H461,IF(LEFT(TRIM(Paramètres!M29),1)="F",1,0)))),IF(Paramètres!N29="",0,IF(Paramètres!O29="",NA(),IF(LEFT(TRIM(Paramètres!O29),1)="F",INDEX($F$437:$F$489,MATCH(Paramètres!N29,Paramètres!$G$5:$G$57,0)),INDEX($E$437:$E$489,MATCH(Paramètres!N29,Paramètres!$G$5:$G$57,0)))+IF(RIGHT(TRIM(Paramètres!O29),3)="Fin",1-$H461,IF(LEFT(TRIM(Paramètres!O29),1)="F",1,0)))))))</f>
        <v/>
      </c>
      <c r="F461" s="19">
        <f>IF($A461="","",E461+$H461-1)</f>
        <v/>
      </c>
      <c r="G461" s="18" t="n"/>
      <c r="H461" s="18">
        <f>IF($A461="","",IF(I461&lt;&gt;"",I461,Paramètres!B29))</f>
        <v/>
      </c>
      <c r="I461" s="18" t="n"/>
    </row>
    <row r="462">
      <c r="A462" s="18">
        <f>IF(ISNUMBER(Dossiers!$D$12),Dossiers!$A$12&amp;" · "&amp;Dossiers!$B$12,"")</f>
        <v/>
      </c>
      <c r="B462" s="18">
        <f>IF($A462="","",Paramètres!G30)</f>
        <v/>
      </c>
      <c r="C462" s="18">
        <f>IF($A462="","",IF(Paramètres!H30="","",Paramètres!H30))</f>
        <v/>
      </c>
      <c r="D462" s="18">
        <f>IF($A462="","",IF(Paramètres!I30="","",Paramètres!I30))</f>
        <v/>
      </c>
      <c r="E462" s="19">
        <f>IF($A462="","",IF(Paramètres!J30&amp;Paramètres!L30&amp;Paramètres!N30="",Dossiers!$D$12,MAX(IF(Paramètres!J30="",0,IF(Paramètres!K30="",NA(),IF(LEFT(TRIM(Paramètres!K30),1)="F",INDEX($F$437:$F$489,MATCH(Paramètres!J30,Paramètres!$G$5:$G$57,0)),INDEX($E$437:$E$489,MATCH(Paramètres!J30,Paramètres!$G$5:$G$57,0)))+IF(RIGHT(TRIM(Paramètres!K30),3)="Fin",1-$H462,IF(LEFT(TRIM(Paramètres!K30),1)="F",1,0)))),IF(Paramètres!L30="",0,IF(Paramètres!M30="",NA(),IF(LEFT(TRIM(Paramètres!M30),1)="F",INDEX($F$437:$F$489,MATCH(Paramètres!L30,Paramètres!$G$5:$G$57,0)),INDEX($E$437:$E$489,MATCH(Paramètres!L30,Paramètres!$G$5:$G$57,0)))+IF(RIGHT(TRIM(Paramètres!M30),3)="Fin",1-$H462,IF(LEFT(TRIM(Paramètres!M30),1)="F",1,0)))),IF(Paramètres!N30="",0,IF(Paramètres!O30="",NA(),IF(LEFT(TRIM(Paramètres!O30),1)="F",INDEX($F$437:$F$489,MATCH(Paramètres!N30,Paramètres!$G$5:$G$57,0)),INDEX($E$437:$E$489,MATCH(Paramètres!N30,Paramètres!$G$5:$G$57,0)))+IF(RIGHT(TRIM(Paramètres!O30),3)="Fin",1-$H462,IF(LEFT(TRIM(Paramètres!O30),1)="F",1,0)))))))</f>
        <v/>
      </c>
      <c r="F462" s="19">
        <f>IF($A462="","",E462+$H462-1)</f>
        <v/>
      </c>
      <c r="G462" s="18" t="n"/>
      <c r="H462" s="18">
        <f>IF($A462="","",IF(I462&lt;&gt;"",I462,Paramètres!B30))</f>
        <v/>
      </c>
      <c r="I462" s="18" t="n"/>
    </row>
    <row r="463">
      <c r="A463" s="18">
        <f>IF(ISNUMBER(Dossiers!$D$12),Dossiers!$A$12&amp;" · "&amp;Dossiers!$B$12,"")</f>
        <v/>
      </c>
      <c r="B463" s="18">
        <f>IF($A463="","",Paramètres!G31)</f>
        <v/>
      </c>
      <c r="C463" s="20">
        <f>IF($A463="","",IF(Dossiers!$F$12="","",Dossiers!$F$12))</f>
        <v/>
      </c>
      <c r="D463" s="18">
        <f>IF($A463="","",IF(Paramètres!I31="","",Paramètres!I31))</f>
        <v/>
      </c>
      <c r="E463" s="19">
        <f>IF($A463="","",IF(Paramètres!J31&amp;Paramètres!L31&amp;Paramètres!N31="",Dossiers!$D$12,MAX(IF(Paramètres!J31="",0,IF(Paramètres!K31="",NA(),IF(LEFT(TRIM(Paramètres!K31),1)="F",INDEX($F$437:$F$489,MATCH(Paramètres!J31,Paramètres!$G$5:$G$57,0)),INDEX($E$437:$E$489,MATCH(Paramètres!J31,Paramètres!$G$5:$G$57,0)))+IF(RIGHT(TRIM(Paramètres!K31),3)="Fin",1-$H463,IF(LEFT(TRIM(Paramètres!K31),1)="F",1,0)))),IF(Paramètres!L31="",0,IF(Paramètres!M31="",NA(),IF(LEFT(TRIM(Paramètres!M31),1)="F",INDEX($F$437:$F$489,MATCH(Paramètres!L31,Paramètres!$G$5:$G$57,0)),INDEX($E$437:$E$489,MATCH(Paramètres!L31,Paramètres!$G$5:$G$57,0)))+IF(RIGHT(TRIM(Paramètres!M31),3)="Fin",1-$H463,IF(LEFT(TRIM(Paramètres!M31),1)="F",1,0)))),IF(Paramètres!N31="",0,IF(Paramètres!O31="",NA(),IF(LEFT(TRIM(Paramètres!O31),1)="F",INDEX($F$437:$F$489,MATCH(Paramètres!N31,Paramètres!$G$5:$G$57,0)),INDEX($E$437:$E$489,MATCH(Paramètres!N31,Paramètres!$G$5:$G$57,0)))+IF(RIGHT(TRIM(Paramètres!O31),3)="Fin",1-$H463,IF(LEFT(TRIM(Paramètres!O31),1)="F",1,0)))))))</f>
        <v/>
      </c>
      <c r="F463" s="19">
        <f>IF($A463="","",E463+$H463-1)</f>
        <v/>
      </c>
      <c r="G463" s="18" t="n"/>
      <c r="H463" s="18">
        <f>IF($A463="","",IF(I463&lt;&gt;"",I463,Paramètres!B31))</f>
        <v/>
      </c>
      <c r="I463" s="18" t="n"/>
    </row>
    <row r="464">
      <c r="A464" s="18">
        <f>IF(ISNUMBER(Dossiers!$D$12),Dossiers!$A$12&amp;" · "&amp;Dossiers!$B$12,"")</f>
        <v/>
      </c>
      <c r="B464" s="18">
        <f>IF($A464="","",Paramètres!G32)</f>
        <v/>
      </c>
      <c r="C464" s="18">
        <f>IF($A464="","",IF(Paramètres!H32="","",Paramètres!H32))</f>
        <v/>
      </c>
      <c r="D464" s="18">
        <f>IF($A464="","",IF(Paramètres!I32="","",Paramètres!I32))</f>
        <v/>
      </c>
      <c r="E464" s="19">
        <f>IF($A464="","",MIN(E465:E468))</f>
        <v/>
      </c>
      <c r="F464" s="19">
        <f>IF($A464="","",MAX(F465:F468))</f>
        <v/>
      </c>
      <c r="G464" s="18" t="n"/>
      <c r="H464" s="18">
        <f>IF($A464="","",F464-E464+1)</f>
        <v/>
      </c>
      <c r="I464" s="18" t="n"/>
    </row>
    <row r="465">
      <c r="A465" s="18">
        <f>IF(ISNUMBER(Dossiers!$D$12),Dossiers!$A$12&amp;" · "&amp;Dossiers!$B$12,"")</f>
        <v/>
      </c>
      <c r="B465" s="18">
        <f>IF($A465="","",Paramètres!G33)</f>
        <v/>
      </c>
      <c r="C465" s="18">
        <f>IF($A465="","",IF(Paramètres!H33="","",Paramètres!H33))</f>
        <v/>
      </c>
      <c r="D465" s="18">
        <f>IF($A465="","",IF(Paramètres!I33="","",Paramètres!I33))</f>
        <v/>
      </c>
      <c r="E465" s="19">
        <f>IF($A465="","",IF(Paramètres!J33&amp;Paramètres!L33&amp;Paramètres!N33="",Dossiers!$D$12,MAX(IF(Paramètres!J33="",0,IF(Paramètres!K33="",NA(),IF(LEFT(TRIM(Paramètres!K33),1)="F",INDEX($F$437:$F$489,MATCH(Paramètres!J33,Paramètres!$G$5:$G$57,0)),INDEX($E$437:$E$489,MATCH(Paramètres!J33,Paramètres!$G$5:$G$57,0)))+IF(RIGHT(TRIM(Paramètres!K33),3)="Fin",1-$H465,IF(LEFT(TRIM(Paramètres!K33),1)="F",1,0)))),IF(Paramètres!L33="",0,IF(Paramètres!M33="",NA(),IF(LEFT(TRIM(Paramètres!M33),1)="F",INDEX($F$437:$F$489,MATCH(Paramètres!L33,Paramètres!$G$5:$G$57,0)),INDEX($E$437:$E$489,MATCH(Paramètres!L33,Paramètres!$G$5:$G$57,0)))+IF(RIGHT(TRIM(Paramètres!M33),3)="Fin",1-$H465,IF(LEFT(TRIM(Paramètres!M33),1)="F",1,0)))),IF(Paramètres!N33="",0,IF(Paramètres!O33="",NA(),IF(LEFT(TRIM(Paramètres!O33),1)="F",INDEX($F$437:$F$489,MATCH(Paramètres!N33,Paramètres!$G$5:$G$57,0)),INDEX($E$437:$E$489,MATCH(Paramètres!N33,Paramètres!$G$5:$G$57,0)))+IF(RIGHT(TRIM(Paramètres!O33),3)="Fin",1-$H465,IF(LEFT(TRIM(Paramètres!O33),1)="F",1,0)))))))</f>
        <v/>
      </c>
      <c r="F465" s="19">
        <f>IF($A465="","",E465+$H465-1)</f>
        <v/>
      </c>
      <c r="G465" s="18" t="n"/>
      <c r="H465" s="18">
        <f>IF($A465="","",IF(I465&lt;&gt;"",I465,Paramètres!B33))</f>
        <v/>
      </c>
      <c r="I465" s="18" t="n"/>
    </row>
    <row r="466">
      <c r="A466" s="18">
        <f>IF(ISNUMBER(Dossiers!$D$12),Dossiers!$A$12&amp;" · "&amp;Dossiers!$B$12,"")</f>
        <v/>
      </c>
      <c r="B466" s="18">
        <f>IF($A466="","",Paramètres!G34)</f>
        <v/>
      </c>
      <c r="C466" s="18">
        <f>IF($A466="","",IF(Paramètres!H34="","",Paramètres!H34))</f>
        <v/>
      </c>
      <c r="D466" s="18">
        <f>IF($A466="","",IF(Paramètres!I34="","",Paramètres!I34))</f>
        <v/>
      </c>
      <c r="E466" s="19">
        <f>IF($A466="","",IF(Paramètres!J34&amp;Paramètres!L34&amp;Paramètres!N34="",Dossiers!$D$12,MAX(IF(Paramètres!J34="",0,IF(Paramètres!K34="",NA(),IF(LEFT(TRIM(Paramètres!K34),1)="F",INDEX($F$437:$F$489,MATCH(Paramètres!J34,Paramètres!$G$5:$G$57,0)),INDEX($E$437:$E$489,MATCH(Paramètres!J34,Paramètres!$G$5:$G$57,0)))+IF(RIGHT(TRIM(Paramètres!K34),3)="Fin",1-$H466,IF(LEFT(TRIM(Paramètres!K34),1)="F",1,0)))),IF(Paramètres!L34="",0,IF(Paramètres!M34="",NA(),IF(LEFT(TRIM(Paramètres!M34),1)="F",INDEX($F$437:$F$489,MATCH(Paramètres!L34,Paramètres!$G$5:$G$57,0)),INDEX($E$437:$E$489,MATCH(Paramètres!L34,Paramètres!$G$5:$G$57,0)))+IF(RIGHT(TRIM(Paramètres!M34),3)="Fin",1-$H466,IF(LEFT(TRIM(Paramètres!M34),1)="F",1,0)))),IF(Paramètres!N34="",0,IF(Paramètres!O34="",NA(),IF(LEFT(TRIM(Paramètres!O34),1)="F",INDEX($F$437:$F$489,MATCH(Paramètres!N34,Paramètres!$G$5:$G$57,0)),INDEX($E$437:$E$489,MATCH(Paramètres!N34,Paramètres!$G$5:$G$57,0)))+IF(RIGHT(TRIM(Paramètres!O34),3)="Fin",1-$H466,IF(LEFT(TRIM(Paramètres!O34),1)="F",1,0)))))))</f>
        <v/>
      </c>
      <c r="F466" s="19">
        <f>IF($A466="","",E466+$H466-1)</f>
        <v/>
      </c>
      <c r="G466" s="18" t="n"/>
      <c r="H466" s="18">
        <f>IF($A466="","",IF(I466&lt;&gt;"",I466,Paramètres!B34))</f>
        <v/>
      </c>
      <c r="I466" s="18" t="n"/>
    </row>
    <row r="467">
      <c r="A467" s="18">
        <f>IF(ISNUMBER(Dossiers!$D$12),Dossiers!$A$12&amp;" · "&amp;Dossiers!$B$12,"")</f>
        <v/>
      </c>
      <c r="B467" s="18">
        <f>IF($A467="","",Paramètres!G35)</f>
        <v/>
      </c>
      <c r="C467" s="18">
        <f>IF($A467="","",IF(Paramètres!H35="","",Paramètres!H35))</f>
        <v/>
      </c>
      <c r="D467" s="18">
        <f>IF($A467="","",IF(Paramètres!I35="","",Paramètres!I35))</f>
        <v/>
      </c>
      <c r="E467" s="19">
        <f>IF($A467="","",IF(Paramètres!J35&amp;Paramètres!L35&amp;Paramètres!N35="",Dossiers!$D$12,MAX(IF(Paramètres!J35="",0,IF(Paramètres!K35="",NA(),IF(LEFT(TRIM(Paramètres!K35),1)="F",INDEX($F$437:$F$489,MATCH(Paramètres!J35,Paramètres!$G$5:$G$57,0)),INDEX($E$437:$E$489,MATCH(Paramètres!J35,Paramètres!$G$5:$G$57,0)))+IF(RIGHT(TRIM(Paramètres!K35),3)="Fin",1-$H467,IF(LEFT(TRIM(Paramètres!K35),1)="F",1,0)))),IF(Paramètres!L35="",0,IF(Paramètres!M35="",NA(),IF(LEFT(TRIM(Paramètres!M35),1)="F",INDEX($F$437:$F$489,MATCH(Paramètres!L35,Paramètres!$G$5:$G$57,0)),INDEX($E$437:$E$489,MATCH(Paramètres!L35,Paramètres!$G$5:$G$57,0)))+IF(RIGHT(TRIM(Paramètres!M35),3)="Fin",1-$H467,IF(LEFT(TRIM(Paramètres!M35),1)="F",1,0)))),IF(Paramètres!N35="",0,IF(Paramètres!O35="",NA(),IF(LEFT(TRIM(Paramètres!O35),1)="F",INDEX($F$437:$F$489,MATCH(Paramètres!N35,Paramètres!$G$5:$G$57,0)),INDEX($E$437:$E$489,MATCH(Paramètres!N35,Paramètres!$G$5:$G$57,0)))+IF(RIGHT(TRIM(Paramètres!O35),3)="Fin",1-$H467,IF(LEFT(TRIM(Paramètres!O35),1)="F",1,0)))))))</f>
        <v/>
      </c>
      <c r="F467" s="19">
        <f>IF($A467="","",E467+$H467-1)</f>
        <v/>
      </c>
      <c r="G467" s="18" t="n"/>
      <c r="H467" s="18">
        <f>IF($A467="","",IF(I467&lt;&gt;"",I467,Paramètres!B35))</f>
        <v/>
      </c>
      <c r="I467" s="18" t="n"/>
    </row>
    <row r="468">
      <c r="A468" s="18">
        <f>IF(ISNUMBER(Dossiers!$D$12),Dossiers!$A$12&amp;" · "&amp;Dossiers!$B$12,"")</f>
        <v/>
      </c>
      <c r="B468" s="18">
        <f>IF($A468="","",Paramètres!G36)</f>
        <v/>
      </c>
      <c r="C468" s="18">
        <f>IF($A468="","",IF(Paramètres!H36="","",Paramètres!H36))</f>
        <v/>
      </c>
      <c r="D468" s="18">
        <f>IF($A468="","",IF(Paramètres!I36="","",Paramètres!I36))</f>
        <v/>
      </c>
      <c r="E468" s="19">
        <f>IF($A468="","",IF(Paramètres!J36&amp;Paramètres!L36&amp;Paramètres!N36="",Dossiers!$D$12,MAX(IF(Paramètres!J36="",0,IF(Paramètres!K36="",NA(),IF(LEFT(TRIM(Paramètres!K36),1)="F",INDEX($F$437:$F$489,MATCH(Paramètres!J36,Paramètres!$G$5:$G$57,0)),INDEX($E$437:$E$489,MATCH(Paramètres!J36,Paramètres!$G$5:$G$57,0)))+IF(RIGHT(TRIM(Paramètres!K36),3)="Fin",1-$H468,IF(LEFT(TRIM(Paramètres!K36),1)="F",1,0)))),IF(Paramètres!L36="",0,IF(Paramètres!M36="",NA(),IF(LEFT(TRIM(Paramètres!M36),1)="F",INDEX($F$437:$F$489,MATCH(Paramètres!L36,Paramètres!$G$5:$G$57,0)),INDEX($E$437:$E$489,MATCH(Paramètres!L36,Paramètres!$G$5:$G$57,0)))+IF(RIGHT(TRIM(Paramètres!M36),3)="Fin",1-$H468,IF(LEFT(TRIM(Paramètres!M36),1)="F",1,0)))),IF(Paramètres!N36="",0,IF(Paramètres!O36="",NA(),IF(LEFT(TRIM(Paramètres!O36),1)="F",INDEX($F$437:$F$489,MATCH(Paramètres!N36,Paramètres!$G$5:$G$57,0)),INDEX($E$437:$E$489,MATCH(Paramètres!N36,Paramètres!$G$5:$G$57,0)))+IF(RIGHT(TRIM(Paramètres!O36),3)="Fin",1-$H468,IF(LEFT(TRIM(Paramètres!O36),1)="F",1,0)))))))</f>
        <v/>
      </c>
      <c r="F468" s="19">
        <f>IF($A468="","",E468+$H468-1)</f>
        <v/>
      </c>
      <c r="G468" s="18" t="n"/>
      <c r="H468" s="18">
        <f>IF($A468="","",IF(I468&lt;&gt;"",I468,Paramètres!B36))</f>
        <v/>
      </c>
      <c r="I468" s="18" t="n"/>
    </row>
    <row r="469">
      <c r="A469" s="18">
        <f>IF(ISNUMBER(Dossiers!$D$12),Dossiers!$A$12&amp;" · "&amp;Dossiers!$B$12,"")</f>
        <v/>
      </c>
      <c r="B469" s="18">
        <f>IF($A469="","",Paramètres!G37)</f>
        <v/>
      </c>
      <c r="C469" s="18">
        <f>IF($A469="","",IF(Paramètres!H37="","",Paramètres!H37))</f>
        <v/>
      </c>
      <c r="D469" s="18">
        <f>IF($A469="","",IF(Paramètres!I37="","",Paramètres!I37))</f>
        <v/>
      </c>
      <c r="E469" s="19">
        <f>IF($A469="","",MIN(E470:E487))</f>
        <v/>
      </c>
      <c r="F469" s="19">
        <f>IF($A469="","",MAX(F470:F487))</f>
        <v/>
      </c>
      <c r="G469" s="18" t="n"/>
      <c r="H469" s="18">
        <f>IF($A469="","",F469-E469+1)</f>
        <v/>
      </c>
      <c r="I469" s="18" t="n"/>
    </row>
    <row r="470">
      <c r="A470" s="18">
        <f>IF(ISNUMBER(Dossiers!$D$12),Dossiers!$A$12&amp;" · "&amp;Dossiers!$B$12,"")</f>
        <v/>
      </c>
      <c r="B470" s="18">
        <f>IF($A470="","",Paramètres!G38)</f>
        <v/>
      </c>
      <c r="C470" s="18">
        <f>IF($A470="","",IF(Paramètres!H38="","",Paramètres!H38))</f>
        <v/>
      </c>
      <c r="D470" s="18">
        <f>IF($A470="","",IF(Paramètres!I38="","",Paramètres!I38))</f>
        <v/>
      </c>
      <c r="E470" s="19">
        <f>IF($A470="","",IF(Paramètres!J38&amp;Paramètres!L38&amp;Paramètres!N38="",Dossiers!$D$12,MAX(IF(Paramètres!J38="",0,IF(Paramètres!K38="",NA(),IF(LEFT(TRIM(Paramètres!K38),1)="F",INDEX($F$437:$F$489,MATCH(Paramètres!J38,Paramètres!$G$5:$G$57,0)),INDEX($E$437:$E$489,MATCH(Paramètres!J38,Paramètres!$G$5:$G$57,0)))+IF(RIGHT(TRIM(Paramètres!K38),3)="Fin",1-$H470,IF(LEFT(TRIM(Paramètres!K38),1)="F",1,0)))),IF(Paramètres!L38="",0,IF(Paramètres!M38="",NA(),IF(LEFT(TRIM(Paramètres!M38),1)="F",INDEX($F$437:$F$489,MATCH(Paramètres!L38,Paramètres!$G$5:$G$57,0)),INDEX($E$437:$E$489,MATCH(Paramètres!L38,Paramètres!$G$5:$G$57,0)))+IF(RIGHT(TRIM(Paramètres!M38),3)="Fin",1-$H470,IF(LEFT(TRIM(Paramètres!M38),1)="F",1,0)))),IF(Paramètres!N38="",0,IF(Paramètres!O38="",NA(),IF(LEFT(TRIM(Paramètres!O38),1)="F",INDEX($F$437:$F$489,MATCH(Paramètres!N38,Paramètres!$G$5:$G$57,0)),INDEX($E$437:$E$489,MATCH(Paramètres!N38,Paramètres!$G$5:$G$57,0)))+IF(RIGHT(TRIM(Paramètres!O38),3)="Fin",1-$H470,IF(LEFT(TRIM(Paramètres!O38),1)="F",1,0)))))))</f>
        <v/>
      </c>
      <c r="F470" s="19">
        <f>IF($A470="","",E470+$H470-1)</f>
        <v/>
      </c>
      <c r="G470" s="18" t="n"/>
      <c r="H470" s="18">
        <f>IF($A470="","",IF(I470&lt;&gt;"",I470,Paramètres!B38))</f>
        <v/>
      </c>
      <c r="I470" s="18" t="n"/>
    </row>
    <row r="471">
      <c r="A471" s="18">
        <f>IF(ISNUMBER(Dossiers!$D$12),Dossiers!$A$12&amp;" · "&amp;Dossiers!$B$12,"")</f>
        <v/>
      </c>
      <c r="B471" s="18">
        <f>IF($A471="","",Paramètres!G39)</f>
        <v/>
      </c>
      <c r="C471" s="18">
        <f>IF($A471="","",IF(Paramètres!H39="","",Paramètres!H39))</f>
        <v/>
      </c>
      <c r="D471" s="18">
        <f>IF($A471="","",IF(Paramètres!I39="","",Paramètres!I39))</f>
        <v/>
      </c>
      <c r="E471" s="19">
        <f>IF($A471="","",IF(Paramètres!J39&amp;Paramètres!L39&amp;Paramètres!N39="",Dossiers!$D$12,MAX(IF(Paramètres!J39="",0,IF(Paramètres!K39="",NA(),IF(LEFT(TRIM(Paramètres!K39),1)="F",INDEX($F$437:$F$489,MATCH(Paramètres!J39,Paramètres!$G$5:$G$57,0)),INDEX($E$437:$E$489,MATCH(Paramètres!J39,Paramètres!$G$5:$G$57,0)))+IF(RIGHT(TRIM(Paramètres!K39),3)="Fin",1-$H471,IF(LEFT(TRIM(Paramètres!K39),1)="F",1,0)))),IF(Paramètres!L39="",0,IF(Paramètres!M39="",NA(),IF(LEFT(TRIM(Paramètres!M39),1)="F",INDEX($F$437:$F$489,MATCH(Paramètres!L39,Paramètres!$G$5:$G$57,0)),INDEX($E$437:$E$489,MATCH(Paramètres!L39,Paramètres!$G$5:$G$57,0)))+IF(RIGHT(TRIM(Paramètres!M39),3)="Fin",1-$H471,IF(LEFT(TRIM(Paramètres!M39),1)="F",1,0)))),IF(Paramètres!N39="",0,IF(Paramètres!O39="",NA(),IF(LEFT(TRIM(Paramètres!O39),1)="F",INDEX($F$437:$F$489,MATCH(Paramètres!N39,Paramètres!$G$5:$G$57,0)),INDEX($E$437:$E$489,MATCH(Paramètres!N39,Paramètres!$G$5:$G$57,0)))+IF(RIGHT(TRIM(Paramètres!O39),3)="Fin",1-$H471,IF(LEFT(TRIM(Paramètres!O39),1)="F",1,0)))))))</f>
        <v/>
      </c>
      <c r="F471" s="19">
        <f>IF($A471="","",E471+$H471-1)</f>
        <v/>
      </c>
      <c r="G471" s="18" t="n"/>
      <c r="H471" s="18">
        <f>IF($A471="","",IF(I471&lt;&gt;"",I471,Paramètres!B39))</f>
        <v/>
      </c>
      <c r="I471" s="18" t="n"/>
    </row>
    <row r="472">
      <c r="A472" s="18">
        <f>IF(ISNUMBER(Dossiers!$D$12),Dossiers!$A$12&amp;" · "&amp;Dossiers!$B$12,"")</f>
        <v/>
      </c>
      <c r="B472" s="18">
        <f>IF($A472="","",Paramètres!G40)</f>
        <v/>
      </c>
      <c r="C472" s="18">
        <f>IF($A472="","",IF(Paramètres!H40="","",Paramètres!H40))</f>
        <v/>
      </c>
      <c r="D472" s="18">
        <f>IF($A472="","",IF(Paramètres!I40="","",Paramètres!I40))</f>
        <v/>
      </c>
      <c r="E472" s="19">
        <f>IF($A472="","",IF(Paramètres!J40&amp;Paramètres!L40&amp;Paramètres!N40="",Dossiers!$D$12,MAX(IF(Paramètres!J40="",0,IF(Paramètres!K40="",NA(),IF(LEFT(TRIM(Paramètres!K40),1)="F",INDEX($F$437:$F$489,MATCH(Paramètres!J40,Paramètres!$G$5:$G$57,0)),INDEX($E$437:$E$489,MATCH(Paramètres!J40,Paramètres!$G$5:$G$57,0)))+IF(RIGHT(TRIM(Paramètres!K40),3)="Fin",1-$H472,IF(LEFT(TRIM(Paramètres!K40),1)="F",1,0)))),IF(Paramètres!L40="",0,IF(Paramètres!M40="",NA(),IF(LEFT(TRIM(Paramètres!M40),1)="F",INDEX($F$437:$F$489,MATCH(Paramètres!L40,Paramètres!$G$5:$G$57,0)),INDEX($E$437:$E$489,MATCH(Paramètres!L40,Paramètres!$G$5:$G$57,0)))+IF(RIGHT(TRIM(Paramètres!M40),3)="Fin",1-$H472,IF(LEFT(TRIM(Paramètres!M40),1)="F",1,0)))),IF(Paramètres!N40="",0,IF(Paramètres!O40="",NA(),IF(LEFT(TRIM(Paramètres!O40),1)="F",INDEX($F$437:$F$489,MATCH(Paramètres!N40,Paramètres!$G$5:$G$57,0)),INDEX($E$437:$E$489,MATCH(Paramètres!N40,Paramètres!$G$5:$G$57,0)))+IF(RIGHT(TRIM(Paramètres!O40),3)="Fin",1-$H472,IF(LEFT(TRIM(Paramètres!O40),1)="F",1,0)))))))</f>
        <v/>
      </c>
      <c r="F472" s="19">
        <f>IF($A472="","",E472+$H472-1)</f>
        <v/>
      </c>
      <c r="G472" s="18" t="n"/>
      <c r="H472" s="18">
        <f>IF($A472="","",IF(I472&lt;&gt;"",I472,Paramètres!B40))</f>
        <v/>
      </c>
      <c r="I472" s="18" t="n"/>
    </row>
    <row r="473">
      <c r="A473" s="18">
        <f>IF(ISNUMBER(Dossiers!$D$12),Dossiers!$A$12&amp;" · "&amp;Dossiers!$B$12,"")</f>
        <v/>
      </c>
      <c r="B473" s="18">
        <f>IF($A473="","",Paramètres!G41)</f>
        <v/>
      </c>
      <c r="C473" s="18">
        <f>IF($A473="","",IF(Paramètres!H41="","",Paramètres!H41))</f>
        <v/>
      </c>
      <c r="D473" s="18">
        <f>IF($A473="","",IF(Paramètres!I41="","",Paramètres!I41))</f>
        <v/>
      </c>
      <c r="E473" s="19">
        <f>IF($A473="","",IF(Paramètres!J41&amp;Paramètres!L41&amp;Paramètres!N41="",Dossiers!$D$12,MAX(IF(Paramètres!J41="",0,IF(Paramètres!K41="",NA(),IF(LEFT(TRIM(Paramètres!K41),1)="F",INDEX($F$437:$F$489,MATCH(Paramètres!J41,Paramètres!$G$5:$G$57,0)),INDEX($E$437:$E$489,MATCH(Paramètres!J41,Paramètres!$G$5:$G$57,0)))+IF(RIGHT(TRIM(Paramètres!K41),3)="Fin",1-$H473,IF(LEFT(TRIM(Paramètres!K41),1)="F",1,0)))),IF(Paramètres!L41="",0,IF(Paramètres!M41="",NA(),IF(LEFT(TRIM(Paramètres!M41),1)="F",INDEX($F$437:$F$489,MATCH(Paramètres!L41,Paramètres!$G$5:$G$57,0)),INDEX($E$437:$E$489,MATCH(Paramètres!L41,Paramètres!$G$5:$G$57,0)))+IF(RIGHT(TRIM(Paramètres!M41),3)="Fin",1-$H473,IF(LEFT(TRIM(Paramètres!M41),1)="F",1,0)))),IF(Paramètres!N41="",0,IF(Paramètres!O41="",NA(),IF(LEFT(TRIM(Paramètres!O41),1)="F",INDEX($F$437:$F$489,MATCH(Paramètres!N41,Paramètres!$G$5:$G$57,0)),INDEX($E$437:$E$489,MATCH(Paramètres!N41,Paramètres!$G$5:$G$57,0)))+IF(RIGHT(TRIM(Paramètres!O41),3)="Fin",1-$H473,IF(LEFT(TRIM(Paramètres!O41),1)="F",1,0)))))))</f>
        <v/>
      </c>
      <c r="F473" s="19">
        <f>IF($A473="","",E473+$H473-1)</f>
        <v/>
      </c>
      <c r="G473" s="18" t="n"/>
      <c r="H473" s="18">
        <f>IF($A473="","",IF(I473&lt;&gt;"",I473,Paramètres!B41))</f>
        <v/>
      </c>
      <c r="I473" s="18" t="n"/>
    </row>
    <row r="474">
      <c r="A474" s="18">
        <f>IF(ISNUMBER(Dossiers!$D$12),Dossiers!$A$12&amp;" · "&amp;Dossiers!$B$12,"")</f>
        <v/>
      </c>
      <c r="B474" s="18">
        <f>IF($A474="","",Paramètres!G42)</f>
        <v/>
      </c>
      <c r="C474" s="18">
        <f>IF($A474="","",IF(Paramètres!H42="","",Paramètres!H42))</f>
        <v/>
      </c>
      <c r="D474" s="18">
        <f>IF($A474="","",IF(Paramètres!I42="","",Paramètres!I42))</f>
        <v/>
      </c>
      <c r="E474" s="19">
        <f>IF($A474="","",IF(Paramètres!J42&amp;Paramètres!L42&amp;Paramètres!N42="",Dossiers!$D$12,MAX(IF(Paramètres!J42="",0,IF(Paramètres!K42="",NA(),IF(LEFT(TRIM(Paramètres!K42),1)="F",INDEX($F$437:$F$489,MATCH(Paramètres!J42,Paramètres!$G$5:$G$57,0)),INDEX($E$437:$E$489,MATCH(Paramètres!J42,Paramètres!$G$5:$G$57,0)))+IF(RIGHT(TRIM(Paramètres!K42),3)="Fin",1-$H474,IF(LEFT(TRIM(Paramètres!K42),1)="F",1,0)))),IF(Paramètres!L42="",0,IF(Paramètres!M42="",NA(),IF(LEFT(TRIM(Paramètres!M42),1)="F",INDEX($F$437:$F$489,MATCH(Paramètres!L42,Paramètres!$G$5:$G$57,0)),INDEX($E$437:$E$489,MATCH(Paramètres!L42,Paramètres!$G$5:$G$57,0)))+IF(RIGHT(TRIM(Paramètres!M42),3)="Fin",1-$H474,IF(LEFT(TRIM(Paramètres!M42),1)="F",1,0)))),IF(Paramètres!N42="",0,IF(Paramètres!O42="",NA(),IF(LEFT(TRIM(Paramètres!O42),1)="F",INDEX($F$437:$F$489,MATCH(Paramètres!N42,Paramètres!$G$5:$G$57,0)),INDEX($E$437:$E$489,MATCH(Paramètres!N42,Paramètres!$G$5:$G$57,0)))+IF(RIGHT(TRIM(Paramètres!O42),3)="Fin",1-$H474,IF(LEFT(TRIM(Paramètres!O42),1)="F",1,0)))))))</f>
        <v/>
      </c>
      <c r="F474" s="19">
        <f>IF($A474="","",E474+$H474-1)</f>
        <v/>
      </c>
      <c r="G474" s="18" t="n"/>
      <c r="H474" s="18">
        <f>IF($A474="","",IF(I474&lt;&gt;"",I474,Paramètres!B42))</f>
        <v/>
      </c>
      <c r="I474" s="18" t="n"/>
    </row>
    <row r="475">
      <c r="A475" s="18">
        <f>IF(ISNUMBER(Dossiers!$D$12),Dossiers!$A$12&amp;" · "&amp;Dossiers!$B$12,"")</f>
        <v/>
      </c>
      <c r="B475" s="18">
        <f>IF($A475="","",Paramètres!G43)</f>
        <v/>
      </c>
      <c r="C475" s="18">
        <f>IF($A475="","",IF(Paramètres!H43="","",Paramètres!H43))</f>
        <v/>
      </c>
      <c r="D475" s="18">
        <f>IF($A475="","",IF(Paramètres!I43="","",Paramètres!I43))</f>
        <v/>
      </c>
      <c r="E475" s="19">
        <f>IF($A475="","",IF(Paramètres!J43&amp;Paramètres!L43&amp;Paramètres!N43="",Dossiers!$D$12,MAX(IF(Paramètres!J43="",0,IF(Paramètres!K43="",NA(),IF(LEFT(TRIM(Paramètres!K43),1)="F",INDEX($F$437:$F$489,MATCH(Paramètres!J43,Paramètres!$G$5:$G$57,0)),INDEX($E$437:$E$489,MATCH(Paramètres!J43,Paramètres!$G$5:$G$57,0)))+IF(RIGHT(TRIM(Paramètres!K43),3)="Fin",1-$H475,IF(LEFT(TRIM(Paramètres!K43),1)="F",1,0)))),IF(Paramètres!L43="",0,IF(Paramètres!M43="",NA(),IF(LEFT(TRIM(Paramètres!M43),1)="F",INDEX($F$437:$F$489,MATCH(Paramètres!L43,Paramètres!$G$5:$G$57,0)),INDEX($E$437:$E$489,MATCH(Paramètres!L43,Paramètres!$G$5:$G$57,0)))+IF(RIGHT(TRIM(Paramètres!M43),3)="Fin",1-$H475,IF(LEFT(TRIM(Paramètres!M43),1)="F",1,0)))),IF(Paramètres!N43="",0,IF(Paramètres!O43="",NA(),IF(LEFT(TRIM(Paramètres!O43),1)="F",INDEX($F$437:$F$489,MATCH(Paramètres!N43,Paramètres!$G$5:$G$57,0)),INDEX($E$437:$E$489,MATCH(Paramètres!N43,Paramètres!$G$5:$G$57,0)))+IF(RIGHT(TRIM(Paramètres!O43),3)="Fin",1-$H475,IF(LEFT(TRIM(Paramètres!O43),1)="F",1,0)))))))</f>
        <v/>
      </c>
      <c r="F475" s="19">
        <f>IF($A475="","",E475+$H475-1)</f>
        <v/>
      </c>
      <c r="G475" s="18" t="n"/>
      <c r="H475" s="18">
        <f>IF($A475="","",IF(I475&lt;&gt;"",I475,Paramètres!B43))</f>
        <v/>
      </c>
      <c r="I475" s="18" t="n"/>
    </row>
    <row r="476">
      <c r="A476" s="18">
        <f>IF(ISNUMBER(Dossiers!$D$12),Dossiers!$A$12&amp;" · "&amp;Dossiers!$B$12,"")</f>
        <v/>
      </c>
      <c r="B476" s="18">
        <f>IF($A476="","",Paramètres!G44)</f>
        <v/>
      </c>
      <c r="C476" s="18">
        <f>IF($A476="","",IF(Paramètres!H44="","",Paramètres!H44))</f>
        <v/>
      </c>
      <c r="D476" s="18">
        <f>IF($A476="","",IF(Paramètres!I44="","",Paramètres!I44))</f>
        <v/>
      </c>
      <c r="E476" s="19">
        <f>IF($A476="","",IF(Paramètres!J44&amp;Paramètres!L44&amp;Paramètres!N44="",Dossiers!$D$12,MAX(IF(Paramètres!J44="",0,IF(Paramètres!K44="",NA(),IF(LEFT(TRIM(Paramètres!K44),1)="F",INDEX($F$437:$F$489,MATCH(Paramètres!J44,Paramètres!$G$5:$G$57,0)),INDEX($E$437:$E$489,MATCH(Paramètres!J44,Paramètres!$G$5:$G$57,0)))+IF(RIGHT(TRIM(Paramètres!K44),3)="Fin",1-$H476,IF(LEFT(TRIM(Paramètres!K44),1)="F",1,0)))),IF(Paramètres!L44="",0,IF(Paramètres!M44="",NA(),IF(LEFT(TRIM(Paramètres!M44),1)="F",INDEX($F$437:$F$489,MATCH(Paramètres!L44,Paramètres!$G$5:$G$57,0)),INDEX($E$437:$E$489,MATCH(Paramètres!L44,Paramètres!$G$5:$G$57,0)))+IF(RIGHT(TRIM(Paramètres!M44),3)="Fin",1-$H476,IF(LEFT(TRIM(Paramètres!M44),1)="F",1,0)))),IF(Paramètres!N44="",0,IF(Paramètres!O44="",NA(),IF(LEFT(TRIM(Paramètres!O44),1)="F",INDEX($F$437:$F$489,MATCH(Paramètres!N44,Paramètres!$G$5:$G$57,0)),INDEX($E$437:$E$489,MATCH(Paramètres!N44,Paramètres!$G$5:$G$57,0)))+IF(RIGHT(TRIM(Paramètres!O44),3)="Fin",1-$H476,IF(LEFT(TRIM(Paramètres!O44),1)="F",1,0)))))))</f>
        <v/>
      </c>
      <c r="F476" s="19">
        <f>IF($A476="","",E476+$H476-1)</f>
        <v/>
      </c>
      <c r="G476" s="18" t="n"/>
      <c r="H476" s="18">
        <f>IF($A476="","",IF(I476&lt;&gt;"",I476,Paramètres!B44))</f>
        <v/>
      </c>
      <c r="I476" s="18" t="n"/>
    </row>
    <row r="477">
      <c r="A477" s="18">
        <f>IF(ISNUMBER(Dossiers!$D$12),Dossiers!$A$12&amp;" · "&amp;Dossiers!$B$12,"")</f>
        <v/>
      </c>
      <c r="B477" s="18">
        <f>IF($A477="","",Paramètres!G45)</f>
        <v/>
      </c>
      <c r="C477" s="20">
        <f>IF($A477="","",IF(Dossiers!$G$12="","",Dossiers!$G$12))</f>
        <v/>
      </c>
      <c r="D477" s="18">
        <f>IF($A477="","",IF(Paramètres!I45="","",Paramètres!I45))</f>
        <v/>
      </c>
      <c r="E477" s="19">
        <f>IF($A477="","",IF(Paramètres!J45&amp;Paramètres!L45&amp;Paramètres!N45="",Dossiers!$D$12,MAX(IF(Paramètres!J45="",0,IF(Paramètres!K45="",NA(),IF(LEFT(TRIM(Paramètres!K45),1)="F",INDEX($F$437:$F$489,MATCH(Paramètres!J45,Paramètres!$G$5:$G$57,0)),INDEX($E$437:$E$489,MATCH(Paramètres!J45,Paramètres!$G$5:$G$57,0)))+IF(RIGHT(TRIM(Paramètres!K45),3)="Fin",1-$H477,IF(LEFT(TRIM(Paramètres!K45),1)="F",1,0)))),IF(Paramètres!L45="",0,IF(Paramètres!M45="",NA(),IF(LEFT(TRIM(Paramètres!M45),1)="F",INDEX($F$437:$F$489,MATCH(Paramètres!L45,Paramètres!$G$5:$G$57,0)),INDEX($E$437:$E$489,MATCH(Paramètres!L45,Paramètres!$G$5:$G$57,0)))+IF(RIGHT(TRIM(Paramètres!M45),3)="Fin",1-$H477,IF(LEFT(TRIM(Paramètres!M45),1)="F",1,0)))),IF(Paramètres!N45="",0,IF(Paramètres!O45="",NA(),IF(LEFT(TRIM(Paramètres!O45),1)="F",INDEX($F$437:$F$489,MATCH(Paramètres!N45,Paramètres!$G$5:$G$57,0)),INDEX($E$437:$E$489,MATCH(Paramètres!N45,Paramètres!$G$5:$G$57,0)))+IF(RIGHT(TRIM(Paramètres!O45),3)="Fin",1-$H477,IF(LEFT(TRIM(Paramètres!O45),1)="F",1,0)))))))</f>
        <v/>
      </c>
      <c r="F477" s="19">
        <f>IF($A477="","",E477+$H477-1)</f>
        <v/>
      </c>
      <c r="G477" s="18" t="n"/>
      <c r="H477" s="18">
        <f>IF($A477="","",IF(I477&lt;&gt;"",I477,Paramètres!B45))</f>
        <v/>
      </c>
      <c r="I477" s="18" t="n"/>
    </row>
    <row r="478">
      <c r="A478" s="18">
        <f>IF(ISNUMBER(Dossiers!$D$12),Dossiers!$A$12&amp;" · "&amp;Dossiers!$B$12,"")</f>
        <v/>
      </c>
      <c r="B478" s="18">
        <f>IF($A478="","",Paramètres!G46)</f>
        <v/>
      </c>
      <c r="C478" s="18">
        <f>IF($A478="","",IF(Paramètres!H46="","",Paramètres!H46))</f>
        <v/>
      </c>
      <c r="D478" s="18">
        <f>IF($A478="","",IF(Paramètres!I46="","",Paramètres!I46))</f>
        <v/>
      </c>
      <c r="E478" s="19">
        <f>IF($A478="","",IF(Paramètres!J46&amp;Paramètres!L46&amp;Paramètres!N46="",Dossiers!$D$12,MAX(IF(Paramètres!J46="",0,IF(Paramètres!K46="",NA(),IF(LEFT(TRIM(Paramètres!K46),1)="F",INDEX($F$437:$F$489,MATCH(Paramètres!J46,Paramètres!$G$5:$G$57,0)),INDEX($E$437:$E$489,MATCH(Paramètres!J46,Paramètres!$G$5:$G$57,0)))+IF(RIGHT(TRIM(Paramètres!K46),3)="Fin",1-$H478,IF(LEFT(TRIM(Paramètres!K46),1)="F",1,0)))),IF(Paramètres!L46="",0,IF(Paramètres!M46="",NA(),IF(LEFT(TRIM(Paramètres!M46),1)="F",INDEX($F$437:$F$489,MATCH(Paramètres!L46,Paramètres!$G$5:$G$57,0)),INDEX($E$437:$E$489,MATCH(Paramètres!L46,Paramètres!$G$5:$G$57,0)))+IF(RIGHT(TRIM(Paramètres!M46),3)="Fin",1-$H478,IF(LEFT(TRIM(Paramètres!M46),1)="F",1,0)))),IF(Paramètres!N46="",0,IF(Paramètres!O46="",NA(),IF(LEFT(TRIM(Paramètres!O46),1)="F",INDEX($F$437:$F$489,MATCH(Paramètres!N46,Paramètres!$G$5:$G$57,0)),INDEX($E$437:$E$489,MATCH(Paramètres!N46,Paramètres!$G$5:$G$57,0)))+IF(RIGHT(TRIM(Paramètres!O46),3)="Fin",1-$H478,IF(LEFT(TRIM(Paramètres!O46),1)="F",1,0)))))))</f>
        <v/>
      </c>
      <c r="F478" s="19">
        <f>IF($A478="","",E478+$H478-1)</f>
        <v/>
      </c>
      <c r="G478" s="18" t="n"/>
      <c r="H478" s="18">
        <f>IF($A478="","",IF(I478&lt;&gt;"",I478,Paramètres!B46))</f>
        <v/>
      </c>
      <c r="I478" s="18" t="n"/>
    </row>
    <row r="479">
      <c r="A479" s="18">
        <f>IF(ISNUMBER(Dossiers!$D$12),Dossiers!$A$12&amp;" · "&amp;Dossiers!$B$12,"")</f>
        <v/>
      </c>
      <c r="B479" s="18">
        <f>IF($A479="","",Paramètres!G47)</f>
        <v/>
      </c>
      <c r="C479" s="18">
        <f>IF($A479="","",IF(Paramètres!H47="","",Paramètres!H47))</f>
        <v/>
      </c>
      <c r="D479" s="18">
        <f>IF($A479="","",IF(Paramètres!I47="","",Paramètres!I47))</f>
        <v/>
      </c>
      <c r="E479" s="19">
        <f>IF($A479="","",IF(Paramètres!J47&amp;Paramètres!L47&amp;Paramètres!N47="",Dossiers!$D$12,MAX(IF(Paramètres!J47="",0,IF(Paramètres!K47="",NA(),IF(LEFT(TRIM(Paramètres!K47),1)="F",INDEX($F$437:$F$489,MATCH(Paramètres!J47,Paramètres!$G$5:$G$57,0)),INDEX($E$437:$E$489,MATCH(Paramètres!J47,Paramètres!$G$5:$G$57,0)))+IF(RIGHT(TRIM(Paramètres!K47),3)="Fin",1-$H479,IF(LEFT(TRIM(Paramètres!K47),1)="F",1,0)))),IF(Paramètres!L47="",0,IF(Paramètres!M47="",NA(),IF(LEFT(TRIM(Paramètres!M47),1)="F",INDEX($F$437:$F$489,MATCH(Paramètres!L47,Paramètres!$G$5:$G$57,0)),INDEX($E$437:$E$489,MATCH(Paramètres!L47,Paramètres!$G$5:$G$57,0)))+IF(RIGHT(TRIM(Paramètres!M47),3)="Fin",1-$H479,IF(LEFT(TRIM(Paramètres!M47),1)="F",1,0)))),IF(Paramètres!N47="",0,IF(Paramètres!O47="",NA(),IF(LEFT(TRIM(Paramètres!O47),1)="F",INDEX($F$437:$F$489,MATCH(Paramètres!N47,Paramètres!$G$5:$G$57,0)),INDEX($E$437:$E$489,MATCH(Paramètres!N47,Paramètres!$G$5:$G$57,0)))+IF(RIGHT(TRIM(Paramètres!O47),3)="Fin",1-$H479,IF(LEFT(TRIM(Paramètres!O47),1)="F",1,0)))))))</f>
        <v/>
      </c>
      <c r="F479" s="19">
        <f>IF($A479="","",E479+$H479-1)</f>
        <v/>
      </c>
      <c r="G479" s="18" t="n"/>
      <c r="H479" s="18">
        <f>IF($A479="","",IF(I479&lt;&gt;"",I479,Paramètres!B47))</f>
        <v/>
      </c>
      <c r="I479" s="18" t="n"/>
    </row>
    <row r="480">
      <c r="A480" s="18">
        <f>IF(ISNUMBER(Dossiers!$D$12),Dossiers!$A$12&amp;" · "&amp;Dossiers!$B$12,"")</f>
        <v/>
      </c>
      <c r="B480" s="18">
        <f>IF($A480="","",Paramètres!G48)</f>
        <v/>
      </c>
      <c r="C480" s="18">
        <f>IF($A480="","",IF(Paramètres!H48="","",Paramètres!H48))</f>
        <v/>
      </c>
      <c r="D480" s="18">
        <f>IF($A480="","",IF(Paramètres!I48="","",Paramètres!I48))</f>
        <v/>
      </c>
      <c r="E480" s="19">
        <f>IF($A480="","",IF(Paramètres!J48&amp;Paramètres!L48&amp;Paramètres!N48="",Dossiers!$D$12,MAX(IF(Paramètres!J48="",0,IF(Paramètres!K48="",NA(),IF(LEFT(TRIM(Paramètres!K48),1)="F",INDEX($F$437:$F$489,MATCH(Paramètres!J48,Paramètres!$G$5:$G$57,0)),INDEX($E$437:$E$489,MATCH(Paramètres!J48,Paramètres!$G$5:$G$57,0)))+IF(RIGHT(TRIM(Paramètres!K48),3)="Fin",1-$H480,IF(LEFT(TRIM(Paramètres!K48),1)="F",1,0)))),IF(Paramètres!L48="",0,IF(Paramètres!M48="",NA(),IF(LEFT(TRIM(Paramètres!M48),1)="F",INDEX($F$437:$F$489,MATCH(Paramètres!L48,Paramètres!$G$5:$G$57,0)),INDEX($E$437:$E$489,MATCH(Paramètres!L48,Paramètres!$G$5:$G$57,0)))+IF(RIGHT(TRIM(Paramètres!M48),3)="Fin",1-$H480,IF(LEFT(TRIM(Paramètres!M48),1)="F",1,0)))),IF(Paramètres!N48="",0,IF(Paramètres!O48="",NA(),IF(LEFT(TRIM(Paramètres!O48),1)="F",INDEX($F$437:$F$489,MATCH(Paramètres!N48,Paramètres!$G$5:$G$57,0)),INDEX($E$437:$E$489,MATCH(Paramètres!N48,Paramètres!$G$5:$G$57,0)))+IF(RIGHT(TRIM(Paramètres!O48),3)="Fin",1-$H480,IF(LEFT(TRIM(Paramètres!O48),1)="F",1,0)))))))</f>
        <v/>
      </c>
      <c r="F480" s="19">
        <f>IF($A480="","",E480+$H480-1)</f>
        <v/>
      </c>
      <c r="G480" s="18" t="n"/>
      <c r="H480" s="18">
        <f>IF($A480="","",IF(I480&lt;&gt;"",I480,Paramètres!B48))</f>
        <v/>
      </c>
      <c r="I480" s="18" t="n"/>
    </row>
    <row r="481">
      <c r="A481" s="18">
        <f>IF(ISNUMBER(Dossiers!$D$12),Dossiers!$A$12&amp;" · "&amp;Dossiers!$B$12,"")</f>
        <v/>
      </c>
      <c r="B481" s="18">
        <f>IF($A481="","",Paramètres!G49)</f>
        <v/>
      </c>
      <c r="C481" s="18">
        <f>IF($A481="","",IF(Paramètres!H49="","",Paramètres!H49))</f>
        <v/>
      </c>
      <c r="D481" s="18">
        <f>IF($A481="","",IF(Paramètres!I49="","",Paramètres!I49))</f>
        <v/>
      </c>
      <c r="E481" s="19">
        <f>IF($A481="","",IF(Paramètres!J49&amp;Paramètres!L49&amp;Paramètres!N49="",Dossiers!$D$12,MAX(IF(Paramètres!J49="",0,IF(Paramètres!K49="",NA(),IF(LEFT(TRIM(Paramètres!K49),1)="F",INDEX($F$437:$F$489,MATCH(Paramètres!J49,Paramètres!$G$5:$G$57,0)),INDEX($E$437:$E$489,MATCH(Paramètres!J49,Paramètres!$G$5:$G$57,0)))+IF(RIGHT(TRIM(Paramètres!K49),3)="Fin",1-$H481,IF(LEFT(TRIM(Paramètres!K49),1)="F",1,0)))),IF(Paramètres!L49="",0,IF(Paramètres!M49="",NA(),IF(LEFT(TRIM(Paramètres!M49),1)="F",INDEX($F$437:$F$489,MATCH(Paramètres!L49,Paramètres!$G$5:$G$57,0)),INDEX($E$437:$E$489,MATCH(Paramètres!L49,Paramètres!$G$5:$G$57,0)))+IF(RIGHT(TRIM(Paramètres!M49),3)="Fin",1-$H481,IF(LEFT(TRIM(Paramètres!M49),1)="F",1,0)))),IF(Paramètres!N49="",0,IF(Paramètres!O49="",NA(),IF(LEFT(TRIM(Paramètres!O49),1)="F",INDEX($F$437:$F$489,MATCH(Paramètres!N49,Paramètres!$G$5:$G$57,0)),INDEX($E$437:$E$489,MATCH(Paramètres!N49,Paramètres!$G$5:$G$57,0)))+IF(RIGHT(TRIM(Paramètres!O49),3)="Fin",1-$H481,IF(LEFT(TRIM(Paramètres!O49),1)="F",1,0)))))))</f>
        <v/>
      </c>
      <c r="F481" s="19">
        <f>IF($A481="","",E481+$H481-1)</f>
        <v/>
      </c>
      <c r="G481" s="18" t="n"/>
      <c r="H481" s="18">
        <f>IF($A481="","",IF(I481&lt;&gt;"",I481,Paramètres!B49))</f>
        <v/>
      </c>
      <c r="I481" s="18" t="n"/>
    </row>
    <row r="482">
      <c r="A482" s="18">
        <f>IF(ISNUMBER(Dossiers!$D$12),Dossiers!$A$12&amp;" · "&amp;Dossiers!$B$12,"")</f>
        <v/>
      </c>
      <c r="B482" s="18">
        <f>IF($A482="","",Paramètres!G50)</f>
        <v/>
      </c>
      <c r="C482" s="18">
        <f>IF($A482="","",IF(Paramètres!H50="","",Paramètres!H50))</f>
        <v/>
      </c>
      <c r="D482" s="18">
        <f>IF($A482="","",IF(Paramètres!I50="","",Paramètres!I50))</f>
        <v/>
      </c>
      <c r="E482" s="19">
        <f>IF($A482="","",IF(Paramètres!J50&amp;Paramètres!L50&amp;Paramètres!N50="",Dossiers!$D$12,MAX(IF(Paramètres!J50="",0,IF(Paramètres!K50="",NA(),IF(LEFT(TRIM(Paramètres!K50),1)="F",INDEX($F$437:$F$489,MATCH(Paramètres!J50,Paramètres!$G$5:$G$57,0)),INDEX($E$437:$E$489,MATCH(Paramètres!J50,Paramètres!$G$5:$G$57,0)))+IF(RIGHT(TRIM(Paramètres!K50),3)="Fin",1-$H482,IF(LEFT(TRIM(Paramètres!K50),1)="F",1,0)))),IF(Paramètres!L50="",0,IF(Paramètres!M50="",NA(),IF(LEFT(TRIM(Paramètres!M50),1)="F",INDEX($F$437:$F$489,MATCH(Paramètres!L50,Paramètres!$G$5:$G$57,0)),INDEX($E$437:$E$489,MATCH(Paramètres!L50,Paramètres!$G$5:$G$57,0)))+IF(RIGHT(TRIM(Paramètres!M50),3)="Fin",1-$H482,IF(LEFT(TRIM(Paramètres!M50),1)="F",1,0)))),IF(Paramètres!N50="",0,IF(Paramètres!O50="",NA(),IF(LEFT(TRIM(Paramètres!O50),1)="F",INDEX($F$437:$F$489,MATCH(Paramètres!N50,Paramètres!$G$5:$G$57,0)),INDEX($E$437:$E$489,MATCH(Paramètres!N50,Paramètres!$G$5:$G$57,0)))+IF(RIGHT(TRIM(Paramètres!O50),3)="Fin",1-$H482,IF(LEFT(TRIM(Paramètres!O50),1)="F",1,0)))))))</f>
        <v/>
      </c>
      <c r="F482" s="19">
        <f>IF($A482="","",E482+$H482-1)</f>
        <v/>
      </c>
      <c r="G482" s="18" t="n"/>
      <c r="H482" s="18">
        <f>IF($A482="","",IF(I482&lt;&gt;"",I482,Paramètres!B50))</f>
        <v/>
      </c>
      <c r="I482" s="18" t="n"/>
    </row>
    <row r="483">
      <c r="A483" s="18">
        <f>IF(ISNUMBER(Dossiers!$D$12),Dossiers!$A$12&amp;" · "&amp;Dossiers!$B$12,"")</f>
        <v/>
      </c>
      <c r="B483" s="18">
        <f>IF($A483="","",Paramètres!G51)</f>
        <v/>
      </c>
      <c r="C483" s="18">
        <f>IF($A483="","",IF(Paramètres!H51="","",Paramètres!H51))</f>
        <v/>
      </c>
      <c r="D483" s="18">
        <f>IF($A483="","",IF(Paramètres!I51="","",Paramètres!I51))</f>
        <v/>
      </c>
      <c r="E483" s="19">
        <f>IF($A483="","",IF(Paramètres!J51&amp;Paramètres!L51&amp;Paramètres!N51="",Dossiers!$D$12,MAX(IF(Paramètres!J51="",0,IF(Paramètres!K51="",NA(),IF(LEFT(TRIM(Paramètres!K51),1)="F",INDEX($F$437:$F$489,MATCH(Paramètres!J51,Paramètres!$G$5:$G$57,0)),INDEX($E$437:$E$489,MATCH(Paramètres!J51,Paramètres!$G$5:$G$57,0)))+IF(RIGHT(TRIM(Paramètres!K51),3)="Fin",1-$H483,IF(LEFT(TRIM(Paramètres!K51),1)="F",1,0)))),IF(Paramètres!L51="",0,IF(Paramètres!M51="",NA(),IF(LEFT(TRIM(Paramètres!M51),1)="F",INDEX($F$437:$F$489,MATCH(Paramètres!L51,Paramètres!$G$5:$G$57,0)),INDEX($E$437:$E$489,MATCH(Paramètres!L51,Paramètres!$G$5:$G$57,0)))+IF(RIGHT(TRIM(Paramètres!M51),3)="Fin",1-$H483,IF(LEFT(TRIM(Paramètres!M51),1)="F",1,0)))),IF(Paramètres!N51="",0,IF(Paramètres!O51="",NA(),IF(LEFT(TRIM(Paramètres!O51),1)="F",INDEX($F$437:$F$489,MATCH(Paramètres!N51,Paramètres!$G$5:$G$57,0)),INDEX($E$437:$E$489,MATCH(Paramètres!N51,Paramètres!$G$5:$G$57,0)))+IF(RIGHT(TRIM(Paramètres!O51),3)="Fin",1-$H483,IF(LEFT(TRIM(Paramètres!O51),1)="F",1,0)))))))</f>
        <v/>
      </c>
      <c r="F483" s="19">
        <f>IF($A483="","",E483+$H483-1)</f>
        <v/>
      </c>
      <c r="G483" s="18" t="n"/>
      <c r="H483" s="18">
        <f>IF($A483="","",IF(I483&lt;&gt;"",I483,Paramètres!B51))</f>
        <v/>
      </c>
      <c r="I483" s="18" t="n"/>
    </row>
    <row r="484">
      <c r="A484" s="18">
        <f>IF(ISNUMBER(Dossiers!$D$12),Dossiers!$A$12&amp;" · "&amp;Dossiers!$B$12,"")</f>
        <v/>
      </c>
      <c r="B484" s="18">
        <f>IF($A484="","",Paramètres!G52)</f>
        <v/>
      </c>
      <c r="C484" s="18">
        <f>IF($A484="","",IF(Paramètres!H52="","",Paramètres!H52))</f>
        <v/>
      </c>
      <c r="D484" s="18">
        <f>IF($A484="","",IF(Paramètres!I52="","",Paramètres!I52))</f>
        <v/>
      </c>
      <c r="E484" s="19">
        <f>IF($A484="","",IF(Paramètres!J52&amp;Paramètres!L52&amp;Paramètres!N52="",Dossiers!$D$12,MAX(IF(Paramètres!J52="",0,IF(Paramètres!K52="",NA(),IF(LEFT(TRIM(Paramètres!K52),1)="F",INDEX($F$437:$F$489,MATCH(Paramètres!J52,Paramètres!$G$5:$G$57,0)),INDEX($E$437:$E$489,MATCH(Paramètres!J52,Paramètres!$G$5:$G$57,0)))+IF(RIGHT(TRIM(Paramètres!K52),3)="Fin",1-$H484,IF(LEFT(TRIM(Paramètres!K52),1)="F",1,0)))),IF(Paramètres!L52="",0,IF(Paramètres!M52="",NA(),IF(LEFT(TRIM(Paramètres!M52),1)="F",INDEX($F$437:$F$489,MATCH(Paramètres!L52,Paramètres!$G$5:$G$57,0)),INDEX($E$437:$E$489,MATCH(Paramètres!L52,Paramètres!$G$5:$G$57,0)))+IF(RIGHT(TRIM(Paramètres!M52),3)="Fin",1-$H484,IF(LEFT(TRIM(Paramètres!M52),1)="F",1,0)))),IF(Paramètres!N52="",0,IF(Paramètres!O52="",NA(),IF(LEFT(TRIM(Paramètres!O52),1)="F",INDEX($F$437:$F$489,MATCH(Paramètres!N52,Paramètres!$G$5:$G$57,0)),INDEX($E$437:$E$489,MATCH(Paramètres!N52,Paramètres!$G$5:$G$57,0)))+IF(RIGHT(TRIM(Paramètres!O52),3)="Fin",1-$H484,IF(LEFT(TRIM(Paramètres!O52),1)="F",1,0)))))))</f>
        <v/>
      </c>
      <c r="F484" s="19">
        <f>IF($A484="","",E484+$H484-1)</f>
        <v/>
      </c>
      <c r="G484" s="18" t="n"/>
      <c r="H484" s="18">
        <f>IF($A484="","",IF(I484&lt;&gt;"",I484,Paramètres!B52))</f>
        <v/>
      </c>
      <c r="I484" s="18" t="n"/>
    </row>
    <row r="485">
      <c r="A485" s="18">
        <f>IF(ISNUMBER(Dossiers!$D$12),Dossiers!$A$12&amp;" · "&amp;Dossiers!$B$12,"")</f>
        <v/>
      </c>
      <c r="B485" s="18">
        <f>IF($A485="","",Paramètres!G53)</f>
        <v/>
      </c>
      <c r="C485" s="18">
        <f>IF($A485="","",IF(Paramètres!H53="","",Paramètres!H53))</f>
        <v/>
      </c>
      <c r="D485" s="18">
        <f>IF($A485="","",IF(Paramètres!I53="","",Paramètres!I53))</f>
        <v/>
      </c>
      <c r="E485" s="19">
        <f>IF($A485="","",IF(Paramètres!J53&amp;Paramètres!L53&amp;Paramètres!N53="",Dossiers!$D$12,MAX(IF(Paramètres!J53="",0,IF(Paramètres!K53="",NA(),IF(LEFT(TRIM(Paramètres!K53),1)="F",INDEX($F$437:$F$489,MATCH(Paramètres!J53,Paramètres!$G$5:$G$57,0)),INDEX($E$437:$E$489,MATCH(Paramètres!J53,Paramètres!$G$5:$G$57,0)))+IF(RIGHT(TRIM(Paramètres!K53),3)="Fin",1-$H485,IF(LEFT(TRIM(Paramètres!K53),1)="F",1,0)))),IF(Paramètres!L53="",0,IF(Paramètres!M53="",NA(),IF(LEFT(TRIM(Paramètres!M53),1)="F",INDEX($F$437:$F$489,MATCH(Paramètres!L53,Paramètres!$G$5:$G$57,0)),INDEX($E$437:$E$489,MATCH(Paramètres!L53,Paramètres!$G$5:$G$57,0)))+IF(RIGHT(TRIM(Paramètres!M53),3)="Fin",1-$H485,IF(LEFT(TRIM(Paramètres!M53),1)="F",1,0)))),IF(Paramètres!N53="",0,IF(Paramètres!O53="",NA(),IF(LEFT(TRIM(Paramètres!O53),1)="F",INDEX($F$437:$F$489,MATCH(Paramètres!N53,Paramètres!$G$5:$G$57,0)),INDEX($E$437:$E$489,MATCH(Paramètres!N53,Paramètres!$G$5:$G$57,0)))+IF(RIGHT(TRIM(Paramètres!O53),3)="Fin",1-$H485,IF(LEFT(TRIM(Paramètres!O53),1)="F",1,0)))))))</f>
        <v/>
      </c>
      <c r="F485" s="19">
        <f>IF($A485="","",E485+$H485-1)</f>
        <v/>
      </c>
      <c r="G485" s="18" t="n"/>
      <c r="H485" s="18">
        <f>IF($A485="","",IF(I485&lt;&gt;"",I485,Paramètres!B53))</f>
        <v/>
      </c>
      <c r="I485" s="18" t="n"/>
    </row>
    <row r="486">
      <c r="A486" s="18">
        <f>IF(ISNUMBER(Dossiers!$D$12),Dossiers!$A$12&amp;" · "&amp;Dossiers!$B$12,"")</f>
        <v/>
      </c>
      <c r="B486" s="18">
        <f>IF($A486="","",Paramètres!G54)</f>
        <v/>
      </c>
      <c r="C486" s="18">
        <f>IF($A486="","",IF(Paramètres!H54="","",Paramètres!H54))</f>
        <v/>
      </c>
      <c r="D486" s="18">
        <f>IF($A486="","",IF(Paramètres!I54="","",Paramètres!I54))</f>
        <v/>
      </c>
      <c r="E486" s="19">
        <f>IF($A486="","",IF(Paramètres!J54&amp;Paramètres!L54&amp;Paramètres!N54="",Dossiers!$D$12,MAX(IF(Paramètres!J54="",0,IF(Paramètres!K54="",NA(),IF(LEFT(TRIM(Paramètres!K54),1)="F",INDEX($F$437:$F$489,MATCH(Paramètres!J54,Paramètres!$G$5:$G$57,0)),INDEX($E$437:$E$489,MATCH(Paramètres!J54,Paramètres!$G$5:$G$57,0)))+IF(RIGHT(TRIM(Paramètres!K54),3)="Fin",1-$H486,IF(LEFT(TRIM(Paramètres!K54),1)="F",1,0)))),IF(Paramètres!L54="",0,IF(Paramètres!M54="",NA(),IF(LEFT(TRIM(Paramètres!M54),1)="F",INDEX($F$437:$F$489,MATCH(Paramètres!L54,Paramètres!$G$5:$G$57,0)),INDEX($E$437:$E$489,MATCH(Paramètres!L54,Paramètres!$G$5:$G$57,0)))+IF(RIGHT(TRIM(Paramètres!M54),3)="Fin",1-$H486,IF(LEFT(TRIM(Paramètres!M54),1)="F",1,0)))),IF(Paramètres!N54="",0,IF(Paramètres!O54="",NA(),IF(LEFT(TRIM(Paramètres!O54),1)="F",INDEX($F$437:$F$489,MATCH(Paramètres!N54,Paramètres!$G$5:$G$57,0)),INDEX($E$437:$E$489,MATCH(Paramètres!N54,Paramètres!$G$5:$G$57,0)))+IF(RIGHT(TRIM(Paramètres!O54),3)="Fin",1-$H486,IF(LEFT(TRIM(Paramètres!O54),1)="F",1,0)))))))</f>
        <v/>
      </c>
      <c r="F486" s="19">
        <f>IF($A486="","",E486+$H486-1)</f>
        <v/>
      </c>
      <c r="G486" s="18" t="n"/>
      <c r="H486" s="18">
        <f>IF($A486="","",IF(I486&lt;&gt;"",I486,Paramètres!B54))</f>
        <v/>
      </c>
      <c r="I486" s="18" t="n"/>
    </row>
    <row r="487">
      <c r="A487" s="18">
        <f>IF(ISNUMBER(Dossiers!$D$12),Dossiers!$A$12&amp;" · "&amp;Dossiers!$B$12,"")</f>
        <v/>
      </c>
      <c r="B487" s="18">
        <f>IF($A487="","",Paramètres!G55)</f>
        <v/>
      </c>
      <c r="C487" s="18">
        <f>IF($A487="","",IF(Paramètres!H55="","",Paramètres!H55))</f>
        <v/>
      </c>
      <c r="D487" s="18">
        <f>IF($A487="","",IF(Paramètres!I55="","",Paramètres!I55))</f>
        <v/>
      </c>
      <c r="E487" s="19">
        <f>IF($A487="","",IF(Paramètres!J55&amp;Paramètres!L55&amp;Paramètres!N55="",Dossiers!$D$12,MAX(IF(Paramètres!J55="",0,IF(Paramètres!K55="",NA(),IF(LEFT(TRIM(Paramètres!K55),1)="F",INDEX($F$437:$F$489,MATCH(Paramètres!J55,Paramètres!$G$5:$G$57,0)),INDEX($E$437:$E$489,MATCH(Paramètres!J55,Paramètres!$G$5:$G$57,0)))+IF(RIGHT(TRIM(Paramètres!K55),3)="Fin",1-$H487,IF(LEFT(TRIM(Paramètres!K55),1)="F",1,0)))),IF(Paramètres!L55="",0,IF(Paramètres!M55="",NA(),IF(LEFT(TRIM(Paramètres!M55),1)="F",INDEX($F$437:$F$489,MATCH(Paramètres!L55,Paramètres!$G$5:$G$57,0)),INDEX($E$437:$E$489,MATCH(Paramètres!L55,Paramètres!$G$5:$G$57,0)))+IF(RIGHT(TRIM(Paramètres!M55),3)="Fin",1-$H487,IF(LEFT(TRIM(Paramètres!M55),1)="F",1,0)))),IF(Paramètres!N55="",0,IF(Paramètres!O55="",NA(),IF(LEFT(TRIM(Paramètres!O55),1)="F",INDEX($F$437:$F$489,MATCH(Paramètres!N55,Paramètres!$G$5:$G$57,0)),INDEX($E$437:$E$489,MATCH(Paramètres!N55,Paramètres!$G$5:$G$57,0)))+IF(RIGHT(TRIM(Paramètres!O55),3)="Fin",1-$H487,IF(LEFT(TRIM(Paramètres!O55),1)="F",1,0)))))))</f>
        <v/>
      </c>
      <c r="F487" s="19">
        <f>IF($A487="","",E487+$H487-1)</f>
        <v/>
      </c>
      <c r="G487" s="18" t="n"/>
      <c r="H487" s="18">
        <f>IF($A487="","",IF(I487&lt;&gt;"",I487,Paramètres!B55))</f>
        <v/>
      </c>
      <c r="I487" s="18" t="n"/>
    </row>
    <row r="488">
      <c r="A488" s="18">
        <f>IF(ISNUMBER(Dossiers!$D$12),Dossiers!$A$12&amp;" · "&amp;Dossiers!$B$12,"")</f>
        <v/>
      </c>
      <c r="B488" s="18">
        <f>IF($A488="","",Paramètres!G56)</f>
        <v/>
      </c>
      <c r="C488" s="18">
        <f>IF($A488="","",IF(Paramètres!H56="","",Paramètres!H56))</f>
        <v/>
      </c>
      <c r="D488" s="18">
        <f>IF($A488="","",IF(Paramètres!I56="","",Paramètres!I56))</f>
        <v/>
      </c>
      <c r="E488" s="19">
        <f>IF($A488="","",MIN(E489:E489))</f>
        <v/>
      </c>
      <c r="F488" s="19">
        <f>IF($A488="","",MAX(F489:F489))</f>
        <v/>
      </c>
      <c r="G488" s="18" t="n"/>
      <c r="H488" s="18">
        <f>IF($A488="","",F488-E488+1)</f>
        <v/>
      </c>
      <c r="I488" s="18" t="n"/>
    </row>
    <row r="489">
      <c r="A489" s="18">
        <f>IF(ISNUMBER(Dossiers!$D$12),Dossiers!$A$12&amp;" · "&amp;Dossiers!$B$12,"")</f>
        <v/>
      </c>
      <c r="B489" s="18">
        <f>IF($A489="","",Paramètres!G57)</f>
        <v/>
      </c>
      <c r="C489" s="18">
        <f>IF($A489="","",IF(Paramètres!H57="","",Paramètres!H57))</f>
        <v/>
      </c>
      <c r="D489" s="18">
        <f>IF($A489="","",IF(Paramètres!I57="","",Paramètres!I57))</f>
        <v/>
      </c>
      <c r="E489" s="19">
        <f>IF($A489="","",IF(Paramètres!J57&amp;Paramètres!L57&amp;Paramètres!N57="",Dossiers!$D$12,MAX(IF(Paramètres!J57="",0,IF(Paramètres!K57="",NA(),IF(LEFT(TRIM(Paramètres!K57),1)="F",INDEX($F$437:$F$489,MATCH(Paramètres!J57,Paramètres!$G$5:$G$57,0)),INDEX($E$437:$E$489,MATCH(Paramètres!J57,Paramètres!$G$5:$G$57,0)))+IF(RIGHT(TRIM(Paramètres!K57),3)="Fin",1-$H489,IF(LEFT(TRIM(Paramètres!K57),1)="F",1,0)))),IF(Paramètres!L57="",0,IF(Paramètres!M57="",NA(),IF(LEFT(TRIM(Paramètres!M57),1)="F",INDEX($F$437:$F$489,MATCH(Paramètres!L57,Paramètres!$G$5:$G$57,0)),INDEX($E$437:$E$489,MATCH(Paramètres!L57,Paramètres!$G$5:$G$57,0)))+IF(RIGHT(TRIM(Paramètres!M57),3)="Fin",1-$H489,IF(LEFT(TRIM(Paramètres!M57),1)="F",1,0)))),IF(Paramètres!N57="",0,IF(Paramètres!O57="",NA(),IF(LEFT(TRIM(Paramètres!O57),1)="F",INDEX($F$437:$F$489,MATCH(Paramètres!N57,Paramètres!$G$5:$G$57,0)),INDEX($E$437:$E$489,MATCH(Paramètres!N57,Paramètres!$G$5:$G$57,0)))+IF(RIGHT(TRIM(Paramètres!O57),3)="Fin",1-$H489,IF(LEFT(TRIM(Paramètres!O57),1)="F",1,0)))))))</f>
        <v/>
      </c>
      <c r="F489" s="19">
        <f>IF($A489="","",E489+$H489-1)</f>
        <v/>
      </c>
      <c r="G489" s="18" t="n"/>
      <c r="H489" s="18">
        <f>IF($A489="","",IF(I489&lt;&gt;"",I489,Paramètres!B57))</f>
        <v/>
      </c>
      <c r="I489" s="18" t="n"/>
    </row>
    <row r="490">
      <c r="A490" s="16">
        <f>IF(ISNUMBER(Dossiers!$D$13),Dossiers!$E$13,"")</f>
        <v/>
      </c>
      <c r="B490" s="16">
        <f>IF($A490="","","Identifiant")</f>
        <v/>
      </c>
      <c r="C490" s="16">
        <f>IF($A490="","","Macro Etape")</f>
        <v/>
      </c>
      <c r="D490" s="16">
        <f>IF($A490="","","Etape")</f>
        <v/>
      </c>
      <c r="E490" s="17">
        <f>IF($A490="","","Début le")</f>
        <v/>
      </c>
      <c r="F490" s="17">
        <f>IF($A490="","","Fin prévue le")</f>
        <v/>
      </c>
      <c r="G490" s="16">
        <f>IF($A490="","","Statut")</f>
        <v/>
      </c>
      <c r="H490" s="16">
        <f>IF($A490="","","Durée (jours)")</f>
        <v/>
      </c>
      <c r="I490" s="16">
        <f>IF($A490="","","Durée particulière")</f>
        <v/>
      </c>
      <c r="J490" s="10">
        <f>IF($A490="","",HYPERLINK("#'Tableau de bord'!A1","↑ Tableau de bord"))</f>
        <v/>
      </c>
    </row>
    <row r="491">
      <c r="A491" s="18">
        <f>IF(ISNUMBER(Dossiers!$D$13),Dossiers!$A$13&amp;" · "&amp;Dossiers!$B$13,"")</f>
        <v/>
      </c>
      <c r="B491" s="18">
        <f>IF($A491="","",Paramètres!G5)</f>
        <v/>
      </c>
      <c r="C491" s="18">
        <f>IF($A491="","",IF(Paramètres!H5="","",Paramètres!H5))</f>
        <v/>
      </c>
      <c r="D491" s="18">
        <f>IF($A491="","",IF(Paramètres!I5="","",Paramètres!I5))</f>
        <v/>
      </c>
      <c r="E491" s="19">
        <f>IF($A491="","",MIN(E492:E495))</f>
        <v/>
      </c>
      <c r="F491" s="19">
        <f>IF($A491="","",MAX(F492:F495))</f>
        <v/>
      </c>
      <c r="G491" s="18" t="n"/>
      <c r="H491" s="18">
        <f>IF($A491="","",F491-E491+1)</f>
        <v/>
      </c>
      <c r="I491" s="18" t="n"/>
    </row>
    <row r="492">
      <c r="A492" s="18">
        <f>IF(ISNUMBER(Dossiers!$D$13),Dossiers!$A$13&amp;" · "&amp;Dossiers!$B$13,"")</f>
        <v/>
      </c>
      <c r="B492" s="18">
        <f>IF($A492="","",Paramètres!G6)</f>
        <v/>
      </c>
      <c r="C492" s="18">
        <f>IF($A492="","",IF(Paramètres!H6="","",Paramètres!H6))</f>
        <v/>
      </c>
      <c r="D492" s="18">
        <f>IF($A492="","",IF(Paramètres!I6="","",Paramètres!I6))</f>
        <v/>
      </c>
      <c r="E492" s="19">
        <f>IF($A492="","",IF(Paramètres!J6&amp;Paramètres!L6&amp;Paramètres!N6="",Dossiers!$D$13,MAX(IF(Paramètres!J6="",0,IF(Paramètres!K6="",NA(),IF(LEFT(TRIM(Paramètres!K6),1)="F",INDEX($F$491:$F$543,MATCH(Paramètres!J6,Paramètres!$G$5:$G$57,0)),INDEX($E$491:$E$543,MATCH(Paramètres!J6,Paramètres!$G$5:$G$57,0)))+IF(RIGHT(TRIM(Paramètres!K6),3)="Fin",1-$H492,IF(LEFT(TRIM(Paramètres!K6),1)="F",1,0)))),IF(Paramètres!L6="",0,IF(Paramètres!M6="",NA(),IF(LEFT(TRIM(Paramètres!M6),1)="F",INDEX($F$491:$F$543,MATCH(Paramètres!L6,Paramètres!$G$5:$G$57,0)),INDEX($E$491:$E$543,MATCH(Paramètres!L6,Paramètres!$G$5:$G$57,0)))+IF(RIGHT(TRIM(Paramètres!M6),3)="Fin",1-$H492,IF(LEFT(TRIM(Paramètres!M6),1)="F",1,0)))),IF(Paramètres!N6="",0,IF(Paramètres!O6="",NA(),IF(LEFT(TRIM(Paramètres!O6),1)="F",INDEX($F$491:$F$543,MATCH(Paramètres!N6,Paramètres!$G$5:$G$57,0)),INDEX($E$491:$E$543,MATCH(Paramètres!N6,Paramètres!$G$5:$G$57,0)))+IF(RIGHT(TRIM(Paramètres!O6),3)="Fin",1-$H492,IF(LEFT(TRIM(Paramètres!O6),1)="F",1,0)))))))</f>
        <v/>
      </c>
      <c r="F492" s="19">
        <f>IF($A492="","",E492+$H492-1)</f>
        <v/>
      </c>
      <c r="G492" s="18" t="n"/>
      <c r="H492" s="18">
        <f>IF($A492="","",IF(I492&lt;&gt;"",I492,Paramètres!B6))</f>
        <v/>
      </c>
      <c r="I492" s="18" t="n"/>
    </row>
    <row r="493">
      <c r="A493" s="18">
        <f>IF(ISNUMBER(Dossiers!$D$13),Dossiers!$A$13&amp;" · "&amp;Dossiers!$B$13,"")</f>
        <v/>
      </c>
      <c r="B493" s="18">
        <f>IF($A493="","",Paramètres!G7)</f>
        <v/>
      </c>
      <c r="C493" s="18">
        <f>IF($A493="","",IF(Paramètres!H7="","",Paramètres!H7))</f>
        <v/>
      </c>
      <c r="D493" s="18">
        <f>IF($A493="","",IF(Paramètres!I7="","",Paramètres!I7))</f>
        <v/>
      </c>
      <c r="E493" s="19">
        <f>IF($A493="","",IF(Paramètres!J7&amp;Paramètres!L7&amp;Paramètres!N7="",Dossiers!$D$13,MAX(IF(Paramètres!J7="",0,IF(Paramètres!K7="",NA(),IF(LEFT(TRIM(Paramètres!K7),1)="F",INDEX($F$491:$F$543,MATCH(Paramètres!J7,Paramètres!$G$5:$G$57,0)),INDEX($E$491:$E$543,MATCH(Paramètres!J7,Paramètres!$G$5:$G$57,0)))+IF(RIGHT(TRIM(Paramètres!K7),3)="Fin",1-$H493,IF(LEFT(TRIM(Paramètres!K7),1)="F",1,0)))),IF(Paramètres!L7="",0,IF(Paramètres!M7="",NA(),IF(LEFT(TRIM(Paramètres!M7),1)="F",INDEX($F$491:$F$543,MATCH(Paramètres!L7,Paramètres!$G$5:$G$57,0)),INDEX($E$491:$E$543,MATCH(Paramètres!L7,Paramètres!$G$5:$G$57,0)))+IF(RIGHT(TRIM(Paramètres!M7),3)="Fin",1-$H493,IF(LEFT(TRIM(Paramètres!M7),1)="F",1,0)))),IF(Paramètres!N7="",0,IF(Paramètres!O7="",NA(),IF(LEFT(TRIM(Paramètres!O7),1)="F",INDEX($F$491:$F$543,MATCH(Paramètres!N7,Paramètres!$G$5:$G$57,0)),INDEX($E$491:$E$543,MATCH(Paramètres!N7,Paramètres!$G$5:$G$57,0)))+IF(RIGHT(TRIM(Paramètres!O7),3)="Fin",1-$H493,IF(LEFT(TRIM(Paramètres!O7),1)="F",1,0)))))))</f>
        <v/>
      </c>
      <c r="F493" s="19">
        <f>IF($A493="","",E493+$H493-1)</f>
        <v/>
      </c>
      <c r="G493" s="18" t="n"/>
      <c r="H493" s="18">
        <f>IF($A493="","",IF(I493&lt;&gt;"",I493,Paramètres!B7))</f>
        <v/>
      </c>
      <c r="I493" s="18" t="n"/>
    </row>
    <row r="494">
      <c r="A494" s="18">
        <f>IF(ISNUMBER(Dossiers!$D$13),Dossiers!$A$13&amp;" · "&amp;Dossiers!$B$13,"")</f>
        <v/>
      </c>
      <c r="B494" s="18">
        <f>IF($A494="","",Paramètres!G8)</f>
        <v/>
      </c>
      <c r="C494" s="18">
        <f>IF($A494="","",IF(Paramètres!H8="","",Paramètres!H8))</f>
        <v/>
      </c>
      <c r="D494" s="18">
        <f>IF($A494="","",IF(Paramètres!I8="","",Paramètres!I8))</f>
        <v/>
      </c>
      <c r="E494" s="19">
        <f>IF($A494="","",IF(Paramètres!J8&amp;Paramètres!L8&amp;Paramètres!N8="",Dossiers!$D$13,MAX(IF(Paramètres!J8="",0,IF(Paramètres!K8="",NA(),IF(LEFT(TRIM(Paramètres!K8),1)="F",INDEX($F$491:$F$543,MATCH(Paramètres!J8,Paramètres!$G$5:$G$57,0)),INDEX($E$491:$E$543,MATCH(Paramètres!J8,Paramètres!$G$5:$G$57,0)))+IF(RIGHT(TRIM(Paramètres!K8),3)="Fin",1-$H494,IF(LEFT(TRIM(Paramètres!K8),1)="F",1,0)))),IF(Paramètres!L8="",0,IF(Paramètres!M8="",NA(),IF(LEFT(TRIM(Paramètres!M8),1)="F",INDEX($F$491:$F$543,MATCH(Paramètres!L8,Paramètres!$G$5:$G$57,0)),INDEX($E$491:$E$543,MATCH(Paramètres!L8,Paramètres!$G$5:$G$57,0)))+IF(RIGHT(TRIM(Paramètres!M8),3)="Fin",1-$H494,IF(LEFT(TRIM(Paramètres!M8),1)="F",1,0)))),IF(Paramètres!N8="",0,IF(Paramètres!O8="",NA(),IF(LEFT(TRIM(Paramètres!O8),1)="F",INDEX($F$491:$F$543,MATCH(Paramètres!N8,Paramètres!$G$5:$G$57,0)),INDEX($E$491:$E$543,MATCH(Paramètres!N8,Paramètres!$G$5:$G$57,0)))+IF(RIGHT(TRIM(Paramètres!O8),3)="Fin",1-$H494,IF(LEFT(TRIM(Paramètres!O8),1)="F",1,0)))))))</f>
        <v/>
      </c>
      <c r="F494" s="19">
        <f>IF($A494="","",E494+$H494-1)</f>
        <v/>
      </c>
      <c r="G494" s="18" t="n"/>
      <c r="H494" s="18">
        <f>IF($A494="","",IF(I494&lt;&gt;"",I494,Paramètres!B8))</f>
        <v/>
      </c>
      <c r="I494" s="18" t="n"/>
    </row>
    <row r="495">
      <c r="A495" s="18">
        <f>IF(ISNUMBER(Dossiers!$D$13),Dossiers!$A$13&amp;" · "&amp;Dossiers!$B$13,"")</f>
        <v/>
      </c>
      <c r="B495" s="18">
        <f>IF($A495="","",Paramètres!G9)</f>
        <v/>
      </c>
      <c r="C495" s="18">
        <f>IF($A495="","",IF(Paramètres!H9="","",Paramètres!H9))</f>
        <v/>
      </c>
      <c r="D495" s="18">
        <f>IF($A495="","",IF(Paramètres!I9="","",Paramètres!I9))</f>
        <v/>
      </c>
      <c r="E495" s="19">
        <f>IF($A495="","",IF(Paramètres!J9&amp;Paramètres!L9&amp;Paramètres!N9="",Dossiers!$D$13,MAX(IF(Paramètres!J9="",0,IF(Paramètres!K9="",NA(),IF(LEFT(TRIM(Paramètres!K9),1)="F",INDEX($F$491:$F$543,MATCH(Paramètres!J9,Paramètres!$G$5:$G$57,0)),INDEX($E$491:$E$543,MATCH(Paramètres!J9,Paramètres!$G$5:$G$57,0)))+IF(RIGHT(TRIM(Paramètres!K9),3)="Fin",1-$H495,IF(LEFT(TRIM(Paramètres!K9),1)="F",1,0)))),IF(Paramètres!L9="",0,IF(Paramètres!M9="",NA(),IF(LEFT(TRIM(Paramètres!M9),1)="F",INDEX($F$491:$F$543,MATCH(Paramètres!L9,Paramètres!$G$5:$G$57,0)),INDEX($E$491:$E$543,MATCH(Paramètres!L9,Paramètres!$G$5:$G$57,0)))+IF(RIGHT(TRIM(Paramètres!M9),3)="Fin",1-$H495,IF(LEFT(TRIM(Paramètres!M9),1)="F",1,0)))),IF(Paramètres!N9="",0,IF(Paramètres!O9="",NA(),IF(LEFT(TRIM(Paramètres!O9),1)="F",INDEX($F$491:$F$543,MATCH(Paramètres!N9,Paramètres!$G$5:$G$57,0)),INDEX($E$491:$E$543,MATCH(Paramètres!N9,Paramètres!$G$5:$G$57,0)))+IF(RIGHT(TRIM(Paramètres!O9),3)="Fin",1-$H495,IF(LEFT(TRIM(Paramètres!O9),1)="F",1,0)))))))</f>
        <v/>
      </c>
      <c r="F495" s="19">
        <f>IF($A495="","",E495+$H495-1)</f>
        <v/>
      </c>
      <c r="G495" s="18" t="n"/>
      <c r="H495" s="18">
        <f>IF($A495="","",IF(I495&lt;&gt;"",I495,Paramètres!B9))</f>
        <v/>
      </c>
      <c r="I495" s="18" t="n"/>
    </row>
    <row r="496">
      <c r="A496" s="18">
        <f>IF(ISNUMBER(Dossiers!$D$13),Dossiers!$A$13&amp;" · "&amp;Dossiers!$B$13,"")</f>
        <v/>
      </c>
      <c r="B496" s="18">
        <f>IF($A496="","",Paramètres!G10)</f>
        <v/>
      </c>
      <c r="C496" s="18">
        <f>IF($A496="","",IF(Paramètres!H10="","",Paramètres!H10))</f>
        <v/>
      </c>
      <c r="D496" s="18">
        <f>IF($A496="","",IF(Paramètres!I10="","",Paramètres!I10))</f>
        <v/>
      </c>
      <c r="E496" s="19">
        <f>IF($A496="","",MIN(E497:E500))</f>
        <v/>
      </c>
      <c r="F496" s="19">
        <f>IF($A496="","",MAX(F497:F500))</f>
        <v/>
      </c>
      <c r="G496" s="18" t="n"/>
      <c r="H496" s="18">
        <f>IF($A496="","",F496-E496+1)</f>
        <v/>
      </c>
      <c r="I496" s="18" t="n"/>
    </row>
    <row r="497">
      <c r="A497" s="18">
        <f>IF(ISNUMBER(Dossiers!$D$13),Dossiers!$A$13&amp;" · "&amp;Dossiers!$B$13,"")</f>
        <v/>
      </c>
      <c r="B497" s="18">
        <f>IF($A497="","",Paramètres!G11)</f>
        <v/>
      </c>
      <c r="C497" s="18">
        <f>IF($A497="","",IF(Paramètres!H11="","",Paramètres!H11))</f>
        <v/>
      </c>
      <c r="D497" s="18">
        <f>IF($A497="","",IF(Paramètres!I11="","",Paramètres!I11))</f>
        <v/>
      </c>
      <c r="E497" s="19">
        <f>IF($A497="","",IF(Paramètres!J11&amp;Paramètres!L11&amp;Paramètres!N11="",Dossiers!$D$13,MAX(IF(Paramètres!J11="",0,IF(Paramètres!K11="",NA(),IF(LEFT(TRIM(Paramètres!K11),1)="F",INDEX($F$491:$F$543,MATCH(Paramètres!J11,Paramètres!$G$5:$G$57,0)),INDEX($E$491:$E$543,MATCH(Paramètres!J11,Paramètres!$G$5:$G$57,0)))+IF(RIGHT(TRIM(Paramètres!K11),3)="Fin",1-$H497,IF(LEFT(TRIM(Paramètres!K11),1)="F",1,0)))),IF(Paramètres!L11="",0,IF(Paramètres!M11="",NA(),IF(LEFT(TRIM(Paramètres!M11),1)="F",INDEX($F$491:$F$543,MATCH(Paramètres!L11,Paramètres!$G$5:$G$57,0)),INDEX($E$491:$E$543,MATCH(Paramètres!L11,Paramètres!$G$5:$G$57,0)))+IF(RIGHT(TRIM(Paramètres!M11),3)="Fin",1-$H497,IF(LEFT(TRIM(Paramètres!M11),1)="F",1,0)))),IF(Paramètres!N11="",0,IF(Paramètres!O11="",NA(),IF(LEFT(TRIM(Paramètres!O11),1)="F",INDEX($F$491:$F$543,MATCH(Paramètres!N11,Paramètres!$G$5:$G$57,0)),INDEX($E$491:$E$543,MATCH(Paramètres!N11,Paramètres!$G$5:$G$57,0)))+IF(RIGHT(TRIM(Paramètres!O11),3)="Fin",1-$H497,IF(LEFT(TRIM(Paramètres!O11),1)="F",1,0)))))))</f>
        <v/>
      </c>
      <c r="F497" s="19">
        <f>IF($A497="","",E497+$H497-1)</f>
        <v/>
      </c>
      <c r="G497" s="18" t="n"/>
      <c r="H497" s="18">
        <f>IF($A497="","",IF(I497&lt;&gt;"",I497,Paramètres!B11))</f>
        <v/>
      </c>
      <c r="I497" s="18" t="n"/>
    </row>
    <row r="498">
      <c r="A498" s="18">
        <f>IF(ISNUMBER(Dossiers!$D$13),Dossiers!$A$13&amp;" · "&amp;Dossiers!$B$13,"")</f>
        <v/>
      </c>
      <c r="B498" s="18">
        <f>IF($A498="","",Paramètres!G12)</f>
        <v/>
      </c>
      <c r="C498" s="18">
        <f>IF($A498="","",IF(Paramètres!H12="","",Paramètres!H12))</f>
        <v/>
      </c>
      <c r="D498" s="18">
        <f>IF($A498="","",IF(Paramètres!I12="","",Paramètres!I12))</f>
        <v/>
      </c>
      <c r="E498" s="19">
        <f>IF($A498="","",IF(Paramètres!J12&amp;Paramètres!L12&amp;Paramètres!N12="",Dossiers!$D$13,MAX(IF(Paramètres!J12="",0,IF(Paramètres!K12="",NA(),IF(LEFT(TRIM(Paramètres!K12),1)="F",INDEX($F$491:$F$543,MATCH(Paramètres!J12,Paramètres!$G$5:$G$57,0)),INDEX($E$491:$E$543,MATCH(Paramètres!J12,Paramètres!$G$5:$G$57,0)))+IF(RIGHT(TRIM(Paramètres!K12),3)="Fin",1-$H498,IF(LEFT(TRIM(Paramètres!K12),1)="F",1,0)))),IF(Paramètres!L12="",0,IF(Paramètres!M12="",NA(),IF(LEFT(TRIM(Paramètres!M12),1)="F",INDEX($F$491:$F$543,MATCH(Paramètres!L12,Paramètres!$G$5:$G$57,0)),INDEX($E$491:$E$543,MATCH(Paramètres!L12,Paramètres!$G$5:$G$57,0)))+IF(RIGHT(TRIM(Paramètres!M12),3)="Fin",1-$H498,IF(LEFT(TRIM(Paramètres!M12),1)="F",1,0)))),IF(Paramètres!N12="",0,IF(Paramètres!O12="",NA(),IF(LEFT(TRIM(Paramètres!O12),1)="F",INDEX($F$491:$F$543,MATCH(Paramètres!N12,Paramètres!$G$5:$G$57,0)),INDEX($E$491:$E$543,MATCH(Paramètres!N12,Paramètres!$G$5:$G$57,0)))+IF(RIGHT(TRIM(Paramètres!O12),3)="Fin",1-$H498,IF(LEFT(TRIM(Paramètres!O12),1)="F",1,0)))))))</f>
        <v/>
      </c>
      <c r="F498" s="19">
        <f>IF($A498="","",E498+$H498-1)</f>
        <v/>
      </c>
      <c r="G498" s="18" t="n"/>
      <c r="H498" s="18">
        <f>IF($A498="","",IF(I498&lt;&gt;"",I498,Paramètres!B12))</f>
        <v/>
      </c>
      <c r="I498" s="18" t="n"/>
    </row>
    <row r="499">
      <c r="A499" s="18">
        <f>IF(ISNUMBER(Dossiers!$D$13),Dossiers!$A$13&amp;" · "&amp;Dossiers!$B$13,"")</f>
        <v/>
      </c>
      <c r="B499" s="18">
        <f>IF($A499="","",Paramètres!G13)</f>
        <v/>
      </c>
      <c r="C499" s="18">
        <f>IF($A499="","",IF(Paramètres!H13="","",Paramètres!H13))</f>
        <v/>
      </c>
      <c r="D499" s="18">
        <f>IF($A499="","",IF(Paramètres!I13="","",Paramètres!I13))</f>
        <v/>
      </c>
      <c r="E499" s="19">
        <f>IF($A499="","",IF(Paramètres!J13&amp;Paramètres!L13&amp;Paramètres!N13="",Dossiers!$D$13,MAX(IF(Paramètres!J13="",0,IF(Paramètres!K13="",NA(),IF(LEFT(TRIM(Paramètres!K13),1)="F",INDEX($F$491:$F$543,MATCH(Paramètres!J13,Paramètres!$G$5:$G$57,0)),INDEX($E$491:$E$543,MATCH(Paramètres!J13,Paramètres!$G$5:$G$57,0)))+IF(RIGHT(TRIM(Paramètres!K13),3)="Fin",1-$H499,IF(LEFT(TRIM(Paramètres!K13),1)="F",1,0)))),IF(Paramètres!L13="",0,IF(Paramètres!M13="",NA(),IF(LEFT(TRIM(Paramètres!M13),1)="F",INDEX($F$491:$F$543,MATCH(Paramètres!L13,Paramètres!$G$5:$G$57,0)),INDEX($E$491:$E$543,MATCH(Paramètres!L13,Paramètres!$G$5:$G$57,0)))+IF(RIGHT(TRIM(Paramètres!M13),3)="Fin",1-$H499,IF(LEFT(TRIM(Paramètres!M13),1)="F",1,0)))),IF(Paramètres!N13="",0,IF(Paramètres!O13="",NA(),IF(LEFT(TRIM(Paramètres!O13),1)="F",INDEX($F$491:$F$543,MATCH(Paramètres!N13,Paramètres!$G$5:$G$57,0)),INDEX($E$491:$E$543,MATCH(Paramètres!N13,Paramètres!$G$5:$G$57,0)))+IF(RIGHT(TRIM(Paramètres!O13),3)="Fin",1-$H499,IF(LEFT(TRIM(Paramètres!O13),1)="F",1,0)))))))</f>
        <v/>
      </c>
      <c r="F499" s="19">
        <f>IF($A499="","",E499+$H499-1)</f>
        <v/>
      </c>
      <c r="G499" s="18" t="n"/>
      <c r="H499" s="18">
        <f>IF($A499="","",IF(I499&lt;&gt;"",I499,Paramètres!B13))</f>
        <v/>
      </c>
      <c r="I499" s="18" t="n"/>
    </row>
    <row r="500">
      <c r="A500" s="18">
        <f>IF(ISNUMBER(Dossiers!$D$13),Dossiers!$A$13&amp;" · "&amp;Dossiers!$B$13,"")</f>
        <v/>
      </c>
      <c r="B500" s="18">
        <f>IF($A500="","",Paramètres!G14)</f>
        <v/>
      </c>
      <c r="C500" s="18">
        <f>IF($A500="","",IF(Paramètres!H14="","",Paramètres!H14))</f>
        <v/>
      </c>
      <c r="D500" s="18">
        <f>IF($A500="","",IF(Paramètres!I14="","",Paramètres!I14))</f>
        <v/>
      </c>
      <c r="E500" s="19">
        <f>IF($A500="","",IF(Paramètres!J14&amp;Paramètres!L14&amp;Paramètres!N14="",Dossiers!$D$13,MAX(IF(Paramètres!J14="",0,IF(Paramètres!K14="",NA(),IF(LEFT(TRIM(Paramètres!K14),1)="F",INDEX($F$491:$F$543,MATCH(Paramètres!J14,Paramètres!$G$5:$G$57,0)),INDEX($E$491:$E$543,MATCH(Paramètres!J14,Paramètres!$G$5:$G$57,0)))+IF(RIGHT(TRIM(Paramètres!K14),3)="Fin",1-$H500,IF(LEFT(TRIM(Paramètres!K14),1)="F",1,0)))),IF(Paramètres!L14="",0,IF(Paramètres!M14="",NA(),IF(LEFT(TRIM(Paramètres!M14),1)="F",INDEX($F$491:$F$543,MATCH(Paramètres!L14,Paramètres!$G$5:$G$57,0)),INDEX($E$491:$E$543,MATCH(Paramètres!L14,Paramètres!$G$5:$G$57,0)))+IF(RIGHT(TRIM(Paramètres!M14),3)="Fin",1-$H500,IF(LEFT(TRIM(Paramètres!M14),1)="F",1,0)))),IF(Paramètres!N14="",0,IF(Paramètres!O14="",NA(),IF(LEFT(TRIM(Paramètres!O14),1)="F",INDEX($F$491:$F$543,MATCH(Paramètres!N14,Paramètres!$G$5:$G$57,0)),INDEX($E$491:$E$543,MATCH(Paramètres!N14,Paramètres!$G$5:$G$57,0)))+IF(RIGHT(TRIM(Paramètres!O14),3)="Fin",1-$H500,IF(LEFT(TRIM(Paramètres!O14),1)="F",1,0)))))))</f>
        <v/>
      </c>
      <c r="F500" s="19">
        <f>IF($A500="","",E500+$H500-1)</f>
        <v/>
      </c>
      <c r="G500" s="18" t="n"/>
      <c r="H500" s="18">
        <f>IF($A500="","",IF(I500&lt;&gt;"",I500,Paramètres!B14))</f>
        <v/>
      </c>
      <c r="I500" s="18" t="n"/>
    </row>
    <row r="501">
      <c r="A501" s="18">
        <f>IF(ISNUMBER(Dossiers!$D$13),Dossiers!$A$13&amp;" · "&amp;Dossiers!$B$13,"")</f>
        <v/>
      </c>
      <c r="B501" s="18">
        <f>IF($A501="","",Paramètres!G15)</f>
        <v/>
      </c>
      <c r="C501" s="18">
        <f>IF($A501="","",IF(Paramètres!H15="","",Paramètres!H15))</f>
        <v/>
      </c>
      <c r="D501" s="18">
        <f>IF($A501="","",IF(Paramètres!I15="","",Paramètres!I15))</f>
        <v/>
      </c>
      <c r="E501" s="19">
        <f>IF($A501="","",MIN(E502:E517))</f>
        <v/>
      </c>
      <c r="F501" s="19">
        <f>IF($A501="","",MAX(F502:F517))</f>
        <v/>
      </c>
      <c r="G501" s="18" t="n"/>
      <c r="H501" s="18">
        <f>IF($A501="","",F501-E501+1)</f>
        <v/>
      </c>
      <c r="I501" s="18" t="n"/>
    </row>
    <row r="502">
      <c r="A502" s="18">
        <f>IF(ISNUMBER(Dossiers!$D$13),Dossiers!$A$13&amp;" · "&amp;Dossiers!$B$13,"")</f>
        <v/>
      </c>
      <c r="B502" s="18">
        <f>IF($A502="","",Paramètres!G16)</f>
        <v/>
      </c>
      <c r="C502" s="18">
        <f>IF($A502="","",IF(Paramètres!H16="","",Paramètres!H16))</f>
        <v/>
      </c>
      <c r="D502" s="18">
        <f>IF($A502="","",IF(Paramètres!I16="","",Paramètres!I16))</f>
        <v/>
      </c>
      <c r="E502" s="19">
        <f>IF($A502="","",IF(Paramètres!J16&amp;Paramètres!L16&amp;Paramètres!N16="",Dossiers!$D$13,MAX(IF(Paramètres!J16="",0,IF(Paramètres!K16="",NA(),IF(LEFT(TRIM(Paramètres!K16),1)="F",INDEX($F$491:$F$543,MATCH(Paramètres!J16,Paramètres!$G$5:$G$57,0)),INDEX($E$491:$E$543,MATCH(Paramètres!J16,Paramètres!$G$5:$G$57,0)))+IF(RIGHT(TRIM(Paramètres!K16),3)="Fin",1-$H502,IF(LEFT(TRIM(Paramètres!K16),1)="F",1,0)))),IF(Paramètres!L16="",0,IF(Paramètres!M16="",NA(),IF(LEFT(TRIM(Paramètres!M16),1)="F",INDEX($F$491:$F$543,MATCH(Paramètres!L16,Paramètres!$G$5:$G$57,0)),INDEX($E$491:$E$543,MATCH(Paramètres!L16,Paramètres!$G$5:$G$57,0)))+IF(RIGHT(TRIM(Paramètres!M16),3)="Fin",1-$H502,IF(LEFT(TRIM(Paramètres!M16),1)="F",1,0)))),IF(Paramètres!N16="",0,IF(Paramètres!O16="",NA(),IF(LEFT(TRIM(Paramètres!O16),1)="F",INDEX($F$491:$F$543,MATCH(Paramètres!N16,Paramètres!$G$5:$G$57,0)),INDEX($E$491:$E$543,MATCH(Paramètres!N16,Paramètres!$G$5:$G$57,0)))+IF(RIGHT(TRIM(Paramètres!O16),3)="Fin",1-$H502,IF(LEFT(TRIM(Paramètres!O16),1)="F",1,0)))))))</f>
        <v/>
      </c>
      <c r="F502" s="19">
        <f>IF($A502="","",E502+$H502-1)</f>
        <v/>
      </c>
      <c r="G502" s="18" t="n"/>
      <c r="H502" s="18">
        <f>IF($A502="","",IF(I502&lt;&gt;"",I502,Paramètres!B16))</f>
        <v/>
      </c>
      <c r="I502" s="18" t="n"/>
    </row>
    <row r="503">
      <c r="A503" s="18">
        <f>IF(ISNUMBER(Dossiers!$D$13),Dossiers!$A$13&amp;" · "&amp;Dossiers!$B$13,"")</f>
        <v/>
      </c>
      <c r="B503" s="18">
        <f>IF($A503="","",Paramètres!G17)</f>
        <v/>
      </c>
      <c r="C503" s="18">
        <f>IF($A503="","",IF(Paramètres!H17="","",Paramètres!H17))</f>
        <v/>
      </c>
      <c r="D503" s="18">
        <f>IF($A503="","",IF(Paramètres!I17="","",Paramètres!I17))</f>
        <v/>
      </c>
      <c r="E503" s="19">
        <f>IF($A503="","",IF(Paramètres!J17&amp;Paramètres!L17&amp;Paramètres!N17="",Dossiers!$D$13,MAX(IF(Paramètres!J17="",0,IF(Paramètres!K17="",NA(),IF(LEFT(TRIM(Paramètres!K17),1)="F",INDEX($F$491:$F$543,MATCH(Paramètres!J17,Paramètres!$G$5:$G$57,0)),INDEX($E$491:$E$543,MATCH(Paramètres!J17,Paramètres!$G$5:$G$57,0)))+IF(RIGHT(TRIM(Paramètres!K17),3)="Fin",1-$H503,IF(LEFT(TRIM(Paramètres!K17),1)="F",1,0)))),IF(Paramètres!L17="",0,IF(Paramètres!M17="",NA(),IF(LEFT(TRIM(Paramètres!M17),1)="F",INDEX($F$491:$F$543,MATCH(Paramètres!L17,Paramètres!$G$5:$G$57,0)),INDEX($E$491:$E$543,MATCH(Paramètres!L17,Paramètres!$G$5:$G$57,0)))+IF(RIGHT(TRIM(Paramètres!M17),3)="Fin",1-$H503,IF(LEFT(TRIM(Paramètres!M17),1)="F",1,0)))),IF(Paramètres!N17="",0,IF(Paramètres!O17="",NA(),IF(LEFT(TRIM(Paramètres!O17),1)="F",INDEX($F$491:$F$543,MATCH(Paramètres!N17,Paramètres!$G$5:$G$57,0)),INDEX($E$491:$E$543,MATCH(Paramètres!N17,Paramètres!$G$5:$G$57,0)))+IF(RIGHT(TRIM(Paramètres!O17),3)="Fin",1-$H503,IF(LEFT(TRIM(Paramètres!O17),1)="F",1,0)))))))</f>
        <v/>
      </c>
      <c r="F503" s="19">
        <f>IF($A503="","",E503+$H503-1)</f>
        <v/>
      </c>
      <c r="G503" s="18" t="n"/>
      <c r="H503" s="18">
        <f>IF($A503="","",IF(I503&lt;&gt;"",I503,Paramètres!B17))</f>
        <v/>
      </c>
      <c r="I503" s="18" t="n"/>
    </row>
    <row r="504">
      <c r="A504" s="18">
        <f>IF(ISNUMBER(Dossiers!$D$13),Dossiers!$A$13&amp;" · "&amp;Dossiers!$B$13,"")</f>
        <v/>
      </c>
      <c r="B504" s="18">
        <f>IF($A504="","",Paramètres!G18)</f>
        <v/>
      </c>
      <c r="C504" s="18">
        <f>IF($A504="","",IF(Paramètres!H18="","",Paramètres!H18))</f>
        <v/>
      </c>
      <c r="D504" s="18">
        <f>IF($A504="","",IF(Paramètres!I18="","",Paramètres!I18))</f>
        <v/>
      </c>
      <c r="E504" s="19">
        <f>IF($A504="","",IF(Paramètres!J18&amp;Paramètres!L18&amp;Paramètres!N18="",Dossiers!$D$13,MAX(IF(Paramètres!J18="",0,IF(Paramètres!K18="",NA(),IF(LEFT(TRIM(Paramètres!K18),1)="F",INDEX($F$491:$F$543,MATCH(Paramètres!J18,Paramètres!$G$5:$G$57,0)),INDEX($E$491:$E$543,MATCH(Paramètres!J18,Paramètres!$G$5:$G$57,0)))+IF(RIGHT(TRIM(Paramètres!K18),3)="Fin",1-$H504,IF(LEFT(TRIM(Paramètres!K18),1)="F",1,0)))),IF(Paramètres!L18="",0,IF(Paramètres!M18="",NA(),IF(LEFT(TRIM(Paramètres!M18),1)="F",INDEX($F$491:$F$543,MATCH(Paramètres!L18,Paramètres!$G$5:$G$57,0)),INDEX($E$491:$E$543,MATCH(Paramètres!L18,Paramètres!$G$5:$G$57,0)))+IF(RIGHT(TRIM(Paramètres!M18),3)="Fin",1-$H504,IF(LEFT(TRIM(Paramètres!M18),1)="F",1,0)))),IF(Paramètres!N18="",0,IF(Paramètres!O18="",NA(),IF(LEFT(TRIM(Paramètres!O18),1)="F",INDEX($F$491:$F$543,MATCH(Paramètres!N18,Paramètres!$G$5:$G$57,0)),INDEX($E$491:$E$543,MATCH(Paramètres!N18,Paramètres!$G$5:$G$57,0)))+IF(RIGHT(TRIM(Paramètres!O18),3)="Fin",1-$H504,IF(LEFT(TRIM(Paramètres!O18),1)="F",1,0)))))))</f>
        <v/>
      </c>
      <c r="F504" s="19">
        <f>IF($A504="","",E504+$H504-1)</f>
        <v/>
      </c>
      <c r="G504" s="18" t="n"/>
      <c r="H504" s="18">
        <f>IF($A504="","",IF(I504&lt;&gt;"",I504,Paramètres!B18))</f>
        <v/>
      </c>
      <c r="I504" s="18" t="n"/>
    </row>
    <row r="505">
      <c r="A505" s="18">
        <f>IF(ISNUMBER(Dossiers!$D$13),Dossiers!$A$13&amp;" · "&amp;Dossiers!$B$13,"")</f>
        <v/>
      </c>
      <c r="B505" s="18">
        <f>IF($A505="","",Paramètres!G19)</f>
        <v/>
      </c>
      <c r="C505" s="18">
        <f>IF($A505="","",IF(Paramètres!H19="","",Paramètres!H19))</f>
        <v/>
      </c>
      <c r="D505" s="18">
        <f>IF($A505="","",IF(Paramètres!I19="","",Paramètres!I19))</f>
        <v/>
      </c>
      <c r="E505" s="19">
        <f>IF($A505="","",IF(Paramètres!J19&amp;Paramètres!L19&amp;Paramètres!N19="",Dossiers!$D$13,MAX(IF(Paramètres!J19="",0,IF(Paramètres!K19="",NA(),IF(LEFT(TRIM(Paramètres!K19),1)="F",INDEX($F$491:$F$543,MATCH(Paramètres!J19,Paramètres!$G$5:$G$57,0)),INDEX($E$491:$E$543,MATCH(Paramètres!J19,Paramètres!$G$5:$G$57,0)))+IF(RIGHT(TRIM(Paramètres!K19),3)="Fin",1-$H505,IF(LEFT(TRIM(Paramètres!K19),1)="F",1,0)))),IF(Paramètres!L19="",0,IF(Paramètres!M19="",NA(),IF(LEFT(TRIM(Paramètres!M19),1)="F",INDEX($F$491:$F$543,MATCH(Paramètres!L19,Paramètres!$G$5:$G$57,0)),INDEX($E$491:$E$543,MATCH(Paramètres!L19,Paramètres!$G$5:$G$57,0)))+IF(RIGHT(TRIM(Paramètres!M19),3)="Fin",1-$H505,IF(LEFT(TRIM(Paramètres!M19),1)="F",1,0)))),IF(Paramètres!N19="",0,IF(Paramètres!O19="",NA(),IF(LEFT(TRIM(Paramètres!O19),1)="F",INDEX($F$491:$F$543,MATCH(Paramètres!N19,Paramètres!$G$5:$G$57,0)),INDEX($E$491:$E$543,MATCH(Paramètres!N19,Paramètres!$G$5:$G$57,0)))+IF(RIGHT(TRIM(Paramètres!O19),3)="Fin",1-$H505,IF(LEFT(TRIM(Paramètres!O19),1)="F",1,0)))))))</f>
        <v/>
      </c>
      <c r="F505" s="19">
        <f>IF($A505="","",E505+$H505-1)</f>
        <v/>
      </c>
      <c r="G505" s="18" t="n"/>
      <c r="H505" s="18">
        <f>IF($A505="","",IF(I505&lt;&gt;"",I505,Paramètres!B19))</f>
        <v/>
      </c>
      <c r="I505" s="18" t="n"/>
    </row>
    <row r="506">
      <c r="A506" s="18">
        <f>IF(ISNUMBER(Dossiers!$D$13),Dossiers!$A$13&amp;" · "&amp;Dossiers!$B$13,"")</f>
        <v/>
      </c>
      <c r="B506" s="18">
        <f>IF($A506="","",Paramètres!G20)</f>
        <v/>
      </c>
      <c r="C506" s="18">
        <f>IF($A506="","",IF(Paramètres!H20="","",Paramètres!H20))</f>
        <v/>
      </c>
      <c r="D506" s="18">
        <f>IF($A506="","",IF(Paramètres!I20="","",Paramètres!I20))</f>
        <v/>
      </c>
      <c r="E506" s="19">
        <f>IF($A506="","",IF(Paramètres!J20&amp;Paramètres!L20&amp;Paramètres!N20="",Dossiers!$D$13,MAX(IF(Paramètres!J20="",0,IF(Paramètres!K20="",NA(),IF(LEFT(TRIM(Paramètres!K20),1)="F",INDEX($F$491:$F$543,MATCH(Paramètres!J20,Paramètres!$G$5:$G$57,0)),INDEX($E$491:$E$543,MATCH(Paramètres!J20,Paramètres!$G$5:$G$57,0)))+IF(RIGHT(TRIM(Paramètres!K20),3)="Fin",1-$H506,IF(LEFT(TRIM(Paramètres!K20),1)="F",1,0)))),IF(Paramètres!L20="",0,IF(Paramètres!M20="",NA(),IF(LEFT(TRIM(Paramètres!M20),1)="F",INDEX($F$491:$F$543,MATCH(Paramètres!L20,Paramètres!$G$5:$G$57,0)),INDEX($E$491:$E$543,MATCH(Paramètres!L20,Paramètres!$G$5:$G$57,0)))+IF(RIGHT(TRIM(Paramètres!M20),3)="Fin",1-$H506,IF(LEFT(TRIM(Paramètres!M20),1)="F",1,0)))),IF(Paramètres!N20="",0,IF(Paramètres!O20="",NA(),IF(LEFT(TRIM(Paramètres!O20),1)="F",INDEX($F$491:$F$543,MATCH(Paramètres!N20,Paramètres!$G$5:$G$57,0)),INDEX($E$491:$E$543,MATCH(Paramètres!N20,Paramètres!$G$5:$G$57,0)))+IF(RIGHT(TRIM(Paramètres!O20),3)="Fin",1-$H506,IF(LEFT(TRIM(Paramètres!O20),1)="F",1,0)))))))</f>
        <v/>
      </c>
      <c r="F506" s="19">
        <f>IF($A506="","",E506+$H506-1)</f>
        <v/>
      </c>
      <c r="G506" s="18" t="n"/>
      <c r="H506" s="18">
        <f>IF($A506="","",IF(I506&lt;&gt;"",I506,Paramètres!B20))</f>
        <v/>
      </c>
      <c r="I506" s="18" t="n"/>
    </row>
    <row r="507">
      <c r="A507" s="18">
        <f>IF(ISNUMBER(Dossiers!$D$13),Dossiers!$A$13&amp;" · "&amp;Dossiers!$B$13,"")</f>
        <v/>
      </c>
      <c r="B507" s="18">
        <f>IF($A507="","",Paramètres!G21)</f>
        <v/>
      </c>
      <c r="C507" s="18">
        <f>IF($A507="","",IF(Paramètres!H21="","",Paramètres!H21))</f>
        <v/>
      </c>
      <c r="D507" s="18">
        <f>IF($A507="","",IF(Paramètres!I21="","",Paramètres!I21))</f>
        <v/>
      </c>
      <c r="E507" s="19">
        <f>IF($A507="","",IF(Paramètres!J21&amp;Paramètres!L21&amp;Paramètres!N21="",Dossiers!$D$13,MAX(IF(Paramètres!J21="",0,IF(Paramètres!K21="",NA(),IF(LEFT(TRIM(Paramètres!K21),1)="F",INDEX($F$491:$F$543,MATCH(Paramètres!J21,Paramètres!$G$5:$G$57,0)),INDEX($E$491:$E$543,MATCH(Paramètres!J21,Paramètres!$G$5:$G$57,0)))+IF(RIGHT(TRIM(Paramètres!K21),3)="Fin",1-$H507,IF(LEFT(TRIM(Paramètres!K21),1)="F",1,0)))),IF(Paramètres!L21="",0,IF(Paramètres!M21="",NA(),IF(LEFT(TRIM(Paramètres!M21),1)="F",INDEX($F$491:$F$543,MATCH(Paramètres!L21,Paramètres!$G$5:$G$57,0)),INDEX($E$491:$E$543,MATCH(Paramètres!L21,Paramètres!$G$5:$G$57,0)))+IF(RIGHT(TRIM(Paramètres!M21),3)="Fin",1-$H507,IF(LEFT(TRIM(Paramètres!M21),1)="F",1,0)))),IF(Paramètres!N21="",0,IF(Paramètres!O21="",NA(),IF(LEFT(TRIM(Paramètres!O21),1)="F",INDEX($F$491:$F$543,MATCH(Paramètres!N21,Paramètres!$G$5:$G$57,0)),INDEX($E$491:$E$543,MATCH(Paramètres!N21,Paramètres!$G$5:$G$57,0)))+IF(RIGHT(TRIM(Paramètres!O21),3)="Fin",1-$H507,IF(LEFT(TRIM(Paramètres!O21),1)="F",1,0)))))))</f>
        <v/>
      </c>
      <c r="F507" s="19">
        <f>IF($A507="","",E507+$H507-1)</f>
        <v/>
      </c>
      <c r="G507" s="18" t="n"/>
      <c r="H507" s="18">
        <f>IF($A507="","",IF(I507&lt;&gt;"",I507,Paramètres!B21))</f>
        <v/>
      </c>
      <c r="I507" s="18" t="n"/>
    </row>
    <row r="508">
      <c r="A508" s="18">
        <f>IF(ISNUMBER(Dossiers!$D$13),Dossiers!$A$13&amp;" · "&amp;Dossiers!$B$13,"")</f>
        <v/>
      </c>
      <c r="B508" s="18">
        <f>IF($A508="","",Paramètres!G22)</f>
        <v/>
      </c>
      <c r="C508" s="18">
        <f>IF($A508="","",IF(Paramètres!H22="","",Paramètres!H22))</f>
        <v/>
      </c>
      <c r="D508" s="18">
        <f>IF($A508="","",IF(Paramètres!I22="","",Paramètres!I22))</f>
        <v/>
      </c>
      <c r="E508" s="19">
        <f>IF($A508="","",IF(Paramètres!J22&amp;Paramètres!L22&amp;Paramètres!N22="",Dossiers!$D$13,MAX(IF(Paramètres!J22="",0,IF(Paramètres!K22="",NA(),IF(LEFT(TRIM(Paramètres!K22),1)="F",INDEX($F$491:$F$543,MATCH(Paramètres!J22,Paramètres!$G$5:$G$57,0)),INDEX($E$491:$E$543,MATCH(Paramètres!J22,Paramètres!$G$5:$G$57,0)))+IF(RIGHT(TRIM(Paramètres!K22),3)="Fin",1-$H508,IF(LEFT(TRIM(Paramètres!K22),1)="F",1,0)))),IF(Paramètres!L22="",0,IF(Paramètres!M22="",NA(),IF(LEFT(TRIM(Paramètres!M22),1)="F",INDEX($F$491:$F$543,MATCH(Paramètres!L22,Paramètres!$G$5:$G$57,0)),INDEX($E$491:$E$543,MATCH(Paramètres!L22,Paramètres!$G$5:$G$57,0)))+IF(RIGHT(TRIM(Paramètres!M22),3)="Fin",1-$H508,IF(LEFT(TRIM(Paramètres!M22),1)="F",1,0)))),IF(Paramètres!N22="",0,IF(Paramètres!O22="",NA(),IF(LEFT(TRIM(Paramètres!O22),1)="F",INDEX($F$491:$F$543,MATCH(Paramètres!N22,Paramètres!$G$5:$G$57,0)),INDEX($E$491:$E$543,MATCH(Paramètres!N22,Paramètres!$G$5:$G$57,0)))+IF(RIGHT(TRIM(Paramètres!O22),3)="Fin",1-$H508,IF(LEFT(TRIM(Paramètres!O22),1)="F",1,0)))))))</f>
        <v/>
      </c>
      <c r="F508" s="19">
        <f>IF($A508="","",E508+$H508-1)</f>
        <v/>
      </c>
      <c r="G508" s="18" t="n"/>
      <c r="H508" s="18">
        <f>IF($A508="","",IF(I508&lt;&gt;"",I508,Paramètres!B22))</f>
        <v/>
      </c>
      <c r="I508" s="18" t="n"/>
    </row>
    <row r="509">
      <c r="A509" s="18">
        <f>IF(ISNUMBER(Dossiers!$D$13),Dossiers!$A$13&amp;" · "&amp;Dossiers!$B$13,"")</f>
        <v/>
      </c>
      <c r="B509" s="18">
        <f>IF($A509="","",Paramètres!G23)</f>
        <v/>
      </c>
      <c r="C509" s="18">
        <f>IF($A509="","",IF(Paramètres!H23="","",Paramètres!H23))</f>
        <v/>
      </c>
      <c r="D509" s="18">
        <f>IF($A509="","",IF(Paramètres!I23="","",Paramètres!I23))</f>
        <v/>
      </c>
      <c r="E509" s="19">
        <f>IF($A509="","",IF(Paramètres!J23&amp;Paramètres!L23&amp;Paramètres!N23="",Dossiers!$D$13,MAX(IF(Paramètres!J23="",0,IF(Paramètres!K23="",NA(),IF(LEFT(TRIM(Paramètres!K23),1)="F",INDEX($F$491:$F$543,MATCH(Paramètres!J23,Paramètres!$G$5:$G$57,0)),INDEX($E$491:$E$543,MATCH(Paramètres!J23,Paramètres!$G$5:$G$57,0)))+IF(RIGHT(TRIM(Paramètres!K23),3)="Fin",1-$H509,IF(LEFT(TRIM(Paramètres!K23),1)="F",1,0)))),IF(Paramètres!L23="",0,IF(Paramètres!M23="",NA(),IF(LEFT(TRIM(Paramètres!M23),1)="F",INDEX($F$491:$F$543,MATCH(Paramètres!L23,Paramètres!$G$5:$G$57,0)),INDEX($E$491:$E$543,MATCH(Paramètres!L23,Paramètres!$G$5:$G$57,0)))+IF(RIGHT(TRIM(Paramètres!M23),3)="Fin",1-$H509,IF(LEFT(TRIM(Paramètres!M23),1)="F",1,0)))),IF(Paramètres!N23="",0,IF(Paramètres!O23="",NA(),IF(LEFT(TRIM(Paramètres!O23),1)="F",INDEX($F$491:$F$543,MATCH(Paramètres!N23,Paramètres!$G$5:$G$57,0)),INDEX($E$491:$E$543,MATCH(Paramètres!N23,Paramètres!$G$5:$G$57,0)))+IF(RIGHT(TRIM(Paramètres!O23),3)="Fin",1-$H509,IF(LEFT(TRIM(Paramètres!O23),1)="F",1,0)))))))</f>
        <v/>
      </c>
      <c r="F509" s="19">
        <f>IF($A509="","",E509+$H509-1)</f>
        <v/>
      </c>
      <c r="G509" s="18" t="n"/>
      <c r="H509" s="18">
        <f>IF($A509="","",IF(I509&lt;&gt;"",I509,Paramètres!B23))</f>
        <v/>
      </c>
      <c r="I509" s="18" t="n"/>
    </row>
    <row r="510">
      <c r="A510" s="18">
        <f>IF(ISNUMBER(Dossiers!$D$13),Dossiers!$A$13&amp;" · "&amp;Dossiers!$B$13,"")</f>
        <v/>
      </c>
      <c r="B510" s="18">
        <f>IF($A510="","",Paramètres!G24)</f>
        <v/>
      </c>
      <c r="C510" s="18">
        <f>IF($A510="","",IF(Paramètres!H24="","",Paramètres!H24))</f>
        <v/>
      </c>
      <c r="D510" s="18">
        <f>IF($A510="","",IF(Paramètres!I24="","",Paramètres!I24))</f>
        <v/>
      </c>
      <c r="E510" s="19">
        <f>IF($A510="","",IF(Paramètres!J24&amp;Paramètres!L24&amp;Paramètres!N24="",Dossiers!$D$13,MAX(IF(Paramètres!J24="",0,IF(Paramètres!K24="",NA(),IF(LEFT(TRIM(Paramètres!K24),1)="F",INDEX($F$491:$F$543,MATCH(Paramètres!J24,Paramètres!$G$5:$G$57,0)),INDEX($E$491:$E$543,MATCH(Paramètres!J24,Paramètres!$G$5:$G$57,0)))+IF(RIGHT(TRIM(Paramètres!K24),3)="Fin",1-$H510,IF(LEFT(TRIM(Paramètres!K24),1)="F",1,0)))),IF(Paramètres!L24="",0,IF(Paramètres!M24="",NA(),IF(LEFT(TRIM(Paramètres!M24),1)="F",INDEX($F$491:$F$543,MATCH(Paramètres!L24,Paramètres!$G$5:$G$57,0)),INDEX($E$491:$E$543,MATCH(Paramètres!L24,Paramètres!$G$5:$G$57,0)))+IF(RIGHT(TRIM(Paramètres!M24),3)="Fin",1-$H510,IF(LEFT(TRIM(Paramètres!M24),1)="F",1,0)))),IF(Paramètres!N24="",0,IF(Paramètres!O24="",NA(),IF(LEFT(TRIM(Paramètres!O24),1)="F",INDEX($F$491:$F$543,MATCH(Paramètres!N24,Paramètres!$G$5:$G$57,0)),INDEX($E$491:$E$543,MATCH(Paramètres!N24,Paramètres!$G$5:$G$57,0)))+IF(RIGHT(TRIM(Paramètres!O24),3)="Fin",1-$H510,IF(LEFT(TRIM(Paramètres!O24),1)="F",1,0)))))))</f>
        <v/>
      </c>
      <c r="F510" s="19">
        <f>IF($A510="","",E510+$H510-1)</f>
        <v/>
      </c>
      <c r="G510" s="18" t="n"/>
      <c r="H510" s="18">
        <f>IF($A510="","",IF(I510&lt;&gt;"",I510,Paramètres!B24))</f>
        <v/>
      </c>
      <c r="I510" s="18" t="n"/>
    </row>
    <row r="511">
      <c r="A511" s="18">
        <f>IF(ISNUMBER(Dossiers!$D$13),Dossiers!$A$13&amp;" · "&amp;Dossiers!$B$13,"")</f>
        <v/>
      </c>
      <c r="B511" s="18">
        <f>IF($A511="","",Paramètres!G25)</f>
        <v/>
      </c>
      <c r="C511" s="18">
        <f>IF($A511="","",IF(Paramètres!H25="","",Paramètres!H25))</f>
        <v/>
      </c>
      <c r="D511" s="18">
        <f>IF($A511="","",IF(Paramètres!I25="","",Paramètres!I25))</f>
        <v/>
      </c>
      <c r="E511" s="19">
        <f>IF($A511="","",IF(Paramètres!J25&amp;Paramètres!L25&amp;Paramètres!N25="",Dossiers!$D$13,MAX(IF(Paramètres!J25="",0,IF(Paramètres!K25="",NA(),IF(LEFT(TRIM(Paramètres!K25),1)="F",INDEX($F$491:$F$543,MATCH(Paramètres!J25,Paramètres!$G$5:$G$57,0)),INDEX($E$491:$E$543,MATCH(Paramètres!J25,Paramètres!$G$5:$G$57,0)))+IF(RIGHT(TRIM(Paramètres!K25),3)="Fin",1-$H511,IF(LEFT(TRIM(Paramètres!K25),1)="F",1,0)))),IF(Paramètres!L25="",0,IF(Paramètres!M25="",NA(),IF(LEFT(TRIM(Paramètres!M25),1)="F",INDEX($F$491:$F$543,MATCH(Paramètres!L25,Paramètres!$G$5:$G$57,0)),INDEX($E$491:$E$543,MATCH(Paramètres!L25,Paramètres!$G$5:$G$57,0)))+IF(RIGHT(TRIM(Paramètres!M25),3)="Fin",1-$H511,IF(LEFT(TRIM(Paramètres!M25),1)="F",1,0)))),IF(Paramètres!N25="",0,IF(Paramètres!O25="",NA(),IF(LEFT(TRIM(Paramètres!O25),1)="F",INDEX($F$491:$F$543,MATCH(Paramètres!N25,Paramètres!$G$5:$G$57,0)),INDEX($E$491:$E$543,MATCH(Paramètres!N25,Paramètres!$G$5:$G$57,0)))+IF(RIGHT(TRIM(Paramètres!O25),3)="Fin",1-$H511,IF(LEFT(TRIM(Paramètres!O25),1)="F",1,0)))))))</f>
        <v/>
      </c>
      <c r="F511" s="19">
        <f>IF($A511="","",E511+$H511-1)</f>
        <v/>
      </c>
      <c r="G511" s="18" t="n"/>
      <c r="H511" s="18">
        <f>IF($A511="","",IF(I511&lt;&gt;"",I511,Paramètres!B25))</f>
        <v/>
      </c>
      <c r="I511" s="18" t="n"/>
    </row>
    <row r="512">
      <c r="A512" s="18">
        <f>IF(ISNUMBER(Dossiers!$D$13),Dossiers!$A$13&amp;" · "&amp;Dossiers!$B$13,"")</f>
        <v/>
      </c>
      <c r="B512" s="18">
        <f>IF($A512="","",Paramètres!G26)</f>
        <v/>
      </c>
      <c r="C512" s="18">
        <f>IF($A512="","",IF(Paramètres!H26="","",Paramètres!H26))</f>
        <v/>
      </c>
      <c r="D512" s="18">
        <f>IF($A512="","",IF(Paramètres!I26="","",Paramètres!I26))</f>
        <v/>
      </c>
      <c r="E512" s="19">
        <f>IF($A512="","",IF(Paramètres!J26&amp;Paramètres!L26&amp;Paramètres!N26="",Dossiers!$D$13,MAX(IF(Paramètres!J26="",0,IF(Paramètres!K26="",NA(),IF(LEFT(TRIM(Paramètres!K26),1)="F",INDEX($F$491:$F$543,MATCH(Paramètres!J26,Paramètres!$G$5:$G$57,0)),INDEX($E$491:$E$543,MATCH(Paramètres!J26,Paramètres!$G$5:$G$57,0)))+IF(RIGHT(TRIM(Paramètres!K26),3)="Fin",1-$H512,IF(LEFT(TRIM(Paramètres!K26),1)="F",1,0)))),IF(Paramètres!L26="",0,IF(Paramètres!M26="",NA(),IF(LEFT(TRIM(Paramètres!M26),1)="F",INDEX($F$491:$F$543,MATCH(Paramètres!L26,Paramètres!$G$5:$G$57,0)),INDEX($E$491:$E$543,MATCH(Paramètres!L26,Paramètres!$G$5:$G$57,0)))+IF(RIGHT(TRIM(Paramètres!M26),3)="Fin",1-$H512,IF(LEFT(TRIM(Paramètres!M26),1)="F",1,0)))),IF(Paramètres!N26="",0,IF(Paramètres!O26="",NA(),IF(LEFT(TRIM(Paramètres!O26),1)="F",INDEX($F$491:$F$543,MATCH(Paramètres!N26,Paramètres!$G$5:$G$57,0)),INDEX($E$491:$E$543,MATCH(Paramètres!N26,Paramètres!$G$5:$G$57,0)))+IF(RIGHT(TRIM(Paramètres!O26),3)="Fin",1-$H512,IF(LEFT(TRIM(Paramètres!O26),1)="F",1,0)))))))</f>
        <v/>
      </c>
      <c r="F512" s="19">
        <f>IF($A512="","",E512+$H512-1)</f>
        <v/>
      </c>
      <c r="G512" s="18" t="n"/>
      <c r="H512" s="18">
        <f>IF($A512="","",IF(I512&lt;&gt;"",I512,Paramètres!B26))</f>
        <v/>
      </c>
      <c r="I512" s="18" t="n"/>
    </row>
    <row r="513">
      <c r="A513" s="18">
        <f>IF(ISNUMBER(Dossiers!$D$13),Dossiers!$A$13&amp;" · "&amp;Dossiers!$B$13,"")</f>
        <v/>
      </c>
      <c r="B513" s="18">
        <f>IF($A513="","",Paramètres!G27)</f>
        <v/>
      </c>
      <c r="C513" s="18">
        <f>IF($A513="","",IF(Paramètres!H27="","",Paramètres!H27))</f>
        <v/>
      </c>
      <c r="D513" s="18">
        <f>IF($A513="","",IF(Paramètres!I27="","",Paramètres!I27))</f>
        <v/>
      </c>
      <c r="E513" s="19">
        <f>IF($A513="","",IF(Paramètres!J27&amp;Paramètres!L27&amp;Paramètres!N27="",Dossiers!$D$13,MAX(IF(Paramètres!J27="",0,IF(Paramètres!K27="",NA(),IF(LEFT(TRIM(Paramètres!K27),1)="F",INDEX($F$491:$F$543,MATCH(Paramètres!J27,Paramètres!$G$5:$G$57,0)),INDEX($E$491:$E$543,MATCH(Paramètres!J27,Paramètres!$G$5:$G$57,0)))+IF(RIGHT(TRIM(Paramètres!K27),3)="Fin",1-$H513,IF(LEFT(TRIM(Paramètres!K27),1)="F",1,0)))),IF(Paramètres!L27="",0,IF(Paramètres!M27="",NA(),IF(LEFT(TRIM(Paramètres!M27),1)="F",INDEX($F$491:$F$543,MATCH(Paramètres!L27,Paramètres!$G$5:$G$57,0)),INDEX($E$491:$E$543,MATCH(Paramètres!L27,Paramètres!$G$5:$G$57,0)))+IF(RIGHT(TRIM(Paramètres!M27),3)="Fin",1-$H513,IF(LEFT(TRIM(Paramètres!M27),1)="F",1,0)))),IF(Paramètres!N27="",0,IF(Paramètres!O27="",NA(),IF(LEFT(TRIM(Paramètres!O27),1)="F",INDEX($F$491:$F$543,MATCH(Paramètres!N27,Paramètres!$G$5:$G$57,0)),INDEX($E$491:$E$543,MATCH(Paramètres!N27,Paramètres!$G$5:$G$57,0)))+IF(RIGHT(TRIM(Paramètres!O27),3)="Fin",1-$H513,IF(LEFT(TRIM(Paramètres!O27),1)="F",1,0)))))))</f>
        <v/>
      </c>
      <c r="F513" s="19">
        <f>IF($A513="","",E513+$H513-1)</f>
        <v/>
      </c>
      <c r="G513" s="18" t="n"/>
      <c r="H513" s="18">
        <f>IF($A513="","",IF(I513&lt;&gt;"",I513,Paramètres!B27))</f>
        <v/>
      </c>
      <c r="I513" s="18" t="n"/>
    </row>
    <row r="514">
      <c r="A514" s="18">
        <f>IF(ISNUMBER(Dossiers!$D$13),Dossiers!$A$13&amp;" · "&amp;Dossiers!$B$13,"")</f>
        <v/>
      </c>
      <c r="B514" s="18">
        <f>IF($A514="","",Paramètres!G28)</f>
        <v/>
      </c>
      <c r="C514" s="18">
        <f>IF($A514="","",IF(Paramètres!H28="","",Paramètres!H28))</f>
        <v/>
      </c>
      <c r="D514" s="18">
        <f>IF($A514="","",IF(Paramètres!I28="","",Paramètres!I28))</f>
        <v/>
      </c>
      <c r="E514" s="19">
        <f>IF($A514="","",IF(Paramètres!J28&amp;Paramètres!L28&amp;Paramètres!N28="",Dossiers!$D$13,MAX(IF(Paramètres!J28="",0,IF(Paramètres!K28="",NA(),IF(LEFT(TRIM(Paramètres!K28),1)="F",INDEX($F$491:$F$543,MATCH(Paramètres!J28,Paramètres!$G$5:$G$57,0)),INDEX($E$491:$E$543,MATCH(Paramètres!J28,Paramètres!$G$5:$G$57,0)))+IF(RIGHT(TRIM(Paramètres!K28),3)="Fin",1-$H514,IF(LEFT(TRIM(Paramètres!K28),1)="F",1,0)))),IF(Paramètres!L28="",0,IF(Paramètres!M28="",NA(),IF(LEFT(TRIM(Paramètres!M28),1)="F",INDEX($F$491:$F$543,MATCH(Paramètres!L28,Paramètres!$G$5:$G$57,0)),INDEX($E$491:$E$543,MATCH(Paramètres!L28,Paramètres!$G$5:$G$57,0)))+IF(RIGHT(TRIM(Paramètres!M28),3)="Fin",1-$H514,IF(LEFT(TRIM(Paramètres!M28),1)="F",1,0)))),IF(Paramètres!N28="",0,IF(Paramètres!O28="",NA(),IF(LEFT(TRIM(Paramètres!O28),1)="F",INDEX($F$491:$F$543,MATCH(Paramètres!N28,Paramètres!$G$5:$G$57,0)),INDEX($E$491:$E$543,MATCH(Paramètres!N28,Paramètres!$G$5:$G$57,0)))+IF(RIGHT(TRIM(Paramètres!O28),3)="Fin",1-$H514,IF(LEFT(TRIM(Paramètres!O28),1)="F",1,0)))))))</f>
        <v/>
      </c>
      <c r="F514" s="19">
        <f>IF($A514="","",E514+$H514-1)</f>
        <v/>
      </c>
      <c r="G514" s="18" t="n"/>
      <c r="H514" s="18">
        <f>IF($A514="","",IF(I514&lt;&gt;"",I514,Paramètres!B28))</f>
        <v/>
      </c>
      <c r="I514" s="18" t="n"/>
    </row>
    <row r="515">
      <c r="A515" s="18">
        <f>IF(ISNUMBER(Dossiers!$D$13),Dossiers!$A$13&amp;" · "&amp;Dossiers!$B$13,"")</f>
        <v/>
      </c>
      <c r="B515" s="18">
        <f>IF($A515="","",Paramètres!G29)</f>
        <v/>
      </c>
      <c r="C515" s="18">
        <f>IF($A515="","",IF(Paramètres!H29="","",Paramètres!H29))</f>
        <v/>
      </c>
      <c r="D515" s="18">
        <f>IF($A515="","",IF(Paramètres!I29="","",Paramètres!I29))</f>
        <v/>
      </c>
      <c r="E515" s="19">
        <f>IF($A515="","",IF(Paramètres!J29&amp;Paramètres!L29&amp;Paramètres!N29="",Dossiers!$D$13,MAX(IF(Paramètres!J29="",0,IF(Paramètres!K29="",NA(),IF(LEFT(TRIM(Paramètres!K29),1)="F",INDEX($F$491:$F$543,MATCH(Paramètres!J29,Paramètres!$G$5:$G$57,0)),INDEX($E$491:$E$543,MATCH(Paramètres!J29,Paramètres!$G$5:$G$57,0)))+IF(RIGHT(TRIM(Paramètres!K29),3)="Fin",1-$H515,IF(LEFT(TRIM(Paramètres!K29),1)="F",1,0)))),IF(Paramètres!L29="",0,IF(Paramètres!M29="",NA(),IF(LEFT(TRIM(Paramètres!M29),1)="F",INDEX($F$491:$F$543,MATCH(Paramètres!L29,Paramètres!$G$5:$G$57,0)),INDEX($E$491:$E$543,MATCH(Paramètres!L29,Paramètres!$G$5:$G$57,0)))+IF(RIGHT(TRIM(Paramètres!M29),3)="Fin",1-$H515,IF(LEFT(TRIM(Paramètres!M29),1)="F",1,0)))),IF(Paramètres!N29="",0,IF(Paramètres!O29="",NA(),IF(LEFT(TRIM(Paramètres!O29),1)="F",INDEX($F$491:$F$543,MATCH(Paramètres!N29,Paramètres!$G$5:$G$57,0)),INDEX($E$491:$E$543,MATCH(Paramètres!N29,Paramètres!$G$5:$G$57,0)))+IF(RIGHT(TRIM(Paramètres!O29),3)="Fin",1-$H515,IF(LEFT(TRIM(Paramètres!O29),1)="F",1,0)))))))</f>
        <v/>
      </c>
      <c r="F515" s="19">
        <f>IF($A515="","",E515+$H515-1)</f>
        <v/>
      </c>
      <c r="G515" s="18" t="n"/>
      <c r="H515" s="18">
        <f>IF($A515="","",IF(I515&lt;&gt;"",I515,Paramètres!B29))</f>
        <v/>
      </c>
      <c r="I515" s="18" t="n"/>
    </row>
    <row r="516">
      <c r="A516" s="18">
        <f>IF(ISNUMBER(Dossiers!$D$13),Dossiers!$A$13&amp;" · "&amp;Dossiers!$B$13,"")</f>
        <v/>
      </c>
      <c r="B516" s="18">
        <f>IF($A516="","",Paramètres!G30)</f>
        <v/>
      </c>
      <c r="C516" s="18">
        <f>IF($A516="","",IF(Paramètres!H30="","",Paramètres!H30))</f>
        <v/>
      </c>
      <c r="D516" s="18">
        <f>IF($A516="","",IF(Paramètres!I30="","",Paramètres!I30))</f>
        <v/>
      </c>
      <c r="E516" s="19">
        <f>IF($A516="","",IF(Paramètres!J30&amp;Paramètres!L30&amp;Paramètres!N30="",Dossiers!$D$13,MAX(IF(Paramètres!J30="",0,IF(Paramètres!K30="",NA(),IF(LEFT(TRIM(Paramètres!K30),1)="F",INDEX($F$491:$F$543,MATCH(Paramètres!J30,Paramètres!$G$5:$G$57,0)),INDEX($E$491:$E$543,MATCH(Paramètres!J30,Paramètres!$G$5:$G$57,0)))+IF(RIGHT(TRIM(Paramètres!K30),3)="Fin",1-$H516,IF(LEFT(TRIM(Paramètres!K30),1)="F",1,0)))),IF(Paramètres!L30="",0,IF(Paramètres!M30="",NA(),IF(LEFT(TRIM(Paramètres!M30),1)="F",INDEX($F$491:$F$543,MATCH(Paramètres!L30,Paramètres!$G$5:$G$57,0)),INDEX($E$491:$E$543,MATCH(Paramètres!L30,Paramètres!$G$5:$G$57,0)))+IF(RIGHT(TRIM(Paramètres!M30),3)="Fin",1-$H516,IF(LEFT(TRIM(Paramètres!M30),1)="F",1,0)))),IF(Paramètres!N30="",0,IF(Paramètres!O30="",NA(),IF(LEFT(TRIM(Paramètres!O30),1)="F",INDEX($F$491:$F$543,MATCH(Paramètres!N30,Paramètres!$G$5:$G$57,0)),INDEX($E$491:$E$543,MATCH(Paramètres!N30,Paramètres!$G$5:$G$57,0)))+IF(RIGHT(TRIM(Paramètres!O30),3)="Fin",1-$H516,IF(LEFT(TRIM(Paramètres!O30),1)="F",1,0)))))))</f>
        <v/>
      </c>
      <c r="F516" s="19">
        <f>IF($A516="","",E516+$H516-1)</f>
        <v/>
      </c>
      <c r="G516" s="18" t="n"/>
      <c r="H516" s="18">
        <f>IF($A516="","",IF(I516&lt;&gt;"",I516,Paramètres!B30))</f>
        <v/>
      </c>
      <c r="I516" s="18" t="n"/>
    </row>
    <row r="517">
      <c r="A517" s="18">
        <f>IF(ISNUMBER(Dossiers!$D$13),Dossiers!$A$13&amp;" · "&amp;Dossiers!$B$13,"")</f>
        <v/>
      </c>
      <c r="B517" s="18">
        <f>IF($A517="","",Paramètres!G31)</f>
        <v/>
      </c>
      <c r="C517" s="20">
        <f>IF($A517="","",IF(Dossiers!$F$13="","",Dossiers!$F$13))</f>
        <v/>
      </c>
      <c r="D517" s="18">
        <f>IF($A517="","",IF(Paramètres!I31="","",Paramètres!I31))</f>
        <v/>
      </c>
      <c r="E517" s="19">
        <f>IF($A517="","",IF(Paramètres!J31&amp;Paramètres!L31&amp;Paramètres!N31="",Dossiers!$D$13,MAX(IF(Paramètres!J31="",0,IF(Paramètres!K31="",NA(),IF(LEFT(TRIM(Paramètres!K31),1)="F",INDEX($F$491:$F$543,MATCH(Paramètres!J31,Paramètres!$G$5:$G$57,0)),INDEX($E$491:$E$543,MATCH(Paramètres!J31,Paramètres!$G$5:$G$57,0)))+IF(RIGHT(TRIM(Paramètres!K31),3)="Fin",1-$H517,IF(LEFT(TRIM(Paramètres!K31),1)="F",1,0)))),IF(Paramètres!L31="",0,IF(Paramètres!M31="",NA(),IF(LEFT(TRIM(Paramètres!M31),1)="F",INDEX($F$491:$F$543,MATCH(Paramètres!L31,Paramètres!$G$5:$G$57,0)),INDEX($E$491:$E$543,MATCH(Paramètres!L31,Paramètres!$G$5:$G$57,0)))+IF(RIGHT(TRIM(Paramètres!M31),3)="Fin",1-$H517,IF(LEFT(TRIM(Paramètres!M31),1)="F",1,0)))),IF(Paramètres!N31="",0,IF(Paramètres!O31="",NA(),IF(LEFT(TRIM(Paramètres!O31),1)="F",INDEX($F$491:$F$543,MATCH(Paramètres!N31,Paramètres!$G$5:$G$57,0)),INDEX($E$491:$E$543,MATCH(Paramètres!N31,Paramètres!$G$5:$G$57,0)))+IF(RIGHT(TRIM(Paramètres!O31),3)="Fin",1-$H517,IF(LEFT(TRIM(Paramètres!O31),1)="F",1,0)))))))</f>
        <v/>
      </c>
      <c r="F517" s="19">
        <f>IF($A517="","",E517+$H517-1)</f>
        <v/>
      </c>
      <c r="G517" s="18" t="n"/>
      <c r="H517" s="18">
        <f>IF($A517="","",IF(I517&lt;&gt;"",I517,Paramètres!B31))</f>
        <v/>
      </c>
      <c r="I517" s="18" t="n"/>
    </row>
    <row r="518">
      <c r="A518" s="18">
        <f>IF(ISNUMBER(Dossiers!$D$13),Dossiers!$A$13&amp;" · "&amp;Dossiers!$B$13,"")</f>
        <v/>
      </c>
      <c r="B518" s="18">
        <f>IF($A518="","",Paramètres!G32)</f>
        <v/>
      </c>
      <c r="C518" s="18">
        <f>IF($A518="","",IF(Paramètres!H32="","",Paramètres!H32))</f>
        <v/>
      </c>
      <c r="D518" s="18">
        <f>IF($A518="","",IF(Paramètres!I32="","",Paramètres!I32))</f>
        <v/>
      </c>
      <c r="E518" s="19">
        <f>IF($A518="","",MIN(E519:E522))</f>
        <v/>
      </c>
      <c r="F518" s="19">
        <f>IF($A518="","",MAX(F519:F522))</f>
        <v/>
      </c>
      <c r="G518" s="18" t="n"/>
      <c r="H518" s="18">
        <f>IF($A518="","",F518-E518+1)</f>
        <v/>
      </c>
      <c r="I518" s="18" t="n"/>
    </row>
    <row r="519">
      <c r="A519" s="18">
        <f>IF(ISNUMBER(Dossiers!$D$13),Dossiers!$A$13&amp;" · "&amp;Dossiers!$B$13,"")</f>
        <v/>
      </c>
      <c r="B519" s="18">
        <f>IF($A519="","",Paramètres!G33)</f>
        <v/>
      </c>
      <c r="C519" s="18">
        <f>IF($A519="","",IF(Paramètres!H33="","",Paramètres!H33))</f>
        <v/>
      </c>
      <c r="D519" s="18">
        <f>IF($A519="","",IF(Paramètres!I33="","",Paramètres!I33))</f>
        <v/>
      </c>
      <c r="E519" s="19">
        <f>IF($A519="","",IF(Paramètres!J33&amp;Paramètres!L33&amp;Paramètres!N33="",Dossiers!$D$13,MAX(IF(Paramètres!J33="",0,IF(Paramètres!K33="",NA(),IF(LEFT(TRIM(Paramètres!K33),1)="F",INDEX($F$491:$F$543,MATCH(Paramètres!J33,Paramètres!$G$5:$G$57,0)),INDEX($E$491:$E$543,MATCH(Paramètres!J33,Paramètres!$G$5:$G$57,0)))+IF(RIGHT(TRIM(Paramètres!K33),3)="Fin",1-$H519,IF(LEFT(TRIM(Paramètres!K33),1)="F",1,0)))),IF(Paramètres!L33="",0,IF(Paramètres!M33="",NA(),IF(LEFT(TRIM(Paramètres!M33),1)="F",INDEX($F$491:$F$543,MATCH(Paramètres!L33,Paramètres!$G$5:$G$57,0)),INDEX($E$491:$E$543,MATCH(Paramètres!L33,Paramètres!$G$5:$G$57,0)))+IF(RIGHT(TRIM(Paramètres!M33),3)="Fin",1-$H519,IF(LEFT(TRIM(Paramètres!M33),1)="F",1,0)))),IF(Paramètres!N33="",0,IF(Paramètres!O33="",NA(),IF(LEFT(TRIM(Paramètres!O33),1)="F",INDEX($F$491:$F$543,MATCH(Paramètres!N33,Paramètres!$G$5:$G$57,0)),INDEX($E$491:$E$543,MATCH(Paramètres!N33,Paramètres!$G$5:$G$57,0)))+IF(RIGHT(TRIM(Paramètres!O33),3)="Fin",1-$H519,IF(LEFT(TRIM(Paramètres!O33),1)="F",1,0)))))))</f>
        <v/>
      </c>
      <c r="F519" s="19">
        <f>IF($A519="","",E519+$H519-1)</f>
        <v/>
      </c>
      <c r="G519" s="18" t="n"/>
      <c r="H519" s="18">
        <f>IF($A519="","",IF(I519&lt;&gt;"",I519,Paramètres!B33))</f>
        <v/>
      </c>
      <c r="I519" s="18" t="n"/>
    </row>
    <row r="520">
      <c r="A520" s="18">
        <f>IF(ISNUMBER(Dossiers!$D$13),Dossiers!$A$13&amp;" · "&amp;Dossiers!$B$13,"")</f>
        <v/>
      </c>
      <c r="B520" s="18">
        <f>IF($A520="","",Paramètres!G34)</f>
        <v/>
      </c>
      <c r="C520" s="18">
        <f>IF($A520="","",IF(Paramètres!H34="","",Paramètres!H34))</f>
        <v/>
      </c>
      <c r="D520" s="18">
        <f>IF($A520="","",IF(Paramètres!I34="","",Paramètres!I34))</f>
        <v/>
      </c>
      <c r="E520" s="19">
        <f>IF($A520="","",IF(Paramètres!J34&amp;Paramètres!L34&amp;Paramètres!N34="",Dossiers!$D$13,MAX(IF(Paramètres!J34="",0,IF(Paramètres!K34="",NA(),IF(LEFT(TRIM(Paramètres!K34),1)="F",INDEX($F$491:$F$543,MATCH(Paramètres!J34,Paramètres!$G$5:$G$57,0)),INDEX($E$491:$E$543,MATCH(Paramètres!J34,Paramètres!$G$5:$G$57,0)))+IF(RIGHT(TRIM(Paramètres!K34),3)="Fin",1-$H520,IF(LEFT(TRIM(Paramètres!K34),1)="F",1,0)))),IF(Paramètres!L34="",0,IF(Paramètres!M34="",NA(),IF(LEFT(TRIM(Paramètres!M34),1)="F",INDEX($F$491:$F$543,MATCH(Paramètres!L34,Paramètres!$G$5:$G$57,0)),INDEX($E$491:$E$543,MATCH(Paramètres!L34,Paramètres!$G$5:$G$57,0)))+IF(RIGHT(TRIM(Paramètres!M34),3)="Fin",1-$H520,IF(LEFT(TRIM(Paramètres!M34),1)="F",1,0)))),IF(Paramètres!N34="",0,IF(Paramètres!O34="",NA(),IF(LEFT(TRIM(Paramètres!O34),1)="F",INDEX($F$491:$F$543,MATCH(Paramètres!N34,Paramètres!$G$5:$G$57,0)),INDEX($E$491:$E$543,MATCH(Paramètres!N34,Paramètres!$G$5:$G$57,0)))+IF(RIGHT(TRIM(Paramètres!O34),3)="Fin",1-$H520,IF(LEFT(TRIM(Paramètres!O34),1)="F",1,0)))))))</f>
        <v/>
      </c>
      <c r="F520" s="19">
        <f>IF($A520="","",E520+$H520-1)</f>
        <v/>
      </c>
      <c r="G520" s="18" t="n"/>
      <c r="H520" s="18">
        <f>IF($A520="","",IF(I520&lt;&gt;"",I520,Paramètres!B34))</f>
        <v/>
      </c>
      <c r="I520" s="18" t="n"/>
    </row>
    <row r="521">
      <c r="A521" s="18">
        <f>IF(ISNUMBER(Dossiers!$D$13),Dossiers!$A$13&amp;" · "&amp;Dossiers!$B$13,"")</f>
        <v/>
      </c>
      <c r="B521" s="18">
        <f>IF($A521="","",Paramètres!G35)</f>
        <v/>
      </c>
      <c r="C521" s="18">
        <f>IF($A521="","",IF(Paramètres!H35="","",Paramètres!H35))</f>
        <v/>
      </c>
      <c r="D521" s="18">
        <f>IF($A521="","",IF(Paramètres!I35="","",Paramètres!I35))</f>
        <v/>
      </c>
      <c r="E521" s="19">
        <f>IF($A521="","",IF(Paramètres!J35&amp;Paramètres!L35&amp;Paramètres!N35="",Dossiers!$D$13,MAX(IF(Paramètres!J35="",0,IF(Paramètres!K35="",NA(),IF(LEFT(TRIM(Paramètres!K35),1)="F",INDEX($F$491:$F$543,MATCH(Paramètres!J35,Paramètres!$G$5:$G$57,0)),INDEX($E$491:$E$543,MATCH(Paramètres!J35,Paramètres!$G$5:$G$57,0)))+IF(RIGHT(TRIM(Paramètres!K35),3)="Fin",1-$H521,IF(LEFT(TRIM(Paramètres!K35),1)="F",1,0)))),IF(Paramètres!L35="",0,IF(Paramètres!M35="",NA(),IF(LEFT(TRIM(Paramètres!M35),1)="F",INDEX($F$491:$F$543,MATCH(Paramètres!L35,Paramètres!$G$5:$G$57,0)),INDEX($E$491:$E$543,MATCH(Paramètres!L35,Paramètres!$G$5:$G$57,0)))+IF(RIGHT(TRIM(Paramètres!M35),3)="Fin",1-$H521,IF(LEFT(TRIM(Paramètres!M35),1)="F",1,0)))),IF(Paramètres!N35="",0,IF(Paramètres!O35="",NA(),IF(LEFT(TRIM(Paramètres!O35),1)="F",INDEX($F$491:$F$543,MATCH(Paramètres!N35,Paramètres!$G$5:$G$57,0)),INDEX($E$491:$E$543,MATCH(Paramètres!N35,Paramètres!$G$5:$G$57,0)))+IF(RIGHT(TRIM(Paramètres!O35),3)="Fin",1-$H521,IF(LEFT(TRIM(Paramètres!O35),1)="F",1,0)))))))</f>
        <v/>
      </c>
      <c r="F521" s="19">
        <f>IF($A521="","",E521+$H521-1)</f>
        <v/>
      </c>
      <c r="G521" s="18" t="n"/>
      <c r="H521" s="18">
        <f>IF($A521="","",IF(I521&lt;&gt;"",I521,Paramètres!B35))</f>
        <v/>
      </c>
      <c r="I521" s="18" t="n"/>
    </row>
    <row r="522">
      <c r="A522" s="18">
        <f>IF(ISNUMBER(Dossiers!$D$13),Dossiers!$A$13&amp;" · "&amp;Dossiers!$B$13,"")</f>
        <v/>
      </c>
      <c r="B522" s="18">
        <f>IF($A522="","",Paramètres!G36)</f>
        <v/>
      </c>
      <c r="C522" s="18">
        <f>IF($A522="","",IF(Paramètres!H36="","",Paramètres!H36))</f>
        <v/>
      </c>
      <c r="D522" s="18">
        <f>IF($A522="","",IF(Paramètres!I36="","",Paramètres!I36))</f>
        <v/>
      </c>
      <c r="E522" s="19">
        <f>IF($A522="","",IF(Paramètres!J36&amp;Paramètres!L36&amp;Paramètres!N36="",Dossiers!$D$13,MAX(IF(Paramètres!J36="",0,IF(Paramètres!K36="",NA(),IF(LEFT(TRIM(Paramètres!K36),1)="F",INDEX($F$491:$F$543,MATCH(Paramètres!J36,Paramètres!$G$5:$G$57,0)),INDEX($E$491:$E$543,MATCH(Paramètres!J36,Paramètres!$G$5:$G$57,0)))+IF(RIGHT(TRIM(Paramètres!K36),3)="Fin",1-$H522,IF(LEFT(TRIM(Paramètres!K36),1)="F",1,0)))),IF(Paramètres!L36="",0,IF(Paramètres!M36="",NA(),IF(LEFT(TRIM(Paramètres!M36),1)="F",INDEX($F$491:$F$543,MATCH(Paramètres!L36,Paramètres!$G$5:$G$57,0)),INDEX($E$491:$E$543,MATCH(Paramètres!L36,Paramètres!$G$5:$G$57,0)))+IF(RIGHT(TRIM(Paramètres!M36),3)="Fin",1-$H522,IF(LEFT(TRIM(Paramètres!M36),1)="F",1,0)))),IF(Paramètres!N36="",0,IF(Paramètres!O36="",NA(),IF(LEFT(TRIM(Paramètres!O36),1)="F",INDEX($F$491:$F$543,MATCH(Paramètres!N36,Paramètres!$G$5:$G$57,0)),INDEX($E$491:$E$543,MATCH(Paramètres!N36,Paramètres!$G$5:$G$57,0)))+IF(RIGHT(TRIM(Paramètres!O36),3)="Fin",1-$H522,IF(LEFT(TRIM(Paramètres!O36),1)="F",1,0)))))))</f>
        <v/>
      </c>
      <c r="F522" s="19">
        <f>IF($A522="","",E522+$H522-1)</f>
        <v/>
      </c>
      <c r="G522" s="18" t="n"/>
      <c r="H522" s="18">
        <f>IF($A522="","",IF(I522&lt;&gt;"",I522,Paramètres!B36))</f>
        <v/>
      </c>
      <c r="I522" s="18" t="n"/>
    </row>
    <row r="523">
      <c r="A523" s="18">
        <f>IF(ISNUMBER(Dossiers!$D$13),Dossiers!$A$13&amp;" · "&amp;Dossiers!$B$13,"")</f>
        <v/>
      </c>
      <c r="B523" s="18">
        <f>IF($A523="","",Paramètres!G37)</f>
        <v/>
      </c>
      <c r="C523" s="18">
        <f>IF($A523="","",IF(Paramètres!H37="","",Paramètres!H37))</f>
        <v/>
      </c>
      <c r="D523" s="18">
        <f>IF($A523="","",IF(Paramètres!I37="","",Paramètres!I37))</f>
        <v/>
      </c>
      <c r="E523" s="19">
        <f>IF($A523="","",MIN(E524:E541))</f>
        <v/>
      </c>
      <c r="F523" s="19">
        <f>IF($A523="","",MAX(F524:F541))</f>
        <v/>
      </c>
      <c r="G523" s="18" t="n"/>
      <c r="H523" s="18">
        <f>IF($A523="","",F523-E523+1)</f>
        <v/>
      </c>
      <c r="I523" s="18" t="n"/>
    </row>
    <row r="524">
      <c r="A524" s="18">
        <f>IF(ISNUMBER(Dossiers!$D$13),Dossiers!$A$13&amp;" · "&amp;Dossiers!$B$13,"")</f>
        <v/>
      </c>
      <c r="B524" s="18">
        <f>IF($A524="","",Paramètres!G38)</f>
        <v/>
      </c>
      <c r="C524" s="18">
        <f>IF($A524="","",IF(Paramètres!H38="","",Paramètres!H38))</f>
        <v/>
      </c>
      <c r="D524" s="18">
        <f>IF($A524="","",IF(Paramètres!I38="","",Paramètres!I38))</f>
        <v/>
      </c>
      <c r="E524" s="19">
        <f>IF($A524="","",IF(Paramètres!J38&amp;Paramètres!L38&amp;Paramètres!N38="",Dossiers!$D$13,MAX(IF(Paramètres!J38="",0,IF(Paramètres!K38="",NA(),IF(LEFT(TRIM(Paramètres!K38),1)="F",INDEX($F$491:$F$543,MATCH(Paramètres!J38,Paramètres!$G$5:$G$57,0)),INDEX($E$491:$E$543,MATCH(Paramètres!J38,Paramètres!$G$5:$G$57,0)))+IF(RIGHT(TRIM(Paramètres!K38),3)="Fin",1-$H524,IF(LEFT(TRIM(Paramètres!K38),1)="F",1,0)))),IF(Paramètres!L38="",0,IF(Paramètres!M38="",NA(),IF(LEFT(TRIM(Paramètres!M38),1)="F",INDEX($F$491:$F$543,MATCH(Paramètres!L38,Paramètres!$G$5:$G$57,0)),INDEX($E$491:$E$543,MATCH(Paramètres!L38,Paramètres!$G$5:$G$57,0)))+IF(RIGHT(TRIM(Paramètres!M38),3)="Fin",1-$H524,IF(LEFT(TRIM(Paramètres!M38),1)="F",1,0)))),IF(Paramètres!N38="",0,IF(Paramètres!O38="",NA(),IF(LEFT(TRIM(Paramètres!O38),1)="F",INDEX($F$491:$F$543,MATCH(Paramètres!N38,Paramètres!$G$5:$G$57,0)),INDEX($E$491:$E$543,MATCH(Paramètres!N38,Paramètres!$G$5:$G$57,0)))+IF(RIGHT(TRIM(Paramètres!O38),3)="Fin",1-$H524,IF(LEFT(TRIM(Paramètres!O38),1)="F",1,0)))))))</f>
        <v/>
      </c>
      <c r="F524" s="19">
        <f>IF($A524="","",E524+$H524-1)</f>
        <v/>
      </c>
      <c r="G524" s="18" t="n"/>
      <c r="H524" s="18">
        <f>IF($A524="","",IF(I524&lt;&gt;"",I524,Paramètres!B38))</f>
        <v/>
      </c>
      <c r="I524" s="18" t="n"/>
    </row>
    <row r="525">
      <c r="A525" s="18">
        <f>IF(ISNUMBER(Dossiers!$D$13),Dossiers!$A$13&amp;" · "&amp;Dossiers!$B$13,"")</f>
        <v/>
      </c>
      <c r="B525" s="18">
        <f>IF($A525="","",Paramètres!G39)</f>
        <v/>
      </c>
      <c r="C525" s="18">
        <f>IF($A525="","",IF(Paramètres!H39="","",Paramètres!H39))</f>
        <v/>
      </c>
      <c r="D525" s="18">
        <f>IF($A525="","",IF(Paramètres!I39="","",Paramètres!I39))</f>
        <v/>
      </c>
      <c r="E525" s="19">
        <f>IF($A525="","",IF(Paramètres!J39&amp;Paramètres!L39&amp;Paramètres!N39="",Dossiers!$D$13,MAX(IF(Paramètres!J39="",0,IF(Paramètres!K39="",NA(),IF(LEFT(TRIM(Paramètres!K39),1)="F",INDEX($F$491:$F$543,MATCH(Paramètres!J39,Paramètres!$G$5:$G$57,0)),INDEX($E$491:$E$543,MATCH(Paramètres!J39,Paramètres!$G$5:$G$57,0)))+IF(RIGHT(TRIM(Paramètres!K39),3)="Fin",1-$H525,IF(LEFT(TRIM(Paramètres!K39),1)="F",1,0)))),IF(Paramètres!L39="",0,IF(Paramètres!M39="",NA(),IF(LEFT(TRIM(Paramètres!M39),1)="F",INDEX($F$491:$F$543,MATCH(Paramètres!L39,Paramètres!$G$5:$G$57,0)),INDEX($E$491:$E$543,MATCH(Paramètres!L39,Paramètres!$G$5:$G$57,0)))+IF(RIGHT(TRIM(Paramètres!M39),3)="Fin",1-$H525,IF(LEFT(TRIM(Paramètres!M39),1)="F",1,0)))),IF(Paramètres!N39="",0,IF(Paramètres!O39="",NA(),IF(LEFT(TRIM(Paramètres!O39),1)="F",INDEX($F$491:$F$543,MATCH(Paramètres!N39,Paramètres!$G$5:$G$57,0)),INDEX($E$491:$E$543,MATCH(Paramètres!N39,Paramètres!$G$5:$G$57,0)))+IF(RIGHT(TRIM(Paramètres!O39),3)="Fin",1-$H525,IF(LEFT(TRIM(Paramètres!O39),1)="F",1,0)))))))</f>
        <v/>
      </c>
      <c r="F525" s="19">
        <f>IF($A525="","",E525+$H525-1)</f>
        <v/>
      </c>
      <c r="G525" s="18" t="n"/>
      <c r="H525" s="18">
        <f>IF($A525="","",IF(I525&lt;&gt;"",I525,Paramètres!B39))</f>
        <v/>
      </c>
      <c r="I525" s="18" t="n"/>
    </row>
    <row r="526">
      <c r="A526" s="18">
        <f>IF(ISNUMBER(Dossiers!$D$13),Dossiers!$A$13&amp;" · "&amp;Dossiers!$B$13,"")</f>
        <v/>
      </c>
      <c r="B526" s="18">
        <f>IF($A526="","",Paramètres!G40)</f>
        <v/>
      </c>
      <c r="C526" s="18">
        <f>IF($A526="","",IF(Paramètres!H40="","",Paramètres!H40))</f>
        <v/>
      </c>
      <c r="D526" s="18">
        <f>IF($A526="","",IF(Paramètres!I40="","",Paramètres!I40))</f>
        <v/>
      </c>
      <c r="E526" s="19">
        <f>IF($A526="","",IF(Paramètres!J40&amp;Paramètres!L40&amp;Paramètres!N40="",Dossiers!$D$13,MAX(IF(Paramètres!J40="",0,IF(Paramètres!K40="",NA(),IF(LEFT(TRIM(Paramètres!K40),1)="F",INDEX($F$491:$F$543,MATCH(Paramètres!J40,Paramètres!$G$5:$G$57,0)),INDEX($E$491:$E$543,MATCH(Paramètres!J40,Paramètres!$G$5:$G$57,0)))+IF(RIGHT(TRIM(Paramètres!K40),3)="Fin",1-$H526,IF(LEFT(TRIM(Paramètres!K40),1)="F",1,0)))),IF(Paramètres!L40="",0,IF(Paramètres!M40="",NA(),IF(LEFT(TRIM(Paramètres!M40),1)="F",INDEX($F$491:$F$543,MATCH(Paramètres!L40,Paramètres!$G$5:$G$57,0)),INDEX($E$491:$E$543,MATCH(Paramètres!L40,Paramètres!$G$5:$G$57,0)))+IF(RIGHT(TRIM(Paramètres!M40),3)="Fin",1-$H526,IF(LEFT(TRIM(Paramètres!M40),1)="F",1,0)))),IF(Paramètres!N40="",0,IF(Paramètres!O40="",NA(),IF(LEFT(TRIM(Paramètres!O40),1)="F",INDEX($F$491:$F$543,MATCH(Paramètres!N40,Paramètres!$G$5:$G$57,0)),INDEX($E$491:$E$543,MATCH(Paramètres!N40,Paramètres!$G$5:$G$57,0)))+IF(RIGHT(TRIM(Paramètres!O40),3)="Fin",1-$H526,IF(LEFT(TRIM(Paramètres!O40),1)="F",1,0)))))))</f>
        <v/>
      </c>
      <c r="F526" s="19">
        <f>IF($A526="","",E526+$H526-1)</f>
        <v/>
      </c>
      <c r="G526" s="18" t="n"/>
      <c r="H526" s="18">
        <f>IF($A526="","",IF(I526&lt;&gt;"",I526,Paramètres!B40))</f>
        <v/>
      </c>
      <c r="I526" s="18" t="n"/>
    </row>
    <row r="527">
      <c r="A527" s="18">
        <f>IF(ISNUMBER(Dossiers!$D$13),Dossiers!$A$13&amp;" · "&amp;Dossiers!$B$13,"")</f>
        <v/>
      </c>
      <c r="B527" s="18">
        <f>IF($A527="","",Paramètres!G41)</f>
        <v/>
      </c>
      <c r="C527" s="18">
        <f>IF($A527="","",IF(Paramètres!H41="","",Paramètres!H41))</f>
        <v/>
      </c>
      <c r="D527" s="18">
        <f>IF($A527="","",IF(Paramètres!I41="","",Paramètres!I41))</f>
        <v/>
      </c>
      <c r="E527" s="19">
        <f>IF($A527="","",IF(Paramètres!J41&amp;Paramètres!L41&amp;Paramètres!N41="",Dossiers!$D$13,MAX(IF(Paramètres!J41="",0,IF(Paramètres!K41="",NA(),IF(LEFT(TRIM(Paramètres!K41),1)="F",INDEX($F$491:$F$543,MATCH(Paramètres!J41,Paramètres!$G$5:$G$57,0)),INDEX($E$491:$E$543,MATCH(Paramètres!J41,Paramètres!$G$5:$G$57,0)))+IF(RIGHT(TRIM(Paramètres!K41),3)="Fin",1-$H527,IF(LEFT(TRIM(Paramètres!K41),1)="F",1,0)))),IF(Paramètres!L41="",0,IF(Paramètres!M41="",NA(),IF(LEFT(TRIM(Paramètres!M41),1)="F",INDEX($F$491:$F$543,MATCH(Paramètres!L41,Paramètres!$G$5:$G$57,0)),INDEX($E$491:$E$543,MATCH(Paramètres!L41,Paramètres!$G$5:$G$57,0)))+IF(RIGHT(TRIM(Paramètres!M41),3)="Fin",1-$H527,IF(LEFT(TRIM(Paramètres!M41),1)="F",1,0)))),IF(Paramètres!N41="",0,IF(Paramètres!O41="",NA(),IF(LEFT(TRIM(Paramètres!O41),1)="F",INDEX($F$491:$F$543,MATCH(Paramètres!N41,Paramètres!$G$5:$G$57,0)),INDEX($E$491:$E$543,MATCH(Paramètres!N41,Paramètres!$G$5:$G$57,0)))+IF(RIGHT(TRIM(Paramètres!O41),3)="Fin",1-$H527,IF(LEFT(TRIM(Paramètres!O41),1)="F",1,0)))))))</f>
        <v/>
      </c>
      <c r="F527" s="19">
        <f>IF($A527="","",E527+$H527-1)</f>
        <v/>
      </c>
      <c r="G527" s="18" t="n"/>
      <c r="H527" s="18">
        <f>IF($A527="","",IF(I527&lt;&gt;"",I527,Paramètres!B41))</f>
        <v/>
      </c>
      <c r="I527" s="18" t="n"/>
    </row>
    <row r="528">
      <c r="A528" s="18">
        <f>IF(ISNUMBER(Dossiers!$D$13),Dossiers!$A$13&amp;" · "&amp;Dossiers!$B$13,"")</f>
        <v/>
      </c>
      <c r="B528" s="18">
        <f>IF($A528="","",Paramètres!G42)</f>
        <v/>
      </c>
      <c r="C528" s="18">
        <f>IF($A528="","",IF(Paramètres!H42="","",Paramètres!H42))</f>
        <v/>
      </c>
      <c r="D528" s="18">
        <f>IF($A528="","",IF(Paramètres!I42="","",Paramètres!I42))</f>
        <v/>
      </c>
      <c r="E528" s="19">
        <f>IF($A528="","",IF(Paramètres!J42&amp;Paramètres!L42&amp;Paramètres!N42="",Dossiers!$D$13,MAX(IF(Paramètres!J42="",0,IF(Paramètres!K42="",NA(),IF(LEFT(TRIM(Paramètres!K42),1)="F",INDEX($F$491:$F$543,MATCH(Paramètres!J42,Paramètres!$G$5:$G$57,0)),INDEX($E$491:$E$543,MATCH(Paramètres!J42,Paramètres!$G$5:$G$57,0)))+IF(RIGHT(TRIM(Paramètres!K42),3)="Fin",1-$H528,IF(LEFT(TRIM(Paramètres!K42),1)="F",1,0)))),IF(Paramètres!L42="",0,IF(Paramètres!M42="",NA(),IF(LEFT(TRIM(Paramètres!M42),1)="F",INDEX($F$491:$F$543,MATCH(Paramètres!L42,Paramètres!$G$5:$G$57,0)),INDEX($E$491:$E$543,MATCH(Paramètres!L42,Paramètres!$G$5:$G$57,0)))+IF(RIGHT(TRIM(Paramètres!M42),3)="Fin",1-$H528,IF(LEFT(TRIM(Paramètres!M42),1)="F",1,0)))),IF(Paramètres!N42="",0,IF(Paramètres!O42="",NA(),IF(LEFT(TRIM(Paramètres!O42),1)="F",INDEX($F$491:$F$543,MATCH(Paramètres!N42,Paramètres!$G$5:$G$57,0)),INDEX($E$491:$E$543,MATCH(Paramètres!N42,Paramètres!$G$5:$G$57,0)))+IF(RIGHT(TRIM(Paramètres!O42),3)="Fin",1-$H528,IF(LEFT(TRIM(Paramètres!O42),1)="F",1,0)))))))</f>
        <v/>
      </c>
      <c r="F528" s="19">
        <f>IF($A528="","",E528+$H528-1)</f>
        <v/>
      </c>
      <c r="G528" s="18" t="n"/>
      <c r="H528" s="18">
        <f>IF($A528="","",IF(I528&lt;&gt;"",I528,Paramètres!B42))</f>
        <v/>
      </c>
      <c r="I528" s="18" t="n"/>
    </row>
    <row r="529">
      <c r="A529" s="18">
        <f>IF(ISNUMBER(Dossiers!$D$13),Dossiers!$A$13&amp;" · "&amp;Dossiers!$B$13,"")</f>
        <v/>
      </c>
      <c r="B529" s="18">
        <f>IF($A529="","",Paramètres!G43)</f>
        <v/>
      </c>
      <c r="C529" s="18">
        <f>IF($A529="","",IF(Paramètres!H43="","",Paramètres!H43))</f>
        <v/>
      </c>
      <c r="D529" s="18">
        <f>IF($A529="","",IF(Paramètres!I43="","",Paramètres!I43))</f>
        <v/>
      </c>
      <c r="E529" s="19">
        <f>IF($A529="","",IF(Paramètres!J43&amp;Paramètres!L43&amp;Paramètres!N43="",Dossiers!$D$13,MAX(IF(Paramètres!J43="",0,IF(Paramètres!K43="",NA(),IF(LEFT(TRIM(Paramètres!K43),1)="F",INDEX($F$491:$F$543,MATCH(Paramètres!J43,Paramètres!$G$5:$G$57,0)),INDEX($E$491:$E$543,MATCH(Paramètres!J43,Paramètres!$G$5:$G$57,0)))+IF(RIGHT(TRIM(Paramètres!K43),3)="Fin",1-$H529,IF(LEFT(TRIM(Paramètres!K43),1)="F",1,0)))),IF(Paramètres!L43="",0,IF(Paramètres!M43="",NA(),IF(LEFT(TRIM(Paramètres!M43),1)="F",INDEX($F$491:$F$543,MATCH(Paramètres!L43,Paramètres!$G$5:$G$57,0)),INDEX($E$491:$E$543,MATCH(Paramètres!L43,Paramètres!$G$5:$G$57,0)))+IF(RIGHT(TRIM(Paramètres!M43),3)="Fin",1-$H529,IF(LEFT(TRIM(Paramètres!M43),1)="F",1,0)))),IF(Paramètres!N43="",0,IF(Paramètres!O43="",NA(),IF(LEFT(TRIM(Paramètres!O43),1)="F",INDEX($F$491:$F$543,MATCH(Paramètres!N43,Paramètres!$G$5:$G$57,0)),INDEX($E$491:$E$543,MATCH(Paramètres!N43,Paramètres!$G$5:$G$57,0)))+IF(RIGHT(TRIM(Paramètres!O43),3)="Fin",1-$H529,IF(LEFT(TRIM(Paramètres!O43),1)="F",1,0)))))))</f>
        <v/>
      </c>
      <c r="F529" s="19">
        <f>IF($A529="","",E529+$H529-1)</f>
        <v/>
      </c>
      <c r="G529" s="18" t="n"/>
      <c r="H529" s="18">
        <f>IF($A529="","",IF(I529&lt;&gt;"",I529,Paramètres!B43))</f>
        <v/>
      </c>
      <c r="I529" s="18" t="n"/>
    </row>
    <row r="530">
      <c r="A530" s="18">
        <f>IF(ISNUMBER(Dossiers!$D$13),Dossiers!$A$13&amp;" · "&amp;Dossiers!$B$13,"")</f>
        <v/>
      </c>
      <c r="B530" s="18">
        <f>IF($A530="","",Paramètres!G44)</f>
        <v/>
      </c>
      <c r="C530" s="18">
        <f>IF($A530="","",IF(Paramètres!H44="","",Paramètres!H44))</f>
        <v/>
      </c>
      <c r="D530" s="18">
        <f>IF($A530="","",IF(Paramètres!I44="","",Paramètres!I44))</f>
        <v/>
      </c>
      <c r="E530" s="19">
        <f>IF($A530="","",IF(Paramètres!J44&amp;Paramètres!L44&amp;Paramètres!N44="",Dossiers!$D$13,MAX(IF(Paramètres!J44="",0,IF(Paramètres!K44="",NA(),IF(LEFT(TRIM(Paramètres!K44),1)="F",INDEX($F$491:$F$543,MATCH(Paramètres!J44,Paramètres!$G$5:$G$57,0)),INDEX($E$491:$E$543,MATCH(Paramètres!J44,Paramètres!$G$5:$G$57,0)))+IF(RIGHT(TRIM(Paramètres!K44),3)="Fin",1-$H530,IF(LEFT(TRIM(Paramètres!K44),1)="F",1,0)))),IF(Paramètres!L44="",0,IF(Paramètres!M44="",NA(),IF(LEFT(TRIM(Paramètres!M44),1)="F",INDEX($F$491:$F$543,MATCH(Paramètres!L44,Paramètres!$G$5:$G$57,0)),INDEX($E$491:$E$543,MATCH(Paramètres!L44,Paramètres!$G$5:$G$57,0)))+IF(RIGHT(TRIM(Paramètres!M44),3)="Fin",1-$H530,IF(LEFT(TRIM(Paramètres!M44),1)="F",1,0)))),IF(Paramètres!N44="",0,IF(Paramètres!O44="",NA(),IF(LEFT(TRIM(Paramètres!O44),1)="F",INDEX($F$491:$F$543,MATCH(Paramètres!N44,Paramètres!$G$5:$G$57,0)),INDEX($E$491:$E$543,MATCH(Paramètres!N44,Paramètres!$G$5:$G$57,0)))+IF(RIGHT(TRIM(Paramètres!O44),3)="Fin",1-$H530,IF(LEFT(TRIM(Paramètres!O44),1)="F",1,0)))))))</f>
        <v/>
      </c>
      <c r="F530" s="19">
        <f>IF($A530="","",E530+$H530-1)</f>
        <v/>
      </c>
      <c r="G530" s="18" t="n"/>
      <c r="H530" s="18">
        <f>IF($A530="","",IF(I530&lt;&gt;"",I530,Paramètres!B44))</f>
        <v/>
      </c>
      <c r="I530" s="18" t="n"/>
    </row>
    <row r="531">
      <c r="A531" s="18">
        <f>IF(ISNUMBER(Dossiers!$D$13),Dossiers!$A$13&amp;" · "&amp;Dossiers!$B$13,"")</f>
        <v/>
      </c>
      <c r="B531" s="18">
        <f>IF($A531="","",Paramètres!G45)</f>
        <v/>
      </c>
      <c r="C531" s="20">
        <f>IF($A531="","",IF(Dossiers!$G$13="","",Dossiers!$G$13))</f>
        <v/>
      </c>
      <c r="D531" s="18">
        <f>IF($A531="","",IF(Paramètres!I45="","",Paramètres!I45))</f>
        <v/>
      </c>
      <c r="E531" s="19">
        <f>IF($A531="","",IF(Paramètres!J45&amp;Paramètres!L45&amp;Paramètres!N45="",Dossiers!$D$13,MAX(IF(Paramètres!J45="",0,IF(Paramètres!K45="",NA(),IF(LEFT(TRIM(Paramètres!K45),1)="F",INDEX($F$491:$F$543,MATCH(Paramètres!J45,Paramètres!$G$5:$G$57,0)),INDEX($E$491:$E$543,MATCH(Paramètres!J45,Paramètres!$G$5:$G$57,0)))+IF(RIGHT(TRIM(Paramètres!K45),3)="Fin",1-$H531,IF(LEFT(TRIM(Paramètres!K45),1)="F",1,0)))),IF(Paramètres!L45="",0,IF(Paramètres!M45="",NA(),IF(LEFT(TRIM(Paramètres!M45),1)="F",INDEX($F$491:$F$543,MATCH(Paramètres!L45,Paramètres!$G$5:$G$57,0)),INDEX($E$491:$E$543,MATCH(Paramètres!L45,Paramètres!$G$5:$G$57,0)))+IF(RIGHT(TRIM(Paramètres!M45),3)="Fin",1-$H531,IF(LEFT(TRIM(Paramètres!M45),1)="F",1,0)))),IF(Paramètres!N45="",0,IF(Paramètres!O45="",NA(),IF(LEFT(TRIM(Paramètres!O45),1)="F",INDEX($F$491:$F$543,MATCH(Paramètres!N45,Paramètres!$G$5:$G$57,0)),INDEX($E$491:$E$543,MATCH(Paramètres!N45,Paramètres!$G$5:$G$57,0)))+IF(RIGHT(TRIM(Paramètres!O45),3)="Fin",1-$H531,IF(LEFT(TRIM(Paramètres!O45),1)="F",1,0)))))))</f>
        <v/>
      </c>
      <c r="F531" s="19">
        <f>IF($A531="","",E531+$H531-1)</f>
        <v/>
      </c>
      <c r="G531" s="18" t="n"/>
      <c r="H531" s="18">
        <f>IF($A531="","",IF(I531&lt;&gt;"",I531,Paramètres!B45))</f>
        <v/>
      </c>
      <c r="I531" s="18" t="n"/>
    </row>
    <row r="532">
      <c r="A532" s="18">
        <f>IF(ISNUMBER(Dossiers!$D$13),Dossiers!$A$13&amp;" · "&amp;Dossiers!$B$13,"")</f>
        <v/>
      </c>
      <c r="B532" s="18">
        <f>IF($A532="","",Paramètres!G46)</f>
        <v/>
      </c>
      <c r="C532" s="18">
        <f>IF($A532="","",IF(Paramètres!H46="","",Paramètres!H46))</f>
        <v/>
      </c>
      <c r="D532" s="18">
        <f>IF($A532="","",IF(Paramètres!I46="","",Paramètres!I46))</f>
        <v/>
      </c>
      <c r="E532" s="19">
        <f>IF($A532="","",IF(Paramètres!J46&amp;Paramètres!L46&amp;Paramètres!N46="",Dossiers!$D$13,MAX(IF(Paramètres!J46="",0,IF(Paramètres!K46="",NA(),IF(LEFT(TRIM(Paramètres!K46),1)="F",INDEX($F$491:$F$543,MATCH(Paramètres!J46,Paramètres!$G$5:$G$57,0)),INDEX($E$491:$E$543,MATCH(Paramètres!J46,Paramètres!$G$5:$G$57,0)))+IF(RIGHT(TRIM(Paramètres!K46),3)="Fin",1-$H532,IF(LEFT(TRIM(Paramètres!K46),1)="F",1,0)))),IF(Paramètres!L46="",0,IF(Paramètres!M46="",NA(),IF(LEFT(TRIM(Paramètres!M46),1)="F",INDEX($F$491:$F$543,MATCH(Paramètres!L46,Paramètres!$G$5:$G$57,0)),INDEX($E$491:$E$543,MATCH(Paramètres!L46,Paramètres!$G$5:$G$57,0)))+IF(RIGHT(TRIM(Paramètres!M46),3)="Fin",1-$H532,IF(LEFT(TRIM(Paramètres!M46),1)="F",1,0)))),IF(Paramètres!N46="",0,IF(Paramètres!O46="",NA(),IF(LEFT(TRIM(Paramètres!O46),1)="F",INDEX($F$491:$F$543,MATCH(Paramètres!N46,Paramètres!$G$5:$G$57,0)),INDEX($E$491:$E$543,MATCH(Paramètres!N46,Paramètres!$G$5:$G$57,0)))+IF(RIGHT(TRIM(Paramètres!O46),3)="Fin",1-$H532,IF(LEFT(TRIM(Paramètres!O46),1)="F",1,0)))))))</f>
        <v/>
      </c>
      <c r="F532" s="19">
        <f>IF($A532="","",E532+$H532-1)</f>
        <v/>
      </c>
      <c r="G532" s="18" t="n"/>
      <c r="H532" s="18">
        <f>IF($A532="","",IF(I532&lt;&gt;"",I532,Paramètres!B46))</f>
        <v/>
      </c>
      <c r="I532" s="18" t="n"/>
    </row>
    <row r="533">
      <c r="A533" s="18">
        <f>IF(ISNUMBER(Dossiers!$D$13),Dossiers!$A$13&amp;" · "&amp;Dossiers!$B$13,"")</f>
        <v/>
      </c>
      <c r="B533" s="18">
        <f>IF($A533="","",Paramètres!G47)</f>
        <v/>
      </c>
      <c r="C533" s="18">
        <f>IF($A533="","",IF(Paramètres!H47="","",Paramètres!H47))</f>
        <v/>
      </c>
      <c r="D533" s="18">
        <f>IF($A533="","",IF(Paramètres!I47="","",Paramètres!I47))</f>
        <v/>
      </c>
      <c r="E533" s="19">
        <f>IF($A533="","",IF(Paramètres!J47&amp;Paramètres!L47&amp;Paramètres!N47="",Dossiers!$D$13,MAX(IF(Paramètres!J47="",0,IF(Paramètres!K47="",NA(),IF(LEFT(TRIM(Paramètres!K47),1)="F",INDEX($F$491:$F$543,MATCH(Paramètres!J47,Paramètres!$G$5:$G$57,0)),INDEX($E$491:$E$543,MATCH(Paramètres!J47,Paramètres!$G$5:$G$57,0)))+IF(RIGHT(TRIM(Paramètres!K47),3)="Fin",1-$H533,IF(LEFT(TRIM(Paramètres!K47),1)="F",1,0)))),IF(Paramètres!L47="",0,IF(Paramètres!M47="",NA(),IF(LEFT(TRIM(Paramètres!M47),1)="F",INDEX($F$491:$F$543,MATCH(Paramètres!L47,Paramètres!$G$5:$G$57,0)),INDEX($E$491:$E$543,MATCH(Paramètres!L47,Paramètres!$G$5:$G$57,0)))+IF(RIGHT(TRIM(Paramètres!M47),3)="Fin",1-$H533,IF(LEFT(TRIM(Paramètres!M47),1)="F",1,0)))),IF(Paramètres!N47="",0,IF(Paramètres!O47="",NA(),IF(LEFT(TRIM(Paramètres!O47),1)="F",INDEX($F$491:$F$543,MATCH(Paramètres!N47,Paramètres!$G$5:$G$57,0)),INDEX($E$491:$E$543,MATCH(Paramètres!N47,Paramètres!$G$5:$G$57,0)))+IF(RIGHT(TRIM(Paramètres!O47),3)="Fin",1-$H533,IF(LEFT(TRIM(Paramètres!O47),1)="F",1,0)))))))</f>
        <v/>
      </c>
      <c r="F533" s="19">
        <f>IF($A533="","",E533+$H533-1)</f>
        <v/>
      </c>
      <c r="G533" s="18" t="n"/>
      <c r="H533" s="18">
        <f>IF($A533="","",IF(I533&lt;&gt;"",I533,Paramètres!B47))</f>
        <v/>
      </c>
      <c r="I533" s="18" t="n"/>
    </row>
    <row r="534">
      <c r="A534" s="18">
        <f>IF(ISNUMBER(Dossiers!$D$13),Dossiers!$A$13&amp;" · "&amp;Dossiers!$B$13,"")</f>
        <v/>
      </c>
      <c r="B534" s="18">
        <f>IF($A534="","",Paramètres!G48)</f>
        <v/>
      </c>
      <c r="C534" s="18">
        <f>IF($A534="","",IF(Paramètres!H48="","",Paramètres!H48))</f>
        <v/>
      </c>
      <c r="D534" s="18">
        <f>IF($A534="","",IF(Paramètres!I48="","",Paramètres!I48))</f>
        <v/>
      </c>
      <c r="E534" s="19">
        <f>IF($A534="","",IF(Paramètres!J48&amp;Paramètres!L48&amp;Paramètres!N48="",Dossiers!$D$13,MAX(IF(Paramètres!J48="",0,IF(Paramètres!K48="",NA(),IF(LEFT(TRIM(Paramètres!K48),1)="F",INDEX($F$491:$F$543,MATCH(Paramètres!J48,Paramètres!$G$5:$G$57,0)),INDEX($E$491:$E$543,MATCH(Paramètres!J48,Paramètres!$G$5:$G$57,0)))+IF(RIGHT(TRIM(Paramètres!K48),3)="Fin",1-$H534,IF(LEFT(TRIM(Paramètres!K48),1)="F",1,0)))),IF(Paramètres!L48="",0,IF(Paramètres!M48="",NA(),IF(LEFT(TRIM(Paramètres!M48),1)="F",INDEX($F$491:$F$543,MATCH(Paramètres!L48,Paramètres!$G$5:$G$57,0)),INDEX($E$491:$E$543,MATCH(Paramètres!L48,Paramètres!$G$5:$G$57,0)))+IF(RIGHT(TRIM(Paramètres!M48),3)="Fin",1-$H534,IF(LEFT(TRIM(Paramètres!M48),1)="F",1,0)))),IF(Paramètres!N48="",0,IF(Paramètres!O48="",NA(),IF(LEFT(TRIM(Paramètres!O48),1)="F",INDEX($F$491:$F$543,MATCH(Paramètres!N48,Paramètres!$G$5:$G$57,0)),INDEX($E$491:$E$543,MATCH(Paramètres!N48,Paramètres!$G$5:$G$57,0)))+IF(RIGHT(TRIM(Paramètres!O48),3)="Fin",1-$H534,IF(LEFT(TRIM(Paramètres!O48),1)="F",1,0)))))))</f>
        <v/>
      </c>
      <c r="F534" s="19">
        <f>IF($A534="","",E534+$H534-1)</f>
        <v/>
      </c>
      <c r="G534" s="18" t="n"/>
      <c r="H534" s="18">
        <f>IF($A534="","",IF(I534&lt;&gt;"",I534,Paramètres!B48))</f>
        <v/>
      </c>
      <c r="I534" s="18" t="n"/>
    </row>
    <row r="535">
      <c r="A535" s="18">
        <f>IF(ISNUMBER(Dossiers!$D$13),Dossiers!$A$13&amp;" · "&amp;Dossiers!$B$13,"")</f>
        <v/>
      </c>
      <c r="B535" s="18">
        <f>IF($A535="","",Paramètres!G49)</f>
        <v/>
      </c>
      <c r="C535" s="18">
        <f>IF($A535="","",IF(Paramètres!H49="","",Paramètres!H49))</f>
        <v/>
      </c>
      <c r="D535" s="18">
        <f>IF($A535="","",IF(Paramètres!I49="","",Paramètres!I49))</f>
        <v/>
      </c>
      <c r="E535" s="19">
        <f>IF($A535="","",IF(Paramètres!J49&amp;Paramètres!L49&amp;Paramètres!N49="",Dossiers!$D$13,MAX(IF(Paramètres!J49="",0,IF(Paramètres!K49="",NA(),IF(LEFT(TRIM(Paramètres!K49),1)="F",INDEX($F$491:$F$543,MATCH(Paramètres!J49,Paramètres!$G$5:$G$57,0)),INDEX($E$491:$E$543,MATCH(Paramètres!J49,Paramètres!$G$5:$G$57,0)))+IF(RIGHT(TRIM(Paramètres!K49),3)="Fin",1-$H535,IF(LEFT(TRIM(Paramètres!K49),1)="F",1,0)))),IF(Paramètres!L49="",0,IF(Paramètres!M49="",NA(),IF(LEFT(TRIM(Paramètres!M49),1)="F",INDEX($F$491:$F$543,MATCH(Paramètres!L49,Paramètres!$G$5:$G$57,0)),INDEX($E$491:$E$543,MATCH(Paramètres!L49,Paramètres!$G$5:$G$57,0)))+IF(RIGHT(TRIM(Paramètres!M49),3)="Fin",1-$H535,IF(LEFT(TRIM(Paramètres!M49),1)="F",1,0)))),IF(Paramètres!N49="",0,IF(Paramètres!O49="",NA(),IF(LEFT(TRIM(Paramètres!O49),1)="F",INDEX($F$491:$F$543,MATCH(Paramètres!N49,Paramètres!$G$5:$G$57,0)),INDEX($E$491:$E$543,MATCH(Paramètres!N49,Paramètres!$G$5:$G$57,0)))+IF(RIGHT(TRIM(Paramètres!O49),3)="Fin",1-$H535,IF(LEFT(TRIM(Paramètres!O49),1)="F",1,0)))))))</f>
        <v/>
      </c>
      <c r="F535" s="19">
        <f>IF($A535="","",E535+$H535-1)</f>
        <v/>
      </c>
      <c r="G535" s="18" t="n"/>
      <c r="H535" s="18">
        <f>IF($A535="","",IF(I535&lt;&gt;"",I535,Paramètres!B49))</f>
        <v/>
      </c>
      <c r="I535" s="18" t="n"/>
    </row>
    <row r="536">
      <c r="A536" s="18">
        <f>IF(ISNUMBER(Dossiers!$D$13),Dossiers!$A$13&amp;" · "&amp;Dossiers!$B$13,"")</f>
        <v/>
      </c>
      <c r="B536" s="18">
        <f>IF($A536="","",Paramètres!G50)</f>
        <v/>
      </c>
      <c r="C536" s="18">
        <f>IF($A536="","",IF(Paramètres!H50="","",Paramètres!H50))</f>
        <v/>
      </c>
      <c r="D536" s="18">
        <f>IF($A536="","",IF(Paramètres!I50="","",Paramètres!I50))</f>
        <v/>
      </c>
      <c r="E536" s="19">
        <f>IF($A536="","",IF(Paramètres!J50&amp;Paramètres!L50&amp;Paramètres!N50="",Dossiers!$D$13,MAX(IF(Paramètres!J50="",0,IF(Paramètres!K50="",NA(),IF(LEFT(TRIM(Paramètres!K50),1)="F",INDEX($F$491:$F$543,MATCH(Paramètres!J50,Paramètres!$G$5:$G$57,0)),INDEX($E$491:$E$543,MATCH(Paramètres!J50,Paramètres!$G$5:$G$57,0)))+IF(RIGHT(TRIM(Paramètres!K50),3)="Fin",1-$H536,IF(LEFT(TRIM(Paramètres!K50),1)="F",1,0)))),IF(Paramètres!L50="",0,IF(Paramètres!M50="",NA(),IF(LEFT(TRIM(Paramètres!M50),1)="F",INDEX($F$491:$F$543,MATCH(Paramètres!L50,Paramètres!$G$5:$G$57,0)),INDEX($E$491:$E$543,MATCH(Paramètres!L50,Paramètres!$G$5:$G$57,0)))+IF(RIGHT(TRIM(Paramètres!M50),3)="Fin",1-$H536,IF(LEFT(TRIM(Paramètres!M50),1)="F",1,0)))),IF(Paramètres!N50="",0,IF(Paramètres!O50="",NA(),IF(LEFT(TRIM(Paramètres!O50),1)="F",INDEX($F$491:$F$543,MATCH(Paramètres!N50,Paramètres!$G$5:$G$57,0)),INDEX($E$491:$E$543,MATCH(Paramètres!N50,Paramètres!$G$5:$G$57,0)))+IF(RIGHT(TRIM(Paramètres!O50),3)="Fin",1-$H536,IF(LEFT(TRIM(Paramètres!O50),1)="F",1,0)))))))</f>
        <v/>
      </c>
      <c r="F536" s="19">
        <f>IF($A536="","",E536+$H536-1)</f>
        <v/>
      </c>
      <c r="G536" s="18" t="n"/>
      <c r="H536" s="18">
        <f>IF($A536="","",IF(I536&lt;&gt;"",I536,Paramètres!B50))</f>
        <v/>
      </c>
      <c r="I536" s="18" t="n"/>
    </row>
    <row r="537">
      <c r="A537" s="18">
        <f>IF(ISNUMBER(Dossiers!$D$13),Dossiers!$A$13&amp;" · "&amp;Dossiers!$B$13,"")</f>
        <v/>
      </c>
      <c r="B537" s="18">
        <f>IF($A537="","",Paramètres!G51)</f>
        <v/>
      </c>
      <c r="C537" s="18">
        <f>IF($A537="","",IF(Paramètres!H51="","",Paramètres!H51))</f>
        <v/>
      </c>
      <c r="D537" s="18">
        <f>IF($A537="","",IF(Paramètres!I51="","",Paramètres!I51))</f>
        <v/>
      </c>
      <c r="E537" s="19">
        <f>IF($A537="","",IF(Paramètres!J51&amp;Paramètres!L51&amp;Paramètres!N51="",Dossiers!$D$13,MAX(IF(Paramètres!J51="",0,IF(Paramètres!K51="",NA(),IF(LEFT(TRIM(Paramètres!K51),1)="F",INDEX($F$491:$F$543,MATCH(Paramètres!J51,Paramètres!$G$5:$G$57,0)),INDEX($E$491:$E$543,MATCH(Paramètres!J51,Paramètres!$G$5:$G$57,0)))+IF(RIGHT(TRIM(Paramètres!K51),3)="Fin",1-$H537,IF(LEFT(TRIM(Paramètres!K51),1)="F",1,0)))),IF(Paramètres!L51="",0,IF(Paramètres!M51="",NA(),IF(LEFT(TRIM(Paramètres!M51),1)="F",INDEX($F$491:$F$543,MATCH(Paramètres!L51,Paramètres!$G$5:$G$57,0)),INDEX($E$491:$E$543,MATCH(Paramètres!L51,Paramètres!$G$5:$G$57,0)))+IF(RIGHT(TRIM(Paramètres!M51),3)="Fin",1-$H537,IF(LEFT(TRIM(Paramètres!M51),1)="F",1,0)))),IF(Paramètres!N51="",0,IF(Paramètres!O51="",NA(),IF(LEFT(TRIM(Paramètres!O51),1)="F",INDEX($F$491:$F$543,MATCH(Paramètres!N51,Paramètres!$G$5:$G$57,0)),INDEX($E$491:$E$543,MATCH(Paramètres!N51,Paramètres!$G$5:$G$57,0)))+IF(RIGHT(TRIM(Paramètres!O51),3)="Fin",1-$H537,IF(LEFT(TRIM(Paramètres!O51),1)="F",1,0)))))))</f>
        <v/>
      </c>
      <c r="F537" s="19">
        <f>IF($A537="","",E537+$H537-1)</f>
        <v/>
      </c>
      <c r="G537" s="18" t="n"/>
      <c r="H537" s="18">
        <f>IF($A537="","",IF(I537&lt;&gt;"",I537,Paramètres!B51))</f>
        <v/>
      </c>
      <c r="I537" s="18" t="n"/>
    </row>
    <row r="538">
      <c r="A538" s="18">
        <f>IF(ISNUMBER(Dossiers!$D$13),Dossiers!$A$13&amp;" · "&amp;Dossiers!$B$13,"")</f>
        <v/>
      </c>
      <c r="B538" s="18">
        <f>IF($A538="","",Paramètres!G52)</f>
        <v/>
      </c>
      <c r="C538" s="18">
        <f>IF($A538="","",IF(Paramètres!H52="","",Paramètres!H52))</f>
        <v/>
      </c>
      <c r="D538" s="18">
        <f>IF($A538="","",IF(Paramètres!I52="","",Paramètres!I52))</f>
        <v/>
      </c>
      <c r="E538" s="19">
        <f>IF($A538="","",IF(Paramètres!J52&amp;Paramètres!L52&amp;Paramètres!N52="",Dossiers!$D$13,MAX(IF(Paramètres!J52="",0,IF(Paramètres!K52="",NA(),IF(LEFT(TRIM(Paramètres!K52),1)="F",INDEX($F$491:$F$543,MATCH(Paramètres!J52,Paramètres!$G$5:$G$57,0)),INDEX($E$491:$E$543,MATCH(Paramètres!J52,Paramètres!$G$5:$G$57,0)))+IF(RIGHT(TRIM(Paramètres!K52),3)="Fin",1-$H538,IF(LEFT(TRIM(Paramètres!K52),1)="F",1,0)))),IF(Paramètres!L52="",0,IF(Paramètres!M52="",NA(),IF(LEFT(TRIM(Paramètres!M52),1)="F",INDEX($F$491:$F$543,MATCH(Paramètres!L52,Paramètres!$G$5:$G$57,0)),INDEX($E$491:$E$543,MATCH(Paramètres!L52,Paramètres!$G$5:$G$57,0)))+IF(RIGHT(TRIM(Paramètres!M52),3)="Fin",1-$H538,IF(LEFT(TRIM(Paramètres!M52),1)="F",1,0)))),IF(Paramètres!N52="",0,IF(Paramètres!O52="",NA(),IF(LEFT(TRIM(Paramètres!O52),1)="F",INDEX($F$491:$F$543,MATCH(Paramètres!N52,Paramètres!$G$5:$G$57,0)),INDEX($E$491:$E$543,MATCH(Paramètres!N52,Paramètres!$G$5:$G$57,0)))+IF(RIGHT(TRIM(Paramètres!O52),3)="Fin",1-$H538,IF(LEFT(TRIM(Paramètres!O52),1)="F",1,0)))))))</f>
        <v/>
      </c>
      <c r="F538" s="19">
        <f>IF($A538="","",E538+$H538-1)</f>
        <v/>
      </c>
      <c r="G538" s="18" t="n"/>
      <c r="H538" s="18">
        <f>IF($A538="","",IF(I538&lt;&gt;"",I538,Paramètres!B52))</f>
        <v/>
      </c>
      <c r="I538" s="18" t="n"/>
    </row>
    <row r="539">
      <c r="A539" s="18">
        <f>IF(ISNUMBER(Dossiers!$D$13),Dossiers!$A$13&amp;" · "&amp;Dossiers!$B$13,"")</f>
        <v/>
      </c>
      <c r="B539" s="18">
        <f>IF($A539="","",Paramètres!G53)</f>
        <v/>
      </c>
      <c r="C539" s="18">
        <f>IF($A539="","",IF(Paramètres!H53="","",Paramètres!H53))</f>
        <v/>
      </c>
      <c r="D539" s="18">
        <f>IF($A539="","",IF(Paramètres!I53="","",Paramètres!I53))</f>
        <v/>
      </c>
      <c r="E539" s="19">
        <f>IF($A539="","",IF(Paramètres!J53&amp;Paramètres!L53&amp;Paramètres!N53="",Dossiers!$D$13,MAX(IF(Paramètres!J53="",0,IF(Paramètres!K53="",NA(),IF(LEFT(TRIM(Paramètres!K53),1)="F",INDEX($F$491:$F$543,MATCH(Paramètres!J53,Paramètres!$G$5:$G$57,0)),INDEX($E$491:$E$543,MATCH(Paramètres!J53,Paramètres!$G$5:$G$57,0)))+IF(RIGHT(TRIM(Paramètres!K53),3)="Fin",1-$H539,IF(LEFT(TRIM(Paramètres!K53),1)="F",1,0)))),IF(Paramètres!L53="",0,IF(Paramètres!M53="",NA(),IF(LEFT(TRIM(Paramètres!M53),1)="F",INDEX($F$491:$F$543,MATCH(Paramètres!L53,Paramètres!$G$5:$G$57,0)),INDEX($E$491:$E$543,MATCH(Paramètres!L53,Paramètres!$G$5:$G$57,0)))+IF(RIGHT(TRIM(Paramètres!M53),3)="Fin",1-$H539,IF(LEFT(TRIM(Paramètres!M53),1)="F",1,0)))),IF(Paramètres!N53="",0,IF(Paramètres!O53="",NA(),IF(LEFT(TRIM(Paramètres!O53),1)="F",INDEX($F$491:$F$543,MATCH(Paramètres!N53,Paramètres!$G$5:$G$57,0)),INDEX($E$491:$E$543,MATCH(Paramètres!N53,Paramètres!$G$5:$G$57,0)))+IF(RIGHT(TRIM(Paramètres!O53),3)="Fin",1-$H539,IF(LEFT(TRIM(Paramètres!O53),1)="F",1,0)))))))</f>
        <v/>
      </c>
      <c r="F539" s="19">
        <f>IF($A539="","",E539+$H539-1)</f>
        <v/>
      </c>
      <c r="G539" s="18" t="n"/>
      <c r="H539" s="18">
        <f>IF($A539="","",IF(I539&lt;&gt;"",I539,Paramètres!B53))</f>
        <v/>
      </c>
      <c r="I539" s="18" t="n"/>
    </row>
    <row r="540">
      <c r="A540" s="18">
        <f>IF(ISNUMBER(Dossiers!$D$13),Dossiers!$A$13&amp;" · "&amp;Dossiers!$B$13,"")</f>
        <v/>
      </c>
      <c r="B540" s="18">
        <f>IF($A540="","",Paramètres!G54)</f>
        <v/>
      </c>
      <c r="C540" s="18">
        <f>IF($A540="","",IF(Paramètres!H54="","",Paramètres!H54))</f>
        <v/>
      </c>
      <c r="D540" s="18">
        <f>IF($A540="","",IF(Paramètres!I54="","",Paramètres!I54))</f>
        <v/>
      </c>
      <c r="E540" s="19">
        <f>IF($A540="","",IF(Paramètres!J54&amp;Paramètres!L54&amp;Paramètres!N54="",Dossiers!$D$13,MAX(IF(Paramètres!J54="",0,IF(Paramètres!K54="",NA(),IF(LEFT(TRIM(Paramètres!K54),1)="F",INDEX($F$491:$F$543,MATCH(Paramètres!J54,Paramètres!$G$5:$G$57,0)),INDEX($E$491:$E$543,MATCH(Paramètres!J54,Paramètres!$G$5:$G$57,0)))+IF(RIGHT(TRIM(Paramètres!K54),3)="Fin",1-$H540,IF(LEFT(TRIM(Paramètres!K54),1)="F",1,0)))),IF(Paramètres!L54="",0,IF(Paramètres!M54="",NA(),IF(LEFT(TRIM(Paramètres!M54),1)="F",INDEX($F$491:$F$543,MATCH(Paramètres!L54,Paramètres!$G$5:$G$57,0)),INDEX($E$491:$E$543,MATCH(Paramètres!L54,Paramètres!$G$5:$G$57,0)))+IF(RIGHT(TRIM(Paramètres!M54),3)="Fin",1-$H540,IF(LEFT(TRIM(Paramètres!M54),1)="F",1,0)))),IF(Paramètres!N54="",0,IF(Paramètres!O54="",NA(),IF(LEFT(TRIM(Paramètres!O54),1)="F",INDEX($F$491:$F$543,MATCH(Paramètres!N54,Paramètres!$G$5:$G$57,0)),INDEX($E$491:$E$543,MATCH(Paramètres!N54,Paramètres!$G$5:$G$57,0)))+IF(RIGHT(TRIM(Paramètres!O54),3)="Fin",1-$H540,IF(LEFT(TRIM(Paramètres!O54),1)="F",1,0)))))))</f>
        <v/>
      </c>
      <c r="F540" s="19">
        <f>IF($A540="","",E540+$H540-1)</f>
        <v/>
      </c>
      <c r="G540" s="18" t="n"/>
      <c r="H540" s="18">
        <f>IF($A540="","",IF(I540&lt;&gt;"",I540,Paramètres!B54))</f>
        <v/>
      </c>
      <c r="I540" s="18" t="n"/>
    </row>
    <row r="541">
      <c r="A541" s="18">
        <f>IF(ISNUMBER(Dossiers!$D$13),Dossiers!$A$13&amp;" · "&amp;Dossiers!$B$13,"")</f>
        <v/>
      </c>
      <c r="B541" s="18">
        <f>IF($A541="","",Paramètres!G55)</f>
        <v/>
      </c>
      <c r="C541" s="18">
        <f>IF($A541="","",IF(Paramètres!H55="","",Paramètres!H55))</f>
        <v/>
      </c>
      <c r="D541" s="18">
        <f>IF($A541="","",IF(Paramètres!I55="","",Paramètres!I55))</f>
        <v/>
      </c>
      <c r="E541" s="19">
        <f>IF($A541="","",IF(Paramètres!J55&amp;Paramètres!L55&amp;Paramètres!N55="",Dossiers!$D$13,MAX(IF(Paramètres!J55="",0,IF(Paramètres!K55="",NA(),IF(LEFT(TRIM(Paramètres!K55),1)="F",INDEX($F$491:$F$543,MATCH(Paramètres!J55,Paramètres!$G$5:$G$57,0)),INDEX($E$491:$E$543,MATCH(Paramètres!J55,Paramètres!$G$5:$G$57,0)))+IF(RIGHT(TRIM(Paramètres!K55),3)="Fin",1-$H541,IF(LEFT(TRIM(Paramètres!K55),1)="F",1,0)))),IF(Paramètres!L55="",0,IF(Paramètres!M55="",NA(),IF(LEFT(TRIM(Paramètres!M55),1)="F",INDEX($F$491:$F$543,MATCH(Paramètres!L55,Paramètres!$G$5:$G$57,0)),INDEX($E$491:$E$543,MATCH(Paramètres!L55,Paramètres!$G$5:$G$57,0)))+IF(RIGHT(TRIM(Paramètres!M55),3)="Fin",1-$H541,IF(LEFT(TRIM(Paramètres!M55),1)="F",1,0)))),IF(Paramètres!N55="",0,IF(Paramètres!O55="",NA(),IF(LEFT(TRIM(Paramètres!O55),1)="F",INDEX($F$491:$F$543,MATCH(Paramètres!N55,Paramètres!$G$5:$G$57,0)),INDEX($E$491:$E$543,MATCH(Paramètres!N55,Paramètres!$G$5:$G$57,0)))+IF(RIGHT(TRIM(Paramètres!O55),3)="Fin",1-$H541,IF(LEFT(TRIM(Paramètres!O55),1)="F",1,0)))))))</f>
        <v/>
      </c>
      <c r="F541" s="19">
        <f>IF($A541="","",E541+$H541-1)</f>
        <v/>
      </c>
      <c r="G541" s="18" t="n"/>
      <c r="H541" s="18">
        <f>IF($A541="","",IF(I541&lt;&gt;"",I541,Paramètres!B55))</f>
        <v/>
      </c>
      <c r="I541" s="18" t="n"/>
    </row>
    <row r="542">
      <c r="A542" s="18">
        <f>IF(ISNUMBER(Dossiers!$D$13),Dossiers!$A$13&amp;" · "&amp;Dossiers!$B$13,"")</f>
        <v/>
      </c>
      <c r="B542" s="18">
        <f>IF($A542="","",Paramètres!G56)</f>
        <v/>
      </c>
      <c r="C542" s="18">
        <f>IF($A542="","",IF(Paramètres!H56="","",Paramètres!H56))</f>
        <v/>
      </c>
      <c r="D542" s="18">
        <f>IF($A542="","",IF(Paramètres!I56="","",Paramètres!I56))</f>
        <v/>
      </c>
      <c r="E542" s="19">
        <f>IF($A542="","",MIN(E543:E543))</f>
        <v/>
      </c>
      <c r="F542" s="19">
        <f>IF($A542="","",MAX(F543:F543))</f>
        <v/>
      </c>
      <c r="G542" s="18" t="n"/>
      <c r="H542" s="18">
        <f>IF($A542="","",F542-E542+1)</f>
        <v/>
      </c>
      <c r="I542" s="18" t="n"/>
    </row>
    <row r="543">
      <c r="A543" s="18">
        <f>IF(ISNUMBER(Dossiers!$D$13),Dossiers!$A$13&amp;" · "&amp;Dossiers!$B$13,"")</f>
        <v/>
      </c>
      <c r="B543" s="18">
        <f>IF($A543="","",Paramètres!G57)</f>
        <v/>
      </c>
      <c r="C543" s="18">
        <f>IF($A543="","",IF(Paramètres!H57="","",Paramètres!H57))</f>
        <v/>
      </c>
      <c r="D543" s="18">
        <f>IF($A543="","",IF(Paramètres!I57="","",Paramètres!I57))</f>
        <v/>
      </c>
      <c r="E543" s="19">
        <f>IF($A543="","",IF(Paramètres!J57&amp;Paramètres!L57&amp;Paramètres!N57="",Dossiers!$D$13,MAX(IF(Paramètres!J57="",0,IF(Paramètres!K57="",NA(),IF(LEFT(TRIM(Paramètres!K57),1)="F",INDEX($F$491:$F$543,MATCH(Paramètres!J57,Paramètres!$G$5:$G$57,0)),INDEX($E$491:$E$543,MATCH(Paramètres!J57,Paramètres!$G$5:$G$57,0)))+IF(RIGHT(TRIM(Paramètres!K57),3)="Fin",1-$H543,IF(LEFT(TRIM(Paramètres!K57),1)="F",1,0)))),IF(Paramètres!L57="",0,IF(Paramètres!M57="",NA(),IF(LEFT(TRIM(Paramètres!M57),1)="F",INDEX($F$491:$F$543,MATCH(Paramètres!L57,Paramètres!$G$5:$G$57,0)),INDEX($E$491:$E$543,MATCH(Paramètres!L57,Paramètres!$G$5:$G$57,0)))+IF(RIGHT(TRIM(Paramètres!M57),3)="Fin",1-$H543,IF(LEFT(TRIM(Paramètres!M57),1)="F",1,0)))),IF(Paramètres!N57="",0,IF(Paramètres!O57="",NA(),IF(LEFT(TRIM(Paramètres!O57),1)="F",INDEX($F$491:$F$543,MATCH(Paramètres!N57,Paramètres!$G$5:$G$57,0)),INDEX($E$491:$E$543,MATCH(Paramètres!N57,Paramètres!$G$5:$G$57,0)))+IF(RIGHT(TRIM(Paramètres!O57),3)="Fin",1-$H543,IF(LEFT(TRIM(Paramètres!O57),1)="F",1,0)))))))</f>
        <v/>
      </c>
      <c r="F543" s="19">
        <f>IF($A543="","",E543+$H543-1)</f>
        <v/>
      </c>
      <c r="G543" s="18" t="n"/>
      <c r="H543" s="18">
        <f>IF($A543="","",IF(I543&lt;&gt;"",I543,Paramètres!B57))</f>
        <v/>
      </c>
      <c r="I543" s="18" t="n"/>
    </row>
    <row r="544">
      <c r="A544" s="16">
        <f>IF(ISNUMBER(Dossiers!$D$14),Dossiers!$E$14,"")</f>
        <v/>
      </c>
      <c r="B544" s="16">
        <f>IF($A544="","","Identifiant")</f>
        <v/>
      </c>
      <c r="C544" s="16">
        <f>IF($A544="","","Macro Etape")</f>
        <v/>
      </c>
      <c r="D544" s="16">
        <f>IF($A544="","","Etape")</f>
        <v/>
      </c>
      <c r="E544" s="17">
        <f>IF($A544="","","Début le")</f>
        <v/>
      </c>
      <c r="F544" s="17">
        <f>IF($A544="","","Fin prévue le")</f>
        <v/>
      </c>
      <c r="G544" s="16">
        <f>IF($A544="","","Statut")</f>
        <v/>
      </c>
      <c r="H544" s="16">
        <f>IF($A544="","","Durée (jours)")</f>
        <v/>
      </c>
      <c r="I544" s="16">
        <f>IF($A544="","","Durée particulière")</f>
        <v/>
      </c>
      <c r="J544" s="10">
        <f>IF($A544="","",HYPERLINK("#'Tableau de bord'!A1","↑ Tableau de bord"))</f>
        <v/>
      </c>
    </row>
    <row r="545">
      <c r="A545" s="18">
        <f>IF(ISNUMBER(Dossiers!$D$14),Dossiers!$A$14&amp;" · "&amp;Dossiers!$B$14,"")</f>
        <v/>
      </c>
      <c r="B545" s="18">
        <f>IF($A545="","",Paramètres!G5)</f>
        <v/>
      </c>
      <c r="C545" s="18">
        <f>IF($A545="","",IF(Paramètres!H5="","",Paramètres!H5))</f>
        <v/>
      </c>
      <c r="D545" s="18">
        <f>IF($A545="","",IF(Paramètres!I5="","",Paramètres!I5))</f>
        <v/>
      </c>
      <c r="E545" s="19">
        <f>IF($A545="","",MIN(E546:E549))</f>
        <v/>
      </c>
      <c r="F545" s="19">
        <f>IF($A545="","",MAX(F546:F549))</f>
        <v/>
      </c>
      <c r="G545" s="18" t="n"/>
      <c r="H545" s="18">
        <f>IF($A545="","",F545-E545+1)</f>
        <v/>
      </c>
      <c r="I545" s="18" t="n"/>
    </row>
    <row r="546">
      <c r="A546" s="18">
        <f>IF(ISNUMBER(Dossiers!$D$14),Dossiers!$A$14&amp;" · "&amp;Dossiers!$B$14,"")</f>
        <v/>
      </c>
      <c r="B546" s="18">
        <f>IF($A546="","",Paramètres!G6)</f>
        <v/>
      </c>
      <c r="C546" s="18">
        <f>IF($A546="","",IF(Paramètres!H6="","",Paramètres!H6))</f>
        <v/>
      </c>
      <c r="D546" s="18">
        <f>IF($A546="","",IF(Paramètres!I6="","",Paramètres!I6))</f>
        <v/>
      </c>
      <c r="E546" s="19">
        <f>IF($A546="","",IF(Paramètres!J6&amp;Paramètres!L6&amp;Paramètres!N6="",Dossiers!$D$14,MAX(IF(Paramètres!J6="",0,IF(Paramètres!K6="",NA(),IF(LEFT(TRIM(Paramètres!K6),1)="F",INDEX($F$545:$F$597,MATCH(Paramètres!J6,Paramètres!$G$5:$G$57,0)),INDEX($E$545:$E$597,MATCH(Paramètres!J6,Paramètres!$G$5:$G$57,0)))+IF(RIGHT(TRIM(Paramètres!K6),3)="Fin",1-$H546,IF(LEFT(TRIM(Paramètres!K6),1)="F",1,0)))),IF(Paramètres!L6="",0,IF(Paramètres!M6="",NA(),IF(LEFT(TRIM(Paramètres!M6),1)="F",INDEX($F$545:$F$597,MATCH(Paramètres!L6,Paramètres!$G$5:$G$57,0)),INDEX($E$545:$E$597,MATCH(Paramètres!L6,Paramètres!$G$5:$G$57,0)))+IF(RIGHT(TRIM(Paramètres!M6),3)="Fin",1-$H546,IF(LEFT(TRIM(Paramètres!M6),1)="F",1,0)))),IF(Paramètres!N6="",0,IF(Paramètres!O6="",NA(),IF(LEFT(TRIM(Paramètres!O6),1)="F",INDEX($F$545:$F$597,MATCH(Paramètres!N6,Paramètres!$G$5:$G$57,0)),INDEX($E$545:$E$597,MATCH(Paramètres!N6,Paramètres!$G$5:$G$57,0)))+IF(RIGHT(TRIM(Paramètres!O6),3)="Fin",1-$H546,IF(LEFT(TRIM(Paramètres!O6),1)="F",1,0)))))))</f>
        <v/>
      </c>
      <c r="F546" s="19">
        <f>IF($A546="","",E546+$H546-1)</f>
        <v/>
      </c>
      <c r="G546" s="18" t="n"/>
      <c r="H546" s="18">
        <f>IF($A546="","",IF(I546&lt;&gt;"",I546,Paramètres!B6))</f>
        <v/>
      </c>
      <c r="I546" s="18" t="n"/>
    </row>
    <row r="547">
      <c r="A547" s="18">
        <f>IF(ISNUMBER(Dossiers!$D$14),Dossiers!$A$14&amp;" · "&amp;Dossiers!$B$14,"")</f>
        <v/>
      </c>
      <c r="B547" s="18">
        <f>IF($A547="","",Paramètres!G7)</f>
        <v/>
      </c>
      <c r="C547" s="18">
        <f>IF($A547="","",IF(Paramètres!H7="","",Paramètres!H7))</f>
        <v/>
      </c>
      <c r="D547" s="18">
        <f>IF($A547="","",IF(Paramètres!I7="","",Paramètres!I7))</f>
        <v/>
      </c>
      <c r="E547" s="19">
        <f>IF($A547="","",IF(Paramètres!J7&amp;Paramètres!L7&amp;Paramètres!N7="",Dossiers!$D$14,MAX(IF(Paramètres!J7="",0,IF(Paramètres!K7="",NA(),IF(LEFT(TRIM(Paramètres!K7),1)="F",INDEX($F$545:$F$597,MATCH(Paramètres!J7,Paramètres!$G$5:$G$57,0)),INDEX($E$545:$E$597,MATCH(Paramètres!J7,Paramètres!$G$5:$G$57,0)))+IF(RIGHT(TRIM(Paramètres!K7),3)="Fin",1-$H547,IF(LEFT(TRIM(Paramètres!K7),1)="F",1,0)))),IF(Paramètres!L7="",0,IF(Paramètres!M7="",NA(),IF(LEFT(TRIM(Paramètres!M7),1)="F",INDEX($F$545:$F$597,MATCH(Paramètres!L7,Paramètres!$G$5:$G$57,0)),INDEX($E$545:$E$597,MATCH(Paramètres!L7,Paramètres!$G$5:$G$57,0)))+IF(RIGHT(TRIM(Paramètres!M7),3)="Fin",1-$H547,IF(LEFT(TRIM(Paramètres!M7),1)="F",1,0)))),IF(Paramètres!N7="",0,IF(Paramètres!O7="",NA(),IF(LEFT(TRIM(Paramètres!O7),1)="F",INDEX($F$545:$F$597,MATCH(Paramètres!N7,Paramètres!$G$5:$G$57,0)),INDEX($E$545:$E$597,MATCH(Paramètres!N7,Paramètres!$G$5:$G$57,0)))+IF(RIGHT(TRIM(Paramètres!O7),3)="Fin",1-$H547,IF(LEFT(TRIM(Paramètres!O7),1)="F",1,0)))))))</f>
        <v/>
      </c>
      <c r="F547" s="19">
        <f>IF($A547="","",E547+$H547-1)</f>
        <v/>
      </c>
      <c r="G547" s="18" t="n"/>
      <c r="H547" s="18">
        <f>IF($A547="","",IF(I547&lt;&gt;"",I547,Paramètres!B7))</f>
        <v/>
      </c>
      <c r="I547" s="18" t="n"/>
    </row>
    <row r="548">
      <c r="A548" s="18">
        <f>IF(ISNUMBER(Dossiers!$D$14),Dossiers!$A$14&amp;" · "&amp;Dossiers!$B$14,"")</f>
        <v/>
      </c>
      <c r="B548" s="18">
        <f>IF($A548="","",Paramètres!G8)</f>
        <v/>
      </c>
      <c r="C548" s="18">
        <f>IF($A548="","",IF(Paramètres!H8="","",Paramètres!H8))</f>
        <v/>
      </c>
      <c r="D548" s="18">
        <f>IF($A548="","",IF(Paramètres!I8="","",Paramètres!I8))</f>
        <v/>
      </c>
      <c r="E548" s="19">
        <f>IF($A548="","",IF(Paramètres!J8&amp;Paramètres!L8&amp;Paramètres!N8="",Dossiers!$D$14,MAX(IF(Paramètres!J8="",0,IF(Paramètres!K8="",NA(),IF(LEFT(TRIM(Paramètres!K8),1)="F",INDEX($F$545:$F$597,MATCH(Paramètres!J8,Paramètres!$G$5:$G$57,0)),INDEX($E$545:$E$597,MATCH(Paramètres!J8,Paramètres!$G$5:$G$57,0)))+IF(RIGHT(TRIM(Paramètres!K8),3)="Fin",1-$H548,IF(LEFT(TRIM(Paramètres!K8),1)="F",1,0)))),IF(Paramètres!L8="",0,IF(Paramètres!M8="",NA(),IF(LEFT(TRIM(Paramètres!M8),1)="F",INDEX($F$545:$F$597,MATCH(Paramètres!L8,Paramètres!$G$5:$G$57,0)),INDEX($E$545:$E$597,MATCH(Paramètres!L8,Paramètres!$G$5:$G$57,0)))+IF(RIGHT(TRIM(Paramètres!M8),3)="Fin",1-$H548,IF(LEFT(TRIM(Paramètres!M8),1)="F",1,0)))),IF(Paramètres!N8="",0,IF(Paramètres!O8="",NA(),IF(LEFT(TRIM(Paramètres!O8),1)="F",INDEX($F$545:$F$597,MATCH(Paramètres!N8,Paramètres!$G$5:$G$57,0)),INDEX($E$545:$E$597,MATCH(Paramètres!N8,Paramètres!$G$5:$G$57,0)))+IF(RIGHT(TRIM(Paramètres!O8),3)="Fin",1-$H548,IF(LEFT(TRIM(Paramètres!O8),1)="F",1,0)))))))</f>
        <v/>
      </c>
      <c r="F548" s="19">
        <f>IF($A548="","",E548+$H548-1)</f>
        <v/>
      </c>
      <c r="G548" s="18" t="n"/>
      <c r="H548" s="18">
        <f>IF($A548="","",IF(I548&lt;&gt;"",I548,Paramètres!B8))</f>
        <v/>
      </c>
      <c r="I548" s="18" t="n"/>
    </row>
    <row r="549">
      <c r="A549" s="18">
        <f>IF(ISNUMBER(Dossiers!$D$14),Dossiers!$A$14&amp;" · "&amp;Dossiers!$B$14,"")</f>
        <v/>
      </c>
      <c r="B549" s="18">
        <f>IF($A549="","",Paramètres!G9)</f>
        <v/>
      </c>
      <c r="C549" s="18">
        <f>IF($A549="","",IF(Paramètres!H9="","",Paramètres!H9))</f>
        <v/>
      </c>
      <c r="D549" s="18">
        <f>IF($A549="","",IF(Paramètres!I9="","",Paramètres!I9))</f>
        <v/>
      </c>
      <c r="E549" s="19">
        <f>IF($A549="","",IF(Paramètres!J9&amp;Paramètres!L9&amp;Paramètres!N9="",Dossiers!$D$14,MAX(IF(Paramètres!J9="",0,IF(Paramètres!K9="",NA(),IF(LEFT(TRIM(Paramètres!K9),1)="F",INDEX($F$545:$F$597,MATCH(Paramètres!J9,Paramètres!$G$5:$G$57,0)),INDEX($E$545:$E$597,MATCH(Paramètres!J9,Paramètres!$G$5:$G$57,0)))+IF(RIGHT(TRIM(Paramètres!K9),3)="Fin",1-$H549,IF(LEFT(TRIM(Paramètres!K9),1)="F",1,0)))),IF(Paramètres!L9="",0,IF(Paramètres!M9="",NA(),IF(LEFT(TRIM(Paramètres!M9),1)="F",INDEX($F$545:$F$597,MATCH(Paramètres!L9,Paramètres!$G$5:$G$57,0)),INDEX($E$545:$E$597,MATCH(Paramètres!L9,Paramètres!$G$5:$G$57,0)))+IF(RIGHT(TRIM(Paramètres!M9),3)="Fin",1-$H549,IF(LEFT(TRIM(Paramètres!M9),1)="F",1,0)))),IF(Paramètres!N9="",0,IF(Paramètres!O9="",NA(),IF(LEFT(TRIM(Paramètres!O9),1)="F",INDEX($F$545:$F$597,MATCH(Paramètres!N9,Paramètres!$G$5:$G$57,0)),INDEX($E$545:$E$597,MATCH(Paramètres!N9,Paramètres!$G$5:$G$57,0)))+IF(RIGHT(TRIM(Paramètres!O9),3)="Fin",1-$H549,IF(LEFT(TRIM(Paramètres!O9),1)="F",1,0)))))))</f>
        <v/>
      </c>
      <c r="F549" s="19">
        <f>IF($A549="","",E549+$H549-1)</f>
        <v/>
      </c>
      <c r="G549" s="18" t="n"/>
      <c r="H549" s="18">
        <f>IF($A549="","",IF(I549&lt;&gt;"",I549,Paramètres!B9))</f>
        <v/>
      </c>
      <c r="I549" s="18" t="n"/>
    </row>
    <row r="550">
      <c r="A550" s="18">
        <f>IF(ISNUMBER(Dossiers!$D$14),Dossiers!$A$14&amp;" · "&amp;Dossiers!$B$14,"")</f>
        <v/>
      </c>
      <c r="B550" s="18">
        <f>IF($A550="","",Paramètres!G10)</f>
        <v/>
      </c>
      <c r="C550" s="18">
        <f>IF($A550="","",IF(Paramètres!H10="","",Paramètres!H10))</f>
        <v/>
      </c>
      <c r="D550" s="18">
        <f>IF($A550="","",IF(Paramètres!I10="","",Paramètres!I10))</f>
        <v/>
      </c>
      <c r="E550" s="19">
        <f>IF($A550="","",MIN(E551:E554))</f>
        <v/>
      </c>
      <c r="F550" s="19">
        <f>IF($A550="","",MAX(F551:F554))</f>
        <v/>
      </c>
      <c r="G550" s="18" t="n"/>
      <c r="H550" s="18">
        <f>IF($A550="","",F550-E550+1)</f>
        <v/>
      </c>
      <c r="I550" s="18" t="n"/>
    </row>
    <row r="551">
      <c r="A551" s="18">
        <f>IF(ISNUMBER(Dossiers!$D$14),Dossiers!$A$14&amp;" · "&amp;Dossiers!$B$14,"")</f>
        <v/>
      </c>
      <c r="B551" s="18">
        <f>IF($A551="","",Paramètres!G11)</f>
        <v/>
      </c>
      <c r="C551" s="18">
        <f>IF($A551="","",IF(Paramètres!H11="","",Paramètres!H11))</f>
        <v/>
      </c>
      <c r="D551" s="18">
        <f>IF($A551="","",IF(Paramètres!I11="","",Paramètres!I11))</f>
        <v/>
      </c>
      <c r="E551" s="19">
        <f>IF($A551="","",IF(Paramètres!J11&amp;Paramètres!L11&amp;Paramètres!N11="",Dossiers!$D$14,MAX(IF(Paramètres!J11="",0,IF(Paramètres!K11="",NA(),IF(LEFT(TRIM(Paramètres!K11),1)="F",INDEX($F$545:$F$597,MATCH(Paramètres!J11,Paramètres!$G$5:$G$57,0)),INDEX($E$545:$E$597,MATCH(Paramètres!J11,Paramètres!$G$5:$G$57,0)))+IF(RIGHT(TRIM(Paramètres!K11),3)="Fin",1-$H551,IF(LEFT(TRIM(Paramètres!K11),1)="F",1,0)))),IF(Paramètres!L11="",0,IF(Paramètres!M11="",NA(),IF(LEFT(TRIM(Paramètres!M11),1)="F",INDEX($F$545:$F$597,MATCH(Paramètres!L11,Paramètres!$G$5:$G$57,0)),INDEX($E$545:$E$597,MATCH(Paramètres!L11,Paramètres!$G$5:$G$57,0)))+IF(RIGHT(TRIM(Paramètres!M11),3)="Fin",1-$H551,IF(LEFT(TRIM(Paramètres!M11),1)="F",1,0)))),IF(Paramètres!N11="",0,IF(Paramètres!O11="",NA(),IF(LEFT(TRIM(Paramètres!O11),1)="F",INDEX($F$545:$F$597,MATCH(Paramètres!N11,Paramètres!$G$5:$G$57,0)),INDEX($E$545:$E$597,MATCH(Paramètres!N11,Paramètres!$G$5:$G$57,0)))+IF(RIGHT(TRIM(Paramètres!O11),3)="Fin",1-$H551,IF(LEFT(TRIM(Paramètres!O11),1)="F",1,0)))))))</f>
        <v/>
      </c>
      <c r="F551" s="19">
        <f>IF($A551="","",E551+$H551-1)</f>
        <v/>
      </c>
      <c r="G551" s="18" t="n"/>
      <c r="H551" s="18">
        <f>IF($A551="","",IF(I551&lt;&gt;"",I551,Paramètres!B11))</f>
        <v/>
      </c>
      <c r="I551" s="18" t="n"/>
    </row>
    <row r="552">
      <c r="A552" s="18">
        <f>IF(ISNUMBER(Dossiers!$D$14),Dossiers!$A$14&amp;" · "&amp;Dossiers!$B$14,"")</f>
        <v/>
      </c>
      <c r="B552" s="18">
        <f>IF($A552="","",Paramètres!G12)</f>
        <v/>
      </c>
      <c r="C552" s="18">
        <f>IF($A552="","",IF(Paramètres!H12="","",Paramètres!H12))</f>
        <v/>
      </c>
      <c r="D552" s="18">
        <f>IF($A552="","",IF(Paramètres!I12="","",Paramètres!I12))</f>
        <v/>
      </c>
      <c r="E552" s="19">
        <f>IF($A552="","",IF(Paramètres!J12&amp;Paramètres!L12&amp;Paramètres!N12="",Dossiers!$D$14,MAX(IF(Paramètres!J12="",0,IF(Paramètres!K12="",NA(),IF(LEFT(TRIM(Paramètres!K12),1)="F",INDEX($F$545:$F$597,MATCH(Paramètres!J12,Paramètres!$G$5:$G$57,0)),INDEX($E$545:$E$597,MATCH(Paramètres!J12,Paramètres!$G$5:$G$57,0)))+IF(RIGHT(TRIM(Paramètres!K12),3)="Fin",1-$H552,IF(LEFT(TRIM(Paramètres!K12),1)="F",1,0)))),IF(Paramètres!L12="",0,IF(Paramètres!M12="",NA(),IF(LEFT(TRIM(Paramètres!M12),1)="F",INDEX($F$545:$F$597,MATCH(Paramètres!L12,Paramètres!$G$5:$G$57,0)),INDEX($E$545:$E$597,MATCH(Paramètres!L12,Paramètres!$G$5:$G$57,0)))+IF(RIGHT(TRIM(Paramètres!M12),3)="Fin",1-$H552,IF(LEFT(TRIM(Paramètres!M12),1)="F",1,0)))),IF(Paramètres!N12="",0,IF(Paramètres!O12="",NA(),IF(LEFT(TRIM(Paramètres!O12),1)="F",INDEX($F$545:$F$597,MATCH(Paramètres!N12,Paramètres!$G$5:$G$57,0)),INDEX($E$545:$E$597,MATCH(Paramètres!N12,Paramètres!$G$5:$G$57,0)))+IF(RIGHT(TRIM(Paramètres!O12),3)="Fin",1-$H552,IF(LEFT(TRIM(Paramètres!O12),1)="F",1,0)))))))</f>
        <v/>
      </c>
      <c r="F552" s="19">
        <f>IF($A552="","",E552+$H552-1)</f>
        <v/>
      </c>
      <c r="G552" s="18" t="n"/>
      <c r="H552" s="18">
        <f>IF($A552="","",IF(I552&lt;&gt;"",I552,Paramètres!B12))</f>
        <v/>
      </c>
      <c r="I552" s="18" t="n"/>
    </row>
    <row r="553">
      <c r="A553" s="18">
        <f>IF(ISNUMBER(Dossiers!$D$14),Dossiers!$A$14&amp;" · "&amp;Dossiers!$B$14,"")</f>
        <v/>
      </c>
      <c r="B553" s="18">
        <f>IF($A553="","",Paramètres!G13)</f>
        <v/>
      </c>
      <c r="C553" s="18">
        <f>IF($A553="","",IF(Paramètres!H13="","",Paramètres!H13))</f>
        <v/>
      </c>
      <c r="D553" s="18">
        <f>IF($A553="","",IF(Paramètres!I13="","",Paramètres!I13))</f>
        <v/>
      </c>
      <c r="E553" s="19">
        <f>IF($A553="","",IF(Paramètres!J13&amp;Paramètres!L13&amp;Paramètres!N13="",Dossiers!$D$14,MAX(IF(Paramètres!J13="",0,IF(Paramètres!K13="",NA(),IF(LEFT(TRIM(Paramètres!K13),1)="F",INDEX($F$545:$F$597,MATCH(Paramètres!J13,Paramètres!$G$5:$G$57,0)),INDEX($E$545:$E$597,MATCH(Paramètres!J13,Paramètres!$G$5:$G$57,0)))+IF(RIGHT(TRIM(Paramètres!K13),3)="Fin",1-$H553,IF(LEFT(TRIM(Paramètres!K13),1)="F",1,0)))),IF(Paramètres!L13="",0,IF(Paramètres!M13="",NA(),IF(LEFT(TRIM(Paramètres!M13),1)="F",INDEX($F$545:$F$597,MATCH(Paramètres!L13,Paramètres!$G$5:$G$57,0)),INDEX($E$545:$E$597,MATCH(Paramètres!L13,Paramètres!$G$5:$G$57,0)))+IF(RIGHT(TRIM(Paramètres!M13),3)="Fin",1-$H553,IF(LEFT(TRIM(Paramètres!M13),1)="F",1,0)))),IF(Paramètres!N13="",0,IF(Paramètres!O13="",NA(),IF(LEFT(TRIM(Paramètres!O13),1)="F",INDEX($F$545:$F$597,MATCH(Paramètres!N13,Paramètres!$G$5:$G$57,0)),INDEX($E$545:$E$597,MATCH(Paramètres!N13,Paramètres!$G$5:$G$57,0)))+IF(RIGHT(TRIM(Paramètres!O13),3)="Fin",1-$H553,IF(LEFT(TRIM(Paramètres!O13),1)="F",1,0)))))))</f>
        <v/>
      </c>
      <c r="F553" s="19">
        <f>IF($A553="","",E553+$H553-1)</f>
        <v/>
      </c>
      <c r="G553" s="18" t="n"/>
      <c r="H553" s="18">
        <f>IF($A553="","",IF(I553&lt;&gt;"",I553,Paramètres!B13))</f>
        <v/>
      </c>
      <c r="I553" s="18" t="n"/>
    </row>
    <row r="554">
      <c r="A554" s="18">
        <f>IF(ISNUMBER(Dossiers!$D$14),Dossiers!$A$14&amp;" · "&amp;Dossiers!$B$14,"")</f>
        <v/>
      </c>
      <c r="B554" s="18">
        <f>IF($A554="","",Paramètres!G14)</f>
        <v/>
      </c>
      <c r="C554" s="18">
        <f>IF($A554="","",IF(Paramètres!H14="","",Paramètres!H14))</f>
        <v/>
      </c>
      <c r="D554" s="18">
        <f>IF($A554="","",IF(Paramètres!I14="","",Paramètres!I14))</f>
        <v/>
      </c>
      <c r="E554" s="19">
        <f>IF($A554="","",IF(Paramètres!J14&amp;Paramètres!L14&amp;Paramètres!N14="",Dossiers!$D$14,MAX(IF(Paramètres!J14="",0,IF(Paramètres!K14="",NA(),IF(LEFT(TRIM(Paramètres!K14),1)="F",INDEX($F$545:$F$597,MATCH(Paramètres!J14,Paramètres!$G$5:$G$57,0)),INDEX($E$545:$E$597,MATCH(Paramètres!J14,Paramètres!$G$5:$G$57,0)))+IF(RIGHT(TRIM(Paramètres!K14),3)="Fin",1-$H554,IF(LEFT(TRIM(Paramètres!K14),1)="F",1,0)))),IF(Paramètres!L14="",0,IF(Paramètres!M14="",NA(),IF(LEFT(TRIM(Paramètres!M14),1)="F",INDEX($F$545:$F$597,MATCH(Paramètres!L14,Paramètres!$G$5:$G$57,0)),INDEX($E$545:$E$597,MATCH(Paramètres!L14,Paramètres!$G$5:$G$57,0)))+IF(RIGHT(TRIM(Paramètres!M14),3)="Fin",1-$H554,IF(LEFT(TRIM(Paramètres!M14),1)="F",1,0)))),IF(Paramètres!N14="",0,IF(Paramètres!O14="",NA(),IF(LEFT(TRIM(Paramètres!O14),1)="F",INDEX($F$545:$F$597,MATCH(Paramètres!N14,Paramètres!$G$5:$G$57,0)),INDEX($E$545:$E$597,MATCH(Paramètres!N14,Paramètres!$G$5:$G$57,0)))+IF(RIGHT(TRIM(Paramètres!O14),3)="Fin",1-$H554,IF(LEFT(TRIM(Paramètres!O14),1)="F",1,0)))))))</f>
        <v/>
      </c>
      <c r="F554" s="19">
        <f>IF($A554="","",E554+$H554-1)</f>
        <v/>
      </c>
      <c r="G554" s="18" t="n"/>
      <c r="H554" s="18">
        <f>IF($A554="","",IF(I554&lt;&gt;"",I554,Paramètres!B14))</f>
        <v/>
      </c>
      <c r="I554" s="18" t="n"/>
    </row>
    <row r="555">
      <c r="A555" s="18">
        <f>IF(ISNUMBER(Dossiers!$D$14),Dossiers!$A$14&amp;" · "&amp;Dossiers!$B$14,"")</f>
        <v/>
      </c>
      <c r="B555" s="18">
        <f>IF($A555="","",Paramètres!G15)</f>
        <v/>
      </c>
      <c r="C555" s="18">
        <f>IF($A555="","",IF(Paramètres!H15="","",Paramètres!H15))</f>
        <v/>
      </c>
      <c r="D555" s="18">
        <f>IF($A555="","",IF(Paramètres!I15="","",Paramètres!I15))</f>
        <v/>
      </c>
      <c r="E555" s="19">
        <f>IF($A555="","",MIN(E556:E571))</f>
        <v/>
      </c>
      <c r="F555" s="19">
        <f>IF($A555="","",MAX(F556:F571))</f>
        <v/>
      </c>
      <c r="G555" s="18" t="n"/>
      <c r="H555" s="18">
        <f>IF($A555="","",F555-E555+1)</f>
        <v/>
      </c>
      <c r="I555" s="18" t="n"/>
    </row>
    <row r="556">
      <c r="A556" s="18">
        <f>IF(ISNUMBER(Dossiers!$D$14),Dossiers!$A$14&amp;" · "&amp;Dossiers!$B$14,"")</f>
        <v/>
      </c>
      <c r="B556" s="18">
        <f>IF($A556="","",Paramètres!G16)</f>
        <v/>
      </c>
      <c r="C556" s="18">
        <f>IF($A556="","",IF(Paramètres!H16="","",Paramètres!H16))</f>
        <v/>
      </c>
      <c r="D556" s="18">
        <f>IF($A556="","",IF(Paramètres!I16="","",Paramètres!I16))</f>
        <v/>
      </c>
      <c r="E556" s="19">
        <f>IF($A556="","",IF(Paramètres!J16&amp;Paramètres!L16&amp;Paramètres!N16="",Dossiers!$D$14,MAX(IF(Paramètres!J16="",0,IF(Paramètres!K16="",NA(),IF(LEFT(TRIM(Paramètres!K16),1)="F",INDEX($F$545:$F$597,MATCH(Paramètres!J16,Paramètres!$G$5:$G$57,0)),INDEX($E$545:$E$597,MATCH(Paramètres!J16,Paramètres!$G$5:$G$57,0)))+IF(RIGHT(TRIM(Paramètres!K16),3)="Fin",1-$H556,IF(LEFT(TRIM(Paramètres!K16),1)="F",1,0)))),IF(Paramètres!L16="",0,IF(Paramètres!M16="",NA(),IF(LEFT(TRIM(Paramètres!M16),1)="F",INDEX($F$545:$F$597,MATCH(Paramètres!L16,Paramètres!$G$5:$G$57,0)),INDEX($E$545:$E$597,MATCH(Paramètres!L16,Paramètres!$G$5:$G$57,0)))+IF(RIGHT(TRIM(Paramètres!M16),3)="Fin",1-$H556,IF(LEFT(TRIM(Paramètres!M16),1)="F",1,0)))),IF(Paramètres!N16="",0,IF(Paramètres!O16="",NA(),IF(LEFT(TRIM(Paramètres!O16),1)="F",INDEX($F$545:$F$597,MATCH(Paramètres!N16,Paramètres!$G$5:$G$57,0)),INDEX($E$545:$E$597,MATCH(Paramètres!N16,Paramètres!$G$5:$G$57,0)))+IF(RIGHT(TRIM(Paramètres!O16),3)="Fin",1-$H556,IF(LEFT(TRIM(Paramètres!O16),1)="F",1,0)))))))</f>
        <v/>
      </c>
      <c r="F556" s="19">
        <f>IF($A556="","",E556+$H556-1)</f>
        <v/>
      </c>
      <c r="G556" s="18" t="n"/>
      <c r="H556" s="18">
        <f>IF($A556="","",IF(I556&lt;&gt;"",I556,Paramètres!B16))</f>
        <v/>
      </c>
      <c r="I556" s="18" t="n"/>
    </row>
    <row r="557">
      <c r="A557" s="18">
        <f>IF(ISNUMBER(Dossiers!$D$14),Dossiers!$A$14&amp;" · "&amp;Dossiers!$B$14,"")</f>
        <v/>
      </c>
      <c r="B557" s="18">
        <f>IF($A557="","",Paramètres!G17)</f>
        <v/>
      </c>
      <c r="C557" s="18">
        <f>IF($A557="","",IF(Paramètres!H17="","",Paramètres!H17))</f>
        <v/>
      </c>
      <c r="D557" s="18">
        <f>IF($A557="","",IF(Paramètres!I17="","",Paramètres!I17))</f>
        <v/>
      </c>
      <c r="E557" s="19">
        <f>IF($A557="","",IF(Paramètres!J17&amp;Paramètres!L17&amp;Paramètres!N17="",Dossiers!$D$14,MAX(IF(Paramètres!J17="",0,IF(Paramètres!K17="",NA(),IF(LEFT(TRIM(Paramètres!K17),1)="F",INDEX($F$545:$F$597,MATCH(Paramètres!J17,Paramètres!$G$5:$G$57,0)),INDEX($E$545:$E$597,MATCH(Paramètres!J17,Paramètres!$G$5:$G$57,0)))+IF(RIGHT(TRIM(Paramètres!K17),3)="Fin",1-$H557,IF(LEFT(TRIM(Paramètres!K17),1)="F",1,0)))),IF(Paramètres!L17="",0,IF(Paramètres!M17="",NA(),IF(LEFT(TRIM(Paramètres!M17),1)="F",INDEX($F$545:$F$597,MATCH(Paramètres!L17,Paramètres!$G$5:$G$57,0)),INDEX($E$545:$E$597,MATCH(Paramètres!L17,Paramètres!$G$5:$G$57,0)))+IF(RIGHT(TRIM(Paramètres!M17),3)="Fin",1-$H557,IF(LEFT(TRIM(Paramètres!M17),1)="F",1,0)))),IF(Paramètres!N17="",0,IF(Paramètres!O17="",NA(),IF(LEFT(TRIM(Paramètres!O17),1)="F",INDEX($F$545:$F$597,MATCH(Paramètres!N17,Paramètres!$G$5:$G$57,0)),INDEX($E$545:$E$597,MATCH(Paramètres!N17,Paramètres!$G$5:$G$57,0)))+IF(RIGHT(TRIM(Paramètres!O17),3)="Fin",1-$H557,IF(LEFT(TRIM(Paramètres!O17),1)="F",1,0)))))))</f>
        <v/>
      </c>
      <c r="F557" s="19">
        <f>IF($A557="","",E557+$H557-1)</f>
        <v/>
      </c>
      <c r="G557" s="18" t="n"/>
      <c r="H557" s="18">
        <f>IF($A557="","",IF(I557&lt;&gt;"",I557,Paramètres!B17))</f>
        <v/>
      </c>
      <c r="I557" s="18" t="n"/>
    </row>
    <row r="558">
      <c r="A558" s="18">
        <f>IF(ISNUMBER(Dossiers!$D$14),Dossiers!$A$14&amp;" · "&amp;Dossiers!$B$14,"")</f>
        <v/>
      </c>
      <c r="B558" s="18">
        <f>IF($A558="","",Paramètres!G18)</f>
        <v/>
      </c>
      <c r="C558" s="18">
        <f>IF($A558="","",IF(Paramètres!H18="","",Paramètres!H18))</f>
        <v/>
      </c>
      <c r="D558" s="18">
        <f>IF($A558="","",IF(Paramètres!I18="","",Paramètres!I18))</f>
        <v/>
      </c>
      <c r="E558" s="19">
        <f>IF($A558="","",IF(Paramètres!J18&amp;Paramètres!L18&amp;Paramètres!N18="",Dossiers!$D$14,MAX(IF(Paramètres!J18="",0,IF(Paramètres!K18="",NA(),IF(LEFT(TRIM(Paramètres!K18),1)="F",INDEX($F$545:$F$597,MATCH(Paramètres!J18,Paramètres!$G$5:$G$57,0)),INDEX($E$545:$E$597,MATCH(Paramètres!J18,Paramètres!$G$5:$G$57,0)))+IF(RIGHT(TRIM(Paramètres!K18),3)="Fin",1-$H558,IF(LEFT(TRIM(Paramètres!K18),1)="F",1,0)))),IF(Paramètres!L18="",0,IF(Paramètres!M18="",NA(),IF(LEFT(TRIM(Paramètres!M18),1)="F",INDEX($F$545:$F$597,MATCH(Paramètres!L18,Paramètres!$G$5:$G$57,0)),INDEX($E$545:$E$597,MATCH(Paramètres!L18,Paramètres!$G$5:$G$57,0)))+IF(RIGHT(TRIM(Paramètres!M18),3)="Fin",1-$H558,IF(LEFT(TRIM(Paramètres!M18),1)="F",1,0)))),IF(Paramètres!N18="",0,IF(Paramètres!O18="",NA(),IF(LEFT(TRIM(Paramètres!O18),1)="F",INDEX($F$545:$F$597,MATCH(Paramètres!N18,Paramètres!$G$5:$G$57,0)),INDEX($E$545:$E$597,MATCH(Paramètres!N18,Paramètres!$G$5:$G$57,0)))+IF(RIGHT(TRIM(Paramètres!O18),3)="Fin",1-$H558,IF(LEFT(TRIM(Paramètres!O18),1)="F",1,0)))))))</f>
        <v/>
      </c>
      <c r="F558" s="19">
        <f>IF($A558="","",E558+$H558-1)</f>
        <v/>
      </c>
      <c r="G558" s="18" t="n"/>
      <c r="H558" s="18">
        <f>IF($A558="","",IF(I558&lt;&gt;"",I558,Paramètres!B18))</f>
        <v/>
      </c>
      <c r="I558" s="18" t="n"/>
    </row>
    <row r="559">
      <c r="A559" s="18">
        <f>IF(ISNUMBER(Dossiers!$D$14),Dossiers!$A$14&amp;" · "&amp;Dossiers!$B$14,"")</f>
        <v/>
      </c>
      <c r="B559" s="18">
        <f>IF($A559="","",Paramètres!G19)</f>
        <v/>
      </c>
      <c r="C559" s="18">
        <f>IF($A559="","",IF(Paramètres!H19="","",Paramètres!H19))</f>
        <v/>
      </c>
      <c r="D559" s="18">
        <f>IF($A559="","",IF(Paramètres!I19="","",Paramètres!I19))</f>
        <v/>
      </c>
      <c r="E559" s="19">
        <f>IF($A559="","",IF(Paramètres!J19&amp;Paramètres!L19&amp;Paramètres!N19="",Dossiers!$D$14,MAX(IF(Paramètres!J19="",0,IF(Paramètres!K19="",NA(),IF(LEFT(TRIM(Paramètres!K19),1)="F",INDEX($F$545:$F$597,MATCH(Paramètres!J19,Paramètres!$G$5:$G$57,0)),INDEX($E$545:$E$597,MATCH(Paramètres!J19,Paramètres!$G$5:$G$57,0)))+IF(RIGHT(TRIM(Paramètres!K19),3)="Fin",1-$H559,IF(LEFT(TRIM(Paramètres!K19),1)="F",1,0)))),IF(Paramètres!L19="",0,IF(Paramètres!M19="",NA(),IF(LEFT(TRIM(Paramètres!M19),1)="F",INDEX($F$545:$F$597,MATCH(Paramètres!L19,Paramètres!$G$5:$G$57,0)),INDEX($E$545:$E$597,MATCH(Paramètres!L19,Paramètres!$G$5:$G$57,0)))+IF(RIGHT(TRIM(Paramètres!M19),3)="Fin",1-$H559,IF(LEFT(TRIM(Paramètres!M19),1)="F",1,0)))),IF(Paramètres!N19="",0,IF(Paramètres!O19="",NA(),IF(LEFT(TRIM(Paramètres!O19),1)="F",INDEX($F$545:$F$597,MATCH(Paramètres!N19,Paramètres!$G$5:$G$57,0)),INDEX($E$545:$E$597,MATCH(Paramètres!N19,Paramètres!$G$5:$G$57,0)))+IF(RIGHT(TRIM(Paramètres!O19),3)="Fin",1-$H559,IF(LEFT(TRIM(Paramètres!O19),1)="F",1,0)))))))</f>
        <v/>
      </c>
      <c r="F559" s="19">
        <f>IF($A559="","",E559+$H559-1)</f>
        <v/>
      </c>
      <c r="G559" s="18" t="n"/>
      <c r="H559" s="18">
        <f>IF($A559="","",IF(I559&lt;&gt;"",I559,Paramètres!B19))</f>
        <v/>
      </c>
      <c r="I559" s="18" t="n"/>
    </row>
    <row r="560">
      <c r="A560" s="18">
        <f>IF(ISNUMBER(Dossiers!$D$14),Dossiers!$A$14&amp;" · "&amp;Dossiers!$B$14,"")</f>
        <v/>
      </c>
      <c r="B560" s="18">
        <f>IF($A560="","",Paramètres!G20)</f>
        <v/>
      </c>
      <c r="C560" s="18">
        <f>IF($A560="","",IF(Paramètres!H20="","",Paramètres!H20))</f>
        <v/>
      </c>
      <c r="D560" s="18">
        <f>IF($A560="","",IF(Paramètres!I20="","",Paramètres!I20))</f>
        <v/>
      </c>
      <c r="E560" s="19">
        <f>IF($A560="","",IF(Paramètres!J20&amp;Paramètres!L20&amp;Paramètres!N20="",Dossiers!$D$14,MAX(IF(Paramètres!J20="",0,IF(Paramètres!K20="",NA(),IF(LEFT(TRIM(Paramètres!K20),1)="F",INDEX($F$545:$F$597,MATCH(Paramètres!J20,Paramètres!$G$5:$G$57,0)),INDEX($E$545:$E$597,MATCH(Paramètres!J20,Paramètres!$G$5:$G$57,0)))+IF(RIGHT(TRIM(Paramètres!K20),3)="Fin",1-$H560,IF(LEFT(TRIM(Paramètres!K20),1)="F",1,0)))),IF(Paramètres!L20="",0,IF(Paramètres!M20="",NA(),IF(LEFT(TRIM(Paramètres!M20),1)="F",INDEX($F$545:$F$597,MATCH(Paramètres!L20,Paramètres!$G$5:$G$57,0)),INDEX($E$545:$E$597,MATCH(Paramètres!L20,Paramètres!$G$5:$G$57,0)))+IF(RIGHT(TRIM(Paramètres!M20),3)="Fin",1-$H560,IF(LEFT(TRIM(Paramètres!M20),1)="F",1,0)))),IF(Paramètres!N20="",0,IF(Paramètres!O20="",NA(),IF(LEFT(TRIM(Paramètres!O20),1)="F",INDEX($F$545:$F$597,MATCH(Paramètres!N20,Paramètres!$G$5:$G$57,0)),INDEX($E$545:$E$597,MATCH(Paramètres!N20,Paramètres!$G$5:$G$57,0)))+IF(RIGHT(TRIM(Paramètres!O20),3)="Fin",1-$H560,IF(LEFT(TRIM(Paramètres!O20),1)="F",1,0)))))))</f>
        <v/>
      </c>
      <c r="F560" s="19">
        <f>IF($A560="","",E560+$H560-1)</f>
        <v/>
      </c>
      <c r="G560" s="18" t="n"/>
      <c r="H560" s="18">
        <f>IF($A560="","",IF(I560&lt;&gt;"",I560,Paramètres!B20))</f>
        <v/>
      </c>
      <c r="I560" s="18" t="n"/>
    </row>
    <row r="561">
      <c r="A561" s="18">
        <f>IF(ISNUMBER(Dossiers!$D$14),Dossiers!$A$14&amp;" · "&amp;Dossiers!$B$14,"")</f>
        <v/>
      </c>
      <c r="B561" s="18">
        <f>IF($A561="","",Paramètres!G21)</f>
        <v/>
      </c>
      <c r="C561" s="18">
        <f>IF($A561="","",IF(Paramètres!H21="","",Paramètres!H21))</f>
        <v/>
      </c>
      <c r="D561" s="18">
        <f>IF($A561="","",IF(Paramètres!I21="","",Paramètres!I21))</f>
        <v/>
      </c>
      <c r="E561" s="19">
        <f>IF($A561="","",IF(Paramètres!J21&amp;Paramètres!L21&amp;Paramètres!N21="",Dossiers!$D$14,MAX(IF(Paramètres!J21="",0,IF(Paramètres!K21="",NA(),IF(LEFT(TRIM(Paramètres!K21),1)="F",INDEX($F$545:$F$597,MATCH(Paramètres!J21,Paramètres!$G$5:$G$57,0)),INDEX($E$545:$E$597,MATCH(Paramètres!J21,Paramètres!$G$5:$G$57,0)))+IF(RIGHT(TRIM(Paramètres!K21),3)="Fin",1-$H561,IF(LEFT(TRIM(Paramètres!K21),1)="F",1,0)))),IF(Paramètres!L21="",0,IF(Paramètres!M21="",NA(),IF(LEFT(TRIM(Paramètres!M21),1)="F",INDEX($F$545:$F$597,MATCH(Paramètres!L21,Paramètres!$G$5:$G$57,0)),INDEX($E$545:$E$597,MATCH(Paramètres!L21,Paramètres!$G$5:$G$57,0)))+IF(RIGHT(TRIM(Paramètres!M21),3)="Fin",1-$H561,IF(LEFT(TRIM(Paramètres!M21),1)="F",1,0)))),IF(Paramètres!N21="",0,IF(Paramètres!O21="",NA(),IF(LEFT(TRIM(Paramètres!O21),1)="F",INDEX($F$545:$F$597,MATCH(Paramètres!N21,Paramètres!$G$5:$G$57,0)),INDEX($E$545:$E$597,MATCH(Paramètres!N21,Paramètres!$G$5:$G$57,0)))+IF(RIGHT(TRIM(Paramètres!O21),3)="Fin",1-$H561,IF(LEFT(TRIM(Paramètres!O21),1)="F",1,0)))))))</f>
        <v/>
      </c>
      <c r="F561" s="19">
        <f>IF($A561="","",E561+$H561-1)</f>
        <v/>
      </c>
      <c r="G561" s="18" t="n"/>
      <c r="H561" s="18">
        <f>IF($A561="","",IF(I561&lt;&gt;"",I561,Paramètres!B21))</f>
        <v/>
      </c>
      <c r="I561" s="18" t="n"/>
    </row>
    <row r="562">
      <c r="A562" s="18">
        <f>IF(ISNUMBER(Dossiers!$D$14),Dossiers!$A$14&amp;" · "&amp;Dossiers!$B$14,"")</f>
        <v/>
      </c>
      <c r="B562" s="18">
        <f>IF($A562="","",Paramètres!G22)</f>
        <v/>
      </c>
      <c r="C562" s="18">
        <f>IF($A562="","",IF(Paramètres!H22="","",Paramètres!H22))</f>
        <v/>
      </c>
      <c r="D562" s="18">
        <f>IF($A562="","",IF(Paramètres!I22="","",Paramètres!I22))</f>
        <v/>
      </c>
      <c r="E562" s="19">
        <f>IF($A562="","",IF(Paramètres!J22&amp;Paramètres!L22&amp;Paramètres!N22="",Dossiers!$D$14,MAX(IF(Paramètres!J22="",0,IF(Paramètres!K22="",NA(),IF(LEFT(TRIM(Paramètres!K22),1)="F",INDEX($F$545:$F$597,MATCH(Paramètres!J22,Paramètres!$G$5:$G$57,0)),INDEX($E$545:$E$597,MATCH(Paramètres!J22,Paramètres!$G$5:$G$57,0)))+IF(RIGHT(TRIM(Paramètres!K22),3)="Fin",1-$H562,IF(LEFT(TRIM(Paramètres!K22),1)="F",1,0)))),IF(Paramètres!L22="",0,IF(Paramètres!M22="",NA(),IF(LEFT(TRIM(Paramètres!M22),1)="F",INDEX($F$545:$F$597,MATCH(Paramètres!L22,Paramètres!$G$5:$G$57,0)),INDEX($E$545:$E$597,MATCH(Paramètres!L22,Paramètres!$G$5:$G$57,0)))+IF(RIGHT(TRIM(Paramètres!M22),3)="Fin",1-$H562,IF(LEFT(TRIM(Paramètres!M22),1)="F",1,0)))),IF(Paramètres!N22="",0,IF(Paramètres!O22="",NA(),IF(LEFT(TRIM(Paramètres!O22),1)="F",INDEX($F$545:$F$597,MATCH(Paramètres!N22,Paramètres!$G$5:$G$57,0)),INDEX($E$545:$E$597,MATCH(Paramètres!N22,Paramètres!$G$5:$G$57,0)))+IF(RIGHT(TRIM(Paramètres!O22),3)="Fin",1-$H562,IF(LEFT(TRIM(Paramètres!O22),1)="F",1,0)))))))</f>
        <v/>
      </c>
      <c r="F562" s="19">
        <f>IF($A562="","",E562+$H562-1)</f>
        <v/>
      </c>
      <c r="G562" s="18" t="n"/>
      <c r="H562" s="18">
        <f>IF($A562="","",IF(I562&lt;&gt;"",I562,Paramètres!B22))</f>
        <v/>
      </c>
      <c r="I562" s="18" t="n"/>
    </row>
    <row r="563">
      <c r="A563" s="18">
        <f>IF(ISNUMBER(Dossiers!$D$14),Dossiers!$A$14&amp;" · "&amp;Dossiers!$B$14,"")</f>
        <v/>
      </c>
      <c r="B563" s="18">
        <f>IF($A563="","",Paramètres!G23)</f>
        <v/>
      </c>
      <c r="C563" s="18">
        <f>IF($A563="","",IF(Paramètres!H23="","",Paramètres!H23))</f>
        <v/>
      </c>
      <c r="D563" s="18">
        <f>IF($A563="","",IF(Paramètres!I23="","",Paramètres!I23))</f>
        <v/>
      </c>
      <c r="E563" s="19">
        <f>IF($A563="","",IF(Paramètres!J23&amp;Paramètres!L23&amp;Paramètres!N23="",Dossiers!$D$14,MAX(IF(Paramètres!J23="",0,IF(Paramètres!K23="",NA(),IF(LEFT(TRIM(Paramètres!K23),1)="F",INDEX($F$545:$F$597,MATCH(Paramètres!J23,Paramètres!$G$5:$G$57,0)),INDEX($E$545:$E$597,MATCH(Paramètres!J23,Paramètres!$G$5:$G$57,0)))+IF(RIGHT(TRIM(Paramètres!K23),3)="Fin",1-$H563,IF(LEFT(TRIM(Paramètres!K23),1)="F",1,0)))),IF(Paramètres!L23="",0,IF(Paramètres!M23="",NA(),IF(LEFT(TRIM(Paramètres!M23),1)="F",INDEX($F$545:$F$597,MATCH(Paramètres!L23,Paramètres!$G$5:$G$57,0)),INDEX($E$545:$E$597,MATCH(Paramètres!L23,Paramètres!$G$5:$G$57,0)))+IF(RIGHT(TRIM(Paramètres!M23),3)="Fin",1-$H563,IF(LEFT(TRIM(Paramètres!M23),1)="F",1,0)))),IF(Paramètres!N23="",0,IF(Paramètres!O23="",NA(),IF(LEFT(TRIM(Paramètres!O23),1)="F",INDEX($F$545:$F$597,MATCH(Paramètres!N23,Paramètres!$G$5:$G$57,0)),INDEX($E$545:$E$597,MATCH(Paramètres!N23,Paramètres!$G$5:$G$57,0)))+IF(RIGHT(TRIM(Paramètres!O23),3)="Fin",1-$H563,IF(LEFT(TRIM(Paramètres!O23),1)="F",1,0)))))))</f>
        <v/>
      </c>
      <c r="F563" s="19">
        <f>IF($A563="","",E563+$H563-1)</f>
        <v/>
      </c>
      <c r="G563" s="18" t="n"/>
      <c r="H563" s="18">
        <f>IF($A563="","",IF(I563&lt;&gt;"",I563,Paramètres!B23))</f>
        <v/>
      </c>
      <c r="I563" s="18" t="n"/>
    </row>
    <row r="564">
      <c r="A564" s="18">
        <f>IF(ISNUMBER(Dossiers!$D$14),Dossiers!$A$14&amp;" · "&amp;Dossiers!$B$14,"")</f>
        <v/>
      </c>
      <c r="B564" s="18">
        <f>IF($A564="","",Paramètres!G24)</f>
        <v/>
      </c>
      <c r="C564" s="18">
        <f>IF($A564="","",IF(Paramètres!H24="","",Paramètres!H24))</f>
        <v/>
      </c>
      <c r="D564" s="18">
        <f>IF($A564="","",IF(Paramètres!I24="","",Paramètres!I24))</f>
        <v/>
      </c>
      <c r="E564" s="19">
        <f>IF($A564="","",IF(Paramètres!J24&amp;Paramètres!L24&amp;Paramètres!N24="",Dossiers!$D$14,MAX(IF(Paramètres!J24="",0,IF(Paramètres!K24="",NA(),IF(LEFT(TRIM(Paramètres!K24),1)="F",INDEX($F$545:$F$597,MATCH(Paramètres!J24,Paramètres!$G$5:$G$57,0)),INDEX($E$545:$E$597,MATCH(Paramètres!J24,Paramètres!$G$5:$G$57,0)))+IF(RIGHT(TRIM(Paramètres!K24),3)="Fin",1-$H564,IF(LEFT(TRIM(Paramètres!K24),1)="F",1,0)))),IF(Paramètres!L24="",0,IF(Paramètres!M24="",NA(),IF(LEFT(TRIM(Paramètres!M24),1)="F",INDEX($F$545:$F$597,MATCH(Paramètres!L24,Paramètres!$G$5:$G$57,0)),INDEX($E$545:$E$597,MATCH(Paramètres!L24,Paramètres!$G$5:$G$57,0)))+IF(RIGHT(TRIM(Paramètres!M24),3)="Fin",1-$H564,IF(LEFT(TRIM(Paramètres!M24),1)="F",1,0)))),IF(Paramètres!N24="",0,IF(Paramètres!O24="",NA(),IF(LEFT(TRIM(Paramètres!O24),1)="F",INDEX($F$545:$F$597,MATCH(Paramètres!N24,Paramètres!$G$5:$G$57,0)),INDEX($E$545:$E$597,MATCH(Paramètres!N24,Paramètres!$G$5:$G$57,0)))+IF(RIGHT(TRIM(Paramètres!O24),3)="Fin",1-$H564,IF(LEFT(TRIM(Paramètres!O24),1)="F",1,0)))))))</f>
        <v/>
      </c>
      <c r="F564" s="19">
        <f>IF($A564="","",E564+$H564-1)</f>
        <v/>
      </c>
      <c r="G564" s="18" t="n"/>
      <c r="H564" s="18">
        <f>IF($A564="","",IF(I564&lt;&gt;"",I564,Paramètres!B24))</f>
        <v/>
      </c>
      <c r="I564" s="18" t="n"/>
    </row>
    <row r="565">
      <c r="A565" s="18">
        <f>IF(ISNUMBER(Dossiers!$D$14),Dossiers!$A$14&amp;" · "&amp;Dossiers!$B$14,"")</f>
        <v/>
      </c>
      <c r="B565" s="18">
        <f>IF($A565="","",Paramètres!G25)</f>
        <v/>
      </c>
      <c r="C565" s="18">
        <f>IF($A565="","",IF(Paramètres!H25="","",Paramètres!H25))</f>
        <v/>
      </c>
      <c r="D565" s="18">
        <f>IF($A565="","",IF(Paramètres!I25="","",Paramètres!I25))</f>
        <v/>
      </c>
      <c r="E565" s="19">
        <f>IF($A565="","",IF(Paramètres!J25&amp;Paramètres!L25&amp;Paramètres!N25="",Dossiers!$D$14,MAX(IF(Paramètres!J25="",0,IF(Paramètres!K25="",NA(),IF(LEFT(TRIM(Paramètres!K25),1)="F",INDEX($F$545:$F$597,MATCH(Paramètres!J25,Paramètres!$G$5:$G$57,0)),INDEX($E$545:$E$597,MATCH(Paramètres!J25,Paramètres!$G$5:$G$57,0)))+IF(RIGHT(TRIM(Paramètres!K25),3)="Fin",1-$H565,IF(LEFT(TRIM(Paramètres!K25),1)="F",1,0)))),IF(Paramètres!L25="",0,IF(Paramètres!M25="",NA(),IF(LEFT(TRIM(Paramètres!M25),1)="F",INDEX($F$545:$F$597,MATCH(Paramètres!L25,Paramètres!$G$5:$G$57,0)),INDEX($E$545:$E$597,MATCH(Paramètres!L25,Paramètres!$G$5:$G$57,0)))+IF(RIGHT(TRIM(Paramètres!M25),3)="Fin",1-$H565,IF(LEFT(TRIM(Paramètres!M25),1)="F",1,0)))),IF(Paramètres!N25="",0,IF(Paramètres!O25="",NA(),IF(LEFT(TRIM(Paramètres!O25),1)="F",INDEX($F$545:$F$597,MATCH(Paramètres!N25,Paramètres!$G$5:$G$57,0)),INDEX($E$545:$E$597,MATCH(Paramètres!N25,Paramètres!$G$5:$G$57,0)))+IF(RIGHT(TRIM(Paramètres!O25),3)="Fin",1-$H565,IF(LEFT(TRIM(Paramètres!O25),1)="F",1,0)))))))</f>
        <v/>
      </c>
      <c r="F565" s="19">
        <f>IF($A565="","",E565+$H565-1)</f>
        <v/>
      </c>
      <c r="G565" s="18" t="n"/>
      <c r="H565" s="18">
        <f>IF($A565="","",IF(I565&lt;&gt;"",I565,Paramètres!B25))</f>
        <v/>
      </c>
      <c r="I565" s="18" t="n"/>
    </row>
    <row r="566">
      <c r="A566" s="18">
        <f>IF(ISNUMBER(Dossiers!$D$14),Dossiers!$A$14&amp;" · "&amp;Dossiers!$B$14,"")</f>
        <v/>
      </c>
      <c r="B566" s="18">
        <f>IF($A566="","",Paramètres!G26)</f>
        <v/>
      </c>
      <c r="C566" s="18">
        <f>IF($A566="","",IF(Paramètres!H26="","",Paramètres!H26))</f>
        <v/>
      </c>
      <c r="D566" s="18">
        <f>IF($A566="","",IF(Paramètres!I26="","",Paramètres!I26))</f>
        <v/>
      </c>
      <c r="E566" s="19">
        <f>IF($A566="","",IF(Paramètres!J26&amp;Paramètres!L26&amp;Paramètres!N26="",Dossiers!$D$14,MAX(IF(Paramètres!J26="",0,IF(Paramètres!K26="",NA(),IF(LEFT(TRIM(Paramètres!K26),1)="F",INDEX($F$545:$F$597,MATCH(Paramètres!J26,Paramètres!$G$5:$G$57,0)),INDEX($E$545:$E$597,MATCH(Paramètres!J26,Paramètres!$G$5:$G$57,0)))+IF(RIGHT(TRIM(Paramètres!K26),3)="Fin",1-$H566,IF(LEFT(TRIM(Paramètres!K26),1)="F",1,0)))),IF(Paramètres!L26="",0,IF(Paramètres!M26="",NA(),IF(LEFT(TRIM(Paramètres!M26),1)="F",INDEX($F$545:$F$597,MATCH(Paramètres!L26,Paramètres!$G$5:$G$57,0)),INDEX($E$545:$E$597,MATCH(Paramètres!L26,Paramètres!$G$5:$G$57,0)))+IF(RIGHT(TRIM(Paramètres!M26),3)="Fin",1-$H566,IF(LEFT(TRIM(Paramètres!M26),1)="F",1,0)))),IF(Paramètres!N26="",0,IF(Paramètres!O26="",NA(),IF(LEFT(TRIM(Paramètres!O26),1)="F",INDEX($F$545:$F$597,MATCH(Paramètres!N26,Paramètres!$G$5:$G$57,0)),INDEX($E$545:$E$597,MATCH(Paramètres!N26,Paramètres!$G$5:$G$57,0)))+IF(RIGHT(TRIM(Paramètres!O26),3)="Fin",1-$H566,IF(LEFT(TRIM(Paramètres!O26),1)="F",1,0)))))))</f>
        <v/>
      </c>
      <c r="F566" s="19">
        <f>IF($A566="","",E566+$H566-1)</f>
        <v/>
      </c>
      <c r="G566" s="18" t="n"/>
      <c r="H566" s="18">
        <f>IF($A566="","",IF(I566&lt;&gt;"",I566,Paramètres!B26))</f>
        <v/>
      </c>
      <c r="I566" s="18" t="n"/>
    </row>
    <row r="567">
      <c r="A567" s="18">
        <f>IF(ISNUMBER(Dossiers!$D$14),Dossiers!$A$14&amp;" · "&amp;Dossiers!$B$14,"")</f>
        <v/>
      </c>
      <c r="B567" s="18">
        <f>IF($A567="","",Paramètres!G27)</f>
        <v/>
      </c>
      <c r="C567" s="18">
        <f>IF($A567="","",IF(Paramètres!H27="","",Paramètres!H27))</f>
        <v/>
      </c>
      <c r="D567" s="18">
        <f>IF($A567="","",IF(Paramètres!I27="","",Paramètres!I27))</f>
        <v/>
      </c>
      <c r="E567" s="19">
        <f>IF($A567="","",IF(Paramètres!J27&amp;Paramètres!L27&amp;Paramètres!N27="",Dossiers!$D$14,MAX(IF(Paramètres!J27="",0,IF(Paramètres!K27="",NA(),IF(LEFT(TRIM(Paramètres!K27),1)="F",INDEX($F$545:$F$597,MATCH(Paramètres!J27,Paramètres!$G$5:$G$57,0)),INDEX($E$545:$E$597,MATCH(Paramètres!J27,Paramètres!$G$5:$G$57,0)))+IF(RIGHT(TRIM(Paramètres!K27),3)="Fin",1-$H567,IF(LEFT(TRIM(Paramètres!K27),1)="F",1,0)))),IF(Paramètres!L27="",0,IF(Paramètres!M27="",NA(),IF(LEFT(TRIM(Paramètres!M27),1)="F",INDEX($F$545:$F$597,MATCH(Paramètres!L27,Paramètres!$G$5:$G$57,0)),INDEX($E$545:$E$597,MATCH(Paramètres!L27,Paramètres!$G$5:$G$57,0)))+IF(RIGHT(TRIM(Paramètres!M27),3)="Fin",1-$H567,IF(LEFT(TRIM(Paramètres!M27),1)="F",1,0)))),IF(Paramètres!N27="",0,IF(Paramètres!O27="",NA(),IF(LEFT(TRIM(Paramètres!O27),1)="F",INDEX($F$545:$F$597,MATCH(Paramètres!N27,Paramètres!$G$5:$G$57,0)),INDEX($E$545:$E$597,MATCH(Paramètres!N27,Paramètres!$G$5:$G$57,0)))+IF(RIGHT(TRIM(Paramètres!O27),3)="Fin",1-$H567,IF(LEFT(TRIM(Paramètres!O27),1)="F",1,0)))))))</f>
        <v/>
      </c>
      <c r="F567" s="19">
        <f>IF($A567="","",E567+$H567-1)</f>
        <v/>
      </c>
      <c r="G567" s="18" t="n"/>
      <c r="H567" s="18">
        <f>IF($A567="","",IF(I567&lt;&gt;"",I567,Paramètres!B27))</f>
        <v/>
      </c>
      <c r="I567" s="18" t="n"/>
    </row>
    <row r="568">
      <c r="A568" s="18">
        <f>IF(ISNUMBER(Dossiers!$D$14),Dossiers!$A$14&amp;" · "&amp;Dossiers!$B$14,"")</f>
        <v/>
      </c>
      <c r="B568" s="18">
        <f>IF($A568="","",Paramètres!G28)</f>
        <v/>
      </c>
      <c r="C568" s="18">
        <f>IF($A568="","",IF(Paramètres!H28="","",Paramètres!H28))</f>
        <v/>
      </c>
      <c r="D568" s="18">
        <f>IF($A568="","",IF(Paramètres!I28="","",Paramètres!I28))</f>
        <v/>
      </c>
      <c r="E568" s="19">
        <f>IF($A568="","",IF(Paramètres!J28&amp;Paramètres!L28&amp;Paramètres!N28="",Dossiers!$D$14,MAX(IF(Paramètres!J28="",0,IF(Paramètres!K28="",NA(),IF(LEFT(TRIM(Paramètres!K28),1)="F",INDEX($F$545:$F$597,MATCH(Paramètres!J28,Paramètres!$G$5:$G$57,0)),INDEX($E$545:$E$597,MATCH(Paramètres!J28,Paramètres!$G$5:$G$57,0)))+IF(RIGHT(TRIM(Paramètres!K28),3)="Fin",1-$H568,IF(LEFT(TRIM(Paramètres!K28),1)="F",1,0)))),IF(Paramètres!L28="",0,IF(Paramètres!M28="",NA(),IF(LEFT(TRIM(Paramètres!M28),1)="F",INDEX($F$545:$F$597,MATCH(Paramètres!L28,Paramètres!$G$5:$G$57,0)),INDEX($E$545:$E$597,MATCH(Paramètres!L28,Paramètres!$G$5:$G$57,0)))+IF(RIGHT(TRIM(Paramètres!M28),3)="Fin",1-$H568,IF(LEFT(TRIM(Paramètres!M28),1)="F",1,0)))),IF(Paramètres!N28="",0,IF(Paramètres!O28="",NA(),IF(LEFT(TRIM(Paramètres!O28),1)="F",INDEX($F$545:$F$597,MATCH(Paramètres!N28,Paramètres!$G$5:$G$57,0)),INDEX($E$545:$E$597,MATCH(Paramètres!N28,Paramètres!$G$5:$G$57,0)))+IF(RIGHT(TRIM(Paramètres!O28),3)="Fin",1-$H568,IF(LEFT(TRIM(Paramètres!O28),1)="F",1,0)))))))</f>
        <v/>
      </c>
      <c r="F568" s="19">
        <f>IF($A568="","",E568+$H568-1)</f>
        <v/>
      </c>
      <c r="G568" s="18" t="n"/>
      <c r="H568" s="18">
        <f>IF($A568="","",IF(I568&lt;&gt;"",I568,Paramètres!B28))</f>
        <v/>
      </c>
      <c r="I568" s="18" t="n"/>
    </row>
    <row r="569">
      <c r="A569" s="18">
        <f>IF(ISNUMBER(Dossiers!$D$14),Dossiers!$A$14&amp;" · "&amp;Dossiers!$B$14,"")</f>
        <v/>
      </c>
      <c r="B569" s="18">
        <f>IF($A569="","",Paramètres!G29)</f>
        <v/>
      </c>
      <c r="C569" s="18">
        <f>IF($A569="","",IF(Paramètres!H29="","",Paramètres!H29))</f>
        <v/>
      </c>
      <c r="D569" s="18">
        <f>IF($A569="","",IF(Paramètres!I29="","",Paramètres!I29))</f>
        <v/>
      </c>
      <c r="E569" s="19">
        <f>IF($A569="","",IF(Paramètres!J29&amp;Paramètres!L29&amp;Paramètres!N29="",Dossiers!$D$14,MAX(IF(Paramètres!J29="",0,IF(Paramètres!K29="",NA(),IF(LEFT(TRIM(Paramètres!K29),1)="F",INDEX($F$545:$F$597,MATCH(Paramètres!J29,Paramètres!$G$5:$G$57,0)),INDEX($E$545:$E$597,MATCH(Paramètres!J29,Paramètres!$G$5:$G$57,0)))+IF(RIGHT(TRIM(Paramètres!K29),3)="Fin",1-$H569,IF(LEFT(TRIM(Paramètres!K29),1)="F",1,0)))),IF(Paramètres!L29="",0,IF(Paramètres!M29="",NA(),IF(LEFT(TRIM(Paramètres!M29),1)="F",INDEX($F$545:$F$597,MATCH(Paramètres!L29,Paramètres!$G$5:$G$57,0)),INDEX($E$545:$E$597,MATCH(Paramètres!L29,Paramètres!$G$5:$G$57,0)))+IF(RIGHT(TRIM(Paramètres!M29),3)="Fin",1-$H569,IF(LEFT(TRIM(Paramètres!M29),1)="F",1,0)))),IF(Paramètres!N29="",0,IF(Paramètres!O29="",NA(),IF(LEFT(TRIM(Paramètres!O29),1)="F",INDEX($F$545:$F$597,MATCH(Paramètres!N29,Paramètres!$G$5:$G$57,0)),INDEX($E$545:$E$597,MATCH(Paramètres!N29,Paramètres!$G$5:$G$57,0)))+IF(RIGHT(TRIM(Paramètres!O29),3)="Fin",1-$H569,IF(LEFT(TRIM(Paramètres!O29),1)="F",1,0)))))))</f>
        <v/>
      </c>
      <c r="F569" s="19">
        <f>IF($A569="","",E569+$H569-1)</f>
        <v/>
      </c>
      <c r="G569" s="18" t="n"/>
      <c r="H569" s="18">
        <f>IF($A569="","",IF(I569&lt;&gt;"",I569,Paramètres!B29))</f>
        <v/>
      </c>
      <c r="I569" s="18" t="n"/>
    </row>
    <row r="570">
      <c r="A570" s="18">
        <f>IF(ISNUMBER(Dossiers!$D$14),Dossiers!$A$14&amp;" · "&amp;Dossiers!$B$14,"")</f>
        <v/>
      </c>
      <c r="B570" s="18">
        <f>IF($A570="","",Paramètres!G30)</f>
        <v/>
      </c>
      <c r="C570" s="18">
        <f>IF($A570="","",IF(Paramètres!H30="","",Paramètres!H30))</f>
        <v/>
      </c>
      <c r="D570" s="18">
        <f>IF($A570="","",IF(Paramètres!I30="","",Paramètres!I30))</f>
        <v/>
      </c>
      <c r="E570" s="19">
        <f>IF($A570="","",IF(Paramètres!J30&amp;Paramètres!L30&amp;Paramètres!N30="",Dossiers!$D$14,MAX(IF(Paramètres!J30="",0,IF(Paramètres!K30="",NA(),IF(LEFT(TRIM(Paramètres!K30),1)="F",INDEX($F$545:$F$597,MATCH(Paramètres!J30,Paramètres!$G$5:$G$57,0)),INDEX($E$545:$E$597,MATCH(Paramètres!J30,Paramètres!$G$5:$G$57,0)))+IF(RIGHT(TRIM(Paramètres!K30),3)="Fin",1-$H570,IF(LEFT(TRIM(Paramètres!K30),1)="F",1,0)))),IF(Paramètres!L30="",0,IF(Paramètres!M30="",NA(),IF(LEFT(TRIM(Paramètres!M30),1)="F",INDEX($F$545:$F$597,MATCH(Paramètres!L30,Paramètres!$G$5:$G$57,0)),INDEX($E$545:$E$597,MATCH(Paramètres!L30,Paramètres!$G$5:$G$57,0)))+IF(RIGHT(TRIM(Paramètres!M30),3)="Fin",1-$H570,IF(LEFT(TRIM(Paramètres!M30),1)="F",1,0)))),IF(Paramètres!N30="",0,IF(Paramètres!O30="",NA(),IF(LEFT(TRIM(Paramètres!O30),1)="F",INDEX($F$545:$F$597,MATCH(Paramètres!N30,Paramètres!$G$5:$G$57,0)),INDEX($E$545:$E$597,MATCH(Paramètres!N30,Paramètres!$G$5:$G$57,0)))+IF(RIGHT(TRIM(Paramètres!O30),3)="Fin",1-$H570,IF(LEFT(TRIM(Paramètres!O30),1)="F",1,0)))))))</f>
        <v/>
      </c>
      <c r="F570" s="19">
        <f>IF($A570="","",E570+$H570-1)</f>
        <v/>
      </c>
      <c r="G570" s="18" t="n"/>
      <c r="H570" s="18">
        <f>IF($A570="","",IF(I570&lt;&gt;"",I570,Paramètres!B30))</f>
        <v/>
      </c>
      <c r="I570" s="18" t="n"/>
    </row>
    <row r="571">
      <c r="A571" s="18">
        <f>IF(ISNUMBER(Dossiers!$D$14),Dossiers!$A$14&amp;" · "&amp;Dossiers!$B$14,"")</f>
        <v/>
      </c>
      <c r="B571" s="18">
        <f>IF($A571="","",Paramètres!G31)</f>
        <v/>
      </c>
      <c r="C571" s="20">
        <f>IF($A571="","",IF(Dossiers!$F$14="","",Dossiers!$F$14))</f>
        <v/>
      </c>
      <c r="D571" s="18">
        <f>IF($A571="","",IF(Paramètres!I31="","",Paramètres!I31))</f>
        <v/>
      </c>
      <c r="E571" s="19">
        <f>IF($A571="","",IF(Paramètres!J31&amp;Paramètres!L31&amp;Paramètres!N31="",Dossiers!$D$14,MAX(IF(Paramètres!J31="",0,IF(Paramètres!K31="",NA(),IF(LEFT(TRIM(Paramètres!K31),1)="F",INDEX($F$545:$F$597,MATCH(Paramètres!J31,Paramètres!$G$5:$G$57,0)),INDEX($E$545:$E$597,MATCH(Paramètres!J31,Paramètres!$G$5:$G$57,0)))+IF(RIGHT(TRIM(Paramètres!K31),3)="Fin",1-$H571,IF(LEFT(TRIM(Paramètres!K31),1)="F",1,0)))),IF(Paramètres!L31="",0,IF(Paramètres!M31="",NA(),IF(LEFT(TRIM(Paramètres!M31),1)="F",INDEX($F$545:$F$597,MATCH(Paramètres!L31,Paramètres!$G$5:$G$57,0)),INDEX($E$545:$E$597,MATCH(Paramètres!L31,Paramètres!$G$5:$G$57,0)))+IF(RIGHT(TRIM(Paramètres!M31),3)="Fin",1-$H571,IF(LEFT(TRIM(Paramètres!M31),1)="F",1,0)))),IF(Paramètres!N31="",0,IF(Paramètres!O31="",NA(),IF(LEFT(TRIM(Paramètres!O31),1)="F",INDEX($F$545:$F$597,MATCH(Paramètres!N31,Paramètres!$G$5:$G$57,0)),INDEX($E$545:$E$597,MATCH(Paramètres!N31,Paramètres!$G$5:$G$57,0)))+IF(RIGHT(TRIM(Paramètres!O31),3)="Fin",1-$H571,IF(LEFT(TRIM(Paramètres!O31),1)="F",1,0)))))))</f>
        <v/>
      </c>
      <c r="F571" s="19">
        <f>IF($A571="","",E571+$H571-1)</f>
        <v/>
      </c>
      <c r="G571" s="18" t="n"/>
      <c r="H571" s="18">
        <f>IF($A571="","",IF(I571&lt;&gt;"",I571,Paramètres!B31))</f>
        <v/>
      </c>
      <c r="I571" s="18" t="n"/>
    </row>
    <row r="572">
      <c r="A572" s="18">
        <f>IF(ISNUMBER(Dossiers!$D$14),Dossiers!$A$14&amp;" · "&amp;Dossiers!$B$14,"")</f>
        <v/>
      </c>
      <c r="B572" s="18">
        <f>IF($A572="","",Paramètres!G32)</f>
        <v/>
      </c>
      <c r="C572" s="18">
        <f>IF($A572="","",IF(Paramètres!H32="","",Paramètres!H32))</f>
        <v/>
      </c>
      <c r="D572" s="18">
        <f>IF($A572="","",IF(Paramètres!I32="","",Paramètres!I32))</f>
        <v/>
      </c>
      <c r="E572" s="19">
        <f>IF($A572="","",MIN(E573:E576))</f>
        <v/>
      </c>
      <c r="F572" s="19">
        <f>IF($A572="","",MAX(F573:F576))</f>
        <v/>
      </c>
      <c r="G572" s="18" t="n"/>
      <c r="H572" s="18">
        <f>IF($A572="","",F572-E572+1)</f>
        <v/>
      </c>
      <c r="I572" s="18" t="n"/>
    </row>
    <row r="573">
      <c r="A573" s="18">
        <f>IF(ISNUMBER(Dossiers!$D$14),Dossiers!$A$14&amp;" · "&amp;Dossiers!$B$14,"")</f>
        <v/>
      </c>
      <c r="B573" s="18">
        <f>IF($A573="","",Paramètres!G33)</f>
        <v/>
      </c>
      <c r="C573" s="18">
        <f>IF($A573="","",IF(Paramètres!H33="","",Paramètres!H33))</f>
        <v/>
      </c>
      <c r="D573" s="18">
        <f>IF($A573="","",IF(Paramètres!I33="","",Paramètres!I33))</f>
        <v/>
      </c>
      <c r="E573" s="19">
        <f>IF($A573="","",IF(Paramètres!J33&amp;Paramètres!L33&amp;Paramètres!N33="",Dossiers!$D$14,MAX(IF(Paramètres!J33="",0,IF(Paramètres!K33="",NA(),IF(LEFT(TRIM(Paramètres!K33),1)="F",INDEX($F$545:$F$597,MATCH(Paramètres!J33,Paramètres!$G$5:$G$57,0)),INDEX($E$545:$E$597,MATCH(Paramètres!J33,Paramètres!$G$5:$G$57,0)))+IF(RIGHT(TRIM(Paramètres!K33),3)="Fin",1-$H573,IF(LEFT(TRIM(Paramètres!K33),1)="F",1,0)))),IF(Paramètres!L33="",0,IF(Paramètres!M33="",NA(),IF(LEFT(TRIM(Paramètres!M33),1)="F",INDEX($F$545:$F$597,MATCH(Paramètres!L33,Paramètres!$G$5:$G$57,0)),INDEX($E$545:$E$597,MATCH(Paramètres!L33,Paramètres!$G$5:$G$57,0)))+IF(RIGHT(TRIM(Paramètres!M33),3)="Fin",1-$H573,IF(LEFT(TRIM(Paramètres!M33),1)="F",1,0)))),IF(Paramètres!N33="",0,IF(Paramètres!O33="",NA(),IF(LEFT(TRIM(Paramètres!O33),1)="F",INDEX($F$545:$F$597,MATCH(Paramètres!N33,Paramètres!$G$5:$G$57,0)),INDEX($E$545:$E$597,MATCH(Paramètres!N33,Paramètres!$G$5:$G$57,0)))+IF(RIGHT(TRIM(Paramètres!O33),3)="Fin",1-$H573,IF(LEFT(TRIM(Paramètres!O33),1)="F",1,0)))))))</f>
        <v/>
      </c>
      <c r="F573" s="19">
        <f>IF($A573="","",E573+$H573-1)</f>
        <v/>
      </c>
      <c r="G573" s="18" t="n"/>
      <c r="H573" s="18">
        <f>IF($A573="","",IF(I573&lt;&gt;"",I573,Paramètres!B33))</f>
        <v/>
      </c>
      <c r="I573" s="18" t="n"/>
    </row>
    <row r="574">
      <c r="A574" s="18">
        <f>IF(ISNUMBER(Dossiers!$D$14),Dossiers!$A$14&amp;" · "&amp;Dossiers!$B$14,"")</f>
        <v/>
      </c>
      <c r="B574" s="18">
        <f>IF($A574="","",Paramètres!G34)</f>
        <v/>
      </c>
      <c r="C574" s="18">
        <f>IF($A574="","",IF(Paramètres!H34="","",Paramètres!H34))</f>
        <v/>
      </c>
      <c r="D574" s="18">
        <f>IF($A574="","",IF(Paramètres!I34="","",Paramètres!I34))</f>
        <v/>
      </c>
      <c r="E574" s="19">
        <f>IF($A574="","",IF(Paramètres!J34&amp;Paramètres!L34&amp;Paramètres!N34="",Dossiers!$D$14,MAX(IF(Paramètres!J34="",0,IF(Paramètres!K34="",NA(),IF(LEFT(TRIM(Paramètres!K34),1)="F",INDEX($F$545:$F$597,MATCH(Paramètres!J34,Paramètres!$G$5:$G$57,0)),INDEX($E$545:$E$597,MATCH(Paramètres!J34,Paramètres!$G$5:$G$57,0)))+IF(RIGHT(TRIM(Paramètres!K34),3)="Fin",1-$H574,IF(LEFT(TRIM(Paramètres!K34),1)="F",1,0)))),IF(Paramètres!L34="",0,IF(Paramètres!M34="",NA(),IF(LEFT(TRIM(Paramètres!M34),1)="F",INDEX($F$545:$F$597,MATCH(Paramètres!L34,Paramètres!$G$5:$G$57,0)),INDEX($E$545:$E$597,MATCH(Paramètres!L34,Paramètres!$G$5:$G$57,0)))+IF(RIGHT(TRIM(Paramètres!M34),3)="Fin",1-$H574,IF(LEFT(TRIM(Paramètres!M34),1)="F",1,0)))),IF(Paramètres!N34="",0,IF(Paramètres!O34="",NA(),IF(LEFT(TRIM(Paramètres!O34),1)="F",INDEX($F$545:$F$597,MATCH(Paramètres!N34,Paramètres!$G$5:$G$57,0)),INDEX($E$545:$E$597,MATCH(Paramètres!N34,Paramètres!$G$5:$G$57,0)))+IF(RIGHT(TRIM(Paramètres!O34),3)="Fin",1-$H574,IF(LEFT(TRIM(Paramètres!O34),1)="F",1,0)))))))</f>
        <v/>
      </c>
      <c r="F574" s="19">
        <f>IF($A574="","",E574+$H574-1)</f>
        <v/>
      </c>
      <c r="G574" s="18" t="n"/>
      <c r="H574" s="18">
        <f>IF($A574="","",IF(I574&lt;&gt;"",I574,Paramètres!B34))</f>
        <v/>
      </c>
      <c r="I574" s="18" t="n"/>
    </row>
    <row r="575">
      <c r="A575" s="18">
        <f>IF(ISNUMBER(Dossiers!$D$14),Dossiers!$A$14&amp;" · "&amp;Dossiers!$B$14,"")</f>
        <v/>
      </c>
      <c r="B575" s="18">
        <f>IF($A575="","",Paramètres!G35)</f>
        <v/>
      </c>
      <c r="C575" s="18">
        <f>IF($A575="","",IF(Paramètres!H35="","",Paramètres!H35))</f>
        <v/>
      </c>
      <c r="D575" s="18">
        <f>IF($A575="","",IF(Paramètres!I35="","",Paramètres!I35))</f>
        <v/>
      </c>
      <c r="E575" s="19">
        <f>IF($A575="","",IF(Paramètres!J35&amp;Paramètres!L35&amp;Paramètres!N35="",Dossiers!$D$14,MAX(IF(Paramètres!J35="",0,IF(Paramètres!K35="",NA(),IF(LEFT(TRIM(Paramètres!K35),1)="F",INDEX($F$545:$F$597,MATCH(Paramètres!J35,Paramètres!$G$5:$G$57,0)),INDEX($E$545:$E$597,MATCH(Paramètres!J35,Paramètres!$G$5:$G$57,0)))+IF(RIGHT(TRIM(Paramètres!K35),3)="Fin",1-$H575,IF(LEFT(TRIM(Paramètres!K35),1)="F",1,0)))),IF(Paramètres!L35="",0,IF(Paramètres!M35="",NA(),IF(LEFT(TRIM(Paramètres!M35),1)="F",INDEX($F$545:$F$597,MATCH(Paramètres!L35,Paramètres!$G$5:$G$57,0)),INDEX($E$545:$E$597,MATCH(Paramètres!L35,Paramètres!$G$5:$G$57,0)))+IF(RIGHT(TRIM(Paramètres!M35),3)="Fin",1-$H575,IF(LEFT(TRIM(Paramètres!M35),1)="F",1,0)))),IF(Paramètres!N35="",0,IF(Paramètres!O35="",NA(),IF(LEFT(TRIM(Paramètres!O35),1)="F",INDEX($F$545:$F$597,MATCH(Paramètres!N35,Paramètres!$G$5:$G$57,0)),INDEX($E$545:$E$597,MATCH(Paramètres!N35,Paramètres!$G$5:$G$57,0)))+IF(RIGHT(TRIM(Paramètres!O35),3)="Fin",1-$H575,IF(LEFT(TRIM(Paramètres!O35),1)="F",1,0)))))))</f>
        <v/>
      </c>
      <c r="F575" s="19">
        <f>IF($A575="","",E575+$H575-1)</f>
        <v/>
      </c>
      <c r="G575" s="18" t="n"/>
      <c r="H575" s="18">
        <f>IF($A575="","",IF(I575&lt;&gt;"",I575,Paramètres!B35))</f>
        <v/>
      </c>
      <c r="I575" s="18" t="n"/>
    </row>
    <row r="576">
      <c r="A576" s="18">
        <f>IF(ISNUMBER(Dossiers!$D$14),Dossiers!$A$14&amp;" · "&amp;Dossiers!$B$14,"")</f>
        <v/>
      </c>
      <c r="B576" s="18">
        <f>IF($A576="","",Paramètres!G36)</f>
        <v/>
      </c>
      <c r="C576" s="18">
        <f>IF($A576="","",IF(Paramètres!H36="","",Paramètres!H36))</f>
        <v/>
      </c>
      <c r="D576" s="18">
        <f>IF($A576="","",IF(Paramètres!I36="","",Paramètres!I36))</f>
        <v/>
      </c>
      <c r="E576" s="19">
        <f>IF($A576="","",IF(Paramètres!J36&amp;Paramètres!L36&amp;Paramètres!N36="",Dossiers!$D$14,MAX(IF(Paramètres!J36="",0,IF(Paramètres!K36="",NA(),IF(LEFT(TRIM(Paramètres!K36),1)="F",INDEX($F$545:$F$597,MATCH(Paramètres!J36,Paramètres!$G$5:$G$57,0)),INDEX($E$545:$E$597,MATCH(Paramètres!J36,Paramètres!$G$5:$G$57,0)))+IF(RIGHT(TRIM(Paramètres!K36),3)="Fin",1-$H576,IF(LEFT(TRIM(Paramètres!K36),1)="F",1,0)))),IF(Paramètres!L36="",0,IF(Paramètres!M36="",NA(),IF(LEFT(TRIM(Paramètres!M36),1)="F",INDEX($F$545:$F$597,MATCH(Paramètres!L36,Paramètres!$G$5:$G$57,0)),INDEX($E$545:$E$597,MATCH(Paramètres!L36,Paramètres!$G$5:$G$57,0)))+IF(RIGHT(TRIM(Paramètres!M36),3)="Fin",1-$H576,IF(LEFT(TRIM(Paramètres!M36),1)="F",1,0)))),IF(Paramètres!N36="",0,IF(Paramètres!O36="",NA(),IF(LEFT(TRIM(Paramètres!O36),1)="F",INDEX($F$545:$F$597,MATCH(Paramètres!N36,Paramètres!$G$5:$G$57,0)),INDEX($E$545:$E$597,MATCH(Paramètres!N36,Paramètres!$G$5:$G$57,0)))+IF(RIGHT(TRIM(Paramètres!O36),3)="Fin",1-$H576,IF(LEFT(TRIM(Paramètres!O36),1)="F",1,0)))))))</f>
        <v/>
      </c>
      <c r="F576" s="19">
        <f>IF($A576="","",E576+$H576-1)</f>
        <v/>
      </c>
      <c r="G576" s="18" t="n"/>
      <c r="H576" s="18">
        <f>IF($A576="","",IF(I576&lt;&gt;"",I576,Paramètres!B36))</f>
        <v/>
      </c>
      <c r="I576" s="18" t="n"/>
    </row>
    <row r="577">
      <c r="A577" s="18">
        <f>IF(ISNUMBER(Dossiers!$D$14),Dossiers!$A$14&amp;" · "&amp;Dossiers!$B$14,"")</f>
        <v/>
      </c>
      <c r="B577" s="18">
        <f>IF($A577="","",Paramètres!G37)</f>
        <v/>
      </c>
      <c r="C577" s="18">
        <f>IF($A577="","",IF(Paramètres!H37="","",Paramètres!H37))</f>
        <v/>
      </c>
      <c r="D577" s="18">
        <f>IF($A577="","",IF(Paramètres!I37="","",Paramètres!I37))</f>
        <v/>
      </c>
      <c r="E577" s="19">
        <f>IF($A577="","",MIN(E578:E595))</f>
        <v/>
      </c>
      <c r="F577" s="19">
        <f>IF($A577="","",MAX(F578:F595))</f>
        <v/>
      </c>
      <c r="G577" s="18" t="n"/>
      <c r="H577" s="18">
        <f>IF($A577="","",F577-E577+1)</f>
        <v/>
      </c>
      <c r="I577" s="18" t="n"/>
    </row>
    <row r="578">
      <c r="A578" s="18">
        <f>IF(ISNUMBER(Dossiers!$D$14),Dossiers!$A$14&amp;" · "&amp;Dossiers!$B$14,"")</f>
        <v/>
      </c>
      <c r="B578" s="18">
        <f>IF($A578="","",Paramètres!G38)</f>
        <v/>
      </c>
      <c r="C578" s="18">
        <f>IF($A578="","",IF(Paramètres!H38="","",Paramètres!H38))</f>
        <v/>
      </c>
      <c r="D578" s="18">
        <f>IF($A578="","",IF(Paramètres!I38="","",Paramètres!I38))</f>
        <v/>
      </c>
      <c r="E578" s="19">
        <f>IF($A578="","",IF(Paramètres!J38&amp;Paramètres!L38&amp;Paramètres!N38="",Dossiers!$D$14,MAX(IF(Paramètres!J38="",0,IF(Paramètres!K38="",NA(),IF(LEFT(TRIM(Paramètres!K38),1)="F",INDEX($F$545:$F$597,MATCH(Paramètres!J38,Paramètres!$G$5:$G$57,0)),INDEX($E$545:$E$597,MATCH(Paramètres!J38,Paramètres!$G$5:$G$57,0)))+IF(RIGHT(TRIM(Paramètres!K38),3)="Fin",1-$H578,IF(LEFT(TRIM(Paramètres!K38),1)="F",1,0)))),IF(Paramètres!L38="",0,IF(Paramètres!M38="",NA(),IF(LEFT(TRIM(Paramètres!M38),1)="F",INDEX($F$545:$F$597,MATCH(Paramètres!L38,Paramètres!$G$5:$G$57,0)),INDEX($E$545:$E$597,MATCH(Paramètres!L38,Paramètres!$G$5:$G$57,0)))+IF(RIGHT(TRIM(Paramètres!M38),3)="Fin",1-$H578,IF(LEFT(TRIM(Paramètres!M38),1)="F",1,0)))),IF(Paramètres!N38="",0,IF(Paramètres!O38="",NA(),IF(LEFT(TRIM(Paramètres!O38),1)="F",INDEX($F$545:$F$597,MATCH(Paramètres!N38,Paramètres!$G$5:$G$57,0)),INDEX($E$545:$E$597,MATCH(Paramètres!N38,Paramètres!$G$5:$G$57,0)))+IF(RIGHT(TRIM(Paramètres!O38),3)="Fin",1-$H578,IF(LEFT(TRIM(Paramètres!O38),1)="F",1,0)))))))</f>
        <v/>
      </c>
      <c r="F578" s="19">
        <f>IF($A578="","",E578+$H578-1)</f>
        <v/>
      </c>
      <c r="G578" s="18" t="n"/>
      <c r="H578" s="18">
        <f>IF($A578="","",IF(I578&lt;&gt;"",I578,Paramètres!B38))</f>
        <v/>
      </c>
      <c r="I578" s="18" t="n"/>
    </row>
    <row r="579">
      <c r="A579" s="18">
        <f>IF(ISNUMBER(Dossiers!$D$14),Dossiers!$A$14&amp;" · "&amp;Dossiers!$B$14,"")</f>
        <v/>
      </c>
      <c r="B579" s="18">
        <f>IF($A579="","",Paramètres!G39)</f>
        <v/>
      </c>
      <c r="C579" s="18">
        <f>IF($A579="","",IF(Paramètres!H39="","",Paramètres!H39))</f>
        <v/>
      </c>
      <c r="D579" s="18">
        <f>IF($A579="","",IF(Paramètres!I39="","",Paramètres!I39))</f>
        <v/>
      </c>
      <c r="E579" s="19">
        <f>IF($A579="","",IF(Paramètres!J39&amp;Paramètres!L39&amp;Paramètres!N39="",Dossiers!$D$14,MAX(IF(Paramètres!J39="",0,IF(Paramètres!K39="",NA(),IF(LEFT(TRIM(Paramètres!K39),1)="F",INDEX($F$545:$F$597,MATCH(Paramètres!J39,Paramètres!$G$5:$G$57,0)),INDEX($E$545:$E$597,MATCH(Paramètres!J39,Paramètres!$G$5:$G$57,0)))+IF(RIGHT(TRIM(Paramètres!K39),3)="Fin",1-$H579,IF(LEFT(TRIM(Paramètres!K39),1)="F",1,0)))),IF(Paramètres!L39="",0,IF(Paramètres!M39="",NA(),IF(LEFT(TRIM(Paramètres!M39),1)="F",INDEX($F$545:$F$597,MATCH(Paramètres!L39,Paramètres!$G$5:$G$57,0)),INDEX($E$545:$E$597,MATCH(Paramètres!L39,Paramètres!$G$5:$G$57,0)))+IF(RIGHT(TRIM(Paramètres!M39),3)="Fin",1-$H579,IF(LEFT(TRIM(Paramètres!M39),1)="F",1,0)))),IF(Paramètres!N39="",0,IF(Paramètres!O39="",NA(),IF(LEFT(TRIM(Paramètres!O39),1)="F",INDEX($F$545:$F$597,MATCH(Paramètres!N39,Paramètres!$G$5:$G$57,0)),INDEX($E$545:$E$597,MATCH(Paramètres!N39,Paramètres!$G$5:$G$57,0)))+IF(RIGHT(TRIM(Paramètres!O39),3)="Fin",1-$H579,IF(LEFT(TRIM(Paramètres!O39),1)="F",1,0)))))))</f>
        <v/>
      </c>
      <c r="F579" s="19">
        <f>IF($A579="","",E579+$H579-1)</f>
        <v/>
      </c>
      <c r="G579" s="18" t="n"/>
      <c r="H579" s="18">
        <f>IF($A579="","",IF(I579&lt;&gt;"",I579,Paramètres!B39))</f>
        <v/>
      </c>
      <c r="I579" s="18" t="n"/>
    </row>
    <row r="580">
      <c r="A580" s="18">
        <f>IF(ISNUMBER(Dossiers!$D$14),Dossiers!$A$14&amp;" · "&amp;Dossiers!$B$14,"")</f>
        <v/>
      </c>
      <c r="B580" s="18">
        <f>IF($A580="","",Paramètres!G40)</f>
        <v/>
      </c>
      <c r="C580" s="18">
        <f>IF($A580="","",IF(Paramètres!H40="","",Paramètres!H40))</f>
        <v/>
      </c>
      <c r="D580" s="18">
        <f>IF($A580="","",IF(Paramètres!I40="","",Paramètres!I40))</f>
        <v/>
      </c>
      <c r="E580" s="19">
        <f>IF($A580="","",IF(Paramètres!J40&amp;Paramètres!L40&amp;Paramètres!N40="",Dossiers!$D$14,MAX(IF(Paramètres!J40="",0,IF(Paramètres!K40="",NA(),IF(LEFT(TRIM(Paramètres!K40),1)="F",INDEX($F$545:$F$597,MATCH(Paramètres!J40,Paramètres!$G$5:$G$57,0)),INDEX($E$545:$E$597,MATCH(Paramètres!J40,Paramètres!$G$5:$G$57,0)))+IF(RIGHT(TRIM(Paramètres!K40),3)="Fin",1-$H580,IF(LEFT(TRIM(Paramètres!K40),1)="F",1,0)))),IF(Paramètres!L40="",0,IF(Paramètres!M40="",NA(),IF(LEFT(TRIM(Paramètres!M40),1)="F",INDEX($F$545:$F$597,MATCH(Paramètres!L40,Paramètres!$G$5:$G$57,0)),INDEX($E$545:$E$597,MATCH(Paramètres!L40,Paramètres!$G$5:$G$57,0)))+IF(RIGHT(TRIM(Paramètres!M40),3)="Fin",1-$H580,IF(LEFT(TRIM(Paramètres!M40),1)="F",1,0)))),IF(Paramètres!N40="",0,IF(Paramètres!O40="",NA(),IF(LEFT(TRIM(Paramètres!O40),1)="F",INDEX($F$545:$F$597,MATCH(Paramètres!N40,Paramètres!$G$5:$G$57,0)),INDEX($E$545:$E$597,MATCH(Paramètres!N40,Paramètres!$G$5:$G$57,0)))+IF(RIGHT(TRIM(Paramètres!O40),3)="Fin",1-$H580,IF(LEFT(TRIM(Paramètres!O40),1)="F",1,0)))))))</f>
        <v/>
      </c>
      <c r="F580" s="19">
        <f>IF($A580="","",E580+$H580-1)</f>
        <v/>
      </c>
      <c r="G580" s="18" t="n"/>
      <c r="H580" s="18">
        <f>IF($A580="","",IF(I580&lt;&gt;"",I580,Paramètres!B40))</f>
        <v/>
      </c>
      <c r="I580" s="18" t="n"/>
    </row>
    <row r="581">
      <c r="A581" s="18">
        <f>IF(ISNUMBER(Dossiers!$D$14),Dossiers!$A$14&amp;" · "&amp;Dossiers!$B$14,"")</f>
        <v/>
      </c>
      <c r="B581" s="18">
        <f>IF($A581="","",Paramètres!G41)</f>
        <v/>
      </c>
      <c r="C581" s="18">
        <f>IF($A581="","",IF(Paramètres!H41="","",Paramètres!H41))</f>
        <v/>
      </c>
      <c r="D581" s="18">
        <f>IF($A581="","",IF(Paramètres!I41="","",Paramètres!I41))</f>
        <v/>
      </c>
      <c r="E581" s="19">
        <f>IF($A581="","",IF(Paramètres!J41&amp;Paramètres!L41&amp;Paramètres!N41="",Dossiers!$D$14,MAX(IF(Paramètres!J41="",0,IF(Paramètres!K41="",NA(),IF(LEFT(TRIM(Paramètres!K41),1)="F",INDEX($F$545:$F$597,MATCH(Paramètres!J41,Paramètres!$G$5:$G$57,0)),INDEX($E$545:$E$597,MATCH(Paramètres!J41,Paramètres!$G$5:$G$57,0)))+IF(RIGHT(TRIM(Paramètres!K41),3)="Fin",1-$H581,IF(LEFT(TRIM(Paramètres!K41),1)="F",1,0)))),IF(Paramètres!L41="",0,IF(Paramètres!M41="",NA(),IF(LEFT(TRIM(Paramètres!M41),1)="F",INDEX($F$545:$F$597,MATCH(Paramètres!L41,Paramètres!$G$5:$G$57,0)),INDEX($E$545:$E$597,MATCH(Paramètres!L41,Paramètres!$G$5:$G$57,0)))+IF(RIGHT(TRIM(Paramètres!M41),3)="Fin",1-$H581,IF(LEFT(TRIM(Paramètres!M41),1)="F",1,0)))),IF(Paramètres!N41="",0,IF(Paramètres!O41="",NA(),IF(LEFT(TRIM(Paramètres!O41),1)="F",INDEX($F$545:$F$597,MATCH(Paramètres!N41,Paramètres!$G$5:$G$57,0)),INDEX($E$545:$E$597,MATCH(Paramètres!N41,Paramètres!$G$5:$G$57,0)))+IF(RIGHT(TRIM(Paramètres!O41),3)="Fin",1-$H581,IF(LEFT(TRIM(Paramètres!O41),1)="F",1,0)))))))</f>
        <v/>
      </c>
      <c r="F581" s="19">
        <f>IF($A581="","",E581+$H581-1)</f>
        <v/>
      </c>
      <c r="G581" s="18" t="n"/>
      <c r="H581" s="18">
        <f>IF($A581="","",IF(I581&lt;&gt;"",I581,Paramètres!B41))</f>
        <v/>
      </c>
      <c r="I581" s="18" t="n"/>
    </row>
    <row r="582">
      <c r="A582" s="18">
        <f>IF(ISNUMBER(Dossiers!$D$14),Dossiers!$A$14&amp;" · "&amp;Dossiers!$B$14,"")</f>
        <v/>
      </c>
      <c r="B582" s="18">
        <f>IF($A582="","",Paramètres!G42)</f>
        <v/>
      </c>
      <c r="C582" s="18">
        <f>IF($A582="","",IF(Paramètres!H42="","",Paramètres!H42))</f>
        <v/>
      </c>
      <c r="D582" s="18">
        <f>IF($A582="","",IF(Paramètres!I42="","",Paramètres!I42))</f>
        <v/>
      </c>
      <c r="E582" s="19">
        <f>IF($A582="","",IF(Paramètres!J42&amp;Paramètres!L42&amp;Paramètres!N42="",Dossiers!$D$14,MAX(IF(Paramètres!J42="",0,IF(Paramètres!K42="",NA(),IF(LEFT(TRIM(Paramètres!K42),1)="F",INDEX($F$545:$F$597,MATCH(Paramètres!J42,Paramètres!$G$5:$G$57,0)),INDEX($E$545:$E$597,MATCH(Paramètres!J42,Paramètres!$G$5:$G$57,0)))+IF(RIGHT(TRIM(Paramètres!K42),3)="Fin",1-$H582,IF(LEFT(TRIM(Paramètres!K42),1)="F",1,0)))),IF(Paramètres!L42="",0,IF(Paramètres!M42="",NA(),IF(LEFT(TRIM(Paramètres!M42),1)="F",INDEX($F$545:$F$597,MATCH(Paramètres!L42,Paramètres!$G$5:$G$57,0)),INDEX($E$545:$E$597,MATCH(Paramètres!L42,Paramètres!$G$5:$G$57,0)))+IF(RIGHT(TRIM(Paramètres!M42),3)="Fin",1-$H582,IF(LEFT(TRIM(Paramètres!M42),1)="F",1,0)))),IF(Paramètres!N42="",0,IF(Paramètres!O42="",NA(),IF(LEFT(TRIM(Paramètres!O42),1)="F",INDEX($F$545:$F$597,MATCH(Paramètres!N42,Paramètres!$G$5:$G$57,0)),INDEX($E$545:$E$597,MATCH(Paramètres!N42,Paramètres!$G$5:$G$57,0)))+IF(RIGHT(TRIM(Paramètres!O42),3)="Fin",1-$H582,IF(LEFT(TRIM(Paramètres!O42),1)="F",1,0)))))))</f>
        <v/>
      </c>
      <c r="F582" s="19">
        <f>IF($A582="","",E582+$H582-1)</f>
        <v/>
      </c>
      <c r="G582" s="18" t="n"/>
      <c r="H582" s="18">
        <f>IF($A582="","",IF(I582&lt;&gt;"",I582,Paramètres!B42))</f>
        <v/>
      </c>
      <c r="I582" s="18" t="n"/>
    </row>
    <row r="583">
      <c r="A583" s="18">
        <f>IF(ISNUMBER(Dossiers!$D$14),Dossiers!$A$14&amp;" · "&amp;Dossiers!$B$14,"")</f>
        <v/>
      </c>
      <c r="B583" s="18">
        <f>IF($A583="","",Paramètres!G43)</f>
        <v/>
      </c>
      <c r="C583" s="18">
        <f>IF($A583="","",IF(Paramètres!H43="","",Paramètres!H43))</f>
        <v/>
      </c>
      <c r="D583" s="18">
        <f>IF($A583="","",IF(Paramètres!I43="","",Paramètres!I43))</f>
        <v/>
      </c>
      <c r="E583" s="19">
        <f>IF($A583="","",IF(Paramètres!J43&amp;Paramètres!L43&amp;Paramètres!N43="",Dossiers!$D$14,MAX(IF(Paramètres!J43="",0,IF(Paramètres!K43="",NA(),IF(LEFT(TRIM(Paramètres!K43),1)="F",INDEX($F$545:$F$597,MATCH(Paramètres!J43,Paramètres!$G$5:$G$57,0)),INDEX($E$545:$E$597,MATCH(Paramètres!J43,Paramètres!$G$5:$G$57,0)))+IF(RIGHT(TRIM(Paramètres!K43),3)="Fin",1-$H583,IF(LEFT(TRIM(Paramètres!K43),1)="F",1,0)))),IF(Paramètres!L43="",0,IF(Paramètres!M43="",NA(),IF(LEFT(TRIM(Paramètres!M43),1)="F",INDEX($F$545:$F$597,MATCH(Paramètres!L43,Paramètres!$G$5:$G$57,0)),INDEX($E$545:$E$597,MATCH(Paramètres!L43,Paramètres!$G$5:$G$57,0)))+IF(RIGHT(TRIM(Paramètres!M43),3)="Fin",1-$H583,IF(LEFT(TRIM(Paramètres!M43),1)="F",1,0)))),IF(Paramètres!N43="",0,IF(Paramètres!O43="",NA(),IF(LEFT(TRIM(Paramètres!O43),1)="F",INDEX($F$545:$F$597,MATCH(Paramètres!N43,Paramètres!$G$5:$G$57,0)),INDEX($E$545:$E$597,MATCH(Paramètres!N43,Paramètres!$G$5:$G$57,0)))+IF(RIGHT(TRIM(Paramètres!O43),3)="Fin",1-$H583,IF(LEFT(TRIM(Paramètres!O43),1)="F",1,0)))))))</f>
        <v/>
      </c>
      <c r="F583" s="19">
        <f>IF($A583="","",E583+$H583-1)</f>
        <v/>
      </c>
      <c r="G583" s="18" t="n"/>
      <c r="H583" s="18">
        <f>IF($A583="","",IF(I583&lt;&gt;"",I583,Paramètres!B43))</f>
        <v/>
      </c>
      <c r="I583" s="18" t="n"/>
    </row>
    <row r="584">
      <c r="A584" s="18">
        <f>IF(ISNUMBER(Dossiers!$D$14),Dossiers!$A$14&amp;" · "&amp;Dossiers!$B$14,"")</f>
        <v/>
      </c>
      <c r="B584" s="18">
        <f>IF($A584="","",Paramètres!G44)</f>
        <v/>
      </c>
      <c r="C584" s="18">
        <f>IF($A584="","",IF(Paramètres!H44="","",Paramètres!H44))</f>
        <v/>
      </c>
      <c r="D584" s="18">
        <f>IF($A584="","",IF(Paramètres!I44="","",Paramètres!I44))</f>
        <v/>
      </c>
      <c r="E584" s="19">
        <f>IF($A584="","",IF(Paramètres!J44&amp;Paramètres!L44&amp;Paramètres!N44="",Dossiers!$D$14,MAX(IF(Paramètres!J44="",0,IF(Paramètres!K44="",NA(),IF(LEFT(TRIM(Paramètres!K44),1)="F",INDEX($F$545:$F$597,MATCH(Paramètres!J44,Paramètres!$G$5:$G$57,0)),INDEX($E$545:$E$597,MATCH(Paramètres!J44,Paramètres!$G$5:$G$57,0)))+IF(RIGHT(TRIM(Paramètres!K44),3)="Fin",1-$H584,IF(LEFT(TRIM(Paramètres!K44),1)="F",1,0)))),IF(Paramètres!L44="",0,IF(Paramètres!M44="",NA(),IF(LEFT(TRIM(Paramètres!M44),1)="F",INDEX($F$545:$F$597,MATCH(Paramètres!L44,Paramètres!$G$5:$G$57,0)),INDEX($E$545:$E$597,MATCH(Paramètres!L44,Paramètres!$G$5:$G$57,0)))+IF(RIGHT(TRIM(Paramètres!M44),3)="Fin",1-$H584,IF(LEFT(TRIM(Paramètres!M44),1)="F",1,0)))),IF(Paramètres!N44="",0,IF(Paramètres!O44="",NA(),IF(LEFT(TRIM(Paramètres!O44),1)="F",INDEX($F$545:$F$597,MATCH(Paramètres!N44,Paramètres!$G$5:$G$57,0)),INDEX($E$545:$E$597,MATCH(Paramètres!N44,Paramètres!$G$5:$G$57,0)))+IF(RIGHT(TRIM(Paramètres!O44),3)="Fin",1-$H584,IF(LEFT(TRIM(Paramètres!O44),1)="F",1,0)))))))</f>
        <v/>
      </c>
      <c r="F584" s="19">
        <f>IF($A584="","",E584+$H584-1)</f>
        <v/>
      </c>
      <c r="G584" s="18" t="n"/>
      <c r="H584" s="18">
        <f>IF($A584="","",IF(I584&lt;&gt;"",I584,Paramètres!B44))</f>
        <v/>
      </c>
      <c r="I584" s="18" t="n"/>
    </row>
    <row r="585">
      <c r="A585" s="18">
        <f>IF(ISNUMBER(Dossiers!$D$14),Dossiers!$A$14&amp;" · "&amp;Dossiers!$B$14,"")</f>
        <v/>
      </c>
      <c r="B585" s="18">
        <f>IF($A585="","",Paramètres!G45)</f>
        <v/>
      </c>
      <c r="C585" s="20">
        <f>IF($A585="","",IF(Dossiers!$G$14="","",Dossiers!$G$14))</f>
        <v/>
      </c>
      <c r="D585" s="18">
        <f>IF($A585="","",IF(Paramètres!I45="","",Paramètres!I45))</f>
        <v/>
      </c>
      <c r="E585" s="19">
        <f>IF($A585="","",IF(Paramètres!J45&amp;Paramètres!L45&amp;Paramètres!N45="",Dossiers!$D$14,MAX(IF(Paramètres!J45="",0,IF(Paramètres!K45="",NA(),IF(LEFT(TRIM(Paramètres!K45),1)="F",INDEX($F$545:$F$597,MATCH(Paramètres!J45,Paramètres!$G$5:$G$57,0)),INDEX($E$545:$E$597,MATCH(Paramètres!J45,Paramètres!$G$5:$G$57,0)))+IF(RIGHT(TRIM(Paramètres!K45),3)="Fin",1-$H585,IF(LEFT(TRIM(Paramètres!K45),1)="F",1,0)))),IF(Paramètres!L45="",0,IF(Paramètres!M45="",NA(),IF(LEFT(TRIM(Paramètres!M45),1)="F",INDEX($F$545:$F$597,MATCH(Paramètres!L45,Paramètres!$G$5:$G$57,0)),INDEX($E$545:$E$597,MATCH(Paramètres!L45,Paramètres!$G$5:$G$57,0)))+IF(RIGHT(TRIM(Paramètres!M45),3)="Fin",1-$H585,IF(LEFT(TRIM(Paramètres!M45),1)="F",1,0)))),IF(Paramètres!N45="",0,IF(Paramètres!O45="",NA(),IF(LEFT(TRIM(Paramètres!O45),1)="F",INDEX($F$545:$F$597,MATCH(Paramètres!N45,Paramètres!$G$5:$G$57,0)),INDEX($E$545:$E$597,MATCH(Paramètres!N45,Paramètres!$G$5:$G$57,0)))+IF(RIGHT(TRIM(Paramètres!O45),3)="Fin",1-$H585,IF(LEFT(TRIM(Paramètres!O45),1)="F",1,0)))))))</f>
        <v/>
      </c>
      <c r="F585" s="19">
        <f>IF($A585="","",E585+$H585-1)</f>
        <v/>
      </c>
      <c r="G585" s="18" t="n"/>
      <c r="H585" s="18">
        <f>IF($A585="","",IF(I585&lt;&gt;"",I585,Paramètres!B45))</f>
        <v/>
      </c>
      <c r="I585" s="18" t="n"/>
    </row>
    <row r="586">
      <c r="A586" s="18">
        <f>IF(ISNUMBER(Dossiers!$D$14),Dossiers!$A$14&amp;" · "&amp;Dossiers!$B$14,"")</f>
        <v/>
      </c>
      <c r="B586" s="18">
        <f>IF($A586="","",Paramètres!G46)</f>
        <v/>
      </c>
      <c r="C586" s="18">
        <f>IF($A586="","",IF(Paramètres!H46="","",Paramètres!H46))</f>
        <v/>
      </c>
      <c r="D586" s="18">
        <f>IF($A586="","",IF(Paramètres!I46="","",Paramètres!I46))</f>
        <v/>
      </c>
      <c r="E586" s="19">
        <f>IF($A586="","",IF(Paramètres!J46&amp;Paramètres!L46&amp;Paramètres!N46="",Dossiers!$D$14,MAX(IF(Paramètres!J46="",0,IF(Paramètres!K46="",NA(),IF(LEFT(TRIM(Paramètres!K46),1)="F",INDEX($F$545:$F$597,MATCH(Paramètres!J46,Paramètres!$G$5:$G$57,0)),INDEX($E$545:$E$597,MATCH(Paramètres!J46,Paramètres!$G$5:$G$57,0)))+IF(RIGHT(TRIM(Paramètres!K46),3)="Fin",1-$H586,IF(LEFT(TRIM(Paramètres!K46),1)="F",1,0)))),IF(Paramètres!L46="",0,IF(Paramètres!M46="",NA(),IF(LEFT(TRIM(Paramètres!M46),1)="F",INDEX($F$545:$F$597,MATCH(Paramètres!L46,Paramètres!$G$5:$G$57,0)),INDEX($E$545:$E$597,MATCH(Paramètres!L46,Paramètres!$G$5:$G$57,0)))+IF(RIGHT(TRIM(Paramètres!M46),3)="Fin",1-$H586,IF(LEFT(TRIM(Paramètres!M46),1)="F",1,0)))),IF(Paramètres!N46="",0,IF(Paramètres!O46="",NA(),IF(LEFT(TRIM(Paramètres!O46),1)="F",INDEX($F$545:$F$597,MATCH(Paramètres!N46,Paramètres!$G$5:$G$57,0)),INDEX($E$545:$E$597,MATCH(Paramètres!N46,Paramètres!$G$5:$G$57,0)))+IF(RIGHT(TRIM(Paramètres!O46),3)="Fin",1-$H586,IF(LEFT(TRIM(Paramètres!O46),1)="F",1,0)))))))</f>
        <v/>
      </c>
      <c r="F586" s="19">
        <f>IF($A586="","",E586+$H586-1)</f>
        <v/>
      </c>
      <c r="G586" s="18" t="n"/>
      <c r="H586" s="18">
        <f>IF($A586="","",IF(I586&lt;&gt;"",I586,Paramètres!B46))</f>
        <v/>
      </c>
      <c r="I586" s="18" t="n"/>
    </row>
    <row r="587">
      <c r="A587" s="18">
        <f>IF(ISNUMBER(Dossiers!$D$14),Dossiers!$A$14&amp;" · "&amp;Dossiers!$B$14,"")</f>
        <v/>
      </c>
      <c r="B587" s="18">
        <f>IF($A587="","",Paramètres!G47)</f>
        <v/>
      </c>
      <c r="C587" s="18">
        <f>IF($A587="","",IF(Paramètres!H47="","",Paramètres!H47))</f>
        <v/>
      </c>
      <c r="D587" s="18">
        <f>IF($A587="","",IF(Paramètres!I47="","",Paramètres!I47))</f>
        <v/>
      </c>
      <c r="E587" s="19">
        <f>IF($A587="","",IF(Paramètres!J47&amp;Paramètres!L47&amp;Paramètres!N47="",Dossiers!$D$14,MAX(IF(Paramètres!J47="",0,IF(Paramètres!K47="",NA(),IF(LEFT(TRIM(Paramètres!K47),1)="F",INDEX($F$545:$F$597,MATCH(Paramètres!J47,Paramètres!$G$5:$G$57,0)),INDEX($E$545:$E$597,MATCH(Paramètres!J47,Paramètres!$G$5:$G$57,0)))+IF(RIGHT(TRIM(Paramètres!K47),3)="Fin",1-$H587,IF(LEFT(TRIM(Paramètres!K47),1)="F",1,0)))),IF(Paramètres!L47="",0,IF(Paramètres!M47="",NA(),IF(LEFT(TRIM(Paramètres!M47),1)="F",INDEX($F$545:$F$597,MATCH(Paramètres!L47,Paramètres!$G$5:$G$57,0)),INDEX($E$545:$E$597,MATCH(Paramètres!L47,Paramètres!$G$5:$G$57,0)))+IF(RIGHT(TRIM(Paramètres!M47),3)="Fin",1-$H587,IF(LEFT(TRIM(Paramètres!M47),1)="F",1,0)))),IF(Paramètres!N47="",0,IF(Paramètres!O47="",NA(),IF(LEFT(TRIM(Paramètres!O47),1)="F",INDEX($F$545:$F$597,MATCH(Paramètres!N47,Paramètres!$G$5:$G$57,0)),INDEX($E$545:$E$597,MATCH(Paramètres!N47,Paramètres!$G$5:$G$57,0)))+IF(RIGHT(TRIM(Paramètres!O47),3)="Fin",1-$H587,IF(LEFT(TRIM(Paramètres!O47),1)="F",1,0)))))))</f>
        <v/>
      </c>
      <c r="F587" s="19">
        <f>IF($A587="","",E587+$H587-1)</f>
        <v/>
      </c>
      <c r="G587" s="18" t="n"/>
      <c r="H587" s="18">
        <f>IF($A587="","",IF(I587&lt;&gt;"",I587,Paramètres!B47))</f>
        <v/>
      </c>
      <c r="I587" s="18" t="n"/>
    </row>
    <row r="588">
      <c r="A588" s="18">
        <f>IF(ISNUMBER(Dossiers!$D$14),Dossiers!$A$14&amp;" · "&amp;Dossiers!$B$14,"")</f>
        <v/>
      </c>
      <c r="B588" s="18">
        <f>IF($A588="","",Paramètres!G48)</f>
        <v/>
      </c>
      <c r="C588" s="18">
        <f>IF($A588="","",IF(Paramètres!H48="","",Paramètres!H48))</f>
        <v/>
      </c>
      <c r="D588" s="18">
        <f>IF($A588="","",IF(Paramètres!I48="","",Paramètres!I48))</f>
        <v/>
      </c>
      <c r="E588" s="19">
        <f>IF($A588="","",IF(Paramètres!J48&amp;Paramètres!L48&amp;Paramètres!N48="",Dossiers!$D$14,MAX(IF(Paramètres!J48="",0,IF(Paramètres!K48="",NA(),IF(LEFT(TRIM(Paramètres!K48),1)="F",INDEX($F$545:$F$597,MATCH(Paramètres!J48,Paramètres!$G$5:$G$57,0)),INDEX($E$545:$E$597,MATCH(Paramètres!J48,Paramètres!$G$5:$G$57,0)))+IF(RIGHT(TRIM(Paramètres!K48),3)="Fin",1-$H588,IF(LEFT(TRIM(Paramètres!K48),1)="F",1,0)))),IF(Paramètres!L48="",0,IF(Paramètres!M48="",NA(),IF(LEFT(TRIM(Paramètres!M48),1)="F",INDEX($F$545:$F$597,MATCH(Paramètres!L48,Paramètres!$G$5:$G$57,0)),INDEX($E$545:$E$597,MATCH(Paramètres!L48,Paramètres!$G$5:$G$57,0)))+IF(RIGHT(TRIM(Paramètres!M48),3)="Fin",1-$H588,IF(LEFT(TRIM(Paramètres!M48),1)="F",1,0)))),IF(Paramètres!N48="",0,IF(Paramètres!O48="",NA(),IF(LEFT(TRIM(Paramètres!O48),1)="F",INDEX($F$545:$F$597,MATCH(Paramètres!N48,Paramètres!$G$5:$G$57,0)),INDEX($E$545:$E$597,MATCH(Paramètres!N48,Paramètres!$G$5:$G$57,0)))+IF(RIGHT(TRIM(Paramètres!O48),3)="Fin",1-$H588,IF(LEFT(TRIM(Paramètres!O48),1)="F",1,0)))))))</f>
        <v/>
      </c>
      <c r="F588" s="19">
        <f>IF($A588="","",E588+$H588-1)</f>
        <v/>
      </c>
      <c r="G588" s="18" t="n"/>
      <c r="H588" s="18">
        <f>IF($A588="","",IF(I588&lt;&gt;"",I588,Paramètres!B48))</f>
        <v/>
      </c>
      <c r="I588" s="18" t="n"/>
    </row>
    <row r="589">
      <c r="A589" s="18">
        <f>IF(ISNUMBER(Dossiers!$D$14),Dossiers!$A$14&amp;" · "&amp;Dossiers!$B$14,"")</f>
        <v/>
      </c>
      <c r="B589" s="18">
        <f>IF($A589="","",Paramètres!G49)</f>
        <v/>
      </c>
      <c r="C589" s="18">
        <f>IF($A589="","",IF(Paramètres!H49="","",Paramètres!H49))</f>
        <v/>
      </c>
      <c r="D589" s="18">
        <f>IF($A589="","",IF(Paramètres!I49="","",Paramètres!I49))</f>
        <v/>
      </c>
      <c r="E589" s="19">
        <f>IF($A589="","",IF(Paramètres!J49&amp;Paramètres!L49&amp;Paramètres!N49="",Dossiers!$D$14,MAX(IF(Paramètres!J49="",0,IF(Paramètres!K49="",NA(),IF(LEFT(TRIM(Paramètres!K49),1)="F",INDEX($F$545:$F$597,MATCH(Paramètres!J49,Paramètres!$G$5:$G$57,0)),INDEX($E$545:$E$597,MATCH(Paramètres!J49,Paramètres!$G$5:$G$57,0)))+IF(RIGHT(TRIM(Paramètres!K49),3)="Fin",1-$H589,IF(LEFT(TRIM(Paramètres!K49),1)="F",1,0)))),IF(Paramètres!L49="",0,IF(Paramètres!M49="",NA(),IF(LEFT(TRIM(Paramètres!M49),1)="F",INDEX($F$545:$F$597,MATCH(Paramètres!L49,Paramètres!$G$5:$G$57,0)),INDEX($E$545:$E$597,MATCH(Paramètres!L49,Paramètres!$G$5:$G$57,0)))+IF(RIGHT(TRIM(Paramètres!M49),3)="Fin",1-$H589,IF(LEFT(TRIM(Paramètres!M49),1)="F",1,0)))),IF(Paramètres!N49="",0,IF(Paramètres!O49="",NA(),IF(LEFT(TRIM(Paramètres!O49),1)="F",INDEX($F$545:$F$597,MATCH(Paramètres!N49,Paramètres!$G$5:$G$57,0)),INDEX($E$545:$E$597,MATCH(Paramètres!N49,Paramètres!$G$5:$G$57,0)))+IF(RIGHT(TRIM(Paramètres!O49),3)="Fin",1-$H589,IF(LEFT(TRIM(Paramètres!O49),1)="F",1,0)))))))</f>
        <v/>
      </c>
      <c r="F589" s="19">
        <f>IF($A589="","",E589+$H589-1)</f>
        <v/>
      </c>
      <c r="G589" s="18" t="n"/>
      <c r="H589" s="18">
        <f>IF($A589="","",IF(I589&lt;&gt;"",I589,Paramètres!B49))</f>
        <v/>
      </c>
      <c r="I589" s="18" t="n"/>
    </row>
    <row r="590">
      <c r="A590" s="18">
        <f>IF(ISNUMBER(Dossiers!$D$14),Dossiers!$A$14&amp;" · "&amp;Dossiers!$B$14,"")</f>
        <v/>
      </c>
      <c r="B590" s="18">
        <f>IF($A590="","",Paramètres!G50)</f>
        <v/>
      </c>
      <c r="C590" s="18">
        <f>IF($A590="","",IF(Paramètres!H50="","",Paramètres!H50))</f>
        <v/>
      </c>
      <c r="D590" s="18">
        <f>IF($A590="","",IF(Paramètres!I50="","",Paramètres!I50))</f>
        <v/>
      </c>
      <c r="E590" s="19">
        <f>IF($A590="","",IF(Paramètres!J50&amp;Paramètres!L50&amp;Paramètres!N50="",Dossiers!$D$14,MAX(IF(Paramètres!J50="",0,IF(Paramètres!K50="",NA(),IF(LEFT(TRIM(Paramètres!K50),1)="F",INDEX($F$545:$F$597,MATCH(Paramètres!J50,Paramètres!$G$5:$G$57,0)),INDEX($E$545:$E$597,MATCH(Paramètres!J50,Paramètres!$G$5:$G$57,0)))+IF(RIGHT(TRIM(Paramètres!K50),3)="Fin",1-$H590,IF(LEFT(TRIM(Paramètres!K50),1)="F",1,0)))),IF(Paramètres!L50="",0,IF(Paramètres!M50="",NA(),IF(LEFT(TRIM(Paramètres!M50),1)="F",INDEX($F$545:$F$597,MATCH(Paramètres!L50,Paramètres!$G$5:$G$57,0)),INDEX($E$545:$E$597,MATCH(Paramètres!L50,Paramètres!$G$5:$G$57,0)))+IF(RIGHT(TRIM(Paramètres!M50),3)="Fin",1-$H590,IF(LEFT(TRIM(Paramètres!M50),1)="F",1,0)))),IF(Paramètres!N50="",0,IF(Paramètres!O50="",NA(),IF(LEFT(TRIM(Paramètres!O50),1)="F",INDEX($F$545:$F$597,MATCH(Paramètres!N50,Paramètres!$G$5:$G$57,0)),INDEX($E$545:$E$597,MATCH(Paramètres!N50,Paramètres!$G$5:$G$57,0)))+IF(RIGHT(TRIM(Paramètres!O50),3)="Fin",1-$H590,IF(LEFT(TRIM(Paramètres!O50),1)="F",1,0)))))))</f>
        <v/>
      </c>
      <c r="F590" s="19">
        <f>IF($A590="","",E590+$H590-1)</f>
        <v/>
      </c>
      <c r="G590" s="18" t="n"/>
      <c r="H590" s="18">
        <f>IF($A590="","",IF(I590&lt;&gt;"",I590,Paramètres!B50))</f>
        <v/>
      </c>
      <c r="I590" s="18" t="n"/>
    </row>
    <row r="591">
      <c r="A591" s="18">
        <f>IF(ISNUMBER(Dossiers!$D$14),Dossiers!$A$14&amp;" · "&amp;Dossiers!$B$14,"")</f>
        <v/>
      </c>
      <c r="B591" s="18">
        <f>IF($A591="","",Paramètres!G51)</f>
        <v/>
      </c>
      <c r="C591" s="18">
        <f>IF($A591="","",IF(Paramètres!H51="","",Paramètres!H51))</f>
        <v/>
      </c>
      <c r="D591" s="18">
        <f>IF($A591="","",IF(Paramètres!I51="","",Paramètres!I51))</f>
        <v/>
      </c>
      <c r="E591" s="19">
        <f>IF($A591="","",IF(Paramètres!J51&amp;Paramètres!L51&amp;Paramètres!N51="",Dossiers!$D$14,MAX(IF(Paramètres!J51="",0,IF(Paramètres!K51="",NA(),IF(LEFT(TRIM(Paramètres!K51),1)="F",INDEX($F$545:$F$597,MATCH(Paramètres!J51,Paramètres!$G$5:$G$57,0)),INDEX($E$545:$E$597,MATCH(Paramètres!J51,Paramètres!$G$5:$G$57,0)))+IF(RIGHT(TRIM(Paramètres!K51),3)="Fin",1-$H591,IF(LEFT(TRIM(Paramètres!K51),1)="F",1,0)))),IF(Paramètres!L51="",0,IF(Paramètres!M51="",NA(),IF(LEFT(TRIM(Paramètres!M51),1)="F",INDEX($F$545:$F$597,MATCH(Paramètres!L51,Paramètres!$G$5:$G$57,0)),INDEX($E$545:$E$597,MATCH(Paramètres!L51,Paramètres!$G$5:$G$57,0)))+IF(RIGHT(TRIM(Paramètres!M51),3)="Fin",1-$H591,IF(LEFT(TRIM(Paramètres!M51),1)="F",1,0)))),IF(Paramètres!N51="",0,IF(Paramètres!O51="",NA(),IF(LEFT(TRIM(Paramètres!O51),1)="F",INDEX($F$545:$F$597,MATCH(Paramètres!N51,Paramètres!$G$5:$G$57,0)),INDEX($E$545:$E$597,MATCH(Paramètres!N51,Paramètres!$G$5:$G$57,0)))+IF(RIGHT(TRIM(Paramètres!O51),3)="Fin",1-$H591,IF(LEFT(TRIM(Paramètres!O51),1)="F",1,0)))))))</f>
        <v/>
      </c>
      <c r="F591" s="19">
        <f>IF($A591="","",E591+$H591-1)</f>
        <v/>
      </c>
      <c r="G591" s="18" t="n"/>
      <c r="H591" s="18">
        <f>IF($A591="","",IF(I591&lt;&gt;"",I591,Paramètres!B51))</f>
        <v/>
      </c>
      <c r="I591" s="18" t="n"/>
    </row>
    <row r="592">
      <c r="A592" s="18">
        <f>IF(ISNUMBER(Dossiers!$D$14),Dossiers!$A$14&amp;" · "&amp;Dossiers!$B$14,"")</f>
        <v/>
      </c>
      <c r="B592" s="18">
        <f>IF($A592="","",Paramètres!G52)</f>
        <v/>
      </c>
      <c r="C592" s="18">
        <f>IF($A592="","",IF(Paramètres!H52="","",Paramètres!H52))</f>
        <v/>
      </c>
      <c r="D592" s="18">
        <f>IF($A592="","",IF(Paramètres!I52="","",Paramètres!I52))</f>
        <v/>
      </c>
      <c r="E592" s="19">
        <f>IF($A592="","",IF(Paramètres!J52&amp;Paramètres!L52&amp;Paramètres!N52="",Dossiers!$D$14,MAX(IF(Paramètres!J52="",0,IF(Paramètres!K52="",NA(),IF(LEFT(TRIM(Paramètres!K52),1)="F",INDEX($F$545:$F$597,MATCH(Paramètres!J52,Paramètres!$G$5:$G$57,0)),INDEX($E$545:$E$597,MATCH(Paramètres!J52,Paramètres!$G$5:$G$57,0)))+IF(RIGHT(TRIM(Paramètres!K52),3)="Fin",1-$H592,IF(LEFT(TRIM(Paramètres!K52),1)="F",1,0)))),IF(Paramètres!L52="",0,IF(Paramètres!M52="",NA(),IF(LEFT(TRIM(Paramètres!M52),1)="F",INDEX($F$545:$F$597,MATCH(Paramètres!L52,Paramètres!$G$5:$G$57,0)),INDEX($E$545:$E$597,MATCH(Paramètres!L52,Paramètres!$G$5:$G$57,0)))+IF(RIGHT(TRIM(Paramètres!M52),3)="Fin",1-$H592,IF(LEFT(TRIM(Paramètres!M52),1)="F",1,0)))),IF(Paramètres!N52="",0,IF(Paramètres!O52="",NA(),IF(LEFT(TRIM(Paramètres!O52),1)="F",INDEX($F$545:$F$597,MATCH(Paramètres!N52,Paramètres!$G$5:$G$57,0)),INDEX($E$545:$E$597,MATCH(Paramètres!N52,Paramètres!$G$5:$G$57,0)))+IF(RIGHT(TRIM(Paramètres!O52),3)="Fin",1-$H592,IF(LEFT(TRIM(Paramètres!O52),1)="F",1,0)))))))</f>
        <v/>
      </c>
      <c r="F592" s="19">
        <f>IF($A592="","",E592+$H592-1)</f>
        <v/>
      </c>
      <c r="G592" s="18" t="n"/>
      <c r="H592" s="18">
        <f>IF($A592="","",IF(I592&lt;&gt;"",I592,Paramètres!B52))</f>
        <v/>
      </c>
      <c r="I592" s="18" t="n"/>
    </row>
    <row r="593">
      <c r="A593" s="18">
        <f>IF(ISNUMBER(Dossiers!$D$14),Dossiers!$A$14&amp;" · "&amp;Dossiers!$B$14,"")</f>
        <v/>
      </c>
      <c r="B593" s="18">
        <f>IF($A593="","",Paramètres!G53)</f>
        <v/>
      </c>
      <c r="C593" s="18">
        <f>IF($A593="","",IF(Paramètres!H53="","",Paramètres!H53))</f>
        <v/>
      </c>
      <c r="D593" s="18">
        <f>IF($A593="","",IF(Paramètres!I53="","",Paramètres!I53))</f>
        <v/>
      </c>
      <c r="E593" s="19">
        <f>IF($A593="","",IF(Paramètres!J53&amp;Paramètres!L53&amp;Paramètres!N53="",Dossiers!$D$14,MAX(IF(Paramètres!J53="",0,IF(Paramètres!K53="",NA(),IF(LEFT(TRIM(Paramètres!K53),1)="F",INDEX($F$545:$F$597,MATCH(Paramètres!J53,Paramètres!$G$5:$G$57,0)),INDEX($E$545:$E$597,MATCH(Paramètres!J53,Paramètres!$G$5:$G$57,0)))+IF(RIGHT(TRIM(Paramètres!K53),3)="Fin",1-$H593,IF(LEFT(TRIM(Paramètres!K53),1)="F",1,0)))),IF(Paramètres!L53="",0,IF(Paramètres!M53="",NA(),IF(LEFT(TRIM(Paramètres!M53),1)="F",INDEX($F$545:$F$597,MATCH(Paramètres!L53,Paramètres!$G$5:$G$57,0)),INDEX($E$545:$E$597,MATCH(Paramètres!L53,Paramètres!$G$5:$G$57,0)))+IF(RIGHT(TRIM(Paramètres!M53),3)="Fin",1-$H593,IF(LEFT(TRIM(Paramètres!M53),1)="F",1,0)))),IF(Paramètres!N53="",0,IF(Paramètres!O53="",NA(),IF(LEFT(TRIM(Paramètres!O53),1)="F",INDEX($F$545:$F$597,MATCH(Paramètres!N53,Paramètres!$G$5:$G$57,0)),INDEX($E$545:$E$597,MATCH(Paramètres!N53,Paramètres!$G$5:$G$57,0)))+IF(RIGHT(TRIM(Paramètres!O53),3)="Fin",1-$H593,IF(LEFT(TRIM(Paramètres!O53),1)="F",1,0)))))))</f>
        <v/>
      </c>
      <c r="F593" s="19">
        <f>IF($A593="","",E593+$H593-1)</f>
        <v/>
      </c>
      <c r="G593" s="18" t="n"/>
      <c r="H593" s="18">
        <f>IF($A593="","",IF(I593&lt;&gt;"",I593,Paramètres!B53))</f>
        <v/>
      </c>
      <c r="I593" s="18" t="n"/>
    </row>
    <row r="594">
      <c r="A594" s="18">
        <f>IF(ISNUMBER(Dossiers!$D$14),Dossiers!$A$14&amp;" · "&amp;Dossiers!$B$14,"")</f>
        <v/>
      </c>
      <c r="B594" s="18">
        <f>IF($A594="","",Paramètres!G54)</f>
        <v/>
      </c>
      <c r="C594" s="18">
        <f>IF($A594="","",IF(Paramètres!H54="","",Paramètres!H54))</f>
        <v/>
      </c>
      <c r="D594" s="18">
        <f>IF($A594="","",IF(Paramètres!I54="","",Paramètres!I54))</f>
        <v/>
      </c>
      <c r="E594" s="19">
        <f>IF($A594="","",IF(Paramètres!J54&amp;Paramètres!L54&amp;Paramètres!N54="",Dossiers!$D$14,MAX(IF(Paramètres!J54="",0,IF(Paramètres!K54="",NA(),IF(LEFT(TRIM(Paramètres!K54),1)="F",INDEX($F$545:$F$597,MATCH(Paramètres!J54,Paramètres!$G$5:$G$57,0)),INDEX($E$545:$E$597,MATCH(Paramètres!J54,Paramètres!$G$5:$G$57,0)))+IF(RIGHT(TRIM(Paramètres!K54),3)="Fin",1-$H594,IF(LEFT(TRIM(Paramètres!K54),1)="F",1,0)))),IF(Paramètres!L54="",0,IF(Paramètres!M54="",NA(),IF(LEFT(TRIM(Paramètres!M54),1)="F",INDEX($F$545:$F$597,MATCH(Paramètres!L54,Paramètres!$G$5:$G$57,0)),INDEX($E$545:$E$597,MATCH(Paramètres!L54,Paramètres!$G$5:$G$57,0)))+IF(RIGHT(TRIM(Paramètres!M54),3)="Fin",1-$H594,IF(LEFT(TRIM(Paramètres!M54),1)="F",1,0)))),IF(Paramètres!N54="",0,IF(Paramètres!O54="",NA(),IF(LEFT(TRIM(Paramètres!O54),1)="F",INDEX($F$545:$F$597,MATCH(Paramètres!N54,Paramètres!$G$5:$G$57,0)),INDEX($E$545:$E$597,MATCH(Paramètres!N54,Paramètres!$G$5:$G$57,0)))+IF(RIGHT(TRIM(Paramètres!O54),3)="Fin",1-$H594,IF(LEFT(TRIM(Paramètres!O54),1)="F",1,0)))))))</f>
        <v/>
      </c>
      <c r="F594" s="19">
        <f>IF($A594="","",E594+$H594-1)</f>
        <v/>
      </c>
      <c r="G594" s="18" t="n"/>
      <c r="H594" s="18">
        <f>IF($A594="","",IF(I594&lt;&gt;"",I594,Paramètres!B54))</f>
        <v/>
      </c>
      <c r="I594" s="18" t="n"/>
    </row>
    <row r="595">
      <c r="A595" s="18">
        <f>IF(ISNUMBER(Dossiers!$D$14),Dossiers!$A$14&amp;" · "&amp;Dossiers!$B$14,"")</f>
        <v/>
      </c>
      <c r="B595" s="18">
        <f>IF($A595="","",Paramètres!G55)</f>
        <v/>
      </c>
      <c r="C595" s="18">
        <f>IF($A595="","",IF(Paramètres!H55="","",Paramètres!H55))</f>
        <v/>
      </c>
      <c r="D595" s="18">
        <f>IF($A595="","",IF(Paramètres!I55="","",Paramètres!I55))</f>
        <v/>
      </c>
      <c r="E595" s="19">
        <f>IF($A595="","",IF(Paramètres!J55&amp;Paramètres!L55&amp;Paramètres!N55="",Dossiers!$D$14,MAX(IF(Paramètres!J55="",0,IF(Paramètres!K55="",NA(),IF(LEFT(TRIM(Paramètres!K55),1)="F",INDEX($F$545:$F$597,MATCH(Paramètres!J55,Paramètres!$G$5:$G$57,0)),INDEX($E$545:$E$597,MATCH(Paramètres!J55,Paramètres!$G$5:$G$57,0)))+IF(RIGHT(TRIM(Paramètres!K55),3)="Fin",1-$H595,IF(LEFT(TRIM(Paramètres!K55),1)="F",1,0)))),IF(Paramètres!L55="",0,IF(Paramètres!M55="",NA(),IF(LEFT(TRIM(Paramètres!M55),1)="F",INDEX($F$545:$F$597,MATCH(Paramètres!L55,Paramètres!$G$5:$G$57,0)),INDEX($E$545:$E$597,MATCH(Paramètres!L55,Paramètres!$G$5:$G$57,0)))+IF(RIGHT(TRIM(Paramètres!M55),3)="Fin",1-$H595,IF(LEFT(TRIM(Paramètres!M55),1)="F",1,0)))),IF(Paramètres!N55="",0,IF(Paramètres!O55="",NA(),IF(LEFT(TRIM(Paramètres!O55),1)="F",INDEX($F$545:$F$597,MATCH(Paramètres!N55,Paramètres!$G$5:$G$57,0)),INDEX($E$545:$E$597,MATCH(Paramètres!N55,Paramètres!$G$5:$G$57,0)))+IF(RIGHT(TRIM(Paramètres!O55),3)="Fin",1-$H595,IF(LEFT(TRIM(Paramètres!O55),1)="F",1,0)))))))</f>
        <v/>
      </c>
      <c r="F595" s="19">
        <f>IF($A595="","",E595+$H595-1)</f>
        <v/>
      </c>
      <c r="G595" s="18" t="n"/>
      <c r="H595" s="18">
        <f>IF($A595="","",IF(I595&lt;&gt;"",I595,Paramètres!B55))</f>
        <v/>
      </c>
      <c r="I595" s="18" t="n"/>
    </row>
    <row r="596">
      <c r="A596" s="18">
        <f>IF(ISNUMBER(Dossiers!$D$14),Dossiers!$A$14&amp;" · "&amp;Dossiers!$B$14,"")</f>
        <v/>
      </c>
      <c r="B596" s="18">
        <f>IF($A596="","",Paramètres!G56)</f>
        <v/>
      </c>
      <c r="C596" s="18">
        <f>IF($A596="","",IF(Paramètres!H56="","",Paramètres!H56))</f>
        <v/>
      </c>
      <c r="D596" s="18">
        <f>IF($A596="","",IF(Paramètres!I56="","",Paramètres!I56))</f>
        <v/>
      </c>
      <c r="E596" s="19">
        <f>IF($A596="","",MIN(E597:E597))</f>
        <v/>
      </c>
      <c r="F596" s="19">
        <f>IF($A596="","",MAX(F597:F597))</f>
        <v/>
      </c>
      <c r="G596" s="18" t="n"/>
      <c r="H596" s="18">
        <f>IF($A596="","",F596-E596+1)</f>
        <v/>
      </c>
      <c r="I596" s="18" t="n"/>
    </row>
    <row r="597">
      <c r="A597" s="18">
        <f>IF(ISNUMBER(Dossiers!$D$14),Dossiers!$A$14&amp;" · "&amp;Dossiers!$B$14,"")</f>
        <v/>
      </c>
      <c r="B597" s="18">
        <f>IF($A597="","",Paramètres!G57)</f>
        <v/>
      </c>
      <c r="C597" s="18">
        <f>IF($A597="","",IF(Paramètres!H57="","",Paramètres!H57))</f>
        <v/>
      </c>
      <c r="D597" s="18">
        <f>IF($A597="","",IF(Paramètres!I57="","",Paramètres!I57))</f>
        <v/>
      </c>
      <c r="E597" s="19">
        <f>IF($A597="","",IF(Paramètres!J57&amp;Paramètres!L57&amp;Paramètres!N57="",Dossiers!$D$14,MAX(IF(Paramètres!J57="",0,IF(Paramètres!K57="",NA(),IF(LEFT(TRIM(Paramètres!K57),1)="F",INDEX($F$545:$F$597,MATCH(Paramètres!J57,Paramètres!$G$5:$G$57,0)),INDEX($E$545:$E$597,MATCH(Paramètres!J57,Paramètres!$G$5:$G$57,0)))+IF(RIGHT(TRIM(Paramètres!K57),3)="Fin",1-$H597,IF(LEFT(TRIM(Paramètres!K57),1)="F",1,0)))),IF(Paramètres!L57="",0,IF(Paramètres!M57="",NA(),IF(LEFT(TRIM(Paramètres!M57),1)="F",INDEX($F$545:$F$597,MATCH(Paramètres!L57,Paramètres!$G$5:$G$57,0)),INDEX($E$545:$E$597,MATCH(Paramètres!L57,Paramètres!$G$5:$G$57,0)))+IF(RIGHT(TRIM(Paramètres!M57),3)="Fin",1-$H597,IF(LEFT(TRIM(Paramètres!M57),1)="F",1,0)))),IF(Paramètres!N57="",0,IF(Paramètres!O57="",NA(),IF(LEFT(TRIM(Paramètres!O57),1)="F",INDEX($F$545:$F$597,MATCH(Paramètres!N57,Paramètres!$G$5:$G$57,0)),INDEX($E$545:$E$597,MATCH(Paramètres!N57,Paramètres!$G$5:$G$57,0)))+IF(RIGHT(TRIM(Paramètres!O57),3)="Fin",1-$H597,IF(LEFT(TRIM(Paramètres!O57),1)="F",1,0)))))))</f>
        <v/>
      </c>
      <c r="F597" s="19">
        <f>IF($A597="","",E597+$H597-1)</f>
        <v/>
      </c>
      <c r="G597" s="18" t="n"/>
      <c r="H597" s="18">
        <f>IF($A597="","",IF(I597&lt;&gt;"",I597,Paramètres!B57))</f>
        <v/>
      </c>
      <c r="I597" s="18" t="n"/>
    </row>
    <row r="598">
      <c r="A598" s="16">
        <f>IF(ISNUMBER(Dossiers!$D$15),Dossiers!$E$15,"")</f>
        <v/>
      </c>
      <c r="B598" s="16">
        <f>IF($A598="","","Identifiant")</f>
        <v/>
      </c>
      <c r="C598" s="16">
        <f>IF($A598="","","Macro Etape")</f>
        <v/>
      </c>
      <c r="D598" s="16">
        <f>IF($A598="","","Etape")</f>
        <v/>
      </c>
      <c r="E598" s="17">
        <f>IF($A598="","","Début le")</f>
        <v/>
      </c>
      <c r="F598" s="17">
        <f>IF($A598="","","Fin prévue le")</f>
        <v/>
      </c>
      <c r="G598" s="16">
        <f>IF($A598="","","Statut")</f>
        <v/>
      </c>
      <c r="H598" s="16">
        <f>IF($A598="","","Durée (jours)")</f>
        <v/>
      </c>
      <c r="I598" s="16">
        <f>IF($A598="","","Durée particulière")</f>
        <v/>
      </c>
      <c r="J598" s="10">
        <f>IF($A598="","",HYPERLINK("#'Tableau de bord'!A1","↑ Tableau de bord"))</f>
        <v/>
      </c>
    </row>
    <row r="599">
      <c r="A599" s="18">
        <f>IF(ISNUMBER(Dossiers!$D$15),Dossiers!$A$15&amp;" · "&amp;Dossiers!$B$15,"")</f>
        <v/>
      </c>
      <c r="B599" s="18">
        <f>IF($A599="","",Paramètres!G5)</f>
        <v/>
      </c>
      <c r="C599" s="18">
        <f>IF($A599="","",IF(Paramètres!H5="","",Paramètres!H5))</f>
        <v/>
      </c>
      <c r="D599" s="18">
        <f>IF($A599="","",IF(Paramètres!I5="","",Paramètres!I5))</f>
        <v/>
      </c>
      <c r="E599" s="19">
        <f>IF($A599="","",MIN(E600:E603))</f>
        <v/>
      </c>
      <c r="F599" s="19">
        <f>IF($A599="","",MAX(F600:F603))</f>
        <v/>
      </c>
      <c r="G599" s="18" t="n"/>
      <c r="H599" s="18">
        <f>IF($A599="","",F599-E599+1)</f>
        <v/>
      </c>
      <c r="I599" s="18" t="n"/>
    </row>
    <row r="600">
      <c r="A600" s="18">
        <f>IF(ISNUMBER(Dossiers!$D$15),Dossiers!$A$15&amp;" · "&amp;Dossiers!$B$15,"")</f>
        <v/>
      </c>
      <c r="B600" s="18">
        <f>IF($A600="","",Paramètres!G6)</f>
        <v/>
      </c>
      <c r="C600" s="18">
        <f>IF($A600="","",IF(Paramètres!H6="","",Paramètres!H6))</f>
        <v/>
      </c>
      <c r="D600" s="18">
        <f>IF($A600="","",IF(Paramètres!I6="","",Paramètres!I6))</f>
        <v/>
      </c>
      <c r="E600" s="19">
        <f>IF($A600="","",IF(Paramètres!J6&amp;Paramètres!L6&amp;Paramètres!N6="",Dossiers!$D$15,MAX(IF(Paramètres!J6="",0,IF(Paramètres!K6="",NA(),IF(LEFT(TRIM(Paramètres!K6),1)="F",INDEX($F$599:$F$651,MATCH(Paramètres!J6,Paramètres!$G$5:$G$57,0)),INDEX($E$599:$E$651,MATCH(Paramètres!J6,Paramètres!$G$5:$G$57,0)))+IF(RIGHT(TRIM(Paramètres!K6),3)="Fin",1-$H600,IF(LEFT(TRIM(Paramètres!K6),1)="F",1,0)))),IF(Paramètres!L6="",0,IF(Paramètres!M6="",NA(),IF(LEFT(TRIM(Paramètres!M6),1)="F",INDEX($F$599:$F$651,MATCH(Paramètres!L6,Paramètres!$G$5:$G$57,0)),INDEX($E$599:$E$651,MATCH(Paramètres!L6,Paramètres!$G$5:$G$57,0)))+IF(RIGHT(TRIM(Paramètres!M6),3)="Fin",1-$H600,IF(LEFT(TRIM(Paramètres!M6),1)="F",1,0)))),IF(Paramètres!N6="",0,IF(Paramètres!O6="",NA(),IF(LEFT(TRIM(Paramètres!O6),1)="F",INDEX($F$599:$F$651,MATCH(Paramètres!N6,Paramètres!$G$5:$G$57,0)),INDEX($E$599:$E$651,MATCH(Paramètres!N6,Paramètres!$G$5:$G$57,0)))+IF(RIGHT(TRIM(Paramètres!O6),3)="Fin",1-$H600,IF(LEFT(TRIM(Paramètres!O6),1)="F",1,0)))))))</f>
        <v/>
      </c>
      <c r="F600" s="19">
        <f>IF($A600="","",E600+$H600-1)</f>
        <v/>
      </c>
      <c r="G600" s="18" t="n"/>
      <c r="H600" s="18">
        <f>IF($A600="","",IF(I600&lt;&gt;"",I600,Paramètres!B6))</f>
        <v/>
      </c>
      <c r="I600" s="18" t="n"/>
    </row>
    <row r="601">
      <c r="A601" s="18">
        <f>IF(ISNUMBER(Dossiers!$D$15),Dossiers!$A$15&amp;" · "&amp;Dossiers!$B$15,"")</f>
        <v/>
      </c>
      <c r="B601" s="18">
        <f>IF($A601="","",Paramètres!G7)</f>
        <v/>
      </c>
      <c r="C601" s="18">
        <f>IF($A601="","",IF(Paramètres!H7="","",Paramètres!H7))</f>
        <v/>
      </c>
      <c r="D601" s="18">
        <f>IF($A601="","",IF(Paramètres!I7="","",Paramètres!I7))</f>
        <v/>
      </c>
      <c r="E601" s="19">
        <f>IF($A601="","",IF(Paramètres!J7&amp;Paramètres!L7&amp;Paramètres!N7="",Dossiers!$D$15,MAX(IF(Paramètres!J7="",0,IF(Paramètres!K7="",NA(),IF(LEFT(TRIM(Paramètres!K7),1)="F",INDEX($F$599:$F$651,MATCH(Paramètres!J7,Paramètres!$G$5:$G$57,0)),INDEX($E$599:$E$651,MATCH(Paramètres!J7,Paramètres!$G$5:$G$57,0)))+IF(RIGHT(TRIM(Paramètres!K7),3)="Fin",1-$H601,IF(LEFT(TRIM(Paramètres!K7),1)="F",1,0)))),IF(Paramètres!L7="",0,IF(Paramètres!M7="",NA(),IF(LEFT(TRIM(Paramètres!M7),1)="F",INDEX($F$599:$F$651,MATCH(Paramètres!L7,Paramètres!$G$5:$G$57,0)),INDEX($E$599:$E$651,MATCH(Paramètres!L7,Paramètres!$G$5:$G$57,0)))+IF(RIGHT(TRIM(Paramètres!M7),3)="Fin",1-$H601,IF(LEFT(TRIM(Paramètres!M7),1)="F",1,0)))),IF(Paramètres!N7="",0,IF(Paramètres!O7="",NA(),IF(LEFT(TRIM(Paramètres!O7),1)="F",INDEX($F$599:$F$651,MATCH(Paramètres!N7,Paramètres!$G$5:$G$57,0)),INDEX($E$599:$E$651,MATCH(Paramètres!N7,Paramètres!$G$5:$G$57,0)))+IF(RIGHT(TRIM(Paramètres!O7),3)="Fin",1-$H601,IF(LEFT(TRIM(Paramètres!O7),1)="F",1,0)))))))</f>
        <v/>
      </c>
      <c r="F601" s="19">
        <f>IF($A601="","",E601+$H601-1)</f>
        <v/>
      </c>
      <c r="G601" s="18" t="n"/>
      <c r="H601" s="18">
        <f>IF($A601="","",IF(I601&lt;&gt;"",I601,Paramètres!B7))</f>
        <v/>
      </c>
      <c r="I601" s="18" t="n"/>
    </row>
    <row r="602">
      <c r="A602" s="18">
        <f>IF(ISNUMBER(Dossiers!$D$15),Dossiers!$A$15&amp;" · "&amp;Dossiers!$B$15,"")</f>
        <v/>
      </c>
      <c r="B602" s="18">
        <f>IF($A602="","",Paramètres!G8)</f>
        <v/>
      </c>
      <c r="C602" s="18">
        <f>IF($A602="","",IF(Paramètres!H8="","",Paramètres!H8))</f>
        <v/>
      </c>
      <c r="D602" s="18">
        <f>IF($A602="","",IF(Paramètres!I8="","",Paramètres!I8))</f>
        <v/>
      </c>
      <c r="E602" s="19">
        <f>IF($A602="","",IF(Paramètres!J8&amp;Paramètres!L8&amp;Paramètres!N8="",Dossiers!$D$15,MAX(IF(Paramètres!J8="",0,IF(Paramètres!K8="",NA(),IF(LEFT(TRIM(Paramètres!K8),1)="F",INDEX($F$599:$F$651,MATCH(Paramètres!J8,Paramètres!$G$5:$G$57,0)),INDEX($E$599:$E$651,MATCH(Paramètres!J8,Paramètres!$G$5:$G$57,0)))+IF(RIGHT(TRIM(Paramètres!K8),3)="Fin",1-$H602,IF(LEFT(TRIM(Paramètres!K8),1)="F",1,0)))),IF(Paramètres!L8="",0,IF(Paramètres!M8="",NA(),IF(LEFT(TRIM(Paramètres!M8),1)="F",INDEX($F$599:$F$651,MATCH(Paramètres!L8,Paramètres!$G$5:$G$57,0)),INDEX($E$599:$E$651,MATCH(Paramètres!L8,Paramètres!$G$5:$G$57,0)))+IF(RIGHT(TRIM(Paramètres!M8),3)="Fin",1-$H602,IF(LEFT(TRIM(Paramètres!M8),1)="F",1,0)))),IF(Paramètres!N8="",0,IF(Paramètres!O8="",NA(),IF(LEFT(TRIM(Paramètres!O8),1)="F",INDEX($F$599:$F$651,MATCH(Paramètres!N8,Paramètres!$G$5:$G$57,0)),INDEX($E$599:$E$651,MATCH(Paramètres!N8,Paramètres!$G$5:$G$57,0)))+IF(RIGHT(TRIM(Paramètres!O8),3)="Fin",1-$H602,IF(LEFT(TRIM(Paramètres!O8),1)="F",1,0)))))))</f>
        <v/>
      </c>
      <c r="F602" s="19">
        <f>IF($A602="","",E602+$H602-1)</f>
        <v/>
      </c>
      <c r="G602" s="18" t="n"/>
      <c r="H602" s="18">
        <f>IF($A602="","",IF(I602&lt;&gt;"",I602,Paramètres!B8))</f>
        <v/>
      </c>
      <c r="I602" s="18" t="n"/>
    </row>
    <row r="603">
      <c r="A603" s="18">
        <f>IF(ISNUMBER(Dossiers!$D$15),Dossiers!$A$15&amp;" · "&amp;Dossiers!$B$15,"")</f>
        <v/>
      </c>
      <c r="B603" s="18">
        <f>IF($A603="","",Paramètres!G9)</f>
        <v/>
      </c>
      <c r="C603" s="18">
        <f>IF($A603="","",IF(Paramètres!H9="","",Paramètres!H9))</f>
        <v/>
      </c>
      <c r="D603" s="18">
        <f>IF($A603="","",IF(Paramètres!I9="","",Paramètres!I9))</f>
        <v/>
      </c>
      <c r="E603" s="19">
        <f>IF($A603="","",IF(Paramètres!J9&amp;Paramètres!L9&amp;Paramètres!N9="",Dossiers!$D$15,MAX(IF(Paramètres!J9="",0,IF(Paramètres!K9="",NA(),IF(LEFT(TRIM(Paramètres!K9),1)="F",INDEX($F$599:$F$651,MATCH(Paramètres!J9,Paramètres!$G$5:$G$57,0)),INDEX($E$599:$E$651,MATCH(Paramètres!J9,Paramètres!$G$5:$G$57,0)))+IF(RIGHT(TRIM(Paramètres!K9),3)="Fin",1-$H603,IF(LEFT(TRIM(Paramètres!K9),1)="F",1,0)))),IF(Paramètres!L9="",0,IF(Paramètres!M9="",NA(),IF(LEFT(TRIM(Paramètres!M9),1)="F",INDEX($F$599:$F$651,MATCH(Paramètres!L9,Paramètres!$G$5:$G$57,0)),INDEX($E$599:$E$651,MATCH(Paramètres!L9,Paramètres!$G$5:$G$57,0)))+IF(RIGHT(TRIM(Paramètres!M9),3)="Fin",1-$H603,IF(LEFT(TRIM(Paramètres!M9),1)="F",1,0)))),IF(Paramètres!N9="",0,IF(Paramètres!O9="",NA(),IF(LEFT(TRIM(Paramètres!O9),1)="F",INDEX($F$599:$F$651,MATCH(Paramètres!N9,Paramètres!$G$5:$G$57,0)),INDEX($E$599:$E$651,MATCH(Paramètres!N9,Paramètres!$G$5:$G$57,0)))+IF(RIGHT(TRIM(Paramètres!O9),3)="Fin",1-$H603,IF(LEFT(TRIM(Paramètres!O9),1)="F",1,0)))))))</f>
        <v/>
      </c>
      <c r="F603" s="19">
        <f>IF($A603="","",E603+$H603-1)</f>
        <v/>
      </c>
      <c r="G603" s="18" t="n"/>
      <c r="H603" s="18">
        <f>IF($A603="","",IF(I603&lt;&gt;"",I603,Paramètres!B9))</f>
        <v/>
      </c>
      <c r="I603" s="18" t="n"/>
    </row>
    <row r="604">
      <c r="A604" s="18">
        <f>IF(ISNUMBER(Dossiers!$D$15),Dossiers!$A$15&amp;" · "&amp;Dossiers!$B$15,"")</f>
        <v/>
      </c>
      <c r="B604" s="18">
        <f>IF($A604="","",Paramètres!G10)</f>
        <v/>
      </c>
      <c r="C604" s="18">
        <f>IF($A604="","",IF(Paramètres!H10="","",Paramètres!H10))</f>
        <v/>
      </c>
      <c r="D604" s="18">
        <f>IF($A604="","",IF(Paramètres!I10="","",Paramètres!I10))</f>
        <v/>
      </c>
      <c r="E604" s="19">
        <f>IF($A604="","",MIN(E605:E608))</f>
        <v/>
      </c>
      <c r="F604" s="19">
        <f>IF($A604="","",MAX(F605:F608))</f>
        <v/>
      </c>
      <c r="G604" s="18" t="n"/>
      <c r="H604" s="18">
        <f>IF($A604="","",F604-E604+1)</f>
        <v/>
      </c>
      <c r="I604" s="18" t="n"/>
    </row>
    <row r="605">
      <c r="A605" s="18">
        <f>IF(ISNUMBER(Dossiers!$D$15),Dossiers!$A$15&amp;" · "&amp;Dossiers!$B$15,"")</f>
        <v/>
      </c>
      <c r="B605" s="18">
        <f>IF($A605="","",Paramètres!G11)</f>
        <v/>
      </c>
      <c r="C605" s="18">
        <f>IF($A605="","",IF(Paramètres!H11="","",Paramètres!H11))</f>
        <v/>
      </c>
      <c r="D605" s="18">
        <f>IF($A605="","",IF(Paramètres!I11="","",Paramètres!I11))</f>
        <v/>
      </c>
      <c r="E605" s="19">
        <f>IF($A605="","",IF(Paramètres!J11&amp;Paramètres!L11&amp;Paramètres!N11="",Dossiers!$D$15,MAX(IF(Paramètres!J11="",0,IF(Paramètres!K11="",NA(),IF(LEFT(TRIM(Paramètres!K11),1)="F",INDEX($F$599:$F$651,MATCH(Paramètres!J11,Paramètres!$G$5:$G$57,0)),INDEX($E$599:$E$651,MATCH(Paramètres!J11,Paramètres!$G$5:$G$57,0)))+IF(RIGHT(TRIM(Paramètres!K11),3)="Fin",1-$H605,IF(LEFT(TRIM(Paramètres!K11),1)="F",1,0)))),IF(Paramètres!L11="",0,IF(Paramètres!M11="",NA(),IF(LEFT(TRIM(Paramètres!M11),1)="F",INDEX($F$599:$F$651,MATCH(Paramètres!L11,Paramètres!$G$5:$G$57,0)),INDEX($E$599:$E$651,MATCH(Paramètres!L11,Paramètres!$G$5:$G$57,0)))+IF(RIGHT(TRIM(Paramètres!M11),3)="Fin",1-$H605,IF(LEFT(TRIM(Paramètres!M11),1)="F",1,0)))),IF(Paramètres!N11="",0,IF(Paramètres!O11="",NA(),IF(LEFT(TRIM(Paramètres!O11),1)="F",INDEX($F$599:$F$651,MATCH(Paramètres!N11,Paramètres!$G$5:$G$57,0)),INDEX($E$599:$E$651,MATCH(Paramètres!N11,Paramètres!$G$5:$G$57,0)))+IF(RIGHT(TRIM(Paramètres!O11),3)="Fin",1-$H605,IF(LEFT(TRIM(Paramètres!O11),1)="F",1,0)))))))</f>
        <v/>
      </c>
      <c r="F605" s="19">
        <f>IF($A605="","",E605+$H605-1)</f>
        <v/>
      </c>
      <c r="G605" s="18" t="n"/>
      <c r="H605" s="18">
        <f>IF($A605="","",IF(I605&lt;&gt;"",I605,Paramètres!B11))</f>
        <v/>
      </c>
      <c r="I605" s="18" t="n"/>
    </row>
    <row r="606">
      <c r="A606" s="18">
        <f>IF(ISNUMBER(Dossiers!$D$15),Dossiers!$A$15&amp;" · "&amp;Dossiers!$B$15,"")</f>
        <v/>
      </c>
      <c r="B606" s="18">
        <f>IF($A606="","",Paramètres!G12)</f>
        <v/>
      </c>
      <c r="C606" s="18">
        <f>IF($A606="","",IF(Paramètres!H12="","",Paramètres!H12))</f>
        <v/>
      </c>
      <c r="D606" s="18">
        <f>IF($A606="","",IF(Paramètres!I12="","",Paramètres!I12))</f>
        <v/>
      </c>
      <c r="E606" s="19">
        <f>IF($A606="","",IF(Paramètres!J12&amp;Paramètres!L12&amp;Paramètres!N12="",Dossiers!$D$15,MAX(IF(Paramètres!J12="",0,IF(Paramètres!K12="",NA(),IF(LEFT(TRIM(Paramètres!K12),1)="F",INDEX($F$599:$F$651,MATCH(Paramètres!J12,Paramètres!$G$5:$G$57,0)),INDEX($E$599:$E$651,MATCH(Paramètres!J12,Paramètres!$G$5:$G$57,0)))+IF(RIGHT(TRIM(Paramètres!K12),3)="Fin",1-$H606,IF(LEFT(TRIM(Paramètres!K12),1)="F",1,0)))),IF(Paramètres!L12="",0,IF(Paramètres!M12="",NA(),IF(LEFT(TRIM(Paramètres!M12),1)="F",INDEX($F$599:$F$651,MATCH(Paramètres!L12,Paramètres!$G$5:$G$57,0)),INDEX($E$599:$E$651,MATCH(Paramètres!L12,Paramètres!$G$5:$G$57,0)))+IF(RIGHT(TRIM(Paramètres!M12),3)="Fin",1-$H606,IF(LEFT(TRIM(Paramètres!M12),1)="F",1,0)))),IF(Paramètres!N12="",0,IF(Paramètres!O12="",NA(),IF(LEFT(TRIM(Paramètres!O12),1)="F",INDEX($F$599:$F$651,MATCH(Paramètres!N12,Paramètres!$G$5:$G$57,0)),INDEX($E$599:$E$651,MATCH(Paramètres!N12,Paramètres!$G$5:$G$57,0)))+IF(RIGHT(TRIM(Paramètres!O12),3)="Fin",1-$H606,IF(LEFT(TRIM(Paramètres!O12),1)="F",1,0)))))))</f>
        <v/>
      </c>
      <c r="F606" s="19">
        <f>IF($A606="","",E606+$H606-1)</f>
        <v/>
      </c>
      <c r="G606" s="18" t="n"/>
      <c r="H606" s="18">
        <f>IF($A606="","",IF(I606&lt;&gt;"",I606,Paramètres!B12))</f>
        <v/>
      </c>
      <c r="I606" s="18" t="n"/>
    </row>
    <row r="607">
      <c r="A607" s="18">
        <f>IF(ISNUMBER(Dossiers!$D$15),Dossiers!$A$15&amp;" · "&amp;Dossiers!$B$15,"")</f>
        <v/>
      </c>
      <c r="B607" s="18">
        <f>IF($A607="","",Paramètres!G13)</f>
        <v/>
      </c>
      <c r="C607" s="18">
        <f>IF($A607="","",IF(Paramètres!H13="","",Paramètres!H13))</f>
        <v/>
      </c>
      <c r="D607" s="18">
        <f>IF($A607="","",IF(Paramètres!I13="","",Paramètres!I13))</f>
        <v/>
      </c>
      <c r="E607" s="19">
        <f>IF($A607="","",IF(Paramètres!J13&amp;Paramètres!L13&amp;Paramètres!N13="",Dossiers!$D$15,MAX(IF(Paramètres!J13="",0,IF(Paramètres!K13="",NA(),IF(LEFT(TRIM(Paramètres!K13),1)="F",INDEX($F$599:$F$651,MATCH(Paramètres!J13,Paramètres!$G$5:$G$57,0)),INDEX($E$599:$E$651,MATCH(Paramètres!J13,Paramètres!$G$5:$G$57,0)))+IF(RIGHT(TRIM(Paramètres!K13),3)="Fin",1-$H607,IF(LEFT(TRIM(Paramètres!K13),1)="F",1,0)))),IF(Paramètres!L13="",0,IF(Paramètres!M13="",NA(),IF(LEFT(TRIM(Paramètres!M13),1)="F",INDEX($F$599:$F$651,MATCH(Paramètres!L13,Paramètres!$G$5:$G$57,0)),INDEX($E$599:$E$651,MATCH(Paramètres!L13,Paramètres!$G$5:$G$57,0)))+IF(RIGHT(TRIM(Paramètres!M13),3)="Fin",1-$H607,IF(LEFT(TRIM(Paramètres!M13),1)="F",1,0)))),IF(Paramètres!N13="",0,IF(Paramètres!O13="",NA(),IF(LEFT(TRIM(Paramètres!O13),1)="F",INDEX($F$599:$F$651,MATCH(Paramètres!N13,Paramètres!$G$5:$G$57,0)),INDEX($E$599:$E$651,MATCH(Paramètres!N13,Paramètres!$G$5:$G$57,0)))+IF(RIGHT(TRIM(Paramètres!O13),3)="Fin",1-$H607,IF(LEFT(TRIM(Paramètres!O13),1)="F",1,0)))))))</f>
        <v/>
      </c>
      <c r="F607" s="19">
        <f>IF($A607="","",E607+$H607-1)</f>
        <v/>
      </c>
      <c r="G607" s="18" t="n"/>
      <c r="H607" s="18">
        <f>IF($A607="","",IF(I607&lt;&gt;"",I607,Paramètres!B13))</f>
        <v/>
      </c>
      <c r="I607" s="18" t="n"/>
    </row>
    <row r="608">
      <c r="A608" s="18">
        <f>IF(ISNUMBER(Dossiers!$D$15),Dossiers!$A$15&amp;" · "&amp;Dossiers!$B$15,"")</f>
        <v/>
      </c>
      <c r="B608" s="18">
        <f>IF($A608="","",Paramètres!G14)</f>
        <v/>
      </c>
      <c r="C608" s="18">
        <f>IF($A608="","",IF(Paramètres!H14="","",Paramètres!H14))</f>
        <v/>
      </c>
      <c r="D608" s="18">
        <f>IF($A608="","",IF(Paramètres!I14="","",Paramètres!I14))</f>
        <v/>
      </c>
      <c r="E608" s="19">
        <f>IF($A608="","",IF(Paramètres!J14&amp;Paramètres!L14&amp;Paramètres!N14="",Dossiers!$D$15,MAX(IF(Paramètres!J14="",0,IF(Paramètres!K14="",NA(),IF(LEFT(TRIM(Paramètres!K14),1)="F",INDEX($F$599:$F$651,MATCH(Paramètres!J14,Paramètres!$G$5:$G$57,0)),INDEX($E$599:$E$651,MATCH(Paramètres!J14,Paramètres!$G$5:$G$57,0)))+IF(RIGHT(TRIM(Paramètres!K14),3)="Fin",1-$H608,IF(LEFT(TRIM(Paramètres!K14),1)="F",1,0)))),IF(Paramètres!L14="",0,IF(Paramètres!M14="",NA(),IF(LEFT(TRIM(Paramètres!M14),1)="F",INDEX($F$599:$F$651,MATCH(Paramètres!L14,Paramètres!$G$5:$G$57,0)),INDEX($E$599:$E$651,MATCH(Paramètres!L14,Paramètres!$G$5:$G$57,0)))+IF(RIGHT(TRIM(Paramètres!M14),3)="Fin",1-$H608,IF(LEFT(TRIM(Paramètres!M14),1)="F",1,0)))),IF(Paramètres!N14="",0,IF(Paramètres!O14="",NA(),IF(LEFT(TRIM(Paramètres!O14),1)="F",INDEX($F$599:$F$651,MATCH(Paramètres!N14,Paramètres!$G$5:$G$57,0)),INDEX($E$599:$E$651,MATCH(Paramètres!N14,Paramètres!$G$5:$G$57,0)))+IF(RIGHT(TRIM(Paramètres!O14),3)="Fin",1-$H608,IF(LEFT(TRIM(Paramètres!O14),1)="F",1,0)))))))</f>
        <v/>
      </c>
      <c r="F608" s="19">
        <f>IF($A608="","",E608+$H608-1)</f>
        <v/>
      </c>
      <c r="G608" s="18" t="n"/>
      <c r="H608" s="18">
        <f>IF($A608="","",IF(I608&lt;&gt;"",I608,Paramètres!B14))</f>
        <v/>
      </c>
      <c r="I608" s="18" t="n"/>
    </row>
    <row r="609">
      <c r="A609" s="18">
        <f>IF(ISNUMBER(Dossiers!$D$15),Dossiers!$A$15&amp;" · "&amp;Dossiers!$B$15,"")</f>
        <v/>
      </c>
      <c r="B609" s="18">
        <f>IF($A609="","",Paramètres!G15)</f>
        <v/>
      </c>
      <c r="C609" s="18">
        <f>IF($A609="","",IF(Paramètres!H15="","",Paramètres!H15))</f>
        <v/>
      </c>
      <c r="D609" s="18">
        <f>IF($A609="","",IF(Paramètres!I15="","",Paramètres!I15))</f>
        <v/>
      </c>
      <c r="E609" s="19">
        <f>IF($A609="","",MIN(E610:E625))</f>
        <v/>
      </c>
      <c r="F609" s="19">
        <f>IF($A609="","",MAX(F610:F625))</f>
        <v/>
      </c>
      <c r="G609" s="18" t="n"/>
      <c r="H609" s="18">
        <f>IF($A609="","",F609-E609+1)</f>
        <v/>
      </c>
      <c r="I609" s="18" t="n"/>
    </row>
    <row r="610">
      <c r="A610" s="18">
        <f>IF(ISNUMBER(Dossiers!$D$15),Dossiers!$A$15&amp;" · "&amp;Dossiers!$B$15,"")</f>
        <v/>
      </c>
      <c r="B610" s="18">
        <f>IF($A610="","",Paramètres!G16)</f>
        <v/>
      </c>
      <c r="C610" s="18">
        <f>IF($A610="","",IF(Paramètres!H16="","",Paramètres!H16))</f>
        <v/>
      </c>
      <c r="D610" s="18">
        <f>IF($A610="","",IF(Paramètres!I16="","",Paramètres!I16))</f>
        <v/>
      </c>
      <c r="E610" s="19">
        <f>IF($A610="","",IF(Paramètres!J16&amp;Paramètres!L16&amp;Paramètres!N16="",Dossiers!$D$15,MAX(IF(Paramètres!J16="",0,IF(Paramètres!K16="",NA(),IF(LEFT(TRIM(Paramètres!K16),1)="F",INDEX($F$599:$F$651,MATCH(Paramètres!J16,Paramètres!$G$5:$G$57,0)),INDEX($E$599:$E$651,MATCH(Paramètres!J16,Paramètres!$G$5:$G$57,0)))+IF(RIGHT(TRIM(Paramètres!K16),3)="Fin",1-$H610,IF(LEFT(TRIM(Paramètres!K16),1)="F",1,0)))),IF(Paramètres!L16="",0,IF(Paramètres!M16="",NA(),IF(LEFT(TRIM(Paramètres!M16),1)="F",INDEX($F$599:$F$651,MATCH(Paramètres!L16,Paramètres!$G$5:$G$57,0)),INDEX($E$599:$E$651,MATCH(Paramètres!L16,Paramètres!$G$5:$G$57,0)))+IF(RIGHT(TRIM(Paramètres!M16),3)="Fin",1-$H610,IF(LEFT(TRIM(Paramètres!M16),1)="F",1,0)))),IF(Paramètres!N16="",0,IF(Paramètres!O16="",NA(),IF(LEFT(TRIM(Paramètres!O16),1)="F",INDEX($F$599:$F$651,MATCH(Paramètres!N16,Paramètres!$G$5:$G$57,0)),INDEX($E$599:$E$651,MATCH(Paramètres!N16,Paramètres!$G$5:$G$57,0)))+IF(RIGHT(TRIM(Paramètres!O16),3)="Fin",1-$H610,IF(LEFT(TRIM(Paramètres!O16),1)="F",1,0)))))))</f>
        <v/>
      </c>
      <c r="F610" s="19">
        <f>IF($A610="","",E610+$H610-1)</f>
        <v/>
      </c>
      <c r="G610" s="18" t="n"/>
      <c r="H610" s="18">
        <f>IF($A610="","",IF(I610&lt;&gt;"",I610,Paramètres!B16))</f>
        <v/>
      </c>
      <c r="I610" s="18" t="n"/>
    </row>
    <row r="611">
      <c r="A611" s="18">
        <f>IF(ISNUMBER(Dossiers!$D$15),Dossiers!$A$15&amp;" · "&amp;Dossiers!$B$15,"")</f>
        <v/>
      </c>
      <c r="B611" s="18">
        <f>IF($A611="","",Paramètres!G17)</f>
        <v/>
      </c>
      <c r="C611" s="18">
        <f>IF($A611="","",IF(Paramètres!H17="","",Paramètres!H17))</f>
        <v/>
      </c>
      <c r="D611" s="18">
        <f>IF($A611="","",IF(Paramètres!I17="","",Paramètres!I17))</f>
        <v/>
      </c>
      <c r="E611" s="19">
        <f>IF($A611="","",IF(Paramètres!J17&amp;Paramètres!L17&amp;Paramètres!N17="",Dossiers!$D$15,MAX(IF(Paramètres!J17="",0,IF(Paramètres!K17="",NA(),IF(LEFT(TRIM(Paramètres!K17),1)="F",INDEX($F$599:$F$651,MATCH(Paramètres!J17,Paramètres!$G$5:$G$57,0)),INDEX($E$599:$E$651,MATCH(Paramètres!J17,Paramètres!$G$5:$G$57,0)))+IF(RIGHT(TRIM(Paramètres!K17),3)="Fin",1-$H611,IF(LEFT(TRIM(Paramètres!K17),1)="F",1,0)))),IF(Paramètres!L17="",0,IF(Paramètres!M17="",NA(),IF(LEFT(TRIM(Paramètres!M17),1)="F",INDEX($F$599:$F$651,MATCH(Paramètres!L17,Paramètres!$G$5:$G$57,0)),INDEX($E$599:$E$651,MATCH(Paramètres!L17,Paramètres!$G$5:$G$57,0)))+IF(RIGHT(TRIM(Paramètres!M17),3)="Fin",1-$H611,IF(LEFT(TRIM(Paramètres!M17),1)="F",1,0)))),IF(Paramètres!N17="",0,IF(Paramètres!O17="",NA(),IF(LEFT(TRIM(Paramètres!O17),1)="F",INDEX($F$599:$F$651,MATCH(Paramètres!N17,Paramètres!$G$5:$G$57,0)),INDEX($E$599:$E$651,MATCH(Paramètres!N17,Paramètres!$G$5:$G$57,0)))+IF(RIGHT(TRIM(Paramètres!O17),3)="Fin",1-$H611,IF(LEFT(TRIM(Paramètres!O17),1)="F",1,0)))))))</f>
        <v/>
      </c>
      <c r="F611" s="19">
        <f>IF($A611="","",E611+$H611-1)</f>
        <v/>
      </c>
      <c r="G611" s="18" t="n"/>
      <c r="H611" s="18">
        <f>IF($A611="","",IF(I611&lt;&gt;"",I611,Paramètres!B17))</f>
        <v/>
      </c>
      <c r="I611" s="18" t="n"/>
    </row>
    <row r="612">
      <c r="A612" s="18">
        <f>IF(ISNUMBER(Dossiers!$D$15),Dossiers!$A$15&amp;" · "&amp;Dossiers!$B$15,"")</f>
        <v/>
      </c>
      <c r="B612" s="18">
        <f>IF($A612="","",Paramètres!G18)</f>
        <v/>
      </c>
      <c r="C612" s="18">
        <f>IF($A612="","",IF(Paramètres!H18="","",Paramètres!H18))</f>
        <v/>
      </c>
      <c r="D612" s="18">
        <f>IF($A612="","",IF(Paramètres!I18="","",Paramètres!I18))</f>
        <v/>
      </c>
      <c r="E612" s="19">
        <f>IF($A612="","",IF(Paramètres!J18&amp;Paramètres!L18&amp;Paramètres!N18="",Dossiers!$D$15,MAX(IF(Paramètres!J18="",0,IF(Paramètres!K18="",NA(),IF(LEFT(TRIM(Paramètres!K18),1)="F",INDEX($F$599:$F$651,MATCH(Paramètres!J18,Paramètres!$G$5:$G$57,0)),INDEX($E$599:$E$651,MATCH(Paramètres!J18,Paramètres!$G$5:$G$57,0)))+IF(RIGHT(TRIM(Paramètres!K18),3)="Fin",1-$H612,IF(LEFT(TRIM(Paramètres!K18),1)="F",1,0)))),IF(Paramètres!L18="",0,IF(Paramètres!M18="",NA(),IF(LEFT(TRIM(Paramètres!M18),1)="F",INDEX($F$599:$F$651,MATCH(Paramètres!L18,Paramètres!$G$5:$G$57,0)),INDEX($E$599:$E$651,MATCH(Paramètres!L18,Paramètres!$G$5:$G$57,0)))+IF(RIGHT(TRIM(Paramètres!M18),3)="Fin",1-$H612,IF(LEFT(TRIM(Paramètres!M18),1)="F",1,0)))),IF(Paramètres!N18="",0,IF(Paramètres!O18="",NA(),IF(LEFT(TRIM(Paramètres!O18),1)="F",INDEX($F$599:$F$651,MATCH(Paramètres!N18,Paramètres!$G$5:$G$57,0)),INDEX($E$599:$E$651,MATCH(Paramètres!N18,Paramètres!$G$5:$G$57,0)))+IF(RIGHT(TRIM(Paramètres!O18),3)="Fin",1-$H612,IF(LEFT(TRIM(Paramètres!O18),1)="F",1,0)))))))</f>
        <v/>
      </c>
      <c r="F612" s="19">
        <f>IF($A612="","",E612+$H612-1)</f>
        <v/>
      </c>
      <c r="G612" s="18" t="n"/>
      <c r="H612" s="18">
        <f>IF($A612="","",IF(I612&lt;&gt;"",I612,Paramètres!B18))</f>
        <v/>
      </c>
      <c r="I612" s="18" t="n"/>
    </row>
    <row r="613">
      <c r="A613" s="18">
        <f>IF(ISNUMBER(Dossiers!$D$15),Dossiers!$A$15&amp;" · "&amp;Dossiers!$B$15,"")</f>
        <v/>
      </c>
      <c r="B613" s="18">
        <f>IF($A613="","",Paramètres!G19)</f>
        <v/>
      </c>
      <c r="C613" s="18">
        <f>IF($A613="","",IF(Paramètres!H19="","",Paramètres!H19))</f>
        <v/>
      </c>
      <c r="D613" s="18">
        <f>IF($A613="","",IF(Paramètres!I19="","",Paramètres!I19))</f>
        <v/>
      </c>
      <c r="E613" s="19">
        <f>IF($A613="","",IF(Paramètres!J19&amp;Paramètres!L19&amp;Paramètres!N19="",Dossiers!$D$15,MAX(IF(Paramètres!J19="",0,IF(Paramètres!K19="",NA(),IF(LEFT(TRIM(Paramètres!K19),1)="F",INDEX($F$599:$F$651,MATCH(Paramètres!J19,Paramètres!$G$5:$G$57,0)),INDEX($E$599:$E$651,MATCH(Paramètres!J19,Paramètres!$G$5:$G$57,0)))+IF(RIGHT(TRIM(Paramètres!K19),3)="Fin",1-$H613,IF(LEFT(TRIM(Paramètres!K19),1)="F",1,0)))),IF(Paramètres!L19="",0,IF(Paramètres!M19="",NA(),IF(LEFT(TRIM(Paramètres!M19),1)="F",INDEX($F$599:$F$651,MATCH(Paramètres!L19,Paramètres!$G$5:$G$57,0)),INDEX($E$599:$E$651,MATCH(Paramètres!L19,Paramètres!$G$5:$G$57,0)))+IF(RIGHT(TRIM(Paramètres!M19),3)="Fin",1-$H613,IF(LEFT(TRIM(Paramètres!M19),1)="F",1,0)))),IF(Paramètres!N19="",0,IF(Paramètres!O19="",NA(),IF(LEFT(TRIM(Paramètres!O19),1)="F",INDEX($F$599:$F$651,MATCH(Paramètres!N19,Paramètres!$G$5:$G$57,0)),INDEX($E$599:$E$651,MATCH(Paramètres!N19,Paramètres!$G$5:$G$57,0)))+IF(RIGHT(TRIM(Paramètres!O19),3)="Fin",1-$H613,IF(LEFT(TRIM(Paramètres!O19),1)="F",1,0)))))))</f>
        <v/>
      </c>
      <c r="F613" s="19">
        <f>IF($A613="","",E613+$H613-1)</f>
        <v/>
      </c>
      <c r="G613" s="18" t="n"/>
      <c r="H613" s="18">
        <f>IF($A613="","",IF(I613&lt;&gt;"",I613,Paramètres!B19))</f>
        <v/>
      </c>
      <c r="I613" s="18" t="n"/>
    </row>
    <row r="614">
      <c r="A614" s="18">
        <f>IF(ISNUMBER(Dossiers!$D$15),Dossiers!$A$15&amp;" · "&amp;Dossiers!$B$15,"")</f>
        <v/>
      </c>
      <c r="B614" s="18">
        <f>IF($A614="","",Paramètres!G20)</f>
        <v/>
      </c>
      <c r="C614" s="18">
        <f>IF($A614="","",IF(Paramètres!H20="","",Paramètres!H20))</f>
        <v/>
      </c>
      <c r="D614" s="18">
        <f>IF($A614="","",IF(Paramètres!I20="","",Paramètres!I20))</f>
        <v/>
      </c>
      <c r="E614" s="19">
        <f>IF($A614="","",IF(Paramètres!J20&amp;Paramètres!L20&amp;Paramètres!N20="",Dossiers!$D$15,MAX(IF(Paramètres!J20="",0,IF(Paramètres!K20="",NA(),IF(LEFT(TRIM(Paramètres!K20),1)="F",INDEX($F$599:$F$651,MATCH(Paramètres!J20,Paramètres!$G$5:$G$57,0)),INDEX($E$599:$E$651,MATCH(Paramètres!J20,Paramètres!$G$5:$G$57,0)))+IF(RIGHT(TRIM(Paramètres!K20),3)="Fin",1-$H614,IF(LEFT(TRIM(Paramètres!K20),1)="F",1,0)))),IF(Paramètres!L20="",0,IF(Paramètres!M20="",NA(),IF(LEFT(TRIM(Paramètres!M20),1)="F",INDEX($F$599:$F$651,MATCH(Paramètres!L20,Paramètres!$G$5:$G$57,0)),INDEX($E$599:$E$651,MATCH(Paramètres!L20,Paramètres!$G$5:$G$57,0)))+IF(RIGHT(TRIM(Paramètres!M20),3)="Fin",1-$H614,IF(LEFT(TRIM(Paramètres!M20),1)="F",1,0)))),IF(Paramètres!N20="",0,IF(Paramètres!O20="",NA(),IF(LEFT(TRIM(Paramètres!O20),1)="F",INDEX($F$599:$F$651,MATCH(Paramètres!N20,Paramètres!$G$5:$G$57,0)),INDEX($E$599:$E$651,MATCH(Paramètres!N20,Paramètres!$G$5:$G$57,0)))+IF(RIGHT(TRIM(Paramètres!O20),3)="Fin",1-$H614,IF(LEFT(TRIM(Paramètres!O20),1)="F",1,0)))))))</f>
        <v/>
      </c>
      <c r="F614" s="19">
        <f>IF($A614="","",E614+$H614-1)</f>
        <v/>
      </c>
      <c r="G614" s="18" t="n"/>
      <c r="H614" s="18">
        <f>IF($A614="","",IF(I614&lt;&gt;"",I614,Paramètres!B20))</f>
        <v/>
      </c>
      <c r="I614" s="18" t="n"/>
    </row>
    <row r="615">
      <c r="A615" s="18">
        <f>IF(ISNUMBER(Dossiers!$D$15),Dossiers!$A$15&amp;" · "&amp;Dossiers!$B$15,"")</f>
        <v/>
      </c>
      <c r="B615" s="18">
        <f>IF($A615="","",Paramètres!G21)</f>
        <v/>
      </c>
      <c r="C615" s="18">
        <f>IF($A615="","",IF(Paramètres!H21="","",Paramètres!H21))</f>
        <v/>
      </c>
      <c r="D615" s="18">
        <f>IF($A615="","",IF(Paramètres!I21="","",Paramètres!I21))</f>
        <v/>
      </c>
      <c r="E615" s="19">
        <f>IF($A615="","",IF(Paramètres!J21&amp;Paramètres!L21&amp;Paramètres!N21="",Dossiers!$D$15,MAX(IF(Paramètres!J21="",0,IF(Paramètres!K21="",NA(),IF(LEFT(TRIM(Paramètres!K21),1)="F",INDEX($F$599:$F$651,MATCH(Paramètres!J21,Paramètres!$G$5:$G$57,0)),INDEX($E$599:$E$651,MATCH(Paramètres!J21,Paramètres!$G$5:$G$57,0)))+IF(RIGHT(TRIM(Paramètres!K21),3)="Fin",1-$H615,IF(LEFT(TRIM(Paramètres!K21),1)="F",1,0)))),IF(Paramètres!L21="",0,IF(Paramètres!M21="",NA(),IF(LEFT(TRIM(Paramètres!M21),1)="F",INDEX($F$599:$F$651,MATCH(Paramètres!L21,Paramètres!$G$5:$G$57,0)),INDEX($E$599:$E$651,MATCH(Paramètres!L21,Paramètres!$G$5:$G$57,0)))+IF(RIGHT(TRIM(Paramètres!M21),3)="Fin",1-$H615,IF(LEFT(TRIM(Paramètres!M21),1)="F",1,0)))),IF(Paramètres!N21="",0,IF(Paramètres!O21="",NA(),IF(LEFT(TRIM(Paramètres!O21),1)="F",INDEX($F$599:$F$651,MATCH(Paramètres!N21,Paramètres!$G$5:$G$57,0)),INDEX($E$599:$E$651,MATCH(Paramètres!N21,Paramètres!$G$5:$G$57,0)))+IF(RIGHT(TRIM(Paramètres!O21),3)="Fin",1-$H615,IF(LEFT(TRIM(Paramètres!O21),1)="F",1,0)))))))</f>
        <v/>
      </c>
      <c r="F615" s="19">
        <f>IF($A615="","",E615+$H615-1)</f>
        <v/>
      </c>
      <c r="G615" s="18" t="n"/>
      <c r="H615" s="18">
        <f>IF($A615="","",IF(I615&lt;&gt;"",I615,Paramètres!B21))</f>
        <v/>
      </c>
      <c r="I615" s="18" t="n"/>
    </row>
    <row r="616">
      <c r="A616" s="18">
        <f>IF(ISNUMBER(Dossiers!$D$15),Dossiers!$A$15&amp;" · "&amp;Dossiers!$B$15,"")</f>
        <v/>
      </c>
      <c r="B616" s="18">
        <f>IF($A616="","",Paramètres!G22)</f>
        <v/>
      </c>
      <c r="C616" s="18">
        <f>IF($A616="","",IF(Paramètres!H22="","",Paramètres!H22))</f>
        <v/>
      </c>
      <c r="D616" s="18">
        <f>IF($A616="","",IF(Paramètres!I22="","",Paramètres!I22))</f>
        <v/>
      </c>
      <c r="E616" s="19">
        <f>IF($A616="","",IF(Paramètres!J22&amp;Paramètres!L22&amp;Paramètres!N22="",Dossiers!$D$15,MAX(IF(Paramètres!J22="",0,IF(Paramètres!K22="",NA(),IF(LEFT(TRIM(Paramètres!K22),1)="F",INDEX($F$599:$F$651,MATCH(Paramètres!J22,Paramètres!$G$5:$G$57,0)),INDEX($E$599:$E$651,MATCH(Paramètres!J22,Paramètres!$G$5:$G$57,0)))+IF(RIGHT(TRIM(Paramètres!K22),3)="Fin",1-$H616,IF(LEFT(TRIM(Paramètres!K22),1)="F",1,0)))),IF(Paramètres!L22="",0,IF(Paramètres!M22="",NA(),IF(LEFT(TRIM(Paramètres!M22),1)="F",INDEX($F$599:$F$651,MATCH(Paramètres!L22,Paramètres!$G$5:$G$57,0)),INDEX($E$599:$E$651,MATCH(Paramètres!L22,Paramètres!$G$5:$G$57,0)))+IF(RIGHT(TRIM(Paramètres!M22),3)="Fin",1-$H616,IF(LEFT(TRIM(Paramètres!M22),1)="F",1,0)))),IF(Paramètres!N22="",0,IF(Paramètres!O22="",NA(),IF(LEFT(TRIM(Paramètres!O22),1)="F",INDEX($F$599:$F$651,MATCH(Paramètres!N22,Paramètres!$G$5:$G$57,0)),INDEX($E$599:$E$651,MATCH(Paramètres!N22,Paramètres!$G$5:$G$57,0)))+IF(RIGHT(TRIM(Paramètres!O22),3)="Fin",1-$H616,IF(LEFT(TRIM(Paramètres!O22),1)="F",1,0)))))))</f>
        <v/>
      </c>
      <c r="F616" s="19">
        <f>IF($A616="","",E616+$H616-1)</f>
        <v/>
      </c>
      <c r="G616" s="18" t="n"/>
      <c r="H616" s="18">
        <f>IF($A616="","",IF(I616&lt;&gt;"",I616,Paramètres!B22))</f>
        <v/>
      </c>
      <c r="I616" s="18" t="n"/>
    </row>
    <row r="617">
      <c r="A617" s="18">
        <f>IF(ISNUMBER(Dossiers!$D$15),Dossiers!$A$15&amp;" · "&amp;Dossiers!$B$15,"")</f>
        <v/>
      </c>
      <c r="B617" s="18">
        <f>IF($A617="","",Paramètres!G23)</f>
        <v/>
      </c>
      <c r="C617" s="18">
        <f>IF($A617="","",IF(Paramètres!H23="","",Paramètres!H23))</f>
        <v/>
      </c>
      <c r="D617" s="18">
        <f>IF($A617="","",IF(Paramètres!I23="","",Paramètres!I23))</f>
        <v/>
      </c>
      <c r="E617" s="19">
        <f>IF($A617="","",IF(Paramètres!J23&amp;Paramètres!L23&amp;Paramètres!N23="",Dossiers!$D$15,MAX(IF(Paramètres!J23="",0,IF(Paramètres!K23="",NA(),IF(LEFT(TRIM(Paramètres!K23),1)="F",INDEX($F$599:$F$651,MATCH(Paramètres!J23,Paramètres!$G$5:$G$57,0)),INDEX($E$599:$E$651,MATCH(Paramètres!J23,Paramètres!$G$5:$G$57,0)))+IF(RIGHT(TRIM(Paramètres!K23),3)="Fin",1-$H617,IF(LEFT(TRIM(Paramètres!K23),1)="F",1,0)))),IF(Paramètres!L23="",0,IF(Paramètres!M23="",NA(),IF(LEFT(TRIM(Paramètres!M23),1)="F",INDEX($F$599:$F$651,MATCH(Paramètres!L23,Paramètres!$G$5:$G$57,0)),INDEX($E$599:$E$651,MATCH(Paramètres!L23,Paramètres!$G$5:$G$57,0)))+IF(RIGHT(TRIM(Paramètres!M23),3)="Fin",1-$H617,IF(LEFT(TRIM(Paramètres!M23),1)="F",1,0)))),IF(Paramètres!N23="",0,IF(Paramètres!O23="",NA(),IF(LEFT(TRIM(Paramètres!O23),1)="F",INDEX($F$599:$F$651,MATCH(Paramètres!N23,Paramètres!$G$5:$G$57,0)),INDEX($E$599:$E$651,MATCH(Paramètres!N23,Paramètres!$G$5:$G$57,0)))+IF(RIGHT(TRIM(Paramètres!O23),3)="Fin",1-$H617,IF(LEFT(TRIM(Paramètres!O23),1)="F",1,0)))))))</f>
        <v/>
      </c>
      <c r="F617" s="19">
        <f>IF($A617="","",E617+$H617-1)</f>
        <v/>
      </c>
      <c r="G617" s="18" t="n"/>
      <c r="H617" s="18">
        <f>IF($A617="","",IF(I617&lt;&gt;"",I617,Paramètres!B23))</f>
        <v/>
      </c>
      <c r="I617" s="18" t="n"/>
    </row>
    <row r="618">
      <c r="A618" s="18">
        <f>IF(ISNUMBER(Dossiers!$D$15),Dossiers!$A$15&amp;" · "&amp;Dossiers!$B$15,"")</f>
        <v/>
      </c>
      <c r="B618" s="18">
        <f>IF($A618="","",Paramètres!G24)</f>
        <v/>
      </c>
      <c r="C618" s="18">
        <f>IF($A618="","",IF(Paramètres!H24="","",Paramètres!H24))</f>
        <v/>
      </c>
      <c r="D618" s="18">
        <f>IF($A618="","",IF(Paramètres!I24="","",Paramètres!I24))</f>
        <v/>
      </c>
      <c r="E618" s="19">
        <f>IF($A618="","",IF(Paramètres!J24&amp;Paramètres!L24&amp;Paramètres!N24="",Dossiers!$D$15,MAX(IF(Paramètres!J24="",0,IF(Paramètres!K24="",NA(),IF(LEFT(TRIM(Paramètres!K24),1)="F",INDEX($F$599:$F$651,MATCH(Paramètres!J24,Paramètres!$G$5:$G$57,0)),INDEX($E$599:$E$651,MATCH(Paramètres!J24,Paramètres!$G$5:$G$57,0)))+IF(RIGHT(TRIM(Paramètres!K24),3)="Fin",1-$H618,IF(LEFT(TRIM(Paramètres!K24),1)="F",1,0)))),IF(Paramètres!L24="",0,IF(Paramètres!M24="",NA(),IF(LEFT(TRIM(Paramètres!M24),1)="F",INDEX($F$599:$F$651,MATCH(Paramètres!L24,Paramètres!$G$5:$G$57,0)),INDEX($E$599:$E$651,MATCH(Paramètres!L24,Paramètres!$G$5:$G$57,0)))+IF(RIGHT(TRIM(Paramètres!M24),3)="Fin",1-$H618,IF(LEFT(TRIM(Paramètres!M24),1)="F",1,0)))),IF(Paramètres!N24="",0,IF(Paramètres!O24="",NA(),IF(LEFT(TRIM(Paramètres!O24),1)="F",INDEX($F$599:$F$651,MATCH(Paramètres!N24,Paramètres!$G$5:$G$57,0)),INDEX($E$599:$E$651,MATCH(Paramètres!N24,Paramètres!$G$5:$G$57,0)))+IF(RIGHT(TRIM(Paramètres!O24),3)="Fin",1-$H618,IF(LEFT(TRIM(Paramètres!O24),1)="F",1,0)))))))</f>
        <v/>
      </c>
      <c r="F618" s="19">
        <f>IF($A618="","",E618+$H618-1)</f>
        <v/>
      </c>
      <c r="G618" s="18" t="n"/>
      <c r="H618" s="18">
        <f>IF($A618="","",IF(I618&lt;&gt;"",I618,Paramètres!B24))</f>
        <v/>
      </c>
      <c r="I618" s="18" t="n"/>
    </row>
    <row r="619">
      <c r="A619" s="18">
        <f>IF(ISNUMBER(Dossiers!$D$15),Dossiers!$A$15&amp;" · "&amp;Dossiers!$B$15,"")</f>
        <v/>
      </c>
      <c r="B619" s="18">
        <f>IF($A619="","",Paramètres!G25)</f>
        <v/>
      </c>
      <c r="C619" s="18">
        <f>IF($A619="","",IF(Paramètres!H25="","",Paramètres!H25))</f>
        <v/>
      </c>
      <c r="D619" s="18">
        <f>IF($A619="","",IF(Paramètres!I25="","",Paramètres!I25))</f>
        <v/>
      </c>
      <c r="E619" s="19">
        <f>IF($A619="","",IF(Paramètres!J25&amp;Paramètres!L25&amp;Paramètres!N25="",Dossiers!$D$15,MAX(IF(Paramètres!J25="",0,IF(Paramètres!K25="",NA(),IF(LEFT(TRIM(Paramètres!K25),1)="F",INDEX($F$599:$F$651,MATCH(Paramètres!J25,Paramètres!$G$5:$G$57,0)),INDEX($E$599:$E$651,MATCH(Paramètres!J25,Paramètres!$G$5:$G$57,0)))+IF(RIGHT(TRIM(Paramètres!K25),3)="Fin",1-$H619,IF(LEFT(TRIM(Paramètres!K25),1)="F",1,0)))),IF(Paramètres!L25="",0,IF(Paramètres!M25="",NA(),IF(LEFT(TRIM(Paramètres!M25),1)="F",INDEX($F$599:$F$651,MATCH(Paramètres!L25,Paramètres!$G$5:$G$57,0)),INDEX($E$599:$E$651,MATCH(Paramètres!L25,Paramètres!$G$5:$G$57,0)))+IF(RIGHT(TRIM(Paramètres!M25),3)="Fin",1-$H619,IF(LEFT(TRIM(Paramètres!M25),1)="F",1,0)))),IF(Paramètres!N25="",0,IF(Paramètres!O25="",NA(),IF(LEFT(TRIM(Paramètres!O25),1)="F",INDEX($F$599:$F$651,MATCH(Paramètres!N25,Paramètres!$G$5:$G$57,0)),INDEX($E$599:$E$651,MATCH(Paramètres!N25,Paramètres!$G$5:$G$57,0)))+IF(RIGHT(TRIM(Paramètres!O25),3)="Fin",1-$H619,IF(LEFT(TRIM(Paramètres!O25),1)="F",1,0)))))))</f>
        <v/>
      </c>
      <c r="F619" s="19">
        <f>IF($A619="","",E619+$H619-1)</f>
        <v/>
      </c>
      <c r="G619" s="18" t="n"/>
      <c r="H619" s="18">
        <f>IF($A619="","",IF(I619&lt;&gt;"",I619,Paramètres!B25))</f>
        <v/>
      </c>
      <c r="I619" s="18" t="n"/>
    </row>
    <row r="620">
      <c r="A620" s="18">
        <f>IF(ISNUMBER(Dossiers!$D$15),Dossiers!$A$15&amp;" · "&amp;Dossiers!$B$15,"")</f>
        <v/>
      </c>
      <c r="B620" s="18">
        <f>IF($A620="","",Paramètres!G26)</f>
        <v/>
      </c>
      <c r="C620" s="18">
        <f>IF($A620="","",IF(Paramètres!H26="","",Paramètres!H26))</f>
        <v/>
      </c>
      <c r="D620" s="18">
        <f>IF($A620="","",IF(Paramètres!I26="","",Paramètres!I26))</f>
        <v/>
      </c>
      <c r="E620" s="19">
        <f>IF($A620="","",IF(Paramètres!J26&amp;Paramètres!L26&amp;Paramètres!N26="",Dossiers!$D$15,MAX(IF(Paramètres!J26="",0,IF(Paramètres!K26="",NA(),IF(LEFT(TRIM(Paramètres!K26),1)="F",INDEX($F$599:$F$651,MATCH(Paramètres!J26,Paramètres!$G$5:$G$57,0)),INDEX($E$599:$E$651,MATCH(Paramètres!J26,Paramètres!$G$5:$G$57,0)))+IF(RIGHT(TRIM(Paramètres!K26),3)="Fin",1-$H620,IF(LEFT(TRIM(Paramètres!K26),1)="F",1,0)))),IF(Paramètres!L26="",0,IF(Paramètres!M26="",NA(),IF(LEFT(TRIM(Paramètres!M26),1)="F",INDEX($F$599:$F$651,MATCH(Paramètres!L26,Paramètres!$G$5:$G$57,0)),INDEX($E$599:$E$651,MATCH(Paramètres!L26,Paramètres!$G$5:$G$57,0)))+IF(RIGHT(TRIM(Paramètres!M26),3)="Fin",1-$H620,IF(LEFT(TRIM(Paramètres!M26),1)="F",1,0)))),IF(Paramètres!N26="",0,IF(Paramètres!O26="",NA(),IF(LEFT(TRIM(Paramètres!O26),1)="F",INDEX($F$599:$F$651,MATCH(Paramètres!N26,Paramètres!$G$5:$G$57,0)),INDEX($E$599:$E$651,MATCH(Paramètres!N26,Paramètres!$G$5:$G$57,0)))+IF(RIGHT(TRIM(Paramètres!O26),3)="Fin",1-$H620,IF(LEFT(TRIM(Paramètres!O26),1)="F",1,0)))))))</f>
        <v/>
      </c>
      <c r="F620" s="19">
        <f>IF($A620="","",E620+$H620-1)</f>
        <v/>
      </c>
      <c r="G620" s="18" t="n"/>
      <c r="H620" s="18">
        <f>IF($A620="","",IF(I620&lt;&gt;"",I620,Paramètres!B26))</f>
        <v/>
      </c>
      <c r="I620" s="18" t="n"/>
    </row>
    <row r="621">
      <c r="A621" s="18">
        <f>IF(ISNUMBER(Dossiers!$D$15),Dossiers!$A$15&amp;" · "&amp;Dossiers!$B$15,"")</f>
        <v/>
      </c>
      <c r="B621" s="18">
        <f>IF($A621="","",Paramètres!G27)</f>
        <v/>
      </c>
      <c r="C621" s="18">
        <f>IF($A621="","",IF(Paramètres!H27="","",Paramètres!H27))</f>
        <v/>
      </c>
      <c r="D621" s="18">
        <f>IF($A621="","",IF(Paramètres!I27="","",Paramètres!I27))</f>
        <v/>
      </c>
      <c r="E621" s="19">
        <f>IF($A621="","",IF(Paramètres!J27&amp;Paramètres!L27&amp;Paramètres!N27="",Dossiers!$D$15,MAX(IF(Paramètres!J27="",0,IF(Paramètres!K27="",NA(),IF(LEFT(TRIM(Paramètres!K27),1)="F",INDEX($F$599:$F$651,MATCH(Paramètres!J27,Paramètres!$G$5:$G$57,0)),INDEX($E$599:$E$651,MATCH(Paramètres!J27,Paramètres!$G$5:$G$57,0)))+IF(RIGHT(TRIM(Paramètres!K27),3)="Fin",1-$H621,IF(LEFT(TRIM(Paramètres!K27),1)="F",1,0)))),IF(Paramètres!L27="",0,IF(Paramètres!M27="",NA(),IF(LEFT(TRIM(Paramètres!M27),1)="F",INDEX($F$599:$F$651,MATCH(Paramètres!L27,Paramètres!$G$5:$G$57,0)),INDEX($E$599:$E$651,MATCH(Paramètres!L27,Paramètres!$G$5:$G$57,0)))+IF(RIGHT(TRIM(Paramètres!M27),3)="Fin",1-$H621,IF(LEFT(TRIM(Paramètres!M27),1)="F",1,0)))),IF(Paramètres!N27="",0,IF(Paramètres!O27="",NA(),IF(LEFT(TRIM(Paramètres!O27),1)="F",INDEX($F$599:$F$651,MATCH(Paramètres!N27,Paramètres!$G$5:$G$57,0)),INDEX($E$599:$E$651,MATCH(Paramètres!N27,Paramètres!$G$5:$G$57,0)))+IF(RIGHT(TRIM(Paramètres!O27),3)="Fin",1-$H621,IF(LEFT(TRIM(Paramètres!O27),1)="F",1,0)))))))</f>
        <v/>
      </c>
      <c r="F621" s="19">
        <f>IF($A621="","",E621+$H621-1)</f>
        <v/>
      </c>
      <c r="G621" s="18" t="n"/>
      <c r="H621" s="18">
        <f>IF($A621="","",IF(I621&lt;&gt;"",I621,Paramètres!B27))</f>
        <v/>
      </c>
      <c r="I621" s="18" t="n"/>
    </row>
    <row r="622">
      <c r="A622" s="18">
        <f>IF(ISNUMBER(Dossiers!$D$15),Dossiers!$A$15&amp;" · "&amp;Dossiers!$B$15,"")</f>
        <v/>
      </c>
      <c r="B622" s="18">
        <f>IF($A622="","",Paramètres!G28)</f>
        <v/>
      </c>
      <c r="C622" s="18">
        <f>IF($A622="","",IF(Paramètres!H28="","",Paramètres!H28))</f>
        <v/>
      </c>
      <c r="D622" s="18">
        <f>IF($A622="","",IF(Paramètres!I28="","",Paramètres!I28))</f>
        <v/>
      </c>
      <c r="E622" s="19">
        <f>IF($A622="","",IF(Paramètres!J28&amp;Paramètres!L28&amp;Paramètres!N28="",Dossiers!$D$15,MAX(IF(Paramètres!J28="",0,IF(Paramètres!K28="",NA(),IF(LEFT(TRIM(Paramètres!K28),1)="F",INDEX($F$599:$F$651,MATCH(Paramètres!J28,Paramètres!$G$5:$G$57,0)),INDEX($E$599:$E$651,MATCH(Paramètres!J28,Paramètres!$G$5:$G$57,0)))+IF(RIGHT(TRIM(Paramètres!K28),3)="Fin",1-$H622,IF(LEFT(TRIM(Paramètres!K28),1)="F",1,0)))),IF(Paramètres!L28="",0,IF(Paramètres!M28="",NA(),IF(LEFT(TRIM(Paramètres!M28),1)="F",INDEX($F$599:$F$651,MATCH(Paramètres!L28,Paramètres!$G$5:$G$57,0)),INDEX($E$599:$E$651,MATCH(Paramètres!L28,Paramètres!$G$5:$G$57,0)))+IF(RIGHT(TRIM(Paramètres!M28),3)="Fin",1-$H622,IF(LEFT(TRIM(Paramètres!M28),1)="F",1,0)))),IF(Paramètres!N28="",0,IF(Paramètres!O28="",NA(),IF(LEFT(TRIM(Paramètres!O28),1)="F",INDEX($F$599:$F$651,MATCH(Paramètres!N28,Paramètres!$G$5:$G$57,0)),INDEX($E$599:$E$651,MATCH(Paramètres!N28,Paramètres!$G$5:$G$57,0)))+IF(RIGHT(TRIM(Paramètres!O28),3)="Fin",1-$H622,IF(LEFT(TRIM(Paramètres!O28),1)="F",1,0)))))))</f>
        <v/>
      </c>
      <c r="F622" s="19">
        <f>IF($A622="","",E622+$H622-1)</f>
        <v/>
      </c>
      <c r="G622" s="18" t="n"/>
      <c r="H622" s="18">
        <f>IF($A622="","",IF(I622&lt;&gt;"",I622,Paramètres!B28))</f>
        <v/>
      </c>
      <c r="I622" s="18" t="n"/>
    </row>
    <row r="623">
      <c r="A623" s="18">
        <f>IF(ISNUMBER(Dossiers!$D$15),Dossiers!$A$15&amp;" · "&amp;Dossiers!$B$15,"")</f>
        <v/>
      </c>
      <c r="B623" s="18">
        <f>IF($A623="","",Paramètres!G29)</f>
        <v/>
      </c>
      <c r="C623" s="18">
        <f>IF($A623="","",IF(Paramètres!H29="","",Paramètres!H29))</f>
        <v/>
      </c>
      <c r="D623" s="18">
        <f>IF($A623="","",IF(Paramètres!I29="","",Paramètres!I29))</f>
        <v/>
      </c>
      <c r="E623" s="19">
        <f>IF($A623="","",IF(Paramètres!J29&amp;Paramètres!L29&amp;Paramètres!N29="",Dossiers!$D$15,MAX(IF(Paramètres!J29="",0,IF(Paramètres!K29="",NA(),IF(LEFT(TRIM(Paramètres!K29),1)="F",INDEX($F$599:$F$651,MATCH(Paramètres!J29,Paramètres!$G$5:$G$57,0)),INDEX($E$599:$E$651,MATCH(Paramètres!J29,Paramètres!$G$5:$G$57,0)))+IF(RIGHT(TRIM(Paramètres!K29),3)="Fin",1-$H623,IF(LEFT(TRIM(Paramètres!K29),1)="F",1,0)))),IF(Paramètres!L29="",0,IF(Paramètres!M29="",NA(),IF(LEFT(TRIM(Paramètres!M29),1)="F",INDEX($F$599:$F$651,MATCH(Paramètres!L29,Paramètres!$G$5:$G$57,0)),INDEX($E$599:$E$651,MATCH(Paramètres!L29,Paramètres!$G$5:$G$57,0)))+IF(RIGHT(TRIM(Paramètres!M29),3)="Fin",1-$H623,IF(LEFT(TRIM(Paramètres!M29),1)="F",1,0)))),IF(Paramètres!N29="",0,IF(Paramètres!O29="",NA(),IF(LEFT(TRIM(Paramètres!O29),1)="F",INDEX($F$599:$F$651,MATCH(Paramètres!N29,Paramètres!$G$5:$G$57,0)),INDEX($E$599:$E$651,MATCH(Paramètres!N29,Paramètres!$G$5:$G$57,0)))+IF(RIGHT(TRIM(Paramètres!O29),3)="Fin",1-$H623,IF(LEFT(TRIM(Paramètres!O29),1)="F",1,0)))))))</f>
        <v/>
      </c>
      <c r="F623" s="19">
        <f>IF($A623="","",E623+$H623-1)</f>
        <v/>
      </c>
      <c r="G623" s="18" t="n"/>
      <c r="H623" s="18">
        <f>IF($A623="","",IF(I623&lt;&gt;"",I623,Paramètres!B29))</f>
        <v/>
      </c>
      <c r="I623" s="18" t="n"/>
    </row>
    <row r="624">
      <c r="A624" s="18">
        <f>IF(ISNUMBER(Dossiers!$D$15),Dossiers!$A$15&amp;" · "&amp;Dossiers!$B$15,"")</f>
        <v/>
      </c>
      <c r="B624" s="18">
        <f>IF($A624="","",Paramètres!G30)</f>
        <v/>
      </c>
      <c r="C624" s="18">
        <f>IF($A624="","",IF(Paramètres!H30="","",Paramètres!H30))</f>
        <v/>
      </c>
      <c r="D624" s="18">
        <f>IF($A624="","",IF(Paramètres!I30="","",Paramètres!I30))</f>
        <v/>
      </c>
      <c r="E624" s="19">
        <f>IF($A624="","",IF(Paramètres!J30&amp;Paramètres!L30&amp;Paramètres!N30="",Dossiers!$D$15,MAX(IF(Paramètres!J30="",0,IF(Paramètres!K30="",NA(),IF(LEFT(TRIM(Paramètres!K30),1)="F",INDEX($F$599:$F$651,MATCH(Paramètres!J30,Paramètres!$G$5:$G$57,0)),INDEX($E$599:$E$651,MATCH(Paramètres!J30,Paramètres!$G$5:$G$57,0)))+IF(RIGHT(TRIM(Paramètres!K30),3)="Fin",1-$H624,IF(LEFT(TRIM(Paramètres!K30),1)="F",1,0)))),IF(Paramètres!L30="",0,IF(Paramètres!M30="",NA(),IF(LEFT(TRIM(Paramètres!M30),1)="F",INDEX($F$599:$F$651,MATCH(Paramètres!L30,Paramètres!$G$5:$G$57,0)),INDEX($E$599:$E$651,MATCH(Paramètres!L30,Paramètres!$G$5:$G$57,0)))+IF(RIGHT(TRIM(Paramètres!M30),3)="Fin",1-$H624,IF(LEFT(TRIM(Paramètres!M30),1)="F",1,0)))),IF(Paramètres!N30="",0,IF(Paramètres!O30="",NA(),IF(LEFT(TRIM(Paramètres!O30),1)="F",INDEX($F$599:$F$651,MATCH(Paramètres!N30,Paramètres!$G$5:$G$57,0)),INDEX($E$599:$E$651,MATCH(Paramètres!N30,Paramètres!$G$5:$G$57,0)))+IF(RIGHT(TRIM(Paramètres!O30),3)="Fin",1-$H624,IF(LEFT(TRIM(Paramètres!O30),1)="F",1,0)))))))</f>
        <v/>
      </c>
      <c r="F624" s="19">
        <f>IF($A624="","",E624+$H624-1)</f>
        <v/>
      </c>
      <c r="G624" s="18" t="n"/>
      <c r="H624" s="18">
        <f>IF($A624="","",IF(I624&lt;&gt;"",I624,Paramètres!B30))</f>
        <v/>
      </c>
      <c r="I624" s="18" t="n"/>
    </row>
    <row r="625">
      <c r="A625" s="18">
        <f>IF(ISNUMBER(Dossiers!$D$15),Dossiers!$A$15&amp;" · "&amp;Dossiers!$B$15,"")</f>
        <v/>
      </c>
      <c r="B625" s="18">
        <f>IF($A625="","",Paramètres!G31)</f>
        <v/>
      </c>
      <c r="C625" s="20">
        <f>IF($A625="","",IF(Dossiers!$F$15="","",Dossiers!$F$15))</f>
        <v/>
      </c>
      <c r="D625" s="18">
        <f>IF($A625="","",IF(Paramètres!I31="","",Paramètres!I31))</f>
        <v/>
      </c>
      <c r="E625" s="19">
        <f>IF($A625="","",IF(Paramètres!J31&amp;Paramètres!L31&amp;Paramètres!N31="",Dossiers!$D$15,MAX(IF(Paramètres!J31="",0,IF(Paramètres!K31="",NA(),IF(LEFT(TRIM(Paramètres!K31),1)="F",INDEX($F$599:$F$651,MATCH(Paramètres!J31,Paramètres!$G$5:$G$57,0)),INDEX($E$599:$E$651,MATCH(Paramètres!J31,Paramètres!$G$5:$G$57,0)))+IF(RIGHT(TRIM(Paramètres!K31),3)="Fin",1-$H625,IF(LEFT(TRIM(Paramètres!K31),1)="F",1,0)))),IF(Paramètres!L31="",0,IF(Paramètres!M31="",NA(),IF(LEFT(TRIM(Paramètres!M31),1)="F",INDEX($F$599:$F$651,MATCH(Paramètres!L31,Paramètres!$G$5:$G$57,0)),INDEX($E$599:$E$651,MATCH(Paramètres!L31,Paramètres!$G$5:$G$57,0)))+IF(RIGHT(TRIM(Paramètres!M31),3)="Fin",1-$H625,IF(LEFT(TRIM(Paramètres!M31),1)="F",1,0)))),IF(Paramètres!N31="",0,IF(Paramètres!O31="",NA(),IF(LEFT(TRIM(Paramètres!O31),1)="F",INDEX($F$599:$F$651,MATCH(Paramètres!N31,Paramètres!$G$5:$G$57,0)),INDEX($E$599:$E$651,MATCH(Paramètres!N31,Paramètres!$G$5:$G$57,0)))+IF(RIGHT(TRIM(Paramètres!O31),3)="Fin",1-$H625,IF(LEFT(TRIM(Paramètres!O31),1)="F",1,0)))))))</f>
        <v/>
      </c>
      <c r="F625" s="19">
        <f>IF($A625="","",E625+$H625-1)</f>
        <v/>
      </c>
      <c r="G625" s="18" t="n"/>
      <c r="H625" s="18">
        <f>IF($A625="","",IF(I625&lt;&gt;"",I625,Paramètres!B31))</f>
        <v/>
      </c>
      <c r="I625" s="18" t="n"/>
    </row>
    <row r="626">
      <c r="A626" s="18">
        <f>IF(ISNUMBER(Dossiers!$D$15),Dossiers!$A$15&amp;" · "&amp;Dossiers!$B$15,"")</f>
        <v/>
      </c>
      <c r="B626" s="18">
        <f>IF($A626="","",Paramètres!G32)</f>
        <v/>
      </c>
      <c r="C626" s="18">
        <f>IF($A626="","",IF(Paramètres!H32="","",Paramètres!H32))</f>
        <v/>
      </c>
      <c r="D626" s="18">
        <f>IF($A626="","",IF(Paramètres!I32="","",Paramètres!I32))</f>
        <v/>
      </c>
      <c r="E626" s="19">
        <f>IF($A626="","",MIN(E627:E630))</f>
        <v/>
      </c>
      <c r="F626" s="19">
        <f>IF($A626="","",MAX(F627:F630))</f>
        <v/>
      </c>
      <c r="G626" s="18" t="n"/>
      <c r="H626" s="18">
        <f>IF($A626="","",F626-E626+1)</f>
        <v/>
      </c>
      <c r="I626" s="18" t="n"/>
    </row>
    <row r="627">
      <c r="A627" s="18">
        <f>IF(ISNUMBER(Dossiers!$D$15),Dossiers!$A$15&amp;" · "&amp;Dossiers!$B$15,"")</f>
        <v/>
      </c>
      <c r="B627" s="18">
        <f>IF($A627="","",Paramètres!G33)</f>
        <v/>
      </c>
      <c r="C627" s="18">
        <f>IF($A627="","",IF(Paramètres!H33="","",Paramètres!H33))</f>
        <v/>
      </c>
      <c r="D627" s="18">
        <f>IF($A627="","",IF(Paramètres!I33="","",Paramètres!I33))</f>
        <v/>
      </c>
      <c r="E627" s="19">
        <f>IF($A627="","",IF(Paramètres!J33&amp;Paramètres!L33&amp;Paramètres!N33="",Dossiers!$D$15,MAX(IF(Paramètres!J33="",0,IF(Paramètres!K33="",NA(),IF(LEFT(TRIM(Paramètres!K33),1)="F",INDEX($F$599:$F$651,MATCH(Paramètres!J33,Paramètres!$G$5:$G$57,0)),INDEX($E$599:$E$651,MATCH(Paramètres!J33,Paramètres!$G$5:$G$57,0)))+IF(RIGHT(TRIM(Paramètres!K33),3)="Fin",1-$H627,IF(LEFT(TRIM(Paramètres!K33),1)="F",1,0)))),IF(Paramètres!L33="",0,IF(Paramètres!M33="",NA(),IF(LEFT(TRIM(Paramètres!M33),1)="F",INDEX($F$599:$F$651,MATCH(Paramètres!L33,Paramètres!$G$5:$G$57,0)),INDEX($E$599:$E$651,MATCH(Paramètres!L33,Paramètres!$G$5:$G$57,0)))+IF(RIGHT(TRIM(Paramètres!M33),3)="Fin",1-$H627,IF(LEFT(TRIM(Paramètres!M33),1)="F",1,0)))),IF(Paramètres!N33="",0,IF(Paramètres!O33="",NA(),IF(LEFT(TRIM(Paramètres!O33),1)="F",INDEX($F$599:$F$651,MATCH(Paramètres!N33,Paramètres!$G$5:$G$57,0)),INDEX($E$599:$E$651,MATCH(Paramètres!N33,Paramètres!$G$5:$G$57,0)))+IF(RIGHT(TRIM(Paramètres!O33),3)="Fin",1-$H627,IF(LEFT(TRIM(Paramètres!O33),1)="F",1,0)))))))</f>
        <v/>
      </c>
      <c r="F627" s="19">
        <f>IF($A627="","",E627+$H627-1)</f>
        <v/>
      </c>
      <c r="G627" s="18" t="n"/>
      <c r="H627" s="18">
        <f>IF($A627="","",IF(I627&lt;&gt;"",I627,Paramètres!B33))</f>
        <v/>
      </c>
      <c r="I627" s="18" t="n"/>
    </row>
    <row r="628">
      <c r="A628" s="18">
        <f>IF(ISNUMBER(Dossiers!$D$15),Dossiers!$A$15&amp;" · "&amp;Dossiers!$B$15,"")</f>
        <v/>
      </c>
      <c r="B628" s="18">
        <f>IF($A628="","",Paramètres!G34)</f>
        <v/>
      </c>
      <c r="C628" s="18">
        <f>IF($A628="","",IF(Paramètres!H34="","",Paramètres!H34))</f>
        <v/>
      </c>
      <c r="D628" s="18">
        <f>IF($A628="","",IF(Paramètres!I34="","",Paramètres!I34))</f>
        <v/>
      </c>
      <c r="E628" s="19">
        <f>IF($A628="","",IF(Paramètres!J34&amp;Paramètres!L34&amp;Paramètres!N34="",Dossiers!$D$15,MAX(IF(Paramètres!J34="",0,IF(Paramètres!K34="",NA(),IF(LEFT(TRIM(Paramètres!K34),1)="F",INDEX($F$599:$F$651,MATCH(Paramètres!J34,Paramètres!$G$5:$G$57,0)),INDEX($E$599:$E$651,MATCH(Paramètres!J34,Paramètres!$G$5:$G$57,0)))+IF(RIGHT(TRIM(Paramètres!K34),3)="Fin",1-$H628,IF(LEFT(TRIM(Paramètres!K34),1)="F",1,0)))),IF(Paramètres!L34="",0,IF(Paramètres!M34="",NA(),IF(LEFT(TRIM(Paramètres!M34),1)="F",INDEX($F$599:$F$651,MATCH(Paramètres!L34,Paramètres!$G$5:$G$57,0)),INDEX($E$599:$E$651,MATCH(Paramètres!L34,Paramètres!$G$5:$G$57,0)))+IF(RIGHT(TRIM(Paramètres!M34),3)="Fin",1-$H628,IF(LEFT(TRIM(Paramètres!M34),1)="F",1,0)))),IF(Paramètres!N34="",0,IF(Paramètres!O34="",NA(),IF(LEFT(TRIM(Paramètres!O34),1)="F",INDEX($F$599:$F$651,MATCH(Paramètres!N34,Paramètres!$G$5:$G$57,0)),INDEX($E$599:$E$651,MATCH(Paramètres!N34,Paramètres!$G$5:$G$57,0)))+IF(RIGHT(TRIM(Paramètres!O34),3)="Fin",1-$H628,IF(LEFT(TRIM(Paramètres!O34),1)="F",1,0)))))))</f>
        <v/>
      </c>
      <c r="F628" s="19">
        <f>IF($A628="","",E628+$H628-1)</f>
        <v/>
      </c>
      <c r="G628" s="18" t="n"/>
      <c r="H628" s="18">
        <f>IF($A628="","",IF(I628&lt;&gt;"",I628,Paramètres!B34))</f>
        <v/>
      </c>
      <c r="I628" s="18" t="n"/>
    </row>
    <row r="629">
      <c r="A629" s="18">
        <f>IF(ISNUMBER(Dossiers!$D$15),Dossiers!$A$15&amp;" · "&amp;Dossiers!$B$15,"")</f>
        <v/>
      </c>
      <c r="B629" s="18">
        <f>IF($A629="","",Paramètres!G35)</f>
        <v/>
      </c>
      <c r="C629" s="18">
        <f>IF($A629="","",IF(Paramètres!H35="","",Paramètres!H35))</f>
        <v/>
      </c>
      <c r="D629" s="18">
        <f>IF($A629="","",IF(Paramètres!I35="","",Paramètres!I35))</f>
        <v/>
      </c>
      <c r="E629" s="19">
        <f>IF($A629="","",IF(Paramètres!J35&amp;Paramètres!L35&amp;Paramètres!N35="",Dossiers!$D$15,MAX(IF(Paramètres!J35="",0,IF(Paramètres!K35="",NA(),IF(LEFT(TRIM(Paramètres!K35),1)="F",INDEX($F$599:$F$651,MATCH(Paramètres!J35,Paramètres!$G$5:$G$57,0)),INDEX($E$599:$E$651,MATCH(Paramètres!J35,Paramètres!$G$5:$G$57,0)))+IF(RIGHT(TRIM(Paramètres!K35),3)="Fin",1-$H629,IF(LEFT(TRIM(Paramètres!K35),1)="F",1,0)))),IF(Paramètres!L35="",0,IF(Paramètres!M35="",NA(),IF(LEFT(TRIM(Paramètres!M35),1)="F",INDEX($F$599:$F$651,MATCH(Paramètres!L35,Paramètres!$G$5:$G$57,0)),INDEX($E$599:$E$651,MATCH(Paramètres!L35,Paramètres!$G$5:$G$57,0)))+IF(RIGHT(TRIM(Paramètres!M35),3)="Fin",1-$H629,IF(LEFT(TRIM(Paramètres!M35),1)="F",1,0)))),IF(Paramètres!N35="",0,IF(Paramètres!O35="",NA(),IF(LEFT(TRIM(Paramètres!O35),1)="F",INDEX($F$599:$F$651,MATCH(Paramètres!N35,Paramètres!$G$5:$G$57,0)),INDEX($E$599:$E$651,MATCH(Paramètres!N35,Paramètres!$G$5:$G$57,0)))+IF(RIGHT(TRIM(Paramètres!O35),3)="Fin",1-$H629,IF(LEFT(TRIM(Paramètres!O35),1)="F",1,0)))))))</f>
        <v/>
      </c>
      <c r="F629" s="19">
        <f>IF($A629="","",E629+$H629-1)</f>
        <v/>
      </c>
      <c r="G629" s="18" t="n"/>
      <c r="H629" s="18">
        <f>IF($A629="","",IF(I629&lt;&gt;"",I629,Paramètres!B35))</f>
        <v/>
      </c>
      <c r="I629" s="18" t="n"/>
    </row>
    <row r="630">
      <c r="A630" s="18">
        <f>IF(ISNUMBER(Dossiers!$D$15),Dossiers!$A$15&amp;" · "&amp;Dossiers!$B$15,"")</f>
        <v/>
      </c>
      <c r="B630" s="18">
        <f>IF($A630="","",Paramètres!G36)</f>
        <v/>
      </c>
      <c r="C630" s="18">
        <f>IF($A630="","",IF(Paramètres!H36="","",Paramètres!H36))</f>
        <v/>
      </c>
      <c r="D630" s="18">
        <f>IF($A630="","",IF(Paramètres!I36="","",Paramètres!I36))</f>
        <v/>
      </c>
      <c r="E630" s="19">
        <f>IF($A630="","",IF(Paramètres!J36&amp;Paramètres!L36&amp;Paramètres!N36="",Dossiers!$D$15,MAX(IF(Paramètres!J36="",0,IF(Paramètres!K36="",NA(),IF(LEFT(TRIM(Paramètres!K36),1)="F",INDEX($F$599:$F$651,MATCH(Paramètres!J36,Paramètres!$G$5:$G$57,0)),INDEX($E$599:$E$651,MATCH(Paramètres!J36,Paramètres!$G$5:$G$57,0)))+IF(RIGHT(TRIM(Paramètres!K36),3)="Fin",1-$H630,IF(LEFT(TRIM(Paramètres!K36),1)="F",1,0)))),IF(Paramètres!L36="",0,IF(Paramètres!M36="",NA(),IF(LEFT(TRIM(Paramètres!M36),1)="F",INDEX($F$599:$F$651,MATCH(Paramètres!L36,Paramètres!$G$5:$G$57,0)),INDEX($E$599:$E$651,MATCH(Paramètres!L36,Paramètres!$G$5:$G$57,0)))+IF(RIGHT(TRIM(Paramètres!M36),3)="Fin",1-$H630,IF(LEFT(TRIM(Paramètres!M36),1)="F",1,0)))),IF(Paramètres!N36="",0,IF(Paramètres!O36="",NA(),IF(LEFT(TRIM(Paramètres!O36),1)="F",INDEX($F$599:$F$651,MATCH(Paramètres!N36,Paramètres!$G$5:$G$57,0)),INDEX($E$599:$E$651,MATCH(Paramètres!N36,Paramètres!$G$5:$G$57,0)))+IF(RIGHT(TRIM(Paramètres!O36),3)="Fin",1-$H630,IF(LEFT(TRIM(Paramètres!O36),1)="F",1,0)))))))</f>
        <v/>
      </c>
      <c r="F630" s="19">
        <f>IF($A630="","",E630+$H630-1)</f>
        <v/>
      </c>
      <c r="G630" s="18" t="n"/>
      <c r="H630" s="18">
        <f>IF($A630="","",IF(I630&lt;&gt;"",I630,Paramètres!B36))</f>
        <v/>
      </c>
      <c r="I630" s="18" t="n"/>
    </row>
    <row r="631">
      <c r="A631" s="18">
        <f>IF(ISNUMBER(Dossiers!$D$15),Dossiers!$A$15&amp;" · "&amp;Dossiers!$B$15,"")</f>
        <v/>
      </c>
      <c r="B631" s="18">
        <f>IF($A631="","",Paramètres!G37)</f>
        <v/>
      </c>
      <c r="C631" s="18">
        <f>IF($A631="","",IF(Paramètres!H37="","",Paramètres!H37))</f>
        <v/>
      </c>
      <c r="D631" s="18">
        <f>IF($A631="","",IF(Paramètres!I37="","",Paramètres!I37))</f>
        <v/>
      </c>
      <c r="E631" s="19">
        <f>IF($A631="","",MIN(E632:E649))</f>
        <v/>
      </c>
      <c r="F631" s="19">
        <f>IF($A631="","",MAX(F632:F649))</f>
        <v/>
      </c>
      <c r="G631" s="18" t="n"/>
      <c r="H631" s="18">
        <f>IF($A631="","",F631-E631+1)</f>
        <v/>
      </c>
      <c r="I631" s="18" t="n"/>
    </row>
    <row r="632">
      <c r="A632" s="18">
        <f>IF(ISNUMBER(Dossiers!$D$15),Dossiers!$A$15&amp;" · "&amp;Dossiers!$B$15,"")</f>
        <v/>
      </c>
      <c r="B632" s="18">
        <f>IF($A632="","",Paramètres!G38)</f>
        <v/>
      </c>
      <c r="C632" s="18">
        <f>IF($A632="","",IF(Paramètres!H38="","",Paramètres!H38))</f>
        <v/>
      </c>
      <c r="D632" s="18">
        <f>IF($A632="","",IF(Paramètres!I38="","",Paramètres!I38))</f>
        <v/>
      </c>
      <c r="E632" s="19">
        <f>IF($A632="","",IF(Paramètres!J38&amp;Paramètres!L38&amp;Paramètres!N38="",Dossiers!$D$15,MAX(IF(Paramètres!J38="",0,IF(Paramètres!K38="",NA(),IF(LEFT(TRIM(Paramètres!K38),1)="F",INDEX($F$599:$F$651,MATCH(Paramètres!J38,Paramètres!$G$5:$G$57,0)),INDEX($E$599:$E$651,MATCH(Paramètres!J38,Paramètres!$G$5:$G$57,0)))+IF(RIGHT(TRIM(Paramètres!K38),3)="Fin",1-$H632,IF(LEFT(TRIM(Paramètres!K38),1)="F",1,0)))),IF(Paramètres!L38="",0,IF(Paramètres!M38="",NA(),IF(LEFT(TRIM(Paramètres!M38),1)="F",INDEX($F$599:$F$651,MATCH(Paramètres!L38,Paramètres!$G$5:$G$57,0)),INDEX($E$599:$E$651,MATCH(Paramètres!L38,Paramètres!$G$5:$G$57,0)))+IF(RIGHT(TRIM(Paramètres!M38),3)="Fin",1-$H632,IF(LEFT(TRIM(Paramètres!M38),1)="F",1,0)))),IF(Paramètres!N38="",0,IF(Paramètres!O38="",NA(),IF(LEFT(TRIM(Paramètres!O38),1)="F",INDEX($F$599:$F$651,MATCH(Paramètres!N38,Paramètres!$G$5:$G$57,0)),INDEX($E$599:$E$651,MATCH(Paramètres!N38,Paramètres!$G$5:$G$57,0)))+IF(RIGHT(TRIM(Paramètres!O38),3)="Fin",1-$H632,IF(LEFT(TRIM(Paramètres!O38),1)="F",1,0)))))))</f>
        <v/>
      </c>
      <c r="F632" s="19">
        <f>IF($A632="","",E632+$H632-1)</f>
        <v/>
      </c>
      <c r="G632" s="18" t="n"/>
      <c r="H632" s="18">
        <f>IF($A632="","",IF(I632&lt;&gt;"",I632,Paramètres!B38))</f>
        <v/>
      </c>
      <c r="I632" s="18" t="n"/>
    </row>
    <row r="633">
      <c r="A633" s="18">
        <f>IF(ISNUMBER(Dossiers!$D$15),Dossiers!$A$15&amp;" · "&amp;Dossiers!$B$15,"")</f>
        <v/>
      </c>
      <c r="B633" s="18">
        <f>IF($A633="","",Paramètres!G39)</f>
        <v/>
      </c>
      <c r="C633" s="18">
        <f>IF($A633="","",IF(Paramètres!H39="","",Paramètres!H39))</f>
        <v/>
      </c>
      <c r="D633" s="18">
        <f>IF($A633="","",IF(Paramètres!I39="","",Paramètres!I39))</f>
        <v/>
      </c>
      <c r="E633" s="19">
        <f>IF($A633="","",IF(Paramètres!J39&amp;Paramètres!L39&amp;Paramètres!N39="",Dossiers!$D$15,MAX(IF(Paramètres!J39="",0,IF(Paramètres!K39="",NA(),IF(LEFT(TRIM(Paramètres!K39),1)="F",INDEX($F$599:$F$651,MATCH(Paramètres!J39,Paramètres!$G$5:$G$57,0)),INDEX($E$599:$E$651,MATCH(Paramètres!J39,Paramètres!$G$5:$G$57,0)))+IF(RIGHT(TRIM(Paramètres!K39),3)="Fin",1-$H633,IF(LEFT(TRIM(Paramètres!K39),1)="F",1,0)))),IF(Paramètres!L39="",0,IF(Paramètres!M39="",NA(),IF(LEFT(TRIM(Paramètres!M39),1)="F",INDEX($F$599:$F$651,MATCH(Paramètres!L39,Paramètres!$G$5:$G$57,0)),INDEX($E$599:$E$651,MATCH(Paramètres!L39,Paramètres!$G$5:$G$57,0)))+IF(RIGHT(TRIM(Paramètres!M39),3)="Fin",1-$H633,IF(LEFT(TRIM(Paramètres!M39),1)="F",1,0)))),IF(Paramètres!N39="",0,IF(Paramètres!O39="",NA(),IF(LEFT(TRIM(Paramètres!O39),1)="F",INDEX($F$599:$F$651,MATCH(Paramètres!N39,Paramètres!$G$5:$G$57,0)),INDEX($E$599:$E$651,MATCH(Paramètres!N39,Paramètres!$G$5:$G$57,0)))+IF(RIGHT(TRIM(Paramètres!O39),3)="Fin",1-$H633,IF(LEFT(TRIM(Paramètres!O39),1)="F",1,0)))))))</f>
        <v/>
      </c>
      <c r="F633" s="19">
        <f>IF($A633="","",E633+$H633-1)</f>
        <v/>
      </c>
      <c r="G633" s="18" t="n"/>
      <c r="H633" s="18">
        <f>IF($A633="","",IF(I633&lt;&gt;"",I633,Paramètres!B39))</f>
        <v/>
      </c>
      <c r="I633" s="18" t="n"/>
    </row>
    <row r="634">
      <c r="A634" s="18">
        <f>IF(ISNUMBER(Dossiers!$D$15),Dossiers!$A$15&amp;" · "&amp;Dossiers!$B$15,"")</f>
        <v/>
      </c>
      <c r="B634" s="18">
        <f>IF($A634="","",Paramètres!G40)</f>
        <v/>
      </c>
      <c r="C634" s="18">
        <f>IF($A634="","",IF(Paramètres!H40="","",Paramètres!H40))</f>
        <v/>
      </c>
      <c r="D634" s="18">
        <f>IF($A634="","",IF(Paramètres!I40="","",Paramètres!I40))</f>
        <v/>
      </c>
      <c r="E634" s="19">
        <f>IF($A634="","",IF(Paramètres!J40&amp;Paramètres!L40&amp;Paramètres!N40="",Dossiers!$D$15,MAX(IF(Paramètres!J40="",0,IF(Paramètres!K40="",NA(),IF(LEFT(TRIM(Paramètres!K40),1)="F",INDEX($F$599:$F$651,MATCH(Paramètres!J40,Paramètres!$G$5:$G$57,0)),INDEX($E$599:$E$651,MATCH(Paramètres!J40,Paramètres!$G$5:$G$57,0)))+IF(RIGHT(TRIM(Paramètres!K40),3)="Fin",1-$H634,IF(LEFT(TRIM(Paramètres!K40),1)="F",1,0)))),IF(Paramètres!L40="",0,IF(Paramètres!M40="",NA(),IF(LEFT(TRIM(Paramètres!M40),1)="F",INDEX($F$599:$F$651,MATCH(Paramètres!L40,Paramètres!$G$5:$G$57,0)),INDEX($E$599:$E$651,MATCH(Paramètres!L40,Paramètres!$G$5:$G$57,0)))+IF(RIGHT(TRIM(Paramètres!M40),3)="Fin",1-$H634,IF(LEFT(TRIM(Paramètres!M40),1)="F",1,0)))),IF(Paramètres!N40="",0,IF(Paramètres!O40="",NA(),IF(LEFT(TRIM(Paramètres!O40),1)="F",INDEX($F$599:$F$651,MATCH(Paramètres!N40,Paramètres!$G$5:$G$57,0)),INDEX($E$599:$E$651,MATCH(Paramètres!N40,Paramètres!$G$5:$G$57,0)))+IF(RIGHT(TRIM(Paramètres!O40),3)="Fin",1-$H634,IF(LEFT(TRIM(Paramètres!O40),1)="F",1,0)))))))</f>
        <v/>
      </c>
      <c r="F634" s="19">
        <f>IF($A634="","",E634+$H634-1)</f>
        <v/>
      </c>
      <c r="G634" s="18" t="n"/>
      <c r="H634" s="18">
        <f>IF($A634="","",IF(I634&lt;&gt;"",I634,Paramètres!B40))</f>
        <v/>
      </c>
      <c r="I634" s="18" t="n"/>
    </row>
    <row r="635">
      <c r="A635" s="18">
        <f>IF(ISNUMBER(Dossiers!$D$15),Dossiers!$A$15&amp;" · "&amp;Dossiers!$B$15,"")</f>
        <v/>
      </c>
      <c r="B635" s="18">
        <f>IF($A635="","",Paramètres!G41)</f>
        <v/>
      </c>
      <c r="C635" s="18">
        <f>IF($A635="","",IF(Paramètres!H41="","",Paramètres!H41))</f>
        <v/>
      </c>
      <c r="D635" s="18">
        <f>IF($A635="","",IF(Paramètres!I41="","",Paramètres!I41))</f>
        <v/>
      </c>
      <c r="E635" s="19">
        <f>IF($A635="","",IF(Paramètres!J41&amp;Paramètres!L41&amp;Paramètres!N41="",Dossiers!$D$15,MAX(IF(Paramètres!J41="",0,IF(Paramètres!K41="",NA(),IF(LEFT(TRIM(Paramètres!K41),1)="F",INDEX($F$599:$F$651,MATCH(Paramètres!J41,Paramètres!$G$5:$G$57,0)),INDEX($E$599:$E$651,MATCH(Paramètres!J41,Paramètres!$G$5:$G$57,0)))+IF(RIGHT(TRIM(Paramètres!K41),3)="Fin",1-$H635,IF(LEFT(TRIM(Paramètres!K41),1)="F",1,0)))),IF(Paramètres!L41="",0,IF(Paramètres!M41="",NA(),IF(LEFT(TRIM(Paramètres!M41),1)="F",INDEX($F$599:$F$651,MATCH(Paramètres!L41,Paramètres!$G$5:$G$57,0)),INDEX($E$599:$E$651,MATCH(Paramètres!L41,Paramètres!$G$5:$G$57,0)))+IF(RIGHT(TRIM(Paramètres!M41),3)="Fin",1-$H635,IF(LEFT(TRIM(Paramètres!M41),1)="F",1,0)))),IF(Paramètres!N41="",0,IF(Paramètres!O41="",NA(),IF(LEFT(TRIM(Paramètres!O41),1)="F",INDEX($F$599:$F$651,MATCH(Paramètres!N41,Paramètres!$G$5:$G$57,0)),INDEX($E$599:$E$651,MATCH(Paramètres!N41,Paramètres!$G$5:$G$57,0)))+IF(RIGHT(TRIM(Paramètres!O41),3)="Fin",1-$H635,IF(LEFT(TRIM(Paramètres!O41),1)="F",1,0)))))))</f>
        <v/>
      </c>
      <c r="F635" s="19">
        <f>IF($A635="","",E635+$H635-1)</f>
        <v/>
      </c>
      <c r="G635" s="18" t="n"/>
      <c r="H635" s="18">
        <f>IF($A635="","",IF(I635&lt;&gt;"",I635,Paramètres!B41))</f>
        <v/>
      </c>
      <c r="I635" s="18" t="n"/>
    </row>
    <row r="636">
      <c r="A636" s="18">
        <f>IF(ISNUMBER(Dossiers!$D$15),Dossiers!$A$15&amp;" · "&amp;Dossiers!$B$15,"")</f>
        <v/>
      </c>
      <c r="B636" s="18">
        <f>IF($A636="","",Paramètres!G42)</f>
        <v/>
      </c>
      <c r="C636" s="18">
        <f>IF($A636="","",IF(Paramètres!H42="","",Paramètres!H42))</f>
        <v/>
      </c>
      <c r="D636" s="18">
        <f>IF($A636="","",IF(Paramètres!I42="","",Paramètres!I42))</f>
        <v/>
      </c>
      <c r="E636" s="19">
        <f>IF($A636="","",IF(Paramètres!J42&amp;Paramètres!L42&amp;Paramètres!N42="",Dossiers!$D$15,MAX(IF(Paramètres!J42="",0,IF(Paramètres!K42="",NA(),IF(LEFT(TRIM(Paramètres!K42),1)="F",INDEX($F$599:$F$651,MATCH(Paramètres!J42,Paramètres!$G$5:$G$57,0)),INDEX($E$599:$E$651,MATCH(Paramètres!J42,Paramètres!$G$5:$G$57,0)))+IF(RIGHT(TRIM(Paramètres!K42),3)="Fin",1-$H636,IF(LEFT(TRIM(Paramètres!K42),1)="F",1,0)))),IF(Paramètres!L42="",0,IF(Paramètres!M42="",NA(),IF(LEFT(TRIM(Paramètres!M42),1)="F",INDEX($F$599:$F$651,MATCH(Paramètres!L42,Paramètres!$G$5:$G$57,0)),INDEX($E$599:$E$651,MATCH(Paramètres!L42,Paramètres!$G$5:$G$57,0)))+IF(RIGHT(TRIM(Paramètres!M42),3)="Fin",1-$H636,IF(LEFT(TRIM(Paramètres!M42),1)="F",1,0)))),IF(Paramètres!N42="",0,IF(Paramètres!O42="",NA(),IF(LEFT(TRIM(Paramètres!O42),1)="F",INDEX($F$599:$F$651,MATCH(Paramètres!N42,Paramètres!$G$5:$G$57,0)),INDEX($E$599:$E$651,MATCH(Paramètres!N42,Paramètres!$G$5:$G$57,0)))+IF(RIGHT(TRIM(Paramètres!O42),3)="Fin",1-$H636,IF(LEFT(TRIM(Paramètres!O42),1)="F",1,0)))))))</f>
        <v/>
      </c>
      <c r="F636" s="19">
        <f>IF($A636="","",E636+$H636-1)</f>
        <v/>
      </c>
      <c r="G636" s="18" t="n"/>
      <c r="H636" s="18">
        <f>IF($A636="","",IF(I636&lt;&gt;"",I636,Paramètres!B42))</f>
        <v/>
      </c>
      <c r="I636" s="18" t="n"/>
    </row>
    <row r="637">
      <c r="A637" s="18">
        <f>IF(ISNUMBER(Dossiers!$D$15),Dossiers!$A$15&amp;" · "&amp;Dossiers!$B$15,"")</f>
        <v/>
      </c>
      <c r="B637" s="18">
        <f>IF($A637="","",Paramètres!G43)</f>
        <v/>
      </c>
      <c r="C637" s="18">
        <f>IF($A637="","",IF(Paramètres!H43="","",Paramètres!H43))</f>
        <v/>
      </c>
      <c r="D637" s="18">
        <f>IF($A637="","",IF(Paramètres!I43="","",Paramètres!I43))</f>
        <v/>
      </c>
      <c r="E637" s="19">
        <f>IF($A637="","",IF(Paramètres!J43&amp;Paramètres!L43&amp;Paramètres!N43="",Dossiers!$D$15,MAX(IF(Paramètres!J43="",0,IF(Paramètres!K43="",NA(),IF(LEFT(TRIM(Paramètres!K43),1)="F",INDEX($F$599:$F$651,MATCH(Paramètres!J43,Paramètres!$G$5:$G$57,0)),INDEX($E$599:$E$651,MATCH(Paramètres!J43,Paramètres!$G$5:$G$57,0)))+IF(RIGHT(TRIM(Paramètres!K43),3)="Fin",1-$H637,IF(LEFT(TRIM(Paramètres!K43),1)="F",1,0)))),IF(Paramètres!L43="",0,IF(Paramètres!M43="",NA(),IF(LEFT(TRIM(Paramètres!M43),1)="F",INDEX($F$599:$F$651,MATCH(Paramètres!L43,Paramètres!$G$5:$G$57,0)),INDEX($E$599:$E$651,MATCH(Paramètres!L43,Paramètres!$G$5:$G$57,0)))+IF(RIGHT(TRIM(Paramètres!M43),3)="Fin",1-$H637,IF(LEFT(TRIM(Paramètres!M43),1)="F",1,0)))),IF(Paramètres!N43="",0,IF(Paramètres!O43="",NA(),IF(LEFT(TRIM(Paramètres!O43),1)="F",INDEX($F$599:$F$651,MATCH(Paramètres!N43,Paramètres!$G$5:$G$57,0)),INDEX($E$599:$E$651,MATCH(Paramètres!N43,Paramètres!$G$5:$G$57,0)))+IF(RIGHT(TRIM(Paramètres!O43),3)="Fin",1-$H637,IF(LEFT(TRIM(Paramètres!O43),1)="F",1,0)))))))</f>
        <v/>
      </c>
      <c r="F637" s="19">
        <f>IF($A637="","",E637+$H637-1)</f>
        <v/>
      </c>
      <c r="G637" s="18" t="n"/>
      <c r="H637" s="18">
        <f>IF($A637="","",IF(I637&lt;&gt;"",I637,Paramètres!B43))</f>
        <v/>
      </c>
      <c r="I637" s="18" t="n"/>
    </row>
    <row r="638">
      <c r="A638" s="18">
        <f>IF(ISNUMBER(Dossiers!$D$15),Dossiers!$A$15&amp;" · "&amp;Dossiers!$B$15,"")</f>
        <v/>
      </c>
      <c r="B638" s="18">
        <f>IF($A638="","",Paramètres!G44)</f>
        <v/>
      </c>
      <c r="C638" s="18">
        <f>IF($A638="","",IF(Paramètres!H44="","",Paramètres!H44))</f>
        <v/>
      </c>
      <c r="D638" s="18">
        <f>IF($A638="","",IF(Paramètres!I44="","",Paramètres!I44))</f>
        <v/>
      </c>
      <c r="E638" s="19">
        <f>IF($A638="","",IF(Paramètres!J44&amp;Paramètres!L44&amp;Paramètres!N44="",Dossiers!$D$15,MAX(IF(Paramètres!J44="",0,IF(Paramètres!K44="",NA(),IF(LEFT(TRIM(Paramètres!K44),1)="F",INDEX($F$599:$F$651,MATCH(Paramètres!J44,Paramètres!$G$5:$G$57,0)),INDEX($E$599:$E$651,MATCH(Paramètres!J44,Paramètres!$G$5:$G$57,0)))+IF(RIGHT(TRIM(Paramètres!K44),3)="Fin",1-$H638,IF(LEFT(TRIM(Paramètres!K44),1)="F",1,0)))),IF(Paramètres!L44="",0,IF(Paramètres!M44="",NA(),IF(LEFT(TRIM(Paramètres!M44),1)="F",INDEX($F$599:$F$651,MATCH(Paramètres!L44,Paramètres!$G$5:$G$57,0)),INDEX($E$599:$E$651,MATCH(Paramètres!L44,Paramètres!$G$5:$G$57,0)))+IF(RIGHT(TRIM(Paramètres!M44),3)="Fin",1-$H638,IF(LEFT(TRIM(Paramètres!M44),1)="F",1,0)))),IF(Paramètres!N44="",0,IF(Paramètres!O44="",NA(),IF(LEFT(TRIM(Paramètres!O44),1)="F",INDEX($F$599:$F$651,MATCH(Paramètres!N44,Paramètres!$G$5:$G$57,0)),INDEX($E$599:$E$651,MATCH(Paramètres!N44,Paramètres!$G$5:$G$57,0)))+IF(RIGHT(TRIM(Paramètres!O44),3)="Fin",1-$H638,IF(LEFT(TRIM(Paramètres!O44),1)="F",1,0)))))))</f>
        <v/>
      </c>
      <c r="F638" s="19">
        <f>IF($A638="","",E638+$H638-1)</f>
        <v/>
      </c>
      <c r="G638" s="18" t="n"/>
      <c r="H638" s="18">
        <f>IF($A638="","",IF(I638&lt;&gt;"",I638,Paramètres!B44))</f>
        <v/>
      </c>
      <c r="I638" s="18" t="n"/>
    </row>
    <row r="639">
      <c r="A639" s="18">
        <f>IF(ISNUMBER(Dossiers!$D$15),Dossiers!$A$15&amp;" · "&amp;Dossiers!$B$15,"")</f>
        <v/>
      </c>
      <c r="B639" s="18">
        <f>IF($A639="","",Paramètres!G45)</f>
        <v/>
      </c>
      <c r="C639" s="20">
        <f>IF($A639="","",IF(Dossiers!$G$15="","",Dossiers!$G$15))</f>
        <v/>
      </c>
      <c r="D639" s="18">
        <f>IF($A639="","",IF(Paramètres!I45="","",Paramètres!I45))</f>
        <v/>
      </c>
      <c r="E639" s="19">
        <f>IF($A639="","",IF(Paramètres!J45&amp;Paramètres!L45&amp;Paramètres!N45="",Dossiers!$D$15,MAX(IF(Paramètres!J45="",0,IF(Paramètres!K45="",NA(),IF(LEFT(TRIM(Paramètres!K45),1)="F",INDEX($F$599:$F$651,MATCH(Paramètres!J45,Paramètres!$G$5:$G$57,0)),INDEX($E$599:$E$651,MATCH(Paramètres!J45,Paramètres!$G$5:$G$57,0)))+IF(RIGHT(TRIM(Paramètres!K45),3)="Fin",1-$H639,IF(LEFT(TRIM(Paramètres!K45),1)="F",1,0)))),IF(Paramètres!L45="",0,IF(Paramètres!M45="",NA(),IF(LEFT(TRIM(Paramètres!M45),1)="F",INDEX($F$599:$F$651,MATCH(Paramètres!L45,Paramètres!$G$5:$G$57,0)),INDEX($E$599:$E$651,MATCH(Paramètres!L45,Paramètres!$G$5:$G$57,0)))+IF(RIGHT(TRIM(Paramètres!M45),3)="Fin",1-$H639,IF(LEFT(TRIM(Paramètres!M45),1)="F",1,0)))),IF(Paramètres!N45="",0,IF(Paramètres!O45="",NA(),IF(LEFT(TRIM(Paramètres!O45),1)="F",INDEX($F$599:$F$651,MATCH(Paramètres!N45,Paramètres!$G$5:$G$57,0)),INDEX($E$599:$E$651,MATCH(Paramètres!N45,Paramètres!$G$5:$G$57,0)))+IF(RIGHT(TRIM(Paramètres!O45),3)="Fin",1-$H639,IF(LEFT(TRIM(Paramètres!O45),1)="F",1,0)))))))</f>
        <v/>
      </c>
      <c r="F639" s="19">
        <f>IF($A639="","",E639+$H639-1)</f>
        <v/>
      </c>
      <c r="G639" s="18" t="n"/>
      <c r="H639" s="18">
        <f>IF($A639="","",IF(I639&lt;&gt;"",I639,Paramètres!B45))</f>
        <v/>
      </c>
      <c r="I639" s="18" t="n"/>
    </row>
    <row r="640">
      <c r="A640" s="18">
        <f>IF(ISNUMBER(Dossiers!$D$15),Dossiers!$A$15&amp;" · "&amp;Dossiers!$B$15,"")</f>
        <v/>
      </c>
      <c r="B640" s="18">
        <f>IF($A640="","",Paramètres!G46)</f>
        <v/>
      </c>
      <c r="C640" s="18">
        <f>IF($A640="","",IF(Paramètres!H46="","",Paramètres!H46))</f>
        <v/>
      </c>
      <c r="D640" s="18">
        <f>IF($A640="","",IF(Paramètres!I46="","",Paramètres!I46))</f>
        <v/>
      </c>
      <c r="E640" s="19">
        <f>IF($A640="","",IF(Paramètres!J46&amp;Paramètres!L46&amp;Paramètres!N46="",Dossiers!$D$15,MAX(IF(Paramètres!J46="",0,IF(Paramètres!K46="",NA(),IF(LEFT(TRIM(Paramètres!K46),1)="F",INDEX($F$599:$F$651,MATCH(Paramètres!J46,Paramètres!$G$5:$G$57,0)),INDEX($E$599:$E$651,MATCH(Paramètres!J46,Paramètres!$G$5:$G$57,0)))+IF(RIGHT(TRIM(Paramètres!K46),3)="Fin",1-$H640,IF(LEFT(TRIM(Paramètres!K46),1)="F",1,0)))),IF(Paramètres!L46="",0,IF(Paramètres!M46="",NA(),IF(LEFT(TRIM(Paramètres!M46),1)="F",INDEX($F$599:$F$651,MATCH(Paramètres!L46,Paramètres!$G$5:$G$57,0)),INDEX($E$599:$E$651,MATCH(Paramètres!L46,Paramètres!$G$5:$G$57,0)))+IF(RIGHT(TRIM(Paramètres!M46),3)="Fin",1-$H640,IF(LEFT(TRIM(Paramètres!M46),1)="F",1,0)))),IF(Paramètres!N46="",0,IF(Paramètres!O46="",NA(),IF(LEFT(TRIM(Paramètres!O46),1)="F",INDEX($F$599:$F$651,MATCH(Paramètres!N46,Paramètres!$G$5:$G$57,0)),INDEX($E$599:$E$651,MATCH(Paramètres!N46,Paramètres!$G$5:$G$57,0)))+IF(RIGHT(TRIM(Paramètres!O46),3)="Fin",1-$H640,IF(LEFT(TRIM(Paramètres!O46),1)="F",1,0)))))))</f>
        <v/>
      </c>
      <c r="F640" s="19">
        <f>IF($A640="","",E640+$H640-1)</f>
        <v/>
      </c>
      <c r="G640" s="18" t="n"/>
      <c r="H640" s="18">
        <f>IF($A640="","",IF(I640&lt;&gt;"",I640,Paramètres!B46))</f>
        <v/>
      </c>
      <c r="I640" s="18" t="n"/>
    </row>
    <row r="641">
      <c r="A641" s="18">
        <f>IF(ISNUMBER(Dossiers!$D$15),Dossiers!$A$15&amp;" · "&amp;Dossiers!$B$15,"")</f>
        <v/>
      </c>
      <c r="B641" s="18">
        <f>IF($A641="","",Paramètres!G47)</f>
        <v/>
      </c>
      <c r="C641" s="18">
        <f>IF($A641="","",IF(Paramètres!H47="","",Paramètres!H47))</f>
        <v/>
      </c>
      <c r="D641" s="18">
        <f>IF($A641="","",IF(Paramètres!I47="","",Paramètres!I47))</f>
        <v/>
      </c>
      <c r="E641" s="19">
        <f>IF($A641="","",IF(Paramètres!J47&amp;Paramètres!L47&amp;Paramètres!N47="",Dossiers!$D$15,MAX(IF(Paramètres!J47="",0,IF(Paramètres!K47="",NA(),IF(LEFT(TRIM(Paramètres!K47),1)="F",INDEX($F$599:$F$651,MATCH(Paramètres!J47,Paramètres!$G$5:$G$57,0)),INDEX($E$599:$E$651,MATCH(Paramètres!J47,Paramètres!$G$5:$G$57,0)))+IF(RIGHT(TRIM(Paramètres!K47),3)="Fin",1-$H641,IF(LEFT(TRIM(Paramètres!K47),1)="F",1,0)))),IF(Paramètres!L47="",0,IF(Paramètres!M47="",NA(),IF(LEFT(TRIM(Paramètres!M47),1)="F",INDEX($F$599:$F$651,MATCH(Paramètres!L47,Paramètres!$G$5:$G$57,0)),INDEX($E$599:$E$651,MATCH(Paramètres!L47,Paramètres!$G$5:$G$57,0)))+IF(RIGHT(TRIM(Paramètres!M47),3)="Fin",1-$H641,IF(LEFT(TRIM(Paramètres!M47),1)="F",1,0)))),IF(Paramètres!N47="",0,IF(Paramètres!O47="",NA(),IF(LEFT(TRIM(Paramètres!O47),1)="F",INDEX($F$599:$F$651,MATCH(Paramètres!N47,Paramètres!$G$5:$G$57,0)),INDEX($E$599:$E$651,MATCH(Paramètres!N47,Paramètres!$G$5:$G$57,0)))+IF(RIGHT(TRIM(Paramètres!O47),3)="Fin",1-$H641,IF(LEFT(TRIM(Paramètres!O47),1)="F",1,0)))))))</f>
        <v/>
      </c>
      <c r="F641" s="19">
        <f>IF($A641="","",E641+$H641-1)</f>
        <v/>
      </c>
      <c r="G641" s="18" t="n"/>
      <c r="H641" s="18">
        <f>IF($A641="","",IF(I641&lt;&gt;"",I641,Paramètres!B47))</f>
        <v/>
      </c>
      <c r="I641" s="18" t="n"/>
    </row>
    <row r="642">
      <c r="A642" s="18">
        <f>IF(ISNUMBER(Dossiers!$D$15),Dossiers!$A$15&amp;" · "&amp;Dossiers!$B$15,"")</f>
        <v/>
      </c>
      <c r="B642" s="18">
        <f>IF($A642="","",Paramètres!G48)</f>
        <v/>
      </c>
      <c r="C642" s="18">
        <f>IF($A642="","",IF(Paramètres!H48="","",Paramètres!H48))</f>
        <v/>
      </c>
      <c r="D642" s="18">
        <f>IF($A642="","",IF(Paramètres!I48="","",Paramètres!I48))</f>
        <v/>
      </c>
      <c r="E642" s="19">
        <f>IF($A642="","",IF(Paramètres!J48&amp;Paramètres!L48&amp;Paramètres!N48="",Dossiers!$D$15,MAX(IF(Paramètres!J48="",0,IF(Paramètres!K48="",NA(),IF(LEFT(TRIM(Paramètres!K48),1)="F",INDEX($F$599:$F$651,MATCH(Paramètres!J48,Paramètres!$G$5:$G$57,0)),INDEX($E$599:$E$651,MATCH(Paramètres!J48,Paramètres!$G$5:$G$57,0)))+IF(RIGHT(TRIM(Paramètres!K48),3)="Fin",1-$H642,IF(LEFT(TRIM(Paramètres!K48),1)="F",1,0)))),IF(Paramètres!L48="",0,IF(Paramètres!M48="",NA(),IF(LEFT(TRIM(Paramètres!M48),1)="F",INDEX($F$599:$F$651,MATCH(Paramètres!L48,Paramètres!$G$5:$G$57,0)),INDEX($E$599:$E$651,MATCH(Paramètres!L48,Paramètres!$G$5:$G$57,0)))+IF(RIGHT(TRIM(Paramètres!M48),3)="Fin",1-$H642,IF(LEFT(TRIM(Paramètres!M48),1)="F",1,0)))),IF(Paramètres!N48="",0,IF(Paramètres!O48="",NA(),IF(LEFT(TRIM(Paramètres!O48),1)="F",INDEX($F$599:$F$651,MATCH(Paramètres!N48,Paramètres!$G$5:$G$57,0)),INDEX($E$599:$E$651,MATCH(Paramètres!N48,Paramètres!$G$5:$G$57,0)))+IF(RIGHT(TRIM(Paramètres!O48),3)="Fin",1-$H642,IF(LEFT(TRIM(Paramètres!O48),1)="F",1,0)))))))</f>
        <v/>
      </c>
      <c r="F642" s="19">
        <f>IF($A642="","",E642+$H642-1)</f>
        <v/>
      </c>
      <c r="G642" s="18" t="n"/>
      <c r="H642" s="18">
        <f>IF($A642="","",IF(I642&lt;&gt;"",I642,Paramètres!B48))</f>
        <v/>
      </c>
      <c r="I642" s="18" t="n"/>
    </row>
    <row r="643">
      <c r="A643" s="18">
        <f>IF(ISNUMBER(Dossiers!$D$15),Dossiers!$A$15&amp;" · "&amp;Dossiers!$B$15,"")</f>
        <v/>
      </c>
      <c r="B643" s="18">
        <f>IF($A643="","",Paramètres!G49)</f>
        <v/>
      </c>
      <c r="C643" s="18">
        <f>IF($A643="","",IF(Paramètres!H49="","",Paramètres!H49))</f>
        <v/>
      </c>
      <c r="D643" s="18">
        <f>IF($A643="","",IF(Paramètres!I49="","",Paramètres!I49))</f>
        <v/>
      </c>
      <c r="E643" s="19">
        <f>IF($A643="","",IF(Paramètres!J49&amp;Paramètres!L49&amp;Paramètres!N49="",Dossiers!$D$15,MAX(IF(Paramètres!J49="",0,IF(Paramètres!K49="",NA(),IF(LEFT(TRIM(Paramètres!K49),1)="F",INDEX($F$599:$F$651,MATCH(Paramètres!J49,Paramètres!$G$5:$G$57,0)),INDEX($E$599:$E$651,MATCH(Paramètres!J49,Paramètres!$G$5:$G$57,0)))+IF(RIGHT(TRIM(Paramètres!K49),3)="Fin",1-$H643,IF(LEFT(TRIM(Paramètres!K49),1)="F",1,0)))),IF(Paramètres!L49="",0,IF(Paramètres!M49="",NA(),IF(LEFT(TRIM(Paramètres!M49),1)="F",INDEX($F$599:$F$651,MATCH(Paramètres!L49,Paramètres!$G$5:$G$57,0)),INDEX($E$599:$E$651,MATCH(Paramètres!L49,Paramètres!$G$5:$G$57,0)))+IF(RIGHT(TRIM(Paramètres!M49),3)="Fin",1-$H643,IF(LEFT(TRIM(Paramètres!M49),1)="F",1,0)))),IF(Paramètres!N49="",0,IF(Paramètres!O49="",NA(),IF(LEFT(TRIM(Paramètres!O49),1)="F",INDEX($F$599:$F$651,MATCH(Paramètres!N49,Paramètres!$G$5:$G$57,0)),INDEX($E$599:$E$651,MATCH(Paramètres!N49,Paramètres!$G$5:$G$57,0)))+IF(RIGHT(TRIM(Paramètres!O49),3)="Fin",1-$H643,IF(LEFT(TRIM(Paramètres!O49),1)="F",1,0)))))))</f>
        <v/>
      </c>
      <c r="F643" s="19">
        <f>IF($A643="","",E643+$H643-1)</f>
        <v/>
      </c>
      <c r="G643" s="18" t="n"/>
      <c r="H643" s="18">
        <f>IF($A643="","",IF(I643&lt;&gt;"",I643,Paramètres!B49))</f>
        <v/>
      </c>
      <c r="I643" s="18" t="n"/>
    </row>
    <row r="644">
      <c r="A644" s="18">
        <f>IF(ISNUMBER(Dossiers!$D$15),Dossiers!$A$15&amp;" · "&amp;Dossiers!$B$15,"")</f>
        <v/>
      </c>
      <c r="B644" s="18">
        <f>IF($A644="","",Paramètres!G50)</f>
        <v/>
      </c>
      <c r="C644" s="18">
        <f>IF($A644="","",IF(Paramètres!H50="","",Paramètres!H50))</f>
        <v/>
      </c>
      <c r="D644" s="18">
        <f>IF($A644="","",IF(Paramètres!I50="","",Paramètres!I50))</f>
        <v/>
      </c>
      <c r="E644" s="19">
        <f>IF($A644="","",IF(Paramètres!J50&amp;Paramètres!L50&amp;Paramètres!N50="",Dossiers!$D$15,MAX(IF(Paramètres!J50="",0,IF(Paramètres!K50="",NA(),IF(LEFT(TRIM(Paramètres!K50),1)="F",INDEX($F$599:$F$651,MATCH(Paramètres!J50,Paramètres!$G$5:$G$57,0)),INDEX($E$599:$E$651,MATCH(Paramètres!J50,Paramètres!$G$5:$G$57,0)))+IF(RIGHT(TRIM(Paramètres!K50),3)="Fin",1-$H644,IF(LEFT(TRIM(Paramètres!K50),1)="F",1,0)))),IF(Paramètres!L50="",0,IF(Paramètres!M50="",NA(),IF(LEFT(TRIM(Paramètres!M50),1)="F",INDEX($F$599:$F$651,MATCH(Paramètres!L50,Paramètres!$G$5:$G$57,0)),INDEX($E$599:$E$651,MATCH(Paramètres!L50,Paramètres!$G$5:$G$57,0)))+IF(RIGHT(TRIM(Paramètres!M50),3)="Fin",1-$H644,IF(LEFT(TRIM(Paramètres!M50),1)="F",1,0)))),IF(Paramètres!N50="",0,IF(Paramètres!O50="",NA(),IF(LEFT(TRIM(Paramètres!O50),1)="F",INDEX($F$599:$F$651,MATCH(Paramètres!N50,Paramètres!$G$5:$G$57,0)),INDEX($E$599:$E$651,MATCH(Paramètres!N50,Paramètres!$G$5:$G$57,0)))+IF(RIGHT(TRIM(Paramètres!O50),3)="Fin",1-$H644,IF(LEFT(TRIM(Paramètres!O50),1)="F",1,0)))))))</f>
        <v/>
      </c>
      <c r="F644" s="19">
        <f>IF($A644="","",E644+$H644-1)</f>
        <v/>
      </c>
      <c r="G644" s="18" t="n"/>
      <c r="H644" s="18">
        <f>IF($A644="","",IF(I644&lt;&gt;"",I644,Paramètres!B50))</f>
        <v/>
      </c>
      <c r="I644" s="18" t="n"/>
    </row>
    <row r="645">
      <c r="A645" s="18">
        <f>IF(ISNUMBER(Dossiers!$D$15),Dossiers!$A$15&amp;" · "&amp;Dossiers!$B$15,"")</f>
        <v/>
      </c>
      <c r="B645" s="18">
        <f>IF($A645="","",Paramètres!G51)</f>
        <v/>
      </c>
      <c r="C645" s="18">
        <f>IF($A645="","",IF(Paramètres!H51="","",Paramètres!H51))</f>
        <v/>
      </c>
      <c r="D645" s="18">
        <f>IF($A645="","",IF(Paramètres!I51="","",Paramètres!I51))</f>
        <v/>
      </c>
      <c r="E645" s="19">
        <f>IF($A645="","",IF(Paramètres!J51&amp;Paramètres!L51&amp;Paramètres!N51="",Dossiers!$D$15,MAX(IF(Paramètres!J51="",0,IF(Paramètres!K51="",NA(),IF(LEFT(TRIM(Paramètres!K51),1)="F",INDEX($F$599:$F$651,MATCH(Paramètres!J51,Paramètres!$G$5:$G$57,0)),INDEX($E$599:$E$651,MATCH(Paramètres!J51,Paramètres!$G$5:$G$57,0)))+IF(RIGHT(TRIM(Paramètres!K51),3)="Fin",1-$H645,IF(LEFT(TRIM(Paramètres!K51),1)="F",1,0)))),IF(Paramètres!L51="",0,IF(Paramètres!M51="",NA(),IF(LEFT(TRIM(Paramètres!M51),1)="F",INDEX($F$599:$F$651,MATCH(Paramètres!L51,Paramètres!$G$5:$G$57,0)),INDEX($E$599:$E$651,MATCH(Paramètres!L51,Paramètres!$G$5:$G$57,0)))+IF(RIGHT(TRIM(Paramètres!M51),3)="Fin",1-$H645,IF(LEFT(TRIM(Paramètres!M51),1)="F",1,0)))),IF(Paramètres!N51="",0,IF(Paramètres!O51="",NA(),IF(LEFT(TRIM(Paramètres!O51),1)="F",INDEX($F$599:$F$651,MATCH(Paramètres!N51,Paramètres!$G$5:$G$57,0)),INDEX($E$599:$E$651,MATCH(Paramètres!N51,Paramètres!$G$5:$G$57,0)))+IF(RIGHT(TRIM(Paramètres!O51),3)="Fin",1-$H645,IF(LEFT(TRIM(Paramètres!O51),1)="F",1,0)))))))</f>
        <v/>
      </c>
      <c r="F645" s="19">
        <f>IF($A645="","",E645+$H645-1)</f>
        <v/>
      </c>
      <c r="G645" s="18" t="n"/>
      <c r="H645" s="18">
        <f>IF($A645="","",IF(I645&lt;&gt;"",I645,Paramètres!B51))</f>
        <v/>
      </c>
      <c r="I645" s="18" t="n"/>
    </row>
    <row r="646">
      <c r="A646" s="18">
        <f>IF(ISNUMBER(Dossiers!$D$15),Dossiers!$A$15&amp;" · "&amp;Dossiers!$B$15,"")</f>
        <v/>
      </c>
      <c r="B646" s="18">
        <f>IF($A646="","",Paramètres!G52)</f>
        <v/>
      </c>
      <c r="C646" s="18">
        <f>IF($A646="","",IF(Paramètres!H52="","",Paramètres!H52))</f>
        <v/>
      </c>
      <c r="D646" s="18">
        <f>IF($A646="","",IF(Paramètres!I52="","",Paramètres!I52))</f>
        <v/>
      </c>
      <c r="E646" s="19">
        <f>IF($A646="","",IF(Paramètres!J52&amp;Paramètres!L52&amp;Paramètres!N52="",Dossiers!$D$15,MAX(IF(Paramètres!J52="",0,IF(Paramètres!K52="",NA(),IF(LEFT(TRIM(Paramètres!K52),1)="F",INDEX($F$599:$F$651,MATCH(Paramètres!J52,Paramètres!$G$5:$G$57,0)),INDEX($E$599:$E$651,MATCH(Paramètres!J52,Paramètres!$G$5:$G$57,0)))+IF(RIGHT(TRIM(Paramètres!K52),3)="Fin",1-$H646,IF(LEFT(TRIM(Paramètres!K52),1)="F",1,0)))),IF(Paramètres!L52="",0,IF(Paramètres!M52="",NA(),IF(LEFT(TRIM(Paramètres!M52),1)="F",INDEX($F$599:$F$651,MATCH(Paramètres!L52,Paramètres!$G$5:$G$57,0)),INDEX($E$599:$E$651,MATCH(Paramètres!L52,Paramètres!$G$5:$G$57,0)))+IF(RIGHT(TRIM(Paramètres!M52),3)="Fin",1-$H646,IF(LEFT(TRIM(Paramètres!M52),1)="F",1,0)))),IF(Paramètres!N52="",0,IF(Paramètres!O52="",NA(),IF(LEFT(TRIM(Paramètres!O52),1)="F",INDEX($F$599:$F$651,MATCH(Paramètres!N52,Paramètres!$G$5:$G$57,0)),INDEX($E$599:$E$651,MATCH(Paramètres!N52,Paramètres!$G$5:$G$57,0)))+IF(RIGHT(TRIM(Paramètres!O52),3)="Fin",1-$H646,IF(LEFT(TRIM(Paramètres!O52),1)="F",1,0)))))))</f>
        <v/>
      </c>
      <c r="F646" s="19">
        <f>IF($A646="","",E646+$H646-1)</f>
        <v/>
      </c>
      <c r="G646" s="18" t="n"/>
      <c r="H646" s="18">
        <f>IF($A646="","",IF(I646&lt;&gt;"",I646,Paramètres!B52))</f>
        <v/>
      </c>
      <c r="I646" s="18" t="n"/>
    </row>
    <row r="647">
      <c r="A647" s="18">
        <f>IF(ISNUMBER(Dossiers!$D$15),Dossiers!$A$15&amp;" · "&amp;Dossiers!$B$15,"")</f>
        <v/>
      </c>
      <c r="B647" s="18">
        <f>IF($A647="","",Paramètres!G53)</f>
        <v/>
      </c>
      <c r="C647" s="18">
        <f>IF($A647="","",IF(Paramètres!H53="","",Paramètres!H53))</f>
        <v/>
      </c>
      <c r="D647" s="18">
        <f>IF($A647="","",IF(Paramètres!I53="","",Paramètres!I53))</f>
        <v/>
      </c>
      <c r="E647" s="19">
        <f>IF($A647="","",IF(Paramètres!J53&amp;Paramètres!L53&amp;Paramètres!N53="",Dossiers!$D$15,MAX(IF(Paramètres!J53="",0,IF(Paramètres!K53="",NA(),IF(LEFT(TRIM(Paramètres!K53),1)="F",INDEX($F$599:$F$651,MATCH(Paramètres!J53,Paramètres!$G$5:$G$57,0)),INDEX($E$599:$E$651,MATCH(Paramètres!J53,Paramètres!$G$5:$G$57,0)))+IF(RIGHT(TRIM(Paramètres!K53),3)="Fin",1-$H647,IF(LEFT(TRIM(Paramètres!K53),1)="F",1,0)))),IF(Paramètres!L53="",0,IF(Paramètres!M53="",NA(),IF(LEFT(TRIM(Paramètres!M53),1)="F",INDEX($F$599:$F$651,MATCH(Paramètres!L53,Paramètres!$G$5:$G$57,0)),INDEX($E$599:$E$651,MATCH(Paramètres!L53,Paramètres!$G$5:$G$57,0)))+IF(RIGHT(TRIM(Paramètres!M53),3)="Fin",1-$H647,IF(LEFT(TRIM(Paramètres!M53),1)="F",1,0)))),IF(Paramètres!N53="",0,IF(Paramètres!O53="",NA(),IF(LEFT(TRIM(Paramètres!O53),1)="F",INDEX($F$599:$F$651,MATCH(Paramètres!N53,Paramètres!$G$5:$G$57,0)),INDEX($E$599:$E$651,MATCH(Paramètres!N53,Paramètres!$G$5:$G$57,0)))+IF(RIGHT(TRIM(Paramètres!O53),3)="Fin",1-$H647,IF(LEFT(TRIM(Paramètres!O53),1)="F",1,0)))))))</f>
        <v/>
      </c>
      <c r="F647" s="19">
        <f>IF($A647="","",E647+$H647-1)</f>
        <v/>
      </c>
      <c r="G647" s="18" t="n"/>
      <c r="H647" s="18">
        <f>IF($A647="","",IF(I647&lt;&gt;"",I647,Paramètres!B53))</f>
        <v/>
      </c>
      <c r="I647" s="18" t="n"/>
    </row>
    <row r="648">
      <c r="A648" s="18">
        <f>IF(ISNUMBER(Dossiers!$D$15),Dossiers!$A$15&amp;" · "&amp;Dossiers!$B$15,"")</f>
        <v/>
      </c>
      <c r="B648" s="18">
        <f>IF($A648="","",Paramètres!G54)</f>
        <v/>
      </c>
      <c r="C648" s="18">
        <f>IF($A648="","",IF(Paramètres!H54="","",Paramètres!H54))</f>
        <v/>
      </c>
      <c r="D648" s="18">
        <f>IF($A648="","",IF(Paramètres!I54="","",Paramètres!I54))</f>
        <v/>
      </c>
      <c r="E648" s="19">
        <f>IF($A648="","",IF(Paramètres!J54&amp;Paramètres!L54&amp;Paramètres!N54="",Dossiers!$D$15,MAX(IF(Paramètres!J54="",0,IF(Paramètres!K54="",NA(),IF(LEFT(TRIM(Paramètres!K54),1)="F",INDEX($F$599:$F$651,MATCH(Paramètres!J54,Paramètres!$G$5:$G$57,0)),INDEX($E$599:$E$651,MATCH(Paramètres!J54,Paramètres!$G$5:$G$57,0)))+IF(RIGHT(TRIM(Paramètres!K54),3)="Fin",1-$H648,IF(LEFT(TRIM(Paramètres!K54),1)="F",1,0)))),IF(Paramètres!L54="",0,IF(Paramètres!M54="",NA(),IF(LEFT(TRIM(Paramètres!M54),1)="F",INDEX($F$599:$F$651,MATCH(Paramètres!L54,Paramètres!$G$5:$G$57,0)),INDEX($E$599:$E$651,MATCH(Paramètres!L54,Paramètres!$G$5:$G$57,0)))+IF(RIGHT(TRIM(Paramètres!M54),3)="Fin",1-$H648,IF(LEFT(TRIM(Paramètres!M54),1)="F",1,0)))),IF(Paramètres!N54="",0,IF(Paramètres!O54="",NA(),IF(LEFT(TRIM(Paramètres!O54),1)="F",INDEX($F$599:$F$651,MATCH(Paramètres!N54,Paramètres!$G$5:$G$57,0)),INDEX($E$599:$E$651,MATCH(Paramètres!N54,Paramètres!$G$5:$G$57,0)))+IF(RIGHT(TRIM(Paramètres!O54),3)="Fin",1-$H648,IF(LEFT(TRIM(Paramètres!O54),1)="F",1,0)))))))</f>
        <v/>
      </c>
      <c r="F648" s="19">
        <f>IF($A648="","",E648+$H648-1)</f>
        <v/>
      </c>
      <c r="G648" s="18" t="n"/>
      <c r="H648" s="18">
        <f>IF($A648="","",IF(I648&lt;&gt;"",I648,Paramètres!B54))</f>
        <v/>
      </c>
      <c r="I648" s="18" t="n"/>
    </row>
    <row r="649">
      <c r="A649" s="18">
        <f>IF(ISNUMBER(Dossiers!$D$15),Dossiers!$A$15&amp;" · "&amp;Dossiers!$B$15,"")</f>
        <v/>
      </c>
      <c r="B649" s="18">
        <f>IF($A649="","",Paramètres!G55)</f>
        <v/>
      </c>
      <c r="C649" s="18">
        <f>IF($A649="","",IF(Paramètres!H55="","",Paramètres!H55))</f>
        <v/>
      </c>
      <c r="D649" s="18">
        <f>IF($A649="","",IF(Paramètres!I55="","",Paramètres!I55))</f>
        <v/>
      </c>
      <c r="E649" s="19">
        <f>IF($A649="","",IF(Paramètres!J55&amp;Paramètres!L55&amp;Paramètres!N55="",Dossiers!$D$15,MAX(IF(Paramètres!J55="",0,IF(Paramètres!K55="",NA(),IF(LEFT(TRIM(Paramètres!K55),1)="F",INDEX($F$599:$F$651,MATCH(Paramètres!J55,Paramètres!$G$5:$G$57,0)),INDEX($E$599:$E$651,MATCH(Paramètres!J55,Paramètres!$G$5:$G$57,0)))+IF(RIGHT(TRIM(Paramètres!K55),3)="Fin",1-$H649,IF(LEFT(TRIM(Paramètres!K55),1)="F",1,0)))),IF(Paramètres!L55="",0,IF(Paramètres!M55="",NA(),IF(LEFT(TRIM(Paramètres!M55),1)="F",INDEX($F$599:$F$651,MATCH(Paramètres!L55,Paramètres!$G$5:$G$57,0)),INDEX($E$599:$E$651,MATCH(Paramètres!L55,Paramètres!$G$5:$G$57,0)))+IF(RIGHT(TRIM(Paramètres!M55),3)="Fin",1-$H649,IF(LEFT(TRIM(Paramètres!M55),1)="F",1,0)))),IF(Paramètres!N55="",0,IF(Paramètres!O55="",NA(),IF(LEFT(TRIM(Paramètres!O55),1)="F",INDEX($F$599:$F$651,MATCH(Paramètres!N55,Paramètres!$G$5:$G$57,0)),INDEX($E$599:$E$651,MATCH(Paramètres!N55,Paramètres!$G$5:$G$57,0)))+IF(RIGHT(TRIM(Paramètres!O55),3)="Fin",1-$H649,IF(LEFT(TRIM(Paramètres!O55),1)="F",1,0)))))))</f>
        <v/>
      </c>
      <c r="F649" s="19">
        <f>IF($A649="","",E649+$H649-1)</f>
        <v/>
      </c>
      <c r="G649" s="18" t="n"/>
      <c r="H649" s="18">
        <f>IF($A649="","",IF(I649&lt;&gt;"",I649,Paramètres!B55))</f>
        <v/>
      </c>
      <c r="I649" s="18" t="n"/>
    </row>
    <row r="650">
      <c r="A650" s="18">
        <f>IF(ISNUMBER(Dossiers!$D$15),Dossiers!$A$15&amp;" · "&amp;Dossiers!$B$15,"")</f>
        <v/>
      </c>
      <c r="B650" s="18">
        <f>IF($A650="","",Paramètres!G56)</f>
        <v/>
      </c>
      <c r="C650" s="18">
        <f>IF($A650="","",IF(Paramètres!H56="","",Paramètres!H56))</f>
        <v/>
      </c>
      <c r="D650" s="18">
        <f>IF($A650="","",IF(Paramètres!I56="","",Paramètres!I56))</f>
        <v/>
      </c>
      <c r="E650" s="19">
        <f>IF($A650="","",MIN(E651:E651))</f>
        <v/>
      </c>
      <c r="F650" s="19">
        <f>IF($A650="","",MAX(F651:F651))</f>
        <v/>
      </c>
      <c r="G650" s="18" t="n"/>
      <c r="H650" s="18">
        <f>IF($A650="","",F650-E650+1)</f>
        <v/>
      </c>
      <c r="I650" s="18" t="n"/>
    </row>
    <row r="651">
      <c r="A651" s="18">
        <f>IF(ISNUMBER(Dossiers!$D$15),Dossiers!$A$15&amp;" · "&amp;Dossiers!$B$15,"")</f>
        <v/>
      </c>
      <c r="B651" s="18">
        <f>IF($A651="","",Paramètres!G57)</f>
        <v/>
      </c>
      <c r="C651" s="18">
        <f>IF($A651="","",IF(Paramètres!H57="","",Paramètres!H57))</f>
        <v/>
      </c>
      <c r="D651" s="18">
        <f>IF($A651="","",IF(Paramètres!I57="","",Paramètres!I57))</f>
        <v/>
      </c>
      <c r="E651" s="19">
        <f>IF($A651="","",IF(Paramètres!J57&amp;Paramètres!L57&amp;Paramètres!N57="",Dossiers!$D$15,MAX(IF(Paramètres!J57="",0,IF(Paramètres!K57="",NA(),IF(LEFT(TRIM(Paramètres!K57),1)="F",INDEX($F$599:$F$651,MATCH(Paramètres!J57,Paramètres!$G$5:$G$57,0)),INDEX($E$599:$E$651,MATCH(Paramètres!J57,Paramètres!$G$5:$G$57,0)))+IF(RIGHT(TRIM(Paramètres!K57),3)="Fin",1-$H651,IF(LEFT(TRIM(Paramètres!K57),1)="F",1,0)))),IF(Paramètres!L57="",0,IF(Paramètres!M57="",NA(),IF(LEFT(TRIM(Paramètres!M57),1)="F",INDEX($F$599:$F$651,MATCH(Paramètres!L57,Paramètres!$G$5:$G$57,0)),INDEX($E$599:$E$651,MATCH(Paramètres!L57,Paramètres!$G$5:$G$57,0)))+IF(RIGHT(TRIM(Paramètres!M57),3)="Fin",1-$H651,IF(LEFT(TRIM(Paramètres!M57),1)="F",1,0)))),IF(Paramètres!N57="",0,IF(Paramètres!O57="",NA(),IF(LEFT(TRIM(Paramètres!O57),1)="F",INDEX($F$599:$F$651,MATCH(Paramètres!N57,Paramètres!$G$5:$G$57,0)),INDEX($E$599:$E$651,MATCH(Paramètres!N57,Paramètres!$G$5:$G$57,0)))+IF(RIGHT(TRIM(Paramètres!O57),3)="Fin",1-$H651,IF(LEFT(TRIM(Paramètres!O57),1)="F",1,0)))))))</f>
        <v/>
      </c>
      <c r="F651" s="19">
        <f>IF($A651="","",E651+$H651-1)</f>
        <v/>
      </c>
      <c r="G651" s="18" t="n"/>
      <c r="H651" s="18">
        <f>IF($A651="","",IF(I651&lt;&gt;"",I651,Paramètres!B57))</f>
        <v/>
      </c>
      <c r="I651" s="18" t="n"/>
    </row>
    <row r="652">
      <c r="A652" s="16">
        <f>IF(ISNUMBER(Dossiers!$D$16),Dossiers!$E$16,"")</f>
        <v/>
      </c>
      <c r="B652" s="16">
        <f>IF($A652="","","Identifiant")</f>
        <v/>
      </c>
      <c r="C652" s="16">
        <f>IF($A652="","","Macro Etape")</f>
        <v/>
      </c>
      <c r="D652" s="16">
        <f>IF($A652="","","Etape")</f>
        <v/>
      </c>
      <c r="E652" s="17">
        <f>IF($A652="","","Début le")</f>
        <v/>
      </c>
      <c r="F652" s="17">
        <f>IF($A652="","","Fin prévue le")</f>
        <v/>
      </c>
      <c r="G652" s="16">
        <f>IF($A652="","","Statut")</f>
        <v/>
      </c>
      <c r="H652" s="16">
        <f>IF($A652="","","Durée (jours)")</f>
        <v/>
      </c>
      <c r="I652" s="16">
        <f>IF($A652="","","Durée particulière")</f>
        <v/>
      </c>
      <c r="J652" s="10">
        <f>IF($A652="","",HYPERLINK("#'Tableau de bord'!A1","↑ Tableau de bord"))</f>
        <v/>
      </c>
    </row>
    <row r="653">
      <c r="A653" s="18">
        <f>IF(ISNUMBER(Dossiers!$D$16),Dossiers!$A$16&amp;" · "&amp;Dossiers!$B$16,"")</f>
        <v/>
      </c>
      <c r="B653" s="18">
        <f>IF($A653="","",Paramètres!G5)</f>
        <v/>
      </c>
      <c r="C653" s="18">
        <f>IF($A653="","",IF(Paramètres!H5="","",Paramètres!H5))</f>
        <v/>
      </c>
      <c r="D653" s="18">
        <f>IF($A653="","",IF(Paramètres!I5="","",Paramètres!I5))</f>
        <v/>
      </c>
      <c r="E653" s="19">
        <f>IF($A653="","",MIN(E654:E657))</f>
        <v/>
      </c>
      <c r="F653" s="19">
        <f>IF($A653="","",MAX(F654:F657))</f>
        <v/>
      </c>
      <c r="G653" s="18" t="n"/>
      <c r="H653" s="18">
        <f>IF($A653="","",F653-E653+1)</f>
        <v/>
      </c>
      <c r="I653" s="18" t="n"/>
    </row>
    <row r="654">
      <c r="A654" s="18">
        <f>IF(ISNUMBER(Dossiers!$D$16),Dossiers!$A$16&amp;" · "&amp;Dossiers!$B$16,"")</f>
        <v/>
      </c>
      <c r="B654" s="18">
        <f>IF($A654="","",Paramètres!G6)</f>
        <v/>
      </c>
      <c r="C654" s="18">
        <f>IF($A654="","",IF(Paramètres!H6="","",Paramètres!H6))</f>
        <v/>
      </c>
      <c r="D654" s="18">
        <f>IF($A654="","",IF(Paramètres!I6="","",Paramètres!I6))</f>
        <v/>
      </c>
      <c r="E654" s="19">
        <f>IF($A654="","",IF(Paramètres!J6&amp;Paramètres!L6&amp;Paramètres!N6="",Dossiers!$D$16,MAX(IF(Paramètres!J6="",0,IF(Paramètres!K6="",NA(),IF(LEFT(TRIM(Paramètres!K6),1)="F",INDEX($F$653:$F$705,MATCH(Paramètres!J6,Paramètres!$G$5:$G$57,0)),INDEX($E$653:$E$705,MATCH(Paramètres!J6,Paramètres!$G$5:$G$57,0)))+IF(RIGHT(TRIM(Paramètres!K6),3)="Fin",1-$H654,IF(LEFT(TRIM(Paramètres!K6),1)="F",1,0)))),IF(Paramètres!L6="",0,IF(Paramètres!M6="",NA(),IF(LEFT(TRIM(Paramètres!M6),1)="F",INDEX($F$653:$F$705,MATCH(Paramètres!L6,Paramètres!$G$5:$G$57,0)),INDEX($E$653:$E$705,MATCH(Paramètres!L6,Paramètres!$G$5:$G$57,0)))+IF(RIGHT(TRIM(Paramètres!M6),3)="Fin",1-$H654,IF(LEFT(TRIM(Paramètres!M6),1)="F",1,0)))),IF(Paramètres!N6="",0,IF(Paramètres!O6="",NA(),IF(LEFT(TRIM(Paramètres!O6),1)="F",INDEX($F$653:$F$705,MATCH(Paramètres!N6,Paramètres!$G$5:$G$57,0)),INDEX($E$653:$E$705,MATCH(Paramètres!N6,Paramètres!$G$5:$G$57,0)))+IF(RIGHT(TRIM(Paramètres!O6),3)="Fin",1-$H654,IF(LEFT(TRIM(Paramètres!O6),1)="F",1,0)))))))</f>
        <v/>
      </c>
      <c r="F654" s="19">
        <f>IF($A654="","",E654+$H654-1)</f>
        <v/>
      </c>
      <c r="G654" s="18" t="n"/>
      <c r="H654" s="18">
        <f>IF($A654="","",IF(I654&lt;&gt;"",I654,Paramètres!B6))</f>
        <v/>
      </c>
      <c r="I654" s="18" t="n"/>
    </row>
    <row r="655">
      <c r="A655" s="18">
        <f>IF(ISNUMBER(Dossiers!$D$16),Dossiers!$A$16&amp;" · "&amp;Dossiers!$B$16,"")</f>
        <v/>
      </c>
      <c r="B655" s="18">
        <f>IF($A655="","",Paramètres!G7)</f>
        <v/>
      </c>
      <c r="C655" s="18">
        <f>IF($A655="","",IF(Paramètres!H7="","",Paramètres!H7))</f>
        <v/>
      </c>
      <c r="D655" s="18">
        <f>IF($A655="","",IF(Paramètres!I7="","",Paramètres!I7))</f>
        <v/>
      </c>
      <c r="E655" s="19">
        <f>IF($A655="","",IF(Paramètres!J7&amp;Paramètres!L7&amp;Paramètres!N7="",Dossiers!$D$16,MAX(IF(Paramètres!J7="",0,IF(Paramètres!K7="",NA(),IF(LEFT(TRIM(Paramètres!K7),1)="F",INDEX($F$653:$F$705,MATCH(Paramètres!J7,Paramètres!$G$5:$G$57,0)),INDEX($E$653:$E$705,MATCH(Paramètres!J7,Paramètres!$G$5:$G$57,0)))+IF(RIGHT(TRIM(Paramètres!K7),3)="Fin",1-$H655,IF(LEFT(TRIM(Paramètres!K7),1)="F",1,0)))),IF(Paramètres!L7="",0,IF(Paramètres!M7="",NA(),IF(LEFT(TRIM(Paramètres!M7),1)="F",INDEX($F$653:$F$705,MATCH(Paramètres!L7,Paramètres!$G$5:$G$57,0)),INDEX($E$653:$E$705,MATCH(Paramètres!L7,Paramètres!$G$5:$G$57,0)))+IF(RIGHT(TRIM(Paramètres!M7),3)="Fin",1-$H655,IF(LEFT(TRIM(Paramètres!M7),1)="F",1,0)))),IF(Paramètres!N7="",0,IF(Paramètres!O7="",NA(),IF(LEFT(TRIM(Paramètres!O7),1)="F",INDEX($F$653:$F$705,MATCH(Paramètres!N7,Paramètres!$G$5:$G$57,0)),INDEX($E$653:$E$705,MATCH(Paramètres!N7,Paramètres!$G$5:$G$57,0)))+IF(RIGHT(TRIM(Paramètres!O7),3)="Fin",1-$H655,IF(LEFT(TRIM(Paramètres!O7),1)="F",1,0)))))))</f>
        <v/>
      </c>
      <c r="F655" s="19">
        <f>IF($A655="","",E655+$H655-1)</f>
        <v/>
      </c>
      <c r="G655" s="18" t="n"/>
      <c r="H655" s="18">
        <f>IF($A655="","",IF(I655&lt;&gt;"",I655,Paramètres!B7))</f>
        <v/>
      </c>
      <c r="I655" s="18" t="n"/>
    </row>
    <row r="656">
      <c r="A656" s="18">
        <f>IF(ISNUMBER(Dossiers!$D$16),Dossiers!$A$16&amp;" · "&amp;Dossiers!$B$16,"")</f>
        <v/>
      </c>
      <c r="B656" s="18">
        <f>IF($A656="","",Paramètres!G8)</f>
        <v/>
      </c>
      <c r="C656" s="18">
        <f>IF($A656="","",IF(Paramètres!H8="","",Paramètres!H8))</f>
        <v/>
      </c>
      <c r="D656" s="18">
        <f>IF($A656="","",IF(Paramètres!I8="","",Paramètres!I8))</f>
        <v/>
      </c>
      <c r="E656" s="19">
        <f>IF($A656="","",IF(Paramètres!J8&amp;Paramètres!L8&amp;Paramètres!N8="",Dossiers!$D$16,MAX(IF(Paramètres!J8="",0,IF(Paramètres!K8="",NA(),IF(LEFT(TRIM(Paramètres!K8),1)="F",INDEX($F$653:$F$705,MATCH(Paramètres!J8,Paramètres!$G$5:$G$57,0)),INDEX($E$653:$E$705,MATCH(Paramètres!J8,Paramètres!$G$5:$G$57,0)))+IF(RIGHT(TRIM(Paramètres!K8),3)="Fin",1-$H656,IF(LEFT(TRIM(Paramètres!K8),1)="F",1,0)))),IF(Paramètres!L8="",0,IF(Paramètres!M8="",NA(),IF(LEFT(TRIM(Paramètres!M8),1)="F",INDEX($F$653:$F$705,MATCH(Paramètres!L8,Paramètres!$G$5:$G$57,0)),INDEX($E$653:$E$705,MATCH(Paramètres!L8,Paramètres!$G$5:$G$57,0)))+IF(RIGHT(TRIM(Paramètres!M8),3)="Fin",1-$H656,IF(LEFT(TRIM(Paramètres!M8),1)="F",1,0)))),IF(Paramètres!N8="",0,IF(Paramètres!O8="",NA(),IF(LEFT(TRIM(Paramètres!O8),1)="F",INDEX($F$653:$F$705,MATCH(Paramètres!N8,Paramètres!$G$5:$G$57,0)),INDEX($E$653:$E$705,MATCH(Paramètres!N8,Paramètres!$G$5:$G$57,0)))+IF(RIGHT(TRIM(Paramètres!O8),3)="Fin",1-$H656,IF(LEFT(TRIM(Paramètres!O8),1)="F",1,0)))))))</f>
        <v/>
      </c>
      <c r="F656" s="19">
        <f>IF($A656="","",E656+$H656-1)</f>
        <v/>
      </c>
      <c r="G656" s="18" t="n"/>
      <c r="H656" s="18">
        <f>IF($A656="","",IF(I656&lt;&gt;"",I656,Paramètres!B8))</f>
        <v/>
      </c>
      <c r="I656" s="18" t="n"/>
    </row>
    <row r="657">
      <c r="A657" s="18">
        <f>IF(ISNUMBER(Dossiers!$D$16),Dossiers!$A$16&amp;" · "&amp;Dossiers!$B$16,"")</f>
        <v/>
      </c>
      <c r="B657" s="18">
        <f>IF($A657="","",Paramètres!G9)</f>
        <v/>
      </c>
      <c r="C657" s="18">
        <f>IF($A657="","",IF(Paramètres!H9="","",Paramètres!H9))</f>
        <v/>
      </c>
      <c r="D657" s="18">
        <f>IF($A657="","",IF(Paramètres!I9="","",Paramètres!I9))</f>
        <v/>
      </c>
      <c r="E657" s="19">
        <f>IF($A657="","",IF(Paramètres!J9&amp;Paramètres!L9&amp;Paramètres!N9="",Dossiers!$D$16,MAX(IF(Paramètres!J9="",0,IF(Paramètres!K9="",NA(),IF(LEFT(TRIM(Paramètres!K9),1)="F",INDEX($F$653:$F$705,MATCH(Paramètres!J9,Paramètres!$G$5:$G$57,0)),INDEX($E$653:$E$705,MATCH(Paramètres!J9,Paramètres!$G$5:$G$57,0)))+IF(RIGHT(TRIM(Paramètres!K9),3)="Fin",1-$H657,IF(LEFT(TRIM(Paramètres!K9),1)="F",1,0)))),IF(Paramètres!L9="",0,IF(Paramètres!M9="",NA(),IF(LEFT(TRIM(Paramètres!M9),1)="F",INDEX($F$653:$F$705,MATCH(Paramètres!L9,Paramètres!$G$5:$G$57,0)),INDEX($E$653:$E$705,MATCH(Paramètres!L9,Paramètres!$G$5:$G$57,0)))+IF(RIGHT(TRIM(Paramètres!M9),3)="Fin",1-$H657,IF(LEFT(TRIM(Paramètres!M9),1)="F",1,0)))),IF(Paramètres!N9="",0,IF(Paramètres!O9="",NA(),IF(LEFT(TRIM(Paramètres!O9),1)="F",INDEX($F$653:$F$705,MATCH(Paramètres!N9,Paramètres!$G$5:$G$57,0)),INDEX($E$653:$E$705,MATCH(Paramètres!N9,Paramètres!$G$5:$G$57,0)))+IF(RIGHT(TRIM(Paramètres!O9),3)="Fin",1-$H657,IF(LEFT(TRIM(Paramètres!O9),1)="F",1,0)))))))</f>
        <v/>
      </c>
      <c r="F657" s="19">
        <f>IF($A657="","",E657+$H657-1)</f>
        <v/>
      </c>
      <c r="G657" s="18" t="n"/>
      <c r="H657" s="18">
        <f>IF($A657="","",IF(I657&lt;&gt;"",I657,Paramètres!B9))</f>
        <v/>
      </c>
      <c r="I657" s="18" t="n"/>
    </row>
    <row r="658">
      <c r="A658" s="18">
        <f>IF(ISNUMBER(Dossiers!$D$16),Dossiers!$A$16&amp;" · "&amp;Dossiers!$B$16,"")</f>
        <v/>
      </c>
      <c r="B658" s="18">
        <f>IF($A658="","",Paramètres!G10)</f>
        <v/>
      </c>
      <c r="C658" s="18">
        <f>IF($A658="","",IF(Paramètres!H10="","",Paramètres!H10))</f>
        <v/>
      </c>
      <c r="D658" s="18">
        <f>IF($A658="","",IF(Paramètres!I10="","",Paramètres!I10))</f>
        <v/>
      </c>
      <c r="E658" s="19">
        <f>IF($A658="","",MIN(E659:E662))</f>
        <v/>
      </c>
      <c r="F658" s="19">
        <f>IF($A658="","",MAX(F659:F662))</f>
        <v/>
      </c>
      <c r="G658" s="18" t="n"/>
      <c r="H658" s="18">
        <f>IF($A658="","",F658-E658+1)</f>
        <v/>
      </c>
      <c r="I658" s="18" t="n"/>
    </row>
    <row r="659">
      <c r="A659" s="18">
        <f>IF(ISNUMBER(Dossiers!$D$16),Dossiers!$A$16&amp;" · "&amp;Dossiers!$B$16,"")</f>
        <v/>
      </c>
      <c r="B659" s="18">
        <f>IF($A659="","",Paramètres!G11)</f>
        <v/>
      </c>
      <c r="C659" s="18">
        <f>IF($A659="","",IF(Paramètres!H11="","",Paramètres!H11))</f>
        <v/>
      </c>
      <c r="D659" s="18">
        <f>IF($A659="","",IF(Paramètres!I11="","",Paramètres!I11))</f>
        <v/>
      </c>
      <c r="E659" s="19">
        <f>IF($A659="","",IF(Paramètres!J11&amp;Paramètres!L11&amp;Paramètres!N11="",Dossiers!$D$16,MAX(IF(Paramètres!J11="",0,IF(Paramètres!K11="",NA(),IF(LEFT(TRIM(Paramètres!K11),1)="F",INDEX($F$653:$F$705,MATCH(Paramètres!J11,Paramètres!$G$5:$G$57,0)),INDEX($E$653:$E$705,MATCH(Paramètres!J11,Paramètres!$G$5:$G$57,0)))+IF(RIGHT(TRIM(Paramètres!K11),3)="Fin",1-$H659,IF(LEFT(TRIM(Paramètres!K11),1)="F",1,0)))),IF(Paramètres!L11="",0,IF(Paramètres!M11="",NA(),IF(LEFT(TRIM(Paramètres!M11),1)="F",INDEX($F$653:$F$705,MATCH(Paramètres!L11,Paramètres!$G$5:$G$57,0)),INDEX($E$653:$E$705,MATCH(Paramètres!L11,Paramètres!$G$5:$G$57,0)))+IF(RIGHT(TRIM(Paramètres!M11),3)="Fin",1-$H659,IF(LEFT(TRIM(Paramètres!M11),1)="F",1,0)))),IF(Paramètres!N11="",0,IF(Paramètres!O11="",NA(),IF(LEFT(TRIM(Paramètres!O11),1)="F",INDEX($F$653:$F$705,MATCH(Paramètres!N11,Paramètres!$G$5:$G$57,0)),INDEX($E$653:$E$705,MATCH(Paramètres!N11,Paramètres!$G$5:$G$57,0)))+IF(RIGHT(TRIM(Paramètres!O11),3)="Fin",1-$H659,IF(LEFT(TRIM(Paramètres!O11),1)="F",1,0)))))))</f>
        <v/>
      </c>
      <c r="F659" s="19">
        <f>IF($A659="","",E659+$H659-1)</f>
        <v/>
      </c>
      <c r="G659" s="18" t="n"/>
      <c r="H659" s="18">
        <f>IF($A659="","",IF(I659&lt;&gt;"",I659,Paramètres!B11))</f>
        <v/>
      </c>
      <c r="I659" s="18" t="n"/>
    </row>
    <row r="660">
      <c r="A660" s="18">
        <f>IF(ISNUMBER(Dossiers!$D$16),Dossiers!$A$16&amp;" · "&amp;Dossiers!$B$16,"")</f>
        <v/>
      </c>
      <c r="B660" s="18">
        <f>IF($A660="","",Paramètres!G12)</f>
        <v/>
      </c>
      <c r="C660" s="18">
        <f>IF($A660="","",IF(Paramètres!H12="","",Paramètres!H12))</f>
        <v/>
      </c>
      <c r="D660" s="18">
        <f>IF($A660="","",IF(Paramètres!I12="","",Paramètres!I12))</f>
        <v/>
      </c>
      <c r="E660" s="19">
        <f>IF($A660="","",IF(Paramètres!J12&amp;Paramètres!L12&amp;Paramètres!N12="",Dossiers!$D$16,MAX(IF(Paramètres!J12="",0,IF(Paramètres!K12="",NA(),IF(LEFT(TRIM(Paramètres!K12),1)="F",INDEX($F$653:$F$705,MATCH(Paramètres!J12,Paramètres!$G$5:$G$57,0)),INDEX($E$653:$E$705,MATCH(Paramètres!J12,Paramètres!$G$5:$G$57,0)))+IF(RIGHT(TRIM(Paramètres!K12),3)="Fin",1-$H660,IF(LEFT(TRIM(Paramètres!K12),1)="F",1,0)))),IF(Paramètres!L12="",0,IF(Paramètres!M12="",NA(),IF(LEFT(TRIM(Paramètres!M12),1)="F",INDEX($F$653:$F$705,MATCH(Paramètres!L12,Paramètres!$G$5:$G$57,0)),INDEX($E$653:$E$705,MATCH(Paramètres!L12,Paramètres!$G$5:$G$57,0)))+IF(RIGHT(TRIM(Paramètres!M12),3)="Fin",1-$H660,IF(LEFT(TRIM(Paramètres!M12),1)="F",1,0)))),IF(Paramètres!N12="",0,IF(Paramètres!O12="",NA(),IF(LEFT(TRIM(Paramètres!O12),1)="F",INDEX($F$653:$F$705,MATCH(Paramètres!N12,Paramètres!$G$5:$G$57,0)),INDEX($E$653:$E$705,MATCH(Paramètres!N12,Paramètres!$G$5:$G$57,0)))+IF(RIGHT(TRIM(Paramètres!O12),3)="Fin",1-$H660,IF(LEFT(TRIM(Paramètres!O12),1)="F",1,0)))))))</f>
        <v/>
      </c>
      <c r="F660" s="19">
        <f>IF($A660="","",E660+$H660-1)</f>
        <v/>
      </c>
      <c r="G660" s="18" t="n"/>
      <c r="H660" s="18">
        <f>IF($A660="","",IF(I660&lt;&gt;"",I660,Paramètres!B12))</f>
        <v/>
      </c>
      <c r="I660" s="18" t="n"/>
    </row>
    <row r="661">
      <c r="A661" s="18">
        <f>IF(ISNUMBER(Dossiers!$D$16),Dossiers!$A$16&amp;" · "&amp;Dossiers!$B$16,"")</f>
        <v/>
      </c>
      <c r="B661" s="18">
        <f>IF($A661="","",Paramètres!G13)</f>
        <v/>
      </c>
      <c r="C661" s="18">
        <f>IF($A661="","",IF(Paramètres!H13="","",Paramètres!H13))</f>
        <v/>
      </c>
      <c r="D661" s="18">
        <f>IF($A661="","",IF(Paramètres!I13="","",Paramètres!I13))</f>
        <v/>
      </c>
      <c r="E661" s="19">
        <f>IF($A661="","",IF(Paramètres!J13&amp;Paramètres!L13&amp;Paramètres!N13="",Dossiers!$D$16,MAX(IF(Paramètres!J13="",0,IF(Paramètres!K13="",NA(),IF(LEFT(TRIM(Paramètres!K13),1)="F",INDEX($F$653:$F$705,MATCH(Paramètres!J13,Paramètres!$G$5:$G$57,0)),INDEX($E$653:$E$705,MATCH(Paramètres!J13,Paramètres!$G$5:$G$57,0)))+IF(RIGHT(TRIM(Paramètres!K13),3)="Fin",1-$H661,IF(LEFT(TRIM(Paramètres!K13),1)="F",1,0)))),IF(Paramètres!L13="",0,IF(Paramètres!M13="",NA(),IF(LEFT(TRIM(Paramètres!M13),1)="F",INDEX($F$653:$F$705,MATCH(Paramètres!L13,Paramètres!$G$5:$G$57,0)),INDEX($E$653:$E$705,MATCH(Paramètres!L13,Paramètres!$G$5:$G$57,0)))+IF(RIGHT(TRIM(Paramètres!M13),3)="Fin",1-$H661,IF(LEFT(TRIM(Paramètres!M13),1)="F",1,0)))),IF(Paramètres!N13="",0,IF(Paramètres!O13="",NA(),IF(LEFT(TRIM(Paramètres!O13),1)="F",INDEX($F$653:$F$705,MATCH(Paramètres!N13,Paramètres!$G$5:$G$57,0)),INDEX($E$653:$E$705,MATCH(Paramètres!N13,Paramètres!$G$5:$G$57,0)))+IF(RIGHT(TRIM(Paramètres!O13),3)="Fin",1-$H661,IF(LEFT(TRIM(Paramètres!O13),1)="F",1,0)))))))</f>
        <v/>
      </c>
      <c r="F661" s="19">
        <f>IF($A661="","",E661+$H661-1)</f>
        <v/>
      </c>
      <c r="G661" s="18" t="n"/>
      <c r="H661" s="18">
        <f>IF($A661="","",IF(I661&lt;&gt;"",I661,Paramètres!B13))</f>
        <v/>
      </c>
      <c r="I661" s="18" t="n"/>
    </row>
    <row r="662">
      <c r="A662" s="18">
        <f>IF(ISNUMBER(Dossiers!$D$16),Dossiers!$A$16&amp;" · "&amp;Dossiers!$B$16,"")</f>
        <v/>
      </c>
      <c r="B662" s="18">
        <f>IF($A662="","",Paramètres!G14)</f>
        <v/>
      </c>
      <c r="C662" s="18">
        <f>IF($A662="","",IF(Paramètres!H14="","",Paramètres!H14))</f>
        <v/>
      </c>
      <c r="D662" s="18">
        <f>IF($A662="","",IF(Paramètres!I14="","",Paramètres!I14))</f>
        <v/>
      </c>
      <c r="E662" s="19">
        <f>IF($A662="","",IF(Paramètres!J14&amp;Paramètres!L14&amp;Paramètres!N14="",Dossiers!$D$16,MAX(IF(Paramètres!J14="",0,IF(Paramètres!K14="",NA(),IF(LEFT(TRIM(Paramètres!K14),1)="F",INDEX($F$653:$F$705,MATCH(Paramètres!J14,Paramètres!$G$5:$G$57,0)),INDEX($E$653:$E$705,MATCH(Paramètres!J14,Paramètres!$G$5:$G$57,0)))+IF(RIGHT(TRIM(Paramètres!K14),3)="Fin",1-$H662,IF(LEFT(TRIM(Paramètres!K14),1)="F",1,0)))),IF(Paramètres!L14="",0,IF(Paramètres!M14="",NA(),IF(LEFT(TRIM(Paramètres!M14),1)="F",INDEX($F$653:$F$705,MATCH(Paramètres!L14,Paramètres!$G$5:$G$57,0)),INDEX($E$653:$E$705,MATCH(Paramètres!L14,Paramètres!$G$5:$G$57,0)))+IF(RIGHT(TRIM(Paramètres!M14),3)="Fin",1-$H662,IF(LEFT(TRIM(Paramètres!M14),1)="F",1,0)))),IF(Paramètres!N14="",0,IF(Paramètres!O14="",NA(),IF(LEFT(TRIM(Paramètres!O14),1)="F",INDEX($F$653:$F$705,MATCH(Paramètres!N14,Paramètres!$G$5:$G$57,0)),INDEX($E$653:$E$705,MATCH(Paramètres!N14,Paramètres!$G$5:$G$57,0)))+IF(RIGHT(TRIM(Paramètres!O14),3)="Fin",1-$H662,IF(LEFT(TRIM(Paramètres!O14),1)="F",1,0)))))))</f>
        <v/>
      </c>
      <c r="F662" s="19">
        <f>IF($A662="","",E662+$H662-1)</f>
        <v/>
      </c>
      <c r="G662" s="18" t="n"/>
      <c r="H662" s="18">
        <f>IF($A662="","",IF(I662&lt;&gt;"",I662,Paramètres!B14))</f>
        <v/>
      </c>
      <c r="I662" s="18" t="n"/>
    </row>
    <row r="663">
      <c r="A663" s="18">
        <f>IF(ISNUMBER(Dossiers!$D$16),Dossiers!$A$16&amp;" · "&amp;Dossiers!$B$16,"")</f>
        <v/>
      </c>
      <c r="B663" s="18">
        <f>IF($A663="","",Paramètres!G15)</f>
        <v/>
      </c>
      <c r="C663" s="18">
        <f>IF($A663="","",IF(Paramètres!H15="","",Paramètres!H15))</f>
        <v/>
      </c>
      <c r="D663" s="18">
        <f>IF($A663="","",IF(Paramètres!I15="","",Paramètres!I15))</f>
        <v/>
      </c>
      <c r="E663" s="19">
        <f>IF($A663="","",MIN(E664:E679))</f>
        <v/>
      </c>
      <c r="F663" s="19">
        <f>IF($A663="","",MAX(F664:F679))</f>
        <v/>
      </c>
      <c r="G663" s="18" t="n"/>
      <c r="H663" s="18">
        <f>IF($A663="","",F663-E663+1)</f>
        <v/>
      </c>
      <c r="I663" s="18" t="n"/>
    </row>
    <row r="664">
      <c r="A664" s="18">
        <f>IF(ISNUMBER(Dossiers!$D$16),Dossiers!$A$16&amp;" · "&amp;Dossiers!$B$16,"")</f>
        <v/>
      </c>
      <c r="B664" s="18">
        <f>IF($A664="","",Paramètres!G16)</f>
        <v/>
      </c>
      <c r="C664" s="18">
        <f>IF($A664="","",IF(Paramètres!H16="","",Paramètres!H16))</f>
        <v/>
      </c>
      <c r="D664" s="18">
        <f>IF($A664="","",IF(Paramètres!I16="","",Paramètres!I16))</f>
        <v/>
      </c>
      <c r="E664" s="19">
        <f>IF($A664="","",IF(Paramètres!J16&amp;Paramètres!L16&amp;Paramètres!N16="",Dossiers!$D$16,MAX(IF(Paramètres!J16="",0,IF(Paramètres!K16="",NA(),IF(LEFT(TRIM(Paramètres!K16),1)="F",INDEX($F$653:$F$705,MATCH(Paramètres!J16,Paramètres!$G$5:$G$57,0)),INDEX($E$653:$E$705,MATCH(Paramètres!J16,Paramètres!$G$5:$G$57,0)))+IF(RIGHT(TRIM(Paramètres!K16),3)="Fin",1-$H664,IF(LEFT(TRIM(Paramètres!K16),1)="F",1,0)))),IF(Paramètres!L16="",0,IF(Paramètres!M16="",NA(),IF(LEFT(TRIM(Paramètres!M16),1)="F",INDEX($F$653:$F$705,MATCH(Paramètres!L16,Paramètres!$G$5:$G$57,0)),INDEX($E$653:$E$705,MATCH(Paramètres!L16,Paramètres!$G$5:$G$57,0)))+IF(RIGHT(TRIM(Paramètres!M16),3)="Fin",1-$H664,IF(LEFT(TRIM(Paramètres!M16),1)="F",1,0)))),IF(Paramètres!N16="",0,IF(Paramètres!O16="",NA(),IF(LEFT(TRIM(Paramètres!O16),1)="F",INDEX($F$653:$F$705,MATCH(Paramètres!N16,Paramètres!$G$5:$G$57,0)),INDEX($E$653:$E$705,MATCH(Paramètres!N16,Paramètres!$G$5:$G$57,0)))+IF(RIGHT(TRIM(Paramètres!O16),3)="Fin",1-$H664,IF(LEFT(TRIM(Paramètres!O16),1)="F",1,0)))))))</f>
        <v/>
      </c>
      <c r="F664" s="19">
        <f>IF($A664="","",E664+$H664-1)</f>
        <v/>
      </c>
      <c r="G664" s="18" t="n"/>
      <c r="H664" s="18">
        <f>IF($A664="","",IF(I664&lt;&gt;"",I664,Paramètres!B16))</f>
        <v/>
      </c>
      <c r="I664" s="18" t="n"/>
    </row>
    <row r="665">
      <c r="A665" s="18">
        <f>IF(ISNUMBER(Dossiers!$D$16),Dossiers!$A$16&amp;" · "&amp;Dossiers!$B$16,"")</f>
        <v/>
      </c>
      <c r="B665" s="18">
        <f>IF($A665="","",Paramètres!G17)</f>
        <v/>
      </c>
      <c r="C665" s="18">
        <f>IF($A665="","",IF(Paramètres!H17="","",Paramètres!H17))</f>
        <v/>
      </c>
      <c r="D665" s="18">
        <f>IF($A665="","",IF(Paramètres!I17="","",Paramètres!I17))</f>
        <v/>
      </c>
      <c r="E665" s="19">
        <f>IF($A665="","",IF(Paramètres!J17&amp;Paramètres!L17&amp;Paramètres!N17="",Dossiers!$D$16,MAX(IF(Paramètres!J17="",0,IF(Paramètres!K17="",NA(),IF(LEFT(TRIM(Paramètres!K17),1)="F",INDEX($F$653:$F$705,MATCH(Paramètres!J17,Paramètres!$G$5:$G$57,0)),INDEX($E$653:$E$705,MATCH(Paramètres!J17,Paramètres!$G$5:$G$57,0)))+IF(RIGHT(TRIM(Paramètres!K17),3)="Fin",1-$H665,IF(LEFT(TRIM(Paramètres!K17),1)="F",1,0)))),IF(Paramètres!L17="",0,IF(Paramètres!M17="",NA(),IF(LEFT(TRIM(Paramètres!M17),1)="F",INDEX($F$653:$F$705,MATCH(Paramètres!L17,Paramètres!$G$5:$G$57,0)),INDEX($E$653:$E$705,MATCH(Paramètres!L17,Paramètres!$G$5:$G$57,0)))+IF(RIGHT(TRIM(Paramètres!M17),3)="Fin",1-$H665,IF(LEFT(TRIM(Paramètres!M17),1)="F",1,0)))),IF(Paramètres!N17="",0,IF(Paramètres!O17="",NA(),IF(LEFT(TRIM(Paramètres!O17),1)="F",INDEX($F$653:$F$705,MATCH(Paramètres!N17,Paramètres!$G$5:$G$57,0)),INDEX($E$653:$E$705,MATCH(Paramètres!N17,Paramètres!$G$5:$G$57,0)))+IF(RIGHT(TRIM(Paramètres!O17),3)="Fin",1-$H665,IF(LEFT(TRIM(Paramètres!O17),1)="F",1,0)))))))</f>
        <v/>
      </c>
      <c r="F665" s="19">
        <f>IF($A665="","",E665+$H665-1)</f>
        <v/>
      </c>
      <c r="G665" s="18" t="n"/>
      <c r="H665" s="18">
        <f>IF($A665="","",IF(I665&lt;&gt;"",I665,Paramètres!B17))</f>
        <v/>
      </c>
      <c r="I665" s="18" t="n"/>
    </row>
    <row r="666">
      <c r="A666" s="18">
        <f>IF(ISNUMBER(Dossiers!$D$16),Dossiers!$A$16&amp;" · "&amp;Dossiers!$B$16,"")</f>
        <v/>
      </c>
      <c r="B666" s="18">
        <f>IF($A666="","",Paramètres!G18)</f>
        <v/>
      </c>
      <c r="C666" s="18">
        <f>IF($A666="","",IF(Paramètres!H18="","",Paramètres!H18))</f>
        <v/>
      </c>
      <c r="D666" s="18">
        <f>IF($A666="","",IF(Paramètres!I18="","",Paramètres!I18))</f>
        <v/>
      </c>
      <c r="E666" s="19">
        <f>IF($A666="","",IF(Paramètres!J18&amp;Paramètres!L18&amp;Paramètres!N18="",Dossiers!$D$16,MAX(IF(Paramètres!J18="",0,IF(Paramètres!K18="",NA(),IF(LEFT(TRIM(Paramètres!K18),1)="F",INDEX($F$653:$F$705,MATCH(Paramètres!J18,Paramètres!$G$5:$G$57,0)),INDEX($E$653:$E$705,MATCH(Paramètres!J18,Paramètres!$G$5:$G$57,0)))+IF(RIGHT(TRIM(Paramètres!K18),3)="Fin",1-$H666,IF(LEFT(TRIM(Paramètres!K18),1)="F",1,0)))),IF(Paramètres!L18="",0,IF(Paramètres!M18="",NA(),IF(LEFT(TRIM(Paramètres!M18),1)="F",INDEX($F$653:$F$705,MATCH(Paramètres!L18,Paramètres!$G$5:$G$57,0)),INDEX($E$653:$E$705,MATCH(Paramètres!L18,Paramètres!$G$5:$G$57,0)))+IF(RIGHT(TRIM(Paramètres!M18),3)="Fin",1-$H666,IF(LEFT(TRIM(Paramètres!M18),1)="F",1,0)))),IF(Paramètres!N18="",0,IF(Paramètres!O18="",NA(),IF(LEFT(TRIM(Paramètres!O18),1)="F",INDEX($F$653:$F$705,MATCH(Paramètres!N18,Paramètres!$G$5:$G$57,0)),INDEX($E$653:$E$705,MATCH(Paramètres!N18,Paramètres!$G$5:$G$57,0)))+IF(RIGHT(TRIM(Paramètres!O18),3)="Fin",1-$H666,IF(LEFT(TRIM(Paramètres!O18),1)="F",1,0)))))))</f>
        <v/>
      </c>
      <c r="F666" s="19">
        <f>IF($A666="","",E666+$H666-1)</f>
        <v/>
      </c>
      <c r="G666" s="18" t="n"/>
      <c r="H666" s="18">
        <f>IF($A666="","",IF(I666&lt;&gt;"",I666,Paramètres!B18))</f>
        <v/>
      </c>
      <c r="I666" s="18" t="n"/>
    </row>
    <row r="667">
      <c r="A667" s="18">
        <f>IF(ISNUMBER(Dossiers!$D$16),Dossiers!$A$16&amp;" · "&amp;Dossiers!$B$16,"")</f>
        <v/>
      </c>
      <c r="B667" s="18">
        <f>IF($A667="","",Paramètres!G19)</f>
        <v/>
      </c>
      <c r="C667" s="18">
        <f>IF($A667="","",IF(Paramètres!H19="","",Paramètres!H19))</f>
        <v/>
      </c>
      <c r="D667" s="18">
        <f>IF($A667="","",IF(Paramètres!I19="","",Paramètres!I19))</f>
        <v/>
      </c>
      <c r="E667" s="19">
        <f>IF($A667="","",IF(Paramètres!J19&amp;Paramètres!L19&amp;Paramètres!N19="",Dossiers!$D$16,MAX(IF(Paramètres!J19="",0,IF(Paramètres!K19="",NA(),IF(LEFT(TRIM(Paramètres!K19),1)="F",INDEX($F$653:$F$705,MATCH(Paramètres!J19,Paramètres!$G$5:$G$57,0)),INDEX($E$653:$E$705,MATCH(Paramètres!J19,Paramètres!$G$5:$G$57,0)))+IF(RIGHT(TRIM(Paramètres!K19),3)="Fin",1-$H667,IF(LEFT(TRIM(Paramètres!K19),1)="F",1,0)))),IF(Paramètres!L19="",0,IF(Paramètres!M19="",NA(),IF(LEFT(TRIM(Paramètres!M19),1)="F",INDEX($F$653:$F$705,MATCH(Paramètres!L19,Paramètres!$G$5:$G$57,0)),INDEX($E$653:$E$705,MATCH(Paramètres!L19,Paramètres!$G$5:$G$57,0)))+IF(RIGHT(TRIM(Paramètres!M19),3)="Fin",1-$H667,IF(LEFT(TRIM(Paramètres!M19),1)="F",1,0)))),IF(Paramètres!N19="",0,IF(Paramètres!O19="",NA(),IF(LEFT(TRIM(Paramètres!O19),1)="F",INDEX($F$653:$F$705,MATCH(Paramètres!N19,Paramètres!$G$5:$G$57,0)),INDEX($E$653:$E$705,MATCH(Paramètres!N19,Paramètres!$G$5:$G$57,0)))+IF(RIGHT(TRIM(Paramètres!O19),3)="Fin",1-$H667,IF(LEFT(TRIM(Paramètres!O19),1)="F",1,0)))))))</f>
        <v/>
      </c>
      <c r="F667" s="19">
        <f>IF($A667="","",E667+$H667-1)</f>
        <v/>
      </c>
      <c r="G667" s="18" t="n"/>
      <c r="H667" s="18">
        <f>IF($A667="","",IF(I667&lt;&gt;"",I667,Paramètres!B19))</f>
        <v/>
      </c>
      <c r="I667" s="18" t="n"/>
    </row>
    <row r="668">
      <c r="A668" s="18">
        <f>IF(ISNUMBER(Dossiers!$D$16),Dossiers!$A$16&amp;" · "&amp;Dossiers!$B$16,"")</f>
        <v/>
      </c>
      <c r="B668" s="18">
        <f>IF($A668="","",Paramètres!G20)</f>
        <v/>
      </c>
      <c r="C668" s="18">
        <f>IF($A668="","",IF(Paramètres!H20="","",Paramètres!H20))</f>
        <v/>
      </c>
      <c r="D668" s="18">
        <f>IF($A668="","",IF(Paramètres!I20="","",Paramètres!I20))</f>
        <v/>
      </c>
      <c r="E668" s="19">
        <f>IF($A668="","",IF(Paramètres!J20&amp;Paramètres!L20&amp;Paramètres!N20="",Dossiers!$D$16,MAX(IF(Paramètres!J20="",0,IF(Paramètres!K20="",NA(),IF(LEFT(TRIM(Paramètres!K20),1)="F",INDEX($F$653:$F$705,MATCH(Paramètres!J20,Paramètres!$G$5:$G$57,0)),INDEX($E$653:$E$705,MATCH(Paramètres!J20,Paramètres!$G$5:$G$57,0)))+IF(RIGHT(TRIM(Paramètres!K20),3)="Fin",1-$H668,IF(LEFT(TRIM(Paramètres!K20),1)="F",1,0)))),IF(Paramètres!L20="",0,IF(Paramètres!M20="",NA(),IF(LEFT(TRIM(Paramètres!M20),1)="F",INDEX($F$653:$F$705,MATCH(Paramètres!L20,Paramètres!$G$5:$G$57,0)),INDEX($E$653:$E$705,MATCH(Paramètres!L20,Paramètres!$G$5:$G$57,0)))+IF(RIGHT(TRIM(Paramètres!M20),3)="Fin",1-$H668,IF(LEFT(TRIM(Paramètres!M20),1)="F",1,0)))),IF(Paramètres!N20="",0,IF(Paramètres!O20="",NA(),IF(LEFT(TRIM(Paramètres!O20),1)="F",INDEX($F$653:$F$705,MATCH(Paramètres!N20,Paramètres!$G$5:$G$57,0)),INDEX($E$653:$E$705,MATCH(Paramètres!N20,Paramètres!$G$5:$G$57,0)))+IF(RIGHT(TRIM(Paramètres!O20),3)="Fin",1-$H668,IF(LEFT(TRIM(Paramètres!O20),1)="F",1,0)))))))</f>
        <v/>
      </c>
      <c r="F668" s="19">
        <f>IF($A668="","",E668+$H668-1)</f>
        <v/>
      </c>
      <c r="G668" s="18" t="n"/>
      <c r="H668" s="18">
        <f>IF($A668="","",IF(I668&lt;&gt;"",I668,Paramètres!B20))</f>
        <v/>
      </c>
      <c r="I668" s="18" t="n"/>
    </row>
    <row r="669">
      <c r="A669" s="18">
        <f>IF(ISNUMBER(Dossiers!$D$16),Dossiers!$A$16&amp;" · "&amp;Dossiers!$B$16,"")</f>
        <v/>
      </c>
      <c r="B669" s="18">
        <f>IF($A669="","",Paramètres!G21)</f>
        <v/>
      </c>
      <c r="C669" s="18">
        <f>IF($A669="","",IF(Paramètres!H21="","",Paramètres!H21))</f>
        <v/>
      </c>
      <c r="D669" s="18">
        <f>IF($A669="","",IF(Paramètres!I21="","",Paramètres!I21))</f>
        <v/>
      </c>
      <c r="E669" s="19">
        <f>IF($A669="","",IF(Paramètres!J21&amp;Paramètres!L21&amp;Paramètres!N21="",Dossiers!$D$16,MAX(IF(Paramètres!J21="",0,IF(Paramètres!K21="",NA(),IF(LEFT(TRIM(Paramètres!K21),1)="F",INDEX($F$653:$F$705,MATCH(Paramètres!J21,Paramètres!$G$5:$G$57,0)),INDEX($E$653:$E$705,MATCH(Paramètres!J21,Paramètres!$G$5:$G$57,0)))+IF(RIGHT(TRIM(Paramètres!K21),3)="Fin",1-$H669,IF(LEFT(TRIM(Paramètres!K21),1)="F",1,0)))),IF(Paramètres!L21="",0,IF(Paramètres!M21="",NA(),IF(LEFT(TRIM(Paramètres!M21),1)="F",INDEX($F$653:$F$705,MATCH(Paramètres!L21,Paramètres!$G$5:$G$57,0)),INDEX($E$653:$E$705,MATCH(Paramètres!L21,Paramètres!$G$5:$G$57,0)))+IF(RIGHT(TRIM(Paramètres!M21),3)="Fin",1-$H669,IF(LEFT(TRIM(Paramètres!M21),1)="F",1,0)))),IF(Paramètres!N21="",0,IF(Paramètres!O21="",NA(),IF(LEFT(TRIM(Paramètres!O21),1)="F",INDEX($F$653:$F$705,MATCH(Paramètres!N21,Paramètres!$G$5:$G$57,0)),INDEX($E$653:$E$705,MATCH(Paramètres!N21,Paramètres!$G$5:$G$57,0)))+IF(RIGHT(TRIM(Paramètres!O21),3)="Fin",1-$H669,IF(LEFT(TRIM(Paramètres!O21),1)="F",1,0)))))))</f>
        <v/>
      </c>
      <c r="F669" s="19">
        <f>IF($A669="","",E669+$H669-1)</f>
        <v/>
      </c>
      <c r="G669" s="18" t="n"/>
      <c r="H669" s="18">
        <f>IF($A669="","",IF(I669&lt;&gt;"",I669,Paramètres!B21))</f>
        <v/>
      </c>
      <c r="I669" s="18" t="n"/>
    </row>
    <row r="670">
      <c r="A670" s="18">
        <f>IF(ISNUMBER(Dossiers!$D$16),Dossiers!$A$16&amp;" · "&amp;Dossiers!$B$16,"")</f>
        <v/>
      </c>
      <c r="B670" s="18">
        <f>IF($A670="","",Paramètres!G22)</f>
        <v/>
      </c>
      <c r="C670" s="18">
        <f>IF($A670="","",IF(Paramètres!H22="","",Paramètres!H22))</f>
        <v/>
      </c>
      <c r="D670" s="18">
        <f>IF($A670="","",IF(Paramètres!I22="","",Paramètres!I22))</f>
        <v/>
      </c>
      <c r="E670" s="19">
        <f>IF($A670="","",IF(Paramètres!J22&amp;Paramètres!L22&amp;Paramètres!N22="",Dossiers!$D$16,MAX(IF(Paramètres!J22="",0,IF(Paramètres!K22="",NA(),IF(LEFT(TRIM(Paramètres!K22),1)="F",INDEX($F$653:$F$705,MATCH(Paramètres!J22,Paramètres!$G$5:$G$57,0)),INDEX($E$653:$E$705,MATCH(Paramètres!J22,Paramètres!$G$5:$G$57,0)))+IF(RIGHT(TRIM(Paramètres!K22),3)="Fin",1-$H670,IF(LEFT(TRIM(Paramètres!K22),1)="F",1,0)))),IF(Paramètres!L22="",0,IF(Paramètres!M22="",NA(),IF(LEFT(TRIM(Paramètres!M22),1)="F",INDEX($F$653:$F$705,MATCH(Paramètres!L22,Paramètres!$G$5:$G$57,0)),INDEX($E$653:$E$705,MATCH(Paramètres!L22,Paramètres!$G$5:$G$57,0)))+IF(RIGHT(TRIM(Paramètres!M22),3)="Fin",1-$H670,IF(LEFT(TRIM(Paramètres!M22),1)="F",1,0)))),IF(Paramètres!N22="",0,IF(Paramètres!O22="",NA(),IF(LEFT(TRIM(Paramètres!O22),1)="F",INDEX($F$653:$F$705,MATCH(Paramètres!N22,Paramètres!$G$5:$G$57,0)),INDEX($E$653:$E$705,MATCH(Paramètres!N22,Paramètres!$G$5:$G$57,0)))+IF(RIGHT(TRIM(Paramètres!O22),3)="Fin",1-$H670,IF(LEFT(TRIM(Paramètres!O22),1)="F",1,0)))))))</f>
        <v/>
      </c>
      <c r="F670" s="19">
        <f>IF($A670="","",E670+$H670-1)</f>
        <v/>
      </c>
      <c r="G670" s="18" t="n"/>
      <c r="H670" s="18">
        <f>IF($A670="","",IF(I670&lt;&gt;"",I670,Paramètres!B22))</f>
        <v/>
      </c>
      <c r="I670" s="18" t="n"/>
    </row>
    <row r="671">
      <c r="A671" s="18">
        <f>IF(ISNUMBER(Dossiers!$D$16),Dossiers!$A$16&amp;" · "&amp;Dossiers!$B$16,"")</f>
        <v/>
      </c>
      <c r="B671" s="18">
        <f>IF($A671="","",Paramètres!G23)</f>
        <v/>
      </c>
      <c r="C671" s="18">
        <f>IF($A671="","",IF(Paramètres!H23="","",Paramètres!H23))</f>
        <v/>
      </c>
      <c r="D671" s="18">
        <f>IF($A671="","",IF(Paramètres!I23="","",Paramètres!I23))</f>
        <v/>
      </c>
      <c r="E671" s="19">
        <f>IF($A671="","",IF(Paramètres!J23&amp;Paramètres!L23&amp;Paramètres!N23="",Dossiers!$D$16,MAX(IF(Paramètres!J23="",0,IF(Paramètres!K23="",NA(),IF(LEFT(TRIM(Paramètres!K23),1)="F",INDEX($F$653:$F$705,MATCH(Paramètres!J23,Paramètres!$G$5:$G$57,0)),INDEX($E$653:$E$705,MATCH(Paramètres!J23,Paramètres!$G$5:$G$57,0)))+IF(RIGHT(TRIM(Paramètres!K23),3)="Fin",1-$H671,IF(LEFT(TRIM(Paramètres!K23),1)="F",1,0)))),IF(Paramètres!L23="",0,IF(Paramètres!M23="",NA(),IF(LEFT(TRIM(Paramètres!M23),1)="F",INDEX($F$653:$F$705,MATCH(Paramètres!L23,Paramètres!$G$5:$G$57,0)),INDEX($E$653:$E$705,MATCH(Paramètres!L23,Paramètres!$G$5:$G$57,0)))+IF(RIGHT(TRIM(Paramètres!M23),3)="Fin",1-$H671,IF(LEFT(TRIM(Paramètres!M23),1)="F",1,0)))),IF(Paramètres!N23="",0,IF(Paramètres!O23="",NA(),IF(LEFT(TRIM(Paramètres!O23),1)="F",INDEX($F$653:$F$705,MATCH(Paramètres!N23,Paramètres!$G$5:$G$57,0)),INDEX($E$653:$E$705,MATCH(Paramètres!N23,Paramètres!$G$5:$G$57,0)))+IF(RIGHT(TRIM(Paramètres!O23),3)="Fin",1-$H671,IF(LEFT(TRIM(Paramètres!O23),1)="F",1,0)))))))</f>
        <v/>
      </c>
      <c r="F671" s="19">
        <f>IF($A671="","",E671+$H671-1)</f>
        <v/>
      </c>
      <c r="G671" s="18" t="n"/>
      <c r="H671" s="18">
        <f>IF($A671="","",IF(I671&lt;&gt;"",I671,Paramètres!B23))</f>
        <v/>
      </c>
      <c r="I671" s="18" t="n"/>
    </row>
    <row r="672">
      <c r="A672" s="18">
        <f>IF(ISNUMBER(Dossiers!$D$16),Dossiers!$A$16&amp;" · "&amp;Dossiers!$B$16,"")</f>
        <v/>
      </c>
      <c r="B672" s="18">
        <f>IF($A672="","",Paramètres!G24)</f>
        <v/>
      </c>
      <c r="C672" s="18">
        <f>IF($A672="","",IF(Paramètres!H24="","",Paramètres!H24))</f>
        <v/>
      </c>
      <c r="D672" s="18">
        <f>IF($A672="","",IF(Paramètres!I24="","",Paramètres!I24))</f>
        <v/>
      </c>
      <c r="E672" s="19">
        <f>IF($A672="","",IF(Paramètres!J24&amp;Paramètres!L24&amp;Paramètres!N24="",Dossiers!$D$16,MAX(IF(Paramètres!J24="",0,IF(Paramètres!K24="",NA(),IF(LEFT(TRIM(Paramètres!K24),1)="F",INDEX($F$653:$F$705,MATCH(Paramètres!J24,Paramètres!$G$5:$G$57,0)),INDEX($E$653:$E$705,MATCH(Paramètres!J24,Paramètres!$G$5:$G$57,0)))+IF(RIGHT(TRIM(Paramètres!K24),3)="Fin",1-$H672,IF(LEFT(TRIM(Paramètres!K24),1)="F",1,0)))),IF(Paramètres!L24="",0,IF(Paramètres!M24="",NA(),IF(LEFT(TRIM(Paramètres!M24),1)="F",INDEX($F$653:$F$705,MATCH(Paramètres!L24,Paramètres!$G$5:$G$57,0)),INDEX($E$653:$E$705,MATCH(Paramètres!L24,Paramètres!$G$5:$G$57,0)))+IF(RIGHT(TRIM(Paramètres!M24),3)="Fin",1-$H672,IF(LEFT(TRIM(Paramètres!M24),1)="F",1,0)))),IF(Paramètres!N24="",0,IF(Paramètres!O24="",NA(),IF(LEFT(TRIM(Paramètres!O24),1)="F",INDEX($F$653:$F$705,MATCH(Paramètres!N24,Paramètres!$G$5:$G$57,0)),INDEX($E$653:$E$705,MATCH(Paramètres!N24,Paramètres!$G$5:$G$57,0)))+IF(RIGHT(TRIM(Paramètres!O24),3)="Fin",1-$H672,IF(LEFT(TRIM(Paramètres!O24),1)="F",1,0)))))))</f>
        <v/>
      </c>
      <c r="F672" s="19">
        <f>IF($A672="","",E672+$H672-1)</f>
        <v/>
      </c>
      <c r="G672" s="18" t="n"/>
      <c r="H672" s="18">
        <f>IF($A672="","",IF(I672&lt;&gt;"",I672,Paramètres!B24))</f>
        <v/>
      </c>
      <c r="I672" s="18" t="n"/>
    </row>
    <row r="673">
      <c r="A673" s="18">
        <f>IF(ISNUMBER(Dossiers!$D$16),Dossiers!$A$16&amp;" · "&amp;Dossiers!$B$16,"")</f>
        <v/>
      </c>
      <c r="B673" s="18">
        <f>IF($A673="","",Paramètres!G25)</f>
        <v/>
      </c>
      <c r="C673" s="18">
        <f>IF($A673="","",IF(Paramètres!H25="","",Paramètres!H25))</f>
        <v/>
      </c>
      <c r="D673" s="18">
        <f>IF($A673="","",IF(Paramètres!I25="","",Paramètres!I25))</f>
        <v/>
      </c>
      <c r="E673" s="19">
        <f>IF($A673="","",IF(Paramètres!J25&amp;Paramètres!L25&amp;Paramètres!N25="",Dossiers!$D$16,MAX(IF(Paramètres!J25="",0,IF(Paramètres!K25="",NA(),IF(LEFT(TRIM(Paramètres!K25),1)="F",INDEX($F$653:$F$705,MATCH(Paramètres!J25,Paramètres!$G$5:$G$57,0)),INDEX($E$653:$E$705,MATCH(Paramètres!J25,Paramètres!$G$5:$G$57,0)))+IF(RIGHT(TRIM(Paramètres!K25),3)="Fin",1-$H673,IF(LEFT(TRIM(Paramètres!K25),1)="F",1,0)))),IF(Paramètres!L25="",0,IF(Paramètres!M25="",NA(),IF(LEFT(TRIM(Paramètres!M25),1)="F",INDEX($F$653:$F$705,MATCH(Paramètres!L25,Paramètres!$G$5:$G$57,0)),INDEX($E$653:$E$705,MATCH(Paramètres!L25,Paramètres!$G$5:$G$57,0)))+IF(RIGHT(TRIM(Paramètres!M25),3)="Fin",1-$H673,IF(LEFT(TRIM(Paramètres!M25),1)="F",1,0)))),IF(Paramètres!N25="",0,IF(Paramètres!O25="",NA(),IF(LEFT(TRIM(Paramètres!O25),1)="F",INDEX($F$653:$F$705,MATCH(Paramètres!N25,Paramètres!$G$5:$G$57,0)),INDEX($E$653:$E$705,MATCH(Paramètres!N25,Paramètres!$G$5:$G$57,0)))+IF(RIGHT(TRIM(Paramètres!O25),3)="Fin",1-$H673,IF(LEFT(TRIM(Paramètres!O25),1)="F",1,0)))))))</f>
        <v/>
      </c>
      <c r="F673" s="19">
        <f>IF($A673="","",E673+$H673-1)</f>
        <v/>
      </c>
      <c r="G673" s="18" t="n"/>
      <c r="H673" s="18">
        <f>IF($A673="","",IF(I673&lt;&gt;"",I673,Paramètres!B25))</f>
        <v/>
      </c>
      <c r="I673" s="18" t="n"/>
    </row>
    <row r="674">
      <c r="A674" s="18">
        <f>IF(ISNUMBER(Dossiers!$D$16),Dossiers!$A$16&amp;" · "&amp;Dossiers!$B$16,"")</f>
        <v/>
      </c>
      <c r="B674" s="18">
        <f>IF($A674="","",Paramètres!G26)</f>
        <v/>
      </c>
      <c r="C674" s="18">
        <f>IF($A674="","",IF(Paramètres!H26="","",Paramètres!H26))</f>
        <v/>
      </c>
      <c r="D674" s="18">
        <f>IF($A674="","",IF(Paramètres!I26="","",Paramètres!I26))</f>
        <v/>
      </c>
      <c r="E674" s="19">
        <f>IF($A674="","",IF(Paramètres!J26&amp;Paramètres!L26&amp;Paramètres!N26="",Dossiers!$D$16,MAX(IF(Paramètres!J26="",0,IF(Paramètres!K26="",NA(),IF(LEFT(TRIM(Paramètres!K26),1)="F",INDEX($F$653:$F$705,MATCH(Paramètres!J26,Paramètres!$G$5:$G$57,0)),INDEX($E$653:$E$705,MATCH(Paramètres!J26,Paramètres!$G$5:$G$57,0)))+IF(RIGHT(TRIM(Paramètres!K26),3)="Fin",1-$H674,IF(LEFT(TRIM(Paramètres!K26),1)="F",1,0)))),IF(Paramètres!L26="",0,IF(Paramètres!M26="",NA(),IF(LEFT(TRIM(Paramètres!M26),1)="F",INDEX($F$653:$F$705,MATCH(Paramètres!L26,Paramètres!$G$5:$G$57,0)),INDEX($E$653:$E$705,MATCH(Paramètres!L26,Paramètres!$G$5:$G$57,0)))+IF(RIGHT(TRIM(Paramètres!M26),3)="Fin",1-$H674,IF(LEFT(TRIM(Paramètres!M26),1)="F",1,0)))),IF(Paramètres!N26="",0,IF(Paramètres!O26="",NA(),IF(LEFT(TRIM(Paramètres!O26),1)="F",INDEX($F$653:$F$705,MATCH(Paramètres!N26,Paramètres!$G$5:$G$57,0)),INDEX($E$653:$E$705,MATCH(Paramètres!N26,Paramètres!$G$5:$G$57,0)))+IF(RIGHT(TRIM(Paramètres!O26),3)="Fin",1-$H674,IF(LEFT(TRIM(Paramètres!O26),1)="F",1,0)))))))</f>
        <v/>
      </c>
      <c r="F674" s="19">
        <f>IF($A674="","",E674+$H674-1)</f>
        <v/>
      </c>
      <c r="G674" s="18" t="n"/>
      <c r="H674" s="18">
        <f>IF($A674="","",IF(I674&lt;&gt;"",I674,Paramètres!B26))</f>
        <v/>
      </c>
      <c r="I674" s="18" t="n"/>
    </row>
    <row r="675">
      <c r="A675" s="18">
        <f>IF(ISNUMBER(Dossiers!$D$16),Dossiers!$A$16&amp;" · "&amp;Dossiers!$B$16,"")</f>
        <v/>
      </c>
      <c r="B675" s="18">
        <f>IF($A675="","",Paramètres!G27)</f>
        <v/>
      </c>
      <c r="C675" s="18">
        <f>IF($A675="","",IF(Paramètres!H27="","",Paramètres!H27))</f>
        <v/>
      </c>
      <c r="D675" s="18">
        <f>IF($A675="","",IF(Paramètres!I27="","",Paramètres!I27))</f>
        <v/>
      </c>
      <c r="E675" s="19">
        <f>IF($A675="","",IF(Paramètres!J27&amp;Paramètres!L27&amp;Paramètres!N27="",Dossiers!$D$16,MAX(IF(Paramètres!J27="",0,IF(Paramètres!K27="",NA(),IF(LEFT(TRIM(Paramètres!K27),1)="F",INDEX($F$653:$F$705,MATCH(Paramètres!J27,Paramètres!$G$5:$G$57,0)),INDEX($E$653:$E$705,MATCH(Paramètres!J27,Paramètres!$G$5:$G$57,0)))+IF(RIGHT(TRIM(Paramètres!K27),3)="Fin",1-$H675,IF(LEFT(TRIM(Paramètres!K27),1)="F",1,0)))),IF(Paramètres!L27="",0,IF(Paramètres!M27="",NA(),IF(LEFT(TRIM(Paramètres!M27),1)="F",INDEX($F$653:$F$705,MATCH(Paramètres!L27,Paramètres!$G$5:$G$57,0)),INDEX($E$653:$E$705,MATCH(Paramètres!L27,Paramètres!$G$5:$G$57,0)))+IF(RIGHT(TRIM(Paramètres!M27),3)="Fin",1-$H675,IF(LEFT(TRIM(Paramètres!M27),1)="F",1,0)))),IF(Paramètres!N27="",0,IF(Paramètres!O27="",NA(),IF(LEFT(TRIM(Paramètres!O27),1)="F",INDEX($F$653:$F$705,MATCH(Paramètres!N27,Paramètres!$G$5:$G$57,0)),INDEX($E$653:$E$705,MATCH(Paramètres!N27,Paramètres!$G$5:$G$57,0)))+IF(RIGHT(TRIM(Paramètres!O27),3)="Fin",1-$H675,IF(LEFT(TRIM(Paramètres!O27),1)="F",1,0)))))))</f>
        <v/>
      </c>
      <c r="F675" s="19">
        <f>IF($A675="","",E675+$H675-1)</f>
        <v/>
      </c>
      <c r="G675" s="18" t="n"/>
      <c r="H675" s="18">
        <f>IF($A675="","",IF(I675&lt;&gt;"",I675,Paramètres!B27))</f>
        <v/>
      </c>
      <c r="I675" s="18" t="n"/>
    </row>
    <row r="676">
      <c r="A676" s="18">
        <f>IF(ISNUMBER(Dossiers!$D$16),Dossiers!$A$16&amp;" · "&amp;Dossiers!$B$16,"")</f>
        <v/>
      </c>
      <c r="B676" s="18">
        <f>IF($A676="","",Paramètres!G28)</f>
        <v/>
      </c>
      <c r="C676" s="18">
        <f>IF($A676="","",IF(Paramètres!H28="","",Paramètres!H28))</f>
        <v/>
      </c>
      <c r="D676" s="18">
        <f>IF($A676="","",IF(Paramètres!I28="","",Paramètres!I28))</f>
        <v/>
      </c>
      <c r="E676" s="19">
        <f>IF($A676="","",IF(Paramètres!J28&amp;Paramètres!L28&amp;Paramètres!N28="",Dossiers!$D$16,MAX(IF(Paramètres!J28="",0,IF(Paramètres!K28="",NA(),IF(LEFT(TRIM(Paramètres!K28),1)="F",INDEX($F$653:$F$705,MATCH(Paramètres!J28,Paramètres!$G$5:$G$57,0)),INDEX($E$653:$E$705,MATCH(Paramètres!J28,Paramètres!$G$5:$G$57,0)))+IF(RIGHT(TRIM(Paramètres!K28),3)="Fin",1-$H676,IF(LEFT(TRIM(Paramètres!K28),1)="F",1,0)))),IF(Paramètres!L28="",0,IF(Paramètres!M28="",NA(),IF(LEFT(TRIM(Paramètres!M28),1)="F",INDEX($F$653:$F$705,MATCH(Paramètres!L28,Paramètres!$G$5:$G$57,0)),INDEX($E$653:$E$705,MATCH(Paramètres!L28,Paramètres!$G$5:$G$57,0)))+IF(RIGHT(TRIM(Paramètres!M28),3)="Fin",1-$H676,IF(LEFT(TRIM(Paramètres!M28),1)="F",1,0)))),IF(Paramètres!N28="",0,IF(Paramètres!O28="",NA(),IF(LEFT(TRIM(Paramètres!O28),1)="F",INDEX($F$653:$F$705,MATCH(Paramètres!N28,Paramètres!$G$5:$G$57,0)),INDEX($E$653:$E$705,MATCH(Paramètres!N28,Paramètres!$G$5:$G$57,0)))+IF(RIGHT(TRIM(Paramètres!O28),3)="Fin",1-$H676,IF(LEFT(TRIM(Paramètres!O28),1)="F",1,0)))))))</f>
        <v/>
      </c>
      <c r="F676" s="19">
        <f>IF($A676="","",E676+$H676-1)</f>
        <v/>
      </c>
      <c r="G676" s="18" t="n"/>
      <c r="H676" s="18">
        <f>IF($A676="","",IF(I676&lt;&gt;"",I676,Paramètres!B28))</f>
        <v/>
      </c>
      <c r="I676" s="18" t="n"/>
    </row>
    <row r="677">
      <c r="A677" s="18">
        <f>IF(ISNUMBER(Dossiers!$D$16),Dossiers!$A$16&amp;" · "&amp;Dossiers!$B$16,"")</f>
        <v/>
      </c>
      <c r="B677" s="18">
        <f>IF($A677="","",Paramètres!G29)</f>
        <v/>
      </c>
      <c r="C677" s="18">
        <f>IF($A677="","",IF(Paramètres!H29="","",Paramètres!H29))</f>
        <v/>
      </c>
      <c r="D677" s="18">
        <f>IF($A677="","",IF(Paramètres!I29="","",Paramètres!I29))</f>
        <v/>
      </c>
      <c r="E677" s="19">
        <f>IF($A677="","",IF(Paramètres!J29&amp;Paramètres!L29&amp;Paramètres!N29="",Dossiers!$D$16,MAX(IF(Paramètres!J29="",0,IF(Paramètres!K29="",NA(),IF(LEFT(TRIM(Paramètres!K29),1)="F",INDEX($F$653:$F$705,MATCH(Paramètres!J29,Paramètres!$G$5:$G$57,0)),INDEX($E$653:$E$705,MATCH(Paramètres!J29,Paramètres!$G$5:$G$57,0)))+IF(RIGHT(TRIM(Paramètres!K29),3)="Fin",1-$H677,IF(LEFT(TRIM(Paramètres!K29),1)="F",1,0)))),IF(Paramètres!L29="",0,IF(Paramètres!M29="",NA(),IF(LEFT(TRIM(Paramètres!M29),1)="F",INDEX($F$653:$F$705,MATCH(Paramètres!L29,Paramètres!$G$5:$G$57,0)),INDEX($E$653:$E$705,MATCH(Paramètres!L29,Paramètres!$G$5:$G$57,0)))+IF(RIGHT(TRIM(Paramètres!M29),3)="Fin",1-$H677,IF(LEFT(TRIM(Paramètres!M29),1)="F",1,0)))),IF(Paramètres!N29="",0,IF(Paramètres!O29="",NA(),IF(LEFT(TRIM(Paramètres!O29),1)="F",INDEX($F$653:$F$705,MATCH(Paramètres!N29,Paramètres!$G$5:$G$57,0)),INDEX($E$653:$E$705,MATCH(Paramètres!N29,Paramètres!$G$5:$G$57,0)))+IF(RIGHT(TRIM(Paramètres!O29),3)="Fin",1-$H677,IF(LEFT(TRIM(Paramètres!O29),1)="F",1,0)))))))</f>
        <v/>
      </c>
      <c r="F677" s="19">
        <f>IF($A677="","",E677+$H677-1)</f>
        <v/>
      </c>
      <c r="G677" s="18" t="n"/>
      <c r="H677" s="18">
        <f>IF($A677="","",IF(I677&lt;&gt;"",I677,Paramètres!B29))</f>
        <v/>
      </c>
      <c r="I677" s="18" t="n"/>
    </row>
    <row r="678">
      <c r="A678" s="18">
        <f>IF(ISNUMBER(Dossiers!$D$16),Dossiers!$A$16&amp;" · "&amp;Dossiers!$B$16,"")</f>
        <v/>
      </c>
      <c r="B678" s="18">
        <f>IF($A678="","",Paramètres!G30)</f>
        <v/>
      </c>
      <c r="C678" s="18">
        <f>IF($A678="","",IF(Paramètres!H30="","",Paramètres!H30))</f>
        <v/>
      </c>
      <c r="D678" s="18">
        <f>IF($A678="","",IF(Paramètres!I30="","",Paramètres!I30))</f>
        <v/>
      </c>
      <c r="E678" s="19">
        <f>IF($A678="","",IF(Paramètres!J30&amp;Paramètres!L30&amp;Paramètres!N30="",Dossiers!$D$16,MAX(IF(Paramètres!J30="",0,IF(Paramètres!K30="",NA(),IF(LEFT(TRIM(Paramètres!K30),1)="F",INDEX($F$653:$F$705,MATCH(Paramètres!J30,Paramètres!$G$5:$G$57,0)),INDEX($E$653:$E$705,MATCH(Paramètres!J30,Paramètres!$G$5:$G$57,0)))+IF(RIGHT(TRIM(Paramètres!K30),3)="Fin",1-$H678,IF(LEFT(TRIM(Paramètres!K30),1)="F",1,0)))),IF(Paramètres!L30="",0,IF(Paramètres!M30="",NA(),IF(LEFT(TRIM(Paramètres!M30),1)="F",INDEX($F$653:$F$705,MATCH(Paramètres!L30,Paramètres!$G$5:$G$57,0)),INDEX($E$653:$E$705,MATCH(Paramètres!L30,Paramètres!$G$5:$G$57,0)))+IF(RIGHT(TRIM(Paramètres!M30),3)="Fin",1-$H678,IF(LEFT(TRIM(Paramètres!M30),1)="F",1,0)))),IF(Paramètres!N30="",0,IF(Paramètres!O30="",NA(),IF(LEFT(TRIM(Paramètres!O30),1)="F",INDEX($F$653:$F$705,MATCH(Paramètres!N30,Paramètres!$G$5:$G$57,0)),INDEX($E$653:$E$705,MATCH(Paramètres!N30,Paramètres!$G$5:$G$57,0)))+IF(RIGHT(TRIM(Paramètres!O30),3)="Fin",1-$H678,IF(LEFT(TRIM(Paramètres!O30),1)="F",1,0)))))))</f>
        <v/>
      </c>
      <c r="F678" s="19">
        <f>IF($A678="","",E678+$H678-1)</f>
        <v/>
      </c>
      <c r="G678" s="18" t="n"/>
      <c r="H678" s="18">
        <f>IF($A678="","",IF(I678&lt;&gt;"",I678,Paramètres!B30))</f>
        <v/>
      </c>
      <c r="I678" s="18" t="n"/>
    </row>
    <row r="679">
      <c r="A679" s="18">
        <f>IF(ISNUMBER(Dossiers!$D$16),Dossiers!$A$16&amp;" · "&amp;Dossiers!$B$16,"")</f>
        <v/>
      </c>
      <c r="B679" s="18">
        <f>IF($A679="","",Paramètres!G31)</f>
        <v/>
      </c>
      <c r="C679" s="20">
        <f>IF($A679="","",IF(Dossiers!$F$16="","",Dossiers!$F$16))</f>
        <v/>
      </c>
      <c r="D679" s="18">
        <f>IF($A679="","",IF(Paramètres!I31="","",Paramètres!I31))</f>
        <v/>
      </c>
      <c r="E679" s="19">
        <f>IF($A679="","",IF(Paramètres!J31&amp;Paramètres!L31&amp;Paramètres!N31="",Dossiers!$D$16,MAX(IF(Paramètres!J31="",0,IF(Paramètres!K31="",NA(),IF(LEFT(TRIM(Paramètres!K31),1)="F",INDEX($F$653:$F$705,MATCH(Paramètres!J31,Paramètres!$G$5:$G$57,0)),INDEX($E$653:$E$705,MATCH(Paramètres!J31,Paramètres!$G$5:$G$57,0)))+IF(RIGHT(TRIM(Paramètres!K31),3)="Fin",1-$H679,IF(LEFT(TRIM(Paramètres!K31),1)="F",1,0)))),IF(Paramètres!L31="",0,IF(Paramètres!M31="",NA(),IF(LEFT(TRIM(Paramètres!M31),1)="F",INDEX($F$653:$F$705,MATCH(Paramètres!L31,Paramètres!$G$5:$G$57,0)),INDEX($E$653:$E$705,MATCH(Paramètres!L31,Paramètres!$G$5:$G$57,0)))+IF(RIGHT(TRIM(Paramètres!M31),3)="Fin",1-$H679,IF(LEFT(TRIM(Paramètres!M31),1)="F",1,0)))),IF(Paramètres!N31="",0,IF(Paramètres!O31="",NA(),IF(LEFT(TRIM(Paramètres!O31),1)="F",INDEX($F$653:$F$705,MATCH(Paramètres!N31,Paramètres!$G$5:$G$57,0)),INDEX($E$653:$E$705,MATCH(Paramètres!N31,Paramètres!$G$5:$G$57,0)))+IF(RIGHT(TRIM(Paramètres!O31),3)="Fin",1-$H679,IF(LEFT(TRIM(Paramètres!O31),1)="F",1,0)))))))</f>
        <v/>
      </c>
      <c r="F679" s="19">
        <f>IF($A679="","",E679+$H679-1)</f>
        <v/>
      </c>
      <c r="G679" s="18" t="n"/>
      <c r="H679" s="18">
        <f>IF($A679="","",IF(I679&lt;&gt;"",I679,Paramètres!B31))</f>
        <v/>
      </c>
      <c r="I679" s="18" t="n"/>
    </row>
    <row r="680">
      <c r="A680" s="18">
        <f>IF(ISNUMBER(Dossiers!$D$16),Dossiers!$A$16&amp;" · "&amp;Dossiers!$B$16,"")</f>
        <v/>
      </c>
      <c r="B680" s="18">
        <f>IF($A680="","",Paramètres!G32)</f>
        <v/>
      </c>
      <c r="C680" s="18">
        <f>IF($A680="","",IF(Paramètres!H32="","",Paramètres!H32))</f>
        <v/>
      </c>
      <c r="D680" s="18">
        <f>IF($A680="","",IF(Paramètres!I32="","",Paramètres!I32))</f>
        <v/>
      </c>
      <c r="E680" s="19">
        <f>IF($A680="","",MIN(E681:E684))</f>
        <v/>
      </c>
      <c r="F680" s="19">
        <f>IF($A680="","",MAX(F681:F684))</f>
        <v/>
      </c>
      <c r="G680" s="18" t="n"/>
      <c r="H680" s="18">
        <f>IF($A680="","",F680-E680+1)</f>
        <v/>
      </c>
      <c r="I680" s="18" t="n"/>
    </row>
    <row r="681">
      <c r="A681" s="18">
        <f>IF(ISNUMBER(Dossiers!$D$16),Dossiers!$A$16&amp;" · "&amp;Dossiers!$B$16,"")</f>
        <v/>
      </c>
      <c r="B681" s="18">
        <f>IF($A681="","",Paramètres!G33)</f>
        <v/>
      </c>
      <c r="C681" s="18">
        <f>IF($A681="","",IF(Paramètres!H33="","",Paramètres!H33))</f>
        <v/>
      </c>
      <c r="D681" s="18">
        <f>IF($A681="","",IF(Paramètres!I33="","",Paramètres!I33))</f>
        <v/>
      </c>
      <c r="E681" s="19">
        <f>IF($A681="","",IF(Paramètres!J33&amp;Paramètres!L33&amp;Paramètres!N33="",Dossiers!$D$16,MAX(IF(Paramètres!J33="",0,IF(Paramètres!K33="",NA(),IF(LEFT(TRIM(Paramètres!K33),1)="F",INDEX($F$653:$F$705,MATCH(Paramètres!J33,Paramètres!$G$5:$G$57,0)),INDEX($E$653:$E$705,MATCH(Paramètres!J33,Paramètres!$G$5:$G$57,0)))+IF(RIGHT(TRIM(Paramètres!K33),3)="Fin",1-$H681,IF(LEFT(TRIM(Paramètres!K33),1)="F",1,0)))),IF(Paramètres!L33="",0,IF(Paramètres!M33="",NA(),IF(LEFT(TRIM(Paramètres!M33),1)="F",INDEX($F$653:$F$705,MATCH(Paramètres!L33,Paramètres!$G$5:$G$57,0)),INDEX($E$653:$E$705,MATCH(Paramètres!L33,Paramètres!$G$5:$G$57,0)))+IF(RIGHT(TRIM(Paramètres!M33),3)="Fin",1-$H681,IF(LEFT(TRIM(Paramètres!M33),1)="F",1,0)))),IF(Paramètres!N33="",0,IF(Paramètres!O33="",NA(),IF(LEFT(TRIM(Paramètres!O33),1)="F",INDEX($F$653:$F$705,MATCH(Paramètres!N33,Paramètres!$G$5:$G$57,0)),INDEX($E$653:$E$705,MATCH(Paramètres!N33,Paramètres!$G$5:$G$57,0)))+IF(RIGHT(TRIM(Paramètres!O33),3)="Fin",1-$H681,IF(LEFT(TRIM(Paramètres!O33),1)="F",1,0)))))))</f>
        <v/>
      </c>
      <c r="F681" s="19">
        <f>IF($A681="","",E681+$H681-1)</f>
        <v/>
      </c>
      <c r="G681" s="18" t="n"/>
      <c r="H681" s="18">
        <f>IF($A681="","",IF(I681&lt;&gt;"",I681,Paramètres!B33))</f>
        <v/>
      </c>
      <c r="I681" s="18" t="n"/>
    </row>
    <row r="682">
      <c r="A682" s="18">
        <f>IF(ISNUMBER(Dossiers!$D$16),Dossiers!$A$16&amp;" · "&amp;Dossiers!$B$16,"")</f>
        <v/>
      </c>
      <c r="B682" s="18">
        <f>IF($A682="","",Paramètres!G34)</f>
        <v/>
      </c>
      <c r="C682" s="18">
        <f>IF($A682="","",IF(Paramètres!H34="","",Paramètres!H34))</f>
        <v/>
      </c>
      <c r="D682" s="18">
        <f>IF($A682="","",IF(Paramètres!I34="","",Paramètres!I34))</f>
        <v/>
      </c>
      <c r="E682" s="19">
        <f>IF($A682="","",IF(Paramètres!J34&amp;Paramètres!L34&amp;Paramètres!N34="",Dossiers!$D$16,MAX(IF(Paramètres!J34="",0,IF(Paramètres!K34="",NA(),IF(LEFT(TRIM(Paramètres!K34),1)="F",INDEX($F$653:$F$705,MATCH(Paramètres!J34,Paramètres!$G$5:$G$57,0)),INDEX($E$653:$E$705,MATCH(Paramètres!J34,Paramètres!$G$5:$G$57,0)))+IF(RIGHT(TRIM(Paramètres!K34),3)="Fin",1-$H682,IF(LEFT(TRIM(Paramètres!K34),1)="F",1,0)))),IF(Paramètres!L34="",0,IF(Paramètres!M34="",NA(),IF(LEFT(TRIM(Paramètres!M34),1)="F",INDEX($F$653:$F$705,MATCH(Paramètres!L34,Paramètres!$G$5:$G$57,0)),INDEX($E$653:$E$705,MATCH(Paramètres!L34,Paramètres!$G$5:$G$57,0)))+IF(RIGHT(TRIM(Paramètres!M34),3)="Fin",1-$H682,IF(LEFT(TRIM(Paramètres!M34),1)="F",1,0)))),IF(Paramètres!N34="",0,IF(Paramètres!O34="",NA(),IF(LEFT(TRIM(Paramètres!O34),1)="F",INDEX($F$653:$F$705,MATCH(Paramètres!N34,Paramètres!$G$5:$G$57,0)),INDEX($E$653:$E$705,MATCH(Paramètres!N34,Paramètres!$G$5:$G$57,0)))+IF(RIGHT(TRIM(Paramètres!O34),3)="Fin",1-$H682,IF(LEFT(TRIM(Paramètres!O34),1)="F",1,0)))))))</f>
        <v/>
      </c>
      <c r="F682" s="19">
        <f>IF($A682="","",E682+$H682-1)</f>
        <v/>
      </c>
      <c r="G682" s="18" t="n"/>
      <c r="H682" s="18">
        <f>IF($A682="","",IF(I682&lt;&gt;"",I682,Paramètres!B34))</f>
        <v/>
      </c>
      <c r="I682" s="18" t="n"/>
    </row>
    <row r="683">
      <c r="A683" s="18">
        <f>IF(ISNUMBER(Dossiers!$D$16),Dossiers!$A$16&amp;" · "&amp;Dossiers!$B$16,"")</f>
        <v/>
      </c>
      <c r="B683" s="18">
        <f>IF($A683="","",Paramètres!G35)</f>
        <v/>
      </c>
      <c r="C683" s="18">
        <f>IF($A683="","",IF(Paramètres!H35="","",Paramètres!H35))</f>
        <v/>
      </c>
      <c r="D683" s="18">
        <f>IF($A683="","",IF(Paramètres!I35="","",Paramètres!I35))</f>
        <v/>
      </c>
      <c r="E683" s="19">
        <f>IF($A683="","",IF(Paramètres!J35&amp;Paramètres!L35&amp;Paramètres!N35="",Dossiers!$D$16,MAX(IF(Paramètres!J35="",0,IF(Paramètres!K35="",NA(),IF(LEFT(TRIM(Paramètres!K35),1)="F",INDEX($F$653:$F$705,MATCH(Paramètres!J35,Paramètres!$G$5:$G$57,0)),INDEX($E$653:$E$705,MATCH(Paramètres!J35,Paramètres!$G$5:$G$57,0)))+IF(RIGHT(TRIM(Paramètres!K35),3)="Fin",1-$H683,IF(LEFT(TRIM(Paramètres!K35),1)="F",1,0)))),IF(Paramètres!L35="",0,IF(Paramètres!M35="",NA(),IF(LEFT(TRIM(Paramètres!M35),1)="F",INDEX($F$653:$F$705,MATCH(Paramètres!L35,Paramètres!$G$5:$G$57,0)),INDEX($E$653:$E$705,MATCH(Paramètres!L35,Paramètres!$G$5:$G$57,0)))+IF(RIGHT(TRIM(Paramètres!M35),3)="Fin",1-$H683,IF(LEFT(TRIM(Paramètres!M35),1)="F",1,0)))),IF(Paramètres!N35="",0,IF(Paramètres!O35="",NA(),IF(LEFT(TRIM(Paramètres!O35),1)="F",INDEX($F$653:$F$705,MATCH(Paramètres!N35,Paramètres!$G$5:$G$57,0)),INDEX($E$653:$E$705,MATCH(Paramètres!N35,Paramètres!$G$5:$G$57,0)))+IF(RIGHT(TRIM(Paramètres!O35),3)="Fin",1-$H683,IF(LEFT(TRIM(Paramètres!O35),1)="F",1,0)))))))</f>
        <v/>
      </c>
      <c r="F683" s="19">
        <f>IF($A683="","",E683+$H683-1)</f>
        <v/>
      </c>
      <c r="G683" s="18" t="n"/>
      <c r="H683" s="18">
        <f>IF($A683="","",IF(I683&lt;&gt;"",I683,Paramètres!B35))</f>
        <v/>
      </c>
      <c r="I683" s="18" t="n"/>
    </row>
    <row r="684">
      <c r="A684" s="18">
        <f>IF(ISNUMBER(Dossiers!$D$16),Dossiers!$A$16&amp;" · "&amp;Dossiers!$B$16,"")</f>
        <v/>
      </c>
      <c r="B684" s="18">
        <f>IF($A684="","",Paramètres!G36)</f>
        <v/>
      </c>
      <c r="C684" s="18">
        <f>IF($A684="","",IF(Paramètres!H36="","",Paramètres!H36))</f>
        <v/>
      </c>
      <c r="D684" s="18">
        <f>IF($A684="","",IF(Paramètres!I36="","",Paramètres!I36))</f>
        <v/>
      </c>
      <c r="E684" s="19">
        <f>IF($A684="","",IF(Paramètres!J36&amp;Paramètres!L36&amp;Paramètres!N36="",Dossiers!$D$16,MAX(IF(Paramètres!J36="",0,IF(Paramètres!K36="",NA(),IF(LEFT(TRIM(Paramètres!K36),1)="F",INDEX($F$653:$F$705,MATCH(Paramètres!J36,Paramètres!$G$5:$G$57,0)),INDEX($E$653:$E$705,MATCH(Paramètres!J36,Paramètres!$G$5:$G$57,0)))+IF(RIGHT(TRIM(Paramètres!K36),3)="Fin",1-$H684,IF(LEFT(TRIM(Paramètres!K36),1)="F",1,0)))),IF(Paramètres!L36="",0,IF(Paramètres!M36="",NA(),IF(LEFT(TRIM(Paramètres!M36),1)="F",INDEX($F$653:$F$705,MATCH(Paramètres!L36,Paramètres!$G$5:$G$57,0)),INDEX($E$653:$E$705,MATCH(Paramètres!L36,Paramètres!$G$5:$G$57,0)))+IF(RIGHT(TRIM(Paramètres!M36),3)="Fin",1-$H684,IF(LEFT(TRIM(Paramètres!M36),1)="F",1,0)))),IF(Paramètres!N36="",0,IF(Paramètres!O36="",NA(),IF(LEFT(TRIM(Paramètres!O36),1)="F",INDEX($F$653:$F$705,MATCH(Paramètres!N36,Paramètres!$G$5:$G$57,0)),INDEX($E$653:$E$705,MATCH(Paramètres!N36,Paramètres!$G$5:$G$57,0)))+IF(RIGHT(TRIM(Paramètres!O36),3)="Fin",1-$H684,IF(LEFT(TRIM(Paramètres!O36),1)="F",1,0)))))))</f>
        <v/>
      </c>
      <c r="F684" s="19">
        <f>IF($A684="","",E684+$H684-1)</f>
        <v/>
      </c>
      <c r="G684" s="18" t="n"/>
      <c r="H684" s="18">
        <f>IF($A684="","",IF(I684&lt;&gt;"",I684,Paramètres!B36))</f>
        <v/>
      </c>
      <c r="I684" s="18" t="n"/>
    </row>
    <row r="685">
      <c r="A685" s="18">
        <f>IF(ISNUMBER(Dossiers!$D$16),Dossiers!$A$16&amp;" · "&amp;Dossiers!$B$16,"")</f>
        <v/>
      </c>
      <c r="B685" s="18">
        <f>IF($A685="","",Paramètres!G37)</f>
        <v/>
      </c>
      <c r="C685" s="18">
        <f>IF($A685="","",IF(Paramètres!H37="","",Paramètres!H37))</f>
        <v/>
      </c>
      <c r="D685" s="18">
        <f>IF($A685="","",IF(Paramètres!I37="","",Paramètres!I37))</f>
        <v/>
      </c>
      <c r="E685" s="19">
        <f>IF($A685="","",MIN(E686:E703))</f>
        <v/>
      </c>
      <c r="F685" s="19">
        <f>IF($A685="","",MAX(F686:F703))</f>
        <v/>
      </c>
      <c r="G685" s="18" t="n"/>
      <c r="H685" s="18">
        <f>IF($A685="","",F685-E685+1)</f>
        <v/>
      </c>
      <c r="I685" s="18" t="n"/>
    </row>
    <row r="686">
      <c r="A686" s="18">
        <f>IF(ISNUMBER(Dossiers!$D$16),Dossiers!$A$16&amp;" · "&amp;Dossiers!$B$16,"")</f>
        <v/>
      </c>
      <c r="B686" s="18">
        <f>IF($A686="","",Paramètres!G38)</f>
        <v/>
      </c>
      <c r="C686" s="18">
        <f>IF($A686="","",IF(Paramètres!H38="","",Paramètres!H38))</f>
        <v/>
      </c>
      <c r="D686" s="18">
        <f>IF($A686="","",IF(Paramètres!I38="","",Paramètres!I38))</f>
        <v/>
      </c>
      <c r="E686" s="19">
        <f>IF($A686="","",IF(Paramètres!J38&amp;Paramètres!L38&amp;Paramètres!N38="",Dossiers!$D$16,MAX(IF(Paramètres!J38="",0,IF(Paramètres!K38="",NA(),IF(LEFT(TRIM(Paramètres!K38),1)="F",INDEX($F$653:$F$705,MATCH(Paramètres!J38,Paramètres!$G$5:$G$57,0)),INDEX($E$653:$E$705,MATCH(Paramètres!J38,Paramètres!$G$5:$G$57,0)))+IF(RIGHT(TRIM(Paramètres!K38),3)="Fin",1-$H686,IF(LEFT(TRIM(Paramètres!K38),1)="F",1,0)))),IF(Paramètres!L38="",0,IF(Paramètres!M38="",NA(),IF(LEFT(TRIM(Paramètres!M38),1)="F",INDEX($F$653:$F$705,MATCH(Paramètres!L38,Paramètres!$G$5:$G$57,0)),INDEX($E$653:$E$705,MATCH(Paramètres!L38,Paramètres!$G$5:$G$57,0)))+IF(RIGHT(TRIM(Paramètres!M38),3)="Fin",1-$H686,IF(LEFT(TRIM(Paramètres!M38),1)="F",1,0)))),IF(Paramètres!N38="",0,IF(Paramètres!O38="",NA(),IF(LEFT(TRIM(Paramètres!O38),1)="F",INDEX($F$653:$F$705,MATCH(Paramètres!N38,Paramètres!$G$5:$G$57,0)),INDEX($E$653:$E$705,MATCH(Paramètres!N38,Paramètres!$G$5:$G$57,0)))+IF(RIGHT(TRIM(Paramètres!O38),3)="Fin",1-$H686,IF(LEFT(TRIM(Paramètres!O38),1)="F",1,0)))))))</f>
        <v/>
      </c>
      <c r="F686" s="19">
        <f>IF($A686="","",E686+$H686-1)</f>
        <v/>
      </c>
      <c r="G686" s="18" t="n"/>
      <c r="H686" s="18">
        <f>IF($A686="","",IF(I686&lt;&gt;"",I686,Paramètres!B38))</f>
        <v/>
      </c>
      <c r="I686" s="18" t="n"/>
    </row>
    <row r="687">
      <c r="A687" s="18">
        <f>IF(ISNUMBER(Dossiers!$D$16),Dossiers!$A$16&amp;" · "&amp;Dossiers!$B$16,"")</f>
        <v/>
      </c>
      <c r="B687" s="18">
        <f>IF($A687="","",Paramètres!G39)</f>
        <v/>
      </c>
      <c r="C687" s="18">
        <f>IF($A687="","",IF(Paramètres!H39="","",Paramètres!H39))</f>
        <v/>
      </c>
      <c r="D687" s="18">
        <f>IF($A687="","",IF(Paramètres!I39="","",Paramètres!I39))</f>
        <v/>
      </c>
      <c r="E687" s="19">
        <f>IF($A687="","",IF(Paramètres!J39&amp;Paramètres!L39&amp;Paramètres!N39="",Dossiers!$D$16,MAX(IF(Paramètres!J39="",0,IF(Paramètres!K39="",NA(),IF(LEFT(TRIM(Paramètres!K39),1)="F",INDEX($F$653:$F$705,MATCH(Paramètres!J39,Paramètres!$G$5:$G$57,0)),INDEX($E$653:$E$705,MATCH(Paramètres!J39,Paramètres!$G$5:$G$57,0)))+IF(RIGHT(TRIM(Paramètres!K39),3)="Fin",1-$H687,IF(LEFT(TRIM(Paramètres!K39),1)="F",1,0)))),IF(Paramètres!L39="",0,IF(Paramètres!M39="",NA(),IF(LEFT(TRIM(Paramètres!M39),1)="F",INDEX($F$653:$F$705,MATCH(Paramètres!L39,Paramètres!$G$5:$G$57,0)),INDEX($E$653:$E$705,MATCH(Paramètres!L39,Paramètres!$G$5:$G$57,0)))+IF(RIGHT(TRIM(Paramètres!M39),3)="Fin",1-$H687,IF(LEFT(TRIM(Paramètres!M39),1)="F",1,0)))),IF(Paramètres!N39="",0,IF(Paramètres!O39="",NA(),IF(LEFT(TRIM(Paramètres!O39),1)="F",INDEX($F$653:$F$705,MATCH(Paramètres!N39,Paramètres!$G$5:$G$57,0)),INDEX($E$653:$E$705,MATCH(Paramètres!N39,Paramètres!$G$5:$G$57,0)))+IF(RIGHT(TRIM(Paramètres!O39),3)="Fin",1-$H687,IF(LEFT(TRIM(Paramètres!O39),1)="F",1,0)))))))</f>
        <v/>
      </c>
      <c r="F687" s="19">
        <f>IF($A687="","",E687+$H687-1)</f>
        <v/>
      </c>
      <c r="G687" s="18" t="n"/>
      <c r="H687" s="18">
        <f>IF($A687="","",IF(I687&lt;&gt;"",I687,Paramètres!B39))</f>
        <v/>
      </c>
      <c r="I687" s="18" t="n"/>
    </row>
    <row r="688">
      <c r="A688" s="18">
        <f>IF(ISNUMBER(Dossiers!$D$16),Dossiers!$A$16&amp;" · "&amp;Dossiers!$B$16,"")</f>
        <v/>
      </c>
      <c r="B688" s="18">
        <f>IF($A688="","",Paramètres!G40)</f>
        <v/>
      </c>
      <c r="C688" s="18">
        <f>IF($A688="","",IF(Paramètres!H40="","",Paramètres!H40))</f>
        <v/>
      </c>
      <c r="D688" s="18">
        <f>IF($A688="","",IF(Paramètres!I40="","",Paramètres!I40))</f>
        <v/>
      </c>
      <c r="E688" s="19">
        <f>IF($A688="","",IF(Paramètres!J40&amp;Paramètres!L40&amp;Paramètres!N40="",Dossiers!$D$16,MAX(IF(Paramètres!J40="",0,IF(Paramètres!K40="",NA(),IF(LEFT(TRIM(Paramètres!K40),1)="F",INDEX($F$653:$F$705,MATCH(Paramètres!J40,Paramètres!$G$5:$G$57,0)),INDEX($E$653:$E$705,MATCH(Paramètres!J40,Paramètres!$G$5:$G$57,0)))+IF(RIGHT(TRIM(Paramètres!K40),3)="Fin",1-$H688,IF(LEFT(TRIM(Paramètres!K40),1)="F",1,0)))),IF(Paramètres!L40="",0,IF(Paramètres!M40="",NA(),IF(LEFT(TRIM(Paramètres!M40),1)="F",INDEX($F$653:$F$705,MATCH(Paramètres!L40,Paramètres!$G$5:$G$57,0)),INDEX($E$653:$E$705,MATCH(Paramètres!L40,Paramètres!$G$5:$G$57,0)))+IF(RIGHT(TRIM(Paramètres!M40),3)="Fin",1-$H688,IF(LEFT(TRIM(Paramètres!M40),1)="F",1,0)))),IF(Paramètres!N40="",0,IF(Paramètres!O40="",NA(),IF(LEFT(TRIM(Paramètres!O40),1)="F",INDEX($F$653:$F$705,MATCH(Paramètres!N40,Paramètres!$G$5:$G$57,0)),INDEX($E$653:$E$705,MATCH(Paramètres!N40,Paramètres!$G$5:$G$57,0)))+IF(RIGHT(TRIM(Paramètres!O40),3)="Fin",1-$H688,IF(LEFT(TRIM(Paramètres!O40),1)="F",1,0)))))))</f>
        <v/>
      </c>
      <c r="F688" s="19">
        <f>IF($A688="","",E688+$H688-1)</f>
        <v/>
      </c>
      <c r="G688" s="18" t="n"/>
      <c r="H688" s="18">
        <f>IF($A688="","",IF(I688&lt;&gt;"",I688,Paramètres!B40))</f>
        <v/>
      </c>
      <c r="I688" s="18" t="n"/>
    </row>
    <row r="689">
      <c r="A689" s="18">
        <f>IF(ISNUMBER(Dossiers!$D$16),Dossiers!$A$16&amp;" · "&amp;Dossiers!$B$16,"")</f>
        <v/>
      </c>
      <c r="B689" s="18">
        <f>IF($A689="","",Paramètres!G41)</f>
        <v/>
      </c>
      <c r="C689" s="18">
        <f>IF($A689="","",IF(Paramètres!H41="","",Paramètres!H41))</f>
        <v/>
      </c>
      <c r="D689" s="18">
        <f>IF($A689="","",IF(Paramètres!I41="","",Paramètres!I41))</f>
        <v/>
      </c>
      <c r="E689" s="19">
        <f>IF($A689="","",IF(Paramètres!J41&amp;Paramètres!L41&amp;Paramètres!N41="",Dossiers!$D$16,MAX(IF(Paramètres!J41="",0,IF(Paramètres!K41="",NA(),IF(LEFT(TRIM(Paramètres!K41),1)="F",INDEX($F$653:$F$705,MATCH(Paramètres!J41,Paramètres!$G$5:$G$57,0)),INDEX($E$653:$E$705,MATCH(Paramètres!J41,Paramètres!$G$5:$G$57,0)))+IF(RIGHT(TRIM(Paramètres!K41),3)="Fin",1-$H689,IF(LEFT(TRIM(Paramètres!K41),1)="F",1,0)))),IF(Paramètres!L41="",0,IF(Paramètres!M41="",NA(),IF(LEFT(TRIM(Paramètres!M41),1)="F",INDEX($F$653:$F$705,MATCH(Paramètres!L41,Paramètres!$G$5:$G$57,0)),INDEX($E$653:$E$705,MATCH(Paramètres!L41,Paramètres!$G$5:$G$57,0)))+IF(RIGHT(TRIM(Paramètres!M41),3)="Fin",1-$H689,IF(LEFT(TRIM(Paramètres!M41),1)="F",1,0)))),IF(Paramètres!N41="",0,IF(Paramètres!O41="",NA(),IF(LEFT(TRIM(Paramètres!O41),1)="F",INDEX($F$653:$F$705,MATCH(Paramètres!N41,Paramètres!$G$5:$G$57,0)),INDEX($E$653:$E$705,MATCH(Paramètres!N41,Paramètres!$G$5:$G$57,0)))+IF(RIGHT(TRIM(Paramètres!O41),3)="Fin",1-$H689,IF(LEFT(TRIM(Paramètres!O41),1)="F",1,0)))))))</f>
        <v/>
      </c>
      <c r="F689" s="19">
        <f>IF($A689="","",E689+$H689-1)</f>
        <v/>
      </c>
      <c r="G689" s="18" t="n"/>
      <c r="H689" s="18">
        <f>IF($A689="","",IF(I689&lt;&gt;"",I689,Paramètres!B41))</f>
        <v/>
      </c>
      <c r="I689" s="18" t="n"/>
    </row>
    <row r="690">
      <c r="A690" s="18">
        <f>IF(ISNUMBER(Dossiers!$D$16),Dossiers!$A$16&amp;" · "&amp;Dossiers!$B$16,"")</f>
        <v/>
      </c>
      <c r="B690" s="18">
        <f>IF($A690="","",Paramètres!G42)</f>
        <v/>
      </c>
      <c r="C690" s="18">
        <f>IF($A690="","",IF(Paramètres!H42="","",Paramètres!H42))</f>
        <v/>
      </c>
      <c r="D690" s="18">
        <f>IF($A690="","",IF(Paramètres!I42="","",Paramètres!I42))</f>
        <v/>
      </c>
      <c r="E690" s="19">
        <f>IF($A690="","",IF(Paramètres!J42&amp;Paramètres!L42&amp;Paramètres!N42="",Dossiers!$D$16,MAX(IF(Paramètres!J42="",0,IF(Paramètres!K42="",NA(),IF(LEFT(TRIM(Paramètres!K42),1)="F",INDEX($F$653:$F$705,MATCH(Paramètres!J42,Paramètres!$G$5:$G$57,0)),INDEX($E$653:$E$705,MATCH(Paramètres!J42,Paramètres!$G$5:$G$57,0)))+IF(RIGHT(TRIM(Paramètres!K42),3)="Fin",1-$H690,IF(LEFT(TRIM(Paramètres!K42),1)="F",1,0)))),IF(Paramètres!L42="",0,IF(Paramètres!M42="",NA(),IF(LEFT(TRIM(Paramètres!M42),1)="F",INDEX($F$653:$F$705,MATCH(Paramètres!L42,Paramètres!$G$5:$G$57,0)),INDEX($E$653:$E$705,MATCH(Paramètres!L42,Paramètres!$G$5:$G$57,0)))+IF(RIGHT(TRIM(Paramètres!M42),3)="Fin",1-$H690,IF(LEFT(TRIM(Paramètres!M42),1)="F",1,0)))),IF(Paramètres!N42="",0,IF(Paramètres!O42="",NA(),IF(LEFT(TRIM(Paramètres!O42),1)="F",INDEX($F$653:$F$705,MATCH(Paramètres!N42,Paramètres!$G$5:$G$57,0)),INDEX($E$653:$E$705,MATCH(Paramètres!N42,Paramètres!$G$5:$G$57,0)))+IF(RIGHT(TRIM(Paramètres!O42),3)="Fin",1-$H690,IF(LEFT(TRIM(Paramètres!O42),1)="F",1,0)))))))</f>
        <v/>
      </c>
      <c r="F690" s="19">
        <f>IF($A690="","",E690+$H690-1)</f>
        <v/>
      </c>
      <c r="G690" s="18" t="n"/>
      <c r="H690" s="18">
        <f>IF($A690="","",IF(I690&lt;&gt;"",I690,Paramètres!B42))</f>
        <v/>
      </c>
      <c r="I690" s="18" t="n"/>
    </row>
    <row r="691">
      <c r="A691" s="18">
        <f>IF(ISNUMBER(Dossiers!$D$16),Dossiers!$A$16&amp;" · "&amp;Dossiers!$B$16,"")</f>
        <v/>
      </c>
      <c r="B691" s="18">
        <f>IF($A691="","",Paramètres!G43)</f>
        <v/>
      </c>
      <c r="C691" s="18">
        <f>IF($A691="","",IF(Paramètres!H43="","",Paramètres!H43))</f>
        <v/>
      </c>
      <c r="D691" s="18">
        <f>IF($A691="","",IF(Paramètres!I43="","",Paramètres!I43))</f>
        <v/>
      </c>
      <c r="E691" s="19">
        <f>IF($A691="","",IF(Paramètres!J43&amp;Paramètres!L43&amp;Paramètres!N43="",Dossiers!$D$16,MAX(IF(Paramètres!J43="",0,IF(Paramètres!K43="",NA(),IF(LEFT(TRIM(Paramètres!K43),1)="F",INDEX($F$653:$F$705,MATCH(Paramètres!J43,Paramètres!$G$5:$G$57,0)),INDEX($E$653:$E$705,MATCH(Paramètres!J43,Paramètres!$G$5:$G$57,0)))+IF(RIGHT(TRIM(Paramètres!K43),3)="Fin",1-$H691,IF(LEFT(TRIM(Paramètres!K43),1)="F",1,0)))),IF(Paramètres!L43="",0,IF(Paramètres!M43="",NA(),IF(LEFT(TRIM(Paramètres!M43),1)="F",INDEX($F$653:$F$705,MATCH(Paramètres!L43,Paramètres!$G$5:$G$57,0)),INDEX($E$653:$E$705,MATCH(Paramètres!L43,Paramètres!$G$5:$G$57,0)))+IF(RIGHT(TRIM(Paramètres!M43),3)="Fin",1-$H691,IF(LEFT(TRIM(Paramètres!M43),1)="F",1,0)))),IF(Paramètres!N43="",0,IF(Paramètres!O43="",NA(),IF(LEFT(TRIM(Paramètres!O43),1)="F",INDEX($F$653:$F$705,MATCH(Paramètres!N43,Paramètres!$G$5:$G$57,0)),INDEX($E$653:$E$705,MATCH(Paramètres!N43,Paramètres!$G$5:$G$57,0)))+IF(RIGHT(TRIM(Paramètres!O43),3)="Fin",1-$H691,IF(LEFT(TRIM(Paramètres!O43),1)="F",1,0)))))))</f>
        <v/>
      </c>
      <c r="F691" s="19">
        <f>IF($A691="","",E691+$H691-1)</f>
        <v/>
      </c>
      <c r="G691" s="18" t="n"/>
      <c r="H691" s="18">
        <f>IF($A691="","",IF(I691&lt;&gt;"",I691,Paramètres!B43))</f>
        <v/>
      </c>
      <c r="I691" s="18" t="n"/>
    </row>
    <row r="692">
      <c r="A692" s="18">
        <f>IF(ISNUMBER(Dossiers!$D$16),Dossiers!$A$16&amp;" · "&amp;Dossiers!$B$16,"")</f>
        <v/>
      </c>
      <c r="B692" s="18">
        <f>IF($A692="","",Paramètres!G44)</f>
        <v/>
      </c>
      <c r="C692" s="18">
        <f>IF($A692="","",IF(Paramètres!H44="","",Paramètres!H44))</f>
        <v/>
      </c>
      <c r="D692" s="18">
        <f>IF($A692="","",IF(Paramètres!I44="","",Paramètres!I44))</f>
        <v/>
      </c>
      <c r="E692" s="19">
        <f>IF($A692="","",IF(Paramètres!J44&amp;Paramètres!L44&amp;Paramètres!N44="",Dossiers!$D$16,MAX(IF(Paramètres!J44="",0,IF(Paramètres!K44="",NA(),IF(LEFT(TRIM(Paramètres!K44),1)="F",INDEX($F$653:$F$705,MATCH(Paramètres!J44,Paramètres!$G$5:$G$57,0)),INDEX($E$653:$E$705,MATCH(Paramètres!J44,Paramètres!$G$5:$G$57,0)))+IF(RIGHT(TRIM(Paramètres!K44),3)="Fin",1-$H692,IF(LEFT(TRIM(Paramètres!K44),1)="F",1,0)))),IF(Paramètres!L44="",0,IF(Paramètres!M44="",NA(),IF(LEFT(TRIM(Paramètres!M44),1)="F",INDEX($F$653:$F$705,MATCH(Paramètres!L44,Paramètres!$G$5:$G$57,0)),INDEX($E$653:$E$705,MATCH(Paramètres!L44,Paramètres!$G$5:$G$57,0)))+IF(RIGHT(TRIM(Paramètres!M44),3)="Fin",1-$H692,IF(LEFT(TRIM(Paramètres!M44),1)="F",1,0)))),IF(Paramètres!N44="",0,IF(Paramètres!O44="",NA(),IF(LEFT(TRIM(Paramètres!O44),1)="F",INDEX($F$653:$F$705,MATCH(Paramètres!N44,Paramètres!$G$5:$G$57,0)),INDEX($E$653:$E$705,MATCH(Paramètres!N44,Paramètres!$G$5:$G$57,0)))+IF(RIGHT(TRIM(Paramètres!O44),3)="Fin",1-$H692,IF(LEFT(TRIM(Paramètres!O44),1)="F",1,0)))))))</f>
        <v/>
      </c>
      <c r="F692" s="19">
        <f>IF($A692="","",E692+$H692-1)</f>
        <v/>
      </c>
      <c r="G692" s="18" t="n"/>
      <c r="H692" s="18">
        <f>IF($A692="","",IF(I692&lt;&gt;"",I692,Paramètres!B44))</f>
        <v/>
      </c>
      <c r="I692" s="18" t="n"/>
    </row>
    <row r="693">
      <c r="A693" s="18">
        <f>IF(ISNUMBER(Dossiers!$D$16),Dossiers!$A$16&amp;" · "&amp;Dossiers!$B$16,"")</f>
        <v/>
      </c>
      <c r="B693" s="18">
        <f>IF($A693="","",Paramètres!G45)</f>
        <v/>
      </c>
      <c r="C693" s="20">
        <f>IF($A693="","",IF(Dossiers!$G$16="","",Dossiers!$G$16))</f>
        <v/>
      </c>
      <c r="D693" s="18">
        <f>IF($A693="","",IF(Paramètres!I45="","",Paramètres!I45))</f>
        <v/>
      </c>
      <c r="E693" s="19">
        <f>IF($A693="","",IF(Paramètres!J45&amp;Paramètres!L45&amp;Paramètres!N45="",Dossiers!$D$16,MAX(IF(Paramètres!J45="",0,IF(Paramètres!K45="",NA(),IF(LEFT(TRIM(Paramètres!K45),1)="F",INDEX($F$653:$F$705,MATCH(Paramètres!J45,Paramètres!$G$5:$G$57,0)),INDEX($E$653:$E$705,MATCH(Paramètres!J45,Paramètres!$G$5:$G$57,0)))+IF(RIGHT(TRIM(Paramètres!K45),3)="Fin",1-$H693,IF(LEFT(TRIM(Paramètres!K45),1)="F",1,0)))),IF(Paramètres!L45="",0,IF(Paramètres!M45="",NA(),IF(LEFT(TRIM(Paramètres!M45),1)="F",INDEX($F$653:$F$705,MATCH(Paramètres!L45,Paramètres!$G$5:$G$57,0)),INDEX($E$653:$E$705,MATCH(Paramètres!L45,Paramètres!$G$5:$G$57,0)))+IF(RIGHT(TRIM(Paramètres!M45),3)="Fin",1-$H693,IF(LEFT(TRIM(Paramètres!M45),1)="F",1,0)))),IF(Paramètres!N45="",0,IF(Paramètres!O45="",NA(),IF(LEFT(TRIM(Paramètres!O45),1)="F",INDEX($F$653:$F$705,MATCH(Paramètres!N45,Paramètres!$G$5:$G$57,0)),INDEX($E$653:$E$705,MATCH(Paramètres!N45,Paramètres!$G$5:$G$57,0)))+IF(RIGHT(TRIM(Paramètres!O45),3)="Fin",1-$H693,IF(LEFT(TRIM(Paramètres!O45),1)="F",1,0)))))))</f>
        <v/>
      </c>
      <c r="F693" s="19">
        <f>IF($A693="","",E693+$H693-1)</f>
        <v/>
      </c>
      <c r="G693" s="18" t="n"/>
      <c r="H693" s="18">
        <f>IF($A693="","",IF(I693&lt;&gt;"",I693,Paramètres!B45))</f>
        <v/>
      </c>
      <c r="I693" s="18" t="n"/>
    </row>
    <row r="694">
      <c r="A694" s="18">
        <f>IF(ISNUMBER(Dossiers!$D$16),Dossiers!$A$16&amp;" · "&amp;Dossiers!$B$16,"")</f>
        <v/>
      </c>
      <c r="B694" s="18">
        <f>IF($A694="","",Paramètres!G46)</f>
        <v/>
      </c>
      <c r="C694" s="18">
        <f>IF($A694="","",IF(Paramètres!H46="","",Paramètres!H46))</f>
        <v/>
      </c>
      <c r="D694" s="18">
        <f>IF($A694="","",IF(Paramètres!I46="","",Paramètres!I46))</f>
        <v/>
      </c>
      <c r="E694" s="19">
        <f>IF($A694="","",IF(Paramètres!J46&amp;Paramètres!L46&amp;Paramètres!N46="",Dossiers!$D$16,MAX(IF(Paramètres!J46="",0,IF(Paramètres!K46="",NA(),IF(LEFT(TRIM(Paramètres!K46),1)="F",INDEX($F$653:$F$705,MATCH(Paramètres!J46,Paramètres!$G$5:$G$57,0)),INDEX($E$653:$E$705,MATCH(Paramètres!J46,Paramètres!$G$5:$G$57,0)))+IF(RIGHT(TRIM(Paramètres!K46),3)="Fin",1-$H694,IF(LEFT(TRIM(Paramètres!K46),1)="F",1,0)))),IF(Paramètres!L46="",0,IF(Paramètres!M46="",NA(),IF(LEFT(TRIM(Paramètres!M46),1)="F",INDEX($F$653:$F$705,MATCH(Paramètres!L46,Paramètres!$G$5:$G$57,0)),INDEX($E$653:$E$705,MATCH(Paramètres!L46,Paramètres!$G$5:$G$57,0)))+IF(RIGHT(TRIM(Paramètres!M46),3)="Fin",1-$H694,IF(LEFT(TRIM(Paramètres!M46),1)="F",1,0)))),IF(Paramètres!N46="",0,IF(Paramètres!O46="",NA(),IF(LEFT(TRIM(Paramètres!O46),1)="F",INDEX($F$653:$F$705,MATCH(Paramètres!N46,Paramètres!$G$5:$G$57,0)),INDEX($E$653:$E$705,MATCH(Paramètres!N46,Paramètres!$G$5:$G$57,0)))+IF(RIGHT(TRIM(Paramètres!O46),3)="Fin",1-$H694,IF(LEFT(TRIM(Paramètres!O46),1)="F",1,0)))))))</f>
        <v/>
      </c>
      <c r="F694" s="19">
        <f>IF($A694="","",E694+$H694-1)</f>
        <v/>
      </c>
      <c r="G694" s="18" t="n"/>
      <c r="H694" s="18">
        <f>IF($A694="","",IF(I694&lt;&gt;"",I694,Paramètres!B46))</f>
        <v/>
      </c>
      <c r="I694" s="18" t="n"/>
    </row>
    <row r="695">
      <c r="A695" s="18">
        <f>IF(ISNUMBER(Dossiers!$D$16),Dossiers!$A$16&amp;" · "&amp;Dossiers!$B$16,"")</f>
        <v/>
      </c>
      <c r="B695" s="18">
        <f>IF($A695="","",Paramètres!G47)</f>
        <v/>
      </c>
      <c r="C695" s="18">
        <f>IF($A695="","",IF(Paramètres!H47="","",Paramètres!H47))</f>
        <v/>
      </c>
      <c r="D695" s="18">
        <f>IF($A695="","",IF(Paramètres!I47="","",Paramètres!I47))</f>
        <v/>
      </c>
      <c r="E695" s="19">
        <f>IF($A695="","",IF(Paramètres!J47&amp;Paramètres!L47&amp;Paramètres!N47="",Dossiers!$D$16,MAX(IF(Paramètres!J47="",0,IF(Paramètres!K47="",NA(),IF(LEFT(TRIM(Paramètres!K47),1)="F",INDEX($F$653:$F$705,MATCH(Paramètres!J47,Paramètres!$G$5:$G$57,0)),INDEX($E$653:$E$705,MATCH(Paramètres!J47,Paramètres!$G$5:$G$57,0)))+IF(RIGHT(TRIM(Paramètres!K47),3)="Fin",1-$H695,IF(LEFT(TRIM(Paramètres!K47),1)="F",1,0)))),IF(Paramètres!L47="",0,IF(Paramètres!M47="",NA(),IF(LEFT(TRIM(Paramètres!M47),1)="F",INDEX($F$653:$F$705,MATCH(Paramètres!L47,Paramètres!$G$5:$G$57,0)),INDEX($E$653:$E$705,MATCH(Paramètres!L47,Paramètres!$G$5:$G$57,0)))+IF(RIGHT(TRIM(Paramètres!M47),3)="Fin",1-$H695,IF(LEFT(TRIM(Paramètres!M47),1)="F",1,0)))),IF(Paramètres!N47="",0,IF(Paramètres!O47="",NA(),IF(LEFT(TRIM(Paramètres!O47),1)="F",INDEX($F$653:$F$705,MATCH(Paramètres!N47,Paramètres!$G$5:$G$57,0)),INDEX($E$653:$E$705,MATCH(Paramètres!N47,Paramètres!$G$5:$G$57,0)))+IF(RIGHT(TRIM(Paramètres!O47),3)="Fin",1-$H695,IF(LEFT(TRIM(Paramètres!O47),1)="F",1,0)))))))</f>
        <v/>
      </c>
      <c r="F695" s="19">
        <f>IF($A695="","",E695+$H695-1)</f>
        <v/>
      </c>
      <c r="G695" s="18" t="n"/>
      <c r="H695" s="18">
        <f>IF($A695="","",IF(I695&lt;&gt;"",I695,Paramètres!B47))</f>
        <v/>
      </c>
      <c r="I695" s="18" t="n"/>
    </row>
    <row r="696">
      <c r="A696" s="18">
        <f>IF(ISNUMBER(Dossiers!$D$16),Dossiers!$A$16&amp;" · "&amp;Dossiers!$B$16,"")</f>
        <v/>
      </c>
      <c r="B696" s="18">
        <f>IF($A696="","",Paramètres!G48)</f>
        <v/>
      </c>
      <c r="C696" s="18">
        <f>IF($A696="","",IF(Paramètres!H48="","",Paramètres!H48))</f>
        <v/>
      </c>
      <c r="D696" s="18">
        <f>IF($A696="","",IF(Paramètres!I48="","",Paramètres!I48))</f>
        <v/>
      </c>
      <c r="E696" s="19">
        <f>IF($A696="","",IF(Paramètres!J48&amp;Paramètres!L48&amp;Paramètres!N48="",Dossiers!$D$16,MAX(IF(Paramètres!J48="",0,IF(Paramètres!K48="",NA(),IF(LEFT(TRIM(Paramètres!K48),1)="F",INDEX($F$653:$F$705,MATCH(Paramètres!J48,Paramètres!$G$5:$G$57,0)),INDEX($E$653:$E$705,MATCH(Paramètres!J48,Paramètres!$G$5:$G$57,0)))+IF(RIGHT(TRIM(Paramètres!K48),3)="Fin",1-$H696,IF(LEFT(TRIM(Paramètres!K48),1)="F",1,0)))),IF(Paramètres!L48="",0,IF(Paramètres!M48="",NA(),IF(LEFT(TRIM(Paramètres!M48),1)="F",INDEX($F$653:$F$705,MATCH(Paramètres!L48,Paramètres!$G$5:$G$57,0)),INDEX($E$653:$E$705,MATCH(Paramètres!L48,Paramètres!$G$5:$G$57,0)))+IF(RIGHT(TRIM(Paramètres!M48),3)="Fin",1-$H696,IF(LEFT(TRIM(Paramètres!M48),1)="F",1,0)))),IF(Paramètres!N48="",0,IF(Paramètres!O48="",NA(),IF(LEFT(TRIM(Paramètres!O48),1)="F",INDEX($F$653:$F$705,MATCH(Paramètres!N48,Paramètres!$G$5:$G$57,0)),INDEX($E$653:$E$705,MATCH(Paramètres!N48,Paramètres!$G$5:$G$57,0)))+IF(RIGHT(TRIM(Paramètres!O48),3)="Fin",1-$H696,IF(LEFT(TRIM(Paramètres!O48),1)="F",1,0)))))))</f>
        <v/>
      </c>
      <c r="F696" s="19">
        <f>IF($A696="","",E696+$H696-1)</f>
        <v/>
      </c>
      <c r="G696" s="18" t="n"/>
      <c r="H696" s="18">
        <f>IF($A696="","",IF(I696&lt;&gt;"",I696,Paramètres!B48))</f>
        <v/>
      </c>
      <c r="I696" s="18" t="n"/>
    </row>
    <row r="697">
      <c r="A697" s="18">
        <f>IF(ISNUMBER(Dossiers!$D$16),Dossiers!$A$16&amp;" · "&amp;Dossiers!$B$16,"")</f>
        <v/>
      </c>
      <c r="B697" s="18">
        <f>IF($A697="","",Paramètres!G49)</f>
        <v/>
      </c>
      <c r="C697" s="18">
        <f>IF($A697="","",IF(Paramètres!H49="","",Paramètres!H49))</f>
        <v/>
      </c>
      <c r="D697" s="18">
        <f>IF($A697="","",IF(Paramètres!I49="","",Paramètres!I49))</f>
        <v/>
      </c>
      <c r="E697" s="19">
        <f>IF($A697="","",IF(Paramètres!J49&amp;Paramètres!L49&amp;Paramètres!N49="",Dossiers!$D$16,MAX(IF(Paramètres!J49="",0,IF(Paramètres!K49="",NA(),IF(LEFT(TRIM(Paramètres!K49),1)="F",INDEX($F$653:$F$705,MATCH(Paramètres!J49,Paramètres!$G$5:$G$57,0)),INDEX($E$653:$E$705,MATCH(Paramètres!J49,Paramètres!$G$5:$G$57,0)))+IF(RIGHT(TRIM(Paramètres!K49),3)="Fin",1-$H697,IF(LEFT(TRIM(Paramètres!K49),1)="F",1,0)))),IF(Paramètres!L49="",0,IF(Paramètres!M49="",NA(),IF(LEFT(TRIM(Paramètres!M49),1)="F",INDEX($F$653:$F$705,MATCH(Paramètres!L49,Paramètres!$G$5:$G$57,0)),INDEX($E$653:$E$705,MATCH(Paramètres!L49,Paramètres!$G$5:$G$57,0)))+IF(RIGHT(TRIM(Paramètres!M49),3)="Fin",1-$H697,IF(LEFT(TRIM(Paramètres!M49),1)="F",1,0)))),IF(Paramètres!N49="",0,IF(Paramètres!O49="",NA(),IF(LEFT(TRIM(Paramètres!O49),1)="F",INDEX($F$653:$F$705,MATCH(Paramètres!N49,Paramètres!$G$5:$G$57,0)),INDEX($E$653:$E$705,MATCH(Paramètres!N49,Paramètres!$G$5:$G$57,0)))+IF(RIGHT(TRIM(Paramètres!O49),3)="Fin",1-$H697,IF(LEFT(TRIM(Paramètres!O49),1)="F",1,0)))))))</f>
        <v/>
      </c>
      <c r="F697" s="19">
        <f>IF($A697="","",E697+$H697-1)</f>
        <v/>
      </c>
      <c r="G697" s="18" t="n"/>
      <c r="H697" s="18">
        <f>IF($A697="","",IF(I697&lt;&gt;"",I697,Paramètres!B49))</f>
        <v/>
      </c>
      <c r="I697" s="18" t="n"/>
    </row>
    <row r="698">
      <c r="A698" s="18">
        <f>IF(ISNUMBER(Dossiers!$D$16),Dossiers!$A$16&amp;" · "&amp;Dossiers!$B$16,"")</f>
        <v/>
      </c>
      <c r="B698" s="18">
        <f>IF($A698="","",Paramètres!G50)</f>
        <v/>
      </c>
      <c r="C698" s="18">
        <f>IF($A698="","",IF(Paramètres!H50="","",Paramètres!H50))</f>
        <v/>
      </c>
      <c r="D698" s="18">
        <f>IF($A698="","",IF(Paramètres!I50="","",Paramètres!I50))</f>
        <v/>
      </c>
      <c r="E698" s="19">
        <f>IF($A698="","",IF(Paramètres!J50&amp;Paramètres!L50&amp;Paramètres!N50="",Dossiers!$D$16,MAX(IF(Paramètres!J50="",0,IF(Paramètres!K50="",NA(),IF(LEFT(TRIM(Paramètres!K50),1)="F",INDEX($F$653:$F$705,MATCH(Paramètres!J50,Paramètres!$G$5:$G$57,0)),INDEX($E$653:$E$705,MATCH(Paramètres!J50,Paramètres!$G$5:$G$57,0)))+IF(RIGHT(TRIM(Paramètres!K50),3)="Fin",1-$H698,IF(LEFT(TRIM(Paramètres!K50),1)="F",1,0)))),IF(Paramètres!L50="",0,IF(Paramètres!M50="",NA(),IF(LEFT(TRIM(Paramètres!M50),1)="F",INDEX($F$653:$F$705,MATCH(Paramètres!L50,Paramètres!$G$5:$G$57,0)),INDEX($E$653:$E$705,MATCH(Paramètres!L50,Paramètres!$G$5:$G$57,0)))+IF(RIGHT(TRIM(Paramètres!M50),3)="Fin",1-$H698,IF(LEFT(TRIM(Paramètres!M50),1)="F",1,0)))),IF(Paramètres!N50="",0,IF(Paramètres!O50="",NA(),IF(LEFT(TRIM(Paramètres!O50),1)="F",INDEX($F$653:$F$705,MATCH(Paramètres!N50,Paramètres!$G$5:$G$57,0)),INDEX($E$653:$E$705,MATCH(Paramètres!N50,Paramètres!$G$5:$G$57,0)))+IF(RIGHT(TRIM(Paramètres!O50),3)="Fin",1-$H698,IF(LEFT(TRIM(Paramètres!O50),1)="F",1,0)))))))</f>
        <v/>
      </c>
      <c r="F698" s="19">
        <f>IF($A698="","",E698+$H698-1)</f>
        <v/>
      </c>
      <c r="G698" s="18" t="n"/>
      <c r="H698" s="18">
        <f>IF($A698="","",IF(I698&lt;&gt;"",I698,Paramètres!B50))</f>
        <v/>
      </c>
      <c r="I698" s="18" t="n"/>
    </row>
    <row r="699">
      <c r="A699" s="18">
        <f>IF(ISNUMBER(Dossiers!$D$16),Dossiers!$A$16&amp;" · "&amp;Dossiers!$B$16,"")</f>
        <v/>
      </c>
      <c r="B699" s="18">
        <f>IF($A699="","",Paramètres!G51)</f>
        <v/>
      </c>
      <c r="C699" s="18">
        <f>IF($A699="","",IF(Paramètres!H51="","",Paramètres!H51))</f>
        <v/>
      </c>
      <c r="D699" s="18">
        <f>IF($A699="","",IF(Paramètres!I51="","",Paramètres!I51))</f>
        <v/>
      </c>
      <c r="E699" s="19">
        <f>IF($A699="","",IF(Paramètres!J51&amp;Paramètres!L51&amp;Paramètres!N51="",Dossiers!$D$16,MAX(IF(Paramètres!J51="",0,IF(Paramètres!K51="",NA(),IF(LEFT(TRIM(Paramètres!K51),1)="F",INDEX($F$653:$F$705,MATCH(Paramètres!J51,Paramètres!$G$5:$G$57,0)),INDEX($E$653:$E$705,MATCH(Paramètres!J51,Paramètres!$G$5:$G$57,0)))+IF(RIGHT(TRIM(Paramètres!K51),3)="Fin",1-$H699,IF(LEFT(TRIM(Paramètres!K51),1)="F",1,0)))),IF(Paramètres!L51="",0,IF(Paramètres!M51="",NA(),IF(LEFT(TRIM(Paramètres!M51),1)="F",INDEX($F$653:$F$705,MATCH(Paramètres!L51,Paramètres!$G$5:$G$57,0)),INDEX($E$653:$E$705,MATCH(Paramètres!L51,Paramètres!$G$5:$G$57,0)))+IF(RIGHT(TRIM(Paramètres!M51),3)="Fin",1-$H699,IF(LEFT(TRIM(Paramètres!M51),1)="F",1,0)))),IF(Paramètres!N51="",0,IF(Paramètres!O51="",NA(),IF(LEFT(TRIM(Paramètres!O51),1)="F",INDEX($F$653:$F$705,MATCH(Paramètres!N51,Paramètres!$G$5:$G$57,0)),INDEX($E$653:$E$705,MATCH(Paramètres!N51,Paramètres!$G$5:$G$57,0)))+IF(RIGHT(TRIM(Paramètres!O51),3)="Fin",1-$H699,IF(LEFT(TRIM(Paramètres!O51),1)="F",1,0)))))))</f>
        <v/>
      </c>
      <c r="F699" s="19">
        <f>IF($A699="","",E699+$H699-1)</f>
        <v/>
      </c>
      <c r="G699" s="18" t="n"/>
      <c r="H699" s="18">
        <f>IF($A699="","",IF(I699&lt;&gt;"",I699,Paramètres!B51))</f>
        <v/>
      </c>
      <c r="I699" s="18" t="n"/>
    </row>
    <row r="700">
      <c r="A700" s="18">
        <f>IF(ISNUMBER(Dossiers!$D$16),Dossiers!$A$16&amp;" · "&amp;Dossiers!$B$16,"")</f>
        <v/>
      </c>
      <c r="B700" s="18">
        <f>IF($A700="","",Paramètres!G52)</f>
        <v/>
      </c>
      <c r="C700" s="18">
        <f>IF($A700="","",IF(Paramètres!H52="","",Paramètres!H52))</f>
        <v/>
      </c>
      <c r="D700" s="18">
        <f>IF($A700="","",IF(Paramètres!I52="","",Paramètres!I52))</f>
        <v/>
      </c>
      <c r="E700" s="19">
        <f>IF($A700="","",IF(Paramètres!J52&amp;Paramètres!L52&amp;Paramètres!N52="",Dossiers!$D$16,MAX(IF(Paramètres!J52="",0,IF(Paramètres!K52="",NA(),IF(LEFT(TRIM(Paramètres!K52),1)="F",INDEX($F$653:$F$705,MATCH(Paramètres!J52,Paramètres!$G$5:$G$57,0)),INDEX($E$653:$E$705,MATCH(Paramètres!J52,Paramètres!$G$5:$G$57,0)))+IF(RIGHT(TRIM(Paramètres!K52),3)="Fin",1-$H700,IF(LEFT(TRIM(Paramètres!K52),1)="F",1,0)))),IF(Paramètres!L52="",0,IF(Paramètres!M52="",NA(),IF(LEFT(TRIM(Paramètres!M52),1)="F",INDEX($F$653:$F$705,MATCH(Paramètres!L52,Paramètres!$G$5:$G$57,0)),INDEX($E$653:$E$705,MATCH(Paramètres!L52,Paramètres!$G$5:$G$57,0)))+IF(RIGHT(TRIM(Paramètres!M52),3)="Fin",1-$H700,IF(LEFT(TRIM(Paramètres!M52),1)="F",1,0)))),IF(Paramètres!N52="",0,IF(Paramètres!O52="",NA(),IF(LEFT(TRIM(Paramètres!O52),1)="F",INDEX($F$653:$F$705,MATCH(Paramètres!N52,Paramètres!$G$5:$G$57,0)),INDEX($E$653:$E$705,MATCH(Paramètres!N52,Paramètres!$G$5:$G$57,0)))+IF(RIGHT(TRIM(Paramètres!O52),3)="Fin",1-$H700,IF(LEFT(TRIM(Paramètres!O52),1)="F",1,0)))))))</f>
        <v/>
      </c>
      <c r="F700" s="19">
        <f>IF($A700="","",E700+$H700-1)</f>
        <v/>
      </c>
      <c r="G700" s="18" t="n"/>
      <c r="H700" s="18">
        <f>IF($A700="","",IF(I700&lt;&gt;"",I700,Paramètres!B52))</f>
        <v/>
      </c>
      <c r="I700" s="18" t="n"/>
    </row>
    <row r="701">
      <c r="A701" s="18">
        <f>IF(ISNUMBER(Dossiers!$D$16),Dossiers!$A$16&amp;" · "&amp;Dossiers!$B$16,"")</f>
        <v/>
      </c>
      <c r="B701" s="18">
        <f>IF($A701="","",Paramètres!G53)</f>
        <v/>
      </c>
      <c r="C701" s="18">
        <f>IF($A701="","",IF(Paramètres!H53="","",Paramètres!H53))</f>
        <v/>
      </c>
      <c r="D701" s="18">
        <f>IF($A701="","",IF(Paramètres!I53="","",Paramètres!I53))</f>
        <v/>
      </c>
      <c r="E701" s="19">
        <f>IF($A701="","",IF(Paramètres!J53&amp;Paramètres!L53&amp;Paramètres!N53="",Dossiers!$D$16,MAX(IF(Paramètres!J53="",0,IF(Paramètres!K53="",NA(),IF(LEFT(TRIM(Paramètres!K53),1)="F",INDEX($F$653:$F$705,MATCH(Paramètres!J53,Paramètres!$G$5:$G$57,0)),INDEX($E$653:$E$705,MATCH(Paramètres!J53,Paramètres!$G$5:$G$57,0)))+IF(RIGHT(TRIM(Paramètres!K53),3)="Fin",1-$H701,IF(LEFT(TRIM(Paramètres!K53),1)="F",1,0)))),IF(Paramètres!L53="",0,IF(Paramètres!M53="",NA(),IF(LEFT(TRIM(Paramètres!M53),1)="F",INDEX($F$653:$F$705,MATCH(Paramètres!L53,Paramètres!$G$5:$G$57,0)),INDEX($E$653:$E$705,MATCH(Paramètres!L53,Paramètres!$G$5:$G$57,0)))+IF(RIGHT(TRIM(Paramètres!M53),3)="Fin",1-$H701,IF(LEFT(TRIM(Paramètres!M53),1)="F",1,0)))),IF(Paramètres!N53="",0,IF(Paramètres!O53="",NA(),IF(LEFT(TRIM(Paramètres!O53),1)="F",INDEX($F$653:$F$705,MATCH(Paramètres!N53,Paramètres!$G$5:$G$57,0)),INDEX($E$653:$E$705,MATCH(Paramètres!N53,Paramètres!$G$5:$G$57,0)))+IF(RIGHT(TRIM(Paramètres!O53),3)="Fin",1-$H701,IF(LEFT(TRIM(Paramètres!O53),1)="F",1,0)))))))</f>
        <v/>
      </c>
      <c r="F701" s="19">
        <f>IF($A701="","",E701+$H701-1)</f>
        <v/>
      </c>
      <c r="G701" s="18" t="n"/>
      <c r="H701" s="18">
        <f>IF($A701="","",IF(I701&lt;&gt;"",I701,Paramètres!B53))</f>
        <v/>
      </c>
      <c r="I701" s="18" t="n"/>
    </row>
    <row r="702">
      <c r="A702" s="18">
        <f>IF(ISNUMBER(Dossiers!$D$16),Dossiers!$A$16&amp;" · "&amp;Dossiers!$B$16,"")</f>
        <v/>
      </c>
      <c r="B702" s="18">
        <f>IF($A702="","",Paramètres!G54)</f>
        <v/>
      </c>
      <c r="C702" s="18">
        <f>IF($A702="","",IF(Paramètres!H54="","",Paramètres!H54))</f>
        <v/>
      </c>
      <c r="D702" s="18">
        <f>IF($A702="","",IF(Paramètres!I54="","",Paramètres!I54))</f>
        <v/>
      </c>
      <c r="E702" s="19">
        <f>IF($A702="","",IF(Paramètres!J54&amp;Paramètres!L54&amp;Paramètres!N54="",Dossiers!$D$16,MAX(IF(Paramètres!J54="",0,IF(Paramètres!K54="",NA(),IF(LEFT(TRIM(Paramètres!K54),1)="F",INDEX($F$653:$F$705,MATCH(Paramètres!J54,Paramètres!$G$5:$G$57,0)),INDEX($E$653:$E$705,MATCH(Paramètres!J54,Paramètres!$G$5:$G$57,0)))+IF(RIGHT(TRIM(Paramètres!K54),3)="Fin",1-$H702,IF(LEFT(TRIM(Paramètres!K54),1)="F",1,0)))),IF(Paramètres!L54="",0,IF(Paramètres!M54="",NA(),IF(LEFT(TRIM(Paramètres!M54),1)="F",INDEX($F$653:$F$705,MATCH(Paramètres!L54,Paramètres!$G$5:$G$57,0)),INDEX($E$653:$E$705,MATCH(Paramètres!L54,Paramètres!$G$5:$G$57,0)))+IF(RIGHT(TRIM(Paramètres!M54),3)="Fin",1-$H702,IF(LEFT(TRIM(Paramètres!M54),1)="F",1,0)))),IF(Paramètres!N54="",0,IF(Paramètres!O54="",NA(),IF(LEFT(TRIM(Paramètres!O54),1)="F",INDEX($F$653:$F$705,MATCH(Paramètres!N54,Paramètres!$G$5:$G$57,0)),INDEX($E$653:$E$705,MATCH(Paramètres!N54,Paramètres!$G$5:$G$57,0)))+IF(RIGHT(TRIM(Paramètres!O54),3)="Fin",1-$H702,IF(LEFT(TRIM(Paramètres!O54),1)="F",1,0)))))))</f>
        <v/>
      </c>
      <c r="F702" s="19">
        <f>IF($A702="","",E702+$H702-1)</f>
        <v/>
      </c>
      <c r="G702" s="18" t="n"/>
      <c r="H702" s="18">
        <f>IF($A702="","",IF(I702&lt;&gt;"",I702,Paramètres!B54))</f>
        <v/>
      </c>
      <c r="I702" s="18" t="n"/>
    </row>
    <row r="703">
      <c r="A703" s="18">
        <f>IF(ISNUMBER(Dossiers!$D$16),Dossiers!$A$16&amp;" · "&amp;Dossiers!$B$16,"")</f>
        <v/>
      </c>
      <c r="B703" s="18">
        <f>IF($A703="","",Paramètres!G55)</f>
        <v/>
      </c>
      <c r="C703" s="18">
        <f>IF($A703="","",IF(Paramètres!H55="","",Paramètres!H55))</f>
        <v/>
      </c>
      <c r="D703" s="18">
        <f>IF($A703="","",IF(Paramètres!I55="","",Paramètres!I55))</f>
        <v/>
      </c>
      <c r="E703" s="19">
        <f>IF($A703="","",IF(Paramètres!J55&amp;Paramètres!L55&amp;Paramètres!N55="",Dossiers!$D$16,MAX(IF(Paramètres!J55="",0,IF(Paramètres!K55="",NA(),IF(LEFT(TRIM(Paramètres!K55),1)="F",INDEX($F$653:$F$705,MATCH(Paramètres!J55,Paramètres!$G$5:$G$57,0)),INDEX($E$653:$E$705,MATCH(Paramètres!J55,Paramètres!$G$5:$G$57,0)))+IF(RIGHT(TRIM(Paramètres!K55),3)="Fin",1-$H703,IF(LEFT(TRIM(Paramètres!K55),1)="F",1,0)))),IF(Paramètres!L55="",0,IF(Paramètres!M55="",NA(),IF(LEFT(TRIM(Paramètres!M55),1)="F",INDEX($F$653:$F$705,MATCH(Paramètres!L55,Paramètres!$G$5:$G$57,0)),INDEX($E$653:$E$705,MATCH(Paramètres!L55,Paramètres!$G$5:$G$57,0)))+IF(RIGHT(TRIM(Paramètres!M55),3)="Fin",1-$H703,IF(LEFT(TRIM(Paramètres!M55),1)="F",1,0)))),IF(Paramètres!N55="",0,IF(Paramètres!O55="",NA(),IF(LEFT(TRIM(Paramètres!O55),1)="F",INDEX($F$653:$F$705,MATCH(Paramètres!N55,Paramètres!$G$5:$G$57,0)),INDEX($E$653:$E$705,MATCH(Paramètres!N55,Paramètres!$G$5:$G$57,0)))+IF(RIGHT(TRIM(Paramètres!O55),3)="Fin",1-$H703,IF(LEFT(TRIM(Paramètres!O55),1)="F",1,0)))))))</f>
        <v/>
      </c>
      <c r="F703" s="19">
        <f>IF($A703="","",E703+$H703-1)</f>
        <v/>
      </c>
      <c r="G703" s="18" t="n"/>
      <c r="H703" s="18">
        <f>IF($A703="","",IF(I703&lt;&gt;"",I703,Paramètres!B55))</f>
        <v/>
      </c>
      <c r="I703" s="18" t="n"/>
    </row>
    <row r="704">
      <c r="A704" s="18">
        <f>IF(ISNUMBER(Dossiers!$D$16),Dossiers!$A$16&amp;" · "&amp;Dossiers!$B$16,"")</f>
        <v/>
      </c>
      <c r="B704" s="18">
        <f>IF($A704="","",Paramètres!G56)</f>
        <v/>
      </c>
      <c r="C704" s="18">
        <f>IF($A704="","",IF(Paramètres!H56="","",Paramètres!H56))</f>
        <v/>
      </c>
      <c r="D704" s="18">
        <f>IF($A704="","",IF(Paramètres!I56="","",Paramètres!I56))</f>
        <v/>
      </c>
      <c r="E704" s="19">
        <f>IF($A704="","",MIN(E705:E705))</f>
        <v/>
      </c>
      <c r="F704" s="19">
        <f>IF($A704="","",MAX(F705:F705))</f>
        <v/>
      </c>
      <c r="G704" s="18" t="n"/>
      <c r="H704" s="18">
        <f>IF($A704="","",F704-E704+1)</f>
        <v/>
      </c>
      <c r="I704" s="18" t="n"/>
    </row>
    <row r="705">
      <c r="A705" s="18">
        <f>IF(ISNUMBER(Dossiers!$D$16),Dossiers!$A$16&amp;" · "&amp;Dossiers!$B$16,"")</f>
        <v/>
      </c>
      <c r="B705" s="18">
        <f>IF($A705="","",Paramètres!G57)</f>
        <v/>
      </c>
      <c r="C705" s="18">
        <f>IF($A705="","",IF(Paramètres!H57="","",Paramètres!H57))</f>
        <v/>
      </c>
      <c r="D705" s="18">
        <f>IF($A705="","",IF(Paramètres!I57="","",Paramètres!I57))</f>
        <v/>
      </c>
      <c r="E705" s="19">
        <f>IF($A705="","",IF(Paramètres!J57&amp;Paramètres!L57&amp;Paramètres!N57="",Dossiers!$D$16,MAX(IF(Paramètres!J57="",0,IF(Paramètres!K57="",NA(),IF(LEFT(TRIM(Paramètres!K57),1)="F",INDEX($F$653:$F$705,MATCH(Paramètres!J57,Paramètres!$G$5:$G$57,0)),INDEX($E$653:$E$705,MATCH(Paramètres!J57,Paramètres!$G$5:$G$57,0)))+IF(RIGHT(TRIM(Paramètres!K57),3)="Fin",1-$H705,IF(LEFT(TRIM(Paramètres!K57),1)="F",1,0)))),IF(Paramètres!L57="",0,IF(Paramètres!M57="",NA(),IF(LEFT(TRIM(Paramètres!M57),1)="F",INDEX($F$653:$F$705,MATCH(Paramètres!L57,Paramètres!$G$5:$G$57,0)),INDEX($E$653:$E$705,MATCH(Paramètres!L57,Paramètres!$G$5:$G$57,0)))+IF(RIGHT(TRIM(Paramètres!M57),3)="Fin",1-$H705,IF(LEFT(TRIM(Paramètres!M57),1)="F",1,0)))),IF(Paramètres!N57="",0,IF(Paramètres!O57="",NA(),IF(LEFT(TRIM(Paramètres!O57),1)="F",INDEX($F$653:$F$705,MATCH(Paramètres!N57,Paramètres!$G$5:$G$57,0)),INDEX($E$653:$E$705,MATCH(Paramètres!N57,Paramètres!$G$5:$G$57,0)))+IF(RIGHT(TRIM(Paramètres!O57),3)="Fin",1-$H705,IF(LEFT(TRIM(Paramètres!O57),1)="F",1,0)))))))</f>
        <v/>
      </c>
      <c r="F705" s="19">
        <f>IF($A705="","",E705+$H705-1)</f>
        <v/>
      </c>
      <c r="G705" s="18" t="n"/>
      <c r="H705" s="18">
        <f>IF($A705="","",IF(I705&lt;&gt;"",I705,Paramètres!B57))</f>
        <v/>
      </c>
      <c r="I705" s="18" t="n"/>
    </row>
    <row r="706">
      <c r="A706" s="16">
        <f>IF(ISNUMBER(Dossiers!$D$17),Dossiers!$E$17,"")</f>
        <v/>
      </c>
      <c r="B706" s="16">
        <f>IF($A706="","","Identifiant")</f>
        <v/>
      </c>
      <c r="C706" s="16">
        <f>IF($A706="","","Macro Etape")</f>
        <v/>
      </c>
      <c r="D706" s="16">
        <f>IF($A706="","","Etape")</f>
        <v/>
      </c>
      <c r="E706" s="17">
        <f>IF($A706="","","Début le")</f>
        <v/>
      </c>
      <c r="F706" s="17">
        <f>IF($A706="","","Fin prévue le")</f>
        <v/>
      </c>
      <c r="G706" s="16">
        <f>IF($A706="","","Statut")</f>
        <v/>
      </c>
      <c r="H706" s="16">
        <f>IF($A706="","","Durée (jours)")</f>
        <v/>
      </c>
      <c r="I706" s="16">
        <f>IF($A706="","","Durée particulière")</f>
        <v/>
      </c>
      <c r="J706" s="10">
        <f>IF($A706="","",HYPERLINK("#'Tableau de bord'!A1","↑ Tableau de bord"))</f>
        <v/>
      </c>
    </row>
    <row r="707">
      <c r="A707" s="18">
        <f>IF(ISNUMBER(Dossiers!$D$17),Dossiers!$A$17&amp;" · "&amp;Dossiers!$B$17,"")</f>
        <v/>
      </c>
      <c r="B707" s="18">
        <f>IF($A707="","",Paramètres!G5)</f>
        <v/>
      </c>
      <c r="C707" s="18">
        <f>IF($A707="","",IF(Paramètres!H5="","",Paramètres!H5))</f>
        <v/>
      </c>
      <c r="D707" s="18">
        <f>IF($A707="","",IF(Paramètres!I5="","",Paramètres!I5))</f>
        <v/>
      </c>
      <c r="E707" s="19">
        <f>IF($A707="","",MIN(E708:E711))</f>
        <v/>
      </c>
      <c r="F707" s="19">
        <f>IF($A707="","",MAX(F708:F711))</f>
        <v/>
      </c>
      <c r="G707" s="18" t="n"/>
      <c r="H707" s="18">
        <f>IF($A707="","",F707-E707+1)</f>
        <v/>
      </c>
      <c r="I707" s="18" t="n"/>
    </row>
    <row r="708">
      <c r="A708" s="18">
        <f>IF(ISNUMBER(Dossiers!$D$17),Dossiers!$A$17&amp;" · "&amp;Dossiers!$B$17,"")</f>
        <v/>
      </c>
      <c r="B708" s="18">
        <f>IF($A708="","",Paramètres!G6)</f>
        <v/>
      </c>
      <c r="C708" s="18">
        <f>IF($A708="","",IF(Paramètres!H6="","",Paramètres!H6))</f>
        <v/>
      </c>
      <c r="D708" s="18">
        <f>IF($A708="","",IF(Paramètres!I6="","",Paramètres!I6))</f>
        <v/>
      </c>
      <c r="E708" s="19">
        <f>IF($A708="","",IF(Paramètres!J6&amp;Paramètres!L6&amp;Paramètres!N6="",Dossiers!$D$17,MAX(IF(Paramètres!J6="",0,IF(Paramètres!K6="",NA(),IF(LEFT(TRIM(Paramètres!K6),1)="F",INDEX($F$707:$F$759,MATCH(Paramètres!J6,Paramètres!$G$5:$G$57,0)),INDEX($E$707:$E$759,MATCH(Paramètres!J6,Paramètres!$G$5:$G$57,0)))+IF(RIGHT(TRIM(Paramètres!K6),3)="Fin",1-$H708,IF(LEFT(TRIM(Paramètres!K6),1)="F",1,0)))),IF(Paramètres!L6="",0,IF(Paramètres!M6="",NA(),IF(LEFT(TRIM(Paramètres!M6),1)="F",INDEX($F$707:$F$759,MATCH(Paramètres!L6,Paramètres!$G$5:$G$57,0)),INDEX($E$707:$E$759,MATCH(Paramètres!L6,Paramètres!$G$5:$G$57,0)))+IF(RIGHT(TRIM(Paramètres!M6),3)="Fin",1-$H708,IF(LEFT(TRIM(Paramètres!M6),1)="F",1,0)))),IF(Paramètres!N6="",0,IF(Paramètres!O6="",NA(),IF(LEFT(TRIM(Paramètres!O6),1)="F",INDEX($F$707:$F$759,MATCH(Paramètres!N6,Paramètres!$G$5:$G$57,0)),INDEX($E$707:$E$759,MATCH(Paramètres!N6,Paramètres!$G$5:$G$57,0)))+IF(RIGHT(TRIM(Paramètres!O6),3)="Fin",1-$H708,IF(LEFT(TRIM(Paramètres!O6),1)="F",1,0)))))))</f>
        <v/>
      </c>
      <c r="F708" s="19">
        <f>IF($A708="","",E708+$H708-1)</f>
        <v/>
      </c>
      <c r="G708" s="18" t="n"/>
      <c r="H708" s="18">
        <f>IF($A708="","",IF(I708&lt;&gt;"",I708,Paramètres!B6))</f>
        <v/>
      </c>
      <c r="I708" s="18" t="n"/>
    </row>
    <row r="709">
      <c r="A709" s="18">
        <f>IF(ISNUMBER(Dossiers!$D$17),Dossiers!$A$17&amp;" · "&amp;Dossiers!$B$17,"")</f>
        <v/>
      </c>
      <c r="B709" s="18">
        <f>IF($A709="","",Paramètres!G7)</f>
        <v/>
      </c>
      <c r="C709" s="18">
        <f>IF($A709="","",IF(Paramètres!H7="","",Paramètres!H7))</f>
        <v/>
      </c>
      <c r="D709" s="18">
        <f>IF($A709="","",IF(Paramètres!I7="","",Paramètres!I7))</f>
        <v/>
      </c>
      <c r="E709" s="19">
        <f>IF($A709="","",IF(Paramètres!J7&amp;Paramètres!L7&amp;Paramètres!N7="",Dossiers!$D$17,MAX(IF(Paramètres!J7="",0,IF(Paramètres!K7="",NA(),IF(LEFT(TRIM(Paramètres!K7),1)="F",INDEX($F$707:$F$759,MATCH(Paramètres!J7,Paramètres!$G$5:$G$57,0)),INDEX($E$707:$E$759,MATCH(Paramètres!J7,Paramètres!$G$5:$G$57,0)))+IF(RIGHT(TRIM(Paramètres!K7),3)="Fin",1-$H709,IF(LEFT(TRIM(Paramètres!K7),1)="F",1,0)))),IF(Paramètres!L7="",0,IF(Paramètres!M7="",NA(),IF(LEFT(TRIM(Paramètres!M7),1)="F",INDEX($F$707:$F$759,MATCH(Paramètres!L7,Paramètres!$G$5:$G$57,0)),INDEX($E$707:$E$759,MATCH(Paramètres!L7,Paramètres!$G$5:$G$57,0)))+IF(RIGHT(TRIM(Paramètres!M7),3)="Fin",1-$H709,IF(LEFT(TRIM(Paramètres!M7),1)="F",1,0)))),IF(Paramètres!N7="",0,IF(Paramètres!O7="",NA(),IF(LEFT(TRIM(Paramètres!O7),1)="F",INDEX($F$707:$F$759,MATCH(Paramètres!N7,Paramètres!$G$5:$G$57,0)),INDEX($E$707:$E$759,MATCH(Paramètres!N7,Paramètres!$G$5:$G$57,0)))+IF(RIGHT(TRIM(Paramètres!O7),3)="Fin",1-$H709,IF(LEFT(TRIM(Paramètres!O7),1)="F",1,0)))))))</f>
        <v/>
      </c>
      <c r="F709" s="19">
        <f>IF($A709="","",E709+$H709-1)</f>
        <v/>
      </c>
      <c r="G709" s="18" t="n"/>
      <c r="H709" s="18">
        <f>IF($A709="","",IF(I709&lt;&gt;"",I709,Paramètres!B7))</f>
        <v/>
      </c>
      <c r="I709" s="18" t="n"/>
    </row>
    <row r="710">
      <c r="A710" s="18">
        <f>IF(ISNUMBER(Dossiers!$D$17),Dossiers!$A$17&amp;" · "&amp;Dossiers!$B$17,"")</f>
        <v/>
      </c>
      <c r="B710" s="18">
        <f>IF($A710="","",Paramètres!G8)</f>
        <v/>
      </c>
      <c r="C710" s="18">
        <f>IF($A710="","",IF(Paramètres!H8="","",Paramètres!H8))</f>
        <v/>
      </c>
      <c r="D710" s="18">
        <f>IF($A710="","",IF(Paramètres!I8="","",Paramètres!I8))</f>
        <v/>
      </c>
      <c r="E710" s="19">
        <f>IF($A710="","",IF(Paramètres!J8&amp;Paramètres!L8&amp;Paramètres!N8="",Dossiers!$D$17,MAX(IF(Paramètres!J8="",0,IF(Paramètres!K8="",NA(),IF(LEFT(TRIM(Paramètres!K8),1)="F",INDEX($F$707:$F$759,MATCH(Paramètres!J8,Paramètres!$G$5:$G$57,0)),INDEX($E$707:$E$759,MATCH(Paramètres!J8,Paramètres!$G$5:$G$57,0)))+IF(RIGHT(TRIM(Paramètres!K8),3)="Fin",1-$H710,IF(LEFT(TRIM(Paramètres!K8),1)="F",1,0)))),IF(Paramètres!L8="",0,IF(Paramètres!M8="",NA(),IF(LEFT(TRIM(Paramètres!M8),1)="F",INDEX($F$707:$F$759,MATCH(Paramètres!L8,Paramètres!$G$5:$G$57,0)),INDEX($E$707:$E$759,MATCH(Paramètres!L8,Paramètres!$G$5:$G$57,0)))+IF(RIGHT(TRIM(Paramètres!M8),3)="Fin",1-$H710,IF(LEFT(TRIM(Paramètres!M8),1)="F",1,0)))),IF(Paramètres!N8="",0,IF(Paramètres!O8="",NA(),IF(LEFT(TRIM(Paramètres!O8),1)="F",INDEX($F$707:$F$759,MATCH(Paramètres!N8,Paramètres!$G$5:$G$57,0)),INDEX($E$707:$E$759,MATCH(Paramètres!N8,Paramètres!$G$5:$G$57,0)))+IF(RIGHT(TRIM(Paramètres!O8),3)="Fin",1-$H710,IF(LEFT(TRIM(Paramètres!O8),1)="F",1,0)))))))</f>
        <v/>
      </c>
      <c r="F710" s="19">
        <f>IF($A710="","",E710+$H710-1)</f>
        <v/>
      </c>
      <c r="G710" s="18" t="n"/>
      <c r="H710" s="18">
        <f>IF($A710="","",IF(I710&lt;&gt;"",I710,Paramètres!B8))</f>
        <v/>
      </c>
      <c r="I710" s="18" t="n"/>
    </row>
    <row r="711">
      <c r="A711" s="18">
        <f>IF(ISNUMBER(Dossiers!$D$17),Dossiers!$A$17&amp;" · "&amp;Dossiers!$B$17,"")</f>
        <v/>
      </c>
      <c r="B711" s="18">
        <f>IF($A711="","",Paramètres!G9)</f>
        <v/>
      </c>
      <c r="C711" s="18">
        <f>IF($A711="","",IF(Paramètres!H9="","",Paramètres!H9))</f>
        <v/>
      </c>
      <c r="D711" s="18">
        <f>IF($A711="","",IF(Paramètres!I9="","",Paramètres!I9))</f>
        <v/>
      </c>
      <c r="E711" s="19">
        <f>IF($A711="","",IF(Paramètres!J9&amp;Paramètres!L9&amp;Paramètres!N9="",Dossiers!$D$17,MAX(IF(Paramètres!J9="",0,IF(Paramètres!K9="",NA(),IF(LEFT(TRIM(Paramètres!K9),1)="F",INDEX($F$707:$F$759,MATCH(Paramètres!J9,Paramètres!$G$5:$G$57,0)),INDEX($E$707:$E$759,MATCH(Paramètres!J9,Paramètres!$G$5:$G$57,0)))+IF(RIGHT(TRIM(Paramètres!K9),3)="Fin",1-$H711,IF(LEFT(TRIM(Paramètres!K9),1)="F",1,0)))),IF(Paramètres!L9="",0,IF(Paramètres!M9="",NA(),IF(LEFT(TRIM(Paramètres!M9),1)="F",INDEX($F$707:$F$759,MATCH(Paramètres!L9,Paramètres!$G$5:$G$57,0)),INDEX($E$707:$E$759,MATCH(Paramètres!L9,Paramètres!$G$5:$G$57,0)))+IF(RIGHT(TRIM(Paramètres!M9),3)="Fin",1-$H711,IF(LEFT(TRIM(Paramètres!M9),1)="F",1,0)))),IF(Paramètres!N9="",0,IF(Paramètres!O9="",NA(),IF(LEFT(TRIM(Paramètres!O9),1)="F",INDEX($F$707:$F$759,MATCH(Paramètres!N9,Paramètres!$G$5:$G$57,0)),INDEX($E$707:$E$759,MATCH(Paramètres!N9,Paramètres!$G$5:$G$57,0)))+IF(RIGHT(TRIM(Paramètres!O9),3)="Fin",1-$H711,IF(LEFT(TRIM(Paramètres!O9),1)="F",1,0)))))))</f>
        <v/>
      </c>
      <c r="F711" s="19">
        <f>IF($A711="","",E711+$H711-1)</f>
        <v/>
      </c>
      <c r="G711" s="18" t="n"/>
      <c r="H711" s="18">
        <f>IF($A711="","",IF(I711&lt;&gt;"",I711,Paramètres!B9))</f>
        <v/>
      </c>
      <c r="I711" s="18" t="n"/>
    </row>
    <row r="712">
      <c r="A712" s="18">
        <f>IF(ISNUMBER(Dossiers!$D$17),Dossiers!$A$17&amp;" · "&amp;Dossiers!$B$17,"")</f>
        <v/>
      </c>
      <c r="B712" s="18">
        <f>IF($A712="","",Paramètres!G10)</f>
        <v/>
      </c>
      <c r="C712" s="18">
        <f>IF($A712="","",IF(Paramètres!H10="","",Paramètres!H10))</f>
        <v/>
      </c>
      <c r="D712" s="18">
        <f>IF($A712="","",IF(Paramètres!I10="","",Paramètres!I10))</f>
        <v/>
      </c>
      <c r="E712" s="19">
        <f>IF($A712="","",MIN(E713:E716))</f>
        <v/>
      </c>
      <c r="F712" s="19">
        <f>IF($A712="","",MAX(F713:F716))</f>
        <v/>
      </c>
      <c r="G712" s="18" t="n"/>
      <c r="H712" s="18">
        <f>IF($A712="","",F712-E712+1)</f>
        <v/>
      </c>
      <c r="I712" s="18" t="n"/>
    </row>
    <row r="713">
      <c r="A713" s="18">
        <f>IF(ISNUMBER(Dossiers!$D$17),Dossiers!$A$17&amp;" · "&amp;Dossiers!$B$17,"")</f>
        <v/>
      </c>
      <c r="B713" s="18">
        <f>IF($A713="","",Paramètres!G11)</f>
        <v/>
      </c>
      <c r="C713" s="18">
        <f>IF($A713="","",IF(Paramètres!H11="","",Paramètres!H11))</f>
        <v/>
      </c>
      <c r="D713" s="18">
        <f>IF($A713="","",IF(Paramètres!I11="","",Paramètres!I11))</f>
        <v/>
      </c>
      <c r="E713" s="19">
        <f>IF($A713="","",IF(Paramètres!J11&amp;Paramètres!L11&amp;Paramètres!N11="",Dossiers!$D$17,MAX(IF(Paramètres!J11="",0,IF(Paramètres!K11="",NA(),IF(LEFT(TRIM(Paramètres!K11),1)="F",INDEX($F$707:$F$759,MATCH(Paramètres!J11,Paramètres!$G$5:$G$57,0)),INDEX($E$707:$E$759,MATCH(Paramètres!J11,Paramètres!$G$5:$G$57,0)))+IF(RIGHT(TRIM(Paramètres!K11),3)="Fin",1-$H713,IF(LEFT(TRIM(Paramètres!K11),1)="F",1,0)))),IF(Paramètres!L11="",0,IF(Paramètres!M11="",NA(),IF(LEFT(TRIM(Paramètres!M11),1)="F",INDEX($F$707:$F$759,MATCH(Paramètres!L11,Paramètres!$G$5:$G$57,0)),INDEX($E$707:$E$759,MATCH(Paramètres!L11,Paramètres!$G$5:$G$57,0)))+IF(RIGHT(TRIM(Paramètres!M11),3)="Fin",1-$H713,IF(LEFT(TRIM(Paramètres!M11),1)="F",1,0)))),IF(Paramètres!N11="",0,IF(Paramètres!O11="",NA(),IF(LEFT(TRIM(Paramètres!O11),1)="F",INDEX($F$707:$F$759,MATCH(Paramètres!N11,Paramètres!$G$5:$G$57,0)),INDEX($E$707:$E$759,MATCH(Paramètres!N11,Paramètres!$G$5:$G$57,0)))+IF(RIGHT(TRIM(Paramètres!O11),3)="Fin",1-$H713,IF(LEFT(TRIM(Paramètres!O11),1)="F",1,0)))))))</f>
        <v/>
      </c>
      <c r="F713" s="19">
        <f>IF($A713="","",E713+$H713-1)</f>
        <v/>
      </c>
      <c r="G713" s="18" t="n"/>
      <c r="H713" s="18">
        <f>IF($A713="","",IF(I713&lt;&gt;"",I713,Paramètres!B11))</f>
        <v/>
      </c>
      <c r="I713" s="18" t="n"/>
    </row>
    <row r="714">
      <c r="A714" s="18">
        <f>IF(ISNUMBER(Dossiers!$D$17),Dossiers!$A$17&amp;" · "&amp;Dossiers!$B$17,"")</f>
        <v/>
      </c>
      <c r="B714" s="18">
        <f>IF($A714="","",Paramètres!G12)</f>
        <v/>
      </c>
      <c r="C714" s="18">
        <f>IF($A714="","",IF(Paramètres!H12="","",Paramètres!H12))</f>
        <v/>
      </c>
      <c r="D714" s="18">
        <f>IF($A714="","",IF(Paramètres!I12="","",Paramètres!I12))</f>
        <v/>
      </c>
      <c r="E714" s="19">
        <f>IF($A714="","",IF(Paramètres!J12&amp;Paramètres!L12&amp;Paramètres!N12="",Dossiers!$D$17,MAX(IF(Paramètres!J12="",0,IF(Paramètres!K12="",NA(),IF(LEFT(TRIM(Paramètres!K12),1)="F",INDEX($F$707:$F$759,MATCH(Paramètres!J12,Paramètres!$G$5:$G$57,0)),INDEX($E$707:$E$759,MATCH(Paramètres!J12,Paramètres!$G$5:$G$57,0)))+IF(RIGHT(TRIM(Paramètres!K12),3)="Fin",1-$H714,IF(LEFT(TRIM(Paramètres!K12),1)="F",1,0)))),IF(Paramètres!L12="",0,IF(Paramètres!M12="",NA(),IF(LEFT(TRIM(Paramètres!M12),1)="F",INDEX($F$707:$F$759,MATCH(Paramètres!L12,Paramètres!$G$5:$G$57,0)),INDEX($E$707:$E$759,MATCH(Paramètres!L12,Paramètres!$G$5:$G$57,0)))+IF(RIGHT(TRIM(Paramètres!M12),3)="Fin",1-$H714,IF(LEFT(TRIM(Paramètres!M12),1)="F",1,0)))),IF(Paramètres!N12="",0,IF(Paramètres!O12="",NA(),IF(LEFT(TRIM(Paramètres!O12),1)="F",INDEX($F$707:$F$759,MATCH(Paramètres!N12,Paramètres!$G$5:$G$57,0)),INDEX($E$707:$E$759,MATCH(Paramètres!N12,Paramètres!$G$5:$G$57,0)))+IF(RIGHT(TRIM(Paramètres!O12),3)="Fin",1-$H714,IF(LEFT(TRIM(Paramètres!O12),1)="F",1,0)))))))</f>
        <v/>
      </c>
      <c r="F714" s="19">
        <f>IF($A714="","",E714+$H714-1)</f>
        <v/>
      </c>
      <c r="G714" s="18" t="n"/>
      <c r="H714" s="18">
        <f>IF($A714="","",IF(I714&lt;&gt;"",I714,Paramètres!B12))</f>
        <v/>
      </c>
      <c r="I714" s="18" t="n"/>
    </row>
    <row r="715">
      <c r="A715" s="18">
        <f>IF(ISNUMBER(Dossiers!$D$17),Dossiers!$A$17&amp;" · "&amp;Dossiers!$B$17,"")</f>
        <v/>
      </c>
      <c r="B715" s="18">
        <f>IF($A715="","",Paramètres!G13)</f>
        <v/>
      </c>
      <c r="C715" s="18">
        <f>IF($A715="","",IF(Paramètres!H13="","",Paramètres!H13))</f>
        <v/>
      </c>
      <c r="D715" s="18">
        <f>IF($A715="","",IF(Paramètres!I13="","",Paramètres!I13))</f>
        <v/>
      </c>
      <c r="E715" s="19">
        <f>IF($A715="","",IF(Paramètres!J13&amp;Paramètres!L13&amp;Paramètres!N13="",Dossiers!$D$17,MAX(IF(Paramètres!J13="",0,IF(Paramètres!K13="",NA(),IF(LEFT(TRIM(Paramètres!K13),1)="F",INDEX($F$707:$F$759,MATCH(Paramètres!J13,Paramètres!$G$5:$G$57,0)),INDEX($E$707:$E$759,MATCH(Paramètres!J13,Paramètres!$G$5:$G$57,0)))+IF(RIGHT(TRIM(Paramètres!K13),3)="Fin",1-$H715,IF(LEFT(TRIM(Paramètres!K13),1)="F",1,0)))),IF(Paramètres!L13="",0,IF(Paramètres!M13="",NA(),IF(LEFT(TRIM(Paramètres!M13),1)="F",INDEX($F$707:$F$759,MATCH(Paramètres!L13,Paramètres!$G$5:$G$57,0)),INDEX($E$707:$E$759,MATCH(Paramètres!L13,Paramètres!$G$5:$G$57,0)))+IF(RIGHT(TRIM(Paramètres!M13),3)="Fin",1-$H715,IF(LEFT(TRIM(Paramètres!M13),1)="F",1,0)))),IF(Paramètres!N13="",0,IF(Paramètres!O13="",NA(),IF(LEFT(TRIM(Paramètres!O13),1)="F",INDEX($F$707:$F$759,MATCH(Paramètres!N13,Paramètres!$G$5:$G$57,0)),INDEX($E$707:$E$759,MATCH(Paramètres!N13,Paramètres!$G$5:$G$57,0)))+IF(RIGHT(TRIM(Paramètres!O13),3)="Fin",1-$H715,IF(LEFT(TRIM(Paramètres!O13),1)="F",1,0)))))))</f>
        <v/>
      </c>
      <c r="F715" s="19">
        <f>IF($A715="","",E715+$H715-1)</f>
        <v/>
      </c>
      <c r="G715" s="18" t="n"/>
      <c r="H715" s="18">
        <f>IF($A715="","",IF(I715&lt;&gt;"",I715,Paramètres!B13))</f>
        <v/>
      </c>
      <c r="I715" s="18" t="n"/>
    </row>
    <row r="716">
      <c r="A716" s="18">
        <f>IF(ISNUMBER(Dossiers!$D$17),Dossiers!$A$17&amp;" · "&amp;Dossiers!$B$17,"")</f>
        <v/>
      </c>
      <c r="B716" s="18">
        <f>IF($A716="","",Paramètres!G14)</f>
        <v/>
      </c>
      <c r="C716" s="18">
        <f>IF($A716="","",IF(Paramètres!H14="","",Paramètres!H14))</f>
        <v/>
      </c>
      <c r="D716" s="18">
        <f>IF($A716="","",IF(Paramètres!I14="","",Paramètres!I14))</f>
        <v/>
      </c>
      <c r="E716" s="19">
        <f>IF($A716="","",IF(Paramètres!J14&amp;Paramètres!L14&amp;Paramètres!N14="",Dossiers!$D$17,MAX(IF(Paramètres!J14="",0,IF(Paramètres!K14="",NA(),IF(LEFT(TRIM(Paramètres!K14),1)="F",INDEX($F$707:$F$759,MATCH(Paramètres!J14,Paramètres!$G$5:$G$57,0)),INDEX($E$707:$E$759,MATCH(Paramètres!J14,Paramètres!$G$5:$G$57,0)))+IF(RIGHT(TRIM(Paramètres!K14),3)="Fin",1-$H716,IF(LEFT(TRIM(Paramètres!K14),1)="F",1,0)))),IF(Paramètres!L14="",0,IF(Paramètres!M14="",NA(),IF(LEFT(TRIM(Paramètres!M14),1)="F",INDEX($F$707:$F$759,MATCH(Paramètres!L14,Paramètres!$G$5:$G$57,0)),INDEX($E$707:$E$759,MATCH(Paramètres!L14,Paramètres!$G$5:$G$57,0)))+IF(RIGHT(TRIM(Paramètres!M14),3)="Fin",1-$H716,IF(LEFT(TRIM(Paramètres!M14),1)="F",1,0)))),IF(Paramètres!N14="",0,IF(Paramètres!O14="",NA(),IF(LEFT(TRIM(Paramètres!O14),1)="F",INDEX($F$707:$F$759,MATCH(Paramètres!N14,Paramètres!$G$5:$G$57,0)),INDEX($E$707:$E$759,MATCH(Paramètres!N14,Paramètres!$G$5:$G$57,0)))+IF(RIGHT(TRIM(Paramètres!O14),3)="Fin",1-$H716,IF(LEFT(TRIM(Paramètres!O14),1)="F",1,0)))))))</f>
        <v/>
      </c>
      <c r="F716" s="19">
        <f>IF($A716="","",E716+$H716-1)</f>
        <v/>
      </c>
      <c r="G716" s="18" t="n"/>
      <c r="H716" s="18">
        <f>IF($A716="","",IF(I716&lt;&gt;"",I716,Paramètres!B14))</f>
        <v/>
      </c>
      <c r="I716" s="18" t="n"/>
    </row>
    <row r="717">
      <c r="A717" s="18">
        <f>IF(ISNUMBER(Dossiers!$D$17),Dossiers!$A$17&amp;" · "&amp;Dossiers!$B$17,"")</f>
        <v/>
      </c>
      <c r="B717" s="18">
        <f>IF($A717="","",Paramètres!G15)</f>
        <v/>
      </c>
      <c r="C717" s="18">
        <f>IF($A717="","",IF(Paramètres!H15="","",Paramètres!H15))</f>
        <v/>
      </c>
      <c r="D717" s="18">
        <f>IF($A717="","",IF(Paramètres!I15="","",Paramètres!I15))</f>
        <v/>
      </c>
      <c r="E717" s="19">
        <f>IF($A717="","",MIN(E718:E733))</f>
        <v/>
      </c>
      <c r="F717" s="19">
        <f>IF($A717="","",MAX(F718:F733))</f>
        <v/>
      </c>
      <c r="G717" s="18" t="n"/>
      <c r="H717" s="18">
        <f>IF($A717="","",F717-E717+1)</f>
        <v/>
      </c>
      <c r="I717" s="18" t="n"/>
    </row>
    <row r="718">
      <c r="A718" s="18">
        <f>IF(ISNUMBER(Dossiers!$D$17),Dossiers!$A$17&amp;" · "&amp;Dossiers!$B$17,"")</f>
        <v/>
      </c>
      <c r="B718" s="18">
        <f>IF($A718="","",Paramètres!G16)</f>
        <v/>
      </c>
      <c r="C718" s="18">
        <f>IF($A718="","",IF(Paramètres!H16="","",Paramètres!H16))</f>
        <v/>
      </c>
      <c r="D718" s="18">
        <f>IF($A718="","",IF(Paramètres!I16="","",Paramètres!I16))</f>
        <v/>
      </c>
      <c r="E718" s="19">
        <f>IF($A718="","",IF(Paramètres!J16&amp;Paramètres!L16&amp;Paramètres!N16="",Dossiers!$D$17,MAX(IF(Paramètres!J16="",0,IF(Paramètres!K16="",NA(),IF(LEFT(TRIM(Paramètres!K16),1)="F",INDEX($F$707:$F$759,MATCH(Paramètres!J16,Paramètres!$G$5:$G$57,0)),INDEX($E$707:$E$759,MATCH(Paramètres!J16,Paramètres!$G$5:$G$57,0)))+IF(RIGHT(TRIM(Paramètres!K16),3)="Fin",1-$H718,IF(LEFT(TRIM(Paramètres!K16),1)="F",1,0)))),IF(Paramètres!L16="",0,IF(Paramètres!M16="",NA(),IF(LEFT(TRIM(Paramètres!M16),1)="F",INDEX($F$707:$F$759,MATCH(Paramètres!L16,Paramètres!$G$5:$G$57,0)),INDEX($E$707:$E$759,MATCH(Paramètres!L16,Paramètres!$G$5:$G$57,0)))+IF(RIGHT(TRIM(Paramètres!M16),3)="Fin",1-$H718,IF(LEFT(TRIM(Paramètres!M16),1)="F",1,0)))),IF(Paramètres!N16="",0,IF(Paramètres!O16="",NA(),IF(LEFT(TRIM(Paramètres!O16),1)="F",INDEX($F$707:$F$759,MATCH(Paramètres!N16,Paramètres!$G$5:$G$57,0)),INDEX($E$707:$E$759,MATCH(Paramètres!N16,Paramètres!$G$5:$G$57,0)))+IF(RIGHT(TRIM(Paramètres!O16),3)="Fin",1-$H718,IF(LEFT(TRIM(Paramètres!O16),1)="F",1,0)))))))</f>
        <v/>
      </c>
      <c r="F718" s="19">
        <f>IF($A718="","",E718+$H718-1)</f>
        <v/>
      </c>
      <c r="G718" s="18" t="n"/>
      <c r="H718" s="18">
        <f>IF($A718="","",IF(I718&lt;&gt;"",I718,Paramètres!B16))</f>
        <v/>
      </c>
      <c r="I718" s="18" t="n"/>
    </row>
    <row r="719">
      <c r="A719" s="18">
        <f>IF(ISNUMBER(Dossiers!$D$17),Dossiers!$A$17&amp;" · "&amp;Dossiers!$B$17,"")</f>
        <v/>
      </c>
      <c r="B719" s="18">
        <f>IF($A719="","",Paramètres!G17)</f>
        <v/>
      </c>
      <c r="C719" s="18">
        <f>IF($A719="","",IF(Paramètres!H17="","",Paramètres!H17))</f>
        <v/>
      </c>
      <c r="D719" s="18">
        <f>IF($A719="","",IF(Paramètres!I17="","",Paramètres!I17))</f>
        <v/>
      </c>
      <c r="E719" s="19">
        <f>IF($A719="","",IF(Paramètres!J17&amp;Paramètres!L17&amp;Paramètres!N17="",Dossiers!$D$17,MAX(IF(Paramètres!J17="",0,IF(Paramètres!K17="",NA(),IF(LEFT(TRIM(Paramètres!K17),1)="F",INDEX($F$707:$F$759,MATCH(Paramètres!J17,Paramètres!$G$5:$G$57,0)),INDEX($E$707:$E$759,MATCH(Paramètres!J17,Paramètres!$G$5:$G$57,0)))+IF(RIGHT(TRIM(Paramètres!K17),3)="Fin",1-$H719,IF(LEFT(TRIM(Paramètres!K17),1)="F",1,0)))),IF(Paramètres!L17="",0,IF(Paramètres!M17="",NA(),IF(LEFT(TRIM(Paramètres!M17),1)="F",INDEX($F$707:$F$759,MATCH(Paramètres!L17,Paramètres!$G$5:$G$57,0)),INDEX($E$707:$E$759,MATCH(Paramètres!L17,Paramètres!$G$5:$G$57,0)))+IF(RIGHT(TRIM(Paramètres!M17),3)="Fin",1-$H719,IF(LEFT(TRIM(Paramètres!M17),1)="F",1,0)))),IF(Paramètres!N17="",0,IF(Paramètres!O17="",NA(),IF(LEFT(TRIM(Paramètres!O17),1)="F",INDEX($F$707:$F$759,MATCH(Paramètres!N17,Paramètres!$G$5:$G$57,0)),INDEX($E$707:$E$759,MATCH(Paramètres!N17,Paramètres!$G$5:$G$57,0)))+IF(RIGHT(TRIM(Paramètres!O17),3)="Fin",1-$H719,IF(LEFT(TRIM(Paramètres!O17),1)="F",1,0)))))))</f>
        <v/>
      </c>
      <c r="F719" s="19">
        <f>IF($A719="","",E719+$H719-1)</f>
        <v/>
      </c>
      <c r="G719" s="18" t="n"/>
      <c r="H719" s="18">
        <f>IF($A719="","",IF(I719&lt;&gt;"",I719,Paramètres!B17))</f>
        <v/>
      </c>
      <c r="I719" s="18" t="n"/>
    </row>
    <row r="720">
      <c r="A720" s="18">
        <f>IF(ISNUMBER(Dossiers!$D$17),Dossiers!$A$17&amp;" · "&amp;Dossiers!$B$17,"")</f>
        <v/>
      </c>
      <c r="B720" s="18">
        <f>IF($A720="","",Paramètres!G18)</f>
        <v/>
      </c>
      <c r="C720" s="18">
        <f>IF($A720="","",IF(Paramètres!H18="","",Paramètres!H18))</f>
        <v/>
      </c>
      <c r="D720" s="18">
        <f>IF($A720="","",IF(Paramètres!I18="","",Paramètres!I18))</f>
        <v/>
      </c>
      <c r="E720" s="19">
        <f>IF($A720="","",IF(Paramètres!J18&amp;Paramètres!L18&amp;Paramètres!N18="",Dossiers!$D$17,MAX(IF(Paramètres!J18="",0,IF(Paramètres!K18="",NA(),IF(LEFT(TRIM(Paramètres!K18),1)="F",INDEX($F$707:$F$759,MATCH(Paramètres!J18,Paramètres!$G$5:$G$57,0)),INDEX($E$707:$E$759,MATCH(Paramètres!J18,Paramètres!$G$5:$G$57,0)))+IF(RIGHT(TRIM(Paramètres!K18),3)="Fin",1-$H720,IF(LEFT(TRIM(Paramètres!K18),1)="F",1,0)))),IF(Paramètres!L18="",0,IF(Paramètres!M18="",NA(),IF(LEFT(TRIM(Paramètres!M18),1)="F",INDEX($F$707:$F$759,MATCH(Paramètres!L18,Paramètres!$G$5:$G$57,0)),INDEX($E$707:$E$759,MATCH(Paramètres!L18,Paramètres!$G$5:$G$57,0)))+IF(RIGHT(TRIM(Paramètres!M18),3)="Fin",1-$H720,IF(LEFT(TRIM(Paramètres!M18),1)="F",1,0)))),IF(Paramètres!N18="",0,IF(Paramètres!O18="",NA(),IF(LEFT(TRIM(Paramètres!O18),1)="F",INDEX($F$707:$F$759,MATCH(Paramètres!N18,Paramètres!$G$5:$G$57,0)),INDEX($E$707:$E$759,MATCH(Paramètres!N18,Paramètres!$G$5:$G$57,0)))+IF(RIGHT(TRIM(Paramètres!O18),3)="Fin",1-$H720,IF(LEFT(TRIM(Paramètres!O18),1)="F",1,0)))))))</f>
        <v/>
      </c>
      <c r="F720" s="19">
        <f>IF($A720="","",E720+$H720-1)</f>
        <v/>
      </c>
      <c r="G720" s="18" t="n"/>
      <c r="H720" s="18">
        <f>IF($A720="","",IF(I720&lt;&gt;"",I720,Paramètres!B18))</f>
        <v/>
      </c>
      <c r="I720" s="18" t="n"/>
    </row>
    <row r="721">
      <c r="A721" s="18">
        <f>IF(ISNUMBER(Dossiers!$D$17),Dossiers!$A$17&amp;" · "&amp;Dossiers!$B$17,"")</f>
        <v/>
      </c>
      <c r="B721" s="18">
        <f>IF($A721="","",Paramètres!G19)</f>
        <v/>
      </c>
      <c r="C721" s="18">
        <f>IF($A721="","",IF(Paramètres!H19="","",Paramètres!H19))</f>
        <v/>
      </c>
      <c r="D721" s="18">
        <f>IF($A721="","",IF(Paramètres!I19="","",Paramètres!I19))</f>
        <v/>
      </c>
      <c r="E721" s="19">
        <f>IF($A721="","",IF(Paramètres!J19&amp;Paramètres!L19&amp;Paramètres!N19="",Dossiers!$D$17,MAX(IF(Paramètres!J19="",0,IF(Paramètres!K19="",NA(),IF(LEFT(TRIM(Paramètres!K19),1)="F",INDEX($F$707:$F$759,MATCH(Paramètres!J19,Paramètres!$G$5:$G$57,0)),INDEX($E$707:$E$759,MATCH(Paramètres!J19,Paramètres!$G$5:$G$57,0)))+IF(RIGHT(TRIM(Paramètres!K19),3)="Fin",1-$H721,IF(LEFT(TRIM(Paramètres!K19),1)="F",1,0)))),IF(Paramètres!L19="",0,IF(Paramètres!M19="",NA(),IF(LEFT(TRIM(Paramètres!M19),1)="F",INDEX($F$707:$F$759,MATCH(Paramètres!L19,Paramètres!$G$5:$G$57,0)),INDEX($E$707:$E$759,MATCH(Paramètres!L19,Paramètres!$G$5:$G$57,0)))+IF(RIGHT(TRIM(Paramètres!M19),3)="Fin",1-$H721,IF(LEFT(TRIM(Paramètres!M19),1)="F",1,0)))),IF(Paramètres!N19="",0,IF(Paramètres!O19="",NA(),IF(LEFT(TRIM(Paramètres!O19),1)="F",INDEX($F$707:$F$759,MATCH(Paramètres!N19,Paramètres!$G$5:$G$57,0)),INDEX($E$707:$E$759,MATCH(Paramètres!N19,Paramètres!$G$5:$G$57,0)))+IF(RIGHT(TRIM(Paramètres!O19),3)="Fin",1-$H721,IF(LEFT(TRIM(Paramètres!O19),1)="F",1,0)))))))</f>
        <v/>
      </c>
      <c r="F721" s="19">
        <f>IF($A721="","",E721+$H721-1)</f>
        <v/>
      </c>
      <c r="G721" s="18" t="n"/>
      <c r="H721" s="18">
        <f>IF($A721="","",IF(I721&lt;&gt;"",I721,Paramètres!B19))</f>
        <v/>
      </c>
      <c r="I721" s="18" t="n"/>
    </row>
    <row r="722">
      <c r="A722" s="18">
        <f>IF(ISNUMBER(Dossiers!$D$17),Dossiers!$A$17&amp;" · "&amp;Dossiers!$B$17,"")</f>
        <v/>
      </c>
      <c r="B722" s="18">
        <f>IF($A722="","",Paramètres!G20)</f>
        <v/>
      </c>
      <c r="C722" s="18">
        <f>IF($A722="","",IF(Paramètres!H20="","",Paramètres!H20))</f>
        <v/>
      </c>
      <c r="D722" s="18">
        <f>IF($A722="","",IF(Paramètres!I20="","",Paramètres!I20))</f>
        <v/>
      </c>
      <c r="E722" s="19">
        <f>IF($A722="","",IF(Paramètres!J20&amp;Paramètres!L20&amp;Paramètres!N20="",Dossiers!$D$17,MAX(IF(Paramètres!J20="",0,IF(Paramètres!K20="",NA(),IF(LEFT(TRIM(Paramètres!K20),1)="F",INDEX($F$707:$F$759,MATCH(Paramètres!J20,Paramètres!$G$5:$G$57,0)),INDEX($E$707:$E$759,MATCH(Paramètres!J20,Paramètres!$G$5:$G$57,0)))+IF(RIGHT(TRIM(Paramètres!K20),3)="Fin",1-$H722,IF(LEFT(TRIM(Paramètres!K20),1)="F",1,0)))),IF(Paramètres!L20="",0,IF(Paramètres!M20="",NA(),IF(LEFT(TRIM(Paramètres!M20),1)="F",INDEX($F$707:$F$759,MATCH(Paramètres!L20,Paramètres!$G$5:$G$57,0)),INDEX($E$707:$E$759,MATCH(Paramètres!L20,Paramètres!$G$5:$G$57,0)))+IF(RIGHT(TRIM(Paramètres!M20),3)="Fin",1-$H722,IF(LEFT(TRIM(Paramètres!M20),1)="F",1,0)))),IF(Paramètres!N20="",0,IF(Paramètres!O20="",NA(),IF(LEFT(TRIM(Paramètres!O20),1)="F",INDEX($F$707:$F$759,MATCH(Paramètres!N20,Paramètres!$G$5:$G$57,0)),INDEX($E$707:$E$759,MATCH(Paramètres!N20,Paramètres!$G$5:$G$57,0)))+IF(RIGHT(TRIM(Paramètres!O20),3)="Fin",1-$H722,IF(LEFT(TRIM(Paramètres!O20),1)="F",1,0)))))))</f>
        <v/>
      </c>
      <c r="F722" s="19">
        <f>IF($A722="","",E722+$H722-1)</f>
        <v/>
      </c>
      <c r="G722" s="18" t="n"/>
      <c r="H722" s="18">
        <f>IF($A722="","",IF(I722&lt;&gt;"",I722,Paramètres!B20))</f>
        <v/>
      </c>
      <c r="I722" s="18" t="n"/>
    </row>
    <row r="723">
      <c r="A723" s="18">
        <f>IF(ISNUMBER(Dossiers!$D$17),Dossiers!$A$17&amp;" · "&amp;Dossiers!$B$17,"")</f>
        <v/>
      </c>
      <c r="B723" s="18">
        <f>IF($A723="","",Paramètres!G21)</f>
        <v/>
      </c>
      <c r="C723" s="18">
        <f>IF($A723="","",IF(Paramètres!H21="","",Paramètres!H21))</f>
        <v/>
      </c>
      <c r="D723" s="18">
        <f>IF($A723="","",IF(Paramètres!I21="","",Paramètres!I21))</f>
        <v/>
      </c>
      <c r="E723" s="19">
        <f>IF($A723="","",IF(Paramètres!J21&amp;Paramètres!L21&amp;Paramètres!N21="",Dossiers!$D$17,MAX(IF(Paramètres!J21="",0,IF(Paramètres!K21="",NA(),IF(LEFT(TRIM(Paramètres!K21),1)="F",INDEX($F$707:$F$759,MATCH(Paramètres!J21,Paramètres!$G$5:$G$57,0)),INDEX($E$707:$E$759,MATCH(Paramètres!J21,Paramètres!$G$5:$G$57,0)))+IF(RIGHT(TRIM(Paramètres!K21),3)="Fin",1-$H723,IF(LEFT(TRIM(Paramètres!K21),1)="F",1,0)))),IF(Paramètres!L21="",0,IF(Paramètres!M21="",NA(),IF(LEFT(TRIM(Paramètres!M21),1)="F",INDEX($F$707:$F$759,MATCH(Paramètres!L21,Paramètres!$G$5:$G$57,0)),INDEX($E$707:$E$759,MATCH(Paramètres!L21,Paramètres!$G$5:$G$57,0)))+IF(RIGHT(TRIM(Paramètres!M21),3)="Fin",1-$H723,IF(LEFT(TRIM(Paramètres!M21),1)="F",1,0)))),IF(Paramètres!N21="",0,IF(Paramètres!O21="",NA(),IF(LEFT(TRIM(Paramètres!O21),1)="F",INDEX($F$707:$F$759,MATCH(Paramètres!N21,Paramètres!$G$5:$G$57,0)),INDEX($E$707:$E$759,MATCH(Paramètres!N21,Paramètres!$G$5:$G$57,0)))+IF(RIGHT(TRIM(Paramètres!O21),3)="Fin",1-$H723,IF(LEFT(TRIM(Paramètres!O21),1)="F",1,0)))))))</f>
        <v/>
      </c>
      <c r="F723" s="19">
        <f>IF($A723="","",E723+$H723-1)</f>
        <v/>
      </c>
      <c r="G723" s="18" t="n"/>
      <c r="H723" s="18">
        <f>IF($A723="","",IF(I723&lt;&gt;"",I723,Paramètres!B21))</f>
        <v/>
      </c>
      <c r="I723" s="18" t="n"/>
    </row>
    <row r="724">
      <c r="A724" s="18">
        <f>IF(ISNUMBER(Dossiers!$D$17),Dossiers!$A$17&amp;" · "&amp;Dossiers!$B$17,"")</f>
        <v/>
      </c>
      <c r="B724" s="18">
        <f>IF($A724="","",Paramètres!G22)</f>
        <v/>
      </c>
      <c r="C724" s="18">
        <f>IF($A724="","",IF(Paramètres!H22="","",Paramètres!H22))</f>
        <v/>
      </c>
      <c r="D724" s="18">
        <f>IF($A724="","",IF(Paramètres!I22="","",Paramètres!I22))</f>
        <v/>
      </c>
      <c r="E724" s="19">
        <f>IF($A724="","",IF(Paramètres!J22&amp;Paramètres!L22&amp;Paramètres!N22="",Dossiers!$D$17,MAX(IF(Paramètres!J22="",0,IF(Paramètres!K22="",NA(),IF(LEFT(TRIM(Paramètres!K22),1)="F",INDEX($F$707:$F$759,MATCH(Paramètres!J22,Paramètres!$G$5:$G$57,0)),INDEX($E$707:$E$759,MATCH(Paramètres!J22,Paramètres!$G$5:$G$57,0)))+IF(RIGHT(TRIM(Paramètres!K22),3)="Fin",1-$H724,IF(LEFT(TRIM(Paramètres!K22),1)="F",1,0)))),IF(Paramètres!L22="",0,IF(Paramètres!M22="",NA(),IF(LEFT(TRIM(Paramètres!M22),1)="F",INDEX($F$707:$F$759,MATCH(Paramètres!L22,Paramètres!$G$5:$G$57,0)),INDEX($E$707:$E$759,MATCH(Paramètres!L22,Paramètres!$G$5:$G$57,0)))+IF(RIGHT(TRIM(Paramètres!M22),3)="Fin",1-$H724,IF(LEFT(TRIM(Paramètres!M22),1)="F",1,0)))),IF(Paramètres!N22="",0,IF(Paramètres!O22="",NA(),IF(LEFT(TRIM(Paramètres!O22),1)="F",INDEX($F$707:$F$759,MATCH(Paramètres!N22,Paramètres!$G$5:$G$57,0)),INDEX($E$707:$E$759,MATCH(Paramètres!N22,Paramètres!$G$5:$G$57,0)))+IF(RIGHT(TRIM(Paramètres!O22),3)="Fin",1-$H724,IF(LEFT(TRIM(Paramètres!O22),1)="F",1,0)))))))</f>
        <v/>
      </c>
      <c r="F724" s="19">
        <f>IF($A724="","",E724+$H724-1)</f>
        <v/>
      </c>
      <c r="G724" s="18" t="n"/>
      <c r="H724" s="18">
        <f>IF($A724="","",IF(I724&lt;&gt;"",I724,Paramètres!B22))</f>
        <v/>
      </c>
      <c r="I724" s="18" t="n"/>
    </row>
    <row r="725">
      <c r="A725" s="18">
        <f>IF(ISNUMBER(Dossiers!$D$17),Dossiers!$A$17&amp;" · "&amp;Dossiers!$B$17,"")</f>
        <v/>
      </c>
      <c r="B725" s="18">
        <f>IF($A725="","",Paramètres!G23)</f>
        <v/>
      </c>
      <c r="C725" s="18">
        <f>IF($A725="","",IF(Paramètres!H23="","",Paramètres!H23))</f>
        <v/>
      </c>
      <c r="D725" s="18">
        <f>IF($A725="","",IF(Paramètres!I23="","",Paramètres!I23))</f>
        <v/>
      </c>
      <c r="E725" s="19">
        <f>IF($A725="","",IF(Paramètres!J23&amp;Paramètres!L23&amp;Paramètres!N23="",Dossiers!$D$17,MAX(IF(Paramètres!J23="",0,IF(Paramètres!K23="",NA(),IF(LEFT(TRIM(Paramètres!K23),1)="F",INDEX($F$707:$F$759,MATCH(Paramètres!J23,Paramètres!$G$5:$G$57,0)),INDEX($E$707:$E$759,MATCH(Paramètres!J23,Paramètres!$G$5:$G$57,0)))+IF(RIGHT(TRIM(Paramètres!K23),3)="Fin",1-$H725,IF(LEFT(TRIM(Paramètres!K23),1)="F",1,0)))),IF(Paramètres!L23="",0,IF(Paramètres!M23="",NA(),IF(LEFT(TRIM(Paramètres!M23),1)="F",INDEX($F$707:$F$759,MATCH(Paramètres!L23,Paramètres!$G$5:$G$57,0)),INDEX($E$707:$E$759,MATCH(Paramètres!L23,Paramètres!$G$5:$G$57,0)))+IF(RIGHT(TRIM(Paramètres!M23),3)="Fin",1-$H725,IF(LEFT(TRIM(Paramètres!M23),1)="F",1,0)))),IF(Paramètres!N23="",0,IF(Paramètres!O23="",NA(),IF(LEFT(TRIM(Paramètres!O23),1)="F",INDEX($F$707:$F$759,MATCH(Paramètres!N23,Paramètres!$G$5:$G$57,0)),INDEX($E$707:$E$759,MATCH(Paramètres!N23,Paramètres!$G$5:$G$57,0)))+IF(RIGHT(TRIM(Paramètres!O23),3)="Fin",1-$H725,IF(LEFT(TRIM(Paramètres!O23),1)="F",1,0)))))))</f>
        <v/>
      </c>
      <c r="F725" s="19">
        <f>IF($A725="","",E725+$H725-1)</f>
        <v/>
      </c>
      <c r="G725" s="18" t="n"/>
      <c r="H725" s="18">
        <f>IF($A725="","",IF(I725&lt;&gt;"",I725,Paramètres!B23))</f>
        <v/>
      </c>
      <c r="I725" s="18" t="n"/>
    </row>
    <row r="726">
      <c r="A726" s="18">
        <f>IF(ISNUMBER(Dossiers!$D$17),Dossiers!$A$17&amp;" · "&amp;Dossiers!$B$17,"")</f>
        <v/>
      </c>
      <c r="B726" s="18">
        <f>IF($A726="","",Paramètres!G24)</f>
        <v/>
      </c>
      <c r="C726" s="18">
        <f>IF($A726="","",IF(Paramètres!H24="","",Paramètres!H24))</f>
        <v/>
      </c>
      <c r="D726" s="18">
        <f>IF($A726="","",IF(Paramètres!I24="","",Paramètres!I24))</f>
        <v/>
      </c>
      <c r="E726" s="19">
        <f>IF($A726="","",IF(Paramètres!J24&amp;Paramètres!L24&amp;Paramètres!N24="",Dossiers!$D$17,MAX(IF(Paramètres!J24="",0,IF(Paramètres!K24="",NA(),IF(LEFT(TRIM(Paramètres!K24),1)="F",INDEX($F$707:$F$759,MATCH(Paramètres!J24,Paramètres!$G$5:$G$57,0)),INDEX($E$707:$E$759,MATCH(Paramètres!J24,Paramètres!$G$5:$G$57,0)))+IF(RIGHT(TRIM(Paramètres!K24),3)="Fin",1-$H726,IF(LEFT(TRIM(Paramètres!K24),1)="F",1,0)))),IF(Paramètres!L24="",0,IF(Paramètres!M24="",NA(),IF(LEFT(TRIM(Paramètres!M24),1)="F",INDEX($F$707:$F$759,MATCH(Paramètres!L24,Paramètres!$G$5:$G$57,0)),INDEX($E$707:$E$759,MATCH(Paramètres!L24,Paramètres!$G$5:$G$57,0)))+IF(RIGHT(TRIM(Paramètres!M24),3)="Fin",1-$H726,IF(LEFT(TRIM(Paramètres!M24),1)="F",1,0)))),IF(Paramètres!N24="",0,IF(Paramètres!O24="",NA(),IF(LEFT(TRIM(Paramètres!O24),1)="F",INDEX($F$707:$F$759,MATCH(Paramètres!N24,Paramètres!$G$5:$G$57,0)),INDEX($E$707:$E$759,MATCH(Paramètres!N24,Paramètres!$G$5:$G$57,0)))+IF(RIGHT(TRIM(Paramètres!O24),3)="Fin",1-$H726,IF(LEFT(TRIM(Paramètres!O24),1)="F",1,0)))))))</f>
        <v/>
      </c>
      <c r="F726" s="19">
        <f>IF($A726="","",E726+$H726-1)</f>
        <v/>
      </c>
      <c r="G726" s="18" t="n"/>
      <c r="H726" s="18">
        <f>IF($A726="","",IF(I726&lt;&gt;"",I726,Paramètres!B24))</f>
        <v/>
      </c>
      <c r="I726" s="18" t="n"/>
    </row>
    <row r="727">
      <c r="A727" s="18">
        <f>IF(ISNUMBER(Dossiers!$D$17),Dossiers!$A$17&amp;" · "&amp;Dossiers!$B$17,"")</f>
        <v/>
      </c>
      <c r="B727" s="18">
        <f>IF($A727="","",Paramètres!G25)</f>
        <v/>
      </c>
      <c r="C727" s="18">
        <f>IF($A727="","",IF(Paramètres!H25="","",Paramètres!H25))</f>
        <v/>
      </c>
      <c r="D727" s="18">
        <f>IF($A727="","",IF(Paramètres!I25="","",Paramètres!I25))</f>
        <v/>
      </c>
      <c r="E727" s="19">
        <f>IF($A727="","",IF(Paramètres!J25&amp;Paramètres!L25&amp;Paramètres!N25="",Dossiers!$D$17,MAX(IF(Paramètres!J25="",0,IF(Paramètres!K25="",NA(),IF(LEFT(TRIM(Paramètres!K25),1)="F",INDEX($F$707:$F$759,MATCH(Paramètres!J25,Paramètres!$G$5:$G$57,0)),INDEX($E$707:$E$759,MATCH(Paramètres!J25,Paramètres!$G$5:$G$57,0)))+IF(RIGHT(TRIM(Paramètres!K25),3)="Fin",1-$H727,IF(LEFT(TRIM(Paramètres!K25),1)="F",1,0)))),IF(Paramètres!L25="",0,IF(Paramètres!M25="",NA(),IF(LEFT(TRIM(Paramètres!M25),1)="F",INDEX($F$707:$F$759,MATCH(Paramètres!L25,Paramètres!$G$5:$G$57,0)),INDEX($E$707:$E$759,MATCH(Paramètres!L25,Paramètres!$G$5:$G$57,0)))+IF(RIGHT(TRIM(Paramètres!M25),3)="Fin",1-$H727,IF(LEFT(TRIM(Paramètres!M25),1)="F",1,0)))),IF(Paramètres!N25="",0,IF(Paramètres!O25="",NA(),IF(LEFT(TRIM(Paramètres!O25),1)="F",INDEX($F$707:$F$759,MATCH(Paramètres!N25,Paramètres!$G$5:$G$57,0)),INDEX($E$707:$E$759,MATCH(Paramètres!N25,Paramètres!$G$5:$G$57,0)))+IF(RIGHT(TRIM(Paramètres!O25),3)="Fin",1-$H727,IF(LEFT(TRIM(Paramètres!O25),1)="F",1,0)))))))</f>
        <v/>
      </c>
      <c r="F727" s="19">
        <f>IF($A727="","",E727+$H727-1)</f>
        <v/>
      </c>
      <c r="G727" s="18" t="n"/>
      <c r="H727" s="18">
        <f>IF($A727="","",IF(I727&lt;&gt;"",I727,Paramètres!B25))</f>
        <v/>
      </c>
      <c r="I727" s="18" t="n"/>
    </row>
    <row r="728">
      <c r="A728" s="18">
        <f>IF(ISNUMBER(Dossiers!$D$17),Dossiers!$A$17&amp;" · "&amp;Dossiers!$B$17,"")</f>
        <v/>
      </c>
      <c r="B728" s="18">
        <f>IF($A728="","",Paramètres!G26)</f>
        <v/>
      </c>
      <c r="C728" s="18">
        <f>IF($A728="","",IF(Paramètres!H26="","",Paramètres!H26))</f>
        <v/>
      </c>
      <c r="D728" s="18">
        <f>IF($A728="","",IF(Paramètres!I26="","",Paramètres!I26))</f>
        <v/>
      </c>
      <c r="E728" s="19">
        <f>IF($A728="","",IF(Paramètres!J26&amp;Paramètres!L26&amp;Paramètres!N26="",Dossiers!$D$17,MAX(IF(Paramètres!J26="",0,IF(Paramètres!K26="",NA(),IF(LEFT(TRIM(Paramètres!K26),1)="F",INDEX($F$707:$F$759,MATCH(Paramètres!J26,Paramètres!$G$5:$G$57,0)),INDEX($E$707:$E$759,MATCH(Paramètres!J26,Paramètres!$G$5:$G$57,0)))+IF(RIGHT(TRIM(Paramètres!K26),3)="Fin",1-$H728,IF(LEFT(TRIM(Paramètres!K26),1)="F",1,0)))),IF(Paramètres!L26="",0,IF(Paramètres!M26="",NA(),IF(LEFT(TRIM(Paramètres!M26),1)="F",INDEX($F$707:$F$759,MATCH(Paramètres!L26,Paramètres!$G$5:$G$57,0)),INDEX($E$707:$E$759,MATCH(Paramètres!L26,Paramètres!$G$5:$G$57,0)))+IF(RIGHT(TRIM(Paramètres!M26),3)="Fin",1-$H728,IF(LEFT(TRIM(Paramètres!M26),1)="F",1,0)))),IF(Paramètres!N26="",0,IF(Paramètres!O26="",NA(),IF(LEFT(TRIM(Paramètres!O26),1)="F",INDEX($F$707:$F$759,MATCH(Paramètres!N26,Paramètres!$G$5:$G$57,0)),INDEX($E$707:$E$759,MATCH(Paramètres!N26,Paramètres!$G$5:$G$57,0)))+IF(RIGHT(TRIM(Paramètres!O26),3)="Fin",1-$H728,IF(LEFT(TRIM(Paramètres!O26),1)="F",1,0)))))))</f>
        <v/>
      </c>
      <c r="F728" s="19">
        <f>IF($A728="","",E728+$H728-1)</f>
        <v/>
      </c>
      <c r="G728" s="18" t="n"/>
      <c r="H728" s="18">
        <f>IF($A728="","",IF(I728&lt;&gt;"",I728,Paramètres!B26))</f>
        <v/>
      </c>
      <c r="I728" s="18" t="n"/>
    </row>
    <row r="729">
      <c r="A729" s="18">
        <f>IF(ISNUMBER(Dossiers!$D$17),Dossiers!$A$17&amp;" · "&amp;Dossiers!$B$17,"")</f>
        <v/>
      </c>
      <c r="B729" s="18">
        <f>IF($A729="","",Paramètres!G27)</f>
        <v/>
      </c>
      <c r="C729" s="18">
        <f>IF($A729="","",IF(Paramètres!H27="","",Paramètres!H27))</f>
        <v/>
      </c>
      <c r="D729" s="18">
        <f>IF($A729="","",IF(Paramètres!I27="","",Paramètres!I27))</f>
        <v/>
      </c>
      <c r="E729" s="19">
        <f>IF($A729="","",IF(Paramètres!J27&amp;Paramètres!L27&amp;Paramètres!N27="",Dossiers!$D$17,MAX(IF(Paramètres!J27="",0,IF(Paramètres!K27="",NA(),IF(LEFT(TRIM(Paramètres!K27),1)="F",INDEX($F$707:$F$759,MATCH(Paramètres!J27,Paramètres!$G$5:$G$57,0)),INDEX($E$707:$E$759,MATCH(Paramètres!J27,Paramètres!$G$5:$G$57,0)))+IF(RIGHT(TRIM(Paramètres!K27),3)="Fin",1-$H729,IF(LEFT(TRIM(Paramètres!K27),1)="F",1,0)))),IF(Paramètres!L27="",0,IF(Paramètres!M27="",NA(),IF(LEFT(TRIM(Paramètres!M27),1)="F",INDEX($F$707:$F$759,MATCH(Paramètres!L27,Paramètres!$G$5:$G$57,0)),INDEX($E$707:$E$759,MATCH(Paramètres!L27,Paramètres!$G$5:$G$57,0)))+IF(RIGHT(TRIM(Paramètres!M27),3)="Fin",1-$H729,IF(LEFT(TRIM(Paramètres!M27),1)="F",1,0)))),IF(Paramètres!N27="",0,IF(Paramètres!O27="",NA(),IF(LEFT(TRIM(Paramètres!O27),1)="F",INDEX($F$707:$F$759,MATCH(Paramètres!N27,Paramètres!$G$5:$G$57,0)),INDEX($E$707:$E$759,MATCH(Paramètres!N27,Paramètres!$G$5:$G$57,0)))+IF(RIGHT(TRIM(Paramètres!O27),3)="Fin",1-$H729,IF(LEFT(TRIM(Paramètres!O27),1)="F",1,0)))))))</f>
        <v/>
      </c>
      <c r="F729" s="19">
        <f>IF($A729="","",E729+$H729-1)</f>
        <v/>
      </c>
      <c r="G729" s="18" t="n"/>
      <c r="H729" s="18">
        <f>IF($A729="","",IF(I729&lt;&gt;"",I729,Paramètres!B27))</f>
        <v/>
      </c>
      <c r="I729" s="18" t="n"/>
    </row>
    <row r="730">
      <c r="A730" s="18">
        <f>IF(ISNUMBER(Dossiers!$D$17),Dossiers!$A$17&amp;" · "&amp;Dossiers!$B$17,"")</f>
        <v/>
      </c>
      <c r="B730" s="18">
        <f>IF($A730="","",Paramètres!G28)</f>
        <v/>
      </c>
      <c r="C730" s="18">
        <f>IF($A730="","",IF(Paramètres!H28="","",Paramètres!H28))</f>
        <v/>
      </c>
      <c r="D730" s="18">
        <f>IF($A730="","",IF(Paramètres!I28="","",Paramètres!I28))</f>
        <v/>
      </c>
      <c r="E730" s="19">
        <f>IF($A730="","",IF(Paramètres!J28&amp;Paramètres!L28&amp;Paramètres!N28="",Dossiers!$D$17,MAX(IF(Paramètres!J28="",0,IF(Paramètres!K28="",NA(),IF(LEFT(TRIM(Paramètres!K28),1)="F",INDEX($F$707:$F$759,MATCH(Paramètres!J28,Paramètres!$G$5:$G$57,0)),INDEX($E$707:$E$759,MATCH(Paramètres!J28,Paramètres!$G$5:$G$57,0)))+IF(RIGHT(TRIM(Paramètres!K28),3)="Fin",1-$H730,IF(LEFT(TRIM(Paramètres!K28),1)="F",1,0)))),IF(Paramètres!L28="",0,IF(Paramètres!M28="",NA(),IF(LEFT(TRIM(Paramètres!M28),1)="F",INDEX($F$707:$F$759,MATCH(Paramètres!L28,Paramètres!$G$5:$G$57,0)),INDEX($E$707:$E$759,MATCH(Paramètres!L28,Paramètres!$G$5:$G$57,0)))+IF(RIGHT(TRIM(Paramètres!M28),3)="Fin",1-$H730,IF(LEFT(TRIM(Paramètres!M28),1)="F",1,0)))),IF(Paramètres!N28="",0,IF(Paramètres!O28="",NA(),IF(LEFT(TRIM(Paramètres!O28),1)="F",INDEX($F$707:$F$759,MATCH(Paramètres!N28,Paramètres!$G$5:$G$57,0)),INDEX($E$707:$E$759,MATCH(Paramètres!N28,Paramètres!$G$5:$G$57,0)))+IF(RIGHT(TRIM(Paramètres!O28),3)="Fin",1-$H730,IF(LEFT(TRIM(Paramètres!O28),1)="F",1,0)))))))</f>
        <v/>
      </c>
      <c r="F730" s="19">
        <f>IF($A730="","",E730+$H730-1)</f>
        <v/>
      </c>
      <c r="G730" s="18" t="n"/>
      <c r="H730" s="18">
        <f>IF($A730="","",IF(I730&lt;&gt;"",I730,Paramètres!B28))</f>
        <v/>
      </c>
      <c r="I730" s="18" t="n"/>
    </row>
    <row r="731">
      <c r="A731" s="18">
        <f>IF(ISNUMBER(Dossiers!$D$17),Dossiers!$A$17&amp;" · "&amp;Dossiers!$B$17,"")</f>
        <v/>
      </c>
      <c r="B731" s="18">
        <f>IF($A731="","",Paramètres!G29)</f>
        <v/>
      </c>
      <c r="C731" s="18">
        <f>IF($A731="","",IF(Paramètres!H29="","",Paramètres!H29))</f>
        <v/>
      </c>
      <c r="D731" s="18">
        <f>IF($A731="","",IF(Paramètres!I29="","",Paramètres!I29))</f>
        <v/>
      </c>
      <c r="E731" s="19">
        <f>IF($A731="","",IF(Paramètres!J29&amp;Paramètres!L29&amp;Paramètres!N29="",Dossiers!$D$17,MAX(IF(Paramètres!J29="",0,IF(Paramètres!K29="",NA(),IF(LEFT(TRIM(Paramètres!K29),1)="F",INDEX($F$707:$F$759,MATCH(Paramètres!J29,Paramètres!$G$5:$G$57,0)),INDEX($E$707:$E$759,MATCH(Paramètres!J29,Paramètres!$G$5:$G$57,0)))+IF(RIGHT(TRIM(Paramètres!K29),3)="Fin",1-$H731,IF(LEFT(TRIM(Paramètres!K29),1)="F",1,0)))),IF(Paramètres!L29="",0,IF(Paramètres!M29="",NA(),IF(LEFT(TRIM(Paramètres!M29),1)="F",INDEX($F$707:$F$759,MATCH(Paramètres!L29,Paramètres!$G$5:$G$57,0)),INDEX($E$707:$E$759,MATCH(Paramètres!L29,Paramètres!$G$5:$G$57,0)))+IF(RIGHT(TRIM(Paramètres!M29),3)="Fin",1-$H731,IF(LEFT(TRIM(Paramètres!M29),1)="F",1,0)))),IF(Paramètres!N29="",0,IF(Paramètres!O29="",NA(),IF(LEFT(TRIM(Paramètres!O29),1)="F",INDEX($F$707:$F$759,MATCH(Paramètres!N29,Paramètres!$G$5:$G$57,0)),INDEX($E$707:$E$759,MATCH(Paramètres!N29,Paramètres!$G$5:$G$57,0)))+IF(RIGHT(TRIM(Paramètres!O29),3)="Fin",1-$H731,IF(LEFT(TRIM(Paramètres!O29),1)="F",1,0)))))))</f>
        <v/>
      </c>
      <c r="F731" s="19">
        <f>IF($A731="","",E731+$H731-1)</f>
        <v/>
      </c>
      <c r="G731" s="18" t="n"/>
      <c r="H731" s="18">
        <f>IF($A731="","",IF(I731&lt;&gt;"",I731,Paramètres!B29))</f>
        <v/>
      </c>
      <c r="I731" s="18" t="n"/>
    </row>
    <row r="732">
      <c r="A732" s="18">
        <f>IF(ISNUMBER(Dossiers!$D$17),Dossiers!$A$17&amp;" · "&amp;Dossiers!$B$17,"")</f>
        <v/>
      </c>
      <c r="B732" s="18">
        <f>IF($A732="","",Paramètres!G30)</f>
        <v/>
      </c>
      <c r="C732" s="18">
        <f>IF($A732="","",IF(Paramètres!H30="","",Paramètres!H30))</f>
        <v/>
      </c>
      <c r="D732" s="18">
        <f>IF($A732="","",IF(Paramètres!I30="","",Paramètres!I30))</f>
        <v/>
      </c>
      <c r="E732" s="19">
        <f>IF($A732="","",IF(Paramètres!J30&amp;Paramètres!L30&amp;Paramètres!N30="",Dossiers!$D$17,MAX(IF(Paramètres!J30="",0,IF(Paramètres!K30="",NA(),IF(LEFT(TRIM(Paramètres!K30),1)="F",INDEX($F$707:$F$759,MATCH(Paramètres!J30,Paramètres!$G$5:$G$57,0)),INDEX($E$707:$E$759,MATCH(Paramètres!J30,Paramètres!$G$5:$G$57,0)))+IF(RIGHT(TRIM(Paramètres!K30),3)="Fin",1-$H732,IF(LEFT(TRIM(Paramètres!K30),1)="F",1,0)))),IF(Paramètres!L30="",0,IF(Paramètres!M30="",NA(),IF(LEFT(TRIM(Paramètres!M30),1)="F",INDEX($F$707:$F$759,MATCH(Paramètres!L30,Paramètres!$G$5:$G$57,0)),INDEX($E$707:$E$759,MATCH(Paramètres!L30,Paramètres!$G$5:$G$57,0)))+IF(RIGHT(TRIM(Paramètres!M30),3)="Fin",1-$H732,IF(LEFT(TRIM(Paramètres!M30),1)="F",1,0)))),IF(Paramètres!N30="",0,IF(Paramètres!O30="",NA(),IF(LEFT(TRIM(Paramètres!O30),1)="F",INDEX($F$707:$F$759,MATCH(Paramètres!N30,Paramètres!$G$5:$G$57,0)),INDEX($E$707:$E$759,MATCH(Paramètres!N30,Paramètres!$G$5:$G$57,0)))+IF(RIGHT(TRIM(Paramètres!O30),3)="Fin",1-$H732,IF(LEFT(TRIM(Paramètres!O30),1)="F",1,0)))))))</f>
        <v/>
      </c>
      <c r="F732" s="19">
        <f>IF($A732="","",E732+$H732-1)</f>
        <v/>
      </c>
      <c r="G732" s="18" t="n"/>
      <c r="H732" s="18">
        <f>IF($A732="","",IF(I732&lt;&gt;"",I732,Paramètres!B30))</f>
        <v/>
      </c>
      <c r="I732" s="18" t="n"/>
    </row>
    <row r="733">
      <c r="A733" s="18">
        <f>IF(ISNUMBER(Dossiers!$D$17),Dossiers!$A$17&amp;" · "&amp;Dossiers!$B$17,"")</f>
        <v/>
      </c>
      <c r="B733" s="18">
        <f>IF($A733="","",Paramètres!G31)</f>
        <v/>
      </c>
      <c r="C733" s="20">
        <f>IF($A733="","",IF(Dossiers!$F$17="","",Dossiers!$F$17))</f>
        <v/>
      </c>
      <c r="D733" s="18">
        <f>IF($A733="","",IF(Paramètres!I31="","",Paramètres!I31))</f>
        <v/>
      </c>
      <c r="E733" s="19">
        <f>IF($A733="","",IF(Paramètres!J31&amp;Paramètres!L31&amp;Paramètres!N31="",Dossiers!$D$17,MAX(IF(Paramètres!J31="",0,IF(Paramètres!K31="",NA(),IF(LEFT(TRIM(Paramètres!K31),1)="F",INDEX($F$707:$F$759,MATCH(Paramètres!J31,Paramètres!$G$5:$G$57,0)),INDEX($E$707:$E$759,MATCH(Paramètres!J31,Paramètres!$G$5:$G$57,0)))+IF(RIGHT(TRIM(Paramètres!K31),3)="Fin",1-$H733,IF(LEFT(TRIM(Paramètres!K31),1)="F",1,0)))),IF(Paramètres!L31="",0,IF(Paramètres!M31="",NA(),IF(LEFT(TRIM(Paramètres!M31),1)="F",INDEX($F$707:$F$759,MATCH(Paramètres!L31,Paramètres!$G$5:$G$57,0)),INDEX($E$707:$E$759,MATCH(Paramètres!L31,Paramètres!$G$5:$G$57,0)))+IF(RIGHT(TRIM(Paramètres!M31),3)="Fin",1-$H733,IF(LEFT(TRIM(Paramètres!M31),1)="F",1,0)))),IF(Paramètres!N31="",0,IF(Paramètres!O31="",NA(),IF(LEFT(TRIM(Paramètres!O31),1)="F",INDEX($F$707:$F$759,MATCH(Paramètres!N31,Paramètres!$G$5:$G$57,0)),INDEX($E$707:$E$759,MATCH(Paramètres!N31,Paramètres!$G$5:$G$57,0)))+IF(RIGHT(TRIM(Paramètres!O31),3)="Fin",1-$H733,IF(LEFT(TRIM(Paramètres!O31),1)="F",1,0)))))))</f>
        <v/>
      </c>
      <c r="F733" s="19">
        <f>IF($A733="","",E733+$H733-1)</f>
        <v/>
      </c>
      <c r="G733" s="18" t="n"/>
      <c r="H733" s="18">
        <f>IF($A733="","",IF(I733&lt;&gt;"",I733,Paramètres!B31))</f>
        <v/>
      </c>
      <c r="I733" s="18" t="n"/>
    </row>
    <row r="734">
      <c r="A734" s="18">
        <f>IF(ISNUMBER(Dossiers!$D$17),Dossiers!$A$17&amp;" · "&amp;Dossiers!$B$17,"")</f>
        <v/>
      </c>
      <c r="B734" s="18">
        <f>IF($A734="","",Paramètres!G32)</f>
        <v/>
      </c>
      <c r="C734" s="18">
        <f>IF($A734="","",IF(Paramètres!H32="","",Paramètres!H32))</f>
        <v/>
      </c>
      <c r="D734" s="18">
        <f>IF($A734="","",IF(Paramètres!I32="","",Paramètres!I32))</f>
        <v/>
      </c>
      <c r="E734" s="19">
        <f>IF($A734="","",MIN(E735:E738))</f>
        <v/>
      </c>
      <c r="F734" s="19">
        <f>IF($A734="","",MAX(F735:F738))</f>
        <v/>
      </c>
      <c r="G734" s="18" t="n"/>
      <c r="H734" s="18">
        <f>IF($A734="","",F734-E734+1)</f>
        <v/>
      </c>
      <c r="I734" s="18" t="n"/>
    </row>
    <row r="735">
      <c r="A735" s="18">
        <f>IF(ISNUMBER(Dossiers!$D$17),Dossiers!$A$17&amp;" · "&amp;Dossiers!$B$17,"")</f>
        <v/>
      </c>
      <c r="B735" s="18">
        <f>IF($A735="","",Paramètres!G33)</f>
        <v/>
      </c>
      <c r="C735" s="18">
        <f>IF($A735="","",IF(Paramètres!H33="","",Paramètres!H33))</f>
        <v/>
      </c>
      <c r="D735" s="18">
        <f>IF($A735="","",IF(Paramètres!I33="","",Paramètres!I33))</f>
        <v/>
      </c>
      <c r="E735" s="19">
        <f>IF($A735="","",IF(Paramètres!J33&amp;Paramètres!L33&amp;Paramètres!N33="",Dossiers!$D$17,MAX(IF(Paramètres!J33="",0,IF(Paramètres!K33="",NA(),IF(LEFT(TRIM(Paramètres!K33),1)="F",INDEX($F$707:$F$759,MATCH(Paramètres!J33,Paramètres!$G$5:$G$57,0)),INDEX($E$707:$E$759,MATCH(Paramètres!J33,Paramètres!$G$5:$G$57,0)))+IF(RIGHT(TRIM(Paramètres!K33),3)="Fin",1-$H735,IF(LEFT(TRIM(Paramètres!K33),1)="F",1,0)))),IF(Paramètres!L33="",0,IF(Paramètres!M33="",NA(),IF(LEFT(TRIM(Paramètres!M33),1)="F",INDEX($F$707:$F$759,MATCH(Paramètres!L33,Paramètres!$G$5:$G$57,0)),INDEX($E$707:$E$759,MATCH(Paramètres!L33,Paramètres!$G$5:$G$57,0)))+IF(RIGHT(TRIM(Paramètres!M33),3)="Fin",1-$H735,IF(LEFT(TRIM(Paramètres!M33),1)="F",1,0)))),IF(Paramètres!N33="",0,IF(Paramètres!O33="",NA(),IF(LEFT(TRIM(Paramètres!O33),1)="F",INDEX($F$707:$F$759,MATCH(Paramètres!N33,Paramètres!$G$5:$G$57,0)),INDEX($E$707:$E$759,MATCH(Paramètres!N33,Paramètres!$G$5:$G$57,0)))+IF(RIGHT(TRIM(Paramètres!O33),3)="Fin",1-$H735,IF(LEFT(TRIM(Paramètres!O33),1)="F",1,0)))))))</f>
        <v/>
      </c>
      <c r="F735" s="19">
        <f>IF($A735="","",E735+$H735-1)</f>
        <v/>
      </c>
      <c r="G735" s="18" t="n"/>
      <c r="H735" s="18">
        <f>IF($A735="","",IF(I735&lt;&gt;"",I735,Paramètres!B33))</f>
        <v/>
      </c>
      <c r="I735" s="18" t="n"/>
    </row>
    <row r="736">
      <c r="A736" s="18">
        <f>IF(ISNUMBER(Dossiers!$D$17),Dossiers!$A$17&amp;" · "&amp;Dossiers!$B$17,"")</f>
        <v/>
      </c>
      <c r="B736" s="18">
        <f>IF($A736="","",Paramètres!G34)</f>
        <v/>
      </c>
      <c r="C736" s="18">
        <f>IF($A736="","",IF(Paramètres!H34="","",Paramètres!H34))</f>
        <v/>
      </c>
      <c r="D736" s="18">
        <f>IF($A736="","",IF(Paramètres!I34="","",Paramètres!I34))</f>
        <v/>
      </c>
      <c r="E736" s="19">
        <f>IF($A736="","",IF(Paramètres!J34&amp;Paramètres!L34&amp;Paramètres!N34="",Dossiers!$D$17,MAX(IF(Paramètres!J34="",0,IF(Paramètres!K34="",NA(),IF(LEFT(TRIM(Paramètres!K34),1)="F",INDEX($F$707:$F$759,MATCH(Paramètres!J34,Paramètres!$G$5:$G$57,0)),INDEX($E$707:$E$759,MATCH(Paramètres!J34,Paramètres!$G$5:$G$57,0)))+IF(RIGHT(TRIM(Paramètres!K34),3)="Fin",1-$H736,IF(LEFT(TRIM(Paramètres!K34),1)="F",1,0)))),IF(Paramètres!L34="",0,IF(Paramètres!M34="",NA(),IF(LEFT(TRIM(Paramètres!M34),1)="F",INDEX($F$707:$F$759,MATCH(Paramètres!L34,Paramètres!$G$5:$G$57,0)),INDEX($E$707:$E$759,MATCH(Paramètres!L34,Paramètres!$G$5:$G$57,0)))+IF(RIGHT(TRIM(Paramètres!M34),3)="Fin",1-$H736,IF(LEFT(TRIM(Paramètres!M34),1)="F",1,0)))),IF(Paramètres!N34="",0,IF(Paramètres!O34="",NA(),IF(LEFT(TRIM(Paramètres!O34),1)="F",INDEX($F$707:$F$759,MATCH(Paramètres!N34,Paramètres!$G$5:$G$57,0)),INDEX($E$707:$E$759,MATCH(Paramètres!N34,Paramètres!$G$5:$G$57,0)))+IF(RIGHT(TRIM(Paramètres!O34),3)="Fin",1-$H736,IF(LEFT(TRIM(Paramètres!O34),1)="F",1,0)))))))</f>
        <v/>
      </c>
      <c r="F736" s="19">
        <f>IF($A736="","",E736+$H736-1)</f>
        <v/>
      </c>
      <c r="G736" s="18" t="n"/>
      <c r="H736" s="18">
        <f>IF($A736="","",IF(I736&lt;&gt;"",I736,Paramètres!B34))</f>
        <v/>
      </c>
      <c r="I736" s="18" t="n"/>
    </row>
    <row r="737">
      <c r="A737" s="18">
        <f>IF(ISNUMBER(Dossiers!$D$17),Dossiers!$A$17&amp;" · "&amp;Dossiers!$B$17,"")</f>
        <v/>
      </c>
      <c r="B737" s="18">
        <f>IF($A737="","",Paramètres!G35)</f>
        <v/>
      </c>
      <c r="C737" s="18">
        <f>IF($A737="","",IF(Paramètres!H35="","",Paramètres!H35))</f>
        <v/>
      </c>
      <c r="D737" s="18">
        <f>IF($A737="","",IF(Paramètres!I35="","",Paramètres!I35))</f>
        <v/>
      </c>
      <c r="E737" s="19">
        <f>IF($A737="","",IF(Paramètres!J35&amp;Paramètres!L35&amp;Paramètres!N35="",Dossiers!$D$17,MAX(IF(Paramètres!J35="",0,IF(Paramètres!K35="",NA(),IF(LEFT(TRIM(Paramètres!K35),1)="F",INDEX($F$707:$F$759,MATCH(Paramètres!J35,Paramètres!$G$5:$G$57,0)),INDEX($E$707:$E$759,MATCH(Paramètres!J35,Paramètres!$G$5:$G$57,0)))+IF(RIGHT(TRIM(Paramètres!K35),3)="Fin",1-$H737,IF(LEFT(TRIM(Paramètres!K35),1)="F",1,0)))),IF(Paramètres!L35="",0,IF(Paramètres!M35="",NA(),IF(LEFT(TRIM(Paramètres!M35),1)="F",INDEX($F$707:$F$759,MATCH(Paramètres!L35,Paramètres!$G$5:$G$57,0)),INDEX($E$707:$E$759,MATCH(Paramètres!L35,Paramètres!$G$5:$G$57,0)))+IF(RIGHT(TRIM(Paramètres!M35),3)="Fin",1-$H737,IF(LEFT(TRIM(Paramètres!M35),1)="F",1,0)))),IF(Paramètres!N35="",0,IF(Paramètres!O35="",NA(),IF(LEFT(TRIM(Paramètres!O35),1)="F",INDEX($F$707:$F$759,MATCH(Paramètres!N35,Paramètres!$G$5:$G$57,0)),INDEX($E$707:$E$759,MATCH(Paramètres!N35,Paramètres!$G$5:$G$57,0)))+IF(RIGHT(TRIM(Paramètres!O35),3)="Fin",1-$H737,IF(LEFT(TRIM(Paramètres!O35),1)="F",1,0)))))))</f>
        <v/>
      </c>
      <c r="F737" s="19">
        <f>IF($A737="","",E737+$H737-1)</f>
        <v/>
      </c>
      <c r="G737" s="18" t="n"/>
      <c r="H737" s="18">
        <f>IF($A737="","",IF(I737&lt;&gt;"",I737,Paramètres!B35))</f>
        <v/>
      </c>
      <c r="I737" s="18" t="n"/>
    </row>
    <row r="738">
      <c r="A738" s="18">
        <f>IF(ISNUMBER(Dossiers!$D$17),Dossiers!$A$17&amp;" · "&amp;Dossiers!$B$17,"")</f>
        <v/>
      </c>
      <c r="B738" s="18">
        <f>IF($A738="","",Paramètres!G36)</f>
        <v/>
      </c>
      <c r="C738" s="18">
        <f>IF($A738="","",IF(Paramètres!H36="","",Paramètres!H36))</f>
        <v/>
      </c>
      <c r="D738" s="18">
        <f>IF($A738="","",IF(Paramètres!I36="","",Paramètres!I36))</f>
        <v/>
      </c>
      <c r="E738" s="19">
        <f>IF($A738="","",IF(Paramètres!J36&amp;Paramètres!L36&amp;Paramètres!N36="",Dossiers!$D$17,MAX(IF(Paramètres!J36="",0,IF(Paramètres!K36="",NA(),IF(LEFT(TRIM(Paramètres!K36),1)="F",INDEX($F$707:$F$759,MATCH(Paramètres!J36,Paramètres!$G$5:$G$57,0)),INDEX($E$707:$E$759,MATCH(Paramètres!J36,Paramètres!$G$5:$G$57,0)))+IF(RIGHT(TRIM(Paramètres!K36),3)="Fin",1-$H738,IF(LEFT(TRIM(Paramètres!K36),1)="F",1,0)))),IF(Paramètres!L36="",0,IF(Paramètres!M36="",NA(),IF(LEFT(TRIM(Paramètres!M36),1)="F",INDEX($F$707:$F$759,MATCH(Paramètres!L36,Paramètres!$G$5:$G$57,0)),INDEX($E$707:$E$759,MATCH(Paramètres!L36,Paramètres!$G$5:$G$57,0)))+IF(RIGHT(TRIM(Paramètres!M36),3)="Fin",1-$H738,IF(LEFT(TRIM(Paramètres!M36),1)="F",1,0)))),IF(Paramètres!N36="",0,IF(Paramètres!O36="",NA(),IF(LEFT(TRIM(Paramètres!O36),1)="F",INDEX($F$707:$F$759,MATCH(Paramètres!N36,Paramètres!$G$5:$G$57,0)),INDEX($E$707:$E$759,MATCH(Paramètres!N36,Paramètres!$G$5:$G$57,0)))+IF(RIGHT(TRIM(Paramètres!O36),3)="Fin",1-$H738,IF(LEFT(TRIM(Paramètres!O36),1)="F",1,0)))))))</f>
        <v/>
      </c>
      <c r="F738" s="19">
        <f>IF($A738="","",E738+$H738-1)</f>
        <v/>
      </c>
      <c r="G738" s="18" t="n"/>
      <c r="H738" s="18">
        <f>IF($A738="","",IF(I738&lt;&gt;"",I738,Paramètres!B36))</f>
        <v/>
      </c>
      <c r="I738" s="18" t="n"/>
    </row>
    <row r="739">
      <c r="A739" s="18">
        <f>IF(ISNUMBER(Dossiers!$D$17),Dossiers!$A$17&amp;" · "&amp;Dossiers!$B$17,"")</f>
        <v/>
      </c>
      <c r="B739" s="18">
        <f>IF($A739="","",Paramètres!G37)</f>
        <v/>
      </c>
      <c r="C739" s="18">
        <f>IF($A739="","",IF(Paramètres!H37="","",Paramètres!H37))</f>
        <v/>
      </c>
      <c r="D739" s="18">
        <f>IF($A739="","",IF(Paramètres!I37="","",Paramètres!I37))</f>
        <v/>
      </c>
      <c r="E739" s="19">
        <f>IF($A739="","",MIN(E740:E757))</f>
        <v/>
      </c>
      <c r="F739" s="19">
        <f>IF($A739="","",MAX(F740:F757))</f>
        <v/>
      </c>
      <c r="G739" s="18" t="n"/>
      <c r="H739" s="18">
        <f>IF($A739="","",F739-E739+1)</f>
        <v/>
      </c>
      <c r="I739" s="18" t="n"/>
    </row>
    <row r="740">
      <c r="A740" s="18">
        <f>IF(ISNUMBER(Dossiers!$D$17),Dossiers!$A$17&amp;" · "&amp;Dossiers!$B$17,"")</f>
        <v/>
      </c>
      <c r="B740" s="18">
        <f>IF($A740="","",Paramètres!G38)</f>
        <v/>
      </c>
      <c r="C740" s="18">
        <f>IF($A740="","",IF(Paramètres!H38="","",Paramètres!H38))</f>
        <v/>
      </c>
      <c r="D740" s="18">
        <f>IF($A740="","",IF(Paramètres!I38="","",Paramètres!I38))</f>
        <v/>
      </c>
      <c r="E740" s="19">
        <f>IF($A740="","",IF(Paramètres!J38&amp;Paramètres!L38&amp;Paramètres!N38="",Dossiers!$D$17,MAX(IF(Paramètres!J38="",0,IF(Paramètres!K38="",NA(),IF(LEFT(TRIM(Paramètres!K38),1)="F",INDEX($F$707:$F$759,MATCH(Paramètres!J38,Paramètres!$G$5:$G$57,0)),INDEX($E$707:$E$759,MATCH(Paramètres!J38,Paramètres!$G$5:$G$57,0)))+IF(RIGHT(TRIM(Paramètres!K38),3)="Fin",1-$H740,IF(LEFT(TRIM(Paramètres!K38),1)="F",1,0)))),IF(Paramètres!L38="",0,IF(Paramètres!M38="",NA(),IF(LEFT(TRIM(Paramètres!M38),1)="F",INDEX($F$707:$F$759,MATCH(Paramètres!L38,Paramètres!$G$5:$G$57,0)),INDEX($E$707:$E$759,MATCH(Paramètres!L38,Paramètres!$G$5:$G$57,0)))+IF(RIGHT(TRIM(Paramètres!M38),3)="Fin",1-$H740,IF(LEFT(TRIM(Paramètres!M38),1)="F",1,0)))),IF(Paramètres!N38="",0,IF(Paramètres!O38="",NA(),IF(LEFT(TRIM(Paramètres!O38),1)="F",INDEX($F$707:$F$759,MATCH(Paramètres!N38,Paramètres!$G$5:$G$57,0)),INDEX($E$707:$E$759,MATCH(Paramètres!N38,Paramètres!$G$5:$G$57,0)))+IF(RIGHT(TRIM(Paramètres!O38),3)="Fin",1-$H740,IF(LEFT(TRIM(Paramètres!O38),1)="F",1,0)))))))</f>
        <v/>
      </c>
      <c r="F740" s="19">
        <f>IF($A740="","",E740+$H740-1)</f>
        <v/>
      </c>
      <c r="G740" s="18" t="n"/>
      <c r="H740" s="18">
        <f>IF($A740="","",IF(I740&lt;&gt;"",I740,Paramètres!B38))</f>
        <v/>
      </c>
      <c r="I740" s="18" t="n"/>
    </row>
    <row r="741">
      <c r="A741" s="18">
        <f>IF(ISNUMBER(Dossiers!$D$17),Dossiers!$A$17&amp;" · "&amp;Dossiers!$B$17,"")</f>
        <v/>
      </c>
      <c r="B741" s="18">
        <f>IF($A741="","",Paramètres!G39)</f>
        <v/>
      </c>
      <c r="C741" s="18">
        <f>IF($A741="","",IF(Paramètres!H39="","",Paramètres!H39))</f>
        <v/>
      </c>
      <c r="D741" s="18">
        <f>IF($A741="","",IF(Paramètres!I39="","",Paramètres!I39))</f>
        <v/>
      </c>
      <c r="E741" s="19">
        <f>IF($A741="","",IF(Paramètres!J39&amp;Paramètres!L39&amp;Paramètres!N39="",Dossiers!$D$17,MAX(IF(Paramètres!J39="",0,IF(Paramètres!K39="",NA(),IF(LEFT(TRIM(Paramètres!K39),1)="F",INDEX($F$707:$F$759,MATCH(Paramètres!J39,Paramètres!$G$5:$G$57,0)),INDEX($E$707:$E$759,MATCH(Paramètres!J39,Paramètres!$G$5:$G$57,0)))+IF(RIGHT(TRIM(Paramètres!K39),3)="Fin",1-$H741,IF(LEFT(TRIM(Paramètres!K39),1)="F",1,0)))),IF(Paramètres!L39="",0,IF(Paramètres!M39="",NA(),IF(LEFT(TRIM(Paramètres!M39),1)="F",INDEX($F$707:$F$759,MATCH(Paramètres!L39,Paramètres!$G$5:$G$57,0)),INDEX($E$707:$E$759,MATCH(Paramètres!L39,Paramètres!$G$5:$G$57,0)))+IF(RIGHT(TRIM(Paramètres!M39),3)="Fin",1-$H741,IF(LEFT(TRIM(Paramètres!M39),1)="F",1,0)))),IF(Paramètres!N39="",0,IF(Paramètres!O39="",NA(),IF(LEFT(TRIM(Paramètres!O39),1)="F",INDEX($F$707:$F$759,MATCH(Paramètres!N39,Paramètres!$G$5:$G$57,0)),INDEX($E$707:$E$759,MATCH(Paramètres!N39,Paramètres!$G$5:$G$57,0)))+IF(RIGHT(TRIM(Paramètres!O39),3)="Fin",1-$H741,IF(LEFT(TRIM(Paramètres!O39),1)="F",1,0)))))))</f>
        <v/>
      </c>
      <c r="F741" s="19">
        <f>IF($A741="","",E741+$H741-1)</f>
        <v/>
      </c>
      <c r="G741" s="18" t="n"/>
      <c r="H741" s="18">
        <f>IF($A741="","",IF(I741&lt;&gt;"",I741,Paramètres!B39))</f>
        <v/>
      </c>
      <c r="I741" s="18" t="n"/>
    </row>
    <row r="742">
      <c r="A742" s="18">
        <f>IF(ISNUMBER(Dossiers!$D$17),Dossiers!$A$17&amp;" · "&amp;Dossiers!$B$17,"")</f>
        <v/>
      </c>
      <c r="B742" s="18">
        <f>IF($A742="","",Paramètres!G40)</f>
        <v/>
      </c>
      <c r="C742" s="18">
        <f>IF($A742="","",IF(Paramètres!H40="","",Paramètres!H40))</f>
        <v/>
      </c>
      <c r="D742" s="18">
        <f>IF($A742="","",IF(Paramètres!I40="","",Paramètres!I40))</f>
        <v/>
      </c>
      <c r="E742" s="19">
        <f>IF($A742="","",IF(Paramètres!J40&amp;Paramètres!L40&amp;Paramètres!N40="",Dossiers!$D$17,MAX(IF(Paramètres!J40="",0,IF(Paramètres!K40="",NA(),IF(LEFT(TRIM(Paramètres!K40),1)="F",INDEX($F$707:$F$759,MATCH(Paramètres!J40,Paramètres!$G$5:$G$57,0)),INDEX($E$707:$E$759,MATCH(Paramètres!J40,Paramètres!$G$5:$G$57,0)))+IF(RIGHT(TRIM(Paramètres!K40),3)="Fin",1-$H742,IF(LEFT(TRIM(Paramètres!K40),1)="F",1,0)))),IF(Paramètres!L40="",0,IF(Paramètres!M40="",NA(),IF(LEFT(TRIM(Paramètres!M40),1)="F",INDEX($F$707:$F$759,MATCH(Paramètres!L40,Paramètres!$G$5:$G$57,0)),INDEX($E$707:$E$759,MATCH(Paramètres!L40,Paramètres!$G$5:$G$57,0)))+IF(RIGHT(TRIM(Paramètres!M40),3)="Fin",1-$H742,IF(LEFT(TRIM(Paramètres!M40),1)="F",1,0)))),IF(Paramètres!N40="",0,IF(Paramètres!O40="",NA(),IF(LEFT(TRIM(Paramètres!O40),1)="F",INDEX($F$707:$F$759,MATCH(Paramètres!N40,Paramètres!$G$5:$G$57,0)),INDEX($E$707:$E$759,MATCH(Paramètres!N40,Paramètres!$G$5:$G$57,0)))+IF(RIGHT(TRIM(Paramètres!O40),3)="Fin",1-$H742,IF(LEFT(TRIM(Paramètres!O40),1)="F",1,0)))))))</f>
        <v/>
      </c>
      <c r="F742" s="19">
        <f>IF($A742="","",E742+$H742-1)</f>
        <v/>
      </c>
      <c r="G742" s="18" t="n"/>
      <c r="H742" s="18">
        <f>IF($A742="","",IF(I742&lt;&gt;"",I742,Paramètres!B40))</f>
        <v/>
      </c>
      <c r="I742" s="18" t="n"/>
    </row>
    <row r="743">
      <c r="A743" s="18">
        <f>IF(ISNUMBER(Dossiers!$D$17),Dossiers!$A$17&amp;" · "&amp;Dossiers!$B$17,"")</f>
        <v/>
      </c>
      <c r="B743" s="18">
        <f>IF($A743="","",Paramètres!G41)</f>
        <v/>
      </c>
      <c r="C743" s="18">
        <f>IF($A743="","",IF(Paramètres!H41="","",Paramètres!H41))</f>
        <v/>
      </c>
      <c r="D743" s="18">
        <f>IF($A743="","",IF(Paramètres!I41="","",Paramètres!I41))</f>
        <v/>
      </c>
      <c r="E743" s="19">
        <f>IF($A743="","",IF(Paramètres!J41&amp;Paramètres!L41&amp;Paramètres!N41="",Dossiers!$D$17,MAX(IF(Paramètres!J41="",0,IF(Paramètres!K41="",NA(),IF(LEFT(TRIM(Paramètres!K41),1)="F",INDEX($F$707:$F$759,MATCH(Paramètres!J41,Paramètres!$G$5:$G$57,0)),INDEX($E$707:$E$759,MATCH(Paramètres!J41,Paramètres!$G$5:$G$57,0)))+IF(RIGHT(TRIM(Paramètres!K41),3)="Fin",1-$H743,IF(LEFT(TRIM(Paramètres!K41),1)="F",1,0)))),IF(Paramètres!L41="",0,IF(Paramètres!M41="",NA(),IF(LEFT(TRIM(Paramètres!M41),1)="F",INDEX($F$707:$F$759,MATCH(Paramètres!L41,Paramètres!$G$5:$G$57,0)),INDEX($E$707:$E$759,MATCH(Paramètres!L41,Paramètres!$G$5:$G$57,0)))+IF(RIGHT(TRIM(Paramètres!M41),3)="Fin",1-$H743,IF(LEFT(TRIM(Paramètres!M41),1)="F",1,0)))),IF(Paramètres!N41="",0,IF(Paramètres!O41="",NA(),IF(LEFT(TRIM(Paramètres!O41),1)="F",INDEX($F$707:$F$759,MATCH(Paramètres!N41,Paramètres!$G$5:$G$57,0)),INDEX($E$707:$E$759,MATCH(Paramètres!N41,Paramètres!$G$5:$G$57,0)))+IF(RIGHT(TRIM(Paramètres!O41),3)="Fin",1-$H743,IF(LEFT(TRIM(Paramètres!O41),1)="F",1,0)))))))</f>
        <v/>
      </c>
      <c r="F743" s="19">
        <f>IF($A743="","",E743+$H743-1)</f>
        <v/>
      </c>
      <c r="G743" s="18" t="n"/>
      <c r="H743" s="18">
        <f>IF($A743="","",IF(I743&lt;&gt;"",I743,Paramètres!B41))</f>
        <v/>
      </c>
      <c r="I743" s="18" t="n"/>
    </row>
    <row r="744">
      <c r="A744" s="18">
        <f>IF(ISNUMBER(Dossiers!$D$17),Dossiers!$A$17&amp;" · "&amp;Dossiers!$B$17,"")</f>
        <v/>
      </c>
      <c r="B744" s="18">
        <f>IF($A744="","",Paramètres!G42)</f>
        <v/>
      </c>
      <c r="C744" s="18">
        <f>IF($A744="","",IF(Paramètres!H42="","",Paramètres!H42))</f>
        <v/>
      </c>
      <c r="D744" s="18">
        <f>IF($A744="","",IF(Paramètres!I42="","",Paramètres!I42))</f>
        <v/>
      </c>
      <c r="E744" s="19">
        <f>IF($A744="","",IF(Paramètres!J42&amp;Paramètres!L42&amp;Paramètres!N42="",Dossiers!$D$17,MAX(IF(Paramètres!J42="",0,IF(Paramètres!K42="",NA(),IF(LEFT(TRIM(Paramètres!K42),1)="F",INDEX($F$707:$F$759,MATCH(Paramètres!J42,Paramètres!$G$5:$G$57,0)),INDEX($E$707:$E$759,MATCH(Paramètres!J42,Paramètres!$G$5:$G$57,0)))+IF(RIGHT(TRIM(Paramètres!K42),3)="Fin",1-$H744,IF(LEFT(TRIM(Paramètres!K42),1)="F",1,0)))),IF(Paramètres!L42="",0,IF(Paramètres!M42="",NA(),IF(LEFT(TRIM(Paramètres!M42),1)="F",INDEX($F$707:$F$759,MATCH(Paramètres!L42,Paramètres!$G$5:$G$57,0)),INDEX($E$707:$E$759,MATCH(Paramètres!L42,Paramètres!$G$5:$G$57,0)))+IF(RIGHT(TRIM(Paramètres!M42),3)="Fin",1-$H744,IF(LEFT(TRIM(Paramètres!M42),1)="F",1,0)))),IF(Paramètres!N42="",0,IF(Paramètres!O42="",NA(),IF(LEFT(TRIM(Paramètres!O42),1)="F",INDEX($F$707:$F$759,MATCH(Paramètres!N42,Paramètres!$G$5:$G$57,0)),INDEX($E$707:$E$759,MATCH(Paramètres!N42,Paramètres!$G$5:$G$57,0)))+IF(RIGHT(TRIM(Paramètres!O42),3)="Fin",1-$H744,IF(LEFT(TRIM(Paramètres!O42),1)="F",1,0)))))))</f>
        <v/>
      </c>
      <c r="F744" s="19">
        <f>IF($A744="","",E744+$H744-1)</f>
        <v/>
      </c>
      <c r="G744" s="18" t="n"/>
      <c r="H744" s="18">
        <f>IF($A744="","",IF(I744&lt;&gt;"",I744,Paramètres!B42))</f>
        <v/>
      </c>
      <c r="I744" s="18" t="n"/>
    </row>
    <row r="745">
      <c r="A745" s="18">
        <f>IF(ISNUMBER(Dossiers!$D$17),Dossiers!$A$17&amp;" · "&amp;Dossiers!$B$17,"")</f>
        <v/>
      </c>
      <c r="B745" s="18">
        <f>IF($A745="","",Paramètres!G43)</f>
        <v/>
      </c>
      <c r="C745" s="18">
        <f>IF($A745="","",IF(Paramètres!H43="","",Paramètres!H43))</f>
        <v/>
      </c>
      <c r="D745" s="18">
        <f>IF($A745="","",IF(Paramètres!I43="","",Paramètres!I43))</f>
        <v/>
      </c>
      <c r="E745" s="19">
        <f>IF($A745="","",IF(Paramètres!J43&amp;Paramètres!L43&amp;Paramètres!N43="",Dossiers!$D$17,MAX(IF(Paramètres!J43="",0,IF(Paramètres!K43="",NA(),IF(LEFT(TRIM(Paramètres!K43),1)="F",INDEX($F$707:$F$759,MATCH(Paramètres!J43,Paramètres!$G$5:$G$57,0)),INDEX($E$707:$E$759,MATCH(Paramètres!J43,Paramètres!$G$5:$G$57,0)))+IF(RIGHT(TRIM(Paramètres!K43),3)="Fin",1-$H745,IF(LEFT(TRIM(Paramètres!K43),1)="F",1,0)))),IF(Paramètres!L43="",0,IF(Paramètres!M43="",NA(),IF(LEFT(TRIM(Paramètres!M43),1)="F",INDEX($F$707:$F$759,MATCH(Paramètres!L43,Paramètres!$G$5:$G$57,0)),INDEX($E$707:$E$759,MATCH(Paramètres!L43,Paramètres!$G$5:$G$57,0)))+IF(RIGHT(TRIM(Paramètres!M43),3)="Fin",1-$H745,IF(LEFT(TRIM(Paramètres!M43),1)="F",1,0)))),IF(Paramètres!N43="",0,IF(Paramètres!O43="",NA(),IF(LEFT(TRIM(Paramètres!O43),1)="F",INDEX($F$707:$F$759,MATCH(Paramètres!N43,Paramètres!$G$5:$G$57,0)),INDEX($E$707:$E$759,MATCH(Paramètres!N43,Paramètres!$G$5:$G$57,0)))+IF(RIGHT(TRIM(Paramètres!O43),3)="Fin",1-$H745,IF(LEFT(TRIM(Paramètres!O43),1)="F",1,0)))))))</f>
        <v/>
      </c>
      <c r="F745" s="19">
        <f>IF($A745="","",E745+$H745-1)</f>
        <v/>
      </c>
      <c r="G745" s="18" t="n"/>
      <c r="H745" s="18">
        <f>IF($A745="","",IF(I745&lt;&gt;"",I745,Paramètres!B43))</f>
        <v/>
      </c>
      <c r="I745" s="18" t="n"/>
    </row>
    <row r="746">
      <c r="A746" s="18">
        <f>IF(ISNUMBER(Dossiers!$D$17),Dossiers!$A$17&amp;" · "&amp;Dossiers!$B$17,"")</f>
        <v/>
      </c>
      <c r="B746" s="18">
        <f>IF($A746="","",Paramètres!G44)</f>
        <v/>
      </c>
      <c r="C746" s="18">
        <f>IF($A746="","",IF(Paramètres!H44="","",Paramètres!H44))</f>
        <v/>
      </c>
      <c r="D746" s="18">
        <f>IF($A746="","",IF(Paramètres!I44="","",Paramètres!I44))</f>
        <v/>
      </c>
      <c r="E746" s="19">
        <f>IF($A746="","",IF(Paramètres!J44&amp;Paramètres!L44&amp;Paramètres!N44="",Dossiers!$D$17,MAX(IF(Paramètres!J44="",0,IF(Paramètres!K44="",NA(),IF(LEFT(TRIM(Paramètres!K44),1)="F",INDEX($F$707:$F$759,MATCH(Paramètres!J44,Paramètres!$G$5:$G$57,0)),INDEX($E$707:$E$759,MATCH(Paramètres!J44,Paramètres!$G$5:$G$57,0)))+IF(RIGHT(TRIM(Paramètres!K44),3)="Fin",1-$H746,IF(LEFT(TRIM(Paramètres!K44),1)="F",1,0)))),IF(Paramètres!L44="",0,IF(Paramètres!M44="",NA(),IF(LEFT(TRIM(Paramètres!M44),1)="F",INDEX($F$707:$F$759,MATCH(Paramètres!L44,Paramètres!$G$5:$G$57,0)),INDEX($E$707:$E$759,MATCH(Paramètres!L44,Paramètres!$G$5:$G$57,0)))+IF(RIGHT(TRIM(Paramètres!M44),3)="Fin",1-$H746,IF(LEFT(TRIM(Paramètres!M44),1)="F",1,0)))),IF(Paramètres!N44="",0,IF(Paramètres!O44="",NA(),IF(LEFT(TRIM(Paramètres!O44),1)="F",INDEX($F$707:$F$759,MATCH(Paramètres!N44,Paramètres!$G$5:$G$57,0)),INDEX($E$707:$E$759,MATCH(Paramètres!N44,Paramètres!$G$5:$G$57,0)))+IF(RIGHT(TRIM(Paramètres!O44),3)="Fin",1-$H746,IF(LEFT(TRIM(Paramètres!O44),1)="F",1,0)))))))</f>
        <v/>
      </c>
      <c r="F746" s="19">
        <f>IF($A746="","",E746+$H746-1)</f>
        <v/>
      </c>
      <c r="G746" s="18" t="n"/>
      <c r="H746" s="18">
        <f>IF($A746="","",IF(I746&lt;&gt;"",I746,Paramètres!B44))</f>
        <v/>
      </c>
      <c r="I746" s="18" t="n"/>
    </row>
    <row r="747">
      <c r="A747" s="18">
        <f>IF(ISNUMBER(Dossiers!$D$17),Dossiers!$A$17&amp;" · "&amp;Dossiers!$B$17,"")</f>
        <v/>
      </c>
      <c r="B747" s="18">
        <f>IF($A747="","",Paramètres!G45)</f>
        <v/>
      </c>
      <c r="C747" s="20">
        <f>IF($A747="","",IF(Dossiers!$G$17="","",Dossiers!$G$17))</f>
        <v/>
      </c>
      <c r="D747" s="18">
        <f>IF($A747="","",IF(Paramètres!I45="","",Paramètres!I45))</f>
        <v/>
      </c>
      <c r="E747" s="19">
        <f>IF($A747="","",IF(Paramètres!J45&amp;Paramètres!L45&amp;Paramètres!N45="",Dossiers!$D$17,MAX(IF(Paramètres!J45="",0,IF(Paramètres!K45="",NA(),IF(LEFT(TRIM(Paramètres!K45),1)="F",INDEX($F$707:$F$759,MATCH(Paramètres!J45,Paramètres!$G$5:$G$57,0)),INDEX($E$707:$E$759,MATCH(Paramètres!J45,Paramètres!$G$5:$G$57,0)))+IF(RIGHT(TRIM(Paramètres!K45),3)="Fin",1-$H747,IF(LEFT(TRIM(Paramètres!K45),1)="F",1,0)))),IF(Paramètres!L45="",0,IF(Paramètres!M45="",NA(),IF(LEFT(TRIM(Paramètres!M45),1)="F",INDEX($F$707:$F$759,MATCH(Paramètres!L45,Paramètres!$G$5:$G$57,0)),INDEX($E$707:$E$759,MATCH(Paramètres!L45,Paramètres!$G$5:$G$57,0)))+IF(RIGHT(TRIM(Paramètres!M45),3)="Fin",1-$H747,IF(LEFT(TRIM(Paramètres!M45),1)="F",1,0)))),IF(Paramètres!N45="",0,IF(Paramètres!O45="",NA(),IF(LEFT(TRIM(Paramètres!O45),1)="F",INDEX($F$707:$F$759,MATCH(Paramètres!N45,Paramètres!$G$5:$G$57,0)),INDEX($E$707:$E$759,MATCH(Paramètres!N45,Paramètres!$G$5:$G$57,0)))+IF(RIGHT(TRIM(Paramètres!O45),3)="Fin",1-$H747,IF(LEFT(TRIM(Paramètres!O45),1)="F",1,0)))))))</f>
        <v/>
      </c>
      <c r="F747" s="19">
        <f>IF($A747="","",E747+$H747-1)</f>
        <v/>
      </c>
      <c r="G747" s="18" t="n"/>
      <c r="H747" s="18">
        <f>IF($A747="","",IF(I747&lt;&gt;"",I747,Paramètres!B45))</f>
        <v/>
      </c>
      <c r="I747" s="18" t="n"/>
    </row>
    <row r="748">
      <c r="A748" s="18">
        <f>IF(ISNUMBER(Dossiers!$D$17),Dossiers!$A$17&amp;" · "&amp;Dossiers!$B$17,"")</f>
        <v/>
      </c>
      <c r="B748" s="18">
        <f>IF($A748="","",Paramètres!G46)</f>
        <v/>
      </c>
      <c r="C748" s="18">
        <f>IF($A748="","",IF(Paramètres!H46="","",Paramètres!H46))</f>
        <v/>
      </c>
      <c r="D748" s="18">
        <f>IF($A748="","",IF(Paramètres!I46="","",Paramètres!I46))</f>
        <v/>
      </c>
      <c r="E748" s="19">
        <f>IF($A748="","",IF(Paramètres!J46&amp;Paramètres!L46&amp;Paramètres!N46="",Dossiers!$D$17,MAX(IF(Paramètres!J46="",0,IF(Paramètres!K46="",NA(),IF(LEFT(TRIM(Paramètres!K46),1)="F",INDEX($F$707:$F$759,MATCH(Paramètres!J46,Paramètres!$G$5:$G$57,0)),INDEX($E$707:$E$759,MATCH(Paramètres!J46,Paramètres!$G$5:$G$57,0)))+IF(RIGHT(TRIM(Paramètres!K46),3)="Fin",1-$H748,IF(LEFT(TRIM(Paramètres!K46),1)="F",1,0)))),IF(Paramètres!L46="",0,IF(Paramètres!M46="",NA(),IF(LEFT(TRIM(Paramètres!M46),1)="F",INDEX($F$707:$F$759,MATCH(Paramètres!L46,Paramètres!$G$5:$G$57,0)),INDEX($E$707:$E$759,MATCH(Paramètres!L46,Paramètres!$G$5:$G$57,0)))+IF(RIGHT(TRIM(Paramètres!M46),3)="Fin",1-$H748,IF(LEFT(TRIM(Paramètres!M46),1)="F",1,0)))),IF(Paramètres!N46="",0,IF(Paramètres!O46="",NA(),IF(LEFT(TRIM(Paramètres!O46),1)="F",INDEX($F$707:$F$759,MATCH(Paramètres!N46,Paramètres!$G$5:$G$57,0)),INDEX($E$707:$E$759,MATCH(Paramètres!N46,Paramètres!$G$5:$G$57,0)))+IF(RIGHT(TRIM(Paramètres!O46),3)="Fin",1-$H748,IF(LEFT(TRIM(Paramètres!O46),1)="F",1,0)))))))</f>
        <v/>
      </c>
      <c r="F748" s="19">
        <f>IF($A748="","",E748+$H748-1)</f>
        <v/>
      </c>
      <c r="G748" s="18" t="n"/>
      <c r="H748" s="18">
        <f>IF($A748="","",IF(I748&lt;&gt;"",I748,Paramètres!B46))</f>
        <v/>
      </c>
      <c r="I748" s="18" t="n"/>
    </row>
    <row r="749">
      <c r="A749" s="18">
        <f>IF(ISNUMBER(Dossiers!$D$17),Dossiers!$A$17&amp;" · "&amp;Dossiers!$B$17,"")</f>
        <v/>
      </c>
      <c r="B749" s="18">
        <f>IF($A749="","",Paramètres!G47)</f>
        <v/>
      </c>
      <c r="C749" s="18">
        <f>IF($A749="","",IF(Paramètres!H47="","",Paramètres!H47))</f>
        <v/>
      </c>
      <c r="D749" s="18">
        <f>IF($A749="","",IF(Paramètres!I47="","",Paramètres!I47))</f>
        <v/>
      </c>
      <c r="E749" s="19">
        <f>IF($A749="","",IF(Paramètres!J47&amp;Paramètres!L47&amp;Paramètres!N47="",Dossiers!$D$17,MAX(IF(Paramètres!J47="",0,IF(Paramètres!K47="",NA(),IF(LEFT(TRIM(Paramètres!K47),1)="F",INDEX($F$707:$F$759,MATCH(Paramètres!J47,Paramètres!$G$5:$G$57,0)),INDEX($E$707:$E$759,MATCH(Paramètres!J47,Paramètres!$G$5:$G$57,0)))+IF(RIGHT(TRIM(Paramètres!K47),3)="Fin",1-$H749,IF(LEFT(TRIM(Paramètres!K47),1)="F",1,0)))),IF(Paramètres!L47="",0,IF(Paramètres!M47="",NA(),IF(LEFT(TRIM(Paramètres!M47),1)="F",INDEX($F$707:$F$759,MATCH(Paramètres!L47,Paramètres!$G$5:$G$57,0)),INDEX($E$707:$E$759,MATCH(Paramètres!L47,Paramètres!$G$5:$G$57,0)))+IF(RIGHT(TRIM(Paramètres!M47),3)="Fin",1-$H749,IF(LEFT(TRIM(Paramètres!M47),1)="F",1,0)))),IF(Paramètres!N47="",0,IF(Paramètres!O47="",NA(),IF(LEFT(TRIM(Paramètres!O47),1)="F",INDEX($F$707:$F$759,MATCH(Paramètres!N47,Paramètres!$G$5:$G$57,0)),INDEX($E$707:$E$759,MATCH(Paramètres!N47,Paramètres!$G$5:$G$57,0)))+IF(RIGHT(TRIM(Paramètres!O47),3)="Fin",1-$H749,IF(LEFT(TRIM(Paramètres!O47),1)="F",1,0)))))))</f>
        <v/>
      </c>
      <c r="F749" s="19">
        <f>IF($A749="","",E749+$H749-1)</f>
        <v/>
      </c>
      <c r="G749" s="18" t="n"/>
      <c r="H749" s="18">
        <f>IF($A749="","",IF(I749&lt;&gt;"",I749,Paramètres!B47))</f>
        <v/>
      </c>
      <c r="I749" s="18" t="n"/>
    </row>
    <row r="750">
      <c r="A750" s="18">
        <f>IF(ISNUMBER(Dossiers!$D$17),Dossiers!$A$17&amp;" · "&amp;Dossiers!$B$17,"")</f>
        <v/>
      </c>
      <c r="B750" s="18">
        <f>IF($A750="","",Paramètres!G48)</f>
        <v/>
      </c>
      <c r="C750" s="18">
        <f>IF($A750="","",IF(Paramètres!H48="","",Paramètres!H48))</f>
        <v/>
      </c>
      <c r="D750" s="18">
        <f>IF($A750="","",IF(Paramètres!I48="","",Paramètres!I48))</f>
        <v/>
      </c>
      <c r="E750" s="19">
        <f>IF($A750="","",IF(Paramètres!J48&amp;Paramètres!L48&amp;Paramètres!N48="",Dossiers!$D$17,MAX(IF(Paramètres!J48="",0,IF(Paramètres!K48="",NA(),IF(LEFT(TRIM(Paramètres!K48),1)="F",INDEX($F$707:$F$759,MATCH(Paramètres!J48,Paramètres!$G$5:$G$57,0)),INDEX($E$707:$E$759,MATCH(Paramètres!J48,Paramètres!$G$5:$G$57,0)))+IF(RIGHT(TRIM(Paramètres!K48),3)="Fin",1-$H750,IF(LEFT(TRIM(Paramètres!K48),1)="F",1,0)))),IF(Paramètres!L48="",0,IF(Paramètres!M48="",NA(),IF(LEFT(TRIM(Paramètres!M48),1)="F",INDEX($F$707:$F$759,MATCH(Paramètres!L48,Paramètres!$G$5:$G$57,0)),INDEX($E$707:$E$759,MATCH(Paramètres!L48,Paramètres!$G$5:$G$57,0)))+IF(RIGHT(TRIM(Paramètres!M48),3)="Fin",1-$H750,IF(LEFT(TRIM(Paramètres!M48),1)="F",1,0)))),IF(Paramètres!N48="",0,IF(Paramètres!O48="",NA(),IF(LEFT(TRIM(Paramètres!O48),1)="F",INDEX($F$707:$F$759,MATCH(Paramètres!N48,Paramètres!$G$5:$G$57,0)),INDEX($E$707:$E$759,MATCH(Paramètres!N48,Paramètres!$G$5:$G$57,0)))+IF(RIGHT(TRIM(Paramètres!O48),3)="Fin",1-$H750,IF(LEFT(TRIM(Paramètres!O48),1)="F",1,0)))))))</f>
        <v/>
      </c>
      <c r="F750" s="19">
        <f>IF($A750="","",E750+$H750-1)</f>
        <v/>
      </c>
      <c r="G750" s="18" t="n"/>
      <c r="H750" s="18">
        <f>IF($A750="","",IF(I750&lt;&gt;"",I750,Paramètres!B48))</f>
        <v/>
      </c>
      <c r="I750" s="18" t="n"/>
    </row>
    <row r="751">
      <c r="A751" s="18">
        <f>IF(ISNUMBER(Dossiers!$D$17),Dossiers!$A$17&amp;" · "&amp;Dossiers!$B$17,"")</f>
        <v/>
      </c>
      <c r="B751" s="18">
        <f>IF($A751="","",Paramètres!G49)</f>
        <v/>
      </c>
      <c r="C751" s="18">
        <f>IF($A751="","",IF(Paramètres!H49="","",Paramètres!H49))</f>
        <v/>
      </c>
      <c r="D751" s="18">
        <f>IF($A751="","",IF(Paramètres!I49="","",Paramètres!I49))</f>
        <v/>
      </c>
      <c r="E751" s="19">
        <f>IF($A751="","",IF(Paramètres!J49&amp;Paramètres!L49&amp;Paramètres!N49="",Dossiers!$D$17,MAX(IF(Paramètres!J49="",0,IF(Paramètres!K49="",NA(),IF(LEFT(TRIM(Paramètres!K49),1)="F",INDEX($F$707:$F$759,MATCH(Paramètres!J49,Paramètres!$G$5:$G$57,0)),INDEX($E$707:$E$759,MATCH(Paramètres!J49,Paramètres!$G$5:$G$57,0)))+IF(RIGHT(TRIM(Paramètres!K49),3)="Fin",1-$H751,IF(LEFT(TRIM(Paramètres!K49),1)="F",1,0)))),IF(Paramètres!L49="",0,IF(Paramètres!M49="",NA(),IF(LEFT(TRIM(Paramètres!M49),1)="F",INDEX($F$707:$F$759,MATCH(Paramètres!L49,Paramètres!$G$5:$G$57,0)),INDEX($E$707:$E$759,MATCH(Paramètres!L49,Paramètres!$G$5:$G$57,0)))+IF(RIGHT(TRIM(Paramètres!M49),3)="Fin",1-$H751,IF(LEFT(TRIM(Paramètres!M49),1)="F",1,0)))),IF(Paramètres!N49="",0,IF(Paramètres!O49="",NA(),IF(LEFT(TRIM(Paramètres!O49),1)="F",INDEX($F$707:$F$759,MATCH(Paramètres!N49,Paramètres!$G$5:$G$57,0)),INDEX($E$707:$E$759,MATCH(Paramètres!N49,Paramètres!$G$5:$G$57,0)))+IF(RIGHT(TRIM(Paramètres!O49),3)="Fin",1-$H751,IF(LEFT(TRIM(Paramètres!O49),1)="F",1,0)))))))</f>
        <v/>
      </c>
      <c r="F751" s="19">
        <f>IF($A751="","",E751+$H751-1)</f>
        <v/>
      </c>
      <c r="G751" s="18" t="n"/>
      <c r="H751" s="18">
        <f>IF($A751="","",IF(I751&lt;&gt;"",I751,Paramètres!B49))</f>
        <v/>
      </c>
      <c r="I751" s="18" t="n"/>
    </row>
    <row r="752">
      <c r="A752" s="18">
        <f>IF(ISNUMBER(Dossiers!$D$17),Dossiers!$A$17&amp;" · "&amp;Dossiers!$B$17,"")</f>
        <v/>
      </c>
      <c r="B752" s="18">
        <f>IF($A752="","",Paramètres!G50)</f>
        <v/>
      </c>
      <c r="C752" s="18">
        <f>IF($A752="","",IF(Paramètres!H50="","",Paramètres!H50))</f>
        <v/>
      </c>
      <c r="D752" s="18">
        <f>IF($A752="","",IF(Paramètres!I50="","",Paramètres!I50))</f>
        <v/>
      </c>
      <c r="E752" s="19">
        <f>IF($A752="","",IF(Paramètres!J50&amp;Paramètres!L50&amp;Paramètres!N50="",Dossiers!$D$17,MAX(IF(Paramètres!J50="",0,IF(Paramètres!K50="",NA(),IF(LEFT(TRIM(Paramètres!K50),1)="F",INDEX($F$707:$F$759,MATCH(Paramètres!J50,Paramètres!$G$5:$G$57,0)),INDEX($E$707:$E$759,MATCH(Paramètres!J50,Paramètres!$G$5:$G$57,0)))+IF(RIGHT(TRIM(Paramètres!K50),3)="Fin",1-$H752,IF(LEFT(TRIM(Paramètres!K50),1)="F",1,0)))),IF(Paramètres!L50="",0,IF(Paramètres!M50="",NA(),IF(LEFT(TRIM(Paramètres!M50),1)="F",INDEX($F$707:$F$759,MATCH(Paramètres!L50,Paramètres!$G$5:$G$57,0)),INDEX($E$707:$E$759,MATCH(Paramètres!L50,Paramètres!$G$5:$G$57,0)))+IF(RIGHT(TRIM(Paramètres!M50),3)="Fin",1-$H752,IF(LEFT(TRIM(Paramètres!M50),1)="F",1,0)))),IF(Paramètres!N50="",0,IF(Paramètres!O50="",NA(),IF(LEFT(TRIM(Paramètres!O50),1)="F",INDEX($F$707:$F$759,MATCH(Paramètres!N50,Paramètres!$G$5:$G$57,0)),INDEX($E$707:$E$759,MATCH(Paramètres!N50,Paramètres!$G$5:$G$57,0)))+IF(RIGHT(TRIM(Paramètres!O50),3)="Fin",1-$H752,IF(LEFT(TRIM(Paramètres!O50),1)="F",1,0)))))))</f>
        <v/>
      </c>
      <c r="F752" s="19">
        <f>IF($A752="","",E752+$H752-1)</f>
        <v/>
      </c>
      <c r="G752" s="18" t="n"/>
      <c r="H752" s="18">
        <f>IF($A752="","",IF(I752&lt;&gt;"",I752,Paramètres!B50))</f>
        <v/>
      </c>
      <c r="I752" s="18" t="n"/>
    </row>
    <row r="753">
      <c r="A753" s="18">
        <f>IF(ISNUMBER(Dossiers!$D$17),Dossiers!$A$17&amp;" · "&amp;Dossiers!$B$17,"")</f>
        <v/>
      </c>
      <c r="B753" s="18">
        <f>IF($A753="","",Paramètres!G51)</f>
        <v/>
      </c>
      <c r="C753" s="18">
        <f>IF($A753="","",IF(Paramètres!H51="","",Paramètres!H51))</f>
        <v/>
      </c>
      <c r="D753" s="18">
        <f>IF($A753="","",IF(Paramètres!I51="","",Paramètres!I51))</f>
        <v/>
      </c>
      <c r="E753" s="19">
        <f>IF($A753="","",IF(Paramètres!J51&amp;Paramètres!L51&amp;Paramètres!N51="",Dossiers!$D$17,MAX(IF(Paramètres!J51="",0,IF(Paramètres!K51="",NA(),IF(LEFT(TRIM(Paramètres!K51),1)="F",INDEX($F$707:$F$759,MATCH(Paramètres!J51,Paramètres!$G$5:$G$57,0)),INDEX($E$707:$E$759,MATCH(Paramètres!J51,Paramètres!$G$5:$G$57,0)))+IF(RIGHT(TRIM(Paramètres!K51),3)="Fin",1-$H753,IF(LEFT(TRIM(Paramètres!K51),1)="F",1,0)))),IF(Paramètres!L51="",0,IF(Paramètres!M51="",NA(),IF(LEFT(TRIM(Paramètres!M51),1)="F",INDEX($F$707:$F$759,MATCH(Paramètres!L51,Paramètres!$G$5:$G$57,0)),INDEX($E$707:$E$759,MATCH(Paramètres!L51,Paramètres!$G$5:$G$57,0)))+IF(RIGHT(TRIM(Paramètres!M51),3)="Fin",1-$H753,IF(LEFT(TRIM(Paramètres!M51),1)="F",1,0)))),IF(Paramètres!N51="",0,IF(Paramètres!O51="",NA(),IF(LEFT(TRIM(Paramètres!O51),1)="F",INDEX($F$707:$F$759,MATCH(Paramètres!N51,Paramètres!$G$5:$G$57,0)),INDEX($E$707:$E$759,MATCH(Paramètres!N51,Paramètres!$G$5:$G$57,0)))+IF(RIGHT(TRIM(Paramètres!O51),3)="Fin",1-$H753,IF(LEFT(TRIM(Paramètres!O51),1)="F",1,0)))))))</f>
        <v/>
      </c>
      <c r="F753" s="19">
        <f>IF($A753="","",E753+$H753-1)</f>
        <v/>
      </c>
      <c r="G753" s="18" t="n"/>
      <c r="H753" s="18">
        <f>IF($A753="","",IF(I753&lt;&gt;"",I753,Paramètres!B51))</f>
        <v/>
      </c>
      <c r="I753" s="18" t="n"/>
    </row>
    <row r="754">
      <c r="A754" s="18">
        <f>IF(ISNUMBER(Dossiers!$D$17),Dossiers!$A$17&amp;" · "&amp;Dossiers!$B$17,"")</f>
        <v/>
      </c>
      <c r="B754" s="18">
        <f>IF($A754="","",Paramètres!G52)</f>
        <v/>
      </c>
      <c r="C754" s="18">
        <f>IF($A754="","",IF(Paramètres!H52="","",Paramètres!H52))</f>
        <v/>
      </c>
      <c r="D754" s="18">
        <f>IF($A754="","",IF(Paramètres!I52="","",Paramètres!I52))</f>
        <v/>
      </c>
      <c r="E754" s="19">
        <f>IF($A754="","",IF(Paramètres!J52&amp;Paramètres!L52&amp;Paramètres!N52="",Dossiers!$D$17,MAX(IF(Paramètres!J52="",0,IF(Paramètres!K52="",NA(),IF(LEFT(TRIM(Paramètres!K52),1)="F",INDEX($F$707:$F$759,MATCH(Paramètres!J52,Paramètres!$G$5:$G$57,0)),INDEX($E$707:$E$759,MATCH(Paramètres!J52,Paramètres!$G$5:$G$57,0)))+IF(RIGHT(TRIM(Paramètres!K52),3)="Fin",1-$H754,IF(LEFT(TRIM(Paramètres!K52),1)="F",1,0)))),IF(Paramètres!L52="",0,IF(Paramètres!M52="",NA(),IF(LEFT(TRIM(Paramètres!M52),1)="F",INDEX($F$707:$F$759,MATCH(Paramètres!L52,Paramètres!$G$5:$G$57,0)),INDEX($E$707:$E$759,MATCH(Paramètres!L52,Paramètres!$G$5:$G$57,0)))+IF(RIGHT(TRIM(Paramètres!M52),3)="Fin",1-$H754,IF(LEFT(TRIM(Paramètres!M52),1)="F",1,0)))),IF(Paramètres!N52="",0,IF(Paramètres!O52="",NA(),IF(LEFT(TRIM(Paramètres!O52),1)="F",INDEX($F$707:$F$759,MATCH(Paramètres!N52,Paramètres!$G$5:$G$57,0)),INDEX($E$707:$E$759,MATCH(Paramètres!N52,Paramètres!$G$5:$G$57,0)))+IF(RIGHT(TRIM(Paramètres!O52),3)="Fin",1-$H754,IF(LEFT(TRIM(Paramètres!O52),1)="F",1,0)))))))</f>
        <v/>
      </c>
      <c r="F754" s="19">
        <f>IF($A754="","",E754+$H754-1)</f>
        <v/>
      </c>
      <c r="G754" s="18" t="n"/>
      <c r="H754" s="18">
        <f>IF($A754="","",IF(I754&lt;&gt;"",I754,Paramètres!B52))</f>
        <v/>
      </c>
      <c r="I754" s="18" t="n"/>
    </row>
    <row r="755">
      <c r="A755" s="18">
        <f>IF(ISNUMBER(Dossiers!$D$17),Dossiers!$A$17&amp;" · "&amp;Dossiers!$B$17,"")</f>
        <v/>
      </c>
      <c r="B755" s="18">
        <f>IF($A755="","",Paramètres!G53)</f>
        <v/>
      </c>
      <c r="C755" s="18">
        <f>IF($A755="","",IF(Paramètres!H53="","",Paramètres!H53))</f>
        <v/>
      </c>
      <c r="D755" s="18">
        <f>IF($A755="","",IF(Paramètres!I53="","",Paramètres!I53))</f>
        <v/>
      </c>
      <c r="E755" s="19">
        <f>IF($A755="","",IF(Paramètres!J53&amp;Paramètres!L53&amp;Paramètres!N53="",Dossiers!$D$17,MAX(IF(Paramètres!J53="",0,IF(Paramètres!K53="",NA(),IF(LEFT(TRIM(Paramètres!K53),1)="F",INDEX($F$707:$F$759,MATCH(Paramètres!J53,Paramètres!$G$5:$G$57,0)),INDEX($E$707:$E$759,MATCH(Paramètres!J53,Paramètres!$G$5:$G$57,0)))+IF(RIGHT(TRIM(Paramètres!K53),3)="Fin",1-$H755,IF(LEFT(TRIM(Paramètres!K53),1)="F",1,0)))),IF(Paramètres!L53="",0,IF(Paramètres!M53="",NA(),IF(LEFT(TRIM(Paramètres!M53),1)="F",INDEX($F$707:$F$759,MATCH(Paramètres!L53,Paramètres!$G$5:$G$57,0)),INDEX($E$707:$E$759,MATCH(Paramètres!L53,Paramètres!$G$5:$G$57,0)))+IF(RIGHT(TRIM(Paramètres!M53),3)="Fin",1-$H755,IF(LEFT(TRIM(Paramètres!M53),1)="F",1,0)))),IF(Paramètres!N53="",0,IF(Paramètres!O53="",NA(),IF(LEFT(TRIM(Paramètres!O53),1)="F",INDEX($F$707:$F$759,MATCH(Paramètres!N53,Paramètres!$G$5:$G$57,0)),INDEX($E$707:$E$759,MATCH(Paramètres!N53,Paramètres!$G$5:$G$57,0)))+IF(RIGHT(TRIM(Paramètres!O53),3)="Fin",1-$H755,IF(LEFT(TRIM(Paramètres!O53),1)="F",1,0)))))))</f>
        <v/>
      </c>
      <c r="F755" s="19">
        <f>IF($A755="","",E755+$H755-1)</f>
        <v/>
      </c>
      <c r="G755" s="18" t="n"/>
      <c r="H755" s="18">
        <f>IF($A755="","",IF(I755&lt;&gt;"",I755,Paramètres!B53))</f>
        <v/>
      </c>
      <c r="I755" s="18" t="n"/>
    </row>
    <row r="756">
      <c r="A756" s="18">
        <f>IF(ISNUMBER(Dossiers!$D$17),Dossiers!$A$17&amp;" · "&amp;Dossiers!$B$17,"")</f>
        <v/>
      </c>
      <c r="B756" s="18">
        <f>IF($A756="","",Paramètres!G54)</f>
        <v/>
      </c>
      <c r="C756" s="18">
        <f>IF($A756="","",IF(Paramètres!H54="","",Paramètres!H54))</f>
        <v/>
      </c>
      <c r="D756" s="18">
        <f>IF($A756="","",IF(Paramètres!I54="","",Paramètres!I54))</f>
        <v/>
      </c>
      <c r="E756" s="19">
        <f>IF($A756="","",IF(Paramètres!J54&amp;Paramètres!L54&amp;Paramètres!N54="",Dossiers!$D$17,MAX(IF(Paramètres!J54="",0,IF(Paramètres!K54="",NA(),IF(LEFT(TRIM(Paramètres!K54),1)="F",INDEX($F$707:$F$759,MATCH(Paramètres!J54,Paramètres!$G$5:$G$57,0)),INDEX($E$707:$E$759,MATCH(Paramètres!J54,Paramètres!$G$5:$G$57,0)))+IF(RIGHT(TRIM(Paramètres!K54),3)="Fin",1-$H756,IF(LEFT(TRIM(Paramètres!K54),1)="F",1,0)))),IF(Paramètres!L54="",0,IF(Paramètres!M54="",NA(),IF(LEFT(TRIM(Paramètres!M54),1)="F",INDEX($F$707:$F$759,MATCH(Paramètres!L54,Paramètres!$G$5:$G$57,0)),INDEX($E$707:$E$759,MATCH(Paramètres!L54,Paramètres!$G$5:$G$57,0)))+IF(RIGHT(TRIM(Paramètres!M54),3)="Fin",1-$H756,IF(LEFT(TRIM(Paramètres!M54),1)="F",1,0)))),IF(Paramètres!N54="",0,IF(Paramètres!O54="",NA(),IF(LEFT(TRIM(Paramètres!O54),1)="F",INDEX($F$707:$F$759,MATCH(Paramètres!N54,Paramètres!$G$5:$G$57,0)),INDEX($E$707:$E$759,MATCH(Paramètres!N54,Paramètres!$G$5:$G$57,0)))+IF(RIGHT(TRIM(Paramètres!O54),3)="Fin",1-$H756,IF(LEFT(TRIM(Paramètres!O54),1)="F",1,0)))))))</f>
        <v/>
      </c>
      <c r="F756" s="19">
        <f>IF($A756="","",E756+$H756-1)</f>
        <v/>
      </c>
      <c r="G756" s="18" t="n"/>
      <c r="H756" s="18">
        <f>IF($A756="","",IF(I756&lt;&gt;"",I756,Paramètres!B54))</f>
        <v/>
      </c>
      <c r="I756" s="18" t="n"/>
    </row>
    <row r="757">
      <c r="A757" s="18">
        <f>IF(ISNUMBER(Dossiers!$D$17),Dossiers!$A$17&amp;" · "&amp;Dossiers!$B$17,"")</f>
        <v/>
      </c>
      <c r="B757" s="18">
        <f>IF($A757="","",Paramètres!G55)</f>
        <v/>
      </c>
      <c r="C757" s="18">
        <f>IF($A757="","",IF(Paramètres!H55="","",Paramètres!H55))</f>
        <v/>
      </c>
      <c r="D757" s="18">
        <f>IF($A757="","",IF(Paramètres!I55="","",Paramètres!I55))</f>
        <v/>
      </c>
      <c r="E757" s="19">
        <f>IF($A757="","",IF(Paramètres!J55&amp;Paramètres!L55&amp;Paramètres!N55="",Dossiers!$D$17,MAX(IF(Paramètres!J55="",0,IF(Paramètres!K55="",NA(),IF(LEFT(TRIM(Paramètres!K55),1)="F",INDEX($F$707:$F$759,MATCH(Paramètres!J55,Paramètres!$G$5:$G$57,0)),INDEX($E$707:$E$759,MATCH(Paramètres!J55,Paramètres!$G$5:$G$57,0)))+IF(RIGHT(TRIM(Paramètres!K55),3)="Fin",1-$H757,IF(LEFT(TRIM(Paramètres!K55),1)="F",1,0)))),IF(Paramètres!L55="",0,IF(Paramètres!M55="",NA(),IF(LEFT(TRIM(Paramètres!M55),1)="F",INDEX($F$707:$F$759,MATCH(Paramètres!L55,Paramètres!$G$5:$G$57,0)),INDEX($E$707:$E$759,MATCH(Paramètres!L55,Paramètres!$G$5:$G$57,0)))+IF(RIGHT(TRIM(Paramètres!M55),3)="Fin",1-$H757,IF(LEFT(TRIM(Paramètres!M55),1)="F",1,0)))),IF(Paramètres!N55="",0,IF(Paramètres!O55="",NA(),IF(LEFT(TRIM(Paramètres!O55),1)="F",INDEX($F$707:$F$759,MATCH(Paramètres!N55,Paramètres!$G$5:$G$57,0)),INDEX($E$707:$E$759,MATCH(Paramètres!N55,Paramètres!$G$5:$G$57,0)))+IF(RIGHT(TRIM(Paramètres!O55),3)="Fin",1-$H757,IF(LEFT(TRIM(Paramètres!O55),1)="F",1,0)))))))</f>
        <v/>
      </c>
      <c r="F757" s="19">
        <f>IF($A757="","",E757+$H757-1)</f>
        <v/>
      </c>
      <c r="G757" s="18" t="n"/>
      <c r="H757" s="18">
        <f>IF($A757="","",IF(I757&lt;&gt;"",I757,Paramètres!B55))</f>
        <v/>
      </c>
      <c r="I757" s="18" t="n"/>
    </row>
    <row r="758">
      <c r="A758" s="18">
        <f>IF(ISNUMBER(Dossiers!$D$17),Dossiers!$A$17&amp;" · "&amp;Dossiers!$B$17,"")</f>
        <v/>
      </c>
      <c r="B758" s="18">
        <f>IF($A758="","",Paramètres!G56)</f>
        <v/>
      </c>
      <c r="C758" s="18">
        <f>IF($A758="","",IF(Paramètres!H56="","",Paramètres!H56))</f>
        <v/>
      </c>
      <c r="D758" s="18">
        <f>IF($A758="","",IF(Paramètres!I56="","",Paramètres!I56))</f>
        <v/>
      </c>
      <c r="E758" s="19">
        <f>IF($A758="","",MIN(E759:E759))</f>
        <v/>
      </c>
      <c r="F758" s="19">
        <f>IF($A758="","",MAX(F759:F759))</f>
        <v/>
      </c>
      <c r="G758" s="18" t="n"/>
      <c r="H758" s="18">
        <f>IF($A758="","",F758-E758+1)</f>
        <v/>
      </c>
      <c r="I758" s="18" t="n"/>
    </row>
    <row r="759">
      <c r="A759" s="18">
        <f>IF(ISNUMBER(Dossiers!$D$17),Dossiers!$A$17&amp;" · "&amp;Dossiers!$B$17,"")</f>
        <v/>
      </c>
      <c r="B759" s="18">
        <f>IF($A759="","",Paramètres!G57)</f>
        <v/>
      </c>
      <c r="C759" s="18">
        <f>IF($A759="","",IF(Paramètres!H57="","",Paramètres!H57))</f>
        <v/>
      </c>
      <c r="D759" s="18">
        <f>IF($A759="","",IF(Paramètres!I57="","",Paramètres!I57))</f>
        <v/>
      </c>
      <c r="E759" s="19">
        <f>IF($A759="","",IF(Paramètres!J57&amp;Paramètres!L57&amp;Paramètres!N57="",Dossiers!$D$17,MAX(IF(Paramètres!J57="",0,IF(Paramètres!K57="",NA(),IF(LEFT(TRIM(Paramètres!K57),1)="F",INDEX($F$707:$F$759,MATCH(Paramètres!J57,Paramètres!$G$5:$G$57,0)),INDEX($E$707:$E$759,MATCH(Paramètres!J57,Paramètres!$G$5:$G$57,0)))+IF(RIGHT(TRIM(Paramètres!K57),3)="Fin",1-$H759,IF(LEFT(TRIM(Paramètres!K57),1)="F",1,0)))),IF(Paramètres!L57="",0,IF(Paramètres!M57="",NA(),IF(LEFT(TRIM(Paramètres!M57),1)="F",INDEX($F$707:$F$759,MATCH(Paramètres!L57,Paramètres!$G$5:$G$57,0)),INDEX($E$707:$E$759,MATCH(Paramètres!L57,Paramètres!$G$5:$G$57,0)))+IF(RIGHT(TRIM(Paramètres!M57),3)="Fin",1-$H759,IF(LEFT(TRIM(Paramètres!M57),1)="F",1,0)))),IF(Paramètres!N57="",0,IF(Paramètres!O57="",NA(),IF(LEFT(TRIM(Paramètres!O57),1)="F",INDEX($F$707:$F$759,MATCH(Paramètres!N57,Paramètres!$G$5:$G$57,0)),INDEX($E$707:$E$759,MATCH(Paramètres!N57,Paramètres!$G$5:$G$57,0)))+IF(RIGHT(TRIM(Paramètres!O57),3)="Fin",1-$H759,IF(LEFT(TRIM(Paramètres!O57),1)="F",1,0)))))))</f>
        <v/>
      </c>
      <c r="F759" s="19">
        <f>IF($A759="","",E759+$H759-1)</f>
        <v/>
      </c>
      <c r="G759" s="18" t="n"/>
      <c r="H759" s="18">
        <f>IF($A759="","",IF(I759&lt;&gt;"",I759,Paramètres!B57))</f>
        <v/>
      </c>
      <c r="I759" s="18" t="n"/>
    </row>
    <row r="760">
      <c r="A760" s="16">
        <f>IF(ISNUMBER(Dossiers!$D$18),Dossiers!$E$18,"")</f>
        <v/>
      </c>
      <c r="B760" s="16">
        <f>IF($A760="","","Identifiant")</f>
        <v/>
      </c>
      <c r="C760" s="16">
        <f>IF($A760="","","Macro Etape")</f>
        <v/>
      </c>
      <c r="D760" s="16">
        <f>IF($A760="","","Etape")</f>
        <v/>
      </c>
      <c r="E760" s="17">
        <f>IF($A760="","","Début le")</f>
        <v/>
      </c>
      <c r="F760" s="17">
        <f>IF($A760="","","Fin prévue le")</f>
        <v/>
      </c>
      <c r="G760" s="16">
        <f>IF($A760="","","Statut")</f>
        <v/>
      </c>
      <c r="H760" s="16">
        <f>IF($A760="","","Durée (jours)")</f>
        <v/>
      </c>
      <c r="I760" s="16">
        <f>IF($A760="","","Durée particulière")</f>
        <v/>
      </c>
      <c r="J760" s="10">
        <f>IF($A760="","",HYPERLINK("#'Tableau de bord'!A1","↑ Tableau de bord"))</f>
        <v/>
      </c>
    </row>
    <row r="761">
      <c r="A761" s="18">
        <f>IF(ISNUMBER(Dossiers!$D$18),Dossiers!$A$18&amp;" · "&amp;Dossiers!$B$18,"")</f>
        <v/>
      </c>
      <c r="B761" s="18">
        <f>IF($A761="","",Paramètres!G5)</f>
        <v/>
      </c>
      <c r="C761" s="18">
        <f>IF($A761="","",IF(Paramètres!H5="","",Paramètres!H5))</f>
        <v/>
      </c>
      <c r="D761" s="18">
        <f>IF($A761="","",IF(Paramètres!I5="","",Paramètres!I5))</f>
        <v/>
      </c>
      <c r="E761" s="19">
        <f>IF($A761="","",MIN(E762:E765))</f>
        <v/>
      </c>
      <c r="F761" s="19">
        <f>IF($A761="","",MAX(F762:F765))</f>
        <v/>
      </c>
      <c r="G761" s="18" t="n"/>
      <c r="H761" s="18">
        <f>IF($A761="","",F761-E761+1)</f>
        <v/>
      </c>
      <c r="I761" s="18" t="n"/>
    </row>
    <row r="762">
      <c r="A762" s="18">
        <f>IF(ISNUMBER(Dossiers!$D$18),Dossiers!$A$18&amp;" · "&amp;Dossiers!$B$18,"")</f>
        <v/>
      </c>
      <c r="B762" s="18">
        <f>IF($A762="","",Paramètres!G6)</f>
        <v/>
      </c>
      <c r="C762" s="18">
        <f>IF($A762="","",IF(Paramètres!H6="","",Paramètres!H6))</f>
        <v/>
      </c>
      <c r="D762" s="18">
        <f>IF($A762="","",IF(Paramètres!I6="","",Paramètres!I6))</f>
        <v/>
      </c>
      <c r="E762" s="19">
        <f>IF($A762="","",IF(Paramètres!J6&amp;Paramètres!L6&amp;Paramètres!N6="",Dossiers!$D$18,MAX(IF(Paramètres!J6="",0,IF(Paramètres!K6="",NA(),IF(LEFT(TRIM(Paramètres!K6),1)="F",INDEX($F$761:$F$813,MATCH(Paramètres!J6,Paramètres!$G$5:$G$57,0)),INDEX($E$761:$E$813,MATCH(Paramètres!J6,Paramètres!$G$5:$G$57,0)))+IF(RIGHT(TRIM(Paramètres!K6),3)="Fin",1-$H762,IF(LEFT(TRIM(Paramètres!K6),1)="F",1,0)))),IF(Paramètres!L6="",0,IF(Paramètres!M6="",NA(),IF(LEFT(TRIM(Paramètres!M6),1)="F",INDEX($F$761:$F$813,MATCH(Paramètres!L6,Paramètres!$G$5:$G$57,0)),INDEX($E$761:$E$813,MATCH(Paramètres!L6,Paramètres!$G$5:$G$57,0)))+IF(RIGHT(TRIM(Paramètres!M6),3)="Fin",1-$H762,IF(LEFT(TRIM(Paramètres!M6),1)="F",1,0)))),IF(Paramètres!N6="",0,IF(Paramètres!O6="",NA(),IF(LEFT(TRIM(Paramètres!O6),1)="F",INDEX($F$761:$F$813,MATCH(Paramètres!N6,Paramètres!$G$5:$G$57,0)),INDEX($E$761:$E$813,MATCH(Paramètres!N6,Paramètres!$G$5:$G$57,0)))+IF(RIGHT(TRIM(Paramètres!O6),3)="Fin",1-$H762,IF(LEFT(TRIM(Paramètres!O6),1)="F",1,0)))))))</f>
        <v/>
      </c>
      <c r="F762" s="19">
        <f>IF($A762="","",E762+$H762-1)</f>
        <v/>
      </c>
      <c r="G762" s="18" t="n"/>
      <c r="H762" s="18">
        <f>IF($A762="","",IF(I762&lt;&gt;"",I762,Paramètres!B6))</f>
        <v/>
      </c>
      <c r="I762" s="18" t="n"/>
    </row>
    <row r="763">
      <c r="A763" s="18">
        <f>IF(ISNUMBER(Dossiers!$D$18),Dossiers!$A$18&amp;" · "&amp;Dossiers!$B$18,"")</f>
        <v/>
      </c>
      <c r="B763" s="18">
        <f>IF($A763="","",Paramètres!G7)</f>
        <v/>
      </c>
      <c r="C763" s="18">
        <f>IF($A763="","",IF(Paramètres!H7="","",Paramètres!H7))</f>
        <v/>
      </c>
      <c r="D763" s="18">
        <f>IF($A763="","",IF(Paramètres!I7="","",Paramètres!I7))</f>
        <v/>
      </c>
      <c r="E763" s="19">
        <f>IF($A763="","",IF(Paramètres!J7&amp;Paramètres!L7&amp;Paramètres!N7="",Dossiers!$D$18,MAX(IF(Paramètres!J7="",0,IF(Paramètres!K7="",NA(),IF(LEFT(TRIM(Paramètres!K7),1)="F",INDEX($F$761:$F$813,MATCH(Paramètres!J7,Paramètres!$G$5:$G$57,0)),INDEX($E$761:$E$813,MATCH(Paramètres!J7,Paramètres!$G$5:$G$57,0)))+IF(RIGHT(TRIM(Paramètres!K7),3)="Fin",1-$H763,IF(LEFT(TRIM(Paramètres!K7),1)="F",1,0)))),IF(Paramètres!L7="",0,IF(Paramètres!M7="",NA(),IF(LEFT(TRIM(Paramètres!M7),1)="F",INDEX($F$761:$F$813,MATCH(Paramètres!L7,Paramètres!$G$5:$G$57,0)),INDEX($E$761:$E$813,MATCH(Paramètres!L7,Paramètres!$G$5:$G$57,0)))+IF(RIGHT(TRIM(Paramètres!M7),3)="Fin",1-$H763,IF(LEFT(TRIM(Paramètres!M7),1)="F",1,0)))),IF(Paramètres!N7="",0,IF(Paramètres!O7="",NA(),IF(LEFT(TRIM(Paramètres!O7),1)="F",INDEX($F$761:$F$813,MATCH(Paramètres!N7,Paramètres!$G$5:$G$57,0)),INDEX($E$761:$E$813,MATCH(Paramètres!N7,Paramètres!$G$5:$G$57,0)))+IF(RIGHT(TRIM(Paramètres!O7),3)="Fin",1-$H763,IF(LEFT(TRIM(Paramètres!O7),1)="F",1,0)))))))</f>
        <v/>
      </c>
      <c r="F763" s="19">
        <f>IF($A763="","",E763+$H763-1)</f>
        <v/>
      </c>
      <c r="G763" s="18" t="n"/>
      <c r="H763" s="18">
        <f>IF($A763="","",IF(I763&lt;&gt;"",I763,Paramètres!B7))</f>
        <v/>
      </c>
      <c r="I763" s="18" t="n"/>
    </row>
    <row r="764">
      <c r="A764" s="18">
        <f>IF(ISNUMBER(Dossiers!$D$18),Dossiers!$A$18&amp;" · "&amp;Dossiers!$B$18,"")</f>
        <v/>
      </c>
      <c r="B764" s="18">
        <f>IF($A764="","",Paramètres!G8)</f>
        <v/>
      </c>
      <c r="C764" s="18">
        <f>IF($A764="","",IF(Paramètres!H8="","",Paramètres!H8))</f>
        <v/>
      </c>
      <c r="D764" s="18">
        <f>IF($A764="","",IF(Paramètres!I8="","",Paramètres!I8))</f>
        <v/>
      </c>
      <c r="E764" s="19">
        <f>IF($A764="","",IF(Paramètres!J8&amp;Paramètres!L8&amp;Paramètres!N8="",Dossiers!$D$18,MAX(IF(Paramètres!J8="",0,IF(Paramètres!K8="",NA(),IF(LEFT(TRIM(Paramètres!K8),1)="F",INDEX($F$761:$F$813,MATCH(Paramètres!J8,Paramètres!$G$5:$G$57,0)),INDEX($E$761:$E$813,MATCH(Paramètres!J8,Paramètres!$G$5:$G$57,0)))+IF(RIGHT(TRIM(Paramètres!K8),3)="Fin",1-$H764,IF(LEFT(TRIM(Paramètres!K8),1)="F",1,0)))),IF(Paramètres!L8="",0,IF(Paramètres!M8="",NA(),IF(LEFT(TRIM(Paramètres!M8),1)="F",INDEX($F$761:$F$813,MATCH(Paramètres!L8,Paramètres!$G$5:$G$57,0)),INDEX($E$761:$E$813,MATCH(Paramètres!L8,Paramètres!$G$5:$G$57,0)))+IF(RIGHT(TRIM(Paramètres!M8),3)="Fin",1-$H764,IF(LEFT(TRIM(Paramètres!M8),1)="F",1,0)))),IF(Paramètres!N8="",0,IF(Paramètres!O8="",NA(),IF(LEFT(TRIM(Paramètres!O8),1)="F",INDEX($F$761:$F$813,MATCH(Paramètres!N8,Paramètres!$G$5:$G$57,0)),INDEX($E$761:$E$813,MATCH(Paramètres!N8,Paramètres!$G$5:$G$57,0)))+IF(RIGHT(TRIM(Paramètres!O8),3)="Fin",1-$H764,IF(LEFT(TRIM(Paramètres!O8),1)="F",1,0)))))))</f>
        <v/>
      </c>
      <c r="F764" s="19">
        <f>IF($A764="","",E764+$H764-1)</f>
        <v/>
      </c>
      <c r="G764" s="18" t="n"/>
      <c r="H764" s="18">
        <f>IF($A764="","",IF(I764&lt;&gt;"",I764,Paramètres!B8))</f>
        <v/>
      </c>
      <c r="I764" s="18" t="n"/>
    </row>
    <row r="765">
      <c r="A765" s="18">
        <f>IF(ISNUMBER(Dossiers!$D$18),Dossiers!$A$18&amp;" · "&amp;Dossiers!$B$18,"")</f>
        <v/>
      </c>
      <c r="B765" s="18">
        <f>IF($A765="","",Paramètres!G9)</f>
        <v/>
      </c>
      <c r="C765" s="18">
        <f>IF($A765="","",IF(Paramètres!H9="","",Paramètres!H9))</f>
        <v/>
      </c>
      <c r="D765" s="18">
        <f>IF($A765="","",IF(Paramètres!I9="","",Paramètres!I9))</f>
        <v/>
      </c>
      <c r="E765" s="19">
        <f>IF($A765="","",IF(Paramètres!J9&amp;Paramètres!L9&amp;Paramètres!N9="",Dossiers!$D$18,MAX(IF(Paramètres!J9="",0,IF(Paramètres!K9="",NA(),IF(LEFT(TRIM(Paramètres!K9),1)="F",INDEX($F$761:$F$813,MATCH(Paramètres!J9,Paramètres!$G$5:$G$57,0)),INDEX($E$761:$E$813,MATCH(Paramètres!J9,Paramètres!$G$5:$G$57,0)))+IF(RIGHT(TRIM(Paramètres!K9),3)="Fin",1-$H765,IF(LEFT(TRIM(Paramètres!K9),1)="F",1,0)))),IF(Paramètres!L9="",0,IF(Paramètres!M9="",NA(),IF(LEFT(TRIM(Paramètres!M9),1)="F",INDEX($F$761:$F$813,MATCH(Paramètres!L9,Paramètres!$G$5:$G$57,0)),INDEX($E$761:$E$813,MATCH(Paramètres!L9,Paramètres!$G$5:$G$57,0)))+IF(RIGHT(TRIM(Paramètres!M9),3)="Fin",1-$H765,IF(LEFT(TRIM(Paramètres!M9),1)="F",1,0)))),IF(Paramètres!N9="",0,IF(Paramètres!O9="",NA(),IF(LEFT(TRIM(Paramètres!O9),1)="F",INDEX($F$761:$F$813,MATCH(Paramètres!N9,Paramètres!$G$5:$G$57,0)),INDEX($E$761:$E$813,MATCH(Paramètres!N9,Paramètres!$G$5:$G$57,0)))+IF(RIGHT(TRIM(Paramètres!O9),3)="Fin",1-$H765,IF(LEFT(TRIM(Paramètres!O9),1)="F",1,0)))))))</f>
        <v/>
      </c>
      <c r="F765" s="19">
        <f>IF($A765="","",E765+$H765-1)</f>
        <v/>
      </c>
      <c r="G765" s="18" t="n"/>
      <c r="H765" s="18">
        <f>IF($A765="","",IF(I765&lt;&gt;"",I765,Paramètres!B9))</f>
        <v/>
      </c>
      <c r="I765" s="18" t="n"/>
    </row>
    <row r="766">
      <c r="A766" s="18">
        <f>IF(ISNUMBER(Dossiers!$D$18),Dossiers!$A$18&amp;" · "&amp;Dossiers!$B$18,"")</f>
        <v/>
      </c>
      <c r="B766" s="18">
        <f>IF($A766="","",Paramètres!G10)</f>
        <v/>
      </c>
      <c r="C766" s="18">
        <f>IF($A766="","",IF(Paramètres!H10="","",Paramètres!H10))</f>
        <v/>
      </c>
      <c r="D766" s="18">
        <f>IF($A766="","",IF(Paramètres!I10="","",Paramètres!I10))</f>
        <v/>
      </c>
      <c r="E766" s="19">
        <f>IF($A766="","",MIN(E767:E770))</f>
        <v/>
      </c>
      <c r="F766" s="19">
        <f>IF($A766="","",MAX(F767:F770))</f>
        <v/>
      </c>
      <c r="G766" s="18" t="n"/>
      <c r="H766" s="18">
        <f>IF($A766="","",F766-E766+1)</f>
        <v/>
      </c>
      <c r="I766" s="18" t="n"/>
    </row>
    <row r="767">
      <c r="A767" s="18">
        <f>IF(ISNUMBER(Dossiers!$D$18),Dossiers!$A$18&amp;" · "&amp;Dossiers!$B$18,"")</f>
        <v/>
      </c>
      <c r="B767" s="18">
        <f>IF($A767="","",Paramètres!G11)</f>
        <v/>
      </c>
      <c r="C767" s="18">
        <f>IF($A767="","",IF(Paramètres!H11="","",Paramètres!H11))</f>
        <v/>
      </c>
      <c r="D767" s="18">
        <f>IF($A767="","",IF(Paramètres!I11="","",Paramètres!I11))</f>
        <v/>
      </c>
      <c r="E767" s="19">
        <f>IF($A767="","",IF(Paramètres!J11&amp;Paramètres!L11&amp;Paramètres!N11="",Dossiers!$D$18,MAX(IF(Paramètres!J11="",0,IF(Paramètres!K11="",NA(),IF(LEFT(TRIM(Paramètres!K11),1)="F",INDEX($F$761:$F$813,MATCH(Paramètres!J11,Paramètres!$G$5:$G$57,0)),INDEX($E$761:$E$813,MATCH(Paramètres!J11,Paramètres!$G$5:$G$57,0)))+IF(RIGHT(TRIM(Paramètres!K11),3)="Fin",1-$H767,IF(LEFT(TRIM(Paramètres!K11),1)="F",1,0)))),IF(Paramètres!L11="",0,IF(Paramètres!M11="",NA(),IF(LEFT(TRIM(Paramètres!M11),1)="F",INDEX($F$761:$F$813,MATCH(Paramètres!L11,Paramètres!$G$5:$G$57,0)),INDEX($E$761:$E$813,MATCH(Paramètres!L11,Paramètres!$G$5:$G$57,0)))+IF(RIGHT(TRIM(Paramètres!M11),3)="Fin",1-$H767,IF(LEFT(TRIM(Paramètres!M11),1)="F",1,0)))),IF(Paramètres!N11="",0,IF(Paramètres!O11="",NA(),IF(LEFT(TRIM(Paramètres!O11),1)="F",INDEX($F$761:$F$813,MATCH(Paramètres!N11,Paramètres!$G$5:$G$57,0)),INDEX($E$761:$E$813,MATCH(Paramètres!N11,Paramètres!$G$5:$G$57,0)))+IF(RIGHT(TRIM(Paramètres!O11),3)="Fin",1-$H767,IF(LEFT(TRIM(Paramètres!O11),1)="F",1,0)))))))</f>
        <v/>
      </c>
      <c r="F767" s="19">
        <f>IF($A767="","",E767+$H767-1)</f>
        <v/>
      </c>
      <c r="G767" s="18" t="n"/>
      <c r="H767" s="18">
        <f>IF($A767="","",IF(I767&lt;&gt;"",I767,Paramètres!B11))</f>
        <v/>
      </c>
      <c r="I767" s="18" t="n"/>
    </row>
    <row r="768">
      <c r="A768" s="18">
        <f>IF(ISNUMBER(Dossiers!$D$18),Dossiers!$A$18&amp;" · "&amp;Dossiers!$B$18,"")</f>
        <v/>
      </c>
      <c r="B768" s="18">
        <f>IF($A768="","",Paramètres!G12)</f>
        <v/>
      </c>
      <c r="C768" s="18">
        <f>IF($A768="","",IF(Paramètres!H12="","",Paramètres!H12))</f>
        <v/>
      </c>
      <c r="D768" s="18">
        <f>IF($A768="","",IF(Paramètres!I12="","",Paramètres!I12))</f>
        <v/>
      </c>
      <c r="E768" s="19">
        <f>IF($A768="","",IF(Paramètres!J12&amp;Paramètres!L12&amp;Paramètres!N12="",Dossiers!$D$18,MAX(IF(Paramètres!J12="",0,IF(Paramètres!K12="",NA(),IF(LEFT(TRIM(Paramètres!K12),1)="F",INDEX($F$761:$F$813,MATCH(Paramètres!J12,Paramètres!$G$5:$G$57,0)),INDEX($E$761:$E$813,MATCH(Paramètres!J12,Paramètres!$G$5:$G$57,0)))+IF(RIGHT(TRIM(Paramètres!K12),3)="Fin",1-$H768,IF(LEFT(TRIM(Paramètres!K12),1)="F",1,0)))),IF(Paramètres!L12="",0,IF(Paramètres!M12="",NA(),IF(LEFT(TRIM(Paramètres!M12),1)="F",INDEX($F$761:$F$813,MATCH(Paramètres!L12,Paramètres!$G$5:$G$57,0)),INDEX($E$761:$E$813,MATCH(Paramètres!L12,Paramètres!$G$5:$G$57,0)))+IF(RIGHT(TRIM(Paramètres!M12),3)="Fin",1-$H768,IF(LEFT(TRIM(Paramètres!M12),1)="F",1,0)))),IF(Paramètres!N12="",0,IF(Paramètres!O12="",NA(),IF(LEFT(TRIM(Paramètres!O12),1)="F",INDEX($F$761:$F$813,MATCH(Paramètres!N12,Paramètres!$G$5:$G$57,0)),INDEX($E$761:$E$813,MATCH(Paramètres!N12,Paramètres!$G$5:$G$57,0)))+IF(RIGHT(TRIM(Paramètres!O12),3)="Fin",1-$H768,IF(LEFT(TRIM(Paramètres!O12),1)="F",1,0)))))))</f>
        <v/>
      </c>
      <c r="F768" s="19">
        <f>IF($A768="","",E768+$H768-1)</f>
        <v/>
      </c>
      <c r="G768" s="18" t="n"/>
      <c r="H768" s="18">
        <f>IF($A768="","",IF(I768&lt;&gt;"",I768,Paramètres!B12))</f>
        <v/>
      </c>
      <c r="I768" s="18" t="n"/>
    </row>
    <row r="769">
      <c r="A769" s="18">
        <f>IF(ISNUMBER(Dossiers!$D$18),Dossiers!$A$18&amp;" · "&amp;Dossiers!$B$18,"")</f>
        <v/>
      </c>
      <c r="B769" s="18">
        <f>IF($A769="","",Paramètres!G13)</f>
        <v/>
      </c>
      <c r="C769" s="18">
        <f>IF($A769="","",IF(Paramètres!H13="","",Paramètres!H13))</f>
        <v/>
      </c>
      <c r="D769" s="18">
        <f>IF($A769="","",IF(Paramètres!I13="","",Paramètres!I13))</f>
        <v/>
      </c>
      <c r="E769" s="19">
        <f>IF($A769="","",IF(Paramètres!J13&amp;Paramètres!L13&amp;Paramètres!N13="",Dossiers!$D$18,MAX(IF(Paramètres!J13="",0,IF(Paramètres!K13="",NA(),IF(LEFT(TRIM(Paramètres!K13),1)="F",INDEX($F$761:$F$813,MATCH(Paramètres!J13,Paramètres!$G$5:$G$57,0)),INDEX($E$761:$E$813,MATCH(Paramètres!J13,Paramètres!$G$5:$G$57,0)))+IF(RIGHT(TRIM(Paramètres!K13),3)="Fin",1-$H769,IF(LEFT(TRIM(Paramètres!K13),1)="F",1,0)))),IF(Paramètres!L13="",0,IF(Paramètres!M13="",NA(),IF(LEFT(TRIM(Paramètres!M13),1)="F",INDEX($F$761:$F$813,MATCH(Paramètres!L13,Paramètres!$G$5:$G$57,0)),INDEX($E$761:$E$813,MATCH(Paramètres!L13,Paramètres!$G$5:$G$57,0)))+IF(RIGHT(TRIM(Paramètres!M13),3)="Fin",1-$H769,IF(LEFT(TRIM(Paramètres!M13),1)="F",1,0)))),IF(Paramètres!N13="",0,IF(Paramètres!O13="",NA(),IF(LEFT(TRIM(Paramètres!O13),1)="F",INDEX($F$761:$F$813,MATCH(Paramètres!N13,Paramètres!$G$5:$G$57,0)),INDEX($E$761:$E$813,MATCH(Paramètres!N13,Paramètres!$G$5:$G$57,0)))+IF(RIGHT(TRIM(Paramètres!O13),3)="Fin",1-$H769,IF(LEFT(TRIM(Paramètres!O13),1)="F",1,0)))))))</f>
        <v/>
      </c>
      <c r="F769" s="19">
        <f>IF($A769="","",E769+$H769-1)</f>
        <v/>
      </c>
      <c r="G769" s="18" t="n"/>
      <c r="H769" s="18">
        <f>IF($A769="","",IF(I769&lt;&gt;"",I769,Paramètres!B13))</f>
        <v/>
      </c>
      <c r="I769" s="18" t="n"/>
    </row>
    <row r="770">
      <c r="A770" s="18">
        <f>IF(ISNUMBER(Dossiers!$D$18),Dossiers!$A$18&amp;" · "&amp;Dossiers!$B$18,"")</f>
        <v/>
      </c>
      <c r="B770" s="18">
        <f>IF($A770="","",Paramètres!G14)</f>
        <v/>
      </c>
      <c r="C770" s="18">
        <f>IF($A770="","",IF(Paramètres!H14="","",Paramètres!H14))</f>
        <v/>
      </c>
      <c r="D770" s="18">
        <f>IF($A770="","",IF(Paramètres!I14="","",Paramètres!I14))</f>
        <v/>
      </c>
      <c r="E770" s="19">
        <f>IF($A770="","",IF(Paramètres!J14&amp;Paramètres!L14&amp;Paramètres!N14="",Dossiers!$D$18,MAX(IF(Paramètres!J14="",0,IF(Paramètres!K14="",NA(),IF(LEFT(TRIM(Paramètres!K14),1)="F",INDEX($F$761:$F$813,MATCH(Paramètres!J14,Paramètres!$G$5:$G$57,0)),INDEX($E$761:$E$813,MATCH(Paramètres!J14,Paramètres!$G$5:$G$57,0)))+IF(RIGHT(TRIM(Paramètres!K14),3)="Fin",1-$H770,IF(LEFT(TRIM(Paramètres!K14),1)="F",1,0)))),IF(Paramètres!L14="",0,IF(Paramètres!M14="",NA(),IF(LEFT(TRIM(Paramètres!M14),1)="F",INDEX($F$761:$F$813,MATCH(Paramètres!L14,Paramètres!$G$5:$G$57,0)),INDEX($E$761:$E$813,MATCH(Paramètres!L14,Paramètres!$G$5:$G$57,0)))+IF(RIGHT(TRIM(Paramètres!M14),3)="Fin",1-$H770,IF(LEFT(TRIM(Paramètres!M14),1)="F",1,0)))),IF(Paramètres!N14="",0,IF(Paramètres!O14="",NA(),IF(LEFT(TRIM(Paramètres!O14),1)="F",INDEX($F$761:$F$813,MATCH(Paramètres!N14,Paramètres!$G$5:$G$57,0)),INDEX($E$761:$E$813,MATCH(Paramètres!N14,Paramètres!$G$5:$G$57,0)))+IF(RIGHT(TRIM(Paramètres!O14),3)="Fin",1-$H770,IF(LEFT(TRIM(Paramètres!O14),1)="F",1,0)))))))</f>
        <v/>
      </c>
      <c r="F770" s="19">
        <f>IF($A770="","",E770+$H770-1)</f>
        <v/>
      </c>
      <c r="G770" s="18" t="n"/>
      <c r="H770" s="18">
        <f>IF($A770="","",IF(I770&lt;&gt;"",I770,Paramètres!B14))</f>
        <v/>
      </c>
      <c r="I770" s="18" t="n"/>
    </row>
    <row r="771">
      <c r="A771" s="18">
        <f>IF(ISNUMBER(Dossiers!$D$18),Dossiers!$A$18&amp;" · "&amp;Dossiers!$B$18,"")</f>
        <v/>
      </c>
      <c r="B771" s="18">
        <f>IF($A771="","",Paramètres!G15)</f>
        <v/>
      </c>
      <c r="C771" s="18">
        <f>IF($A771="","",IF(Paramètres!H15="","",Paramètres!H15))</f>
        <v/>
      </c>
      <c r="D771" s="18">
        <f>IF($A771="","",IF(Paramètres!I15="","",Paramètres!I15))</f>
        <v/>
      </c>
      <c r="E771" s="19">
        <f>IF($A771="","",MIN(E772:E787))</f>
        <v/>
      </c>
      <c r="F771" s="19">
        <f>IF($A771="","",MAX(F772:F787))</f>
        <v/>
      </c>
      <c r="G771" s="18" t="n"/>
      <c r="H771" s="18">
        <f>IF($A771="","",F771-E771+1)</f>
        <v/>
      </c>
      <c r="I771" s="18" t="n"/>
    </row>
    <row r="772">
      <c r="A772" s="18">
        <f>IF(ISNUMBER(Dossiers!$D$18),Dossiers!$A$18&amp;" · "&amp;Dossiers!$B$18,"")</f>
        <v/>
      </c>
      <c r="B772" s="18">
        <f>IF($A772="","",Paramètres!G16)</f>
        <v/>
      </c>
      <c r="C772" s="18">
        <f>IF($A772="","",IF(Paramètres!H16="","",Paramètres!H16))</f>
        <v/>
      </c>
      <c r="D772" s="18">
        <f>IF($A772="","",IF(Paramètres!I16="","",Paramètres!I16))</f>
        <v/>
      </c>
      <c r="E772" s="19">
        <f>IF($A772="","",IF(Paramètres!J16&amp;Paramètres!L16&amp;Paramètres!N16="",Dossiers!$D$18,MAX(IF(Paramètres!J16="",0,IF(Paramètres!K16="",NA(),IF(LEFT(TRIM(Paramètres!K16),1)="F",INDEX($F$761:$F$813,MATCH(Paramètres!J16,Paramètres!$G$5:$G$57,0)),INDEX($E$761:$E$813,MATCH(Paramètres!J16,Paramètres!$G$5:$G$57,0)))+IF(RIGHT(TRIM(Paramètres!K16),3)="Fin",1-$H772,IF(LEFT(TRIM(Paramètres!K16),1)="F",1,0)))),IF(Paramètres!L16="",0,IF(Paramètres!M16="",NA(),IF(LEFT(TRIM(Paramètres!M16),1)="F",INDEX($F$761:$F$813,MATCH(Paramètres!L16,Paramètres!$G$5:$G$57,0)),INDEX($E$761:$E$813,MATCH(Paramètres!L16,Paramètres!$G$5:$G$57,0)))+IF(RIGHT(TRIM(Paramètres!M16),3)="Fin",1-$H772,IF(LEFT(TRIM(Paramètres!M16),1)="F",1,0)))),IF(Paramètres!N16="",0,IF(Paramètres!O16="",NA(),IF(LEFT(TRIM(Paramètres!O16),1)="F",INDEX($F$761:$F$813,MATCH(Paramètres!N16,Paramètres!$G$5:$G$57,0)),INDEX($E$761:$E$813,MATCH(Paramètres!N16,Paramètres!$G$5:$G$57,0)))+IF(RIGHT(TRIM(Paramètres!O16),3)="Fin",1-$H772,IF(LEFT(TRIM(Paramètres!O16),1)="F",1,0)))))))</f>
        <v/>
      </c>
      <c r="F772" s="19">
        <f>IF($A772="","",E772+$H772-1)</f>
        <v/>
      </c>
      <c r="G772" s="18" t="n"/>
      <c r="H772" s="18">
        <f>IF($A772="","",IF(I772&lt;&gt;"",I772,Paramètres!B16))</f>
        <v/>
      </c>
      <c r="I772" s="18" t="n"/>
    </row>
    <row r="773">
      <c r="A773" s="18">
        <f>IF(ISNUMBER(Dossiers!$D$18),Dossiers!$A$18&amp;" · "&amp;Dossiers!$B$18,"")</f>
        <v/>
      </c>
      <c r="B773" s="18">
        <f>IF($A773="","",Paramètres!G17)</f>
        <v/>
      </c>
      <c r="C773" s="18">
        <f>IF($A773="","",IF(Paramètres!H17="","",Paramètres!H17))</f>
        <v/>
      </c>
      <c r="D773" s="18">
        <f>IF($A773="","",IF(Paramètres!I17="","",Paramètres!I17))</f>
        <v/>
      </c>
      <c r="E773" s="19">
        <f>IF($A773="","",IF(Paramètres!J17&amp;Paramètres!L17&amp;Paramètres!N17="",Dossiers!$D$18,MAX(IF(Paramètres!J17="",0,IF(Paramètres!K17="",NA(),IF(LEFT(TRIM(Paramètres!K17),1)="F",INDEX($F$761:$F$813,MATCH(Paramètres!J17,Paramètres!$G$5:$G$57,0)),INDEX($E$761:$E$813,MATCH(Paramètres!J17,Paramètres!$G$5:$G$57,0)))+IF(RIGHT(TRIM(Paramètres!K17),3)="Fin",1-$H773,IF(LEFT(TRIM(Paramètres!K17),1)="F",1,0)))),IF(Paramètres!L17="",0,IF(Paramètres!M17="",NA(),IF(LEFT(TRIM(Paramètres!M17),1)="F",INDEX($F$761:$F$813,MATCH(Paramètres!L17,Paramètres!$G$5:$G$57,0)),INDEX($E$761:$E$813,MATCH(Paramètres!L17,Paramètres!$G$5:$G$57,0)))+IF(RIGHT(TRIM(Paramètres!M17),3)="Fin",1-$H773,IF(LEFT(TRIM(Paramètres!M17),1)="F",1,0)))),IF(Paramètres!N17="",0,IF(Paramètres!O17="",NA(),IF(LEFT(TRIM(Paramètres!O17),1)="F",INDEX($F$761:$F$813,MATCH(Paramètres!N17,Paramètres!$G$5:$G$57,0)),INDEX($E$761:$E$813,MATCH(Paramètres!N17,Paramètres!$G$5:$G$57,0)))+IF(RIGHT(TRIM(Paramètres!O17),3)="Fin",1-$H773,IF(LEFT(TRIM(Paramètres!O17),1)="F",1,0)))))))</f>
        <v/>
      </c>
      <c r="F773" s="19">
        <f>IF($A773="","",E773+$H773-1)</f>
        <v/>
      </c>
      <c r="G773" s="18" t="n"/>
      <c r="H773" s="18">
        <f>IF($A773="","",IF(I773&lt;&gt;"",I773,Paramètres!B17))</f>
        <v/>
      </c>
      <c r="I773" s="18" t="n"/>
    </row>
    <row r="774">
      <c r="A774" s="18">
        <f>IF(ISNUMBER(Dossiers!$D$18),Dossiers!$A$18&amp;" · "&amp;Dossiers!$B$18,"")</f>
        <v/>
      </c>
      <c r="B774" s="18">
        <f>IF($A774="","",Paramètres!G18)</f>
        <v/>
      </c>
      <c r="C774" s="18">
        <f>IF($A774="","",IF(Paramètres!H18="","",Paramètres!H18))</f>
        <v/>
      </c>
      <c r="D774" s="18">
        <f>IF($A774="","",IF(Paramètres!I18="","",Paramètres!I18))</f>
        <v/>
      </c>
      <c r="E774" s="19">
        <f>IF($A774="","",IF(Paramètres!J18&amp;Paramètres!L18&amp;Paramètres!N18="",Dossiers!$D$18,MAX(IF(Paramètres!J18="",0,IF(Paramètres!K18="",NA(),IF(LEFT(TRIM(Paramètres!K18),1)="F",INDEX($F$761:$F$813,MATCH(Paramètres!J18,Paramètres!$G$5:$G$57,0)),INDEX($E$761:$E$813,MATCH(Paramètres!J18,Paramètres!$G$5:$G$57,0)))+IF(RIGHT(TRIM(Paramètres!K18),3)="Fin",1-$H774,IF(LEFT(TRIM(Paramètres!K18),1)="F",1,0)))),IF(Paramètres!L18="",0,IF(Paramètres!M18="",NA(),IF(LEFT(TRIM(Paramètres!M18),1)="F",INDEX($F$761:$F$813,MATCH(Paramètres!L18,Paramètres!$G$5:$G$57,0)),INDEX($E$761:$E$813,MATCH(Paramètres!L18,Paramètres!$G$5:$G$57,0)))+IF(RIGHT(TRIM(Paramètres!M18),3)="Fin",1-$H774,IF(LEFT(TRIM(Paramètres!M18),1)="F",1,0)))),IF(Paramètres!N18="",0,IF(Paramètres!O18="",NA(),IF(LEFT(TRIM(Paramètres!O18),1)="F",INDEX($F$761:$F$813,MATCH(Paramètres!N18,Paramètres!$G$5:$G$57,0)),INDEX($E$761:$E$813,MATCH(Paramètres!N18,Paramètres!$G$5:$G$57,0)))+IF(RIGHT(TRIM(Paramètres!O18),3)="Fin",1-$H774,IF(LEFT(TRIM(Paramètres!O18),1)="F",1,0)))))))</f>
        <v/>
      </c>
      <c r="F774" s="19">
        <f>IF($A774="","",E774+$H774-1)</f>
        <v/>
      </c>
      <c r="G774" s="18" t="n"/>
      <c r="H774" s="18">
        <f>IF($A774="","",IF(I774&lt;&gt;"",I774,Paramètres!B18))</f>
        <v/>
      </c>
      <c r="I774" s="18" t="n"/>
    </row>
    <row r="775">
      <c r="A775" s="18">
        <f>IF(ISNUMBER(Dossiers!$D$18),Dossiers!$A$18&amp;" · "&amp;Dossiers!$B$18,"")</f>
        <v/>
      </c>
      <c r="B775" s="18">
        <f>IF($A775="","",Paramètres!G19)</f>
        <v/>
      </c>
      <c r="C775" s="18">
        <f>IF($A775="","",IF(Paramètres!H19="","",Paramètres!H19))</f>
        <v/>
      </c>
      <c r="D775" s="18">
        <f>IF($A775="","",IF(Paramètres!I19="","",Paramètres!I19))</f>
        <v/>
      </c>
      <c r="E775" s="19">
        <f>IF($A775="","",IF(Paramètres!J19&amp;Paramètres!L19&amp;Paramètres!N19="",Dossiers!$D$18,MAX(IF(Paramètres!J19="",0,IF(Paramètres!K19="",NA(),IF(LEFT(TRIM(Paramètres!K19),1)="F",INDEX($F$761:$F$813,MATCH(Paramètres!J19,Paramètres!$G$5:$G$57,0)),INDEX($E$761:$E$813,MATCH(Paramètres!J19,Paramètres!$G$5:$G$57,0)))+IF(RIGHT(TRIM(Paramètres!K19),3)="Fin",1-$H775,IF(LEFT(TRIM(Paramètres!K19),1)="F",1,0)))),IF(Paramètres!L19="",0,IF(Paramètres!M19="",NA(),IF(LEFT(TRIM(Paramètres!M19),1)="F",INDEX($F$761:$F$813,MATCH(Paramètres!L19,Paramètres!$G$5:$G$57,0)),INDEX($E$761:$E$813,MATCH(Paramètres!L19,Paramètres!$G$5:$G$57,0)))+IF(RIGHT(TRIM(Paramètres!M19),3)="Fin",1-$H775,IF(LEFT(TRIM(Paramètres!M19),1)="F",1,0)))),IF(Paramètres!N19="",0,IF(Paramètres!O19="",NA(),IF(LEFT(TRIM(Paramètres!O19),1)="F",INDEX($F$761:$F$813,MATCH(Paramètres!N19,Paramètres!$G$5:$G$57,0)),INDEX($E$761:$E$813,MATCH(Paramètres!N19,Paramètres!$G$5:$G$57,0)))+IF(RIGHT(TRIM(Paramètres!O19),3)="Fin",1-$H775,IF(LEFT(TRIM(Paramètres!O19),1)="F",1,0)))))))</f>
        <v/>
      </c>
      <c r="F775" s="19">
        <f>IF($A775="","",E775+$H775-1)</f>
        <v/>
      </c>
      <c r="G775" s="18" t="n"/>
      <c r="H775" s="18">
        <f>IF($A775="","",IF(I775&lt;&gt;"",I775,Paramètres!B19))</f>
        <v/>
      </c>
      <c r="I775" s="18" t="n"/>
    </row>
    <row r="776">
      <c r="A776" s="18">
        <f>IF(ISNUMBER(Dossiers!$D$18),Dossiers!$A$18&amp;" · "&amp;Dossiers!$B$18,"")</f>
        <v/>
      </c>
      <c r="B776" s="18">
        <f>IF($A776="","",Paramètres!G20)</f>
        <v/>
      </c>
      <c r="C776" s="18">
        <f>IF($A776="","",IF(Paramètres!H20="","",Paramètres!H20))</f>
        <v/>
      </c>
      <c r="D776" s="18">
        <f>IF($A776="","",IF(Paramètres!I20="","",Paramètres!I20))</f>
        <v/>
      </c>
      <c r="E776" s="19">
        <f>IF($A776="","",IF(Paramètres!J20&amp;Paramètres!L20&amp;Paramètres!N20="",Dossiers!$D$18,MAX(IF(Paramètres!J20="",0,IF(Paramètres!K20="",NA(),IF(LEFT(TRIM(Paramètres!K20),1)="F",INDEX($F$761:$F$813,MATCH(Paramètres!J20,Paramètres!$G$5:$G$57,0)),INDEX($E$761:$E$813,MATCH(Paramètres!J20,Paramètres!$G$5:$G$57,0)))+IF(RIGHT(TRIM(Paramètres!K20),3)="Fin",1-$H776,IF(LEFT(TRIM(Paramètres!K20),1)="F",1,0)))),IF(Paramètres!L20="",0,IF(Paramètres!M20="",NA(),IF(LEFT(TRIM(Paramètres!M20),1)="F",INDEX($F$761:$F$813,MATCH(Paramètres!L20,Paramètres!$G$5:$G$57,0)),INDEX($E$761:$E$813,MATCH(Paramètres!L20,Paramètres!$G$5:$G$57,0)))+IF(RIGHT(TRIM(Paramètres!M20),3)="Fin",1-$H776,IF(LEFT(TRIM(Paramètres!M20),1)="F",1,0)))),IF(Paramètres!N20="",0,IF(Paramètres!O20="",NA(),IF(LEFT(TRIM(Paramètres!O20),1)="F",INDEX($F$761:$F$813,MATCH(Paramètres!N20,Paramètres!$G$5:$G$57,0)),INDEX($E$761:$E$813,MATCH(Paramètres!N20,Paramètres!$G$5:$G$57,0)))+IF(RIGHT(TRIM(Paramètres!O20),3)="Fin",1-$H776,IF(LEFT(TRIM(Paramètres!O20),1)="F",1,0)))))))</f>
        <v/>
      </c>
      <c r="F776" s="19">
        <f>IF($A776="","",E776+$H776-1)</f>
        <v/>
      </c>
      <c r="G776" s="18" t="n"/>
      <c r="H776" s="18">
        <f>IF($A776="","",IF(I776&lt;&gt;"",I776,Paramètres!B20))</f>
        <v/>
      </c>
      <c r="I776" s="18" t="n"/>
    </row>
    <row r="777">
      <c r="A777" s="18">
        <f>IF(ISNUMBER(Dossiers!$D$18),Dossiers!$A$18&amp;" · "&amp;Dossiers!$B$18,"")</f>
        <v/>
      </c>
      <c r="B777" s="18">
        <f>IF($A777="","",Paramètres!G21)</f>
        <v/>
      </c>
      <c r="C777" s="18">
        <f>IF($A777="","",IF(Paramètres!H21="","",Paramètres!H21))</f>
        <v/>
      </c>
      <c r="D777" s="18">
        <f>IF($A777="","",IF(Paramètres!I21="","",Paramètres!I21))</f>
        <v/>
      </c>
      <c r="E777" s="19">
        <f>IF($A777="","",IF(Paramètres!J21&amp;Paramètres!L21&amp;Paramètres!N21="",Dossiers!$D$18,MAX(IF(Paramètres!J21="",0,IF(Paramètres!K21="",NA(),IF(LEFT(TRIM(Paramètres!K21),1)="F",INDEX($F$761:$F$813,MATCH(Paramètres!J21,Paramètres!$G$5:$G$57,0)),INDEX($E$761:$E$813,MATCH(Paramètres!J21,Paramètres!$G$5:$G$57,0)))+IF(RIGHT(TRIM(Paramètres!K21),3)="Fin",1-$H777,IF(LEFT(TRIM(Paramètres!K21),1)="F",1,0)))),IF(Paramètres!L21="",0,IF(Paramètres!M21="",NA(),IF(LEFT(TRIM(Paramètres!M21),1)="F",INDEX($F$761:$F$813,MATCH(Paramètres!L21,Paramètres!$G$5:$G$57,0)),INDEX($E$761:$E$813,MATCH(Paramètres!L21,Paramètres!$G$5:$G$57,0)))+IF(RIGHT(TRIM(Paramètres!M21),3)="Fin",1-$H777,IF(LEFT(TRIM(Paramètres!M21),1)="F",1,0)))),IF(Paramètres!N21="",0,IF(Paramètres!O21="",NA(),IF(LEFT(TRIM(Paramètres!O21),1)="F",INDEX($F$761:$F$813,MATCH(Paramètres!N21,Paramètres!$G$5:$G$57,0)),INDEX($E$761:$E$813,MATCH(Paramètres!N21,Paramètres!$G$5:$G$57,0)))+IF(RIGHT(TRIM(Paramètres!O21),3)="Fin",1-$H777,IF(LEFT(TRIM(Paramètres!O21),1)="F",1,0)))))))</f>
        <v/>
      </c>
      <c r="F777" s="19">
        <f>IF($A777="","",E777+$H777-1)</f>
        <v/>
      </c>
      <c r="G777" s="18" t="n"/>
      <c r="H777" s="18">
        <f>IF($A777="","",IF(I777&lt;&gt;"",I777,Paramètres!B21))</f>
        <v/>
      </c>
      <c r="I777" s="18" t="n"/>
    </row>
    <row r="778">
      <c r="A778" s="18">
        <f>IF(ISNUMBER(Dossiers!$D$18),Dossiers!$A$18&amp;" · "&amp;Dossiers!$B$18,"")</f>
        <v/>
      </c>
      <c r="B778" s="18">
        <f>IF($A778="","",Paramètres!G22)</f>
        <v/>
      </c>
      <c r="C778" s="18">
        <f>IF($A778="","",IF(Paramètres!H22="","",Paramètres!H22))</f>
        <v/>
      </c>
      <c r="D778" s="18">
        <f>IF($A778="","",IF(Paramètres!I22="","",Paramètres!I22))</f>
        <v/>
      </c>
      <c r="E778" s="19">
        <f>IF($A778="","",IF(Paramètres!J22&amp;Paramètres!L22&amp;Paramètres!N22="",Dossiers!$D$18,MAX(IF(Paramètres!J22="",0,IF(Paramètres!K22="",NA(),IF(LEFT(TRIM(Paramètres!K22),1)="F",INDEX($F$761:$F$813,MATCH(Paramètres!J22,Paramètres!$G$5:$G$57,0)),INDEX($E$761:$E$813,MATCH(Paramètres!J22,Paramètres!$G$5:$G$57,0)))+IF(RIGHT(TRIM(Paramètres!K22),3)="Fin",1-$H778,IF(LEFT(TRIM(Paramètres!K22),1)="F",1,0)))),IF(Paramètres!L22="",0,IF(Paramètres!M22="",NA(),IF(LEFT(TRIM(Paramètres!M22),1)="F",INDEX($F$761:$F$813,MATCH(Paramètres!L22,Paramètres!$G$5:$G$57,0)),INDEX($E$761:$E$813,MATCH(Paramètres!L22,Paramètres!$G$5:$G$57,0)))+IF(RIGHT(TRIM(Paramètres!M22),3)="Fin",1-$H778,IF(LEFT(TRIM(Paramètres!M22),1)="F",1,0)))),IF(Paramètres!N22="",0,IF(Paramètres!O22="",NA(),IF(LEFT(TRIM(Paramètres!O22),1)="F",INDEX($F$761:$F$813,MATCH(Paramètres!N22,Paramètres!$G$5:$G$57,0)),INDEX($E$761:$E$813,MATCH(Paramètres!N22,Paramètres!$G$5:$G$57,0)))+IF(RIGHT(TRIM(Paramètres!O22),3)="Fin",1-$H778,IF(LEFT(TRIM(Paramètres!O22),1)="F",1,0)))))))</f>
        <v/>
      </c>
      <c r="F778" s="19">
        <f>IF($A778="","",E778+$H778-1)</f>
        <v/>
      </c>
      <c r="G778" s="18" t="n"/>
      <c r="H778" s="18">
        <f>IF($A778="","",IF(I778&lt;&gt;"",I778,Paramètres!B22))</f>
        <v/>
      </c>
      <c r="I778" s="18" t="n"/>
    </row>
    <row r="779">
      <c r="A779" s="18">
        <f>IF(ISNUMBER(Dossiers!$D$18),Dossiers!$A$18&amp;" · "&amp;Dossiers!$B$18,"")</f>
        <v/>
      </c>
      <c r="B779" s="18">
        <f>IF($A779="","",Paramètres!G23)</f>
        <v/>
      </c>
      <c r="C779" s="18">
        <f>IF($A779="","",IF(Paramètres!H23="","",Paramètres!H23))</f>
        <v/>
      </c>
      <c r="D779" s="18">
        <f>IF($A779="","",IF(Paramètres!I23="","",Paramètres!I23))</f>
        <v/>
      </c>
      <c r="E779" s="19">
        <f>IF($A779="","",IF(Paramètres!J23&amp;Paramètres!L23&amp;Paramètres!N23="",Dossiers!$D$18,MAX(IF(Paramètres!J23="",0,IF(Paramètres!K23="",NA(),IF(LEFT(TRIM(Paramètres!K23),1)="F",INDEX($F$761:$F$813,MATCH(Paramètres!J23,Paramètres!$G$5:$G$57,0)),INDEX($E$761:$E$813,MATCH(Paramètres!J23,Paramètres!$G$5:$G$57,0)))+IF(RIGHT(TRIM(Paramètres!K23),3)="Fin",1-$H779,IF(LEFT(TRIM(Paramètres!K23),1)="F",1,0)))),IF(Paramètres!L23="",0,IF(Paramètres!M23="",NA(),IF(LEFT(TRIM(Paramètres!M23),1)="F",INDEX($F$761:$F$813,MATCH(Paramètres!L23,Paramètres!$G$5:$G$57,0)),INDEX($E$761:$E$813,MATCH(Paramètres!L23,Paramètres!$G$5:$G$57,0)))+IF(RIGHT(TRIM(Paramètres!M23),3)="Fin",1-$H779,IF(LEFT(TRIM(Paramètres!M23),1)="F",1,0)))),IF(Paramètres!N23="",0,IF(Paramètres!O23="",NA(),IF(LEFT(TRIM(Paramètres!O23),1)="F",INDEX($F$761:$F$813,MATCH(Paramètres!N23,Paramètres!$G$5:$G$57,0)),INDEX($E$761:$E$813,MATCH(Paramètres!N23,Paramètres!$G$5:$G$57,0)))+IF(RIGHT(TRIM(Paramètres!O23),3)="Fin",1-$H779,IF(LEFT(TRIM(Paramètres!O23),1)="F",1,0)))))))</f>
        <v/>
      </c>
      <c r="F779" s="19">
        <f>IF($A779="","",E779+$H779-1)</f>
        <v/>
      </c>
      <c r="G779" s="18" t="n"/>
      <c r="H779" s="18">
        <f>IF($A779="","",IF(I779&lt;&gt;"",I779,Paramètres!B23))</f>
        <v/>
      </c>
      <c r="I779" s="18" t="n"/>
    </row>
    <row r="780">
      <c r="A780" s="18">
        <f>IF(ISNUMBER(Dossiers!$D$18),Dossiers!$A$18&amp;" · "&amp;Dossiers!$B$18,"")</f>
        <v/>
      </c>
      <c r="B780" s="18">
        <f>IF($A780="","",Paramètres!G24)</f>
        <v/>
      </c>
      <c r="C780" s="18">
        <f>IF($A780="","",IF(Paramètres!H24="","",Paramètres!H24))</f>
        <v/>
      </c>
      <c r="D780" s="18">
        <f>IF($A780="","",IF(Paramètres!I24="","",Paramètres!I24))</f>
        <v/>
      </c>
      <c r="E780" s="19">
        <f>IF($A780="","",IF(Paramètres!J24&amp;Paramètres!L24&amp;Paramètres!N24="",Dossiers!$D$18,MAX(IF(Paramètres!J24="",0,IF(Paramètres!K24="",NA(),IF(LEFT(TRIM(Paramètres!K24),1)="F",INDEX($F$761:$F$813,MATCH(Paramètres!J24,Paramètres!$G$5:$G$57,0)),INDEX($E$761:$E$813,MATCH(Paramètres!J24,Paramètres!$G$5:$G$57,0)))+IF(RIGHT(TRIM(Paramètres!K24),3)="Fin",1-$H780,IF(LEFT(TRIM(Paramètres!K24),1)="F",1,0)))),IF(Paramètres!L24="",0,IF(Paramètres!M24="",NA(),IF(LEFT(TRIM(Paramètres!M24),1)="F",INDEX($F$761:$F$813,MATCH(Paramètres!L24,Paramètres!$G$5:$G$57,0)),INDEX($E$761:$E$813,MATCH(Paramètres!L24,Paramètres!$G$5:$G$57,0)))+IF(RIGHT(TRIM(Paramètres!M24),3)="Fin",1-$H780,IF(LEFT(TRIM(Paramètres!M24),1)="F",1,0)))),IF(Paramètres!N24="",0,IF(Paramètres!O24="",NA(),IF(LEFT(TRIM(Paramètres!O24),1)="F",INDEX($F$761:$F$813,MATCH(Paramètres!N24,Paramètres!$G$5:$G$57,0)),INDEX($E$761:$E$813,MATCH(Paramètres!N24,Paramètres!$G$5:$G$57,0)))+IF(RIGHT(TRIM(Paramètres!O24),3)="Fin",1-$H780,IF(LEFT(TRIM(Paramètres!O24),1)="F",1,0)))))))</f>
        <v/>
      </c>
      <c r="F780" s="19">
        <f>IF($A780="","",E780+$H780-1)</f>
        <v/>
      </c>
      <c r="G780" s="18" t="n"/>
      <c r="H780" s="18">
        <f>IF($A780="","",IF(I780&lt;&gt;"",I780,Paramètres!B24))</f>
        <v/>
      </c>
      <c r="I780" s="18" t="n"/>
    </row>
    <row r="781">
      <c r="A781" s="18">
        <f>IF(ISNUMBER(Dossiers!$D$18),Dossiers!$A$18&amp;" · "&amp;Dossiers!$B$18,"")</f>
        <v/>
      </c>
      <c r="B781" s="18">
        <f>IF($A781="","",Paramètres!G25)</f>
        <v/>
      </c>
      <c r="C781" s="18">
        <f>IF($A781="","",IF(Paramètres!H25="","",Paramètres!H25))</f>
        <v/>
      </c>
      <c r="D781" s="18">
        <f>IF($A781="","",IF(Paramètres!I25="","",Paramètres!I25))</f>
        <v/>
      </c>
      <c r="E781" s="19">
        <f>IF($A781="","",IF(Paramètres!J25&amp;Paramètres!L25&amp;Paramètres!N25="",Dossiers!$D$18,MAX(IF(Paramètres!J25="",0,IF(Paramètres!K25="",NA(),IF(LEFT(TRIM(Paramètres!K25),1)="F",INDEX($F$761:$F$813,MATCH(Paramètres!J25,Paramètres!$G$5:$G$57,0)),INDEX($E$761:$E$813,MATCH(Paramètres!J25,Paramètres!$G$5:$G$57,0)))+IF(RIGHT(TRIM(Paramètres!K25),3)="Fin",1-$H781,IF(LEFT(TRIM(Paramètres!K25),1)="F",1,0)))),IF(Paramètres!L25="",0,IF(Paramètres!M25="",NA(),IF(LEFT(TRIM(Paramètres!M25),1)="F",INDEX($F$761:$F$813,MATCH(Paramètres!L25,Paramètres!$G$5:$G$57,0)),INDEX($E$761:$E$813,MATCH(Paramètres!L25,Paramètres!$G$5:$G$57,0)))+IF(RIGHT(TRIM(Paramètres!M25),3)="Fin",1-$H781,IF(LEFT(TRIM(Paramètres!M25),1)="F",1,0)))),IF(Paramètres!N25="",0,IF(Paramètres!O25="",NA(),IF(LEFT(TRIM(Paramètres!O25),1)="F",INDEX($F$761:$F$813,MATCH(Paramètres!N25,Paramètres!$G$5:$G$57,0)),INDEX($E$761:$E$813,MATCH(Paramètres!N25,Paramètres!$G$5:$G$57,0)))+IF(RIGHT(TRIM(Paramètres!O25),3)="Fin",1-$H781,IF(LEFT(TRIM(Paramètres!O25),1)="F",1,0)))))))</f>
        <v/>
      </c>
      <c r="F781" s="19">
        <f>IF($A781="","",E781+$H781-1)</f>
        <v/>
      </c>
      <c r="G781" s="18" t="n"/>
      <c r="H781" s="18">
        <f>IF($A781="","",IF(I781&lt;&gt;"",I781,Paramètres!B25))</f>
        <v/>
      </c>
      <c r="I781" s="18" t="n"/>
    </row>
    <row r="782">
      <c r="A782" s="18">
        <f>IF(ISNUMBER(Dossiers!$D$18),Dossiers!$A$18&amp;" · "&amp;Dossiers!$B$18,"")</f>
        <v/>
      </c>
      <c r="B782" s="18">
        <f>IF($A782="","",Paramètres!G26)</f>
        <v/>
      </c>
      <c r="C782" s="18">
        <f>IF($A782="","",IF(Paramètres!H26="","",Paramètres!H26))</f>
        <v/>
      </c>
      <c r="D782" s="18">
        <f>IF($A782="","",IF(Paramètres!I26="","",Paramètres!I26))</f>
        <v/>
      </c>
      <c r="E782" s="19">
        <f>IF($A782="","",IF(Paramètres!J26&amp;Paramètres!L26&amp;Paramètres!N26="",Dossiers!$D$18,MAX(IF(Paramètres!J26="",0,IF(Paramètres!K26="",NA(),IF(LEFT(TRIM(Paramètres!K26),1)="F",INDEX($F$761:$F$813,MATCH(Paramètres!J26,Paramètres!$G$5:$G$57,0)),INDEX($E$761:$E$813,MATCH(Paramètres!J26,Paramètres!$G$5:$G$57,0)))+IF(RIGHT(TRIM(Paramètres!K26),3)="Fin",1-$H782,IF(LEFT(TRIM(Paramètres!K26),1)="F",1,0)))),IF(Paramètres!L26="",0,IF(Paramètres!M26="",NA(),IF(LEFT(TRIM(Paramètres!M26),1)="F",INDEX($F$761:$F$813,MATCH(Paramètres!L26,Paramètres!$G$5:$G$57,0)),INDEX($E$761:$E$813,MATCH(Paramètres!L26,Paramètres!$G$5:$G$57,0)))+IF(RIGHT(TRIM(Paramètres!M26),3)="Fin",1-$H782,IF(LEFT(TRIM(Paramètres!M26),1)="F",1,0)))),IF(Paramètres!N26="",0,IF(Paramètres!O26="",NA(),IF(LEFT(TRIM(Paramètres!O26),1)="F",INDEX($F$761:$F$813,MATCH(Paramètres!N26,Paramètres!$G$5:$G$57,0)),INDEX($E$761:$E$813,MATCH(Paramètres!N26,Paramètres!$G$5:$G$57,0)))+IF(RIGHT(TRIM(Paramètres!O26),3)="Fin",1-$H782,IF(LEFT(TRIM(Paramètres!O26),1)="F",1,0)))))))</f>
        <v/>
      </c>
      <c r="F782" s="19">
        <f>IF($A782="","",E782+$H782-1)</f>
        <v/>
      </c>
      <c r="G782" s="18" t="n"/>
      <c r="H782" s="18">
        <f>IF($A782="","",IF(I782&lt;&gt;"",I782,Paramètres!B26))</f>
        <v/>
      </c>
      <c r="I782" s="18" t="n"/>
    </row>
    <row r="783">
      <c r="A783" s="18">
        <f>IF(ISNUMBER(Dossiers!$D$18),Dossiers!$A$18&amp;" · "&amp;Dossiers!$B$18,"")</f>
        <v/>
      </c>
      <c r="B783" s="18">
        <f>IF($A783="","",Paramètres!G27)</f>
        <v/>
      </c>
      <c r="C783" s="18">
        <f>IF($A783="","",IF(Paramètres!H27="","",Paramètres!H27))</f>
        <v/>
      </c>
      <c r="D783" s="18">
        <f>IF($A783="","",IF(Paramètres!I27="","",Paramètres!I27))</f>
        <v/>
      </c>
      <c r="E783" s="19">
        <f>IF($A783="","",IF(Paramètres!J27&amp;Paramètres!L27&amp;Paramètres!N27="",Dossiers!$D$18,MAX(IF(Paramètres!J27="",0,IF(Paramètres!K27="",NA(),IF(LEFT(TRIM(Paramètres!K27),1)="F",INDEX($F$761:$F$813,MATCH(Paramètres!J27,Paramètres!$G$5:$G$57,0)),INDEX($E$761:$E$813,MATCH(Paramètres!J27,Paramètres!$G$5:$G$57,0)))+IF(RIGHT(TRIM(Paramètres!K27),3)="Fin",1-$H783,IF(LEFT(TRIM(Paramètres!K27),1)="F",1,0)))),IF(Paramètres!L27="",0,IF(Paramètres!M27="",NA(),IF(LEFT(TRIM(Paramètres!M27),1)="F",INDEX($F$761:$F$813,MATCH(Paramètres!L27,Paramètres!$G$5:$G$57,0)),INDEX($E$761:$E$813,MATCH(Paramètres!L27,Paramètres!$G$5:$G$57,0)))+IF(RIGHT(TRIM(Paramètres!M27),3)="Fin",1-$H783,IF(LEFT(TRIM(Paramètres!M27),1)="F",1,0)))),IF(Paramètres!N27="",0,IF(Paramètres!O27="",NA(),IF(LEFT(TRIM(Paramètres!O27),1)="F",INDEX($F$761:$F$813,MATCH(Paramètres!N27,Paramètres!$G$5:$G$57,0)),INDEX($E$761:$E$813,MATCH(Paramètres!N27,Paramètres!$G$5:$G$57,0)))+IF(RIGHT(TRIM(Paramètres!O27),3)="Fin",1-$H783,IF(LEFT(TRIM(Paramètres!O27),1)="F",1,0)))))))</f>
        <v/>
      </c>
      <c r="F783" s="19">
        <f>IF($A783="","",E783+$H783-1)</f>
        <v/>
      </c>
      <c r="G783" s="18" t="n"/>
      <c r="H783" s="18">
        <f>IF($A783="","",IF(I783&lt;&gt;"",I783,Paramètres!B27))</f>
        <v/>
      </c>
      <c r="I783" s="18" t="n"/>
    </row>
    <row r="784">
      <c r="A784" s="18">
        <f>IF(ISNUMBER(Dossiers!$D$18),Dossiers!$A$18&amp;" · "&amp;Dossiers!$B$18,"")</f>
        <v/>
      </c>
      <c r="B784" s="18">
        <f>IF($A784="","",Paramètres!G28)</f>
        <v/>
      </c>
      <c r="C784" s="18">
        <f>IF($A784="","",IF(Paramètres!H28="","",Paramètres!H28))</f>
        <v/>
      </c>
      <c r="D784" s="18">
        <f>IF($A784="","",IF(Paramètres!I28="","",Paramètres!I28))</f>
        <v/>
      </c>
      <c r="E784" s="19">
        <f>IF($A784="","",IF(Paramètres!J28&amp;Paramètres!L28&amp;Paramètres!N28="",Dossiers!$D$18,MAX(IF(Paramètres!J28="",0,IF(Paramètres!K28="",NA(),IF(LEFT(TRIM(Paramètres!K28),1)="F",INDEX($F$761:$F$813,MATCH(Paramètres!J28,Paramètres!$G$5:$G$57,0)),INDEX($E$761:$E$813,MATCH(Paramètres!J28,Paramètres!$G$5:$G$57,0)))+IF(RIGHT(TRIM(Paramètres!K28),3)="Fin",1-$H784,IF(LEFT(TRIM(Paramètres!K28),1)="F",1,0)))),IF(Paramètres!L28="",0,IF(Paramètres!M28="",NA(),IF(LEFT(TRIM(Paramètres!M28),1)="F",INDEX($F$761:$F$813,MATCH(Paramètres!L28,Paramètres!$G$5:$G$57,0)),INDEX($E$761:$E$813,MATCH(Paramètres!L28,Paramètres!$G$5:$G$57,0)))+IF(RIGHT(TRIM(Paramètres!M28),3)="Fin",1-$H784,IF(LEFT(TRIM(Paramètres!M28),1)="F",1,0)))),IF(Paramètres!N28="",0,IF(Paramètres!O28="",NA(),IF(LEFT(TRIM(Paramètres!O28),1)="F",INDEX($F$761:$F$813,MATCH(Paramètres!N28,Paramètres!$G$5:$G$57,0)),INDEX($E$761:$E$813,MATCH(Paramètres!N28,Paramètres!$G$5:$G$57,0)))+IF(RIGHT(TRIM(Paramètres!O28),3)="Fin",1-$H784,IF(LEFT(TRIM(Paramètres!O28),1)="F",1,0)))))))</f>
        <v/>
      </c>
      <c r="F784" s="19">
        <f>IF($A784="","",E784+$H784-1)</f>
        <v/>
      </c>
      <c r="G784" s="18" t="n"/>
      <c r="H784" s="18">
        <f>IF($A784="","",IF(I784&lt;&gt;"",I784,Paramètres!B28))</f>
        <v/>
      </c>
      <c r="I784" s="18" t="n"/>
    </row>
    <row r="785">
      <c r="A785" s="18">
        <f>IF(ISNUMBER(Dossiers!$D$18),Dossiers!$A$18&amp;" · "&amp;Dossiers!$B$18,"")</f>
        <v/>
      </c>
      <c r="B785" s="18">
        <f>IF($A785="","",Paramètres!G29)</f>
        <v/>
      </c>
      <c r="C785" s="18">
        <f>IF($A785="","",IF(Paramètres!H29="","",Paramètres!H29))</f>
        <v/>
      </c>
      <c r="D785" s="18">
        <f>IF($A785="","",IF(Paramètres!I29="","",Paramètres!I29))</f>
        <v/>
      </c>
      <c r="E785" s="19">
        <f>IF($A785="","",IF(Paramètres!J29&amp;Paramètres!L29&amp;Paramètres!N29="",Dossiers!$D$18,MAX(IF(Paramètres!J29="",0,IF(Paramètres!K29="",NA(),IF(LEFT(TRIM(Paramètres!K29),1)="F",INDEX($F$761:$F$813,MATCH(Paramètres!J29,Paramètres!$G$5:$G$57,0)),INDEX($E$761:$E$813,MATCH(Paramètres!J29,Paramètres!$G$5:$G$57,0)))+IF(RIGHT(TRIM(Paramètres!K29),3)="Fin",1-$H785,IF(LEFT(TRIM(Paramètres!K29),1)="F",1,0)))),IF(Paramètres!L29="",0,IF(Paramètres!M29="",NA(),IF(LEFT(TRIM(Paramètres!M29),1)="F",INDEX($F$761:$F$813,MATCH(Paramètres!L29,Paramètres!$G$5:$G$57,0)),INDEX($E$761:$E$813,MATCH(Paramètres!L29,Paramètres!$G$5:$G$57,0)))+IF(RIGHT(TRIM(Paramètres!M29),3)="Fin",1-$H785,IF(LEFT(TRIM(Paramètres!M29),1)="F",1,0)))),IF(Paramètres!N29="",0,IF(Paramètres!O29="",NA(),IF(LEFT(TRIM(Paramètres!O29),1)="F",INDEX($F$761:$F$813,MATCH(Paramètres!N29,Paramètres!$G$5:$G$57,0)),INDEX($E$761:$E$813,MATCH(Paramètres!N29,Paramètres!$G$5:$G$57,0)))+IF(RIGHT(TRIM(Paramètres!O29),3)="Fin",1-$H785,IF(LEFT(TRIM(Paramètres!O29),1)="F",1,0)))))))</f>
        <v/>
      </c>
      <c r="F785" s="19">
        <f>IF($A785="","",E785+$H785-1)</f>
        <v/>
      </c>
      <c r="G785" s="18" t="n"/>
      <c r="H785" s="18">
        <f>IF($A785="","",IF(I785&lt;&gt;"",I785,Paramètres!B29))</f>
        <v/>
      </c>
      <c r="I785" s="18" t="n"/>
    </row>
    <row r="786">
      <c r="A786" s="18">
        <f>IF(ISNUMBER(Dossiers!$D$18),Dossiers!$A$18&amp;" · "&amp;Dossiers!$B$18,"")</f>
        <v/>
      </c>
      <c r="B786" s="18">
        <f>IF($A786="","",Paramètres!G30)</f>
        <v/>
      </c>
      <c r="C786" s="18">
        <f>IF($A786="","",IF(Paramètres!H30="","",Paramètres!H30))</f>
        <v/>
      </c>
      <c r="D786" s="18">
        <f>IF($A786="","",IF(Paramètres!I30="","",Paramètres!I30))</f>
        <v/>
      </c>
      <c r="E786" s="19">
        <f>IF($A786="","",IF(Paramètres!J30&amp;Paramètres!L30&amp;Paramètres!N30="",Dossiers!$D$18,MAX(IF(Paramètres!J30="",0,IF(Paramètres!K30="",NA(),IF(LEFT(TRIM(Paramètres!K30),1)="F",INDEX($F$761:$F$813,MATCH(Paramètres!J30,Paramètres!$G$5:$G$57,0)),INDEX($E$761:$E$813,MATCH(Paramètres!J30,Paramètres!$G$5:$G$57,0)))+IF(RIGHT(TRIM(Paramètres!K30),3)="Fin",1-$H786,IF(LEFT(TRIM(Paramètres!K30),1)="F",1,0)))),IF(Paramètres!L30="",0,IF(Paramètres!M30="",NA(),IF(LEFT(TRIM(Paramètres!M30),1)="F",INDEX($F$761:$F$813,MATCH(Paramètres!L30,Paramètres!$G$5:$G$57,0)),INDEX($E$761:$E$813,MATCH(Paramètres!L30,Paramètres!$G$5:$G$57,0)))+IF(RIGHT(TRIM(Paramètres!M30),3)="Fin",1-$H786,IF(LEFT(TRIM(Paramètres!M30),1)="F",1,0)))),IF(Paramètres!N30="",0,IF(Paramètres!O30="",NA(),IF(LEFT(TRIM(Paramètres!O30),1)="F",INDEX($F$761:$F$813,MATCH(Paramètres!N30,Paramètres!$G$5:$G$57,0)),INDEX($E$761:$E$813,MATCH(Paramètres!N30,Paramètres!$G$5:$G$57,0)))+IF(RIGHT(TRIM(Paramètres!O30),3)="Fin",1-$H786,IF(LEFT(TRIM(Paramètres!O30),1)="F",1,0)))))))</f>
        <v/>
      </c>
      <c r="F786" s="19">
        <f>IF($A786="","",E786+$H786-1)</f>
        <v/>
      </c>
      <c r="G786" s="18" t="n"/>
      <c r="H786" s="18">
        <f>IF($A786="","",IF(I786&lt;&gt;"",I786,Paramètres!B30))</f>
        <v/>
      </c>
      <c r="I786" s="18" t="n"/>
    </row>
    <row r="787">
      <c r="A787" s="18">
        <f>IF(ISNUMBER(Dossiers!$D$18),Dossiers!$A$18&amp;" · "&amp;Dossiers!$B$18,"")</f>
        <v/>
      </c>
      <c r="B787" s="18">
        <f>IF($A787="","",Paramètres!G31)</f>
        <v/>
      </c>
      <c r="C787" s="20">
        <f>IF($A787="","",IF(Dossiers!$F$18="","",Dossiers!$F$18))</f>
        <v/>
      </c>
      <c r="D787" s="18">
        <f>IF($A787="","",IF(Paramètres!I31="","",Paramètres!I31))</f>
        <v/>
      </c>
      <c r="E787" s="19">
        <f>IF($A787="","",IF(Paramètres!J31&amp;Paramètres!L31&amp;Paramètres!N31="",Dossiers!$D$18,MAX(IF(Paramètres!J31="",0,IF(Paramètres!K31="",NA(),IF(LEFT(TRIM(Paramètres!K31),1)="F",INDEX($F$761:$F$813,MATCH(Paramètres!J31,Paramètres!$G$5:$G$57,0)),INDEX($E$761:$E$813,MATCH(Paramètres!J31,Paramètres!$G$5:$G$57,0)))+IF(RIGHT(TRIM(Paramètres!K31),3)="Fin",1-$H787,IF(LEFT(TRIM(Paramètres!K31),1)="F",1,0)))),IF(Paramètres!L31="",0,IF(Paramètres!M31="",NA(),IF(LEFT(TRIM(Paramètres!M31),1)="F",INDEX($F$761:$F$813,MATCH(Paramètres!L31,Paramètres!$G$5:$G$57,0)),INDEX($E$761:$E$813,MATCH(Paramètres!L31,Paramètres!$G$5:$G$57,0)))+IF(RIGHT(TRIM(Paramètres!M31),3)="Fin",1-$H787,IF(LEFT(TRIM(Paramètres!M31),1)="F",1,0)))),IF(Paramètres!N31="",0,IF(Paramètres!O31="",NA(),IF(LEFT(TRIM(Paramètres!O31),1)="F",INDEX($F$761:$F$813,MATCH(Paramètres!N31,Paramètres!$G$5:$G$57,0)),INDEX($E$761:$E$813,MATCH(Paramètres!N31,Paramètres!$G$5:$G$57,0)))+IF(RIGHT(TRIM(Paramètres!O31),3)="Fin",1-$H787,IF(LEFT(TRIM(Paramètres!O31),1)="F",1,0)))))))</f>
        <v/>
      </c>
      <c r="F787" s="19">
        <f>IF($A787="","",E787+$H787-1)</f>
        <v/>
      </c>
      <c r="G787" s="18" t="n"/>
      <c r="H787" s="18">
        <f>IF($A787="","",IF(I787&lt;&gt;"",I787,Paramètres!B31))</f>
        <v/>
      </c>
      <c r="I787" s="18" t="n"/>
    </row>
    <row r="788">
      <c r="A788" s="18">
        <f>IF(ISNUMBER(Dossiers!$D$18),Dossiers!$A$18&amp;" · "&amp;Dossiers!$B$18,"")</f>
        <v/>
      </c>
      <c r="B788" s="18">
        <f>IF($A788="","",Paramètres!G32)</f>
        <v/>
      </c>
      <c r="C788" s="18">
        <f>IF($A788="","",IF(Paramètres!H32="","",Paramètres!H32))</f>
        <v/>
      </c>
      <c r="D788" s="18">
        <f>IF($A788="","",IF(Paramètres!I32="","",Paramètres!I32))</f>
        <v/>
      </c>
      <c r="E788" s="19">
        <f>IF($A788="","",MIN(E789:E792))</f>
        <v/>
      </c>
      <c r="F788" s="19">
        <f>IF($A788="","",MAX(F789:F792))</f>
        <v/>
      </c>
      <c r="G788" s="18" t="n"/>
      <c r="H788" s="18">
        <f>IF($A788="","",F788-E788+1)</f>
        <v/>
      </c>
      <c r="I788" s="18" t="n"/>
    </row>
    <row r="789">
      <c r="A789" s="18">
        <f>IF(ISNUMBER(Dossiers!$D$18),Dossiers!$A$18&amp;" · "&amp;Dossiers!$B$18,"")</f>
        <v/>
      </c>
      <c r="B789" s="18">
        <f>IF($A789="","",Paramètres!G33)</f>
        <v/>
      </c>
      <c r="C789" s="18">
        <f>IF($A789="","",IF(Paramètres!H33="","",Paramètres!H33))</f>
        <v/>
      </c>
      <c r="D789" s="18">
        <f>IF($A789="","",IF(Paramètres!I33="","",Paramètres!I33))</f>
        <v/>
      </c>
      <c r="E789" s="19">
        <f>IF($A789="","",IF(Paramètres!J33&amp;Paramètres!L33&amp;Paramètres!N33="",Dossiers!$D$18,MAX(IF(Paramètres!J33="",0,IF(Paramètres!K33="",NA(),IF(LEFT(TRIM(Paramètres!K33),1)="F",INDEX($F$761:$F$813,MATCH(Paramètres!J33,Paramètres!$G$5:$G$57,0)),INDEX($E$761:$E$813,MATCH(Paramètres!J33,Paramètres!$G$5:$G$57,0)))+IF(RIGHT(TRIM(Paramètres!K33),3)="Fin",1-$H789,IF(LEFT(TRIM(Paramètres!K33),1)="F",1,0)))),IF(Paramètres!L33="",0,IF(Paramètres!M33="",NA(),IF(LEFT(TRIM(Paramètres!M33),1)="F",INDEX($F$761:$F$813,MATCH(Paramètres!L33,Paramètres!$G$5:$G$57,0)),INDEX($E$761:$E$813,MATCH(Paramètres!L33,Paramètres!$G$5:$G$57,0)))+IF(RIGHT(TRIM(Paramètres!M33),3)="Fin",1-$H789,IF(LEFT(TRIM(Paramètres!M33),1)="F",1,0)))),IF(Paramètres!N33="",0,IF(Paramètres!O33="",NA(),IF(LEFT(TRIM(Paramètres!O33),1)="F",INDEX($F$761:$F$813,MATCH(Paramètres!N33,Paramètres!$G$5:$G$57,0)),INDEX($E$761:$E$813,MATCH(Paramètres!N33,Paramètres!$G$5:$G$57,0)))+IF(RIGHT(TRIM(Paramètres!O33),3)="Fin",1-$H789,IF(LEFT(TRIM(Paramètres!O33),1)="F",1,0)))))))</f>
        <v/>
      </c>
      <c r="F789" s="19">
        <f>IF($A789="","",E789+$H789-1)</f>
        <v/>
      </c>
      <c r="G789" s="18" t="n"/>
      <c r="H789" s="18">
        <f>IF($A789="","",IF(I789&lt;&gt;"",I789,Paramètres!B33))</f>
        <v/>
      </c>
      <c r="I789" s="18" t="n"/>
    </row>
    <row r="790">
      <c r="A790" s="18">
        <f>IF(ISNUMBER(Dossiers!$D$18),Dossiers!$A$18&amp;" · "&amp;Dossiers!$B$18,"")</f>
        <v/>
      </c>
      <c r="B790" s="18">
        <f>IF($A790="","",Paramètres!G34)</f>
        <v/>
      </c>
      <c r="C790" s="18">
        <f>IF($A790="","",IF(Paramètres!H34="","",Paramètres!H34))</f>
        <v/>
      </c>
      <c r="D790" s="18">
        <f>IF($A790="","",IF(Paramètres!I34="","",Paramètres!I34))</f>
        <v/>
      </c>
      <c r="E790" s="19">
        <f>IF($A790="","",IF(Paramètres!J34&amp;Paramètres!L34&amp;Paramètres!N34="",Dossiers!$D$18,MAX(IF(Paramètres!J34="",0,IF(Paramètres!K34="",NA(),IF(LEFT(TRIM(Paramètres!K34),1)="F",INDEX($F$761:$F$813,MATCH(Paramètres!J34,Paramètres!$G$5:$G$57,0)),INDEX($E$761:$E$813,MATCH(Paramètres!J34,Paramètres!$G$5:$G$57,0)))+IF(RIGHT(TRIM(Paramètres!K34),3)="Fin",1-$H790,IF(LEFT(TRIM(Paramètres!K34),1)="F",1,0)))),IF(Paramètres!L34="",0,IF(Paramètres!M34="",NA(),IF(LEFT(TRIM(Paramètres!M34),1)="F",INDEX($F$761:$F$813,MATCH(Paramètres!L34,Paramètres!$G$5:$G$57,0)),INDEX($E$761:$E$813,MATCH(Paramètres!L34,Paramètres!$G$5:$G$57,0)))+IF(RIGHT(TRIM(Paramètres!M34),3)="Fin",1-$H790,IF(LEFT(TRIM(Paramètres!M34),1)="F",1,0)))),IF(Paramètres!N34="",0,IF(Paramètres!O34="",NA(),IF(LEFT(TRIM(Paramètres!O34),1)="F",INDEX($F$761:$F$813,MATCH(Paramètres!N34,Paramètres!$G$5:$G$57,0)),INDEX($E$761:$E$813,MATCH(Paramètres!N34,Paramètres!$G$5:$G$57,0)))+IF(RIGHT(TRIM(Paramètres!O34),3)="Fin",1-$H790,IF(LEFT(TRIM(Paramètres!O34),1)="F",1,0)))))))</f>
        <v/>
      </c>
      <c r="F790" s="19">
        <f>IF($A790="","",E790+$H790-1)</f>
        <v/>
      </c>
      <c r="G790" s="18" t="n"/>
      <c r="H790" s="18">
        <f>IF($A790="","",IF(I790&lt;&gt;"",I790,Paramètres!B34))</f>
        <v/>
      </c>
      <c r="I790" s="18" t="n"/>
    </row>
    <row r="791">
      <c r="A791" s="18">
        <f>IF(ISNUMBER(Dossiers!$D$18),Dossiers!$A$18&amp;" · "&amp;Dossiers!$B$18,"")</f>
        <v/>
      </c>
      <c r="B791" s="18">
        <f>IF($A791="","",Paramètres!G35)</f>
        <v/>
      </c>
      <c r="C791" s="18">
        <f>IF($A791="","",IF(Paramètres!H35="","",Paramètres!H35))</f>
        <v/>
      </c>
      <c r="D791" s="18">
        <f>IF($A791="","",IF(Paramètres!I35="","",Paramètres!I35))</f>
        <v/>
      </c>
      <c r="E791" s="19">
        <f>IF($A791="","",IF(Paramètres!J35&amp;Paramètres!L35&amp;Paramètres!N35="",Dossiers!$D$18,MAX(IF(Paramètres!J35="",0,IF(Paramètres!K35="",NA(),IF(LEFT(TRIM(Paramètres!K35),1)="F",INDEX($F$761:$F$813,MATCH(Paramètres!J35,Paramètres!$G$5:$G$57,0)),INDEX($E$761:$E$813,MATCH(Paramètres!J35,Paramètres!$G$5:$G$57,0)))+IF(RIGHT(TRIM(Paramètres!K35),3)="Fin",1-$H791,IF(LEFT(TRIM(Paramètres!K35),1)="F",1,0)))),IF(Paramètres!L35="",0,IF(Paramètres!M35="",NA(),IF(LEFT(TRIM(Paramètres!M35),1)="F",INDEX($F$761:$F$813,MATCH(Paramètres!L35,Paramètres!$G$5:$G$57,0)),INDEX($E$761:$E$813,MATCH(Paramètres!L35,Paramètres!$G$5:$G$57,0)))+IF(RIGHT(TRIM(Paramètres!M35),3)="Fin",1-$H791,IF(LEFT(TRIM(Paramètres!M35),1)="F",1,0)))),IF(Paramètres!N35="",0,IF(Paramètres!O35="",NA(),IF(LEFT(TRIM(Paramètres!O35),1)="F",INDEX($F$761:$F$813,MATCH(Paramètres!N35,Paramètres!$G$5:$G$57,0)),INDEX($E$761:$E$813,MATCH(Paramètres!N35,Paramètres!$G$5:$G$57,0)))+IF(RIGHT(TRIM(Paramètres!O35),3)="Fin",1-$H791,IF(LEFT(TRIM(Paramètres!O35),1)="F",1,0)))))))</f>
        <v/>
      </c>
      <c r="F791" s="19">
        <f>IF($A791="","",E791+$H791-1)</f>
        <v/>
      </c>
      <c r="G791" s="18" t="n"/>
      <c r="H791" s="18">
        <f>IF($A791="","",IF(I791&lt;&gt;"",I791,Paramètres!B35))</f>
        <v/>
      </c>
      <c r="I791" s="18" t="n"/>
    </row>
    <row r="792">
      <c r="A792" s="18">
        <f>IF(ISNUMBER(Dossiers!$D$18),Dossiers!$A$18&amp;" · "&amp;Dossiers!$B$18,"")</f>
        <v/>
      </c>
      <c r="B792" s="18">
        <f>IF($A792="","",Paramètres!G36)</f>
        <v/>
      </c>
      <c r="C792" s="18">
        <f>IF($A792="","",IF(Paramètres!H36="","",Paramètres!H36))</f>
        <v/>
      </c>
      <c r="D792" s="18">
        <f>IF($A792="","",IF(Paramètres!I36="","",Paramètres!I36))</f>
        <v/>
      </c>
      <c r="E792" s="19">
        <f>IF($A792="","",IF(Paramètres!J36&amp;Paramètres!L36&amp;Paramètres!N36="",Dossiers!$D$18,MAX(IF(Paramètres!J36="",0,IF(Paramètres!K36="",NA(),IF(LEFT(TRIM(Paramètres!K36),1)="F",INDEX($F$761:$F$813,MATCH(Paramètres!J36,Paramètres!$G$5:$G$57,0)),INDEX($E$761:$E$813,MATCH(Paramètres!J36,Paramètres!$G$5:$G$57,0)))+IF(RIGHT(TRIM(Paramètres!K36),3)="Fin",1-$H792,IF(LEFT(TRIM(Paramètres!K36),1)="F",1,0)))),IF(Paramètres!L36="",0,IF(Paramètres!M36="",NA(),IF(LEFT(TRIM(Paramètres!M36),1)="F",INDEX($F$761:$F$813,MATCH(Paramètres!L36,Paramètres!$G$5:$G$57,0)),INDEX($E$761:$E$813,MATCH(Paramètres!L36,Paramètres!$G$5:$G$57,0)))+IF(RIGHT(TRIM(Paramètres!M36),3)="Fin",1-$H792,IF(LEFT(TRIM(Paramètres!M36),1)="F",1,0)))),IF(Paramètres!N36="",0,IF(Paramètres!O36="",NA(),IF(LEFT(TRIM(Paramètres!O36),1)="F",INDEX($F$761:$F$813,MATCH(Paramètres!N36,Paramètres!$G$5:$G$57,0)),INDEX($E$761:$E$813,MATCH(Paramètres!N36,Paramètres!$G$5:$G$57,0)))+IF(RIGHT(TRIM(Paramètres!O36),3)="Fin",1-$H792,IF(LEFT(TRIM(Paramètres!O36),1)="F",1,0)))))))</f>
        <v/>
      </c>
      <c r="F792" s="19">
        <f>IF($A792="","",E792+$H792-1)</f>
        <v/>
      </c>
      <c r="G792" s="18" t="n"/>
      <c r="H792" s="18">
        <f>IF($A792="","",IF(I792&lt;&gt;"",I792,Paramètres!B36))</f>
        <v/>
      </c>
      <c r="I792" s="18" t="n"/>
    </row>
    <row r="793">
      <c r="A793" s="18">
        <f>IF(ISNUMBER(Dossiers!$D$18),Dossiers!$A$18&amp;" · "&amp;Dossiers!$B$18,"")</f>
        <v/>
      </c>
      <c r="B793" s="18">
        <f>IF($A793="","",Paramètres!G37)</f>
        <v/>
      </c>
      <c r="C793" s="18">
        <f>IF($A793="","",IF(Paramètres!H37="","",Paramètres!H37))</f>
        <v/>
      </c>
      <c r="D793" s="18">
        <f>IF($A793="","",IF(Paramètres!I37="","",Paramètres!I37))</f>
        <v/>
      </c>
      <c r="E793" s="19">
        <f>IF($A793="","",MIN(E794:E811))</f>
        <v/>
      </c>
      <c r="F793" s="19">
        <f>IF($A793="","",MAX(F794:F811))</f>
        <v/>
      </c>
      <c r="G793" s="18" t="n"/>
      <c r="H793" s="18">
        <f>IF($A793="","",F793-E793+1)</f>
        <v/>
      </c>
      <c r="I793" s="18" t="n"/>
    </row>
    <row r="794">
      <c r="A794" s="18">
        <f>IF(ISNUMBER(Dossiers!$D$18),Dossiers!$A$18&amp;" · "&amp;Dossiers!$B$18,"")</f>
        <v/>
      </c>
      <c r="B794" s="18">
        <f>IF($A794="","",Paramètres!G38)</f>
        <v/>
      </c>
      <c r="C794" s="18">
        <f>IF($A794="","",IF(Paramètres!H38="","",Paramètres!H38))</f>
        <v/>
      </c>
      <c r="D794" s="18">
        <f>IF($A794="","",IF(Paramètres!I38="","",Paramètres!I38))</f>
        <v/>
      </c>
      <c r="E794" s="19">
        <f>IF($A794="","",IF(Paramètres!J38&amp;Paramètres!L38&amp;Paramètres!N38="",Dossiers!$D$18,MAX(IF(Paramètres!J38="",0,IF(Paramètres!K38="",NA(),IF(LEFT(TRIM(Paramètres!K38),1)="F",INDEX($F$761:$F$813,MATCH(Paramètres!J38,Paramètres!$G$5:$G$57,0)),INDEX($E$761:$E$813,MATCH(Paramètres!J38,Paramètres!$G$5:$G$57,0)))+IF(RIGHT(TRIM(Paramètres!K38),3)="Fin",1-$H794,IF(LEFT(TRIM(Paramètres!K38),1)="F",1,0)))),IF(Paramètres!L38="",0,IF(Paramètres!M38="",NA(),IF(LEFT(TRIM(Paramètres!M38),1)="F",INDEX($F$761:$F$813,MATCH(Paramètres!L38,Paramètres!$G$5:$G$57,0)),INDEX($E$761:$E$813,MATCH(Paramètres!L38,Paramètres!$G$5:$G$57,0)))+IF(RIGHT(TRIM(Paramètres!M38),3)="Fin",1-$H794,IF(LEFT(TRIM(Paramètres!M38),1)="F",1,0)))),IF(Paramètres!N38="",0,IF(Paramètres!O38="",NA(),IF(LEFT(TRIM(Paramètres!O38),1)="F",INDEX($F$761:$F$813,MATCH(Paramètres!N38,Paramètres!$G$5:$G$57,0)),INDEX($E$761:$E$813,MATCH(Paramètres!N38,Paramètres!$G$5:$G$57,0)))+IF(RIGHT(TRIM(Paramètres!O38),3)="Fin",1-$H794,IF(LEFT(TRIM(Paramètres!O38),1)="F",1,0)))))))</f>
        <v/>
      </c>
      <c r="F794" s="19">
        <f>IF($A794="","",E794+$H794-1)</f>
        <v/>
      </c>
      <c r="G794" s="18" t="n"/>
      <c r="H794" s="18">
        <f>IF($A794="","",IF(I794&lt;&gt;"",I794,Paramètres!B38))</f>
        <v/>
      </c>
      <c r="I794" s="18" t="n"/>
    </row>
    <row r="795">
      <c r="A795" s="18">
        <f>IF(ISNUMBER(Dossiers!$D$18),Dossiers!$A$18&amp;" · "&amp;Dossiers!$B$18,"")</f>
        <v/>
      </c>
      <c r="B795" s="18">
        <f>IF($A795="","",Paramètres!G39)</f>
        <v/>
      </c>
      <c r="C795" s="18">
        <f>IF($A795="","",IF(Paramètres!H39="","",Paramètres!H39))</f>
        <v/>
      </c>
      <c r="D795" s="18">
        <f>IF($A795="","",IF(Paramètres!I39="","",Paramètres!I39))</f>
        <v/>
      </c>
      <c r="E795" s="19">
        <f>IF($A795="","",IF(Paramètres!J39&amp;Paramètres!L39&amp;Paramètres!N39="",Dossiers!$D$18,MAX(IF(Paramètres!J39="",0,IF(Paramètres!K39="",NA(),IF(LEFT(TRIM(Paramètres!K39),1)="F",INDEX($F$761:$F$813,MATCH(Paramètres!J39,Paramètres!$G$5:$G$57,0)),INDEX($E$761:$E$813,MATCH(Paramètres!J39,Paramètres!$G$5:$G$57,0)))+IF(RIGHT(TRIM(Paramètres!K39),3)="Fin",1-$H795,IF(LEFT(TRIM(Paramètres!K39),1)="F",1,0)))),IF(Paramètres!L39="",0,IF(Paramètres!M39="",NA(),IF(LEFT(TRIM(Paramètres!M39),1)="F",INDEX($F$761:$F$813,MATCH(Paramètres!L39,Paramètres!$G$5:$G$57,0)),INDEX($E$761:$E$813,MATCH(Paramètres!L39,Paramètres!$G$5:$G$57,0)))+IF(RIGHT(TRIM(Paramètres!M39),3)="Fin",1-$H795,IF(LEFT(TRIM(Paramètres!M39),1)="F",1,0)))),IF(Paramètres!N39="",0,IF(Paramètres!O39="",NA(),IF(LEFT(TRIM(Paramètres!O39),1)="F",INDEX($F$761:$F$813,MATCH(Paramètres!N39,Paramètres!$G$5:$G$57,0)),INDEX($E$761:$E$813,MATCH(Paramètres!N39,Paramètres!$G$5:$G$57,0)))+IF(RIGHT(TRIM(Paramètres!O39),3)="Fin",1-$H795,IF(LEFT(TRIM(Paramètres!O39),1)="F",1,0)))))))</f>
        <v/>
      </c>
      <c r="F795" s="19">
        <f>IF($A795="","",E795+$H795-1)</f>
        <v/>
      </c>
      <c r="G795" s="18" t="n"/>
      <c r="H795" s="18">
        <f>IF($A795="","",IF(I795&lt;&gt;"",I795,Paramètres!B39))</f>
        <v/>
      </c>
      <c r="I795" s="18" t="n"/>
    </row>
    <row r="796">
      <c r="A796" s="18">
        <f>IF(ISNUMBER(Dossiers!$D$18),Dossiers!$A$18&amp;" · "&amp;Dossiers!$B$18,"")</f>
        <v/>
      </c>
      <c r="B796" s="18">
        <f>IF($A796="","",Paramètres!G40)</f>
        <v/>
      </c>
      <c r="C796" s="18">
        <f>IF($A796="","",IF(Paramètres!H40="","",Paramètres!H40))</f>
        <v/>
      </c>
      <c r="D796" s="18">
        <f>IF($A796="","",IF(Paramètres!I40="","",Paramètres!I40))</f>
        <v/>
      </c>
      <c r="E796" s="19">
        <f>IF($A796="","",IF(Paramètres!J40&amp;Paramètres!L40&amp;Paramètres!N40="",Dossiers!$D$18,MAX(IF(Paramètres!J40="",0,IF(Paramètres!K40="",NA(),IF(LEFT(TRIM(Paramètres!K40),1)="F",INDEX($F$761:$F$813,MATCH(Paramètres!J40,Paramètres!$G$5:$G$57,0)),INDEX($E$761:$E$813,MATCH(Paramètres!J40,Paramètres!$G$5:$G$57,0)))+IF(RIGHT(TRIM(Paramètres!K40),3)="Fin",1-$H796,IF(LEFT(TRIM(Paramètres!K40),1)="F",1,0)))),IF(Paramètres!L40="",0,IF(Paramètres!M40="",NA(),IF(LEFT(TRIM(Paramètres!M40),1)="F",INDEX($F$761:$F$813,MATCH(Paramètres!L40,Paramètres!$G$5:$G$57,0)),INDEX($E$761:$E$813,MATCH(Paramètres!L40,Paramètres!$G$5:$G$57,0)))+IF(RIGHT(TRIM(Paramètres!M40),3)="Fin",1-$H796,IF(LEFT(TRIM(Paramètres!M40),1)="F",1,0)))),IF(Paramètres!N40="",0,IF(Paramètres!O40="",NA(),IF(LEFT(TRIM(Paramètres!O40),1)="F",INDEX($F$761:$F$813,MATCH(Paramètres!N40,Paramètres!$G$5:$G$57,0)),INDEX($E$761:$E$813,MATCH(Paramètres!N40,Paramètres!$G$5:$G$57,0)))+IF(RIGHT(TRIM(Paramètres!O40),3)="Fin",1-$H796,IF(LEFT(TRIM(Paramètres!O40),1)="F",1,0)))))))</f>
        <v/>
      </c>
      <c r="F796" s="19">
        <f>IF($A796="","",E796+$H796-1)</f>
        <v/>
      </c>
      <c r="G796" s="18" t="n"/>
      <c r="H796" s="18">
        <f>IF($A796="","",IF(I796&lt;&gt;"",I796,Paramètres!B40))</f>
        <v/>
      </c>
      <c r="I796" s="18" t="n"/>
    </row>
    <row r="797">
      <c r="A797" s="18">
        <f>IF(ISNUMBER(Dossiers!$D$18),Dossiers!$A$18&amp;" · "&amp;Dossiers!$B$18,"")</f>
        <v/>
      </c>
      <c r="B797" s="18">
        <f>IF($A797="","",Paramètres!G41)</f>
        <v/>
      </c>
      <c r="C797" s="18">
        <f>IF($A797="","",IF(Paramètres!H41="","",Paramètres!H41))</f>
        <v/>
      </c>
      <c r="D797" s="18">
        <f>IF($A797="","",IF(Paramètres!I41="","",Paramètres!I41))</f>
        <v/>
      </c>
      <c r="E797" s="19">
        <f>IF($A797="","",IF(Paramètres!J41&amp;Paramètres!L41&amp;Paramètres!N41="",Dossiers!$D$18,MAX(IF(Paramètres!J41="",0,IF(Paramètres!K41="",NA(),IF(LEFT(TRIM(Paramètres!K41),1)="F",INDEX($F$761:$F$813,MATCH(Paramètres!J41,Paramètres!$G$5:$G$57,0)),INDEX($E$761:$E$813,MATCH(Paramètres!J41,Paramètres!$G$5:$G$57,0)))+IF(RIGHT(TRIM(Paramètres!K41),3)="Fin",1-$H797,IF(LEFT(TRIM(Paramètres!K41),1)="F",1,0)))),IF(Paramètres!L41="",0,IF(Paramètres!M41="",NA(),IF(LEFT(TRIM(Paramètres!M41),1)="F",INDEX($F$761:$F$813,MATCH(Paramètres!L41,Paramètres!$G$5:$G$57,0)),INDEX($E$761:$E$813,MATCH(Paramètres!L41,Paramètres!$G$5:$G$57,0)))+IF(RIGHT(TRIM(Paramètres!M41),3)="Fin",1-$H797,IF(LEFT(TRIM(Paramètres!M41),1)="F",1,0)))),IF(Paramètres!N41="",0,IF(Paramètres!O41="",NA(),IF(LEFT(TRIM(Paramètres!O41),1)="F",INDEX($F$761:$F$813,MATCH(Paramètres!N41,Paramètres!$G$5:$G$57,0)),INDEX($E$761:$E$813,MATCH(Paramètres!N41,Paramètres!$G$5:$G$57,0)))+IF(RIGHT(TRIM(Paramètres!O41),3)="Fin",1-$H797,IF(LEFT(TRIM(Paramètres!O41),1)="F",1,0)))))))</f>
        <v/>
      </c>
      <c r="F797" s="19">
        <f>IF($A797="","",E797+$H797-1)</f>
        <v/>
      </c>
      <c r="G797" s="18" t="n"/>
      <c r="H797" s="18">
        <f>IF($A797="","",IF(I797&lt;&gt;"",I797,Paramètres!B41))</f>
        <v/>
      </c>
      <c r="I797" s="18" t="n"/>
    </row>
    <row r="798">
      <c r="A798" s="18">
        <f>IF(ISNUMBER(Dossiers!$D$18),Dossiers!$A$18&amp;" · "&amp;Dossiers!$B$18,"")</f>
        <v/>
      </c>
      <c r="B798" s="18">
        <f>IF($A798="","",Paramètres!G42)</f>
        <v/>
      </c>
      <c r="C798" s="18">
        <f>IF($A798="","",IF(Paramètres!H42="","",Paramètres!H42))</f>
        <v/>
      </c>
      <c r="D798" s="18">
        <f>IF($A798="","",IF(Paramètres!I42="","",Paramètres!I42))</f>
        <v/>
      </c>
      <c r="E798" s="19">
        <f>IF($A798="","",IF(Paramètres!J42&amp;Paramètres!L42&amp;Paramètres!N42="",Dossiers!$D$18,MAX(IF(Paramètres!J42="",0,IF(Paramètres!K42="",NA(),IF(LEFT(TRIM(Paramètres!K42),1)="F",INDEX($F$761:$F$813,MATCH(Paramètres!J42,Paramètres!$G$5:$G$57,0)),INDEX($E$761:$E$813,MATCH(Paramètres!J42,Paramètres!$G$5:$G$57,0)))+IF(RIGHT(TRIM(Paramètres!K42),3)="Fin",1-$H798,IF(LEFT(TRIM(Paramètres!K42),1)="F",1,0)))),IF(Paramètres!L42="",0,IF(Paramètres!M42="",NA(),IF(LEFT(TRIM(Paramètres!M42),1)="F",INDEX($F$761:$F$813,MATCH(Paramètres!L42,Paramètres!$G$5:$G$57,0)),INDEX($E$761:$E$813,MATCH(Paramètres!L42,Paramètres!$G$5:$G$57,0)))+IF(RIGHT(TRIM(Paramètres!M42),3)="Fin",1-$H798,IF(LEFT(TRIM(Paramètres!M42),1)="F",1,0)))),IF(Paramètres!N42="",0,IF(Paramètres!O42="",NA(),IF(LEFT(TRIM(Paramètres!O42),1)="F",INDEX($F$761:$F$813,MATCH(Paramètres!N42,Paramètres!$G$5:$G$57,0)),INDEX($E$761:$E$813,MATCH(Paramètres!N42,Paramètres!$G$5:$G$57,0)))+IF(RIGHT(TRIM(Paramètres!O42),3)="Fin",1-$H798,IF(LEFT(TRIM(Paramètres!O42),1)="F",1,0)))))))</f>
        <v/>
      </c>
      <c r="F798" s="19">
        <f>IF($A798="","",E798+$H798-1)</f>
        <v/>
      </c>
      <c r="G798" s="18" t="n"/>
      <c r="H798" s="18">
        <f>IF($A798="","",IF(I798&lt;&gt;"",I798,Paramètres!B42))</f>
        <v/>
      </c>
      <c r="I798" s="18" t="n"/>
    </row>
    <row r="799">
      <c r="A799" s="18">
        <f>IF(ISNUMBER(Dossiers!$D$18),Dossiers!$A$18&amp;" · "&amp;Dossiers!$B$18,"")</f>
        <v/>
      </c>
      <c r="B799" s="18">
        <f>IF($A799="","",Paramètres!G43)</f>
        <v/>
      </c>
      <c r="C799" s="18">
        <f>IF($A799="","",IF(Paramètres!H43="","",Paramètres!H43))</f>
        <v/>
      </c>
      <c r="D799" s="18">
        <f>IF($A799="","",IF(Paramètres!I43="","",Paramètres!I43))</f>
        <v/>
      </c>
      <c r="E799" s="19">
        <f>IF($A799="","",IF(Paramètres!J43&amp;Paramètres!L43&amp;Paramètres!N43="",Dossiers!$D$18,MAX(IF(Paramètres!J43="",0,IF(Paramètres!K43="",NA(),IF(LEFT(TRIM(Paramètres!K43),1)="F",INDEX($F$761:$F$813,MATCH(Paramètres!J43,Paramètres!$G$5:$G$57,0)),INDEX($E$761:$E$813,MATCH(Paramètres!J43,Paramètres!$G$5:$G$57,0)))+IF(RIGHT(TRIM(Paramètres!K43),3)="Fin",1-$H799,IF(LEFT(TRIM(Paramètres!K43),1)="F",1,0)))),IF(Paramètres!L43="",0,IF(Paramètres!M43="",NA(),IF(LEFT(TRIM(Paramètres!M43),1)="F",INDEX($F$761:$F$813,MATCH(Paramètres!L43,Paramètres!$G$5:$G$57,0)),INDEX($E$761:$E$813,MATCH(Paramètres!L43,Paramètres!$G$5:$G$57,0)))+IF(RIGHT(TRIM(Paramètres!M43),3)="Fin",1-$H799,IF(LEFT(TRIM(Paramètres!M43),1)="F",1,0)))),IF(Paramètres!N43="",0,IF(Paramètres!O43="",NA(),IF(LEFT(TRIM(Paramètres!O43),1)="F",INDEX($F$761:$F$813,MATCH(Paramètres!N43,Paramètres!$G$5:$G$57,0)),INDEX($E$761:$E$813,MATCH(Paramètres!N43,Paramètres!$G$5:$G$57,0)))+IF(RIGHT(TRIM(Paramètres!O43),3)="Fin",1-$H799,IF(LEFT(TRIM(Paramètres!O43),1)="F",1,0)))))))</f>
        <v/>
      </c>
      <c r="F799" s="19">
        <f>IF($A799="","",E799+$H799-1)</f>
        <v/>
      </c>
      <c r="G799" s="18" t="n"/>
      <c r="H799" s="18">
        <f>IF($A799="","",IF(I799&lt;&gt;"",I799,Paramètres!B43))</f>
        <v/>
      </c>
      <c r="I799" s="18" t="n"/>
    </row>
    <row r="800">
      <c r="A800" s="18">
        <f>IF(ISNUMBER(Dossiers!$D$18),Dossiers!$A$18&amp;" · "&amp;Dossiers!$B$18,"")</f>
        <v/>
      </c>
      <c r="B800" s="18">
        <f>IF($A800="","",Paramètres!G44)</f>
        <v/>
      </c>
      <c r="C800" s="18">
        <f>IF($A800="","",IF(Paramètres!H44="","",Paramètres!H44))</f>
        <v/>
      </c>
      <c r="D800" s="18">
        <f>IF($A800="","",IF(Paramètres!I44="","",Paramètres!I44))</f>
        <v/>
      </c>
      <c r="E800" s="19">
        <f>IF($A800="","",IF(Paramètres!J44&amp;Paramètres!L44&amp;Paramètres!N44="",Dossiers!$D$18,MAX(IF(Paramètres!J44="",0,IF(Paramètres!K44="",NA(),IF(LEFT(TRIM(Paramètres!K44),1)="F",INDEX($F$761:$F$813,MATCH(Paramètres!J44,Paramètres!$G$5:$G$57,0)),INDEX($E$761:$E$813,MATCH(Paramètres!J44,Paramètres!$G$5:$G$57,0)))+IF(RIGHT(TRIM(Paramètres!K44),3)="Fin",1-$H800,IF(LEFT(TRIM(Paramètres!K44),1)="F",1,0)))),IF(Paramètres!L44="",0,IF(Paramètres!M44="",NA(),IF(LEFT(TRIM(Paramètres!M44),1)="F",INDEX($F$761:$F$813,MATCH(Paramètres!L44,Paramètres!$G$5:$G$57,0)),INDEX($E$761:$E$813,MATCH(Paramètres!L44,Paramètres!$G$5:$G$57,0)))+IF(RIGHT(TRIM(Paramètres!M44),3)="Fin",1-$H800,IF(LEFT(TRIM(Paramètres!M44),1)="F",1,0)))),IF(Paramètres!N44="",0,IF(Paramètres!O44="",NA(),IF(LEFT(TRIM(Paramètres!O44),1)="F",INDEX($F$761:$F$813,MATCH(Paramètres!N44,Paramètres!$G$5:$G$57,0)),INDEX($E$761:$E$813,MATCH(Paramètres!N44,Paramètres!$G$5:$G$57,0)))+IF(RIGHT(TRIM(Paramètres!O44),3)="Fin",1-$H800,IF(LEFT(TRIM(Paramètres!O44),1)="F",1,0)))))))</f>
        <v/>
      </c>
      <c r="F800" s="19">
        <f>IF($A800="","",E800+$H800-1)</f>
        <v/>
      </c>
      <c r="G800" s="18" t="n"/>
      <c r="H800" s="18">
        <f>IF($A800="","",IF(I800&lt;&gt;"",I800,Paramètres!B44))</f>
        <v/>
      </c>
      <c r="I800" s="18" t="n"/>
    </row>
    <row r="801">
      <c r="A801" s="18">
        <f>IF(ISNUMBER(Dossiers!$D$18),Dossiers!$A$18&amp;" · "&amp;Dossiers!$B$18,"")</f>
        <v/>
      </c>
      <c r="B801" s="18">
        <f>IF($A801="","",Paramètres!G45)</f>
        <v/>
      </c>
      <c r="C801" s="20">
        <f>IF($A801="","",IF(Dossiers!$G$18="","",Dossiers!$G$18))</f>
        <v/>
      </c>
      <c r="D801" s="18">
        <f>IF($A801="","",IF(Paramètres!I45="","",Paramètres!I45))</f>
        <v/>
      </c>
      <c r="E801" s="19">
        <f>IF($A801="","",IF(Paramètres!J45&amp;Paramètres!L45&amp;Paramètres!N45="",Dossiers!$D$18,MAX(IF(Paramètres!J45="",0,IF(Paramètres!K45="",NA(),IF(LEFT(TRIM(Paramètres!K45),1)="F",INDEX($F$761:$F$813,MATCH(Paramètres!J45,Paramètres!$G$5:$G$57,0)),INDEX($E$761:$E$813,MATCH(Paramètres!J45,Paramètres!$G$5:$G$57,0)))+IF(RIGHT(TRIM(Paramètres!K45),3)="Fin",1-$H801,IF(LEFT(TRIM(Paramètres!K45),1)="F",1,0)))),IF(Paramètres!L45="",0,IF(Paramètres!M45="",NA(),IF(LEFT(TRIM(Paramètres!M45),1)="F",INDEX($F$761:$F$813,MATCH(Paramètres!L45,Paramètres!$G$5:$G$57,0)),INDEX($E$761:$E$813,MATCH(Paramètres!L45,Paramètres!$G$5:$G$57,0)))+IF(RIGHT(TRIM(Paramètres!M45),3)="Fin",1-$H801,IF(LEFT(TRIM(Paramètres!M45),1)="F",1,0)))),IF(Paramètres!N45="",0,IF(Paramètres!O45="",NA(),IF(LEFT(TRIM(Paramètres!O45),1)="F",INDEX($F$761:$F$813,MATCH(Paramètres!N45,Paramètres!$G$5:$G$57,0)),INDEX($E$761:$E$813,MATCH(Paramètres!N45,Paramètres!$G$5:$G$57,0)))+IF(RIGHT(TRIM(Paramètres!O45),3)="Fin",1-$H801,IF(LEFT(TRIM(Paramètres!O45),1)="F",1,0)))))))</f>
        <v/>
      </c>
      <c r="F801" s="19">
        <f>IF($A801="","",E801+$H801-1)</f>
        <v/>
      </c>
      <c r="G801" s="18" t="n"/>
      <c r="H801" s="18">
        <f>IF($A801="","",IF(I801&lt;&gt;"",I801,Paramètres!B45))</f>
        <v/>
      </c>
      <c r="I801" s="18" t="n"/>
    </row>
    <row r="802">
      <c r="A802" s="18">
        <f>IF(ISNUMBER(Dossiers!$D$18),Dossiers!$A$18&amp;" · "&amp;Dossiers!$B$18,"")</f>
        <v/>
      </c>
      <c r="B802" s="18">
        <f>IF($A802="","",Paramètres!G46)</f>
        <v/>
      </c>
      <c r="C802" s="18">
        <f>IF($A802="","",IF(Paramètres!H46="","",Paramètres!H46))</f>
        <v/>
      </c>
      <c r="D802" s="18">
        <f>IF($A802="","",IF(Paramètres!I46="","",Paramètres!I46))</f>
        <v/>
      </c>
      <c r="E802" s="19">
        <f>IF($A802="","",IF(Paramètres!J46&amp;Paramètres!L46&amp;Paramètres!N46="",Dossiers!$D$18,MAX(IF(Paramètres!J46="",0,IF(Paramètres!K46="",NA(),IF(LEFT(TRIM(Paramètres!K46),1)="F",INDEX($F$761:$F$813,MATCH(Paramètres!J46,Paramètres!$G$5:$G$57,0)),INDEX($E$761:$E$813,MATCH(Paramètres!J46,Paramètres!$G$5:$G$57,0)))+IF(RIGHT(TRIM(Paramètres!K46),3)="Fin",1-$H802,IF(LEFT(TRIM(Paramètres!K46),1)="F",1,0)))),IF(Paramètres!L46="",0,IF(Paramètres!M46="",NA(),IF(LEFT(TRIM(Paramètres!M46),1)="F",INDEX($F$761:$F$813,MATCH(Paramètres!L46,Paramètres!$G$5:$G$57,0)),INDEX($E$761:$E$813,MATCH(Paramètres!L46,Paramètres!$G$5:$G$57,0)))+IF(RIGHT(TRIM(Paramètres!M46),3)="Fin",1-$H802,IF(LEFT(TRIM(Paramètres!M46),1)="F",1,0)))),IF(Paramètres!N46="",0,IF(Paramètres!O46="",NA(),IF(LEFT(TRIM(Paramètres!O46),1)="F",INDEX($F$761:$F$813,MATCH(Paramètres!N46,Paramètres!$G$5:$G$57,0)),INDEX($E$761:$E$813,MATCH(Paramètres!N46,Paramètres!$G$5:$G$57,0)))+IF(RIGHT(TRIM(Paramètres!O46),3)="Fin",1-$H802,IF(LEFT(TRIM(Paramètres!O46),1)="F",1,0)))))))</f>
        <v/>
      </c>
      <c r="F802" s="19">
        <f>IF($A802="","",E802+$H802-1)</f>
        <v/>
      </c>
      <c r="G802" s="18" t="n"/>
      <c r="H802" s="18">
        <f>IF($A802="","",IF(I802&lt;&gt;"",I802,Paramètres!B46))</f>
        <v/>
      </c>
      <c r="I802" s="18" t="n"/>
    </row>
    <row r="803">
      <c r="A803" s="18">
        <f>IF(ISNUMBER(Dossiers!$D$18),Dossiers!$A$18&amp;" · "&amp;Dossiers!$B$18,"")</f>
        <v/>
      </c>
      <c r="B803" s="18">
        <f>IF($A803="","",Paramètres!G47)</f>
        <v/>
      </c>
      <c r="C803" s="18">
        <f>IF($A803="","",IF(Paramètres!H47="","",Paramètres!H47))</f>
        <v/>
      </c>
      <c r="D803" s="18">
        <f>IF($A803="","",IF(Paramètres!I47="","",Paramètres!I47))</f>
        <v/>
      </c>
      <c r="E803" s="19">
        <f>IF($A803="","",IF(Paramètres!J47&amp;Paramètres!L47&amp;Paramètres!N47="",Dossiers!$D$18,MAX(IF(Paramètres!J47="",0,IF(Paramètres!K47="",NA(),IF(LEFT(TRIM(Paramètres!K47),1)="F",INDEX($F$761:$F$813,MATCH(Paramètres!J47,Paramètres!$G$5:$G$57,0)),INDEX($E$761:$E$813,MATCH(Paramètres!J47,Paramètres!$G$5:$G$57,0)))+IF(RIGHT(TRIM(Paramètres!K47),3)="Fin",1-$H803,IF(LEFT(TRIM(Paramètres!K47),1)="F",1,0)))),IF(Paramètres!L47="",0,IF(Paramètres!M47="",NA(),IF(LEFT(TRIM(Paramètres!M47),1)="F",INDEX($F$761:$F$813,MATCH(Paramètres!L47,Paramètres!$G$5:$G$57,0)),INDEX($E$761:$E$813,MATCH(Paramètres!L47,Paramètres!$G$5:$G$57,0)))+IF(RIGHT(TRIM(Paramètres!M47),3)="Fin",1-$H803,IF(LEFT(TRIM(Paramètres!M47),1)="F",1,0)))),IF(Paramètres!N47="",0,IF(Paramètres!O47="",NA(),IF(LEFT(TRIM(Paramètres!O47),1)="F",INDEX($F$761:$F$813,MATCH(Paramètres!N47,Paramètres!$G$5:$G$57,0)),INDEX($E$761:$E$813,MATCH(Paramètres!N47,Paramètres!$G$5:$G$57,0)))+IF(RIGHT(TRIM(Paramètres!O47),3)="Fin",1-$H803,IF(LEFT(TRIM(Paramètres!O47),1)="F",1,0)))))))</f>
        <v/>
      </c>
      <c r="F803" s="19">
        <f>IF($A803="","",E803+$H803-1)</f>
        <v/>
      </c>
      <c r="G803" s="18" t="n"/>
      <c r="H803" s="18">
        <f>IF($A803="","",IF(I803&lt;&gt;"",I803,Paramètres!B47))</f>
        <v/>
      </c>
      <c r="I803" s="18" t="n"/>
    </row>
    <row r="804">
      <c r="A804" s="18">
        <f>IF(ISNUMBER(Dossiers!$D$18),Dossiers!$A$18&amp;" · "&amp;Dossiers!$B$18,"")</f>
        <v/>
      </c>
      <c r="B804" s="18">
        <f>IF($A804="","",Paramètres!G48)</f>
        <v/>
      </c>
      <c r="C804" s="18">
        <f>IF($A804="","",IF(Paramètres!H48="","",Paramètres!H48))</f>
        <v/>
      </c>
      <c r="D804" s="18">
        <f>IF($A804="","",IF(Paramètres!I48="","",Paramètres!I48))</f>
        <v/>
      </c>
      <c r="E804" s="19">
        <f>IF($A804="","",IF(Paramètres!J48&amp;Paramètres!L48&amp;Paramètres!N48="",Dossiers!$D$18,MAX(IF(Paramètres!J48="",0,IF(Paramètres!K48="",NA(),IF(LEFT(TRIM(Paramètres!K48),1)="F",INDEX($F$761:$F$813,MATCH(Paramètres!J48,Paramètres!$G$5:$G$57,0)),INDEX($E$761:$E$813,MATCH(Paramètres!J48,Paramètres!$G$5:$G$57,0)))+IF(RIGHT(TRIM(Paramètres!K48),3)="Fin",1-$H804,IF(LEFT(TRIM(Paramètres!K48),1)="F",1,0)))),IF(Paramètres!L48="",0,IF(Paramètres!M48="",NA(),IF(LEFT(TRIM(Paramètres!M48),1)="F",INDEX($F$761:$F$813,MATCH(Paramètres!L48,Paramètres!$G$5:$G$57,0)),INDEX($E$761:$E$813,MATCH(Paramètres!L48,Paramètres!$G$5:$G$57,0)))+IF(RIGHT(TRIM(Paramètres!M48),3)="Fin",1-$H804,IF(LEFT(TRIM(Paramètres!M48),1)="F",1,0)))),IF(Paramètres!N48="",0,IF(Paramètres!O48="",NA(),IF(LEFT(TRIM(Paramètres!O48),1)="F",INDEX($F$761:$F$813,MATCH(Paramètres!N48,Paramètres!$G$5:$G$57,0)),INDEX($E$761:$E$813,MATCH(Paramètres!N48,Paramètres!$G$5:$G$57,0)))+IF(RIGHT(TRIM(Paramètres!O48),3)="Fin",1-$H804,IF(LEFT(TRIM(Paramètres!O48),1)="F",1,0)))))))</f>
        <v/>
      </c>
      <c r="F804" s="19">
        <f>IF($A804="","",E804+$H804-1)</f>
        <v/>
      </c>
      <c r="G804" s="18" t="n"/>
      <c r="H804" s="18">
        <f>IF($A804="","",IF(I804&lt;&gt;"",I804,Paramètres!B48))</f>
        <v/>
      </c>
      <c r="I804" s="18" t="n"/>
    </row>
    <row r="805">
      <c r="A805" s="18">
        <f>IF(ISNUMBER(Dossiers!$D$18),Dossiers!$A$18&amp;" · "&amp;Dossiers!$B$18,"")</f>
        <v/>
      </c>
      <c r="B805" s="18">
        <f>IF($A805="","",Paramètres!G49)</f>
        <v/>
      </c>
      <c r="C805" s="18">
        <f>IF($A805="","",IF(Paramètres!H49="","",Paramètres!H49))</f>
        <v/>
      </c>
      <c r="D805" s="18">
        <f>IF($A805="","",IF(Paramètres!I49="","",Paramètres!I49))</f>
        <v/>
      </c>
      <c r="E805" s="19">
        <f>IF($A805="","",IF(Paramètres!J49&amp;Paramètres!L49&amp;Paramètres!N49="",Dossiers!$D$18,MAX(IF(Paramètres!J49="",0,IF(Paramètres!K49="",NA(),IF(LEFT(TRIM(Paramètres!K49),1)="F",INDEX($F$761:$F$813,MATCH(Paramètres!J49,Paramètres!$G$5:$G$57,0)),INDEX($E$761:$E$813,MATCH(Paramètres!J49,Paramètres!$G$5:$G$57,0)))+IF(RIGHT(TRIM(Paramètres!K49),3)="Fin",1-$H805,IF(LEFT(TRIM(Paramètres!K49),1)="F",1,0)))),IF(Paramètres!L49="",0,IF(Paramètres!M49="",NA(),IF(LEFT(TRIM(Paramètres!M49),1)="F",INDEX($F$761:$F$813,MATCH(Paramètres!L49,Paramètres!$G$5:$G$57,0)),INDEX($E$761:$E$813,MATCH(Paramètres!L49,Paramètres!$G$5:$G$57,0)))+IF(RIGHT(TRIM(Paramètres!M49),3)="Fin",1-$H805,IF(LEFT(TRIM(Paramètres!M49),1)="F",1,0)))),IF(Paramètres!N49="",0,IF(Paramètres!O49="",NA(),IF(LEFT(TRIM(Paramètres!O49),1)="F",INDEX($F$761:$F$813,MATCH(Paramètres!N49,Paramètres!$G$5:$G$57,0)),INDEX($E$761:$E$813,MATCH(Paramètres!N49,Paramètres!$G$5:$G$57,0)))+IF(RIGHT(TRIM(Paramètres!O49),3)="Fin",1-$H805,IF(LEFT(TRIM(Paramètres!O49),1)="F",1,0)))))))</f>
        <v/>
      </c>
      <c r="F805" s="19">
        <f>IF($A805="","",E805+$H805-1)</f>
        <v/>
      </c>
      <c r="G805" s="18" t="n"/>
      <c r="H805" s="18">
        <f>IF($A805="","",IF(I805&lt;&gt;"",I805,Paramètres!B49))</f>
        <v/>
      </c>
      <c r="I805" s="18" t="n"/>
    </row>
    <row r="806">
      <c r="A806" s="18">
        <f>IF(ISNUMBER(Dossiers!$D$18),Dossiers!$A$18&amp;" · "&amp;Dossiers!$B$18,"")</f>
        <v/>
      </c>
      <c r="B806" s="18">
        <f>IF($A806="","",Paramètres!G50)</f>
        <v/>
      </c>
      <c r="C806" s="18">
        <f>IF($A806="","",IF(Paramètres!H50="","",Paramètres!H50))</f>
        <v/>
      </c>
      <c r="D806" s="18">
        <f>IF($A806="","",IF(Paramètres!I50="","",Paramètres!I50))</f>
        <v/>
      </c>
      <c r="E806" s="19">
        <f>IF($A806="","",IF(Paramètres!J50&amp;Paramètres!L50&amp;Paramètres!N50="",Dossiers!$D$18,MAX(IF(Paramètres!J50="",0,IF(Paramètres!K50="",NA(),IF(LEFT(TRIM(Paramètres!K50),1)="F",INDEX($F$761:$F$813,MATCH(Paramètres!J50,Paramètres!$G$5:$G$57,0)),INDEX($E$761:$E$813,MATCH(Paramètres!J50,Paramètres!$G$5:$G$57,0)))+IF(RIGHT(TRIM(Paramètres!K50),3)="Fin",1-$H806,IF(LEFT(TRIM(Paramètres!K50),1)="F",1,0)))),IF(Paramètres!L50="",0,IF(Paramètres!M50="",NA(),IF(LEFT(TRIM(Paramètres!M50),1)="F",INDEX($F$761:$F$813,MATCH(Paramètres!L50,Paramètres!$G$5:$G$57,0)),INDEX($E$761:$E$813,MATCH(Paramètres!L50,Paramètres!$G$5:$G$57,0)))+IF(RIGHT(TRIM(Paramètres!M50),3)="Fin",1-$H806,IF(LEFT(TRIM(Paramètres!M50),1)="F",1,0)))),IF(Paramètres!N50="",0,IF(Paramètres!O50="",NA(),IF(LEFT(TRIM(Paramètres!O50),1)="F",INDEX($F$761:$F$813,MATCH(Paramètres!N50,Paramètres!$G$5:$G$57,0)),INDEX($E$761:$E$813,MATCH(Paramètres!N50,Paramètres!$G$5:$G$57,0)))+IF(RIGHT(TRIM(Paramètres!O50),3)="Fin",1-$H806,IF(LEFT(TRIM(Paramètres!O50),1)="F",1,0)))))))</f>
        <v/>
      </c>
      <c r="F806" s="19">
        <f>IF($A806="","",E806+$H806-1)</f>
        <v/>
      </c>
      <c r="G806" s="18" t="n"/>
      <c r="H806" s="18">
        <f>IF($A806="","",IF(I806&lt;&gt;"",I806,Paramètres!B50))</f>
        <v/>
      </c>
      <c r="I806" s="18" t="n"/>
    </row>
    <row r="807">
      <c r="A807" s="18">
        <f>IF(ISNUMBER(Dossiers!$D$18),Dossiers!$A$18&amp;" · "&amp;Dossiers!$B$18,"")</f>
        <v/>
      </c>
      <c r="B807" s="18">
        <f>IF($A807="","",Paramètres!G51)</f>
        <v/>
      </c>
      <c r="C807" s="18">
        <f>IF($A807="","",IF(Paramètres!H51="","",Paramètres!H51))</f>
        <v/>
      </c>
      <c r="D807" s="18">
        <f>IF($A807="","",IF(Paramètres!I51="","",Paramètres!I51))</f>
        <v/>
      </c>
      <c r="E807" s="19">
        <f>IF($A807="","",IF(Paramètres!J51&amp;Paramètres!L51&amp;Paramètres!N51="",Dossiers!$D$18,MAX(IF(Paramètres!J51="",0,IF(Paramètres!K51="",NA(),IF(LEFT(TRIM(Paramètres!K51),1)="F",INDEX($F$761:$F$813,MATCH(Paramètres!J51,Paramètres!$G$5:$G$57,0)),INDEX($E$761:$E$813,MATCH(Paramètres!J51,Paramètres!$G$5:$G$57,0)))+IF(RIGHT(TRIM(Paramètres!K51),3)="Fin",1-$H807,IF(LEFT(TRIM(Paramètres!K51),1)="F",1,0)))),IF(Paramètres!L51="",0,IF(Paramètres!M51="",NA(),IF(LEFT(TRIM(Paramètres!M51),1)="F",INDEX($F$761:$F$813,MATCH(Paramètres!L51,Paramètres!$G$5:$G$57,0)),INDEX($E$761:$E$813,MATCH(Paramètres!L51,Paramètres!$G$5:$G$57,0)))+IF(RIGHT(TRIM(Paramètres!M51),3)="Fin",1-$H807,IF(LEFT(TRIM(Paramètres!M51),1)="F",1,0)))),IF(Paramètres!N51="",0,IF(Paramètres!O51="",NA(),IF(LEFT(TRIM(Paramètres!O51),1)="F",INDEX($F$761:$F$813,MATCH(Paramètres!N51,Paramètres!$G$5:$G$57,0)),INDEX($E$761:$E$813,MATCH(Paramètres!N51,Paramètres!$G$5:$G$57,0)))+IF(RIGHT(TRIM(Paramètres!O51),3)="Fin",1-$H807,IF(LEFT(TRIM(Paramètres!O51),1)="F",1,0)))))))</f>
        <v/>
      </c>
      <c r="F807" s="19">
        <f>IF($A807="","",E807+$H807-1)</f>
        <v/>
      </c>
      <c r="G807" s="18" t="n"/>
      <c r="H807" s="18">
        <f>IF($A807="","",IF(I807&lt;&gt;"",I807,Paramètres!B51))</f>
        <v/>
      </c>
      <c r="I807" s="18" t="n"/>
    </row>
    <row r="808">
      <c r="A808" s="18">
        <f>IF(ISNUMBER(Dossiers!$D$18),Dossiers!$A$18&amp;" · "&amp;Dossiers!$B$18,"")</f>
        <v/>
      </c>
      <c r="B808" s="18">
        <f>IF($A808="","",Paramètres!G52)</f>
        <v/>
      </c>
      <c r="C808" s="18">
        <f>IF($A808="","",IF(Paramètres!H52="","",Paramètres!H52))</f>
        <v/>
      </c>
      <c r="D808" s="18">
        <f>IF($A808="","",IF(Paramètres!I52="","",Paramètres!I52))</f>
        <v/>
      </c>
      <c r="E808" s="19">
        <f>IF($A808="","",IF(Paramètres!J52&amp;Paramètres!L52&amp;Paramètres!N52="",Dossiers!$D$18,MAX(IF(Paramètres!J52="",0,IF(Paramètres!K52="",NA(),IF(LEFT(TRIM(Paramètres!K52),1)="F",INDEX($F$761:$F$813,MATCH(Paramètres!J52,Paramètres!$G$5:$G$57,0)),INDEX($E$761:$E$813,MATCH(Paramètres!J52,Paramètres!$G$5:$G$57,0)))+IF(RIGHT(TRIM(Paramètres!K52),3)="Fin",1-$H808,IF(LEFT(TRIM(Paramètres!K52),1)="F",1,0)))),IF(Paramètres!L52="",0,IF(Paramètres!M52="",NA(),IF(LEFT(TRIM(Paramètres!M52),1)="F",INDEX($F$761:$F$813,MATCH(Paramètres!L52,Paramètres!$G$5:$G$57,0)),INDEX($E$761:$E$813,MATCH(Paramètres!L52,Paramètres!$G$5:$G$57,0)))+IF(RIGHT(TRIM(Paramètres!M52),3)="Fin",1-$H808,IF(LEFT(TRIM(Paramètres!M52),1)="F",1,0)))),IF(Paramètres!N52="",0,IF(Paramètres!O52="",NA(),IF(LEFT(TRIM(Paramètres!O52),1)="F",INDEX($F$761:$F$813,MATCH(Paramètres!N52,Paramètres!$G$5:$G$57,0)),INDEX($E$761:$E$813,MATCH(Paramètres!N52,Paramètres!$G$5:$G$57,0)))+IF(RIGHT(TRIM(Paramètres!O52),3)="Fin",1-$H808,IF(LEFT(TRIM(Paramètres!O52),1)="F",1,0)))))))</f>
        <v/>
      </c>
      <c r="F808" s="19">
        <f>IF($A808="","",E808+$H808-1)</f>
        <v/>
      </c>
      <c r="G808" s="18" t="n"/>
      <c r="H808" s="18">
        <f>IF($A808="","",IF(I808&lt;&gt;"",I808,Paramètres!B52))</f>
        <v/>
      </c>
      <c r="I808" s="18" t="n"/>
    </row>
    <row r="809">
      <c r="A809" s="18">
        <f>IF(ISNUMBER(Dossiers!$D$18),Dossiers!$A$18&amp;" · "&amp;Dossiers!$B$18,"")</f>
        <v/>
      </c>
      <c r="B809" s="18">
        <f>IF($A809="","",Paramètres!G53)</f>
        <v/>
      </c>
      <c r="C809" s="18">
        <f>IF($A809="","",IF(Paramètres!H53="","",Paramètres!H53))</f>
        <v/>
      </c>
      <c r="D809" s="18">
        <f>IF($A809="","",IF(Paramètres!I53="","",Paramètres!I53))</f>
        <v/>
      </c>
      <c r="E809" s="19">
        <f>IF($A809="","",IF(Paramètres!J53&amp;Paramètres!L53&amp;Paramètres!N53="",Dossiers!$D$18,MAX(IF(Paramètres!J53="",0,IF(Paramètres!K53="",NA(),IF(LEFT(TRIM(Paramètres!K53),1)="F",INDEX($F$761:$F$813,MATCH(Paramètres!J53,Paramètres!$G$5:$G$57,0)),INDEX($E$761:$E$813,MATCH(Paramètres!J53,Paramètres!$G$5:$G$57,0)))+IF(RIGHT(TRIM(Paramètres!K53),3)="Fin",1-$H809,IF(LEFT(TRIM(Paramètres!K53),1)="F",1,0)))),IF(Paramètres!L53="",0,IF(Paramètres!M53="",NA(),IF(LEFT(TRIM(Paramètres!M53),1)="F",INDEX($F$761:$F$813,MATCH(Paramètres!L53,Paramètres!$G$5:$G$57,0)),INDEX($E$761:$E$813,MATCH(Paramètres!L53,Paramètres!$G$5:$G$57,0)))+IF(RIGHT(TRIM(Paramètres!M53),3)="Fin",1-$H809,IF(LEFT(TRIM(Paramètres!M53),1)="F",1,0)))),IF(Paramètres!N53="",0,IF(Paramètres!O53="",NA(),IF(LEFT(TRIM(Paramètres!O53),1)="F",INDEX($F$761:$F$813,MATCH(Paramètres!N53,Paramètres!$G$5:$G$57,0)),INDEX($E$761:$E$813,MATCH(Paramètres!N53,Paramètres!$G$5:$G$57,0)))+IF(RIGHT(TRIM(Paramètres!O53),3)="Fin",1-$H809,IF(LEFT(TRIM(Paramètres!O53),1)="F",1,0)))))))</f>
        <v/>
      </c>
      <c r="F809" s="19">
        <f>IF($A809="","",E809+$H809-1)</f>
        <v/>
      </c>
      <c r="G809" s="18" t="n"/>
      <c r="H809" s="18">
        <f>IF($A809="","",IF(I809&lt;&gt;"",I809,Paramètres!B53))</f>
        <v/>
      </c>
      <c r="I809" s="18" t="n"/>
    </row>
    <row r="810">
      <c r="A810" s="18">
        <f>IF(ISNUMBER(Dossiers!$D$18),Dossiers!$A$18&amp;" · "&amp;Dossiers!$B$18,"")</f>
        <v/>
      </c>
      <c r="B810" s="18">
        <f>IF($A810="","",Paramètres!G54)</f>
        <v/>
      </c>
      <c r="C810" s="18">
        <f>IF($A810="","",IF(Paramètres!H54="","",Paramètres!H54))</f>
        <v/>
      </c>
      <c r="D810" s="18">
        <f>IF($A810="","",IF(Paramètres!I54="","",Paramètres!I54))</f>
        <v/>
      </c>
      <c r="E810" s="19">
        <f>IF($A810="","",IF(Paramètres!J54&amp;Paramètres!L54&amp;Paramètres!N54="",Dossiers!$D$18,MAX(IF(Paramètres!J54="",0,IF(Paramètres!K54="",NA(),IF(LEFT(TRIM(Paramètres!K54),1)="F",INDEX($F$761:$F$813,MATCH(Paramètres!J54,Paramètres!$G$5:$G$57,0)),INDEX($E$761:$E$813,MATCH(Paramètres!J54,Paramètres!$G$5:$G$57,0)))+IF(RIGHT(TRIM(Paramètres!K54),3)="Fin",1-$H810,IF(LEFT(TRIM(Paramètres!K54),1)="F",1,0)))),IF(Paramètres!L54="",0,IF(Paramètres!M54="",NA(),IF(LEFT(TRIM(Paramètres!M54),1)="F",INDEX($F$761:$F$813,MATCH(Paramètres!L54,Paramètres!$G$5:$G$57,0)),INDEX($E$761:$E$813,MATCH(Paramètres!L54,Paramètres!$G$5:$G$57,0)))+IF(RIGHT(TRIM(Paramètres!M54),3)="Fin",1-$H810,IF(LEFT(TRIM(Paramètres!M54),1)="F",1,0)))),IF(Paramètres!N54="",0,IF(Paramètres!O54="",NA(),IF(LEFT(TRIM(Paramètres!O54),1)="F",INDEX($F$761:$F$813,MATCH(Paramètres!N54,Paramètres!$G$5:$G$57,0)),INDEX($E$761:$E$813,MATCH(Paramètres!N54,Paramètres!$G$5:$G$57,0)))+IF(RIGHT(TRIM(Paramètres!O54),3)="Fin",1-$H810,IF(LEFT(TRIM(Paramètres!O54),1)="F",1,0)))))))</f>
        <v/>
      </c>
      <c r="F810" s="19">
        <f>IF($A810="","",E810+$H810-1)</f>
        <v/>
      </c>
      <c r="G810" s="18" t="n"/>
      <c r="H810" s="18">
        <f>IF($A810="","",IF(I810&lt;&gt;"",I810,Paramètres!B54))</f>
        <v/>
      </c>
      <c r="I810" s="18" t="n"/>
    </row>
    <row r="811">
      <c r="A811" s="18">
        <f>IF(ISNUMBER(Dossiers!$D$18),Dossiers!$A$18&amp;" · "&amp;Dossiers!$B$18,"")</f>
        <v/>
      </c>
      <c r="B811" s="18">
        <f>IF($A811="","",Paramètres!G55)</f>
        <v/>
      </c>
      <c r="C811" s="18">
        <f>IF($A811="","",IF(Paramètres!H55="","",Paramètres!H55))</f>
        <v/>
      </c>
      <c r="D811" s="18">
        <f>IF($A811="","",IF(Paramètres!I55="","",Paramètres!I55))</f>
        <v/>
      </c>
      <c r="E811" s="19">
        <f>IF($A811="","",IF(Paramètres!J55&amp;Paramètres!L55&amp;Paramètres!N55="",Dossiers!$D$18,MAX(IF(Paramètres!J55="",0,IF(Paramètres!K55="",NA(),IF(LEFT(TRIM(Paramètres!K55),1)="F",INDEX($F$761:$F$813,MATCH(Paramètres!J55,Paramètres!$G$5:$G$57,0)),INDEX($E$761:$E$813,MATCH(Paramètres!J55,Paramètres!$G$5:$G$57,0)))+IF(RIGHT(TRIM(Paramètres!K55),3)="Fin",1-$H811,IF(LEFT(TRIM(Paramètres!K55),1)="F",1,0)))),IF(Paramètres!L55="",0,IF(Paramètres!M55="",NA(),IF(LEFT(TRIM(Paramètres!M55),1)="F",INDEX($F$761:$F$813,MATCH(Paramètres!L55,Paramètres!$G$5:$G$57,0)),INDEX($E$761:$E$813,MATCH(Paramètres!L55,Paramètres!$G$5:$G$57,0)))+IF(RIGHT(TRIM(Paramètres!M55),3)="Fin",1-$H811,IF(LEFT(TRIM(Paramètres!M55),1)="F",1,0)))),IF(Paramètres!N55="",0,IF(Paramètres!O55="",NA(),IF(LEFT(TRIM(Paramètres!O55),1)="F",INDEX($F$761:$F$813,MATCH(Paramètres!N55,Paramètres!$G$5:$G$57,0)),INDEX($E$761:$E$813,MATCH(Paramètres!N55,Paramètres!$G$5:$G$57,0)))+IF(RIGHT(TRIM(Paramètres!O55),3)="Fin",1-$H811,IF(LEFT(TRIM(Paramètres!O55),1)="F",1,0)))))))</f>
        <v/>
      </c>
      <c r="F811" s="19">
        <f>IF($A811="","",E811+$H811-1)</f>
        <v/>
      </c>
      <c r="G811" s="18" t="n"/>
      <c r="H811" s="18">
        <f>IF($A811="","",IF(I811&lt;&gt;"",I811,Paramètres!B55))</f>
        <v/>
      </c>
      <c r="I811" s="18" t="n"/>
    </row>
    <row r="812">
      <c r="A812" s="18">
        <f>IF(ISNUMBER(Dossiers!$D$18),Dossiers!$A$18&amp;" · "&amp;Dossiers!$B$18,"")</f>
        <v/>
      </c>
      <c r="B812" s="18">
        <f>IF($A812="","",Paramètres!G56)</f>
        <v/>
      </c>
      <c r="C812" s="18">
        <f>IF($A812="","",IF(Paramètres!H56="","",Paramètres!H56))</f>
        <v/>
      </c>
      <c r="D812" s="18">
        <f>IF($A812="","",IF(Paramètres!I56="","",Paramètres!I56))</f>
        <v/>
      </c>
      <c r="E812" s="19">
        <f>IF($A812="","",MIN(E813:E813))</f>
        <v/>
      </c>
      <c r="F812" s="19">
        <f>IF($A812="","",MAX(F813:F813))</f>
        <v/>
      </c>
      <c r="G812" s="18" t="n"/>
      <c r="H812" s="18">
        <f>IF($A812="","",F812-E812+1)</f>
        <v/>
      </c>
      <c r="I812" s="18" t="n"/>
    </row>
    <row r="813">
      <c r="A813" s="18">
        <f>IF(ISNUMBER(Dossiers!$D$18),Dossiers!$A$18&amp;" · "&amp;Dossiers!$B$18,"")</f>
        <v/>
      </c>
      <c r="B813" s="18">
        <f>IF($A813="","",Paramètres!G57)</f>
        <v/>
      </c>
      <c r="C813" s="18">
        <f>IF($A813="","",IF(Paramètres!H57="","",Paramètres!H57))</f>
        <v/>
      </c>
      <c r="D813" s="18">
        <f>IF($A813="","",IF(Paramètres!I57="","",Paramètres!I57))</f>
        <v/>
      </c>
      <c r="E813" s="19">
        <f>IF($A813="","",IF(Paramètres!J57&amp;Paramètres!L57&amp;Paramètres!N57="",Dossiers!$D$18,MAX(IF(Paramètres!J57="",0,IF(Paramètres!K57="",NA(),IF(LEFT(TRIM(Paramètres!K57),1)="F",INDEX($F$761:$F$813,MATCH(Paramètres!J57,Paramètres!$G$5:$G$57,0)),INDEX($E$761:$E$813,MATCH(Paramètres!J57,Paramètres!$G$5:$G$57,0)))+IF(RIGHT(TRIM(Paramètres!K57),3)="Fin",1-$H813,IF(LEFT(TRIM(Paramètres!K57),1)="F",1,0)))),IF(Paramètres!L57="",0,IF(Paramètres!M57="",NA(),IF(LEFT(TRIM(Paramètres!M57),1)="F",INDEX($F$761:$F$813,MATCH(Paramètres!L57,Paramètres!$G$5:$G$57,0)),INDEX($E$761:$E$813,MATCH(Paramètres!L57,Paramètres!$G$5:$G$57,0)))+IF(RIGHT(TRIM(Paramètres!M57),3)="Fin",1-$H813,IF(LEFT(TRIM(Paramètres!M57),1)="F",1,0)))),IF(Paramètres!N57="",0,IF(Paramètres!O57="",NA(),IF(LEFT(TRIM(Paramètres!O57),1)="F",INDEX($F$761:$F$813,MATCH(Paramètres!N57,Paramètres!$G$5:$G$57,0)),INDEX($E$761:$E$813,MATCH(Paramètres!N57,Paramètres!$G$5:$G$57,0)))+IF(RIGHT(TRIM(Paramètres!O57),3)="Fin",1-$H813,IF(LEFT(TRIM(Paramètres!O57),1)="F",1,0)))))))</f>
        <v/>
      </c>
      <c r="F813" s="19">
        <f>IF($A813="","",E813+$H813-1)</f>
        <v/>
      </c>
      <c r="G813" s="18" t="n"/>
      <c r="H813" s="18">
        <f>IF($A813="","",IF(I813&lt;&gt;"",I813,Paramètres!B57))</f>
        <v/>
      </c>
      <c r="I813" s="18" t="n"/>
    </row>
    <row r="814">
      <c r="A814" s="16">
        <f>IF(ISNUMBER(Dossiers!$D$19),Dossiers!$E$19,"")</f>
        <v/>
      </c>
      <c r="B814" s="16">
        <f>IF($A814="","","Identifiant")</f>
        <v/>
      </c>
      <c r="C814" s="16">
        <f>IF($A814="","","Macro Etape")</f>
        <v/>
      </c>
      <c r="D814" s="16">
        <f>IF($A814="","","Etape")</f>
        <v/>
      </c>
      <c r="E814" s="17">
        <f>IF($A814="","","Début le")</f>
        <v/>
      </c>
      <c r="F814" s="17">
        <f>IF($A814="","","Fin prévue le")</f>
        <v/>
      </c>
      <c r="G814" s="16">
        <f>IF($A814="","","Statut")</f>
        <v/>
      </c>
      <c r="H814" s="16">
        <f>IF($A814="","","Durée (jours)")</f>
        <v/>
      </c>
      <c r="I814" s="16">
        <f>IF($A814="","","Durée particulière")</f>
        <v/>
      </c>
      <c r="J814" s="10">
        <f>IF($A814="","",HYPERLINK("#'Tableau de bord'!A1","↑ Tableau de bord"))</f>
        <v/>
      </c>
    </row>
    <row r="815">
      <c r="A815" s="18">
        <f>IF(ISNUMBER(Dossiers!$D$19),Dossiers!$A$19&amp;" · "&amp;Dossiers!$B$19,"")</f>
        <v/>
      </c>
      <c r="B815" s="18">
        <f>IF($A815="","",Paramètres!G5)</f>
        <v/>
      </c>
      <c r="C815" s="18">
        <f>IF($A815="","",IF(Paramètres!H5="","",Paramètres!H5))</f>
        <v/>
      </c>
      <c r="D815" s="18">
        <f>IF($A815="","",IF(Paramètres!I5="","",Paramètres!I5))</f>
        <v/>
      </c>
      <c r="E815" s="19">
        <f>IF($A815="","",MIN(E816:E819))</f>
        <v/>
      </c>
      <c r="F815" s="19">
        <f>IF($A815="","",MAX(F816:F819))</f>
        <v/>
      </c>
      <c r="G815" s="18" t="n"/>
      <c r="H815" s="18">
        <f>IF($A815="","",F815-E815+1)</f>
        <v/>
      </c>
      <c r="I815" s="18" t="n"/>
    </row>
    <row r="816">
      <c r="A816" s="18">
        <f>IF(ISNUMBER(Dossiers!$D$19),Dossiers!$A$19&amp;" · "&amp;Dossiers!$B$19,"")</f>
        <v/>
      </c>
      <c r="B816" s="18">
        <f>IF($A816="","",Paramètres!G6)</f>
        <v/>
      </c>
      <c r="C816" s="18">
        <f>IF($A816="","",IF(Paramètres!H6="","",Paramètres!H6))</f>
        <v/>
      </c>
      <c r="D816" s="18">
        <f>IF($A816="","",IF(Paramètres!I6="","",Paramètres!I6))</f>
        <v/>
      </c>
      <c r="E816" s="19">
        <f>IF($A816="","",IF(Paramètres!J6&amp;Paramètres!L6&amp;Paramètres!N6="",Dossiers!$D$19,MAX(IF(Paramètres!J6="",0,IF(Paramètres!K6="",NA(),IF(LEFT(TRIM(Paramètres!K6),1)="F",INDEX($F$815:$F$867,MATCH(Paramètres!J6,Paramètres!$G$5:$G$57,0)),INDEX($E$815:$E$867,MATCH(Paramètres!J6,Paramètres!$G$5:$G$57,0)))+IF(RIGHT(TRIM(Paramètres!K6),3)="Fin",1-$H816,IF(LEFT(TRIM(Paramètres!K6),1)="F",1,0)))),IF(Paramètres!L6="",0,IF(Paramètres!M6="",NA(),IF(LEFT(TRIM(Paramètres!M6),1)="F",INDEX($F$815:$F$867,MATCH(Paramètres!L6,Paramètres!$G$5:$G$57,0)),INDEX($E$815:$E$867,MATCH(Paramètres!L6,Paramètres!$G$5:$G$57,0)))+IF(RIGHT(TRIM(Paramètres!M6),3)="Fin",1-$H816,IF(LEFT(TRIM(Paramètres!M6),1)="F",1,0)))),IF(Paramètres!N6="",0,IF(Paramètres!O6="",NA(),IF(LEFT(TRIM(Paramètres!O6),1)="F",INDEX($F$815:$F$867,MATCH(Paramètres!N6,Paramètres!$G$5:$G$57,0)),INDEX($E$815:$E$867,MATCH(Paramètres!N6,Paramètres!$G$5:$G$57,0)))+IF(RIGHT(TRIM(Paramètres!O6),3)="Fin",1-$H816,IF(LEFT(TRIM(Paramètres!O6),1)="F",1,0)))))))</f>
        <v/>
      </c>
      <c r="F816" s="19">
        <f>IF($A816="","",E816+$H816-1)</f>
        <v/>
      </c>
      <c r="G816" s="18" t="n"/>
      <c r="H816" s="18">
        <f>IF($A816="","",IF(I816&lt;&gt;"",I816,Paramètres!B6))</f>
        <v/>
      </c>
      <c r="I816" s="18" t="n"/>
    </row>
    <row r="817">
      <c r="A817" s="18">
        <f>IF(ISNUMBER(Dossiers!$D$19),Dossiers!$A$19&amp;" · "&amp;Dossiers!$B$19,"")</f>
        <v/>
      </c>
      <c r="B817" s="18">
        <f>IF($A817="","",Paramètres!G7)</f>
        <v/>
      </c>
      <c r="C817" s="18">
        <f>IF($A817="","",IF(Paramètres!H7="","",Paramètres!H7))</f>
        <v/>
      </c>
      <c r="D817" s="18">
        <f>IF($A817="","",IF(Paramètres!I7="","",Paramètres!I7))</f>
        <v/>
      </c>
      <c r="E817" s="19">
        <f>IF($A817="","",IF(Paramètres!J7&amp;Paramètres!L7&amp;Paramètres!N7="",Dossiers!$D$19,MAX(IF(Paramètres!J7="",0,IF(Paramètres!K7="",NA(),IF(LEFT(TRIM(Paramètres!K7),1)="F",INDEX($F$815:$F$867,MATCH(Paramètres!J7,Paramètres!$G$5:$G$57,0)),INDEX($E$815:$E$867,MATCH(Paramètres!J7,Paramètres!$G$5:$G$57,0)))+IF(RIGHT(TRIM(Paramètres!K7),3)="Fin",1-$H817,IF(LEFT(TRIM(Paramètres!K7),1)="F",1,0)))),IF(Paramètres!L7="",0,IF(Paramètres!M7="",NA(),IF(LEFT(TRIM(Paramètres!M7),1)="F",INDEX($F$815:$F$867,MATCH(Paramètres!L7,Paramètres!$G$5:$G$57,0)),INDEX($E$815:$E$867,MATCH(Paramètres!L7,Paramètres!$G$5:$G$57,0)))+IF(RIGHT(TRIM(Paramètres!M7),3)="Fin",1-$H817,IF(LEFT(TRIM(Paramètres!M7),1)="F",1,0)))),IF(Paramètres!N7="",0,IF(Paramètres!O7="",NA(),IF(LEFT(TRIM(Paramètres!O7),1)="F",INDEX($F$815:$F$867,MATCH(Paramètres!N7,Paramètres!$G$5:$G$57,0)),INDEX($E$815:$E$867,MATCH(Paramètres!N7,Paramètres!$G$5:$G$57,0)))+IF(RIGHT(TRIM(Paramètres!O7),3)="Fin",1-$H817,IF(LEFT(TRIM(Paramètres!O7),1)="F",1,0)))))))</f>
        <v/>
      </c>
      <c r="F817" s="19">
        <f>IF($A817="","",E817+$H817-1)</f>
        <v/>
      </c>
      <c r="G817" s="18" t="n"/>
      <c r="H817" s="18">
        <f>IF($A817="","",IF(I817&lt;&gt;"",I817,Paramètres!B7))</f>
        <v/>
      </c>
      <c r="I817" s="18" t="n"/>
    </row>
    <row r="818">
      <c r="A818" s="18">
        <f>IF(ISNUMBER(Dossiers!$D$19),Dossiers!$A$19&amp;" · "&amp;Dossiers!$B$19,"")</f>
        <v/>
      </c>
      <c r="B818" s="18">
        <f>IF($A818="","",Paramètres!G8)</f>
        <v/>
      </c>
      <c r="C818" s="18">
        <f>IF($A818="","",IF(Paramètres!H8="","",Paramètres!H8))</f>
        <v/>
      </c>
      <c r="D818" s="18">
        <f>IF($A818="","",IF(Paramètres!I8="","",Paramètres!I8))</f>
        <v/>
      </c>
      <c r="E818" s="19">
        <f>IF($A818="","",IF(Paramètres!J8&amp;Paramètres!L8&amp;Paramètres!N8="",Dossiers!$D$19,MAX(IF(Paramètres!J8="",0,IF(Paramètres!K8="",NA(),IF(LEFT(TRIM(Paramètres!K8),1)="F",INDEX($F$815:$F$867,MATCH(Paramètres!J8,Paramètres!$G$5:$G$57,0)),INDEX($E$815:$E$867,MATCH(Paramètres!J8,Paramètres!$G$5:$G$57,0)))+IF(RIGHT(TRIM(Paramètres!K8),3)="Fin",1-$H818,IF(LEFT(TRIM(Paramètres!K8),1)="F",1,0)))),IF(Paramètres!L8="",0,IF(Paramètres!M8="",NA(),IF(LEFT(TRIM(Paramètres!M8),1)="F",INDEX($F$815:$F$867,MATCH(Paramètres!L8,Paramètres!$G$5:$G$57,0)),INDEX($E$815:$E$867,MATCH(Paramètres!L8,Paramètres!$G$5:$G$57,0)))+IF(RIGHT(TRIM(Paramètres!M8),3)="Fin",1-$H818,IF(LEFT(TRIM(Paramètres!M8),1)="F",1,0)))),IF(Paramètres!N8="",0,IF(Paramètres!O8="",NA(),IF(LEFT(TRIM(Paramètres!O8),1)="F",INDEX($F$815:$F$867,MATCH(Paramètres!N8,Paramètres!$G$5:$G$57,0)),INDEX($E$815:$E$867,MATCH(Paramètres!N8,Paramètres!$G$5:$G$57,0)))+IF(RIGHT(TRIM(Paramètres!O8),3)="Fin",1-$H818,IF(LEFT(TRIM(Paramètres!O8),1)="F",1,0)))))))</f>
        <v/>
      </c>
      <c r="F818" s="19">
        <f>IF($A818="","",E818+$H818-1)</f>
        <v/>
      </c>
      <c r="G818" s="18" t="n"/>
      <c r="H818" s="18">
        <f>IF($A818="","",IF(I818&lt;&gt;"",I818,Paramètres!B8))</f>
        <v/>
      </c>
      <c r="I818" s="18" t="n"/>
    </row>
    <row r="819">
      <c r="A819" s="18">
        <f>IF(ISNUMBER(Dossiers!$D$19),Dossiers!$A$19&amp;" · "&amp;Dossiers!$B$19,"")</f>
        <v/>
      </c>
      <c r="B819" s="18">
        <f>IF($A819="","",Paramètres!G9)</f>
        <v/>
      </c>
      <c r="C819" s="18">
        <f>IF($A819="","",IF(Paramètres!H9="","",Paramètres!H9))</f>
        <v/>
      </c>
      <c r="D819" s="18">
        <f>IF($A819="","",IF(Paramètres!I9="","",Paramètres!I9))</f>
        <v/>
      </c>
      <c r="E819" s="19">
        <f>IF($A819="","",IF(Paramètres!J9&amp;Paramètres!L9&amp;Paramètres!N9="",Dossiers!$D$19,MAX(IF(Paramètres!J9="",0,IF(Paramètres!K9="",NA(),IF(LEFT(TRIM(Paramètres!K9),1)="F",INDEX($F$815:$F$867,MATCH(Paramètres!J9,Paramètres!$G$5:$G$57,0)),INDEX($E$815:$E$867,MATCH(Paramètres!J9,Paramètres!$G$5:$G$57,0)))+IF(RIGHT(TRIM(Paramètres!K9),3)="Fin",1-$H819,IF(LEFT(TRIM(Paramètres!K9),1)="F",1,0)))),IF(Paramètres!L9="",0,IF(Paramètres!M9="",NA(),IF(LEFT(TRIM(Paramètres!M9),1)="F",INDEX($F$815:$F$867,MATCH(Paramètres!L9,Paramètres!$G$5:$G$57,0)),INDEX($E$815:$E$867,MATCH(Paramètres!L9,Paramètres!$G$5:$G$57,0)))+IF(RIGHT(TRIM(Paramètres!M9),3)="Fin",1-$H819,IF(LEFT(TRIM(Paramètres!M9),1)="F",1,0)))),IF(Paramètres!N9="",0,IF(Paramètres!O9="",NA(),IF(LEFT(TRIM(Paramètres!O9),1)="F",INDEX($F$815:$F$867,MATCH(Paramètres!N9,Paramètres!$G$5:$G$57,0)),INDEX($E$815:$E$867,MATCH(Paramètres!N9,Paramètres!$G$5:$G$57,0)))+IF(RIGHT(TRIM(Paramètres!O9),3)="Fin",1-$H819,IF(LEFT(TRIM(Paramètres!O9),1)="F",1,0)))))))</f>
        <v/>
      </c>
      <c r="F819" s="19">
        <f>IF($A819="","",E819+$H819-1)</f>
        <v/>
      </c>
      <c r="G819" s="18" t="n"/>
      <c r="H819" s="18">
        <f>IF($A819="","",IF(I819&lt;&gt;"",I819,Paramètres!B9))</f>
        <v/>
      </c>
      <c r="I819" s="18" t="n"/>
    </row>
    <row r="820">
      <c r="A820" s="18">
        <f>IF(ISNUMBER(Dossiers!$D$19),Dossiers!$A$19&amp;" · "&amp;Dossiers!$B$19,"")</f>
        <v/>
      </c>
      <c r="B820" s="18">
        <f>IF($A820="","",Paramètres!G10)</f>
        <v/>
      </c>
      <c r="C820" s="18">
        <f>IF($A820="","",IF(Paramètres!H10="","",Paramètres!H10))</f>
        <v/>
      </c>
      <c r="D820" s="18">
        <f>IF($A820="","",IF(Paramètres!I10="","",Paramètres!I10))</f>
        <v/>
      </c>
      <c r="E820" s="19">
        <f>IF($A820="","",MIN(E821:E824))</f>
        <v/>
      </c>
      <c r="F820" s="19">
        <f>IF($A820="","",MAX(F821:F824))</f>
        <v/>
      </c>
      <c r="G820" s="18" t="n"/>
      <c r="H820" s="18">
        <f>IF($A820="","",F820-E820+1)</f>
        <v/>
      </c>
      <c r="I820" s="18" t="n"/>
    </row>
    <row r="821">
      <c r="A821" s="18">
        <f>IF(ISNUMBER(Dossiers!$D$19),Dossiers!$A$19&amp;" · "&amp;Dossiers!$B$19,"")</f>
        <v/>
      </c>
      <c r="B821" s="18">
        <f>IF($A821="","",Paramètres!G11)</f>
        <v/>
      </c>
      <c r="C821" s="18">
        <f>IF($A821="","",IF(Paramètres!H11="","",Paramètres!H11))</f>
        <v/>
      </c>
      <c r="D821" s="18">
        <f>IF($A821="","",IF(Paramètres!I11="","",Paramètres!I11))</f>
        <v/>
      </c>
      <c r="E821" s="19">
        <f>IF($A821="","",IF(Paramètres!J11&amp;Paramètres!L11&amp;Paramètres!N11="",Dossiers!$D$19,MAX(IF(Paramètres!J11="",0,IF(Paramètres!K11="",NA(),IF(LEFT(TRIM(Paramètres!K11),1)="F",INDEX($F$815:$F$867,MATCH(Paramètres!J11,Paramètres!$G$5:$G$57,0)),INDEX($E$815:$E$867,MATCH(Paramètres!J11,Paramètres!$G$5:$G$57,0)))+IF(RIGHT(TRIM(Paramètres!K11),3)="Fin",1-$H821,IF(LEFT(TRIM(Paramètres!K11),1)="F",1,0)))),IF(Paramètres!L11="",0,IF(Paramètres!M11="",NA(),IF(LEFT(TRIM(Paramètres!M11),1)="F",INDEX($F$815:$F$867,MATCH(Paramètres!L11,Paramètres!$G$5:$G$57,0)),INDEX($E$815:$E$867,MATCH(Paramètres!L11,Paramètres!$G$5:$G$57,0)))+IF(RIGHT(TRIM(Paramètres!M11),3)="Fin",1-$H821,IF(LEFT(TRIM(Paramètres!M11),1)="F",1,0)))),IF(Paramètres!N11="",0,IF(Paramètres!O11="",NA(),IF(LEFT(TRIM(Paramètres!O11),1)="F",INDEX($F$815:$F$867,MATCH(Paramètres!N11,Paramètres!$G$5:$G$57,0)),INDEX($E$815:$E$867,MATCH(Paramètres!N11,Paramètres!$G$5:$G$57,0)))+IF(RIGHT(TRIM(Paramètres!O11),3)="Fin",1-$H821,IF(LEFT(TRIM(Paramètres!O11),1)="F",1,0)))))))</f>
        <v/>
      </c>
      <c r="F821" s="19">
        <f>IF($A821="","",E821+$H821-1)</f>
        <v/>
      </c>
      <c r="G821" s="18" t="n"/>
      <c r="H821" s="18">
        <f>IF($A821="","",IF(I821&lt;&gt;"",I821,Paramètres!B11))</f>
        <v/>
      </c>
      <c r="I821" s="18" t="n"/>
    </row>
    <row r="822">
      <c r="A822" s="18">
        <f>IF(ISNUMBER(Dossiers!$D$19),Dossiers!$A$19&amp;" · "&amp;Dossiers!$B$19,"")</f>
        <v/>
      </c>
      <c r="B822" s="18">
        <f>IF($A822="","",Paramètres!G12)</f>
        <v/>
      </c>
      <c r="C822" s="18">
        <f>IF($A822="","",IF(Paramètres!H12="","",Paramètres!H12))</f>
        <v/>
      </c>
      <c r="D822" s="18">
        <f>IF($A822="","",IF(Paramètres!I12="","",Paramètres!I12))</f>
        <v/>
      </c>
      <c r="E822" s="19">
        <f>IF($A822="","",IF(Paramètres!J12&amp;Paramètres!L12&amp;Paramètres!N12="",Dossiers!$D$19,MAX(IF(Paramètres!J12="",0,IF(Paramètres!K12="",NA(),IF(LEFT(TRIM(Paramètres!K12),1)="F",INDEX($F$815:$F$867,MATCH(Paramètres!J12,Paramètres!$G$5:$G$57,0)),INDEX($E$815:$E$867,MATCH(Paramètres!J12,Paramètres!$G$5:$G$57,0)))+IF(RIGHT(TRIM(Paramètres!K12),3)="Fin",1-$H822,IF(LEFT(TRIM(Paramètres!K12),1)="F",1,0)))),IF(Paramètres!L12="",0,IF(Paramètres!M12="",NA(),IF(LEFT(TRIM(Paramètres!M12),1)="F",INDEX($F$815:$F$867,MATCH(Paramètres!L12,Paramètres!$G$5:$G$57,0)),INDEX($E$815:$E$867,MATCH(Paramètres!L12,Paramètres!$G$5:$G$57,0)))+IF(RIGHT(TRIM(Paramètres!M12),3)="Fin",1-$H822,IF(LEFT(TRIM(Paramètres!M12),1)="F",1,0)))),IF(Paramètres!N12="",0,IF(Paramètres!O12="",NA(),IF(LEFT(TRIM(Paramètres!O12),1)="F",INDEX($F$815:$F$867,MATCH(Paramètres!N12,Paramètres!$G$5:$G$57,0)),INDEX($E$815:$E$867,MATCH(Paramètres!N12,Paramètres!$G$5:$G$57,0)))+IF(RIGHT(TRIM(Paramètres!O12),3)="Fin",1-$H822,IF(LEFT(TRIM(Paramètres!O12),1)="F",1,0)))))))</f>
        <v/>
      </c>
      <c r="F822" s="19">
        <f>IF($A822="","",E822+$H822-1)</f>
        <v/>
      </c>
      <c r="G822" s="18" t="n"/>
      <c r="H822" s="18">
        <f>IF($A822="","",IF(I822&lt;&gt;"",I822,Paramètres!B12))</f>
        <v/>
      </c>
      <c r="I822" s="18" t="n"/>
    </row>
    <row r="823">
      <c r="A823" s="18">
        <f>IF(ISNUMBER(Dossiers!$D$19),Dossiers!$A$19&amp;" · "&amp;Dossiers!$B$19,"")</f>
        <v/>
      </c>
      <c r="B823" s="18">
        <f>IF($A823="","",Paramètres!G13)</f>
        <v/>
      </c>
      <c r="C823" s="18">
        <f>IF($A823="","",IF(Paramètres!H13="","",Paramètres!H13))</f>
        <v/>
      </c>
      <c r="D823" s="18">
        <f>IF($A823="","",IF(Paramètres!I13="","",Paramètres!I13))</f>
        <v/>
      </c>
      <c r="E823" s="19">
        <f>IF($A823="","",IF(Paramètres!J13&amp;Paramètres!L13&amp;Paramètres!N13="",Dossiers!$D$19,MAX(IF(Paramètres!J13="",0,IF(Paramètres!K13="",NA(),IF(LEFT(TRIM(Paramètres!K13),1)="F",INDEX($F$815:$F$867,MATCH(Paramètres!J13,Paramètres!$G$5:$G$57,0)),INDEX($E$815:$E$867,MATCH(Paramètres!J13,Paramètres!$G$5:$G$57,0)))+IF(RIGHT(TRIM(Paramètres!K13),3)="Fin",1-$H823,IF(LEFT(TRIM(Paramètres!K13),1)="F",1,0)))),IF(Paramètres!L13="",0,IF(Paramètres!M13="",NA(),IF(LEFT(TRIM(Paramètres!M13),1)="F",INDEX($F$815:$F$867,MATCH(Paramètres!L13,Paramètres!$G$5:$G$57,0)),INDEX($E$815:$E$867,MATCH(Paramètres!L13,Paramètres!$G$5:$G$57,0)))+IF(RIGHT(TRIM(Paramètres!M13),3)="Fin",1-$H823,IF(LEFT(TRIM(Paramètres!M13),1)="F",1,0)))),IF(Paramètres!N13="",0,IF(Paramètres!O13="",NA(),IF(LEFT(TRIM(Paramètres!O13),1)="F",INDEX($F$815:$F$867,MATCH(Paramètres!N13,Paramètres!$G$5:$G$57,0)),INDEX($E$815:$E$867,MATCH(Paramètres!N13,Paramètres!$G$5:$G$57,0)))+IF(RIGHT(TRIM(Paramètres!O13),3)="Fin",1-$H823,IF(LEFT(TRIM(Paramètres!O13),1)="F",1,0)))))))</f>
        <v/>
      </c>
      <c r="F823" s="19">
        <f>IF($A823="","",E823+$H823-1)</f>
        <v/>
      </c>
      <c r="G823" s="18" t="n"/>
      <c r="H823" s="18">
        <f>IF($A823="","",IF(I823&lt;&gt;"",I823,Paramètres!B13))</f>
        <v/>
      </c>
      <c r="I823" s="18" t="n"/>
    </row>
    <row r="824">
      <c r="A824" s="18">
        <f>IF(ISNUMBER(Dossiers!$D$19),Dossiers!$A$19&amp;" · "&amp;Dossiers!$B$19,"")</f>
        <v/>
      </c>
      <c r="B824" s="18">
        <f>IF($A824="","",Paramètres!G14)</f>
        <v/>
      </c>
      <c r="C824" s="18">
        <f>IF($A824="","",IF(Paramètres!H14="","",Paramètres!H14))</f>
        <v/>
      </c>
      <c r="D824" s="18">
        <f>IF($A824="","",IF(Paramètres!I14="","",Paramètres!I14))</f>
        <v/>
      </c>
      <c r="E824" s="19">
        <f>IF($A824="","",IF(Paramètres!J14&amp;Paramètres!L14&amp;Paramètres!N14="",Dossiers!$D$19,MAX(IF(Paramètres!J14="",0,IF(Paramètres!K14="",NA(),IF(LEFT(TRIM(Paramètres!K14),1)="F",INDEX($F$815:$F$867,MATCH(Paramètres!J14,Paramètres!$G$5:$G$57,0)),INDEX($E$815:$E$867,MATCH(Paramètres!J14,Paramètres!$G$5:$G$57,0)))+IF(RIGHT(TRIM(Paramètres!K14),3)="Fin",1-$H824,IF(LEFT(TRIM(Paramètres!K14),1)="F",1,0)))),IF(Paramètres!L14="",0,IF(Paramètres!M14="",NA(),IF(LEFT(TRIM(Paramètres!M14),1)="F",INDEX($F$815:$F$867,MATCH(Paramètres!L14,Paramètres!$G$5:$G$57,0)),INDEX($E$815:$E$867,MATCH(Paramètres!L14,Paramètres!$G$5:$G$57,0)))+IF(RIGHT(TRIM(Paramètres!M14),3)="Fin",1-$H824,IF(LEFT(TRIM(Paramètres!M14),1)="F",1,0)))),IF(Paramètres!N14="",0,IF(Paramètres!O14="",NA(),IF(LEFT(TRIM(Paramètres!O14),1)="F",INDEX($F$815:$F$867,MATCH(Paramètres!N14,Paramètres!$G$5:$G$57,0)),INDEX($E$815:$E$867,MATCH(Paramètres!N14,Paramètres!$G$5:$G$57,0)))+IF(RIGHT(TRIM(Paramètres!O14),3)="Fin",1-$H824,IF(LEFT(TRIM(Paramètres!O14),1)="F",1,0)))))))</f>
        <v/>
      </c>
      <c r="F824" s="19">
        <f>IF($A824="","",E824+$H824-1)</f>
        <v/>
      </c>
      <c r="G824" s="18" t="n"/>
      <c r="H824" s="18">
        <f>IF($A824="","",IF(I824&lt;&gt;"",I824,Paramètres!B14))</f>
        <v/>
      </c>
      <c r="I824" s="18" t="n"/>
    </row>
    <row r="825">
      <c r="A825" s="18">
        <f>IF(ISNUMBER(Dossiers!$D$19),Dossiers!$A$19&amp;" · "&amp;Dossiers!$B$19,"")</f>
        <v/>
      </c>
      <c r="B825" s="18">
        <f>IF($A825="","",Paramètres!G15)</f>
        <v/>
      </c>
      <c r="C825" s="18">
        <f>IF($A825="","",IF(Paramètres!H15="","",Paramètres!H15))</f>
        <v/>
      </c>
      <c r="D825" s="18">
        <f>IF($A825="","",IF(Paramètres!I15="","",Paramètres!I15))</f>
        <v/>
      </c>
      <c r="E825" s="19">
        <f>IF($A825="","",MIN(E826:E841))</f>
        <v/>
      </c>
      <c r="F825" s="19">
        <f>IF($A825="","",MAX(F826:F841))</f>
        <v/>
      </c>
      <c r="G825" s="18" t="n"/>
      <c r="H825" s="18">
        <f>IF($A825="","",F825-E825+1)</f>
        <v/>
      </c>
      <c r="I825" s="18" t="n"/>
    </row>
    <row r="826">
      <c r="A826" s="18">
        <f>IF(ISNUMBER(Dossiers!$D$19),Dossiers!$A$19&amp;" · "&amp;Dossiers!$B$19,"")</f>
        <v/>
      </c>
      <c r="B826" s="18">
        <f>IF($A826="","",Paramètres!G16)</f>
        <v/>
      </c>
      <c r="C826" s="18">
        <f>IF($A826="","",IF(Paramètres!H16="","",Paramètres!H16))</f>
        <v/>
      </c>
      <c r="D826" s="18">
        <f>IF($A826="","",IF(Paramètres!I16="","",Paramètres!I16))</f>
        <v/>
      </c>
      <c r="E826" s="19">
        <f>IF($A826="","",IF(Paramètres!J16&amp;Paramètres!L16&amp;Paramètres!N16="",Dossiers!$D$19,MAX(IF(Paramètres!J16="",0,IF(Paramètres!K16="",NA(),IF(LEFT(TRIM(Paramètres!K16),1)="F",INDEX($F$815:$F$867,MATCH(Paramètres!J16,Paramètres!$G$5:$G$57,0)),INDEX($E$815:$E$867,MATCH(Paramètres!J16,Paramètres!$G$5:$G$57,0)))+IF(RIGHT(TRIM(Paramètres!K16),3)="Fin",1-$H826,IF(LEFT(TRIM(Paramètres!K16),1)="F",1,0)))),IF(Paramètres!L16="",0,IF(Paramètres!M16="",NA(),IF(LEFT(TRIM(Paramètres!M16),1)="F",INDEX($F$815:$F$867,MATCH(Paramètres!L16,Paramètres!$G$5:$G$57,0)),INDEX($E$815:$E$867,MATCH(Paramètres!L16,Paramètres!$G$5:$G$57,0)))+IF(RIGHT(TRIM(Paramètres!M16),3)="Fin",1-$H826,IF(LEFT(TRIM(Paramètres!M16),1)="F",1,0)))),IF(Paramètres!N16="",0,IF(Paramètres!O16="",NA(),IF(LEFT(TRIM(Paramètres!O16),1)="F",INDEX($F$815:$F$867,MATCH(Paramètres!N16,Paramètres!$G$5:$G$57,0)),INDEX($E$815:$E$867,MATCH(Paramètres!N16,Paramètres!$G$5:$G$57,0)))+IF(RIGHT(TRIM(Paramètres!O16),3)="Fin",1-$H826,IF(LEFT(TRIM(Paramètres!O16),1)="F",1,0)))))))</f>
        <v/>
      </c>
      <c r="F826" s="19">
        <f>IF($A826="","",E826+$H826-1)</f>
        <v/>
      </c>
      <c r="G826" s="18" t="n"/>
      <c r="H826" s="18">
        <f>IF($A826="","",IF(I826&lt;&gt;"",I826,Paramètres!B16))</f>
        <v/>
      </c>
      <c r="I826" s="18" t="n"/>
    </row>
    <row r="827">
      <c r="A827" s="18">
        <f>IF(ISNUMBER(Dossiers!$D$19),Dossiers!$A$19&amp;" · "&amp;Dossiers!$B$19,"")</f>
        <v/>
      </c>
      <c r="B827" s="18">
        <f>IF($A827="","",Paramètres!G17)</f>
        <v/>
      </c>
      <c r="C827" s="18">
        <f>IF($A827="","",IF(Paramètres!H17="","",Paramètres!H17))</f>
        <v/>
      </c>
      <c r="D827" s="18">
        <f>IF($A827="","",IF(Paramètres!I17="","",Paramètres!I17))</f>
        <v/>
      </c>
      <c r="E827" s="19">
        <f>IF($A827="","",IF(Paramètres!J17&amp;Paramètres!L17&amp;Paramètres!N17="",Dossiers!$D$19,MAX(IF(Paramètres!J17="",0,IF(Paramètres!K17="",NA(),IF(LEFT(TRIM(Paramètres!K17),1)="F",INDEX($F$815:$F$867,MATCH(Paramètres!J17,Paramètres!$G$5:$G$57,0)),INDEX($E$815:$E$867,MATCH(Paramètres!J17,Paramètres!$G$5:$G$57,0)))+IF(RIGHT(TRIM(Paramètres!K17),3)="Fin",1-$H827,IF(LEFT(TRIM(Paramètres!K17),1)="F",1,0)))),IF(Paramètres!L17="",0,IF(Paramètres!M17="",NA(),IF(LEFT(TRIM(Paramètres!M17),1)="F",INDEX($F$815:$F$867,MATCH(Paramètres!L17,Paramètres!$G$5:$G$57,0)),INDEX($E$815:$E$867,MATCH(Paramètres!L17,Paramètres!$G$5:$G$57,0)))+IF(RIGHT(TRIM(Paramètres!M17),3)="Fin",1-$H827,IF(LEFT(TRIM(Paramètres!M17),1)="F",1,0)))),IF(Paramètres!N17="",0,IF(Paramètres!O17="",NA(),IF(LEFT(TRIM(Paramètres!O17),1)="F",INDEX($F$815:$F$867,MATCH(Paramètres!N17,Paramètres!$G$5:$G$57,0)),INDEX($E$815:$E$867,MATCH(Paramètres!N17,Paramètres!$G$5:$G$57,0)))+IF(RIGHT(TRIM(Paramètres!O17),3)="Fin",1-$H827,IF(LEFT(TRIM(Paramètres!O17),1)="F",1,0)))))))</f>
        <v/>
      </c>
      <c r="F827" s="19">
        <f>IF($A827="","",E827+$H827-1)</f>
        <v/>
      </c>
      <c r="G827" s="18" t="n"/>
      <c r="H827" s="18">
        <f>IF($A827="","",IF(I827&lt;&gt;"",I827,Paramètres!B17))</f>
        <v/>
      </c>
      <c r="I827" s="18" t="n"/>
    </row>
    <row r="828">
      <c r="A828" s="18">
        <f>IF(ISNUMBER(Dossiers!$D$19),Dossiers!$A$19&amp;" · "&amp;Dossiers!$B$19,"")</f>
        <v/>
      </c>
      <c r="B828" s="18">
        <f>IF($A828="","",Paramètres!G18)</f>
        <v/>
      </c>
      <c r="C828" s="18">
        <f>IF($A828="","",IF(Paramètres!H18="","",Paramètres!H18))</f>
        <v/>
      </c>
      <c r="D828" s="18">
        <f>IF($A828="","",IF(Paramètres!I18="","",Paramètres!I18))</f>
        <v/>
      </c>
      <c r="E828" s="19">
        <f>IF($A828="","",IF(Paramètres!J18&amp;Paramètres!L18&amp;Paramètres!N18="",Dossiers!$D$19,MAX(IF(Paramètres!J18="",0,IF(Paramètres!K18="",NA(),IF(LEFT(TRIM(Paramètres!K18),1)="F",INDEX($F$815:$F$867,MATCH(Paramètres!J18,Paramètres!$G$5:$G$57,0)),INDEX($E$815:$E$867,MATCH(Paramètres!J18,Paramètres!$G$5:$G$57,0)))+IF(RIGHT(TRIM(Paramètres!K18),3)="Fin",1-$H828,IF(LEFT(TRIM(Paramètres!K18),1)="F",1,0)))),IF(Paramètres!L18="",0,IF(Paramètres!M18="",NA(),IF(LEFT(TRIM(Paramètres!M18),1)="F",INDEX($F$815:$F$867,MATCH(Paramètres!L18,Paramètres!$G$5:$G$57,0)),INDEX($E$815:$E$867,MATCH(Paramètres!L18,Paramètres!$G$5:$G$57,0)))+IF(RIGHT(TRIM(Paramètres!M18),3)="Fin",1-$H828,IF(LEFT(TRIM(Paramètres!M18),1)="F",1,0)))),IF(Paramètres!N18="",0,IF(Paramètres!O18="",NA(),IF(LEFT(TRIM(Paramètres!O18),1)="F",INDEX($F$815:$F$867,MATCH(Paramètres!N18,Paramètres!$G$5:$G$57,0)),INDEX($E$815:$E$867,MATCH(Paramètres!N18,Paramètres!$G$5:$G$57,0)))+IF(RIGHT(TRIM(Paramètres!O18),3)="Fin",1-$H828,IF(LEFT(TRIM(Paramètres!O18),1)="F",1,0)))))))</f>
        <v/>
      </c>
      <c r="F828" s="19">
        <f>IF($A828="","",E828+$H828-1)</f>
        <v/>
      </c>
      <c r="G828" s="18" t="n"/>
      <c r="H828" s="18">
        <f>IF($A828="","",IF(I828&lt;&gt;"",I828,Paramètres!B18))</f>
        <v/>
      </c>
      <c r="I828" s="18" t="n"/>
    </row>
    <row r="829">
      <c r="A829" s="18">
        <f>IF(ISNUMBER(Dossiers!$D$19),Dossiers!$A$19&amp;" · "&amp;Dossiers!$B$19,"")</f>
        <v/>
      </c>
      <c r="B829" s="18">
        <f>IF($A829="","",Paramètres!G19)</f>
        <v/>
      </c>
      <c r="C829" s="18">
        <f>IF($A829="","",IF(Paramètres!H19="","",Paramètres!H19))</f>
        <v/>
      </c>
      <c r="D829" s="18">
        <f>IF($A829="","",IF(Paramètres!I19="","",Paramètres!I19))</f>
        <v/>
      </c>
      <c r="E829" s="19">
        <f>IF($A829="","",IF(Paramètres!J19&amp;Paramètres!L19&amp;Paramètres!N19="",Dossiers!$D$19,MAX(IF(Paramètres!J19="",0,IF(Paramètres!K19="",NA(),IF(LEFT(TRIM(Paramètres!K19),1)="F",INDEX($F$815:$F$867,MATCH(Paramètres!J19,Paramètres!$G$5:$G$57,0)),INDEX($E$815:$E$867,MATCH(Paramètres!J19,Paramètres!$G$5:$G$57,0)))+IF(RIGHT(TRIM(Paramètres!K19),3)="Fin",1-$H829,IF(LEFT(TRIM(Paramètres!K19),1)="F",1,0)))),IF(Paramètres!L19="",0,IF(Paramètres!M19="",NA(),IF(LEFT(TRIM(Paramètres!M19),1)="F",INDEX($F$815:$F$867,MATCH(Paramètres!L19,Paramètres!$G$5:$G$57,0)),INDEX($E$815:$E$867,MATCH(Paramètres!L19,Paramètres!$G$5:$G$57,0)))+IF(RIGHT(TRIM(Paramètres!M19),3)="Fin",1-$H829,IF(LEFT(TRIM(Paramètres!M19),1)="F",1,0)))),IF(Paramètres!N19="",0,IF(Paramètres!O19="",NA(),IF(LEFT(TRIM(Paramètres!O19),1)="F",INDEX($F$815:$F$867,MATCH(Paramètres!N19,Paramètres!$G$5:$G$57,0)),INDEX($E$815:$E$867,MATCH(Paramètres!N19,Paramètres!$G$5:$G$57,0)))+IF(RIGHT(TRIM(Paramètres!O19),3)="Fin",1-$H829,IF(LEFT(TRIM(Paramètres!O19),1)="F",1,0)))))))</f>
        <v/>
      </c>
      <c r="F829" s="19">
        <f>IF($A829="","",E829+$H829-1)</f>
        <v/>
      </c>
      <c r="G829" s="18" t="n"/>
      <c r="H829" s="18">
        <f>IF($A829="","",IF(I829&lt;&gt;"",I829,Paramètres!B19))</f>
        <v/>
      </c>
      <c r="I829" s="18" t="n"/>
    </row>
    <row r="830">
      <c r="A830" s="18">
        <f>IF(ISNUMBER(Dossiers!$D$19),Dossiers!$A$19&amp;" · "&amp;Dossiers!$B$19,"")</f>
        <v/>
      </c>
      <c r="B830" s="18">
        <f>IF($A830="","",Paramètres!G20)</f>
        <v/>
      </c>
      <c r="C830" s="18">
        <f>IF($A830="","",IF(Paramètres!H20="","",Paramètres!H20))</f>
        <v/>
      </c>
      <c r="D830" s="18">
        <f>IF($A830="","",IF(Paramètres!I20="","",Paramètres!I20))</f>
        <v/>
      </c>
      <c r="E830" s="19">
        <f>IF($A830="","",IF(Paramètres!J20&amp;Paramètres!L20&amp;Paramètres!N20="",Dossiers!$D$19,MAX(IF(Paramètres!J20="",0,IF(Paramètres!K20="",NA(),IF(LEFT(TRIM(Paramètres!K20),1)="F",INDEX($F$815:$F$867,MATCH(Paramètres!J20,Paramètres!$G$5:$G$57,0)),INDEX($E$815:$E$867,MATCH(Paramètres!J20,Paramètres!$G$5:$G$57,0)))+IF(RIGHT(TRIM(Paramètres!K20),3)="Fin",1-$H830,IF(LEFT(TRIM(Paramètres!K20),1)="F",1,0)))),IF(Paramètres!L20="",0,IF(Paramètres!M20="",NA(),IF(LEFT(TRIM(Paramètres!M20),1)="F",INDEX($F$815:$F$867,MATCH(Paramètres!L20,Paramètres!$G$5:$G$57,0)),INDEX($E$815:$E$867,MATCH(Paramètres!L20,Paramètres!$G$5:$G$57,0)))+IF(RIGHT(TRIM(Paramètres!M20),3)="Fin",1-$H830,IF(LEFT(TRIM(Paramètres!M20),1)="F",1,0)))),IF(Paramètres!N20="",0,IF(Paramètres!O20="",NA(),IF(LEFT(TRIM(Paramètres!O20),1)="F",INDEX($F$815:$F$867,MATCH(Paramètres!N20,Paramètres!$G$5:$G$57,0)),INDEX($E$815:$E$867,MATCH(Paramètres!N20,Paramètres!$G$5:$G$57,0)))+IF(RIGHT(TRIM(Paramètres!O20),3)="Fin",1-$H830,IF(LEFT(TRIM(Paramètres!O20),1)="F",1,0)))))))</f>
        <v/>
      </c>
      <c r="F830" s="19">
        <f>IF($A830="","",E830+$H830-1)</f>
        <v/>
      </c>
      <c r="G830" s="18" t="n"/>
      <c r="H830" s="18">
        <f>IF($A830="","",IF(I830&lt;&gt;"",I830,Paramètres!B20))</f>
        <v/>
      </c>
      <c r="I830" s="18" t="n"/>
    </row>
    <row r="831">
      <c r="A831" s="18">
        <f>IF(ISNUMBER(Dossiers!$D$19),Dossiers!$A$19&amp;" · "&amp;Dossiers!$B$19,"")</f>
        <v/>
      </c>
      <c r="B831" s="18">
        <f>IF($A831="","",Paramètres!G21)</f>
        <v/>
      </c>
      <c r="C831" s="18">
        <f>IF($A831="","",IF(Paramètres!H21="","",Paramètres!H21))</f>
        <v/>
      </c>
      <c r="D831" s="18">
        <f>IF($A831="","",IF(Paramètres!I21="","",Paramètres!I21))</f>
        <v/>
      </c>
      <c r="E831" s="19">
        <f>IF($A831="","",IF(Paramètres!J21&amp;Paramètres!L21&amp;Paramètres!N21="",Dossiers!$D$19,MAX(IF(Paramètres!J21="",0,IF(Paramètres!K21="",NA(),IF(LEFT(TRIM(Paramètres!K21),1)="F",INDEX($F$815:$F$867,MATCH(Paramètres!J21,Paramètres!$G$5:$G$57,0)),INDEX($E$815:$E$867,MATCH(Paramètres!J21,Paramètres!$G$5:$G$57,0)))+IF(RIGHT(TRIM(Paramètres!K21),3)="Fin",1-$H831,IF(LEFT(TRIM(Paramètres!K21),1)="F",1,0)))),IF(Paramètres!L21="",0,IF(Paramètres!M21="",NA(),IF(LEFT(TRIM(Paramètres!M21),1)="F",INDEX($F$815:$F$867,MATCH(Paramètres!L21,Paramètres!$G$5:$G$57,0)),INDEX($E$815:$E$867,MATCH(Paramètres!L21,Paramètres!$G$5:$G$57,0)))+IF(RIGHT(TRIM(Paramètres!M21),3)="Fin",1-$H831,IF(LEFT(TRIM(Paramètres!M21),1)="F",1,0)))),IF(Paramètres!N21="",0,IF(Paramètres!O21="",NA(),IF(LEFT(TRIM(Paramètres!O21),1)="F",INDEX($F$815:$F$867,MATCH(Paramètres!N21,Paramètres!$G$5:$G$57,0)),INDEX($E$815:$E$867,MATCH(Paramètres!N21,Paramètres!$G$5:$G$57,0)))+IF(RIGHT(TRIM(Paramètres!O21),3)="Fin",1-$H831,IF(LEFT(TRIM(Paramètres!O21),1)="F",1,0)))))))</f>
        <v/>
      </c>
      <c r="F831" s="19">
        <f>IF($A831="","",E831+$H831-1)</f>
        <v/>
      </c>
      <c r="G831" s="18" t="n"/>
      <c r="H831" s="18">
        <f>IF($A831="","",IF(I831&lt;&gt;"",I831,Paramètres!B21))</f>
        <v/>
      </c>
      <c r="I831" s="18" t="n"/>
    </row>
    <row r="832">
      <c r="A832" s="18">
        <f>IF(ISNUMBER(Dossiers!$D$19),Dossiers!$A$19&amp;" · "&amp;Dossiers!$B$19,"")</f>
        <v/>
      </c>
      <c r="B832" s="18">
        <f>IF($A832="","",Paramètres!G22)</f>
        <v/>
      </c>
      <c r="C832" s="18">
        <f>IF($A832="","",IF(Paramètres!H22="","",Paramètres!H22))</f>
        <v/>
      </c>
      <c r="D832" s="18">
        <f>IF($A832="","",IF(Paramètres!I22="","",Paramètres!I22))</f>
        <v/>
      </c>
      <c r="E832" s="19">
        <f>IF($A832="","",IF(Paramètres!J22&amp;Paramètres!L22&amp;Paramètres!N22="",Dossiers!$D$19,MAX(IF(Paramètres!J22="",0,IF(Paramètres!K22="",NA(),IF(LEFT(TRIM(Paramètres!K22),1)="F",INDEX($F$815:$F$867,MATCH(Paramètres!J22,Paramètres!$G$5:$G$57,0)),INDEX($E$815:$E$867,MATCH(Paramètres!J22,Paramètres!$G$5:$G$57,0)))+IF(RIGHT(TRIM(Paramètres!K22),3)="Fin",1-$H832,IF(LEFT(TRIM(Paramètres!K22),1)="F",1,0)))),IF(Paramètres!L22="",0,IF(Paramètres!M22="",NA(),IF(LEFT(TRIM(Paramètres!M22),1)="F",INDEX($F$815:$F$867,MATCH(Paramètres!L22,Paramètres!$G$5:$G$57,0)),INDEX($E$815:$E$867,MATCH(Paramètres!L22,Paramètres!$G$5:$G$57,0)))+IF(RIGHT(TRIM(Paramètres!M22),3)="Fin",1-$H832,IF(LEFT(TRIM(Paramètres!M22),1)="F",1,0)))),IF(Paramètres!N22="",0,IF(Paramètres!O22="",NA(),IF(LEFT(TRIM(Paramètres!O22),1)="F",INDEX($F$815:$F$867,MATCH(Paramètres!N22,Paramètres!$G$5:$G$57,0)),INDEX($E$815:$E$867,MATCH(Paramètres!N22,Paramètres!$G$5:$G$57,0)))+IF(RIGHT(TRIM(Paramètres!O22),3)="Fin",1-$H832,IF(LEFT(TRIM(Paramètres!O22),1)="F",1,0)))))))</f>
        <v/>
      </c>
      <c r="F832" s="19">
        <f>IF($A832="","",E832+$H832-1)</f>
        <v/>
      </c>
      <c r="G832" s="18" t="n"/>
      <c r="H832" s="18">
        <f>IF($A832="","",IF(I832&lt;&gt;"",I832,Paramètres!B22))</f>
        <v/>
      </c>
      <c r="I832" s="18" t="n"/>
    </row>
    <row r="833">
      <c r="A833" s="18">
        <f>IF(ISNUMBER(Dossiers!$D$19),Dossiers!$A$19&amp;" · "&amp;Dossiers!$B$19,"")</f>
        <v/>
      </c>
      <c r="B833" s="18">
        <f>IF($A833="","",Paramètres!G23)</f>
        <v/>
      </c>
      <c r="C833" s="18">
        <f>IF($A833="","",IF(Paramètres!H23="","",Paramètres!H23))</f>
        <v/>
      </c>
      <c r="D833" s="18">
        <f>IF($A833="","",IF(Paramètres!I23="","",Paramètres!I23))</f>
        <v/>
      </c>
      <c r="E833" s="19">
        <f>IF($A833="","",IF(Paramètres!J23&amp;Paramètres!L23&amp;Paramètres!N23="",Dossiers!$D$19,MAX(IF(Paramètres!J23="",0,IF(Paramètres!K23="",NA(),IF(LEFT(TRIM(Paramètres!K23),1)="F",INDEX($F$815:$F$867,MATCH(Paramètres!J23,Paramètres!$G$5:$G$57,0)),INDEX($E$815:$E$867,MATCH(Paramètres!J23,Paramètres!$G$5:$G$57,0)))+IF(RIGHT(TRIM(Paramètres!K23),3)="Fin",1-$H833,IF(LEFT(TRIM(Paramètres!K23),1)="F",1,0)))),IF(Paramètres!L23="",0,IF(Paramètres!M23="",NA(),IF(LEFT(TRIM(Paramètres!M23),1)="F",INDEX($F$815:$F$867,MATCH(Paramètres!L23,Paramètres!$G$5:$G$57,0)),INDEX($E$815:$E$867,MATCH(Paramètres!L23,Paramètres!$G$5:$G$57,0)))+IF(RIGHT(TRIM(Paramètres!M23),3)="Fin",1-$H833,IF(LEFT(TRIM(Paramètres!M23),1)="F",1,0)))),IF(Paramètres!N23="",0,IF(Paramètres!O23="",NA(),IF(LEFT(TRIM(Paramètres!O23),1)="F",INDEX($F$815:$F$867,MATCH(Paramètres!N23,Paramètres!$G$5:$G$57,0)),INDEX($E$815:$E$867,MATCH(Paramètres!N23,Paramètres!$G$5:$G$57,0)))+IF(RIGHT(TRIM(Paramètres!O23),3)="Fin",1-$H833,IF(LEFT(TRIM(Paramètres!O23),1)="F",1,0)))))))</f>
        <v/>
      </c>
      <c r="F833" s="19">
        <f>IF($A833="","",E833+$H833-1)</f>
        <v/>
      </c>
      <c r="G833" s="18" t="n"/>
      <c r="H833" s="18">
        <f>IF($A833="","",IF(I833&lt;&gt;"",I833,Paramètres!B23))</f>
        <v/>
      </c>
      <c r="I833" s="18" t="n"/>
    </row>
    <row r="834">
      <c r="A834" s="18">
        <f>IF(ISNUMBER(Dossiers!$D$19),Dossiers!$A$19&amp;" · "&amp;Dossiers!$B$19,"")</f>
        <v/>
      </c>
      <c r="B834" s="18">
        <f>IF($A834="","",Paramètres!G24)</f>
        <v/>
      </c>
      <c r="C834" s="18">
        <f>IF($A834="","",IF(Paramètres!H24="","",Paramètres!H24))</f>
        <v/>
      </c>
      <c r="D834" s="18">
        <f>IF($A834="","",IF(Paramètres!I24="","",Paramètres!I24))</f>
        <v/>
      </c>
      <c r="E834" s="19">
        <f>IF($A834="","",IF(Paramètres!J24&amp;Paramètres!L24&amp;Paramètres!N24="",Dossiers!$D$19,MAX(IF(Paramètres!J24="",0,IF(Paramètres!K24="",NA(),IF(LEFT(TRIM(Paramètres!K24),1)="F",INDEX($F$815:$F$867,MATCH(Paramètres!J24,Paramètres!$G$5:$G$57,0)),INDEX($E$815:$E$867,MATCH(Paramètres!J24,Paramètres!$G$5:$G$57,0)))+IF(RIGHT(TRIM(Paramètres!K24),3)="Fin",1-$H834,IF(LEFT(TRIM(Paramètres!K24),1)="F",1,0)))),IF(Paramètres!L24="",0,IF(Paramètres!M24="",NA(),IF(LEFT(TRIM(Paramètres!M24),1)="F",INDEX($F$815:$F$867,MATCH(Paramètres!L24,Paramètres!$G$5:$G$57,0)),INDEX($E$815:$E$867,MATCH(Paramètres!L24,Paramètres!$G$5:$G$57,0)))+IF(RIGHT(TRIM(Paramètres!M24),3)="Fin",1-$H834,IF(LEFT(TRIM(Paramètres!M24),1)="F",1,0)))),IF(Paramètres!N24="",0,IF(Paramètres!O24="",NA(),IF(LEFT(TRIM(Paramètres!O24),1)="F",INDEX($F$815:$F$867,MATCH(Paramètres!N24,Paramètres!$G$5:$G$57,0)),INDEX($E$815:$E$867,MATCH(Paramètres!N24,Paramètres!$G$5:$G$57,0)))+IF(RIGHT(TRIM(Paramètres!O24),3)="Fin",1-$H834,IF(LEFT(TRIM(Paramètres!O24),1)="F",1,0)))))))</f>
        <v/>
      </c>
      <c r="F834" s="19">
        <f>IF($A834="","",E834+$H834-1)</f>
        <v/>
      </c>
      <c r="G834" s="18" t="n"/>
      <c r="H834" s="18">
        <f>IF($A834="","",IF(I834&lt;&gt;"",I834,Paramètres!B24))</f>
        <v/>
      </c>
      <c r="I834" s="18" t="n"/>
    </row>
    <row r="835">
      <c r="A835" s="18">
        <f>IF(ISNUMBER(Dossiers!$D$19),Dossiers!$A$19&amp;" · "&amp;Dossiers!$B$19,"")</f>
        <v/>
      </c>
      <c r="B835" s="18">
        <f>IF($A835="","",Paramètres!G25)</f>
        <v/>
      </c>
      <c r="C835" s="18">
        <f>IF($A835="","",IF(Paramètres!H25="","",Paramètres!H25))</f>
        <v/>
      </c>
      <c r="D835" s="18">
        <f>IF($A835="","",IF(Paramètres!I25="","",Paramètres!I25))</f>
        <v/>
      </c>
      <c r="E835" s="19">
        <f>IF($A835="","",IF(Paramètres!J25&amp;Paramètres!L25&amp;Paramètres!N25="",Dossiers!$D$19,MAX(IF(Paramètres!J25="",0,IF(Paramètres!K25="",NA(),IF(LEFT(TRIM(Paramètres!K25),1)="F",INDEX($F$815:$F$867,MATCH(Paramètres!J25,Paramètres!$G$5:$G$57,0)),INDEX($E$815:$E$867,MATCH(Paramètres!J25,Paramètres!$G$5:$G$57,0)))+IF(RIGHT(TRIM(Paramètres!K25),3)="Fin",1-$H835,IF(LEFT(TRIM(Paramètres!K25),1)="F",1,0)))),IF(Paramètres!L25="",0,IF(Paramètres!M25="",NA(),IF(LEFT(TRIM(Paramètres!M25),1)="F",INDEX($F$815:$F$867,MATCH(Paramètres!L25,Paramètres!$G$5:$G$57,0)),INDEX($E$815:$E$867,MATCH(Paramètres!L25,Paramètres!$G$5:$G$57,0)))+IF(RIGHT(TRIM(Paramètres!M25),3)="Fin",1-$H835,IF(LEFT(TRIM(Paramètres!M25),1)="F",1,0)))),IF(Paramètres!N25="",0,IF(Paramètres!O25="",NA(),IF(LEFT(TRIM(Paramètres!O25),1)="F",INDEX($F$815:$F$867,MATCH(Paramètres!N25,Paramètres!$G$5:$G$57,0)),INDEX($E$815:$E$867,MATCH(Paramètres!N25,Paramètres!$G$5:$G$57,0)))+IF(RIGHT(TRIM(Paramètres!O25),3)="Fin",1-$H835,IF(LEFT(TRIM(Paramètres!O25),1)="F",1,0)))))))</f>
        <v/>
      </c>
      <c r="F835" s="19">
        <f>IF($A835="","",E835+$H835-1)</f>
        <v/>
      </c>
      <c r="G835" s="18" t="n"/>
      <c r="H835" s="18">
        <f>IF($A835="","",IF(I835&lt;&gt;"",I835,Paramètres!B25))</f>
        <v/>
      </c>
      <c r="I835" s="18" t="n"/>
    </row>
    <row r="836">
      <c r="A836" s="18">
        <f>IF(ISNUMBER(Dossiers!$D$19),Dossiers!$A$19&amp;" · "&amp;Dossiers!$B$19,"")</f>
        <v/>
      </c>
      <c r="B836" s="18">
        <f>IF($A836="","",Paramètres!G26)</f>
        <v/>
      </c>
      <c r="C836" s="18">
        <f>IF($A836="","",IF(Paramètres!H26="","",Paramètres!H26))</f>
        <v/>
      </c>
      <c r="D836" s="18">
        <f>IF($A836="","",IF(Paramètres!I26="","",Paramètres!I26))</f>
        <v/>
      </c>
      <c r="E836" s="19">
        <f>IF($A836="","",IF(Paramètres!J26&amp;Paramètres!L26&amp;Paramètres!N26="",Dossiers!$D$19,MAX(IF(Paramètres!J26="",0,IF(Paramètres!K26="",NA(),IF(LEFT(TRIM(Paramètres!K26),1)="F",INDEX($F$815:$F$867,MATCH(Paramètres!J26,Paramètres!$G$5:$G$57,0)),INDEX($E$815:$E$867,MATCH(Paramètres!J26,Paramètres!$G$5:$G$57,0)))+IF(RIGHT(TRIM(Paramètres!K26),3)="Fin",1-$H836,IF(LEFT(TRIM(Paramètres!K26),1)="F",1,0)))),IF(Paramètres!L26="",0,IF(Paramètres!M26="",NA(),IF(LEFT(TRIM(Paramètres!M26),1)="F",INDEX($F$815:$F$867,MATCH(Paramètres!L26,Paramètres!$G$5:$G$57,0)),INDEX($E$815:$E$867,MATCH(Paramètres!L26,Paramètres!$G$5:$G$57,0)))+IF(RIGHT(TRIM(Paramètres!M26),3)="Fin",1-$H836,IF(LEFT(TRIM(Paramètres!M26),1)="F",1,0)))),IF(Paramètres!N26="",0,IF(Paramètres!O26="",NA(),IF(LEFT(TRIM(Paramètres!O26),1)="F",INDEX($F$815:$F$867,MATCH(Paramètres!N26,Paramètres!$G$5:$G$57,0)),INDEX($E$815:$E$867,MATCH(Paramètres!N26,Paramètres!$G$5:$G$57,0)))+IF(RIGHT(TRIM(Paramètres!O26),3)="Fin",1-$H836,IF(LEFT(TRIM(Paramètres!O26),1)="F",1,0)))))))</f>
        <v/>
      </c>
      <c r="F836" s="19">
        <f>IF($A836="","",E836+$H836-1)</f>
        <v/>
      </c>
      <c r="G836" s="18" t="n"/>
      <c r="H836" s="18">
        <f>IF($A836="","",IF(I836&lt;&gt;"",I836,Paramètres!B26))</f>
        <v/>
      </c>
      <c r="I836" s="18" t="n"/>
    </row>
    <row r="837">
      <c r="A837" s="18">
        <f>IF(ISNUMBER(Dossiers!$D$19),Dossiers!$A$19&amp;" · "&amp;Dossiers!$B$19,"")</f>
        <v/>
      </c>
      <c r="B837" s="18">
        <f>IF($A837="","",Paramètres!G27)</f>
        <v/>
      </c>
      <c r="C837" s="18">
        <f>IF($A837="","",IF(Paramètres!H27="","",Paramètres!H27))</f>
        <v/>
      </c>
      <c r="D837" s="18">
        <f>IF($A837="","",IF(Paramètres!I27="","",Paramètres!I27))</f>
        <v/>
      </c>
      <c r="E837" s="19">
        <f>IF($A837="","",IF(Paramètres!J27&amp;Paramètres!L27&amp;Paramètres!N27="",Dossiers!$D$19,MAX(IF(Paramètres!J27="",0,IF(Paramètres!K27="",NA(),IF(LEFT(TRIM(Paramètres!K27),1)="F",INDEX($F$815:$F$867,MATCH(Paramètres!J27,Paramètres!$G$5:$G$57,0)),INDEX($E$815:$E$867,MATCH(Paramètres!J27,Paramètres!$G$5:$G$57,0)))+IF(RIGHT(TRIM(Paramètres!K27),3)="Fin",1-$H837,IF(LEFT(TRIM(Paramètres!K27),1)="F",1,0)))),IF(Paramètres!L27="",0,IF(Paramètres!M27="",NA(),IF(LEFT(TRIM(Paramètres!M27),1)="F",INDEX($F$815:$F$867,MATCH(Paramètres!L27,Paramètres!$G$5:$G$57,0)),INDEX($E$815:$E$867,MATCH(Paramètres!L27,Paramètres!$G$5:$G$57,0)))+IF(RIGHT(TRIM(Paramètres!M27),3)="Fin",1-$H837,IF(LEFT(TRIM(Paramètres!M27),1)="F",1,0)))),IF(Paramètres!N27="",0,IF(Paramètres!O27="",NA(),IF(LEFT(TRIM(Paramètres!O27),1)="F",INDEX($F$815:$F$867,MATCH(Paramètres!N27,Paramètres!$G$5:$G$57,0)),INDEX($E$815:$E$867,MATCH(Paramètres!N27,Paramètres!$G$5:$G$57,0)))+IF(RIGHT(TRIM(Paramètres!O27),3)="Fin",1-$H837,IF(LEFT(TRIM(Paramètres!O27),1)="F",1,0)))))))</f>
        <v/>
      </c>
      <c r="F837" s="19">
        <f>IF($A837="","",E837+$H837-1)</f>
        <v/>
      </c>
      <c r="G837" s="18" t="n"/>
      <c r="H837" s="18">
        <f>IF($A837="","",IF(I837&lt;&gt;"",I837,Paramètres!B27))</f>
        <v/>
      </c>
      <c r="I837" s="18" t="n"/>
    </row>
    <row r="838">
      <c r="A838" s="18">
        <f>IF(ISNUMBER(Dossiers!$D$19),Dossiers!$A$19&amp;" · "&amp;Dossiers!$B$19,"")</f>
        <v/>
      </c>
      <c r="B838" s="18">
        <f>IF($A838="","",Paramètres!G28)</f>
        <v/>
      </c>
      <c r="C838" s="18">
        <f>IF($A838="","",IF(Paramètres!H28="","",Paramètres!H28))</f>
        <v/>
      </c>
      <c r="D838" s="18">
        <f>IF($A838="","",IF(Paramètres!I28="","",Paramètres!I28))</f>
        <v/>
      </c>
      <c r="E838" s="19">
        <f>IF($A838="","",IF(Paramètres!J28&amp;Paramètres!L28&amp;Paramètres!N28="",Dossiers!$D$19,MAX(IF(Paramètres!J28="",0,IF(Paramètres!K28="",NA(),IF(LEFT(TRIM(Paramètres!K28),1)="F",INDEX($F$815:$F$867,MATCH(Paramètres!J28,Paramètres!$G$5:$G$57,0)),INDEX($E$815:$E$867,MATCH(Paramètres!J28,Paramètres!$G$5:$G$57,0)))+IF(RIGHT(TRIM(Paramètres!K28),3)="Fin",1-$H838,IF(LEFT(TRIM(Paramètres!K28),1)="F",1,0)))),IF(Paramètres!L28="",0,IF(Paramètres!M28="",NA(),IF(LEFT(TRIM(Paramètres!M28),1)="F",INDEX($F$815:$F$867,MATCH(Paramètres!L28,Paramètres!$G$5:$G$57,0)),INDEX($E$815:$E$867,MATCH(Paramètres!L28,Paramètres!$G$5:$G$57,0)))+IF(RIGHT(TRIM(Paramètres!M28),3)="Fin",1-$H838,IF(LEFT(TRIM(Paramètres!M28),1)="F",1,0)))),IF(Paramètres!N28="",0,IF(Paramètres!O28="",NA(),IF(LEFT(TRIM(Paramètres!O28),1)="F",INDEX($F$815:$F$867,MATCH(Paramètres!N28,Paramètres!$G$5:$G$57,0)),INDEX($E$815:$E$867,MATCH(Paramètres!N28,Paramètres!$G$5:$G$57,0)))+IF(RIGHT(TRIM(Paramètres!O28),3)="Fin",1-$H838,IF(LEFT(TRIM(Paramètres!O28),1)="F",1,0)))))))</f>
        <v/>
      </c>
      <c r="F838" s="19">
        <f>IF($A838="","",E838+$H838-1)</f>
        <v/>
      </c>
      <c r="G838" s="18" t="n"/>
      <c r="H838" s="18">
        <f>IF($A838="","",IF(I838&lt;&gt;"",I838,Paramètres!B28))</f>
        <v/>
      </c>
      <c r="I838" s="18" t="n"/>
    </row>
    <row r="839">
      <c r="A839" s="18">
        <f>IF(ISNUMBER(Dossiers!$D$19),Dossiers!$A$19&amp;" · "&amp;Dossiers!$B$19,"")</f>
        <v/>
      </c>
      <c r="B839" s="18">
        <f>IF($A839="","",Paramètres!G29)</f>
        <v/>
      </c>
      <c r="C839" s="18">
        <f>IF($A839="","",IF(Paramètres!H29="","",Paramètres!H29))</f>
        <v/>
      </c>
      <c r="D839" s="18">
        <f>IF($A839="","",IF(Paramètres!I29="","",Paramètres!I29))</f>
        <v/>
      </c>
      <c r="E839" s="19">
        <f>IF($A839="","",IF(Paramètres!J29&amp;Paramètres!L29&amp;Paramètres!N29="",Dossiers!$D$19,MAX(IF(Paramètres!J29="",0,IF(Paramètres!K29="",NA(),IF(LEFT(TRIM(Paramètres!K29),1)="F",INDEX($F$815:$F$867,MATCH(Paramètres!J29,Paramètres!$G$5:$G$57,0)),INDEX($E$815:$E$867,MATCH(Paramètres!J29,Paramètres!$G$5:$G$57,0)))+IF(RIGHT(TRIM(Paramètres!K29),3)="Fin",1-$H839,IF(LEFT(TRIM(Paramètres!K29),1)="F",1,0)))),IF(Paramètres!L29="",0,IF(Paramètres!M29="",NA(),IF(LEFT(TRIM(Paramètres!M29),1)="F",INDEX($F$815:$F$867,MATCH(Paramètres!L29,Paramètres!$G$5:$G$57,0)),INDEX($E$815:$E$867,MATCH(Paramètres!L29,Paramètres!$G$5:$G$57,0)))+IF(RIGHT(TRIM(Paramètres!M29),3)="Fin",1-$H839,IF(LEFT(TRIM(Paramètres!M29),1)="F",1,0)))),IF(Paramètres!N29="",0,IF(Paramètres!O29="",NA(),IF(LEFT(TRIM(Paramètres!O29),1)="F",INDEX($F$815:$F$867,MATCH(Paramètres!N29,Paramètres!$G$5:$G$57,0)),INDEX($E$815:$E$867,MATCH(Paramètres!N29,Paramètres!$G$5:$G$57,0)))+IF(RIGHT(TRIM(Paramètres!O29),3)="Fin",1-$H839,IF(LEFT(TRIM(Paramètres!O29),1)="F",1,0)))))))</f>
        <v/>
      </c>
      <c r="F839" s="19">
        <f>IF($A839="","",E839+$H839-1)</f>
        <v/>
      </c>
      <c r="G839" s="18" t="n"/>
      <c r="H839" s="18">
        <f>IF($A839="","",IF(I839&lt;&gt;"",I839,Paramètres!B29))</f>
        <v/>
      </c>
      <c r="I839" s="18" t="n"/>
    </row>
    <row r="840">
      <c r="A840" s="18">
        <f>IF(ISNUMBER(Dossiers!$D$19),Dossiers!$A$19&amp;" · "&amp;Dossiers!$B$19,"")</f>
        <v/>
      </c>
      <c r="B840" s="18">
        <f>IF($A840="","",Paramètres!G30)</f>
        <v/>
      </c>
      <c r="C840" s="18">
        <f>IF($A840="","",IF(Paramètres!H30="","",Paramètres!H30))</f>
        <v/>
      </c>
      <c r="D840" s="18">
        <f>IF($A840="","",IF(Paramètres!I30="","",Paramètres!I30))</f>
        <v/>
      </c>
      <c r="E840" s="19">
        <f>IF($A840="","",IF(Paramètres!J30&amp;Paramètres!L30&amp;Paramètres!N30="",Dossiers!$D$19,MAX(IF(Paramètres!J30="",0,IF(Paramètres!K30="",NA(),IF(LEFT(TRIM(Paramètres!K30),1)="F",INDEX($F$815:$F$867,MATCH(Paramètres!J30,Paramètres!$G$5:$G$57,0)),INDEX($E$815:$E$867,MATCH(Paramètres!J30,Paramètres!$G$5:$G$57,0)))+IF(RIGHT(TRIM(Paramètres!K30),3)="Fin",1-$H840,IF(LEFT(TRIM(Paramètres!K30),1)="F",1,0)))),IF(Paramètres!L30="",0,IF(Paramètres!M30="",NA(),IF(LEFT(TRIM(Paramètres!M30),1)="F",INDEX($F$815:$F$867,MATCH(Paramètres!L30,Paramètres!$G$5:$G$57,0)),INDEX($E$815:$E$867,MATCH(Paramètres!L30,Paramètres!$G$5:$G$57,0)))+IF(RIGHT(TRIM(Paramètres!M30),3)="Fin",1-$H840,IF(LEFT(TRIM(Paramètres!M30),1)="F",1,0)))),IF(Paramètres!N30="",0,IF(Paramètres!O30="",NA(),IF(LEFT(TRIM(Paramètres!O30),1)="F",INDEX($F$815:$F$867,MATCH(Paramètres!N30,Paramètres!$G$5:$G$57,0)),INDEX($E$815:$E$867,MATCH(Paramètres!N30,Paramètres!$G$5:$G$57,0)))+IF(RIGHT(TRIM(Paramètres!O30),3)="Fin",1-$H840,IF(LEFT(TRIM(Paramètres!O30),1)="F",1,0)))))))</f>
        <v/>
      </c>
      <c r="F840" s="19">
        <f>IF($A840="","",E840+$H840-1)</f>
        <v/>
      </c>
      <c r="G840" s="18" t="n"/>
      <c r="H840" s="18">
        <f>IF($A840="","",IF(I840&lt;&gt;"",I840,Paramètres!B30))</f>
        <v/>
      </c>
      <c r="I840" s="18" t="n"/>
    </row>
    <row r="841">
      <c r="A841" s="18">
        <f>IF(ISNUMBER(Dossiers!$D$19),Dossiers!$A$19&amp;" · "&amp;Dossiers!$B$19,"")</f>
        <v/>
      </c>
      <c r="B841" s="18">
        <f>IF($A841="","",Paramètres!G31)</f>
        <v/>
      </c>
      <c r="C841" s="20">
        <f>IF($A841="","",IF(Dossiers!$F$19="","",Dossiers!$F$19))</f>
        <v/>
      </c>
      <c r="D841" s="18">
        <f>IF($A841="","",IF(Paramètres!I31="","",Paramètres!I31))</f>
        <v/>
      </c>
      <c r="E841" s="19">
        <f>IF($A841="","",IF(Paramètres!J31&amp;Paramètres!L31&amp;Paramètres!N31="",Dossiers!$D$19,MAX(IF(Paramètres!J31="",0,IF(Paramètres!K31="",NA(),IF(LEFT(TRIM(Paramètres!K31),1)="F",INDEX($F$815:$F$867,MATCH(Paramètres!J31,Paramètres!$G$5:$G$57,0)),INDEX($E$815:$E$867,MATCH(Paramètres!J31,Paramètres!$G$5:$G$57,0)))+IF(RIGHT(TRIM(Paramètres!K31),3)="Fin",1-$H841,IF(LEFT(TRIM(Paramètres!K31),1)="F",1,0)))),IF(Paramètres!L31="",0,IF(Paramètres!M31="",NA(),IF(LEFT(TRIM(Paramètres!M31),1)="F",INDEX($F$815:$F$867,MATCH(Paramètres!L31,Paramètres!$G$5:$G$57,0)),INDEX($E$815:$E$867,MATCH(Paramètres!L31,Paramètres!$G$5:$G$57,0)))+IF(RIGHT(TRIM(Paramètres!M31),3)="Fin",1-$H841,IF(LEFT(TRIM(Paramètres!M31),1)="F",1,0)))),IF(Paramètres!N31="",0,IF(Paramètres!O31="",NA(),IF(LEFT(TRIM(Paramètres!O31),1)="F",INDEX($F$815:$F$867,MATCH(Paramètres!N31,Paramètres!$G$5:$G$57,0)),INDEX($E$815:$E$867,MATCH(Paramètres!N31,Paramètres!$G$5:$G$57,0)))+IF(RIGHT(TRIM(Paramètres!O31),3)="Fin",1-$H841,IF(LEFT(TRIM(Paramètres!O31),1)="F",1,0)))))))</f>
        <v/>
      </c>
      <c r="F841" s="19">
        <f>IF($A841="","",E841+$H841-1)</f>
        <v/>
      </c>
      <c r="G841" s="18" t="n"/>
      <c r="H841" s="18">
        <f>IF($A841="","",IF(I841&lt;&gt;"",I841,Paramètres!B31))</f>
        <v/>
      </c>
      <c r="I841" s="18" t="n"/>
    </row>
    <row r="842">
      <c r="A842" s="18">
        <f>IF(ISNUMBER(Dossiers!$D$19),Dossiers!$A$19&amp;" · "&amp;Dossiers!$B$19,"")</f>
        <v/>
      </c>
      <c r="B842" s="18">
        <f>IF($A842="","",Paramètres!G32)</f>
        <v/>
      </c>
      <c r="C842" s="18">
        <f>IF($A842="","",IF(Paramètres!H32="","",Paramètres!H32))</f>
        <v/>
      </c>
      <c r="D842" s="18">
        <f>IF($A842="","",IF(Paramètres!I32="","",Paramètres!I32))</f>
        <v/>
      </c>
      <c r="E842" s="19">
        <f>IF($A842="","",MIN(E843:E846))</f>
        <v/>
      </c>
      <c r="F842" s="19">
        <f>IF($A842="","",MAX(F843:F846))</f>
        <v/>
      </c>
      <c r="G842" s="18" t="n"/>
      <c r="H842" s="18">
        <f>IF($A842="","",F842-E842+1)</f>
        <v/>
      </c>
      <c r="I842" s="18" t="n"/>
    </row>
    <row r="843">
      <c r="A843" s="18">
        <f>IF(ISNUMBER(Dossiers!$D$19),Dossiers!$A$19&amp;" · "&amp;Dossiers!$B$19,"")</f>
        <v/>
      </c>
      <c r="B843" s="18">
        <f>IF($A843="","",Paramètres!G33)</f>
        <v/>
      </c>
      <c r="C843" s="18">
        <f>IF($A843="","",IF(Paramètres!H33="","",Paramètres!H33))</f>
        <v/>
      </c>
      <c r="D843" s="18">
        <f>IF($A843="","",IF(Paramètres!I33="","",Paramètres!I33))</f>
        <v/>
      </c>
      <c r="E843" s="19">
        <f>IF($A843="","",IF(Paramètres!J33&amp;Paramètres!L33&amp;Paramètres!N33="",Dossiers!$D$19,MAX(IF(Paramètres!J33="",0,IF(Paramètres!K33="",NA(),IF(LEFT(TRIM(Paramètres!K33),1)="F",INDEX($F$815:$F$867,MATCH(Paramètres!J33,Paramètres!$G$5:$G$57,0)),INDEX($E$815:$E$867,MATCH(Paramètres!J33,Paramètres!$G$5:$G$57,0)))+IF(RIGHT(TRIM(Paramètres!K33),3)="Fin",1-$H843,IF(LEFT(TRIM(Paramètres!K33),1)="F",1,0)))),IF(Paramètres!L33="",0,IF(Paramètres!M33="",NA(),IF(LEFT(TRIM(Paramètres!M33),1)="F",INDEX($F$815:$F$867,MATCH(Paramètres!L33,Paramètres!$G$5:$G$57,0)),INDEX($E$815:$E$867,MATCH(Paramètres!L33,Paramètres!$G$5:$G$57,0)))+IF(RIGHT(TRIM(Paramètres!M33),3)="Fin",1-$H843,IF(LEFT(TRIM(Paramètres!M33),1)="F",1,0)))),IF(Paramètres!N33="",0,IF(Paramètres!O33="",NA(),IF(LEFT(TRIM(Paramètres!O33),1)="F",INDEX($F$815:$F$867,MATCH(Paramètres!N33,Paramètres!$G$5:$G$57,0)),INDEX($E$815:$E$867,MATCH(Paramètres!N33,Paramètres!$G$5:$G$57,0)))+IF(RIGHT(TRIM(Paramètres!O33),3)="Fin",1-$H843,IF(LEFT(TRIM(Paramètres!O33),1)="F",1,0)))))))</f>
        <v/>
      </c>
      <c r="F843" s="19">
        <f>IF($A843="","",E843+$H843-1)</f>
        <v/>
      </c>
      <c r="G843" s="18" t="n"/>
      <c r="H843" s="18">
        <f>IF($A843="","",IF(I843&lt;&gt;"",I843,Paramètres!B33))</f>
        <v/>
      </c>
      <c r="I843" s="18" t="n"/>
    </row>
    <row r="844">
      <c r="A844" s="18">
        <f>IF(ISNUMBER(Dossiers!$D$19),Dossiers!$A$19&amp;" · "&amp;Dossiers!$B$19,"")</f>
        <v/>
      </c>
      <c r="B844" s="18">
        <f>IF($A844="","",Paramètres!G34)</f>
        <v/>
      </c>
      <c r="C844" s="18">
        <f>IF($A844="","",IF(Paramètres!H34="","",Paramètres!H34))</f>
        <v/>
      </c>
      <c r="D844" s="18">
        <f>IF($A844="","",IF(Paramètres!I34="","",Paramètres!I34))</f>
        <v/>
      </c>
      <c r="E844" s="19">
        <f>IF($A844="","",IF(Paramètres!J34&amp;Paramètres!L34&amp;Paramètres!N34="",Dossiers!$D$19,MAX(IF(Paramètres!J34="",0,IF(Paramètres!K34="",NA(),IF(LEFT(TRIM(Paramètres!K34),1)="F",INDEX($F$815:$F$867,MATCH(Paramètres!J34,Paramètres!$G$5:$G$57,0)),INDEX($E$815:$E$867,MATCH(Paramètres!J34,Paramètres!$G$5:$G$57,0)))+IF(RIGHT(TRIM(Paramètres!K34),3)="Fin",1-$H844,IF(LEFT(TRIM(Paramètres!K34),1)="F",1,0)))),IF(Paramètres!L34="",0,IF(Paramètres!M34="",NA(),IF(LEFT(TRIM(Paramètres!M34),1)="F",INDEX($F$815:$F$867,MATCH(Paramètres!L34,Paramètres!$G$5:$G$57,0)),INDEX($E$815:$E$867,MATCH(Paramètres!L34,Paramètres!$G$5:$G$57,0)))+IF(RIGHT(TRIM(Paramètres!M34),3)="Fin",1-$H844,IF(LEFT(TRIM(Paramètres!M34),1)="F",1,0)))),IF(Paramètres!N34="",0,IF(Paramètres!O34="",NA(),IF(LEFT(TRIM(Paramètres!O34),1)="F",INDEX($F$815:$F$867,MATCH(Paramètres!N34,Paramètres!$G$5:$G$57,0)),INDEX($E$815:$E$867,MATCH(Paramètres!N34,Paramètres!$G$5:$G$57,0)))+IF(RIGHT(TRIM(Paramètres!O34),3)="Fin",1-$H844,IF(LEFT(TRIM(Paramètres!O34),1)="F",1,0)))))))</f>
        <v/>
      </c>
      <c r="F844" s="19">
        <f>IF($A844="","",E844+$H844-1)</f>
        <v/>
      </c>
      <c r="G844" s="18" t="n"/>
      <c r="H844" s="18">
        <f>IF($A844="","",IF(I844&lt;&gt;"",I844,Paramètres!B34))</f>
        <v/>
      </c>
      <c r="I844" s="18" t="n"/>
    </row>
    <row r="845">
      <c r="A845" s="18">
        <f>IF(ISNUMBER(Dossiers!$D$19),Dossiers!$A$19&amp;" · "&amp;Dossiers!$B$19,"")</f>
        <v/>
      </c>
      <c r="B845" s="18">
        <f>IF($A845="","",Paramètres!G35)</f>
        <v/>
      </c>
      <c r="C845" s="18">
        <f>IF($A845="","",IF(Paramètres!H35="","",Paramètres!H35))</f>
        <v/>
      </c>
      <c r="D845" s="18">
        <f>IF($A845="","",IF(Paramètres!I35="","",Paramètres!I35))</f>
        <v/>
      </c>
      <c r="E845" s="19">
        <f>IF($A845="","",IF(Paramètres!J35&amp;Paramètres!L35&amp;Paramètres!N35="",Dossiers!$D$19,MAX(IF(Paramètres!J35="",0,IF(Paramètres!K35="",NA(),IF(LEFT(TRIM(Paramètres!K35),1)="F",INDEX($F$815:$F$867,MATCH(Paramètres!J35,Paramètres!$G$5:$G$57,0)),INDEX($E$815:$E$867,MATCH(Paramètres!J35,Paramètres!$G$5:$G$57,0)))+IF(RIGHT(TRIM(Paramètres!K35),3)="Fin",1-$H845,IF(LEFT(TRIM(Paramètres!K35),1)="F",1,0)))),IF(Paramètres!L35="",0,IF(Paramètres!M35="",NA(),IF(LEFT(TRIM(Paramètres!M35),1)="F",INDEX($F$815:$F$867,MATCH(Paramètres!L35,Paramètres!$G$5:$G$57,0)),INDEX($E$815:$E$867,MATCH(Paramètres!L35,Paramètres!$G$5:$G$57,0)))+IF(RIGHT(TRIM(Paramètres!M35),3)="Fin",1-$H845,IF(LEFT(TRIM(Paramètres!M35),1)="F",1,0)))),IF(Paramètres!N35="",0,IF(Paramètres!O35="",NA(),IF(LEFT(TRIM(Paramètres!O35),1)="F",INDEX($F$815:$F$867,MATCH(Paramètres!N35,Paramètres!$G$5:$G$57,0)),INDEX($E$815:$E$867,MATCH(Paramètres!N35,Paramètres!$G$5:$G$57,0)))+IF(RIGHT(TRIM(Paramètres!O35),3)="Fin",1-$H845,IF(LEFT(TRIM(Paramètres!O35),1)="F",1,0)))))))</f>
        <v/>
      </c>
      <c r="F845" s="19">
        <f>IF($A845="","",E845+$H845-1)</f>
        <v/>
      </c>
      <c r="G845" s="18" t="n"/>
      <c r="H845" s="18">
        <f>IF($A845="","",IF(I845&lt;&gt;"",I845,Paramètres!B35))</f>
        <v/>
      </c>
      <c r="I845" s="18" t="n"/>
    </row>
    <row r="846">
      <c r="A846" s="18">
        <f>IF(ISNUMBER(Dossiers!$D$19),Dossiers!$A$19&amp;" · "&amp;Dossiers!$B$19,"")</f>
        <v/>
      </c>
      <c r="B846" s="18">
        <f>IF($A846="","",Paramètres!G36)</f>
        <v/>
      </c>
      <c r="C846" s="18">
        <f>IF($A846="","",IF(Paramètres!H36="","",Paramètres!H36))</f>
        <v/>
      </c>
      <c r="D846" s="18">
        <f>IF($A846="","",IF(Paramètres!I36="","",Paramètres!I36))</f>
        <v/>
      </c>
      <c r="E846" s="19">
        <f>IF($A846="","",IF(Paramètres!J36&amp;Paramètres!L36&amp;Paramètres!N36="",Dossiers!$D$19,MAX(IF(Paramètres!J36="",0,IF(Paramètres!K36="",NA(),IF(LEFT(TRIM(Paramètres!K36),1)="F",INDEX($F$815:$F$867,MATCH(Paramètres!J36,Paramètres!$G$5:$G$57,0)),INDEX($E$815:$E$867,MATCH(Paramètres!J36,Paramètres!$G$5:$G$57,0)))+IF(RIGHT(TRIM(Paramètres!K36),3)="Fin",1-$H846,IF(LEFT(TRIM(Paramètres!K36),1)="F",1,0)))),IF(Paramètres!L36="",0,IF(Paramètres!M36="",NA(),IF(LEFT(TRIM(Paramètres!M36),1)="F",INDEX($F$815:$F$867,MATCH(Paramètres!L36,Paramètres!$G$5:$G$57,0)),INDEX($E$815:$E$867,MATCH(Paramètres!L36,Paramètres!$G$5:$G$57,0)))+IF(RIGHT(TRIM(Paramètres!M36),3)="Fin",1-$H846,IF(LEFT(TRIM(Paramètres!M36),1)="F",1,0)))),IF(Paramètres!N36="",0,IF(Paramètres!O36="",NA(),IF(LEFT(TRIM(Paramètres!O36),1)="F",INDEX($F$815:$F$867,MATCH(Paramètres!N36,Paramètres!$G$5:$G$57,0)),INDEX($E$815:$E$867,MATCH(Paramètres!N36,Paramètres!$G$5:$G$57,0)))+IF(RIGHT(TRIM(Paramètres!O36),3)="Fin",1-$H846,IF(LEFT(TRIM(Paramètres!O36),1)="F",1,0)))))))</f>
        <v/>
      </c>
      <c r="F846" s="19">
        <f>IF($A846="","",E846+$H846-1)</f>
        <v/>
      </c>
      <c r="G846" s="18" t="n"/>
      <c r="H846" s="18">
        <f>IF($A846="","",IF(I846&lt;&gt;"",I846,Paramètres!B36))</f>
        <v/>
      </c>
      <c r="I846" s="18" t="n"/>
    </row>
    <row r="847">
      <c r="A847" s="18">
        <f>IF(ISNUMBER(Dossiers!$D$19),Dossiers!$A$19&amp;" · "&amp;Dossiers!$B$19,"")</f>
        <v/>
      </c>
      <c r="B847" s="18">
        <f>IF($A847="","",Paramètres!G37)</f>
        <v/>
      </c>
      <c r="C847" s="18">
        <f>IF($A847="","",IF(Paramètres!H37="","",Paramètres!H37))</f>
        <v/>
      </c>
      <c r="D847" s="18">
        <f>IF($A847="","",IF(Paramètres!I37="","",Paramètres!I37))</f>
        <v/>
      </c>
      <c r="E847" s="19">
        <f>IF($A847="","",MIN(E848:E865))</f>
        <v/>
      </c>
      <c r="F847" s="19">
        <f>IF($A847="","",MAX(F848:F865))</f>
        <v/>
      </c>
      <c r="G847" s="18" t="n"/>
      <c r="H847" s="18">
        <f>IF($A847="","",F847-E847+1)</f>
        <v/>
      </c>
      <c r="I847" s="18" t="n"/>
    </row>
    <row r="848">
      <c r="A848" s="18">
        <f>IF(ISNUMBER(Dossiers!$D$19),Dossiers!$A$19&amp;" · "&amp;Dossiers!$B$19,"")</f>
        <v/>
      </c>
      <c r="B848" s="18">
        <f>IF($A848="","",Paramètres!G38)</f>
        <v/>
      </c>
      <c r="C848" s="18">
        <f>IF($A848="","",IF(Paramètres!H38="","",Paramètres!H38))</f>
        <v/>
      </c>
      <c r="D848" s="18">
        <f>IF($A848="","",IF(Paramètres!I38="","",Paramètres!I38))</f>
        <v/>
      </c>
      <c r="E848" s="19">
        <f>IF($A848="","",IF(Paramètres!J38&amp;Paramètres!L38&amp;Paramètres!N38="",Dossiers!$D$19,MAX(IF(Paramètres!J38="",0,IF(Paramètres!K38="",NA(),IF(LEFT(TRIM(Paramètres!K38),1)="F",INDEX($F$815:$F$867,MATCH(Paramètres!J38,Paramètres!$G$5:$G$57,0)),INDEX($E$815:$E$867,MATCH(Paramètres!J38,Paramètres!$G$5:$G$57,0)))+IF(RIGHT(TRIM(Paramètres!K38),3)="Fin",1-$H848,IF(LEFT(TRIM(Paramètres!K38),1)="F",1,0)))),IF(Paramètres!L38="",0,IF(Paramètres!M38="",NA(),IF(LEFT(TRIM(Paramètres!M38),1)="F",INDEX($F$815:$F$867,MATCH(Paramètres!L38,Paramètres!$G$5:$G$57,0)),INDEX($E$815:$E$867,MATCH(Paramètres!L38,Paramètres!$G$5:$G$57,0)))+IF(RIGHT(TRIM(Paramètres!M38),3)="Fin",1-$H848,IF(LEFT(TRIM(Paramètres!M38),1)="F",1,0)))),IF(Paramètres!N38="",0,IF(Paramètres!O38="",NA(),IF(LEFT(TRIM(Paramètres!O38),1)="F",INDEX($F$815:$F$867,MATCH(Paramètres!N38,Paramètres!$G$5:$G$57,0)),INDEX($E$815:$E$867,MATCH(Paramètres!N38,Paramètres!$G$5:$G$57,0)))+IF(RIGHT(TRIM(Paramètres!O38),3)="Fin",1-$H848,IF(LEFT(TRIM(Paramètres!O38),1)="F",1,0)))))))</f>
        <v/>
      </c>
      <c r="F848" s="19">
        <f>IF($A848="","",E848+$H848-1)</f>
        <v/>
      </c>
      <c r="G848" s="18" t="n"/>
      <c r="H848" s="18">
        <f>IF($A848="","",IF(I848&lt;&gt;"",I848,Paramètres!B38))</f>
        <v/>
      </c>
      <c r="I848" s="18" t="n"/>
    </row>
    <row r="849">
      <c r="A849" s="18">
        <f>IF(ISNUMBER(Dossiers!$D$19),Dossiers!$A$19&amp;" · "&amp;Dossiers!$B$19,"")</f>
        <v/>
      </c>
      <c r="B849" s="18">
        <f>IF($A849="","",Paramètres!G39)</f>
        <v/>
      </c>
      <c r="C849" s="18">
        <f>IF($A849="","",IF(Paramètres!H39="","",Paramètres!H39))</f>
        <v/>
      </c>
      <c r="D849" s="18">
        <f>IF($A849="","",IF(Paramètres!I39="","",Paramètres!I39))</f>
        <v/>
      </c>
      <c r="E849" s="19">
        <f>IF($A849="","",IF(Paramètres!J39&amp;Paramètres!L39&amp;Paramètres!N39="",Dossiers!$D$19,MAX(IF(Paramètres!J39="",0,IF(Paramètres!K39="",NA(),IF(LEFT(TRIM(Paramètres!K39),1)="F",INDEX($F$815:$F$867,MATCH(Paramètres!J39,Paramètres!$G$5:$G$57,0)),INDEX($E$815:$E$867,MATCH(Paramètres!J39,Paramètres!$G$5:$G$57,0)))+IF(RIGHT(TRIM(Paramètres!K39),3)="Fin",1-$H849,IF(LEFT(TRIM(Paramètres!K39),1)="F",1,0)))),IF(Paramètres!L39="",0,IF(Paramètres!M39="",NA(),IF(LEFT(TRIM(Paramètres!M39),1)="F",INDEX($F$815:$F$867,MATCH(Paramètres!L39,Paramètres!$G$5:$G$57,0)),INDEX($E$815:$E$867,MATCH(Paramètres!L39,Paramètres!$G$5:$G$57,0)))+IF(RIGHT(TRIM(Paramètres!M39),3)="Fin",1-$H849,IF(LEFT(TRIM(Paramètres!M39),1)="F",1,0)))),IF(Paramètres!N39="",0,IF(Paramètres!O39="",NA(),IF(LEFT(TRIM(Paramètres!O39),1)="F",INDEX($F$815:$F$867,MATCH(Paramètres!N39,Paramètres!$G$5:$G$57,0)),INDEX($E$815:$E$867,MATCH(Paramètres!N39,Paramètres!$G$5:$G$57,0)))+IF(RIGHT(TRIM(Paramètres!O39),3)="Fin",1-$H849,IF(LEFT(TRIM(Paramètres!O39),1)="F",1,0)))))))</f>
        <v/>
      </c>
      <c r="F849" s="19">
        <f>IF($A849="","",E849+$H849-1)</f>
        <v/>
      </c>
      <c r="G849" s="18" t="n"/>
      <c r="H849" s="18">
        <f>IF($A849="","",IF(I849&lt;&gt;"",I849,Paramètres!B39))</f>
        <v/>
      </c>
      <c r="I849" s="18" t="n"/>
    </row>
    <row r="850">
      <c r="A850" s="18">
        <f>IF(ISNUMBER(Dossiers!$D$19),Dossiers!$A$19&amp;" · "&amp;Dossiers!$B$19,"")</f>
        <v/>
      </c>
      <c r="B850" s="18">
        <f>IF($A850="","",Paramètres!G40)</f>
        <v/>
      </c>
      <c r="C850" s="18">
        <f>IF($A850="","",IF(Paramètres!H40="","",Paramètres!H40))</f>
        <v/>
      </c>
      <c r="D850" s="18">
        <f>IF($A850="","",IF(Paramètres!I40="","",Paramètres!I40))</f>
        <v/>
      </c>
      <c r="E850" s="19">
        <f>IF($A850="","",IF(Paramètres!J40&amp;Paramètres!L40&amp;Paramètres!N40="",Dossiers!$D$19,MAX(IF(Paramètres!J40="",0,IF(Paramètres!K40="",NA(),IF(LEFT(TRIM(Paramètres!K40),1)="F",INDEX($F$815:$F$867,MATCH(Paramètres!J40,Paramètres!$G$5:$G$57,0)),INDEX($E$815:$E$867,MATCH(Paramètres!J40,Paramètres!$G$5:$G$57,0)))+IF(RIGHT(TRIM(Paramètres!K40),3)="Fin",1-$H850,IF(LEFT(TRIM(Paramètres!K40),1)="F",1,0)))),IF(Paramètres!L40="",0,IF(Paramètres!M40="",NA(),IF(LEFT(TRIM(Paramètres!M40),1)="F",INDEX($F$815:$F$867,MATCH(Paramètres!L40,Paramètres!$G$5:$G$57,0)),INDEX($E$815:$E$867,MATCH(Paramètres!L40,Paramètres!$G$5:$G$57,0)))+IF(RIGHT(TRIM(Paramètres!M40),3)="Fin",1-$H850,IF(LEFT(TRIM(Paramètres!M40),1)="F",1,0)))),IF(Paramètres!N40="",0,IF(Paramètres!O40="",NA(),IF(LEFT(TRIM(Paramètres!O40),1)="F",INDEX($F$815:$F$867,MATCH(Paramètres!N40,Paramètres!$G$5:$G$57,0)),INDEX($E$815:$E$867,MATCH(Paramètres!N40,Paramètres!$G$5:$G$57,0)))+IF(RIGHT(TRIM(Paramètres!O40),3)="Fin",1-$H850,IF(LEFT(TRIM(Paramètres!O40),1)="F",1,0)))))))</f>
        <v/>
      </c>
      <c r="F850" s="19">
        <f>IF($A850="","",E850+$H850-1)</f>
        <v/>
      </c>
      <c r="G850" s="18" t="n"/>
      <c r="H850" s="18">
        <f>IF($A850="","",IF(I850&lt;&gt;"",I850,Paramètres!B40))</f>
        <v/>
      </c>
      <c r="I850" s="18" t="n"/>
    </row>
    <row r="851">
      <c r="A851" s="18">
        <f>IF(ISNUMBER(Dossiers!$D$19),Dossiers!$A$19&amp;" · "&amp;Dossiers!$B$19,"")</f>
        <v/>
      </c>
      <c r="B851" s="18">
        <f>IF($A851="","",Paramètres!G41)</f>
        <v/>
      </c>
      <c r="C851" s="18">
        <f>IF($A851="","",IF(Paramètres!H41="","",Paramètres!H41))</f>
        <v/>
      </c>
      <c r="D851" s="18">
        <f>IF($A851="","",IF(Paramètres!I41="","",Paramètres!I41))</f>
        <v/>
      </c>
      <c r="E851" s="19">
        <f>IF($A851="","",IF(Paramètres!J41&amp;Paramètres!L41&amp;Paramètres!N41="",Dossiers!$D$19,MAX(IF(Paramètres!J41="",0,IF(Paramètres!K41="",NA(),IF(LEFT(TRIM(Paramètres!K41),1)="F",INDEX($F$815:$F$867,MATCH(Paramètres!J41,Paramètres!$G$5:$G$57,0)),INDEX($E$815:$E$867,MATCH(Paramètres!J41,Paramètres!$G$5:$G$57,0)))+IF(RIGHT(TRIM(Paramètres!K41),3)="Fin",1-$H851,IF(LEFT(TRIM(Paramètres!K41),1)="F",1,0)))),IF(Paramètres!L41="",0,IF(Paramètres!M41="",NA(),IF(LEFT(TRIM(Paramètres!M41),1)="F",INDEX($F$815:$F$867,MATCH(Paramètres!L41,Paramètres!$G$5:$G$57,0)),INDEX($E$815:$E$867,MATCH(Paramètres!L41,Paramètres!$G$5:$G$57,0)))+IF(RIGHT(TRIM(Paramètres!M41),3)="Fin",1-$H851,IF(LEFT(TRIM(Paramètres!M41),1)="F",1,0)))),IF(Paramètres!N41="",0,IF(Paramètres!O41="",NA(),IF(LEFT(TRIM(Paramètres!O41),1)="F",INDEX($F$815:$F$867,MATCH(Paramètres!N41,Paramètres!$G$5:$G$57,0)),INDEX($E$815:$E$867,MATCH(Paramètres!N41,Paramètres!$G$5:$G$57,0)))+IF(RIGHT(TRIM(Paramètres!O41),3)="Fin",1-$H851,IF(LEFT(TRIM(Paramètres!O41),1)="F",1,0)))))))</f>
        <v/>
      </c>
      <c r="F851" s="19">
        <f>IF($A851="","",E851+$H851-1)</f>
        <v/>
      </c>
      <c r="G851" s="18" t="n"/>
      <c r="H851" s="18">
        <f>IF($A851="","",IF(I851&lt;&gt;"",I851,Paramètres!B41))</f>
        <v/>
      </c>
      <c r="I851" s="18" t="n"/>
    </row>
    <row r="852">
      <c r="A852" s="18">
        <f>IF(ISNUMBER(Dossiers!$D$19),Dossiers!$A$19&amp;" · "&amp;Dossiers!$B$19,"")</f>
        <v/>
      </c>
      <c r="B852" s="18">
        <f>IF($A852="","",Paramètres!G42)</f>
        <v/>
      </c>
      <c r="C852" s="18">
        <f>IF($A852="","",IF(Paramètres!H42="","",Paramètres!H42))</f>
        <v/>
      </c>
      <c r="D852" s="18">
        <f>IF($A852="","",IF(Paramètres!I42="","",Paramètres!I42))</f>
        <v/>
      </c>
      <c r="E852" s="19">
        <f>IF($A852="","",IF(Paramètres!J42&amp;Paramètres!L42&amp;Paramètres!N42="",Dossiers!$D$19,MAX(IF(Paramètres!J42="",0,IF(Paramètres!K42="",NA(),IF(LEFT(TRIM(Paramètres!K42),1)="F",INDEX($F$815:$F$867,MATCH(Paramètres!J42,Paramètres!$G$5:$G$57,0)),INDEX($E$815:$E$867,MATCH(Paramètres!J42,Paramètres!$G$5:$G$57,0)))+IF(RIGHT(TRIM(Paramètres!K42),3)="Fin",1-$H852,IF(LEFT(TRIM(Paramètres!K42),1)="F",1,0)))),IF(Paramètres!L42="",0,IF(Paramètres!M42="",NA(),IF(LEFT(TRIM(Paramètres!M42),1)="F",INDEX($F$815:$F$867,MATCH(Paramètres!L42,Paramètres!$G$5:$G$57,0)),INDEX($E$815:$E$867,MATCH(Paramètres!L42,Paramètres!$G$5:$G$57,0)))+IF(RIGHT(TRIM(Paramètres!M42),3)="Fin",1-$H852,IF(LEFT(TRIM(Paramètres!M42),1)="F",1,0)))),IF(Paramètres!N42="",0,IF(Paramètres!O42="",NA(),IF(LEFT(TRIM(Paramètres!O42),1)="F",INDEX($F$815:$F$867,MATCH(Paramètres!N42,Paramètres!$G$5:$G$57,0)),INDEX($E$815:$E$867,MATCH(Paramètres!N42,Paramètres!$G$5:$G$57,0)))+IF(RIGHT(TRIM(Paramètres!O42),3)="Fin",1-$H852,IF(LEFT(TRIM(Paramètres!O42),1)="F",1,0)))))))</f>
        <v/>
      </c>
      <c r="F852" s="19">
        <f>IF($A852="","",E852+$H852-1)</f>
        <v/>
      </c>
      <c r="G852" s="18" t="n"/>
      <c r="H852" s="18">
        <f>IF($A852="","",IF(I852&lt;&gt;"",I852,Paramètres!B42))</f>
        <v/>
      </c>
      <c r="I852" s="18" t="n"/>
    </row>
    <row r="853">
      <c r="A853" s="18">
        <f>IF(ISNUMBER(Dossiers!$D$19),Dossiers!$A$19&amp;" · "&amp;Dossiers!$B$19,"")</f>
        <v/>
      </c>
      <c r="B853" s="18">
        <f>IF($A853="","",Paramètres!G43)</f>
        <v/>
      </c>
      <c r="C853" s="18">
        <f>IF($A853="","",IF(Paramètres!H43="","",Paramètres!H43))</f>
        <v/>
      </c>
      <c r="D853" s="18">
        <f>IF($A853="","",IF(Paramètres!I43="","",Paramètres!I43))</f>
        <v/>
      </c>
      <c r="E853" s="19">
        <f>IF($A853="","",IF(Paramètres!J43&amp;Paramètres!L43&amp;Paramètres!N43="",Dossiers!$D$19,MAX(IF(Paramètres!J43="",0,IF(Paramètres!K43="",NA(),IF(LEFT(TRIM(Paramètres!K43),1)="F",INDEX($F$815:$F$867,MATCH(Paramètres!J43,Paramètres!$G$5:$G$57,0)),INDEX($E$815:$E$867,MATCH(Paramètres!J43,Paramètres!$G$5:$G$57,0)))+IF(RIGHT(TRIM(Paramètres!K43),3)="Fin",1-$H853,IF(LEFT(TRIM(Paramètres!K43),1)="F",1,0)))),IF(Paramètres!L43="",0,IF(Paramètres!M43="",NA(),IF(LEFT(TRIM(Paramètres!M43),1)="F",INDEX($F$815:$F$867,MATCH(Paramètres!L43,Paramètres!$G$5:$G$57,0)),INDEX($E$815:$E$867,MATCH(Paramètres!L43,Paramètres!$G$5:$G$57,0)))+IF(RIGHT(TRIM(Paramètres!M43),3)="Fin",1-$H853,IF(LEFT(TRIM(Paramètres!M43),1)="F",1,0)))),IF(Paramètres!N43="",0,IF(Paramètres!O43="",NA(),IF(LEFT(TRIM(Paramètres!O43),1)="F",INDEX($F$815:$F$867,MATCH(Paramètres!N43,Paramètres!$G$5:$G$57,0)),INDEX($E$815:$E$867,MATCH(Paramètres!N43,Paramètres!$G$5:$G$57,0)))+IF(RIGHT(TRIM(Paramètres!O43),3)="Fin",1-$H853,IF(LEFT(TRIM(Paramètres!O43),1)="F",1,0)))))))</f>
        <v/>
      </c>
      <c r="F853" s="19">
        <f>IF($A853="","",E853+$H853-1)</f>
        <v/>
      </c>
      <c r="G853" s="18" t="n"/>
      <c r="H853" s="18">
        <f>IF($A853="","",IF(I853&lt;&gt;"",I853,Paramètres!B43))</f>
        <v/>
      </c>
      <c r="I853" s="18" t="n"/>
    </row>
    <row r="854">
      <c r="A854" s="18">
        <f>IF(ISNUMBER(Dossiers!$D$19),Dossiers!$A$19&amp;" · "&amp;Dossiers!$B$19,"")</f>
        <v/>
      </c>
      <c r="B854" s="18">
        <f>IF($A854="","",Paramètres!G44)</f>
        <v/>
      </c>
      <c r="C854" s="18">
        <f>IF($A854="","",IF(Paramètres!H44="","",Paramètres!H44))</f>
        <v/>
      </c>
      <c r="D854" s="18">
        <f>IF($A854="","",IF(Paramètres!I44="","",Paramètres!I44))</f>
        <v/>
      </c>
      <c r="E854" s="19">
        <f>IF($A854="","",IF(Paramètres!J44&amp;Paramètres!L44&amp;Paramètres!N44="",Dossiers!$D$19,MAX(IF(Paramètres!J44="",0,IF(Paramètres!K44="",NA(),IF(LEFT(TRIM(Paramètres!K44),1)="F",INDEX($F$815:$F$867,MATCH(Paramètres!J44,Paramètres!$G$5:$G$57,0)),INDEX($E$815:$E$867,MATCH(Paramètres!J44,Paramètres!$G$5:$G$57,0)))+IF(RIGHT(TRIM(Paramètres!K44),3)="Fin",1-$H854,IF(LEFT(TRIM(Paramètres!K44),1)="F",1,0)))),IF(Paramètres!L44="",0,IF(Paramètres!M44="",NA(),IF(LEFT(TRIM(Paramètres!M44),1)="F",INDEX($F$815:$F$867,MATCH(Paramètres!L44,Paramètres!$G$5:$G$57,0)),INDEX($E$815:$E$867,MATCH(Paramètres!L44,Paramètres!$G$5:$G$57,0)))+IF(RIGHT(TRIM(Paramètres!M44),3)="Fin",1-$H854,IF(LEFT(TRIM(Paramètres!M44),1)="F",1,0)))),IF(Paramètres!N44="",0,IF(Paramètres!O44="",NA(),IF(LEFT(TRIM(Paramètres!O44),1)="F",INDEX($F$815:$F$867,MATCH(Paramètres!N44,Paramètres!$G$5:$G$57,0)),INDEX($E$815:$E$867,MATCH(Paramètres!N44,Paramètres!$G$5:$G$57,0)))+IF(RIGHT(TRIM(Paramètres!O44),3)="Fin",1-$H854,IF(LEFT(TRIM(Paramètres!O44),1)="F",1,0)))))))</f>
        <v/>
      </c>
      <c r="F854" s="19">
        <f>IF($A854="","",E854+$H854-1)</f>
        <v/>
      </c>
      <c r="G854" s="18" t="n"/>
      <c r="H854" s="18">
        <f>IF($A854="","",IF(I854&lt;&gt;"",I854,Paramètres!B44))</f>
        <v/>
      </c>
      <c r="I854" s="18" t="n"/>
    </row>
    <row r="855">
      <c r="A855" s="18">
        <f>IF(ISNUMBER(Dossiers!$D$19),Dossiers!$A$19&amp;" · "&amp;Dossiers!$B$19,"")</f>
        <v/>
      </c>
      <c r="B855" s="18">
        <f>IF($A855="","",Paramètres!G45)</f>
        <v/>
      </c>
      <c r="C855" s="20">
        <f>IF($A855="","",IF(Dossiers!$G$19="","",Dossiers!$G$19))</f>
        <v/>
      </c>
      <c r="D855" s="18">
        <f>IF($A855="","",IF(Paramètres!I45="","",Paramètres!I45))</f>
        <v/>
      </c>
      <c r="E855" s="19">
        <f>IF($A855="","",IF(Paramètres!J45&amp;Paramètres!L45&amp;Paramètres!N45="",Dossiers!$D$19,MAX(IF(Paramètres!J45="",0,IF(Paramètres!K45="",NA(),IF(LEFT(TRIM(Paramètres!K45),1)="F",INDEX($F$815:$F$867,MATCH(Paramètres!J45,Paramètres!$G$5:$G$57,0)),INDEX($E$815:$E$867,MATCH(Paramètres!J45,Paramètres!$G$5:$G$57,0)))+IF(RIGHT(TRIM(Paramètres!K45),3)="Fin",1-$H855,IF(LEFT(TRIM(Paramètres!K45),1)="F",1,0)))),IF(Paramètres!L45="",0,IF(Paramètres!M45="",NA(),IF(LEFT(TRIM(Paramètres!M45),1)="F",INDEX($F$815:$F$867,MATCH(Paramètres!L45,Paramètres!$G$5:$G$57,0)),INDEX($E$815:$E$867,MATCH(Paramètres!L45,Paramètres!$G$5:$G$57,0)))+IF(RIGHT(TRIM(Paramètres!M45),3)="Fin",1-$H855,IF(LEFT(TRIM(Paramètres!M45),1)="F",1,0)))),IF(Paramètres!N45="",0,IF(Paramètres!O45="",NA(),IF(LEFT(TRIM(Paramètres!O45),1)="F",INDEX($F$815:$F$867,MATCH(Paramètres!N45,Paramètres!$G$5:$G$57,0)),INDEX($E$815:$E$867,MATCH(Paramètres!N45,Paramètres!$G$5:$G$57,0)))+IF(RIGHT(TRIM(Paramètres!O45),3)="Fin",1-$H855,IF(LEFT(TRIM(Paramètres!O45),1)="F",1,0)))))))</f>
        <v/>
      </c>
      <c r="F855" s="19">
        <f>IF($A855="","",E855+$H855-1)</f>
        <v/>
      </c>
      <c r="G855" s="18" t="n"/>
      <c r="H855" s="18">
        <f>IF($A855="","",IF(I855&lt;&gt;"",I855,Paramètres!B45))</f>
        <v/>
      </c>
      <c r="I855" s="18" t="n"/>
    </row>
    <row r="856">
      <c r="A856" s="18">
        <f>IF(ISNUMBER(Dossiers!$D$19),Dossiers!$A$19&amp;" · "&amp;Dossiers!$B$19,"")</f>
        <v/>
      </c>
      <c r="B856" s="18">
        <f>IF($A856="","",Paramètres!G46)</f>
        <v/>
      </c>
      <c r="C856" s="18">
        <f>IF($A856="","",IF(Paramètres!H46="","",Paramètres!H46))</f>
        <v/>
      </c>
      <c r="D856" s="18">
        <f>IF($A856="","",IF(Paramètres!I46="","",Paramètres!I46))</f>
        <v/>
      </c>
      <c r="E856" s="19">
        <f>IF($A856="","",IF(Paramètres!J46&amp;Paramètres!L46&amp;Paramètres!N46="",Dossiers!$D$19,MAX(IF(Paramètres!J46="",0,IF(Paramètres!K46="",NA(),IF(LEFT(TRIM(Paramètres!K46),1)="F",INDEX($F$815:$F$867,MATCH(Paramètres!J46,Paramètres!$G$5:$G$57,0)),INDEX($E$815:$E$867,MATCH(Paramètres!J46,Paramètres!$G$5:$G$57,0)))+IF(RIGHT(TRIM(Paramètres!K46),3)="Fin",1-$H856,IF(LEFT(TRIM(Paramètres!K46),1)="F",1,0)))),IF(Paramètres!L46="",0,IF(Paramètres!M46="",NA(),IF(LEFT(TRIM(Paramètres!M46),1)="F",INDEX($F$815:$F$867,MATCH(Paramètres!L46,Paramètres!$G$5:$G$57,0)),INDEX($E$815:$E$867,MATCH(Paramètres!L46,Paramètres!$G$5:$G$57,0)))+IF(RIGHT(TRIM(Paramètres!M46),3)="Fin",1-$H856,IF(LEFT(TRIM(Paramètres!M46),1)="F",1,0)))),IF(Paramètres!N46="",0,IF(Paramètres!O46="",NA(),IF(LEFT(TRIM(Paramètres!O46),1)="F",INDEX($F$815:$F$867,MATCH(Paramètres!N46,Paramètres!$G$5:$G$57,0)),INDEX($E$815:$E$867,MATCH(Paramètres!N46,Paramètres!$G$5:$G$57,0)))+IF(RIGHT(TRIM(Paramètres!O46),3)="Fin",1-$H856,IF(LEFT(TRIM(Paramètres!O46),1)="F",1,0)))))))</f>
        <v/>
      </c>
      <c r="F856" s="19">
        <f>IF($A856="","",E856+$H856-1)</f>
        <v/>
      </c>
      <c r="G856" s="18" t="n"/>
      <c r="H856" s="18">
        <f>IF($A856="","",IF(I856&lt;&gt;"",I856,Paramètres!B46))</f>
        <v/>
      </c>
      <c r="I856" s="18" t="n"/>
    </row>
    <row r="857">
      <c r="A857" s="18">
        <f>IF(ISNUMBER(Dossiers!$D$19),Dossiers!$A$19&amp;" · "&amp;Dossiers!$B$19,"")</f>
        <v/>
      </c>
      <c r="B857" s="18">
        <f>IF($A857="","",Paramètres!G47)</f>
        <v/>
      </c>
      <c r="C857" s="18">
        <f>IF($A857="","",IF(Paramètres!H47="","",Paramètres!H47))</f>
        <v/>
      </c>
      <c r="D857" s="18">
        <f>IF($A857="","",IF(Paramètres!I47="","",Paramètres!I47))</f>
        <v/>
      </c>
      <c r="E857" s="19">
        <f>IF($A857="","",IF(Paramètres!J47&amp;Paramètres!L47&amp;Paramètres!N47="",Dossiers!$D$19,MAX(IF(Paramètres!J47="",0,IF(Paramètres!K47="",NA(),IF(LEFT(TRIM(Paramètres!K47),1)="F",INDEX($F$815:$F$867,MATCH(Paramètres!J47,Paramètres!$G$5:$G$57,0)),INDEX($E$815:$E$867,MATCH(Paramètres!J47,Paramètres!$G$5:$G$57,0)))+IF(RIGHT(TRIM(Paramètres!K47),3)="Fin",1-$H857,IF(LEFT(TRIM(Paramètres!K47),1)="F",1,0)))),IF(Paramètres!L47="",0,IF(Paramètres!M47="",NA(),IF(LEFT(TRIM(Paramètres!M47),1)="F",INDEX($F$815:$F$867,MATCH(Paramètres!L47,Paramètres!$G$5:$G$57,0)),INDEX($E$815:$E$867,MATCH(Paramètres!L47,Paramètres!$G$5:$G$57,0)))+IF(RIGHT(TRIM(Paramètres!M47),3)="Fin",1-$H857,IF(LEFT(TRIM(Paramètres!M47),1)="F",1,0)))),IF(Paramètres!N47="",0,IF(Paramètres!O47="",NA(),IF(LEFT(TRIM(Paramètres!O47),1)="F",INDEX($F$815:$F$867,MATCH(Paramètres!N47,Paramètres!$G$5:$G$57,0)),INDEX($E$815:$E$867,MATCH(Paramètres!N47,Paramètres!$G$5:$G$57,0)))+IF(RIGHT(TRIM(Paramètres!O47),3)="Fin",1-$H857,IF(LEFT(TRIM(Paramètres!O47),1)="F",1,0)))))))</f>
        <v/>
      </c>
      <c r="F857" s="19">
        <f>IF($A857="","",E857+$H857-1)</f>
        <v/>
      </c>
      <c r="G857" s="18" t="n"/>
      <c r="H857" s="18">
        <f>IF($A857="","",IF(I857&lt;&gt;"",I857,Paramètres!B47))</f>
        <v/>
      </c>
      <c r="I857" s="18" t="n"/>
    </row>
    <row r="858">
      <c r="A858" s="18">
        <f>IF(ISNUMBER(Dossiers!$D$19),Dossiers!$A$19&amp;" · "&amp;Dossiers!$B$19,"")</f>
        <v/>
      </c>
      <c r="B858" s="18">
        <f>IF($A858="","",Paramètres!G48)</f>
        <v/>
      </c>
      <c r="C858" s="18">
        <f>IF($A858="","",IF(Paramètres!H48="","",Paramètres!H48))</f>
        <v/>
      </c>
      <c r="D858" s="18">
        <f>IF($A858="","",IF(Paramètres!I48="","",Paramètres!I48))</f>
        <v/>
      </c>
      <c r="E858" s="19">
        <f>IF($A858="","",IF(Paramètres!J48&amp;Paramètres!L48&amp;Paramètres!N48="",Dossiers!$D$19,MAX(IF(Paramètres!J48="",0,IF(Paramètres!K48="",NA(),IF(LEFT(TRIM(Paramètres!K48),1)="F",INDEX($F$815:$F$867,MATCH(Paramètres!J48,Paramètres!$G$5:$G$57,0)),INDEX($E$815:$E$867,MATCH(Paramètres!J48,Paramètres!$G$5:$G$57,0)))+IF(RIGHT(TRIM(Paramètres!K48),3)="Fin",1-$H858,IF(LEFT(TRIM(Paramètres!K48),1)="F",1,0)))),IF(Paramètres!L48="",0,IF(Paramètres!M48="",NA(),IF(LEFT(TRIM(Paramètres!M48),1)="F",INDEX($F$815:$F$867,MATCH(Paramètres!L48,Paramètres!$G$5:$G$57,0)),INDEX($E$815:$E$867,MATCH(Paramètres!L48,Paramètres!$G$5:$G$57,0)))+IF(RIGHT(TRIM(Paramètres!M48),3)="Fin",1-$H858,IF(LEFT(TRIM(Paramètres!M48),1)="F",1,0)))),IF(Paramètres!N48="",0,IF(Paramètres!O48="",NA(),IF(LEFT(TRIM(Paramètres!O48),1)="F",INDEX($F$815:$F$867,MATCH(Paramètres!N48,Paramètres!$G$5:$G$57,0)),INDEX($E$815:$E$867,MATCH(Paramètres!N48,Paramètres!$G$5:$G$57,0)))+IF(RIGHT(TRIM(Paramètres!O48),3)="Fin",1-$H858,IF(LEFT(TRIM(Paramètres!O48),1)="F",1,0)))))))</f>
        <v/>
      </c>
      <c r="F858" s="19">
        <f>IF($A858="","",E858+$H858-1)</f>
        <v/>
      </c>
      <c r="G858" s="18" t="n"/>
      <c r="H858" s="18">
        <f>IF($A858="","",IF(I858&lt;&gt;"",I858,Paramètres!B48))</f>
        <v/>
      </c>
      <c r="I858" s="18" t="n"/>
    </row>
    <row r="859">
      <c r="A859" s="18">
        <f>IF(ISNUMBER(Dossiers!$D$19),Dossiers!$A$19&amp;" · "&amp;Dossiers!$B$19,"")</f>
        <v/>
      </c>
      <c r="B859" s="18">
        <f>IF($A859="","",Paramètres!G49)</f>
        <v/>
      </c>
      <c r="C859" s="18">
        <f>IF($A859="","",IF(Paramètres!H49="","",Paramètres!H49))</f>
        <v/>
      </c>
      <c r="D859" s="18">
        <f>IF($A859="","",IF(Paramètres!I49="","",Paramètres!I49))</f>
        <v/>
      </c>
      <c r="E859" s="19">
        <f>IF($A859="","",IF(Paramètres!J49&amp;Paramètres!L49&amp;Paramètres!N49="",Dossiers!$D$19,MAX(IF(Paramètres!J49="",0,IF(Paramètres!K49="",NA(),IF(LEFT(TRIM(Paramètres!K49),1)="F",INDEX($F$815:$F$867,MATCH(Paramètres!J49,Paramètres!$G$5:$G$57,0)),INDEX($E$815:$E$867,MATCH(Paramètres!J49,Paramètres!$G$5:$G$57,0)))+IF(RIGHT(TRIM(Paramètres!K49),3)="Fin",1-$H859,IF(LEFT(TRIM(Paramètres!K49),1)="F",1,0)))),IF(Paramètres!L49="",0,IF(Paramètres!M49="",NA(),IF(LEFT(TRIM(Paramètres!M49),1)="F",INDEX($F$815:$F$867,MATCH(Paramètres!L49,Paramètres!$G$5:$G$57,0)),INDEX($E$815:$E$867,MATCH(Paramètres!L49,Paramètres!$G$5:$G$57,0)))+IF(RIGHT(TRIM(Paramètres!M49),3)="Fin",1-$H859,IF(LEFT(TRIM(Paramètres!M49),1)="F",1,0)))),IF(Paramètres!N49="",0,IF(Paramètres!O49="",NA(),IF(LEFT(TRIM(Paramètres!O49),1)="F",INDEX($F$815:$F$867,MATCH(Paramètres!N49,Paramètres!$G$5:$G$57,0)),INDEX($E$815:$E$867,MATCH(Paramètres!N49,Paramètres!$G$5:$G$57,0)))+IF(RIGHT(TRIM(Paramètres!O49),3)="Fin",1-$H859,IF(LEFT(TRIM(Paramètres!O49),1)="F",1,0)))))))</f>
        <v/>
      </c>
      <c r="F859" s="19">
        <f>IF($A859="","",E859+$H859-1)</f>
        <v/>
      </c>
      <c r="G859" s="18" t="n"/>
      <c r="H859" s="18">
        <f>IF($A859="","",IF(I859&lt;&gt;"",I859,Paramètres!B49))</f>
        <v/>
      </c>
      <c r="I859" s="18" t="n"/>
    </row>
    <row r="860">
      <c r="A860" s="18">
        <f>IF(ISNUMBER(Dossiers!$D$19),Dossiers!$A$19&amp;" · "&amp;Dossiers!$B$19,"")</f>
        <v/>
      </c>
      <c r="B860" s="18">
        <f>IF($A860="","",Paramètres!G50)</f>
        <v/>
      </c>
      <c r="C860" s="18">
        <f>IF($A860="","",IF(Paramètres!H50="","",Paramètres!H50))</f>
        <v/>
      </c>
      <c r="D860" s="18">
        <f>IF($A860="","",IF(Paramètres!I50="","",Paramètres!I50))</f>
        <v/>
      </c>
      <c r="E860" s="19">
        <f>IF($A860="","",IF(Paramètres!J50&amp;Paramètres!L50&amp;Paramètres!N50="",Dossiers!$D$19,MAX(IF(Paramètres!J50="",0,IF(Paramètres!K50="",NA(),IF(LEFT(TRIM(Paramètres!K50),1)="F",INDEX($F$815:$F$867,MATCH(Paramètres!J50,Paramètres!$G$5:$G$57,0)),INDEX($E$815:$E$867,MATCH(Paramètres!J50,Paramètres!$G$5:$G$57,0)))+IF(RIGHT(TRIM(Paramètres!K50),3)="Fin",1-$H860,IF(LEFT(TRIM(Paramètres!K50),1)="F",1,0)))),IF(Paramètres!L50="",0,IF(Paramètres!M50="",NA(),IF(LEFT(TRIM(Paramètres!M50),1)="F",INDEX($F$815:$F$867,MATCH(Paramètres!L50,Paramètres!$G$5:$G$57,0)),INDEX($E$815:$E$867,MATCH(Paramètres!L50,Paramètres!$G$5:$G$57,0)))+IF(RIGHT(TRIM(Paramètres!M50),3)="Fin",1-$H860,IF(LEFT(TRIM(Paramètres!M50),1)="F",1,0)))),IF(Paramètres!N50="",0,IF(Paramètres!O50="",NA(),IF(LEFT(TRIM(Paramètres!O50),1)="F",INDEX($F$815:$F$867,MATCH(Paramètres!N50,Paramètres!$G$5:$G$57,0)),INDEX($E$815:$E$867,MATCH(Paramètres!N50,Paramètres!$G$5:$G$57,0)))+IF(RIGHT(TRIM(Paramètres!O50),3)="Fin",1-$H860,IF(LEFT(TRIM(Paramètres!O50),1)="F",1,0)))))))</f>
        <v/>
      </c>
      <c r="F860" s="19">
        <f>IF($A860="","",E860+$H860-1)</f>
        <v/>
      </c>
      <c r="G860" s="18" t="n"/>
      <c r="H860" s="18">
        <f>IF($A860="","",IF(I860&lt;&gt;"",I860,Paramètres!B50))</f>
        <v/>
      </c>
      <c r="I860" s="18" t="n"/>
    </row>
    <row r="861">
      <c r="A861" s="18">
        <f>IF(ISNUMBER(Dossiers!$D$19),Dossiers!$A$19&amp;" · "&amp;Dossiers!$B$19,"")</f>
        <v/>
      </c>
      <c r="B861" s="18">
        <f>IF($A861="","",Paramètres!G51)</f>
        <v/>
      </c>
      <c r="C861" s="18">
        <f>IF($A861="","",IF(Paramètres!H51="","",Paramètres!H51))</f>
        <v/>
      </c>
      <c r="D861" s="18">
        <f>IF($A861="","",IF(Paramètres!I51="","",Paramètres!I51))</f>
        <v/>
      </c>
      <c r="E861" s="19">
        <f>IF($A861="","",IF(Paramètres!J51&amp;Paramètres!L51&amp;Paramètres!N51="",Dossiers!$D$19,MAX(IF(Paramètres!J51="",0,IF(Paramètres!K51="",NA(),IF(LEFT(TRIM(Paramètres!K51),1)="F",INDEX($F$815:$F$867,MATCH(Paramètres!J51,Paramètres!$G$5:$G$57,0)),INDEX($E$815:$E$867,MATCH(Paramètres!J51,Paramètres!$G$5:$G$57,0)))+IF(RIGHT(TRIM(Paramètres!K51),3)="Fin",1-$H861,IF(LEFT(TRIM(Paramètres!K51),1)="F",1,0)))),IF(Paramètres!L51="",0,IF(Paramètres!M51="",NA(),IF(LEFT(TRIM(Paramètres!M51),1)="F",INDEX($F$815:$F$867,MATCH(Paramètres!L51,Paramètres!$G$5:$G$57,0)),INDEX($E$815:$E$867,MATCH(Paramètres!L51,Paramètres!$G$5:$G$57,0)))+IF(RIGHT(TRIM(Paramètres!M51),3)="Fin",1-$H861,IF(LEFT(TRIM(Paramètres!M51),1)="F",1,0)))),IF(Paramètres!N51="",0,IF(Paramètres!O51="",NA(),IF(LEFT(TRIM(Paramètres!O51),1)="F",INDEX($F$815:$F$867,MATCH(Paramètres!N51,Paramètres!$G$5:$G$57,0)),INDEX($E$815:$E$867,MATCH(Paramètres!N51,Paramètres!$G$5:$G$57,0)))+IF(RIGHT(TRIM(Paramètres!O51),3)="Fin",1-$H861,IF(LEFT(TRIM(Paramètres!O51),1)="F",1,0)))))))</f>
        <v/>
      </c>
      <c r="F861" s="19">
        <f>IF($A861="","",E861+$H861-1)</f>
        <v/>
      </c>
      <c r="G861" s="18" t="n"/>
      <c r="H861" s="18">
        <f>IF($A861="","",IF(I861&lt;&gt;"",I861,Paramètres!B51))</f>
        <v/>
      </c>
      <c r="I861" s="18" t="n"/>
    </row>
    <row r="862">
      <c r="A862" s="18">
        <f>IF(ISNUMBER(Dossiers!$D$19),Dossiers!$A$19&amp;" · "&amp;Dossiers!$B$19,"")</f>
        <v/>
      </c>
      <c r="B862" s="18">
        <f>IF($A862="","",Paramètres!G52)</f>
        <v/>
      </c>
      <c r="C862" s="18">
        <f>IF($A862="","",IF(Paramètres!H52="","",Paramètres!H52))</f>
        <v/>
      </c>
      <c r="D862" s="18">
        <f>IF($A862="","",IF(Paramètres!I52="","",Paramètres!I52))</f>
        <v/>
      </c>
      <c r="E862" s="19">
        <f>IF($A862="","",IF(Paramètres!J52&amp;Paramètres!L52&amp;Paramètres!N52="",Dossiers!$D$19,MAX(IF(Paramètres!J52="",0,IF(Paramètres!K52="",NA(),IF(LEFT(TRIM(Paramètres!K52),1)="F",INDEX($F$815:$F$867,MATCH(Paramètres!J52,Paramètres!$G$5:$G$57,0)),INDEX($E$815:$E$867,MATCH(Paramètres!J52,Paramètres!$G$5:$G$57,0)))+IF(RIGHT(TRIM(Paramètres!K52),3)="Fin",1-$H862,IF(LEFT(TRIM(Paramètres!K52),1)="F",1,0)))),IF(Paramètres!L52="",0,IF(Paramètres!M52="",NA(),IF(LEFT(TRIM(Paramètres!M52),1)="F",INDEX($F$815:$F$867,MATCH(Paramètres!L52,Paramètres!$G$5:$G$57,0)),INDEX($E$815:$E$867,MATCH(Paramètres!L52,Paramètres!$G$5:$G$57,0)))+IF(RIGHT(TRIM(Paramètres!M52),3)="Fin",1-$H862,IF(LEFT(TRIM(Paramètres!M52),1)="F",1,0)))),IF(Paramètres!N52="",0,IF(Paramètres!O52="",NA(),IF(LEFT(TRIM(Paramètres!O52),1)="F",INDEX($F$815:$F$867,MATCH(Paramètres!N52,Paramètres!$G$5:$G$57,0)),INDEX($E$815:$E$867,MATCH(Paramètres!N52,Paramètres!$G$5:$G$57,0)))+IF(RIGHT(TRIM(Paramètres!O52),3)="Fin",1-$H862,IF(LEFT(TRIM(Paramètres!O52),1)="F",1,0)))))))</f>
        <v/>
      </c>
      <c r="F862" s="19">
        <f>IF($A862="","",E862+$H862-1)</f>
        <v/>
      </c>
      <c r="G862" s="18" t="n"/>
      <c r="H862" s="18">
        <f>IF($A862="","",IF(I862&lt;&gt;"",I862,Paramètres!B52))</f>
        <v/>
      </c>
      <c r="I862" s="18" t="n"/>
    </row>
    <row r="863">
      <c r="A863" s="18">
        <f>IF(ISNUMBER(Dossiers!$D$19),Dossiers!$A$19&amp;" · "&amp;Dossiers!$B$19,"")</f>
        <v/>
      </c>
      <c r="B863" s="18">
        <f>IF($A863="","",Paramètres!G53)</f>
        <v/>
      </c>
      <c r="C863" s="18">
        <f>IF($A863="","",IF(Paramètres!H53="","",Paramètres!H53))</f>
        <v/>
      </c>
      <c r="D863" s="18">
        <f>IF($A863="","",IF(Paramètres!I53="","",Paramètres!I53))</f>
        <v/>
      </c>
      <c r="E863" s="19">
        <f>IF($A863="","",IF(Paramètres!J53&amp;Paramètres!L53&amp;Paramètres!N53="",Dossiers!$D$19,MAX(IF(Paramètres!J53="",0,IF(Paramètres!K53="",NA(),IF(LEFT(TRIM(Paramètres!K53),1)="F",INDEX($F$815:$F$867,MATCH(Paramètres!J53,Paramètres!$G$5:$G$57,0)),INDEX($E$815:$E$867,MATCH(Paramètres!J53,Paramètres!$G$5:$G$57,0)))+IF(RIGHT(TRIM(Paramètres!K53),3)="Fin",1-$H863,IF(LEFT(TRIM(Paramètres!K53),1)="F",1,0)))),IF(Paramètres!L53="",0,IF(Paramètres!M53="",NA(),IF(LEFT(TRIM(Paramètres!M53),1)="F",INDEX($F$815:$F$867,MATCH(Paramètres!L53,Paramètres!$G$5:$G$57,0)),INDEX($E$815:$E$867,MATCH(Paramètres!L53,Paramètres!$G$5:$G$57,0)))+IF(RIGHT(TRIM(Paramètres!M53),3)="Fin",1-$H863,IF(LEFT(TRIM(Paramètres!M53),1)="F",1,0)))),IF(Paramètres!N53="",0,IF(Paramètres!O53="",NA(),IF(LEFT(TRIM(Paramètres!O53),1)="F",INDEX($F$815:$F$867,MATCH(Paramètres!N53,Paramètres!$G$5:$G$57,0)),INDEX($E$815:$E$867,MATCH(Paramètres!N53,Paramètres!$G$5:$G$57,0)))+IF(RIGHT(TRIM(Paramètres!O53),3)="Fin",1-$H863,IF(LEFT(TRIM(Paramètres!O53),1)="F",1,0)))))))</f>
        <v/>
      </c>
      <c r="F863" s="19">
        <f>IF($A863="","",E863+$H863-1)</f>
        <v/>
      </c>
      <c r="G863" s="18" t="n"/>
      <c r="H863" s="18">
        <f>IF($A863="","",IF(I863&lt;&gt;"",I863,Paramètres!B53))</f>
        <v/>
      </c>
      <c r="I863" s="18" t="n"/>
    </row>
    <row r="864">
      <c r="A864" s="18">
        <f>IF(ISNUMBER(Dossiers!$D$19),Dossiers!$A$19&amp;" · "&amp;Dossiers!$B$19,"")</f>
        <v/>
      </c>
      <c r="B864" s="18">
        <f>IF($A864="","",Paramètres!G54)</f>
        <v/>
      </c>
      <c r="C864" s="18">
        <f>IF($A864="","",IF(Paramètres!H54="","",Paramètres!H54))</f>
        <v/>
      </c>
      <c r="D864" s="18">
        <f>IF($A864="","",IF(Paramètres!I54="","",Paramètres!I54))</f>
        <v/>
      </c>
      <c r="E864" s="19">
        <f>IF($A864="","",IF(Paramètres!J54&amp;Paramètres!L54&amp;Paramètres!N54="",Dossiers!$D$19,MAX(IF(Paramètres!J54="",0,IF(Paramètres!K54="",NA(),IF(LEFT(TRIM(Paramètres!K54),1)="F",INDEX($F$815:$F$867,MATCH(Paramètres!J54,Paramètres!$G$5:$G$57,0)),INDEX($E$815:$E$867,MATCH(Paramètres!J54,Paramètres!$G$5:$G$57,0)))+IF(RIGHT(TRIM(Paramètres!K54),3)="Fin",1-$H864,IF(LEFT(TRIM(Paramètres!K54),1)="F",1,0)))),IF(Paramètres!L54="",0,IF(Paramètres!M54="",NA(),IF(LEFT(TRIM(Paramètres!M54),1)="F",INDEX($F$815:$F$867,MATCH(Paramètres!L54,Paramètres!$G$5:$G$57,0)),INDEX($E$815:$E$867,MATCH(Paramètres!L54,Paramètres!$G$5:$G$57,0)))+IF(RIGHT(TRIM(Paramètres!M54),3)="Fin",1-$H864,IF(LEFT(TRIM(Paramètres!M54),1)="F",1,0)))),IF(Paramètres!N54="",0,IF(Paramètres!O54="",NA(),IF(LEFT(TRIM(Paramètres!O54),1)="F",INDEX($F$815:$F$867,MATCH(Paramètres!N54,Paramètres!$G$5:$G$57,0)),INDEX($E$815:$E$867,MATCH(Paramètres!N54,Paramètres!$G$5:$G$57,0)))+IF(RIGHT(TRIM(Paramètres!O54),3)="Fin",1-$H864,IF(LEFT(TRIM(Paramètres!O54),1)="F",1,0)))))))</f>
        <v/>
      </c>
      <c r="F864" s="19">
        <f>IF($A864="","",E864+$H864-1)</f>
        <v/>
      </c>
      <c r="G864" s="18" t="n"/>
      <c r="H864" s="18">
        <f>IF($A864="","",IF(I864&lt;&gt;"",I864,Paramètres!B54))</f>
        <v/>
      </c>
      <c r="I864" s="18" t="n"/>
    </row>
    <row r="865">
      <c r="A865" s="18">
        <f>IF(ISNUMBER(Dossiers!$D$19),Dossiers!$A$19&amp;" · "&amp;Dossiers!$B$19,"")</f>
        <v/>
      </c>
      <c r="B865" s="18">
        <f>IF($A865="","",Paramètres!G55)</f>
        <v/>
      </c>
      <c r="C865" s="18">
        <f>IF($A865="","",IF(Paramètres!H55="","",Paramètres!H55))</f>
        <v/>
      </c>
      <c r="D865" s="18">
        <f>IF($A865="","",IF(Paramètres!I55="","",Paramètres!I55))</f>
        <v/>
      </c>
      <c r="E865" s="19">
        <f>IF($A865="","",IF(Paramètres!J55&amp;Paramètres!L55&amp;Paramètres!N55="",Dossiers!$D$19,MAX(IF(Paramètres!J55="",0,IF(Paramètres!K55="",NA(),IF(LEFT(TRIM(Paramètres!K55),1)="F",INDEX($F$815:$F$867,MATCH(Paramètres!J55,Paramètres!$G$5:$G$57,0)),INDEX($E$815:$E$867,MATCH(Paramètres!J55,Paramètres!$G$5:$G$57,0)))+IF(RIGHT(TRIM(Paramètres!K55),3)="Fin",1-$H865,IF(LEFT(TRIM(Paramètres!K55),1)="F",1,0)))),IF(Paramètres!L55="",0,IF(Paramètres!M55="",NA(),IF(LEFT(TRIM(Paramètres!M55),1)="F",INDEX($F$815:$F$867,MATCH(Paramètres!L55,Paramètres!$G$5:$G$57,0)),INDEX($E$815:$E$867,MATCH(Paramètres!L55,Paramètres!$G$5:$G$57,0)))+IF(RIGHT(TRIM(Paramètres!M55),3)="Fin",1-$H865,IF(LEFT(TRIM(Paramètres!M55),1)="F",1,0)))),IF(Paramètres!N55="",0,IF(Paramètres!O55="",NA(),IF(LEFT(TRIM(Paramètres!O55),1)="F",INDEX($F$815:$F$867,MATCH(Paramètres!N55,Paramètres!$G$5:$G$57,0)),INDEX($E$815:$E$867,MATCH(Paramètres!N55,Paramètres!$G$5:$G$57,0)))+IF(RIGHT(TRIM(Paramètres!O55),3)="Fin",1-$H865,IF(LEFT(TRIM(Paramètres!O55),1)="F",1,0)))))))</f>
        <v/>
      </c>
      <c r="F865" s="19">
        <f>IF($A865="","",E865+$H865-1)</f>
        <v/>
      </c>
      <c r="G865" s="18" t="n"/>
      <c r="H865" s="18">
        <f>IF($A865="","",IF(I865&lt;&gt;"",I865,Paramètres!B55))</f>
        <v/>
      </c>
      <c r="I865" s="18" t="n"/>
    </row>
    <row r="866">
      <c r="A866" s="18">
        <f>IF(ISNUMBER(Dossiers!$D$19),Dossiers!$A$19&amp;" · "&amp;Dossiers!$B$19,"")</f>
        <v/>
      </c>
      <c r="B866" s="18">
        <f>IF($A866="","",Paramètres!G56)</f>
        <v/>
      </c>
      <c r="C866" s="18">
        <f>IF($A866="","",IF(Paramètres!H56="","",Paramètres!H56))</f>
        <v/>
      </c>
      <c r="D866" s="18">
        <f>IF($A866="","",IF(Paramètres!I56="","",Paramètres!I56))</f>
        <v/>
      </c>
      <c r="E866" s="19">
        <f>IF($A866="","",MIN(E867:E867))</f>
        <v/>
      </c>
      <c r="F866" s="19">
        <f>IF($A866="","",MAX(F867:F867))</f>
        <v/>
      </c>
      <c r="G866" s="18" t="n"/>
      <c r="H866" s="18">
        <f>IF($A866="","",F866-E866+1)</f>
        <v/>
      </c>
      <c r="I866" s="18" t="n"/>
    </row>
    <row r="867">
      <c r="A867" s="18">
        <f>IF(ISNUMBER(Dossiers!$D$19),Dossiers!$A$19&amp;" · "&amp;Dossiers!$B$19,"")</f>
        <v/>
      </c>
      <c r="B867" s="18">
        <f>IF($A867="","",Paramètres!G57)</f>
        <v/>
      </c>
      <c r="C867" s="18">
        <f>IF($A867="","",IF(Paramètres!H57="","",Paramètres!H57))</f>
        <v/>
      </c>
      <c r="D867" s="18">
        <f>IF($A867="","",IF(Paramètres!I57="","",Paramètres!I57))</f>
        <v/>
      </c>
      <c r="E867" s="19">
        <f>IF($A867="","",IF(Paramètres!J57&amp;Paramètres!L57&amp;Paramètres!N57="",Dossiers!$D$19,MAX(IF(Paramètres!J57="",0,IF(Paramètres!K57="",NA(),IF(LEFT(TRIM(Paramètres!K57),1)="F",INDEX($F$815:$F$867,MATCH(Paramètres!J57,Paramètres!$G$5:$G$57,0)),INDEX($E$815:$E$867,MATCH(Paramètres!J57,Paramètres!$G$5:$G$57,0)))+IF(RIGHT(TRIM(Paramètres!K57),3)="Fin",1-$H867,IF(LEFT(TRIM(Paramètres!K57),1)="F",1,0)))),IF(Paramètres!L57="",0,IF(Paramètres!M57="",NA(),IF(LEFT(TRIM(Paramètres!M57),1)="F",INDEX($F$815:$F$867,MATCH(Paramètres!L57,Paramètres!$G$5:$G$57,0)),INDEX($E$815:$E$867,MATCH(Paramètres!L57,Paramètres!$G$5:$G$57,0)))+IF(RIGHT(TRIM(Paramètres!M57),3)="Fin",1-$H867,IF(LEFT(TRIM(Paramètres!M57),1)="F",1,0)))),IF(Paramètres!N57="",0,IF(Paramètres!O57="",NA(),IF(LEFT(TRIM(Paramètres!O57),1)="F",INDEX($F$815:$F$867,MATCH(Paramètres!N57,Paramètres!$G$5:$G$57,0)),INDEX($E$815:$E$867,MATCH(Paramètres!N57,Paramètres!$G$5:$G$57,0)))+IF(RIGHT(TRIM(Paramètres!O57),3)="Fin",1-$H867,IF(LEFT(TRIM(Paramètres!O57),1)="F",1,0)))))))</f>
        <v/>
      </c>
      <c r="F867" s="19">
        <f>IF($A867="","",E867+$H867-1)</f>
        <v/>
      </c>
      <c r="G867" s="18" t="n"/>
      <c r="H867" s="18">
        <f>IF($A867="","",IF(I867&lt;&gt;"",I867,Paramètres!B57))</f>
        <v/>
      </c>
      <c r="I867" s="18" t="n"/>
    </row>
    <row r="868">
      <c r="A868" s="16">
        <f>IF(ISNUMBER(Dossiers!$D$20),Dossiers!$E$20,"")</f>
        <v/>
      </c>
      <c r="B868" s="16">
        <f>IF($A868="","","Identifiant")</f>
        <v/>
      </c>
      <c r="C868" s="16">
        <f>IF($A868="","","Macro Etape")</f>
        <v/>
      </c>
      <c r="D868" s="16">
        <f>IF($A868="","","Etape")</f>
        <v/>
      </c>
      <c r="E868" s="17">
        <f>IF($A868="","","Début le")</f>
        <v/>
      </c>
      <c r="F868" s="17">
        <f>IF($A868="","","Fin prévue le")</f>
        <v/>
      </c>
      <c r="G868" s="16">
        <f>IF($A868="","","Statut")</f>
        <v/>
      </c>
      <c r="H868" s="16">
        <f>IF($A868="","","Durée (jours)")</f>
        <v/>
      </c>
      <c r="I868" s="16">
        <f>IF($A868="","","Durée particulière")</f>
        <v/>
      </c>
      <c r="J868" s="10">
        <f>IF($A868="","",HYPERLINK("#'Tableau de bord'!A1","↑ Tableau de bord"))</f>
        <v/>
      </c>
    </row>
    <row r="869">
      <c r="A869" s="18">
        <f>IF(ISNUMBER(Dossiers!$D$20),Dossiers!$A$20&amp;" · "&amp;Dossiers!$B$20,"")</f>
        <v/>
      </c>
      <c r="B869" s="18">
        <f>IF($A869="","",Paramètres!G5)</f>
        <v/>
      </c>
      <c r="C869" s="18">
        <f>IF($A869="","",IF(Paramètres!H5="","",Paramètres!H5))</f>
        <v/>
      </c>
      <c r="D869" s="18">
        <f>IF($A869="","",IF(Paramètres!I5="","",Paramètres!I5))</f>
        <v/>
      </c>
      <c r="E869" s="19">
        <f>IF($A869="","",MIN(E870:E873))</f>
        <v/>
      </c>
      <c r="F869" s="19">
        <f>IF($A869="","",MAX(F870:F873))</f>
        <v/>
      </c>
      <c r="G869" s="18" t="n"/>
      <c r="H869" s="18">
        <f>IF($A869="","",F869-E869+1)</f>
        <v/>
      </c>
      <c r="I869" s="18" t="n"/>
    </row>
    <row r="870">
      <c r="A870" s="18">
        <f>IF(ISNUMBER(Dossiers!$D$20),Dossiers!$A$20&amp;" · "&amp;Dossiers!$B$20,"")</f>
        <v/>
      </c>
      <c r="B870" s="18">
        <f>IF($A870="","",Paramètres!G6)</f>
        <v/>
      </c>
      <c r="C870" s="18">
        <f>IF($A870="","",IF(Paramètres!H6="","",Paramètres!H6))</f>
        <v/>
      </c>
      <c r="D870" s="18">
        <f>IF($A870="","",IF(Paramètres!I6="","",Paramètres!I6))</f>
        <v/>
      </c>
      <c r="E870" s="19">
        <f>IF($A870="","",IF(Paramètres!J6&amp;Paramètres!L6&amp;Paramètres!N6="",Dossiers!$D$20,MAX(IF(Paramètres!J6="",0,IF(Paramètres!K6="",NA(),IF(LEFT(TRIM(Paramètres!K6),1)="F",INDEX($F$869:$F$921,MATCH(Paramètres!J6,Paramètres!$G$5:$G$57,0)),INDEX($E$869:$E$921,MATCH(Paramètres!J6,Paramètres!$G$5:$G$57,0)))+IF(RIGHT(TRIM(Paramètres!K6),3)="Fin",1-$H870,IF(LEFT(TRIM(Paramètres!K6),1)="F",1,0)))),IF(Paramètres!L6="",0,IF(Paramètres!M6="",NA(),IF(LEFT(TRIM(Paramètres!M6),1)="F",INDEX($F$869:$F$921,MATCH(Paramètres!L6,Paramètres!$G$5:$G$57,0)),INDEX($E$869:$E$921,MATCH(Paramètres!L6,Paramètres!$G$5:$G$57,0)))+IF(RIGHT(TRIM(Paramètres!M6),3)="Fin",1-$H870,IF(LEFT(TRIM(Paramètres!M6),1)="F",1,0)))),IF(Paramètres!N6="",0,IF(Paramètres!O6="",NA(),IF(LEFT(TRIM(Paramètres!O6),1)="F",INDEX($F$869:$F$921,MATCH(Paramètres!N6,Paramètres!$G$5:$G$57,0)),INDEX($E$869:$E$921,MATCH(Paramètres!N6,Paramètres!$G$5:$G$57,0)))+IF(RIGHT(TRIM(Paramètres!O6),3)="Fin",1-$H870,IF(LEFT(TRIM(Paramètres!O6),1)="F",1,0)))))))</f>
        <v/>
      </c>
      <c r="F870" s="19">
        <f>IF($A870="","",E870+$H870-1)</f>
        <v/>
      </c>
      <c r="G870" s="18" t="n"/>
      <c r="H870" s="18">
        <f>IF($A870="","",IF(I870&lt;&gt;"",I870,Paramètres!B6))</f>
        <v/>
      </c>
      <c r="I870" s="18" t="n"/>
    </row>
    <row r="871">
      <c r="A871" s="18">
        <f>IF(ISNUMBER(Dossiers!$D$20),Dossiers!$A$20&amp;" · "&amp;Dossiers!$B$20,"")</f>
        <v/>
      </c>
      <c r="B871" s="18">
        <f>IF($A871="","",Paramètres!G7)</f>
        <v/>
      </c>
      <c r="C871" s="18">
        <f>IF($A871="","",IF(Paramètres!H7="","",Paramètres!H7))</f>
        <v/>
      </c>
      <c r="D871" s="18">
        <f>IF($A871="","",IF(Paramètres!I7="","",Paramètres!I7))</f>
        <v/>
      </c>
      <c r="E871" s="19">
        <f>IF($A871="","",IF(Paramètres!J7&amp;Paramètres!L7&amp;Paramètres!N7="",Dossiers!$D$20,MAX(IF(Paramètres!J7="",0,IF(Paramètres!K7="",NA(),IF(LEFT(TRIM(Paramètres!K7),1)="F",INDEX($F$869:$F$921,MATCH(Paramètres!J7,Paramètres!$G$5:$G$57,0)),INDEX($E$869:$E$921,MATCH(Paramètres!J7,Paramètres!$G$5:$G$57,0)))+IF(RIGHT(TRIM(Paramètres!K7),3)="Fin",1-$H871,IF(LEFT(TRIM(Paramètres!K7),1)="F",1,0)))),IF(Paramètres!L7="",0,IF(Paramètres!M7="",NA(),IF(LEFT(TRIM(Paramètres!M7),1)="F",INDEX($F$869:$F$921,MATCH(Paramètres!L7,Paramètres!$G$5:$G$57,0)),INDEX($E$869:$E$921,MATCH(Paramètres!L7,Paramètres!$G$5:$G$57,0)))+IF(RIGHT(TRIM(Paramètres!M7),3)="Fin",1-$H871,IF(LEFT(TRIM(Paramètres!M7),1)="F",1,0)))),IF(Paramètres!N7="",0,IF(Paramètres!O7="",NA(),IF(LEFT(TRIM(Paramètres!O7),1)="F",INDEX($F$869:$F$921,MATCH(Paramètres!N7,Paramètres!$G$5:$G$57,0)),INDEX($E$869:$E$921,MATCH(Paramètres!N7,Paramètres!$G$5:$G$57,0)))+IF(RIGHT(TRIM(Paramètres!O7),3)="Fin",1-$H871,IF(LEFT(TRIM(Paramètres!O7),1)="F",1,0)))))))</f>
        <v/>
      </c>
      <c r="F871" s="19">
        <f>IF($A871="","",E871+$H871-1)</f>
        <v/>
      </c>
      <c r="G871" s="18" t="n"/>
      <c r="H871" s="18">
        <f>IF($A871="","",IF(I871&lt;&gt;"",I871,Paramètres!B7))</f>
        <v/>
      </c>
      <c r="I871" s="18" t="n"/>
    </row>
    <row r="872">
      <c r="A872" s="18">
        <f>IF(ISNUMBER(Dossiers!$D$20),Dossiers!$A$20&amp;" · "&amp;Dossiers!$B$20,"")</f>
        <v/>
      </c>
      <c r="B872" s="18">
        <f>IF($A872="","",Paramètres!G8)</f>
        <v/>
      </c>
      <c r="C872" s="18">
        <f>IF($A872="","",IF(Paramètres!H8="","",Paramètres!H8))</f>
        <v/>
      </c>
      <c r="D872" s="18">
        <f>IF($A872="","",IF(Paramètres!I8="","",Paramètres!I8))</f>
        <v/>
      </c>
      <c r="E872" s="19">
        <f>IF($A872="","",IF(Paramètres!J8&amp;Paramètres!L8&amp;Paramètres!N8="",Dossiers!$D$20,MAX(IF(Paramètres!J8="",0,IF(Paramètres!K8="",NA(),IF(LEFT(TRIM(Paramètres!K8),1)="F",INDEX($F$869:$F$921,MATCH(Paramètres!J8,Paramètres!$G$5:$G$57,0)),INDEX($E$869:$E$921,MATCH(Paramètres!J8,Paramètres!$G$5:$G$57,0)))+IF(RIGHT(TRIM(Paramètres!K8),3)="Fin",1-$H872,IF(LEFT(TRIM(Paramètres!K8),1)="F",1,0)))),IF(Paramètres!L8="",0,IF(Paramètres!M8="",NA(),IF(LEFT(TRIM(Paramètres!M8),1)="F",INDEX($F$869:$F$921,MATCH(Paramètres!L8,Paramètres!$G$5:$G$57,0)),INDEX($E$869:$E$921,MATCH(Paramètres!L8,Paramètres!$G$5:$G$57,0)))+IF(RIGHT(TRIM(Paramètres!M8),3)="Fin",1-$H872,IF(LEFT(TRIM(Paramètres!M8),1)="F",1,0)))),IF(Paramètres!N8="",0,IF(Paramètres!O8="",NA(),IF(LEFT(TRIM(Paramètres!O8),1)="F",INDEX($F$869:$F$921,MATCH(Paramètres!N8,Paramètres!$G$5:$G$57,0)),INDEX($E$869:$E$921,MATCH(Paramètres!N8,Paramètres!$G$5:$G$57,0)))+IF(RIGHT(TRIM(Paramètres!O8),3)="Fin",1-$H872,IF(LEFT(TRIM(Paramètres!O8),1)="F",1,0)))))))</f>
        <v/>
      </c>
      <c r="F872" s="19">
        <f>IF($A872="","",E872+$H872-1)</f>
        <v/>
      </c>
      <c r="G872" s="18" t="n"/>
      <c r="H872" s="18">
        <f>IF($A872="","",IF(I872&lt;&gt;"",I872,Paramètres!B8))</f>
        <v/>
      </c>
      <c r="I872" s="18" t="n"/>
    </row>
    <row r="873">
      <c r="A873" s="18">
        <f>IF(ISNUMBER(Dossiers!$D$20),Dossiers!$A$20&amp;" · "&amp;Dossiers!$B$20,"")</f>
        <v/>
      </c>
      <c r="B873" s="18">
        <f>IF($A873="","",Paramètres!G9)</f>
        <v/>
      </c>
      <c r="C873" s="18">
        <f>IF($A873="","",IF(Paramètres!H9="","",Paramètres!H9))</f>
        <v/>
      </c>
      <c r="D873" s="18">
        <f>IF($A873="","",IF(Paramètres!I9="","",Paramètres!I9))</f>
        <v/>
      </c>
      <c r="E873" s="19">
        <f>IF($A873="","",IF(Paramètres!J9&amp;Paramètres!L9&amp;Paramètres!N9="",Dossiers!$D$20,MAX(IF(Paramètres!J9="",0,IF(Paramètres!K9="",NA(),IF(LEFT(TRIM(Paramètres!K9),1)="F",INDEX($F$869:$F$921,MATCH(Paramètres!J9,Paramètres!$G$5:$G$57,0)),INDEX($E$869:$E$921,MATCH(Paramètres!J9,Paramètres!$G$5:$G$57,0)))+IF(RIGHT(TRIM(Paramètres!K9),3)="Fin",1-$H873,IF(LEFT(TRIM(Paramètres!K9),1)="F",1,0)))),IF(Paramètres!L9="",0,IF(Paramètres!M9="",NA(),IF(LEFT(TRIM(Paramètres!M9),1)="F",INDEX($F$869:$F$921,MATCH(Paramètres!L9,Paramètres!$G$5:$G$57,0)),INDEX($E$869:$E$921,MATCH(Paramètres!L9,Paramètres!$G$5:$G$57,0)))+IF(RIGHT(TRIM(Paramètres!M9),3)="Fin",1-$H873,IF(LEFT(TRIM(Paramètres!M9),1)="F",1,0)))),IF(Paramètres!N9="",0,IF(Paramètres!O9="",NA(),IF(LEFT(TRIM(Paramètres!O9),1)="F",INDEX($F$869:$F$921,MATCH(Paramètres!N9,Paramètres!$G$5:$G$57,0)),INDEX($E$869:$E$921,MATCH(Paramètres!N9,Paramètres!$G$5:$G$57,0)))+IF(RIGHT(TRIM(Paramètres!O9),3)="Fin",1-$H873,IF(LEFT(TRIM(Paramètres!O9),1)="F",1,0)))))))</f>
        <v/>
      </c>
      <c r="F873" s="19">
        <f>IF($A873="","",E873+$H873-1)</f>
        <v/>
      </c>
      <c r="G873" s="18" t="n"/>
      <c r="H873" s="18">
        <f>IF($A873="","",IF(I873&lt;&gt;"",I873,Paramètres!B9))</f>
        <v/>
      </c>
      <c r="I873" s="18" t="n"/>
    </row>
    <row r="874">
      <c r="A874" s="18">
        <f>IF(ISNUMBER(Dossiers!$D$20),Dossiers!$A$20&amp;" · "&amp;Dossiers!$B$20,"")</f>
        <v/>
      </c>
      <c r="B874" s="18">
        <f>IF($A874="","",Paramètres!G10)</f>
        <v/>
      </c>
      <c r="C874" s="18">
        <f>IF($A874="","",IF(Paramètres!H10="","",Paramètres!H10))</f>
        <v/>
      </c>
      <c r="D874" s="18">
        <f>IF($A874="","",IF(Paramètres!I10="","",Paramètres!I10))</f>
        <v/>
      </c>
      <c r="E874" s="19">
        <f>IF($A874="","",MIN(E875:E878))</f>
        <v/>
      </c>
      <c r="F874" s="19">
        <f>IF($A874="","",MAX(F875:F878))</f>
        <v/>
      </c>
      <c r="G874" s="18" t="n"/>
      <c r="H874" s="18">
        <f>IF($A874="","",F874-E874+1)</f>
        <v/>
      </c>
      <c r="I874" s="18" t="n"/>
    </row>
    <row r="875">
      <c r="A875" s="18">
        <f>IF(ISNUMBER(Dossiers!$D$20),Dossiers!$A$20&amp;" · "&amp;Dossiers!$B$20,"")</f>
        <v/>
      </c>
      <c r="B875" s="18">
        <f>IF($A875="","",Paramètres!G11)</f>
        <v/>
      </c>
      <c r="C875" s="18">
        <f>IF($A875="","",IF(Paramètres!H11="","",Paramètres!H11))</f>
        <v/>
      </c>
      <c r="D875" s="18">
        <f>IF($A875="","",IF(Paramètres!I11="","",Paramètres!I11))</f>
        <v/>
      </c>
      <c r="E875" s="19">
        <f>IF($A875="","",IF(Paramètres!J11&amp;Paramètres!L11&amp;Paramètres!N11="",Dossiers!$D$20,MAX(IF(Paramètres!J11="",0,IF(Paramètres!K11="",NA(),IF(LEFT(TRIM(Paramètres!K11),1)="F",INDEX($F$869:$F$921,MATCH(Paramètres!J11,Paramètres!$G$5:$G$57,0)),INDEX($E$869:$E$921,MATCH(Paramètres!J11,Paramètres!$G$5:$G$57,0)))+IF(RIGHT(TRIM(Paramètres!K11),3)="Fin",1-$H875,IF(LEFT(TRIM(Paramètres!K11),1)="F",1,0)))),IF(Paramètres!L11="",0,IF(Paramètres!M11="",NA(),IF(LEFT(TRIM(Paramètres!M11),1)="F",INDEX($F$869:$F$921,MATCH(Paramètres!L11,Paramètres!$G$5:$G$57,0)),INDEX($E$869:$E$921,MATCH(Paramètres!L11,Paramètres!$G$5:$G$57,0)))+IF(RIGHT(TRIM(Paramètres!M11),3)="Fin",1-$H875,IF(LEFT(TRIM(Paramètres!M11),1)="F",1,0)))),IF(Paramètres!N11="",0,IF(Paramètres!O11="",NA(),IF(LEFT(TRIM(Paramètres!O11),1)="F",INDEX($F$869:$F$921,MATCH(Paramètres!N11,Paramètres!$G$5:$G$57,0)),INDEX($E$869:$E$921,MATCH(Paramètres!N11,Paramètres!$G$5:$G$57,0)))+IF(RIGHT(TRIM(Paramètres!O11),3)="Fin",1-$H875,IF(LEFT(TRIM(Paramètres!O11),1)="F",1,0)))))))</f>
        <v/>
      </c>
      <c r="F875" s="19">
        <f>IF($A875="","",E875+$H875-1)</f>
        <v/>
      </c>
      <c r="G875" s="18" t="n"/>
      <c r="H875" s="18">
        <f>IF($A875="","",IF(I875&lt;&gt;"",I875,Paramètres!B11))</f>
        <v/>
      </c>
      <c r="I875" s="18" t="n"/>
    </row>
    <row r="876">
      <c r="A876" s="18">
        <f>IF(ISNUMBER(Dossiers!$D$20),Dossiers!$A$20&amp;" · "&amp;Dossiers!$B$20,"")</f>
        <v/>
      </c>
      <c r="B876" s="18">
        <f>IF($A876="","",Paramètres!G12)</f>
        <v/>
      </c>
      <c r="C876" s="18">
        <f>IF($A876="","",IF(Paramètres!H12="","",Paramètres!H12))</f>
        <v/>
      </c>
      <c r="D876" s="18">
        <f>IF($A876="","",IF(Paramètres!I12="","",Paramètres!I12))</f>
        <v/>
      </c>
      <c r="E876" s="19">
        <f>IF($A876="","",IF(Paramètres!J12&amp;Paramètres!L12&amp;Paramètres!N12="",Dossiers!$D$20,MAX(IF(Paramètres!J12="",0,IF(Paramètres!K12="",NA(),IF(LEFT(TRIM(Paramètres!K12),1)="F",INDEX($F$869:$F$921,MATCH(Paramètres!J12,Paramètres!$G$5:$G$57,0)),INDEX($E$869:$E$921,MATCH(Paramètres!J12,Paramètres!$G$5:$G$57,0)))+IF(RIGHT(TRIM(Paramètres!K12),3)="Fin",1-$H876,IF(LEFT(TRIM(Paramètres!K12),1)="F",1,0)))),IF(Paramètres!L12="",0,IF(Paramètres!M12="",NA(),IF(LEFT(TRIM(Paramètres!M12),1)="F",INDEX($F$869:$F$921,MATCH(Paramètres!L12,Paramètres!$G$5:$G$57,0)),INDEX($E$869:$E$921,MATCH(Paramètres!L12,Paramètres!$G$5:$G$57,0)))+IF(RIGHT(TRIM(Paramètres!M12),3)="Fin",1-$H876,IF(LEFT(TRIM(Paramètres!M12),1)="F",1,0)))),IF(Paramètres!N12="",0,IF(Paramètres!O12="",NA(),IF(LEFT(TRIM(Paramètres!O12),1)="F",INDEX($F$869:$F$921,MATCH(Paramètres!N12,Paramètres!$G$5:$G$57,0)),INDEX($E$869:$E$921,MATCH(Paramètres!N12,Paramètres!$G$5:$G$57,0)))+IF(RIGHT(TRIM(Paramètres!O12),3)="Fin",1-$H876,IF(LEFT(TRIM(Paramètres!O12),1)="F",1,0)))))))</f>
        <v/>
      </c>
      <c r="F876" s="19">
        <f>IF($A876="","",E876+$H876-1)</f>
        <v/>
      </c>
      <c r="G876" s="18" t="n"/>
      <c r="H876" s="18">
        <f>IF($A876="","",IF(I876&lt;&gt;"",I876,Paramètres!B12))</f>
        <v/>
      </c>
      <c r="I876" s="18" t="n"/>
    </row>
    <row r="877">
      <c r="A877" s="18">
        <f>IF(ISNUMBER(Dossiers!$D$20),Dossiers!$A$20&amp;" · "&amp;Dossiers!$B$20,"")</f>
        <v/>
      </c>
      <c r="B877" s="18">
        <f>IF($A877="","",Paramètres!G13)</f>
        <v/>
      </c>
      <c r="C877" s="18">
        <f>IF($A877="","",IF(Paramètres!H13="","",Paramètres!H13))</f>
        <v/>
      </c>
      <c r="D877" s="18">
        <f>IF($A877="","",IF(Paramètres!I13="","",Paramètres!I13))</f>
        <v/>
      </c>
      <c r="E877" s="19">
        <f>IF($A877="","",IF(Paramètres!J13&amp;Paramètres!L13&amp;Paramètres!N13="",Dossiers!$D$20,MAX(IF(Paramètres!J13="",0,IF(Paramètres!K13="",NA(),IF(LEFT(TRIM(Paramètres!K13),1)="F",INDEX($F$869:$F$921,MATCH(Paramètres!J13,Paramètres!$G$5:$G$57,0)),INDEX($E$869:$E$921,MATCH(Paramètres!J13,Paramètres!$G$5:$G$57,0)))+IF(RIGHT(TRIM(Paramètres!K13),3)="Fin",1-$H877,IF(LEFT(TRIM(Paramètres!K13),1)="F",1,0)))),IF(Paramètres!L13="",0,IF(Paramètres!M13="",NA(),IF(LEFT(TRIM(Paramètres!M13),1)="F",INDEX($F$869:$F$921,MATCH(Paramètres!L13,Paramètres!$G$5:$G$57,0)),INDEX($E$869:$E$921,MATCH(Paramètres!L13,Paramètres!$G$5:$G$57,0)))+IF(RIGHT(TRIM(Paramètres!M13),3)="Fin",1-$H877,IF(LEFT(TRIM(Paramètres!M13),1)="F",1,0)))),IF(Paramètres!N13="",0,IF(Paramètres!O13="",NA(),IF(LEFT(TRIM(Paramètres!O13),1)="F",INDEX($F$869:$F$921,MATCH(Paramètres!N13,Paramètres!$G$5:$G$57,0)),INDEX($E$869:$E$921,MATCH(Paramètres!N13,Paramètres!$G$5:$G$57,0)))+IF(RIGHT(TRIM(Paramètres!O13),3)="Fin",1-$H877,IF(LEFT(TRIM(Paramètres!O13),1)="F",1,0)))))))</f>
        <v/>
      </c>
      <c r="F877" s="19">
        <f>IF($A877="","",E877+$H877-1)</f>
        <v/>
      </c>
      <c r="G877" s="18" t="n"/>
      <c r="H877" s="18">
        <f>IF($A877="","",IF(I877&lt;&gt;"",I877,Paramètres!B13))</f>
        <v/>
      </c>
      <c r="I877" s="18" t="n"/>
    </row>
    <row r="878">
      <c r="A878" s="18">
        <f>IF(ISNUMBER(Dossiers!$D$20),Dossiers!$A$20&amp;" · "&amp;Dossiers!$B$20,"")</f>
        <v/>
      </c>
      <c r="B878" s="18">
        <f>IF($A878="","",Paramètres!G14)</f>
        <v/>
      </c>
      <c r="C878" s="18">
        <f>IF($A878="","",IF(Paramètres!H14="","",Paramètres!H14))</f>
        <v/>
      </c>
      <c r="D878" s="18">
        <f>IF($A878="","",IF(Paramètres!I14="","",Paramètres!I14))</f>
        <v/>
      </c>
      <c r="E878" s="19">
        <f>IF($A878="","",IF(Paramètres!J14&amp;Paramètres!L14&amp;Paramètres!N14="",Dossiers!$D$20,MAX(IF(Paramètres!J14="",0,IF(Paramètres!K14="",NA(),IF(LEFT(TRIM(Paramètres!K14),1)="F",INDEX($F$869:$F$921,MATCH(Paramètres!J14,Paramètres!$G$5:$G$57,0)),INDEX($E$869:$E$921,MATCH(Paramètres!J14,Paramètres!$G$5:$G$57,0)))+IF(RIGHT(TRIM(Paramètres!K14),3)="Fin",1-$H878,IF(LEFT(TRIM(Paramètres!K14),1)="F",1,0)))),IF(Paramètres!L14="",0,IF(Paramètres!M14="",NA(),IF(LEFT(TRIM(Paramètres!M14),1)="F",INDEX($F$869:$F$921,MATCH(Paramètres!L14,Paramètres!$G$5:$G$57,0)),INDEX($E$869:$E$921,MATCH(Paramètres!L14,Paramètres!$G$5:$G$57,0)))+IF(RIGHT(TRIM(Paramètres!M14),3)="Fin",1-$H878,IF(LEFT(TRIM(Paramètres!M14),1)="F",1,0)))),IF(Paramètres!N14="",0,IF(Paramètres!O14="",NA(),IF(LEFT(TRIM(Paramètres!O14),1)="F",INDEX($F$869:$F$921,MATCH(Paramètres!N14,Paramètres!$G$5:$G$57,0)),INDEX($E$869:$E$921,MATCH(Paramètres!N14,Paramètres!$G$5:$G$57,0)))+IF(RIGHT(TRIM(Paramètres!O14),3)="Fin",1-$H878,IF(LEFT(TRIM(Paramètres!O14),1)="F",1,0)))))))</f>
        <v/>
      </c>
      <c r="F878" s="19">
        <f>IF($A878="","",E878+$H878-1)</f>
        <v/>
      </c>
      <c r="G878" s="18" t="n"/>
      <c r="H878" s="18">
        <f>IF($A878="","",IF(I878&lt;&gt;"",I878,Paramètres!B14))</f>
        <v/>
      </c>
      <c r="I878" s="18" t="n"/>
    </row>
    <row r="879">
      <c r="A879" s="18">
        <f>IF(ISNUMBER(Dossiers!$D$20),Dossiers!$A$20&amp;" · "&amp;Dossiers!$B$20,"")</f>
        <v/>
      </c>
      <c r="B879" s="18">
        <f>IF($A879="","",Paramètres!G15)</f>
        <v/>
      </c>
      <c r="C879" s="18">
        <f>IF($A879="","",IF(Paramètres!H15="","",Paramètres!H15))</f>
        <v/>
      </c>
      <c r="D879" s="18">
        <f>IF($A879="","",IF(Paramètres!I15="","",Paramètres!I15))</f>
        <v/>
      </c>
      <c r="E879" s="19">
        <f>IF($A879="","",MIN(E880:E895))</f>
        <v/>
      </c>
      <c r="F879" s="19">
        <f>IF($A879="","",MAX(F880:F895))</f>
        <v/>
      </c>
      <c r="G879" s="18" t="n"/>
      <c r="H879" s="18">
        <f>IF($A879="","",F879-E879+1)</f>
        <v/>
      </c>
      <c r="I879" s="18" t="n"/>
    </row>
    <row r="880">
      <c r="A880" s="18">
        <f>IF(ISNUMBER(Dossiers!$D$20),Dossiers!$A$20&amp;" · "&amp;Dossiers!$B$20,"")</f>
        <v/>
      </c>
      <c r="B880" s="18">
        <f>IF($A880="","",Paramètres!G16)</f>
        <v/>
      </c>
      <c r="C880" s="18">
        <f>IF($A880="","",IF(Paramètres!H16="","",Paramètres!H16))</f>
        <v/>
      </c>
      <c r="D880" s="18">
        <f>IF($A880="","",IF(Paramètres!I16="","",Paramètres!I16))</f>
        <v/>
      </c>
      <c r="E880" s="19">
        <f>IF($A880="","",IF(Paramètres!J16&amp;Paramètres!L16&amp;Paramètres!N16="",Dossiers!$D$20,MAX(IF(Paramètres!J16="",0,IF(Paramètres!K16="",NA(),IF(LEFT(TRIM(Paramètres!K16),1)="F",INDEX($F$869:$F$921,MATCH(Paramètres!J16,Paramètres!$G$5:$G$57,0)),INDEX($E$869:$E$921,MATCH(Paramètres!J16,Paramètres!$G$5:$G$57,0)))+IF(RIGHT(TRIM(Paramètres!K16),3)="Fin",1-$H880,IF(LEFT(TRIM(Paramètres!K16),1)="F",1,0)))),IF(Paramètres!L16="",0,IF(Paramètres!M16="",NA(),IF(LEFT(TRIM(Paramètres!M16),1)="F",INDEX($F$869:$F$921,MATCH(Paramètres!L16,Paramètres!$G$5:$G$57,0)),INDEX($E$869:$E$921,MATCH(Paramètres!L16,Paramètres!$G$5:$G$57,0)))+IF(RIGHT(TRIM(Paramètres!M16),3)="Fin",1-$H880,IF(LEFT(TRIM(Paramètres!M16),1)="F",1,0)))),IF(Paramètres!N16="",0,IF(Paramètres!O16="",NA(),IF(LEFT(TRIM(Paramètres!O16),1)="F",INDEX($F$869:$F$921,MATCH(Paramètres!N16,Paramètres!$G$5:$G$57,0)),INDEX($E$869:$E$921,MATCH(Paramètres!N16,Paramètres!$G$5:$G$57,0)))+IF(RIGHT(TRIM(Paramètres!O16),3)="Fin",1-$H880,IF(LEFT(TRIM(Paramètres!O16),1)="F",1,0)))))))</f>
        <v/>
      </c>
      <c r="F880" s="19">
        <f>IF($A880="","",E880+$H880-1)</f>
        <v/>
      </c>
      <c r="G880" s="18" t="n"/>
      <c r="H880" s="18">
        <f>IF($A880="","",IF(I880&lt;&gt;"",I880,Paramètres!B16))</f>
        <v/>
      </c>
      <c r="I880" s="18" t="n"/>
    </row>
    <row r="881">
      <c r="A881" s="18">
        <f>IF(ISNUMBER(Dossiers!$D$20),Dossiers!$A$20&amp;" · "&amp;Dossiers!$B$20,"")</f>
        <v/>
      </c>
      <c r="B881" s="18">
        <f>IF($A881="","",Paramètres!G17)</f>
        <v/>
      </c>
      <c r="C881" s="18">
        <f>IF($A881="","",IF(Paramètres!H17="","",Paramètres!H17))</f>
        <v/>
      </c>
      <c r="D881" s="18">
        <f>IF($A881="","",IF(Paramètres!I17="","",Paramètres!I17))</f>
        <v/>
      </c>
      <c r="E881" s="19">
        <f>IF($A881="","",IF(Paramètres!J17&amp;Paramètres!L17&amp;Paramètres!N17="",Dossiers!$D$20,MAX(IF(Paramètres!J17="",0,IF(Paramètres!K17="",NA(),IF(LEFT(TRIM(Paramètres!K17),1)="F",INDEX($F$869:$F$921,MATCH(Paramètres!J17,Paramètres!$G$5:$G$57,0)),INDEX($E$869:$E$921,MATCH(Paramètres!J17,Paramètres!$G$5:$G$57,0)))+IF(RIGHT(TRIM(Paramètres!K17),3)="Fin",1-$H881,IF(LEFT(TRIM(Paramètres!K17),1)="F",1,0)))),IF(Paramètres!L17="",0,IF(Paramètres!M17="",NA(),IF(LEFT(TRIM(Paramètres!M17),1)="F",INDEX($F$869:$F$921,MATCH(Paramètres!L17,Paramètres!$G$5:$G$57,0)),INDEX($E$869:$E$921,MATCH(Paramètres!L17,Paramètres!$G$5:$G$57,0)))+IF(RIGHT(TRIM(Paramètres!M17),3)="Fin",1-$H881,IF(LEFT(TRIM(Paramètres!M17),1)="F",1,0)))),IF(Paramètres!N17="",0,IF(Paramètres!O17="",NA(),IF(LEFT(TRIM(Paramètres!O17),1)="F",INDEX($F$869:$F$921,MATCH(Paramètres!N17,Paramètres!$G$5:$G$57,0)),INDEX($E$869:$E$921,MATCH(Paramètres!N17,Paramètres!$G$5:$G$57,0)))+IF(RIGHT(TRIM(Paramètres!O17),3)="Fin",1-$H881,IF(LEFT(TRIM(Paramètres!O17),1)="F",1,0)))))))</f>
        <v/>
      </c>
      <c r="F881" s="19">
        <f>IF($A881="","",E881+$H881-1)</f>
        <v/>
      </c>
      <c r="G881" s="18" t="n"/>
      <c r="H881" s="18">
        <f>IF($A881="","",IF(I881&lt;&gt;"",I881,Paramètres!B17))</f>
        <v/>
      </c>
      <c r="I881" s="18" t="n"/>
    </row>
    <row r="882">
      <c r="A882" s="18">
        <f>IF(ISNUMBER(Dossiers!$D$20),Dossiers!$A$20&amp;" · "&amp;Dossiers!$B$20,"")</f>
        <v/>
      </c>
      <c r="B882" s="18">
        <f>IF($A882="","",Paramètres!G18)</f>
        <v/>
      </c>
      <c r="C882" s="18">
        <f>IF($A882="","",IF(Paramètres!H18="","",Paramètres!H18))</f>
        <v/>
      </c>
      <c r="D882" s="18">
        <f>IF($A882="","",IF(Paramètres!I18="","",Paramètres!I18))</f>
        <v/>
      </c>
      <c r="E882" s="19">
        <f>IF($A882="","",IF(Paramètres!J18&amp;Paramètres!L18&amp;Paramètres!N18="",Dossiers!$D$20,MAX(IF(Paramètres!J18="",0,IF(Paramètres!K18="",NA(),IF(LEFT(TRIM(Paramètres!K18),1)="F",INDEX($F$869:$F$921,MATCH(Paramètres!J18,Paramètres!$G$5:$G$57,0)),INDEX($E$869:$E$921,MATCH(Paramètres!J18,Paramètres!$G$5:$G$57,0)))+IF(RIGHT(TRIM(Paramètres!K18),3)="Fin",1-$H882,IF(LEFT(TRIM(Paramètres!K18),1)="F",1,0)))),IF(Paramètres!L18="",0,IF(Paramètres!M18="",NA(),IF(LEFT(TRIM(Paramètres!M18),1)="F",INDEX($F$869:$F$921,MATCH(Paramètres!L18,Paramètres!$G$5:$G$57,0)),INDEX($E$869:$E$921,MATCH(Paramètres!L18,Paramètres!$G$5:$G$57,0)))+IF(RIGHT(TRIM(Paramètres!M18),3)="Fin",1-$H882,IF(LEFT(TRIM(Paramètres!M18),1)="F",1,0)))),IF(Paramètres!N18="",0,IF(Paramètres!O18="",NA(),IF(LEFT(TRIM(Paramètres!O18),1)="F",INDEX($F$869:$F$921,MATCH(Paramètres!N18,Paramètres!$G$5:$G$57,0)),INDEX($E$869:$E$921,MATCH(Paramètres!N18,Paramètres!$G$5:$G$57,0)))+IF(RIGHT(TRIM(Paramètres!O18),3)="Fin",1-$H882,IF(LEFT(TRIM(Paramètres!O18),1)="F",1,0)))))))</f>
        <v/>
      </c>
      <c r="F882" s="19">
        <f>IF($A882="","",E882+$H882-1)</f>
        <v/>
      </c>
      <c r="G882" s="18" t="n"/>
      <c r="H882" s="18">
        <f>IF($A882="","",IF(I882&lt;&gt;"",I882,Paramètres!B18))</f>
        <v/>
      </c>
      <c r="I882" s="18" t="n"/>
    </row>
    <row r="883">
      <c r="A883" s="18">
        <f>IF(ISNUMBER(Dossiers!$D$20),Dossiers!$A$20&amp;" · "&amp;Dossiers!$B$20,"")</f>
        <v/>
      </c>
      <c r="B883" s="18">
        <f>IF($A883="","",Paramètres!G19)</f>
        <v/>
      </c>
      <c r="C883" s="18">
        <f>IF($A883="","",IF(Paramètres!H19="","",Paramètres!H19))</f>
        <v/>
      </c>
      <c r="D883" s="18">
        <f>IF($A883="","",IF(Paramètres!I19="","",Paramètres!I19))</f>
        <v/>
      </c>
      <c r="E883" s="19">
        <f>IF($A883="","",IF(Paramètres!J19&amp;Paramètres!L19&amp;Paramètres!N19="",Dossiers!$D$20,MAX(IF(Paramètres!J19="",0,IF(Paramètres!K19="",NA(),IF(LEFT(TRIM(Paramètres!K19),1)="F",INDEX($F$869:$F$921,MATCH(Paramètres!J19,Paramètres!$G$5:$G$57,0)),INDEX($E$869:$E$921,MATCH(Paramètres!J19,Paramètres!$G$5:$G$57,0)))+IF(RIGHT(TRIM(Paramètres!K19),3)="Fin",1-$H883,IF(LEFT(TRIM(Paramètres!K19),1)="F",1,0)))),IF(Paramètres!L19="",0,IF(Paramètres!M19="",NA(),IF(LEFT(TRIM(Paramètres!M19),1)="F",INDEX($F$869:$F$921,MATCH(Paramètres!L19,Paramètres!$G$5:$G$57,0)),INDEX($E$869:$E$921,MATCH(Paramètres!L19,Paramètres!$G$5:$G$57,0)))+IF(RIGHT(TRIM(Paramètres!M19),3)="Fin",1-$H883,IF(LEFT(TRIM(Paramètres!M19),1)="F",1,0)))),IF(Paramètres!N19="",0,IF(Paramètres!O19="",NA(),IF(LEFT(TRIM(Paramètres!O19),1)="F",INDEX($F$869:$F$921,MATCH(Paramètres!N19,Paramètres!$G$5:$G$57,0)),INDEX($E$869:$E$921,MATCH(Paramètres!N19,Paramètres!$G$5:$G$57,0)))+IF(RIGHT(TRIM(Paramètres!O19),3)="Fin",1-$H883,IF(LEFT(TRIM(Paramètres!O19),1)="F",1,0)))))))</f>
        <v/>
      </c>
      <c r="F883" s="19">
        <f>IF($A883="","",E883+$H883-1)</f>
        <v/>
      </c>
      <c r="G883" s="18" t="n"/>
      <c r="H883" s="18">
        <f>IF($A883="","",IF(I883&lt;&gt;"",I883,Paramètres!B19))</f>
        <v/>
      </c>
      <c r="I883" s="18" t="n"/>
    </row>
    <row r="884">
      <c r="A884" s="18">
        <f>IF(ISNUMBER(Dossiers!$D$20),Dossiers!$A$20&amp;" · "&amp;Dossiers!$B$20,"")</f>
        <v/>
      </c>
      <c r="B884" s="18">
        <f>IF($A884="","",Paramètres!G20)</f>
        <v/>
      </c>
      <c r="C884" s="18">
        <f>IF($A884="","",IF(Paramètres!H20="","",Paramètres!H20))</f>
        <v/>
      </c>
      <c r="D884" s="18">
        <f>IF($A884="","",IF(Paramètres!I20="","",Paramètres!I20))</f>
        <v/>
      </c>
      <c r="E884" s="19">
        <f>IF($A884="","",IF(Paramètres!J20&amp;Paramètres!L20&amp;Paramètres!N20="",Dossiers!$D$20,MAX(IF(Paramètres!J20="",0,IF(Paramètres!K20="",NA(),IF(LEFT(TRIM(Paramètres!K20),1)="F",INDEX($F$869:$F$921,MATCH(Paramètres!J20,Paramètres!$G$5:$G$57,0)),INDEX($E$869:$E$921,MATCH(Paramètres!J20,Paramètres!$G$5:$G$57,0)))+IF(RIGHT(TRIM(Paramètres!K20),3)="Fin",1-$H884,IF(LEFT(TRIM(Paramètres!K20),1)="F",1,0)))),IF(Paramètres!L20="",0,IF(Paramètres!M20="",NA(),IF(LEFT(TRIM(Paramètres!M20),1)="F",INDEX($F$869:$F$921,MATCH(Paramètres!L20,Paramètres!$G$5:$G$57,0)),INDEX($E$869:$E$921,MATCH(Paramètres!L20,Paramètres!$G$5:$G$57,0)))+IF(RIGHT(TRIM(Paramètres!M20),3)="Fin",1-$H884,IF(LEFT(TRIM(Paramètres!M20),1)="F",1,0)))),IF(Paramètres!N20="",0,IF(Paramètres!O20="",NA(),IF(LEFT(TRIM(Paramètres!O20),1)="F",INDEX($F$869:$F$921,MATCH(Paramètres!N20,Paramètres!$G$5:$G$57,0)),INDEX($E$869:$E$921,MATCH(Paramètres!N20,Paramètres!$G$5:$G$57,0)))+IF(RIGHT(TRIM(Paramètres!O20),3)="Fin",1-$H884,IF(LEFT(TRIM(Paramètres!O20),1)="F",1,0)))))))</f>
        <v/>
      </c>
      <c r="F884" s="19">
        <f>IF($A884="","",E884+$H884-1)</f>
        <v/>
      </c>
      <c r="G884" s="18" t="n"/>
      <c r="H884" s="18">
        <f>IF($A884="","",IF(I884&lt;&gt;"",I884,Paramètres!B20))</f>
        <v/>
      </c>
      <c r="I884" s="18" t="n"/>
    </row>
    <row r="885">
      <c r="A885" s="18">
        <f>IF(ISNUMBER(Dossiers!$D$20),Dossiers!$A$20&amp;" · "&amp;Dossiers!$B$20,"")</f>
        <v/>
      </c>
      <c r="B885" s="18">
        <f>IF($A885="","",Paramètres!G21)</f>
        <v/>
      </c>
      <c r="C885" s="18">
        <f>IF($A885="","",IF(Paramètres!H21="","",Paramètres!H21))</f>
        <v/>
      </c>
      <c r="D885" s="18">
        <f>IF($A885="","",IF(Paramètres!I21="","",Paramètres!I21))</f>
        <v/>
      </c>
      <c r="E885" s="19">
        <f>IF($A885="","",IF(Paramètres!J21&amp;Paramètres!L21&amp;Paramètres!N21="",Dossiers!$D$20,MAX(IF(Paramètres!J21="",0,IF(Paramètres!K21="",NA(),IF(LEFT(TRIM(Paramètres!K21),1)="F",INDEX($F$869:$F$921,MATCH(Paramètres!J21,Paramètres!$G$5:$G$57,0)),INDEX($E$869:$E$921,MATCH(Paramètres!J21,Paramètres!$G$5:$G$57,0)))+IF(RIGHT(TRIM(Paramètres!K21),3)="Fin",1-$H885,IF(LEFT(TRIM(Paramètres!K21),1)="F",1,0)))),IF(Paramètres!L21="",0,IF(Paramètres!M21="",NA(),IF(LEFT(TRIM(Paramètres!M21),1)="F",INDEX($F$869:$F$921,MATCH(Paramètres!L21,Paramètres!$G$5:$G$57,0)),INDEX($E$869:$E$921,MATCH(Paramètres!L21,Paramètres!$G$5:$G$57,0)))+IF(RIGHT(TRIM(Paramètres!M21),3)="Fin",1-$H885,IF(LEFT(TRIM(Paramètres!M21),1)="F",1,0)))),IF(Paramètres!N21="",0,IF(Paramètres!O21="",NA(),IF(LEFT(TRIM(Paramètres!O21),1)="F",INDEX($F$869:$F$921,MATCH(Paramètres!N21,Paramètres!$G$5:$G$57,0)),INDEX($E$869:$E$921,MATCH(Paramètres!N21,Paramètres!$G$5:$G$57,0)))+IF(RIGHT(TRIM(Paramètres!O21),3)="Fin",1-$H885,IF(LEFT(TRIM(Paramètres!O21),1)="F",1,0)))))))</f>
        <v/>
      </c>
      <c r="F885" s="19">
        <f>IF($A885="","",E885+$H885-1)</f>
        <v/>
      </c>
      <c r="G885" s="18" t="n"/>
      <c r="H885" s="18">
        <f>IF($A885="","",IF(I885&lt;&gt;"",I885,Paramètres!B21))</f>
        <v/>
      </c>
      <c r="I885" s="18" t="n"/>
    </row>
    <row r="886">
      <c r="A886" s="18">
        <f>IF(ISNUMBER(Dossiers!$D$20),Dossiers!$A$20&amp;" · "&amp;Dossiers!$B$20,"")</f>
        <v/>
      </c>
      <c r="B886" s="18">
        <f>IF($A886="","",Paramètres!G22)</f>
        <v/>
      </c>
      <c r="C886" s="18">
        <f>IF($A886="","",IF(Paramètres!H22="","",Paramètres!H22))</f>
        <v/>
      </c>
      <c r="D886" s="18">
        <f>IF($A886="","",IF(Paramètres!I22="","",Paramètres!I22))</f>
        <v/>
      </c>
      <c r="E886" s="19">
        <f>IF($A886="","",IF(Paramètres!J22&amp;Paramètres!L22&amp;Paramètres!N22="",Dossiers!$D$20,MAX(IF(Paramètres!J22="",0,IF(Paramètres!K22="",NA(),IF(LEFT(TRIM(Paramètres!K22),1)="F",INDEX($F$869:$F$921,MATCH(Paramètres!J22,Paramètres!$G$5:$G$57,0)),INDEX($E$869:$E$921,MATCH(Paramètres!J22,Paramètres!$G$5:$G$57,0)))+IF(RIGHT(TRIM(Paramètres!K22),3)="Fin",1-$H886,IF(LEFT(TRIM(Paramètres!K22),1)="F",1,0)))),IF(Paramètres!L22="",0,IF(Paramètres!M22="",NA(),IF(LEFT(TRIM(Paramètres!M22),1)="F",INDEX($F$869:$F$921,MATCH(Paramètres!L22,Paramètres!$G$5:$G$57,0)),INDEX($E$869:$E$921,MATCH(Paramètres!L22,Paramètres!$G$5:$G$57,0)))+IF(RIGHT(TRIM(Paramètres!M22),3)="Fin",1-$H886,IF(LEFT(TRIM(Paramètres!M22),1)="F",1,0)))),IF(Paramètres!N22="",0,IF(Paramètres!O22="",NA(),IF(LEFT(TRIM(Paramètres!O22),1)="F",INDEX($F$869:$F$921,MATCH(Paramètres!N22,Paramètres!$G$5:$G$57,0)),INDEX($E$869:$E$921,MATCH(Paramètres!N22,Paramètres!$G$5:$G$57,0)))+IF(RIGHT(TRIM(Paramètres!O22),3)="Fin",1-$H886,IF(LEFT(TRIM(Paramètres!O22),1)="F",1,0)))))))</f>
        <v/>
      </c>
      <c r="F886" s="19">
        <f>IF($A886="","",E886+$H886-1)</f>
        <v/>
      </c>
      <c r="G886" s="18" t="n"/>
      <c r="H886" s="18">
        <f>IF($A886="","",IF(I886&lt;&gt;"",I886,Paramètres!B22))</f>
        <v/>
      </c>
      <c r="I886" s="18" t="n"/>
    </row>
    <row r="887">
      <c r="A887" s="18">
        <f>IF(ISNUMBER(Dossiers!$D$20),Dossiers!$A$20&amp;" · "&amp;Dossiers!$B$20,"")</f>
        <v/>
      </c>
      <c r="B887" s="18">
        <f>IF($A887="","",Paramètres!G23)</f>
        <v/>
      </c>
      <c r="C887" s="18">
        <f>IF($A887="","",IF(Paramètres!H23="","",Paramètres!H23))</f>
        <v/>
      </c>
      <c r="D887" s="18">
        <f>IF($A887="","",IF(Paramètres!I23="","",Paramètres!I23))</f>
        <v/>
      </c>
      <c r="E887" s="19">
        <f>IF($A887="","",IF(Paramètres!J23&amp;Paramètres!L23&amp;Paramètres!N23="",Dossiers!$D$20,MAX(IF(Paramètres!J23="",0,IF(Paramètres!K23="",NA(),IF(LEFT(TRIM(Paramètres!K23),1)="F",INDEX($F$869:$F$921,MATCH(Paramètres!J23,Paramètres!$G$5:$G$57,0)),INDEX($E$869:$E$921,MATCH(Paramètres!J23,Paramètres!$G$5:$G$57,0)))+IF(RIGHT(TRIM(Paramètres!K23),3)="Fin",1-$H887,IF(LEFT(TRIM(Paramètres!K23),1)="F",1,0)))),IF(Paramètres!L23="",0,IF(Paramètres!M23="",NA(),IF(LEFT(TRIM(Paramètres!M23),1)="F",INDEX($F$869:$F$921,MATCH(Paramètres!L23,Paramètres!$G$5:$G$57,0)),INDEX($E$869:$E$921,MATCH(Paramètres!L23,Paramètres!$G$5:$G$57,0)))+IF(RIGHT(TRIM(Paramètres!M23),3)="Fin",1-$H887,IF(LEFT(TRIM(Paramètres!M23),1)="F",1,0)))),IF(Paramètres!N23="",0,IF(Paramètres!O23="",NA(),IF(LEFT(TRIM(Paramètres!O23),1)="F",INDEX($F$869:$F$921,MATCH(Paramètres!N23,Paramètres!$G$5:$G$57,0)),INDEX($E$869:$E$921,MATCH(Paramètres!N23,Paramètres!$G$5:$G$57,0)))+IF(RIGHT(TRIM(Paramètres!O23),3)="Fin",1-$H887,IF(LEFT(TRIM(Paramètres!O23),1)="F",1,0)))))))</f>
        <v/>
      </c>
      <c r="F887" s="19">
        <f>IF($A887="","",E887+$H887-1)</f>
        <v/>
      </c>
      <c r="G887" s="18" t="n"/>
      <c r="H887" s="18">
        <f>IF($A887="","",IF(I887&lt;&gt;"",I887,Paramètres!B23))</f>
        <v/>
      </c>
      <c r="I887" s="18" t="n"/>
    </row>
    <row r="888">
      <c r="A888" s="18">
        <f>IF(ISNUMBER(Dossiers!$D$20),Dossiers!$A$20&amp;" · "&amp;Dossiers!$B$20,"")</f>
        <v/>
      </c>
      <c r="B888" s="18">
        <f>IF($A888="","",Paramètres!G24)</f>
        <v/>
      </c>
      <c r="C888" s="18">
        <f>IF($A888="","",IF(Paramètres!H24="","",Paramètres!H24))</f>
        <v/>
      </c>
      <c r="D888" s="18">
        <f>IF($A888="","",IF(Paramètres!I24="","",Paramètres!I24))</f>
        <v/>
      </c>
      <c r="E888" s="19">
        <f>IF($A888="","",IF(Paramètres!J24&amp;Paramètres!L24&amp;Paramètres!N24="",Dossiers!$D$20,MAX(IF(Paramètres!J24="",0,IF(Paramètres!K24="",NA(),IF(LEFT(TRIM(Paramètres!K24),1)="F",INDEX($F$869:$F$921,MATCH(Paramètres!J24,Paramètres!$G$5:$G$57,0)),INDEX($E$869:$E$921,MATCH(Paramètres!J24,Paramètres!$G$5:$G$57,0)))+IF(RIGHT(TRIM(Paramètres!K24),3)="Fin",1-$H888,IF(LEFT(TRIM(Paramètres!K24),1)="F",1,0)))),IF(Paramètres!L24="",0,IF(Paramètres!M24="",NA(),IF(LEFT(TRIM(Paramètres!M24),1)="F",INDEX($F$869:$F$921,MATCH(Paramètres!L24,Paramètres!$G$5:$G$57,0)),INDEX($E$869:$E$921,MATCH(Paramètres!L24,Paramètres!$G$5:$G$57,0)))+IF(RIGHT(TRIM(Paramètres!M24),3)="Fin",1-$H888,IF(LEFT(TRIM(Paramètres!M24),1)="F",1,0)))),IF(Paramètres!N24="",0,IF(Paramètres!O24="",NA(),IF(LEFT(TRIM(Paramètres!O24),1)="F",INDEX($F$869:$F$921,MATCH(Paramètres!N24,Paramètres!$G$5:$G$57,0)),INDEX($E$869:$E$921,MATCH(Paramètres!N24,Paramètres!$G$5:$G$57,0)))+IF(RIGHT(TRIM(Paramètres!O24),3)="Fin",1-$H888,IF(LEFT(TRIM(Paramètres!O24),1)="F",1,0)))))))</f>
        <v/>
      </c>
      <c r="F888" s="19">
        <f>IF($A888="","",E888+$H888-1)</f>
        <v/>
      </c>
      <c r="G888" s="18" t="n"/>
      <c r="H888" s="18">
        <f>IF($A888="","",IF(I888&lt;&gt;"",I888,Paramètres!B24))</f>
        <v/>
      </c>
      <c r="I888" s="18" t="n"/>
    </row>
    <row r="889">
      <c r="A889" s="18">
        <f>IF(ISNUMBER(Dossiers!$D$20),Dossiers!$A$20&amp;" · "&amp;Dossiers!$B$20,"")</f>
        <v/>
      </c>
      <c r="B889" s="18">
        <f>IF($A889="","",Paramètres!G25)</f>
        <v/>
      </c>
      <c r="C889" s="18">
        <f>IF($A889="","",IF(Paramètres!H25="","",Paramètres!H25))</f>
        <v/>
      </c>
      <c r="D889" s="18">
        <f>IF($A889="","",IF(Paramètres!I25="","",Paramètres!I25))</f>
        <v/>
      </c>
      <c r="E889" s="19">
        <f>IF($A889="","",IF(Paramètres!J25&amp;Paramètres!L25&amp;Paramètres!N25="",Dossiers!$D$20,MAX(IF(Paramètres!J25="",0,IF(Paramètres!K25="",NA(),IF(LEFT(TRIM(Paramètres!K25),1)="F",INDEX($F$869:$F$921,MATCH(Paramètres!J25,Paramètres!$G$5:$G$57,0)),INDEX($E$869:$E$921,MATCH(Paramètres!J25,Paramètres!$G$5:$G$57,0)))+IF(RIGHT(TRIM(Paramètres!K25),3)="Fin",1-$H889,IF(LEFT(TRIM(Paramètres!K25),1)="F",1,0)))),IF(Paramètres!L25="",0,IF(Paramètres!M25="",NA(),IF(LEFT(TRIM(Paramètres!M25),1)="F",INDEX($F$869:$F$921,MATCH(Paramètres!L25,Paramètres!$G$5:$G$57,0)),INDEX($E$869:$E$921,MATCH(Paramètres!L25,Paramètres!$G$5:$G$57,0)))+IF(RIGHT(TRIM(Paramètres!M25),3)="Fin",1-$H889,IF(LEFT(TRIM(Paramètres!M25),1)="F",1,0)))),IF(Paramètres!N25="",0,IF(Paramètres!O25="",NA(),IF(LEFT(TRIM(Paramètres!O25),1)="F",INDEX($F$869:$F$921,MATCH(Paramètres!N25,Paramètres!$G$5:$G$57,0)),INDEX($E$869:$E$921,MATCH(Paramètres!N25,Paramètres!$G$5:$G$57,0)))+IF(RIGHT(TRIM(Paramètres!O25),3)="Fin",1-$H889,IF(LEFT(TRIM(Paramètres!O25),1)="F",1,0)))))))</f>
        <v/>
      </c>
      <c r="F889" s="19">
        <f>IF($A889="","",E889+$H889-1)</f>
        <v/>
      </c>
      <c r="G889" s="18" t="n"/>
      <c r="H889" s="18">
        <f>IF($A889="","",IF(I889&lt;&gt;"",I889,Paramètres!B25))</f>
        <v/>
      </c>
      <c r="I889" s="18" t="n"/>
    </row>
    <row r="890">
      <c r="A890" s="18">
        <f>IF(ISNUMBER(Dossiers!$D$20),Dossiers!$A$20&amp;" · "&amp;Dossiers!$B$20,"")</f>
        <v/>
      </c>
      <c r="B890" s="18">
        <f>IF($A890="","",Paramètres!G26)</f>
        <v/>
      </c>
      <c r="C890" s="18">
        <f>IF($A890="","",IF(Paramètres!H26="","",Paramètres!H26))</f>
        <v/>
      </c>
      <c r="D890" s="18">
        <f>IF($A890="","",IF(Paramètres!I26="","",Paramètres!I26))</f>
        <v/>
      </c>
      <c r="E890" s="19">
        <f>IF($A890="","",IF(Paramètres!J26&amp;Paramètres!L26&amp;Paramètres!N26="",Dossiers!$D$20,MAX(IF(Paramètres!J26="",0,IF(Paramètres!K26="",NA(),IF(LEFT(TRIM(Paramètres!K26),1)="F",INDEX($F$869:$F$921,MATCH(Paramètres!J26,Paramètres!$G$5:$G$57,0)),INDEX($E$869:$E$921,MATCH(Paramètres!J26,Paramètres!$G$5:$G$57,0)))+IF(RIGHT(TRIM(Paramètres!K26),3)="Fin",1-$H890,IF(LEFT(TRIM(Paramètres!K26),1)="F",1,0)))),IF(Paramètres!L26="",0,IF(Paramètres!M26="",NA(),IF(LEFT(TRIM(Paramètres!M26),1)="F",INDEX($F$869:$F$921,MATCH(Paramètres!L26,Paramètres!$G$5:$G$57,0)),INDEX($E$869:$E$921,MATCH(Paramètres!L26,Paramètres!$G$5:$G$57,0)))+IF(RIGHT(TRIM(Paramètres!M26),3)="Fin",1-$H890,IF(LEFT(TRIM(Paramètres!M26),1)="F",1,0)))),IF(Paramètres!N26="",0,IF(Paramètres!O26="",NA(),IF(LEFT(TRIM(Paramètres!O26),1)="F",INDEX($F$869:$F$921,MATCH(Paramètres!N26,Paramètres!$G$5:$G$57,0)),INDEX($E$869:$E$921,MATCH(Paramètres!N26,Paramètres!$G$5:$G$57,0)))+IF(RIGHT(TRIM(Paramètres!O26),3)="Fin",1-$H890,IF(LEFT(TRIM(Paramètres!O26),1)="F",1,0)))))))</f>
        <v/>
      </c>
      <c r="F890" s="19">
        <f>IF($A890="","",E890+$H890-1)</f>
        <v/>
      </c>
      <c r="G890" s="18" t="n"/>
      <c r="H890" s="18">
        <f>IF($A890="","",IF(I890&lt;&gt;"",I890,Paramètres!B26))</f>
        <v/>
      </c>
      <c r="I890" s="18" t="n"/>
    </row>
    <row r="891">
      <c r="A891" s="18">
        <f>IF(ISNUMBER(Dossiers!$D$20),Dossiers!$A$20&amp;" · "&amp;Dossiers!$B$20,"")</f>
        <v/>
      </c>
      <c r="B891" s="18">
        <f>IF($A891="","",Paramètres!G27)</f>
        <v/>
      </c>
      <c r="C891" s="18">
        <f>IF($A891="","",IF(Paramètres!H27="","",Paramètres!H27))</f>
        <v/>
      </c>
      <c r="D891" s="18">
        <f>IF($A891="","",IF(Paramètres!I27="","",Paramètres!I27))</f>
        <v/>
      </c>
      <c r="E891" s="19">
        <f>IF($A891="","",IF(Paramètres!J27&amp;Paramètres!L27&amp;Paramètres!N27="",Dossiers!$D$20,MAX(IF(Paramètres!J27="",0,IF(Paramètres!K27="",NA(),IF(LEFT(TRIM(Paramètres!K27),1)="F",INDEX($F$869:$F$921,MATCH(Paramètres!J27,Paramètres!$G$5:$G$57,0)),INDEX($E$869:$E$921,MATCH(Paramètres!J27,Paramètres!$G$5:$G$57,0)))+IF(RIGHT(TRIM(Paramètres!K27),3)="Fin",1-$H891,IF(LEFT(TRIM(Paramètres!K27),1)="F",1,0)))),IF(Paramètres!L27="",0,IF(Paramètres!M27="",NA(),IF(LEFT(TRIM(Paramètres!M27),1)="F",INDEX($F$869:$F$921,MATCH(Paramètres!L27,Paramètres!$G$5:$G$57,0)),INDEX($E$869:$E$921,MATCH(Paramètres!L27,Paramètres!$G$5:$G$57,0)))+IF(RIGHT(TRIM(Paramètres!M27),3)="Fin",1-$H891,IF(LEFT(TRIM(Paramètres!M27),1)="F",1,0)))),IF(Paramètres!N27="",0,IF(Paramètres!O27="",NA(),IF(LEFT(TRIM(Paramètres!O27),1)="F",INDEX($F$869:$F$921,MATCH(Paramètres!N27,Paramètres!$G$5:$G$57,0)),INDEX($E$869:$E$921,MATCH(Paramètres!N27,Paramètres!$G$5:$G$57,0)))+IF(RIGHT(TRIM(Paramètres!O27),3)="Fin",1-$H891,IF(LEFT(TRIM(Paramètres!O27),1)="F",1,0)))))))</f>
        <v/>
      </c>
      <c r="F891" s="19">
        <f>IF($A891="","",E891+$H891-1)</f>
        <v/>
      </c>
      <c r="G891" s="18" t="n"/>
      <c r="H891" s="18">
        <f>IF($A891="","",IF(I891&lt;&gt;"",I891,Paramètres!B27))</f>
        <v/>
      </c>
      <c r="I891" s="18" t="n"/>
    </row>
    <row r="892">
      <c r="A892" s="18">
        <f>IF(ISNUMBER(Dossiers!$D$20),Dossiers!$A$20&amp;" · "&amp;Dossiers!$B$20,"")</f>
        <v/>
      </c>
      <c r="B892" s="18">
        <f>IF($A892="","",Paramètres!G28)</f>
        <v/>
      </c>
      <c r="C892" s="18">
        <f>IF($A892="","",IF(Paramètres!H28="","",Paramètres!H28))</f>
        <v/>
      </c>
      <c r="D892" s="18">
        <f>IF($A892="","",IF(Paramètres!I28="","",Paramètres!I28))</f>
        <v/>
      </c>
      <c r="E892" s="19">
        <f>IF($A892="","",IF(Paramètres!J28&amp;Paramètres!L28&amp;Paramètres!N28="",Dossiers!$D$20,MAX(IF(Paramètres!J28="",0,IF(Paramètres!K28="",NA(),IF(LEFT(TRIM(Paramètres!K28),1)="F",INDEX($F$869:$F$921,MATCH(Paramètres!J28,Paramètres!$G$5:$G$57,0)),INDEX($E$869:$E$921,MATCH(Paramètres!J28,Paramètres!$G$5:$G$57,0)))+IF(RIGHT(TRIM(Paramètres!K28),3)="Fin",1-$H892,IF(LEFT(TRIM(Paramètres!K28),1)="F",1,0)))),IF(Paramètres!L28="",0,IF(Paramètres!M28="",NA(),IF(LEFT(TRIM(Paramètres!M28),1)="F",INDEX($F$869:$F$921,MATCH(Paramètres!L28,Paramètres!$G$5:$G$57,0)),INDEX($E$869:$E$921,MATCH(Paramètres!L28,Paramètres!$G$5:$G$57,0)))+IF(RIGHT(TRIM(Paramètres!M28),3)="Fin",1-$H892,IF(LEFT(TRIM(Paramètres!M28),1)="F",1,0)))),IF(Paramètres!N28="",0,IF(Paramètres!O28="",NA(),IF(LEFT(TRIM(Paramètres!O28),1)="F",INDEX($F$869:$F$921,MATCH(Paramètres!N28,Paramètres!$G$5:$G$57,0)),INDEX($E$869:$E$921,MATCH(Paramètres!N28,Paramètres!$G$5:$G$57,0)))+IF(RIGHT(TRIM(Paramètres!O28),3)="Fin",1-$H892,IF(LEFT(TRIM(Paramètres!O28),1)="F",1,0)))))))</f>
        <v/>
      </c>
      <c r="F892" s="19">
        <f>IF($A892="","",E892+$H892-1)</f>
        <v/>
      </c>
      <c r="G892" s="18" t="n"/>
      <c r="H892" s="18">
        <f>IF($A892="","",IF(I892&lt;&gt;"",I892,Paramètres!B28))</f>
        <v/>
      </c>
      <c r="I892" s="18" t="n"/>
    </row>
    <row r="893">
      <c r="A893" s="18">
        <f>IF(ISNUMBER(Dossiers!$D$20),Dossiers!$A$20&amp;" · "&amp;Dossiers!$B$20,"")</f>
        <v/>
      </c>
      <c r="B893" s="18">
        <f>IF($A893="","",Paramètres!G29)</f>
        <v/>
      </c>
      <c r="C893" s="18">
        <f>IF($A893="","",IF(Paramètres!H29="","",Paramètres!H29))</f>
        <v/>
      </c>
      <c r="D893" s="18">
        <f>IF($A893="","",IF(Paramètres!I29="","",Paramètres!I29))</f>
        <v/>
      </c>
      <c r="E893" s="19">
        <f>IF($A893="","",IF(Paramètres!J29&amp;Paramètres!L29&amp;Paramètres!N29="",Dossiers!$D$20,MAX(IF(Paramètres!J29="",0,IF(Paramètres!K29="",NA(),IF(LEFT(TRIM(Paramètres!K29),1)="F",INDEX($F$869:$F$921,MATCH(Paramètres!J29,Paramètres!$G$5:$G$57,0)),INDEX($E$869:$E$921,MATCH(Paramètres!J29,Paramètres!$G$5:$G$57,0)))+IF(RIGHT(TRIM(Paramètres!K29),3)="Fin",1-$H893,IF(LEFT(TRIM(Paramètres!K29),1)="F",1,0)))),IF(Paramètres!L29="",0,IF(Paramètres!M29="",NA(),IF(LEFT(TRIM(Paramètres!M29),1)="F",INDEX($F$869:$F$921,MATCH(Paramètres!L29,Paramètres!$G$5:$G$57,0)),INDEX($E$869:$E$921,MATCH(Paramètres!L29,Paramètres!$G$5:$G$57,0)))+IF(RIGHT(TRIM(Paramètres!M29),3)="Fin",1-$H893,IF(LEFT(TRIM(Paramètres!M29),1)="F",1,0)))),IF(Paramètres!N29="",0,IF(Paramètres!O29="",NA(),IF(LEFT(TRIM(Paramètres!O29),1)="F",INDEX($F$869:$F$921,MATCH(Paramètres!N29,Paramètres!$G$5:$G$57,0)),INDEX($E$869:$E$921,MATCH(Paramètres!N29,Paramètres!$G$5:$G$57,0)))+IF(RIGHT(TRIM(Paramètres!O29),3)="Fin",1-$H893,IF(LEFT(TRIM(Paramètres!O29),1)="F",1,0)))))))</f>
        <v/>
      </c>
      <c r="F893" s="19">
        <f>IF($A893="","",E893+$H893-1)</f>
        <v/>
      </c>
      <c r="G893" s="18" t="n"/>
      <c r="H893" s="18">
        <f>IF($A893="","",IF(I893&lt;&gt;"",I893,Paramètres!B29))</f>
        <v/>
      </c>
      <c r="I893" s="18" t="n"/>
    </row>
    <row r="894">
      <c r="A894" s="18">
        <f>IF(ISNUMBER(Dossiers!$D$20),Dossiers!$A$20&amp;" · "&amp;Dossiers!$B$20,"")</f>
        <v/>
      </c>
      <c r="B894" s="18">
        <f>IF($A894="","",Paramètres!G30)</f>
        <v/>
      </c>
      <c r="C894" s="18">
        <f>IF($A894="","",IF(Paramètres!H30="","",Paramètres!H30))</f>
        <v/>
      </c>
      <c r="D894" s="18">
        <f>IF($A894="","",IF(Paramètres!I30="","",Paramètres!I30))</f>
        <v/>
      </c>
      <c r="E894" s="19">
        <f>IF($A894="","",IF(Paramètres!J30&amp;Paramètres!L30&amp;Paramètres!N30="",Dossiers!$D$20,MAX(IF(Paramètres!J30="",0,IF(Paramètres!K30="",NA(),IF(LEFT(TRIM(Paramètres!K30),1)="F",INDEX($F$869:$F$921,MATCH(Paramètres!J30,Paramètres!$G$5:$G$57,0)),INDEX($E$869:$E$921,MATCH(Paramètres!J30,Paramètres!$G$5:$G$57,0)))+IF(RIGHT(TRIM(Paramètres!K30),3)="Fin",1-$H894,IF(LEFT(TRIM(Paramètres!K30),1)="F",1,0)))),IF(Paramètres!L30="",0,IF(Paramètres!M30="",NA(),IF(LEFT(TRIM(Paramètres!M30),1)="F",INDEX($F$869:$F$921,MATCH(Paramètres!L30,Paramètres!$G$5:$G$57,0)),INDEX($E$869:$E$921,MATCH(Paramètres!L30,Paramètres!$G$5:$G$57,0)))+IF(RIGHT(TRIM(Paramètres!M30),3)="Fin",1-$H894,IF(LEFT(TRIM(Paramètres!M30),1)="F",1,0)))),IF(Paramètres!N30="",0,IF(Paramètres!O30="",NA(),IF(LEFT(TRIM(Paramètres!O30),1)="F",INDEX($F$869:$F$921,MATCH(Paramètres!N30,Paramètres!$G$5:$G$57,0)),INDEX($E$869:$E$921,MATCH(Paramètres!N30,Paramètres!$G$5:$G$57,0)))+IF(RIGHT(TRIM(Paramètres!O30),3)="Fin",1-$H894,IF(LEFT(TRIM(Paramètres!O30),1)="F",1,0)))))))</f>
        <v/>
      </c>
      <c r="F894" s="19">
        <f>IF($A894="","",E894+$H894-1)</f>
        <v/>
      </c>
      <c r="G894" s="18" t="n"/>
      <c r="H894" s="18">
        <f>IF($A894="","",IF(I894&lt;&gt;"",I894,Paramètres!B30))</f>
        <v/>
      </c>
      <c r="I894" s="18" t="n"/>
    </row>
    <row r="895">
      <c r="A895" s="18">
        <f>IF(ISNUMBER(Dossiers!$D$20),Dossiers!$A$20&amp;" · "&amp;Dossiers!$B$20,"")</f>
        <v/>
      </c>
      <c r="B895" s="18">
        <f>IF($A895="","",Paramètres!G31)</f>
        <v/>
      </c>
      <c r="C895" s="20">
        <f>IF($A895="","",IF(Dossiers!$F$20="","",Dossiers!$F$20))</f>
        <v/>
      </c>
      <c r="D895" s="18">
        <f>IF($A895="","",IF(Paramètres!I31="","",Paramètres!I31))</f>
        <v/>
      </c>
      <c r="E895" s="19">
        <f>IF($A895="","",IF(Paramètres!J31&amp;Paramètres!L31&amp;Paramètres!N31="",Dossiers!$D$20,MAX(IF(Paramètres!J31="",0,IF(Paramètres!K31="",NA(),IF(LEFT(TRIM(Paramètres!K31),1)="F",INDEX($F$869:$F$921,MATCH(Paramètres!J31,Paramètres!$G$5:$G$57,0)),INDEX($E$869:$E$921,MATCH(Paramètres!J31,Paramètres!$G$5:$G$57,0)))+IF(RIGHT(TRIM(Paramètres!K31),3)="Fin",1-$H895,IF(LEFT(TRIM(Paramètres!K31),1)="F",1,0)))),IF(Paramètres!L31="",0,IF(Paramètres!M31="",NA(),IF(LEFT(TRIM(Paramètres!M31),1)="F",INDEX($F$869:$F$921,MATCH(Paramètres!L31,Paramètres!$G$5:$G$57,0)),INDEX($E$869:$E$921,MATCH(Paramètres!L31,Paramètres!$G$5:$G$57,0)))+IF(RIGHT(TRIM(Paramètres!M31),3)="Fin",1-$H895,IF(LEFT(TRIM(Paramètres!M31),1)="F",1,0)))),IF(Paramètres!N31="",0,IF(Paramètres!O31="",NA(),IF(LEFT(TRIM(Paramètres!O31),1)="F",INDEX($F$869:$F$921,MATCH(Paramètres!N31,Paramètres!$G$5:$G$57,0)),INDEX($E$869:$E$921,MATCH(Paramètres!N31,Paramètres!$G$5:$G$57,0)))+IF(RIGHT(TRIM(Paramètres!O31),3)="Fin",1-$H895,IF(LEFT(TRIM(Paramètres!O31),1)="F",1,0)))))))</f>
        <v/>
      </c>
      <c r="F895" s="19">
        <f>IF($A895="","",E895+$H895-1)</f>
        <v/>
      </c>
      <c r="G895" s="18" t="n"/>
      <c r="H895" s="18">
        <f>IF($A895="","",IF(I895&lt;&gt;"",I895,Paramètres!B31))</f>
        <v/>
      </c>
      <c r="I895" s="18" t="n"/>
    </row>
    <row r="896">
      <c r="A896" s="18">
        <f>IF(ISNUMBER(Dossiers!$D$20),Dossiers!$A$20&amp;" · "&amp;Dossiers!$B$20,"")</f>
        <v/>
      </c>
      <c r="B896" s="18">
        <f>IF($A896="","",Paramètres!G32)</f>
        <v/>
      </c>
      <c r="C896" s="18">
        <f>IF($A896="","",IF(Paramètres!H32="","",Paramètres!H32))</f>
        <v/>
      </c>
      <c r="D896" s="18">
        <f>IF($A896="","",IF(Paramètres!I32="","",Paramètres!I32))</f>
        <v/>
      </c>
      <c r="E896" s="19">
        <f>IF($A896="","",MIN(E897:E900))</f>
        <v/>
      </c>
      <c r="F896" s="19">
        <f>IF($A896="","",MAX(F897:F900))</f>
        <v/>
      </c>
      <c r="G896" s="18" t="n"/>
      <c r="H896" s="18">
        <f>IF($A896="","",F896-E896+1)</f>
        <v/>
      </c>
      <c r="I896" s="18" t="n"/>
    </row>
    <row r="897">
      <c r="A897" s="18">
        <f>IF(ISNUMBER(Dossiers!$D$20),Dossiers!$A$20&amp;" · "&amp;Dossiers!$B$20,"")</f>
        <v/>
      </c>
      <c r="B897" s="18">
        <f>IF($A897="","",Paramètres!G33)</f>
        <v/>
      </c>
      <c r="C897" s="18">
        <f>IF($A897="","",IF(Paramètres!H33="","",Paramètres!H33))</f>
        <v/>
      </c>
      <c r="D897" s="18">
        <f>IF($A897="","",IF(Paramètres!I33="","",Paramètres!I33))</f>
        <v/>
      </c>
      <c r="E897" s="19">
        <f>IF($A897="","",IF(Paramètres!J33&amp;Paramètres!L33&amp;Paramètres!N33="",Dossiers!$D$20,MAX(IF(Paramètres!J33="",0,IF(Paramètres!K33="",NA(),IF(LEFT(TRIM(Paramètres!K33),1)="F",INDEX($F$869:$F$921,MATCH(Paramètres!J33,Paramètres!$G$5:$G$57,0)),INDEX($E$869:$E$921,MATCH(Paramètres!J33,Paramètres!$G$5:$G$57,0)))+IF(RIGHT(TRIM(Paramètres!K33),3)="Fin",1-$H897,IF(LEFT(TRIM(Paramètres!K33),1)="F",1,0)))),IF(Paramètres!L33="",0,IF(Paramètres!M33="",NA(),IF(LEFT(TRIM(Paramètres!M33),1)="F",INDEX($F$869:$F$921,MATCH(Paramètres!L33,Paramètres!$G$5:$G$57,0)),INDEX($E$869:$E$921,MATCH(Paramètres!L33,Paramètres!$G$5:$G$57,0)))+IF(RIGHT(TRIM(Paramètres!M33),3)="Fin",1-$H897,IF(LEFT(TRIM(Paramètres!M33),1)="F",1,0)))),IF(Paramètres!N33="",0,IF(Paramètres!O33="",NA(),IF(LEFT(TRIM(Paramètres!O33),1)="F",INDEX($F$869:$F$921,MATCH(Paramètres!N33,Paramètres!$G$5:$G$57,0)),INDEX($E$869:$E$921,MATCH(Paramètres!N33,Paramètres!$G$5:$G$57,0)))+IF(RIGHT(TRIM(Paramètres!O33),3)="Fin",1-$H897,IF(LEFT(TRIM(Paramètres!O33),1)="F",1,0)))))))</f>
        <v/>
      </c>
      <c r="F897" s="19">
        <f>IF($A897="","",E897+$H897-1)</f>
        <v/>
      </c>
      <c r="G897" s="18" t="n"/>
      <c r="H897" s="18">
        <f>IF($A897="","",IF(I897&lt;&gt;"",I897,Paramètres!B33))</f>
        <v/>
      </c>
      <c r="I897" s="18" t="n"/>
    </row>
    <row r="898">
      <c r="A898" s="18">
        <f>IF(ISNUMBER(Dossiers!$D$20),Dossiers!$A$20&amp;" · "&amp;Dossiers!$B$20,"")</f>
        <v/>
      </c>
      <c r="B898" s="18">
        <f>IF($A898="","",Paramètres!G34)</f>
        <v/>
      </c>
      <c r="C898" s="18">
        <f>IF($A898="","",IF(Paramètres!H34="","",Paramètres!H34))</f>
        <v/>
      </c>
      <c r="D898" s="18">
        <f>IF($A898="","",IF(Paramètres!I34="","",Paramètres!I34))</f>
        <v/>
      </c>
      <c r="E898" s="19">
        <f>IF($A898="","",IF(Paramètres!J34&amp;Paramètres!L34&amp;Paramètres!N34="",Dossiers!$D$20,MAX(IF(Paramètres!J34="",0,IF(Paramètres!K34="",NA(),IF(LEFT(TRIM(Paramètres!K34),1)="F",INDEX($F$869:$F$921,MATCH(Paramètres!J34,Paramètres!$G$5:$G$57,0)),INDEX($E$869:$E$921,MATCH(Paramètres!J34,Paramètres!$G$5:$G$57,0)))+IF(RIGHT(TRIM(Paramètres!K34),3)="Fin",1-$H898,IF(LEFT(TRIM(Paramètres!K34),1)="F",1,0)))),IF(Paramètres!L34="",0,IF(Paramètres!M34="",NA(),IF(LEFT(TRIM(Paramètres!M34),1)="F",INDEX($F$869:$F$921,MATCH(Paramètres!L34,Paramètres!$G$5:$G$57,0)),INDEX($E$869:$E$921,MATCH(Paramètres!L34,Paramètres!$G$5:$G$57,0)))+IF(RIGHT(TRIM(Paramètres!M34),3)="Fin",1-$H898,IF(LEFT(TRIM(Paramètres!M34),1)="F",1,0)))),IF(Paramètres!N34="",0,IF(Paramètres!O34="",NA(),IF(LEFT(TRIM(Paramètres!O34),1)="F",INDEX($F$869:$F$921,MATCH(Paramètres!N34,Paramètres!$G$5:$G$57,0)),INDEX($E$869:$E$921,MATCH(Paramètres!N34,Paramètres!$G$5:$G$57,0)))+IF(RIGHT(TRIM(Paramètres!O34),3)="Fin",1-$H898,IF(LEFT(TRIM(Paramètres!O34),1)="F",1,0)))))))</f>
        <v/>
      </c>
      <c r="F898" s="19">
        <f>IF($A898="","",E898+$H898-1)</f>
        <v/>
      </c>
      <c r="G898" s="18" t="n"/>
      <c r="H898" s="18">
        <f>IF($A898="","",IF(I898&lt;&gt;"",I898,Paramètres!B34))</f>
        <v/>
      </c>
      <c r="I898" s="18" t="n"/>
    </row>
    <row r="899">
      <c r="A899" s="18">
        <f>IF(ISNUMBER(Dossiers!$D$20),Dossiers!$A$20&amp;" · "&amp;Dossiers!$B$20,"")</f>
        <v/>
      </c>
      <c r="B899" s="18">
        <f>IF($A899="","",Paramètres!G35)</f>
        <v/>
      </c>
      <c r="C899" s="18">
        <f>IF($A899="","",IF(Paramètres!H35="","",Paramètres!H35))</f>
        <v/>
      </c>
      <c r="D899" s="18">
        <f>IF($A899="","",IF(Paramètres!I35="","",Paramètres!I35))</f>
        <v/>
      </c>
      <c r="E899" s="19">
        <f>IF($A899="","",IF(Paramètres!J35&amp;Paramètres!L35&amp;Paramètres!N35="",Dossiers!$D$20,MAX(IF(Paramètres!J35="",0,IF(Paramètres!K35="",NA(),IF(LEFT(TRIM(Paramètres!K35),1)="F",INDEX($F$869:$F$921,MATCH(Paramètres!J35,Paramètres!$G$5:$G$57,0)),INDEX($E$869:$E$921,MATCH(Paramètres!J35,Paramètres!$G$5:$G$57,0)))+IF(RIGHT(TRIM(Paramètres!K35),3)="Fin",1-$H899,IF(LEFT(TRIM(Paramètres!K35),1)="F",1,0)))),IF(Paramètres!L35="",0,IF(Paramètres!M35="",NA(),IF(LEFT(TRIM(Paramètres!M35),1)="F",INDEX($F$869:$F$921,MATCH(Paramètres!L35,Paramètres!$G$5:$G$57,0)),INDEX($E$869:$E$921,MATCH(Paramètres!L35,Paramètres!$G$5:$G$57,0)))+IF(RIGHT(TRIM(Paramètres!M35),3)="Fin",1-$H899,IF(LEFT(TRIM(Paramètres!M35),1)="F",1,0)))),IF(Paramètres!N35="",0,IF(Paramètres!O35="",NA(),IF(LEFT(TRIM(Paramètres!O35),1)="F",INDEX($F$869:$F$921,MATCH(Paramètres!N35,Paramètres!$G$5:$G$57,0)),INDEX($E$869:$E$921,MATCH(Paramètres!N35,Paramètres!$G$5:$G$57,0)))+IF(RIGHT(TRIM(Paramètres!O35),3)="Fin",1-$H899,IF(LEFT(TRIM(Paramètres!O35),1)="F",1,0)))))))</f>
        <v/>
      </c>
      <c r="F899" s="19">
        <f>IF($A899="","",E899+$H899-1)</f>
        <v/>
      </c>
      <c r="G899" s="18" t="n"/>
      <c r="H899" s="18">
        <f>IF($A899="","",IF(I899&lt;&gt;"",I899,Paramètres!B35))</f>
        <v/>
      </c>
      <c r="I899" s="18" t="n"/>
    </row>
    <row r="900">
      <c r="A900" s="18">
        <f>IF(ISNUMBER(Dossiers!$D$20),Dossiers!$A$20&amp;" · "&amp;Dossiers!$B$20,"")</f>
        <v/>
      </c>
      <c r="B900" s="18">
        <f>IF($A900="","",Paramètres!G36)</f>
        <v/>
      </c>
      <c r="C900" s="18">
        <f>IF($A900="","",IF(Paramètres!H36="","",Paramètres!H36))</f>
        <v/>
      </c>
      <c r="D900" s="18">
        <f>IF($A900="","",IF(Paramètres!I36="","",Paramètres!I36))</f>
        <v/>
      </c>
      <c r="E900" s="19">
        <f>IF($A900="","",IF(Paramètres!J36&amp;Paramètres!L36&amp;Paramètres!N36="",Dossiers!$D$20,MAX(IF(Paramètres!J36="",0,IF(Paramètres!K36="",NA(),IF(LEFT(TRIM(Paramètres!K36),1)="F",INDEX($F$869:$F$921,MATCH(Paramètres!J36,Paramètres!$G$5:$G$57,0)),INDEX($E$869:$E$921,MATCH(Paramètres!J36,Paramètres!$G$5:$G$57,0)))+IF(RIGHT(TRIM(Paramètres!K36),3)="Fin",1-$H900,IF(LEFT(TRIM(Paramètres!K36),1)="F",1,0)))),IF(Paramètres!L36="",0,IF(Paramètres!M36="",NA(),IF(LEFT(TRIM(Paramètres!M36),1)="F",INDEX($F$869:$F$921,MATCH(Paramètres!L36,Paramètres!$G$5:$G$57,0)),INDEX($E$869:$E$921,MATCH(Paramètres!L36,Paramètres!$G$5:$G$57,0)))+IF(RIGHT(TRIM(Paramètres!M36),3)="Fin",1-$H900,IF(LEFT(TRIM(Paramètres!M36),1)="F",1,0)))),IF(Paramètres!N36="",0,IF(Paramètres!O36="",NA(),IF(LEFT(TRIM(Paramètres!O36),1)="F",INDEX($F$869:$F$921,MATCH(Paramètres!N36,Paramètres!$G$5:$G$57,0)),INDEX($E$869:$E$921,MATCH(Paramètres!N36,Paramètres!$G$5:$G$57,0)))+IF(RIGHT(TRIM(Paramètres!O36),3)="Fin",1-$H900,IF(LEFT(TRIM(Paramètres!O36),1)="F",1,0)))))))</f>
        <v/>
      </c>
      <c r="F900" s="19">
        <f>IF($A900="","",E900+$H900-1)</f>
        <v/>
      </c>
      <c r="G900" s="18" t="n"/>
      <c r="H900" s="18">
        <f>IF($A900="","",IF(I900&lt;&gt;"",I900,Paramètres!B36))</f>
        <v/>
      </c>
      <c r="I900" s="18" t="n"/>
    </row>
    <row r="901">
      <c r="A901" s="18">
        <f>IF(ISNUMBER(Dossiers!$D$20),Dossiers!$A$20&amp;" · "&amp;Dossiers!$B$20,"")</f>
        <v/>
      </c>
      <c r="B901" s="18">
        <f>IF($A901="","",Paramètres!G37)</f>
        <v/>
      </c>
      <c r="C901" s="18">
        <f>IF($A901="","",IF(Paramètres!H37="","",Paramètres!H37))</f>
        <v/>
      </c>
      <c r="D901" s="18">
        <f>IF($A901="","",IF(Paramètres!I37="","",Paramètres!I37))</f>
        <v/>
      </c>
      <c r="E901" s="19">
        <f>IF($A901="","",MIN(E902:E919))</f>
        <v/>
      </c>
      <c r="F901" s="19">
        <f>IF($A901="","",MAX(F902:F919))</f>
        <v/>
      </c>
      <c r="G901" s="18" t="n"/>
      <c r="H901" s="18">
        <f>IF($A901="","",F901-E901+1)</f>
        <v/>
      </c>
      <c r="I901" s="18" t="n"/>
    </row>
    <row r="902">
      <c r="A902" s="18">
        <f>IF(ISNUMBER(Dossiers!$D$20),Dossiers!$A$20&amp;" · "&amp;Dossiers!$B$20,"")</f>
        <v/>
      </c>
      <c r="B902" s="18">
        <f>IF($A902="","",Paramètres!G38)</f>
        <v/>
      </c>
      <c r="C902" s="18">
        <f>IF($A902="","",IF(Paramètres!H38="","",Paramètres!H38))</f>
        <v/>
      </c>
      <c r="D902" s="18">
        <f>IF($A902="","",IF(Paramètres!I38="","",Paramètres!I38))</f>
        <v/>
      </c>
      <c r="E902" s="19">
        <f>IF($A902="","",IF(Paramètres!J38&amp;Paramètres!L38&amp;Paramètres!N38="",Dossiers!$D$20,MAX(IF(Paramètres!J38="",0,IF(Paramètres!K38="",NA(),IF(LEFT(TRIM(Paramètres!K38),1)="F",INDEX($F$869:$F$921,MATCH(Paramètres!J38,Paramètres!$G$5:$G$57,0)),INDEX($E$869:$E$921,MATCH(Paramètres!J38,Paramètres!$G$5:$G$57,0)))+IF(RIGHT(TRIM(Paramètres!K38),3)="Fin",1-$H902,IF(LEFT(TRIM(Paramètres!K38),1)="F",1,0)))),IF(Paramètres!L38="",0,IF(Paramètres!M38="",NA(),IF(LEFT(TRIM(Paramètres!M38),1)="F",INDEX($F$869:$F$921,MATCH(Paramètres!L38,Paramètres!$G$5:$G$57,0)),INDEX($E$869:$E$921,MATCH(Paramètres!L38,Paramètres!$G$5:$G$57,0)))+IF(RIGHT(TRIM(Paramètres!M38),3)="Fin",1-$H902,IF(LEFT(TRIM(Paramètres!M38),1)="F",1,0)))),IF(Paramètres!N38="",0,IF(Paramètres!O38="",NA(),IF(LEFT(TRIM(Paramètres!O38),1)="F",INDEX($F$869:$F$921,MATCH(Paramètres!N38,Paramètres!$G$5:$G$57,0)),INDEX($E$869:$E$921,MATCH(Paramètres!N38,Paramètres!$G$5:$G$57,0)))+IF(RIGHT(TRIM(Paramètres!O38),3)="Fin",1-$H902,IF(LEFT(TRIM(Paramètres!O38),1)="F",1,0)))))))</f>
        <v/>
      </c>
      <c r="F902" s="19">
        <f>IF($A902="","",E902+$H902-1)</f>
        <v/>
      </c>
      <c r="G902" s="18" t="n"/>
      <c r="H902" s="18">
        <f>IF($A902="","",IF(I902&lt;&gt;"",I902,Paramètres!B38))</f>
        <v/>
      </c>
      <c r="I902" s="18" t="n"/>
    </row>
    <row r="903">
      <c r="A903" s="18">
        <f>IF(ISNUMBER(Dossiers!$D$20),Dossiers!$A$20&amp;" · "&amp;Dossiers!$B$20,"")</f>
        <v/>
      </c>
      <c r="B903" s="18">
        <f>IF($A903="","",Paramètres!G39)</f>
        <v/>
      </c>
      <c r="C903" s="18">
        <f>IF($A903="","",IF(Paramètres!H39="","",Paramètres!H39))</f>
        <v/>
      </c>
      <c r="D903" s="18">
        <f>IF($A903="","",IF(Paramètres!I39="","",Paramètres!I39))</f>
        <v/>
      </c>
      <c r="E903" s="19">
        <f>IF($A903="","",IF(Paramètres!J39&amp;Paramètres!L39&amp;Paramètres!N39="",Dossiers!$D$20,MAX(IF(Paramètres!J39="",0,IF(Paramètres!K39="",NA(),IF(LEFT(TRIM(Paramètres!K39),1)="F",INDEX($F$869:$F$921,MATCH(Paramètres!J39,Paramètres!$G$5:$G$57,0)),INDEX($E$869:$E$921,MATCH(Paramètres!J39,Paramètres!$G$5:$G$57,0)))+IF(RIGHT(TRIM(Paramètres!K39),3)="Fin",1-$H903,IF(LEFT(TRIM(Paramètres!K39),1)="F",1,0)))),IF(Paramètres!L39="",0,IF(Paramètres!M39="",NA(),IF(LEFT(TRIM(Paramètres!M39),1)="F",INDEX($F$869:$F$921,MATCH(Paramètres!L39,Paramètres!$G$5:$G$57,0)),INDEX($E$869:$E$921,MATCH(Paramètres!L39,Paramètres!$G$5:$G$57,0)))+IF(RIGHT(TRIM(Paramètres!M39),3)="Fin",1-$H903,IF(LEFT(TRIM(Paramètres!M39),1)="F",1,0)))),IF(Paramètres!N39="",0,IF(Paramètres!O39="",NA(),IF(LEFT(TRIM(Paramètres!O39),1)="F",INDEX($F$869:$F$921,MATCH(Paramètres!N39,Paramètres!$G$5:$G$57,0)),INDEX($E$869:$E$921,MATCH(Paramètres!N39,Paramètres!$G$5:$G$57,0)))+IF(RIGHT(TRIM(Paramètres!O39),3)="Fin",1-$H903,IF(LEFT(TRIM(Paramètres!O39),1)="F",1,0)))))))</f>
        <v/>
      </c>
      <c r="F903" s="19">
        <f>IF($A903="","",E903+$H903-1)</f>
        <v/>
      </c>
      <c r="G903" s="18" t="n"/>
      <c r="H903" s="18">
        <f>IF($A903="","",IF(I903&lt;&gt;"",I903,Paramètres!B39))</f>
        <v/>
      </c>
      <c r="I903" s="18" t="n"/>
    </row>
    <row r="904">
      <c r="A904" s="18">
        <f>IF(ISNUMBER(Dossiers!$D$20),Dossiers!$A$20&amp;" · "&amp;Dossiers!$B$20,"")</f>
        <v/>
      </c>
      <c r="B904" s="18">
        <f>IF($A904="","",Paramètres!G40)</f>
        <v/>
      </c>
      <c r="C904" s="18">
        <f>IF($A904="","",IF(Paramètres!H40="","",Paramètres!H40))</f>
        <v/>
      </c>
      <c r="D904" s="18">
        <f>IF($A904="","",IF(Paramètres!I40="","",Paramètres!I40))</f>
        <v/>
      </c>
      <c r="E904" s="19">
        <f>IF($A904="","",IF(Paramètres!J40&amp;Paramètres!L40&amp;Paramètres!N40="",Dossiers!$D$20,MAX(IF(Paramètres!J40="",0,IF(Paramètres!K40="",NA(),IF(LEFT(TRIM(Paramètres!K40),1)="F",INDEX($F$869:$F$921,MATCH(Paramètres!J40,Paramètres!$G$5:$G$57,0)),INDEX($E$869:$E$921,MATCH(Paramètres!J40,Paramètres!$G$5:$G$57,0)))+IF(RIGHT(TRIM(Paramètres!K40),3)="Fin",1-$H904,IF(LEFT(TRIM(Paramètres!K40),1)="F",1,0)))),IF(Paramètres!L40="",0,IF(Paramètres!M40="",NA(),IF(LEFT(TRIM(Paramètres!M40),1)="F",INDEX($F$869:$F$921,MATCH(Paramètres!L40,Paramètres!$G$5:$G$57,0)),INDEX($E$869:$E$921,MATCH(Paramètres!L40,Paramètres!$G$5:$G$57,0)))+IF(RIGHT(TRIM(Paramètres!M40),3)="Fin",1-$H904,IF(LEFT(TRIM(Paramètres!M40),1)="F",1,0)))),IF(Paramètres!N40="",0,IF(Paramètres!O40="",NA(),IF(LEFT(TRIM(Paramètres!O40),1)="F",INDEX($F$869:$F$921,MATCH(Paramètres!N40,Paramètres!$G$5:$G$57,0)),INDEX($E$869:$E$921,MATCH(Paramètres!N40,Paramètres!$G$5:$G$57,0)))+IF(RIGHT(TRIM(Paramètres!O40),3)="Fin",1-$H904,IF(LEFT(TRIM(Paramètres!O40),1)="F",1,0)))))))</f>
        <v/>
      </c>
      <c r="F904" s="19">
        <f>IF($A904="","",E904+$H904-1)</f>
        <v/>
      </c>
      <c r="G904" s="18" t="n"/>
      <c r="H904" s="18">
        <f>IF($A904="","",IF(I904&lt;&gt;"",I904,Paramètres!B40))</f>
        <v/>
      </c>
      <c r="I904" s="18" t="n"/>
    </row>
    <row r="905">
      <c r="A905" s="18">
        <f>IF(ISNUMBER(Dossiers!$D$20),Dossiers!$A$20&amp;" · "&amp;Dossiers!$B$20,"")</f>
        <v/>
      </c>
      <c r="B905" s="18">
        <f>IF($A905="","",Paramètres!G41)</f>
        <v/>
      </c>
      <c r="C905" s="18">
        <f>IF($A905="","",IF(Paramètres!H41="","",Paramètres!H41))</f>
        <v/>
      </c>
      <c r="D905" s="18">
        <f>IF($A905="","",IF(Paramètres!I41="","",Paramètres!I41))</f>
        <v/>
      </c>
      <c r="E905" s="19">
        <f>IF($A905="","",IF(Paramètres!J41&amp;Paramètres!L41&amp;Paramètres!N41="",Dossiers!$D$20,MAX(IF(Paramètres!J41="",0,IF(Paramètres!K41="",NA(),IF(LEFT(TRIM(Paramètres!K41),1)="F",INDEX($F$869:$F$921,MATCH(Paramètres!J41,Paramètres!$G$5:$G$57,0)),INDEX($E$869:$E$921,MATCH(Paramètres!J41,Paramètres!$G$5:$G$57,0)))+IF(RIGHT(TRIM(Paramètres!K41),3)="Fin",1-$H905,IF(LEFT(TRIM(Paramètres!K41),1)="F",1,0)))),IF(Paramètres!L41="",0,IF(Paramètres!M41="",NA(),IF(LEFT(TRIM(Paramètres!M41),1)="F",INDEX($F$869:$F$921,MATCH(Paramètres!L41,Paramètres!$G$5:$G$57,0)),INDEX($E$869:$E$921,MATCH(Paramètres!L41,Paramètres!$G$5:$G$57,0)))+IF(RIGHT(TRIM(Paramètres!M41),3)="Fin",1-$H905,IF(LEFT(TRIM(Paramètres!M41),1)="F",1,0)))),IF(Paramètres!N41="",0,IF(Paramètres!O41="",NA(),IF(LEFT(TRIM(Paramètres!O41),1)="F",INDEX($F$869:$F$921,MATCH(Paramètres!N41,Paramètres!$G$5:$G$57,0)),INDEX($E$869:$E$921,MATCH(Paramètres!N41,Paramètres!$G$5:$G$57,0)))+IF(RIGHT(TRIM(Paramètres!O41),3)="Fin",1-$H905,IF(LEFT(TRIM(Paramètres!O41),1)="F",1,0)))))))</f>
        <v/>
      </c>
      <c r="F905" s="19">
        <f>IF($A905="","",E905+$H905-1)</f>
        <v/>
      </c>
      <c r="G905" s="18" t="n"/>
      <c r="H905" s="18">
        <f>IF($A905="","",IF(I905&lt;&gt;"",I905,Paramètres!B41))</f>
        <v/>
      </c>
      <c r="I905" s="18" t="n"/>
    </row>
    <row r="906">
      <c r="A906" s="18">
        <f>IF(ISNUMBER(Dossiers!$D$20),Dossiers!$A$20&amp;" · "&amp;Dossiers!$B$20,"")</f>
        <v/>
      </c>
      <c r="B906" s="18">
        <f>IF($A906="","",Paramètres!G42)</f>
        <v/>
      </c>
      <c r="C906" s="18">
        <f>IF($A906="","",IF(Paramètres!H42="","",Paramètres!H42))</f>
        <v/>
      </c>
      <c r="D906" s="18">
        <f>IF($A906="","",IF(Paramètres!I42="","",Paramètres!I42))</f>
        <v/>
      </c>
      <c r="E906" s="19">
        <f>IF($A906="","",IF(Paramètres!J42&amp;Paramètres!L42&amp;Paramètres!N42="",Dossiers!$D$20,MAX(IF(Paramètres!J42="",0,IF(Paramètres!K42="",NA(),IF(LEFT(TRIM(Paramètres!K42),1)="F",INDEX($F$869:$F$921,MATCH(Paramètres!J42,Paramètres!$G$5:$G$57,0)),INDEX($E$869:$E$921,MATCH(Paramètres!J42,Paramètres!$G$5:$G$57,0)))+IF(RIGHT(TRIM(Paramètres!K42),3)="Fin",1-$H906,IF(LEFT(TRIM(Paramètres!K42),1)="F",1,0)))),IF(Paramètres!L42="",0,IF(Paramètres!M42="",NA(),IF(LEFT(TRIM(Paramètres!M42),1)="F",INDEX($F$869:$F$921,MATCH(Paramètres!L42,Paramètres!$G$5:$G$57,0)),INDEX($E$869:$E$921,MATCH(Paramètres!L42,Paramètres!$G$5:$G$57,0)))+IF(RIGHT(TRIM(Paramètres!M42),3)="Fin",1-$H906,IF(LEFT(TRIM(Paramètres!M42),1)="F",1,0)))),IF(Paramètres!N42="",0,IF(Paramètres!O42="",NA(),IF(LEFT(TRIM(Paramètres!O42),1)="F",INDEX($F$869:$F$921,MATCH(Paramètres!N42,Paramètres!$G$5:$G$57,0)),INDEX($E$869:$E$921,MATCH(Paramètres!N42,Paramètres!$G$5:$G$57,0)))+IF(RIGHT(TRIM(Paramètres!O42),3)="Fin",1-$H906,IF(LEFT(TRIM(Paramètres!O42),1)="F",1,0)))))))</f>
        <v/>
      </c>
      <c r="F906" s="19">
        <f>IF($A906="","",E906+$H906-1)</f>
        <v/>
      </c>
      <c r="G906" s="18" t="n"/>
      <c r="H906" s="18">
        <f>IF($A906="","",IF(I906&lt;&gt;"",I906,Paramètres!B42))</f>
        <v/>
      </c>
      <c r="I906" s="18" t="n"/>
    </row>
    <row r="907">
      <c r="A907" s="18">
        <f>IF(ISNUMBER(Dossiers!$D$20),Dossiers!$A$20&amp;" · "&amp;Dossiers!$B$20,"")</f>
        <v/>
      </c>
      <c r="B907" s="18">
        <f>IF($A907="","",Paramètres!G43)</f>
        <v/>
      </c>
      <c r="C907" s="18">
        <f>IF($A907="","",IF(Paramètres!H43="","",Paramètres!H43))</f>
        <v/>
      </c>
      <c r="D907" s="18">
        <f>IF($A907="","",IF(Paramètres!I43="","",Paramètres!I43))</f>
        <v/>
      </c>
      <c r="E907" s="19">
        <f>IF($A907="","",IF(Paramètres!J43&amp;Paramètres!L43&amp;Paramètres!N43="",Dossiers!$D$20,MAX(IF(Paramètres!J43="",0,IF(Paramètres!K43="",NA(),IF(LEFT(TRIM(Paramètres!K43),1)="F",INDEX($F$869:$F$921,MATCH(Paramètres!J43,Paramètres!$G$5:$G$57,0)),INDEX($E$869:$E$921,MATCH(Paramètres!J43,Paramètres!$G$5:$G$57,0)))+IF(RIGHT(TRIM(Paramètres!K43),3)="Fin",1-$H907,IF(LEFT(TRIM(Paramètres!K43),1)="F",1,0)))),IF(Paramètres!L43="",0,IF(Paramètres!M43="",NA(),IF(LEFT(TRIM(Paramètres!M43),1)="F",INDEX($F$869:$F$921,MATCH(Paramètres!L43,Paramètres!$G$5:$G$57,0)),INDEX($E$869:$E$921,MATCH(Paramètres!L43,Paramètres!$G$5:$G$57,0)))+IF(RIGHT(TRIM(Paramètres!M43),3)="Fin",1-$H907,IF(LEFT(TRIM(Paramètres!M43),1)="F",1,0)))),IF(Paramètres!N43="",0,IF(Paramètres!O43="",NA(),IF(LEFT(TRIM(Paramètres!O43),1)="F",INDEX($F$869:$F$921,MATCH(Paramètres!N43,Paramètres!$G$5:$G$57,0)),INDEX($E$869:$E$921,MATCH(Paramètres!N43,Paramètres!$G$5:$G$57,0)))+IF(RIGHT(TRIM(Paramètres!O43),3)="Fin",1-$H907,IF(LEFT(TRIM(Paramètres!O43),1)="F",1,0)))))))</f>
        <v/>
      </c>
      <c r="F907" s="19">
        <f>IF($A907="","",E907+$H907-1)</f>
        <v/>
      </c>
      <c r="G907" s="18" t="n"/>
      <c r="H907" s="18">
        <f>IF($A907="","",IF(I907&lt;&gt;"",I907,Paramètres!B43))</f>
        <v/>
      </c>
      <c r="I907" s="18" t="n"/>
    </row>
    <row r="908">
      <c r="A908" s="18">
        <f>IF(ISNUMBER(Dossiers!$D$20),Dossiers!$A$20&amp;" · "&amp;Dossiers!$B$20,"")</f>
        <v/>
      </c>
      <c r="B908" s="18">
        <f>IF($A908="","",Paramètres!G44)</f>
        <v/>
      </c>
      <c r="C908" s="18">
        <f>IF($A908="","",IF(Paramètres!H44="","",Paramètres!H44))</f>
        <v/>
      </c>
      <c r="D908" s="18">
        <f>IF($A908="","",IF(Paramètres!I44="","",Paramètres!I44))</f>
        <v/>
      </c>
      <c r="E908" s="19">
        <f>IF($A908="","",IF(Paramètres!J44&amp;Paramètres!L44&amp;Paramètres!N44="",Dossiers!$D$20,MAX(IF(Paramètres!J44="",0,IF(Paramètres!K44="",NA(),IF(LEFT(TRIM(Paramètres!K44),1)="F",INDEX($F$869:$F$921,MATCH(Paramètres!J44,Paramètres!$G$5:$G$57,0)),INDEX($E$869:$E$921,MATCH(Paramètres!J44,Paramètres!$G$5:$G$57,0)))+IF(RIGHT(TRIM(Paramètres!K44),3)="Fin",1-$H908,IF(LEFT(TRIM(Paramètres!K44),1)="F",1,0)))),IF(Paramètres!L44="",0,IF(Paramètres!M44="",NA(),IF(LEFT(TRIM(Paramètres!M44),1)="F",INDEX($F$869:$F$921,MATCH(Paramètres!L44,Paramètres!$G$5:$G$57,0)),INDEX($E$869:$E$921,MATCH(Paramètres!L44,Paramètres!$G$5:$G$57,0)))+IF(RIGHT(TRIM(Paramètres!M44),3)="Fin",1-$H908,IF(LEFT(TRIM(Paramètres!M44),1)="F",1,0)))),IF(Paramètres!N44="",0,IF(Paramètres!O44="",NA(),IF(LEFT(TRIM(Paramètres!O44),1)="F",INDEX($F$869:$F$921,MATCH(Paramètres!N44,Paramètres!$G$5:$G$57,0)),INDEX($E$869:$E$921,MATCH(Paramètres!N44,Paramètres!$G$5:$G$57,0)))+IF(RIGHT(TRIM(Paramètres!O44),3)="Fin",1-$H908,IF(LEFT(TRIM(Paramètres!O44),1)="F",1,0)))))))</f>
        <v/>
      </c>
      <c r="F908" s="19">
        <f>IF($A908="","",E908+$H908-1)</f>
        <v/>
      </c>
      <c r="G908" s="18" t="n"/>
      <c r="H908" s="18">
        <f>IF($A908="","",IF(I908&lt;&gt;"",I908,Paramètres!B44))</f>
        <v/>
      </c>
      <c r="I908" s="18" t="n"/>
    </row>
    <row r="909">
      <c r="A909" s="18">
        <f>IF(ISNUMBER(Dossiers!$D$20),Dossiers!$A$20&amp;" · "&amp;Dossiers!$B$20,"")</f>
        <v/>
      </c>
      <c r="B909" s="18">
        <f>IF($A909="","",Paramètres!G45)</f>
        <v/>
      </c>
      <c r="C909" s="20">
        <f>IF($A909="","",IF(Dossiers!$G$20="","",Dossiers!$G$20))</f>
        <v/>
      </c>
      <c r="D909" s="18">
        <f>IF($A909="","",IF(Paramètres!I45="","",Paramètres!I45))</f>
        <v/>
      </c>
      <c r="E909" s="19">
        <f>IF($A909="","",IF(Paramètres!J45&amp;Paramètres!L45&amp;Paramètres!N45="",Dossiers!$D$20,MAX(IF(Paramètres!J45="",0,IF(Paramètres!K45="",NA(),IF(LEFT(TRIM(Paramètres!K45),1)="F",INDEX($F$869:$F$921,MATCH(Paramètres!J45,Paramètres!$G$5:$G$57,0)),INDEX($E$869:$E$921,MATCH(Paramètres!J45,Paramètres!$G$5:$G$57,0)))+IF(RIGHT(TRIM(Paramètres!K45),3)="Fin",1-$H909,IF(LEFT(TRIM(Paramètres!K45),1)="F",1,0)))),IF(Paramètres!L45="",0,IF(Paramètres!M45="",NA(),IF(LEFT(TRIM(Paramètres!M45),1)="F",INDEX($F$869:$F$921,MATCH(Paramètres!L45,Paramètres!$G$5:$G$57,0)),INDEX($E$869:$E$921,MATCH(Paramètres!L45,Paramètres!$G$5:$G$57,0)))+IF(RIGHT(TRIM(Paramètres!M45),3)="Fin",1-$H909,IF(LEFT(TRIM(Paramètres!M45),1)="F",1,0)))),IF(Paramètres!N45="",0,IF(Paramètres!O45="",NA(),IF(LEFT(TRIM(Paramètres!O45),1)="F",INDEX($F$869:$F$921,MATCH(Paramètres!N45,Paramètres!$G$5:$G$57,0)),INDEX($E$869:$E$921,MATCH(Paramètres!N45,Paramètres!$G$5:$G$57,0)))+IF(RIGHT(TRIM(Paramètres!O45),3)="Fin",1-$H909,IF(LEFT(TRIM(Paramètres!O45),1)="F",1,0)))))))</f>
        <v/>
      </c>
      <c r="F909" s="19">
        <f>IF($A909="","",E909+$H909-1)</f>
        <v/>
      </c>
      <c r="G909" s="18" t="n"/>
      <c r="H909" s="18">
        <f>IF($A909="","",IF(I909&lt;&gt;"",I909,Paramètres!B45))</f>
        <v/>
      </c>
      <c r="I909" s="18" t="n"/>
    </row>
    <row r="910">
      <c r="A910" s="18">
        <f>IF(ISNUMBER(Dossiers!$D$20),Dossiers!$A$20&amp;" · "&amp;Dossiers!$B$20,"")</f>
        <v/>
      </c>
      <c r="B910" s="18">
        <f>IF($A910="","",Paramètres!G46)</f>
        <v/>
      </c>
      <c r="C910" s="18">
        <f>IF($A910="","",IF(Paramètres!H46="","",Paramètres!H46))</f>
        <v/>
      </c>
      <c r="D910" s="18">
        <f>IF($A910="","",IF(Paramètres!I46="","",Paramètres!I46))</f>
        <v/>
      </c>
      <c r="E910" s="19">
        <f>IF($A910="","",IF(Paramètres!J46&amp;Paramètres!L46&amp;Paramètres!N46="",Dossiers!$D$20,MAX(IF(Paramètres!J46="",0,IF(Paramètres!K46="",NA(),IF(LEFT(TRIM(Paramètres!K46),1)="F",INDEX($F$869:$F$921,MATCH(Paramètres!J46,Paramètres!$G$5:$G$57,0)),INDEX($E$869:$E$921,MATCH(Paramètres!J46,Paramètres!$G$5:$G$57,0)))+IF(RIGHT(TRIM(Paramètres!K46),3)="Fin",1-$H910,IF(LEFT(TRIM(Paramètres!K46),1)="F",1,0)))),IF(Paramètres!L46="",0,IF(Paramètres!M46="",NA(),IF(LEFT(TRIM(Paramètres!M46),1)="F",INDEX($F$869:$F$921,MATCH(Paramètres!L46,Paramètres!$G$5:$G$57,0)),INDEX($E$869:$E$921,MATCH(Paramètres!L46,Paramètres!$G$5:$G$57,0)))+IF(RIGHT(TRIM(Paramètres!M46),3)="Fin",1-$H910,IF(LEFT(TRIM(Paramètres!M46),1)="F",1,0)))),IF(Paramètres!N46="",0,IF(Paramètres!O46="",NA(),IF(LEFT(TRIM(Paramètres!O46),1)="F",INDEX($F$869:$F$921,MATCH(Paramètres!N46,Paramètres!$G$5:$G$57,0)),INDEX($E$869:$E$921,MATCH(Paramètres!N46,Paramètres!$G$5:$G$57,0)))+IF(RIGHT(TRIM(Paramètres!O46),3)="Fin",1-$H910,IF(LEFT(TRIM(Paramètres!O46),1)="F",1,0)))))))</f>
        <v/>
      </c>
      <c r="F910" s="19">
        <f>IF($A910="","",E910+$H910-1)</f>
        <v/>
      </c>
      <c r="G910" s="18" t="n"/>
      <c r="H910" s="18">
        <f>IF($A910="","",IF(I910&lt;&gt;"",I910,Paramètres!B46))</f>
        <v/>
      </c>
      <c r="I910" s="18" t="n"/>
    </row>
    <row r="911">
      <c r="A911" s="18">
        <f>IF(ISNUMBER(Dossiers!$D$20),Dossiers!$A$20&amp;" · "&amp;Dossiers!$B$20,"")</f>
        <v/>
      </c>
      <c r="B911" s="18">
        <f>IF($A911="","",Paramètres!G47)</f>
        <v/>
      </c>
      <c r="C911" s="18">
        <f>IF($A911="","",IF(Paramètres!H47="","",Paramètres!H47))</f>
        <v/>
      </c>
      <c r="D911" s="18">
        <f>IF($A911="","",IF(Paramètres!I47="","",Paramètres!I47))</f>
        <v/>
      </c>
      <c r="E911" s="19">
        <f>IF($A911="","",IF(Paramètres!J47&amp;Paramètres!L47&amp;Paramètres!N47="",Dossiers!$D$20,MAX(IF(Paramètres!J47="",0,IF(Paramètres!K47="",NA(),IF(LEFT(TRIM(Paramètres!K47),1)="F",INDEX($F$869:$F$921,MATCH(Paramètres!J47,Paramètres!$G$5:$G$57,0)),INDEX($E$869:$E$921,MATCH(Paramètres!J47,Paramètres!$G$5:$G$57,0)))+IF(RIGHT(TRIM(Paramètres!K47),3)="Fin",1-$H911,IF(LEFT(TRIM(Paramètres!K47),1)="F",1,0)))),IF(Paramètres!L47="",0,IF(Paramètres!M47="",NA(),IF(LEFT(TRIM(Paramètres!M47),1)="F",INDEX($F$869:$F$921,MATCH(Paramètres!L47,Paramètres!$G$5:$G$57,0)),INDEX($E$869:$E$921,MATCH(Paramètres!L47,Paramètres!$G$5:$G$57,0)))+IF(RIGHT(TRIM(Paramètres!M47),3)="Fin",1-$H911,IF(LEFT(TRIM(Paramètres!M47),1)="F",1,0)))),IF(Paramètres!N47="",0,IF(Paramètres!O47="",NA(),IF(LEFT(TRIM(Paramètres!O47),1)="F",INDEX($F$869:$F$921,MATCH(Paramètres!N47,Paramètres!$G$5:$G$57,0)),INDEX($E$869:$E$921,MATCH(Paramètres!N47,Paramètres!$G$5:$G$57,0)))+IF(RIGHT(TRIM(Paramètres!O47),3)="Fin",1-$H911,IF(LEFT(TRIM(Paramètres!O47),1)="F",1,0)))))))</f>
        <v/>
      </c>
      <c r="F911" s="19">
        <f>IF($A911="","",E911+$H911-1)</f>
        <v/>
      </c>
      <c r="G911" s="18" t="n"/>
      <c r="H911" s="18">
        <f>IF($A911="","",IF(I911&lt;&gt;"",I911,Paramètres!B47))</f>
        <v/>
      </c>
      <c r="I911" s="18" t="n"/>
    </row>
    <row r="912">
      <c r="A912" s="18">
        <f>IF(ISNUMBER(Dossiers!$D$20),Dossiers!$A$20&amp;" · "&amp;Dossiers!$B$20,"")</f>
        <v/>
      </c>
      <c r="B912" s="18">
        <f>IF($A912="","",Paramètres!G48)</f>
        <v/>
      </c>
      <c r="C912" s="18">
        <f>IF($A912="","",IF(Paramètres!H48="","",Paramètres!H48))</f>
        <v/>
      </c>
      <c r="D912" s="18">
        <f>IF($A912="","",IF(Paramètres!I48="","",Paramètres!I48))</f>
        <v/>
      </c>
      <c r="E912" s="19">
        <f>IF($A912="","",IF(Paramètres!J48&amp;Paramètres!L48&amp;Paramètres!N48="",Dossiers!$D$20,MAX(IF(Paramètres!J48="",0,IF(Paramètres!K48="",NA(),IF(LEFT(TRIM(Paramètres!K48),1)="F",INDEX($F$869:$F$921,MATCH(Paramètres!J48,Paramètres!$G$5:$G$57,0)),INDEX($E$869:$E$921,MATCH(Paramètres!J48,Paramètres!$G$5:$G$57,0)))+IF(RIGHT(TRIM(Paramètres!K48),3)="Fin",1-$H912,IF(LEFT(TRIM(Paramètres!K48),1)="F",1,0)))),IF(Paramètres!L48="",0,IF(Paramètres!M48="",NA(),IF(LEFT(TRIM(Paramètres!M48),1)="F",INDEX($F$869:$F$921,MATCH(Paramètres!L48,Paramètres!$G$5:$G$57,0)),INDEX($E$869:$E$921,MATCH(Paramètres!L48,Paramètres!$G$5:$G$57,0)))+IF(RIGHT(TRIM(Paramètres!M48),3)="Fin",1-$H912,IF(LEFT(TRIM(Paramètres!M48),1)="F",1,0)))),IF(Paramètres!N48="",0,IF(Paramètres!O48="",NA(),IF(LEFT(TRIM(Paramètres!O48),1)="F",INDEX($F$869:$F$921,MATCH(Paramètres!N48,Paramètres!$G$5:$G$57,0)),INDEX($E$869:$E$921,MATCH(Paramètres!N48,Paramètres!$G$5:$G$57,0)))+IF(RIGHT(TRIM(Paramètres!O48),3)="Fin",1-$H912,IF(LEFT(TRIM(Paramètres!O48),1)="F",1,0)))))))</f>
        <v/>
      </c>
      <c r="F912" s="19">
        <f>IF($A912="","",E912+$H912-1)</f>
        <v/>
      </c>
      <c r="G912" s="18" t="n"/>
      <c r="H912" s="18">
        <f>IF($A912="","",IF(I912&lt;&gt;"",I912,Paramètres!B48))</f>
        <v/>
      </c>
      <c r="I912" s="18" t="n"/>
    </row>
    <row r="913">
      <c r="A913" s="18">
        <f>IF(ISNUMBER(Dossiers!$D$20),Dossiers!$A$20&amp;" · "&amp;Dossiers!$B$20,"")</f>
        <v/>
      </c>
      <c r="B913" s="18">
        <f>IF($A913="","",Paramètres!G49)</f>
        <v/>
      </c>
      <c r="C913" s="18">
        <f>IF($A913="","",IF(Paramètres!H49="","",Paramètres!H49))</f>
        <v/>
      </c>
      <c r="D913" s="18">
        <f>IF($A913="","",IF(Paramètres!I49="","",Paramètres!I49))</f>
        <v/>
      </c>
      <c r="E913" s="19">
        <f>IF($A913="","",IF(Paramètres!J49&amp;Paramètres!L49&amp;Paramètres!N49="",Dossiers!$D$20,MAX(IF(Paramètres!J49="",0,IF(Paramètres!K49="",NA(),IF(LEFT(TRIM(Paramètres!K49),1)="F",INDEX($F$869:$F$921,MATCH(Paramètres!J49,Paramètres!$G$5:$G$57,0)),INDEX($E$869:$E$921,MATCH(Paramètres!J49,Paramètres!$G$5:$G$57,0)))+IF(RIGHT(TRIM(Paramètres!K49),3)="Fin",1-$H913,IF(LEFT(TRIM(Paramètres!K49),1)="F",1,0)))),IF(Paramètres!L49="",0,IF(Paramètres!M49="",NA(),IF(LEFT(TRIM(Paramètres!M49),1)="F",INDEX($F$869:$F$921,MATCH(Paramètres!L49,Paramètres!$G$5:$G$57,0)),INDEX($E$869:$E$921,MATCH(Paramètres!L49,Paramètres!$G$5:$G$57,0)))+IF(RIGHT(TRIM(Paramètres!M49),3)="Fin",1-$H913,IF(LEFT(TRIM(Paramètres!M49),1)="F",1,0)))),IF(Paramètres!N49="",0,IF(Paramètres!O49="",NA(),IF(LEFT(TRIM(Paramètres!O49),1)="F",INDEX($F$869:$F$921,MATCH(Paramètres!N49,Paramètres!$G$5:$G$57,0)),INDEX($E$869:$E$921,MATCH(Paramètres!N49,Paramètres!$G$5:$G$57,0)))+IF(RIGHT(TRIM(Paramètres!O49),3)="Fin",1-$H913,IF(LEFT(TRIM(Paramètres!O49),1)="F",1,0)))))))</f>
        <v/>
      </c>
      <c r="F913" s="19">
        <f>IF($A913="","",E913+$H913-1)</f>
        <v/>
      </c>
      <c r="G913" s="18" t="n"/>
      <c r="H913" s="18">
        <f>IF($A913="","",IF(I913&lt;&gt;"",I913,Paramètres!B49))</f>
        <v/>
      </c>
      <c r="I913" s="18" t="n"/>
    </row>
    <row r="914">
      <c r="A914" s="18">
        <f>IF(ISNUMBER(Dossiers!$D$20),Dossiers!$A$20&amp;" · "&amp;Dossiers!$B$20,"")</f>
        <v/>
      </c>
      <c r="B914" s="18">
        <f>IF($A914="","",Paramètres!G50)</f>
        <v/>
      </c>
      <c r="C914" s="18">
        <f>IF($A914="","",IF(Paramètres!H50="","",Paramètres!H50))</f>
        <v/>
      </c>
      <c r="D914" s="18">
        <f>IF($A914="","",IF(Paramètres!I50="","",Paramètres!I50))</f>
        <v/>
      </c>
      <c r="E914" s="19">
        <f>IF($A914="","",IF(Paramètres!J50&amp;Paramètres!L50&amp;Paramètres!N50="",Dossiers!$D$20,MAX(IF(Paramètres!J50="",0,IF(Paramètres!K50="",NA(),IF(LEFT(TRIM(Paramètres!K50),1)="F",INDEX($F$869:$F$921,MATCH(Paramètres!J50,Paramètres!$G$5:$G$57,0)),INDEX($E$869:$E$921,MATCH(Paramètres!J50,Paramètres!$G$5:$G$57,0)))+IF(RIGHT(TRIM(Paramètres!K50),3)="Fin",1-$H914,IF(LEFT(TRIM(Paramètres!K50),1)="F",1,0)))),IF(Paramètres!L50="",0,IF(Paramètres!M50="",NA(),IF(LEFT(TRIM(Paramètres!M50),1)="F",INDEX($F$869:$F$921,MATCH(Paramètres!L50,Paramètres!$G$5:$G$57,0)),INDEX($E$869:$E$921,MATCH(Paramètres!L50,Paramètres!$G$5:$G$57,0)))+IF(RIGHT(TRIM(Paramètres!M50),3)="Fin",1-$H914,IF(LEFT(TRIM(Paramètres!M50),1)="F",1,0)))),IF(Paramètres!N50="",0,IF(Paramètres!O50="",NA(),IF(LEFT(TRIM(Paramètres!O50),1)="F",INDEX($F$869:$F$921,MATCH(Paramètres!N50,Paramètres!$G$5:$G$57,0)),INDEX($E$869:$E$921,MATCH(Paramètres!N50,Paramètres!$G$5:$G$57,0)))+IF(RIGHT(TRIM(Paramètres!O50),3)="Fin",1-$H914,IF(LEFT(TRIM(Paramètres!O50),1)="F",1,0)))))))</f>
        <v/>
      </c>
      <c r="F914" s="19">
        <f>IF($A914="","",E914+$H914-1)</f>
        <v/>
      </c>
      <c r="G914" s="18" t="n"/>
      <c r="H914" s="18">
        <f>IF($A914="","",IF(I914&lt;&gt;"",I914,Paramètres!B50))</f>
        <v/>
      </c>
      <c r="I914" s="18" t="n"/>
    </row>
    <row r="915">
      <c r="A915" s="18">
        <f>IF(ISNUMBER(Dossiers!$D$20),Dossiers!$A$20&amp;" · "&amp;Dossiers!$B$20,"")</f>
        <v/>
      </c>
      <c r="B915" s="18">
        <f>IF($A915="","",Paramètres!G51)</f>
        <v/>
      </c>
      <c r="C915" s="18">
        <f>IF($A915="","",IF(Paramètres!H51="","",Paramètres!H51))</f>
        <v/>
      </c>
      <c r="D915" s="18">
        <f>IF($A915="","",IF(Paramètres!I51="","",Paramètres!I51))</f>
        <v/>
      </c>
      <c r="E915" s="19">
        <f>IF($A915="","",IF(Paramètres!J51&amp;Paramètres!L51&amp;Paramètres!N51="",Dossiers!$D$20,MAX(IF(Paramètres!J51="",0,IF(Paramètres!K51="",NA(),IF(LEFT(TRIM(Paramètres!K51),1)="F",INDEX($F$869:$F$921,MATCH(Paramètres!J51,Paramètres!$G$5:$G$57,0)),INDEX($E$869:$E$921,MATCH(Paramètres!J51,Paramètres!$G$5:$G$57,0)))+IF(RIGHT(TRIM(Paramètres!K51),3)="Fin",1-$H915,IF(LEFT(TRIM(Paramètres!K51),1)="F",1,0)))),IF(Paramètres!L51="",0,IF(Paramètres!M51="",NA(),IF(LEFT(TRIM(Paramètres!M51),1)="F",INDEX($F$869:$F$921,MATCH(Paramètres!L51,Paramètres!$G$5:$G$57,0)),INDEX($E$869:$E$921,MATCH(Paramètres!L51,Paramètres!$G$5:$G$57,0)))+IF(RIGHT(TRIM(Paramètres!M51),3)="Fin",1-$H915,IF(LEFT(TRIM(Paramètres!M51),1)="F",1,0)))),IF(Paramètres!N51="",0,IF(Paramètres!O51="",NA(),IF(LEFT(TRIM(Paramètres!O51),1)="F",INDEX($F$869:$F$921,MATCH(Paramètres!N51,Paramètres!$G$5:$G$57,0)),INDEX($E$869:$E$921,MATCH(Paramètres!N51,Paramètres!$G$5:$G$57,0)))+IF(RIGHT(TRIM(Paramètres!O51),3)="Fin",1-$H915,IF(LEFT(TRIM(Paramètres!O51),1)="F",1,0)))))))</f>
        <v/>
      </c>
      <c r="F915" s="19">
        <f>IF($A915="","",E915+$H915-1)</f>
        <v/>
      </c>
      <c r="G915" s="18" t="n"/>
      <c r="H915" s="18">
        <f>IF($A915="","",IF(I915&lt;&gt;"",I915,Paramètres!B51))</f>
        <v/>
      </c>
      <c r="I915" s="18" t="n"/>
    </row>
    <row r="916">
      <c r="A916" s="18">
        <f>IF(ISNUMBER(Dossiers!$D$20),Dossiers!$A$20&amp;" · "&amp;Dossiers!$B$20,"")</f>
        <v/>
      </c>
      <c r="B916" s="18">
        <f>IF($A916="","",Paramètres!G52)</f>
        <v/>
      </c>
      <c r="C916" s="18">
        <f>IF($A916="","",IF(Paramètres!H52="","",Paramètres!H52))</f>
        <v/>
      </c>
      <c r="D916" s="18">
        <f>IF($A916="","",IF(Paramètres!I52="","",Paramètres!I52))</f>
        <v/>
      </c>
      <c r="E916" s="19">
        <f>IF($A916="","",IF(Paramètres!J52&amp;Paramètres!L52&amp;Paramètres!N52="",Dossiers!$D$20,MAX(IF(Paramètres!J52="",0,IF(Paramètres!K52="",NA(),IF(LEFT(TRIM(Paramètres!K52),1)="F",INDEX($F$869:$F$921,MATCH(Paramètres!J52,Paramètres!$G$5:$G$57,0)),INDEX($E$869:$E$921,MATCH(Paramètres!J52,Paramètres!$G$5:$G$57,0)))+IF(RIGHT(TRIM(Paramètres!K52),3)="Fin",1-$H916,IF(LEFT(TRIM(Paramètres!K52),1)="F",1,0)))),IF(Paramètres!L52="",0,IF(Paramètres!M52="",NA(),IF(LEFT(TRIM(Paramètres!M52),1)="F",INDEX($F$869:$F$921,MATCH(Paramètres!L52,Paramètres!$G$5:$G$57,0)),INDEX($E$869:$E$921,MATCH(Paramètres!L52,Paramètres!$G$5:$G$57,0)))+IF(RIGHT(TRIM(Paramètres!M52),3)="Fin",1-$H916,IF(LEFT(TRIM(Paramètres!M52),1)="F",1,0)))),IF(Paramètres!N52="",0,IF(Paramètres!O52="",NA(),IF(LEFT(TRIM(Paramètres!O52),1)="F",INDEX($F$869:$F$921,MATCH(Paramètres!N52,Paramètres!$G$5:$G$57,0)),INDEX($E$869:$E$921,MATCH(Paramètres!N52,Paramètres!$G$5:$G$57,0)))+IF(RIGHT(TRIM(Paramètres!O52),3)="Fin",1-$H916,IF(LEFT(TRIM(Paramètres!O52),1)="F",1,0)))))))</f>
        <v/>
      </c>
      <c r="F916" s="19">
        <f>IF($A916="","",E916+$H916-1)</f>
        <v/>
      </c>
      <c r="G916" s="18" t="n"/>
      <c r="H916" s="18">
        <f>IF($A916="","",IF(I916&lt;&gt;"",I916,Paramètres!B52))</f>
        <v/>
      </c>
      <c r="I916" s="18" t="n"/>
    </row>
    <row r="917">
      <c r="A917" s="18">
        <f>IF(ISNUMBER(Dossiers!$D$20),Dossiers!$A$20&amp;" · "&amp;Dossiers!$B$20,"")</f>
        <v/>
      </c>
      <c r="B917" s="18">
        <f>IF($A917="","",Paramètres!G53)</f>
        <v/>
      </c>
      <c r="C917" s="18">
        <f>IF($A917="","",IF(Paramètres!H53="","",Paramètres!H53))</f>
        <v/>
      </c>
      <c r="D917" s="18">
        <f>IF($A917="","",IF(Paramètres!I53="","",Paramètres!I53))</f>
        <v/>
      </c>
      <c r="E917" s="19">
        <f>IF($A917="","",IF(Paramètres!J53&amp;Paramètres!L53&amp;Paramètres!N53="",Dossiers!$D$20,MAX(IF(Paramètres!J53="",0,IF(Paramètres!K53="",NA(),IF(LEFT(TRIM(Paramètres!K53),1)="F",INDEX($F$869:$F$921,MATCH(Paramètres!J53,Paramètres!$G$5:$G$57,0)),INDEX($E$869:$E$921,MATCH(Paramètres!J53,Paramètres!$G$5:$G$57,0)))+IF(RIGHT(TRIM(Paramètres!K53),3)="Fin",1-$H917,IF(LEFT(TRIM(Paramètres!K53),1)="F",1,0)))),IF(Paramètres!L53="",0,IF(Paramètres!M53="",NA(),IF(LEFT(TRIM(Paramètres!M53),1)="F",INDEX($F$869:$F$921,MATCH(Paramètres!L53,Paramètres!$G$5:$G$57,0)),INDEX($E$869:$E$921,MATCH(Paramètres!L53,Paramètres!$G$5:$G$57,0)))+IF(RIGHT(TRIM(Paramètres!M53),3)="Fin",1-$H917,IF(LEFT(TRIM(Paramètres!M53),1)="F",1,0)))),IF(Paramètres!N53="",0,IF(Paramètres!O53="",NA(),IF(LEFT(TRIM(Paramètres!O53),1)="F",INDEX($F$869:$F$921,MATCH(Paramètres!N53,Paramètres!$G$5:$G$57,0)),INDEX($E$869:$E$921,MATCH(Paramètres!N53,Paramètres!$G$5:$G$57,0)))+IF(RIGHT(TRIM(Paramètres!O53),3)="Fin",1-$H917,IF(LEFT(TRIM(Paramètres!O53),1)="F",1,0)))))))</f>
        <v/>
      </c>
      <c r="F917" s="19">
        <f>IF($A917="","",E917+$H917-1)</f>
        <v/>
      </c>
      <c r="G917" s="18" t="n"/>
      <c r="H917" s="18">
        <f>IF($A917="","",IF(I917&lt;&gt;"",I917,Paramètres!B53))</f>
        <v/>
      </c>
      <c r="I917" s="18" t="n"/>
    </row>
    <row r="918">
      <c r="A918" s="18">
        <f>IF(ISNUMBER(Dossiers!$D$20),Dossiers!$A$20&amp;" · "&amp;Dossiers!$B$20,"")</f>
        <v/>
      </c>
      <c r="B918" s="18">
        <f>IF($A918="","",Paramètres!G54)</f>
        <v/>
      </c>
      <c r="C918" s="18">
        <f>IF($A918="","",IF(Paramètres!H54="","",Paramètres!H54))</f>
        <v/>
      </c>
      <c r="D918" s="18">
        <f>IF($A918="","",IF(Paramètres!I54="","",Paramètres!I54))</f>
        <v/>
      </c>
      <c r="E918" s="19">
        <f>IF($A918="","",IF(Paramètres!J54&amp;Paramètres!L54&amp;Paramètres!N54="",Dossiers!$D$20,MAX(IF(Paramètres!J54="",0,IF(Paramètres!K54="",NA(),IF(LEFT(TRIM(Paramètres!K54),1)="F",INDEX($F$869:$F$921,MATCH(Paramètres!J54,Paramètres!$G$5:$G$57,0)),INDEX($E$869:$E$921,MATCH(Paramètres!J54,Paramètres!$G$5:$G$57,0)))+IF(RIGHT(TRIM(Paramètres!K54),3)="Fin",1-$H918,IF(LEFT(TRIM(Paramètres!K54),1)="F",1,0)))),IF(Paramètres!L54="",0,IF(Paramètres!M54="",NA(),IF(LEFT(TRIM(Paramètres!M54),1)="F",INDEX($F$869:$F$921,MATCH(Paramètres!L54,Paramètres!$G$5:$G$57,0)),INDEX($E$869:$E$921,MATCH(Paramètres!L54,Paramètres!$G$5:$G$57,0)))+IF(RIGHT(TRIM(Paramètres!M54),3)="Fin",1-$H918,IF(LEFT(TRIM(Paramètres!M54),1)="F",1,0)))),IF(Paramètres!N54="",0,IF(Paramètres!O54="",NA(),IF(LEFT(TRIM(Paramètres!O54),1)="F",INDEX($F$869:$F$921,MATCH(Paramètres!N54,Paramètres!$G$5:$G$57,0)),INDEX($E$869:$E$921,MATCH(Paramètres!N54,Paramètres!$G$5:$G$57,0)))+IF(RIGHT(TRIM(Paramètres!O54),3)="Fin",1-$H918,IF(LEFT(TRIM(Paramètres!O54),1)="F",1,0)))))))</f>
        <v/>
      </c>
      <c r="F918" s="19">
        <f>IF($A918="","",E918+$H918-1)</f>
        <v/>
      </c>
      <c r="G918" s="18" t="n"/>
      <c r="H918" s="18">
        <f>IF($A918="","",IF(I918&lt;&gt;"",I918,Paramètres!B54))</f>
        <v/>
      </c>
      <c r="I918" s="18" t="n"/>
    </row>
    <row r="919">
      <c r="A919" s="18">
        <f>IF(ISNUMBER(Dossiers!$D$20),Dossiers!$A$20&amp;" · "&amp;Dossiers!$B$20,"")</f>
        <v/>
      </c>
      <c r="B919" s="18">
        <f>IF($A919="","",Paramètres!G55)</f>
        <v/>
      </c>
      <c r="C919" s="18">
        <f>IF($A919="","",IF(Paramètres!H55="","",Paramètres!H55))</f>
        <v/>
      </c>
      <c r="D919" s="18">
        <f>IF($A919="","",IF(Paramètres!I55="","",Paramètres!I55))</f>
        <v/>
      </c>
      <c r="E919" s="19">
        <f>IF($A919="","",IF(Paramètres!J55&amp;Paramètres!L55&amp;Paramètres!N55="",Dossiers!$D$20,MAX(IF(Paramètres!J55="",0,IF(Paramètres!K55="",NA(),IF(LEFT(TRIM(Paramètres!K55),1)="F",INDEX($F$869:$F$921,MATCH(Paramètres!J55,Paramètres!$G$5:$G$57,0)),INDEX($E$869:$E$921,MATCH(Paramètres!J55,Paramètres!$G$5:$G$57,0)))+IF(RIGHT(TRIM(Paramètres!K55),3)="Fin",1-$H919,IF(LEFT(TRIM(Paramètres!K55),1)="F",1,0)))),IF(Paramètres!L55="",0,IF(Paramètres!M55="",NA(),IF(LEFT(TRIM(Paramètres!M55),1)="F",INDEX($F$869:$F$921,MATCH(Paramètres!L55,Paramètres!$G$5:$G$57,0)),INDEX($E$869:$E$921,MATCH(Paramètres!L55,Paramètres!$G$5:$G$57,0)))+IF(RIGHT(TRIM(Paramètres!M55),3)="Fin",1-$H919,IF(LEFT(TRIM(Paramètres!M55),1)="F",1,0)))),IF(Paramètres!N55="",0,IF(Paramètres!O55="",NA(),IF(LEFT(TRIM(Paramètres!O55),1)="F",INDEX($F$869:$F$921,MATCH(Paramètres!N55,Paramètres!$G$5:$G$57,0)),INDEX($E$869:$E$921,MATCH(Paramètres!N55,Paramètres!$G$5:$G$57,0)))+IF(RIGHT(TRIM(Paramètres!O55),3)="Fin",1-$H919,IF(LEFT(TRIM(Paramètres!O55),1)="F",1,0)))))))</f>
        <v/>
      </c>
      <c r="F919" s="19">
        <f>IF($A919="","",E919+$H919-1)</f>
        <v/>
      </c>
      <c r="G919" s="18" t="n"/>
      <c r="H919" s="18">
        <f>IF($A919="","",IF(I919&lt;&gt;"",I919,Paramètres!B55))</f>
        <v/>
      </c>
      <c r="I919" s="18" t="n"/>
    </row>
    <row r="920">
      <c r="A920" s="18">
        <f>IF(ISNUMBER(Dossiers!$D$20),Dossiers!$A$20&amp;" · "&amp;Dossiers!$B$20,"")</f>
        <v/>
      </c>
      <c r="B920" s="18">
        <f>IF($A920="","",Paramètres!G56)</f>
        <v/>
      </c>
      <c r="C920" s="18">
        <f>IF($A920="","",IF(Paramètres!H56="","",Paramètres!H56))</f>
        <v/>
      </c>
      <c r="D920" s="18">
        <f>IF($A920="","",IF(Paramètres!I56="","",Paramètres!I56))</f>
        <v/>
      </c>
      <c r="E920" s="19">
        <f>IF($A920="","",MIN(E921:E921))</f>
        <v/>
      </c>
      <c r="F920" s="19">
        <f>IF($A920="","",MAX(F921:F921))</f>
        <v/>
      </c>
      <c r="G920" s="18" t="n"/>
      <c r="H920" s="18">
        <f>IF($A920="","",F920-E920+1)</f>
        <v/>
      </c>
      <c r="I920" s="18" t="n"/>
    </row>
    <row r="921">
      <c r="A921" s="18">
        <f>IF(ISNUMBER(Dossiers!$D$20),Dossiers!$A$20&amp;" · "&amp;Dossiers!$B$20,"")</f>
        <v/>
      </c>
      <c r="B921" s="18">
        <f>IF($A921="","",Paramètres!G57)</f>
        <v/>
      </c>
      <c r="C921" s="18">
        <f>IF($A921="","",IF(Paramètres!H57="","",Paramètres!H57))</f>
        <v/>
      </c>
      <c r="D921" s="18">
        <f>IF($A921="","",IF(Paramètres!I57="","",Paramètres!I57))</f>
        <v/>
      </c>
      <c r="E921" s="19">
        <f>IF($A921="","",IF(Paramètres!J57&amp;Paramètres!L57&amp;Paramètres!N57="",Dossiers!$D$20,MAX(IF(Paramètres!J57="",0,IF(Paramètres!K57="",NA(),IF(LEFT(TRIM(Paramètres!K57),1)="F",INDEX($F$869:$F$921,MATCH(Paramètres!J57,Paramètres!$G$5:$G$57,0)),INDEX($E$869:$E$921,MATCH(Paramètres!J57,Paramètres!$G$5:$G$57,0)))+IF(RIGHT(TRIM(Paramètres!K57),3)="Fin",1-$H921,IF(LEFT(TRIM(Paramètres!K57),1)="F",1,0)))),IF(Paramètres!L57="",0,IF(Paramètres!M57="",NA(),IF(LEFT(TRIM(Paramètres!M57),1)="F",INDEX($F$869:$F$921,MATCH(Paramètres!L57,Paramètres!$G$5:$G$57,0)),INDEX($E$869:$E$921,MATCH(Paramètres!L57,Paramètres!$G$5:$G$57,0)))+IF(RIGHT(TRIM(Paramètres!M57),3)="Fin",1-$H921,IF(LEFT(TRIM(Paramètres!M57),1)="F",1,0)))),IF(Paramètres!N57="",0,IF(Paramètres!O57="",NA(),IF(LEFT(TRIM(Paramètres!O57),1)="F",INDEX($F$869:$F$921,MATCH(Paramètres!N57,Paramètres!$G$5:$G$57,0)),INDEX($E$869:$E$921,MATCH(Paramètres!N57,Paramètres!$G$5:$G$57,0)))+IF(RIGHT(TRIM(Paramètres!O57),3)="Fin",1-$H921,IF(LEFT(TRIM(Paramètres!O57),1)="F",1,0)))))))</f>
        <v/>
      </c>
      <c r="F921" s="19">
        <f>IF($A921="","",E921+$H921-1)</f>
        <v/>
      </c>
      <c r="G921" s="18" t="n"/>
      <c r="H921" s="18">
        <f>IF($A921="","",IF(I921&lt;&gt;"",I921,Paramètres!B57))</f>
        <v/>
      </c>
      <c r="I921" s="18" t="n"/>
    </row>
    <row r="922">
      <c r="A922" s="16">
        <f>IF(ISNUMBER(Dossiers!$D$21),Dossiers!$E$21,"")</f>
        <v/>
      </c>
      <c r="B922" s="16">
        <f>IF($A922="","","Identifiant")</f>
        <v/>
      </c>
      <c r="C922" s="16">
        <f>IF($A922="","","Macro Etape")</f>
        <v/>
      </c>
      <c r="D922" s="16">
        <f>IF($A922="","","Etape")</f>
        <v/>
      </c>
      <c r="E922" s="17">
        <f>IF($A922="","","Début le")</f>
        <v/>
      </c>
      <c r="F922" s="17">
        <f>IF($A922="","","Fin prévue le")</f>
        <v/>
      </c>
      <c r="G922" s="16">
        <f>IF($A922="","","Statut")</f>
        <v/>
      </c>
      <c r="H922" s="16">
        <f>IF($A922="","","Durée (jours)")</f>
        <v/>
      </c>
      <c r="I922" s="16">
        <f>IF($A922="","","Durée particulière")</f>
        <v/>
      </c>
      <c r="J922" s="10">
        <f>IF($A922="","",HYPERLINK("#'Tableau de bord'!A1","↑ Tableau de bord"))</f>
        <v/>
      </c>
    </row>
    <row r="923">
      <c r="A923" s="18">
        <f>IF(ISNUMBER(Dossiers!$D$21),Dossiers!$A$21&amp;" · "&amp;Dossiers!$B$21,"")</f>
        <v/>
      </c>
      <c r="B923" s="18">
        <f>IF($A923="","",Paramètres!G5)</f>
        <v/>
      </c>
      <c r="C923" s="18">
        <f>IF($A923="","",IF(Paramètres!H5="","",Paramètres!H5))</f>
        <v/>
      </c>
      <c r="D923" s="18">
        <f>IF($A923="","",IF(Paramètres!I5="","",Paramètres!I5))</f>
        <v/>
      </c>
      <c r="E923" s="19">
        <f>IF($A923="","",MIN(E924:E927))</f>
        <v/>
      </c>
      <c r="F923" s="19">
        <f>IF($A923="","",MAX(F924:F927))</f>
        <v/>
      </c>
      <c r="G923" s="18" t="n"/>
      <c r="H923" s="18">
        <f>IF($A923="","",F923-E923+1)</f>
        <v/>
      </c>
      <c r="I923" s="18" t="n"/>
    </row>
    <row r="924">
      <c r="A924" s="18">
        <f>IF(ISNUMBER(Dossiers!$D$21),Dossiers!$A$21&amp;" · "&amp;Dossiers!$B$21,"")</f>
        <v/>
      </c>
      <c r="B924" s="18">
        <f>IF($A924="","",Paramètres!G6)</f>
        <v/>
      </c>
      <c r="C924" s="18">
        <f>IF($A924="","",IF(Paramètres!H6="","",Paramètres!H6))</f>
        <v/>
      </c>
      <c r="D924" s="18">
        <f>IF($A924="","",IF(Paramètres!I6="","",Paramètres!I6))</f>
        <v/>
      </c>
      <c r="E924" s="19">
        <f>IF($A924="","",IF(Paramètres!J6&amp;Paramètres!L6&amp;Paramètres!N6="",Dossiers!$D$21,MAX(IF(Paramètres!J6="",0,IF(Paramètres!K6="",NA(),IF(LEFT(TRIM(Paramètres!K6),1)="F",INDEX($F$923:$F$975,MATCH(Paramètres!J6,Paramètres!$G$5:$G$57,0)),INDEX($E$923:$E$975,MATCH(Paramètres!J6,Paramètres!$G$5:$G$57,0)))+IF(RIGHT(TRIM(Paramètres!K6),3)="Fin",1-$H924,IF(LEFT(TRIM(Paramètres!K6),1)="F",1,0)))),IF(Paramètres!L6="",0,IF(Paramètres!M6="",NA(),IF(LEFT(TRIM(Paramètres!M6),1)="F",INDEX($F$923:$F$975,MATCH(Paramètres!L6,Paramètres!$G$5:$G$57,0)),INDEX($E$923:$E$975,MATCH(Paramètres!L6,Paramètres!$G$5:$G$57,0)))+IF(RIGHT(TRIM(Paramètres!M6),3)="Fin",1-$H924,IF(LEFT(TRIM(Paramètres!M6),1)="F",1,0)))),IF(Paramètres!N6="",0,IF(Paramètres!O6="",NA(),IF(LEFT(TRIM(Paramètres!O6),1)="F",INDEX($F$923:$F$975,MATCH(Paramètres!N6,Paramètres!$G$5:$G$57,0)),INDEX($E$923:$E$975,MATCH(Paramètres!N6,Paramètres!$G$5:$G$57,0)))+IF(RIGHT(TRIM(Paramètres!O6),3)="Fin",1-$H924,IF(LEFT(TRIM(Paramètres!O6),1)="F",1,0)))))))</f>
        <v/>
      </c>
      <c r="F924" s="19">
        <f>IF($A924="","",E924+$H924-1)</f>
        <v/>
      </c>
      <c r="G924" s="18" t="n"/>
      <c r="H924" s="18">
        <f>IF($A924="","",IF(I924&lt;&gt;"",I924,Paramètres!B6))</f>
        <v/>
      </c>
      <c r="I924" s="18" t="n"/>
    </row>
    <row r="925">
      <c r="A925" s="18">
        <f>IF(ISNUMBER(Dossiers!$D$21),Dossiers!$A$21&amp;" · "&amp;Dossiers!$B$21,"")</f>
        <v/>
      </c>
      <c r="B925" s="18">
        <f>IF($A925="","",Paramètres!G7)</f>
        <v/>
      </c>
      <c r="C925" s="18">
        <f>IF($A925="","",IF(Paramètres!H7="","",Paramètres!H7))</f>
        <v/>
      </c>
      <c r="D925" s="18">
        <f>IF($A925="","",IF(Paramètres!I7="","",Paramètres!I7))</f>
        <v/>
      </c>
      <c r="E925" s="19">
        <f>IF($A925="","",IF(Paramètres!J7&amp;Paramètres!L7&amp;Paramètres!N7="",Dossiers!$D$21,MAX(IF(Paramètres!J7="",0,IF(Paramètres!K7="",NA(),IF(LEFT(TRIM(Paramètres!K7),1)="F",INDEX($F$923:$F$975,MATCH(Paramètres!J7,Paramètres!$G$5:$G$57,0)),INDEX($E$923:$E$975,MATCH(Paramètres!J7,Paramètres!$G$5:$G$57,0)))+IF(RIGHT(TRIM(Paramètres!K7),3)="Fin",1-$H925,IF(LEFT(TRIM(Paramètres!K7),1)="F",1,0)))),IF(Paramètres!L7="",0,IF(Paramètres!M7="",NA(),IF(LEFT(TRIM(Paramètres!M7),1)="F",INDEX($F$923:$F$975,MATCH(Paramètres!L7,Paramètres!$G$5:$G$57,0)),INDEX($E$923:$E$975,MATCH(Paramètres!L7,Paramètres!$G$5:$G$57,0)))+IF(RIGHT(TRIM(Paramètres!M7),3)="Fin",1-$H925,IF(LEFT(TRIM(Paramètres!M7),1)="F",1,0)))),IF(Paramètres!N7="",0,IF(Paramètres!O7="",NA(),IF(LEFT(TRIM(Paramètres!O7),1)="F",INDEX($F$923:$F$975,MATCH(Paramètres!N7,Paramètres!$G$5:$G$57,0)),INDEX($E$923:$E$975,MATCH(Paramètres!N7,Paramètres!$G$5:$G$57,0)))+IF(RIGHT(TRIM(Paramètres!O7),3)="Fin",1-$H925,IF(LEFT(TRIM(Paramètres!O7),1)="F",1,0)))))))</f>
        <v/>
      </c>
      <c r="F925" s="19">
        <f>IF($A925="","",E925+$H925-1)</f>
        <v/>
      </c>
      <c r="G925" s="18" t="n"/>
      <c r="H925" s="18">
        <f>IF($A925="","",IF(I925&lt;&gt;"",I925,Paramètres!B7))</f>
        <v/>
      </c>
      <c r="I925" s="18" t="n"/>
    </row>
    <row r="926">
      <c r="A926" s="18">
        <f>IF(ISNUMBER(Dossiers!$D$21),Dossiers!$A$21&amp;" · "&amp;Dossiers!$B$21,"")</f>
        <v/>
      </c>
      <c r="B926" s="18">
        <f>IF($A926="","",Paramètres!G8)</f>
        <v/>
      </c>
      <c r="C926" s="18">
        <f>IF($A926="","",IF(Paramètres!H8="","",Paramètres!H8))</f>
        <v/>
      </c>
      <c r="D926" s="18">
        <f>IF($A926="","",IF(Paramètres!I8="","",Paramètres!I8))</f>
        <v/>
      </c>
      <c r="E926" s="19">
        <f>IF($A926="","",IF(Paramètres!J8&amp;Paramètres!L8&amp;Paramètres!N8="",Dossiers!$D$21,MAX(IF(Paramètres!J8="",0,IF(Paramètres!K8="",NA(),IF(LEFT(TRIM(Paramètres!K8),1)="F",INDEX($F$923:$F$975,MATCH(Paramètres!J8,Paramètres!$G$5:$G$57,0)),INDEX($E$923:$E$975,MATCH(Paramètres!J8,Paramètres!$G$5:$G$57,0)))+IF(RIGHT(TRIM(Paramètres!K8),3)="Fin",1-$H926,IF(LEFT(TRIM(Paramètres!K8),1)="F",1,0)))),IF(Paramètres!L8="",0,IF(Paramètres!M8="",NA(),IF(LEFT(TRIM(Paramètres!M8),1)="F",INDEX($F$923:$F$975,MATCH(Paramètres!L8,Paramètres!$G$5:$G$57,0)),INDEX($E$923:$E$975,MATCH(Paramètres!L8,Paramètres!$G$5:$G$57,0)))+IF(RIGHT(TRIM(Paramètres!M8),3)="Fin",1-$H926,IF(LEFT(TRIM(Paramètres!M8),1)="F",1,0)))),IF(Paramètres!N8="",0,IF(Paramètres!O8="",NA(),IF(LEFT(TRIM(Paramètres!O8),1)="F",INDEX($F$923:$F$975,MATCH(Paramètres!N8,Paramètres!$G$5:$G$57,0)),INDEX($E$923:$E$975,MATCH(Paramètres!N8,Paramètres!$G$5:$G$57,0)))+IF(RIGHT(TRIM(Paramètres!O8),3)="Fin",1-$H926,IF(LEFT(TRIM(Paramètres!O8),1)="F",1,0)))))))</f>
        <v/>
      </c>
      <c r="F926" s="19">
        <f>IF($A926="","",E926+$H926-1)</f>
        <v/>
      </c>
      <c r="G926" s="18" t="n"/>
      <c r="H926" s="18">
        <f>IF($A926="","",IF(I926&lt;&gt;"",I926,Paramètres!B8))</f>
        <v/>
      </c>
      <c r="I926" s="18" t="n"/>
    </row>
    <row r="927">
      <c r="A927" s="18">
        <f>IF(ISNUMBER(Dossiers!$D$21),Dossiers!$A$21&amp;" · "&amp;Dossiers!$B$21,"")</f>
        <v/>
      </c>
      <c r="B927" s="18">
        <f>IF($A927="","",Paramètres!G9)</f>
        <v/>
      </c>
      <c r="C927" s="18">
        <f>IF($A927="","",IF(Paramètres!H9="","",Paramètres!H9))</f>
        <v/>
      </c>
      <c r="D927" s="18">
        <f>IF($A927="","",IF(Paramètres!I9="","",Paramètres!I9))</f>
        <v/>
      </c>
      <c r="E927" s="19">
        <f>IF($A927="","",IF(Paramètres!J9&amp;Paramètres!L9&amp;Paramètres!N9="",Dossiers!$D$21,MAX(IF(Paramètres!J9="",0,IF(Paramètres!K9="",NA(),IF(LEFT(TRIM(Paramètres!K9),1)="F",INDEX($F$923:$F$975,MATCH(Paramètres!J9,Paramètres!$G$5:$G$57,0)),INDEX($E$923:$E$975,MATCH(Paramètres!J9,Paramètres!$G$5:$G$57,0)))+IF(RIGHT(TRIM(Paramètres!K9),3)="Fin",1-$H927,IF(LEFT(TRIM(Paramètres!K9),1)="F",1,0)))),IF(Paramètres!L9="",0,IF(Paramètres!M9="",NA(),IF(LEFT(TRIM(Paramètres!M9),1)="F",INDEX($F$923:$F$975,MATCH(Paramètres!L9,Paramètres!$G$5:$G$57,0)),INDEX($E$923:$E$975,MATCH(Paramètres!L9,Paramètres!$G$5:$G$57,0)))+IF(RIGHT(TRIM(Paramètres!M9),3)="Fin",1-$H927,IF(LEFT(TRIM(Paramètres!M9),1)="F",1,0)))),IF(Paramètres!N9="",0,IF(Paramètres!O9="",NA(),IF(LEFT(TRIM(Paramètres!O9),1)="F",INDEX($F$923:$F$975,MATCH(Paramètres!N9,Paramètres!$G$5:$G$57,0)),INDEX($E$923:$E$975,MATCH(Paramètres!N9,Paramètres!$G$5:$G$57,0)))+IF(RIGHT(TRIM(Paramètres!O9),3)="Fin",1-$H927,IF(LEFT(TRIM(Paramètres!O9),1)="F",1,0)))))))</f>
        <v/>
      </c>
      <c r="F927" s="19">
        <f>IF($A927="","",E927+$H927-1)</f>
        <v/>
      </c>
      <c r="G927" s="18" t="n"/>
      <c r="H927" s="18">
        <f>IF($A927="","",IF(I927&lt;&gt;"",I927,Paramètres!B9))</f>
        <v/>
      </c>
      <c r="I927" s="18" t="n"/>
    </row>
    <row r="928">
      <c r="A928" s="18">
        <f>IF(ISNUMBER(Dossiers!$D$21),Dossiers!$A$21&amp;" · "&amp;Dossiers!$B$21,"")</f>
        <v/>
      </c>
      <c r="B928" s="18">
        <f>IF($A928="","",Paramètres!G10)</f>
        <v/>
      </c>
      <c r="C928" s="18">
        <f>IF($A928="","",IF(Paramètres!H10="","",Paramètres!H10))</f>
        <v/>
      </c>
      <c r="D928" s="18">
        <f>IF($A928="","",IF(Paramètres!I10="","",Paramètres!I10))</f>
        <v/>
      </c>
      <c r="E928" s="19">
        <f>IF($A928="","",MIN(E929:E932))</f>
        <v/>
      </c>
      <c r="F928" s="19">
        <f>IF($A928="","",MAX(F929:F932))</f>
        <v/>
      </c>
      <c r="G928" s="18" t="n"/>
      <c r="H928" s="18">
        <f>IF($A928="","",F928-E928+1)</f>
        <v/>
      </c>
      <c r="I928" s="18" t="n"/>
    </row>
    <row r="929">
      <c r="A929" s="18">
        <f>IF(ISNUMBER(Dossiers!$D$21),Dossiers!$A$21&amp;" · "&amp;Dossiers!$B$21,"")</f>
        <v/>
      </c>
      <c r="B929" s="18">
        <f>IF($A929="","",Paramètres!G11)</f>
        <v/>
      </c>
      <c r="C929" s="18">
        <f>IF($A929="","",IF(Paramètres!H11="","",Paramètres!H11))</f>
        <v/>
      </c>
      <c r="D929" s="18">
        <f>IF($A929="","",IF(Paramètres!I11="","",Paramètres!I11))</f>
        <v/>
      </c>
      <c r="E929" s="19">
        <f>IF($A929="","",IF(Paramètres!J11&amp;Paramètres!L11&amp;Paramètres!N11="",Dossiers!$D$21,MAX(IF(Paramètres!J11="",0,IF(Paramètres!K11="",NA(),IF(LEFT(TRIM(Paramètres!K11),1)="F",INDEX($F$923:$F$975,MATCH(Paramètres!J11,Paramètres!$G$5:$G$57,0)),INDEX($E$923:$E$975,MATCH(Paramètres!J11,Paramètres!$G$5:$G$57,0)))+IF(RIGHT(TRIM(Paramètres!K11),3)="Fin",1-$H929,IF(LEFT(TRIM(Paramètres!K11),1)="F",1,0)))),IF(Paramètres!L11="",0,IF(Paramètres!M11="",NA(),IF(LEFT(TRIM(Paramètres!M11),1)="F",INDEX($F$923:$F$975,MATCH(Paramètres!L11,Paramètres!$G$5:$G$57,0)),INDEX($E$923:$E$975,MATCH(Paramètres!L11,Paramètres!$G$5:$G$57,0)))+IF(RIGHT(TRIM(Paramètres!M11),3)="Fin",1-$H929,IF(LEFT(TRIM(Paramètres!M11),1)="F",1,0)))),IF(Paramètres!N11="",0,IF(Paramètres!O11="",NA(),IF(LEFT(TRIM(Paramètres!O11),1)="F",INDEX($F$923:$F$975,MATCH(Paramètres!N11,Paramètres!$G$5:$G$57,0)),INDEX($E$923:$E$975,MATCH(Paramètres!N11,Paramètres!$G$5:$G$57,0)))+IF(RIGHT(TRIM(Paramètres!O11),3)="Fin",1-$H929,IF(LEFT(TRIM(Paramètres!O11),1)="F",1,0)))))))</f>
        <v/>
      </c>
      <c r="F929" s="19">
        <f>IF($A929="","",E929+$H929-1)</f>
        <v/>
      </c>
      <c r="G929" s="18" t="n"/>
      <c r="H929" s="18">
        <f>IF($A929="","",IF(I929&lt;&gt;"",I929,Paramètres!B11))</f>
        <v/>
      </c>
      <c r="I929" s="18" t="n"/>
    </row>
    <row r="930">
      <c r="A930" s="18">
        <f>IF(ISNUMBER(Dossiers!$D$21),Dossiers!$A$21&amp;" · "&amp;Dossiers!$B$21,"")</f>
        <v/>
      </c>
      <c r="B930" s="18">
        <f>IF($A930="","",Paramètres!G12)</f>
        <v/>
      </c>
      <c r="C930" s="18">
        <f>IF($A930="","",IF(Paramètres!H12="","",Paramètres!H12))</f>
        <v/>
      </c>
      <c r="D930" s="18">
        <f>IF($A930="","",IF(Paramètres!I12="","",Paramètres!I12))</f>
        <v/>
      </c>
      <c r="E930" s="19">
        <f>IF($A930="","",IF(Paramètres!J12&amp;Paramètres!L12&amp;Paramètres!N12="",Dossiers!$D$21,MAX(IF(Paramètres!J12="",0,IF(Paramètres!K12="",NA(),IF(LEFT(TRIM(Paramètres!K12),1)="F",INDEX($F$923:$F$975,MATCH(Paramètres!J12,Paramètres!$G$5:$G$57,0)),INDEX($E$923:$E$975,MATCH(Paramètres!J12,Paramètres!$G$5:$G$57,0)))+IF(RIGHT(TRIM(Paramètres!K12),3)="Fin",1-$H930,IF(LEFT(TRIM(Paramètres!K12),1)="F",1,0)))),IF(Paramètres!L12="",0,IF(Paramètres!M12="",NA(),IF(LEFT(TRIM(Paramètres!M12),1)="F",INDEX($F$923:$F$975,MATCH(Paramètres!L12,Paramètres!$G$5:$G$57,0)),INDEX($E$923:$E$975,MATCH(Paramètres!L12,Paramètres!$G$5:$G$57,0)))+IF(RIGHT(TRIM(Paramètres!M12),3)="Fin",1-$H930,IF(LEFT(TRIM(Paramètres!M12),1)="F",1,0)))),IF(Paramètres!N12="",0,IF(Paramètres!O12="",NA(),IF(LEFT(TRIM(Paramètres!O12),1)="F",INDEX($F$923:$F$975,MATCH(Paramètres!N12,Paramètres!$G$5:$G$57,0)),INDEX($E$923:$E$975,MATCH(Paramètres!N12,Paramètres!$G$5:$G$57,0)))+IF(RIGHT(TRIM(Paramètres!O12),3)="Fin",1-$H930,IF(LEFT(TRIM(Paramètres!O12),1)="F",1,0)))))))</f>
        <v/>
      </c>
      <c r="F930" s="19">
        <f>IF($A930="","",E930+$H930-1)</f>
        <v/>
      </c>
      <c r="G930" s="18" t="n"/>
      <c r="H930" s="18">
        <f>IF($A930="","",IF(I930&lt;&gt;"",I930,Paramètres!B12))</f>
        <v/>
      </c>
      <c r="I930" s="18" t="n"/>
    </row>
    <row r="931">
      <c r="A931" s="18">
        <f>IF(ISNUMBER(Dossiers!$D$21),Dossiers!$A$21&amp;" · "&amp;Dossiers!$B$21,"")</f>
        <v/>
      </c>
      <c r="B931" s="18">
        <f>IF($A931="","",Paramètres!G13)</f>
        <v/>
      </c>
      <c r="C931" s="18">
        <f>IF($A931="","",IF(Paramètres!H13="","",Paramètres!H13))</f>
        <v/>
      </c>
      <c r="D931" s="18">
        <f>IF($A931="","",IF(Paramètres!I13="","",Paramètres!I13))</f>
        <v/>
      </c>
      <c r="E931" s="19">
        <f>IF($A931="","",IF(Paramètres!J13&amp;Paramètres!L13&amp;Paramètres!N13="",Dossiers!$D$21,MAX(IF(Paramètres!J13="",0,IF(Paramètres!K13="",NA(),IF(LEFT(TRIM(Paramètres!K13),1)="F",INDEX($F$923:$F$975,MATCH(Paramètres!J13,Paramètres!$G$5:$G$57,0)),INDEX($E$923:$E$975,MATCH(Paramètres!J13,Paramètres!$G$5:$G$57,0)))+IF(RIGHT(TRIM(Paramètres!K13),3)="Fin",1-$H931,IF(LEFT(TRIM(Paramètres!K13),1)="F",1,0)))),IF(Paramètres!L13="",0,IF(Paramètres!M13="",NA(),IF(LEFT(TRIM(Paramètres!M13),1)="F",INDEX($F$923:$F$975,MATCH(Paramètres!L13,Paramètres!$G$5:$G$57,0)),INDEX($E$923:$E$975,MATCH(Paramètres!L13,Paramètres!$G$5:$G$57,0)))+IF(RIGHT(TRIM(Paramètres!M13),3)="Fin",1-$H931,IF(LEFT(TRIM(Paramètres!M13),1)="F",1,0)))),IF(Paramètres!N13="",0,IF(Paramètres!O13="",NA(),IF(LEFT(TRIM(Paramètres!O13),1)="F",INDEX($F$923:$F$975,MATCH(Paramètres!N13,Paramètres!$G$5:$G$57,0)),INDEX($E$923:$E$975,MATCH(Paramètres!N13,Paramètres!$G$5:$G$57,0)))+IF(RIGHT(TRIM(Paramètres!O13),3)="Fin",1-$H931,IF(LEFT(TRIM(Paramètres!O13),1)="F",1,0)))))))</f>
        <v/>
      </c>
      <c r="F931" s="19">
        <f>IF($A931="","",E931+$H931-1)</f>
        <v/>
      </c>
      <c r="G931" s="18" t="n"/>
      <c r="H931" s="18">
        <f>IF($A931="","",IF(I931&lt;&gt;"",I931,Paramètres!B13))</f>
        <v/>
      </c>
      <c r="I931" s="18" t="n"/>
    </row>
    <row r="932">
      <c r="A932" s="18">
        <f>IF(ISNUMBER(Dossiers!$D$21),Dossiers!$A$21&amp;" · "&amp;Dossiers!$B$21,"")</f>
        <v/>
      </c>
      <c r="B932" s="18">
        <f>IF($A932="","",Paramètres!G14)</f>
        <v/>
      </c>
      <c r="C932" s="18">
        <f>IF($A932="","",IF(Paramètres!H14="","",Paramètres!H14))</f>
        <v/>
      </c>
      <c r="D932" s="18">
        <f>IF($A932="","",IF(Paramètres!I14="","",Paramètres!I14))</f>
        <v/>
      </c>
      <c r="E932" s="19">
        <f>IF($A932="","",IF(Paramètres!J14&amp;Paramètres!L14&amp;Paramètres!N14="",Dossiers!$D$21,MAX(IF(Paramètres!J14="",0,IF(Paramètres!K14="",NA(),IF(LEFT(TRIM(Paramètres!K14),1)="F",INDEX($F$923:$F$975,MATCH(Paramètres!J14,Paramètres!$G$5:$G$57,0)),INDEX($E$923:$E$975,MATCH(Paramètres!J14,Paramètres!$G$5:$G$57,0)))+IF(RIGHT(TRIM(Paramètres!K14),3)="Fin",1-$H932,IF(LEFT(TRIM(Paramètres!K14),1)="F",1,0)))),IF(Paramètres!L14="",0,IF(Paramètres!M14="",NA(),IF(LEFT(TRIM(Paramètres!M14),1)="F",INDEX($F$923:$F$975,MATCH(Paramètres!L14,Paramètres!$G$5:$G$57,0)),INDEX($E$923:$E$975,MATCH(Paramètres!L14,Paramètres!$G$5:$G$57,0)))+IF(RIGHT(TRIM(Paramètres!M14),3)="Fin",1-$H932,IF(LEFT(TRIM(Paramètres!M14),1)="F",1,0)))),IF(Paramètres!N14="",0,IF(Paramètres!O14="",NA(),IF(LEFT(TRIM(Paramètres!O14),1)="F",INDEX($F$923:$F$975,MATCH(Paramètres!N14,Paramètres!$G$5:$G$57,0)),INDEX($E$923:$E$975,MATCH(Paramètres!N14,Paramètres!$G$5:$G$57,0)))+IF(RIGHT(TRIM(Paramètres!O14),3)="Fin",1-$H932,IF(LEFT(TRIM(Paramètres!O14),1)="F",1,0)))))))</f>
        <v/>
      </c>
      <c r="F932" s="19">
        <f>IF($A932="","",E932+$H932-1)</f>
        <v/>
      </c>
      <c r="G932" s="18" t="n"/>
      <c r="H932" s="18">
        <f>IF($A932="","",IF(I932&lt;&gt;"",I932,Paramètres!B14))</f>
        <v/>
      </c>
      <c r="I932" s="18" t="n"/>
    </row>
    <row r="933">
      <c r="A933" s="18">
        <f>IF(ISNUMBER(Dossiers!$D$21),Dossiers!$A$21&amp;" · "&amp;Dossiers!$B$21,"")</f>
        <v/>
      </c>
      <c r="B933" s="18">
        <f>IF($A933="","",Paramètres!G15)</f>
        <v/>
      </c>
      <c r="C933" s="18">
        <f>IF($A933="","",IF(Paramètres!H15="","",Paramètres!H15))</f>
        <v/>
      </c>
      <c r="D933" s="18">
        <f>IF($A933="","",IF(Paramètres!I15="","",Paramètres!I15))</f>
        <v/>
      </c>
      <c r="E933" s="19">
        <f>IF($A933="","",MIN(E934:E949))</f>
        <v/>
      </c>
      <c r="F933" s="19">
        <f>IF($A933="","",MAX(F934:F949))</f>
        <v/>
      </c>
      <c r="G933" s="18" t="n"/>
      <c r="H933" s="18">
        <f>IF($A933="","",F933-E933+1)</f>
        <v/>
      </c>
      <c r="I933" s="18" t="n"/>
    </row>
    <row r="934">
      <c r="A934" s="18">
        <f>IF(ISNUMBER(Dossiers!$D$21),Dossiers!$A$21&amp;" · "&amp;Dossiers!$B$21,"")</f>
        <v/>
      </c>
      <c r="B934" s="18">
        <f>IF($A934="","",Paramètres!G16)</f>
        <v/>
      </c>
      <c r="C934" s="18">
        <f>IF($A934="","",IF(Paramètres!H16="","",Paramètres!H16))</f>
        <v/>
      </c>
      <c r="D934" s="18">
        <f>IF($A934="","",IF(Paramètres!I16="","",Paramètres!I16))</f>
        <v/>
      </c>
      <c r="E934" s="19">
        <f>IF($A934="","",IF(Paramètres!J16&amp;Paramètres!L16&amp;Paramètres!N16="",Dossiers!$D$21,MAX(IF(Paramètres!J16="",0,IF(Paramètres!K16="",NA(),IF(LEFT(TRIM(Paramètres!K16),1)="F",INDEX($F$923:$F$975,MATCH(Paramètres!J16,Paramètres!$G$5:$G$57,0)),INDEX($E$923:$E$975,MATCH(Paramètres!J16,Paramètres!$G$5:$G$57,0)))+IF(RIGHT(TRIM(Paramètres!K16),3)="Fin",1-$H934,IF(LEFT(TRIM(Paramètres!K16),1)="F",1,0)))),IF(Paramètres!L16="",0,IF(Paramètres!M16="",NA(),IF(LEFT(TRIM(Paramètres!M16),1)="F",INDEX($F$923:$F$975,MATCH(Paramètres!L16,Paramètres!$G$5:$G$57,0)),INDEX($E$923:$E$975,MATCH(Paramètres!L16,Paramètres!$G$5:$G$57,0)))+IF(RIGHT(TRIM(Paramètres!M16),3)="Fin",1-$H934,IF(LEFT(TRIM(Paramètres!M16),1)="F",1,0)))),IF(Paramètres!N16="",0,IF(Paramètres!O16="",NA(),IF(LEFT(TRIM(Paramètres!O16),1)="F",INDEX($F$923:$F$975,MATCH(Paramètres!N16,Paramètres!$G$5:$G$57,0)),INDEX($E$923:$E$975,MATCH(Paramètres!N16,Paramètres!$G$5:$G$57,0)))+IF(RIGHT(TRIM(Paramètres!O16),3)="Fin",1-$H934,IF(LEFT(TRIM(Paramètres!O16),1)="F",1,0)))))))</f>
        <v/>
      </c>
      <c r="F934" s="19">
        <f>IF($A934="","",E934+$H934-1)</f>
        <v/>
      </c>
      <c r="G934" s="18" t="n"/>
      <c r="H934" s="18">
        <f>IF($A934="","",IF(I934&lt;&gt;"",I934,Paramètres!B16))</f>
        <v/>
      </c>
      <c r="I934" s="18" t="n"/>
    </row>
    <row r="935">
      <c r="A935" s="18">
        <f>IF(ISNUMBER(Dossiers!$D$21),Dossiers!$A$21&amp;" · "&amp;Dossiers!$B$21,"")</f>
        <v/>
      </c>
      <c r="B935" s="18">
        <f>IF($A935="","",Paramètres!G17)</f>
        <v/>
      </c>
      <c r="C935" s="18">
        <f>IF($A935="","",IF(Paramètres!H17="","",Paramètres!H17))</f>
        <v/>
      </c>
      <c r="D935" s="18">
        <f>IF($A935="","",IF(Paramètres!I17="","",Paramètres!I17))</f>
        <v/>
      </c>
      <c r="E935" s="19">
        <f>IF($A935="","",IF(Paramètres!J17&amp;Paramètres!L17&amp;Paramètres!N17="",Dossiers!$D$21,MAX(IF(Paramètres!J17="",0,IF(Paramètres!K17="",NA(),IF(LEFT(TRIM(Paramètres!K17),1)="F",INDEX($F$923:$F$975,MATCH(Paramètres!J17,Paramètres!$G$5:$G$57,0)),INDEX($E$923:$E$975,MATCH(Paramètres!J17,Paramètres!$G$5:$G$57,0)))+IF(RIGHT(TRIM(Paramètres!K17),3)="Fin",1-$H935,IF(LEFT(TRIM(Paramètres!K17),1)="F",1,0)))),IF(Paramètres!L17="",0,IF(Paramètres!M17="",NA(),IF(LEFT(TRIM(Paramètres!M17),1)="F",INDEX($F$923:$F$975,MATCH(Paramètres!L17,Paramètres!$G$5:$G$57,0)),INDEX($E$923:$E$975,MATCH(Paramètres!L17,Paramètres!$G$5:$G$57,0)))+IF(RIGHT(TRIM(Paramètres!M17),3)="Fin",1-$H935,IF(LEFT(TRIM(Paramètres!M17),1)="F",1,0)))),IF(Paramètres!N17="",0,IF(Paramètres!O17="",NA(),IF(LEFT(TRIM(Paramètres!O17),1)="F",INDEX($F$923:$F$975,MATCH(Paramètres!N17,Paramètres!$G$5:$G$57,0)),INDEX($E$923:$E$975,MATCH(Paramètres!N17,Paramètres!$G$5:$G$57,0)))+IF(RIGHT(TRIM(Paramètres!O17),3)="Fin",1-$H935,IF(LEFT(TRIM(Paramètres!O17),1)="F",1,0)))))))</f>
        <v/>
      </c>
      <c r="F935" s="19">
        <f>IF($A935="","",E935+$H935-1)</f>
        <v/>
      </c>
      <c r="G935" s="18" t="n"/>
      <c r="H935" s="18">
        <f>IF($A935="","",IF(I935&lt;&gt;"",I935,Paramètres!B17))</f>
        <v/>
      </c>
      <c r="I935" s="18" t="n"/>
    </row>
    <row r="936">
      <c r="A936" s="18">
        <f>IF(ISNUMBER(Dossiers!$D$21),Dossiers!$A$21&amp;" · "&amp;Dossiers!$B$21,"")</f>
        <v/>
      </c>
      <c r="B936" s="18">
        <f>IF($A936="","",Paramètres!G18)</f>
        <v/>
      </c>
      <c r="C936" s="18">
        <f>IF($A936="","",IF(Paramètres!H18="","",Paramètres!H18))</f>
        <v/>
      </c>
      <c r="D936" s="18">
        <f>IF($A936="","",IF(Paramètres!I18="","",Paramètres!I18))</f>
        <v/>
      </c>
      <c r="E936" s="19">
        <f>IF($A936="","",IF(Paramètres!J18&amp;Paramètres!L18&amp;Paramètres!N18="",Dossiers!$D$21,MAX(IF(Paramètres!J18="",0,IF(Paramètres!K18="",NA(),IF(LEFT(TRIM(Paramètres!K18),1)="F",INDEX($F$923:$F$975,MATCH(Paramètres!J18,Paramètres!$G$5:$G$57,0)),INDEX($E$923:$E$975,MATCH(Paramètres!J18,Paramètres!$G$5:$G$57,0)))+IF(RIGHT(TRIM(Paramètres!K18),3)="Fin",1-$H936,IF(LEFT(TRIM(Paramètres!K18),1)="F",1,0)))),IF(Paramètres!L18="",0,IF(Paramètres!M18="",NA(),IF(LEFT(TRIM(Paramètres!M18),1)="F",INDEX($F$923:$F$975,MATCH(Paramètres!L18,Paramètres!$G$5:$G$57,0)),INDEX($E$923:$E$975,MATCH(Paramètres!L18,Paramètres!$G$5:$G$57,0)))+IF(RIGHT(TRIM(Paramètres!M18),3)="Fin",1-$H936,IF(LEFT(TRIM(Paramètres!M18),1)="F",1,0)))),IF(Paramètres!N18="",0,IF(Paramètres!O18="",NA(),IF(LEFT(TRIM(Paramètres!O18),1)="F",INDEX($F$923:$F$975,MATCH(Paramètres!N18,Paramètres!$G$5:$G$57,0)),INDEX($E$923:$E$975,MATCH(Paramètres!N18,Paramètres!$G$5:$G$57,0)))+IF(RIGHT(TRIM(Paramètres!O18),3)="Fin",1-$H936,IF(LEFT(TRIM(Paramètres!O18),1)="F",1,0)))))))</f>
        <v/>
      </c>
      <c r="F936" s="19">
        <f>IF($A936="","",E936+$H936-1)</f>
        <v/>
      </c>
      <c r="G936" s="18" t="n"/>
      <c r="H936" s="18">
        <f>IF($A936="","",IF(I936&lt;&gt;"",I936,Paramètres!B18))</f>
        <v/>
      </c>
      <c r="I936" s="18" t="n"/>
    </row>
    <row r="937">
      <c r="A937" s="18">
        <f>IF(ISNUMBER(Dossiers!$D$21),Dossiers!$A$21&amp;" · "&amp;Dossiers!$B$21,"")</f>
        <v/>
      </c>
      <c r="B937" s="18">
        <f>IF($A937="","",Paramètres!G19)</f>
        <v/>
      </c>
      <c r="C937" s="18">
        <f>IF($A937="","",IF(Paramètres!H19="","",Paramètres!H19))</f>
        <v/>
      </c>
      <c r="D937" s="18">
        <f>IF($A937="","",IF(Paramètres!I19="","",Paramètres!I19))</f>
        <v/>
      </c>
      <c r="E937" s="19">
        <f>IF($A937="","",IF(Paramètres!J19&amp;Paramètres!L19&amp;Paramètres!N19="",Dossiers!$D$21,MAX(IF(Paramètres!J19="",0,IF(Paramètres!K19="",NA(),IF(LEFT(TRIM(Paramètres!K19),1)="F",INDEX($F$923:$F$975,MATCH(Paramètres!J19,Paramètres!$G$5:$G$57,0)),INDEX($E$923:$E$975,MATCH(Paramètres!J19,Paramètres!$G$5:$G$57,0)))+IF(RIGHT(TRIM(Paramètres!K19),3)="Fin",1-$H937,IF(LEFT(TRIM(Paramètres!K19),1)="F",1,0)))),IF(Paramètres!L19="",0,IF(Paramètres!M19="",NA(),IF(LEFT(TRIM(Paramètres!M19),1)="F",INDEX($F$923:$F$975,MATCH(Paramètres!L19,Paramètres!$G$5:$G$57,0)),INDEX($E$923:$E$975,MATCH(Paramètres!L19,Paramètres!$G$5:$G$57,0)))+IF(RIGHT(TRIM(Paramètres!M19),3)="Fin",1-$H937,IF(LEFT(TRIM(Paramètres!M19),1)="F",1,0)))),IF(Paramètres!N19="",0,IF(Paramètres!O19="",NA(),IF(LEFT(TRIM(Paramètres!O19),1)="F",INDEX($F$923:$F$975,MATCH(Paramètres!N19,Paramètres!$G$5:$G$57,0)),INDEX($E$923:$E$975,MATCH(Paramètres!N19,Paramètres!$G$5:$G$57,0)))+IF(RIGHT(TRIM(Paramètres!O19),3)="Fin",1-$H937,IF(LEFT(TRIM(Paramètres!O19),1)="F",1,0)))))))</f>
        <v/>
      </c>
      <c r="F937" s="19">
        <f>IF($A937="","",E937+$H937-1)</f>
        <v/>
      </c>
      <c r="G937" s="18" t="n"/>
      <c r="H937" s="18">
        <f>IF($A937="","",IF(I937&lt;&gt;"",I937,Paramètres!B19))</f>
        <v/>
      </c>
      <c r="I937" s="18" t="n"/>
    </row>
    <row r="938">
      <c r="A938" s="18">
        <f>IF(ISNUMBER(Dossiers!$D$21),Dossiers!$A$21&amp;" · "&amp;Dossiers!$B$21,"")</f>
        <v/>
      </c>
      <c r="B938" s="18">
        <f>IF($A938="","",Paramètres!G20)</f>
        <v/>
      </c>
      <c r="C938" s="18">
        <f>IF($A938="","",IF(Paramètres!H20="","",Paramètres!H20))</f>
        <v/>
      </c>
      <c r="D938" s="18">
        <f>IF($A938="","",IF(Paramètres!I20="","",Paramètres!I20))</f>
        <v/>
      </c>
      <c r="E938" s="19">
        <f>IF($A938="","",IF(Paramètres!J20&amp;Paramètres!L20&amp;Paramètres!N20="",Dossiers!$D$21,MAX(IF(Paramètres!J20="",0,IF(Paramètres!K20="",NA(),IF(LEFT(TRIM(Paramètres!K20),1)="F",INDEX($F$923:$F$975,MATCH(Paramètres!J20,Paramètres!$G$5:$G$57,0)),INDEX($E$923:$E$975,MATCH(Paramètres!J20,Paramètres!$G$5:$G$57,0)))+IF(RIGHT(TRIM(Paramètres!K20),3)="Fin",1-$H938,IF(LEFT(TRIM(Paramètres!K20),1)="F",1,0)))),IF(Paramètres!L20="",0,IF(Paramètres!M20="",NA(),IF(LEFT(TRIM(Paramètres!M20),1)="F",INDEX($F$923:$F$975,MATCH(Paramètres!L20,Paramètres!$G$5:$G$57,0)),INDEX($E$923:$E$975,MATCH(Paramètres!L20,Paramètres!$G$5:$G$57,0)))+IF(RIGHT(TRIM(Paramètres!M20),3)="Fin",1-$H938,IF(LEFT(TRIM(Paramètres!M20),1)="F",1,0)))),IF(Paramètres!N20="",0,IF(Paramètres!O20="",NA(),IF(LEFT(TRIM(Paramètres!O20),1)="F",INDEX($F$923:$F$975,MATCH(Paramètres!N20,Paramètres!$G$5:$G$57,0)),INDEX($E$923:$E$975,MATCH(Paramètres!N20,Paramètres!$G$5:$G$57,0)))+IF(RIGHT(TRIM(Paramètres!O20),3)="Fin",1-$H938,IF(LEFT(TRIM(Paramètres!O20),1)="F",1,0)))))))</f>
        <v/>
      </c>
      <c r="F938" s="19">
        <f>IF($A938="","",E938+$H938-1)</f>
        <v/>
      </c>
      <c r="G938" s="18" t="n"/>
      <c r="H938" s="18">
        <f>IF($A938="","",IF(I938&lt;&gt;"",I938,Paramètres!B20))</f>
        <v/>
      </c>
      <c r="I938" s="18" t="n"/>
    </row>
    <row r="939">
      <c r="A939" s="18">
        <f>IF(ISNUMBER(Dossiers!$D$21),Dossiers!$A$21&amp;" · "&amp;Dossiers!$B$21,"")</f>
        <v/>
      </c>
      <c r="B939" s="18">
        <f>IF($A939="","",Paramètres!G21)</f>
        <v/>
      </c>
      <c r="C939" s="18">
        <f>IF($A939="","",IF(Paramètres!H21="","",Paramètres!H21))</f>
        <v/>
      </c>
      <c r="D939" s="18">
        <f>IF($A939="","",IF(Paramètres!I21="","",Paramètres!I21))</f>
        <v/>
      </c>
      <c r="E939" s="19">
        <f>IF($A939="","",IF(Paramètres!J21&amp;Paramètres!L21&amp;Paramètres!N21="",Dossiers!$D$21,MAX(IF(Paramètres!J21="",0,IF(Paramètres!K21="",NA(),IF(LEFT(TRIM(Paramètres!K21),1)="F",INDEX($F$923:$F$975,MATCH(Paramètres!J21,Paramètres!$G$5:$G$57,0)),INDEX($E$923:$E$975,MATCH(Paramètres!J21,Paramètres!$G$5:$G$57,0)))+IF(RIGHT(TRIM(Paramètres!K21),3)="Fin",1-$H939,IF(LEFT(TRIM(Paramètres!K21),1)="F",1,0)))),IF(Paramètres!L21="",0,IF(Paramètres!M21="",NA(),IF(LEFT(TRIM(Paramètres!M21),1)="F",INDEX($F$923:$F$975,MATCH(Paramètres!L21,Paramètres!$G$5:$G$57,0)),INDEX($E$923:$E$975,MATCH(Paramètres!L21,Paramètres!$G$5:$G$57,0)))+IF(RIGHT(TRIM(Paramètres!M21),3)="Fin",1-$H939,IF(LEFT(TRIM(Paramètres!M21),1)="F",1,0)))),IF(Paramètres!N21="",0,IF(Paramètres!O21="",NA(),IF(LEFT(TRIM(Paramètres!O21),1)="F",INDEX($F$923:$F$975,MATCH(Paramètres!N21,Paramètres!$G$5:$G$57,0)),INDEX($E$923:$E$975,MATCH(Paramètres!N21,Paramètres!$G$5:$G$57,0)))+IF(RIGHT(TRIM(Paramètres!O21),3)="Fin",1-$H939,IF(LEFT(TRIM(Paramètres!O21),1)="F",1,0)))))))</f>
        <v/>
      </c>
      <c r="F939" s="19">
        <f>IF($A939="","",E939+$H939-1)</f>
        <v/>
      </c>
      <c r="G939" s="18" t="n"/>
      <c r="H939" s="18">
        <f>IF($A939="","",IF(I939&lt;&gt;"",I939,Paramètres!B21))</f>
        <v/>
      </c>
      <c r="I939" s="18" t="n"/>
    </row>
    <row r="940">
      <c r="A940" s="18">
        <f>IF(ISNUMBER(Dossiers!$D$21),Dossiers!$A$21&amp;" · "&amp;Dossiers!$B$21,"")</f>
        <v/>
      </c>
      <c r="B940" s="18">
        <f>IF($A940="","",Paramètres!G22)</f>
        <v/>
      </c>
      <c r="C940" s="18">
        <f>IF($A940="","",IF(Paramètres!H22="","",Paramètres!H22))</f>
        <v/>
      </c>
      <c r="D940" s="18">
        <f>IF($A940="","",IF(Paramètres!I22="","",Paramètres!I22))</f>
        <v/>
      </c>
      <c r="E940" s="19">
        <f>IF($A940="","",IF(Paramètres!J22&amp;Paramètres!L22&amp;Paramètres!N22="",Dossiers!$D$21,MAX(IF(Paramètres!J22="",0,IF(Paramètres!K22="",NA(),IF(LEFT(TRIM(Paramètres!K22),1)="F",INDEX($F$923:$F$975,MATCH(Paramètres!J22,Paramètres!$G$5:$G$57,0)),INDEX($E$923:$E$975,MATCH(Paramètres!J22,Paramètres!$G$5:$G$57,0)))+IF(RIGHT(TRIM(Paramètres!K22),3)="Fin",1-$H940,IF(LEFT(TRIM(Paramètres!K22),1)="F",1,0)))),IF(Paramètres!L22="",0,IF(Paramètres!M22="",NA(),IF(LEFT(TRIM(Paramètres!M22),1)="F",INDEX($F$923:$F$975,MATCH(Paramètres!L22,Paramètres!$G$5:$G$57,0)),INDEX($E$923:$E$975,MATCH(Paramètres!L22,Paramètres!$G$5:$G$57,0)))+IF(RIGHT(TRIM(Paramètres!M22),3)="Fin",1-$H940,IF(LEFT(TRIM(Paramètres!M22),1)="F",1,0)))),IF(Paramètres!N22="",0,IF(Paramètres!O22="",NA(),IF(LEFT(TRIM(Paramètres!O22),1)="F",INDEX($F$923:$F$975,MATCH(Paramètres!N22,Paramètres!$G$5:$G$57,0)),INDEX($E$923:$E$975,MATCH(Paramètres!N22,Paramètres!$G$5:$G$57,0)))+IF(RIGHT(TRIM(Paramètres!O22),3)="Fin",1-$H940,IF(LEFT(TRIM(Paramètres!O22),1)="F",1,0)))))))</f>
        <v/>
      </c>
      <c r="F940" s="19">
        <f>IF($A940="","",E940+$H940-1)</f>
        <v/>
      </c>
      <c r="G940" s="18" t="n"/>
      <c r="H940" s="18">
        <f>IF($A940="","",IF(I940&lt;&gt;"",I940,Paramètres!B22))</f>
        <v/>
      </c>
      <c r="I940" s="18" t="n"/>
    </row>
    <row r="941">
      <c r="A941" s="18">
        <f>IF(ISNUMBER(Dossiers!$D$21),Dossiers!$A$21&amp;" · "&amp;Dossiers!$B$21,"")</f>
        <v/>
      </c>
      <c r="B941" s="18">
        <f>IF($A941="","",Paramètres!G23)</f>
        <v/>
      </c>
      <c r="C941" s="18">
        <f>IF($A941="","",IF(Paramètres!H23="","",Paramètres!H23))</f>
        <v/>
      </c>
      <c r="D941" s="18">
        <f>IF($A941="","",IF(Paramètres!I23="","",Paramètres!I23))</f>
        <v/>
      </c>
      <c r="E941" s="19">
        <f>IF($A941="","",IF(Paramètres!J23&amp;Paramètres!L23&amp;Paramètres!N23="",Dossiers!$D$21,MAX(IF(Paramètres!J23="",0,IF(Paramètres!K23="",NA(),IF(LEFT(TRIM(Paramètres!K23),1)="F",INDEX($F$923:$F$975,MATCH(Paramètres!J23,Paramètres!$G$5:$G$57,0)),INDEX($E$923:$E$975,MATCH(Paramètres!J23,Paramètres!$G$5:$G$57,0)))+IF(RIGHT(TRIM(Paramètres!K23),3)="Fin",1-$H941,IF(LEFT(TRIM(Paramètres!K23),1)="F",1,0)))),IF(Paramètres!L23="",0,IF(Paramètres!M23="",NA(),IF(LEFT(TRIM(Paramètres!M23),1)="F",INDEX($F$923:$F$975,MATCH(Paramètres!L23,Paramètres!$G$5:$G$57,0)),INDEX($E$923:$E$975,MATCH(Paramètres!L23,Paramètres!$G$5:$G$57,0)))+IF(RIGHT(TRIM(Paramètres!M23),3)="Fin",1-$H941,IF(LEFT(TRIM(Paramètres!M23),1)="F",1,0)))),IF(Paramètres!N23="",0,IF(Paramètres!O23="",NA(),IF(LEFT(TRIM(Paramètres!O23),1)="F",INDEX($F$923:$F$975,MATCH(Paramètres!N23,Paramètres!$G$5:$G$57,0)),INDEX($E$923:$E$975,MATCH(Paramètres!N23,Paramètres!$G$5:$G$57,0)))+IF(RIGHT(TRIM(Paramètres!O23),3)="Fin",1-$H941,IF(LEFT(TRIM(Paramètres!O23),1)="F",1,0)))))))</f>
        <v/>
      </c>
      <c r="F941" s="19">
        <f>IF($A941="","",E941+$H941-1)</f>
        <v/>
      </c>
      <c r="G941" s="18" t="n"/>
      <c r="H941" s="18">
        <f>IF($A941="","",IF(I941&lt;&gt;"",I941,Paramètres!B23))</f>
        <v/>
      </c>
      <c r="I941" s="18" t="n"/>
    </row>
    <row r="942">
      <c r="A942" s="18">
        <f>IF(ISNUMBER(Dossiers!$D$21),Dossiers!$A$21&amp;" · "&amp;Dossiers!$B$21,"")</f>
        <v/>
      </c>
      <c r="B942" s="18">
        <f>IF($A942="","",Paramètres!G24)</f>
        <v/>
      </c>
      <c r="C942" s="18">
        <f>IF($A942="","",IF(Paramètres!H24="","",Paramètres!H24))</f>
        <v/>
      </c>
      <c r="D942" s="18">
        <f>IF($A942="","",IF(Paramètres!I24="","",Paramètres!I24))</f>
        <v/>
      </c>
      <c r="E942" s="19">
        <f>IF($A942="","",IF(Paramètres!J24&amp;Paramètres!L24&amp;Paramètres!N24="",Dossiers!$D$21,MAX(IF(Paramètres!J24="",0,IF(Paramètres!K24="",NA(),IF(LEFT(TRIM(Paramètres!K24),1)="F",INDEX($F$923:$F$975,MATCH(Paramètres!J24,Paramètres!$G$5:$G$57,0)),INDEX($E$923:$E$975,MATCH(Paramètres!J24,Paramètres!$G$5:$G$57,0)))+IF(RIGHT(TRIM(Paramètres!K24),3)="Fin",1-$H942,IF(LEFT(TRIM(Paramètres!K24),1)="F",1,0)))),IF(Paramètres!L24="",0,IF(Paramètres!M24="",NA(),IF(LEFT(TRIM(Paramètres!M24),1)="F",INDEX($F$923:$F$975,MATCH(Paramètres!L24,Paramètres!$G$5:$G$57,0)),INDEX($E$923:$E$975,MATCH(Paramètres!L24,Paramètres!$G$5:$G$57,0)))+IF(RIGHT(TRIM(Paramètres!M24),3)="Fin",1-$H942,IF(LEFT(TRIM(Paramètres!M24),1)="F",1,0)))),IF(Paramètres!N24="",0,IF(Paramètres!O24="",NA(),IF(LEFT(TRIM(Paramètres!O24),1)="F",INDEX($F$923:$F$975,MATCH(Paramètres!N24,Paramètres!$G$5:$G$57,0)),INDEX($E$923:$E$975,MATCH(Paramètres!N24,Paramètres!$G$5:$G$57,0)))+IF(RIGHT(TRIM(Paramètres!O24),3)="Fin",1-$H942,IF(LEFT(TRIM(Paramètres!O24),1)="F",1,0)))))))</f>
        <v/>
      </c>
      <c r="F942" s="19">
        <f>IF($A942="","",E942+$H942-1)</f>
        <v/>
      </c>
      <c r="G942" s="18" t="n"/>
      <c r="H942" s="18">
        <f>IF($A942="","",IF(I942&lt;&gt;"",I942,Paramètres!B24))</f>
        <v/>
      </c>
      <c r="I942" s="18" t="n"/>
    </row>
    <row r="943">
      <c r="A943" s="18">
        <f>IF(ISNUMBER(Dossiers!$D$21),Dossiers!$A$21&amp;" · "&amp;Dossiers!$B$21,"")</f>
        <v/>
      </c>
      <c r="B943" s="18">
        <f>IF($A943="","",Paramètres!G25)</f>
        <v/>
      </c>
      <c r="C943" s="18">
        <f>IF($A943="","",IF(Paramètres!H25="","",Paramètres!H25))</f>
        <v/>
      </c>
      <c r="D943" s="18">
        <f>IF($A943="","",IF(Paramètres!I25="","",Paramètres!I25))</f>
        <v/>
      </c>
      <c r="E943" s="19">
        <f>IF($A943="","",IF(Paramètres!J25&amp;Paramètres!L25&amp;Paramètres!N25="",Dossiers!$D$21,MAX(IF(Paramètres!J25="",0,IF(Paramètres!K25="",NA(),IF(LEFT(TRIM(Paramètres!K25),1)="F",INDEX($F$923:$F$975,MATCH(Paramètres!J25,Paramètres!$G$5:$G$57,0)),INDEX($E$923:$E$975,MATCH(Paramètres!J25,Paramètres!$G$5:$G$57,0)))+IF(RIGHT(TRIM(Paramètres!K25),3)="Fin",1-$H943,IF(LEFT(TRIM(Paramètres!K25),1)="F",1,0)))),IF(Paramètres!L25="",0,IF(Paramètres!M25="",NA(),IF(LEFT(TRIM(Paramètres!M25),1)="F",INDEX($F$923:$F$975,MATCH(Paramètres!L25,Paramètres!$G$5:$G$57,0)),INDEX($E$923:$E$975,MATCH(Paramètres!L25,Paramètres!$G$5:$G$57,0)))+IF(RIGHT(TRIM(Paramètres!M25),3)="Fin",1-$H943,IF(LEFT(TRIM(Paramètres!M25),1)="F",1,0)))),IF(Paramètres!N25="",0,IF(Paramètres!O25="",NA(),IF(LEFT(TRIM(Paramètres!O25),1)="F",INDEX($F$923:$F$975,MATCH(Paramètres!N25,Paramètres!$G$5:$G$57,0)),INDEX($E$923:$E$975,MATCH(Paramètres!N25,Paramètres!$G$5:$G$57,0)))+IF(RIGHT(TRIM(Paramètres!O25),3)="Fin",1-$H943,IF(LEFT(TRIM(Paramètres!O25),1)="F",1,0)))))))</f>
        <v/>
      </c>
      <c r="F943" s="19">
        <f>IF($A943="","",E943+$H943-1)</f>
        <v/>
      </c>
      <c r="G943" s="18" t="n"/>
      <c r="H943" s="18">
        <f>IF($A943="","",IF(I943&lt;&gt;"",I943,Paramètres!B25))</f>
        <v/>
      </c>
      <c r="I943" s="18" t="n"/>
    </row>
    <row r="944">
      <c r="A944" s="18">
        <f>IF(ISNUMBER(Dossiers!$D$21),Dossiers!$A$21&amp;" · "&amp;Dossiers!$B$21,"")</f>
        <v/>
      </c>
      <c r="B944" s="18">
        <f>IF($A944="","",Paramètres!G26)</f>
        <v/>
      </c>
      <c r="C944" s="18">
        <f>IF($A944="","",IF(Paramètres!H26="","",Paramètres!H26))</f>
        <v/>
      </c>
      <c r="D944" s="18">
        <f>IF($A944="","",IF(Paramètres!I26="","",Paramètres!I26))</f>
        <v/>
      </c>
      <c r="E944" s="19">
        <f>IF($A944="","",IF(Paramètres!J26&amp;Paramètres!L26&amp;Paramètres!N26="",Dossiers!$D$21,MAX(IF(Paramètres!J26="",0,IF(Paramètres!K26="",NA(),IF(LEFT(TRIM(Paramètres!K26),1)="F",INDEX($F$923:$F$975,MATCH(Paramètres!J26,Paramètres!$G$5:$G$57,0)),INDEX($E$923:$E$975,MATCH(Paramètres!J26,Paramètres!$G$5:$G$57,0)))+IF(RIGHT(TRIM(Paramètres!K26),3)="Fin",1-$H944,IF(LEFT(TRIM(Paramètres!K26),1)="F",1,0)))),IF(Paramètres!L26="",0,IF(Paramètres!M26="",NA(),IF(LEFT(TRIM(Paramètres!M26),1)="F",INDEX($F$923:$F$975,MATCH(Paramètres!L26,Paramètres!$G$5:$G$57,0)),INDEX($E$923:$E$975,MATCH(Paramètres!L26,Paramètres!$G$5:$G$57,0)))+IF(RIGHT(TRIM(Paramètres!M26),3)="Fin",1-$H944,IF(LEFT(TRIM(Paramètres!M26),1)="F",1,0)))),IF(Paramètres!N26="",0,IF(Paramètres!O26="",NA(),IF(LEFT(TRIM(Paramètres!O26),1)="F",INDEX($F$923:$F$975,MATCH(Paramètres!N26,Paramètres!$G$5:$G$57,0)),INDEX($E$923:$E$975,MATCH(Paramètres!N26,Paramètres!$G$5:$G$57,0)))+IF(RIGHT(TRIM(Paramètres!O26),3)="Fin",1-$H944,IF(LEFT(TRIM(Paramètres!O26),1)="F",1,0)))))))</f>
        <v/>
      </c>
      <c r="F944" s="19">
        <f>IF($A944="","",E944+$H944-1)</f>
        <v/>
      </c>
      <c r="G944" s="18" t="n"/>
      <c r="H944" s="18">
        <f>IF($A944="","",IF(I944&lt;&gt;"",I944,Paramètres!B26))</f>
        <v/>
      </c>
      <c r="I944" s="18" t="n"/>
    </row>
    <row r="945">
      <c r="A945" s="18">
        <f>IF(ISNUMBER(Dossiers!$D$21),Dossiers!$A$21&amp;" · "&amp;Dossiers!$B$21,"")</f>
        <v/>
      </c>
      <c r="B945" s="18">
        <f>IF($A945="","",Paramètres!G27)</f>
        <v/>
      </c>
      <c r="C945" s="18">
        <f>IF($A945="","",IF(Paramètres!H27="","",Paramètres!H27))</f>
        <v/>
      </c>
      <c r="D945" s="18">
        <f>IF($A945="","",IF(Paramètres!I27="","",Paramètres!I27))</f>
        <v/>
      </c>
      <c r="E945" s="19">
        <f>IF($A945="","",IF(Paramètres!J27&amp;Paramètres!L27&amp;Paramètres!N27="",Dossiers!$D$21,MAX(IF(Paramètres!J27="",0,IF(Paramètres!K27="",NA(),IF(LEFT(TRIM(Paramètres!K27),1)="F",INDEX($F$923:$F$975,MATCH(Paramètres!J27,Paramètres!$G$5:$G$57,0)),INDEX($E$923:$E$975,MATCH(Paramètres!J27,Paramètres!$G$5:$G$57,0)))+IF(RIGHT(TRIM(Paramètres!K27),3)="Fin",1-$H945,IF(LEFT(TRIM(Paramètres!K27),1)="F",1,0)))),IF(Paramètres!L27="",0,IF(Paramètres!M27="",NA(),IF(LEFT(TRIM(Paramètres!M27),1)="F",INDEX($F$923:$F$975,MATCH(Paramètres!L27,Paramètres!$G$5:$G$57,0)),INDEX($E$923:$E$975,MATCH(Paramètres!L27,Paramètres!$G$5:$G$57,0)))+IF(RIGHT(TRIM(Paramètres!M27),3)="Fin",1-$H945,IF(LEFT(TRIM(Paramètres!M27),1)="F",1,0)))),IF(Paramètres!N27="",0,IF(Paramètres!O27="",NA(),IF(LEFT(TRIM(Paramètres!O27),1)="F",INDEX($F$923:$F$975,MATCH(Paramètres!N27,Paramètres!$G$5:$G$57,0)),INDEX($E$923:$E$975,MATCH(Paramètres!N27,Paramètres!$G$5:$G$57,0)))+IF(RIGHT(TRIM(Paramètres!O27),3)="Fin",1-$H945,IF(LEFT(TRIM(Paramètres!O27),1)="F",1,0)))))))</f>
        <v/>
      </c>
      <c r="F945" s="19">
        <f>IF($A945="","",E945+$H945-1)</f>
        <v/>
      </c>
      <c r="G945" s="18" t="n"/>
      <c r="H945" s="18">
        <f>IF($A945="","",IF(I945&lt;&gt;"",I945,Paramètres!B27))</f>
        <v/>
      </c>
      <c r="I945" s="18" t="n"/>
    </row>
    <row r="946">
      <c r="A946" s="18">
        <f>IF(ISNUMBER(Dossiers!$D$21),Dossiers!$A$21&amp;" · "&amp;Dossiers!$B$21,"")</f>
        <v/>
      </c>
      <c r="B946" s="18">
        <f>IF($A946="","",Paramètres!G28)</f>
        <v/>
      </c>
      <c r="C946" s="18">
        <f>IF($A946="","",IF(Paramètres!H28="","",Paramètres!H28))</f>
        <v/>
      </c>
      <c r="D946" s="18">
        <f>IF($A946="","",IF(Paramètres!I28="","",Paramètres!I28))</f>
        <v/>
      </c>
      <c r="E946" s="19">
        <f>IF($A946="","",IF(Paramètres!J28&amp;Paramètres!L28&amp;Paramètres!N28="",Dossiers!$D$21,MAX(IF(Paramètres!J28="",0,IF(Paramètres!K28="",NA(),IF(LEFT(TRIM(Paramètres!K28),1)="F",INDEX($F$923:$F$975,MATCH(Paramètres!J28,Paramètres!$G$5:$G$57,0)),INDEX($E$923:$E$975,MATCH(Paramètres!J28,Paramètres!$G$5:$G$57,0)))+IF(RIGHT(TRIM(Paramètres!K28),3)="Fin",1-$H946,IF(LEFT(TRIM(Paramètres!K28),1)="F",1,0)))),IF(Paramètres!L28="",0,IF(Paramètres!M28="",NA(),IF(LEFT(TRIM(Paramètres!M28),1)="F",INDEX($F$923:$F$975,MATCH(Paramètres!L28,Paramètres!$G$5:$G$57,0)),INDEX($E$923:$E$975,MATCH(Paramètres!L28,Paramètres!$G$5:$G$57,0)))+IF(RIGHT(TRIM(Paramètres!M28),3)="Fin",1-$H946,IF(LEFT(TRIM(Paramètres!M28),1)="F",1,0)))),IF(Paramètres!N28="",0,IF(Paramètres!O28="",NA(),IF(LEFT(TRIM(Paramètres!O28),1)="F",INDEX($F$923:$F$975,MATCH(Paramètres!N28,Paramètres!$G$5:$G$57,0)),INDEX($E$923:$E$975,MATCH(Paramètres!N28,Paramètres!$G$5:$G$57,0)))+IF(RIGHT(TRIM(Paramètres!O28),3)="Fin",1-$H946,IF(LEFT(TRIM(Paramètres!O28),1)="F",1,0)))))))</f>
        <v/>
      </c>
      <c r="F946" s="19">
        <f>IF($A946="","",E946+$H946-1)</f>
        <v/>
      </c>
      <c r="G946" s="18" t="n"/>
      <c r="H946" s="18">
        <f>IF($A946="","",IF(I946&lt;&gt;"",I946,Paramètres!B28))</f>
        <v/>
      </c>
      <c r="I946" s="18" t="n"/>
    </row>
    <row r="947">
      <c r="A947" s="18">
        <f>IF(ISNUMBER(Dossiers!$D$21),Dossiers!$A$21&amp;" · "&amp;Dossiers!$B$21,"")</f>
        <v/>
      </c>
      <c r="B947" s="18">
        <f>IF($A947="","",Paramètres!G29)</f>
        <v/>
      </c>
      <c r="C947" s="18">
        <f>IF($A947="","",IF(Paramètres!H29="","",Paramètres!H29))</f>
        <v/>
      </c>
      <c r="D947" s="18">
        <f>IF($A947="","",IF(Paramètres!I29="","",Paramètres!I29))</f>
        <v/>
      </c>
      <c r="E947" s="19">
        <f>IF($A947="","",IF(Paramètres!J29&amp;Paramètres!L29&amp;Paramètres!N29="",Dossiers!$D$21,MAX(IF(Paramètres!J29="",0,IF(Paramètres!K29="",NA(),IF(LEFT(TRIM(Paramètres!K29),1)="F",INDEX($F$923:$F$975,MATCH(Paramètres!J29,Paramètres!$G$5:$G$57,0)),INDEX($E$923:$E$975,MATCH(Paramètres!J29,Paramètres!$G$5:$G$57,0)))+IF(RIGHT(TRIM(Paramètres!K29),3)="Fin",1-$H947,IF(LEFT(TRIM(Paramètres!K29),1)="F",1,0)))),IF(Paramètres!L29="",0,IF(Paramètres!M29="",NA(),IF(LEFT(TRIM(Paramètres!M29),1)="F",INDEX($F$923:$F$975,MATCH(Paramètres!L29,Paramètres!$G$5:$G$57,0)),INDEX($E$923:$E$975,MATCH(Paramètres!L29,Paramètres!$G$5:$G$57,0)))+IF(RIGHT(TRIM(Paramètres!M29),3)="Fin",1-$H947,IF(LEFT(TRIM(Paramètres!M29),1)="F",1,0)))),IF(Paramètres!N29="",0,IF(Paramètres!O29="",NA(),IF(LEFT(TRIM(Paramètres!O29),1)="F",INDEX($F$923:$F$975,MATCH(Paramètres!N29,Paramètres!$G$5:$G$57,0)),INDEX($E$923:$E$975,MATCH(Paramètres!N29,Paramètres!$G$5:$G$57,0)))+IF(RIGHT(TRIM(Paramètres!O29),3)="Fin",1-$H947,IF(LEFT(TRIM(Paramètres!O29),1)="F",1,0)))))))</f>
        <v/>
      </c>
      <c r="F947" s="19">
        <f>IF($A947="","",E947+$H947-1)</f>
        <v/>
      </c>
      <c r="G947" s="18" t="n"/>
      <c r="H947" s="18">
        <f>IF($A947="","",IF(I947&lt;&gt;"",I947,Paramètres!B29))</f>
        <v/>
      </c>
      <c r="I947" s="18" t="n"/>
    </row>
    <row r="948">
      <c r="A948" s="18">
        <f>IF(ISNUMBER(Dossiers!$D$21),Dossiers!$A$21&amp;" · "&amp;Dossiers!$B$21,"")</f>
        <v/>
      </c>
      <c r="B948" s="18">
        <f>IF($A948="","",Paramètres!G30)</f>
        <v/>
      </c>
      <c r="C948" s="18">
        <f>IF($A948="","",IF(Paramètres!H30="","",Paramètres!H30))</f>
        <v/>
      </c>
      <c r="D948" s="18">
        <f>IF($A948="","",IF(Paramètres!I30="","",Paramètres!I30))</f>
        <v/>
      </c>
      <c r="E948" s="19">
        <f>IF($A948="","",IF(Paramètres!J30&amp;Paramètres!L30&amp;Paramètres!N30="",Dossiers!$D$21,MAX(IF(Paramètres!J30="",0,IF(Paramètres!K30="",NA(),IF(LEFT(TRIM(Paramètres!K30),1)="F",INDEX($F$923:$F$975,MATCH(Paramètres!J30,Paramètres!$G$5:$G$57,0)),INDEX($E$923:$E$975,MATCH(Paramètres!J30,Paramètres!$G$5:$G$57,0)))+IF(RIGHT(TRIM(Paramètres!K30),3)="Fin",1-$H948,IF(LEFT(TRIM(Paramètres!K30),1)="F",1,0)))),IF(Paramètres!L30="",0,IF(Paramètres!M30="",NA(),IF(LEFT(TRIM(Paramètres!M30),1)="F",INDEX($F$923:$F$975,MATCH(Paramètres!L30,Paramètres!$G$5:$G$57,0)),INDEX($E$923:$E$975,MATCH(Paramètres!L30,Paramètres!$G$5:$G$57,0)))+IF(RIGHT(TRIM(Paramètres!M30),3)="Fin",1-$H948,IF(LEFT(TRIM(Paramètres!M30),1)="F",1,0)))),IF(Paramètres!N30="",0,IF(Paramètres!O30="",NA(),IF(LEFT(TRIM(Paramètres!O30),1)="F",INDEX($F$923:$F$975,MATCH(Paramètres!N30,Paramètres!$G$5:$G$57,0)),INDEX($E$923:$E$975,MATCH(Paramètres!N30,Paramètres!$G$5:$G$57,0)))+IF(RIGHT(TRIM(Paramètres!O30),3)="Fin",1-$H948,IF(LEFT(TRIM(Paramètres!O30),1)="F",1,0)))))))</f>
        <v/>
      </c>
      <c r="F948" s="19">
        <f>IF($A948="","",E948+$H948-1)</f>
        <v/>
      </c>
      <c r="G948" s="18" t="n"/>
      <c r="H948" s="18">
        <f>IF($A948="","",IF(I948&lt;&gt;"",I948,Paramètres!B30))</f>
        <v/>
      </c>
      <c r="I948" s="18" t="n"/>
    </row>
    <row r="949">
      <c r="A949" s="18">
        <f>IF(ISNUMBER(Dossiers!$D$21),Dossiers!$A$21&amp;" · "&amp;Dossiers!$B$21,"")</f>
        <v/>
      </c>
      <c r="B949" s="18">
        <f>IF($A949="","",Paramètres!G31)</f>
        <v/>
      </c>
      <c r="C949" s="20">
        <f>IF($A949="","",IF(Dossiers!$F$21="","",Dossiers!$F$21))</f>
        <v/>
      </c>
      <c r="D949" s="18">
        <f>IF($A949="","",IF(Paramètres!I31="","",Paramètres!I31))</f>
        <v/>
      </c>
      <c r="E949" s="19">
        <f>IF($A949="","",IF(Paramètres!J31&amp;Paramètres!L31&amp;Paramètres!N31="",Dossiers!$D$21,MAX(IF(Paramètres!J31="",0,IF(Paramètres!K31="",NA(),IF(LEFT(TRIM(Paramètres!K31),1)="F",INDEX($F$923:$F$975,MATCH(Paramètres!J31,Paramètres!$G$5:$G$57,0)),INDEX($E$923:$E$975,MATCH(Paramètres!J31,Paramètres!$G$5:$G$57,0)))+IF(RIGHT(TRIM(Paramètres!K31),3)="Fin",1-$H949,IF(LEFT(TRIM(Paramètres!K31),1)="F",1,0)))),IF(Paramètres!L31="",0,IF(Paramètres!M31="",NA(),IF(LEFT(TRIM(Paramètres!M31),1)="F",INDEX($F$923:$F$975,MATCH(Paramètres!L31,Paramètres!$G$5:$G$57,0)),INDEX($E$923:$E$975,MATCH(Paramètres!L31,Paramètres!$G$5:$G$57,0)))+IF(RIGHT(TRIM(Paramètres!M31),3)="Fin",1-$H949,IF(LEFT(TRIM(Paramètres!M31),1)="F",1,0)))),IF(Paramètres!N31="",0,IF(Paramètres!O31="",NA(),IF(LEFT(TRIM(Paramètres!O31),1)="F",INDEX($F$923:$F$975,MATCH(Paramètres!N31,Paramètres!$G$5:$G$57,0)),INDEX($E$923:$E$975,MATCH(Paramètres!N31,Paramètres!$G$5:$G$57,0)))+IF(RIGHT(TRIM(Paramètres!O31),3)="Fin",1-$H949,IF(LEFT(TRIM(Paramètres!O31),1)="F",1,0)))))))</f>
        <v/>
      </c>
      <c r="F949" s="19">
        <f>IF($A949="","",E949+$H949-1)</f>
        <v/>
      </c>
      <c r="G949" s="18" t="n"/>
      <c r="H949" s="18">
        <f>IF($A949="","",IF(I949&lt;&gt;"",I949,Paramètres!B31))</f>
        <v/>
      </c>
      <c r="I949" s="18" t="n"/>
    </row>
    <row r="950">
      <c r="A950" s="18">
        <f>IF(ISNUMBER(Dossiers!$D$21),Dossiers!$A$21&amp;" · "&amp;Dossiers!$B$21,"")</f>
        <v/>
      </c>
      <c r="B950" s="18">
        <f>IF($A950="","",Paramètres!G32)</f>
        <v/>
      </c>
      <c r="C950" s="18">
        <f>IF($A950="","",IF(Paramètres!H32="","",Paramètres!H32))</f>
        <v/>
      </c>
      <c r="D950" s="18">
        <f>IF($A950="","",IF(Paramètres!I32="","",Paramètres!I32))</f>
        <v/>
      </c>
      <c r="E950" s="19">
        <f>IF($A950="","",MIN(E951:E954))</f>
        <v/>
      </c>
      <c r="F950" s="19">
        <f>IF($A950="","",MAX(F951:F954))</f>
        <v/>
      </c>
      <c r="G950" s="18" t="n"/>
      <c r="H950" s="18">
        <f>IF($A950="","",F950-E950+1)</f>
        <v/>
      </c>
      <c r="I950" s="18" t="n"/>
    </row>
    <row r="951">
      <c r="A951" s="18">
        <f>IF(ISNUMBER(Dossiers!$D$21),Dossiers!$A$21&amp;" · "&amp;Dossiers!$B$21,"")</f>
        <v/>
      </c>
      <c r="B951" s="18">
        <f>IF($A951="","",Paramètres!G33)</f>
        <v/>
      </c>
      <c r="C951" s="18">
        <f>IF($A951="","",IF(Paramètres!H33="","",Paramètres!H33))</f>
        <v/>
      </c>
      <c r="D951" s="18">
        <f>IF($A951="","",IF(Paramètres!I33="","",Paramètres!I33))</f>
        <v/>
      </c>
      <c r="E951" s="19">
        <f>IF($A951="","",IF(Paramètres!J33&amp;Paramètres!L33&amp;Paramètres!N33="",Dossiers!$D$21,MAX(IF(Paramètres!J33="",0,IF(Paramètres!K33="",NA(),IF(LEFT(TRIM(Paramètres!K33),1)="F",INDEX($F$923:$F$975,MATCH(Paramètres!J33,Paramètres!$G$5:$G$57,0)),INDEX($E$923:$E$975,MATCH(Paramètres!J33,Paramètres!$G$5:$G$57,0)))+IF(RIGHT(TRIM(Paramètres!K33),3)="Fin",1-$H951,IF(LEFT(TRIM(Paramètres!K33),1)="F",1,0)))),IF(Paramètres!L33="",0,IF(Paramètres!M33="",NA(),IF(LEFT(TRIM(Paramètres!M33),1)="F",INDEX($F$923:$F$975,MATCH(Paramètres!L33,Paramètres!$G$5:$G$57,0)),INDEX($E$923:$E$975,MATCH(Paramètres!L33,Paramètres!$G$5:$G$57,0)))+IF(RIGHT(TRIM(Paramètres!M33),3)="Fin",1-$H951,IF(LEFT(TRIM(Paramètres!M33),1)="F",1,0)))),IF(Paramètres!N33="",0,IF(Paramètres!O33="",NA(),IF(LEFT(TRIM(Paramètres!O33),1)="F",INDEX($F$923:$F$975,MATCH(Paramètres!N33,Paramètres!$G$5:$G$57,0)),INDEX($E$923:$E$975,MATCH(Paramètres!N33,Paramètres!$G$5:$G$57,0)))+IF(RIGHT(TRIM(Paramètres!O33),3)="Fin",1-$H951,IF(LEFT(TRIM(Paramètres!O33),1)="F",1,0)))))))</f>
        <v/>
      </c>
      <c r="F951" s="19">
        <f>IF($A951="","",E951+$H951-1)</f>
        <v/>
      </c>
      <c r="G951" s="18" t="n"/>
      <c r="H951" s="18">
        <f>IF($A951="","",IF(I951&lt;&gt;"",I951,Paramètres!B33))</f>
        <v/>
      </c>
      <c r="I951" s="18" t="n"/>
    </row>
    <row r="952">
      <c r="A952" s="18">
        <f>IF(ISNUMBER(Dossiers!$D$21),Dossiers!$A$21&amp;" · "&amp;Dossiers!$B$21,"")</f>
        <v/>
      </c>
      <c r="B952" s="18">
        <f>IF($A952="","",Paramètres!G34)</f>
        <v/>
      </c>
      <c r="C952" s="18">
        <f>IF($A952="","",IF(Paramètres!H34="","",Paramètres!H34))</f>
        <v/>
      </c>
      <c r="D952" s="18">
        <f>IF($A952="","",IF(Paramètres!I34="","",Paramètres!I34))</f>
        <v/>
      </c>
      <c r="E952" s="19">
        <f>IF($A952="","",IF(Paramètres!J34&amp;Paramètres!L34&amp;Paramètres!N34="",Dossiers!$D$21,MAX(IF(Paramètres!J34="",0,IF(Paramètres!K34="",NA(),IF(LEFT(TRIM(Paramètres!K34),1)="F",INDEX($F$923:$F$975,MATCH(Paramètres!J34,Paramètres!$G$5:$G$57,0)),INDEX($E$923:$E$975,MATCH(Paramètres!J34,Paramètres!$G$5:$G$57,0)))+IF(RIGHT(TRIM(Paramètres!K34),3)="Fin",1-$H952,IF(LEFT(TRIM(Paramètres!K34),1)="F",1,0)))),IF(Paramètres!L34="",0,IF(Paramètres!M34="",NA(),IF(LEFT(TRIM(Paramètres!M34),1)="F",INDEX($F$923:$F$975,MATCH(Paramètres!L34,Paramètres!$G$5:$G$57,0)),INDEX($E$923:$E$975,MATCH(Paramètres!L34,Paramètres!$G$5:$G$57,0)))+IF(RIGHT(TRIM(Paramètres!M34),3)="Fin",1-$H952,IF(LEFT(TRIM(Paramètres!M34),1)="F",1,0)))),IF(Paramètres!N34="",0,IF(Paramètres!O34="",NA(),IF(LEFT(TRIM(Paramètres!O34),1)="F",INDEX($F$923:$F$975,MATCH(Paramètres!N34,Paramètres!$G$5:$G$57,0)),INDEX($E$923:$E$975,MATCH(Paramètres!N34,Paramètres!$G$5:$G$57,0)))+IF(RIGHT(TRIM(Paramètres!O34),3)="Fin",1-$H952,IF(LEFT(TRIM(Paramètres!O34),1)="F",1,0)))))))</f>
        <v/>
      </c>
      <c r="F952" s="19">
        <f>IF($A952="","",E952+$H952-1)</f>
        <v/>
      </c>
      <c r="G952" s="18" t="n"/>
      <c r="H952" s="18">
        <f>IF($A952="","",IF(I952&lt;&gt;"",I952,Paramètres!B34))</f>
        <v/>
      </c>
      <c r="I952" s="18" t="n"/>
    </row>
    <row r="953">
      <c r="A953" s="18">
        <f>IF(ISNUMBER(Dossiers!$D$21),Dossiers!$A$21&amp;" · "&amp;Dossiers!$B$21,"")</f>
        <v/>
      </c>
      <c r="B953" s="18">
        <f>IF($A953="","",Paramètres!G35)</f>
        <v/>
      </c>
      <c r="C953" s="18">
        <f>IF($A953="","",IF(Paramètres!H35="","",Paramètres!H35))</f>
        <v/>
      </c>
      <c r="D953" s="18">
        <f>IF($A953="","",IF(Paramètres!I35="","",Paramètres!I35))</f>
        <v/>
      </c>
      <c r="E953" s="19">
        <f>IF($A953="","",IF(Paramètres!J35&amp;Paramètres!L35&amp;Paramètres!N35="",Dossiers!$D$21,MAX(IF(Paramètres!J35="",0,IF(Paramètres!K35="",NA(),IF(LEFT(TRIM(Paramètres!K35),1)="F",INDEX($F$923:$F$975,MATCH(Paramètres!J35,Paramètres!$G$5:$G$57,0)),INDEX($E$923:$E$975,MATCH(Paramètres!J35,Paramètres!$G$5:$G$57,0)))+IF(RIGHT(TRIM(Paramètres!K35),3)="Fin",1-$H953,IF(LEFT(TRIM(Paramètres!K35),1)="F",1,0)))),IF(Paramètres!L35="",0,IF(Paramètres!M35="",NA(),IF(LEFT(TRIM(Paramètres!M35),1)="F",INDEX($F$923:$F$975,MATCH(Paramètres!L35,Paramètres!$G$5:$G$57,0)),INDEX($E$923:$E$975,MATCH(Paramètres!L35,Paramètres!$G$5:$G$57,0)))+IF(RIGHT(TRIM(Paramètres!M35),3)="Fin",1-$H953,IF(LEFT(TRIM(Paramètres!M35),1)="F",1,0)))),IF(Paramètres!N35="",0,IF(Paramètres!O35="",NA(),IF(LEFT(TRIM(Paramètres!O35),1)="F",INDEX($F$923:$F$975,MATCH(Paramètres!N35,Paramètres!$G$5:$G$57,0)),INDEX($E$923:$E$975,MATCH(Paramètres!N35,Paramètres!$G$5:$G$57,0)))+IF(RIGHT(TRIM(Paramètres!O35),3)="Fin",1-$H953,IF(LEFT(TRIM(Paramètres!O35),1)="F",1,0)))))))</f>
        <v/>
      </c>
      <c r="F953" s="19">
        <f>IF($A953="","",E953+$H953-1)</f>
        <v/>
      </c>
      <c r="G953" s="18" t="n"/>
      <c r="H953" s="18">
        <f>IF($A953="","",IF(I953&lt;&gt;"",I953,Paramètres!B35))</f>
        <v/>
      </c>
      <c r="I953" s="18" t="n"/>
    </row>
    <row r="954">
      <c r="A954" s="18">
        <f>IF(ISNUMBER(Dossiers!$D$21),Dossiers!$A$21&amp;" · "&amp;Dossiers!$B$21,"")</f>
        <v/>
      </c>
      <c r="B954" s="18">
        <f>IF($A954="","",Paramètres!G36)</f>
        <v/>
      </c>
      <c r="C954" s="18">
        <f>IF($A954="","",IF(Paramètres!H36="","",Paramètres!H36))</f>
        <v/>
      </c>
      <c r="D954" s="18">
        <f>IF($A954="","",IF(Paramètres!I36="","",Paramètres!I36))</f>
        <v/>
      </c>
      <c r="E954" s="19">
        <f>IF($A954="","",IF(Paramètres!J36&amp;Paramètres!L36&amp;Paramètres!N36="",Dossiers!$D$21,MAX(IF(Paramètres!J36="",0,IF(Paramètres!K36="",NA(),IF(LEFT(TRIM(Paramètres!K36),1)="F",INDEX($F$923:$F$975,MATCH(Paramètres!J36,Paramètres!$G$5:$G$57,0)),INDEX($E$923:$E$975,MATCH(Paramètres!J36,Paramètres!$G$5:$G$57,0)))+IF(RIGHT(TRIM(Paramètres!K36),3)="Fin",1-$H954,IF(LEFT(TRIM(Paramètres!K36),1)="F",1,0)))),IF(Paramètres!L36="",0,IF(Paramètres!M36="",NA(),IF(LEFT(TRIM(Paramètres!M36),1)="F",INDEX($F$923:$F$975,MATCH(Paramètres!L36,Paramètres!$G$5:$G$57,0)),INDEX($E$923:$E$975,MATCH(Paramètres!L36,Paramètres!$G$5:$G$57,0)))+IF(RIGHT(TRIM(Paramètres!M36),3)="Fin",1-$H954,IF(LEFT(TRIM(Paramètres!M36),1)="F",1,0)))),IF(Paramètres!N36="",0,IF(Paramètres!O36="",NA(),IF(LEFT(TRIM(Paramètres!O36),1)="F",INDEX($F$923:$F$975,MATCH(Paramètres!N36,Paramètres!$G$5:$G$57,0)),INDEX($E$923:$E$975,MATCH(Paramètres!N36,Paramètres!$G$5:$G$57,0)))+IF(RIGHT(TRIM(Paramètres!O36),3)="Fin",1-$H954,IF(LEFT(TRIM(Paramètres!O36),1)="F",1,0)))))))</f>
        <v/>
      </c>
      <c r="F954" s="19">
        <f>IF($A954="","",E954+$H954-1)</f>
        <v/>
      </c>
      <c r="G954" s="18" t="n"/>
      <c r="H954" s="18">
        <f>IF($A954="","",IF(I954&lt;&gt;"",I954,Paramètres!B36))</f>
        <v/>
      </c>
      <c r="I954" s="18" t="n"/>
    </row>
    <row r="955">
      <c r="A955" s="18">
        <f>IF(ISNUMBER(Dossiers!$D$21),Dossiers!$A$21&amp;" · "&amp;Dossiers!$B$21,"")</f>
        <v/>
      </c>
      <c r="B955" s="18">
        <f>IF($A955="","",Paramètres!G37)</f>
        <v/>
      </c>
      <c r="C955" s="18">
        <f>IF($A955="","",IF(Paramètres!H37="","",Paramètres!H37))</f>
        <v/>
      </c>
      <c r="D955" s="18">
        <f>IF($A955="","",IF(Paramètres!I37="","",Paramètres!I37))</f>
        <v/>
      </c>
      <c r="E955" s="19">
        <f>IF($A955="","",MIN(E956:E973))</f>
        <v/>
      </c>
      <c r="F955" s="19">
        <f>IF($A955="","",MAX(F956:F973))</f>
        <v/>
      </c>
      <c r="G955" s="18" t="n"/>
      <c r="H955" s="18">
        <f>IF($A955="","",F955-E955+1)</f>
        <v/>
      </c>
      <c r="I955" s="18" t="n"/>
    </row>
    <row r="956">
      <c r="A956" s="18">
        <f>IF(ISNUMBER(Dossiers!$D$21),Dossiers!$A$21&amp;" · "&amp;Dossiers!$B$21,"")</f>
        <v/>
      </c>
      <c r="B956" s="18">
        <f>IF($A956="","",Paramètres!G38)</f>
        <v/>
      </c>
      <c r="C956" s="18">
        <f>IF($A956="","",IF(Paramètres!H38="","",Paramètres!H38))</f>
        <v/>
      </c>
      <c r="D956" s="18">
        <f>IF($A956="","",IF(Paramètres!I38="","",Paramètres!I38))</f>
        <v/>
      </c>
      <c r="E956" s="19">
        <f>IF($A956="","",IF(Paramètres!J38&amp;Paramètres!L38&amp;Paramètres!N38="",Dossiers!$D$21,MAX(IF(Paramètres!J38="",0,IF(Paramètres!K38="",NA(),IF(LEFT(TRIM(Paramètres!K38),1)="F",INDEX($F$923:$F$975,MATCH(Paramètres!J38,Paramètres!$G$5:$G$57,0)),INDEX($E$923:$E$975,MATCH(Paramètres!J38,Paramètres!$G$5:$G$57,0)))+IF(RIGHT(TRIM(Paramètres!K38),3)="Fin",1-$H956,IF(LEFT(TRIM(Paramètres!K38),1)="F",1,0)))),IF(Paramètres!L38="",0,IF(Paramètres!M38="",NA(),IF(LEFT(TRIM(Paramètres!M38),1)="F",INDEX($F$923:$F$975,MATCH(Paramètres!L38,Paramètres!$G$5:$G$57,0)),INDEX($E$923:$E$975,MATCH(Paramètres!L38,Paramètres!$G$5:$G$57,0)))+IF(RIGHT(TRIM(Paramètres!M38),3)="Fin",1-$H956,IF(LEFT(TRIM(Paramètres!M38),1)="F",1,0)))),IF(Paramètres!N38="",0,IF(Paramètres!O38="",NA(),IF(LEFT(TRIM(Paramètres!O38),1)="F",INDEX($F$923:$F$975,MATCH(Paramètres!N38,Paramètres!$G$5:$G$57,0)),INDEX($E$923:$E$975,MATCH(Paramètres!N38,Paramètres!$G$5:$G$57,0)))+IF(RIGHT(TRIM(Paramètres!O38),3)="Fin",1-$H956,IF(LEFT(TRIM(Paramètres!O38),1)="F",1,0)))))))</f>
        <v/>
      </c>
      <c r="F956" s="19">
        <f>IF($A956="","",E956+$H956-1)</f>
        <v/>
      </c>
      <c r="G956" s="18" t="n"/>
      <c r="H956" s="18">
        <f>IF($A956="","",IF(I956&lt;&gt;"",I956,Paramètres!B38))</f>
        <v/>
      </c>
      <c r="I956" s="18" t="n"/>
    </row>
    <row r="957">
      <c r="A957" s="18">
        <f>IF(ISNUMBER(Dossiers!$D$21),Dossiers!$A$21&amp;" · "&amp;Dossiers!$B$21,"")</f>
        <v/>
      </c>
      <c r="B957" s="18">
        <f>IF($A957="","",Paramètres!G39)</f>
        <v/>
      </c>
      <c r="C957" s="18">
        <f>IF($A957="","",IF(Paramètres!H39="","",Paramètres!H39))</f>
        <v/>
      </c>
      <c r="D957" s="18">
        <f>IF($A957="","",IF(Paramètres!I39="","",Paramètres!I39))</f>
        <v/>
      </c>
      <c r="E957" s="19">
        <f>IF($A957="","",IF(Paramètres!J39&amp;Paramètres!L39&amp;Paramètres!N39="",Dossiers!$D$21,MAX(IF(Paramètres!J39="",0,IF(Paramètres!K39="",NA(),IF(LEFT(TRIM(Paramètres!K39),1)="F",INDEX($F$923:$F$975,MATCH(Paramètres!J39,Paramètres!$G$5:$G$57,0)),INDEX($E$923:$E$975,MATCH(Paramètres!J39,Paramètres!$G$5:$G$57,0)))+IF(RIGHT(TRIM(Paramètres!K39),3)="Fin",1-$H957,IF(LEFT(TRIM(Paramètres!K39),1)="F",1,0)))),IF(Paramètres!L39="",0,IF(Paramètres!M39="",NA(),IF(LEFT(TRIM(Paramètres!M39),1)="F",INDEX($F$923:$F$975,MATCH(Paramètres!L39,Paramètres!$G$5:$G$57,0)),INDEX($E$923:$E$975,MATCH(Paramètres!L39,Paramètres!$G$5:$G$57,0)))+IF(RIGHT(TRIM(Paramètres!M39),3)="Fin",1-$H957,IF(LEFT(TRIM(Paramètres!M39),1)="F",1,0)))),IF(Paramètres!N39="",0,IF(Paramètres!O39="",NA(),IF(LEFT(TRIM(Paramètres!O39),1)="F",INDEX($F$923:$F$975,MATCH(Paramètres!N39,Paramètres!$G$5:$G$57,0)),INDEX($E$923:$E$975,MATCH(Paramètres!N39,Paramètres!$G$5:$G$57,0)))+IF(RIGHT(TRIM(Paramètres!O39),3)="Fin",1-$H957,IF(LEFT(TRIM(Paramètres!O39),1)="F",1,0)))))))</f>
        <v/>
      </c>
      <c r="F957" s="19">
        <f>IF($A957="","",E957+$H957-1)</f>
        <v/>
      </c>
      <c r="G957" s="18" t="n"/>
      <c r="H957" s="18">
        <f>IF($A957="","",IF(I957&lt;&gt;"",I957,Paramètres!B39))</f>
        <v/>
      </c>
      <c r="I957" s="18" t="n"/>
    </row>
    <row r="958">
      <c r="A958" s="18">
        <f>IF(ISNUMBER(Dossiers!$D$21),Dossiers!$A$21&amp;" · "&amp;Dossiers!$B$21,"")</f>
        <v/>
      </c>
      <c r="B958" s="18">
        <f>IF($A958="","",Paramètres!G40)</f>
        <v/>
      </c>
      <c r="C958" s="18">
        <f>IF($A958="","",IF(Paramètres!H40="","",Paramètres!H40))</f>
        <v/>
      </c>
      <c r="D958" s="18">
        <f>IF($A958="","",IF(Paramètres!I40="","",Paramètres!I40))</f>
        <v/>
      </c>
      <c r="E958" s="19">
        <f>IF($A958="","",IF(Paramètres!J40&amp;Paramètres!L40&amp;Paramètres!N40="",Dossiers!$D$21,MAX(IF(Paramètres!J40="",0,IF(Paramètres!K40="",NA(),IF(LEFT(TRIM(Paramètres!K40),1)="F",INDEX($F$923:$F$975,MATCH(Paramètres!J40,Paramètres!$G$5:$G$57,0)),INDEX($E$923:$E$975,MATCH(Paramètres!J40,Paramètres!$G$5:$G$57,0)))+IF(RIGHT(TRIM(Paramètres!K40),3)="Fin",1-$H958,IF(LEFT(TRIM(Paramètres!K40),1)="F",1,0)))),IF(Paramètres!L40="",0,IF(Paramètres!M40="",NA(),IF(LEFT(TRIM(Paramètres!M40),1)="F",INDEX($F$923:$F$975,MATCH(Paramètres!L40,Paramètres!$G$5:$G$57,0)),INDEX($E$923:$E$975,MATCH(Paramètres!L40,Paramètres!$G$5:$G$57,0)))+IF(RIGHT(TRIM(Paramètres!M40),3)="Fin",1-$H958,IF(LEFT(TRIM(Paramètres!M40),1)="F",1,0)))),IF(Paramètres!N40="",0,IF(Paramètres!O40="",NA(),IF(LEFT(TRIM(Paramètres!O40),1)="F",INDEX($F$923:$F$975,MATCH(Paramètres!N40,Paramètres!$G$5:$G$57,0)),INDEX($E$923:$E$975,MATCH(Paramètres!N40,Paramètres!$G$5:$G$57,0)))+IF(RIGHT(TRIM(Paramètres!O40),3)="Fin",1-$H958,IF(LEFT(TRIM(Paramètres!O40),1)="F",1,0)))))))</f>
        <v/>
      </c>
      <c r="F958" s="19">
        <f>IF($A958="","",E958+$H958-1)</f>
        <v/>
      </c>
      <c r="G958" s="18" t="n"/>
      <c r="H958" s="18">
        <f>IF($A958="","",IF(I958&lt;&gt;"",I958,Paramètres!B40))</f>
        <v/>
      </c>
      <c r="I958" s="18" t="n"/>
    </row>
    <row r="959">
      <c r="A959" s="18">
        <f>IF(ISNUMBER(Dossiers!$D$21),Dossiers!$A$21&amp;" · "&amp;Dossiers!$B$21,"")</f>
        <v/>
      </c>
      <c r="B959" s="18">
        <f>IF($A959="","",Paramètres!G41)</f>
        <v/>
      </c>
      <c r="C959" s="18">
        <f>IF($A959="","",IF(Paramètres!H41="","",Paramètres!H41))</f>
        <v/>
      </c>
      <c r="D959" s="18">
        <f>IF($A959="","",IF(Paramètres!I41="","",Paramètres!I41))</f>
        <v/>
      </c>
      <c r="E959" s="19">
        <f>IF($A959="","",IF(Paramètres!J41&amp;Paramètres!L41&amp;Paramètres!N41="",Dossiers!$D$21,MAX(IF(Paramètres!J41="",0,IF(Paramètres!K41="",NA(),IF(LEFT(TRIM(Paramètres!K41),1)="F",INDEX($F$923:$F$975,MATCH(Paramètres!J41,Paramètres!$G$5:$G$57,0)),INDEX($E$923:$E$975,MATCH(Paramètres!J41,Paramètres!$G$5:$G$57,0)))+IF(RIGHT(TRIM(Paramètres!K41),3)="Fin",1-$H959,IF(LEFT(TRIM(Paramètres!K41),1)="F",1,0)))),IF(Paramètres!L41="",0,IF(Paramètres!M41="",NA(),IF(LEFT(TRIM(Paramètres!M41),1)="F",INDEX($F$923:$F$975,MATCH(Paramètres!L41,Paramètres!$G$5:$G$57,0)),INDEX($E$923:$E$975,MATCH(Paramètres!L41,Paramètres!$G$5:$G$57,0)))+IF(RIGHT(TRIM(Paramètres!M41),3)="Fin",1-$H959,IF(LEFT(TRIM(Paramètres!M41),1)="F",1,0)))),IF(Paramètres!N41="",0,IF(Paramètres!O41="",NA(),IF(LEFT(TRIM(Paramètres!O41),1)="F",INDEX($F$923:$F$975,MATCH(Paramètres!N41,Paramètres!$G$5:$G$57,0)),INDEX($E$923:$E$975,MATCH(Paramètres!N41,Paramètres!$G$5:$G$57,0)))+IF(RIGHT(TRIM(Paramètres!O41),3)="Fin",1-$H959,IF(LEFT(TRIM(Paramètres!O41),1)="F",1,0)))))))</f>
        <v/>
      </c>
      <c r="F959" s="19">
        <f>IF($A959="","",E959+$H959-1)</f>
        <v/>
      </c>
      <c r="G959" s="18" t="n"/>
      <c r="H959" s="18">
        <f>IF($A959="","",IF(I959&lt;&gt;"",I959,Paramètres!B41))</f>
        <v/>
      </c>
      <c r="I959" s="18" t="n"/>
    </row>
    <row r="960">
      <c r="A960" s="18">
        <f>IF(ISNUMBER(Dossiers!$D$21),Dossiers!$A$21&amp;" · "&amp;Dossiers!$B$21,"")</f>
        <v/>
      </c>
      <c r="B960" s="18">
        <f>IF($A960="","",Paramètres!G42)</f>
        <v/>
      </c>
      <c r="C960" s="18">
        <f>IF($A960="","",IF(Paramètres!H42="","",Paramètres!H42))</f>
        <v/>
      </c>
      <c r="D960" s="18">
        <f>IF($A960="","",IF(Paramètres!I42="","",Paramètres!I42))</f>
        <v/>
      </c>
      <c r="E960" s="19">
        <f>IF($A960="","",IF(Paramètres!J42&amp;Paramètres!L42&amp;Paramètres!N42="",Dossiers!$D$21,MAX(IF(Paramètres!J42="",0,IF(Paramètres!K42="",NA(),IF(LEFT(TRIM(Paramètres!K42),1)="F",INDEX($F$923:$F$975,MATCH(Paramètres!J42,Paramètres!$G$5:$G$57,0)),INDEX($E$923:$E$975,MATCH(Paramètres!J42,Paramètres!$G$5:$G$57,0)))+IF(RIGHT(TRIM(Paramètres!K42),3)="Fin",1-$H960,IF(LEFT(TRIM(Paramètres!K42),1)="F",1,0)))),IF(Paramètres!L42="",0,IF(Paramètres!M42="",NA(),IF(LEFT(TRIM(Paramètres!M42),1)="F",INDEX($F$923:$F$975,MATCH(Paramètres!L42,Paramètres!$G$5:$G$57,0)),INDEX($E$923:$E$975,MATCH(Paramètres!L42,Paramètres!$G$5:$G$57,0)))+IF(RIGHT(TRIM(Paramètres!M42),3)="Fin",1-$H960,IF(LEFT(TRIM(Paramètres!M42),1)="F",1,0)))),IF(Paramètres!N42="",0,IF(Paramètres!O42="",NA(),IF(LEFT(TRIM(Paramètres!O42),1)="F",INDEX($F$923:$F$975,MATCH(Paramètres!N42,Paramètres!$G$5:$G$57,0)),INDEX($E$923:$E$975,MATCH(Paramètres!N42,Paramètres!$G$5:$G$57,0)))+IF(RIGHT(TRIM(Paramètres!O42),3)="Fin",1-$H960,IF(LEFT(TRIM(Paramètres!O42),1)="F",1,0)))))))</f>
        <v/>
      </c>
      <c r="F960" s="19">
        <f>IF($A960="","",E960+$H960-1)</f>
        <v/>
      </c>
      <c r="G960" s="18" t="n"/>
      <c r="H960" s="18">
        <f>IF($A960="","",IF(I960&lt;&gt;"",I960,Paramètres!B42))</f>
        <v/>
      </c>
      <c r="I960" s="18" t="n"/>
    </row>
    <row r="961">
      <c r="A961" s="18">
        <f>IF(ISNUMBER(Dossiers!$D$21),Dossiers!$A$21&amp;" · "&amp;Dossiers!$B$21,"")</f>
        <v/>
      </c>
      <c r="B961" s="18">
        <f>IF($A961="","",Paramètres!G43)</f>
        <v/>
      </c>
      <c r="C961" s="18">
        <f>IF($A961="","",IF(Paramètres!H43="","",Paramètres!H43))</f>
        <v/>
      </c>
      <c r="D961" s="18">
        <f>IF($A961="","",IF(Paramètres!I43="","",Paramètres!I43))</f>
        <v/>
      </c>
      <c r="E961" s="19">
        <f>IF($A961="","",IF(Paramètres!J43&amp;Paramètres!L43&amp;Paramètres!N43="",Dossiers!$D$21,MAX(IF(Paramètres!J43="",0,IF(Paramètres!K43="",NA(),IF(LEFT(TRIM(Paramètres!K43),1)="F",INDEX($F$923:$F$975,MATCH(Paramètres!J43,Paramètres!$G$5:$G$57,0)),INDEX($E$923:$E$975,MATCH(Paramètres!J43,Paramètres!$G$5:$G$57,0)))+IF(RIGHT(TRIM(Paramètres!K43),3)="Fin",1-$H961,IF(LEFT(TRIM(Paramètres!K43),1)="F",1,0)))),IF(Paramètres!L43="",0,IF(Paramètres!M43="",NA(),IF(LEFT(TRIM(Paramètres!M43),1)="F",INDEX($F$923:$F$975,MATCH(Paramètres!L43,Paramètres!$G$5:$G$57,0)),INDEX($E$923:$E$975,MATCH(Paramètres!L43,Paramètres!$G$5:$G$57,0)))+IF(RIGHT(TRIM(Paramètres!M43),3)="Fin",1-$H961,IF(LEFT(TRIM(Paramètres!M43),1)="F",1,0)))),IF(Paramètres!N43="",0,IF(Paramètres!O43="",NA(),IF(LEFT(TRIM(Paramètres!O43),1)="F",INDEX($F$923:$F$975,MATCH(Paramètres!N43,Paramètres!$G$5:$G$57,0)),INDEX($E$923:$E$975,MATCH(Paramètres!N43,Paramètres!$G$5:$G$57,0)))+IF(RIGHT(TRIM(Paramètres!O43),3)="Fin",1-$H961,IF(LEFT(TRIM(Paramètres!O43),1)="F",1,0)))))))</f>
        <v/>
      </c>
      <c r="F961" s="19">
        <f>IF($A961="","",E961+$H961-1)</f>
        <v/>
      </c>
      <c r="G961" s="18" t="n"/>
      <c r="H961" s="18">
        <f>IF($A961="","",IF(I961&lt;&gt;"",I961,Paramètres!B43))</f>
        <v/>
      </c>
      <c r="I961" s="18" t="n"/>
    </row>
    <row r="962">
      <c r="A962" s="18">
        <f>IF(ISNUMBER(Dossiers!$D$21),Dossiers!$A$21&amp;" · "&amp;Dossiers!$B$21,"")</f>
        <v/>
      </c>
      <c r="B962" s="18">
        <f>IF($A962="","",Paramètres!G44)</f>
        <v/>
      </c>
      <c r="C962" s="18">
        <f>IF($A962="","",IF(Paramètres!H44="","",Paramètres!H44))</f>
        <v/>
      </c>
      <c r="D962" s="18">
        <f>IF($A962="","",IF(Paramètres!I44="","",Paramètres!I44))</f>
        <v/>
      </c>
      <c r="E962" s="19">
        <f>IF($A962="","",IF(Paramètres!J44&amp;Paramètres!L44&amp;Paramètres!N44="",Dossiers!$D$21,MAX(IF(Paramètres!J44="",0,IF(Paramètres!K44="",NA(),IF(LEFT(TRIM(Paramètres!K44),1)="F",INDEX($F$923:$F$975,MATCH(Paramètres!J44,Paramètres!$G$5:$G$57,0)),INDEX($E$923:$E$975,MATCH(Paramètres!J44,Paramètres!$G$5:$G$57,0)))+IF(RIGHT(TRIM(Paramètres!K44),3)="Fin",1-$H962,IF(LEFT(TRIM(Paramètres!K44),1)="F",1,0)))),IF(Paramètres!L44="",0,IF(Paramètres!M44="",NA(),IF(LEFT(TRIM(Paramètres!M44),1)="F",INDEX($F$923:$F$975,MATCH(Paramètres!L44,Paramètres!$G$5:$G$57,0)),INDEX($E$923:$E$975,MATCH(Paramètres!L44,Paramètres!$G$5:$G$57,0)))+IF(RIGHT(TRIM(Paramètres!M44),3)="Fin",1-$H962,IF(LEFT(TRIM(Paramètres!M44),1)="F",1,0)))),IF(Paramètres!N44="",0,IF(Paramètres!O44="",NA(),IF(LEFT(TRIM(Paramètres!O44),1)="F",INDEX($F$923:$F$975,MATCH(Paramètres!N44,Paramètres!$G$5:$G$57,0)),INDEX($E$923:$E$975,MATCH(Paramètres!N44,Paramètres!$G$5:$G$57,0)))+IF(RIGHT(TRIM(Paramètres!O44),3)="Fin",1-$H962,IF(LEFT(TRIM(Paramètres!O44),1)="F",1,0)))))))</f>
        <v/>
      </c>
      <c r="F962" s="19">
        <f>IF($A962="","",E962+$H962-1)</f>
        <v/>
      </c>
      <c r="G962" s="18" t="n"/>
      <c r="H962" s="18">
        <f>IF($A962="","",IF(I962&lt;&gt;"",I962,Paramètres!B44))</f>
        <v/>
      </c>
      <c r="I962" s="18" t="n"/>
    </row>
    <row r="963">
      <c r="A963" s="18">
        <f>IF(ISNUMBER(Dossiers!$D$21),Dossiers!$A$21&amp;" · "&amp;Dossiers!$B$21,"")</f>
        <v/>
      </c>
      <c r="B963" s="18">
        <f>IF($A963="","",Paramètres!G45)</f>
        <v/>
      </c>
      <c r="C963" s="20">
        <f>IF($A963="","",IF(Dossiers!$G$21="","",Dossiers!$G$21))</f>
        <v/>
      </c>
      <c r="D963" s="18">
        <f>IF($A963="","",IF(Paramètres!I45="","",Paramètres!I45))</f>
        <v/>
      </c>
      <c r="E963" s="19">
        <f>IF($A963="","",IF(Paramètres!J45&amp;Paramètres!L45&amp;Paramètres!N45="",Dossiers!$D$21,MAX(IF(Paramètres!J45="",0,IF(Paramètres!K45="",NA(),IF(LEFT(TRIM(Paramètres!K45),1)="F",INDEX($F$923:$F$975,MATCH(Paramètres!J45,Paramètres!$G$5:$G$57,0)),INDEX($E$923:$E$975,MATCH(Paramètres!J45,Paramètres!$G$5:$G$57,0)))+IF(RIGHT(TRIM(Paramètres!K45),3)="Fin",1-$H963,IF(LEFT(TRIM(Paramètres!K45),1)="F",1,0)))),IF(Paramètres!L45="",0,IF(Paramètres!M45="",NA(),IF(LEFT(TRIM(Paramètres!M45),1)="F",INDEX($F$923:$F$975,MATCH(Paramètres!L45,Paramètres!$G$5:$G$57,0)),INDEX($E$923:$E$975,MATCH(Paramètres!L45,Paramètres!$G$5:$G$57,0)))+IF(RIGHT(TRIM(Paramètres!M45),3)="Fin",1-$H963,IF(LEFT(TRIM(Paramètres!M45),1)="F",1,0)))),IF(Paramètres!N45="",0,IF(Paramètres!O45="",NA(),IF(LEFT(TRIM(Paramètres!O45),1)="F",INDEX($F$923:$F$975,MATCH(Paramètres!N45,Paramètres!$G$5:$G$57,0)),INDEX($E$923:$E$975,MATCH(Paramètres!N45,Paramètres!$G$5:$G$57,0)))+IF(RIGHT(TRIM(Paramètres!O45),3)="Fin",1-$H963,IF(LEFT(TRIM(Paramètres!O45),1)="F",1,0)))))))</f>
        <v/>
      </c>
      <c r="F963" s="19">
        <f>IF($A963="","",E963+$H963-1)</f>
        <v/>
      </c>
      <c r="G963" s="18" t="n"/>
      <c r="H963" s="18">
        <f>IF($A963="","",IF(I963&lt;&gt;"",I963,Paramètres!B45))</f>
        <v/>
      </c>
      <c r="I963" s="18" t="n"/>
    </row>
    <row r="964">
      <c r="A964" s="18">
        <f>IF(ISNUMBER(Dossiers!$D$21),Dossiers!$A$21&amp;" · "&amp;Dossiers!$B$21,"")</f>
        <v/>
      </c>
      <c r="B964" s="18">
        <f>IF($A964="","",Paramètres!G46)</f>
        <v/>
      </c>
      <c r="C964" s="18">
        <f>IF($A964="","",IF(Paramètres!H46="","",Paramètres!H46))</f>
        <v/>
      </c>
      <c r="D964" s="18">
        <f>IF($A964="","",IF(Paramètres!I46="","",Paramètres!I46))</f>
        <v/>
      </c>
      <c r="E964" s="19">
        <f>IF($A964="","",IF(Paramètres!J46&amp;Paramètres!L46&amp;Paramètres!N46="",Dossiers!$D$21,MAX(IF(Paramètres!J46="",0,IF(Paramètres!K46="",NA(),IF(LEFT(TRIM(Paramètres!K46),1)="F",INDEX($F$923:$F$975,MATCH(Paramètres!J46,Paramètres!$G$5:$G$57,0)),INDEX($E$923:$E$975,MATCH(Paramètres!J46,Paramètres!$G$5:$G$57,0)))+IF(RIGHT(TRIM(Paramètres!K46),3)="Fin",1-$H964,IF(LEFT(TRIM(Paramètres!K46),1)="F",1,0)))),IF(Paramètres!L46="",0,IF(Paramètres!M46="",NA(),IF(LEFT(TRIM(Paramètres!M46),1)="F",INDEX($F$923:$F$975,MATCH(Paramètres!L46,Paramètres!$G$5:$G$57,0)),INDEX($E$923:$E$975,MATCH(Paramètres!L46,Paramètres!$G$5:$G$57,0)))+IF(RIGHT(TRIM(Paramètres!M46),3)="Fin",1-$H964,IF(LEFT(TRIM(Paramètres!M46),1)="F",1,0)))),IF(Paramètres!N46="",0,IF(Paramètres!O46="",NA(),IF(LEFT(TRIM(Paramètres!O46),1)="F",INDEX($F$923:$F$975,MATCH(Paramètres!N46,Paramètres!$G$5:$G$57,0)),INDEX($E$923:$E$975,MATCH(Paramètres!N46,Paramètres!$G$5:$G$57,0)))+IF(RIGHT(TRIM(Paramètres!O46),3)="Fin",1-$H964,IF(LEFT(TRIM(Paramètres!O46),1)="F",1,0)))))))</f>
        <v/>
      </c>
      <c r="F964" s="19">
        <f>IF($A964="","",E964+$H964-1)</f>
        <v/>
      </c>
      <c r="G964" s="18" t="n"/>
      <c r="H964" s="18">
        <f>IF($A964="","",IF(I964&lt;&gt;"",I964,Paramètres!B46))</f>
        <v/>
      </c>
      <c r="I964" s="18" t="n"/>
    </row>
    <row r="965">
      <c r="A965" s="18">
        <f>IF(ISNUMBER(Dossiers!$D$21),Dossiers!$A$21&amp;" · "&amp;Dossiers!$B$21,"")</f>
        <v/>
      </c>
      <c r="B965" s="18">
        <f>IF($A965="","",Paramètres!G47)</f>
        <v/>
      </c>
      <c r="C965" s="18">
        <f>IF($A965="","",IF(Paramètres!H47="","",Paramètres!H47))</f>
        <v/>
      </c>
      <c r="D965" s="18">
        <f>IF($A965="","",IF(Paramètres!I47="","",Paramètres!I47))</f>
        <v/>
      </c>
      <c r="E965" s="19">
        <f>IF($A965="","",IF(Paramètres!J47&amp;Paramètres!L47&amp;Paramètres!N47="",Dossiers!$D$21,MAX(IF(Paramètres!J47="",0,IF(Paramètres!K47="",NA(),IF(LEFT(TRIM(Paramètres!K47),1)="F",INDEX($F$923:$F$975,MATCH(Paramètres!J47,Paramètres!$G$5:$G$57,0)),INDEX($E$923:$E$975,MATCH(Paramètres!J47,Paramètres!$G$5:$G$57,0)))+IF(RIGHT(TRIM(Paramètres!K47),3)="Fin",1-$H965,IF(LEFT(TRIM(Paramètres!K47),1)="F",1,0)))),IF(Paramètres!L47="",0,IF(Paramètres!M47="",NA(),IF(LEFT(TRIM(Paramètres!M47),1)="F",INDEX($F$923:$F$975,MATCH(Paramètres!L47,Paramètres!$G$5:$G$57,0)),INDEX($E$923:$E$975,MATCH(Paramètres!L47,Paramètres!$G$5:$G$57,0)))+IF(RIGHT(TRIM(Paramètres!M47),3)="Fin",1-$H965,IF(LEFT(TRIM(Paramètres!M47),1)="F",1,0)))),IF(Paramètres!N47="",0,IF(Paramètres!O47="",NA(),IF(LEFT(TRIM(Paramètres!O47),1)="F",INDEX($F$923:$F$975,MATCH(Paramètres!N47,Paramètres!$G$5:$G$57,0)),INDEX($E$923:$E$975,MATCH(Paramètres!N47,Paramètres!$G$5:$G$57,0)))+IF(RIGHT(TRIM(Paramètres!O47),3)="Fin",1-$H965,IF(LEFT(TRIM(Paramètres!O47),1)="F",1,0)))))))</f>
        <v/>
      </c>
      <c r="F965" s="19">
        <f>IF($A965="","",E965+$H965-1)</f>
        <v/>
      </c>
      <c r="G965" s="18" t="n"/>
      <c r="H965" s="18">
        <f>IF($A965="","",IF(I965&lt;&gt;"",I965,Paramètres!B47))</f>
        <v/>
      </c>
      <c r="I965" s="18" t="n"/>
    </row>
    <row r="966">
      <c r="A966" s="18">
        <f>IF(ISNUMBER(Dossiers!$D$21),Dossiers!$A$21&amp;" · "&amp;Dossiers!$B$21,"")</f>
        <v/>
      </c>
      <c r="B966" s="18">
        <f>IF($A966="","",Paramètres!G48)</f>
        <v/>
      </c>
      <c r="C966" s="18">
        <f>IF($A966="","",IF(Paramètres!H48="","",Paramètres!H48))</f>
        <v/>
      </c>
      <c r="D966" s="18">
        <f>IF($A966="","",IF(Paramètres!I48="","",Paramètres!I48))</f>
        <v/>
      </c>
      <c r="E966" s="19">
        <f>IF($A966="","",IF(Paramètres!J48&amp;Paramètres!L48&amp;Paramètres!N48="",Dossiers!$D$21,MAX(IF(Paramètres!J48="",0,IF(Paramètres!K48="",NA(),IF(LEFT(TRIM(Paramètres!K48),1)="F",INDEX($F$923:$F$975,MATCH(Paramètres!J48,Paramètres!$G$5:$G$57,0)),INDEX($E$923:$E$975,MATCH(Paramètres!J48,Paramètres!$G$5:$G$57,0)))+IF(RIGHT(TRIM(Paramètres!K48),3)="Fin",1-$H966,IF(LEFT(TRIM(Paramètres!K48),1)="F",1,0)))),IF(Paramètres!L48="",0,IF(Paramètres!M48="",NA(),IF(LEFT(TRIM(Paramètres!M48),1)="F",INDEX($F$923:$F$975,MATCH(Paramètres!L48,Paramètres!$G$5:$G$57,0)),INDEX($E$923:$E$975,MATCH(Paramètres!L48,Paramètres!$G$5:$G$57,0)))+IF(RIGHT(TRIM(Paramètres!M48),3)="Fin",1-$H966,IF(LEFT(TRIM(Paramètres!M48),1)="F",1,0)))),IF(Paramètres!N48="",0,IF(Paramètres!O48="",NA(),IF(LEFT(TRIM(Paramètres!O48),1)="F",INDEX($F$923:$F$975,MATCH(Paramètres!N48,Paramètres!$G$5:$G$57,0)),INDEX($E$923:$E$975,MATCH(Paramètres!N48,Paramètres!$G$5:$G$57,0)))+IF(RIGHT(TRIM(Paramètres!O48),3)="Fin",1-$H966,IF(LEFT(TRIM(Paramètres!O48),1)="F",1,0)))))))</f>
        <v/>
      </c>
      <c r="F966" s="19">
        <f>IF($A966="","",E966+$H966-1)</f>
        <v/>
      </c>
      <c r="G966" s="18" t="n"/>
      <c r="H966" s="18">
        <f>IF($A966="","",IF(I966&lt;&gt;"",I966,Paramètres!B48))</f>
        <v/>
      </c>
      <c r="I966" s="18" t="n"/>
    </row>
    <row r="967">
      <c r="A967" s="18">
        <f>IF(ISNUMBER(Dossiers!$D$21),Dossiers!$A$21&amp;" · "&amp;Dossiers!$B$21,"")</f>
        <v/>
      </c>
      <c r="B967" s="18">
        <f>IF($A967="","",Paramètres!G49)</f>
        <v/>
      </c>
      <c r="C967" s="18">
        <f>IF($A967="","",IF(Paramètres!H49="","",Paramètres!H49))</f>
        <v/>
      </c>
      <c r="D967" s="18">
        <f>IF($A967="","",IF(Paramètres!I49="","",Paramètres!I49))</f>
        <v/>
      </c>
      <c r="E967" s="19">
        <f>IF($A967="","",IF(Paramètres!J49&amp;Paramètres!L49&amp;Paramètres!N49="",Dossiers!$D$21,MAX(IF(Paramètres!J49="",0,IF(Paramètres!K49="",NA(),IF(LEFT(TRIM(Paramètres!K49),1)="F",INDEX($F$923:$F$975,MATCH(Paramètres!J49,Paramètres!$G$5:$G$57,0)),INDEX($E$923:$E$975,MATCH(Paramètres!J49,Paramètres!$G$5:$G$57,0)))+IF(RIGHT(TRIM(Paramètres!K49),3)="Fin",1-$H967,IF(LEFT(TRIM(Paramètres!K49),1)="F",1,0)))),IF(Paramètres!L49="",0,IF(Paramètres!M49="",NA(),IF(LEFT(TRIM(Paramètres!M49),1)="F",INDEX($F$923:$F$975,MATCH(Paramètres!L49,Paramètres!$G$5:$G$57,0)),INDEX($E$923:$E$975,MATCH(Paramètres!L49,Paramètres!$G$5:$G$57,0)))+IF(RIGHT(TRIM(Paramètres!M49),3)="Fin",1-$H967,IF(LEFT(TRIM(Paramètres!M49),1)="F",1,0)))),IF(Paramètres!N49="",0,IF(Paramètres!O49="",NA(),IF(LEFT(TRIM(Paramètres!O49),1)="F",INDEX($F$923:$F$975,MATCH(Paramètres!N49,Paramètres!$G$5:$G$57,0)),INDEX($E$923:$E$975,MATCH(Paramètres!N49,Paramètres!$G$5:$G$57,0)))+IF(RIGHT(TRIM(Paramètres!O49),3)="Fin",1-$H967,IF(LEFT(TRIM(Paramètres!O49),1)="F",1,0)))))))</f>
        <v/>
      </c>
      <c r="F967" s="19">
        <f>IF($A967="","",E967+$H967-1)</f>
        <v/>
      </c>
      <c r="G967" s="18" t="n"/>
      <c r="H967" s="18">
        <f>IF($A967="","",IF(I967&lt;&gt;"",I967,Paramètres!B49))</f>
        <v/>
      </c>
      <c r="I967" s="18" t="n"/>
    </row>
    <row r="968">
      <c r="A968" s="18">
        <f>IF(ISNUMBER(Dossiers!$D$21),Dossiers!$A$21&amp;" · "&amp;Dossiers!$B$21,"")</f>
        <v/>
      </c>
      <c r="B968" s="18">
        <f>IF($A968="","",Paramètres!G50)</f>
        <v/>
      </c>
      <c r="C968" s="18">
        <f>IF($A968="","",IF(Paramètres!H50="","",Paramètres!H50))</f>
        <v/>
      </c>
      <c r="D968" s="18">
        <f>IF($A968="","",IF(Paramètres!I50="","",Paramètres!I50))</f>
        <v/>
      </c>
      <c r="E968" s="19">
        <f>IF($A968="","",IF(Paramètres!J50&amp;Paramètres!L50&amp;Paramètres!N50="",Dossiers!$D$21,MAX(IF(Paramètres!J50="",0,IF(Paramètres!K50="",NA(),IF(LEFT(TRIM(Paramètres!K50),1)="F",INDEX($F$923:$F$975,MATCH(Paramètres!J50,Paramètres!$G$5:$G$57,0)),INDEX($E$923:$E$975,MATCH(Paramètres!J50,Paramètres!$G$5:$G$57,0)))+IF(RIGHT(TRIM(Paramètres!K50),3)="Fin",1-$H968,IF(LEFT(TRIM(Paramètres!K50),1)="F",1,0)))),IF(Paramètres!L50="",0,IF(Paramètres!M50="",NA(),IF(LEFT(TRIM(Paramètres!M50),1)="F",INDEX($F$923:$F$975,MATCH(Paramètres!L50,Paramètres!$G$5:$G$57,0)),INDEX($E$923:$E$975,MATCH(Paramètres!L50,Paramètres!$G$5:$G$57,0)))+IF(RIGHT(TRIM(Paramètres!M50),3)="Fin",1-$H968,IF(LEFT(TRIM(Paramètres!M50),1)="F",1,0)))),IF(Paramètres!N50="",0,IF(Paramètres!O50="",NA(),IF(LEFT(TRIM(Paramètres!O50),1)="F",INDEX($F$923:$F$975,MATCH(Paramètres!N50,Paramètres!$G$5:$G$57,0)),INDEX($E$923:$E$975,MATCH(Paramètres!N50,Paramètres!$G$5:$G$57,0)))+IF(RIGHT(TRIM(Paramètres!O50),3)="Fin",1-$H968,IF(LEFT(TRIM(Paramètres!O50),1)="F",1,0)))))))</f>
        <v/>
      </c>
      <c r="F968" s="19">
        <f>IF($A968="","",E968+$H968-1)</f>
        <v/>
      </c>
      <c r="G968" s="18" t="n"/>
      <c r="H968" s="18">
        <f>IF($A968="","",IF(I968&lt;&gt;"",I968,Paramètres!B50))</f>
        <v/>
      </c>
      <c r="I968" s="18" t="n"/>
    </row>
    <row r="969">
      <c r="A969" s="18">
        <f>IF(ISNUMBER(Dossiers!$D$21),Dossiers!$A$21&amp;" · "&amp;Dossiers!$B$21,"")</f>
        <v/>
      </c>
      <c r="B969" s="18">
        <f>IF($A969="","",Paramètres!G51)</f>
        <v/>
      </c>
      <c r="C969" s="18">
        <f>IF($A969="","",IF(Paramètres!H51="","",Paramètres!H51))</f>
        <v/>
      </c>
      <c r="D969" s="18">
        <f>IF($A969="","",IF(Paramètres!I51="","",Paramètres!I51))</f>
        <v/>
      </c>
      <c r="E969" s="19">
        <f>IF($A969="","",IF(Paramètres!J51&amp;Paramètres!L51&amp;Paramètres!N51="",Dossiers!$D$21,MAX(IF(Paramètres!J51="",0,IF(Paramètres!K51="",NA(),IF(LEFT(TRIM(Paramètres!K51),1)="F",INDEX($F$923:$F$975,MATCH(Paramètres!J51,Paramètres!$G$5:$G$57,0)),INDEX($E$923:$E$975,MATCH(Paramètres!J51,Paramètres!$G$5:$G$57,0)))+IF(RIGHT(TRIM(Paramètres!K51),3)="Fin",1-$H969,IF(LEFT(TRIM(Paramètres!K51),1)="F",1,0)))),IF(Paramètres!L51="",0,IF(Paramètres!M51="",NA(),IF(LEFT(TRIM(Paramètres!M51),1)="F",INDEX($F$923:$F$975,MATCH(Paramètres!L51,Paramètres!$G$5:$G$57,0)),INDEX($E$923:$E$975,MATCH(Paramètres!L51,Paramètres!$G$5:$G$57,0)))+IF(RIGHT(TRIM(Paramètres!M51),3)="Fin",1-$H969,IF(LEFT(TRIM(Paramètres!M51),1)="F",1,0)))),IF(Paramètres!N51="",0,IF(Paramètres!O51="",NA(),IF(LEFT(TRIM(Paramètres!O51),1)="F",INDEX($F$923:$F$975,MATCH(Paramètres!N51,Paramètres!$G$5:$G$57,0)),INDEX($E$923:$E$975,MATCH(Paramètres!N51,Paramètres!$G$5:$G$57,0)))+IF(RIGHT(TRIM(Paramètres!O51),3)="Fin",1-$H969,IF(LEFT(TRIM(Paramètres!O51),1)="F",1,0)))))))</f>
        <v/>
      </c>
      <c r="F969" s="19">
        <f>IF($A969="","",E969+$H969-1)</f>
        <v/>
      </c>
      <c r="G969" s="18" t="n"/>
      <c r="H969" s="18">
        <f>IF($A969="","",IF(I969&lt;&gt;"",I969,Paramètres!B51))</f>
        <v/>
      </c>
      <c r="I969" s="18" t="n"/>
    </row>
    <row r="970">
      <c r="A970" s="18">
        <f>IF(ISNUMBER(Dossiers!$D$21),Dossiers!$A$21&amp;" · "&amp;Dossiers!$B$21,"")</f>
        <v/>
      </c>
      <c r="B970" s="18">
        <f>IF($A970="","",Paramètres!G52)</f>
        <v/>
      </c>
      <c r="C970" s="18">
        <f>IF($A970="","",IF(Paramètres!H52="","",Paramètres!H52))</f>
        <v/>
      </c>
      <c r="D970" s="18">
        <f>IF($A970="","",IF(Paramètres!I52="","",Paramètres!I52))</f>
        <v/>
      </c>
      <c r="E970" s="19">
        <f>IF($A970="","",IF(Paramètres!J52&amp;Paramètres!L52&amp;Paramètres!N52="",Dossiers!$D$21,MAX(IF(Paramètres!J52="",0,IF(Paramètres!K52="",NA(),IF(LEFT(TRIM(Paramètres!K52),1)="F",INDEX($F$923:$F$975,MATCH(Paramètres!J52,Paramètres!$G$5:$G$57,0)),INDEX($E$923:$E$975,MATCH(Paramètres!J52,Paramètres!$G$5:$G$57,0)))+IF(RIGHT(TRIM(Paramètres!K52),3)="Fin",1-$H970,IF(LEFT(TRIM(Paramètres!K52),1)="F",1,0)))),IF(Paramètres!L52="",0,IF(Paramètres!M52="",NA(),IF(LEFT(TRIM(Paramètres!M52),1)="F",INDEX($F$923:$F$975,MATCH(Paramètres!L52,Paramètres!$G$5:$G$57,0)),INDEX($E$923:$E$975,MATCH(Paramètres!L52,Paramètres!$G$5:$G$57,0)))+IF(RIGHT(TRIM(Paramètres!M52),3)="Fin",1-$H970,IF(LEFT(TRIM(Paramètres!M52),1)="F",1,0)))),IF(Paramètres!N52="",0,IF(Paramètres!O52="",NA(),IF(LEFT(TRIM(Paramètres!O52),1)="F",INDEX($F$923:$F$975,MATCH(Paramètres!N52,Paramètres!$G$5:$G$57,0)),INDEX($E$923:$E$975,MATCH(Paramètres!N52,Paramètres!$G$5:$G$57,0)))+IF(RIGHT(TRIM(Paramètres!O52),3)="Fin",1-$H970,IF(LEFT(TRIM(Paramètres!O52),1)="F",1,0)))))))</f>
        <v/>
      </c>
      <c r="F970" s="19">
        <f>IF($A970="","",E970+$H970-1)</f>
        <v/>
      </c>
      <c r="G970" s="18" t="n"/>
      <c r="H970" s="18">
        <f>IF($A970="","",IF(I970&lt;&gt;"",I970,Paramètres!B52))</f>
        <v/>
      </c>
      <c r="I970" s="18" t="n"/>
    </row>
    <row r="971">
      <c r="A971" s="18">
        <f>IF(ISNUMBER(Dossiers!$D$21),Dossiers!$A$21&amp;" · "&amp;Dossiers!$B$21,"")</f>
        <v/>
      </c>
      <c r="B971" s="18">
        <f>IF($A971="","",Paramètres!G53)</f>
        <v/>
      </c>
      <c r="C971" s="18">
        <f>IF($A971="","",IF(Paramètres!H53="","",Paramètres!H53))</f>
        <v/>
      </c>
      <c r="D971" s="18">
        <f>IF($A971="","",IF(Paramètres!I53="","",Paramètres!I53))</f>
        <v/>
      </c>
      <c r="E971" s="19">
        <f>IF($A971="","",IF(Paramètres!J53&amp;Paramètres!L53&amp;Paramètres!N53="",Dossiers!$D$21,MAX(IF(Paramètres!J53="",0,IF(Paramètres!K53="",NA(),IF(LEFT(TRIM(Paramètres!K53),1)="F",INDEX($F$923:$F$975,MATCH(Paramètres!J53,Paramètres!$G$5:$G$57,0)),INDEX($E$923:$E$975,MATCH(Paramètres!J53,Paramètres!$G$5:$G$57,0)))+IF(RIGHT(TRIM(Paramètres!K53),3)="Fin",1-$H971,IF(LEFT(TRIM(Paramètres!K53),1)="F",1,0)))),IF(Paramètres!L53="",0,IF(Paramètres!M53="",NA(),IF(LEFT(TRIM(Paramètres!M53),1)="F",INDEX($F$923:$F$975,MATCH(Paramètres!L53,Paramètres!$G$5:$G$57,0)),INDEX($E$923:$E$975,MATCH(Paramètres!L53,Paramètres!$G$5:$G$57,0)))+IF(RIGHT(TRIM(Paramètres!M53),3)="Fin",1-$H971,IF(LEFT(TRIM(Paramètres!M53),1)="F",1,0)))),IF(Paramètres!N53="",0,IF(Paramètres!O53="",NA(),IF(LEFT(TRIM(Paramètres!O53),1)="F",INDEX($F$923:$F$975,MATCH(Paramètres!N53,Paramètres!$G$5:$G$57,0)),INDEX($E$923:$E$975,MATCH(Paramètres!N53,Paramètres!$G$5:$G$57,0)))+IF(RIGHT(TRIM(Paramètres!O53),3)="Fin",1-$H971,IF(LEFT(TRIM(Paramètres!O53),1)="F",1,0)))))))</f>
        <v/>
      </c>
      <c r="F971" s="19">
        <f>IF($A971="","",E971+$H971-1)</f>
        <v/>
      </c>
      <c r="G971" s="18" t="n"/>
      <c r="H971" s="18">
        <f>IF($A971="","",IF(I971&lt;&gt;"",I971,Paramètres!B53))</f>
        <v/>
      </c>
      <c r="I971" s="18" t="n"/>
    </row>
    <row r="972">
      <c r="A972" s="18">
        <f>IF(ISNUMBER(Dossiers!$D$21),Dossiers!$A$21&amp;" · "&amp;Dossiers!$B$21,"")</f>
        <v/>
      </c>
      <c r="B972" s="18">
        <f>IF($A972="","",Paramètres!G54)</f>
        <v/>
      </c>
      <c r="C972" s="18">
        <f>IF($A972="","",IF(Paramètres!H54="","",Paramètres!H54))</f>
        <v/>
      </c>
      <c r="D972" s="18">
        <f>IF($A972="","",IF(Paramètres!I54="","",Paramètres!I54))</f>
        <v/>
      </c>
      <c r="E972" s="19">
        <f>IF($A972="","",IF(Paramètres!J54&amp;Paramètres!L54&amp;Paramètres!N54="",Dossiers!$D$21,MAX(IF(Paramètres!J54="",0,IF(Paramètres!K54="",NA(),IF(LEFT(TRIM(Paramètres!K54),1)="F",INDEX($F$923:$F$975,MATCH(Paramètres!J54,Paramètres!$G$5:$G$57,0)),INDEX($E$923:$E$975,MATCH(Paramètres!J54,Paramètres!$G$5:$G$57,0)))+IF(RIGHT(TRIM(Paramètres!K54),3)="Fin",1-$H972,IF(LEFT(TRIM(Paramètres!K54),1)="F",1,0)))),IF(Paramètres!L54="",0,IF(Paramètres!M54="",NA(),IF(LEFT(TRIM(Paramètres!M54),1)="F",INDEX($F$923:$F$975,MATCH(Paramètres!L54,Paramètres!$G$5:$G$57,0)),INDEX($E$923:$E$975,MATCH(Paramètres!L54,Paramètres!$G$5:$G$57,0)))+IF(RIGHT(TRIM(Paramètres!M54),3)="Fin",1-$H972,IF(LEFT(TRIM(Paramètres!M54),1)="F",1,0)))),IF(Paramètres!N54="",0,IF(Paramètres!O54="",NA(),IF(LEFT(TRIM(Paramètres!O54),1)="F",INDEX($F$923:$F$975,MATCH(Paramètres!N54,Paramètres!$G$5:$G$57,0)),INDEX($E$923:$E$975,MATCH(Paramètres!N54,Paramètres!$G$5:$G$57,0)))+IF(RIGHT(TRIM(Paramètres!O54),3)="Fin",1-$H972,IF(LEFT(TRIM(Paramètres!O54),1)="F",1,0)))))))</f>
        <v/>
      </c>
      <c r="F972" s="19">
        <f>IF($A972="","",E972+$H972-1)</f>
        <v/>
      </c>
      <c r="G972" s="18" t="n"/>
      <c r="H972" s="18">
        <f>IF($A972="","",IF(I972&lt;&gt;"",I972,Paramètres!B54))</f>
        <v/>
      </c>
      <c r="I972" s="18" t="n"/>
    </row>
    <row r="973">
      <c r="A973" s="18">
        <f>IF(ISNUMBER(Dossiers!$D$21),Dossiers!$A$21&amp;" · "&amp;Dossiers!$B$21,"")</f>
        <v/>
      </c>
      <c r="B973" s="18">
        <f>IF($A973="","",Paramètres!G55)</f>
        <v/>
      </c>
      <c r="C973" s="18">
        <f>IF($A973="","",IF(Paramètres!H55="","",Paramètres!H55))</f>
        <v/>
      </c>
      <c r="D973" s="18">
        <f>IF($A973="","",IF(Paramètres!I55="","",Paramètres!I55))</f>
        <v/>
      </c>
      <c r="E973" s="19">
        <f>IF($A973="","",IF(Paramètres!J55&amp;Paramètres!L55&amp;Paramètres!N55="",Dossiers!$D$21,MAX(IF(Paramètres!J55="",0,IF(Paramètres!K55="",NA(),IF(LEFT(TRIM(Paramètres!K55),1)="F",INDEX($F$923:$F$975,MATCH(Paramètres!J55,Paramètres!$G$5:$G$57,0)),INDEX($E$923:$E$975,MATCH(Paramètres!J55,Paramètres!$G$5:$G$57,0)))+IF(RIGHT(TRIM(Paramètres!K55),3)="Fin",1-$H973,IF(LEFT(TRIM(Paramètres!K55),1)="F",1,0)))),IF(Paramètres!L55="",0,IF(Paramètres!M55="",NA(),IF(LEFT(TRIM(Paramètres!M55),1)="F",INDEX($F$923:$F$975,MATCH(Paramètres!L55,Paramètres!$G$5:$G$57,0)),INDEX($E$923:$E$975,MATCH(Paramètres!L55,Paramètres!$G$5:$G$57,0)))+IF(RIGHT(TRIM(Paramètres!M55),3)="Fin",1-$H973,IF(LEFT(TRIM(Paramètres!M55),1)="F",1,0)))),IF(Paramètres!N55="",0,IF(Paramètres!O55="",NA(),IF(LEFT(TRIM(Paramètres!O55),1)="F",INDEX($F$923:$F$975,MATCH(Paramètres!N55,Paramètres!$G$5:$G$57,0)),INDEX($E$923:$E$975,MATCH(Paramètres!N55,Paramètres!$G$5:$G$57,0)))+IF(RIGHT(TRIM(Paramètres!O55),3)="Fin",1-$H973,IF(LEFT(TRIM(Paramètres!O55),1)="F",1,0)))))))</f>
        <v/>
      </c>
      <c r="F973" s="19">
        <f>IF($A973="","",E973+$H973-1)</f>
        <v/>
      </c>
      <c r="G973" s="18" t="n"/>
      <c r="H973" s="18">
        <f>IF($A973="","",IF(I973&lt;&gt;"",I973,Paramètres!B55))</f>
        <v/>
      </c>
      <c r="I973" s="18" t="n"/>
    </row>
    <row r="974">
      <c r="A974" s="18">
        <f>IF(ISNUMBER(Dossiers!$D$21),Dossiers!$A$21&amp;" · "&amp;Dossiers!$B$21,"")</f>
        <v/>
      </c>
      <c r="B974" s="18">
        <f>IF($A974="","",Paramètres!G56)</f>
        <v/>
      </c>
      <c r="C974" s="18">
        <f>IF($A974="","",IF(Paramètres!H56="","",Paramètres!H56))</f>
        <v/>
      </c>
      <c r="D974" s="18">
        <f>IF($A974="","",IF(Paramètres!I56="","",Paramètres!I56))</f>
        <v/>
      </c>
      <c r="E974" s="19">
        <f>IF($A974="","",MIN(E975:E975))</f>
        <v/>
      </c>
      <c r="F974" s="19">
        <f>IF($A974="","",MAX(F975:F975))</f>
        <v/>
      </c>
      <c r="G974" s="18" t="n"/>
      <c r="H974" s="18">
        <f>IF($A974="","",F974-E974+1)</f>
        <v/>
      </c>
      <c r="I974" s="18" t="n"/>
    </row>
    <row r="975">
      <c r="A975" s="18">
        <f>IF(ISNUMBER(Dossiers!$D$21),Dossiers!$A$21&amp;" · "&amp;Dossiers!$B$21,"")</f>
        <v/>
      </c>
      <c r="B975" s="18">
        <f>IF($A975="","",Paramètres!G57)</f>
        <v/>
      </c>
      <c r="C975" s="18">
        <f>IF($A975="","",IF(Paramètres!H57="","",Paramètres!H57))</f>
        <v/>
      </c>
      <c r="D975" s="18">
        <f>IF($A975="","",IF(Paramètres!I57="","",Paramètres!I57))</f>
        <v/>
      </c>
      <c r="E975" s="19">
        <f>IF($A975="","",IF(Paramètres!J57&amp;Paramètres!L57&amp;Paramètres!N57="",Dossiers!$D$21,MAX(IF(Paramètres!J57="",0,IF(Paramètres!K57="",NA(),IF(LEFT(TRIM(Paramètres!K57),1)="F",INDEX($F$923:$F$975,MATCH(Paramètres!J57,Paramètres!$G$5:$G$57,0)),INDEX($E$923:$E$975,MATCH(Paramètres!J57,Paramètres!$G$5:$G$57,0)))+IF(RIGHT(TRIM(Paramètres!K57),3)="Fin",1-$H975,IF(LEFT(TRIM(Paramètres!K57),1)="F",1,0)))),IF(Paramètres!L57="",0,IF(Paramètres!M57="",NA(),IF(LEFT(TRIM(Paramètres!M57),1)="F",INDEX($F$923:$F$975,MATCH(Paramètres!L57,Paramètres!$G$5:$G$57,0)),INDEX($E$923:$E$975,MATCH(Paramètres!L57,Paramètres!$G$5:$G$57,0)))+IF(RIGHT(TRIM(Paramètres!M57),3)="Fin",1-$H975,IF(LEFT(TRIM(Paramètres!M57),1)="F",1,0)))),IF(Paramètres!N57="",0,IF(Paramètres!O57="",NA(),IF(LEFT(TRIM(Paramètres!O57),1)="F",INDEX($F$923:$F$975,MATCH(Paramètres!N57,Paramètres!$G$5:$G$57,0)),INDEX($E$923:$E$975,MATCH(Paramètres!N57,Paramètres!$G$5:$G$57,0)))+IF(RIGHT(TRIM(Paramètres!O57),3)="Fin",1-$H975,IF(LEFT(TRIM(Paramètres!O57),1)="F",1,0)))))))</f>
        <v/>
      </c>
      <c r="F975" s="19">
        <f>IF($A975="","",E975+$H975-1)</f>
        <v/>
      </c>
      <c r="G975" s="18" t="n"/>
      <c r="H975" s="18">
        <f>IF($A975="","",IF(I975&lt;&gt;"",I975,Paramètres!B57))</f>
        <v/>
      </c>
      <c r="I975" s="18" t="n"/>
    </row>
    <row r="976">
      <c r="A976" s="16">
        <f>IF(ISNUMBER(Dossiers!$D$22),Dossiers!$E$22,"")</f>
        <v/>
      </c>
      <c r="B976" s="16">
        <f>IF($A976="","","Identifiant")</f>
        <v/>
      </c>
      <c r="C976" s="16">
        <f>IF($A976="","","Macro Etape")</f>
        <v/>
      </c>
      <c r="D976" s="16">
        <f>IF($A976="","","Etape")</f>
        <v/>
      </c>
      <c r="E976" s="17">
        <f>IF($A976="","","Début le")</f>
        <v/>
      </c>
      <c r="F976" s="17">
        <f>IF($A976="","","Fin prévue le")</f>
        <v/>
      </c>
      <c r="G976" s="16">
        <f>IF($A976="","","Statut")</f>
        <v/>
      </c>
      <c r="H976" s="16">
        <f>IF($A976="","","Durée (jours)")</f>
        <v/>
      </c>
      <c r="I976" s="16">
        <f>IF($A976="","","Durée particulière")</f>
        <v/>
      </c>
      <c r="J976" s="10">
        <f>IF($A976="","",HYPERLINK("#'Tableau de bord'!A1","↑ Tableau de bord"))</f>
        <v/>
      </c>
    </row>
    <row r="977">
      <c r="A977" s="18">
        <f>IF(ISNUMBER(Dossiers!$D$22),Dossiers!$A$22&amp;" · "&amp;Dossiers!$B$22,"")</f>
        <v/>
      </c>
      <c r="B977" s="18">
        <f>IF($A977="","",Paramètres!G5)</f>
        <v/>
      </c>
      <c r="C977" s="18">
        <f>IF($A977="","",IF(Paramètres!H5="","",Paramètres!H5))</f>
        <v/>
      </c>
      <c r="D977" s="18">
        <f>IF($A977="","",IF(Paramètres!I5="","",Paramètres!I5))</f>
        <v/>
      </c>
      <c r="E977" s="19">
        <f>IF($A977="","",MIN(E978:E981))</f>
        <v/>
      </c>
      <c r="F977" s="19">
        <f>IF($A977="","",MAX(F978:F981))</f>
        <v/>
      </c>
      <c r="G977" s="18" t="n"/>
      <c r="H977" s="18">
        <f>IF($A977="","",F977-E977+1)</f>
        <v/>
      </c>
      <c r="I977" s="18" t="n"/>
    </row>
    <row r="978">
      <c r="A978" s="18">
        <f>IF(ISNUMBER(Dossiers!$D$22),Dossiers!$A$22&amp;" · "&amp;Dossiers!$B$22,"")</f>
        <v/>
      </c>
      <c r="B978" s="18">
        <f>IF($A978="","",Paramètres!G6)</f>
        <v/>
      </c>
      <c r="C978" s="18">
        <f>IF($A978="","",IF(Paramètres!H6="","",Paramètres!H6))</f>
        <v/>
      </c>
      <c r="D978" s="18">
        <f>IF($A978="","",IF(Paramètres!I6="","",Paramètres!I6))</f>
        <v/>
      </c>
      <c r="E978" s="19">
        <f>IF($A978="","",IF(Paramètres!J6&amp;Paramètres!L6&amp;Paramètres!N6="",Dossiers!$D$22,MAX(IF(Paramètres!J6="",0,IF(Paramètres!K6="",NA(),IF(LEFT(TRIM(Paramètres!K6),1)="F",INDEX($F$977:$F$1029,MATCH(Paramètres!J6,Paramètres!$G$5:$G$57,0)),INDEX($E$977:$E$1029,MATCH(Paramètres!J6,Paramètres!$G$5:$G$57,0)))+IF(RIGHT(TRIM(Paramètres!K6),3)="Fin",1-$H978,IF(LEFT(TRIM(Paramètres!K6),1)="F",1,0)))),IF(Paramètres!L6="",0,IF(Paramètres!M6="",NA(),IF(LEFT(TRIM(Paramètres!M6),1)="F",INDEX($F$977:$F$1029,MATCH(Paramètres!L6,Paramètres!$G$5:$G$57,0)),INDEX($E$977:$E$1029,MATCH(Paramètres!L6,Paramètres!$G$5:$G$57,0)))+IF(RIGHT(TRIM(Paramètres!M6),3)="Fin",1-$H978,IF(LEFT(TRIM(Paramètres!M6),1)="F",1,0)))),IF(Paramètres!N6="",0,IF(Paramètres!O6="",NA(),IF(LEFT(TRIM(Paramètres!O6),1)="F",INDEX($F$977:$F$1029,MATCH(Paramètres!N6,Paramètres!$G$5:$G$57,0)),INDEX($E$977:$E$1029,MATCH(Paramètres!N6,Paramètres!$G$5:$G$57,0)))+IF(RIGHT(TRIM(Paramètres!O6),3)="Fin",1-$H978,IF(LEFT(TRIM(Paramètres!O6),1)="F",1,0)))))))</f>
        <v/>
      </c>
      <c r="F978" s="19">
        <f>IF($A978="","",E978+$H978-1)</f>
        <v/>
      </c>
      <c r="G978" s="18" t="n"/>
      <c r="H978" s="18">
        <f>IF($A978="","",IF(I978&lt;&gt;"",I978,Paramètres!B6))</f>
        <v/>
      </c>
      <c r="I978" s="18" t="n"/>
    </row>
    <row r="979">
      <c r="A979" s="18">
        <f>IF(ISNUMBER(Dossiers!$D$22),Dossiers!$A$22&amp;" · "&amp;Dossiers!$B$22,"")</f>
        <v/>
      </c>
      <c r="B979" s="18">
        <f>IF($A979="","",Paramètres!G7)</f>
        <v/>
      </c>
      <c r="C979" s="18">
        <f>IF($A979="","",IF(Paramètres!H7="","",Paramètres!H7))</f>
        <v/>
      </c>
      <c r="D979" s="18">
        <f>IF($A979="","",IF(Paramètres!I7="","",Paramètres!I7))</f>
        <v/>
      </c>
      <c r="E979" s="19">
        <f>IF($A979="","",IF(Paramètres!J7&amp;Paramètres!L7&amp;Paramètres!N7="",Dossiers!$D$22,MAX(IF(Paramètres!J7="",0,IF(Paramètres!K7="",NA(),IF(LEFT(TRIM(Paramètres!K7),1)="F",INDEX($F$977:$F$1029,MATCH(Paramètres!J7,Paramètres!$G$5:$G$57,0)),INDEX($E$977:$E$1029,MATCH(Paramètres!J7,Paramètres!$G$5:$G$57,0)))+IF(RIGHT(TRIM(Paramètres!K7),3)="Fin",1-$H979,IF(LEFT(TRIM(Paramètres!K7),1)="F",1,0)))),IF(Paramètres!L7="",0,IF(Paramètres!M7="",NA(),IF(LEFT(TRIM(Paramètres!M7),1)="F",INDEX($F$977:$F$1029,MATCH(Paramètres!L7,Paramètres!$G$5:$G$57,0)),INDEX($E$977:$E$1029,MATCH(Paramètres!L7,Paramètres!$G$5:$G$57,0)))+IF(RIGHT(TRIM(Paramètres!M7),3)="Fin",1-$H979,IF(LEFT(TRIM(Paramètres!M7),1)="F",1,0)))),IF(Paramètres!N7="",0,IF(Paramètres!O7="",NA(),IF(LEFT(TRIM(Paramètres!O7),1)="F",INDEX($F$977:$F$1029,MATCH(Paramètres!N7,Paramètres!$G$5:$G$57,0)),INDEX($E$977:$E$1029,MATCH(Paramètres!N7,Paramètres!$G$5:$G$57,0)))+IF(RIGHT(TRIM(Paramètres!O7),3)="Fin",1-$H979,IF(LEFT(TRIM(Paramètres!O7),1)="F",1,0)))))))</f>
        <v/>
      </c>
      <c r="F979" s="19">
        <f>IF($A979="","",E979+$H979-1)</f>
        <v/>
      </c>
      <c r="G979" s="18" t="n"/>
      <c r="H979" s="18">
        <f>IF($A979="","",IF(I979&lt;&gt;"",I979,Paramètres!B7))</f>
        <v/>
      </c>
      <c r="I979" s="18" t="n"/>
    </row>
    <row r="980">
      <c r="A980" s="18">
        <f>IF(ISNUMBER(Dossiers!$D$22),Dossiers!$A$22&amp;" · "&amp;Dossiers!$B$22,"")</f>
        <v/>
      </c>
      <c r="B980" s="18">
        <f>IF($A980="","",Paramètres!G8)</f>
        <v/>
      </c>
      <c r="C980" s="18">
        <f>IF($A980="","",IF(Paramètres!H8="","",Paramètres!H8))</f>
        <v/>
      </c>
      <c r="D980" s="18">
        <f>IF($A980="","",IF(Paramètres!I8="","",Paramètres!I8))</f>
        <v/>
      </c>
      <c r="E980" s="19">
        <f>IF($A980="","",IF(Paramètres!J8&amp;Paramètres!L8&amp;Paramètres!N8="",Dossiers!$D$22,MAX(IF(Paramètres!J8="",0,IF(Paramètres!K8="",NA(),IF(LEFT(TRIM(Paramètres!K8),1)="F",INDEX($F$977:$F$1029,MATCH(Paramètres!J8,Paramètres!$G$5:$G$57,0)),INDEX($E$977:$E$1029,MATCH(Paramètres!J8,Paramètres!$G$5:$G$57,0)))+IF(RIGHT(TRIM(Paramètres!K8),3)="Fin",1-$H980,IF(LEFT(TRIM(Paramètres!K8),1)="F",1,0)))),IF(Paramètres!L8="",0,IF(Paramètres!M8="",NA(),IF(LEFT(TRIM(Paramètres!M8),1)="F",INDEX($F$977:$F$1029,MATCH(Paramètres!L8,Paramètres!$G$5:$G$57,0)),INDEX($E$977:$E$1029,MATCH(Paramètres!L8,Paramètres!$G$5:$G$57,0)))+IF(RIGHT(TRIM(Paramètres!M8),3)="Fin",1-$H980,IF(LEFT(TRIM(Paramètres!M8),1)="F",1,0)))),IF(Paramètres!N8="",0,IF(Paramètres!O8="",NA(),IF(LEFT(TRIM(Paramètres!O8),1)="F",INDEX($F$977:$F$1029,MATCH(Paramètres!N8,Paramètres!$G$5:$G$57,0)),INDEX($E$977:$E$1029,MATCH(Paramètres!N8,Paramètres!$G$5:$G$57,0)))+IF(RIGHT(TRIM(Paramètres!O8),3)="Fin",1-$H980,IF(LEFT(TRIM(Paramètres!O8),1)="F",1,0)))))))</f>
        <v/>
      </c>
      <c r="F980" s="19">
        <f>IF($A980="","",E980+$H980-1)</f>
        <v/>
      </c>
      <c r="G980" s="18" t="n"/>
      <c r="H980" s="18">
        <f>IF($A980="","",IF(I980&lt;&gt;"",I980,Paramètres!B8))</f>
        <v/>
      </c>
      <c r="I980" s="18" t="n"/>
    </row>
    <row r="981">
      <c r="A981" s="18">
        <f>IF(ISNUMBER(Dossiers!$D$22),Dossiers!$A$22&amp;" · "&amp;Dossiers!$B$22,"")</f>
        <v/>
      </c>
      <c r="B981" s="18">
        <f>IF($A981="","",Paramètres!G9)</f>
        <v/>
      </c>
      <c r="C981" s="18">
        <f>IF($A981="","",IF(Paramètres!H9="","",Paramètres!H9))</f>
        <v/>
      </c>
      <c r="D981" s="18">
        <f>IF($A981="","",IF(Paramètres!I9="","",Paramètres!I9))</f>
        <v/>
      </c>
      <c r="E981" s="19">
        <f>IF($A981="","",IF(Paramètres!J9&amp;Paramètres!L9&amp;Paramètres!N9="",Dossiers!$D$22,MAX(IF(Paramètres!J9="",0,IF(Paramètres!K9="",NA(),IF(LEFT(TRIM(Paramètres!K9),1)="F",INDEX($F$977:$F$1029,MATCH(Paramètres!J9,Paramètres!$G$5:$G$57,0)),INDEX($E$977:$E$1029,MATCH(Paramètres!J9,Paramètres!$G$5:$G$57,0)))+IF(RIGHT(TRIM(Paramètres!K9),3)="Fin",1-$H981,IF(LEFT(TRIM(Paramètres!K9),1)="F",1,0)))),IF(Paramètres!L9="",0,IF(Paramètres!M9="",NA(),IF(LEFT(TRIM(Paramètres!M9),1)="F",INDEX($F$977:$F$1029,MATCH(Paramètres!L9,Paramètres!$G$5:$G$57,0)),INDEX($E$977:$E$1029,MATCH(Paramètres!L9,Paramètres!$G$5:$G$57,0)))+IF(RIGHT(TRIM(Paramètres!M9),3)="Fin",1-$H981,IF(LEFT(TRIM(Paramètres!M9),1)="F",1,0)))),IF(Paramètres!N9="",0,IF(Paramètres!O9="",NA(),IF(LEFT(TRIM(Paramètres!O9),1)="F",INDEX($F$977:$F$1029,MATCH(Paramètres!N9,Paramètres!$G$5:$G$57,0)),INDEX($E$977:$E$1029,MATCH(Paramètres!N9,Paramètres!$G$5:$G$57,0)))+IF(RIGHT(TRIM(Paramètres!O9),3)="Fin",1-$H981,IF(LEFT(TRIM(Paramètres!O9),1)="F",1,0)))))))</f>
        <v/>
      </c>
      <c r="F981" s="19">
        <f>IF($A981="","",E981+$H981-1)</f>
        <v/>
      </c>
      <c r="G981" s="18" t="n"/>
      <c r="H981" s="18">
        <f>IF($A981="","",IF(I981&lt;&gt;"",I981,Paramètres!B9))</f>
        <v/>
      </c>
      <c r="I981" s="18" t="n"/>
    </row>
    <row r="982">
      <c r="A982" s="18">
        <f>IF(ISNUMBER(Dossiers!$D$22),Dossiers!$A$22&amp;" · "&amp;Dossiers!$B$22,"")</f>
        <v/>
      </c>
      <c r="B982" s="18">
        <f>IF($A982="","",Paramètres!G10)</f>
        <v/>
      </c>
      <c r="C982" s="18">
        <f>IF($A982="","",IF(Paramètres!H10="","",Paramètres!H10))</f>
        <v/>
      </c>
      <c r="D982" s="18">
        <f>IF($A982="","",IF(Paramètres!I10="","",Paramètres!I10))</f>
        <v/>
      </c>
      <c r="E982" s="19">
        <f>IF($A982="","",MIN(E983:E986))</f>
        <v/>
      </c>
      <c r="F982" s="19">
        <f>IF($A982="","",MAX(F983:F986))</f>
        <v/>
      </c>
      <c r="G982" s="18" t="n"/>
      <c r="H982" s="18">
        <f>IF($A982="","",F982-E982+1)</f>
        <v/>
      </c>
      <c r="I982" s="18" t="n"/>
    </row>
    <row r="983">
      <c r="A983" s="18">
        <f>IF(ISNUMBER(Dossiers!$D$22),Dossiers!$A$22&amp;" · "&amp;Dossiers!$B$22,"")</f>
        <v/>
      </c>
      <c r="B983" s="18">
        <f>IF($A983="","",Paramètres!G11)</f>
        <v/>
      </c>
      <c r="C983" s="18">
        <f>IF($A983="","",IF(Paramètres!H11="","",Paramètres!H11))</f>
        <v/>
      </c>
      <c r="D983" s="18">
        <f>IF($A983="","",IF(Paramètres!I11="","",Paramètres!I11))</f>
        <v/>
      </c>
      <c r="E983" s="19">
        <f>IF($A983="","",IF(Paramètres!J11&amp;Paramètres!L11&amp;Paramètres!N11="",Dossiers!$D$22,MAX(IF(Paramètres!J11="",0,IF(Paramètres!K11="",NA(),IF(LEFT(TRIM(Paramètres!K11),1)="F",INDEX($F$977:$F$1029,MATCH(Paramètres!J11,Paramètres!$G$5:$G$57,0)),INDEX($E$977:$E$1029,MATCH(Paramètres!J11,Paramètres!$G$5:$G$57,0)))+IF(RIGHT(TRIM(Paramètres!K11),3)="Fin",1-$H983,IF(LEFT(TRIM(Paramètres!K11),1)="F",1,0)))),IF(Paramètres!L11="",0,IF(Paramètres!M11="",NA(),IF(LEFT(TRIM(Paramètres!M11),1)="F",INDEX($F$977:$F$1029,MATCH(Paramètres!L11,Paramètres!$G$5:$G$57,0)),INDEX($E$977:$E$1029,MATCH(Paramètres!L11,Paramètres!$G$5:$G$57,0)))+IF(RIGHT(TRIM(Paramètres!M11),3)="Fin",1-$H983,IF(LEFT(TRIM(Paramètres!M11),1)="F",1,0)))),IF(Paramètres!N11="",0,IF(Paramètres!O11="",NA(),IF(LEFT(TRIM(Paramètres!O11),1)="F",INDEX($F$977:$F$1029,MATCH(Paramètres!N11,Paramètres!$G$5:$G$57,0)),INDEX($E$977:$E$1029,MATCH(Paramètres!N11,Paramètres!$G$5:$G$57,0)))+IF(RIGHT(TRIM(Paramètres!O11),3)="Fin",1-$H983,IF(LEFT(TRIM(Paramètres!O11),1)="F",1,0)))))))</f>
        <v/>
      </c>
      <c r="F983" s="19">
        <f>IF($A983="","",E983+$H983-1)</f>
        <v/>
      </c>
      <c r="G983" s="18" t="n"/>
      <c r="H983" s="18">
        <f>IF($A983="","",IF(I983&lt;&gt;"",I983,Paramètres!B11))</f>
        <v/>
      </c>
      <c r="I983" s="18" t="n"/>
    </row>
    <row r="984">
      <c r="A984" s="18">
        <f>IF(ISNUMBER(Dossiers!$D$22),Dossiers!$A$22&amp;" · "&amp;Dossiers!$B$22,"")</f>
        <v/>
      </c>
      <c r="B984" s="18">
        <f>IF($A984="","",Paramètres!G12)</f>
        <v/>
      </c>
      <c r="C984" s="18">
        <f>IF($A984="","",IF(Paramètres!H12="","",Paramètres!H12))</f>
        <v/>
      </c>
      <c r="D984" s="18">
        <f>IF($A984="","",IF(Paramètres!I12="","",Paramètres!I12))</f>
        <v/>
      </c>
      <c r="E984" s="19">
        <f>IF($A984="","",IF(Paramètres!J12&amp;Paramètres!L12&amp;Paramètres!N12="",Dossiers!$D$22,MAX(IF(Paramètres!J12="",0,IF(Paramètres!K12="",NA(),IF(LEFT(TRIM(Paramètres!K12),1)="F",INDEX($F$977:$F$1029,MATCH(Paramètres!J12,Paramètres!$G$5:$G$57,0)),INDEX($E$977:$E$1029,MATCH(Paramètres!J12,Paramètres!$G$5:$G$57,0)))+IF(RIGHT(TRIM(Paramètres!K12),3)="Fin",1-$H984,IF(LEFT(TRIM(Paramètres!K12),1)="F",1,0)))),IF(Paramètres!L12="",0,IF(Paramètres!M12="",NA(),IF(LEFT(TRIM(Paramètres!M12),1)="F",INDEX($F$977:$F$1029,MATCH(Paramètres!L12,Paramètres!$G$5:$G$57,0)),INDEX($E$977:$E$1029,MATCH(Paramètres!L12,Paramètres!$G$5:$G$57,0)))+IF(RIGHT(TRIM(Paramètres!M12),3)="Fin",1-$H984,IF(LEFT(TRIM(Paramètres!M12),1)="F",1,0)))),IF(Paramètres!N12="",0,IF(Paramètres!O12="",NA(),IF(LEFT(TRIM(Paramètres!O12),1)="F",INDEX($F$977:$F$1029,MATCH(Paramètres!N12,Paramètres!$G$5:$G$57,0)),INDEX($E$977:$E$1029,MATCH(Paramètres!N12,Paramètres!$G$5:$G$57,0)))+IF(RIGHT(TRIM(Paramètres!O12),3)="Fin",1-$H984,IF(LEFT(TRIM(Paramètres!O12),1)="F",1,0)))))))</f>
        <v/>
      </c>
      <c r="F984" s="19">
        <f>IF($A984="","",E984+$H984-1)</f>
        <v/>
      </c>
      <c r="G984" s="18" t="n"/>
      <c r="H984" s="18">
        <f>IF($A984="","",IF(I984&lt;&gt;"",I984,Paramètres!B12))</f>
        <v/>
      </c>
      <c r="I984" s="18" t="n"/>
    </row>
    <row r="985">
      <c r="A985" s="18">
        <f>IF(ISNUMBER(Dossiers!$D$22),Dossiers!$A$22&amp;" · "&amp;Dossiers!$B$22,"")</f>
        <v/>
      </c>
      <c r="B985" s="18">
        <f>IF($A985="","",Paramètres!G13)</f>
        <v/>
      </c>
      <c r="C985" s="18">
        <f>IF($A985="","",IF(Paramètres!H13="","",Paramètres!H13))</f>
        <v/>
      </c>
      <c r="D985" s="18">
        <f>IF($A985="","",IF(Paramètres!I13="","",Paramètres!I13))</f>
        <v/>
      </c>
      <c r="E985" s="19">
        <f>IF($A985="","",IF(Paramètres!J13&amp;Paramètres!L13&amp;Paramètres!N13="",Dossiers!$D$22,MAX(IF(Paramètres!J13="",0,IF(Paramètres!K13="",NA(),IF(LEFT(TRIM(Paramètres!K13),1)="F",INDEX($F$977:$F$1029,MATCH(Paramètres!J13,Paramètres!$G$5:$G$57,0)),INDEX($E$977:$E$1029,MATCH(Paramètres!J13,Paramètres!$G$5:$G$57,0)))+IF(RIGHT(TRIM(Paramètres!K13),3)="Fin",1-$H985,IF(LEFT(TRIM(Paramètres!K13),1)="F",1,0)))),IF(Paramètres!L13="",0,IF(Paramètres!M13="",NA(),IF(LEFT(TRIM(Paramètres!M13),1)="F",INDEX($F$977:$F$1029,MATCH(Paramètres!L13,Paramètres!$G$5:$G$57,0)),INDEX($E$977:$E$1029,MATCH(Paramètres!L13,Paramètres!$G$5:$G$57,0)))+IF(RIGHT(TRIM(Paramètres!M13),3)="Fin",1-$H985,IF(LEFT(TRIM(Paramètres!M13),1)="F",1,0)))),IF(Paramètres!N13="",0,IF(Paramètres!O13="",NA(),IF(LEFT(TRIM(Paramètres!O13),1)="F",INDEX($F$977:$F$1029,MATCH(Paramètres!N13,Paramètres!$G$5:$G$57,0)),INDEX($E$977:$E$1029,MATCH(Paramètres!N13,Paramètres!$G$5:$G$57,0)))+IF(RIGHT(TRIM(Paramètres!O13),3)="Fin",1-$H985,IF(LEFT(TRIM(Paramètres!O13),1)="F",1,0)))))))</f>
        <v/>
      </c>
      <c r="F985" s="19">
        <f>IF($A985="","",E985+$H985-1)</f>
        <v/>
      </c>
      <c r="G985" s="18" t="n"/>
      <c r="H985" s="18">
        <f>IF($A985="","",IF(I985&lt;&gt;"",I985,Paramètres!B13))</f>
        <v/>
      </c>
      <c r="I985" s="18" t="n"/>
    </row>
    <row r="986">
      <c r="A986" s="18">
        <f>IF(ISNUMBER(Dossiers!$D$22),Dossiers!$A$22&amp;" · "&amp;Dossiers!$B$22,"")</f>
        <v/>
      </c>
      <c r="B986" s="18">
        <f>IF($A986="","",Paramètres!G14)</f>
        <v/>
      </c>
      <c r="C986" s="18">
        <f>IF($A986="","",IF(Paramètres!H14="","",Paramètres!H14))</f>
        <v/>
      </c>
      <c r="D986" s="18">
        <f>IF($A986="","",IF(Paramètres!I14="","",Paramètres!I14))</f>
        <v/>
      </c>
      <c r="E986" s="19">
        <f>IF($A986="","",IF(Paramètres!J14&amp;Paramètres!L14&amp;Paramètres!N14="",Dossiers!$D$22,MAX(IF(Paramètres!J14="",0,IF(Paramètres!K14="",NA(),IF(LEFT(TRIM(Paramètres!K14),1)="F",INDEX($F$977:$F$1029,MATCH(Paramètres!J14,Paramètres!$G$5:$G$57,0)),INDEX($E$977:$E$1029,MATCH(Paramètres!J14,Paramètres!$G$5:$G$57,0)))+IF(RIGHT(TRIM(Paramètres!K14),3)="Fin",1-$H986,IF(LEFT(TRIM(Paramètres!K14),1)="F",1,0)))),IF(Paramètres!L14="",0,IF(Paramètres!M14="",NA(),IF(LEFT(TRIM(Paramètres!M14),1)="F",INDEX($F$977:$F$1029,MATCH(Paramètres!L14,Paramètres!$G$5:$G$57,0)),INDEX($E$977:$E$1029,MATCH(Paramètres!L14,Paramètres!$G$5:$G$57,0)))+IF(RIGHT(TRIM(Paramètres!M14),3)="Fin",1-$H986,IF(LEFT(TRIM(Paramètres!M14),1)="F",1,0)))),IF(Paramètres!N14="",0,IF(Paramètres!O14="",NA(),IF(LEFT(TRIM(Paramètres!O14),1)="F",INDEX($F$977:$F$1029,MATCH(Paramètres!N14,Paramètres!$G$5:$G$57,0)),INDEX($E$977:$E$1029,MATCH(Paramètres!N14,Paramètres!$G$5:$G$57,0)))+IF(RIGHT(TRIM(Paramètres!O14),3)="Fin",1-$H986,IF(LEFT(TRIM(Paramètres!O14),1)="F",1,0)))))))</f>
        <v/>
      </c>
      <c r="F986" s="19">
        <f>IF($A986="","",E986+$H986-1)</f>
        <v/>
      </c>
      <c r="G986" s="18" t="n"/>
      <c r="H986" s="18">
        <f>IF($A986="","",IF(I986&lt;&gt;"",I986,Paramètres!B14))</f>
        <v/>
      </c>
      <c r="I986" s="18" t="n"/>
    </row>
    <row r="987">
      <c r="A987" s="18">
        <f>IF(ISNUMBER(Dossiers!$D$22),Dossiers!$A$22&amp;" · "&amp;Dossiers!$B$22,"")</f>
        <v/>
      </c>
      <c r="B987" s="18">
        <f>IF($A987="","",Paramètres!G15)</f>
        <v/>
      </c>
      <c r="C987" s="18">
        <f>IF($A987="","",IF(Paramètres!H15="","",Paramètres!H15))</f>
        <v/>
      </c>
      <c r="D987" s="18">
        <f>IF($A987="","",IF(Paramètres!I15="","",Paramètres!I15))</f>
        <v/>
      </c>
      <c r="E987" s="19">
        <f>IF($A987="","",MIN(E988:E1003))</f>
        <v/>
      </c>
      <c r="F987" s="19">
        <f>IF($A987="","",MAX(F988:F1003))</f>
        <v/>
      </c>
      <c r="G987" s="18" t="n"/>
      <c r="H987" s="18">
        <f>IF($A987="","",F987-E987+1)</f>
        <v/>
      </c>
      <c r="I987" s="18" t="n"/>
    </row>
    <row r="988">
      <c r="A988" s="18">
        <f>IF(ISNUMBER(Dossiers!$D$22),Dossiers!$A$22&amp;" · "&amp;Dossiers!$B$22,"")</f>
        <v/>
      </c>
      <c r="B988" s="18">
        <f>IF($A988="","",Paramètres!G16)</f>
        <v/>
      </c>
      <c r="C988" s="18">
        <f>IF($A988="","",IF(Paramètres!H16="","",Paramètres!H16))</f>
        <v/>
      </c>
      <c r="D988" s="18">
        <f>IF($A988="","",IF(Paramètres!I16="","",Paramètres!I16))</f>
        <v/>
      </c>
      <c r="E988" s="19">
        <f>IF($A988="","",IF(Paramètres!J16&amp;Paramètres!L16&amp;Paramètres!N16="",Dossiers!$D$22,MAX(IF(Paramètres!J16="",0,IF(Paramètres!K16="",NA(),IF(LEFT(TRIM(Paramètres!K16),1)="F",INDEX($F$977:$F$1029,MATCH(Paramètres!J16,Paramètres!$G$5:$G$57,0)),INDEX($E$977:$E$1029,MATCH(Paramètres!J16,Paramètres!$G$5:$G$57,0)))+IF(RIGHT(TRIM(Paramètres!K16),3)="Fin",1-$H988,IF(LEFT(TRIM(Paramètres!K16),1)="F",1,0)))),IF(Paramètres!L16="",0,IF(Paramètres!M16="",NA(),IF(LEFT(TRIM(Paramètres!M16),1)="F",INDEX($F$977:$F$1029,MATCH(Paramètres!L16,Paramètres!$G$5:$G$57,0)),INDEX($E$977:$E$1029,MATCH(Paramètres!L16,Paramètres!$G$5:$G$57,0)))+IF(RIGHT(TRIM(Paramètres!M16),3)="Fin",1-$H988,IF(LEFT(TRIM(Paramètres!M16),1)="F",1,0)))),IF(Paramètres!N16="",0,IF(Paramètres!O16="",NA(),IF(LEFT(TRIM(Paramètres!O16),1)="F",INDEX($F$977:$F$1029,MATCH(Paramètres!N16,Paramètres!$G$5:$G$57,0)),INDEX($E$977:$E$1029,MATCH(Paramètres!N16,Paramètres!$G$5:$G$57,0)))+IF(RIGHT(TRIM(Paramètres!O16),3)="Fin",1-$H988,IF(LEFT(TRIM(Paramètres!O16),1)="F",1,0)))))))</f>
        <v/>
      </c>
      <c r="F988" s="19">
        <f>IF($A988="","",E988+$H988-1)</f>
        <v/>
      </c>
      <c r="G988" s="18" t="n"/>
      <c r="H988" s="18">
        <f>IF($A988="","",IF(I988&lt;&gt;"",I988,Paramètres!B16))</f>
        <v/>
      </c>
      <c r="I988" s="18" t="n"/>
    </row>
    <row r="989">
      <c r="A989" s="18">
        <f>IF(ISNUMBER(Dossiers!$D$22),Dossiers!$A$22&amp;" · "&amp;Dossiers!$B$22,"")</f>
        <v/>
      </c>
      <c r="B989" s="18">
        <f>IF($A989="","",Paramètres!G17)</f>
        <v/>
      </c>
      <c r="C989" s="18">
        <f>IF($A989="","",IF(Paramètres!H17="","",Paramètres!H17))</f>
        <v/>
      </c>
      <c r="D989" s="18">
        <f>IF($A989="","",IF(Paramètres!I17="","",Paramètres!I17))</f>
        <v/>
      </c>
      <c r="E989" s="19">
        <f>IF($A989="","",IF(Paramètres!J17&amp;Paramètres!L17&amp;Paramètres!N17="",Dossiers!$D$22,MAX(IF(Paramètres!J17="",0,IF(Paramètres!K17="",NA(),IF(LEFT(TRIM(Paramètres!K17),1)="F",INDEX($F$977:$F$1029,MATCH(Paramètres!J17,Paramètres!$G$5:$G$57,0)),INDEX($E$977:$E$1029,MATCH(Paramètres!J17,Paramètres!$G$5:$G$57,0)))+IF(RIGHT(TRIM(Paramètres!K17),3)="Fin",1-$H989,IF(LEFT(TRIM(Paramètres!K17),1)="F",1,0)))),IF(Paramètres!L17="",0,IF(Paramètres!M17="",NA(),IF(LEFT(TRIM(Paramètres!M17),1)="F",INDEX($F$977:$F$1029,MATCH(Paramètres!L17,Paramètres!$G$5:$G$57,0)),INDEX($E$977:$E$1029,MATCH(Paramètres!L17,Paramètres!$G$5:$G$57,0)))+IF(RIGHT(TRIM(Paramètres!M17),3)="Fin",1-$H989,IF(LEFT(TRIM(Paramètres!M17),1)="F",1,0)))),IF(Paramètres!N17="",0,IF(Paramètres!O17="",NA(),IF(LEFT(TRIM(Paramètres!O17),1)="F",INDEX($F$977:$F$1029,MATCH(Paramètres!N17,Paramètres!$G$5:$G$57,0)),INDEX($E$977:$E$1029,MATCH(Paramètres!N17,Paramètres!$G$5:$G$57,0)))+IF(RIGHT(TRIM(Paramètres!O17),3)="Fin",1-$H989,IF(LEFT(TRIM(Paramètres!O17),1)="F",1,0)))))))</f>
        <v/>
      </c>
      <c r="F989" s="19">
        <f>IF($A989="","",E989+$H989-1)</f>
        <v/>
      </c>
      <c r="G989" s="18" t="n"/>
      <c r="H989" s="18">
        <f>IF($A989="","",IF(I989&lt;&gt;"",I989,Paramètres!B17))</f>
        <v/>
      </c>
      <c r="I989" s="18" t="n"/>
    </row>
    <row r="990">
      <c r="A990" s="18">
        <f>IF(ISNUMBER(Dossiers!$D$22),Dossiers!$A$22&amp;" · "&amp;Dossiers!$B$22,"")</f>
        <v/>
      </c>
      <c r="B990" s="18">
        <f>IF($A990="","",Paramètres!G18)</f>
        <v/>
      </c>
      <c r="C990" s="18">
        <f>IF($A990="","",IF(Paramètres!H18="","",Paramètres!H18))</f>
        <v/>
      </c>
      <c r="D990" s="18">
        <f>IF($A990="","",IF(Paramètres!I18="","",Paramètres!I18))</f>
        <v/>
      </c>
      <c r="E990" s="19">
        <f>IF($A990="","",IF(Paramètres!J18&amp;Paramètres!L18&amp;Paramètres!N18="",Dossiers!$D$22,MAX(IF(Paramètres!J18="",0,IF(Paramètres!K18="",NA(),IF(LEFT(TRIM(Paramètres!K18),1)="F",INDEX($F$977:$F$1029,MATCH(Paramètres!J18,Paramètres!$G$5:$G$57,0)),INDEX($E$977:$E$1029,MATCH(Paramètres!J18,Paramètres!$G$5:$G$57,0)))+IF(RIGHT(TRIM(Paramètres!K18),3)="Fin",1-$H990,IF(LEFT(TRIM(Paramètres!K18),1)="F",1,0)))),IF(Paramètres!L18="",0,IF(Paramètres!M18="",NA(),IF(LEFT(TRIM(Paramètres!M18),1)="F",INDEX($F$977:$F$1029,MATCH(Paramètres!L18,Paramètres!$G$5:$G$57,0)),INDEX($E$977:$E$1029,MATCH(Paramètres!L18,Paramètres!$G$5:$G$57,0)))+IF(RIGHT(TRIM(Paramètres!M18),3)="Fin",1-$H990,IF(LEFT(TRIM(Paramètres!M18),1)="F",1,0)))),IF(Paramètres!N18="",0,IF(Paramètres!O18="",NA(),IF(LEFT(TRIM(Paramètres!O18),1)="F",INDEX($F$977:$F$1029,MATCH(Paramètres!N18,Paramètres!$G$5:$G$57,0)),INDEX($E$977:$E$1029,MATCH(Paramètres!N18,Paramètres!$G$5:$G$57,0)))+IF(RIGHT(TRIM(Paramètres!O18),3)="Fin",1-$H990,IF(LEFT(TRIM(Paramètres!O18),1)="F",1,0)))))))</f>
        <v/>
      </c>
      <c r="F990" s="19">
        <f>IF($A990="","",E990+$H990-1)</f>
        <v/>
      </c>
      <c r="G990" s="18" t="n"/>
      <c r="H990" s="18">
        <f>IF($A990="","",IF(I990&lt;&gt;"",I990,Paramètres!B18))</f>
        <v/>
      </c>
      <c r="I990" s="18" t="n"/>
    </row>
    <row r="991">
      <c r="A991" s="18">
        <f>IF(ISNUMBER(Dossiers!$D$22),Dossiers!$A$22&amp;" · "&amp;Dossiers!$B$22,"")</f>
        <v/>
      </c>
      <c r="B991" s="18">
        <f>IF($A991="","",Paramètres!G19)</f>
        <v/>
      </c>
      <c r="C991" s="18">
        <f>IF($A991="","",IF(Paramètres!H19="","",Paramètres!H19))</f>
        <v/>
      </c>
      <c r="D991" s="18">
        <f>IF($A991="","",IF(Paramètres!I19="","",Paramètres!I19))</f>
        <v/>
      </c>
      <c r="E991" s="19">
        <f>IF($A991="","",IF(Paramètres!J19&amp;Paramètres!L19&amp;Paramètres!N19="",Dossiers!$D$22,MAX(IF(Paramètres!J19="",0,IF(Paramètres!K19="",NA(),IF(LEFT(TRIM(Paramètres!K19),1)="F",INDEX($F$977:$F$1029,MATCH(Paramètres!J19,Paramètres!$G$5:$G$57,0)),INDEX($E$977:$E$1029,MATCH(Paramètres!J19,Paramètres!$G$5:$G$57,0)))+IF(RIGHT(TRIM(Paramètres!K19),3)="Fin",1-$H991,IF(LEFT(TRIM(Paramètres!K19),1)="F",1,0)))),IF(Paramètres!L19="",0,IF(Paramètres!M19="",NA(),IF(LEFT(TRIM(Paramètres!M19),1)="F",INDEX($F$977:$F$1029,MATCH(Paramètres!L19,Paramètres!$G$5:$G$57,0)),INDEX($E$977:$E$1029,MATCH(Paramètres!L19,Paramètres!$G$5:$G$57,0)))+IF(RIGHT(TRIM(Paramètres!M19),3)="Fin",1-$H991,IF(LEFT(TRIM(Paramètres!M19),1)="F",1,0)))),IF(Paramètres!N19="",0,IF(Paramètres!O19="",NA(),IF(LEFT(TRIM(Paramètres!O19),1)="F",INDEX($F$977:$F$1029,MATCH(Paramètres!N19,Paramètres!$G$5:$G$57,0)),INDEX($E$977:$E$1029,MATCH(Paramètres!N19,Paramètres!$G$5:$G$57,0)))+IF(RIGHT(TRIM(Paramètres!O19),3)="Fin",1-$H991,IF(LEFT(TRIM(Paramètres!O19),1)="F",1,0)))))))</f>
        <v/>
      </c>
      <c r="F991" s="19">
        <f>IF($A991="","",E991+$H991-1)</f>
        <v/>
      </c>
      <c r="G991" s="18" t="n"/>
      <c r="H991" s="18">
        <f>IF($A991="","",IF(I991&lt;&gt;"",I991,Paramètres!B19))</f>
        <v/>
      </c>
      <c r="I991" s="18" t="n"/>
    </row>
    <row r="992">
      <c r="A992" s="18">
        <f>IF(ISNUMBER(Dossiers!$D$22),Dossiers!$A$22&amp;" · "&amp;Dossiers!$B$22,"")</f>
        <v/>
      </c>
      <c r="B992" s="18">
        <f>IF($A992="","",Paramètres!G20)</f>
        <v/>
      </c>
      <c r="C992" s="18">
        <f>IF($A992="","",IF(Paramètres!H20="","",Paramètres!H20))</f>
        <v/>
      </c>
      <c r="D992" s="18">
        <f>IF($A992="","",IF(Paramètres!I20="","",Paramètres!I20))</f>
        <v/>
      </c>
      <c r="E992" s="19">
        <f>IF($A992="","",IF(Paramètres!J20&amp;Paramètres!L20&amp;Paramètres!N20="",Dossiers!$D$22,MAX(IF(Paramètres!J20="",0,IF(Paramètres!K20="",NA(),IF(LEFT(TRIM(Paramètres!K20),1)="F",INDEX($F$977:$F$1029,MATCH(Paramètres!J20,Paramètres!$G$5:$G$57,0)),INDEX($E$977:$E$1029,MATCH(Paramètres!J20,Paramètres!$G$5:$G$57,0)))+IF(RIGHT(TRIM(Paramètres!K20),3)="Fin",1-$H992,IF(LEFT(TRIM(Paramètres!K20),1)="F",1,0)))),IF(Paramètres!L20="",0,IF(Paramètres!M20="",NA(),IF(LEFT(TRIM(Paramètres!M20),1)="F",INDEX($F$977:$F$1029,MATCH(Paramètres!L20,Paramètres!$G$5:$G$57,0)),INDEX($E$977:$E$1029,MATCH(Paramètres!L20,Paramètres!$G$5:$G$57,0)))+IF(RIGHT(TRIM(Paramètres!M20),3)="Fin",1-$H992,IF(LEFT(TRIM(Paramètres!M20),1)="F",1,0)))),IF(Paramètres!N20="",0,IF(Paramètres!O20="",NA(),IF(LEFT(TRIM(Paramètres!O20),1)="F",INDEX($F$977:$F$1029,MATCH(Paramètres!N20,Paramètres!$G$5:$G$57,0)),INDEX($E$977:$E$1029,MATCH(Paramètres!N20,Paramètres!$G$5:$G$57,0)))+IF(RIGHT(TRIM(Paramètres!O20),3)="Fin",1-$H992,IF(LEFT(TRIM(Paramètres!O20),1)="F",1,0)))))))</f>
        <v/>
      </c>
      <c r="F992" s="19">
        <f>IF($A992="","",E992+$H992-1)</f>
        <v/>
      </c>
      <c r="G992" s="18" t="n"/>
      <c r="H992" s="18">
        <f>IF($A992="","",IF(I992&lt;&gt;"",I992,Paramètres!B20))</f>
        <v/>
      </c>
      <c r="I992" s="18" t="n"/>
    </row>
    <row r="993">
      <c r="A993" s="18">
        <f>IF(ISNUMBER(Dossiers!$D$22),Dossiers!$A$22&amp;" · "&amp;Dossiers!$B$22,"")</f>
        <v/>
      </c>
      <c r="B993" s="18">
        <f>IF($A993="","",Paramètres!G21)</f>
        <v/>
      </c>
      <c r="C993" s="18">
        <f>IF($A993="","",IF(Paramètres!H21="","",Paramètres!H21))</f>
        <v/>
      </c>
      <c r="D993" s="18">
        <f>IF($A993="","",IF(Paramètres!I21="","",Paramètres!I21))</f>
        <v/>
      </c>
      <c r="E993" s="19">
        <f>IF($A993="","",IF(Paramètres!J21&amp;Paramètres!L21&amp;Paramètres!N21="",Dossiers!$D$22,MAX(IF(Paramètres!J21="",0,IF(Paramètres!K21="",NA(),IF(LEFT(TRIM(Paramètres!K21),1)="F",INDEX($F$977:$F$1029,MATCH(Paramètres!J21,Paramètres!$G$5:$G$57,0)),INDEX($E$977:$E$1029,MATCH(Paramètres!J21,Paramètres!$G$5:$G$57,0)))+IF(RIGHT(TRIM(Paramètres!K21),3)="Fin",1-$H993,IF(LEFT(TRIM(Paramètres!K21),1)="F",1,0)))),IF(Paramètres!L21="",0,IF(Paramètres!M21="",NA(),IF(LEFT(TRIM(Paramètres!M21),1)="F",INDEX($F$977:$F$1029,MATCH(Paramètres!L21,Paramètres!$G$5:$G$57,0)),INDEX($E$977:$E$1029,MATCH(Paramètres!L21,Paramètres!$G$5:$G$57,0)))+IF(RIGHT(TRIM(Paramètres!M21),3)="Fin",1-$H993,IF(LEFT(TRIM(Paramètres!M21),1)="F",1,0)))),IF(Paramètres!N21="",0,IF(Paramètres!O21="",NA(),IF(LEFT(TRIM(Paramètres!O21),1)="F",INDEX($F$977:$F$1029,MATCH(Paramètres!N21,Paramètres!$G$5:$G$57,0)),INDEX($E$977:$E$1029,MATCH(Paramètres!N21,Paramètres!$G$5:$G$57,0)))+IF(RIGHT(TRIM(Paramètres!O21),3)="Fin",1-$H993,IF(LEFT(TRIM(Paramètres!O21),1)="F",1,0)))))))</f>
        <v/>
      </c>
      <c r="F993" s="19">
        <f>IF($A993="","",E993+$H993-1)</f>
        <v/>
      </c>
      <c r="G993" s="18" t="n"/>
      <c r="H993" s="18">
        <f>IF($A993="","",IF(I993&lt;&gt;"",I993,Paramètres!B21))</f>
        <v/>
      </c>
      <c r="I993" s="18" t="n"/>
    </row>
    <row r="994">
      <c r="A994" s="18">
        <f>IF(ISNUMBER(Dossiers!$D$22),Dossiers!$A$22&amp;" · "&amp;Dossiers!$B$22,"")</f>
        <v/>
      </c>
      <c r="B994" s="18">
        <f>IF($A994="","",Paramètres!G22)</f>
        <v/>
      </c>
      <c r="C994" s="18">
        <f>IF($A994="","",IF(Paramètres!H22="","",Paramètres!H22))</f>
        <v/>
      </c>
      <c r="D994" s="18">
        <f>IF($A994="","",IF(Paramètres!I22="","",Paramètres!I22))</f>
        <v/>
      </c>
      <c r="E994" s="19">
        <f>IF($A994="","",IF(Paramètres!J22&amp;Paramètres!L22&amp;Paramètres!N22="",Dossiers!$D$22,MAX(IF(Paramètres!J22="",0,IF(Paramètres!K22="",NA(),IF(LEFT(TRIM(Paramètres!K22),1)="F",INDEX($F$977:$F$1029,MATCH(Paramètres!J22,Paramètres!$G$5:$G$57,0)),INDEX($E$977:$E$1029,MATCH(Paramètres!J22,Paramètres!$G$5:$G$57,0)))+IF(RIGHT(TRIM(Paramètres!K22),3)="Fin",1-$H994,IF(LEFT(TRIM(Paramètres!K22),1)="F",1,0)))),IF(Paramètres!L22="",0,IF(Paramètres!M22="",NA(),IF(LEFT(TRIM(Paramètres!M22),1)="F",INDEX($F$977:$F$1029,MATCH(Paramètres!L22,Paramètres!$G$5:$G$57,0)),INDEX($E$977:$E$1029,MATCH(Paramètres!L22,Paramètres!$G$5:$G$57,0)))+IF(RIGHT(TRIM(Paramètres!M22),3)="Fin",1-$H994,IF(LEFT(TRIM(Paramètres!M22),1)="F",1,0)))),IF(Paramètres!N22="",0,IF(Paramètres!O22="",NA(),IF(LEFT(TRIM(Paramètres!O22),1)="F",INDEX($F$977:$F$1029,MATCH(Paramètres!N22,Paramètres!$G$5:$G$57,0)),INDEX($E$977:$E$1029,MATCH(Paramètres!N22,Paramètres!$G$5:$G$57,0)))+IF(RIGHT(TRIM(Paramètres!O22),3)="Fin",1-$H994,IF(LEFT(TRIM(Paramètres!O22),1)="F",1,0)))))))</f>
        <v/>
      </c>
      <c r="F994" s="19">
        <f>IF($A994="","",E994+$H994-1)</f>
        <v/>
      </c>
      <c r="G994" s="18" t="n"/>
      <c r="H994" s="18">
        <f>IF($A994="","",IF(I994&lt;&gt;"",I994,Paramètres!B22))</f>
        <v/>
      </c>
      <c r="I994" s="18" t="n"/>
    </row>
    <row r="995">
      <c r="A995" s="18">
        <f>IF(ISNUMBER(Dossiers!$D$22),Dossiers!$A$22&amp;" · "&amp;Dossiers!$B$22,"")</f>
        <v/>
      </c>
      <c r="B995" s="18">
        <f>IF($A995="","",Paramètres!G23)</f>
        <v/>
      </c>
      <c r="C995" s="18">
        <f>IF($A995="","",IF(Paramètres!H23="","",Paramètres!H23))</f>
        <v/>
      </c>
      <c r="D995" s="18">
        <f>IF($A995="","",IF(Paramètres!I23="","",Paramètres!I23))</f>
        <v/>
      </c>
      <c r="E995" s="19">
        <f>IF($A995="","",IF(Paramètres!J23&amp;Paramètres!L23&amp;Paramètres!N23="",Dossiers!$D$22,MAX(IF(Paramètres!J23="",0,IF(Paramètres!K23="",NA(),IF(LEFT(TRIM(Paramètres!K23),1)="F",INDEX($F$977:$F$1029,MATCH(Paramètres!J23,Paramètres!$G$5:$G$57,0)),INDEX($E$977:$E$1029,MATCH(Paramètres!J23,Paramètres!$G$5:$G$57,0)))+IF(RIGHT(TRIM(Paramètres!K23),3)="Fin",1-$H995,IF(LEFT(TRIM(Paramètres!K23),1)="F",1,0)))),IF(Paramètres!L23="",0,IF(Paramètres!M23="",NA(),IF(LEFT(TRIM(Paramètres!M23),1)="F",INDEX($F$977:$F$1029,MATCH(Paramètres!L23,Paramètres!$G$5:$G$57,0)),INDEX($E$977:$E$1029,MATCH(Paramètres!L23,Paramètres!$G$5:$G$57,0)))+IF(RIGHT(TRIM(Paramètres!M23),3)="Fin",1-$H995,IF(LEFT(TRIM(Paramètres!M23),1)="F",1,0)))),IF(Paramètres!N23="",0,IF(Paramètres!O23="",NA(),IF(LEFT(TRIM(Paramètres!O23),1)="F",INDEX($F$977:$F$1029,MATCH(Paramètres!N23,Paramètres!$G$5:$G$57,0)),INDEX($E$977:$E$1029,MATCH(Paramètres!N23,Paramètres!$G$5:$G$57,0)))+IF(RIGHT(TRIM(Paramètres!O23),3)="Fin",1-$H995,IF(LEFT(TRIM(Paramètres!O23),1)="F",1,0)))))))</f>
        <v/>
      </c>
      <c r="F995" s="19">
        <f>IF($A995="","",E995+$H995-1)</f>
        <v/>
      </c>
      <c r="G995" s="18" t="n"/>
      <c r="H995" s="18">
        <f>IF($A995="","",IF(I995&lt;&gt;"",I995,Paramètres!B23))</f>
        <v/>
      </c>
      <c r="I995" s="18" t="n"/>
    </row>
    <row r="996">
      <c r="A996" s="18">
        <f>IF(ISNUMBER(Dossiers!$D$22),Dossiers!$A$22&amp;" · "&amp;Dossiers!$B$22,"")</f>
        <v/>
      </c>
      <c r="B996" s="18">
        <f>IF($A996="","",Paramètres!G24)</f>
        <v/>
      </c>
      <c r="C996" s="18">
        <f>IF($A996="","",IF(Paramètres!H24="","",Paramètres!H24))</f>
        <v/>
      </c>
      <c r="D996" s="18">
        <f>IF($A996="","",IF(Paramètres!I24="","",Paramètres!I24))</f>
        <v/>
      </c>
      <c r="E996" s="19">
        <f>IF($A996="","",IF(Paramètres!J24&amp;Paramètres!L24&amp;Paramètres!N24="",Dossiers!$D$22,MAX(IF(Paramètres!J24="",0,IF(Paramètres!K24="",NA(),IF(LEFT(TRIM(Paramètres!K24),1)="F",INDEX($F$977:$F$1029,MATCH(Paramètres!J24,Paramètres!$G$5:$G$57,0)),INDEX($E$977:$E$1029,MATCH(Paramètres!J24,Paramètres!$G$5:$G$57,0)))+IF(RIGHT(TRIM(Paramètres!K24),3)="Fin",1-$H996,IF(LEFT(TRIM(Paramètres!K24),1)="F",1,0)))),IF(Paramètres!L24="",0,IF(Paramètres!M24="",NA(),IF(LEFT(TRIM(Paramètres!M24),1)="F",INDEX($F$977:$F$1029,MATCH(Paramètres!L24,Paramètres!$G$5:$G$57,0)),INDEX($E$977:$E$1029,MATCH(Paramètres!L24,Paramètres!$G$5:$G$57,0)))+IF(RIGHT(TRIM(Paramètres!M24),3)="Fin",1-$H996,IF(LEFT(TRIM(Paramètres!M24),1)="F",1,0)))),IF(Paramètres!N24="",0,IF(Paramètres!O24="",NA(),IF(LEFT(TRIM(Paramètres!O24),1)="F",INDEX($F$977:$F$1029,MATCH(Paramètres!N24,Paramètres!$G$5:$G$57,0)),INDEX($E$977:$E$1029,MATCH(Paramètres!N24,Paramètres!$G$5:$G$57,0)))+IF(RIGHT(TRIM(Paramètres!O24),3)="Fin",1-$H996,IF(LEFT(TRIM(Paramètres!O24),1)="F",1,0)))))))</f>
        <v/>
      </c>
      <c r="F996" s="19">
        <f>IF($A996="","",E996+$H996-1)</f>
        <v/>
      </c>
      <c r="G996" s="18" t="n"/>
      <c r="H996" s="18">
        <f>IF($A996="","",IF(I996&lt;&gt;"",I996,Paramètres!B24))</f>
        <v/>
      </c>
      <c r="I996" s="18" t="n"/>
    </row>
    <row r="997">
      <c r="A997" s="18">
        <f>IF(ISNUMBER(Dossiers!$D$22),Dossiers!$A$22&amp;" · "&amp;Dossiers!$B$22,"")</f>
        <v/>
      </c>
      <c r="B997" s="18">
        <f>IF($A997="","",Paramètres!G25)</f>
        <v/>
      </c>
      <c r="C997" s="18">
        <f>IF($A997="","",IF(Paramètres!H25="","",Paramètres!H25))</f>
        <v/>
      </c>
      <c r="D997" s="18">
        <f>IF($A997="","",IF(Paramètres!I25="","",Paramètres!I25))</f>
        <v/>
      </c>
      <c r="E997" s="19">
        <f>IF($A997="","",IF(Paramètres!J25&amp;Paramètres!L25&amp;Paramètres!N25="",Dossiers!$D$22,MAX(IF(Paramètres!J25="",0,IF(Paramètres!K25="",NA(),IF(LEFT(TRIM(Paramètres!K25),1)="F",INDEX($F$977:$F$1029,MATCH(Paramètres!J25,Paramètres!$G$5:$G$57,0)),INDEX($E$977:$E$1029,MATCH(Paramètres!J25,Paramètres!$G$5:$G$57,0)))+IF(RIGHT(TRIM(Paramètres!K25),3)="Fin",1-$H997,IF(LEFT(TRIM(Paramètres!K25),1)="F",1,0)))),IF(Paramètres!L25="",0,IF(Paramètres!M25="",NA(),IF(LEFT(TRIM(Paramètres!M25),1)="F",INDEX($F$977:$F$1029,MATCH(Paramètres!L25,Paramètres!$G$5:$G$57,0)),INDEX($E$977:$E$1029,MATCH(Paramètres!L25,Paramètres!$G$5:$G$57,0)))+IF(RIGHT(TRIM(Paramètres!M25),3)="Fin",1-$H997,IF(LEFT(TRIM(Paramètres!M25),1)="F",1,0)))),IF(Paramètres!N25="",0,IF(Paramètres!O25="",NA(),IF(LEFT(TRIM(Paramètres!O25),1)="F",INDEX($F$977:$F$1029,MATCH(Paramètres!N25,Paramètres!$G$5:$G$57,0)),INDEX($E$977:$E$1029,MATCH(Paramètres!N25,Paramètres!$G$5:$G$57,0)))+IF(RIGHT(TRIM(Paramètres!O25),3)="Fin",1-$H997,IF(LEFT(TRIM(Paramètres!O25),1)="F",1,0)))))))</f>
        <v/>
      </c>
      <c r="F997" s="19">
        <f>IF($A997="","",E997+$H997-1)</f>
        <v/>
      </c>
      <c r="G997" s="18" t="n"/>
      <c r="H997" s="18">
        <f>IF($A997="","",IF(I997&lt;&gt;"",I997,Paramètres!B25))</f>
        <v/>
      </c>
      <c r="I997" s="18" t="n"/>
    </row>
    <row r="998">
      <c r="A998" s="18">
        <f>IF(ISNUMBER(Dossiers!$D$22),Dossiers!$A$22&amp;" · "&amp;Dossiers!$B$22,"")</f>
        <v/>
      </c>
      <c r="B998" s="18">
        <f>IF($A998="","",Paramètres!G26)</f>
        <v/>
      </c>
      <c r="C998" s="18">
        <f>IF($A998="","",IF(Paramètres!H26="","",Paramètres!H26))</f>
        <v/>
      </c>
      <c r="D998" s="18">
        <f>IF($A998="","",IF(Paramètres!I26="","",Paramètres!I26))</f>
        <v/>
      </c>
      <c r="E998" s="19">
        <f>IF($A998="","",IF(Paramètres!J26&amp;Paramètres!L26&amp;Paramètres!N26="",Dossiers!$D$22,MAX(IF(Paramètres!J26="",0,IF(Paramètres!K26="",NA(),IF(LEFT(TRIM(Paramètres!K26),1)="F",INDEX($F$977:$F$1029,MATCH(Paramètres!J26,Paramètres!$G$5:$G$57,0)),INDEX($E$977:$E$1029,MATCH(Paramètres!J26,Paramètres!$G$5:$G$57,0)))+IF(RIGHT(TRIM(Paramètres!K26),3)="Fin",1-$H998,IF(LEFT(TRIM(Paramètres!K26),1)="F",1,0)))),IF(Paramètres!L26="",0,IF(Paramètres!M26="",NA(),IF(LEFT(TRIM(Paramètres!M26),1)="F",INDEX($F$977:$F$1029,MATCH(Paramètres!L26,Paramètres!$G$5:$G$57,0)),INDEX($E$977:$E$1029,MATCH(Paramètres!L26,Paramètres!$G$5:$G$57,0)))+IF(RIGHT(TRIM(Paramètres!M26),3)="Fin",1-$H998,IF(LEFT(TRIM(Paramètres!M26),1)="F",1,0)))),IF(Paramètres!N26="",0,IF(Paramètres!O26="",NA(),IF(LEFT(TRIM(Paramètres!O26),1)="F",INDEX($F$977:$F$1029,MATCH(Paramètres!N26,Paramètres!$G$5:$G$57,0)),INDEX($E$977:$E$1029,MATCH(Paramètres!N26,Paramètres!$G$5:$G$57,0)))+IF(RIGHT(TRIM(Paramètres!O26),3)="Fin",1-$H998,IF(LEFT(TRIM(Paramètres!O26),1)="F",1,0)))))))</f>
        <v/>
      </c>
      <c r="F998" s="19">
        <f>IF($A998="","",E998+$H998-1)</f>
        <v/>
      </c>
      <c r="G998" s="18" t="n"/>
      <c r="H998" s="18">
        <f>IF($A998="","",IF(I998&lt;&gt;"",I998,Paramètres!B26))</f>
        <v/>
      </c>
      <c r="I998" s="18" t="n"/>
    </row>
    <row r="999">
      <c r="A999" s="18">
        <f>IF(ISNUMBER(Dossiers!$D$22),Dossiers!$A$22&amp;" · "&amp;Dossiers!$B$22,"")</f>
        <v/>
      </c>
      <c r="B999" s="18">
        <f>IF($A999="","",Paramètres!G27)</f>
        <v/>
      </c>
      <c r="C999" s="18">
        <f>IF($A999="","",IF(Paramètres!H27="","",Paramètres!H27))</f>
        <v/>
      </c>
      <c r="D999" s="18">
        <f>IF($A999="","",IF(Paramètres!I27="","",Paramètres!I27))</f>
        <v/>
      </c>
      <c r="E999" s="19">
        <f>IF($A999="","",IF(Paramètres!J27&amp;Paramètres!L27&amp;Paramètres!N27="",Dossiers!$D$22,MAX(IF(Paramètres!J27="",0,IF(Paramètres!K27="",NA(),IF(LEFT(TRIM(Paramètres!K27),1)="F",INDEX($F$977:$F$1029,MATCH(Paramètres!J27,Paramètres!$G$5:$G$57,0)),INDEX($E$977:$E$1029,MATCH(Paramètres!J27,Paramètres!$G$5:$G$57,0)))+IF(RIGHT(TRIM(Paramètres!K27),3)="Fin",1-$H999,IF(LEFT(TRIM(Paramètres!K27),1)="F",1,0)))),IF(Paramètres!L27="",0,IF(Paramètres!M27="",NA(),IF(LEFT(TRIM(Paramètres!M27),1)="F",INDEX($F$977:$F$1029,MATCH(Paramètres!L27,Paramètres!$G$5:$G$57,0)),INDEX($E$977:$E$1029,MATCH(Paramètres!L27,Paramètres!$G$5:$G$57,0)))+IF(RIGHT(TRIM(Paramètres!M27),3)="Fin",1-$H999,IF(LEFT(TRIM(Paramètres!M27),1)="F",1,0)))),IF(Paramètres!N27="",0,IF(Paramètres!O27="",NA(),IF(LEFT(TRIM(Paramètres!O27),1)="F",INDEX($F$977:$F$1029,MATCH(Paramètres!N27,Paramètres!$G$5:$G$57,0)),INDEX($E$977:$E$1029,MATCH(Paramètres!N27,Paramètres!$G$5:$G$57,0)))+IF(RIGHT(TRIM(Paramètres!O27),3)="Fin",1-$H999,IF(LEFT(TRIM(Paramètres!O27),1)="F",1,0)))))))</f>
        <v/>
      </c>
      <c r="F999" s="19">
        <f>IF($A999="","",E999+$H999-1)</f>
        <v/>
      </c>
      <c r="G999" s="18" t="n"/>
      <c r="H999" s="18">
        <f>IF($A999="","",IF(I999&lt;&gt;"",I999,Paramètres!B27))</f>
        <v/>
      </c>
      <c r="I999" s="18" t="n"/>
    </row>
    <row r="1000">
      <c r="A1000" s="18">
        <f>IF(ISNUMBER(Dossiers!$D$22),Dossiers!$A$22&amp;" · "&amp;Dossiers!$B$22,"")</f>
        <v/>
      </c>
      <c r="B1000" s="18">
        <f>IF($A1000="","",Paramètres!G28)</f>
        <v/>
      </c>
      <c r="C1000" s="18">
        <f>IF($A1000="","",IF(Paramètres!H28="","",Paramètres!H28))</f>
        <v/>
      </c>
      <c r="D1000" s="18">
        <f>IF($A1000="","",IF(Paramètres!I28="","",Paramètres!I28))</f>
        <v/>
      </c>
      <c r="E1000" s="19">
        <f>IF($A1000="","",IF(Paramètres!J28&amp;Paramètres!L28&amp;Paramètres!N28="",Dossiers!$D$22,MAX(IF(Paramètres!J28="",0,IF(Paramètres!K28="",NA(),IF(LEFT(TRIM(Paramètres!K28),1)="F",INDEX($F$977:$F$1029,MATCH(Paramètres!J28,Paramètres!$G$5:$G$57,0)),INDEX($E$977:$E$1029,MATCH(Paramètres!J28,Paramètres!$G$5:$G$57,0)))+IF(RIGHT(TRIM(Paramètres!K28),3)="Fin",1-$H1000,IF(LEFT(TRIM(Paramètres!K28),1)="F",1,0)))),IF(Paramètres!L28="",0,IF(Paramètres!M28="",NA(),IF(LEFT(TRIM(Paramètres!M28),1)="F",INDEX($F$977:$F$1029,MATCH(Paramètres!L28,Paramètres!$G$5:$G$57,0)),INDEX($E$977:$E$1029,MATCH(Paramètres!L28,Paramètres!$G$5:$G$57,0)))+IF(RIGHT(TRIM(Paramètres!M28),3)="Fin",1-$H1000,IF(LEFT(TRIM(Paramètres!M28),1)="F",1,0)))),IF(Paramètres!N28="",0,IF(Paramètres!O28="",NA(),IF(LEFT(TRIM(Paramètres!O28),1)="F",INDEX($F$977:$F$1029,MATCH(Paramètres!N28,Paramètres!$G$5:$G$57,0)),INDEX($E$977:$E$1029,MATCH(Paramètres!N28,Paramètres!$G$5:$G$57,0)))+IF(RIGHT(TRIM(Paramètres!O28),3)="Fin",1-$H1000,IF(LEFT(TRIM(Paramètres!O28),1)="F",1,0)))))))</f>
        <v/>
      </c>
      <c r="F1000" s="19">
        <f>IF($A1000="","",E1000+$H1000-1)</f>
        <v/>
      </c>
      <c r="G1000" s="18" t="n"/>
      <c r="H1000" s="18">
        <f>IF($A1000="","",IF(I1000&lt;&gt;"",I1000,Paramètres!B28))</f>
        <v/>
      </c>
      <c r="I1000" s="18" t="n"/>
    </row>
    <row r="1001">
      <c r="A1001" s="18">
        <f>IF(ISNUMBER(Dossiers!$D$22),Dossiers!$A$22&amp;" · "&amp;Dossiers!$B$22,"")</f>
        <v/>
      </c>
      <c r="B1001" s="18">
        <f>IF($A1001="","",Paramètres!G29)</f>
        <v/>
      </c>
      <c r="C1001" s="18">
        <f>IF($A1001="","",IF(Paramètres!H29="","",Paramètres!H29))</f>
        <v/>
      </c>
      <c r="D1001" s="18">
        <f>IF($A1001="","",IF(Paramètres!I29="","",Paramètres!I29))</f>
        <v/>
      </c>
      <c r="E1001" s="19">
        <f>IF($A1001="","",IF(Paramètres!J29&amp;Paramètres!L29&amp;Paramètres!N29="",Dossiers!$D$22,MAX(IF(Paramètres!J29="",0,IF(Paramètres!K29="",NA(),IF(LEFT(TRIM(Paramètres!K29),1)="F",INDEX($F$977:$F$1029,MATCH(Paramètres!J29,Paramètres!$G$5:$G$57,0)),INDEX($E$977:$E$1029,MATCH(Paramètres!J29,Paramètres!$G$5:$G$57,0)))+IF(RIGHT(TRIM(Paramètres!K29),3)="Fin",1-$H1001,IF(LEFT(TRIM(Paramètres!K29),1)="F",1,0)))),IF(Paramètres!L29="",0,IF(Paramètres!M29="",NA(),IF(LEFT(TRIM(Paramètres!M29),1)="F",INDEX($F$977:$F$1029,MATCH(Paramètres!L29,Paramètres!$G$5:$G$57,0)),INDEX($E$977:$E$1029,MATCH(Paramètres!L29,Paramètres!$G$5:$G$57,0)))+IF(RIGHT(TRIM(Paramètres!M29),3)="Fin",1-$H1001,IF(LEFT(TRIM(Paramètres!M29),1)="F",1,0)))),IF(Paramètres!N29="",0,IF(Paramètres!O29="",NA(),IF(LEFT(TRIM(Paramètres!O29),1)="F",INDEX($F$977:$F$1029,MATCH(Paramètres!N29,Paramètres!$G$5:$G$57,0)),INDEX($E$977:$E$1029,MATCH(Paramètres!N29,Paramètres!$G$5:$G$57,0)))+IF(RIGHT(TRIM(Paramètres!O29),3)="Fin",1-$H1001,IF(LEFT(TRIM(Paramètres!O29),1)="F",1,0)))))))</f>
        <v/>
      </c>
      <c r="F1001" s="19">
        <f>IF($A1001="","",E1001+$H1001-1)</f>
        <v/>
      </c>
      <c r="G1001" s="18" t="n"/>
      <c r="H1001" s="18">
        <f>IF($A1001="","",IF(I1001&lt;&gt;"",I1001,Paramètres!B29))</f>
        <v/>
      </c>
      <c r="I1001" s="18" t="n"/>
    </row>
    <row r="1002">
      <c r="A1002" s="18">
        <f>IF(ISNUMBER(Dossiers!$D$22),Dossiers!$A$22&amp;" · "&amp;Dossiers!$B$22,"")</f>
        <v/>
      </c>
      <c r="B1002" s="18">
        <f>IF($A1002="","",Paramètres!G30)</f>
        <v/>
      </c>
      <c r="C1002" s="18">
        <f>IF($A1002="","",IF(Paramètres!H30="","",Paramètres!H30))</f>
        <v/>
      </c>
      <c r="D1002" s="18">
        <f>IF($A1002="","",IF(Paramètres!I30="","",Paramètres!I30))</f>
        <v/>
      </c>
      <c r="E1002" s="19">
        <f>IF($A1002="","",IF(Paramètres!J30&amp;Paramètres!L30&amp;Paramètres!N30="",Dossiers!$D$22,MAX(IF(Paramètres!J30="",0,IF(Paramètres!K30="",NA(),IF(LEFT(TRIM(Paramètres!K30),1)="F",INDEX($F$977:$F$1029,MATCH(Paramètres!J30,Paramètres!$G$5:$G$57,0)),INDEX($E$977:$E$1029,MATCH(Paramètres!J30,Paramètres!$G$5:$G$57,0)))+IF(RIGHT(TRIM(Paramètres!K30),3)="Fin",1-$H1002,IF(LEFT(TRIM(Paramètres!K30),1)="F",1,0)))),IF(Paramètres!L30="",0,IF(Paramètres!M30="",NA(),IF(LEFT(TRIM(Paramètres!M30),1)="F",INDEX($F$977:$F$1029,MATCH(Paramètres!L30,Paramètres!$G$5:$G$57,0)),INDEX($E$977:$E$1029,MATCH(Paramètres!L30,Paramètres!$G$5:$G$57,0)))+IF(RIGHT(TRIM(Paramètres!M30),3)="Fin",1-$H1002,IF(LEFT(TRIM(Paramètres!M30),1)="F",1,0)))),IF(Paramètres!N30="",0,IF(Paramètres!O30="",NA(),IF(LEFT(TRIM(Paramètres!O30),1)="F",INDEX($F$977:$F$1029,MATCH(Paramètres!N30,Paramètres!$G$5:$G$57,0)),INDEX($E$977:$E$1029,MATCH(Paramètres!N30,Paramètres!$G$5:$G$57,0)))+IF(RIGHT(TRIM(Paramètres!O30),3)="Fin",1-$H1002,IF(LEFT(TRIM(Paramètres!O30),1)="F",1,0)))))))</f>
        <v/>
      </c>
      <c r="F1002" s="19">
        <f>IF($A1002="","",E1002+$H1002-1)</f>
        <v/>
      </c>
      <c r="G1002" s="18" t="n"/>
      <c r="H1002" s="18">
        <f>IF($A1002="","",IF(I1002&lt;&gt;"",I1002,Paramètres!B30))</f>
        <v/>
      </c>
      <c r="I1002" s="18" t="n"/>
    </row>
    <row r="1003">
      <c r="A1003" s="18">
        <f>IF(ISNUMBER(Dossiers!$D$22),Dossiers!$A$22&amp;" · "&amp;Dossiers!$B$22,"")</f>
        <v/>
      </c>
      <c r="B1003" s="18">
        <f>IF($A1003="","",Paramètres!G31)</f>
        <v/>
      </c>
      <c r="C1003" s="20">
        <f>IF($A1003="","",IF(Dossiers!$F$22="","",Dossiers!$F$22))</f>
        <v/>
      </c>
      <c r="D1003" s="18">
        <f>IF($A1003="","",IF(Paramètres!I31="","",Paramètres!I31))</f>
        <v/>
      </c>
      <c r="E1003" s="19">
        <f>IF($A1003="","",IF(Paramètres!J31&amp;Paramètres!L31&amp;Paramètres!N31="",Dossiers!$D$22,MAX(IF(Paramètres!J31="",0,IF(Paramètres!K31="",NA(),IF(LEFT(TRIM(Paramètres!K31),1)="F",INDEX($F$977:$F$1029,MATCH(Paramètres!J31,Paramètres!$G$5:$G$57,0)),INDEX($E$977:$E$1029,MATCH(Paramètres!J31,Paramètres!$G$5:$G$57,0)))+IF(RIGHT(TRIM(Paramètres!K31),3)="Fin",1-$H1003,IF(LEFT(TRIM(Paramètres!K31),1)="F",1,0)))),IF(Paramètres!L31="",0,IF(Paramètres!M31="",NA(),IF(LEFT(TRIM(Paramètres!M31),1)="F",INDEX($F$977:$F$1029,MATCH(Paramètres!L31,Paramètres!$G$5:$G$57,0)),INDEX($E$977:$E$1029,MATCH(Paramètres!L31,Paramètres!$G$5:$G$57,0)))+IF(RIGHT(TRIM(Paramètres!M31),3)="Fin",1-$H1003,IF(LEFT(TRIM(Paramètres!M31),1)="F",1,0)))),IF(Paramètres!N31="",0,IF(Paramètres!O31="",NA(),IF(LEFT(TRIM(Paramètres!O31),1)="F",INDEX($F$977:$F$1029,MATCH(Paramètres!N31,Paramètres!$G$5:$G$57,0)),INDEX($E$977:$E$1029,MATCH(Paramètres!N31,Paramètres!$G$5:$G$57,0)))+IF(RIGHT(TRIM(Paramètres!O31),3)="Fin",1-$H1003,IF(LEFT(TRIM(Paramètres!O31),1)="F",1,0)))))))</f>
        <v/>
      </c>
      <c r="F1003" s="19">
        <f>IF($A1003="","",E1003+$H1003-1)</f>
        <v/>
      </c>
      <c r="G1003" s="18" t="n"/>
      <c r="H1003" s="18">
        <f>IF($A1003="","",IF(I1003&lt;&gt;"",I1003,Paramètres!B31))</f>
        <v/>
      </c>
      <c r="I1003" s="18" t="n"/>
    </row>
    <row r="1004">
      <c r="A1004" s="18">
        <f>IF(ISNUMBER(Dossiers!$D$22),Dossiers!$A$22&amp;" · "&amp;Dossiers!$B$22,"")</f>
        <v/>
      </c>
      <c r="B1004" s="18">
        <f>IF($A1004="","",Paramètres!G32)</f>
        <v/>
      </c>
      <c r="C1004" s="18">
        <f>IF($A1004="","",IF(Paramètres!H32="","",Paramètres!H32))</f>
        <v/>
      </c>
      <c r="D1004" s="18">
        <f>IF($A1004="","",IF(Paramètres!I32="","",Paramètres!I32))</f>
        <v/>
      </c>
      <c r="E1004" s="19">
        <f>IF($A1004="","",MIN(E1005:E1008))</f>
        <v/>
      </c>
      <c r="F1004" s="19">
        <f>IF($A1004="","",MAX(F1005:F1008))</f>
        <v/>
      </c>
      <c r="G1004" s="18" t="n"/>
      <c r="H1004" s="18">
        <f>IF($A1004="","",F1004-E1004+1)</f>
        <v/>
      </c>
      <c r="I1004" s="18" t="n"/>
    </row>
    <row r="1005">
      <c r="A1005" s="18">
        <f>IF(ISNUMBER(Dossiers!$D$22),Dossiers!$A$22&amp;" · "&amp;Dossiers!$B$22,"")</f>
        <v/>
      </c>
      <c r="B1005" s="18">
        <f>IF($A1005="","",Paramètres!G33)</f>
        <v/>
      </c>
      <c r="C1005" s="18">
        <f>IF($A1005="","",IF(Paramètres!H33="","",Paramètres!H33))</f>
        <v/>
      </c>
      <c r="D1005" s="18">
        <f>IF($A1005="","",IF(Paramètres!I33="","",Paramètres!I33))</f>
        <v/>
      </c>
      <c r="E1005" s="19">
        <f>IF($A1005="","",IF(Paramètres!J33&amp;Paramètres!L33&amp;Paramètres!N33="",Dossiers!$D$22,MAX(IF(Paramètres!J33="",0,IF(Paramètres!K33="",NA(),IF(LEFT(TRIM(Paramètres!K33),1)="F",INDEX($F$977:$F$1029,MATCH(Paramètres!J33,Paramètres!$G$5:$G$57,0)),INDEX($E$977:$E$1029,MATCH(Paramètres!J33,Paramètres!$G$5:$G$57,0)))+IF(RIGHT(TRIM(Paramètres!K33),3)="Fin",1-$H1005,IF(LEFT(TRIM(Paramètres!K33),1)="F",1,0)))),IF(Paramètres!L33="",0,IF(Paramètres!M33="",NA(),IF(LEFT(TRIM(Paramètres!M33),1)="F",INDEX($F$977:$F$1029,MATCH(Paramètres!L33,Paramètres!$G$5:$G$57,0)),INDEX($E$977:$E$1029,MATCH(Paramètres!L33,Paramètres!$G$5:$G$57,0)))+IF(RIGHT(TRIM(Paramètres!M33),3)="Fin",1-$H1005,IF(LEFT(TRIM(Paramètres!M33),1)="F",1,0)))),IF(Paramètres!N33="",0,IF(Paramètres!O33="",NA(),IF(LEFT(TRIM(Paramètres!O33),1)="F",INDEX($F$977:$F$1029,MATCH(Paramètres!N33,Paramètres!$G$5:$G$57,0)),INDEX($E$977:$E$1029,MATCH(Paramètres!N33,Paramètres!$G$5:$G$57,0)))+IF(RIGHT(TRIM(Paramètres!O33),3)="Fin",1-$H1005,IF(LEFT(TRIM(Paramètres!O33),1)="F",1,0)))))))</f>
        <v/>
      </c>
      <c r="F1005" s="19">
        <f>IF($A1005="","",E1005+$H1005-1)</f>
        <v/>
      </c>
      <c r="G1005" s="18" t="n"/>
      <c r="H1005" s="18">
        <f>IF($A1005="","",IF(I1005&lt;&gt;"",I1005,Paramètres!B33))</f>
        <v/>
      </c>
      <c r="I1005" s="18" t="n"/>
    </row>
    <row r="1006">
      <c r="A1006" s="18">
        <f>IF(ISNUMBER(Dossiers!$D$22),Dossiers!$A$22&amp;" · "&amp;Dossiers!$B$22,"")</f>
        <v/>
      </c>
      <c r="B1006" s="18">
        <f>IF($A1006="","",Paramètres!G34)</f>
        <v/>
      </c>
      <c r="C1006" s="18">
        <f>IF($A1006="","",IF(Paramètres!H34="","",Paramètres!H34))</f>
        <v/>
      </c>
      <c r="D1006" s="18">
        <f>IF($A1006="","",IF(Paramètres!I34="","",Paramètres!I34))</f>
        <v/>
      </c>
      <c r="E1006" s="19">
        <f>IF($A1006="","",IF(Paramètres!J34&amp;Paramètres!L34&amp;Paramètres!N34="",Dossiers!$D$22,MAX(IF(Paramètres!J34="",0,IF(Paramètres!K34="",NA(),IF(LEFT(TRIM(Paramètres!K34),1)="F",INDEX($F$977:$F$1029,MATCH(Paramètres!J34,Paramètres!$G$5:$G$57,0)),INDEX($E$977:$E$1029,MATCH(Paramètres!J34,Paramètres!$G$5:$G$57,0)))+IF(RIGHT(TRIM(Paramètres!K34),3)="Fin",1-$H1006,IF(LEFT(TRIM(Paramètres!K34),1)="F",1,0)))),IF(Paramètres!L34="",0,IF(Paramètres!M34="",NA(),IF(LEFT(TRIM(Paramètres!M34),1)="F",INDEX($F$977:$F$1029,MATCH(Paramètres!L34,Paramètres!$G$5:$G$57,0)),INDEX($E$977:$E$1029,MATCH(Paramètres!L34,Paramètres!$G$5:$G$57,0)))+IF(RIGHT(TRIM(Paramètres!M34),3)="Fin",1-$H1006,IF(LEFT(TRIM(Paramètres!M34),1)="F",1,0)))),IF(Paramètres!N34="",0,IF(Paramètres!O34="",NA(),IF(LEFT(TRIM(Paramètres!O34),1)="F",INDEX($F$977:$F$1029,MATCH(Paramètres!N34,Paramètres!$G$5:$G$57,0)),INDEX($E$977:$E$1029,MATCH(Paramètres!N34,Paramètres!$G$5:$G$57,0)))+IF(RIGHT(TRIM(Paramètres!O34),3)="Fin",1-$H1006,IF(LEFT(TRIM(Paramètres!O34),1)="F",1,0)))))))</f>
        <v/>
      </c>
      <c r="F1006" s="19">
        <f>IF($A1006="","",E1006+$H1006-1)</f>
        <v/>
      </c>
      <c r="G1006" s="18" t="n"/>
      <c r="H1006" s="18">
        <f>IF($A1006="","",IF(I1006&lt;&gt;"",I1006,Paramètres!B34))</f>
        <v/>
      </c>
      <c r="I1006" s="18" t="n"/>
    </row>
    <row r="1007">
      <c r="A1007" s="18">
        <f>IF(ISNUMBER(Dossiers!$D$22),Dossiers!$A$22&amp;" · "&amp;Dossiers!$B$22,"")</f>
        <v/>
      </c>
      <c r="B1007" s="18">
        <f>IF($A1007="","",Paramètres!G35)</f>
        <v/>
      </c>
      <c r="C1007" s="18">
        <f>IF($A1007="","",IF(Paramètres!H35="","",Paramètres!H35))</f>
        <v/>
      </c>
      <c r="D1007" s="18">
        <f>IF($A1007="","",IF(Paramètres!I35="","",Paramètres!I35))</f>
        <v/>
      </c>
      <c r="E1007" s="19">
        <f>IF($A1007="","",IF(Paramètres!J35&amp;Paramètres!L35&amp;Paramètres!N35="",Dossiers!$D$22,MAX(IF(Paramètres!J35="",0,IF(Paramètres!K35="",NA(),IF(LEFT(TRIM(Paramètres!K35),1)="F",INDEX($F$977:$F$1029,MATCH(Paramètres!J35,Paramètres!$G$5:$G$57,0)),INDEX($E$977:$E$1029,MATCH(Paramètres!J35,Paramètres!$G$5:$G$57,0)))+IF(RIGHT(TRIM(Paramètres!K35),3)="Fin",1-$H1007,IF(LEFT(TRIM(Paramètres!K35),1)="F",1,0)))),IF(Paramètres!L35="",0,IF(Paramètres!M35="",NA(),IF(LEFT(TRIM(Paramètres!M35),1)="F",INDEX($F$977:$F$1029,MATCH(Paramètres!L35,Paramètres!$G$5:$G$57,0)),INDEX($E$977:$E$1029,MATCH(Paramètres!L35,Paramètres!$G$5:$G$57,0)))+IF(RIGHT(TRIM(Paramètres!M35),3)="Fin",1-$H1007,IF(LEFT(TRIM(Paramètres!M35),1)="F",1,0)))),IF(Paramètres!N35="",0,IF(Paramètres!O35="",NA(),IF(LEFT(TRIM(Paramètres!O35),1)="F",INDEX($F$977:$F$1029,MATCH(Paramètres!N35,Paramètres!$G$5:$G$57,0)),INDEX($E$977:$E$1029,MATCH(Paramètres!N35,Paramètres!$G$5:$G$57,0)))+IF(RIGHT(TRIM(Paramètres!O35),3)="Fin",1-$H1007,IF(LEFT(TRIM(Paramètres!O35),1)="F",1,0)))))))</f>
        <v/>
      </c>
      <c r="F1007" s="19">
        <f>IF($A1007="","",E1007+$H1007-1)</f>
        <v/>
      </c>
      <c r="G1007" s="18" t="n"/>
      <c r="H1007" s="18">
        <f>IF($A1007="","",IF(I1007&lt;&gt;"",I1007,Paramètres!B35))</f>
        <v/>
      </c>
      <c r="I1007" s="18" t="n"/>
    </row>
    <row r="1008">
      <c r="A1008" s="18">
        <f>IF(ISNUMBER(Dossiers!$D$22),Dossiers!$A$22&amp;" · "&amp;Dossiers!$B$22,"")</f>
        <v/>
      </c>
      <c r="B1008" s="18">
        <f>IF($A1008="","",Paramètres!G36)</f>
        <v/>
      </c>
      <c r="C1008" s="18">
        <f>IF($A1008="","",IF(Paramètres!H36="","",Paramètres!H36))</f>
        <v/>
      </c>
      <c r="D1008" s="18">
        <f>IF($A1008="","",IF(Paramètres!I36="","",Paramètres!I36))</f>
        <v/>
      </c>
      <c r="E1008" s="19">
        <f>IF($A1008="","",IF(Paramètres!J36&amp;Paramètres!L36&amp;Paramètres!N36="",Dossiers!$D$22,MAX(IF(Paramètres!J36="",0,IF(Paramètres!K36="",NA(),IF(LEFT(TRIM(Paramètres!K36),1)="F",INDEX($F$977:$F$1029,MATCH(Paramètres!J36,Paramètres!$G$5:$G$57,0)),INDEX($E$977:$E$1029,MATCH(Paramètres!J36,Paramètres!$G$5:$G$57,0)))+IF(RIGHT(TRIM(Paramètres!K36),3)="Fin",1-$H1008,IF(LEFT(TRIM(Paramètres!K36),1)="F",1,0)))),IF(Paramètres!L36="",0,IF(Paramètres!M36="",NA(),IF(LEFT(TRIM(Paramètres!M36),1)="F",INDEX($F$977:$F$1029,MATCH(Paramètres!L36,Paramètres!$G$5:$G$57,0)),INDEX($E$977:$E$1029,MATCH(Paramètres!L36,Paramètres!$G$5:$G$57,0)))+IF(RIGHT(TRIM(Paramètres!M36),3)="Fin",1-$H1008,IF(LEFT(TRIM(Paramètres!M36),1)="F",1,0)))),IF(Paramètres!N36="",0,IF(Paramètres!O36="",NA(),IF(LEFT(TRIM(Paramètres!O36),1)="F",INDEX($F$977:$F$1029,MATCH(Paramètres!N36,Paramètres!$G$5:$G$57,0)),INDEX($E$977:$E$1029,MATCH(Paramètres!N36,Paramètres!$G$5:$G$57,0)))+IF(RIGHT(TRIM(Paramètres!O36),3)="Fin",1-$H1008,IF(LEFT(TRIM(Paramètres!O36),1)="F",1,0)))))))</f>
        <v/>
      </c>
      <c r="F1008" s="19">
        <f>IF($A1008="","",E1008+$H1008-1)</f>
        <v/>
      </c>
      <c r="G1008" s="18" t="n"/>
      <c r="H1008" s="18">
        <f>IF($A1008="","",IF(I1008&lt;&gt;"",I1008,Paramètres!B36))</f>
        <v/>
      </c>
      <c r="I1008" s="18" t="n"/>
    </row>
    <row r="1009">
      <c r="A1009" s="18">
        <f>IF(ISNUMBER(Dossiers!$D$22),Dossiers!$A$22&amp;" · "&amp;Dossiers!$B$22,"")</f>
        <v/>
      </c>
      <c r="B1009" s="18">
        <f>IF($A1009="","",Paramètres!G37)</f>
        <v/>
      </c>
      <c r="C1009" s="18">
        <f>IF($A1009="","",IF(Paramètres!H37="","",Paramètres!H37))</f>
        <v/>
      </c>
      <c r="D1009" s="18">
        <f>IF($A1009="","",IF(Paramètres!I37="","",Paramètres!I37))</f>
        <v/>
      </c>
      <c r="E1009" s="19">
        <f>IF($A1009="","",MIN(E1010:E1027))</f>
        <v/>
      </c>
      <c r="F1009" s="19">
        <f>IF($A1009="","",MAX(F1010:F1027))</f>
        <v/>
      </c>
      <c r="G1009" s="18" t="n"/>
      <c r="H1009" s="18">
        <f>IF($A1009="","",F1009-E1009+1)</f>
        <v/>
      </c>
      <c r="I1009" s="18" t="n"/>
    </row>
    <row r="1010">
      <c r="A1010" s="18">
        <f>IF(ISNUMBER(Dossiers!$D$22),Dossiers!$A$22&amp;" · "&amp;Dossiers!$B$22,"")</f>
        <v/>
      </c>
      <c r="B1010" s="18">
        <f>IF($A1010="","",Paramètres!G38)</f>
        <v/>
      </c>
      <c r="C1010" s="18">
        <f>IF($A1010="","",IF(Paramètres!H38="","",Paramètres!H38))</f>
        <v/>
      </c>
      <c r="D1010" s="18">
        <f>IF($A1010="","",IF(Paramètres!I38="","",Paramètres!I38))</f>
        <v/>
      </c>
      <c r="E1010" s="19">
        <f>IF($A1010="","",IF(Paramètres!J38&amp;Paramètres!L38&amp;Paramètres!N38="",Dossiers!$D$22,MAX(IF(Paramètres!J38="",0,IF(Paramètres!K38="",NA(),IF(LEFT(TRIM(Paramètres!K38),1)="F",INDEX($F$977:$F$1029,MATCH(Paramètres!J38,Paramètres!$G$5:$G$57,0)),INDEX($E$977:$E$1029,MATCH(Paramètres!J38,Paramètres!$G$5:$G$57,0)))+IF(RIGHT(TRIM(Paramètres!K38),3)="Fin",1-$H1010,IF(LEFT(TRIM(Paramètres!K38),1)="F",1,0)))),IF(Paramètres!L38="",0,IF(Paramètres!M38="",NA(),IF(LEFT(TRIM(Paramètres!M38),1)="F",INDEX($F$977:$F$1029,MATCH(Paramètres!L38,Paramètres!$G$5:$G$57,0)),INDEX($E$977:$E$1029,MATCH(Paramètres!L38,Paramètres!$G$5:$G$57,0)))+IF(RIGHT(TRIM(Paramètres!M38),3)="Fin",1-$H1010,IF(LEFT(TRIM(Paramètres!M38),1)="F",1,0)))),IF(Paramètres!N38="",0,IF(Paramètres!O38="",NA(),IF(LEFT(TRIM(Paramètres!O38),1)="F",INDEX($F$977:$F$1029,MATCH(Paramètres!N38,Paramètres!$G$5:$G$57,0)),INDEX($E$977:$E$1029,MATCH(Paramètres!N38,Paramètres!$G$5:$G$57,0)))+IF(RIGHT(TRIM(Paramètres!O38),3)="Fin",1-$H1010,IF(LEFT(TRIM(Paramètres!O38),1)="F",1,0)))))))</f>
        <v/>
      </c>
      <c r="F1010" s="19">
        <f>IF($A1010="","",E1010+$H1010-1)</f>
        <v/>
      </c>
      <c r="G1010" s="18" t="n"/>
      <c r="H1010" s="18">
        <f>IF($A1010="","",IF(I1010&lt;&gt;"",I1010,Paramètres!B38))</f>
        <v/>
      </c>
      <c r="I1010" s="18" t="n"/>
    </row>
    <row r="1011">
      <c r="A1011" s="18">
        <f>IF(ISNUMBER(Dossiers!$D$22),Dossiers!$A$22&amp;" · "&amp;Dossiers!$B$22,"")</f>
        <v/>
      </c>
      <c r="B1011" s="18">
        <f>IF($A1011="","",Paramètres!G39)</f>
        <v/>
      </c>
      <c r="C1011" s="18">
        <f>IF($A1011="","",IF(Paramètres!H39="","",Paramètres!H39))</f>
        <v/>
      </c>
      <c r="D1011" s="18">
        <f>IF($A1011="","",IF(Paramètres!I39="","",Paramètres!I39))</f>
        <v/>
      </c>
      <c r="E1011" s="19">
        <f>IF($A1011="","",IF(Paramètres!J39&amp;Paramètres!L39&amp;Paramètres!N39="",Dossiers!$D$22,MAX(IF(Paramètres!J39="",0,IF(Paramètres!K39="",NA(),IF(LEFT(TRIM(Paramètres!K39),1)="F",INDEX($F$977:$F$1029,MATCH(Paramètres!J39,Paramètres!$G$5:$G$57,0)),INDEX($E$977:$E$1029,MATCH(Paramètres!J39,Paramètres!$G$5:$G$57,0)))+IF(RIGHT(TRIM(Paramètres!K39),3)="Fin",1-$H1011,IF(LEFT(TRIM(Paramètres!K39),1)="F",1,0)))),IF(Paramètres!L39="",0,IF(Paramètres!M39="",NA(),IF(LEFT(TRIM(Paramètres!M39),1)="F",INDEX($F$977:$F$1029,MATCH(Paramètres!L39,Paramètres!$G$5:$G$57,0)),INDEX($E$977:$E$1029,MATCH(Paramètres!L39,Paramètres!$G$5:$G$57,0)))+IF(RIGHT(TRIM(Paramètres!M39),3)="Fin",1-$H1011,IF(LEFT(TRIM(Paramètres!M39),1)="F",1,0)))),IF(Paramètres!N39="",0,IF(Paramètres!O39="",NA(),IF(LEFT(TRIM(Paramètres!O39),1)="F",INDEX($F$977:$F$1029,MATCH(Paramètres!N39,Paramètres!$G$5:$G$57,0)),INDEX($E$977:$E$1029,MATCH(Paramètres!N39,Paramètres!$G$5:$G$57,0)))+IF(RIGHT(TRIM(Paramètres!O39),3)="Fin",1-$H1011,IF(LEFT(TRIM(Paramètres!O39),1)="F",1,0)))))))</f>
        <v/>
      </c>
      <c r="F1011" s="19">
        <f>IF($A1011="","",E1011+$H1011-1)</f>
        <v/>
      </c>
      <c r="G1011" s="18" t="n"/>
      <c r="H1011" s="18">
        <f>IF($A1011="","",IF(I1011&lt;&gt;"",I1011,Paramètres!B39))</f>
        <v/>
      </c>
      <c r="I1011" s="18" t="n"/>
    </row>
    <row r="1012">
      <c r="A1012" s="18">
        <f>IF(ISNUMBER(Dossiers!$D$22),Dossiers!$A$22&amp;" · "&amp;Dossiers!$B$22,"")</f>
        <v/>
      </c>
      <c r="B1012" s="18">
        <f>IF($A1012="","",Paramètres!G40)</f>
        <v/>
      </c>
      <c r="C1012" s="18">
        <f>IF($A1012="","",IF(Paramètres!H40="","",Paramètres!H40))</f>
        <v/>
      </c>
      <c r="D1012" s="18">
        <f>IF($A1012="","",IF(Paramètres!I40="","",Paramètres!I40))</f>
        <v/>
      </c>
      <c r="E1012" s="19">
        <f>IF($A1012="","",IF(Paramètres!J40&amp;Paramètres!L40&amp;Paramètres!N40="",Dossiers!$D$22,MAX(IF(Paramètres!J40="",0,IF(Paramètres!K40="",NA(),IF(LEFT(TRIM(Paramètres!K40),1)="F",INDEX($F$977:$F$1029,MATCH(Paramètres!J40,Paramètres!$G$5:$G$57,0)),INDEX($E$977:$E$1029,MATCH(Paramètres!J40,Paramètres!$G$5:$G$57,0)))+IF(RIGHT(TRIM(Paramètres!K40),3)="Fin",1-$H1012,IF(LEFT(TRIM(Paramètres!K40),1)="F",1,0)))),IF(Paramètres!L40="",0,IF(Paramètres!M40="",NA(),IF(LEFT(TRIM(Paramètres!M40),1)="F",INDEX($F$977:$F$1029,MATCH(Paramètres!L40,Paramètres!$G$5:$G$57,0)),INDEX($E$977:$E$1029,MATCH(Paramètres!L40,Paramètres!$G$5:$G$57,0)))+IF(RIGHT(TRIM(Paramètres!M40),3)="Fin",1-$H1012,IF(LEFT(TRIM(Paramètres!M40),1)="F",1,0)))),IF(Paramètres!N40="",0,IF(Paramètres!O40="",NA(),IF(LEFT(TRIM(Paramètres!O40),1)="F",INDEX($F$977:$F$1029,MATCH(Paramètres!N40,Paramètres!$G$5:$G$57,0)),INDEX($E$977:$E$1029,MATCH(Paramètres!N40,Paramètres!$G$5:$G$57,0)))+IF(RIGHT(TRIM(Paramètres!O40),3)="Fin",1-$H1012,IF(LEFT(TRIM(Paramètres!O40),1)="F",1,0)))))))</f>
        <v/>
      </c>
      <c r="F1012" s="19">
        <f>IF($A1012="","",E1012+$H1012-1)</f>
        <v/>
      </c>
      <c r="G1012" s="18" t="n"/>
      <c r="H1012" s="18">
        <f>IF($A1012="","",IF(I1012&lt;&gt;"",I1012,Paramètres!B40))</f>
        <v/>
      </c>
      <c r="I1012" s="18" t="n"/>
    </row>
    <row r="1013">
      <c r="A1013" s="18">
        <f>IF(ISNUMBER(Dossiers!$D$22),Dossiers!$A$22&amp;" · "&amp;Dossiers!$B$22,"")</f>
        <v/>
      </c>
      <c r="B1013" s="18">
        <f>IF($A1013="","",Paramètres!G41)</f>
        <v/>
      </c>
      <c r="C1013" s="18">
        <f>IF($A1013="","",IF(Paramètres!H41="","",Paramètres!H41))</f>
        <v/>
      </c>
      <c r="D1013" s="18">
        <f>IF($A1013="","",IF(Paramètres!I41="","",Paramètres!I41))</f>
        <v/>
      </c>
      <c r="E1013" s="19">
        <f>IF($A1013="","",IF(Paramètres!J41&amp;Paramètres!L41&amp;Paramètres!N41="",Dossiers!$D$22,MAX(IF(Paramètres!J41="",0,IF(Paramètres!K41="",NA(),IF(LEFT(TRIM(Paramètres!K41),1)="F",INDEX($F$977:$F$1029,MATCH(Paramètres!J41,Paramètres!$G$5:$G$57,0)),INDEX($E$977:$E$1029,MATCH(Paramètres!J41,Paramètres!$G$5:$G$57,0)))+IF(RIGHT(TRIM(Paramètres!K41),3)="Fin",1-$H1013,IF(LEFT(TRIM(Paramètres!K41),1)="F",1,0)))),IF(Paramètres!L41="",0,IF(Paramètres!M41="",NA(),IF(LEFT(TRIM(Paramètres!M41),1)="F",INDEX($F$977:$F$1029,MATCH(Paramètres!L41,Paramètres!$G$5:$G$57,0)),INDEX($E$977:$E$1029,MATCH(Paramètres!L41,Paramètres!$G$5:$G$57,0)))+IF(RIGHT(TRIM(Paramètres!M41),3)="Fin",1-$H1013,IF(LEFT(TRIM(Paramètres!M41),1)="F",1,0)))),IF(Paramètres!N41="",0,IF(Paramètres!O41="",NA(),IF(LEFT(TRIM(Paramètres!O41),1)="F",INDEX($F$977:$F$1029,MATCH(Paramètres!N41,Paramètres!$G$5:$G$57,0)),INDEX($E$977:$E$1029,MATCH(Paramètres!N41,Paramètres!$G$5:$G$57,0)))+IF(RIGHT(TRIM(Paramètres!O41),3)="Fin",1-$H1013,IF(LEFT(TRIM(Paramètres!O41),1)="F",1,0)))))))</f>
        <v/>
      </c>
      <c r="F1013" s="19">
        <f>IF($A1013="","",E1013+$H1013-1)</f>
        <v/>
      </c>
      <c r="G1013" s="18" t="n"/>
      <c r="H1013" s="18">
        <f>IF($A1013="","",IF(I1013&lt;&gt;"",I1013,Paramètres!B41))</f>
        <v/>
      </c>
      <c r="I1013" s="18" t="n"/>
    </row>
    <row r="1014">
      <c r="A1014" s="18">
        <f>IF(ISNUMBER(Dossiers!$D$22),Dossiers!$A$22&amp;" · "&amp;Dossiers!$B$22,"")</f>
        <v/>
      </c>
      <c r="B1014" s="18">
        <f>IF($A1014="","",Paramètres!G42)</f>
        <v/>
      </c>
      <c r="C1014" s="18">
        <f>IF($A1014="","",IF(Paramètres!H42="","",Paramètres!H42))</f>
        <v/>
      </c>
      <c r="D1014" s="18">
        <f>IF($A1014="","",IF(Paramètres!I42="","",Paramètres!I42))</f>
        <v/>
      </c>
      <c r="E1014" s="19">
        <f>IF($A1014="","",IF(Paramètres!J42&amp;Paramètres!L42&amp;Paramètres!N42="",Dossiers!$D$22,MAX(IF(Paramètres!J42="",0,IF(Paramètres!K42="",NA(),IF(LEFT(TRIM(Paramètres!K42),1)="F",INDEX($F$977:$F$1029,MATCH(Paramètres!J42,Paramètres!$G$5:$G$57,0)),INDEX($E$977:$E$1029,MATCH(Paramètres!J42,Paramètres!$G$5:$G$57,0)))+IF(RIGHT(TRIM(Paramètres!K42),3)="Fin",1-$H1014,IF(LEFT(TRIM(Paramètres!K42),1)="F",1,0)))),IF(Paramètres!L42="",0,IF(Paramètres!M42="",NA(),IF(LEFT(TRIM(Paramètres!M42),1)="F",INDEX($F$977:$F$1029,MATCH(Paramètres!L42,Paramètres!$G$5:$G$57,0)),INDEX($E$977:$E$1029,MATCH(Paramètres!L42,Paramètres!$G$5:$G$57,0)))+IF(RIGHT(TRIM(Paramètres!M42),3)="Fin",1-$H1014,IF(LEFT(TRIM(Paramètres!M42),1)="F",1,0)))),IF(Paramètres!N42="",0,IF(Paramètres!O42="",NA(),IF(LEFT(TRIM(Paramètres!O42),1)="F",INDEX($F$977:$F$1029,MATCH(Paramètres!N42,Paramètres!$G$5:$G$57,0)),INDEX($E$977:$E$1029,MATCH(Paramètres!N42,Paramètres!$G$5:$G$57,0)))+IF(RIGHT(TRIM(Paramètres!O42),3)="Fin",1-$H1014,IF(LEFT(TRIM(Paramètres!O42),1)="F",1,0)))))))</f>
        <v/>
      </c>
      <c r="F1014" s="19">
        <f>IF($A1014="","",E1014+$H1014-1)</f>
        <v/>
      </c>
      <c r="G1014" s="18" t="n"/>
      <c r="H1014" s="18">
        <f>IF($A1014="","",IF(I1014&lt;&gt;"",I1014,Paramètres!B42))</f>
        <v/>
      </c>
      <c r="I1014" s="18" t="n"/>
    </row>
    <row r="1015">
      <c r="A1015" s="18">
        <f>IF(ISNUMBER(Dossiers!$D$22),Dossiers!$A$22&amp;" · "&amp;Dossiers!$B$22,"")</f>
        <v/>
      </c>
      <c r="B1015" s="18">
        <f>IF($A1015="","",Paramètres!G43)</f>
        <v/>
      </c>
      <c r="C1015" s="18">
        <f>IF($A1015="","",IF(Paramètres!H43="","",Paramètres!H43))</f>
        <v/>
      </c>
      <c r="D1015" s="18">
        <f>IF($A1015="","",IF(Paramètres!I43="","",Paramètres!I43))</f>
        <v/>
      </c>
      <c r="E1015" s="19">
        <f>IF($A1015="","",IF(Paramètres!J43&amp;Paramètres!L43&amp;Paramètres!N43="",Dossiers!$D$22,MAX(IF(Paramètres!J43="",0,IF(Paramètres!K43="",NA(),IF(LEFT(TRIM(Paramètres!K43),1)="F",INDEX($F$977:$F$1029,MATCH(Paramètres!J43,Paramètres!$G$5:$G$57,0)),INDEX($E$977:$E$1029,MATCH(Paramètres!J43,Paramètres!$G$5:$G$57,0)))+IF(RIGHT(TRIM(Paramètres!K43),3)="Fin",1-$H1015,IF(LEFT(TRIM(Paramètres!K43),1)="F",1,0)))),IF(Paramètres!L43="",0,IF(Paramètres!M43="",NA(),IF(LEFT(TRIM(Paramètres!M43),1)="F",INDEX($F$977:$F$1029,MATCH(Paramètres!L43,Paramètres!$G$5:$G$57,0)),INDEX($E$977:$E$1029,MATCH(Paramètres!L43,Paramètres!$G$5:$G$57,0)))+IF(RIGHT(TRIM(Paramètres!M43),3)="Fin",1-$H1015,IF(LEFT(TRIM(Paramètres!M43),1)="F",1,0)))),IF(Paramètres!N43="",0,IF(Paramètres!O43="",NA(),IF(LEFT(TRIM(Paramètres!O43),1)="F",INDEX($F$977:$F$1029,MATCH(Paramètres!N43,Paramètres!$G$5:$G$57,0)),INDEX($E$977:$E$1029,MATCH(Paramètres!N43,Paramètres!$G$5:$G$57,0)))+IF(RIGHT(TRIM(Paramètres!O43),3)="Fin",1-$H1015,IF(LEFT(TRIM(Paramètres!O43),1)="F",1,0)))))))</f>
        <v/>
      </c>
      <c r="F1015" s="19">
        <f>IF($A1015="","",E1015+$H1015-1)</f>
        <v/>
      </c>
      <c r="G1015" s="18" t="n"/>
      <c r="H1015" s="18">
        <f>IF($A1015="","",IF(I1015&lt;&gt;"",I1015,Paramètres!B43))</f>
        <v/>
      </c>
      <c r="I1015" s="18" t="n"/>
    </row>
    <row r="1016">
      <c r="A1016" s="18">
        <f>IF(ISNUMBER(Dossiers!$D$22),Dossiers!$A$22&amp;" · "&amp;Dossiers!$B$22,"")</f>
        <v/>
      </c>
      <c r="B1016" s="18">
        <f>IF($A1016="","",Paramètres!G44)</f>
        <v/>
      </c>
      <c r="C1016" s="18">
        <f>IF($A1016="","",IF(Paramètres!H44="","",Paramètres!H44))</f>
        <v/>
      </c>
      <c r="D1016" s="18">
        <f>IF($A1016="","",IF(Paramètres!I44="","",Paramètres!I44))</f>
        <v/>
      </c>
      <c r="E1016" s="19">
        <f>IF($A1016="","",IF(Paramètres!J44&amp;Paramètres!L44&amp;Paramètres!N44="",Dossiers!$D$22,MAX(IF(Paramètres!J44="",0,IF(Paramètres!K44="",NA(),IF(LEFT(TRIM(Paramètres!K44),1)="F",INDEX($F$977:$F$1029,MATCH(Paramètres!J44,Paramètres!$G$5:$G$57,0)),INDEX($E$977:$E$1029,MATCH(Paramètres!J44,Paramètres!$G$5:$G$57,0)))+IF(RIGHT(TRIM(Paramètres!K44),3)="Fin",1-$H1016,IF(LEFT(TRIM(Paramètres!K44),1)="F",1,0)))),IF(Paramètres!L44="",0,IF(Paramètres!M44="",NA(),IF(LEFT(TRIM(Paramètres!M44),1)="F",INDEX($F$977:$F$1029,MATCH(Paramètres!L44,Paramètres!$G$5:$G$57,0)),INDEX($E$977:$E$1029,MATCH(Paramètres!L44,Paramètres!$G$5:$G$57,0)))+IF(RIGHT(TRIM(Paramètres!M44),3)="Fin",1-$H1016,IF(LEFT(TRIM(Paramètres!M44),1)="F",1,0)))),IF(Paramètres!N44="",0,IF(Paramètres!O44="",NA(),IF(LEFT(TRIM(Paramètres!O44),1)="F",INDEX($F$977:$F$1029,MATCH(Paramètres!N44,Paramètres!$G$5:$G$57,0)),INDEX($E$977:$E$1029,MATCH(Paramètres!N44,Paramètres!$G$5:$G$57,0)))+IF(RIGHT(TRIM(Paramètres!O44),3)="Fin",1-$H1016,IF(LEFT(TRIM(Paramètres!O44),1)="F",1,0)))))))</f>
        <v/>
      </c>
      <c r="F1016" s="19">
        <f>IF($A1016="","",E1016+$H1016-1)</f>
        <v/>
      </c>
      <c r="G1016" s="18" t="n"/>
      <c r="H1016" s="18">
        <f>IF($A1016="","",IF(I1016&lt;&gt;"",I1016,Paramètres!B44))</f>
        <v/>
      </c>
      <c r="I1016" s="18" t="n"/>
    </row>
    <row r="1017">
      <c r="A1017" s="18">
        <f>IF(ISNUMBER(Dossiers!$D$22),Dossiers!$A$22&amp;" · "&amp;Dossiers!$B$22,"")</f>
        <v/>
      </c>
      <c r="B1017" s="18">
        <f>IF($A1017="","",Paramètres!G45)</f>
        <v/>
      </c>
      <c r="C1017" s="20">
        <f>IF($A1017="","",IF(Dossiers!$G$22="","",Dossiers!$G$22))</f>
        <v/>
      </c>
      <c r="D1017" s="18">
        <f>IF($A1017="","",IF(Paramètres!I45="","",Paramètres!I45))</f>
        <v/>
      </c>
      <c r="E1017" s="19">
        <f>IF($A1017="","",IF(Paramètres!J45&amp;Paramètres!L45&amp;Paramètres!N45="",Dossiers!$D$22,MAX(IF(Paramètres!J45="",0,IF(Paramètres!K45="",NA(),IF(LEFT(TRIM(Paramètres!K45),1)="F",INDEX($F$977:$F$1029,MATCH(Paramètres!J45,Paramètres!$G$5:$G$57,0)),INDEX($E$977:$E$1029,MATCH(Paramètres!J45,Paramètres!$G$5:$G$57,0)))+IF(RIGHT(TRIM(Paramètres!K45),3)="Fin",1-$H1017,IF(LEFT(TRIM(Paramètres!K45),1)="F",1,0)))),IF(Paramètres!L45="",0,IF(Paramètres!M45="",NA(),IF(LEFT(TRIM(Paramètres!M45),1)="F",INDEX($F$977:$F$1029,MATCH(Paramètres!L45,Paramètres!$G$5:$G$57,0)),INDEX($E$977:$E$1029,MATCH(Paramètres!L45,Paramètres!$G$5:$G$57,0)))+IF(RIGHT(TRIM(Paramètres!M45),3)="Fin",1-$H1017,IF(LEFT(TRIM(Paramètres!M45),1)="F",1,0)))),IF(Paramètres!N45="",0,IF(Paramètres!O45="",NA(),IF(LEFT(TRIM(Paramètres!O45),1)="F",INDEX($F$977:$F$1029,MATCH(Paramètres!N45,Paramètres!$G$5:$G$57,0)),INDEX($E$977:$E$1029,MATCH(Paramètres!N45,Paramètres!$G$5:$G$57,0)))+IF(RIGHT(TRIM(Paramètres!O45),3)="Fin",1-$H1017,IF(LEFT(TRIM(Paramètres!O45),1)="F",1,0)))))))</f>
        <v/>
      </c>
      <c r="F1017" s="19">
        <f>IF($A1017="","",E1017+$H1017-1)</f>
        <v/>
      </c>
      <c r="G1017" s="18" t="n"/>
      <c r="H1017" s="18">
        <f>IF($A1017="","",IF(I1017&lt;&gt;"",I1017,Paramètres!B45))</f>
        <v/>
      </c>
      <c r="I1017" s="18" t="n"/>
    </row>
    <row r="1018">
      <c r="A1018" s="18">
        <f>IF(ISNUMBER(Dossiers!$D$22),Dossiers!$A$22&amp;" · "&amp;Dossiers!$B$22,"")</f>
        <v/>
      </c>
      <c r="B1018" s="18">
        <f>IF($A1018="","",Paramètres!G46)</f>
        <v/>
      </c>
      <c r="C1018" s="18">
        <f>IF($A1018="","",IF(Paramètres!H46="","",Paramètres!H46))</f>
        <v/>
      </c>
      <c r="D1018" s="18">
        <f>IF($A1018="","",IF(Paramètres!I46="","",Paramètres!I46))</f>
        <v/>
      </c>
      <c r="E1018" s="19">
        <f>IF($A1018="","",IF(Paramètres!J46&amp;Paramètres!L46&amp;Paramètres!N46="",Dossiers!$D$22,MAX(IF(Paramètres!J46="",0,IF(Paramètres!K46="",NA(),IF(LEFT(TRIM(Paramètres!K46),1)="F",INDEX($F$977:$F$1029,MATCH(Paramètres!J46,Paramètres!$G$5:$G$57,0)),INDEX($E$977:$E$1029,MATCH(Paramètres!J46,Paramètres!$G$5:$G$57,0)))+IF(RIGHT(TRIM(Paramètres!K46),3)="Fin",1-$H1018,IF(LEFT(TRIM(Paramètres!K46),1)="F",1,0)))),IF(Paramètres!L46="",0,IF(Paramètres!M46="",NA(),IF(LEFT(TRIM(Paramètres!M46),1)="F",INDEX($F$977:$F$1029,MATCH(Paramètres!L46,Paramètres!$G$5:$G$57,0)),INDEX($E$977:$E$1029,MATCH(Paramètres!L46,Paramètres!$G$5:$G$57,0)))+IF(RIGHT(TRIM(Paramètres!M46),3)="Fin",1-$H1018,IF(LEFT(TRIM(Paramètres!M46),1)="F",1,0)))),IF(Paramètres!N46="",0,IF(Paramètres!O46="",NA(),IF(LEFT(TRIM(Paramètres!O46),1)="F",INDEX($F$977:$F$1029,MATCH(Paramètres!N46,Paramètres!$G$5:$G$57,0)),INDEX($E$977:$E$1029,MATCH(Paramètres!N46,Paramètres!$G$5:$G$57,0)))+IF(RIGHT(TRIM(Paramètres!O46),3)="Fin",1-$H1018,IF(LEFT(TRIM(Paramètres!O46),1)="F",1,0)))))))</f>
        <v/>
      </c>
      <c r="F1018" s="19">
        <f>IF($A1018="","",E1018+$H1018-1)</f>
        <v/>
      </c>
      <c r="G1018" s="18" t="n"/>
      <c r="H1018" s="18">
        <f>IF($A1018="","",IF(I1018&lt;&gt;"",I1018,Paramètres!B46))</f>
        <v/>
      </c>
      <c r="I1018" s="18" t="n"/>
    </row>
    <row r="1019">
      <c r="A1019" s="18">
        <f>IF(ISNUMBER(Dossiers!$D$22),Dossiers!$A$22&amp;" · "&amp;Dossiers!$B$22,"")</f>
        <v/>
      </c>
      <c r="B1019" s="18">
        <f>IF($A1019="","",Paramètres!G47)</f>
        <v/>
      </c>
      <c r="C1019" s="18">
        <f>IF($A1019="","",IF(Paramètres!H47="","",Paramètres!H47))</f>
        <v/>
      </c>
      <c r="D1019" s="18">
        <f>IF($A1019="","",IF(Paramètres!I47="","",Paramètres!I47))</f>
        <v/>
      </c>
      <c r="E1019" s="19">
        <f>IF($A1019="","",IF(Paramètres!J47&amp;Paramètres!L47&amp;Paramètres!N47="",Dossiers!$D$22,MAX(IF(Paramètres!J47="",0,IF(Paramètres!K47="",NA(),IF(LEFT(TRIM(Paramètres!K47),1)="F",INDEX($F$977:$F$1029,MATCH(Paramètres!J47,Paramètres!$G$5:$G$57,0)),INDEX($E$977:$E$1029,MATCH(Paramètres!J47,Paramètres!$G$5:$G$57,0)))+IF(RIGHT(TRIM(Paramètres!K47),3)="Fin",1-$H1019,IF(LEFT(TRIM(Paramètres!K47),1)="F",1,0)))),IF(Paramètres!L47="",0,IF(Paramètres!M47="",NA(),IF(LEFT(TRIM(Paramètres!M47),1)="F",INDEX($F$977:$F$1029,MATCH(Paramètres!L47,Paramètres!$G$5:$G$57,0)),INDEX($E$977:$E$1029,MATCH(Paramètres!L47,Paramètres!$G$5:$G$57,0)))+IF(RIGHT(TRIM(Paramètres!M47),3)="Fin",1-$H1019,IF(LEFT(TRIM(Paramètres!M47),1)="F",1,0)))),IF(Paramètres!N47="",0,IF(Paramètres!O47="",NA(),IF(LEFT(TRIM(Paramètres!O47),1)="F",INDEX($F$977:$F$1029,MATCH(Paramètres!N47,Paramètres!$G$5:$G$57,0)),INDEX($E$977:$E$1029,MATCH(Paramètres!N47,Paramètres!$G$5:$G$57,0)))+IF(RIGHT(TRIM(Paramètres!O47),3)="Fin",1-$H1019,IF(LEFT(TRIM(Paramètres!O47),1)="F",1,0)))))))</f>
        <v/>
      </c>
      <c r="F1019" s="19">
        <f>IF($A1019="","",E1019+$H1019-1)</f>
        <v/>
      </c>
      <c r="G1019" s="18" t="n"/>
      <c r="H1019" s="18">
        <f>IF($A1019="","",IF(I1019&lt;&gt;"",I1019,Paramètres!B47))</f>
        <v/>
      </c>
      <c r="I1019" s="18" t="n"/>
    </row>
    <row r="1020">
      <c r="A1020" s="18">
        <f>IF(ISNUMBER(Dossiers!$D$22),Dossiers!$A$22&amp;" · "&amp;Dossiers!$B$22,"")</f>
        <v/>
      </c>
      <c r="B1020" s="18">
        <f>IF($A1020="","",Paramètres!G48)</f>
        <v/>
      </c>
      <c r="C1020" s="18">
        <f>IF($A1020="","",IF(Paramètres!H48="","",Paramètres!H48))</f>
        <v/>
      </c>
      <c r="D1020" s="18">
        <f>IF($A1020="","",IF(Paramètres!I48="","",Paramètres!I48))</f>
        <v/>
      </c>
      <c r="E1020" s="19">
        <f>IF($A1020="","",IF(Paramètres!J48&amp;Paramètres!L48&amp;Paramètres!N48="",Dossiers!$D$22,MAX(IF(Paramètres!J48="",0,IF(Paramètres!K48="",NA(),IF(LEFT(TRIM(Paramètres!K48),1)="F",INDEX($F$977:$F$1029,MATCH(Paramètres!J48,Paramètres!$G$5:$G$57,0)),INDEX($E$977:$E$1029,MATCH(Paramètres!J48,Paramètres!$G$5:$G$57,0)))+IF(RIGHT(TRIM(Paramètres!K48),3)="Fin",1-$H1020,IF(LEFT(TRIM(Paramètres!K48),1)="F",1,0)))),IF(Paramètres!L48="",0,IF(Paramètres!M48="",NA(),IF(LEFT(TRIM(Paramètres!M48),1)="F",INDEX($F$977:$F$1029,MATCH(Paramètres!L48,Paramètres!$G$5:$G$57,0)),INDEX($E$977:$E$1029,MATCH(Paramètres!L48,Paramètres!$G$5:$G$57,0)))+IF(RIGHT(TRIM(Paramètres!M48),3)="Fin",1-$H1020,IF(LEFT(TRIM(Paramètres!M48),1)="F",1,0)))),IF(Paramètres!N48="",0,IF(Paramètres!O48="",NA(),IF(LEFT(TRIM(Paramètres!O48),1)="F",INDEX($F$977:$F$1029,MATCH(Paramètres!N48,Paramètres!$G$5:$G$57,0)),INDEX($E$977:$E$1029,MATCH(Paramètres!N48,Paramètres!$G$5:$G$57,0)))+IF(RIGHT(TRIM(Paramètres!O48),3)="Fin",1-$H1020,IF(LEFT(TRIM(Paramètres!O48),1)="F",1,0)))))))</f>
        <v/>
      </c>
      <c r="F1020" s="19">
        <f>IF($A1020="","",E1020+$H1020-1)</f>
        <v/>
      </c>
      <c r="G1020" s="18" t="n"/>
      <c r="H1020" s="18">
        <f>IF($A1020="","",IF(I1020&lt;&gt;"",I1020,Paramètres!B48))</f>
        <v/>
      </c>
      <c r="I1020" s="18" t="n"/>
    </row>
    <row r="1021">
      <c r="A1021" s="18">
        <f>IF(ISNUMBER(Dossiers!$D$22),Dossiers!$A$22&amp;" · "&amp;Dossiers!$B$22,"")</f>
        <v/>
      </c>
      <c r="B1021" s="18">
        <f>IF($A1021="","",Paramètres!G49)</f>
        <v/>
      </c>
      <c r="C1021" s="18">
        <f>IF($A1021="","",IF(Paramètres!H49="","",Paramètres!H49))</f>
        <v/>
      </c>
      <c r="D1021" s="18">
        <f>IF($A1021="","",IF(Paramètres!I49="","",Paramètres!I49))</f>
        <v/>
      </c>
      <c r="E1021" s="19">
        <f>IF($A1021="","",IF(Paramètres!J49&amp;Paramètres!L49&amp;Paramètres!N49="",Dossiers!$D$22,MAX(IF(Paramètres!J49="",0,IF(Paramètres!K49="",NA(),IF(LEFT(TRIM(Paramètres!K49),1)="F",INDEX($F$977:$F$1029,MATCH(Paramètres!J49,Paramètres!$G$5:$G$57,0)),INDEX($E$977:$E$1029,MATCH(Paramètres!J49,Paramètres!$G$5:$G$57,0)))+IF(RIGHT(TRIM(Paramètres!K49),3)="Fin",1-$H1021,IF(LEFT(TRIM(Paramètres!K49),1)="F",1,0)))),IF(Paramètres!L49="",0,IF(Paramètres!M49="",NA(),IF(LEFT(TRIM(Paramètres!M49),1)="F",INDEX($F$977:$F$1029,MATCH(Paramètres!L49,Paramètres!$G$5:$G$57,0)),INDEX($E$977:$E$1029,MATCH(Paramètres!L49,Paramètres!$G$5:$G$57,0)))+IF(RIGHT(TRIM(Paramètres!M49),3)="Fin",1-$H1021,IF(LEFT(TRIM(Paramètres!M49),1)="F",1,0)))),IF(Paramètres!N49="",0,IF(Paramètres!O49="",NA(),IF(LEFT(TRIM(Paramètres!O49),1)="F",INDEX($F$977:$F$1029,MATCH(Paramètres!N49,Paramètres!$G$5:$G$57,0)),INDEX($E$977:$E$1029,MATCH(Paramètres!N49,Paramètres!$G$5:$G$57,0)))+IF(RIGHT(TRIM(Paramètres!O49),3)="Fin",1-$H1021,IF(LEFT(TRIM(Paramètres!O49),1)="F",1,0)))))))</f>
        <v/>
      </c>
      <c r="F1021" s="19">
        <f>IF($A1021="","",E1021+$H1021-1)</f>
        <v/>
      </c>
      <c r="G1021" s="18" t="n"/>
      <c r="H1021" s="18">
        <f>IF($A1021="","",IF(I1021&lt;&gt;"",I1021,Paramètres!B49))</f>
        <v/>
      </c>
      <c r="I1021" s="18" t="n"/>
    </row>
    <row r="1022">
      <c r="A1022" s="18">
        <f>IF(ISNUMBER(Dossiers!$D$22),Dossiers!$A$22&amp;" · "&amp;Dossiers!$B$22,"")</f>
        <v/>
      </c>
      <c r="B1022" s="18">
        <f>IF($A1022="","",Paramètres!G50)</f>
        <v/>
      </c>
      <c r="C1022" s="18">
        <f>IF($A1022="","",IF(Paramètres!H50="","",Paramètres!H50))</f>
        <v/>
      </c>
      <c r="D1022" s="18">
        <f>IF($A1022="","",IF(Paramètres!I50="","",Paramètres!I50))</f>
        <v/>
      </c>
      <c r="E1022" s="19">
        <f>IF($A1022="","",IF(Paramètres!J50&amp;Paramètres!L50&amp;Paramètres!N50="",Dossiers!$D$22,MAX(IF(Paramètres!J50="",0,IF(Paramètres!K50="",NA(),IF(LEFT(TRIM(Paramètres!K50),1)="F",INDEX($F$977:$F$1029,MATCH(Paramètres!J50,Paramètres!$G$5:$G$57,0)),INDEX($E$977:$E$1029,MATCH(Paramètres!J50,Paramètres!$G$5:$G$57,0)))+IF(RIGHT(TRIM(Paramètres!K50),3)="Fin",1-$H1022,IF(LEFT(TRIM(Paramètres!K50),1)="F",1,0)))),IF(Paramètres!L50="",0,IF(Paramètres!M50="",NA(),IF(LEFT(TRIM(Paramètres!M50),1)="F",INDEX($F$977:$F$1029,MATCH(Paramètres!L50,Paramètres!$G$5:$G$57,0)),INDEX($E$977:$E$1029,MATCH(Paramètres!L50,Paramètres!$G$5:$G$57,0)))+IF(RIGHT(TRIM(Paramètres!M50),3)="Fin",1-$H1022,IF(LEFT(TRIM(Paramètres!M50),1)="F",1,0)))),IF(Paramètres!N50="",0,IF(Paramètres!O50="",NA(),IF(LEFT(TRIM(Paramètres!O50),1)="F",INDEX($F$977:$F$1029,MATCH(Paramètres!N50,Paramètres!$G$5:$G$57,0)),INDEX($E$977:$E$1029,MATCH(Paramètres!N50,Paramètres!$G$5:$G$57,0)))+IF(RIGHT(TRIM(Paramètres!O50),3)="Fin",1-$H1022,IF(LEFT(TRIM(Paramètres!O50),1)="F",1,0)))))))</f>
        <v/>
      </c>
      <c r="F1022" s="19">
        <f>IF($A1022="","",E1022+$H1022-1)</f>
        <v/>
      </c>
      <c r="G1022" s="18" t="n"/>
      <c r="H1022" s="18">
        <f>IF($A1022="","",IF(I1022&lt;&gt;"",I1022,Paramètres!B50))</f>
        <v/>
      </c>
      <c r="I1022" s="18" t="n"/>
    </row>
    <row r="1023">
      <c r="A1023" s="18">
        <f>IF(ISNUMBER(Dossiers!$D$22),Dossiers!$A$22&amp;" · "&amp;Dossiers!$B$22,"")</f>
        <v/>
      </c>
      <c r="B1023" s="18">
        <f>IF($A1023="","",Paramètres!G51)</f>
        <v/>
      </c>
      <c r="C1023" s="18">
        <f>IF($A1023="","",IF(Paramètres!H51="","",Paramètres!H51))</f>
        <v/>
      </c>
      <c r="D1023" s="18">
        <f>IF($A1023="","",IF(Paramètres!I51="","",Paramètres!I51))</f>
        <v/>
      </c>
      <c r="E1023" s="19">
        <f>IF($A1023="","",IF(Paramètres!J51&amp;Paramètres!L51&amp;Paramètres!N51="",Dossiers!$D$22,MAX(IF(Paramètres!J51="",0,IF(Paramètres!K51="",NA(),IF(LEFT(TRIM(Paramètres!K51),1)="F",INDEX($F$977:$F$1029,MATCH(Paramètres!J51,Paramètres!$G$5:$G$57,0)),INDEX($E$977:$E$1029,MATCH(Paramètres!J51,Paramètres!$G$5:$G$57,0)))+IF(RIGHT(TRIM(Paramètres!K51),3)="Fin",1-$H1023,IF(LEFT(TRIM(Paramètres!K51),1)="F",1,0)))),IF(Paramètres!L51="",0,IF(Paramètres!M51="",NA(),IF(LEFT(TRIM(Paramètres!M51),1)="F",INDEX($F$977:$F$1029,MATCH(Paramètres!L51,Paramètres!$G$5:$G$57,0)),INDEX($E$977:$E$1029,MATCH(Paramètres!L51,Paramètres!$G$5:$G$57,0)))+IF(RIGHT(TRIM(Paramètres!M51),3)="Fin",1-$H1023,IF(LEFT(TRIM(Paramètres!M51),1)="F",1,0)))),IF(Paramètres!N51="",0,IF(Paramètres!O51="",NA(),IF(LEFT(TRIM(Paramètres!O51),1)="F",INDEX($F$977:$F$1029,MATCH(Paramètres!N51,Paramètres!$G$5:$G$57,0)),INDEX($E$977:$E$1029,MATCH(Paramètres!N51,Paramètres!$G$5:$G$57,0)))+IF(RIGHT(TRIM(Paramètres!O51),3)="Fin",1-$H1023,IF(LEFT(TRIM(Paramètres!O51),1)="F",1,0)))))))</f>
        <v/>
      </c>
      <c r="F1023" s="19">
        <f>IF($A1023="","",E1023+$H1023-1)</f>
        <v/>
      </c>
      <c r="G1023" s="18" t="n"/>
      <c r="H1023" s="18">
        <f>IF($A1023="","",IF(I1023&lt;&gt;"",I1023,Paramètres!B51))</f>
        <v/>
      </c>
      <c r="I1023" s="18" t="n"/>
    </row>
    <row r="1024">
      <c r="A1024" s="18">
        <f>IF(ISNUMBER(Dossiers!$D$22),Dossiers!$A$22&amp;" · "&amp;Dossiers!$B$22,"")</f>
        <v/>
      </c>
      <c r="B1024" s="18">
        <f>IF($A1024="","",Paramètres!G52)</f>
        <v/>
      </c>
      <c r="C1024" s="18">
        <f>IF($A1024="","",IF(Paramètres!H52="","",Paramètres!H52))</f>
        <v/>
      </c>
      <c r="D1024" s="18">
        <f>IF($A1024="","",IF(Paramètres!I52="","",Paramètres!I52))</f>
        <v/>
      </c>
      <c r="E1024" s="19">
        <f>IF($A1024="","",IF(Paramètres!J52&amp;Paramètres!L52&amp;Paramètres!N52="",Dossiers!$D$22,MAX(IF(Paramètres!J52="",0,IF(Paramètres!K52="",NA(),IF(LEFT(TRIM(Paramètres!K52),1)="F",INDEX($F$977:$F$1029,MATCH(Paramètres!J52,Paramètres!$G$5:$G$57,0)),INDEX($E$977:$E$1029,MATCH(Paramètres!J52,Paramètres!$G$5:$G$57,0)))+IF(RIGHT(TRIM(Paramètres!K52),3)="Fin",1-$H1024,IF(LEFT(TRIM(Paramètres!K52),1)="F",1,0)))),IF(Paramètres!L52="",0,IF(Paramètres!M52="",NA(),IF(LEFT(TRIM(Paramètres!M52),1)="F",INDEX($F$977:$F$1029,MATCH(Paramètres!L52,Paramètres!$G$5:$G$57,0)),INDEX($E$977:$E$1029,MATCH(Paramètres!L52,Paramètres!$G$5:$G$57,0)))+IF(RIGHT(TRIM(Paramètres!M52),3)="Fin",1-$H1024,IF(LEFT(TRIM(Paramètres!M52),1)="F",1,0)))),IF(Paramètres!N52="",0,IF(Paramètres!O52="",NA(),IF(LEFT(TRIM(Paramètres!O52),1)="F",INDEX($F$977:$F$1029,MATCH(Paramètres!N52,Paramètres!$G$5:$G$57,0)),INDEX($E$977:$E$1029,MATCH(Paramètres!N52,Paramètres!$G$5:$G$57,0)))+IF(RIGHT(TRIM(Paramètres!O52),3)="Fin",1-$H1024,IF(LEFT(TRIM(Paramètres!O52),1)="F",1,0)))))))</f>
        <v/>
      </c>
      <c r="F1024" s="19">
        <f>IF($A1024="","",E1024+$H1024-1)</f>
        <v/>
      </c>
      <c r="G1024" s="18" t="n"/>
      <c r="H1024" s="18">
        <f>IF($A1024="","",IF(I1024&lt;&gt;"",I1024,Paramètres!B52))</f>
        <v/>
      </c>
      <c r="I1024" s="18" t="n"/>
    </row>
    <row r="1025">
      <c r="A1025" s="18">
        <f>IF(ISNUMBER(Dossiers!$D$22),Dossiers!$A$22&amp;" · "&amp;Dossiers!$B$22,"")</f>
        <v/>
      </c>
      <c r="B1025" s="18">
        <f>IF($A1025="","",Paramètres!G53)</f>
        <v/>
      </c>
      <c r="C1025" s="18">
        <f>IF($A1025="","",IF(Paramètres!H53="","",Paramètres!H53))</f>
        <v/>
      </c>
      <c r="D1025" s="18">
        <f>IF($A1025="","",IF(Paramètres!I53="","",Paramètres!I53))</f>
        <v/>
      </c>
      <c r="E1025" s="19">
        <f>IF($A1025="","",IF(Paramètres!J53&amp;Paramètres!L53&amp;Paramètres!N53="",Dossiers!$D$22,MAX(IF(Paramètres!J53="",0,IF(Paramètres!K53="",NA(),IF(LEFT(TRIM(Paramètres!K53),1)="F",INDEX($F$977:$F$1029,MATCH(Paramètres!J53,Paramètres!$G$5:$G$57,0)),INDEX($E$977:$E$1029,MATCH(Paramètres!J53,Paramètres!$G$5:$G$57,0)))+IF(RIGHT(TRIM(Paramètres!K53),3)="Fin",1-$H1025,IF(LEFT(TRIM(Paramètres!K53),1)="F",1,0)))),IF(Paramètres!L53="",0,IF(Paramètres!M53="",NA(),IF(LEFT(TRIM(Paramètres!M53),1)="F",INDEX($F$977:$F$1029,MATCH(Paramètres!L53,Paramètres!$G$5:$G$57,0)),INDEX($E$977:$E$1029,MATCH(Paramètres!L53,Paramètres!$G$5:$G$57,0)))+IF(RIGHT(TRIM(Paramètres!M53),3)="Fin",1-$H1025,IF(LEFT(TRIM(Paramètres!M53),1)="F",1,0)))),IF(Paramètres!N53="",0,IF(Paramètres!O53="",NA(),IF(LEFT(TRIM(Paramètres!O53),1)="F",INDEX($F$977:$F$1029,MATCH(Paramètres!N53,Paramètres!$G$5:$G$57,0)),INDEX($E$977:$E$1029,MATCH(Paramètres!N53,Paramètres!$G$5:$G$57,0)))+IF(RIGHT(TRIM(Paramètres!O53),3)="Fin",1-$H1025,IF(LEFT(TRIM(Paramètres!O53),1)="F",1,0)))))))</f>
        <v/>
      </c>
      <c r="F1025" s="19">
        <f>IF($A1025="","",E1025+$H1025-1)</f>
        <v/>
      </c>
      <c r="G1025" s="18" t="n"/>
      <c r="H1025" s="18">
        <f>IF($A1025="","",IF(I1025&lt;&gt;"",I1025,Paramètres!B53))</f>
        <v/>
      </c>
      <c r="I1025" s="18" t="n"/>
    </row>
    <row r="1026">
      <c r="A1026" s="18">
        <f>IF(ISNUMBER(Dossiers!$D$22),Dossiers!$A$22&amp;" · "&amp;Dossiers!$B$22,"")</f>
        <v/>
      </c>
      <c r="B1026" s="18">
        <f>IF($A1026="","",Paramètres!G54)</f>
        <v/>
      </c>
      <c r="C1026" s="18">
        <f>IF($A1026="","",IF(Paramètres!H54="","",Paramètres!H54))</f>
        <v/>
      </c>
      <c r="D1026" s="18">
        <f>IF($A1026="","",IF(Paramètres!I54="","",Paramètres!I54))</f>
        <v/>
      </c>
      <c r="E1026" s="19">
        <f>IF($A1026="","",IF(Paramètres!J54&amp;Paramètres!L54&amp;Paramètres!N54="",Dossiers!$D$22,MAX(IF(Paramètres!J54="",0,IF(Paramètres!K54="",NA(),IF(LEFT(TRIM(Paramètres!K54),1)="F",INDEX($F$977:$F$1029,MATCH(Paramètres!J54,Paramètres!$G$5:$G$57,0)),INDEX($E$977:$E$1029,MATCH(Paramètres!J54,Paramètres!$G$5:$G$57,0)))+IF(RIGHT(TRIM(Paramètres!K54),3)="Fin",1-$H1026,IF(LEFT(TRIM(Paramètres!K54),1)="F",1,0)))),IF(Paramètres!L54="",0,IF(Paramètres!M54="",NA(),IF(LEFT(TRIM(Paramètres!M54),1)="F",INDEX($F$977:$F$1029,MATCH(Paramètres!L54,Paramètres!$G$5:$G$57,0)),INDEX($E$977:$E$1029,MATCH(Paramètres!L54,Paramètres!$G$5:$G$57,0)))+IF(RIGHT(TRIM(Paramètres!M54),3)="Fin",1-$H1026,IF(LEFT(TRIM(Paramètres!M54),1)="F",1,0)))),IF(Paramètres!N54="",0,IF(Paramètres!O54="",NA(),IF(LEFT(TRIM(Paramètres!O54),1)="F",INDEX($F$977:$F$1029,MATCH(Paramètres!N54,Paramètres!$G$5:$G$57,0)),INDEX($E$977:$E$1029,MATCH(Paramètres!N54,Paramètres!$G$5:$G$57,0)))+IF(RIGHT(TRIM(Paramètres!O54),3)="Fin",1-$H1026,IF(LEFT(TRIM(Paramètres!O54),1)="F",1,0)))))))</f>
        <v/>
      </c>
      <c r="F1026" s="19">
        <f>IF($A1026="","",E1026+$H1026-1)</f>
        <v/>
      </c>
      <c r="G1026" s="18" t="n"/>
      <c r="H1026" s="18">
        <f>IF($A1026="","",IF(I1026&lt;&gt;"",I1026,Paramètres!B54))</f>
        <v/>
      </c>
      <c r="I1026" s="18" t="n"/>
    </row>
    <row r="1027">
      <c r="A1027" s="18">
        <f>IF(ISNUMBER(Dossiers!$D$22),Dossiers!$A$22&amp;" · "&amp;Dossiers!$B$22,"")</f>
        <v/>
      </c>
      <c r="B1027" s="18">
        <f>IF($A1027="","",Paramètres!G55)</f>
        <v/>
      </c>
      <c r="C1027" s="18">
        <f>IF($A1027="","",IF(Paramètres!H55="","",Paramètres!H55))</f>
        <v/>
      </c>
      <c r="D1027" s="18">
        <f>IF($A1027="","",IF(Paramètres!I55="","",Paramètres!I55))</f>
        <v/>
      </c>
      <c r="E1027" s="19">
        <f>IF($A1027="","",IF(Paramètres!J55&amp;Paramètres!L55&amp;Paramètres!N55="",Dossiers!$D$22,MAX(IF(Paramètres!J55="",0,IF(Paramètres!K55="",NA(),IF(LEFT(TRIM(Paramètres!K55),1)="F",INDEX($F$977:$F$1029,MATCH(Paramètres!J55,Paramètres!$G$5:$G$57,0)),INDEX($E$977:$E$1029,MATCH(Paramètres!J55,Paramètres!$G$5:$G$57,0)))+IF(RIGHT(TRIM(Paramètres!K55),3)="Fin",1-$H1027,IF(LEFT(TRIM(Paramètres!K55),1)="F",1,0)))),IF(Paramètres!L55="",0,IF(Paramètres!M55="",NA(),IF(LEFT(TRIM(Paramètres!M55),1)="F",INDEX($F$977:$F$1029,MATCH(Paramètres!L55,Paramètres!$G$5:$G$57,0)),INDEX($E$977:$E$1029,MATCH(Paramètres!L55,Paramètres!$G$5:$G$57,0)))+IF(RIGHT(TRIM(Paramètres!M55),3)="Fin",1-$H1027,IF(LEFT(TRIM(Paramètres!M55),1)="F",1,0)))),IF(Paramètres!N55="",0,IF(Paramètres!O55="",NA(),IF(LEFT(TRIM(Paramètres!O55),1)="F",INDEX($F$977:$F$1029,MATCH(Paramètres!N55,Paramètres!$G$5:$G$57,0)),INDEX($E$977:$E$1029,MATCH(Paramètres!N55,Paramètres!$G$5:$G$57,0)))+IF(RIGHT(TRIM(Paramètres!O55),3)="Fin",1-$H1027,IF(LEFT(TRIM(Paramètres!O55),1)="F",1,0)))))))</f>
        <v/>
      </c>
      <c r="F1027" s="19">
        <f>IF($A1027="","",E1027+$H1027-1)</f>
        <v/>
      </c>
      <c r="G1027" s="18" t="n"/>
      <c r="H1027" s="18">
        <f>IF($A1027="","",IF(I1027&lt;&gt;"",I1027,Paramètres!B55))</f>
        <v/>
      </c>
      <c r="I1027" s="18" t="n"/>
    </row>
    <row r="1028">
      <c r="A1028" s="18">
        <f>IF(ISNUMBER(Dossiers!$D$22),Dossiers!$A$22&amp;" · "&amp;Dossiers!$B$22,"")</f>
        <v/>
      </c>
      <c r="B1028" s="18">
        <f>IF($A1028="","",Paramètres!G56)</f>
        <v/>
      </c>
      <c r="C1028" s="18">
        <f>IF($A1028="","",IF(Paramètres!H56="","",Paramètres!H56))</f>
        <v/>
      </c>
      <c r="D1028" s="18">
        <f>IF($A1028="","",IF(Paramètres!I56="","",Paramètres!I56))</f>
        <v/>
      </c>
      <c r="E1028" s="19">
        <f>IF($A1028="","",MIN(E1029:E1029))</f>
        <v/>
      </c>
      <c r="F1028" s="19">
        <f>IF($A1028="","",MAX(F1029:F1029))</f>
        <v/>
      </c>
      <c r="G1028" s="18" t="n"/>
      <c r="H1028" s="18">
        <f>IF($A1028="","",F1028-E1028+1)</f>
        <v/>
      </c>
      <c r="I1028" s="18" t="n"/>
    </row>
    <row r="1029">
      <c r="A1029" s="18">
        <f>IF(ISNUMBER(Dossiers!$D$22),Dossiers!$A$22&amp;" · "&amp;Dossiers!$B$22,"")</f>
        <v/>
      </c>
      <c r="B1029" s="18">
        <f>IF($A1029="","",Paramètres!G57)</f>
        <v/>
      </c>
      <c r="C1029" s="18">
        <f>IF($A1029="","",IF(Paramètres!H57="","",Paramètres!H57))</f>
        <v/>
      </c>
      <c r="D1029" s="18">
        <f>IF($A1029="","",IF(Paramètres!I57="","",Paramètres!I57))</f>
        <v/>
      </c>
      <c r="E1029" s="19">
        <f>IF($A1029="","",IF(Paramètres!J57&amp;Paramètres!L57&amp;Paramètres!N57="",Dossiers!$D$22,MAX(IF(Paramètres!J57="",0,IF(Paramètres!K57="",NA(),IF(LEFT(TRIM(Paramètres!K57),1)="F",INDEX($F$977:$F$1029,MATCH(Paramètres!J57,Paramètres!$G$5:$G$57,0)),INDEX($E$977:$E$1029,MATCH(Paramètres!J57,Paramètres!$G$5:$G$57,0)))+IF(RIGHT(TRIM(Paramètres!K57),3)="Fin",1-$H1029,IF(LEFT(TRIM(Paramètres!K57),1)="F",1,0)))),IF(Paramètres!L57="",0,IF(Paramètres!M57="",NA(),IF(LEFT(TRIM(Paramètres!M57),1)="F",INDEX($F$977:$F$1029,MATCH(Paramètres!L57,Paramètres!$G$5:$G$57,0)),INDEX($E$977:$E$1029,MATCH(Paramètres!L57,Paramètres!$G$5:$G$57,0)))+IF(RIGHT(TRIM(Paramètres!M57),3)="Fin",1-$H1029,IF(LEFT(TRIM(Paramètres!M57),1)="F",1,0)))),IF(Paramètres!N57="",0,IF(Paramètres!O57="",NA(),IF(LEFT(TRIM(Paramètres!O57),1)="F",INDEX($F$977:$F$1029,MATCH(Paramètres!N57,Paramètres!$G$5:$G$57,0)),INDEX($E$977:$E$1029,MATCH(Paramètres!N57,Paramètres!$G$5:$G$57,0)))+IF(RIGHT(TRIM(Paramètres!O57),3)="Fin",1-$H1029,IF(LEFT(TRIM(Paramètres!O57),1)="F",1,0)))))))</f>
        <v/>
      </c>
      <c r="F1029" s="19">
        <f>IF($A1029="","",E1029+$H1029-1)</f>
        <v/>
      </c>
      <c r="G1029" s="18" t="n"/>
      <c r="H1029" s="18">
        <f>IF($A1029="","",IF(I1029&lt;&gt;"",I1029,Paramètres!B57))</f>
        <v/>
      </c>
      <c r="I1029" s="18" t="n"/>
    </row>
    <row r="1030">
      <c r="A1030" s="16">
        <f>IF(ISNUMBER(Dossiers!$D$23),Dossiers!$E$23,"")</f>
        <v/>
      </c>
      <c r="B1030" s="16">
        <f>IF($A1030="","","Identifiant")</f>
        <v/>
      </c>
      <c r="C1030" s="16">
        <f>IF($A1030="","","Macro Etape")</f>
        <v/>
      </c>
      <c r="D1030" s="16">
        <f>IF($A1030="","","Etape")</f>
        <v/>
      </c>
      <c r="E1030" s="17">
        <f>IF($A1030="","","Début le")</f>
        <v/>
      </c>
      <c r="F1030" s="17">
        <f>IF($A1030="","","Fin prévue le")</f>
        <v/>
      </c>
      <c r="G1030" s="16">
        <f>IF($A1030="","","Statut")</f>
        <v/>
      </c>
      <c r="H1030" s="16">
        <f>IF($A1030="","","Durée (jours)")</f>
        <v/>
      </c>
      <c r="I1030" s="16">
        <f>IF($A1030="","","Durée particulière")</f>
        <v/>
      </c>
      <c r="J1030" s="10">
        <f>IF($A1030="","",HYPERLINK("#'Tableau de bord'!A1","↑ Tableau de bord"))</f>
        <v/>
      </c>
    </row>
    <row r="1031">
      <c r="A1031" s="18">
        <f>IF(ISNUMBER(Dossiers!$D$23),Dossiers!$A$23&amp;" · "&amp;Dossiers!$B$23,"")</f>
        <v/>
      </c>
      <c r="B1031" s="18">
        <f>IF($A1031="","",Paramètres!G5)</f>
        <v/>
      </c>
      <c r="C1031" s="18">
        <f>IF($A1031="","",IF(Paramètres!H5="","",Paramètres!H5))</f>
        <v/>
      </c>
      <c r="D1031" s="18">
        <f>IF($A1031="","",IF(Paramètres!I5="","",Paramètres!I5))</f>
        <v/>
      </c>
      <c r="E1031" s="19">
        <f>IF($A1031="","",MIN(E1032:E1035))</f>
        <v/>
      </c>
      <c r="F1031" s="19">
        <f>IF($A1031="","",MAX(F1032:F1035))</f>
        <v/>
      </c>
      <c r="G1031" s="18" t="n"/>
      <c r="H1031" s="18">
        <f>IF($A1031="","",F1031-E1031+1)</f>
        <v/>
      </c>
      <c r="I1031" s="18" t="n"/>
    </row>
    <row r="1032">
      <c r="A1032" s="18">
        <f>IF(ISNUMBER(Dossiers!$D$23),Dossiers!$A$23&amp;" · "&amp;Dossiers!$B$23,"")</f>
        <v/>
      </c>
      <c r="B1032" s="18">
        <f>IF($A1032="","",Paramètres!G6)</f>
        <v/>
      </c>
      <c r="C1032" s="18">
        <f>IF($A1032="","",IF(Paramètres!H6="","",Paramètres!H6))</f>
        <v/>
      </c>
      <c r="D1032" s="18">
        <f>IF($A1032="","",IF(Paramètres!I6="","",Paramètres!I6))</f>
        <v/>
      </c>
      <c r="E1032" s="19">
        <f>IF($A1032="","",IF(Paramètres!J6&amp;Paramètres!L6&amp;Paramètres!N6="",Dossiers!$D$23,MAX(IF(Paramètres!J6="",0,IF(Paramètres!K6="",NA(),IF(LEFT(TRIM(Paramètres!K6),1)="F",INDEX($F$1031:$F$1083,MATCH(Paramètres!J6,Paramètres!$G$5:$G$57,0)),INDEX($E$1031:$E$1083,MATCH(Paramètres!J6,Paramètres!$G$5:$G$57,0)))+IF(RIGHT(TRIM(Paramètres!K6),3)="Fin",1-$H1032,IF(LEFT(TRIM(Paramètres!K6),1)="F",1,0)))),IF(Paramètres!L6="",0,IF(Paramètres!M6="",NA(),IF(LEFT(TRIM(Paramètres!M6),1)="F",INDEX($F$1031:$F$1083,MATCH(Paramètres!L6,Paramètres!$G$5:$G$57,0)),INDEX($E$1031:$E$1083,MATCH(Paramètres!L6,Paramètres!$G$5:$G$57,0)))+IF(RIGHT(TRIM(Paramètres!M6),3)="Fin",1-$H1032,IF(LEFT(TRIM(Paramètres!M6),1)="F",1,0)))),IF(Paramètres!N6="",0,IF(Paramètres!O6="",NA(),IF(LEFT(TRIM(Paramètres!O6),1)="F",INDEX($F$1031:$F$1083,MATCH(Paramètres!N6,Paramètres!$G$5:$G$57,0)),INDEX($E$1031:$E$1083,MATCH(Paramètres!N6,Paramètres!$G$5:$G$57,0)))+IF(RIGHT(TRIM(Paramètres!O6),3)="Fin",1-$H1032,IF(LEFT(TRIM(Paramètres!O6),1)="F",1,0)))))))</f>
        <v/>
      </c>
      <c r="F1032" s="19">
        <f>IF($A1032="","",E1032+$H1032-1)</f>
        <v/>
      </c>
      <c r="G1032" s="18" t="n"/>
      <c r="H1032" s="18">
        <f>IF($A1032="","",IF(I1032&lt;&gt;"",I1032,Paramètres!B6))</f>
        <v/>
      </c>
      <c r="I1032" s="18" t="n"/>
    </row>
    <row r="1033">
      <c r="A1033" s="18">
        <f>IF(ISNUMBER(Dossiers!$D$23),Dossiers!$A$23&amp;" · "&amp;Dossiers!$B$23,"")</f>
        <v/>
      </c>
      <c r="B1033" s="18">
        <f>IF($A1033="","",Paramètres!G7)</f>
        <v/>
      </c>
      <c r="C1033" s="18">
        <f>IF($A1033="","",IF(Paramètres!H7="","",Paramètres!H7))</f>
        <v/>
      </c>
      <c r="D1033" s="18">
        <f>IF($A1033="","",IF(Paramètres!I7="","",Paramètres!I7))</f>
        <v/>
      </c>
      <c r="E1033" s="19">
        <f>IF($A1033="","",IF(Paramètres!J7&amp;Paramètres!L7&amp;Paramètres!N7="",Dossiers!$D$23,MAX(IF(Paramètres!J7="",0,IF(Paramètres!K7="",NA(),IF(LEFT(TRIM(Paramètres!K7),1)="F",INDEX($F$1031:$F$1083,MATCH(Paramètres!J7,Paramètres!$G$5:$G$57,0)),INDEX($E$1031:$E$1083,MATCH(Paramètres!J7,Paramètres!$G$5:$G$57,0)))+IF(RIGHT(TRIM(Paramètres!K7),3)="Fin",1-$H1033,IF(LEFT(TRIM(Paramètres!K7),1)="F",1,0)))),IF(Paramètres!L7="",0,IF(Paramètres!M7="",NA(),IF(LEFT(TRIM(Paramètres!M7),1)="F",INDEX($F$1031:$F$1083,MATCH(Paramètres!L7,Paramètres!$G$5:$G$57,0)),INDEX($E$1031:$E$1083,MATCH(Paramètres!L7,Paramètres!$G$5:$G$57,0)))+IF(RIGHT(TRIM(Paramètres!M7),3)="Fin",1-$H1033,IF(LEFT(TRIM(Paramètres!M7),1)="F",1,0)))),IF(Paramètres!N7="",0,IF(Paramètres!O7="",NA(),IF(LEFT(TRIM(Paramètres!O7),1)="F",INDEX($F$1031:$F$1083,MATCH(Paramètres!N7,Paramètres!$G$5:$G$57,0)),INDEX($E$1031:$E$1083,MATCH(Paramètres!N7,Paramètres!$G$5:$G$57,0)))+IF(RIGHT(TRIM(Paramètres!O7),3)="Fin",1-$H1033,IF(LEFT(TRIM(Paramètres!O7),1)="F",1,0)))))))</f>
        <v/>
      </c>
      <c r="F1033" s="19">
        <f>IF($A1033="","",E1033+$H1033-1)</f>
        <v/>
      </c>
      <c r="G1033" s="18" t="n"/>
      <c r="H1033" s="18">
        <f>IF($A1033="","",IF(I1033&lt;&gt;"",I1033,Paramètres!B7))</f>
        <v/>
      </c>
      <c r="I1033" s="18" t="n"/>
    </row>
    <row r="1034">
      <c r="A1034" s="18">
        <f>IF(ISNUMBER(Dossiers!$D$23),Dossiers!$A$23&amp;" · "&amp;Dossiers!$B$23,"")</f>
        <v/>
      </c>
      <c r="B1034" s="18">
        <f>IF($A1034="","",Paramètres!G8)</f>
        <v/>
      </c>
      <c r="C1034" s="18">
        <f>IF($A1034="","",IF(Paramètres!H8="","",Paramètres!H8))</f>
        <v/>
      </c>
      <c r="D1034" s="18">
        <f>IF($A1034="","",IF(Paramètres!I8="","",Paramètres!I8))</f>
        <v/>
      </c>
      <c r="E1034" s="19">
        <f>IF($A1034="","",IF(Paramètres!J8&amp;Paramètres!L8&amp;Paramètres!N8="",Dossiers!$D$23,MAX(IF(Paramètres!J8="",0,IF(Paramètres!K8="",NA(),IF(LEFT(TRIM(Paramètres!K8),1)="F",INDEX($F$1031:$F$1083,MATCH(Paramètres!J8,Paramètres!$G$5:$G$57,0)),INDEX($E$1031:$E$1083,MATCH(Paramètres!J8,Paramètres!$G$5:$G$57,0)))+IF(RIGHT(TRIM(Paramètres!K8),3)="Fin",1-$H1034,IF(LEFT(TRIM(Paramètres!K8),1)="F",1,0)))),IF(Paramètres!L8="",0,IF(Paramètres!M8="",NA(),IF(LEFT(TRIM(Paramètres!M8),1)="F",INDEX($F$1031:$F$1083,MATCH(Paramètres!L8,Paramètres!$G$5:$G$57,0)),INDEX($E$1031:$E$1083,MATCH(Paramètres!L8,Paramètres!$G$5:$G$57,0)))+IF(RIGHT(TRIM(Paramètres!M8),3)="Fin",1-$H1034,IF(LEFT(TRIM(Paramètres!M8),1)="F",1,0)))),IF(Paramètres!N8="",0,IF(Paramètres!O8="",NA(),IF(LEFT(TRIM(Paramètres!O8),1)="F",INDEX($F$1031:$F$1083,MATCH(Paramètres!N8,Paramètres!$G$5:$G$57,0)),INDEX($E$1031:$E$1083,MATCH(Paramètres!N8,Paramètres!$G$5:$G$57,0)))+IF(RIGHT(TRIM(Paramètres!O8),3)="Fin",1-$H1034,IF(LEFT(TRIM(Paramètres!O8),1)="F",1,0)))))))</f>
        <v/>
      </c>
      <c r="F1034" s="19">
        <f>IF($A1034="","",E1034+$H1034-1)</f>
        <v/>
      </c>
      <c r="G1034" s="18" t="n"/>
      <c r="H1034" s="18">
        <f>IF($A1034="","",IF(I1034&lt;&gt;"",I1034,Paramètres!B8))</f>
        <v/>
      </c>
      <c r="I1034" s="18" t="n"/>
    </row>
    <row r="1035">
      <c r="A1035" s="18">
        <f>IF(ISNUMBER(Dossiers!$D$23),Dossiers!$A$23&amp;" · "&amp;Dossiers!$B$23,"")</f>
        <v/>
      </c>
      <c r="B1035" s="18">
        <f>IF($A1035="","",Paramètres!G9)</f>
        <v/>
      </c>
      <c r="C1035" s="18">
        <f>IF($A1035="","",IF(Paramètres!H9="","",Paramètres!H9))</f>
        <v/>
      </c>
      <c r="D1035" s="18">
        <f>IF($A1035="","",IF(Paramètres!I9="","",Paramètres!I9))</f>
        <v/>
      </c>
      <c r="E1035" s="19">
        <f>IF($A1035="","",IF(Paramètres!J9&amp;Paramètres!L9&amp;Paramètres!N9="",Dossiers!$D$23,MAX(IF(Paramètres!J9="",0,IF(Paramètres!K9="",NA(),IF(LEFT(TRIM(Paramètres!K9),1)="F",INDEX($F$1031:$F$1083,MATCH(Paramètres!J9,Paramètres!$G$5:$G$57,0)),INDEX($E$1031:$E$1083,MATCH(Paramètres!J9,Paramètres!$G$5:$G$57,0)))+IF(RIGHT(TRIM(Paramètres!K9),3)="Fin",1-$H1035,IF(LEFT(TRIM(Paramètres!K9),1)="F",1,0)))),IF(Paramètres!L9="",0,IF(Paramètres!M9="",NA(),IF(LEFT(TRIM(Paramètres!M9),1)="F",INDEX($F$1031:$F$1083,MATCH(Paramètres!L9,Paramètres!$G$5:$G$57,0)),INDEX($E$1031:$E$1083,MATCH(Paramètres!L9,Paramètres!$G$5:$G$57,0)))+IF(RIGHT(TRIM(Paramètres!M9),3)="Fin",1-$H1035,IF(LEFT(TRIM(Paramètres!M9),1)="F",1,0)))),IF(Paramètres!N9="",0,IF(Paramètres!O9="",NA(),IF(LEFT(TRIM(Paramètres!O9),1)="F",INDEX($F$1031:$F$1083,MATCH(Paramètres!N9,Paramètres!$G$5:$G$57,0)),INDEX($E$1031:$E$1083,MATCH(Paramètres!N9,Paramètres!$G$5:$G$57,0)))+IF(RIGHT(TRIM(Paramètres!O9),3)="Fin",1-$H1035,IF(LEFT(TRIM(Paramètres!O9),1)="F",1,0)))))))</f>
        <v/>
      </c>
      <c r="F1035" s="19">
        <f>IF($A1035="","",E1035+$H1035-1)</f>
        <v/>
      </c>
      <c r="G1035" s="18" t="n"/>
      <c r="H1035" s="18">
        <f>IF($A1035="","",IF(I1035&lt;&gt;"",I1035,Paramètres!B9))</f>
        <v/>
      </c>
      <c r="I1035" s="18" t="n"/>
    </row>
    <row r="1036">
      <c r="A1036" s="18">
        <f>IF(ISNUMBER(Dossiers!$D$23),Dossiers!$A$23&amp;" · "&amp;Dossiers!$B$23,"")</f>
        <v/>
      </c>
      <c r="B1036" s="18">
        <f>IF($A1036="","",Paramètres!G10)</f>
        <v/>
      </c>
      <c r="C1036" s="18">
        <f>IF($A1036="","",IF(Paramètres!H10="","",Paramètres!H10))</f>
        <v/>
      </c>
      <c r="D1036" s="18">
        <f>IF($A1036="","",IF(Paramètres!I10="","",Paramètres!I10))</f>
        <v/>
      </c>
      <c r="E1036" s="19">
        <f>IF($A1036="","",MIN(E1037:E1040))</f>
        <v/>
      </c>
      <c r="F1036" s="19">
        <f>IF($A1036="","",MAX(F1037:F1040))</f>
        <v/>
      </c>
      <c r="G1036" s="18" t="n"/>
      <c r="H1036" s="18">
        <f>IF($A1036="","",F1036-E1036+1)</f>
        <v/>
      </c>
      <c r="I1036" s="18" t="n"/>
    </row>
    <row r="1037">
      <c r="A1037" s="18">
        <f>IF(ISNUMBER(Dossiers!$D$23),Dossiers!$A$23&amp;" · "&amp;Dossiers!$B$23,"")</f>
        <v/>
      </c>
      <c r="B1037" s="18">
        <f>IF($A1037="","",Paramètres!G11)</f>
        <v/>
      </c>
      <c r="C1037" s="18">
        <f>IF($A1037="","",IF(Paramètres!H11="","",Paramètres!H11))</f>
        <v/>
      </c>
      <c r="D1037" s="18">
        <f>IF($A1037="","",IF(Paramètres!I11="","",Paramètres!I11))</f>
        <v/>
      </c>
      <c r="E1037" s="19">
        <f>IF($A1037="","",IF(Paramètres!J11&amp;Paramètres!L11&amp;Paramètres!N11="",Dossiers!$D$23,MAX(IF(Paramètres!J11="",0,IF(Paramètres!K11="",NA(),IF(LEFT(TRIM(Paramètres!K11),1)="F",INDEX($F$1031:$F$1083,MATCH(Paramètres!J11,Paramètres!$G$5:$G$57,0)),INDEX($E$1031:$E$1083,MATCH(Paramètres!J11,Paramètres!$G$5:$G$57,0)))+IF(RIGHT(TRIM(Paramètres!K11),3)="Fin",1-$H1037,IF(LEFT(TRIM(Paramètres!K11),1)="F",1,0)))),IF(Paramètres!L11="",0,IF(Paramètres!M11="",NA(),IF(LEFT(TRIM(Paramètres!M11),1)="F",INDEX($F$1031:$F$1083,MATCH(Paramètres!L11,Paramètres!$G$5:$G$57,0)),INDEX($E$1031:$E$1083,MATCH(Paramètres!L11,Paramètres!$G$5:$G$57,0)))+IF(RIGHT(TRIM(Paramètres!M11),3)="Fin",1-$H1037,IF(LEFT(TRIM(Paramètres!M11),1)="F",1,0)))),IF(Paramètres!N11="",0,IF(Paramètres!O11="",NA(),IF(LEFT(TRIM(Paramètres!O11),1)="F",INDEX($F$1031:$F$1083,MATCH(Paramètres!N11,Paramètres!$G$5:$G$57,0)),INDEX($E$1031:$E$1083,MATCH(Paramètres!N11,Paramètres!$G$5:$G$57,0)))+IF(RIGHT(TRIM(Paramètres!O11),3)="Fin",1-$H1037,IF(LEFT(TRIM(Paramètres!O11),1)="F",1,0)))))))</f>
        <v/>
      </c>
      <c r="F1037" s="19">
        <f>IF($A1037="","",E1037+$H1037-1)</f>
        <v/>
      </c>
      <c r="G1037" s="18" t="n"/>
      <c r="H1037" s="18">
        <f>IF($A1037="","",IF(I1037&lt;&gt;"",I1037,Paramètres!B11))</f>
        <v/>
      </c>
      <c r="I1037" s="18" t="n"/>
    </row>
    <row r="1038">
      <c r="A1038" s="18">
        <f>IF(ISNUMBER(Dossiers!$D$23),Dossiers!$A$23&amp;" · "&amp;Dossiers!$B$23,"")</f>
        <v/>
      </c>
      <c r="B1038" s="18">
        <f>IF($A1038="","",Paramètres!G12)</f>
        <v/>
      </c>
      <c r="C1038" s="18">
        <f>IF($A1038="","",IF(Paramètres!H12="","",Paramètres!H12))</f>
        <v/>
      </c>
      <c r="D1038" s="18">
        <f>IF($A1038="","",IF(Paramètres!I12="","",Paramètres!I12))</f>
        <v/>
      </c>
      <c r="E1038" s="19">
        <f>IF($A1038="","",IF(Paramètres!J12&amp;Paramètres!L12&amp;Paramètres!N12="",Dossiers!$D$23,MAX(IF(Paramètres!J12="",0,IF(Paramètres!K12="",NA(),IF(LEFT(TRIM(Paramètres!K12),1)="F",INDEX($F$1031:$F$1083,MATCH(Paramètres!J12,Paramètres!$G$5:$G$57,0)),INDEX($E$1031:$E$1083,MATCH(Paramètres!J12,Paramètres!$G$5:$G$57,0)))+IF(RIGHT(TRIM(Paramètres!K12),3)="Fin",1-$H1038,IF(LEFT(TRIM(Paramètres!K12),1)="F",1,0)))),IF(Paramètres!L12="",0,IF(Paramètres!M12="",NA(),IF(LEFT(TRIM(Paramètres!M12),1)="F",INDEX($F$1031:$F$1083,MATCH(Paramètres!L12,Paramètres!$G$5:$G$57,0)),INDEX($E$1031:$E$1083,MATCH(Paramètres!L12,Paramètres!$G$5:$G$57,0)))+IF(RIGHT(TRIM(Paramètres!M12),3)="Fin",1-$H1038,IF(LEFT(TRIM(Paramètres!M12),1)="F",1,0)))),IF(Paramètres!N12="",0,IF(Paramètres!O12="",NA(),IF(LEFT(TRIM(Paramètres!O12),1)="F",INDEX($F$1031:$F$1083,MATCH(Paramètres!N12,Paramètres!$G$5:$G$57,0)),INDEX($E$1031:$E$1083,MATCH(Paramètres!N12,Paramètres!$G$5:$G$57,0)))+IF(RIGHT(TRIM(Paramètres!O12),3)="Fin",1-$H1038,IF(LEFT(TRIM(Paramètres!O12),1)="F",1,0)))))))</f>
        <v/>
      </c>
      <c r="F1038" s="19">
        <f>IF($A1038="","",E1038+$H1038-1)</f>
        <v/>
      </c>
      <c r="G1038" s="18" t="n"/>
      <c r="H1038" s="18">
        <f>IF($A1038="","",IF(I1038&lt;&gt;"",I1038,Paramètres!B12))</f>
        <v/>
      </c>
      <c r="I1038" s="18" t="n"/>
    </row>
    <row r="1039">
      <c r="A1039" s="18">
        <f>IF(ISNUMBER(Dossiers!$D$23),Dossiers!$A$23&amp;" · "&amp;Dossiers!$B$23,"")</f>
        <v/>
      </c>
      <c r="B1039" s="18">
        <f>IF($A1039="","",Paramètres!G13)</f>
        <v/>
      </c>
      <c r="C1039" s="18">
        <f>IF($A1039="","",IF(Paramètres!H13="","",Paramètres!H13))</f>
        <v/>
      </c>
      <c r="D1039" s="18">
        <f>IF($A1039="","",IF(Paramètres!I13="","",Paramètres!I13))</f>
        <v/>
      </c>
      <c r="E1039" s="19">
        <f>IF($A1039="","",IF(Paramètres!J13&amp;Paramètres!L13&amp;Paramètres!N13="",Dossiers!$D$23,MAX(IF(Paramètres!J13="",0,IF(Paramètres!K13="",NA(),IF(LEFT(TRIM(Paramètres!K13),1)="F",INDEX($F$1031:$F$1083,MATCH(Paramètres!J13,Paramètres!$G$5:$G$57,0)),INDEX($E$1031:$E$1083,MATCH(Paramètres!J13,Paramètres!$G$5:$G$57,0)))+IF(RIGHT(TRIM(Paramètres!K13),3)="Fin",1-$H1039,IF(LEFT(TRIM(Paramètres!K13),1)="F",1,0)))),IF(Paramètres!L13="",0,IF(Paramètres!M13="",NA(),IF(LEFT(TRIM(Paramètres!M13),1)="F",INDEX($F$1031:$F$1083,MATCH(Paramètres!L13,Paramètres!$G$5:$G$57,0)),INDEX($E$1031:$E$1083,MATCH(Paramètres!L13,Paramètres!$G$5:$G$57,0)))+IF(RIGHT(TRIM(Paramètres!M13),3)="Fin",1-$H1039,IF(LEFT(TRIM(Paramètres!M13),1)="F",1,0)))),IF(Paramètres!N13="",0,IF(Paramètres!O13="",NA(),IF(LEFT(TRIM(Paramètres!O13),1)="F",INDEX($F$1031:$F$1083,MATCH(Paramètres!N13,Paramètres!$G$5:$G$57,0)),INDEX($E$1031:$E$1083,MATCH(Paramètres!N13,Paramètres!$G$5:$G$57,0)))+IF(RIGHT(TRIM(Paramètres!O13),3)="Fin",1-$H1039,IF(LEFT(TRIM(Paramètres!O13),1)="F",1,0)))))))</f>
        <v/>
      </c>
      <c r="F1039" s="19">
        <f>IF($A1039="","",E1039+$H1039-1)</f>
        <v/>
      </c>
      <c r="G1039" s="18" t="n"/>
      <c r="H1039" s="18">
        <f>IF($A1039="","",IF(I1039&lt;&gt;"",I1039,Paramètres!B13))</f>
        <v/>
      </c>
      <c r="I1039" s="18" t="n"/>
    </row>
    <row r="1040">
      <c r="A1040" s="18">
        <f>IF(ISNUMBER(Dossiers!$D$23),Dossiers!$A$23&amp;" · "&amp;Dossiers!$B$23,"")</f>
        <v/>
      </c>
      <c r="B1040" s="18">
        <f>IF($A1040="","",Paramètres!G14)</f>
        <v/>
      </c>
      <c r="C1040" s="18">
        <f>IF($A1040="","",IF(Paramètres!H14="","",Paramètres!H14))</f>
        <v/>
      </c>
      <c r="D1040" s="18">
        <f>IF($A1040="","",IF(Paramètres!I14="","",Paramètres!I14))</f>
        <v/>
      </c>
      <c r="E1040" s="19">
        <f>IF($A1040="","",IF(Paramètres!J14&amp;Paramètres!L14&amp;Paramètres!N14="",Dossiers!$D$23,MAX(IF(Paramètres!J14="",0,IF(Paramètres!K14="",NA(),IF(LEFT(TRIM(Paramètres!K14),1)="F",INDEX($F$1031:$F$1083,MATCH(Paramètres!J14,Paramètres!$G$5:$G$57,0)),INDEX($E$1031:$E$1083,MATCH(Paramètres!J14,Paramètres!$G$5:$G$57,0)))+IF(RIGHT(TRIM(Paramètres!K14),3)="Fin",1-$H1040,IF(LEFT(TRIM(Paramètres!K14),1)="F",1,0)))),IF(Paramètres!L14="",0,IF(Paramètres!M14="",NA(),IF(LEFT(TRIM(Paramètres!M14),1)="F",INDEX($F$1031:$F$1083,MATCH(Paramètres!L14,Paramètres!$G$5:$G$57,0)),INDEX($E$1031:$E$1083,MATCH(Paramètres!L14,Paramètres!$G$5:$G$57,0)))+IF(RIGHT(TRIM(Paramètres!M14),3)="Fin",1-$H1040,IF(LEFT(TRIM(Paramètres!M14),1)="F",1,0)))),IF(Paramètres!N14="",0,IF(Paramètres!O14="",NA(),IF(LEFT(TRIM(Paramètres!O14),1)="F",INDEX($F$1031:$F$1083,MATCH(Paramètres!N14,Paramètres!$G$5:$G$57,0)),INDEX($E$1031:$E$1083,MATCH(Paramètres!N14,Paramètres!$G$5:$G$57,0)))+IF(RIGHT(TRIM(Paramètres!O14),3)="Fin",1-$H1040,IF(LEFT(TRIM(Paramètres!O14),1)="F",1,0)))))))</f>
        <v/>
      </c>
      <c r="F1040" s="19">
        <f>IF($A1040="","",E1040+$H1040-1)</f>
        <v/>
      </c>
      <c r="G1040" s="18" t="n"/>
      <c r="H1040" s="18">
        <f>IF($A1040="","",IF(I1040&lt;&gt;"",I1040,Paramètres!B14))</f>
        <v/>
      </c>
      <c r="I1040" s="18" t="n"/>
    </row>
    <row r="1041">
      <c r="A1041" s="18">
        <f>IF(ISNUMBER(Dossiers!$D$23),Dossiers!$A$23&amp;" · "&amp;Dossiers!$B$23,"")</f>
        <v/>
      </c>
      <c r="B1041" s="18">
        <f>IF($A1041="","",Paramètres!G15)</f>
        <v/>
      </c>
      <c r="C1041" s="18">
        <f>IF($A1041="","",IF(Paramètres!H15="","",Paramètres!H15))</f>
        <v/>
      </c>
      <c r="D1041" s="18">
        <f>IF($A1041="","",IF(Paramètres!I15="","",Paramètres!I15))</f>
        <v/>
      </c>
      <c r="E1041" s="19">
        <f>IF($A1041="","",MIN(E1042:E1057))</f>
        <v/>
      </c>
      <c r="F1041" s="19">
        <f>IF($A1041="","",MAX(F1042:F1057))</f>
        <v/>
      </c>
      <c r="G1041" s="18" t="n"/>
      <c r="H1041" s="18">
        <f>IF($A1041="","",F1041-E1041+1)</f>
        <v/>
      </c>
      <c r="I1041" s="18" t="n"/>
    </row>
    <row r="1042">
      <c r="A1042" s="18">
        <f>IF(ISNUMBER(Dossiers!$D$23),Dossiers!$A$23&amp;" · "&amp;Dossiers!$B$23,"")</f>
        <v/>
      </c>
      <c r="B1042" s="18">
        <f>IF($A1042="","",Paramètres!G16)</f>
        <v/>
      </c>
      <c r="C1042" s="18">
        <f>IF($A1042="","",IF(Paramètres!H16="","",Paramètres!H16))</f>
        <v/>
      </c>
      <c r="D1042" s="18">
        <f>IF($A1042="","",IF(Paramètres!I16="","",Paramètres!I16))</f>
        <v/>
      </c>
      <c r="E1042" s="19">
        <f>IF($A1042="","",IF(Paramètres!J16&amp;Paramètres!L16&amp;Paramètres!N16="",Dossiers!$D$23,MAX(IF(Paramètres!J16="",0,IF(Paramètres!K16="",NA(),IF(LEFT(TRIM(Paramètres!K16),1)="F",INDEX($F$1031:$F$1083,MATCH(Paramètres!J16,Paramètres!$G$5:$G$57,0)),INDEX($E$1031:$E$1083,MATCH(Paramètres!J16,Paramètres!$G$5:$G$57,0)))+IF(RIGHT(TRIM(Paramètres!K16),3)="Fin",1-$H1042,IF(LEFT(TRIM(Paramètres!K16),1)="F",1,0)))),IF(Paramètres!L16="",0,IF(Paramètres!M16="",NA(),IF(LEFT(TRIM(Paramètres!M16),1)="F",INDEX($F$1031:$F$1083,MATCH(Paramètres!L16,Paramètres!$G$5:$G$57,0)),INDEX($E$1031:$E$1083,MATCH(Paramètres!L16,Paramètres!$G$5:$G$57,0)))+IF(RIGHT(TRIM(Paramètres!M16),3)="Fin",1-$H1042,IF(LEFT(TRIM(Paramètres!M16),1)="F",1,0)))),IF(Paramètres!N16="",0,IF(Paramètres!O16="",NA(),IF(LEFT(TRIM(Paramètres!O16),1)="F",INDEX($F$1031:$F$1083,MATCH(Paramètres!N16,Paramètres!$G$5:$G$57,0)),INDEX($E$1031:$E$1083,MATCH(Paramètres!N16,Paramètres!$G$5:$G$57,0)))+IF(RIGHT(TRIM(Paramètres!O16),3)="Fin",1-$H1042,IF(LEFT(TRIM(Paramètres!O16),1)="F",1,0)))))))</f>
        <v/>
      </c>
      <c r="F1042" s="19">
        <f>IF($A1042="","",E1042+$H1042-1)</f>
        <v/>
      </c>
      <c r="G1042" s="18" t="n"/>
      <c r="H1042" s="18">
        <f>IF($A1042="","",IF(I1042&lt;&gt;"",I1042,Paramètres!B16))</f>
        <v/>
      </c>
      <c r="I1042" s="18" t="n"/>
    </row>
    <row r="1043">
      <c r="A1043" s="18">
        <f>IF(ISNUMBER(Dossiers!$D$23),Dossiers!$A$23&amp;" · "&amp;Dossiers!$B$23,"")</f>
        <v/>
      </c>
      <c r="B1043" s="18">
        <f>IF($A1043="","",Paramètres!G17)</f>
        <v/>
      </c>
      <c r="C1043" s="18">
        <f>IF($A1043="","",IF(Paramètres!H17="","",Paramètres!H17))</f>
        <v/>
      </c>
      <c r="D1043" s="18">
        <f>IF($A1043="","",IF(Paramètres!I17="","",Paramètres!I17))</f>
        <v/>
      </c>
      <c r="E1043" s="19">
        <f>IF($A1043="","",IF(Paramètres!J17&amp;Paramètres!L17&amp;Paramètres!N17="",Dossiers!$D$23,MAX(IF(Paramètres!J17="",0,IF(Paramètres!K17="",NA(),IF(LEFT(TRIM(Paramètres!K17),1)="F",INDEX($F$1031:$F$1083,MATCH(Paramètres!J17,Paramètres!$G$5:$G$57,0)),INDEX($E$1031:$E$1083,MATCH(Paramètres!J17,Paramètres!$G$5:$G$57,0)))+IF(RIGHT(TRIM(Paramètres!K17),3)="Fin",1-$H1043,IF(LEFT(TRIM(Paramètres!K17),1)="F",1,0)))),IF(Paramètres!L17="",0,IF(Paramètres!M17="",NA(),IF(LEFT(TRIM(Paramètres!M17),1)="F",INDEX($F$1031:$F$1083,MATCH(Paramètres!L17,Paramètres!$G$5:$G$57,0)),INDEX($E$1031:$E$1083,MATCH(Paramètres!L17,Paramètres!$G$5:$G$57,0)))+IF(RIGHT(TRIM(Paramètres!M17),3)="Fin",1-$H1043,IF(LEFT(TRIM(Paramètres!M17),1)="F",1,0)))),IF(Paramètres!N17="",0,IF(Paramètres!O17="",NA(),IF(LEFT(TRIM(Paramètres!O17),1)="F",INDEX($F$1031:$F$1083,MATCH(Paramètres!N17,Paramètres!$G$5:$G$57,0)),INDEX($E$1031:$E$1083,MATCH(Paramètres!N17,Paramètres!$G$5:$G$57,0)))+IF(RIGHT(TRIM(Paramètres!O17),3)="Fin",1-$H1043,IF(LEFT(TRIM(Paramètres!O17),1)="F",1,0)))))))</f>
        <v/>
      </c>
      <c r="F1043" s="19">
        <f>IF($A1043="","",E1043+$H1043-1)</f>
        <v/>
      </c>
      <c r="G1043" s="18" t="n"/>
      <c r="H1043" s="18">
        <f>IF($A1043="","",IF(I1043&lt;&gt;"",I1043,Paramètres!B17))</f>
        <v/>
      </c>
      <c r="I1043" s="18" t="n"/>
    </row>
    <row r="1044">
      <c r="A1044" s="18">
        <f>IF(ISNUMBER(Dossiers!$D$23),Dossiers!$A$23&amp;" · "&amp;Dossiers!$B$23,"")</f>
        <v/>
      </c>
      <c r="B1044" s="18">
        <f>IF($A1044="","",Paramètres!G18)</f>
        <v/>
      </c>
      <c r="C1044" s="18">
        <f>IF($A1044="","",IF(Paramètres!H18="","",Paramètres!H18))</f>
        <v/>
      </c>
      <c r="D1044" s="18">
        <f>IF($A1044="","",IF(Paramètres!I18="","",Paramètres!I18))</f>
        <v/>
      </c>
      <c r="E1044" s="19">
        <f>IF($A1044="","",IF(Paramètres!J18&amp;Paramètres!L18&amp;Paramètres!N18="",Dossiers!$D$23,MAX(IF(Paramètres!J18="",0,IF(Paramètres!K18="",NA(),IF(LEFT(TRIM(Paramètres!K18),1)="F",INDEX($F$1031:$F$1083,MATCH(Paramètres!J18,Paramètres!$G$5:$G$57,0)),INDEX($E$1031:$E$1083,MATCH(Paramètres!J18,Paramètres!$G$5:$G$57,0)))+IF(RIGHT(TRIM(Paramètres!K18),3)="Fin",1-$H1044,IF(LEFT(TRIM(Paramètres!K18),1)="F",1,0)))),IF(Paramètres!L18="",0,IF(Paramètres!M18="",NA(),IF(LEFT(TRIM(Paramètres!M18),1)="F",INDEX($F$1031:$F$1083,MATCH(Paramètres!L18,Paramètres!$G$5:$G$57,0)),INDEX($E$1031:$E$1083,MATCH(Paramètres!L18,Paramètres!$G$5:$G$57,0)))+IF(RIGHT(TRIM(Paramètres!M18),3)="Fin",1-$H1044,IF(LEFT(TRIM(Paramètres!M18),1)="F",1,0)))),IF(Paramètres!N18="",0,IF(Paramètres!O18="",NA(),IF(LEFT(TRIM(Paramètres!O18),1)="F",INDEX($F$1031:$F$1083,MATCH(Paramètres!N18,Paramètres!$G$5:$G$57,0)),INDEX($E$1031:$E$1083,MATCH(Paramètres!N18,Paramètres!$G$5:$G$57,0)))+IF(RIGHT(TRIM(Paramètres!O18),3)="Fin",1-$H1044,IF(LEFT(TRIM(Paramètres!O18),1)="F",1,0)))))))</f>
        <v/>
      </c>
      <c r="F1044" s="19">
        <f>IF($A1044="","",E1044+$H1044-1)</f>
        <v/>
      </c>
      <c r="G1044" s="18" t="n"/>
      <c r="H1044" s="18">
        <f>IF($A1044="","",IF(I1044&lt;&gt;"",I1044,Paramètres!B18))</f>
        <v/>
      </c>
      <c r="I1044" s="18" t="n"/>
    </row>
    <row r="1045">
      <c r="A1045" s="18">
        <f>IF(ISNUMBER(Dossiers!$D$23),Dossiers!$A$23&amp;" · "&amp;Dossiers!$B$23,"")</f>
        <v/>
      </c>
      <c r="B1045" s="18">
        <f>IF($A1045="","",Paramètres!G19)</f>
        <v/>
      </c>
      <c r="C1045" s="18">
        <f>IF($A1045="","",IF(Paramètres!H19="","",Paramètres!H19))</f>
        <v/>
      </c>
      <c r="D1045" s="18">
        <f>IF($A1045="","",IF(Paramètres!I19="","",Paramètres!I19))</f>
        <v/>
      </c>
      <c r="E1045" s="19">
        <f>IF($A1045="","",IF(Paramètres!J19&amp;Paramètres!L19&amp;Paramètres!N19="",Dossiers!$D$23,MAX(IF(Paramètres!J19="",0,IF(Paramètres!K19="",NA(),IF(LEFT(TRIM(Paramètres!K19),1)="F",INDEX($F$1031:$F$1083,MATCH(Paramètres!J19,Paramètres!$G$5:$G$57,0)),INDEX($E$1031:$E$1083,MATCH(Paramètres!J19,Paramètres!$G$5:$G$57,0)))+IF(RIGHT(TRIM(Paramètres!K19),3)="Fin",1-$H1045,IF(LEFT(TRIM(Paramètres!K19),1)="F",1,0)))),IF(Paramètres!L19="",0,IF(Paramètres!M19="",NA(),IF(LEFT(TRIM(Paramètres!M19),1)="F",INDEX($F$1031:$F$1083,MATCH(Paramètres!L19,Paramètres!$G$5:$G$57,0)),INDEX($E$1031:$E$1083,MATCH(Paramètres!L19,Paramètres!$G$5:$G$57,0)))+IF(RIGHT(TRIM(Paramètres!M19),3)="Fin",1-$H1045,IF(LEFT(TRIM(Paramètres!M19),1)="F",1,0)))),IF(Paramètres!N19="",0,IF(Paramètres!O19="",NA(),IF(LEFT(TRIM(Paramètres!O19),1)="F",INDEX($F$1031:$F$1083,MATCH(Paramètres!N19,Paramètres!$G$5:$G$57,0)),INDEX($E$1031:$E$1083,MATCH(Paramètres!N19,Paramètres!$G$5:$G$57,0)))+IF(RIGHT(TRIM(Paramètres!O19),3)="Fin",1-$H1045,IF(LEFT(TRIM(Paramètres!O19),1)="F",1,0)))))))</f>
        <v/>
      </c>
      <c r="F1045" s="19">
        <f>IF($A1045="","",E1045+$H1045-1)</f>
        <v/>
      </c>
      <c r="G1045" s="18" t="n"/>
      <c r="H1045" s="18">
        <f>IF($A1045="","",IF(I1045&lt;&gt;"",I1045,Paramètres!B19))</f>
        <v/>
      </c>
      <c r="I1045" s="18" t="n"/>
    </row>
    <row r="1046">
      <c r="A1046" s="18">
        <f>IF(ISNUMBER(Dossiers!$D$23),Dossiers!$A$23&amp;" · "&amp;Dossiers!$B$23,"")</f>
        <v/>
      </c>
      <c r="B1046" s="18">
        <f>IF($A1046="","",Paramètres!G20)</f>
        <v/>
      </c>
      <c r="C1046" s="18">
        <f>IF($A1046="","",IF(Paramètres!H20="","",Paramètres!H20))</f>
        <v/>
      </c>
      <c r="D1046" s="18">
        <f>IF($A1046="","",IF(Paramètres!I20="","",Paramètres!I20))</f>
        <v/>
      </c>
      <c r="E1046" s="19">
        <f>IF($A1046="","",IF(Paramètres!J20&amp;Paramètres!L20&amp;Paramètres!N20="",Dossiers!$D$23,MAX(IF(Paramètres!J20="",0,IF(Paramètres!K20="",NA(),IF(LEFT(TRIM(Paramètres!K20),1)="F",INDEX($F$1031:$F$1083,MATCH(Paramètres!J20,Paramètres!$G$5:$G$57,0)),INDEX($E$1031:$E$1083,MATCH(Paramètres!J20,Paramètres!$G$5:$G$57,0)))+IF(RIGHT(TRIM(Paramètres!K20),3)="Fin",1-$H1046,IF(LEFT(TRIM(Paramètres!K20),1)="F",1,0)))),IF(Paramètres!L20="",0,IF(Paramètres!M20="",NA(),IF(LEFT(TRIM(Paramètres!M20),1)="F",INDEX($F$1031:$F$1083,MATCH(Paramètres!L20,Paramètres!$G$5:$G$57,0)),INDEX($E$1031:$E$1083,MATCH(Paramètres!L20,Paramètres!$G$5:$G$57,0)))+IF(RIGHT(TRIM(Paramètres!M20),3)="Fin",1-$H1046,IF(LEFT(TRIM(Paramètres!M20),1)="F",1,0)))),IF(Paramètres!N20="",0,IF(Paramètres!O20="",NA(),IF(LEFT(TRIM(Paramètres!O20),1)="F",INDEX($F$1031:$F$1083,MATCH(Paramètres!N20,Paramètres!$G$5:$G$57,0)),INDEX($E$1031:$E$1083,MATCH(Paramètres!N20,Paramètres!$G$5:$G$57,0)))+IF(RIGHT(TRIM(Paramètres!O20),3)="Fin",1-$H1046,IF(LEFT(TRIM(Paramètres!O20),1)="F",1,0)))))))</f>
        <v/>
      </c>
      <c r="F1046" s="19">
        <f>IF($A1046="","",E1046+$H1046-1)</f>
        <v/>
      </c>
      <c r="G1046" s="18" t="n"/>
      <c r="H1046" s="18">
        <f>IF($A1046="","",IF(I1046&lt;&gt;"",I1046,Paramètres!B20))</f>
        <v/>
      </c>
      <c r="I1046" s="18" t="n"/>
    </row>
    <row r="1047">
      <c r="A1047" s="18">
        <f>IF(ISNUMBER(Dossiers!$D$23),Dossiers!$A$23&amp;" · "&amp;Dossiers!$B$23,"")</f>
        <v/>
      </c>
      <c r="B1047" s="18">
        <f>IF($A1047="","",Paramètres!G21)</f>
        <v/>
      </c>
      <c r="C1047" s="18">
        <f>IF($A1047="","",IF(Paramètres!H21="","",Paramètres!H21))</f>
        <v/>
      </c>
      <c r="D1047" s="18">
        <f>IF($A1047="","",IF(Paramètres!I21="","",Paramètres!I21))</f>
        <v/>
      </c>
      <c r="E1047" s="19">
        <f>IF($A1047="","",IF(Paramètres!J21&amp;Paramètres!L21&amp;Paramètres!N21="",Dossiers!$D$23,MAX(IF(Paramètres!J21="",0,IF(Paramètres!K21="",NA(),IF(LEFT(TRIM(Paramètres!K21),1)="F",INDEX($F$1031:$F$1083,MATCH(Paramètres!J21,Paramètres!$G$5:$G$57,0)),INDEX($E$1031:$E$1083,MATCH(Paramètres!J21,Paramètres!$G$5:$G$57,0)))+IF(RIGHT(TRIM(Paramètres!K21),3)="Fin",1-$H1047,IF(LEFT(TRIM(Paramètres!K21),1)="F",1,0)))),IF(Paramètres!L21="",0,IF(Paramètres!M21="",NA(),IF(LEFT(TRIM(Paramètres!M21),1)="F",INDEX($F$1031:$F$1083,MATCH(Paramètres!L21,Paramètres!$G$5:$G$57,0)),INDEX($E$1031:$E$1083,MATCH(Paramètres!L21,Paramètres!$G$5:$G$57,0)))+IF(RIGHT(TRIM(Paramètres!M21),3)="Fin",1-$H1047,IF(LEFT(TRIM(Paramètres!M21),1)="F",1,0)))),IF(Paramètres!N21="",0,IF(Paramètres!O21="",NA(),IF(LEFT(TRIM(Paramètres!O21),1)="F",INDEX($F$1031:$F$1083,MATCH(Paramètres!N21,Paramètres!$G$5:$G$57,0)),INDEX($E$1031:$E$1083,MATCH(Paramètres!N21,Paramètres!$G$5:$G$57,0)))+IF(RIGHT(TRIM(Paramètres!O21),3)="Fin",1-$H1047,IF(LEFT(TRIM(Paramètres!O21),1)="F",1,0)))))))</f>
        <v/>
      </c>
      <c r="F1047" s="19">
        <f>IF($A1047="","",E1047+$H1047-1)</f>
        <v/>
      </c>
      <c r="G1047" s="18" t="n"/>
      <c r="H1047" s="18">
        <f>IF($A1047="","",IF(I1047&lt;&gt;"",I1047,Paramètres!B21))</f>
        <v/>
      </c>
      <c r="I1047" s="18" t="n"/>
    </row>
    <row r="1048">
      <c r="A1048" s="18">
        <f>IF(ISNUMBER(Dossiers!$D$23),Dossiers!$A$23&amp;" · "&amp;Dossiers!$B$23,"")</f>
        <v/>
      </c>
      <c r="B1048" s="18">
        <f>IF($A1048="","",Paramètres!G22)</f>
        <v/>
      </c>
      <c r="C1048" s="18">
        <f>IF($A1048="","",IF(Paramètres!H22="","",Paramètres!H22))</f>
        <v/>
      </c>
      <c r="D1048" s="18">
        <f>IF($A1048="","",IF(Paramètres!I22="","",Paramètres!I22))</f>
        <v/>
      </c>
      <c r="E1048" s="19">
        <f>IF($A1048="","",IF(Paramètres!J22&amp;Paramètres!L22&amp;Paramètres!N22="",Dossiers!$D$23,MAX(IF(Paramètres!J22="",0,IF(Paramètres!K22="",NA(),IF(LEFT(TRIM(Paramètres!K22),1)="F",INDEX($F$1031:$F$1083,MATCH(Paramètres!J22,Paramètres!$G$5:$G$57,0)),INDEX($E$1031:$E$1083,MATCH(Paramètres!J22,Paramètres!$G$5:$G$57,0)))+IF(RIGHT(TRIM(Paramètres!K22),3)="Fin",1-$H1048,IF(LEFT(TRIM(Paramètres!K22),1)="F",1,0)))),IF(Paramètres!L22="",0,IF(Paramètres!M22="",NA(),IF(LEFT(TRIM(Paramètres!M22),1)="F",INDEX($F$1031:$F$1083,MATCH(Paramètres!L22,Paramètres!$G$5:$G$57,0)),INDEX($E$1031:$E$1083,MATCH(Paramètres!L22,Paramètres!$G$5:$G$57,0)))+IF(RIGHT(TRIM(Paramètres!M22),3)="Fin",1-$H1048,IF(LEFT(TRIM(Paramètres!M22),1)="F",1,0)))),IF(Paramètres!N22="",0,IF(Paramètres!O22="",NA(),IF(LEFT(TRIM(Paramètres!O22),1)="F",INDEX($F$1031:$F$1083,MATCH(Paramètres!N22,Paramètres!$G$5:$G$57,0)),INDEX($E$1031:$E$1083,MATCH(Paramètres!N22,Paramètres!$G$5:$G$57,0)))+IF(RIGHT(TRIM(Paramètres!O22),3)="Fin",1-$H1048,IF(LEFT(TRIM(Paramètres!O22),1)="F",1,0)))))))</f>
        <v/>
      </c>
      <c r="F1048" s="19">
        <f>IF($A1048="","",E1048+$H1048-1)</f>
        <v/>
      </c>
      <c r="G1048" s="18" t="n"/>
      <c r="H1048" s="18">
        <f>IF($A1048="","",IF(I1048&lt;&gt;"",I1048,Paramètres!B22))</f>
        <v/>
      </c>
      <c r="I1048" s="18" t="n"/>
    </row>
    <row r="1049">
      <c r="A1049" s="18">
        <f>IF(ISNUMBER(Dossiers!$D$23),Dossiers!$A$23&amp;" · "&amp;Dossiers!$B$23,"")</f>
        <v/>
      </c>
      <c r="B1049" s="18">
        <f>IF($A1049="","",Paramètres!G23)</f>
        <v/>
      </c>
      <c r="C1049" s="18">
        <f>IF($A1049="","",IF(Paramètres!H23="","",Paramètres!H23))</f>
        <v/>
      </c>
      <c r="D1049" s="18">
        <f>IF($A1049="","",IF(Paramètres!I23="","",Paramètres!I23))</f>
        <v/>
      </c>
      <c r="E1049" s="19">
        <f>IF($A1049="","",IF(Paramètres!J23&amp;Paramètres!L23&amp;Paramètres!N23="",Dossiers!$D$23,MAX(IF(Paramètres!J23="",0,IF(Paramètres!K23="",NA(),IF(LEFT(TRIM(Paramètres!K23),1)="F",INDEX($F$1031:$F$1083,MATCH(Paramètres!J23,Paramètres!$G$5:$G$57,0)),INDEX($E$1031:$E$1083,MATCH(Paramètres!J23,Paramètres!$G$5:$G$57,0)))+IF(RIGHT(TRIM(Paramètres!K23),3)="Fin",1-$H1049,IF(LEFT(TRIM(Paramètres!K23),1)="F",1,0)))),IF(Paramètres!L23="",0,IF(Paramètres!M23="",NA(),IF(LEFT(TRIM(Paramètres!M23),1)="F",INDEX($F$1031:$F$1083,MATCH(Paramètres!L23,Paramètres!$G$5:$G$57,0)),INDEX($E$1031:$E$1083,MATCH(Paramètres!L23,Paramètres!$G$5:$G$57,0)))+IF(RIGHT(TRIM(Paramètres!M23),3)="Fin",1-$H1049,IF(LEFT(TRIM(Paramètres!M23),1)="F",1,0)))),IF(Paramètres!N23="",0,IF(Paramètres!O23="",NA(),IF(LEFT(TRIM(Paramètres!O23),1)="F",INDEX($F$1031:$F$1083,MATCH(Paramètres!N23,Paramètres!$G$5:$G$57,0)),INDEX($E$1031:$E$1083,MATCH(Paramètres!N23,Paramètres!$G$5:$G$57,0)))+IF(RIGHT(TRIM(Paramètres!O23),3)="Fin",1-$H1049,IF(LEFT(TRIM(Paramètres!O23),1)="F",1,0)))))))</f>
        <v/>
      </c>
      <c r="F1049" s="19">
        <f>IF($A1049="","",E1049+$H1049-1)</f>
        <v/>
      </c>
      <c r="G1049" s="18" t="n"/>
      <c r="H1049" s="18">
        <f>IF($A1049="","",IF(I1049&lt;&gt;"",I1049,Paramètres!B23))</f>
        <v/>
      </c>
      <c r="I1049" s="18" t="n"/>
    </row>
    <row r="1050">
      <c r="A1050" s="18">
        <f>IF(ISNUMBER(Dossiers!$D$23),Dossiers!$A$23&amp;" · "&amp;Dossiers!$B$23,"")</f>
        <v/>
      </c>
      <c r="B1050" s="18">
        <f>IF($A1050="","",Paramètres!G24)</f>
        <v/>
      </c>
      <c r="C1050" s="18">
        <f>IF($A1050="","",IF(Paramètres!H24="","",Paramètres!H24))</f>
        <v/>
      </c>
      <c r="D1050" s="18">
        <f>IF($A1050="","",IF(Paramètres!I24="","",Paramètres!I24))</f>
        <v/>
      </c>
      <c r="E1050" s="19">
        <f>IF($A1050="","",IF(Paramètres!J24&amp;Paramètres!L24&amp;Paramètres!N24="",Dossiers!$D$23,MAX(IF(Paramètres!J24="",0,IF(Paramètres!K24="",NA(),IF(LEFT(TRIM(Paramètres!K24),1)="F",INDEX($F$1031:$F$1083,MATCH(Paramètres!J24,Paramètres!$G$5:$G$57,0)),INDEX($E$1031:$E$1083,MATCH(Paramètres!J24,Paramètres!$G$5:$G$57,0)))+IF(RIGHT(TRIM(Paramètres!K24),3)="Fin",1-$H1050,IF(LEFT(TRIM(Paramètres!K24),1)="F",1,0)))),IF(Paramètres!L24="",0,IF(Paramètres!M24="",NA(),IF(LEFT(TRIM(Paramètres!M24),1)="F",INDEX($F$1031:$F$1083,MATCH(Paramètres!L24,Paramètres!$G$5:$G$57,0)),INDEX($E$1031:$E$1083,MATCH(Paramètres!L24,Paramètres!$G$5:$G$57,0)))+IF(RIGHT(TRIM(Paramètres!M24),3)="Fin",1-$H1050,IF(LEFT(TRIM(Paramètres!M24),1)="F",1,0)))),IF(Paramètres!N24="",0,IF(Paramètres!O24="",NA(),IF(LEFT(TRIM(Paramètres!O24),1)="F",INDEX($F$1031:$F$1083,MATCH(Paramètres!N24,Paramètres!$G$5:$G$57,0)),INDEX($E$1031:$E$1083,MATCH(Paramètres!N24,Paramètres!$G$5:$G$57,0)))+IF(RIGHT(TRIM(Paramètres!O24),3)="Fin",1-$H1050,IF(LEFT(TRIM(Paramètres!O24),1)="F",1,0)))))))</f>
        <v/>
      </c>
      <c r="F1050" s="19">
        <f>IF($A1050="","",E1050+$H1050-1)</f>
        <v/>
      </c>
      <c r="G1050" s="18" t="n"/>
      <c r="H1050" s="18">
        <f>IF($A1050="","",IF(I1050&lt;&gt;"",I1050,Paramètres!B24))</f>
        <v/>
      </c>
      <c r="I1050" s="18" t="n"/>
    </row>
    <row r="1051">
      <c r="A1051" s="18">
        <f>IF(ISNUMBER(Dossiers!$D$23),Dossiers!$A$23&amp;" · "&amp;Dossiers!$B$23,"")</f>
        <v/>
      </c>
      <c r="B1051" s="18">
        <f>IF($A1051="","",Paramètres!G25)</f>
        <v/>
      </c>
      <c r="C1051" s="18">
        <f>IF($A1051="","",IF(Paramètres!H25="","",Paramètres!H25))</f>
        <v/>
      </c>
      <c r="D1051" s="18">
        <f>IF($A1051="","",IF(Paramètres!I25="","",Paramètres!I25))</f>
        <v/>
      </c>
      <c r="E1051" s="19">
        <f>IF($A1051="","",IF(Paramètres!J25&amp;Paramètres!L25&amp;Paramètres!N25="",Dossiers!$D$23,MAX(IF(Paramètres!J25="",0,IF(Paramètres!K25="",NA(),IF(LEFT(TRIM(Paramètres!K25),1)="F",INDEX($F$1031:$F$1083,MATCH(Paramètres!J25,Paramètres!$G$5:$G$57,0)),INDEX($E$1031:$E$1083,MATCH(Paramètres!J25,Paramètres!$G$5:$G$57,0)))+IF(RIGHT(TRIM(Paramètres!K25),3)="Fin",1-$H1051,IF(LEFT(TRIM(Paramètres!K25),1)="F",1,0)))),IF(Paramètres!L25="",0,IF(Paramètres!M25="",NA(),IF(LEFT(TRIM(Paramètres!M25),1)="F",INDEX($F$1031:$F$1083,MATCH(Paramètres!L25,Paramètres!$G$5:$G$57,0)),INDEX($E$1031:$E$1083,MATCH(Paramètres!L25,Paramètres!$G$5:$G$57,0)))+IF(RIGHT(TRIM(Paramètres!M25),3)="Fin",1-$H1051,IF(LEFT(TRIM(Paramètres!M25),1)="F",1,0)))),IF(Paramètres!N25="",0,IF(Paramètres!O25="",NA(),IF(LEFT(TRIM(Paramètres!O25),1)="F",INDEX($F$1031:$F$1083,MATCH(Paramètres!N25,Paramètres!$G$5:$G$57,0)),INDEX($E$1031:$E$1083,MATCH(Paramètres!N25,Paramètres!$G$5:$G$57,0)))+IF(RIGHT(TRIM(Paramètres!O25),3)="Fin",1-$H1051,IF(LEFT(TRIM(Paramètres!O25),1)="F",1,0)))))))</f>
        <v/>
      </c>
      <c r="F1051" s="19">
        <f>IF($A1051="","",E1051+$H1051-1)</f>
        <v/>
      </c>
      <c r="G1051" s="18" t="n"/>
      <c r="H1051" s="18">
        <f>IF($A1051="","",IF(I1051&lt;&gt;"",I1051,Paramètres!B25))</f>
        <v/>
      </c>
      <c r="I1051" s="18" t="n"/>
    </row>
    <row r="1052">
      <c r="A1052" s="18">
        <f>IF(ISNUMBER(Dossiers!$D$23),Dossiers!$A$23&amp;" · "&amp;Dossiers!$B$23,"")</f>
        <v/>
      </c>
      <c r="B1052" s="18">
        <f>IF($A1052="","",Paramètres!G26)</f>
        <v/>
      </c>
      <c r="C1052" s="18">
        <f>IF($A1052="","",IF(Paramètres!H26="","",Paramètres!H26))</f>
        <v/>
      </c>
      <c r="D1052" s="18">
        <f>IF($A1052="","",IF(Paramètres!I26="","",Paramètres!I26))</f>
        <v/>
      </c>
      <c r="E1052" s="19">
        <f>IF($A1052="","",IF(Paramètres!J26&amp;Paramètres!L26&amp;Paramètres!N26="",Dossiers!$D$23,MAX(IF(Paramètres!J26="",0,IF(Paramètres!K26="",NA(),IF(LEFT(TRIM(Paramètres!K26),1)="F",INDEX($F$1031:$F$1083,MATCH(Paramètres!J26,Paramètres!$G$5:$G$57,0)),INDEX($E$1031:$E$1083,MATCH(Paramètres!J26,Paramètres!$G$5:$G$57,0)))+IF(RIGHT(TRIM(Paramètres!K26),3)="Fin",1-$H1052,IF(LEFT(TRIM(Paramètres!K26),1)="F",1,0)))),IF(Paramètres!L26="",0,IF(Paramètres!M26="",NA(),IF(LEFT(TRIM(Paramètres!M26),1)="F",INDEX($F$1031:$F$1083,MATCH(Paramètres!L26,Paramètres!$G$5:$G$57,0)),INDEX($E$1031:$E$1083,MATCH(Paramètres!L26,Paramètres!$G$5:$G$57,0)))+IF(RIGHT(TRIM(Paramètres!M26),3)="Fin",1-$H1052,IF(LEFT(TRIM(Paramètres!M26),1)="F",1,0)))),IF(Paramètres!N26="",0,IF(Paramètres!O26="",NA(),IF(LEFT(TRIM(Paramètres!O26),1)="F",INDEX($F$1031:$F$1083,MATCH(Paramètres!N26,Paramètres!$G$5:$G$57,0)),INDEX($E$1031:$E$1083,MATCH(Paramètres!N26,Paramètres!$G$5:$G$57,0)))+IF(RIGHT(TRIM(Paramètres!O26),3)="Fin",1-$H1052,IF(LEFT(TRIM(Paramètres!O26),1)="F",1,0)))))))</f>
        <v/>
      </c>
      <c r="F1052" s="19">
        <f>IF($A1052="","",E1052+$H1052-1)</f>
        <v/>
      </c>
      <c r="G1052" s="18" t="n"/>
      <c r="H1052" s="18">
        <f>IF($A1052="","",IF(I1052&lt;&gt;"",I1052,Paramètres!B26))</f>
        <v/>
      </c>
      <c r="I1052" s="18" t="n"/>
    </row>
    <row r="1053">
      <c r="A1053" s="18">
        <f>IF(ISNUMBER(Dossiers!$D$23),Dossiers!$A$23&amp;" · "&amp;Dossiers!$B$23,"")</f>
        <v/>
      </c>
      <c r="B1053" s="18">
        <f>IF($A1053="","",Paramètres!G27)</f>
        <v/>
      </c>
      <c r="C1053" s="18">
        <f>IF($A1053="","",IF(Paramètres!H27="","",Paramètres!H27))</f>
        <v/>
      </c>
      <c r="D1053" s="18">
        <f>IF($A1053="","",IF(Paramètres!I27="","",Paramètres!I27))</f>
        <v/>
      </c>
      <c r="E1053" s="19">
        <f>IF($A1053="","",IF(Paramètres!J27&amp;Paramètres!L27&amp;Paramètres!N27="",Dossiers!$D$23,MAX(IF(Paramètres!J27="",0,IF(Paramètres!K27="",NA(),IF(LEFT(TRIM(Paramètres!K27),1)="F",INDEX($F$1031:$F$1083,MATCH(Paramètres!J27,Paramètres!$G$5:$G$57,0)),INDEX($E$1031:$E$1083,MATCH(Paramètres!J27,Paramètres!$G$5:$G$57,0)))+IF(RIGHT(TRIM(Paramètres!K27),3)="Fin",1-$H1053,IF(LEFT(TRIM(Paramètres!K27),1)="F",1,0)))),IF(Paramètres!L27="",0,IF(Paramètres!M27="",NA(),IF(LEFT(TRIM(Paramètres!M27),1)="F",INDEX($F$1031:$F$1083,MATCH(Paramètres!L27,Paramètres!$G$5:$G$57,0)),INDEX($E$1031:$E$1083,MATCH(Paramètres!L27,Paramètres!$G$5:$G$57,0)))+IF(RIGHT(TRIM(Paramètres!M27),3)="Fin",1-$H1053,IF(LEFT(TRIM(Paramètres!M27),1)="F",1,0)))),IF(Paramètres!N27="",0,IF(Paramètres!O27="",NA(),IF(LEFT(TRIM(Paramètres!O27),1)="F",INDEX($F$1031:$F$1083,MATCH(Paramètres!N27,Paramètres!$G$5:$G$57,0)),INDEX($E$1031:$E$1083,MATCH(Paramètres!N27,Paramètres!$G$5:$G$57,0)))+IF(RIGHT(TRIM(Paramètres!O27),3)="Fin",1-$H1053,IF(LEFT(TRIM(Paramètres!O27),1)="F",1,0)))))))</f>
        <v/>
      </c>
      <c r="F1053" s="19">
        <f>IF($A1053="","",E1053+$H1053-1)</f>
        <v/>
      </c>
      <c r="G1053" s="18" t="n"/>
      <c r="H1053" s="18">
        <f>IF($A1053="","",IF(I1053&lt;&gt;"",I1053,Paramètres!B27))</f>
        <v/>
      </c>
      <c r="I1053" s="18" t="n"/>
    </row>
    <row r="1054">
      <c r="A1054" s="18">
        <f>IF(ISNUMBER(Dossiers!$D$23),Dossiers!$A$23&amp;" · "&amp;Dossiers!$B$23,"")</f>
        <v/>
      </c>
      <c r="B1054" s="18">
        <f>IF($A1054="","",Paramètres!G28)</f>
        <v/>
      </c>
      <c r="C1054" s="18">
        <f>IF($A1054="","",IF(Paramètres!H28="","",Paramètres!H28))</f>
        <v/>
      </c>
      <c r="D1054" s="18">
        <f>IF($A1054="","",IF(Paramètres!I28="","",Paramètres!I28))</f>
        <v/>
      </c>
      <c r="E1054" s="19">
        <f>IF($A1054="","",IF(Paramètres!J28&amp;Paramètres!L28&amp;Paramètres!N28="",Dossiers!$D$23,MAX(IF(Paramètres!J28="",0,IF(Paramètres!K28="",NA(),IF(LEFT(TRIM(Paramètres!K28),1)="F",INDEX($F$1031:$F$1083,MATCH(Paramètres!J28,Paramètres!$G$5:$G$57,0)),INDEX($E$1031:$E$1083,MATCH(Paramètres!J28,Paramètres!$G$5:$G$57,0)))+IF(RIGHT(TRIM(Paramètres!K28),3)="Fin",1-$H1054,IF(LEFT(TRIM(Paramètres!K28),1)="F",1,0)))),IF(Paramètres!L28="",0,IF(Paramètres!M28="",NA(),IF(LEFT(TRIM(Paramètres!M28),1)="F",INDEX($F$1031:$F$1083,MATCH(Paramètres!L28,Paramètres!$G$5:$G$57,0)),INDEX($E$1031:$E$1083,MATCH(Paramètres!L28,Paramètres!$G$5:$G$57,0)))+IF(RIGHT(TRIM(Paramètres!M28),3)="Fin",1-$H1054,IF(LEFT(TRIM(Paramètres!M28),1)="F",1,0)))),IF(Paramètres!N28="",0,IF(Paramètres!O28="",NA(),IF(LEFT(TRIM(Paramètres!O28),1)="F",INDEX($F$1031:$F$1083,MATCH(Paramètres!N28,Paramètres!$G$5:$G$57,0)),INDEX($E$1031:$E$1083,MATCH(Paramètres!N28,Paramètres!$G$5:$G$57,0)))+IF(RIGHT(TRIM(Paramètres!O28),3)="Fin",1-$H1054,IF(LEFT(TRIM(Paramètres!O28),1)="F",1,0)))))))</f>
        <v/>
      </c>
      <c r="F1054" s="19">
        <f>IF($A1054="","",E1054+$H1054-1)</f>
        <v/>
      </c>
      <c r="G1054" s="18" t="n"/>
      <c r="H1054" s="18">
        <f>IF($A1054="","",IF(I1054&lt;&gt;"",I1054,Paramètres!B28))</f>
        <v/>
      </c>
      <c r="I1054" s="18" t="n"/>
    </row>
    <row r="1055">
      <c r="A1055" s="18">
        <f>IF(ISNUMBER(Dossiers!$D$23),Dossiers!$A$23&amp;" · "&amp;Dossiers!$B$23,"")</f>
        <v/>
      </c>
      <c r="B1055" s="18">
        <f>IF($A1055="","",Paramètres!G29)</f>
        <v/>
      </c>
      <c r="C1055" s="18">
        <f>IF($A1055="","",IF(Paramètres!H29="","",Paramètres!H29))</f>
        <v/>
      </c>
      <c r="D1055" s="18">
        <f>IF($A1055="","",IF(Paramètres!I29="","",Paramètres!I29))</f>
        <v/>
      </c>
      <c r="E1055" s="19">
        <f>IF($A1055="","",IF(Paramètres!J29&amp;Paramètres!L29&amp;Paramètres!N29="",Dossiers!$D$23,MAX(IF(Paramètres!J29="",0,IF(Paramètres!K29="",NA(),IF(LEFT(TRIM(Paramètres!K29),1)="F",INDEX($F$1031:$F$1083,MATCH(Paramètres!J29,Paramètres!$G$5:$G$57,0)),INDEX($E$1031:$E$1083,MATCH(Paramètres!J29,Paramètres!$G$5:$G$57,0)))+IF(RIGHT(TRIM(Paramètres!K29),3)="Fin",1-$H1055,IF(LEFT(TRIM(Paramètres!K29),1)="F",1,0)))),IF(Paramètres!L29="",0,IF(Paramètres!M29="",NA(),IF(LEFT(TRIM(Paramètres!M29),1)="F",INDEX($F$1031:$F$1083,MATCH(Paramètres!L29,Paramètres!$G$5:$G$57,0)),INDEX($E$1031:$E$1083,MATCH(Paramètres!L29,Paramètres!$G$5:$G$57,0)))+IF(RIGHT(TRIM(Paramètres!M29),3)="Fin",1-$H1055,IF(LEFT(TRIM(Paramètres!M29),1)="F",1,0)))),IF(Paramètres!N29="",0,IF(Paramètres!O29="",NA(),IF(LEFT(TRIM(Paramètres!O29),1)="F",INDEX($F$1031:$F$1083,MATCH(Paramètres!N29,Paramètres!$G$5:$G$57,0)),INDEX($E$1031:$E$1083,MATCH(Paramètres!N29,Paramètres!$G$5:$G$57,0)))+IF(RIGHT(TRIM(Paramètres!O29),3)="Fin",1-$H1055,IF(LEFT(TRIM(Paramètres!O29),1)="F",1,0)))))))</f>
        <v/>
      </c>
      <c r="F1055" s="19">
        <f>IF($A1055="","",E1055+$H1055-1)</f>
        <v/>
      </c>
      <c r="G1055" s="18" t="n"/>
      <c r="H1055" s="18">
        <f>IF($A1055="","",IF(I1055&lt;&gt;"",I1055,Paramètres!B29))</f>
        <v/>
      </c>
      <c r="I1055" s="18" t="n"/>
    </row>
    <row r="1056">
      <c r="A1056" s="18">
        <f>IF(ISNUMBER(Dossiers!$D$23),Dossiers!$A$23&amp;" · "&amp;Dossiers!$B$23,"")</f>
        <v/>
      </c>
      <c r="B1056" s="18">
        <f>IF($A1056="","",Paramètres!G30)</f>
        <v/>
      </c>
      <c r="C1056" s="18">
        <f>IF($A1056="","",IF(Paramètres!H30="","",Paramètres!H30))</f>
        <v/>
      </c>
      <c r="D1056" s="18">
        <f>IF($A1056="","",IF(Paramètres!I30="","",Paramètres!I30))</f>
        <v/>
      </c>
      <c r="E1056" s="19">
        <f>IF($A1056="","",IF(Paramètres!J30&amp;Paramètres!L30&amp;Paramètres!N30="",Dossiers!$D$23,MAX(IF(Paramètres!J30="",0,IF(Paramètres!K30="",NA(),IF(LEFT(TRIM(Paramètres!K30),1)="F",INDEX($F$1031:$F$1083,MATCH(Paramètres!J30,Paramètres!$G$5:$G$57,0)),INDEX($E$1031:$E$1083,MATCH(Paramètres!J30,Paramètres!$G$5:$G$57,0)))+IF(RIGHT(TRIM(Paramètres!K30),3)="Fin",1-$H1056,IF(LEFT(TRIM(Paramètres!K30),1)="F",1,0)))),IF(Paramètres!L30="",0,IF(Paramètres!M30="",NA(),IF(LEFT(TRIM(Paramètres!M30),1)="F",INDEX($F$1031:$F$1083,MATCH(Paramètres!L30,Paramètres!$G$5:$G$57,0)),INDEX($E$1031:$E$1083,MATCH(Paramètres!L30,Paramètres!$G$5:$G$57,0)))+IF(RIGHT(TRIM(Paramètres!M30),3)="Fin",1-$H1056,IF(LEFT(TRIM(Paramètres!M30),1)="F",1,0)))),IF(Paramètres!N30="",0,IF(Paramètres!O30="",NA(),IF(LEFT(TRIM(Paramètres!O30),1)="F",INDEX($F$1031:$F$1083,MATCH(Paramètres!N30,Paramètres!$G$5:$G$57,0)),INDEX($E$1031:$E$1083,MATCH(Paramètres!N30,Paramètres!$G$5:$G$57,0)))+IF(RIGHT(TRIM(Paramètres!O30),3)="Fin",1-$H1056,IF(LEFT(TRIM(Paramètres!O30),1)="F",1,0)))))))</f>
        <v/>
      </c>
      <c r="F1056" s="19">
        <f>IF($A1056="","",E1056+$H1056-1)</f>
        <v/>
      </c>
      <c r="G1056" s="18" t="n"/>
      <c r="H1056" s="18">
        <f>IF($A1056="","",IF(I1056&lt;&gt;"",I1056,Paramètres!B30))</f>
        <v/>
      </c>
      <c r="I1056" s="18" t="n"/>
    </row>
    <row r="1057">
      <c r="A1057" s="18">
        <f>IF(ISNUMBER(Dossiers!$D$23),Dossiers!$A$23&amp;" · "&amp;Dossiers!$B$23,"")</f>
        <v/>
      </c>
      <c r="B1057" s="18">
        <f>IF($A1057="","",Paramètres!G31)</f>
        <v/>
      </c>
      <c r="C1057" s="20">
        <f>IF($A1057="","",IF(Dossiers!$F$23="","",Dossiers!$F$23))</f>
        <v/>
      </c>
      <c r="D1057" s="18">
        <f>IF($A1057="","",IF(Paramètres!I31="","",Paramètres!I31))</f>
        <v/>
      </c>
      <c r="E1057" s="19">
        <f>IF($A1057="","",IF(Paramètres!J31&amp;Paramètres!L31&amp;Paramètres!N31="",Dossiers!$D$23,MAX(IF(Paramètres!J31="",0,IF(Paramètres!K31="",NA(),IF(LEFT(TRIM(Paramètres!K31),1)="F",INDEX($F$1031:$F$1083,MATCH(Paramètres!J31,Paramètres!$G$5:$G$57,0)),INDEX($E$1031:$E$1083,MATCH(Paramètres!J31,Paramètres!$G$5:$G$57,0)))+IF(RIGHT(TRIM(Paramètres!K31),3)="Fin",1-$H1057,IF(LEFT(TRIM(Paramètres!K31),1)="F",1,0)))),IF(Paramètres!L31="",0,IF(Paramètres!M31="",NA(),IF(LEFT(TRIM(Paramètres!M31),1)="F",INDEX($F$1031:$F$1083,MATCH(Paramètres!L31,Paramètres!$G$5:$G$57,0)),INDEX($E$1031:$E$1083,MATCH(Paramètres!L31,Paramètres!$G$5:$G$57,0)))+IF(RIGHT(TRIM(Paramètres!M31),3)="Fin",1-$H1057,IF(LEFT(TRIM(Paramètres!M31),1)="F",1,0)))),IF(Paramètres!N31="",0,IF(Paramètres!O31="",NA(),IF(LEFT(TRIM(Paramètres!O31),1)="F",INDEX($F$1031:$F$1083,MATCH(Paramètres!N31,Paramètres!$G$5:$G$57,0)),INDEX($E$1031:$E$1083,MATCH(Paramètres!N31,Paramètres!$G$5:$G$57,0)))+IF(RIGHT(TRIM(Paramètres!O31),3)="Fin",1-$H1057,IF(LEFT(TRIM(Paramètres!O31),1)="F",1,0)))))))</f>
        <v/>
      </c>
      <c r="F1057" s="19">
        <f>IF($A1057="","",E1057+$H1057-1)</f>
        <v/>
      </c>
      <c r="G1057" s="18" t="n"/>
      <c r="H1057" s="18">
        <f>IF($A1057="","",IF(I1057&lt;&gt;"",I1057,Paramètres!B31))</f>
        <v/>
      </c>
      <c r="I1057" s="18" t="n"/>
    </row>
    <row r="1058">
      <c r="A1058" s="18">
        <f>IF(ISNUMBER(Dossiers!$D$23),Dossiers!$A$23&amp;" · "&amp;Dossiers!$B$23,"")</f>
        <v/>
      </c>
      <c r="B1058" s="18">
        <f>IF($A1058="","",Paramètres!G32)</f>
        <v/>
      </c>
      <c r="C1058" s="18">
        <f>IF($A1058="","",IF(Paramètres!H32="","",Paramètres!H32))</f>
        <v/>
      </c>
      <c r="D1058" s="18">
        <f>IF($A1058="","",IF(Paramètres!I32="","",Paramètres!I32))</f>
        <v/>
      </c>
      <c r="E1058" s="19">
        <f>IF($A1058="","",MIN(E1059:E1062))</f>
        <v/>
      </c>
      <c r="F1058" s="19">
        <f>IF($A1058="","",MAX(F1059:F1062))</f>
        <v/>
      </c>
      <c r="G1058" s="18" t="n"/>
      <c r="H1058" s="18">
        <f>IF($A1058="","",F1058-E1058+1)</f>
        <v/>
      </c>
      <c r="I1058" s="18" t="n"/>
    </row>
    <row r="1059">
      <c r="A1059" s="18">
        <f>IF(ISNUMBER(Dossiers!$D$23),Dossiers!$A$23&amp;" · "&amp;Dossiers!$B$23,"")</f>
        <v/>
      </c>
      <c r="B1059" s="18">
        <f>IF($A1059="","",Paramètres!G33)</f>
        <v/>
      </c>
      <c r="C1059" s="18">
        <f>IF($A1059="","",IF(Paramètres!H33="","",Paramètres!H33))</f>
        <v/>
      </c>
      <c r="D1059" s="18">
        <f>IF($A1059="","",IF(Paramètres!I33="","",Paramètres!I33))</f>
        <v/>
      </c>
      <c r="E1059" s="19">
        <f>IF($A1059="","",IF(Paramètres!J33&amp;Paramètres!L33&amp;Paramètres!N33="",Dossiers!$D$23,MAX(IF(Paramètres!J33="",0,IF(Paramètres!K33="",NA(),IF(LEFT(TRIM(Paramètres!K33),1)="F",INDEX($F$1031:$F$1083,MATCH(Paramètres!J33,Paramètres!$G$5:$G$57,0)),INDEX($E$1031:$E$1083,MATCH(Paramètres!J33,Paramètres!$G$5:$G$57,0)))+IF(RIGHT(TRIM(Paramètres!K33),3)="Fin",1-$H1059,IF(LEFT(TRIM(Paramètres!K33),1)="F",1,0)))),IF(Paramètres!L33="",0,IF(Paramètres!M33="",NA(),IF(LEFT(TRIM(Paramètres!M33),1)="F",INDEX($F$1031:$F$1083,MATCH(Paramètres!L33,Paramètres!$G$5:$G$57,0)),INDEX($E$1031:$E$1083,MATCH(Paramètres!L33,Paramètres!$G$5:$G$57,0)))+IF(RIGHT(TRIM(Paramètres!M33),3)="Fin",1-$H1059,IF(LEFT(TRIM(Paramètres!M33),1)="F",1,0)))),IF(Paramètres!N33="",0,IF(Paramètres!O33="",NA(),IF(LEFT(TRIM(Paramètres!O33),1)="F",INDEX($F$1031:$F$1083,MATCH(Paramètres!N33,Paramètres!$G$5:$G$57,0)),INDEX($E$1031:$E$1083,MATCH(Paramètres!N33,Paramètres!$G$5:$G$57,0)))+IF(RIGHT(TRIM(Paramètres!O33),3)="Fin",1-$H1059,IF(LEFT(TRIM(Paramètres!O33),1)="F",1,0)))))))</f>
        <v/>
      </c>
      <c r="F1059" s="19">
        <f>IF($A1059="","",E1059+$H1059-1)</f>
        <v/>
      </c>
      <c r="G1059" s="18" t="n"/>
      <c r="H1059" s="18">
        <f>IF($A1059="","",IF(I1059&lt;&gt;"",I1059,Paramètres!B33))</f>
        <v/>
      </c>
      <c r="I1059" s="18" t="n"/>
    </row>
    <row r="1060">
      <c r="A1060" s="18">
        <f>IF(ISNUMBER(Dossiers!$D$23),Dossiers!$A$23&amp;" · "&amp;Dossiers!$B$23,"")</f>
        <v/>
      </c>
      <c r="B1060" s="18">
        <f>IF($A1060="","",Paramètres!G34)</f>
        <v/>
      </c>
      <c r="C1060" s="18">
        <f>IF($A1060="","",IF(Paramètres!H34="","",Paramètres!H34))</f>
        <v/>
      </c>
      <c r="D1060" s="18">
        <f>IF($A1060="","",IF(Paramètres!I34="","",Paramètres!I34))</f>
        <v/>
      </c>
      <c r="E1060" s="19">
        <f>IF($A1060="","",IF(Paramètres!J34&amp;Paramètres!L34&amp;Paramètres!N34="",Dossiers!$D$23,MAX(IF(Paramètres!J34="",0,IF(Paramètres!K34="",NA(),IF(LEFT(TRIM(Paramètres!K34),1)="F",INDEX($F$1031:$F$1083,MATCH(Paramètres!J34,Paramètres!$G$5:$G$57,0)),INDEX($E$1031:$E$1083,MATCH(Paramètres!J34,Paramètres!$G$5:$G$57,0)))+IF(RIGHT(TRIM(Paramètres!K34),3)="Fin",1-$H1060,IF(LEFT(TRIM(Paramètres!K34),1)="F",1,0)))),IF(Paramètres!L34="",0,IF(Paramètres!M34="",NA(),IF(LEFT(TRIM(Paramètres!M34),1)="F",INDEX($F$1031:$F$1083,MATCH(Paramètres!L34,Paramètres!$G$5:$G$57,0)),INDEX($E$1031:$E$1083,MATCH(Paramètres!L34,Paramètres!$G$5:$G$57,0)))+IF(RIGHT(TRIM(Paramètres!M34),3)="Fin",1-$H1060,IF(LEFT(TRIM(Paramètres!M34),1)="F",1,0)))),IF(Paramètres!N34="",0,IF(Paramètres!O34="",NA(),IF(LEFT(TRIM(Paramètres!O34),1)="F",INDEX($F$1031:$F$1083,MATCH(Paramètres!N34,Paramètres!$G$5:$G$57,0)),INDEX($E$1031:$E$1083,MATCH(Paramètres!N34,Paramètres!$G$5:$G$57,0)))+IF(RIGHT(TRIM(Paramètres!O34),3)="Fin",1-$H1060,IF(LEFT(TRIM(Paramètres!O34),1)="F",1,0)))))))</f>
        <v/>
      </c>
      <c r="F1060" s="19">
        <f>IF($A1060="","",E1060+$H1060-1)</f>
        <v/>
      </c>
      <c r="G1060" s="18" t="n"/>
      <c r="H1060" s="18">
        <f>IF($A1060="","",IF(I1060&lt;&gt;"",I1060,Paramètres!B34))</f>
        <v/>
      </c>
      <c r="I1060" s="18" t="n"/>
    </row>
    <row r="1061">
      <c r="A1061" s="18">
        <f>IF(ISNUMBER(Dossiers!$D$23),Dossiers!$A$23&amp;" · "&amp;Dossiers!$B$23,"")</f>
        <v/>
      </c>
      <c r="B1061" s="18">
        <f>IF($A1061="","",Paramètres!G35)</f>
        <v/>
      </c>
      <c r="C1061" s="18">
        <f>IF($A1061="","",IF(Paramètres!H35="","",Paramètres!H35))</f>
        <v/>
      </c>
      <c r="D1061" s="18">
        <f>IF($A1061="","",IF(Paramètres!I35="","",Paramètres!I35))</f>
        <v/>
      </c>
      <c r="E1061" s="19">
        <f>IF($A1061="","",IF(Paramètres!J35&amp;Paramètres!L35&amp;Paramètres!N35="",Dossiers!$D$23,MAX(IF(Paramètres!J35="",0,IF(Paramètres!K35="",NA(),IF(LEFT(TRIM(Paramètres!K35),1)="F",INDEX($F$1031:$F$1083,MATCH(Paramètres!J35,Paramètres!$G$5:$G$57,0)),INDEX($E$1031:$E$1083,MATCH(Paramètres!J35,Paramètres!$G$5:$G$57,0)))+IF(RIGHT(TRIM(Paramètres!K35),3)="Fin",1-$H1061,IF(LEFT(TRIM(Paramètres!K35),1)="F",1,0)))),IF(Paramètres!L35="",0,IF(Paramètres!M35="",NA(),IF(LEFT(TRIM(Paramètres!M35),1)="F",INDEX($F$1031:$F$1083,MATCH(Paramètres!L35,Paramètres!$G$5:$G$57,0)),INDEX($E$1031:$E$1083,MATCH(Paramètres!L35,Paramètres!$G$5:$G$57,0)))+IF(RIGHT(TRIM(Paramètres!M35),3)="Fin",1-$H1061,IF(LEFT(TRIM(Paramètres!M35),1)="F",1,0)))),IF(Paramètres!N35="",0,IF(Paramètres!O35="",NA(),IF(LEFT(TRIM(Paramètres!O35),1)="F",INDEX($F$1031:$F$1083,MATCH(Paramètres!N35,Paramètres!$G$5:$G$57,0)),INDEX($E$1031:$E$1083,MATCH(Paramètres!N35,Paramètres!$G$5:$G$57,0)))+IF(RIGHT(TRIM(Paramètres!O35),3)="Fin",1-$H1061,IF(LEFT(TRIM(Paramètres!O35),1)="F",1,0)))))))</f>
        <v/>
      </c>
      <c r="F1061" s="19">
        <f>IF($A1061="","",E1061+$H1061-1)</f>
        <v/>
      </c>
      <c r="G1061" s="18" t="n"/>
      <c r="H1061" s="18">
        <f>IF($A1061="","",IF(I1061&lt;&gt;"",I1061,Paramètres!B35))</f>
        <v/>
      </c>
      <c r="I1061" s="18" t="n"/>
    </row>
    <row r="1062">
      <c r="A1062" s="18">
        <f>IF(ISNUMBER(Dossiers!$D$23),Dossiers!$A$23&amp;" · "&amp;Dossiers!$B$23,"")</f>
        <v/>
      </c>
      <c r="B1062" s="18">
        <f>IF($A1062="","",Paramètres!G36)</f>
        <v/>
      </c>
      <c r="C1062" s="18">
        <f>IF($A1062="","",IF(Paramètres!H36="","",Paramètres!H36))</f>
        <v/>
      </c>
      <c r="D1062" s="18">
        <f>IF($A1062="","",IF(Paramètres!I36="","",Paramètres!I36))</f>
        <v/>
      </c>
      <c r="E1062" s="19">
        <f>IF($A1062="","",IF(Paramètres!J36&amp;Paramètres!L36&amp;Paramètres!N36="",Dossiers!$D$23,MAX(IF(Paramètres!J36="",0,IF(Paramètres!K36="",NA(),IF(LEFT(TRIM(Paramètres!K36),1)="F",INDEX($F$1031:$F$1083,MATCH(Paramètres!J36,Paramètres!$G$5:$G$57,0)),INDEX($E$1031:$E$1083,MATCH(Paramètres!J36,Paramètres!$G$5:$G$57,0)))+IF(RIGHT(TRIM(Paramètres!K36),3)="Fin",1-$H1062,IF(LEFT(TRIM(Paramètres!K36),1)="F",1,0)))),IF(Paramètres!L36="",0,IF(Paramètres!M36="",NA(),IF(LEFT(TRIM(Paramètres!M36),1)="F",INDEX($F$1031:$F$1083,MATCH(Paramètres!L36,Paramètres!$G$5:$G$57,0)),INDEX($E$1031:$E$1083,MATCH(Paramètres!L36,Paramètres!$G$5:$G$57,0)))+IF(RIGHT(TRIM(Paramètres!M36),3)="Fin",1-$H1062,IF(LEFT(TRIM(Paramètres!M36),1)="F",1,0)))),IF(Paramètres!N36="",0,IF(Paramètres!O36="",NA(),IF(LEFT(TRIM(Paramètres!O36),1)="F",INDEX($F$1031:$F$1083,MATCH(Paramètres!N36,Paramètres!$G$5:$G$57,0)),INDEX($E$1031:$E$1083,MATCH(Paramètres!N36,Paramètres!$G$5:$G$57,0)))+IF(RIGHT(TRIM(Paramètres!O36),3)="Fin",1-$H1062,IF(LEFT(TRIM(Paramètres!O36),1)="F",1,0)))))))</f>
        <v/>
      </c>
      <c r="F1062" s="19">
        <f>IF($A1062="","",E1062+$H1062-1)</f>
        <v/>
      </c>
      <c r="G1062" s="18" t="n"/>
      <c r="H1062" s="18">
        <f>IF($A1062="","",IF(I1062&lt;&gt;"",I1062,Paramètres!B36))</f>
        <v/>
      </c>
      <c r="I1062" s="18" t="n"/>
    </row>
    <row r="1063">
      <c r="A1063" s="18">
        <f>IF(ISNUMBER(Dossiers!$D$23),Dossiers!$A$23&amp;" · "&amp;Dossiers!$B$23,"")</f>
        <v/>
      </c>
      <c r="B1063" s="18">
        <f>IF($A1063="","",Paramètres!G37)</f>
        <v/>
      </c>
      <c r="C1063" s="18">
        <f>IF($A1063="","",IF(Paramètres!H37="","",Paramètres!H37))</f>
        <v/>
      </c>
      <c r="D1063" s="18">
        <f>IF($A1063="","",IF(Paramètres!I37="","",Paramètres!I37))</f>
        <v/>
      </c>
      <c r="E1063" s="19">
        <f>IF($A1063="","",MIN(E1064:E1081))</f>
        <v/>
      </c>
      <c r="F1063" s="19">
        <f>IF($A1063="","",MAX(F1064:F1081))</f>
        <v/>
      </c>
      <c r="G1063" s="18" t="n"/>
      <c r="H1063" s="18">
        <f>IF($A1063="","",F1063-E1063+1)</f>
        <v/>
      </c>
      <c r="I1063" s="18" t="n"/>
    </row>
    <row r="1064">
      <c r="A1064" s="18">
        <f>IF(ISNUMBER(Dossiers!$D$23),Dossiers!$A$23&amp;" · "&amp;Dossiers!$B$23,"")</f>
        <v/>
      </c>
      <c r="B1064" s="18">
        <f>IF($A1064="","",Paramètres!G38)</f>
        <v/>
      </c>
      <c r="C1064" s="18">
        <f>IF($A1064="","",IF(Paramètres!H38="","",Paramètres!H38))</f>
        <v/>
      </c>
      <c r="D1064" s="18">
        <f>IF($A1064="","",IF(Paramètres!I38="","",Paramètres!I38))</f>
        <v/>
      </c>
      <c r="E1064" s="19">
        <f>IF($A1064="","",IF(Paramètres!J38&amp;Paramètres!L38&amp;Paramètres!N38="",Dossiers!$D$23,MAX(IF(Paramètres!J38="",0,IF(Paramètres!K38="",NA(),IF(LEFT(TRIM(Paramètres!K38),1)="F",INDEX($F$1031:$F$1083,MATCH(Paramètres!J38,Paramètres!$G$5:$G$57,0)),INDEX($E$1031:$E$1083,MATCH(Paramètres!J38,Paramètres!$G$5:$G$57,0)))+IF(RIGHT(TRIM(Paramètres!K38),3)="Fin",1-$H1064,IF(LEFT(TRIM(Paramètres!K38),1)="F",1,0)))),IF(Paramètres!L38="",0,IF(Paramètres!M38="",NA(),IF(LEFT(TRIM(Paramètres!M38),1)="F",INDEX($F$1031:$F$1083,MATCH(Paramètres!L38,Paramètres!$G$5:$G$57,0)),INDEX($E$1031:$E$1083,MATCH(Paramètres!L38,Paramètres!$G$5:$G$57,0)))+IF(RIGHT(TRIM(Paramètres!M38),3)="Fin",1-$H1064,IF(LEFT(TRIM(Paramètres!M38),1)="F",1,0)))),IF(Paramètres!N38="",0,IF(Paramètres!O38="",NA(),IF(LEFT(TRIM(Paramètres!O38),1)="F",INDEX($F$1031:$F$1083,MATCH(Paramètres!N38,Paramètres!$G$5:$G$57,0)),INDEX($E$1031:$E$1083,MATCH(Paramètres!N38,Paramètres!$G$5:$G$57,0)))+IF(RIGHT(TRIM(Paramètres!O38),3)="Fin",1-$H1064,IF(LEFT(TRIM(Paramètres!O38),1)="F",1,0)))))))</f>
        <v/>
      </c>
      <c r="F1064" s="19">
        <f>IF($A1064="","",E1064+$H1064-1)</f>
        <v/>
      </c>
      <c r="G1064" s="18" t="n"/>
      <c r="H1064" s="18">
        <f>IF($A1064="","",IF(I1064&lt;&gt;"",I1064,Paramètres!B38))</f>
        <v/>
      </c>
      <c r="I1064" s="18" t="n"/>
    </row>
    <row r="1065">
      <c r="A1065" s="18">
        <f>IF(ISNUMBER(Dossiers!$D$23),Dossiers!$A$23&amp;" · "&amp;Dossiers!$B$23,"")</f>
        <v/>
      </c>
      <c r="B1065" s="18">
        <f>IF($A1065="","",Paramètres!G39)</f>
        <v/>
      </c>
      <c r="C1065" s="18">
        <f>IF($A1065="","",IF(Paramètres!H39="","",Paramètres!H39))</f>
        <v/>
      </c>
      <c r="D1065" s="18">
        <f>IF($A1065="","",IF(Paramètres!I39="","",Paramètres!I39))</f>
        <v/>
      </c>
      <c r="E1065" s="19">
        <f>IF($A1065="","",IF(Paramètres!J39&amp;Paramètres!L39&amp;Paramètres!N39="",Dossiers!$D$23,MAX(IF(Paramètres!J39="",0,IF(Paramètres!K39="",NA(),IF(LEFT(TRIM(Paramètres!K39),1)="F",INDEX($F$1031:$F$1083,MATCH(Paramètres!J39,Paramètres!$G$5:$G$57,0)),INDEX($E$1031:$E$1083,MATCH(Paramètres!J39,Paramètres!$G$5:$G$57,0)))+IF(RIGHT(TRIM(Paramètres!K39),3)="Fin",1-$H1065,IF(LEFT(TRIM(Paramètres!K39),1)="F",1,0)))),IF(Paramètres!L39="",0,IF(Paramètres!M39="",NA(),IF(LEFT(TRIM(Paramètres!M39),1)="F",INDEX($F$1031:$F$1083,MATCH(Paramètres!L39,Paramètres!$G$5:$G$57,0)),INDEX($E$1031:$E$1083,MATCH(Paramètres!L39,Paramètres!$G$5:$G$57,0)))+IF(RIGHT(TRIM(Paramètres!M39),3)="Fin",1-$H1065,IF(LEFT(TRIM(Paramètres!M39),1)="F",1,0)))),IF(Paramètres!N39="",0,IF(Paramètres!O39="",NA(),IF(LEFT(TRIM(Paramètres!O39),1)="F",INDEX($F$1031:$F$1083,MATCH(Paramètres!N39,Paramètres!$G$5:$G$57,0)),INDEX($E$1031:$E$1083,MATCH(Paramètres!N39,Paramètres!$G$5:$G$57,0)))+IF(RIGHT(TRIM(Paramètres!O39),3)="Fin",1-$H1065,IF(LEFT(TRIM(Paramètres!O39),1)="F",1,0)))))))</f>
        <v/>
      </c>
      <c r="F1065" s="19">
        <f>IF($A1065="","",E1065+$H1065-1)</f>
        <v/>
      </c>
      <c r="G1065" s="18" t="n"/>
      <c r="H1065" s="18">
        <f>IF($A1065="","",IF(I1065&lt;&gt;"",I1065,Paramètres!B39))</f>
        <v/>
      </c>
      <c r="I1065" s="18" t="n"/>
    </row>
    <row r="1066">
      <c r="A1066" s="18">
        <f>IF(ISNUMBER(Dossiers!$D$23),Dossiers!$A$23&amp;" · "&amp;Dossiers!$B$23,"")</f>
        <v/>
      </c>
      <c r="B1066" s="18">
        <f>IF($A1066="","",Paramètres!G40)</f>
        <v/>
      </c>
      <c r="C1066" s="18">
        <f>IF($A1066="","",IF(Paramètres!H40="","",Paramètres!H40))</f>
        <v/>
      </c>
      <c r="D1066" s="18">
        <f>IF($A1066="","",IF(Paramètres!I40="","",Paramètres!I40))</f>
        <v/>
      </c>
      <c r="E1066" s="19">
        <f>IF($A1066="","",IF(Paramètres!J40&amp;Paramètres!L40&amp;Paramètres!N40="",Dossiers!$D$23,MAX(IF(Paramètres!J40="",0,IF(Paramètres!K40="",NA(),IF(LEFT(TRIM(Paramètres!K40),1)="F",INDEX($F$1031:$F$1083,MATCH(Paramètres!J40,Paramètres!$G$5:$G$57,0)),INDEX($E$1031:$E$1083,MATCH(Paramètres!J40,Paramètres!$G$5:$G$57,0)))+IF(RIGHT(TRIM(Paramètres!K40),3)="Fin",1-$H1066,IF(LEFT(TRIM(Paramètres!K40),1)="F",1,0)))),IF(Paramètres!L40="",0,IF(Paramètres!M40="",NA(),IF(LEFT(TRIM(Paramètres!M40),1)="F",INDEX($F$1031:$F$1083,MATCH(Paramètres!L40,Paramètres!$G$5:$G$57,0)),INDEX($E$1031:$E$1083,MATCH(Paramètres!L40,Paramètres!$G$5:$G$57,0)))+IF(RIGHT(TRIM(Paramètres!M40),3)="Fin",1-$H1066,IF(LEFT(TRIM(Paramètres!M40),1)="F",1,0)))),IF(Paramètres!N40="",0,IF(Paramètres!O40="",NA(),IF(LEFT(TRIM(Paramètres!O40),1)="F",INDEX($F$1031:$F$1083,MATCH(Paramètres!N40,Paramètres!$G$5:$G$57,0)),INDEX($E$1031:$E$1083,MATCH(Paramètres!N40,Paramètres!$G$5:$G$57,0)))+IF(RIGHT(TRIM(Paramètres!O40),3)="Fin",1-$H1066,IF(LEFT(TRIM(Paramètres!O40),1)="F",1,0)))))))</f>
        <v/>
      </c>
      <c r="F1066" s="19">
        <f>IF($A1066="","",E1066+$H1066-1)</f>
        <v/>
      </c>
      <c r="G1066" s="18" t="n"/>
      <c r="H1066" s="18">
        <f>IF($A1066="","",IF(I1066&lt;&gt;"",I1066,Paramètres!B40))</f>
        <v/>
      </c>
      <c r="I1066" s="18" t="n"/>
    </row>
    <row r="1067">
      <c r="A1067" s="18">
        <f>IF(ISNUMBER(Dossiers!$D$23),Dossiers!$A$23&amp;" · "&amp;Dossiers!$B$23,"")</f>
        <v/>
      </c>
      <c r="B1067" s="18">
        <f>IF($A1067="","",Paramètres!G41)</f>
        <v/>
      </c>
      <c r="C1067" s="18">
        <f>IF($A1067="","",IF(Paramètres!H41="","",Paramètres!H41))</f>
        <v/>
      </c>
      <c r="D1067" s="18">
        <f>IF($A1067="","",IF(Paramètres!I41="","",Paramètres!I41))</f>
        <v/>
      </c>
      <c r="E1067" s="19">
        <f>IF($A1067="","",IF(Paramètres!J41&amp;Paramètres!L41&amp;Paramètres!N41="",Dossiers!$D$23,MAX(IF(Paramètres!J41="",0,IF(Paramètres!K41="",NA(),IF(LEFT(TRIM(Paramètres!K41),1)="F",INDEX($F$1031:$F$1083,MATCH(Paramètres!J41,Paramètres!$G$5:$G$57,0)),INDEX($E$1031:$E$1083,MATCH(Paramètres!J41,Paramètres!$G$5:$G$57,0)))+IF(RIGHT(TRIM(Paramètres!K41),3)="Fin",1-$H1067,IF(LEFT(TRIM(Paramètres!K41),1)="F",1,0)))),IF(Paramètres!L41="",0,IF(Paramètres!M41="",NA(),IF(LEFT(TRIM(Paramètres!M41),1)="F",INDEX($F$1031:$F$1083,MATCH(Paramètres!L41,Paramètres!$G$5:$G$57,0)),INDEX($E$1031:$E$1083,MATCH(Paramètres!L41,Paramètres!$G$5:$G$57,0)))+IF(RIGHT(TRIM(Paramètres!M41),3)="Fin",1-$H1067,IF(LEFT(TRIM(Paramètres!M41),1)="F",1,0)))),IF(Paramètres!N41="",0,IF(Paramètres!O41="",NA(),IF(LEFT(TRIM(Paramètres!O41),1)="F",INDEX($F$1031:$F$1083,MATCH(Paramètres!N41,Paramètres!$G$5:$G$57,0)),INDEX($E$1031:$E$1083,MATCH(Paramètres!N41,Paramètres!$G$5:$G$57,0)))+IF(RIGHT(TRIM(Paramètres!O41),3)="Fin",1-$H1067,IF(LEFT(TRIM(Paramètres!O41),1)="F",1,0)))))))</f>
        <v/>
      </c>
      <c r="F1067" s="19">
        <f>IF($A1067="","",E1067+$H1067-1)</f>
        <v/>
      </c>
      <c r="G1067" s="18" t="n"/>
      <c r="H1067" s="18">
        <f>IF($A1067="","",IF(I1067&lt;&gt;"",I1067,Paramètres!B41))</f>
        <v/>
      </c>
      <c r="I1067" s="18" t="n"/>
    </row>
    <row r="1068">
      <c r="A1068" s="18">
        <f>IF(ISNUMBER(Dossiers!$D$23),Dossiers!$A$23&amp;" · "&amp;Dossiers!$B$23,"")</f>
        <v/>
      </c>
      <c r="B1068" s="18">
        <f>IF($A1068="","",Paramètres!G42)</f>
        <v/>
      </c>
      <c r="C1068" s="18">
        <f>IF($A1068="","",IF(Paramètres!H42="","",Paramètres!H42))</f>
        <v/>
      </c>
      <c r="D1068" s="18">
        <f>IF($A1068="","",IF(Paramètres!I42="","",Paramètres!I42))</f>
        <v/>
      </c>
      <c r="E1068" s="19">
        <f>IF($A1068="","",IF(Paramètres!J42&amp;Paramètres!L42&amp;Paramètres!N42="",Dossiers!$D$23,MAX(IF(Paramètres!J42="",0,IF(Paramètres!K42="",NA(),IF(LEFT(TRIM(Paramètres!K42),1)="F",INDEX($F$1031:$F$1083,MATCH(Paramètres!J42,Paramètres!$G$5:$G$57,0)),INDEX($E$1031:$E$1083,MATCH(Paramètres!J42,Paramètres!$G$5:$G$57,0)))+IF(RIGHT(TRIM(Paramètres!K42),3)="Fin",1-$H1068,IF(LEFT(TRIM(Paramètres!K42),1)="F",1,0)))),IF(Paramètres!L42="",0,IF(Paramètres!M42="",NA(),IF(LEFT(TRIM(Paramètres!M42),1)="F",INDEX($F$1031:$F$1083,MATCH(Paramètres!L42,Paramètres!$G$5:$G$57,0)),INDEX($E$1031:$E$1083,MATCH(Paramètres!L42,Paramètres!$G$5:$G$57,0)))+IF(RIGHT(TRIM(Paramètres!M42),3)="Fin",1-$H1068,IF(LEFT(TRIM(Paramètres!M42),1)="F",1,0)))),IF(Paramètres!N42="",0,IF(Paramètres!O42="",NA(),IF(LEFT(TRIM(Paramètres!O42),1)="F",INDEX($F$1031:$F$1083,MATCH(Paramètres!N42,Paramètres!$G$5:$G$57,0)),INDEX($E$1031:$E$1083,MATCH(Paramètres!N42,Paramètres!$G$5:$G$57,0)))+IF(RIGHT(TRIM(Paramètres!O42),3)="Fin",1-$H1068,IF(LEFT(TRIM(Paramètres!O42),1)="F",1,0)))))))</f>
        <v/>
      </c>
      <c r="F1068" s="19">
        <f>IF($A1068="","",E1068+$H1068-1)</f>
        <v/>
      </c>
      <c r="G1068" s="18" t="n"/>
      <c r="H1068" s="18">
        <f>IF($A1068="","",IF(I1068&lt;&gt;"",I1068,Paramètres!B42))</f>
        <v/>
      </c>
      <c r="I1068" s="18" t="n"/>
    </row>
    <row r="1069">
      <c r="A1069" s="18">
        <f>IF(ISNUMBER(Dossiers!$D$23),Dossiers!$A$23&amp;" · "&amp;Dossiers!$B$23,"")</f>
        <v/>
      </c>
      <c r="B1069" s="18">
        <f>IF($A1069="","",Paramètres!G43)</f>
        <v/>
      </c>
      <c r="C1069" s="18">
        <f>IF($A1069="","",IF(Paramètres!H43="","",Paramètres!H43))</f>
        <v/>
      </c>
      <c r="D1069" s="18">
        <f>IF($A1069="","",IF(Paramètres!I43="","",Paramètres!I43))</f>
        <v/>
      </c>
      <c r="E1069" s="19">
        <f>IF($A1069="","",IF(Paramètres!J43&amp;Paramètres!L43&amp;Paramètres!N43="",Dossiers!$D$23,MAX(IF(Paramètres!J43="",0,IF(Paramètres!K43="",NA(),IF(LEFT(TRIM(Paramètres!K43),1)="F",INDEX($F$1031:$F$1083,MATCH(Paramètres!J43,Paramètres!$G$5:$G$57,0)),INDEX($E$1031:$E$1083,MATCH(Paramètres!J43,Paramètres!$G$5:$G$57,0)))+IF(RIGHT(TRIM(Paramètres!K43),3)="Fin",1-$H1069,IF(LEFT(TRIM(Paramètres!K43),1)="F",1,0)))),IF(Paramètres!L43="",0,IF(Paramètres!M43="",NA(),IF(LEFT(TRIM(Paramètres!M43),1)="F",INDEX($F$1031:$F$1083,MATCH(Paramètres!L43,Paramètres!$G$5:$G$57,0)),INDEX($E$1031:$E$1083,MATCH(Paramètres!L43,Paramètres!$G$5:$G$57,0)))+IF(RIGHT(TRIM(Paramètres!M43),3)="Fin",1-$H1069,IF(LEFT(TRIM(Paramètres!M43),1)="F",1,0)))),IF(Paramètres!N43="",0,IF(Paramètres!O43="",NA(),IF(LEFT(TRIM(Paramètres!O43),1)="F",INDEX($F$1031:$F$1083,MATCH(Paramètres!N43,Paramètres!$G$5:$G$57,0)),INDEX($E$1031:$E$1083,MATCH(Paramètres!N43,Paramètres!$G$5:$G$57,0)))+IF(RIGHT(TRIM(Paramètres!O43),3)="Fin",1-$H1069,IF(LEFT(TRIM(Paramètres!O43),1)="F",1,0)))))))</f>
        <v/>
      </c>
      <c r="F1069" s="19">
        <f>IF($A1069="","",E1069+$H1069-1)</f>
        <v/>
      </c>
      <c r="G1069" s="18" t="n"/>
      <c r="H1069" s="18">
        <f>IF($A1069="","",IF(I1069&lt;&gt;"",I1069,Paramètres!B43))</f>
        <v/>
      </c>
      <c r="I1069" s="18" t="n"/>
    </row>
    <row r="1070">
      <c r="A1070" s="18">
        <f>IF(ISNUMBER(Dossiers!$D$23),Dossiers!$A$23&amp;" · "&amp;Dossiers!$B$23,"")</f>
        <v/>
      </c>
      <c r="B1070" s="18">
        <f>IF($A1070="","",Paramètres!G44)</f>
        <v/>
      </c>
      <c r="C1070" s="18">
        <f>IF($A1070="","",IF(Paramètres!H44="","",Paramètres!H44))</f>
        <v/>
      </c>
      <c r="D1070" s="18">
        <f>IF($A1070="","",IF(Paramètres!I44="","",Paramètres!I44))</f>
        <v/>
      </c>
      <c r="E1070" s="19">
        <f>IF($A1070="","",IF(Paramètres!J44&amp;Paramètres!L44&amp;Paramètres!N44="",Dossiers!$D$23,MAX(IF(Paramètres!J44="",0,IF(Paramètres!K44="",NA(),IF(LEFT(TRIM(Paramètres!K44),1)="F",INDEX($F$1031:$F$1083,MATCH(Paramètres!J44,Paramètres!$G$5:$G$57,0)),INDEX($E$1031:$E$1083,MATCH(Paramètres!J44,Paramètres!$G$5:$G$57,0)))+IF(RIGHT(TRIM(Paramètres!K44),3)="Fin",1-$H1070,IF(LEFT(TRIM(Paramètres!K44),1)="F",1,0)))),IF(Paramètres!L44="",0,IF(Paramètres!M44="",NA(),IF(LEFT(TRIM(Paramètres!M44),1)="F",INDEX($F$1031:$F$1083,MATCH(Paramètres!L44,Paramètres!$G$5:$G$57,0)),INDEX($E$1031:$E$1083,MATCH(Paramètres!L44,Paramètres!$G$5:$G$57,0)))+IF(RIGHT(TRIM(Paramètres!M44),3)="Fin",1-$H1070,IF(LEFT(TRIM(Paramètres!M44),1)="F",1,0)))),IF(Paramètres!N44="",0,IF(Paramètres!O44="",NA(),IF(LEFT(TRIM(Paramètres!O44),1)="F",INDEX($F$1031:$F$1083,MATCH(Paramètres!N44,Paramètres!$G$5:$G$57,0)),INDEX($E$1031:$E$1083,MATCH(Paramètres!N44,Paramètres!$G$5:$G$57,0)))+IF(RIGHT(TRIM(Paramètres!O44),3)="Fin",1-$H1070,IF(LEFT(TRIM(Paramètres!O44),1)="F",1,0)))))))</f>
        <v/>
      </c>
      <c r="F1070" s="19">
        <f>IF($A1070="","",E1070+$H1070-1)</f>
        <v/>
      </c>
      <c r="G1070" s="18" t="n"/>
      <c r="H1070" s="18">
        <f>IF($A1070="","",IF(I1070&lt;&gt;"",I1070,Paramètres!B44))</f>
        <v/>
      </c>
      <c r="I1070" s="18" t="n"/>
    </row>
    <row r="1071">
      <c r="A1071" s="18">
        <f>IF(ISNUMBER(Dossiers!$D$23),Dossiers!$A$23&amp;" · "&amp;Dossiers!$B$23,"")</f>
        <v/>
      </c>
      <c r="B1071" s="18">
        <f>IF($A1071="","",Paramètres!G45)</f>
        <v/>
      </c>
      <c r="C1071" s="20">
        <f>IF($A1071="","",IF(Dossiers!$G$23="","",Dossiers!$G$23))</f>
        <v/>
      </c>
      <c r="D1071" s="18">
        <f>IF($A1071="","",IF(Paramètres!I45="","",Paramètres!I45))</f>
        <v/>
      </c>
      <c r="E1071" s="19">
        <f>IF($A1071="","",IF(Paramètres!J45&amp;Paramètres!L45&amp;Paramètres!N45="",Dossiers!$D$23,MAX(IF(Paramètres!J45="",0,IF(Paramètres!K45="",NA(),IF(LEFT(TRIM(Paramètres!K45),1)="F",INDEX($F$1031:$F$1083,MATCH(Paramètres!J45,Paramètres!$G$5:$G$57,0)),INDEX($E$1031:$E$1083,MATCH(Paramètres!J45,Paramètres!$G$5:$G$57,0)))+IF(RIGHT(TRIM(Paramètres!K45),3)="Fin",1-$H1071,IF(LEFT(TRIM(Paramètres!K45),1)="F",1,0)))),IF(Paramètres!L45="",0,IF(Paramètres!M45="",NA(),IF(LEFT(TRIM(Paramètres!M45),1)="F",INDEX($F$1031:$F$1083,MATCH(Paramètres!L45,Paramètres!$G$5:$G$57,0)),INDEX($E$1031:$E$1083,MATCH(Paramètres!L45,Paramètres!$G$5:$G$57,0)))+IF(RIGHT(TRIM(Paramètres!M45),3)="Fin",1-$H1071,IF(LEFT(TRIM(Paramètres!M45),1)="F",1,0)))),IF(Paramètres!N45="",0,IF(Paramètres!O45="",NA(),IF(LEFT(TRIM(Paramètres!O45),1)="F",INDEX($F$1031:$F$1083,MATCH(Paramètres!N45,Paramètres!$G$5:$G$57,0)),INDEX($E$1031:$E$1083,MATCH(Paramètres!N45,Paramètres!$G$5:$G$57,0)))+IF(RIGHT(TRIM(Paramètres!O45),3)="Fin",1-$H1071,IF(LEFT(TRIM(Paramètres!O45),1)="F",1,0)))))))</f>
        <v/>
      </c>
      <c r="F1071" s="19">
        <f>IF($A1071="","",E1071+$H1071-1)</f>
        <v/>
      </c>
      <c r="G1071" s="18" t="n"/>
      <c r="H1071" s="18">
        <f>IF($A1071="","",IF(I1071&lt;&gt;"",I1071,Paramètres!B45))</f>
        <v/>
      </c>
      <c r="I1071" s="18" t="n"/>
    </row>
    <row r="1072">
      <c r="A1072" s="18">
        <f>IF(ISNUMBER(Dossiers!$D$23),Dossiers!$A$23&amp;" · "&amp;Dossiers!$B$23,"")</f>
        <v/>
      </c>
      <c r="B1072" s="18">
        <f>IF($A1072="","",Paramètres!G46)</f>
        <v/>
      </c>
      <c r="C1072" s="18">
        <f>IF($A1072="","",IF(Paramètres!H46="","",Paramètres!H46))</f>
        <v/>
      </c>
      <c r="D1072" s="18">
        <f>IF($A1072="","",IF(Paramètres!I46="","",Paramètres!I46))</f>
        <v/>
      </c>
      <c r="E1072" s="19">
        <f>IF($A1072="","",IF(Paramètres!J46&amp;Paramètres!L46&amp;Paramètres!N46="",Dossiers!$D$23,MAX(IF(Paramètres!J46="",0,IF(Paramètres!K46="",NA(),IF(LEFT(TRIM(Paramètres!K46),1)="F",INDEX($F$1031:$F$1083,MATCH(Paramètres!J46,Paramètres!$G$5:$G$57,0)),INDEX($E$1031:$E$1083,MATCH(Paramètres!J46,Paramètres!$G$5:$G$57,0)))+IF(RIGHT(TRIM(Paramètres!K46),3)="Fin",1-$H1072,IF(LEFT(TRIM(Paramètres!K46),1)="F",1,0)))),IF(Paramètres!L46="",0,IF(Paramètres!M46="",NA(),IF(LEFT(TRIM(Paramètres!M46),1)="F",INDEX($F$1031:$F$1083,MATCH(Paramètres!L46,Paramètres!$G$5:$G$57,0)),INDEX($E$1031:$E$1083,MATCH(Paramètres!L46,Paramètres!$G$5:$G$57,0)))+IF(RIGHT(TRIM(Paramètres!M46),3)="Fin",1-$H1072,IF(LEFT(TRIM(Paramètres!M46),1)="F",1,0)))),IF(Paramètres!N46="",0,IF(Paramètres!O46="",NA(),IF(LEFT(TRIM(Paramètres!O46),1)="F",INDEX($F$1031:$F$1083,MATCH(Paramètres!N46,Paramètres!$G$5:$G$57,0)),INDEX($E$1031:$E$1083,MATCH(Paramètres!N46,Paramètres!$G$5:$G$57,0)))+IF(RIGHT(TRIM(Paramètres!O46),3)="Fin",1-$H1072,IF(LEFT(TRIM(Paramètres!O46),1)="F",1,0)))))))</f>
        <v/>
      </c>
      <c r="F1072" s="19">
        <f>IF($A1072="","",E1072+$H1072-1)</f>
        <v/>
      </c>
      <c r="G1072" s="18" t="n"/>
      <c r="H1072" s="18">
        <f>IF($A1072="","",IF(I1072&lt;&gt;"",I1072,Paramètres!B46))</f>
        <v/>
      </c>
      <c r="I1072" s="18" t="n"/>
    </row>
    <row r="1073">
      <c r="A1073" s="18">
        <f>IF(ISNUMBER(Dossiers!$D$23),Dossiers!$A$23&amp;" · "&amp;Dossiers!$B$23,"")</f>
        <v/>
      </c>
      <c r="B1073" s="18">
        <f>IF($A1073="","",Paramètres!G47)</f>
        <v/>
      </c>
      <c r="C1073" s="18">
        <f>IF($A1073="","",IF(Paramètres!H47="","",Paramètres!H47))</f>
        <v/>
      </c>
      <c r="D1073" s="18">
        <f>IF($A1073="","",IF(Paramètres!I47="","",Paramètres!I47))</f>
        <v/>
      </c>
      <c r="E1073" s="19">
        <f>IF($A1073="","",IF(Paramètres!J47&amp;Paramètres!L47&amp;Paramètres!N47="",Dossiers!$D$23,MAX(IF(Paramètres!J47="",0,IF(Paramètres!K47="",NA(),IF(LEFT(TRIM(Paramètres!K47),1)="F",INDEX($F$1031:$F$1083,MATCH(Paramètres!J47,Paramètres!$G$5:$G$57,0)),INDEX($E$1031:$E$1083,MATCH(Paramètres!J47,Paramètres!$G$5:$G$57,0)))+IF(RIGHT(TRIM(Paramètres!K47),3)="Fin",1-$H1073,IF(LEFT(TRIM(Paramètres!K47),1)="F",1,0)))),IF(Paramètres!L47="",0,IF(Paramètres!M47="",NA(),IF(LEFT(TRIM(Paramètres!M47),1)="F",INDEX($F$1031:$F$1083,MATCH(Paramètres!L47,Paramètres!$G$5:$G$57,0)),INDEX($E$1031:$E$1083,MATCH(Paramètres!L47,Paramètres!$G$5:$G$57,0)))+IF(RIGHT(TRIM(Paramètres!M47),3)="Fin",1-$H1073,IF(LEFT(TRIM(Paramètres!M47),1)="F",1,0)))),IF(Paramètres!N47="",0,IF(Paramètres!O47="",NA(),IF(LEFT(TRIM(Paramètres!O47),1)="F",INDEX($F$1031:$F$1083,MATCH(Paramètres!N47,Paramètres!$G$5:$G$57,0)),INDEX($E$1031:$E$1083,MATCH(Paramètres!N47,Paramètres!$G$5:$G$57,0)))+IF(RIGHT(TRIM(Paramètres!O47),3)="Fin",1-$H1073,IF(LEFT(TRIM(Paramètres!O47),1)="F",1,0)))))))</f>
        <v/>
      </c>
      <c r="F1073" s="19">
        <f>IF($A1073="","",E1073+$H1073-1)</f>
        <v/>
      </c>
      <c r="G1073" s="18" t="n"/>
      <c r="H1073" s="18">
        <f>IF($A1073="","",IF(I1073&lt;&gt;"",I1073,Paramètres!B47))</f>
        <v/>
      </c>
      <c r="I1073" s="18" t="n"/>
    </row>
    <row r="1074">
      <c r="A1074" s="18">
        <f>IF(ISNUMBER(Dossiers!$D$23),Dossiers!$A$23&amp;" · "&amp;Dossiers!$B$23,"")</f>
        <v/>
      </c>
      <c r="B1074" s="18">
        <f>IF($A1074="","",Paramètres!G48)</f>
        <v/>
      </c>
      <c r="C1074" s="18">
        <f>IF($A1074="","",IF(Paramètres!H48="","",Paramètres!H48))</f>
        <v/>
      </c>
      <c r="D1074" s="18">
        <f>IF($A1074="","",IF(Paramètres!I48="","",Paramètres!I48))</f>
        <v/>
      </c>
      <c r="E1074" s="19">
        <f>IF($A1074="","",IF(Paramètres!J48&amp;Paramètres!L48&amp;Paramètres!N48="",Dossiers!$D$23,MAX(IF(Paramètres!J48="",0,IF(Paramètres!K48="",NA(),IF(LEFT(TRIM(Paramètres!K48),1)="F",INDEX($F$1031:$F$1083,MATCH(Paramètres!J48,Paramètres!$G$5:$G$57,0)),INDEX($E$1031:$E$1083,MATCH(Paramètres!J48,Paramètres!$G$5:$G$57,0)))+IF(RIGHT(TRIM(Paramètres!K48),3)="Fin",1-$H1074,IF(LEFT(TRIM(Paramètres!K48),1)="F",1,0)))),IF(Paramètres!L48="",0,IF(Paramètres!M48="",NA(),IF(LEFT(TRIM(Paramètres!M48),1)="F",INDEX($F$1031:$F$1083,MATCH(Paramètres!L48,Paramètres!$G$5:$G$57,0)),INDEX($E$1031:$E$1083,MATCH(Paramètres!L48,Paramètres!$G$5:$G$57,0)))+IF(RIGHT(TRIM(Paramètres!M48),3)="Fin",1-$H1074,IF(LEFT(TRIM(Paramètres!M48),1)="F",1,0)))),IF(Paramètres!N48="",0,IF(Paramètres!O48="",NA(),IF(LEFT(TRIM(Paramètres!O48),1)="F",INDEX($F$1031:$F$1083,MATCH(Paramètres!N48,Paramètres!$G$5:$G$57,0)),INDEX($E$1031:$E$1083,MATCH(Paramètres!N48,Paramètres!$G$5:$G$57,0)))+IF(RIGHT(TRIM(Paramètres!O48),3)="Fin",1-$H1074,IF(LEFT(TRIM(Paramètres!O48),1)="F",1,0)))))))</f>
        <v/>
      </c>
      <c r="F1074" s="19">
        <f>IF($A1074="","",E1074+$H1074-1)</f>
        <v/>
      </c>
      <c r="G1074" s="18" t="n"/>
      <c r="H1074" s="18">
        <f>IF($A1074="","",IF(I1074&lt;&gt;"",I1074,Paramètres!B48))</f>
        <v/>
      </c>
      <c r="I1074" s="18" t="n"/>
    </row>
    <row r="1075">
      <c r="A1075" s="18">
        <f>IF(ISNUMBER(Dossiers!$D$23),Dossiers!$A$23&amp;" · "&amp;Dossiers!$B$23,"")</f>
        <v/>
      </c>
      <c r="B1075" s="18">
        <f>IF($A1075="","",Paramètres!G49)</f>
        <v/>
      </c>
      <c r="C1075" s="18">
        <f>IF($A1075="","",IF(Paramètres!H49="","",Paramètres!H49))</f>
        <v/>
      </c>
      <c r="D1075" s="18">
        <f>IF($A1075="","",IF(Paramètres!I49="","",Paramètres!I49))</f>
        <v/>
      </c>
      <c r="E1075" s="19">
        <f>IF($A1075="","",IF(Paramètres!J49&amp;Paramètres!L49&amp;Paramètres!N49="",Dossiers!$D$23,MAX(IF(Paramètres!J49="",0,IF(Paramètres!K49="",NA(),IF(LEFT(TRIM(Paramètres!K49),1)="F",INDEX($F$1031:$F$1083,MATCH(Paramètres!J49,Paramètres!$G$5:$G$57,0)),INDEX($E$1031:$E$1083,MATCH(Paramètres!J49,Paramètres!$G$5:$G$57,0)))+IF(RIGHT(TRIM(Paramètres!K49),3)="Fin",1-$H1075,IF(LEFT(TRIM(Paramètres!K49),1)="F",1,0)))),IF(Paramètres!L49="",0,IF(Paramètres!M49="",NA(),IF(LEFT(TRIM(Paramètres!M49),1)="F",INDEX($F$1031:$F$1083,MATCH(Paramètres!L49,Paramètres!$G$5:$G$57,0)),INDEX($E$1031:$E$1083,MATCH(Paramètres!L49,Paramètres!$G$5:$G$57,0)))+IF(RIGHT(TRIM(Paramètres!M49),3)="Fin",1-$H1075,IF(LEFT(TRIM(Paramètres!M49),1)="F",1,0)))),IF(Paramètres!N49="",0,IF(Paramètres!O49="",NA(),IF(LEFT(TRIM(Paramètres!O49),1)="F",INDEX($F$1031:$F$1083,MATCH(Paramètres!N49,Paramètres!$G$5:$G$57,0)),INDEX($E$1031:$E$1083,MATCH(Paramètres!N49,Paramètres!$G$5:$G$57,0)))+IF(RIGHT(TRIM(Paramètres!O49),3)="Fin",1-$H1075,IF(LEFT(TRIM(Paramètres!O49),1)="F",1,0)))))))</f>
        <v/>
      </c>
      <c r="F1075" s="19">
        <f>IF($A1075="","",E1075+$H1075-1)</f>
        <v/>
      </c>
      <c r="G1075" s="18" t="n"/>
      <c r="H1075" s="18">
        <f>IF($A1075="","",IF(I1075&lt;&gt;"",I1075,Paramètres!B49))</f>
        <v/>
      </c>
      <c r="I1075" s="18" t="n"/>
    </row>
    <row r="1076">
      <c r="A1076" s="18">
        <f>IF(ISNUMBER(Dossiers!$D$23),Dossiers!$A$23&amp;" · "&amp;Dossiers!$B$23,"")</f>
        <v/>
      </c>
      <c r="B1076" s="18">
        <f>IF($A1076="","",Paramètres!G50)</f>
        <v/>
      </c>
      <c r="C1076" s="18">
        <f>IF($A1076="","",IF(Paramètres!H50="","",Paramètres!H50))</f>
        <v/>
      </c>
      <c r="D1076" s="18">
        <f>IF($A1076="","",IF(Paramètres!I50="","",Paramètres!I50))</f>
        <v/>
      </c>
      <c r="E1076" s="19">
        <f>IF($A1076="","",IF(Paramètres!J50&amp;Paramètres!L50&amp;Paramètres!N50="",Dossiers!$D$23,MAX(IF(Paramètres!J50="",0,IF(Paramètres!K50="",NA(),IF(LEFT(TRIM(Paramètres!K50),1)="F",INDEX($F$1031:$F$1083,MATCH(Paramètres!J50,Paramètres!$G$5:$G$57,0)),INDEX($E$1031:$E$1083,MATCH(Paramètres!J50,Paramètres!$G$5:$G$57,0)))+IF(RIGHT(TRIM(Paramètres!K50),3)="Fin",1-$H1076,IF(LEFT(TRIM(Paramètres!K50),1)="F",1,0)))),IF(Paramètres!L50="",0,IF(Paramètres!M50="",NA(),IF(LEFT(TRIM(Paramètres!M50),1)="F",INDEX($F$1031:$F$1083,MATCH(Paramètres!L50,Paramètres!$G$5:$G$57,0)),INDEX($E$1031:$E$1083,MATCH(Paramètres!L50,Paramètres!$G$5:$G$57,0)))+IF(RIGHT(TRIM(Paramètres!M50),3)="Fin",1-$H1076,IF(LEFT(TRIM(Paramètres!M50),1)="F",1,0)))),IF(Paramètres!N50="",0,IF(Paramètres!O50="",NA(),IF(LEFT(TRIM(Paramètres!O50),1)="F",INDEX($F$1031:$F$1083,MATCH(Paramètres!N50,Paramètres!$G$5:$G$57,0)),INDEX($E$1031:$E$1083,MATCH(Paramètres!N50,Paramètres!$G$5:$G$57,0)))+IF(RIGHT(TRIM(Paramètres!O50),3)="Fin",1-$H1076,IF(LEFT(TRIM(Paramètres!O50),1)="F",1,0)))))))</f>
        <v/>
      </c>
      <c r="F1076" s="19">
        <f>IF($A1076="","",E1076+$H1076-1)</f>
        <v/>
      </c>
      <c r="G1076" s="18" t="n"/>
      <c r="H1076" s="18">
        <f>IF($A1076="","",IF(I1076&lt;&gt;"",I1076,Paramètres!B50))</f>
        <v/>
      </c>
      <c r="I1076" s="18" t="n"/>
    </row>
    <row r="1077">
      <c r="A1077" s="18">
        <f>IF(ISNUMBER(Dossiers!$D$23),Dossiers!$A$23&amp;" · "&amp;Dossiers!$B$23,"")</f>
        <v/>
      </c>
      <c r="B1077" s="18">
        <f>IF($A1077="","",Paramètres!G51)</f>
        <v/>
      </c>
      <c r="C1077" s="18">
        <f>IF($A1077="","",IF(Paramètres!H51="","",Paramètres!H51))</f>
        <v/>
      </c>
      <c r="D1077" s="18">
        <f>IF($A1077="","",IF(Paramètres!I51="","",Paramètres!I51))</f>
        <v/>
      </c>
      <c r="E1077" s="19">
        <f>IF($A1077="","",IF(Paramètres!J51&amp;Paramètres!L51&amp;Paramètres!N51="",Dossiers!$D$23,MAX(IF(Paramètres!J51="",0,IF(Paramètres!K51="",NA(),IF(LEFT(TRIM(Paramètres!K51),1)="F",INDEX($F$1031:$F$1083,MATCH(Paramètres!J51,Paramètres!$G$5:$G$57,0)),INDEX($E$1031:$E$1083,MATCH(Paramètres!J51,Paramètres!$G$5:$G$57,0)))+IF(RIGHT(TRIM(Paramètres!K51),3)="Fin",1-$H1077,IF(LEFT(TRIM(Paramètres!K51),1)="F",1,0)))),IF(Paramètres!L51="",0,IF(Paramètres!M51="",NA(),IF(LEFT(TRIM(Paramètres!M51),1)="F",INDEX($F$1031:$F$1083,MATCH(Paramètres!L51,Paramètres!$G$5:$G$57,0)),INDEX($E$1031:$E$1083,MATCH(Paramètres!L51,Paramètres!$G$5:$G$57,0)))+IF(RIGHT(TRIM(Paramètres!M51),3)="Fin",1-$H1077,IF(LEFT(TRIM(Paramètres!M51),1)="F",1,0)))),IF(Paramètres!N51="",0,IF(Paramètres!O51="",NA(),IF(LEFT(TRIM(Paramètres!O51),1)="F",INDEX($F$1031:$F$1083,MATCH(Paramètres!N51,Paramètres!$G$5:$G$57,0)),INDEX($E$1031:$E$1083,MATCH(Paramètres!N51,Paramètres!$G$5:$G$57,0)))+IF(RIGHT(TRIM(Paramètres!O51),3)="Fin",1-$H1077,IF(LEFT(TRIM(Paramètres!O51),1)="F",1,0)))))))</f>
        <v/>
      </c>
      <c r="F1077" s="19">
        <f>IF($A1077="","",E1077+$H1077-1)</f>
        <v/>
      </c>
      <c r="G1077" s="18" t="n"/>
      <c r="H1077" s="18">
        <f>IF($A1077="","",IF(I1077&lt;&gt;"",I1077,Paramètres!B51))</f>
        <v/>
      </c>
      <c r="I1077" s="18" t="n"/>
    </row>
    <row r="1078">
      <c r="A1078" s="18">
        <f>IF(ISNUMBER(Dossiers!$D$23),Dossiers!$A$23&amp;" · "&amp;Dossiers!$B$23,"")</f>
        <v/>
      </c>
      <c r="B1078" s="18">
        <f>IF($A1078="","",Paramètres!G52)</f>
        <v/>
      </c>
      <c r="C1078" s="18">
        <f>IF($A1078="","",IF(Paramètres!H52="","",Paramètres!H52))</f>
        <v/>
      </c>
      <c r="D1078" s="18">
        <f>IF($A1078="","",IF(Paramètres!I52="","",Paramètres!I52))</f>
        <v/>
      </c>
      <c r="E1078" s="19">
        <f>IF($A1078="","",IF(Paramètres!J52&amp;Paramètres!L52&amp;Paramètres!N52="",Dossiers!$D$23,MAX(IF(Paramètres!J52="",0,IF(Paramètres!K52="",NA(),IF(LEFT(TRIM(Paramètres!K52),1)="F",INDEX($F$1031:$F$1083,MATCH(Paramètres!J52,Paramètres!$G$5:$G$57,0)),INDEX($E$1031:$E$1083,MATCH(Paramètres!J52,Paramètres!$G$5:$G$57,0)))+IF(RIGHT(TRIM(Paramètres!K52),3)="Fin",1-$H1078,IF(LEFT(TRIM(Paramètres!K52),1)="F",1,0)))),IF(Paramètres!L52="",0,IF(Paramètres!M52="",NA(),IF(LEFT(TRIM(Paramètres!M52),1)="F",INDEX($F$1031:$F$1083,MATCH(Paramètres!L52,Paramètres!$G$5:$G$57,0)),INDEX($E$1031:$E$1083,MATCH(Paramètres!L52,Paramètres!$G$5:$G$57,0)))+IF(RIGHT(TRIM(Paramètres!M52),3)="Fin",1-$H1078,IF(LEFT(TRIM(Paramètres!M52),1)="F",1,0)))),IF(Paramètres!N52="",0,IF(Paramètres!O52="",NA(),IF(LEFT(TRIM(Paramètres!O52),1)="F",INDEX($F$1031:$F$1083,MATCH(Paramètres!N52,Paramètres!$G$5:$G$57,0)),INDEX($E$1031:$E$1083,MATCH(Paramètres!N52,Paramètres!$G$5:$G$57,0)))+IF(RIGHT(TRIM(Paramètres!O52),3)="Fin",1-$H1078,IF(LEFT(TRIM(Paramètres!O52),1)="F",1,0)))))))</f>
        <v/>
      </c>
      <c r="F1078" s="19">
        <f>IF($A1078="","",E1078+$H1078-1)</f>
        <v/>
      </c>
      <c r="G1078" s="18" t="n"/>
      <c r="H1078" s="18">
        <f>IF($A1078="","",IF(I1078&lt;&gt;"",I1078,Paramètres!B52))</f>
        <v/>
      </c>
      <c r="I1078" s="18" t="n"/>
    </row>
    <row r="1079">
      <c r="A1079" s="18">
        <f>IF(ISNUMBER(Dossiers!$D$23),Dossiers!$A$23&amp;" · "&amp;Dossiers!$B$23,"")</f>
        <v/>
      </c>
      <c r="B1079" s="18">
        <f>IF($A1079="","",Paramètres!G53)</f>
        <v/>
      </c>
      <c r="C1079" s="18">
        <f>IF($A1079="","",IF(Paramètres!H53="","",Paramètres!H53))</f>
        <v/>
      </c>
      <c r="D1079" s="18">
        <f>IF($A1079="","",IF(Paramètres!I53="","",Paramètres!I53))</f>
        <v/>
      </c>
      <c r="E1079" s="19">
        <f>IF($A1079="","",IF(Paramètres!J53&amp;Paramètres!L53&amp;Paramètres!N53="",Dossiers!$D$23,MAX(IF(Paramètres!J53="",0,IF(Paramètres!K53="",NA(),IF(LEFT(TRIM(Paramètres!K53),1)="F",INDEX($F$1031:$F$1083,MATCH(Paramètres!J53,Paramètres!$G$5:$G$57,0)),INDEX($E$1031:$E$1083,MATCH(Paramètres!J53,Paramètres!$G$5:$G$57,0)))+IF(RIGHT(TRIM(Paramètres!K53),3)="Fin",1-$H1079,IF(LEFT(TRIM(Paramètres!K53),1)="F",1,0)))),IF(Paramètres!L53="",0,IF(Paramètres!M53="",NA(),IF(LEFT(TRIM(Paramètres!M53),1)="F",INDEX($F$1031:$F$1083,MATCH(Paramètres!L53,Paramètres!$G$5:$G$57,0)),INDEX($E$1031:$E$1083,MATCH(Paramètres!L53,Paramètres!$G$5:$G$57,0)))+IF(RIGHT(TRIM(Paramètres!M53),3)="Fin",1-$H1079,IF(LEFT(TRIM(Paramètres!M53),1)="F",1,0)))),IF(Paramètres!N53="",0,IF(Paramètres!O53="",NA(),IF(LEFT(TRIM(Paramètres!O53),1)="F",INDEX($F$1031:$F$1083,MATCH(Paramètres!N53,Paramètres!$G$5:$G$57,0)),INDEX($E$1031:$E$1083,MATCH(Paramètres!N53,Paramètres!$G$5:$G$57,0)))+IF(RIGHT(TRIM(Paramètres!O53),3)="Fin",1-$H1079,IF(LEFT(TRIM(Paramètres!O53),1)="F",1,0)))))))</f>
        <v/>
      </c>
      <c r="F1079" s="19">
        <f>IF($A1079="","",E1079+$H1079-1)</f>
        <v/>
      </c>
      <c r="G1079" s="18" t="n"/>
      <c r="H1079" s="18">
        <f>IF($A1079="","",IF(I1079&lt;&gt;"",I1079,Paramètres!B53))</f>
        <v/>
      </c>
      <c r="I1079" s="18" t="n"/>
    </row>
    <row r="1080">
      <c r="A1080" s="18">
        <f>IF(ISNUMBER(Dossiers!$D$23),Dossiers!$A$23&amp;" · "&amp;Dossiers!$B$23,"")</f>
        <v/>
      </c>
      <c r="B1080" s="18">
        <f>IF($A1080="","",Paramètres!G54)</f>
        <v/>
      </c>
      <c r="C1080" s="18">
        <f>IF($A1080="","",IF(Paramètres!H54="","",Paramètres!H54))</f>
        <v/>
      </c>
      <c r="D1080" s="18">
        <f>IF($A1080="","",IF(Paramètres!I54="","",Paramètres!I54))</f>
        <v/>
      </c>
      <c r="E1080" s="19">
        <f>IF($A1080="","",IF(Paramètres!J54&amp;Paramètres!L54&amp;Paramètres!N54="",Dossiers!$D$23,MAX(IF(Paramètres!J54="",0,IF(Paramètres!K54="",NA(),IF(LEFT(TRIM(Paramètres!K54),1)="F",INDEX($F$1031:$F$1083,MATCH(Paramètres!J54,Paramètres!$G$5:$G$57,0)),INDEX($E$1031:$E$1083,MATCH(Paramètres!J54,Paramètres!$G$5:$G$57,0)))+IF(RIGHT(TRIM(Paramètres!K54),3)="Fin",1-$H1080,IF(LEFT(TRIM(Paramètres!K54),1)="F",1,0)))),IF(Paramètres!L54="",0,IF(Paramètres!M54="",NA(),IF(LEFT(TRIM(Paramètres!M54),1)="F",INDEX($F$1031:$F$1083,MATCH(Paramètres!L54,Paramètres!$G$5:$G$57,0)),INDEX($E$1031:$E$1083,MATCH(Paramètres!L54,Paramètres!$G$5:$G$57,0)))+IF(RIGHT(TRIM(Paramètres!M54),3)="Fin",1-$H1080,IF(LEFT(TRIM(Paramètres!M54),1)="F",1,0)))),IF(Paramètres!N54="",0,IF(Paramètres!O54="",NA(),IF(LEFT(TRIM(Paramètres!O54),1)="F",INDEX($F$1031:$F$1083,MATCH(Paramètres!N54,Paramètres!$G$5:$G$57,0)),INDEX($E$1031:$E$1083,MATCH(Paramètres!N54,Paramètres!$G$5:$G$57,0)))+IF(RIGHT(TRIM(Paramètres!O54),3)="Fin",1-$H1080,IF(LEFT(TRIM(Paramètres!O54),1)="F",1,0)))))))</f>
        <v/>
      </c>
      <c r="F1080" s="19">
        <f>IF($A1080="","",E1080+$H1080-1)</f>
        <v/>
      </c>
      <c r="G1080" s="18" t="n"/>
      <c r="H1080" s="18">
        <f>IF($A1080="","",IF(I1080&lt;&gt;"",I1080,Paramètres!B54))</f>
        <v/>
      </c>
      <c r="I1080" s="18" t="n"/>
    </row>
    <row r="1081">
      <c r="A1081" s="18">
        <f>IF(ISNUMBER(Dossiers!$D$23),Dossiers!$A$23&amp;" · "&amp;Dossiers!$B$23,"")</f>
        <v/>
      </c>
      <c r="B1081" s="18">
        <f>IF($A1081="","",Paramètres!G55)</f>
        <v/>
      </c>
      <c r="C1081" s="18">
        <f>IF($A1081="","",IF(Paramètres!H55="","",Paramètres!H55))</f>
        <v/>
      </c>
      <c r="D1081" s="18">
        <f>IF($A1081="","",IF(Paramètres!I55="","",Paramètres!I55))</f>
        <v/>
      </c>
      <c r="E1081" s="19">
        <f>IF($A1081="","",IF(Paramètres!J55&amp;Paramètres!L55&amp;Paramètres!N55="",Dossiers!$D$23,MAX(IF(Paramètres!J55="",0,IF(Paramètres!K55="",NA(),IF(LEFT(TRIM(Paramètres!K55),1)="F",INDEX($F$1031:$F$1083,MATCH(Paramètres!J55,Paramètres!$G$5:$G$57,0)),INDEX($E$1031:$E$1083,MATCH(Paramètres!J55,Paramètres!$G$5:$G$57,0)))+IF(RIGHT(TRIM(Paramètres!K55),3)="Fin",1-$H1081,IF(LEFT(TRIM(Paramètres!K55),1)="F",1,0)))),IF(Paramètres!L55="",0,IF(Paramètres!M55="",NA(),IF(LEFT(TRIM(Paramètres!M55),1)="F",INDEX($F$1031:$F$1083,MATCH(Paramètres!L55,Paramètres!$G$5:$G$57,0)),INDEX($E$1031:$E$1083,MATCH(Paramètres!L55,Paramètres!$G$5:$G$57,0)))+IF(RIGHT(TRIM(Paramètres!M55),3)="Fin",1-$H1081,IF(LEFT(TRIM(Paramètres!M55),1)="F",1,0)))),IF(Paramètres!N55="",0,IF(Paramètres!O55="",NA(),IF(LEFT(TRIM(Paramètres!O55),1)="F",INDEX($F$1031:$F$1083,MATCH(Paramètres!N55,Paramètres!$G$5:$G$57,0)),INDEX($E$1031:$E$1083,MATCH(Paramètres!N55,Paramètres!$G$5:$G$57,0)))+IF(RIGHT(TRIM(Paramètres!O55),3)="Fin",1-$H1081,IF(LEFT(TRIM(Paramètres!O55),1)="F",1,0)))))))</f>
        <v/>
      </c>
      <c r="F1081" s="19">
        <f>IF($A1081="","",E1081+$H1081-1)</f>
        <v/>
      </c>
      <c r="G1081" s="18" t="n"/>
      <c r="H1081" s="18">
        <f>IF($A1081="","",IF(I1081&lt;&gt;"",I1081,Paramètres!B55))</f>
        <v/>
      </c>
      <c r="I1081" s="18" t="n"/>
    </row>
    <row r="1082">
      <c r="A1082" s="18">
        <f>IF(ISNUMBER(Dossiers!$D$23),Dossiers!$A$23&amp;" · "&amp;Dossiers!$B$23,"")</f>
        <v/>
      </c>
      <c r="B1082" s="18">
        <f>IF($A1082="","",Paramètres!G56)</f>
        <v/>
      </c>
      <c r="C1082" s="18">
        <f>IF($A1082="","",IF(Paramètres!H56="","",Paramètres!H56))</f>
        <v/>
      </c>
      <c r="D1082" s="18">
        <f>IF($A1082="","",IF(Paramètres!I56="","",Paramètres!I56))</f>
        <v/>
      </c>
      <c r="E1082" s="19">
        <f>IF($A1082="","",MIN(E1083:E1083))</f>
        <v/>
      </c>
      <c r="F1082" s="19">
        <f>IF($A1082="","",MAX(F1083:F1083))</f>
        <v/>
      </c>
      <c r="G1082" s="18" t="n"/>
      <c r="H1082" s="18">
        <f>IF($A1082="","",F1082-E1082+1)</f>
        <v/>
      </c>
      <c r="I1082" s="18" t="n"/>
    </row>
    <row r="1083">
      <c r="A1083" s="18">
        <f>IF(ISNUMBER(Dossiers!$D$23),Dossiers!$A$23&amp;" · "&amp;Dossiers!$B$23,"")</f>
        <v/>
      </c>
      <c r="B1083" s="18">
        <f>IF($A1083="","",Paramètres!G57)</f>
        <v/>
      </c>
      <c r="C1083" s="18">
        <f>IF($A1083="","",IF(Paramètres!H57="","",Paramètres!H57))</f>
        <v/>
      </c>
      <c r="D1083" s="18">
        <f>IF($A1083="","",IF(Paramètres!I57="","",Paramètres!I57))</f>
        <v/>
      </c>
      <c r="E1083" s="19">
        <f>IF($A1083="","",IF(Paramètres!J57&amp;Paramètres!L57&amp;Paramètres!N57="",Dossiers!$D$23,MAX(IF(Paramètres!J57="",0,IF(Paramètres!K57="",NA(),IF(LEFT(TRIM(Paramètres!K57),1)="F",INDEX($F$1031:$F$1083,MATCH(Paramètres!J57,Paramètres!$G$5:$G$57,0)),INDEX($E$1031:$E$1083,MATCH(Paramètres!J57,Paramètres!$G$5:$G$57,0)))+IF(RIGHT(TRIM(Paramètres!K57),3)="Fin",1-$H1083,IF(LEFT(TRIM(Paramètres!K57),1)="F",1,0)))),IF(Paramètres!L57="",0,IF(Paramètres!M57="",NA(),IF(LEFT(TRIM(Paramètres!M57),1)="F",INDEX($F$1031:$F$1083,MATCH(Paramètres!L57,Paramètres!$G$5:$G$57,0)),INDEX($E$1031:$E$1083,MATCH(Paramètres!L57,Paramètres!$G$5:$G$57,0)))+IF(RIGHT(TRIM(Paramètres!M57),3)="Fin",1-$H1083,IF(LEFT(TRIM(Paramètres!M57),1)="F",1,0)))),IF(Paramètres!N57="",0,IF(Paramètres!O57="",NA(),IF(LEFT(TRIM(Paramètres!O57),1)="F",INDEX($F$1031:$F$1083,MATCH(Paramètres!N57,Paramètres!$G$5:$G$57,0)),INDEX($E$1031:$E$1083,MATCH(Paramètres!N57,Paramètres!$G$5:$G$57,0)))+IF(RIGHT(TRIM(Paramètres!O57),3)="Fin",1-$H1083,IF(LEFT(TRIM(Paramètres!O57),1)="F",1,0)))))))</f>
        <v/>
      </c>
      <c r="F1083" s="19">
        <f>IF($A1083="","",E1083+$H1083-1)</f>
        <v/>
      </c>
      <c r="G1083" s="18" t="n"/>
      <c r="H1083" s="18">
        <f>IF($A1083="","",IF(I1083&lt;&gt;"",I1083,Paramètres!B57))</f>
        <v/>
      </c>
      <c r="I1083" s="18" t="n"/>
    </row>
    <row r="1084">
      <c r="A1084" s="16">
        <f>IF(ISNUMBER(Dossiers!$D$24),Dossiers!$E$24,"")</f>
        <v/>
      </c>
      <c r="B1084" s="16">
        <f>IF($A1084="","","Identifiant")</f>
        <v/>
      </c>
      <c r="C1084" s="16">
        <f>IF($A1084="","","Macro Etape")</f>
        <v/>
      </c>
      <c r="D1084" s="16">
        <f>IF($A1084="","","Etape")</f>
        <v/>
      </c>
      <c r="E1084" s="17">
        <f>IF($A1084="","","Début le")</f>
        <v/>
      </c>
      <c r="F1084" s="17">
        <f>IF($A1084="","","Fin prévue le")</f>
        <v/>
      </c>
      <c r="G1084" s="16">
        <f>IF($A1084="","","Statut")</f>
        <v/>
      </c>
      <c r="H1084" s="16">
        <f>IF($A1084="","","Durée (jours)")</f>
        <v/>
      </c>
      <c r="I1084" s="16">
        <f>IF($A1084="","","Durée particulière")</f>
        <v/>
      </c>
      <c r="J1084" s="10">
        <f>IF($A1084="","",HYPERLINK("#'Tableau de bord'!A1","↑ Tableau de bord"))</f>
        <v/>
      </c>
    </row>
    <row r="1085">
      <c r="A1085" s="18">
        <f>IF(ISNUMBER(Dossiers!$D$24),Dossiers!$A$24&amp;" · "&amp;Dossiers!$B$24,"")</f>
        <v/>
      </c>
      <c r="B1085" s="18">
        <f>IF($A1085="","",Paramètres!G5)</f>
        <v/>
      </c>
      <c r="C1085" s="18">
        <f>IF($A1085="","",IF(Paramètres!H5="","",Paramètres!H5))</f>
        <v/>
      </c>
      <c r="D1085" s="18">
        <f>IF($A1085="","",IF(Paramètres!I5="","",Paramètres!I5))</f>
        <v/>
      </c>
      <c r="E1085" s="19">
        <f>IF($A1085="","",MIN(E1086:E1089))</f>
        <v/>
      </c>
      <c r="F1085" s="19">
        <f>IF($A1085="","",MAX(F1086:F1089))</f>
        <v/>
      </c>
      <c r="G1085" s="18" t="n"/>
      <c r="H1085" s="18">
        <f>IF($A1085="","",F1085-E1085+1)</f>
        <v/>
      </c>
      <c r="I1085" s="18" t="n"/>
    </row>
    <row r="1086">
      <c r="A1086" s="18">
        <f>IF(ISNUMBER(Dossiers!$D$24),Dossiers!$A$24&amp;" · "&amp;Dossiers!$B$24,"")</f>
        <v/>
      </c>
      <c r="B1086" s="18">
        <f>IF($A1086="","",Paramètres!G6)</f>
        <v/>
      </c>
      <c r="C1086" s="18">
        <f>IF($A1086="","",IF(Paramètres!H6="","",Paramètres!H6))</f>
        <v/>
      </c>
      <c r="D1086" s="18">
        <f>IF($A1086="","",IF(Paramètres!I6="","",Paramètres!I6))</f>
        <v/>
      </c>
      <c r="E1086" s="19">
        <f>IF($A1086="","",IF(Paramètres!J6&amp;Paramètres!L6&amp;Paramètres!N6="",Dossiers!$D$24,MAX(IF(Paramètres!J6="",0,IF(Paramètres!K6="",NA(),IF(LEFT(TRIM(Paramètres!K6),1)="F",INDEX($F$1085:$F$1137,MATCH(Paramètres!J6,Paramètres!$G$5:$G$57,0)),INDEX($E$1085:$E$1137,MATCH(Paramètres!J6,Paramètres!$G$5:$G$57,0)))+IF(RIGHT(TRIM(Paramètres!K6),3)="Fin",1-$H1086,IF(LEFT(TRIM(Paramètres!K6),1)="F",1,0)))),IF(Paramètres!L6="",0,IF(Paramètres!M6="",NA(),IF(LEFT(TRIM(Paramètres!M6),1)="F",INDEX($F$1085:$F$1137,MATCH(Paramètres!L6,Paramètres!$G$5:$G$57,0)),INDEX($E$1085:$E$1137,MATCH(Paramètres!L6,Paramètres!$G$5:$G$57,0)))+IF(RIGHT(TRIM(Paramètres!M6),3)="Fin",1-$H1086,IF(LEFT(TRIM(Paramètres!M6),1)="F",1,0)))),IF(Paramètres!N6="",0,IF(Paramètres!O6="",NA(),IF(LEFT(TRIM(Paramètres!O6),1)="F",INDEX($F$1085:$F$1137,MATCH(Paramètres!N6,Paramètres!$G$5:$G$57,0)),INDEX($E$1085:$E$1137,MATCH(Paramètres!N6,Paramètres!$G$5:$G$57,0)))+IF(RIGHT(TRIM(Paramètres!O6),3)="Fin",1-$H1086,IF(LEFT(TRIM(Paramètres!O6),1)="F",1,0)))))))</f>
        <v/>
      </c>
      <c r="F1086" s="19">
        <f>IF($A1086="","",E1086+$H1086-1)</f>
        <v/>
      </c>
      <c r="G1086" s="18" t="n"/>
      <c r="H1086" s="18">
        <f>IF($A1086="","",IF(I1086&lt;&gt;"",I1086,Paramètres!B6))</f>
        <v/>
      </c>
      <c r="I1086" s="18" t="n"/>
    </row>
    <row r="1087">
      <c r="A1087" s="18">
        <f>IF(ISNUMBER(Dossiers!$D$24),Dossiers!$A$24&amp;" · "&amp;Dossiers!$B$24,"")</f>
        <v/>
      </c>
      <c r="B1087" s="18">
        <f>IF($A1087="","",Paramètres!G7)</f>
        <v/>
      </c>
      <c r="C1087" s="18">
        <f>IF($A1087="","",IF(Paramètres!H7="","",Paramètres!H7))</f>
        <v/>
      </c>
      <c r="D1087" s="18">
        <f>IF($A1087="","",IF(Paramètres!I7="","",Paramètres!I7))</f>
        <v/>
      </c>
      <c r="E1087" s="19">
        <f>IF($A1087="","",IF(Paramètres!J7&amp;Paramètres!L7&amp;Paramètres!N7="",Dossiers!$D$24,MAX(IF(Paramètres!J7="",0,IF(Paramètres!K7="",NA(),IF(LEFT(TRIM(Paramètres!K7),1)="F",INDEX($F$1085:$F$1137,MATCH(Paramètres!J7,Paramètres!$G$5:$G$57,0)),INDEX($E$1085:$E$1137,MATCH(Paramètres!J7,Paramètres!$G$5:$G$57,0)))+IF(RIGHT(TRIM(Paramètres!K7),3)="Fin",1-$H1087,IF(LEFT(TRIM(Paramètres!K7),1)="F",1,0)))),IF(Paramètres!L7="",0,IF(Paramètres!M7="",NA(),IF(LEFT(TRIM(Paramètres!M7),1)="F",INDEX($F$1085:$F$1137,MATCH(Paramètres!L7,Paramètres!$G$5:$G$57,0)),INDEX($E$1085:$E$1137,MATCH(Paramètres!L7,Paramètres!$G$5:$G$57,0)))+IF(RIGHT(TRIM(Paramètres!M7),3)="Fin",1-$H1087,IF(LEFT(TRIM(Paramètres!M7),1)="F",1,0)))),IF(Paramètres!N7="",0,IF(Paramètres!O7="",NA(),IF(LEFT(TRIM(Paramètres!O7),1)="F",INDEX($F$1085:$F$1137,MATCH(Paramètres!N7,Paramètres!$G$5:$G$57,0)),INDEX($E$1085:$E$1137,MATCH(Paramètres!N7,Paramètres!$G$5:$G$57,0)))+IF(RIGHT(TRIM(Paramètres!O7),3)="Fin",1-$H1087,IF(LEFT(TRIM(Paramètres!O7),1)="F",1,0)))))))</f>
        <v/>
      </c>
      <c r="F1087" s="19">
        <f>IF($A1087="","",E1087+$H1087-1)</f>
        <v/>
      </c>
      <c r="G1087" s="18" t="n"/>
      <c r="H1087" s="18">
        <f>IF($A1087="","",IF(I1087&lt;&gt;"",I1087,Paramètres!B7))</f>
        <v/>
      </c>
      <c r="I1087" s="18" t="n"/>
    </row>
    <row r="1088">
      <c r="A1088" s="18">
        <f>IF(ISNUMBER(Dossiers!$D$24),Dossiers!$A$24&amp;" · "&amp;Dossiers!$B$24,"")</f>
        <v/>
      </c>
      <c r="B1088" s="18">
        <f>IF($A1088="","",Paramètres!G8)</f>
        <v/>
      </c>
      <c r="C1088" s="18">
        <f>IF($A1088="","",IF(Paramètres!H8="","",Paramètres!H8))</f>
        <v/>
      </c>
      <c r="D1088" s="18">
        <f>IF($A1088="","",IF(Paramètres!I8="","",Paramètres!I8))</f>
        <v/>
      </c>
      <c r="E1088" s="19">
        <f>IF($A1088="","",IF(Paramètres!J8&amp;Paramètres!L8&amp;Paramètres!N8="",Dossiers!$D$24,MAX(IF(Paramètres!J8="",0,IF(Paramètres!K8="",NA(),IF(LEFT(TRIM(Paramètres!K8),1)="F",INDEX($F$1085:$F$1137,MATCH(Paramètres!J8,Paramètres!$G$5:$G$57,0)),INDEX($E$1085:$E$1137,MATCH(Paramètres!J8,Paramètres!$G$5:$G$57,0)))+IF(RIGHT(TRIM(Paramètres!K8),3)="Fin",1-$H1088,IF(LEFT(TRIM(Paramètres!K8),1)="F",1,0)))),IF(Paramètres!L8="",0,IF(Paramètres!M8="",NA(),IF(LEFT(TRIM(Paramètres!M8),1)="F",INDEX($F$1085:$F$1137,MATCH(Paramètres!L8,Paramètres!$G$5:$G$57,0)),INDEX($E$1085:$E$1137,MATCH(Paramètres!L8,Paramètres!$G$5:$G$57,0)))+IF(RIGHT(TRIM(Paramètres!M8),3)="Fin",1-$H1088,IF(LEFT(TRIM(Paramètres!M8),1)="F",1,0)))),IF(Paramètres!N8="",0,IF(Paramètres!O8="",NA(),IF(LEFT(TRIM(Paramètres!O8),1)="F",INDEX($F$1085:$F$1137,MATCH(Paramètres!N8,Paramètres!$G$5:$G$57,0)),INDEX($E$1085:$E$1137,MATCH(Paramètres!N8,Paramètres!$G$5:$G$57,0)))+IF(RIGHT(TRIM(Paramètres!O8),3)="Fin",1-$H1088,IF(LEFT(TRIM(Paramètres!O8),1)="F",1,0)))))))</f>
        <v/>
      </c>
      <c r="F1088" s="19">
        <f>IF($A1088="","",E1088+$H1088-1)</f>
        <v/>
      </c>
      <c r="G1088" s="18" t="n"/>
      <c r="H1088" s="18">
        <f>IF($A1088="","",IF(I1088&lt;&gt;"",I1088,Paramètres!B8))</f>
        <v/>
      </c>
      <c r="I1088" s="18" t="n"/>
    </row>
    <row r="1089">
      <c r="A1089" s="18">
        <f>IF(ISNUMBER(Dossiers!$D$24),Dossiers!$A$24&amp;" · "&amp;Dossiers!$B$24,"")</f>
        <v/>
      </c>
      <c r="B1089" s="18">
        <f>IF($A1089="","",Paramètres!G9)</f>
        <v/>
      </c>
      <c r="C1089" s="18">
        <f>IF($A1089="","",IF(Paramètres!H9="","",Paramètres!H9))</f>
        <v/>
      </c>
      <c r="D1089" s="18">
        <f>IF($A1089="","",IF(Paramètres!I9="","",Paramètres!I9))</f>
        <v/>
      </c>
      <c r="E1089" s="19">
        <f>IF($A1089="","",IF(Paramètres!J9&amp;Paramètres!L9&amp;Paramètres!N9="",Dossiers!$D$24,MAX(IF(Paramètres!J9="",0,IF(Paramètres!K9="",NA(),IF(LEFT(TRIM(Paramètres!K9),1)="F",INDEX($F$1085:$F$1137,MATCH(Paramètres!J9,Paramètres!$G$5:$G$57,0)),INDEX($E$1085:$E$1137,MATCH(Paramètres!J9,Paramètres!$G$5:$G$57,0)))+IF(RIGHT(TRIM(Paramètres!K9),3)="Fin",1-$H1089,IF(LEFT(TRIM(Paramètres!K9),1)="F",1,0)))),IF(Paramètres!L9="",0,IF(Paramètres!M9="",NA(),IF(LEFT(TRIM(Paramètres!M9),1)="F",INDEX($F$1085:$F$1137,MATCH(Paramètres!L9,Paramètres!$G$5:$G$57,0)),INDEX($E$1085:$E$1137,MATCH(Paramètres!L9,Paramètres!$G$5:$G$57,0)))+IF(RIGHT(TRIM(Paramètres!M9),3)="Fin",1-$H1089,IF(LEFT(TRIM(Paramètres!M9),1)="F",1,0)))),IF(Paramètres!N9="",0,IF(Paramètres!O9="",NA(),IF(LEFT(TRIM(Paramètres!O9),1)="F",INDEX($F$1085:$F$1137,MATCH(Paramètres!N9,Paramètres!$G$5:$G$57,0)),INDEX($E$1085:$E$1137,MATCH(Paramètres!N9,Paramètres!$G$5:$G$57,0)))+IF(RIGHT(TRIM(Paramètres!O9),3)="Fin",1-$H1089,IF(LEFT(TRIM(Paramètres!O9),1)="F",1,0)))))))</f>
        <v/>
      </c>
      <c r="F1089" s="19">
        <f>IF($A1089="","",E1089+$H1089-1)</f>
        <v/>
      </c>
      <c r="G1089" s="18" t="n"/>
      <c r="H1089" s="18">
        <f>IF($A1089="","",IF(I1089&lt;&gt;"",I1089,Paramètres!B9))</f>
        <v/>
      </c>
      <c r="I1089" s="18" t="n"/>
    </row>
    <row r="1090">
      <c r="A1090" s="18">
        <f>IF(ISNUMBER(Dossiers!$D$24),Dossiers!$A$24&amp;" · "&amp;Dossiers!$B$24,"")</f>
        <v/>
      </c>
      <c r="B1090" s="18">
        <f>IF($A1090="","",Paramètres!G10)</f>
        <v/>
      </c>
      <c r="C1090" s="18">
        <f>IF($A1090="","",IF(Paramètres!H10="","",Paramètres!H10))</f>
        <v/>
      </c>
      <c r="D1090" s="18">
        <f>IF($A1090="","",IF(Paramètres!I10="","",Paramètres!I10))</f>
        <v/>
      </c>
      <c r="E1090" s="19">
        <f>IF($A1090="","",MIN(E1091:E1094))</f>
        <v/>
      </c>
      <c r="F1090" s="19">
        <f>IF($A1090="","",MAX(F1091:F1094))</f>
        <v/>
      </c>
      <c r="G1090" s="18" t="n"/>
      <c r="H1090" s="18">
        <f>IF($A1090="","",F1090-E1090+1)</f>
        <v/>
      </c>
      <c r="I1090" s="18" t="n"/>
    </row>
    <row r="1091">
      <c r="A1091" s="18">
        <f>IF(ISNUMBER(Dossiers!$D$24),Dossiers!$A$24&amp;" · "&amp;Dossiers!$B$24,"")</f>
        <v/>
      </c>
      <c r="B1091" s="18">
        <f>IF($A1091="","",Paramètres!G11)</f>
        <v/>
      </c>
      <c r="C1091" s="18">
        <f>IF($A1091="","",IF(Paramètres!H11="","",Paramètres!H11))</f>
        <v/>
      </c>
      <c r="D1091" s="18">
        <f>IF($A1091="","",IF(Paramètres!I11="","",Paramètres!I11))</f>
        <v/>
      </c>
      <c r="E1091" s="19">
        <f>IF($A1091="","",IF(Paramètres!J11&amp;Paramètres!L11&amp;Paramètres!N11="",Dossiers!$D$24,MAX(IF(Paramètres!J11="",0,IF(Paramètres!K11="",NA(),IF(LEFT(TRIM(Paramètres!K11),1)="F",INDEX($F$1085:$F$1137,MATCH(Paramètres!J11,Paramètres!$G$5:$G$57,0)),INDEX($E$1085:$E$1137,MATCH(Paramètres!J11,Paramètres!$G$5:$G$57,0)))+IF(RIGHT(TRIM(Paramètres!K11),3)="Fin",1-$H1091,IF(LEFT(TRIM(Paramètres!K11),1)="F",1,0)))),IF(Paramètres!L11="",0,IF(Paramètres!M11="",NA(),IF(LEFT(TRIM(Paramètres!M11),1)="F",INDEX($F$1085:$F$1137,MATCH(Paramètres!L11,Paramètres!$G$5:$G$57,0)),INDEX($E$1085:$E$1137,MATCH(Paramètres!L11,Paramètres!$G$5:$G$57,0)))+IF(RIGHT(TRIM(Paramètres!M11),3)="Fin",1-$H1091,IF(LEFT(TRIM(Paramètres!M11),1)="F",1,0)))),IF(Paramètres!N11="",0,IF(Paramètres!O11="",NA(),IF(LEFT(TRIM(Paramètres!O11),1)="F",INDEX($F$1085:$F$1137,MATCH(Paramètres!N11,Paramètres!$G$5:$G$57,0)),INDEX($E$1085:$E$1137,MATCH(Paramètres!N11,Paramètres!$G$5:$G$57,0)))+IF(RIGHT(TRIM(Paramètres!O11),3)="Fin",1-$H1091,IF(LEFT(TRIM(Paramètres!O11),1)="F",1,0)))))))</f>
        <v/>
      </c>
      <c r="F1091" s="19">
        <f>IF($A1091="","",E1091+$H1091-1)</f>
        <v/>
      </c>
      <c r="G1091" s="18" t="n"/>
      <c r="H1091" s="18">
        <f>IF($A1091="","",IF(I1091&lt;&gt;"",I1091,Paramètres!B11))</f>
        <v/>
      </c>
      <c r="I1091" s="18" t="n"/>
    </row>
    <row r="1092">
      <c r="A1092" s="18">
        <f>IF(ISNUMBER(Dossiers!$D$24),Dossiers!$A$24&amp;" · "&amp;Dossiers!$B$24,"")</f>
        <v/>
      </c>
      <c r="B1092" s="18">
        <f>IF($A1092="","",Paramètres!G12)</f>
        <v/>
      </c>
      <c r="C1092" s="18">
        <f>IF($A1092="","",IF(Paramètres!H12="","",Paramètres!H12))</f>
        <v/>
      </c>
      <c r="D1092" s="18">
        <f>IF($A1092="","",IF(Paramètres!I12="","",Paramètres!I12))</f>
        <v/>
      </c>
      <c r="E1092" s="19">
        <f>IF($A1092="","",IF(Paramètres!J12&amp;Paramètres!L12&amp;Paramètres!N12="",Dossiers!$D$24,MAX(IF(Paramètres!J12="",0,IF(Paramètres!K12="",NA(),IF(LEFT(TRIM(Paramètres!K12),1)="F",INDEX($F$1085:$F$1137,MATCH(Paramètres!J12,Paramètres!$G$5:$G$57,0)),INDEX($E$1085:$E$1137,MATCH(Paramètres!J12,Paramètres!$G$5:$G$57,0)))+IF(RIGHT(TRIM(Paramètres!K12),3)="Fin",1-$H1092,IF(LEFT(TRIM(Paramètres!K12),1)="F",1,0)))),IF(Paramètres!L12="",0,IF(Paramètres!M12="",NA(),IF(LEFT(TRIM(Paramètres!M12),1)="F",INDEX($F$1085:$F$1137,MATCH(Paramètres!L12,Paramètres!$G$5:$G$57,0)),INDEX($E$1085:$E$1137,MATCH(Paramètres!L12,Paramètres!$G$5:$G$57,0)))+IF(RIGHT(TRIM(Paramètres!M12),3)="Fin",1-$H1092,IF(LEFT(TRIM(Paramètres!M12),1)="F",1,0)))),IF(Paramètres!N12="",0,IF(Paramètres!O12="",NA(),IF(LEFT(TRIM(Paramètres!O12),1)="F",INDEX($F$1085:$F$1137,MATCH(Paramètres!N12,Paramètres!$G$5:$G$57,0)),INDEX($E$1085:$E$1137,MATCH(Paramètres!N12,Paramètres!$G$5:$G$57,0)))+IF(RIGHT(TRIM(Paramètres!O12),3)="Fin",1-$H1092,IF(LEFT(TRIM(Paramètres!O12),1)="F",1,0)))))))</f>
        <v/>
      </c>
      <c r="F1092" s="19">
        <f>IF($A1092="","",E1092+$H1092-1)</f>
        <v/>
      </c>
      <c r="G1092" s="18" t="n"/>
      <c r="H1092" s="18">
        <f>IF($A1092="","",IF(I1092&lt;&gt;"",I1092,Paramètres!B12))</f>
        <v/>
      </c>
      <c r="I1092" s="18" t="n"/>
    </row>
    <row r="1093">
      <c r="A1093" s="18">
        <f>IF(ISNUMBER(Dossiers!$D$24),Dossiers!$A$24&amp;" · "&amp;Dossiers!$B$24,"")</f>
        <v/>
      </c>
      <c r="B1093" s="18">
        <f>IF($A1093="","",Paramètres!G13)</f>
        <v/>
      </c>
      <c r="C1093" s="18">
        <f>IF($A1093="","",IF(Paramètres!H13="","",Paramètres!H13))</f>
        <v/>
      </c>
      <c r="D1093" s="18">
        <f>IF($A1093="","",IF(Paramètres!I13="","",Paramètres!I13))</f>
        <v/>
      </c>
      <c r="E1093" s="19">
        <f>IF($A1093="","",IF(Paramètres!J13&amp;Paramètres!L13&amp;Paramètres!N13="",Dossiers!$D$24,MAX(IF(Paramètres!J13="",0,IF(Paramètres!K13="",NA(),IF(LEFT(TRIM(Paramètres!K13),1)="F",INDEX($F$1085:$F$1137,MATCH(Paramètres!J13,Paramètres!$G$5:$G$57,0)),INDEX($E$1085:$E$1137,MATCH(Paramètres!J13,Paramètres!$G$5:$G$57,0)))+IF(RIGHT(TRIM(Paramètres!K13),3)="Fin",1-$H1093,IF(LEFT(TRIM(Paramètres!K13),1)="F",1,0)))),IF(Paramètres!L13="",0,IF(Paramètres!M13="",NA(),IF(LEFT(TRIM(Paramètres!M13),1)="F",INDEX($F$1085:$F$1137,MATCH(Paramètres!L13,Paramètres!$G$5:$G$57,0)),INDEX($E$1085:$E$1137,MATCH(Paramètres!L13,Paramètres!$G$5:$G$57,0)))+IF(RIGHT(TRIM(Paramètres!M13),3)="Fin",1-$H1093,IF(LEFT(TRIM(Paramètres!M13),1)="F",1,0)))),IF(Paramètres!N13="",0,IF(Paramètres!O13="",NA(),IF(LEFT(TRIM(Paramètres!O13),1)="F",INDEX($F$1085:$F$1137,MATCH(Paramètres!N13,Paramètres!$G$5:$G$57,0)),INDEX($E$1085:$E$1137,MATCH(Paramètres!N13,Paramètres!$G$5:$G$57,0)))+IF(RIGHT(TRIM(Paramètres!O13),3)="Fin",1-$H1093,IF(LEFT(TRIM(Paramètres!O13),1)="F",1,0)))))))</f>
        <v/>
      </c>
      <c r="F1093" s="19">
        <f>IF($A1093="","",E1093+$H1093-1)</f>
        <v/>
      </c>
      <c r="G1093" s="18" t="n"/>
      <c r="H1093" s="18">
        <f>IF($A1093="","",IF(I1093&lt;&gt;"",I1093,Paramètres!B13))</f>
        <v/>
      </c>
      <c r="I1093" s="18" t="n"/>
    </row>
    <row r="1094">
      <c r="A1094" s="18">
        <f>IF(ISNUMBER(Dossiers!$D$24),Dossiers!$A$24&amp;" · "&amp;Dossiers!$B$24,"")</f>
        <v/>
      </c>
      <c r="B1094" s="18">
        <f>IF($A1094="","",Paramètres!G14)</f>
        <v/>
      </c>
      <c r="C1094" s="18">
        <f>IF($A1094="","",IF(Paramètres!H14="","",Paramètres!H14))</f>
        <v/>
      </c>
      <c r="D1094" s="18">
        <f>IF($A1094="","",IF(Paramètres!I14="","",Paramètres!I14))</f>
        <v/>
      </c>
      <c r="E1094" s="19">
        <f>IF($A1094="","",IF(Paramètres!J14&amp;Paramètres!L14&amp;Paramètres!N14="",Dossiers!$D$24,MAX(IF(Paramètres!J14="",0,IF(Paramètres!K14="",NA(),IF(LEFT(TRIM(Paramètres!K14),1)="F",INDEX($F$1085:$F$1137,MATCH(Paramètres!J14,Paramètres!$G$5:$G$57,0)),INDEX($E$1085:$E$1137,MATCH(Paramètres!J14,Paramètres!$G$5:$G$57,0)))+IF(RIGHT(TRIM(Paramètres!K14),3)="Fin",1-$H1094,IF(LEFT(TRIM(Paramètres!K14),1)="F",1,0)))),IF(Paramètres!L14="",0,IF(Paramètres!M14="",NA(),IF(LEFT(TRIM(Paramètres!M14),1)="F",INDEX($F$1085:$F$1137,MATCH(Paramètres!L14,Paramètres!$G$5:$G$57,0)),INDEX($E$1085:$E$1137,MATCH(Paramètres!L14,Paramètres!$G$5:$G$57,0)))+IF(RIGHT(TRIM(Paramètres!M14),3)="Fin",1-$H1094,IF(LEFT(TRIM(Paramètres!M14),1)="F",1,0)))),IF(Paramètres!N14="",0,IF(Paramètres!O14="",NA(),IF(LEFT(TRIM(Paramètres!O14),1)="F",INDEX($F$1085:$F$1137,MATCH(Paramètres!N14,Paramètres!$G$5:$G$57,0)),INDEX($E$1085:$E$1137,MATCH(Paramètres!N14,Paramètres!$G$5:$G$57,0)))+IF(RIGHT(TRIM(Paramètres!O14),3)="Fin",1-$H1094,IF(LEFT(TRIM(Paramètres!O14),1)="F",1,0)))))))</f>
        <v/>
      </c>
      <c r="F1094" s="19">
        <f>IF($A1094="","",E1094+$H1094-1)</f>
        <v/>
      </c>
      <c r="G1094" s="18" t="n"/>
      <c r="H1094" s="18">
        <f>IF($A1094="","",IF(I1094&lt;&gt;"",I1094,Paramètres!B14))</f>
        <v/>
      </c>
      <c r="I1094" s="18" t="n"/>
    </row>
    <row r="1095">
      <c r="A1095" s="18">
        <f>IF(ISNUMBER(Dossiers!$D$24),Dossiers!$A$24&amp;" · "&amp;Dossiers!$B$24,"")</f>
        <v/>
      </c>
      <c r="B1095" s="18">
        <f>IF($A1095="","",Paramètres!G15)</f>
        <v/>
      </c>
      <c r="C1095" s="18">
        <f>IF($A1095="","",IF(Paramètres!H15="","",Paramètres!H15))</f>
        <v/>
      </c>
      <c r="D1095" s="18">
        <f>IF($A1095="","",IF(Paramètres!I15="","",Paramètres!I15))</f>
        <v/>
      </c>
      <c r="E1095" s="19">
        <f>IF($A1095="","",MIN(E1096:E1111))</f>
        <v/>
      </c>
      <c r="F1095" s="19">
        <f>IF($A1095="","",MAX(F1096:F1111))</f>
        <v/>
      </c>
      <c r="G1095" s="18" t="n"/>
      <c r="H1095" s="18">
        <f>IF($A1095="","",F1095-E1095+1)</f>
        <v/>
      </c>
      <c r="I1095" s="18" t="n"/>
    </row>
    <row r="1096">
      <c r="A1096" s="18">
        <f>IF(ISNUMBER(Dossiers!$D$24),Dossiers!$A$24&amp;" · "&amp;Dossiers!$B$24,"")</f>
        <v/>
      </c>
      <c r="B1096" s="18">
        <f>IF($A1096="","",Paramètres!G16)</f>
        <v/>
      </c>
      <c r="C1096" s="18">
        <f>IF($A1096="","",IF(Paramètres!H16="","",Paramètres!H16))</f>
        <v/>
      </c>
      <c r="D1096" s="18">
        <f>IF($A1096="","",IF(Paramètres!I16="","",Paramètres!I16))</f>
        <v/>
      </c>
      <c r="E1096" s="19">
        <f>IF($A1096="","",IF(Paramètres!J16&amp;Paramètres!L16&amp;Paramètres!N16="",Dossiers!$D$24,MAX(IF(Paramètres!J16="",0,IF(Paramètres!K16="",NA(),IF(LEFT(TRIM(Paramètres!K16),1)="F",INDEX($F$1085:$F$1137,MATCH(Paramètres!J16,Paramètres!$G$5:$G$57,0)),INDEX($E$1085:$E$1137,MATCH(Paramètres!J16,Paramètres!$G$5:$G$57,0)))+IF(RIGHT(TRIM(Paramètres!K16),3)="Fin",1-$H1096,IF(LEFT(TRIM(Paramètres!K16),1)="F",1,0)))),IF(Paramètres!L16="",0,IF(Paramètres!M16="",NA(),IF(LEFT(TRIM(Paramètres!M16),1)="F",INDEX($F$1085:$F$1137,MATCH(Paramètres!L16,Paramètres!$G$5:$G$57,0)),INDEX($E$1085:$E$1137,MATCH(Paramètres!L16,Paramètres!$G$5:$G$57,0)))+IF(RIGHT(TRIM(Paramètres!M16),3)="Fin",1-$H1096,IF(LEFT(TRIM(Paramètres!M16),1)="F",1,0)))),IF(Paramètres!N16="",0,IF(Paramètres!O16="",NA(),IF(LEFT(TRIM(Paramètres!O16),1)="F",INDEX($F$1085:$F$1137,MATCH(Paramètres!N16,Paramètres!$G$5:$G$57,0)),INDEX($E$1085:$E$1137,MATCH(Paramètres!N16,Paramètres!$G$5:$G$57,0)))+IF(RIGHT(TRIM(Paramètres!O16),3)="Fin",1-$H1096,IF(LEFT(TRIM(Paramètres!O16),1)="F",1,0)))))))</f>
        <v/>
      </c>
      <c r="F1096" s="19">
        <f>IF($A1096="","",E1096+$H1096-1)</f>
        <v/>
      </c>
      <c r="G1096" s="18" t="n"/>
      <c r="H1096" s="18">
        <f>IF($A1096="","",IF(I1096&lt;&gt;"",I1096,Paramètres!B16))</f>
        <v/>
      </c>
      <c r="I1096" s="18" t="n"/>
    </row>
    <row r="1097">
      <c r="A1097" s="18">
        <f>IF(ISNUMBER(Dossiers!$D$24),Dossiers!$A$24&amp;" · "&amp;Dossiers!$B$24,"")</f>
        <v/>
      </c>
      <c r="B1097" s="18">
        <f>IF($A1097="","",Paramètres!G17)</f>
        <v/>
      </c>
      <c r="C1097" s="18">
        <f>IF($A1097="","",IF(Paramètres!H17="","",Paramètres!H17))</f>
        <v/>
      </c>
      <c r="D1097" s="18">
        <f>IF($A1097="","",IF(Paramètres!I17="","",Paramètres!I17))</f>
        <v/>
      </c>
      <c r="E1097" s="19">
        <f>IF($A1097="","",IF(Paramètres!J17&amp;Paramètres!L17&amp;Paramètres!N17="",Dossiers!$D$24,MAX(IF(Paramètres!J17="",0,IF(Paramètres!K17="",NA(),IF(LEFT(TRIM(Paramètres!K17),1)="F",INDEX($F$1085:$F$1137,MATCH(Paramètres!J17,Paramètres!$G$5:$G$57,0)),INDEX($E$1085:$E$1137,MATCH(Paramètres!J17,Paramètres!$G$5:$G$57,0)))+IF(RIGHT(TRIM(Paramètres!K17),3)="Fin",1-$H1097,IF(LEFT(TRIM(Paramètres!K17),1)="F",1,0)))),IF(Paramètres!L17="",0,IF(Paramètres!M17="",NA(),IF(LEFT(TRIM(Paramètres!M17),1)="F",INDEX($F$1085:$F$1137,MATCH(Paramètres!L17,Paramètres!$G$5:$G$57,0)),INDEX($E$1085:$E$1137,MATCH(Paramètres!L17,Paramètres!$G$5:$G$57,0)))+IF(RIGHT(TRIM(Paramètres!M17),3)="Fin",1-$H1097,IF(LEFT(TRIM(Paramètres!M17),1)="F",1,0)))),IF(Paramètres!N17="",0,IF(Paramètres!O17="",NA(),IF(LEFT(TRIM(Paramètres!O17),1)="F",INDEX($F$1085:$F$1137,MATCH(Paramètres!N17,Paramètres!$G$5:$G$57,0)),INDEX($E$1085:$E$1137,MATCH(Paramètres!N17,Paramètres!$G$5:$G$57,0)))+IF(RIGHT(TRIM(Paramètres!O17),3)="Fin",1-$H1097,IF(LEFT(TRIM(Paramètres!O17),1)="F",1,0)))))))</f>
        <v/>
      </c>
      <c r="F1097" s="19">
        <f>IF($A1097="","",E1097+$H1097-1)</f>
        <v/>
      </c>
      <c r="G1097" s="18" t="n"/>
      <c r="H1097" s="18">
        <f>IF($A1097="","",IF(I1097&lt;&gt;"",I1097,Paramètres!B17))</f>
        <v/>
      </c>
      <c r="I1097" s="18" t="n"/>
    </row>
    <row r="1098">
      <c r="A1098" s="18">
        <f>IF(ISNUMBER(Dossiers!$D$24),Dossiers!$A$24&amp;" · "&amp;Dossiers!$B$24,"")</f>
        <v/>
      </c>
      <c r="B1098" s="18">
        <f>IF($A1098="","",Paramètres!G18)</f>
        <v/>
      </c>
      <c r="C1098" s="18">
        <f>IF($A1098="","",IF(Paramètres!H18="","",Paramètres!H18))</f>
        <v/>
      </c>
      <c r="D1098" s="18">
        <f>IF($A1098="","",IF(Paramètres!I18="","",Paramètres!I18))</f>
        <v/>
      </c>
      <c r="E1098" s="19">
        <f>IF($A1098="","",IF(Paramètres!J18&amp;Paramètres!L18&amp;Paramètres!N18="",Dossiers!$D$24,MAX(IF(Paramètres!J18="",0,IF(Paramètres!K18="",NA(),IF(LEFT(TRIM(Paramètres!K18),1)="F",INDEX($F$1085:$F$1137,MATCH(Paramètres!J18,Paramètres!$G$5:$G$57,0)),INDEX($E$1085:$E$1137,MATCH(Paramètres!J18,Paramètres!$G$5:$G$57,0)))+IF(RIGHT(TRIM(Paramètres!K18),3)="Fin",1-$H1098,IF(LEFT(TRIM(Paramètres!K18),1)="F",1,0)))),IF(Paramètres!L18="",0,IF(Paramètres!M18="",NA(),IF(LEFT(TRIM(Paramètres!M18),1)="F",INDEX($F$1085:$F$1137,MATCH(Paramètres!L18,Paramètres!$G$5:$G$57,0)),INDEX($E$1085:$E$1137,MATCH(Paramètres!L18,Paramètres!$G$5:$G$57,0)))+IF(RIGHT(TRIM(Paramètres!M18),3)="Fin",1-$H1098,IF(LEFT(TRIM(Paramètres!M18),1)="F",1,0)))),IF(Paramètres!N18="",0,IF(Paramètres!O18="",NA(),IF(LEFT(TRIM(Paramètres!O18),1)="F",INDEX($F$1085:$F$1137,MATCH(Paramètres!N18,Paramètres!$G$5:$G$57,0)),INDEX($E$1085:$E$1137,MATCH(Paramètres!N18,Paramètres!$G$5:$G$57,0)))+IF(RIGHT(TRIM(Paramètres!O18),3)="Fin",1-$H1098,IF(LEFT(TRIM(Paramètres!O18),1)="F",1,0)))))))</f>
        <v/>
      </c>
      <c r="F1098" s="19">
        <f>IF($A1098="","",E1098+$H1098-1)</f>
        <v/>
      </c>
      <c r="G1098" s="18" t="n"/>
      <c r="H1098" s="18">
        <f>IF($A1098="","",IF(I1098&lt;&gt;"",I1098,Paramètres!B18))</f>
        <v/>
      </c>
      <c r="I1098" s="18" t="n"/>
    </row>
    <row r="1099">
      <c r="A1099" s="18">
        <f>IF(ISNUMBER(Dossiers!$D$24),Dossiers!$A$24&amp;" · "&amp;Dossiers!$B$24,"")</f>
        <v/>
      </c>
      <c r="B1099" s="18">
        <f>IF($A1099="","",Paramètres!G19)</f>
        <v/>
      </c>
      <c r="C1099" s="18">
        <f>IF($A1099="","",IF(Paramètres!H19="","",Paramètres!H19))</f>
        <v/>
      </c>
      <c r="D1099" s="18">
        <f>IF($A1099="","",IF(Paramètres!I19="","",Paramètres!I19))</f>
        <v/>
      </c>
      <c r="E1099" s="19">
        <f>IF($A1099="","",IF(Paramètres!J19&amp;Paramètres!L19&amp;Paramètres!N19="",Dossiers!$D$24,MAX(IF(Paramètres!J19="",0,IF(Paramètres!K19="",NA(),IF(LEFT(TRIM(Paramètres!K19),1)="F",INDEX($F$1085:$F$1137,MATCH(Paramètres!J19,Paramètres!$G$5:$G$57,0)),INDEX($E$1085:$E$1137,MATCH(Paramètres!J19,Paramètres!$G$5:$G$57,0)))+IF(RIGHT(TRIM(Paramètres!K19),3)="Fin",1-$H1099,IF(LEFT(TRIM(Paramètres!K19),1)="F",1,0)))),IF(Paramètres!L19="",0,IF(Paramètres!M19="",NA(),IF(LEFT(TRIM(Paramètres!M19),1)="F",INDEX($F$1085:$F$1137,MATCH(Paramètres!L19,Paramètres!$G$5:$G$57,0)),INDEX($E$1085:$E$1137,MATCH(Paramètres!L19,Paramètres!$G$5:$G$57,0)))+IF(RIGHT(TRIM(Paramètres!M19),3)="Fin",1-$H1099,IF(LEFT(TRIM(Paramètres!M19),1)="F",1,0)))),IF(Paramètres!N19="",0,IF(Paramètres!O19="",NA(),IF(LEFT(TRIM(Paramètres!O19),1)="F",INDEX($F$1085:$F$1137,MATCH(Paramètres!N19,Paramètres!$G$5:$G$57,0)),INDEX($E$1085:$E$1137,MATCH(Paramètres!N19,Paramètres!$G$5:$G$57,0)))+IF(RIGHT(TRIM(Paramètres!O19),3)="Fin",1-$H1099,IF(LEFT(TRIM(Paramètres!O19),1)="F",1,0)))))))</f>
        <v/>
      </c>
      <c r="F1099" s="19">
        <f>IF($A1099="","",E1099+$H1099-1)</f>
        <v/>
      </c>
      <c r="G1099" s="18" t="n"/>
      <c r="H1099" s="18">
        <f>IF($A1099="","",IF(I1099&lt;&gt;"",I1099,Paramètres!B19))</f>
        <v/>
      </c>
      <c r="I1099" s="18" t="n"/>
    </row>
    <row r="1100">
      <c r="A1100" s="18">
        <f>IF(ISNUMBER(Dossiers!$D$24),Dossiers!$A$24&amp;" · "&amp;Dossiers!$B$24,"")</f>
        <v/>
      </c>
      <c r="B1100" s="18">
        <f>IF($A1100="","",Paramètres!G20)</f>
        <v/>
      </c>
      <c r="C1100" s="18">
        <f>IF($A1100="","",IF(Paramètres!H20="","",Paramètres!H20))</f>
        <v/>
      </c>
      <c r="D1100" s="18">
        <f>IF($A1100="","",IF(Paramètres!I20="","",Paramètres!I20))</f>
        <v/>
      </c>
      <c r="E1100" s="19">
        <f>IF($A1100="","",IF(Paramètres!J20&amp;Paramètres!L20&amp;Paramètres!N20="",Dossiers!$D$24,MAX(IF(Paramètres!J20="",0,IF(Paramètres!K20="",NA(),IF(LEFT(TRIM(Paramètres!K20),1)="F",INDEX($F$1085:$F$1137,MATCH(Paramètres!J20,Paramètres!$G$5:$G$57,0)),INDEX($E$1085:$E$1137,MATCH(Paramètres!J20,Paramètres!$G$5:$G$57,0)))+IF(RIGHT(TRIM(Paramètres!K20),3)="Fin",1-$H1100,IF(LEFT(TRIM(Paramètres!K20),1)="F",1,0)))),IF(Paramètres!L20="",0,IF(Paramètres!M20="",NA(),IF(LEFT(TRIM(Paramètres!M20),1)="F",INDEX($F$1085:$F$1137,MATCH(Paramètres!L20,Paramètres!$G$5:$G$57,0)),INDEX($E$1085:$E$1137,MATCH(Paramètres!L20,Paramètres!$G$5:$G$57,0)))+IF(RIGHT(TRIM(Paramètres!M20),3)="Fin",1-$H1100,IF(LEFT(TRIM(Paramètres!M20),1)="F",1,0)))),IF(Paramètres!N20="",0,IF(Paramètres!O20="",NA(),IF(LEFT(TRIM(Paramètres!O20),1)="F",INDEX($F$1085:$F$1137,MATCH(Paramètres!N20,Paramètres!$G$5:$G$57,0)),INDEX($E$1085:$E$1137,MATCH(Paramètres!N20,Paramètres!$G$5:$G$57,0)))+IF(RIGHT(TRIM(Paramètres!O20),3)="Fin",1-$H1100,IF(LEFT(TRIM(Paramètres!O20),1)="F",1,0)))))))</f>
        <v/>
      </c>
      <c r="F1100" s="19">
        <f>IF($A1100="","",E1100+$H1100-1)</f>
        <v/>
      </c>
      <c r="G1100" s="18" t="n"/>
      <c r="H1100" s="18">
        <f>IF($A1100="","",IF(I1100&lt;&gt;"",I1100,Paramètres!B20))</f>
        <v/>
      </c>
      <c r="I1100" s="18" t="n"/>
    </row>
    <row r="1101">
      <c r="A1101" s="18">
        <f>IF(ISNUMBER(Dossiers!$D$24),Dossiers!$A$24&amp;" · "&amp;Dossiers!$B$24,"")</f>
        <v/>
      </c>
      <c r="B1101" s="18">
        <f>IF($A1101="","",Paramètres!G21)</f>
        <v/>
      </c>
      <c r="C1101" s="18">
        <f>IF($A1101="","",IF(Paramètres!H21="","",Paramètres!H21))</f>
        <v/>
      </c>
      <c r="D1101" s="18">
        <f>IF($A1101="","",IF(Paramètres!I21="","",Paramètres!I21))</f>
        <v/>
      </c>
      <c r="E1101" s="19">
        <f>IF($A1101="","",IF(Paramètres!J21&amp;Paramètres!L21&amp;Paramètres!N21="",Dossiers!$D$24,MAX(IF(Paramètres!J21="",0,IF(Paramètres!K21="",NA(),IF(LEFT(TRIM(Paramètres!K21),1)="F",INDEX($F$1085:$F$1137,MATCH(Paramètres!J21,Paramètres!$G$5:$G$57,0)),INDEX($E$1085:$E$1137,MATCH(Paramètres!J21,Paramètres!$G$5:$G$57,0)))+IF(RIGHT(TRIM(Paramètres!K21),3)="Fin",1-$H1101,IF(LEFT(TRIM(Paramètres!K21),1)="F",1,0)))),IF(Paramètres!L21="",0,IF(Paramètres!M21="",NA(),IF(LEFT(TRIM(Paramètres!M21),1)="F",INDEX($F$1085:$F$1137,MATCH(Paramètres!L21,Paramètres!$G$5:$G$57,0)),INDEX($E$1085:$E$1137,MATCH(Paramètres!L21,Paramètres!$G$5:$G$57,0)))+IF(RIGHT(TRIM(Paramètres!M21),3)="Fin",1-$H1101,IF(LEFT(TRIM(Paramètres!M21),1)="F",1,0)))),IF(Paramètres!N21="",0,IF(Paramètres!O21="",NA(),IF(LEFT(TRIM(Paramètres!O21),1)="F",INDEX($F$1085:$F$1137,MATCH(Paramètres!N21,Paramètres!$G$5:$G$57,0)),INDEX($E$1085:$E$1137,MATCH(Paramètres!N21,Paramètres!$G$5:$G$57,0)))+IF(RIGHT(TRIM(Paramètres!O21),3)="Fin",1-$H1101,IF(LEFT(TRIM(Paramètres!O21),1)="F",1,0)))))))</f>
        <v/>
      </c>
      <c r="F1101" s="19">
        <f>IF($A1101="","",E1101+$H1101-1)</f>
        <v/>
      </c>
      <c r="G1101" s="18" t="n"/>
      <c r="H1101" s="18">
        <f>IF($A1101="","",IF(I1101&lt;&gt;"",I1101,Paramètres!B21))</f>
        <v/>
      </c>
      <c r="I1101" s="18" t="n"/>
    </row>
    <row r="1102">
      <c r="A1102" s="18">
        <f>IF(ISNUMBER(Dossiers!$D$24),Dossiers!$A$24&amp;" · "&amp;Dossiers!$B$24,"")</f>
        <v/>
      </c>
      <c r="B1102" s="18">
        <f>IF($A1102="","",Paramètres!G22)</f>
        <v/>
      </c>
      <c r="C1102" s="18">
        <f>IF($A1102="","",IF(Paramètres!H22="","",Paramètres!H22))</f>
        <v/>
      </c>
      <c r="D1102" s="18">
        <f>IF($A1102="","",IF(Paramètres!I22="","",Paramètres!I22))</f>
        <v/>
      </c>
      <c r="E1102" s="19">
        <f>IF($A1102="","",IF(Paramètres!J22&amp;Paramètres!L22&amp;Paramètres!N22="",Dossiers!$D$24,MAX(IF(Paramètres!J22="",0,IF(Paramètres!K22="",NA(),IF(LEFT(TRIM(Paramètres!K22),1)="F",INDEX($F$1085:$F$1137,MATCH(Paramètres!J22,Paramètres!$G$5:$G$57,0)),INDEX($E$1085:$E$1137,MATCH(Paramètres!J22,Paramètres!$G$5:$G$57,0)))+IF(RIGHT(TRIM(Paramètres!K22),3)="Fin",1-$H1102,IF(LEFT(TRIM(Paramètres!K22),1)="F",1,0)))),IF(Paramètres!L22="",0,IF(Paramètres!M22="",NA(),IF(LEFT(TRIM(Paramètres!M22),1)="F",INDEX($F$1085:$F$1137,MATCH(Paramètres!L22,Paramètres!$G$5:$G$57,0)),INDEX($E$1085:$E$1137,MATCH(Paramètres!L22,Paramètres!$G$5:$G$57,0)))+IF(RIGHT(TRIM(Paramètres!M22),3)="Fin",1-$H1102,IF(LEFT(TRIM(Paramètres!M22),1)="F",1,0)))),IF(Paramètres!N22="",0,IF(Paramètres!O22="",NA(),IF(LEFT(TRIM(Paramètres!O22),1)="F",INDEX($F$1085:$F$1137,MATCH(Paramètres!N22,Paramètres!$G$5:$G$57,0)),INDEX($E$1085:$E$1137,MATCH(Paramètres!N22,Paramètres!$G$5:$G$57,0)))+IF(RIGHT(TRIM(Paramètres!O22),3)="Fin",1-$H1102,IF(LEFT(TRIM(Paramètres!O22),1)="F",1,0)))))))</f>
        <v/>
      </c>
      <c r="F1102" s="19">
        <f>IF($A1102="","",E1102+$H1102-1)</f>
        <v/>
      </c>
      <c r="G1102" s="18" t="n"/>
      <c r="H1102" s="18">
        <f>IF($A1102="","",IF(I1102&lt;&gt;"",I1102,Paramètres!B22))</f>
        <v/>
      </c>
      <c r="I1102" s="18" t="n"/>
    </row>
    <row r="1103">
      <c r="A1103" s="18">
        <f>IF(ISNUMBER(Dossiers!$D$24),Dossiers!$A$24&amp;" · "&amp;Dossiers!$B$24,"")</f>
        <v/>
      </c>
      <c r="B1103" s="18">
        <f>IF($A1103="","",Paramètres!G23)</f>
        <v/>
      </c>
      <c r="C1103" s="18">
        <f>IF($A1103="","",IF(Paramètres!H23="","",Paramètres!H23))</f>
        <v/>
      </c>
      <c r="D1103" s="18">
        <f>IF($A1103="","",IF(Paramètres!I23="","",Paramètres!I23))</f>
        <v/>
      </c>
      <c r="E1103" s="19">
        <f>IF($A1103="","",IF(Paramètres!J23&amp;Paramètres!L23&amp;Paramètres!N23="",Dossiers!$D$24,MAX(IF(Paramètres!J23="",0,IF(Paramètres!K23="",NA(),IF(LEFT(TRIM(Paramètres!K23),1)="F",INDEX($F$1085:$F$1137,MATCH(Paramètres!J23,Paramètres!$G$5:$G$57,0)),INDEX($E$1085:$E$1137,MATCH(Paramètres!J23,Paramètres!$G$5:$G$57,0)))+IF(RIGHT(TRIM(Paramètres!K23),3)="Fin",1-$H1103,IF(LEFT(TRIM(Paramètres!K23),1)="F",1,0)))),IF(Paramètres!L23="",0,IF(Paramètres!M23="",NA(),IF(LEFT(TRIM(Paramètres!M23),1)="F",INDEX($F$1085:$F$1137,MATCH(Paramètres!L23,Paramètres!$G$5:$G$57,0)),INDEX($E$1085:$E$1137,MATCH(Paramètres!L23,Paramètres!$G$5:$G$57,0)))+IF(RIGHT(TRIM(Paramètres!M23),3)="Fin",1-$H1103,IF(LEFT(TRIM(Paramètres!M23),1)="F",1,0)))),IF(Paramètres!N23="",0,IF(Paramètres!O23="",NA(),IF(LEFT(TRIM(Paramètres!O23),1)="F",INDEX($F$1085:$F$1137,MATCH(Paramètres!N23,Paramètres!$G$5:$G$57,0)),INDEX($E$1085:$E$1137,MATCH(Paramètres!N23,Paramètres!$G$5:$G$57,0)))+IF(RIGHT(TRIM(Paramètres!O23),3)="Fin",1-$H1103,IF(LEFT(TRIM(Paramètres!O23),1)="F",1,0)))))))</f>
        <v/>
      </c>
      <c r="F1103" s="19">
        <f>IF($A1103="","",E1103+$H1103-1)</f>
        <v/>
      </c>
      <c r="G1103" s="18" t="n"/>
      <c r="H1103" s="18">
        <f>IF($A1103="","",IF(I1103&lt;&gt;"",I1103,Paramètres!B23))</f>
        <v/>
      </c>
      <c r="I1103" s="18" t="n"/>
    </row>
    <row r="1104">
      <c r="A1104" s="18">
        <f>IF(ISNUMBER(Dossiers!$D$24),Dossiers!$A$24&amp;" · "&amp;Dossiers!$B$24,"")</f>
        <v/>
      </c>
      <c r="B1104" s="18">
        <f>IF($A1104="","",Paramètres!G24)</f>
        <v/>
      </c>
      <c r="C1104" s="18">
        <f>IF($A1104="","",IF(Paramètres!H24="","",Paramètres!H24))</f>
        <v/>
      </c>
      <c r="D1104" s="18">
        <f>IF($A1104="","",IF(Paramètres!I24="","",Paramètres!I24))</f>
        <v/>
      </c>
      <c r="E1104" s="19">
        <f>IF($A1104="","",IF(Paramètres!J24&amp;Paramètres!L24&amp;Paramètres!N24="",Dossiers!$D$24,MAX(IF(Paramètres!J24="",0,IF(Paramètres!K24="",NA(),IF(LEFT(TRIM(Paramètres!K24),1)="F",INDEX($F$1085:$F$1137,MATCH(Paramètres!J24,Paramètres!$G$5:$G$57,0)),INDEX($E$1085:$E$1137,MATCH(Paramètres!J24,Paramètres!$G$5:$G$57,0)))+IF(RIGHT(TRIM(Paramètres!K24),3)="Fin",1-$H1104,IF(LEFT(TRIM(Paramètres!K24),1)="F",1,0)))),IF(Paramètres!L24="",0,IF(Paramètres!M24="",NA(),IF(LEFT(TRIM(Paramètres!M24),1)="F",INDEX($F$1085:$F$1137,MATCH(Paramètres!L24,Paramètres!$G$5:$G$57,0)),INDEX($E$1085:$E$1137,MATCH(Paramètres!L24,Paramètres!$G$5:$G$57,0)))+IF(RIGHT(TRIM(Paramètres!M24),3)="Fin",1-$H1104,IF(LEFT(TRIM(Paramètres!M24),1)="F",1,0)))),IF(Paramètres!N24="",0,IF(Paramètres!O24="",NA(),IF(LEFT(TRIM(Paramètres!O24),1)="F",INDEX($F$1085:$F$1137,MATCH(Paramètres!N24,Paramètres!$G$5:$G$57,0)),INDEX($E$1085:$E$1137,MATCH(Paramètres!N24,Paramètres!$G$5:$G$57,0)))+IF(RIGHT(TRIM(Paramètres!O24),3)="Fin",1-$H1104,IF(LEFT(TRIM(Paramètres!O24),1)="F",1,0)))))))</f>
        <v/>
      </c>
      <c r="F1104" s="19">
        <f>IF($A1104="","",E1104+$H1104-1)</f>
        <v/>
      </c>
      <c r="G1104" s="18" t="n"/>
      <c r="H1104" s="18">
        <f>IF($A1104="","",IF(I1104&lt;&gt;"",I1104,Paramètres!B24))</f>
        <v/>
      </c>
      <c r="I1104" s="18" t="n"/>
    </row>
    <row r="1105">
      <c r="A1105" s="18">
        <f>IF(ISNUMBER(Dossiers!$D$24),Dossiers!$A$24&amp;" · "&amp;Dossiers!$B$24,"")</f>
        <v/>
      </c>
      <c r="B1105" s="18">
        <f>IF($A1105="","",Paramètres!G25)</f>
        <v/>
      </c>
      <c r="C1105" s="18">
        <f>IF($A1105="","",IF(Paramètres!H25="","",Paramètres!H25))</f>
        <v/>
      </c>
      <c r="D1105" s="18">
        <f>IF($A1105="","",IF(Paramètres!I25="","",Paramètres!I25))</f>
        <v/>
      </c>
      <c r="E1105" s="19">
        <f>IF($A1105="","",IF(Paramètres!J25&amp;Paramètres!L25&amp;Paramètres!N25="",Dossiers!$D$24,MAX(IF(Paramètres!J25="",0,IF(Paramètres!K25="",NA(),IF(LEFT(TRIM(Paramètres!K25),1)="F",INDEX($F$1085:$F$1137,MATCH(Paramètres!J25,Paramètres!$G$5:$G$57,0)),INDEX($E$1085:$E$1137,MATCH(Paramètres!J25,Paramètres!$G$5:$G$57,0)))+IF(RIGHT(TRIM(Paramètres!K25),3)="Fin",1-$H1105,IF(LEFT(TRIM(Paramètres!K25),1)="F",1,0)))),IF(Paramètres!L25="",0,IF(Paramètres!M25="",NA(),IF(LEFT(TRIM(Paramètres!M25),1)="F",INDEX($F$1085:$F$1137,MATCH(Paramètres!L25,Paramètres!$G$5:$G$57,0)),INDEX($E$1085:$E$1137,MATCH(Paramètres!L25,Paramètres!$G$5:$G$57,0)))+IF(RIGHT(TRIM(Paramètres!M25),3)="Fin",1-$H1105,IF(LEFT(TRIM(Paramètres!M25),1)="F",1,0)))),IF(Paramètres!N25="",0,IF(Paramètres!O25="",NA(),IF(LEFT(TRIM(Paramètres!O25),1)="F",INDEX($F$1085:$F$1137,MATCH(Paramètres!N25,Paramètres!$G$5:$G$57,0)),INDEX($E$1085:$E$1137,MATCH(Paramètres!N25,Paramètres!$G$5:$G$57,0)))+IF(RIGHT(TRIM(Paramètres!O25),3)="Fin",1-$H1105,IF(LEFT(TRIM(Paramètres!O25),1)="F",1,0)))))))</f>
        <v/>
      </c>
      <c r="F1105" s="19">
        <f>IF($A1105="","",E1105+$H1105-1)</f>
        <v/>
      </c>
      <c r="G1105" s="18" t="n"/>
      <c r="H1105" s="18">
        <f>IF($A1105="","",IF(I1105&lt;&gt;"",I1105,Paramètres!B25))</f>
        <v/>
      </c>
      <c r="I1105" s="18" t="n"/>
    </row>
    <row r="1106">
      <c r="A1106" s="18">
        <f>IF(ISNUMBER(Dossiers!$D$24),Dossiers!$A$24&amp;" · "&amp;Dossiers!$B$24,"")</f>
        <v/>
      </c>
      <c r="B1106" s="18">
        <f>IF($A1106="","",Paramètres!G26)</f>
        <v/>
      </c>
      <c r="C1106" s="18">
        <f>IF($A1106="","",IF(Paramètres!H26="","",Paramètres!H26))</f>
        <v/>
      </c>
      <c r="D1106" s="18">
        <f>IF($A1106="","",IF(Paramètres!I26="","",Paramètres!I26))</f>
        <v/>
      </c>
      <c r="E1106" s="19">
        <f>IF($A1106="","",IF(Paramètres!J26&amp;Paramètres!L26&amp;Paramètres!N26="",Dossiers!$D$24,MAX(IF(Paramètres!J26="",0,IF(Paramètres!K26="",NA(),IF(LEFT(TRIM(Paramètres!K26),1)="F",INDEX($F$1085:$F$1137,MATCH(Paramètres!J26,Paramètres!$G$5:$G$57,0)),INDEX($E$1085:$E$1137,MATCH(Paramètres!J26,Paramètres!$G$5:$G$57,0)))+IF(RIGHT(TRIM(Paramètres!K26),3)="Fin",1-$H1106,IF(LEFT(TRIM(Paramètres!K26),1)="F",1,0)))),IF(Paramètres!L26="",0,IF(Paramètres!M26="",NA(),IF(LEFT(TRIM(Paramètres!M26),1)="F",INDEX($F$1085:$F$1137,MATCH(Paramètres!L26,Paramètres!$G$5:$G$57,0)),INDEX($E$1085:$E$1137,MATCH(Paramètres!L26,Paramètres!$G$5:$G$57,0)))+IF(RIGHT(TRIM(Paramètres!M26),3)="Fin",1-$H1106,IF(LEFT(TRIM(Paramètres!M26),1)="F",1,0)))),IF(Paramètres!N26="",0,IF(Paramètres!O26="",NA(),IF(LEFT(TRIM(Paramètres!O26),1)="F",INDEX($F$1085:$F$1137,MATCH(Paramètres!N26,Paramètres!$G$5:$G$57,0)),INDEX($E$1085:$E$1137,MATCH(Paramètres!N26,Paramètres!$G$5:$G$57,0)))+IF(RIGHT(TRIM(Paramètres!O26),3)="Fin",1-$H1106,IF(LEFT(TRIM(Paramètres!O26),1)="F",1,0)))))))</f>
        <v/>
      </c>
      <c r="F1106" s="19">
        <f>IF($A1106="","",E1106+$H1106-1)</f>
        <v/>
      </c>
      <c r="G1106" s="18" t="n"/>
      <c r="H1106" s="18">
        <f>IF($A1106="","",IF(I1106&lt;&gt;"",I1106,Paramètres!B26))</f>
        <v/>
      </c>
      <c r="I1106" s="18" t="n"/>
    </row>
    <row r="1107">
      <c r="A1107" s="18">
        <f>IF(ISNUMBER(Dossiers!$D$24),Dossiers!$A$24&amp;" · "&amp;Dossiers!$B$24,"")</f>
        <v/>
      </c>
      <c r="B1107" s="18">
        <f>IF($A1107="","",Paramètres!G27)</f>
        <v/>
      </c>
      <c r="C1107" s="18">
        <f>IF($A1107="","",IF(Paramètres!H27="","",Paramètres!H27))</f>
        <v/>
      </c>
      <c r="D1107" s="18">
        <f>IF($A1107="","",IF(Paramètres!I27="","",Paramètres!I27))</f>
        <v/>
      </c>
      <c r="E1107" s="19">
        <f>IF($A1107="","",IF(Paramètres!J27&amp;Paramètres!L27&amp;Paramètres!N27="",Dossiers!$D$24,MAX(IF(Paramètres!J27="",0,IF(Paramètres!K27="",NA(),IF(LEFT(TRIM(Paramètres!K27),1)="F",INDEX($F$1085:$F$1137,MATCH(Paramètres!J27,Paramètres!$G$5:$G$57,0)),INDEX($E$1085:$E$1137,MATCH(Paramètres!J27,Paramètres!$G$5:$G$57,0)))+IF(RIGHT(TRIM(Paramètres!K27),3)="Fin",1-$H1107,IF(LEFT(TRIM(Paramètres!K27),1)="F",1,0)))),IF(Paramètres!L27="",0,IF(Paramètres!M27="",NA(),IF(LEFT(TRIM(Paramètres!M27),1)="F",INDEX($F$1085:$F$1137,MATCH(Paramètres!L27,Paramètres!$G$5:$G$57,0)),INDEX($E$1085:$E$1137,MATCH(Paramètres!L27,Paramètres!$G$5:$G$57,0)))+IF(RIGHT(TRIM(Paramètres!M27),3)="Fin",1-$H1107,IF(LEFT(TRIM(Paramètres!M27),1)="F",1,0)))),IF(Paramètres!N27="",0,IF(Paramètres!O27="",NA(),IF(LEFT(TRIM(Paramètres!O27),1)="F",INDEX($F$1085:$F$1137,MATCH(Paramètres!N27,Paramètres!$G$5:$G$57,0)),INDEX($E$1085:$E$1137,MATCH(Paramètres!N27,Paramètres!$G$5:$G$57,0)))+IF(RIGHT(TRIM(Paramètres!O27),3)="Fin",1-$H1107,IF(LEFT(TRIM(Paramètres!O27),1)="F",1,0)))))))</f>
        <v/>
      </c>
      <c r="F1107" s="19">
        <f>IF($A1107="","",E1107+$H1107-1)</f>
        <v/>
      </c>
      <c r="G1107" s="18" t="n"/>
      <c r="H1107" s="18">
        <f>IF($A1107="","",IF(I1107&lt;&gt;"",I1107,Paramètres!B27))</f>
        <v/>
      </c>
      <c r="I1107" s="18" t="n"/>
    </row>
    <row r="1108">
      <c r="A1108" s="18">
        <f>IF(ISNUMBER(Dossiers!$D$24),Dossiers!$A$24&amp;" · "&amp;Dossiers!$B$24,"")</f>
        <v/>
      </c>
      <c r="B1108" s="18">
        <f>IF($A1108="","",Paramètres!G28)</f>
        <v/>
      </c>
      <c r="C1108" s="18">
        <f>IF($A1108="","",IF(Paramètres!H28="","",Paramètres!H28))</f>
        <v/>
      </c>
      <c r="D1108" s="18">
        <f>IF($A1108="","",IF(Paramètres!I28="","",Paramètres!I28))</f>
        <v/>
      </c>
      <c r="E1108" s="19">
        <f>IF($A1108="","",IF(Paramètres!J28&amp;Paramètres!L28&amp;Paramètres!N28="",Dossiers!$D$24,MAX(IF(Paramètres!J28="",0,IF(Paramètres!K28="",NA(),IF(LEFT(TRIM(Paramètres!K28),1)="F",INDEX($F$1085:$F$1137,MATCH(Paramètres!J28,Paramètres!$G$5:$G$57,0)),INDEX($E$1085:$E$1137,MATCH(Paramètres!J28,Paramètres!$G$5:$G$57,0)))+IF(RIGHT(TRIM(Paramètres!K28),3)="Fin",1-$H1108,IF(LEFT(TRIM(Paramètres!K28),1)="F",1,0)))),IF(Paramètres!L28="",0,IF(Paramètres!M28="",NA(),IF(LEFT(TRIM(Paramètres!M28),1)="F",INDEX($F$1085:$F$1137,MATCH(Paramètres!L28,Paramètres!$G$5:$G$57,0)),INDEX($E$1085:$E$1137,MATCH(Paramètres!L28,Paramètres!$G$5:$G$57,0)))+IF(RIGHT(TRIM(Paramètres!M28),3)="Fin",1-$H1108,IF(LEFT(TRIM(Paramètres!M28),1)="F",1,0)))),IF(Paramètres!N28="",0,IF(Paramètres!O28="",NA(),IF(LEFT(TRIM(Paramètres!O28),1)="F",INDEX($F$1085:$F$1137,MATCH(Paramètres!N28,Paramètres!$G$5:$G$57,0)),INDEX($E$1085:$E$1137,MATCH(Paramètres!N28,Paramètres!$G$5:$G$57,0)))+IF(RIGHT(TRIM(Paramètres!O28),3)="Fin",1-$H1108,IF(LEFT(TRIM(Paramètres!O28),1)="F",1,0)))))))</f>
        <v/>
      </c>
      <c r="F1108" s="19">
        <f>IF($A1108="","",E1108+$H1108-1)</f>
        <v/>
      </c>
      <c r="G1108" s="18" t="n"/>
      <c r="H1108" s="18">
        <f>IF($A1108="","",IF(I1108&lt;&gt;"",I1108,Paramètres!B28))</f>
        <v/>
      </c>
      <c r="I1108" s="18" t="n"/>
    </row>
    <row r="1109">
      <c r="A1109" s="18">
        <f>IF(ISNUMBER(Dossiers!$D$24),Dossiers!$A$24&amp;" · "&amp;Dossiers!$B$24,"")</f>
        <v/>
      </c>
      <c r="B1109" s="18">
        <f>IF($A1109="","",Paramètres!G29)</f>
        <v/>
      </c>
      <c r="C1109" s="18">
        <f>IF($A1109="","",IF(Paramètres!H29="","",Paramètres!H29))</f>
        <v/>
      </c>
      <c r="D1109" s="18">
        <f>IF($A1109="","",IF(Paramètres!I29="","",Paramètres!I29))</f>
        <v/>
      </c>
      <c r="E1109" s="19">
        <f>IF($A1109="","",IF(Paramètres!J29&amp;Paramètres!L29&amp;Paramètres!N29="",Dossiers!$D$24,MAX(IF(Paramètres!J29="",0,IF(Paramètres!K29="",NA(),IF(LEFT(TRIM(Paramètres!K29),1)="F",INDEX($F$1085:$F$1137,MATCH(Paramètres!J29,Paramètres!$G$5:$G$57,0)),INDEX($E$1085:$E$1137,MATCH(Paramètres!J29,Paramètres!$G$5:$G$57,0)))+IF(RIGHT(TRIM(Paramètres!K29),3)="Fin",1-$H1109,IF(LEFT(TRIM(Paramètres!K29),1)="F",1,0)))),IF(Paramètres!L29="",0,IF(Paramètres!M29="",NA(),IF(LEFT(TRIM(Paramètres!M29),1)="F",INDEX($F$1085:$F$1137,MATCH(Paramètres!L29,Paramètres!$G$5:$G$57,0)),INDEX($E$1085:$E$1137,MATCH(Paramètres!L29,Paramètres!$G$5:$G$57,0)))+IF(RIGHT(TRIM(Paramètres!M29),3)="Fin",1-$H1109,IF(LEFT(TRIM(Paramètres!M29),1)="F",1,0)))),IF(Paramètres!N29="",0,IF(Paramètres!O29="",NA(),IF(LEFT(TRIM(Paramètres!O29),1)="F",INDEX($F$1085:$F$1137,MATCH(Paramètres!N29,Paramètres!$G$5:$G$57,0)),INDEX($E$1085:$E$1137,MATCH(Paramètres!N29,Paramètres!$G$5:$G$57,0)))+IF(RIGHT(TRIM(Paramètres!O29),3)="Fin",1-$H1109,IF(LEFT(TRIM(Paramètres!O29),1)="F",1,0)))))))</f>
        <v/>
      </c>
      <c r="F1109" s="19">
        <f>IF($A1109="","",E1109+$H1109-1)</f>
        <v/>
      </c>
      <c r="G1109" s="18" t="n"/>
      <c r="H1109" s="18">
        <f>IF($A1109="","",IF(I1109&lt;&gt;"",I1109,Paramètres!B29))</f>
        <v/>
      </c>
      <c r="I1109" s="18" t="n"/>
    </row>
    <row r="1110">
      <c r="A1110" s="18">
        <f>IF(ISNUMBER(Dossiers!$D$24),Dossiers!$A$24&amp;" · "&amp;Dossiers!$B$24,"")</f>
        <v/>
      </c>
      <c r="B1110" s="18">
        <f>IF($A1110="","",Paramètres!G30)</f>
        <v/>
      </c>
      <c r="C1110" s="18">
        <f>IF($A1110="","",IF(Paramètres!H30="","",Paramètres!H30))</f>
        <v/>
      </c>
      <c r="D1110" s="18">
        <f>IF($A1110="","",IF(Paramètres!I30="","",Paramètres!I30))</f>
        <v/>
      </c>
      <c r="E1110" s="19">
        <f>IF($A1110="","",IF(Paramètres!J30&amp;Paramètres!L30&amp;Paramètres!N30="",Dossiers!$D$24,MAX(IF(Paramètres!J30="",0,IF(Paramètres!K30="",NA(),IF(LEFT(TRIM(Paramètres!K30),1)="F",INDEX($F$1085:$F$1137,MATCH(Paramètres!J30,Paramètres!$G$5:$G$57,0)),INDEX($E$1085:$E$1137,MATCH(Paramètres!J30,Paramètres!$G$5:$G$57,0)))+IF(RIGHT(TRIM(Paramètres!K30),3)="Fin",1-$H1110,IF(LEFT(TRIM(Paramètres!K30),1)="F",1,0)))),IF(Paramètres!L30="",0,IF(Paramètres!M30="",NA(),IF(LEFT(TRIM(Paramètres!M30),1)="F",INDEX($F$1085:$F$1137,MATCH(Paramètres!L30,Paramètres!$G$5:$G$57,0)),INDEX($E$1085:$E$1137,MATCH(Paramètres!L30,Paramètres!$G$5:$G$57,0)))+IF(RIGHT(TRIM(Paramètres!M30),3)="Fin",1-$H1110,IF(LEFT(TRIM(Paramètres!M30),1)="F",1,0)))),IF(Paramètres!N30="",0,IF(Paramètres!O30="",NA(),IF(LEFT(TRIM(Paramètres!O30),1)="F",INDEX($F$1085:$F$1137,MATCH(Paramètres!N30,Paramètres!$G$5:$G$57,0)),INDEX($E$1085:$E$1137,MATCH(Paramètres!N30,Paramètres!$G$5:$G$57,0)))+IF(RIGHT(TRIM(Paramètres!O30),3)="Fin",1-$H1110,IF(LEFT(TRIM(Paramètres!O30),1)="F",1,0)))))))</f>
        <v/>
      </c>
      <c r="F1110" s="19">
        <f>IF($A1110="","",E1110+$H1110-1)</f>
        <v/>
      </c>
      <c r="G1110" s="18" t="n"/>
      <c r="H1110" s="18">
        <f>IF($A1110="","",IF(I1110&lt;&gt;"",I1110,Paramètres!B30))</f>
        <v/>
      </c>
      <c r="I1110" s="18" t="n"/>
    </row>
    <row r="1111">
      <c r="A1111" s="18">
        <f>IF(ISNUMBER(Dossiers!$D$24),Dossiers!$A$24&amp;" · "&amp;Dossiers!$B$24,"")</f>
        <v/>
      </c>
      <c r="B1111" s="18">
        <f>IF($A1111="","",Paramètres!G31)</f>
        <v/>
      </c>
      <c r="C1111" s="20">
        <f>IF($A1111="","",IF(Dossiers!$F$24="","",Dossiers!$F$24))</f>
        <v/>
      </c>
      <c r="D1111" s="18">
        <f>IF($A1111="","",IF(Paramètres!I31="","",Paramètres!I31))</f>
        <v/>
      </c>
      <c r="E1111" s="19">
        <f>IF($A1111="","",IF(Paramètres!J31&amp;Paramètres!L31&amp;Paramètres!N31="",Dossiers!$D$24,MAX(IF(Paramètres!J31="",0,IF(Paramètres!K31="",NA(),IF(LEFT(TRIM(Paramètres!K31),1)="F",INDEX($F$1085:$F$1137,MATCH(Paramètres!J31,Paramètres!$G$5:$G$57,0)),INDEX($E$1085:$E$1137,MATCH(Paramètres!J31,Paramètres!$G$5:$G$57,0)))+IF(RIGHT(TRIM(Paramètres!K31),3)="Fin",1-$H1111,IF(LEFT(TRIM(Paramètres!K31),1)="F",1,0)))),IF(Paramètres!L31="",0,IF(Paramètres!M31="",NA(),IF(LEFT(TRIM(Paramètres!M31),1)="F",INDEX($F$1085:$F$1137,MATCH(Paramètres!L31,Paramètres!$G$5:$G$57,0)),INDEX($E$1085:$E$1137,MATCH(Paramètres!L31,Paramètres!$G$5:$G$57,0)))+IF(RIGHT(TRIM(Paramètres!M31),3)="Fin",1-$H1111,IF(LEFT(TRIM(Paramètres!M31),1)="F",1,0)))),IF(Paramètres!N31="",0,IF(Paramètres!O31="",NA(),IF(LEFT(TRIM(Paramètres!O31),1)="F",INDEX($F$1085:$F$1137,MATCH(Paramètres!N31,Paramètres!$G$5:$G$57,0)),INDEX($E$1085:$E$1137,MATCH(Paramètres!N31,Paramètres!$G$5:$G$57,0)))+IF(RIGHT(TRIM(Paramètres!O31),3)="Fin",1-$H1111,IF(LEFT(TRIM(Paramètres!O31),1)="F",1,0)))))))</f>
        <v/>
      </c>
      <c r="F1111" s="19">
        <f>IF($A1111="","",E1111+$H1111-1)</f>
        <v/>
      </c>
      <c r="G1111" s="18" t="n"/>
      <c r="H1111" s="18">
        <f>IF($A1111="","",IF(I1111&lt;&gt;"",I1111,Paramètres!B31))</f>
        <v/>
      </c>
      <c r="I1111" s="18" t="n"/>
    </row>
    <row r="1112">
      <c r="A1112" s="18">
        <f>IF(ISNUMBER(Dossiers!$D$24),Dossiers!$A$24&amp;" · "&amp;Dossiers!$B$24,"")</f>
        <v/>
      </c>
      <c r="B1112" s="18">
        <f>IF($A1112="","",Paramètres!G32)</f>
        <v/>
      </c>
      <c r="C1112" s="18">
        <f>IF($A1112="","",IF(Paramètres!H32="","",Paramètres!H32))</f>
        <v/>
      </c>
      <c r="D1112" s="18">
        <f>IF($A1112="","",IF(Paramètres!I32="","",Paramètres!I32))</f>
        <v/>
      </c>
      <c r="E1112" s="19">
        <f>IF($A1112="","",MIN(E1113:E1116))</f>
        <v/>
      </c>
      <c r="F1112" s="19">
        <f>IF($A1112="","",MAX(F1113:F1116))</f>
        <v/>
      </c>
      <c r="G1112" s="18" t="n"/>
      <c r="H1112" s="18">
        <f>IF($A1112="","",F1112-E1112+1)</f>
        <v/>
      </c>
      <c r="I1112" s="18" t="n"/>
    </row>
    <row r="1113">
      <c r="A1113" s="18">
        <f>IF(ISNUMBER(Dossiers!$D$24),Dossiers!$A$24&amp;" · "&amp;Dossiers!$B$24,"")</f>
        <v/>
      </c>
      <c r="B1113" s="18">
        <f>IF($A1113="","",Paramètres!G33)</f>
        <v/>
      </c>
      <c r="C1113" s="18">
        <f>IF($A1113="","",IF(Paramètres!H33="","",Paramètres!H33))</f>
        <v/>
      </c>
      <c r="D1113" s="18">
        <f>IF($A1113="","",IF(Paramètres!I33="","",Paramètres!I33))</f>
        <v/>
      </c>
      <c r="E1113" s="19">
        <f>IF($A1113="","",IF(Paramètres!J33&amp;Paramètres!L33&amp;Paramètres!N33="",Dossiers!$D$24,MAX(IF(Paramètres!J33="",0,IF(Paramètres!K33="",NA(),IF(LEFT(TRIM(Paramètres!K33),1)="F",INDEX($F$1085:$F$1137,MATCH(Paramètres!J33,Paramètres!$G$5:$G$57,0)),INDEX($E$1085:$E$1137,MATCH(Paramètres!J33,Paramètres!$G$5:$G$57,0)))+IF(RIGHT(TRIM(Paramètres!K33),3)="Fin",1-$H1113,IF(LEFT(TRIM(Paramètres!K33),1)="F",1,0)))),IF(Paramètres!L33="",0,IF(Paramètres!M33="",NA(),IF(LEFT(TRIM(Paramètres!M33),1)="F",INDEX($F$1085:$F$1137,MATCH(Paramètres!L33,Paramètres!$G$5:$G$57,0)),INDEX($E$1085:$E$1137,MATCH(Paramètres!L33,Paramètres!$G$5:$G$57,0)))+IF(RIGHT(TRIM(Paramètres!M33),3)="Fin",1-$H1113,IF(LEFT(TRIM(Paramètres!M33),1)="F",1,0)))),IF(Paramètres!N33="",0,IF(Paramètres!O33="",NA(),IF(LEFT(TRIM(Paramètres!O33),1)="F",INDEX($F$1085:$F$1137,MATCH(Paramètres!N33,Paramètres!$G$5:$G$57,0)),INDEX($E$1085:$E$1137,MATCH(Paramètres!N33,Paramètres!$G$5:$G$57,0)))+IF(RIGHT(TRIM(Paramètres!O33),3)="Fin",1-$H1113,IF(LEFT(TRIM(Paramètres!O33),1)="F",1,0)))))))</f>
        <v/>
      </c>
      <c r="F1113" s="19">
        <f>IF($A1113="","",E1113+$H1113-1)</f>
        <v/>
      </c>
      <c r="G1113" s="18" t="n"/>
      <c r="H1113" s="18">
        <f>IF($A1113="","",IF(I1113&lt;&gt;"",I1113,Paramètres!B33))</f>
        <v/>
      </c>
      <c r="I1113" s="18" t="n"/>
    </row>
    <row r="1114">
      <c r="A1114" s="18">
        <f>IF(ISNUMBER(Dossiers!$D$24),Dossiers!$A$24&amp;" · "&amp;Dossiers!$B$24,"")</f>
        <v/>
      </c>
      <c r="B1114" s="18">
        <f>IF($A1114="","",Paramètres!G34)</f>
        <v/>
      </c>
      <c r="C1114" s="18">
        <f>IF($A1114="","",IF(Paramètres!H34="","",Paramètres!H34))</f>
        <v/>
      </c>
      <c r="D1114" s="18">
        <f>IF($A1114="","",IF(Paramètres!I34="","",Paramètres!I34))</f>
        <v/>
      </c>
      <c r="E1114" s="19">
        <f>IF($A1114="","",IF(Paramètres!J34&amp;Paramètres!L34&amp;Paramètres!N34="",Dossiers!$D$24,MAX(IF(Paramètres!J34="",0,IF(Paramètres!K34="",NA(),IF(LEFT(TRIM(Paramètres!K34),1)="F",INDEX($F$1085:$F$1137,MATCH(Paramètres!J34,Paramètres!$G$5:$G$57,0)),INDEX($E$1085:$E$1137,MATCH(Paramètres!J34,Paramètres!$G$5:$G$57,0)))+IF(RIGHT(TRIM(Paramètres!K34),3)="Fin",1-$H1114,IF(LEFT(TRIM(Paramètres!K34),1)="F",1,0)))),IF(Paramètres!L34="",0,IF(Paramètres!M34="",NA(),IF(LEFT(TRIM(Paramètres!M34),1)="F",INDEX($F$1085:$F$1137,MATCH(Paramètres!L34,Paramètres!$G$5:$G$57,0)),INDEX($E$1085:$E$1137,MATCH(Paramètres!L34,Paramètres!$G$5:$G$57,0)))+IF(RIGHT(TRIM(Paramètres!M34),3)="Fin",1-$H1114,IF(LEFT(TRIM(Paramètres!M34),1)="F",1,0)))),IF(Paramètres!N34="",0,IF(Paramètres!O34="",NA(),IF(LEFT(TRIM(Paramètres!O34),1)="F",INDEX($F$1085:$F$1137,MATCH(Paramètres!N34,Paramètres!$G$5:$G$57,0)),INDEX($E$1085:$E$1137,MATCH(Paramètres!N34,Paramètres!$G$5:$G$57,0)))+IF(RIGHT(TRIM(Paramètres!O34),3)="Fin",1-$H1114,IF(LEFT(TRIM(Paramètres!O34),1)="F",1,0)))))))</f>
        <v/>
      </c>
      <c r="F1114" s="19">
        <f>IF($A1114="","",E1114+$H1114-1)</f>
        <v/>
      </c>
      <c r="G1114" s="18" t="n"/>
      <c r="H1114" s="18">
        <f>IF($A1114="","",IF(I1114&lt;&gt;"",I1114,Paramètres!B34))</f>
        <v/>
      </c>
      <c r="I1114" s="18" t="n"/>
    </row>
    <row r="1115">
      <c r="A1115" s="18">
        <f>IF(ISNUMBER(Dossiers!$D$24),Dossiers!$A$24&amp;" · "&amp;Dossiers!$B$24,"")</f>
        <v/>
      </c>
      <c r="B1115" s="18">
        <f>IF($A1115="","",Paramètres!G35)</f>
        <v/>
      </c>
      <c r="C1115" s="18">
        <f>IF($A1115="","",IF(Paramètres!H35="","",Paramètres!H35))</f>
        <v/>
      </c>
      <c r="D1115" s="18">
        <f>IF($A1115="","",IF(Paramètres!I35="","",Paramètres!I35))</f>
        <v/>
      </c>
      <c r="E1115" s="19">
        <f>IF($A1115="","",IF(Paramètres!J35&amp;Paramètres!L35&amp;Paramètres!N35="",Dossiers!$D$24,MAX(IF(Paramètres!J35="",0,IF(Paramètres!K35="",NA(),IF(LEFT(TRIM(Paramètres!K35),1)="F",INDEX($F$1085:$F$1137,MATCH(Paramètres!J35,Paramètres!$G$5:$G$57,0)),INDEX($E$1085:$E$1137,MATCH(Paramètres!J35,Paramètres!$G$5:$G$57,0)))+IF(RIGHT(TRIM(Paramètres!K35),3)="Fin",1-$H1115,IF(LEFT(TRIM(Paramètres!K35),1)="F",1,0)))),IF(Paramètres!L35="",0,IF(Paramètres!M35="",NA(),IF(LEFT(TRIM(Paramètres!M35),1)="F",INDEX($F$1085:$F$1137,MATCH(Paramètres!L35,Paramètres!$G$5:$G$57,0)),INDEX($E$1085:$E$1137,MATCH(Paramètres!L35,Paramètres!$G$5:$G$57,0)))+IF(RIGHT(TRIM(Paramètres!M35),3)="Fin",1-$H1115,IF(LEFT(TRIM(Paramètres!M35),1)="F",1,0)))),IF(Paramètres!N35="",0,IF(Paramètres!O35="",NA(),IF(LEFT(TRIM(Paramètres!O35),1)="F",INDEX($F$1085:$F$1137,MATCH(Paramètres!N35,Paramètres!$G$5:$G$57,0)),INDEX($E$1085:$E$1137,MATCH(Paramètres!N35,Paramètres!$G$5:$G$57,0)))+IF(RIGHT(TRIM(Paramètres!O35),3)="Fin",1-$H1115,IF(LEFT(TRIM(Paramètres!O35),1)="F",1,0)))))))</f>
        <v/>
      </c>
      <c r="F1115" s="19">
        <f>IF($A1115="","",E1115+$H1115-1)</f>
        <v/>
      </c>
      <c r="G1115" s="18" t="n"/>
      <c r="H1115" s="18">
        <f>IF($A1115="","",IF(I1115&lt;&gt;"",I1115,Paramètres!B35))</f>
        <v/>
      </c>
      <c r="I1115" s="18" t="n"/>
    </row>
    <row r="1116">
      <c r="A1116" s="18">
        <f>IF(ISNUMBER(Dossiers!$D$24),Dossiers!$A$24&amp;" · "&amp;Dossiers!$B$24,"")</f>
        <v/>
      </c>
      <c r="B1116" s="18">
        <f>IF($A1116="","",Paramètres!G36)</f>
        <v/>
      </c>
      <c r="C1116" s="18">
        <f>IF($A1116="","",IF(Paramètres!H36="","",Paramètres!H36))</f>
        <v/>
      </c>
      <c r="D1116" s="18">
        <f>IF($A1116="","",IF(Paramètres!I36="","",Paramètres!I36))</f>
        <v/>
      </c>
      <c r="E1116" s="19">
        <f>IF($A1116="","",IF(Paramètres!J36&amp;Paramètres!L36&amp;Paramètres!N36="",Dossiers!$D$24,MAX(IF(Paramètres!J36="",0,IF(Paramètres!K36="",NA(),IF(LEFT(TRIM(Paramètres!K36),1)="F",INDEX($F$1085:$F$1137,MATCH(Paramètres!J36,Paramètres!$G$5:$G$57,0)),INDEX($E$1085:$E$1137,MATCH(Paramètres!J36,Paramètres!$G$5:$G$57,0)))+IF(RIGHT(TRIM(Paramètres!K36),3)="Fin",1-$H1116,IF(LEFT(TRIM(Paramètres!K36),1)="F",1,0)))),IF(Paramètres!L36="",0,IF(Paramètres!M36="",NA(),IF(LEFT(TRIM(Paramètres!M36),1)="F",INDEX($F$1085:$F$1137,MATCH(Paramètres!L36,Paramètres!$G$5:$G$57,0)),INDEX($E$1085:$E$1137,MATCH(Paramètres!L36,Paramètres!$G$5:$G$57,0)))+IF(RIGHT(TRIM(Paramètres!M36),3)="Fin",1-$H1116,IF(LEFT(TRIM(Paramètres!M36),1)="F",1,0)))),IF(Paramètres!N36="",0,IF(Paramètres!O36="",NA(),IF(LEFT(TRIM(Paramètres!O36),1)="F",INDEX($F$1085:$F$1137,MATCH(Paramètres!N36,Paramètres!$G$5:$G$57,0)),INDEX($E$1085:$E$1137,MATCH(Paramètres!N36,Paramètres!$G$5:$G$57,0)))+IF(RIGHT(TRIM(Paramètres!O36),3)="Fin",1-$H1116,IF(LEFT(TRIM(Paramètres!O36),1)="F",1,0)))))))</f>
        <v/>
      </c>
      <c r="F1116" s="19">
        <f>IF($A1116="","",E1116+$H1116-1)</f>
        <v/>
      </c>
      <c r="G1116" s="18" t="n"/>
      <c r="H1116" s="18">
        <f>IF($A1116="","",IF(I1116&lt;&gt;"",I1116,Paramètres!B36))</f>
        <v/>
      </c>
      <c r="I1116" s="18" t="n"/>
    </row>
    <row r="1117">
      <c r="A1117" s="18">
        <f>IF(ISNUMBER(Dossiers!$D$24),Dossiers!$A$24&amp;" · "&amp;Dossiers!$B$24,"")</f>
        <v/>
      </c>
      <c r="B1117" s="18">
        <f>IF($A1117="","",Paramètres!G37)</f>
        <v/>
      </c>
      <c r="C1117" s="18">
        <f>IF($A1117="","",IF(Paramètres!H37="","",Paramètres!H37))</f>
        <v/>
      </c>
      <c r="D1117" s="18">
        <f>IF($A1117="","",IF(Paramètres!I37="","",Paramètres!I37))</f>
        <v/>
      </c>
      <c r="E1117" s="19">
        <f>IF($A1117="","",MIN(E1118:E1135))</f>
        <v/>
      </c>
      <c r="F1117" s="19">
        <f>IF($A1117="","",MAX(F1118:F1135))</f>
        <v/>
      </c>
      <c r="G1117" s="18" t="n"/>
      <c r="H1117" s="18">
        <f>IF($A1117="","",F1117-E1117+1)</f>
        <v/>
      </c>
      <c r="I1117" s="18" t="n"/>
    </row>
    <row r="1118">
      <c r="A1118" s="18">
        <f>IF(ISNUMBER(Dossiers!$D$24),Dossiers!$A$24&amp;" · "&amp;Dossiers!$B$24,"")</f>
        <v/>
      </c>
      <c r="B1118" s="18">
        <f>IF($A1118="","",Paramètres!G38)</f>
        <v/>
      </c>
      <c r="C1118" s="18">
        <f>IF($A1118="","",IF(Paramètres!H38="","",Paramètres!H38))</f>
        <v/>
      </c>
      <c r="D1118" s="18">
        <f>IF($A1118="","",IF(Paramètres!I38="","",Paramètres!I38))</f>
        <v/>
      </c>
      <c r="E1118" s="19">
        <f>IF($A1118="","",IF(Paramètres!J38&amp;Paramètres!L38&amp;Paramètres!N38="",Dossiers!$D$24,MAX(IF(Paramètres!J38="",0,IF(Paramètres!K38="",NA(),IF(LEFT(TRIM(Paramètres!K38),1)="F",INDEX($F$1085:$F$1137,MATCH(Paramètres!J38,Paramètres!$G$5:$G$57,0)),INDEX($E$1085:$E$1137,MATCH(Paramètres!J38,Paramètres!$G$5:$G$57,0)))+IF(RIGHT(TRIM(Paramètres!K38),3)="Fin",1-$H1118,IF(LEFT(TRIM(Paramètres!K38),1)="F",1,0)))),IF(Paramètres!L38="",0,IF(Paramètres!M38="",NA(),IF(LEFT(TRIM(Paramètres!M38),1)="F",INDEX($F$1085:$F$1137,MATCH(Paramètres!L38,Paramètres!$G$5:$G$57,0)),INDEX($E$1085:$E$1137,MATCH(Paramètres!L38,Paramètres!$G$5:$G$57,0)))+IF(RIGHT(TRIM(Paramètres!M38),3)="Fin",1-$H1118,IF(LEFT(TRIM(Paramètres!M38),1)="F",1,0)))),IF(Paramètres!N38="",0,IF(Paramètres!O38="",NA(),IF(LEFT(TRIM(Paramètres!O38),1)="F",INDEX($F$1085:$F$1137,MATCH(Paramètres!N38,Paramètres!$G$5:$G$57,0)),INDEX($E$1085:$E$1137,MATCH(Paramètres!N38,Paramètres!$G$5:$G$57,0)))+IF(RIGHT(TRIM(Paramètres!O38),3)="Fin",1-$H1118,IF(LEFT(TRIM(Paramètres!O38),1)="F",1,0)))))))</f>
        <v/>
      </c>
      <c r="F1118" s="19">
        <f>IF($A1118="","",E1118+$H1118-1)</f>
        <v/>
      </c>
      <c r="G1118" s="18" t="n"/>
      <c r="H1118" s="18">
        <f>IF($A1118="","",IF(I1118&lt;&gt;"",I1118,Paramètres!B38))</f>
        <v/>
      </c>
      <c r="I1118" s="18" t="n"/>
    </row>
    <row r="1119">
      <c r="A1119" s="18">
        <f>IF(ISNUMBER(Dossiers!$D$24),Dossiers!$A$24&amp;" · "&amp;Dossiers!$B$24,"")</f>
        <v/>
      </c>
      <c r="B1119" s="18">
        <f>IF($A1119="","",Paramètres!G39)</f>
        <v/>
      </c>
      <c r="C1119" s="18">
        <f>IF($A1119="","",IF(Paramètres!H39="","",Paramètres!H39))</f>
        <v/>
      </c>
      <c r="D1119" s="18">
        <f>IF($A1119="","",IF(Paramètres!I39="","",Paramètres!I39))</f>
        <v/>
      </c>
      <c r="E1119" s="19">
        <f>IF($A1119="","",IF(Paramètres!J39&amp;Paramètres!L39&amp;Paramètres!N39="",Dossiers!$D$24,MAX(IF(Paramètres!J39="",0,IF(Paramètres!K39="",NA(),IF(LEFT(TRIM(Paramètres!K39),1)="F",INDEX($F$1085:$F$1137,MATCH(Paramètres!J39,Paramètres!$G$5:$G$57,0)),INDEX($E$1085:$E$1137,MATCH(Paramètres!J39,Paramètres!$G$5:$G$57,0)))+IF(RIGHT(TRIM(Paramètres!K39),3)="Fin",1-$H1119,IF(LEFT(TRIM(Paramètres!K39),1)="F",1,0)))),IF(Paramètres!L39="",0,IF(Paramètres!M39="",NA(),IF(LEFT(TRIM(Paramètres!M39),1)="F",INDEX($F$1085:$F$1137,MATCH(Paramètres!L39,Paramètres!$G$5:$G$57,0)),INDEX($E$1085:$E$1137,MATCH(Paramètres!L39,Paramètres!$G$5:$G$57,0)))+IF(RIGHT(TRIM(Paramètres!M39),3)="Fin",1-$H1119,IF(LEFT(TRIM(Paramètres!M39),1)="F",1,0)))),IF(Paramètres!N39="",0,IF(Paramètres!O39="",NA(),IF(LEFT(TRIM(Paramètres!O39),1)="F",INDEX($F$1085:$F$1137,MATCH(Paramètres!N39,Paramètres!$G$5:$G$57,0)),INDEX($E$1085:$E$1137,MATCH(Paramètres!N39,Paramètres!$G$5:$G$57,0)))+IF(RIGHT(TRIM(Paramètres!O39),3)="Fin",1-$H1119,IF(LEFT(TRIM(Paramètres!O39),1)="F",1,0)))))))</f>
        <v/>
      </c>
      <c r="F1119" s="19">
        <f>IF($A1119="","",E1119+$H1119-1)</f>
        <v/>
      </c>
      <c r="G1119" s="18" t="n"/>
      <c r="H1119" s="18">
        <f>IF($A1119="","",IF(I1119&lt;&gt;"",I1119,Paramètres!B39))</f>
        <v/>
      </c>
      <c r="I1119" s="18" t="n"/>
    </row>
    <row r="1120">
      <c r="A1120" s="18">
        <f>IF(ISNUMBER(Dossiers!$D$24),Dossiers!$A$24&amp;" · "&amp;Dossiers!$B$24,"")</f>
        <v/>
      </c>
      <c r="B1120" s="18">
        <f>IF($A1120="","",Paramètres!G40)</f>
        <v/>
      </c>
      <c r="C1120" s="18">
        <f>IF($A1120="","",IF(Paramètres!H40="","",Paramètres!H40))</f>
        <v/>
      </c>
      <c r="D1120" s="18">
        <f>IF($A1120="","",IF(Paramètres!I40="","",Paramètres!I40))</f>
        <v/>
      </c>
      <c r="E1120" s="19">
        <f>IF($A1120="","",IF(Paramètres!J40&amp;Paramètres!L40&amp;Paramètres!N40="",Dossiers!$D$24,MAX(IF(Paramètres!J40="",0,IF(Paramètres!K40="",NA(),IF(LEFT(TRIM(Paramètres!K40),1)="F",INDEX($F$1085:$F$1137,MATCH(Paramètres!J40,Paramètres!$G$5:$G$57,0)),INDEX($E$1085:$E$1137,MATCH(Paramètres!J40,Paramètres!$G$5:$G$57,0)))+IF(RIGHT(TRIM(Paramètres!K40),3)="Fin",1-$H1120,IF(LEFT(TRIM(Paramètres!K40),1)="F",1,0)))),IF(Paramètres!L40="",0,IF(Paramètres!M40="",NA(),IF(LEFT(TRIM(Paramètres!M40),1)="F",INDEX($F$1085:$F$1137,MATCH(Paramètres!L40,Paramètres!$G$5:$G$57,0)),INDEX($E$1085:$E$1137,MATCH(Paramètres!L40,Paramètres!$G$5:$G$57,0)))+IF(RIGHT(TRIM(Paramètres!M40),3)="Fin",1-$H1120,IF(LEFT(TRIM(Paramètres!M40),1)="F",1,0)))),IF(Paramètres!N40="",0,IF(Paramètres!O40="",NA(),IF(LEFT(TRIM(Paramètres!O40),1)="F",INDEX($F$1085:$F$1137,MATCH(Paramètres!N40,Paramètres!$G$5:$G$57,0)),INDEX($E$1085:$E$1137,MATCH(Paramètres!N40,Paramètres!$G$5:$G$57,0)))+IF(RIGHT(TRIM(Paramètres!O40),3)="Fin",1-$H1120,IF(LEFT(TRIM(Paramètres!O40),1)="F",1,0)))))))</f>
        <v/>
      </c>
      <c r="F1120" s="19">
        <f>IF($A1120="","",E1120+$H1120-1)</f>
        <v/>
      </c>
      <c r="G1120" s="18" t="n"/>
      <c r="H1120" s="18">
        <f>IF($A1120="","",IF(I1120&lt;&gt;"",I1120,Paramètres!B40))</f>
        <v/>
      </c>
      <c r="I1120" s="18" t="n"/>
    </row>
    <row r="1121">
      <c r="A1121" s="18">
        <f>IF(ISNUMBER(Dossiers!$D$24),Dossiers!$A$24&amp;" · "&amp;Dossiers!$B$24,"")</f>
        <v/>
      </c>
      <c r="B1121" s="18">
        <f>IF($A1121="","",Paramètres!G41)</f>
        <v/>
      </c>
      <c r="C1121" s="18">
        <f>IF($A1121="","",IF(Paramètres!H41="","",Paramètres!H41))</f>
        <v/>
      </c>
      <c r="D1121" s="18">
        <f>IF($A1121="","",IF(Paramètres!I41="","",Paramètres!I41))</f>
        <v/>
      </c>
      <c r="E1121" s="19">
        <f>IF($A1121="","",IF(Paramètres!J41&amp;Paramètres!L41&amp;Paramètres!N41="",Dossiers!$D$24,MAX(IF(Paramètres!J41="",0,IF(Paramètres!K41="",NA(),IF(LEFT(TRIM(Paramètres!K41),1)="F",INDEX($F$1085:$F$1137,MATCH(Paramètres!J41,Paramètres!$G$5:$G$57,0)),INDEX($E$1085:$E$1137,MATCH(Paramètres!J41,Paramètres!$G$5:$G$57,0)))+IF(RIGHT(TRIM(Paramètres!K41),3)="Fin",1-$H1121,IF(LEFT(TRIM(Paramètres!K41),1)="F",1,0)))),IF(Paramètres!L41="",0,IF(Paramètres!M41="",NA(),IF(LEFT(TRIM(Paramètres!M41),1)="F",INDEX($F$1085:$F$1137,MATCH(Paramètres!L41,Paramètres!$G$5:$G$57,0)),INDEX($E$1085:$E$1137,MATCH(Paramètres!L41,Paramètres!$G$5:$G$57,0)))+IF(RIGHT(TRIM(Paramètres!M41),3)="Fin",1-$H1121,IF(LEFT(TRIM(Paramètres!M41),1)="F",1,0)))),IF(Paramètres!N41="",0,IF(Paramètres!O41="",NA(),IF(LEFT(TRIM(Paramètres!O41),1)="F",INDEX($F$1085:$F$1137,MATCH(Paramètres!N41,Paramètres!$G$5:$G$57,0)),INDEX($E$1085:$E$1137,MATCH(Paramètres!N41,Paramètres!$G$5:$G$57,0)))+IF(RIGHT(TRIM(Paramètres!O41),3)="Fin",1-$H1121,IF(LEFT(TRIM(Paramètres!O41),1)="F",1,0)))))))</f>
        <v/>
      </c>
      <c r="F1121" s="19">
        <f>IF($A1121="","",E1121+$H1121-1)</f>
        <v/>
      </c>
      <c r="G1121" s="18" t="n"/>
      <c r="H1121" s="18">
        <f>IF($A1121="","",IF(I1121&lt;&gt;"",I1121,Paramètres!B41))</f>
        <v/>
      </c>
      <c r="I1121" s="18" t="n"/>
    </row>
    <row r="1122">
      <c r="A1122" s="18">
        <f>IF(ISNUMBER(Dossiers!$D$24),Dossiers!$A$24&amp;" · "&amp;Dossiers!$B$24,"")</f>
        <v/>
      </c>
      <c r="B1122" s="18">
        <f>IF($A1122="","",Paramètres!G42)</f>
        <v/>
      </c>
      <c r="C1122" s="18">
        <f>IF($A1122="","",IF(Paramètres!H42="","",Paramètres!H42))</f>
        <v/>
      </c>
      <c r="D1122" s="18">
        <f>IF($A1122="","",IF(Paramètres!I42="","",Paramètres!I42))</f>
        <v/>
      </c>
      <c r="E1122" s="19">
        <f>IF($A1122="","",IF(Paramètres!J42&amp;Paramètres!L42&amp;Paramètres!N42="",Dossiers!$D$24,MAX(IF(Paramètres!J42="",0,IF(Paramètres!K42="",NA(),IF(LEFT(TRIM(Paramètres!K42),1)="F",INDEX($F$1085:$F$1137,MATCH(Paramètres!J42,Paramètres!$G$5:$G$57,0)),INDEX($E$1085:$E$1137,MATCH(Paramètres!J42,Paramètres!$G$5:$G$57,0)))+IF(RIGHT(TRIM(Paramètres!K42),3)="Fin",1-$H1122,IF(LEFT(TRIM(Paramètres!K42),1)="F",1,0)))),IF(Paramètres!L42="",0,IF(Paramètres!M42="",NA(),IF(LEFT(TRIM(Paramètres!M42),1)="F",INDEX($F$1085:$F$1137,MATCH(Paramètres!L42,Paramètres!$G$5:$G$57,0)),INDEX($E$1085:$E$1137,MATCH(Paramètres!L42,Paramètres!$G$5:$G$57,0)))+IF(RIGHT(TRIM(Paramètres!M42),3)="Fin",1-$H1122,IF(LEFT(TRIM(Paramètres!M42),1)="F",1,0)))),IF(Paramètres!N42="",0,IF(Paramètres!O42="",NA(),IF(LEFT(TRIM(Paramètres!O42),1)="F",INDEX($F$1085:$F$1137,MATCH(Paramètres!N42,Paramètres!$G$5:$G$57,0)),INDEX($E$1085:$E$1137,MATCH(Paramètres!N42,Paramètres!$G$5:$G$57,0)))+IF(RIGHT(TRIM(Paramètres!O42),3)="Fin",1-$H1122,IF(LEFT(TRIM(Paramètres!O42),1)="F",1,0)))))))</f>
        <v/>
      </c>
      <c r="F1122" s="19">
        <f>IF($A1122="","",E1122+$H1122-1)</f>
        <v/>
      </c>
      <c r="G1122" s="18" t="n"/>
      <c r="H1122" s="18">
        <f>IF($A1122="","",IF(I1122&lt;&gt;"",I1122,Paramètres!B42))</f>
        <v/>
      </c>
      <c r="I1122" s="18" t="n"/>
    </row>
    <row r="1123">
      <c r="A1123" s="18">
        <f>IF(ISNUMBER(Dossiers!$D$24),Dossiers!$A$24&amp;" · "&amp;Dossiers!$B$24,"")</f>
        <v/>
      </c>
      <c r="B1123" s="18">
        <f>IF($A1123="","",Paramètres!G43)</f>
        <v/>
      </c>
      <c r="C1123" s="18">
        <f>IF($A1123="","",IF(Paramètres!H43="","",Paramètres!H43))</f>
        <v/>
      </c>
      <c r="D1123" s="18">
        <f>IF($A1123="","",IF(Paramètres!I43="","",Paramètres!I43))</f>
        <v/>
      </c>
      <c r="E1123" s="19">
        <f>IF($A1123="","",IF(Paramètres!J43&amp;Paramètres!L43&amp;Paramètres!N43="",Dossiers!$D$24,MAX(IF(Paramètres!J43="",0,IF(Paramètres!K43="",NA(),IF(LEFT(TRIM(Paramètres!K43),1)="F",INDEX($F$1085:$F$1137,MATCH(Paramètres!J43,Paramètres!$G$5:$G$57,0)),INDEX($E$1085:$E$1137,MATCH(Paramètres!J43,Paramètres!$G$5:$G$57,0)))+IF(RIGHT(TRIM(Paramètres!K43),3)="Fin",1-$H1123,IF(LEFT(TRIM(Paramètres!K43),1)="F",1,0)))),IF(Paramètres!L43="",0,IF(Paramètres!M43="",NA(),IF(LEFT(TRIM(Paramètres!M43),1)="F",INDEX($F$1085:$F$1137,MATCH(Paramètres!L43,Paramètres!$G$5:$G$57,0)),INDEX($E$1085:$E$1137,MATCH(Paramètres!L43,Paramètres!$G$5:$G$57,0)))+IF(RIGHT(TRIM(Paramètres!M43),3)="Fin",1-$H1123,IF(LEFT(TRIM(Paramètres!M43),1)="F",1,0)))),IF(Paramètres!N43="",0,IF(Paramètres!O43="",NA(),IF(LEFT(TRIM(Paramètres!O43),1)="F",INDEX($F$1085:$F$1137,MATCH(Paramètres!N43,Paramètres!$G$5:$G$57,0)),INDEX($E$1085:$E$1137,MATCH(Paramètres!N43,Paramètres!$G$5:$G$57,0)))+IF(RIGHT(TRIM(Paramètres!O43),3)="Fin",1-$H1123,IF(LEFT(TRIM(Paramètres!O43),1)="F",1,0)))))))</f>
        <v/>
      </c>
      <c r="F1123" s="19">
        <f>IF($A1123="","",E1123+$H1123-1)</f>
        <v/>
      </c>
      <c r="G1123" s="18" t="n"/>
      <c r="H1123" s="18">
        <f>IF($A1123="","",IF(I1123&lt;&gt;"",I1123,Paramètres!B43))</f>
        <v/>
      </c>
      <c r="I1123" s="18" t="n"/>
    </row>
    <row r="1124">
      <c r="A1124" s="18">
        <f>IF(ISNUMBER(Dossiers!$D$24),Dossiers!$A$24&amp;" · "&amp;Dossiers!$B$24,"")</f>
        <v/>
      </c>
      <c r="B1124" s="18">
        <f>IF($A1124="","",Paramètres!G44)</f>
        <v/>
      </c>
      <c r="C1124" s="18">
        <f>IF($A1124="","",IF(Paramètres!H44="","",Paramètres!H44))</f>
        <v/>
      </c>
      <c r="D1124" s="18">
        <f>IF($A1124="","",IF(Paramètres!I44="","",Paramètres!I44))</f>
        <v/>
      </c>
      <c r="E1124" s="19">
        <f>IF($A1124="","",IF(Paramètres!J44&amp;Paramètres!L44&amp;Paramètres!N44="",Dossiers!$D$24,MAX(IF(Paramètres!J44="",0,IF(Paramètres!K44="",NA(),IF(LEFT(TRIM(Paramètres!K44),1)="F",INDEX($F$1085:$F$1137,MATCH(Paramètres!J44,Paramètres!$G$5:$G$57,0)),INDEX($E$1085:$E$1137,MATCH(Paramètres!J44,Paramètres!$G$5:$G$57,0)))+IF(RIGHT(TRIM(Paramètres!K44),3)="Fin",1-$H1124,IF(LEFT(TRIM(Paramètres!K44),1)="F",1,0)))),IF(Paramètres!L44="",0,IF(Paramètres!M44="",NA(),IF(LEFT(TRIM(Paramètres!M44),1)="F",INDEX($F$1085:$F$1137,MATCH(Paramètres!L44,Paramètres!$G$5:$G$57,0)),INDEX($E$1085:$E$1137,MATCH(Paramètres!L44,Paramètres!$G$5:$G$57,0)))+IF(RIGHT(TRIM(Paramètres!M44),3)="Fin",1-$H1124,IF(LEFT(TRIM(Paramètres!M44),1)="F",1,0)))),IF(Paramètres!N44="",0,IF(Paramètres!O44="",NA(),IF(LEFT(TRIM(Paramètres!O44),1)="F",INDEX($F$1085:$F$1137,MATCH(Paramètres!N44,Paramètres!$G$5:$G$57,0)),INDEX($E$1085:$E$1137,MATCH(Paramètres!N44,Paramètres!$G$5:$G$57,0)))+IF(RIGHT(TRIM(Paramètres!O44),3)="Fin",1-$H1124,IF(LEFT(TRIM(Paramètres!O44),1)="F",1,0)))))))</f>
        <v/>
      </c>
      <c r="F1124" s="19">
        <f>IF($A1124="","",E1124+$H1124-1)</f>
        <v/>
      </c>
      <c r="G1124" s="18" t="n"/>
      <c r="H1124" s="18">
        <f>IF($A1124="","",IF(I1124&lt;&gt;"",I1124,Paramètres!B44))</f>
        <v/>
      </c>
      <c r="I1124" s="18" t="n"/>
    </row>
    <row r="1125">
      <c r="A1125" s="18">
        <f>IF(ISNUMBER(Dossiers!$D$24),Dossiers!$A$24&amp;" · "&amp;Dossiers!$B$24,"")</f>
        <v/>
      </c>
      <c r="B1125" s="18">
        <f>IF($A1125="","",Paramètres!G45)</f>
        <v/>
      </c>
      <c r="C1125" s="20">
        <f>IF($A1125="","",IF(Dossiers!$G$24="","",Dossiers!$G$24))</f>
        <v/>
      </c>
      <c r="D1125" s="18">
        <f>IF($A1125="","",IF(Paramètres!I45="","",Paramètres!I45))</f>
        <v/>
      </c>
      <c r="E1125" s="19">
        <f>IF($A1125="","",IF(Paramètres!J45&amp;Paramètres!L45&amp;Paramètres!N45="",Dossiers!$D$24,MAX(IF(Paramètres!J45="",0,IF(Paramètres!K45="",NA(),IF(LEFT(TRIM(Paramètres!K45),1)="F",INDEX($F$1085:$F$1137,MATCH(Paramètres!J45,Paramètres!$G$5:$G$57,0)),INDEX($E$1085:$E$1137,MATCH(Paramètres!J45,Paramètres!$G$5:$G$57,0)))+IF(RIGHT(TRIM(Paramètres!K45),3)="Fin",1-$H1125,IF(LEFT(TRIM(Paramètres!K45),1)="F",1,0)))),IF(Paramètres!L45="",0,IF(Paramètres!M45="",NA(),IF(LEFT(TRIM(Paramètres!M45),1)="F",INDEX($F$1085:$F$1137,MATCH(Paramètres!L45,Paramètres!$G$5:$G$57,0)),INDEX($E$1085:$E$1137,MATCH(Paramètres!L45,Paramètres!$G$5:$G$57,0)))+IF(RIGHT(TRIM(Paramètres!M45),3)="Fin",1-$H1125,IF(LEFT(TRIM(Paramètres!M45),1)="F",1,0)))),IF(Paramètres!N45="",0,IF(Paramètres!O45="",NA(),IF(LEFT(TRIM(Paramètres!O45),1)="F",INDEX($F$1085:$F$1137,MATCH(Paramètres!N45,Paramètres!$G$5:$G$57,0)),INDEX($E$1085:$E$1137,MATCH(Paramètres!N45,Paramètres!$G$5:$G$57,0)))+IF(RIGHT(TRIM(Paramètres!O45),3)="Fin",1-$H1125,IF(LEFT(TRIM(Paramètres!O45),1)="F",1,0)))))))</f>
        <v/>
      </c>
      <c r="F1125" s="19">
        <f>IF($A1125="","",E1125+$H1125-1)</f>
        <v/>
      </c>
      <c r="G1125" s="18" t="n"/>
      <c r="H1125" s="18">
        <f>IF($A1125="","",IF(I1125&lt;&gt;"",I1125,Paramètres!B45))</f>
        <v/>
      </c>
      <c r="I1125" s="18" t="n"/>
    </row>
    <row r="1126">
      <c r="A1126" s="18">
        <f>IF(ISNUMBER(Dossiers!$D$24),Dossiers!$A$24&amp;" · "&amp;Dossiers!$B$24,"")</f>
        <v/>
      </c>
      <c r="B1126" s="18">
        <f>IF($A1126="","",Paramètres!G46)</f>
        <v/>
      </c>
      <c r="C1126" s="18">
        <f>IF($A1126="","",IF(Paramètres!H46="","",Paramètres!H46))</f>
        <v/>
      </c>
      <c r="D1126" s="18">
        <f>IF($A1126="","",IF(Paramètres!I46="","",Paramètres!I46))</f>
        <v/>
      </c>
      <c r="E1126" s="19">
        <f>IF($A1126="","",IF(Paramètres!J46&amp;Paramètres!L46&amp;Paramètres!N46="",Dossiers!$D$24,MAX(IF(Paramètres!J46="",0,IF(Paramètres!K46="",NA(),IF(LEFT(TRIM(Paramètres!K46),1)="F",INDEX($F$1085:$F$1137,MATCH(Paramètres!J46,Paramètres!$G$5:$G$57,0)),INDEX($E$1085:$E$1137,MATCH(Paramètres!J46,Paramètres!$G$5:$G$57,0)))+IF(RIGHT(TRIM(Paramètres!K46),3)="Fin",1-$H1126,IF(LEFT(TRIM(Paramètres!K46),1)="F",1,0)))),IF(Paramètres!L46="",0,IF(Paramètres!M46="",NA(),IF(LEFT(TRIM(Paramètres!M46),1)="F",INDEX($F$1085:$F$1137,MATCH(Paramètres!L46,Paramètres!$G$5:$G$57,0)),INDEX($E$1085:$E$1137,MATCH(Paramètres!L46,Paramètres!$G$5:$G$57,0)))+IF(RIGHT(TRIM(Paramètres!M46),3)="Fin",1-$H1126,IF(LEFT(TRIM(Paramètres!M46),1)="F",1,0)))),IF(Paramètres!N46="",0,IF(Paramètres!O46="",NA(),IF(LEFT(TRIM(Paramètres!O46),1)="F",INDEX($F$1085:$F$1137,MATCH(Paramètres!N46,Paramètres!$G$5:$G$57,0)),INDEX($E$1085:$E$1137,MATCH(Paramètres!N46,Paramètres!$G$5:$G$57,0)))+IF(RIGHT(TRIM(Paramètres!O46),3)="Fin",1-$H1126,IF(LEFT(TRIM(Paramètres!O46),1)="F",1,0)))))))</f>
        <v/>
      </c>
      <c r="F1126" s="19">
        <f>IF($A1126="","",E1126+$H1126-1)</f>
        <v/>
      </c>
      <c r="G1126" s="18" t="n"/>
      <c r="H1126" s="18">
        <f>IF($A1126="","",IF(I1126&lt;&gt;"",I1126,Paramètres!B46))</f>
        <v/>
      </c>
      <c r="I1126" s="18" t="n"/>
    </row>
    <row r="1127">
      <c r="A1127" s="18">
        <f>IF(ISNUMBER(Dossiers!$D$24),Dossiers!$A$24&amp;" · "&amp;Dossiers!$B$24,"")</f>
        <v/>
      </c>
      <c r="B1127" s="18">
        <f>IF($A1127="","",Paramètres!G47)</f>
        <v/>
      </c>
      <c r="C1127" s="18">
        <f>IF($A1127="","",IF(Paramètres!H47="","",Paramètres!H47))</f>
        <v/>
      </c>
      <c r="D1127" s="18">
        <f>IF($A1127="","",IF(Paramètres!I47="","",Paramètres!I47))</f>
        <v/>
      </c>
      <c r="E1127" s="19">
        <f>IF($A1127="","",IF(Paramètres!J47&amp;Paramètres!L47&amp;Paramètres!N47="",Dossiers!$D$24,MAX(IF(Paramètres!J47="",0,IF(Paramètres!K47="",NA(),IF(LEFT(TRIM(Paramètres!K47),1)="F",INDEX($F$1085:$F$1137,MATCH(Paramètres!J47,Paramètres!$G$5:$G$57,0)),INDEX($E$1085:$E$1137,MATCH(Paramètres!J47,Paramètres!$G$5:$G$57,0)))+IF(RIGHT(TRIM(Paramètres!K47),3)="Fin",1-$H1127,IF(LEFT(TRIM(Paramètres!K47),1)="F",1,0)))),IF(Paramètres!L47="",0,IF(Paramètres!M47="",NA(),IF(LEFT(TRIM(Paramètres!M47),1)="F",INDEX($F$1085:$F$1137,MATCH(Paramètres!L47,Paramètres!$G$5:$G$57,0)),INDEX($E$1085:$E$1137,MATCH(Paramètres!L47,Paramètres!$G$5:$G$57,0)))+IF(RIGHT(TRIM(Paramètres!M47),3)="Fin",1-$H1127,IF(LEFT(TRIM(Paramètres!M47),1)="F",1,0)))),IF(Paramètres!N47="",0,IF(Paramètres!O47="",NA(),IF(LEFT(TRIM(Paramètres!O47),1)="F",INDEX($F$1085:$F$1137,MATCH(Paramètres!N47,Paramètres!$G$5:$G$57,0)),INDEX($E$1085:$E$1137,MATCH(Paramètres!N47,Paramètres!$G$5:$G$57,0)))+IF(RIGHT(TRIM(Paramètres!O47),3)="Fin",1-$H1127,IF(LEFT(TRIM(Paramètres!O47),1)="F",1,0)))))))</f>
        <v/>
      </c>
      <c r="F1127" s="19">
        <f>IF($A1127="","",E1127+$H1127-1)</f>
        <v/>
      </c>
      <c r="G1127" s="18" t="n"/>
      <c r="H1127" s="18">
        <f>IF($A1127="","",IF(I1127&lt;&gt;"",I1127,Paramètres!B47))</f>
        <v/>
      </c>
      <c r="I1127" s="18" t="n"/>
    </row>
    <row r="1128">
      <c r="A1128" s="18">
        <f>IF(ISNUMBER(Dossiers!$D$24),Dossiers!$A$24&amp;" · "&amp;Dossiers!$B$24,"")</f>
        <v/>
      </c>
      <c r="B1128" s="18">
        <f>IF($A1128="","",Paramètres!G48)</f>
        <v/>
      </c>
      <c r="C1128" s="18">
        <f>IF($A1128="","",IF(Paramètres!H48="","",Paramètres!H48))</f>
        <v/>
      </c>
      <c r="D1128" s="18">
        <f>IF($A1128="","",IF(Paramètres!I48="","",Paramètres!I48))</f>
        <v/>
      </c>
      <c r="E1128" s="19">
        <f>IF($A1128="","",IF(Paramètres!J48&amp;Paramètres!L48&amp;Paramètres!N48="",Dossiers!$D$24,MAX(IF(Paramètres!J48="",0,IF(Paramètres!K48="",NA(),IF(LEFT(TRIM(Paramètres!K48),1)="F",INDEX($F$1085:$F$1137,MATCH(Paramètres!J48,Paramètres!$G$5:$G$57,0)),INDEX($E$1085:$E$1137,MATCH(Paramètres!J48,Paramètres!$G$5:$G$57,0)))+IF(RIGHT(TRIM(Paramètres!K48),3)="Fin",1-$H1128,IF(LEFT(TRIM(Paramètres!K48),1)="F",1,0)))),IF(Paramètres!L48="",0,IF(Paramètres!M48="",NA(),IF(LEFT(TRIM(Paramètres!M48),1)="F",INDEX($F$1085:$F$1137,MATCH(Paramètres!L48,Paramètres!$G$5:$G$57,0)),INDEX($E$1085:$E$1137,MATCH(Paramètres!L48,Paramètres!$G$5:$G$57,0)))+IF(RIGHT(TRIM(Paramètres!M48),3)="Fin",1-$H1128,IF(LEFT(TRIM(Paramètres!M48),1)="F",1,0)))),IF(Paramètres!N48="",0,IF(Paramètres!O48="",NA(),IF(LEFT(TRIM(Paramètres!O48),1)="F",INDEX($F$1085:$F$1137,MATCH(Paramètres!N48,Paramètres!$G$5:$G$57,0)),INDEX($E$1085:$E$1137,MATCH(Paramètres!N48,Paramètres!$G$5:$G$57,0)))+IF(RIGHT(TRIM(Paramètres!O48),3)="Fin",1-$H1128,IF(LEFT(TRIM(Paramètres!O48),1)="F",1,0)))))))</f>
        <v/>
      </c>
      <c r="F1128" s="19">
        <f>IF($A1128="","",E1128+$H1128-1)</f>
        <v/>
      </c>
      <c r="G1128" s="18" t="n"/>
      <c r="H1128" s="18">
        <f>IF($A1128="","",IF(I1128&lt;&gt;"",I1128,Paramètres!B48))</f>
        <v/>
      </c>
      <c r="I1128" s="18" t="n"/>
    </row>
    <row r="1129">
      <c r="A1129" s="18">
        <f>IF(ISNUMBER(Dossiers!$D$24),Dossiers!$A$24&amp;" · "&amp;Dossiers!$B$24,"")</f>
        <v/>
      </c>
      <c r="B1129" s="18">
        <f>IF($A1129="","",Paramètres!G49)</f>
        <v/>
      </c>
      <c r="C1129" s="18">
        <f>IF($A1129="","",IF(Paramètres!H49="","",Paramètres!H49))</f>
        <v/>
      </c>
      <c r="D1129" s="18">
        <f>IF($A1129="","",IF(Paramètres!I49="","",Paramètres!I49))</f>
        <v/>
      </c>
      <c r="E1129" s="19">
        <f>IF($A1129="","",IF(Paramètres!J49&amp;Paramètres!L49&amp;Paramètres!N49="",Dossiers!$D$24,MAX(IF(Paramètres!J49="",0,IF(Paramètres!K49="",NA(),IF(LEFT(TRIM(Paramètres!K49),1)="F",INDEX($F$1085:$F$1137,MATCH(Paramètres!J49,Paramètres!$G$5:$G$57,0)),INDEX($E$1085:$E$1137,MATCH(Paramètres!J49,Paramètres!$G$5:$G$57,0)))+IF(RIGHT(TRIM(Paramètres!K49),3)="Fin",1-$H1129,IF(LEFT(TRIM(Paramètres!K49),1)="F",1,0)))),IF(Paramètres!L49="",0,IF(Paramètres!M49="",NA(),IF(LEFT(TRIM(Paramètres!M49),1)="F",INDEX($F$1085:$F$1137,MATCH(Paramètres!L49,Paramètres!$G$5:$G$57,0)),INDEX($E$1085:$E$1137,MATCH(Paramètres!L49,Paramètres!$G$5:$G$57,0)))+IF(RIGHT(TRIM(Paramètres!M49),3)="Fin",1-$H1129,IF(LEFT(TRIM(Paramètres!M49),1)="F",1,0)))),IF(Paramètres!N49="",0,IF(Paramètres!O49="",NA(),IF(LEFT(TRIM(Paramètres!O49),1)="F",INDEX($F$1085:$F$1137,MATCH(Paramètres!N49,Paramètres!$G$5:$G$57,0)),INDEX($E$1085:$E$1137,MATCH(Paramètres!N49,Paramètres!$G$5:$G$57,0)))+IF(RIGHT(TRIM(Paramètres!O49),3)="Fin",1-$H1129,IF(LEFT(TRIM(Paramètres!O49),1)="F",1,0)))))))</f>
        <v/>
      </c>
      <c r="F1129" s="19">
        <f>IF($A1129="","",E1129+$H1129-1)</f>
        <v/>
      </c>
      <c r="G1129" s="18" t="n"/>
      <c r="H1129" s="18">
        <f>IF($A1129="","",IF(I1129&lt;&gt;"",I1129,Paramètres!B49))</f>
        <v/>
      </c>
      <c r="I1129" s="18" t="n"/>
    </row>
    <row r="1130">
      <c r="A1130" s="18">
        <f>IF(ISNUMBER(Dossiers!$D$24),Dossiers!$A$24&amp;" · "&amp;Dossiers!$B$24,"")</f>
        <v/>
      </c>
      <c r="B1130" s="18">
        <f>IF($A1130="","",Paramètres!G50)</f>
        <v/>
      </c>
      <c r="C1130" s="18">
        <f>IF($A1130="","",IF(Paramètres!H50="","",Paramètres!H50))</f>
        <v/>
      </c>
      <c r="D1130" s="18">
        <f>IF($A1130="","",IF(Paramètres!I50="","",Paramètres!I50))</f>
        <v/>
      </c>
      <c r="E1130" s="19">
        <f>IF($A1130="","",IF(Paramètres!J50&amp;Paramètres!L50&amp;Paramètres!N50="",Dossiers!$D$24,MAX(IF(Paramètres!J50="",0,IF(Paramètres!K50="",NA(),IF(LEFT(TRIM(Paramètres!K50),1)="F",INDEX($F$1085:$F$1137,MATCH(Paramètres!J50,Paramètres!$G$5:$G$57,0)),INDEX($E$1085:$E$1137,MATCH(Paramètres!J50,Paramètres!$G$5:$G$57,0)))+IF(RIGHT(TRIM(Paramètres!K50),3)="Fin",1-$H1130,IF(LEFT(TRIM(Paramètres!K50),1)="F",1,0)))),IF(Paramètres!L50="",0,IF(Paramètres!M50="",NA(),IF(LEFT(TRIM(Paramètres!M50),1)="F",INDEX($F$1085:$F$1137,MATCH(Paramètres!L50,Paramètres!$G$5:$G$57,0)),INDEX($E$1085:$E$1137,MATCH(Paramètres!L50,Paramètres!$G$5:$G$57,0)))+IF(RIGHT(TRIM(Paramètres!M50),3)="Fin",1-$H1130,IF(LEFT(TRIM(Paramètres!M50),1)="F",1,0)))),IF(Paramètres!N50="",0,IF(Paramètres!O50="",NA(),IF(LEFT(TRIM(Paramètres!O50),1)="F",INDEX($F$1085:$F$1137,MATCH(Paramètres!N50,Paramètres!$G$5:$G$57,0)),INDEX($E$1085:$E$1137,MATCH(Paramètres!N50,Paramètres!$G$5:$G$57,0)))+IF(RIGHT(TRIM(Paramètres!O50),3)="Fin",1-$H1130,IF(LEFT(TRIM(Paramètres!O50),1)="F",1,0)))))))</f>
        <v/>
      </c>
      <c r="F1130" s="19">
        <f>IF($A1130="","",E1130+$H1130-1)</f>
        <v/>
      </c>
      <c r="G1130" s="18" t="n"/>
      <c r="H1130" s="18">
        <f>IF($A1130="","",IF(I1130&lt;&gt;"",I1130,Paramètres!B50))</f>
        <v/>
      </c>
      <c r="I1130" s="18" t="n"/>
    </row>
    <row r="1131">
      <c r="A1131" s="18">
        <f>IF(ISNUMBER(Dossiers!$D$24),Dossiers!$A$24&amp;" · "&amp;Dossiers!$B$24,"")</f>
        <v/>
      </c>
      <c r="B1131" s="18">
        <f>IF($A1131="","",Paramètres!G51)</f>
        <v/>
      </c>
      <c r="C1131" s="18">
        <f>IF($A1131="","",IF(Paramètres!H51="","",Paramètres!H51))</f>
        <v/>
      </c>
      <c r="D1131" s="18">
        <f>IF($A1131="","",IF(Paramètres!I51="","",Paramètres!I51))</f>
        <v/>
      </c>
      <c r="E1131" s="19">
        <f>IF($A1131="","",IF(Paramètres!J51&amp;Paramètres!L51&amp;Paramètres!N51="",Dossiers!$D$24,MAX(IF(Paramètres!J51="",0,IF(Paramètres!K51="",NA(),IF(LEFT(TRIM(Paramètres!K51),1)="F",INDEX($F$1085:$F$1137,MATCH(Paramètres!J51,Paramètres!$G$5:$G$57,0)),INDEX($E$1085:$E$1137,MATCH(Paramètres!J51,Paramètres!$G$5:$G$57,0)))+IF(RIGHT(TRIM(Paramètres!K51),3)="Fin",1-$H1131,IF(LEFT(TRIM(Paramètres!K51),1)="F",1,0)))),IF(Paramètres!L51="",0,IF(Paramètres!M51="",NA(),IF(LEFT(TRIM(Paramètres!M51),1)="F",INDEX($F$1085:$F$1137,MATCH(Paramètres!L51,Paramètres!$G$5:$G$57,0)),INDEX($E$1085:$E$1137,MATCH(Paramètres!L51,Paramètres!$G$5:$G$57,0)))+IF(RIGHT(TRIM(Paramètres!M51),3)="Fin",1-$H1131,IF(LEFT(TRIM(Paramètres!M51),1)="F",1,0)))),IF(Paramètres!N51="",0,IF(Paramètres!O51="",NA(),IF(LEFT(TRIM(Paramètres!O51),1)="F",INDEX($F$1085:$F$1137,MATCH(Paramètres!N51,Paramètres!$G$5:$G$57,0)),INDEX($E$1085:$E$1137,MATCH(Paramètres!N51,Paramètres!$G$5:$G$57,0)))+IF(RIGHT(TRIM(Paramètres!O51),3)="Fin",1-$H1131,IF(LEFT(TRIM(Paramètres!O51),1)="F",1,0)))))))</f>
        <v/>
      </c>
      <c r="F1131" s="19">
        <f>IF($A1131="","",E1131+$H1131-1)</f>
        <v/>
      </c>
      <c r="G1131" s="18" t="n"/>
      <c r="H1131" s="18">
        <f>IF($A1131="","",IF(I1131&lt;&gt;"",I1131,Paramètres!B51))</f>
        <v/>
      </c>
      <c r="I1131" s="18" t="n"/>
    </row>
    <row r="1132">
      <c r="A1132" s="18">
        <f>IF(ISNUMBER(Dossiers!$D$24),Dossiers!$A$24&amp;" · "&amp;Dossiers!$B$24,"")</f>
        <v/>
      </c>
      <c r="B1132" s="18">
        <f>IF($A1132="","",Paramètres!G52)</f>
        <v/>
      </c>
      <c r="C1132" s="18">
        <f>IF($A1132="","",IF(Paramètres!H52="","",Paramètres!H52))</f>
        <v/>
      </c>
      <c r="D1132" s="18">
        <f>IF($A1132="","",IF(Paramètres!I52="","",Paramètres!I52))</f>
        <v/>
      </c>
      <c r="E1132" s="19">
        <f>IF($A1132="","",IF(Paramètres!J52&amp;Paramètres!L52&amp;Paramètres!N52="",Dossiers!$D$24,MAX(IF(Paramètres!J52="",0,IF(Paramètres!K52="",NA(),IF(LEFT(TRIM(Paramètres!K52),1)="F",INDEX($F$1085:$F$1137,MATCH(Paramètres!J52,Paramètres!$G$5:$G$57,0)),INDEX($E$1085:$E$1137,MATCH(Paramètres!J52,Paramètres!$G$5:$G$57,0)))+IF(RIGHT(TRIM(Paramètres!K52),3)="Fin",1-$H1132,IF(LEFT(TRIM(Paramètres!K52),1)="F",1,0)))),IF(Paramètres!L52="",0,IF(Paramètres!M52="",NA(),IF(LEFT(TRIM(Paramètres!M52),1)="F",INDEX($F$1085:$F$1137,MATCH(Paramètres!L52,Paramètres!$G$5:$G$57,0)),INDEX($E$1085:$E$1137,MATCH(Paramètres!L52,Paramètres!$G$5:$G$57,0)))+IF(RIGHT(TRIM(Paramètres!M52),3)="Fin",1-$H1132,IF(LEFT(TRIM(Paramètres!M52),1)="F",1,0)))),IF(Paramètres!N52="",0,IF(Paramètres!O52="",NA(),IF(LEFT(TRIM(Paramètres!O52),1)="F",INDEX($F$1085:$F$1137,MATCH(Paramètres!N52,Paramètres!$G$5:$G$57,0)),INDEX($E$1085:$E$1137,MATCH(Paramètres!N52,Paramètres!$G$5:$G$57,0)))+IF(RIGHT(TRIM(Paramètres!O52),3)="Fin",1-$H1132,IF(LEFT(TRIM(Paramètres!O52),1)="F",1,0)))))))</f>
        <v/>
      </c>
      <c r="F1132" s="19">
        <f>IF($A1132="","",E1132+$H1132-1)</f>
        <v/>
      </c>
      <c r="G1132" s="18" t="n"/>
      <c r="H1132" s="18">
        <f>IF($A1132="","",IF(I1132&lt;&gt;"",I1132,Paramètres!B52))</f>
        <v/>
      </c>
      <c r="I1132" s="18" t="n"/>
    </row>
    <row r="1133">
      <c r="A1133" s="18">
        <f>IF(ISNUMBER(Dossiers!$D$24),Dossiers!$A$24&amp;" · "&amp;Dossiers!$B$24,"")</f>
        <v/>
      </c>
      <c r="B1133" s="18">
        <f>IF($A1133="","",Paramètres!G53)</f>
        <v/>
      </c>
      <c r="C1133" s="18">
        <f>IF($A1133="","",IF(Paramètres!H53="","",Paramètres!H53))</f>
        <v/>
      </c>
      <c r="D1133" s="18">
        <f>IF($A1133="","",IF(Paramètres!I53="","",Paramètres!I53))</f>
        <v/>
      </c>
      <c r="E1133" s="19">
        <f>IF($A1133="","",IF(Paramètres!J53&amp;Paramètres!L53&amp;Paramètres!N53="",Dossiers!$D$24,MAX(IF(Paramètres!J53="",0,IF(Paramètres!K53="",NA(),IF(LEFT(TRIM(Paramètres!K53),1)="F",INDEX($F$1085:$F$1137,MATCH(Paramètres!J53,Paramètres!$G$5:$G$57,0)),INDEX($E$1085:$E$1137,MATCH(Paramètres!J53,Paramètres!$G$5:$G$57,0)))+IF(RIGHT(TRIM(Paramètres!K53),3)="Fin",1-$H1133,IF(LEFT(TRIM(Paramètres!K53),1)="F",1,0)))),IF(Paramètres!L53="",0,IF(Paramètres!M53="",NA(),IF(LEFT(TRIM(Paramètres!M53),1)="F",INDEX($F$1085:$F$1137,MATCH(Paramètres!L53,Paramètres!$G$5:$G$57,0)),INDEX($E$1085:$E$1137,MATCH(Paramètres!L53,Paramètres!$G$5:$G$57,0)))+IF(RIGHT(TRIM(Paramètres!M53),3)="Fin",1-$H1133,IF(LEFT(TRIM(Paramètres!M53),1)="F",1,0)))),IF(Paramètres!N53="",0,IF(Paramètres!O53="",NA(),IF(LEFT(TRIM(Paramètres!O53),1)="F",INDEX($F$1085:$F$1137,MATCH(Paramètres!N53,Paramètres!$G$5:$G$57,0)),INDEX($E$1085:$E$1137,MATCH(Paramètres!N53,Paramètres!$G$5:$G$57,0)))+IF(RIGHT(TRIM(Paramètres!O53),3)="Fin",1-$H1133,IF(LEFT(TRIM(Paramètres!O53),1)="F",1,0)))))))</f>
        <v/>
      </c>
      <c r="F1133" s="19">
        <f>IF($A1133="","",E1133+$H1133-1)</f>
        <v/>
      </c>
      <c r="G1133" s="18" t="n"/>
      <c r="H1133" s="18">
        <f>IF($A1133="","",IF(I1133&lt;&gt;"",I1133,Paramètres!B53))</f>
        <v/>
      </c>
      <c r="I1133" s="18" t="n"/>
    </row>
    <row r="1134">
      <c r="A1134" s="18">
        <f>IF(ISNUMBER(Dossiers!$D$24),Dossiers!$A$24&amp;" · "&amp;Dossiers!$B$24,"")</f>
        <v/>
      </c>
      <c r="B1134" s="18">
        <f>IF($A1134="","",Paramètres!G54)</f>
        <v/>
      </c>
      <c r="C1134" s="18">
        <f>IF($A1134="","",IF(Paramètres!H54="","",Paramètres!H54))</f>
        <v/>
      </c>
      <c r="D1134" s="18">
        <f>IF($A1134="","",IF(Paramètres!I54="","",Paramètres!I54))</f>
        <v/>
      </c>
      <c r="E1134" s="19">
        <f>IF($A1134="","",IF(Paramètres!J54&amp;Paramètres!L54&amp;Paramètres!N54="",Dossiers!$D$24,MAX(IF(Paramètres!J54="",0,IF(Paramètres!K54="",NA(),IF(LEFT(TRIM(Paramètres!K54),1)="F",INDEX($F$1085:$F$1137,MATCH(Paramètres!J54,Paramètres!$G$5:$G$57,0)),INDEX($E$1085:$E$1137,MATCH(Paramètres!J54,Paramètres!$G$5:$G$57,0)))+IF(RIGHT(TRIM(Paramètres!K54),3)="Fin",1-$H1134,IF(LEFT(TRIM(Paramètres!K54),1)="F",1,0)))),IF(Paramètres!L54="",0,IF(Paramètres!M54="",NA(),IF(LEFT(TRIM(Paramètres!M54),1)="F",INDEX($F$1085:$F$1137,MATCH(Paramètres!L54,Paramètres!$G$5:$G$57,0)),INDEX($E$1085:$E$1137,MATCH(Paramètres!L54,Paramètres!$G$5:$G$57,0)))+IF(RIGHT(TRIM(Paramètres!M54),3)="Fin",1-$H1134,IF(LEFT(TRIM(Paramètres!M54),1)="F",1,0)))),IF(Paramètres!N54="",0,IF(Paramètres!O54="",NA(),IF(LEFT(TRIM(Paramètres!O54),1)="F",INDEX($F$1085:$F$1137,MATCH(Paramètres!N54,Paramètres!$G$5:$G$57,0)),INDEX($E$1085:$E$1137,MATCH(Paramètres!N54,Paramètres!$G$5:$G$57,0)))+IF(RIGHT(TRIM(Paramètres!O54),3)="Fin",1-$H1134,IF(LEFT(TRIM(Paramètres!O54),1)="F",1,0)))))))</f>
        <v/>
      </c>
      <c r="F1134" s="19">
        <f>IF($A1134="","",E1134+$H1134-1)</f>
        <v/>
      </c>
      <c r="G1134" s="18" t="n"/>
      <c r="H1134" s="18">
        <f>IF($A1134="","",IF(I1134&lt;&gt;"",I1134,Paramètres!B54))</f>
        <v/>
      </c>
      <c r="I1134" s="18" t="n"/>
    </row>
    <row r="1135">
      <c r="A1135" s="18">
        <f>IF(ISNUMBER(Dossiers!$D$24),Dossiers!$A$24&amp;" · "&amp;Dossiers!$B$24,"")</f>
        <v/>
      </c>
      <c r="B1135" s="18">
        <f>IF($A1135="","",Paramètres!G55)</f>
        <v/>
      </c>
      <c r="C1135" s="18">
        <f>IF($A1135="","",IF(Paramètres!H55="","",Paramètres!H55))</f>
        <v/>
      </c>
      <c r="D1135" s="18">
        <f>IF($A1135="","",IF(Paramètres!I55="","",Paramètres!I55))</f>
        <v/>
      </c>
      <c r="E1135" s="19">
        <f>IF($A1135="","",IF(Paramètres!J55&amp;Paramètres!L55&amp;Paramètres!N55="",Dossiers!$D$24,MAX(IF(Paramètres!J55="",0,IF(Paramètres!K55="",NA(),IF(LEFT(TRIM(Paramètres!K55),1)="F",INDEX($F$1085:$F$1137,MATCH(Paramètres!J55,Paramètres!$G$5:$G$57,0)),INDEX($E$1085:$E$1137,MATCH(Paramètres!J55,Paramètres!$G$5:$G$57,0)))+IF(RIGHT(TRIM(Paramètres!K55),3)="Fin",1-$H1135,IF(LEFT(TRIM(Paramètres!K55),1)="F",1,0)))),IF(Paramètres!L55="",0,IF(Paramètres!M55="",NA(),IF(LEFT(TRIM(Paramètres!M55),1)="F",INDEX($F$1085:$F$1137,MATCH(Paramètres!L55,Paramètres!$G$5:$G$57,0)),INDEX($E$1085:$E$1137,MATCH(Paramètres!L55,Paramètres!$G$5:$G$57,0)))+IF(RIGHT(TRIM(Paramètres!M55),3)="Fin",1-$H1135,IF(LEFT(TRIM(Paramètres!M55),1)="F",1,0)))),IF(Paramètres!N55="",0,IF(Paramètres!O55="",NA(),IF(LEFT(TRIM(Paramètres!O55),1)="F",INDEX($F$1085:$F$1137,MATCH(Paramètres!N55,Paramètres!$G$5:$G$57,0)),INDEX($E$1085:$E$1137,MATCH(Paramètres!N55,Paramètres!$G$5:$G$57,0)))+IF(RIGHT(TRIM(Paramètres!O55),3)="Fin",1-$H1135,IF(LEFT(TRIM(Paramètres!O55),1)="F",1,0)))))))</f>
        <v/>
      </c>
      <c r="F1135" s="19">
        <f>IF($A1135="","",E1135+$H1135-1)</f>
        <v/>
      </c>
      <c r="G1135" s="18" t="n"/>
      <c r="H1135" s="18">
        <f>IF($A1135="","",IF(I1135&lt;&gt;"",I1135,Paramètres!B55))</f>
        <v/>
      </c>
      <c r="I1135" s="18" t="n"/>
    </row>
    <row r="1136">
      <c r="A1136" s="18">
        <f>IF(ISNUMBER(Dossiers!$D$24),Dossiers!$A$24&amp;" · "&amp;Dossiers!$B$24,"")</f>
        <v/>
      </c>
      <c r="B1136" s="18">
        <f>IF($A1136="","",Paramètres!G56)</f>
        <v/>
      </c>
      <c r="C1136" s="18">
        <f>IF($A1136="","",IF(Paramètres!H56="","",Paramètres!H56))</f>
        <v/>
      </c>
      <c r="D1136" s="18">
        <f>IF($A1136="","",IF(Paramètres!I56="","",Paramètres!I56))</f>
        <v/>
      </c>
      <c r="E1136" s="19">
        <f>IF($A1136="","",MIN(E1137:E1137))</f>
        <v/>
      </c>
      <c r="F1136" s="19">
        <f>IF($A1136="","",MAX(F1137:F1137))</f>
        <v/>
      </c>
      <c r="G1136" s="18" t="n"/>
      <c r="H1136" s="18">
        <f>IF($A1136="","",F1136-E1136+1)</f>
        <v/>
      </c>
      <c r="I1136" s="18" t="n"/>
    </row>
    <row r="1137">
      <c r="A1137" s="18">
        <f>IF(ISNUMBER(Dossiers!$D$24),Dossiers!$A$24&amp;" · "&amp;Dossiers!$B$24,"")</f>
        <v/>
      </c>
      <c r="B1137" s="18">
        <f>IF($A1137="","",Paramètres!G57)</f>
        <v/>
      </c>
      <c r="C1137" s="18">
        <f>IF($A1137="","",IF(Paramètres!H57="","",Paramètres!H57))</f>
        <v/>
      </c>
      <c r="D1137" s="18">
        <f>IF($A1137="","",IF(Paramètres!I57="","",Paramètres!I57))</f>
        <v/>
      </c>
      <c r="E1137" s="19">
        <f>IF($A1137="","",IF(Paramètres!J57&amp;Paramètres!L57&amp;Paramètres!N57="",Dossiers!$D$24,MAX(IF(Paramètres!J57="",0,IF(Paramètres!K57="",NA(),IF(LEFT(TRIM(Paramètres!K57),1)="F",INDEX($F$1085:$F$1137,MATCH(Paramètres!J57,Paramètres!$G$5:$G$57,0)),INDEX($E$1085:$E$1137,MATCH(Paramètres!J57,Paramètres!$G$5:$G$57,0)))+IF(RIGHT(TRIM(Paramètres!K57),3)="Fin",1-$H1137,IF(LEFT(TRIM(Paramètres!K57),1)="F",1,0)))),IF(Paramètres!L57="",0,IF(Paramètres!M57="",NA(),IF(LEFT(TRIM(Paramètres!M57),1)="F",INDEX($F$1085:$F$1137,MATCH(Paramètres!L57,Paramètres!$G$5:$G$57,0)),INDEX($E$1085:$E$1137,MATCH(Paramètres!L57,Paramètres!$G$5:$G$57,0)))+IF(RIGHT(TRIM(Paramètres!M57),3)="Fin",1-$H1137,IF(LEFT(TRIM(Paramètres!M57),1)="F",1,0)))),IF(Paramètres!N57="",0,IF(Paramètres!O57="",NA(),IF(LEFT(TRIM(Paramètres!O57),1)="F",INDEX($F$1085:$F$1137,MATCH(Paramètres!N57,Paramètres!$G$5:$G$57,0)),INDEX($E$1085:$E$1137,MATCH(Paramètres!N57,Paramètres!$G$5:$G$57,0)))+IF(RIGHT(TRIM(Paramètres!O57),3)="Fin",1-$H1137,IF(LEFT(TRIM(Paramètres!O57),1)="F",1,0)))))))</f>
        <v/>
      </c>
      <c r="F1137" s="19">
        <f>IF($A1137="","",E1137+$H1137-1)</f>
        <v/>
      </c>
      <c r="G1137" s="18" t="n"/>
      <c r="H1137" s="18">
        <f>IF($A1137="","",IF(I1137&lt;&gt;"",I1137,Paramètres!B57))</f>
        <v/>
      </c>
      <c r="I1137" s="18" t="n"/>
    </row>
    <row r="1138">
      <c r="A1138" s="16">
        <f>IF(ISNUMBER(Dossiers!$D$25),Dossiers!$E$25,"")</f>
        <v/>
      </c>
      <c r="B1138" s="16">
        <f>IF($A1138="","","Identifiant")</f>
        <v/>
      </c>
      <c r="C1138" s="16">
        <f>IF($A1138="","","Macro Etape")</f>
        <v/>
      </c>
      <c r="D1138" s="16">
        <f>IF($A1138="","","Etape")</f>
        <v/>
      </c>
      <c r="E1138" s="17">
        <f>IF($A1138="","","Début le")</f>
        <v/>
      </c>
      <c r="F1138" s="17">
        <f>IF($A1138="","","Fin prévue le")</f>
        <v/>
      </c>
      <c r="G1138" s="16">
        <f>IF($A1138="","","Statut")</f>
        <v/>
      </c>
      <c r="H1138" s="16">
        <f>IF($A1138="","","Durée (jours)")</f>
        <v/>
      </c>
      <c r="I1138" s="16">
        <f>IF($A1138="","","Durée particulière")</f>
        <v/>
      </c>
      <c r="J1138" s="10">
        <f>IF($A1138="","",HYPERLINK("#'Tableau de bord'!A1","↑ Tableau de bord"))</f>
        <v/>
      </c>
    </row>
    <row r="1139">
      <c r="A1139" s="18">
        <f>IF(ISNUMBER(Dossiers!$D$25),Dossiers!$A$25&amp;" · "&amp;Dossiers!$B$25,"")</f>
        <v/>
      </c>
      <c r="B1139" s="18">
        <f>IF($A1139="","",Paramètres!G5)</f>
        <v/>
      </c>
      <c r="C1139" s="18">
        <f>IF($A1139="","",IF(Paramètres!H5="","",Paramètres!H5))</f>
        <v/>
      </c>
      <c r="D1139" s="18">
        <f>IF($A1139="","",IF(Paramètres!I5="","",Paramètres!I5))</f>
        <v/>
      </c>
      <c r="E1139" s="19">
        <f>IF($A1139="","",MIN(E1140:E1143))</f>
        <v/>
      </c>
      <c r="F1139" s="19">
        <f>IF($A1139="","",MAX(F1140:F1143))</f>
        <v/>
      </c>
      <c r="G1139" s="18" t="n"/>
      <c r="H1139" s="18">
        <f>IF($A1139="","",F1139-E1139+1)</f>
        <v/>
      </c>
      <c r="I1139" s="18" t="n"/>
    </row>
    <row r="1140">
      <c r="A1140" s="18">
        <f>IF(ISNUMBER(Dossiers!$D$25),Dossiers!$A$25&amp;" · "&amp;Dossiers!$B$25,"")</f>
        <v/>
      </c>
      <c r="B1140" s="18">
        <f>IF($A1140="","",Paramètres!G6)</f>
        <v/>
      </c>
      <c r="C1140" s="18">
        <f>IF($A1140="","",IF(Paramètres!H6="","",Paramètres!H6))</f>
        <v/>
      </c>
      <c r="D1140" s="18">
        <f>IF($A1140="","",IF(Paramètres!I6="","",Paramètres!I6))</f>
        <v/>
      </c>
      <c r="E1140" s="19">
        <f>IF($A1140="","",IF(Paramètres!J6&amp;Paramètres!L6&amp;Paramètres!N6="",Dossiers!$D$25,MAX(IF(Paramètres!J6="",0,IF(Paramètres!K6="",NA(),IF(LEFT(TRIM(Paramètres!K6),1)="F",INDEX($F$1139:$F$1191,MATCH(Paramètres!J6,Paramètres!$G$5:$G$57,0)),INDEX($E$1139:$E$1191,MATCH(Paramètres!J6,Paramètres!$G$5:$G$57,0)))+IF(RIGHT(TRIM(Paramètres!K6),3)="Fin",1-$H1140,IF(LEFT(TRIM(Paramètres!K6),1)="F",1,0)))),IF(Paramètres!L6="",0,IF(Paramètres!M6="",NA(),IF(LEFT(TRIM(Paramètres!M6),1)="F",INDEX($F$1139:$F$1191,MATCH(Paramètres!L6,Paramètres!$G$5:$G$57,0)),INDEX($E$1139:$E$1191,MATCH(Paramètres!L6,Paramètres!$G$5:$G$57,0)))+IF(RIGHT(TRIM(Paramètres!M6),3)="Fin",1-$H1140,IF(LEFT(TRIM(Paramètres!M6),1)="F",1,0)))),IF(Paramètres!N6="",0,IF(Paramètres!O6="",NA(),IF(LEFT(TRIM(Paramètres!O6),1)="F",INDEX($F$1139:$F$1191,MATCH(Paramètres!N6,Paramètres!$G$5:$G$57,0)),INDEX($E$1139:$E$1191,MATCH(Paramètres!N6,Paramètres!$G$5:$G$57,0)))+IF(RIGHT(TRIM(Paramètres!O6),3)="Fin",1-$H1140,IF(LEFT(TRIM(Paramètres!O6),1)="F",1,0)))))))</f>
        <v/>
      </c>
      <c r="F1140" s="19">
        <f>IF($A1140="","",E1140+$H1140-1)</f>
        <v/>
      </c>
      <c r="G1140" s="18" t="n"/>
      <c r="H1140" s="18">
        <f>IF($A1140="","",IF(I1140&lt;&gt;"",I1140,Paramètres!B6))</f>
        <v/>
      </c>
      <c r="I1140" s="18" t="n"/>
    </row>
    <row r="1141">
      <c r="A1141" s="18">
        <f>IF(ISNUMBER(Dossiers!$D$25),Dossiers!$A$25&amp;" · "&amp;Dossiers!$B$25,"")</f>
        <v/>
      </c>
      <c r="B1141" s="18">
        <f>IF($A1141="","",Paramètres!G7)</f>
        <v/>
      </c>
      <c r="C1141" s="18">
        <f>IF($A1141="","",IF(Paramètres!H7="","",Paramètres!H7))</f>
        <v/>
      </c>
      <c r="D1141" s="18">
        <f>IF($A1141="","",IF(Paramètres!I7="","",Paramètres!I7))</f>
        <v/>
      </c>
      <c r="E1141" s="19">
        <f>IF($A1141="","",IF(Paramètres!J7&amp;Paramètres!L7&amp;Paramètres!N7="",Dossiers!$D$25,MAX(IF(Paramètres!J7="",0,IF(Paramètres!K7="",NA(),IF(LEFT(TRIM(Paramètres!K7),1)="F",INDEX($F$1139:$F$1191,MATCH(Paramètres!J7,Paramètres!$G$5:$G$57,0)),INDEX($E$1139:$E$1191,MATCH(Paramètres!J7,Paramètres!$G$5:$G$57,0)))+IF(RIGHT(TRIM(Paramètres!K7),3)="Fin",1-$H1141,IF(LEFT(TRIM(Paramètres!K7),1)="F",1,0)))),IF(Paramètres!L7="",0,IF(Paramètres!M7="",NA(),IF(LEFT(TRIM(Paramètres!M7),1)="F",INDEX($F$1139:$F$1191,MATCH(Paramètres!L7,Paramètres!$G$5:$G$57,0)),INDEX($E$1139:$E$1191,MATCH(Paramètres!L7,Paramètres!$G$5:$G$57,0)))+IF(RIGHT(TRIM(Paramètres!M7),3)="Fin",1-$H1141,IF(LEFT(TRIM(Paramètres!M7),1)="F",1,0)))),IF(Paramètres!N7="",0,IF(Paramètres!O7="",NA(),IF(LEFT(TRIM(Paramètres!O7),1)="F",INDEX($F$1139:$F$1191,MATCH(Paramètres!N7,Paramètres!$G$5:$G$57,0)),INDEX($E$1139:$E$1191,MATCH(Paramètres!N7,Paramètres!$G$5:$G$57,0)))+IF(RIGHT(TRIM(Paramètres!O7),3)="Fin",1-$H1141,IF(LEFT(TRIM(Paramètres!O7),1)="F",1,0)))))))</f>
        <v/>
      </c>
      <c r="F1141" s="19">
        <f>IF($A1141="","",E1141+$H1141-1)</f>
        <v/>
      </c>
      <c r="G1141" s="18" t="n"/>
      <c r="H1141" s="18">
        <f>IF($A1141="","",IF(I1141&lt;&gt;"",I1141,Paramètres!B7))</f>
        <v/>
      </c>
      <c r="I1141" s="18" t="n"/>
    </row>
    <row r="1142">
      <c r="A1142" s="18">
        <f>IF(ISNUMBER(Dossiers!$D$25),Dossiers!$A$25&amp;" · "&amp;Dossiers!$B$25,"")</f>
        <v/>
      </c>
      <c r="B1142" s="18">
        <f>IF($A1142="","",Paramètres!G8)</f>
        <v/>
      </c>
      <c r="C1142" s="18">
        <f>IF($A1142="","",IF(Paramètres!H8="","",Paramètres!H8))</f>
        <v/>
      </c>
      <c r="D1142" s="18">
        <f>IF($A1142="","",IF(Paramètres!I8="","",Paramètres!I8))</f>
        <v/>
      </c>
      <c r="E1142" s="19">
        <f>IF($A1142="","",IF(Paramètres!J8&amp;Paramètres!L8&amp;Paramètres!N8="",Dossiers!$D$25,MAX(IF(Paramètres!J8="",0,IF(Paramètres!K8="",NA(),IF(LEFT(TRIM(Paramètres!K8),1)="F",INDEX($F$1139:$F$1191,MATCH(Paramètres!J8,Paramètres!$G$5:$G$57,0)),INDEX($E$1139:$E$1191,MATCH(Paramètres!J8,Paramètres!$G$5:$G$57,0)))+IF(RIGHT(TRIM(Paramètres!K8),3)="Fin",1-$H1142,IF(LEFT(TRIM(Paramètres!K8),1)="F",1,0)))),IF(Paramètres!L8="",0,IF(Paramètres!M8="",NA(),IF(LEFT(TRIM(Paramètres!M8),1)="F",INDEX($F$1139:$F$1191,MATCH(Paramètres!L8,Paramètres!$G$5:$G$57,0)),INDEX($E$1139:$E$1191,MATCH(Paramètres!L8,Paramètres!$G$5:$G$57,0)))+IF(RIGHT(TRIM(Paramètres!M8),3)="Fin",1-$H1142,IF(LEFT(TRIM(Paramètres!M8),1)="F",1,0)))),IF(Paramètres!N8="",0,IF(Paramètres!O8="",NA(),IF(LEFT(TRIM(Paramètres!O8),1)="F",INDEX($F$1139:$F$1191,MATCH(Paramètres!N8,Paramètres!$G$5:$G$57,0)),INDEX($E$1139:$E$1191,MATCH(Paramètres!N8,Paramètres!$G$5:$G$57,0)))+IF(RIGHT(TRIM(Paramètres!O8),3)="Fin",1-$H1142,IF(LEFT(TRIM(Paramètres!O8),1)="F",1,0)))))))</f>
        <v/>
      </c>
      <c r="F1142" s="19">
        <f>IF($A1142="","",E1142+$H1142-1)</f>
        <v/>
      </c>
      <c r="G1142" s="18" t="n"/>
      <c r="H1142" s="18">
        <f>IF($A1142="","",IF(I1142&lt;&gt;"",I1142,Paramètres!B8))</f>
        <v/>
      </c>
      <c r="I1142" s="18" t="n"/>
    </row>
    <row r="1143">
      <c r="A1143" s="18">
        <f>IF(ISNUMBER(Dossiers!$D$25),Dossiers!$A$25&amp;" · "&amp;Dossiers!$B$25,"")</f>
        <v/>
      </c>
      <c r="B1143" s="18">
        <f>IF($A1143="","",Paramètres!G9)</f>
        <v/>
      </c>
      <c r="C1143" s="18">
        <f>IF($A1143="","",IF(Paramètres!H9="","",Paramètres!H9))</f>
        <v/>
      </c>
      <c r="D1143" s="18">
        <f>IF($A1143="","",IF(Paramètres!I9="","",Paramètres!I9))</f>
        <v/>
      </c>
      <c r="E1143" s="19">
        <f>IF($A1143="","",IF(Paramètres!J9&amp;Paramètres!L9&amp;Paramètres!N9="",Dossiers!$D$25,MAX(IF(Paramètres!J9="",0,IF(Paramètres!K9="",NA(),IF(LEFT(TRIM(Paramètres!K9),1)="F",INDEX($F$1139:$F$1191,MATCH(Paramètres!J9,Paramètres!$G$5:$G$57,0)),INDEX($E$1139:$E$1191,MATCH(Paramètres!J9,Paramètres!$G$5:$G$57,0)))+IF(RIGHT(TRIM(Paramètres!K9),3)="Fin",1-$H1143,IF(LEFT(TRIM(Paramètres!K9),1)="F",1,0)))),IF(Paramètres!L9="",0,IF(Paramètres!M9="",NA(),IF(LEFT(TRIM(Paramètres!M9),1)="F",INDEX($F$1139:$F$1191,MATCH(Paramètres!L9,Paramètres!$G$5:$G$57,0)),INDEX($E$1139:$E$1191,MATCH(Paramètres!L9,Paramètres!$G$5:$G$57,0)))+IF(RIGHT(TRIM(Paramètres!M9),3)="Fin",1-$H1143,IF(LEFT(TRIM(Paramètres!M9),1)="F",1,0)))),IF(Paramètres!N9="",0,IF(Paramètres!O9="",NA(),IF(LEFT(TRIM(Paramètres!O9),1)="F",INDEX($F$1139:$F$1191,MATCH(Paramètres!N9,Paramètres!$G$5:$G$57,0)),INDEX($E$1139:$E$1191,MATCH(Paramètres!N9,Paramètres!$G$5:$G$57,0)))+IF(RIGHT(TRIM(Paramètres!O9),3)="Fin",1-$H1143,IF(LEFT(TRIM(Paramètres!O9),1)="F",1,0)))))))</f>
        <v/>
      </c>
      <c r="F1143" s="19">
        <f>IF($A1143="","",E1143+$H1143-1)</f>
        <v/>
      </c>
      <c r="G1143" s="18" t="n"/>
      <c r="H1143" s="18">
        <f>IF($A1143="","",IF(I1143&lt;&gt;"",I1143,Paramètres!B9))</f>
        <v/>
      </c>
      <c r="I1143" s="18" t="n"/>
    </row>
    <row r="1144">
      <c r="A1144" s="18">
        <f>IF(ISNUMBER(Dossiers!$D$25),Dossiers!$A$25&amp;" · "&amp;Dossiers!$B$25,"")</f>
        <v/>
      </c>
      <c r="B1144" s="18">
        <f>IF($A1144="","",Paramètres!G10)</f>
        <v/>
      </c>
      <c r="C1144" s="18">
        <f>IF($A1144="","",IF(Paramètres!H10="","",Paramètres!H10))</f>
        <v/>
      </c>
      <c r="D1144" s="18">
        <f>IF($A1144="","",IF(Paramètres!I10="","",Paramètres!I10))</f>
        <v/>
      </c>
      <c r="E1144" s="19">
        <f>IF($A1144="","",MIN(E1145:E1148))</f>
        <v/>
      </c>
      <c r="F1144" s="19">
        <f>IF($A1144="","",MAX(F1145:F1148))</f>
        <v/>
      </c>
      <c r="G1144" s="18" t="n"/>
      <c r="H1144" s="18">
        <f>IF($A1144="","",F1144-E1144+1)</f>
        <v/>
      </c>
      <c r="I1144" s="18" t="n"/>
    </row>
    <row r="1145">
      <c r="A1145" s="18">
        <f>IF(ISNUMBER(Dossiers!$D$25),Dossiers!$A$25&amp;" · "&amp;Dossiers!$B$25,"")</f>
        <v/>
      </c>
      <c r="B1145" s="18">
        <f>IF($A1145="","",Paramètres!G11)</f>
        <v/>
      </c>
      <c r="C1145" s="18">
        <f>IF($A1145="","",IF(Paramètres!H11="","",Paramètres!H11))</f>
        <v/>
      </c>
      <c r="D1145" s="18">
        <f>IF($A1145="","",IF(Paramètres!I11="","",Paramètres!I11))</f>
        <v/>
      </c>
      <c r="E1145" s="19">
        <f>IF($A1145="","",IF(Paramètres!J11&amp;Paramètres!L11&amp;Paramètres!N11="",Dossiers!$D$25,MAX(IF(Paramètres!J11="",0,IF(Paramètres!K11="",NA(),IF(LEFT(TRIM(Paramètres!K11),1)="F",INDEX($F$1139:$F$1191,MATCH(Paramètres!J11,Paramètres!$G$5:$G$57,0)),INDEX($E$1139:$E$1191,MATCH(Paramètres!J11,Paramètres!$G$5:$G$57,0)))+IF(RIGHT(TRIM(Paramètres!K11),3)="Fin",1-$H1145,IF(LEFT(TRIM(Paramètres!K11),1)="F",1,0)))),IF(Paramètres!L11="",0,IF(Paramètres!M11="",NA(),IF(LEFT(TRIM(Paramètres!M11),1)="F",INDEX($F$1139:$F$1191,MATCH(Paramètres!L11,Paramètres!$G$5:$G$57,0)),INDEX($E$1139:$E$1191,MATCH(Paramètres!L11,Paramètres!$G$5:$G$57,0)))+IF(RIGHT(TRIM(Paramètres!M11),3)="Fin",1-$H1145,IF(LEFT(TRIM(Paramètres!M11),1)="F",1,0)))),IF(Paramètres!N11="",0,IF(Paramètres!O11="",NA(),IF(LEFT(TRIM(Paramètres!O11),1)="F",INDEX($F$1139:$F$1191,MATCH(Paramètres!N11,Paramètres!$G$5:$G$57,0)),INDEX($E$1139:$E$1191,MATCH(Paramètres!N11,Paramètres!$G$5:$G$57,0)))+IF(RIGHT(TRIM(Paramètres!O11),3)="Fin",1-$H1145,IF(LEFT(TRIM(Paramètres!O11),1)="F",1,0)))))))</f>
        <v/>
      </c>
      <c r="F1145" s="19">
        <f>IF($A1145="","",E1145+$H1145-1)</f>
        <v/>
      </c>
      <c r="G1145" s="18" t="n"/>
      <c r="H1145" s="18">
        <f>IF($A1145="","",IF(I1145&lt;&gt;"",I1145,Paramètres!B11))</f>
        <v/>
      </c>
      <c r="I1145" s="18" t="n"/>
    </row>
    <row r="1146">
      <c r="A1146" s="18">
        <f>IF(ISNUMBER(Dossiers!$D$25),Dossiers!$A$25&amp;" · "&amp;Dossiers!$B$25,"")</f>
        <v/>
      </c>
      <c r="B1146" s="18">
        <f>IF($A1146="","",Paramètres!G12)</f>
        <v/>
      </c>
      <c r="C1146" s="18">
        <f>IF($A1146="","",IF(Paramètres!H12="","",Paramètres!H12))</f>
        <v/>
      </c>
      <c r="D1146" s="18">
        <f>IF($A1146="","",IF(Paramètres!I12="","",Paramètres!I12))</f>
        <v/>
      </c>
      <c r="E1146" s="19">
        <f>IF($A1146="","",IF(Paramètres!J12&amp;Paramètres!L12&amp;Paramètres!N12="",Dossiers!$D$25,MAX(IF(Paramètres!J12="",0,IF(Paramètres!K12="",NA(),IF(LEFT(TRIM(Paramètres!K12),1)="F",INDEX($F$1139:$F$1191,MATCH(Paramètres!J12,Paramètres!$G$5:$G$57,0)),INDEX($E$1139:$E$1191,MATCH(Paramètres!J12,Paramètres!$G$5:$G$57,0)))+IF(RIGHT(TRIM(Paramètres!K12),3)="Fin",1-$H1146,IF(LEFT(TRIM(Paramètres!K12),1)="F",1,0)))),IF(Paramètres!L12="",0,IF(Paramètres!M12="",NA(),IF(LEFT(TRIM(Paramètres!M12),1)="F",INDEX($F$1139:$F$1191,MATCH(Paramètres!L12,Paramètres!$G$5:$G$57,0)),INDEX($E$1139:$E$1191,MATCH(Paramètres!L12,Paramètres!$G$5:$G$57,0)))+IF(RIGHT(TRIM(Paramètres!M12),3)="Fin",1-$H1146,IF(LEFT(TRIM(Paramètres!M12),1)="F",1,0)))),IF(Paramètres!N12="",0,IF(Paramètres!O12="",NA(),IF(LEFT(TRIM(Paramètres!O12),1)="F",INDEX($F$1139:$F$1191,MATCH(Paramètres!N12,Paramètres!$G$5:$G$57,0)),INDEX($E$1139:$E$1191,MATCH(Paramètres!N12,Paramètres!$G$5:$G$57,0)))+IF(RIGHT(TRIM(Paramètres!O12),3)="Fin",1-$H1146,IF(LEFT(TRIM(Paramètres!O12),1)="F",1,0)))))))</f>
        <v/>
      </c>
      <c r="F1146" s="19">
        <f>IF($A1146="","",E1146+$H1146-1)</f>
        <v/>
      </c>
      <c r="G1146" s="18" t="n"/>
      <c r="H1146" s="18">
        <f>IF($A1146="","",IF(I1146&lt;&gt;"",I1146,Paramètres!B12))</f>
        <v/>
      </c>
      <c r="I1146" s="18" t="n"/>
    </row>
    <row r="1147">
      <c r="A1147" s="18">
        <f>IF(ISNUMBER(Dossiers!$D$25),Dossiers!$A$25&amp;" · "&amp;Dossiers!$B$25,"")</f>
        <v/>
      </c>
      <c r="B1147" s="18">
        <f>IF($A1147="","",Paramètres!G13)</f>
        <v/>
      </c>
      <c r="C1147" s="18">
        <f>IF($A1147="","",IF(Paramètres!H13="","",Paramètres!H13))</f>
        <v/>
      </c>
      <c r="D1147" s="18">
        <f>IF($A1147="","",IF(Paramètres!I13="","",Paramètres!I13))</f>
        <v/>
      </c>
      <c r="E1147" s="19">
        <f>IF($A1147="","",IF(Paramètres!J13&amp;Paramètres!L13&amp;Paramètres!N13="",Dossiers!$D$25,MAX(IF(Paramètres!J13="",0,IF(Paramètres!K13="",NA(),IF(LEFT(TRIM(Paramètres!K13),1)="F",INDEX($F$1139:$F$1191,MATCH(Paramètres!J13,Paramètres!$G$5:$G$57,0)),INDEX($E$1139:$E$1191,MATCH(Paramètres!J13,Paramètres!$G$5:$G$57,0)))+IF(RIGHT(TRIM(Paramètres!K13),3)="Fin",1-$H1147,IF(LEFT(TRIM(Paramètres!K13),1)="F",1,0)))),IF(Paramètres!L13="",0,IF(Paramètres!M13="",NA(),IF(LEFT(TRIM(Paramètres!M13),1)="F",INDEX($F$1139:$F$1191,MATCH(Paramètres!L13,Paramètres!$G$5:$G$57,0)),INDEX($E$1139:$E$1191,MATCH(Paramètres!L13,Paramètres!$G$5:$G$57,0)))+IF(RIGHT(TRIM(Paramètres!M13),3)="Fin",1-$H1147,IF(LEFT(TRIM(Paramètres!M13),1)="F",1,0)))),IF(Paramètres!N13="",0,IF(Paramètres!O13="",NA(),IF(LEFT(TRIM(Paramètres!O13),1)="F",INDEX($F$1139:$F$1191,MATCH(Paramètres!N13,Paramètres!$G$5:$G$57,0)),INDEX($E$1139:$E$1191,MATCH(Paramètres!N13,Paramètres!$G$5:$G$57,0)))+IF(RIGHT(TRIM(Paramètres!O13),3)="Fin",1-$H1147,IF(LEFT(TRIM(Paramètres!O13),1)="F",1,0)))))))</f>
        <v/>
      </c>
      <c r="F1147" s="19">
        <f>IF($A1147="","",E1147+$H1147-1)</f>
        <v/>
      </c>
      <c r="G1147" s="18" t="n"/>
      <c r="H1147" s="18">
        <f>IF($A1147="","",IF(I1147&lt;&gt;"",I1147,Paramètres!B13))</f>
        <v/>
      </c>
      <c r="I1147" s="18" t="n"/>
    </row>
    <row r="1148">
      <c r="A1148" s="18">
        <f>IF(ISNUMBER(Dossiers!$D$25),Dossiers!$A$25&amp;" · "&amp;Dossiers!$B$25,"")</f>
        <v/>
      </c>
      <c r="B1148" s="18">
        <f>IF($A1148="","",Paramètres!G14)</f>
        <v/>
      </c>
      <c r="C1148" s="18">
        <f>IF($A1148="","",IF(Paramètres!H14="","",Paramètres!H14))</f>
        <v/>
      </c>
      <c r="D1148" s="18">
        <f>IF($A1148="","",IF(Paramètres!I14="","",Paramètres!I14))</f>
        <v/>
      </c>
      <c r="E1148" s="19">
        <f>IF($A1148="","",IF(Paramètres!J14&amp;Paramètres!L14&amp;Paramètres!N14="",Dossiers!$D$25,MAX(IF(Paramètres!J14="",0,IF(Paramètres!K14="",NA(),IF(LEFT(TRIM(Paramètres!K14),1)="F",INDEX($F$1139:$F$1191,MATCH(Paramètres!J14,Paramètres!$G$5:$G$57,0)),INDEX($E$1139:$E$1191,MATCH(Paramètres!J14,Paramètres!$G$5:$G$57,0)))+IF(RIGHT(TRIM(Paramètres!K14),3)="Fin",1-$H1148,IF(LEFT(TRIM(Paramètres!K14),1)="F",1,0)))),IF(Paramètres!L14="",0,IF(Paramètres!M14="",NA(),IF(LEFT(TRIM(Paramètres!M14),1)="F",INDEX($F$1139:$F$1191,MATCH(Paramètres!L14,Paramètres!$G$5:$G$57,0)),INDEX($E$1139:$E$1191,MATCH(Paramètres!L14,Paramètres!$G$5:$G$57,0)))+IF(RIGHT(TRIM(Paramètres!M14),3)="Fin",1-$H1148,IF(LEFT(TRIM(Paramètres!M14),1)="F",1,0)))),IF(Paramètres!N14="",0,IF(Paramètres!O14="",NA(),IF(LEFT(TRIM(Paramètres!O14),1)="F",INDEX($F$1139:$F$1191,MATCH(Paramètres!N14,Paramètres!$G$5:$G$57,0)),INDEX($E$1139:$E$1191,MATCH(Paramètres!N14,Paramètres!$G$5:$G$57,0)))+IF(RIGHT(TRIM(Paramètres!O14),3)="Fin",1-$H1148,IF(LEFT(TRIM(Paramètres!O14),1)="F",1,0)))))))</f>
        <v/>
      </c>
      <c r="F1148" s="19">
        <f>IF($A1148="","",E1148+$H1148-1)</f>
        <v/>
      </c>
      <c r="G1148" s="18" t="n"/>
      <c r="H1148" s="18">
        <f>IF($A1148="","",IF(I1148&lt;&gt;"",I1148,Paramètres!B14))</f>
        <v/>
      </c>
      <c r="I1148" s="18" t="n"/>
    </row>
    <row r="1149">
      <c r="A1149" s="18">
        <f>IF(ISNUMBER(Dossiers!$D$25),Dossiers!$A$25&amp;" · "&amp;Dossiers!$B$25,"")</f>
        <v/>
      </c>
      <c r="B1149" s="18">
        <f>IF($A1149="","",Paramètres!G15)</f>
        <v/>
      </c>
      <c r="C1149" s="18">
        <f>IF($A1149="","",IF(Paramètres!H15="","",Paramètres!H15))</f>
        <v/>
      </c>
      <c r="D1149" s="18">
        <f>IF($A1149="","",IF(Paramètres!I15="","",Paramètres!I15))</f>
        <v/>
      </c>
      <c r="E1149" s="19">
        <f>IF($A1149="","",MIN(E1150:E1165))</f>
        <v/>
      </c>
      <c r="F1149" s="19">
        <f>IF($A1149="","",MAX(F1150:F1165))</f>
        <v/>
      </c>
      <c r="G1149" s="18" t="n"/>
      <c r="H1149" s="18">
        <f>IF($A1149="","",F1149-E1149+1)</f>
        <v/>
      </c>
      <c r="I1149" s="18" t="n"/>
    </row>
    <row r="1150">
      <c r="A1150" s="18">
        <f>IF(ISNUMBER(Dossiers!$D$25),Dossiers!$A$25&amp;" · "&amp;Dossiers!$B$25,"")</f>
        <v/>
      </c>
      <c r="B1150" s="18">
        <f>IF($A1150="","",Paramètres!G16)</f>
        <v/>
      </c>
      <c r="C1150" s="18">
        <f>IF($A1150="","",IF(Paramètres!H16="","",Paramètres!H16))</f>
        <v/>
      </c>
      <c r="D1150" s="18">
        <f>IF($A1150="","",IF(Paramètres!I16="","",Paramètres!I16))</f>
        <v/>
      </c>
      <c r="E1150" s="19">
        <f>IF($A1150="","",IF(Paramètres!J16&amp;Paramètres!L16&amp;Paramètres!N16="",Dossiers!$D$25,MAX(IF(Paramètres!J16="",0,IF(Paramètres!K16="",NA(),IF(LEFT(TRIM(Paramètres!K16),1)="F",INDEX($F$1139:$F$1191,MATCH(Paramètres!J16,Paramètres!$G$5:$G$57,0)),INDEX($E$1139:$E$1191,MATCH(Paramètres!J16,Paramètres!$G$5:$G$57,0)))+IF(RIGHT(TRIM(Paramètres!K16),3)="Fin",1-$H1150,IF(LEFT(TRIM(Paramètres!K16),1)="F",1,0)))),IF(Paramètres!L16="",0,IF(Paramètres!M16="",NA(),IF(LEFT(TRIM(Paramètres!M16),1)="F",INDEX($F$1139:$F$1191,MATCH(Paramètres!L16,Paramètres!$G$5:$G$57,0)),INDEX($E$1139:$E$1191,MATCH(Paramètres!L16,Paramètres!$G$5:$G$57,0)))+IF(RIGHT(TRIM(Paramètres!M16),3)="Fin",1-$H1150,IF(LEFT(TRIM(Paramètres!M16),1)="F",1,0)))),IF(Paramètres!N16="",0,IF(Paramètres!O16="",NA(),IF(LEFT(TRIM(Paramètres!O16),1)="F",INDEX($F$1139:$F$1191,MATCH(Paramètres!N16,Paramètres!$G$5:$G$57,0)),INDEX($E$1139:$E$1191,MATCH(Paramètres!N16,Paramètres!$G$5:$G$57,0)))+IF(RIGHT(TRIM(Paramètres!O16),3)="Fin",1-$H1150,IF(LEFT(TRIM(Paramètres!O16),1)="F",1,0)))))))</f>
        <v/>
      </c>
      <c r="F1150" s="19">
        <f>IF($A1150="","",E1150+$H1150-1)</f>
        <v/>
      </c>
      <c r="G1150" s="18" t="n"/>
      <c r="H1150" s="18">
        <f>IF($A1150="","",IF(I1150&lt;&gt;"",I1150,Paramètres!B16))</f>
        <v/>
      </c>
      <c r="I1150" s="18" t="n"/>
    </row>
    <row r="1151">
      <c r="A1151" s="18">
        <f>IF(ISNUMBER(Dossiers!$D$25),Dossiers!$A$25&amp;" · "&amp;Dossiers!$B$25,"")</f>
        <v/>
      </c>
      <c r="B1151" s="18">
        <f>IF($A1151="","",Paramètres!G17)</f>
        <v/>
      </c>
      <c r="C1151" s="18">
        <f>IF($A1151="","",IF(Paramètres!H17="","",Paramètres!H17))</f>
        <v/>
      </c>
      <c r="D1151" s="18">
        <f>IF($A1151="","",IF(Paramètres!I17="","",Paramètres!I17))</f>
        <v/>
      </c>
      <c r="E1151" s="19">
        <f>IF($A1151="","",IF(Paramètres!J17&amp;Paramètres!L17&amp;Paramètres!N17="",Dossiers!$D$25,MAX(IF(Paramètres!J17="",0,IF(Paramètres!K17="",NA(),IF(LEFT(TRIM(Paramètres!K17),1)="F",INDEX($F$1139:$F$1191,MATCH(Paramètres!J17,Paramètres!$G$5:$G$57,0)),INDEX($E$1139:$E$1191,MATCH(Paramètres!J17,Paramètres!$G$5:$G$57,0)))+IF(RIGHT(TRIM(Paramètres!K17),3)="Fin",1-$H1151,IF(LEFT(TRIM(Paramètres!K17),1)="F",1,0)))),IF(Paramètres!L17="",0,IF(Paramètres!M17="",NA(),IF(LEFT(TRIM(Paramètres!M17),1)="F",INDEX($F$1139:$F$1191,MATCH(Paramètres!L17,Paramètres!$G$5:$G$57,0)),INDEX($E$1139:$E$1191,MATCH(Paramètres!L17,Paramètres!$G$5:$G$57,0)))+IF(RIGHT(TRIM(Paramètres!M17),3)="Fin",1-$H1151,IF(LEFT(TRIM(Paramètres!M17),1)="F",1,0)))),IF(Paramètres!N17="",0,IF(Paramètres!O17="",NA(),IF(LEFT(TRIM(Paramètres!O17),1)="F",INDEX($F$1139:$F$1191,MATCH(Paramètres!N17,Paramètres!$G$5:$G$57,0)),INDEX($E$1139:$E$1191,MATCH(Paramètres!N17,Paramètres!$G$5:$G$57,0)))+IF(RIGHT(TRIM(Paramètres!O17),3)="Fin",1-$H1151,IF(LEFT(TRIM(Paramètres!O17),1)="F",1,0)))))))</f>
        <v/>
      </c>
      <c r="F1151" s="19">
        <f>IF($A1151="","",E1151+$H1151-1)</f>
        <v/>
      </c>
      <c r="G1151" s="18" t="n"/>
      <c r="H1151" s="18">
        <f>IF($A1151="","",IF(I1151&lt;&gt;"",I1151,Paramètres!B17))</f>
        <v/>
      </c>
      <c r="I1151" s="18" t="n"/>
    </row>
    <row r="1152">
      <c r="A1152" s="18">
        <f>IF(ISNUMBER(Dossiers!$D$25),Dossiers!$A$25&amp;" · "&amp;Dossiers!$B$25,"")</f>
        <v/>
      </c>
      <c r="B1152" s="18">
        <f>IF($A1152="","",Paramètres!G18)</f>
        <v/>
      </c>
      <c r="C1152" s="18">
        <f>IF($A1152="","",IF(Paramètres!H18="","",Paramètres!H18))</f>
        <v/>
      </c>
      <c r="D1152" s="18">
        <f>IF($A1152="","",IF(Paramètres!I18="","",Paramètres!I18))</f>
        <v/>
      </c>
      <c r="E1152" s="19">
        <f>IF($A1152="","",IF(Paramètres!J18&amp;Paramètres!L18&amp;Paramètres!N18="",Dossiers!$D$25,MAX(IF(Paramètres!J18="",0,IF(Paramètres!K18="",NA(),IF(LEFT(TRIM(Paramètres!K18),1)="F",INDEX($F$1139:$F$1191,MATCH(Paramètres!J18,Paramètres!$G$5:$G$57,0)),INDEX($E$1139:$E$1191,MATCH(Paramètres!J18,Paramètres!$G$5:$G$57,0)))+IF(RIGHT(TRIM(Paramètres!K18),3)="Fin",1-$H1152,IF(LEFT(TRIM(Paramètres!K18),1)="F",1,0)))),IF(Paramètres!L18="",0,IF(Paramètres!M18="",NA(),IF(LEFT(TRIM(Paramètres!M18),1)="F",INDEX($F$1139:$F$1191,MATCH(Paramètres!L18,Paramètres!$G$5:$G$57,0)),INDEX($E$1139:$E$1191,MATCH(Paramètres!L18,Paramètres!$G$5:$G$57,0)))+IF(RIGHT(TRIM(Paramètres!M18),3)="Fin",1-$H1152,IF(LEFT(TRIM(Paramètres!M18),1)="F",1,0)))),IF(Paramètres!N18="",0,IF(Paramètres!O18="",NA(),IF(LEFT(TRIM(Paramètres!O18),1)="F",INDEX($F$1139:$F$1191,MATCH(Paramètres!N18,Paramètres!$G$5:$G$57,0)),INDEX($E$1139:$E$1191,MATCH(Paramètres!N18,Paramètres!$G$5:$G$57,0)))+IF(RIGHT(TRIM(Paramètres!O18),3)="Fin",1-$H1152,IF(LEFT(TRIM(Paramètres!O18),1)="F",1,0)))))))</f>
        <v/>
      </c>
      <c r="F1152" s="19">
        <f>IF($A1152="","",E1152+$H1152-1)</f>
        <v/>
      </c>
      <c r="G1152" s="18" t="n"/>
      <c r="H1152" s="18">
        <f>IF($A1152="","",IF(I1152&lt;&gt;"",I1152,Paramètres!B18))</f>
        <v/>
      </c>
      <c r="I1152" s="18" t="n"/>
    </row>
    <row r="1153">
      <c r="A1153" s="18">
        <f>IF(ISNUMBER(Dossiers!$D$25),Dossiers!$A$25&amp;" · "&amp;Dossiers!$B$25,"")</f>
        <v/>
      </c>
      <c r="B1153" s="18">
        <f>IF($A1153="","",Paramètres!G19)</f>
        <v/>
      </c>
      <c r="C1153" s="18">
        <f>IF($A1153="","",IF(Paramètres!H19="","",Paramètres!H19))</f>
        <v/>
      </c>
      <c r="D1153" s="18">
        <f>IF($A1153="","",IF(Paramètres!I19="","",Paramètres!I19))</f>
        <v/>
      </c>
      <c r="E1153" s="19">
        <f>IF($A1153="","",IF(Paramètres!J19&amp;Paramètres!L19&amp;Paramètres!N19="",Dossiers!$D$25,MAX(IF(Paramètres!J19="",0,IF(Paramètres!K19="",NA(),IF(LEFT(TRIM(Paramètres!K19),1)="F",INDEX($F$1139:$F$1191,MATCH(Paramètres!J19,Paramètres!$G$5:$G$57,0)),INDEX($E$1139:$E$1191,MATCH(Paramètres!J19,Paramètres!$G$5:$G$57,0)))+IF(RIGHT(TRIM(Paramètres!K19),3)="Fin",1-$H1153,IF(LEFT(TRIM(Paramètres!K19),1)="F",1,0)))),IF(Paramètres!L19="",0,IF(Paramètres!M19="",NA(),IF(LEFT(TRIM(Paramètres!M19),1)="F",INDEX($F$1139:$F$1191,MATCH(Paramètres!L19,Paramètres!$G$5:$G$57,0)),INDEX($E$1139:$E$1191,MATCH(Paramètres!L19,Paramètres!$G$5:$G$57,0)))+IF(RIGHT(TRIM(Paramètres!M19),3)="Fin",1-$H1153,IF(LEFT(TRIM(Paramètres!M19),1)="F",1,0)))),IF(Paramètres!N19="",0,IF(Paramètres!O19="",NA(),IF(LEFT(TRIM(Paramètres!O19),1)="F",INDEX($F$1139:$F$1191,MATCH(Paramètres!N19,Paramètres!$G$5:$G$57,0)),INDEX($E$1139:$E$1191,MATCH(Paramètres!N19,Paramètres!$G$5:$G$57,0)))+IF(RIGHT(TRIM(Paramètres!O19),3)="Fin",1-$H1153,IF(LEFT(TRIM(Paramètres!O19),1)="F",1,0)))))))</f>
        <v/>
      </c>
      <c r="F1153" s="19">
        <f>IF($A1153="","",E1153+$H1153-1)</f>
        <v/>
      </c>
      <c r="G1153" s="18" t="n"/>
      <c r="H1153" s="18">
        <f>IF($A1153="","",IF(I1153&lt;&gt;"",I1153,Paramètres!B19))</f>
        <v/>
      </c>
      <c r="I1153" s="18" t="n"/>
    </row>
    <row r="1154">
      <c r="A1154" s="18">
        <f>IF(ISNUMBER(Dossiers!$D$25),Dossiers!$A$25&amp;" · "&amp;Dossiers!$B$25,"")</f>
        <v/>
      </c>
      <c r="B1154" s="18">
        <f>IF($A1154="","",Paramètres!G20)</f>
        <v/>
      </c>
      <c r="C1154" s="18">
        <f>IF($A1154="","",IF(Paramètres!H20="","",Paramètres!H20))</f>
        <v/>
      </c>
      <c r="D1154" s="18">
        <f>IF($A1154="","",IF(Paramètres!I20="","",Paramètres!I20))</f>
        <v/>
      </c>
      <c r="E1154" s="19">
        <f>IF($A1154="","",IF(Paramètres!J20&amp;Paramètres!L20&amp;Paramètres!N20="",Dossiers!$D$25,MAX(IF(Paramètres!J20="",0,IF(Paramètres!K20="",NA(),IF(LEFT(TRIM(Paramètres!K20),1)="F",INDEX($F$1139:$F$1191,MATCH(Paramètres!J20,Paramètres!$G$5:$G$57,0)),INDEX($E$1139:$E$1191,MATCH(Paramètres!J20,Paramètres!$G$5:$G$57,0)))+IF(RIGHT(TRIM(Paramètres!K20),3)="Fin",1-$H1154,IF(LEFT(TRIM(Paramètres!K20),1)="F",1,0)))),IF(Paramètres!L20="",0,IF(Paramètres!M20="",NA(),IF(LEFT(TRIM(Paramètres!M20),1)="F",INDEX($F$1139:$F$1191,MATCH(Paramètres!L20,Paramètres!$G$5:$G$57,0)),INDEX($E$1139:$E$1191,MATCH(Paramètres!L20,Paramètres!$G$5:$G$57,0)))+IF(RIGHT(TRIM(Paramètres!M20),3)="Fin",1-$H1154,IF(LEFT(TRIM(Paramètres!M20),1)="F",1,0)))),IF(Paramètres!N20="",0,IF(Paramètres!O20="",NA(),IF(LEFT(TRIM(Paramètres!O20),1)="F",INDEX($F$1139:$F$1191,MATCH(Paramètres!N20,Paramètres!$G$5:$G$57,0)),INDEX($E$1139:$E$1191,MATCH(Paramètres!N20,Paramètres!$G$5:$G$57,0)))+IF(RIGHT(TRIM(Paramètres!O20),3)="Fin",1-$H1154,IF(LEFT(TRIM(Paramètres!O20),1)="F",1,0)))))))</f>
        <v/>
      </c>
      <c r="F1154" s="19">
        <f>IF($A1154="","",E1154+$H1154-1)</f>
        <v/>
      </c>
      <c r="G1154" s="18" t="n"/>
      <c r="H1154" s="18">
        <f>IF($A1154="","",IF(I1154&lt;&gt;"",I1154,Paramètres!B20))</f>
        <v/>
      </c>
      <c r="I1154" s="18" t="n"/>
    </row>
    <row r="1155">
      <c r="A1155" s="18">
        <f>IF(ISNUMBER(Dossiers!$D$25),Dossiers!$A$25&amp;" · "&amp;Dossiers!$B$25,"")</f>
        <v/>
      </c>
      <c r="B1155" s="18">
        <f>IF($A1155="","",Paramètres!G21)</f>
        <v/>
      </c>
      <c r="C1155" s="18">
        <f>IF($A1155="","",IF(Paramètres!H21="","",Paramètres!H21))</f>
        <v/>
      </c>
      <c r="D1155" s="18">
        <f>IF($A1155="","",IF(Paramètres!I21="","",Paramètres!I21))</f>
        <v/>
      </c>
      <c r="E1155" s="19">
        <f>IF($A1155="","",IF(Paramètres!J21&amp;Paramètres!L21&amp;Paramètres!N21="",Dossiers!$D$25,MAX(IF(Paramètres!J21="",0,IF(Paramètres!K21="",NA(),IF(LEFT(TRIM(Paramètres!K21),1)="F",INDEX($F$1139:$F$1191,MATCH(Paramètres!J21,Paramètres!$G$5:$G$57,0)),INDEX($E$1139:$E$1191,MATCH(Paramètres!J21,Paramètres!$G$5:$G$57,0)))+IF(RIGHT(TRIM(Paramètres!K21),3)="Fin",1-$H1155,IF(LEFT(TRIM(Paramètres!K21),1)="F",1,0)))),IF(Paramètres!L21="",0,IF(Paramètres!M21="",NA(),IF(LEFT(TRIM(Paramètres!M21),1)="F",INDEX($F$1139:$F$1191,MATCH(Paramètres!L21,Paramètres!$G$5:$G$57,0)),INDEX($E$1139:$E$1191,MATCH(Paramètres!L21,Paramètres!$G$5:$G$57,0)))+IF(RIGHT(TRIM(Paramètres!M21),3)="Fin",1-$H1155,IF(LEFT(TRIM(Paramètres!M21),1)="F",1,0)))),IF(Paramètres!N21="",0,IF(Paramètres!O21="",NA(),IF(LEFT(TRIM(Paramètres!O21),1)="F",INDEX($F$1139:$F$1191,MATCH(Paramètres!N21,Paramètres!$G$5:$G$57,0)),INDEX($E$1139:$E$1191,MATCH(Paramètres!N21,Paramètres!$G$5:$G$57,0)))+IF(RIGHT(TRIM(Paramètres!O21),3)="Fin",1-$H1155,IF(LEFT(TRIM(Paramètres!O21),1)="F",1,0)))))))</f>
        <v/>
      </c>
      <c r="F1155" s="19">
        <f>IF($A1155="","",E1155+$H1155-1)</f>
        <v/>
      </c>
      <c r="G1155" s="18" t="n"/>
      <c r="H1155" s="18">
        <f>IF($A1155="","",IF(I1155&lt;&gt;"",I1155,Paramètres!B21))</f>
        <v/>
      </c>
      <c r="I1155" s="18" t="n"/>
    </row>
    <row r="1156">
      <c r="A1156" s="18">
        <f>IF(ISNUMBER(Dossiers!$D$25),Dossiers!$A$25&amp;" · "&amp;Dossiers!$B$25,"")</f>
        <v/>
      </c>
      <c r="B1156" s="18">
        <f>IF($A1156="","",Paramètres!G22)</f>
        <v/>
      </c>
      <c r="C1156" s="18">
        <f>IF($A1156="","",IF(Paramètres!H22="","",Paramètres!H22))</f>
        <v/>
      </c>
      <c r="D1156" s="18">
        <f>IF($A1156="","",IF(Paramètres!I22="","",Paramètres!I22))</f>
        <v/>
      </c>
      <c r="E1156" s="19">
        <f>IF($A1156="","",IF(Paramètres!J22&amp;Paramètres!L22&amp;Paramètres!N22="",Dossiers!$D$25,MAX(IF(Paramètres!J22="",0,IF(Paramètres!K22="",NA(),IF(LEFT(TRIM(Paramètres!K22),1)="F",INDEX($F$1139:$F$1191,MATCH(Paramètres!J22,Paramètres!$G$5:$G$57,0)),INDEX($E$1139:$E$1191,MATCH(Paramètres!J22,Paramètres!$G$5:$G$57,0)))+IF(RIGHT(TRIM(Paramètres!K22),3)="Fin",1-$H1156,IF(LEFT(TRIM(Paramètres!K22),1)="F",1,0)))),IF(Paramètres!L22="",0,IF(Paramètres!M22="",NA(),IF(LEFT(TRIM(Paramètres!M22),1)="F",INDEX($F$1139:$F$1191,MATCH(Paramètres!L22,Paramètres!$G$5:$G$57,0)),INDEX($E$1139:$E$1191,MATCH(Paramètres!L22,Paramètres!$G$5:$G$57,0)))+IF(RIGHT(TRIM(Paramètres!M22),3)="Fin",1-$H1156,IF(LEFT(TRIM(Paramètres!M22),1)="F",1,0)))),IF(Paramètres!N22="",0,IF(Paramètres!O22="",NA(),IF(LEFT(TRIM(Paramètres!O22),1)="F",INDEX($F$1139:$F$1191,MATCH(Paramètres!N22,Paramètres!$G$5:$G$57,0)),INDEX($E$1139:$E$1191,MATCH(Paramètres!N22,Paramètres!$G$5:$G$57,0)))+IF(RIGHT(TRIM(Paramètres!O22),3)="Fin",1-$H1156,IF(LEFT(TRIM(Paramètres!O22),1)="F",1,0)))))))</f>
        <v/>
      </c>
      <c r="F1156" s="19">
        <f>IF($A1156="","",E1156+$H1156-1)</f>
        <v/>
      </c>
      <c r="G1156" s="18" t="n"/>
      <c r="H1156" s="18">
        <f>IF($A1156="","",IF(I1156&lt;&gt;"",I1156,Paramètres!B22))</f>
        <v/>
      </c>
      <c r="I1156" s="18" t="n"/>
    </row>
    <row r="1157">
      <c r="A1157" s="18">
        <f>IF(ISNUMBER(Dossiers!$D$25),Dossiers!$A$25&amp;" · "&amp;Dossiers!$B$25,"")</f>
        <v/>
      </c>
      <c r="B1157" s="18">
        <f>IF($A1157="","",Paramètres!G23)</f>
        <v/>
      </c>
      <c r="C1157" s="18">
        <f>IF($A1157="","",IF(Paramètres!H23="","",Paramètres!H23))</f>
        <v/>
      </c>
      <c r="D1157" s="18">
        <f>IF($A1157="","",IF(Paramètres!I23="","",Paramètres!I23))</f>
        <v/>
      </c>
      <c r="E1157" s="19">
        <f>IF($A1157="","",IF(Paramètres!J23&amp;Paramètres!L23&amp;Paramètres!N23="",Dossiers!$D$25,MAX(IF(Paramètres!J23="",0,IF(Paramètres!K23="",NA(),IF(LEFT(TRIM(Paramètres!K23),1)="F",INDEX($F$1139:$F$1191,MATCH(Paramètres!J23,Paramètres!$G$5:$G$57,0)),INDEX($E$1139:$E$1191,MATCH(Paramètres!J23,Paramètres!$G$5:$G$57,0)))+IF(RIGHT(TRIM(Paramètres!K23),3)="Fin",1-$H1157,IF(LEFT(TRIM(Paramètres!K23),1)="F",1,0)))),IF(Paramètres!L23="",0,IF(Paramètres!M23="",NA(),IF(LEFT(TRIM(Paramètres!M23),1)="F",INDEX($F$1139:$F$1191,MATCH(Paramètres!L23,Paramètres!$G$5:$G$57,0)),INDEX($E$1139:$E$1191,MATCH(Paramètres!L23,Paramètres!$G$5:$G$57,0)))+IF(RIGHT(TRIM(Paramètres!M23),3)="Fin",1-$H1157,IF(LEFT(TRIM(Paramètres!M23),1)="F",1,0)))),IF(Paramètres!N23="",0,IF(Paramètres!O23="",NA(),IF(LEFT(TRIM(Paramètres!O23),1)="F",INDEX($F$1139:$F$1191,MATCH(Paramètres!N23,Paramètres!$G$5:$G$57,0)),INDEX($E$1139:$E$1191,MATCH(Paramètres!N23,Paramètres!$G$5:$G$57,0)))+IF(RIGHT(TRIM(Paramètres!O23),3)="Fin",1-$H1157,IF(LEFT(TRIM(Paramètres!O23),1)="F",1,0)))))))</f>
        <v/>
      </c>
      <c r="F1157" s="19">
        <f>IF($A1157="","",E1157+$H1157-1)</f>
        <v/>
      </c>
      <c r="G1157" s="18" t="n"/>
      <c r="H1157" s="18">
        <f>IF($A1157="","",IF(I1157&lt;&gt;"",I1157,Paramètres!B23))</f>
        <v/>
      </c>
      <c r="I1157" s="18" t="n"/>
    </row>
    <row r="1158">
      <c r="A1158" s="18">
        <f>IF(ISNUMBER(Dossiers!$D$25),Dossiers!$A$25&amp;" · "&amp;Dossiers!$B$25,"")</f>
        <v/>
      </c>
      <c r="B1158" s="18">
        <f>IF($A1158="","",Paramètres!G24)</f>
        <v/>
      </c>
      <c r="C1158" s="18">
        <f>IF($A1158="","",IF(Paramètres!H24="","",Paramètres!H24))</f>
        <v/>
      </c>
      <c r="D1158" s="18">
        <f>IF($A1158="","",IF(Paramètres!I24="","",Paramètres!I24))</f>
        <v/>
      </c>
      <c r="E1158" s="19">
        <f>IF($A1158="","",IF(Paramètres!J24&amp;Paramètres!L24&amp;Paramètres!N24="",Dossiers!$D$25,MAX(IF(Paramètres!J24="",0,IF(Paramètres!K24="",NA(),IF(LEFT(TRIM(Paramètres!K24),1)="F",INDEX($F$1139:$F$1191,MATCH(Paramètres!J24,Paramètres!$G$5:$G$57,0)),INDEX($E$1139:$E$1191,MATCH(Paramètres!J24,Paramètres!$G$5:$G$57,0)))+IF(RIGHT(TRIM(Paramètres!K24),3)="Fin",1-$H1158,IF(LEFT(TRIM(Paramètres!K24),1)="F",1,0)))),IF(Paramètres!L24="",0,IF(Paramètres!M24="",NA(),IF(LEFT(TRIM(Paramètres!M24),1)="F",INDEX($F$1139:$F$1191,MATCH(Paramètres!L24,Paramètres!$G$5:$G$57,0)),INDEX($E$1139:$E$1191,MATCH(Paramètres!L24,Paramètres!$G$5:$G$57,0)))+IF(RIGHT(TRIM(Paramètres!M24),3)="Fin",1-$H1158,IF(LEFT(TRIM(Paramètres!M24),1)="F",1,0)))),IF(Paramètres!N24="",0,IF(Paramètres!O24="",NA(),IF(LEFT(TRIM(Paramètres!O24),1)="F",INDEX($F$1139:$F$1191,MATCH(Paramètres!N24,Paramètres!$G$5:$G$57,0)),INDEX($E$1139:$E$1191,MATCH(Paramètres!N24,Paramètres!$G$5:$G$57,0)))+IF(RIGHT(TRIM(Paramètres!O24),3)="Fin",1-$H1158,IF(LEFT(TRIM(Paramètres!O24),1)="F",1,0)))))))</f>
        <v/>
      </c>
      <c r="F1158" s="19">
        <f>IF($A1158="","",E1158+$H1158-1)</f>
        <v/>
      </c>
      <c r="G1158" s="18" t="n"/>
      <c r="H1158" s="18">
        <f>IF($A1158="","",IF(I1158&lt;&gt;"",I1158,Paramètres!B24))</f>
        <v/>
      </c>
      <c r="I1158" s="18" t="n"/>
    </row>
    <row r="1159">
      <c r="A1159" s="18">
        <f>IF(ISNUMBER(Dossiers!$D$25),Dossiers!$A$25&amp;" · "&amp;Dossiers!$B$25,"")</f>
        <v/>
      </c>
      <c r="B1159" s="18">
        <f>IF($A1159="","",Paramètres!G25)</f>
        <v/>
      </c>
      <c r="C1159" s="18">
        <f>IF($A1159="","",IF(Paramètres!H25="","",Paramètres!H25))</f>
        <v/>
      </c>
      <c r="D1159" s="18">
        <f>IF($A1159="","",IF(Paramètres!I25="","",Paramètres!I25))</f>
        <v/>
      </c>
      <c r="E1159" s="19">
        <f>IF($A1159="","",IF(Paramètres!J25&amp;Paramètres!L25&amp;Paramètres!N25="",Dossiers!$D$25,MAX(IF(Paramètres!J25="",0,IF(Paramètres!K25="",NA(),IF(LEFT(TRIM(Paramètres!K25),1)="F",INDEX($F$1139:$F$1191,MATCH(Paramètres!J25,Paramètres!$G$5:$G$57,0)),INDEX($E$1139:$E$1191,MATCH(Paramètres!J25,Paramètres!$G$5:$G$57,0)))+IF(RIGHT(TRIM(Paramètres!K25),3)="Fin",1-$H1159,IF(LEFT(TRIM(Paramètres!K25),1)="F",1,0)))),IF(Paramètres!L25="",0,IF(Paramètres!M25="",NA(),IF(LEFT(TRIM(Paramètres!M25),1)="F",INDEX($F$1139:$F$1191,MATCH(Paramètres!L25,Paramètres!$G$5:$G$57,0)),INDEX($E$1139:$E$1191,MATCH(Paramètres!L25,Paramètres!$G$5:$G$57,0)))+IF(RIGHT(TRIM(Paramètres!M25),3)="Fin",1-$H1159,IF(LEFT(TRIM(Paramètres!M25),1)="F",1,0)))),IF(Paramètres!N25="",0,IF(Paramètres!O25="",NA(),IF(LEFT(TRIM(Paramètres!O25),1)="F",INDEX($F$1139:$F$1191,MATCH(Paramètres!N25,Paramètres!$G$5:$G$57,0)),INDEX($E$1139:$E$1191,MATCH(Paramètres!N25,Paramètres!$G$5:$G$57,0)))+IF(RIGHT(TRIM(Paramètres!O25),3)="Fin",1-$H1159,IF(LEFT(TRIM(Paramètres!O25),1)="F",1,0)))))))</f>
        <v/>
      </c>
      <c r="F1159" s="19">
        <f>IF($A1159="","",E1159+$H1159-1)</f>
        <v/>
      </c>
      <c r="G1159" s="18" t="n"/>
      <c r="H1159" s="18">
        <f>IF($A1159="","",IF(I1159&lt;&gt;"",I1159,Paramètres!B25))</f>
        <v/>
      </c>
      <c r="I1159" s="18" t="n"/>
    </row>
    <row r="1160">
      <c r="A1160" s="18">
        <f>IF(ISNUMBER(Dossiers!$D$25),Dossiers!$A$25&amp;" · "&amp;Dossiers!$B$25,"")</f>
        <v/>
      </c>
      <c r="B1160" s="18">
        <f>IF($A1160="","",Paramètres!G26)</f>
        <v/>
      </c>
      <c r="C1160" s="18">
        <f>IF($A1160="","",IF(Paramètres!H26="","",Paramètres!H26))</f>
        <v/>
      </c>
      <c r="D1160" s="18">
        <f>IF($A1160="","",IF(Paramètres!I26="","",Paramètres!I26))</f>
        <v/>
      </c>
      <c r="E1160" s="19">
        <f>IF($A1160="","",IF(Paramètres!J26&amp;Paramètres!L26&amp;Paramètres!N26="",Dossiers!$D$25,MAX(IF(Paramètres!J26="",0,IF(Paramètres!K26="",NA(),IF(LEFT(TRIM(Paramètres!K26),1)="F",INDEX($F$1139:$F$1191,MATCH(Paramètres!J26,Paramètres!$G$5:$G$57,0)),INDEX($E$1139:$E$1191,MATCH(Paramètres!J26,Paramètres!$G$5:$G$57,0)))+IF(RIGHT(TRIM(Paramètres!K26),3)="Fin",1-$H1160,IF(LEFT(TRIM(Paramètres!K26),1)="F",1,0)))),IF(Paramètres!L26="",0,IF(Paramètres!M26="",NA(),IF(LEFT(TRIM(Paramètres!M26),1)="F",INDEX($F$1139:$F$1191,MATCH(Paramètres!L26,Paramètres!$G$5:$G$57,0)),INDEX($E$1139:$E$1191,MATCH(Paramètres!L26,Paramètres!$G$5:$G$57,0)))+IF(RIGHT(TRIM(Paramètres!M26),3)="Fin",1-$H1160,IF(LEFT(TRIM(Paramètres!M26),1)="F",1,0)))),IF(Paramètres!N26="",0,IF(Paramètres!O26="",NA(),IF(LEFT(TRIM(Paramètres!O26),1)="F",INDEX($F$1139:$F$1191,MATCH(Paramètres!N26,Paramètres!$G$5:$G$57,0)),INDEX($E$1139:$E$1191,MATCH(Paramètres!N26,Paramètres!$G$5:$G$57,0)))+IF(RIGHT(TRIM(Paramètres!O26),3)="Fin",1-$H1160,IF(LEFT(TRIM(Paramètres!O26),1)="F",1,0)))))))</f>
        <v/>
      </c>
      <c r="F1160" s="19">
        <f>IF($A1160="","",E1160+$H1160-1)</f>
        <v/>
      </c>
      <c r="G1160" s="18" t="n"/>
      <c r="H1160" s="18">
        <f>IF($A1160="","",IF(I1160&lt;&gt;"",I1160,Paramètres!B26))</f>
        <v/>
      </c>
      <c r="I1160" s="18" t="n"/>
    </row>
    <row r="1161">
      <c r="A1161" s="18">
        <f>IF(ISNUMBER(Dossiers!$D$25),Dossiers!$A$25&amp;" · "&amp;Dossiers!$B$25,"")</f>
        <v/>
      </c>
      <c r="B1161" s="18">
        <f>IF($A1161="","",Paramètres!G27)</f>
        <v/>
      </c>
      <c r="C1161" s="18">
        <f>IF($A1161="","",IF(Paramètres!H27="","",Paramètres!H27))</f>
        <v/>
      </c>
      <c r="D1161" s="18">
        <f>IF($A1161="","",IF(Paramètres!I27="","",Paramètres!I27))</f>
        <v/>
      </c>
      <c r="E1161" s="19">
        <f>IF($A1161="","",IF(Paramètres!J27&amp;Paramètres!L27&amp;Paramètres!N27="",Dossiers!$D$25,MAX(IF(Paramètres!J27="",0,IF(Paramètres!K27="",NA(),IF(LEFT(TRIM(Paramètres!K27),1)="F",INDEX($F$1139:$F$1191,MATCH(Paramètres!J27,Paramètres!$G$5:$G$57,0)),INDEX($E$1139:$E$1191,MATCH(Paramètres!J27,Paramètres!$G$5:$G$57,0)))+IF(RIGHT(TRIM(Paramètres!K27),3)="Fin",1-$H1161,IF(LEFT(TRIM(Paramètres!K27),1)="F",1,0)))),IF(Paramètres!L27="",0,IF(Paramètres!M27="",NA(),IF(LEFT(TRIM(Paramètres!M27),1)="F",INDEX($F$1139:$F$1191,MATCH(Paramètres!L27,Paramètres!$G$5:$G$57,0)),INDEX($E$1139:$E$1191,MATCH(Paramètres!L27,Paramètres!$G$5:$G$57,0)))+IF(RIGHT(TRIM(Paramètres!M27),3)="Fin",1-$H1161,IF(LEFT(TRIM(Paramètres!M27),1)="F",1,0)))),IF(Paramètres!N27="",0,IF(Paramètres!O27="",NA(),IF(LEFT(TRIM(Paramètres!O27),1)="F",INDEX($F$1139:$F$1191,MATCH(Paramètres!N27,Paramètres!$G$5:$G$57,0)),INDEX($E$1139:$E$1191,MATCH(Paramètres!N27,Paramètres!$G$5:$G$57,0)))+IF(RIGHT(TRIM(Paramètres!O27),3)="Fin",1-$H1161,IF(LEFT(TRIM(Paramètres!O27),1)="F",1,0)))))))</f>
        <v/>
      </c>
      <c r="F1161" s="19">
        <f>IF($A1161="","",E1161+$H1161-1)</f>
        <v/>
      </c>
      <c r="G1161" s="18" t="n"/>
      <c r="H1161" s="18">
        <f>IF($A1161="","",IF(I1161&lt;&gt;"",I1161,Paramètres!B27))</f>
        <v/>
      </c>
      <c r="I1161" s="18" t="n"/>
    </row>
    <row r="1162">
      <c r="A1162" s="18">
        <f>IF(ISNUMBER(Dossiers!$D$25),Dossiers!$A$25&amp;" · "&amp;Dossiers!$B$25,"")</f>
        <v/>
      </c>
      <c r="B1162" s="18">
        <f>IF($A1162="","",Paramètres!G28)</f>
        <v/>
      </c>
      <c r="C1162" s="18">
        <f>IF($A1162="","",IF(Paramètres!H28="","",Paramètres!H28))</f>
        <v/>
      </c>
      <c r="D1162" s="18">
        <f>IF($A1162="","",IF(Paramètres!I28="","",Paramètres!I28))</f>
        <v/>
      </c>
      <c r="E1162" s="19">
        <f>IF($A1162="","",IF(Paramètres!J28&amp;Paramètres!L28&amp;Paramètres!N28="",Dossiers!$D$25,MAX(IF(Paramètres!J28="",0,IF(Paramètres!K28="",NA(),IF(LEFT(TRIM(Paramètres!K28),1)="F",INDEX($F$1139:$F$1191,MATCH(Paramètres!J28,Paramètres!$G$5:$G$57,0)),INDEX($E$1139:$E$1191,MATCH(Paramètres!J28,Paramètres!$G$5:$G$57,0)))+IF(RIGHT(TRIM(Paramètres!K28),3)="Fin",1-$H1162,IF(LEFT(TRIM(Paramètres!K28),1)="F",1,0)))),IF(Paramètres!L28="",0,IF(Paramètres!M28="",NA(),IF(LEFT(TRIM(Paramètres!M28),1)="F",INDEX($F$1139:$F$1191,MATCH(Paramètres!L28,Paramètres!$G$5:$G$57,0)),INDEX($E$1139:$E$1191,MATCH(Paramètres!L28,Paramètres!$G$5:$G$57,0)))+IF(RIGHT(TRIM(Paramètres!M28),3)="Fin",1-$H1162,IF(LEFT(TRIM(Paramètres!M28),1)="F",1,0)))),IF(Paramètres!N28="",0,IF(Paramètres!O28="",NA(),IF(LEFT(TRIM(Paramètres!O28),1)="F",INDEX($F$1139:$F$1191,MATCH(Paramètres!N28,Paramètres!$G$5:$G$57,0)),INDEX($E$1139:$E$1191,MATCH(Paramètres!N28,Paramètres!$G$5:$G$57,0)))+IF(RIGHT(TRIM(Paramètres!O28),3)="Fin",1-$H1162,IF(LEFT(TRIM(Paramètres!O28),1)="F",1,0)))))))</f>
        <v/>
      </c>
      <c r="F1162" s="19">
        <f>IF($A1162="","",E1162+$H1162-1)</f>
        <v/>
      </c>
      <c r="G1162" s="18" t="n"/>
      <c r="H1162" s="18">
        <f>IF($A1162="","",IF(I1162&lt;&gt;"",I1162,Paramètres!B28))</f>
        <v/>
      </c>
      <c r="I1162" s="18" t="n"/>
    </row>
    <row r="1163">
      <c r="A1163" s="18">
        <f>IF(ISNUMBER(Dossiers!$D$25),Dossiers!$A$25&amp;" · "&amp;Dossiers!$B$25,"")</f>
        <v/>
      </c>
      <c r="B1163" s="18">
        <f>IF($A1163="","",Paramètres!G29)</f>
        <v/>
      </c>
      <c r="C1163" s="18">
        <f>IF($A1163="","",IF(Paramètres!H29="","",Paramètres!H29))</f>
        <v/>
      </c>
      <c r="D1163" s="18">
        <f>IF($A1163="","",IF(Paramètres!I29="","",Paramètres!I29))</f>
        <v/>
      </c>
      <c r="E1163" s="19">
        <f>IF($A1163="","",IF(Paramètres!J29&amp;Paramètres!L29&amp;Paramètres!N29="",Dossiers!$D$25,MAX(IF(Paramètres!J29="",0,IF(Paramètres!K29="",NA(),IF(LEFT(TRIM(Paramètres!K29),1)="F",INDEX($F$1139:$F$1191,MATCH(Paramètres!J29,Paramètres!$G$5:$G$57,0)),INDEX($E$1139:$E$1191,MATCH(Paramètres!J29,Paramètres!$G$5:$G$57,0)))+IF(RIGHT(TRIM(Paramètres!K29),3)="Fin",1-$H1163,IF(LEFT(TRIM(Paramètres!K29),1)="F",1,0)))),IF(Paramètres!L29="",0,IF(Paramètres!M29="",NA(),IF(LEFT(TRIM(Paramètres!M29),1)="F",INDEX($F$1139:$F$1191,MATCH(Paramètres!L29,Paramètres!$G$5:$G$57,0)),INDEX($E$1139:$E$1191,MATCH(Paramètres!L29,Paramètres!$G$5:$G$57,0)))+IF(RIGHT(TRIM(Paramètres!M29),3)="Fin",1-$H1163,IF(LEFT(TRIM(Paramètres!M29),1)="F",1,0)))),IF(Paramètres!N29="",0,IF(Paramètres!O29="",NA(),IF(LEFT(TRIM(Paramètres!O29),1)="F",INDEX($F$1139:$F$1191,MATCH(Paramètres!N29,Paramètres!$G$5:$G$57,0)),INDEX($E$1139:$E$1191,MATCH(Paramètres!N29,Paramètres!$G$5:$G$57,0)))+IF(RIGHT(TRIM(Paramètres!O29),3)="Fin",1-$H1163,IF(LEFT(TRIM(Paramètres!O29),1)="F",1,0)))))))</f>
        <v/>
      </c>
      <c r="F1163" s="19">
        <f>IF($A1163="","",E1163+$H1163-1)</f>
        <v/>
      </c>
      <c r="G1163" s="18" t="n"/>
      <c r="H1163" s="18">
        <f>IF($A1163="","",IF(I1163&lt;&gt;"",I1163,Paramètres!B29))</f>
        <v/>
      </c>
      <c r="I1163" s="18" t="n"/>
    </row>
    <row r="1164">
      <c r="A1164" s="18">
        <f>IF(ISNUMBER(Dossiers!$D$25),Dossiers!$A$25&amp;" · "&amp;Dossiers!$B$25,"")</f>
        <v/>
      </c>
      <c r="B1164" s="18">
        <f>IF($A1164="","",Paramètres!G30)</f>
        <v/>
      </c>
      <c r="C1164" s="18">
        <f>IF($A1164="","",IF(Paramètres!H30="","",Paramètres!H30))</f>
        <v/>
      </c>
      <c r="D1164" s="18">
        <f>IF($A1164="","",IF(Paramètres!I30="","",Paramètres!I30))</f>
        <v/>
      </c>
      <c r="E1164" s="19">
        <f>IF($A1164="","",IF(Paramètres!J30&amp;Paramètres!L30&amp;Paramètres!N30="",Dossiers!$D$25,MAX(IF(Paramètres!J30="",0,IF(Paramètres!K30="",NA(),IF(LEFT(TRIM(Paramètres!K30),1)="F",INDEX($F$1139:$F$1191,MATCH(Paramètres!J30,Paramètres!$G$5:$G$57,0)),INDEX($E$1139:$E$1191,MATCH(Paramètres!J30,Paramètres!$G$5:$G$57,0)))+IF(RIGHT(TRIM(Paramètres!K30),3)="Fin",1-$H1164,IF(LEFT(TRIM(Paramètres!K30),1)="F",1,0)))),IF(Paramètres!L30="",0,IF(Paramètres!M30="",NA(),IF(LEFT(TRIM(Paramètres!M30),1)="F",INDEX($F$1139:$F$1191,MATCH(Paramètres!L30,Paramètres!$G$5:$G$57,0)),INDEX($E$1139:$E$1191,MATCH(Paramètres!L30,Paramètres!$G$5:$G$57,0)))+IF(RIGHT(TRIM(Paramètres!M30),3)="Fin",1-$H1164,IF(LEFT(TRIM(Paramètres!M30),1)="F",1,0)))),IF(Paramètres!N30="",0,IF(Paramètres!O30="",NA(),IF(LEFT(TRIM(Paramètres!O30),1)="F",INDEX($F$1139:$F$1191,MATCH(Paramètres!N30,Paramètres!$G$5:$G$57,0)),INDEX($E$1139:$E$1191,MATCH(Paramètres!N30,Paramètres!$G$5:$G$57,0)))+IF(RIGHT(TRIM(Paramètres!O30),3)="Fin",1-$H1164,IF(LEFT(TRIM(Paramètres!O30),1)="F",1,0)))))))</f>
        <v/>
      </c>
      <c r="F1164" s="19">
        <f>IF($A1164="","",E1164+$H1164-1)</f>
        <v/>
      </c>
      <c r="G1164" s="18" t="n"/>
      <c r="H1164" s="18">
        <f>IF($A1164="","",IF(I1164&lt;&gt;"",I1164,Paramètres!B30))</f>
        <v/>
      </c>
      <c r="I1164" s="18" t="n"/>
    </row>
    <row r="1165">
      <c r="A1165" s="18">
        <f>IF(ISNUMBER(Dossiers!$D$25),Dossiers!$A$25&amp;" · "&amp;Dossiers!$B$25,"")</f>
        <v/>
      </c>
      <c r="B1165" s="18">
        <f>IF($A1165="","",Paramètres!G31)</f>
        <v/>
      </c>
      <c r="C1165" s="20">
        <f>IF($A1165="","",IF(Dossiers!$F$25="","",Dossiers!$F$25))</f>
        <v/>
      </c>
      <c r="D1165" s="18">
        <f>IF($A1165="","",IF(Paramètres!I31="","",Paramètres!I31))</f>
        <v/>
      </c>
      <c r="E1165" s="19">
        <f>IF($A1165="","",IF(Paramètres!J31&amp;Paramètres!L31&amp;Paramètres!N31="",Dossiers!$D$25,MAX(IF(Paramètres!J31="",0,IF(Paramètres!K31="",NA(),IF(LEFT(TRIM(Paramètres!K31),1)="F",INDEX($F$1139:$F$1191,MATCH(Paramètres!J31,Paramètres!$G$5:$G$57,0)),INDEX($E$1139:$E$1191,MATCH(Paramètres!J31,Paramètres!$G$5:$G$57,0)))+IF(RIGHT(TRIM(Paramètres!K31),3)="Fin",1-$H1165,IF(LEFT(TRIM(Paramètres!K31),1)="F",1,0)))),IF(Paramètres!L31="",0,IF(Paramètres!M31="",NA(),IF(LEFT(TRIM(Paramètres!M31),1)="F",INDEX($F$1139:$F$1191,MATCH(Paramètres!L31,Paramètres!$G$5:$G$57,0)),INDEX($E$1139:$E$1191,MATCH(Paramètres!L31,Paramètres!$G$5:$G$57,0)))+IF(RIGHT(TRIM(Paramètres!M31),3)="Fin",1-$H1165,IF(LEFT(TRIM(Paramètres!M31),1)="F",1,0)))),IF(Paramètres!N31="",0,IF(Paramètres!O31="",NA(),IF(LEFT(TRIM(Paramètres!O31),1)="F",INDEX($F$1139:$F$1191,MATCH(Paramètres!N31,Paramètres!$G$5:$G$57,0)),INDEX($E$1139:$E$1191,MATCH(Paramètres!N31,Paramètres!$G$5:$G$57,0)))+IF(RIGHT(TRIM(Paramètres!O31),3)="Fin",1-$H1165,IF(LEFT(TRIM(Paramètres!O31),1)="F",1,0)))))))</f>
        <v/>
      </c>
      <c r="F1165" s="19">
        <f>IF($A1165="","",E1165+$H1165-1)</f>
        <v/>
      </c>
      <c r="G1165" s="18" t="n"/>
      <c r="H1165" s="18">
        <f>IF($A1165="","",IF(I1165&lt;&gt;"",I1165,Paramètres!B31))</f>
        <v/>
      </c>
      <c r="I1165" s="18" t="n"/>
    </row>
    <row r="1166">
      <c r="A1166" s="18">
        <f>IF(ISNUMBER(Dossiers!$D$25),Dossiers!$A$25&amp;" · "&amp;Dossiers!$B$25,"")</f>
        <v/>
      </c>
      <c r="B1166" s="18">
        <f>IF($A1166="","",Paramètres!G32)</f>
        <v/>
      </c>
      <c r="C1166" s="18">
        <f>IF($A1166="","",IF(Paramètres!H32="","",Paramètres!H32))</f>
        <v/>
      </c>
      <c r="D1166" s="18">
        <f>IF($A1166="","",IF(Paramètres!I32="","",Paramètres!I32))</f>
        <v/>
      </c>
      <c r="E1166" s="19">
        <f>IF($A1166="","",MIN(E1167:E1170))</f>
        <v/>
      </c>
      <c r="F1166" s="19">
        <f>IF($A1166="","",MAX(F1167:F1170))</f>
        <v/>
      </c>
      <c r="G1166" s="18" t="n"/>
      <c r="H1166" s="18">
        <f>IF($A1166="","",F1166-E1166+1)</f>
        <v/>
      </c>
      <c r="I1166" s="18" t="n"/>
    </row>
    <row r="1167">
      <c r="A1167" s="18">
        <f>IF(ISNUMBER(Dossiers!$D$25),Dossiers!$A$25&amp;" · "&amp;Dossiers!$B$25,"")</f>
        <v/>
      </c>
      <c r="B1167" s="18">
        <f>IF($A1167="","",Paramètres!G33)</f>
        <v/>
      </c>
      <c r="C1167" s="18">
        <f>IF($A1167="","",IF(Paramètres!H33="","",Paramètres!H33))</f>
        <v/>
      </c>
      <c r="D1167" s="18">
        <f>IF($A1167="","",IF(Paramètres!I33="","",Paramètres!I33))</f>
        <v/>
      </c>
      <c r="E1167" s="19">
        <f>IF($A1167="","",IF(Paramètres!J33&amp;Paramètres!L33&amp;Paramètres!N33="",Dossiers!$D$25,MAX(IF(Paramètres!J33="",0,IF(Paramètres!K33="",NA(),IF(LEFT(TRIM(Paramètres!K33),1)="F",INDEX($F$1139:$F$1191,MATCH(Paramètres!J33,Paramètres!$G$5:$G$57,0)),INDEX($E$1139:$E$1191,MATCH(Paramètres!J33,Paramètres!$G$5:$G$57,0)))+IF(RIGHT(TRIM(Paramètres!K33),3)="Fin",1-$H1167,IF(LEFT(TRIM(Paramètres!K33),1)="F",1,0)))),IF(Paramètres!L33="",0,IF(Paramètres!M33="",NA(),IF(LEFT(TRIM(Paramètres!M33),1)="F",INDEX($F$1139:$F$1191,MATCH(Paramètres!L33,Paramètres!$G$5:$G$57,0)),INDEX($E$1139:$E$1191,MATCH(Paramètres!L33,Paramètres!$G$5:$G$57,0)))+IF(RIGHT(TRIM(Paramètres!M33),3)="Fin",1-$H1167,IF(LEFT(TRIM(Paramètres!M33),1)="F",1,0)))),IF(Paramètres!N33="",0,IF(Paramètres!O33="",NA(),IF(LEFT(TRIM(Paramètres!O33),1)="F",INDEX($F$1139:$F$1191,MATCH(Paramètres!N33,Paramètres!$G$5:$G$57,0)),INDEX($E$1139:$E$1191,MATCH(Paramètres!N33,Paramètres!$G$5:$G$57,0)))+IF(RIGHT(TRIM(Paramètres!O33),3)="Fin",1-$H1167,IF(LEFT(TRIM(Paramètres!O33),1)="F",1,0)))))))</f>
        <v/>
      </c>
      <c r="F1167" s="19">
        <f>IF($A1167="","",E1167+$H1167-1)</f>
        <v/>
      </c>
      <c r="G1167" s="18" t="n"/>
      <c r="H1167" s="18">
        <f>IF($A1167="","",IF(I1167&lt;&gt;"",I1167,Paramètres!B33))</f>
        <v/>
      </c>
      <c r="I1167" s="18" t="n"/>
    </row>
    <row r="1168">
      <c r="A1168" s="18">
        <f>IF(ISNUMBER(Dossiers!$D$25),Dossiers!$A$25&amp;" · "&amp;Dossiers!$B$25,"")</f>
        <v/>
      </c>
      <c r="B1168" s="18">
        <f>IF($A1168="","",Paramètres!G34)</f>
        <v/>
      </c>
      <c r="C1168" s="18">
        <f>IF($A1168="","",IF(Paramètres!H34="","",Paramètres!H34))</f>
        <v/>
      </c>
      <c r="D1168" s="18">
        <f>IF($A1168="","",IF(Paramètres!I34="","",Paramètres!I34))</f>
        <v/>
      </c>
      <c r="E1168" s="19">
        <f>IF($A1168="","",IF(Paramètres!J34&amp;Paramètres!L34&amp;Paramètres!N34="",Dossiers!$D$25,MAX(IF(Paramètres!J34="",0,IF(Paramètres!K34="",NA(),IF(LEFT(TRIM(Paramètres!K34),1)="F",INDEX($F$1139:$F$1191,MATCH(Paramètres!J34,Paramètres!$G$5:$G$57,0)),INDEX($E$1139:$E$1191,MATCH(Paramètres!J34,Paramètres!$G$5:$G$57,0)))+IF(RIGHT(TRIM(Paramètres!K34),3)="Fin",1-$H1168,IF(LEFT(TRIM(Paramètres!K34),1)="F",1,0)))),IF(Paramètres!L34="",0,IF(Paramètres!M34="",NA(),IF(LEFT(TRIM(Paramètres!M34),1)="F",INDEX($F$1139:$F$1191,MATCH(Paramètres!L34,Paramètres!$G$5:$G$57,0)),INDEX($E$1139:$E$1191,MATCH(Paramètres!L34,Paramètres!$G$5:$G$57,0)))+IF(RIGHT(TRIM(Paramètres!M34),3)="Fin",1-$H1168,IF(LEFT(TRIM(Paramètres!M34),1)="F",1,0)))),IF(Paramètres!N34="",0,IF(Paramètres!O34="",NA(),IF(LEFT(TRIM(Paramètres!O34),1)="F",INDEX($F$1139:$F$1191,MATCH(Paramètres!N34,Paramètres!$G$5:$G$57,0)),INDEX($E$1139:$E$1191,MATCH(Paramètres!N34,Paramètres!$G$5:$G$57,0)))+IF(RIGHT(TRIM(Paramètres!O34),3)="Fin",1-$H1168,IF(LEFT(TRIM(Paramètres!O34),1)="F",1,0)))))))</f>
        <v/>
      </c>
      <c r="F1168" s="19">
        <f>IF($A1168="","",E1168+$H1168-1)</f>
        <v/>
      </c>
      <c r="G1168" s="18" t="n"/>
      <c r="H1168" s="18">
        <f>IF($A1168="","",IF(I1168&lt;&gt;"",I1168,Paramètres!B34))</f>
        <v/>
      </c>
      <c r="I1168" s="18" t="n"/>
    </row>
    <row r="1169">
      <c r="A1169" s="18">
        <f>IF(ISNUMBER(Dossiers!$D$25),Dossiers!$A$25&amp;" · "&amp;Dossiers!$B$25,"")</f>
        <v/>
      </c>
      <c r="B1169" s="18">
        <f>IF($A1169="","",Paramètres!G35)</f>
        <v/>
      </c>
      <c r="C1169" s="18">
        <f>IF($A1169="","",IF(Paramètres!H35="","",Paramètres!H35))</f>
        <v/>
      </c>
      <c r="D1169" s="18">
        <f>IF($A1169="","",IF(Paramètres!I35="","",Paramètres!I35))</f>
        <v/>
      </c>
      <c r="E1169" s="19">
        <f>IF($A1169="","",IF(Paramètres!J35&amp;Paramètres!L35&amp;Paramètres!N35="",Dossiers!$D$25,MAX(IF(Paramètres!J35="",0,IF(Paramètres!K35="",NA(),IF(LEFT(TRIM(Paramètres!K35),1)="F",INDEX($F$1139:$F$1191,MATCH(Paramètres!J35,Paramètres!$G$5:$G$57,0)),INDEX($E$1139:$E$1191,MATCH(Paramètres!J35,Paramètres!$G$5:$G$57,0)))+IF(RIGHT(TRIM(Paramètres!K35),3)="Fin",1-$H1169,IF(LEFT(TRIM(Paramètres!K35),1)="F",1,0)))),IF(Paramètres!L35="",0,IF(Paramètres!M35="",NA(),IF(LEFT(TRIM(Paramètres!M35),1)="F",INDEX($F$1139:$F$1191,MATCH(Paramètres!L35,Paramètres!$G$5:$G$57,0)),INDEX($E$1139:$E$1191,MATCH(Paramètres!L35,Paramètres!$G$5:$G$57,0)))+IF(RIGHT(TRIM(Paramètres!M35),3)="Fin",1-$H1169,IF(LEFT(TRIM(Paramètres!M35),1)="F",1,0)))),IF(Paramètres!N35="",0,IF(Paramètres!O35="",NA(),IF(LEFT(TRIM(Paramètres!O35),1)="F",INDEX($F$1139:$F$1191,MATCH(Paramètres!N35,Paramètres!$G$5:$G$57,0)),INDEX($E$1139:$E$1191,MATCH(Paramètres!N35,Paramètres!$G$5:$G$57,0)))+IF(RIGHT(TRIM(Paramètres!O35),3)="Fin",1-$H1169,IF(LEFT(TRIM(Paramètres!O35),1)="F",1,0)))))))</f>
        <v/>
      </c>
      <c r="F1169" s="19">
        <f>IF($A1169="","",E1169+$H1169-1)</f>
        <v/>
      </c>
      <c r="G1169" s="18" t="n"/>
      <c r="H1169" s="18">
        <f>IF($A1169="","",IF(I1169&lt;&gt;"",I1169,Paramètres!B35))</f>
        <v/>
      </c>
      <c r="I1169" s="18" t="n"/>
    </row>
    <row r="1170">
      <c r="A1170" s="18">
        <f>IF(ISNUMBER(Dossiers!$D$25),Dossiers!$A$25&amp;" · "&amp;Dossiers!$B$25,"")</f>
        <v/>
      </c>
      <c r="B1170" s="18">
        <f>IF($A1170="","",Paramètres!G36)</f>
        <v/>
      </c>
      <c r="C1170" s="18">
        <f>IF($A1170="","",IF(Paramètres!H36="","",Paramètres!H36))</f>
        <v/>
      </c>
      <c r="D1170" s="18">
        <f>IF($A1170="","",IF(Paramètres!I36="","",Paramètres!I36))</f>
        <v/>
      </c>
      <c r="E1170" s="19">
        <f>IF($A1170="","",IF(Paramètres!J36&amp;Paramètres!L36&amp;Paramètres!N36="",Dossiers!$D$25,MAX(IF(Paramètres!J36="",0,IF(Paramètres!K36="",NA(),IF(LEFT(TRIM(Paramètres!K36),1)="F",INDEX($F$1139:$F$1191,MATCH(Paramètres!J36,Paramètres!$G$5:$G$57,0)),INDEX($E$1139:$E$1191,MATCH(Paramètres!J36,Paramètres!$G$5:$G$57,0)))+IF(RIGHT(TRIM(Paramètres!K36),3)="Fin",1-$H1170,IF(LEFT(TRIM(Paramètres!K36),1)="F",1,0)))),IF(Paramètres!L36="",0,IF(Paramètres!M36="",NA(),IF(LEFT(TRIM(Paramètres!M36),1)="F",INDEX($F$1139:$F$1191,MATCH(Paramètres!L36,Paramètres!$G$5:$G$57,0)),INDEX($E$1139:$E$1191,MATCH(Paramètres!L36,Paramètres!$G$5:$G$57,0)))+IF(RIGHT(TRIM(Paramètres!M36),3)="Fin",1-$H1170,IF(LEFT(TRIM(Paramètres!M36),1)="F",1,0)))),IF(Paramètres!N36="",0,IF(Paramètres!O36="",NA(),IF(LEFT(TRIM(Paramètres!O36),1)="F",INDEX($F$1139:$F$1191,MATCH(Paramètres!N36,Paramètres!$G$5:$G$57,0)),INDEX($E$1139:$E$1191,MATCH(Paramètres!N36,Paramètres!$G$5:$G$57,0)))+IF(RIGHT(TRIM(Paramètres!O36),3)="Fin",1-$H1170,IF(LEFT(TRIM(Paramètres!O36),1)="F",1,0)))))))</f>
        <v/>
      </c>
      <c r="F1170" s="19">
        <f>IF($A1170="","",E1170+$H1170-1)</f>
        <v/>
      </c>
      <c r="G1170" s="18" t="n"/>
      <c r="H1170" s="18">
        <f>IF($A1170="","",IF(I1170&lt;&gt;"",I1170,Paramètres!B36))</f>
        <v/>
      </c>
      <c r="I1170" s="18" t="n"/>
    </row>
    <row r="1171">
      <c r="A1171" s="18">
        <f>IF(ISNUMBER(Dossiers!$D$25),Dossiers!$A$25&amp;" · "&amp;Dossiers!$B$25,"")</f>
        <v/>
      </c>
      <c r="B1171" s="18">
        <f>IF($A1171="","",Paramètres!G37)</f>
        <v/>
      </c>
      <c r="C1171" s="18">
        <f>IF($A1171="","",IF(Paramètres!H37="","",Paramètres!H37))</f>
        <v/>
      </c>
      <c r="D1171" s="18">
        <f>IF($A1171="","",IF(Paramètres!I37="","",Paramètres!I37))</f>
        <v/>
      </c>
      <c r="E1171" s="19">
        <f>IF($A1171="","",MIN(E1172:E1189))</f>
        <v/>
      </c>
      <c r="F1171" s="19">
        <f>IF($A1171="","",MAX(F1172:F1189))</f>
        <v/>
      </c>
      <c r="G1171" s="18" t="n"/>
      <c r="H1171" s="18">
        <f>IF($A1171="","",F1171-E1171+1)</f>
        <v/>
      </c>
      <c r="I1171" s="18" t="n"/>
    </row>
    <row r="1172">
      <c r="A1172" s="18">
        <f>IF(ISNUMBER(Dossiers!$D$25),Dossiers!$A$25&amp;" · "&amp;Dossiers!$B$25,"")</f>
        <v/>
      </c>
      <c r="B1172" s="18">
        <f>IF($A1172="","",Paramètres!G38)</f>
        <v/>
      </c>
      <c r="C1172" s="18">
        <f>IF($A1172="","",IF(Paramètres!H38="","",Paramètres!H38))</f>
        <v/>
      </c>
      <c r="D1172" s="18">
        <f>IF($A1172="","",IF(Paramètres!I38="","",Paramètres!I38))</f>
        <v/>
      </c>
      <c r="E1172" s="19">
        <f>IF($A1172="","",IF(Paramètres!J38&amp;Paramètres!L38&amp;Paramètres!N38="",Dossiers!$D$25,MAX(IF(Paramètres!J38="",0,IF(Paramètres!K38="",NA(),IF(LEFT(TRIM(Paramètres!K38),1)="F",INDEX($F$1139:$F$1191,MATCH(Paramètres!J38,Paramètres!$G$5:$G$57,0)),INDEX($E$1139:$E$1191,MATCH(Paramètres!J38,Paramètres!$G$5:$G$57,0)))+IF(RIGHT(TRIM(Paramètres!K38),3)="Fin",1-$H1172,IF(LEFT(TRIM(Paramètres!K38),1)="F",1,0)))),IF(Paramètres!L38="",0,IF(Paramètres!M38="",NA(),IF(LEFT(TRIM(Paramètres!M38),1)="F",INDEX($F$1139:$F$1191,MATCH(Paramètres!L38,Paramètres!$G$5:$G$57,0)),INDEX($E$1139:$E$1191,MATCH(Paramètres!L38,Paramètres!$G$5:$G$57,0)))+IF(RIGHT(TRIM(Paramètres!M38),3)="Fin",1-$H1172,IF(LEFT(TRIM(Paramètres!M38),1)="F",1,0)))),IF(Paramètres!N38="",0,IF(Paramètres!O38="",NA(),IF(LEFT(TRIM(Paramètres!O38),1)="F",INDEX($F$1139:$F$1191,MATCH(Paramètres!N38,Paramètres!$G$5:$G$57,0)),INDEX($E$1139:$E$1191,MATCH(Paramètres!N38,Paramètres!$G$5:$G$57,0)))+IF(RIGHT(TRIM(Paramètres!O38),3)="Fin",1-$H1172,IF(LEFT(TRIM(Paramètres!O38),1)="F",1,0)))))))</f>
        <v/>
      </c>
      <c r="F1172" s="19">
        <f>IF($A1172="","",E1172+$H1172-1)</f>
        <v/>
      </c>
      <c r="G1172" s="18" t="n"/>
      <c r="H1172" s="18">
        <f>IF($A1172="","",IF(I1172&lt;&gt;"",I1172,Paramètres!B38))</f>
        <v/>
      </c>
      <c r="I1172" s="18" t="n"/>
    </row>
    <row r="1173">
      <c r="A1173" s="18">
        <f>IF(ISNUMBER(Dossiers!$D$25),Dossiers!$A$25&amp;" · "&amp;Dossiers!$B$25,"")</f>
        <v/>
      </c>
      <c r="B1173" s="18">
        <f>IF($A1173="","",Paramètres!G39)</f>
        <v/>
      </c>
      <c r="C1173" s="18">
        <f>IF($A1173="","",IF(Paramètres!H39="","",Paramètres!H39))</f>
        <v/>
      </c>
      <c r="D1173" s="18">
        <f>IF($A1173="","",IF(Paramètres!I39="","",Paramètres!I39))</f>
        <v/>
      </c>
      <c r="E1173" s="19">
        <f>IF($A1173="","",IF(Paramètres!J39&amp;Paramètres!L39&amp;Paramètres!N39="",Dossiers!$D$25,MAX(IF(Paramètres!J39="",0,IF(Paramètres!K39="",NA(),IF(LEFT(TRIM(Paramètres!K39),1)="F",INDEX($F$1139:$F$1191,MATCH(Paramètres!J39,Paramètres!$G$5:$G$57,0)),INDEX($E$1139:$E$1191,MATCH(Paramètres!J39,Paramètres!$G$5:$G$57,0)))+IF(RIGHT(TRIM(Paramètres!K39),3)="Fin",1-$H1173,IF(LEFT(TRIM(Paramètres!K39),1)="F",1,0)))),IF(Paramètres!L39="",0,IF(Paramètres!M39="",NA(),IF(LEFT(TRIM(Paramètres!M39),1)="F",INDEX($F$1139:$F$1191,MATCH(Paramètres!L39,Paramètres!$G$5:$G$57,0)),INDEX($E$1139:$E$1191,MATCH(Paramètres!L39,Paramètres!$G$5:$G$57,0)))+IF(RIGHT(TRIM(Paramètres!M39),3)="Fin",1-$H1173,IF(LEFT(TRIM(Paramètres!M39),1)="F",1,0)))),IF(Paramètres!N39="",0,IF(Paramètres!O39="",NA(),IF(LEFT(TRIM(Paramètres!O39),1)="F",INDEX($F$1139:$F$1191,MATCH(Paramètres!N39,Paramètres!$G$5:$G$57,0)),INDEX($E$1139:$E$1191,MATCH(Paramètres!N39,Paramètres!$G$5:$G$57,0)))+IF(RIGHT(TRIM(Paramètres!O39),3)="Fin",1-$H1173,IF(LEFT(TRIM(Paramètres!O39),1)="F",1,0)))))))</f>
        <v/>
      </c>
      <c r="F1173" s="19">
        <f>IF($A1173="","",E1173+$H1173-1)</f>
        <v/>
      </c>
      <c r="G1173" s="18" t="n"/>
      <c r="H1173" s="18">
        <f>IF($A1173="","",IF(I1173&lt;&gt;"",I1173,Paramètres!B39))</f>
        <v/>
      </c>
      <c r="I1173" s="18" t="n"/>
    </row>
    <row r="1174">
      <c r="A1174" s="18">
        <f>IF(ISNUMBER(Dossiers!$D$25),Dossiers!$A$25&amp;" · "&amp;Dossiers!$B$25,"")</f>
        <v/>
      </c>
      <c r="B1174" s="18">
        <f>IF($A1174="","",Paramètres!G40)</f>
        <v/>
      </c>
      <c r="C1174" s="18">
        <f>IF($A1174="","",IF(Paramètres!H40="","",Paramètres!H40))</f>
        <v/>
      </c>
      <c r="D1174" s="18">
        <f>IF($A1174="","",IF(Paramètres!I40="","",Paramètres!I40))</f>
        <v/>
      </c>
      <c r="E1174" s="19">
        <f>IF($A1174="","",IF(Paramètres!J40&amp;Paramètres!L40&amp;Paramètres!N40="",Dossiers!$D$25,MAX(IF(Paramètres!J40="",0,IF(Paramètres!K40="",NA(),IF(LEFT(TRIM(Paramètres!K40),1)="F",INDEX($F$1139:$F$1191,MATCH(Paramètres!J40,Paramètres!$G$5:$G$57,0)),INDEX($E$1139:$E$1191,MATCH(Paramètres!J40,Paramètres!$G$5:$G$57,0)))+IF(RIGHT(TRIM(Paramètres!K40),3)="Fin",1-$H1174,IF(LEFT(TRIM(Paramètres!K40),1)="F",1,0)))),IF(Paramètres!L40="",0,IF(Paramètres!M40="",NA(),IF(LEFT(TRIM(Paramètres!M40),1)="F",INDEX($F$1139:$F$1191,MATCH(Paramètres!L40,Paramètres!$G$5:$G$57,0)),INDEX($E$1139:$E$1191,MATCH(Paramètres!L40,Paramètres!$G$5:$G$57,0)))+IF(RIGHT(TRIM(Paramètres!M40),3)="Fin",1-$H1174,IF(LEFT(TRIM(Paramètres!M40),1)="F",1,0)))),IF(Paramètres!N40="",0,IF(Paramètres!O40="",NA(),IF(LEFT(TRIM(Paramètres!O40),1)="F",INDEX($F$1139:$F$1191,MATCH(Paramètres!N40,Paramètres!$G$5:$G$57,0)),INDEX($E$1139:$E$1191,MATCH(Paramètres!N40,Paramètres!$G$5:$G$57,0)))+IF(RIGHT(TRIM(Paramètres!O40),3)="Fin",1-$H1174,IF(LEFT(TRIM(Paramètres!O40),1)="F",1,0)))))))</f>
        <v/>
      </c>
      <c r="F1174" s="19">
        <f>IF($A1174="","",E1174+$H1174-1)</f>
        <v/>
      </c>
      <c r="G1174" s="18" t="n"/>
      <c r="H1174" s="18">
        <f>IF($A1174="","",IF(I1174&lt;&gt;"",I1174,Paramètres!B40))</f>
        <v/>
      </c>
      <c r="I1174" s="18" t="n"/>
    </row>
    <row r="1175">
      <c r="A1175" s="18">
        <f>IF(ISNUMBER(Dossiers!$D$25),Dossiers!$A$25&amp;" · "&amp;Dossiers!$B$25,"")</f>
        <v/>
      </c>
      <c r="B1175" s="18">
        <f>IF($A1175="","",Paramètres!G41)</f>
        <v/>
      </c>
      <c r="C1175" s="18">
        <f>IF($A1175="","",IF(Paramètres!H41="","",Paramètres!H41))</f>
        <v/>
      </c>
      <c r="D1175" s="18">
        <f>IF($A1175="","",IF(Paramètres!I41="","",Paramètres!I41))</f>
        <v/>
      </c>
      <c r="E1175" s="19">
        <f>IF($A1175="","",IF(Paramètres!J41&amp;Paramètres!L41&amp;Paramètres!N41="",Dossiers!$D$25,MAX(IF(Paramètres!J41="",0,IF(Paramètres!K41="",NA(),IF(LEFT(TRIM(Paramètres!K41),1)="F",INDEX($F$1139:$F$1191,MATCH(Paramètres!J41,Paramètres!$G$5:$G$57,0)),INDEX($E$1139:$E$1191,MATCH(Paramètres!J41,Paramètres!$G$5:$G$57,0)))+IF(RIGHT(TRIM(Paramètres!K41),3)="Fin",1-$H1175,IF(LEFT(TRIM(Paramètres!K41),1)="F",1,0)))),IF(Paramètres!L41="",0,IF(Paramètres!M41="",NA(),IF(LEFT(TRIM(Paramètres!M41),1)="F",INDEX($F$1139:$F$1191,MATCH(Paramètres!L41,Paramètres!$G$5:$G$57,0)),INDEX($E$1139:$E$1191,MATCH(Paramètres!L41,Paramètres!$G$5:$G$57,0)))+IF(RIGHT(TRIM(Paramètres!M41),3)="Fin",1-$H1175,IF(LEFT(TRIM(Paramètres!M41),1)="F",1,0)))),IF(Paramètres!N41="",0,IF(Paramètres!O41="",NA(),IF(LEFT(TRIM(Paramètres!O41),1)="F",INDEX($F$1139:$F$1191,MATCH(Paramètres!N41,Paramètres!$G$5:$G$57,0)),INDEX($E$1139:$E$1191,MATCH(Paramètres!N41,Paramètres!$G$5:$G$57,0)))+IF(RIGHT(TRIM(Paramètres!O41),3)="Fin",1-$H1175,IF(LEFT(TRIM(Paramètres!O41),1)="F",1,0)))))))</f>
        <v/>
      </c>
      <c r="F1175" s="19">
        <f>IF($A1175="","",E1175+$H1175-1)</f>
        <v/>
      </c>
      <c r="G1175" s="18" t="n"/>
      <c r="H1175" s="18">
        <f>IF($A1175="","",IF(I1175&lt;&gt;"",I1175,Paramètres!B41))</f>
        <v/>
      </c>
      <c r="I1175" s="18" t="n"/>
    </row>
    <row r="1176">
      <c r="A1176" s="18">
        <f>IF(ISNUMBER(Dossiers!$D$25),Dossiers!$A$25&amp;" · "&amp;Dossiers!$B$25,"")</f>
        <v/>
      </c>
      <c r="B1176" s="18">
        <f>IF($A1176="","",Paramètres!G42)</f>
        <v/>
      </c>
      <c r="C1176" s="18">
        <f>IF($A1176="","",IF(Paramètres!H42="","",Paramètres!H42))</f>
        <v/>
      </c>
      <c r="D1176" s="18">
        <f>IF($A1176="","",IF(Paramètres!I42="","",Paramètres!I42))</f>
        <v/>
      </c>
      <c r="E1176" s="19">
        <f>IF($A1176="","",IF(Paramètres!J42&amp;Paramètres!L42&amp;Paramètres!N42="",Dossiers!$D$25,MAX(IF(Paramètres!J42="",0,IF(Paramètres!K42="",NA(),IF(LEFT(TRIM(Paramètres!K42),1)="F",INDEX($F$1139:$F$1191,MATCH(Paramètres!J42,Paramètres!$G$5:$G$57,0)),INDEX($E$1139:$E$1191,MATCH(Paramètres!J42,Paramètres!$G$5:$G$57,0)))+IF(RIGHT(TRIM(Paramètres!K42),3)="Fin",1-$H1176,IF(LEFT(TRIM(Paramètres!K42),1)="F",1,0)))),IF(Paramètres!L42="",0,IF(Paramètres!M42="",NA(),IF(LEFT(TRIM(Paramètres!M42),1)="F",INDEX($F$1139:$F$1191,MATCH(Paramètres!L42,Paramètres!$G$5:$G$57,0)),INDEX($E$1139:$E$1191,MATCH(Paramètres!L42,Paramètres!$G$5:$G$57,0)))+IF(RIGHT(TRIM(Paramètres!M42),3)="Fin",1-$H1176,IF(LEFT(TRIM(Paramètres!M42),1)="F",1,0)))),IF(Paramètres!N42="",0,IF(Paramètres!O42="",NA(),IF(LEFT(TRIM(Paramètres!O42),1)="F",INDEX($F$1139:$F$1191,MATCH(Paramètres!N42,Paramètres!$G$5:$G$57,0)),INDEX($E$1139:$E$1191,MATCH(Paramètres!N42,Paramètres!$G$5:$G$57,0)))+IF(RIGHT(TRIM(Paramètres!O42),3)="Fin",1-$H1176,IF(LEFT(TRIM(Paramètres!O42),1)="F",1,0)))))))</f>
        <v/>
      </c>
      <c r="F1176" s="19">
        <f>IF($A1176="","",E1176+$H1176-1)</f>
        <v/>
      </c>
      <c r="G1176" s="18" t="n"/>
      <c r="H1176" s="18">
        <f>IF($A1176="","",IF(I1176&lt;&gt;"",I1176,Paramètres!B42))</f>
        <v/>
      </c>
      <c r="I1176" s="18" t="n"/>
    </row>
    <row r="1177">
      <c r="A1177" s="18">
        <f>IF(ISNUMBER(Dossiers!$D$25),Dossiers!$A$25&amp;" · "&amp;Dossiers!$B$25,"")</f>
        <v/>
      </c>
      <c r="B1177" s="18">
        <f>IF($A1177="","",Paramètres!G43)</f>
        <v/>
      </c>
      <c r="C1177" s="18">
        <f>IF($A1177="","",IF(Paramètres!H43="","",Paramètres!H43))</f>
        <v/>
      </c>
      <c r="D1177" s="18">
        <f>IF($A1177="","",IF(Paramètres!I43="","",Paramètres!I43))</f>
        <v/>
      </c>
      <c r="E1177" s="19">
        <f>IF($A1177="","",IF(Paramètres!J43&amp;Paramètres!L43&amp;Paramètres!N43="",Dossiers!$D$25,MAX(IF(Paramètres!J43="",0,IF(Paramètres!K43="",NA(),IF(LEFT(TRIM(Paramètres!K43),1)="F",INDEX($F$1139:$F$1191,MATCH(Paramètres!J43,Paramètres!$G$5:$G$57,0)),INDEX($E$1139:$E$1191,MATCH(Paramètres!J43,Paramètres!$G$5:$G$57,0)))+IF(RIGHT(TRIM(Paramètres!K43),3)="Fin",1-$H1177,IF(LEFT(TRIM(Paramètres!K43),1)="F",1,0)))),IF(Paramètres!L43="",0,IF(Paramètres!M43="",NA(),IF(LEFT(TRIM(Paramètres!M43),1)="F",INDEX($F$1139:$F$1191,MATCH(Paramètres!L43,Paramètres!$G$5:$G$57,0)),INDEX($E$1139:$E$1191,MATCH(Paramètres!L43,Paramètres!$G$5:$G$57,0)))+IF(RIGHT(TRIM(Paramètres!M43),3)="Fin",1-$H1177,IF(LEFT(TRIM(Paramètres!M43),1)="F",1,0)))),IF(Paramètres!N43="",0,IF(Paramètres!O43="",NA(),IF(LEFT(TRIM(Paramètres!O43),1)="F",INDEX($F$1139:$F$1191,MATCH(Paramètres!N43,Paramètres!$G$5:$G$57,0)),INDEX($E$1139:$E$1191,MATCH(Paramètres!N43,Paramètres!$G$5:$G$57,0)))+IF(RIGHT(TRIM(Paramètres!O43),3)="Fin",1-$H1177,IF(LEFT(TRIM(Paramètres!O43),1)="F",1,0)))))))</f>
        <v/>
      </c>
      <c r="F1177" s="19">
        <f>IF($A1177="","",E1177+$H1177-1)</f>
        <v/>
      </c>
      <c r="G1177" s="18" t="n"/>
      <c r="H1177" s="18">
        <f>IF($A1177="","",IF(I1177&lt;&gt;"",I1177,Paramètres!B43))</f>
        <v/>
      </c>
      <c r="I1177" s="18" t="n"/>
    </row>
    <row r="1178">
      <c r="A1178" s="18">
        <f>IF(ISNUMBER(Dossiers!$D$25),Dossiers!$A$25&amp;" · "&amp;Dossiers!$B$25,"")</f>
        <v/>
      </c>
      <c r="B1178" s="18">
        <f>IF($A1178="","",Paramètres!G44)</f>
        <v/>
      </c>
      <c r="C1178" s="18">
        <f>IF($A1178="","",IF(Paramètres!H44="","",Paramètres!H44))</f>
        <v/>
      </c>
      <c r="D1178" s="18">
        <f>IF($A1178="","",IF(Paramètres!I44="","",Paramètres!I44))</f>
        <v/>
      </c>
      <c r="E1178" s="19">
        <f>IF($A1178="","",IF(Paramètres!J44&amp;Paramètres!L44&amp;Paramètres!N44="",Dossiers!$D$25,MAX(IF(Paramètres!J44="",0,IF(Paramètres!K44="",NA(),IF(LEFT(TRIM(Paramètres!K44),1)="F",INDEX($F$1139:$F$1191,MATCH(Paramètres!J44,Paramètres!$G$5:$G$57,0)),INDEX($E$1139:$E$1191,MATCH(Paramètres!J44,Paramètres!$G$5:$G$57,0)))+IF(RIGHT(TRIM(Paramètres!K44),3)="Fin",1-$H1178,IF(LEFT(TRIM(Paramètres!K44),1)="F",1,0)))),IF(Paramètres!L44="",0,IF(Paramètres!M44="",NA(),IF(LEFT(TRIM(Paramètres!M44),1)="F",INDEX($F$1139:$F$1191,MATCH(Paramètres!L44,Paramètres!$G$5:$G$57,0)),INDEX($E$1139:$E$1191,MATCH(Paramètres!L44,Paramètres!$G$5:$G$57,0)))+IF(RIGHT(TRIM(Paramètres!M44),3)="Fin",1-$H1178,IF(LEFT(TRIM(Paramètres!M44),1)="F",1,0)))),IF(Paramètres!N44="",0,IF(Paramètres!O44="",NA(),IF(LEFT(TRIM(Paramètres!O44),1)="F",INDEX($F$1139:$F$1191,MATCH(Paramètres!N44,Paramètres!$G$5:$G$57,0)),INDEX($E$1139:$E$1191,MATCH(Paramètres!N44,Paramètres!$G$5:$G$57,0)))+IF(RIGHT(TRIM(Paramètres!O44),3)="Fin",1-$H1178,IF(LEFT(TRIM(Paramètres!O44),1)="F",1,0)))))))</f>
        <v/>
      </c>
      <c r="F1178" s="19">
        <f>IF($A1178="","",E1178+$H1178-1)</f>
        <v/>
      </c>
      <c r="G1178" s="18" t="n"/>
      <c r="H1178" s="18">
        <f>IF($A1178="","",IF(I1178&lt;&gt;"",I1178,Paramètres!B44))</f>
        <v/>
      </c>
      <c r="I1178" s="18" t="n"/>
    </row>
    <row r="1179">
      <c r="A1179" s="18">
        <f>IF(ISNUMBER(Dossiers!$D$25),Dossiers!$A$25&amp;" · "&amp;Dossiers!$B$25,"")</f>
        <v/>
      </c>
      <c r="B1179" s="18">
        <f>IF($A1179="","",Paramètres!G45)</f>
        <v/>
      </c>
      <c r="C1179" s="20">
        <f>IF($A1179="","",IF(Dossiers!$G$25="","",Dossiers!$G$25))</f>
        <v/>
      </c>
      <c r="D1179" s="18">
        <f>IF($A1179="","",IF(Paramètres!I45="","",Paramètres!I45))</f>
        <v/>
      </c>
      <c r="E1179" s="19">
        <f>IF($A1179="","",IF(Paramètres!J45&amp;Paramètres!L45&amp;Paramètres!N45="",Dossiers!$D$25,MAX(IF(Paramètres!J45="",0,IF(Paramètres!K45="",NA(),IF(LEFT(TRIM(Paramètres!K45),1)="F",INDEX($F$1139:$F$1191,MATCH(Paramètres!J45,Paramètres!$G$5:$G$57,0)),INDEX($E$1139:$E$1191,MATCH(Paramètres!J45,Paramètres!$G$5:$G$57,0)))+IF(RIGHT(TRIM(Paramètres!K45),3)="Fin",1-$H1179,IF(LEFT(TRIM(Paramètres!K45),1)="F",1,0)))),IF(Paramètres!L45="",0,IF(Paramètres!M45="",NA(),IF(LEFT(TRIM(Paramètres!M45),1)="F",INDEX($F$1139:$F$1191,MATCH(Paramètres!L45,Paramètres!$G$5:$G$57,0)),INDEX($E$1139:$E$1191,MATCH(Paramètres!L45,Paramètres!$G$5:$G$57,0)))+IF(RIGHT(TRIM(Paramètres!M45),3)="Fin",1-$H1179,IF(LEFT(TRIM(Paramètres!M45),1)="F",1,0)))),IF(Paramètres!N45="",0,IF(Paramètres!O45="",NA(),IF(LEFT(TRIM(Paramètres!O45),1)="F",INDEX($F$1139:$F$1191,MATCH(Paramètres!N45,Paramètres!$G$5:$G$57,0)),INDEX($E$1139:$E$1191,MATCH(Paramètres!N45,Paramètres!$G$5:$G$57,0)))+IF(RIGHT(TRIM(Paramètres!O45),3)="Fin",1-$H1179,IF(LEFT(TRIM(Paramètres!O45),1)="F",1,0)))))))</f>
        <v/>
      </c>
      <c r="F1179" s="19">
        <f>IF($A1179="","",E1179+$H1179-1)</f>
        <v/>
      </c>
      <c r="G1179" s="18" t="n"/>
      <c r="H1179" s="18">
        <f>IF($A1179="","",IF(I1179&lt;&gt;"",I1179,Paramètres!B45))</f>
        <v/>
      </c>
      <c r="I1179" s="18" t="n"/>
    </row>
    <row r="1180">
      <c r="A1180" s="18">
        <f>IF(ISNUMBER(Dossiers!$D$25),Dossiers!$A$25&amp;" · "&amp;Dossiers!$B$25,"")</f>
        <v/>
      </c>
      <c r="B1180" s="18">
        <f>IF($A1180="","",Paramètres!G46)</f>
        <v/>
      </c>
      <c r="C1180" s="18">
        <f>IF($A1180="","",IF(Paramètres!H46="","",Paramètres!H46))</f>
        <v/>
      </c>
      <c r="D1180" s="18">
        <f>IF($A1180="","",IF(Paramètres!I46="","",Paramètres!I46))</f>
        <v/>
      </c>
      <c r="E1180" s="19">
        <f>IF($A1180="","",IF(Paramètres!J46&amp;Paramètres!L46&amp;Paramètres!N46="",Dossiers!$D$25,MAX(IF(Paramètres!J46="",0,IF(Paramètres!K46="",NA(),IF(LEFT(TRIM(Paramètres!K46),1)="F",INDEX($F$1139:$F$1191,MATCH(Paramètres!J46,Paramètres!$G$5:$G$57,0)),INDEX($E$1139:$E$1191,MATCH(Paramètres!J46,Paramètres!$G$5:$G$57,0)))+IF(RIGHT(TRIM(Paramètres!K46),3)="Fin",1-$H1180,IF(LEFT(TRIM(Paramètres!K46),1)="F",1,0)))),IF(Paramètres!L46="",0,IF(Paramètres!M46="",NA(),IF(LEFT(TRIM(Paramètres!M46),1)="F",INDEX($F$1139:$F$1191,MATCH(Paramètres!L46,Paramètres!$G$5:$G$57,0)),INDEX($E$1139:$E$1191,MATCH(Paramètres!L46,Paramètres!$G$5:$G$57,0)))+IF(RIGHT(TRIM(Paramètres!M46),3)="Fin",1-$H1180,IF(LEFT(TRIM(Paramètres!M46),1)="F",1,0)))),IF(Paramètres!N46="",0,IF(Paramètres!O46="",NA(),IF(LEFT(TRIM(Paramètres!O46),1)="F",INDEX($F$1139:$F$1191,MATCH(Paramètres!N46,Paramètres!$G$5:$G$57,0)),INDEX($E$1139:$E$1191,MATCH(Paramètres!N46,Paramètres!$G$5:$G$57,0)))+IF(RIGHT(TRIM(Paramètres!O46),3)="Fin",1-$H1180,IF(LEFT(TRIM(Paramètres!O46),1)="F",1,0)))))))</f>
        <v/>
      </c>
      <c r="F1180" s="19">
        <f>IF($A1180="","",E1180+$H1180-1)</f>
        <v/>
      </c>
      <c r="G1180" s="18" t="n"/>
      <c r="H1180" s="18">
        <f>IF($A1180="","",IF(I1180&lt;&gt;"",I1180,Paramètres!B46))</f>
        <v/>
      </c>
      <c r="I1180" s="18" t="n"/>
    </row>
    <row r="1181">
      <c r="A1181" s="18">
        <f>IF(ISNUMBER(Dossiers!$D$25),Dossiers!$A$25&amp;" · "&amp;Dossiers!$B$25,"")</f>
        <v/>
      </c>
      <c r="B1181" s="18">
        <f>IF($A1181="","",Paramètres!G47)</f>
        <v/>
      </c>
      <c r="C1181" s="18">
        <f>IF($A1181="","",IF(Paramètres!H47="","",Paramètres!H47))</f>
        <v/>
      </c>
      <c r="D1181" s="18">
        <f>IF($A1181="","",IF(Paramètres!I47="","",Paramètres!I47))</f>
        <v/>
      </c>
      <c r="E1181" s="19">
        <f>IF($A1181="","",IF(Paramètres!J47&amp;Paramètres!L47&amp;Paramètres!N47="",Dossiers!$D$25,MAX(IF(Paramètres!J47="",0,IF(Paramètres!K47="",NA(),IF(LEFT(TRIM(Paramètres!K47),1)="F",INDEX($F$1139:$F$1191,MATCH(Paramètres!J47,Paramètres!$G$5:$G$57,0)),INDEX($E$1139:$E$1191,MATCH(Paramètres!J47,Paramètres!$G$5:$G$57,0)))+IF(RIGHT(TRIM(Paramètres!K47),3)="Fin",1-$H1181,IF(LEFT(TRIM(Paramètres!K47),1)="F",1,0)))),IF(Paramètres!L47="",0,IF(Paramètres!M47="",NA(),IF(LEFT(TRIM(Paramètres!M47),1)="F",INDEX($F$1139:$F$1191,MATCH(Paramètres!L47,Paramètres!$G$5:$G$57,0)),INDEX($E$1139:$E$1191,MATCH(Paramètres!L47,Paramètres!$G$5:$G$57,0)))+IF(RIGHT(TRIM(Paramètres!M47),3)="Fin",1-$H1181,IF(LEFT(TRIM(Paramètres!M47),1)="F",1,0)))),IF(Paramètres!N47="",0,IF(Paramètres!O47="",NA(),IF(LEFT(TRIM(Paramètres!O47),1)="F",INDEX($F$1139:$F$1191,MATCH(Paramètres!N47,Paramètres!$G$5:$G$57,0)),INDEX($E$1139:$E$1191,MATCH(Paramètres!N47,Paramètres!$G$5:$G$57,0)))+IF(RIGHT(TRIM(Paramètres!O47),3)="Fin",1-$H1181,IF(LEFT(TRIM(Paramètres!O47),1)="F",1,0)))))))</f>
        <v/>
      </c>
      <c r="F1181" s="19">
        <f>IF($A1181="","",E1181+$H1181-1)</f>
        <v/>
      </c>
      <c r="G1181" s="18" t="n"/>
      <c r="H1181" s="18">
        <f>IF($A1181="","",IF(I1181&lt;&gt;"",I1181,Paramètres!B47))</f>
        <v/>
      </c>
      <c r="I1181" s="18" t="n"/>
    </row>
    <row r="1182">
      <c r="A1182" s="18">
        <f>IF(ISNUMBER(Dossiers!$D$25),Dossiers!$A$25&amp;" · "&amp;Dossiers!$B$25,"")</f>
        <v/>
      </c>
      <c r="B1182" s="18">
        <f>IF($A1182="","",Paramètres!G48)</f>
        <v/>
      </c>
      <c r="C1182" s="18">
        <f>IF($A1182="","",IF(Paramètres!H48="","",Paramètres!H48))</f>
        <v/>
      </c>
      <c r="D1182" s="18">
        <f>IF($A1182="","",IF(Paramètres!I48="","",Paramètres!I48))</f>
        <v/>
      </c>
      <c r="E1182" s="19">
        <f>IF($A1182="","",IF(Paramètres!J48&amp;Paramètres!L48&amp;Paramètres!N48="",Dossiers!$D$25,MAX(IF(Paramètres!J48="",0,IF(Paramètres!K48="",NA(),IF(LEFT(TRIM(Paramètres!K48),1)="F",INDEX($F$1139:$F$1191,MATCH(Paramètres!J48,Paramètres!$G$5:$G$57,0)),INDEX($E$1139:$E$1191,MATCH(Paramètres!J48,Paramètres!$G$5:$G$57,0)))+IF(RIGHT(TRIM(Paramètres!K48),3)="Fin",1-$H1182,IF(LEFT(TRIM(Paramètres!K48),1)="F",1,0)))),IF(Paramètres!L48="",0,IF(Paramètres!M48="",NA(),IF(LEFT(TRIM(Paramètres!M48),1)="F",INDEX($F$1139:$F$1191,MATCH(Paramètres!L48,Paramètres!$G$5:$G$57,0)),INDEX($E$1139:$E$1191,MATCH(Paramètres!L48,Paramètres!$G$5:$G$57,0)))+IF(RIGHT(TRIM(Paramètres!M48),3)="Fin",1-$H1182,IF(LEFT(TRIM(Paramètres!M48),1)="F",1,0)))),IF(Paramètres!N48="",0,IF(Paramètres!O48="",NA(),IF(LEFT(TRIM(Paramètres!O48),1)="F",INDEX($F$1139:$F$1191,MATCH(Paramètres!N48,Paramètres!$G$5:$G$57,0)),INDEX($E$1139:$E$1191,MATCH(Paramètres!N48,Paramètres!$G$5:$G$57,0)))+IF(RIGHT(TRIM(Paramètres!O48),3)="Fin",1-$H1182,IF(LEFT(TRIM(Paramètres!O48),1)="F",1,0)))))))</f>
        <v/>
      </c>
      <c r="F1182" s="19">
        <f>IF($A1182="","",E1182+$H1182-1)</f>
        <v/>
      </c>
      <c r="G1182" s="18" t="n"/>
      <c r="H1182" s="18">
        <f>IF($A1182="","",IF(I1182&lt;&gt;"",I1182,Paramètres!B48))</f>
        <v/>
      </c>
      <c r="I1182" s="18" t="n"/>
    </row>
    <row r="1183">
      <c r="A1183" s="18">
        <f>IF(ISNUMBER(Dossiers!$D$25),Dossiers!$A$25&amp;" · "&amp;Dossiers!$B$25,"")</f>
        <v/>
      </c>
      <c r="B1183" s="18">
        <f>IF($A1183="","",Paramètres!G49)</f>
        <v/>
      </c>
      <c r="C1183" s="18">
        <f>IF($A1183="","",IF(Paramètres!H49="","",Paramètres!H49))</f>
        <v/>
      </c>
      <c r="D1183" s="18">
        <f>IF($A1183="","",IF(Paramètres!I49="","",Paramètres!I49))</f>
        <v/>
      </c>
      <c r="E1183" s="19">
        <f>IF($A1183="","",IF(Paramètres!J49&amp;Paramètres!L49&amp;Paramètres!N49="",Dossiers!$D$25,MAX(IF(Paramètres!J49="",0,IF(Paramètres!K49="",NA(),IF(LEFT(TRIM(Paramètres!K49),1)="F",INDEX($F$1139:$F$1191,MATCH(Paramètres!J49,Paramètres!$G$5:$G$57,0)),INDEX($E$1139:$E$1191,MATCH(Paramètres!J49,Paramètres!$G$5:$G$57,0)))+IF(RIGHT(TRIM(Paramètres!K49),3)="Fin",1-$H1183,IF(LEFT(TRIM(Paramètres!K49),1)="F",1,0)))),IF(Paramètres!L49="",0,IF(Paramètres!M49="",NA(),IF(LEFT(TRIM(Paramètres!M49),1)="F",INDEX($F$1139:$F$1191,MATCH(Paramètres!L49,Paramètres!$G$5:$G$57,0)),INDEX($E$1139:$E$1191,MATCH(Paramètres!L49,Paramètres!$G$5:$G$57,0)))+IF(RIGHT(TRIM(Paramètres!M49),3)="Fin",1-$H1183,IF(LEFT(TRIM(Paramètres!M49),1)="F",1,0)))),IF(Paramètres!N49="",0,IF(Paramètres!O49="",NA(),IF(LEFT(TRIM(Paramètres!O49),1)="F",INDEX($F$1139:$F$1191,MATCH(Paramètres!N49,Paramètres!$G$5:$G$57,0)),INDEX($E$1139:$E$1191,MATCH(Paramètres!N49,Paramètres!$G$5:$G$57,0)))+IF(RIGHT(TRIM(Paramètres!O49),3)="Fin",1-$H1183,IF(LEFT(TRIM(Paramètres!O49),1)="F",1,0)))))))</f>
        <v/>
      </c>
      <c r="F1183" s="19">
        <f>IF($A1183="","",E1183+$H1183-1)</f>
        <v/>
      </c>
      <c r="G1183" s="18" t="n"/>
      <c r="H1183" s="18">
        <f>IF($A1183="","",IF(I1183&lt;&gt;"",I1183,Paramètres!B49))</f>
        <v/>
      </c>
      <c r="I1183" s="18" t="n"/>
    </row>
    <row r="1184">
      <c r="A1184" s="18">
        <f>IF(ISNUMBER(Dossiers!$D$25),Dossiers!$A$25&amp;" · "&amp;Dossiers!$B$25,"")</f>
        <v/>
      </c>
      <c r="B1184" s="18">
        <f>IF($A1184="","",Paramètres!G50)</f>
        <v/>
      </c>
      <c r="C1184" s="18">
        <f>IF($A1184="","",IF(Paramètres!H50="","",Paramètres!H50))</f>
        <v/>
      </c>
      <c r="D1184" s="18">
        <f>IF($A1184="","",IF(Paramètres!I50="","",Paramètres!I50))</f>
        <v/>
      </c>
      <c r="E1184" s="19">
        <f>IF($A1184="","",IF(Paramètres!J50&amp;Paramètres!L50&amp;Paramètres!N50="",Dossiers!$D$25,MAX(IF(Paramètres!J50="",0,IF(Paramètres!K50="",NA(),IF(LEFT(TRIM(Paramètres!K50),1)="F",INDEX($F$1139:$F$1191,MATCH(Paramètres!J50,Paramètres!$G$5:$G$57,0)),INDEX($E$1139:$E$1191,MATCH(Paramètres!J50,Paramètres!$G$5:$G$57,0)))+IF(RIGHT(TRIM(Paramètres!K50),3)="Fin",1-$H1184,IF(LEFT(TRIM(Paramètres!K50),1)="F",1,0)))),IF(Paramètres!L50="",0,IF(Paramètres!M50="",NA(),IF(LEFT(TRIM(Paramètres!M50),1)="F",INDEX($F$1139:$F$1191,MATCH(Paramètres!L50,Paramètres!$G$5:$G$57,0)),INDEX($E$1139:$E$1191,MATCH(Paramètres!L50,Paramètres!$G$5:$G$57,0)))+IF(RIGHT(TRIM(Paramètres!M50),3)="Fin",1-$H1184,IF(LEFT(TRIM(Paramètres!M50),1)="F",1,0)))),IF(Paramètres!N50="",0,IF(Paramètres!O50="",NA(),IF(LEFT(TRIM(Paramètres!O50),1)="F",INDEX($F$1139:$F$1191,MATCH(Paramètres!N50,Paramètres!$G$5:$G$57,0)),INDEX($E$1139:$E$1191,MATCH(Paramètres!N50,Paramètres!$G$5:$G$57,0)))+IF(RIGHT(TRIM(Paramètres!O50),3)="Fin",1-$H1184,IF(LEFT(TRIM(Paramètres!O50),1)="F",1,0)))))))</f>
        <v/>
      </c>
      <c r="F1184" s="19">
        <f>IF($A1184="","",E1184+$H1184-1)</f>
        <v/>
      </c>
      <c r="G1184" s="18" t="n"/>
      <c r="H1184" s="18">
        <f>IF($A1184="","",IF(I1184&lt;&gt;"",I1184,Paramètres!B50))</f>
        <v/>
      </c>
      <c r="I1184" s="18" t="n"/>
    </row>
    <row r="1185">
      <c r="A1185" s="18">
        <f>IF(ISNUMBER(Dossiers!$D$25),Dossiers!$A$25&amp;" · "&amp;Dossiers!$B$25,"")</f>
        <v/>
      </c>
      <c r="B1185" s="18">
        <f>IF($A1185="","",Paramètres!G51)</f>
        <v/>
      </c>
      <c r="C1185" s="18">
        <f>IF($A1185="","",IF(Paramètres!H51="","",Paramètres!H51))</f>
        <v/>
      </c>
      <c r="D1185" s="18">
        <f>IF($A1185="","",IF(Paramètres!I51="","",Paramètres!I51))</f>
        <v/>
      </c>
      <c r="E1185" s="19">
        <f>IF($A1185="","",IF(Paramètres!J51&amp;Paramètres!L51&amp;Paramètres!N51="",Dossiers!$D$25,MAX(IF(Paramètres!J51="",0,IF(Paramètres!K51="",NA(),IF(LEFT(TRIM(Paramètres!K51),1)="F",INDEX($F$1139:$F$1191,MATCH(Paramètres!J51,Paramètres!$G$5:$G$57,0)),INDEX($E$1139:$E$1191,MATCH(Paramètres!J51,Paramètres!$G$5:$G$57,0)))+IF(RIGHT(TRIM(Paramètres!K51),3)="Fin",1-$H1185,IF(LEFT(TRIM(Paramètres!K51),1)="F",1,0)))),IF(Paramètres!L51="",0,IF(Paramètres!M51="",NA(),IF(LEFT(TRIM(Paramètres!M51),1)="F",INDEX($F$1139:$F$1191,MATCH(Paramètres!L51,Paramètres!$G$5:$G$57,0)),INDEX($E$1139:$E$1191,MATCH(Paramètres!L51,Paramètres!$G$5:$G$57,0)))+IF(RIGHT(TRIM(Paramètres!M51),3)="Fin",1-$H1185,IF(LEFT(TRIM(Paramètres!M51),1)="F",1,0)))),IF(Paramètres!N51="",0,IF(Paramètres!O51="",NA(),IF(LEFT(TRIM(Paramètres!O51),1)="F",INDEX($F$1139:$F$1191,MATCH(Paramètres!N51,Paramètres!$G$5:$G$57,0)),INDEX($E$1139:$E$1191,MATCH(Paramètres!N51,Paramètres!$G$5:$G$57,0)))+IF(RIGHT(TRIM(Paramètres!O51),3)="Fin",1-$H1185,IF(LEFT(TRIM(Paramètres!O51),1)="F",1,0)))))))</f>
        <v/>
      </c>
      <c r="F1185" s="19">
        <f>IF($A1185="","",E1185+$H1185-1)</f>
        <v/>
      </c>
      <c r="G1185" s="18" t="n"/>
      <c r="H1185" s="18">
        <f>IF($A1185="","",IF(I1185&lt;&gt;"",I1185,Paramètres!B51))</f>
        <v/>
      </c>
      <c r="I1185" s="18" t="n"/>
    </row>
    <row r="1186">
      <c r="A1186" s="18">
        <f>IF(ISNUMBER(Dossiers!$D$25),Dossiers!$A$25&amp;" · "&amp;Dossiers!$B$25,"")</f>
        <v/>
      </c>
      <c r="B1186" s="18">
        <f>IF($A1186="","",Paramètres!G52)</f>
        <v/>
      </c>
      <c r="C1186" s="18">
        <f>IF($A1186="","",IF(Paramètres!H52="","",Paramètres!H52))</f>
        <v/>
      </c>
      <c r="D1186" s="18">
        <f>IF($A1186="","",IF(Paramètres!I52="","",Paramètres!I52))</f>
        <v/>
      </c>
      <c r="E1186" s="19">
        <f>IF($A1186="","",IF(Paramètres!J52&amp;Paramètres!L52&amp;Paramètres!N52="",Dossiers!$D$25,MAX(IF(Paramètres!J52="",0,IF(Paramètres!K52="",NA(),IF(LEFT(TRIM(Paramètres!K52),1)="F",INDEX($F$1139:$F$1191,MATCH(Paramètres!J52,Paramètres!$G$5:$G$57,0)),INDEX($E$1139:$E$1191,MATCH(Paramètres!J52,Paramètres!$G$5:$G$57,0)))+IF(RIGHT(TRIM(Paramètres!K52),3)="Fin",1-$H1186,IF(LEFT(TRIM(Paramètres!K52),1)="F",1,0)))),IF(Paramètres!L52="",0,IF(Paramètres!M52="",NA(),IF(LEFT(TRIM(Paramètres!M52),1)="F",INDEX($F$1139:$F$1191,MATCH(Paramètres!L52,Paramètres!$G$5:$G$57,0)),INDEX($E$1139:$E$1191,MATCH(Paramètres!L52,Paramètres!$G$5:$G$57,0)))+IF(RIGHT(TRIM(Paramètres!M52),3)="Fin",1-$H1186,IF(LEFT(TRIM(Paramètres!M52),1)="F",1,0)))),IF(Paramètres!N52="",0,IF(Paramètres!O52="",NA(),IF(LEFT(TRIM(Paramètres!O52),1)="F",INDEX($F$1139:$F$1191,MATCH(Paramètres!N52,Paramètres!$G$5:$G$57,0)),INDEX($E$1139:$E$1191,MATCH(Paramètres!N52,Paramètres!$G$5:$G$57,0)))+IF(RIGHT(TRIM(Paramètres!O52),3)="Fin",1-$H1186,IF(LEFT(TRIM(Paramètres!O52),1)="F",1,0)))))))</f>
        <v/>
      </c>
      <c r="F1186" s="19">
        <f>IF($A1186="","",E1186+$H1186-1)</f>
        <v/>
      </c>
      <c r="G1186" s="18" t="n"/>
      <c r="H1186" s="18">
        <f>IF($A1186="","",IF(I1186&lt;&gt;"",I1186,Paramètres!B52))</f>
        <v/>
      </c>
      <c r="I1186" s="18" t="n"/>
    </row>
    <row r="1187">
      <c r="A1187" s="18">
        <f>IF(ISNUMBER(Dossiers!$D$25),Dossiers!$A$25&amp;" · "&amp;Dossiers!$B$25,"")</f>
        <v/>
      </c>
      <c r="B1187" s="18">
        <f>IF($A1187="","",Paramètres!G53)</f>
        <v/>
      </c>
      <c r="C1187" s="18">
        <f>IF($A1187="","",IF(Paramètres!H53="","",Paramètres!H53))</f>
        <v/>
      </c>
      <c r="D1187" s="18">
        <f>IF($A1187="","",IF(Paramètres!I53="","",Paramètres!I53))</f>
        <v/>
      </c>
      <c r="E1187" s="19">
        <f>IF($A1187="","",IF(Paramètres!J53&amp;Paramètres!L53&amp;Paramètres!N53="",Dossiers!$D$25,MAX(IF(Paramètres!J53="",0,IF(Paramètres!K53="",NA(),IF(LEFT(TRIM(Paramètres!K53),1)="F",INDEX($F$1139:$F$1191,MATCH(Paramètres!J53,Paramètres!$G$5:$G$57,0)),INDEX($E$1139:$E$1191,MATCH(Paramètres!J53,Paramètres!$G$5:$G$57,0)))+IF(RIGHT(TRIM(Paramètres!K53),3)="Fin",1-$H1187,IF(LEFT(TRIM(Paramètres!K53),1)="F",1,0)))),IF(Paramètres!L53="",0,IF(Paramètres!M53="",NA(),IF(LEFT(TRIM(Paramètres!M53),1)="F",INDEX($F$1139:$F$1191,MATCH(Paramètres!L53,Paramètres!$G$5:$G$57,0)),INDEX($E$1139:$E$1191,MATCH(Paramètres!L53,Paramètres!$G$5:$G$57,0)))+IF(RIGHT(TRIM(Paramètres!M53),3)="Fin",1-$H1187,IF(LEFT(TRIM(Paramètres!M53),1)="F",1,0)))),IF(Paramètres!N53="",0,IF(Paramètres!O53="",NA(),IF(LEFT(TRIM(Paramètres!O53),1)="F",INDEX($F$1139:$F$1191,MATCH(Paramètres!N53,Paramètres!$G$5:$G$57,0)),INDEX($E$1139:$E$1191,MATCH(Paramètres!N53,Paramètres!$G$5:$G$57,0)))+IF(RIGHT(TRIM(Paramètres!O53),3)="Fin",1-$H1187,IF(LEFT(TRIM(Paramètres!O53),1)="F",1,0)))))))</f>
        <v/>
      </c>
      <c r="F1187" s="19">
        <f>IF($A1187="","",E1187+$H1187-1)</f>
        <v/>
      </c>
      <c r="G1187" s="18" t="n"/>
      <c r="H1187" s="18">
        <f>IF($A1187="","",IF(I1187&lt;&gt;"",I1187,Paramètres!B53))</f>
        <v/>
      </c>
      <c r="I1187" s="18" t="n"/>
    </row>
    <row r="1188">
      <c r="A1188" s="18">
        <f>IF(ISNUMBER(Dossiers!$D$25),Dossiers!$A$25&amp;" · "&amp;Dossiers!$B$25,"")</f>
        <v/>
      </c>
      <c r="B1188" s="18">
        <f>IF($A1188="","",Paramètres!G54)</f>
        <v/>
      </c>
      <c r="C1188" s="18">
        <f>IF($A1188="","",IF(Paramètres!H54="","",Paramètres!H54))</f>
        <v/>
      </c>
      <c r="D1188" s="18">
        <f>IF($A1188="","",IF(Paramètres!I54="","",Paramètres!I54))</f>
        <v/>
      </c>
      <c r="E1188" s="19">
        <f>IF($A1188="","",IF(Paramètres!J54&amp;Paramètres!L54&amp;Paramètres!N54="",Dossiers!$D$25,MAX(IF(Paramètres!J54="",0,IF(Paramètres!K54="",NA(),IF(LEFT(TRIM(Paramètres!K54),1)="F",INDEX($F$1139:$F$1191,MATCH(Paramètres!J54,Paramètres!$G$5:$G$57,0)),INDEX($E$1139:$E$1191,MATCH(Paramètres!J54,Paramètres!$G$5:$G$57,0)))+IF(RIGHT(TRIM(Paramètres!K54),3)="Fin",1-$H1188,IF(LEFT(TRIM(Paramètres!K54),1)="F",1,0)))),IF(Paramètres!L54="",0,IF(Paramètres!M54="",NA(),IF(LEFT(TRIM(Paramètres!M54),1)="F",INDEX($F$1139:$F$1191,MATCH(Paramètres!L54,Paramètres!$G$5:$G$57,0)),INDEX($E$1139:$E$1191,MATCH(Paramètres!L54,Paramètres!$G$5:$G$57,0)))+IF(RIGHT(TRIM(Paramètres!M54),3)="Fin",1-$H1188,IF(LEFT(TRIM(Paramètres!M54),1)="F",1,0)))),IF(Paramètres!N54="",0,IF(Paramètres!O54="",NA(),IF(LEFT(TRIM(Paramètres!O54),1)="F",INDEX($F$1139:$F$1191,MATCH(Paramètres!N54,Paramètres!$G$5:$G$57,0)),INDEX($E$1139:$E$1191,MATCH(Paramètres!N54,Paramètres!$G$5:$G$57,0)))+IF(RIGHT(TRIM(Paramètres!O54),3)="Fin",1-$H1188,IF(LEFT(TRIM(Paramètres!O54),1)="F",1,0)))))))</f>
        <v/>
      </c>
      <c r="F1188" s="19">
        <f>IF($A1188="","",E1188+$H1188-1)</f>
        <v/>
      </c>
      <c r="G1188" s="18" t="n"/>
      <c r="H1188" s="18">
        <f>IF($A1188="","",IF(I1188&lt;&gt;"",I1188,Paramètres!B54))</f>
        <v/>
      </c>
      <c r="I1188" s="18" t="n"/>
    </row>
    <row r="1189">
      <c r="A1189" s="18">
        <f>IF(ISNUMBER(Dossiers!$D$25),Dossiers!$A$25&amp;" · "&amp;Dossiers!$B$25,"")</f>
        <v/>
      </c>
      <c r="B1189" s="18">
        <f>IF($A1189="","",Paramètres!G55)</f>
        <v/>
      </c>
      <c r="C1189" s="18">
        <f>IF($A1189="","",IF(Paramètres!H55="","",Paramètres!H55))</f>
        <v/>
      </c>
      <c r="D1189" s="18">
        <f>IF($A1189="","",IF(Paramètres!I55="","",Paramètres!I55))</f>
        <v/>
      </c>
      <c r="E1189" s="19">
        <f>IF($A1189="","",IF(Paramètres!J55&amp;Paramètres!L55&amp;Paramètres!N55="",Dossiers!$D$25,MAX(IF(Paramètres!J55="",0,IF(Paramètres!K55="",NA(),IF(LEFT(TRIM(Paramètres!K55),1)="F",INDEX($F$1139:$F$1191,MATCH(Paramètres!J55,Paramètres!$G$5:$G$57,0)),INDEX($E$1139:$E$1191,MATCH(Paramètres!J55,Paramètres!$G$5:$G$57,0)))+IF(RIGHT(TRIM(Paramètres!K55),3)="Fin",1-$H1189,IF(LEFT(TRIM(Paramètres!K55),1)="F",1,0)))),IF(Paramètres!L55="",0,IF(Paramètres!M55="",NA(),IF(LEFT(TRIM(Paramètres!M55),1)="F",INDEX($F$1139:$F$1191,MATCH(Paramètres!L55,Paramètres!$G$5:$G$57,0)),INDEX($E$1139:$E$1191,MATCH(Paramètres!L55,Paramètres!$G$5:$G$57,0)))+IF(RIGHT(TRIM(Paramètres!M55),3)="Fin",1-$H1189,IF(LEFT(TRIM(Paramètres!M55),1)="F",1,0)))),IF(Paramètres!N55="",0,IF(Paramètres!O55="",NA(),IF(LEFT(TRIM(Paramètres!O55),1)="F",INDEX($F$1139:$F$1191,MATCH(Paramètres!N55,Paramètres!$G$5:$G$57,0)),INDEX($E$1139:$E$1191,MATCH(Paramètres!N55,Paramètres!$G$5:$G$57,0)))+IF(RIGHT(TRIM(Paramètres!O55),3)="Fin",1-$H1189,IF(LEFT(TRIM(Paramètres!O55),1)="F",1,0)))))))</f>
        <v/>
      </c>
      <c r="F1189" s="19">
        <f>IF($A1189="","",E1189+$H1189-1)</f>
        <v/>
      </c>
      <c r="G1189" s="18" t="n"/>
      <c r="H1189" s="18">
        <f>IF($A1189="","",IF(I1189&lt;&gt;"",I1189,Paramètres!B55))</f>
        <v/>
      </c>
      <c r="I1189" s="18" t="n"/>
    </row>
    <row r="1190">
      <c r="A1190" s="18">
        <f>IF(ISNUMBER(Dossiers!$D$25),Dossiers!$A$25&amp;" · "&amp;Dossiers!$B$25,"")</f>
        <v/>
      </c>
      <c r="B1190" s="18">
        <f>IF($A1190="","",Paramètres!G56)</f>
        <v/>
      </c>
      <c r="C1190" s="18">
        <f>IF($A1190="","",IF(Paramètres!H56="","",Paramètres!H56))</f>
        <v/>
      </c>
      <c r="D1190" s="18">
        <f>IF($A1190="","",IF(Paramètres!I56="","",Paramètres!I56))</f>
        <v/>
      </c>
      <c r="E1190" s="19">
        <f>IF($A1190="","",MIN(E1191:E1191))</f>
        <v/>
      </c>
      <c r="F1190" s="19">
        <f>IF($A1190="","",MAX(F1191:F1191))</f>
        <v/>
      </c>
      <c r="G1190" s="18" t="n"/>
      <c r="H1190" s="18">
        <f>IF($A1190="","",F1190-E1190+1)</f>
        <v/>
      </c>
      <c r="I1190" s="18" t="n"/>
    </row>
    <row r="1191">
      <c r="A1191" s="18">
        <f>IF(ISNUMBER(Dossiers!$D$25),Dossiers!$A$25&amp;" · "&amp;Dossiers!$B$25,"")</f>
        <v/>
      </c>
      <c r="B1191" s="18">
        <f>IF($A1191="","",Paramètres!G57)</f>
        <v/>
      </c>
      <c r="C1191" s="18">
        <f>IF($A1191="","",IF(Paramètres!H57="","",Paramètres!H57))</f>
        <v/>
      </c>
      <c r="D1191" s="18">
        <f>IF($A1191="","",IF(Paramètres!I57="","",Paramètres!I57))</f>
        <v/>
      </c>
      <c r="E1191" s="19">
        <f>IF($A1191="","",IF(Paramètres!J57&amp;Paramètres!L57&amp;Paramètres!N57="",Dossiers!$D$25,MAX(IF(Paramètres!J57="",0,IF(Paramètres!K57="",NA(),IF(LEFT(TRIM(Paramètres!K57),1)="F",INDEX($F$1139:$F$1191,MATCH(Paramètres!J57,Paramètres!$G$5:$G$57,0)),INDEX($E$1139:$E$1191,MATCH(Paramètres!J57,Paramètres!$G$5:$G$57,0)))+IF(RIGHT(TRIM(Paramètres!K57),3)="Fin",1-$H1191,IF(LEFT(TRIM(Paramètres!K57),1)="F",1,0)))),IF(Paramètres!L57="",0,IF(Paramètres!M57="",NA(),IF(LEFT(TRIM(Paramètres!M57),1)="F",INDEX($F$1139:$F$1191,MATCH(Paramètres!L57,Paramètres!$G$5:$G$57,0)),INDEX($E$1139:$E$1191,MATCH(Paramètres!L57,Paramètres!$G$5:$G$57,0)))+IF(RIGHT(TRIM(Paramètres!M57),3)="Fin",1-$H1191,IF(LEFT(TRIM(Paramètres!M57),1)="F",1,0)))),IF(Paramètres!N57="",0,IF(Paramètres!O57="",NA(),IF(LEFT(TRIM(Paramètres!O57),1)="F",INDEX($F$1139:$F$1191,MATCH(Paramètres!N57,Paramètres!$G$5:$G$57,0)),INDEX($E$1139:$E$1191,MATCH(Paramètres!N57,Paramètres!$G$5:$G$57,0)))+IF(RIGHT(TRIM(Paramètres!O57),3)="Fin",1-$H1191,IF(LEFT(TRIM(Paramètres!O57),1)="F",1,0)))))))</f>
        <v/>
      </c>
      <c r="F1191" s="19">
        <f>IF($A1191="","",E1191+$H1191-1)</f>
        <v/>
      </c>
      <c r="G1191" s="18" t="n"/>
      <c r="H1191" s="18">
        <f>IF($A1191="","",IF(I1191&lt;&gt;"",I1191,Paramètres!B57))</f>
        <v/>
      </c>
      <c r="I1191" s="18" t="n"/>
    </row>
    <row r="1192">
      <c r="A1192" s="16">
        <f>IF(ISNUMBER(Dossiers!$D$26),Dossiers!$E$26,"")</f>
        <v/>
      </c>
      <c r="B1192" s="16">
        <f>IF($A1192="","","Identifiant")</f>
        <v/>
      </c>
      <c r="C1192" s="16">
        <f>IF($A1192="","","Macro Etape")</f>
        <v/>
      </c>
      <c r="D1192" s="16">
        <f>IF($A1192="","","Etape")</f>
        <v/>
      </c>
      <c r="E1192" s="17">
        <f>IF($A1192="","","Début le")</f>
        <v/>
      </c>
      <c r="F1192" s="17">
        <f>IF($A1192="","","Fin prévue le")</f>
        <v/>
      </c>
      <c r="G1192" s="16">
        <f>IF($A1192="","","Statut")</f>
        <v/>
      </c>
      <c r="H1192" s="16">
        <f>IF($A1192="","","Durée (jours)")</f>
        <v/>
      </c>
      <c r="I1192" s="16">
        <f>IF($A1192="","","Durée particulière")</f>
        <v/>
      </c>
      <c r="J1192" s="10">
        <f>IF($A1192="","",HYPERLINK("#'Tableau de bord'!A1","↑ Tableau de bord"))</f>
        <v/>
      </c>
    </row>
    <row r="1193">
      <c r="A1193" s="18">
        <f>IF(ISNUMBER(Dossiers!$D$26),Dossiers!$A$26&amp;" · "&amp;Dossiers!$B$26,"")</f>
        <v/>
      </c>
      <c r="B1193" s="18">
        <f>IF($A1193="","",Paramètres!G5)</f>
        <v/>
      </c>
      <c r="C1193" s="18">
        <f>IF($A1193="","",IF(Paramètres!H5="","",Paramètres!H5))</f>
        <v/>
      </c>
      <c r="D1193" s="18">
        <f>IF($A1193="","",IF(Paramètres!I5="","",Paramètres!I5))</f>
        <v/>
      </c>
      <c r="E1193" s="19">
        <f>IF($A1193="","",MIN(E1194:E1197))</f>
        <v/>
      </c>
      <c r="F1193" s="19">
        <f>IF($A1193="","",MAX(F1194:F1197))</f>
        <v/>
      </c>
      <c r="G1193" s="18" t="n"/>
      <c r="H1193" s="18">
        <f>IF($A1193="","",F1193-E1193+1)</f>
        <v/>
      </c>
      <c r="I1193" s="18" t="n"/>
    </row>
    <row r="1194">
      <c r="A1194" s="18">
        <f>IF(ISNUMBER(Dossiers!$D$26),Dossiers!$A$26&amp;" · "&amp;Dossiers!$B$26,"")</f>
        <v/>
      </c>
      <c r="B1194" s="18">
        <f>IF($A1194="","",Paramètres!G6)</f>
        <v/>
      </c>
      <c r="C1194" s="18">
        <f>IF($A1194="","",IF(Paramètres!H6="","",Paramètres!H6))</f>
        <v/>
      </c>
      <c r="D1194" s="18">
        <f>IF($A1194="","",IF(Paramètres!I6="","",Paramètres!I6))</f>
        <v/>
      </c>
      <c r="E1194" s="19">
        <f>IF($A1194="","",IF(Paramètres!J6&amp;Paramètres!L6&amp;Paramètres!N6="",Dossiers!$D$26,MAX(IF(Paramètres!J6="",0,IF(Paramètres!K6="",NA(),IF(LEFT(TRIM(Paramètres!K6),1)="F",INDEX($F$1193:$F$1245,MATCH(Paramètres!J6,Paramètres!$G$5:$G$57,0)),INDEX($E$1193:$E$1245,MATCH(Paramètres!J6,Paramètres!$G$5:$G$57,0)))+IF(RIGHT(TRIM(Paramètres!K6),3)="Fin",1-$H1194,IF(LEFT(TRIM(Paramètres!K6),1)="F",1,0)))),IF(Paramètres!L6="",0,IF(Paramètres!M6="",NA(),IF(LEFT(TRIM(Paramètres!M6),1)="F",INDEX($F$1193:$F$1245,MATCH(Paramètres!L6,Paramètres!$G$5:$G$57,0)),INDEX($E$1193:$E$1245,MATCH(Paramètres!L6,Paramètres!$G$5:$G$57,0)))+IF(RIGHT(TRIM(Paramètres!M6),3)="Fin",1-$H1194,IF(LEFT(TRIM(Paramètres!M6),1)="F",1,0)))),IF(Paramètres!N6="",0,IF(Paramètres!O6="",NA(),IF(LEFT(TRIM(Paramètres!O6),1)="F",INDEX($F$1193:$F$1245,MATCH(Paramètres!N6,Paramètres!$G$5:$G$57,0)),INDEX($E$1193:$E$1245,MATCH(Paramètres!N6,Paramètres!$G$5:$G$57,0)))+IF(RIGHT(TRIM(Paramètres!O6),3)="Fin",1-$H1194,IF(LEFT(TRIM(Paramètres!O6),1)="F",1,0)))))))</f>
        <v/>
      </c>
      <c r="F1194" s="19">
        <f>IF($A1194="","",E1194+$H1194-1)</f>
        <v/>
      </c>
      <c r="G1194" s="18" t="n"/>
      <c r="H1194" s="18">
        <f>IF($A1194="","",IF(I1194&lt;&gt;"",I1194,Paramètres!B6))</f>
        <v/>
      </c>
      <c r="I1194" s="18" t="n"/>
    </row>
    <row r="1195">
      <c r="A1195" s="18">
        <f>IF(ISNUMBER(Dossiers!$D$26),Dossiers!$A$26&amp;" · "&amp;Dossiers!$B$26,"")</f>
        <v/>
      </c>
      <c r="B1195" s="18">
        <f>IF($A1195="","",Paramètres!G7)</f>
        <v/>
      </c>
      <c r="C1195" s="18">
        <f>IF($A1195="","",IF(Paramètres!H7="","",Paramètres!H7))</f>
        <v/>
      </c>
      <c r="D1195" s="18">
        <f>IF($A1195="","",IF(Paramètres!I7="","",Paramètres!I7))</f>
        <v/>
      </c>
      <c r="E1195" s="19">
        <f>IF($A1195="","",IF(Paramètres!J7&amp;Paramètres!L7&amp;Paramètres!N7="",Dossiers!$D$26,MAX(IF(Paramètres!J7="",0,IF(Paramètres!K7="",NA(),IF(LEFT(TRIM(Paramètres!K7),1)="F",INDEX($F$1193:$F$1245,MATCH(Paramètres!J7,Paramètres!$G$5:$G$57,0)),INDEX($E$1193:$E$1245,MATCH(Paramètres!J7,Paramètres!$G$5:$G$57,0)))+IF(RIGHT(TRIM(Paramètres!K7),3)="Fin",1-$H1195,IF(LEFT(TRIM(Paramètres!K7),1)="F",1,0)))),IF(Paramètres!L7="",0,IF(Paramètres!M7="",NA(),IF(LEFT(TRIM(Paramètres!M7),1)="F",INDEX($F$1193:$F$1245,MATCH(Paramètres!L7,Paramètres!$G$5:$G$57,0)),INDEX($E$1193:$E$1245,MATCH(Paramètres!L7,Paramètres!$G$5:$G$57,0)))+IF(RIGHT(TRIM(Paramètres!M7),3)="Fin",1-$H1195,IF(LEFT(TRIM(Paramètres!M7),1)="F",1,0)))),IF(Paramètres!N7="",0,IF(Paramètres!O7="",NA(),IF(LEFT(TRIM(Paramètres!O7),1)="F",INDEX($F$1193:$F$1245,MATCH(Paramètres!N7,Paramètres!$G$5:$G$57,0)),INDEX($E$1193:$E$1245,MATCH(Paramètres!N7,Paramètres!$G$5:$G$57,0)))+IF(RIGHT(TRIM(Paramètres!O7),3)="Fin",1-$H1195,IF(LEFT(TRIM(Paramètres!O7),1)="F",1,0)))))))</f>
        <v/>
      </c>
      <c r="F1195" s="19">
        <f>IF($A1195="","",E1195+$H1195-1)</f>
        <v/>
      </c>
      <c r="G1195" s="18" t="n"/>
      <c r="H1195" s="18">
        <f>IF($A1195="","",IF(I1195&lt;&gt;"",I1195,Paramètres!B7))</f>
        <v/>
      </c>
      <c r="I1195" s="18" t="n"/>
    </row>
    <row r="1196">
      <c r="A1196" s="18">
        <f>IF(ISNUMBER(Dossiers!$D$26),Dossiers!$A$26&amp;" · "&amp;Dossiers!$B$26,"")</f>
        <v/>
      </c>
      <c r="B1196" s="18">
        <f>IF($A1196="","",Paramètres!G8)</f>
        <v/>
      </c>
      <c r="C1196" s="18">
        <f>IF($A1196="","",IF(Paramètres!H8="","",Paramètres!H8))</f>
        <v/>
      </c>
      <c r="D1196" s="18">
        <f>IF($A1196="","",IF(Paramètres!I8="","",Paramètres!I8))</f>
        <v/>
      </c>
      <c r="E1196" s="19">
        <f>IF($A1196="","",IF(Paramètres!J8&amp;Paramètres!L8&amp;Paramètres!N8="",Dossiers!$D$26,MAX(IF(Paramètres!J8="",0,IF(Paramètres!K8="",NA(),IF(LEFT(TRIM(Paramètres!K8),1)="F",INDEX($F$1193:$F$1245,MATCH(Paramètres!J8,Paramètres!$G$5:$G$57,0)),INDEX($E$1193:$E$1245,MATCH(Paramètres!J8,Paramètres!$G$5:$G$57,0)))+IF(RIGHT(TRIM(Paramètres!K8),3)="Fin",1-$H1196,IF(LEFT(TRIM(Paramètres!K8),1)="F",1,0)))),IF(Paramètres!L8="",0,IF(Paramètres!M8="",NA(),IF(LEFT(TRIM(Paramètres!M8),1)="F",INDEX($F$1193:$F$1245,MATCH(Paramètres!L8,Paramètres!$G$5:$G$57,0)),INDEX($E$1193:$E$1245,MATCH(Paramètres!L8,Paramètres!$G$5:$G$57,0)))+IF(RIGHT(TRIM(Paramètres!M8),3)="Fin",1-$H1196,IF(LEFT(TRIM(Paramètres!M8),1)="F",1,0)))),IF(Paramètres!N8="",0,IF(Paramètres!O8="",NA(),IF(LEFT(TRIM(Paramètres!O8),1)="F",INDEX($F$1193:$F$1245,MATCH(Paramètres!N8,Paramètres!$G$5:$G$57,0)),INDEX($E$1193:$E$1245,MATCH(Paramètres!N8,Paramètres!$G$5:$G$57,0)))+IF(RIGHT(TRIM(Paramètres!O8),3)="Fin",1-$H1196,IF(LEFT(TRIM(Paramètres!O8),1)="F",1,0)))))))</f>
        <v/>
      </c>
      <c r="F1196" s="19">
        <f>IF($A1196="","",E1196+$H1196-1)</f>
        <v/>
      </c>
      <c r="G1196" s="18" t="n"/>
      <c r="H1196" s="18">
        <f>IF($A1196="","",IF(I1196&lt;&gt;"",I1196,Paramètres!B8))</f>
        <v/>
      </c>
      <c r="I1196" s="18" t="n"/>
    </row>
    <row r="1197">
      <c r="A1197" s="18">
        <f>IF(ISNUMBER(Dossiers!$D$26),Dossiers!$A$26&amp;" · "&amp;Dossiers!$B$26,"")</f>
        <v/>
      </c>
      <c r="B1197" s="18">
        <f>IF($A1197="","",Paramètres!G9)</f>
        <v/>
      </c>
      <c r="C1197" s="18">
        <f>IF($A1197="","",IF(Paramètres!H9="","",Paramètres!H9))</f>
        <v/>
      </c>
      <c r="D1197" s="18">
        <f>IF($A1197="","",IF(Paramètres!I9="","",Paramètres!I9))</f>
        <v/>
      </c>
      <c r="E1197" s="19">
        <f>IF($A1197="","",IF(Paramètres!J9&amp;Paramètres!L9&amp;Paramètres!N9="",Dossiers!$D$26,MAX(IF(Paramètres!J9="",0,IF(Paramètres!K9="",NA(),IF(LEFT(TRIM(Paramètres!K9),1)="F",INDEX($F$1193:$F$1245,MATCH(Paramètres!J9,Paramètres!$G$5:$G$57,0)),INDEX($E$1193:$E$1245,MATCH(Paramètres!J9,Paramètres!$G$5:$G$57,0)))+IF(RIGHT(TRIM(Paramètres!K9),3)="Fin",1-$H1197,IF(LEFT(TRIM(Paramètres!K9),1)="F",1,0)))),IF(Paramètres!L9="",0,IF(Paramètres!M9="",NA(),IF(LEFT(TRIM(Paramètres!M9),1)="F",INDEX($F$1193:$F$1245,MATCH(Paramètres!L9,Paramètres!$G$5:$G$57,0)),INDEX($E$1193:$E$1245,MATCH(Paramètres!L9,Paramètres!$G$5:$G$57,0)))+IF(RIGHT(TRIM(Paramètres!M9),3)="Fin",1-$H1197,IF(LEFT(TRIM(Paramètres!M9),1)="F",1,0)))),IF(Paramètres!N9="",0,IF(Paramètres!O9="",NA(),IF(LEFT(TRIM(Paramètres!O9),1)="F",INDEX($F$1193:$F$1245,MATCH(Paramètres!N9,Paramètres!$G$5:$G$57,0)),INDEX($E$1193:$E$1245,MATCH(Paramètres!N9,Paramètres!$G$5:$G$57,0)))+IF(RIGHT(TRIM(Paramètres!O9),3)="Fin",1-$H1197,IF(LEFT(TRIM(Paramètres!O9),1)="F",1,0)))))))</f>
        <v/>
      </c>
      <c r="F1197" s="19">
        <f>IF($A1197="","",E1197+$H1197-1)</f>
        <v/>
      </c>
      <c r="G1197" s="18" t="n"/>
      <c r="H1197" s="18">
        <f>IF($A1197="","",IF(I1197&lt;&gt;"",I1197,Paramètres!B9))</f>
        <v/>
      </c>
      <c r="I1197" s="18" t="n"/>
    </row>
    <row r="1198">
      <c r="A1198" s="18">
        <f>IF(ISNUMBER(Dossiers!$D$26),Dossiers!$A$26&amp;" · "&amp;Dossiers!$B$26,"")</f>
        <v/>
      </c>
      <c r="B1198" s="18">
        <f>IF($A1198="","",Paramètres!G10)</f>
        <v/>
      </c>
      <c r="C1198" s="18">
        <f>IF($A1198="","",IF(Paramètres!H10="","",Paramètres!H10))</f>
        <v/>
      </c>
      <c r="D1198" s="18">
        <f>IF($A1198="","",IF(Paramètres!I10="","",Paramètres!I10))</f>
        <v/>
      </c>
      <c r="E1198" s="19">
        <f>IF($A1198="","",MIN(E1199:E1202))</f>
        <v/>
      </c>
      <c r="F1198" s="19">
        <f>IF($A1198="","",MAX(F1199:F1202))</f>
        <v/>
      </c>
      <c r="G1198" s="18" t="n"/>
      <c r="H1198" s="18">
        <f>IF($A1198="","",F1198-E1198+1)</f>
        <v/>
      </c>
      <c r="I1198" s="18" t="n"/>
    </row>
    <row r="1199">
      <c r="A1199" s="18">
        <f>IF(ISNUMBER(Dossiers!$D$26),Dossiers!$A$26&amp;" · "&amp;Dossiers!$B$26,"")</f>
        <v/>
      </c>
      <c r="B1199" s="18">
        <f>IF($A1199="","",Paramètres!G11)</f>
        <v/>
      </c>
      <c r="C1199" s="18">
        <f>IF($A1199="","",IF(Paramètres!H11="","",Paramètres!H11))</f>
        <v/>
      </c>
      <c r="D1199" s="18">
        <f>IF($A1199="","",IF(Paramètres!I11="","",Paramètres!I11))</f>
        <v/>
      </c>
      <c r="E1199" s="19">
        <f>IF($A1199="","",IF(Paramètres!J11&amp;Paramètres!L11&amp;Paramètres!N11="",Dossiers!$D$26,MAX(IF(Paramètres!J11="",0,IF(Paramètres!K11="",NA(),IF(LEFT(TRIM(Paramètres!K11),1)="F",INDEX($F$1193:$F$1245,MATCH(Paramètres!J11,Paramètres!$G$5:$G$57,0)),INDEX($E$1193:$E$1245,MATCH(Paramètres!J11,Paramètres!$G$5:$G$57,0)))+IF(RIGHT(TRIM(Paramètres!K11),3)="Fin",1-$H1199,IF(LEFT(TRIM(Paramètres!K11),1)="F",1,0)))),IF(Paramètres!L11="",0,IF(Paramètres!M11="",NA(),IF(LEFT(TRIM(Paramètres!M11),1)="F",INDEX($F$1193:$F$1245,MATCH(Paramètres!L11,Paramètres!$G$5:$G$57,0)),INDEX($E$1193:$E$1245,MATCH(Paramètres!L11,Paramètres!$G$5:$G$57,0)))+IF(RIGHT(TRIM(Paramètres!M11),3)="Fin",1-$H1199,IF(LEFT(TRIM(Paramètres!M11),1)="F",1,0)))),IF(Paramètres!N11="",0,IF(Paramètres!O11="",NA(),IF(LEFT(TRIM(Paramètres!O11),1)="F",INDEX($F$1193:$F$1245,MATCH(Paramètres!N11,Paramètres!$G$5:$G$57,0)),INDEX($E$1193:$E$1245,MATCH(Paramètres!N11,Paramètres!$G$5:$G$57,0)))+IF(RIGHT(TRIM(Paramètres!O11),3)="Fin",1-$H1199,IF(LEFT(TRIM(Paramètres!O11),1)="F",1,0)))))))</f>
        <v/>
      </c>
      <c r="F1199" s="19">
        <f>IF($A1199="","",E1199+$H1199-1)</f>
        <v/>
      </c>
      <c r="G1199" s="18" t="n"/>
      <c r="H1199" s="18">
        <f>IF($A1199="","",IF(I1199&lt;&gt;"",I1199,Paramètres!B11))</f>
        <v/>
      </c>
      <c r="I1199" s="18" t="n"/>
    </row>
    <row r="1200">
      <c r="A1200" s="18">
        <f>IF(ISNUMBER(Dossiers!$D$26),Dossiers!$A$26&amp;" · "&amp;Dossiers!$B$26,"")</f>
        <v/>
      </c>
      <c r="B1200" s="18">
        <f>IF($A1200="","",Paramètres!G12)</f>
        <v/>
      </c>
      <c r="C1200" s="18">
        <f>IF($A1200="","",IF(Paramètres!H12="","",Paramètres!H12))</f>
        <v/>
      </c>
      <c r="D1200" s="18">
        <f>IF($A1200="","",IF(Paramètres!I12="","",Paramètres!I12))</f>
        <v/>
      </c>
      <c r="E1200" s="19">
        <f>IF($A1200="","",IF(Paramètres!J12&amp;Paramètres!L12&amp;Paramètres!N12="",Dossiers!$D$26,MAX(IF(Paramètres!J12="",0,IF(Paramètres!K12="",NA(),IF(LEFT(TRIM(Paramètres!K12),1)="F",INDEX($F$1193:$F$1245,MATCH(Paramètres!J12,Paramètres!$G$5:$G$57,0)),INDEX($E$1193:$E$1245,MATCH(Paramètres!J12,Paramètres!$G$5:$G$57,0)))+IF(RIGHT(TRIM(Paramètres!K12),3)="Fin",1-$H1200,IF(LEFT(TRIM(Paramètres!K12),1)="F",1,0)))),IF(Paramètres!L12="",0,IF(Paramètres!M12="",NA(),IF(LEFT(TRIM(Paramètres!M12),1)="F",INDEX($F$1193:$F$1245,MATCH(Paramètres!L12,Paramètres!$G$5:$G$57,0)),INDEX($E$1193:$E$1245,MATCH(Paramètres!L12,Paramètres!$G$5:$G$57,0)))+IF(RIGHT(TRIM(Paramètres!M12),3)="Fin",1-$H1200,IF(LEFT(TRIM(Paramètres!M12),1)="F",1,0)))),IF(Paramètres!N12="",0,IF(Paramètres!O12="",NA(),IF(LEFT(TRIM(Paramètres!O12),1)="F",INDEX($F$1193:$F$1245,MATCH(Paramètres!N12,Paramètres!$G$5:$G$57,0)),INDEX($E$1193:$E$1245,MATCH(Paramètres!N12,Paramètres!$G$5:$G$57,0)))+IF(RIGHT(TRIM(Paramètres!O12),3)="Fin",1-$H1200,IF(LEFT(TRIM(Paramètres!O12),1)="F",1,0)))))))</f>
        <v/>
      </c>
      <c r="F1200" s="19">
        <f>IF($A1200="","",E1200+$H1200-1)</f>
        <v/>
      </c>
      <c r="G1200" s="18" t="n"/>
      <c r="H1200" s="18">
        <f>IF($A1200="","",IF(I1200&lt;&gt;"",I1200,Paramètres!B12))</f>
        <v/>
      </c>
      <c r="I1200" s="18" t="n"/>
    </row>
    <row r="1201">
      <c r="A1201" s="18">
        <f>IF(ISNUMBER(Dossiers!$D$26),Dossiers!$A$26&amp;" · "&amp;Dossiers!$B$26,"")</f>
        <v/>
      </c>
      <c r="B1201" s="18">
        <f>IF($A1201="","",Paramètres!G13)</f>
        <v/>
      </c>
      <c r="C1201" s="18">
        <f>IF($A1201="","",IF(Paramètres!H13="","",Paramètres!H13))</f>
        <v/>
      </c>
      <c r="D1201" s="18">
        <f>IF($A1201="","",IF(Paramètres!I13="","",Paramètres!I13))</f>
        <v/>
      </c>
      <c r="E1201" s="19">
        <f>IF($A1201="","",IF(Paramètres!J13&amp;Paramètres!L13&amp;Paramètres!N13="",Dossiers!$D$26,MAX(IF(Paramètres!J13="",0,IF(Paramètres!K13="",NA(),IF(LEFT(TRIM(Paramètres!K13),1)="F",INDEX($F$1193:$F$1245,MATCH(Paramètres!J13,Paramètres!$G$5:$G$57,0)),INDEX($E$1193:$E$1245,MATCH(Paramètres!J13,Paramètres!$G$5:$G$57,0)))+IF(RIGHT(TRIM(Paramètres!K13),3)="Fin",1-$H1201,IF(LEFT(TRIM(Paramètres!K13),1)="F",1,0)))),IF(Paramètres!L13="",0,IF(Paramètres!M13="",NA(),IF(LEFT(TRIM(Paramètres!M13),1)="F",INDEX($F$1193:$F$1245,MATCH(Paramètres!L13,Paramètres!$G$5:$G$57,0)),INDEX($E$1193:$E$1245,MATCH(Paramètres!L13,Paramètres!$G$5:$G$57,0)))+IF(RIGHT(TRIM(Paramètres!M13),3)="Fin",1-$H1201,IF(LEFT(TRIM(Paramètres!M13),1)="F",1,0)))),IF(Paramètres!N13="",0,IF(Paramètres!O13="",NA(),IF(LEFT(TRIM(Paramètres!O13),1)="F",INDEX($F$1193:$F$1245,MATCH(Paramètres!N13,Paramètres!$G$5:$G$57,0)),INDEX($E$1193:$E$1245,MATCH(Paramètres!N13,Paramètres!$G$5:$G$57,0)))+IF(RIGHT(TRIM(Paramètres!O13),3)="Fin",1-$H1201,IF(LEFT(TRIM(Paramètres!O13),1)="F",1,0)))))))</f>
        <v/>
      </c>
      <c r="F1201" s="19">
        <f>IF($A1201="","",E1201+$H1201-1)</f>
        <v/>
      </c>
      <c r="G1201" s="18" t="n"/>
      <c r="H1201" s="18">
        <f>IF($A1201="","",IF(I1201&lt;&gt;"",I1201,Paramètres!B13))</f>
        <v/>
      </c>
      <c r="I1201" s="18" t="n"/>
    </row>
    <row r="1202">
      <c r="A1202" s="18">
        <f>IF(ISNUMBER(Dossiers!$D$26),Dossiers!$A$26&amp;" · "&amp;Dossiers!$B$26,"")</f>
        <v/>
      </c>
      <c r="B1202" s="18">
        <f>IF($A1202="","",Paramètres!G14)</f>
        <v/>
      </c>
      <c r="C1202" s="18">
        <f>IF($A1202="","",IF(Paramètres!H14="","",Paramètres!H14))</f>
        <v/>
      </c>
      <c r="D1202" s="18">
        <f>IF($A1202="","",IF(Paramètres!I14="","",Paramètres!I14))</f>
        <v/>
      </c>
      <c r="E1202" s="19">
        <f>IF($A1202="","",IF(Paramètres!J14&amp;Paramètres!L14&amp;Paramètres!N14="",Dossiers!$D$26,MAX(IF(Paramètres!J14="",0,IF(Paramètres!K14="",NA(),IF(LEFT(TRIM(Paramètres!K14),1)="F",INDEX($F$1193:$F$1245,MATCH(Paramètres!J14,Paramètres!$G$5:$G$57,0)),INDEX($E$1193:$E$1245,MATCH(Paramètres!J14,Paramètres!$G$5:$G$57,0)))+IF(RIGHT(TRIM(Paramètres!K14),3)="Fin",1-$H1202,IF(LEFT(TRIM(Paramètres!K14),1)="F",1,0)))),IF(Paramètres!L14="",0,IF(Paramètres!M14="",NA(),IF(LEFT(TRIM(Paramètres!M14),1)="F",INDEX($F$1193:$F$1245,MATCH(Paramètres!L14,Paramètres!$G$5:$G$57,0)),INDEX($E$1193:$E$1245,MATCH(Paramètres!L14,Paramètres!$G$5:$G$57,0)))+IF(RIGHT(TRIM(Paramètres!M14),3)="Fin",1-$H1202,IF(LEFT(TRIM(Paramètres!M14),1)="F",1,0)))),IF(Paramètres!N14="",0,IF(Paramètres!O14="",NA(),IF(LEFT(TRIM(Paramètres!O14),1)="F",INDEX($F$1193:$F$1245,MATCH(Paramètres!N14,Paramètres!$G$5:$G$57,0)),INDEX($E$1193:$E$1245,MATCH(Paramètres!N14,Paramètres!$G$5:$G$57,0)))+IF(RIGHT(TRIM(Paramètres!O14),3)="Fin",1-$H1202,IF(LEFT(TRIM(Paramètres!O14),1)="F",1,0)))))))</f>
        <v/>
      </c>
      <c r="F1202" s="19">
        <f>IF($A1202="","",E1202+$H1202-1)</f>
        <v/>
      </c>
      <c r="G1202" s="18" t="n"/>
      <c r="H1202" s="18">
        <f>IF($A1202="","",IF(I1202&lt;&gt;"",I1202,Paramètres!B14))</f>
        <v/>
      </c>
      <c r="I1202" s="18" t="n"/>
    </row>
    <row r="1203">
      <c r="A1203" s="18">
        <f>IF(ISNUMBER(Dossiers!$D$26),Dossiers!$A$26&amp;" · "&amp;Dossiers!$B$26,"")</f>
        <v/>
      </c>
      <c r="B1203" s="18">
        <f>IF($A1203="","",Paramètres!G15)</f>
        <v/>
      </c>
      <c r="C1203" s="18">
        <f>IF($A1203="","",IF(Paramètres!H15="","",Paramètres!H15))</f>
        <v/>
      </c>
      <c r="D1203" s="18">
        <f>IF($A1203="","",IF(Paramètres!I15="","",Paramètres!I15))</f>
        <v/>
      </c>
      <c r="E1203" s="19">
        <f>IF($A1203="","",MIN(E1204:E1219))</f>
        <v/>
      </c>
      <c r="F1203" s="19">
        <f>IF($A1203="","",MAX(F1204:F1219))</f>
        <v/>
      </c>
      <c r="G1203" s="18" t="n"/>
      <c r="H1203" s="18">
        <f>IF($A1203="","",F1203-E1203+1)</f>
        <v/>
      </c>
      <c r="I1203" s="18" t="n"/>
    </row>
    <row r="1204">
      <c r="A1204" s="18">
        <f>IF(ISNUMBER(Dossiers!$D$26),Dossiers!$A$26&amp;" · "&amp;Dossiers!$B$26,"")</f>
        <v/>
      </c>
      <c r="B1204" s="18">
        <f>IF($A1204="","",Paramètres!G16)</f>
        <v/>
      </c>
      <c r="C1204" s="18">
        <f>IF($A1204="","",IF(Paramètres!H16="","",Paramètres!H16))</f>
        <v/>
      </c>
      <c r="D1204" s="18">
        <f>IF($A1204="","",IF(Paramètres!I16="","",Paramètres!I16))</f>
        <v/>
      </c>
      <c r="E1204" s="19">
        <f>IF($A1204="","",IF(Paramètres!J16&amp;Paramètres!L16&amp;Paramètres!N16="",Dossiers!$D$26,MAX(IF(Paramètres!J16="",0,IF(Paramètres!K16="",NA(),IF(LEFT(TRIM(Paramètres!K16),1)="F",INDEX($F$1193:$F$1245,MATCH(Paramètres!J16,Paramètres!$G$5:$G$57,0)),INDEX($E$1193:$E$1245,MATCH(Paramètres!J16,Paramètres!$G$5:$G$57,0)))+IF(RIGHT(TRIM(Paramètres!K16),3)="Fin",1-$H1204,IF(LEFT(TRIM(Paramètres!K16),1)="F",1,0)))),IF(Paramètres!L16="",0,IF(Paramètres!M16="",NA(),IF(LEFT(TRIM(Paramètres!M16),1)="F",INDEX($F$1193:$F$1245,MATCH(Paramètres!L16,Paramètres!$G$5:$G$57,0)),INDEX($E$1193:$E$1245,MATCH(Paramètres!L16,Paramètres!$G$5:$G$57,0)))+IF(RIGHT(TRIM(Paramètres!M16),3)="Fin",1-$H1204,IF(LEFT(TRIM(Paramètres!M16),1)="F",1,0)))),IF(Paramètres!N16="",0,IF(Paramètres!O16="",NA(),IF(LEFT(TRIM(Paramètres!O16),1)="F",INDEX($F$1193:$F$1245,MATCH(Paramètres!N16,Paramètres!$G$5:$G$57,0)),INDEX($E$1193:$E$1245,MATCH(Paramètres!N16,Paramètres!$G$5:$G$57,0)))+IF(RIGHT(TRIM(Paramètres!O16),3)="Fin",1-$H1204,IF(LEFT(TRIM(Paramètres!O16),1)="F",1,0)))))))</f>
        <v/>
      </c>
      <c r="F1204" s="19">
        <f>IF($A1204="","",E1204+$H1204-1)</f>
        <v/>
      </c>
      <c r="G1204" s="18" t="n"/>
      <c r="H1204" s="18">
        <f>IF($A1204="","",IF(I1204&lt;&gt;"",I1204,Paramètres!B16))</f>
        <v/>
      </c>
      <c r="I1204" s="18" t="n"/>
    </row>
    <row r="1205">
      <c r="A1205" s="18">
        <f>IF(ISNUMBER(Dossiers!$D$26),Dossiers!$A$26&amp;" · "&amp;Dossiers!$B$26,"")</f>
        <v/>
      </c>
      <c r="B1205" s="18">
        <f>IF($A1205="","",Paramètres!G17)</f>
        <v/>
      </c>
      <c r="C1205" s="18">
        <f>IF($A1205="","",IF(Paramètres!H17="","",Paramètres!H17))</f>
        <v/>
      </c>
      <c r="D1205" s="18">
        <f>IF($A1205="","",IF(Paramètres!I17="","",Paramètres!I17))</f>
        <v/>
      </c>
      <c r="E1205" s="19">
        <f>IF($A1205="","",IF(Paramètres!J17&amp;Paramètres!L17&amp;Paramètres!N17="",Dossiers!$D$26,MAX(IF(Paramètres!J17="",0,IF(Paramètres!K17="",NA(),IF(LEFT(TRIM(Paramètres!K17),1)="F",INDEX($F$1193:$F$1245,MATCH(Paramètres!J17,Paramètres!$G$5:$G$57,0)),INDEX($E$1193:$E$1245,MATCH(Paramètres!J17,Paramètres!$G$5:$G$57,0)))+IF(RIGHT(TRIM(Paramètres!K17),3)="Fin",1-$H1205,IF(LEFT(TRIM(Paramètres!K17),1)="F",1,0)))),IF(Paramètres!L17="",0,IF(Paramètres!M17="",NA(),IF(LEFT(TRIM(Paramètres!M17),1)="F",INDEX($F$1193:$F$1245,MATCH(Paramètres!L17,Paramètres!$G$5:$G$57,0)),INDEX($E$1193:$E$1245,MATCH(Paramètres!L17,Paramètres!$G$5:$G$57,0)))+IF(RIGHT(TRIM(Paramètres!M17),3)="Fin",1-$H1205,IF(LEFT(TRIM(Paramètres!M17),1)="F",1,0)))),IF(Paramètres!N17="",0,IF(Paramètres!O17="",NA(),IF(LEFT(TRIM(Paramètres!O17),1)="F",INDEX($F$1193:$F$1245,MATCH(Paramètres!N17,Paramètres!$G$5:$G$57,0)),INDEX($E$1193:$E$1245,MATCH(Paramètres!N17,Paramètres!$G$5:$G$57,0)))+IF(RIGHT(TRIM(Paramètres!O17),3)="Fin",1-$H1205,IF(LEFT(TRIM(Paramètres!O17),1)="F",1,0)))))))</f>
        <v/>
      </c>
      <c r="F1205" s="19">
        <f>IF($A1205="","",E1205+$H1205-1)</f>
        <v/>
      </c>
      <c r="G1205" s="18" t="n"/>
      <c r="H1205" s="18">
        <f>IF($A1205="","",IF(I1205&lt;&gt;"",I1205,Paramètres!B17))</f>
        <v/>
      </c>
      <c r="I1205" s="18" t="n"/>
    </row>
    <row r="1206">
      <c r="A1206" s="18">
        <f>IF(ISNUMBER(Dossiers!$D$26),Dossiers!$A$26&amp;" · "&amp;Dossiers!$B$26,"")</f>
        <v/>
      </c>
      <c r="B1206" s="18">
        <f>IF($A1206="","",Paramètres!G18)</f>
        <v/>
      </c>
      <c r="C1206" s="18">
        <f>IF($A1206="","",IF(Paramètres!H18="","",Paramètres!H18))</f>
        <v/>
      </c>
      <c r="D1206" s="18">
        <f>IF($A1206="","",IF(Paramètres!I18="","",Paramètres!I18))</f>
        <v/>
      </c>
      <c r="E1206" s="19">
        <f>IF($A1206="","",IF(Paramètres!J18&amp;Paramètres!L18&amp;Paramètres!N18="",Dossiers!$D$26,MAX(IF(Paramètres!J18="",0,IF(Paramètres!K18="",NA(),IF(LEFT(TRIM(Paramètres!K18),1)="F",INDEX($F$1193:$F$1245,MATCH(Paramètres!J18,Paramètres!$G$5:$G$57,0)),INDEX($E$1193:$E$1245,MATCH(Paramètres!J18,Paramètres!$G$5:$G$57,0)))+IF(RIGHT(TRIM(Paramètres!K18),3)="Fin",1-$H1206,IF(LEFT(TRIM(Paramètres!K18),1)="F",1,0)))),IF(Paramètres!L18="",0,IF(Paramètres!M18="",NA(),IF(LEFT(TRIM(Paramètres!M18),1)="F",INDEX($F$1193:$F$1245,MATCH(Paramètres!L18,Paramètres!$G$5:$G$57,0)),INDEX($E$1193:$E$1245,MATCH(Paramètres!L18,Paramètres!$G$5:$G$57,0)))+IF(RIGHT(TRIM(Paramètres!M18),3)="Fin",1-$H1206,IF(LEFT(TRIM(Paramètres!M18),1)="F",1,0)))),IF(Paramètres!N18="",0,IF(Paramètres!O18="",NA(),IF(LEFT(TRIM(Paramètres!O18),1)="F",INDEX($F$1193:$F$1245,MATCH(Paramètres!N18,Paramètres!$G$5:$G$57,0)),INDEX($E$1193:$E$1245,MATCH(Paramètres!N18,Paramètres!$G$5:$G$57,0)))+IF(RIGHT(TRIM(Paramètres!O18),3)="Fin",1-$H1206,IF(LEFT(TRIM(Paramètres!O18),1)="F",1,0)))))))</f>
        <v/>
      </c>
      <c r="F1206" s="19">
        <f>IF($A1206="","",E1206+$H1206-1)</f>
        <v/>
      </c>
      <c r="G1206" s="18" t="n"/>
      <c r="H1206" s="18">
        <f>IF($A1206="","",IF(I1206&lt;&gt;"",I1206,Paramètres!B18))</f>
        <v/>
      </c>
      <c r="I1206" s="18" t="n"/>
    </row>
    <row r="1207">
      <c r="A1207" s="18">
        <f>IF(ISNUMBER(Dossiers!$D$26),Dossiers!$A$26&amp;" · "&amp;Dossiers!$B$26,"")</f>
        <v/>
      </c>
      <c r="B1207" s="18">
        <f>IF($A1207="","",Paramètres!G19)</f>
        <v/>
      </c>
      <c r="C1207" s="18">
        <f>IF($A1207="","",IF(Paramètres!H19="","",Paramètres!H19))</f>
        <v/>
      </c>
      <c r="D1207" s="18">
        <f>IF($A1207="","",IF(Paramètres!I19="","",Paramètres!I19))</f>
        <v/>
      </c>
      <c r="E1207" s="19">
        <f>IF($A1207="","",IF(Paramètres!J19&amp;Paramètres!L19&amp;Paramètres!N19="",Dossiers!$D$26,MAX(IF(Paramètres!J19="",0,IF(Paramètres!K19="",NA(),IF(LEFT(TRIM(Paramètres!K19),1)="F",INDEX($F$1193:$F$1245,MATCH(Paramètres!J19,Paramètres!$G$5:$G$57,0)),INDEX($E$1193:$E$1245,MATCH(Paramètres!J19,Paramètres!$G$5:$G$57,0)))+IF(RIGHT(TRIM(Paramètres!K19),3)="Fin",1-$H1207,IF(LEFT(TRIM(Paramètres!K19),1)="F",1,0)))),IF(Paramètres!L19="",0,IF(Paramètres!M19="",NA(),IF(LEFT(TRIM(Paramètres!M19),1)="F",INDEX($F$1193:$F$1245,MATCH(Paramètres!L19,Paramètres!$G$5:$G$57,0)),INDEX($E$1193:$E$1245,MATCH(Paramètres!L19,Paramètres!$G$5:$G$57,0)))+IF(RIGHT(TRIM(Paramètres!M19),3)="Fin",1-$H1207,IF(LEFT(TRIM(Paramètres!M19),1)="F",1,0)))),IF(Paramètres!N19="",0,IF(Paramètres!O19="",NA(),IF(LEFT(TRIM(Paramètres!O19),1)="F",INDEX($F$1193:$F$1245,MATCH(Paramètres!N19,Paramètres!$G$5:$G$57,0)),INDEX($E$1193:$E$1245,MATCH(Paramètres!N19,Paramètres!$G$5:$G$57,0)))+IF(RIGHT(TRIM(Paramètres!O19),3)="Fin",1-$H1207,IF(LEFT(TRIM(Paramètres!O19),1)="F",1,0)))))))</f>
        <v/>
      </c>
      <c r="F1207" s="19">
        <f>IF($A1207="","",E1207+$H1207-1)</f>
        <v/>
      </c>
      <c r="G1207" s="18" t="n"/>
      <c r="H1207" s="18">
        <f>IF($A1207="","",IF(I1207&lt;&gt;"",I1207,Paramètres!B19))</f>
        <v/>
      </c>
      <c r="I1207" s="18" t="n"/>
    </row>
    <row r="1208">
      <c r="A1208" s="18">
        <f>IF(ISNUMBER(Dossiers!$D$26),Dossiers!$A$26&amp;" · "&amp;Dossiers!$B$26,"")</f>
        <v/>
      </c>
      <c r="B1208" s="18">
        <f>IF($A1208="","",Paramètres!G20)</f>
        <v/>
      </c>
      <c r="C1208" s="18">
        <f>IF($A1208="","",IF(Paramètres!H20="","",Paramètres!H20))</f>
        <v/>
      </c>
      <c r="D1208" s="18">
        <f>IF($A1208="","",IF(Paramètres!I20="","",Paramètres!I20))</f>
        <v/>
      </c>
      <c r="E1208" s="19">
        <f>IF($A1208="","",IF(Paramètres!J20&amp;Paramètres!L20&amp;Paramètres!N20="",Dossiers!$D$26,MAX(IF(Paramètres!J20="",0,IF(Paramètres!K20="",NA(),IF(LEFT(TRIM(Paramètres!K20),1)="F",INDEX($F$1193:$F$1245,MATCH(Paramètres!J20,Paramètres!$G$5:$G$57,0)),INDEX($E$1193:$E$1245,MATCH(Paramètres!J20,Paramètres!$G$5:$G$57,0)))+IF(RIGHT(TRIM(Paramètres!K20),3)="Fin",1-$H1208,IF(LEFT(TRIM(Paramètres!K20),1)="F",1,0)))),IF(Paramètres!L20="",0,IF(Paramètres!M20="",NA(),IF(LEFT(TRIM(Paramètres!M20),1)="F",INDEX($F$1193:$F$1245,MATCH(Paramètres!L20,Paramètres!$G$5:$G$57,0)),INDEX($E$1193:$E$1245,MATCH(Paramètres!L20,Paramètres!$G$5:$G$57,0)))+IF(RIGHT(TRIM(Paramètres!M20),3)="Fin",1-$H1208,IF(LEFT(TRIM(Paramètres!M20),1)="F",1,0)))),IF(Paramètres!N20="",0,IF(Paramètres!O20="",NA(),IF(LEFT(TRIM(Paramètres!O20),1)="F",INDEX($F$1193:$F$1245,MATCH(Paramètres!N20,Paramètres!$G$5:$G$57,0)),INDEX($E$1193:$E$1245,MATCH(Paramètres!N20,Paramètres!$G$5:$G$57,0)))+IF(RIGHT(TRIM(Paramètres!O20),3)="Fin",1-$H1208,IF(LEFT(TRIM(Paramètres!O20),1)="F",1,0)))))))</f>
        <v/>
      </c>
      <c r="F1208" s="19">
        <f>IF($A1208="","",E1208+$H1208-1)</f>
        <v/>
      </c>
      <c r="G1208" s="18" t="n"/>
      <c r="H1208" s="18">
        <f>IF($A1208="","",IF(I1208&lt;&gt;"",I1208,Paramètres!B20))</f>
        <v/>
      </c>
      <c r="I1208" s="18" t="n"/>
    </row>
    <row r="1209">
      <c r="A1209" s="18">
        <f>IF(ISNUMBER(Dossiers!$D$26),Dossiers!$A$26&amp;" · "&amp;Dossiers!$B$26,"")</f>
        <v/>
      </c>
      <c r="B1209" s="18">
        <f>IF($A1209="","",Paramètres!G21)</f>
        <v/>
      </c>
      <c r="C1209" s="18">
        <f>IF($A1209="","",IF(Paramètres!H21="","",Paramètres!H21))</f>
        <v/>
      </c>
      <c r="D1209" s="18">
        <f>IF($A1209="","",IF(Paramètres!I21="","",Paramètres!I21))</f>
        <v/>
      </c>
      <c r="E1209" s="19">
        <f>IF($A1209="","",IF(Paramètres!J21&amp;Paramètres!L21&amp;Paramètres!N21="",Dossiers!$D$26,MAX(IF(Paramètres!J21="",0,IF(Paramètres!K21="",NA(),IF(LEFT(TRIM(Paramètres!K21),1)="F",INDEX($F$1193:$F$1245,MATCH(Paramètres!J21,Paramètres!$G$5:$G$57,0)),INDEX($E$1193:$E$1245,MATCH(Paramètres!J21,Paramètres!$G$5:$G$57,0)))+IF(RIGHT(TRIM(Paramètres!K21),3)="Fin",1-$H1209,IF(LEFT(TRIM(Paramètres!K21),1)="F",1,0)))),IF(Paramètres!L21="",0,IF(Paramètres!M21="",NA(),IF(LEFT(TRIM(Paramètres!M21),1)="F",INDEX($F$1193:$F$1245,MATCH(Paramètres!L21,Paramètres!$G$5:$G$57,0)),INDEX($E$1193:$E$1245,MATCH(Paramètres!L21,Paramètres!$G$5:$G$57,0)))+IF(RIGHT(TRIM(Paramètres!M21),3)="Fin",1-$H1209,IF(LEFT(TRIM(Paramètres!M21),1)="F",1,0)))),IF(Paramètres!N21="",0,IF(Paramètres!O21="",NA(),IF(LEFT(TRIM(Paramètres!O21),1)="F",INDEX($F$1193:$F$1245,MATCH(Paramètres!N21,Paramètres!$G$5:$G$57,0)),INDEX($E$1193:$E$1245,MATCH(Paramètres!N21,Paramètres!$G$5:$G$57,0)))+IF(RIGHT(TRIM(Paramètres!O21),3)="Fin",1-$H1209,IF(LEFT(TRIM(Paramètres!O21),1)="F",1,0)))))))</f>
        <v/>
      </c>
      <c r="F1209" s="19">
        <f>IF($A1209="","",E1209+$H1209-1)</f>
        <v/>
      </c>
      <c r="G1209" s="18" t="n"/>
      <c r="H1209" s="18">
        <f>IF($A1209="","",IF(I1209&lt;&gt;"",I1209,Paramètres!B21))</f>
        <v/>
      </c>
      <c r="I1209" s="18" t="n"/>
    </row>
    <row r="1210">
      <c r="A1210" s="18">
        <f>IF(ISNUMBER(Dossiers!$D$26),Dossiers!$A$26&amp;" · "&amp;Dossiers!$B$26,"")</f>
        <v/>
      </c>
      <c r="B1210" s="18">
        <f>IF($A1210="","",Paramètres!G22)</f>
        <v/>
      </c>
      <c r="C1210" s="18">
        <f>IF($A1210="","",IF(Paramètres!H22="","",Paramètres!H22))</f>
        <v/>
      </c>
      <c r="D1210" s="18">
        <f>IF($A1210="","",IF(Paramètres!I22="","",Paramètres!I22))</f>
        <v/>
      </c>
      <c r="E1210" s="19">
        <f>IF($A1210="","",IF(Paramètres!J22&amp;Paramètres!L22&amp;Paramètres!N22="",Dossiers!$D$26,MAX(IF(Paramètres!J22="",0,IF(Paramètres!K22="",NA(),IF(LEFT(TRIM(Paramètres!K22),1)="F",INDEX($F$1193:$F$1245,MATCH(Paramètres!J22,Paramètres!$G$5:$G$57,0)),INDEX($E$1193:$E$1245,MATCH(Paramètres!J22,Paramètres!$G$5:$G$57,0)))+IF(RIGHT(TRIM(Paramètres!K22),3)="Fin",1-$H1210,IF(LEFT(TRIM(Paramètres!K22),1)="F",1,0)))),IF(Paramètres!L22="",0,IF(Paramètres!M22="",NA(),IF(LEFT(TRIM(Paramètres!M22),1)="F",INDEX($F$1193:$F$1245,MATCH(Paramètres!L22,Paramètres!$G$5:$G$57,0)),INDEX($E$1193:$E$1245,MATCH(Paramètres!L22,Paramètres!$G$5:$G$57,0)))+IF(RIGHT(TRIM(Paramètres!M22),3)="Fin",1-$H1210,IF(LEFT(TRIM(Paramètres!M22),1)="F",1,0)))),IF(Paramètres!N22="",0,IF(Paramètres!O22="",NA(),IF(LEFT(TRIM(Paramètres!O22),1)="F",INDEX($F$1193:$F$1245,MATCH(Paramètres!N22,Paramètres!$G$5:$G$57,0)),INDEX($E$1193:$E$1245,MATCH(Paramètres!N22,Paramètres!$G$5:$G$57,0)))+IF(RIGHT(TRIM(Paramètres!O22),3)="Fin",1-$H1210,IF(LEFT(TRIM(Paramètres!O22),1)="F",1,0)))))))</f>
        <v/>
      </c>
      <c r="F1210" s="19">
        <f>IF($A1210="","",E1210+$H1210-1)</f>
        <v/>
      </c>
      <c r="G1210" s="18" t="n"/>
      <c r="H1210" s="18">
        <f>IF($A1210="","",IF(I1210&lt;&gt;"",I1210,Paramètres!B22))</f>
        <v/>
      </c>
      <c r="I1210" s="18" t="n"/>
    </row>
    <row r="1211">
      <c r="A1211" s="18">
        <f>IF(ISNUMBER(Dossiers!$D$26),Dossiers!$A$26&amp;" · "&amp;Dossiers!$B$26,"")</f>
        <v/>
      </c>
      <c r="B1211" s="18">
        <f>IF($A1211="","",Paramètres!G23)</f>
        <v/>
      </c>
      <c r="C1211" s="18">
        <f>IF($A1211="","",IF(Paramètres!H23="","",Paramètres!H23))</f>
        <v/>
      </c>
      <c r="D1211" s="18">
        <f>IF($A1211="","",IF(Paramètres!I23="","",Paramètres!I23))</f>
        <v/>
      </c>
      <c r="E1211" s="19">
        <f>IF($A1211="","",IF(Paramètres!J23&amp;Paramètres!L23&amp;Paramètres!N23="",Dossiers!$D$26,MAX(IF(Paramètres!J23="",0,IF(Paramètres!K23="",NA(),IF(LEFT(TRIM(Paramètres!K23),1)="F",INDEX($F$1193:$F$1245,MATCH(Paramètres!J23,Paramètres!$G$5:$G$57,0)),INDEX($E$1193:$E$1245,MATCH(Paramètres!J23,Paramètres!$G$5:$G$57,0)))+IF(RIGHT(TRIM(Paramètres!K23),3)="Fin",1-$H1211,IF(LEFT(TRIM(Paramètres!K23),1)="F",1,0)))),IF(Paramètres!L23="",0,IF(Paramètres!M23="",NA(),IF(LEFT(TRIM(Paramètres!M23),1)="F",INDEX($F$1193:$F$1245,MATCH(Paramètres!L23,Paramètres!$G$5:$G$57,0)),INDEX($E$1193:$E$1245,MATCH(Paramètres!L23,Paramètres!$G$5:$G$57,0)))+IF(RIGHT(TRIM(Paramètres!M23),3)="Fin",1-$H1211,IF(LEFT(TRIM(Paramètres!M23),1)="F",1,0)))),IF(Paramètres!N23="",0,IF(Paramètres!O23="",NA(),IF(LEFT(TRIM(Paramètres!O23),1)="F",INDEX($F$1193:$F$1245,MATCH(Paramètres!N23,Paramètres!$G$5:$G$57,0)),INDEX($E$1193:$E$1245,MATCH(Paramètres!N23,Paramètres!$G$5:$G$57,0)))+IF(RIGHT(TRIM(Paramètres!O23),3)="Fin",1-$H1211,IF(LEFT(TRIM(Paramètres!O23),1)="F",1,0)))))))</f>
        <v/>
      </c>
      <c r="F1211" s="19">
        <f>IF($A1211="","",E1211+$H1211-1)</f>
        <v/>
      </c>
      <c r="G1211" s="18" t="n"/>
      <c r="H1211" s="18">
        <f>IF($A1211="","",IF(I1211&lt;&gt;"",I1211,Paramètres!B23))</f>
        <v/>
      </c>
      <c r="I1211" s="18" t="n"/>
    </row>
    <row r="1212">
      <c r="A1212" s="18">
        <f>IF(ISNUMBER(Dossiers!$D$26),Dossiers!$A$26&amp;" · "&amp;Dossiers!$B$26,"")</f>
        <v/>
      </c>
      <c r="B1212" s="18">
        <f>IF($A1212="","",Paramètres!G24)</f>
        <v/>
      </c>
      <c r="C1212" s="18">
        <f>IF($A1212="","",IF(Paramètres!H24="","",Paramètres!H24))</f>
        <v/>
      </c>
      <c r="D1212" s="18">
        <f>IF($A1212="","",IF(Paramètres!I24="","",Paramètres!I24))</f>
        <v/>
      </c>
      <c r="E1212" s="19">
        <f>IF($A1212="","",IF(Paramètres!J24&amp;Paramètres!L24&amp;Paramètres!N24="",Dossiers!$D$26,MAX(IF(Paramètres!J24="",0,IF(Paramètres!K24="",NA(),IF(LEFT(TRIM(Paramètres!K24),1)="F",INDEX($F$1193:$F$1245,MATCH(Paramètres!J24,Paramètres!$G$5:$G$57,0)),INDEX($E$1193:$E$1245,MATCH(Paramètres!J24,Paramètres!$G$5:$G$57,0)))+IF(RIGHT(TRIM(Paramètres!K24),3)="Fin",1-$H1212,IF(LEFT(TRIM(Paramètres!K24),1)="F",1,0)))),IF(Paramètres!L24="",0,IF(Paramètres!M24="",NA(),IF(LEFT(TRIM(Paramètres!M24),1)="F",INDEX($F$1193:$F$1245,MATCH(Paramètres!L24,Paramètres!$G$5:$G$57,0)),INDEX($E$1193:$E$1245,MATCH(Paramètres!L24,Paramètres!$G$5:$G$57,0)))+IF(RIGHT(TRIM(Paramètres!M24),3)="Fin",1-$H1212,IF(LEFT(TRIM(Paramètres!M24),1)="F",1,0)))),IF(Paramètres!N24="",0,IF(Paramètres!O24="",NA(),IF(LEFT(TRIM(Paramètres!O24),1)="F",INDEX($F$1193:$F$1245,MATCH(Paramètres!N24,Paramètres!$G$5:$G$57,0)),INDEX($E$1193:$E$1245,MATCH(Paramètres!N24,Paramètres!$G$5:$G$57,0)))+IF(RIGHT(TRIM(Paramètres!O24),3)="Fin",1-$H1212,IF(LEFT(TRIM(Paramètres!O24),1)="F",1,0)))))))</f>
        <v/>
      </c>
      <c r="F1212" s="19">
        <f>IF($A1212="","",E1212+$H1212-1)</f>
        <v/>
      </c>
      <c r="G1212" s="18" t="n"/>
      <c r="H1212" s="18">
        <f>IF($A1212="","",IF(I1212&lt;&gt;"",I1212,Paramètres!B24))</f>
        <v/>
      </c>
      <c r="I1212" s="18" t="n"/>
    </row>
    <row r="1213">
      <c r="A1213" s="18">
        <f>IF(ISNUMBER(Dossiers!$D$26),Dossiers!$A$26&amp;" · "&amp;Dossiers!$B$26,"")</f>
        <v/>
      </c>
      <c r="B1213" s="18">
        <f>IF($A1213="","",Paramètres!G25)</f>
        <v/>
      </c>
      <c r="C1213" s="18">
        <f>IF($A1213="","",IF(Paramètres!H25="","",Paramètres!H25))</f>
        <v/>
      </c>
      <c r="D1213" s="18">
        <f>IF($A1213="","",IF(Paramètres!I25="","",Paramètres!I25))</f>
        <v/>
      </c>
      <c r="E1213" s="19">
        <f>IF($A1213="","",IF(Paramètres!J25&amp;Paramètres!L25&amp;Paramètres!N25="",Dossiers!$D$26,MAX(IF(Paramètres!J25="",0,IF(Paramètres!K25="",NA(),IF(LEFT(TRIM(Paramètres!K25),1)="F",INDEX($F$1193:$F$1245,MATCH(Paramètres!J25,Paramètres!$G$5:$G$57,0)),INDEX($E$1193:$E$1245,MATCH(Paramètres!J25,Paramètres!$G$5:$G$57,0)))+IF(RIGHT(TRIM(Paramètres!K25),3)="Fin",1-$H1213,IF(LEFT(TRIM(Paramètres!K25),1)="F",1,0)))),IF(Paramètres!L25="",0,IF(Paramètres!M25="",NA(),IF(LEFT(TRIM(Paramètres!M25),1)="F",INDEX($F$1193:$F$1245,MATCH(Paramètres!L25,Paramètres!$G$5:$G$57,0)),INDEX($E$1193:$E$1245,MATCH(Paramètres!L25,Paramètres!$G$5:$G$57,0)))+IF(RIGHT(TRIM(Paramètres!M25),3)="Fin",1-$H1213,IF(LEFT(TRIM(Paramètres!M25),1)="F",1,0)))),IF(Paramètres!N25="",0,IF(Paramètres!O25="",NA(),IF(LEFT(TRIM(Paramètres!O25),1)="F",INDEX($F$1193:$F$1245,MATCH(Paramètres!N25,Paramètres!$G$5:$G$57,0)),INDEX($E$1193:$E$1245,MATCH(Paramètres!N25,Paramètres!$G$5:$G$57,0)))+IF(RIGHT(TRIM(Paramètres!O25),3)="Fin",1-$H1213,IF(LEFT(TRIM(Paramètres!O25),1)="F",1,0)))))))</f>
        <v/>
      </c>
      <c r="F1213" s="19">
        <f>IF($A1213="","",E1213+$H1213-1)</f>
        <v/>
      </c>
      <c r="G1213" s="18" t="n"/>
      <c r="H1213" s="18">
        <f>IF($A1213="","",IF(I1213&lt;&gt;"",I1213,Paramètres!B25))</f>
        <v/>
      </c>
      <c r="I1213" s="18" t="n"/>
    </row>
    <row r="1214">
      <c r="A1214" s="18">
        <f>IF(ISNUMBER(Dossiers!$D$26),Dossiers!$A$26&amp;" · "&amp;Dossiers!$B$26,"")</f>
        <v/>
      </c>
      <c r="B1214" s="18">
        <f>IF($A1214="","",Paramètres!G26)</f>
        <v/>
      </c>
      <c r="C1214" s="18">
        <f>IF($A1214="","",IF(Paramètres!H26="","",Paramètres!H26))</f>
        <v/>
      </c>
      <c r="D1214" s="18">
        <f>IF($A1214="","",IF(Paramètres!I26="","",Paramètres!I26))</f>
        <v/>
      </c>
      <c r="E1214" s="19">
        <f>IF($A1214="","",IF(Paramètres!J26&amp;Paramètres!L26&amp;Paramètres!N26="",Dossiers!$D$26,MAX(IF(Paramètres!J26="",0,IF(Paramètres!K26="",NA(),IF(LEFT(TRIM(Paramètres!K26),1)="F",INDEX($F$1193:$F$1245,MATCH(Paramètres!J26,Paramètres!$G$5:$G$57,0)),INDEX($E$1193:$E$1245,MATCH(Paramètres!J26,Paramètres!$G$5:$G$57,0)))+IF(RIGHT(TRIM(Paramètres!K26),3)="Fin",1-$H1214,IF(LEFT(TRIM(Paramètres!K26),1)="F",1,0)))),IF(Paramètres!L26="",0,IF(Paramètres!M26="",NA(),IF(LEFT(TRIM(Paramètres!M26),1)="F",INDEX($F$1193:$F$1245,MATCH(Paramètres!L26,Paramètres!$G$5:$G$57,0)),INDEX($E$1193:$E$1245,MATCH(Paramètres!L26,Paramètres!$G$5:$G$57,0)))+IF(RIGHT(TRIM(Paramètres!M26),3)="Fin",1-$H1214,IF(LEFT(TRIM(Paramètres!M26),1)="F",1,0)))),IF(Paramètres!N26="",0,IF(Paramètres!O26="",NA(),IF(LEFT(TRIM(Paramètres!O26),1)="F",INDEX($F$1193:$F$1245,MATCH(Paramètres!N26,Paramètres!$G$5:$G$57,0)),INDEX($E$1193:$E$1245,MATCH(Paramètres!N26,Paramètres!$G$5:$G$57,0)))+IF(RIGHT(TRIM(Paramètres!O26),3)="Fin",1-$H1214,IF(LEFT(TRIM(Paramètres!O26),1)="F",1,0)))))))</f>
        <v/>
      </c>
      <c r="F1214" s="19">
        <f>IF($A1214="","",E1214+$H1214-1)</f>
        <v/>
      </c>
      <c r="G1214" s="18" t="n"/>
      <c r="H1214" s="18">
        <f>IF($A1214="","",IF(I1214&lt;&gt;"",I1214,Paramètres!B26))</f>
        <v/>
      </c>
      <c r="I1214" s="18" t="n"/>
    </row>
    <row r="1215">
      <c r="A1215" s="18">
        <f>IF(ISNUMBER(Dossiers!$D$26),Dossiers!$A$26&amp;" · "&amp;Dossiers!$B$26,"")</f>
        <v/>
      </c>
      <c r="B1215" s="18">
        <f>IF($A1215="","",Paramètres!G27)</f>
        <v/>
      </c>
      <c r="C1215" s="18">
        <f>IF($A1215="","",IF(Paramètres!H27="","",Paramètres!H27))</f>
        <v/>
      </c>
      <c r="D1215" s="18">
        <f>IF($A1215="","",IF(Paramètres!I27="","",Paramètres!I27))</f>
        <v/>
      </c>
      <c r="E1215" s="19">
        <f>IF($A1215="","",IF(Paramètres!J27&amp;Paramètres!L27&amp;Paramètres!N27="",Dossiers!$D$26,MAX(IF(Paramètres!J27="",0,IF(Paramètres!K27="",NA(),IF(LEFT(TRIM(Paramètres!K27),1)="F",INDEX($F$1193:$F$1245,MATCH(Paramètres!J27,Paramètres!$G$5:$G$57,0)),INDEX($E$1193:$E$1245,MATCH(Paramètres!J27,Paramètres!$G$5:$G$57,0)))+IF(RIGHT(TRIM(Paramètres!K27),3)="Fin",1-$H1215,IF(LEFT(TRIM(Paramètres!K27),1)="F",1,0)))),IF(Paramètres!L27="",0,IF(Paramètres!M27="",NA(),IF(LEFT(TRIM(Paramètres!M27),1)="F",INDEX($F$1193:$F$1245,MATCH(Paramètres!L27,Paramètres!$G$5:$G$57,0)),INDEX($E$1193:$E$1245,MATCH(Paramètres!L27,Paramètres!$G$5:$G$57,0)))+IF(RIGHT(TRIM(Paramètres!M27),3)="Fin",1-$H1215,IF(LEFT(TRIM(Paramètres!M27),1)="F",1,0)))),IF(Paramètres!N27="",0,IF(Paramètres!O27="",NA(),IF(LEFT(TRIM(Paramètres!O27),1)="F",INDEX($F$1193:$F$1245,MATCH(Paramètres!N27,Paramètres!$G$5:$G$57,0)),INDEX($E$1193:$E$1245,MATCH(Paramètres!N27,Paramètres!$G$5:$G$57,0)))+IF(RIGHT(TRIM(Paramètres!O27),3)="Fin",1-$H1215,IF(LEFT(TRIM(Paramètres!O27),1)="F",1,0)))))))</f>
        <v/>
      </c>
      <c r="F1215" s="19">
        <f>IF($A1215="","",E1215+$H1215-1)</f>
        <v/>
      </c>
      <c r="G1215" s="18" t="n"/>
      <c r="H1215" s="18">
        <f>IF($A1215="","",IF(I1215&lt;&gt;"",I1215,Paramètres!B27))</f>
        <v/>
      </c>
      <c r="I1215" s="18" t="n"/>
    </row>
    <row r="1216">
      <c r="A1216" s="18">
        <f>IF(ISNUMBER(Dossiers!$D$26),Dossiers!$A$26&amp;" · "&amp;Dossiers!$B$26,"")</f>
        <v/>
      </c>
      <c r="B1216" s="18">
        <f>IF($A1216="","",Paramètres!G28)</f>
        <v/>
      </c>
      <c r="C1216" s="18">
        <f>IF($A1216="","",IF(Paramètres!H28="","",Paramètres!H28))</f>
        <v/>
      </c>
      <c r="D1216" s="18">
        <f>IF($A1216="","",IF(Paramètres!I28="","",Paramètres!I28))</f>
        <v/>
      </c>
      <c r="E1216" s="19">
        <f>IF($A1216="","",IF(Paramètres!J28&amp;Paramètres!L28&amp;Paramètres!N28="",Dossiers!$D$26,MAX(IF(Paramètres!J28="",0,IF(Paramètres!K28="",NA(),IF(LEFT(TRIM(Paramètres!K28),1)="F",INDEX($F$1193:$F$1245,MATCH(Paramètres!J28,Paramètres!$G$5:$G$57,0)),INDEX($E$1193:$E$1245,MATCH(Paramètres!J28,Paramètres!$G$5:$G$57,0)))+IF(RIGHT(TRIM(Paramètres!K28),3)="Fin",1-$H1216,IF(LEFT(TRIM(Paramètres!K28),1)="F",1,0)))),IF(Paramètres!L28="",0,IF(Paramètres!M28="",NA(),IF(LEFT(TRIM(Paramètres!M28),1)="F",INDEX($F$1193:$F$1245,MATCH(Paramètres!L28,Paramètres!$G$5:$G$57,0)),INDEX($E$1193:$E$1245,MATCH(Paramètres!L28,Paramètres!$G$5:$G$57,0)))+IF(RIGHT(TRIM(Paramètres!M28),3)="Fin",1-$H1216,IF(LEFT(TRIM(Paramètres!M28),1)="F",1,0)))),IF(Paramètres!N28="",0,IF(Paramètres!O28="",NA(),IF(LEFT(TRIM(Paramètres!O28),1)="F",INDEX($F$1193:$F$1245,MATCH(Paramètres!N28,Paramètres!$G$5:$G$57,0)),INDEX($E$1193:$E$1245,MATCH(Paramètres!N28,Paramètres!$G$5:$G$57,0)))+IF(RIGHT(TRIM(Paramètres!O28),3)="Fin",1-$H1216,IF(LEFT(TRIM(Paramètres!O28),1)="F",1,0)))))))</f>
        <v/>
      </c>
      <c r="F1216" s="19">
        <f>IF($A1216="","",E1216+$H1216-1)</f>
        <v/>
      </c>
      <c r="G1216" s="18" t="n"/>
      <c r="H1216" s="18">
        <f>IF($A1216="","",IF(I1216&lt;&gt;"",I1216,Paramètres!B28))</f>
        <v/>
      </c>
      <c r="I1216" s="18" t="n"/>
    </row>
    <row r="1217">
      <c r="A1217" s="18">
        <f>IF(ISNUMBER(Dossiers!$D$26),Dossiers!$A$26&amp;" · "&amp;Dossiers!$B$26,"")</f>
        <v/>
      </c>
      <c r="B1217" s="18">
        <f>IF($A1217="","",Paramètres!G29)</f>
        <v/>
      </c>
      <c r="C1217" s="18">
        <f>IF($A1217="","",IF(Paramètres!H29="","",Paramètres!H29))</f>
        <v/>
      </c>
      <c r="D1217" s="18">
        <f>IF($A1217="","",IF(Paramètres!I29="","",Paramètres!I29))</f>
        <v/>
      </c>
      <c r="E1217" s="19">
        <f>IF($A1217="","",IF(Paramètres!J29&amp;Paramètres!L29&amp;Paramètres!N29="",Dossiers!$D$26,MAX(IF(Paramètres!J29="",0,IF(Paramètres!K29="",NA(),IF(LEFT(TRIM(Paramètres!K29),1)="F",INDEX($F$1193:$F$1245,MATCH(Paramètres!J29,Paramètres!$G$5:$G$57,0)),INDEX($E$1193:$E$1245,MATCH(Paramètres!J29,Paramètres!$G$5:$G$57,0)))+IF(RIGHT(TRIM(Paramètres!K29),3)="Fin",1-$H1217,IF(LEFT(TRIM(Paramètres!K29),1)="F",1,0)))),IF(Paramètres!L29="",0,IF(Paramètres!M29="",NA(),IF(LEFT(TRIM(Paramètres!M29),1)="F",INDEX($F$1193:$F$1245,MATCH(Paramètres!L29,Paramètres!$G$5:$G$57,0)),INDEX($E$1193:$E$1245,MATCH(Paramètres!L29,Paramètres!$G$5:$G$57,0)))+IF(RIGHT(TRIM(Paramètres!M29),3)="Fin",1-$H1217,IF(LEFT(TRIM(Paramètres!M29),1)="F",1,0)))),IF(Paramètres!N29="",0,IF(Paramètres!O29="",NA(),IF(LEFT(TRIM(Paramètres!O29),1)="F",INDEX($F$1193:$F$1245,MATCH(Paramètres!N29,Paramètres!$G$5:$G$57,0)),INDEX($E$1193:$E$1245,MATCH(Paramètres!N29,Paramètres!$G$5:$G$57,0)))+IF(RIGHT(TRIM(Paramètres!O29),3)="Fin",1-$H1217,IF(LEFT(TRIM(Paramètres!O29),1)="F",1,0)))))))</f>
        <v/>
      </c>
      <c r="F1217" s="19">
        <f>IF($A1217="","",E1217+$H1217-1)</f>
        <v/>
      </c>
      <c r="G1217" s="18" t="n"/>
      <c r="H1217" s="18">
        <f>IF($A1217="","",IF(I1217&lt;&gt;"",I1217,Paramètres!B29))</f>
        <v/>
      </c>
      <c r="I1217" s="18" t="n"/>
    </row>
    <row r="1218">
      <c r="A1218" s="18">
        <f>IF(ISNUMBER(Dossiers!$D$26),Dossiers!$A$26&amp;" · "&amp;Dossiers!$B$26,"")</f>
        <v/>
      </c>
      <c r="B1218" s="18">
        <f>IF($A1218="","",Paramètres!G30)</f>
        <v/>
      </c>
      <c r="C1218" s="18">
        <f>IF($A1218="","",IF(Paramètres!H30="","",Paramètres!H30))</f>
        <v/>
      </c>
      <c r="D1218" s="18">
        <f>IF($A1218="","",IF(Paramètres!I30="","",Paramètres!I30))</f>
        <v/>
      </c>
      <c r="E1218" s="19">
        <f>IF($A1218="","",IF(Paramètres!J30&amp;Paramètres!L30&amp;Paramètres!N30="",Dossiers!$D$26,MAX(IF(Paramètres!J30="",0,IF(Paramètres!K30="",NA(),IF(LEFT(TRIM(Paramètres!K30),1)="F",INDEX($F$1193:$F$1245,MATCH(Paramètres!J30,Paramètres!$G$5:$G$57,0)),INDEX($E$1193:$E$1245,MATCH(Paramètres!J30,Paramètres!$G$5:$G$57,0)))+IF(RIGHT(TRIM(Paramètres!K30),3)="Fin",1-$H1218,IF(LEFT(TRIM(Paramètres!K30),1)="F",1,0)))),IF(Paramètres!L30="",0,IF(Paramètres!M30="",NA(),IF(LEFT(TRIM(Paramètres!M30),1)="F",INDEX($F$1193:$F$1245,MATCH(Paramètres!L30,Paramètres!$G$5:$G$57,0)),INDEX($E$1193:$E$1245,MATCH(Paramètres!L30,Paramètres!$G$5:$G$57,0)))+IF(RIGHT(TRIM(Paramètres!M30),3)="Fin",1-$H1218,IF(LEFT(TRIM(Paramètres!M30),1)="F",1,0)))),IF(Paramètres!N30="",0,IF(Paramètres!O30="",NA(),IF(LEFT(TRIM(Paramètres!O30),1)="F",INDEX($F$1193:$F$1245,MATCH(Paramètres!N30,Paramètres!$G$5:$G$57,0)),INDEX($E$1193:$E$1245,MATCH(Paramètres!N30,Paramètres!$G$5:$G$57,0)))+IF(RIGHT(TRIM(Paramètres!O30),3)="Fin",1-$H1218,IF(LEFT(TRIM(Paramètres!O30),1)="F",1,0)))))))</f>
        <v/>
      </c>
      <c r="F1218" s="19">
        <f>IF($A1218="","",E1218+$H1218-1)</f>
        <v/>
      </c>
      <c r="G1218" s="18" t="n"/>
      <c r="H1218" s="18">
        <f>IF($A1218="","",IF(I1218&lt;&gt;"",I1218,Paramètres!B30))</f>
        <v/>
      </c>
      <c r="I1218" s="18" t="n"/>
    </row>
    <row r="1219">
      <c r="A1219" s="18">
        <f>IF(ISNUMBER(Dossiers!$D$26),Dossiers!$A$26&amp;" · "&amp;Dossiers!$B$26,"")</f>
        <v/>
      </c>
      <c r="B1219" s="18">
        <f>IF($A1219="","",Paramètres!G31)</f>
        <v/>
      </c>
      <c r="C1219" s="20">
        <f>IF($A1219="","",IF(Dossiers!$F$26="","",Dossiers!$F$26))</f>
        <v/>
      </c>
      <c r="D1219" s="18">
        <f>IF($A1219="","",IF(Paramètres!I31="","",Paramètres!I31))</f>
        <v/>
      </c>
      <c r="E1219" s="19">
        <f>IF($A1219="","",IF(Paramètres!J31&amp;Paramètres!L31&amp;Paramètres!N31="",Dossiers!$D$26,MAX(IF(Paramètres!J31="",0,IF(Paramètres!K31="",NA(),IF(LEFT(TRIM(Paramètres!K31),1)="F",INDEX($F$1193:$F$1245,MATCH(Paramètres!J31,Paramètres!$G$5:$G$57,0)),INDEX($E$1193:$E$1245,MATCH(Paramètres!J31,Paramètres!$G$5:$G$57,0)))+IF(RIGHT(TRIM(Paramètres!K31),3)="Fin",1-$H1219,IF(LEFT(TRIM(Paramètres!K31),1)="F",1,0)))),IF(Paramètres!L31="",0,IF(Paramètres!M31="",NA(),IF(LEFT(TRIM(Paramètres!M31),1)="F",INDEX($F$1193:$F$1245,MATCH(Paramètres!L31,Paramètres!$G$5:$G$57,0)),INDEX($E$1193:$E$1245,MATCH(Paramètres!L31,Paramètres!$G$5:$G$57,0)))+IF(RIGHT(TRIM(Paramètres!M31),3)="Fin",1-$H1219,IF(LEFT(TRIM(Paramètres!M31),1)="F",1,0)))),IF(Paramètres!N31="",0,IF(Paramètres!O31="",NA(),IF(LEFT(TRIM(Paramètres!O31),1)="F",INDEX($F$1193:$F$1245,MATCH(Paramètres!N31,Paramètres!$G$5:$G$57,0)),INDEX($E$1193:$E$1245,MATCH(Paramètres!N31,Paramètres!$G$5:$G$57,0)))+IF(RIGHT(TRIM(Paramètres!O31),3)="Fin",1-$H1219,IF(LEFT(TRIM(Paramètres!O31),1)="F",1,0)))))))</f>
        <v/>
      </c>
      <c r="F1219" s="19">
        <f>IF($A1219="","",E1219+$H1219-1)</f>
        <v/>
      </c>
      <c r="G1219" s="18" t="n"/>
      <c r="H1219" s="18">
        <f>IF($A1219="","",IF(I1219&lt;&gt;"",I1219,Paramètres!B31))</f>
        <v/>
      </c>
      <c r="I1219" s="18" t="n"/>
    </row>
    <row r="1220">
      <c r="A1220" s="18">
        <f>IF(ISNUMBER(Dossiers!$D$26),Dossiers!$A$26&amp;" · "&amp;Dossiers!$B$26,"")</f>
        <v/>
      </c>
      <c r="B1220" s="18">
        <f>IF($A1220="","",Paramètres!G32)</f>
        <v/>
      </c>
      <c r="C1220" s="18">
        <f>IF($A1220="","",IF(Paramètres!H32="","",Paramètres!H32))</f>
        <v/>
      </c>
      <c r="D1220" s="18">
        <f>IF($A1220="","",IF(Paramètres!I32="","",Paramètres!I32))</f>
        <v/>
      </c>
      <c r="E1220" s="19">
        <f>IF($A1220="","",MIN(E1221:E1224))</f>
        <v/>
      </c>
      <c r="F1220" s="19">
        <f>IF($A1220="","",MAX(F1221:F1224))</f>
        <v/>
      </c>
      <c r="G1220" s="18" t="n"/>
      <c r="H1220" s="18">
        <f>IF($A1220="","",F1220-E1220+1)</f>
        <v/>
      </c>
      <c r="I1220" s="18" t="n"/>
    </row>
    <row r="1221">
      <c r="A1221" s="18">
        <f>IF(ISNUMBER(Dossiers!$D$26),Dossiers!$A$26&amp;" · "&amp;Dossiers!$B$26,"")</f>
        <v/>
      </c>
      <c r="B1221" s="18">
        <f>IF($A1221="","",Paramètres!G33)</f>
        <v/>
      </c>
      <c r="C1221" s="18">
        <f>IF($A1221="","",IF(Paramètres!H33="","",Paramètres!H33))</f>
        <v/>
      </c>
      <c r="D1221" s="18">
        <f>IF($A1221="","",IF(Paramètres!I33="","",Paramètres!I33))</f>
        <v/>
      </c>
      <c r="E1221" s="19">
        <f>IF($A1221="","",IF(Paramètres!J33&amp;Paramètres!L33&amp;Paramètres!N33="",Dossiers!$D$26,MAX(IF(Paramètres!J33="",0,IF(Paramètres!K33="",NA(),IF(LEFT(TRIM(Paramètres!K33),1)="F",INDEX($F$1193:$F$1245,MATCH(Paramètres!J33,Paramètres!$G$5:$G$57,0)),INDEX($E$1193:$E$1245,MATCH(Paramètres!J33,Paramètres!$G$5:$G$57,0)))+IF(RIGHT(TRIM(Paramètres!K33),3)="Fin",1-$H1221,IF(LEFT(TRIM(Paramètres!K33),1)="F",1,0)))),IF(Paramètres!L33="",0,IF(Paramètres!M33="",NA(),IF(LEFT(TRIM(Paramètres!M33),1)="F",INDEX($F$1193:$F$1245,MATCH(Paramètres!L33,Paramètres!$G$5:$G$57,0)),INDEX($E$1193:$E$1245,MATCH(Paramètres!L33,Paramètres!$G$5:$G$57,0)))+IF(RIGHT(TRIM(Paramètres!M33),3)="Fin",1-$H1221,IF(LEFT(TRIM(Paramètres!M33),1)="F",1,0)))),IF(Paramètres!N33="",0,IF(Paramètres!O33="",NA(),IF(LEFT(TRIM(Paramètres!O33),1)="F",INDEX($F$1193:$F$1245,MATCH(Paramètres!N33,Paramètres!$G$5:$G$57,0)),INDEX($E$1193:$E$1245,MATCH(Paramètres!N33,Paramètres!$G$5:$G$57,0)))+IF(RIGHT(TRIM(Paramètres!O33),3)="Fin",1-$H1221,IF(LEFT(TRIM(Paramètres!O33),1)="F",1,0)))))))</f>
        <v/>
      </c>
      <c r="F1221" s="19">
        <f>IF($A1221="","",E1221+$H1221-1)</f>
        <v/>
      </c>
      <c r="G1221" s="18" t="n"/>
      <c r="H1221" s="18">
        <f>IF($A1221="","",IF(I1221&lt;&gt;"",I1221,Paramètres!B33))</f>
        <v/>
      </c>
      <c r="I1221" s="18" t="n"/>
    </row>
    <row r="1222">
      <c r="A1222" s="18">
        <f>IF(ISNUMBER(Dossiers!$D$26),Dossiers!$A$26&amp;" · "&amp;Dossiers!$B$26,"")</f>
        <v/>
      </c>
      <c r="B1222" s="18">
        <f>IF($A1222="","",Paramètres!G34)</f>
        <v/>
      </c>
      <c r="C1222" s="18">
        <f>IF($A1222="","",IF(Paramètres!H34="","",Paramètres!H34))</f>
        <v/>
      </c>
      <c r="D1222" s="18">
        <f>IF($A1222="","",IF(Paramètres!I34="","",Paramètres!I34))</f>
        <v/>
      </c>
      <c r="E1222" s="19">
        <f>IF($A1222="","",IF(Paramètres!J34&amp;Paramètres!L34&amp;Paramètres!N34="",Dossiers!$D$26,MAX(IF(Paramètres!J34="",0,IF(Paramètres!K34="",NA(),IF(LEFT(TRIM(Paramètres!K34),1)="F",INDEX($F$1193:$F$1245,MATCH(Paramètres!J34,Paramètres!$G$5:$G$57,0)),INDEX($E$1193:$E$1245,MATCH(Paramètres!J34,Paramètres!$G$5:$G$57,0)))+IF(RIGHT(TRIM(Paramètres!K34),3)="Fin",1-$H1222,IF(LEFT(TRIM(Paramètres!K34),1)="F",1,0)))),IF(Paramètres!L34="",0,IF(Paramètres!M34="",NA(),IF(LEFT(TRIM(Paramètres!M34),1)="F",INDEX($F$1193:$F$1245,MATCH(Paramètres!L34,Paramètres!$G$5:$G$57,0)),INDEX($E$1193:$E$1245,MATCH(Paramètres!L34,Paramètres!$G$5:$G$57,0)))+IF(RIGHT(TRIM(Paramètres!M34),3)="Fin",1-$H1222,IF(LEFT(TRIM(Paramètres!M34),1)="F",1,0)))),IF(Paramètres!N34="",0,IF(Paramètres!O34="",NA(),IF(LEFT(TRIM(Paramètres!O34),1)="F",INDEX($F$1193:$F$1245,MATCH(Paramètres!N34,Paramètres!$G$5:$G$57,0)),INDEX($E$1193:$E$1245,MATCH(Paramètres!N34,Paramètres!$G$5:$G$57,0)))+IF(RIGHT(TRIM(Paramètres!O34),3)="Fin",1-$H1222,IF(LEFT(TRIM(Paramètres!O34),1)="F",1,0)))))))</f>
        <v/>
      </c>
      <c r="F1222" s="19">
        <f>IF($A1222="","",E1222+$H1222-1)</f>
        <v/>
      </c>
      <c r="G1222" s="18" t="n"/>
      <c r="H1222" s="18">
        <f>IF($A1222="","",IF(I1222&lt;&gt;"",I1222,Paramètres!B34))</f>
        <v/>
      </c>
      <c r="I1222" s="18" t="n"/>
    </row>
    <row r="1223">
      <c r="A1223" s="18">
        <f>IF(ISNUMBER(Dossiers!$D$26),Dossiers!$A$26&amp;" · "&amp;Dossiers!$B$26,"")</f>
        <v/>
      </c>
      <c r="B1223" s="18">
        <f>IF($A1223="","",Paramètres!G35)</f>
        <v/>
      </c>
      <c r="C1223" s="18">
        <f>IF($A1223="","",IF(Paramètres!H35="","",Paramètres!H35))</f>
        <v/>
      </c>
      <c r="D1223" s="18">
        <f>IF($A1223="","",IF(Paramètres!I35="","",Paramètres!I35))</f>
        <v/>
      </c>
      <c r="E1223" s="19">
        <f>IF($A1223="","",IF(Paramètres!J35&amp;Paramètres!L35&amp;Paramètres!N35="",Dossiers!$D$26,MAX(IF(Paramètres!J35="",0,IF(Paramètres!K35="",NA(),IF(LEFT(TRIM(Paramètres!K35),1)="F",INDEX($F$1193:$F$1245,MATCH(Paramètres!J35,Paramètres!$G$5:$G$57,0)),INDEX($E$1193:$E$1245,MATCH(Paramètres!J35,Paramètres!$G$5:$G$57,0)))+IF(RIGHT(TRIM(Paramètres!K35),3)="Fin",1-$H1223,IF(LEFT(TRIM(Paramètres!K35),1)="F",1,0)))),IF(Paramètres!L35="",0,IF(Paramètres!M35="",NA(),IF(LEFT(TRIM(Paramètres!M35),1)="F",INDEX($F$1193:$F$1245,MATCH(Paramètres!L35,Paramètres!$G$5:$G$57,0)),INDEX($E$1193:$E$1245,MATCH(Paramètres!L35,Paramètres!$G$5:$G$57,0)))+IF(RIGHT(TRIM(Paramètres!M35),3)="Fin",1-$H1223,IF(LEFT(TRIM(Paramètres!M35),1)="F",1,0)))),IF(Paramètres!N35="",0,IF(Paramètres!O35="",NA(),IF(LEFT(TRIM(Paramètres!O35),1)="F",INDEX($F$1193:$F$1245,MATCH(Paramètres!N35,Paramètres!$G$5:$G$57,0)),INDEX($E$1193:$E$1245,MATCH(Paramètres!N35,Paramètres!$G$5:$G$57,0)))+IF(RIGHT(TRIM(Paramètres!O35),3)="Fin",1-$H1223,IF(LEFT(TRIM(Paramètres!O35),1)="F",1,0)))))))</f>
        <v/>
      </c>
      <c r="F1223" s="19">
        <f>IF($A1223="","",E1223+$H1223-1)</f>
        <v/>
      </c>
      <c r="G1223" s="18" t="n"/>
      <c r="H1223" s="18">
        <f>IF($A1223="","",IF(I1223&lt;&gt;"",I1223,Paramètres!B35))</f>
        <v/>
      </c>
      <c r="I1223" s="18" t="n"/>
    </row>
    <row r="1224">
      <c r="A1224" s="18">
        <f>IF(ISNUMBER(Dossiers!$D$26),Dossiers!$A$26&amp;" · "&amp;Dossiers!$B$26,"")</f>
        <v/>
      </c>
      <c r="B1224" s="18">
        <f>IF($A1224="","",Paramètres!G36)</f>
        <v/>
      </c>
      <c r="C1224" s="18">
        <f>IF($A1224="","",IF(Paramètres!H36="","",Paramètres!H36))</f>
        <v/>
      </c>
      <c r="D1224" s="18">
        <f>IF($A1224="","",IF(Paramètres!I36="","",Paramètres!I36))</f>
        <v/>
      </c>
      <c r="E1224" s="19">
        <f>IF($A1224="","",IF(Paramètres!J36&amp;Paramètres!L36&amp;Paramètres!N36="",Dossiers!$D$26,MAX(IF(Paramètres!J36="",0,IF(Paramètres!K36="",NA(),IF(LEFT(TRIM(Paramètres!K36),1)="F",INDEX($F$1193:$F$1245,MATCH(Paramètres!J36,Paramètres!$G$5:$G$57,0)),INDEX($E$1193:$E$1245,MATCH(Paramètres!J36,Paramètres!$G$5:$G$57,0)))+IF(RIGHT(TRIM(Paramètres!K36),3)="Fin",1-$H1224,IF(LEFT(TRIM(Paramètres!K36),1)="F",1,0)))),IF(Paramètres!L36="",0,IF(Paramètres!M36="",NA(),IF(LEFT(TRIM(Paramètres!M36),1)="F",INDEX($F$1193:$F$1245,MATCH(Paramètres!L36,Paramètres!$G$5:$G$57,0)),INDEX($E$1193:$E$1245,MATCH(Paramètres!L36,Paramètres!$G$5:$G$57,0)))+IF(RIGHT(TRIM(Paramètres!M36),3)="Fin",1-$H1224,IF(LEFT(TRIM(Paramètres!M36),1)="F",1,0)))),IF(Paramètres!N36="",0,IF(Paramètres!O36="",NA(),IF(LEFT(TRIM(Paramètres!O36),1)="F",INDEX($F$1193:$F$1245,MATCH(Paramètres!N36,Paramètres!$G$5:$G$57,0)),INDEX($E$1193:$E$1245,MATCH(Paramètres!N36,Paramètres!$G$5:$G$57,0)))+IF(RIGHT(TRIM(Paramètres!O36),3)="Fin",1-$H1224,IF(LEFT(TRIM(Paramètres!O36),1)="F",1,0)))))))</f>
        <v/>
      </c>
      <c r="F1224" s="19">
        <f>IF($A1224="","",E1224+$H1224-1)</f>
        <v/>
      </c>
      <c r="G1224" s="18" t="n"/>
      <c r="H1224" s="18">
        <f>IF($A1224="","",IF(I1224&lt;&gt;"",I1224,Paramètres!B36))</f>
        <v/>
      </c>
      <c r="I1224" s="18" t="n"/>
    </row>
    <row r="1225">
      <c r="A1225" s="18">
        <f>IF(ISNUMBER(Dossiers!$D$26),Dossiers!$A$26&amp;" · "&amp;Dossiers!$B$26,"")</f>
        <v/>
      </c>
      <c r="B1225" s="18">
        <f>IF($A1225="","",Paramètres!G37)</f>
        <v/>
      </c>
      <c r="C1225" s="18">
        <f>IF($A1225="","",IF(Paramètres!H37="","",Paramètres!H37))</f>
        <v/>
      </c>
      <c r="D1225" s="18">
        <f>IF($A1225="","",IF(Paramètres!I37="","",Paramètres!I37))</f>
        <v/>
      </c>
      <c r="E1225" s="19">
        <f>IF($A1225="","",MIN(E1226:E1243))</f>
        <v/>
      </c>
      <c r="F1225" s="19">
        <f>IF($A1225="","",MAX(F1226:F1243))</f>
        <v/>
      </c>
      <c r="G1225" s="18" t="n"/>
      <c r="H1225" s="18">
        <f>IF($A1225="","",F1225-E1225+1)</f>
        <v/>
      </c>
      <c r="I1225" s="18" t="n"/>
    </row>
    <row r="1226">
      <c r="A1226" s="18">
        <f>IF(ISNUMBER(Dossiers!$D$26),Dossiers!$A$26&amp;" · "&amp;Dossiers!$B$26,"")</f>
        <v/>
      </c>
      <c r="B1226" s="18">
        <f>IF($A1226="","",Paramètres!G38)</f>
        <v/>
      </c>
      <c r="C1226" s="18">
        <f>IF($A1226="","",IF(Paramètres!H38="","",Paramètres!H38))</f>
        <v/>
      </c>
      <c r="D1226" s="18">
        <f>IF($A1226="","",IF(Paramètres!I38="","",Paramètres!I38))</f>
        <v/>
      </c>
      <c r="E1226" s="19">
        <f>IF($A1226="","",IF(Paramètres!J38&amp;Paramètres!L38&amp;Paramètres!N38="",Dossiers!$D$26,MAX(IF(Paramètres!J38="",0,IF(Paramètres!K38="",NA(),IF(LEFT(TRIM(Paramètres!K38),1)="F",INDEX($F$1193:$F$1245,MATCH(Paramètres!J38,Paramètres!$G$5:$G$57,0)),INDEX($E$1193:$E$1245,MATCH(Paramètres!J38,Paramètres!$G$5:$G$57,0)))+IF(RIGHT(TRIM(Paramètres!K38),3)="Fin",1-$H1226,IF(LEFT(TRIM(Paramètres!K38),1)="F",1,0)))),IF(Paramètres!L38="",0,IF(Paramètres!M38="",NA(),IF(LEFT(TRIM(Paramètres!M38),1)="F",INDEX($F$1193:$F$1245,MATCH(Paramètres!L38,Paramètres!$G$5:$G$57,0)),INDEX($E$1193:$E$1245,MATCH(Paramètres!L38,Paramètres!$G$5:$G$57,0)))+IF(RIGHT(TRIM(Paramètres!M38),3)="Fin",1-$H1226,IF(LEFT(TRIM(Paramètres!M38),1)="F",1,0)))),IF(Paramètres!N38="",0,IF(Paramètres!O38="",NA(),IF(LEFT(TRIM(Paramètres!O38),1)="F",INDEX($F$1193:$F$1245,MATCH(Paramètres!N38,Paramètres!$G$5:$G$57,0)),INDEX($E$1193:$E$1245,MATCH(Paramètres!N38,Paramètres!$G$5:$G$57,0)))+IF(RIGHT(TRIM(Paramètres!O38),3)="Fin",1-$H1226,IF(LEFT(TRIM(Paramètres!O38),1)="F",1,0)))))))</f>
        <v/>
      </c>
      <c r="F1226" s="19">
        <f>IF($A1226="","",E1226+$H1226-1)</f>
        <v/>
      </c>
      <c r="G1226" s="18" t="n"/>
      <c r="H1226" s="18">
        <f>IF($A1226="","",IF(I1226&lt;&gt;"",I1226,Paramètres!B38))</f>
        <v/>
      </c>
      <c r="I1226" s="18" t="n"/>
    </row>
    <row r="1227">
      <c r="A1227" s="18">
        <f>IF(ISNUMBER(Dossiers!$D$26),Dossiers!$A$26&amp;" · "&amp;Dossiers!$B$26,"")</f>
        <v/>
      </c>
      <c r="B1227" s="18">
        <f>IF($A1227="","",Paramètres!G39)</f>
        <v/>
      </c>
      <c r="C1227" s="18">
        <f>IF($A1227="","",IF(Paramètres!H39="","",Paramètres!H39))</f>
        <v/>
      </c>
      <c r="D1227" s="18">
        <f>IF($A1227="","",IF(Paramètres!I39="","",Paramètres!I39))</f>
        <v/>
      </c>
      <c r="E1227" s="19">
        <f>IF($A1227="","",IF(Paramètres!J39&amp;Paramètres!L39&amp;Paramètres!N39="",Dossiers!$D$26,MAX(IF(Paramètres!J39="",0,IF(Paramètres!K39="",NA(),IF(LEFT(TRIM(Paramètres!K39),1)="F",INDEX($F$1193:$F$1245,MATCH(Paramètres!J39,Paramètres!$G$5:$G$57,0)),INDEX($E$1193:$E$1245,MATCH(Paramètres!J39,Paramètres!$G$5:$G$57,0)))+IF(RIGHT(TRIM(Paramètres!K39),3)="Fin",1-$H1227,IF(LEFT(TRIM(Paramètres!K39),1)="F",1,0)))),IF(Paramètres!L39="",0,IF(Paramètres!M39="",NA(),IF(LEFT(TRIM(Paramètres!M39),1)="F",INDEX($F$1193:$F$1245,MATCH(Paramètres!L39,Paramètres!$G$5:$G$57,0)),INDEX($E$1193:$E$1245,MATCH(Paramètres!L39,Paramètres!$G$5:$G$57,0)))+IF(RIGHT(TRIM(Paramètres!M39),3)="Fin",1-$H1227,IF(LEFT(TRIM(Paramètres!M39),1)="F",1,0)))),IF(Paramètres!N39="",0,IF(Paramètres!O39="",NA(),IF(LEFT(TRIM(Paramètres!O39),1)="F",INDEX($F$1193:$F$1245,MATCH(Paramètres!N39,Paramètres!$G$5:$G$57,0)),INDEX($E$1193:$E$1245,MATCH(Paramètres!N39,Paramètres!$G$5:$G$57,0)))+IF(RIGHT(TRIM(Paramètres!O39),3)="Fin",1-$H1227,IF(LEFT(TRIM(Paramètres!O39),1)="F",1,0)))))))</f>
        <v/>
      </c>
      <c r="F1227" s="19">
        <f>IF($A1227="","",E1227+$H1227-1)</f>
        <v/>
      </c>
      <c r="G1227" s="18" t="n"/>
      <c r="H1227" s="18">
        <f>IF($A1227="","",IF(I1227&lt;&gt;"",I1227,Paramètres!B39))</f>
        <v/>
      </c>
      <c r="I1227" s="18" t="n"/>
    </row>
    <row r="1228">
      <c r="A1228" s="18">
        <f>IF(ISNUMBER(Dossiers!$D$26),Dossiers!$A$26&amp;" · "&amp;Dossiers!$B$26,"")</f>
        <v/>
      </c>
      <c r="B1228" s="18">
        <f>IF($A1228="","",Paramètres!G40)</f>
        <v/>
      </c>
      <c r="C1228" s="18">
        <f>IF($A1228="","",IF(Paramètres!H40="","",Paramètres!H40))</f>
        <v/>
      </c>
      <c r="D1228" s="18">
        <f>IF($A1228="","",IF(Paramètres!I40="","",Paramètres!I40))</f>
        <v/>
      </c>
      <c r="E1228" s="19">
        <f>IF($A1228="","",IF(Paramètres!J40&amp;Paramètres!L40&amp;Paramètres!N40="",Dossiers!$D$26,MAX(IF(Paramètres!J40="",0,IF(Paramètres!K40="",NA(),IF(LEFT(TRIM(Paramètres!K40),1)="F",INDEX($F$1193:$F$1245,MATCH(Paramètres!J40,Paramètres!$G$5:$G$57,0)),INDEX($E$1193:$E$1245,MATCH(Paramètres!J40,Paramètres!$G$5:$G$57,0)))+IF(RIGHT(TRIM(Paramètres!K40),3)="Fin",1-$H1228,IF(LEFT(TRIM(Paramètres!K40),1)="F",1,0)))),IF(Paramètres!L40="",0,IF(Paramètres!M40="",NA(),IF(LEFT(TRIM(Paramètres!M40),1)="F",INDEX($F$1193:$F$1245,MATCH(Paramètres!L40,Paramètres!$G$5:$G$57,0)),INDEX($E$1193:$E$1245,MATCH(Paramètres!L40,Paramètres!$G$5:$G$57,0)))+IF(RIGHT(TRIM(Paramètres!M40),3)="Fin",1-$H1228,IF(LEFT(TRIM(Paramètres!M40),1)="F",1,0)))),IF(Paramètres!N40="",0,IF(Paramètres!O40="",NA(),IF(LEFT(TRIM(Paramètres!O40),1)="F",INDEX($F$1193:$F$1245,MATCH(Paramètres!N40,Paramètres!$G$5:$G$57,0)),INDEX($E$1193:$E$1245,MATCH(Paramètres!N40,Paramètres!$G$5:$G$57,0)))+IF(RIGHT(TRIM(Paramètres!O40),3)="Fin",1-$H1228,IF(LEFT(TRIM(Paramètres!O40),1)="F",1,0)))))))</f>
        <v/>
      </c>
      <c r="F1228" s="19">
        <f>IF($A1228="","",E1228+$H1228-1)</f>
        <v/>
      </c>
      <c r="G1228" s="18" t="n"/>
      <c r="H1228" s="18">
        <f>IF($A1228="","",IF(I1228&lt;&gt;"",I1228,Paramètres!B40))</f>
        <v/>
      </c>
      <c r="I1228" s="18" t="n"/>
    </row>
    <row r="1229">
      <c r="A1229" s="18">
        <f>IF(ISNUMBER(Dossiers!$D$26),Dossiers!$A$26&amp;" · "&amp;Dossiers!$B$26,"")</f>
        <v/>
      </c>
      <c r="B1229" s="18">
        <f>IF($A1229="","",Paramètres!G41)</f>
        <v/>
      </c>
      <c r="C1229" s="18">
        <f>IF($A1229="","",IF(Paramètres!H41="","",Paramètres!H41))</f>
        <v/>
      </c>
      <c r="D1229" s="18">
        <f>IF($A1229="","",IF(Paramètres!I41="","",Paramètres!I41))</f>
        <v/>
      </c>
      <c r="E1229" s="19">
        <f>IF($A1229="","",IF(Paramètres!J41&amp;Paramètres!L41&amp;Paramètres!N41="",Dossiers!$D$26,MAX(IF(Paramètres!J41="",0,IF(Paramètres!K41="",NA(),IF(LEFT(TRIM(Paramètres!K41),1)="F",INDEX($F$1193:$F$1245,MATCH(Paramètres!J41,Paramètres!$G$5:$G$57,0)),INDEX($E$1193:$E$1245,MATCH(Paramètres!J41,Paramètres!$G$5:$G$57,0)))+IF(RIGHT(TRIM(Paramètres!K41),3)="Fin",1-$H1229,IF(LEFT(TRIM(Paramètres!K41),1)="F",1,0)))),IF(Paramètres!L41="",0,IF(Paramètres!M41="",NA(),IF(LEFT(TRIM(Paramètres!M41),1)="F",INDEX($F$1193:$F$1245,MATCH(Paramètres!L41,Paramètres!$G$5:$G$57,0)),INDEX($E$1193:$E$1245,MATCH(Paramètres!L41,Paramètres!$G$5:$G$57,0)))+IF(RIGHT(TRIM(Paramètres!M41),3)="Fin",1-$H1229,IF(LEFT(TRIM(Paramètres!M41),1)="F",1,0)))),IF(Paramètres!N41="",0,IF(Paramètres!O41="",NA(),IF(LEFT(TRIM(Paramètres!O41),1)="F",INDEX($F$1193:$F$1245,MATCH(Paramètres!N41,Paramètres!$G$5:$G$57,0)),INDEX($E$1193:$E$1245,MATCH(Paramètres!N41,Paramètres!$G$5:$G$57,0)))+IF(RIGHT(TRIM(Paramètres!O41),3)="Fin",1-$H1229,IF(LEFT(TRIM(Paramètres!O41),1)="F",1,0)))))))</f>
        <v/>
      </c>
      <c r="F1229" s="19">
        <f>IF($A1229="","",E1229+$H1229-1)</f>
        <v/>
      </c>
      <c r="G1229" s="18" t="n"/>
      <c r="H1229" s="18">
        <f>IF($A1229="","",IF(I1229&lt;&gt;"",I1229,Paramètres!B41))</f>
        <v/>
      </c>
      <c r="I1229" s="18" t="n"/>
    </row>
    <row r="1230">
      <c r="A1230" s="18">
        <f>IF(ISNUMBER(Dossiers!$D$26),Dossiers!$A$26&amp;" · "&amp;Dossiers!$B$26,"")</f>
        <v/>
      </c>
      <c r="B1230" s="18">
        <f>IF($A1230="","",Paramètres!G42)</f>
        <v/>
      </c>
      <c r="C1230" s="18">
        <f>IF($A1230="","",IF(Paramètres!H42="","",Paramètres!H42))</f>
        <v/>
      </c>
      <c r="D1230" s="18">
        <f>IF($A1230="","",IF(Paramètres!I42="","",Paramètres!I42))</f>
        <v/>
      </c>
      <c r="E1230" s="19">
        <f>IF($A1230="","",IF(Paramètres!J42&amp;Paramètres!L42&amp;Paramètres!N42="",Dossiers!$D$26,MAX(IF(Paramètres!J42="",0,IF(Paramètres!K42="",NA(),IF(LEFT(TRIM(Paramètres!K42),1)="F",INDEX($F$1193:$F$1245,MATCH(Paramètres!J42,Paramètres!$G$5:$G$57,0)),INDEX($E$1193:$E$1245,MATCH(Paramètres!J42,Paramètres!$G$5:$G$57,0)))+IF(RIGHT(TRIM(Paramètres!K42),3)="Fin",1-$H1230,IF(LEFT(TRIM(Paramètres!K42),1)="F",1,0)))),IF(Paramètres!L42="",0,IF(Paramètres!M42="",NA(),IF(LEFT(TRIM(Paramètres!M42),1)="F",INDEX($F$1193:$F$1245,MATCH(Paramètres!L42,Paramètres!$G$5:$G$57,0)),INDEX($E$1193:$E$1245,MATCH(Paramètres!L42,Paramètres!$G$5:$G$57,0)))+IF(RIGHT(TRIM(Paramètres!M42),3)="Fin",1-$H1230,IF(LEFT(TRIM(Paramètres!M42),1)="F",1,0)))),IF(Paramètres!N42="",0,IF(Paramètres!O42="",NA(),IF(LEFT(TRIM(Paramètres!O42),1)="F",INDEX($F$1193:$F$1245,MATCH(Paramètres!N42,Paramètres!$G$5:$G$57,0)),INDEX($E$1193:$E$1245,MATCH(Paramètres!N42,Paramètres!$G$5:$G$57,0)))+IF(RIGHT(TRIM(Paramètres!O42),3)="Fin",1-$H1230,IF(LEFT(TRIM(Paramètres!O42),1)="F",1,0)))))))</f>
        <v/>
      </c>
      <c r="F1230" s="19">
        <f>IF($A1230="","",E1230+$H1230-1)</f>
        <v/>
      </c>
      <c r="G1230" s="18" t="n"/>
      <c r="H1230" s="18">
        <f>IF($A1230="","",IF(I1230&lt;&gt;"",I1230,Paramètres!B42))</f>
        <v/>
      </c>
      <c r="I1230" s="18" t="n"/>
    </row>
    <row r="1231">
      <c r="A1231" s="18">
        <f>IF(ISNUMBER(Dossiers!$D$26),Dossiers!$A$26&amp;" · "&amp;Dossiers!$B$26,"")</f>
        <v/>
      </c>
      <c r="B1231" s="18">
        <f>IF($A1231="","",Paramètres!G43)</f>
        <v/>
      </c>
      <c r="C1231" s="18">
        <f>IF($A1231="","",IF(Paramètres!H43="","",Paramètres!H43))</f>
        <v/>
      </c>
      <c r="D1231" s="18">
        <f>IF($A1231="","",IF(Paramètres!I43="","",Paramètres!I43))</f>
        <v/>
      </c>
      <c r="E1231" s="19">
        <f>IF($A1231="","",IF(Paramètres!J43&amp;Paramètres!L43&amp;Paramètres!N43="",Dossiers!$D$26,MAX(IF(Paramètres!J43="",0,IF(Paramètres!K43="",NA(),IF(LEFT(TRIM(Paramètres!K43),1)="F",INDEX($F$1193:$F$1245,MATCH(Paramètres!J43,Paramètres!$G$5:$G$57,0)),INDEX($E$1193:$E$1245,MATCH(Paramètres!J43,Paramètres!$G$5:$G$57,0)))+IF(RIGHT(TRIM(Paramètres!K43),3)="Fin",1-$H1231,IF(LEFT(TRIM(Paramètres!K43),1)="F",1,0)))),IF(Paramètres!L43="",0,IF(Paramètres!M43="",NA(),IF(LEFT(TRIM(Paramètres!M43),1)="F",INDEX($F$1193:$F$1245,MATCH(Paramètres!L43,Paramètres!$G$5:$G$57,0)),INDEX($E$1193:$E$1245,MATCH(Paramètres!L43,Paramètres!$G$5:$G$57,0)))+IF(RIGHT(TRIM(Paramètres!M43),3)="Fin",1-$H1231,IF(LEFT(TRIM(Paramètres!M43),1)="F",1,0)))),IF(Paramètres!N43="",0,IF(Paramètres!O43="",NA(),IF(LEFT(TRIM(Paramètres!O43),1)="F",INDEX($F$1193:$F$1245,MATCH(Paramètres!N43,Paramètres!$G$5:$G$57,0)),INDEX($E$1193:$E$1245,MATCH(Paramètres!N43,Paramètres!$G$5:$G$57,0)))+IF(RIGHT(TRIM(Paramètres!O43),3)="Fin",1-$H1231,IF(LEFT(TRIM(Paramètres!O43),1)="F",1,0)))))))</f>
        <v/>
      </c>
      <c r="F1231" s="19">
        <f>IF($A1231="","",E1231+$H1231-1)</f>
        <v/>
      </c>
      <c r="G1231" s="18" t="n"/>
      <c r="H1231" s="18">
        <f>IF($A1231="","",IF(I1231&lt;&gt;"",I1231,Paramètres!B43))</f>
        <v/>
      </c>
      <c r="I1231" s="18" t="n"/>
    </row>
    <row r="1232">
      <c r="A1232" s="18">
        <f>IF(ISNUMBER(Dossiers!$D$26),Dossiers!$A$26&amp;" · "&amp;Dossiers!$B$26,"")</f>
        <v/>
      </c>
      <c r="B1232" s="18">
        <f>IF($A1232="","",Paramètres!G44)</f>
        <v/>
      </c>
      <c r="C1232" s="18">
        <f>IF($A1232="","",IF(Paramètres!H44="","",Paramètres!H44))</f>
        <v/>
      </c>
      <c r="D1232" s="18">
        <f>IF($A1232="","",IF(Paramètres!I44="","",Paramètres!I44))</f>
        <v/>
      </c>
      <c r="E1232" s="19">
        <f>IF($A1232="","",IF(Paramètres!J44&amp;Paramètres!L44&amp;Paramètres!N44="",Dossiers!$D$26,MAX(IF(Paramètres!J44="",0,IF(Paramètres!K44="",NA(),IF(LEFT(TRIM(Paramètres!K44),1)="F",INDEX($F$1193:$F$1245,MATCH(Paramètres!J44,Paramètres!$G$5:$G$57,0)),INDEX($E$1193:$E$1245,MATCH(Paramètres!J44,Paramètres!$G$5:$G$57,0)))+IF(RIGHT(TRIM(Paramètres!K44),3)="Fin",1-$H1232,IF(LEFT(TRIM(Paramètres!K44),1)="F",1,0)))),IF(Paramètres!L44="",0,IF(Paramètres!M44="",NA(),IF(LEFT(TRIM(Paramètres!M44),1)="F",INDEX($F$1193:$F$1245,MATCH(Paramètres!L44,Paramètres!$G$5:$G$57,0)),INDEX($E$1193:$E$1245,MATCH(Paramètres!L44,Paramètres!$G$5:$G$57,0)))+IF(RIGHT(TRIM(Paramètres!M44),3)="Fin",1-$H1232,IF(LEFT(TRIM(Paramètres!M44),1)="F",1,0)))),IF(Paramètres!N44="",0,IF(Paramètres!O44="",NA(),IF(LEFT(TRIM(Paramètres!O44),1)="F",INDEX($F$1193:$F$1245,MATCH(Paramètres!N44,Paramètres!$G$5:$G$57,0)),INDEX($E$1193:$E$1245,MATCH(Paramètres!N44,Paramètres!$G$5:$G$57,0)))+IF(RIGHT(TRIM(Paramètres!O44),3)="Fin",1-$H1232,IF(LEFT(TRIM(Paramètres!O44),1)="F",1,0)))))))</f>
        <v/>
      </c>
      <c r="F1232" s="19">
        <f>IF($A1232="","",E1232+$H1232-1)</f>
        <v/>
      </c>
      <c r="G1232" s="18" t="n"/>
      <c r="H1232" s="18">
        <f>IF($A1232="","",IF(I1232&lt;&gt;"",I1232,Paramètres!B44))</f>
        <v/>
      </c>
      <c r="I1232" s="18" t="n"/>
    </row>
    <row r="1233">
      <c r="A1233" s="18">
        <f>IF(ISNUMBER(Dossiers!$D$26),Dossiers!$A$26&amp;" · "&amp;Dossiers!$B$26,"")</f>
        <v/>
      </c>
      <c r="B1233" s="18">
        <f>IF($A1233="","",Paramètres!G45)</f>
        <v/>
      </c>
      <c r="C1233" s="20">
        <f>IF($A1233="","",IF(Dossiers!$G$26="","",Dossiers!$G$26))</f>
        <v/>
      </c>
      <c r="D1233" s="18">
        <f>IF($A1233="","",IF(Paramètres!I45="","",Paramètres!I45))</f>
        <v/>
      </c>
      <c r="E1233" s="19">
        <f>IF($A1233="","",IF(Paramètres!J45&amp;Paramètres!L45&amp;Paramètres!N45="",Dossiers!$D$26,MAX(IF(Paramètres!J45="",0,IF(Paramètres!K45="",NA(),IF(LEFT(TRIM(Paramètres!K45),1)="F",INDEX($F$1193:$F$1245,MATCH(Paramètres!J45,Paramètres!$G$5:$G$57,0)),INDEX($E$1193:$E$1245,MATCH(Paramètres!J45,Paramètres!$G$5:$G$57,0)))+IF(RIGHT(TRIM(Paramètres!K45),3)="Fin",1-$H1233,IF(LEFT(TRIM(Paramètres!K45),1)="F",1,0)))),IF(Paramètres!L45="",0,IF(Paramètres!M45="",NA(),IF(LEFT(TRIM(Paramètres!M45),1)="F",INDEX($F$1193:$F$1245,MATCH(Paramètres!L45,Paramètres!$G$5:$G$57,0)),INDEX($E$1193:$E$1245,MATCH(Paramètres!L45,Paramètres!$G$5:$G$57,0)))+IF(RIGHT(TRIM(Paramètres!M45),3)="Fin",1-$H1233,IF(LEFT(TRIM(Paramètres!M45),1)="F",1,0)))),IF(Paramètres!N45="",0,IF(Paramètres!O45="",NA(),IF(LEFT(TRIM(Paramètres!O45),1)="F",INDEX($F$1193:$F$1245,MATCH(Paramètres!N45,Paramètres!$G$5:$G$57,0)),INDEX($E$1193:$E$1245,MATCH(Paramètres!N45,Paramètres!$G$5:$G$57,0)))+IF(RIGHT(TRIM(Paramètres!O45),3)="Fin",1-$H1233,IF(LEFT(TRIM(Paramètres!O45),1)="F",1,0)))))))</f>
        <v/>
      </c>
      <c r="F1233" s="19">
        <f>IF($A1233="","",E1233+$H1233-1)</f>
        <v/>
      </c>
      <c r="G1233" s="18" t="n"/>
      <c r="H1233" s="18">
        <f>IF($A1233="","",IF(I1233&lt;&gt;"",I1233,Paramètres!B45))</f>
        <v/>
      </c>
      <c r="I1233" s="18" t="n"/>
    </row>
    <row r="1234">
      <c r="A1234" s="18">
        <f>IF(ISNUMBER(Dossiers!$D$26),Dossiers!$A$26&amp;" · "&amp;Dossiers!$B$26,"")</f>
        <v/>
      </c>
      <c r="B1234" s="18">
        <f>IF($A1234="","",Paramètres!G46)</f>
        <v/>
      </c>
      <c r="C1234" s="18">
        <f>IF($A1234="","",IF(Paramètres!H46="","",Paramètres!H46))</f>
        <v/>
      </c>
      <c r="D1234" s="18">
        <f>IF($A1234="","",IF(Paramètres!I46="","",Paramètres!I46))</f>
        <v/>
      </c>
      <c r="E1234" s="19">
        <f>IF($A1234="","",IF(Paramètres!J46&amp;Paramètres!L46&amp;Paramètres!N46="",Dossiers!$D$26,MAX(IF(Paramètres!J46="",0,IF(Paramètres!K46="",NA(),IF(LEFT(TRIM(Paramètres!K46),1)="F",INDEX($F$1193:$F$1245,MATCH(Paramètres!J46,Paramètres!$G$5:$G$57,0)),INDEX($E$1193:$E$1245,MATCH(Paramètres!J46,Paramètres!$G$5:$G$57,0)))+IF(RIGHT(TRIM(Paramètres!K46),3)="Fin",1-$H1234,IF(LEFT(TRIM(Paramètres!K46),1)="F",1,0)))),IF(Paramètres!L46="",0,IF(Paramètres!M46="",NA(),IF(LEFT(TRIM(Paramètres!M46),1)="F",INDEX($F$1193:$F$1245,MATCH(Paramètres!L46,Paramètres!$G$5:$G$57,0)),INDEX($E$1193:$E$1245,MATCH(Paramètres!L46,Paramètres!$G$5:$G$57,0)))+IF(RIGHT(TRIM(Paramètres!M46),3)="Fin",1-$H1234,IF(LEFT(TRIM(Paramètres!M46),1)="F",1,0)))),IF(Paramètres!N46="",0,IF(Paramètres!O46="",NA(),IF(LEFT(TRIM(Paramètres!O46),1)="F",INDEX($F$1193:$F$1245,MATCH(Paramètres!N46,Paramètres!$G$5:$G$57,0)),INDEX($E$1193:$E$1245,MATCH(Paramètres!N46,Paramètres!$G$5:$G$57,0)))+IF(RIGHT(TRIM(Paramètres!O46),3)="Fin",1-$H1234,IF(LEFT(TRIM(Paramètres!O46),1)="F",1,0)))))))</f>
        <v/>
      </c>
      <c r="F1234" s="19">
        <f>IF($A1234="","",E1234+$H1234-1)</f>
        <v/>
      </c>
      <c r="G1234" s="18" t="n"/>
      <c r="H1234" s="18">
        <f>IF($A1234="","",IF(I1234&lt;&gt;"",I1234,Paramètres!B46))</f>
        <v/>
      </c>
      <c r="I1234" s="18" t="n"/>
    </row>
    <row r="1235">
      <c r="A1235" s="18">
        <f>IF(ISNUMBER(Dossiers!$D$26),Dossiers!$A$26&amp;" · "&amp;Dossiers!$B$26,"")</f>
        <v/>
      </c>
      <c r="B1235" s="18">
        <f>IF($A1235="","",Paramètres!G47)</f>
        <v/>
      </c>
      <c r="C1235" s="18">
        <f>IF($A1235="","",IF(Paramètres!H47="","",Paramètres!H47))</f>
        <v/>
      </c>
      <c r="D1235" s="18">
        <f>IF($A1235="","",IF(Paramètres!I47="","",Paramètres!I47))</f>
        <v/>
      </c>
      <c r="E1235" s="19">
        <f>IF($A1235="","",IF(Paramètres!J47&amp;Paramètres!L47&amp;Paramètres!N47="",Dossiers!$D$26,MAX(IF(Paramètres!J47="",0,IF(Paramètres!K47="",NA(),IF(LEFT(TRIM(Paramètres!K47),1)="F",INDEX($F$1193:$F$1245,MATCH(Paramètres!J47,Paramètres!$G$5:$G$57,0)),INDEX($E$1193:$E$1245,MATCH(Paramètres!J47,Paramètres!$G$5:$G$57,0)))+IF(RIGHT(TRIM(Paramètres!K47),3)="Fin",1-$H1235,IF(LEFT(TRIM(Paramètres!K47),1)="F",1,0)))),IF(Paramètres!L47="",0,IF(Paramètres!M47="",NA(),IF(LEFT(TRIM(Paramètres!M47),1)="F",INDEX($F$1193:$F$1245,MATCH(Paramètres!L47,Paramètres!$G$5:$G$57,0)),INDEX($E$1193:$E$1245,MATCH(Paramètres!L47,Paramètres!$G$5:$G$57,0)))+IF(RIGHT(TRIM(Paramètres!M47),3)="Fin",1-$H1235,IF(LEFT(TRIM(Paramètres!M47),1)="F",1,0)))),IF(Paramètres!N47="",0,IF(Paramètres!O47="",NA(),IF(LEFT(TRIM(Paramètres!O47),1)="F",INDEX($F$1193:$F$1245,MATCH(Paramètres!N47,Paramètres!$G$5:$G$57,0)),INDEX($E$1193:$E$1245,MATCH(Paramètres!N47,Paramètres!$G$5:$G$57,0)))+IF(RIGHT(TRIM(Paramètres!O47),3)="Fin",1-$H1235,IF(LEFT(TRIM(Paramètres!O47),1)="F",1,0)))))))</f>
        <v/>
      </c>
      <c r="F1235" s="19">
        <f>IF($A1235="","",E1235+$H1235-1)</f>
        <v/>
      </c>
      <c r="G1235" s="18" t="n"/>
      <c r="H1235" s="18">
        <f>IF($A1235="","",IF(I1235&lt;&gt;"",I1235,Paramètres!B47))</f>
        <v/>
      </c>
      <c r="I1235" s="18" t="n"/>
    </row>
    <row r="1236">
      <c r="A1236" s="18">
        <f>IF(ISNUMBER(Dossiers!$D$26),Dossiers!$A$26&amp;" · "&amp;Dossiers!$B$26,"")</f>
        <v/>
      </c>
      <c r="B1236" s="18">
        <f>IF($A1236="","",Paramètres!G48)</f>
        <v/>
      </c>
      <c r="C1236" s="18">
        <f>IF($A1236="","",IF(Paramètres!H48="","",Paramètres!H48))</f>
        <v/>
      </c>
      <c r="D1236" s="18">
        <f>IF($A1236="","",IF(Paramètres!I48="","",Paramètres!I48))</f>
        <v/>
      </c>
      <c r="E1236" s="19">
        <f>IF($A1236="","",IF(Paramètres!J48&amp;Paramètres!L48&amp;Paramètres!N48="",Dossiers!$D$26,MAX(IF(Paramètres!J48="",0,IF(Paramètres!K48="",NA(),IF(LEFT(TRIM(Paramètres!K48),1)="F",INDEX($F$1193:$F$1245,MATCH(Paramètres!J48,Paramètres!$G$5:$G$57,0)),INDEX($E$1193:$E$1245,MATCH(Paramètres!J48,Paramètres!$G$5:$G$57,0)))+IF(RIGHT(TRIM(Paramètres!K48),3)="Fin",1-$H1236,IF(LEFT(TRIM(Paramètres!K48),1)="F",1,0)))),IF(Paramètres!L48="",0,IF(Paramètres!M48="",NA(),IF(LEFT(TRIM(Paramètres!M48),1)="F",INDEX($F$1193:$F$1245,MATCH(Paramètres!L48,Paramètres!$G$5:$G$57,0)),INDEX($E$1193:$E$1245,MATCH(Paramètres!L48,Paramètres!$G$5:$G$57,0)))+IF(RIGHT(TRIM(Paramètres!M48),3)="Fin",1-$H1236,IF(LEFT(TRIM(Paramètres!M48),1)="F",1,0)))),IF(Paramètres!N48="",0,IF(Paramètres!O48="",NA(),IF(LEFT(TRIM(Paramètres!O48),1)="F",INDEX($F$1193:$F$1245,MATCH(Paramètres!N48,Paramètres!$G$5:$G$57,0)),INDEX($E$1193:$E$1245,MATCH(Paramètres!N48,Paramètres!$G$5:$G$57,0)))+IF(RIGHT(TRIM(Paramètres!O48),3)="Fin",1-$H1236,IF(LEFT(TRIM(Paramètres!O48),1)="F",1,0)))))))</f>
        <v/>
      </c>
      <c r="F1236" s="19">
        <f>IF($A1236="","",E1236+$H1236-1)</f>
        <v/>
      </c>
      <c r="G1236" s="18" t="n"/>
      <c r="H1236" s="18">
        <f>IF($A1236="","",IF(I1236&lt;&gt;"",I1236,Paramètres!B48))</f>
        <v/>
      </c>
      <c r="I1236" s="18" t="n"/>
    </row>
    <row r="1237">
      <c r="A1237" s="18">
        <f>IF(ISNUMBER(Dossiers!$D$26),Dossiers!$A$26&amp;" · "&amp;Dossiers!$B$26,"")</f>
        <v/>
      </c>
      <c r="B1237" s="18">
        <f>IF($A1237="","",Paramètres!G49)</f>
        <v/>
      </c>
      <c r="C1237" s="18">
        <f>IF($A1237="","",IF(Paramètres!H49="","",Paramètres!H49))</f>
        <v/>
      </c>
      <c r="D1237" s="18">
        <f>IF($A1237="","",IF(Paramètres!I49="","",Paramètres!I49))</f>
        <v/>
      </c>
      <c r="E1237" s="19">
        <f>IF($A1237="","",IF(Paramètres!J49&amp;Paramètres!L49&amp;Paramètres!N49="",Dossiers!$D$26,MAX(IF(Paramètres!J49="",0,IF(Paramètres!K49="",NA(),IF(LEFT(TRIM(Paramètres!K49),1)="F",INDEX($F$1193:$F$1245,MATCH(Paramètres!J49,Paramètres!$G$5:$G$57,0)),INDEX($E$1193:$E$1245,MATCH(Paramètres!J49,Paramètres!$G$5:$G$57,0)))+IF(RIGHT(TRIM(Paramètres!K49),3)="Fin",1-$H1237,IF(LEFT(TRIM(Paramètres!K49),1)="F",1,0)))),IF(Paramètres!L49="",0,IF(Paramètres!M49="",NA(),IF(LEFT(TRIM(Paramètres!M49),1)="F",INDEX($F$1193:$F$1245,MATCH(Paramètres!L49,Paramètres!$G$5:$G$57,0)),INDEX($E$1193:$E$1245,MATCH(Paramètres!L49,Paramètres!$G$5:$G$57,0)))+IF(RIGHT(TRIM(Paramètres!M49),3)="Fin",1-$H1237,IF(LEFT(TRIM(Paramètres!M49),1)="F",1,0)))),IF(Paramètres!N49="",0,IF(Paramètres!O49="",NA(),IF(LEFT(TRIM(Paramètres!O49),1)="F",INDEX($F$1193:$F$1245,MATCH(Paramètres!N49,Paramètres!$G$5:$G$57,0)),INDEX($E$1193:$E$1245,MATCH(Paramètres!N49,Paramètres!$G$5:$G$57,0)))+IF(RIGHT(TRIM(Paramètres!O49),3)="Fin",1-$H1237,IF(LEFT(TRIM(Paramètres!O49),1)="F",1,0)))))))</f>
        <v/>
      </c>
      <c r="F1237" s="19">
        <f>IF($A1237="","",E1237+$H1237-1)</f>
        <v/>
      </c>
      <c r="G1237" s="18" t="n"/>
      <c r="H1237" s="18">
        <f>IF($A1237="","",IF(I1237&lt;&gt;"",I1237,Paramètres!B49))</f>
        <v/>
      </c>
      <c r="I1237" s="18" t="n"/>
    </row>
    <row r="1238">
      <c r="A1238" s="18">
        <f>IF(ISNUMBER(Dossiers!$D$26),Dossiers!$A$26&amp;" · "&amp;Dossiers!$B$26,"")</f>
        <v/>
      </c>
      <c r="B1238" s="18">
        <f>IF($A1238="","",Paramètres!G50)</f>
        <v/>
      </c>
      <c r="C1238" s="18">
        <f>IF($A1238="","",IF(Paramètres!H50="","",Paramètres!H50))</f>
        <v/>
      </c>
      <c r="D1238" s="18">
        <f>IF($A1238="","",IF(Paramètres!I50="","",Paramètres!I50))</f>
        <v/>
      </c>
      <c r="E1238" s="19">
        <f>IF($A1238="","",IF(Paramètres!J50&amp;Paramètres!L50&amp;Paramètres!N50="",Dossiers!$D$26,MAX(IF(Paramètres!J50="",0,IF(Paramètres!K50="",NA(),IF(LEFT(TRIM(Paramètres!K50),1)="F",INDEX($F$1193:$F$1245,MATCH(Paramètres!J50,Paramètres!$G$5:$G$57,0)),INDEX($E$1193:$E$1245,MATCH(Paramètres!J50,Paramètres!$G$5:$G$57,0)))+IF(RIGHT(TRIM(Paramètres!K50),3)="Fin",1-$H1238,IF(LEFT(TRIM(Paramètres!K50),1)="F",1,0)))),IF(Paramètres!L50="",0,IF(Paramètres!M50="",NA(),IF(LEFT(TRIM(Paramètres!M50),1)="F",INDEX($F$1193:$F$1245,MATCH(Paramètres!L50,Paramètres!$G$5:$G$57,0)),INDEX($E$1193:$E$1245,MATCH(Paramètres!L50,Paramètres!$G$5:$G$57,0)))+IF(RIGHT(TRIM(Paramètres!M50),3)="Fin",1-$H1238,IF(LEFT(TRIM(Paramètres!M50),1)="F",1,0)))),IF(Paramètres!N50="",0,IF(Paramètres!O50="",NA(),IF(LEFT(TRIM(Paramètres!O50),1)="F",INDEX($F$1193:$F$1245,MATCH(Paramètres!N50,Paramètres!$G$5:$G$57,0)),INDEX($E$1193:$E$1245,MATCH(Paramètres!N50,Paramètres!$G$5:$G$57,0)))+IF(RIGHT(TRIM(Paramètres!O50),3)="Fin",1-$H1238,IF(LEFT(TRIM(Paramètres!O50),1)="F",1,0)))))))</f>
        <v/>
      </c>
      <c r="F1238" s="19">
        <f>IF($A1238="","",E1238+$H1238-1)</f>
        <v/>
      </c>
      <c r="G1238" s="18" t="n"/>
      <c r="H1238" s="18">
        <f>IF($A1238="","",IF(I1238&lt;&gt;"",I1238,Paramètres!B50))</f>
        <v/>
      </c>
      <c r="I1238" s="18" t="n"/>
    </row>
    <row r="1239">
      <c r="A1239" s="18">
        <f>IF(ISNUMBER(Dossiers!$D$26),Dossiers!$A$26&amp;" · "&amp;Dossiers!$B$26,"")</f>
        <v/>
      </c>
      <c r="B1239" s="18">
        <f>IF($A1239="","",Paramètres!G51)</f>
        <v/>
      </c>
      <c r="C1239" s="18">
        <f>IF($A1239="","",IF(Paramètres!H51="","",Paramètres!H51))</f>
        <v/>
      </c>
      <c r="D1239" s="18">
        <f>IF($A1239="","",IF(Paramètres!I51="","",Paramètres!I51))</f>
        <v/>
      </c>
      <c r="E1239" s="19">
        <f>IF($A1239="","",IF(Paramètres!J51&amp;Paramètres!L51&amp;Paramètres!N51="",Dossiers!$D$26,MAX(IF(Paramètres!J51="",0,IF(Paramètres!K51="",NA(),IF(LEFT(TRIM(Paramètres!K51),1)="F",INDEX($F$1193:$F$1245,MATCH(Paramètres!J51,Paramètres!$G$5:$G$57,0)),INDEX($E$1193:$E$1245,MATCH(Paramètres!J51,Paramètres!$G$5:$G$57,0)))+IF(RIGHT(TRIM(Paramètres!K51),3)="Fin",1-$H1239,IF(LEFT(TRIM(Paramètres!K51),1)="F",1,0)))),IF(Paramètres!L51="",0,IF(Paramètres!M51="",NA(),IF(LEFT(TRIM(Paramètres!M51),1)="F",INDEX($F$1193:$F$1245,MATCH(Paramètres!L51,Paramètres!$G$5:$G$57,0)),INDEX($E$1193:$E$1245,MATCH(Paramètres!L51,Paramètres!$G$5:$G$57,0)))+IF(RIGHT(TRIM(Paramètres!M51),3)="Fin",1-$H1239,IF(LEFT(TRIM(Paramètres!M51),1)="F",1,0)))),IF(Paramètres!N51="",0,IF(Paramètres!O51="",NA(),IF(LEFT(TRIM(Paramètres!O51),1)="F",INDEX($F$1193:$F$1245,MATCH(Paramètres!N51,Paramètres!$G$5:$G$57,0)),INDEX($E$1193:$E$1245,MATCH(Paramètres!N51,Paramètres!$G$5:$G$57,0)))+IF(RIGHT(TRIM(Paramètres!O51),3)="Fin",1-$H1239,IF(LEFT(TRIM(Paramètres!O51),1)="F",1,0)))))))</f>
        <v/>
      </c>
      <c r="F1239" s="19">
        <f>IF($A1239="","",E1239+$H1239-1)</f>
        <v/>
      </c>
      <c r="G1239" s="18" t="n"/>
      <c r="H1239" s="18">
        <f>IF($A1239="","",IF(I1239&lt;&gt;"",I1239,Paramètres!B51))</f>
        <v/>
      </c>
      <c r="I1239" s="18" t="n"/>
    </row>
    <row r="1240">
      <c r="A1240" s="18">
        <f>IF(ISNUMBER(Dossiers!$D$26),Dossiers!$A$26&amp;" · "&amp;Dossiers!$B$26,"")</f>
        <v/>
      </c>
      <c r="B1240" s="18">
        <f>IF($A1240="","",Paramètres!G52)</f>
        <v/>
      </c>
      <c r="C1240" s="18">
        <f>IF($A1240="","",IF(Paramètres!H52="","",Paramètres!H52))</f>
        <v/>
      </c>
      <c r="D1240" s="18">
        <f>IF($A1240="","",IF(Paramètres!I52="","",Paramètres!I52))</f>
        <v/>
      </c>
      <c r="E1240" s="19">
        <f>IF($A1240="","",IF(Paramètres!J52&amp;Paramètres!L52&amp;Paramètres!N52="",Dossiers!$D$26,MAX(IF(Paramètres!J52="",0,IF(Paramètres!K52="",NA(),IF(LEFT(TRIM(Paramètres!K52),1)="F",INDEX($F$1193:$F$1245,MATCH(Paramètres!J52,Paramètres!$G$5:$G$57,0)),INDEX($E$1193:$E$1245,MATCH(Paramètres!J52,Paramètres!$G$5:$G$57,0)))+IF(RIGHT(TRIM(Paramètres!K52),3)="Fin",1-$H1240,IF(LEFT(TRIM(Paramètres!K52),1)="F",1,0)))),IF(Paramètres!L52="",0,IF(Paramètres!M52="",NA(),IF(LEFT(TRIM(Paramètres!M52),1)="F",INDEX($F$1193:$F$1245,MATCH(Paramètres!L52,Paramètres!$G$5:$G$57,0)),INDEX($E$1193:$E$1245,MATCH(Paramètres!L52,Paramètres!$G$5:$G$57,0)))+IF(RIGHT(TRIM(Paramètres!M52),3)="Fin",1-$H1240,IF(LEFT(TRIM(Paramètres!M52),1)="F",1,0)))),IF(Paramètres!N52="",0,IF(Paramètres!O52="",NA(),IF(LEFT(TRIM(Paramètres!O52),1)="F",INDEX($F$1193:$F$1245,MATCH(Paramètres!N52,Paramètres!$G$5:$G$57,0)),INDEX($E$1193:$E$1245,MATCH(Paramètres!N52,Paramètres!$G$5:$G$57,0)))+IF(RIGHT(TRIM(Paramètres!O52),3)="Fin",1-$H1240,IF(LEFT(TRIM(Paramètres!O52),1)="F",1,0)))))))</f>
        <v/>
      </c>
      <c r="F1240" s="19">
        <f>IF($A1240="","",E1240+$H1240-1)</f>
        <v/>
      </c>
      <c r="G1240" s="18" t="n"/>
      <c r="H1240" s="18">
        <f>IF($A1240="","",IF(I1240&lt;&gt;"",I1240,Paramètres!B52))</f>
        <v/>
      </c>
      <c r="I1240" s="18" t="n"/>
    </row>
    <row r="1241">
      <c r="A1241" s="18">
        <f>IF(ISNUMBER(Dossiers!$D$26),Dossiers!$A$26&amp;" · "&amp;Dossiers!$B$26,"")</f>
        <v/>
      </c>
      <c r="B1241" s="18">
        <f>IF($A1241="","",Paramètres!G53)</f>
        <v/>
      </c>
      <c r="C1241" s="18">
        <f>IF($A1241="","",IF(Paramètres!H53="","",Paramètres!H53))</f>
        <v/>
      </c>
      <c r="D1241" s="18">
        <f>IF($A1241="","",IF(Paramètres!I53="","",Paramètres!I53))</f>
        <v/>
      </c>
      <c r="E1241" s="19">
        <f>IF($A1241="","",IF(Paramètres!J53&amp;Paramètres!L53&amp;Paramètres!N53="",Dossiers!$D$26,MAX(IF(Paramètres!J53="",0,IF(Paramètres!K53="",NA(),IF(LEFT(TRIM(Paramètres!K53),1)="F",INDEX($F$1193:$F$1245,MATCH(Paramètres!J53,Paramètres!$G$5:$G$57,0)),INDEX($E$1193:$E$1245,MATCH(Paramètres!J53,Paramètres!$G$5:$G$57,0)))+IF(RIGHT(TRIM(Paramètres!K53),3)="Fin",1-$H1241,IF(LEFT(TRIM(Paramètres!K53),1)="F",1,0)))),IF(Paramètres!L53="",0,IF(Paramètres!M53="",NA(),IF(LEFT(TRIM(Paramètres!M53),1)="F",INDEX($F$1193:$F$1245,MATCH(Paramètres!L53,Paramètres!$G$5:$G$57,0)),INDEX($E$1193:$E$1245,MATCH(Paramètres!L53,Paramètres!$G$5:$G$57,0)))+IF(RIGHT(TRIM(Paramètres!M53),3)="Fin",1-$H1241,IF(LEFT(TRIM(Paramètres!M53),1)="F",1,0)))),IF(Paramètres!N53="",0,IF(Paramètres!O53="",NA(),IF(LEFT(TRIM(Paramètres!O53),1)="F",INDEX($F$1193:$F$1245,MATCH(Paramètres!N53,Paramètres!$G$5:$G$57,0)),INDEX($E$1193:$E$1245,MATCH(Paramètres!N53,Paramètres!$G$5:$G$57,0)))+IF(RIGHT(TRIM(Paramètres!O53),3)="Fin",1-$H1241,IF(LEFT(TRIM(Paramètres!O53),1)="F",1,0)))))))</f>
        <v/>
      </c>
      <c r="F1241" s="19">
        <f>IF($A1241="","",E1241+$H1241-1)</f>
        <v/>
      </c>
      <c r="G1241" s="18" t="n"/>
      <c r="H1241" s="18">
        <f>IF($A1241="","",IF(I1241&lt;&gt;"",I1241,Paramètres!B53))</f>
        <v/>
      </c>
      <c r="I1241" s="18" t="n"/>
    </row>
    <row r="1242">
      <c r="A1242" s="18">
        <f>IF(ISNUMBER(Dossiers!$D$26),Dossiers!$A$26&amp;" · "&amp;Dossiers!$B$26,"")</f>
        <v/>
      </c>
      <c r="B1242" s="18">
        <f>IF($A1242="","",Paramètres!G54)</f>
        <v/>
      </c>
      <c r="C1242" s="18">
        <f>IF($A1242="","",IF(Paramètres!H54="","",Paramètres!H54))</f>
        <v/>
      </c>
      <c r="D1242" s="18">
        <f>IF($A1242="","",IF(Paramètres!I54="","",Paramètres!I54))</f>
        <v/>
      </c>
      <c r="E1242" s="19">
        <f>IF($A1242="","",IF(Paramètres!J54&amp;Paramètres!L54&amp;Paramètres!N54="",Dossiers!$D$26,MAX(IF(Paramètres!J54="",0,IF(Paramètres!K54="",NA(),IF(LEFT(TRIM(Paramètres!K54),1)="F",INDEX($F$1193:$F$1245,MATCH(Paramètres!J54,Paramètres!$G$5:$G$57,0)),INDEX($E$1193:$E$1245,MATCH(Paramètres!J54,Paramètres!$G$5:$G$57,0)))+IF(RIGHT(TRIM(Paramètres!K54),3)="Fin",1-$H1242,IF(LEFT(TRIM(Paramètres!K54),1)="F",1,0)))),IF(Paramètres!L54="",0,IF(Paramètres!M54="",NA(),IF(LEFT(TRIM(Paramètres!M54),1)="F",INDEX($F$1193:$F$1245,MATCH(Paramètres!L54,Paramètres!$G$5:$G$57,0)),INDEX($E$1193:$E$1245,MATCH(Paramètres!L54,Paramètres!$G$5:$G$57,0)))+IF(RIGHT(TRIM(Paramètres!M54),3)="Fin",1-$H1242,IF(LEFT(TRIM(Paramètres!M54),1)="F",1,0)))),IF(Paramètres!N54="",0,IF(Paramètres!O54="",NA(),IF(LEFT(TRIM(Paramètres!O54),1)="F",INDEX($F$1193:$F$1245,MATCH(Paramètres!N54,Paramètres!$G$5:$G$57,0)),INDEX($E$1193:$E$1245,MATCH(Paramètres!N54,Paramètres!$G$5:$G$57,0)))+IF(RIGHT(TRIM(Paramètres!O54),3)="Fin",1-$H1242,IF(LEFT(TRIM(Paramètres!O54),1)="F",1,0)))))))</f>
        <v/>
      </c>
      <c r="F1242" s="19">
        <f>IF($A1242="","",E1242+$H1242-1)</f>
        <v/>
      </c>
      <c r="G1242" s="18" t="n"/>
      <c r="H1242" s="18">
        <f>IF($A1242="","",IF(I1242&lt;&gt;"",I1242,Paramètres!B54))</f>
        <v/>
      </c>
      <c r="I1242" s="18" t="n"/>
    </row>
    <row r="1243">
      <c r="A1243" s="18">
        <f>IF(ISNUMBER(Dossiers!$D$26),Dossiers!$A$26&amp;" · "&amp;Dossiers!$B$26,"")</f>
        <v/>
      </c>
      <c r="B1243" s="18">
        <f>IF($A1243="","",Paramètres!G55)</f>
        <v/>
      </c>
      <c r="C1243" s="18">
        <f>IF($A1243="","",IF(Paramètres!H55="","",Paramètres!H55))</f>
        <v/>
      </c>
      <c r="D1243" s="18">
        <f>IF($A1243="","",IF(Paramètres!I55="","",Paramètres!I55))</f>
        <v/>
      </c>
      <c r="E1243" s="19">
        <f>IF($A1243="","",IF(Paramètres!J55&amp;Paramètres!L55&amp;Paramètres!N55="",Dossiers!$D$26,MAX(IF(Paramètres!J55="",0,IF(Paramètres!K55="",NA(),IF(LEFT(TRIM(Paramètres!K55),1)="F",INDEX($F$1193:$F$1245,MATCH(Paramètres!J55,Paramètres!$G$5:$G$57,0)),INDEX($E$1193:$E$1245,MATCH(Paramètres!J55,Paramètres!$G$5:$G$57,0)))+IF(RIGHT(TRIM(Paramètres!K55),3)="Fin",1-$H1243,IF(LEFT(TRIM(Paramètres!K55),1)="F",1,0)))),IF(Paramètres!L55="",0,IF(Paramètres!M55="",NA(),IF(LEFT(TRIM(Paramètres!M55),1)="F",INDEX($F$1193:$F$1245,MATCH(Paramètres!L55,Paramètres!$G$5:$G$57,0)),INDEX($E$1193:$E$1245,MATCH(Paramètres!L55,Paramètres!$G$5:$G$57,0)))+IF(RIGHT(TRIM(Paramètres!M55),3)="Fin",1-$H1243,IF(LEFT(TRIM(Paramètres!M55),1)="F",1,0)))),IF(Paramètres!N55="",0,IF(Paramètres!O55="",NA(),IF(LEFT(TRIM(Paramètres!O55),1)="F",INDEX($F$1193:$F$1245,MATCH(Paramètres!N55,Paramètres!$G$5:$G$57,0)),INDEX($E$1193:$E$1245,MATCH(Paramètres!N55,Paramètres!$G$5:$G$57,0)))+IF(RIGHT(TRIM(Paramètres!O55),3)="Fin",1-$H1243,IF(LEFT(TRIM(Paramètres!O55),1)="F",1,0)))))))</f>
        <v/>
      </c>
      <c r="F1243" s="19">
        <f>IF($A1243="","",E1243+$H1243-1)</f>
        <v/>
      </c>
      <c r="G1243" s="18" t="n"/>
      <c r="H1243" s="18">
        <f>IF($A1243="","",IF(I1243&lt;&gt;"",I1243,Paramètres!B55))</f>
        <v/>
      </c>
      <c r="I1243" s="18" t="n"/>
    </row>
    <row r="1244">
      <c r="A1244" s="18">
        <f>IF(ISNUMBER(Dossiers!$D$26),Dossiers!$A$26&amp;" · "&amp;Dossiers!$B$26,"")</f>
        <v/>
      </c>
      <c r="B1244" s="18">
        <f>IF($A1244="","",Paramètres!G56)</f>
        <v/>
      </c>
      <c r="C1244" s="18">
        <f>IF($A1244="","",IF(Paramètres!H56="","",Paramètres!H56))</f>
        <v/>
      </c>
      <c r="D1244" s="18">
        <f>IF($A1244="","",IF(Paramètres!I56="","",Paramètres!I56))</f>
        <v/>
      </c>
      <c r="E1244" s="19">
        <f>IF($A1244="","",MIN(E1245:E1245))</f>
        <v/>
      </c>
      <c r="F1244" s="19">
        <f>IF($A1244="","",MAX(F1245:F1245))</f>
        <v/>
      </c>
      <c r="G1244" s="18" t="n"/>
      <c r="H1244" s="18">
        <f>IF($A1244="","",F1244-E1244+1)</f>
        <v/>
      </c>
      <c r="I1244" s="18" t="n"/>
    </row>
    <row r="1245">
      <c r="A1245" s="18">
        <f>IF(ISNUMBER(Dossiers!$D$26),Dossiers!$A$26&amp;" · "&amp;Dossiers!$B$26,"")</f>
        <v/>
      </c>
      <c r="B1245" s="18">
        <f>IF($A1245="","",Paramètres!G57)</f>
        <v/>
      </c>
      <c r="C1245" s="18">
        <f>IF($A1245="","",IF(Paramètres!H57="","",Paramètres!H57))</f>
        <v/>
      </c>
      <c r="D1245" s="18">
        <f>IF($A1245="","",IF(Paramètres!I57="","",Paramètres!I57))</f>
        <v/>
      </c>
      <c r="E1245" s="19">
        <f>IF($A1245="","",IF(Paramètres!J57&amp;Paramètres!L57&amp;Paramètres!N57="",Dossiers!$D$26,MAX(IF(Paramètres!J57="",0,IF(Paramètres!K57="",NA(),IF(LEFT(TRIM(Paramètres!K57),1)="F",INDEX($F$1193:$F$1245,MATCH(Paramètres!J57,Paramètres!$G$5:$G$57,0)),INDEX($E$1193:$E$1245,MATCH(Paramètres!J57,Paramètres!$G$5:$G$57,0)))+IF(RIGHT(TRIM(Paramètres!K57),3)="Fin",1-$H1245,IF(LEFT(TRIM(Paramètres!K57),1)="F",1,0)))),IF(Paramètres!L57="",0,IF(Paramètres!M57="",NA(),IF(LEFT(TRIM(Paramètres!M57),1)="F",INDEX($F$1193:$F$1245,MATCH(Paramètres!L57,Paramètres!$G$5:$G$57,0)),INDEX($E$1193:$E$1245,MATCH(Paramètres!L57,Paramètres!$G$5:$G$57,0)))+IF(RIGHT(TRIM(Paramètres!M57),3)="Fin",1-$H1245,IF(LEFT(TRIM(Paramètres!M57),1)="F",1,0)))),IF(Paramètres!N57="",0,IF(Paramètres!O57="",NA(),IF(LEFT(TRIM(Paramètres!O57),1)="F",INDEX($F$1193:$F$1245,MATCH(Paramètres!N57,Paramètres!$G$5:$G$57,0)),INDEX($E$1193:$E$1245,MATCH(Paramètres!N57,Paramètres!$G$5:$G$57,0)))+IF(RIGHT(TRIM(Paramètres!O57),3)="Fin",1-$H1245,IF(LEFT(TRIM(Paramètres!O57),1)="F",1,0)))))))</f>
        <v/>
      </c>
      <c r="F1245" s="19">
        <f>IF($A1245="","",E1245+$H1245-1)</f>
        <v/>
      </c>
      <c r="G1245" s="18" t="n"/>
      <c r="H1245" s="18">
        <f>IF($A1245="","",IF(I1245&lt;&gt;"",I1245,Paramètres!B57))</f>
        <v/>
      </c>
      <c r="I1245" s="18" t="n"/>
    </row>
    <row r="1246">
      <c r="A1246" s="16">
        <f>IF(ISNUMBER(Dossiers!$D$27),Dossiers!$E$27,"")</f>
        <v/>
      </c>
      <c r="B1246" s="16">
        <f>IF($A1246="","","Identifiant")</f>
        <v/>
      </c>
      <c r="C1246" s="16">
        <f>IF($A1246="","","Macro Etape")</f>
        <v/>
      </c>
      <c r="D1246" s="16">
        <f>IF($A1246="","","Etape")</f>
        <v/>
      </c>
      <c r="E1246" s="17">
        <f>IF($A1246="","","Début le")</f>
        <v/>
      </c>
      <c r="F1246" s="17">
        <f>IF($A1246="","","Fin prévue le")</f>
        <v/>
      </c>
      <c r="G1246" s="16">
        <f>IF($A1246="","","Statut")</f>
        <v/>
      </c>
      <c r="H1246" s="16">
        <f>IF($A1246="","","Durée (jours)")</f>
        <v/>
      </c>
      <c r="I1246" s="16">
        <f>IF($A1246="","","Durée particulière")</f>
        <v/>
      </c>
      <c r="J1246" s="10">
        <f>IF($A1246="","",HYPERLINK("#'Tableau de bord'!A1","↑ Tableau de bord"))</f>
        <v/>
      </c>
    </row>
    <row r="1247">
      <c r="A1247" s="18">
        <f>IF(ISNUMBER(Dossiers!$D$27),Dossiers!$A$27&amp;" · "&amp;Dossiers!$B$27,"")</f>
        <v/>
      </c>
      <c r="B1247" s="18">
        <f>IF($A1247="","",Paramètres!G5)</f>
        <v/>
      </c>
      <c r="C1247" s="18">
        <f>IF($A1247="","",IF(Paramètres!H5="","",Paramètres!H5))</f>
        <v/>
      </c>
      <c r="D1247" s="18">
        <f>IF($A1247="","",IF(Paramètres!I5="","",Paramètres!I5))</f>
        <v/>
      </c>
      <c r="E1247" s="19">
        <f>IF($A1247="","",MIN(E1248:E1251))</f>
        <v/>
      </c>
      <c r="F1247" s="19">
        <f>IF($A1247="","",MAX(F1248:F1251))</f>
        <v/>
      </c>
      <c r="G1247" s="18" t="n"/>
      <c r="H1247" s="18">
        <f>IF($A1247="","",F1247-E1247+1)</f>
        <v/>
      </c>
      <c r="I1247" s="18" t="n"/>
    </row>
    <row r="1248">
      <c r="A1248" s="18">
        <f>IF(ISNUMBER(Dossiers!$D$27),Dossiers!$A$27&amp;" · "&amp;Dossiers!$B$27,"")</f>
        <v/>
      </c>
      <c r="B1248" s="18">
        <f>IF($A1248="","",Paramètres!G6)</f>
        <v/>
      </c>
      <c r="C1248" s="18">
        <f>IF($A1248="","",IF(Paramètres!H6="","",Paramètres!H6))</f>
        <v/>
      </c>
      <c r="D1248" s="18">
        <f>IF($A1248="","",IF(Paramètres!I6="","",Paramètres!I6))</f>
        <v/>
      </c>
      <c r="E1248" s="19">
        <f>IF($A1248="","",IF(Paramètres!J6&amp;Paramètres!L6&amp;Paramètres!N6="",Dossiers!$D$27,MAX(IF(Paramètres!J6="",0,IF(Paramètres!K6="",NA(),IF(LEFT(TRIM(Paramètres!K6),1)="F",INDEX($F$1247:$F$1299,MATCH(Paramètres!J6,Paramètres!$G$5:$G$57,0)),INDEX($E$1247:$E$1299,MATCH(Paramètres!J6,Paramètres!$G$5:$G$57,0)))+IF(RIGHT(TRIM(Paramètres!K6),3)="Fin",1-$H1248,IF(LEFT(TRIM(Paramètres!K6),1)="F",1,0)))),IF(Paramètres!L6="",0,IF(Paramètres!M6="",NA(),IF(LEFT(TRIM(Paramètres!M6),1)="F",INDEX($F$1247:$F$1299,MATCH(Paramètres!L6,Paramètres!$G$5:$G$57,0)),INDEX($E$1247:$E$1299,MATCH(Paramètres!L6,Paramètres!$G$5:$G$57,0)))+IF(RIGHT(TRIM(Paramètres!M6),3)="Fin",1-$H1248,IF(LEFT(TRIM(Paramètres!M6),1)="F",1,0)))),IF(Paramètres!N6="",0,IF(Paramètres!O6="",NA(),IF(LEFT(TRIM(Paramètres!O6),1)="F",INDEX($F$1247:$F$1299,MATCH(Paramètres!N6,Paramètres!$G$5:$G$57,0)),INDEX($E$1247:$E$1299,MATCH(Paramètres!N6,Paramètres!$G$5:$G$57,0)))+IF(RIGHT(TRIM(Paramètres!O6),3)="Fin",1-$H1248,IF(LEFT(TRIM(Paramètres!O6),1)="F",1,0)))))))</f>
        <v/>
      </c>
      <c r="F1248" s="19">
        <f>IF($A1248="","",E1248+$H1248-1)</f>
        <v/>
      </c>
      <c r="G1248" s="18" t="n"/>
      <c r="H1248" s="18">
        <f>IF($A1248="","",IF(I1248&lt;&gt;"",I1248,Paramètres!B6))</f>
        <v/>
      </c>
      <c r="I1248" s="18" t="n"/>
    </row>
    <row r="1249">
      <c r="A1249" s="18">
        <f>IF(ISNUMBER(Dossiers!$D$27),Dossiers!$A$27&amp;" · "&amp;Dossiers!$B$27,"")</f>
        <v/>
      </c>
      <c r="B1249" s="18">
        <f>IF($A1249="","",Paramètres!G7)</f>
        <v/>
      </c>
      <c r="C1249" s="18">
        <f>IF($A1249="","",IF(Paramètres!H7="","",Paramètres!H7))</f>
        <v/>
      </c>
      <c r="D1249" s="18">
        <f>IF($A1249="","",IF(Paramètres!I7="","",Paramètres!I7))</f>
        <v/>
      </c>
      <c r="E1249" s="19">
        <f>IF($A1249="","",IF(Paramètres!J7&amp;Paramètres!L7&amp;Paramètres!N7="",Dossiers!$D$27,MAX(IF(Paramètres!J7="",0,IF(Paramètres!K7="",NA(),IF(LEFT(TRIM(Paramètres!K7),1)="F",INDEX($F$1247:$F$1299,MATCH(Paramètres!J7,Paramètres!$G$5:$G$57,0)),INDEX($E$1247:$E$1299,MATCH(Paramètres!J7,Paramètres!$G$5:$G$57,0)))+IF(RIGHT(TRIM(Paramètres!K7),3)="Fin",1-$H1249,IF(LEFT(TRIM(Paramètres!K7),1)="F",1,0)))),IF(Paramètres!L7="",0,IF(Paramètres!M7="",NA(),IF(LEFT(TRIM(Paramètres!M7),1)="F",INDEX($F$1247:$F$1299,MATCH(Paramètres!L7,Paramètres!$G$5:$G$57,0)),INDEX($E$1247:$E$1299,MATCH(Paramètres!L7,Paramètres!$G$5:$G$57,0)))+IF(RIGHT(TRIM(Paramètres!M7),3)="Fin",1-$H1249,IF(LEFT(TRIM(Paramètres!M7),1)="F",1,0)))),IF(Paramètres!N7="",0,IF(Paramètres!O7="",NA(),IF(LEFT(TRIM(Paramètres!O7),1)="F",INDEX($F$1247:$F$1299,MATCH(Paramètres!N7,Paramètres!$G$5:$G$57,0)),INDEX($E$1247:$E$1299,MATCH(Paramètres!N7,Paramètres!$G$5:$G$57,0)))+IF(RIGHT(TRIM(Paramètres!O7),3)="Fin",1-$H1249,IF(LEFT(TRIM(Paramètres!O7),1)="F",1,0)))))))</f>
        <v/>
      </c>
      <c r="F1249" s="19">
        <f>IF($A1249="","",E1249+$H1249-1)</f>
        <v/>
      </c>
      <c r="G1249" s="18" t="n"/>
      <c r="H1249" s="18">
        <f>IF($A1249="","",IF(I1249&lt;&gt;"",I1249,Paramètres!B7))</f>
        <v/>
      </c>
      <c r="I1249" s="18" t="n"/>
    </row>
    <row r="1250">
      <c r="A1250" s="18">
        <f>IF(ISNUMBER(Dossiers!$D$27),Dossiers!$A$27&amp;" · "&amp;Dossiers!$B$27,"")</f>
        <v/>
      </c>
      <c r="B1250" s="18">
        <f>IF($A1250="","",Paramètres!G8)</f>
        <v/>
      </c>
      <c r="C1250" s="18">
        <f>IF($A1250="","",IF(Paramètres!H8="","",Paramètres!H8))</f>
        <v/>
      </c>
      <c r="D1250" s="18">
        <f>IF($A1250="","",IF(Paramètres!I8="","",Paramètres!I8))</f>
        <v/>
      </c>
      <c r="E1250" s="19">
        <f>IF($A1250="","",IF(Paramètres!J8&amp;Paramètres!L8&amp;Paramètres!N8="",Dossiers!$D$27,MAX(IF(Paramètres!J8="",0,IF(Paramètres!K8="",NA(),IF(LEFT(TRIM(Paramètres!K8),1)="F",INDEX($F$1247:$F$1299,MATCH(Paramètres!J8,Paramètres!$G$5:$G$57,0)),INDEX($E$1247:$E$1299,MATCH(Paramètres!J8,Paramètres!$G$5:$G$57,0)))+IF(RIGHT(TRIM(Paramètres!K8),3)="Fin",1-$H1250,IF(LEFT(TRIM(Paramètres!K8),1)="F",1,0)))),IF(Paramètres!L8="",0,IF(Paramètres!M8="",NA(),IF(LEFT(TRIM(Paramètres!M8),1)="F",INDEX($F$1247:$F$1299,MATCH(Paramètres!L8,Paramètres!$G$5:$G$57,0)),INDEX($E$1247:$E$1299,MATCH(Paramètres!L8,Paramètres!$G$5:$G$57,0)))+IF(RIGHT(TRIM(Paramètres!M8),3)="Fin",1-$H1250,IF(LEFT(TRIM(Paramètres!M8),1)="F",1,0)))),IF(Paramètres!N8="",0,IF(Paramètres!O8="",NA(),IF(LEFT(TRIM(Paramètres!O8),1)="F",INDEX($F$1247:$F$1299,MATCH(Paramètres!N8,Paramètres!$G$5:$G$57,0)),INDEX($E$1247:$E$1299,MATCH(Paramètres!N8,Paramètres!$G$5:$G$57,0)))+IF(RIGHT(TRIM(Paramètres!O8),3)="Fin",1-$H1250,IF(LEFT(TRIM(Paramètres!O8),1)="F",1,0)))))))</f>
        <v/>
      </c>
      <c r="F1250" s="19">
        <f>IF($A1250="","",E1250+$H1250-1)</f>
        <v/>
      </c>
      <c r="G1250" s="18" t="n"/>
      <c r="H1250" s="18">
        <f>IF($A1250="","",IF(I1250&lt;&gt;"",I1250,Paramètres!B8))</f>
        <v/>
      </c>
      <c r="I1250" s="18" t="n"/>
    </row>
    <row r="1251">
      <c r="A1251" s="18">
        <f>IF(ISNUMBER(Dossiers!$D$27),Dossiers!$A$27&amp;" · "&amp;Dossiers!$B$27,"")</f>
        <v/>
      </c>
      <c r="B1251" s="18">
        <f>IF($A1251="","",Paramètres!G9)</f>
        <v/>
      </c>
      <c r="C1251" s="18">
        <f>IF($A1251="","",IF(Paramètres!H9="","",Paramètres!H9))</f>
        <v/>
      </c>
      <c r="D1251" s="18">
        <f>IF($A1251="","",IF(Paramètres!I9="","",Paramètres!I9))</f>
        <v/>
      </c>
      <c r="E1251" s="19">
        <f>IF($A1251="","",IF(Paramètres!J9&amp;Paramètres!L9&amp;Paramètres!N9="",Dossiers!$D$27,MAX(IF(Paramètres!J9="",0,IF(Paramètres!K9="",NA(),IF(LEFT(TRIM(Paramètres!K9),1)="F",INDEX($F$1247:$F$1299,MATCH(Paramètres!J9,Paramètres!$G$5:$G$57,0)),INDEX($E$1247:$E$1299,MATCH(Paramètres!J9,Paramètres!$G$5:$G$57,0)))+IF(RIGHT(TRIM(Paramètres!K9),3)="Fin",1-$H1251,IF(LEFT(TRIM(Paramètres!K9),1)="F",1,0)))),IF(Paramètres!L9="",0,IF(Paramètres!M9="",NA(),IF(LEFT(TRIM(Paramètres!M9),1)="F",INDEX($F$1247:$F$1299,MATCH(Paramètres!L9,Paramètres!$G$5:$G$57,0)),INDEX($E$1247:$E$1299,MATCH(Paramètres!L9,Paramètres!$G$5:$G$57,0)))+IF(RIGHT(TRIM(Paramètres!M9),3)="Fin",1-$H1251,IF(LEFT(TRIM(Paramètres!M9),1)="F",1,0)))),IF(Paramètres!N9="",0,IF(Paramètres!O9="",NA(),IF(LEFT(TRIM(Paramètres!O9),1)="F",INDEX($F$1247:$F$1299,MATCH(Paramètres!N9,Paramètres!$G$5:$G$57,0)),INDEX($E$1247:$E$1299,MATCH(Paramètres!N9,Paramètres!$G$5:$G$57,0)))+IF(RIGHT(TRIM(Paramètres!O9),3)="Fin",1-$H1251,IF(LEFT(TRIM(Paramètres!O9),1)="F",1,0)))))))</f>
        <v/>
      </c>
      <c r="F1251" s="19">
        <f>IF($A1251="","",E1251+$H1251-1)</f>
        <v/>
      </c>
      <c r="G1251" s="18" t="n"/>
      <c r="H1251" s="18">
        <f>IF($A1251="","",IF(I1251&lt;&gt;"",I1251,Paramètres!B9))</f>
        <v/>
      </c>
      <c r="I1251" s="18" t="n"/>
    </row>
    <row r="1252">
      <c r="A1252" s="18">
        <f>IF(ISNUMBER(Dossiers!$D$27),Dossiers!$A$27&amp;" · "&amp;Dossiers!$B$27,"")</f>
        <v/>
      </c>
      <c r="B1252" s="18">
        <f>IF($A1252="","",Paramètres!G10)</f>
        <v/>
      </c>
      <c r="C1252" s="18">
        <f>IF($A1252="","",IF(Paramètres!H10="","",Paramètres!H10))</f>
        <v/>
      </c>
      <c r="D1252" s="18">
        <f>IF($A1252="","",IF(Paramètres!I10="","",Paramètres!I10))</f>
        <v/>
      </c>
      <c r="E1252" s="19">
        <f>IF($A1252="","",MIN(E1253:E1256))</f>
        <v/>
      </c>
      <c r="F1252" s="19">
        <f>IF($A1252="","",MAX(F1253:F1256))</f>
        <v/>
      </c>
      <c r="G1252" s="18" t="n"/>
      <c r="H1252" s="18">
        <f>IF($A1252="","",F1252-E1252+1)</f>
        <v/>
      </c>
      <c r="I1252" s="18" t="n"/>
    </row>
    <row r="1253">
      <c r="A1253" s="18">
        <f>IF(ISNUMBER(Dossiers!$D$27),Dossiers!$A$27&amp;" · "&amp;Dossiers!$B$27,"")</f>
        <v/>
      </c>
      <c r="B1253" s="18">
        <f>IF($A1253="","",Paramètres!G11)</f>
        <v/>
      </c>
      <c r="C1253" s="18">
        <f>IF($A1253="","",IF(Paramètres!H11="","",Paramètres!H11))</f>
        <v/>
      </c>
      <c r="D1253" s="18">
        <f>IF($A1253="","",IF(Paramètres!I11="","",Paramètres!I11))</f>
        <v/>
      </c>
      <c r="E1253" s="19">
        <f>IF($A1253="","",IF(Paramètres!J11&amp;Paramètres!L11&amp;Paramètres!N11="",Dossiers!$D$27,MAX(IF(Paramètres!J11="",0,IF(Paramètres!K11="",NA(),IF(LEFT(TRIM(Paramètres!K11),1)="F",INDEX($F$1247:$F$1299,MATCH(Paramètres!J11,Paramètres!$G$5:$G$57,0)),INDEX($E$1247:$E$1299,MATCH(Paramètres!J11,Paramètres!$G$5:$G$57,0)))+IF(RIGHT(TRIM(Paramètres!K11),3)="Fin",1-$H1253,IF(LEFT(TRIM(Paramètres!K11),1)="F",1,0)))),IF(Paramètres!L11="",0,IF(Paramètres!M11="",NA(),IF(LEFT(TRIM(Paramètres!M11),1)="F",INDEX($F$1247:$F$1299,MATCH(Paramètres!L11,Paramètres!$G$5:$G$57,0)),INDEX($E$1247:$E$1299,MATCH(Paramètres!L11,Paramètres!$G$5:$G$57,0)))+IF(RIGHT(TRIM(Paramètres!M11),3)="Fin",1-$H1253,IF(LEFT(TRIM(Paramètres!M11),1)="F",1,0)))),IF(Paramètres!N11="",0,IF(Paramètres!O11="",NA(),IF(LEFT(TRIM(Paramètres!O11),1)="F",INDEX($F$1247:$F$1299,MATCH(Paramètres!N11,Paramètres!$G$5:$G$57,0)),INDEX($E$1247:$E$1299,MATCH(Paramètres!N11,Paramètres!$G$5:$G$57,0)))+IF(RIGHT(TRIM(Paramètres!O11),3)="Fin",1-$H1253,IF(LEFT(TRIM(Paramètres!O11),1)="F",1,0)))))))</f>
        <v/>
      </c>
      <c r="F1253" s="19">
        <f>IF($A1253="","",E1253+$H1253-1)</f>
        <v/>
      </c>
      <c r="G1253" s="18" t="n"/>
      <c r="H1253" s="18">
        <f>IF($A1253="","",IF(I1253&lt;&gt;"",I1253,Paramètres!B11))</f>
        <v/>
      </c>
      <c r="I1253" s="18" t="n"/>
    </row>
    <row r="1254">
      <c r="A1254" s="18">
        <f>IF(ISNUMBER(Dossiers!$D$27),Dossiers!$A$27&amp;" · "&amp;Dossiers!$B$27,"")</f>
        <v/>
      </c>
      <c r="B1254" s="18">
        <f>IF($A1254="","",Paramètres!G12)</f>
        <v/>
      </c>
      <c r="C1254" s="18">
        <f>IF($A1254="","",IF(Paramètres!H12="","",Paramètres!H12))</f>
        <v/>
      </c>
      <c r="D1254" s="18">
        <f>IF($A1254="","",IF(Paramètres!I12="","",Paramètres!I12))</f>
        <v/>
      </c>
      <c r="E1254" s="19">
        <f>IF($A1254="","",IF(Paramètres!J12&amp;Paramètres!L12&amp;Paramètres!N12="",Dossiers!$D$27,MAX(IF(Paramètres!J12="",0,IF(Paramètres!K12="",NA(),IF(LEFT(TRIM(Paramètres!K12),1)="F",INDEX($F$1247:$F$1299,MATCH(Paramètres!J12,Paramètres!$G$5:$G$57,0)),INDEX($E$1247:$E$1299,MATCH(Paramètres!J12,Paramètres!$G$5:$G$57,0)))+IF(RIGHT(TRIM(Paramètres!K12),3)="Fin",1-$H1254,IF(LEFT(TRIM(Paramètres!K12),1)="F",1,0)))),IF(Paramètres!L12="",0,IF(Paramètres!M12="",NA(),IF(LEFT(TRIM(Paramètres!M12),1)="F",INDEX($F$1247:$F$1299,MATCH(Paramètres!L12,Paramètres!$G$5:$G$57,0)),INDEX($E$1247:$E$1299,MATCH(Paramètres!L12,Paramètres!$G$5:$G$57,0)))+IF(RIGHT(TRIM(Paramètres!M12),3)="Fin",1-$H1254,IF(LEFT(TRIM(Paramètres!M12),1)="F",1,0)))),IF(Paramètres!N12="",0,IF(Paramètres!O12="",NA(),IF(LEFT(TRIM(Paramètres!O12),1)="F",INDEX($F$1247:$F$1299,MATCH(Paramètres!N12,Paramètres!$G$5:$G$57,0)),INDEX($E$1247:$E$1299,MATCH(Paramètres!N12,Paramètres!$G$5:$G$57,0)))+IF(RIGHT(TRIM(Paramètres!O12),3)="Fin",1-$H1254,IF(LEFT(TRIM(Paramètres!O12),1)="F",1,0)))))))</f>
        <v/>
      </c>
      <c r="F1254" s="19">
        <f>IF($A1254="","",E1254+$H1254-1)</f>
        <v/>
      </c>
      <c r="G1254" s="18" t="n"/>
      <c r="H1254" s="18">
        <f>IF($A1254="","",IF(I1254&lt;&gt;"",I1254,Paramètres!B12))</f>
        <v/>
      </c>
      <c r="I1254" s="18" t="n"/>
    </row>
    <row r="1255">
      <c r="A1255" s="18">
        <f>IF(ISNUMBER(Dossiers!$D$27),Dossiers!$A$27&amp;" · "&amp;Dossiers!$B$27,"")</f>
        <v/>
      </c>
      <c r="B1255" s="18">
        <f>IF($A1255="","",Paramètres!G13)</f>
        <v/>
      </c>
      <c r="C1255" s="18">
        <f>IF($A1255="","",IF(Paramètres!H13="","",Paramètres!H13))</f>
        <v/>
      </c>
      <c r="D1255" s="18">
        <f>IF($A1255="","",IF(Paramètres!I13="","",Paramètres!I13))</f>
        <v/>
      </c>
      <c r="E1255" s="19">
        <f>IF($A1255="","",IF(Paramètres!J13&amp;Paramètres!L13&amp;Paramètres!N13="",Dossiers!$D$27,MAX(IF(Paramètres!J13="",0,IF(Paramètres!K13="",NA(),IF(LEFT(TRIM(Paramètres!K13),1)="F",INDEX($F$1247:$F$1299,MATCH(Paramètres!J13,Paramètres!$G$5:$G$57,0)),INDEX($E$1247:$E$1299,MATCH(Paramètres!J13,Paramètres!$G$5:$G$57,0)))+IF(RIGHT(TRIM(Paramètres!K13),3)="Fin",1-$H1255,IF(LEFT(TRIM(Paramètres!K13),1)="F",1,0)))),IF(Paramètres!L13="",0,IF(Paramètres!M13="",NA(),IF(LEFT(TRIM(Paramètres!M13),1)="F",INDEX($F$1247:$F$1299,MATCH(Paramètres!L13,Paramètres!$G$5:$G$57,0)),INDEX($E$1247:$E$1299,MATCH(Paramètres!L13,Paramètres!$G$5:$G$57,0)))+IF(RIGHT(TRIM(Paramètres!M13),3)="Fin",1-$H1255,IF(LEFT(TRIM(Paramètres!M13),1)="F",1,0)))),IF(Paramètres!N13="",0,IF(Paramètres!O13="",NA(),IF(LEFT(TRIM(Paramètres!O13),1)="F",INDEX($F$1247:$F$1299,MATCH(Paramètres!N13,Paramètres!$G$5:$G$57,0)),INDEX($E$1247:$E$1299,MATCH(Paramètres!N13,Paramètres!$G$5:$G$57,0)))+IF(RIGHT(TRIM(Paramètres!O13),3)="Fin",1-$H1255,IF(LEFT(TRIM(Paramètres!O13),1)="F",1,0)))))))</f>
        <v/>
      </c>
      <c r="F1255" s="19">
        <f>IF($A1255="","",E1255+$H1255-1)</f>
        <v/>
      </c>
      <c r="G1255" s="18" t="n"/>
      <c r="H1255" s="18">
        <f>IF($A1255="","",IF(I1255&lt;&gt;"",I1255,Paramètres!B13))</f>
        <v/>
      </c>
      <c r="I1255" s="18" t="n"/>
    </row>
    <row r="1256">
      <c r="A1256" s="18">
        <f>IF(ISNUMBER(Dossiers!$D$27),Dossiers!$A$27&amp;" · "&amp;Dossiers!$B$27,"")</f>
        <v/>
      </c>
      <c r="B1256" s="18">
        <f>IF($A1256="","",Paramètres!G14)</f>
        <v/>
      </c>
      <c r="C1256" s="18">
        <f>IF($A1256="","",IF(Paramètres!H14="","",Paramètres!H14))</f>
        <v/>
      </c>
      <c r="D1256" s="18">
        <f>IF($A1256="","",IF(Paramètres!I14="","",Paramètres!I14))</f>
        <v/>
      </c>
      <c r="E1256" s="19">
        <f>IF($A1256="","",IF(Paramètres!J14&amp;Paramètres!L14&amp;Paramètres!N14="",Dossiers!$D$27,MAX(IF(Paramètres!J14="",0,IF(Paramètres!K14="",NA(),IF(LEFT(TRIM(Paramètres!K14),1)="F",INDEX($F$1247:$F$1299,MATCH(Paramètres!J14,Paramètres!$G$5:$G$57,0)),INDEX($E$1247:$E$1299,MATCH(Paramètres!J14,Paramètres!$G$5:$G$57,0)))+IF(RIGHT(TRIM(Paramètres!K14),3)="Fin",1-$H1256,IF(LEFT(TRIM(Paramètres!K14),1)="F",1,0)))),IF(Paramètres!L14="",0,IF(Paramètres!M14="",NA(),IF(LEFT(TRIM(Paramètres!M14),1)="F",INDEX($F$1247:$F$1299,MATCH(Paramètres!L14,Paramètres!$G$5:$G$57,0)),INDEX($E$1247:$E$1299,MATCH(Paramètres!L14,Paramètres!$G$5:$G$57,0)))+IF(RIGHT(TRIM(Paramètres!M14),3)="Fin",1-$H1256,IF(LEFT(TRIM(Paramètres!M14),1)="F",1,0)))),IF(Paramètres!N14="",0,IF(Paramètres!O14="",NA(),IF(LEFT(TRIM(Paramètres!O14),1)="F",INDEX($F$1247:$F$1299,MATCH(Paramètres!N14,Paramètres!$G$5:$G$57,0)),INDEX($E$1247:$E$1299,MATCH(Paramètres!N14,Paramètres!$G$5:$G$57,0)))+IF(RIGHT(TRIM(Paramètres!O14),3)="Fin",1-$H1256,IF(LEFT(TRIM(Paramètres!O14),1)="F",1,0)))))))</f>
        <v/>
      </c>
      <c r="F1256" s="19">
        <f>IF($A1256="","",E1256+$H1256-1)</f>
        <v/>
      </c>
      <c r="G1256" s="18" t="n"/>
      <c r="H1256" s="18">
        <f>IF($A1256="","",IF(I1256&lt;&gt;"",I1256,Paramètres!B14))</f>
        <v/>
      </c>
      <c r="I1256" s="18" t="n"/>
    </row>
    <row r="1257">
      <c r="A1257" s="18">
        <f>IF(ISNUMBER(Dossiers!$D$27),Dossiers!$A$27&amp;" · "&amp;Dossiers!$B$27,"")</f>
        <v/>
      </c>
      <c r="B1257" s="18">
        <f>IF($A1257="","",Paramètres!G15)</f>
        <v/>
      </c>
      <c r="C1257" s="18">
        <f>IF($A1257="","",IF(Paramètres!H15="","",Paramètres!H15))</f>
        <v/>
      </c>
      <c r="D1257" s="18">
        <f>IF($A1257="","",IF(Paramètres!I15="","",Paramètres!I15))</f>
        <v/>
      </c>
      <c r="E1257" s="19">
        <f>IF($A1257="","",MIN(E1258:E1273))</f>
        <v/>
      </c>
      <c r="F1257" s="19">
        <f>IF($A1257="","",MAX(F1258:F1273))</f>
        <v/>
      </c>
      <c r="G1257" s="18" t="n"/>
      <c r="H1257" s="18">
        <f>IF($A1257="","",F1257-E1257+1)</f>
        <v/>
      </c>
      <c r="I1257" s="18" t="n"/>
    </row>
    <row r="1258">
      <c r="A1258" s="18">
        <f>IF(ISNUMBER(Dossiers!$D$27),Dossiers!$A$27&amp;" · "&amp;Dossiers!$B$27,"")</f>
        <v/>
      </c>
      <c r="B1258" s="18">
        <f>IF($A1258="","",Paramètres!G16)</f>
        <v/>
      </c>
      <c r="C1258" s="18">
        <f>IF($A1258="","",IF(Paramètres!H16="","",Paramètres!H16))</f>
        <v/>
      </c>
      <c r="D1258" s="18">
        <f>IF($A1258="","",IF(Paramètres!I16="","",Paramètres!I16))</f>
        <v/>
      </c>
      <c r="E1258" s="19">
        <f>IF($A1258="","",IF(Paramètres!J16&amp;Paramètres!L16&amp;Paramètres!N16="",Dossiers!$D$27,MAX(IF(Paramètres!J16="",0,IF(Paramètres!K16="",NA(),IF(LEFT(TRIM(Paramètres!K16),1)="F",INDEX($F$1247:$F$1299,MATCH(Paramètres!J16,Paramètres!$G$5:$G$57,0)),INDEX($E$1247:$E$1299,MATCH(Paramètres!J16,Paramètres!$G$5:$G$57,0)))+IF(RIGHT(TRIM(Paramètres!K16),3)="Fin",1-$H1258,IF(LEFT(TRIM(Paramètres!K16),1)="F",1,0)))),IF(Paramètres!L16="",0,IF(Paramètres!M16="",NA(),IF(LEFT(TRIM(Paramètres!M16),1)="F",INDEX($F$1247:$F$1299,MATCH(Paramètres!L16,Paramètres!$G$5:$G$57,0)),INDEX($E$1247:$E$1299,MATCH(Paramètres!L16,Paramètres!$G$5:$G$57,0)))+IF(RIGHT(TRIM(Paramètres!M16),3)="Fin",1-$H1258,IF(LEFT(TRIM(Paramètres!M16),1)="F",1,0)))),IF(Paramètres!N16="",0,IF(Paramètres!O16="",NA(),IF(LEFT(TRIM(Paramètres!O16),1)="F",INDEX($F$1247:$F$1299,MATCH(Paramètres!N16,Paramètres!$G$5:$G$57,0)),INDEX($E$1247:$E$1299,MATCH(Paramètres!N16,Paramètres!$G$5:$G$57,0)))+IF(RIGHT(TRIM(Paramètres!O16),3)="Fin",1-$H1258,IF(LEFT(TRIM(Paramètres!O16),1)="F",1,0)))))))</f>
        <v/>
      </c>
      <c r="F1258" s="19">
        <f>IF($A1258="","",E1258+$H1258-1)</f>
        <v/>
      </c>
      <c r="G1258" s="18" t="n"/>
      <c r="H1258" s="18">
        <f>IF($A1258="","",IF(I1258&lt;&gt;"",I1258,Paramètres!B16))</f>
        <v/>
      </c>
      <c r="I1258" s="18" t="n"/>
    </row>
    <row r="1259">
      <c r="A1259" s="18">
        <f>IF(ISNUMBER(Dossiers!$D$27),Dossiers!$A$27&amp;" · "&amp;Dossiers!$B$27,"")</f>
        <v/>
      </c>
      <c r="B1259" s="18">
        <f>IF($A1259="","",Paramètres!G17)</f>
        <v/>
      </c>
      <c r="C1259" s="18">
        <f>IF($A1259="","",IF(Paramètres!H17="","",Paramètres!H17))</f>
        <v/>
      </c>
      <c r="D1259" s="18">
        <f>IF($A1259="","",IF(Paramètres!I17="","",Paramètres!I17))</f>
        <v/>
      </c>
      <c r="E1259" s="19">
        <f>IF($A1259="","",IF(Paramètres!J17&amp;Paramètres!L17&amp;Paramètres!N17="",Dossiers!$D$27,MAX(IF(Paramètres!J17="",0,IF(Paramètres!K17="",NA(),IF(LEFT(TRIM(Paramètres!K17),1)="F",INDEX($F$1247:$F$1299,MATCH(Paramètres!J17,Paramètres!$G$5:$G$57,0)),INDEX($E$1247:$E$1299,MATCH(Paramètres!J17,Paramètres!$G$5:$G$57,0)))+IF(RIGHT(TRIM(Paramètres!K17),3)="Fin",1-$H1259,IF(LEFT(TRIM(Paramètres!K17),1)="F",1,0)))),IF(Paramètres!L17="",0,IF(Paramètres!M17="",NA(),IF(LEFT(TRIM(Paramètres!M17),1)="F",INDEX($F$1247:$F$1299,MATCH(Paramètres!L17,Paramètres!$G$5:$G$57,0)),INDEX($E$1247:$E$1299,MATCH(Paramètres!L17,Paramètres!$G$5:$G$57,0)))+IF(RIGHT(TRIM(Paramètres!M17),3)="Fin",1-$H1259,IF(LEFT(TRIM(Paramètres!M17),1)="F",1,0)))),IF(Paramètres!N17="",0,IF(Paramètres!O17="",NA(),IF(LEFT(TRIM(Paramètres!O17),1)="F",INDEX($F$1247:$F$1299,MATCH(Paramètres!N17,Paramètres!$G$5:$G$57,0)),INDEX($E$1247:$E$1299,MATCH(Paramètres!N17,Paramètres!$G$5:$G$57,0)))+IF(RIGHT(TRIM(Paramètres!O17),3)="Fin",1-$H1259,IF(LEFT(TRIM(Paramètres!O17),1)="F",1,0)))))))</f>
        <v/>
      </c>
      <c r="F1259" s="19">
        <f>IF($A1259="","",E1259+$H1259-1)</f>
        <v/>
      </c>
      <c r="G1259" s="18" t="n"/>
      <c r="H1259" s="18">
        <f>IF($A1259="","",IF(I1259&lt;&gt;"",I1259,Paramètres!B17))</f>
        <v/>
      </c>
      <c r="I1259" s="18" t="n"/>
    </row>
    <row r="1260">
      <c r="A1260" s="18">
        <f>IF(ISNUMBER(Dossiers!$D$27),Dossiers!$A$27&amp;" · "&amp;Dossiers!$B$27,"")</f>
        <v/>
      </c>
      <c r="B1260" s="18">
        <f>IF($A1260="","",Paramètres!G18)</f>
        <v/>
      </c>
      <c r="C1260" s="18">
        <f>IF($A1260="","",IF(Paramètres!H18="","",Paramètres!H18))</f>
        <v/>
      </c>
      <c r="D1260" s="18">
        <f>IF($A1260="","",IF(Paramètres!I18="","",Paramètres!I18))</f>
        <v/>
      </c>
      <c r="E1260" s="19">
        <f>IF($A1260="","",IF(Paramètres!J18&amp;Paramètres!L18&amp;Paramètres!N18="",Dossiers!$D$27,MAX(IF(Paramètres!J18="",0,IF(Paramètres!K18="",NA(),IF(LEFT(TRIM(Paramètres!K18),1)="F",INDEX($F$1247:$F$1299,MATCH(Paramètres!J18,Paramètres!$G$5:$G$57,0)),INDEX($E$1247:$E$1299,MATCH(Paramètres!J18,Paramètres!$G$5:$G$57,0)))+IF(RIGHT(TRIM(Paramètres!K18),3)="Fin",1-$H1260,IF(LEFT(TRIM(Paramètres!K18),1)="F",1,0)))),IF(Paramètres!L18="",0,IF(Paramètres!M18="",NA(),IF(LEFT(TRIM(Paramètres!M18),1)="F",INDEX($F$1247:$F$1299,MATCH(Paramètres!L18,Paramètres!$G$5:$G$57,0)),INDEX($E$1247:$E$1299,MATCH(Paramètres!L18,Paramètres!$G$5:$G$57,0)))+IF(RIGHT(TRIM(Paramètres!M18),3)="Fin",1-$H1260,IF(LEFT(TRIM(Paramètres!M18),1)="F",1,0)))),IF(Paramètres!N18="",0,IF(Paramètres!O18="",NA(),IF(LEFT(TRIM(Paramètres!O18),1)="F",INDEX($F$1247:$F$1299,MATCH(Paramètres!N18,Paramètres!$G$5:$G$57,0)),INDEX($E$1247:$E$1299,MATCH(Paramètres!N18,Paramètres!$G$5:$G$57,0)))+IF(RIGHT(TRIM(Paramètres!O18),3)="Fin",1-$H1260,IF(LEFT(TRIM(Paramètres!O18),1)="F",1,0)))))))</f>
        <v/>
      </c>
      <c r="F1260" s="19">
        <f>IF($A1260="","",E1260+$H1260-1)</f>
        <v/>
      </c>
      <c r="G1260" s="18" t="n"/>
      <c r="H1260" s="18">
        <f>IF($A1260="","",IF(I1260&lt;&gt;"",I1260,Paramètres!B18))</f>
        <v/>
      </c>
      <c r="I1260" s="18" t="n"/>
    </row>
    <row r="1261">
      <c r="A1261" s="18">
        <f>IF(ISNUMBER(Dossiers!$D$27),Dossiers!$A$27&amp;" · "&amp;Dossiers!$B$27,"")</f>
        <v/>
      </c>
      <c r="B1261" s="18">
        <f>IF($A1261="","",Paramètres!G19)</f>
        <v/>
      </c>
      <c r="C1261" s="18">
        <f>IF($A1261="","",IF(Paramètres!H19="","",Paramètres!H19))</f>
        <v/>
      </c>
      <c r="D1261" s="18">
        <f>IF($A1261="","",IF(Paramètres!I19="","",Paramètres!I19))</f>
        <v/>
      </c>
      <c r="E1261" s="19">
        <f>IF($A1261="","",IF(Paramètres!J19&amp;Paramètres!L19&amp;Paramètres!N19="",Dossiers!$D$27,MAX(IF(Paramètres!J19="",0,IF(Paramètres!K19="",NA(),IF(LEFT(TRIM(Paramètres!K19),1)="F",INDEX($F$1247:$F$1299,MATCH(Paramètres!J19,Paramètres!$G$5:$G$57,0)),INDEX($E$1247:$E$1299,MATCH(Paramètres!J19,Paramètres!$G$5:$G$57,0)))+IF(RIGHT(TRIM(Paramètres!K19),3)="Fin",1-$H1261,IF(LEFT(TRIM(Paramètres!K19),1)="F",1,0)))),IF(Paramètres!L19="",0,IF(Paramètres!M19="",NA(),IF(LEFT(TRIM(Paramètres!M19),1)="F",INDEX($F$1247:$F$1299,MATCH(Paramètres!L19,Paramètres!$G$5:$G$57,0)),INDEX($E$1247:$E$1299,MATCH(Paramètres!L19,Paramètres!$G$5:$G$57,0)))+IF(RIGHT(TRIM(Paramètres!M19),3)="Fin",1-$H1261,IF(LEFT(TRIM(Paramètres!M19),1)="F",1,0)))),IF(Paramètres!N19="",0,IF(Paramètres!O19="",NA(),IF(LEFT(TRIM(Paramètres!O19),1)="F",INDEX($F$1247:$F$1299,MATCH(Paramètres!N19,Paramètres!$G$5:$G$57,0)),INDEX($E$1247:$E$1299,MATCH(Paramètres!N19,Paramètres!$G$5:$G$57,0)))+IF(RIGHT(TRIM(Paramètres!O19),3)="Fin",1-$H1261,IF(LEFT(TRIM(Paramètres!O19),1)="F",1,0)))))))</f>
        <v/>
      </c>
      <c r="F1261" s="19">
        <f>IF($A1261="","",E1261+$H1261-1)</f>
        <v/>
      </c>
      <c r="G1261" s="18" t="n"/>
      <c r="H1261" s="18">
        <f>IF($A1261="","",IF(I1261&lt;&gt;"",I1261,Paramètres!B19))</f>
        <v/>
      </c>
      <c r="I1261" s="18" t="n"/>
    </row>
    <row r="1262">
      <c r="A1262" s="18">
        <f>IF(ISNUMBER(Dossiers!$D$27),Dossiers!$A$27&amp;" · "&amp;Dossiers!$B$27,"")</f>
        <v/>
      </c>
      <c r="B1262" s="18">
        <f>IF($A1262="","",Paramètres!G20)</f>
        <v/>
      </c>
      <c r="C1262" s="18">
        <f>IF($A1262="","",IF(Paramètres!H20="","",Paramètres!H20))</f>
        <v/>
      </c>
      <c r="D1262" s="18">
        <f>IF($A1262="","",IF(Paramètres!I20="","",Paramètres!I20))</f>
        <v/>
      </c>
      <c r="E1262" s="19">
        <f>IF($A1262="","",IF(Paramètres!J20&amp;Paramètres!L20&amp;Paramètres!N20="",Dossiers!$D$27,MAX(IF(Paramètres!J20="",0,IF(Paramètres!K20="",NA(),IF(LEFT(TRIM(Paramètres!K20),1)="F",INDEX($F$1247:$F$1299,MATCH(Paramètres!J20,Paramètres!$G$5:$G$57,0)),INDEX($E$1247:$E$1299,MATCH(Paramètres!J20,Paramètres!$G$5:$G$57,0)))+IF(RIGHT(TRIM(Paramètres!K20),3)="Fin",1-$H1262,IF(LEFT(TRIM(Paramètres!K20),1)="F",1,0)))),IF(Paramètres!L20="",0,IF(Paramètres!M20="",NA(),IF(LEFT(TRIM(Paramètres!M20),1)="F",INDEX($F$1247:$F$1299,MATCH(Paramètres!L20,Paramètres!$G$5:$G$57,0)),INDEX($E$1247:$E$1299,MATCH(Paramètres!L20,Paramètres!$G$5:$G$57,0)))+IF(RIGHT(TRIM(Paramètres!M20),3)="Fin",1-$H1262,IF(LEFT(TRIM(Paramètres!M20),1)="F",1,0)))),IF(Paramètres!N20="",0,IF(Paramètres!O20="",NA(),IF(LEFT(TRIM(Paramètres!O20),1)="F",INDEX($F$1247:$F$1299,MATCH(Paramètres!N20,Paramètres!$G$5:$G$57,0)),INDEX($E$1247:$E$1299,MATCH(Paramètres!N20,Paramètres!$G$5:$G$57,0)))+IF(RIGHT(TRIM(Paramètres!O20),3)="Fin",1-$H1262,IF(LEFT(TRIM(Paramètres!O20),1)="F",1,0)))))))</f>
        <v/>
      </c>
      <c r="F1262" s="19">
        <f>IF($A1262="","",E1262+$H1262-1)</f>
        <v/>
      </c>
      <c r="G1262" s="18" t="n"/>
      <c r="H1262" s="18">
        <f>IF($A1262="","",IF(I1262&lt;&gt;"",I1262,Paramètres!B20))</f>
        <v/>
      </c>
      <c r="I1262" s="18" t="n"/>
    </row>
    <row r="1263">
      <c r="A1263" s="18">
        <f>IF(ISNUMBER(Dossiers!$D$27),Dossiers!$A$27&amp;" · "&amp;Dossiers!$B$27,"")</f>
        <v/>
      </c>
      <c r="B1263" s="18">
        <f>IF($A1263="","",Paramètres!G21)</f>
        <v/>
      </c>
      <c r="C1263" s="18">
        <f>IF($A1263="","",IF(Paramètres!H21="","",Paramètres!H21))</f>
        <v/>
      </c>
      <c r="D1263" s="18">
        <f>IF($A1263="","",IF(Paramètres!I21="","",Paramètres!I21))</f>
        <v/>
      </c>
      <c r="E1263" s="19">
        <f>IF($A1263="","",IF(Paramètres!J21&amp;Paramètres!L21&amp;Paramètres!N21="",Dossiers!$D$27,MAX(IF(Paramètres!J21="",0,IF(Paramètres!K21="",NA(),IF(LEFT(TRIM(Paramètres!K21),1)="F",INDEX($F$1247:$F$1299,MATCH(Paramètres!J21,Paramètres!$G$5:$G$57,0)),INDEX($E$1247:$E$1299,MATCH(Paramètres!J21,Paramètres!$G$5:$G$57,0)))+IF(RIGHT(TRIM(Paramètres!K21),3)="Fin",1-$H1263,IF(LEFT(TRIM(Paramètres!K21),1)="F",1,0)))),IF(Paramètres!L21="",0,IF(Paramètres!M21="",NA(),IF(LEFT(TRIM(Paramètres!M21),1)="F",INDEX($F$1247:$F$1299,MATCH(Paramètres!L21,Paramètres!$G$5:$G$57,0)),INDEX($E$1247:$E$1299,MATCH(Paramètres!L21,Paramètres!$G$5:$G$57,0)))+IF(RIGHT(TRIM(Paramètres!M21),3)="Fin",1-$H1263,IF(LEFT(TRIM(Paramètres!M21),1)="F",1,0)))),IF(Paramètres!N21="",0,IF(Paramètres!O21="",NA(),IF(LEFT(TRIM(Paramètres!O21),1)="F",INDEX($F$1247:$F$1299,MATCH(Paramètres!N21,Paramètres!$G$5:$G$57,0)),INDEX($E$1247:$E$1299,MATCH(Paramètres!N21,Paramètres!$G$5:$G$57,0)))+IF(RIGHT(TRIM(Paramètres!O21),3)="Fin",1-$H1263,IF(LEFT(TRIM(Paramètres!O21),1)="F",1,0)))))))</f>
        <v/>
      </c>
      <c r="F1263" s="19">
        <f>IF($A1263="","",E1263+$H1263-1)</f>
        <v/>
      </c>
      <c r="G1263" s="18" t="n"/>
      <c r="H1263" s="18">
        <f>IF($A1263="","",IF(I1263&lt;&gt;"",I1263,Paramètres!B21))</f>
        <v/>
      </c>
      <c r="I1263" s="18" t="n"/>
    </row>
    <row r="1264">
      <c r="A1264" s="18">
        <f>IF(ISNUMBER(Dossiers!$D$27),Dossiers!$A$27&amp;" · "&amp;Dossiers!$B$27,"")</f>
        <v/>
      </c>
      <c r="B1264" s="18">
        <f>IF($A1264="","",Paramètres!G22)</f>
        <v/>
      </c>
      <c r="C1264" s="18">
        <f>IF($A1264="","",IF(Paramètres!H22="","",Paramètres!H22))</f>
        <v/>
      </c>
      <c r="D1264" s="18">
        <f>IF($A1264="","",IF(Paramètres!I22="","",Paramètres!I22))</f>
        <v/>
      </c>
      <c r="E1264" s="19">
        <f>IF($A1264="","",IF(Paramètres!J22&amp;Paramètres!L22&amp;Paramètres!N22="",Dossiers!$D$27,MAX(IF(Paramètres!J22="",0,IF(Paramètres!K22="",NA(),IF(LEFT(TRIM(Paramètres!K22),1)="F",INDEX($F$1247:$F$1299,MATCH(Paramètres!J22,Paramètres!$G$5:$G$57,0)),INDEX($E$1247:$E$1299,MATCH(Paramètres!J22,Paramètres!$G$5:$G$57,0)))+IF(RIGHT(TRIM(Paramètres!K22),3)="Fin",1-$H1264,IF(LEFT(TRIM(Paramètres!K22),1)="F",1,0)))),IF(Paramètres!L22="",0,IF(Paramètres!M22="",NA(),IF(LEFT(TRIM(Paramètres!M22),1)="F",INDEX($F$1247:$F$1299,MATCH(Paramètres!L22,Paramètres!$G$5:$G$57,0)),INDEX($E$1247:$E$1299,MATCH(Paramètres!L22,Paramètres!$G$5:$G$57,0)))+IF(RIGHT(TRIM(Paramètres!M22),3)="Fin",1-$H1264,IF(LEFT(TRIM(Paramètres!M22),1)="F",1,0)))),IF(Paramètres!N22="",0,IF(Paramètres!O22="",NA(),IF(LEFT(TRIM(Paramètres!O22),1)="F",INDEX($F$1247:$F$1299,MATCH(Paramètres!N22,Paramètres!$G$5:$G$57,0)),INDEX($E$1247:$E$1299,MATCH(Paramètres!N22,Paramètres!$G$5:$G$57,0)))+IF(RIGHT(TRIM(Paramètres!O22),3)="Fin",1-$H1264,IF(LEFT(TRIM(Paramètres!O22),1)="F",1,0)))))))</f>
        <v/>
      </c>
      <c r="F1264" s="19">
        <f>IF($A1264="","",E1264+$H1264-1)</f>
        <v/>
      </c>
      <c r="G1264" s="18" t="n"/>
      <c r="H1264" s="18">
        <f>IF($A1264="","",IF(I1264&lt;&gt;"",I1264,Paramètres!B22))</f>
        <v/>
      </c>
      <c r="I1264" s="18" t="n"/>
    </row>
    <row r="1265">
      <c r="A1265" s="18">
        <f>IF(ISNUMBER(Dossiers!$D$27),Dossiers!$A$27&amp;" · "&amp;Dossiers!$B$27,"")</f>
        <v/>
      </c>
      <c r="B1265" s="18">
        <f>IF($A1265="","",Paramètres!G23)</f>
        <v/>
      </c>
      <c r="C1265" s="18">
        <f>IF($A1265="","",IF(Paramètres!H23="","",Paramètres!H23))</f>
        <v/>
      </c>
      <c r="D1265" s="18">
        <f>IF($A1265="","",IF(Paramètres!I23="","",Paramètres!I23))</f>
        <v/>
      </c>
      <c r="E1265" s="19">
        <f>IF($A1265="","",IF(Paramètres!J23&amp;Paramètres!L23&amp;Paramètres!N23="",Dossiers!$D$27,MAX(IF(Paramètres!J23="",0,IF(Paramètres!K23="",NA(),IF(LEFT(TRIM(Paramètres!K23),1)="F",INDEX($F$1247:$F$1299,MATCH(Paramètres!J23,Paramètres!$G$5:$G$57,0)),INDEX($E$1247:$E$1299,MATCH(Paramètres!J23,Paramètres!$G$5:$G$57,0)))+IF(RIGHT(TRIM(Paramètres!K23),3)="Fin",1-$H1265,IF(LEFT(TRIM(Paramètres!K23),1)="F",1,0)))),IF(Paramètres!L23="",0,IF(Paramètres!M23="",NA(),IF(LEFT(TRIM(Paramètres!M23),1)="F",INDEX($F$1247:$F$1299,MATCH(Paramètres!L23,Paramètres!$G$5:$G$57,0)),INDEX($E$1247:$E$1299,MATCH(Paramètres!L23,Paramètres!$G$5:$G$57,0)))+IF(RIGHT(TRIM(Paramètres!M23),3)="Fin",1-$H1265,IF(LEFT(TRIM(Paramètres!M23),1)="F",1,0)))),IF(Paramètres!N23="",0,IF(Paramètres!O23="",NA(),IF(LEFT(TRIM(Paramètres!O23),1)="F",INDEX($F$1247:$F$1299,MATCH(Paramètres!N23,Paramètres!$G$5:$G$57,0)),INDEX($E$1247:$E$1299,MATCH(Paramètres!N23,Paramètres!$G$5:$G$57,0)))+IF(RIGHT(TRIM(Paramètres!O23),3)="Fin",1-$H1265,IF(LEFT(TRIM(Paramètres!O23),1)="F",1,0)))))))</f>
        <v/>
      </c>
      <c r="F1265" s="19">
        <f>IF($A1265="","",E1265+$H1265-1)</f>
        <v/>
      </c>
      <c r="G1265" s="18" t="n"/>
      <c r="H1265" s="18">
        <f>IF($A1265="","",IF(I1265&lt;&gt;"",I1265,Paramètres!B23))</f>
        <v/>
      </c>
      <c r="I1265" s="18" t="n"/>
    </row>
    <row r="1266">
      <c r="A1266" s="18">
        <f>IF(ISNUMBER(Dossiers!$D$27),Dossiers!$A$27&amp;" · "&amp;Dossiers!$B$27,"")</f>
        <v/>
      </c>
      <c r="B1266" s="18">
        <f>IF($A1266="","",Paramètres!G24)</f>
        <v/>
      </c>
      <c r="C1266" s="18">
        <f>IF($A1266="","",IF(Paramètres!H24="","",Paramètres!H24))</f>
        <v/>
      </c>
      <c r="D1266" s="18">
        <f>IF($A1266="","",IF(Paramètres!I24="","",Paramètres!I24))</f>
        <v/>
      </c>
      <c r="E1266" s="19">
        <f>IF($A1266="","",IF(Paramètres!J24&amp;Paramètres!L24&amp;Paramètres!N24="",Dossiers!$D$27,MAX(IF(Paramètres!J24="",0,IF(Paramètres!K24="",NA(),IF(LEFT(TRIM(Paramètres!K24),1)="F",INDEX($F$1247:$F$1299,MATCH(Paramètres!J24,Paramètres!$G$5:$G$57,0)),INDEX($E$1247:$E$1299,MATCH(Paramètres!J24,Paramètres!$G$5:$G$57,0)))+IF(RIGHT(TRIM(Paramètres!K24),3)="Fin",1-$H1266,IF(LEFT(TRIM(Paramètres!K24),1)="F",1,0)))),IF(Paramètres!L24="",0,IF(Paramètres!M24="",NA(),IF(LEFT(TRIM(Paramètres!M24),1)="F",INDEX($F$1247:$F$1299,MATCH(Paramètres!L24,Paramètres!$G$5:$G$57,0)),INDEX($E$1247:$E$1299,MATCH(Paramètres!L24,Paramètres!$G$5:$G$57,0)))+IF(RIGHT(TRIM(Paramètres!M24),3)="Fin",1-$H1266,IF(LEFT(TRIM(Paramètres!M24),1)="F",1,0)))),IF(Paramètres!N24="",0,IF(Paramètres!O24="",NA(),IF(LEFT(TRIM(Paramètres!O24),1)="F",INDEX($F$1247:$F$1299,MATCH(Paramètres!N24,Paramètres!$G$5:$G$57,0)),INDEX($E$1247:$E$1299,MATCH(Paramètres!N24,Paramètres!$G$5:$G$57,0)))+IF(RIGHT(TRIM(Paramètres!O24),3)="Fin",1-$H1266,IF(LEFT(TRIM(Paramètres!O24),1)="F",1,0)))))))</f>
        <v/>
      </c>
      <c r="F1266" s="19">
        <f>IF($A1266="","",E1266+$H1266-1)</f>
        <v/>
      </c>
      <c r="G1266" s="18" t="n"/>
      <c r="H1266" s="18">
        <f>IF($A1266="","",IF(I1266&lt;&gt;"",I1266,Paramètres!B24))</f>
        <v/>
      </c>
      <c r="I1266" s="18" t="n"/>
    </row>
    <row r="1267">
      <c r="A1267" s="18">
        <f>IF(ISNUMBER(Dossiers!$D$27),Dossiers!$A$27&amp;" · "&amp;Dossiers!$B$27,"")</f>
        <v/>
      </c>
      <c r="B1267" s="18">
        <f>IF($A1267="","",Paramètres!G25)</f>
        <v/>
      </c>
      <c r="C1267" s="18">
        <f>IF($A1267="","",IF(Paramètres!H25="","",Paramètres!H25))</f>
        <v/>
      </c>
      <c r="D1267" s="18">
        <f>IF($A1267="","",IF(Paramètres!I25="","",Paramètres!I25))</f>
        <v/>
      </c>
      <c r="E1267" s="19">
        <f>IF($A1267="","",IF(Paramètres!J25&amp;Paramètres!L25&amp;Paramètres!N25="",Dossiers!$D$27,MAX(IF(Paramètres!J25="",0,IF(Paramètres!K25="",NA(),IF(LEFT(TRIM(Paramètres!K25),1)="F",INDEX($F$1247:$F$1299,MATCH(Paramètres!J25,Paramètres!$G$5:$G$57,0)),INDEX($E$1247:$E$1299,MATCH(Paramètres!J25,Paramètres!$G$5:$G$57,0)))+IF(RIGHT(TRIM(Paramètres!K25),3)="Fin",1-$H1267,IF(LEFT(TRIM(Paramètres!K25),1)="F",1,0)))),IF(Paramètres!L25="",0,IF(Paramètres!M25="",NA(),IF(LEFT(TRIM(Paramètres!M25),1)="F",INDEX($F$1247:$F$1299,MATCH(Paramètres!L25,Paramètres!$G$5:$G$57,0)),INDEX($E$1247:$E$1299,MATCH(Paramètres!L25,Paramètres!$G$5:$G$57,0)))+IF(RIGHT(TRIM(Paramètres!M25),3)="Fin",1-$H1267,IF(LEFT(TRIM(Paramètres!M25),1)="F",1,0)))),IF(Paramètres!N25="",0,IF(Paramètres!O25="",NA(),IF(LEFT(TRIM(Paramètres!O25),1)="F",INDEX($F$1247:$F$1299,MATCH(Paramètres!N25,Paramètres!$G$5:$G$57,0)),INDEX($E$1247:$E$1299,MATCH(Paramètres!N25,Paramètres!$G$5:$G$57,0)))+IF(RIGHT(TRIM(Paramètres!O25),3)="Fin",1-$H1267,IF(LEFT(TRIM(Paramètres!O25),1)="F",1,0)))))))</f>
        <v/>
      </c>
      <c r="F1267" s="19">
        <f>IF($A1267="","",E1267+$H1267-1)</f>
        <v/>
      </c>
      <c r="G1267" s="18" t="n"/>
      <c r="H1267" s="18">
        <f>IF($A1267="","",IF(I1267&lt;&gt;"",I1267,Paramètres!B25))</f>
        <v/>
      </c>
      <c r="I1267" s="18" t="n"/>
    </row>
    <row r="1268">
      <c r="A1268" s="18">
        <f>IF(ISNUMBER(Dossiers!$D$27),Dossiers!$A$27&amp;" · "&amp;Dossiers!$B$27,"")</f>
        <v/>
      </c>
      <c r="B1268" s="18">
        <f>IF($A1268="","",Paramètres!G26)</f>
        <v/>
      </c>
      <c r="C1268" s="18">
        <f>IF($A1268="","",IF(Paramètres!H26="","",Paramètres!H26))</f>
        <v/>
      </c>
      <c r="D1268" s="18">
        <f>IF($A1268="","",IF(Paramètres!I26="","",Paramètres!I26))</f>
        <v/>
      </c>
      <c r="E1268" s="19">
        <f>IF($A1268="","",IF(Paramètres!J26&amp;Paramètres!L26&amp;Paramètres!N26="",Dossiers!$D$27,MAX(IF(Paramètres!J26="",0,IF(Paramètres!K26="",NA(),IF(LEFT(TRIM(Paramètres!K26),1)="F",INDEX($F$1247:$F$1299,MATCH(Paramètres!J26,Paramètres!$G$5:$G$57,0)),INDEX($E$1247:$E$1299,MATCH(Paramètres!J26,Paramètres!$G$5:$G$57,0)))+IF(RIGHT(TRIM(Paramètres!K26),3)="Fin",1-$H1268,IF(LEFT(TRIM(Paramètres!K26),1)="F",1,0)))),IF(Paramètres!L26="",0,IF(Paramètres!M26="",NA(),IF(LEFT(TRIM(Paramètres!M26),1)="F",INDEX($F$1247:$F$1299,MATCH(Paramètres!L26,Paramètres!$G$5:$G$57,0)),INDEX($E$1247:$E$1299,MATCH(Paramètres!L26,Paramètres!$G$5:$G$57,0)))+IF(RIGHT(TRIM(Paramètres!M26),3)="Fin",1-$H1268,IF(LEFT(TRIM(Paramètres!M26),1)="F",1,0)))),IF(Paramètres!N26="",0,IF(Paramètres!O26="",NA(),IF(LEFT(TRIM(Paramètres!O26),1)="F",INDEX($F$1247:$F$1299,MATCH(Paramètres!N26,Paramètres!$G$5:$G$57,0)),INDEX($E$1247:$E$1299,MATCH(Paramètres!N26,Paramètres!$G$5:$G$57,0)))+IF(RIGHT(TRIM(Paramètres!O26),3)="Fin",1-$H1268,IF(LEFT(TRIM(Paramètres!O26),1)="F",1,0)))))))</f>
        <v/>
      </c>
      <c r="F1268" s="19">
        <f>IF($A1268="","",E1268+$H1268-1)</f>
        <v/>
      </c>
      <c r="G1268" s="18" t="n"/>
      <c r="H1268" s="18">
        <f>IF($A1268="","",IF(I1268&lt;&gt;"",I1268,Paramètres!B26))</f>
        <v/>
      </c>
      <c r="I1268" s="18" t="n"/>
    </row>
    <row r="1269">
      <c r="A1269" s="18">
        <f>IF(ISNUMBER(Dossiers!$D$27),Dossiers!$A$27&amp;" · "&amp;Dossiers!$B$27,"")</f>
        <v/>
      </c>
      <c r="B1269" s="18">
        <f>IF($A1269="","",Paramètres!G27)</f>
        <v/>
      </c>
      <c r="C1269" s="18">
        <f>IF($A1269="","",IF(Paramètres!H27="","",Paramètres!H27))</f>
        <v/>
      </c>
      <c r="D1269" s="18">
        <f>IF($A1269="","",IF(Paramètres!I27="","",Paramètres!I27))</f>
        <v/>
      </c>
      <c r="E1269" s="19">
        <f>IF($A1269="","",IF(Paramètres!J27&amp;Paramètres!L27&amp;Paramètres!N27="",Dossiers!$D$27,MAX(IF(Paramètres!J27="",0,IF(Paramètres!K27="",NA(),IF(LEFT(TRIM(Paramètres!K27),1)="F",INDEX($F$1247:$F$1299,MATCH(Paramètres!J27,Paramètres!$G$5:$G$57,0)),INDEX($E$1247:$E$1299,MATCH(Paramètres!J27,Paramètres!$G$5:$G$57,0)))+IF(RIGHT(TRIM(Paramètres!K27),3)="Fin",1-$H1269,IF(LEFT(TRIM(Paramètres!K27),1)="F",1,0)))),IF(Paramètres!L27="",0,IF(Paramètres!M27="",NA(),IF(LEFT(TRIM(Paramètres!M27),1)="F",INDEX($F$1247:$F$1299,MATCH(Paramètres!L27,Paramètres!$G$5:$G$57,0)),INDEX($E$1247:$E$1299,MATCH(Paramètres!L27,Paramètres!$G$5:$G$57,0)))+IF(RIGHT(TRIM(Paramètres!M27),3)="Fin",1-$H1269,IF(LEFT(TRIM(Paramètres!M27),1)="F",1,0)))),IF(Paramètres!N27="",0,IF(Paramètres!O27="",NA(),IF(LEFT(TRIM(Paramètres!O27),1)="F",INDEX($F$1247:$F$1299,MATCH(Paramètres!N27,Paramètres!$G$5:$G$57,0)),INDEX($E$1247:$E$1299,MATCH(Paramètres!N27,Paramètres!$G$5:$G$57,0)))+IF(RIGHT(TRIM(Paramètres!O27),3)="Fin",1-$H1269,IF(LEFT(TRIM(Paramètres!O27),1)="F",1,0)))))))</f>
        <v/>
      </c>
      <c r="F1269" s="19">
        <f>IF($A1269="","",E1269+$H1269-1)</f>
        <v/>
      </c>
      <c r="G1269" s="18" t="n"/>
      <c r="H1269" s="18">
        <f>IF($A1269="","",IF(I1269&lt;&gt;"",I1269,Paramètres!B27))</f>
        <v/>
      </c>
      <c r="I1269" s="18" t="n"/>
    </row>
    <row r="1270">
      <c r="A1270" s="18">
        <f>IF(ISNUMBER(Dossiers!$D$27),Dossiers!$A$27&amp;" · "&amp;Dossiers!$B$27,"")</f>
        <v/>
      </c>
      <c r="B1270" s="18">
        <f>IF($A1270="","",Paramètres!G28)</f>
        <v/>
      </c>
      <c r="C1270" s="18">
        <f>IF($A1270="","",IF(Paramètres!H28="","",Paramètres!H28))</f>
        <v/>
      </c>
      <c r="D1270" s="18">
        <f>IF($A1270="","",IF(Paramètres!I28="","",Paramètres!I28))</f>
        <v/>
      </c>
      <c r="E1270" s="19">
        <f>IF($A1270="","",IF(Paramètres!J28&amp;Paramètres!L28&amp;Paramètres!N28="",Dossiers!$D$27,MAX(IF(Paramètres!J28="",0,IF(Paramètres!K28="",NA(),IF(LEFT(TRIM(Paramètres!K28),1)="F",INDEX($F$1247:$F$1299,MATCH(Paramètres!J28,Paramètres!$G$5:$G$57,0)),INDEX($E$1247:$E$1299,MATCH(Paramètres!J28,Paramètres!$G$5:$G$57,0)))+IF(RIGHT(TRIM(Paramètres!K28),3)="Fin",1-$H1270,IF(LEFT(TRIM(Paramètres!K28),1)="F",1,0)))),IF(Paramètres!L28="",0,IF(Paramètres!M28="",NA(),IF(LEFT(TRIM(Paramètres!M28),1)="F",INDEX($F$1247:$F$1299,MATCH(Paramètres!L28,Paramètres!$G$5:$G$57,0)),INDEX($E$1247:$E$1299,MATCH(Paramètres!L28,Paramètres!$G$5:$G$57,0)))+IF(RIGHT(TRIM(Paramètres!M28),3)="Fin",1-$H1270,IF(LEFT(TRIM(Paramètres!M28),1)="F",1,0)))),IF(Paramètres!N28="",0,IF(Paramètres!O28="",NA(),IF(LEFT(TRIM(Paramètres!O28),1)="F",INDEX($F$1247:$F$1299,MATCH(Paramètres!N28,Paramètres!$G$5:$G$57,0)),INDEX($E$1247:$E$1299,MATCH(Paramètres!N28,Paramètres!$G$5:$G$57,0)))+IF(RIGHT(TRIM(Paramètres!O28),3)="Fin",1-$H1270,IF(LEFT(TRIM(Paramètres!O28),1)="F",1,0)))))))</f>
        <v/>
      </c>
      <c r="F1270" s="19">
        <f>IF($A1270="","",E1270+$H1270-1)</f>
        <v/>
      </c>
      <c r="G1270" s="18" t="n"/>
      <c r="H1270" s="18">
        <f>IF($A1270="","",IF(I1270&lt;&gt;"",I1270,Paramètres!B28))</f>
        <v/>
      </c>
      <c r="I1270" s="18" t="n"/>
    </row>
    <row r="1271">
      <c r="A1271" s="18">
        <f>IF(ISNUMBER(Dossiers!$D$27),Dossiers!$A$27&amp;" · "&amp;Dossiers!$B$27,"")</f>
        <v/>
      </c>
      <c r="B1271" s="18">
        <f>IF($A1271="","",Paramètres!G29)</f>
        <v/>
      </c>
      <c r="C1271" s="18">
        <f>IF($A1271="","",IF(Paramètres!H29="","",Paramètres!H29))</f>
        <v/>
      </c>
      <c r="D1271" s="18">
        <f>IF($A1271="","",IF(Paramètres!I29="","",Paramètres!I29))</f>
        <v/>
      </c>
      <c r="E1271" s="19">
        <f>IF($A1271="","",IF(Paramètres!J29&amp;Paramètres!L29&amp;Paramètres!N29="",Dossiers!$D$27,MAX(IF(Paramètres!J29="",0,IF(Paramètres!K29="",NA(),IF(LEFT(TRIM(Paramètres!K29),1)="F",INDEX($F$1247:$F$1299,MATCH(Paramètres!J29,Paramètres!$G$5:$G$57,0)),INDEX($E$1247:$E$1299,MATCH(Paramètres!J29,Paramètres!$G$5:$G$57,0)))+IF(RIGHT(TRIM(Paramètres!K29),3)="Fin",1-$H1271,IF(LEFT(TRIM(Paramètres!K29),1)="F",1,0)))),IF(Paramètres!L29="",0,IF(Paramètres!M29="",NA(),IF(LEFT(TRIM(Paramètres!M29),1)="F",INDEX($F$1247:$F$1299,MATCH(Paramètres!L29,Paramètres!$G$5:$G$57,0)),INDEX($E$1247:$E$1299,MATCH(Paramètres!L29,Paramètres!$G$5:$G$57,0)))+IF(RIGHT(TRIM(Paramètres!M29),3)="Fin",1-$H1271,IF(LEFT(TRIM(Paramètres!M29),1)="F",1,0)))),IF(Paramètres!N29="",0,IF(Paramètres!O29="",NA(),IF(LEFT(TRIM(Paramètres!O29),1)="F",INDEX($F$1247:$F$1299,MATCH(Paramètres!N29,Paramètres!$G$5:$G$57,0)),INDEX($E$1247:$E$1299,MATCH(Paramètres!N29,Paramètres!$G$5:$G$57,0)))+IF(RIGHT(TRIM(Paramètres!O29),3)="Fin",1-$H1271,IF(LEFT(TRIM(Paramètres!O29),1)="F",1,0)))))))</f>
        <v/>
      </c>
      <c r="F1271" s="19">
        <f>IF($A1271="","",E1271+$H1271-1)</f>
        <v/>
      </c>
      <c r="G1271" s="18" t="n"/>
      <c r="H1271" s="18">
        <f>IF($A1271="","",IF(I1271&lt;&gt;"",I1271,Paramètres!B29))</f>
        <v/>
      </c>
      <c r="I1271" s="18" t="n"/>
    </row>
    <row r="1272">
      <c r="A1272" s="18">
        <f>IF(ISNUMBER(Dossiers!$D$27),Dossiers!$A$27&amp;" · "&amp;Dossiers!$B$27,"")</f>
        <v/>
      </c>
      <c r="B1272" s="18">
        <f>IF($A1272="","",Paramètres!G30)</f>
        <v/>
      </c>
      <c r="C1272" s="18">
        <f>IF($A1272="","",IF(Paramètres!H30="","",Paramètres!H30))</f>
        <v/>
      </c>
      <c r="D1272" s="18">
        <f>IF($A1272="","",IF(Paramètres!I30="","",Paramètres!I30))</f>
        <v/>
      </c>
      <c r="E1272" s="19">
        <f>IF($A1272="","",IF(Paramètres!J30&amp;Paramètres!L30&amp;Paramètres!N30="",Dossiers!$D$27,MAX(IF(Paramètres!J30="",0,IF(Paramètres!K30="",NA(),IF(LEFT(TRIM(Paramètres!K30),1)="F",INDEX($F$1247:$F$1299,MATCH(Paramètres!J30,Paramètres!$G$5:$G$57,0)),INDEX($E$1247:$E$1299,MATCH(Paramètres!J30,Paramètres!$G$5:$G$57,0)))+IF(RIGHT(TRIM(Paramètres!K30),3)="Fin",1-$H1272,IF(LEFT(TRIM(Paramètres!K30),1)="F",1,0)))),IF(Paramètres!L30="",0,IF(Paramètres!M30="",NA(),IF(LEFT(TRIM(Paramètres!M30),1)="F",INDEX($F$1247:$F$1299,MATCH(Paramètres!L30,Paramètres!$G$5:$G$57,0)),INDEX($E$1247:$E$1299,MATCH(Paramètres!L30,Paramètres!$G$5:$G$57,0)))+IF(RIGHT(TRIM(Paramètres!M30),3)="Fin",1-$H1272,IF(LEFT(TRIM(Paramètres!M30),1)="F",1,0)))),IF(Paramètres!N30="",0,IF(Paramètres!O30="",NA(),IF(LEFT(TRIM(Paramètres!O30),1)="F",INDEX($F$1247:$F$1299,MATCH(Paramètres!N30,Paramètres!$G$5:$G$57,0)),INDEX($E$1247:$E$1299,MATCH(Paramètres!N30,Paramètres!$G$5:$G$57,0)))+IF(RIGHT(TRIM(Paramètres!O30),3)="Fin",1-$H1272,IF(LEFT(TRIM(Paramètres!O30),1)="F",1,0)))))))</f>
        <v/>
      </c>
      <c r="F1272" s="19">
        <f>IF($A1272="","",E1272+$H1272-1)</f>
        <v/>
      </c>
      <c r="G1272" s="18" t="n"/>
      <c r="H1272" s="18">
        <f>IF($A1272="","",IF(I1272&lt;&gt;"",I1272,Paramètres!B30))</f>
        <v/>
      </c>
      <c r="I1272" s="18" t="n"/>
    </row>
    <row r="1273">
      <c r="A1273" s="18">
        <f>IF(ISNUMBER(Dossiers!$D$27),Dossiers!$A$27&amp;" · "&amp;Dossiers!$B$27,"")</f>
        <v/>
      </c>
      <c r="B1273" s="18">
        <f>IF($A1273="","",Paramètres!G31)</f>
        <v/>
      </c>
      <c r="C1273" s="20">
        <f>IF($A1273="","",IF(Dossiers!$F$27="","",Dossiers!$F$27))</f>
        <v/>
      </c>
      <c r="D1273" s="18">
        <f>IF($A1273="","",IF(Paramètres!I31="","",Paramètres!I31))</f>
        <v/>
      </c>
      <c r="E1273" s="19">
        <f>IF($A1273="","",IF(Paramètres!J31&amp;Paramètres!L31&amp;Paramètres!N31="",Dossiers!$D$27,MAX(IF(Paramètres!J31="",0,IF(Paramètres!K31="",NA(),IF(LEFT(TRIM(Paramètres!K31),1)="F",INDEX($F$1247:$F$1299,MATCH(Paramètres!J31,Paramètres!$G$5:$G$57,0)),INDEX($E$1247:$E$1299,MATCH(Paramètres!J31,Paramètres!$G$5:$G$57,0)))+IF(RIGHT(TRIM(Paramètres!K31),3)="Fin",1-$H1273,IF(LEFT(TRIM(Paramètres!K31),1)="F",1,0)))),IF(Paramètres!L31="",0,IF(Paramètres!M31="",NA(),IF(LEFT(TRIM(Paramètres!M31),1)="F",INDEX($F$1247:$F$1299,MATCH(Paramètres!L31,Paramètres!$G$5:$G$57,0)),INDEX($E$1247:$E$1299,MATCH(Paramètres!L31,Paramètres!$G$5:$G$57,0)))+IF(RIGHT(TRIM(Paramètres!M31),3)="Fin",1-$H1273,IF(LEFT(TRIM(Paramètres!M31),1)="F",1,0)))),IF(Paramètres!N31="",0,IF(Paramètres!O31="",NA(),IF(LEFT(TRIM(Paramètres!O31),1)="F",INDEX($F$1247:$F$1299,MATCH(Paramètres!N31,Paramètres!$G$5:$G$57,0)),INDEX($E$1247:$E$1299,MATCH(Paramètres!N31,Paramètres!$G$5:$G$57,0)))+IF(RIGHT(TRIM(Paramètres!O31),3)="Fin",1-$H1273,IF(LEFT(TRIM(Paramètres!O31),1)="F",1,0)))))))</f>
        <v/>
      </c>
      <c r="F1273" s="19">
        <f>IF($A1273="","",E1273+$H1273-1)</f>
        <v/>
      </c>
      <c r="G1273" s="18" t="n"/>
      <c r="H1273" s="18">
        <f>IF($A1273="","",IF(I1273&lt;&gt;"",I1273,Paramètres!B31))</f>
        <v/>
      </c>
      <c r="I1273" s="18" t="n"/>
    </row>
    <row r="1274">
      <c r="A1274" s="18">
        <f>IF(ISNUMBER(Dossiers!$D$27),Dossiers!$A$27&amp;" · "&amp;Dossiers!$B$27,"")</f>
        <v/>
      </c>
      <c r="B1274" s="18">
        <f>IF($A1274="","",Paramètres!G32)</f>
        <v/>
      </c>
      <c r="C1274" s="18">
        <f>IF($A1274="","",IF(Paramètres!H32="","",Paramètres!H32))</f>
        <v/>
      </c>
      <c r="D1274" s="18">
        <f>IF($A1274="","",IF(Paramètres!I32="","",Paramètres!I32))</f>
        <v/>
      </c>
      <c r="E1274" s="19">
        <f>IF($A1274="","",MIN(E1275:E1278))</f>
        <v/>
      </c>
      <c r="F1274" s="19">
        <f>IF($A1274="","",MAX(F1275:F1278))</f>
        <v/>
      </c>
      <c r="G1274" s="18" t="n"/>
      <c r="H1274" s="18">
        <f>IF($A1274="","",F1274-E1274+1)</f>
        <v/>
      </c>
      <c r="I1274" s="18" t="n"/>
    </row>
    <row r="1275">
      <c r="A1275" s="18">
        <f>IF(ISNUMBER(Dossiers!$D$27),Dossiers!$A$27&amp;" · "&amp;Dossiers!$B$27,"")</f>
        <v/>
      </c>
      <c r="B1275" s="18">
        <f>IF($A1275="","",Paramètres!G33)</f>
        <v/>
      </c>
      <c r="C1275" s="18">
        <f>IF($A1275="","",IF(Paramètres!H33="","",Paramètres!H33))</f>
        <v/>
      </c>
      <c r="D1275" s="18">
        <f>IF($A1275="","",IF(Paramètres!I33="","",Paramètres!I33))</f>
        <v/>
      </c>
      <c r="E1275" s="19">
        <f>IF($A1275="","",IF(Paramètres!J33&amp;Paramètres!L33&amp;Paramètres!N33="",Dossiers!$D$27,MAX(IF(Paramètres!J33="",0,IF(Paramètres!K33="",NA(),IF(LEFT(TRIM(Paramètres!K33),1)="F",INDEX($F$1247:$F$1299,MATCH(Paramètres!J33,Paramètres!$G$5:$G$57,0)),INDEX($E$1247:$E$1299,MATCH(Paramètres!J33,Paramètres!$G$5:$G$57,0)))+IF(RIGHT(TRIM(Paramètres!K33),3)="Fin",1-$H1275,IF(LEFT(TRIM(Paramètres!K33),1)="F",1,0)))),IF(Paramètres!L33="",0,IF(Paramètres!M33="",NA(),IF(LEFT(TRIM(Paramètres!M33),1)="F",INDEX($F$1247:$F$1299,MATCH(Paramètres!L33,Paramètres!$G$5:$G$57,0)),INDEX($E$1247:$E$1299,MATCH(Paramètres!L33,Paramètres!$G$5:$G$57,0)))+IF(RIGHT(TRIM(Paramètres!M33),3)="Fin",1-$H1275,IF(LEFT(TRIM(Paramètres!M33),1)="F",1,0)))),IF(Paramètres!N33="",0,IF(Paramètres!O33="",NA(),IF(LEFT(TRIM(Paramètres!O33),1)="F",INDEX($F$1247:$F$1299,MATCH(Paramètres!N33,Paramètres!$G$5:$G$57,0)),INDEX($E$1247:$E$1299,MATCH(Paramètres!N33,Paramètres!$G$5:$G$57,0)))+IF(RIGHT(TRIM(Paramètres!O33),3)="Fin",1-$H1275,IF(LEFT(TRIM(Paramètres!O33),1)="F",1,0)))))))</f>
        <v/>
      </c>
      <c r="F1275" s="19">
        <f>IF($A1275="","",E1275+$H1275-1)</f>
        <v/>
      </c>
      <c r="G1275" s="18" t="n"/>
      <c r="H1275" s="18">
        <f>IF($A1275="","",IF(I1275&lt;&gt;"",I1275,Paramètres!B33))</f>
        <v/>
      </c>
      <c r="I1275" s="18" t="n"/>
    </row>
    <row r="1276">
      <c r="A1276" s="18">
        <f>IF(ISNUMBER(Dossiers!$D$27),Dossiers!$A$27&amp;" · "&amp;Dossiers!$B$27,"")</f>
        <v/>
      </c>
      <c r="B1276" s="18">
        <f>IF($A1276="","",Paramètres!G34)</f>
        <v/>
      </c>
      <c r="C1276" s="18">
        <f>IF($A1276="","",IF(Paramètres!H34="","",Paramètres!H34))</f>
        <v/>
      </c>
      <c r="D1276" s="18">
        <f>IF($A1276="","",IF(Paramètres!I34="","",Paramètres!I34))</f>
        <v/>
      </c>
      <c r="E1276" s="19">
        <f>IF($A1276="","",IF(Paramètres!J34&amp;Paramètres!L34&amp;Paramètres!N34="",Dossiers!$D$27,MAX(IF(Paramètres!J34="",0,IF(Paramètres!K34="",NA(),IF(LEFT(TRIM(Paramètres!K34),1)="F",INDEX($F$1247:$F$1299,MATCH(Paramètres!J34,Paramètres!$G$5:$G$57,0)),INDEX($E$1247:$E$1299,MATCH(Paramètres!J34,Paramètres!$G$5:$G$57,0)))+IF(RIGHT(TRIM(Paramètres!K34),3)="Fin",1-$H1276,IF(LEFT(TRIM(Paramètres!K34),1)="F",1,0)))),IF(Paramètres!L34="",0,IF(Paramètres!M34="",NA(),IF(LEFT(TRIM(Paramètres!M34),1)="F",INDEX($F$1247:$F$1299,MATCH(Paramètres!L34,Paramètres!$G$5:$G$57,0)),INDEX($E$1247:$E$1299,MATCH(Paramètres!L34,Paramètres!$G$5:$G$57,0)))+IF(RIGHT(TRIM(Paramètres!M34),3)="Fin",1-$H1276,IF(LEFT(TRIM(Paramètres!M34),1)="F",1,0)))),IF(Paramètres!N34="",0,IF(Paramètres!O34="",NA(),IF(LEFT(TRIM(Paramètres!O34),1)="F",INDEX($F$1247:$F$1299,MATCH(Paramètres!N34,Paramètres!$G$5:$G$57,0)),INDEX($E$1247:$E$1299,MATCH(Paramètres!N34,Paramètres!$G$5:$G$57,0)))+IF(RIGHT(TRIM(Paramètres!O34),3)="Fin",1-$H1276,IF(LEFT(TRIM(Paramètres!O34),1)="F",1,0)))))))</f>
        <v/>
      </c>
      <c r="F1276" s="19">
        <f>IF($A1276="","",E1276+$H1276-1)</f>
        <v/>
      </c>
      <c r="G1276" s="18" t="n"/>
      <c r="H1276" s="18">
        <f>IF($A1276="","",IF(I1276&lt;&gt;"",I1276,Paramètres!B34))</f>
        <v/>
      </c>
      <c r="I1276" s="18" t="n"/>
    </row>
    <row r="1277">
      <c r="A1277" s="18">
        <f>IF(ISNUMBER(Dossiers!$D$27),Dossiers!$A$27&amp;" · "&amp;Dossiers!$B$27,"")</f>
        <v/>
      </c>
      <c r="B1277" s="18">
        <f>IF($A1277="","",Paramètres!G35)</f>
        <v/>
      </c>
      <c r="C1277" s="18">
        <f>IF($A1277="","",IF(Paramètres!H35="","",Paramètres!H35))</f>
        <v/>
      </c>
      <c r="D1277" s="18">
        <f>IF($A1277="","",IF(Paramètres!I35="","",Paramètres!I35))</f>
        <v/>
      </c>
      <c r="E1277" s="19">
        <f>IF($A1277="","",IF(Paramètres!J35&amp;Paramètres!L35&amp;Paramètres!N35="",Dossiers!$D$27,MAX(IF(Paramètres!J35="",0,IF(Paramètres!K35="",NA(),IF(LEFT(TRIM(Paramètres!K35),1)="F",INDEX($F$1247:$F$1299,MATCH(Paramètres!J35,Paramètres!$G$5:$G$57,0)),INDEX($E$1247:$E$1299,MATCH(Paramètres!J35,Paramètres!$G$5:$G$57,0)))+IF(RIGHT(TRIM(Paramètres!K35),3)="Fin",1-$H1277,IF(LEFT(TRIM(Paramètres!K35),1)="F",1,0)))),IF(Paramètres!L35="",0,IF(Paramètres!M35="",NA(),IF(LEFT(TRIM(Paramètres!M35),1)="F",INDEX($F$1247:$F$1299,MATCH(Paramètres!L35,Paramètres!$G$5:$G$57,0)),INDEX($E$1247:$E$1299,MATCH(Paramètres!L35,Paramètres!$G$5:$G$57,0)))+IF(RIGHT(TRIM(Paramètres!M35),3)="Fin",1-$H1277,IF(LEFT(TRIM(Paramètres!M35),1)="F",1,0)))),IF(Paramètres!N35="",0,IF(Paramètres!O35="",NA(),IF(LEFT(TRIM(Paramètres!O35),1)="F",INDEX($F$1247:$F$1299,MATCH(Paramètres!N35,Paramètres!$G$5:$G$57,0)),INDEX($E$1247:$E$1299,MATCH(Paramètres!N35,Paramètres!$G$5:$G$57,0)))+IF(RIGHT(TRIM(Paramètres!O35),3)="Fin",1-$H1277,IF(LEFT(TRIM(Paramètres!O35),1)="F",1,0)))))))</f>
        <v/>
      </c>
      <c r="F1277" s="19">
        <f>IF($A1277="","",E1277+$H1277-1)</f>
        <v/>
      </c>
      <c r="G1277" s="18" t="n"/>
      <c r="H1277" s="18">
        <f>IF($A1277="","",IF(I1277&lt;&gt;"",I1277,Paramètres!B35))</f>
        <v/>
      </c>
      <c r="I1277" s="18" t="n"/>
    </row>
    <row r="1278">
      <c r="A1278" s="18">
        <f>IF(ISNUMBER(Dossiers!$D$27),Dossiers!$A$27&amp;" · "&amp;Dossiers!$B$27,"")</f>
        <v/>
      </c>
      <c r="B1278" s="18">
        <f>IF($A1278="","",Paramètres!G36)</f>
        <v/>
      </c>
      <c r="C1278" s="18">
        <f>IF($A1278="","",IF(Paramètres!H36="","",Paramètres!H36))</f>
        <v/>
      </c>
      <c r="D1278" s="18">
        <f>IF($A1278="","",IF(Paramètres!I36="","",Paramètres!I36))</f>
        <v/>
      </c>
      <c r="E1278" s="19">
        <f>IF($A1278="","",IF(Paramètres!J36&amp;Paramètres!L36&amp;Paramètres!N36="",Dossiers!$D$27,MAX(IF(Paramètres!J36="",0,IF(Paramètres!K36="",NA(),IF(LEFT(TRIM(Paramètres!K36),1)="F",INDEX($F$1247:$F$1299,MATCH(Paramètres!J36,Paramètres!$G$5:$G$57,0)),INDEX($E$1247:$E$1299,MATCH(Paramètres!J36,Paramètres!$G$5:$G$57,0)))+IF(RIGHT(TRIM(Paramètres!K36),3)="Fin",1-$H1278,IF(LEFT(TRIM(Paramètres!K36),1)="F",1,0)))),IF(Paramètres!L36="",0,IF(Paramètres!M36="",NA(),IF(LEFT(TRIM(Paramètres!M36),1)="F",INDEX($F$1247:$F$1299,MATCH(Paramètres!L36,Paramètres!$G$5:$G$57,0)),INDEX($E$1247:$E$1299,MATCH(Paramètres!L36,Paramètres!$G$5:$G$57,0)))+IF(RIGHT(TRIM(Paramètres!M36),3)="Fin",1-$H1278,IF(LEFT(TRIM(Paramètres!M36),1)="F",1,0)))),IF(Paramètres!N36="",0,IF(Paramètres!O36="",NA(),IF(LEFT(TRIM(Paramètres!O36),1)="F",INDEX($F$1247:$F$1299,MATCH(Paramètres!N36,Paramètres!$G$5:$G$57,0)),INDEX($E$1247:$E$1299,MATCH(Paramètres!N36,Paramètres!$G$5:$G$57,0)))+IF(RIGHT(TRIM(Paramètres!O36),3)="Fin",1-$H1278,IF(LEFT(TRIM(Paramètres!O36),1)="F",1,0)))))))</f>
        <v/>
      </c>
      <c r="F1278" s="19">
        <f>IF($A1278="","",E1278+$H1278-1)</f>
        <v/>
      </c>
      <c r="G1278" s="18" t="n"/>
      <c r="H1278" s="18">
        <f>IF($A1278="","",IF(I1278&lt;&gt;"",I1278,Paramètres!B36))</f>
        <v/>
      </c>
      <c r="I1278" s="18" t="n"/>
    </row>
    <row r="1279">
      <c r="A1279" s="18">
        <f>IF(ISNUMBER(Dossiers!$D$27),Dossiers!$A$27&amp;" · "&amp;Dossiers!$B$27,"")</f>
        <v/>
      </c>
      <c r="B1279" s="18">
        <f>IF($A1279="","",Paramètres!G37)</f>
        <v/>
      </c>
      <c r="C1279" s="18">
        <f>IF($A1279="","",IF(Paramètres!H37="","",Paramètres!H37))</f>
        <v/>
      </c>
      <c r="D1279" s="18">
        <f>IF($A1279="","",IF(Paramètres!I37="","",Paramètres!I37))</f>
        <v/>
      </c>
      <c r="E1279" s="19">
        <f>IF($A1279="","",MIN(E1280:E1297))</f>
        <v/>
      </c>
      <c r="F1279" s="19">
        <f>IF($A1279="","",MAX(F1280:F1297))</f>
        <v/>
      </c>
      <c r="G1279" s="18" t="n"/>
      <c r="H1279" s="18">
        <f>IF($A1279="","",F1279-E1279+1)</f>
        <v/>
      </c>
      <c r="I1279" s="18" t="n"/>
    </row>
    <row r="1280">
      <c r="A1280" s="18">
        <f>IF(ISNUMBER(Dossiers!$D$27),Dossiers!$A$27&amp;" · "&amp;Dossiers!$B$27,"")</f>
        <v/>
      </c>
      <c r="B1280" s="18">
        <f>IF($A1280="","",Paramètres!G38)</f>
        <v/>
      </c>
      <c r="C1280" s="18">
        <f>IF($A1280="","",IF(Paramètres!H38="","",Paramètres!H38))</f>
        <v/>
      </c>
      <c r="D1280" s="18">
        <f>IF($A1280="","",IF(Paramètres!I38="","",Paramètres!I38))</f>
        <v/>
      </c>
      <c r="E1280" s="19">
        <f>IF($A1280="","",IF(Paramètres!J38&amp;Paramètres!L38&amp;Paramètres!N38="",Dossiers!$D$27,MAX(IF(Paramètres!J38="",0,IF(Paramètres!K38="",NA(),IF(LEFT(TRIM(Paramètres!K38),1)="F",INDEX($F$1247:$F$1299,MATCH(Paramètres!J38,Paramètres!$G$5:$G$57,0)),INDEX($E$1247:$E$1299,MATCH(Paramètres!J38,Paramètres!$G$5:$G$57,0)))+IF(RIGHT(TRIM(Paramètres!K38),3)="Fin",1-$H1280,IF(LEFT(TRIM(Paramètres!K38),1)="F",1,0)))),IF(Paramètres!L38="",0,IF(Paramètres!M38="",NA(),IF(LEFT(TRIM(Paramètres!M38),1)="F",INDEX($F$1247:$F$1299,MATCH(Paramètres!L38,Paramètres!$G$5:$G$57,0)),INDEX($E$1247:$E$1299,MATCH(Paramètres!L38,Paramètres!$G$5:$G$57,0)))+IF(RIGHT(TRIM(Paramètres!M38),3)="Fin",1-$H1280,IF(LEFT(TRIM(Paramètres!M38),1)="F",1,0)))),IF(Paramètres!N38="",0,IF(Paramètres!O38="",NA(),IF(LEFT(TRIM(Paramètres!O38),1)="F",INDEX($F$1247:$F$1299,MATCH(Paramètres!N38,Paramètres!$G$5:$G$57,0)),INDEX($E$1247:$E$1299,MATCH(Paramètres!N38,Paramètres!$G$5:$G$57,0)))+IF(RIGHT(TRIM(Paramètres!O38),3)="Fin",1-$H1280,IF(LEFT(TRIM(Paramètres!O38),1)="F",1,0)))))))</f>
        <v/>
      </c>
      <c r="F1280" s="19">
        <f>IF($A1280="","",E1280+$H1280-1)</f>
        <v/>
      </c>
      <c r="G1280" s="18" t="n"/>
      <c r="H1280" s="18">
        <f>IF($A1280="","",IF(I1280&lt;&gt;"",I1280,Paramètres!B38))</f>
        <v/>
      </c>
      <c r="I1280" s="18" t="n"/>
    </row>
    <row r="1281">
      <c r="A1281" s="18">
        <f>IF(ISNUMBER(Dossiers!$D$27),Dossiers!$A$27&amp;" · "&amp;Dossiers!$B$27,"")</f>
        <v/>
      </c>
      <c r="B1281" s="18">
        <f>IF($A1281="","",Paramètres!G39)</f>
        <v/>
      </c>
      <c r="C1281" s="18">
        <f>IF($A1281="","",IF(Paramètres!H39="","",Paramètres!H39))</f>
        <v/>
      </c>
      <c r="D1281" s="18">
        <f>IF($A1281="","",IF(Paramètres!I39="","",Paramètres!I39))</f>
        <v/>
      </c>
      <c r="E1281" s="19">
        <f>IF($A1281="","",IF(Paramètres!J39&amp;Paramètres!L39&amp;Paramètres!N39="",Dossiers!$D$27,MAX(IF(Paramètres!J39="",0,IF(Paramètres!K39="",NA(),IF(LEFT(TRIM(Paramètres!K39),1)="F",INDEX($F$1247:$F$1299,MATCH(Paramètres!J39,Paramètres!$G$5:$G$57,0)),INDEX($E$1247:$E$1299,MATCH(Paramètres!J39,Paramètres!$G$5:$G$57,0)))+IF(RIGHT(TRIM(Paramètres!K39),3)="Fin",1-$H1281,IF(LEFT(TRIM(Paramètres!K39),1)="F",1,0)))),IF(Paramètres!L39="",0,IF(Paramètres!M39="",NA(),IF(LEFT(TRIM(Paramètres!M39),1)="F",INDEX($F$1247:$F$1299,MATCH(Paramètres!L39,Paramètres!$G$5:$G$57,0)),INDEX($E$1247:$E$1299,MATCH(Paramètres!L39,Paramètres!$G$5:$G$57,0)))+IF(RIGHT(TRIM(Paramètres!M39),3)="Fin",1-$H1281,IF(LEFT(TRIM(Paramètres!M39),1)="F",1,0)))),IF(Paramètres!N39="",0,IF(Paramètres!O39="",NA(),IF(LEFT(TRIM(Paramètres!O39),1)="F",INDEX($F$1247:$F$1299,MATCH(Paramètres!N39,Paramètres!$G$5:$G$57,0)),INDEX($E$1247:$E$1299,MATCH(Paramètres!N39,Paramètres!$G$5:$G$57,0)))+IF(RIGHT(TRIM(Paramètres!O39),3)="Fin",1-$H1281,IF(LEFT(TRIM(Paramètres!O39),1)="F",1,0)))))))</f>
        <v/>
      </c>
      <c r="F1281" s="19">
        <f>IF($A1281="","",E1281+$H1281-1)</f>
        <v/>
      </c>
      <c r="G1281" s="18" t="n"/>
      <c r="H1281" s="18">
        <f>IF($A1281="","",IF(I1281&lt;&gt;"",I1281,Paramètres!B39))</f>
        <v/>
      </c>
      <c r="I1281" s="18" t="n"/>
    </row>
    <row r="1282">
      <c r="A1282" s="18">
        <f>IF(ISNUMBER(Dossiers!$D$27),Dossiers!$A$27&amp;" · "&amp;Dossiers!$B$27,"")</f>
        <v/>
      </c>
      <c r="B1282" s="18">
        <f>IF($A1282="","",Paramètres!G40)</f>
        <v/>
      </c>
      <c r="C1282" s="18">
        <f>IF($A1282="","",IF(Paramètres!H40="","",Paramètres!H40))</f>
        <v/>
      </c>
      <c r="D1282" s="18">
        <f>IF($A1282="","",IF(Paramètres!I40="","",Paramètres!I40))</f>
        <v/>
      </c>
      <c r="E1282" s="19">
        <f>IF($A1282="","",IF(Paramètres!J40&amp;Paramètres!L40&amp;Paramètres!N40="",Dossiers!$D$27,MAX(IF(Paramètres!J40="",0,IF(Paramètres!K40="",NA(),IF(LEFT(TRIM(Paramètres!K40),1)="F",INDEX($F$1247:$F$1299,MATCH(Paramètres!J40,Paramètres!$G$5:$G$57,0)),INDEX($E$1247:$E$1299,MATCH(Paramètres!J40,Paramètres!$G$5:$G$57,0)))+IF(RIGHT(TRIM(Paramètres!K40),3)="Fin",1-$H1282,IF(LEFT(TRIM(Paramètres!K40),1)="F",1,0)))),IF(Paramètres!L40="",0,IF(Paramètres!M40="",NA(),IF(LEFT(TRIM(Paramètres!M40),1)="F",INDEX($F$1247:$F$1299,MATCH(Paramètres!L40,Paramètres!$G$5:$G$57,0)),INDEX($E$1247:$E$1299,MATCH(Paramètres!L40,Paramètres!$G$5:$G$57,0)))+IF(RIGHT(TRIM(Paramètres!M40),3)="Fin",1-$H1282,IF(LEFT(TRIM(Paramètres!M40),1)="F",1,0)))),IF(Paramètres!N40="",0,IF(Paramètres!O40="",NA(),IF(LEFT(TRIM(Paramètres!O40),1)="F",INDEX($F$1247:$F$1299,MATCH(Paramètres!N40,Paramètres!$G$5:$G$57,0)),INDEX($E$1247:$E$1299,MATCH(Paramètres!N40,Paramètres!$G$5:$G$57,0)))+IF(RIGHT(TRIM(Paramètres!O40),3)="Fin",1-$H1282,IF(LEFT(TRIM(Paramètres!O40),1)="F",1,0)))))))</f>
        <v/>
      </c>
      <c r="F1282" s="19">
        <f>IF($A1282="","",E1282+$H1282-1)</f>
        <v/>
      </c>
      <c r="G1282" s="18" t="n"/>
      <c r="H1282" s="18">
        <f>IF($A1282="","",IF(I1282&lt;&gt;"",I1282,Paramètres!B40))</f>
        <v/>
      </c>
      <c r="I1282" s="18" t="n"/>
    </row>
    <row r="1283">
      <c r="A1283" s="18">
        <f>IF(ISNUMBER(Dossiers!$D$27),Dossiers!$A$27&amp;" · "&amp;Dossiers!$B$27,"")</f>
        <v/>
      </c>
      <c r="B1283" s="18">
        <f>IF($A1283="","",Paramètres!G41)</f>
        <v/>
      </c>
      <c r="C1283" s="18">
        <f>IF($A1283="","",IF(Paramètres!H41="","",Paramètres!H41))</f>
        <v/>
      </c>
      <c r="D1283" s="18">
        <f>IF($A1283="","",IF(Paramètres!I41="","",Paramètres!I41))</f>
        <v/>
      </c>
      <c r="E1283" s="19">
        <f>IF($A1283="","",IF(Paramètres!J41&amp;Paramètres!L41&amp;Paramètres!N41="",Dossiers!$D$27,MAX(IF(Paramètres!J41="",0,IF(Paramètres!K41="",NA(),IF(LEFT(TRIM(Paramètres!K41),1)="F",INDEX($F$1247:$F$1299,MATCH(Paramètres!J41,Paramètres!$G$5:$G$57,0)),INDEX($E$1247:$E$1299,MATCH(Paramètres!J41,Paramètres!$G$5:$G$57,0)))+IF(RIGHT(TRIM(Paramètres!K41),3)="Fin",1-$H1283,IF(LEFT(TRIM(Paramètres!K41),1)="F",1,0)))),IF(Paramètres!L41="",0,IF(Paramètres!M41="",NA(),IF(LEFT(TRIM(Paramètres!M41),1)="F",INDEX($F$1247:$F$1299,MATCH(Paramètres!L41,Paramètres!$G$5:$G$57,0)),INDEX($E$1247:$E$1299,MATCH(Paramètres!L41,Paramètres!$G$5:$G$57,0)))+IF(RIGHT(TRIM(Paramètres!M41),3)="Fin",1-$H1283,IF(LEFT(TRIM(Paramètres!M41),1)="F",1,0)))),IF(Paramètres!N41="",0,IF(Paramètres!O41="",NA(),IF(LEFT(TRIM(Paramètres!O41),1)="F",INDEX($F$1247:$F$1299,MATCH(Paramètres!N41,Paramètres!$G$5:$G$57,0)),INDEX($E$1247:$E$1299,MATCH(Paramètres!N41,Paramètres!$G$5:$G$57,0)))+IF(RIGHT(TRIM(Paramètres!O41),3)="Fin",1-$H1283,IF(LEFT(TRIM(Paramètres!O41),1)="F",1,0)))))))</f>
        <v/>
      </c>
      <c r="F1283" s="19">
        <f>IF($A1283="","",E1283+$H1283-1)</f>
        <v/>
      </c>
      <c r="G1283" s="18" t="n"/>
      <c r="H1283" s="18">
        <f>IF($A1283="","",IF(I1283&lt;&gt;"",I1283,Paramètres!B41))</f>
        <v/>
      </c>
      <c r="I1283" s="18" t="n"/>
    </row>
    <row r="1284">
      <c r="A1284" s="18">
        <f>IF(ISNUMBER(Dossiers!$D$27),Dossiers!$A$27&amp;" · "&amp;Dossiers!$B$27,"")</f>
        <v/>
      </c>
      <c r="B1284" s="18">
        <f>IF($A1284="","",Paramètres!G42)</f>
        <v/>
      </c>
      <c r="C1284" s="18">
        <f>IF($A1284="","",IF(Paramètres!H42="","",Paramètres!H42))</f>
        <v/>
      </c>
      <c r="D1284" s="18">
        <f>IF($A1284="","",IF(Paramètres!I42="","",Paramètres!I42))</f>
        <v/>
      </c>
      <c r="E1284" s="19">
        <f>IF($A1284="","",IF(Paramètres!J42&amp;Paramètres!L42&amp;Paramètres!N42="",Dossiers!$D$27,MAX(IF(Paramètres!J42="",0,IF(Paramètres!K42="",NA(),IF(LEFT(TRIM(Paramètres!K42),1)="F",INDEX($F$1247:$F$1299,MATCH(Paramètres!J42,Paramètres!$G$5:$G$57,0)),INDEX($E$1247:$E$1299,MATCH(Paramètres!J42,Paramètres!$G$5:$G$57,0)))+IF(RIGHT(TRIM(Paramètres!K42),3)="Fin",1-$H1284,IF(LEFT(TRIM(Paramètres!K42),1)="F",1,0)))),IF(Paramètres!L42="",0,IF(Paramètres!M42="",NA(),IF(LEFT(TRIM(Paramètres!M42),1)="F",INDEX($F$1247:$F$1299,MATCH(Paramètres!L42,Paramètres!$G$5:$G$57,0)),INDEX($E$1247:$E$1299,MATCH(Paramètres!L42,Paramètres!$G$5:$G$57,0)))+IF(RIGHT(TRIM(Paramètres!M42),3)="Fin",1-$H1284,IF(LEFT(TRIM(Paramètres!M42),1)="F",1,0)))),IF(Paramètres!N42="",0,IF(Paramètres!O42="",NA(),IF(LEFT(TRIM(Paramètres!O42),1)="F",INDEX($F$1247:$F$1299,MATCH(Paramètres!N42,Paramètres!$G$5:$G$57,0)),INDEX($E$1247:$E$1299,MATCH(Paramètres!N42,Paramètres!$G$5:$G$57,0)))+IF(RIGHT(TRIM(Paramètres!O42),3)="Fin",1-$H1284,IF(LEFT(TRIM(Paramètres!O42),1)="F",1,0)))))))</f>
        <v/>
      </c>
      <c r="F1284" s="19">
        <f>IF($A1284="","",E1284+$H1284-1)</f>
        <v/>
      </c>
      <c r="G1284" s="18" t="n"/>
      <c r="H1284" s="18">
        <f>IF($A1284="","",IF(I1284&lt;&gt;"",I1284,Paramètres!B42))</f>
        <v/>
      </c>
      <c r="I1284" s="18" t="n"/>
    </row>
    <row r="1285">
      <c r="A1285" s="18">
        <f>IF(ISNUMBER(Dossiers!$D$27),Dossiers!$A$27&amp;" · "&amp;Dossiers!$B$27,"")</f>
        <v/>
      </c>
      <c r="B1285" s="18">
        <f>IF($A1285="","",Paramètres!G43)</f>
        <v/>
      </c>
      <c r="C1285" s="18">
        <f>IF($A1285="","",IF(Paramètres!H43="","",Paramètres!H43))</f>
        <v/>
      </c>
      <c r="D1285" s="18">
        <f>IF($A1285="","",IF(Paramètres!I43="","",Paramètres!I43))</f>
        <v/>
      </c>
      <c r="E1285" s="19">
        <f>IF($A1285="","",IF(Paramètres!J43&amp;Paramètres!L43&amp;Paramètres!N43="",Dossiers!$D$27,MAX(IF(Paramètres!J43="",0,IF(Paramètres!K43="",NA(),IF(LEFT(TRIM(Paramètres!K43),1)="F",INDEX($F$1247:$F$1299,MATCH(Paramètres!J43,Paramètres!$G$5:$G$57,0)),INDEX($E$1247:$E$1299,MATCH(Paramètres!J43,Paramètres!$G$5:$G$57,0)))+IF(RIGHT(TRIM(Paramètres!K43),3)="Fin",1-$H1285,IF(LEFT(TRIM(Paramètres!K43),1)="F",1,0)))),IF(Paramètres!L43="",0,IF(Paramètres!M43="",NA(),IF(LEFT(TRIM(Paramètres!M43),1)="F",INDEX($F$1247:$F$1299,MATCH(Paramètres!L43,Paramètres!$G$5:$G$57,0)),INDEX($E$1247:$E$1299,MATCH(Paramètres!L43,Paramètres!$G$5:$G$57,0)))+IF(RIGHT(TRIM(Paramètres!M43),3)="Fin",1-$H1285,IF(LEFT(TRIM(Paramètres!M43),1)="F",1,0)))),IF(Paramètres!N43="",0,IF(Paramètres!O43="",NA(),IF(LEFT(TRIM(Paramètres!O43),1)="F",INDEX($F$1247:$F$1299,MATCH(Paramètres!N43,Paramètres!$G$5:$G$57,0)),INDEX($E$1247:$E$1299,MATCH(Paramètres!N43,Paramètres!$G$5:$G$57,0)))+IF(RIGHT(TRIM(Paramètres!O43),3)="Fin",1-$H1285,IF(LEFT(TRIM(Paramètres!O43),1)="F",1,0)))))))</f>
        <v/>
      </c>
      <c r="F1285" s="19">
        <f>IF($A1285="","",E1285+$H1285-1)</f>
        <v/>
      </c>
      <c r="G1285" s="18" t="n"/>
      <c r="H1285" s="18">
        <f>IF($A1285="","",IF(I1285&lt;&gt;"",I1285,Paramètres!B43))</f>
        <v/>
      </c>
      <c r="I1285" s="18" t="n"/>
    </row>
    <row r="1286">
      <c r="A1286" s="18">
        <f>IF(ISNUMBER(Dossiers!$D$27),Dossiers!$A$27&amp;" · "&amp;Dossiers!$B$27,"")</f>
        <v/>
      </c>
      <c r="B1286" s="18">
        <f>IF($A1286="","",Paramètres!G44)</f>
        <v/>
      </c>
      <c r="C1286" s="18">
        <f>IF($A1286="","",IF(Paramètres!H44="","",Paramètres!H44))</f>
        <v/>
      </c>
      <c r="D1286" s="18">
        <f>IF($A1286="","",IF(Paramètres!I44="","",Paramètres!I44))</f>
        <v/>
      </c>
      <c r="E1286" s="19">
        <f>IF($A1286="","",IF(Paramètres!J44&amp;Paramètres!L44&amp;Paramètres!N44="",Dossiers!$D$27,MAX(IF(Paramètres!J44="",0,IF(Paramètres!K44="",NA(),IF(LEFT(TRIM(Paramètres!K44),1)="F",INDEX($F$1247:$F$1299,MATCH(Paramètres!J44,Paramètres!$G$5:$G$57,0)),INDEX($E$1247:$E$1299,MATCH(Paramètres!J44,Paramètres!$G$5:$G$57,0)))+IF(RIGHT(TRIM(Paramètres!K44),3)="Fin",1-$H1286,IF(LEFT(TRIM(Paramètres!K44),1)="F",1,0)))),IF(Paramètres!L44="",0,IF(Paramètres!M44="",NA(),IF(LEFT(TRIM(Paramètres!M44),1)="F",INDEX($F$1247:$F$1299,MATCH(Paramètres!L44,Paramètres!$G$5:$G$57,0)),INDEX($E$1247:$E$1299,MATCH(Paramètres!L44,Paramètres!$G$5:$G$57,0)))+IF(RIGHT(TRIM(Paramètres!M44),3)="Fin",1-$H1286,IF(LEFT(TRIM(Paramètres!M44),1)="F",1,0)))),IF(Paramètres!N44="",0,IF(Paramètres!O44="",NA(),IF(LEFT(TRIM(Paramètres!O44),1)="F",INDEX($F$1247:$F$1299,MATCH(Paramètres!N44,Paramètres!$G$5:$G$57,0)),INDEX($E$1247:$E$1299,MATCH(Paramètres!N44,Paramètres!$G$5:$G$57,0)))+IF(RIGHT(TRIM(Paramètres!O44),3)="Fin",1-$H1286,IF(LEFT(TRIM(Paramètres!O44),1)="F",1,0)))))))</f>
        <v/>
      </c>
      <c r="F1286" s="19">
        <f>IF($A1286="","",E1286+$H1286-1)</f>
        <v/>
      </c>
      <c r="G1286" s="18" t="n"/>
      <c r="H1286" s="18">
        <f>IF($A1286="","",IF(I1286&lt;&gt;"",I1286,Paramètres!B44))</f>
        <v/>
      </c>
      <c r="I1286" s="18" t="n"/>
    </row>
    <row r="1287">
      <c r="A1287" s="18">
        <f>IF(ISNUMBER(Dossiers!$D$27),Dossiers!$A$27&amp;" · "&amp;Dossiers!$B$27,"")</f>
        <v/>
      </c>
      <c r="B1287" s="18">
        <f>IF($A1287="","",Paramètres!G45)</f>
        <v/>
      </c>
      <c r="C1287" s="20">
        <f>IF($A1287="","",IF(Dossiers!$G$27="","",Dossiers!$G$27))</f>
        <v/>
      </c>
      <c r="D1287" s="18">
        <f>IF($A1287="","",IF(Paramètres!I45="","",Paramètres!I45))</f>
        <v/>
      </c>
      <c r="E1287" s="19">
        <f>IF($A1287="","",IF(Paramètres!J45&amp;Paramètres!L45&amp;Paramètres!N45="",Dossiers!$D$27,MAX(IF(Paramètres!J45="",0,IF(Paramètres!K45="",NA(),IF(LEFT(TRIM(Paramètres!K45),1)="F",INDEX($F$1247:$F$1299,MATCH(Paramètres!J45,Paramètres!$G$5:$G$57,0)),INDEX($E$1247:$E$1299,MATCH(Paramètres!J45,Paramètres!$G$5:$G$57,0)))+IF(RIGHT(TRIM(Paramètres!K45),3)="Fin",1-$H1287,IF(LEFT(TRIM(Paramètres!K45),1)="F",1,0)))),IF(Paramètres!L45="",0,IF(Paramètres!M45="",NA(),IF(LEFT(TRIM(Paramètres!M45),1)="F",INDEX($F$1247:$F$1299,MATCH(Paramètres!L45,Paramètres!$G$5:$G$57,0)),INDEX($E$1247:$E$1299,MATCH(Paramètres!L45,Paramètres!$G$5:$G$57,0)))+IF(RIGHT(TRIM(Paramètres!M45),3)="Fin",1-$H1287,IF(LEFT(TRIM(Paramètres!M45),1)="F",1,0)))),IF(Paramètres!N45="",0,IF(Paramètres!O45="",NA(),IF(LEFT(TRIM(Paramètres!O45),1)="F",INDEX($F$1247:$F$1299,MATCH(Paramètres!N45,Paramètres!$G$5:$G$57,0)),INDEX($E$1247:$E$1299,MATCH(Paramètres!N45,Paramètres!$G$5:$G$57,0)))+IF(RIGHT(TRIM(Paramètres!O45),3)="Fin",1-$H1287,IF(LEFT(TRIM(Paramètres!O45),1)="F",1,0)))))))</f>
        <v/>
      </c>
      <c r="F1287" s="19">
        <f>IF($A1287="","",E1287+$H1287-1)</f>
        <v/>
      </c>
      <c r="G1287" s="18" t="n"/>
      <c r="H1287" s="18">
        <f>IF($A1287="","",IF(I1287&lt;&gt;"",I1287,Paramètres!B45))</f>
        <v/>
      </c>
      <c r="I1287" s="18" t="n"/>
    </row>
    <row r="1288">
      <c r="A1288" s="18">
        <f>IF(ISNUMBER(Dossiers!$D$27),Dossiers!$A$27&amp;" · "&amp;Dossiers!$B$27,"")</f>
        <v/>
      </c>
      <c r="B1288" s="18">
        <f>IF($A1288="","",Paramètres!G46)</f>
        <v/>
      </c>
      <c r="C1288" s="18">
        <f>IF($A1288="","",IF(Paramètres!H46="","",Paramètres!H46))</f>
        <v/>
      </c>
      <c r="D1288" s="18">
        <f>IF($A1288="","",IF(Paramètres!I46="","",Paramètres!I46))</f>
        <v/>
      </c>
      <c r="E1288" s="19">
        <f>IF($A1288="","",IF(Paramètres!J46&amp;Paramètres!L46&amp;Paramètres!N46="",Dossiers!$D$27,MAX(IF(Paramètres!J46="",0,IF(Paramètres!K46="",NA(),IF(LEFT(TRIM(Paramètres!K46),1)="F",INDEX($F$1247:$F$1299,MATCH(Paramètres!J46,Paramètres!$G$5:$G$57,0)),INDEX($E$1247:$E$1299,MATCH(Paramètres!J46,Paramètres!$G$5:$G$57,0)))+IF(RIGHT(TRIM(Paramètres!K46),3)="Fin",1-$H1288,IF(LEFT(TRIM(Paramètres!K46),1)="F",1,0)))),IF(Paramètres!L46="",0,IF(Paramètres!M46="",NA(),IF(LEFT(TRIM(Paramètres!M46),1)="F",INDEX($F$1247:$F$1299,MATCH(Paramètres!L46,Paramètres!$G$5:$G$57,0)),INDEX($E$1247:$E$1299,MATCH(Paramètres!L46,Paramètres!$G$5:$G$57,0)))+IF(RIGHT(TRIM(Paramètres!M46),3)="Fin",1-$H1288,IF(LEFT(TRIM(Paramètres!M46),1)="F",1,0)))),IF(Paramètres!N46="",0,IF(Paramètres!O46="",NA(),IF(LEFT(TRIM(Paramètres!O46),1)="F",INDEX($F$1247:$F$1299,MATCH(Paramètres!N46,Paramètres!$G$5:$G$57,0)),INDEX($E$1247:$E$1299,MATCH(Paramètres!N46,Paramètres!$G$5:$G$57,0)))+IF(RIGHT(TRIM(Paramètres!O46),3)="Fin",1-$H1288,IF(LEFT(TRIM(Paramètres!O46),1)="F",1,0)))))))</f>
        <v/>
      </c>
      <c r="F1288" s="19">
        <f>IF($A1288="","",E1288+$H1288-1)</f>
        <v/>
      </c>
      <c r="G1288" s="18" t="n"/>
      <c r="H1288" s="18">
        <f>IF($A1288="","",IF(I1288&lt;&gt;"",I1288,Paramètres!B46))</f>
        <v/>
      </c>
      <c r="I1288" s="18" t="n"/>
    </row>
    <row r="1289">
      <c r="A1289" s="18">
        <f>IF(ISNUMBER(Dossiers!$D$27),Dossiers!$A$27&amp;" · "&amp;Dossiers!$B$27,"")</f>
        <v/>
      </c>
      <c r="B1289" s="18">
        <f>IF($A1289="","",Paramètres!G47)</f>
        <v/>
      </c>
      <c r="C1289" s="18">
        <f>IF($A1289="","",IF(Paramètres!H47="","",Paramètres!H47))</f>
        <v/>
      </c>
      <c r="D1289" s="18">
        <f>IF($A1289="","",IF(Paramètres!I47="","",Paramètres!I47))</f>
        <v/>
      </c>
      <c r="E1289" s="19">
        <f>IF($A1289="","",IF(Paramètres!J47&amp;Paramètres!L47&amp;Paramètres!N47="",Dossiers!$D$27,MAX(IF(Paramètres!J47="",0,IF(Paramètres!K47="",NA(),IF(LEFT(TRIM(Paramètres!K47),1)="F",INDEX($F$1247:$F$1299,MATCH(Paramètres!J47,Paramètres!$G$5:$G$57,0)),INDEX($E$1247:$E$1299,MATCH(Paramètres!J47,Paramètres!$G$5:$G$57,0)))+IF(RIGHT(TRIM(Paramètres!K47),3)="Fin",1-$H1289,IF(LEFT(TRIM(Paramètres!K47),1)="F",1,0)))),IF(Paramètres!L47="",0,IF(Paramètres!M47="",NA(),IF(LEFT(TRIM(Paramètres!M47),1)="F",INDEX($F$1247:$F$1299,MATCH(Paramètres!L47,Paramètres!$G$5:$G$57,0)),INDEX($E$1247:$E$1299,MATCH(Paramètres!L47,Paramètres!$G$5:$G$57,0)))+IF(RIGHT(TRIM(Paramètres!M47),3)="Fin",1-$H1289,IF(LEFT(TRIM(Paramètres!M47),1)="F",1,0)))),IF(Paramètres!N47="",0,IF(Paramètres!O47="",NA(),IF(LEFT(TRIM(Paramètres!O47),1)="F",INDEX($F$1247:$F$1299,MATCH(Paramètres!N47,Paramètres!$G$5:$G$57,0)),INDEX($E$1247:$E$1299,MATCH(Paramètres!N47,Paramètres!$G$5:$G$57,0)))+IF(RIGHT(TRIM(Paramètres!O47),3)="Fin",1-$H1289,IF(LEFT(TRIM(Paramètres!O47),1)="F",1,0)))))))</f>
        <v/>
      </c>
      <c r="F1289" s="19">
        <f>IF($A1289="","",E1289+$H1289-1)</f>
        <v/>
      </c>
      <c r="G1289" s="18" t="n"/>
      <c r="H1289" s="18">
        <f>IF($A1289="","",IF(I1289&lt;&gt;"",I1289,Paramètres!B47))</f>
        <v/>
      </c>
      <c r="I1289" s="18" t="n"/>
    </row>
    <row r="1290">
      <c r="A1290" s="18">
        <f>IF(ISNUMBER(Dossiers!$D$27),Dossiers!$A$27&amp;" · "&amp;Dossiers!$B$27,"")</f>
        <v/>
      </c>
      <c r="B1290" s="18">
        <f>IF($A1290="","",Paramètres!G48)</f>
        <v/>
      </c>
      <c r="C1290" s="18">
        <f>IF($A1290="","",IF(Paramètres!H48="","",Paramètres!H48))</f>
        <v/>
      </c>
      <c r="D1290" s="18">
        <f>IF($A1290="","",IF(Paramètres!I48="","",Paramètres!I48))</f>
        <v/>
      </c>
      <c r="E1290" s="19">
        <f>IF($A1290="","",IF(Paramètres!J48&amp;Paramètres!L48&amp;Paramètres!N48="",Dossiers!$D$27,MAX(IF(Paramètres!J48="",0,IF(Paramètres!K48="",NA(),IF(LEFT(TRIM(Paramètres!K48),1)="F",INDEX($F$1247:$F$1299,MATCH(Paramètres!J48,Paramètres!$G$5:$G$57,0)),INDEX($E$1247:$E$1299,MATCH(Paramètres!J48,Paramètres!$G$5:$G$57,0)))+IF(RIGHT(TRIM(Paramètres!K48),3)="Fin",1-$H1290,IF(LEFT(TRIM(Paramètres!K48),1)="F",1,0)))),IF(Paramètres!L48="",0,IF(Paramètres!M48="",NA(),IF(LEFT(TRIM(Paramètres!M48),1)="F",INDEX($F$1247:$F$1299,MATCH(Paramètres!L48,Paramètres!$G$5:$G$57,0)),INDEX($E$1247:$E$1299,MATCH(Paramètres!L48,Paramètres!$G$5:$G$57,0)))+IF(RIGHT(TRIM(Paramètres!M48),3)="Fin",1-$H1290,IF(LEFT(TRIM(Paramètres!M48),1)="F",1,0)))),IF(Paramètres!N48="",0,IF(Paramètres!O48="",NA(),IF(LEFT(TRIM(Paramètres!O48),1)="F",INDEX($F$1247:$F$1299,MATCH(Paramètres!N48,Paramètres!$G$5:$G$57,0)),INDEX($E$1247:$E$1299,MATCH(Paramètres!N48,Paramètres!$G$5:$G$57,0)))+IF(RIGHT(TRIM(Paramètres!O48),3)="Fin",1-$H1290,IF(LEFT(TRIM(Paramètres!O48),1)="F",1,0)))))))</f>
        <v/>
      </c>
      <c r="F1290" s="19">
        <f>IF($A1290="","",E1290+$H1290-1)</f>
        <v/>
      </c>
      <c r="G1290" s="18" t="n"/>
      <c r="H1290" s="18">
        <f>IF($A1290="","",IF(I1290&lt;&gt;"",I1290,Paramètres!B48))</f>
        <v/>
      </c>
      <c r="I1290" s="18" t="n"/>
    </row>
    <row r="1291">
      <c r="A1291" s="18">
        <f>IF(ISNUMBER(Dossiers!$D$27),Dossiers!$A$27&amp;" · "&amp;Dossiers!$B$27,"")</f>
        <v/>
      </c>
      <c r="B1291" s="18">
        <f>IF($A1291="","",Paramètres!G49)</f>
        <v/>
      </c>
      <c r="C1291" s="18">
        <f>IF($A1291="","",IF(Paramètres!H49="","",Paramètres!H49))</f>
        <v/>
      </c>
      <c r="D1291" s="18">
        <f>IF($A1291="","",IF(Paramètres!I49="","",Paramètres!I49))</f>
        <v/>
      </c>
      <c r="E1291" s="19">
        <f>IF($A1291="","",IF(Paramètres!J49&amp;Paramètres!L49&amp;Paramètres!N49="",Dossiers!$D$27,MAX(IF(Paramètres!J49="",0,IF(Paramètres!K49="",NA(),IF(LEFT(TRIM(Paramètres!K49),1)="F",INDEX($F$1247:$F$1299,MATCH(Paramètres!J49,Paramètres!$G$5:$G$57,0)),INDEX($E$1247:$E$1299,MATCH(Paramètres!J49,Paramètres!$G$5:$G$57,0)))+IF(RIGHT(TRIM(Paramètres!K49),3)="Fin",1-$H1291,IF(LEFT(TRIM(Paramètres!K49),1)="F",1,0)))),IF(Paramètres!L49="",0,IF(Paramètres!M49="",NA(),IF(LEFT(TRIM(Paramètres!M49),1)="F",INDEX($F$1247:$F$1299,MATCH(Paramètres!L49,Paramètres!$G$5:$G$57,0)),INDEX($E$1247:$E$1299,MATCH(Paramètres!L49,Paramètres!$G$5:$G$57,0)))+IF(RIGHT(TRIM(Paramètres!M49),3)="Fin",1-$H1291,IF(LEFT(TRIM(Paramètres!M49),1)="F",1,0)))),IF(Paramètres!N49="",0,IF(Paramètres!O49="",NA(),IF(LEFT(TRIM(Paramètres!O49),1)="F",INDEX($F$1247:$F$1299,MATCH(Paramètres!N49,Paramètres!$G$5:$G$57,0)),INDEX($E$1247:$E$1299,MATCH(Paramètres!N49,Paramètres!$G$5:$G$57,0)))+IF(RIGHT(TRIM(Paramètres!O49),3)="Fin",1-$H1291,IF(LEFT(TRIM(Paramètres!O49),1)="F",1,0)))))))</f>
        <v/>
      </c>
      <c r="F1291" s="19">
        <f>IF($A1291="","",E1291+$H1291-1)</f>
        <v/>
      </c>
      <c r="G1291" s="18" t="n"/>
      <c r="H1291" s="18">
        <f>IF($A1291="","",IF(I1291&lt;&gt;"",I1291,Paramètres!B49))</f>
        <v/>
      </c>
      <c r="I1291" s="18" t="n"/>
    </row>
    <row r="1292">
      <c r="A1292" s="18">
        <f>IF(ISNUMBER(Dossiers!$D$27),Dossiers!$A$27&amp;" · "&amp;Dossiers!$B$27,"")</f>
        <v/>
      </c>
      <c r="B1292" s="18">
        <f>IF($A1292="","",Paramètres!G50)</f>
        <v/>
      </c>
      <c r="C1292" s="18">
        <f>IF($A1292="","",IF(Paramètres!H50="","",Paramètres!H50))</f>
        <v/>
      </c>
      <c r="D1292" s="18">
        <f>IF($A1292="","",IF(Paramètres!I50="","",Paramètres!I50))</f>
        <v/>
      </c>
      <c r="E1292" s="19">
        <f>IF($A1292="","",IF(Paramètres!J50&amp;Paramètres!L50&amp;Paramètres!N50="",Dossiers!$D$27,MAX(IF(Paramètres!J50="",0,IF(Paramètres!K50="",NA(),IF(LEFT(TRIM(Paramètres!K50),1)="F",INDEX($F$1247:$F$1299,MATCH(Paramètres!J50,Paramètres!$G$5:$G$57,0)),INDEX($E$1247:$E$1299,MATCH(Paramètres!J50,Paramètres!$G$5:$G$57,0)))+IF(RIGHT(TRIM(Paramètres!K50),3)="Fin",1-$H1292,IF(LEFT(TRIM(Paramètres!K50),1)="F",1,0)))),IF(Paramètres!L50="",0,IF(Paramètres!M50="",NA(),IF(LEFT(TRIM(Paramètres!M50),1)="F",INDEX($F$1247:$F$1299,MATCH(Paramètres!L50,Paramètres!$G$5:$G$57,0)),INDEX($E$1247:$E$1299,MATCH(Paramètres!L50,Paramètres!$G$5:$G$57,0)))+IF(RIGHT(TRIM(Paramètres!M50),3)="Fin",1-$H1292,IF(LEFT(TRIM(Paramètres!M50),1)="F",1,0)))),IF(Paramètres!N50="",0,IF(Paramètres!O50="",NA(),IF(LEFT(TRIM(Paramètres!O50),1)="F",INDEX($F$1247:$F$1299,MATCH(Paramètres!N50,Paramètres!$G$5:$G$57,0)),INDEX($E$1247:$E$1299,MATCH(Paramètres!N50,Paramètres!$G$5:$G$57,0)))+IF(RIGHT(TRIM(Paramètres!O50),3)="Fin",1-$H1292,IF(LEFT(TRIM(Paramètres!O50),1)="F",1,0)))))))</f>
        <v/>
      </c>
      <c r="F1292" s="19">
        <f>IF($A1292="","",E1292+$H1292-1)</f>
        <v/>
      </c>
      <c r="G1292" s="18" t="n"/>
      <c r="H1292" s="18">
        <f>IF($A1292="","",IF(I1292&lt;&gt;"",I1292,Paramètres!B50))</f>
        <v/>
      </c>
      <c r="I1292" s="18" t="n"/>
    </row>
    <row r="1293">
      <c r="A1293" s="18">
        <f>IF(ISNUMBER(Dossiers!$D$27),Dossiers!$A$27&amp;" · "&amp;Dossiers!$B$27,"")</f>
        <v/>
      </c>
      <c r="B1293" s="18">
        <f>IF($A1293="","",Paramètres!G51)</f>
        <v/>
      </c>
      <c r="C1293" s="18">
        <f>IF($A1293="","",IF(Paramètres!H51="","",Paramètres!H51))</f>
        <v/>
      </c>
      <c r="D1293" s="18">
        <f>IF($A1293="","",IF(Paramètres!I51="","",Paramètres!I51))</f>
        <v/>
      </c>
      <c r="E1293" s="19">
        <f>IF($A1293="","",IF(Paramètres!J51&amp;Paramètres!L51&amp;Paramètres!N51="",Dossiers!$D$27,MAX(IF(Paramètres!J51="",0,IF(Paramètres!K51="",NA(),IF(LEFT(TRIM(Paramètres!K51),1)="F",INDEX($F$1247:$F$1299,MATCH(Paramètres!J51,Paramètres!$G$5:$G$57,0)),INDEX($E$1247:$E$1299,MATCH(Paramètres!J51,Paramètres!$G$5:$G$57,0)))+IF(RIGHT(TRIM(Paramètres!K51),3)="Fin",1-$H1293,IF(LEFT(TRIM(Paramètres!K51),1)="F",1,0)))),IF(Paramètres!L51="",0,IF(Paramètres!M51="",NA(),IF(LEFT(TRIM(Paramètres!M51),1)="F",INDEX($F$1247:$F$1299,MATCH(Paramètres!L51,Paramètres!$G$5:$G$57,0)),INDEX($E$1247:$E$1299,MATCH(Paramètres!L51,Paramètres!$G$5:$G$57,0)))+IF(RIGHT(TRIM(Paramètres!M51),3)="Fin",1-$H1293,IF(LEFT(TRIM(Paramètres!M51),1)="F",1,0)))),IF(Paramètres!N51="",0,IF(Paramètres!O51="",NA(),IF(LEFT(TRIM(Paramètres!O51),1)="F",INDEX($F$1247:$F$1299,MATCH(Paramètres!N51,Paramètres!$G$5:$G$57,0)),INDEX($E$1247:$E$1299,MATCH(Paramètres!N51,Paramètres!$G$5:$G$57,0)))+IF(RIGHT(TRIM(Paramètres!O51),3)="Fin",1-$H1293,IF(LEFT(TRIM(Paramètres!O51),1)="F",1,0)))))))</f>
        <v/>
      </c>
      <c r="F1293" s="19">
        <f>IF($A1293="","",E1293+$H1293-1)</f>
        <v/>
      </c>
      <c r="G1293" s="18" t="n"/>
      <c r="H1293" s="18">
        <f>IF($A1293="","",IF(I1293&lt;&gt;"",I1293,Paramètres!B51))</f>
        <v/>
      </c>
      <c r="I1293" s="18" t="n"/>
    </row>
    <row r="1294">
      <c r="A1294" s="18">
        <f>IF(ISNUMBER(Dossiers!$D$27),Dossiers!$A$27&amp;" · "&amp;Dossiers!$B$27,"")</f>
        <v/>
      </c>
      <c r="B1294" s="18">
        <f>IF($A1294="","",Paramètres!G52)</f>
        <v/>
      </c>
      <c r="C1294" s="18">
        <f>IF($A1294="","",IF(Paramètres!H52="","",Paramètres!H52))</f>
        <v/>
      </c>
      <c r="D1294" s="18">
        <f>IF($A1294="","",IF(Paramètres!I52="","",Paramètres!I52))</f>
        <v/>
      </c>
      <c r="E1294" s="19">
        <f>IF($A1294="","",IF(Paramètres!J52&amp;Paramètres!L52&amp;Paramètres!N52="",Dossiers!$D$27,MAX(IF(Paramètres!J52="",0,IF(Paramètres!K52="",NA(),IF(LEFT(TRIM(Paramètres!K52),1)="F",INDEX($F$1247:$F$1299,MATCH(Paramètres!J52,Paramètres!$G$5:$G$57,0)),INDEX($E$1247:$E$1299,MATCH(Paramètres!J52,Paramètres!$G$5:$G$57,0)))+IF(RIGHT(TRIM(Paramètres!K52),3)="Fin",1-$H1294,IF(LEFT(TRIM(Paramètres!K52),1)="F",1,0)))),IF(Paramètres!L52="",0,IF(Paramètres!M52="",NA(),IF(LEFT(TRIM(Paramètres!M52),1)="F",INDEX($F$1247:$F$1299,MATCH(Paramètres!L52,Paramètres!$G$5:$G$57,0)),INDEX($E$1247:$E$1299,MATCH(Paramètres!L52,Paramètres!$G$5:$G$57,0)))+IF(RIGHT(TRIM(Paramètres!M52),3)="Fin",1-$H1294,IF(LEFT(TRIM(Paramètres!M52),1)="F",1,0)))),IF(Paramètres!N52="",0,IF(Paramètres!O52="",NA(),IF(LEFT(TRIM(Paramètres!O52),1)="F",INDEX($F$1247:$F$1299,MATCH(Paramètres!N52,Paramètres!$G$5:$G$57,0)),INDEX($E$1247:$E$1299,MATCH(Paramètres!N52,Paramètres!$G$5:$G$57,0)))+IF(RIGHT(TRIM(Paramètres!O52),3)="Fin",1-$H1294,IF(LEFT(TRIM(Paramètres!O52),1)="F",1,0)))))))</f>
        <v/>
      </c>
      <c r="F1294" s="19">
        <f>IF($A1294="","",E1294+$H1294-1)</f>
        <v/>
      </c>
      <c r="G1294" s="18" t="n"/>
      <c r="H1294" s="18">
        <f>IF($A1294="","",IF(I1294&lt;&gt;"",I1294,Paramètres!B52))</f>
        <v/>
      </c>
      <c r="I1294" s="18" t="n"/>
    </row>
    <row r="1295">
      <c r="A1295" s="18">
        <f>IF(ISNUMBER(Dossiers!$D$27),Dossiers!$A$27&amp;" · "&amp;Dossiers!$B$27,"")</f>
        <v/>
      </c>
      <c r="B1295" s="18">
        <f>IF($A1295="","",Paramètres!G53)</f>
        <v/>
      </c>
      <c r="C1295" s="18">
        <f>IF($A1295="","",IF(Paramètres!H53="","",Paramètres!H53))</f>
        <v/>
      </c>
      <c r="D1295" s="18">
        <f>IF($A1295="","",IF(Paramètres!I53="","",Paramètres!I53))</f>
        <v/>
      </c>
      <c r="E1295" s="19">
        <f>IF($A1295="","",IF(Paramètres!J53&amp;Paramètres!L53&amp;Paramètres!N53="",Dossiers!$D$27,MAX(IF(Paramètres!J53="",0,IF(Paramètres!K53="",NA(),IF(LEFT(TRIM(Paramètres!K53),1)="F",INDEX($F$1247:$F$1299,MATCH(Paramètres!J53,Paramètres!$G$5:$G$57,0)),INDEX($E$1247:$E$1299,MATCH(Paramètres!J53,Paramètres!$G$5:$G$57,0)))+IF(RIGHT(TRIM(Paramètres!K53),3)="Fin",1-$H1295,IF(LEFT(TRIM(Paramètres!K53),1)="F",1,0)))),IF(Paramètres!L53="",0,IF(Paramètres!M53="",NA(),IF(LEFT(TRIM(Paramètres!M53),1)="F",INDEX($F$1247:$F$1299,MATCH(Paramètres!L53,Paramètres!$G$5:$G$57,0)),INDEX($E$1247:$E$1299,MATCH(Paramètres!L53,Paramètres!$G$5:$G$57,0)))+IF(RIGHT(TRIM(Paramètres!M53),3)="Fin",1-$H1295,IF(LEFT(TRIM(Paramètres!M53),1)="F",1,0)))),IF(Paramètres!N53="",0,IF(Paramètres!O53="",NA(),IF(LEFT(TRIM(Paramètres!O53),1)="F",INDEX($F$1247:$F$1299,MATCH(Paramètres!N53,Paramètres!$G$5:$G$57,0)),INDEX($E$1247:$E$1299,MATCH(Paramètres!N53,Paramètres!$G$5:$G$57,0)))+IF(RIGHT(TRIM(Paramètres!O53),3)="Fin",1-$H1295,IF(LEFT(TRIM(Paramètres!O53),1)="F",1,0)))))))</f>
        <v/>
      </c>
      <c r="F1295" s="19">
        <f>IF($A1295="","",E1295+$H1295-1)</f>
        <v/>
      </c>
      <c r="G1295" s="18" t="n"/>
      <c r="H1295" s="18">
        <f>IF($A1295="","",IF(I1295&lt;&gt;"",I1295,Paramètres!B53))</f>
        <v/>
      </c>
      <c r="I1295" s="18" t="n"/>
    </row>
    <row r="1296">
      <c r="A1296" s="18">
        <f>IF(ISNUMBER(Dossiers!$D$27),Dossiers!$A$27&amp;" · "&amp;Dossiers!$B$27,"")</f>
        <v/>
      </c>
      <c r="B1296" s="18">
        <f>IF($A1296="","",Paramètres!G54)</f>
        <v/>
      </c>
      <c r="C1296" s="18">
        <f>IF($A1296="","",IF(Paramètres!H54="","",Paramètres!H54))</f>
        <v/>
      </c>
      <c r="D1296" s="18">
        <f>IF($A1296="","",IF(Paramètres!I54="","",Paramètres!I54))</f>
        <v/>
      </c>
      <c r="E1296" s="19">
        <f>IF($A1296="","",IF(Paramètres!J54&amp;Paramètres!L54&amp;Paramètres!N54="",Dossiers!$D$27,MAX(IF(Paramètres!J54="",0,IF(Paramètres!K54="",NA(),IF(LEFT(TRIM(Paramètres!K54),1)="F",INDEX($F$1247:$F$1299,MATCH(Paramètres!J54,Paramètres!$G$5:$G$57,0)),INDEX($E$1247:$E$1299,MATCH(Paramètres!J54,Paramètres!$G$5:$G$57,0)))+IF(RIGHT(TRIM(Paramètres!K54),3)="Fin",1-$H1296,IF(LEFT(TRIM(Paramètres!K54),1)="F",1,0)))),IF(Paramètres!L54="",0,IF(Paramètres!M54="",NA(),IF(LEFT(TRIM(Paramètres!M54),1)="F",INDEX($F$1247:$F$1299,MATCH(Paramètres!L54,Paramètres!$G$5:$G$57,0)),INDEX($E$1247:$E$1299,MATCH(Paramètres!L54,Paramètres!$G$5:$G$57,0)))+IF(RIGHT(TRIM(Paramètres!M54),3)="Fin",1-$H1296,IF(LEFT(TRIM(Paramètres!M54),1)="F",1,0)))),IF(Paramètres!N54="",0,IF(Paramètres!O54="",NA(),IF(LEFT(TRIM(Paramètres!O54),1)="F",INDEX($F$1247:$F$1299,MATCH(Paramètres!N54,Paramètres!$G$5:$G$57,0)),INDEX($E$1247:$E$1299,MATCH(Paramètres!N54,Paramètres!$G$5:$G$57,0)))+IF(RIGHT(TRIM(Paramètres!O54),3)="Fin",1-$H1296,IF(LEFT(TRIM(Paramètres!O54),1)="F",1,0)))))))</f>
        <v/>
      </c>
      <c r="F1296" s="19">
        <f>IF($A1296="","",E1296+$H1296-1)</f>
        <v/>
      </c>
      <c r="G1296" s="18" t="n"/>
      <c r="H1296" s="18">
        <f>IF($A1296="","",IF(I1296&lt;&gt;"",I1296,Paramètres!B54))</f>
        <v/>
      </c>
      <c r="I1296" s="18" t="n"/>
    </row>
    <row r="1297">
      <c r="A1297" s="18">
        <f>IF(ISNUMBER(Dossiers!$D$27),Dossiers!$A$27&amp;" · "&amp;Dossiers!$B$27,"")</f>
        <v/>
      </c>
      <c r="B1297" s="18">
        <f>IF($A1297="","",Paramètres!G55)</f>
        <v/>
      </c>
      <c r="C1297" s="18">
        <f>IF($A1297="","",IF(Paramètres!H55="","",Paramètres!H55))</f>
        <v/>
      </c>
      <c r="D1297" s="18">
        <f>IF($A1297="","",IF(Paramètres!I55="","",Paramètres!I55))</f>
        <v/>
      </c>
      <c r="E1297" s="19">
        <f>IF($A1297="","",IF(Paramètres!J55&amp;Paramètres!L55&amp;Paramètres!N55="",Dossiers!$D$27,MAX(IF(Paramètres!J55="",0,IF(Paramètres!K55="",NA(),IF(LEFT(TRIM(Paramètres!K55),1)="F",INDEX($F$1247:$F$1299,MATCH(Paramètres!J55,Paramètres!$G$5:$G$57,0)),INDEX($E$1247:$E$1299,MATCH(Paramètres!J55,Paramètres!$G$5:$G$57,0)))+IF(RIGHT(TRIM(Paramètres!K55),3)="Fin",1-$H1297,IF(LEFT(TRIM(Paramètres!K55),1)="F",1,0)))),IF(Paramètres!L55="",0,IF(Paramètres!M55="",NA(),IF(LEFT(TRIM(Paramètres!M55),1)="F",INDEX($F$1247:$F$1299,MATCH(Paramètres!L55,Paramètres!$G$5:$G$57,0)),INDEX($E$1247:$E$1299,MATCH(Paramètres!L55,Paramètres!$G$5:$G$57,0)))+IF(RIGHT(TRIM(Paramètres!M55),3)="Fin",1-$H1297,IF(LEFT(TRIM(Paramètres!M55),1)="F",1,0)))),IF(Paramètres!N55="",0,IF(Paramètres!O55="",NA(),IF(LEFT(TRIM(Paramètres!O55),1)="F",INDEX($F$1247:$F$1299,MATCH(Paramètres!N55,Paramètres!$G$5:$G$57,0)),INDEX($E$1247:$E$1299,MATCH(Paramètres!N55,Paramètres!$G$5:$G$57,0)))+IF(RIGHT(TRIM(Paramètres!O55),3)="Fin",1-$H1297,IF(LEFT(TRIM(Paramètres!O55),1)="F",1,0)))))))</f>
        <v/>
      </c>
      <c r="F1297" s="19">
        <f>IF($A1297="","",E1297+$H1297-1)</f>
        <v/>
      </c>
      <c r="G1297" s="18" t="n"/>
      <c r="H1297" s="18">
        <f>IF($A1297="","",IF(I1297&lt;&gt;"",I1297,Paramètres!B55))</f>
        <v/>
      </c>
      <c r="I1297" s="18" t="n"/>
    </row>
    <row r="1298">
      <c r="A1298" s="18">
        <f>IF(ISNUMBER(Dossiers!$D$27),Dossiers!$A$27&amp;" · "&amp;Dossiers!$B$27,"")</f>
        <v/>
      </c>
      <c r="B1298" s="18">
        <f>IF($A1298="","",Paramètres!G56)</f>
        <v/>
      </c>
      <c r="C1298" s="18">
        <f>IF($A1298="","",IF(Paramètres!H56="","",Paramètres!H56))</f>
        <v/>
      </c>
      <c r="D1298" s="18">
        <f>IF($A1298="","",IF(Paramètres!I56="","",Paramètres!I56))</f>
        <v/>
      </c>
      <c r="E1298" s="19">
        <f>IF($A1298="","",MIN(E1299:E1299))</f>
        <v/>
      </c>
      <c r="F1298" s="19">
        <f>IF($A1298="","",MAX(F1299:F1299))</f>
        <v/>
      </c>
      <c r="G1298" s="18" t="n"/>
      <c r="H1298" s="18">
        <f>IF($A1298="","",F1298-E1298+1)</f>
        <v/>
      </c>
      <c r="I1298" s="18" t="n"/>
    </row>
    <row r="1299">
      <c r="A1299" s="18">
        <f>IF(ISNUMBER(Dossiers!$D$27),Dossiers!$A$27&amp;" · "&amp;Dossiers!$B$27,"")</f>
        <v/>
      </c>
      <c r="B1299" s="18">
        <f>IF($A1299="","",Paramètres!G57)</f>
        <v/>
      </c>
      <c r="C1299" s="18">
        <f>IF($A1299="","",IF(Paramètres!H57="","",Paramètres!H57))</f>
        <v/>
      </c>
      <c r="D1299" s="18">
        <f>IF($A1299="","",IF(Paramètres!I57="","",Paramètres!I57))</f>
        <v/>
      </c>
      <c r="E1299" s="19">
        <f>IF($A1299="","",IF(Paramètres!J57&amp;Paramètres!L57&amp;Paramètres!N57="",Dossiers!$D$27,MAX(IF(Paramètres!J57="",0,IF(Paramètres!K57="",NA(),IF(LEFT(TRIM(Paramètres!K57),1)="F",INDEX($F$1247:$F$1299,MATCH(Paramètres!J57,Paramètres!$G$5:$G$57,0)),INDEX($E$1247:$E$1299,MATCH(Paramètres!J57,Paramètres!$G$5:$G$57,0)))+IF(RIGHT(TRIM(Paramètres!K57),3)="Fin",1-$H1299,IF(LEFT(TRIM(Paramètres!K57),1)="F",1,0)))),IF(Paramètres!L57="",0,IF(Paramètres!M57="",NA(),IF(LEFT(TRIM(Paramètres!M57),1)="F",INDEX($F$1247:$F$1299,MATCH(Paramètres!L57,Paramètres!$G$5:$G$57,0)),INDEX($E$1247:$E$1299,MATCH(Paramètres!L57,Paramètres!$G$5:$G$57,0)))+IF(RIGHT(TRIM(Paramètres!M57),3)="Fin",1-$H1299,IF(LEFT(TRIM(Paramètres!M57),1)="F",1,0)))),IF(Paramètres!N57="",0,IF(Paramètres!O57="",NA(),IF(LEFT(TRIM(Paramètres!O57),1)="F",INDEX($F$1247:$F$1299,MATCH(Paramètres!N57,Paramètres!$G$5:$G$57,0)),INDEX($E$1247:$E$1299,MATCH(Paramètres!N57,Paramètres!$G$5:$G$57,0)))+IF(RIGHT(TRIM(Paramètres!O57),3)="Fin",1-$H1299,IF(LEFT(TRIM(Paramètres!O57),1)="F",1,0)))))))</f>
        <v/>
      </c>
      <c r="F1299" s="19">
        <f>IF($A1299="","",E1299+$H1299-1)</f>
        <v/>
      </c>
      <c r="G1299" s="18" t="n"/>
      <c r="H1299" s="18">
        <f>IF($A1299="","",IF(I1299&lt;&gt;"",I1299,Paramètres!B57))</f>
        <v/>
      </c>
      <c r="I1299" s="18" t="n"/>
    </row>
    <row r="1300">
      <c r="A1300" s="16">
        <f>IF(ISNUMBER(Dossiers!$D$28),Dossiers!$E$28,"")</f>
        <v/>
      </c>
      <c r="B1300" s="16">
        <f>IF($A1300="","","Identifiant")</f>
        <v/>
      </c>
      <c r="C1300" s="16">
        <f>IF($A1300="","","Macro Etape")</f>
        <v/>
      </c>
      <c r="D1300" s="16">
        <f>IF($A1300="","","Etape")</f>
        <v/>
      </c>
      <c r="E1300" s="17">
        <f>IF($A1300="","","Début le")</f>
        <v/>
      </c>
      <c r="F1300" s="17">
        <f>IF($A1300="","","Fin prévue le")</f>
        <v/>
      </c>
      <c r="G1300" s="16">
        <f>IF($A1300="","","Statut")</f>
        <v/>
      </c>
      <c r="H1300" s="16">
        <f>IF($A1300="","","Durée (jours)")</f>
        <v/>
      </c>
      <c r="I1300" s="16">
        <f>IF($A1300="","","Durée particulière")</f>
        <v/>
      </c>
      <c r="J1300" s="10">
        <f>IF($A1300="","",HYPERLINK("#'Tableau de bord'!A1","↑ Tableau de bord"))</f>
        <v/>
      </c>
    </row>
    <row r="1301">
      <c r="A1301" s="18">
        <f>IF(ISNUMBER(Dossiers!$D$28),Dossiers!$A$28&amp;" · "&amp;Dossiers!$B$28,"")</f>
        <v/>
      </c>
      <c r="B1301" s="18">
        <f>IF($A1301="","",Paramètres!G5)</f>
        <v/>
      </c>
      <c r="C1301" s="18">
        <f>IF($A1301="","",IF(Paramètres!H5="","",Paramètres!H5))</f>
        <v/>
      </c>
      <c r="D1301" s="18">
        <f>IF($A1301="","",IF(Paramètres!I5="","",Paramètres!I5))</f>
        <v/>
      </c>
      <c r="E1301" s="19">
        <f>IF($A1301="","",MIN(E1302:E1305))</f>
        <v/>
      </c>
      <c r="F1301" s="19">
        <f>IF($A1301="","",MAX(F1302:F1305))</f>
        <v/>
      </c>
      <c r="G1301" s="18" t="n"/>
      <c r="H1301" s="18">
        <f>IF($A1301="","",F1301-E1301+1)</f>
        <v/>
      </c>
      <c r="I1301" s="18" t="n"/>
    </row>
    <row r="1302">
      <c r="A1302" s="18">
        <f>IF(ISNUMBER(Dossiers!$D$28),Dossiers!$A$28&amp;" · "&amp;Dossiers!$B$28,"")</f>
        <v/>
      </c>
      <c r="B1302" s="18">
        <f>IF($A1302="","",Paramètres!G6)</f>
        <v/>
      </c>
      <c r="C1302" s="18">
        <f>IF($A1302="","",IF(Paramètres!H6="","",Paramètres!H6))</f>
        <v/>
      </c>
      <c r="D1302" s="18">
        <f>IF($A1302="","",IF(Paramètres!I6="","",Paramètres!I6))</f>
        <v/>
      </c>
      <c r="E1302" s="19">
        <f>IF($A1302="","",IF(Paramètres!J6&amp;Paramètres!L6&amp;Paramètres!N6="",Dossiers!$D$28,MAX(IF(Paramètres!J6="",0,IF(Paramètres!K6="",NA(),IF(LEFT(TRIM(Paramètres!K6),1)="F",INDEX($F$1301:$F$1353,MATCH(Paramètres!J6,Paramètres!$G$5:$G$57,0)),INDEX($E$1301:$E$1353,MATCH(Paramètres!J6,Paramètres!$G$5:$G$57,0)))+IF(RIGHT(TRIM(Paramètres!K6),3)="Fin",1-$H1302,IF(LEFT(TRIM(Paramètres!K6),1)="F",1,0)))),IF(Paramètres!L6="",0,IF(Paramètres!M6="",NA(),IF(LEFT(TRIM(Paramètres!M6),1)="F",INDEX($F$1301:$F$1353,MATCH(Paramètres!L6,Paramètres!$G$5:$G$57,0)),INDEX($E$1301:$E$1353,MATCH(Paramètres!L6,Paramètres!$G$5:$G$57,0)))+IF(RIGHT(TRIM(Paramètres!M6),3)="Fin",1-$H1302,IF(LEFT(TRIM(Paramètres!M6),1)="F",1,0)))),IF(Paramètres!N6="",0,IF(Paramètres!O6="",NA(),IF(LEFT(TRIM(Paramètres!O6),1)="F",INDEX($F$1301:$F$1353,MATCH(Paramètres!N6,Paramètres!$G$5:$G$57,0)),INDEX($E$1301:$E$1353,MATCH(Paramètres!N6,Paramètres!$G$5:$G$57,0)))+IF(RIGHT(TRIM(Paramètres!O6),3)="Fin",1-$H1302,IF(LEFT(TRIM(Paramètres!O6),1)="F",1,0)))))))</f>
        <v/>
      </c>
      <c r="F1302" s="19">
        <f>IF($A1302="","",E1302+$H1302-1)</f>
        <v/>
      </c>
      <c r="G1302" s="18" t="n"/>
      <c r="H1302" s="18">
        <f>IF($A1302="","",IF(I1302&lt;&gt;"",I1302,Paramètres!B6))</f>
        <v/>
      </c>
      <c r="I1302" s="18" t="n"/>
    </row>
    <row r="1303">
      <c r="A1303" s="18">
        <f>IF(ISNUMBER(Dossiers!$D$28),Dossiers!$A$28&amp;" · "&amp;Dossiers!$B$28,"")</f>
        <v/>
      </c>
      <c r="B1303" s="18">
        <f>IF($A1303="","",Paramètres!G7)</f>
        <v/>
      </c>
      <c r="C1303" s="18">
        <f>IF($A1303="","",IF(Paramètres!H7="","",Paramètres!H7))</f>
        <v/>
      </c>
      <c r="D1303" s="18">
        <f>IF($A1303="","",IF(Paramètres!I7="","",Paramètres!I7))</f>
        <v/>
      </c>
      <c r="E1303" s="19">
        <f>IF($A1303="","",IF(Paramètres!J7&amp;Paramètres!L7&amp;Paramètres!N7="",Dossiers!$D$28,MAX(IF(Paramètres!J7="",0,IF(Paramètres!K7="",NA(),IF(LEFT(TRIM(Paramètres!K7),1)="F",INDEX($F$1301:$F$1353,MATCH(Paramètres!J7,Paramètres!$G$5:$G$57,0)),INDEX($E$1301:$E$1353,MATCH(Paramètres!J7,Paramètres!$G$5:$G$57,0)))+IF(RIGHT(TRIM(Paramètres!K7),3)="Fin",1-$H1303,IF(LEFT(TRIM(Paramètres!K7),1)="F",1,0)))),IF(Paramètres!L7="",0,IF(Paramètres!M7="",NA(),IF(LEFT(TRIM(Paramètres!M7),1)="F",INDEX($F$1301:$F$1353,MATCH(Paramètres!L7,Paramètres!$G$5:$G$57,0)),INDEX($E$1301:$E$1353,MATCH(Paramètres!L7,Paramètres!$G$5:$G$57,0)))+IF(RIGHT(TRIM(Paramètres!M7),3)="Fin",1-$H1303,IF(LEFT(TRIM(Paramètres!M7),1)="F",1,0)))),IF(Paramètres!N7="",0,IF(Paramètres!O7="",NA(),IF(LEFT(TRIM(Paramètres!O7),1)="F",INDEX($F$1301:$F$1353,MATCH(Paramètres!N7,Paramètres!$G$5:$G$57,0)),INDEX($E$1301:$E$1353,MATCH(Paramètres!N7,Paramètres!$G$5:$G$57,0)))+IF(RIGHT(TRIM(Paramètres!O7),3)="Fin",1-$H1303,IF(LEFT(TRIM(Paramètres!O7),1)="F",1,0)))))))</f>
        <v/>
      </c>
      <c r="F1303" s="19">
        <f>IF($A1303="","",E1303+$H1303-1)</f>
        <v/>
      </c>
      <c r="G1303" s="18" t="n"/>
      <c r="H1303" s="18">
        <f>IF($A1303="","",IF(I1303&lt;&gt;"",I1303,Paramètres!B7))</f>
        <v/>
      </c>
      <c r="I1303" s="18" t="n"/>
    </row>
    <row r="1304">
      <c r="A1304" s="18">
        <f>IF(ISNUMBER(Dossiers!$D$28),Dossiers!$A$28&amp;" · "&amp;Dossiers!$B$28,"")</f>
        <v/>
      </c>
      <c r="B1304" s="18">
        <f>IF($A1304="","",Paramètres!G8)</f>
        <v/>
      </c>
      <c r="C1304" s="18">
        <f>IF($A1304="","",IF(Paramètres!H8="","",Paramètres!H8))</f>
        <v/>
      </c>
      <c r="D1304" s="18">
        <f>IF($A1304="","",IF(Paramètres!I8="","",Paramètres!I8))</f>
        <v/>
      </c>
      <c r="E1304" s="19">
        <f>IF($A1304="","",IF(Paramètres!J8&amp;Paramètres!L8&amp;Paramètres!N8="",Dossiers!$D$28,MAX(IF(Paramètres!J8="",0,IF(Paramètres!K8="",NA(),IF(LEFT(TRIM(Paramètres!K8),1)="F",INDEX($F$1301:$F$1353,MATCH(Paramètres!J8,Paramètres!$G$5:$G$57,0)),INDEX($E$1301:$E$1353,MATCH(Paramètres!J8,Paramètres!$G$5:$G$57,0)))+IF(RIGHT(TRIM(Paramètres!K8),3)="Fin",1-$H1304,IF(LEFT(TRIM(Paramètres!K8),1)="F",1,0)))),IF(Paramètres!L8="",0,IF(Paramètres!M8="",NA(),IF(LEFT(TRIM(Paramètres!M8),1)="F",INDEX($F$1301:$F$1353,MATCH(Paramètres!L8,Paramètres!$G$5:$G$57,0)),INDEX($E$1301:$E$1353,MATCH(Paramètres!L8,Paramètres!$G$5:$G$57,0)))+IF(RIGHT(TRIM(Paramètres!M8),3)="Fin",1-$H1304,IF(LEFT(TRIM(Paramètres!M8),1)="F",1,0)))),IF(Paramètres!N8="",0,IF(Paramètres!O8="",NA(),IF(LEFT(TRIM(Paramètres!O8),1)="F",INDEX($F$1301:$F$1353,MATCH(Paramètres!N8,Paramètres!$G$5:$G$57,0)),INDEX($E$1301:$E$1353,MATCH(Paramètres!N8,Paramètres!$G$5:$G$57,0)))+IF(RIGHT(TRIM(Paramètres!O8),3)="Fin",1-$H1304,IF(LEFT(TRIM(Paramètres!O8),1)="F",1,0)))))))</f>
        <v/>
      </c>
      <c r="F1304" s="19">
        <f>IF($A1304="","",E1304+$H1304-1)</f>
        <v/>
      </c>
      <c r="G1304" s="18" t="n"/>
      <c r="H1304" s="18">
        <f>IF($A1304="","",IF(I1304&lt;&gt;"",I1304,Paramètres!B8))</f>
        <v/>
      </c>
      <c r="I1304" s="18" t="n"/>
    </row>
    <row r="1305">
      <c r="A1305" s="18">
        <f>IF(ISNUMBER(Dossiers!$D$28),Dossiers!$A$28&amp;" · "&amp;Dossiers!$B$28,"")</f>
        <v/>
      </c>
      <c r="B1305" s="18">
        <f>IF($A1305="","",Paramètres!G9)</f>
        <v/>
      </c>
      <c r="C1305" s="18">
        <f>IF($A1305="","",IF(Paramètres!H9="","",Paramètres!H9))</f>
        <v/>
      </c>
      <c r="D1305" s="18">
        <f>IF($A1305="","",IF(Paramètres!I9="","",Paramètres!I9))</f>
        <v/>
      </c>
      <c r="E1305" s="19">
        <f>IF($A1305="","",IF(Paramètres!J9&amp;Paramètres!L9&amp;Paramètres!N9="",Dossiers!$D$28,MAX(IF(Paramètres!J9="",0,IF(Paramètres!K9="",NA(),IF(LEFT(TRIM(Paramètres!K9),1)="F",INDEX($F$1301:$F$1353,MATCH(Paramètres!J9,Paramètres!$G$5:$G$57,0)),INDEX($E$1301:$E$1353,MATCH(Paramètres!J9,Paramètres!$G$5:$G$57,0)))+IF(RIGHT(TRIM(Paramètres!K9),3)="Fin",1-$H1305,IF(LEFT(TRIM(Paramètres!K9),1)="F",1,0)))),IF(Paramètres!L9="",0,IF(Paramètres!M9="",NA(),IF(LEFT(TRIM(Paramètres!M9),1)="F",INDEX($F$1301:$F$1353,MATCH(Paramètres!L9,Paramètres!$G$5:$G$57,0)),INDEX($E$1301:$E$1353,MATCH(Paramètres!L9,Paramètres!$G$5:$G$57,0)))+IF(RIGHT(TRIM(Paramètres!M9),3)="Fin",1-$H1305,IF(LEFT(TRIM(Paramètres!M9),1)="F",1,0)))),IF(Paramètres!N9="",0,IF(Paramètres!O9="",NA(),IF(LEFT(TRIM(Paramètres!O9),1)="F",INDEX($F$1301:$F$1353,MATCH(Paramètres!N9,Paramètres!$G$5:$G$57,0)),INDEX($E$1301:$E$1353,MATCH(Paramètres!N9,Paramètres!$G$5:$G$57,0)))+IF(RIGHT(TRIM(Paramètres!O9),3)="Fin",1-$H1305,IF(LEFT(TRIM(Paramètres!O9),1)="F",1,0)))))))</f>
        <v/>
      </c>
      <c r="F1305" s="19">
        <f>IF($A1305="","",E1305+$H1305-1)</f>
        <v/>
      </c>
      <c r="G1305" s="18" t="n"/>
      <c r="H1305" s="18">
        <f>IF($A1305="","",IF(I1305&lt;&gt;"",I1305,Paramètres!B9))</f>
        <v/>
      </c>
      <c r="I1305" s="18" t="n"/>
    </row>
    <row r="1306">
      <c r="A1306" s="18">
        <f>IF(ISNUMBER(Dossiers!$D$28),Dossiers!$A$28&amp;" · "&amp;Dossiers!$B$28,"")</f>
        <v/>
      </c>
      <c r="B1306" s="18">
        <f>IF($A1306="","",Paramètres!G10)</f>
        <v/>
      </c>
      <c r="C1306" s="18">
        <f>IF($A1306="","",IF(Paramètres!H10="","",Paramètres!H10))</f>
        <v/>
      </c>
      <c r="D1306" s="18">
        <f>IF($A1306="","",IF(Paramètres!I10="","",Paramètres!I10))</f>
        <v/>
      </c>
      <c r="E1306" s="19">
        <f>IF($A1306="","",MIN(E1307:E1310))</f>
        <v/>
      </c>
      <c r="F1306" s="19">
        <f>IF($A1306="","",MAX(F1307:F1310))</f>
        <v/>
      </c>
      <c r="G1306" s="18" t="n"/>
      <c r="H1306" s="18">
        <f>IF($A1306="","",F1306-E1306+1)</f>
        <v/>
      </c>
      <c r="I1306" s="18" t="n"/>
    </row>
    <row r="1307">
      <c r="A1307" s="18">
        <f>IF(ISNUMBER(Dossiers!$D$28),Dossiers!$A$28&amp;" · "&amp;Dossiers!$B$28,"")</f>
        <v/>
      </c>
      <c r="B1307" s="18">
        <f>IF($A1307="","",Paramètres!G11)</f>
        <v/>
      </c>
      <c r="C1307" s="18">
        <f>IF($A1307="","",IF(Paramètres!H11="","",Paramètres!H11))</f>
        <v/>
      </c>
      <c r="D1307" s="18">
        <f>IF($A1307="","",IF(Paramètres!I11="","",Paramètres!I11))</f>
        <v/>
      </c>
      <c r="E1307" s="19">
        <f>IF($A1307="","",IF(Paramètres!J11&amp;Paramètres!L11&amp;Paramètres!N11="",Dossiers!$D$28,MAX(IF(Paramètres!J11="",0,IF(Paramètres!K11="",NA(),IF(LEFT(TRIM(Paramètres!K11),1)="F",INDEX($F$1301:$F$1353,MATCH(Paramètres!J11,Paramètres!$G$5:$G$57,0)),INDEX($E$1301:$E$1353,MATCH(Paramètres!J11,Paramètres!$G$5:$G$57,0)))+IF(RIGHT(TRIM(Paramètres!K11),3)="Fin",1-$H1307,IF(LEFT(TRIM(Paramètres!K11),1)="F",1,0)))),IF(Paramètres!L11="",0,IF(Paramètres!M11="",NA(),IF(LEFT(TRIM(Paramètres!M11),1)="F",INDEX($F$1301:$F$1353,MATCH(Paramètres!L11,Paramètres!$G$5:$G$57,0)),INDEX($E$1301:$E$1353,MATCH(Paramètres!L11,Paramètres!$G$5:$G$57,0)))+IF(RIGHT(TRIM(Paramètres!M11),3)="Fin",1-$H1307,IF(LEFT(TRIM(Paramètres!M11),1)="F",1,0)))),IF(Paramètres!N11="",0,IF(Paramètres!O11="",NA(),IF(LEFT(TRIM(Paramètres!O11),1)="F",INDEX($F$1301:$F$1353,MATCH(Paramètres!N11,Paramètres!$G$5:$G$57,0)),INDEX($E$1301:$E$1353,MATCH(Paramètres!N11,Paramètres!$G$5:$G$57,0)))+IF(RIGHT(TRIM(Paramètres!O11),3)="Fin",1-$H1307,IF(LEFT(TRIM(Paramètres!O11),1)="F",1,0)))))))</f>
        <v/>
      </c>
      <c r="F1307" s="19">
        <f>IF($A1307="","",E1307+$H1307-1)</f>
        <v/>
      </c>
      <c r="G1307" s="18" t="n"/>
      <c r="H1307" s="18">
        <f>IF($A1307="","",IF(I1307&lt;&gt;"",I1307,Paramètres!B11))</f>
        <v/>
      </c>
      <c r="I1307" s="18" t="n"/>
    </row>
    <row r="1308">
      <c r="A1308" s="18">
        <f>IF(ISNUMBER(Dossiers!$D$28),Dossiers!$A$28&amp;" · "&amp;Dossiers!$B$28,"")</f>
        <v/>
      </c>
      <c r="B1308" s="18">
        <f>IF($A1308="","",Paramètres!G12)</f>
        <v/>
      </c>
      <c r="C1308" s="18">
        <f>IF($A1308="","",IF(Paramètres!H12="","",Paramètres!H12))</f>
        <v/>
      </c>
      <c r="D1308" s="18">
        <f>IF($A1308="","",IF(Paramètres!I12="","",Paramètres!I12))</f>
        <v/>
      </c>
      <c r="E1308" s="19">
        <f>IF($A1308="","",IF(Paramètres!J12&amp;Paramètres!L12&amp;Paramètres!N12="",Dossiers!$D$28,MAX(IF(Paramètres!J12="",0,IF(Paramètres!K12="",NA(),IF(LEFT(TRIM(Paramètres!K12),1)="F",INDEX($F$1301:$F$1353,MATCH(Paramètres!J12,Paramètres!$G$5:$G$57,0)),INDEX($E$1301:$E$1353,MATCH(Paramètres!J12,Paramètres!$G$5:$G$57,0)))+IF(RIGHT(TRIM(Paramètres!K12),3)="Fin",1-$H1308,IF(LEFT(TRIM(Paramètres!K12),1)="F",1,0)))),IF(Paramètres!L12="",0,IF(Paramètres!M12="",NA(),IF(LEFT(TRIM(Paramètres!M12),1)="F",INDEX($F$1301:$F$1353,MATCH(Paramètres!L12,Paramètres!$G$5:$G$57,0)),INDEX($E$1301:$E$1353,MATCH(Paramètres!L12,Paramètres!$G$5:$G$57,0)))+IF(RIGHT(TRIM(Paramètres!M12),3)="Fin",1-$H1308,IF(LEFT(TRIM(Paramètres!M12),1)="F",1,0)))),IF(Paramètres!N12="",0,IF(Paramètres!O12="",NA(),IF(LEFT(TRIM(Paramètres!O12),1)="F",INDEX($F$1301:$F$1353,MATCH(Paramètres!N12,Paramètres!$G$5:$G$57,0)),INDEX($E$1301:$E$1353,MATCH(Paramètres!N12,Paramètres!$G$5:$G$57,0)))+IF(RIGHT(TRIM(Paramètres!O12),3)="Fin",1-$H1308,IF(LEFT(TRIM(Paramètres!O12),1)="F",1,0)))))))</f>
        <v/>
      </c>
      <c r="F1308" s="19">
        <f>IF($A1308="","",E1308+$H1308-1)</f>
        <v/>
      </c>
      <c r="G1308" s="18" t="n"/>
      <c r="H1308" s="18">
        <f>IF($A1308="","",IF(I1308&lt;&gt;"",I1308,Paramètres!B12))</f>
        <v/>
      </c>
      <c r="I1308" s="18" t="n"/>
    </row>
    <row r="1309">
      <c r="A1309" s="18">
        <f>IF(ISNUMBER(Dossiers!$D$28),Dossiers!$A$28&amp;" · "&amp;Dossiers!$B$28,"")</f>
        <v/>
      </c>
      <c r="B1309" s="18">
        <f>IF($A1309="","",Paramètres!G13)</f>
        <v/>
      </c>
      <c r="C1309" s="18">
        <f>IF($A1309="","",IF(Paramètres!H13="","",Paramètres!H13))</f>
        <v/>
      </c>
      <c r="D1309" s="18">
        <f>IF($A1309="","",IF(Paramètres!I13="","",Paramètres!I13))</f>
        <v/>
      </c>
      <c r="E1309" s="19">
        <f>IF($A1309="","",IF(Paramètres!J13&amp;Paramètres!L13&amp;Paramètres!N13="",Dossiers!$D$28,MAX(IF(Paramètres!J13="",0,IF(Paramètres!K13="",NA(),IF(LEFT(TRIM(Paramètres!K13),1)="F",INDEX($F$1301:$F$1353,MATCH(Paramètres!J13,Paramètres!$G$5:$G$57,0)),INDEX($E$1301:$E$1353,MATCH(Paramètres!J13,Paramètres!$G$5:$G$57,0)))+IF(RIGHT(TRIM(Paramètres!K13),3)="Fin",1-$H1309,IF(LEFT(TRIM(Paramètres!K13),1)="F",1,0)))),IF(Paramètres!L13="",0,IF(Paramètres!M13="",NA(),IF(LEFT(TRIM(Paramètres!M13),1)="F",INDEX($F$1301:$F$1353,MATCH(Paramètres!L13,Paramètres!$G$5:$G$57,0)),INDEX($E$1301:$E$1353,MATCH(Paramètres!L13,Paramètres!$G$5:$G$57,0)))+IF(RIGHT(TRIM(Paramètres!M13),3)="Fin",1-$H1309,IF(LEFT(TRIM(Paramètres!M13),1)="F",1,0)))),IF(Paramètres!N13="",0,IF(Paramètres!O13="",NA(),IF(LEFT(TRIM(Paramètres!O13),1)="F",INDEX($F$1301:$F$1353,MATCH(Paramètres!N13,Paramètres!$G$5:$G$57,0)),INDEX($E$1301:$E$1353,MATCH(Paramètres!N13,Paramètres!$G$5:$G$57,0)))+IF(RIGHT(TRIM(Paramètres!O13),3)="Fin",1-$H1309,IF(LEFT(TRIM(Paramètres!O13),1)="F",1,0)))))))</f>
        <v/>
      </c>
      <c r="F1309" s="19">
        <f>IF($A1309="","",E1309+$H1309-1)</f>
        <v/>
      </c>
      <c r="G1309" s="18" t="n"/>
      <c r="H1309" s="18">
        <f>IF($A1309="","",IF(I1309&lt;&gt;"",I1309,Paramètres!B13))</f>
        <v/>
      </c>
      <c r="I1309" s="18" t="n"/>
    </row>
    <row r="1310">
      <c r="A1310" s="18">
        <f>IF(ISNUMBER(Dossiers!$D$28),Dossiers!$A$28&amp;" · "&amp;Dossiers!$B$28,"")</f>
        <v/>
      </c>
      <c r="B1310" s="18">
        <f>IF($A1310="","",Paramètres!G14)</f>
        <v/>
      </c>
      <c r="C1310" s="18">
        <f>IF($A1310="","",IF(Paramètres!H14="","",Paramètres!H14))</f>
        <v/>
      </c>
      <c r="D1310" s="18">
        <f>IF($A1310="","",IF(Paramètres!I14="","",Paramètres!I14))</f>
        <v/>
      </c>
      <c r="E1310" s="19">
        <f>IF($A1310="","",IF(Paramètres!J14&amp;Paramètres!L14&amp;Paramètres!N14="",Dossiers!$D$28,MAX(IF(Paramètres!J14="",0,IF(Paramètres!K14="",NA(),IF(LEFT(TRIM(Paramètres!K14),1)="F",INDEX($F$1301:$F$1353,MATCH(Paramètres!J14,Paramètres!$G$5:$G$57,0)),INDEX($E$1301:$E$1353,MATCH(Paramètres!J14,Paramètres!$G$5:$G$57,0)))+IF(RIGHT(TRIM(Paramètres!K14),3)="Fin",1-$H1310,IF(LEFT(TRIM(Paramètres!K14),1)="F",1,0)))),IF(Paramètres!L14="",0,IF(Paramètres!M14="",NA(),IF(LEFT(TRIM(Paramètres!M14),1)="F",INDEX($F$1301:$F$1353,MATCH(Paramètres!L14,Paramètres!$G$5:$G$57,0)),INDEX($E$1301:$E$1353,MATCH(Paramètres!L14,Paramètres!$G$5:$G$57,0)))+IF(RIGHT(TRIM(Paramètres!M14),3)="Fin",1-$H1310,IF(LEFT(TRIM(Paramètres!M14),1)="F",1,0)))),IF(Paramètres!N14="",0,IF(Paramètres!O14="",NA(),IF(LEFT(TRIM(Paramètres!O14),1)="F",INDEX($F$1301:$F$1353,MATCH(Paramètres!N14,Paramètres!$G$5:$G$57,0)),INDEX($E$1301:$E$1353,MATCH(Paramètres!N14,Paramètres!$G$5:$G$57,0)))+IF(RIGHT(TRIM(Paramètres!O14),3)="Fin",1-$H1310,IF(LEFT(TRIM(Paramètres!O14),1)="F",1,0)))))))</f>
        <v/>
      </c>
      <c r="F1310" s="19">
        <f>IF($A1310="","",E1310+$H1310-1)</f>
        <v/>
      </c>
      <c r="G1310" s="18" t="n"/>
      <c r="H1310" s="18">
        <f>IF($A1310="","",IF(I1310&lt;&gt;"",I1310,Paramètres!B14))</f>
        <v/>
      </c>
      <c r="I1310" s="18" t="n"/>
    </row>
    <row r="1311">
      <c r="A1311" s="18">
        <f>IF(ISNUMBER(Dossiers!$D$28),Dossiers!$A$28&amp;" · "&amp;Dossiers!$B$28,"")</f>
        <v/>
      </c>
      <c r="B1311" s="18">
        <f>IF($A1311="","",Paramètres!G15)</f>
        <v/>
      </c>
      <c r="C1311" s="18">
        <f>IF($A1311="","",IF(Paramètres!H15="","",Paramètres!H15))</f>
        <v/>
      </c>
      <c r="D1311" s="18">
        <f>IF($A1311="","",IF(Paramètres!I15="","",Paramètres!I15))</f>
        <v/>
      </c>
      <c r="E1311" s="19">
        <f>IF($A1311="","",MIN(E1312:E1327))</f>
        <v/>
      </c>
      <c r="F1311" s="19">
        <f>IF($A1311="","",MAX(F1312:F1327))</f>
        <v/>
      </c>
      <c r="G1311" s="18" t="n"/>
      <c r="H1311" s="18">
        <f>IF($A1311="","",F1311-E1311+1)</f>
        <v/>
      </c>
      <c r="I1311" s="18" t="n"/>
    </row>
    <row r="1312">
      <c r="A1312" s="18">
        <f>IF(ISNUMBER(Dossiers!$D$28),Dossiers!$A$28&amp;" · "&amp;Dossiers!$B$28,"")</f>
        <v/>
      </c>
      <c r="B1312" s="18">
        <f>IF($A1312="","",Paramètres!G16)</f>
        <v/>
      </c>
      <c r="C1312" s="18">
        <f>IF($A1312="","",IF(Paramètres!H16="","",Paramètres!H16))</f>
        <v/>
      </c>
      <c r="D1312" s="18">
        <f>IF($A1312="","",IF(Paramètres!I16="","",Paramètres!I16))</f>
        <v/>
      </c>
      <c r="E1312" s="19">
        <f>IF($A1312="","",IF(Paramètres!J16&amp;Paramètres!L16&amp;Paramètres!N16="",Dossiers!$D$28,MAX(IF(Paramètres!J16="",0,IF(Paramètres!K16="",NA(),IF(LEFT(TRIM(Paramètres!K16),1)="F",INDEX($F$1301:$F$1353,MATCH(Paramètres!J16,Paramètres!$G$5:$G$57,0)),INDEX($E$1301:$E$1353,MATCH(Paramètres!J16,Paramètres!$G$5:$G$57,0)))+IF(RIGHT(TRIM(Paramètres!K16),3)="Fin",1-$H1312,IF(LEFT(TRIM(Paramètres!K16),1)="F",1,0)))),IF(Paramètres!L16="",0,IF(Paramètres!M16="",NA(),IF(LEFT(TRIM(Paramètres!M16),1)="F",INDEX($F$1301:$F$1353,MATCH(Paramètres!L16,Paramètres!$G$5:$G$57,0)),INDEX($E$1301:$E$1353,MATCH(Paramètres!L16,Paramètres!$G$5:$G$57,0)))+IF(RIGHT(TRIM(Paramètres!M16),3)="Fin",1-$H1312,IF(LEFT(TRIM(Paramètres!M16),1)="F",1,0)))),IF(Paramètres!N16="",0,IF(Paramètres!O16="",NA(),IF(LEFT(TRIM(Paramètres!O16),1)="F",INDEX($F$1301:$F$1353,MATCH(Paramètres!N16,Paramètres!$G$5:$G$57,0)),INDEX($E$1301:$E$1353,MATCH(Paramètres!N16,Paramètres!$G$5:$G$57,0)))+IF(RIGHT(TRIM(Paramètres!O16),3)="Fin",1-$H1312,IF(LEFT(TRIM(Paramètres!O16),1)="F",1,0)))))))</f>
        <v/>
      </c>
      <c r="F1312" s="19">
        <f>IF($A1312="","",E1312+$H1312-1)</f>
        <v/>
      </c>
      <c r="G1312" s="18" t="n"/>
      <c r="H1312" s="18">
        <f>IF($A1312="","",IF(I1312&lt;&gt;"",I1312,Paramètres!B16))</f>
        <v/>
      </c>
      <c r="I1312" s="18" t="n"/>
    </row>
    <row r="1313">
      <c r="A1313" s="18">
        <f>IF(ISNUMBER(Dossiers!$D$28),Dossiers!$A$28&amp;" · "&amp;Dossiers!$B$28,"")</f>
        <v/>
      </c>
      <c r="B1313" s="18">
        <f>IF($A1313="","",Paramètres!G17)</f>
        <v/>
      </c>
      <c r="C1313" s="18">
        <f>IF($A1313="","",IF(Paramètres!H17="","",Paramètres!H17))</f>
        <v/>
      </c>
      <c r="D1313" s="18">
        <f>IF($A1313="","",IF(Paramètres!I17="","",Paramètres!I17))</f>
        <v/>
      </c>
      <c r="E1313" s="19">
        <f>IF($A1313="","",IF(Paramètres!J17&amp;Paramètres!L17&amp;Paramètres!N17="",Dossiers!$D$28,MAX(IF(Paramètres!J17="",0,IF(Paramètres!K17="",NA(),IF(LEFT(TRIM(Paramètres!K17),1)="F",INDEX($F$1301:$F$1353,MATCH(Paramètres!J17,Paramètres!$G$5:$G$57,0)),INDEX($E$1301:$E$1353,MATCH(Paramètres!J17,Paramètres!$G$5:$G$57,0)))+IF(RIGHT(TRIM(Paramètres!K17),3)="Fin",1-$H1313,IF(LEFT(TRIM(Paramètres!K17),1)="F",1,0)))),IF(Paramètres!L17="",0,IF(Paramètres!M17="",NA(),IF(LEFT(TRIM(Paramètres!M17),1)="F",INDEX($F$1301:$F$1353,MATCH(Paramètres!L17,Paramètres!$G$5:$G$57,0)),INDEX($E$1301:$E$1353,MATCH(Paramètres!L17,Paramètres!$G$5:$G$57,0)))+IF(RIGHT(TRIM(Paramètres!M17),3)="Fin",1-$H1313,IF(LEFT(TRIM(Paramètres!M17),1)="F",1,0)))),IF(Paramètres!N17="",0,IF(Paramètres!O17="",NA(),IF(LEFT(TRIM(Paramètres!O17),1)="F",INDEX($F$1301:$F$1353,MATCH(Paramètres!N17,Paramètres!$G$5:$G$57,0)),INDEX($E$1301:$E$1353,MATCH(Paramètres!N17,Paramètres!$G$5:$G$57,0)))+IF(RIGHT(TRIM(Paramètres!O17),3)="Fin",1-$H1313,IF(LEFT(TRIM(Paramètres!O17),1)="F",1,0)))))))</f>
        <v/>
      </c>
      <c r="F1313" s="19">
        <f>IF($A1313="","",E1313+$H1313-1)</f>
        <v/>
      </c>
      <c r="G1313" s="18" t="n"/>
      <c r="H1313" s="18">
        <f>IF($A1313="","",IF(I1313&lt;&gt;"",I1313,Paramètres!B17))</f>
        <v/>
      </c>
      <c r="I1313" s="18" t="n"/>
    </row>
    <row r="1314">
      <c r="A1314" s="18">
        <f>IF(ISNUMBER(Dossiers!$D$28),Dossiers!$A$28&amp;" · "&amp;Dossiers!$B$28,"")</f>
        <v/>
      </c>
      <c r="B1314" s="18">
        <f>IF($A1314="","",Paramètres!G18)</f>
        <v/>
      </c>
      <c r="C1314" s="18">
        <f>IF($A1314="","",IF(Paramètres!H18="","",Paramètres!H18))</f>
        <v/>
      </c>
      <c r="D1314" s="18">
        <f>IF($A1314="","",IF(Paramètres!I18="","",Paramètres!I18))</f>
        <v/>
      </c>
      <c r="E1314" s="19">
        <f>IF($A1314="","",IF(Paramètres!J18&amp;Paramètres!L18&amp;Paramètres!N18="",Dossiers!$D$28,MAX(IF(Paramètres!J18="",0,IF(Paramètres!K18="",NA(),IF(LEFT(TRIM(Paramètres!K18),1)="F",INDEX($F$1301:$F$1353,MATCH(Paramètres!J18,Paramètres!$G$5:$G$57,0)),INDEX($E$1301:$E$1353,MATCH(Paramètres!J18,Paramètres!$G$5:$G$57,0)))+IF(RIGHT(TRIM(Paramètres!K18),3)="Fin",1-$H1314,IF(LEFT(TRIM(Paramètres!K18),1)="F",1,0)))),IF(Paramètres!L18="",0,IF(Paramètres!M18="",NA(),IF(LEFT(TRIM(Paramètres!M18),1)="F",INDEX($F$1301:$F$1353,MATCH(Paramètres!L18,Paramètres!$G$5:$G$57,0)),INDEX($E$1301:$E$1353,MATCH(Paramètres!L18,Paramètres!$G$5:$G$57,0)))+IF(RIGHT(TRIM(Paramètres!M18),3)="Fin",1-$H1314,IF(LEFT(TRIM(Paramètres!M18),1)="F",1,0)))),IF(Paramètres!N18="",0,IF(Paramètres!O18="",NA(),IF(LEFT(TRIM(Paramètres!O18),1)="F",INDEX($F$1301:$F$1353,MATCH(Paramètres!N18,Paramètres!$G$5:$G$57,0)),INDEX($E$1301:$E$1353,MATCH(Paramètres!N18,Paramètres!$G$5:$G$57,0)))+IF(RIGHT(TRIM(Paramètres!O18),3)="Fin",1-$H1314,IF(LEFT(TRIM(Paramètres!O18),1)="F",1,0)))))))</f>
        <v/>
      </c>
      <c r="F1314" s="19">
        <f>IF($A1314="","",E1314+$H1314-1)</f>
        <v/>
      </c>
      <c r="G1314" s="18" t="n"/>
      <c r="H1314" s="18">
        <f>IF($A1314="","",IF(I1314&lt;&gt;"",I1314,Paramètres!B18))</f>
        <v/>
      </c>
      <c r="I1314" s="18" t="n"/>
    </row>
    <row r="1315">
      <c r="A1315" s="18">
        <f>IF(ISNUMBER(Dossiers!$D$28),Dossiers!$A$28&amp;" · "&amp;Dossiers!$B$28,"")</f>
        <v/>
      </c>
      <c r="B1315" s="18">
        <f>IF($A1315="","",Paramètres!G19)</f>
        <v/>
      </c>
      <c r="C1315" s="18">
        <f>IF($A1315="","",IF(Paramètres!H19="","",Paramètres!H19))</f>
        <v/>
      </c>
      <c r="D1315" s="18">
        <f>IF($A1315="","",IF(Paramètres!I19="","",Paramètres!I19))</f>
        <v/>
      </c>
      <c r="E1315" s="19">
        <f>IF($A1315="","",IF(Paramètres!J19&amp;Paramètres!L19&amp;Paramètres!N19="",Dossiers!$D$28,MAX(IF(Paramètres!J19="",0,IF(Paramètres!K19="",NA(),IF(LEFT(TRIM(Paramètres!K19),1)="F",INDEX($F$1301:$F$1353,MATCH(Paramètres!J19,Paramètres!$G$5:$G$57,0)),INDEX($E$1301:$E$1353,MATCH(Paramètres!J19,Paramètres!$G$5:$G$57,0)))+IF(RIGHT(TRIM(Paramètres!K19),3)="Fin",1-$H1315,IF(LEFT(TRIM(Paramètres!K19),1)="F",1,0)))),IF(Paramètres!L19="",0,IF(Paramètres!M19="",NA(),IF(LEFT(TRIM(Paramètres!M19),1)="F",INDEX($F$1301:$F$1353,MATCH(Paramètres!L19,Paramètres!$G$5:$G$57,0)),INDEX($E$1301:$E$1353,MATCH(Paramètres!L19,Paramètres!$G$5:$G$57,0)))+IF(RIGHT(TRIM(Paramètres!M19),3)="Fin",1-$H1315,IF(LEFT(TRIM(Paramètres!M19),1)="F",1,0)))),IF(Paramètres!N19="",0,IF(Paramètres!O19="",NA(),IF(LEFT(TRIM(Paramètres!O19),1)="F",INDEX($F$1301:$F$1353,MATCH(Paramètres!N19,Paramètres!$G$5:$G$57,0)),INDEX($E$1301:$E$1353,MATCH(Paramètres!N19,Paramètres!$G$5:$G$57,0)))+IF(RIGHT(TRIM(Paramètres!O19),3)="Fin",1-$H1315,IF(LEFT(TRIM(Paramètres!O19),1)="F",1,0)))))))</f>
        <v/>
      </c>
      <c r="F1315" s="19">
        <f>IF($A1315="","",E1315+$H1315-1)</f>
        <v/>
      </c>
      <c r="G1315" s="18" t="n"/>
      <c r="H1315" s="18">
        <f>IF($A1315="","",IF(I1315&lt;&gt;"",I1315,Paramètres!B19))</f>
        <v/>
      </c>
      <c r="I1315" s="18" t="n"/>
    </row>
    <row r="1316">
      <c r="A1316" s="18">
        <f>IF(ISNUMBER(Dossiers!$D$28),Dossiers!$A$28&amp;" · "&amp;Dossiers!$B$28,"")</f>
        <v/>
      </c>
      <c r="B1316" s="18">
        <f>IF($A1316="","",Paramètres!G20)</f>
        <v/>
      </c>
      <c r="C1316" s="18">
        <f>IF($A1316="","",IF(Paramètres!H20="","",Paramètres!H20))</f>
        <v/>
      </c>
      <c r="D1316" s="18">
        <f>IF($A1316="","",IF(Paramètres!I20="","",Paramètres!I20))</f>
        <v/>
      </c>
      <c r="E1316" s="19">
        <f>IF($A1316="","",IF(Paramètres!J20&amp;Paramètres!L20&amp;Paramètres!N20="",Dossiers!$D$28,MAX(IF(Paramètres!J20="",0,IF(Paramètres!K20="",NA(),IF(LEFT(TRIM(Paramètres!K20),1)="F",INDEX($F$1301:$F$1353,MATCH(Paramètres!J20,Paramètres!$G$5:$G$57,0)),INDEX($E$1301:$E$1353,MATCH(Paramètres!J20,Paramètres!$G$5:$G$57,0)))+IF(RIGHT(TRIM(Paramètres!K20),3)="Fin",1-$H1316,IF(LEFT(TRIM(Paramètres!K20),1)="F",1,0)))),IF(Paramètres!L20="",0,IF(Paramètres!M20="",NA(),IF(LEFT(TRIM(Paramètres!M20),1)="F",INDEX($F$1301:$F$1353,MATCH(Paramètres!L20,Paramètres!$G$5:$G$57,0)),INDEX($E$1301:$E$1353,MATCH(Paramètres!L20,Paramètres!$G$5:$G$57,0)))+IF(RIGHT(TRIM(Paramètres!M20),3)="Fin",1-$H1316,IF(LEFT(TRIM(Paramètres!M20),1)="F",1,0)))),IF(Paramètres!N20="",0,IF(Paramètres!O20="",NA(),IF(LEFT(TRIM(Paramètres!O20),1)="F",INDEX($F$1301:$F$1353,MATCH(Paramètres!N20,Paramètres!$G$5:$G$57,0)),INDEX($E$1301:$E$1353,MATCH(Paramètres!N20,Paramètres!$G$5:$G$57,0)))+IF(RIGHT(TRIM(Paramètres!O20),3)="Fin",1-$H1316,IF(LEFT(TRIM(Paramètres!O20),1)="F",1,0)))))))</f>
        <v/>
      </c>
      <c r="F1316" s="19">
        <f>IF($A1316="","",E1316+$H1316-1)</f>
        <v/>
      </c>
      <c r="G1316" s="18" t="n"/>
      <c r="H1316" s="18">
        <f>IF($A1316="","",IF(I1316&lt;&gt;"",I1316,Paramètres!B20))</f>
        <v/>
      </c>
      <c r="I1316" s="18" t="n"/>
    </row>
    <row r="1317">
      <c r="A1317" s="18">
        <f>IF(ISNUMBER(Dossiers!$D$28),Dossiers!$A$28&amp;" · "&amp;Dossiers!$B$28,"")</f>
        <v/>
      </c>
      <c r="B1317" s="18">
        <f>IF($A1317="","",Paramètres!G21)</f>
        <v/>
      </c>
      <c r="C1317" s="18">
        <f>IF($A1317="","",IF(Paramètres!H21="","",Paramètres!H21))</f>
        <v/>
      </c>
      <c r="D1317" s="18">
        <f>IF($A1317="","",IF(Paramètres!I21="","",Paramètres!I21))</f>
        <v/>
      </c>
      <c r="E1317" s="19">
        <f>IF($A1317="","",IF(Paramètres!J21&amp;Paramètres!L21&amp;Paramètres!N21="",Dossiers!$D$28,MAX(IF(Paramètres!J21="",0,IF(Paramètres!K21="",NA(),IF(LEFT(TRIM(Paramètres!K21),1)="F",INDEX($F$1301:$F$1353,MATCH(Paramètres!J21,Paramètres!$G$5:$G$57,0)),INDEX($E$1301:$E$1353,MATCH(Paramètres!J21,Paramètres!$G$5:$G$57,0)))+IF(RIGHT(TRIM(Paramètres!K21),3)="Fin",1-$H1317,IF(LEFT(TRIM(Paramètres!K21),1)="F",1,0)))),IF(Paramètres!L21="",0,IF(Paramètres!M21="",NA(),IF(LEFT(TRIM(Paramètres!M21),1)="F",INDEX($F$1301:$F$1353,MATCH(Paramètres!L21,Paramètres!$G$5:$G$57,0)),INDEX($E$1301:$E$1353,MATCH(Paramètres!L21,Paramètres!$G$5:$G$57,0)))+IF(RIGHT(TRIM(Paramètres!M21),3)="Fin",1-$H1317,IF(LEFT(TRIM(Paramètres!M21),1)="F",1,0)))),IF(Paramètres!N21="",0,IF(Paramètres!O21="",NA(),IF(LEFT(TRIM(Paramètres!O21),1)="F",INDEX($F$1301:$F$1353,MATCH(Paramètres!N21,Paramètres!$G$5:$G$57,0)),INDEX($E$1301:$E$1353,MATCH(Paramètres!N21,Paramètres!$G$5:$G$57,0)))+IF(RIGHT(TRIM(Paramètres!O21),3)="Fin",1-$H1317,IF(LEFT(TRIM(Paramètres!O21),1)="F",1,0)))))))</f>
        <v/>
      </c>
      <c r="F1317" s="19">
        <f>IF($A1317="","",E1317+$H1317-1)</f>
        <v/>
      </c>
      <c r="G1317" s="18" t="n"/>
      <c r="H1317" s="18">
        <f>IF($A1317="","",IF(I1317&lt;&gt;"",I1317,Paramètres!B21))</f>
        <v/>
      </c>
      <c r="I1317" s="18" t="n"/>
    </row>
    <row r="1318">
      <c r="A1318" s="18">
        <f>IF(ISNUMBER(Dossiers!$D$28),Dossiers!$A$28&amp;" · "&amp;Dossiers!$B$28,"")</f>
        <v/>
      </c>
      <c r="B1318" s="18">
        <f>IF($A1318="","",Paramètres!G22)</f>
        <v/>
      </c>
      <c r="C1318" s="18">
        <f>IF($A1318="","",IF(Paramètres!H22="","",Paramètres!H22))</f>
        <v/>
      </c>
      <c r="D1318" s="18">
        <f>IF($A1318="","",IF(Paramètres!I22="","",Paramètres!I22))</f>
        <v/>
      </c>
      <c r="E1318" s="19">
        <f>IF($A1318="","",IF(Paramètres!J22&amp;Paramètres!L22&amp;Paramètres!N22="",Dossiers!$D$28,MAX(IF(Paramètres!J22="",0,IF(Paramètres!K22="",NA(),IF(LEFT(TRIM(Paramètres!K22),1)="F",INDEX($F$1301:$F$1353,MATCH(Paramètres!J22,Paramètres!$G$5:$G$57,0)),INDEX($E$1301:$E$1353,MATCH(Paramètres!J22,Paramètres!$G$5:$G$57,0)))+IF(RIGHT(TRIM(Paramètres!K22),3)="Fin",1-$H1318,IF(LEFT(TRIM(Paramètres!K22),1)="F",1,0)))),IF(Paramètres!L22="",0,IF(Paramètres!M22="",NA(),IF(LEFT(TRIM(Paramètres!M22),1)="F",INDEX($F$1301:$F$1353,MATCH(Paramètres!L22,Paramètres!$G$5:$G$57,0)),INDEX($E$1301:$E$1353,MATCH(Paramètres!L22,Paramètres!$G$5:$G$57,0)))+IF(RIGHT(TRIM(Paramètres!M22),3)="Fin",1-$H1318,IF(LEFT(TRIM(Paramètres!M22),1)="F",1,0)))),IF(Paramètres!N22="",0,IF(Paramètres!O22="",NA(),IF(LEFT(TRIM(Paramètres!O22),1)="F",INDEX($F$1301:$F$1353,MATCH(Paramètres!N22,Paramètres!$G$5:$G$57,0)),INDEX($E$1301:$E$1353,MATCH(Paramètres!N22,Paramètres!$G$5:$G$57,0)))+IF(RIGHT(TRIM(Paramètres!O22),3)="Fin",1-$H1318,IF(LEFT(TRIM(Paramètres!O22),1)="F",1,0)))))))</f>
        <v/>
      </c>
      <c r="F1318" s="19">
        <f>IF($A1318="","",E1318+$H1318-1)</f>
        <v/>
      </c>
      <c r="G1318" s="18" t="n"/>
      <c r="H1318" s="18">
        <f>IF($A1318="","",IF(I1318&lt;&gt;"",I1318,Paramètres!B22))</f>
        <v/>
      </c>
      <c r="I1318" s="18" t="n"/>
    </row>
    <row r="1319">
      <c r="A1319" s="18">
        <f>IF(ISNUMBER(Dossiers!$D$28),Dossiers!$A$28&amp;" · "&amp;Dossiers!$B$28,"")</f>
        <v/>
      </c>
      <c r="B1319" s="18">
        <f>IF($A1319="","",Paramètres!G23)</f>
        <v/>
      </c>
      <c r="C1319" s="18">
        <f>IF($A1319="","",IF(Paramètres!H23="","",Paramètres!H23))</f>
        <v/>
      </c>
      <c r="D1319" s="18">
        <f>IF($A1319="","",IF(Paramètres!I23="","",Paramètres!I23))</f>
        <v/>
      </c>
      <c r="E1319" s="19">
        <f>IF($A1319="","",IF(Paramètres!J23&amp;Paramètres!L23&amp;Paramètres!N23="",Dossiers!$D$28,MAX(IF(Paramètres!J23="",0,IF(Paramètres!K23="",NA(),IF(LEFT(TRIM(Paramètres!K23),1)="F",INDEX($F$1301:$F$1353,MATCH(Paramètres!J23,Paramètres!$G$5:$G$57,0)),INDEX($E$1301:$E$1353,MATCH(Paramètres!J23,Paramètres!$G$5:$G$57,0)))+IF(RIGHT(TRIM(Paramètres!K23),3)="Fin",1-$H1319,IF(LEFT(TRIM(Paramètres!K23),1)="F",1,0)))),IF(Paramètres!L23="",0,IF(Paramètres!M23="",NA(),IF(LEFT(TRIM(Paramètres!M23),1)="F",INDEX($F$1301:$F$1353,MATCH(Paramètres!L23,Paramètres!$G$5:$G$57,0)),INDEX($E$1301:$E$1353,MATCH(Paramètres!L23,Paramètres!$G$5:$G$57,0)))+IF(RIGHT(TRIM(Paramètres!M23),3)="Fin",1-$H1319,IF(LEFT(TRIM(Paramètres!M23),1)="F",1,0)))),IF(Paramètres!N23="",0,IF(Paramètres!O23="",NA(),IF(LEFT(TRIM(Paramètres!O23),1)="F",INDEX($F$1301:$F$1353,MATCH(Paramètres!N23,Paramètres!$G$5:$G$57,0)),INDEX($E$1301:$E$1353,MATCH(Paramètres!N23,Paramètres!$G$5:$G$57,0)))+IF(RIGHT(TRIM(Paramètres!O23),3)="Fin",1-$H1319,IF(LEFT(TRIM(Paramètres!O23),1)="F",1,0)))))))</f>
        <v/>
      </c>
      <c r="F1319" s="19">
        <f>IF($A1319="","",E1319+$H1319-1)</f>
        <v/>
      </c>
      <c r="G1319" s="18" t="n"/>
      <c r="H1319" s="18">
        <f>IF($A1319="","",IF(I1319&lt;&gt;"",I1319,Paramètres!B23))</f>
        <v/>
      </c>
      <c r="I1319" s="18" t="n"/>
    </row>
    <row r="1320">
      <c r="A1320" s="18">
        <f>IF(ISNUMBER(Dossiers!$D$28),Dossiers!$A$28&amp;" · "&amp;Dossiers!$B$28,"")</f>
        <v/>
      </c>
      <c r="B1320" s="18">
        <f>IF($A1320="","",Paramètres!G24)</f>
        <v/>
      </c>
      <c r="C1320" s="18">
        <f>IF($A1320="","",IF(Paramètres!H24="","",Paramètres!H24))</f>
        <v/>
      </c>
      <c r="D1320" s="18">
        <f>IF($A1320="","",IF(Paramètres!I24="","",Paramètres!I24))</f>
        <v/>
      </c>
      <c r="E1320" s="19">
        <f>IF($A1320="","",IF(Paramètres!J24&amp;Paramètres!L24&amp;Paramètres!N24="",Dossiers!$D$28,MAX(IF(Paramètres!J24="",0,IF(Paramètres!K24="",NA(),IF(LEFT(TRIM(Paramètres!K24),1)="F",INDEX($F$1301:$F$1353,MATCH(Paramètres!J24,Paramètres!$G$5:$G$57,0)),INDEX($E$1301:$E$1353,MATCH(Paramètres!J24,Paramètres!$G$5:$G$57,0)))+IF(RIGHT(TRIM(Paramètres!K24),3)="Fin",1-$H1320,IF(LEFT(TRIM(Paramètres!K24),1)="F",1,0)))),IF(Paramètres!L24="",0,IF(Paramètres!M24="",NA(),IF(LEFT(TRIM(Paramètres!M24),1)="F",INDEX($F$1301:$F$1353,MATCH(Paramètres!L24,Paramètres!$G$5:$G$57,0)),INDEX($E$1301:$E$1353,MATCH(Paramètres!L24,Paramètres!$G$5:$G$57,0)))+IF(RIGHT(TRIM(Paramètres!M24),3)="Fin",1-$H1320,IF(LEFT(TRIM(Paramètres!M24),1)="F",1,0)))),IF(Paramètres!N24="",0,IF(Paramètres!O24="",NA(),IF(LEFT(TRIM(Paramètres!O24),1)="F",INDEX($F$1301:$F$1353,MATCH(Paramètres!N24,Paramètres!$G$5:$G$57,0)),INDEX($E$1301:$E$1353,MATCH(Paramètres!N24,Paramètres!$G$5:$G$57,0)))+IF(RIGHT(TRIM(Paramètres!O24),3)="Fin",1-$H1320,IF(LEFT(TRIM(Paramètres!O24),1)="F",1,0)))))))</f>
        <v/>
      </c>
      <c r="F1320" s="19">
        <f>IF($A1320="","",E1320+$H1320-1)</f>
        <v/>
      </c>
      <c r="G1320" s="18" t="n"/>
      <c r="H1320" s="18">
        <f>IF($A1320="","",IF(I1320&lt;&gt;"",I1320,Paramètres!B24))</f>
        <v/>
      </c>
      <c r="I1320" s="18" t="n"/>
    </row>
    <row r="1321">
      <c r="A1321" s="18">
        <f>IF(ISNUMBER(Dossiers!$D$28),Dossiers!$A$28&amp;" · "&amp;Dossiers!$B$28,"")</f>
        <v/>
      </c>
      <c r="B1321" s="18">
        <f>IF($A1321="","",Paramètres!G25)</f>
        <v/>
      </c>
      <c r="C1321" s="18">
        <f>IF($A1321="","",IF(Paramètres!H25="","",Paramètres!H25))</f>
        <v/>
      </c>
      <c r="D1321" s="18">
        <f>IF($A1321="","",IF(Paramètres!I25="","",Paramètres!I25))</f>
        <v/>
      </c>
      <c r="E1321" s="19">
        <f>IF($A1321="","",IF(Paramètres!J25&amp;Paramètres!L25&amp;Paramètres!N25="",Dossiers!$D$28,MAX(IF(Paramètres!J25="",0,IF(Paramètres!K25="",NA(),IF(LEFT(TRIM(Paramètres!K25),1)="F",INDEX($F$1301:$F$1353,MATCH(Paramètres!J25,Paramètres!$G$5:$G$57,0)),INDEX($E$1301:$E$1353,MATCH(Paramètres!J25,Paramètres!$G$5:$G$57,0)))+IF(RIGHT(TRIM(Paramètres!K25),3)="Fin",1-$H1321,IF(LEFT(TRIM(Paramètres!K25),1)="F",1,0)))),IF(Paramètres!L25="",0,IF(Paramètres!M25="",NA(),IF(LEFT(TRIM(Paramètres!M25),1)="F",INDEX($F$1301:$F$1353,MATCH(Paramètres!L25,Paramètres!$G$5:$G$57,0)),INDEX($E$1301:$E$1353,MATCH(Paramètres!L25,Paramètres!$G$5:$G$57,0)))+IF(RIGHT(TRIM(Paramètres!M25),3)="Fin",1-$H1321,IF(LEFT(TRIM(Paramètres!M25),1)="F",1,0)))),IF(Paramètres!N25="",0,IF(Paramètres!O25="",NA(),IF(LEFT(TRIM(Paramètres!O25),1)="F",INDEX($F$1301:$F$1353,MATCH(Paramètres!N25,Paramètres!$G$5:$G$57,0)),INDEX($E$1301:$E$1353,MATCH(Paramètres!N25,Paramètres!$G$5:$G$57,0)))+IF(RIGHT(TRIM(Paramètres!O25),3)="Fin",1-$H1321,IF(LEFT(TRIM(Paramètres!O25),1)="F",1,0)))))))</f>
        <v/>
      </c>
      <c r="F1321" s="19">
        <f>IF($A1321="","",E1321+$H1321-1)</f>
        <v/>
      </c>
      <c r="G1321" s="18" t="n"/>
      <c r="H1321" s="18">
        <f>IF($A1321="","",IF(I1321&lt;&gt;"",I1321,Paramètres!B25))</f>
        <v/>
      </c>
      <c r="I1321" s="18" t="n"/>
    </row>
    <row r="1322">
      <c r="A1322" s="18">
        <f>IF(ISNUMBER(Dossiers!$D$28),Dossiers!$A$28&amp;" · "&amp;Dossiers!$B$28,"")</f>
        <v/>
      </c>
      <c r="B1322" s="18">
        <f>IF($A1322="","",Paramètres!G26)</f>
        <v/>
      </c>
      <c r="C1322" s="18">
        <f>IF($A1322="","",IF(Paramètres!H26="","",Paramètres!H26))</f>
        <v/>
      </c>
      <c r="D1322" s="18">
        <f>IF($A1322="","",IF(Paramètres!I26="","",Paramètres!I26))</f>
        <v/>
      </c>
      <c r="E1322" s="19">
        <f>IF($A1322="","",IF(Paramètres!J26&amp;Paramètres!L26&amp;Paramètres!N26="",Dossiers!$D$28,MAX(IF(Paramètres!J26="",0,IF(Paramètres!K26="",NA(),IF(LEFT(TRIM(Paramètres!K26),1)="F",INDEX($F$1301:$F$1353,MATCH(Paramètres!J26,Paramètres!$G$5:$G$57,0)),INDEX($E$1301:$E$1353,MATCH(Paramètres!J26,Paramètres!$G$5:$G$57,0)))+IF(RIGHT(TRIM(Paramètres!K26),3)="Fin",1-$H1322,IF(LEFT(TRIM(Paramètres!K26),1)="F",1,0)))),IF(Paramètres!L26="",0,IF(Paramètres!M26="",NA(),IF(LEFT(TRIM(Paramètres!M26),1)="F",INDEX($F$1301:$F$1353,MATCH(Paramètres!L26,Paramètres!$G$5:$G$57,0)),INDEX($E$1301:$E$1353,MATCH(Paramètres!L26,Paramètres!$G$5:$G$57,0)))+IF(RIGHT(TRIM(Paramètres!M26),3)="Fin",1-$H1322,IF(LEFT(TRIM(Paramètres!M26),1)="F",1,0)))),IF(Paramètres!N26="",0,IF(Paramètres!O26="",NA(),IF(LEFT(TRIM(Paramètres!O26),1)="F",INDEX($F$1301:$F$1353,MATCH(Paramètres!N26,Paramètres!$G$5:$G$57,0)),INDEX($E$1301:$E$1353,MATCH(Paramètres!N26,Paramètres!$G$5:$G$57,0)))+IF(RIGHT(TRIM(Paramètres!O26),3)="Fin",1-$H1322,IF(LEFT(TRIM(Paramètres!O26),1)="F",1,0)))))))</f>
        <v/>
      </c>
      <c r="F1322" s="19">
        <f>IF($A1322="","",E1322+$H1322-1)</f>
        <v/>
      </c>
      <c r="G1322" s="18" t="n"/>
      <c r="H1322" s="18">
        <f>IF($A1322="","",IF(I1322&lt;&gt;"",I1322,Paramètres!B26))</f>
        <v/>
      </c>
      <c r="I1322" s="18" t="n"/>
    </row>
    <row r="1323">
      <c r="A1323" s="18">
        <f>IF(ISNUMBER(Dossiers!$D$28),Dossiers!$A$28&amp;" · "&amp;Dossiers!$B$28,"")</f>
        <v/>
      </c>
      <c r="B1323" s="18">
        <f>IF($A1323="","",Paramètres!G27)</f>
        <v/>
      </c>
      <c r="C1323" s="18">
        <f>IF($A1323="","",IF(Paramètres!H27="","",Paramètres!H27))</f>
        <v/>
      </c>
      <c r="D1323" s="18">
        <f>IF($A1323="","",IF(Paramètres!I27="","",Paramètres!I27))</f>
        <v/>
      </c>
      <c r="E1323" s="19">
        <f>IF($A1323="","",IF(Paramètres!J27&amp;Paramètres!L27&amp;Paramètres!N27="",Dossiers!$D$28,MAX(IF(Paramètres!J27="",0,IF(Paramètres!K27="",NA(),IF(LEFT(TRIM(Paramètres!K27),1)="F",INDEX($F$1301:$F$1353,MATCH(Paramètres!J27,Paramètres!$G$5:$G$57,0)),INDEX($E$1301:$E$1353,MATCH(Paramètres!J27,Paramètres!$G$5:$G$57,0)))+IF(RIGHT(TRIM(Paramètres!K27),3)="Fin",1-$H1323,IF(LEFT(TRIM(Paramètres!K27),1)="F",1,0)))),IF(Paramètres!L27="",0,IF(Paramètres!M27="",NA(),IF(LEFT(TRIM(Paramètres!M27),1)="F",INDEX($F$1301:$F$1353,MATCH(Paramètres!L27,Paramètres!$G$5:$G$57,0)),INDEX($E$1301:$E$1353,MATCH(Paramètres!L27,Paramètres!$G$5:$G$57,0)))+IF(RIGHT(TRIM(Paramètres!M27),3)="Fin",1-$H1323,IF(LEFT(TRIM(Paramètres!M27),1)="F",1,0)))),IF(Paramètres!N27="",0,IF(Paramètres!O27="",NA(),IF(LEFT(TRIM(Paramètres!O27),1)="F",INDEX($F$1301:$F$1353,MATCH(Paramètres!N27,Paramètres!$G$5:$G$57,0)),INDEX($E$1301:$E$1353,MATCH(Paramètres!N27,Paramètres!$G$5:$G$57,0)))+IF(RIGHT(TRIM(Paramètres!O27),3)="Fin",1-$H1323,IF(LEFT(TRIM(Paramètres!O27),1)="F",1,0)))))))</f>
        <v/>
      </c>
      <c r="F1323" s="19">
        <f>IF($A1323="","",E1323+$H1323-1)</f>
        <v/>
      </c>
      <c r="G1323" s="18" t="n"/>
      <c r="H1323" s="18">
        <f>IF($A1323="","",IF(I1323&lt;&gt;"",I1323,Paramètres!B27))</f>
        <v/>
      </c>
      <c r="I1323" s="18" t="n"/>
    </row>
    <row r="1324">
      <c r="A1324" s="18">
        <f>IF(ISNUMBER(Dossiers!$D$28),Dossiers!$A$28&amp;" · "&amp;Dossiers!$B$28,"")</f>
        <v/>
      </c>
      <c r="B1324" s="18">
        <f>IF($A1324="","",Paramètres!G28)</f>
        <v/>
      </c>
      <c r="C1324" s="18">
        <f>IF($A1324="","",IF(Paramètres!H28="","",Paramètres!H28))</f>
        <v/>
      </c>
      <c r="D1324" s="18">
        <f>IF($A1324="","",IF(Paramètres!I28="","",Paramètres!I28))</f>
        <v/>
      </c>
      <c r="E1324" s="19">
        <f>IF($A1324="","",IF(Paramètres!J28&amp;Paramètres!L28&amp;Paramètres!N28="",Dossiers!$D$28,MAX(IF(Paramètres!J28="",0,IF(Paramètres!K28="",NA(),IF(LEFT(TRIM(Paramètres!K28),1)="F",INDEX($F$1301:$F$1353,MATCH(Paramètres!J28,Paramètres!$G$5:$G$57,0)),INDEX($E$1301:$E$1353,MATCH(Paramètres!J28,Paramètres!$G$5:$G$57,0)))+IF(RIGHT(TRIM(Paramètres!K28),3)="Fin",1-$H1324,IF(LEFT(TRIM(Paramètres!K28),1)="F",1,0)))),IF(Paramètres!L28="",0,IF(Paramètres!M28="",NA(),IF(LEFT(TRIM(Paramètres!M28),1)="F",INDEX($F$1301:$F$1353,MATCH(Paramètres!L28,Paramètres!$G$5:$G$57,0)),INDEX($E$1301:$E$1353,MATCH(Paramètres!L28,Paramètres!$G$5:$G$57,0)))+IF(RIGHT(TRIM(Paramètres!M28),3)="Fin",1-$H1324,IF(LEFT(TRIM(Paramètres!M28),1)="F",1,0)))),IF(Paramètres!N28="",0,IF(Paramètres!O28="",NA(),IF(LEFT(TRIM(Paramètres!O28),1)="F",INDEX($F$1301:$F$1353,MATCH(Paramètres!N28,Paramètres!$G$5:$G$57,0)),INDEX($E$1301:$E$1353,MATCH(Paramètres!N28,Paramètres!$G$5:$G$57,0)))+IF(RIGHT(TRIM(Paramètres!O28),3)="Fin",1-$H1324,IF(LEFT(TRIM(Paramètres!O28),1)="F",1,0)))))))</f>
        <v/>
      </c>
      <c r="F1324" s="19">
        <f>IF($A1324="","",E1324+$H1324-1)</f>
        <v/>
      </c>
      <c r="G1324" s="18" t="n"/>
      <c r="H1324" s="18">
        <f>IF($A1324="","",IF(I1324&lt;&gt;"",I1324,Paramètres!B28))</f>
        <v/>
      </c>
      <c r="I1324" s="18" t="n"/>
    </row>
    <row r="1325">
      <c r="A1325" s="18">
        <f>IF(ISNUMBER(Dossiers!$D$28),Dossiers!$A$28&amp;" · "&amp;Dossiers!$B$28,"")</f>
        <v/>
      </c>
      <c r="B1325" s="18">
        <f>IF($A1325="","",Paramètres!G29)</f>
        <v/>
      </c>
      <c r="C1325" s="18">
        <f>IF($A1325="","",IF(Paramètres!H29="","",Paramètres!H29))</f>
        <v/>
      </c>
      <c r="D1325" s="18">
        <f>IF($A1325="","",IF(Paramètres!I29="","",Paramètres!I29))</f>
        <v/>
      </c>
      <c r="E1325" s="19">
        <f>IF($A1325="","",IF(Paramètres!J29&amp;Paramètres!L29&amp;Paramètres!N29="",Dossiers!$D$28,MAX(IF(Paramètres!J29="",0,IF(Paramètres!K29="",NA(),IF(LEFT(TRIM(Paramètres!K29),1)="F",INDEX($F$1301:$F$1353,MATCH(Paramètres!J29,Paramètres!$G$5:$G$57,0)),INDEX($E$1301:$E$1353,MATCH(Paramètres!J29,Paramètres!$G$5:$G$57,0)))+IF(RIGHT(TRIM(Paramètres!K29),3)="Fin",1-$H1325,IF(LEFT(TRIM(Paramètres!K29),1)="F",1,0)))),IF(Paramètres!L29="",0,IF(Paramètres!M29="",NA(),IF(LEFT(TRIM(Paramètres!M29),1)="F",INDEX($F$1301:$F$1353,MATCH(Paramètres!L29,Paramètres!$G$5:$G$57,0)),INDEX($E$1301:$E$1353,MATCH(Paramètres!L29,Paramètres!$G$5:$G$57,0)))+IF(RIGHT(TRIM(Paramètres!M29),3)="Fin",1-$H1325,IF(LEFT(TRIM(Paramètres!M29),1)="F",1,0)))),IF(Paramètres!N29="",0,IF(Paramètres!O29="",NA(),IF(LEFT(TRIM(Paramètres!O29),1)="F",INDEX($F$1301:$F$1353,MATCH(Paramètres!N29,Paramètres!$G$5:$G$57,0)),INDEX($E$1301:$E$1353,MATCH(Paramètres!N29,Paramètres!$G$5:$G$57,0)))+IF(RIGHT(TRIM(Paramètres!O29),3)="Fin",1-$H1325,IF(LEFT(TRIM(Paramètres!O29),1)="F",1,0)))))))</f>
        <v/>
      </c>
      <c r="F1325" s="19">
        <f>IF($A1325="","",E1325+$H1325-1)</f>
        <v/>
      </c>
      <c r="G1325" s="18" t="n"/>
      <c r="H1325" s="18">
        <f>IF($A1325="","",IF(I1325&lt;&gt;"",I1325,Paramètres!B29))</f>
        <v/>
      </c>
      <c r="I1325" s="18" t="n"/>
    </row>
    <row r="1326">
      <c r="A1326" s="18">
        <f>IF(ISNUMBER(Dossiers!$D$28),Dossiers!$A$28&amp;" · "&amp;Dossiers!$B$28,"")</f>
        <v/>
      </c>
      <c r="B1326" s="18">
        <f>IF($A1326="","",Paramètres!G30)</f>
        <v/>
      </c>
      <c r="C1326" s="18">
        <f>IF($A1326="","",IF(Paramètres!H30="","",Paramètres!H30))</f>
        <v/>
      </c>
      <c r="D1326" s="18">
        <f>IF($A1326="","",IF(Paramètres!I30="","",Paramètres!I30))</f>
        <v/>
      </c>
      <c r="E1326" s="19">
        <f>IF($A1326="","",IF(Paramètres!J30&amp;Paramètres!L30&amp;Paramètres!N30="",Dossiers!$D$28,MAX(IF(Paramètres!J30="",0,IF(Paramètres!K30="",NA(),IF(LEFT(TRIM(Paramètres!K30),1)="F",INDEX($F$1301:$F$1353,MATCH(Paramètres!J30,Paramètres!$G$5:$G$57,0)),INDEX($E$1301:$E$1353,MATCH(Paramètres!J30,Paramètres!$G$5:$G$57,0)))+IF(RIGHT(TRIM(Paramètres!K30),3)="Fin",1-$H1326,IF(LEFT(TRIM(Paramètres!K30),1)="F",1,0)))),IF(Paramètres!L30="",0,IF(Paramètres!M30="",NA(),IF(LEFT(TRIM(Paramètres!M30),1)="F",INDEX($F$1301:$F$1353,MATCH(Paramètres!L30,Paramètres!$G$5:$G$57,0)),INDEX($E$1301:$E$1353,MATCH(Paramètres!L30,Paramètres!$G$5:$G$57,0)))+IF(RIGHT(TRIM(Paramètres!M30),3)="Fin",1-$H1326,IF(LEFT(TRIM(Paramètres!M30),1)="F",1,0)))),IF(Paramètres!N30="",0,IF(Paramètres!O30="",NA(),IF(LEFT(TRIM(Paramètres!O30),1)="F",INDEX($F$1301:$F$1353,MATCH(Paramètres!N30,Paramètres!$G$5:$G$57,0)),INDEX($E$1301:$E$1353,MATCH(Paramètres!N30,Paramètres!$G$5:$G$57,0)))+IF(RIGHT(TRIM(Paramètres!O30),3)="Fin",1-$H1326,IF(LEFT(TRIM(Paramètres!O30),1)="F",1,0)))))))</f>
        <v/>
      </c>
      <c r="F1326" s="19">
        <f>IF($A1326="","",E1326+$H1326-1)</f>
        <v/>
      </c>
      <c r="G1326" s="18" t="n"/>
      <c r="H1326" s="18">
        <f>IF($A1326="","",IF(I1326&lt;&gt;"",I1326,Paramètres!B30))</f>
        <v/>
      </c>
      <c r="I1326" s="18" t="n"/>
    </row>
    <row r="1327">
      <c r="A1327" s="18">
        <f>IF(ISNUMBER(Dossiers!$D$28),Dossiers!$A$28&amp;" · "&amp;Dossiers!$B$28,"")</f>
        <v/>
      </c>
      <c r="B1327" s="18">
        <f>IF($A1327="","",Paramètres!G31)</f>
        <v/>
      </c>
      <c r="C1327" s="20">
        <f>IF($A1327="","",IF(Dossiers!$F$28="","",Dossiers!$F$28))</f>
        <v/>
      </c>
      <c r="D1327" s="18">
        <f>IF($A1327="","",IF(Paramètres!I31="","",Paramètres!I31))</f>
        <v/>
      </c>
      <c r="E1327" s="19">
        <f>IF($A1327="","",IF(Paramètres!J31&amp;Paramètres!L31&amp;Paramètres!N31="",Dossiers!$D$28,MAX(IF(Paramètres!J31="",0,IF(Paramètres!K31="",NA(),IF(LEFT(TRIM(Paramètres!K31),1)="F",INDEX($F$1301:$F$1353,MATCH(Paramètres!J31,Paramètres!$G$5:$G$57,0)),INDEX($E$1301:$E$1353,MATCH(Paramètres!J31,Paramètres!$G$5:$G$57,0)))+IF(RIGHT(TRIM(Paramètres!K31),3)="Fin",1-$H1327,IF(LEFT(TRIM(Paramètres!K31),1)="F",1,0)))),IF(Paramètres!L31="",0,IF(Paramètres!M31="",NA(),IF(LEFT(TRIM(Paramètres!M31),1)="F",INDEX($F$1301:$F$1353,MATCH(Paramètres!L31,Paramètres!$G$5:$G$57,0)),INDEX($E$1301:$E$1353,MATCH(Paramètres!L31,Paramètres!$G$5:$G$57,0)))+IF(RIGHT(TRIM(Paramètres!M31),3)="Fin",1-$H1327,IF(LEFT(TRIM(Paramètres!M31),1)="F",1,0)))),IF(Paramètres!N31="",0,IF(Paramètres!O31="",NA(),IF(LEFT(TRIM(Paramètres!O31),1)="F",INDEX($F$1301:$F$1353,MATCH(Paramètres!N31,Paramètres!$G$5:$G$57,0)),INDEX($E$1301:$E$1353,MATCH(Paramètres!N31,Paramètres!$G$5:$G$57,0)))+IF(RIGHT(TRIM(Paramètres!O31),3)="Fin",1-$H1327,IF(LEFT(TRIM(Paramètres!O31),1)="F",1,0)))))))</f>
        <v/>
      </c>
      <c r="F1327" s="19">
        <f>IF($A1327="","",E1327+$H1327-1)</f>
        <v/>
      </c>
      <c r="G1327" s="18" t="n"/>
      <c r="H1327" s="18">
        <f>IF($A1327="","",IF(I1327&lt;&gt;"",I1327,Paramètres!B31))</f>
        <v/>
      </c>
      <c r="I1327" s="18" t="n"/>
    </row>
    <row r="1328">
      <c r="A1328" s="18">
        <f>IF(ISNUMBER(Dossiers!$D$28),Dossiers!$A$28&amp;" · "&amp;Dossiers!$B$28,"")</f>
        <v/>
      </c>
      <c r="B1328" s="18">
        <f>IF($A1328="","",Paramètres!G32)</f>
        <v/>
      </c>
      <c r="C1328" s="18">
        <f>IF($A1328="","",IF(Paramètres!H32="","",Paramètres!H32))</f>
        <v/>
      </c>
      <c r="D1328" s="18">
        <f>IF($A1328="","",IF(Paramètres!I32="","",Paramètres!I32))</f>
        <v/>
      </c>
      <c r="E1328" s="19">
        <f>IF($A1328="","",MIN(E1329:E1332))</f>
        <v/>
      </c>
      <c r="F1328" s="19">
        <f>IF($A1328="","",MAX(F1329:F1332))</f>
        <v/>
      </c>
      <c r="G1328" s="18" t="n"/>
      <c r="H1328" s="18">
        <f>IF($A1328="","",F1328-E1328+1)</f>
        <v/>
      </c>
      <c r="I1328" s="18" t="n"/>
    </row>
    <row r="1329">
      <c r="A1329" s="18">
        <f>IF(ISNUMBER(Dossiers!$D$28),Dossiers!$A$28&amp;" · "&amp;Dossiers!$B$28,"")</f>
        <v/>
      </c>
      <c r="B1329" s="18">
        <f>IF($A1329="","",Paramètres!G33)</f>
        <v/>
      </c>
      <c r="C1329" s="18">
        <f>IF($A1329="","",IF(Paramètres!H33="","",Paramètres!H33))</f>
        <v/>
      </c>
      <c r="D1329" s="18">
        <f>IF($A1329="","",IF(Paramètres!I33="","",Paramètres!I33))</f>
        <v/>
      </c>
      <c r="E1329" s="19">
        <f>IF($A1329="","",IF(Paramètres!J33&amp;Paramètres!L33&amp;Paramètres!N33="",Dossiers!$D$28,MAX(IF(Paramètres!J33="",0,IF(Paramètres!K33="",NA(),IF(LEFT(TRIM(Paramètres!K33),1)="F",INDEX($F$1301:$F$1353,MATCH(Paramètres!J33,Paramètres!$G$5:$G$57,0)),INDEX($E$1301:$E$1353,MATCH(Paramètres!J33,Paramètres!$G$5:$G$57,0)))+IF(RIGHT(TRIM(Paramètres!K33),3)="Fin",1-$H1329,IF(LEFT(TRIM(Paramètres!K33),1)="F",1,0)))),IF(Paramètres!L33="",0,IF(Paramètres!M33="",NA(),IF(LEFT(TRIM(Paramètres!M33),1)="F",INDEX($F$1301:$F$1353,MATCH(Paramètres!L33,Paramètres!$G$5:$G$57,0)),INDEX($E$1301:$E$1353,MATCH(Paramètres!L33,Paramètres!$G$5:$G$57,0)))+IF(RIGHT(TRIM(Paramètres!M33),3)="Fin",1-$H1329,IF(LEFT(TRIM(Paramètres!M33),1)="F",1,0)))),IF(Paramètres!N33="",0,IF(Paramètres!O33="",NA(),IF(LEFT(TRIM(Paramètres!O33),1)="F",INDEX($F$1301:$F$1353,MATCH(Paramètres!N33,Paramètres!$G$5:$G$57,0)),INDEX($E$1301:$E$1353,MATCH(Paramètres!N33,Paramètres!$G$5:$G$57,0)))+IF(RIGHT(TRIM(Paramètres!O33),3)="Fin",1-$H1329,IF(LEFT(TRIM(Paramètres!O33),1)="F",1,0)))))))</f>
        <v/>
      </c>
      <c r="F1329" s="19">
        <f>IF($A1329="","",E1329+$H1329-1)</f>
        <v/>
      </c>
      <c r="G1329" s="18" t="n"/>
      <c r="H1329" s="18">
        <f>IF($A1329="","",IF(I1329&lt;&gt;"",I1329,Paramètres!B33))</f>
        <v/>
      </c>
      <c r="I1329" s="18" t="n"/>
    </row>
    <row r="1330">
      <c r="A1330" s="18">
        <f>IF(ISNUMBER(Dossiers!$D$28),Dossiers!$A$28&amp;" · "&amp;Dossiers!$B$28,"")</f>
        <v/>
      </c>
      <c r="B1330" s="18">
        <f>IF($A1330="","",Paramètres!G34)</f>
        <v/>
      </c>
      <c r="C1330" s="18">
        <f>IF($A1330="","",IF(Paramètres!H34="","",Paramètres!H34))</f>
        <v/>
      </c>
      <c r="D1330" s="18">
        <f>IF($A1330="","",IF(Paramètres!I34="","",Paramètres!I34))</f>
        <v/>
      </c>
      <c r="E1330" s="19">
        <f>IF($A1330="","",IF(Paramètres!J34&amp;Paramètres!L34&amp;Paramètres!N34="",Dossiers!$D$28,MAX(IF(Paramètres!J34="",0,IF(Paramètres!K34="",NA(),IF(LEFT(TRIM(Paramètres!K34),1)="F",INDEX($F$1301:$F$1353,MATCH(Paramètres!J34,Paramètres!$G$5:$G$57,0)),INDEX($E$1301:$E$1353,MATCH(Paramètres!J34,Paramètres!$G$5:$G$57,0)))+IF(RIGHT(TRIM(Paramètres!K34),3)="Fin",1-$H1330,IF(LEFT(TRIM(Paramètres!K34),1)="F",1,0)))),IF(Paramètres!L34="",0,IF(Paramètres!M34="",NA(),IF(LEFT(TRIM(Paramètres!M34),1)="F",INDEX($F$1301:$F$1353,MATCH(Paramètres!L34,Paramètres!$G$5:$G$57,0)),INDEX($E$1301:$E$1353,MATCH(Paramètres!L34,Paramètres!$G$5:$G$57,0)))+IF(RIGHT(TRIM(Paramètres!M34),3)="Fin",1-$H1330,IF(LEFT(TRIM(Paramètres!M34),1)="F",1,0)))),IF(Paramètres!N34="",0,IF(Paramètres!O34="",NA(),IF(LEFT(TRIM(Paramètres!O34),1)="F",INDEX($F$1301:$F$1353,MATCH(Paramètres!N34,Paramètres!$G$5:$G$57,0)),INDEX($E$1301:$E$1353,MATCH(Paramètres!N34,Paramètres!$G$5:$G$57,0)))+IF(RIGHT(TRIM(Paramètres!O34),3)="Fin",1-$H1330,IF(LEFT(TRIM(Paramètres!O34),1)="F",1,0)))))))</f>
        <v/>
      </c>
      <c r="F1330" s="19">
        <f>IF($A1330="","",E1330+$H1330-1)</f>
        <v/>
      </c>
      <c r="G1330" s="18" t="n"/>
      <c r="H1330" s="18">
        <f>IF($A1330="","",IF(I1330&lt;&gt;"",I1330,Paramètres!B34))</f>
        <v/>
      </c>
      <c r="I1330" s="18" t="n"/>
    </row>
    <row r="1331">
      <c r="A1331" s="18">
        <f>IF(ISNUMBER(Dossiers!$D$28),Dossiers!$A$28&amp;" · "&amp;Dossiers!$B$28,"")</f>
        <v/>
      </c>
      <c r="B1331" s="18">
        <f>IF($A1331="","",Paramètres!G35)</f>
        <v/>
      </c>
      <c r="C1331" s="18">
        <f>IF($A1331="","",IF(Paramètres!H35="","",Paramètres!H35))</f>
        <v/>
      </c>
      <c r="D1331" s="18">
        <f>IF($A1331="","",IF(Paramètres!I35="","",Paramètres!I35))</f>
        <v/>
      </c>
      <c r="E1331" s="19">
        <f>IF($A1331="","",IF(Paramètres!J35&amp;Paramètres!L35&amp;Paramètres!N35="",Dossiers!$D$28,MAX(IF(Paramètres!J35="",0,IF(Paramètres!K35="",NA(),IF(LEFT(TRIM(Paramètres!K35),1)="F",INDEX($F$1301:$F$1353,MATCH(Paramètres!J35,Paramètres!$G$5:$G$57,0)),INDEX($E$1301:$E$1353,MATCH(Paramètres!J35,Paramètres!$G$5:$G$57,0)))+IF(RIGHT(TRIM(Paramètres!K35),3)="Fin",1-$H1331,IF(LEFT(TRIM(Paramètres!K35),1)="F",1,0)))),IF(Paramètres!L35="",0,IF(Paramètres!M35="",NA(),IF(LEFT(TRIM(Paramètres!M35),1)="F",INDEX($F$1301:$F$1353,MATCH(Paramètres!L35,Paramètres!$G$5:$G$57,0)),INDEX($E$1301:$E$1353,MATCH(Paramètres!L35,Paramètres!$G$5:$G$57,0)))+IF(RIGHT(TRIM(Paramètres!M35),3)="Fin",1-$H1331,IF(LEFT(TRIM(Paramètres!M35),1)="F",1,0)))),IF(Paramètres!N35="",0,IF(Paramètres!O35="",NA(),IF(LEFT(TRIM(Paramètres!O35),1)="F",INDEX($F$1301:$F$1353,MATCH(Paramètres!N35,Paramètres!$G$5:$G$57,0)),INDEX($E$1301:$E$1353,MATCH(Paramètres!N35,Paramètres!$G$5:$G$57,0)))+IF(RIGHT(TRIM(Paramètres!O35),3)="Fin",1-$H1331,IF(LEFT(TRIM(Paramètres!O35),1)="F",1,0)))))))</f>
        <v/>
      </c>
      <c r="F1331" s="19">
        <f>IF($A1331="","",E1331+$H1331-1)</f>
        <v/>
      </c>
      <c r="G1331" s="18" t="n"/>
      <c r="H1331" s="18">
        <f>IF($A1331="","",IF(I1331&lt;&gt;"",I1331,Paramètres!B35))</f>
        <v/>
      </c>
      <c r="I1331" s="18" t="n"/>
    </row>
    <row r="1332">
      <c r="A1332" s="18">
        <f>IF(ISNUMBER(Dossiers!$D$28),Dossiers!$A$28&amp;" · "&amp;Dossiers!$B$28,"")</f>
        <v/>
      </c>
      <c r="B1332" s="18">
        <f>IF($A1332="","",Paramètres!G36)</f>
        <v/>
      </c>
      <c r="C1332" s="18">
        <f>IF($A1332="","",IF(Paramètres!H36="","",Paramètres!H36))</f>
        <v/>
      </c>
      <c r="D1332" s="18">
        <f>IF($A1332="","",IF(Paramètres!I36="","",Paramètres!I36))</f>
        <v/>
      </c>
      <c r="E1332" s="19">
        <f>IF($A1332="","",IF(Paramètres!J36&amp;Paramètres!L36&amp;Paramètres!N36="",Dossiers!$D$28,MAX(IF(Paramètres!J36="",0,IF(Paramètres!K36="",NA(),IF(LEFT(TRIM(Paramètres!K36),1)="F",INDEX($F$1301:$F$1353,MATCH(Paramètres!J36,Paramètres!$G$5:$G$57,0)),INDEX($E$1301:$E$1353,MATCH(Paramètres!J36,Paramètres!$G$5:$G$57,0)))+IF(RIGHT(TRIM(Paramètres!K36),3)="Fin",1-$H1332,IF(LEFT(TRIM(Paramètres!K36),1)="F",1,0)))),IF(Paramètres!L36="",0,IF(Paramètres!M36="",NA(),IF(LEFT(TRIM(Paramètres!M36),1)="F",INDEX($F$1301:$F$1353,MATCH(Paramètres!L36,Paramètres!$G$5:$G$57,0)),INDEX($E$1301:$E$1353,MATCH(Paramètres!L36,Paramètres!$G$5:$G$57,0)))+IF(RIGHT(TRIM(Paramètres!M36),3)="Fin",1-$H1332,IF(LEFT(TRIM(Paramètres!M36),1)="F",1,0)))),IF(Paramètres!N36="",0,IF(Paramètres!O36="",NA(),IF(LEFT(TRIM(Paramètres!O36),1)="F",INDEX($F$1301:$F$1353,MATCH(Paramètres!N36,Paramètres!$G$5:$G$57,0)),INDEX($E$1301:$E$1353,MATCH(Paramètres!N36,Paramètres!$G$5:$G$57,0)))+IF(RIGHT(TRIM(Paramètres!O36),3)="Fin",1-$H1332,IF(LEFT(TRIM(Paramètres!O36),1)="F",1,0)))))))</f>
        <v/>
      </c>
      <c r="F1332" s="19">
        <f>IF($A1332="","",E1332+$H1332-1)</f>
        <v/>
      </c>
      <c r="G1332" s="18" t="n"/>
      <c r="H1332" s="18">
        <f>IF($A1332="","",IF(I1332&lt;&gt;"",I1332,Paramètres!B36))</f>
        <v/>
      </c>
      <c r="I1332" s="18" t="n"/>
    </row>
    <row r="1333">
      <c r="A1333" s="18">
        <f>IF(ISNUMBER(Dossiers!$D$28),Dossiers!$A$28&amp;" · "&amp;Dossiers!$B$28,"")</f>
        <v/>
      </c>
      <c r="B1333" s="18">
        <f>IF($A1333="","",Paramètres!G37)</f>
        <v/>
      </c>
      <c r="C1333" s="18">
        <f>IF($A1333="","",IF(Paramètres!H37="","",Paramètres!H37))</f>
        <v/>
      </c>
      <c r="D1333" s="18">
        <f>IF($A1333="","",IF(Paramètres!I37="","",Paramètres!I37))</f>
        <v/>
      </c>
      <c r="E1333" s="19">
        <f>IF($A1333="","",MIN(E1334:E1351))</f>
        <v/>
      </c>
      <c r="F1333" s="19">
        <f>IF($A1333="","",MAX(F1334:F1351))</f>
        <v/>
      </c>
      <c r="G1333" s="18" t="n"/>
      <c r="H1333" s="18">
        <f>IF($A1333="","",F1333-E1333+1)</f>
        <v/>
      </c>
      <c r="I1333" s="18" t="n"/>
    </row>
    <row r="1334">
      <c r="A1334" s="18">
        <f>IF(ISNUMBER(Dossiers!$D$28),Dossiers!$A$28&amp;" · "&amp;Dossiers!$B$28,"")</f>
        <v/>
      </c>
      <c r="B1334" s="18">
        <f>IF($A1334="","",Paramètres!G38)</f>
        <v/>
      </c>
      <c r="C1334" s="18">
        <f>IF($A1334="","",IF(Paramètres!H38="","",Paramètres!H38))</f>
        <v/>
      </c>
      <c r="D1334" s="18">
        <f>IF($A1334="","",IF(Paramètres!I38="","",Paramètres!I38))</f>
        <v/>
      </c>
      <c r="E1334" s="19">
        <f>IF($A1334="","",IF(Paramètres!J38&amp;Paramètres!L38&amp;Paramètres!N38="",Dossiers!$D$28,MAX(IF(Paramètres!J38="",0,IF(Paramètres!K38="",NA(),IF(LEFT(TRIM(Paramètres!K38),1)="F",INDEX($F$1301:$F$1353,MATCH(Paramètres!J38,Paramètres!$G$5:$G$57,0)),INDEX($E$1301:$E$1353,MATCH(Paramètres!J38,Paramètres!$G$5:$G$57,0)))+IF(RIGHT(TRIM(Paramètres!K38),3)="Fin",1-$H1334,IF(LEFT(TRIM(Paramètres!K38),1)="F",1,0)))),IF(Paramètres!L38="",0,IF(Paramètres!M38="",NA(),IF(LEFT(TRIM(Paramètres!M38),1)="F",INDEX($F$1301:$F$1353,MATCH(Paramètres!L38,Paramètres!$G$5:$G$57,0)),INDEX($E$1301:$E$1353,MATCH(Paramètres!L38,Paramètres!$G$5:$G$57,0)))+IF(RIGHT(TRIM(Paramètres!M38),3)="Fin",1-$H1334,IF(LEFT(TRIM(Paramètres!M38),1)="F",1,0)))),IF(Paramètres!N38="",0,IF(Paramètres!O38="",NA(),IF(LEFT(TRIM(Paramètres!O38),1)="F",INDEX($F$1301:$F$1353,MATCH(Paramètres!N38,Paramètres!$G$5:$G$57,0)),INDEX($E$1301:$E$1353,MATCH(Paramètres!N38,Paramètres!$G$5:$G$57,0)))+IF(RIGHT(TRIM(Paramètres!O38),3)="Fin",1-$H1334,IF(LEFT(TRIM(Paramètres!O38),1)="F",1,0)))))))</f>
        <v/>
      </c>
      <c r="F1334" s="19">
        <f>IF($A1334="","",E1334+$H1334-1)</f>
        <v/>
      </c>
      <c r="G1334" s="18" t="n"/>
      <c r="H1334" s="18">
        <f>IF($A1334="","",IF(I1334&lt;&gt;"",I1334,Paramètres!B38))</f>
        <v/>
      </c>
      <c r="I1334" s="18" t="n"/>
    </row>
    <row r="1335">
      <c r="A1335" s="18">
        <f>IF(ISNUMBER(Dossiers!$D$28),Dossiers!$A$28&amp;" · "&amp;Dossiers!$B$28,"")</f>
        <v/>
      </c>
      <c r="B1335" s="18">
        <f>IF($A1335="","",Paramètres!G39)</f>
        <v/>
      </c>
      <c r="C1335" s="18">
        <f>IF($A1335="","",IF(Paramètres!H39="","",Paramètres!H39))</f>
        <v/>
      </c>
      <c r="D1335" s="18">
        <f>IF($A1335="","",IF(Paramètres!I39="","",Paramètres!I39))</f>
        <v/>
      </c>
      <c r="E1335" s="19">
        <f>IF($A1335="","",IF(Paramètres!J39&amp;Paramètres!L39&amp;Paramètres!N39="",Dossiers!$D$28,MAX(IF(Paramètres!J39="",0,IF(Paramètres!K39="",NA(),IF(LEFT(TRIM(Paramètres!K39),1)="F",INDEX($F$1301:$F$1353,MATCH(Paramètres!J39,Paramètres!$G$5:$G$57,0)),INDEX($E$1301:$E$1353,MATCH(Paramètres!J39,Paramètres!$G$5:$G$57,0)))+IF(RIGHT(TRIM(Paramètres!K39),3)="Fin",1-$H1335,IF(LEFT(TRIM(Paramètres!K39),1)="F",1,0)))),IF(Paramètres!L39="",0,IF(Paramètres!M39="",NA(),IF(LEFT(TRIM(Paramètres!M39),1)="F",INDEX($F$1301:$F$1353,MATCH(Paramètres!L39,Paramètres!$G$5:$G$57,0)),INDEX($E$1301:$E$1353,MATCH(Paramètres!L39,Paramètres!$G$5:$G$57,0)))+IF(RIGHT(TRIM(Paramètres!M39),3)="Fin",1-$H1335,IF(LEFT(TRIM(Paramètres!M39),1)="F",1,0)))),IF(Paramètres!N39="",0,IF(Paramètres!O39="",NA(),IF(LEFT(TRIM(Paramètres!O39),1)="F",INDEX($F$1301:$F$1353,MATCH(Paramètres!N39,Paramètres!$G$5:$G$57,0)),INDEX($E$1301:$E$1353,MATCH(Paramètres!N39,Paramètres!$G$5:$G$57,0)))+IF(RIGHT(TRIM(Paramètres!O39),3)="Fin",1-$H1335,IF(LEFT(TRIM(Paramètres!O39),1)="F",1,0)))))))</f>
        <v/>
      </c>
      <c r="F1335" s="19">
        <f>IF($A1335="","",E1335+$H1335-1)</f>
        <v/>
      </c>
      <c r="G1335" s="18" t="n"/>
      <c r="H1335" s="18">
        <f>IF($A1335="","",IF(I1335&lt;&gt;"",I1335,Paramètres!B39))</f>
        <v/>
      </c>
      <c r="I1335" s="18" t="n"/>
    </row>
    <row r="1336">
      <c r="A1336" s="18">
        <f>IF(ISNUMBER(Dossiers!$D$28),Dossiers!$A$28&amp;" · "&amp;Dossiers!$B$28,"")</f>
        <v/>
      </c>
      <c r="B1336" s="18">
        <f>IF($A1336="","",Paramètres!G40)</f>
        <v/>
      </c>
      <c r="C1336" s="18">
        <f>IF($A1336="","",IF(Paramètres!H40="","",Paramètres!H40))</f>
        <v/>
      </c>
      <c r="D1336" s="18">
        <f>IF($A1336="","",IF(Paramètres!I40="","",Paramètres!I40))</f>
        <v/>
      </c>
      <c r="E1336" s="19">
        <f>IF($A1336="","",IF(Paramètres!J40&amp;Paramètres!L40&amp;Paramètres!N40="",Dossiers!$D$28,MAX(IF(Paramètres!J40="",0,IF(Paramètres!K40="",NA(),IF(LEFT(TRIM(Paramètres!K40),1)="F",INDEX($F$1301:$F$1353,MATCH(Paramètres!J40,Paramètres!$G$5:$G$57,0)),INDEX($E$1301:$E$1353,MATCH(Paramètres!J40,Paramètres!$G$5:$G$57,0)))+IF(RIGHT(TRIM(Paramètres!K40),3)="Fin",1-$H1336,IF(LEFT(TRIM(Paramètres!K40),1)="F",1,0)))),IF(Paramètres!L40="",0,IF(Paramètres!M40="",NA(),IF(LEFT(TRIM(Paramètres!M40),1)="F",INDEX($F$1301:$F$1353,MATCH(Paramètres!L40,Paramètres!$G$5:$G$57,0)),INDEX($E$1301:$E$1353,MATCH(Paramètres!L40,Paramètres!$G$5:$G$57,0)))+IF(RIGHT(TRIM(Paramètres!M40),3)="Fin",1-$H1336,IF(LEFT(TRIM(Paramètres!M40),1)="F",1,0)))),IF(Paramètres!N40="",0,IF(Paramètres!O40="",NA(),IF(LEFT(TRIM(Paramètres!O40),1)="F",INDEX($F$1301:$F$1353,MATCH(Paramètres!N40,Paramètres!$G$5:$G$57,0)),INDEX($E$1301:$E$1353,MATCH(Paramètres!N40,Paramètres!$G$5:$G$57,0)))+IF(RIGHT(TRIM(Paramètres!O40),3)="Fin",1-$H1336,IF(LEFT(TRIM(Paramètres!O40),1)="F",1,0)))))))</f>
        <v/>
      </c>
      <c r="F1336" s="19">
        <f>IF($A1336="","",E1336+$H1336-1)</f>
        <v/>
      </c>
      <c r="G1336" s="18" t="n"/>
      <c r="H1336" s="18">
        <f>IF($A1336="","",IF(I1336&lt;&gt;"",I1336,Paramètres!B40))</f>
        <v/>
      </c>
      <c r="I1336" s="18" t="n"/>
    </row>
    <row r="1337">
      <c r="A1337" s="18">
        <f>IF(ISNUMBER(Dossiers!$D$28),Dossiers!$A$28&amp;" · "&amp;Dossiers!$B$28,"")</f>
        <v/>
      </c>
      <c r="B1337" s="18">
        <f>IF($A1337="","",Paramètres!G41)</f>
        <v/>
      </c>
      <c r="C1337" s="18">
        <f>IF($A1337="","",IF(Paramètres!H41="","",Paramètres!H41))</f>
        <v/>
      </c>
      <c r="D1337" s="18">
        <f>IF($A1337="","",IF(Paramètres!I41="","",Paramètres!I41))</f>
        <v/>
      </c>
      <c r="E1337" s="19">
        <f>IF($A1337="","",IF(Paramètres!J41&amp;Paramètres!L41&amp;Paramètres!N41="",Dossiers!$D$28,MAX(IF(Paramètres!J41="",0,IF(Paramètres!K41="",NA(),IF(LEFT(TRIM(Paramètres!K41),1)="F",INDEX($F$1301:$F$1353,MATCH(Paramètres!J41,Paramètres!$G$5:$G$57,0)),INDEX($E$1301:$E$1353,MATCH(Paramètres!J41,Paramètres!$G$5:$G$57,0)))+IF(RIGHT(TRIM(Paramètres!K41),3)="Fin",1-$H1337,IF(LEFT(TRIM(Paramètres!K41),1)="F",1,0)))),IF(Paramètres!L41="",0,IF(Paramètres!M41="",NA(),IF(LEFT(TRIM(Paramètres!M41),1)="F",INDEX($F$1301:$F$1353,MATCH(Paramètres!L41,Paramètres!$G$5:$G$57,0)),INDEX($E$1301:$E$1353,MATCH(Paramètres!L41,Paramètres!$G$5:$G$57,0)))+IF(RIGHT(TRIM(Paramètres!M41),3)="Fin",1-$H1337,IF(LEFT(TRIM(Paramètres!M41),1)="F",1,0)))),IF(Paramètres!N41="",0,IF(Paramètres!O41="",NA(),IF(LEFT(TRIM(Paramètres!O41),1)="F",INDEX($F$1301:$F$1353,MATCH(Paramètres!N41,Paramètres!$G$5:$G$57,0)),INDEX($E$1301:$E$1353,MATCH(Paramètres!N41,Paramètres!$G$5:$G$57,0)))+IF(RIGHT(TRIM(Paramètres!O41),3)="Fin",1-$H1337,IF(LEFT(TRIM(Paramètres!O41),1)="F",1,0)))))))</f>
        <v/>
      </c>
      <c r="F1337" s="19">
        <f>IF($A1337="","",E1337+$H1337-1)</f>
        <v/>
      </c>
      <c r="G1337" s="18" t="n"/>
      <c r="H1337" s="18">
        <f>IF($A1337="","",IF(I1337&lt;&gt;"",I1337,Paramètres!B41))</f>
        <v/>
      </c>
      <c r="I1337" s="18" t="n"/>
    </row>
    <row r="1338">
      <c r="A1338" s="18">
        <f>IF(ISNUMBER(Dossiers!$D$28),Dossiers!$A$28&amp;" · "&amp;Dossiers!$B$28,"")</f>
        <v/>
      </c>
      <c r="B1338" s="18">
        <f>IF($A1338="","",Paramètres!G42)</f>
        <v/>
      </c>
      <c r="C1338" s="18">
        <f>IF($A1338="","",IF(Paramètres!H42="","",Paramètres!H42))</f>
        <v/>
      </c>
      <c r="D1338" s="18">
        <f>IF($A1338="","",IF(Paramètres!I42="","",Paramètres!I42))</f>
        <v/>
      </c>
      <c r="E1338" s="19">
        <f>IF($A1338="","",IF(Paramètres!J42&amp;Paramètres!L42&amp;Paramètres!N42="",Dossiers!$D$28,MAX(IF(Paramètres!J42="",0,IF(Paramètres!K42="",NA(),IF(LEFT(TRIM(Paramètres!K42),1)="F",INDEX($F$1301:$F$1353,MATCH(Paramètres!J42,Paramètres!$G$5:$G$57,0)),INDEX($E$1301:$E$1353,MATCH(Paramètres!J42,Paramètres!$G$5:$G$57,0)))+IF(RIGHT(TRIM(Paramètres!K42),3)="Fin",1-$H1338,IF(LEFT(TRIM(Paramètres!K42),1)="F",1,0)))),IF(Paramètres!L42="",0,IF(Paramètres!M42="",NA(),IF(LEFT(TRIM(Paramètres!M42),1)="F",INDEX($F$1301:$F$1353,MATCH(Paramètres!L42,Paramètres!$G$5:$G$57,0)),INDEX($E$1301:$E$1353,MATCH(Paramètres!L42,Paramètres!$G$5:$G$57,0)))+IF(RIGHT(TRIM(Paramètres!M42),3)="Fin",1-$H1338,IF(LEFT(TRIM(Paramètres!M42),1)="F",1,0)))),IF(Paramètres!N42="",0,IF(Paramètres!O42="",NA(),IF(LEFT(TRIM(Paramètres!O42),1)="F",INDEX($F$1301:$F$1353,MATCH(Paramètres!N42,Paramètres!$G$5:$G$57,0)),INDEX($E$1301:$E$1353,MATCH(Paramètres!N42,Paramètres!$G$5:$G$57,0)))+IF(RIGHT(TRIM(Paramètres!O42),3)="Fin",1-$H1338,IF(LEFT(TRIM(Paramètres!O42),1)="F",1,0)))))))</f>
        <v/>
      </c>
      <c r="F1338" s="19">
        <f>IF($A1338="","",E1338+$H1338-1)</f>
        <v/>
      </c>
      <c r="G1338" s="18" t="n"/>
      <c r="H1338" s="18">
        <f>IF($A1338="","",IF(I1338&lt;&gt;"",I1338,Paramètres!B42))</f>
        <v/>
      </c>
      <c r="I1338" s="18" t="n"/>
    </row>
    <row r="1339">
      <c r="A1339" s="18">
        <f>IF(ISNUMBER(Dossiers!$D$28),Dossiers!$A$28&amp;" · "&amp;Dossiers!$B$28,"")</f>
        <v/>
      </c>
      <c r="B1339" s="18">
        <f>IF($A1339="","",Paramètres!G43)</f>
        <v/>
      </c>
      <c r="C1339" s="18">
        <f>IF($A1339="","",IF(Paramètres!H43="","",Paramètres!H43))</f>
        <v/>
      </c>
      <c r="D1339" s="18">
        <f>IF($A1339="","",IF(Paramètres!I43="","",Paramètres!I43))</f>
        <v/>
      </c>
      <c r="E1339" s="19">
        <f>IF($A1339="","",IF(Paramètres!J43&amp;Paramètres!L43&amp;Paramètres!N43="",Dossiers!$D$28,MAX(IF(Paramètres!J43="",0,IF(Paramètres!K43="",NA(),IF(LEFT(TRIM(Paramètres!K43),1)="F",INDEX($F$1301:$F$1353,MATCH(Paramètres!J43,Paramètres!$G$5:$G$57,0)),INDEX($E$1301:$E$1353,MATCH(Paramètres!J43,Paramètres!$G$5:$G$57,0)))+IF(RIGHT(TRIM(Paramètres!K43),3)="Fin",1-$H1339,IF(LEFT(TRIM(Paramètres!K43),1)="F",1,0)))),IF(Paramètres!L43="",0,IF(Paramètres!M43="",NA(),IF(LEFT(TRIM(Paramètres!M43),1)="F",INDEX($F$1301:$F$1353,MATCH(Paramètres!L43,Paramètres!$G$5:$G$57,0)),INDEX($E$1301:$E$1353,MATCH(Paramètres!L43,Paramètres!$G$5:$G$57,0)))+IF(RIGHT(TRIM(Paramètres!M43),3)="Fin",1-$H1339,IF(LEFT(TRIM(Paramètres!M43),1)="F",1,0)))),IF(Paramètres!N43="",0,IF(Paramètres!O43="",NA(),IF(LEFT(TRIM(Paramètres!O43),1)="F",INDEX($F$1301:$F$1353,MATCH(Paramètres!N43,Paramètres!$G$5:$G$57,0)),INDEX($E$1301:$E$1353,MATCH(Paramètres!N43,Paramètres!$G$5:$G$57,0)))+IF(RIGHT(TRIM(Paramètres!O43),3)="Fin",1-$H1339,IF(LEFT(TRIM(Paramètres!O43),1)="F",1,0)))))))</f>
        <v/>
      </c>
      <c r="F1339" s="19">
        <f>IF($A1339="","",E1339+$H1339-1)</f>
        <v/>
      </c>
      <c r="G1339" s="18" t="n"/>
      <c r="H1339" s="18">
        <f>IF($A1339="","",IF(I1339&lt;&gt;"",I1339,Paramètres!B43))</f>
        <v/>
      </c>
      <c r="I1339" s="18" t="n"/>
    </row>
    <row r="1340">
      <c r="A1340" s="18">
        <f>IF(ISNUMBER(Dossiers!$D$28),Dossiers!$A$28&amp;" · "&amp;Dossiers!$B$28,"")</f>
        <v/>
      </c>
      <c r="B1340" s="18">
        <f>IF($A1340="","",Paramètres!G44)</f>
        <v/>
      </c>
      <c r="C1340" s="18">
        <f>IF($A1340="","",IF(Paramètres!H44="","",Paramètres!H44))</f>
        <v/>
      </c>
      <c r="D1340" s="18">
        <f>IF($A1340="","",IF(Paramètres!I44="","",Paramètres!I44))</f>
        <v/>
      </c>
      <c r="E1340" s="19">
        <f>IF($A1340="","",IF(Paramètres!J44&amp;Paramètres!L44&amp;Paramètres!N44="",Dossiers!$D$28,MAX(IF(Paramètres!J44="",0,IF(Paramètres!K44="",NA(),IF(LEFT(TRIM(Paramètres!K44),1)="F",INDEX($F$1301:$F$1353,MATCH(Paramètres!J44,Paramètres!$G$5:$G$57,0)),INDEX($E$1301:$E$1353,MATCH(Paramètres!J44,Paramètres!$G$5:$G$57,0)))+IF(RIGHT(TRIM(Paramètres!K44),3)="Fin",1-$H1340,IF(LEFT(TRIM(Paramètres!K44),1)="F",1,0)))),IF(Paramètres!L44="",0,IF(Paramètres!M44="",NA(),IF(LEFT(TRIM(Paramètres!M44),1)="F",INDEX($F$1301:$F$1353,MATCH(Paramètres!L44,Paramètres!$G$5:$G$57,0)),INDEX($E$1301:$E$1353,MATCH(Paramètres!L44,Paramètres!$G$5:$G$57,0)))+IF(RIGHT(TRIM(Paramètres!M44),3)="Fin",1-$H1340,IF(LEFT(TRIM(Paramètres!M44),1)="F",1,0)))),IF(Paramètres!N44="",0,IF(Paramètres!O44="",NA(),IF(LEFT(TRIM(Paramètres!O44),1)="F",INDEX($F$1301:$F$1353,MATCH(Paramètres!N44,Paramètres!$G$5:$G$57,0)),INDEX($E$1301:$E$1353,MATCH(Paramètres!N44,Paramètres!$G$5:$G$57,0)))+IF(RIGHT(TRIM(Paramètres!O44),3)="Fin",1-$H1340,IF(LEFT(TRIM(Paramètres!O44),1)="F",1,0)))))))</f>
        <v/>
      </c>
      <c r="F1340" s="19">
        <f>IF($A1340="","",E1340+$H1340-1)</f>
        <v/>
      </c>
      <c r="G1340" s="18" t="n"/>
      <c r="H1340" s="18">
        <f>IF($A1340="","",IF(I1340&lt;&gt;"",I1340,Paramètres!B44))</f>
        <v/>
      </c>
      <c r="I1340" s="18" t="n"/>
    </row>
    <row r="1341">
      <c r="A1341" s="18">
        <f>IF(ISNUMBER(Dossiers!$D$28),Dossiers!$A$28&amp;" · "&amp;Dossiers!$B$28,"")</f>
        <v/>
      </c>
      <c r="B1341" s="18">
        <f>IF($A1341="","",Paramètres!G45)</f>
        <v/>
      </c>
      <c r="C1341" s="20">
        <f>IF($A1341="","",IF(Dossiers!$G$28="","",Dossiers!$G$28))</f>
        <v/>
      </c>
      <c r="D1341" s="18">
        <f>IF($A1341="","",IF(Paramètres!I45="","",Paramètres!I45))</f>
        <v/>
      </c>
      <c r="E1341" s="19">
        <f>IF($A1341="","",IF(Paramètres!J45&amp;Paramètres!L45&amp;Paramètres!N45="",Dossiers!$D$28,MAX(IF(Paramètres!J45="",0,IF(Paramètres!K45="",NA(),IF(LEFT(TRIM(Paramètres!K45),1)="F",INDEX($F$1301:$F$1353,MATCH(Paramètres!J45,Paramètres!$G$5:$G$57,0)),INDEX($E$1301:$E$1353,MATCH(Paramètres!J45,Paramètres!$G$5:$G$57,0)))+IF(RIGHT(TRIM(Paramètres!K45),3)="Fin",1-$H1341,IF(LEFT(TRIM(Paramètres!K45),1)="F",1,0)))),IF(Paramètres!L45="",0,IF(Paramètres!M45="",NA(),IF(LEFT(TRIM(Paramètres!M45),1)="F",INDEX($F$1301:$F$1353,MATCH(Paramètres!L45,Paramètres!$G$5:$G$57,0)),INDEX($E$1301:$E$1353,MATCH(Paramètres!L45,Paramètres!$G$5:$G$57,0)))+IF(RIGHT(TRIM(Paramètres!M45),3)="Fin",1-$H1341,IF(LEFT(TRIM(Paramètres!M45),1)="F",1,0)))),IF(Paramètres!N45="",0,IF(Paramètres!O45="",NA(),IF(LEFT(TRIM(Paramètres!O45),1)="F",INDEX($F$1301:$F$1353,MATCH(Paramètres!N45,Paramètres!$G$5:$G$57,0)),INDEX($E$1301:$E$1353,MATCH(Paramètres!N45,Paramètres!$G$5:$G$57,0)))+IF(RIGHT(TRIM(Paramètres!O45),3)="Fin",1-$H1341,IF(LEFT(TRIM(Paramètres!O45),1)="F",1,0)))))))</f>
        <v/>
      </c>
      <c r="F1341" s="19">
        <f>IF($A1341="","",E1341+$H1341-1)</f>
        <v/>
      </c>
      <c r="G1341" s="18" t="n"/>
      <c r="H1341" s="18">
        <f>IF($A1341="","",IF(I1341&lt;&gt;"",I1341,Paramètres!B45))</f>
        <v/>
      </c>
      <c r="I1341" s="18" t="n"/>
    </row>
    <row r="1342">
      <c r="A1342" s="18">
        <f>IF(ISNUMBER(Dossiers!$D$28),Dossiers!$A$28&amp;" · "&amp;Dossiers!$B$28,"")</f>
        <v/>
      </c>
      <c r="B1342" s="18">
        <f>IF($A1342="","",Paramètres!G46)</f>
        <v/>
      </c>
      <c r="C1342" s="18">
        <f>IF($A1342="","",IF(Paramètres!H46="","",Paramètres!H46))</f>
        <v/>
      </c>
      <c r="D1342" s="18">
        <f>IF($A1342="","",IF(Paramètres!I46="","",Paramètres!I46))</f>
        <v/>
      </c>
      <c r="E1342" s="19">
        <f>IF($A1342="","",IF(Paramètres!J46&amp;Paramètres!L46&amp;Paramètres!N46="",Dossiers!$D$28,MAX(IF(Paramètres!J46="",0,IF(Paramètres!K46="",NA(),IF(LEFT(TRIM(Paramètres!K46),1)="F",INDEX($F$1301:$F$1353,MATCH(Paramètres!J46,Paramètres!$G$5:$G$57,0)),INDEX($E$1301:$E$1353,MATCH(Paramètres!J46,Paramètres!$G$5:$G$57,0)))+IF(RIGHT(TRIM(Paramètres!K46),3)="Fin",1-$H1342,IF(LEFT(TRIM(Paramètres!K46),1)="F",1,0)))),IF(Paramètres!L46="",0,IF(Paramètres!M46="",NA(),IF(LEFT(TRIM(Paramètres!M46),1)="F",INDEX($F$1301:$F$1353,MATCH(Paramètres!L46,Paramètres!$G$5:$G$57,0)),INDEX($E$1301:$E$1353,MATCH(Paramètres!L46,Paramètres!$G$5:$G$57,0)))+IF(RIGHT(TRIM(Paramètres!M46),3)="Fin",1-$H1342,IF(LEFT(TRIM(Paramètres!M46),1)="F",1,0)))),IF(Paramètres!N46="",0,IF(Paramètres!O46="",NA(),IF(LEFT(TRIM(Paramètres!O46),1)="F",INDEX($F$1301:$F$1353,MATCH(Paramètres!N46,Paramètres!$G$5:$G$57,0)),INDEX($E$1301:$E$1353,MATCH(Paramètres!N46,Paramètres!$G$5:$G$57,0)))+IF(RIGHT(TRIM(Paramètres!O46),3)="Fin",1-$H1342,IF(LEFT(TRIM(Paramètres!O46),1)="F",1,0)))))))</f>
        <v/>
      </c>
      <c r="F1342" s="19">
        <f>IF($A1342="","",E1342+$H1342-1)</f>
        <v/>
      </c>
      <c r="G1342" s="18" t="n"/>
      <c r="H1342" s="18">
        <f>IF($A1342="","",IF(I1342&lt;&gt;"",I1342,Paramètres!B46))</f>
        <v/>
      </c>
      <c r="I1342" s="18" t="n"/>
    </row>
    <row r="1343">
      <c r="A1343" s="18">
        <f>IF(ISNUMBER(Dossiers!$D$28),Dossiers!$A$28&amp;" · "&amp;Dossiers!$B$28,"")</f>
        <v/>
      </c>
      <c r="B1343" s="18">
        <f>IF($A1343="","",Paramètres!G47)</f>
        <v/>
      </c>
      <c r="C1343" s="18">
        <f>IF($A1343="","",IF(Paramètres!H47="","",Paramètres!H47))</f>
        <v/>
      </c>
      <c r="D1343" s="18">
        <f>IF($A1343="","",IF(Paramètres!I47="","",Paramètres!I47))</f>
        <v/>
      </c>
      <c r="E1343" s="19">
        <f>IF($A1343="","",IF(Paramètres!J47&amp;Paramètres!L47&amp;Paramètres!N47="",Dossiers!$D$28,MAX(IF(Paramètres!J47="",0,IF(Paramètres!K47="",NA(),IF(LEFT(TRIM(Paramètres!K47),1)="F",INDEX($F$1301:$F$1353,MATCH(Paramètres!J47,Paramètres!$G$5:$G$57,0)),INDEX($E$1301:$E$1353,MATCH(Paramètres!J47,Paramètres!$G$5:$G$57,0)))+IF(RIGHT(TRIM(Paramètres!K47),3)="Fin",1-$H1343,IF(LEFT(TRIM(Paramètres!K47),1)="F",1,0)))),IF(Paramètres!L47="",0,IF(Paramètres!M47="",NA(),IF(LEFT(TRIM(Paramètres!M47),1)="F",INDEX($F$1301:$F$1353,MATCH(Paramètres!L47,Paramètres!$G$5:$G$57,0)),INDEX($E$1301:$E$1353,MATCH(Paramètres!L47,Paramètres!$G$5:$G$57,0)))+IF(RIGHT(TRIM(Paramètres!M47),3)="Fin",1-$H1343,IF(LEFT(TRIM(Paramètres!M47),1)="F",1,0)))),IF(Paramètres!N47="",0,IF(Paramètres!O47="",NA(),IF(LEFT(TRIM(Paramètres!O47),1)="F",INDEX($F$1301:$F$1353,MATCH(Paramètres!N47,Paramètres!$G$5:$G$57,0)),INDEX($E$1301:$E$1353,MATCH(Paramètres!N47,Paramètres!$G$5:$G$57,0)))+IF(RIGHT(TRIM(Paramètres!O47),3)="Fin",1-$H1343,IF(LEFT(TRIM(Paramètres!O47),1)="F",1,0)))))))</f>
        <v/>
      </c>
      <c r="F1343" s="19">
        <f>IF($A1343="","",E1343+$H1343-1)</f>
        <v/>
      </c>
      <c r="G1343" s="18" t="n"/>
      <c r="H1343" s="18">
        <f>IF($A1343="","",IF(I1343&lt;&gt;"",I1343,Paramètres!B47))</f>
        <v/>
      </c>
      <c r="I1343" s="18" t="n"/>
    </row>
    <row r="1344">
      <c r="A1344" s="18">
        <f>IF(ISNUMBER(Dossiers!$D$28),Dossiers!$A$28&amp;" · "&amp;Dossiers!$B$28,"")</f>
        <v/>
      </c>
      <c r="B1344" s="18">
        <f>IF($A1344="","",Paramètres!G48)</f>
        <v/>
      </c>
      <c r="C1344" s="18">
        <f>IF($A1344="","",IF(Paramètres!H48="","",Paramètres!H48))</f>
        <v/>
      </c>
      <c r="D1344" s="18">
        <f>IF($A1344="","",IF(Paramètres!I48="","",Paramètres!I48))</f>
        <v/>
      </c>
      <c r="E1344" s="19">
        <f>IF($A1344="","",IF(Paramètres!J48&amp;Paramètres!L48&amp;Paramètres!N48="",Dossiers!$D$28,MAX(IF(Paramètres!J48="",0,IF(Paramètres!K48="",NA(),IF(LEFT(TRIM(Paramètres!K48),1)="F",INDEX($F$1301:$F$1353,MATCH(Paramètres!J48,Paramètres!$G$5:$G$57,0)),INDEX($E$1301:$E$1353,MATCH(Paramètres!J48,Paramètres!$G$5:$G$57,0)))+IF(RIGHT(TRIM(Paramètres!K48),3)="Fin",1-$H1344,IF(LEFT(TRIM(Paramètres!K48),1)="F",1,0)))),IF(Paramètres!L48="",0,IF(Paramètres!M48="",NA(),IF(LEFT(TRIM(Paramètres!M48),1)="F",INDEX($F$1301:$F$1353,MATCH(Paramètres!L48,Paramètres!$G$5:$G$57,0)),INDEX($E$1301:$E$1353,MATCH(Paramètres!L48,Paramètres!$G$5:$G$57,0)))+IF(RIGHT(TRIM(Paramètres!M48),3)="Fin",1-$H1344,IF(LEFT(TRIM(Paramètres!M48),1)="F",1,0)))),IF(Paramètres!N48="",0,IF(Paramètres!O48="",NA(),IF(LEFT(TRIM(Paramètres!O48),1)="F",INDEX($F$1301:$F$1353,MATCH(Paramètres!N48,Paramètres!$G$5:$G$57,0)),INDEX($E$1301:$E$1353,MATCH(Paramètres!N48,Paramètres!$G$5:$G$57,0)))+IF(RIGHT(TRIM(Paramètres!O48),3)="Fin",1-$H1344,IF(LEFT(TRIM(Paramètres!O48),1)="F",1,0)))))))</f>
        <v/>
      </c>
      <c r="F1344" s="19">
        <f>IF($A1344="","",E1344+$H1344-1)</f>
        <v/>
      </c>
      <c r="G1344" s="18" t="n"/>
      <c r="H1344" s="18">
        <f>IF($A1344="","",IF(I1344&lt;&gt;"",I1344,Paramètres!B48))</f>
        <v/>
      </c>
      <c r="I1344" s="18" t="n"/>
    </row>
    <row r="1345">
      <c r="A1345" s="18">
        <f>IF(ISNUMBER(Dossiers!$D$28),Dossiers!$A$28&amp;" · "&amp;Dossiers!$B$28,"")</f>
        <v/>
      </c>
      <c r="B1345" s="18">
        <f>IF($A1345="","",Paramètres!G49)</f>
        <v/>
      </c>
      <c r="C1345" s="18">
        <f>IF($A1345="","",IF(Paramètres!H49="","",Paramètres!H49))</f>
        <v/>
      </c>
      <c r="D1345" s="18">
        <f>IF($A1345="","",IF(Paramètres!I49="","",Paramètres!I49))</f>
        <v/>
      </c>
      <c r="E1345" s="19">
        <f>IF($A1345="","",IF(Paramètres!J49&amp;Paramètres!L49&amp;Paramètres!N49="",Dossiers!$D$28,MAX(IF(Paramètres!J49="",0,IF(Paramètres!K49="",NA(),IF(LEFT(TRIM(Paramètres!K49),1)="F",INDEX($F$1301:$F$1353,MATCH(Paramètres!J49,Paramètres!$G$5:$G$57,0)),INDEX($E$1301:$E$1353,MATCH(Paramètres!J49,Paramètres!$G$5:$G$57,0)))+IF(RIGHT(TRIM(Paramètres!K49),3)="Fin",1-$H1345,IF(LEFT(TRIM(Paramètres!K49),1)="F",1,0)))),IF(Paramètres!L49="",0,IF(Paramètres!M49="",NA(),IF(LEFT(TRIM(Paramètres!M49),1)="F",INDEX($F$1301:$F$1353,MATCH(Paramètres!L49,Paramètres!$G$5:$G$57,0)),INDEX($E$1301:$E$1353,MATCH(Paramètres!L49,Paramètres!$G$5:$G$57,0)))+IF(RIGHT(TRIM(Paramètres!M49),3)="Fin",1-$H1345,IF(LEFT(TRIM(Paramètres!M49),1)="F",1,0)))),IF(Paramètres!N49="",0,IF(Paramètres!O49="",NA(),IF(LEFT(TRIM(Paramètres!O49),1)="F",INDEX($F$1301:$F$1353,MATCH(Paramètres!N49,Paramètres!$G$5:$G$57,0)),INDEX($E$1301:$E$1353,MATCH(Paramètres!N49,Paramètres!$G$5:$G$57,0)))+IF(RIGHT(TRIM(Paramètres!O49),3)="Fin",1-$H1345,IF(LEFT(TRIM(Paramètres!O49),1)="F",1,0)))))))</f>
        <v/>
      </c>
      <c r="F1345" s="19">
        <f>IF($A1345="","",E1345+$H1345-1)</f>
        <v/>
      </c>
      <c r="G1345" s="18" t="n"/>
      <c r="H1345" s="18">
        <f>IF($A1345="","",IF(I1345&lt;&gt;"",I1345,Paramètres!B49))</f>
        <v/>
      </c>
      <c r="I1345" s="18" t="n"/>
    </row>
    <row r="1346">
      <c r="A1346" s="18">
        <f>IF(ISNUMBER(Dossiers!$D$28),Dossiers!$A$28&amp;" · "&amp;Dossiers!$B$28,"")</f>
        <v/>
      </c>
      <c r="B1346" s="18">
        <f>IF($A1346="","",Paramètres!G50)</f>
        <v/>
      </c>
      <c r="C1346" s="18">
        <f>IF($A1346="","",IF(Paramètres!H50="","",Paramètres!H50))</f>
        <v/>
      </c>
      <c r="D1346" s="18">
        <f>IF($A1346="","",IF(Paramètres!I50="","",Paramètres!I50))</f>
        <v/>
      </c>
      <c r="E1346" s="19">
        <f>IF($A1346="","",IF(Paramètres!J50&amp;Paramètres!L50&amp;Paramètres!N50="",Dossiers!$D$28,MAX(IF(Paramètres!J50="",0,IF(Paramètres!K50="",NA(),IF(LEFT(TRIM(Paramètres!K50),1)="F",INDEX($F$1301:$F$1353,MATCH(Paramètres!J50,Paramètres!$G$5:$G$57,0)),INDEX($E$1301:$E$1353,MATCH(Paramètres!J50,Paramètres!$G$5:$G$57,0)))+IF(RIGHT(TRIM(Paramètres!K50),3)="Fin",1-$H1346,IF(LEFT(TRIM(Paramètres!K50),1)="F",1,0)))),IF(Paramètres!L50="",0,IF(Paramètres!M50="",NA(),IF(LEFT(TRIM(Paramètres!M50),1)="F",INDEX($F$1301:$F$1353,MATCH(Paramètres!L50,Paramètres!$G$5:$G$57,0)),INDEX($E$1301:$E$1353,MATCH(Paramètres!L50,Paramètres!$G$5:$G$57,0)))+IF(RIGHT(TRIM(Paramètres!M50),3)="Fin",1-$H1346,IF(LEFT(TRIM(Paramètres!M50),1)="F",1,0)))),IF(Paramètres!N50="",0,IF(Paramètres!O50="",NA(),IF(LEFT(TRIM(Paramètres!O50),1)="F",INDEX($F$1301:$F$1353,MATCH(Paramètres!N50,Paramètres!$G$5:$G$57,0)),INDEX($E$1301:$E$1353,MATCH(Paramètres!N50,Paramètres!$G$5:$G$57,0)))+IF(RIGHT(TRIM(Paramètres!O50),3)="Fin",1-$H1346,IF(LEFT(TRIM(Paramètres!O50),1)="F",1,0)))))))</f>
        <v/>
      </c>
      <c r="F1346" s="19">
        <f>IF($A1346="","",E1346+$H1346-1)</f>
        <v/>
      </c>
      <c r="G1346" s="18" t="n"/>
      <c r="H1346" s="18">
        <f>IF($A1346="","",IF(I1346&lt;&gt;"",I1346,Paramètres!B50))</f>
        <v/>
      </c>
      <c r="I1346" s="18" t="n"/>
    </row>
    <row r="1347">
      <c r="A1347" s="18">
        <f>IF(ISNUMBER(Dossiers!$D$28),Dossiers!$A$28&amp;" · "&amp;Dossiers!$B$28,"")</f>
        <v/>
      </c>
      <c r="B1347" s="18">
        <f>IF($A1347="","",Paramètres!G51)</f>
        <v/>
      </c>
      <c r="C1347" s="18">
        <f>IF($A1347="","",IF(Paramètres!H51="","",Paramètres!H51))</f>
        <v/>
      </c>
      <c r="D1347" s="18">
        <f>IF($A1347="","",IF(Paramètres!I51="","",Paramètres!I51))</f>
        <v/>
      </c>
      <c r="E1347" s="19">
        <f>IF($A1347="","",IF(Paramètres!J51&amp;Paramètres!L51&amp;Paramètres!N51="",Dossiers!$D$28,MAX(IF(Paramètres!J51="",0,IF(Paramètres!K51="",NA(),IF(LEFT(TRIM(Paramètres!K51),1)="F",INDEX($F$1301:$F$1353,MATCH(Paramètres!J51,Paramètres!$G$5:$G$57,0)),INDEX($E$1301:$E$1353,MATCH(Paramètres!J51,Paramètres!$G$5:$G$57,0)))+IF(RIGHT(TRIM(Paramètres!K51),3)="Fin",1-$H1347,IF(LEFT(TRIM(Paramètres!K51),1)="F",1,0)))),IF(Paramètres!L51="",0,IF(Paramètres!M51="",NA(),IF(LEFT(TRIM(Paramètres!M51),1)="F",INDEX($F$1301:$F$1353,MATCH(Paramètres!L51,Paramètres!$G$5:$G$57,0)),INDEX($E$1301:$E$1353,MATCH(Paramètres!L51,Paramètres!$G$5:$G$57,0)))+IF(RIGHT(TRIM(Paramètres!M51),3)="Fin",1-$H1347,IF(LEFT(TRIM(Paramètres!M51),1)="F",1,0)))),IF(Paramètres!N51="",0,IF(Paramètres!O51="",NA(),IF(LEFT(TRIM(Paramètres!O51),1)="F",INDEX($F$1301:$F$1353,MATCH(Paramètres!N51,Paramètres!$G$5:$G$57,0)),INDEX($E$1301:$E$1353,MATCH(Paramètres!N51,Paramètres!$G$5:$G$57,0)))+IF(RIGHT(TRIM(Paramètres!O51),3)="Fin",1-$H1347,IF(LEFT(TRIM(Paramètres!O51),1)="F",1,0)))))))</f>
        <v/>
      </c>
      <c r="F1347" s="19">
        <f>IF($A1347="","",E1347+$H1347-1)</f>
        <v/>
      </c>
      <c r="G1347" s="18" t="n"/>
      <c r="H1347" s="18">
        <f>IF($A1347="","",IF(I1347&lt;&gt;"",I1347,Paramètres!B51))</f>
        <v/>
      </c>
      <c r="I1347" s="18" t="n"/>
    </row>
    <row r="1348">
      <c r="A1348" s="18">
        <f>IF(ISNUMBER(Dossiers!$D$28),Dossiers!$A$28&amp;" · "&amp;Dossiers!$B$28,"")</f>
        <v/>
      </c>
      <c r="B1348" s="18">
        <f>IF($A1348="","",Paramètres!G52)</f>
        <v/>
      </c>
      <c r="C1348" s="18">
        <f>IF($A1348="","",IF(Paramètres!H52="","",Paramètres!H52))</f>
        <v/>
      </c>
      <c r="D1348" s="18">
        <f>IF($A1348="","",IF(Paramètres!I52="","",Paramètres!I52))</f>
        <v/>
      </c>
      <c r="E1348" s="19">
        <f>IF($A1348="","",IF(Paramètres!J52&amp;Paramètres!L52&amp;Paramètres!N52="",Dossiers!$D$28,MAX(IF(Paramètres!J52="",0,IF(Paramètres!K52="",NA(),IF(LEFT(TRIM(Paramètres!K52),1)="F",INDEX($F$1301:$F$1353,MATCH(Paramètres!J52,Paramètres!$G$5:$G$57,0)),INDEX($E$1301:$E$1353,MATCH(Paramètres!J52,Paramètres!$G$5:$G$57,0)))+IF(RIGHT(TRIM(Paramètres!K52),3)="Fin",1-$H1348,IF(LEFT(TRIM(Paramètres!K52),1)="F",1,0)))),IF(Paramètres!L52="",0,IF(Paramètres!M52="",NA(),IF(LEFT(TRIM(Paramètres!M52),1)="F",INDEX($F$1301:$F$1353,MATCH(Paramètres!L52,Paramètres!$G$5:$G$57,0)),INDEX($E$1301:$E$1353,MATCH(Paramètres!L52,Paramètres!$G$5:$G$57,0)))+IF(RIGHT(TRIM(Paramètres!M52),3)="Fin",1-$H1348,IF(LEFT(TRIM(Paramètres!M52),1)="F",1,0)))),IF(Paramètres!N52="",0,IF(Paramètres!O52="",NA(),IF(LEFT(TRIM(Paramètres!O52),1)="F",INDEX($F$1301:$F$1353,MATCH(Paramètres!N52,Paramètres!$G$5:$G$57,0)),INDEX($E$1301:$E$1353,MATCH(Paramètres!N52,Paramètres!$G$5:$G$57,0)))+IF(RIGHT(TRIM(Paramètres!O52),3)="Fin",1-$H1348,IF(LEFT(TRIM(Paramètres!O52),1)="F",1,0)))))))</f>
        <v/>
      </c>
      <c r="F1348" s="19">
        <f>IF($A1348="","",E1348+$H1348-1)</f>
        <v/>
      </c>
      <c r="G1348" s="18" t="n"/>
      <c r="H1348" s="18">
        <f>IF($A1348="","",IF(I1348&lt;&gt;"",I1348,Paramètres!B52))</f>
        <v/>
      </c>
      <c r="I1348" s="18" t="n"/>
    </row>
    <row r="1349">
      <c r="A1349" s="18">
        <f>IF(ISNUMBER(Dossiers!$D$28),Dossiers!$A$28&amp;" · "&amp;Dossiers!$B$28,"")</f>
        <v/>
      </c>
      <c r="B1349" s="18">
        <f>IF($A1349="","",Paramètres!G53)</f>
        <v/>
      </c>
      <c r="C1349" s="18">
        <f>IF($A1349="","",IF(Paramètres!H53="","",Paramètres!H53))</f>
        <v/>
      </c>
      <c r="D1349" s="18">
        <f>IF($A1349="","",IF(Paramètres!I53="","",Paramètres!I53))</f>
        <v/>
      </c>
      <c r="E1349" s="19">
        <f>IF($A1349="","",IF(Paramètres!J53&amp;Paramètres!L53&amp;Paramètres!N53="",Dossiers!$D$28,MAX(IF(Paramètres!J53="",0,IF(Paramètres!K53="",NA(),IF(LEFT(TRIM(Paramètres!K53),1)="F",INDEX($F$1301:$F$1353,MATCH(Paramètres!J53,Paramètres!$G$5:$G$57,0)),INDEX($E$1301:$E$1353,MATCH(Paramètres!J53,Paramètres!$G$5:$G$57,0)))+IF(RIGHT(TRIM(Paramètres!K53),3)="Fin",1-$H1349,IF(LEFT(TRIM(Paramètres!K53),1)="F",1,0)))),IF(Paramètres!L53="",0,IF(Paramètres!M53="",NA(),IF(LEFT(TRIM(Paramètres!M53),1)="F",INDEX($F$1301:$F$1353,MATCH(Paramètres!L53,Paramètres!$G$5:$G$57,0)),INDEX($E$1301:$E$1353,MATCH(Paramètres!L53,Paramètres!$G$5:$G$57,0)))+IF(RIGHT(TRIM(Paramètres!M53),3)="Fin",1-$H1349,IF(LEFT(TRIM(Paramètres!M53),1)="F",1,0)))),IF(Paramètres!N53="",0,IF(Paramètres!O53="",NA(),IF(LEFT(TRIM(Paramètres!O53),1)="F",INDEX($F$1301:$F$1353,MATCH(Paramètres!N53,Paramètres!$G$5:$G$57,0)),INDEX($E$1301:$E$1353,MATCH(Paramètres!N53,Paramètres!$G$5:$G$57,0)))+IF(RIGHT(TRIM(Paramètres!O53),3)="Fin",1-$H1349,IF(LEFT(TRIM(Paramètres!O53),1)="F",1,0)))))))</f>
        <v/>
      </c>
      <c r="F1349" s="19">
        <f>IF($A1349="","",E1349+$H1349-1)</f>
        <v/>
      </c>
      <c r="G1349" s="18" t="n"/>
      <c r="H1349" s="18">
        <f>IF($A1349="","",IF(I1349&lt;&gt;"",I1349,Paramètres!B53))</f>
        <v/>
      </c>
      <c r="I1349" s="18" t="n"/>
    </row>
    <row r="1350">
      <c r="A1350" s="18">
        <f>IF(ISNUMBER(Dossiers!$D$28),Dossiers!$A$28&amp;" · "&amp;Dossiers!$B$28,"")</f>
        <v/>
      </c>
      <c r="B1350" s="18">
        <f>IF($A1350="","",Paramètres!G54)</f>
        <v/>
      </c>
      <c r="C1350" s="18">
        <f>IF($A1350="","",IF(Paramètres!H54="","",Paramètres!H54))</f>
        <v/>
      </c>
      <c r="D1350" s="18">
        <f>IF($A1350="","",IF(Paramètres!I54="","",Paramètres!I54))</f>
        <v/>
      </c>
      <c r="E1350" s="19">
        <f>IF($A1350="","",IF(Paramètres!J54&amp;Paramètres!L54&amp;Paramètres!N54="",Dossiers!$D$28,MAX(IF(Paramètres!J54="",0,IF(Paramètres!K54="",NA(),IF(LEFT(TRIM(Paramètres!K54),1)="F",INDEX($F$1301:$F$1353,MATCH(Paramètres!J54,Paramètres!$G$5:$G$57,0)),INDEX($E$1301:$E$1353,MATCH(Paramètres!J54,Paramètres!$G$5:$G$57,0)))+IF(RIGHT(TRIM(Paramètres!K54),3)="Fin",1-$H1350,IF(LEFT(TRIM(Paramètres!K54),1)="F",1,0)))),IF(Paramètres!L54="",0,IF(Paramètres!M54="",NA(),IF(LEFT(TRIM(Paramètres!M54),1)="F",INDEX($F$1301:$F$1353,MATCH(Paramètres!L54,Paramètres!$G$5:$G$57,0)),INDEX($E$1301:$E$1353,MATCH(Paramètres!L54,Paramètres!$G$5:$G$57,0)))+IF(RIGHT(TRIM(Paramètres!M54),3)="Fin",1-$H1350,IF(LEFT(TRIM(Paramètres!M54),1)="F",1,0)))),IF(Paramètres!N54="",0,IF(Paramètres!O54="",NA(),IF(LEFT(TRIM(Paramètres!O54),1)="F",INDEX($F$1301:$F$1353,MATCH(Paramètres!N54,Paramètres!$G$5:$G$57,0)),INDEX($E$1301:$E$1353,MATCH(Paramètres!N54,Paramètres!$G$5:$G$57,0)))+IF(RIGHT(TRIM(Paramètres!O54),3)="Fin",1-$H1350,IF(LEFT(TRIM(Paramètres!O54),1)="F",1,0)))))))</f>
        <v/>
      </c>
      <c r="F1350" s="19">
        <f>IF($A1350="","",E1350+$H1350-1)</f>
        <v/>
      </c>
      <c r="G1350" s="18" t="n"/>
      <c r="H1350" s="18">
        <f>IF($A1350="","",IF(I1350&lt;&gt;"",I1350,Paramètres!B54))</f>
        <v/>
      </c>
      <c r="I1350" s="18" t="n"/>
    </row>
    <row r="1351">
      <c r="A1351" s="18">
        <f>IF(ISNUMBER(Dossiers!$D$28),Dossiers!$A$28&amp;" · "&amp;Dossiers!$B$28,"")</f>
        <v/>
      </c>
      <c r="B1351" s="18">
        <f>IF($A1351="","",Paramètres!G55)</f>
        <v/>
      </c>
      <c r="C1351" s="18">
        <f>IF($A1351="","",IF(Paramètres!H55="","",Paramètres!H55))</f>
        <v/>
      </c>
      <c r="D1351" s="18">
        <f>IF($A1351="","",IF(Paramètres!I55="","",Paramètres!I55))</f>
        <v/>
      </c>
      <c r="E1351" s="19">
        <f>IF($A1351="","",IF(Paramètres!J55&amp;Paramètres!L55&amp;Paramètres!N55="",Dossiers!$D$28,MAX(IF(Paramètres!J55="",0,IF(Paramètres!K55="",NA(),IF(LEFT(TRIM(Paramètres!K55),1)="F",INDEX($F$1301:$F$1353,MATCH(Paramètres!J55,Paramètres!$G$5:$G$57,0)),INDEX($E$1301:$E$1353,MATCH(Paramètres!J55,Paramètres!$G$5:$G$57,0)))+IF(RIGHT(TRIM(Paramètres!K55),3)="Fin",1-$H1351,IF(LEFT(TRIM(Paramètres!K55),1)="F",1,0)))),IF(Paramètres!L55="",0,IF(Paramètres!M55="",NA(),IF(LEFT(TRIM(Paramètres!M55),1)="F",INDEX($F$1301:$F$1353,MATCH(Paramètres!L55,Paramètres!$G$5:$G$57,0)),INDEX($E$1301:$E$1353,MATCH(Paramètres!L55,Paramètres!$G$5:$G$57,0)))+IF(RIGHT(TRIM(Paramètres!M55),3)="Fin",1-$H1351,IF(LEFT(TRIM(Paramètres!M55),1)="F",1,0)))),IF(Paramètres!N55="",0,IF(Paramètres!O55="",NA(),IF(LEFT(TRIM(Paramètres!O55),1)="F",INDEX($F$1301:$F$1353,MATCH(Paramètres!N55,Paramètres!$G$5:$G$57,0)),INDEX($E$1301:$E$1353,MATCH(Paramètres!N55,Paramètres!$G$5:$G$57,0)))+IF(RIGHT(TRIM(Paramètres!O55),3)="Fin",1-$H1351,IF(LEFT(TRIM(Paramètres!O55),1)="F",1,0)))))))</f>
        <v/>
      </c>
      <c r="F1351" s="19">
        <f>IF($A1351="","",E1351+$H1351-1)</f>
        <v/>
      </c>
      <c r="G1351" s="18" t="n"/>
      <c r="H1351" s="18">
        <f>IF($A1351="","",IF(I1351&lt;&gt;"",I1351,Paramètres!B55))</f>
        <v/>
      </c>
      <c r="I1351" s="18" t="n"/>
    </row>
    <row r="1352">
      <c r="A1352" s="18">
        <f>IF(ISNUMBER(Dossiers!$D$28),Dossiers!$A$28&amp;" · "&amp;Dossiers!$B$28,"")</f>
        <v/>
      </c>
      <c r="B1352" s="18">
        <f>IF($A1352="","",Paramètres!G56)</f>
        <v/>
      </c>
      <c r="C1352" s="18">
        <f>IF($A1352="","",IF(Paramètres!H56="","",Paramètres!H56))</f>
        <v/>
      </c>
      <c r="D1352" s="18">
        <f>IF($A1352="","",IF(Paramètres!I56="","",Paramètres!I56))</f>
        <v/>
      </c>
      <c r="E1352" s="19">
        <f>IF($A1352="","",MIN(E1353:E1353))</f>
        <v/>
      </c>
      <c r="F1352" s="19">
        <f>IF($A1352="","",MAX(F1353:F1353))</f>
        <v/>
      </c>
      <c r="G1352" s="18" t="n"/>
      <c r="H1352" s="18">
        <f>IF($A1352="","",F1352-E1352+1)</f>
        <v/>
      </c>
      <c r="I1352" s="18" t="n"/>
    </row>
    <row r="1353">
      <c r="A1353" s="18">
        <f>IF(ISNUMBER(Dossiers!$D$28),Dossiers!$A$28&amp;" · "&amp;Dossiers!$B$28,"")</f>
        <v/>
      </c>
      <c r="B1353" s="18">
        <f>IF($A1353="","",Paramètres!G57)</f>
        <v/>
      </c>
      <c r="C1353" s="18">
        <f>IF($A1353="","",IF(Paramètres!H57="","",Paramètres!H57))</f>
        <v/>
      </c>
      <c r="D1353" s="18">
        <f>IF($A1353="","",IF(Paramètres!I57="","",Paramètres!I57))</f>
        <v/>
      </c>
      <c r="E1353" s="19">
        <f>IF($A1353="","",IF(Paramètres!J57&amp;Paramètres!L57&amp;Paramètres!N57="",Dossiers!$D$28,MAX(IF(Paramètres!J57="",0,IF(Paramètres!K57="",NA(),IF(LEFT(TRIM(Paramètres!K57),1)="F",INDEX($F$1301:$F$1353,MATCH(Paramètres!J57,Paramètres!$G$5:$G$57,0)),INDEX($E$1301:$E$1353,MATCH(Paramètres!J57,Paramètres!$G$5:$G$57,0)))+IF(RIGHT(TRIM(Paramètres!K57),3)="Fin",1-$H1353,IF(LEFT(TRIM(Paramètres!K57),1)="F",1,0)))),IF(Paramètres!L57="",0,IF(Paramètres!M57="",NA(),IF(LEFT(TRIM(Paramètres!M57),1)="F",INDEX($F$1301:$F$1353,MATCH(Paramètres!L57,Paramètres!$G$5:$G$57,0)),INDEX($E$1301:$E$1353,MATCH(Paramètres!L57,Paramètres!$G$5:$G$57,0)))+IF(RIGHT(TRIM(Paramètres!M57),3)="Fin",1-$H1353,IF(LEFT(TRIM(Paramètres!M57),1)="F",1,0)))),IF(Paramètres!N57="",0,IF(Paramètres!O57="",NA(),IF(LEFT(TRIM(Paramètres!O57),1)="F",INDEX($F$1301:$F$1353,MATCH(Paramètres!N57,Paramètres!$G$5:$G$57,0)),INDEX($E$1301:$E$1353,MATCH(Paramètres!N57,Paramètres!$G$5:$G$57,0)))+IF(RIGHT(TRIM(Paramètres!O57),3)="Fin",1-$H1353,IF(LEFT(TRIM(Paramètres!O57),1)="F",1,0)))))))</f>
        <v/>
      </c>
      <c r="F1353" s="19">
        <f>IF($A1353="","",E1353+$H1353-1)</f>
        <v/>
      </c>
      <c r="G1353" s="18" t="n"/>
      <c r="H1353" s="18">
        <f>IF($A1353="","",IF(I1353&lt;&gt;"",I1353,Paramètres!B57))</f>
        <v/>
      </c>
      <c r="I1353" s="18" t="n"/>
    </row>
    <row r="1354">
      <c r="A1354" s="16">
        <f>IF(ISNUMBER(Dossiers!$D$29),Dossiers!$E$29,"")</f>
        <v/>
      </c>
      <c r="B1354" s="16">
        <f>IF($A1354="","","Identifiant")</f>
        <v/>
      </c>
      <c r="C1354" s="16">
        <f>IF($A1354="","","Macro Etape")</f>
        <v/>
      </c>
      <c r="D1354" s="16">
        <f>IF($A1354="","","Etape")</f>
        <v/>
      </c>
      <c r="E1354" s="17">
        <f>IF($A1354="","","Début le")</f>
        <v/>
      </c>
      <c r="F1354" s="17">
        <f>IF($A1354="","","Fin prévue le")</f>
        <v/>
      </c>
      <c r="G1354" s="16">
        <f>IF($A1354="","","Statut")</f>
        <v/>
      </c>
      <c r="H1354" s="16">
        <f>IF($A1354="","","Durée (jours)")</f>
        <v/>
      </c>
      <c r="I1354" s="16">
        <f>IF($A1354="","","Durée particulière")</f>
        <v/>
      </c>
      <c r="J1354" s="10">
        <f>IF($A1354="","",HYPERLINK("#'Tableau de bord'!A1","↑ Tableau de bord"))</f>
        <v/>
      </c>
    </row>
    <row r="1355">
      <c r="A1355" s="18">
        <f>IF(ISNUMBER(Dossiers!$D$29),Dossiers!$A$29&amp;" · "&amp;Dossiers!$B$29,"")</f>
        <v/>
      </c>
      <c r="B1355" s="18">
        <f>IF($A1355="","",Paramètres!G5)</f>
        <v/>
      </c>
      <c r="C1355" s="18">
        <f>IF($A1355="","",IF(Paramètres!H5="","",Paramètres!H5))</f>
        <v/>
      </c>
      <c r="D1355" s="18">
        <f>IF($A1355="","",IF(Paramètres!I5="","",Paramètres!I5))</f>
        <v/>
      </c>
      <c r="E1355" s="19">
        <f>IF($A1355="","",MIN(E1356:E1359))</f>
        <v/>
      </c>
      <c r="F1355" s="19">
        <f>IF($A1355="","",MAX(F1356:F1359))</f>
        <v/>
      </c>
      <c r="G1355" s="18" t="n"/>
      <c r="H1355" s="18">
        <f>IF($A1355="","",F1355-E1355+1)</f>
        <v/>
      </c>
      <c r="I1355" s="18" t="n"/>
    </row>
    <row r="1356">
      <c r="A1356" s="18">
        <f>IF(ISNUMBER(Dossiers!$D$29),Dossiers!$A$29&amp;" · "&amp;Dossiers!$B$29,"")</f>
        <v/>
      </c>
      <c r="B1356" s="18">
        <f>IF($A1356="","",Paramètres!G6)</f>
        <v/>
      </c>
      <c r="C1356" s="18">
        <f>IF($A1356="","",IF(Paramètres!H6="","",Paramètres!H6))</f>
        <v/>
      </c>
      <c r="D1356" s="18">
        <f>IF($A1356="","",IF(Paramètres!I6="","",Paramètres!I6))</f>
        <v/>
      </c>
      <c r="E1356" s="19">
        <f>IF($A1356="","",IF(Paramètres!J6&amp;Paramètres!L6&amp;Paramètres!N6="",Dossiers!$D$29,MAX(IF(Paramètres!J6="",0,IF(Paramètres!K6="",NA(),IF(LEFT(TRIM(Paramètres!K6),1)="F",INDEX($F$1355:$F$1407,MATCH(Paramètres!J6,Paramètres!$G$5:$G$57,0)),INDEX($E$1355:$E$1407,MATCH(Paramètres!J6,Paramètres!$G$5:$G$57,0)))+IF(RIGHT(TRIM(Paramètres!K6),3)="Fin",1-$H1356,IF(LEFT(TRIM(Paramètres!K6),1)="F",1,0)))),IF(Paramètres!L6="",0,IF(Paramètres!M6="",NA(),IF(LEFT(TRIM(Paramètres!M6),1)="F",INDEX($F$1355:$F$1407,MATCH(Paramètres!L6,Paramètres!$G$5:$G$57,0)),INDEX($E$1355:$E$1407,MATCH(Paramètres!L6,Paramètres!$G$5:$G$57,0)))+IF(RIGHT(TRIM(Paramètres!M6),3)="Fin",1-$H1356,IF(LEFT(TRIM(Paramètres!M6),1)="F",1,0)))),IF(Paramètres!N6="",0,IF(Paramètres!O6="",NA(),IF(LEFT(TRIM(Paramètres!O6),1)="F",INDEX($F$1355:$F$1407,MATCH(Paramètres!N6,Paramètres!$G$5:$G$57,0)),INDEX($E$1355:$E$1407,MATCH(Paramètres!N6,Paramètres!$G$5:$G$57,0)))+IF(RIGHT(TRIM(Paramètres!O6),3)="Fin",1-$H1356,IF(LEFT(TRIM(Paramètres!O6),1)="F",1,0)))))))</f>
        <v/>
      </c>
      <c r="F1356" s="19">
        <f>IF($A1356="","",E1356+$H1356-1)</f>
        <v/>
      </c>
      <c r="G1356" s="18" t="n"/>
      <c r="H1356" s="18">
        <f>IF($A1356="","",IF(I1356&lt;&gt;"",I1356,Paramètres!B6))</f>
        <v/>
      </c>
      <c r="I1356" s="18" t="n"/>
    </row>
    <row r="1357">
      <c r="A1357" s="18">
        <f>IF(ISNUMBER(Dossiers!$D$29),Dossiers!$A$29&amp;" · "&amp;Dossiers!$B$29,"")</f>
        <v/>
      </c>
      <c r="B1357" s="18">
        <f>IF($A1357="","",Paramètres!G7)</f>
        <v/>
      </c>
      <c r="C1357" s="18">
        <f>IF($A1357="","",IF(Paramètres!H7="","",Paramètres!H7))</f>
        <v/>
      </c>
      <c r="D1357" s="18">
        <f>IF($A1357="","",IF(Paramètres!I7="","",Paramètres!I7))</f>
        <v/>
      </c>
      <c r="E1357" s="19">
        <f>IF($A1357="","",IF(Paramètres!J7&amp;Paramètres!L7&amp;Paramètres!N7="",Dossiers!$D$29,MAX(IF(Paramètres!J7="",0,IF(Paramètres!K7="",NA(),IF(LEFT(TRIM(Paramètres!K7),1)="F",INDEX($F$1355:$F$1407,MATCH(Paramètres!J7,Paramètres!$G$5:$G$57,0)),INDEX($E$1355:$E$1407,MATCH(Paramètres!J7,Paramètres!$G$5:$G$57,0)))+IF(RIGHT(TRIM(Paramètres!K7),3)="Fin",1-$H1357,IF(LEFT(TRIM(Paramètres!K7),1)="F",1,0)))),IF(Paramètres!L7="",0,IF(Paramètres!M7="",NA(),IF(LEFT(TRIM(Paramètres!M7),1)="F",INDEX($F$1355:$F$1407,MATCH(Paramètres!L7,Paramètres!$G$5:$G$57,0)),INDEX($E$1355:$E$1407,MATCH(Paramètres!L7,Paramètres!$G$5:$G$57,0)))+IF(RIGHT(TRIM(Paramètres!M7),3)="Fin",1-$H1357,IF(LEFT(TRIM(Paramètres!M7),1)="F",1,0)))),IF(Paramètres!N7="",0,IF(Paramètres!O7="",NA(),IF(LEFT(TRIM(Paramètres!O7),1)="F",INDEX($F$1355:$F$1407,MATCH(Paramètres!N7,Paramètres!$G$5:$G$57,0)),INDEX($E$1355:$E$1407,MATCH(Paramètres!N7,Paramètres!$G$5:$G$57,0)))+IF(RIGHT(TRIM(Paramètres!O7),3)="Fin",1-$H1357,IF(LEFT(TRIM(Paramètres!O7),1)="F",1,0)))))))</f>
        <v/>
      </c>
      <c r="F1357" s="19">
        <f>IF($A1357="","",E1357+$H1357-1)</f>
        <v/>
      </c>
      <c r="G1357" s="18" t="n"/>
      <c r="H1357" s="18">
        <f>IF($A1357="","",IF(I1357&lt;&gt;"",I1357,Paramètres!B7))</f>
        <v/>
      </c>
      <c r="I1357" s="18" t="n"/>
    </row>
    <row r="1358">
      <c r="A1358" s="18">
        <f>IF(ISNUMBER(Dossiers!$D$29),Dossiers!$A$29&amp;" · "&amp;Dossiers!$B$29,"")</f>
        <v/>
      </c>
      <c r="B1358" s="18">
        <f>IF($A1358="","",Paramètres!G8)</f>
        <v/>
      </c>
      <c r="C1358" s="18">
        <f>IF($A1358="","",IF(Paramètres!H8="","",Paramètres!H8))</f>
        <v/>
      </c>
      <c r="D1358" s="18">
        <f>IF($A1358="","",IF(Paramètres!I8="","",Paramètres!I8))</f>
        <v/>
      </c>
      <c r="E1358" s="19">
        <f>IF($A1358="","",IF(Paramètres!J8&amp;Paramètres!L8&amp;Paramètres!N8="",Dossiers!$D$29,MAX(IF(Paramètres!J8="",0,IF(Paramètres!K8="",NA(),IF(LEFT(TRIM(Paramètres!K8),1)="F",INDEX($F$1355:$F$1407,MATCH(Paramètres!J8,Paramètres!$G$5:$G$57,0)),INDEX($E$1355:$E$1407,MATCH(Paramètres!J8,Paramètres!$G$5:$G$57,0)))+IF(RIGHT(TRIM(Paramètres!K8),3)="Fin",1-$H1358,IF(LEFT(TRIM(Paramètres!K8),1)="F",1,0)))),IF(Paramètres!L8="",0,IF(Paramètres!M8="",NA(),IF(LEFT(TRIM(Paramètres!M8),1)="F",INDEX($F$1355:$F$1407,MATCH(Paramètres!L8,Paramètres!$G$5:$G$57,0)),INDEX($E$1355:$E$1407,MATCH(Paramètres!L8,Paramètres!$G$5:$G$57,0)))+IF(RIGHT(TRIM(Paramètres!M8),3)="Fin",1-$H1358,IF(LEFT(TRIM(Paramètres!M8),1)="F",1,0)))),IF(Paramètres!N8="",0,IF(Paramètres!O8="",NA(),IF(LEFT(TRIM(Paramètres!O8),1)="F",INDEX($F$1355:$F$1407,MATCH(Paramètres!N8,Paramètres!$G$5:$G$57,0)),INDEX($E$1355:$E$1407,MATCH(Paramètres!N8,Paramètres!$G$5:$G$57,0)))+IF(RIGHT(TRIM(Paramètres!O8),3)="Fin",1-$H1358,IF(LEFT(TRIM(Paramètres!O8),1)="F",1,0)))))))</f>
        <v/>
      </c>
      <c r="F1358" s="19">
        <f>IF($A1358="","",E1358+$H1358-1)</f>
        <v/>
      </c>
      <c r="G1358" s="18" t="n"/>
      <c r="H1358" s="18">
        <f>IF($A1358="","",IF(I1358&lt;&gt;"",I1358,Paramètres!B8))</f>
        <v/>
      </c>
      <c r="I1358" s="18" t="n"/>
    </row>
    <row r="1359">
      <c r="A1359" s="18">
        <f>IF(ISNUMBER(Dossiers!$D$29),Dossiers!$A$29&amp;" · "&amp;Dossiers!$B$29,"")</f>
        <v/>
      </c>
      <c r="B1359" s="18">
        <f>IF($A1359="","",Paramètres!G9)</f>
        <v/>
      </c>
      <c r="C1359" s="18">
        <f>IF($A1359="","",IF(Paramètres!H9="","",Paramètres!H9))</f>
        <v/>
      </c>
      <c r="D1359" s="18">
        <f>IF($A1359="","",IF(Paramètres!I9="","",Paramètres!I9))</f>
        <v/>
      </c>
      <c r="E1359" s="19">
        <f>IF($A1359="","",IF(Paramètres!J9&amp;Paramètres!L9&amp;Paramètres!N9="",Dossiers!$D$29,MAX(IF(Paramètres!J9="",0,IF(Paramètres!K9="",NA(),IF(LEFT(TRIM(Paramètres!K9),1)="F",INDEX($F$1355:$F$1407,MATCH(Paramètres!J9,Paramètres!$G$5:$G$57,0)),INDEX($E$1355:$E$1407,MATCH(Paramètres!J9,Paramètres!$G$5:$G$57,0)))+IF(RIGHT(TRIM(Paramètres!K9),3)="Fin",1-$H1359,IF(LEFT(TRIM(Paramètres!K9),1)="F",1,0)))),IF(Paramètres!L9="",0,IF(Paramètres!M9="",NA(),IF(LEFT(TRIM(Paramètres!M9),1)="F",INDEX($F$1355:$F$1407,MATCH(Paramètres!L9,Paramètres!$G$5:$G$57,0)),INDEX($E$1355:$E$1407,MATCH(Paramètres!L9,Paramètres!$G$5:$G$57,0)))+IF(RIGHT(TRIM(Paramètres!M9),3)="Fin",1-$H1359,IF(LEFT(TRIM(Paramètres!M9),1)="F",1,0)))),IF(Paramètres!N9="",0,IF(Paramètres!O9="",NA(),IF(LEFT(TRIM(Paramètres!O9),1)="F",INDEX($F$1355:$F$1407,MATCH(Paramètres!N9,Paramètres!$G$5:$G$57,0)),INDEX($E$1355:$E$1407,MATCH(Paramètres!N9,Paramètres!$G$5:$G$57,0)))+IF(RIGHT(TRIM(Paramètres!O9),3)="Fin",1-$H1359,IF(LEFT(TRIM(Paramètres!O9),1)="F",1,0)))))))</f>
        <v/>
      </c>
      <c r="F1359" s="19">
        <f>IF($A1359="","",E1359+$H1359-1)</f>
        <v/>
      </c>
      <c r="G1359" s="18" t="n"/>
      <c r="H1359" s="18">
        <f>IF($A1359="","",IF(I1359&lt;&gt;"",I1359,Paramètres!B9))</f>
        <v/>
      </c>
      <c r="I1359" s="18" t="n"/>
    </row>
    <row r="1360">
      <c r="A1360" s="18">
        <f>IF(ISNUMBER(Dossiers!$D$29),Dossiers!$A$29&amp;" · "&amp;Dossiers!$B$29,"")</f>
        <v/>
      </c>
      <c r="B1360" s="18">
        <f>IF($A1360="","",Paramètres!G10)</f>
        <v/>
      </c>
      <c r="C1360" s="18">
        <f>IF($A1360="","",IF(Paramètres!H10="","",Paramètres!H10))</f>
        <v/>
      </c>
      <c r="D1360" s="18">
        <f>IF($A1360="","",IF(Paramètres!I10="","",Paramètres!I10))</f>
        <v/>
      </c>
      <c r="E1360" s="19">
        <f>IF($A1360="","",MIN(E1361:E1364))</f>
        <v/>
      </c>
      <c r="F1360" s="19">
        <f>IF($A1360="","",MAX(F1361:F1364))</f>
        <v/>
      </c>
      <c r="G1360" s="18" t="n"/>
      <c r="H1360" s="18">
        <f>IF($A1360="","",F1360-E1360+1)</f>
        <v/>
      </c>
      <c r="I1360" s="18" t="n"/>
    </row>
    <row r="1361">
      <c r="A1361" s="18">
        <f>IF(ISNUMBER(Dossiers!$D$29),Dossiers!$A$29&amp;" · "&amp;Dossiers!$B$29,"")</f>
        <v/>
      </c>
      <c r="B1361" s="18">
        <f>IF($A1361="","",Paramètres!G11)</f>
        <v/>
      </c>
      <c r="C1361" s="18">
        <f>IF($A1361="","",IF(Paramètres!H11="","",Paramètres!H11))</f>
        <v/>
      </c>
      <c r="D1361" s="18">
        <f>IF($A1361="","",IF(Paramètres!I11="","",Paramètres!I11))</f>
        <v/>
      </c>
      <c r="E1361" s="19">
        <f>IF($A1361="","",IF(Paramètres!J11&amp;Paramètres!L11&amp;Paramètres!N11="",Dossiers!$D$29,MAX(IF(Paramètres!J11="",0,IF(Paramètres!K11="",NA(),IF(LEFT(TRIM(Paramètres!K11),1)="F",INDEX($F$1355:$F$1407,MATCH(Paramètres!J11,Paramètres!$G$5:$G$57,0)),INDEX($E$1355:$E$1407,MATCH(Paramètres!J11,Paramètres!$G$5:$G$57,0)))+IF(RIGHT(TRIM(Paramètres!K11),3)="Fin",1-$H1361,IF(LEFT(TRIM(Paramètres!K11),1)="F",1,0)))),IF(Paramètres!L11="",0,IF(Paramètres!M11="",NA(),IF(LEFT(TRIM(Paramètres!M11),1)="F",INDEX($F$1355:$F$1407,MATCH(Paramètres!L11,Paramètres!$G$5:$G$57,0)),INDEX($E$1355:$E$1407,MATCH(Paramètres!L11,Paramètres!$G$5:$G$57,0)))+IF(RIGHT(TRIM(Paramètres!M11),3)="Fin",1-$H1361,IF(LEFT(TRIM(Paramètres!M11),1)="F",1,0)))),IF(Paramètres!N11="",0,IF(Paramètres!O11="",NA(),IF(LEFT(TRIM(Paramètres!O11),1)="F",INDEX($F$1355:$F$1407,MATCH(Paramètres!N11,Paramètres!$G$5:$G$57,0)),INDEX($E$1355:$E$1407,MATCH(Paramètres!N11,Paramètres!$G$5:$G$57,0)))+IF(RIGHT(TRIM(Paramètres!O11),3)="Fin",1-$H1361,IF(LEFT(TRIM(Paramètres!O11),1)="F",1,0)))))))</f>
        <v/>
      </c>
      <c r="F1361" s="19">
        <f>IF($A1361="","",E1361+$H1361-1)</f>
        <v/>
      </c>
      <c r="G1361" s="18" t="n"/>
      <c r="H1361" s="18">
        <f>IF($A1361="","",IF(I1361&lt;&gt;"",I1361,Paramètres!B11))</f>
        <v/>
      </c>
      <c r="I1361" s="18" t="n"/>
    </row>
    <row r="1362">
      <c r="A1362" s="18">
        <f>IF(ISNUMBER(Dossiers!$D$29),Dossiers!$A$29&amp;" · "&amp;Dossiers!$B$29,"")</f>
        <v/>
      </c>
      <c r="B1362" s="18">
        <f>IF($A1362="","",Paramètres!G12)</f>
        <v/>
      </c>
      <c r="C1362" s="18">
        <f>IF($A1362="","",IF(Paramètres!H12="","",Paramètres!H12))</f>
        <v/>
      </c>
      <c r="D1362" s="18">
        <f>IF($A1362="","",IF(Paramètres!I12="","",Paramètres!I12))</f>
        <v/>
      </c>
      <c r="E1362" s="19">
        <f>IF($A1362="","",IF(Paramètres!J12&amp;Paramètres!L12&amp;Paramètres!N12="",Dossiers!$D$29,MAX(IF(Paramètres!J12="",0,IF(Paramètres!K12="",NA(),IF(LEFT(TRIM(Paramètres!K12),1)="F",INDEX($F$1355:$F$1407,MATCH(Paramètres!J12,Paramètres!$G$5:$G$57,0)),INDEX($E$1355:$E$1407,MATCH(Paramètres!J12,Paramètres!$G$5:$G$57,0)))+IF(RIGHT(TRIM(Paramètres!K12),3)="Fin",1-$H1362,IF(LEFT(TRIM(Paramètres!K12),1)="F",1,0)))),IF(Paramètres!L12="",0,IF(Paramètres!M12="",NA(),IF(LEFT(TRIM(Paramètres!M12),1)="F",INDEX($F$1355:$F$1407,MATCH(Paramètres!L12,Paramètres!$G$5:$G$57,0)),INDEX($E$1355:$E$1407,MATCH(Paramètres!L12,Paramètres!$G$5:$G$57,0)))+IF(RIGHT(TRIM(Paramètres!M12),3)="Fin",1-$H1362,IF(LEFT(TRIM(Paramètres!M12),1)="F",1,0)))),IF(Paramètres!N12="",0,IF(Paramètres!O12="",NA(),IF(LEFT(TRIM(Paramètres!O12),1)="F",INDEX($F$1355:$F$1407,MATCH(Paramètres!N12,Paramètres!$G$5:$G$57,0)),INDEX($E$1355:$E$1407,MATCH(Paramètres!N12,Paramètres!$G$5:$G$57,0)))+IF(RIGHT(TRIM(Paramètres!O12),3)="Fin",1-$H1362,IF(LEFT(TRIM(Paramètres!O12),1)="F",1,0)))))))</f>
        <v/>
      </c>
      <c r="F1362" s="19">
        <f>IF($A1362="","",E1362+$H1362-1)</f>
        <v/>
      </c>
      <c r="G1362" s="18" t="n"/>
      <c r="H1362" s="18">
        <f>IF($A1362="","",IF(I1362&lt;&gt;"",I1362,Paramètres!B12))</f>
        <v/>
      </c>
      <c r="I1362" s="18" t="n"/>
    </row>
    <row r="1363">
      <c r="A1363" s="18">
        <f>IF(ISNUMBER(Dossiers!$D$29),Dossiers!$A$29&amp;" · "&amp;Dossiers!$B$29,"")</f>
        <v/>
      </c>
      <c r="B1363" s="18">
        <f>IF($A1363="","",Paramètres!G13)</f>
        <v/>
      </c>
      <c r="C1363" s="18">
        <f>IF($A1363="","",IF(Paramètres!H13="","",Paramètres!H13))</f>
        <v/>
      </c>
      <c r="D1363" s="18">
        <f>IF($A1363="","",IF(Paramètres!I13="","",Paramètres!I13))</f>
        <v/>
      </c>
      <c r="E1363" s="19">
        <f>IF($A1363="","",IF(Paramètres!J13&amp;Paramètres!L13&amp;Paramètres!N13="",Dossiers!$D$29,MAX(IF(Paramètres!J13="",0,IF(Paramètres!K13="",NA(),IF(LEFT(TRIM(Paramètres!K13),1)="F",INDEX($F$1355:$F$1407,MATCH(Paramètres!J13,Paramètres!$G$5:$G$57,0)),INDEX($E$1355:$E$1407,MATCH(Paramètres!J13,Paramètres!$G$5:$G$57,0)))+IF(RIGHT(TRIM(Paramètres!K13),3)="Fin",1-$H1363,IF(LEFT(TRIM(Paramètres!K13),1)="F",1,0)))),IF(Paramètres!L13="",0,IF(Paramètres!M13="",NA(),IF(LEFT(TRIM(Paramètres!M13),1)="F",INDEX($F$1355:$F$1407,MATCH(Paramètres!L13,Paramètres!$G$5:$G$57,0)),INDEX($E$1355:$E$1407,MATCH(Paramètres!L13,Paramètres!$G$5:$G$57,0)))+IF(RIGHT(TRIM(Paramètres!M13),3)="Fin",1-$H1363,IF(LEFT(TRIM(Paramètres!M13),1)="F",1,0)))),IF(Paramètres!N13="",0,IF(Paramètres!O13="",NA(),IF(LEFT(TRIM(Paramètres!O13),1)="F",INDEX($F$1355:$F$1407,MATCH(Paramètres!N13,Paramètres!$G$5:$G$57,0)),INDEX($E$1355:$E$1407,MATCH(Paramètres!N13,Paramètres!$G$5:$G$57,0)))+IF(RIGHT(TRIM(Paramètres!O13),3)="Fin",1-$H1363,IF(LEFT(TRIM(Paramètres!O13),1)="F",1,0)))))))</f>
        <v/>
      </c>
      <c r="F1363" s="19">
        <f>IF($A1363="","",E1363+$H1363-1)</f>
        <v/>
      </c>
      <c r="G1363" s="18" t="n"/>
      <c r="H1363" s="18">
        <f>IF($A1363="","",IF(I1363&lt;&gt;"",I1363,Paramètres!B13))</f>
        <v/>
      </c>
      <c r="I1363" s="18" t="n"/>
    </row>
    <row r="1364">
      <c r="A1364" s="18">
        <f>IF(ISNUMBER(Dossiers!$D$29),Dossiers!$A$29&amp;" · "&amp;Dossiers!$B$29,"")</f>
        <v/>
      </c>
      <c r="B1364" s="18">
        <f>IF($A1364="","",Paramètres!G14)</f>
        <v/>
      </c>
      <c r="C1364" s="18">
        <f>IF($A1364="","",IF(Paramètres!H14="","",Paramètres!H14))</f>
        <v/>
      </c>
      <c r="D1364" s="18">
        <f>IF($A1364="","",IF(Paramètres!I14="","",Paramètres!I14))</f>
        <v/>
      </c>
      <c r="E1364" s="19">
        <f>IF($A1364="","",IF(Paramètres!J14&amp;Paramètres!L14&amp;Paramètres!N14="",Dossiers!$D$29,MAX(IF(Paramètres!J14="",0,IF(Paramètres!K14="",NA(),IF(LEFT(TRIM(Paramètres!K14),1)="F",INDEX($F$1355:$F$1407,MATCH(Paramètres!J14,Paramètres!$G$5:$G$57,0)),INDEX($E$1355:$E$1407,MATCH(Paramètres!J14,Paramètres!$G$5:$G$57,0)))+IF(RIGHT(TRIM(Paramètres!K14),3)="Fin",1-$H1364,IF(LEFT(TRIM(Paramètres!K14),1)="F",1,0)))),IF(Paramètres!L14="",0,IF(Paramètres!M14="",NA(),IF(LEFT(TRIM(Paramètres!M14),1)="F",INDEX($F$1355:$F$1407,MATCH(Paramètres!L14,Paramètres!$G$5:$G$57,0)),INDEX($E$1355:$E$1407,MATCH(Paramètres!L14,Paramètres!$G$5:$G$57,0)))+IF(RIGHT(TRIM(Paramètres!M14),3)="Fin",1-$H1364,IF(LEFT(TRIM(Paramètres!M14),1)="F",1,0)))),IF(Paramètres!N14="",0,IF(Paramètres!O14="",NA(),IF(LEFT(TRIM(Paramètres!O14),1)="F",INDEX($F$1355:$F$1407,MATCH(Paramètres!N14,Paramètres!$G$5:$G$57,0)),INDEX($E$1355:$E$1407,MATCH(Paramètres!N14,Paramètres!$G$5:$G$57,0)))+IF(RIGHT(TRIM(Paramètres!O14),3)="Fin",1-$H1364,IF(LEFT(TRIM(Paramètres!O14),1)="F",1,0)))))))</f>
        <v/>
      </c>
      <c r="F1364" s="19">
        <f>IF($A1364="","",E1364+$H1364-1)</f>
        <v/>
      </c>
      <c r="G1364" s="18" t="n"/>
      <c r="H1364" s="18">
        <f>IF($A1364="","",IF(I1364&lt;&gt;"",I1364,Paramètres!B14))</f>
        <v/>
      </c>
      <c r="I1364" s="18" t="n"/>
    </row>
    <row r="1365">
      <c r="A1365" s="18">
        <f>IF(ISNUMBER(Dossiers!$D$29),Dossiers!$A$29&amp;" · "&amp;Dossiers!$B$29,"")</f>
        <v/>
      </c>
      <c r="B1365" s="18">
        <f>IF($A1365="","",Paramètres!G15)</f>
        <v/>
      </c>
      <c r="C1365" s="18">
        <f>IF($A1365="","",IF(Paramètres!H15="","",Paramètres!H15))</f>
        <v/>
      </c>
      <c r="D1365" s="18">
        <f>IF($A1365="","",IF(Paramètres!I15="","",Paramètres!I15))</f>
        <v/>
      </c>
      <c r="E1365" s="19">
        <f>IF($A1365="","",MIN(E1366:E1381))</f>
        <v/>
      </c>
      <c r="F1365" s="19">
        <f>IF($A1365="","",MAX(F1366:F1381))</f>
        <v/>
      </c>
      <c r="G1365" s="18" t="n"/>
      <c r="H1365" s="18">
        <f>IF($A1365="","",F1365-E1365+1)</f>
        <v/>
      </c>
      <c r="I1365" s="18" t="n"/>
    </row>
    <row r="1366">
      <c r="A1366" s="18">
        <f>IF(ISNUMBER(Dossiers!$D$29),Dossiers!$A$29&amp;" · "&amp;Dossiers!$B$29,"")</f>
        <v/>
      </c>
      <c r="B1366" s="18">
        <f>IF($A1366="","",Paramètres!G16)</f>
        <v/>
      </c>
      <c r="C1366" s="18">
        <f>IF($A1366="","",IF(Paramètres!H16="","",Paramètres!H16))</f>
        <v/>
      </c>
      <c r="D1366" s="18">
        <f>IF($A1366="","",IF(Paramètres!I16="","",Paramètres!I16))</f>
        <v/>
      </c>
      <c r="E1366" s="19">
        <f>IF($A1366="","",IF(Paramètres!J16&amp;Paramètres!L16&amp;Paramètres!N16="",Dossiers!$D$29,MAX(IF(Paramètres!J16="",0,IF(Paramètres!K16="",NA(),IF(LEFT(TRIM(Paramètres!K16),1)="F",INDEX($F$1355:$F$1407,MATCH(Paramètres!J16,Paramètres!$G$5:$G$57,0)),INDEX($E$1355:$E$1407,MATCH(Paramètres!J16,Paramètres!$G$5:$G$57,0)))+IF(RIGHT(TRIM(Paramètres!K16),3)="Fin",1-$H1366,IF(LEFT(TRIM(Paramètres!K16),1)="F",1,0)))),IF(Paramètres!L16="",0,IF(Paramètres!M16="",NA(),IF(LEFT(TRIM(Paramètres!M16),1)="F",INDEX($F$1355:$F$1407,MATCH(Paramètres!L16,Paramètres!$G$5:$G$57,0)),INDEX($E$1355:$E$1407,MATCH(Paramètres!L16,Paramètres!$G$5:$G$57,0)))+IF(RIGHT(TRIM(Paramètres!M16),3)="Fin",1-$H1366,IF(LEFT(TRIM(Paramètres!M16),1)="F",1,0)))),IF(Paramètres!N16="",0,IF(Paramètres!O16="",NA(),IF(LEFT(TRIM(Paramètres!O16),1)="F",INDEX($F$1355:$F$1407,MATCH(Paramètres!N16,Paramètres!$G$5:$G$57,0)),INDEX($E$1355:$E$1407,MATCH(Paramètres!N16,Paramètres!$G$5:$G$57,0)))+IF(RIGHT(TRIM(Paramètres!O16),3)="Fin",1-$H1366,IF(LEFT(TRIM(Paramètres!O16),1)="F",1,0)))))))</f>
        <v/>
      </c>
      <c r="F1366" s="19">
        <f>IF($A1366="","",E1366+$H1366-1)</f>
        <v/>
      </c>
      <c r="G1366" s="18" t="n"/>
      <c r="H1366" s="18">
        <f>IF($A1366="","",IF(I1366&lt;&gt;"",I1366,Paramètres!B16))</f>
        <v/>
      </c>
      <c r="I1366" s="18" t="n"/>
    </row>
    <row r="1367">
      <c r="A1367" s="18">
        <f>IF(ISNUMBER(Dossiers!$D$29),Dossiers!$A$29&amp;" · "&amp;Dossiers!$B$29,"")</f>
        <v/>
      </c>
      <c r="B1367" s="18">
        <f>IF($A1367="","",Paramètres!G17)</f>
        <v/>
      </c>
      <c r="C1367" s="18">
        <f>IF($A1367="","",IF(Paramètres!H17="","",Paramètres!H17))</f>
        <v/>
      </c>
      <c r="D1367" s="18">
        <f>IF($A1367="","",IF(Paramètres!I17="","",Paramètres!I17))</f>
        <v/>
      </c>
      <c r="E1367" s="19">
        <f>IF($A1367="","",IF(Paramètres!J17&amp;Paramètres!L17&amp;Paramètres!N17="",Dossiers!$D$29,MAX(IF(Paramètres!J17="",0,IF(Paramètres!K17="",NA(),IF(LEFT(TRIM(Paramètres!K17),1)="F",INDEX($F$1355:$F$1407,MATCH(Paramètres!J17,Paramètres!$G$5:$G$57,0)),INDEX($E$1355:$E$1407,MATCH(Paramètres!J17,Paramètres!$G$5:$G$57,0)))+IF(RIGHT(TRIM(Paramètres!K17),3)="Fin",1-$H1367,IF(LEFT(TRIM(Paramètres!K17),1)="F",1,0)))),IF(Paramètres!L17="",0,IF(Paramètres!M17="",NA(),IF(LEFT(TRIM(Paramètres!M17),1)="F",INDEX($F$1355:$F$1407,MATCH(Paramètres!L17,Paramètres!$G$5:$G$57,0)),INDEX($E$1355:$E$1407,MATCH(Paramètres!L17,Paramètres!$G$5:$G$57,0)))+IF(RIGHT(TRIM(Paramètres!M17),3)="Fin",1-$H1367,IF(LEFT(TRIM(Paramètres!M17),1)="F",1,0)))),IF(Paramètres!N17="",0,IF(Paramètres!O17="",NA(),IF(LEFT(TRIM(Paramètres!O17),1)="F",INDEX($F$1355:$F$1407,MATCH(Paramètres!N17,Paramètres!$G$5:$G$57,0)),INDEX($E$1355:$E$1407,MATCH(Paramètres!N17,Paramètres!$G$5:$G$57,0)))+IF(RIGHT(TRIM(Paramètres!O17),3)="Fin",1-$H1367,IF(LEFT(TRIM(Paramètres!O17),1)="F",1,0)))))))</f>
        <v/>
      </c>
      <c r="F1367" s="19">
        <f>IF($A1367="","",E1367+$H1367-1)</f>
        <v/>
      </c>
      <c r="G1367" s="18" t="n"/>
      <c r="H1367" s="18">
        <f>IF($A1367="","",IF(I1367&lt;&gt;"",I1367,Paramètres!B17))</f>
        <v/>
      </c>
      <c r="I1367" s="18" t="n"/>
    </row>
    <row r="1368">
      <c r="A1368" s="18">
        <f>IF(ISNUMBER(Dossiers!$D$29),Dossiers!$A$29&amp;" · "&amp;Dossiers!$B$29,"")</f>
        <v/>
      </c>
      <c r="B1368" s="18">
        <f>IF($A1368="","",Paramètres!G18)</f>
        <v/>
      </c>
      <c r="C1368" s="18">
        <f>IF($A1368="","",IF(Paramètres!H18="","",Paramètres!H18))</f>
        <v/>
      </c>
      <c r="D1368" s="18">
        <f>IF($A1368="","",IF(Paramètres!I18="","",Paramètres!I18))</f>
        <v/>
      </c>
      <c r="E1368" s="19">
        <f>IF($A1368="","",IF(Paramètres!J18&amp;Paramètres!L18&amp;Paramètres!N18="",Dossiers!$D$29,MAX(IF(Paramètres!J18="",0,IF(Paramètres!K18="",NA(),IF(LEFT(TRIM(Paramètres!K18),1)="F",INDEX($F$1355:$F$1407,MATCH(Paramètres!J18,Paramètres!$G$5:$G$57,0)),INDEX($E$1355:$E$1407,MATCH(Paramètres!J18,Paramètres!$G$5:$G$57,0)))+IF(RIGHT(TRIM(Paramètres!K18),3)="Fin",1-$H1368,IF(LEFT(TRIM(Paramètres!K18),1)="F",1,0)))),IF(Paramètres!L18="",0,IF(Paramètres!M18="",NA(),IF(LEFT(TRIM(Paramètres!M18),1)="F",INDEX($F$1355:$F$1407,MATCH(Paramètres!L18,Paramètres!$G$5:$G$57,0)),INDEX($E$1355:$E$1407,MATCH(Paramètres!L18,Paramètres!$G$5:$G$57,0)))+IF(RIGHT(TRIM(Paramètres!M18),3)="Fin",1-$H1368,IF(LEFT(TRIM(Paramètres!M18),1)="F",1,0)))),IF(Paramètres!N18="",0,IF(Paramètres!O18="",NA(),IF(LEFT(TRIM(Paramètres!O18),1)="F",INDEX($F$1355:$F$1407,MATCH(Paramètres!N18,Paramètres!$G$5:$G$57,0)),INDEX($E$1355:$E$1407,MATCH(Paramètres!N18,Paramètres!$G$5:$G$57,0)))+IF(RIGHT(TRIM(Paramètres!O18),3)="Fin",1-$H1368,IF(LEFT(TRIM(Paramètres!O18),1)="F",1,0)))))))</f>
        <v/>
      </c>
      <c r="F1368" s="19">
        <f>IF($A1368="","",E1368+$H1368-1)</f>
        <v/>
      </c>
      <c r="G1368" s="18" t="n"/>
      <c r="H1368" s="18">
        <f>IF($A1368="","",IF(I1368&lt;&gt;"",I1368,Paramètres!B18))</f>
        <v/>
      </c>
      <c r="I1368" s="18" t="n"/>
    </row>
    <row r="1369">
      <c r="A1369" s="18">
        <f>IF(ISNUMBER(Dossiers!$D$29),Dossiers!$A$29&amp;" · "&amp;Dossiers!$B$29,"")</f>
        <v/>
      </c>
      <c r="B1369" s="18">
        <f>IF($A1369="","",Paramètres!G19)</f>
        <v/>
      </c>
      <c r="C1369" s="18">
        <f>IF($A1369="","",IF(Paramètres!H19="","",Paramètres!H19))</f>
        <v/>
      </c>
      <c r="D1369" s="18">
        <f>IF($A1369="","",IF(Paramètres!I19="","",Paramètres!I19))</f>
        <v/>
      </c>
      <c r="E1369" s="19">
        <f>IF($A1369="","",IF(Paramètres!J19&amp;Paramètres!L19&amp;Paramètres!N19="",Dossiers!$D$29,MAX(IF(Paramètres!J19="",0,IF(Paramètres!K19="",NA(),IF(LEFT(TRIM(Paramètres!K19),1)="F",INDEX($F$1355:$F$1407,MATCH(Paramètres!J19,Paramètres!$G$5:$G$57,0)),INDEX($E$1355:$E$1407,MATCH(Paramètres!J19,Paramètres!$G$5:$G$57,0)))+IF(RIGHT(TRIM(Paramètres!K19),3)="Fin",1-$H1369,IF(LEFT(TRIM(Paramètres!K19),1)="F",1,0)))),IF(Paramètres!L19="",0,IF(Paramètres!M19="",NA(),IF(LEFT(TRIM(Paramètres!M19),1)="F",INDEX($F$1355:$F$1407,MATCH(Paramètres!L19,Paramètres!$G$5:$G$57,0)),INDEX($E$1355:$E$1407,MATCH(Paramètres!L19,Paramètres!$G$5:$G$57,0)))+IF(RIGHT(TRIM(Paramètres!M19),3)="Fin",1-$H1369,IF(LEFT(TRIM(Paramètres!M19),1)="F",1,0)))),IF(Paramètres!N19="",0,IF(Paramètres!O19="",NA(),IF(LEFT(TRIM(Paramètres!O19),1)="F",INDEX($F$1355:$F$1407,MATCH(Paramètres!N19,Paramètres!$G$5:$G$57,0)),INDEX($E$1355:$E$1407,MATCH(Paramètres!N19,Paramètres!$G$5:$G$57,0)))+IF(RIGHT(TRIM(Paramètres!O19),3)="Fin",1-$H1369,IF(LEFT(TRIM(Paramètres!O19),1)="F",1,0)))))))</f>
        <v/>
      </c>
      <c r="F1369" s="19">
        <f>IF($A1369="","",E1369+$H1369-1)</f>
        <v/>
      </c>
      <c r="G1369" s="18" t="n"/>
      <c r="H1369" s="18">
        <f>IF($A1369="","",IF(I1369&lt;&gt;"",I1369,Paramètres!B19))</f>
        <v/>
      </c>
      <c r="I1369" s="18" t="n"/>
    </row>
    <row r="1370">
      <c r="A1370" s="18">
        <f>IF(ISNUMBER(Dossiers!$D$29),Dossiers!$A$29&amp;" · "&amp;Dossiers!$B$29,"")</f>
        <v/>
      </c>
      <c r="B1370" s="18">
        <f>IF($A1370="","",Paramètres!G20)</f>
        <v/>
      </c>
      <c r="C1370" s="18">
        <f>IF($A1370="","",IF(Paramètres!H20="","",Paramètres!H20))</f>
        <v/>
      </c>
      <c r="D1370" s="18">
        <f>IF($A1370="","",IF(Paramètres!I20="","",Paramètres!I20))</f>
        <v/>
      </c>
      <c r="E1370" s="19">
        <f>IF($A1370="","",IF(Paramètres!J20&amp;Paramètres!L20&amp;Paramètres!N20="",Dossiers!$D$29,MAX(IF(Paramètres!J20="",0,IF(Paramètres!K20="",NA(),IF(LEFT(TRIM(Paramètres!K20),1)="F",INDEX($F$1355:$F$1407,MATCH(Paramètres!J20,Paramètres!$G$5:$G$57,0)),INDEX($E$1355:$E$1407,MATCH(Paramètres!J20,Paramètres!$G$5:$G$57,0)))+IF(RIGHT(TRIM(Paramètres!K20),3)="Fin",1-$H1370,IF(LEFT(TRIM(Paramètres!K20),1)="F",1,0)))),IF(Paramètres!L20="",0,IF(Paramètres!M20="",NA(),IF(LEFT(TRIM(Paramètres!M20),1)="F",INDEX($F$1355:$F$1407,MATCH(Paramètres!L20,Paramètres!$G$5:$G$57,0)),INDEX($E$1355:$E$1407,MATCH(Paramètres!L20,Paramètres!$G$5:$G$57,0)))+IF(RIGHT(TRIM(Paramètres!M20),3)="Fin",1-$H1370,IF(LEFT(TRIM(Paramètres!M20),1)="F",1,0)))),IF(Paramètres!N20="",0,IF(Paramètres!O20="",NA(),IF(LEFT(TRIM(Paramètres!O20),1)="F",INDEX($F$1355:$F$1407,MATCH(Paramètres!N20,Paramètres!$G$5:$G$57,0)),INDEX($E$1355:$E$1407,MATCH(Paramètres!N20,Paramètres!$G$5:$G$57,0)))+IF(RIGHT(TRIM(Paramètres!O20),3)="Fin",1-$H1370,IF(LEFT(TRIM(Paramètres!O20),1)="F",1,0)))))))</f>
        <v/>
      </c>
      <c r="F1370" s="19">
        <f>IF($A1370="","",E1370+$H1370-1)</f>
        <v/>
      </c>
      <c r="G1370" s="18" t="n"/>
      <c r="H1370" s="18">
        <f>IF($A1370="","",IF(I1370&lt;&gt;"",I1370,Paramètres!B20))</f>
        <v/>
      </c>
      <c r="I1370" s="18" t="n"/>
    </row>
    <row r="1371">
      <c r="A1371" s="18">
        <f>IF(ISNUMBER(Dossiers!$D$29),Dossiers!$A$29&amp;" · "&amp;Dossiers!$B$29,"")</f>
        <v/>
      </c>
      <c r="B1371" s="18">
        <f>IF($A1371="","",Paramètres!G21)</f>
        <v/>
      </c>
      <c r="C1371" s="18">
        <f>IF($A1371="","",IF(Paramètres!H21="","",Paramètres!H21))</f>
        <v/>
      </c>
      <c r="D1371" s="18">
        <f>IF($A1371="","",IF(Paramètres!I21="","",Paramètres!I21))</f>
        <v/>
      </c>
      <c r="E1371" s="19">
        <f>IF($A1371="","",IF(Paramètres!J21&amp;Paramètres!L21&amp;Paramètres!N21="",Dossiers!$D$29,MAX(IF(Paramètres!J21="",0,IF(Paramètres!K21="",NA(),IF(LEFT(TRIM(Paramètres!K21),1)="F",INDEX($F$1355:$F$1407,MATCH(Paramètres!J21,Paramètres!$G$5:$G$57,0)),INDEX($E$1355:$E$1407,MATCH(Paramètres!J21,Paramètres!$G$5:$G$57,0)))+IF(RIGHT(TRIM(Paramètres!K21),3)="Fin",1-$H1371,IF(LEFT(TRIM(Paramètres!K21),1)="F",1,0)))),IF(Paramètres!L21="",0,IF(Paramètres!M21="",NA(),IF(LEFT(TRIM(Paramètres!M21),1)="F",INDEX($F$1355:$F$1407,MATCH(Paramètres!L21,Paramètres!$G$5:$G$57,0)),INDEX($E$1355:$E$1407,MATCH(Paramètres!L21,Paramètres!$G$5:$G$57,0)))+IF(RIGHT(TRIM(Paramètres!M21),3)="Fin",1-$H1371,IF(LEFT(TRIM(Paramètres!M21),1)="F",1,0)))),IF(Paramètres!N21="",0,IF(Paramètres!O21="",NA(),IF(LEFT(TRIM(Paramètres!O21),1)="F",INDEX($F$1355:$F$1407,MATCH(Paramètres!N21,Paramètres!$G$5:$G$57,0)),INDEX($E$1355:$E$1407,MATCH(Paramètres!N21,Paramètres!$G$5:$G$57,0)))+IF(RIGHT(TRIM(Paramètres!O21),3)="Fin",1-$H1371,IF(LEFT(TRIM(Paramètres!O21),1)="F",1,0)))))))</f>
        <v/>
      </c>
      <c r="F1371" s="19">
        <f>IF($A1371="","",E1371+$H1371-1)</f>
        <v/>
      </c>
      <c r="G1371" s="18" t="n"/>
      <c r="H1371" s="18">
        <f>IF($A1371="","",IF(I1371&lt;&gt;"",I1371,Paramètres!B21))</f>
        <v/>
      </c>
      <c r="I1371" s="18" t="n"/>
    </row>
    <row r="1372">
      <c r="A1372" s="18">
        <f>IF(ISNUMBER(Dossiers!$D$29),Dossiers!$A$29&amp;" · "&amp;Dossiers!$B$29,"")</f>
        <v/>
      </c>
      <c r="B1372" s="18">
        <f>IF($A1372="","",Paramètres!G22)</f>
        <v/>
      </c>
      <c r="C1372" s="18">
        <f>IF($A1372="","",IF(Paramètres!H22="","",Paramètres!H22))</f>
        <v/>
      </c>
      <c r="D1372" s="18">
        <f>IF($A1372="","",IF(Paramètres!I22="","",Paramètres!I22))</f>
        <v/>
      </c>
      <c r="E1372" s="19">
        <f>IF($A1372="","",IF(Paramètres!J22&amp;Paramètres!L22&amp;Paramètres!N22="",Dossiers!$D$29,MAX(IF(Paramètres!J22="",0,IF(Paramètres!K22="",NA(),IF(LEFT(TRIM(Paramètres!K22),1)="F",INDEX($F$1355:$F$1407,MATCH(Paramètres!J22,Paramètres!$G$5:$G$57,0)),INDEX($E$1355:$E$1407,MATCH(Paramètres!J22,Paramètres!$G$5:$G$57,0)))+IF(RIGHT(TRIM(Paramètres!K22),3)="Fin",1-$H1372,IF(LEFT(TRIM(Paramètres!K22),1)="F",1,0)))),IF(Paramètres!L22="",0,IF(Paramètres!M22="",NA(),IF(LEFT(TRIM(Paramètres!M22),1)="F",INDEX($F$1355:$F$1407,MATCH(Paramètres!L22,Paramètres!$G$5:$G$57,0)),INDEX($E$1355:$E$1407,MATCH(Paramètres!L22,Paramètres!$G$5:$G$57,0)))+IF(RIGHT(TRIM(Paramètres!M22),3)="Fin",1-$H1372,IF(LEFT(TRIM(Paramètres!M22),1)="F",1,0)))),IF(Paramètres!N22="",0,IF(Paramètres!O22="",NA(),IF(LEFT(TRIM(Paramètres!O22),1)="F",INDEX($F$1355:$F$1407,MATCH(Paramètres!N22,Paramètres!$G$5:$G$57,0)),INDEX($E$1355:$E$1407,MATCH(Paramètres!N22,Paramètres!$G$5:$G$57,0)))+IF(RIGHT(TRIM(Paramètres!O22),3)="Fin",1-$H1372,IF(LEFT(TRIM(Paramètres!O22),1)="F",1,0)))))))</f>
        <v/>
      </c>
      <c r="F1372" s="19">
        <f>IF($A1372="","",E1372+$H1372-1)</f>
        <v/>
      </c>
      <c r="G1372" s="18" t="n"/>
      <c r="H1372" s="18">
        <f>IF($A1372="","",IF(I1372&lt;&gt;"",I1372,Paramètres!B22))</f>
        <v/>
      </c>
      <c r="I1372" s="18" t="n"/>
    </row>
    <row r="1373">
      <c r="A1373" s="18">
        <f>IF(ISNUMBER(Dossiers!$D$29),Dossiers!$A$29&amp;" · "&amp;Dossiers!$B$29,"")</f>
        <v/>
      </c>
      <c r="B1373" s="18">
        <f>IF($A1373="","",Paramètres!G23)</f>
        <v/>
      </c>
      <c r="C1373" s="18">
        <f>IF($A1373="","",IF(Paramètres!H23="","",Paramètres!H23))</f>
        <v/>
      </c>
      <c r="D1373" s="18">
        <f>IF($A1373="","",IF(Paramètres!I23="","",Paramètres!I23))</f>
        <v/>
      </c>
      <c r="E1373" s="19">
        <f>IF($A1373="","",IF(Paramètres!J23&amp;Paramètres!L23&amp;Paramètres!N23="",Dossiers!$D$29,MAX(IF(Paramètres!J23="",0,IF(Paramètres!K23="",NA(),IF(LEFT(TRIM(Paramètres!K23),1)="F",INDEX($F$1355:$F$1407,MATCH(Paramètres!J23,Paramètres!$G$5:$G$57,0)),INDEX($E$1355:$E$1407,MATCH(Paramètres!J23,Paramètres!$G$5:$G$57,0)))+IF(RIGHT(TRIM(Paramètres!K23),3)="Fin",1-$H1373,IF(LEFT(TRIM(Paramètres!K23),1)="F",1,0)))),IF(Paramètres!L23="",0,IF(Paramètres!M23="",NA(),IF(LEFT(TRIM(Paramètres!M23),1)="F",INDEX($F$1355:$F$1407,MATCH(Paramètres!L23,Paramètres!$G$5:$G$57,0)),INDEX($E$1355:$E$1407,MATCH(Paramètres!L23,Paramètres!$G$5:$G$57,0)))+IF(RIGHT(TRIM(Paramètres!M23),3)="Fin",1-$H1373,IF(LEFT(TRIM(Paramètres!M23),1)="F",1,0)))),IF(Paramètres!N23="",0,IF(Paramètres!O23="",NA(),IF(LEFT(TRIM(Paramètres!O23),1)="F",INDEX($F$1355:$F$1407,MATCH(Paramètres!N23,Paramètres!$G$5:$G$57,0)),INDEX($E$1355:$E$1407,MATCH(Paramètres!N23,Paramètres!$G$5:$G$57,0)))+IF(RIGHT(TRIM(Paramètres!O23),3)="Fin",1-$H1373,IF(LEFT(TRIM(Paramètres!O23),1)="F",1,0)))))))</f>
        <v/>
      </c>
      <c r="F1373" s="19">
        <f>IF($A1373="","",E1373+$H1373-1)</f>
        <v/>
      </c>
      <c r="G1373" s="18" t="n"/>
      <c r="H1373" s="18">
        <f>IF($A1373="","",IF(I1373&lt;&gt;"",I1373,Paramètres!B23))</f>
        <v/>
      </c>
      <c r="I1373" s="18" t="n"/>
    </row>
    <row r="1374">
      <c r="A1374" s="18">
        <f>IF(ISNUMBER(Dossiers!$D$29),Dossiers!$A$29&amp;" · "&amp;Dossiers!$B$29,"")</f>
        <v/>
      </c>
      <c r="B1374" s="18">
        <f>IF($A1374="","",Paramètres!G24)</f>
        <v/>
      </c>
      <c r="C1374" s="18">
        <f>IF($A1374="","",IF(Paramètres!H24="","",Paramètres!H24))</f>
        <v/>
      </c>
      <c r="D1374" s="18">
        <f>IF($A1374="","",IF(Paramètres!I24="","",Paramètres!I24))</f>
        <v/>
      </c>
      <c r="E1374" s="19">
        <f>IF($A1374="","",IF(Paramètres!J24&amp;Paramètres!L24&amp;Paramètres!N24="",Dossiers!$D$29,MAX(IF(Paramètres!J24="",0,IF(Paramètres!K24="",NA(),IF(LEFT(TRIM(Paramètres!K24),1)="F",INDEX($F$1355:$F$1407,MATCH(Paramètres!J24,Paramètres!$G$5:$G$57,0)),INDEX($E$1355:$E$1407,MATCH(Paramètres!J24,Paramètres!$G$5:$G$57,0)))+IF(RIGHT(TRIM(Paramètres!K24),3)="Fin",1-$H1374,IF(LEFT(TRIM(Paramètres!K24),1)="F",1,0)))),IF(Paramètres!L24="",0,IF(Paramètres!M24="",NA(),IF(LEFT(TRIM(Paramètres!M24),1)="F",INDEX($F$1355:$F$1407,MATCH(Paramètres!L24,Paramètres!$G$5:$G$57,0)),INDEX($E$1355:$E$1407,MATCH(Paramètres!L24,Paramètres!$G$5:$G$57,0)))+IF(RIGHT(TRIM(Paramètres!M24),3)="Fin",1-$H1374,IF(LEFT(TRIM(Paramètres!M24),1)="F",1,0)))),IF(Paramètres!N24="",0,IF(Paramètres!O24="",NA(),IF(LEFT(TRIM(Paramètres!O24),1)="F",INDEX($F$1355:$F$1407,MATCH(Paramètres!N24,Paramètres!$G$5:$G$57,0)),INDEX($E$1355:$E$1407,MATCH(Paramètres!N24,Paramètres!$G$5:$G$57,0)))+IF(RIGHT(TRIM(Paramètres!O24),3)="Fin",1-$H1374,IF(LEFT(TRIM(Paramètres!O24),1)="F",1,0)))))))</f>
        <v/>
      </c>
      <c r="F1374" s="19">
        <f>IF($A1374="","",E1374+$H1374-1)</f>
        <v/>
      </c>
      <c r="G1374" s="18" t="n"/>
      <c r="H1374" s="18">
        <f>IF($A1374="","",IF(I1374&lt;&gt;"",I1374,Paramètres!B24))</f>
        <v/>
      </c>
      <c r="I1374" s="18" t="n"/>
    </row>
    <row r="1375">
      <c r="A1375" s="18">
        <f>IF(ISNUMBER(Dossiers!$D$29),Dossiers!$A$29&amp;" · "&amp;Dossiers!$B$29,"")</f>
        <v/>
      </c>
      <c r="B1375" s="18">
        <f>IF($A1375="","",Paramètres!G25)</f>
        <v/>
      </c>
      <c r="C1375" s="18">
        <f>IF($A1375="","",IF(Paramètres!H25="","",Paramètres!H25))</f>
        <v/>
      </c>
      <c r="D1375" s="18">
        <f>IF($A1375="","",IF(Paramètres!I25="","",Paramètres!I25))</f>
        <v/>
      </c>
      <c r="E1375" s="19">
        <f>IF($A1375="","",IF(Paramètres!J25&amp;Paramètres!L25&amp;Paramètres!N25="",Dossiers!$D$29,MAX(IF(Paramètres!J25="",0,IF(Paramètres!K25="",NA(),IF(LEFT(TRIM(Paramètres!K25),1)="F",INDEX($F$1355:$F$1407,MATCH(Paramètres!J25,Paramètres!$G$5:$G$57,0)),INDEX($E$1355:$E$1407,MATCH(Paramètres!J25,Paramètres!$G$5:$G$57,0)))+IF(RIGHT(TRIM(Paramètres!K25),3)="Fin",1-$H1375,IF(LEFT(TRIM(Paramètres!K25),1)="F",1,0)))),IF(Paramètres!L25="",0,IF(Paramètres!M25="",NA(),IF(LEFT(TRIM(Paramètres!M25),1)="F",INDEX($F$1355:$F$1407,MATCH(Paramètres!L25,Paramètres!$G$5:$G$57,0)),INDEX($E$1355:$E$1407,MATCH(Paramètres!L25,Paramètres!$G$5:$G$57,0)))+IF(RIGHT(TRIM(Paramètres!M25),3)="Fin",1-$H1375,IF(LEFT(TRIM(Paramètres!M25),1)="F",1,0)))),IF(Paramètres!N25="",0,IF(Paramètres!O25="",NA(),IF(LEFT(TRIM(Paramètres!O25),1)="F",INDEX($F$1355:$F$1407,MATCH(Paramètres!N25,Paramètres!$G$5:$G$57,0)),INDEX($E$1355:$E$1407,MATCH(Paramètres!N25,Paramètres!$G$5:$G$57,0)))+IF(RIGHT(TRIM(Paramètres!O25),3)="Fin",1-$H1375,IF(LEFT(TRIM(Paramètres!O25),1)="F",1,0)))))))</f>
        <v/>
      </c>
      <c r="F1375" s="19">
        <f>IF($A1375="","",E1375+$H1375-1)</f>
        <v/>
      </c>
      <c r="G1375" s="18" t="n"/>
      <c r="H1375" s="18">
        <f>IF($A1375="","",IF(I1375&lt;&gt;"",I1375,Paramètres!B25))</f>
        <v/>
      </c>
      <c r="I1375" s="18" t="n"/>
    </row>
    <row r="1376">
      <c r="A1376" s="18">
        <f>IF(ISNUMBER(Dossiers!$D$29),Dossiers!$A$29&amp;" · "&amp;Dossiers!$B$29,"")</f>
        <v/>
      </c>
      <c r="B1376" s="18">
        <f>IF($A1376="","",Paramètres!G26)</f>
        <v/>
      </c>
      <c r="C1376" s="18">
        <f>IF($A1376="","",IF(Paramètres!H26="","",Paramètres!H26))</f>
        <v/>
      </c>
      <c r="D1376" s="18">
        <f>IF($A1376="","",IF(Paramètres!I26="","",Paramètres!I26))</f>
        <v/>
      </c>
      <c r="E1376" s="19">
        <f>IF($A1376="","",IF(Paramètres!J26&amp;Paramètres!L26&amp;Paramètres!N26="",Dossiers!$D$29,MAX(IF(Paramètres!J26="",0,IF(Paramètres!K26="",NA(),IF(LEFT(TRIM(Paramètres!K26),1)="F",INDEX($F$1355:$F$1407,MATCH(Paramètres!J26,Paramètres!$G$5:$G$57,0)),INDEX($E$1355:$E$1407,MATCH(Paramètres!J26,Paramètres!$G$5:$G$57,0)))+IF(RIGHT(TRIM(Paramètres!K26),3)="Fin",1-$H1376,IF(LEFT(TRIM(Paramètres!K26),1)="F",1,0)))),IF(Paramètres!L26="",0,IF(Paramètres!M26="",NA(),IF(LEFT(TRIM(Paramètres!M26),1)="F",INDEX($F$1355:$F$1407,MATCH(Paramètres!L26,Paramètres!$G$5:$G$57,0)),INDEX($E$1355:$E$1407,MATCH(Paramètres!L26,Paramètres!$G$5:$G$57,0)))+IF(RIGHT(TRIM(Paramètres!M26),3)="Fin",1-$H1376,IF(LEFT(TRIM(Paramètres!M26),1)="F",1,0)))),IF(Paramètres!N26="",0,IF(Paramètres!O26="",NA(),IF(LEFT(TRIM(Paramètres!O26),1)="F",INDEX($F$1355:$F$1407,MATCH(Paramètres!N26,Paramètres!$G$5:$G$57,0)),INDEX($E$1355:$E$1407,MATCH(Paramètres!N26,Paramètres!$G$5:$G$57,0)))+IF(RIGHT(TRIM(Paramètres!O26),3)="Fin",1-$H1376,IF(LEFT(TRIM(Paramètres!O26),1)="F",1,0)))))))</f>
        <v/>
      </c>
      <c r="F1376" s="19">
        <f>IF($A1376="","",E1376+$H1376-1)</f>
        <v/>
      </c>
      <c r="G1376" s="18" t="n"/>
      <c r="H1376" s="18">
        <f>IF($A1376="","",IF(I1376&lt;&gt;"",I1376,Paramètres!B26))</f>
        <v/>
      </c>
      <c r="I1376" s="18" t="n"/>
    </row>
    <row r="1377">
      <c r="A1377" s="18">
        <f>IF(ISNUMBER(Dossiers!$D$29),Dossiers!$A$29&amp;" · "&amp;Dossiers!$B$29,"")</f>
        <v/>
      </c>
      <c r="B1377" s="18">
        <f>IF($A1377="","",Paramètres!G27)</f>
        <v/>
      </c>
      <c r="C1377" s="18">
        <f>IF($A1377="","",IF(Paramètres!H27="","",Paramètres!H27))</f>
        <v/>
      </c>
      <c r="D1377" s="18">
        <f>IF($A1377="","",IF(Paramètres!I27="","",Paramètres!I27))</f>
        <v/>
      </c>
      <c r="E1377" s="19">
        <f>IF($A1377="","",IF(Paramètres!J27&amp;Paramètres!L27&amp;Paramètres!N27="",Dossiers!$D$29,MAX(IF(Paramètres!J27="",0,IF(Paramètres!K27="",NA(),IF(LEFT(TRIM(Paramètres!K27),1)="F",INDEX($F$1355:$F$1407,MATCH(Paramètres!J27,Paramètres!$G$5:$G$57,0)),INDEX($E$1355:$E$1407,MATCH(Paramètres!J27,Paramètres!$G$5:$G$57,0)))+IF(RIGHT(TRIM(Paramètres!K27),3)="Fin",1-$H1377,IF(LEFT(TRIM(Paramètres!K27),1)="F",1,0)))),IF(Paramètres!L27="",0,IF(Paramètres!M27="",NA(),IF(LEFT(TRIM(Paramètres!M27),1)="F",INDEX($F$1355:$F$1407,MATCH(Paramètres!L27,Paramètres!$G$5:$G$57,0)),INDEX($E$1355:$E$1407,MATCH(Paramètres!L27,Paramètres!$G$5:$G$57,0)))+IF(RIGHT(TRIM(Paramètres!M27),3)="Fin",1-$H1377,IF(LEFT(TRIM(Paramètres!M27),1)="F",1,0)))),IF(Paramètres!N27="",0,IF(Paramètres!O27="",NA(),IF(LEFT(TRIM(Paramètres!O27),1)="F",INDEX($F$1355:$F$1407,MATCH(Paramètres!N27,Paramètres!$G$5:$G$57,0)),INDEX($E$1355:$E$1407,MATCH(Paramètres!N27,Paramètres!$G$5:$G$57,0)))+IF(RIGHT(TRIM(Paramètres!O27),3)="Fin",1-$H1377,IF(LEFT(TRIM(Paramètres!O27),1)="F",1,0)))))))</f>
        <v/>
      </c>
      <c r="F1377" s="19">
        <f>IF($A1377="","",E1377+$H1377-1)</f>
        <v/>
      </c>
      <c r="G1377" s="18" t="n"/>
      <c r="H1377" s="18">
        <f>IF($A1377="","",IF(I1377&lt;&gt;"",I1377,Paramètres!B27))</f>
        <v/>
      </c>
      <c r="I1377" s="18" t="n"/>
    </row>
    <row r="1378">
      <c r="A1378" s="18">
        <f>IF(ISNUMBER(Dossiers!$D$29),Dossiers!$A$29&amp;" · "&amp;Dossiers!$B$29,"")</f>
        <v/>
      </c>
      <c r="B1378" s="18">
        <f>IF($A1378="","",Paramètres!G28)</f>
        <v/>
      </c>
      <c r="C1378" s="18">
        <f>IF($A1378="","",IF(Paramètres!H28="","",Paramètres!H28))</f>
        <v/>
      </c>
      <c r="D1378" s="18">
        <f>IF($A1378="","",IF(Paramètres!I28="","",Paramètres!I28))</f>
        <v/>
      </c>
      <c r="E1378" s="19">
        <f>IF($A1378="","",IF(Paramètres!J28&amp;Paramètres!L28&amp;Paramètres!N28="",Dossiers!$D$29,MAX(IF(Paramètres!J28="",0,IF(Paramètres!K28="",NA(),IF(LEFT(TRIM(Paramètres!K28),1)="F",INDEX($F$1355:$F$1407,MATCH(Paramètres!J28,Paramètres!$G$5:$G$57,0)),INDEX($E$1355:$E$1407,MATCH(Paramètres!J28,Paramètres!$G$5:$G$57,0)))+IF(RIGHT(TRIM(Paramètres!K28),3)="Fin",1-$H1378,IF(LEFT(TRIM(Paramètres!K28),1)="F",1,0)))),IF(Paramètres!L28="",0,IF(Paramètres!M28="",NA(),IF(LEFT(TRIM(Paramètres!M28),1)="F",INDEX($F$1355:$F$1407,MATCH(Paramètres!L28,Paramètres!$G$5:$G$57,0)),INDEX($E$1355:$E$1407,MATCH(Paramètres!L28,Paramètres!$G$5:$G$57,0)))+IF(RIGHT(TRIM(Paramètres!M28),3)="Fin",1-$H1378,IF(LEFT(TRIM(Paramètres!M28),1)="F",1,0)))),IF(Paramètres!N28="",0,IF(Paramètres!O28="",NA(),IF(LEFT(TRIM(Paramètres!O28),1)="F",INDEX($F$1355:$F$1407,MATCH(Paramètres!N28,Paramètres!$G$5:$G$57,0)),INDEX($E$1355:$E$1407,MATCH(Paramètres!N28,Paramètres!$G$5:$G$57,0)))+IF(RIGHT(TRIM(Paramètres!O28),3)="Fin",1-$H1378,IF(LEFT(TRIM(Paramètres!O28),1)="F",1,0)))))))</f>
        <v/>
      </c>
      <c r="F1378" s="19">
        <f>IF($A1378="","",E1378+$H1378-1)</f>
        <v/>
      </c>
      <c r="G1378" s="18" t="n"/>
      <c r="H1378" s="18">
        <f>IF($A1378="","",IF(I1378&lt;&gt;"",I1378,Paramètres!B28))</f>
        <v/>
      </c>
      <c r="I1378" s="18" t="n"/>
    </row>
    <row r="1379">
      <c r="A1379" s="18">
        <f>IF(ISNUMBER(Dossiers!$D$29),Dossiers!$A$29&amp;" · "&amp;Dossiers!$B$29,"")</f>
        <v/>
      </c>
      <c r="B1379" s="18">
        <f>IF($A1379="","",Paramètres!G29)</f>
        <v/>
      </c>
      <c r="C1379" s="18">
        <f>IF($A1379="","",IF(Paramètres!H29="","",Paramètres!H29))</f>
        <v/>
      </c>
      <c r="D1379" s="18">
        <f>IF($A1379="","",IF(Paramètres!I29="","",Paramètres!I29))</f>
        <v/>
      </c>
      <c r="E1379" s="19">
        <f>IF($A1379="","",IF(Paramètres!J29&amp;Paramètres!L29&amp;Paramètres!N29="",Dossiers!$D$29,MAX(IF(Paramètres!J29="",0,IF(Paramètres!K29="",NA(),IF(LEFT(TRIM(Paramètres!K29),1)="F",INDEX($F$1355:$F$1407,MATCH(Paramètres!J29,Paramètres!$G$5:$G$57,0)),INDEX($E$1355:$E$1407,MATCH(Paramètres!J29,Paramètres!$G$5:$G$57,0)))+IF(RIGHT(TRIM(Paramètres!K29),3)="Fin",1-$H1379,IF(LEFT(TRIM(Paramètres!K29),1)="F",1,0)))),IF(Paramètres!L29="",0,IF(Paramètres!M29="",NA(),IF(LEFT(TRIM(Paramètres!M29),1)="F",INDEX($F$1355:$F$1407,MATCH(Paramètres!L29,Paramètres!$G$5:$G$57,0)),INDEX($E$1355:$E$1407,MATCH(Paramètres!L29,Paramètres!$G$5:$G$57,0)))+IF(RIGHT(TRIM(Paramètres!M29),3)="Fin",1-$H1379,IF(LEFT(TRIM(Paramètres!M29),1)="F",1,0)))),IF(Paramètres!N29="",0,IF(Paramètres!O29="",NA(),IF(LEFT(TRIM(Paramètres!O29),1)="F",INDEX($F$1355:$F$1407,MATCH(Paramètres!N29,Paramètres!$G$5:$G$57,0)),INDEX($E$1355:$E$1407,MATCH(Paramètres!N29,Paramètres!$G$5:$G$57,0)))+IF(RIGHT(TRIM(Paramètres!O29),3)="Fin",1-$H1379,IF(LEFT(TRIM(Paramètres!O29),1)="F",1,0)))))))</f>
        <v/>
      </c>
      <c r="F1379" s="19">
        <f>IF($A1379="","",E1379+$H1379-1)</f>
        <v/>
      </c>
      <c r="G1379" s="18" t="n"/>
      <c r="H1379" s="18">
        <f>IF($A1379="","",IF(I1379&lt;&gt;"",I1379,Paramètres!B29))</f>
        <v/>
      </c>
      <c r="I1379" s="18" t="n"/>
    </row>
    <row r="1380">
      <c r="A1380" s="18">
        <f>IF(ISNUMBER(Dossiers!$D$29),Dossiers!$A$29&amp;" · "&amp;Dossiers!$B$29,"")</f>
        <v/>
      </c>
      <c r="B1380" s="18">
        <f>IF($A1380="","",Paramètres!G30)</f>
        <v/>
      </c>
      <c r="C1380" s="18">
        <f>IF($A1380="","",IF(Paramètres!H30="","",Paramètres!H30))</f>
        <v/>
      </c>
      <c r="D1380" s="18">
        <f>IF($A1380="","",IF(Paramètres!I30="","",Paramètres!I30))</f>
        <v/>
      </c>
      <c r="E1380" s="19">
        <f>IF($A1380="","",IF(Paramètres!J30&amp;Paramètres!L30&amp;Paramètres!N30="",Dossiers!$D$29,MAX(IF(Paramètres!J30="",0,IF(Paramètres!K30="",NA(),IF(LEFT(TRIM(Paramètres!K30),1)="F",INDEX($F$1355:$F$1407,MATCH(Paramètres!J30,Paramètres!$G$5:$G$57,0)),INDEX($E$1355:$E$1407,MATCH(Paramètres!J30,Paramètres!$G$5:$G$57,0)))+IF(RIGHT(TRIM(Paramètres!K30),3)="Fin",1-$H1380,IF(LEFT(TRIM(Paramètres!K30),1)="F",1,0)))),IF(Paramètres!L30="",0,IF(Paramètres!M30="",NA(),IF(LEFT(TRIM(Paramètres!M30),1)="F",INDEX($F$1355:$F$1407,MATCH(Paramètres!L30,Paramètres!$G$5:$G$57,0)),INDEX($E$1355:$E$1407,MATCH(Paramètres!L30,Paramètres!$G$5:$G$57,0)))+IF(RIGHT(TRIM(Paramètres!M30),3)="Fin",1-$H1380,IF(LEFT(TRIM(Paramètres!M30),1)="F",1,0)))),IF(Paramètres!N30="",0,IF(Paramètres!O30="",NA(),IF(LEFT(TRIM(Paramètres!O30),1)="F",INDEX($F$1355:$F$1407,MATCH(Paramètres!N30,Paramètres!$G$5:$G$57,0)),INDEX($E$1355:$E$1407,MATCH(Paramètres!N30,Paramètres!$G$5:$G$57,0)))+IF(RIGHT(TRIM(Paramètres!O30),3)="Fin",1-$H1380,IF(LEFT(TRIM(Paramètres!O30),1)="F",1,0)))))))</f>
        <v/>
      </c>
      <c r="F1380" s="19">
        <f>IF($A1380="","",E1380+$H1380-1)</f>
        <v/>
      </c>
      <c r="G1380" s="18" t="n"/>
      <c r="H1380" s="18">
        <f>IF($A1380="","",IF(I1380&lt;&gt;"",I1380,Paramètres!B30))</f>
        <v/>
      </c>
      <c r="I1380" s="18" t="n"/>
    </row>
    <row r="1381">
      <c r="A1381" s="18">
        <f>IF(ISNUMBER(Dossiers!$D$29),Dossiers!$A$29&amp;" · "&amp;Dossiers!$B$29,"")</f>
        <v/>
      </c>
      <c r="B1381" s="18">
        <f>IF($A1381="","",Paramètres!G31)</f>
        <v/>
      </c>
      <c r="C1381" s="20">
        <f>IF($A1381="","",IF(Dossiers!$F$29="","",Dossiers!$F$29))</f>
        <v/>
      </c>
      <c r="D1381" s="18">
        <f>IF($A1381="","",IF(Paramètres!I31="","",Paramètres!I31))</f>
        <v/>
      </c>
      <c r="E1381" s="19">
        <f>IF($A1381="","",IF(Paramètres!J31&amp;Paramètres!L31&amp;Paramètres!N31="",Dossiers!$D$29,MAX(IF(Paramètres!J31="",0,IF(Paramètres!K31="",NA(),IF(LEFT(TRIM(Paramètres!K31),1)="F",INDEX($F$1355:$F$1407,MATCH(Paramètres!J31,Paramètres!$G$5:$G$57,0)),INDEX($E$1355:$E$1407,MATCH(Paramètres!J31,Paramètres!$G$5:$G$57,0)))+IF(RIGHT(TRIM(Paramètres!K31),3)="Fin",1-$H1381,IF(LEFT(TRIM(Paramètres!K31),1)="F",1,0)))),IF(Paramètres!L31="",0,IF(Paramètres!M31="",NA(),IF(LEFT(TRIM(Paramètres!M31),1)="F",INDEX($F$1355:$F$1407,MATCH(Paramètres!L31,Paramètres!$G$5:$G$57,0)),INDEX($E$1355:$E$1407,MATCH(Paramètres!L31,Paramètres!$G$5:$G$57,0)))+IF(RIGHT(TRIM(Paramètres!M31),3)="Fin",1-$H1381,IF(LEFT(TRIM(Paramètres!M31),1)="F",1,0)))),IF(Paramètres!N31="",0,IF(Paramètres!O31="",NA(),IF(LEFT(TRIM(Paramètres!O31),1)="F",INDEX($F$1355:$F$1407,MATCH(Paramètres!N31,Paramètres!$G$5:$G$57,0)),INDEX($E$1355:$E$1407,MATCH(Paramètres!N31,Paramètres!$G$5:$G$57,0)))+IF(RIGHT(TRIM(Paramètres!O31),3)="Fin",1-$H1381,IF(LEFT(TRIM(Paramètres!O31),1)="F",1,0)))))))</f>
        <v/>
      </c>
      <c r="F1381" s="19">
        <f>IF($A1381="","",E1381+$H1381-1)</f>
        <v/>
      </c>
      <c r="G1381" s="18" t="n"/>
      <c r="H1381" s="18">
        <f>IF($A1381="","",IF(I1381&lt;&gt;"",I1381,Paramètres!B31))</f>
        <v/>
      </c>
      <c r="I1381" s="18" t="n"/>
    </row>
    <row r="1382">
      <c r="A1382" s="18">
        <f>IF(ISNUMBER(Dossiers!$D$29),Dossiers!$A$29&amp;" · "&amp;Dossiers!$B$29,"")</f>
        <v/>
      </c>
      <c r="B1382" s="18">
        <f>IF($A1382="","",Paramètres!G32)</f>
        <v/>
      </c>
      <c r="C1382" s="18">
        <f>IF($A1382="","",IF(Paramètres!H32="","",Paramètres!H32))</f>
        <v/>
      </c>
      <c r="D1382" s="18">
        <f>IF($A1382="","",IF(Paramètres!I32="","",Paramètres!I32))</f>
        <v/>
      </c>
      <c r="E1382" s="19">
        <f>IF($A1382="","",MIN(E1383:E1386))</f>
        <v/>
      </c>
      <c r="F1382" s="19">
        <f>IF($A1382="","",MAX(F1383:F1386))</f>
        <v/>
      </c>
      <c r="G1382" s="18" t="n"/>
      <c r="H1382" s="18">
        <f>IF($A1382="","",F1382-E1382+1)</f>
        <v/>
      </c>
      <c r="I1382" s="18" t="n"/>
    </row>
    <row r="1383">
      <c r="A1383" s="18">
        <f>IF(ISNUMBER(Dossiers!$D$29),Dossiers!$A$29&amp;" · "&amp;Dossiers!$B$29,"")</f>
        <v/>
      </c>
      <c r="B1383" s="18">
        <f>IF($A1383="","",Paramètres!G33)</f>
        <v/>
      </c>
      <c r="C1383" s="18">
        <f>IF($A1383="","",IF(Paramètres!H33="","",Paramètres!H33))</f>
        <v/>
      </c>
      <c r="D1383" s="18">
        <f>IF($A1383="","",IF(Paramètres!I33="","",Paramètres!I33))</f>
        <v/>
      </c>
      <c r="E1383" s="19">
        <f>IF($A1383="","",IF(Paramètres!J33&amp;Paramètres!L33&amp;Paramètres!N33="",Dossiers!$D$29,MAX(IF(Paramètres!J33="",0,IF(Paramètres!K33="",NA(),IF(LEFT(TRIM(Paramètres!K33),1)="F",INDEX($F$1355:$F$1407,MATCH(Paramètres!J33,Paramètres!$G$5:$G$57,0)),INDEX($E$1355:$E$1407,MATCH(Paramètres!J33,Paramètres!$G$5:$G$57,0)))+IF(RIGHT(TRIM(Paramètres!K33),3)="Fin",1-$H1383,IF(LEFT(TRIM(Paramètres!K33),1)="F",1,0)))),IF(Paramètres!L33="",0,IF(Paramètres!M33="",NA(),IF(LEFT(TRIM(Paramètres!M33),1)="F",INDEX($F$1355:$F$1407,MATCH(Paramètres!L33,Paramètres!$G$5:$G$57,0)),INDEX($E$1355:$E$1407,MATCH(Paramètres!L33,Paramètres!$G$5:$G$57,0)))+IF(RIGHT(TRIM(Paramètres!M33),3)="Fin",1-$H1383,IF(LEFT(TRIM(Paramètres!M33),1)="F",1,0)))),IF(Paramètres!N33="",0,IF(Paramètres!O33="",NA(),IF(LEFT(TRIM(Paramètres!O33),1)="F",INDEX($F$1355:$F$1407,MATCH(Paramètres!N33,Paramètres!$G$5:$G$57,0)),INDEX($E$1355:$E$1407,MATCH(Paramètres!N33,Paramètres!$G$5:$G$57,0)))+IF(RIGHT(TRIM(Paramètres!O33),3)="Fin",1-$H1383,IF(LEFT(TRIM(Paramètres!O33),1)="F",1,0)))))))</f>
        <v/>
      </c>
      <c r="F1383" s="19">
        <f>IF($A1383="","",E1383+$H1383-1)</f>
        <v/>
      </c>
      <c r="G1383" s="18" t="n"/>
      <c r="H1383" s="18">
        <f>IF($A1383="","",IF(I1383&lt;&gt;"",I1383,Paramètres!B33))</f>
        <v/>
      </c>
      <c r="I1383" s="18" t="n"/>
    </row>
    <row r="1384">
      <c r="A1384" s="18">
        <f>IF(ISNUMBER(Dossiers!$D$29),Dossiers!$A$29&amp;" · "&amp;Dossiers!$B$29,"")</f>
        <v/>
      </c>
      <c r="B1384" s="18">
        <f>IF($A1384="","",Paramètres!G34)</f>
        <v/>
      </c>
      <c r="C1384" s="18">
        <f>IF($A1384="","",IF(Paramètres!H34="","",Paramètres!H34))</f>
        <v/>
      </c>
      <c r="D1384" s="18">
        <f>IF($A1384="","",IF(Paramètres!I34="","",Paramètres!I34))</f>
        <v/>
      </c>
      <c r="E1384" s="19">
        <f>IF($A1384="","",IF(Paramètres!J34&amp;Paramètres!L34&amp;Paramètres!N34="",Dossiers!$D$29,MAX(IF(Paramètres!J34="",0,IF(Paramètres!K34="",NA(),IF(LEFT(TRIM(Paramètres!K34),1)="F",INDEX($F$1355:$F$1407,MATCH(Paramètres!J34,Paramètres!$G$5:$G$57,0)),INDEX($E$1355:$E$1407,MATCH(Paramètres!J34,Paramètres!$G$5:$G$57,0)))+IF(RIGHT(TRIM(Paramètres!K34),3)="Fin",1-$H1384,IF(LEFT(TRIM(Paramètres!K34),1)="F",1,0)))),IF(Paramètres!L34="",0,IF(Paramètres!M34="",NA(),IF(LEFT(TRIM(Paramètres!M34),1)="F",INDEX($F$1355:$F$1407,MATCH(Paramètres!L34,Paramètres!$G$5:$G$57,0)),INDEX($E$1355:$E$1407,MATCH(Paramètres!L34,Paramètres!$G$5:$G$57,0)))+IF(RIGHT(TRIM(Paramètres!M34),3)="Fin",1-$H1384,IF(LEFT(TRIM(Paramètres!M34),1)="F",1,0)))),IF(Paramètres!N34="",0,IF(Paramètres!O34="",NA(),IF(LEFT(TRIM(Paramètres!O34),1)="F",INDEX($F$1355:$F$1407,MATCH(Paramètres!N34,Paramètres!$G$5:$G$57,0)),INDEX($E$1355:$E$1407,MATCH(Paramètres!N34,Paramètres!$G$5:$G$57,0)))+IF(RIGHT(TRIM(Paramètres!O34),3)="Fin",1-$H1384,IF(LEFT(TRIM(Paramètres!O34),1)="F",1,0)))))))</f>
        <v/>
      </c>
      <c r="F1384" s="19">
        <f>IF($A1384="","",E1384+$H1384-1)</f>
        <v/>
      </c>
      <c r="G1384" s="18" t="n"/>
      <c r="H1384" s="18">
        <f>IF($A1384="","",IF(I1384&lt;&gt;"",I1384,Paramètres!B34))</f>
        <v/>
      </c>
      <c r="I1384" s="18" t="n"/>
    </row>
    <row r="1385">
      <c r="A1385" s="18">
        <f>IF(ISNUMBER(Dossiers!$D$29),Dossiers!$A$29&amp;" · "&amp;Dossiers!$B$29,"")</f>
        <v/>
      </c>
      <c r="B1385" s="18">
        <f>IF($A1385="","",Paramètres!G35)</f>
        <v/>
      </c>
      <c r="C1385" s="18">
        <f>IF($A1385="","",IF(Paramètres!H35="","",Paramètres!H35))</f>
        <v/>
      </c>
      <c r="D1385" s="18">
        <f>IF($A1385="","",IF(Paramètres!I35="","",Paramètres!I35))</f>
        <v/>
      </c>
      <c r="E1385" s="19">
        <f>IF($A1385="","",IF(Paramètres!J35&amp;Paramètres!L35&amp;Paramètres!N35="",Dossiers!$D$29,MAX(IF(Paramètres!J35="",0,IF(Paramètres!K35="",NA(),IF(LEFT(TRIM(Paramètres!K35),1)="F",INDEX($F$1355:$F$1407,MATCH(Paramètres!J35,Paramètres!$G$5:$G$57,0)),INDEX($E$1355:$E$1407,MATCH(Paramètres!J35,Paramètres!$G$5:$G$57,0)))+IF(RIGHT(TRIM(Paramètres!K35),3)="Fin",1-$H1385,IF(LEFT(TRIM(Paramètres!K35),1)="F",1,0)))),IF(Paramètres!L35="",0,IF(Paramètres!M35="",NA(),IF(LEFT(TRIM(Paramètres!M35),1)="F",INDEX($F$1355:$F$1407,MATCH(Paramètres!L35,Paramètres!$G$5:$G$57,0)),INDEX($E$1355:$E$1407,MATCH(Paramètres!L35,Paramètres!$G$5:$G$57,0)))+IF(RIGHT(TRIM(Paramètres!M35),3)="Fin",1-$H1385,IF(LEFT(TRIM(Paramètres!M35),1)="F",1,0)))),IF(Paramètres!N35="",0,IF(Paramètres!O35="",NA(),IF(LEFT(TRIM(Paramètres!O35),1)="F",INDEX($F$1355:$F$1407,MATCH(Paramètres!N35,Paramètres!$G$5:$G$57,0)),INDEX($E$1355:$E$1407,MATCH(Paramètres!N35,Paramètres!$G$5:$G$57,0)))+IF(RIGHT(TRIM(Paramètres!O35),3)="Fin",1-$H1385,IF(LEFT(TRIM(Paramètres!O35),1)="F",1,0)))))))</f>
        <v/>
      </c>
      <c r="F1385" s="19">
        <f>IF($A1385="","",E1385+$H1385-1)</f>
        <v/>
      </c>
      <c r="G1385" s="18" t="n"/>
      <c r="H1385" s="18">
        <f>IF($A1385="","",IF(I1385&lt;&gt;"",I1385,Paramètres!B35))</f>
        <v/>
      </c>
      <c r="I1385" s="18" t="n"/>
    </row>
    <row r="1386">
      <c r="A1386" s="18">
        <f>IF(ISNUMBER(Dossiers!$D$29),Dossiers!$A$29&amp;" · "&amp;Dossiers!$B$29,"")</f>
        <v/>
      </c>
      <c r="B1386" s="18">
        <f>IF($A1386="","",Paramètres!G36)</f>
        <v/>
      </c>
      <c r="C1386" s="18">
        <f>IF($A1386="","",IF(Paramètres!H36="","",Paramètres!H36))</f>
        <v/>
      </c>
      <c r="D1386" s="18">
        <f>IF($A1386="","",IF(Paramètres!I36="","",Paramètres!I36))</f>
        <v/>
      </c>
      <c r="E1386" s="19">
        <f>IF($A1386="","",IF(Paramètres!J36&amp;Paramètres!L36&amp;Paramètres!N36="",Dossiers!$D$29,MAX(IF(Paramètres!J36="",0,IF(Paramètres!K36="",NA(),IF(LEFT(TRIM(Paramètres!K36),1)="F",INDEX($F$1355:$F$1407,MATCH(Paramètres!J36,Paramètres!$G$5:$G$57,0)),INDEX($E$1355:$E$1407,MATCH(Paramètres!J36,Paramètres!$G$5:$G$57,0)))+IF(RIGHT(TRIM(Paramètres!K36),3)="Fin",1-$H1386,IF(LEFT(TRIM(Paramètres!K36),1)="F",1,0)))),IF(Paramètres!L36="",0,IF(Paramètres!M36="",NA(),IF(LEFT(TRIM(Paramètres!M36),1)="F",INDEX($F$1355:$F$1407,MATCH(Paramètres!L36,Paramètres!$G$5:$G$57,0)),INDEX($E$1355:$E$1407,MATCH(Paramètres!L36,Paramètres!$G$5:$G$57,0)))+IF(RIGHT(TRIM(Paramètres!M36),3)="Fin",1-$H1386,IF(LEFT(TRIM(Paramètres!M36),1)="F",1,0)))),IF(Paramètres!N36="",0,IF(Paramètres!O36="",NA(),IF(LEFT(TRIM(Paramètres!O36),1)="F",INDEX($F$1355:$F$1407,MATCH(Paramètres!N36,Paramètres!$G$5:$G$57,0)),INDEX($E$1355:$E$1407,MATCH(Paramètres!N36,Paramètres!$G$5:$G$57,0)))+IF(RIGHT(TRIM(Paramètres!O36),3)="Fin",1-$H1386,IF(LEFT(TRIM(Paramètres!O36),1)="F",1,0)))))))</f>
        <v/>
      </c>
      <c r="F1386" s="19">
        <f>IF($A1386="","",E1386+$H1386-1)</f>
        <v/>
      </c>
      <c r="G1386" s="18" t="n"/>
      <c r="H1386" s="18">
        <f>IF($A1386="","",IF(I1386&lt;&gt;"",I1386,Paramètres!B36))</f>
        <v/>
      </c>
      <c r="I1386" s="18" t="n"/>
    </row>
    <row r="1387">
      <c r="A1387" s="18">
        <f>IF(ISNUMBER(Dossiers!$D$29),Dossiers!$A$29&amp;" · "&amp;Dossiers!$B$29,"")</f>
        <v/>
      </c>
      <c r="B1387" s="18">
        <f>IF($A1387="","",Paramètres!G37)</f>
        <v/>
      </c>
      <c r="C1387" s="18">
        <f>IF($A1387="","",IF(Paramètres!H37="","",Paramètres!H37))</f>
        <v/>
      </c>
      <c r="D1387" s="18">
        <f>IF($A1387="","",IF(Paramètres!I37="","",Paramètres!I37))</f>
        <v/>
      </c>
      <c r="E1387" s="19">
        <f>IF($A1387="","",MIN(E1388:E1405))</f>
        <v/>
      </c>
      <c r="F1387" s="19">
        <f>IF($A1387="","",MAX(F1388:F1405))</f>
        <v/>
      </c>
      <c r="G1387" s="18" t="n"/>
      <c r="H1387" s="18">
        <f>IF($A1387="","",F1387-E1387+1)</f>
        <v/>
      </c>
      <c r="I1387" s="18" t="n"/>
    </row>
    <row r="1388">
      <c r="A1388" s="18">
        <f>IF(ISNUMBER(Dossiers!$D$29),Dossiers!$A$29&amp;" · "&amp;Dossiers!$B$29,"")</f>
        <v/>
      </c>
      <c r="B1388" s="18">
        <f>IF($A1388="","",Paramètres!G38)</f>
        <v/>
      </c>
      <c r="C1388" s="18">
        <f>IF($A1388="","",IF(Paramètres!H38="","",Paramètres!H38))</f>
        <v/>
      </c>
      <c r="D1388" s="18">
        <f>IF($A1388="","",IF(Paramètres!I38="","",Paramètres!I38))</f>
        <v/>
      </c>
      <c r="E1388" s="19">
        <f>IF($A1388="","",IF(Paramètres!J38&amp;Paramètres!L38&amp;Paramètres!N38="",Dossiers!$D$29,MAX(IF(Paramètres!J38="",0,IF(Paramètres!K38="",NA(),IF(LEFT(TRIM(Paramètres!K38),1)="F",INDEX($F$1355:$F$1407,MATCH(Paramètres!J38,Paramètres!$G$5:$G$57,0)),INDEX($E$1355:$E$1407,MATCH(Paramètres!J38,Paramètres!$G$5:$G$57,0)))+IF(RIGHT(TRIM(Paramètres!K38),3)="Fin",1-$H1388,IF(LEFT(TRIM(Paramètres!K38),1)="F",1,0)))),IF(Paramètres!L38="",0,IF(Paramètres!M38="",NA(),IF(LEFT(TRIM(Paramètres!M38),1)="F",INDEX($F$1355:$F$1407,MATCH(Paramètres!L38,Paramètres!$G$5:$G$57,0)),INDEX($E$1355:$E$1407,MATCH(Paramètres!L38,Paramètres!$G$5:$G$57,0)))+IF(RIGHT(TRIM(Paramètres!M38),3)="Fin",1-$H1388,IF(LEFT(TRIM(Paramètres!M38),1)="F",1,0)))),IF(Paramètres!N38="",0,IF(Paramètres!O38="",NA(),IF(LEFT(TRIM(Paramètres!O38),1)="F",INDEX($F$1355:$F$1407,MATCH(Paramètres!N38,Paramètres!$G$5:$G$57,0)),INDEX($E$1355:$E$1407,MATCH(Paramètres!N38,Paramètres!$G$5:$G$57,0)))+IF(RIGHT(TRIM(Paramètres!O38),3)="Fin",1-$H1388,IF(LEFT(TRIM(Paramètres!O38),1)="F",1,0)))))))</f>
        <v/>
      </c>
      <c r="F1388" s="19">
        <f>IF($A1388="","",E1388+$H1388-1)</f>
        <v/>
      </c>
      <c r="G1388" s="18" t="n"/>
      <c r="H1388" s="18">
        <f>IF($A1388="","",IF(I1388&lt;&gt;"",I1388,Paramètres!B38))</f>
        <v/>
      </c>
      <c r="I1388" s="18" t="n"/>
    </row>
    <row r="1389">
      <c r="A1389" s="18">
        <f>IF(ISNUMBER(Dossiers!$D$29),Dossiers!$A$29&amp;" · "&amp;Dossiers!$B$29,"")</f>
        <v/>
      </c>
      <c r="B1389" s="18">
        <f>IF($A1389="","",Paramètres!G39)</f>
        <v/>
      </c>
      <c r="C1389" s="18">
        <f>IF($A1389="","",IF(Paramètres!H39="","",Paramètres!H39))</f>
        <v/>
      </c>
      <c r="D1389" s="18">
        <f>IF($A1389="","",IF(Paramètres!I39="","",Paramètres!I39))</f>
        <v/>
      </c>
      <c r="E1389" s="19">
        <f>IF($A1389="","",IF(Paramètres!J39&amp;Paramètres!L39&amp;Paramètres!N39="",Dossiers!$D$29,MAX(IF(Paramètres!J39="",0,IF(Paramètres!K39="",NA(),IF(LEFT(TRIM(Paramètres!K39),1)="F",INDEX($F$1355:$F$1407,MATCH(Paramètres!J39,Paramètres!$G$5:$G$57,0)),INDEX($E$1355:$E$1407,MATCH(Paramètres!J39,Paramètres!$G$5:$G$57,0)))+IF(RIGHT(TRIM(Paramètres!K39),3)="Fin",1-$H1389,IF(LEFT(TRIM(Paramètres!K39),1)="F",1,0)))),IF(Paramètres!L39="",0,IF(Paramètres!M39="",NA(),IF(LEFT(TRIM(Paramètres!M39),1)="F",INDEX($F$1355:$F$1407,MATCH(Paramètres!L39,Paramètres!$G$5:$G$57,0)),INDEX($E$1355:$E$1407,MATCH(Paramètres!L39,Paramètres!$G$5:$G$57,0)))+IF(RIGHT(TRIM(Paramètres!M39),3)="Fin",1-$H1389,IF(LEFT(TRIM(Paramètres!M39),1)="F",1,0)))),IF(Paramètres!N39="",0,IF(Paramètres!O39="",NA(),IF(LEFT(TRIM(Paramètres!O39),1)="F",INDEX($F$1355:$F$1407,MATCH(Paramètres!N39,Paramètres!$G$5:$G$57,0)),INDEX($E$1355:$E$1407,MATCH(Paramètres!N39,Paramètres!$G$5:$G$57,0)))+IF(RIGHT(TRIM(Paramètres!O39),3)="Fin",1-$H1389,IF(LEFT(TRIM(Paramètres!O39),1)="F",1,0)))))))</f>
        <v/>
      </c>
      <c r="F1389" s="19">
        <f>IF($A1389="","",E1389+$H1389-1)</f>
        <v/>
      </c>
      <c r="G1389" s="18" t="n"/>
      <c r="H1389" s="18">
        <f>IF($A1389="","",IF(I1389&lt;&gt;"",I1389,Paramètres!B39))</f>
        <v/>
      </c>
      <c r="I1389" s="18" t="n"/>
    </row>
    <row r="1390">
      <c r="A1390" s="18">
        <f>IF(ISNUMBER(Dossiers!$D$29),Dossiers!$A$29&amp;" · "&amp;Dossiers!$B$29,"")</f>
        <v/>
      </c>
      <c r="B1390" s="18">
        <f>IF($A1390="","",Paramètres!G40)</f>
        <v/>
      </c>
      <c r="C1390" s="18">
        <f>IF($A1390="","",IF(Paramètres!H40="","",Paramètres!H40))</f>
        <v/>
      </c>
      <c r="D1390" s="18">
        <f>IF($A1390="","",IF(Paramètres!I40="","",Paramètres!I40))</f>
        <v/>
      </c>
      <c r="E1390" s="19">
        <f>IF($A1390="","",IF(Paramètres!J40&amp;Paramètres!L40&amp;Paramètres!N40="",Dossiers!$D$29,MAX(IF(Paramètres!J40="",0,IF(Paramètres!K40="",NA(),IF(LEFT(TRIM(Paramètres!K40),1)="F",INDEX($F$1355:$F$1407,MATCH(Paramètres!J40,Paramètres!$G$5:$G$57,0)),INDEX($E$1355:$E$1407,MATCH(Paramètres!J40,Paramètres!$G$5:$G$57,0)))+IF(RIGHT(TRIM(Paramètres!K40),3)="Fin",1-$H1390,IF(LEFT(TRIM(Paramètres!K40),1)="F",1,0)))),IF(Paramètres!L40="",0,IF(Paramètres!M40="",NA(),IF(LEFT(TRIM(Paramètres!M40),1)="F",INDEX($F$1355:$F$1407,MATCH(Paramètres!L40,Paramètres!$G$5:$G$57,0)),INDEX($E$1355:$E$1407,MATCH(Paramètres!L40,Paramètres!$G$5:$G$57,0)))+IF(RIGHT(TRIM(Paramètres!M40),3)="Fin",1-$H1390,IF(LEFT(TRIM(Paramètres!M40),1)="F",1,0)))),IF(Paramètres!N40="",0,IF(Paramètres!O40="",NA(),IF(LEFT(TRIM(Paramètres!O40),1)="F",INDEX($F$1355:$F$1407,MATCH(Paramètres!N40,Paramètres!$G$5:$G$57,0)),INDEX($E$1355:$E$1407,MATCH(Paramètres!N40,Paramètres!$G$5:$G$57,0)))+IF(RIGHT(TRIM(Paramètres!O40),3)="Fin",1-$H1390,IF(LEFT(TRIM(Paramètres!O40),1)="F",1,0)))))))</f>
        <v/>
      </c>
      <c r="F1390" s="19">
        <f>IF($A1390="","",E1390+$H1390-1)</f>
        <v/>
      </c>
      <c r="G1390" s="18" t="n"/>
      <c r="H1390" s="18">
        <f>IF($A1390="","",IF(I1390&lt;&gt;"",I1390,Paramètres!B40))</f>
        <v/>
      </c>
      <c r="I1390" s="18" t="n"/>
    </row>
    <row r="1391">
      <c r="A1391" s="18">
        <f>IF(ISNUMBER(Dossiers!$D$29),Dossiers!$A$29&amp;" · "&amp;Dossiers!$B$29,"")</f>
        <v/>
      </c>
      <c r="B1391" s="18">
        <f>IF($A1391="","",Paramètres!G41)</f>
        <v/>
      </c>
      <c r="C1391" s="18">
        <f>IF($A1391="","",IF(Paramètres!H41="","",Paramètres!H41))</f>
        <v/>
      </c>
      <c r="D1391" s="18">
        <f>IF($A1391="","",IF(Paramètres!I41="","",Paramètres!I41))</f>
        <v/>
      </c>
      <c r="E1391" s="19">
        <f>IF($A1391="","",IF(Paramètres!J41&amp;Paramètres!L41&amp;Paramètres!N41="",Dossiers!$D$29,MAX(IF(Paramètres!J41="",0,IF(Paramètres!K41="",NA(),IF(LEFT(TRIM(Paramètres!K41),1)="F",INDEX($F$1355:$F$1407,MATCH(Paramètres!J41,Paramètres!$G$5:$G$57,0)),INDEX($E$1355:$E$1407,MATCH(Paramètres!J41,Paramètres!$G$5:$G$57,0)))+IF(RIGHT(TRIM(Paramètres!K41),3)="Fin",1-$H1391,IF(LEFT(TRIM(Paramètres!K41),1)="F",1,0)))),IF(Paramètres!L41="",0,IF(Paramètres!M41="",NA(),IF(LEFT(TRIM(Paramètres!M41),1)="F",INDEX($F$1355:$F$1407,MATCH(Paramètres!L41,Paramètres!$G$5:$G$57,0)),INDEX($E$1355:$E$1407,MATCH(Paramètres!L41,Paramètres!$G$5:$G$57,0)))+IF(RIGHT(TRIM(Paramètres!M41),3)="Fin",1-$H1391,IF(LEFT(TRIM(Paramètres!M41),1)="F",1,0)))),IF(Paramètres!N41="",0,IF(Paramètres!O41="",NA(),IF(LEFT(TRIM(Paramètres!O41),1)="F",INDEX($F$1355:$F$1407,MATCH(Paramètres!N41,Paramètres!$G$5:$G$57,0)),INDEX($E$1355:$E$1407,MATCH(Paramètres!N41,Paramètres!$G$5:$G$57,0)))+IF(RIGHT(TRIM(Paramètres!O41),3)="Fin",1-$H1391,IF(LEFT(TRIM(Paramètres!O41),1)="F",1,0)))))))</f>
        <v/>
      </c>
      <c r="F1391" s="19">
        <f>IF($A1391="","",E1391+$H1391-1)</f>
        <v/>
      </c>
      <c r="G1391" s="18" t="n"/>
      <c r="H1391" s="18">
        <f>IF($A1391="","",IF(I1391&lt;&gt;"",I1391,Paramètres!B41))</f>
        <v/>
      </c>
      <c r="I1391" s="18" t="n"/>
    </row>
    <row r="1392">
      <c r="A1392" s="18">
        <f>IF(ISNUMBER(Dossiers!$D$29),Dossiers!$A$29&amp;" · "&amp;Dossiers!$B$29,"")</f>
        <v/>
      </c>
      <c r="B1392" s="18">
        <f>IF($A1392="","",Paramètres!G42)</f>
        <v/>
      </c>
      <c r="C1392" s="18">
        <f>IF($A1392="","",IF(Paramètres!H42="","",Paramètres!H42))</f>
        <v/>
      </c>
      <c r="D1392" s="18">
        <f>IF($A1392="","",IF(Paramètres!I42="","",Paramètres!I42))</f>
        <v/>
      </c>
      <c r="E1392" s="19">
        <f>IF($A1392="","",IF(Paramètres!J42&amp;Paramètres!L42&amp;Paramètres!N42="",Dossiers!$D$29,MAX(IF(Paramètres!J42="",0,IF(Paramètres!K42="",NA(),IF(LEFT(TRIM(Paramètres!K42),1)="F",INDEX($F$1355:$F$1407,MATCH(Paramètres!J42,Paramètres!$G$5:$G$57,0)),INDEX($E$1355:$E$1407,MATCH(Paramètres!J42,Paramètres!$G$5:$G$57,0)))+IF(RIGHT(TRIM(Paramètres!K42),3)="Fin",1-$H1392,IF(LEFT(TRIM(Paramètres!K42),1)="F",1,0)))),IF(Paramètres!L42="",0,IF(Paramètres!M42="",NA(),IF(LEFT(TRIM(Paramètres!M42),1)="F",INDEX($F$1355:$F$1407,MATCH(Paramètres!L42,Paramètres!$G$5:$G$57,0)),INDEX($E$1355:$E$1407,MATCH(Paramètres!L42,Paramètres!$G$5:$G$57,0)))+IF(RIGHT(TRIM(Paramètres!M42),3)="Fin",1-$H1392,IF(LEFT(TRIM(Paramètres!M42),1)="F",1,0)))),IF(Paramètres!N42="",0,IF(Paramètres!O42="",NA(),IF(LEFT(TRIM(Paramètres!O42),1)="F",INDEX($F$1355:$F$1407,MATCH(Paramètres!N42,Paramètres!$G$5:$G$57,0)),INDEX($E$1355:$E$1407,MATCH(Paramètres!N42,Paramètres!$G$5:$G$57,0)))+IF(RIGHT(TRIM(Paramètres!O42),3)="Fin",1-$H1392,IF(LEFT(TRIM(Paramètres!O42),1)="F",1,0)))))))</f>
        <v/>
      </c>
      <c r="F1392" s="19">
        <f>IF($A1392="","",E1392+$H1392-1)</f>
        <v/>
      </c>
      <c r="G1392" s="18" t="n"/>
      <c r="H1392" s="18">
        <f>IF($A1392="","",IF(I1392&lt;&gt;"",I1392,Paramètres!B42))</f>
        <v/>
      </c>
      <c r="I1392" s="18" t="n"/>
    </row>
    <row r="1393">
      <c r="A1393" s="18">
        <f>IF(ISNUMBER(Dossiers!$D$29),Dossiers!$A$29&amp;" · "&amp;Dossiers!$B$29,"")</f>
        <v/>
      </c>
      <c r="B1393" s="18">
        <f>IF($A1393="","",Paramètres!G43)</f>
        <v/>
      </c>
      <c r="C1393" s="18">
        <f>IF($A1393="","",IF(Paramètres!H43="","",Paramètres!H43))</f>
        <v/>
      </c>
      <c r="D1393" s="18">
        <f>IF($A1393="","",IF(Paramètres!I43="","",Paramètres!I43))</f>
        <v/>
      </c>
      <c r="E1393" s="19">
        <f>IF($A1393="","",IF(Paramètres!J43&amp;Paramètres!L43&amp;Paramètres!N43="",Dossiers!$D$29,MAX(IF(Paramètres!J43="",0,IF(Paramètres!K43="",NA(),IF(LEFT(TRIM(Paramètres!K43),1)="F",INDEX($F$1355:$F$1407,MATCH(Paramètres!J43,Paramètres!$G$5:$G$57,0)),INDEX($E$1355:$E$1407,MATCH(Paramètres!J43,Paramètres!$G$5:$G$57,0)))+IF(RIGHT(TRIM(Paramètres!K43),3)="Fin",1-$H1393,IF(LEFT(TRIM(Paramètres!K43),1)="F",1,0)))),IF(Paramètres!L43="",0,IF(Paramètres!M43="",NA(),IF(LEFT(TRIM(Paramètres!M43),1)="F",INDEX($F$1355:$F$1407,MATCH(Paramètres!L43,Paramètres!$G$5:$G$57,0)),INDEX($E$1355:$E$1407,MATCH(Paramètres!L43,Paramètres!$G$5:$G$57,0)))+IF(RIGHT(TRIM(Paramètres!M43),3)="Fin",1-$H1393,IF(LEFT(TRIM(Paramètres!M43),1)="F",1,0)))),IF(Paramètres!N43="",0,IF(Paramètres!O43="",NA(),IF(LEFT(TRIM(Paramètres!O43),1)="F",INDEX($F$1355:$F$1407,MATCH(Paramètres!N43,Paramètres!$G$5:$G$57,0)),INDEX($E$1355:$E$1407,MATCH(Paramètres!N43,Paramètres!$G$5:$G$57,0)))+IF(RIGHT(TRIM(Paramètres!O43),3)="Fin",1-$H1393,IF(LEFT(TRIM(Paramètres!O43),1)="F",1,0)))))))</f>
        <v/>
      </c>
      <c r="F1393" s="19">
        <f>IF($A1393="","",E1393+$H1393-1)</f>
        <v/>
      </c>
      <c r="G1393" s="18" t="n"/>
      <c r="H1393" s="18">
        <f>IF($A1393="","",IF(I1393&lt;&gt;"",I1393,Paramètres!B43))</f>
        <v/>
      </c>
      <c r="I1393" s="18" t="n"/>
    </row>
    <row r="1394">
      <c r="A1394" s="18">
        <f>IF(ISNUMBER(Dossiers!$D$29),Dossiers!$A$29&amp;" · "&amp;Dossiers!$B$29,"")</f>
        <v/>
      </c>
      <c r="B1394" s="18">
        <f>IF($A1394="","",Paramètres!G44)</f>
        <v/>
      </c>
      <c r="C1394" s="18">
        <f>IF($A1394="","",IF(Paramètres!H44="","",Paramètres!H44))</f>
        <v/>
      </c>
      <c r="D1394" s="18">
        <f>IF($A1394="","",IF(Paramètres!I44="","",Paramètres!I44))</f>
        <v/>
      </c>
      <c r="E1394" s="19">
        <f>IF($A1394="","",IF(Paramètres!J44&amp;Paramètres!L44&amp;Paramètres!N44="",Dossiers!$D$29,MAX(IF(Paramètres!J44="",0,IF(Paramètres!K44="",NA(),IF(LEFT(TRIM(Paramètres!K44),1)="F",INDEX($F$1355:$F$1407,MATCH(Paramètres!J44,Paramètres!$G$5:$G$57,0)),INDEX($E$1355:$E$1407,MATCH(Paramètres!J44,Paramètres!$G$5:$G$57,0)))+IF(RIGHT(TRIM(Paramètres!K44),3)="Fin",1-$H1394,IF(LEFT(TRIM(Paramètres!K44),1)="F",1,0)))),IF(Paramètres!L44="",0,IF(Paramètres!M44="",NA(),IF(LEFT(TRIM(Paramètres!M44),1)="F",INDEX($F$1355:$F$1407,MATCH(Paramètres!L44,Paramètres!$G$5:$G$57,0)),INDEX($E$1355:$E$1407,MATCH(Paramètres!L44,Paramètres!$G$5:$G$57,0)))+IF(RIGHT(TRIM(Paramètres!M44),3)="Fin",1-$H1394,IF(LEFT(TRIM(Paramètres!M44),1)="F",1,0)))),IF(Paramètres!N44="",0,IF(Paramètres!O44="",NA(),IF(LEFT(TRIM(Paramètres!O44),1)="F",INDEX($F$1355:$F$1407,MATCH(Paramètres!N44,Paramètres!$G$5:$G$57,0)),INDEX($E$1355:$E$1407,MATCH(Paramètres!N44,Paramètres!$G$5:$G$57,0)))+IF(RIGHT(TRIM(Paramètres!O44),3)="Fin",1-$H1394,IF(LEFT(TRIM(Paramètres!O44),1)="F",1,0)))))))</f>
        <v/>
      </c>
      <c r="F1394" s="19">
        <f>IF($A1394="","",E1394+$H1394-1)</f>
        <v/>
      </c>
      <c r="G1394" s="18" t="n"/>
      <c r="H1394" s="18">
        <f>IF($A1394="","",IF(I1394&lt;&gt;"",I1394,Paramètres!B44))</f>
        <v/>
      </c>
      <c r="I1394" s="18" t="n"/>
    </row>
    <row r="1395">
      <c r="A1395" s="18">
        <f>IF(ISNUMBER(Dossiers!$D$29),Dossiers!$A$29&amp;" · "&amp;Dossiers!$B$29,"")</f>
        <v/>
      </c>
      <c r="B1395" s="18">
        <f>IF($A1395="","",Paramètres!G45)</f>
        <v/>
      </c>
      <c r="C1395" s="20">
        <f>IF($A1395="","",IF(Dossiers!$G$29="","",Dossiers!$G$29))</f>
        <v/>
      </c>
      <c r="D1395" s="18">
        <f>IF($A1395="","",IF(Paramètres!I45="","",Paramètres!I45))</f>
        <v/>
      </c>
      <c r="E1395" s="19">
        <f>IF($A1395="","",IF(Paramètres!J45&amp;Paramètres!L45&amp;Paramètres!N45="",Dossiers!$D$29,MAX(IF(Paramètres!J45="",0,IF(Paramètres!K45="",NA(),IF(LEFT(TRIM(Paramètres!K45),1)="F",INDEX($F$1355:$F$1407,MATCH(Paramètres!J45,Paramètres!$G$5:$G$57,0)),INDEX($E$1355:$E$1407,MATCH(Paramètres!J45,Paramètres!$G$5:$G$57,0)))+IF(RIGHT(TRIM(Paramètres!K45),3)="Fin",1-$H1395,IF(LEFT(TRIM(Paramètres!K45),1)="F",1,0)))),IF(Paramètres!L45="",0,IF(Paramètres!M45="",NA(),IF(LEFT(TRIM(Paramètres!M45),1)="F",INDEX($F$1355:$F$1407,MATCH(Paramètres!L45,Paramètres!$G$5:$G$57,0)),INDEX($E$1355:$E$1407,MATCH(Paramètres!L45,Paramètres!$G$5:$G$57,0)))+IF(RIGHT(TRIM(Paramètres!M45),3)="Fin",1-$H1395,IF(LEFT(TRIM(Paramètres!M45),1)="F",1,0)))),IF(Paramètres!N45="",0,IF(Paramètres!O45="",NA(),IF(LEFT(TRIM(Paramètres!O45),1)="F",INDEX($F$1355:$F$1407,MATCH(Paramètres!N45,Paramètres!$G$5:$G$57,0)),INDEX($E$1355:$E$1407,MATCH(Paramètres!N45,Paramètres!$G$5:$G$57,0)))+IF(RIGHT(TRIM(Paramètres!O45),3)="Fin",1-$H1395,IF(LEFT(TRIM(Paramètres!O45),1)="F",1,0)))))))</f>
        <v/>
      </c>
      <c r="F1395" s="19">
        <f>IF($A1395="","",E1395+$H1395-1)</f>
        <v/>
      </c>
      <c r="G1395" s="18" t="n"/>
      <c r="H1395" s="18">
        <f>IF($A1395="","",IF(I1395&lt;&gt;"",I1395,Paramètres!B45))</f>
        <v/>
      </c>
      <c r="I1395" s="18" t="n"/>
    </row>
    <row r="1396">
      <c r="A1396" s="18">
        <f>IF(ISNUMBER(Dossiers!$D$29),Dossiers!$A$29&amp;" · "&amp;Dossiers!$B$29,"")</f>
        <v/>
      </c>
      <c r="B1396" s="18">
        <f>IF($A1396="","",Paramètres!G46)</f>
        <v/>
      </c>
      <c r="C1396" s="18">
        <f>IF($A1396="","",IF(Paramètres!H46="","",Paramètres!H46))</f>
        <v/>
      </c>
      <c r="D1396" s="18">
        <f>IF($A1396="","",IF(Paramètres!I46="","",Paramètres!I46))</f>
        <v/>
      </c>
      <c r="E1396" s="19">
        <f>IF($A1396="","",IF(Paramètres!J46&amp;Paramètres!L46&amp;Paramètres!N46="",Dossiers!$D$29,MAX(IF(Paramètres!J46="",0,IF(Paramètres!K46="",NA(),IF(LEFT(TRIM(Paramètres!K46),1)="F",INDEX($F$1355:$F$1407,MATCH(Paramètres!J46,Paramètres!$G$5:$G$57,0)),INDEX($E$1355:$E$1407,MATCH(Paramètres!J46,Paramètres!$G$5:$G$57,0)))+IF(RIGHT(TRIM(Paramètres!K46),3)="Fin",1-$H1396,IF(LEFT(TRIM(Paramètres!K46),1)="F",1,0)))),IF(Paramètres!L46="",0,IF(Paramètres!M46="",NA(),IF(LEFT(TRIM(Paramètres!M46),1)="F",INDEX($F$1355:$F$1407,MATCH(Paramètres!L46,Paramètres!$G$5:$G$57,0)),INDEX($E$1355:$E$1407,MATCH(Paramètres!L46,Paramètres!$G$5:$G$57,0)))+IF(RIGHT(TRIM(Paramètres!M46),3)="Fin",1-$H1396,IF(LEFT(TRIM(Paramètres!M46),1)="F",1,0)))),IF(Paramètres!N46="",0,IF(Paramètres!O46="",NA(),IF(LEFT(TRIM(Paramètres!O46),1)="F",INDEX($F$1355:$F$1407,MATCH(Paramètres!N46,Paramètres!$G$5:$G$57,0)),INDEX($E$1355:$E$1407,MATCH(Paramètres!N46,Paramètres!$G$5:$G$57,0)))+IF(RIGHT(TRIM(Paramètres!O46),3)="Fin",1-$H1396,IF(LEFT(TRIM(Paramètres!O46),1)="F",1,0)))))))</f>
        <v/>
      </c>
      <c r="F1396" s="19">
        <f>IF($A1396="","",E1396+$H1396-1)</f>
        <v/>
      </c>
      <c r="G1396" s="18" t="n"/>
      <c r="H1396" s="18">
        <f>IF($A1396="","",IF(I1396&lt;&gt;"",I1396,Paramètres!B46))</f>
        <v/>
      </c>
      <c r="I1396" s="18" t="n"/>
    </row>
    <row r="1397">
      <c r="A1397" s="18">
        <f>IF(ISNUMBER(Dossiers!$D$29),Dossiers!$A$29&amp;" · "&amp;Dossiers!$B$29,"")</f>
        <v/>
      </c>
      <c r="B1397" s="18">
        <f>IF($A1397="","",Paramètres!G47)</f>
        <v/>
      </c>
      <c r="C1397" s="18">
        <f>IF($A1397="","",IF(Paramètres!H47="","",Paramètres!H47))</f>
        <v/>
      </c>
      <c r="D1397" s="18">
        <f>IF($A1397="","",IF(Paramètres!I47="","",Paramètres!I47))</f>
        <v/>
      </c>
      <c r="E1397" s="19">
        <f>IF($A1397="","",IF(Paramètres!J47&amp;Paramètres!L47&amp;Paramètres!N47="",Dossiers!$D$29,MAX(IF(Paramètres!J47="",0,IF(Paramètres!K47="",NA(),IF(LEFT(TRIM(Paramètres!K47),1)="F",INDEX($F$1355:$F$1407,MATCH(Paramètres!J47,Paramètres!$G$5:$G$57,0)),INDEX($E$1355:$E$1407,MATCH(Paramètres!J47,Paramètres!$G$5:$G$57,0)))+IF(RIGHT(TRIM(Paramètres!K47),3)="Fin",1-$H1397,IF(LEFT(TRIM(Paramètres!K47),1)="F",1,0)))),IF(Paramètres!L47="",0,IF(Paramètres!M47="",NA(),IF(LEFT(TRIM(Paramètres!M47),1)="F",INDEX($F$1355:$F$1407,MATCH(Paramètres!L47,Paramètres!$G$5:$G$57,0)),INDEX($E$1355:$E$1407,MATCH(Paramètres!L47,Paramètres!$G$5:$G$57,0)))+IF(RIGHT(TRIM(Paramètres!M47),3)="Fin",1-$H1397,IF(LEFT(TRIM(Paramètres!M47),1)="F",1,0)))),IF(Paramètres!N47="",0,IF(Paramètres!O47="",NA(),IF(LEFT(TRIM(Paramètres!O47),1)="F",INDEX($F$1355:$F$1407,MATCH(Paramètres!N47,Paramètres!$G$5:$G$57,0)),INDEX($E$1355:$E$1407,MATCH(Paramètres!N47,Paramètres!$G$5:$G$57,0)))+IF(RIGHT(TRIM(Paramètres!O47),3)="Fin",1-$H1397,IF(LEFT(TRIM(Paramètres!O47),1)="F",1,0)))))))</f>
        <v/>
      </c>
      <c r="F1397" s="19">
        <f>IF($A1397="","",E1397+$H1397-1)</f>
        <v/>
      </c>
      <c r="G1397" s="18" t="n"/>
      <c r="H1397" s="18">
        <f>IF($A1397="","",IF(I1397&lt;&gt;"",I1397,Paramètres!B47))</f>
        <v/>
      </c>
      <c r="I1397" s="18" t="n"/>
    </row>
    <row r="1398">
      <c r="A1398" s="18">
        <f>IF(ISNUMBER(Dossiers!$D$29),Dossiers!$A$29&amp;" · "&amp;Dossiers!$B$29,"")</f>
        <v/>
      </c>
      <c r="B1398" s="18">
        <f>IF($A1398="","",Paramètres!G48)</f>
        <v/>
      </c>
      <c r="C1398" s="18">
        <f>IF($A1398="","",IF(Paramètres!H48="","",Paramètres!H48))</f>
        <v/>
      </c>
      <c r="D1398" s="18">
        <f>IF($A1398="","",IF(Paramètres!I48="","",Paramètres!I48))</f>
        <v/>
      </c>
      <c r="E1398" s="19">
        <f>IF($A1398="","",IF(Paramètres!J48&amp;Paramètres!L48&amp;Paramètres!N48="",Dossiers!$D$29,MAX(IF(Paramètres!J48="",0,IF(Paramètres!K48="",NA(),IF(LEFT(TRIM(Paramètres!K48),1)="F",INDEX($F$1355:$F$1407,MATCH(Paramètres!J48,Paramètres!$G$5:$G$57,0)),INDEX($E$1355:$E$1407,MATCH(Paramètres!J48,Paramètres!$G$5:$G$57,0)))+IF(RIGHT(TRIM(Paramètres!K48),3)="Fin",1-$H1398,IF(LEFT(TRIM(Paramètres!K48),1)="F",1,0)))),IF(Paramètres!L48="",0,IF(Paramètres!M48="",NA(),IF(LEFT(TRIM(Paramètres!M48),1)="F",INDEX($F$1355:$F$1407,MATCH(Paramètres!L48,Paramètres!$G$5:$G$57,0)),INDEX($E$1355:$E$1407,MATCH(Paramètres!L48,Paramètres!$G$5:$G$57,0)))+IF(RIGHT(TRIM(Paramètres!M48),3)="Fin",1-$H1398,IF(LEFT(TRIM(Paramètres!M48),1)="F",1,0)))),IF(Paramètres!N48="",0,IF(Paramètres!O48="",NA(),IF(LEFT(TRIM(Paramètres!O48),1)="F",INDEX($F$1355:$F$1407,MATCH(Paramètres!N48,Paramètres!$G$5:$G$57,0)),INDEX($E$1355:$E$1407,MATCH(Paramètres!N48,Paramètres!$G$5:$G$57,0)))+IF(RIGHT(TRIM(Paramètres!O48),3)="Fin",1-$H1398,IF(LEFT(TRIM(Paramètres!O48),1)="F",1,0)))))))</f>
        <v/>
      </c>
      <c r="F1398" s="19">
        <f>IF($A1398="","",E1398+$H1398-1)</f>
        <v/>
      </c>
      <c r="G1398" s="18" t="n"/>
      <c r="H1398" s="18">
        <f>IF($A1398="","",IF(I1398&lt;&gt;"",I1398,Paramètres!B48))</f>
        <v/>
      </c>
      <c r="I1398" s="18" t="n"/>
    </row>
    <row r="1399">
      <c r="A1399" s="18">
        <f>IF(ISNUMBER(Dossiers!$D$29),Dossiers!$A$29&amp;" · "&amp;Dossiers!$B$29,"")</f>
        <v/>
      </c>
      <c r="B1399" s="18">
        <f>IF($A1399="","",Paramètres!G49)</f>
        <v/>
      </c>
      <c r="C1399" s="18">
        <f>IF($A1399="","",IF(Paramètres!H49="","",Paramètres!H49))</f>
        <v/>
      </c>
      <c r="D1399" s="18">
        <f>IF($A1399="","",IF(Paramètres!I49="","",Paramètres!I49))</f>
        <v/>
      </c>
      <c r="E1399" s="19">
        <f>IF($A1399="","",IF(Paramètres!J49&amp;Paramètres!L49&amp;Paramètres!N49="",Dossiers!$D$29,MAX(IF(Paramètres!J49="",0,IF(Paramètres!K49="",NA(),IF(LEFT(TRIM(Paramètres!K49),1)="F",INDEX($F$1355:$F$1407,MATCH(Paramètres!J49,Paramètres!$G$5:$G$57,0)),INDEX($E$1355:$E$1407,MATCH(Paramètres!J49,Paramètres!$G$5:$G$57,0)))+IF(RIGHT(TRIM(Paramètres!K49),3)="Fin",1-$H1399,IF(LEFT(TRIM(Paramètres!K49),1)="F",1,0)))),IF(Paramètres!L49="",0,IF(Paramètres!M49="",NA(),IF(LEFT(TRIM(Paramètres!M49),1)="F",INDEX($F$1355:$F$1407,MATCH(Paramètres!L49,Paramètres!$G$5:$G$57,0)),INDEX($E$1355:$E$1407,MATCH(Paramètres!L49,Paramètres!$G$5:$G$57,0)))+IF(RIGHT(TRIM(Paramètres!M49),3)="Fin",1-$H1399,IF(LEFT(TRIM(Paramètres!M49),1)="F",1,0)))),IF(Paramètres!N49="",0,IF(Paramètres!O49="",NA(),IF(LEFT(TRIM(Paramètres!O49),1)="F",INDEX($F$1355:$F$1407,MATCH(Paramètres!N49,Paramètres!$G$5:$G$57,0)),INDEX($E$1355:$E$1407,MATCH(Paramètres!N49,Paramètres!$G$5:$G$57,0)))+IF(RIGHT(TRIM(Paramètres!O49),3)="Fin",1-$H1399,IF(LEFT(TRIM(Paramètres!O49),1)="F",1,0)))))))</f>
        <v/>
      </c>
      <c r="F1399" s="19">
        <f>IF($A1399="","",E1399+$H1399-1)</f>
        <v/>
      </c>
      <c r="G1399" s="18" t="n"/>
      <c r="H1399" s="18">
        <f>IF($A1399="","",IF(I1399&lt;&gt;"",I1399,Paramètres!B49))</f>
        <v/>
      </c>
      <c r="I1399" s="18" t="n"/>
    </row>
    <row r="1400">
      <c r="A1400" s="18">
        <f>IF(ISNUMBER(Dossiers!$D$29),Dossiers!$A$29&amp;" · "&amp;Dossiers!$B$29,"")</f>
        <v/>
      </c>
      <c r="B1400" s="18">
        <f>IF($A1400="","",Paramètres!G50)</f>
        <v/>
      </c>
      <c r="C1400" s="18">
        <f>IF($A1400="","",IF(Paramètres!H50="","",Paramètres!H50))</f>
        <v/>
      </c>
      <c r="D1400" s="18">
        <f>IF($A1400="","",IF(Paramètres!I50="","",Paramètres!I50))</f>
        <v/>
      </c>
      <c r="E1400" s="19">
        <f>IF($A1400="","",IF(Paramètres!J50&amp;Paramètres!L50&amp;Paramètres!N50="",Dossiers!$D$29,MAX(IF(Paramètres!J50="",0,IF(Paramètres!K50="",NA(),IF(LEFT(TRIM(Paramètres!K50),1)="F",INDEX($F$1355:$F$1407,MATCH(Paramètres!J50,Paramètres!$G$5:$G$57,0)),INDEX($E$1355:$E$1407,MATCH(Paramètres!J50,Paramètres!$G$5:$G$57,0)))+IF(RIGHT(TRIM(Paramètres!K50),3)="Fin",1-$H1400,IF(LEFT(TRIM(Paramètres!K50),1)="F",1,0)))),IF(Paramètres!L50="",0,IF(Paramètres!M50="",NA(),IF(LEFT(TRIM(Paramètres!M50),1)="F",INDEX($F$1355:$F$1407,MATCH(Paramètres!L50,Paramètres!$G$5:$G$57,0)),INDEX($E$1355:$E$1407,MATCH(Paramètres!L50,Paramètres!$G$5:$G$57,0)))+IF(RIGHT(TRIM(Paramètres!M50),3)="Fin",1-$H1400,IF(LEFT(TRIM(Paramètres!M50),1)="F",1,0)))),IF(Paramètres!N50="",0,IF(Paramètres!O50="",NA(),IF(LEFT(TRIM(Paramètres!O50),1)="F",INDEX($F$1355:$F$1407,MATCH(Paramètres!N50,Paramètres!$G$5:$G$57,0)),INDEX($E$1355:$E$1407,MATCH(Paramètres!N50,Paramètres!$G$5:$G$57,0)))+IF(RIGHT(TRIM(Paramètres!O50),3)="Fin",1-$H1400,IF(LEFT(TRIM(Paramètres!O50),1)="F",1,0)))))))</f>
        <v/>
      </c>
      <c r="F1400" s="19">
        <f>IF($A1400="","",E1400+$H1400-1)</f>
        <v/>
      </c>
      <c r="G1400" s="18" t="n"/>
      <c r="H1400" s="18">
        <f>IF($A1400="","",IF(I1400&lt;&gt;"",I1400,Paramètres!B50))</f>
        <v/>
      </c>
      <c r="I1400" s="18" t="n"/>
    </row>
    <row r="1401">
      <c r="A1401" s="18">
        <f>IF(ISNUMBER(Dossiers!$D$29),Dossiers!$A$29&amp;" · "&amp;Dossiers!$B$29,"")</f>
        <v/>
      </c>
      <c r="B1401" s="18">
        <f>IF($A1401="","",Paramètres!G51)</f>
        <v/>
      </c>
      <c r="C1401" s="18">
        <f>IF($A1401="","",IF(Paramètres!H51="","",Paramètres!H51))</f>
        <v/>
      </c>
      <c r="D1401" s="18">
        <f>IF($A1401="","",IF(Paramètres!I51="","",Paramètres!I51))</f>
        <v/>
      </c>
      <c r="E1401" s="19">
        <f>IF($A1401="","",IF(Paramètres!J51&amp;Paramètres!L51&amp;Paramètres!N51="",Dossiers!$D$29,MAX(IF(Paramètres!J51="",0,IF(Paramètres!K51="",NA(),IF(LEFT(TRIM(Paramètres!K51),1)="F",INDEX($F$1355:$F$1407,MATCH(Paramètres!J51,Paramètres!$G$5:$G$57,0)),INDEX($E$1355:$E$1407,MATCH(Paramètres!J51,Paramètres!$G$5:$G$57,0)))+IF(RIGHT(TRIM(Paramètres!K51),3)="Fin",1-$H1401,IF(LEFT(TRIM(Paramètres!K51),1)="F",1,0)))),IF(Paramètres!L51="",0,IF(Paramètres!M51="",NA(),IF(LEFT(TRIM(Paramètres!M51),1)="F",INDEX($F$1355:$F$1407,MATCH(Paramètres!L51,Paramètres!$G$5:$G$57,0)),INDEX($E$1355:$E$1407,MATCH(Paramètres!L51,Paramètres!$G$5:$G$57,0)))+IF(RIGHT(TRIM(Paramètres!M51),3)="Fin",1-$H1401,IF(LEFT(TRIM(Paramètres!M51),1)="F",1,0)))),IF(Paramètres!N51="",0,IF(Paramètres!O51="",NA(),IF(LEFT(TRIM(Paramètres!O51),1)="F",INDEX($F$1355:$F$1407,MATCH(Paramètres!N51,Paramètres!$G$5:$G$57,0)),INDEX($E$1355:$E$1407,MATCH(Paramètres!N51,Paramètres!$G$5:$G$57,0)))+IF(RIGHT(TRIM(Paramètres!O51),3)="Fin",1-$H1401,IF(LEFT(TRIM(Paramètres!O51),1)="F",1,0)))))))</f>
        <v/>
      </c>
      <c r="F1401" s="19">
        <f>IF($A1401="","",E1401+$H1401-1)</f>
        <v/>
      </c>
      <c r="G1401" s="18" t="n"/>
      <c r="H1401" s="18">
        <f>IF($A1401="","",IF(I1401&lt;&gt;"",I1401,Paramètres!B51))</f>
        <v/>
      </c>
      <c r="I1401" s="18" t="n"/>
    </row>
    <row r="1402">
      <c r="A1402" s="18">
        <f>IF(ISNUMBER(Dossiers!$D$29),Dossiers!$A$29&amp;" · "&amp;Dossiers!$B$29,"")</f>
        <v/>
      </c>
      <c r="B1402" s="18">
        <f>IF($A1402="","",Paramètres!G52)</f>
        <v/>
      </c>
      <c r="C1402" s="18">
        <f>IF($A1402="","",IF(Paramètres!H52="","",Paramètres!H52))</f>
        <v/>
      </c>
      <c r="D1402" s="18">
        <f>IF($A1402="","",IF(Paramètres!I52="","",Paramètres!I52))</f>
        <v/>
      </c>
      <c r="E1402" s="19">
        <f>IF($A1402="","",IF(Paramètres!J52&amp;Paramètres!L52&amp;Paramètres!N52="",Dossiers!$D$29,MAX(IF(Paramètres!J52="",0,IF(Paramètres!K52="",NA(),IF(LEFT(TRIM(Paramètres!K52),1)="F",INDEX($F$1355:$F$1407,MATCH(Paramètres!J52,Paramètres!$G$5:$G$57,0)),INDEX($E$1355:$E$1407,MATCH(Paramètres!J52,Paramètres!$G$5:$G$57,0)))+IF(RIGHT(TRIM(Paramètres!K52),3)="Fin",1-$H1402,IF(LEFT(TRIM(Paramètres!K52),1)="F",1,0)))),IF(Paramètres!L52="",0,IF(Paramètres!M52="",NA(),IF(LEFT(TRIM(Paramètres!M52),1)="F",INDEX($F$1355:$F$1407,MATCH(Paramètres!L52,Paramètres!$G$5:$G$57,0)),INDEX($E$1355:$E$1407,MATCH(Paramètres!L52,Paramètres!$G$5:$G$57,0)))+IF(RIGHT(TRIM(Paramètres!M52),3)="Fin",1-$H1402,IF(LEFT(TRIM(Paramètres!M52),1)="F",1,0)))),IF(Paramètres!N52="",0,IF(Paramètres!O52="",NA(),IF(LEFT(TRIM(Paramètres!O52),1)="F",INDEX($F$1355:$F$1407,MATCH(Paramètres!N52,Paramètres!$G$5:$G$57,0)),INDEX($E$1355:$E$1407,MATCH(Paramètres!N52,Paramètres!$G$5:$G$57,0)))+IF(RIGHT(TRIM(Paramètres!O52),3)="Fin",1-$H1402,IF(LEFT(TRIM(Paramètres!O52),1)="F",1,0)))))))</f>
        <v/>
      </c>
      <c r="F1402" s="19">
        <f>IF($A1402="","",E1402+$H1402-1)</f>
        <v/>
      </c>
      <c r="G1402" s="18" t="n"/>
      <c r="H1402" s="18">
        <f>IF($A1402="","",IF(I1402&lt;&gt;"",I1402,Paramètres!B52))</f>
        <v/>
      </c>
      <c r="I1402" s="18" t="n"/>
    </row>
    <row r="1403">
      <c r="A1403" s="18">
        <f>IF(ISNUMBER(Dossiers!$D$29),Dossiers!$A$29&amp;" · "&amp;Dossiers!$B$29,"")</f>
        <v/>
      </c>
      <c r="B1403" s="18">
        <f>IF($A1403="","",Paramètres!G53)</f>
        <v/>
      </c>
      <c r="C1403" s="18">
        <f>IF($A1403="","",IF(Paramètres!H53="","",Paramètres!H53))</f>
        <v/>
      </c>
      <c r="D1403" s="18">
        <f>IF($A1403="","",IF(Paramètres!I53="","",Paramètres!I53))</f>
        <v/>
      </c>
      <c r="E1403" s="19">
        <f>IF($A1403="","",IF(Paramètres!J53&amp;Paramètres!L53&amp;Paramètres!N53="",Dossiers!$D$29,MAX(IF(Paramètres!J53="",0,IF(Paramètres!K53="",NA(),IF(LEFT(TRIM(Paramètres!K53),1)="F",INDEX($F$1355:$F$1407,MATCH(Paramètres!J53,Paramètres!$G$5:$G$57,0)),INDEX($E$1355:$E$1407,MATCH(Paramètres!J53,Paramètres!$G$5:$G$57,0)))+IF(RIGHT(TRIM(Paramètres!K53),3)="Fin",1-$H1403,IF(LEFT(TRIM(Paramètres!K53),1)="F",1,0)))),IF(Paramètres!L53="",0,IF(Paramètres!M53="",NA(),IF(LEFT(TRIM(Paramètres!M53),1)="F",INDEX($F$1355:$F$1407,MATCH(Paramètres!L53,Paramètres!$G$5:$G$57,0)),INDEX($E$1355:$E$1407,MATCH(Paramètres!L53,Paramètres!$G$5:$G$57,0)))+IF(RIGHT(TRIM(Paramètres!M53),3)="Fin",1-$H1403,IF(LEFT(TRIM(Paramètres!M53),1)="F",1,0)))),IF(Paramètres!N53="",0,IF(Paramètres!O53="",NA(),IF(LEFT(TRIM(Paramètres!O53),1)="F",INDEX($F$1355:$F$1407,MATCH(Paramètres!N53,Paramètres!$G$5:$G$57,0)),INDEX($E$1355:$E$1407,MATCH(Paramètres!N53,Paramètres!$G$5:$G$57,0)))+IF(RIGHT(TRIM(Paramètres!O53),3)="Fin",1-$H1403,IF(LEFT(TRIM(Paramètres!O53),1)="F",1,0)))))))</f>
        <v/>
      </c>
      <c r="F1403" s="19">
        <f>IF($A1403="","",E1403+$H1403-1)</f>
        <v/>
      </c>
      <c r="G1403" s="18" t="n"/>
      <c r="H1403" s="18">
        <f>IF($A1403="","",IF(I1403&lt;&gt;"",I1403,Paramètres!B53))</f>
        <v/>
      </c>
      <c r="I1403" s="18" t="n"/>
    </row>
    <row r="1404">
      <c r="A1404" s="18">
        <f>IF(ISNUMBER(Dossiers!$D$29),Dossiers!$A$29&amp;" · "&amp;Dossiers!$B$29,"")</f>
        <v/>
      </c>
      <c r="B1404" s="18">
        <f>IF($A1404="","",Paramètres!G54)</f>
        <v/>
      </c>
      <c r="C1404" s="18">
        <f>IF($A1404="","",IF(Paramètres!H54="","",Paramètres!H54))</f>
        <v/>
      </c>
      <c r="D1404" s="18">
        <f>IF($A1404="","",IF(Paramètres!I54="","",Paramètres!I54))</f>
        <v/>
      </c>
      <c r="E1404" s="19">
        <f>IF($A1404="","",IF(Paramètres!J54&amp;Paramètres!L54&amp;Paramètres!N54="",Dossiers!$D$29,MAX(IF(Paramètres!J54="",0,IF(Paramètres!K54="",NA(),IF(LEFT(TRIM(Paramètres!K54),1)="F",INDEX($F$1355:$F$1407,MATCH(Paramètres!J54,Paramètres!$G$5:$G$57,0)),INDEX($E$1355:$E$1407,MATCH(Paramètres!J54,Paramètres!$G$5:$G$57,0)))+IF(RIGHT(TRIM(Paramètres!K54),3)="Fin",1-$H1404,IF(LEFT(TRIM(Paramètres!K54),1)="F",1,0)))),IF(Paramètres!L54="",0,IF(Paramètres!M54="",NA(),IF(LEFT(TRIM(Paramètres!M54),1)="F",INDEX($F$1355:$F$1407,MATCH(Paramètres!L54,Paramètres!$G$5:$G$57,0)),INDEX($E$1355:$E$1407,MATCH(Paramètres!L54,Paramètres!$G$5:$G$57,0)))+IF(RIGHT(TRIM(Paramètres!M54),3)="Fin",1-$H1404,IF(LEFT(TRIM(Paramètres!M54),1)="F",1,0)))),IF(Paramètres!N54="",0,IF(Paramètres!O54="",NA(),IF(LEFT(TRIM(Paramètres!O54),1)="F",INDEX($F$1355:$F$1407,MATCH(Paramètres!N54,Paramètres!$G$5:$G$57,0)),INDEX($E$1355:$E$1407,MATCH(Paramètres!N54,Paramètres!$G$5:$G$57,0)))+IF(RIGHT(TRIM(Paramètres!O54),3)="Fin",1-$H1404,IF(LEFT(TRIM(Paramètres!O54),1)="F",1,0)))))))</f>
        <v/>
      </c>
      <c r="F1404" s="19">
        <f>IF($A1404="","",E1404+$H1404-1)</f>
        <v/>
      </c>
      <c r="G1404" s="18" t="n"/>
      <c r="H1404" s="18">
        <f>IF($A1404="","",IF(I1404&lt;&gt;"",I1404,Paramètres!B54))</f>
        <v/>
      </c>
      <c r="I1404" s="18" t="n"/>
    </row>
    <row r="1405">
      <c r="A1405" s="18">
        <f>IF(ISNUMBER(Dossiers!$D$29),Dossiers!$A$29&amp;" · "&amp;Dossiers!$B$29,"")</f>
        <v/>
      </c>
      <c r="B1405" s="18">
        <f>IF($A1405="","",Paramètres!G55)</f>
        <v/>
      </c>
      <c r="C1405" s="18">
        <f>IF($A1405="","",IF(Paramètres!H55="","",Paramètres!H55))</f>
        <v/>
      </c>
      <c r="D1405" s="18">
        <f>IF($A1405="","",IF(Paramètres!I55="","",Paramètres!I55))</f>
        <v/>
      </c>
      <c r="E1405" s="19">
        <f>IF($A1405="","",IF(Paramètres!J55&amp;Paramètres!L55&amp;Paramètres!N55="",Dossiers!$D$29,MAX(IF(Paramètres!J55="",0,IF(Paramètres!K55="",NA(),IF(LEFT(TRIM(Paramètres!K55),1)="F",INDEX($F$1355:$F$1407,MATCH(Paramètres!J55,Paramètres!$G$5:$G$57,0)),INDEX($E$1355:$E$1407,MATCH(Paramètres!J55,Paramètres!$G$5:$G$57,0)))+IF(RIGHT(TRIM(Paramètres!K55),3)="Fin",1-$H1405,IF(LEFT(TRIM(Paramètres!K55),1)="F",1,0)))),IF(Paramètres!L55="",0,IF(Paramètres!M55="",NA(),IF(LEFT(TRIM(Paramètres!M55),1)="F",INDEX($F$1355:$F$1407,MATCH(Paramètres!L55,Paramètres!$G$5:$G$57,0)),INDEX($E$1355:$E$1407,MATCH(Paramètres!L55,Paramètres!$G$5:$G$57,0)))+IF(RIGHT(TRIM(Paramètres!M55),3)="Fin",1-$H1405,IF(LEFT(TRIM(Paramètres!M55),1)="F",1,0)))),IF(Paramètres!N55="",0,IF(Paramètres!O55="",NA(),IF(LEFT(TRIM(Paramètres!O55),1)="F",INDEX($F$1355:$F$1407,MATCH(Paramètres!N55,Paramètres!$G$5:$G$57,0)),INDEX($E$1355:$E$1407,MATCH(Paramètres!N55,Paramètres!$G$5:$G$57,0)))+IF(RIGHT(TRIM(Paramètres!O55),3)="Fin",1-$H1405,IF(LEFT(TRIM(Paramètres!O55),1)="F",1,0)))))))</f>
        <v/>
      </c>
      <c r="F1405" s="19">
        <f>IF($A1405="","",E1405+$H1405-1)</f>
        <v/>
      </c>
      <c r="G1405" s="18" t="n"/>
      <c r="H1405" s="18">
        <f>IF($A1405="","",IF(I1405&lt;&gt;"",I1405,Paramètres!B55))</f>
        <v/>
      </c>
      <c r="I1405" s="18" t="n"/>
    </row>
    <row r="1406">
      <c r="A1406" s="18">
        <f>IF(ISNUMBER(Dossiers!$D$29),Dossiers!$A$29&amp;" · "&amp;Dossiers!$B$29,"")</f>
        <v/>
      </c>
      <c r="B1406" s="18">
        <f>IF($A1406="","",Paramètres!G56)</f>
        <v/>
      </c>
      <c r="C1406" s="18">
        <f>IF($A1406="","",IF(Paramètres!H56="","",Paramètres!H56))</f>
        <v/>
      </c>
      <c r="D1406" s="18">
        <f>IF($A1406="","",IF(Paramètres!I56="","",Paramètres!I56))</f>
        <v/>
      </c>
      <c r="E1406" s="19">
        <f>IF($A1406="","",MIN(E1407:E1407))</f>
        <v/>
      </c>
      <c r="F1406" s="19">
        <f>IF($A1406="","",MAX(F1407:F1407))</f>
        <v/>
      </c>
      <c r="G1406" s="18" t="n"/>
      <c r="H1406" s="18">
        <f>IF($A1406="","",F1406-E1406+1)</f>
        <v/>
      </c>
      <c r="I1406" s="18" t="n"/>
    </row>
    <row r="1407">
      <c r="A1407" s="18">
        <f>IF(ISNUMBER(Dossiers!$D$29),Dossiers!$A$29&amp;" · "&amp;Dossiers!$B$29,"")</f>
        <v/>
      </c>
      <c r="B1407" s="18">
        <f>IF($A1407="","",Paramètres!G57)</f>
        <v/>
      </c>
      <c r="C1407" s="18">
        <f>IF($A1407="","",IF(Paramètres!H57="","",Paramètres!H57))</f>
        <v/>
      </c>
      <c r="D1407" s="18">
        <f>IF($A1407="","",IF(Paramètres!I57="","",Paramètres!I57))</f>
        <v/>
      </c>
      <c r="E1407" s="19">
        <f>IF($A1407="","",IF(Paramètres!J57&amp;Paramètres!L57&amp;Paramètres!N57="",Dossiers!$D$29,MAX(IF(Paramètres!J57="",0,IF(Paramètres!K57="",NA(),IF(LEFT(TRIM(Paramètres!K57),1)="F",INDEX($F$1355:$F$1407,MATCH(Paramètres!J57,Paramètres!$G$5:$G$57,0)),INDEX($E$1355:$E$1407,MATCH(Paramètres!J57,Paramètres!$G$5:$G$57,0)))+IF(RIGHT(TRIM(Paramètres!K57),3)="Fin",1-$H1407,IF(LEFT(TRIM(Paramètres!K57),1)="F",1,0)))),IF(Paramètres!L57="",0,IF(Paramètres!M57="",NA(),IF(LEFT(TRIM(Paramètres!M57),1)="F",INDEX($F$1355:$F$1407,MATCH(Paramètres!L57,Paramètres!$G$5:$G$57,0)),INDEX($E$1355:$E$1407,MATCH(Paramètres!L57,Paramètres!$G$5:$G$57,0)))+IF(RIGHT(TRIM(Paramètres!M57),3)="Fin",1-$H1407,IF(LEFT(TRIM(Paramètres!M57),1)="F",1,0)))),IF(Paramètres!N57="",0,IF(Paramètres!O57="",NA(),IF(LEFT(TRIM(Paramètres!O57),1)="F",INDEX($F$1355:$F$1407,MATCH(Paramètres!N57,Paramètres!$G$5:$G$57,0)),INDEX($E$1355:$E$1407,MATCH(Paramètres!N57,Paramètres!$G$5:$G$57,0)))+IF(RIGHT(TRIM(Paramètres!O57),3)="Fin",1-$H1407,IF(LEFT(TRIM(Paramètres!O57),1)="F",1,0)))))))</f>
        <v/>
      </c>
      <c r="F1407" s="19">
        <f>IF($A1407="","",E1407+$H1407-1)</f>
        <v/>
      </c>
      <c r="G1407" s="18" t="n"/>
      <c r="H1407" s="18">
        <f>IF($A1407="","",IF(I1407&lt;&gt;"",I1407,Paramètres!B57))</f>
        <v/>
      </c>
      <c r="I1407" s="18" t="n"/>
    </row>
    <row r="1408">
      <c r="A1408" s="16">
        <f>IF(ISNUMBER(Dossiers!$D$30),Dossiers!$E$30,"")</f>
        <v/>
      </c>
      <c r="B1408" s="16">
        <f>IF($A1408="","","Identifiant")</f>
        <v/>
      </c>
      <c r="C1408" s="16">
        <f>IF($A1408="","","Macro Etape")</f>
        <v/>
      </c>
      <c r="D1408" s="16">
        <f>IF($A1408="","","Etape")</f>
        <v/>
      </c>
      <c r="E1408" s="17">
        <f>IF($A1408="","","Début le")</f>
        <v/>
      </c>
      <c r="F1408" s="17">
        <f>IF($A1408="","","Fin prévue le")</f>
        <v/>
      </c>
      <c r="G1408" s="16">
        <f>IF($A1408="","","Statut")</f>
        <v/>
      </c>
      <c r="H1408" s="16">
        <f>IF($A1408="","","Durée (jours)")</f>
        <v/>
      </c>
      <c r="I1408" s="16">
        <f>IF($A1408="","","Durée particulière")</f>
        <v/>
      </c>
      <c r="J1408" s="10">
        <f>IF($A1408="","",HYPERLINK("#'Tableau de bord'!A1","↑ Tableau de bord"))</f>
        <v/>
      </c>
    </row>
    <row r="1409">
      <c r="A1409" s="18">
        <f>IF(ISNUMBER(Dossiers!$D$30),Dossiers!$A$30&amp;" · "&amp;Dossiers!$B$30,"")</f>
        <v/>
      </c>
      <c r="B1409" s="18">
        <f>IF($A1409="","",Paramètres!G5)</f>
        <v/>
      </c>
      <c r="C1409" s="18">
        <f>IF($A1409="","",IF(Paramètres!H5="","",Paramètres!H5))</f>
        <v/>
      </c>
      <c r="D1409" s="18">
        <f>IF($A1409="","",IF(Paramètres!I5="","",Paramètres!I5))</f>
        <v/>
      </c>
      <c r="E1409" s="19">
        <f>IF($A1409="","",MIN(E1410:E1413))</f>
        <v/>
      </c>
      <c r="F1409" s="19">
        <f>IF($A1409="","",MAX(F1410:F1413))</f>
        <v/>
      </c>
      <c r="G1409" s="18" t="n"/>
      <c r="H1409" s="18">
        <f>IF($A1409="","",F1409-E1409+1)</f>
        <v/>
      </c>
      <c r="I1409" s="18" t="n"/>
    </row>
    <row r="1410">
      <c r="A1410" s="18">
        <f>IF(ISNUMBER(Dossiers!$D$30),Dossiers!$A$30&amp;" · "&amp;Dossiers!$B$30,"")</f>
        <v/>
      </c>
      <c r="B1410" s="18">
        <f>IF($A1410="","",Paramètres!G6)</f>
        <v/>
      </c>
      <c r="C1410" s="18">
        <f>IF($A1410="","",IF(Paramètres!H6="","",Paramètres!H6))</f>
        <v/>
      </c>
      <c r="D1410" s="18">
        <f>IF($A1410="","",IF(Paramètres!I6="","",Paramètres!I6))</f>
        <v/>
      </c>
      <c r="E1410" s="19">
        <f>IF($A1410="","",IF(Paramètres!J6&amp;Paramètres!L6&amp;Paramètres!N6="",Dossiers!$D$30,MAX(IF(Paramètres!J6="",0,IF(Paramètres!K6="",NA(),IF(LEFT(TRIM(Paramètres!K6),1)="F",INDEX($F$1409:$F$1461,MATCH(Paramètres!J6,Paramètres!$G$5:$G$57,0)),INDEX($E$1409:$E$1461,MATCH(Paramètres!J6,Paramètres!$G$5:$G$57,0)))+IF(RIGHT(TRIM(Paramètres!K6),3)="Fin",1-$H1410,IF(LEFT(TRIM(Paramètres!K6),1)="F",1,0)))),IF(Paramètres!L6="",0,IF(Paramètres!M6="",NA(),IF(LEFT(TRIM(Paramètres!M6),1)="F",INDEX($F$1409:$F$1461,MATCH(Paramètres!L6,Paramètres!$G$5:$G$57,0)),INDEX($E$1409:$E$1461,MATCH(Paramètres!L6,Paramètres!$G$5:$G$57,0)))+IF(RIGHT(TRIM(Paramètres!M6),3)="Fin",1-$H1410,IF(LEFT(TRIM(Paramètres!M6),1)="F",1,0)))),IF(Paramètres!N6="",0,IF(Paramètres!O6="",NA(),IF(LEFT(TRIM(Paramètres!O6),1)="F",INDEX($F$1409:$F$1461,MATCH(Paramètres!N6,Paramètres!$G$5:$G$57,0)),INDEX($E$1409:$E$1461,MATCH(Paramètres!N6,Paramètres!$G$5:$G$57,0)))+IF(RIGHT(TRIM(Paramètres!O6),3)="Fin",1-$H1410,IF(LEFT(TRIM(Paramètres!O6),1)="F",1,0)))))))</f>
        <v/>
      </c>
      <c r="F1410" s="19">
        <f>IF($A1410="","",E1410+$H1410-1)</f>
        <v/>
      </c>
      <c r="G1410" s="18" t="n"/>
      <c r="H1410" s="18">
        <f>IF($A1410="","",IF(I1410&lt;&gt;"",I1410,Paramètres!B6))</f>
        <v/>
      </c>
      <c r="I1410" s="18" t="n"/>
    </row>
    <row r="1411">
      <c r="A1411" s="18">
        <f>IF(ISNUMBER(Dossiers!$D$30),Dossiers!$A$30&amp;" · "&amp;Dossiers!$B$30,"")</f>
        <v/>
      </c>
      <c r="B1411" s="18">
        <f>IF($A1411="","",Paramètres!G7)</f>
        <v/>
      </c>
      <c r="C1411" s="18">
        <f>IF($A1411="","",IF(Paramètres!H7="","",Paramètres!H7))</f>
        <v/>
      </c>
      <c r="D1411" s="18">
        <f>IF($A1411="","",IF(Paramètres!I7="","",Paramètres!I7))</f>
        <v/>
      </c>
      <c r="E1411" s="19">
        <f>IF($A1411="","",IF(Paramètres!J7&amp;Paramètres!L7&amp;Paramètres!N7="",Dossiers!$D$30,MAX(IF(Paramètres!J7="",0,IF(Paramètres!K7="",NA(),IF(LEFT(TRIM(Paramètres!K7),1)="F",INDEX($F$1409:$F$1461,MATCH(Paramètres!J7,Paramètres!$G$5:$G$57,0)),INDEX($E$1409:$E$1461,MATCH(Paramètres!J7,Paramètres!$G$5:$G$57,0)))+IF(RIGHT(TRIM(Paramètres!K7),3)="Fin",1-$H1411,IF(LEFT(TRIM(Paramètres!K7),1)="F",1,0)))),IF(Paramètres!L7="",0,IF(Paramètres!M7="",NA(),IF(LEFT(TRIM(Paramètres!M7),1)="F",INDEX($F$1409:$F$1461,MATCH(Paramètres!L7,Paramètres!$G$5:$G$57,0)),INDEX($E$1409:$E$1461,MATCH(Paramètres!L7,Paramètres!$G$5:$G$57,0)))+IF(RIGHT(TRIM(Paramètres!M7),3)="Fin",1-$H1411,IF(LEFT(TRIM(Paramètres!M7),1)="F",1,0)))),IF(Paramètres!N7="",0,IF(Paramètres!O7="",NA(),IF(LEFT(TRIM(Paramètres!O7),1)="F",INDEX($F$1409:$F$1461,MATCH(Paramètres!N7,Paramètres!$G$5:$G$57,0)),INDEX($E$1409:$E$1461,MATCH(Paramètres!N7,Paramètres!$G$5:$G$57,0)))+IF(RIGHT(TRIM(Paramètres!O7),3)="Fin",1-$H1411,IF(LEFT(TRIM(Paramètres!O7),1)="F",1,0)))))))</f>
        <v/>
      </c>
      <c r="F1411" s="19">
        <f>IF($A1411="","",E1411+$H1411-1)</f>
        <v/>
      </c>
      <c r="G1411" s="18" t="n"/>
      <c r="H1411" s="18">
        <f>IF($A1411="","",IF(I1411&lt;&gt;"",I1411,Paramètres!B7))</f>
        <v/>
      </c>
      <c r="I1411" s="18" t="n"/>
    </row>
    <row r="1412">
      <c r="A1412" s="18">
        <f>IF(ISNUMBER(Dossiers!$D$30),Dossiers!$A$30&amp;" · "&amp;Dossiers!$B$30,"")</f>
        <v/>
      </c>
      <c r="B1412" s="18">
        <f>IF($A1412="","",Paramètres!G8)</f>
        <v/>
      </c>
      <c r="C1412" s="18">
        <f>IF($A1412="","",IF(Paramètres!H8="","",Paramètres!H8))</f>
        <v/>
      </c>
      <c r="D1412" s="18">
        <f>IF($A1412="","",IF(Paramètres!I8="","",Paramètres!I8))</f>
        <v/>
      </c>
      <c r="E1412" s="19">
        <f>IF($A1412="","",IF(Paramètres!J8&amp;Paramètres!L8&amp;Paramètres!N8="",Dossiers!$D$30,MAX(IF(Paramètres!J8="",0,IF(Paramètres!K8="",NA(),IF(LEFT(TRIM(Paramètres!K8),1)="F",INDEX($F$1409:$F$1461,MATCH(Paramètres!J8,Paramètres!$G$5:$G$57,0)),INDEX($E$1409:$E$1461,MATCH(Paramètres!J8,Paramètres!$G$5:$G$57,0)))+IF(RIGHT(TRIM(Paramètres!K8),3)="Fin",1-$H1412,IF(LEFT(TRIM(Paramètres!K8),1)="F",1,0)))),IF(Paramètres!L8="",0,IF(Paramètres!M8="",NA(),IF(LEFT(TRIM(Paramètres!M8),1)="F",INDEX($F$1409:$F$1461,MATCH(Paramètres!L8,Paramètres!$G$5:$G$57,0)),INDEX($E$1409:$E$1461,MATCH(Paramètres!L8,Paramètres!$G$5:$G$57,0)))+IF(RIGHT(TRIM(Paramètres!M8),3)="Fin",1-$H1412,IF(LEFT(TRIM(Paramètres!M8),1)="F",1,0)))),IF(Paramètres!N8="",0,IF(Paramètres!O8="",NA(),IF(LEFT(TRIM(Paramètres!O8),1)="F",INDEX($F$1409:$F$1461,MATCH(Paramètres!N8,Paramètres!$G$5:$G$57,0)),INDEX($E$1409:$E$1461,MATCH(Paramètres!N8,Paramètres!$G$5:$G$57,0)))+IF(RIGHT(TRIM(Paramètres!O8),3)="Fin",1-$H1412,IF(LEFT(TRIM(Paramètres!O8),1)="F",1,0)))))))</f>
        <v/>
      </c>
      <c r="F1412" s="19">
        <f>IF($A1412="","",E1412+$H1412-1)</f>
        <v/>
      </c>
      <c r="G1412" s="18" t="n"/>
      <c r="H1412" s="18">
        <f>IF($A1412="","",IF(I1412&lt;&gt;"",I1412,Paramètres!B8))</f>
        <v/>
      </c>
      <c r="I1412" s="18" t="n"/>
    </row>
    <row r="1413">
      <c r="A1413" s="18">
        <f>IF(ISNUMBER(Dossiers!$D$30),Dossiers!$A$30&amp;" · "&amp;Dossiers!$B$30,"")</f>
        <v/>
      </c>
      <c r="B1413" s="18">
        <f>IF($A1413="","",Paramètres!G9)</f>
        <v/>
      </c>
      <c r="C1413" s="18">
        <f>IF($A1413="","",IF(Paramètres!H9="","",Paramètres!H9))</f>
        <v/>
      </c>
      <c r="D1413" s="18">
        <f>IF($A1413="","",IF(Paramètres!I9="","",Paramètres!I9))</f>
        <v/>
      </c>
      <c r="E1413" s="19">
        <f>IF($A1413="","",IF(Paramètres!J9&amp;Paramètres!L9&amp;Paramètres!N9="",Dossiers!$D$30,MAX(IF(Paramètres!J9="",0,IF(Paramètres!K9="",NA(),IF(LEFT(TRIM(Paramètres!K9),1)="F",INDEX($F$1409:$F$1461,MATCH(Paramètres!J9,Paramètres!$G$5:$G$57,0)),INDEX($E$1409:$E$1461,MATCH(Paramètres!J9,Paramètres!$G$5:$G$57,0)))+IF(RIGHT(TRIM(Paramètres!K9),3)="Fin",1-$H1413,IF(LEFT(TRIM(Paramètres!K9),1)="F",1,0)))),IF(Paramètres!L9="",0,IF(Paramètres!M9="",NA(),IF(LEFT(TRIM(Paramètres!M9),1)="F",INDEX($F$1409:$F$1461,MATCH(Paramètres!L9,Paramètres!$G$5:$G$57,0)),INDEX($E$1409:$E$1461,MATCH(Paramètres!L9,Paramètres!$G$5:$G$57,0)))+IF(RIGHT(TRIM(Paramètres!M9),3)="Fin",1-$H1413,IF(LEFT(TRIM(Paramètres!M9),1)="F",1,0)))),IF(Paramètres!N9="",0,IF(Paramètres!O9="",NA(),IF(LEFT(TRIM(Paramètres!O9),1)="F",INDEX($F$1409:$F$1461,MATCH(Paramètres!N9,Paramètres!$G$5:$G$57,0)),INDEX($E$1409:$E$1461,MATCH(Paramètres!N9,Paramètres!$G$5:$G$57,0)))+IF(RIGHT(TRIM(Paramètres!O9),3)="Fin",1-$H1413,IF(LEFT(TRIM(Paramètres!O9),1)="F",1,0)))))))</f>
        <v/>
      </c>
      <c r="F1413" s="19">
        <f>IF($A1413="","",E1413+$H1413-1)</f>
        <v/>
      </c>
      <c r="G1413" s="18" t="n"/>
      <c r="H1413" s="18">
        <f>IF($A1413="","",IF(I1413&lt;&gt;"",I1413,Paramètres!B9))</f>
        <v/>
      </c>
      <c r="I1413" s="18" t="n"/>
    </row>
    <row r="1414">
      <c r="A1414" s="18">
        <f>IF(ISNUMBER(Dossiers!$D$30),Dossiers!$A$30&amp;" · "&amp;Dossiers!$B$30,"")</f>
        <v/>
      </c>
      <c r="B1414" s="18">
        <f>IF($A1414="","",Paramètres!G10)</f>
        <v/>
      </c>
      <c r="C1414" s="18">
        <f>IF($A1414="","",IF(Paramètres!H10="","",Paramètres!H10))</f>
        <v/>
      </c>
      <c r="D1414" s="18">
        <f>IF($A1414="","",IF(Paramètres!I10="","",Paramètres!I10))</f>
        <v/>
      </c>
      <c r="E1414" s="19">
        <f>IF($A1414="","",MIN(E1415:E1418))</f>
        <v/>
      </c>
      <c r="F1414" s="19">
        <f>IF($A1414="","",MAX(F1415:F1418))</f>
        <v/>
      </c>
      <c r="G1414" s="18" t="n"/>
      <c r="H1414" s="18">
        <f>IF($A1414="","",F1414-E1414+1)</f>
        <v/>
      </c>
      <c r="I1414" s="18" t="n"/>
    </row>
    <row r="1415">
      <c r="A1415" s="18">
        <f>IF(ISNUMBER(Dossiers!$D$30),Dossiers!$A$30&amp;" · "&amp;Dossiers!$B$30,"")</f>
        <v/>
      </c>
      <c r="B1415" s="18">
        <f>IF($A1415="","",Paramètres!G11)</f>
        <v/>
      </c>
      <c r="C1415" s="18">
        <f>IF($A1415="","",IF(Paramètres!H11="","",Paramètres!H11))</f>
        <v/>
      </c>
      <c r="D1415" s="18">
        <f>IF($A1415="","",IF(Paramètres!I11="","",Paramètres!I11))</f>
        <v/>
      </c>
      <c r="E1415" s="19">
        <f>IF($A1415="","",IF(Paramètres!J11&amp;Paramètres!L11&amp;Paramètres!N11="",Dossiers!$D$30,MAX(IF(Paramètres!J11="",0,IF(Paramètres!K11="",NA(),IF(LEFT(TRIM(Paramètres!K11),1)="F",INDEX($F$1409:$F$1461,MATCH(Paramètres!J11,Paramètres!$G$5:$G$57,0)),INDEX($E$1409:$E$1461,MATCH(Paramètres!J11,Paramètres!$G$5:$G$57,0)))+IF(RIGHT(TRIM(Paramètres!K11),3)="Fin",1-$H1415,IF(LEFT(TRIM(Paramètres!K11),1)="F",1,0)))),IF(Paramètres!L11="",0,IF(Paramètres!M11="",NA(),IF(LEFT(TRIM(Paramètres!M11),1)="F",INDEX($F$1409:$F$1461,MATCH(Paramètres!L11,Paramètres!$G$5:$G$57,0)),INDEX($E$1409:$E$1461,MATCH(Paramètres!L11,Paramètres!$G$5:$G$57,0)))+IF(RIGHT(TRIM(Paramètres!M11),3)="Fin",1-$H1415,IF(LEFT(TRIM(Paramètres!M11),1)="F",1,0)))),IF(Paramètres!N11="",0,IF(Paramètres!O11="",NA(),IF(LEFT(TRIM(Paramètres!O11),1)="F",INDEX($F$1409:$F$1461,MATCH(Paramètres!N11,Paramètres!$G$5:$G$57,0)),INDEX($E$1409:$E$1461,MATCH(Paramètres!N11,Paramètres!$G$5:$G$57,0)))+IF(RIGHT(TRIM(Paramètres!O11),3)="Fin",1-$H1415,IF(LEFT(TRIM(Paramètres!O11),1)="F",1,0)))))))</f>
        <v/>
      </c>
      <c r="F1415" s="19">
        <f>IF($A1415="","",E1415+$H1415-1)</f>
        <v/>
      </c>
      <c r="G1415" s="18" t="n"/>
      <c r="H1415" s="18">
        <f>IF($A1415="","",IF(I1415&lt;&gt;"",I1415,Paramètres!B11))</f>
        <v/>
      </c>
      <c r="I1415" s="18" t="n"/>
    </row>
    <row r="1416">
      <c r="A1416" s="18">
        <f>IF(ISNUMBER(Dossiers!$D$30),Dossiers!$A$30&amp;" · "&amp;Dossiers!$B$30,"")</f>
        <v/>
      </c>
      <c r="B1416" s="18">
        <f>IF($A1416="","",Paramètres!G12)</f>
        <v/>
      </c>
      <c r="C1416" s="18">
        <f>IF($A1416="","",IF(Paramètres!H12="","",Paramètres!H12))</f>
        <v/>
      </c>
      <c r="D1416" s="18">
        <f>IF($A1416="","",IF(Paramètres!I12="","",Paramètres!I12))</f>
        <v/>
      </c>
      <c r="E1416" s="19">
        <f>IF($A1416="","",IF(Paramètres!J12&amp;Paramètres!L12&amp;Paramètres!N12="",Dossiers!$D$30,MAX(IF(Paramètres!J12="",0,IF(Paramètres!K12="",NA(),IF(LEFT(TRIM(Paramètres!K12),1)="F",INDEX($F$1409:$F$1461,MATCH(Paramètres!J12,Paramètres!$G$5:$G$57,0)),INDEX($E$1409:$E$1461,MATCH(Paramètres!J12,Paramètres!$G$5:$G$57,0)))+IF(RIGHT(TRIM(Paramètres!K12),3)="Fin",1-$H1416,IF(LEFT(TRIM(Paramètres!K12),1)="F",1,0)))),IF(Paramètres!L12="",0,IF(Paramètres!M12="",NA(),IF(LEFT(TRIM(Paramètres!M12),1)="F",INDEX($F$1409:$F$1461,MATCH(Paramètres!L12,Paramètres!$G$5:$G$57,0)),INDEX($E$1409:$E$1461,MATCH(Paramètres!L12,Paramètres!$G$5:$G$57,0)))+IF(RIGHT(TRIM(Paramètres!M12),3)="Fin",1-$H1416,IF(LEFT(TRIM(Paramètres!M12),1)="F",1,0)))),IF(Paramètres!N12="",0,IF(Paramètres!O12="",NA(),IF(LEFT(TRIM(Paramètres!O12),1)="F",INDEX($F$1409:$F$1461,MATCH(Paramètres!N12,Paramètres!$G$5:$G$57,0)),INDEX($E$1409:$E$1461,MATCH(Paramètres!N12,Paramètres!$G$5:$G$57,0)))+IF(RIGHT(TRIM(Paramètres!O12),3)="Fin",1-$H1416,IF(LEFT(TRIM(Paramètres!O12),1)="F",1,0)))))))</f>
        <v/>
      </c>
      <c r="F1416" s="19">
        <f>IF($A1416="","",E1416+$H1416-1)</f>
        <v/>
      </c>
      <c r="G1416" s="18" t="n"/>
      <c r="H1416" s="18">
        <f>IF($A1416="","",IF(I1416&lt;&gt;"",I1416,Paramètres!B12))</f>
        <v/>
      </c>
      <c r="I1416" s="18" t="n"/>
    </row>
    <row r="1417">
      <c r="A1417" s="18">
        <f>IF(ISNUMBER(Dossiers!$D$30),Dossiers!$A$30&amp;" · "&amp;Dossiers!$B$30,"")</f>
        <v/>
      </c>
      <c r="B1417" s="18">
        <f>IF($A1417="","",Paramètres!G13)</f>
        <v/>
      </c>
      <c r="C1417" s="18">
        <f>IF($A1417="","",IF(Paramètres!H13="","",Paramètres!H13))</f>
        <v/>
      </c>
      <c r="D1417" s="18">
        <f>IF($A1417="","",IF(Paramètres!I13="","",Paramètres!I13))</f>
        <v/>
      </c>
      <c r="E1417" s="19">
        <f>IF($A1417="","",IF(Paramètres!J13&amp;Paramètres!L13&amp;Paramètres!N13="",Dossiers!$D$30,MAX(IF(Paramètres!J13="",0,IF(Paramètres!K13="",NA(),IF(LEFT(TRIM(Paramètres!K13),1)="F",INDEX($F$1409:$F$1461,MATCH(Paramètres!J13,Paramètres!$G$5:$G$57,0)),INDEX($E$1409:$E$1461,MATCH(Paramètres!J13,Paramètres!$G$5:$G$57,0)))+IF(RIGHT(TRIM(Paramètres!K13),3)="Fin",1-$H1417,IF(LEFT(TRIM(Paramètres!K13),1)="F",1,0)))),IF(Paramètres!L13="",0,IF(Paramètres!M13="",NA(),IF(LEFT(TRIM(Paramètres!M13),1)="F",INDEX($F$1409:$F$1461,MATCH(Paramètres!L13,Paramètres!$G$5:$G$57,0)),INDEX($E$1409:$E$1461,MATCH(Paramètres!L13,Paramètres!$G$5:$G$57,0)))+IF(RIGHT(TRIM(Paramètres!M13),3)="Fin",1-$H1417,IF(LEFT(TRIM(Paramètres!M13),1)="F",1,0)))),IF(Paramètres!N13="",0,IF(Paramètres!O13="",NA(),IF(LEFT(TRIM(Paramètres!O13),1)="F",INDEX($F$1409:$F$1461,MATCH(Paramètres!N13,Paramètres!$G$5:$G$57,0)),INDEX($E$1409:$E$1461,MATCH(Paramètres!N13,Paramètres!$G$5:$G$57,0)))+IF(RIGHT(TRIM(Paramètres!O13),3)="Fin",1-$H1417,IF(LEFT(TRIM(Paramètres!O13),1)="F",1,0)))))))</f>
        <v/>
      </c>
      <c r="F1417" s="19">
        <f>IF($A1417="","",E1417+$H1417-1)</f>
        <v/>
      </c>
      <c r="G1417" s="18" t="n"/>
      <c r="H1417" s="18">
        <f>IF($A1417="","",IF(I1417&lt;&gt;"",I1417,Paramètres!B13))</f>
        <v/>
      </c>
      <c r="I1417" s="18" t="n"/>
    </row>
    <row r="1418">
      <c r="A1418" s="18">
        <f>IF(ISNUMBER(Dossiers!$D$30),Dossiers!$A$30&amp;" · "&amp;Dossiers!$B$30,"")</f>
        <v/>
      </c>
      <c r="B1418" s="18">
        <f>IF($A1418="","",Paramètres!G14)</f>
        <v/>
      </c>
      <c r="C1418" s="18">
        <f>IF($A1418="","",IF(Paramètres!H14="","",Paramètres!H14))</f>
        <v/>
      </c>
      <c r="D1418" s="18">
        <f>IF($A1418="","",IF(Paramètres!I14="","",Paramètres!I14))</f>
        <v/>
      </c>
      <c r="E1418" s="19">
        <f>IF($A1418="","",IF(Paramètres!J14&amp;Paramètres!L14&amp;Paramètres!N14="",Dossiers!$D$30,MAX(IF(Paramètres!J14="",0,IF(Paramètres!K14="",NA(),IF(LEFT(TRIM(Paramètres!K14),1)="F",INDEX($F$1409:$F$1461,MATCH(Paramètres!J14,Paramètres!$G$5:$G$57,0)),INDEX($E$1409:$E$1461,MATCH(Paramètres!J14,Paramètres!$G$5:$G$57,0)))+IF(RIGHT(TRIM(Paramètres!K14),3)="Fin",1-$H1418,IF(LEFT(TRIM(Paramètres!K14),1)="F",1,0)))),IF(Paramètres!L14="",0,IF(Paramètres!M14="",NA(),IF(LEFT(TRIM(Paramètres!M14),1)="F",INDEX($F$1409:$F$1461,MATCH(Paramètres!L14,Paramètres!$G$5:$G$57,0)),INDEX($E$1409:$E$1461,MATCH(Paramètres!L14,Paramètres!$G$5:$G$57,0)))+IF(RIGHT(TRIM(Paramètres!M14),3)="Fin",1-$H1418,IF(LEFT(TRIM(Paramètres!M14),1)="F",1,0)))),IF(Paramètres!N14="",0,IF(Paramètres!O14="",NA(),IF(LEFT(TRIM(Paramètres!O14),1)="F",INDEX($F$1409:$F$1461,MATCH(Paramètres!N14,Paramètres!$G$5:$G$57,0)),INDEX($E$1409:$E$1461,MATCH(Paramètres!N14,Paramètres!$G$5:$G$57,0)))+IF(RIGHT(TRIM(Paramètres!O14),3)="Fin",1-$H1418,IF(LEFT(TRIM(Paramètres!O14),1)="F",1,0)))))))</f>
        <v/>
      </c>
      <c r="F1418" s="19">
        <f>IF($A1418="","",E1418+$H1418-1)</f>
        <v/>
      </c>
      <c r="G1418" s="18" t="n"/>
      <c r="H1418" s="18">
        <f>IF($A1418="","",IF(I1418&lt;&gt;"",I1418,Paramètres!B14))</f>
        <v/>
      </c>
      <c r="I1418" s="18" t="n"/>
    </row>
    <row r="1419">
      <c r="A1419" s="18">
        <f>IF(ISNUMBER(Dossiers!$D$30),Dossiers!$A$30&amp;" · "&amp;Dossiers!$B$30,"")</f>
        <v/>
      </c>
      <c r="B1419" s="18">
        <f>IF($A1419="","",Paramètres!G15)</f>
        <v/>
      </c>
      <c r="C1419" s="18">
        <f>IF($A1419="","",IF(Paramètres!H15="","",Paramètres!H15))</f>
        <v/>
      </c>
      <c r="D1419" s="18">
        <f>IF($A1419="","",IF(Paramètres!I15="","",Paramètres!I15))</f>
        <v/>
      </c>
      <c r="E1419" s="19">
        <f>IF($A1419="","",MIN(E1420:E1435))</f>
        <v/>
      </c>
      <c r="F1419" s="19">
        <f>IF($A1419="","",MAX(F1420:F1435))</f>
        <v/>
      </c>
      <c r="G1419" s="18" t="n"/>
      <c r="H1419" s="18">
        <f>IF($A1419="","",F1419-E1419+1)</f>
        <v/>
      </c>
      <c r="I1419" s="18" t="n"/>
    </row>
    <row r="1420">
      <c r="A1420" s="18">
        <f>IF(ISNUMBER(Dossiers!$D$30),Dossiers!$A$30&amp;" · "&amp;Dossiers!$B$30,"")</f>
        <v/>
      </c>
      <c r="B1420" s="18">
        <f>IF($A1420="","",Paramètres!G16)</f>
        <v/>
      </c>
      <c r="C1420" s="18">
        <f>IF($A1420="","",IF(Paramètres!H16="","",Paramètres!H16))</f>
        <v/>
      </c>
      <c r="D1420" s="18">
        <f>IF($A1420="","",IF(Paramètres!I16="","",Paramètres!I16))</f>
        <v/>
      </c>
      <c r="E1420" s="19">
        <f>IF($A1420="","",IF(Paramètres!J16&amp;Paramètres!L16&amp;Paramètres!N16="",Dossiers!$D$30,MAX(IF(Paramètres!J16="",0,IF(Paramètres!K16="",NA(),IF(LEFT(TRIM(Paramètres!K16),1)="F",INDEX($F$1409:$F$1461,MATCH(Paramètres!J16,Paramètres!$G$5:$G$57,0)),INDEX($E$1409:$E$1461,MATCH(Paramètres!J16,Paramètres!$G$5:$G$57,0)))+IF(RIGHT(TRIM(Paramètres!K16),3)="Fin",1-$H1420,IF(LEFT(TRIM(Paramètres!K16),1)="F",1,0)))),IF(Paramètres!L16="",0,IF(Paramètres!M16="",NA(),IF(LEFT(TRIM(Paramètres!M16),1)="F",INDEX($F$1409:$F$1461,MATCH(Paramètres!L16,Paramètres!$G$5:$G$57,0)),INDEX($E$1409:$E$1461,MATCH(Paramètres!L16,Paramètres!$G$5:$G$57,0)))+IF(RIGHT(TRIM(Paramètres!M16),3)="Fin",1-$H1420,IF(LEFT(TRIM(Paramètres!M16),1)="F",1,0)))),IF(Paramètres!N16="",0,IF(Paramètres!O16="",NA(),IF(LEFT(TRIM(Paramètres!O16),1)="F",INDEX($F$1409:$F$1461,MATCH(Paramètres!N16,Paramètres!$G$5:$G$57,0)),INDEX($E$1409:$E$1461,MATCH(Paramètres!N16,Paramètres!$G$5:$G$57,0)))+IF(RIGHT(TRIM(Paramètres!O16),3)="Fin",1-$H1420,IF(LEFT(TRIM(Paramètres!O16),1)="F",1,0)))))))</f>
        <v/>
      </c>
      <c r="F1420" s="19">
        <f>IF($A1420="","",E1420+$H1420-1)</f>
        <v/>
      </c>
      <c r="G1420" s="18" t="n"/>
      <c r="H1420" s="18">
        <f>IF($A1420="","",IF(I1420&lt;&gt;"",I1420,Paramètres!B16))</f>
        <v/>
      </c>
      <c r="I1420" s="18" t="n"/>
    </row>
    <row r="1421">
      <c r="A1421" s="18">
        <f>IF(ISNUMBER(Dossiers!$D$30),Dossiers!$A$30&amp;" · "&amp;Dossiers!$B$30,"")</f>
        <v/>
      </c>
      <c r="B1421" s="18">
        <f>IF($A1421="","",Paramètres!G17)</f>
        <v/>
      </c>
      <c r="C1421" s="18">
        <f>IF($A1421="","",IF(Paramètres!H17="","",Paramètres!H17))</f>
        <v/>
      </c>
      <c r="D1421" s="18">
        <f>IF($A1421="","",IF(Paramètres!I17="","",Paramètres!I17))</f>
        <v/>
      </c>
      <c r="E1421" s="19">
        <f>IF($A1421="","",IF(Paramètres!J17&amp;Paramètres!L17&amp;Paramètres!N17="",Dossiers!$D$30,MAX(IF(Paramètres!J17="",0,IF(Paramètres!K17="",NA(),IF(LEFT(TRIM(Paramètres!K17),1)="F",INDEX($F$1409:$F$1461,MATCH(Paramètres!J17,Paramètres!$G$5:$G$57,0)),INDEX($E$1409:$E$1461,MATCH(Paramètres!J17,Paramètres!$G$5:$G$57,0)))+IF(RIGHT(TRIM(Paramètres!K17),3)="Fin",1-$H1421,IF(LEFT(TRIM(Paramètres!K17),1)="F",1,0)))),IF(Paramètres!L17="",0,IF(Paramètres!M17="",NA(),IF(LEFT(TRIM(Paramètres!M17),1)="F",INDEX($F$1409:$F$1461,MATCH(Paramètres!L17,Paramètres!$G$5:$G$57,0)),INDEX($E$1409:$E$1461,MATCH(Paramètres!L17,Paramètres!$G$5:$G$57,0)))+IF(RIGHT(TRIM(Paramètres!M17),3)="Fin",1-$H1421,IF(LEFT(TRIM(Paramètres!M17),1)="F",1,0)))),IF(Paramètres!N17="",0,IF(Paramètres!O17="",NA(),IF(LEFT(TRIM(Paramètres!O17),1)="F",INDEX($F$1409:$F$1461,MATCH(Paramètres!N17,Paramètres!$G$5:$G$57,0)),INDEX($E$1409:$E$1461,MATCH(Paramètres!N17,Paramètres!$G$5:$G$57,0)))+IF(RIGHT(TRIM(Paramètres!O17),3)="Fin",1-$H1421,IF(LEFT(TRIM(Paramètres!O17),1)="F",1,0)))))))</f>
        <v/>
      </c>
      <c r="F1421" s="19">
        <f>IF($A1421="","",E1421+$H1421-1)</f>
        <v/>
      </c>
      <c r="G1421" s="18" t="n"/>
      <c r="H1421" s="18">
        <f>IF($A1421="","",IF(I1421&lt;&gt;"",I1421,Paramètres!B17))</f>
        <v/>
      </c>
      <c r="I1421" s="18" t="n"/>
    </row>
    <row r="1422">
      <c r="A1422" s="18">
        <f>IF(ISNUMBER(Dossiers!$D$30),Dossiers!$A$30&amp;" · "&amp;Dossiers!$B$30,"")</f>
        <v/>
      </c>
      <c r="B1422" s="18">
        <f>IF($A1422="","",Paramètres!G18)</f>
        <v/>
      </c>
      <c r="C1422" s="18">
        <f>IF($A1422="","",IF(Paramètres!H18="","",Paramètres!H18))</f>
        <v/>
      </c>
      <c r="D1422" s="18">
        <f>IF($A1422="","",IF(Paramètres!I18="","",Paramètres!I18))</f>
        <v/>
      </c>
      <c r="E1422" s="19">
        <f>IF($A1422="","",IF(Paramètres!J18&amp;Paramètres!L18&amp;Paramètres!N18="",Dossiers!$D$30,MAX(IF(Paramètres!J18="",0,IF(Paramètres!K18="",NA(),IF(LEFT(TRIM(Paramètres!K18),1)="F",INDEX($F$1409:$F$1461,MATCH(Paramètres!J18,Paramètres!$G$5:$G$57,0)),INDEX($E$1409:$E$1461,MATCH(Paramètres!J18,Paramètres!$G$5:$G$57,0)))+IF(RIGHT(TRIM(Paramètres!K18),3)="Fin",1-$H1422,IF(LEFT(TRIM(Paramètres!K18),1)="F",1,0)))),IF(Paramètres!L18="",0,IF(Paramètres!M18="",NA(),IF(LEFT(TRIM(Paramètres!M18),1)="F",INDEX($F$1409:$F$1461,MATCH(Paramètres!L18,Paramètres!$G$5:$G$57,0)),INDEX($E$1409:$E$1461,MATCH(Paramètres!L18,Paramètres!$G$5:$G$57,0)))+IF(RIGHT(TRIM(Paramètres!M18),3)="Fin",1-$H1422,IF(LEFT(TRIM(Paramètres!M18),1)="F",1,0)))),IF(Paramètres!N18="",0,IF(Paramètres!O18="",NA(),IF(LEFT(TRIM(Paramètres!O18),1)="F",INDEX($F$1409:$F$1461,MATCH(Paramètres!N18,Paramètres!$G$5:$G$57,0)),INDEX($E$1409:$E$1461,MATCH(Paramètres!N18,Paramètres!$G$5:$G$57,0)))+IF(RIGHT(TRIM(Paramètres!O18),3)="Fin",1-$H1422,IF(LEFT(TRIM(Paramètres!O18),1)="F",1,0)))))))</f>
        <v/>
      </c>
      <c r="F1422" s="19">
        <f>IF($A1422="","",E1422+$H1422-1)</f>
        <v/>
      </c>
      <c r="G1422" s="18" t="n"/>
      <c r="H1422" s="18">
        <f>IF($A1422="","",IF(I1422&lt;&gt;"",I1422,Paramètres!B18))</f>
        <v/>
      </c>
      <c r="I1422" s="18" t="n"/>
    </row>
    <row r="1423">
      <c r="A1423" s="18">
        <f>IF(ISNUMBER(Dossiers!$D$30),Dossiers!$A$30&amp;" · "&amp;Dossiers!$B$30,"")</f>
        <v/>
      </c>
      <c r="B1423" s="18">
        <f>IF($A1423="","",Paramètres!G19)</f>
        <v/>
      </c>
      <c r="C1423" s="18">
        <f>IF($A1423="","",IF(Paramètres!H19="","",Paramètres!H19))</f>
        <v/>
      </c>
      <c r="D1423" s="18">
        <f>IF($A1423="","",IF(Paramètres!I19="","",Paramètres!I19))</f>
        <v/>
      </c>
      <c r="E1423" s="19">
        <f>IF($A1423="","",IF(Paramètres!J19&amp;Paramètres!L19&amp;Paramètres!N19="",Dossiers!$D$30,MAX(IF(Paramètres!J19="",0,IF(Paramètres!K19="",NA(),IF(LEFT(TRIM(Paramètres!K19),1)="F",INDEX($F$1409:$F$1461,MATCH(Paramètres!J19,Paramètres!$G$5:$G$57,0)),INDEX($E$1409:$E$1461,MATCH(Paramètres!J19,Paramètres!$G$5:$G$57,0)))+IF(RIGHT(TRIM(Paramètres!K19),3)="Fin",1-$H1423,IF(LEFT(TRIM(Paramètres!K19),1)="F",1,0)))),IF(Paramètres!L19="",0,IF(Paramètres!M19="",NA(),IF(LEFT(TRIM(Paramètres!M19),1)="F",INDEX($F$1409:$F$1461,MATCH(Paramètres!L19,Paramètres!$G$5:$G$57,0)),INDEX($E$1409:$E$1461,MATCH(Paramètres!L19,Paramètres!$G$5:$G$57,0)))+IF(RIGHT(TRIM(Paramètres!M19),3)="Fin",1-$H1423,IF(LEFT(TRIM(Paramètres!M19),1)="F",1,0)))),IF(Paramètres!N19="",0,IF(Paramètres!O19="",NA(),IF(LEFT(TRIM(Paramètres!O19),1)="F",INDEX($F$1409:$F$1461,MATCH(Paramètres!N19,Paramètres!$G$5:$G$57,0)),INDEX($E$1409:$E$1461,MATCH(Paramètres!N19,Paramètres!$G$5:$G$57,0)))+IF(RIGHT(TRIM(Paramètres!O19),3)="Fin",1-$H1423,IF(LEFT(TRIM(Paramètres!O19),1)="F",1,0)))))))</f>
        <v/>
      </c>
      <c r="F1423" s="19">
        <f>IF($A1423="","",E1423+$H1423-1)</f>
        <v/>
      </c>
      <c r="G1423" s="18" t="n"/>
      <c r="H1423" s="18">
        <f>IF($A1423="","",IF(I1423&lt;&gt;"",I1423,Paramètres!B19))</f>
        <v/>
      </c>
      <c r="I1423" s="18" t="n"/>
    </row>
    <row r="1424">
      <c r="A1424" s="18">
        <f>IF(ISNUMBER(Dossiers!$D$30),Dossiers!$A$30&amp;" · "&amp;Dossiers!$B$30,"")</f>
        <v/>
      </c>
      <c r="B1424" s="18">
        <f>IF($A1424="","",Paramètres!G20)</f>
        <v/>
      </c>
      <c r="C1424" s="18">
        <f>IF($A1424="","",IF(Paramètres!H20="","",Paramètres!H20))</f>
        <v/>
      </c>
      <c r="D1424" s="18">
        <f>IF($A1424="","",IF(Paramètres!I20="","",Paramètres!I20))</f>
        <v/>
      </c>
      <c r="E1424" s="19">
        <f>IF($A1424="","",IF(Paramètres!J20&amp;Paramètres!L20&amp;Paramètres!N20="",Dossiers!$D$30,MAX(IF(Paramètres!J20="",0,IF(Paramètres!K20="",NA(),IF(LEFT(TRIM(Paramètres!K20),1)="F",INDEX($F$1409:$F$1461,MATCH(Paramètres!J20,Paramètres!$G$5:$G$57,0)),INDEX($E$1409:$E$1461,MATCH(Paramètres!J20,Paramètres!$G$5:$G$57,0)))+IF(RIGHT(TRIM(Paramètres!K20),3)="Fin",1-$H1424,IF(LEFT(TRIM(Paramètres!K20),1)="F",1,0)))),IF(Paramètres!L20="",0,IF(Paramètres!M20="",NA(),IF(LEFT(TRIM(Paramètres!M20),1)="F",INDEX($F$1409:$F$1461,MATCH(Paramètres!L20,Paramètres!$G$5:$G$57,0)),INDEX($E$1409:$E$1461,MATCH(Paramètres!L20,Paramètres!$G$5:$G$57,0)))+IF(RIGHT(TRIM(Paramètres!M20),3)="Fin",1-$H1424,IF(LEFT(TRIM(Paramètres!M20),1)="F",1,0)))),IF(Paramètres!N20="",0,IF(Paramètres!O20="",NA(),IF(LEFT(TRIM(Paramètres!O20),1)="F",INDEX($F$1409:$F$1461,MATCH(Paramètres!N20,Paramètres!$G$5:$G$57,0)),INDEX($E$1409:$E$1461,MATCH(Paramètres!N20,Paramètres!$G$5:$G$57,0)))+IF(RIGHT(TRIM(Paramètres!O20),3)="Fin",1-$H1424,IF(LEFT(TRIM(Paramètres!O20),1)="F",1,0)))))))</f>
        <v/>
      </c>
      <c r="F1424" s="19">
        <f>IF($A1424="","",E1424+$H1424-1)</f>
        <v/>
      </c>
      <c r="G1424" s="18" t="n"/>
      <c r="H1424" s="18">
        <f>IF($A1424="","",IF(I1424&lt;&gt;"",I1424,Paramètres!B20))</f>
        <v/>
      </c>
      <c r="I1424" s="18" t="n"/>
    </row>
    <row r="1425">
      <c r="A1425" s="18">
        <f>IF(ISNUMBER(Dossiers!$D$30),Dossiers!$A$30&amp;" · "&amp;Dossiers!$B$30,"")</f>
        <v/>
      </c>
      <c r="B1425" s="18">
        <f>IF($A1425="","",Paramètres!G21)</f>
        <v/>
      </c>
      <c r="C1425" s="18">
        <f>IF($A1425="","",IF(Paramètres!H21="","",Paramètres!H21))</f>
        <v/>
      </c>
      <c r="D1425" s="18">
        <f>IF($A1425="","",IF(Paramètres!I21="","",Paramètres!I21))</f>
        <v/>
      </c>
      <c r="E1425" s="19">
        <f>IF($A1425="","",IF(Paramètres!J21&amp;Paramètres!L21&amp;Paramètres!N21="",Dossiers!$D$30,MAX(IF(Paramètres!J21="",0,IF(Paramètres!K21="",NA(),IF(LEFT(TRIM(Paramètres!K21),1)="F",INDEX($F$1409:$F$1461,MATCH(Paramètres!J21,Paramètres!$G$5:$G$57,0)),INDEX($E$1409:$E$1461,MATCH(Paramètres!J21,Paramètres!$G$5:$G$57,0)))+IF(RIGHT(TRIM(Paramètres!K21),3)="Fin",1-$H1425,IF(LEFT(TRIM(Paramètres!K21),1)="F",1,0)))),IF(Paramètres!L21="",0,IF(Paramètres!M21="",NA(),IF(LEFT(TRIM(Paramètres!M21),1)="F",INDEX($F$1409:$F$1461,MATCH(Paramètres!L21,Paramètres!$G$5:$G$57,0)),INDEX($E$1409:$E$1461,MATCH(Paramètres!L21,Paramètres!$G$5:$G$57,0)))+IF(RIGHT(TRIM(Paramètres!M21),3)="Fin",1-$H1425,IF(LEFT(TRIM(Paramètres!M21),1)="F",1,0)))),IF(Paramètres!N21="",0,IF(Paramètres!O21="",NA(),IF(LEFT(TRIM(Paramètres!O21),1)="F",INDEX($F$1409:$F$1461,MATCH(Paramètres!N21,Paramètres!$G$5:$G$57,0)),INDEX($E$1409:$E$1461,MATCH(Paramètres!N21,Paramètres!$G$5:$G$57,0)))+IF(RIGHT(TRIM(Paramètres!O21),3)="Fin",1-$H1425,IF(LEFT(TRIM(Paramètres!O21),1)="F",1,0)))))))</f>
        <v/>
      </c>
      <c r="F1425" s="19">
        <f>IF($A1425="","",E1425+$H1425-1)</f>
        <v/>
      </c>
      <c r="G1425" s="18" t="n"/>
      <c r="H1425" s="18">
        <f>IF($A1425="","",IF(I1425&lt;&gt;"",I1425,Paramètres!B21))</f>
        <v/>
      </c>
      <c r="I1425" s="18" t="n"/>
    </row>
    <row r="1426">
      <c r="A1426" s="18">
        <f>IF(ISNUMBER(Dossiers!$D$30),Dossiers!$A$30&amp;" · "&amp;Dossiers!$B$30,"")</f>
        <v/>
      </c>
      <c r="B1426" s="18">
        <f>IF($A1426="","",Paramètres!G22)</f>
        <v/>
      </c>
      <c r="C1426" s="18">
        <f>IF($A1426="","",IF(Paramètres!H22="","",Paramètres!H22))</f>
        <v/>
      </c>
      <c r="D1426" s="18">
        <f>IF($A1426="","",IF(Paramètres!I22="","",Paramètres!I22))</f>
        <v/>
      </c>
      <c r="E1426" s="19">
        <f>IF($A1426="","",IF(Paramètres!J22&amp;Paramètres!L22&amp;Paramètres!N22="",Dossiers!$D$30,MAX(IF(Paramètres!J22="",0,IF(Paramètres!K22="",NA(),IF(LEFT(TRIM(Paramètres!K22),1)="F",INDEX($F$1409:$F$1461,MATCH(Paramètres!J22,Paramètres!$G$5:$G$57,0)),INDEX($E$1409:$E$1461,MATCH(Paramètres!J22,Paramètres!$G$5:$G$57,0)))+IF(RIGHT(TRIM(Paramètres!K22),3)="Fin",1-$H1426,IF(LEFT(TRIM(Paramètres!K22),1)="F",1,0)))),IF(Paramètres!L22="",0,IF(Paramètres!M22="",NA(),IF(LEFT(TRIM(Paramètres!M22),1)="F",INDEX($F$1409:$F$1461,MATCH(Paramètres!L22,Paramètres!$G$5:$G$57,0)),INDEX($E$1409:$E$1461,MATCH(Paramètres!L22,Paramètres!$G$5:$G$57,0)))+IF(RIGHT(TRIM(Paramètres!M22),3)="Fin",1-$H1426,IF(LEFT(TRIM(Paramètres!M22),1)="F",1,0)))),IF(Paramètres!N22="",0,IF(Paramètres!O22="",NA(),IF(LEFT(TRIM(Paramètres!O22),1)="F",INDEX($F$1409:$F$1461,MATCH(Paramètres!N22,Paramètres!$G$5:$G$57,0)),INDEX($E$1409:$E$1461,MATCH(Paramètres!N22,Paramètres!$G$5:$G$57,0)))+IF(RIGHT(TRIM(Paramètres!O22),3)="Fin",1-$H1426,IF(LEFT(TRIM(Paramètres!O22),1)="F",1,0)))))))</f>
        <v/>
      </c>
      <c r="F1426" s="19">
        <f>IF($A1426="","",E1426+$H1426-1)</f>
        <v/>
      </c>
      <c r="G1426" s="18" t="n"/>
      <c r="H1426" s="18">
        <f>IF($A1426="","",IF(I1426&lt;&gt;"",I1426,Paramètres!B22))</f>
        <v/>
      </c>
      <c r="I1426" s="18" t="n"/>
    </row>
    <row r="1427">
      <c r="A1427" s="18">
        <f>IF(ISNUMBER(Dossiers!$D$30),Dossiers!$A$30&amp;" · "&amp;Dossiers!$B$30,"")</f>
        <v/>
      </c>
      <c r="B1427" s="18">
        <f>IF($A1427="","",Paramètres!G23)</f>
        <v/>
      </c>
      <c r="C1427" s="18">
        <f>IF($A1427="","",IF(Paramètres!H23="","",Paramètres!H23))</f>
        <v/>
      </c>
      <c r="D1427" s="18">
        <f>IF($A1427="","",IF(Paramètres!I23="","",Paramètres!I23))</f>
        <v/>
      </c>
      <c r="E1427" s="19">
        <f>IF($A1427="","",IF(Paramètres!J23&amp;Paramètres!L23&amp;Paramètres!N23="",Dossiers!$D$30,MAX(IF(Paramètres!J23="",0,IF(Paramètres!K23="",NA(),IF(LEFT(TRIM(Paramètres!K23),1)="F",INDEX($F$1409:$F$1461,MATCH(Paramètres!J23,Paramètres!$G$5:$G$57,0)),INDEX($E$1409:$E$1461,MATCH(Paramètres!J23,Paramètres!$G$5:$G$57,0)))+IF(RIGHT(TRIM(Paramètres!K23),3)="Fin",1-$H1427,IF(LEFT(TRIM(Paramètres!K23),1)="F",1,0)))),IF(Paramètres!L23="",0,IF(Paramètres!M23="",NA(),IF(LEFT(TRIM(Paramètres!M23),1)="F",INDEX($F$1409:$F$1461,MATCH(Paramètres!L23,Paramètres!$G$5:$G$57,0)),INDEX($E$1409:$E$1461,MATCH(Paramètres!L23,Paramètres!$G$5:$G$57,0)))+IF(RIGHT(TRIM(Paramètres!M23),3)="Fin",1-$H1427,IF(LEFT(TRIM(Paramètres!M23),1)="F",1,0)))),IF(Paramètres!N23="",0,IF(Paramètres!O23="",NA(),IF(LEFT(TRIM(Paramètres!O23),1)="F",INDEX($F$1409:$F$1461,MATCH(Paramètres!N23,Paramètres!$G$5:$G$57,0)),INDEX($E$1409:$E$1461,MATCH(Paramètres!N23,Paramètres!$G$5:$G$57,0)))+IF(RIGHT(TRIM(Paramètres!O23),3)="Fin",1-$H1427,IF(LEFT(TRIM(Paramètres!O23),1)="F",1,0)))))))</f>
        <v/>
      </c>
      <c r="F1427" s="19">
        <f>IF($A1427="","",E1427+$H1427-1)</f>
        <v/>
      </c>
      <c r="G1427" s="18" t="n"/>
      <c r="H1427" s="18">
        <f>IF($A1427="","",IF(I1427&lt;&gt;"",I1427,Paramètres!B23))</f>
        <v/>
      </c>
      <c r="I1427" s="18" t="n"/>
    </row>
    <row r="1428">
      <c r="A1428" s="18">
        <f>IF(ISNUMBER(Dossiers!$D$30),Dossiers!$A$30&amp;" · "&amp;Dossiers!$B$30,"")</f>
        <v/>
      </c>
      <c r="B1428" s="18">
        <f>IF($A1428="","",Paramètres!G24)</f>
        <v/>
      </c>
      <c r="C1428" s="18">
        <f>IF($A1428="","",IF(Paramètres!H24="","",Paramètres!H24))</f>
        <v/>
      </c>
      <c r="D1428" s="18">
        <f>IF($A1428="","",IF(Paramètres!I24="","",Paramètres!I24))</f>
        <v/>
      </c>
      <c r="E1428" s="19">
        <f>IF($A1428="","",IF(Paramètres!J24&amp;Paramètres!L24&amp;Paramètres!N24="",Dossiers!$D$30,MAX(IF(Paramètres!J24="",0,IF(Paramètres!K24="",NA(),IF(LEFT(TRIM(Paramètres!K24),1)="F",INDEX($F$1409:$F$1461,MATCH(Paramètres!J24,Paramètres!$G$5:$G$57,0)),INDEX($E$1409:$E$1461,MATCH(Paramètres!J24,Paramètres!$G$5:$G$57,0)))+IF(RIGHT(TRIM(Paramètres!K24),3)="Fin",1-$H1428,IF(LEFT(TRIM(Paramètres!K24),1)="F",1,0)))),IF(Paramètres!L24="",0,IF(Paramètres!M24="",NA(),IF(LEFT(TRIM(Paramètres!M24),1)="F",INDEX($F$1409:$F$1461,MATCH(Paramètres!L24,Paramètres!$G$5:$G$57,0)),INDEX($E$1409:$E$1461,MATCH(Paramètres!L24,Paramètres!$G$5:$G$57,0)))+IF(RIGHT(TRIM(Paramètres!M24),3)="Fin",1-$H1428,IF(LEFT(TRIM(Paramètres!M24),1)="F",1,0)))),IF(Paramètres!N24="",0,IF(Paramètres!O24="",NA(),IF(LEFT(TRIM(Paramètres!O24),1)="F",INDEX($F$1409:$F$1461,MATCH(Paramètres!N24,Paramètres!$G$5:$G$57,0)),INDEX($E$1409:$E$1461,MATCH(Paramètres!N24,Paramètres!$G$5:$G$57,0)))+IF(RIGHT(TRIM(Paramètres!O24),3)="Fin",1-$H1428,IF(LEFT(TRIM(Paramètres!O24),1)="F",1,0)))))))</f>
        <v/>
      </c>
      <c r="F1428" s="19">
        <f>IF($A1428="","",E1428+$H1428-1)</f>
        <v/>
      </c>
      <c r="G1428" s="18" t="n"/>
      <c r="H1428" s="18">
        <f>IF($A1428="","",IF(I1428&lt;&gt;"",I1428,Paramètres!B24))</f>
        <v/>
      </c>
      <c r="I1428" s="18" t="n"/>
    </row>
    <row r="1429">
      <c r="A1429" s="18">
        <f>IF(ISNUMBER(Dossiers!$D$30),Dossiers!$A$30&amp;" · "&amp;Dossiers!$B$30,"")</f>
        <v/>
      </c>
      <c r="B1429" s="18">
        <f>IF($A1429="","",Paramètres!G25)</f>
        <v/>
      </c>
      <c r="C1429" s="18">
        <f>IF($A1429="","",IF(Paramètres!H25="","",Paramètres!H25))</f>
        <v/>
      </c>
      <c r="D1429" s="18">
        <f>IF($A1429="","",IF(Paramètres!I25="","",Paramètres!I25))</f>
        <v/>
      </c>
      <c r="E1429" s="19">
        <f>IF($A1429="","",IF(Paramètres!J25&amp;Paramètres!L25&amp;Paramètres!N25="",Dossiers!$D$30,MAX(IF(Paramètres!J25="",0,IF(Paramètres!K25="",NA(),IF(LEFT(TRIM(Paramètres!K25),1)="F",INDEX($F$1409:$F$1461,MATCH(Paramètres!J25,Paramètres!$G$5:$G$57,0)),INDEX($E$1409:$E$1461,MATCH(Paramètres!J25,Paramètres!$G$5:$G$57,0)))+IF(RIGHT(TRIM(Paramètres!K25),3)="Fin",1-$H1429,IF(LEFT(TRIM(Paramètres!K25),1)="F",1,0)))),IF(Paramètres!L25="",0,IF(Paramètres!M25="",NA(),IF(LEFT(TRIM(Paramètres!M25),1)="F",INDEX($F$1409:$F$1461,MATCH(Paramètres!L25,Paramètres!$G$5:$G$57,0)),INDEX($E$1409:$E$1461,MATCH(Paramètres!L25,Paramètres!$G$5:$G$57,0)))+IF(RIGHT(TRIM(Paramètres!M25),3)="Fin",1-$H1429,IF(LEFT(TRIM(Paramètres!M25),1)="F",1,0)))),IF(Paramètres!N25="",0,IF(Paramètres!O25="",NA(),IF(LEFT(TRIM(Paramètres!O25),1)="F",INDEX($F$1409:$F$1461,MATCH(Paramètres!N25,Paramètres!$G$5:$G$57,0)),INDEX($E$1409:$E$1461,MATCH(Paramètres!N25,Paramètres!$G$5:$G$57,0)))+IF(RIGHT(TRIM(Paramètres!O25),3)="Fin",1-$H1429,IF(LEFT(TRIM(Paramètres!O25),1)="F",1,0)))))))</f>
        <v/>
      </c>
      <c r="F1429" s="19">
        <f>IF($A1429="","",E1429+$H1429-1)</f>
        <v/>
      </c>
      <c r="G1429" s="18" t="n"/>
      <c r="H1429" s="18">
        <f>IF($A1429="","",IF(I1429&lt;&gt;"",I1429,Paramètres!B25))</f>
        <v/>
      </c>
      <c r="I1429" s="18" t="n"/>
    </row>
    <row r="1430">
      <c r="A1430" s="18">
        <f>IF(ISNUMBER(Dossiers!$D$30),Dossiers!$A$30&amp;" · "&amp;Dossiers!$B$30,"")</f>
        <v/>
      </c>
      <c r="B1430" s="18">
        <f>IF($A1430="","",Paramètres!G26)</f>
        <v/>
      </c>
      <c r="C1430" s="18">
        <f>IF($A1430="","",IF(Paramètres!H26="","",Paramètres!H26))</f>
        <v/>
      </c>
      <c r="D1430" s="18">
        <f>IF($A1430="","",IF(Paramètres!I26="","",Paramètres!I26))</f>
        <v/>
      </c>
      <c r="E1430" s="19">
        <f>IF($A1430="","",IF(Paramètres!J26&amp;Paramètres!L26&amp;Paramètres!N26="",Dossiers!$D$30,MAX(IF(Paramètres!J26="",0,IF(Paramètres!K26="",NA(),IF(LEFT(TRIM(Paramètres!K26),1)="F",INDEX($F$1409:$F$1461,MATCH(Paramètres!J26,Paramètres!$G$5:$G$57,0)),INDEX($E$1409:$E$1461,MATCH(Paramètres!J26,Paramètres!$G$5:$G$57,0)))+IF(RIGHT(TRIM(Paramètres!K26),3)="Fin",1-$H1430,IF(LEFT(TRIM(Paramètres!K26),1)="F",1,0)))),IF(Paramètres!L26="",0,IF(Paramètres!M26="",NA(),IF(LEFT(TRIM(Paramètres!M26),1)="F",INDEX($F$1409:$F$1461,MATCH(Paramètres!L26,Paramètres!$G$5:$G$57,0)),INDEX($E$1409:$E$1461,MATCH(Paramètres!L26,Paramètres!$G$5:$G$57,0)))+IF(RIGHT(TRIM(Paramètres!M26),3)="Fin",1-$H1430,IF(LEFT(TRIM(Paramètres!M26),1)="F",1,0)))),IF(Paramètres!N26="",0,IF(Paramètres!O26="",NA(),IF(LEFT(TRIM(Paramètres!O26),1)="F",INDEX($F$1409:$F$1461,MATCH(Paramètres!N26,Paramètres!$G$5:$G$57,0)),INDEX($E$1409:$E$1461,MATCH(Paramètres!N26,Paramètres!$G$5:$G$57,0)))+IF(RIGHT(TRIM(Paramètres!O26),3)="Fin",1-$H1430,IF(LEFT(TRIM(Paramètres!O26),1)="F",1,0)))))))</f>
        <v/>
      </c>
      <c r="F1430" s="19">
        <f>IF($A1430="","",E1430+$H1430-1)</f>
        <v/>
      </c>
      <c r="G1430" s="18" t="n"/>
      <c r="H1430" s="18">
        <f>IF($A1430="","",IF(I1430&lt;&gt;"",I1430,Paramètres!B26))</f>
        <v/>
      </c>
      <c r="I1430" s="18" t="n"/>
    </row>
    <row r="1431">
      <c r="A1431" s="18">
        <f>IF(ISNUMBER(Dossiers!$D$30),Dossiers!$A$30&amp;" · "&amp;Dossiers!$B$30,"")</f>
        <v/>
      </c>
      <c r="B1431" s="18">
        <f>IF($A1431="","",Paramètres!G27)</f>
        <v/>
      </c>
      <c r="C1431" s="18">
        <f>IF($A1431="","",IF(Paramètres!H27="","",Paramètres!H27))</f>
        <v/>
      </c>
      <c r="D1431" s="18">
        <f>IF($A1431="","",IF(Paramètres!I27="","",Paramètres!I27))</f>
        <v/>
      </c>
      <c r="E1431" s="19">
        <f>IF($A1431="","",IF(Paramètres!J27&amp;Paramètres!L27&amp;Paramètres!N27="",Dossiers!$D$30,MAX(IF(Paramètres!J27="",0,IF(Paramètres!K27="",NA(),IF(LEFT(TRIM(Paramètres!K27),1)="F",INDEX($F$1409:$F$1461,MATCH(Paramètres!J27,Paramètres!$G$5:$G$57,0)),INDEX($E$1409:$E$1461,MATCH(Paramètres!J27,Paramètres!$G$5:$G$57,0)))+IF(RIGHT(TRIM(Paramètres!K27),3)="Fin",1-$H1431,IF(LEFT(TRIM(Paramètres!K27),1)="F",1,0)))),IF(Paramètres!L27="",0,IF(Paramètres!M27="",NA(),IF(LEFT(TRIM(Paramètres!M27),1)="F",INDEX($F$1409:$F$1461,MATCH(Paramètres!L27,Paramètres!$G$5:$G$57,0)),INDEX($E$1409:$E$1461,MATCH(Paramètres!L27,Paramètres!$G$5:$G$57,0)))+IF(RIGHT(TRIM(Paramètres!M27),3)="Fin",1-$H1431,IF(LEFT(TRIM(Paramètres!M27),1)="F",1,0)))),IF(Paramètres!N27="",0,IF(Paramètres!O27="",NA(),IF(LEFT(TRIM(Paramètres!O27),1)="F",INDEX($F$1409:$F$1461,MATCH(Paramètres!N27,Paramètres!$G$5:$G$57,0)),INDEX($E$1409:$E$1461,MATCH(Paramètres!N27,Paramètres!$G$5:$G$57,0)))+IF(RIGHT(TRIM(Paramètres!O27),3)="Fin",1-$H1431,IF(LEFT(TRIM(Paramètres!O27),1)="F",1,0)))))))</f>
        <v/>
      </c>
      <c r="F1431" s="19">
        <f>IF($A1431="","",E1431+$H1431-1)</f>
        <v/>
      </c>
      <c r="G1431" s="18" t="n"/>
      <c r="H1431" s="18">
        <f>IF($A1431="","",IF(I1431&lt;&gt;"",I1431,Paramètres!B27))</f>
        <v/>
      </c>
      <c r="I1431" s="18" t="n"/>
    </row>
    <row r="1432">
      <c r="A1432" s="18">
        <f>IF(ISNUMBER(Dossiers!$D$30),Dossiers!$A$30&amp;" · "&amp;Dossiers!$B$30,"")</f>
        <v/>
      </c>
      <c r="B1432" s="18">
        <f>IF($A1432="","",Paramètres!G28)</f>
        <v/>
      </c>
      <c r="C1432" s="18">
        <f>IF($A1432="","",IF(Paramètres!H28="","",Paramètres!H28))</f>
        <v/>
      </c>
      <c r="D1432" s="18">
        <f>IF($A1432="","",IF(Paramètres!I28="","",Paramètres!I28))</f>
        <v/>
      </c>
      <c r="E1432" s="19">
        <f>IF($A1432="","",IF(Paramètres!J28&amp;Paramètres!L28&amp;Paramètres!N28="",Dossiers!$D$30,MAX(IF(Paramètres!J28="",0,IF(Paramètres!K28="",NA(),IF(LEFT(TRIM(Paramètres!K28),1)="F",INDEX($F$1409:$F$1461,MATCH(Paramètres!J28,Paramètres!$G$5:$G$57,0)),INDEX($E$1409:$E$1461,MATCH(Paramètres!J28,Paramètres!$G$5:$G$57,0)))+IF(RIGHT(TRIM(Paramètres!K28),3)="Fin",1-$H1432,IF(LEFT(TRIM(Paramètres!K28),1)="F",1,0)))),IF(Paramètres!L28="",0,IF(Paramètres!M28="",NA(),IF(LEFT(TRIM(Paramètres!M28),1)="F",INDEX($F$1409:$F$1461,MATCH(Paramètres!L28,Paramètres!$G$5:$G$57,0)),INDEX($E$1409:$E$1461,MATCH(Paramètres!L28,Paramètres!$G$5:$G$57,0)))+IF(RIGHT(TRIM(Paramètres!M28),3)="Fin",1-$H1432,IF(LEFT(TRIM(Paramètres!M28),1)="F",1,0)))),IF(Paramètres!N28="",0,IF(Paramètres!O28="",NA(),IF(LEFT(TRIM(Paramètres!O28),1)="F",INDEX($F$1409:$F$1461,MATCH(Paramètres!N28,Paramètres!$G$5:$G$57,0)),INDEX($E$1409:$E$1461,MATCH(Paramètres!N28,Paramètres!$G$5:$G$57,0)))+IF(RIGHT(TRIM(Paramètres!O28),3)="Fin",1-$H1432,IF(LEFT(TRIM(Paramètres!O28),1)="F",1,0)))))))</f>
        <v/>
      </c>
      <c r="F1432" s="19">
        <f>IF($A1432="","",E1432+$H1432-1)</f>
        <v/>
      </c>
      <c r="G1432" s="18" t="n"/>
      <c r="H1432" s="18">
        <f>IF($A1432="","",IF(I1432&lt;&gt;"",I1432,Paramètres!B28))</f>
        <v/>
      </c>
      <c r="I1432" s="18" t="n"/>
    </row>
    <row r="1433">
      <c r="A1433" s="18">
        <f>IF(ISNUMBER(Dossiers!$D$30),Dossiers!$A$30&amp;" · "&amp;Dossiers!$B$30,"")</f>
        <v/>
      </c>
      <c r="B1433" s="18">
        <f>IF($A1433="","",Paramètres!G29)</f>
        <v/>
      </c>
      <c r="C1433" s="18">
        <f>IF($A1433="","",IF(Paramètres!H29="","",Paramètres!H29))</f>
        <v/>
      </c>
      <c r="D1433" s="18">
        <f>IF($A1433="","",IF(Paramètres!I29="","",Paramètres!I29))</f>
        <v/>
      </c>
      <c r="E1433" s="19">
        <f>IF($A1433="","",IF(Paramètres!J29&amp;Paramètres!L29&amp;Paramètres!N29="",Dossiers!$D$30,MAX(IF(Paramètres!J29="",0,IF(Paramètres!K29="",NA(),IF(LEFT(TRIM(Paramètres!K29),1)="F",INDEX($F$1409:$F$1461,MATCH(Paramètres!J29,Paramètres!$G$5:$G$57,0)),INDEX($E$1409:$E$1461,MATCH(Paramètres!J29,Paramètres!$G$5:$G$57,0)))+IF(RIGHT(TRIM(Paramètres!K29),3)="Fin",1-$H1433,IF(LEFT(TRIM(Paramètres!K29),1)="F",1,0)))),IF(Paramètres!L29="",0,IF(Paramètres!M29="",NA(),IF(LEFT(TRIM(Paramètres!M29),1)="F",INDEX($F$1409:$F$1461,MATCH(Paramètres!L29,Paramètres!$G$5:$G$57,0)),INDEX($E$1409:$E$1461,MATCH(Paramètres!L29,Paramètres!$G$5:$G$57,0)))+IF(RIGHT(TRIM(Paramètres!M29),3)="Fin",1-$H1433,IF(LEFT(TRIM(Paramètres!M29),1)="F",1,0)))),IF(Paramètres!N29="",0,IF(Paramètres!O29="",NA(),IF(LEFT(TRIM(Paramètres!O29),1)="F",INDEX($F$1409:$F$1461,MATCH(Paramètres!N29,Paramètres!$G$5:$G$57,0)),INDEX($E$1409:$E$1461,MATCH(Paramètres!N29,Paramètres!$G$5:$G$57,0)))+IF(RIGHT(TRIM(Paramètres!O29),3)="Fin",1-$H1433,IF(LEFT(TRIM(Paramètres!O29),1)="F",1,0)))))))</f>
        <v/>
      </c>
      <c r="F1433" s="19">
        <f>IF($A1433="","",E1433+$H1433-1)</f>
        <v/>
      </c>
      <c r="G1433" s="18" t="n"/>
      <c r="H1433" s="18">
        <f>IF($A1433="","",IF(I1433&lt;&gt;"",I1433,Paramètres!B29))</f>
        <v/>
      </c>
      <c r="I1433" s="18" t="n"/>
    </row>
    <row r="1434">
      <c r="A1434" s="18">
        <f>IF(ISNUMBER(Dossiers!$D$30),Dossiers!$A$30&amp;" · "&amp;Dossiers!$B$30,"")</f>
        <v/>
      </c>
      <c r="B1434" s="18">
        <f>IF($A1434="","",Paramètres!G30)</f>
        <v/>
      </c>
      <c r="C1434" s="18">
        <f>IF($A1434="","",IF(Paramètres!H30="","",Paramètres!H30))</f>
        <v/>
      </c>
      <c r="D1434" s="18">
        <f>IF($A1434="","",IF(Paramètres!I30="","",Paramètres!I30))</f>
        <v/>
      </c>
      <c r="E1434" s="19">
        <f>IF($A1434="","",IF(Paramètres!J30&amp;Paramètres!L30&amp;Paramètres!N30="",Dossiers!$D$30,MAX(IF(Paramètres!J30="",0,IF(Paramètres!K30="",NA(),IF(LEFT(TRIM(Paramètres!K30),1)="F",INDEX($F$1409:$F$1461,MATCH(Paramètres!J30,Paramètres!$G$5:$G$57,0)),INDEX($E$1409:$E$1461,MATCH(Paramètres!J30,Paramètres!$G$5:$G$57,0)))+IF(RIGHT(TRIM(Paramètres!K30),3)="Fin",1-$H1434,IF(LEFT(TRIM(Paramètres!K30),1)="F",1,0)))),IF(Paramètres!L30="",0,IF(Paramètres!M30="",NA(),IF(LEFT(TRIM(Paramètres!M30),1)="F",INDEX($F$1409:$F$1461,MATCH(Paramètres!L30,Paramètres!$G$5:$G$57,0)),INDEX($E$1409:$E$1461,MATCH(Paramètres!L30,Paramètres!$G$5:$G$57,0)))+IF(RIGHT(TRIM(Paramètres!M30),3)="Fin",1-$H1434,IF(LEFT(TRIM(Paramètres!M30),1)="F",1,0)))),IF(Paramètres!N30="",0,IF(Paramètres!O30="",NA(),IF(LEFT(TRIM(Paramètres!O30),1)="F",INDEX($F$1409:$F$1461,MATCH(Paramètres!N30,Paramètres!$G$5:$G$57,0)),INDEX($E$1409:$E$1461,MATCH(Paramètres!N30,Paramètres!$G$5:$G$57,0)))+IF(RIGHT(TRIM(Paramètres!O30),3)="Fin",1-$H1434,IF(LEFT(TRIM(Paramètres!O30),1)="F",1,0)))))))</f>
        <v/>
      </c>
      <c r="F1434" s="19">
        <f>IF($A1434="","",E1434+$H1434-1)</f>
        <v/>
      </c>
      <c r="G1434" s="18" t="n"/>
      <c r="H1434" s="18">
        <f>IF($A1434="","",IF(I1434&lt;&gt;"",I1434,Paramètres!B30))</f>
        <v/>
      </c>
      <c r="I1434" s="18" t="n"/>
    </row>
    <row r="1435">
      <c r="A1435" s="18">
        <f>IF(ISNUMBER(Dossiers!$D$30),Dossiers!$A$30&amp;" · "&amp;Dossiers!$B$30,"")</f>
        <v/>
      </c>
      <c r="B1435" s="18">
        <f>IF($A1435="","",Paramètres!G31)</f>
        <v/>
      </c>
      <c r="C1435" s="20">
        <f>IF($A1435="","",IF(Dossiers!$F$30="","",Dossiers!$F$30))</f>
        <v/>
      </c>
      <c r="D1435" s="18">
        <f>IF($A1435="","",IF(Paramètres!I31="","",Paramètres!I31))</f>
        <v/>
      </c>
      <c r="E1435" s="19">
        <f>IF($A1435="","",IF(Paramètres!J31&amp;Paramètres!L31&amp;Paramètres!N31="",Dossiers!$D$30,MAX(IF(Paramètres!J31="",0,IF(Paramètres!K31="",NA(),IF(LEFT(TRIM(Paramètres!K31),1)="F",INDEX($F$1409:$F$1461,MATCH(Paramètres!J31,Paramètres!$G$5:$G$57,0)),INDEX($E$1409:$E$1461,MATCH(Paramètres!J31,Paramètres!$G$5:$G$57,0)))+IF(RIGHT(TRIM(Paramètres!K31),3)="Fin",1-$H1435,IF(LEFT(TRIM(Paramètres!K31),1)="F",1,0)))),IF(Paramètres!L31="",0,IF(Paramètres!M31="",NA(),IF(LEFT(TRIM(Paramètres!M31),1)="F",INDEX($F$1409:$F$1461,MATCH(Paramètres!L31,Paramètres!$G$5:$G$57,0)),INDEX($E$1409:$E$1461,MATCH(Paramètres!L31,Paramètres!$G$5:$G$57,0)))+IF(RIGHT(TRIM(Paramètres!M31),3)="Fin",1-$H1435,IF(LEFT(TRIM(Paramètres!M31),1)="F",1,0)))),IF(Paramètres!N31="",0,IF(Paramètres!O31="",NA(),IF(LEFT(TRIM(Paramètres!O31),1)="F",INDEX($F$1409:$F$1461,MATCH(Paramètres!N31,Paramètres!$G$5:$G$57,0)),INDEX($E$1409:$E$1461,MATCH(Paramètres!N31,Paramètres!$G$5:$G$57,0)))+IF(RIGHT(TRIM(Paramètres!O31),3)="Fin",1-$H1435,IF(LEFT(TRIM(Paramètres!O31),1)="F",1,0)))))))</f>
        <v/>
      </c>
      <c r="F1435" s="19">
        <f>IF($A1435="","",E1435+$H1435-1)</f>
        <v/>
      </c>
      <c r="G1435" s="18" t="n"/>
      <c r="H1435" s="18">
        <f>IF($A1435="","",IF(I1435&lt;&gt;"",I1435,Paramètres!B31))</f>
        <v/>
      </c>
      <c r="I1435" s="18" t="n"/>
    </row>
    <row r="1436">
      <c r="A1436" s="18">
        <f>IF(ISNUMBER(Dossiers!$D$30),Dossiers!$A$30&amp;" · "&amp;Dossiers!$B$30,"")</f>
        <v/>
      </c>
      <c r="B1436" s="18">
        <f>IF($A1436="","",Paramètres!G32)</f>
        <v/>
      </c>
      <c r="C1436" s="18">
        <f>IF($A1436="","",IF(Paramètres!H32="","",Paramètres!H32))</f>
        <v/>
      </c>
      <c r="D1436" s="18">
        <f>IF($A1436="","",IF(Paramètres!I32="","",Paramètres!I32))</f>
        <v/>
      </c>
      <c r="E1436" s="19">
        <f>IF($A1436="","",MIN(E1437:E1440))</f>
        <v/>
      </c>
      <c r="F1436" s="19">
        <f>IF($A1436="","",MAX(F1437:F1440))</f>
        <v/>
      </c>
      <c r="G1436" s="18" t="n"/>
      <c r="H1436" s="18">
        <f>IF($A1436="","",F1436-E1436+1)</f>
        <v/>
      </c>
      <c r="I1436" s="18" t="n"/>
    </row>
    <row r="1437">
      <c r="A1437" s="18">
        <f>IF(ISNUMBER(Dossiers!$D$30),Dossiers!$A$30&amp;" · "&amp;Dossiers!$B$30,"")</f>
        <v/>
      </c>
      <c r="B1437" s="18">
        <f>IF($A1437="","",Paramètres!G33)</f>
        <v/>
      </c>
      <c r="C1437" s="18">
        <f>IF($A1437="","",IF(Paramètres!H33="","",Paramètres!H33))</f>
        <v/>
      </c>
      <c r="D1437" s="18">
        <f>IF($A1437="","",IF(Paramètres!I33="","",Paramètres!I33))</f>
        <v/>
      </c>
      <c r="E1437" s="19">
        <f>IF($A1437="","",IF(Paramètres!J33&amp;Paramètres!L33&amp;Paramètres!N33="",Dossiers!$D$30,MAX(IF(Paramètres!J33="",0,IF(Paramètres!K33="",NA(),IF(LEFT(TRIM(Paramètres!K33),1)="F",INDEX($F$1409:$F$1461,MATCH(Paramètres!J33,Paramètres!$G$5:$G$57,0)),INDEX($E$1409:$E$1461,MATCH(Paramètres!J33,Paramètres!$G$5:$G$57,0)))+IF(RIGHT(TRIM(Paramètres!K33),3)="Fin",1-$H1437,IF(LEFT(TRIM(Paramètres!K33),1)="F",1,0)))),IF(Paramètres!L33="",0,IF(Paramètres!M33="",NA(),IF(LEFT(TRIM(Paramètres!M33),1)="F",INDEX($F$1409:$F$1461,MATCH(Paramètres!L33,Paramètres!$G$5:$G$57,0)),INDEX($E$1409:$E$1461,MATCH(Paramètres!L33,Paramètres!$G$5:$G$57,0)))+IF(RIGHT(TRIM(Paramètres!M33),3)="Fin",1-$H1437,IF(LEFT(TRIM(Paramètres!M33),1)="F",1,0)))),IF(Paramètres!N33="",0,IF(Paramètres!O33="",NA(),IF(LEFT(TRIM(Paramètres!O33),1)="F",INDEX($F$1409:$F$1461,MATCH(Paramètres!N33,Paramètres!$G$5:$G$57,0)),INDEX($E$1409:$E$1461,MATCH(Paramètres!N33,Paramètres!$G$5:$G$57,0)))+IF(RIGHT(TRIM(Paramètres!O33),3)="Fin",1-$H1437,IF(LEFT(TRIM(Paramètres!O33),1)="F",1,0)))))))</f>
        <v/>
      </c>
      <c r="F1437" s="19">
        <f>IF($A1437="","",E1437+$H1437-1)</f>
        <v/>
      </c>
      <c r="G1437" s="18" t="n"/>
      <c r="H1437" s="18">
        <f>IF($A1437="","",IF(I1437&lt;&gt;"",I1437,Paramètres!B33))</f>
        <v/>
      </c>
      <c r="I1437" s="18" t="n"/>
    </row>
    <row r="1438">
      <c r="A1438" s="18">
        <f>IF(ISNUMBER(Dossiers!$D$30),Dossiers!$A$30&amp;" · "&amp;Dossiers!$B$30,"")</f>
        <v/>
      </c>
      <c r="B1438" s="18">
        <f>IF($A1438="","",Paramètres!G34)</f>
        <v/>
      </c>
      <c r="C1438" s="18">
        <f>IF($A1438="","",IF(Paramètres!H34="","",Paramètres!H34))</f>
        <v/>
      </c>
      <c r="D1438" s="18">
        <f>IF($A1438="","",IF(Paramètres!I34="","",Paramètres!I34))</f>
        <v/>
      </c>
      <c r="E1438" s="19">
        <f>IF($A1438="","",IF(Paramètres!J34&amp;Paramètres!L34&amp;Paramètres!N34="",Dossiers!$D$30,MAX(IF(Paramètres!J34="",0,IF(Paramètres!K34="",NA(),IF(LEFT(TRIM(Paramètres!K34),1)="F",INDEX($F$1409:$F$1461,MATCH(Paramètres!J34,Paramètres!$G$5:$G$57,0)),INDEX($E$1409:$E$1461,MATCH(Paramètres!J34,Paramètres!$G$5:$G$57,0)))+IF(RIGHT(TRIM(Paramètres!K34),3)="Fin",1-$H1438,IF(LEFT(TRIM(Paramètres!K34),1)="F",1,0)))),IF(Paramètres!L34="",0,IF(Paramètres!M34="",NA(),IF(LEFT(TRIM(Paramètres!M34),1)="F",INDEX($F$1409:$F$1461,MATCH(Paramètres!L34,Paramètres!$G$5:$G$57,0)),INDEX($E$1409:$E$1461,MATCH(Paramètres!L34,Paramètres!$G$5:$G$57,0)))+IF(RIGHT(TRIM(Paramètres!M34),3)="Fin",1-$H1438,IF(LEFT(TRIM(Paramètres!M34),1)="F",1,0)))),IF(Paramètres!N34="",0,IF(Paramètres!O34="",NA(),IF(LEFT(TRIM(Paramètres!O34),1)="F",INDEX($F$1409:$F$1461,MATCH(Paramètres!N34,Paramètres!$G$5:$G$57,0)),INDEX($E$1409:$E$1461,MATCH(Paramètres!N34,Paramètres!$G$5:$G$57,0)))+IF(RIGHT(TRIM(Paramètres!O34),3)="Fin",1-$H1438,IF(LEFT(TRIM(Paramètres!O34),1)="F",1,0)))))))</f>
        <v/>
      </c>
      <c r="F1438" s="19">
        <f>IF($A1438="","",E1438+$H1438-1)</f>
        <v/>
      </c>
      <c r="G1438" s="18" t="n"/>
      <c r="H1438" s="18">
        <f>IF($A1438="","",IF(I1438&lt;&gt;"",I1438,Paramètres!B34))</f>
        <v/>
      </c>
      <c r="I1438" s="18" t="n"/>
    </row>
    <row r="1439">
      <c r="A1439" s="18">
        <f>IF(ISNUMBER(Dossiers!$D$30),Dossiers!$A$30&amp;" · "&amp;Dossiers!$B$30,"")</f>
        <v/>
      </c>
      <c r="B1439" s="18">
        <f>IF($A1439="","",Paramètres!G35)</f>
        <v/>
      </c>
      <c r="C1439" s="18">
        <f>IF($A1439="","",IF(Paramètres!H35="","",Paramètres!H35))</f>
        <v/>
      </c>
      <c r="D1439" s="18">
        <f>IF($A1439="","",IF(Paramètres!I35="","",Paramètres!I35))</f>
        <v/>
      </c>
      <c r="E1439" s="19">
        <f>IF($A1439="","",IF(Paramètres!J35&amp;Paramètres!L35&amp;Paramètres!N35="",Dossiers!$D$30,MAX(IF(Paramètres!J35="",0,IF(Paramètres!K35="",NA(),IF(LEFT(TRIM(Paramètres!K35),1)="F",INDEX($F$1409:$F$1461,MATCH(Paramètres!J35,Paramètres!$G$5:$G$57,0)),INDEX($E$1409:$E$1461,MATCH(Paramètres!J35,Paramètres!$G$5:$G$57,0)))+IF(RIGHT(TRIM(Paramètres!K35),3)="Fin",1-$H1439,IF(LEFT(TRIM(Paramètres!K35),1)="F",1,0)))),IF(Paramètres!L35="",0,IF(Paramètres!M35="",NA(),IF(LEFT(TRIM(Paramètres!M35),1)="F",INDEX($F$1409:$F$1461,MATCH(Paramètres!L35,Paramètres!$G$5:$G$57,0)),INDEX($E$1409:$E$1461,MATCH(Paramètres!L35,Paramètres!$G$5:$G$57,0)))+IF(RIGHT(TRIM(Paramètres!M35),3)="Fin",1-$H1439,IF(LEFT(TRIM(Paramètres!M35),1)="F",1,0)))),IF(Paramètres!N35="",0,IF(Paramètres!O35="",NA(),IF(LEFT(TRIM(Paramètres!O35),1)="F",INDEX($F$1409:$F$1461,MATCH(Paramètres!N35,Paramètres!$G$5:$G$57,0)),INDEX($E$1409:$E$1461,MATCH(Paramètres!N35,Paramètres!$G$5:$G$57,0)))+IF(RIGHT(TRIM(Paramètres!O35),3)="Fin",1-$H1439,IF(LEFT(TRIM(Paramètres!O35),1)="F",1,0)))))))</f>
        <v/>
      </c>
      <c r="F1439" s="19">
        <f>IF($A1439="","",E1439+$H1439-1)</f>
        <v/>
      </c>
      <c r="G1439" s="18" t="n"/>
      <c r="H1439" s="18">
        <f>IF($A1439="","",IF(I1439&lt;&gt;"",I1439,Paramètres!B35))</f>
        <v/>
      </c>
      <c r="I1439" s="18" t="n"/>
    </row>
    <row r="1440">
      <c r="A1440" s="18">
        <f>IF(ISNUMBER(Dossiers!$D$30),Dossiers!$A$30&amp;" · "&amp;Dossiers!$B$30,"")</f>
        <v/>
      </c>
      <c r="B1440" s="18">
        <f>IF($A1440="","",Paramètres!G36)</f>
        <v/>
      </c>
      <c r="C1440" s="18">
        <f>IF($A1440="","",IF(Paramètres!H36="","",Paramètres!H36))</f>
        <v/>
      </c>
      <c r="D1440" s="18">
        <f>IF($A1440="","",IF(Paramètres!I36="","",Paramètres!I36))</f>
        <v/>
      </c>
      <c r="E1440" s="19">
        <f>IF($A1440="","",IF(Paramètres!J36&amp;Paramètres!L36&amp;Paramètres!N36="",Dossiers!$D$30,MAX(IF(Paramètres!J36="",0,IF(Paramètres!K36="",NA(),IF(LEFT(TRIM(Paramètres!K36),1)="F",INDEX($F$1409:$F$1461,MATCH(Paramètres!J36,Paramètres!$G$5:$G$57,0)),INDEX($E$1409:$E$1461,MATCH(Paramètres!J36,Paramètres!$G$5:$G$57,0)))+IF(RIGHT(TRIM(Paramètres!K36),3)="Fin",1-$H1440,IF(LEFT(TRIM(Paramètres!K36),1)="F",1,0)))),IF(Paramètres!L36="",0,IF(Paramètres!M36="",NA(),IF(LEFT(TRIM(Paramètres!M36),1)="F",INDEX($F$1409:$F$1461,MATCH(Paramètres!L36,Paramètres!$G$5:$G$57,0)),INDEX($E$1409:$E$1461,MATCH(Paramètres!L36,Paramètres!$G$5:$G$57,0)))+IF(RIGHT(TRIM(Paramètres!M36),3)="Fin",1-$H1440,IF(LEFT(TRIM(Paramètres!M36),1)="F",1,0)))),IF(Paramètres!N36="",0,IF(Paramètres!O36="",NA(),IF(LEFT(TRIM(Paramètres!O36),1)="F",INDEX($F$1409:$F$1461,MATCH(Paramètres!N36,Paramètres!$G$5:$G$57,0)),INDEX($E$1409:$E$1461,MATCH(Paramètres!N36,Paramètres!$G$5:$G$57,0)))+IF(RIGHT(TRIM(Paramètres!O36),3)="Fin",1-$H1440,IF(LEFT(TRIM(Paramètres!O36),1)="F",1,0)))))))</f>
        <v/>
      </c>
      <c r="F1440" s="19">
        <f>IF($A1440="","",E1440+$H1440-1)</f>
        <v/>
      </c>
      <c r="G1440" s="18" t="n"/>
      <c r="H1440" s="18">
        <f>IF($A1440="","",IF(I1440&lt;&gt;"",I1440,Paramètres!B36))</f>
        <v/>
      </c>
      <c r="I1440" s="18" t="n"/>
    </row>
    <row r="1441">
      <c r="A1441" s="18">
        <f>IF(ISNUMBER(Dossiers!$D$30),Dossiers!$A$30&amp;" · "&amp;Dossiers!$B$30,"")</f>
        <v/>
      </c>
      <c r="B1441" s="18">
        <f>IF($A1441="","",Paramètres!G37)</f>
        <v/>
      </c>
      <c r="C1441" s="18">
        <f>IF($A1441="","",IF(Paramètres!H37="","",Paramètres!H37))</f>
        <v/>
      </c>
      <c r="D1441" s="18">
        <f>IF($A1441="","",IF(Paramètres!I37="","",Paramètres!I37))</f>
        <v/>
      </c>
      <c r="E1441" s="19">
        <f>IF($A1441="","",MIN(E1442:E1459))</f>
        <v/>
      </c>
      <c r="F1441" s="19">
        <f>IF($A1441="","",MAX(F1442:F1459))</f>
        <v/>
      </c>
      <c r="G1441" s="18" t="n"/>
      <c r="H1441" s="18">
        <f>IF($A1441="","",F1441-E1441+1)</f>
        <v/>
      </c>
      <c r="I1441" s="18" t="n"/>
    </row>
    <row r="1442">
      <c r="A1442" s="18">
        <f>IF(ISNUMBER(Dossiers!$D$30),Dossiers!$A$30&amp;" · "&amp;Dossiers!$B$30,"")</f>
        <v/>
      </c>
      <c r="B1442" s="18">
        <f>IF($A1442="","",Paramètres!G38)</f>
        <v/>
      </c>
      <c r="C1442" s="18">
        <f>IF($A1442="","",IF(Paramètres!H38="","",Paramètres!H38))</f>
        <v/>
      </c>
      <c r="D1442" s="18">
        <f>IF($A1442="","",IF(Paramètres!I38="","",Paramètres!I38))</f>
        <v/>
      </c>
      <c r="E1442" s="19">
        <f>IF($A1442="","",IF(Paramètres!J38&amp;Paramètres!L38&amp;Paramètres!N38="",Dossiers!$D$30,MAX(IF(Paramètres!J38="",0,IF(Paramètres!K38="",NA(),IF(LEFT(TRIM(Paramètres!K38),1)="F",INDEX($F$1409:$F$1461,MATCH(Paramètres!J38,Paramètres!$G$5:$G$57,0)),INDEX($E$1409:$E$1461,MATCH(Paramètres!J38,Paramètres!$G$5:$G$57,0)))+IF(RIGHT(TRIM(Paramètres!K38),3)="Fin",1-$H1442,IF(LEFT(TRIM(Paramètres!K38),1)="F",1,0)))),IF(Paramètres!L38="",0,IF(Paramètres!M38="",NA(),IF(LEFT(TRIM(Paramètres!M38),1)="F",INDEX($F$1409:$F$1461,MATCH(Paramètres!L38,Paramètres!$G$5:$G$57,0)),INDEX($E$1409:$E$1461,MATCH(Paramètres!L38,Paramètres!$G$5:$G$57,0)))+IF(RIGHT(TRIM(Paramètres!M38),3)="Fin",1-$H1442,IF(LEFT(TRIM(Paramètres!M38),1)="F",1,0)))),IF(Paramètres!N38="",0,IF(Paramètres!O38="",NA(),IF(LEFT(TRIM(Paramètres!O38),1)="F",INDEX($F$1409:$F$1461,MATCH(Paramètres!N38,Paramètres!$G$5:$G$57,0)),INDEX($E$1409:$E$1461,MATCH(Paramètres!N38,Paramètres!$G$5:$G$57,0)))+IF(RIGHT(TRIM(Paramètres!O38),3)="Fin",1-$H1442,IF(LEFT(TRIM(Paramètres!O38),1)="F",1,0)))))))</f>
        <v/>
      </c>
      <c r="F1442" s="19">
        <f>IF($A1442="","",E1442+$H1442-1)</f>
        <v/>
      </c>
      <c r="G1442" s="18" t="n"/>
      <c r="H1442" s="18">
        <f>IF($A1442="","",IF(I1442&lt;&gt;"",I1442,Paramètres!B38))</f>
        <v/>
      </c>
      <c r="I1442" s="18" t="n"/>
    </row>
    <row r="1443">
      <c r="A1443" s="18">
        <f>IF(ISNUMBER(Dossiers!$D$30),Dossiers!$A$30&amp;" · "&amp;Dossiers!$B$30,"")</f>
        <v/>
      </c>
      <c r="B1443" s="18">
        <f>IF($A1443="","",Paramètres!G39)</f>
        <v/>
      </c>
      <c r="C1443" s="18">
        <f>IF($A1443="","",IF(Paramètres!H39="","",Paramètres!H39))</f>
        <v/>
      </c>
      <c r="D1443" s="18">
        <f>IF($A1443="","",IF(Paramètres!I39="","",Paramètres!I39))</f>
        <v/>
      </c>
      <c r="E1443" s="19">
        <f>IF($A1443="","",IF(Paramètres!J39&amp;Paramètres!L39&amp;Paramètres!N39="",Dossiers!$D$30,MAX(IF(Paramètres!J39="",0,IF(Paramètres!K39="",NA(),IF(LEFT(TRIM(Paramètres!K39),1)="F",INDEX($F$1409:$F$1461,MATCH(Paramètres!J39,Paramètres!$G$5:$G$57,0)),INDEX($E$1409:$E$1461,MATCH(Paramètres!J39,Paramètres!$G$5:$G$57,0)))+IF(RIGHT(TRIM(Paramètres!K39),3)="Fin",1-$H1443,IF(LEFT(TRIM(Paramètres!K39),1)="F",1,0)))),IF(Paramètres!L39="",0,IF(Paramètres!M39="",NA(),IF(LEFT(TRIM(Paramètres!M39),1)="F",INDEX($F$1409:$F$1461,MATCH(Paramètres!L39,Paramètres!$G$5:$G$57,0)),INDEX($E$1409:$E$1461,MATCH(Paramètres!L39,Paramètres!$G$5:$G$57,0)))+IF(RIGHT(TRIM(Paramètres!M39),3)="Fin",1-$H1443,IF(LEFT(TRIM(Paramètres!M39),1)="F",1,0)))),IF(Paramètres!N39="",0,IF(Paramètres!O39="",NA(),IF(LEFT(TRIM(Paramètres!O39),1)="F",INDEX($F$1409:$F$1461,MATCH(Paramètres!N39,Paramètres!$G$5:$G$57,0)),INDEX($E$1409:$E$1461,MATCH(Paramètres!N39,Paramètres!$G$5:$G$57,0)))+IF(RIGHT(TRIM(Paramètres!O39),3)="Fin",1-$H1443,IF(LEFT(TRIM(Paramètres!O39),1)="F",1,0)))))))</f>
        <v/>
      </c>
      <c r="F1443" s="19">
        <f>IF($A1443="","",E1443+$H1443-1)</f>
        <v/>
      </c>
      <c r="G1443" s="18" t="n"/>
      <c r="H1443" s="18">
        <f>IF($A1443="","",IF(I1443&lt;&gt;"",I1443,Paramètres!B39))</f>
        <v/>
      </c>
      <c r="I1443" s="18" t="n"/>
    </row>
    <row r="1444">
      <c r="A1444" s="18">
        <f>IF(ISNUMBER(Dossiers!$D$30),Dossiers!$A$30&amp;" · "&amp;Dossiers!$B$30,"")</f>
        <v/>
      </c>
      <c r="B1444" s="18">
        <f>IF($A1444="","",Paramètres!G40)</f>
        <v/>
      </c>
      <c r="C1444" s="18">
        <f>IF($A1444="","",IF(Paramètres!H40="","",Paramètres!H40))</f>
        <v/>
      </c>
      <c r="D1444" s="18">
        <f>IF($A1444="","",IF(Paramètres!I40="","",Paramètres!I40))</f>
        <v/>
      </c>
      <c r="E1444" s="19">
        <f>IF($A1444="","",IF(Paramètres!J40&amp;Paramètres!L40&amp;Paramètres!N40="",Dossiers!$D$30,MAX(IF(Paramètres!J40="",0,IF(Paramètres!K40="",NA(),IF(LEFT(TRIM(Paramètres!K40),1)="F",INDEX($F$1409:$F$1461,MATCH(Paramètres!J40,Paramètres!$G$5:$G$57,0)),INDEX($E$1409:$E$1461,MATCH(Paramètres!J40,Paramètres!$G$5:$G$57,0)))+IF(RIGHT(TRIM(Paramètres!K40),3)="Fin",1-$H1444,IF(LEFT(TRIM(Paramètres!K40),1)="F",1,0)))),IF(Paramètres!L40="",0,IF(Paramètres!M40="",NA(),IF(LEFT(TRIM(Paramètres!M40),1)="F",INDEX($F$1409:$F$1461,MATCH(Paramètres!L40,Paramètres!$G$5:$G$57,0)),INDEX($E$1409:$E$1461,MATCH(Paramètres!L40,Paramètres!$G$5:$G$57,0)))+IF(RIGHT(TRIM(Paramètres!M40),3)="Fin",1-$H1444,IF(LEFT(TRIM(Paramètres!M40),1)="F",1,0)))),IF(Paramètres!N40="",0,IF(Paramètres!O40="",NA(),IF(LEFT(TRIM(Paramètres!O40),1)="F",INDEX($F$1409:$F$1461,MATCH(Paramètres!N40,Paramètres!$G$5:$G$57,0)),INDEX($E$1409:$E$1461,MATCH(Paramètres!N40,Paramètres!$G$5:$G$57,0)))+IF(RIGHT(TRIM(Paramètres!O40),3)="Fin",1-$H1444,IF(LEFT(TRIM(Paramètres!O40),1)="F",1,0)))))))</f>
        <v/>
      </c>
      <c r="F1444" s="19">
        <f>IF($A1444="","",E1444+$H1444-1)</f>
        <v/>
      </c>
      <c r="G1444" s="18" t="n"/>
      <c r="H1444" s="18">
        <f>IF($A1444="","",IF(I1444&lt;&gt;"",I1444,Paramètres!B40))</f>
        <v/>
      </c>
      <c r="I1444" s="18" t="n"/>
    </row>
    <row r="1445">
      <c r="A1445" s="18">
        <f>IF(ISNUMBER(Dossiers!$D$30),Dossiers!$A$30&amp;" · "&amp;Dossiers!$B$30,"")</f>
        <v/>
      </c>
      <c r="B1445" s="18">
        <f>IF($A1445="","",Paramètres!G41)</f>
        <v/>
      </c>
      <c r="C1445" s="18">
        <f>IF($A1445="","",IF(Paramètres!H41="","",Paramètres!H41))</f>
        <v/>
      </c>
      <c r="D1445" s="18">
        <f>IF($A1445="","",IF(Paramètres!I41="","",Paramètres!I41))</f>
        <v/>
      </c>
      <c r="E1445" s="19">
        <f>IF($A1445="","",IF(Paramètres!J41&amp;Paramètres!L41&amp;Paramètres!N41="",Dossiers!$D$30,MAX(IF(Paramètres!J41="",0,IF(Paramètres!K41="",NA(),IF(LEFT(TRIM(Paramètres!K41),1)="F",INDEX($F$1409:$F$1461,MATCH(Paramètres!J41,Paramètres!$G$5:$G$57,0)),INDEX($E$1409:$E$1461,MATCH(Paramètres!J41,Paramètres!$G$5:$G$57,0)))+IF(RIGHT(TRIM(Paramètres!K41),3)="Fin",1-$H1445,IF(LEFT(TRIM(Paramètres!K41),1)="F",1,0)))),IF(Paramètres!L41="",0,IF(Paramètres!M41="",NA(),IF(LEFT(TRIM(Paramètres!M41),1)="F",INDEX($F$1409:$F$1461,MATCH(Paramètres!L41,Paramètres!$G$5:$G$57,0)),INDEX($E$1409:$E$1461,MATCH(Paramètres!L41,Paramètres!$G$5:$G$57,0)))+IF(RIGHT(TRIM(Paramètres!M41),3)="Fin",1-$H1445,IF(LEFT(TRIM(Paramètres!M41),1)="F",1,0)))),IF(Paramètres!N41="",0,IF(Paramètres!O41="",NA(),IF(LEFT(TRIM(Paramètres!O41),1)="F",INDEX($F$1409:$F$1461,MATCH(Paramètres!N41,Paramètres!$G$5:$G$57,0)),INDEX($E$1409:$E$1461,MATCH(Paramètres!N41,Paramètres!$G$5:$G$57,0)))+IF(RIGHT(TRIM(Paramètres!O41),3)="Fin",1-$H1445,IF(LEFT(TRIM(Paramètres!O41),1)="F",1,0)))))))</f>
        <v/>
      </c>
      <c r="F1445" s="19">
        <f>IF($A1445="","",E1445+$H1445-1)</f>
        <v/>
      </c>
      <c r="G1445" s="18" t="n"/>
      <c r="H1445" s="18">
        <f>IF($A1445="","",IF(I1445&lt;&gt;"",I1445,Paramètres!B41))</f>
        <v/>
      </c>
      <c r="I1445" s="18" t="n"/>
    </row>
    <row r="1446">
      <c r="A1446" s="18">
        <f>IF(ISNUMBER(Dossiers!$D$30),Dossiers!$A$30&amp;" · "&amp;Dossiers!$B$30,"")</f>
        <v/>
      </c>
      <c r="B1446" s="18">
        <f>IF($A1446="","",Paramètres!G42)</f>
        <v/>
      </c>
      <c r="C1446" s="18">
        <f>IF($A1446="","",IF(Paramètres!H42="","",Paramètres!H42))</f>
        <v/>
      </c>
      <c r="D1446" s="18">
        <f>IF($A1446="","",IF(Paramètres!I42="","",Paramètres!I42))</f>
        <v/>
      </c>
      <c r="E1446" s="19">
        <f>IF($A1446="","",IF(Paramètres!J42&amp;Paramètres!L42&amp;Paramètres!N42="",Dossiers!$D$30,MAX(IF(Paramètres!J42="",0,IF(Paramètres!K42="",NA(),IF(LEFT(TRIM(Paramètres!K42),1)="F",INDEX($F$1409:$F$1461,MATCH(Paramètres!J42,Paramètres!$G$5:$G$57,0)),INDEX($E$1409:$E$1461,MATCH(Paramètres!J42,Paramètres!$G$5:$G$57,0)))+IF(RIGHT(TRIM(Paramètres!K42),3)="Fin",1-$H1446,IF(LEFT(TRIM(Paramètres!K42),1)="F",1,0)))),IF(Paramètres!L42="",0,IF(Paramètres!M42="",NA(),IF(LEFT(TRIM(Paramètres!M42),1)="F",INDEX($F$1409:$F$1461,MATCH(Paramètres!L42,Paramètres!$G$5:$G$57,0)),INDEX($E$1409:$E$1461,MATCH(Paramètres!L42,Paramètres!$G$5:$G$57,0)))+IF(RIGHT(TRIM(Paramètres!M42),3)="Fin",1-$H1446,IF(LEFT(TRIM(Paramètres!M42),1)="F",1,0)))),IF(Paramètres!N42="",0,IF(Paramètres!O42="",NA(),IF(LEFT(TRIM(Paramètres!O42),1)="F",INDEX($F$1409:$F$1461,MATCH(Paramètres!N42,Paramètres!$G$5:$G$57,0)),INDEX($E$1409:$E$1461,MATCH(Paramètres!N42,Paramètres!$G$5:$G$57,0)))+IF(RIGHT(TRIM(Paramètres!O42),3)="Fin",1-$H1446,IF(LEFT(TRIM(Paramètres!O42),1)="F",1,0)))))))</f>
        <v/>
      </c>
      <c r="F1446" s="19">
        <f>IF($A1446="","",E1446+$H1446-1)</f>
        <v/>
      </c>
      <c r="G1446" s="18" t="n"/>
      <c r="H1446" s="18">
        <f>IF($A1446="","",IF(I1446&lt;&gt;"",I1446,Paramètres!B42))</f>
        <v/>
      </c>
      <c r="I1446" s="18" t="n"/>
    </row>
    <row r="1447">
      <c r="A1447" s="18">
        <f>IF(ISNUMBER(Dossiers!$D$30),Dossiers!$A$30&amp;" · "&amp;Dossiers!$B$30,"")</f>
        <v/>
      </c>
      <c r="B1447" s="18">
        <f>IF($A1447="","",Paramètres!G43)</f>
        <v/>
      </c>
      <c r="C1447" s="18">
        <f>IF($A1447="","",IF(Paramètres!H43="","",Paramètres!H43))</f>
        <v/>
      </c>
      <c r="D1447" s="18">
        <f>IF($A1447="","",IF(Paramètres!I43="","",Paramètres!I43))</f>
        <v/>
      </c>
      <c r="E1447" s="19">
        <f>IF($A1447="","",IF(Paramètres!J43&amp;Paramètres!L43&amp;Paramètres!N43="",Dossiers!$D$30,MAX(IF(Paramètres!J43="",0,IF(Paramètres!K43="",NA(),IF(LEFT(TRIM(Paramètres!K43),1)="F",INDEX($F$1409:$F$1461,MATCH(Paramètres!J43,Paramètres!$G$5:$G$57,0)),INDEX($E$1409:$E$1461,MATCH(Paramètres!J43,Paramètres!$G$5:$G$57,0)))+IF(RIGHT(TRIM(Paramètres!K43),3)="Fin",1-$H1447,IF(LEFT(TRIM(Paramètres!K43),1)="F",1,0)))),IF(Paramètres!L43="",0,IF(Paramètres!M43="",NA(),IF(LEFT(TRIM(Paramètres!M43),1)="F",INDEX($F$1409:$F$1461,MATCH(Paramètres!L43,Paramètres!$G$5:$G$57,0)),INDEX($E$1409:$E$1461,MATCH(Paramètres!L43,Paramètres!$G$5:$G$57,0)))+IF(RIGHT(TRIM(Paramètres!M43),3)="Fin",1-$H1447,IF(LEFT(TRIM(Paramètres!M43),1)="F",1,0)))),IF(Paramètres!N43="",0,IF(Paramètres!O43="",NA(),IF(LEFT(TRIM(Paramètres!O43),1)="F",INDEX($F$1409:$F$1461,MATCH(Paramètres!N43,Paramètres!$G$5:$G$57,0)),INDEX($E$1409:$E$1461,MATCH(Paramètres!N43,Paramètres!$G$5:$G$57,0)))+IF(RIGHT(TRIM(Paramètres!O43),3)="Fin",1-$H1447,IF(LEFT(TRIM(Paramètres!O43),1)="F",1,0)))))))</f>
        <v/>
      </c>
      <c r="F1447" s="19">
        <f>IF($A1447="","",E1447+$H1447-1)</f>
        <v/>
      </c>
      <c r="G1447" s="18" t="n"/>
      <c r="H1447" s="18">
        <f>IF($A1447="","",IF(I1447&lt;&gt;"",I1447,Paramètres!B43))</f>
        <v/>
      </c>
      <c r="I1447" s="18" t="n"/>
    </row>
    <row r="1448">
      <c r="A1448" s="18">
        <f>IF(ISNUMBER(Dossiers!$D$30),Dossiers!$A$30&amp;" · "&amp;Dossiers!$B$30,"")</f>
        <v/>
      </c>
      <c r="B1448" s="18">
        <f>IF($A1448="","",Paramètres!G44)</f>
        <v/>
      </c>
      <c r="C1448" s="18">
        <f>IF($A1448="","",IF(Paramètres!H44="","",Paramètres!H44))</f>
        <v/>
      </c>
      <c r="D1448" s="18">
        <f>IF($A1448="","",IF(Paramètres!I44="","",Paramètres!I44))</f>
        <v/>
      </c>
      <c r="E1448" s="19">
        <f>IF($A1448="","",IF(Paramètres!J44&amp;Paramètres!L44&amp;Paramètres!N44="",Dossiers!$D$30,MAX(IF(Paramètres!J44="",0,IF(Paramètres!K44="",NA(),IF(LEFT(TRIM(Paramètres!K44),1)="F",INDEX($F$1409:$F$1461,MATCH(Paramètres!J44,Paramètres!$G$5:$G$57,0)),INDEX($E$1409:$E$1461,MATCH(Paramètres!J44,Paramètres!$G$5:$G$57,0)))+IF(RIGHT(TRIM(Paramètres!K44),3)="Fin",1-$H1448,IF(LEFT(TRIM(Paramètres!K44),1)="F",1,0)))),IF(Paramètres!L44="",0,IF(Paramètres!M44="",NA(),IF(LEFT(TRIM(Paramètres!M44),1)="F",INDEX($F$1409:$F$1461,MATCH(Paramètres!L44,Paramètres!$G$5:$G$57,0)),INDEX($E$1409:$E$1461,MATCH(Paramètres!L44,Paramètres!$G$5:$G$57,0)))+IF(RIGHT(TRIM(Paramètres!M44),3)="Fin",1-$H1448,IF(LEFT(TRIM(Paramètres!M44),1)="F",1,0)))),IF(Paramètres!N44="",0,IF(Paramètres!O44="",NA(),IF(LEFT(TRIM(Paramètres!O44),1)="F",INDEX($F$1409:$F$1461,MATCH(Paramètres!N44,Paramètres!$G$5:$G$57,0)),INDEX($E$1409:$E$1461,MATCH(Paramètres!N44,Paramètres!$G$5:$G$57,0)))+IF(RIGHT(TRIM(Paramètres!O44),3)="Fin",1-$H1448,IF(LEFT(TRIM(Paramètres!O44),1)="F",1,0)))))))</f>
        <v/>
      </c>
      <c r="F1448" s="19">
        <f>IF($A1448="","",E1448+$H1448-1)</f>
        <v/>
      </c>
      <c r="G1448" s="18" t="n"/>
      <c r="H1448" s="18">
        <f>IF($A1448="","",IF(I1448&lt;&gt;"",I1448,Paramètres!B44))</f>
        <v/>
      </c>
      <c r="I1448" s="18" t="n"/>
    </row>
    <row r="1449">
      <c r="A1449" s="18">
        <f>IF(ISNUMBER(Dossiers!$D$30),Dossiers!$A$30&amp;" · "&amp;Dossiers!$B$30,"")</f>
        <v/>
      </c>
      <c r="B1449" s="18">
        <f>IF($A1449="","",Paramètres!G45)</f>
        <v/>
      </c>
      <c r="C1449" s="20">
        <f>IF($A1449="","",IF(Dossiers!$G$30="","",Dossiers!$G$30))</f>
        <v/>
      </c>
      <c r="D1449" s="18">
        <f>IF($A1449="","",IF(Paramètres!I45="","",Paramètres!I45))</f>
        <v/>
      </c>
      <c r="E1449" s="19">
        <f>IF($A1449="","",IF(Paramètres!J45&amp;Paramètres!L45&amp;Paramètres!N45="",Dossiers!$D$30,MAX(IF(Paramètres!J45="",0,IF(Paramètres!K45="",NA(),IF(LEFT(TRIM(Paramètres!K45),1)="F",INDEX($F$1409:$F$1461,MATCH(Paramètres!J45,Paramètres!$G$5:$G$57,0)),INDEX($E$1409:$E$1461,MATCH(Paramètres!J45,Paramètres!$G$5:$G$57,0)))+IF(RIGHT(TRIM(Paramètres!K45),3)="Fin",1-$H1449,IF(LEFT(TRIM(Paramètres!K45),1)="F",1,0)))),IF(Paramètres!L45="",0,IF(Paramètres!M45="",NA(),IF(LEFT(TRIM(Paramètres!M45),1)="F",INDEX($F$1409:$F$1461,MATCH(Paramètres!L45,Paramètres!$G$5:$G$57,0)),INDEX($E$1409:$E$1461,MATCH(Paramètres!L45,Paramètres!$G$5:$G$57,0)))+IF(RIGHT(TRIM(Paramètres!M45),3)="Fin",1-$H1449,IF(LEFT(TRIM(Paramètres!M45),1)="F",1,0)))),IF(Paramètres!N45="",0,IF(Paramètres!O45="",NA(),IF(LEFT(TRIM(Paramètres!O45),1)="F",INDEX($F$1409:$F$1461,MATCH(Paramètres!N45,Paramètres!$G$5:$G$57,0)),INDEX($E$1409:$E$1461,MATCH(Paramètres!N45,Paramètres!$G$5:$G$57,0)))+IF(RIGHT(TRIM(Paramètres!O45),3)="Fin",1-$H1449,IF(LEFT(TRIM(Paramètres!O45),1)="F",1,0)))))))</f>
        <v/>
      </c>
      <c r="F1449" s="19">
        <f>IF($A1449="","",E1449+$H1449-1)</f>
        <v/>
      </c>
      <c r="G1449" s="18" t="n"/>
      <c r="H1449" s="18">
        <f>IF($A1449="","",IF(I1449&lt;&gt;"",I1449,Paramètres!B45))</f>
        <v/>
      </c>
      <c r="I1449" s="18" t="n"/>
    </row>
    <row r="1450">
      <c r="A1450" s="18">
        <f>IF(ISNUMBER(Dossiers!$D$30),Dossiers!$A$30&amp;" · "&amp;Dossiers!$B$30,"")</f>
        <v/>
      </c>
      <c r="B1450" s="18">
        <f>IF($A1450="","",Paramètres!G46)</f>
        <v/>
      </c>
      <c r="C1450" s="18">
        <f>IF($A1450="","",IF(Paramètres!H46="","",Paramètres!H46))</f>
        <v/>
      </c>
      <c r="D1450" s="18">
        <f>IF($A1450="","",IF(Paramètres!I46="","",Paramètres!I46))</f>
        <v/>
      </c>
      <c r="E1450" s="19">
        <f>IF($A1450="","",IF(Paramètres!J46&amp;Paramètres!L46&amp;Paramètres!N46="",Dossiers!$D$30,MAX(IF(Paramètres!J46="",0,IF(Paramètres!K46="",NA(),IF(LEFT(TRIM(Paramètres!K46),1)="F",INDEX($F$1409:$F$1461,MATCH(Paramètres!J46,Paramètres!$G$5:$G$57,0)),INDEX($E$1409:$E$1461,MATCH(Paramètres!J46,Paramètres!$G$5:$G$57,0)))+IF(RIGHT(TRIM(Paramètres!K46),3)="Fin",1-$H1450,IF(LEFT(TRIM(Paramètres!K46),1)="F",1,0)))),IF(Paramètres!L46="",0,IF(Paramètres!M46="",NA(),IF(LEFT(TRIM(Paramètres!M46),1)="F",INDEX($F$1409:$F$1461,MATCH(Paramètres!L46,Paramètres!$G$5:$G$57,0)),INDEX($E$1409:$E$1461,MATCH(Paramètres!L46,Paramètres!$G$5:$G$57,0)))+IF(RIGHT(TRIM(Paramètres!M46),3)="Fin",1-$H1450,IF(LEFT(TRIM(Paramètres!M46),1)="F",1,0)))),IF(Paramètres!N46="",0,IF(Paramètres!O46="",NA(),IF(LEFT(TRIM(Paramètres!O46),1)="F",INDEX($F$1409:$F$1461,MATCH(Paramètres!N46,Paramètres!$G$5:$G$57,0)),INDEX($E$1409:$E$1461,MATCH(Paramètres!N46,Paramètres!$G$5:$G$57,0)))+IF(RIGHT(TRIM(Paramètres!O46),3)="Fin",1-$H1450,IF(LEFT(TRIM(Paramètres!O46),1)="F",1,0)))))))</f>
        <v/>
      </c>
      <c r="F1450" s="19">
        <f>IF($A1450="","",E1450+$H1450-1)</f>
        <v/>
      </c>
      <c r="G1450" s="18" t="n"/>
      <c r="H1450" s="18">
        <f>IF($A1450="","",IF(I1450&lt;&gt;"",I1450,Paramètres!B46))</f>
        <v/>
      </c>
      <c r="I1450" s="18" t="n"/>
    </row>
    <row r="1451">
      <c r="A1451" s="18">
        <f>IF(ISNUMBER(Dossiers!$D$30),Dossiers!$A$30&amp;" · "&amp;Dossiers!$B$30,"")</f>
        <v/>
      </c>
      <c r="B1451" s="18">
        <f>IF($A1451="","",Paramètres!G47)</f>
        <v/>
      </c>
      <c r="C1451" s="18">
        <f>IF($A1451="","",IF(Paramètres!H47="","",Paramètres!H47))</f>
        <v/>
      </c>
      <c r="D1451" s="18">
        <f>IF($A1451="","",IF(Paramètres!I47="","",Paramètres!I47))</f>
        <v/>
      </c>
      <c r="E1451" s="19">
        <f>IF($A1451="","",IF(Paramètres!J47&amp;Paramètres!L47&amp;Paramètres!N47="",Dossiers!$D$30,MAX(IF(Paramètres!J47="",0,IF(Paramètres!K47="",NA(),IF(LEFT(TRIM(Paramètres!K47),1)="F",INDEX($F$1409:$F$1461,MATCH(Paramètres!J47,Paramètres!$G$5:$G$57,0)),INDEX($E$1409:$E$1461,MATCH(Paramètres!J47,Paramètres!$G$5:$G$57,0)))+IF(RIGHT(TRIM(Paramètres!K47),3)="Fin",1-$H1451,IF(LEFT(TRIM(Paramètres!K47),1)="F",1,0)))),IF(Paramètres!L47="",0,IF(Paramètres!M47="",NA(),IF(LEFT(TRIM(Paramètres!M47),1)="F",INDEX($F$1409:$F$1461,MATCH(Paramètres!L47,Paramètres!$G$5:$G$57,0)),INDEX($E$1409:$E$1461,MATCH(Paramètres!L47,Paramètres!$G$5:$G$57,0)))+IF(RIGHT(TRIM(Paramètres!M47),3)="Fin",1-$H1451,IF(LEFT(TRIM(Paramètres!M47),1)="F",1,0)))),IF(Paramètres!N47="",0,IF(Paramètres!O47="",NA(),IF(LEFT(TRIM(Paramètres!O47),1)="F",INDEX($F$1409:$F$1461,MATCH(Paramètres!N47,Paramètres!$G$5:$G$57,0)),INDEX($E$1409:$E$1461,MATCH(Paramètres!N47,Paramètres!$G$5:$G$57,0)))+IF(RIGHT(TRIM(Paramètres!O47),3)="Fin",1-$H1451,IF(LEFT(TRIM(Paramètres!O47),1)="F",1,0)))))))</f>
        <v/>
      </c>
      <c r="F1451" s="19">
        <f>IF($A1451="","",E1451+$H1451-1)</f>
        <v/>
      </c>
      <c r="G1451" s="18" t="n"/>
      <c r="H1451" s="18">
        <f>IF($A1451="","",IF(I1451&lt;&gt;"",I1451,Paramètres!B47))</f>
        <v/>
      </c>
      <c r="I1451" s="18" t="n"/>
    </row>
    <row r="1452">
      <c r="A1452" s="18">
        <f>IF(ISNUMBER(Dossiers!$D$30),Dossiers!$A$30&amp;" · "&amp;Dossiers!$B$30,"")</f>
        <v/>
      </c>
      <c r="B1452" s="18">
        <f>IF($A1452="","",Paramètres!G48)</f>
        <v/>
      </c>
      <c r="C1452" s="18">
        <f>IF($A1452="","",IF(Paramètres!H48="","",Paramètres!H48))</f>
        <v/>
      </c>
      <c r="D1452" s="18">
        <f>IF($A1452="","",IF(Paramètres!I48="","",Paramètres!I48))</f>
        <v/>
      </c>
      <c r="E1452" s="19">
        <f>IF($A1452="","",IF(Paramètres!J48&amp;Paramètres!L48&amp;Paramètres!N48="",Dossiers!$D$30,MAX(IF(Paramètres!J48="",0,IF(Paramètres!K48="",NA(),IF(LEFT(TRIM(Paramètres!K48),1)="F",INDEX($F$1409:$F$1461,MATCH(Paramètres!J48,Paramètres!$G$5:$G$57,0)),INDEX($E$1409:$E$1461,MATCH(Paramètres!J48,Paramètres!$G$5:$G$57,0)))+IF(RIGHT(TRIM(Paramètres!K48),3)="Fin",1-$H1452,IF(LEFT(TRIM(Paramètres!K48),1)="F",1,0)))),IF(Paramètres!L48="",0,IF(Paramètres!M48="",NA(),IF(LEFT(TRIM(Paramètres!M48),1)="F",INDEX($F$1409:$F$1461,MATCH(Paramètres!L48,Paramètres!$G$5:$G$57,0)),INDEX($E$1409:$E$1461,MATCH(Paramètres!L48,Paramètres!$G$5:$G$57,0)))+IF(RIGHT(TRIM(Paramètres!M48),3)="Fin",1-$H1452,IF(LEFT(TRIM(Paramètres!M48),1)="F",1,0)))),IF(Paramètres!N48="",0,IF(Paramètres!O48="",NA(),IF(LEFT(TRIM(Paramètres!O48),1)="F",INDEX($F$1409:$F$1461,MATCH(Paramètres!N48,Paramètres!$G$5:$G$57,0)),INDEX($E$1409:$E$1461,MATCH(Paramètres!N48,Paramètres!$G$5:$G$57,0)))+IF(RIGHT(TRIM(Paramètres!O48),3)="Fin",1-$H1452,IF(LEFT(TRIM(Paramètres!O48),1)="F",1,0)))))))</f>
        <v/>
      </c>
      <c r="F1452" s="19">
        <f>IF($A1452="","",E1452+$H1452-1)</f>
        <v/>
      </c>
      <c r="G1452" s="18" t="n"/>
      <c r="H1452" s="18">
        <f>IF($A1452="","",IF(I1452&lt;&gt;"",I1452,Paramètres!B48))</f>
        <v/>
      </c>
      <c r="I1452" s="18" t="n"/>
    </row>
    <row r="1453">
      <c r="A1453" s="18">
        <f>IF(ISNUMBER(Dossiers!$D$30),Dossiers!$A$30&amp;" · "&amp;Dossiers!$B$30,"")</f>
        <v/>
      </c>
      <c r="B1453" s="18">
        <f>IF($A1453="","",Paramètres!G49)</f>
        <v/>
      </c>
      <c r="C1453" s="18">
        <f>IF($A1453="","",IF(Paramètres!H49="","",Paramètres!H49))</f>
        <v/>
      </c>
      <c r="D1453" s="18">
        <f>IF($A1453="","",IF(Paramètres!I49="","",Paramètres!I49))</f>
        <v/>
      </c>
      <c r="E1453" s="19">
        <f>IF($A1453="","",IF(Paramètres!J49&amp;Paramètres!L49&amp;Paramètres!N49="",Dossiers!$D$30,MAX(IF(Paramètres!J49="",0,IF(Paramètres!K49="",NA(),IF(LEFT(TRIM(Paramètres!K49),1)="F",INDEX($F$1409:$F$1461,MATCH(Paramètres!J49,Paramètres!$G$5:$G$57,0)),INDEX($E$1409:$E$1461,MATCH(Paramètres!J49,Paramètres!$G$5:$G$57,0)))+IF(RIGHT(TRIM(Paramètres!K49),3)="Fin",1-$H1453,IF(LEFT(TRIM(Paramètres!K49),1)="F",1,0)))),IF(Paramètres!L49="",0,IF(Paramètres!M49="",NA(),IF(LEFT(TRIM(Paramètres!M49),1)="F",INDEX($F$1409:$F$1461,MATCH(Paramètres!L49,Paramètres!$G$5:$G$57,0)),INDEX($E$1409:$E$1461,MATCH(Paramètres!L49,Paramètres!$G$5:$G$57,0)))+IF(RIGHT(TRIM(Paramètres!M49),3)="Fin",1-$H1453,IF(LEFT(TRIM(Paramètres!M49),1)="F",1,0)))),IF(Paramètres!N49="",0,IF(Paramètres!O49="",NA(),IF(LEFT(TRIM(Paramètres!O49),1)="F",INDEX($F$1409:$F$1461,MATCH(Paramètres!N49,Paramètres!$G$5:$G$57,0)),INDEX($E$1409:$E$1461,MATCH(Paramètres!N49,Paramètres!$G$5:$G$57,0)))+IF(RIGHT(TRIM(Paramètres!O49),3)="Fin",1-$H1453,IF(LEFT(TRIM(Paramètres!O49),1)="F",1,0)))))))</f>
        <v/>
      </c>
      <c r="F1453" s="19">
        <f>IF($A1453="","",E1453+$H1453-1)</f>
        <v/>
      </c>
      <c r="G1453" s="18" t="n"/>
      <c r="H1453" s="18">
        <f>IF($A1453="","",IF(I1453&lt;&gt;"",I1453,Paramètres!B49))</f>
        <v/>
      </c>
      <c r="I1453" s="18" t="n"/>
    </row>
    <row r="1454">
      <c r="A1454" s="18">
        <f>IF(ISNUMBER(Dossiers!$D$30),Dossiers!$A$30&amp;" · "&amp;Dossiers!$B$30,"")</f>
        <v/>
      </c>
      <c r="B1454" s="18">
        <f>IF($A1454="","",Paramètres!G50)</f>
        <v/>
      </c>
      <c r="C1454" s="18">
        <f>IF($A1454="","",IF(Paramètres!H50="","",Paramètres!H50))</f>
        <v/>
      </c>
      <c r="D1454" s="18">
        <f>IF($A1454="","",IF(Paramètres!I50="","",Paramètres!I50))</f>
        <v/>
      </c>
      <c r="E1454" s="19">
        <f>IF($A1454="","",IF(Paramètres!J50&amp;Paramètres!L50&amp;Paramètres!N50="",Dossiers!$D$30,MAX(IF(Paramètres!J50="",0,IF(Paramètres!K50="",NA(),IF(LEFT(TRIM(Paramètres!K50),1)="F",INDEX($F$1409:$F$1461,MATCH(Paramètres!J50,Paramètres!$G$5:$G$57,0)),INDEX($E$1409:$E$1461,MATCH(Paramètres!J50,Paramètres!$G$5:$G$57,0)))+IF(RIGHT(TRIM(Paramètres!K50),3)="Fin",1-$H1454,IF(LEFT(TRIM(Paramètres!K50),1)="F",1,0)))),IF(Paramètres!L50="",0,IF(Paramètres!M50="",NA(),IF(LEFT(TRIM(Paramètres!M50),1)="F",INDEX($F$1409:$F$1461,MATCH(Paramètres!L50,Paramètres!$G$5:$G$57,0)),INDEX($E$1409:$E$1461,MATCH(Paramètres!L50,Paramètres!$G$5:$G$57,0)))+IF(RIGHT(TRIM(Paramètres!M50),3)="Fin",1-$H1454,IF(LEFT(TRIM(Paramètres!M50),1)="F",1,0)))),IF(Paramètres!N50="",0,IF(Paramètres!O50="",NA(),IF(LEFT(TRIM(Paramètres!O50),1)="F",INDEX($F$1409:$F$1461,MATCH(Paramètres!N50,Paramètres!$G$5:$G$57,0)),INDEX($E$1409:$E$1461,MATCH(Paramètres!N50,Paramètres!$G$5:$G$57,0)))+IF(RIGHT(TRIM(Paramètres!O50),3)="Fin",1-$H1454,IF(LEFT(TRIM(Paramètres!O50),1)="F",1,0)))))))</f>
        <v/>
      </c>
      <c r="F1454" s="19">
        <f>IF($A1454="","",E1454+$H1454-1)</f>
        <v/>
      </c>
      <c r="G1454" s="18" t="n"/>
      <c r="H1454" s="18">
        <f>IF($A1454="","",IF(I1454&lt;&gt;"",I1454,Paramètres!B50))</f>
        <v/>
      </c>
      <c r="I1454" s="18" t="n"/>
    </row>
    <row r="1455">
      <c r="A1455" s="18">
        <f>IF(ISNUMBER(Dossiers!$D$30),Dossiers!$A$30&amp;" · "&amp;Dossiers!$B$30,"")</f>
        <v/>
      </c>
      <c r="B1455" s="18">
        <f>IF($A1455="","",Paramètres!G51)</f>
        <v/>
      </c>
      <c r="C1455" s="18">
        <f>IF($A1455="","",IF(Paramètres!H51="","",Paramètres!H51))</f>
        <v/>
      </c>
      <c r="D1455" s="18">
        <f>IF($A1455="","",IF(Paramètres!I51="","",Paramètres!I51))</f>
        <v/>
      </c>
      <c r="E1455" s="19">
        <f>IF($A1455="","",IF(Paramètres!J51&amp;Paramètres!L51&amp;Paramètres!N51="",Dossiers!$D$30,MAX(IF(Paramètres!J51="",0,IF(Paramètres!K51="",NA(),IF(LEFT(TRIM(Paramètres!K51),1)="F",INDEX($F$1409:$F$1461,MATCH(Paramètres!J51,Paramètres!$G$5:$G$57,0)),INDEX($E$1409:$E$1461,MATCH(Paramètres!J51,Paramètres!$G$5:$G$57,0)))+IF(RIGHT(TRIM(Paramètres!K51),3)="Fin",1-$H1455,IF(LEFT(TRIM(Paramètres!K51),1)="F",1,0)))),IF(Paramètres!L51="",0,IF(Paramètres!M51="",NA(),IF(LEFT(TRIM(Paramètres!M51),1)="F",INDEX($F$1409:$F$1461,MATCH(Paramètres!L51,Paramètres!$G$5:$G$57,0)),INDEX($E$1409:$E$1461,MATCH(Paramètres!L51,Paramètres!$G$5:$G$57,0)))+IF(RIGHT(TRIM(Paramètres!M51),3)="Fin",1-$H1455,IF(LEFT(TRIM(Paramètres!M51),1)="F",1,0)))),IF(Paramètres!N51="",0,IF(Paramètres!O51="",NA(),IF(LEFT(TRIM(Paramètres!O51),1)="F",INDEX($F$1409:$F$1461,MATCH(Paramètres!N51,Paramètres!$G$5:$G$57,0)),INDEX($E$1409:$E$1461,MATCH(Paramètres!N51,Paramètres!$G$5:$G$57,0)))+IF(RIGHT(TRIM(Paramètres!O51),3)="Fin",1-$H1455,IF(LEFT(TRIM(Paramètres!O51),1)="F",1,0)))))))</f>
        <v/>
      </c>
      <c r="F1455" s="19">
        <f>IF($A1455="","",E1455+$H1455-1)</f>
        <v/>
      </c>
      <c r="G1455" s="18" t="n"/>
      <c r="H1455" s="18">
        <f>IF($A1455="","",IF(I1455&lt;&gt;"",I1455,Paramètres!B51))</f>
        <v/>
      </c>
      <c r="I1455" s="18" t="n"/>
    </row>
    <row r="1456">
      <c r="A1456" s="18">
        <f>IF(ISNUMBER(Dossiers!$D$30),Dossiers!$A$30&amp;" · "&amp;Dossiers!$B$30,"")</f>
        <v/>
      </c>
      <c r="B1456" s="18">
        <f>IF($A1456="","",Paramètres!G52)</f>
        <v/>
      </c>
      <c r="C1456" s="18">
        <f>IF($A1456="","",IF(Paramètres!H52="","",Paramètres!H52))</f>
        <v/>
      </c>
      <c r="D1456" s="18">
        <f>IF($A1456="","",IF(Paramètres!I52="","",Paramètres!I52))</f>
        <v/>
      </c>
      <c r="E1456" s="19">
        <f>IF($A1456="","",IF(Paramètres!J52&amp;Paramètres!L52&amp;Paramètres!N52="",Dossiers!$D$30,MAX(IF(Paramètres!J52="",0,IF(Paramètres!K52="",NA(),IF(LEFT(TRIM(Paramètres!K52),1)="F",INDEX($F$1409:$F$1461,MATCH(Paramètres!J52,Paramètres!$G$5:$G$57,0)),INDEX($E$1409:$E$1461,MATCH(Paramètres!J52,Paramètres!$G$5:$G$57,0)))+IF(RIGHT(TRIM(Paramètres!K52),3)="Fin",1-$H1456,IF(LEFT(TRIM(Paramètres!K52),1)="F",1,0)))),IF(Paramètres!L52="",0,IF(Paramètres!M52="",NA(),IF(LEFT(TRIM(Paramètres!M52),1)="F",INDEX($F$1409:$F$1461,MATCH(Paramètres!L52,Paramètres!$G$5:$G$57,0)),INDEX($E$1409:$E$1461,MATCH(Paramètres!L52,Paramètres!$G$5:$G$57,0)))+IF(RIGHT(TRIM(Paramètres!M52),3)="Fin",1-$H1456,IF(LEFT(TRIM(Paramètres!M52),1)="F",1,0)))),IF(Paramètres!N52="",0,IF(Paramètres!O52="",NA(),IF(LEFT(TRIM(Paramètres!O52),1)="F",INDEX($F$1409:$F$1461,MATCH(Paramètres!N52,Paramètres!$G$5:$G$57,0)),INDEX($E$1409:$E$1461,MATCH(Paramètres!N52,Paramètres!$G$5:$G$57,0)))+IF(RIGHT(TRIM(Paramètres!O52),3)="Fin",1-$H1456,IF(LEFT(TRIM(Paramètres!O52),1)="F",1,0)))))))</f>
        <v/>
      </c>
      <c r="F1456" s="19">
        <f>IF($A1456="","",E1456+$H1456-1)</f>
        <v/>
      </c>
      <c r="G1456" s="18" t="n"/>
      <c r="H1456" s="18">
        <f>IF($A1456="","",IF(I1456&lt;&gt;"",I1456,Paramètres!B52))</f>
        <v/>
      </c>
      <c r="I1456" s="18" t="n"/>
    </row>
    <row r="1457">
      <c r="A1457" s="18">
        <f>IF(ISNUMBER(Dossiers!$D$30),Dossiers!$A$30&amp;" · "&amp;Dossiers!$B$30,"")</f>
        <v/>
      </c>
      <c r="B1457" s="18">
        <f>IF($A1457="","",Paramètres!G53)</f>
        <v/>
      </c>
      <c r="C1457" s="18">
        <f>IF($A1457="","",IF(Paramètres!H53="","",Paramètres!H53))</f>
        <v/>
      </c>
      <c r="D1457" s="18">
        <f>IF($A1457="","",IF(Paramètres!I53="","",Paramètres!I53))</f>
        <v/>
      </c>
      <c r="E1457" s="19">
        <f>IF($A1457="","",IF(Paramètres!J53&amp;Paramètres!L53&amp;Paramètres!N53="",Dossiers!$D$30,MAX(IF(Paramètres!J53="",0,IF(Paramètres!K53="",NA(),IF(LEFT(TRIM(Paramètres!K53),1)="F",INDEX($F$1409:$F$1461,MATCH(Paramètres!J53,Paramètres!$G$5:$G$57,0)),INDEX($E$1409:$E$1461,MATCH(Paramètres!J53,Paramètres!$G$5:$G$57,0)))+IF(RIGHT(TRIM(Paramètres!K53),3)="Fin",1-$H1457,IF(LEFT(TRIM(Paramètres!K53),1)="F",1,0)))),IF(Paramètres!L53="",0,IF(Paramètres!M53="",NA(),IF(LEFT(TRIM(Paramètres!M53),1)="F",INDEX($F$1409:$F$1461,MATCH(Paramètres!L53,Paramètres!$G$5:$G$57,0)),INDEX($E$1409:$E$1461,MATCH(Paramètres!L53,Paramètres!$G$5:$G$57,0)))+IF(RIGHT(TRIM(Paramètres!M53),3)="Fin",1-$H1457,IF(LEFT(TRIM(Paramètres!M53),1)="F",1,0)))),IF(Paramètres!N53="",0,IF(Paramètres!O53="",NA(),IF(LEFT(TRIM(Paramètres!O53),1)="F",INDEX($F$1409:$F$1461,MATCH(Paramètres!N53,Paramètres!$G$5:$G$57,0)),INDEX($E$1409:$E$1461,MATCH(Paramètres!N53,Paramètres!$G$5:$G$57,0)))+IF(RIGHT(TRIM(Paramètres!O53),3)="Fin",1-$H1457,IF(LEFT(TRIM(Paramètres!O53),1)="F",1,0)))))))</f>
        <v/>
      </c>
      <c r="F1457" s="19">
        <f>IF($A1457="","",E1457+$H1457-1)</f>
        <v/>
      </c>
      <c r="G1457" s="18" t="n"/>
      <c r="H1457" s="18">
        <f>IF($A1457="","",IF(I1457&lt;&gt;"",I1457,Paramètres!B53))</f>
        <v/>
      </c>
      <c r="I1457" s="18" t="n"/>
    </row>
    <row r="1458">
      <c r="A1458" s="18">
        <f>IF(ISNUMBER(Dossiers!$D$30),Dossiers!$A$30&amp;" · "&amp;Dossiers!$B$30,"")</f>
        <v/>
      </c>
      <c r="B1458" s="18">
        <f>IF($A1458="","",Paramètres!G54)</f>
        <v/>
      </c>
      <c r="C1458" s="18">
        <f>IF($A1458="","",IF(Paramètres!H54="","",Paramètres!H54))</f>
        <v/>
      </c>
      <c r="D1458" s="18">
        <f>IF($A1458="","",IF(Paramètres!I54="","",Paramètres!I54))</f>
        <v/>
      </c>
      <c r="E1458" s="19">
        <f>IF($A1458="","",IF(Paramètres!J54&amp;Paramètres!L54&amp;Paramètres!N54="",Dossiers!$D$30,MAX(IF(Paramètres!J54="",0,IF(Paramètres!K54="",NA(),IF(LEFT(TRIM(Paramètres!K54),1)="F",INDEX($F$1409:$F$1461,MATCH(Paramètres!J54,Paramètres!$G$5:$G$57,0)),INDEX($E$1409:$E$1461,MATCH(Paramètres!J54,Paramètres!$G$5:$G$57,0)))+IF(RIGHT(TRIM(Paramètres!K54),3)="Fin",1-$H1458,IF(LEFT(TRIM(Paramètres!K54),1)="F",1,0)))),IF(Paramètres!L54="",0,IF(Paramètres!M54="",NA(),IF(LEFT(TRIM(Paramètres!M54),1)="F",INDEX($F$1409:$F$1461,MATCH(Paramètres!L54,Paramètres!$G$5:$G$57,0)),INDEX($E$1409:$E$1461,MATCH(Paramètres!L54,Paramètres!$G$5:$G$57,0)))+IF(RIGHT(TRIM(Paramètres!M54),3)="Fin",1-$H1458,IF(LEFT(TRIM(Paramètres!M54),1)="F",1,0)))),IF(Paramètres!N54="",0,IF(Paramètres!O54="",NA(),IF(LEFT(TRIM(Paramètres!O54),1)="F",INDEX($F$1409:$F$1461,MATCH(Paramètres!N54,Paramètres!$G$5:$G$57,0)),INDEX($E$1409:$E$1461,MATCH(Paramètres!N54,Paramètres!$G$5:$G$57,0)))+IF(RIGHT(TRIM(Paramètres!O54),3)="Fin",1-$H1458,IF(LEFT(TRIM(Paramètres!O54),1)="F",1,0)))))))</f>
        <v/>
      </c>
      <c r="F1458" s="19">
        <f>IF($A1458="","",E1458+$H1458-1)</f>
        <v/>
      </c>
      <c r="G1458" s="18" t="n"/>
      <c r="H1458" s="18">
        <f>IF($A1458="","",IF(I1458&lt;&gt;"",I1458,Paramètres!B54))</f>
        <v/>
      </c>
      <c r="I1458" s="18" t="n"/>
    </row>
    <row r="1459">
      <c r="A1459" s="18">
        <f>IF(ISNUMBER(Dossiers!$D$30),Dossiers!$A$30&amp;" · "&amp;Dossiers!$B$30,"")</f>
        <v/>
      </c>
      <c r="B1459" s="18">
        <f>IF($A1459="","",Paramètres!G55)</f>
        <v/>
      </c>
      <c r="C1459" s="18">
        <f>IF($A1459="","",IF(Paramètres!H55="","",Paramètres!H55))</f>
        <v/>
      </c>
      <c r="D1459" s="18">
        <f>IF($A1459="","",IF(Paramètres!I55="","",Paramètres!I55))</f>
        <v/>
      </c>
      <c r="E1459" s="19">
        <f>IF($A1459="","",IF(Paramètres!J55&amp;Paramètres!L55&amp;Paramètres!N55="",Dossiers!$D$30,MAX(IF(Paramètres!J55="",0,IF(Paramètres!K55="",NA(),IF(LEFT(TRIM(Paramètres!K55),1)="F",INDEX($F$1409:$F$1461,MATCH(Paramètres!J55,Paramètres!$G$5:$G$57,0)),INDEX($E$1409:$E$1461,MATCH(Paramètres!J55,Paramètres!$G$5:$G$57,0)))+IF(RIGHT(TRIM(Paramètres!K55),3)="Fin",1-$H1459,IF(LEFT(TRIM(Paramètres!K55),1)="F",1,0)))),IF(Paramètres!L55="",0,IF(Paramètres!M55="",NA(),IF(LEFT(TRIM(Paramètres!M55),1)="F",INDEX($F$1409:$F$1461,MATCH(Paramètres!L55,Paramètres!$G$5:$G$57,0)),INDEX($E$1409:$E$1461,MATCH(Paramètres!L55,Paramètres!$G$5:$G$57,0)))+IF(RIGHT(TRIM(Paramètres!M55),3)="Fin",1-$H1459,IF(LEFT(TRIM(Paramètres!M55),1)="F",1,0)))),IF(Paramètres!N55="",0,IF(Paramètres!O55="",NA(),IF(LEFT(TRIM(Paramètres!O55),1)="F",INDEX($F$1409:$F$1461,MATCH(Paramètres!N55,Paramètres!$G$5:$G$57,0)),INDEX($E$1409:$E$1461,MATCH(Paramètres!N55,Paramètres!$G$5:$G$57,0)))+IF(RIGHT(TRIM(Paramètres!O55),3)="Fin",1-$H1459,IF(LEFT(TRIM(Paramètres!O55),1)="F",1,0)))))))</f>
        <v/>
      </c>
      <c r="F1459" s="19">
        <f>IF($A1459="","",E1459+$H1459-1)</f>
        <v/>
      </c>
      <c r="G1459" s="18" t="n"/>
      <c r="H1459" s="18">
        <f>IF($A1459="","",IF(I1459&lt;&gt;"",I1459,Paramètres!B55))</f>
        <v/>
      </c>
      <c r="I1459" s="18" t="n"/>
    </row>
    <row r="1460">
      <c r="A1460" s="18">
        <f>IF(ISNUMBER(Dossiers!$D$30),Dossiers!$A$30&amp;" · "&amp;Dossiers!$B$30,"")</f>
        <v/>
      </c>
      <c r="B1460" s="18">
        <f>IF($A1460="","",Paramètres!G56)</f>
        <v/>
      </c>
      <c r="C1460" s="18">
        <f>IF($A1460="","",IF(Paramètres!H56="","",Paramètres!H56))</f>
        <v/>
      </c>
      <c r="D1460" s="18">
        <f>IF($A1460="","",IF(Paramètres!I56="","",Paramètres!I56))</f>
        <v/>
      </c>
      <c r="E1460" s="19">
        <f>IF($A1460="","",MIN(E1461:E1461))</f>
        <v/>
      </c>
      <c r="F1460" s="19">
        <f>IF($A1460="","",MAX(F1461:F1461))</f>
        <v/>
      </c>
      <c r="G1460" s="18" t="n"/>
      <c r="H1460" s="18">
        <f>IF($A1460="","",F1460-E1460+1)</f>
        <v/>
      </c>
      <c r="I1460" s="18" t="n"/>
    </row>
    <row r="1461">
      <c r="A1461" s="18">
        <f>IF(ISNUMBER(Dossiers!$D$30),Dossiers!$A$30&amp;" · "&amp;Dossiers!$B$30,"")</f>
        <v/>
      </c>
      <c r="B1461" s="18">
        <f>IF($A1461="","",Paramètres!G57)</f>
        <v/>
      </c>
      <c r="C1461" s="18">
        <f>IF($A1461="","",IF(Paramètres!H57="","",Paramètres!H57))</f>
        <v/>
      </c>
      <c r="D1461" s="18">
        <f>IF($A1461="","",IF(Paramètres!I57="","",Paramètres!I57))</f>
        <v/>
      </c>
      <c r="E1461" s="19">
        <f>IF($A1461="","",IF(Paramètres!J57&amp;Paramètres!L57&amp;Paramètres!N57="",Dossiers!$D$30,MAX(IF(Paramètres!J57="",0,IF(Paramètres!K57="",NA(),IF(LEFT(TRIM(Paramètres!K57),1)="F",INDEX($F$1409:$F$1461,MATCH(Paramètres!J57,Paramètres!$G$5:$G$57,0)),INDEX($E$1409:$E$1461,MATCH(Paramètres!J57,Paramètres!$G$5:$G$57,0)))+IF(RIGHT(TRIM(Paramètres!K57),3)="Fin",1-$H1461,IF(LEFT(TRIM(Paramètres!K57),1)="F",1,0)))),IF(Paramètres!L57="",0,IF(Paramètres!M57="",NA(),IF(LEFT(TRIM(Paramètres!M57),1)="F",INDEX($F$1409:$F$1461,MATCH(Paramètres!L57,Paramètres!$G$5:$G$57,0)),INDEX($E$1409:$E$1461,MATCH(Paramètres!L57,Paramètres!$G$5:$G$57,0)))+IF(RIGHT(TRIM(Paramètres!M57),3)="Fin",1-$H1461,IF(LEFT(TRIM(Paramètres!M57),1)="F",1,0)))),IF(Paramètres!N57="",0,IF(Paramètres!O57="",NA(),IF(LEFT(TRIM(Paramètres!O57),1)="F",INDEX($F$1409:$F$1461,MATCH(Paramètres!N57,Paramètres!$G$5:$G$57,0)),INDEX($E$1409:$E$1461,MATCH(Paramètres!N57,Paramètres!$G$5:$G$57,0)))+IF(RIGHT(TRIM(Paramètres!O57),3)="Fin",1-$H1461,IF(LEFT(TRIM(Paramètres!O57),1)="F",1,0)))))))</f>
        <v/>
      </c>
      <c r="F1461" s="19">
        <f>IF($A1461="","",E1461+$H1461-1)</f>
        <v/>
      </c>
      <c r="G1461" s="18" t="n"/>
      <c r="H1461" s="18">
        <f>IF($A1461="","",IF(I1461&lt;&gt;"",I1461,Paramètres!B57))</f>
        <v/>
      </c>
      <c r="I1461" s="18" t="n"/>
    </row>
    <row r="1462">
      <c r="A1462" s="16">
        <f>IF(ISNUMBER(Dossiers!$D$31),Dossiers!$E$31,"")</f>
        <v/>
      </c>
      <c r="B1462" s="16">
        <f>IF($A1462="","","Identifiant")</f>
        <v/>
      </c>
      <c r="C1462" s="16">
        <f>IF($A1462="","","Macro Etape")</f>
        <v/>
      </c>
      <c r="D1462" s="16">
        <f>IF($A1462="","","Etape")</f>
        <v/>
      </c>
      <c r="E1462" s="17">
        <f>IF($A1462="","","Début le")</f>
        <v/>
      </c>
      <c r="F1462" s="17">
        <f>IF($A1462="","","Fin prévue le")</f>
        <v/>
      </c>
      <c r="G1462" s="16">
        <f>IF($A1462="","","Statut")</f>
        <v/>
      </c>
      <c r="H1462" s="16">
        <f>IF($A1462="","","Durée (jours)")</f>
        <v/>
      </c>
      <c r="I1462" s="16">
        <f>IF($A1462="","","Durée particulière")</f>
        <v/>
      </c>
      <c r="J1462" s="10">
        <f>IF($A1462="","",HYPERLINK("#'Tableau de bord'!A1","↑ Tableau de bord"))</f>
        <v/>
      </c>
    </row>
    <row r="1463">
      <c r="A1463" s="18">
        <f>IF(ISNUMBER(Dossiers!$D$31),Dossiers!$A$31&amp;" · "&amp;Dossiers!$B$31,"")</f>
        <v/>
      </c>
      <c r="B1463" s="18">
        <f>IF($A1463="","",Paramètres!G5)</f>
        <v/>
      </c>
      <c r="C1463" s="18">
        <f>IF($A1463="","",IF(Paramètres!H5="","",Paramètres!H5))</f>
        <v/>
      </c>
      <c r="D1463" s="18">
        <f>IF($A1463="","",IF(Paramètres!I5="","",Paramètres!I5))</f>
        <v/>
      </c>
      <c r="E1463" s="19">
        <f>IF($A1463="","",MIN(E1464:E1467))</f>
        <v/>
      </c>
      <c r="F1463" s="19">
        <f>IF($A1463="","",MAX(F1464:F1467))</f>
        <v/>
      </c>
      <c r="G1463" s="18" t="n"/>
      <c r="H1463" s="18">
        <f>IF($A1463="","",F1463-E1463+1)</f>
        <v/>
      </c>
      <c r="I1463" s="18" t="n"/>
    </row>
    <row r="1464">
      <c r="A1464" s="18">
        <f>IF(ISNUMBER(Dossiers!$D$31),Dossiers!$A$31&amp;" · "&amp;Dossiers!$B$31,"")</f>
        <v/>
      </c>
      <c r="B1464" s="18">
        <f>IF($A1464="","",Paramètres!G6)</f>
        <v/>
      </c>
      <c r="C1464" s="18">
        <f>IF($A1464="","",IF(Paramètres!H6="","",Paramètres!H6))</f>
        <v/>
      </c>
      <c r="D1464" s="18">
        <f>IF($A1464="","",IF(Paramètres!I6="","",Paramètres!I6))</f>
        <v/>
      </c>
      <c r="E1464" s="19">
        <f>IF($A1464="","",IF(Paramètres!J6&amp;Paramètres!L6&amp;Paramètres!N6="",Dossiers!$D$31,MAX(IF(Paramètres!J6="",0,IF(Paramètres!K6="",NA(),IF(LEFT(TRIM(Paramètres!K6),1)="F",INDEX($F$1463:$F$1515,MATCH(Paramètres!J6,Paramètres!$G$5:$G$57,0)),INDEX($E$1463:$E$1515,MATCH(Paramètres!J6,Paramètres!$G$5:$G$57,0)))+IF(RIGHT(TRIM(Paramètres!K6),3)="Fin",1-$H1464,IF(LEFT(TRIM(Paramètres!K6),1)="F",1,0)))),IF(Paramètres!L6="",0,IF(Paramètres!M6="",NA(),IF(LEFT(TRIM(Paramètres!M6),1)="F",INDEX($F$1463:$F$1515,MATCH(Paramètres!L6,Paramètres!$G$5:$G$57,0)),INDEX($E$1463:$E$1515,MATCH(Paramètres!L6,Paramètres!$G$5:$G$57,0)))+IF(RIGHT(TRIM(Paramètres!M6),3)="Fin",1-$H1464,IF(LEFT(TRIM(Paramètres!M6),1)="F",1,0)))),IF(Paramètres!N6="",0,IF(Paramètres!O6="",NA(),IF(LEFT(TRIM(Paramètres!O6),1)="F",INDEX($F$1463:$F$1515,MATCH(Paramètres!N6,Paramètres!$G$5:$G$57,0)),INDEX($E$1463:$E$1515,MATCH(Paramètres!N6,Paramètres!$G$5:$G$57,0)))+IF(RIGHT(TRIM(Paramètres!O6),3)="Fin",1-$H1464,IF(LEFT(TRIM(Paramètres!O6),1)="F",1,0)))))))</f>
        <v/>
      </c>
      <c r="F1464" s="19">
        <f>IF($A1464="","",E1464+$H1464-1)</f>
        <v/>
      </c>
      <c r="G1464" s="18" t="n"/>
      <c r="H1464" s="18">
        <f>IF($A1464="","",IF(I1464&lt;&gt;"",I1464,Paramètres!B6))</f>
        <v/>
      </c>
      <c r="I1464" s="18" t="n"/>
    </row>
    <row r="1465">
      <c r="A1465" s="18">
        <f>IF(ISNUMBER(Dossiers!$D$31),Dossiers!$A$31&amp;" · "&amp;Dossiers!$B$31,"")</f>
        <v/>
      </c>
      <c r="B1465" s="18">
        <f>IF($A1465="","",Paramètres!G7)</f>
        <v/>
      </c>
      <c r="C1465" s="18">
        <f>IF($A1465="","",IF(Paramètres!H7="","",Paramètres!H7))</f>
        <v/>
      </c>
      <c r="D1465" s="18">
        <f>IF($A1465="","",IF(Paramètres!I7="","",Paramètres!I7))</f>
        <v/>
      </c>
      <c r="E1465" s="19">
        <f>IF($A1465="","",IF(Paramètres!J7&amp;Paramètres!L7&amp;Paramètres!N7="",Dossiers!$D$31,MAX(IF(Paramètres!J7="",0,IF(Paramètres!K7="",NA(),IF(LEFT(TRIM(Paramètres!K7),1)="F",INDEX($F$1463:$F$1515,MATCH(Paramètres!J7,Paramètres!$G$5:$G$57,0)),INDEX($E$1463:$E$1515,MATCH(Paramètres!J7,Paramètres!$G$5:$G$57,0)))+IF(RIGHT(TRIM(Paramètres!K7),3)="Fin",1-$H1465,IF(LEFT(TRIM(Paramètres!K7),1)="F",1,0)))),IF(Paramètres!L7="",0,IF(Paramètres!M7="",NA(),IF(LEFT(TRIM(Paramètres!M7),1)="F",INDEX($F$1463:$F$1515,MATCH(Paramètres!L7,Paramètres!$G$5:$G$57,0)),INDEX($E$1463:$E$1515,MATCH(Paramètres!L7,Paramètres!$G$5:$G$57,0)))+IF(RIGHT(TRIM(Paramètres!M7),3)="Fin",1-$H1465,IF(LEFT(TRIM(Paramètres!M7),1)="F",1,0)))),IF(Paramètres!N7="",0,IF(Paramètres!O7="",NA(),IF(LEFT(TRIM(Paramètres!O7),1)="F",INDEX($F$1463:$F$1515,MATCH(Paramètres!N7,Paramètres!$G$5:$G$57,0)),INDEX($E$1463:$E$1515,MATCH(Paramètres!N7,Paramètres!$G$5:$G$57,0)))+IF(RIGHT(TRIM(Paramètres!O7),3)="Fin",1-$H1465,IF(LEFT(TRIM(Paramètres!O7),1)="F",1,0)))))))</f>
        <v/>
      </c>
      <c r="F1465" s="19">
        <f>IF($A1465="","",E1465+$H1465-1)</f>
        <v/>
      </c>
      <c r="G1465" s="18" t="n"/>
      <c r="H1465" s="18">
        <f>IF($A1465="","",IF(I1465&lt;&gt;"",I1465,Paramètres!B7))</f>
        <v/>
      </c>
      <c r="I1465" s="18" t="n"/>
    </row>
    <row r="1466">
      <c r="A1466" s="18">
        <f>IF(ISNUMBER(Dossiers!$D$31),Dossiers!$A$31&amp;" · "&amp;Dossiers!$B$31,"")</f>
        <v/>
      </c>
      <c r="B1466" s="18">
        <f>IF($A1466="","",Paramètres!G8)</f>
        <v/>
      </c>
      <c r="C1466" s="18">
        <f>IF($A1466="","",IF(Paramètres!H8="","",Paramètres!H8))</f>
        <v/>
      </c>
      <c r="D1466" s="18">
        <f>IF($A1466="","",IF(Paramètres!I8="","",Paramètres!I8))</f>
        <v/>
      </c>
      <c r="E1466" s="19">
        <f>IF($A1466="","",IF(Paramètres!J8&amp;Paramètres!L8&amp;Paramètres!N8="",Dossiers!$D$31,MAX(IF(Paramètres!J8="",0,IF(Paramètres!K8="",NA(),IF(LEFT(TRIM(Paramètres!K8),1)="F",INDEX($F$1463:$F$1515,MATCH(Paramètres!J8,Paramètres!$G$5:$G$57,0)),INDEX($E$1463:$E$1515,MATCH(Paramètres!J8,Paramètres!$G$5:$G$57,0)))+IF(RIGHT(TRIM(Paramètres!K8),3)="Fin",1-$H1466,IF(LEFT(TRIM(Paramètres!K8),1)="F",1,0)))),IF(Paramètres!L8="",0,IF(Paramètres!M8="",NA(),IF(LEFT(TRIM(Paramètres!M8),1)="F",INDEX($F$1463:$F$1515,MATCH(Paramètres!L8,Paramètres!$G$5:$G$57,0)),INDEX($E$1463:$E$1515,MATCH(Paramètres!L8,Paramètres!$G$5:$G$57,0)))+IF(RIGHT(TRIM(Paramètres!M8),3)="Fin",1-$H1466,IF(LEFT(TRIM(Paramètres!M8),1)="F",1,0)))),IF(Paramètres!N8="",0,IF(Paramètres!O8="",NA(),IF(LEFT(TRIM(Paramètres!O8),1)="F",INDEX($F$1463:$F$1515,MATCH(Paramètres!N8,Paramètres!$G$5:$G$57,0)),INDEX($E$1463:$E$1515,MATCH(Paramètres!N8,Paramètres!$G$5:$G$57,0)))+IF(RIGHT(TRIM(Paramètres!O8),3)="Fin",1-$H1466,IF(LEFT(TRIM(Paramètres!O8),1)="F",1,0)))))))</f>
        <v/>
      </c>
      <c r="F1466" s="19">
        <f>IF($A1466="","",E1466+$H1466-1)</f>
        <v/>
      </c>
      <c r="G1466" s="18" t="n"/>
      <c r="H1466" s="18">
        <f>IF($A1466="","",IF(I1466&lt;&gt;"",I1466,Paramètres!B8))</f>
        <v/>
      </c>
      <c r="I1466" s="18" t="n"/>
    </row>
    <row r="1467">
      <c r="A1467" s="18">
        <f>IF(ISNUMBER(Dossiers!$D$31),Dossiers!$A$31&amp;" · "&amp;Dossiers!$B$31,"")</f>
        <v/>
      </c>
      <c r="B1467" s="18">
        <f>IF($A1467="","",Paramètres!G9)</f>
        <v/>
      </c>
      <c r="C1467" s="18">
        <f>IF($A1467="","",IF(Paramètres!H9="","",Paramètres!H9))</f>
        <v/>
      </c>
      <c r="D1467" s="18">
        <f>IF($A1467="","",IF(Paramètres!I9="","",Paramètres!I9))</f>
        <v/>
      </c>
      <c r="E1467" s="19">
        <f>IF($A1467="","",IF(Paramètres!J9&amp;Paramètres!L9&amp;Paramètres!N9="",Dossiers!$D$31,MAX(IF(Paramètres!J9="",0,IF(Paramètres!K9="",NA(),IF(LEFT(TRIM(Paramètres!K9),1)="F",INDEX($F$1463:$F$1515,MATCH(Paramètres!J9,Paramètres!$G$5:$G$57,0)),INDEX($E$1463:$E$1515,MATCH(Paramètres!J9,Paramètres!$G$5:$G$57,0)))+IF(RIGHT(TRIM(Paramètres!K9),3)="Fin",1-$H1467,IF(LEFT(TRIM(Paramètres!K9),1)="F",1,0)))),IF(Paramètres!L9="",0,IF(Paramètres!M9="",NA(),IF(LEFT(TRIM(Paramètres!M9),1)="F",INDEX($F$1463:$F$1515,MATCH(Paramètres!L9,Paramètres!$G$5:$G$57,0)),INDEX($E$1463:$E$1515,MATCH(Paramètres!L9,Paramètres!$G$5:$G$57,0)))+IF(RIGHT(TRIM(Paramètres!M9),3)="Fin",1-$H1467,IF(LEFT(TRIM(Paramètres!M9),1)="F",1,0)))),IF(Paramètres!N9="",0,IF(Paramètres!O9="",NA(),IF(LEFT(TRIM(Paramètres!O9),1)="F",INDEX($F$1463:$F$1515,MATCH(Paramètres!N9,Paramètres!$G$5:$G$57,0)),INDEX($E$1463:$E$1515,MATCH(Paramètres!N9,Paramètres!$G$5:$G$57,0)))+IF(RIGHT(TRIM(Paramètres!O9),3)="Fin",1-$H1467,IF(LEFT(TRIM(Paramètres!O9),1)="F",1,0)))))))</f>
        <v/>
      </c>
      <c r="F1467" s="19">
        <f>IF($A1467="","",E1467+$H1467-1)</f>
        <v/>
      </c>
      <c r="G1467" s="18" t="n"/>
      <c r="H1467" s="18">
        <f>IF($A1467="","",IF(I1467&lt;&gt;"",I1467,Paramètres!B9))</f>
        <v/>
      </c>
      <c r="I1467" s="18" t="n"/>
    </row>
    <row r="1468">
      <c r="A1468" s="18">
        <f>IF(ISNUMBER(Dossiers!$D$31),Dossiers!$A$31&amp;" · "&amp;Dossiers!$B$31,"")</f>
        <v/>
      </c>
      <c r="B1468" s="18">
        <f>IF($A1468="","",Paramètres!G10)</f>
        <v/>
      </c>
      <c r="C1468" s="18">
        <f>IF($A1468="","",IF(Paramètres!H10="","",Paramètres!H10))</f>
        <v/>
      </c>
      <c r="D1468" s="18">
        <f>IF($A1468="","",IF(Paramètres!I10="","",Paramètres!I10))</f>
        <v/>
      </c>
      <c r="E1468" s="19">
        <f>IF($A1468="","",MIN(E1469:E1472))</f>
        <v/>
      </c>
      <c r="F1468" s="19">
        <f>IF($A1468="","",MAX(F1469:F1472))</f>
        <v/>
      </c>
      <c r="G1468" s="18" t="n"/>
      <c r="H1468" s="18">
        <f>IF($A1468="","",F1468-E1468+1)</f>
        <v/>
      </c>
      <c r="I1468" s="18" t="n"/>
    </row>
    <row r="1469">
      <c r="A1469" s="18">
        <f>IF(ISNUMBER(Dossiers!$D$31),Dossiers!$A$31&amp;" · "&amp;Dossiers!$B$31,"")</f>
        <v/>
      </c>
      <c r="B1469" s="18">
        <f>IF($A1469="","",Paramètres!G11)</f>
        <v/>
      </c>
      <c r="C1469" s="18">
        <f>IF($A1469="","",IF(Paramètres!H11="","",Paramètres!H11))</f>
        <v/>
      </c>
      <c r="D1469" s="18">
        <f>IF($A1469="","",IF(Paramètres!I11="","",Paramètres!I11))</f>
        <v/>
      </c>
      <c r="E1469" s="19">
        <f>IF($A1469="","",IF(Paramètres!J11&amp;Paramètres!L11&amp;Paramètres!N11="",Dossiers!$D$31,MAX(IF(Paramètres!J11="",0,IF(Paramètres!K11="",NA(),IF(LEFT(TRIM(Paramètres!K11),1)="F",INDEX($F$1463:$F$1515,MATCH(Paramètres!J11,Paramètres!$G$5:$G$57,0)),INDEX($E$1463:$E$1515,MATCH(Paramètres!J11,Paramètres!$G$5:$G$57,0)))+IF(RIGHT(TRIM(Paramètres!K11),3)="Fin",1-$H1469,IF(LEFT(TRIM(Paramètres!K11),1)="F",1,0)))),IF(Paramètres!L11="",0,IF(Paramètres!M11="",NA(),IF(LEFT(TRIM(Paramètres!M11),1)="F",INDEX($F$1463:$F$1515,MATCH(Paramètres!L11,Paramètres!$G$5:$G$57,0)),INDEX($E$1463:$E$1515,MATCH(Paramètres!L11,Paramètres!$G$5:$G$57,0)))+IF(RIGHT(TRIM(Paramètres!M11),3)="Fin",1-$H1469,IF(LEFT(TRIM(Paramètres!M11),1)="F",1,0)))),IF(Paramètres!N11="",0,IF(Paramètres!O11="",NA(),IF(LEFT(TRIM(Paramètres!O11),1)="F",INDEX($F$1463:$F$1515,MATCH(Paramètres!N11,Paramètres!$G$5:$G$57,0)),INDEX($E$1463:$E$1515,MATCH(Paramètres!N11,Paramètres!$G$5:$G$57,0)))+IF(RIGHT(TRIM(Paramètres!O11),3)="Fin",1-$H1469,IF(LEFT(TRIM(Paramètres!O11),1)="F",1,0)))))))</f>
        <v/>
      </c>
      <c r="F1469" s="19">
        <f>IF($A1469="","",E1469+$H1469-1)</f>
        <v/>
      </c>
      <c r="G1469" s="18" t="n"/>
      <c r="H1469" s="18">
        <f>IF($A1469="","",IF(I1469&lt;&gt;"",I1469,Paramètres!B11))</f>
        <v/>
      </c>
      <c r="I1469" s="18" t="n"/>
    </row>
    <row r="1470">
      <c r="A1470" s="18">
        <f>IF(ISNUMBER(Dossiers!$D$31),Dossiers!$A$31&amp;" · "&amp;Dossiers!$B$31,"")</f>
        <v/>
      </c>
      <c r="B1470" s="18">
        <f>IF($A1470="","",Paramètres!G12)</f>
        <v/>
      </c>
      <c r="C1470" s="18">
        <f>IF($A1470="","",IF(Paramètres!H12="","",Paramètres!H12))</f>
        <v/>
      </c>
      <c r="D1470" s="18">
        <f>IF($A1470="","",IF(Paramètres!I12="","",Paramètres!I12))</f>
        <v/>
      </c>
      <c r="E1470" s="19">
        <f>IF($A1470="","",IF(Paramètres!J12&amp;Paramètres!L12&amp;Paramètres!N12="",Dossiers!$D$31,MAX(IF(Paramètres!J12="",0,IF(Paramètres!K12="",NA(),IF(LEFT(TRIM(Paramètres!K12),1)="F",INDEX($F$1463:$F$1515,MATCH(Paramètres!J12,Paramètres!$G$5:$G$57,0)),INDEX($E$1463:$E$1515,MATCH(Paramètres!J12,Paramètres!$G$5:$G$57,0)))+IF(RIGHT(TRIM(Paramètres!K12),3)="Fin",1-$H1470,IF(LEFT(TRIM(Paramètres!K12),1)="F",1,0)))),IF(Paramètres!L12="",0,IF(Paramètres!M12="",NA(),IF(LEFT(TRIM(Paramètres!M12),1)="F",INDEX($F$1463:$F$1515,MATCH(Paramètres!L12,Paramètres!$G$5:$G$57,0)),INDEX($E$1463:$E$1515,MATCH(Paramètres!L12,Paramètres!$G$5:$G$57,0)))+IF(RIGHT(TRIM(Paramètres!M12),3)="Fin",1-$H1470,IF(LEFT(TRIM(Paramètres!M12),1)="F",1,0)))),IF(Paramètres!N12="",0,IF(Paramètres!O12="",NA(),IF(LEFT(TRIM(Paramètres!O12),1)="F",INDEX($F$1463:$F$1515,MATCH(Paramètres!N12,Paramètres!$G$5:$G$57,0)),INDEX($E$1463:$E$1515,MATCH(Paramètres!N12,Paramètres!$G$5:$G$57,0)))+IF(RIGHT(TRIM(Paramètres!O12),3)="Fin",1-$H1470,IF(LEFT(TRIM(Paramètres!O12),1)="F",1,0)))))))</f>
        <v/>
      </c>
      <c r="F1470" s="19">
        <f>IF($A1470="","",E1470+$H1470-1)</f>
        <v/>
      </c>
      <c r="G1470" s="18" t="n"/>
      <c r="H1470" s="18">
        <f>IF($A1470="","",IF(I1470&lt;&gt;"",I1470,Paramètres!B12))</f>
        <v/>
      </c>
      <c r="I1470" s="18" t="n"/>
    </row>
    <row r="1471">
      <c r="A1471" s="18">
        <f>IF(ISNUMBER(Dossiers!$D$31),Dossiers!$A$31&amp;" · "&amp;Dossiers!$B$31,"")</f>
        <v/>
      </c>
      <c r="B1471" s="18">
        <f>IF($A1471="","",Paramètres!G13)</f>
        <v/>
      </c>
      <c r="C1471" s="18">
        <f>IF($A1471="","",IF(Paramètres!H13="","",Paramètres!H13))</f>
        <v/>
      </c>
      <c r="D1471" s="18">
        <f>IF($A1471="","",IF(Paramètres!I13="","",Paramètres!I13))</f>
        <v/>
      </c>
      <c r="E1471" s="19">
        <f>IF($A1471="","",IF(Paramètres!J13&amp;Paramètres!L13&amp;Paramètres!N13="",Dossiers!$D$31,MAX(IF(Paramètres!J13="",0,IF(Paramètres!K13="",NA(),IF(LEFT(TRIM(Paramètres!K13),1)="F",INDEX($F$1463:$F$1515,MATCH(Paramètres!J13,Paramètres!$G$5:$G$57,0)),INDEX($E$1463:$E$1515,MATCH(Paramètres!J13,Paramètres!$G$5:$G$57,0)))+IF(RIGHT(TRIM(Paramètres!K13),3)="Fin",1-$H1471,IF(LEFT(TRIM(Paramètres!K13),1)="F",1,0)))),IF(Paramètres!L13="",0,IF(Paramètres!M13="",NA(),IF(LEFT(TRIM(Paramètres!M13),1)="F",INDEX($F$1463:$F$1515,MATCH(Paramètres!L13,Paramètres!$G$5:$G$57,0)),INDEX($E$1463:$E$1515,MATCH(Paramètres!L13,Paramètres!$G$5:$G$57,0)))+IF(RIGHT(TRIM(Paramètres!M13),3)="Fin",1-$H1471,IF(LEFT(TRIM(Paramètres!M13),1)="F",1,0)))),IF(Paramètres!N13="",0,IF(Paramètres!O13="",NA(),IF(LEFT(TRIM(Paramètres!O13),1)="F",INDEX($F$1463:$F$1515,MATCH(Paramètres!N13,Paramètres!$G$5:$G$57,0)),INDEX($E$1463:$E$1515,MATCH(Paramètres!N13,Paramètres!$G$5:$G$57,0)))+IF(RIGHT(TRIM(Paramètres!O13),3)="Fin",1-$H1471,IF(LEFT(TRIM(Paramètres!O13),1)="F",1,0)))))))</f>
        <v/>
      </c>
      <c r="F1471" s="19">
        <f>IF($A1471="","",E1471+$H1471-1)</f>
        <v/>
      </c>
      <c r="G1471" s="18" t="n"/>
      <c r="H1471" s="18">
        <f>IF($A1471="","",IF(I1471&lt;&gt;"",I1471,Paramètres!B13))</f>
        <v/>
      </c>
      <c r="I1471" s="18" t="n"/>
    </row>
    <row r="1472">
      <c r="A1472" s="18">
        <f>IF(ISNUMBER(Dossiers!$D$31),Dossiers!$A$31&amp;" · "&amp;Dossiers!$B$31,"")</f>
        <v/>
      </c>
      <c r="B1472" s="18">
        <f>IF($A1472="","",Paramètres!G14)</f>
        <v/>
      </c>
      <c r="C1472" s="18">
        <f>IF($A1472="","",IF(Paramètres!H14="","",Paramètres!H14))</f>
        <v/>
      </c>
      <c r="D1472" s="18">
        <f>IF($A1472="","",IF(Paramètres!I14="","",Paramètres!I14))</f>
        <v/>
      </c>
      <c r="E1472" s="19">
        <f>IF($A1472="","",IF(Paramètres!J14&amp;Paramètres!L14&amp;Paramètres!N14="",Dossiers!$D$31,MAX(IF(Paramètres!J14="",0,IF(Paramètres!K14="",NA(),IF(LEFT(TRIM(Paramètres!K14),1)="F",INDEX($F$1463:$F$1515,MATCH(Paramètres!J14,Paramètres!$G$5:$G$57,0)),INDEX($E$1463:$E$1515,MATCH(Paramètres!J14,Paramètres!$G$5:$G$57,0)))+IF(RIGHT(TRIM(Paramètres!K14),3)="Fin",1-$H1472,IF(LEFT(TRIM(Paramètres!K14),1)="F",1,0)))),IF(Paramètres!L14="",0,IF(Paramètres!M14="",NA(),IF(LEFT(TRIM(Paramètres!M14),1)="F",INDEX($F$1463:$F$1515,MATCH(Paramètres!L14,Paramètres!$G$5:$G$57,0)),INDEX($E$1463:$E$1515,MATCH(Paramètres!L14,Paramètres!$G$5:$G$57,0)))+IF(RIGHT(TRIM(Paramètres!M14),3)="Fin",1-$H1472,IF(LEFT(TRIM(Paramètres!M14),1)="F",1,0)))),IF(Paramètres!N14="",0,IF(Paramètres!O14="",NA(),IF(LEFT(TRIM(Paramètres!O14),1)="F",INDEX($F$1463:$F$1515,MATCH(Paramètres!N14,Paramètres!$G$5:$G$57,0)),INDEX($E$1463:$E$1515,MATCH(Paramètres!N14,Paramètres!$G$5:$G$57,0)))+IF(RIGHT(TRIM(Paramètres!O14),3)="Fin",1-$H1472,IF(LEFT(TRIM(Paramètres!O14),1)="F",1,0)))))))</f>
        <v/>
      </c>
      <c r="F1472" s="19">
        <f>IF($A1472="","",E1472+$H1472-1)</f>
        <v/>
      </c>
      <c r="G1472" s="18" t="n"/>
      <c r="H1472" s="18">
        <f>IF($A1472="","",IF(I1472&lt;&gt;"",I1472,Paramètres!B14))</f>
        <v/>
      </c>
      <c r="I1472" s="18" t="n"/>
    </row>
    <row r="1473">
      <c r="A1473" s="18">
        <f>IF(ISNUMBER(Dossiers!$D$31),Dossiers!$A$31&amp;" · "&amp;Dossiers!$B$31,"")</f>
        <v/>
      </c>
      <c r="B1473" s="18">
        <f>IF($A1473="","",Paramètres!G15)</f>
        <v/>
      </c>
      <c r="C1473" s="18">
        <f>IF($A1473="","",IF(Paramètres!H15="","",Paramètres!H15))</f>
        <v/>
      </c>
      <c r="D1473" s="18">
        <f>IF($A1473="","",IF(Paramètres!I15="","",Paramètres!I15))</f>
        <v/>
      </c>
      <c r="E1473" s="19">
        <f>IF($A1473="","",MIN(E1474:E1489))</f>
        <v/>
      </c>
      <c r="F1473" s="19">
        <f>IF($A1473="","",MAX(F1474:F1489))</f>
        <v/>
      </c>
      <c r="G1473" s="18" t="n"/>
      <c r="H1473" s="18">
        <f>IF($A1473="","",F1473-E1473+1)</f>
        <v/>
      </c>
      <c r="I1473" s="18" t="n"/>
    </row>
    <row r="1474">
      <c r="A1474" s="18">
        <f>IF(ISNUMBER(Dossiers!$D$31),Dossiers!$A$31&amp;" · "&amp;Dossiers!$B$31,"")</f>
        <v/>
      </c>
      <c r="B1474" s="18">
        <f>IF($A1474="","",Paramètres!G16)</f>
        <v/>
      </c>
      <c r="C1474" s="18">
        <f>IF($A1474="","",IF(Paramètres!H16="","",Paramètres!H16))</f>
        <v/>
      </c>
      <c r="D1474" s="18">
        <f>IF($A1474="","",IF(Paramètres!I16="","",Paramètres!I16))</f>
        <v/>
      </c>
      <c r="E1474" s="19">
        <f>IF($A1474="","",IF(Paramètres!J16&amp;Paramètres!L16&amp;Paramètres!N16="",Dossiers!$D$31,MAX(IF(Paramètres!J16="",0,IF(Paramètres!K16="",NA(),IF(LEFT(TRIM(Paramètres!K16),1)="F",INDEX($F$1463:$F$1515,MATCH(Paramètres!J16,Paramètres!$G$5:$G$57,0)),INDEX($E$1463:$E$1515,MATCH(Paramètres!J16,Paramètres!$G$5:$G$57,0)))+IF(RIGHT(TRIM(Paramètres!K16),3)="Fin",1-$H1474,IF(LEFT(TRIM(Paramètres!K16),1)="F",1,0)))),IF(Paramètres!L16="",0,IF(Paramètres!M16="",NA(),IF(LEFT(TRIM(Paramètres!M16),1)="F",INDEX($F$1463:$F$1515,MATCH(Paramètres!L16,Paramètres!$G$5:$G$57,0)),INDEX($E$1463:$E$1515,MATCH(Paramètres!L16,Paramètres!$G$5:$G$57,0)))+IF(RIGHT(TRIM(Paramètres!M16),3)="Fin",1-$H1474,IF(LEFT(TRIM(Paramètres!M16),1)="F",1,0)))),IF(Paramètres!N16="",0,IF(Paramètres!O16="",NA(),IF(LEFT(TRIM(Paramètres!O16),1)="F",INDEX($F$1463:$F$1515,MATCH(Paramètres!N16,Paramètres!$G$5:$G$57,0)),INDEX($E$1463:$E$1515,MATCH(Paramètres!N16,Paramètres!$G$5:$G$57,0)))+IF(RIGHT(TRIM(Paramètres!O16),3)="Fin",1-$H1474,IF(LEFT(TRIM(Paramètres!O16),1)="F",1,0)))))))</f>
        <v/>
      </c>
      <c r="F1474" s="19">
        <f>IF($A1474="","",E1474+$H1474-1)</f>
        <v/>
      </c>
      <c r="G1474" s="18" t="n"/>
      <c r="H1474" s="18">
        <f>IF($A1474="","",IF(I1474&lt;&gt;"",I1474,Paramètres!B16))</f>
        <v/>
      </c>
      <c r="I1474" s="18" t="n"/>
    </row>
    <row r="1475">
      <c r="A1475" s="18">
        <f>IF(ISNUMBER(Dossiers!$D$31),Dossiers!$A$31&amp;" · "&amp;Dossiers!$B$31,"")</f>
        <v/>
      </c>
      <c r="B1475" s="18">
        <f>IF($A1475="","",Paramètres!G17)</f>
        <v/>
      </c>
      <c r="C1475" s="18">
        <f>IF($A1475="","",IF(Paramètres!H17="","",Paramètres!H17))</f>
        <v/>
      </c>
      <c r="D1475" s="18">
        <f>IF($A1475="","",IF(Paramètres!I17="","",Paramètres!I17))</f>
        <v/>
      </c>
      <c r="E1475" s="19">
        <f>IF($A1475="","",IF(Paramètres!J17&amp;Paramètres!L17&amp;Paramètres!N17="",Dossiers!$D$31,MAX(IF(Paramètres!J17="",0,IF(Paramètres!K17="",NA(),IF(LEFT(TRIM(Paramètres!K17),1)="F",INDEX($F$1463:$F$1515,MATCH(Paramètres!J17,Paramètres!$G$5:$G$57,0)),INDEX($E$1463:$E$1515,MATCH(Paramètres!J17,Paramètres!$G$5:$G$57,0)))+IF(RIGHT(TRIM(Paramètres!K17),3)="Fin",1-$H1475,IF(LEFT(TRIM(Paramètres!K17),1)="F",1,0)))),IF(Paramètres!L17="",0,IF(Paramètres!M17="",NA(),IF(LEFT(TRIM(Paramètres!M17),1)="F",INDEX($F$1463:$F$1515,MATCH(Paramètres!L17,Paramètres!$G$5:$G$57,0)),INDEX($E$1463:$E$1515,MATCH(Paramètres!L17,Paramètres!$G$5:$G$57,0)))+IF(RIGHT(TRIM(Paramètres!M17),3)="Fin",1-$H1475,IF(LEFT(TRIM(Paramètres!M17),1)="F",1,0)))),IF(Paramètres!N17="",0,IF(Paramètres!O17="",NA(),IF(LEFT(TRIM(Paramètres!O17),1)="F",INDEX($F$1463:$F$1515,MATCH(Paramètres!N17,Paramètres!$G$5:$G$57,0)),INDEX($E$1463:$E$1515,MATCH(Paramètres!N17,Paramètres!$G$5:$G$57,0)))+IF(RIGHT(TRIM(Paramètres!O17),3)="Fin",1-$H1475,IF(LEFT(TRIM(Paramètres!O17),1)="F",1,0)))))))</f>
        <v/>
      </c>
      <c r="F1475" s="19">
        <f>IF($A1475="","",E1475+$H1475-1)</f>
        <v/>
      </c>
      <c r="G1475" s="18" t="n"/>
      <c r="H1475" s="18">
        <f>IF($A1475="","",IF(I1475&lt;&gt;"",I1475,Paramètres!B17))</f>
        <v/>
      </c>
      <c r="I1475" s="18" t="n"/>
    </row>
    <row r="1476">
      <c r="A1476" s="18">
        <f>IF(ISNUMBER(Dossiers!$D$31),Dossiers!$A$31&amp;" · "&amp;Dossiers!$B$31,"")</f>
        <v/>
      </c>
      <c r="B1476" s="18">
        <f>IF($A1476="","",Paramètres!G18)</f>
        <v/>
      </c>
      <c r="C1476" s="18">
        <f>IF($A1476="","",IF(Paramètres!H18="","",Paramètres!H18))</f>
        <v/>
      </c>
      <c r="D1476" s="18">
        <f>IF($A1476="","",IF(Paramètres!I18="","",Paramètres!I18))</f>
        <v/>
      </c>
      <c r="E1476" s="19">
        <f>IF($A1476="","",IF(Paramètres!J18&amp;Paramètres!L18&amp;Paramètres!N18="",Dossiers!$D$31,MAX(IF(Paramètres!J18="",0,IF(Paramètres!K18="",NA(),IF(LEFT(TRIM(Paramètres!K18),1)="F",INDEX($F$1463:$F$1515,MATCH(Paramètres!J18,Paramètres!$G$5:$G$57,0)),INDEX($E$1463:$E$1515,MATCH(Paramètres!J18,Paramètres!$G$5:$G$57,0)))+IF(RIGHT(TRIM(Paramètres!K18),3)="Fin",1-$H1476,IF(LEFT(TRIM(Paramètres!K18),1)="F",1,0)))),IF(Paramètres!L18="",0,IF(Paramètres!M18="",NA(),IF(LEFT(TRIM(Paramètres!M18),1)="F",INDEX($F$1463:$F$1515,MATCH(Paramètres!L18,Paramètres!$G$5:$G$57,0)),INDEX($E$1463:$E$1515,MATCH(Paramètres!L18,Paramètres!$G$5:$G$57,0)))+IF(RIGHT(TRIM(Paramètres!M18),3)="Fin",1-$H1476,IF(LEFT(TRIM(Paramètres!M18),1)="F",1,0)))),IF(Paramètres!N18="",0,IF(Paramètres!O18="",NA(),IF(LEFT(TRIM(Paramètres!O18),1)="F",INDEX($F$1463:$F$1515,MATCH(Paramètres!N18,Paramètres!$G$5:$G$57,0)),INDEX($E$1463:$E$1515,MATCH(Paramètres!N18,Paramètres!$G$5:$G$57,0)))+IF(RIGHT(TRIM(Paramètres!O18),3)="Fin",1-$H1476,IF(LEFT(TRIM(Paramètres!O18),1)="F",1,0)))))))</f>
        <v/>
      </c>
      <c r="F1476" s="19">
        <f>IF($A1476="","",E1476+$H1476-1)</f>
        <v/>
      </c>
      <c r="G1476" s="18" t="n"/>
      <c r="H1476" s="18">
        <f>IF($A1476="","",IF(I1476&lt;&gt;"",I1476,Paramètres!B18))</f>
        <v/>
      </c>
      <c r="I1476" s="18" t="n"/>
    </row>
    <row r="1477">
      <c r="A1477" s="18">
        <f>IF(ISNUMBER(Dossiers!$D$31),Dossiers!$A$31&amp;" · "&amp;Dossiers!$B$31,"")</f>
        <v/>
      </c>
      <c r="B1477" s="18">
        <f>IF($A1477="","",Paramètres!G19)</f>
        <v/>
      </c>
      <c r="C1477" s="18">
        <f>IF($A1477="","",IF(Paramètres!H19="","",Paramètres!H19))</f>
        <v/>
      </c>
      <c r="D1477" s="18">
        <f>IF($A1477="","",IF(Paramètres!I19="","",Paramètres!I19))</f>
        <v/>
      </c>
      <c r="E1477" s="19">
        <f>IF($A1477="","",IF(Paramètres!J19&amp;Paramètres!L19&amp;Paramètres!N19="",Dossiers!$D$31,MAX(IF(Paramètres!J19="",0,IF(Paramètres!K19="",NA(),IF(LEFT(TRIM(Paramètres!K19),1)="F",INDEX($F$1463:$F$1515,MATCH(Paramètres!J19,Paramètres!$G$5:$G$57,0)),INDEX($E$1463:$E$1515,MATCH(Paramètres!J19,Paramètres!$G$5:$G$57,0)))+IF(RIGHT(TRIM(Paramètres!K19),3)="Fin",1-$H1477,IF(LEFT(TRIM(Paramètres!K19),1)="F",1,0)))),IF(Paramètres!L19="",0,IF(Paramètres!M19="",NA(),IF(LEFT(TRIM(Paramètres!M19),1)="F",INDEX($F$1463:$F$1515,MATCH(Paramètres!L19,Paramètres!$G$5:$G$57,0)),INDEX($E$1463:$E$1515,MATCH(Paramètres!L19,Paramètres!$G$5:$G$57,0)))+IF(RIGHT(TRIM(Paramètres!M19),3)="Fin",1-$H1477,IF(LEFT(TRIM(Paramètres!M19),1)="F",1,0)))),IF(Paramètres!N19="",0,IF(Paramètres!O19="",NA(),IF(LEFT(TRIM(Paramètres!O19),1)="F",INDEX($F$1463:$F$1515,MATCH(Paramètres!N19,Paramètres!$G$5:$G$57,0)),INDEX($E$1463:$E$1515,MATCH(Paramètres!N19,Paramètres!$G$5:$G$57,0)))+IF(RIGHT(TRIM(Paramètres!O19),3)="Fin",1-$H1477,IF(LEFT(TRIM(Paramètres!O19),1)="F",1,0)))))))</f>
        <v/>
      </c>
      <c r="F1477" s="19">
        <f>IF($A1477="","",E1477+$H1477-1)</f>
        <v/>
      </c>
      <c r="G1477" s="18" t="n"/>
      <c r="H1477" s="18">
        <f>IF($A1477="","",IF(I1477&lt;&gt;"",I1477,Paramètres!B19))</f>
        <v/>
      </c>
      <c r="I1477" s="18" t="n"/>
    </row>
    <row r="1478">
      <c r="A1478" s="18">
        <f>IF(ISNUMBER(Dossiers!$D$31),Dossiers!$A$31&amp;" · "&amp;Dossiers!$B$31,"")</f>
        <v/>
      </c>
      <c r="B1478" s="18">
        <f>IF($A1478="","",Paramètres!G20)</f>
        <v/>
      </c>
      <c r="C1478" s="18">
        <f>IF($A1478="","",IF(Paramètres!H20="","",Paramètres!H20))</f>
        <v/>
      </c>
      <c r="D1478" s="18">
        <f>IF($A1478="","",IF(Paramètres!I20="","",Paramètres!I20))</f>
        <v/>
      </c>
      <c r="E1478" s="19">
        <f>IF($A1478="","",IF(Paramètres!J20&amp;Paramètres!L20&amp;Paramètres!N20="",Dossiers!$D$31,MAX(IF(Paramètres!J20="",0,IF(Paramètres!K20="",NA(),IF(LEFT(TRIM(Paramètres!K20),1)="F",INDEX($F$1463:$F$1515,MATCH(Paramètres!J20,Paramètres!$G$5:$G$57,0)),INDEX($E$1463:$E$1515,MATCH(Paramètres!J20,Paramètres!$G$5:$G$57,0)))+IF(RIGHT(TRIM(Paramètres!K20),3)="Fin",1-$H1478,IF(LEFT(TRIM(Paramètres!K20),1)="F",1,0)))),IF(Paramètres!L20="",0,IF(Paramètres!M20="",NA(),IF(LEFT(TRIM(Paramètres!M20),1)="F",INDEX($F$1463:$F$1515,MATCH(Paramètres!L20,Paramètres!$G$5:$G$57,0)),INDEX($E$1463:$E$1515,MATCH(Paramètres!L20,Paramètres!$G$5:$G$57,0)))+IF(RIGHT(TRIM(Paramètres!M20),3)="Fin",1-$H1478,IF(LEFT(TRIM(Paramètres!M20),1)="F",1,0)))),IF(Paramètres!N20="",0,IF(Paramètres!O20="",NA(),IF(LEFT(TRIM(Paramètres!O20),1)="F",INDEX($F$1463:$F$1515,MATCH(Paramètres!N20,Paramètres!$G$5:$G$57,0)),INDEX($E$1463:$E$1515,MATCH(Paramètres!N20,Paramètres!$G$5:$G$57,0)))+IF(RIGHT(TRIM(Paramètres!O20),3)="Fin",1-$H1478,IF(LEFT(TRIM(Paramètres!O20),1)="F",1,0)))))))</f>
        <v/>
      </c>
      <c r="F1478" s="19">
        <f>IF($A1478="","",E1478+$H1478-1)</f>
        <v/>
      </c>
      <c r="G1478" s="18" t="n"/>
      <c r="H1478" s="18">
        <f>IF($A1478="","",IF(I1478&lt;&gt;"",I1478,Paramètres!B20))</f>
        <v/>
      </c>
      <c r="I1478" s="18" t="n"/>
    </row>
    <row r="1479">
      <c r="A1479" s="18">
        <f>IF(ISNUMBER(Dossiers!$D$31),Dossiers!$A$31&amp;" · "&amp;Dossiers!$B$31,"")</f>
        <v/>
      </c>
      <c r="B1479" s="18">
        <f>IF($A1479="","",Paramètres!G21)</f>
        <v/>
      </c>
      <c r="C1479" s="18">
        <f>IF($A1479="","",IF(Paramètres!H21="","",Paramètres!H21))</f>
        <v/>
      </c>
      <c r="D1479" s="18">
        <f>IF($A1479="","",IF(Paramètres!I21="","",Paramètres!I21))</f>
        <v/>
      </c>
      <c r="E1479" s="19">
        <f>IF($A1479="","",IF(Paramètres!J21&amp;Paramètres!L21&amp;Paramètres!N21="",Dossiers!$D$31,MAX(IF(Paramètres!J21="",0,IF(Paramètres!K21="",NA(),IF(LEFT(TRIM(Paramètres!K21),1)="F",INDEX($F$1463:$F$1515,MATCH(Paramètres!J21,Paramètres!$G$5:$G$57,0)),INDEX($E$1463:$E$1515,MATCH(Paramètres!J21,Paramètres!$G$5:$G$57,0)))+IF(RIGHT(TRIM(Paramètres!K21),3)="Fin",1-$H1479,IF(LEFT(TRIM(Paramètres!K21),1)="F",1,0)))),IF(Paramètres!L21="",0,IF(Paramètres!M21="",NA(),IF(LEFT(TRIM(Paramètres!M21),1)="F",INDEX($F$1463:$F$1515,MATCH(Paramètres!L21,Paramètres!$G$5:$G$57,0)),INDEX($E$1463:$E$1515,MATCH(Paramètres!L21,Paramètres!$G$5:$G$57,0)))+IF(RIGHT(TRIM(Paramètres!M21),3)="Fin",1-$H1479,IF(LEFT(TRIM(Paramètres!M21),1)="F",1,0)))),IF(Paramètres!N21="",0,IF(Paramètres!O21="",NA(),IF(LEFT(TRIM(Paramètres!O21),1)="F",INDEX($F$1463:$F$1515,MATCH(Paramètres!N21,Paramètres!$G$5:$G$57,0)),INDEX($E$1463:$E$1515,MATCH(Paramètres!N21,Paramètres!$G$5:$G$57,0)))+IF(RIGHT(TRIM(Paramètres!O21),3)="Fin",1-$H1479,IF(LEFT(TRIM(Paramètres!O21),1)="F",1,0)))))))</f>
        <v/>
      </c>
      <c r="F1479" s="19">
        <f>IF($A1479="","",E1479+$H1479-1)</f>
        <v/>
      </c>
      <c r="G1479" s="18" t="n"/>
      <c r="H1479" s="18">
        <f>IF($A1479="","",IF(I1479&lt;&gt;"",I1479,Paramètres!B21))</f>
        <v/>
      </c>
      <c r="I1479" s="18" t="n"/>
    </row>
    <row r="1480">
      <c r="A1480" s="18">
        <f>IF(ISNUMBER(Dossiers!$D$31),Dossiers!$A$31&amp;" · "&amp;Dossiers!$B$31,"")</f>
        <v/>
      </c>
      <c r="B1480" s="18">
        <f>IF($A1480="","",Paramètres!G22)</f>
        <v/>
      </c>
      <c r="C1480" s="18">
        <f>IF($A1480="","",IF(Paramètres!H22="","",Paramètres!H22))</f>
        <v/>
      </c>
      <c r="D1480" s="18">
        <f>IF($A1480="","",IF(Paramètres!I22="","",Paramètres!I22))</f>
        <v/>
      </c>
      <c r="E1480" s="19">
        <f>IF($A1480="","",IF(Paramètres!J22&amp;Paramètres!L22&amp;Paramètres!N22="",Dossiers!$D$31,MAX(IF(Paramètres!J22="",0,IF(Paramètres!K22="",NA(),IF(LEFT(TRIM(Paramètres!K22),1)="F",INDEX($F$1463:$F$1515,MATCH(Paramètres!J22,Paramètres!$G$5:$G$57,0)),INDEX($E$1463:$E$1515,MATCH(Paramètres!J22,Paramètres!$G$5:$G$57,0)))+IF(RIGHT(TRIM(Paramètres!K22),3)="Fin",1-$H1480,IF(LEFT(TRIM(Paramètres!K22),1)="F",1,0)))),IF(Paramètres!L22="",0,IF(Paramètres!M22="",NA(),IF(LEFT(TRIM(Paramètres!M22),1)="F",INDEX($F$1463:$F$1515,MATCH(Paramètres!L22,Paramètres!$G$5:$G$57,0)),INDEX($E$1463:$E$1515,MATCH(Paramètres!L22,Paramètres!$G$5:$G$57,0)))+IF(RIGHT(TRIM(Paramètres!M22),3)="Fin",1-$H1480,IF(LEFT(TRIM(Paramètres!M22),1)="F",1,0)))),IF(Paramètres!N22="",0,IF(Paramètres!O22="",NA(),IF(LEFT(TRIM(Paramètres!O22),1)="F",INDEX($F$1463:$F$1515,MATCH(Paramètres!N22,Paramètres!$G$5:$G$57,0)),INDEX($E$1463:$E$1515,MATCH(Paramètres!N22,Paramètres!$G$5:$G$57,0)))+IF(RIGHT(TRIM(Paramètres!O22),3)="Fin",1-$H1480,IF(LEFT(TRIM(Paramètres!O22),1)="F",1,0)))))))</f>
        <v/>
      </c>
      <c r="F1480" s="19">
        <f>IF($A1480="","",E1480+$H1480-1)</f>
        <v/>
      </c>
      <c r="G1480" s="18" t="n"/>
      <c r="H1480" s="18">
        <f>IF($A1480="","",IF(I1480&lt;&gt;"",I1480,Paramètres!B22))</f>
        <v/>
      </c>
      <c r="I1480" s="18" t="n"/>
    </row>
    <row r="1481">
      <c r="A1481" s="18">
        <f>IF(ISNUMBER(Dossiers!$D$31),Dossiers!$A$31&amp;" · "&amp;Dossiers!$B$31,"")</f>
        <v/>
      </c>
      <c r="B1481" s="18">
        <f>IF($A1481="","",Paramètres!G23)</f>
        <v/>
      </c>
      <c r="C1481" s="18">
        <f>IF($A1481="","",IF(Paramètres!H23="","",Paramètres!H23))</f>
        <v/>
      </c>
      <c r="D1481" s="18">
        <f>IF($A1481="","",IF(Paramètres!I23="","",Paramètres!I23))</f>
        <v/>
      </c>
      <c r="E1481" s="19">
        <f>IF($A1481="","",IF(Paramètres!J23&amp;Paramètres!L23&amp;Paramètres!N23="",Dossiers!$D$31,MAX(IF(Paramètres!J23="",0,IF(Paramètres!K23="",NA(),IF(LEFT(TRIM(Paramètres!K23),1)="F",INDEX($F$1463:$F$1515,MATCH(Paramètres!J23,Paramètres!$G$5:$G$57,0)),INDEX($E$1463:$E$1515,MATCH(Paramètres!J23,Paramètres!$G$5:$G$57,0)))+IF(RIGHT(TRIM(Paramètres!K23),3)="Fin",1-$H1481,IF(LEFT(TRIM(Paramètres!K23),1)="F",1,0)))),IF(Paramètres!L23="",0,IF(Paramètres!M23="",NA(),IF(LEFT(TRIM(Paramètres!M23),1)="F",INDEX($F$1463:$F$1515,MATCH(Paramètres!L23,Paramètres!$G$5:$G$57,0)),INDEX($E$1463:$E$1515,MATCH(Paramètres!L23,Paramètres!$G$5:$G$57,0)))+IF(RIGHT(TRIM(Paramètres!M23),3)="Fin",1-$H1481,IF(LEFT(TRIM(Paramètres!M23),1)="F",1,0)))),IF(Paramètres!N23="",0,IF(Paramètres!O23="",NA(),IF(LEFT(TRIM(Paramètres!O23),1)="F",INDEX($F$1463:$F$1515,MATCH(Paramètres!N23,Paramètres!$G$5:$G$57,0)),INDEX($E$1463:$E$1515,MATCH(Paramètres!N23,Paramètres!$G$5:$G$57,0)))+IF(RIGHT(TRIM(Paramètres!O23),3)="Fin",1-$H1481,IF(LEFT(TRIM(Paramètres!O23),1)="F",1,0)))))))</f>
        <v/>
      </c>
      <c r="F1481" s="19">
        <f>IF($A1481="","",E1481+$H1481-1)</f>
        <v/>
      </c>
      <c r="G1481" s="18" t="n"/>
      <c r="H1481" s="18">
        <f>IF($A1481="","",IF(I1481&lt;&gt;"",I1481,Paramètres!B23))</f>
        <v/>
      </c>
      <c r="I1481" s="18" t="n"/>
    </row>
    <row r="1482">
      <c r="A1482" s="18">
        <f>IF(ISNUMBER(Dossiers!$D$31),Dossiers!$A$31&amp;" · "&amp;Dossiers!$B$31,"")</f>
        <v/>
      </c>
      <c r="B1482" s="18">
        <f>IF($A1482="","",Paramètres!G24)</f>
        <v/>
      </c>
      <c r="C1482" s="18">
        <f>IF($A1482="","",IF(Paramètres!H24="","",Paramètres!H24))</f>
        <v/>
      </c>
      <c r="D1482" s="18">
        <f>IF($A1482="","",IF(Paramètres!I24="","",Paramètres!I24))</f>
        <v/>
      </c>
      <c r="E1482" s="19">
        <f>IF($A1482="","",IF(Paramètres!J24&amp;Paramètres!L24&amp;Paramètres!N24="",Dossiers!$D$31,MAX(IF(Paramètres!J24="",0,IF(Paramètres!K24="",NA(),IF(LEFT(TRIM(Paramètres!K24),1)="F",INDEX($F$1463:$F$1515,MATCH(Paramètres!J24,Paramètres!$G$5:$G$57,0)),INDEX($E$1463:$E$1515,MATCH(Paramètres!J24,Paramètres!$G$5:$G$57,0)))+IF(RIGHT(TRIM(Paramètres!K24),3)="Fin",1-$H1482,IF(LEFT(TRIM(Paramètres!K24),1)="F",1,0)))),IF(Paramètres!L24="",0,IF(Paramètres!M24="",NA(),IF(LEFT(TRIM(Paramètres!M24),1)="F",INDEX($F$1463:$F$1515,MATCH(Paramètres!L24,Paramètres!$G$5:$G$57,0)),INDEX($E$1463:$E$1515,MATCH(Paramètres!L24,Paramètres!$G$5:$G$57,0)))+IF(RIGHT(TRIM(Paramètres!M24),3)="Fin",1-$H1482,IF(LEFT(TRIM(Paramètres!M24),1)="F",1,0)))),IF(Paramètres!N24="",0,IF(Paramètres!O24="",NA(),IF(LEFT(TRIM(Paramètres!O24),1)="F",INDEX($F$1463:$F$1515,MATCH(Paramètres!N24,Paramètres!$G$5:$G$57,0)),INDEX($E$1463:$E$1515,MATCH(Paramètres!N24,Paramètres!$G$5:$G$57,0)))+IF(RIGHT(TRIM(Paramètres!O24),3)="Fin",1-$H1482,IF(LEFT(TRIM(Paramètres!O24),1)="F",1,0)))))))</f>
        <v/>
      </c>
      <c r="F1482" s="19">
        <f>IF($A1482="","",E1482+$H1482-1)</f>
        <v/>
      </c>
      <c r="G1482" s="18" t="n"/>
      <c r="H1482" s="18">
        <f>IF($A1482="","",IF(I1482&lt;&gt;"",I1482,Paramètres!B24))</f>
        <v/>
      </c>
      <c r="I1482" s="18" t="n"/>
    </row>
    <row r="1483">
      <c r="A1483" s="18">
        <f>IF(ISNUMBER(Dossiers!$D$31),Dossiers!$A$31&amp;" · "&amp;Dossiers!$B$31,"")</f>
        <v/>
      </c>
      <c r="B1483" s="18">
        <f>IF($A1483="","",Paramètres!G25)</f>
        <v/>
      </c>
      <c r="C1483" s="18">
        <f>IF($A1483="","",IF(Paramètres!H25="","",Paramètres!H25))</f>
        <v/>
      </c>
      <c r="D1483" s="18">
        <f>IF($A1483="","",IF(Paramètres!I25="","",Paramètres!I25))</f>
        <v/>
      </c>
      <c r="E1483" s="19">
        <f>IF($A1483="","",IF(Paramètres!J25&amp;Paramètres!L25&amp;Paramètres!N25="",Dossiers!$D$31,MAX(IF(Paramètres!J25="",0,IF(Paramètres!K25="",NA(),IF(LEFT(TRIM(Paramètres!K25),1)="F",INDEX($F$1463:$F$1515,MATCH(Paramètres!J25,Paramètres!$G$5:$G$57,0)),INDEX($E$1463:$E$1515,MATCH(Paramètres!J25,Paramètres!$G$5:$G$57,0)))+IF(RIGHT(TRIM(Paramètres!K25),3)="Fin",1-$H1483,IF(LEFT(TRIM(Paramètres!K25),1)="F",1,0)))),IF(Paramètres!L25="",0,IF(Paramètres!M25="",NA(),IF(LEFT(TRIM(Paramètres!M25),1)="F",INDEX($F$1463:$F$1515,MATCH(Paramètres!L25,Paramètres!$G$5:$G$57,0)),INDEX($E$1463:$E$1515,MATCH(Paramètres!L25,Paramètres!$G$5:$G$57,0)))+IF(RIGHT(TRIM(Paramètres!M25),3)="Fin",1-$H1483,IF(LEFT(TRIM(Paramètres!M25),1)="F",1,0)))),IF(Paramètres!N25="",0,IF(Paramètres!O25="",NA(),IF(LEFT(TRIM(Paramètres!O25),1)="F",INDEX($F$1463:$F$1515,MATCH(Paramètres!N25,Paramètres!$G$5:$G$57,0)),INDEX($E$1463:$E$1515,MATCH(Paramètres!N25,Paramètres!$G$5:$G$57,0)))+IF(RIGHT(TRIM(Paramètres!O25),3)="Fin",1-$H1483,IF(LEFT(TRIM(Paramètres!O25),1)="F",1,0)))))))</f>
        <v/>
      </c>
      <c r="F1483" s="19">
        <f>IF($A1483="","",E1483+$H1483-1)</f>
        <v/>
      </c>
      <c r="G1483" s="18" t="n"/>
      <c r="H1483" s="18">
        <f>IF($A1483="","",IF(I1483&lt;&gt;"",I1483,Paramètres!B25))</f>
        <v/>
      </c>
      <c r="I1483" s="18" t="n"/>
    </row>
    <row r="1484">
      <c r="A1484" s="18">
        <f>IF(ISNUMBER(Dossiers!$D$31),Dossiers!$A$31&amp;" · "&amp;Dossiers!$B$31,"")</f>
        <v/>
      </c>
      <c r="B1484" s="18">
        <f>IF($A1484="","",Paramètres!G26)</f>
        <v/>
      </c>
      <c r="C1484" s="18">
        <f>IF($A1484="","",IF(Paramètres!H26="","",Paramètres!H26))</f>
        <v/>
      </c>
      <c r="D1484" s="18">
        <f>IF($A1484="","",IF(Paramètres!I26="","",Paramètres!I26))</f>
        <v/>
      </c>
      <c r="E1484" s="19">
        <f>IF($A1484="","",IF(Paramètres!J26&amp;Paramètres!L26&amp;Paramètres!N26="",Dossiers!$D$31,MAX(IF(Paramètres!J26="",0,IF(Paramètres!K26="",NA(),IF(LEFT(TRIM(Paramètres!K26),1)="F",INDEX($F$1463:$F$1515,MATCH(Paramètres!J26,Paramètres!$G$5:$G$57,0)),INDEX($E$1463:$E$1515,MATCH(Paramètres!J26,Paramètres!$G$5:$G$57,0)))+IF(RIGHT(TRIM(Paramètres!K26),3)="Fin",1-$H1484,IF(LEFT(TRIM(Paramètres!K26),1)="F",1,0)))),IF(Paramètres!L26="",0,IF(Paramètres!M26="",NA(),IF(LEFT(TRIM(Paramètres!M26),1)="F",INDEX($F$1463:$F$1515,MATCH(Paramètres!L26,Paramètres!$G$5:$G$57,0)),INDEX($E$1463:$E$1515,MATCH(Paramètres!L26,Paramètres!$G$5:$G$57,0)))+IF(RIGHT(TRIM(Paramètres!M26),3)="Fin",1-$H1484,IF(LEFT(TRIM(Paramètres!M26),1)="F",1,0)))),IF(Paramètres!N26="",0,IF(Paramètres!O26="",NA(),IF(LEFT(TRIM(Paramètres!O26),1)="F",INDEX($F$1463:$F$1515,MATCH(Paramètres!N26,Paramètres!$G$5:$G$57,0)),INDEX($E$1463:$E$1515,MATCH(Paramètres!N26,Paramètres!$G$5:$G$57,0)))+IF(RIGHT(TRIM(Paramètres!O26),3)="Fin",1-$H1484,IF(LEFT(TRIM(Paramètres!O26),1)="F",1,0)))))))</f>
        <v/>
      </c>
      <c r="F1484" s="19">
        <f>IF($A1484="","",E1484+$H1484-1)</f>
        <v/>
      </c>
      <c r="G1484" s="18" t="n"/>
      <c r="H1484" s="18">
        <f>IF($A1484="","",IF(I1484&lt;&gt;"",I1484,Paramètres!B26))</f>
        <v/>
      </c>
      <c r="I1484" s="18" t="n"/>
    </row>
    <row r="1485">
      <c r="A1485" s="18">
        <f>IF(ISNUMBER(Dossiers!$D$31),Dossiers!$A$31&amp;" · "&amp;Dossiers!$B$31,"")</f>
        <v/>
      </c>
      <c r="B1485" s="18">
        <f>IF($A1485="","",Paramètres!G27)</f>
        <v/>
      </c>
      <c r="C1485" s="18">
        <f>IF($A1485="","",IF(Paramètres!H27="","",Paramètres!H27))</f>
        <v/>
      </c>
      <c r="D1485" s="18">
        <f>IF($A1485="","",IF(Paramètres!I27="","",Paramètres!I27))</f>
        <v/>
      </c>
      <c r="E1485" s="19">
        <f>IF($A1485="","",IF(Paramètres!J27&amp;Paramètres!L27&amp;Paramètres!N27="",Dossiers!$D$31,MAX(IF(Paramètres!J27="",0,IF(Paramètres!K27="",NA(),IF(LEFT(TRIM(Paramètres!K27),1)="F",INDEX($F$1463:$F$1515,MATCH(Paramètres!J27,Paramètres!$G$5:$G$57,0)),INDEX($E$1463:$E$1515,MATCH(Paramètres!J27,Paramètres!$G$5:$G$57,0)))+IF(RIGHT(TRIM(Paramètres!K27),3)="Fin",1-$H1485,IF(LEFT(TRIM(Paramètres!K27),1)="F",1,0)))),IF(Paramètres!L27="",0,IF(Paramètres!M27="",NA(),IF(LEFT(TRIM(Paramètres!M27),1)="F",INDEX($F$1463:$F$1515,MATCH(Paramètres!L27,Paramètres!$G$5:$G$57,0)),INDEX($E$1463:$E$1515,MATCH(Paramètres!L27,Paramètres!$G$5:$G$57,0)))+IF(RIGHT(TRIM(Paramètres!M27),3)="Fin",1-$H1485,IF(LEFT(TRIM(Paramètres!M27),1)="F",1,0)))),IF(Paramètres!N27="",0,IF(Paramètres!O27="",NA(),IF(LEFT(TRIM(Paramètres!O27),1)="F",INDEX($F$1463:$F$1515,MATCH(Paramètres!N27,Paramètres!$G$5:$G$57,0)),INDEX($E$1463:$E$1515,MATCH(Paramètres!N27,Paramètres!$G$5:$G$57,0)))+IF(RIGHT(TRIM(Paramètres!O27),3)="Fin",1-$H1485,IF(LEFT(TRIM(Paramètres!O27),1)="F",1,0)))))))</f>
        <v/>
      </c>
      <c r="F1485" s="19">
        <f>IF($A1485="","",E1485+$H1485-1)</f>
        <v/>
      </c>
      <c r="G1485" s="18" t="n"/>
      <c r="H1485" s="18">
        <f>IF($A1485="","",IF(I1485&lt;&gt;"",I1485,Paramètres!B27))</f>
        <v/>
      </c>
      <c r="I1485" s="18" t="n"/>
    </row>
    <row r="1486">
      <c r="A1486" s="18">
        <f>IF(ISNUMBER(Dossiers!$D$31),Dossiers!$A$31&amp;" · "&amp;Dossiers!$B$31,"")</f>
        <v/>
      </c>
      <c r="B1486" s="18">
        <f>IF($A1486="","",Paramètres!G28)</f>
        <v/>
      </c>
      <c r="C1486" s="18">
        <f>IF($A1486="","",IF(Paramètres!H28="","",Paramètres!H28))</f>
        <v/>
      </c>
      <c r="D1486" s="18">
        <f>IF($A1486="","",IF(Paramètres!I28="","",Paramètres!I28))</f>
        <v/>
      </c>
      <c r="E1486" s="19">
        <f>IF($A1486="","",IF(Paramètres!J28&amp;Paramètres!L28&amp;Paramètres!N28="",Dossiers!$D$31,MAX(IF(Paramètres!J28="",0,IF(Paramètres!K28="",NA(),IF(LEFT(TRIM(Paramètres!K28),1)="F",INDEX($F$1463:$F$1515,MATCH(Paramètres!J28,Paramètres!$G$5:$G$57,0)),INDEX($E$1463:$E$1515,MATCH(Paramètres!J28,Paramètres!$G$5:$G$57,0)))+IF(RIGHT(TRIM(Paramètres!K28),3)="Fin",1-$H1486,IF(LEFT(TRIM(Paramètres!K28),1)="F",1,0)))),IF(Paramètres!L28="",0,IF(Paramètres!M28="",NA(),IF(LEFT(TRIM(Paramètres!M28),1)="F",INDEX($F$1463:$F$1515,MATCH(Paramètres!L28,Paramètres!$G$5:$G$57,0)),INDEX($E$1463:$E$1515,MATCH(Paramètres!L28,Paramètres!$G$5:$G$57,0)))+IF(RIGHT(TRIM(Paramètres!M28),3)="Fin",1-$H1486,IF(LEFT(TRIM(Paramètres!M28),1)="F",1,0)))),IF(Paramètres!N28="",0,IF(Paramètres!O28="",NA(),IF(LEFT(TRIM(Paramètres!O28),1)="F",INDEX($F$1463:$F$1515,MATCH(Paramètres!N28,Paramètres!$G$5:$G$57,0)),INDEX($E$1463:$E$1515,MATCH(Paramètres!N28,Paramètres!$G$5:$G$57,0)))+IF(RIGHT(TRIM(Paramètres!O28),3)="Fin",1-$H1486,IF(LEFT(TRIM(Paramètres!O28),1)="F",1,0)))))))</f>
        <v/>
      </c>
      <c r="F1486" s="19">
        <f>IF($A1486="","",E1486+$H1486-1)</f>
        <v/>
      </c>
      <c r="G1486" s="18" t="n"/>
      <c r="H1486" s="18">
        <f>IF($A1486="","",IF(I1486&lt;&gt;"",I1486,Paramètres!B28))</f>
        <v/>
      </c>
      <c r="I1486" s="18" t="n"/>
    </row>
    <row r="1487">
      <c r="A1487" s="18">
        <f>IF(ISNUMBER(Dossiers!$D$31),Dossiers!$A$31&amp;" · "&amp;Dossiers!$B$31,"")</f>
        <v/>
      </c>
      <c r="B1487" s="18">
        <f>IF($A1487="","",Paramètres!G29)</f>
        <v/>
      </c>
      <c r="C1487" s="18">
        <f>IF($A1487="","",IF(Paramètres!H29="","",Paramètres!H29))</f>
        <v/>
      </c>
      <c r="D1487" s="18">
        <f>IF($A1487="","",IF(Paramètres!I29="","",Paramètres!I29))</f>
        <v/>
      </c>
      <c r="E1487" s="19">
        <f>IF($A1487="","",IF(Paramètres!J29&amp;Paramètres!L29&amp;Paramètres!N29="",Dossiers!$D$31,MAX(IF(Paramètres!J29="",0,IF(Paramètres!K29="",NA(),IF(LEFT(TRIM(Paramètres!K29),1)="F",INDEX($F$1463:$F$1515,MATCH(Paramètres!J29,Paramètres!$G$5:$G$57,0)),INDEX($E$1463:$E$1515,MATCH(Paramètres!J29,Paramètres!$G$5:$G$57,0)))+IF(RIGHT(TRIM(Paramètres!K29),3)="Fin",1-$H1487,IF(LEFT(TRIM(Paramètres!K29),1)="F",1,0)))),IF(Paramètres!L29="",0,IF(Paramètres!M29="",NA(),IF(LEFT(TRIM(Paramètres!M29),1)="F",INDEX($F$1463:$F$1515,MATCH(Paramètres!L29,Paramètres!$G$5:$G$57,0)),INDEX($E$1463:$E$1515,MATCH(Paramètres!L29,Paramètres!$G$5:$G$57,0)))+IF(RIGHT(TRIM(Paramètres!M29),3)="Fin",1-$H1487,IF(LEFT(TRIM(Paramètres!M29),1)="F",1,0)))),IF(Paramètres!N29="",0,IF(Paramètres!O29="",NA(),IF(LEFT(TRIM(Paramètres!O29),1)="F",INDEX($F$1463:$F$1515,MATCH(Paramètres!N29,Paramètres!$G$5:$G$57,0)),INDEX($E$1463:$E$1515,MATCH(Paramètres!N29,Paramètres!$G$5:$G$57,0)))+IF(RIGHT(TRIM(Paramètres!O29),3)="Fin",1-$H1487,IF(LEFT(TRIM(Paramètres!O29),1)="F",1,0)))))))</f>
        <v/>
      </c>
      <c r="F1487" s="19">
        <f>IF($A1487="","",E1487+$H1487-1)</f>
        <v/>
      </c>
      <c r="G1487" s="18" t="n"/>
      <c r="H1487" s="18">
        <f>IF($A1487="","",IF(I1487&lt;&gt;"",I1487,Paramètres!B29))</f>
        <v/>
      </c>
      <c r="I1487" s="18" t="n"/>
    </row>
    <row r="1488">
      <c r="A1488" s="18">
        <f>IF(ISNUMBER(Dossiers!$D$31),Dossiers!$A$31&amp;" · "&amp;Dossiers!$B$31,"")</f>
        <v/>
      </c>
      <c r="B1488" s="18">
        <f>IF($A1488="","",Paramètres!G30)</f>
        <v/>
      </c>
      <c r="C1488" s="18">
        <f>IF($A1488="","",IF(Paramètres!H30="","",Paramètres!H30))</f>
        <v/>
      </c>
      <c r="D1488" s="18">
        <f>IF($A1488="","",IF(Paramètres!I30="","",Paramètres!I30))</f>
        <v/>
      </c>
      <c r="E1488" s="19">
        <f>IF($A1488="","",IF(Paramètres!J30&amp;Paramètres!L30&amp;Paramètres!N30="",Dossiers!$D$31,MAX(IF(Paramètres!J30="",0,IF(Paramètres!K30="",NA(),IF(LEFT(TRIM(Paramètres!K30),1)="F",INDEX($F$1463:$F$1515,MATCH(Paramètres!J30,Paramètres!$G$5:$G$57,0)),INDEX($E$1463:$E$1515,MATCH(Paramètres!J30,Paramètres!$G$5:$G$57,0)))+IF(RIGHT(TRIM(Paramètres!K30),3)="Fin",1-$H1488,IF(LEFT(TRIM(Paramètres!K30),1)="F",1,0)))),IF(Paramètres!L30="",0,IF(Paramètres!M30="",NA(),IF(LEFT(TRIM(Paramètres!M30),1)="F",INDEX($F$1463:$F$1515,MATCH(Paramètres!L30,Paramètres!$G$5:$G$57,0)),INDEX($E$1463:$E$1515,MATCH(Paramètres!L30,Paramètres!$G$5:$G$57,0)))+IF(RIGHT(TRIM(Paramètres!M30),3)="Fin",1-$H1488,IF(LEFT(TRIM(Paramètres!M30),1)="F",1,0)))),IF(Paramètres!N30="",0,IF(Paramètres!O30="",NA(),IF(LEFT(TRIM(Paramètres!O30),1)="F",INDEX($F$1463:$F$1515,MATCH(Paramètres!N30,Paramètres!$G$5:$G$57,0)),INDEX($E$1463:$E$1515,MATCH(Paramètres!N30,Paramètres!$G$5:$G$57,0)))+IF(RIGHT(TRIM(Paramètres!O30),3)="Fin",1-$H1488,IF(LEFT(TRIM(Paramètres!O30),1)="F",1,0)))))))</f>
        <v/>
      </c>
      <c r="F1488" s="19">
        <f>IF($A1488="","",E1488+$H1488-1)</f>
        <v/>
      </c>
      <c r="G1488" s="18" t="n"/>
      <c r="H1488" s="18">
        <f>IF($A1488="","",IF(I1488&lt;&gt;"",I1488,Paramètres!B30))</f>
        <v/>
      </c>
      <c r="I1488" s="18" t="n"/>
    </row>
    <row r="1489">
      <c r="A1489" s="18">
        <f>IF(ISNUMBER(Dossiers!$D$31),Dossiers!$A$31&amp;" · "&amp;Dossiers!$B$31,"")</f>
        <v/>
      </c>
      <c r="B1489" s="18">
        <f>IF($A1489="","",Paramètres!G31)</f>
        <v/>
      </c>
      <c r="C1489" s="20">
        <f>IF($A1489="","",IF(Dossiers!$F$31="","",Dossiers!$F$31))</f>
        <v/>
      </c>
      <c r="D1489" s="18">
        <f>IF($A1489="","",IF(Paramètres!I31="","",Paramètres!I31))</f>
        <v/>
      </c>
      <c r="E1489" s="19">
        <f>IF($A1489="","",IF(Paramètres!J31&amp;Paramètres!L31&amp;Paramètres!N31="",Dossiers!$D$31,MAX(IF(Paramètres!J31="",0,IF(Paramètres!K31="",NA(),IF(LEFT(TRIM(Paramètres!K31),1)="F",INDEX($F$1463:$F$1515,MATCH(Paramètres!J31,Paramètres!$G$5:$G$57,0)),INDEX($E$1463:$E$1515,MATCH(Paramètres!J31,Paramètres!$G$5:$G$57,0)))+IF(RIGHT(TRIM(Paramètres!K31),3)="Fin",1-$H1489,IF(LEFT(TRIM(Paramètres!K31),1)="F",1,0)))),IF(Paramètres!L31="",0,IF(Paramètres!M31="",NA(),IF(LEFT(TRIM(Paramètres!M31),1)="F",INDEX($F$1463:$F$1515,MATCH(Paramètres!L31,Paramètres!$G$5:$G$57,0)),INDEX($E$1463:$E$1515,MATCH(Paramètres!L31,Paramètres!$G$5:$G$57,0)))+IF(RIGHT(TRIM(Paramètres!M31),3)="Fin",1-$H1489,IF(LEFT(TRIM(Paramètres!M31),1)="F",1,0)))),IF(Paramètres!N31="",0,IF(Paramètres!O31="",NA(),IF(LEFT(TRIM(Paramètres!O31),1)="F",INDEX($F$1463:$F$1515,MATCH(Paramètres!N31,Paramètres!$G$5:$G$57,0)),INDEX($E$1463:$E$1515,MATCH(Paramètres!N31,Paramètres!$G$5:$G$57,0)))+IF(RIGHT(TRIM(Paramètres!O31),3)="Fin",1-$H1489,IF(LEFT(TRIM(Paramètres!O31),1)="F",1,0)))))))</f>
        <v/>
      </c>
      <c r="F1489" s="19">
        <f>IF($A1489="","",E1489+$H1489-1)</f>
        <v/>
      </c>
      <c r="G1489" s="18" t="n"/>
      <c r="H1489" s="18">
        <f>IF($A1489="","",IF(I1489&lt;&gt;"",I1489,Paramètres!B31))</f>
        <v/>
      </c>
      <c r="I1489" s="18" t="n"/>
    </row>
    <row r="1490">
      <c r="A1490" s="18">
        <f>IF(ISNUMBER(Dossiers!$D$31),Dossiers!$A$31&amp;" · "&amp;Dossiers!$B$31,"")</f>
        <v/>
      </c>
      <c r="B1490" s="18">
        <f>IF($A1490="","",Paramètres!G32)</f>
        <v/>
      </c>
      <c r="C1490" s="18">
        <f>IF($A1490="","",IF(Paramètres!H32="","",Paramètres!H32))</f>
        <v/>
      </c>
      <c r="D1490" s="18">
        <f>IF($A1490="","",IF(Paramètres!I32="","",Paramètres!I32))</f>
        <v/>
      </c>
      <c r="E1490" s="19">
        <f>IF($A1490="","",MIN(E1491:E1494))</f>
        <v/>
      </c>
      <c r="F1490" s="19">
        <f>IF($A1490="","",MAX(F1491:F1494))</f>
        <v/>
      </c>
      <c r="G1490" s="18" t="n"/>
      <c r="H1490" s="18">
        <f>IF($A1490="","",F1490-E1490+1)</f>
        <v/>
      </c>
      <c r="I1490" s="18" t="n"/>
    </row>
    <row r="1491">
      <c r="A1491" s="18">
        <f>IF(ISNUMBER(Dossiers!$D$31),Dossiers!$A$31&amp;" · "&amp;Dossiers!$B$31,"")</f>
        <v/>
      </c>
      <c r="B1491" s="18">
        <f>IF($A1491="","",Paramètres!G33)</f>
        <v/>
      </c>
      <c r="C1491" s="18">
        <f>IF($A1491="","",IF(Paramètres!H33="","",Paramètres!H33))</f>
        <v/>
      </c>
      <c r="D1491" s="18">
        <f>IF($A1491="","",IF(Paramètres!I33="","",Paramètres!I33))</f>
        <v/>
      </c>
      <c r="E1491" s="19">
        <f>IF($A1491="","",IF(Paramètres!J33&amp;Paramètres!L33&amp;Paramètres!N33="",Dossiers!$D$31,MAX(IF(Paramètres!J33="",0,IF(Paramètres!K33="",NA(),IF(LEFT(TRIM(Paramètres!K33),1)="F",INDEX($F$1463:$F$1515,MATCH(Paramètres!J33,Paramètres!$G$5:$G$57,0)),INDEX($E$1463:$E$1515,MATCH(Paramètres!J33,Paramètres!$G$5:$G$57,0)))+IF(RIGHT(TRIM(Paramètres!K33),3)="Fin",1-$H1491,IF(LEFT(TRIM(Paramètres!K33),1)="F",1,0)))),IF(Paramètres!L33="",0,IF(Paramètres!M33="",NA(),IF(LEFT(TRIM(Paramètres!M33),1)="F",INDEX($F$1463:$F$1515,MATCH(Paramètres!L33,Paramètres!$G$5:$G$57,0)),INDEX($E$1463:$E$1515,MATCH(Paramètres!L33,Paramètres!$G$5:$G$57,0)))+IF(RIGHT(TRIM(Paramètres!M33),3)="Fin",1-$H1491,IF(LEFT(TRIM(Paramètres!M33),1)="F",1,0)))),IF(Paramètres!N33="",0,IF(Paramètres!O33="",NA(),IF(LEFT(TRIM(Paramètres!O33),1)="F",INDEX($F$1463:$F$1515,MATCH(Paramètres!N33,Paramètres!$G$5:$G$57,0)),INDEX($E$1463:$E$1515,MATCH(Paramètres!N33,Paramètres!$G$5:$G$57,0)))+IF(RIGHT(TRIM(Paramètres!O33),3)="Fin",1-$H1491,IF(LEFT(TRIM(Paramètres!O33),1)="F",1,0)))))))</f>
        <v/>
      </c>
      <c r="F1491" s="19">
        <f>IF($A1491="","",E1491+$H1491-1)</f>
        <v/>
      </c>
      <c r="G1491" s="18" t="n"/>
      <c r="H1491" s="18">
        <f>IF($A1491="","",IF(I1491&lt;&gt;"",I1491,Paramètres!B33))</f>
        <v/>
      </c>
      <c r="I1491" s="18" t="n"/>
    </row>
    <row r="1492">
      <c r="A1492" s="18">
        <f>IF(ISNUMBER(Dossiers!$D$31),Dossiers!$A$31&amp;" · "&amp;Dossiers!$B$31,"")</f>
        <v/>
      </c>
      <c r="B1492" s="18">
        <f>IF($A1492="","",Paramètres!G34)</f>
        <v/>
      </c>
      <c r="C1492" s="18">
        <f>IF($A1492="","",IF(Paramètres!H34="","",Paramètres!H34))</f>
        <v/>
      </c>
      <c r="D1492" s="18">
        <f>IF($A1492="","",IF(Paramètres!I34="","",Paramètres!I34))</f>
        <v/>
      </c>
      <c r="E1492" s="19">
        <f>IF($A1492="","",IF(Paramètres!J34&amp;Paramètres!L34&amp;Paramètres!N34="",Dossiers!$D$31,MAX(IF(Paramètres!J34="",0,IF(Paramètres!K34="",NA(),IF(LEFT(TRIM(Paramètres!K34),1)="F",INDEX($F$1463:$F$1515,MATCH(Paramètres!J34,Paramètres!$G$5:$G$57,0)),INDEX($E$1463:$E$1515,MATCH(Paramètres!J34,Paramètres!$G$5:$G$57,0)))+IF(RIGHT(TRIM(Paramètres!K34),3)="Fin",1-$H1492,IF(LEFT(TRIM(Paramètres!K34),1)="F",1,0)))),IF(Paramètres!L34="",0,IF(Paramètres!M34="",NA(),IF(LEFT(TRIM(Paramètres!M34),1)="F",INDEX($F$1463:$F$1515,MATCH(Paramètres!L34,Paramètres!$G$5:$G$57,0)),INDEX($E$1463:$E$1515,MATCH(Paramètres!L34,Paramètres!$G$5:$G$57,0)))+IF(RIGHT(TRIM(Paramètres!M34),3)="Fin",1-$H1492,IF(LEFT(TRIM(Paramètres!M34),1)="F",1,0)))),IF(Paramètres!N34="",0,IF(Paramètres!O34="",NA(),IF(LEFT(TRIM(Paramètres!O34),1)="F",INDEX($F$1463:$F$1515,MATCH(Paramètres!N34,Paramètres!$G$5:$G$57,0)),INDEX($E$1463:$E$1515,MATCH(Paramètres!N34,Paramètres!$G$5:$G$57,0)))+IF(RIGHT(TRIM(Paramètres!O34),3)="Fin",1-$H1492,IF(LEFT(TRIM(Paramètres!O34),1)="F",1,0)))))))</f>
        <v/>
      </c>
      <c r="F1492" s="19">
        <f>IF($A1492="","",E1492+$H1492-1)</f>
        <v/>
      </c>
      <c r="G1492" s="18" t="n"/>
      <c r="H1492" s="18">
        <f>IF($A1492="","",IF(I1492&lt;&gt;"",I1492,Paramètres!B34))</f>
        <v/>
      </c>
      <c r="I1492" s="18" t="n"/>
    </row>
    <row r="1493">
      <c r="A1493" s="18">
        <f>IF(ISNUMBER(Dossiers!$D$31),Dossiers!$A$31&amp;" · "&amp;Dossiers!$B$31,"")</f>
        <v/>
      </c>
      <c r="B1493" s="18">
        <f>IF($A1493="","",Paramètres!G35)</f>
        <v/>
      </c>
      <c r="C1493" s="18">
        <f>IF($A1493="","",IF(Paramètres!H35="","",Paramètres!H35))</f>
        <v/>
      </c>
      <c r="D1493" s="18">
        <f>IF($A1493="","",IF(Paramètres!I35="","",Paramètres!I35))</f>
        <v/>
      </c>
      <c r="E1493" s="19">
        <f>IF($A1493="","",IF(Paramètres!J35&amp;Paramètres!L35&amp;Paramètres!N35="",Dossiers!$D$31,MAX(IF(Paramètres!J35="",0,IF(Paramètres!K35="",NA(),IF(LEFT(TRIM(Paramètres!K35),1)="F",INDEX($F$1463:$F$1515,MATCH(Paramètres!J35,Paramètres!$G$5:$G$57,0)),INDEX($E$1463:$E$1515,MATCH(Paramètres!J35,Paramètres!$G$5:$G$57,0)))+IF(RIGHT(TRIM(Paramètres!K35),3)="Fin",1-$H1493,IF(LEFT(TRIM(Paramètres!K35),1)="F",1,0)))),IF(Paramètres!L35="",0,IF(Paramètres!M35="",NA(),IF(LEFT(TRIM(Paramètres!M35),1)="F",INDEX($F$1463:$F$1515,MATCH(Paramètres!L35,Paramètres!$G$5:$G$57,0)),INDEX($E$1463:$E$1515,MATCH(Paramètres!L35,Paramètres!$G$5:$G$57,0)))+IF(RIGHT(TRIM(Paramètres!M35),3)="Fin",1-$H1493,IF(LEFT(TRIM(Paramètres!M35),1)="F",1,0)))),IF(Paramètres!N35="",0,IF(Paramètres!O35="",NA(),IF(LEFT(TRIM(Paramètres!O35),1)="F",INDEX($F$1463:$F$1515,MATCH(Paramètres!N35,Paramètres!$G$5:$G$57,0)),INDEX($E$1463:$E$1515,MATCH(Paramètres!N35,Paramètres!$G$5:$G$57,0)))+IF(RIGHT(TRIM(Paramètres!O35),3)="Fin",1-$H1493,IF(LEFT(TRIM(Paramètres!O35),1)="F",1,0)))))))</f>
        <v/>
      </c>
      <c r="F1493" s="19">
        <f>IF($A1493="","",E1493+$H1493-1)</f>
        <v/>
      </c>
      <c r="G1493" s="18" t="n"/>
      <c r="H1493" s="18">
        <f>IF($A1493="","",IF(I1493&lt;&gt;"",I1493,Paramètres!B35))</f>
        <v/>
      </c>
      <c r="I1493" s="18" t="n"/>
    </row>
    <row r="1494">
      <c r="A1494" s="18">
        <f>IF(ISNUMBER(Dossiers!$D$31),Dossiers!$A$31&amp;" · "&amp;Dossiers!$B$31,"")</f>
        <v/>
      </c>
      <c r="B1494" s="18">
        <f>IF($A1494="","",Paramètres!G36)</f>
        <v/>
      </c>
      <c r="C1494" s="18">
        <f>IF($A1494="","",IF(Paramètres!H36="","",Paramètres!H36))</f>
        <v/>
      </c>
      <c r="D1494" s="18">
        <f>IF($A1494="","",IF(Paramètres!I36="","",Paramètres!I36))</f>
        <v/>
      </c>
      <c r="E1494" s="19">
        <f>IF($A1494="","",IF(Paramètres!J36&amp;Paramètres!L36&amp;Paramètres!N36="",Dossiers!$D$31,MAX(IF(Paramètres!J36="",0,IF(Paramètres!K36="",NA(),IF(LEFT(TRIM(Paramètres!K36),1)="F",INDEX($F$1463:$F$1515,MATCH(Paramètres!J36,Paramètres!$G$5:$G$57,0)),INDEX($E$1463:$E$1515,MATCH(Paramètres!J36,Paramètres!$G$5:$G$57,0)))+IF(RIGHT(TRIM(Paramètres!K36),3)="Fin",1-$H1494,IF(LEFT(TRIM(Paramètres!K36),1)="F",1,0)))),IF(Paramètres!L36="",0,IF(Paramètres!M36="",NA(),IF(LEFT(TRIM(Paramètres!M36),1)="F",INDEX($F$1463:$F$1515,MATCH(Paramètres!L36,Paramètres!$G$5:$G$57,0)),INDEX($E$1463:$E$1515,MATCH(Paramètres!L36,Paramètres!$G$5:$G$57,0)))+IF(RIGHT(TRIM(Paramètres!M36),3)="Fin",1-$H1494,IF(LEFT(TRIM(Paramètres!M36),1)="F",1,0)))),IF(Paramètres!N36="",0,IF(Paramètres!O36="",NA(),IF(LEFT(TRIM(Paramètres!O36),1)="F",INDEX($F$1463:$F$1515,MATCH(Paramètres!N36,Paramètres!$G$5:$G$57,0)),INDEX($E$1463:$E$1515,MATCH(Paramètres!N36,Paramètres!$G$5:$G$57,0)))+IF(RIGHT(TRIM(Paramètres!O36),3)="Fin",1-$H1494,IF(LEFT(TRIM(Paramètres!O36),1)="F",1,0)))))))</f>
        <v/>
      </c>
      <c r="F1494" s="19">
        <f>IF($A1494="","",E1494+$H1494-1)</f>
        <v/>
      </c>
      <c r="G1494" s="18" t="n"/>
      <c r="H1494" s="18">
        <f>IF($A1494="","",IF(I1494&lt;&gt;"",I1494,Paramètres!B36))</f>
        <v/>
      </c>
      <c r="I1494" s="18" t="n"/>
    </row>
    <row r="1495">
      <c r="A1495" s="18">
        <f>IF(ISNUMBER(Dossiers!$D$31),Dossiers!$A$31&amp;" · "&amp;Dossiers!$B$31,"")</f>
        <v/>
      </c>
      <c r="B1495" s="18">
        <f>IF($A1495="","",Paramètres!G37)</f>
        <v/>
      </c>
      <c r="C1495" s="18">
        <f>IF($A1495="","",IF(Paramètres!H37="","",Paramètres!H37))</f>
        <v/>
      </c>
      <c r="D1495" s="18">
        <f>IF($A1495="","",IF(Paramètres!I37="","",Paramètres!I37))</f>
        <v/>
      </c>
      <c r="E1495" s="19">
        <f>IF($A1495="","",MIN(E1496:E1513))</f>
        <v/>
      </c>
      <c r="F1495" s="19">
        <f>IF($A1495="","",MAX(F1496:F1513))</f>
        <v/>
      </c>
      <c r="G1495" s="18" t="n"/>
      <c r="H1495" s="18">
        <f>IF($A1495="","",F1495-E1495+1)</f>
        <v/>
      </c>
      <c r="I1495" s="18" t="n"/>
    </row>
    <row r="1496">
      <c r="A1496" s="18">
        <f>IF(ISNUMBER(Dossiers!$D$31),Dossiers!$A$31&amp;" · "&amp;Dossiers!$B$31,"")</f>
        <v/>
      </c>
      <c r="B1496" s="18">
        <f>IF($A1496="","",Paramètres!G38)</f>
        <v/>
      </c>
      <c r="C1496" s="18">
        <f>IF($A1496="","",IF(Paramètres!H38="","",Paramètres!H38))</f>
        <v/>
      </c>
      <c r="D1496" s="18">
        <f>IF($A1496="","",IF(Paramètres!I38="","",Paramètres!I38))</f>
        <v/>
      </c>
      <c r="E1496" s="19">
        <f>IF($A1496="","",IF(Paramètres!J38&amp;Paramètres!L38&amp;Paramètres!N38="",Dossiers!$D$31,MAX(IF(Paramètres!J38="",0,IF(Paramètres!K38="",NA(),IF(LEFT(TRIM(Paramètres!K38),1)="F",INDEX($F$1463:$F$1515,MATCH(Paramètres!J38,Paramètres!$G$5:$G$57,0)),INDEX($E$1463:$E$1515,MATCH(Paramètres!J38,Paramètres!$G$5:$G$57,0)))+IF(RIGHT(TRIM(Paramètres!K38),3)="Fin",1-$H1496,IF(LEFT(TRIM(Paramètres!K38),1)="F",1,0)))),IF(Paramètres!L38="",0,IF(Paramètres!M38="",NA(),IF(LEFT(TRIM(Paramètres!M38),1)="F",INDEX($F$1463:$F$1515,MATCH(Paramètres!L38,Paramètres!$G$5:$G$57,0)),INDEX($E$1463:$E$1515,MATCH(Paramètres!L38,Paramètres!$G$5:$G$57,0)))+IF(RIGHT(TRIM(Paramètres!M38),3)="Fin",1-$H1496,IF(LEFT(TRIM(Paramètres!M38),1)="F",1,0)))),IF(Paramètres!N38="",0,IF(Paramètres!O38="",NA(),IF(LEFT(TRIM(Paramètres!O38),1)="F",INDEX($F$1463:$F$1515,MATCH(Paramètres!N38,Paramètres!$G$5:$G$57,0)),INDEX($E$1463:$E$1515,MATCH(Paramètres!N38,Paramètres!$G$5:$G$57,0)))+IF(RIGHT(TRIM(Paramètres!O38),3)="Fin",1-$H1496,IF(LEFT(TRIM(Paramètres!O38),1)="F",1,0)))))))</f>
        <v/>
      </c>
      <c r="F1496" s="19">
        <f>IF($A1496="","",E1496+$H1496-1)</f>
        <v/>
      </c>
      <c r="G1496" s="18" t="n"/>
      <c r="H1496" s="18">
        <f>IF($A1496="","",IF(I1496&lt;&gt;"",I1496,Paramètres!B38))</f>
        <v/>
      </c>
      <c r="I1496" s="18" t="n"/>
    </row>
    <row r="1497">
      <c r="A1497" s="18">
        <f>IF(ISNUMBER(Dossiers!$D$31),Dossiers!$A$31&amp;" · "&amp;Dossiers!$B$31,"")</f>
        <v/>
      </c>
      <c r="B1497" s="18">
        <f>IF($A1497="","",Paramètres!G39)</f>
        <v/>
      </c>
      <c r="C1497" s="18">
        <f>IF($A1497="","",IF(Paramètres!H39="","",Paramètres!H39))</f>
        <v/>
      </c>
      <c r="D1497" s="18">
        <f>IF($A1497="","",IF(Paramètres!I39="","",Paramètres!I39))</f>
        <v/>
      </c>
      <c r="E1497" s="19">
        <f>IF($A1497="","",IF(Paramètres!J39&amp;Paramètres!L39&amp;Paramètres!N39="",Dossiers!$D$31,MAX(IF(Paramètres!J39="",0,IF(Paramètres!K39="",NA(),IF(LEFT(TRIM(Paramètres!K39),1)="F",INDEX($F$1463:$F$1515,MATCH(Paramètres!J39,Paramètres!$G$5:$G$57,0)),INDEX($E$1463:$E$1515,MATCH(Paramètres!J39,Paramètres!$G$5:$G$57,0)))+IF(RIGHT(TRIM(Paramètres!K39),3)="Fin",1-$H1497,IF(LEFT(TRIM(Paramètres!K39),1)="F",1,0)))),IF(Paramètres!L39="",0,IF(Paramètres!M39="",NA(),IF(LEFT(TRIM(Paramètres!M39),1)="F",INDEX($F$1463:$F$1515,MATCH(Paramètres!L39,Paramètres!$G$5:$G$57,0)),INDEX($E$1463:$E$1515,MATCH(Paramètres!L39,Paramètres!$G$5:$G$57,0)))+IF(RIGHT(TRIM(Paramètres!M39),3)="Fin",1-$H1497,IF(LEFT(TRIM(Paramètres!M39),1)="F",1,0)))),IF(Paramètres!N39="",0,IF(Paramètres!O39="",NA(),IF(LEFT(TRIM(Paramètres!O39),1)="F",INDEX($F$1463:$F$1515,MATCH(Paramètres!N39,Paramètres!$G$5:$G$57,0)),INDEX($E$1463:$E$1515,MATCH(Paramètres!N39,Paramètres!$G$5:$G$57,0)))+IF(RIGHT(TRIM(Paramètres!O39),3)="Fin",1-$H1497,IF(LEFT(TRIM(Paramètres!O39),1)="F",1,0)))))))</f>
        <v/>
      </c>
      <c r="F1497" s="19">
        <f>IF($A1497="","",E1497+$H1497-1)</f>
        <v/>
      </c>
      <c r="G1497" s="18" t="n"/>
      <c r="H1497" s="18">
        <f>IF($A1497="","",IF(I1497&lt;&gt;"",I1497,Paramètres!B39))</f>
        <v/>
      </c>
      <c r="I1497" s="18" t="n"/>
    </row>
    <row r="1498">
      <c r="A1498" s="18">
        <f>IF(ISNUMBER(Dossiers!$D$31),Dossiers!$A$31&amp;" · "&amp;Dossiers!$B$31,"")</f>
        <v/>
      </c>
      <c r="B1498" s="18">
        <f>IF($A1498="","",Paramètres!G40)</f>
        <v/>
      </c>
      <c r="C1498" s="18">
        <f>IF($A1498="","",IF(Paramètres!H40="","",Paramètres!H40))</f>
        <v/>
      </c>
      <c r="D1498" s="18">
        <f>IF($A1498="","",IF(Paramètres!I40="","",Paramètres!I40))</f>
        <v/>
      </c>
      <c r="E1498" s="19">
        <f>IF($A1498="","",IF(Paramètres!J40&amp;Paramètres!L40&amp;Paramètres!N40="",Dossiers!$D$31,MAX(IF(Paramètres!J40="",0,IF(Paramètres!K40="",NA(),IF(LEFT(TRIM(Paramètres!K40),1)="F",INDEX($F$1463:$F$1515,MATCH(Paramètres!J40,Paramètres!$G$5:$G$57,0)),INDEX($E$1463:$E$1515,MATCH(Paramètres!J40,Paramètres!$G$5:$G$57,0)))+IF(RIGHT(TRIM(Paramètres!K40),3)="Fin",1-$H1498,IF(LEFT(TRIM(Paramètres!K40),1)="F",1,0)))),IF(Paramètres!L40="",0,IF(Paramètres!M40="",NA(),IF(LEFT(TRIM(Paramètres!M40),1)="F",INDEX($F$1463:$F$1515,MATCH(Paramètres!L40,Paramètres!$G$5:$G$57,0)),INDEX($E$1463:$E$1515,MATCH(Paramètres!L40,Paramètres!$G$5:$G$57,0)))+IF(RIGHT(TRIM(Paramètres!M40),3)="Fin",1-$H1498,IF(LEFT(TRIM(Paramètres!M40),1)="F",1,0)))),IF(Paramètres!N40="",0,IF(Paramètres!O40="",NA(),IF(LEFT(TRIM(Paramètres!O40),1)="F",INDEX($F$1463:$F$1515,MATCH(Paramètres!N40,Paramètres!$G$5:$G$57,0)),INDEX($E$1463:$E$1515,MATCH(Paramètres!N40,Paramètres!$G$5:$G$57,0)))+IF(RIGHT(TRIM(Paramètres!O40),3)="Fin",1-$H1498,IF(LEFT(TRIM(Paramètres!O40),1)="F",1,0)))))))</f>
        <v/>
      </c>
      <c r="F1498" s="19">
        <f>IF($A1498="","",E1498+$H1498-1)</f>
        <v/>
      </c>
      <c r="G1498" s="18" t="n"/>
      <c r="H1498" s="18">
        <f>IF($A1498="","",IF(I1498&lt;&gt;"",I1498,Paramètres!B40))</f>
        <v/>
      </c>
      <c r="I1498" s="18" t="n"/>
    </row>
    <row r="1499">
      <c r="A1499" s="18">
        <f>IF(ISNUMBER(Dossiers!$D$31),Dossiers!$A$31&amp;" · "&amp;Dossiers!$B$31,"")</f>
        <v/>
      </c>
      <c r="B1499" s="18">
        <f>IF($A1499="","",Paramètres!G41)</f>
        <v/>
      </c>
      <c r="C1499" s="18">
        <f>IF($A1499="","",IF(Paramètres!H41="","",Paramètres!H41))</f>
        <v/>
      </c>
      <c r="D1499" s="18">
        <f>IF($A1499="","",IF(Paramètres!I41="","",Paramètres!I41))</f>
        <v/>
      </c>
      <c r="E1499" s="19">
        <f>IF($A1499="","",IF(Paramètres!J41&amp;Paramètres!L41&amp;Paramètres!N41="",Dossiers!$D$31,MAX(IF(Paramètres!J41="",0,IF(Paramètres!K41="",NA(),IF(LEFT(TRIM(Paramètres!K41),1)="F",INDEX($F$1463:$F$1515,MATCH(Paramètres!J41,Paramètres!$G$5:$G$57,0)),INDEX($E$1463:$E$1515,MATCH(Paramètres!J41,Paramètres!$G$5:$G$57,0)))+IF(RIGHT(TRIM(Paramètres!K41),3)="Fin",1-$H1499,IF(LEFT(TRIM(Paramètres!K41),1)="F",1,0)))),IF(Paramètres!L41="",0,IF(Paramètres!M41="",NA(),IF(LEFT(TRIM(Paramètres!M41),1)="F",INDEX($F$1463:$F$1515,MATCH(Paramètres!L41,Paramètres!$G$5:$G$57,0)),INDEX($E$1463:$E$1515,MATCH(Paramètres!L41,Paramètres!$G$5:$G$57,0)))+IF(RIGHT(TRIM(Paramètres!M41),3)="Fin",1-$H1499,IF(LEFT(TRIM(Paramètres!M41),1)="F",1,0)))),IF(Paramètres!N41="",0,IF(Paramètres!O41="",NA(),IF(LEFT(TRIM(Paramètres!O41),1)="F",INDEX($F$1463:$F$1515,MATCH(Paramètres!N41,Paramètres!$G$5:$G$57,0)),INDEX($E$1463:$E$1515,MATCH(Paramètres!N41,Paramètres!$G$5:$G$57,0)))+IF(RIGHT(TRIM(Paramètres!O41),3)="Fin",1-$H1499,IF(LEFT(TRIM(Paramètres!O41),1)="F",1,0)))))))</f>
        <v/>
      </c>
      <c r="F1499" s="19">
        <f>IF($A1499="","",E1499+$H1499-1)</f>
        <v/>
      </c>
      <c r="G1499" s="18" t="n"/>
      <c r="H1499" s="18">
        <f>IF($A1499="","",IF(I1499&lt;&gt;"",I1499,Paramètres!B41))</f>
        <v/>
      </c>
      <c r="I1499" s="18" t="n"/>
    </row>
    <row r="1500">
      <c r="A1500" s="18">
        <f>IF(ISNUMBER(Dossiers!$D$31),Dossiers!$A$31&amp;" · "&amp;Dossiers!$B$31,"")</f>
        <v/>
      </c>
      <c r="B1500" s="18">
        <f>IF($A1500="","",Paramètres!G42)</f>
        <v/>
      </c>
      <c r="C1500" s="18">
        <f>IF($A1500="","",IF(Paramètres!H42="","",Paramètres!H42))</f>
        <v/>
      </c>
      <c r="D1500" s="18">
        <f>IF($A1500="","",IF(Paramètres!I42="","",Paramètres!I42))</f>
        <v/>
      </c>
      <c r="E1500" s="19">
        <f>IF($A1500="","",IF(Paramètres!J42&amp;Paramètres!L42&amp;Paramètres!N42="",Dossiers!$D$31,MAX(IF(Paramètres!J42="",0,IF(Paramètres!K42="",NA(),IF(LEFT(TRIM(Paramètres!K42),1)="F",INDEX($F$1463:$F$1515,MATCH(Paramètres!J42,Paramètres!$G$5:$G$57,0)),INDEX($E$1463:$E$1515,MATCH(Paramètres!J42,Paramètres!$G$5:$G$57,0)))+IF(RIGHT(TRIM(Paramètres!K42),3)="Fin",1-$H1500,IF(LEFT(TRIM(Paramètres!K42),1)="F",1,0)))),IF(Paramètres!L42="",0,IF(Paramètres!M42="",NA(),IF(LEFT(TRIM(Paramètres!M42),1)="F",INDEX($F$1463:$F$1515,MATCH(Paramètres!L42,Paramètres!$G$5:$G$57,0)),INDEX($E$1463:$E$1515,MATCH(Paramètres!L42,Paramètres!$G$5:$G$57,0)))+IF(RIGHT(TRIM(Paramètres!M42),3)="Fin",1-$H1500,IF(LEFT(TRIM(Paramètres!M42),1)="F",1,0)))),IF(Paramètres!N42="",0,IF(Paramètres!O42="",NA(),IF(LEFT(TRIM(Paramètres!O42),1)="F",INDEX($F$1463:$F$1515,MATCH(Paramètres!N42,Paramètres!$G$5:$G$57,0)),INDEX($E$1463:$E$1515,MATCH(Paramètres!N42,Paramètres!$G$5:$G$57,0)))+IF(RIGHT(TRIM(Paramètres!O42),3)="Fin",1-$H1500,IF(LEFT(TRIM(Paramètres!O42),1)="F",1,0)))))))</f>
        <v/>
      </c>
      <c r="F1500" s="19">
        <f>IF($A1500="","",E1500+$H1500-1)</f>
        <v/>
      </c>
      <c r="G1500" s="18" t="n"/>
      <c r="H1500" s="18">
        <f>IF($A1500="","",IF(I1500&lt;&gt;"",I1500,Paramètres!B42))</f>
        <v/>
      </c>
      <c r="I1500" s="18" t="n"/>
    </row>
    <row r="1501">
      <c r="A1501" s="18">
        <f>IF(ISNUMBER(Dossiers!$D$31),Dossiers!$A$31&amp;" · "&amp;Dossiers!$B$31,"")</f>
        <v/>
      </c>
      <c r="B1501" s="18">
        <f>IF($A1501="","",Paramètres!G43)</f>
        <v/>
      </c>
      <c r="C1501" s="18">
        <f>IF($A1501="","",IF(Paramètres!H43="","",Paramètres!H43))</f>
        <v/>
      </c>
      <c r="D1501" s="18">
        <f>IF($A1501="","",IF(Paramètres!I43="","",Paramètres!I43))</f>
        <v/>
      </c>
      <c r="E1501" s="19">
        <f>IF($A1501="","",IF(Paramètres!J43&amp;Paramètres!L43&amp;Paramètres!N43="",Dossiers!$D$31,MAX(IF(Paramètres!J43="",0,IF(Paramètres!K43="",NA(),IF(LEFT(TRIM(Paramètres!K43),1)="F",INDEX($F$1463:$F$1515,MATCH(Paramètres!J43,Paramètres!$G$5:$G$57,0)),INDEX($E$1463:$E$1515,MATCH(Paramètres!J43,Paramètres!$G$5:$G$57,0)))+IF(RIGHT(TRIM(Paramètres!K43),3)="Fin",1-$H1501,IF(LEFT(TRIM(Paramètres!K43),1)="F",1,0)))),IF(Paramètres!L43="",0,IF(Paramètres!M43="",NA(),IF(LEFT(TRIM(Paramètres!M43),1)="F",INDEX($F$1463:$F$1515,MATCH(Paramètres!L43,Paramètres!$G$5:$G$57,0)),INDEX($E$1463:$E$1515,MATCH(Paramètres!L43,Paramètres!$G$5:$G$57,0)))+IF(RIGHT(TRIM(Paramètres!M43),3)="Fin",1-$H1501,IF(LEFT(TRIM(Paramètres!M43),1)="F",1,0)))),IF(Paramètres!N43="",0,IF(Paramètres!O43="",NA(),IF(LEFT(TRIM(Paramètres!O43),1)="F",INDEX($F$1463:$F$1515,MATCH(Paramètres!N43,Paramètres!$G$5:$G$57,0)),INDEX($E$1463:$E$1515,MATCH(Paramètres!N43,Paramètres!$G$5:$G$57,0)))+IF(RIGHT(TRIM(Paramètres!O43),3)="Fin",1-$H1501,IF(LEFT(TRIM(Paramètres!O43),1)="F",1,0)))))))</f>
        <v/>
      </c>
      <c r="F1501" s="19">
        <f>IF($A1501="","",E1501+$H1501-1)</f>
        <v/>
      </c>
      <c r="G1501" s="18" t="n"/>
      <c r="H1501" s="18">
        <f>IF($A1501="","",IF(I1501&lt;&gt;"",I1501,Paramètres!B43))</f>
        <v/>
      </c>
      <c r="I1501" s="18" t="n"/>
    </row>
    <row r="1502">
      <c r="A1502" s="18">
        <f>IF(ISNUMBER(Dossiers!$D$31),Dossiers!$A$31&amp;" · "&amp;Dossiers!$B$31,"")</f>
        <v/>
      </c>
      <c r="B1502" s="18">
        <f>IF($A1502="","",Paramètres!G44)</f>
        <v/>
      </c>
      <c r="C1502" s="18">
        <f>IF($A1502="","",IF(Paramètres!H44="","",Paramètres!H44))</f>
        <v/>
      </c>
      <c r="D1502" s="18">
        <f>IF($A1502="","",IF(Paramètres!I44="","",Paramètres!I44))</f>
        <v/>
      </c>
      <c r="E1502" s="19">
        <f>IF($A1502="","",IF(Paramètres!J44&amp;Paramètres!L44&amp;Paramètres!N44="",Dossiers!$D$31,MAX(IF(Paramètres!J44="",0,IF(Paramètres!K44="",NA(),IF(LEFT(TRIM(Paramètres!K44),1)="F",INDEX($F$1463:$F$1515,MATCH(Paramètres!J44,Paramètres!$G$5:$G$57,0)),INDEX($E$1463:$E$1515,MATCH(Paramètres!J44,Paramètres!$G$5:$G$57,0)))+IF(RIGHT(TRIM(Paramètres!K44),3)="Fin",1-$H1502,IF(LEFT(TRIM(Paramètres!K44),1)="F",1,0)))),IF(Paramètres!L44="",0,IF(Paramètres!M44="",NA(),IF(LEFT(TRIM(Paramètres!M44),1)="F",INDEX($F$1463:$F$1515,MATCH(Paramètres!L44,Paramètres!$G$5:$G$57,0)),INDEX($E$1463:$E$1515,MATCH(Paramètres!L44,Paramètres!$G$5:$G$57,0)))+IF(RIGHT(TRIM(Paramètres!M44),3)="Fin",1-$H1502,IF(LEFT(TRIM(Paramètres!M44),1)="F",1,0)))),IF(Paramètres!N44="",0,IF(Paramètres!O44="",NA(),IF(LEFT(TRIM(Paramètres!O44),1)="F",INDEX($F$1463:$F$1515,MATCH(Paramètres!N44,Paramètres!$G$5:$G$57,0)),INDEX($E$1463:$E$1515,MATCH(Paramètres!N44,Paramètres!$G$5:$G$57,0)))+IF(RIGHT(TRIM(Paramètres!O44),3)="Fin",1-$H1502,IF(LEFT(TRIM(Paramètres!O44),1)="F",1,0)))))))</f>
        <v/>
      </c>
      <c r="F1502" s="19">
        <f>IF($A1502="","",E1502+$H1502-1)</f>
        <v/>
      </c>
      <c r="G1502" s="18" t="n"/>
      <c r="H1502" s="18">
        <f>IF($A1502="","",IF(I1502&lt;&gt;"",I1502,Paramètres!B44))</f>
        <v/>
      </c>
      <c r="I1502" s="18" t="n"/>
    </row>
    <row r="1503">
      <c r="A1503" s="18">
        <f>IF(ISNUMBER(Dossiers!$D$31),Dossiers!$A$31&amp;" · "&amp;Dossiers!$B$31,"")</f>
        <v/>
      </c>
      <c r="B1503" s="18">
        <f>IF($A1503="","",Paramètres!G45)</f>
        <v/>
      </c>
      <c r="C1503" s="20">
        <f>IF($A1503="","",IF(Dossiers!$G$31="","",Dossiers!$G$31))</f>
        <v/>
      </c>
      <c r="D1503" s="18">
        <f>IF($A1503="","",IF(Paramètres!I45="","",Paramètres!I45))</f>
        <v/>
      </c>
      <c r="E1503" s="19">
        <f>IF($A1503="","",IF(Paramètres!J45&amp;Paramètres!L45&amp;Paramètres!N45="",Dossiers!$D$31,MAX(IF(Paramètres!J45="",0,IF(Paramètres!K45="",NA(),IF(LEFT(TRIM(Paramètres!K45),1)="F",INDEX($F$1463:$F$1515,MATCH(Paramètres!J45,Paramètres!$G$5:$G$57,0)),INDEX($E$1463:$E$1515,MATCH(Paramètres!J45,Paramètres!$G$5:$G$57,0)))+IF(RIGHT(TRIM(Paramètres!K45),3)="Fin",1-$H1503,IF(LEFT(TRIM(Paramètres!K45),1)="F",1,0)))),IF(Paramètres!L45="",0,IF(Paramètres!M45="",NA(),IF(LEFT(TRIM(Paramètres!M45),1)="F",INDEX($F$1463:$F$1515,MATCH(Paramètres!L45,Paramètres!$G$5:$G$57,0)),INDEX($E$1463:$E$1515,MATCH(Paramètres!L45,Paramètres!$G$5:$G$57,0)))+IF(RIGHT(TRIM(Paramètres!M45),3)="Fin",1-$H1503,IF(LEFT(TRIM(Paramètres!M45),1)="F",1,0)))),IF(Paramètres!N45="",0,IF(Paramètres!O45="",NA(),IF(LEFT(TRIM(Paramètres!O45),1)="F",INDEX($F$1463:$F$1515,MATCH(Paramètres!N45,Paramètres!$G$5:$G$57,0)),INDEX($E$1463:$E$1515,MATCH(Paramètres!N45,Paramètres!$G$5:$G$57,0)))+IF(RIGHT(TRIM(Paramètres!O45),3)="Fin",1-$H1503,IF(LEFT(TRIM(Paramètres!O45),1)="F",1,0)))))))</f>
        <v/>
      </c>
      <c r="F1503" s="19">
        <f>IF($A1503="","",E1503+$H1503-1)</f>
        <v/>
      </c>
      <c r="G1503" s="18" t="n"/>
      <c r="H1503" s="18">
        <f>IF($A1503="","",IF(I1503&lt;&gt;"",I1503,Paramètres!B45))</f>
        <v/>
      </c>
      <c r="I1503" s="18" t="n"/>
    </row>
    <row r="1504">
      <c r="A1504" s="18">
        <f>IF(ISNUMBER(Dossiers!$D$31),Dossiers!$A$31&amp;" · "&amp;Dossiers!$B$31,"")</f>
        <v/>
      </c>
      <c r="B1504" s="18">
        <f>IF($A1504="","",Paramètres!G46)</f>
        <v/>
      </c>
      <c r="C1504" s="18">
        <f>IF($A1504="","",IF(Paramètres!H46="","",Paramètres!H46))</f>
        <v/>
      </c>
      <c r="D1504" s="18">
        <f>IF($A1504="","",IF(Paramètres!I46="","",Paramètres!I46))</f>
        <v/>
      </c>
      <c r="E1504" s="19">
        <f>IF($A1504="","",IF(Paramètres!J46&amp;Paramètres!L46&amp;Paramètres!N46="",Dossiers!$D$31,MAX(IF(Paramètres!J46="",0,IF(Paramètres!K46="",NA(),IF(LEFT(TRIM(Paramètres!K46),1)="F",INDEX($F$1463:$F$1515,MATCH(Paramètres!J46,Paramètres!$G$5:$G$57,0)),INDEX($E$1463:$E$1515,MATCH(Paramètres!J46,Paramètres!$G$5:$G$57,0)))+IF(RIGHT(TRIM(Paramètres!K46),3)="Fin",1-$H1504,IF(LEFT(TRIM(Paramètres!K46),1)="F",1,0)))),IF(Paramètres!L46="",0,IF(Paramètres!M46="",NA(),IF(LEFT(TRIM(Paramètres!M46),1)="F",INDEX($F$1463:$F$1515,MATCH(Paramètres!L46,Paramètres!$G$5:$G$57,0)),INDEX($E$1463:$E$1515,MATCH(Paramètres!L46,Paramètres!$G$5:$G$57,0)))+IF(RIGHT(TRIM(Paramètres!M46),3)="Fin",1-$H1504,IF(LEFT(TRIM(Paramètres!M46),1)="F",1,0)))),IF(Paramètres!N46="",0,IF(Paramètres!O46="",NA(),IF(LEFT(TRIM(Paramètres!O46),1)="F",INDEX($F$1463:$F$1515,MATCH(Paramètres!N46,Paramètres!$G$5:$G$57,0)),INDEX($E$1463:$E$1515,MATCH(Paramètres!N46,Paramètres!$G$5:$G$57,0)))+IF(RIGHT(TRIM(Paramètres!O46),3)="Fin",1-$H1504,IF(LEFT(TRIM(Paramètres!O46),1)="F",1,0)))))))</f>
        <v/>
      </c>
      <c r="F1504" s="19">
        <f>IF($A1504="","",E1504+$H1504-1)</f>
        <v/>
      </c>
      <c r="G1504" s="18" t="n"/>
      <c r="H1504" s="18">
        <f>IF($A1504="","",IF(I1504&lt;&gt;"",I1504,Paramètres!B46))</f>
        <v/>
      </c>
      <c r="I1504" s="18" t="n"/>
    </row>
    <row r="1505">
      <c r="A1505" s="18">
        <f>IF(ISNUMBER(Dossiers!$D$31),Dossiers!$A$31&amp;" · "&amp;Dossiers!$B$31,"")</f>
        <v/>
      </c>
      <c r="B1505" s="18">
        <f>IF($A1505="","",Paramètres!G47)</f>
        <v/>
      </c>
      <c r="C1505" s="18">
        <f>IF($A1505="","",IF(Paramètres!H47="","",Paramètres!H47))</f>
        <v/>
      </c>
      <c r="D1505" s="18">
        <f>IF($A1505="","",IF(Paramètres!I47="","",Paramètres!I47))</f>
        <v/>
      </c>
      <c r="E1505" s="19">
        <f>IF($A1505="","",IF(Paramètres!J47&amp;Paramètres!L47&amp;Paramètres!N47="",Dossiers!$D$31,MAX(IF(Paramètres!J47="",0,IF(Paramètres!K47="",NA(),IF(LEFT(TRIM(Paramètres!K47),1)="F",INDEX($F$1463:$F$1515,MATCH(Paramètres!J47,Paramètres!$G$5:$G$57,0)),INDEX($E$1463:$E$1515,MATCH(Paramètres!J47,Paramètres!$G$5:$G$57,0)))+IF(RIGHT(TRIM(Paramètres!K47),3)="Fin",1-$H1505,IF(LEFT(TRIM(Paramètres!K47),1)="F",1,0)))),IF(Paramètres!L47="",0,IF(Paramètres!M47="",NA(),IF(LEFT(TRIM(Paramètres!M47),1)="F",INDEX($F$1463:$F$1515,MATCH(Paramètres!L47,Paramètres!$G$5:$G$57,0)),INDEX($E$1463:$E$1515,MATCH(Paramètres!L47,Paramètres!$G$5:$G$57,0)))+IF(RIGHT(TRIM(Paramètres!M47),3)="Fin",1-$H1505,IF(LEFT(TRIM(Paramètres!M47),1)="F",1,0)))),IF(Paramètres!N47="",0,IF(Paramètres!O47="",NA(),IF(LEFT(TRIM(Paramètres!O47),1)="F",INDEX($F$1463:$F$1515,MATCH(Paramètres!N47,Paramètres!$G$5:$G$57,0)),INDEX($E$1463:$E$1515,MATCH(Paramètres!N47,Paramètres!$G$5:$G$57,0)))+IF(RIGHT(TRIM(Paramètres!O47),3)="Fin",1-$H1505,IF(LEFT(TRIM(Paramètres!O47),1)="F",1,0)))))))</f>
        <v/>
      </c>
      <c r="F1505" s="19">
        <f>IF($A1505="","",E1505+$H1505-1)</f>
        <v/>
      </c>
      <c r="G1505" s="18" t="n"/>
      <c r="H1505" s="18">
        <f>IF($A1505="","",IF(I1505&lt;&gt;"",I1505,Paramètres!B47))</f>
        <v/>
      </c>
      <c r="I1505" s="18" t="n"/>
    </row>
    <row r="1506">
      <c r="A1506" s="18">
        <f>IF(ISNUMBER(Dossiers!$D$31),Dossiers!$A$31&amp;" · "&amp;Dossiers!$B$31,"")</f>
        <v/>
      </c>
      <c r="B1506" s="18">
        <f>IF($A1506="","",Paramètres!G48)</f>
        <v/>
      </c>
      <c r="C1506" s="18">
        <f>IF($A1506="","",IF(Paramètres!H48="","",Paramètres!H48))</f>
        <v/>
      </c>
      <c r="D1506" s="18">
        <f>IF($A1506="","",IF(Paramètres!I48="","",Paramètres!I48))</f>
        <v/>
      </c>
      <c r="E1506" s="19">
        <f>IF($A1506="","",IF(Paramètres!J48&amp;Paramètres!L48&amp;Paramètres!N48="",Dossiers!$D$31,MAX(IF(Paramètres!J48="",0,IF(Paramètres!K48="",NA(),IF(LEFT(TRIM(Paramètres!K48),1)="F",INDEX($F$1463:$F$1515,MATCH(Paramètres!J48,Paramètres!$G$5:$G$57,0)),INDEX($E$1463:$E$1515,MATCH(Paramètres!J48,Paramètres!$G$5:$G$57,0)))+IF(RIGHT(TRIM(Paramètres!K48),3)="Fin",1-$H1506,IF(LEFT(TRIM(Paramètres!K48),1)="F",1,0)))),IF(Paramètres!L48="",0,IF(Paramètres!M48="",NA(),IF(LEFT(TRIM(Paramètres!M48),1)="F",INDEX($F$1463:$F$1515,MATCH(Paramètres!L48,Paramètres!$G$5:$G$57,0)),INDEX($E$1463:$E$1515,MATCH(Paramètres!L48,Paramètres!$G$5:$G$57,0)))+IF(RIGHT(TRIM(Paramètres!M48),3)="Fin",1-$H1506,IF(LEFT(TRIM(Paramètres!M48),1)="F",1,0)))),IF(Paramètres!N48="",0,IF(Paramètres!O48="",NA(),IF(LEFT(TRIM(Paramètres!O48),1)="F",INDEX($F$1463:$F$1515,MATCH(Paramètres!N48,Paramètres!$G$5:$G$57,0)),INDEX($E$1463:$E$1515,MATCH(Paramètres!N48,Paramètres!$G$5:$G$57,0)))+IF(RIGHT(TRIM(Paramètres!O48),3)="Fin",1-$H1506,IF(LEFT(TRIM(Paramètres!O48),1)="F",1,0)))))))</f>
        <v/>
      </c>
      <c r="F1506" s="19">
        <f>IF($A1506="","",E1506+$H1506-1)</f>
        <v/>
      </c>
      <c r="G1506" s="18" t="n"/>
      <c r="H1506" s="18">
        <f>IF($A1506="","",IF(I1506&lt;&gt;"",I1506,Paramètres!B48))</f>
        <v/>
      </c>
      <c r="I1506" s="18" t="n"/>
    </row>
    <row r="1507">
      <c r="A1507" s="18">
        <f>IF(ISNUMBER(Dossiers!$D$31),Dossiers!$A$31&amp;" · "&amp;Dossiers!$B$31,"")</f>
        <v/>
      </c>
      <c r="B1507" s="18">
        <f>IF($A1507="","",Paramètres!G49)</f>
        <v/>
      </c>
      <c r="C1507" s="18">
        <f>IF($A1507="","",IF(Paramètres!H49="","",Paramètres!H49))</f>
        <v/>
      </c>
      <c r="D1507" s="18">
        <f>IF($A1507="","",IF(Paramètres!I49="","",Paramètres!I49))</f>
        <v/>
      </c>
      <c r="E1507" s="19">
        <f>IF($A1507="","",IF(Paramètres!J49&amp;Paramètres!L49&amp;Paramètres!N49="",Dossiers!$D$31,MAX(IF(Paramètres!J49="",0,IF(Paramètres!K49="",NA(),IF(LEFT(TRIM(Paramètres!K49),1)="F",INDEX($F$1463:$F$1515,MATCH(Paramètres!J49,Paramètres!$G$5:$G$57,0)),INDEX($E$1463:$E$1515,MATCH(Paramètres!J49,Paramètres!$G$5:$G$57,0)))+IF(RIGHT(TRIM(Paramètres!K49),3)="Fin",1-$H1507,IF(LEFT(TRIM(Paramètres!K49),1)="F",1,0)))),IF(Paramètres!L49="",0,IF(Paramètres!M49="",NA(),IF(LEFT(TRIM(Paramètres!M49),1)="F",INDEX($F$1463:$F$1515,MATCH(Paramètres!L49,Paramètres!$G$5:$G$57,0)),INDEX($E$1463:$E$1515,MATCH(Paramètres!L49,Paramètres!$G$5:$G$57,0)))+IF(RIGHT(TRIM(Paramètres!M49),3)="Fin",1-$H1507,IF(LEFT(TRIM(Paramètres!M49),1)="F",1,0)))),IF(Paramètres!N49="",0,IF(Paramètres!O49="",NA(),IF(LEFT(TRIM(Paramètres!O49),1)="F",INDEX($F$1463:$F$1515,MATCH(Paramètres!N49,Paramètres!$G$5:$G$57,0)),INDEX($E$1463:$E$1515,MATCH(Paramètres!N49,Paramètres!$G$5:$G$57,0)))+IF(RIGHT(TRIM(Paramètres!O49),3)="Fin",1-$H1507,IF(LEFT(TRIM(Paramètres!O49),1)="F",1,0)))))))</f>
        <v/>
      </c>
      <c r="F1507" s="19">
        <f>IF($A1507="","",E1507+$H1507-1)</f>
        <v/>
      </c>
      <c r="G1507" s="18" t="n"/>
      <c r="H1507" s="18">
        <f>IF($A1507="","",IF(I1507&lt;&gt;"",I1507,Paramètres!B49))</f>
        <v/>
      </c>
      <c r="I1507" s="18" t="n"/>
    </row>
    <row r="1508">
      <c r="A1508" s="18">
        <f>IF(ISNUMBER(Dossiers!$D$31),Dossiers!$A$31&amp;" · "&amp;Dossiers!$B$31,"")</f>
        <v/>
      </c>
      <c r="B1508" s="18">
        <f>IF($A1508="","",Paramètres!G50)</f>
        <v/>
      </c>
      <c r="C1508" s="18">
        <f>IF($A1508="","",IF(Paramètres!H50="","",Paramètres!H50))</f>
        <v/>
      </c>
      <c r="D1508" s="18">
        <f>IF($A1508="","",IF(Paramètres!I50="","",Paramètres!I50))</f>
        <v/>
      </c>
      <c r="E1508" s="19">
        <f>IF($A1508="","",IF(Paramètres!J50&amp;Paramètres!L50&amp;Paramètres!N50="",Dossiers!$D$31,MAX(IF(Paramètres!J50="",0,IF(Paramètres!K50="",NA(),IF(LEFT(TRIM(Paramètres!K50),1)="F",INDEX($F$1463:$F$1515,MATCH(Paramètres!J50,Paramètres!$G$5:$G$57,0)),INDEX($E$1463:$E$1515,MATCH(Paramètres!J50,Paramètres!$G$5:$G$57,0)))+IF(RIGHT(TRIM(Paramètres!K50),3)="Fin",1-$H1508,IF(LEFT(TRIM(Paramètres!K50),1)="F",1,0)))),IF(Paramètres!L50="",0,IF(Paramètres!M50="",NA(),IF(LEFT(TRIM(Paramètres!M50),1)="F",INDEX($F$1463:$F$1515,MATCH(Paramètres!L50,Paramètres!$G$5:$G$57,0)),INDEX($E$1463:$E$1515,MATCH(Paramètres!L50,Paramètres!$G$5:$G$57,0)))+IF(RIGHT(TRIM(Paramètres!M50),3)="Fin",1-$H1508,IF(LEFT(TRIM(Paramètres!M50),1)="F",1,0)))),IF(Paramètres!N50="",0,IF(Paramètres!O50="",NA(),IF(LEFT(TRIM(Paramètres!O50),1)="F",INDEX($F$1463:$F$1515,MATCH(Paramètres!N50,Paramètres!$G$5:$G$57,0)),INDEX($E$1463:$E$1515,MATCH(Paramètres!N50,Paramètres!$G$5:$G$57,0)))+IF(RIGHT(TRIM(Paramètres!O50),3)="Fin",1-$H1508,IF(LEFT(TRIM(Paramètres!O50),1)="F",1,0)))))))</f>
        <v/>
      </c>
      <c r="F1508" s="19">
        <f>IF($A1508="","",E1508+$H1508-1)</f>
        <v/>
      </c>
      <c r="G1508" s="18" t="n"/>
      <c r="H1508" s="18">
        <f>IF($A1508="","",IF(I1508&lt;&gt;"",I1508,Paramètres!B50))</f>
        <v/>
      </c>
      <c r="I1508" s="18" t="n"/>
    </row>
    <row r="1509">
      <c r="A1509" s="18">
        <f>IF(ISNUMBER(Dossiers!$D$31),Dossiers!$A$31&amp;" · "&amp;Dossiers!$B$31,"")</f>
        <v/>
      </c>
      <c r="B1509" s="18">
        <f>IF($A1509="","",Paramètres!G51)</f>
        <v/>
      </c>
      <c r="C1509" s="18">
        <f>IF($A1509="","",IF(Paramètres!H51="","",Paramètres!H51))</f>
        <v/>
      </c>
      <c r="D1509" s="18">
        <f>IF($A1509="","",IF(Paramètres!I51="","",Paramètres!I51))</f>
        <v/>
      </c>
      <c r="E1509" s="19">
        <f>IF($A1509="","",IF(Paramètres!J51&amp;Paramètres!L51&amp;Paramètres!N51="",Dossiers!$D$31,MAX(IF(Paramètres!J51="",0,IF(Paramètres!K51="",NA(),IF(LEFT(TRIM(Paramètres!K51),1)="F",INDEX($F$1463:$F$1515,MATCH(Paramètres!J51,Paramètres!$G$5:$G$57,0)),INDEX($E$1463:$E$1515,MATCH(Paramètres!J51,Paramètres!$G$5:$G$57,0)))+IF(RIGHT(TRIM(Paramètres!K51),3)="Fin",1-$H1509,IF(LEFT(TRIM(Paramètres!K51),1)="F",1,0)))),IF(Paramètres!L51="",0,IF(Paramètres!M51="",NA(),IF(LEFT(TRIM(Paramètres!M51),1)="F",INDEX($F$1463:$F$1515,MATCH(Paramètres!L51,Paramètres!$G$5:$G$57,0)),INDEX($E$1463:$E$1515,MATCH(Paramètres!L51,Paramètres!$G$5:$G$57,0)))+IF(RIGHT(TRIM(Paramètres!M51),3)="Fin",1-$H1509,IF(LEFT(TRIM(Paramètres!M51),1)="F",1,0)))),IF(Paramètres!N51="",0,IF(Paramètres!O51="",NA(),IF(LEFT(TRIM(Paramètres!O51),1)="F",INDEX($F$1463:$F$1515,MATCH(Paramètres!N51,Paramètres!$G$5:$G$57,0)),INDEX($E$1463:$E$1515,MATCH(Paramètres!N51,Paramètres!$G$5:$G$57,0)))+IF(RIGHT(TRIM(Paramètres!O51),3)="Fin",1-$H1509,IF(LEFT(TRIM(Paramètres!O51),1)="F",1,0)))))))</f>
        <v/>
      </c>
      <c r="F1509" s="19">
        <f>IF($A1509="","",E1509+$H1509-1)</f>
        <v/>
      </c>
      <c r="G1509" s="18" t="n"/>
      <c r="H1509" s="18">
        <f>IF($A1509="","",IF(I1509&lt;&gt;"",I1509,Paramètres!B51))</f>
        <v/>
      </c>
      <c r="I1509" s="18" t="n"/>
    </row>
    <row r="1510">
      <c r="A1510" s="18">
        <f>IF(ISNUMBER(Dossiers!$D$31),Dossiers!$A$31&amp;" · "&amp;Dossiers!$B$31,"")</f>
        <v/>
      </c>
      <c r="B1510" s="18">
        <f>IF($A1510="","",Paramètres!G52)</f>
        <v/>
      </c>
      <c r="C1510" s="18">
        <f>IF($A1510="","",IF(Paramètres!H52="","",Paramètres!H52))</f>
        <v/>
      </c>
      <c r="D1510" s="18">
        <f>IF($A1510="","",IF(Paramètres!I52="","",Paramètres!I52))</f>
        <v/>
      </c>
      <c r="E1510" s="19">
        <f>IF($A1510="","",IF(Paramètres!J52&amp;Paramètres!L52&amp;Paramètres!N52="",Dossiers!$D$31,MAX(IF(Paramètres!J52="",0,IF(Paramètres!K52="",NA(),IF(LEFT(TRIM(Paramètres!K52),1)="F",INDEX($F$1463:$F$1515,MATCH(Paramètres!J52,Paramètres!$G$5:$G$57,0)),INDEX($E$1463:$E$1515,MATCH(Paramètres!J52,Paramètres!$G$5:$G$57,0)))+IF(RIGHT(TRIM(Paramètres!K52),3)="Fin",1-$H1510,IF(LEFT(TRIM(Paramètres!K52),1)="F",1,0)))),IF(Paramètres!L52="",0,IF(Paramètres!M52="",NA(),IF(LEFT(TRIM(Paramètres!M52),1)="F",INDEX($F$1463:$F$1515,MATCH(Paramètres!L52,Paramètres!$G$5:$G$57,0)),INDEX($E$1463:$E$1515,MATCH(Paramètres!L52,Paramètres!$G$5:$G$57,0)))+IF(RIGHT(TRIM(Paramètres!M52),3)="Fin",1-$H1510,IF(LEFT(TRIM(Paramètres!M52),1)="F",1,0)))),IF(Paramètres!N52="",0,IF(Paramètres!O52="",NA(),IF(LEFT(TRIM(Paramètres!O52),1)="F",INDEX($F$1463:$F$1515,MATCH(Paramètres!N52,Paramètres!$G$5:$G$57,0)),INDEX($E$1463:$E$1515,MATCH(Paramètres!N52,Paramètres!$G$5:$G$57,0)))+IF(RIGHT(TRIM(Paramètres!O52),3)="Fin",1-$H1510,IF(LEFT(TRIM(Paramètres!O52),1)="F",1,0)))))))</f>
        <v/>
      </c>
      <c r="F1510" s="19">
        <f>IF($A1510="","",E1510+$H1510-1)</f>
        <v/>
      </c>
      <c r="G1510" s="18" t="n"/>
      <c r="H1510" s="18">
        <f>IF($A1510="","",IF(I1510&lt;&gt;"",I1510,Paramètres!B52))</f>
        <v/>
      </c>
      <c r="I1510" s="18" t="n"/>
    </row>
    <row r="1511">
      <c r="A1511" s="18">
        <f>IF(ISNUMBER(Dossiers!$D$31),Dossiers!$A$31&amp;" · "&amp;Dossiers!$B$31,"")</f>
        <v/>
      </c>
      <c r="B1511" s="18">
        <f>IF($A1511="","",Paramètres!G53)</f>
        <v/>
      </c>
      <c r="C1511" s="18">
        <f>IF($A1511="","",IF(Paramètres!H53="","",Paramètres!H53))</f>
        <v/>
      </c>
      <c r="D1511" s="18">
        <f>IF($A1511="","",IF(Paramètres!I53="","",Paramètres!I53))</f>
        <v/>
      </c>
      <c r="E1511" s="19">
        <f>IF($A1511="","",IF(Paramètres!J53&amp;Paramètres!L53&amp;Paramètres!N53="",Dossiers!$D$31,MAX(IF(Paramètres!J53="",0,IF(Paramètres!K53="",NA(),IF(LEFT(TRIM(Paramètres!K53),1)="F",INDEX($F$1463:$F$1515,MATCH(Paramètres!J53,Paramètres!$G$5:$G$57,0)),INDEX($E$1463:$E$1515,MATCH(Paramètres!J53,Paramètres!$G$5:$G$57,0)))+IF(RIGHT(TRIM(Paramètres!K53),3)="Fin",1-$H1511,IF(LEFT(TRIM(Paramètres!K53),1)="F",1,0)))),IF(Paramètres!L53="",0,IF(Paramètres!M53="",NA(),IF(LEFT(TRIM(Paramètres!M53),1)="F",INDEX($F$1463:$F$1515,MATCH(Paramètres!L53,Paramètres!$G$5:$G$57,0)),INDEX($E$1463:$E$1515,MATCH(Paramètres!L53,Paramètres!$G$5:$G$57,0)))+IF(RIGHT(TRIM(Paramètres!M53),3)="Fin",1-$H1511,IF(LEFT(TRIM(Paramètres!M53),1)="F",1,0)))),IF(Paramètres!N53="",0,IF(Paramètres!O53="",NA(),IF(LEFT(TRIM(Paramètres!O53),1)="F",INDEX($F$1463:$F$1515,MATCH(Paramètres!N53,Paramètres!$G$5:$G$57,0)),INDEX($E$1463:$E$1515,MATCH(Paramètres!N53,Paramètres!$G$5:$G$57,0)))+IF(RIGHT(TRIM(Paramètres!O53),3)="Fin",1-$H1511,IF(LEFT(TRIM(Paramètres!O53),1)="F",1,0)))))))</f>
        <v/>
      </c>
      <c r="F1511" s="19">
        <f>IF($A1511="","",E1511+$H1511-1)</f>
        <v/>
      </c>
      <c r="G1511" s="18" t="n"/>
      <c r="H1511" s="18">
        <f>IF($A1511="","",IF(I1511&lt;&gt;"",I1511,Paramètres!B53))</f>
        <v/>
      </c>
      <c r="I1511" s="18" t="n"/>
    </row>
    <row r="1512">
      <c r="A1512" s="18">
        <f>IF(ISNUMBER(Dossiers!$D$31),Dossiers!$A$31&amp;" · "&amp;Dossiers!$B$31,"")</f>
        <v/>
      </c>
      <c r="B1512" s="18">
        <f>IF($A1512="","",Paramètres!G54)</f>
        <v/>
      </c>
      <c r="C1512" s="18">
        <f>IF($A1512="","",IF(Paramètres!H54="","",Paramètres!H54))</f>
        <v/>
      </c>
      <c r="D1512" s="18">
        <f>IF($A1512="","",IF(Paramètres!I54="","",Paramètres!I54))</f>
        <v/>
      </c>
      <c r="E1512" s="19">
        <f>IF($A1512="","",IF(Paramètres!J54&amp;Paramètres!L54&amp;Paramètres!N54="",Dossiers!$D$31,MAX(IF(Paramètres!J54="",0,IF(Paramètres!K54="",NA(),IF(LEFT(TRIM(Paramètres!K54),1)="F",INDEX($F$1463:$F$1515,MATCH(Paramètres!J54,Paramètres!$G$5:$G$57,0)),INDEX($E$1463:$E$1515,MATCH(Paramètres!J54,Paramètres!$G$5:$G$57,0)))+IF(RIGHT(TRIM(Paramètres!K54),3)="Fin",1-$H1512,IF(LEFT(TRIM(Paramètres!K54),1)="F",1,0)))),IF(Paramètres!L54="",0,IF(Paramètres!M54="",NA(),IF(LEFT(TRIM(Paramètres!M54),1)="F",INDEX($F$1463:$F$1515,MATCH(Paramètres!L54,Paramètres!$G$5:$G$57,0)),INDEX($E$1463:$E$1515,MATCH(Paramètres!L54,Paramètres!$G$5:$G$57,0)))+IF(RIGHT(TRIM(Paramètres!M54),3)="Fin",1-$H1512,IF(LEFT(TRIM(Paramètres!M54),1)="F",1,0)))),IF(Paramètres!N54="",0,IF(Paramètres!O54="",NA(),IF(LEFT(TRIM(Paramètres!O54),1)="F",INDEX($F$1463:$F$1515,MATCH(Paramètres!N54,Paramètres!$G$5:$G$57,0)),INDEX($E$1463:$E$1515,MATCH(Paramètres!N54,Paramètres!$G$5:$G$57,0)))+IF(RIGHT(TRIM(Paramètres!O54),3)="Fin",1-$H1512,IF(LEFT(TRIM(Paramètres!O54),1)="F",1,0)))))))</f>
        <v/>
      </c>
      <c r="F1512" s="19">
        <f>IF($A1512="","",E1512+$H1512-1)</f>
        <v/>
      </c>
      <c r="G1512" s="18" t="n"/>
      <c r="H1512" s="18">
        <f>IF($A1512="","",IF(I1512&lt;&gt;"",I1512,Paramètres!B54))</f>
        <v/>
      </c>
      <c r="I1512" s="18" t="n"/>
    </row>
    <row r="1513">
      <c r="A1513" s="18">
        <f>IF(ISNUMBER(Dossiers!$D$31),Dossiers!$A$31&amp;" · "&amp;Dossiers!$B$31,"")</f>
        <v/>
      </c>
      <c r="B1513" s="18">
        <f>IF($A1513="","",Paramètres!G55)</f>
        <v/>
      </c>
      <c r="C1513" s="18">
        <f>IF($A1513="","",IF(Paramètres!H55="","",Paramètres!H55))</f>
        <v/>
      </c>
      <c r="D1513" s="18">
        <f>IF($A1513="","",IF(Paramètres!I55="","",Paramètres!I55))</f>
        <v/>
      </c>
      <c r="E1513" s="19">
        <f>IF($A1513="","",IF(Paramètres!J55&amp;Paramètres!L55&amp;Paramètres!N55="",Dossiers!$D$31,MAX(IF(Paramètres!J55="",0,IF(Paramètres!K55="",NA(),IF(LEFT(TRIM(Paramètres!K55),1)="F",INDEX($F$1463:$F$1515,MATCH(Paramètres!J55,Paramètres!$G$5:$G$57,0)),INDEX($E$1463:$E$1515,MATCH(Paramètres!J55,Paramètres!$G$5:$G$57,0)))+IF(RIGHT(TRIM(Paramètres!K55),3)="Fin",1-$H1513,IF(LEFT(TRIM(Paramètres!K55),1)="F",1,0)))),IF(Paramètres!L55="",0,IF(Paramètres!M55="",NA(),IF(LEFT(TRIM(Paramètres!M55),1)="F",INDEX($F$1463:$F$1515,MATCH(Paramètres!L55,Paramètres!$G$5:$G$57,0)),INDEX($E$1463:$E$1515,MATCH(Paramètres!L55,Paramètres!$G$5:$G$57,0)))+IF(RIGHT(TRIM(Paramètres!M55),3)="Fin",1-$H1513,IF(LEFT(TRIM(Paramètres!M55),1)="F",1,0)))),IF(Paramètres!N55="",0,IF(Paramètres!O55="",NA(),IF(LEFT(TRIM(Paramètres!O55),1)="F",INDEX($F$1463:$F$1515,MATCH(Paramètres!N55,Paramètres!$G$5:$G$57,0)),INDEX($E$1463:$E$1515,MATCH(Paramètres!N55,Paramètres!$G$5:$G$57,0)))+IF(RIGHT(TRIM(Paramètres!O55),3)="Fin",1-$H1513,IF(LEFT(TRIM(Paramètres!O55),1)="F",1,0)))))))</f>
        <v/>
      </c>
      <c r="F1513" s="19">
        <f>IF($A1513="","",E1513+$H1513-1)</f>
        <v/>
      </c>
      <c r="G1513" s="18" t="n"/>
      <c r="H1513" s="18">
        <f>IF($A1513="","",IF(I1513&lt;&gt;"",I1513,Paramètres!B55))</f>
        <v/>
      </c>
      <c r="I1513" s="18" t="n"/>
    </row>
    <row r="1514">
      <c r="A1514" s="18">
        <f>IF(ISNUMBER(Dossiers!$D$31),Dossiers!$A$31&amp;" · "&amp;Dossiers!$B$31,"")</f>
        <v/>
      </c>
      <c r="B1514" s="18">
        <f>IF($A1514="","",Paramètres!G56)</f>
        <v/>
      </c>
      <c r="C1514" s="18">
        <f>IF($A1514="","",IF(Paramètres!H56="","",Paramètres!H56))</f>
        <v/>
      </c>
      <c r="D1514" s="18">
        <f>IF($A1514="","",IF(Paramètres!I56="","",Paramètres!I56))</f>
        <v/>
      </c>
      <c r="E1514" s="19">
        <f>IF($A1514="","",MIN(E1515:E1515))</f>
        <v/>
      </c>
      <c r="F1514" s="19">
        <f>IF($A1514="","",MAX(F1515:F1515))</f>
        <v/>
      </c>
      <c r="G1514" s="18" t="n"/>
      <c r="H1514" s="18">
        <f>IF($A1514="","",F1514-E1514+1)</f>
        <v/>
      </c>
      <c r="I1514" s="18" t="n"/>
    </row>
    <row r="1515">
      <c r="A1515" s="18">
        <f>IF(ISNUMBER(Dossiers!$D$31),Dossiers!$A$31&amp;" · "&amp;Dossiers!$B$31,"")</f>
        <v/>
      </c>
      <c r="B1515" s="18">
        <f>IF($A1515="","",Paramètres!G57)</f>
        <v/>
      </c>
      <c r="C1515" s="18">
        <f>IF($A1515="","",IF(Paramètres!H57="","",Paramètres!H57))</f>
        <v/>
      </c>
      <c r="D1515" s="18">
        <f>IF($A1515="","",IF(Paramètres!I57="","",Paramètres!I57))</f>
        <v/>
      </c>
      <c r="E1515" s="19">
        <f>IF($A1515="","",IF(Paramètres!J57&amp;Paramètres!L57&amp;Paramètres!N57="",Dossiers!$D$31,MAX(IF(Paramètres!J57="",0,IF(Paramètres!K57="",NA(),IF(LEFT(TRIM(Paramètres!K57),1)="F",INDEX($F$1463:$F$1515,MATCH(Paramètres!J57,Paramètres!$G$5:$G$57,0)),INDEX($E$1463:$E$1515,MATCH(Paramètres!J57,Paramètres!$G$5:$G$57,0)))+IF(RIGHT(TRIM(Paramètres!K57),3)="Fin",1-$H1515,IF(LEFT(TRIM(Paramètres!K57),1)="F",1,0)))),IF(Paramètres!L57="",0,IF(Paramètres!M57="",NA(),IF(LEFT(TRIM(Paramètres!M57),1)="F",INDEX($F$1463:$F$1515,MATCH(Paramètres!L57,Paramètres!$G$5:$G$57,0)),INDEX($E$1463:$E$1515,MATCH(Paramètres!L57,Paramètres!$G$5:$G$57,0)))+IF(RIGHT(TRIM(Paramètres!M57),3)="Fin",1-$H1515,IF(LEFT(TRIM(Paramètres!M57),1)="F",1,0)))),IF(Paramètres!N57="",0,IF(Paramètres!O57="",NA(),IF(LEFT(TRIM(Paramètres!O57),1)="F",INDEX($F$1463:$F$1515,MATCH(Paramètres!N57,Paramètres!$G$5:$G$57,0)),INDEX($E$1463:$E$1515,MATCH(Paramètres!N57,Paramètres!$G$5:$G$57,0)))+IF(RIGHT(TRIM(Paramètres!O57),3)="Fin",1-$H1515,IF(LEFT(TRIM(Paramètres!O57),1)="F",1,0)))))))</f>
        <v/>
      </c>
      <c r="F1515" s="19">
        <f>IF($A1515="","",E1515+$H1515-1)</f>
        <v/>
      </c>
      <c r="G1515" s="18" t="n"/>
      <c r="H1515" s="18">
        <f>IF($A1515="","",IF(I1515&lt;&gt;"",I1515,Paramètres!B57))</f>
        <v/>
      </c>
      <c r="I1515" s="18" t="n"/>
    </row>
    <row r="1516">
      <c r="A1516" s="16">
        <f>IF(ISNUMBER(Dossiers!$D$32),Dossiers!$E$32,"")</f>
        <v/>
      </c>
      <c r="B1516" s="16">
        <f>IF($A1516="","","Identifiant")</f>
        <v/>
      </c>
      <c r="C1516" s="16">
        <f>IF($A1516="","","Macro Etape")</f>
        <v/>
      </c>
      <c r="D1516" s="16">
        <f>IF($A1516="","","Etape")</f>
        <v/>
      </c>
      <c r="E1516" s="17">
        <f>IF($A1516="","","Début le")</f>
        <v/>
      </c>
      <c r="F1516" s="17">
        <f>IF($A1516="","","Fin prévue le")</f>
        <v/>
      </c>
      <c r="G1516" s="16">
        <f>IF($A1516="","","Statut")</f>
        <v/>
      </c>
      <c r="H1516" s="16">
        <f>IF($A1516="","","Durée (jours)")</f>
        <v/>
      </c>
      <c r="I1516" s="16">
        <f>IF($A1516="","","Durée particulière")</f>
        <v/>
      </c>
      <c r="J1516" s="10">
        <f>IF($A1516="","",HYPERLINK("#'Tableau de bord'!A1","↑ Tableau de bord"))</f>
        <v/>
      </c>
    </row>
    <row r="1517">
      <c r="A1517" s="18">
        <f>IF(ISNUMBER(Dossiers!$D$32),Dossiers!$A$32&amp;" · "&amp;Dossiers!$B$32,"")</f>
        <v/>
      </c>
      <c r="B1517" s="18">
        <f>IF($A1517="","",Paramètres!G5)</f>
        <v/>
      </c>
      <c r="C1517" s="18">
        <f>IF($A1517="","",IF(Paramètres!H5="","",Paramètres!H5))</f>
        <v/>
      </c>
      <c r="D1517" s="18">
        <f>IF($A1517="","",IF(Paramètres!I5="","",Paramètres!I5))</f>
        <v/>
      </c>
      <c r="E1517" s="19">
        <f>IF($A1517="","",MIN(E1518:E1521))</f>
        <v/>
      </c>
      <c r="F1517" s="19">
        <f>IF($A1517="","",MAX(F1518:F1521))</f>
        <v/>
      </c>
      <c r="G1517" s="18" t="n"/>
      <c r="H1517" s="18">
        <f>IF($A1517="","",F1517-E1517+1)</f>
        <v/>
      </c>
      <c r="I1517" s="18" t="n"/>
    </row>
    <row r="1518">
      <c r="A1518" s="18">
        <f>IF(ISNUMBER(Dossiers!$D$32),Dossiers!$A$32&amp;" · "&amp;Dossiers!$B$32,"")</f>
        <v/>
      </c>
      <c r="B1518" s="18">
        <f>IF($A1518="","",Paramètres!G6)</f>
        <v/>
      </c>
      <c r="C1518" s="18">
        <f>IF($A1518="","",IF(Paramètres!H6="","",Paramètres!H6))</f>
        <v/>
      </c>
      <c r="D1518" s="18">
        <f>IF($A1518="","",IF(Paramètres!I6="","",Paramètres!I6))</f>
        <v/>
      </c>
      <c r="E1518" s="19">
        <f>IF($A1518="","",IF(Paramètres!J6&amp;Paramètres!L6&amp;Paramètres!N6="",Dossiers!$D$32,MAX(IF(Paramètres!J6="",0,IF(Paramètres!K6="",NA(),IF(LEFT(TRIM(Paramètres!K6),1)="F",INDEX($F$1517:$F$1569,MATCH(Paramètres!J6,Paramètres!$G$5:$G$57,0)),INDEX($E$1517:$E$1569,MATCH(Paramètres!J6,Paramètres!$G$5:$G$57,0)))+IF(RIGHT(TRIM(Paramètres!K6),3)="Fin",1-$H1518,IF(LEFT(TRIM(Paramètres!K6),1)="F",1,0)))),IF(Paramètres!L6="",0,IF(Paramètres!M6="",NA(),IF(LEFT(TRIM(Paramètres!M6),1)="F",INDEX($F$1517:$F$1569,MATCH(Paramètres!L6,Paramètres!$G$5:$G$57,0)),INDEX($E$1517:$E$1569,MATCH(Paramètres!L6,Paramètres!$G$5:$G$57,0)))+IF(RIGHT(TRIM(Paramètres!M6),3)="Fin",1-$H1518,IF(LEFT(TRIM(Paramètres!M6),1)="F",1,0)))),IF(Paramètres!N6="",0,IF(Paramètres!O6="",NA(),IF(LEFT(TRIM(Paramètres!O6),1)="F",INDEX($F$1517:$F$1569,MATCH(Paramètres!N6,Paramètres!$G$5:$G$57,0)),INDEX($E$1517:$E$1569,MATCH(Paramètres!N6,Paramètres!$G$5:$G$57,0)))+IF(RIGHT(TRIM(Paramètres!O6),3)="Fin",1-$H1518,IF(LEFT(TRIM(Paramètres!O6),1)="F",1,0)))))))</f>
        <v/>
      </c>
      <c r="F1518" s="19">
        <f>IF($A1518="","",E1518+$H1518-1)</f>
        <v/>
      </c>
      <c r="G1518" s="18" t="n"/>
      <c r="H1518" s="18">
        <f>IF($A1518="","",IF(I1518&lt;&gt;"",I1518,Paramètres!B6))</f>
        <v/>
      </c>
      <c r="I1518" s="18" t="n"/>
    </row>
    <row r="1519">
      <c r="A1519" s="18">
        <f>IF(ISNUMBER(Dossiers!$D$32),Dossiers!$A$32&amp;" · "&amp;Dossiers!$B$32,"")</f>
        <v/>
      </c>
      <c r="B1519" s="18">
        <f>IF($A1519="","",Paramètres!G7)</f>
        <v/>
      </c>
      <c r="C1519" s="18">
        <f>IF($A1519="","",IF(Paramètres!H7="","",Paramètres!H7))</f>
        <v/>
      </c>
      <c r="D1519" s="18">
        <f>IF($A1519="","",IF(Paramètres!I7="","",Paramètres!I7))</f>
        <v/>
      </c>
      <c r="E1519" s="19">
        <f>IF($A1519="","",IF(Paramètres!J7&amp;Paramètres!L7&amp;Paramètres!N7="",Dossiers!$D$32,MAX(IF(Paramètres!J7="",0,IF(Paramètres!K7="",NA(),IF(LEFT(TRIM(Paramètres!K7),1)="F",INDEX($F$1517:$F$1569,MATCH(Paramètres!J7,Paramètres!$G$5:$G$57,0)),INDEX($E$1517:$E$1569,MATCH(Paramètres!J7,Paramètres!$G$5:$G$57,0)))+IF(RIGHT(TRIM(Paramètres!K7),3)="Fin",1-$H1519,IF(LEFT(TRIM(Paramètres!K7),1)="F",1,0)))),IF(Paramètres!L7="",0,IF(Paramètres!M7="",NA(),IF(LEFT(TRIM(Paramètres!M7),1)="F",INDEX($F$1517:$F$1569,MATCH(Paramètres!L7,Paramètres!$G$5:$G$57,0)),INDEX($E$1517:$E$1569,MATCH(Paramètres!L7,Paramètres!$G$5:$G$57,0)))+IF(RIGHT(TRIM(Paramètres!M7),3)="Fin",1-$H1519,IF(LEFT(TRIM(Paramètres!M7),1)="F",1,0)))),IF(Paramètres!N7="",0,IF(Paramètres!O7="",NA(),IF(LEFT(TRIM(Paramètres!O7),1)="F",INDEX($F$1517:$F$1569,MATCH(Paramètres!N7,Paramètres!$G$5:$G$57,0)),INDEX($E$1517:$E$1569,MATCH(Paramètres!N7,Paramètres!$G$5:$G$57,0)))+IF(RIGHT(TRIM(Paramètres!O7),3)="Fin",1-$H1519,IF(LEFT(TRIM(Paramètres!O7),1)="F",1,0)))))))</f>
        <v/>
      </c>
      <c r="F1519" s="19">
        <f>IF($A1519="","",E1519+$H1519-1)</f>
        <v/>
      </c>
      <c r="G1519" s="18" t="n"/>
      <c r="H1519" s="18">
        <f>IF($A1519="","",IF(I1519&lt;&gt;"",I1519,Paramètres!B7))</f>
        <v/>
      </c>
      <c r="I1519" s="18" t="n"/>
    </row>
    <row r="1520">
      <c r="A1520" s="18">
        <f>IF(ISNUMBER(Dossiers!$D$32),Dossiers!$A$32&amp;" · "&amp;Dossiers!$B$32,"")</f>
        <v/>
      </c>
      <c r="B1520" s="18">
        <f>IF($A1520="","",Paramètres!G8)</f>
        <v/>
      </c>
      <c r="C1520" s="18">
        <f>IF($A1520="","",IF(Paramètres!H8="","",Paramètres!H8))</f>
        <v/>
      </c>
      <c r="D1520" s="18">
        <f>IF($A1520="","",IF(Paramètres!I8="","",Paramètres!I8))</f>
        <v/>
      </c>
      <c r="E1520" s="19">
        <f>IF($A1520="","",IF(Paramètres!J8&amp;Paramètres!L8&amp;Paramètres!N8="",Dossiers!$D$32,MAX(IF(Paramètres!J8="",0,IF(Paramètres!K8="",NA(),IF(LEFT(TRIM(Paramètres!K8),1)="F",INDEX($F$1517:$F$1569,MATCH(Paramètres!J8,Paramètres!$G$5:$G$57,0)),INDEX($E$1517:$E$1569,MATCH(Paramètres!J8,Paramètres!$G$5:$G$57,0)))+IF(RIGHT(TRIM(Paramètres!K8),3)="Fin",1-$H1520,IF(LEFT(TRIM(Paramètres!K8),1)="F",1,0)))),IF(Paramètres!L8="",0,IF(Paramètres!M8="",NA(),IF(LEFT(TRIM(Paramètres!M8),1)="F",INDEX($F$1517:$F$1569,MATCH(Paramètres!L8,Paramètres!$G$5:$G$57,0)),INDEX($E$1517:$E$1569,MATCH(Paramètres!L8,Paramètres!$G$5:$G$57,0)))+IF(RIGHT(TRIM(Paramètres!M8),3)="Fin",1-$H1520,IF(LEFT(TRIM(Paramètres!M8),1)="F",1,0)))),IF(Paramètres!N8="",0,IF(Paramètres!O8="",NA(),IF(LEFT(TRIM(Paramètres!O8),1)="F",INDEX($F$1517:$F$1569,MATCH(Paramètres!N8,Paramètres!$G$5:$G$57,0)),INDEX($E$1517:$E$1569,MATCH(Paramètres!N8,Paramètres!$G$5:$G$57,0)))+IF(RIGHT(TRIM(Paramètres!O8),3)="Fin",1-$H1520,IF(LEFT(TRIM(Paramètres!O8),1)="F",1,0)))))))</f>
        <v/>
      </c>
      <c r="F1520" s="19">
        <f>IF($A1520="","",E1520+$H1520-1)</f>
        <v/>
      </c>
      <c r="G1520" s="18" t="n"/>
      <c r="H1520" s="18">
        <f>IF($A1520="","",IF(I1520&lt;&gt;"",I1520,Paramètres!B8))</f>
        <v/>
      </c>
      <c r="I1520" s="18" t="n"/>
    </row>
    <row r="1521">
      <c r="A1521" s="18">
        <f>IF(ISNUMBER(Dossiers!$D$32),Dossiers!$A$32&amp;" · "&amp;Dossiers!$B$32,"")</f>
        <v/>
      </c>
      <c r="B1521" s="18">
        <f>IF($A1521="","",Paramètres!G9)</f>
        <v/>
      </c>
      <c r="C1521" s="18">
        <f>IF($A1521="","",IF(Paramètres!H9="","",Paramètres!H9))</f>
        <v/>
      </c>
      <c r="D1521" s="18">
        <f>IF($A1521="","",IF(Paramètres!I9="","",Paramètres!I9))</f>
        <v/>
      </c>
      <c r="E1521" s="19">
        <f>IF($A1521="","",IF(Paramètres!J9&amp;Paramètres!L9&amp;Paramètres!N9="",Dossiers!$D$32,MAX(IF(Paramètres!J9="",0,IF(Paramètres!K9="",NA(),IF(LEFT(TRIM(Paramètres!K9),1)="F",INDEX($F$1517:$F$1569,MATCH(Paramètres!J9,Paramètres!$G$5:$G$57,0)),INDEX($E$1517:$E$1569,MATCH(Paramètres!J9,Paramètres!$G$5:$G$57,0)))+IF(RIGHT(TRIM(Paramètres!K9),3)="Fin",1-$H1521,IF(LEFT(TRIM(Paramètres!K9),1)="F",1,0)))),IF(Paramètres!L9="",0,IF(Paramètres!M9="",NA(),IF(LEFT(TRIM(Paramètres!M9),1)="F",INDEX($F$1517:$F$1569,MATCH(Paramètres!L9,Paramètres!$G$5:$G$57,0)),INDEX($E$1517:$E$1569,MATCH(Paramètres!L9,Paramètres!$G$5:$G$57,0)))+IF(RIGHT(TRIM(Paramètres!M9),3)="Fin",1-$H1521,IF(LEFT(TRIM(Paramètres!M9),1)="F",1,0)))),IF(Paramètres!N9="",0,IF(Paramètres!O9="",NA(),IF(LEFT(TRIM(Paramètres!O9),1)="F",INDEX($F$1517:$F$1569,MATCH(Paramètres!N9,Paramètres!$G$5:$G$57,0)),INDEX($E$1517:$E$1569,MATCH(Paramètres!N9,Paramètres!$G$5:$G$57,0)))+IF(RIGHT(TRIM(Paramètres!O9),3)="Fin",1-$H1521,IF(LEFT(TRIM(Paramètres!O9),1)="F",1,0)))))))</f>
        <v/>
      </c>
      <c r="F1521" s="19">
        <f>IF($A1521="","",E1521+$H1521-1)</f>
        <v/>
      </c>
      <c r="G1521" s="18" t="n"/>
      <c r="H1521" s="18">
        <f>IF($A1521="","",IF(I1521&lt;&gt;"",I1521,Paramètres!B9))</f>
        <v/>
      </c>
      <c r="I1521" s="18" t="n"/>
    </row>
    <row r="1522">
      <c r="A1522" s="18">
        <f>IF(ISNUMBER(Dossiers!$D$32),Dossiers!$A$32&amp;" · "&amp;Dossiers!$B$32,"")</f>
        <v/>
      </c>
      <c r="B1522" s="18">
        <f>IF($A1522="","",Paramètres!G10)</f>
        <v/>
      </c>
      <c r="C1522" s="18">
        <f>IF($A1522="","",IF(Paramètres!H10="","",Paramètres!H10))</f>
        <v/>
      </c>
      <c r="D1522" s="18">
        <f>IF($A1522="","",IF(Paramètres!I10="","",Paramètres!I10))</f>
        <v/>
      </c>
      <c r="E1522" s="19">
        <f>IF($A1522="","",MIN(E1523:E1526))</f>
        <v/>
      </c>
      <c r="F1522" s="19">
        <f>IF($A1522="","",MAX(F1523:F1526))</f>
        <v/>
      </c>
      <c r="G1522" s="18" t="n"/>
      <c r="H1522" s="18">
        <f>IF($A1522="","",F1522-E1522+1)</f>
        <v/>
      </c>
      <c r="I1522" s="18" t="n"/>
    </row>
    <row r="1523">
      <c r="A1523" s="18">
        <f>IF(ISNUMBER(Dossiers!$D$32),Dossiers!$A$32&amp;" · "&amp;Dossiers!$B$32,"")</f>
        <v/>
      </c>
      <c r="B1523" s="18">
        <f>IF($A1523="","",Paramètres!G11)</f>
        <v/>
      </c>
      <c r="C1523" s="18">
        <f>IF($A1523="","",IF(Paramètres!H11="","",Paramètres!H11))</f>
        <v/>
      </c>
      <c r="D1523" s="18">
        <f>IF($A1523="","",IF(Paramètres!I11="","",Paramètres!I11))</f>
        <v/>
      </c>
      <c r="E1523" s="19">
        <f>IF($A1523="","",IF(Paramètres!J11&amp;Paramètres!L11&amp;Paramètres!N11="",Dossiers!$D$32,MAX(IF(Paramètres!J11="",0,IF(Paramètres!K11="",NA(),IF(LEFT(TRIM(Paramètres!K11),1)="F",INDEX($F$1517:$F$1569,MATCH(Paramètres!J11,Paramètres!$G$5:$G$57,0)),INDEX($E$1517:$E$1569,MATCH(Paramètres!J11,Paramètres!$G$5:$G$57,0)))+IF(RIGHT(TRIM(Paramètres!K11),3)="Fin",1-$H1523,IF(LEFT(TRIM(Paramètres!K11),1)="F",1,0)))),IF(Paramètres!L11="",0,IF(Paramètres!M11="",NA(),IF(LEFT(TRIM(Paramètres!M11),1)="F",INDEX($F$1517:$F$1569,MATCH(Paramètres!L11,Paramètres!$G$5:$G$57,0)),INDEX($E$1517:$E$1569,MATCH(Paramètres!L11,Paramètres!$G$5:$G$57,0)))+IF(RIGHT(TRIM(Paramètres!M11),3)="Fin",1-$H1523,IF(LEFT(TRIM(Paramètres!M11),1)="F",1,0)))),IF(Paramètres!N11="",0,IF(Paramètres!O11="",NA(),IF(LEFT(TRIM(Paramètres!O11),1)="F",INDEX($F$1517:$F$1569,MATCH(Paramètres!N11,Paramètres!$G$5:$G$57,0)),INDEX($E$1517:$E$1569,MATCH(Paramètres!N11,Paramètres!$G$5:$G$57,0)))+IF(RIGHT(TRIM(Paramètres!O11),3)="Fin",1-$H1523,IF(LEFT(TRIM(Paramètres!O11),1)="F",1,0)))))))</f>
        <v/>
      </c>
      <c r="F1523" s="19">
        <f>IF($A1523="","",E1523+$H1523-1)</f>
        <v/>
      </c>
      <c r="G1523" s="18" t="n"/>
      <c r="H1523" s="18">
        <f>IF($A1523="","",IF(I1523&lt;&gt;"",I1523,Paramètres!B11))</f>
        <v/>
      </c>
      <c r="I1523" s="18" t="n"/>
    </row>
    <row r="1524">
      <c r="A1524" s="18">
        <f>IF(ISNUMBER(Dossiers!$D$32),Dossiers!$A$32&amp;" · "&amp;Dossiers!$B$32,"")</f>
        <v/>
      </c>
      <c r="B1524" s="18">
        <f>IF($A1524="","",Paramètres!G12)</f>
        <v/>
      </c>
      <c r="C1524" s="18">
        <f>IF($A1524="","",IF(Paramètres!H12="","",Paramètres!H12))</f>
        <v/>
      </c>
      <c r="D1524" s="18">
        <f>IF($A1524="","",IF(Paramètres!I12="","",Paramètres!I12))</f>
        <v/>
      </c>
      <c r="E1524" s="19">
        <f>IF($A1524="","",IF(Paramètres!J12&amp;Paramètres!L12&amp;Paramètres!N12="",Dossiers!$D$32,MAX(IF(Paramètres!J12="",0,IF(Paramètres!K12="",NA(),IF(LEFT(TRIM(Paramètres!K12),1)="F",INDEX($F$1517:$F$1569,MATCH(Paramètres!J12,Paramètres!$G$5:$G$57,0)),INDEX($E$1517:$E$1569,MATCH(Paramètres!J12,Paramètres!$G$5:$G$57,0)))+IF(RIGHT(TRIM(Paramètres!K12),3)="Fin",1-$H1524,IF(LEFT(TRIM(Paramètres!K12),1)="F",1,0)))),IF(Paramètres!L12="",0,IF(Paramètres!M12="",NA(),IF(LEFT(TRIM(Paramètres!M12),1)="F",INDEX($F$1517:$F$1569,MATCH(Paramètres!L12,Paramètres!$G$5:$G$57,0)),INDEX($E$1517:$E$1569,MATCH(Paramètres!L12,Paramètres!$G$5:$G$57,0)))+IF(RIGHT(TRIM(Paramètres!M12),3)="Fin",1-$H1524,IF(LEFT(TRIM(Paramètres!M12),1)="F",1,0)))),IF(Paramètres!N12="",0,IF(Paramètres!O12="",NA(),IF(LEFT(TRIM(Paramètres!O12),1)="F",INDEX($F$1517:$F$1569,MATCH(Paramètres!N12,Paramètres!$G$5:$G$57,0)),INDEX($E$1517:$E$1569,MATCH(Paramètres!N12,Paramètres!$G$5:$G$57,0)))+IF(RIGHT(TRIM(Paramètres!O12),3)="Fin",1-$H1524,IF(LEFT(TRIM(Paramètres!O12),1)="F",1,0)))))))</f>
        <v/>
      </c>
      <c r="F1524" s="19">
        <f>IF($A1524="","",E1524+$H1524-1)</f>
        <v/>
      </c>
      <c r="G1524" s="18" t="n"/>
      <c r="H1524" s="18">
        <f>IF($A1524="","",IF(I1524&lt;&gt;"",I1524,Paramètres!B12))</f>
        <v/>
      </c>
      <c r="I1524" s="18" t="n"/>
    </row>
    <row r="1525">
      <c r="A1525" s="18">
        <f>IF(ISNUMBER(Dossiers!$D$32),Dossiers!$A$32&amp;" · "&amp;Dossiers!$B$32,"")</f>
        <v/>
      </c>
      <c r="B1525" s="18">
        <f>IF($A1525="","",Paramètres!G13)</f>
        <v/>
      </c>
      <c r="C1525" s="18">
        <f>IF($A1525="","",IF(Paramètres!H13="","",Paramètres!H13))</f>
        <v/>
      </c>
      <c r="D1525" s="18">
        <f>IF($A1525="","",IF(Paramètres!I13="","",Paramètres!I13))</f>
        <v/>
      </c>
      <c r="E1525" s="19">
        <f>IF($A1525="","",IF(Paramètres!J13&amp;Paramètres!L13&amp;Paramètres!N13="",Dossiers!$D$32,MAX(IF(Paramètres!J13="",0,IF(Paramètres!K13="",NA(),IF(LEFT(TRIM(Paramètres!K13),1)="F",INDEX($F$1517:$F$1569,MATCH(Paramètres!J13,Paramètres!$G$5:$G$57,0)),INDEX($E$1517:$E$1569,MATCH(Paramètres!J13,Paramètres!$G$5:$G$57,0)))+IF(RIGHT(TRIM(Paramètres!K13),3)="Fin",1-$H1525,IF(LEFT(TRIM(Paramètres!K13),1)="F",1,0)))),IF(Paramètres!L13="",0,IF(Paramètres!M13="",NA(),IF(LEFT(TRIM(Paramètres!M13),1)="F",INDEX($F$1517:$F$1569,MATCH(Paramètres!L13,Paramètres!$G$5:$G$57,0)),INDEX($E$1517:$E$1569,MATCH(Paramètres!L13,Paramètres!$G$5:$G$57,0)))+IF(RIGHT(TRIM(Paramètres!M13),3)="Fin",1-$H1525,IF(LEFT(TRIM(Paramètres!M13),1)="F",1,0)))),IF(Paramètres!N13="",0,IF(Paramètres!O13="",NA(),IF(LEFT(TRIM(Paramètres!O13),1)="F",INDEX($F$1517:$F$1569,MATCH(Paramètres!N13,Paramètres!$G$5:$G$57,0)),INDEX($E$1517:$E$1569,MATCH(Paramètres!N13,Paramètres!$G$5:$G$57,0)))+IF(RIGHT(TRIM(Paramètres!O13),3)="Fin",1-$H1525,IF(LEFT(TRIM(Paramètres!O13),1)="F",1,0)))))))</f>
        <v/>
      </c>
      <c r="F1525" s="19">
        <f>IF($A1525="","",E1525+$H1525-1)</f>
        <v/>
      </c>
      <c r="G1525" s="18" t="n"/>
      <c r="H1525" s="18">
        <f>IF($A1525="","",IF(I1525&lt;&gt;"",I1525,Paramètres!B13))</f>
        <v/>
      </c>
      <c r="I1525" s="18" t="n"/>
    </row>
    <row r="1526">
      <c r="A1526" s="18">
        <f>IF(ISNUMBER(Dossiers!$D$32),Dossiers!$A$32&amp;" · "&amp;Dossiers!$B$32,"")</f>
        <v/>
      </c>
      <c r="B1526" s="18">
        <f>IF($A1526="","",Paramètres!G14)</f>
        <v/>
      </c>
      <c r="C1526" s="18">
        <f>IF($A1526="","",IF(Paramètres!H14="","",Paramètres!H14))</f>
        <v/>
      </c>
      <c r="D1526" s="18">
        <f>IF($A1526="","",IF(Paramètres!I14="","",Paramètres!I14))</f>
        <v/>
      </c>
      <c r="E1526" s="19">
        <f>IF($A1526="","",IF(Paramètres!J14&amp;Paramètres!L14&amp;Paramètres!N14="",Dossiers!$D$32,MAX(IF(Paramètres!J14="",0,IF(Paramètres!K14="",NA(),IF(LEFT(TRIM(Paramètres!K14),1)="F",INDEX($F$1517:$F$1569,MATCH(Paramètres!J14,Paramètres!$G$5:$G$57,0)),INDEX($E$1517:$E$1569,MATCH(Paramètres!J14,Paramètres!$G$5:$G$57,0)))+IF(RIGHT(TRIM(Paramètres!K14),3)="Fin",1-$H1526,IF(LEFT(TRIM(Paramètres!K14),1)="F",1,0)))),IF(Paramètres!L14="",0,IF(Paramètres!M14="",NA(),IF(LEFT(TRIM(Paramètres!M14),1)="F",INDEX($F$1517:$F$1569,MATCH(Paramètres!L14,Paramètres!$G$5:$G$57,0)),INDEX($E$1517:$E$1569,MATCH(Paramètres!L14,Paramètres!$G$5:$G$57,0)))+IF(RIGHT(TRIM(Paramètres!M14),3)="Fin",1-$H1526,IF(LEFT(TRIM(Paramètres!M14),1)="F",1,0)))),IF(Paramètres!N14="",0,IF(Paramètres!O14="",NA(),IF(LEFT(TRIM(Paramètres!O14),1)="F",INDEX($F$1517:$F$1569,MATCH(Paramètres!N14,Paramètres!$G$5:$G$57,0)),INDEX($E$1517:$E$1569,MATCH(Paramètres!N14,Paramètres!$G$5:$G$57,0)))+IF(RIGHT(TRIM(Paramètres!O14),3)="Fin",1-$H1526,IF(LEFT(TRIM(Paramètres!O14),1)="F",1,0)))))))</f>
        <v/>
      </c>
      <c r="F1526" s="19">
        <f>IF($A1526="","",E1526+$H1526-1)</f>
        <v/>
      </c>
      <c r="G1526" s="18" t="n"/>
      <c r="H1526" s="18">
        <f>IF($A1526="","",IF(I1526&lt;&gt;"",I1526,Paramètres!B14))</f>
        <v/>
      </c>
      <c r="I1526" s="18" t="n"/>
    </row>
    <row r="1527">
      <c r="A1527" s="18">
        <f>IF(ISNUMBER(Dossiers!$D$32),Dossiers!$A$32&amp;" · "&amp;Dossiers!$B$32,"")</f>
        <v/>
      </c>
      <c r="B1527" s="18">
        <f>IF($A1527="","",Paramètres!G15)</f>
        <v/>
      </c>
      <c r="C1527" s="18">
        <f>IF($A1527="","",IF(Paramètres!H15="","",Paramètres!H15))</f>
        <v/>
      </c>
      <c r="D1527" s="18">
        <f>IF($A1527="","",IF(Paramètres!I15="","",Paramètres!I15))</f>
        <v/>
      </c>
      <c r="E1527" s="19">
        <f>IF($A1527="","",MIN(E1528:E1543))</f>
        <v/>
      </c>
      <c r="F1527" s="19">
        <f>IF($A1527="","",MAX(F1528:F1543))</f>
        <v/>
      </c>
      <c r="G1527" s="18" t="n"/>
      <c r="H1527" s="18">
        <f>IF($A1527="","",F1527-E1527+1)</f>
        <v/>
      </c>
      <c r="I1527" s="18" t="n"/>
    </row>
    <row r="1528">
      <c r="A1528" s="18">
        <f>IF(ISNUMBER(Dossiers!$D$32),Dossiers!$A$32&amp;" · "&amp;Dossiers!$B$32,"")</f>
        <v/>
      </c>
      <c r="B1528" s="18">
        <f>IF($A1528="","",Paramètres!G16)</f>
        <v/>
      </c>
      <c r="C1528" s="18">
        <f>IF($A1528="","",IF(Paramètres!H16="","",Paramètres!H16))</f>
        <v/>
      </c>
      <c r="D1528" s="18">
        <f>IF($A1528="","",IF(Paramètres!I16="","",Paramètres!I16))</f>
        <v/>
      </c>
      <c r="E1528" s="19">
        <f>IF($A1528="","",IF(Paramètres!J16&amp;Paramètres!L16&amp;Paramètres!N16="",Dossiers!$D$32,MAX(IF(Paramètres!J16="",0,IF(Paramètres!K16="",NA(),IF(LEFT(TRIM(Paramètres!K16),1)="F",INDEX($F$1517:$F$1569,MATCH(Paramètres!J16,Paramètres!$G$5:$G$57,0)),INDEX($E$1517:$E$1569,MATCH(Paramètres!J16,Paramètres!$G$5:$G$57,0)))+IF(RIGHT(TRIM(Paramètres!K16),3)="Fin",1-$H1528,IF(LEFT(TRIM(Paramètres!K16),1)="F",1,0)))),IF(Paramètres!L16="",0,IF(Paramètres!M16="",NA(),IF(LEFT(TRIM(Paramètres!M16),1)="F",INDEX($F$1517:$F$1569,MATCH(Paramètres!L16,Paramètres!$G$5:$G$57,0)),INDEX($E$1517:$E$1569,MATCH(Paramètres!L16,Paramètres!$G$5:$G$57,0)))+IF(RIGHT(TRIM(Paramètres!M16),3)="Fin",1-$H1528,IF(LEFT(TRIM(Paramètres!M16),1)="F",1,0)))),IF(Paramètres!N16="",0,IF(Paramètres!O16="",NA(),IF(LEFT(TRIM(Paramètres!O16),1)="F",INDEX($F$1517:$F$1569,MATCH(Paramètres!N16,Paramètres!$G$5:$G$57,0)),INDEX($E$1517:$E$1569,MATCH(Paramètres!N16,Paramètres!$G$5:$G$57,0)))+IF(RIGHT(TRIM(Paramètres!O16),3)="Fin",1-$H1528,IF(LEFT(TRIM(Paramètres!O16),1)="F",1,0)))))))</f>
        <v/>
      </c>
      <c r="F1528" s="19">
        <f>IF($A1528="","",E1528+$H1528-1)</f>
        <v/>
      </c>
      <c r="G1528" s="18" t="n"/>
      <c r="H1528" s="18">
        <f>IF($A1528="","",IF(I1528&lt;&gt;"",I1528,Paramètres!B16))</f>
        <v/>
      </c>
      <c r="I1528" s="18" t="n"/>
    </row>
    <row r="1529">
      <c r="A1529" s="18">
        <f>IF(ISNUMBER(Dossiers!$D$32),Dossiers!$A$32&amp;" · "&amp;Dossiers!$B$32,"")</f>
        <v/>
      </c>
      <c r="B1529" s="18">
        <f>IF($A1529="","",Paramètres!G17)</f>
        <v/>
      </c>
      <c r="C1529" s="18">
        <f>IF($A1529="","",IF(Paramètres!H17="","",Paramètres!H17))</f>
        <v/>
      </c>
      <c r="D1529" s="18">
        <f>IF($A1529="","",IF(Paramètres!I17="","",Paramètres!I17))</f>
        <v/>
      </c>
      <c r="E1529" s="19">
        <f>IF($A1529="","",IF(Paramètres!J17&amp;Paramètres!L17&amp;Paramètres!N17="",Dossiers!$D$32,MAX(IF(Paramètres!J17="",0,IF(Paramètres!K17="",NA(),IF(LEFT(TRIM(Paramètres!K17),1)="F",INDEX($F$1517:$F$1569,MATCH(Paramètres!J17,Paramètres!$G$5:$G$57,0)),INDEX($E$1517:$E$1569,MATCH(Paramètres!J17,Paramètres!$G$5:$G$57,0)))+IF(RIGHT(TRIM(Paramètres!K17),3)="Fin",1-$H1529,IF(LEFT(TRIM(Paramètres!K17),1)="F",1,0)))),IF(Paramètres!L17="",0,IF(Paramètres!M17="",NA(),IF(LEFT(TRIM(Paramètres!M17),1)="F",INDEX($F$1517:$F$1569,MATCH(Paramètres!L17,Paramètres!$G$5:$G$57,0)),INDEX($E$1517:$E$1569,MATCH(Paramètres!L17,Paramètres!$G$5:$G$57,0)))+IF(RIGHT(TRIM(Paramètres!M17),3)="Fin",1-$H1529,IF(LEFT(TRIM(Paramètres!M17),1)="F",1,0)))),IF(Paramètres!N17="",0,IF(Paramètres!O17="",NA(),IF(LEFT(TRIM(Paramètres!O17),1)="F",INDEX($F$1517:$F$1569,MATCH(Paramètres!N17,Paramètres!$G$5:$G$57,0)),INDEX($E$1517:$E$1569,MATCH(Paramètres!N17,Paramètres!$G$5:$G$57,0)))+IF(RIGHT(TRIM(Paramètres!O17),3)="Fin",1-$H1529,IF(LEFT(TRIM(Paramètres!O17),1)="F",1,0)))))))</f>
        <v/>
      </c>
      <c r="F1529" s="19">
        <f>IF($A1529="","",E1529+$H1529-1)</f>
        <v/>
      </c>
      <c r="G1529" s="18" t="n"/>
      <c r="H1529" s="18">
        <f>IF($A1529="","",IF(I1529&lt;&gt;"",I1529,Paramètres!B17))</f>
        <v/>
      </c>
      <c r="I1529" s="18" t="n"/>
    </row>
    <row r="1530">
      <c r="A1530" s="18">
        <f>IF(ISNUMBER(Dossiers!$D$32),Dossiers!$A$32&amp;" · "&amp;Dossiers!$B$32,"")</f>
        <v/>
      </c>
      <c r="B1530" s="18">
        <f>IF($A1530="","",Paramètres!G18)</f>
        <v/>
      </c>
      <c r="C1530" s="18">
        <f>IF($A1530="","",IF(Paramètres!H18="","",Paramètres!H18))</f>
        <v/>
      </c>
      <c r="D1530" s="18">
        <f>IF($A1530="","",IF(Paramètres!I18="","",Paramètres!I18))</f>
        <v/>
      </c>
      <c r="E1530" s="19">
        <f>IF($A1530="","",IF(Paramètres!J18&amp;Paramètres!L18&amp;Paramètres!N18="",Dossiers!$D$32,MAX(IF(Paramètres!J18="",0,IF(Paramètres!K18="",NA(),IF(LEFT(TRIM(Paramètres!K18),1)="F",INDEX($F$1517:$F$1569,MATCH(Paramètres!J18,Paramètres!$G$5:$G$57,0)),INDEX($E$1517:$E$1569,MATCH(Paramètres!J18,Paramètres!$G$5:$G$57,0)))+IF(RIGHT(TRIM(Paramètres!K18),3)="Fin",1-$H1530,IF(LEFT(TRIM(Paramètres!K18),1)="F",1,0)))),IF(Paramètres!L18="",0,IF(Paramètres!M18="",NA(),IF(LEFT(TRIM(Paramètres!M18),1)="F",INDEX($F$1517:$F$1569,MATCH(Paramètres!L18,Paramètres!$G$5:$G$57,0)),INDEX($E$1517:$E$1569,MATCH(Paramètres!L18,Paramètres!$G$5:$G$57,0)))+IF(RIGHT(TRIM(Paramètres!M18),3)="Fin",1-$H1530,IF(LEFT(TRIM(Paramètres!M18),1)="F",1,0)))),IF(Paramètres!N18="",0,IF(Paramètres!O18="",NA(),IF(LEFT(TRIM(Paramètres!O18),1)="F",INDEX($F$1517:$F$1569,MATCH(Paramètres!N18,Paramètres!$G$5:$G$57,0)),INDEX($E$1517:$E$1569,MATCH(Paramètres!N18,Paramètres!$G$5:$G$57,0)))+IF(RIGHT(TRIM(Paramètres!O18),3)="Fin",1-$H1530,IF(LEFT(TRIM(Paramètres!O18),1)="F",1,0)))))))</f>
        <v/>
      </c>
      <c r="F1530" s="19">
        <f>IF($A1530="","",E1530+$H1530-1)</f>
        <v/>
      </c>
      <c r="G1530" s="18" t="n"/>
      <c r="H1530" s="18">
        <f>IF($A1530="","",IF(I1530&lt;&gt;"",I1530,Paramètres!B18))</f>
        <v/>
      </c>
      <c r="I1530" s="18" t="n"/>
    </row>
    <row r="1531">
      <c r="A1531" s="18">
        <f>IF(ISNUMBER(Dossiers!$D$32),Dossiers!$A$32&amp;" · "&amp;Dossiers!$B$32,"")</f>
        <v/>
      </c>
      <c r="B1531" s="18">
        <f>IF($A1531="","",Paramètres!G19)</f>
        <v/>
      </c>
      <c r="C1531" s="18">
        <f>IF($A1531="","",IF(Paramètres!H19="","",Paramètres!H19))</f>
        <v/>
      </c>
      <c r="D1531" s="18">
        <f>IF($A1531="","",IF(Paramètres!I19="","",Paramètres!I19))</f>
        <v/>
      </c>
      <c r="E1531" s="19">
        <f>IF($A1531="","",IF(Paramètres!J19&amp;Paramètres!L19&amp;Paramètres!N19="",Dossiers!$D$32,MAX(IF(Paramètres!J19="",0,IF(Paramètres!K19="",NA(),IF(LEFT(TRIM(Paramètres!K19),1)="F",INDEX($F$1517:$F$1569,MATCH(Paramètres!J19,Paramètres!$G$5:$G$57,0)),INDEX($E$1517:$E$1569,MATCH(Paramètres!J19,Paramètres!$G$5:$G$57,0)))+IF(RIGHT(TRIM(Paramètres!K19),3)="Fin",1-$H1531,IF(LEFT(TRIM(Paramètres!K19),1)="F",1,0)))),IF(Paramètres!L19="",0,IF(Paramètres!M19="",NA(),IF(LEFT(TRIM(Paramètres!M19),1)="F",INDEX($F$1517:$F$1569,MATCH(Paramètres!L19,Paramètres!$G$5:$G$57,0)),INDEX($E$1517:$E$1569,MATCH(Paramètres!L19,Paramètres!$G$5:$G$57,0)))+IF(RIGHT(TRIM(Paramètres!M19),3)="Fin",1-$H1531,IF(LEFT(TRIM(Paramètres!M19),1)="F",1,0)))),IF(Paramètres!N19="",0,IF(Paramètres!O19="",NA(),IF(LEFT(TRIM(Paramètres!O19),1)="F",INDEX($F$1517:$F$1569,MATCH(Paramètres!N19,Paramètres!$G$5:$G$57,0)),INDEX($E$1517:$E$1569,MATCH(Paramètres!N19,Paramètres!$G$5:$G$57,0)))+IF(RIGHT(TRIM(Paramètres!O19),3)="Fin",1-$H1531,IF(LEFT(TRIM(Paramètres!O19),1)="F",1,0)))))))</f>
        <v/>
      </c>
      <c r="F1531" s="19">
        <f>IF($A1531="","",E1531+$H1531-1)</f>
        <v/>
      </c>
      <c r="G1531" s="18" t="n"/>
      <c r="H1531" s="18">
        <f>IF($A1531="","",IF(I1531&lt;&gt;"",I1531,Paramètres!B19))</f>
        <v/>
      </c>
      <c r="I1531" s="18" t="n"/>
    </row>
    <row r="1532">
      <c r="A1532" s="18">
        <f>IF(ISNUMBER(Dossiers!$D$32),Dossiers!$A$32&amp;" · "&amp;Dossiers!$B$32,"")</f>
        <v/>
      </c>
      <c r="B1532" s="18">
        <f>IF($A1532="","",Paramètres!G20)</f>
        <v/>
      </c>
      <c r="C1532" s="18">
        <f>IF($A1532="","",IF(Paramètres!H20="","",Paramètres!H20))</f>
        <v/>
      </c>
      <c r="D1532" s="18">
        <f>IF($A1532="","",IF(Paramètres!I20="","",Paramètres!I20))</f>
        <v/>
      </c>
      <c r="E1532" s="19">
        <f>IF($A1532="","",IF(Paramètres!J20&amp;Paramètres!L20&amp;Paramètres!N20="",Dossiers!$D$32,MAX(IF(Paramètres!J20="",0,IF(Paramètres!K20="",NA(),IF(LEFT(TRIM(Paramètres!K20),1)="F",INDEX($F$1517:$F$1569,MATCH(Paramètres!J20,Paramètres!$G$5:$G$57,0)),INDEX($E$1517:$E$1569,MATCH(Paramètres!J20,Paramètres!$G$5:$G$57,0)))+IF(RIGHT(TRIM(Paramètres!K20),3)="Fin",1-$H1532,IF(LEFT(TRIM(Paramètres!K20),1)="F",1,0)))),IF(Paramètres!L20="",0,IF(Paramètres!M20="",NA(),IF(LEFT(TRIM(Paramètres!M20),1)="F",INDEX($F$1517:$F$1569,MATCH(Paramètres!L20,Paramètres!$G$5:$G$57,0)),INDEX($E$1517:$E$1569,MATCH(Paramètres!L20,Paramètres!$G$5:$G$57,0)))+IF(RIGHT(TRIM(Paramètres!M20),3)="Fin",1-$H1532,IF(LEFT(TRIM(Paramètres!M20),1)="F",1,0)))),IF(Paramètres!N20="",0,IF(Paramètres!O20="",NA(),IF(LEFT(TRIM(Paramètres!O20),1)="F",INDEX($F$1517:$F$1569,MATCH(Paramètres!N20,Paramètres!$G$5:$G$57,0)),INDEX($E$1517:$E$1569,MATCH(Paramètres!N20,Paramètres!$G$5:$G$57,0)))+IF(RIGHT(TRIM(Paramètres!O20),3)="Fin",1-$H1532,IF(LEFT(TRIM(Paramètres!O20),1)="F",1,0)))))))</f>
        <v/>
      </c>
      <c r="F1532" s="19">
        <f>IF($A1532="","",E1532+$H1532-1)</f>
        <v/>
      </c>
      <c r="G1532" s="18" t="n"/>
      <c r="H1532" s="18">
        <f>IF($A1532="","",IF(I1532&lt;&gt;"",I1532,Paramètres!B20))</f>
        <v/>
      </c>
      <c r="I1532" s="18" t="n"/>
    </row>
    <row r="1533">
      <c r="A1533" s="18">
        <f>IF(ISNUMBER(Dossiers!$D$32),Dossiers!$A$32&amp;" · "&amp;Dossiers!$B$32,"")</f>
        <v/>
      </c>
      <c r="B1533" s="18">
        <f>IF($A1533="","",Paramètres!G21)</f>
        <v/>
      </c>
      <c r="C1533" s="18">
        <f>IF($A1533="","",IF(Paramètres!H21="","",Paramètres!H21))</f>
        <v/>
      </c>
      <c r="D1533" s="18">
        <f>IF($A1533="","",IF(Paramètres!I21="","",Paramètres!I21))</f>
        <v/>
      </c>
      <c r="E1533" s="19">
        <f>IF($A1533="","",IF(Paramètres!J21&amp;Paramètres!L21&amp;Paramètres!N21="",Dossiers!$D$32,MAX(IF(Paramètres!J21="",0,IF(Paramètres!K21="",NA(),IF(LEFT(TRIM(Paramètres!K21),1)="F",INDEX($F$1517:$F$1569,MATCH(Paramètres!J21,Paramètres!$G$5:$G$57,0)),INDEX($E$1517:$E$1569,MATCH(Paramètres!J21,Paramètres!$G$5:$G$57,0)))+IF(RIGHT(TRIM(Paramètres!K21),3)="Fin",1-$H1533,IF(LEFT(TRIM(Paramètres!K21),1)="F",1,0)))),IF(Paramètres!L21="",0,IF(Paramètres!M21="",NA(),IF(LEFT(TRIM(Paramètres!M21),1)="F",INDEX($F$1517:$F$1569,MATCH(Paramètres!L21,Paramètres!$G$5:$G$57,0)),INDEX($E$1517:$E$1569,MATCH(Paramètres!L21,Paramètres!$G$5:$G$57,0)))+IF(RIGHT(TRIM(Paramètres!M21),3)="Fin",1-$H1533,IF(LEFT(TRIM(Paramètres!M21),1)="F",1,0)))),IF(Paramètres!N21="",0,IF(Paramètres!O21="",NA(),IF(LEFT(TRIM(Paramètres!O21),1)="F",INDEX($F$1517:$F$1569,MATCH(Paramètres!N21,Paramètres!$G$5:$G$57,0)),INDEX($E$1517:$E$1569,MATCH(Paramètres!N21,Paramètres!$G$5:$G$57,0)))+IF(RIGHT(TRIM(Paramètres!O21),3)="Fin",1-$H1533,IF(LEFT(TRIM(Paramètres!O21),1)="F",1,0)))))))</f>
        <v/>
      </c>
      <c r="F1533" s="19">
        <f>IF($A1533="","",E1533+$H1533-1)</f>
        <v/>
      </c>
      <c r="G1533" s="18" t="n"/>
      <c r="H1533" s="18">
        <f>IF($A1533="","",IF(I1533&lt;&gt;"",I1533,Paramètres!B21))</f>
        <v/>
      </c>
      <c r="I1533" s="18" t="n"/>
    </row>
    <row r="1534">
      <c r="A1534" s="18">
        <f>IF(ISNUMBER(Dossiers!$D$32),Dossiers!$A$32&amp;" · "&amp;Dossiers!$B$32,"")</f>
        <v/>
      </c>
      <c r="B1534" s="18">
        <f>IF($A1534="","",Paramètres!G22)</f>
        <v/>
      </c>
      <c r="C1534" s="18">
        <f>IF($A1534="","",IF(Paramètres!H22="","",Paramètres!H22))</f>
        <v/>
      </c>
      <c r="D1534" s="18">
        <f>IF($A1534="","",IF(Paramètres!I22="","",Paramètres!I22))</f>
        <v/>
      </c>
      <c r="E1534" s="19">
        <f>IF($A1534="","",IF(Paramètres!J22&amp;Paramètres!L22&amp;Paramètres!N22="",Dossiers!$D$32,MAX(IF(Paramètres!J22="",0,IF(Paramètres!K22="",NA(),IF(LEFT(TRIM(Paramètres!K22),1)="F",INDEX($F$1517:$F$1569,MATCH(Paramètres!J22,Paramètres!$G$5:$G$57,0)),INDEX($E$1517:$E$1569,MATCH(Paramètres!J22,Paramètres!$G$5:$G$57,0)))+IF(RIGHT(TRIM(Paramètres!K22),3)="Fin",1-$H1534,IF(LEFT(TRIM(Paramètres!K22),1)="F",1,0)))),IF(Paramètres!L22="",0,IF(Paramètres!M22="",NA(),IF(LEFT(TRIM(Paramètres!M22),1)="F",INDEX($F$1517:$F$1569,MATCH(Paramètres!L22,Paramètres!$G$5:$G$57,0)),INDEX($E$1517:$E$1569,MATCH(Paramètres!L22,Paramètres!$G$5:$G$57,0)))+IF(RIGHT(TRIM(Paramètres!M22),3)="Fin",1-$H1534,IF(LEFT(TRIM(Paramètres!M22),1)="F",1,0)))),IF(Paramètres!N22="",0,IF(Paramètres!O22="",NA(),IF(LEFT(TRIM(Paramètres!O22),1)="F",INDEX($F$1517:$F$1569,MATCH(Paramètres!N22,Paramètres!$G$5:$G$57,0)),INDEX($E$1517:$E$1569,MATCH(Paramètres!N22,Paramètres!$G$5:$G$57,0)))+IF(RIGHT(TRIM(Paramètres!O22),3)="Fin",1-$H1534,IF(LEFT(TRIM(Paramètres!O22),1)="F",1,0)))))))</f>
        <v/>
      </c>
      <c r="F1534" s="19">
        <f>IF($A1534="","",E1534+$H1534-1)</f>
        <v/>
      </c>
      <c r="G1534" s="18" t="n"/>
      <c r="H1534" s="18">
        <f>IF($A1534="","",IF(I1534&lt;&gt;"",I1534,Paramètres!B22))</f>
        <v/>
      </c>
      <c r="I1534" s="18" t="n"/>
    </row>
    <row r="1535">
      <c r="A1535" s="18">
        <f>IF(ISNUMBER(Dossiers!$D$32),Dossiers!$A$32&amp;" · "&amp;Dossiers!$B$32,"")</f>
        <v/>
      </c>
      <c r="B1535" s="18">
        <f>IF($A1535="","",Paramètres!G23)</f>
        <v/>
      </c>
      <c r="C1535" s="18">
        <f>IF($A1535="","",IF(Paramètres!H23="","",Paramètres!H23))</f>
        <v/>
      </c>
      <c r="D1535" s="18">
        <f>IF($A1535="","",IF(Paramètres!I23="","",Paramètres!I23))</f>
        <v/>
      </c>
      <c r="E1535" s="19">
        <f>IF($A1535="","",IF(Paramètres!J23&amp;Paramètres!L23&amp;Paramètres!N23="",Dossiers!$D$32,MAX(IF(Paramètres!J23="",0,IF(Paramètres!K23="",NA(),IF(LEFT(TRIM(Paramètres!K23),1)="F",INDEX($F$1517:$F$1569,MATCH(Paramètres!J23,Paramètres!$G$5:$G$57,0)),INDEX($E$1517:$E$1569,MATCH(Paramètres!J23,Paramètres!$G$5:$G$57,0)))+IF(RIGHT(TRIM(Paramètres!K23),3)="Fin",1-$H1535,IF(LEFT(TRIM(Paramètres!K23),1)="F",1,0)))),IF(Paramètres!L23="",0,IF(Paramètres!M23="",NA(),IF(LEFT(TRIM(Paramètres!M23),1)="F",INDEX($F$1517:$F$1569,MATCH(Paramètres!L23,Paramètres!$G$5:$G$57,0)),INDEX($E$1517:$E$1569,MATCH(Paramètres!L23,Paramètres!$G$5:$G$57,0)))+IF(RIGHT(TRIM(Paramètres!M23),3)="Fin",1-$H1535,IF(LEFT(TRIM(Paramètres!M23),1)="F",1,0)))),IF(Paramètres!N23="",0,IF(Paramètres!O23="",NA(),IF(LEFT(TRIM(Paramètres!O23),1)="F",INDEX($F$1517:$F$1569,MATCH(Paramètres!N23,Paramètres!$G$5:$G$57,0)),INDEX($E$1517:$E$1569,MATCH(Paramètres!N23,Paramètres!$G$5:$G$57,0)))+IF(RIGHT(TRIM(Paramètres!O23),3)="Fin",1-$H1535,IF(LEFT(TRIM(Paramètres!O23),1)="F",1,0)))))))</f>
        <v/>
      </c>
      <c r="F1535" s="19">
        <f>IF($A1535="","",E1535+$H1535-1)</f>
        <v/>
      </c>
      <c r="G1535" s="18" t="n"/>
      <c r="H1535" s="18">
        <f>IF($A1535="","",IF(I1535&lt;&gt;"",I1535,Paramètres!B23))</f>
        <v/>
      </c>
      <c r="I1535" s="18" t="n"/>
    </row>
    <row r="1536">
      <c r="A1536" s="18">
        <f>IF(ISNUMBER(Dossiers!$D$32),Dossiers!$A$32&amp;" · "&amp;Dossiers!$B$32,"")</f>
        <v/>
      </c>
      <c r="B1536" s="18">
        <f>IF($A1536="","",Paramètres!G24)</f>
        <v/>
      </c>
      <c r="C1536" s="18">
        <f>IF($A1536="","",IF(Paramètres!H24="","",Paramètres!H24))</f>
        <v/>
      </c>
      <c r="D1536" s="18">
        <f>IF($A1536="","",IF(Paramètres!I24="","",Paramètres!I24))</f>
        <v/>
      </c>
      <c r="E1536" s="19">
        <f>IF($A1536="","",IF(Paramètres!J24&amp;Paramètres!L24&amp;Paramètres!N24="",Dossiers!$D$32,MAX(IF(Paramètres!J24="",0,IF(Paramètres!K24="",NA(),IF(LEFT(TRIM(Paramètres!K24),1)="F",INDEX($F$1517:$F$1569,MATCH(Paramètres!J24,Paramètres!$G$5:$G$57,0)),INDEX($E$1517:$E$1569,MATCH(Paramètres!J24,Paramètres!$G$5:$G$57,0)))+IF(RIGHT(TRIM(Paramètres!K24),3)="Fin",1-$H1536,IF(LEFT(TRIM(Paramètres!K24),1)="F",1,0)))),IF(Paramètres!L24="",0,IF(Paramètres!M24="",NA(),IF(LEFT(TRIM(Paramètres!M24),1)="F",INDEX($F$1517:$F$1569,MATCH(Paramètres!L24,Paramètres!$G$5:$G$57,0)),INDEX($E$1517:$E$1569,MATCH(Paramètres!L24,Paramètres!$G$5:$G$57,0)))+IF(RIGHT(TRIM(Paramètres!M24),3)="Fin",1-$H1536,IF(LEFT(TRIM(Paramètres!M24),1)="F",1,0)))),IF(Paramètres!N24="",0,IF(Paramètres!O24="",NA(),IF(LEFT(TRIM(Paramètres!O24),1)="F",INDEX($F$1517:$F$1569,MATCH(Paramètres!N24,Paramètres!$G$5:$G$57,0)),INDEX($E$1517:$E$1569,MATCH(Paramètres!N24,Paramètres!$G$5:$G$57,0)))+IF(RIGHT(TRIM(Paramètres!O24),3)="Fin",1-$H1536,IF(LEFT(TRIM(Paramètres!O24),1)="F",1,0)))))))</f>
        <v/>
      </c>
      <c r="F1536" s="19">
        <f>IF($A1536="","",E1536+$H1536-1)</f>
        <v/>
      </c>
      <c r="G1536" s="18" t="n"/>
      <c r="H1536" s="18">
        <f>IF($A1536="","",IF(I1536&lt;&gt;"",I1536,Paramètres!B24))</f>
        <v/>
      </c>
      <c r="I1536" s="18" t="n"/>
    </row>
    <row r="1537">
      <c r="A1537" s="18">
        <f>IF(ISNUMBER(Dossiers!$D$32),Dossiers!$A$32&amp;" · "&amp;Dossiers!$B$32,"")</f>
        <v/>
      </c>
      <c r="B1537" s="18">
        <f>IF($A1537="","",Paramètres!G25)</f>
        <v/>
      </c>
      <c r="C1537" s="18">
        <f>IF($A1537="","",IF(Paramètres!H25="","",Paramètres!H25))</f>
        <v/>
      </c>
      <c r="D1537" s="18">
        <f>IF($A1537="","",IF(Paramètres!I25="","",Paramètres!I25))</f>
        <v/>
      </c>
      <c r="E1537" s="19">
        <f>IF($A1537="","",IF(Paramètres!J25&amp;Paramètres!L25&amp;Paramètres!N25="",Dossiers!$D$32,MAX(IF(Paramètres!J25="",0,IF(Paramètres!K25="",NA(),IF(LEFT(TRIM(Paramètres!K25),1)="F",INDEX($F$1517:$F$1569,MATCH(Paramètres!J25,Paramètres!$G$5:$G$57,0)),INDEX($E$1517:$E$1569,MATCH(Paramètres!J25,Paramètres!$G$5:$G$57,0)))+IF(RIGHT(TRIM(Paramètres!K25),3)="Fin",1-$H1537,IF(LEFT(TRIM(Paramètres!K25),1)="F",1,0)))),IF(Paramètres!L25="",0,IF(Paramètres!M25="",NA(),IF(LEFT(TRIM(Paramètres!M25),1)="F",INDEX($F$1517:$F$1569,MATCH(Paramètres!L25,Paramètres!$G$5:$G$57,0)),INDEX($E$1517:$E$1569,MATCH(Paramètres!L25,Paramètres!$G$5:$G$57,0)))+IF(RIGHT(TRIM(Paramètres!M25),3)="Fin",1-$H1537,IF(LEFT(TRIM(Paramètres!M25),1)="F",1,0)))),IF(Paramètres!N25="",0,IF(Paramètres!O25="",NA(),IF(LEFT(TRIM(Paramètres!O25),1)="F",INDEX($F$1517:$F$1569,MATCH(Paramètres!N25,Paramètres!$G$5:$G$57,0)),INDEX($E$1517:$E$1569,MATCH(Paramètres!N25,Paramètres!$G$5:$G$57,0)))+IF(RIGHT(TRIM(Paramètres!O25),3)="Fin",1-$H1537,IF(LEFT(TRIM(Paramètres!O25),1)="F",1,0)))))))</f>
        <v/>
      </c>
      <c r="F1537" s="19">
        <f>IF($A1537="","",E1537+$H1537-1)</f>
        <v/>
      </c>
      <c r="G1537" s="18" t="n"/>
      <c r="H1537" s="18">
        <f>IF($A1537="","",IF(I1537&lt;&gt;"",I1537,Paramètres!B25))</f>
        <v/>
      </c>
      <c r="I1537" s="18" t="n"/>
    </row>
    <row r="1538">
      <c r="A1538" s="18">
        <f>IF(ISNUMBER(Dossiers!$D$32),Dossiers!$A$32&amp;" · "&amp;Dossiers!$B$32,"")</f>
        <v/>
      </c>
      <c r="B1538" s="18">
        <f>IF($A1538="","",Paramètres!G26)</f>
        <v/>
      </c>
      <c r="C1538" s="18">
        <f>IF($A1538="","",IF(Paramètres!H26="","",Paramètres!H26))</f>
        <v/>
      </c>
      <c r="D1538" s="18">
        <f>IF($A1538="","",IF(Paramètres!I26="","",Paramètres!I26))</f>
        <v/>
      </c>
      <c r="E1538" s="19">
        <f>IF($A1538="","",IF(Paramètres!J26&amp;Paramètres!L26&amp;Paramètres!N26="",Dossiers!$D$32,MAX(IF(Paramètres!J26="",0,IF(Paramètres!K26="",NA(),IF(LEFT(TRIM(Paramètres!K26),1)="F",INDEX($F$1517:$F$1569,MATCH(Paramètres!J26,Paramètres!$G$5:$G$57,0)),INDEX($E$1517:$E$1569,MATCH(Paramètres!J26,Paramètres!$G$5:$G$57,0)))+IF(RIGHT(TRIM(Paramètres!K26),3)="Fin",1-$H1538,IF(LEFT(TRIM(Paramètres!K26),1)="F",1,0)))),IF(Paramètres!L26="",0,IF(Paramètres!M26="",NA(),IF(LEFT(TRIM(Paramètres!M26),1)="F",INDEX($F$1517:$F$1569,MATCH(Paramètres!L26,Paramètres!$G$5:$G$57,0)),INDEX($E$1517:$E$1569,MATCH(Paramètres!L26,Paramètres!$G$5:$G$57,0)))+IF(RIGHT(TRIM(Paramètres!M26),3)="Fin",1-$H1538,IF(LEFT(TRIM(Paramètres!M26),1)="F",1,0)))),IF(Paramètres!N26="",0,IF(Paramètres!O26="",NA(),IF(LEFT(TRIM(Paramètres!O26),1)="F",INDEX($F$1517:$F$1569,MATCH(Paramètres!N26,Paramètres!$G$5:$G$57,0)),INDEX($E$1517:$E$1569,MATCH(Paramètres!N26,Paramètres!$G$5:$G$57,0)))+IF(RIGHT(TRIM(Paramètres!O26),3)="Fin",1-$H1538,IF(LEFT(TRIM(Paramètres!O26),1)="F",1,0)))))))</f>
        <v/>
      </c>
      <c r="F1538" s="19">
        <f>IF($A1538="","",E1538+$H1538-1)</f>
        <v/>
      </c>
      <c r="G1538" s="18" t="n"/>
      <c r="H1538" s="18">
        <f>IF($A1538="","",IF(I1538&lt;&gt;"",I1538,Paramètres!B26))</f>
        <v/>
      </c>
      <c r="I1538" s="18" t="n"/>
    </row>
    <row r="1539">
      <c r="A1539" s="18">
        <f>IF(ISNUMBER(Dossiers!$D$32),Dossiers!$A$32&amp;" · "&amp;Dossiers!$B$32,"")</f>
        <v/>
      </c>
      <c r="B1539" s="18">
        <f>IF($A1539="","",Paramètres!G27)</f>
        <v/>
      </c>
      <c r="C1539" s="18">
        <f>IF($A1539="","",IF(Paramètres!H27="","",Paramètres!H27))</f>
        <v/>
      </c>
      <c r="D1539" s="18">
        <f>IF($A1539="","",IF(Paramètres!I27="","",Paramètres!I27))</f>
        <v/>
      </c>
      <c r="E1539" s="19">
        <f>IF($A1539="","",IF(Paramètres!J27&amp;Paramètres!L27&amp;Paramètres!N27="",Dossiers!$D$32,MAX(IF(Paramètres!J27="",0,IF(Paramètres!K27="",NA(),IF(LEFT(TRIM(Paramètres!K27),1)="F",INDEX($F$1517:$F$1569,MATCH(Paramètres!J27,Paramètres!$G$5:$G$57,0)),INDEX($E$1517:$E$1569,MATCH(Paramètres!J27,Paramètres!$G$5:$G$57,0)))+IF(RIGHT(TRIM(Paramètres!K27),3)="Fin",1-$H1539,IF(LEFT(TRIM(Paramètres!K27),1)="F",1,0)))),IF(Paramètres!L27="",0,IF(Paramètres!M27="",NA(),IF(LEFT(TRIM(Paramètres!M27),1)="F",INDEX($F$1517:$F$1569,MATCH(Paramètres!L27,Paramètres!$G$5:$G$57,0)),INDEX($E$1517:$E$1569,MATCH(Paramètres!L27,Paramètres!$G$5:$G$57,0)))+IF(RIGHT(TRIM(Paramètres!M27),3)="Fin",1-$H1539,IF(LEFT(TRIM(Paramètres!M27),1)="F",1,0)))),IF(Paramètres!N27="",0,IF(Paramètres!O27="",NA(),IF(LEFT(TRIM(Paramètres!O27),1)="F",INDEX($F$1517:$F$1569,MATCH(Paramètres!N27,Paramètres!$G$5:$G$57,0)),INDEX($E$1517:$E$1569,MATCH(Paramètres!N27,Paramètres!$G$5:$G$57,0)))+IF(RIGHT(TRIM(Paramètres!O27),3)="Fin",1-$H1539,IF(LEFT(TRIM(Paramètres!O27),1)="F",1,0)))))))</f>
        <v/>
      </c>
      <c r="F1539" s="19">
        <f>IF($A1539="","",E1539+$H1539-1)</f>
        <v/>
      </c>
      <c r="G1539" s="18" t="n"/>
      <c r="H1539" s="18">
        <f>IF($A1539="","",IF(I1539&lt;&gt;"",I1539,Paramètres!B27))</f>
        <v/>
      </c>
      <c r="I1539" s="18" t="n"/>
    </row>
    <row r="1540">
      <c r="A1540" s="18">
        <f>IF(ISNUMBER(Dossiers!$D$32),Dossiers!$A$32&amp;" · "&amp;Dossiers!$B$32,"")</f>
        <v/>
      </c>
      <c r="B1540" s="18">
        <f>IF($A1540="","",Paramètres!G28)</f>
        <v/>
      </c>
      <c r="C1540" s="18">
        <f>IF($A1540="","",IF(Paramètres!H28="","",Paramètres!H28))</f>
        <v/>
      </c>
      <c r="D1540" s="18">
        <f>IF($A1540="","",IF(Paramètres!I28="","",Paramètres!I28))</f>
        <v/>
      </c>
      <c r="E1540" s="19">
        <f>IF($A1540="","",IF(Paramètres!J28&amp;Paramètres!L28&amp;Paramètres!N28="",Dossiers!$D$32,MAX(IF(Paramètres!J28="",0,IF(Paramètres!K28="",NA(),IF(LEFT(TRIM(Paramètres!K28),1)="F",INDEX($F$1517:$F$1569,MATCH(Paramètres!J28,Paramètres!$G$5:$G$57,0)),INDEX($E$1517:$E$1569,MATCH(Paramètres!J28,Paramètres!$G$5:$G$57,0)))+IF(RIGHT(TRIM(Paramètres!K28),3)="Fin",1-$H1540,IF(LEFT(TRIM(Paramètres!K28),1)="F",1,0)))),IF(Paramètres!L28="",0,IF(Paramètres!M28="",NA(),IF(LEFT(TRIM(Paramètres!M28),1)="F",INDEX($F$1517:$F$1569,MATCH(Paramètres!L28,Paramètres!$G$5:$G$57,0)),INDEX($E$1517:$E$1569,MATCH(Paramètres!L28,Paramètres!$G$5:$G$57,0)))+IF(RIGHT(TRIM(Paramètres!M28),3)="Fin",1-$H1540,IF(LEFT(TRIM(Paramètres!M28),1)="F",1,0)))),IF(Paramètres!N28="",0,IF(Paramètres!O28="",NA(),IF(LEFT(TRIM(Paramètres!O28),1)="F",INDEX($F$1517:$F$1569,MATCH(Paramètres!N28,Paramètres!$G$5:$G$57,0)),INDEX($E$1517:$E$1569,MATCH(Paramètres!N28,Paramètres!$G$5:$G$57,0)))+IF(RIGHT(TRIM(Paramètres!O28),3)="Fin",1-$H1540,IF(LEFT(TRIM(Paramètres!O28),1)="F",1,0)))))))</f>
        <v/>
      </c>
      <c r="F1540" s="19">
        <f>IF($A1540="","",E1540+$H1540-1)</f>
        <v/>
      </c>
      <c r="G1540" s="18" t="n"/>
      <c r="H1540" s="18">
        <f>IF($A1540="","",IF(I1540&lt;&gt;"",I1540,Paramètres!B28))</f>
        <v/>
      </c>
      <c r="I1540" s="18" t="n"/>
    </row>
    <row r="1541">
      <c r="A1541" s="18">
        <f>IF(ISNUMBER(Dossiers!$D$32),Dossiers!$A$32&amp;" · "&amp;Dossiers!$B$32,"")</f>
        <v/>
      </c>
      <c r="B1541" s="18">
        <f>IF($A1541="","",Paramètres!G29)</f>
        <v/>
      </c>
      <c r="C1541" s="18">
        <f>IF($A1541="","",IF(Paramètres!H29="","",Paramètres!H29))</f>
        <v/>
      </c>
      <c r="D1541" s="18">
        <f>IF($A1541="","",IF(Paramètres!I29="","",Paramètres!I29))</f>
        <v/>
      </c>
      <c r="E1541" s="19">
        <f>IF($A1541="","",IF(Paramètres!J29&amp;Paramètres!L29&amp;Paramètres!N29="",Dossiers!$D$32,MAX(IF(Paramètres!J29="",0,IF(Paramètres!K29="",NA(),IF(LEFT(TRIM(Paramètres!K29),1)="F",INDEX($F$1517:$F$1569,MATCH(Paramètres!J29,Paramètres!$G$5:$G$57,0)),INDEX($E$1517:$E$1569,MATCH(Paramètres!J29,Paramètres!$G$5:$G$57,0)))+IF(RIGHT(TRIM(Paramètres!K29),3)="Fin",1-$H1541,IF(LEFT(TRIM(Paramètres!K29),1)="F",1,0)))),IF(Paramètres!L29="",0,IF(Paramètres!M29="",NA(),IF(LEFT(TRIM(Paramètres!M29),1)="F",INDEX($F$1517:$F$1569,MATCH(Paramètres!L29,Paramètres!$G$5:$G$57,0)),INDEX($E$1517:$E$1569,MATCH(Paramètres!L29,Paramètres!$G$5:$G$57,0)))+IF(RIGHT(TRIM(Paramètres!M29),3)="Fin",1-$H1541,IF(LEFT(TRIM(Paramètres!M29),1)="F",1,0)))),IF(Paramètres!N29="",0,IF(Paramètres!O29="",NA(),IF(LEFT(TRIM(Paramètres!O29),1)="F",INDEX($F$1517:$F$1569,MATCH(Paramètres!N29,Paramètres!$G$5:$G$57,0)),INDEX($E$1517:$E$1569,MATCH(Paramètres!N29,Paramètres!$G$5:$G$57,0)))+IF(RIGHT(TRIM(Paramètres!O29),3)="Fin",1-$H1541,IF(LEFT(TRIM(Paramètres!O29),1)="F",1,0)))))))</f>
        <v/>
      </c>
      <c r="F1541" s="19">
        <f>IF($A1541="","",E1541+$H1541-1)</f>
        <v/>
      </c>
      <c r="G1541" s="18" t="n"/>
      <c r="H1541" s="18">
        <f>IF($A1541="","",IF(I1541&lt;&gt;"",I1541,Paramètres!B29))</f>
        <v/>
      </c>
      <c r="I1541" s="18" t="n"/>
    </row>
    <row r="1542">
      <c r="A1542" s="18">
        <f>IF(ISNUMBER(Dossiers!$D$32),Dossiers!$A$32&amp;" · "&amp;Dossiers!$B$32,"")</f>
        <v/>
      </c>
      <c r="B1542" s="18">
        <f>IF($A1542="","",Paramètres!G30)</f>
        <v/>
      </c>
      <c r="C1542" s="18">
        <f>IF($A1542="","",IF(Paramètres!H30="","",Paramètres!H30))</f>
        <v/>
      </c>
      <c r="D1542" s="18">
        <f>IF($A1542="","",IF(Paramètres!I30="","",Paramètres!I30))</f>
        <v/>
      </c>
      <c r="E1542" s="19">
        <f>IF($A1542="","",IF(Paramètres!J30&amp;Paramètres!L30&amp;Paramètres!N30="",Dossiers!$D$32,MAX(IF(Paramètres!J30="",0,IF(Paramètres!K30="",NA(),IF(LEFT(TRIM(Paramètres!K30),1)="F",INDEX($F$1517:$F$1569,MATCH(Paramètres!J30,Paramètres!$G$5:$G$57,0)),INDEX($E$1517:$E$1569,MATCH(Paramètres!J30,Paramètres!$G$5:$G$57,0)))+IF(RIGHT(TRIM(Paramètres!K30),3)="Fin",1-$H1542,IF(LEFT(TRIM(Paramètres!K30),1)="F",1,0)))),IF(Paramètres!L30="",0,IF(Paramètres!M30="",NA(),IF(LEFT(TRIM(Paramètres!M30),1)="F",INDEX($F$1517:$F$1569,MATCH(Paramètres!L30,Paramètres!$G$5:$G$57,0)),INDEX($E$1517:$E$1569,MATCH(Paramètres!L30,Paramètres!$G$5:$G$57,0)))+IF(RIGHT(TRIM(Paramètres!M30),3)="Fin",1-$H1542,IF(LEFT(TRIM(Paramètres!M30),1)="F",1,0)))),IF(Paramètres!N30="",0,IF(Paramètres!O30="",NA(),IF(LEFT(TRIM(Paramètres!O30),1)="F",INDEX($F$1517:$F$1569,MATCH(Paramètres!N30,Paramètres!$G$5:$G$57,0)),INDEX($E$1517:$E$1569,MATCH(Paramètres!N30,Paramètres!$G$5:$G$57,0)))+IF(RIGHT(TRIM(Paramètres!O30),3)="Fin",1-$H1542,IF(LEFT(TRIM(Paramètres!O30),1)="F",1,0)))))))</f>
        <v/>
      </c>
      <c r="F1542" s="19">
        <f>IF($A1542="","",E1542+$H1542-1)</f>
        <v/>
      </c>
      <c r="G1542" s="18" t="n"/>
      <c r="H1542" s="18">
        <f>IF($A1542="","",IF(I1542&lt;&gt;"",I1542,Paramètres!B30))</f>
        <v/>
      </c>
      <c r="I1542" s="18" t="n"/>
    </row>
    <row r="1543">
      <c r="A1543" s="18">
        <f>IF(ISNUMBER(Dossiers!$D$32),Dossiers!$A$32&amp;" · "&amp;Dossiers!$B$32,"")</f>
        <v/>
      </c>
      <c r="B1543" s="18">
        <f>IF($A1543="","",Paramètres!G31)</f>
        <v/>
      </c>
      <c r="C1543" s="20">
        <f>IF($A1543="","",IF(Dossiers!$F$32="","",Dossiers!$F$32))</f>
        <v/>
      </c>
      <c r="D1543" s="18">
        <f>IF($A1543="","",IF(Paramètres!I31="","",Paramètres!I31))</f>
        <v/>
      </c>
      <c r="E1543" s="19">
        <f>IF($A1543="","",IF(Paramètres!J31&amp;Paramètres!L31&amp;Paramètres!N31="",Dossiers!$D$32,MAX(IF(Paramètres!J31="",0,IF(Paramètres!K31="",NA(),IF(LEFT(TRIM(Paramètres!K31),1)="F",INDEX($F$1517:$F$1569,MATCH(Paramètres!J31,Paramètres!$G$5:$G$57,0)),INDEX($E$1517:$E$1569,MATCH(Paramètres!J31,Paramètres!$G$5:$G$57,0)))+IF(RIGHT(TRIM(Paramètres!K31),3)="Fin",1-$H1543,IF(LEFT(TRIM(Paramètres!K31),1)="F",1,0)))),IF(Paramètres!L31="",0,IF(Paramètres!M31="",NA(),IF(LEFT(TRIM(Paramètres!M31),1)="F",INDEX($F$1517:$F$1569,MATCH(Paramètres!L31,Paramètres!$G$5:$G$57,0)),INDEX($E$1517:$E$1569,MATCH(Paramètres!L31,Paramètres!$G$5:$G$57,0)))+IF(RIGHT(TRIM(Paramètres!M31),3)="Fin",1-$H1543,IF(LEFT(TRIM(Paramètres!M31),1)="F",1,0)))),IF(Paramètres!N31="",0,IF(Paramètres!O31="",NA(),IF(LEFT(TRIM(Paramètres!O31),1)="F",INDEX($F$1517:$F$1569,MATCH(Paramètres!N31,Paramètres!$G$5:$G$57,0)),INDEX($E$1517:$E$1569,MATCH(Paramètres!N31,Paramètres!$G$5:$G$57,0)))+IF(RIGHT(TRIM(Paramètres!O31),3)="Fin",1-$H1543,IF(LEFT(TRIM(Paramètres!O31),1)="F",1,0)))))))</f>
        <v/>
      </c>
      <c r="F1543" s="19">
        <f>IF($A1543="","",E1543+$H1543-1)</f>
        <v/>
      </c>
      <c r="G1543" s="18" t="n"/>
      <c r="H1543" s="18">
        <f>IF($A1543="","",IF(I1543&lt;&gt;"",I1543,Paramètres!B31))</f>
        <v/>
      </c>
      <c r="I1543" s="18" t="n"/>
    </row>
    <row r="1544">
      <c r="A1544" s="18">
        <f>IF(ISNUMBER(Dossiers!$D$32),Dossiers!$A$32&amp;" · "&amp;Dossiers!$B$32,"")</f>
        <v/>
      </c>
      <c r="B1544" s="18">
        <f>IF($A1544="","",Paramètres!G32)</f>
        <v/>
      </c>
      <c r="C1544" s="18">
        <f>IF($A1544="","",IF(Paramètres!H32="","",Paramètres!H32))</f>
        <v/>
      </c>
      <c r="D1544" s="18">
        <f>IF($A1544="","",IF(Paramètres!I32="","",Paramètres!I32))</f>
        <v/>
      </c>
      <c r="E1544" s="19">
        <f>IF($A1544="","",MIN(E1545:E1548))</f>
        <v/>
      </c>
      <c r="F1544" s="19">
        <f>IF($A1544="","",MAX(F1545:F1548))</f>
        <v/>
      </c>
      <c r="G1544" s="18" t="n"/>
      <c r="H1544" s="18">
        <f>IF($A1544="","",F1544-E1544+1)</f>
        <v/>
      </c>
      <c r="I1544" s="18" t="n"/>
    </row>
    <row r="1545">
      <c r="A1545" s="18">
        <f>IF(ISNUMBER(Dossiers!$D$32),Dossiers!$A$32&amp;" · "&amp;Dossiers!$B$32,"")</f>
        <v/>
      </c>
      <c r="B1545" s="18">
        <f>IF($A1545="","",Paramètres!G33)</f>
        <v/>
      </c>
      <c r="C1545" s="18">
        <f>IF($A1545="","",IF(Paramètres!H33="","",Paramètres!H33))</f>
        <v/>
      </c>
      <c r="D1545" s="18">
        <f>IF($A1545="","",IF(Paramètres!I33="","",Paramètres!I33))</f>
        <v/>
      </c>
      <c r="E1545" s="19">
        <f>IF($A1545="","",IF(Paramètres!J33&amp;Paramètres!L33&amp;Paramètres!N33="",Dossiers!$D$32,MAX(IF(Paramètres!J33="",0,IF(Paramètres!K33="",NA(),IF(LEFT(TRIM(Paramètres!K33),1)="F",INDEX($F$1517:$F$1569,MATCH(Paramètres!J33,Paramètres!$G$5:$G$57,0)),INDEX($E$1517:$E$1569,MATCH(Paramètres!J33,Paramètres!$G$5:$G$57,0)))+IF(RIGHT(TRIM(Paramètres!K33),3)="Fin",1-$H1545,IF(LEFT(TRIM(Paramètres!K33),1)="F",1,0)))),IF(Paramètres!L33="",0,IF(Paramètres!M33="",NA(),IF(LEFT(TRIM(Paramètres!M33),1)="F",INDEX($F$1517:$F$1569,MATCH(Paramètres!L33,Paramètres!$G$5:$G$57,0)),INDEX($E$1517:$E$1569,MATCH(Paramètres!L33,Paramètres!$G$5:$G$57,0)))+IF(RIGHT(TRIM(Paramètres!M33),3)="Fin",1-$H1545,IF(LEFT(TRIM(Paramètres!M33),1)="F",1,0)))),IF(Paramètres!N33="",0,IF(Paramètres!O33="",NA(),IF(LEFT(TRIM(Paramètres!O33),1)="F",INDEX($F$1517:$F$1569,MATCH(Paramètres!N33,Paramètres!$G$5:$G$57,0)),INDEX($E$1517:$E$1569,MATCH(Paramètres!N33,Paramètres!$G$5:$G$57,0)))+IF(RIGHT(TRIM(Paramètres!O33),3)="Fin",1-$H1545,IF(LEFT(TRIM(Paramètres!O33),1)="F",1,0)))))))</f>
        <v/>
      </c>
      <c r="F1545" s="19">
        <f>IF($A1545="","",E1545+$H1545-1)</f>
        <v/>
      </c>
      <c r="G1545" s="18" t="n"/>
      <c r="H1545" s="18">
        <f>IF($A1545="","",IF(I1545&lt;&gt;"",I1545,Paramètres!B33))</f>
        <v/>
      </c>
      <c r="I1545" s="18" t="n"/>
    </row>
    <row r="1546">
      <c r="A1546" s="18">
        <f>IF(ISNUMBER(Dossiers!$D$32),Dossiers!$A$32&amp;" · "&amp;Dossiers!$B$32,"")</f>
        <v/>
      </c>
      <c r="B1546" s="18">
        <f>IF($A1546="","",Paramètres!G34)</f>
        <v/>
      </c>
      <c r="C1546" s="18">
        <f>IF($A1546="","",IF(Paramètres!H34="","",Paramètres!H34))</f>
        <v/>
      </c>
      <c r="D1546" s="18">
        <f>IF($A1546="","",IF(Paramètres!I34="","",Paramètres!I34))</f>
        <v/>
      </c>
      <c r="E1546" s="19">
        <f>IF($A1546="","",IF(Paramètres!J34&amp;Paramètres!L34&amp;Paramètres!N34="",Dossiers!$D$32,MAX(IF(Paramètres!J34="",0,IF(Paramètres!K34="",NA(),IF(LEFT(TRIM(Paramètres!K34),1)="F",INDEX($F$1517:$F$1569,MATCH(Paramètres!J34,Paramètres!$G$5:$G$57,0)),INDEX($E$1517:$E$1569,MATCH(Paramètres!J34,Paramètres!$G$5:$G$57,0)))+IF(RIGHT(TRIM(Paramètres!K34),3)="Fin",1-$H1546,IF(LEFT(TRIM(Paramètres!K34),1)="F",1,0)))),IF(Paramètres!L34="",0,IF(Paramètres!M34="",NA(),IF(LEFT(TRIM(Paramètres!M34),1)="F",INDEX($F$1517:$F$1569,MATCH(Paramètres!L34,Paramètres!$G$5:$G$57,0)),INDEX($E$1517:$E$1569,MATCH(Paramètres!L34,Paramètres!$G$5:$G$57,0)))+IF(RIGHT(TRIM(Paramètres!M34),3)="Fin",1-$H1546,IF(LEFT(TRIM(Paramètres!M34),1)="F",1,0)))),IF(Paramètres!N34="",0,IF(Paramètres!O34="",NA(),IF(LEFT(TRIM(Paramètres!O34),1)="F",INDEX($F$1517:$F$1569,MATCH(Paramètres!N34,Paramètres!$G$5:$G$57,0)),INDEX($E$1517:$E$1569,MATCH(Paramètres!N34,Paramètres!$G$5:$G$57,0)))+IF(RIGHT(TRIM(Paramètres!O34),3)="Fin",1-$H1546,IF(LEFT(TRIM(Paramètres!O34),1)="F",1,0)))))))</f>
        <v/>
      </c>
      <c r="F1546" s="19">
        <f>IF($A1546="","",E1546+$H1546-1)</f>
        <v/>
      </c>
      <c r="G1546" s="18" t="n"/>
      <c r="H1546" s="18">
        <f>IF($A1546="","",IF(I1546&lt;&gt;"",I1546,Paramètres!B34))</f>
        <v/>
      </c>
      <c r="I1546" s="18" t="n"/>
    </row>
    <row r="1547">
      <c r="A1547" s="18">
        <f>IF(ISNUMBER(Dossiers!$D$32),Dossiers!$A$32&amp;" · "&amp;Dossiers!$B$32,"")</f>
        <v/>
      </c>
      <c r="B1547" s="18">
        <f>IF($A1547="","",Paramètres!G35)</f>
        <v/>
      </c>
      <c r="C1547" s="18">
        <f>IF($A1547="","",IF(Paramètres!H35="","",Paramètres!H35))</f>
        <v/>
      </c>
      <c r="D1547" s="18">
        <f>IF($A1547="","",IF(Paramètres!I35="","",Paramètres!I35))</f>
        <v/>
      </c>
      <c r="E1547" s="19">
        <f>IF($A1547="","",IF(Paramètres!J35&amp;Paramètres!L35&amp;Paramètres!N35="",Dossiers!$D$32,MAX(IF(Paramètres!J35="",0,IF(Paramètres!K35="",NA(),IF(LEFT(TRIM(Paramètres!K35),1)="F",INDEX($F$1517:$F$1569,MATCH(Paramètres!J35,Paramètres!$G$5:$G$57,0)),INDEX($E$1517:$E$1569,MATCH(Paramètres!J35,Paramètres!$G$5:$G$57,0)))+IF(RIGHT(TRIM(Paramètres!K35),3)="Fin",1-$H1547,IF(LEFT(TRIM(Paramètres!K35),1)="F",1,0)))),IF(Paramètres!L35="",0,IF(Paramètres!M35="",NA(),IF(LEFT(TRIM(Paramètres!M35),1)="F",INDEX($F$1517:$F$1569,MATCH(Paramètres!L35,Paramètres!$G$5:$G$57,0)),INDEX($E$1517:$E$1569,MATCH(Paramètres!L35,Paramètres!$G$5:$G$57,0)))+IF(RIGHT(TRIM(Paramètres!M35),3)="Fin",1-$H1547,IF(LEFT(TRIM(Paramètres!M35),1)="F",1,0)))),IF(Paramètres!N35="",0,IF(Paramètres!O35="",NA(),IF(LEFT(TRIM(Paramètres!O35),1)="F",INDEX($F$1517:$F$1569,MATCH(Paramètres!N35,Paramètres!$G$5:$G$57,0)),INDEX($E$1517:$E$1569,MATCH(Paramètres!N35,Paramètres!$G$5:$G$57,0)))+IF(RIGHT(TRIM(Paramètres!O35),3)="Fin",1-$H1547,IF(LEFT(TRIM(Paramètres!O35),1)="F",1,0)))))))</f>
        <v/>
      </c>
      <c r="F1547" s="19">
        <f>IF($A1547="","",E1547+$H1547-1)</f>
        <v/>
      </c>
      <c r="G1547" s="18" t="n"/>
      <c r="H1547" s="18">
        <f>IF($A1547="","",IF(I1547&lt;&gt;"",I1547,Paramètres!B35))</f>
        <v/>
      </c>
      <c r="I1547" s="18" t="n"/>
    </row>
    <row r="1548">
      <c r="A1548" s="18">
        <f>IF(ISNUMBER(Dossiers!$D$32),Dossiers!$A$32&amp;" · "&amp;Dossiers!$B$32,"")</f>
        <v/>
      </c>
      <c r="B1548" s="18">
        <f>IF($A1548="","",Paramètres!G36)</f>
        <v/>
      </c>
      <c r="C1548" s="18">
        <f>IF($A1548="","",IF(Paramètres!H36="","",Paramètres!H36))</f>
        <v/>
      </c>
      <c r="D1548" s="18">
        <f>IF($A1548="","",IF(Paramètres!I36="","",Paramètres!I36))</f>
        <v/>
      </c>
      <c r="E1548" s="19">
        <f>IF($A1548="","",IF(Paramètres!J36&amp;Paramètres!L36&amp;Paramètres!N36="",Dossiers!$D$32,MAX(IF(Paramètres!J36="",0,IF(Paramètres!K36="",NA(),IF(LEFT(TRIM(Paramètres!K36),1)="F",INDEX($F$1517:$F$1569,MATCH(Paramètres!J36,Paramètres!$G$5:$G$57,0)),INDEX($E$1517:$E$1569,MATCH(Paramètres!J36,Paramètres!$G$5:$G$57,0)))+IF(RIGHT(TRIM(Paramètres!K36),3)="Fin",1-$H1548,IF(LEFT(TRIM(Paramètres!K36),1)="F",1,0)))),IF(Paramètres!L36="",0,IF(Paramètres!M36="",NA(),IF(LEFT(TRIM(Paramètres!M36),1)="F",INDEX($F$1517:$F$1569,MATCH(Paramètres!L36,Paramètres!$G$5:$G$57,0)),INDEX($E$1517:$E$1569,MATCH(Paramètres!L36,Paramètres!$G$5:$G$57,0)))+IF(RIGHT(TRIM(Paramètres!M36),3)="Fin",1-$H1548,IF(LEFT(TRIM(Paramètres!M36),1)="F",1,0)))),IF(Paramètres!N36="",0,IF(Paramètres!O36="",NA(),IF(LEFT(TRIM(Paramètres!O36),1)="F",INDEX($F$1517:$F$1569,MATCH(Paramètres!N36,Paramètres!$G$5:$G$57,0)),INDEX($E$1517:$E$1569,MATCH(Paramètres!N36,Paramètres!$G$5:$G$57,0)))+IF(RIGHT(TRIM(Paramètres!O36),3)="Fin",1-$H1548,IF(LEFT(TRIM(Paramètres!O36),1)="F",1,0)))))))</f>
        <v/>
      </c>
      <c r="F1548" s="19">
        <f>IF($A1548="","",E1548+$H1548-1)</f>
        <v/>
      </c>
      <c r="G1548" s="18" t="n"/>
      <c r="H1548" s="18">
        <f>IF($A1548="","",IF(I1548&lt;&gt;"",I1548,Paramètres!B36))</f>
        <v/>
      </c>
      <c r="I1548" s="18" t="n"/>
    </row>
    <row r="1549">
      <c r="A1549" s="18">
        <f>IF(ISNUMBER(Dossiers!$D$32),Dossiers!$A$32&amp;" · "&amp;Dossiers!$B$32,"")</f>
        <v/>
      </c>
      <c r="B1549" s="18">
        <f>IF($A1549="","",Paramètres!G37)</f>
        <v/>
      </c>
      <c r="C1549" s="18">
        <f>IF($A1549="","",IF(Paramètres!H37="","",Paramètres!H37))</f>
        <v/>
      </c>
      <c r="D1549" s="18">
        <f>IF($A1549="","",IF(Paramètres!I37="","",Paramètres!I37))</f>
        <v/>
      </c>
      <c r="E1549" s="19">
        <f>IF($A1549="","",MIN(E1550:E1567))</f>
        <v/>
      </c>
      <c r="F1549" s="19">
        <f>IF($A1549="","",MAX(F1550:F1567))</f>
        <v/>
      </c>
      <c r="G1549" s="18" t="n"/>
      <c r="H1549" s="18">
        <f>IF($A1549="","",F1549-E1549+1)</f>
        <v/>
      </c>
      <c r="I1549" s="18" t="n"/>
    </row>
    <row r="1550">
      <c r="A1550" s="18">
        <f>IF(ISNUMBER(Dossiers!$D$32),Dossiers!$A$32&amp;" · "&amp;Dossiers!$B$32,"")</f>
        <v/>
      </c>
      <c r="B1550" s="18">
        <f>IF($A1550="","",Paramètres!G38)</f>
        <v/>
      </c>
      <c r="C1550" s="18">
        <f>IF($A1550="","",IF(Paramètres!H38="","",Paramètres!H38))</f>
        <v/>
      </c>
      <c r="D1550" s="18">
        <f>IF($A1550="","",IF(Paramètres!I38="","",Paramètres!I38))</f>
        <v/>
      </c>
      <c r="E1550" s="19">
        <f>IF($A1550="","",IF(Paramètres!J38&amp;Paramètres!L38&amp;Paramètres!N38="",Dossiers!$D$32,MAX(IF(Paramètres!J38="",0,IF(Paramètres!K38="",NA(),IF(LEFT(TRIM(Paramètres!K38),1)="F",INDEX($F$1517:$F$1569,MATCH(Paramètres!J38,Paramètres!$G$5:$G$57,0)),INDEX($E$1517:$E$1569,MATCH(Paramètres!J38,Paramètres!$G$5:$G$57,0)))+IF(RIGHT(TRIM(Paramètres!K38),3)="Fin",1-$H1550,IF(LEFT(TRIM(Paramètres!K38),1)="F",1,0)))),IF(Paramètres!L38="",0,IF(Paramètres!M38="",NA(),IF(LEFT(TRIM(Paramètres!M38),1)="F",INDEX($F$1517:$F$1569,MATCH(Paramètres!L38,Paramètres!$G$5:$G$57,0)),INDEX($E$1517:$E$1569,MATCH(Paramètres!L38,Paramètres!$G$5:$G$57,0)))+IF(RIGHT(TRIM(Paramètres!M38),3)="Fin",1-$H1550,IF(LEFT(TRIM(Paramètres!M38),1)="F",1,0)))),IF(Paramètres!N38="",0,IF(Paramètres!O38="",NA(),IF(LEFT(TRIM(Paramètres!O38),1)="F",INDEX($F$1517:$F$1569,MATCH(Paramètres!N38,Paramètres!$G$5:$G$57,0)),INDEX($E$1517:$E$1569,MATCH(Paramètres!N38,Paramètres!$G$5:$G$57,0)))+IF(RIGHT(TRIM(Paramètres!O38),3)="Fin",1-$H1550,IF(LEFT(TRIM(Paramètres!O38),1)="F",1,0)))))))</f>
        <v/>
      </c>
      <c r="F1550" s="19">
        <f>IF($A1550="","",E1550+$H1550-1)</f>
        <v/>
      </c>
      <c r="G1550" s="18" t="n"/>
      <c r="H1550" s="18">
        <f>IF($A1550="","",IF(I1550&lt;&gt;"",I1550,Paramètres!B38))</f>
        <v/>
      </c>
      <c r="I1550" s="18" t="n"/>
    </row>
    <row r="1551">
      <c r="A1551" s="18">
        <f>IF(ISNUMBER(Dossiers!$D$32),Dossiers!$A$32&amp;" · "&amp;Dossiers!$B$32,"")</f>
        <v/>
      </c>
      <c r="B1551" s="18">
        <f>IF($A1551="","",Paramètres!G39)</f>
        <v/>
      </c>
      <c r="C1551" s="18">
        <f>IF($A1551="","",IF(Paramètres!H39="","",Paramètres!H39))</f>
        <v/>
      </c>
      <c r="D1551" s="18">
        <f>IF($A1551="","",IF(Paramètres!I39="","",Paramètres!I39))</f>
        <v/>
      </c>
      <c r="E1551" s="19">
        <f>IF($A1551="","",IF(Paramètres!J39&amp;Paramètres!L39&amp;Paramètres!N39="",Dossiers!$D$32,MAX(IF(Paramètres!J39="",0,IF(Paramètres!K39="",NA(),IF(LEFT(TRIM(Paramètres!K39),1)="F",INDEX($F$1517:$F$1569,MATCH(Paramètres!J39,Paramètres!$G$5:$G$57,0)),INDEX($E$1517:$E$1569,MATCH(Paramètres!J39,Paramètres!$G$5:$G$57,0)))+IF(RIGHT(TRIM(Paramètres!K39),3)="Fin",1-$H1551,IF(LEFT(TRIM(Paramètres!K39),1)="F",1,0)))),IF(Paramètres!L39="",0,IF(Paramètres!M39="",NA(),IF(LEFT(TRIM(Paramètres!M39),1)="F",INDEX($F$1517:$F$1569,MATCH(Paramètres!L39,Paramètres!$G$5:$G$57,0)),INDEX($E$1517:$E$1569,MATCH(Paramètres!L39,Paramètres!$G$5:$G$57,0)))+IF(RIGHT(TRIM(Paramètres!M39),3)="Fin",1-$H1551,IF(LEFT(TRIM(Paramètres!M39),1)="F",1,0)))),IF(Paramètres!N39="",0,IF(Paramètres!O39="",NA(),IF(LEFT(TRIM(Paramètres!O39),1)="F",INDEX($F$1517:$F$1569,MATCH(Paramètres!N39,Paramètres!$G$5:$G$57,0)),INDEX($E$1517:$E$1569,MATCH(Paramètres!N39,Paramètres!$G$5:$G$57,0)))+IF(RIGHT(TRIM(Paramètres!O39),3)="Fin",1-$H1551,IF(LEFT(TRIM(Paramètres!O39),1)="F",1,0)))))))</f>
        <v/>
      </c>
      <c r="F1551" s="19">
        <f>IF($A1551="","",E1551+$H1551-1)</f>
        <v/>
      </c>
      <c r="G1551" s="18" t="n"/>
      <c r="H1551" s="18">
        <f>IF($A1551="","",IF(I1551&lt;&gt;"",I1551,Paramètres!B39))</f>
        <v/>
      </c>
      <c r="I1551" s="18" t="n"/>
    </row>
    <row r="1552">
      <c r="A1552" s="18">
        <f>IF(ISNUMBER(Dossiers!$D$32),Dossiers!$A$32&amp;" · "&amp;Dossiers!$B$32,"")</f>
        <v/>
      </c>
      <c r="B1552" s="18">
        <f>IF($A1552="","",Paramètres!G40)</f>
        <v/>
      </c>
      <c r="C1552" s="18">
        <f>IF($A1552="","",IF(Paramètres!H40="","",Paramètres!H40))</f>
        <v/>
      </c>
      <c r="D1552" s="18">
        <f>IF($A1552="","",IF(Paramètres!I40="","",Paramètres!I40))</f>
        <v/>
      </c>
      <c r="E1552" s="19">
        <f>IF($A1552="","",IF(Paramètres!J40&amp;Paramètres!L40&amp;Paramètres!N40="",Dossiers!$D$32,MAX(IF(Paramètres!J40="",0,IF(Paramètres!K40="",NA(),IF(LEFT(TRIM(Paramètres!K40),1)="F",INDEX($F$1517:$F$1569,MATCH(Paramètres!J40,Paramètres!$G$5:$G$57,0)),INDEX($E$1517:$E$1569,MATCH(Paramètres!J40,Paramètres!$G$5:$G$57,0)))+IF(RIGHT(TRIM(Paramètres!K40),3)="Fin",1-$H1552,IF(LEFT(TRIM(Paramètres!K40),1)="F",1,0)))),IF(Paramètres!L40="",0,IF(Paramètres!M40="",NA(),IF(LEFT(TRIM(Paramètres!M40),1)="F",INDEX($F$1517:$F$1569,MATCH(Paramètres!L40,Paramètres!$G$5:$G$57,0)),INDEX($E$1517:$E$1569,MATCH(Paramètres!L40,Paramètres!$G$5:$G$57,0)))+IF(RIGHT(TRIM(Paramètres!M40),3)="Fin",1-$H1552,IF(LEFT(TRIM(Paramètres!M40),1)="F",1,0)))),IF(Paramètres!N40="",0,IF(Paramètres!O40="",NA(),IF(LEFT(TRIM(Paramètres!O40),1)="F",INDEX($F$1517:$F$1569,MATCH(Paramètres!N40,Paramètres!$G$5:$G$57,0)),INDEX($E$1517:$E$1569,MATCH(Paramètres!N40,Paramètres!$G$5:$G$57,0)))+IF(RIGHT(TRIM(Paramètres!O40),3)="Fin",1-$H1552,IF(LEFT(TRIM(Paramètres!O40),1)="F",1,0)))))))</f>
        <v/>
      </c>
      <c r="F1552" s="19">
        <f>IF($A1552="","",E1552+$H1552-1)</f>
        <v/>
      </c>
      <c r="G1552" s="18" t="n"/>
      <c r="H1552" s="18">
        <f>IF($A1552="","",IF(I1552&lt;&gt;"",I1552,Paramètres!B40))</f>
        <v/>
      </c>
      <c r="I1552" s="18" t="n"/>
    </row>
    <row r="1553">
      <c r="A1553" s="18">
        <f>IF(ISNUMBER(Dossiers!$D$32),Dossiers!$A$32&amp;" · "&amp;Dossiers!$B$32,"")</f>
        <v/>
      </c>
      <c r="B1553" s="18">
        <f>IF($A1553="","",Paramètres!G41)</f>
        <v/>
      </c>
      <c r="C1553" s="18">
        <f>IF($A1553="","",IF(Paramètres!H41="","",Paramètres!H41))</f>
        <v/>
      </c>
      <c r="D1553" s="18">
        <f>IF($A1553="","",IF(Paramètres!I41="","",Paramètres!I41))</f>
        <v/>
      </c>
      <c r="E1553" s="19">
        <f>IF($A1553="","",IF(Paramètres!J41&amp;Paramètres!L41&amp;Paramètres!N41="",Dossiers!$D$32,MAX(IF(Paramètres!J41="",0,IF(Paramètres!K41="",NA(),IF(LEFT(TRIM(Paramètres!K41),1)="F",INDEX($F$1517:$F$1569,MATCH(Paramètres!J41,Paramètres!$G$5:$G$57,0)),INDEX($E$1517:$E$1569,MATCH(Paramètres!J41,Paramètres!$G$5:$G$57,0)))+IF(RIGHT(TRIM(Paramètres!K41),3)="Fin",1-$H1553,IF(LEFT(TRIM(Paramètres!K41),1)="F",1,0)))),IF(Paramètres!L41="",0,IF(Paramètres!M41="",NA(),IF(LEFT(TRIM(Paramètres!M41),1)="F",INDEX($F$1517:$F$1569,MATCH(Paramètres!L41,Paramètres!$G$5:$G$57,0)),INDEX($E$1517:$E$1569,MATCH(Paramètres!L41,Paramètres!$G$5:$G$57,0)))+IF(RIGHT(TRIM(Paramètres!M41),3)="Fin",1-$H1553,IF(LEFT(TRIM(Paramètres!M41),1)="F",1,0)))),IF(Paramètres!N41="",0,IF(Paramètres!O41="",NA(),IF(LEFT(TRIM(Paramètres!O41),1)="F",INDEX($F$1517:$F$1569,MATCH(Paramètres!N41,Paramètres!$G$5:$G$57,0)),INDEX($E$1517:$E$1569,MATCH(Paramètres!N41,Paramètres!$G$5:$G$57,0)))+IF(RIGHT(TRIM(Paramètres!O41),3)="Fin",1-$H1553,IF(LEFT(TRIM(Paramètres!O41),1)="F",1,0)))))))</f>
        <v/>
      </c>
      <c r="F1553" s="19">
        <f>IF($A1553="","",E1553+$H1553-1)</f>
        <v/>
      </c>
      <c r="G1553" s="18" t="n"/>
      <c r="H1553" s="18">
        <f>IF($A1553="","",IF(I1553&lt;&gt;"",I1553,Paramètres!B41))</f>
        <v/>
      </c>
      <c r="I1553" s="18" t="n"/>
    </row>
    <row r="1554">
      <c r="A1554" s="18">
        <f>IF(ISNUMBER(Dossiers!$D$32),Dossiers!$A$32&amp;" · "&amp;Dossiers!$B$32,"")</f>
        <v/>
      </c>
      <c r="B1554" s="18">
        <f>IF($A1554="","",Paramètres!G42)</f>
        <v/>
      </c>
      <c r="C1554" s="18">
        <f>IF($A1554="","",IF(Paramètres!H42="","",Paramètres!H42))</f>
        <v/>
      </c>
      <c r="D1554" s="18">
        <f>IF($A1554="","",IF(Paramètres!I42="","",Paramètres!I42))</f>
        <v/>
      </c>
      <c r="E1554" s="19">
        <f>IF($A1554="","",IF(Paramètres!J42&amp;Paramètres!L42&amp;Paramètres!N42="",Dossiers!$D$32,MAX(IF(Paramètres!J42="",0,IF(Paramètres!K42="",NA(),IF(LEFT(TRIM(Paramètres!K42),1)="F",INDEX($F$1517:$F$1569,MATCH(Paramètres!J42,Paramètres!$G$5:$G$57,0)),INDEX($E$1517:$E$1569,MATCH(Paramètres!J42,Paramètres!$G$5:$G$57,0)))+IF(RIGHT(TRIM(Paramètres!K42),3)="Fin",1-$H1554,IF(LEFT(TRIM(Paramètres!K42),1)="F",1,0)))),IF(Paramètres!L42="",0,IF(Paramètres!M42="",NA(),IF(LEFT(TRIM(Paramètres!M42),1)="F",INDEX($F$1517:$F$1569,MATCH(Paramètres!L42,Paramètres!$G$5:$G$57,0)),INDEX($E$1517:$E$1569,MATCH(Paramètres!L42,Paramètres!$G$5:$G$57,0)))+IF(RIGHT(TRIM(Paramètres!M42),3)="Fin",1-$H1554,IF(LEFT(TRIM(Paramètres!M42),1)="F",1,0)))),IF(Paramètres!N42="",0,IF(Paramètres!O42="",NA(),IF(LEFT(TRIM(Paramètres!O42),1)="F",INDEX($F$1517:$F$1569,MATCH(Paramètres!N42,Paramètres!$G$5:$G$57,0)),INDEX($E$1517:$E$1569,MATCH(Paramètres!N42,Paramètres!$G$5:$G$57,0)))+IF(RIGHT(TRIM(Paramètres!O42),3)="Fin",1-$H1554,IF(LEFT(TRIM(Paramètres!O42),1)="F",1,0)))))))</f>
        <v/>
      </c>
      <c r="F1554" s="19">
        <f>IF($A1554="","",E1554+$H1554-1)</f>
        <v/>
      </c>
      <c r="G1554" s="18" t="n"/>
      <c r="H1554" s="18">
        <f>IF($A1554="","",IF(I1554&lt;&gt;"",I1554,Paramètres!B42))</f>
        <v/>
      </c>
      <c r="I1554" s="18" t="n"/>
    </row>
    <row r="1555">
      <c r="A1555" s="18">
        <f>IF(ISNUMBER(Dossiers!$D$32),Dossiers!$A$32&amp;" · "&amp;Dossiers!$B$32,"")</f>
        <v/>
      </c>
      <c r="B1555" s="18">
        <f>IF($A1555="","",Paramètres!G43)</f>
        <v/>
      </c>
      <c r="C1555" s="18">
        <f>IF($A1555="","",IF(Paramètres!H43="","",Paramètres!H43))</f>
        <v/>
      </c>
      <c r="D1555" s="18">
        <f>IF($A1555="","",IF(Paramètres!I43="","",Paramètres!I43))</f>
        <v/>
      </c>
      <c r="E1555" s="19">
        <f>IF($A1555="","",IF(Paramètres!J43&amp;Paramètres!L43&amp;Paramètres!N43="",Dossiers!$D$32,MAX(IF(Paramètres!J43="",0,IF(Paramètres!K43="",NA(),IF(LEFT(TRIM(Paramètres!K43),1)="F",INDEX($F$1517:$F$1569,MATCH(Paramètres!J43,Paramètres!$G$5:$G$57,0)),INDEX($E$1517:$E$1569,MATCH(Paramètres!J43,Paramètres!$G$5:$G$57,0)))+IF(RIGHT(TRIM(Paramètres!K43),3)="Fin",1-$H1555,IF(LEFT(TRIM(Paramètres!K43),1)="F",1,0)))),IF(Paramètres!L43="",0,IF(Paramètres!M43="",NA(),IF(LEFT(TRIM(Paramètres!M43),1)="F",INDEX($F$1517:$F$1569,MATCH(Paramètres!L43,Paramètres!$G$5:$G$57,0)),INDEX($E$1517:$E$1569,MATCH(Paramètres!L43,Paramètres!$G$5:$G$57,0)))+IF(RIGHT(TRIM(Paramètres!M43),3)="Fin",1-$H1555,IF(LEFT(TRIM(Paramètres!M43),1)="F",1,0)))),IF(Paramètres!N43="",0,IF(Paramètres!O43="",NA(),IF(LEFT(TRIM(Paramètres!O43),1)="F",INDEX($F$1517:$F$1569,MATCH(Paramètres!N43,Paramètres!$G$5:$G$57,0)),INDEX($E$1517:$E$1569,MATCH(Paramètres!N43,Paramètres!$G$5:$G$57,0)))+IF(RIGHT(TRIM(Paramètres!O43),3)="Fin",1-$H1555,IF(LEFT(TRIM(Paramètres!O43),1)="F",1,0)))))))</f>
        <v/>
      </c>
      <c r="F1555" s="19">
        <f>IF($A1555="","",E1555+$H1555-1)</f>
        <v/>
      </c>
      <c r="G1555" s="18" t="n"/>
      <c r="H1555" s="18">
        <f>IF($A1555="","",IF(I1555&lt;&gt;"",I1555,Paramètres!B43))</f>
        <v/>
      </c>
      <c r="I1555" s="18" t="n"/>
    </row>
    <row r="1556">
      <c r="A1556" s="18">
        <f>IF(ISNUMBER(Dossiers!$D$32),Dossiers!$A$32&amp;" · "&amp;Dossiers!$B$32,"")</f>
        <v/>
      </c>
      <c r="B1556" s="18">
        <f>IF($A1556="","",Paramètres!G44)</f>
        <v/>
      </c>
      <c r="C1556" s="18">
        <f>IF($A1556="","",IF(Paramètres!H44="","",Paramètres!H44))</f>
        <v/>
      </c>
      <c r="D1556" s="18">
        <f>IF($A1556="","",IF(Paramètres!I44="","",Paramètres!I44))</f>
        <v/>
      </c>
      <c r="E1556" s="19">
        <f>IF($A1556="","",IF(Paramètres!J44&amp;Paramètres!L44&amp;Paramètres!N44="",Dossiers!$D$32,MAX(IF(Paramètres!J44="",0,IF(Paramètres!K44="",NA(),IF(LEFT(TRIM(Paramètres!K44),1)="F",INDEX($F$1517:$F$1569,MATCH(Paramètres!J44,Paramètres!$G$5:$G$57,0)),INDEX($E$1517:$E$1569,MATCH(Paramètres!J44,Paramètres!$G$5:$G$57,0)))+IF(RIGHT(TRIM(Paramètres!K44),3)="Fin",1-$H1556,IF(LEFT(TRIM(Paramètres!K44),1)="F",1,0)))),IF(Paramètres!L44="",0,IF(Paramètres!M44="",NA(),IF(LEFT(TRIM(Paramètres!M44),1)="F",INDEX($F$1517:$F$1569,MATCH(Paramètres!L44,Paramètres!$G$5:$G$57,0)),INDEX($E$1517:$E$1569,MATCH(Paramètres!L44,Paramètres!$G$5:$G$57,0)))+IF(RIGHT(TRIM(Paramètres!M44),3)="Fin",1-$H1556,IF(LEFT(TRIM(Paramètres!M44),1)="F",1,0)))),IF(Paramètres!N44="",0,IF(Paramètres!O44="",NA(),IF(LEFT(TRIM(Paramètres!O44),1)="F",INDEX($F$1517:$F$1569,MATCH(Paramètres!N44,Paramètres!$G$5:$G$57,0)),INDEX($E$1517:$E$1569,MATCH(Paramètres!N44,Paramètres!$G$5:$G$57,0)))+IF(RIGHT(TRIM(Paramètres!O44),3)="Fin",1-$H1556,IF(LEFT(TRIM(Paramètres!O44),1)="F",1,0)))))))</f>
        <v/>
      </c>
      <c r="F1556" s="19">
        <f>IF($A1556="","",E1556+$H1556-1)</f>
        <v/>
      </c>
      <c r="G1556" s="18" t="n"/>
      <c r="H1556" s="18">
        <f>IF($A1556="","",IF(I1556&lt;&gt;"",I1556,Paramètres!B44))</f>
        <v/>
      </c>
      <c r="I1556" s="18" t="n"/>
    </row>
    <row r="1557">
      <c r="A1557" s="18">
        <f>IF(ISNUMBER(Dossiers!$D$32),Dossiers!$A$32&amp;" · "&amp;Dossiers!$B$32,"")</f>
        <v/>
      </c>
      <c r="B1557" s="18">
        <f>IF($A1557="","",Paramètres!G45)</f>
        <v/>
      </c>
      <c r="C1557" s="20">
        <f>IF($A1557="","",IF(Dossiers!$G$32="","",Dossiers!$G$32))</f>
        <v/>
      </c>
      <c r="D1557" s="18">
        <f>IF($A1557="","",IF(Paramètres!I45="","",Paramètres!I45))</f>
        <v/>
      </c>
      <c r="E1557" s="19">
        <f>IF($A1557="","",IF(Paramètres!J45&amp;Paramètres!L45&amp;Paramètres!N45="",Dossiers!$D$32,MAX(IF(Paramètres!J45="",0,IF(Paramètres!K45="",NA(),IF(LEFT(TRIM(Paramètres!K45),1)="F",INDEX($F$1517:$F$1569,MATCH(Paramètres!J45,Paramètres!$G$5:$G$57,0)),INDEX($E$1517:$E$1569,MATCH(Paramètres!J45,Paramètres!$G$5:$G$57,0)))+IF(RIGHT(TRIM(Paramètres!K45),3)="Fin",1-$H1557,IF(LEFT(TRIM(Paramètres!K45),1)="F",1,0)))),IF(Paramètres!L45="",0,IF(Paramètres!M45="",NA(),IF(LEFT(TRIM(Paramètres!M45),1)="F",INDEX($F$1517:$F$1569,MATCH(Paramètres!L45,Paramètres!$G$5:$G$57,0)),INDEX($E$1517:$E$1569,MATCH(Paramètres!L45,Paramètres!$G$5:$G$57,0)))+IF(RIGHT(TRIM(Paramètres!M45),3)="Fin",1-$H1557,IF(LEFT(TRIM(Paramètres!M45),1)="F",1,0)))),IF(Paramètres!N45="",0,IF(Paramètres!O45="",NA(),IF(LEFT(TRIM(Paramètres!O45),1)="F",INDEX($F$1517:$F$1569,MATCH(Paramètres!N45,Paramètres!$G$5:$G$57,0)),INDEX($E$1517:$E$1569,MATCH(Paramètres!N45,Paramètres!$G$5:$G$57,0)))+IF(RIGHT(TRIM(Paramètres!O45),3)="Fin",1-$H1557,IF(LEFT(TRIM(Paramètres!O45),1)="F",1,0)))))))</f>
        <v/>
      </c>
      <c r="F1557" s="19">
        <f>IF($A1557="","",E1557+$H1557-1)</f>
        <v/>
      </c>
      <c r="G1557" s="18" t="n"/>
      <c r="H1557" s="18">
        <f>IF($A1557="","",IF(I1557&lt;&gt;"",I1557,Paramètres!B45))</f>
        <v/>
      </c>
      <c r="I1557" s="18" t="n"/>
    </row>
    <row r="1558">
      <c r="A1558" s="18">
        <f>IF(ISNUMBER(Dossiers!$D$32),Dossiers!$A$32&amp;" · "&amp;Dossiers!$B$32,"")</f>
        <v/>
      </c>
      <c r="B1558" s="18">
        <f>IF($A1558="","",Paramètres!G46)</f>
        <v/>
      </c>
      <c r="C1558" s="18">
        <f>IF($A1558="","",IF(Paramètres!H46="","",Paramètres!H46))</f>
        <v/>
      </c>
      <c r="D1558" s="18">
        <f>IF($A1558="","",IF(Paramètres!I46="","",Paramètres!I46))</f>
        <v/>
      </c>
      <c r="E1558" s="19">
        <f>IF($A1558="","",IF(Paramètres!J46&amp;Paramètres!L46&amp;Paramètres!N46="",Dossiers!$D$32,MAX(IF(Paramètres!J46="",0,IF(Paramètres!K46="",NA(),IF(LEFT(TRIM(Paramètres!K46),1)="F",INDEX($F$1517:$F$1569,MATCH(Paramètres!J46,Paramètres!$G$5:$G$57,0)),INDEX($E$1517:$E$1569,MATCH(Paramètres!J46,Paramètres!$G$5:$G$57,0)))+IF(RIGHT(TRIM(Paramètres!K46),3)="Fin",1-$H1558,IF(LEFT(TRIM(Paramètres!K46),1)="F",1,0)))),IF(Paramètres!L46="",0,IF(Paramètres!M46="",NA(),IF(LEFT(TRIM(Paramètres!M46),1)="F",INDEX($F$1517:$F$1569,MATCH(Paramètres!L46,Paramètres!$G$5:$G$57,0)),INDEX($E$1517:$E$1569,MATCH(Paramètres!L46,Paramètres!$G$5:$G$57,0)))+IF(RIGHT(TRIM(Paramètres!M46),3)="Fin",1-$H1558,IF(LEFT(TRIM(Paramètres!M46),1)="F",1,0)))),IF(Paramètres!N46="",0,IF(Paramètres!O46="",NA(),IF(LEFT(TRIM(Paramètres!O46),1)="F",INDEX($F$1517:$F$1569,MATCH(Paramètres!N46,Paramètres!$G$5:$G$57,0)),INDEX($E$1517:$E$1569,MATCH(Paramètres!N46,Paramètres!$G$5:$G$57,0)))+IF(RIGHT(TRIM(Paramètres!O46),3)="Fin",1-$H1558,IF(LEFT(TRIM(Paramètres!O46),1)="F",1,0)))))))</f>
        <v/>
      </c>
      <c r="F1558" s="19">
        <f>IF($A1558="","",E1558+$H1558-1)</f>
        <v/>
      </c>
      <c r="G1558" s="18" t="n"/>
      <c r="H1558" s="18">
        <f>IF($A1558="","",IF(I1558&lt;&gt;"",I1558,Paramètres!B46))</f>
        <v/>
      </c>
      <c r="I1558" s="18" t="n"/>
    </row>
    <row r="1559">
      <c r="A1559" s="18">
        <f>IF(ISNUMBER(Dossiers!$D$32),Dossiers!$A$32&amp;" · "&amp;Dossiers!$B$32,"")</f>
        <v/>
      </c>
      <c r="B1559" s="18">
        <f>IF($A1559="","",Paramètres!G47)</f>
        <v/>
      </c>
      <c r="C1559" s="18">
        <f>IF($A1559="","",IF(Paramètres!H47="","",Paramètres!H47))</f>
        <v/>
      </c>
      <c r="D1559" s="18">
        <f>IF($A1559="","",IF(Paramètres!I47="","",Paramètres!I47))</f>
        <v/>
      </c>
      <c r="E1559" s="19">
        <f>IF($A1559="","",IF(Paramètres!J47&amp;Paramètres!L47&amp;Paramètres!N47="",Dossiers!$D$32,MAX(IF(Paramètres!J47="",0,IF(Paramètres!K47="",NA(),IF(LEFT(TRIM(Paramètres!K47),1)="F",INDEX($F$1517:$F$1569,MATCH(Paramètres!J47,Paramètres!$G$5:$G$57,0)),INDEX($E$1517:$E$1569,MATCH(Paramètres!J47,Paramètres!$G$5:$G$57,0)))+IF(RIGHT(TRIM(Paramètres!K47),3)="Fin",1-$H1559,IF(LEFT(TRIM(Paramètres!K47),1)="F",1,0)))),IF(Paramètres!L47="",0,IF(Paramètres!M47="",NA(),IF(LEFT(TRIM(Paramètres!M47),1)="F",INDEX($F$1517:$F$1569,MATCH(Paramètres!L47,Paramètres!$G$5:$G$57,0)),INDEX($E$1517:$E$1569,MATCH(Paramètres!L47,Paramètres!$G$5:$G$57,0)))+IF(RIGHT(TRIM(Paramètres!M47),3)="Fin",1-$H1559,IF(LEFT(TRIM(Paramètres!M47),1)="F",1,0)))),IF(Paramètres!N47="",0,IF(Paramètres!O47="",NA(),IF(LEFT(TRIM(Paramètres!O47),1)="F",INDEX($F$1517:$F$1569,MATCH(Paramètres!N47,Paramètres!$G$5:$G$57,0)),INDEX($E$1517:$E$1569,MATCH(Paramètres!N47,Paramètres!$G$5:$G$57,0)))+IF(RIGHT(TRIM(Paramètres!O47),3)="Fin",1-$H1559,IF(LEFT(TRIM(Paramètres!O47),1)="F",1,0)))))))</f>
        <v/>
      </c>
      <c r="F1559" s="19">
        <f>IF($A1559="","",E1559+$H1559-1)</f>
        <v/>
      </c>
      <c r="G1559" s="18" t="n"/>
      <c r="H1559" s="18">
        <f>IF($A1559="","",IF(I1559&lt;&gt;"",I1559,Paramètres!B47))</f>
        <v/>
      </c>
      <c r="I1559" s="18" t="n"/>
    </row>
    <row r="1560">
      <c r="A1560" s="18">
        <f>IF(ISNUMBER(Dossiers!$D$32),Dossiers!$A$32&amp;" · "&amp;Dossiers!$B$32,"")</f>
        <v/>
      </c>
      <c r="B1560" s="18">
        <f>IF($A1560="","",Paramètres!G48)</f>
        <v/>
      </c>
      <c r="C1560" s="18">
        <f>IF($A1560="","",IF(Paramètres!H48="","",Paramètres!H48))</f>
        <v/>
      </c>
      <c r="D1560" s="18">
        <f>IF($A1560="","",IF(Paramètres!I48="","",Paramètres!I48))</f>
        <v/>
      </c>
      <c r="E1560" s="19">
        <f>IF($A1560="","",IF(Paramètres!J48&amp;Paramètres!L48&amp;Paramètres!N48="",Dossiers!$D$32,MAX(IF(Paramètres!J48="",0,IF(Paramètres!K48="",NA(),IF(LEFT(TRIM(Paramètres!K48),1)="F",INDEX($F$1517:$F$1569,MATCH(Paramètres!J48,Paramètres!$G$5:$G$57,0)),INDEX($E$1517:$E$1569,MATCH(Paramètres!J48,Paramètres!$G$5:$G$57,0)))+IF(RIGHT(TRIM(Paramètres!K48),3)="Fin",1-$H1560,IF(LEFT(TRIM(Paramètres!K48),1)="F",1,0)))),IF(Paramètres!L48="",0,IF(Paramètres!M48="",NA(),IF(LEFT(TRIM(Paramètres!M48),1)="F",INDEX($F$1517:$F$1569,MATCH(Paramètres!L48,Paramètres!$G$5:$G$57,0)),INDEX($E$1517:$E$1569,MATCH(Paramètres!L48,Paramètres!$G$5:$G$57,0)))+IF(RIGHT(TRIM(Paramètres!M48),3)="Fin",1-$H1560,IF(LEFT(TRIM(Paramètres!M48),1)="F",1,0)))),IF(Paramètres!N48="",0,IF(Paramètres!O48="",NA(),IF(LEFT(TRIM(Paramètres!O48),1)="F",INDEX($F$1517:$F$1569,MATCH(Paramètres!N48,Paramètres!$G$5:$G$57,0)),INDEX($E$1517:$E$1569,MATCH(Paramètres!N48,Paramètres!$G$5:$G$57,0)))+IF(RIGHT(TRIM(Paramètres!O48),3)="Fin",1-$H1560,IF(LEFT(TRIM(Paramètres!O48),1)="F",1,0)))))))</f>
        <v/>
      </c>
      <c r="F1560" s="19">
        <f>IF($A1560="","",E1560+$H1560-1)</f>
        <v/>
      </c>
      <c r="G1560" s="18" t="n"/>
      <c r="H1560" s="18">
        <f>IF($A1560="","",IF(I1560&lt;&gt;"",I1560,Paramètres!B48))</f>
        <v/>
      </c>
      <c r="I1560" s="18" t="n"/>
    </row>
    <row r="1561">
      <c r="A1561" s="18">
        <f>IF(ISNUMBER(Dossiers!$D$32),Dossiers!$A$32&amp;" · "&amp;Dossiers!$B$32,"")</f>
        <v/>
      </c>
      <c r="B1561" s="18">
        <f>IF($A1561="","",Paramètres!G49)</f>
        <v/>
      </c>
      <c r="C1561" s="18">
        <f>IF($A1561="","",IF(Paramètres!H49="","",Paramètres!H49))</f>
        <v/>
      </c>
      <c r="D1561" s="18">
        <f>IF($A1561="","",IF(Paramètres!I49="","",Paramètres!I49))</f>
        <v/>
      </c>
      <c r="E1561" s="19">
        <f>IF($A1561="","",IF(Paramètres!J49&amp;Paramètres!L49&amp;Paramètres!N49="",Dossiers!$D$32,MAX(IF(Paramètres!J49="",0,IF(Paramètres!K49="",NA(),IF(LEFT(TRIM(Paramètres!K49),1)="F",INDEX($F$1517:$F$1569,MATCH(Paramètres!J49,Paramètres!$G$5:$G$57,0)),INDEX($E$1517:$E$1569,MATCH(Paramètres!J49,Paramètres!$G$5:$G$57,0)))+IF(RIGHT(TRIM(Paramètres!K49),3)="Fin",1-$H1561,IF(LEFT(TRIM(Paramètres!K49),1)="F",1,0)))),IF(Paramètres!L49="",0,IF(Paramètres!M49="",NA(),IF(LEFT(TRIM(Paramètres!M49),1)="F",INDEX($F$1517:$F$1569,MATCH(Paramètres!L49,Paramètres!$G$5:$G$57,0)),INDEX($E$1517:$E$1569,MATCH(Paramètres!L49,Paramètres!$G$5:$G$57,0)))+IF(RIGHT(TRIM(Paramètres!M49),3)="Fin",1-$H1561,IF(LEFT(TRIM(Paramètres!M49),1)="F",1,0)))),IF(Paramètres!N49="",0,IF(Paramètres!O49="",NA(),IF(LEFT(TRIM(Paramètres!O49),1)="F",INDEX($F$1517:$F$1569,MATCH(Paramètres!N49,Paramètres!$G$5:$G$57,0)),INDEX($E$1517:$E$1569,MATCH(Paramètres!N49,Paramètres!$G$5:$G$57,0)))+IF(RIGHT(TRIM(Paramètres!O49),3)="Fin",1-$H1561,IF(LEFT(TRIM(Paramètres!O49),1)="F",1,0)))))))</f>
        <v/>
      </c>
      <c r="F1561" s="19">
        <f>IF($A1561="","",E1561+$H1561-1)</f>
        <v/>
      </c>
      <c r="G1561" s="18" t="n"/>
      <c r="H1561" s="18">
        <f>IF($A1561="","",IF(I1561&lt;&gt;"",I1561,Paramètres!B49))</f>
        <v/>
      </c>
      <c r="I1561" s="18" t="n"/>
    </row>
    <row r="1562">
      <c r="A1562" s="18">
        <f>IF(ISNUMBER(Dossiers!$D$32),Dossiers!$A$32&amp;" · "&amp;Dossiers!$B$32,"")</f>
        <v/>
      </c>
      <c r="B1562" s="18">
        <f>IF($A1562="","",Paramètres!G50)</f>
        <v/>
      </c>
      <c r="C1562" s="18">
        <f>IF($A1562="","",IF(Paramètres!H50="","",Paramètres!H50))</f>
        <v/>
      </c>
      <c r="D1562" s="18">
        <f>IF($A1562="","",IF(Paramètres!I50="","",Paramètres!I50))</f>
        <v/>
      </c>
      <c r="E1562" s="19">
        <f>IF($A1562="","",IF(Paramètres!J50&amp;Paramètres!L50&amp;Paramètres!N50="",Dossiers!$D$32,MAX(IF(Paramètres!J50="",0,IF(Paramètres!K50="",NA(),IF(LEFT(TRIM(Paramètres!K50),1)="F",INDEX($F$1517:$F$1569,MATCH(Paramètres!J50,Paramètres!$G$5:$G$57,0)),INDEX($E$1517:$E$1569,MATCH(Paramètres!J50,Paramètres!$G$5:$G$57,0)))+IF(RIGHT(TRIM(Paramètres!K50),3)="Fin",1-$H1562,IF(LEFT(TRIM(Paramètres!K50),1)="F",1,0)))),IF(Paramètres!L50="",0,IF(Paramètres!M50="",NA(),IF(LEFT(TRIM(Paramètres!M50),1)="F",INDEX($F$1517:$F$1569,MATCH(Paramètres!L50,Paramètres!$G$5:$G$57,0)),INDEX($E$1517:$E$1569,MATCH(Paramètres!L50,Paramètres!$G$5:$G$57,0)))+IF(RIGHT(TRIM(Paramètres!M50),3)="Fin",1-$H1562,IF(LEFT(TRIM(Paramètres!M50),1)="F",1,0)))),IF(Paramètres!N50="",0,IF(Paramètres!O50="",NA(),IF(LEFT(TRIM(Paramètres!O50),1)="F",INDEX($F$1517:$F$1569,MATCH(Paramètres!N50,Paramètres!$G$5:$G$57,0)),INDEX($E$1517:$E$1569,MATCH(Paramètres!N50,Paramètres!$G$5:$G$57,0)))+IF(RIGHT(TRIM(Paramètres!O50),3)="Fin",1-$H1562,IF(LEFT(TRIM(Paramètres!O50),1)="F",1,0)))))))</f>
        <v/>
      </c>
      <c r="F1562" s="19">
        <f>IF($A1562="","",E1562+$H1562-1)</f>
        <v/>
      </c>
      <c r="G1562" s="18" t="n"/>
      <c r="H1562" s="18">
        <f>IF($A1562="","",IF(I1562&lt;&gt;"",I1562,Paramètres!B50))</f>
        <v/>
      </c>
      <c r="I1562" s="18" t="n"/>
    </row>
    <row r="1563">
      <c r="A1563" s="18">
        <f>IF(ISNUMBER(Dossiers!$D$32),Dossiers!$A$32&amp;" · "&amp;Dossiers!$B$32,"")</f>
        <v/>
      </c>
      <c r="B1563" s="18">
        <f>IF($A1563="","",Paramètres!G51)</f>
        <v/>
      </c>
      <c r="C1563" s="18">
        <f>IF($A1563="","",IF(Paramètres!H51="","",Paramètres!H51))</f>
        <v/>
      </c>
      <c r="D1563" s="18">
        <f>IF($A1563="","",IF(Paramètres!I51="","",Paramètres!I51))</f>
        <v/>
      </c>
      <c r="E1563" s="19">
        <f>IF($A1563="","",IF(Paramètres!J51&amp;Paramètres!L51&amp;Paramètres!N51="",Dossiers!$D$32,MAX(IF(Paramètres!J51="",0,IF(Paramètres!K51="",NA(),IF(LEFT(TRIM(Paramètres!K51),1)="F",INDEX($F$1517:$F$1569,MATCH(Paramètres!J51,Paramètres!$G$5:$G$57,0)),INDEX($E$1517:$E$1569,MATCH(Paramètres!J51,Paramètres!$G$5:$G$57,0)))+IF(RIGHT(TRIM(Paramètres!K51),3)="Fin",1-$H1563,IF(LEFT(TRIM(Paramètres!K51),1)="F",1,0)))),IF(Paramètres!L51="",0,IF(Paramètres!M51="",NA(),IF(LEFT(TRIM(Paramètres!M51),1)="F",INDEX($F$1517:$F$1569,MATCH(Paramètres!L51,Paramètres!$G$5:$G$57,0)),INDEX($E$1517:$E$1569,MATCH(Paramètres!L51,Paramètres!$G$5:$G$57,0)))+IF(RIGHT(TRIM(Paramètres!M51),3)="Fin",1-$H1563,IF(LEFT(TRIM(Paramètres!M51),1)="F",1,0)))),IF(Paramètres!N51="",0,IF(Paramètres!O51="",NA(),IF(LEFT(TRIM(Paramètres!O51),1)="F",INDEX($F$1517:$F$1569,MATCH(Paramètres!N51,Paramètres!$G$5:$G$57,0)),INDEX($E$1517:$E$1569,MATCH(Paramètres!N51,Paramètres!$G$5:$G$57,0)))+IF(RIGHT(TRIM(Paramètres!O51),3)="Fin",1-$H1563,IF(LEFT(TRIM(Paramètres!O51),1)="F",1,0)))))))</f>
        <v/>
      </c>
      <c r="F1563" s="19">
        <f>IF($A1563="","",E1563+$H1563-1)</f>
        <v/>
      </c>
      <c r="G1563" s="18" t="n"/>
      <c r="H1563" s="18">
        <f>IF($A1563="","",IF(I1563&lt;&gt;"",I1563,Paramètres!B51))</f>
        <v/>
      </c>
      <c r="I1563" s="18" t="n"/>
    </row>
    <row r="1564">
      <c r="A1564" s="18">
        <f>IF(ISNUMBER(Dossiers!$D$32),Dossiers!$A$32&amp;" · "&amp;Dossiers!$B$32,"")</f>
        <v/>
      </c>
      <c r="B1564" s="18">
        <f>IF($A1564="","",Paramètres!G52)</f>
        <v/>
      </c>
      <c r="C1564" s="18">
        <f>IF($A1564="","",IF(Paramètres!H52="","",Paramètres!H52))</f>
        <v/>
      </c>
      <c r="D1564" s="18">
        <f>IF($A1564="","",IF(Paramètres!I52="","",Paramètres!I52))</f>
        <v/>
      </c>
      <c r="E1564" s="19">
        <f>IF($A1564="","",IF(Paramètres!J52&amp;Paramètres!L52&amp;Paramètres!N52="",Dossiers!$D$32,MAX(IF(Paramètres!J52="",0,IF(Paramètres!K52="",NA(),IF(LEFT(TRIM(Paramètres!K52),1)="F",INDEX($F$1517:$F$1569,MATCH(Paramètres!J52,Paramètres!$G$5:$G$57,0)),INDEX($E$1517:$E$1569,MATCH(Paramètres!J52,Paramètres!$G$5:$G$57,0)))+IF(RIGHT(TRIM(Paramètres!K52),3)="Fin",1-$H1564,IF(LEFT(TRIM(Paramètres!K52),1)="F",1,0)))),IF(Paramètres!L52="",0,IF(Paramètres!M52="",NA(),IF(LEFT(TRIM(Paramètres!M52),1)="F",INDEX($F$1517:$F$1569,MATCH(Paramètres!L52,Paramètres!$G$5:$G$57,0)),INDEX($E$1517:$E$1569,MATCH(Paramètres!L52,Paramètres!$G$5:$G$57,0)))+IF(RIGHT(TRIM(Paramètres!M52),3)="Fin",1-$H1564,IF(LEFT(TRIM(Paramètres!M52),1)="F",1,0)))),IF(Paramètres!N52="",0,IF(Paramètres!O52="",NA(),IF(LEFT(TRIM(Paramètres!O52),1)="F",INDEX($F$1517:$F$1569,MATCH(Paramètres!N52,Paramètres!$G$5:$G$57,0)),INDEX($E$1517:$E$1569,MATCH(Paramètres!N52,Paramètres!$G$5:$G$57,0)))+IF(RIGHT(TRIM(Paramètres!O52),3)="Fin",1-$H1564,IF(LEFT(TRIM(Paramètres!O52),1)="F",1,0)))))))</f>
        <v/>
      </c>
      <c r="F1564" s="19">
        <f>IF($A1564="","",E1564+$H1564-1)</f>
        <v/>
      </c>
      <c r="G1564" s="18" t="n"/>
      <c r="H1564" s="18">
        <f>IF($A1564="","",IF(I1564&lt;&gt;"",I1564,Paramètres!B52))</f>
        <v/>
      </c>
      <c r="I1564" s="18" t="n"/>
    </row>
    <row r="1565">
      <c r="A1565" s="18">
        <f>IF(ISNUMBER(Dossiers!$D$32),Dossiers!$A$32&amp;" · "&amp;Dossiers!$B$32,"")</f>
        <v/>
      </c>
      <c r="B1565" s="18">
        <f>IF($A1565="","",Paramètres!G53)</f>
        <v/>
      </c>
      <c r="C1565" s="18">
        <f>IF($A1565="","",IF(Paramètres!H53="","",Paramètres!H53))</f>
        <v/>
      </c>
      <c r="D1565" s="18">
        <f>IF($A1565="","",IF(Paramètres!I53="","",Paramètres!I53))</f>
        <v/>
      </c>
      <c r="E1565" s="19">
        <f>IF($A1565="","",IF(Paramètres!J53&amp;Paramètres!L53&amp;Paramètres!N53="",Dossiers!$D$32,MAX(IF(Paramètres!J53="",0,IF(Paramètres!K53="",NA(),IF(LEFT(TRIM(Paramètres!K53),1)="F",INDEX($F$1517:$F$1569,MATCH(Paramètres!J53,Paramètres!$G$5:$G$57,0)),INDEX($E$1517:$E$1569,MATCH(Paramètres!J53,Paramètres!$G$5:$G$57,0)))+IF(RIGHT(TRIM(Paramètres!K53),3)="Fin",1-$H1565,IF(LEFT(TRIM(Paramètres!K53),1)="F",1,0)))),IF(Paramètres!L53="",0,IF(Paramètres!M53="",NA(),IF(LEFT(TRIM(Paramètres!M53),1)="F",INDEX($F$1517:$F$1569,MATCH(Paramètres!L53,Paramètres!$G$5:$G$57,0)),INDEX($E$1517:$E$1569,MATCH(Paramètres!L53,Paramètres!$G$5:$G$57,0)))+IF(RIGHT(TRIM(Paramètres!M53),3)="Fin",1-$H1565,IF(LEFT(TRIM(Paramètres!M53),1)="F",1,0)))),IF(Paramètres!N53="",0,IF(Paramètres!O53="",NA(),IF(LEFT(TRIM(Paramètres!O53),1)="F",INDEX($F$1517:$F$1569,MATCH(Paramètres!N53,Paramètres!$G$5:$G$57,0)),INDEX($E$1517:$E$1569,MATCH(Paramètres!N53,Paramètres!$G$5:$G$57,0)))+IF(RIGHT(TRIM(Paramètres!O53),3)="Fin",1-$H1565,IF(LEFT(TRIM(Paramètres!O53),1)="F",1,0)))))))</f>
        <v/>
      </c>
      <c r="F1565" s="19">
        <f>IF($A1565="","",E1565+$H1565-1)</f>
        <v/>
      </c>
      <c r="G1565" s="18" t="n"/>
      <c r="H1565" s="18">
        <f>IF($A1565="","",IF(I1565&lt;&gt;"",I1565,Paramètres!B53))</f>
        <v/>
      </c>
      <c r="I1565" s="18" t="n"/>
    </row>
    <row r="1566">
      <c r="A1566" s="18">
        <f>IF(ISNUMBER(Dossiers!$D$32),Dossiers!$A$32&amp;" · "&amp;Dossiers!$B$32,"")</f>
        <v/>
      </c>
      <c r="B1566" s="18">
        <f>IF($A1566="","",Paramètres!G54)</f>
        <v/>
      </c>
      <c r="C1566" s="18">
        <f>IF($A1566="","",IF(Paramètres!H54="","",Paramètres!H54))</f>
        <v/>
      </c>
      <c r="D1566" s="18">
        <f>IF($A1566="","",IF(Paramètres!I54="","",Paramètres!I54))</f>
        <v/>
      </c>
      <c r="E1566" s="19">
        <f>IF($A1566="","",IF(Paramètres!J54&amp;Paramètres!L54&amp;Paramètres!N54="",Dossiers!$D$32,MAX(IF(Paramètres!J54="",0,IF(Paramètres!K54="",NA(),IF(LEFT(TRIM(Paramètres!K54),1)="F",INDEX($F$1517:$F$1569,MATCH(Paramètres!J54,Paramètres!$G$5:$G$57,0)),INDEX($E$1517:$E$1569,MATCH(Paramètres!J54,Paramètres!$G$5:$G$57,0)))+IF(RIGHT(TRIM(Paramètres!K54),3)="Fin",1-$H1566,IF(LEFT(TRIM(Paramètres!K54),1)="F",1,0)))),IF(Paramètres!L54="",0,IF(Paramètres!M54="",NA(),IF(LEFT(TRIM(Paramètres!M54),1)="F",INDEX($F$1517:$F$1569,MATCH(Paramètres!L54,Paramètres!$G$5:$G$57,0)),INDEX($E$1517:$E$1569,MATCH(Paramètres!L54,Paramètres!$G$5:$G$57,0)))+IF(RIGHT(TRIM(Paramètres!M54),3)="Fin",1-$H1566,IF(LEFT(TRIM(Paramètres!M54),1)="F",1,0)))),IF(Paramètres!N54="",0,IF(Paramètres!O54="",NA(),IF(LEFT(TRIM(Paramètres!O54),1)="F",INDEX($F$1517:$F$1569,MATCH(Paramètres!N54,Paramètres!$G$5:$G$57,0)),INDEX($E$1517:$E$1569,MATCH(Paramètres!N54,Paramètres!$G$5:$G$57,0)))+IF(RIGHT(TRIM(Paramètres!O54),3)="Fin",1-$H1566,IF(LEFT(TRIM(Paramètres!O54),1)="F",1,0)))))))</f>
        <v/>
      </c>
      <c r="F1566" s="19">
        <f>IF($A1566="","",E1566+$H1566-1)</f>
        <v/>
      </c>
      <c r="G1566" s="18" t="n"/>
      <c r="H1566" s="18">
        <f>IF($A1566="","",IF(I1566&lt;&gt;"",I1566,Paramètres!B54))</f>
        <v/>
      </c>
      <c r="I1566" s="18" t="n"/>
    </row>
    <row r="1567">
      <c r="A1567" s="18">
        <f>IF(ISNUMBER(Dossiers!$D$32),Dossiers!$A$32&amp;" · "&amp;Dossiers!$B$32,"")</f>
        <v/>
      </c>
      <c r="B1567" s="18">
        <f>IF($A1567="","",Paramètres!G55)</f>
        <v/>
      </c>
      <c r="C1567" s="18">
        <f>IF($A1567="","",IF(Paramètres!H55="","",Paramètres!H55))</f>
        <v/>
      </c>
      <c r="D1567" s="18">
        <f>IF($A1567="","",IF(Paramètres!I55="","",Paramètres!I55))</f>
        <v/>
      </c>
      <c r="E1567" s="19">
        <f>IF($A1567="","",IF(Paramètres!J55&amp;Paramètres!L55&amp;Paramètres!N55="",Dossiers!$D$32,MAX(IF(Paramètres!J55="",0,IF(Paramètres!K55="",NA(),IF(LEFT(TRIM(Paramètres!K55),1)="F",INDEX($F$1517:$F$1569,MATCH(Paramètres!J55,Paramètres!$G$5:$G$57,0)),INDEX($E$1517:$E$1569,MATCH(Paramètres!J55,Paramètres!$G$5:$G$57,0)))+IF(RIGHT(TRIM(Paramètres!K55),3)="Fin",1-$H1567,IF(LEFT(TRIM(Paramètres!K55),1)="F",1,0)))),IF(Paramètres!L55="",0,IF(Paramètres!M55="",NA(),IF(LEFT(TRIM(Paramètres!M55),1)="F",INDEX($F$1517:$F$1569,MATCH(Paramètres!L55,Paramètres!$G$5:$G$57,0)),INDEX($E$1517:$E$1569,MATCH(Paramètres!L55,Paramètres!$G$5:$G$57,0)))+IF(RIGHT(TRIM(Paramètres!M55),3)="Fin",1-$H1567,IF(LEFT(TRIM(Paramètres!M55),1)="F",1,0)))),IF(Paramètres!N55="",0,IF(Paramètres!O55="",NA(),IF(LEFT(TRIM(Paramètres!O55),1)="F",INDEX($F$1517:$F$1569,MATCH(Paramètres!N55,Paramètres!$G$5:$G$57,0)),INDEX($E$1517:$E$1569,MATCH(Paramètres!N55,Paramètres!$G$5:$G$57,0)))+IF(RIGHT(TRIM(Paramètres!O55),3)="Fin",1-$H1567,IF(LEFT(TRIM(Paramètres!O55),1)="F",1,0)))))))</f>
        <v/>
      </c>
      <c r="F1567" s="19">
        <f>IF($A1567="","",E1567+$H1567-1)</f>
        <v/>
      </c>
      <c r="G1567" s="18" t="n"/>
      <c r="H1567" s="18">
        <f>IF($A1567="","",IF(I1567&lt;&gt;"",I1567,Paramètres!B55))</f>
        <v/>
      </c>
      <c r="I1567" s="18" t="n"/>
    </row>
    <row r="1568">
      <c r="A1568" s="18">
        <f>IF(ISNUMBER(Dossiers!$D$32),Dossiers!$A$32&amp;" · "&amp;Dossiers!$B$32,"")</f>
        <v/>
      </c>
      <c r="B1568" s="18">
        <f>IF($A1568="","",Paramètres!G56)</f>
        <v/>
      </c>
      <c r="C1568" s="18">
        <f>IF($A1568="","",IF(Paramètres!H56="","",Paramètres!H56))</f>
        <v/>
      </c>
      <c r="D1568" s="18">
        <f>IF($A1568="","",IF(Paramètres!I56="","",Paramètres!I56))</f>
        <v/>
      </c>
      <c r="E1568" s="19">
        <f>IF($A1568="","",MIN(E1569:E1569))</f>
        <v/>
      </c>
      <c r="F1568" s="19">
        <f>IF($A1568="","",MAX(F1569:F1569))</f>
        <v/>
      </c>
      <c r="G1568" s="18" t="n"/>
      <c r="H1568" s="18">
        <f>IF($A1568="","",F1568-E1568+1)</f>
        <v/>
      </c>
      <c r="I1568" s="18" t="n"/>
    </row>
    <row r="1569">
      <c r="A1569" s="18">
        <f>IF(ISNUMBER(Dossiers!$D$32),Dossiers!$A$32&amp;" · "&amp;Dossiers!$B$32,"")</f>
        <v/>
      </c>
      <c r="B1569" s="18">
        <f>IF($A1569="","",Paramètres!G57)</f>
        <v/>
      </c>
      <c r="C1569" s="18">
        <f>IF($A1569="","",IF(Paramètres!H57="","",Paramètres!H57))</f>
        <v/>
      </c>
      <c r="D1569" s="18">
        <f>IF($A1569="","",IF(Paramètres!I57="","",Paramètres!I57))</f>
        <v/>
      </c>
      <c r="E1569" s="19">
        <f>IF($A1569="","",IF(Paramètres!J57&amp;Paramètres!L57&amp;Paramètres!N57="",Dossiers!$D$32,MAX(IF(Paramètres!J57="",0,IF(Paramètres!K57="",NA(),IF(LEFT(TRIM(Paramètres!K57),1)="F",INDEX($F$1517:$F$1569,MATCH(Paramètres!J57,Paramètres!$G$5:$G$57,0)),INDEX($E$1517:$E$1569,MATCH(Paramètres!J57,Paramètres!$G$5:$G$57,0)))+IF(RIGHT(TRIM(Paramètres!K57),3)="Fin",1-$H1569,IF(LEFT(TRIM(Paramètres!K57),1)="F",1,0)))),IF(Paramètres!L57="",0,IF(Paramètres!M57="",NA(),IF(LEFT(TRIM(Paramètres!M57),1)="F",INDEX($F$1517:$F$1569,MATCH(Paramètres!L57,Paramètres!$G$5:$G$57,0)),INDEX($E$1517:$E$1569,MATCH(Paramètres!L57,Paramètres!$G$5:$G$57,0)))+IF(RIGHT(TRIM(Paramètres!M57),3)="Fin",1-$H1569,IF(LEFT(TRIM(Paramètres!M57),1)="F",1,0)))),IF(Paramètres!N57="",0,IF(Paramètres!O57="",NA(),IF(LEFT(TRIM(Paramètres!O57),1)="F",INDEX($F$1517:$F$1569,MATCH(Paramètres!N57,Paramètres!$G$5:$G$57,0)),INDEX($E$1517:$E$1569,MATCH(Paramètres!N57,Paramètres!$G$5:$G$57,0)))+IF(RIGHT(TRIM(Paramètres!O57),3)="Fin",1-$H1569,IF(LEFT(TRIM(Paramètres!O57),1)="F",1,0)))))))</f>
        <v/>
      </c>
      <c r="F1569" s="19">
        <f>IF($A1569="","",E1569+$H1569-1)</f>
        <v/>
      </c>
      <c r="G1569" s="18" t="n"/>
      <c r="H1569" s="18">
        <f>IF($A1569="","",IF(I1569&lt;&gt;"",I1569,Paramètres!B57))</f>
        <v/>
      </c>
      <c r="I1569" s="18" t="n"/>
    </row>
    <row r="1570">
      <c r="A1570" s="16">
        <f>IF(ISNUMBER(Dossiers!$D$33),Dossiers!$E$33,"")</f>
        <v/>
      </c>
      <c r="B1570" s="16">
        <f>IF($A1570="","","Identifiant")</f>
        <v/>
      </c>
      <c r="C1570" s="16">
        <f>IF($A1570="","","Macro Etape")</f>
        <v/>
      </c>
      <c r="D1570" s="16">
        <f>IF($A1570="","","Etape")</f>
        <v/>
      </c>
      <c r="E1570" s="17">
        <f>IF($A1570="","","Début le")</f>
        <v/>
      </c>
      <c r="F1570" s="17">
        <f>IF($A1570="","","Fin prévue le")</f>
        <v/>
      </c>
      <c r="G1570" s="16">
        <f>IF($A1570="","","Statut")</f>
        <v/>
      </c>
      <c r="H1570" s="16">
        <f>IF($A1570="","","Durée (jours)")</f>
        <v/>
      </c>
      <c r="I1570" s="16">
        <f>IF($A1570="","","Durée particulière")</f>
        <v/>
      </c>
      <c r="J1570" s="10">
        <f>IF($A1570="","",HYPERLINK("#'Tableau de bord'!A1","↑ Tableau de bord"))</f>
        <v/>
      </c>
    </row>
    <row r="1571">
      <c r="A1571" s="18">
        <f>IF(ISNUMBER(Dossiers!$D$33),Dossiers!$A$33&amp;" · "&amp;Dossiers!$B$33,"")</f>
        <v/>
      </c>
      <c r="B1571" s="18">
        <f>IF($A1571="","",Paramètres!G5)</f>
        <v/>
      </c>
      <c r="C1571" s="18">
        <f>IF($A1571="","",IF(Paramètres!H5="","",Paramètres!H5))</f>
        <v/>
      </c>
      <c r="D1571" s="18">
        <f>IF($A1571="","",IF(Paramètres!I5="","",Paramètres!I5))</f>
        <v/>
      </c>
      <c r="E1571" s="19">
        <f>IF($A1571="","",MIN(E1572:E1575))</f>
        <v/>
      </c>
      <c r="F1571" s="19">
        <f>IF($A1571="","",MAX(F1572:F1575))</f>
        <v/>
      </c>
      <c r="G1571" s="18" t="n"/>
      <c r="H1571" s="18">
        <f>IF($A1571="","",F1571-E1571+1)</f>
        <v/>
      </c>
      <c r="I1571" s="18" t="n"/>
    </row>
    <row r="1572">
      <c r="A1572" s="18">
        <f>IF(ISNUMBER(Dossiers!$D$33),Dossiers!$A$33&amp;" · "&amp;Dossiers!$B$33,"")</f>
        <v/>
      </c>
      <c r="B1572" s="18">
        <f>IF($A1572="","",Paramètres!G6)</f>
        <v/>
      </c>
      <c r="C1572" s="18">
        <f>IF($A1572="","",IF(Paramètres!H6="","",Paramètres!H6))</f>
        <v/>
      </c>
      <c r="D1572" s="18">
        <f>IF($A1572="","",IF(Paramètres!I6="","",Paramètres!I6))</f>
        <v/>
      </c>
      <c r="E1572" s="19">
        <f>IF($A1572="","",IF(Paramètres!J6&amp;Paramètres!L6&amp;Paramètres!N6="",Dossiers!$D$33,MAX(IF(Paramètres!J6="",0,IF(Paramètres!K6="",NA(),IF(LEFT(TRIM(Paramètres!K6),1)="F",INDEX($F$1571:$F$1623,MATCH(Paramètres!J6,Paramètres!$G$5:$G$57,0)),INDEX($E$1571:$E$1623,MATCH(Paramètres!J6,Paramètres!$G$5:$G$57,0)))+IF(RIGHT(TRIM(Paramètres!K6),3)="Fin",1-$H1572,IF(LEFT(TRIM(Paramètres!K6),1)="F",1,0)))),IF(Paramètres!L6="",0,IF(Paramètres!M6="",NA(),IF(LEFT(TRIM(Paramètres!M6),1)="F",INDEX($F$1571:$F$1623,MATCH(Paramètres!L6,Paramètres!$G$5:$G$57,0)),INDEX($E$1571:$E$1623,MATCH(Paramètres!L6,Paramètres!$G$5:$G$57,0)))+IF(RIGHT(TRIM(Paramètres!M6),3)="Fin",1-$H1572,IF(LEFT(TRIM(Paramètres!M6),1)="F",1,0)))),IF(Paramètres!N6="",0,IF(Paramètres!O6="",NA(),IF(LEFT(TRIM(Paramètres!O6),1)="F",INDEX($F$1571:$F$1623,MATCH(Paramètres!N6,Paramètres!$G$5:$G$57,0)),INDEX($E$1571:$E$1623,MATCH(Paramètres!N6,Paramètres!$G$5:$G$57,0)))+IF(RIGHT(TRIM(Paramètres!O6),3)="Fin",1-$H1572,IF(LEFT(TRIM(Paramètres!O6),1)="F",1,0)))))))</f>
        <v/>
      </c>
      <c r="F1572" s="19">
        <f>IF($A1572="","",E1572+$H1572-1)</f>
        <v/>
      </c>
      <c r="G1572" s="18" t="n"/>
      <c r="H1572" s="18">
        <f>IF($A1572="","",IF(I1572&lt;&gt;"",I1572,Paramètres!B6))</f>
        <v/>
      </c>
      <c r="I1572" s="18" t="n"/>
    </row>
    <row r="1573">
      <c r="A1573" s="18">
        <f>IF(ISNUMBER(Dossiers!$D$33),Dossiers!$A$33&amp;" · "&amp;Dossiers!$B$33,"")</f>
        <v/>
      </c>
      <c r="B1573" s="18">
        <f>IF($A1573="","",Paramètres!G7)</f>
        <v/>
      </c>
      <c r="C1573" s="18">
        <f>IF($A1573="","",IF(Paramètres!H7="","",Paramètres!H7))</f>
        <v/>
      </c>
      <c r="D1573" s="18">
        <f>IF($A1573="","",IF(Paramètres!I7="","",Paramètres!I7))</f>
        <v/>
      </c>
      <c r="E1573" s="19">
        <f>IF($A1573="","",IF(Paramètres!J7&amp;Paramètres!L7&amp;Paramètres!N7="",Dossiers!$D$33,MAX(IF(Paramètres!J7="",0,IF(Paramètres!K7="",NA(),IF(LEFT(TRIM(Paramètres!K7),1)="F",INDEX($F$1571:$F$1623,MATCH(Paramètres!J7,Paramètres!$G$5:$G$57,0)),INDEX($E$1571:$E$1623,MATCH(Paramètres!J7,Paramètres!$G$5:$G$57,0)))+IF(RIGHT(TRIM(Paramètres!K7),3)="Fin",1-$H1573,IF(LEFT(TRIM(Paramètres!K7),1)="F",1,0)))),IF(Paramètres!L7="",0,IF(Paramètres!M7="",NA(),IF(LEFT(TRIM(Paramètres!M7),1)="F",INDEX($F$1571:$F$1623,MATCH(Paramètres!L7,Paramètres!$G$5:$G$57,0)),INDEX($E$1571:$E$1623,MATCH(Paramètres!L7,Paramètres!$G$5:$G$57,0)))+IF(RIGHT(TRIM(Paramètres!M7),3)="Fin",1-$H1573,IF(LEFT(TRIM(Paramètres!M7),1)="F",1,0)))),IF(Paramètres!N7="",0,IF(Paramètres!O7="",NA(),IF(LEFT(TRIM(Paramètres!O7),1)="F",INDEX($F$1571:$F$1623,MATCH(Paramètres!N7,Paramètres!$G$5:$G$57,0)),INDEX($E$1571:$E$1623,MATCH(Paramètres!N7,Paramètres!$G$5:$G$57,0)))+IF(RIGHT(TRIM(Paramètres!O7),3)="Fin",1-$H1573,IF(LEFT(TRIM(Paramètres!O7),1)="F",1,0)))))))</f>
        <v/>
      </c>
      <c r="F1573" s="19">
        <f>IF($A1573="","",E1573+$H1573-1)</f>
        <v/>
      </c>
      <c r="G1573" s="18" t="n"/>
      <c r="H1573" s="18">
        <f>IF($A1573="","",IF(I1573&lt;&gt;"",I1573,Paramètres!B7))</f>
        <v/>
      </c>
      <c r="I1573" s="18" t="n"/>
    </row>
    <row r="1574">
      <c r="A1574" s="18">
        <f>IF(ISNUMBER(Dossiers!$D$33),Dossiers!$A$33&amp;" · "&amp;Dossiers!$B$33,"")</f>
        <v/>
      </c>
      <c r="B1574" s="18">
        <f>IF($A1574="","",Paramètres!G8)</f>
        <v/>
      </c>
      <c r="C1574" s="18">
        <f>IF($A1574="","",IF(Paramètres!H8="","",Paramètres!H8))</f>
        <v/>
      </c>
      <c r="D1574" s="18">
        <f>IF($A1574="","",IF(Paramètres!I8="","",Paramètres!I8))</f>
        <v/>
      </c>
      <c r="E1574" s="19">
        <f>IF($A1574="","",IF(Paramètres!J8&amp;Paramètres!L8&amp;Paramètres!N8="",Dossiers!$D$33,MAX(IF(Paramètres!J8="",0,IF(Paramètres!K8="",NA(),IF(LEFT(TRIM(Paramètres!K8),1)="F",INDEX($F$1571:$F$1623,MATCH(Paramètres!J8,Paramètres!$G$5:$G$57,0)),INDEX($E$1571:$E$1623,MATCH(Paramètres!J8,Paramètres!$G$5:$G$57,0)))+IF(RIGHT(TRIM(Paramètres!K8),3)="Fin",1-$H1574,IF(LEFT(TRIM(Paramètres!K8),1)="F",1,0)))),IF(Paramètres!L8="",0,IF(Paramètres!M8="",NA(),IF(LEFT(TRIM(Paramètres!M8),1)="F",INDEX($F$1571:$F$1623,MATCH(Paramètres!L8,Paramètres!$G$5:$G$57,0)),INDEX($E$1571:$E$1623,MATCH(Paramètres!L8,Paramètres!$G$5:$G$57,0)))+IF(RIGHT(TRIM(Paramètres!M8),3)="Fin",1-$H1574,IF(LEFT(TRIM(Paramètres!M8),1)="F",1,0)))),IF(Paramètres!N8="",0,IF(Paramètres!O8="",NA(),IF(LEFT(TRIM(Paramètres!O8),1)="F",INDEX($F$1571:$F$1623,MATCH(Paramètres!N8,Paramètres!$G$5:$G$57,0)),INDEX($E$1571:$E$1623,MATCH(Paramètres!N8,Paramètres!$G$5:$G$57,0)))+IF(RIGHT(TRIM(Paramètres!O8),3)="Fin",1-$H1574,IF(LEFT(TRIM(Paramètres!O8),1)="F",1,0)))))))</f>
        <v/>
      </c>
      <c r="F1574" s="19">
        <f>IF($A1574="","",E1574+$H1574-1)</f>
        <v/>
      </c>
      <c r="G1574" s="18" t="n"/>
      <c r="H1574" s="18">
        <f>IF($A1574="","",IF(I1574&lt;&gt;"",I1574,Paramètres!B8))</f>
        <v/>
      </c>
      <c r="I1574" s="18" t="n"/>
    </row>
    <row r="1575">
      <c r="A1575" s="18">
        <f>IF(ISNUMBER(Dossiers!$D$33),Dossiers!$A$33&amp;" · "&amp;Dossiers!$B$33,"")</f>
        <v/>
      </c>
      <c r="B1575" s="18">
        <f>IF($A1575="","",Paramètres!G9)</f>
        <v/>
      </c>
      <c r="C1575" s="18">
        <f>IF($A1575="","",IF(Paramètres!H9="","",Paramètres!H9))</f>
        <v/>
      </c>
      <c r="D1575" s="18">
        <f>IF($A1575="","",IF(Paramètres!I9="","",Paramètres!I9))</f>
        <v/>
      </c>
      <c r="E1575" s="19">
        <f>IF($A1575="","",IF(Paramètres!J9&amp;Paramètres!L9&amp;Paramètres!N9="",Dossiers!$D$33,MAX(IF(Paramètres!J9="",0,IF(Paramètres!K9="",NA(),IF(LEFT(TRIM(Paramètres!K9),1)="F",INDEX($F$1571:$F$1623,MATCH(Paramètres!J9,Paramètres!$G$5:$G$57,0)),INDEX($E$1571:$E$1623,MATCH(Paramètres!J9,Paramètres!$G$5:$G$57,0)))+IF(RIGHT(TRIM(Paramètres!K9),3)="Fin",1-$H1575,IF(LEFT(TRIM(Paramètres!K9),1)="F",1,0)))),IF(Paramètres!L9="",0,IF(Paramètres!M9="",NA(),IF(LEFT(TRIM(Paramètres!M9),1)="F",INDEX($F$1571:$F$1623,MATCH(Paramètres!L9,Paramètres!$G$5:$G$57,0)),INDEX($E$1571:$E$1623,MATCH(Paramètres!L9,Paramètres!$G$5:$G$57,0)))+IF(RIGHT(TRIM(Paramètres!M9),3)="Fin",1-$H1575,IF(LEFT(TRIM(Paramètres!M9),1)="F",1,0)))),IF(Paramètres!N9="",0,IF(Paramètres!O9="",NA(),IF(LEFT(TRIM(Paramètres!O9),1)="F",INDEX($F$1571:$F$1623,MATCH(Paramètres!N9,Paramètres!$G$5:$G$57,0)),INDEX($E$1571:$E$1623,MATCH(Paramètres!N9,Paramètres!$G$5:$G$57,0)))+IF(RIGHT(TRIM(Paramètres!O9),3)="Fin",1-$H1575,IF(LEFT(TRIM(Paramètres!O9),1)="F",1,0)))))))</f>
        <v/>
      </c>
      <c r="F1575" s="19">
        <f>IF($A1575="","",E1575+$H1575-1)</f>
        <v/>
      </c>
      <c r="G1575" s="18" t="n"/>
      <c r="H1575" s="18">
        <f>IF($A1575="","",IF(I1575&lt;&gt;"",I1575,Paramètres!B9))</f>
        <v/>
      </c>
      <c r="I1575" s="18" t="n"/>
    </row>
    <row r="1576">
      <c r="A1576" s="18">
        <f>IF(ISNUMBER(Dossiers!$D$33),Dossiers!$A$33&amp;" · "&amp;Dossiers!$B$33,"")</f>
        <v/>
      </c>
      <c r="B1576" s="18">
        <f>IF($A1576="","",Paramètres!G10)</f>
        <v/>
      </c>
      <c r="C1576" s="18">
        <f>IF($A1576="","",IF(Paramètres!H10="","",Paramètres!H10))</f>
        <v/>
      </c>
      <c r="D1576" s="18">
        <f>IF($A1576="","",IF(Paramètres!I10="","",Paramètres!I10))</f>
        <v/>
      </c>
      <c r="E1576" s="19">
        <f>IF($A1576="","",MIN(E1577:E1580))</f>
        <v/>
      </c>
      <c r="F1576" s="19">
        <f>IF($A1576="","",MAX(F1577:F1580))</f>
        <v/>
      </c>
      <c r="G1576" s="18" t="n"/>
      <c r="H1576" s="18">
        <f>IF($A1576="","",F1576-E1576+1)</f>
        <v/>
      </c>
      <c r="I1576" s="18" t="n"/>
    </row>
    <row r="1577">
      <c r="A1577" s="18">
        <f>IF(ISNUMBER(Dossiers!$D$33),Dossiers!$A$33&amp;" · "&amp;Dossiers!$B$33,"")</f>
        <v/>
      </c>
      <c r="B1577" s="18">
        <f>IF($A1577="","",Paramètres!G11)</f>
        <v/>
      </c>
      <c r="C1577" s="18">
        <f>IF($A1577="","",IF(Paramètres!H11="","",Paramètres!H11))</f>
        <v/>
      </c>
      <c r="D1577" s="18">
        <f>IF($A1577="","",IF(Paramètres!I11="","",Paramètres!I11))</f>
        <v/>
      </c>
      <c r="E1577" s="19">
        <f>IF($A1577="","",IF(Paramètres!J11&amp;Paramètres!L11&amp;Paramètres!N11="",Dossiers!$D$33,MAX(IF(Paramètres!J11="",0,IF(Paramètres!K11="",NA(),IF(LEFT(TRIM(Paramètres!K11),1)="F",INDEX($F$1571:$F$1623,MATCH(Paramètres!J11,Paramètres!$G$5:$G$57,0)),INDEX($E$1571:$E$1623,MATCH(Paramètres!J11,Paramètres!$G$5:$G$57,0)))+IF(RIGHT(TRIM(Paramètres!K11),3)="Fin",1-$H1577,IF(LEFT(TRIM(Paramètres!K11),1)="F",1,0)))),IF(Paramètres!L11="",0,IF(Paramètres!M11="",NA(),IF(LEFT(TRIM(Paramètres!M11),1)="F",INDEX($F$1571:$F$1623,MATCH(Paramètres!L11,Paramètres!$G$5:$G$57,0)),INDEX($E$1571:$E$1623,MATCH(Paramètres!L11,Paramètres!$G$5:$G$57,0)))+IF(RIGHT(TRIM(Paramètres!M11),3)="Fin",1-$H1577,IF(LEFT(TRIM(Paramètres!M11),1)="F",1,0)))),IF(Paramètres!N11="",0,IF(Paramètres!O11="",NA(),IF(LEFT(TRIM(Paramètres!O11),1)="F",INDEX($F$1571:$F$1623,MATCH(Paramètres!N11,Paramètres!$G$5:$G$57,0)),INDEX($E$1571:$E$1623,MATCH(Paramètres!N11,Paramètres!$G$5:$G$57,0)))+IF(RIGHT(TRIM(Paramètres!O11),3)="Fin",1-$H1577,IF(LEFT(TRIM(Paramètres!O11),1)="F",1,0)))))))</f>
        <v/>
      </c>
      <c r="F1577" s="19">
        <f>IF($A1577="","",E1577+$H1577-1)</f>
        <v/>
      </c>
      <c r="G1577" s="18" t="n"/>
      <c r="H1577" s="18">
        <f>IF($A1577="","",IF(I1577&lt;&gt;"",I1577,Paramètres!B11))</f>
        <v/>
      </c>
      <c r="I1577" s="18" t="n"/>
    </row>
    <row r="1578">
      <c r="A1578" s="18">
        <f>IF(ISNUMBER(Dossiers!$D$33),Dossiers!$A$33&amp;" · "&amp;Dossiers!$B$33,"")</f>
        <v/>
      </c>
      <c r="B1578" s="18">
        <f>IF($A1578="","",Paramètres!G12)</f>
        <v/>
      </c>
      <c r="C1578" s="18">
        <f>IF($A1578="","",IF(Paramètres!H12="","",Paramètres!H12))</f>
        <v/>
      </c>
      <c r="D1578" s="18">
        <f>IF($A1578="","",IF(Paramètres!I12="","",Paramètres!I12))</f>
        <v/>
      </c>
      <c r="E1578" s="19">
        <f>IF($A1578="","",IF(Paramètres!J12&amp;Paramètres!L12&amp;Paramètres!N12="",Dossiers!$D$33,MAX(IF(Paramètres!J12="",0,IF(Paramètres!K12="",NA(),IF(LEFT(TRIM(Paramètres!K12),1)="F",INDEX($F$1571:$F$1623,MATCH(Paramètres!J12,Paramètres!$G$5:$G$57,0)),INDEX($E$1571:$E$1623,MATCH(Paramètres!J12,Paramètres!$G$5:$G$57,0)))+IF(RIGHT(TRIM(Paramètres!K12),3)="Fin",1-$H1578,IF(LEFT(TRIM(Paramètres!K12),1)="F",1,0)))),IF(Paramètres!L12="",0,IF(Paramètres!M12="",NA(),IF(LEFT(TRIM(Paramètres!M12),1)="F",INDEX($F$1571:$F$1623,MATCH(Paramètres!L12,Paramètres!$G$5:$G$57,0)),INDEX($E$1571:$E$1623,MATCH(Paramètres!L12,Paramètres!$G$5:$G$57,0)))+IF(RIGHT(TRIM(Paramètres!M12),3)="Fin",1-$H1578,IF(LEFT(TRIM(Paramètres!M12),1)="F",1,0)))),IF(Paramètres!N12="",0,IF(Paramètres!O12="",NA(),IF(LEFT(TRIM(Paramètres!O12),1)="F",INDEX($F$1571:$F$1623,MATCH(Paramètres!N12,Paramètres!$G$5:$G$57,0)),INDEX($E$1571:$E$1623,MATCH(Paramètres!N12,Paramètres!$G$5:$G$57,0)))+IF(RIGHT(TRIM(Paramètres!O12),3)="Fin",1-$H1578,IF(LEFT(TRIM(Paramètres!O12),1)="F",1,0)))))))</f>
        <v/>
      </c>
      <c r="F1578" s="19">
        <f>IF($A1578="","",E1578+$H1578-1)</f>
        <v/>
      </c>
      <c r="G1578" s="18" t="n"/>
      <c r="H1578" s="18">
        <f>IF($A1578="","",IF(I1578&lt;&gt;"",I1578,Paramètres!B12))</f>
        <v/>
      </c>
      <c r="I1578" s="18" t="n"/>
    </row>
    <row r="1579">
      <c r="A1579" s="18">
        <f>IF(ISNUMBER(Dossiers!$D$33),Dossiers!$A$33&amp;" · "&amp;Dossiers!$B$33,"")</f>
        <v/>
      </c>
      <c r="B1579" s="18">
        <f>IF($A1579="","",Paramètres!G13)</f>
        <v/>
      </c>
      <c r="C1579" s="18">
        <f>IF($A1579="","",IF(Paramètres!H13="","",Paramètres!H13))</f>
        <v/>
      </c>
      <c r="D1579" s="18">
        <f>IF($A1579="","",IF(Paramètres!I13="","",Paramètres!I13))</f>
        <v/>
      </c>
      <c r="E1579" s="19">
        <f>IF($A1579="","",IF(Paramètres!J13&amp;Paramètres!L13&amp;Paramètres!N13="",Dossiers!$D$33,MAX(IF(Paramètres!J13="",0,IF(Paramètres!K13="",NA(),IF(LEFT(TRIM(Paramètres!K13),1)="F",INDEX($F$1571:$F$1623,MATCH(Paramètres!J13,Paramètres!$G$5:$G$57,0)),INDEX($E$1571:$E$1623,MATCH(Paramètres!J13,Paramètres!$G$5:$G$57,0)))+IF(RIGHT(TRIM(Paramètres!K13),3)="Fin",1-$H1579,IF(LEFT(TRIM(Paramètres!K13),1)="F",1,0)))),IF(Paramètres!L13="",0,IF(Paramètres!M13="",NA(),IF(LEFT(TRIM(Paramètres!M13),1)="F",INDEX($F$1571:$F$1623,MATCH(Paramètres!L13,Paramètres!$G$5:$G$57,0)),INDEX($E$1571:$E$1623,MATCH(Paramètres!L13,Paramètres!$G$5:$G$57,0)))+IF(RIGHT(TRIM(Paramètres!M13),3)="Fin",1-$H1579,IF(LEFT(TRIM(Paramètres!M13),1)="F",1,0)))),IF(Paramètres!N13="",0,IF(Paramètres!O13="",NA(),IF(LEFT(TRIM(Paramètres!O13),1)="F",INDEX($F$1571:$F$1623,MATCH(Paramètres!N13,Paramètres!$G$5:$G$57,0)),INDEX($E$1571:$E$1623,MATCH(Paramètres!N13,Paramètres!$G$5:$G$57,0)))+IF(RIGHT(TRIM(Paramètres!O13),3)="Fin",1-$H1579,IF(LEFT(TRIM(Paramètres!O13),1)="F",1,0)))))))</f>
        <v/>
      </c>
      <c r="F1579" s="19">
        <f>IF($A1579="","",E1579+$H1579-1)</f>
        <v/>
      </c>
      <c r="G1579" s="18" t="n"/>
      <c r="H1579" s="18">
        <f>IF($A1579="","",IF(I1579&lt;&gt;"",I1579,Paramètres!B13))</f>
        <v/>
      </c>
      <c r="I1579" s="18" t="n"/>
    </row>
    <row r="1580">
      <c r="A1580" s="18">
        <f>IF(ISNUMBER(Dossiers!$D$33),Dossiers!$A$33&amp;" · "&amp;Dossiers!$B$33,"")</f>
        <v/>
      </c>
      <c r="B1580" s="18">
        <f>IF($A1580="","",Paramètres!G14)</f>
        <v/>
      </c>
      <c r="C1580" s="18">
        <f>IF($A1580="","",IF(Paramètres!H14="","",Paramètres!H14))</f>
        <v/>
      </c>
      <c r="D1580" s="18">
        <f>IF($A1580="","",IF(Paramètres!I14="","",Paramètres!I14))</f>
        <v/>
      </c>
      <c r="E1580" s="19">
        <f>IF($A1580="","",IF(Paramètres!J14&amp;Paramètres!L14&amp;Paramètres!N14="",Dossiers!$D$33,MAX(IF(Paramètres!J14="",0,IF(Paramètres!K14="",NA(),IF(LEFT(TRIM(Paramètres!K14),1)="F",INDEX($F$1571:$F$1623,MATCH(Paramètres!J14,Paramètres!$G$5:$G$57,0)),INDEX($E$1571:$E$1623,MATCH(Paramètres!J14,Paramètres!$G$5:$G$57,0)))+IF(RIGHT(TRIM(Paramètres!K14),3)="Fin",1-$H1580,IF(LEFT(TRIM(Paramètres!K14),1)="F",1,0)))),IF(Paramètres!L14="",0,IF(Paramètres!M14="",NA(),IF(LEFT(TRIM(Paramètres!M14),1)="F",INDEX($F$1571:$F$1623,MATCH(Paramètres!L14,Paramètres!$G$5:$G$57,0)),INDEX($E$1571:$E$1623,MATCH(Paramètres!L14,Paramètres!$G$5:$G$57,0)))+IF(RIGHT(TRIM(Paramètres!M14),3)="Fin",1-$H1580,IF(LEFT(TRIM(Paramètres!M14),1)="F",1,0)))),IF(Paramètres!N14="",0,IF(Paramètres!O14="",NA(),IF(LEFT(TRIM(Paramètres!O14),1)="F",INDEX($F$1571:$F$1623,MATCH(Paramètres!N14,Paramètres!$G$5:$G$57,0)),INDEX($E$1571:$E$1623,MATCH(Paramètres!N14,Paramètres!$G$5:$G$57,0)))+IF(RIGHT(TRIM(Paramètres!O14),3)="Fin",1-$H1580,IF(LEFT(TRIM(Paramètres!O14),1)="F",1,0)))))))</f>
        <v/>
      </c>
      <c r="F1580" s="19">
        <f>IF($A1580="","",E1580+$H1580-1)</f>
        <v/>
      </c>
      <c r="G1580" s="18" t="n"/>
      <c r="H1580" s="18">
        <f>IF($A1580="","",IF(I1580&lt;&gt;"",I1580,Paramètres!B14))</f>
        <v/>
      </c>
      <c r="I1580" s="18" t="n"/>
    </row>
    <row r="1581">
      <c r="A1581" s="18">
        <f>IF(ISNUMBER(Dossiers!$D$33),Dossiers!$A$33&amp;" · "&amp;Dossiers!$B$33,"")</f>
        <v/>
      </c>
      <c r="B1581" s="18">
        <f>IF($A1581="","",Paramètres!G15)</f>
        <v/>
      </c>
      <c r="C1581" s="18">
        <f>IF($A1581="","",IF(Paramètres!H15="","",Paramètres!H15))</f>
        <v/>
      </c>
      <c r="D1581" s="18">
        <f>IF($A1581="","",IF(Paramètres!I15="","",Paramètres!I15))</f>
        <v/>
      </c>
      <c r="E1581" s="19">
        <f>IF($A1581="","",MIN(E1582:E1597))</f>
        <v/>
      </c>
      <c r="F1581" s="19">
        <f>IF($A1581="","",MAX(F1582:F1597))</f>
        <v/>
      </c>
      <c r="G1581" s="18" t="n"/>
      <c r="H1581" s="18">
        <f>IF($A1581="","",F1581-E1581+1)</f>
        <v/>
      </c>
      <c r="I1581" s="18" t="n"/>
    </row>
    <row r="1582">
      <c r="A1582" s="18">
        <f>IF(ISNUMBER(Dossiers!$D$33),Dossiers!$A$33&amp;" · "&amp;Dossiers!$B$33,"")</f>
        <v/>
      </c>
      <c r="B1582" s="18">
        <f>IF($A1582="","",Paramètres!G16)</f>
        <v/>
      </c>
      <c r="C1582" s="18">
        <f>IF($A1582="","",IF(Paramètres!H16="","",Paramètres!H16))</f>
        <v/>
      </c>
      <c r="D1582" s="18">
        <f>IF($A1582="","",IF(Paramètres!I16="","",Paramètres!I16))</f>
        <v/>
      </c>
      <c r="E1582" s="19">
        <f>IF($A1582="","",IF(Paramètres!J16&amp;Paramètres!L16&amp;Paramètres!N16="",Dossiers!$D$33,MAX(IF(Paramètres!J16="",0,IF(Paramètres!K16="",NA(),IF(LEFT(TRIM(Paramètres!K16),1)="F",INDEX($F$1571:$F$1623,MATCH(Paramètres!J16,Paramètres!$G$5:$G$57,0)),INDEX($E$1571:$E$1623,MATCH(Paramètres!J16,Paramètres!$G$5:$G$57,0)))+IF(RIGHT(TRIM(Paramètres!K16),3)="Fin",1-$H1582,IF(LEFT(TRIM(Paramètres!K16),1)="F",1,0)))),IF(Paramètres!L16="",0,IF(Paramètres!M16="",NA(),IF(LEFT(TRIM(Paramètres!M16),1)="F",INDEX($F$1571:$F$1623,MATCH(Paramètres!L16,Paramètres!$G$5:$G$57,0)),INDEX($E$1571:$E$1623,MATCH(Paramètres!L16,Paramètres!$G$5:$G$57,0)))+IF(RIGHT(TRIM(Paramètres!M16),3)="Fin",1-$H1582,IF(LEFT(TRIM(Paramètres!M16),1)="F",1,0)))),IF(Paramètres!N16="",0,IF(Paramètres!O16="",NA(),IF(LEFT(TRIM(Paramètres!O16),1)="F",INDEX($F$1571:$F$1623,MATCH(Paramètres!N16,Paramètres!$G$5:$G$57,0)),INDEX($E$1571:$E$1623,MATCH(Paramètres!N16,Paramètres!$G$5:$G$57,0)))+IF(RIGHT(TRIM(Paramètres!O16),3)="Fin",1-$H1582,IF(LEFT(TRIM(Paramètres!O16),1)="F",1,0)))))))</f>
        <v/>
      </c>
      <c r="F1582" s="19">
        <f>IF($A1582="","",E1582+$H1582-1)</f>
        <v/>
      </c>
      <c r="G1582" s="18" t="n"/>
      <c r="H1582" s="18">
        <f>IF($A1582="","",IF(I1582&lt;&gt;"",I1582,Paramètres!B16))</f>
        <v/>
      </c>
      <c r="I1582" s="18" t="n"/>
    </row>
    <row r="1583">
      <c r="A1583" s="18">
        <f>IF(ISNUMBER(Dossiers!$D$33),Dossiers!$A$33&amp;" · "&amp;Dossiers!$B$33,"")</f>
        <v/>
      </c>
      <c r="B1583" s="18">
        <f>IF($A1583="","",Paramètres!G17)</f>
        <v/>
      </c>
      <c r="C1583" s="18">
        <f>IF($A1583="","",IF(Paramètres!H17="","",Paramètres!H17))</f>
        <v/>
      </c>
      <c r="D1583" s="18">
        <f>IF($A1583="","",IF(Paramètres!I17="","",Paramètres!I17))</f>
        <v/>
      </c>
      <c r="E1583" s="19">
        <f>IF($A1583="","",IF(Paramètres!J17&amp;Paramètres!L17&amp;Paramètres!N17="",Dossiers!$D$33,MAX(IF(Paramètres!J17="",0,IF(Paramètres!K17="",NA(),IF(LEFT(TRIM(Paramètres!K17),1)="F",INDEX($F$1571:$F$1623,MATCH(Paramètres!J17,Paramètres!$G$5:$G$57,0)),INDEX($E$1571:$E$1623,MATCH(Paramètres!J17,Paramètres!$G$5:$G$57,0)))+IF(RIGHT(TRIM(Paramètres!K17),3)="Fin",1-$H1583,IF(LEFT(TRIM(Paramètres!K17),1)="F",1,0)))),IF(Paramètres!L17="",0,IF(Paramètres!M17="",NA(),IF(LEFT(TRIM(Paramètres!M17),1)="F",INDEX($F$1571:$F$1623,MATCH(Paramètres!L17,Paramètres!$G$5:$G$57,0)),INDEX($E$1571:$E$1623,MATCH(Paramètres!L17,Paramètres!$G$5:$G$57,0)))+IF(RIGHT(TRIM(Paramètres!M17),3)="Fin",1-$H1583,IF(LEFT(TRIM(Paramètres!M17),1)="F",1,0)))),IF(Paramètres!N17="",0,IF(Paramètres!O17="",NA(),IF(LEFT(TRIM(Paramètres!O17),1)="F",INDEX($F$1571:$F$1623,MATCH(Paramètres!N17,Paramètres!$G$5:$G$57,0)),INDEX($E$1571:$E$1623,MATCH(Paramètres!N17,Paramètres!$G$5:$G$57,0)))+IF(RIGHT(TRIM(Paramètres!O17),3)="Fin",1-$H1583,IF(LEFT(TRIM(Paramètres!O17),1)="F",1,0)))))))</f>
        <v/>
      </c>
      <c r="F1583" s="19">
        <f>IF($A1583="","",E1583+$H1583-1)</f>
        <v/>
      </c>
      <c r="G1583" s="18" t="n"/>
      <c r="H1583" s="18">
        <f>IF($A1583="","",IF(I1583&lt;&gt;"",I1583,Paramètres!B17))</f>
        <v/>
      </c>
      <c r="I1583" s="18" t="n"/>
    </row>
    <row r="1584">
      <c r="A1584" s="18">
        <f>IF(ISNUMBER(Dossiers!$D$33),Dossiers!$A$33&amp;" · "&amp;Dossiers!$B$33,"")</f>
        <v/>
      </c>
      <c r="B1584" s="18">
        <f>IF($A1584="","",Paramètres!G18)</f>
        <v/>
      </c>
      <c r="C1584" s="18">
        <f>IF($A1584="","",IF(Paramètres!H18="","",Paramètres!H18))</f>
        <v/>
      </c>
      <c r="D1584" s="18">
        <f>IF($A1584="","",IF(Paramètres!I18="","",Paramètres!I18))</f>
        <v/>
      </c>
      <c r="E1584" s="19">
        <f>IF($A1584="","",IF(Paramètres!J18&amp;Paramètres!L18&amp;Paramètres!N18="",Dossiers!$D$33,MAX(IF(Paramètres!J18="",0,IF(Paramètres!K18="",NA(),IF(LEFT(TRIM(Paramètres!K18),1)="F",INDEX($F$1571:$F$1623,MATCH(Paramètres!J18,Paramètres!$G$5:$G$57,0)),INDEX($E$1571:$E$1623,MATCH(Paramètres!J18,Paramètres!$G$5:$G$57,0)))+IF(RIGHT(TRIM(Paramètres!K18),3)="Fin",1-$H1584,IF(LEFT(TRIM(Paramètres!K18),1)="F",1,0)))),IF(Paramètres!L18="",0,IF(Paramètres!M18="",NA(),IF(LEFT(TRIM(Paramètres!M18),1)="F",INDEX($F$1571:$F$1623,MATCH(Paramètres!L18,Paramètres!$G$5:$G$57,0)),INDEX($E$1571:$E$1623,MATCH(Paramètres!L18,Paramètres!$G$5:$G$57,0)))+IF(RIGHT(TRIM(Paramètres!M18),3)="Fin",1-$H1584,IF(LEFT(TRIM(Paramètres!M18),1)="F",1,0)))),IF(Paramètres!N18="",0,IF(Paramètres!O18="",NA(),IF(LEFT(TRIM(Paramètres!O18),1)="F",INDEX($F$1571:$F$1623,MATCH(Paramètres!N18,Paramètres!$G$5:$G$57,0)),INDEX($E$1571:$E$1623,MATCH(Paramètres!N18,Paramètres!$G$5:$G$57,0)))+IF(RIGHT(TRIM(Paramètres!O18),3)="Fin",1-$H1584,IF(LEFT(TRIM(Paramètres!O18),1)="F",1,0)))))))</f>
        <v/>
      </c>
      <c r="F1584" s="19">
        <f>IF($A1584="","",E1584+$H1584-1)</f>
        <v/>
      </c>
      <c r="G1584" s="18" t="n"/>
      <c r="H1584" s="18">
        <f>IF($A1584="","",IF(I1584&lt;&gt;"",I1584,Paramètres!B18))</f>
        <v/>
      </c>
      <c r="I1584" s="18" t="n"/>
    </row>
    <row r="1585">
      <c r="A1585" s="18">
        <f>IF(ISNUMBER(Dossiers!$D$33),Dossiers!$A$33&amp;" · "&amp;Dossiers!$B$33,"")</f>
        <v/>
      </c>
      <c r="B1585" s="18">
        <f>IF($A1585="","",Paramètres!G19)</f>
        <v/>
      </c>
      <c r="C1585" s="18">
        <f>IF($A1585="","",IF(Paramètres!H19="","",Paramètres!H19))</f>
        <v/>
      </c>
      <c r="D1585" s="18">
        <f>IF($A1585="","",IF(Paramètres!I19="","",Paramètres!I19))</f>
        <v/>
      </c>
      <c r="E1585" s="19">
        <f>IF($A1585="","",IF(Paramètres!J19&amp;Paramètres!L19&amp;Paramètres!N19="",Dossiers!$D$33,MAX(IF(Paramètres!J19="",0,IF(Paramètres!K19="",NA(),IF(LEFT(TRIM(Paramètres!K19),1)="F",INDEX($F$1571:$F$1623,MATCH(Paramètres!J19,Paramètres!$G$5:$G$57,0)),INDEX($E$1571:$E$1623,MATCH(Paramètres!J19,Paramètres!$G$5:$G$57,0)))+IF(RIGHT(TRIM(Paramètres!K19),3)="Fin",1-$H1585,IF(LEFT(TRIM(Paramètres!K19),1)="F",1,0)))),IF(Paramètres!L19="",0,IF(Paramètres!M19="",NA(),IF(LEFT(TRIM(Paramètres!M19),1)="F",INDEX($F$1571:$F$1623,MATCH(Paramètres!L19,Paramètres!$G$5:$G$57,0)),INDEX($E$1571:$E$1623,MATCH(Paramètres!L19,Paramètres!$G$5:$G$57,0)))+IF(RIGHT(TRIM(Paramètres!M19),3)="Fin",1-$H1585,IF(LEFT(TRIM(Paramètres!M19),1)="F",1,0)))),IF(Paramètres!N19="",0,IF(Paramètres!O19="",NA(),IF(LEFT(TRIM(Paramètres!O19),1)="F",INDEX($F$1571:$F$1623,MATCH(Paramètres!N19,Paramètres!$G$5:$G$57,0)),INDEX($E$1571:$E$1623,MATCH(Paramètres!N19,Paramètres!$G$5:$G$57,0)))+IF(RIGHT(TRIM(Paramètres!O19),3)="Fin",1-$H1585,IF(LEFT(TRIM(Paramètres!O19),1)="F",1,0)))))))</f>
        <v/>
      </c>
      <c r="F1585" s="19">
        <f>IF($A1585="","",E1585+$H1585-1)</f>
        <v/>
      </c>
      <c r="G1585" s="18" t="n"/>
      <c r="H1585" s="18">
        <f>IF($A1585="","",IF(I1585&lt;&gt;"",I1585,Paramètres!B19))</f>
        <v/>
      </c>
      <c r="I1585" s="18" t="n"/>
    </row>
    <row r="1586">
      <c r="A1586" s="18">
        <f>IF(ISNUMBER(Dossiers!$D$33),Dossiers!$A$33&amp;" · "&amp;Dossiers!$B$33,"")</f>
        <v/>
      </c>
      <c r="B1586" s="18">
        <f>IF($A1586="","",Paramètres!G20)</f>
        <v/>
      </c>
      <c r="C1586" s="18">
        <f>IF($A1586="","",IF(Paramètres!H20="","",Paramètres!H20))</f>
        <v/>
      </c>
      <c r="D1586" s="18">
        <f>IF($A1586="","",IF(Paramètres!I20="","",Paramètres!I20))</f>
        <v/>
      </c>
      <c r="E1586" s="19">
        <f>IF($A1586="","",IF(Paramètres!J20&amp;Paramètres!L20&amp;Paramètres!N20="",Dossiers!$D$33,MAX(IF(Paramètres!J20="",0,IF(Paramètres!K20="",NA(),IF(LEFT(TRIM(Paramètres!K20),1)="F",INDEX($F$1571:$F$1623,MATCH(Paramètres!J20,Paramètres!$G$5:$G$57,0)),INDEX($E$1571:$E$1623,MATCH(Paramètres!J20,Paramètres!$G$5:$G$57,0)))+IF(RIGHT(TRIM(Paramètres!K20),3)="Fin",1-$H1586,IF(LEFT(TRIM(Paramètres!K20),1)="F",1,0)))),IF(Paramètres!L20="",0,IF(Paramètres!M20="",NA(),IF(LEFT(TRIM(Paramètres!M20),1)="F",INDEX($F$1571:$F$1623,MATCH(Paramètres!L20,Paramètres!$G$5:$G$57,0)),INDEX($E$1571:$E$1623,MATCH(Paramètres!L20,Paramètres!$G$5:$G$57,0)))+IF(RIGHT(TRIM(Paramètres!M20),3)="Fin",1-$H1586,IF(LEFT(TRIM(Paramètres!M20),1)="F",1,0)))),IF(Paramètres!N20="",0,IF(Paramètres!O20="",NA(),IF(LEFT(TRIM(Paramètres!O20),1)="F",INDEX($F$1571:$F$1623,MATCH(Paramètres!N20,Paramètres!$G$5:$G$57,0)),INDEX($E$1571:$E$1623,MATCH(Paramètres!N20,Paramètres!$G$5:$G$57,0)))+IF(RIGHT(TRIM(Paramètres!O20),3)="Fin",1-$H1586,IF(LEFT(TRIM(Paramètres!O20),1)="F",1,0)))))))</f>
        <v/>
      </c>
      <c r="F1586" s="19">
        <f>IF($A1586="","",E1586+$H1586-1)</f>
        <v/>
      </c>
      <c r="G1586" s="18" t="n"/>
      <c r="H1586" s="18">
        <f>IF($A1586="","",IF(I1586&lt;&gt;"",I1586,Paramètres!B20))</f>
        <v/>
      </c>
      <c r="I1586" s="18" t="n"/>
    </row>
    <row r="1587">
      <c r="A1587" s="18">
        <f>IF(ISNUMBER(Dossiers!$D$33),Dossiers!$A$33&amp;" · "&amp;Dossiers!$B$33,"")</f>
        <v/>
      </c>
      <c r="B1587" s="18">
        <f>IF($A1587="","",Paramètres!G21)</f>
        <v/>
      </c>
      <c r="C1587" s="18">
        <f>IF($A1587="","",IF(Paramètres!H21="","",Paramètres!H21))</f>
        <v/>
      </c>
      <c r="D1587" s="18">
        <f>IF($A1587="","",IF(Paramètres!I21="","",Paramètres!I21))</f>
        <v/>
      </c>
      <c r="E1587" s="19">
        <f>IF($A1587="","",IF(Paramètres!J21&amp;Paramètres!L21&amp;Paramètres!N21="",Dossiers!$D$33,MAX(IF(Paramètres!J21="",0,IF(Paramètres!K21="",NA(),IF(LEFT(TRIM(Paramètres!K21),1)="F",INDEX($F$1571:$F$1623,MATCH(Paramètres!J21,Paramètres!$G$5:$G$57,0)),INDEX($E$1571:$E$1623,MATCH(Paramètres!J21,Paramètres!$G$5:$G$57,0)))+IF(RIGHT(TRIM(Paramètres!K21),3)="Fin",1-$H1587,IF(LEFT(TRIM(Paramètres!K21),1)="F",1,0)))),IF(Paramètres!L21="",0,IF(Paramètres!M21="",NA(),IF(LEFT(TRIM(Paramètres!M21),1)="F",INDEX($F$1571:$F$1623,MATCH(Paramètres!L21,Paramètres!$G$5:$G$57,0)),INDEX($E$1571:$E$1623,MATCH(Paramètres!L21,Paramètres!$G$5:$G$57,0)))+IF(RIGHT(TRIM(Paramètres!M21),3)="Fin",1-$H1587,IF(LEFT(TRIM(Paramètres!M21),1)="F",1,0)))),IF(Paramètres!N21="",0,IF(Paramètres!O21="",NA(),IF(LEFT(TRIM(Paramètres!O21),1)="F",INDEX($F$1571:$F$1623,MATCH(Paramètres!N21,Paramètres!$G$5:$G$57,0)),INDEX($E$1571:$E$1623,MATCH(Paramètres!N21,Paramètres!$G$5:$G$57,0)))+IF(RIGHT(TRIM(Paramètres!O21),3)="Fin",1-$H1587,IF(LEFT(TRIM(Paramètres!O21),1)="F",1,0)))))))</f>
        <v/>
      </c>
      <c r="F1587" s="19">
        <f>IF($A1587="","",E1587+$H1587-1)</f>
        <v/>
      </c>
      <c r="G1587" s="18" t="n"/>
      <c r="H1587" s="18">
        <f>IF($A1587="","",IF(I1587&lt;&gt;"",I1587,Paramètres!B21))</f>
        <v/>
      </c>
      <c r="I1587" s="18" t="n"/>
    </row>
    <row r="1588">
      <c r="A1588" s="18">
        <f>IF(ISNUMBER(Dossiers!$D$33),Dossiers!$A$33&amp;" · "&amp;Dossiers!$B$33,"")</f>
        <v/>
      </c>
      <c r="B1588" s="18">
        <f>IF($A1588="","",Paramètres!G22)</f>
        <v/>
      </c>
      <c r="C1588" s="18">
        <f>IF($A1588="","",IF(Paramètres!H22="","",Paramètres!H22))</f>
        <v/>
      </c>
      <c r="D1588" s="18">
        <f>IF($A1588="","",IF(Paramètres!I22="","",Paramètres!I22))</f>
        <v/>
      </c>
      <c r="E1588" s="19">
        <f>IF($A1588="","",IF(Paramètres!J22&amp;Paramètres!L22&amp;Paramètres!N22="",Dossiers!$D$33,MAX(IF(Paramètres!J22="",0,IF(Paramètres!K22="",NA(),IF(LEFT(TRIM(Paramètres!K22),1)="F",INDEX($F$1571:$F$1623,MATCH(Paramètres!J22,Paramètres!$G$5:$G$57,0)),INDEX($E$1571:$E$1623,MATCH(Paramètres!J22,Paramètres!$G$5:$G$57,0)))+IF(RIGHT(TRIM(Paramètres!K22),3)="Fin",1-$H1588,IF(LEFT(TRIM(Paramètres!K22),1)="F",1,0)))),IF(Paramètres!L22="",0,IF(Paramètres!M22="",NA(),IF(LEFT(TRIM(Paramètres!M22),1)="F",INDEX($F$1571:$F$1623,MATCH(Paramètres!L22,Paramètres!$G$5:$G$57,0)),INDEX($E$1571:$E$1623,MATCH(Paramètres!L22,Paramètres!$G$5:$G$57,0)))+IF(RIGHT(TRIM(Paramètres!M22),3)="Fin",1-$H1588,IF(LEFT(TRIM(Paramètres!M22),1)="F",1,0)))),IF(Paramètres!N22="",0,IF(Paramètres!O22="",NA(),IF(LEFT(TRIM(Paramètres!O22),1)="F",INDEX($F$1571:$F$1623,MATCH(Paramètres!N22,Paramètres!$G$5:$G$57,0)),INDEX($E$1571:$E$1623,MATCH(Paramètres!N22,Paramètres!$G$5:$G$57,0)))+IF(RIGHT(TRIM(Paramètres!O22),3)="Fin",1-$H1588,IF(LEFT(TRIM(Paramètres!O22),1)="F",1,0)))))))</f>
        <v/>
      </c>
      <c r="F1588" s="19">
        <f>IF($A1588="","",E1588+$H1588-1)</f>
        <v/>
      </c>
      <c r="G1588" s="18" t="n"/>
      <c r="H1588" s="18">
        <f>IF($A1588="","",IF(I1588&lt;&gt;"",I1588,Paramètres!B22))</f>
        <v/>
      </c>
      <c r="I1588" s="18" t="n"/>
    </row>
    <row r="1589">
      <c r="A1589" s="18">
        <f>IF(ISNUMBER(Dossiers!$D$33),Dossiers!$A$33&amp;" · "&amp;Dossiers!$B$33,"")</f>
        <v/>
      </c>
      <c r="B1589" s="18">
        <f>IF($A1589="","",Paramètres!G23)</f>
        <v/>
      </c>
      <c r="C1589" s="18">
        <f>IF($A1589="","",IF(Paramètres!H23="","",Paramètres!H23))</f>
        <v/>
      </c>
      <c r="D1589" s="18">
        <f>IF($A1589="","",IF(Paramètres!I23="","",Paramètres!I23))</f>
        <v/>
      </c>
      <c r="E1589" s="19">
        <f>IF($A1589="","",IF(Paramètres!J23&amp;Paramètres!L23&amp;Paramètres!N23="",Dossiers!$D$33,MAX(IF(Paramètres!J23="",0,IF(Paramètres!K23="",NA(),IF(LEFT(TRIM(Paramètres!K23),1)="F",INDEX($F$1571:$F$1623,MATCH(Paramètres!J23,Paramètres!$G$5:$G$57,0)),INDEX($E$1571:$E$1623,MATCH(Paramètres!J23,Paramètres!$G$5:$G$57,0)))+IF(RIGHT(TRIM(Paramètres!K23),3)="Fin",1-$H1589,IF(LEFT(TRIM(Paramètres!K23),1)="F",1,0)))),IF(Paramètres!L23="",0,IF(Paramètres!M23="",NA(),IF(LEFT(TRIM(Paramètres!M23),1)="F",INDEX($F$1571:$F$1623,MATCH(Paramètres!L23,Paramètres!$G$5:$G$57,0)),INDEX($E$1571:$E$1623,MATCH(Paramètres!L23,Paramètres!$G$5:$G$57,0)))+IF(RIGHT(TRIM(Paramètres!M23),3)="Fin",1-$H1589,IF(LEFT(TRIM(Paramètres!M23),1)="F",1,0)))),IF(Paramètres!N23="",0,IF(Paramètres!O23="",NA(),IF(LEFT(TRIM(Paramètres!O23),1)="F",INDEX($F$1571:$F$1623,MATCH(Paramètres!N23,Paramètres!$G$5:$G$57,0)),INDEX($E$1571:$E$1623,MATCH(Paramètres!N23,Paramètres!$G$5:$G$57,0)))+IF(RIGHT(TRIM(Paramètres!O23),3)="Fin",1-$H1589,IF(LEFT(TRIM(Paramètres!O23),1)="F",1,0)))))))</f>
        <v/>
      </c>
      <c r="F1589" s="19">
        <f>IF($A1589="","",E1589+$H1589-1)</f>
        <v/>
      </c>
      <c r="G1589" s="18" t="n"/>
      <c r="H1589" s="18">
        <f>IF($A1589="","",IF(I1589&lt;&gt;"",I1589,Paramètres!B23))</f>
        <v/>
      </c>
      <c r="I1589" s="18" t="n"/>
    </row>
    <row r="1590">
      <c r="A1590" s="18">
        <f>IF(ISNUMBER(Dossiers!$D$33),Dossiers!$A$33&amp;" · "&amp;Dossiers!$B$33,"")</f>
        <v/>
      </c>
      <c r="B1590" s="18">
        <f>IF($A1590="","",Paramètres!G24)</f>
        <v/>
      </c>
      <c r="C1590" s="18">
        <f>IF($A1590="","",IF(Paramètres!H24="","",Paramètres!H24))</f>
        <v/>
      </c>
      <c r="D1590" s="18">
        <f>IF($A1590="","",IF(Paramètres!I24="","",Paramètres!I24))</f>
        <v/>
      </c>
      <c r="E1590" s="19">
        <f>IF($A1590="","",IF(Paramètres!J24&amp;Paramètres!L24&amp;Paramètres!N24="",Dossiers!$D$33,MAX(IF(Paramètres!J24="",0,IF(Paramètres!K24="",NA(),IF(LEFT(TRIM(Paramètres!K24),1)="F",INDEX($F$1571:$F$1623,MATCH(Paramètres!J24,Paramètres!$G$5:$G$57,0)),INDEX($E$1571:$E$1623,MATCH(Paramètres!J24,Paramètres!$G$5:$G$57,0)))+IF(RIGHT(TRIM(Paramètres!K24),3)="Fin",1-$H1590,IF(LEFT(TRIM(Paramètres!K24),1)="F",1,0)))),IF(Paramètres!L24="",0,IF(Paramètres!M24="",NA(),IF(LEFT(TRIM(Paramètres!M24),1)="F",INDEX($F$1571:$F$1623,MATCH(Paramètres!L24,Paramètres!$G$5:$G$57,0)),INDEX($E$1571:$E$1623,MATCH(Paramètres!L24,Paramètres!$G$5:$G$57,0)))+IF(RIGHT(TRIM(Paramètres!M24),3)="Fin",1-$H1590,IF(LEFT(TRIM(Paramètres!M24),1)="F",1,0)))),IF(Paramètres!N24="",0,IF(Paramètres!O24="",NA(),IF(LEFT(TRIM(Paramètres!O24),1)="F",INDEX($F$1571:$F$1623,MATCH(Paramètres!N24,Paramètres!$G$5:$G$57,0)),INDEX($E$1571:$E$1623,MATCH(Paramètres!N24,Paramètres!$G$5:$G$57,0)))+IF(RIGHT(TRIM(Paramètres!O24),3)="Fin",1-$H1590,IF(LEFT(TRIM(Paramètres!O24),1)="F",1,0)))))))</f>
        <v/>
      </c>
      <c r="F1590" s="19">
        <f>IF($A1590="","",E1590+$H1590-1)</f>
        <v/>
      </c>
      <c r="G1590" s="18" t="n"/>
      <c r="H1590" s="18">
        <f>IF($A1590="","",IF(I1590&lt;&gt;"",I1590,Paramètres!B24))</f>
        <v/>
      </c>
      <c r="I1590" s="18" t="n"/>
    </row>
    <row r="1591">
      <c r="A1591" s="18">
        <f>IF(ISNUMBER(Dossiers!$D$33),Dossiers!$A$33&amp;" · "&amp;Dossiers!$B$33,"")</f>
        <v/>
      </c>
      <c r="B1591" s="18">
        <f>IF($A1591="","",Paramètres!G25)</f>
        <v/>
      </c>
      <c r="C1591" s="18">
        <f>IF($A1591="","",IF(Paramètres!H25="","",Paramètres!H25))</f>
        <v/>
      </c>
      <c r="D1591" s="18">
        <f>IF($A1591="","",IF(Paramètres!I25="","",Paramètres!I25))</f>
        <v/>
      </c>
      <c r="E1591" s="19">
        <f>IF($A1591="","",IF(Paramètres!J25&amp;Paramètres!L25&amp;Paramètres!N25="",Dossiers!$D$33,MAX(IF(Paramètres!J25="",0,IF(Paramètres!K25="",NA(),IF(LEFT(TRIM(Paramètres!K25),1)="F",INDEX($F$1571:$F$1623,MATCH(Paramètres!J25,Paramètres!$G$5:$G$57,0)),INDEX($E$1571:$E$1623,MATCH(Paramètres!J25,Paramètres!$G$5:$G$57,0)))+IF(RIGHT(TRIM(Paramètres!K25),3)="Fin",1-$H1591,IF(LEFT(TRIM(Paramètres!K25),1)="F",1,0)))),IF(Paramètres!L25="",0,IF(Paramètres!M25="",NA(),IF(LEFT(TRIM(Paramètres!M25),1)="F",INDEX($F$1571:$F$1623,MATCH(Paramètres!L25,Paramètres!$G$5:$G$57,0)),INDEX($E$1571:$E$1623,MATCH(Paramètres!L25,Paramètres!$G$5:$G$57,0)))+IF(RIGHT(TRIM(Paramètres!M25),3)="Fin",1-$H1591,IF(LEFT(TRIM(Paramètres!M25),1)="F",1,0)))),IF(Paramètres!N25="",0,IF(Paramètres!O25="",NA(),IF(LEFT(TRIM(Paramètres!O25),1)="F",INDEX($F$1571:$F$1623,MATCH(Paramètres!N25,Paramètres!$G$5:$G$57,0)),INDEX($E$1571:$E$1623,MATCH(Paramètres!N25,Paramètres!$G$5:$G$57,0)))+IF(RIGHT(TRIM(Paramètres!O25),3)="Fin",1-$H1591,IF(LEFT(TRIM(Paramètres!O25),1)="F",1,0)))))))</f>
        <v/>
      </c>
      <c r="F1591" s="19">
        <f>IF($A1591="","",E1591+$H1591-1)</f>
        <v/>
      </c>
      <c r="G1591" s="18" t="n"/>
      <c r="H1591" s="18">
        <f>IF($A1591="","",IF(I1591&lt;&gt;"",I1591,Paramètres!B25))</f>
        <v/>
      </c>
      <c r="I1591" s="18" t="n"/>
    </row>
    <row r="1592">
      <c r="A1592" s="18">
        <f>IF(ISNUMBER(Dossiers!$D$33),Dossiers!$A$33&amp;" · "&amp;Dossiers!$B$33,"")</f>
        <v/>
      </c>
      <c r="B1592" s="18">
        <f>IF($A1592="","",Paramètres!G26)</f>
        <v/>
      </c>
      <c r="C1592" s="18">
        <f>IF($A1592="","",IF(Paramètres!H26="","",Paramètres!H26))</f>
        <v/>
      </c>
      <c r="D1592" s="18">
        <f>IF($A1592="","",IF(Paramètres!I26="","",Paramètres!I26))</f>
        <v/>
      </c>
      <c r="E1592" s="19">
        <f>IF($A1592="","",IF(Paramètres!J26&amp;Paramètres!L26&amp;Paramètres!N26="",Dossiers!$D$33,MAX(IF(Paramètres!J26="",0,IF(Paramètres!K26="",NA(),IF(LEFT(TRIM(Paramètres!K26),1)="F",INDEX($F$1571:$F$1623,MATCH(Paramètres!J26,Paramètres!$G$5:$G$57,0)),INDEX($E$1571:$E$1623,MATCH(Paramètres!J26,Paramètres!$G$5:$G$57,0)))+IF(RIGHT(TRIM(Paramètres!K26),3)="Fin",1-$H1592,IF(LEFT(TRIM(Paramètres!K26),1)="F",1,0)))),IF(Paramètres!L26="",0,IF(Paramètres!M26="",NA(),IF(LEFT(TRIM(Paramètres!M26),1)="F",INDEX($F$1571:$F$1623,MATCH(Paramètres!L26,Paramètres!$G$5:$G$57,0)),INDEX($E$1571:$E$1623,MATCH(Paramètres!L26,Paramètres!$G$5:$G$57,0)))+IF(RIGHT(TRIM(Paramètres!M26),3)="Fin",1-$H1592,IF(LEFT(TRIM(Paramètres!M26),1)="F",1,0)))),IF(Paramètres!N26="",0,IF(Paramètres!O26="",NA(),IF(LEFT(TRIM(Paramètres!O26),1)="F",INDEX($F$1571:$F$1623,MATCH(Paramètres!N26,Paramètres!$G$5:$G$57,0)),INDEX($E$1571:$E$1623,MATCH(Paramètres!N26,Paramètres!$G$5:$G$57,0)))+IF(RIGHT(TRIM(Paramètres!O26),3)="Fin",1-$H1592,IF(LEFT(TRIM(Paramètres!O26),1)="F",1,0)))))))</f>
        <v/>
      </c>
      <c r="F1592" s="19">
        <f>IF($A1592="","",E1592+$H1592-1)</f>
        <v/>
      </c>
      <c r="G1592" s="18" t="n"/>
      <c r="H1592" s="18">
        <f>IF($A1592="","",IF(I1592&lt;&gt;"",I1592,Paramètres!B26))</f>
        <v/>
      </c>
      <c r="I1592" s="18" t="n"/>
    </row>
    <row r="1593">
      <c r="A1593" s="18">
        <f>IF(ISNUMBER(Dossiers!$D$33),Dossiers!$A$33&amp;" · "&amp;Dossiers!$B$33,"")</f>
        <v/>
      </c>
      <c r="B1593" s="18">
        <f>IF($A1593="","",Paramètres!G27)</f>
        <v/>
      </c>
      <c r="C1593" s="18">
        <f>IF($A1593="","",IF(Paramètres!H27="","",Paramètres!H27))</f>
        <v/>
      </c>
      <c r="D1593" s="18">
        <f>IF($A1593="","",IF(Paramètres!I27="","",Paramètres!I27))</f>
        <v/>
      </c>
      <c r="E1593" s="19">
        <f>IF($A1593="","",IF(Paramètres!J27&amp;Paramètres!L27&amp;Paramètres!N27="",Dossiers!$D$33,MAX(IF(Paramètres!J27="",0,IF(Paramètres!K27="",NA(),IF(LEFT(TRIM(Paramètres!K27),1)="F",INDEX($F$1571:$F$1623,MATCH(Paramètres!J27,Paramètres!$G$5:$G$57,0)),INDEX($E$1571:$E$1623,MATCH(Paramètres!J27,Paramètres!$G$5:$G$57,0)))+IF(RIGHT(TRIM(Paramètres!K27),3)="Fin",1-$H1593,IF(LEFT(TRIM(Paramètres!K27),1)="F",1,0)))),IF(Paramètres!L27="",0,IF(Paramètres!M27="",NA(),IF(LEFT(TRIM(Paramètres!M27),1)="F",INDEX($F$1571:$F$1623,MATCH(Paramètres!L27,Paramètres!$G$5:$G$57,0)),INDEX($E$1571:$E$1623,MATCH(Paramètres!L27,Paramètres!$G$5:$G$57,0)))+IF(RIGHT(TRIM(Paramètres!M27),3)="Fin",1-$H1593,IF(LEFT(TRIM(Paramètres!M27),1)="F",1,0)))),IF(Paramètres!N27="",0,IF(Paramètres!O27="",NA(),IF(LEFT(TRIM(Paramètres!O27),1)="F",INDEX($F$1571:$F$1623,MATCH(Paramètres!N27,Paramètres!$G$5:$G$57,0)),INDEX($E$1571:$E$1623,MATCH(Paramètres!N27,Paramètres!$G$5:$G$57,0)))+IF(RIGHT(TRIM(Paramètres!O27),3)="Fin",1-$H1593,IF(LEFT(TRIM(Paramètres!O27),1)="F",1,0)))))))</f>
        <v/>
      </c>
      <c r="F1593" s="19">
        <f>IF($A1593="","",E1593+$H1593-1)</f>
        <v/>
      </c>
      <c r="G1593" s="18" t="n"/>
      <c r="H1593" s="18">
        <f>IF($A1593="","",IF(I1593&lt;&gt;"",I1593,Paramètres!B27))</f>
        <v/>
      </c>
      <c r="I1593" s="18" t="n"/>
    </row>
    <row r="1594">
      <c r="A1594" s="18">
        <f>IF(ISNUMBER(Dossiers!$D$33),Dossiers!$A$33&amp;" · "&amp;Dossiers!$B$33,"")</f>
        <v/>
      </c>
      <c r="B1594" s="18">
        <f>IF($A1594="","",Paramètres!G28)</f>
        <v/>
      </c>
      <c r="C1594" s="18">
        <f>IF($A1594="","",IF(Paramètres!H28="","",Paramètres!H28))</f>
        <v/>
      </c>
      <c r="D1594" s="18">
        <f>IF($A1594="","",IF(Paramètres!I28="","",Paramètres!I28))</f>
        <v/>
      </c>
      <c r="E1594" s="19">
        <f>IF($A1594="","",IF(Paramètres!J28&amp;Paramètres!L28&amp;Paramètres!N28="",Dossiers!$D$33,MAX(IF(Paramètres!J28="",0,IF(Paramètres!K28="",NA(),IF(LEFT(TRIM(Paramètres!K28),1)="F",INDEX($F$1571:$F$1623,MATCH(Paramètres!J28,Paramètres!$G$5:$G$57,0)),INDEX($E$1571:$E$1623,MATCH(Paramètres!J28,Paramètres!$G$5:$G$57,0)))+IF(RIGHT(TRIM(Paramètres!K28),3)="Fin",1-$H1594,IF(LEFT(TRIM(Paramètres!K28),1)="F",1,0)))),IF(Paramètres!L28="",0,IF(Paramètres!M28="",NA(),IF(LEFT(TRIM(Paramètres!M28),1)="F",INDEX($F$1571:$F$1623,MATCH(Paramètres!L28,Paramètres!$G$5:$G$57,0)),INDEX($E$1571:$E$1623,MATCH(Paramètres!L28,Paramètres!$G$5:$G$57,0)))+IF(RIGHT(TRIM(Paramètres!M28),3)="Fin",1-$H1594,IF(LEFT(TRIM(Paramètres!M28),1)="F",1,0)))),IF(Paramètres!N28="",0,IF(Paramètres!O28="",NA(),IF(LEFT(TRIM(Paramètres!O28),1)="F",INDEX($F$1571:$F$1623,MATCH(Paramètres!N28,Paramètres!$G$5:$G$57,0)),INDEX($E$1571:$E$1623,MATCH(Paramètres!N28,Paramètres!$G$5:$G$57,0)))+IF(RIGHT(TRIM(Paramètres!O28),3)="Fin",1-$H1594,IF(LEFT(TRIM(Paramètres!O28),1)="F",1,0)))))))</f>
        <v/>
      </c>
      <c r="F1594" s="19">
        <f>IF($A1594="","",E1594+$H1594-1)</f>
        <v/>
      </c>
      <c r="G1594" s="18" t="n"/>
      <c r="H1594" s="18">
        <f>IF($A1594="","",IF(I1594&lt;&gt;"",I1594,Paramètres!B28))</f>
        <v/>
      </c>
      <c r="I1594" s="18" t="n"/>
    </row>
    <row r="1595">
      <c r="A1595" s="18">
        <f>IF(ISNUMBER(Dossiers!$D$33),Dossiers!$A$33&amp;" · "&amp;Dossiers!$B$33,"")</f>
        <v/>
      </c>
      <c r="B1595" s="18">
        <f>IF($A1595="","",Paramètres!G29)</f>
        <v/>
      </c>
      <c r="C1595" s="18">
        <f>IF($A1595="","",IF(Paramètres!H29="","",Paramètres!H29))</f>
        <v/>
      </c>
      <c r="D1595" s="18">
        <f>IF($A1595="","",IF(Paramètres!I29="","",Paramètres!I29))</f>
        <v/>
      </c>
      <c r="E1595" s="19">
        <f>IF($A1595="","",IF(Paramètres!J29&amp;Paramètres!L29&amp;Paramètres!N29="",Dossiers!$D$33,MAX(IF(Paramètres!J29="",0,IF(Paramètres!K29="",NA(),IF(LEFT(TRIM(Paramètres!K29),1)="F",INDEX($F$1571:$F$1623,MATCH(Paramètres!J29,Paramètres!$G$5:$G$57,0)),INDEX($E$1571:$E$1623,MATCH(Paramètres!J29,Paramètres!$G$5:$G$57,0)))+IF(RIGHT(TRIM(Paramètres!K29),3)="Fin",1-$H1595,IF(LEFT(TRIM(Paramètres!K29),1)="F",1,0)))),IF(Paramètres!L29="",0,IF(Paramètres!M29="",NA(),IF(LEFT(TRIM(Paramètres!M29),1)="F",INDEX($F$1571:$F$1623,MATCH(Paramètres!L29,Paramètres!$G$5:$G$57,0)),INDEX($E$1571:$E$1623,MATCH(Paramètres!L29,Paramètres!$G$5:$G$57,0)))+IF(RIGHT(TRIM(Paramètres!M29),3)="Fin",1-$H1595,IF(LEFT(TRIM(Paramètres!M29),1)="F",1,0)))),IF(Paramètres!N29="",0,IF(Paramètres!O29="",NA(),IF(LEFT(TRIM(Paramètres!O29),1)="F",INDEX($F$1571:$F$1623,MATCH(Paramètres!N29,Paramètres!$G$5:$G$57,0)),INDEX($E$1571:$E$1623,MATCH(Paramètres!N29,Paramètres!$G$5:$G$57,0)))+IF(RIGHT(TRIM(Paramètres!O29),3)="Fin",1-$H1595,IF(LEFT(TRIM(Paramètres!O29),1)="F",1,0)))))))</f>
        <v/>
      </c>
      <c r="F1595" s="19">
        <f>IF($A1595="","",E1595+$H1595-1)</f>
        <v/>
      </c>
      <c r="G1595" s="18" t="n"/>
      <c r="H1595" s="18">
        <f>IF($A1595="","",IF(I1595&lt;&gt;"",I1595,Paramètres!B29))</f>
        <v/>
      </c>
      <c r="I1595" s="18" t="n"/>
    </row>
    <row r="1596">
      <c r="A1596" s="18">
        <f>IF(ISNUMBER(Dossiers!$D$33),Dossiers!$A$33&amp;" · "&amp;Dossiers!$B$33,"")</f>
        <v/>
      </c>
      <c r="B1596" s="18">
        <f>IF($A1596="","",Paramètres!G30)</f>
        <v/>
      </c>
      <c r="C1596" s="18">
        <f>IF($A1596="","",IF(Paramètres!H30="","",Paramètres!H30))</f>
        <v/>
      </c>
      <c r="D1596" s="18">
        <f>IF($A1596="","",IF(Paramètres!I30="","",Paramètres!I30))</f>
        <v/>
      </c>
      <c r="E1596" s="19">
        <f>IF($A1596="","",IF(Paramètres!J30&amp;Paramètres!L30&amp;Paramètres!N30="",Dossiers!$D$33,MAX(IF(Paramètres!J30="",0,IF(Paramètres!K30="",NA(),IF(LEFT(TRIM(Paramètres!K30),1)="F",INDEX($F$1571:$F$1623,MATCH(Paramètres!J30,Paramètres!$G$5:$G$57,0)),INDEX($E$1571:$E$1623,MATCH(Paramètres!J30,Paramètres!$G$5:$G$57,0)))+IF(RIGHT(TRIM(Paramètres!K30),3)="Fin",1-$H1596,IF(LEFT(TRIM(Paramètres!K30),1)="F",1,0)))),IF(Paramètres!L30="",0,IF(Paramètres!M30="",NA(),IF(LEFT(TRIM(Paramètres!M30),1)="F",INDEX($F$1571:$F$1623,MATCH(Paramètres!L30,Paramètres!$G$5:$G$57,0)),INDEX($E$1571:$E$1623,MATCH(Paramètres!L30,Paramètres!$G$5:$G$57,0)))+IF(RIGHT(TRIM(Paramètres!M30),3)="Fin",1-$H1596,IF(LEFT(TRIM(Paramètres!M30),1)="F",1,0)))),IF(Paramètres!N30="",0,IF(Paramètres!O30="",NA(),IF(LEFT(TRIM(Paramètres!O30),1)="F",INDEX($F$1571:$F$1623,MATCH(Paramètres!N30,Paramètres!$G$5:$G$57,0)),INDEX($E$1571:$E$1623,MATCH(Paramètres!N30,Paramètres!$G$5:$G$57,0)))+IF(RIGHT(TRIM(Paramètres!O30),3)="Fin",1-$H1596,IF(LEFT(TRIM(Paramètres!O30),1)="F",1,0)))))))</f>
        <v/>
      </c>
      <c r="F1596" s="19">
        <f>IF($A1596="","",E1596+$H1596-1)</f>
        <v/>
      </c>
      <c r="G1596" s="18" t="n"/>
      <c r="H1596" s="18">
        <f>IF($A1596="","",IF(I1596&lt;&gt;"",I1596,Paramètres!B30))</f>
        <v/>
      </c>
      <c r="I1596" s="18" t="n"/>
    </row>
    <row r="1597">
      <c r="A1597" s="18">
        <f>IF(ISNUMBER(Dossiers!$D$33),Dossiers!$A$33&amp;" · "&amp;Dossiers!$B$33,"")</f>
        <v/>
      </c>
      <c r="B1597" s="18">
        <f>IF($A1597="","",Paramètres!G31)</f>
        <v/>
      </c>
      <c r="C1597" s="20">
        <f>IF($A1597="","",IF(Dossiers!$F$33="","",Dossiers!$F$33))</f>
        <v/>
      </c>
      <c r="D1597" s="18">
        <f>IF($A1597="","",IF(Paramètres!I31="","",Paramètres!I31))</f>
        <v/>
      </c>
      <c r="E1597" s="19">
        <f>IF($A1597="","",IF(Paramètres!J31&amp;Paramètres!L31&amp;Paramètres!N31="",Dossiers!$D$33,MAX(IF(Paramètres!J31="",0,IF(Paramètres!K31="",NA(),IF(LEFT(TRIM(Paramètres!K31),1)="F",INDEX($F$1571:$F$1623,MATCH(Paramètres!J31,Paramètres!$G$5:$G$57,0)),INDEX($E$1571:$E$1623,MATCH(Paramètres!J31,Paramètres!$G$5:$G$57,0)))+IF(RIGHT(TRIM(Paramètres!K31),3)="Fin",1-$H1597,IF(LEFT(TRIM(Paramètres!K31),1)="F",1,0)))),IF(Paramètres!L31="",0,IF(Paramètres!M31="",NA(),IF(LEFT(TRIM(Paramètres!M31),1)="F",INDEX($F$1571:$F$1623,MATCH(Paramètres!L31,Paramètres!$G$5:$G$57,0)),INDEX($E$1571:$E$1623,MATCH(Paramètres!L31,Paramètres!$G$5:$G$57,0)))+IF(RIGHT(TRIM(Paramètres!M31),3)="Fin",1-$H1597,IF(LEFT(TRIM(Paramètres!M31),1)="F",1,0)))),IF(Paramètres!N31="",0,IF(Paramètres!O31="",NA(),IF(LEFT(TRIM(Paramètres!O31),1)="F",INDEX($F$1571:$F$1623,MATCH(Paramètres!N31,Paramètres!$G$5:$G$57,0)),INDEX($E$1571:$E$1623,MATCH(Paramètres!N31,Paramètres!$G$5:$G$57,0)))+IF(RIGHT(TRIM(Paramètres!O31),3)="Fin",1-$H1597,IF(LEFT(TRIM(Paramètres!O31),1)="F",1,0)))))))</f>
        <v/>
      </c>
      <c r="F1597" s="19">
        <f>IF($A1597="","",E1597+$H1597-1)</f>
        <v/>
      </c>
      <c r="G1597" s="18" t="n"/>
      <c r="H1597" s="18">
        <f>IF($A1597="","",IF(I1597&lt;&gt;"",I1597,Paramètres!B31))</f>
        <v/>
      </c>
      <c r="I1597" s="18" t="n"/>
    </row>
    <row r="1598">
      <c r="A1598" s="18">
        <f>IF(ISNUMBER(Dossiers!$D$33),Dossiers!$A$33&amp;" · "&amp;Dossiers!$B$33,"")</f>
        <v/>
      </c>
      <c r="B1598" s="18">
        <f>IF($A1598="","",Paramètres!G32)</f>
        <v/>
      </c>
      <c r="C1598" s="18">
        <f>IF($A1598="","",IF(Paramètres!H32="","",Paramètres!H32))</f>
        <v/>
      </c>
      <c r="D1598" s="18">
        <f>IF($A1598="","",IF(Paramètres!I32="","",Paramètres!I32))</f>
        <v/>
      </c>
      <c r="E1598" s="19">
        <f>IF($A1598="","",MIN(E1599:E1602))</f>
        <v/>
      </c>
      <c r="F1598" s="19">
        <f>IF($A1598="","",MAX(F1599:F1602))</f>
        <v/>
      </c>
      <c r="G1598" s="18" t="n"/>
      <c r="H1598" s="18">
        <f>IF($A1598="","",F1598-E1598+1)</f>
        <v/>
      </c>
      <c r="I1598" s="18" t="n"/>
    </row>
    <row r="1599">
      <c r="A1599" s="18">
        <f>IF(ISNUMBER(Dossiers!$D$33),Dossiers!$A$33&amp;" · "&amp;Dossiers!$B$33,"")</f>
        <v/>
      </c>
      <c r="B1599" s="18">
        <f>IF($A1599="","",Paramètres!G33)</f>
        <v/>
      </c>
      <c r="C1599" s="18">
        <f>IF($A1599="","",IF(Paramètres!H33="","",Paramètres!H33))</f>
        <v/>
      </c>
      <c r="D1599" s="18">
        <f>IF($A1599="","",IF(Paramètres!I33="","",Paramètres!I33))</f>
        <v/>
      </c>
      <c r="E1599" s="19">
        <f>IF($A1599="","",IF(Paramètres!J33&amp;Paramètres!L33&amp;Paramètres!N33="",Dossiers!$D$33,MAX(IF(Paramètres!J33="",0,IF(Paramètres!K33="",NA(),IF(LEFT(TRIM(Paramètres!K33),1)="F",INDEX($F$1571:$F$1623,MATCH(Paramètres!J33,Paramètres!$G$5:$G$57,0)),INDEX($E$1571:$E$1623,MATCH(Paramètres!J33,Paramètres!$G$5:$G$57,0)))+IF(RIGHT(TRIM(Paramètres!K33),3)="Fin",1-$H1599,IF(LEFT(TRIM(Paramètres!K33),1)="F",1,0)))),IF(Paramètres!L33="",0,IF(Paramètres!M33="",NA(),IF(LEFT(TRIM(Paramètres!M33),1)="F",INDEX($F$1571:$F$1623,MATCH(Paramètres!L33,Paramètres!$G$5:$G$57,0)),INDEX($E$1571:$E$1623,MATCH(Paramètres!L33,Paramètres!$G$5:$G$57,0)))+IF(RIGHT(TRIM(Paramètres!M33),3)="Fin",1-$H1599,IF(LEFT(TRIM(Paramètres!M33),1)="F",1,0)))),IF(Paramètres!N33="",0,IF(Paramètres!O33="",NA(),IF(LEFT(TRIM(Paramètres!O33),1)="F",INDEX($F$1571:$F$1623,MATCH(Paramètres!N33,Paramètres!$G$5:$G$57,0)),INDEX($E$1571:$E$1623,MATCH(Paramètres!N33,Paramètres!$G$5:$G$57,0)))+IF(RIGHT(TRIM(Paramètres!O33),3)="Fin",1-$H1599,IF(LEFT(TRIM(Paramètres!O33),1)="F",1,0)))))))</f>
        <v/>
      </c>
      <c r="F1599" s="19">
        <f>IF($A1599="","",E1599+$H1599-1)</f>
        <v/>
      </c>
      <c r="G1599" s="18" t="n"/>
      <c r="H1599" s="18">
        <f>IF($A1599="","",IF(I1599&lt;&gt;"",I1599,Paramètres!B33))</f>
        <v/>
      </c>
      <c r="I1599" s="18" t="n"/>
    </row>
    <row r="1600">
      <c r="A1600" s="18">
        <f>IF(ISNUMBER(Dossiers!$D$33),Dossiers!$A$33&amp;" · "&amp;Dossiers!$B$33,"")</f>
        <v/>
      </c>
      <c r="B1600" s="18">
        <f>IF($A1600="","",Paramètres!G34)</f>
        <v/>
      </c>
      <c r="C1600" s="18">
        <f>IF($A1600="","",IF(Paramètres!H34="","",Paramètres!H34))</f>
        <v/>
      </c>
      <c r="D1600" s="18">
        <f>IF($A1600="","",IF(Paramètres!I34="","",Paramètres!I34))</f>
        <v/>
      </c>
      <c r="E1600" s="19">
        <f>IF($A1600="","",IF(Paramètres!J34&amp;Paramètres!L34&amp;Paramètres!N34="",Dossiers!$D$33,MAX(IF(Paramètres!J34="",0,IF(Paramètres!K34="",NA(),IF(LEFT(TRIM(Paramètres!K34),1)="F",INDEX($F$1571:$F$1623,MATCH(Paramètres!J34,Paramètres!$G$5:$G$57,0)),INDEX($E$1571:$E$1623,MATCH(Paramètres!J34,Paramètres!$G$5:$G$57,0)))+IF(RIGHT(TRIM(Paramètres!K34),3)="Fin",1-$H1600,IF(LEFT(TRIM(Paramètres!K34),1)="F",1,0)))),IF(Paramètres!L34="",0,IF(Paramètres!M34="",NA(),IF(LEFT(TRIM(Paramètres!M34),1)="F",INDEX($F$1571:$F$1623,MATCH(Paramètres!L34,Paramètres!$G$5:$G$57,0)),INDEX($E$1571:$E$1623,MATCH(Paramètres!L34,Paramètres!$G$5:$G$57,0)))+IF(RIGHT(TRIM(Paramètres!M34),3)="Fin",1-$H1600,IF(LEFT(TRIM(Paramètres!M34),1)="F",1,0)))),IF(Paramètres!N34="",0,IF(Paramètres!O34="",NA(),IF(LEFT(TRIM(Paramètres!O34),1)="F",INDEX($F$1571:$F$1623,MATCH(Paramètres!N34,Paramètres!$G$5:$G$57,0)),INDEX($E$1571:$E$1623,MATCH(Paramètres!N34,Paramètres!$G$5:$G$57,0)))+IF(RIGHT(TRIM(Paramètres!O34),3)="Fin",1-$H1600,IF(LEFT(TRIM(Paramètres!O34),1)="F",1,0)))))))</f>
        <v/>
      </c>
      <c r="F1600" s="19">
        <f>IF($A1600="","",E1600+$H1600-1)</f>
        <v/>
      </c>
      <c r="G1600" s="18" t="n"/>
      <c r="H1600" s="18">
        <f>IF($A1600="","",IF(I1600&lt;&gt;"",I1600,Paramètres!B34))</f>
        <v/>
      </c>
      <c r="I1600" s="18" t="n"/>
    </row>
    <row r="1601">
      <c r="A1601" s="18">
        <f>IF(ISNUMBER(Dossiers!$D$33),Dossiers!$A$33&amp;" · "&amp;Dossiers!$B$33,"")</f>
        <v/>
      </c>
      <c r="B1601" s="18">
        <f>IF($A1601="","",Paramètres!G35)</f>
        <v/>
      </c>
      <c r="C1601" s="18">
        <f>IF($A1601="","",IF(Paramètres!H35="","",Paramètres!H35))</f>
        <v/>
      </c>
      <c r="D1601" s="18">
        <f>IF($A1601="","",IF(Paramètres!I35="","",Paramètres!I35))</f>
        <v/>
      </c>
      <c r="E1601" s="19">
        <f>IF($A1601="","",IF(Paramètres!J35&amp;Paramètres!L35&amp;Paramètres!N35="",Dossiers!$D$33,MAX(IF(Paramètres!J35="",0,IF(Paramètres!K35="",NA(),IF(LEFT(TRIM(Paramètres!K35),1)="F",INDEX($F$1571:$F$1623,MATCH(Paramètres!J35,Paramètres!$G$5:$G$57,0)),INDEX($E$1571:$E$1623,MATCH(Paramètres!J35,Paramètres!$G$5:$G$57,0)))+IF(RIGHT(TRIM(Paramètres!K35),3)="Fin",1-$H1601,IF(LEFT(TRIM(Paramètres!K35),1)="F",1,0)))),IF(Paramètres!L35="",0,IF(Paramètres!M35="",NA(),IF(LEFT(TRIM(Paramètres!M35),1)="F",INDEX($F$1571:$F$1623,MATCH(Paramètres!L35,Paramètres!$G$5:$G$57,0)),INDEX($E$1571:$E$1623,MATCH(Paramètres!L35,Paramètres!$G$5:$G$57,0)))+IF(RIGHT(TRIM(Paramètres!M35),3)="Fin",1-$H1601,IF(LEFT(TRIM(Paramètres!M35),1)="F",1,0)))),IF(Paramètres!N35="",0,IF(Paramètres!O35="",NA(),IF(LEFT(TRIM(Paramètres!O35),1)="F",INDEX($F$1571:$F$1623,MATCH(Paramètres!N35,Paramètres!$G$5:$G$57,0)),INDEX($E$1571:$E$1623,MATCH(Paramètres!N35,Paramètres!$G$5:$G$57,0)))+IF(RIGHT(TRIM(Paramètres!O35),3)="Fin",1-$H1601,IF(LEFT(TRIM(Paramètres!O35),1)="F",1,0)))))))</f>
        <v/>
      </c>
      <c r="F1601" s="19">
        <f>IF($A1601="","",E1601+$H1601-1)</f>
        <v/>
      </c>
      <c r="G1601" s="18" t="n"/>
      <c r="H1601" s="18">
        <f>IF($A1601="","",IF(I1601&lt;&gt;"",I1601,Paramètres!B35))</f>
        <v/>
      </c>
      <c r="I1601" s="18" t="n"/>
    </row>
    <row r="1602">
      <c r="A1602" s="18">
        <f>IF(ISNUMBER(Dossiers!$D$33),Dossiers!$A$33&amp;" · "&amp;Dossiers!$B$33,"")</f>
        <v/>
      </c>
      <c r="B1602" s="18">
        <f>IF($A1602="","",Paramètres!G36)</f>
        <v/>
      </c>
      <c r="C1602" s="18">
        <f>IF($A1602="","",IF(Paramètres!H36="","",Paramètres!H36))</f>
        <v/>
      </c>
      <c r="D1602" s="18">
        <f>IF($A1602="","",IF(Paramètres!I36="","",Paramètres!I36))</f>
        <v/>
      </c>
      <c r="E1602" s="19">
        <f>IF($A1602="","",IF(Paramètres!J36&amp;Paramètres!L36&amp;Paramètres!N36="",Dossiers!$D$33,MAX(IF(Paramètres!J36="",0,IF(Paramètres!K36="",NA(),IF(LEFT(TRIM(Paramètres!K36),1)="F",INDEX($F$1571:$F$1623,MATCH(Paramètres!J36,Paramètres!$G$5:$G$57,0)),INDEX($E$1571:$E$1623,MATCH(Paramètres!J36,Paramètres!$G$5:$G$57,0)))+IF(RIGHT(TRIM(Paramètres!K36),3)="Fin",1-$H1602,IF(LEFT(TRIM(Paramètres!K36),1)="F",1,0)))),IF(Paramètres!L36="",0,IF(Paramètres!M36="",NA(),IF(LEFT(TRIM(Paramètres!M36),1)="F",INDEX($F$1571:$F$1623,MATCH(Paramètres!L36,Paramètres!$G$5:$G$57,0)),INDEX($E$1571:$E$1623,MATCH(Paramètres!L36,Paramètres!$G$5:$G$57,0)))+IF(RIGHT(TRIM(Paramètres!M36),3)="Fin",1-$H1602,IF(LEFT(TRIM(Paramètres!M36),1)="F",1,0)))),IF(Paramètres!N36="",0,IF(Paramètres!O36="",NA(),IF(LEFT(TRIM(Paramètres!O36),1)="F",INDEX($F$1571:$F$1623,MATCH(Paramètres!N36,Paramètres!$G$5:$G$57,0)),INDEX($E$1571:$E$1623,MATCH(Paramètres!N36,Paramètres!$G$5:$G$57,0)))+IF(RIGHT(TRIM(Paramètres!O36),3)="Fin",1-$H1602,IF(LEFT(TRIM(Paramètres!O36),1)="F",1,0)))))))</f>
        <v/>
      </c>
      <c r="F1602" s="19">
        <f>IF($A1602="","",E1602+$H1602-1)</f>
        <v/>
      </c>
      <c r="G1602" s="18" t="n"/>
      <c r="H1602" s="18">
        <f>IF($A1602="","",IF(I1602&lt;&gt;"",I1602,Paramètres!B36))</f>
        <v/>
      </c>
      <c r="I1602" s="18" t="n"/>
    </row>
    <row r="1603">
      <c r="A1603" s="18">
        <f>IF(ISNUMBER(Dossiers!$D$33),Dossiers!$A$33&amp;" · "&amp;Dossiers!$B$33,"")</f>
        <v/>
      </c>
      <c r="B1603" s="18">
        <f>IF($A1603="","",Paramètres!G37)</f>
        <v/>
      </c>
      <c r="C1603" s="18">
        <f>IF($A1603="","",IF(Paramètres!H37="","",Paramètres!H37))</f>
        <v/>
      </c>
      <c r="D1603" s="18">
        <f>IF($A1603="","",IF(Paramètres!I37="","",Paramètres!I37))</f>
        <v/>
      </c>
      <c r="E1603" s="19">
        <f>IF($A1603="","",MIN(E1604:E1621))</f>
        <v/>
      </c>
      <c r="F1603" s="19">
        <f>IF($A1603="","",MAX(F1604:F1621))</f>
        <v/>
      </c>
      <c r="G1603" s="18" t="n"/>
      <c r="H1603" s="18">
        <f>IF($A1603="","",F1603-E1603+1)</f>
        <v/>
      </c>
      <c r="I1603" s="18" t="n"/>
    </row>
    <row r="1604">
      <c r="A1604" s="18">
        <f>IF(ISNUMBER(Dossiers!$D$33),Dossiers!$A$33&amp;" · "&amp;Dossiers!$B$33,"")</f>
        <v/>
      </c>
      <c r="B1604" s="18">
        <f>IF($A1604="","",Paramètres!G38)</f>
        <v/>
      </c>
      <c r="C1604" s="18">
        <f>IF($A1604="","",IF(Paramètres!H38="","",Paramètres!H38))</f>
        <v/>
      </c>
      <c r="D1604" s="18">
        <f>IF($A1604="","",IF(Paramètres!I38="","",Paramètres!I38))</f>
        <v/>
      </c>
      <c r="E1604" s="19">
        <f>IF($A1604="","",IF(Paramètres!J38&amp;Paramètres!L38&amp;Paramètres!N38="",Dossiers!$D$33,MAX(IF(Paramètres!J38="",0,IF(Paramètres!K38="",NA(),IF(LEFT(TRIM(Paramètres!K38),1)="F",INDEX($F$1571:$F$1623,MATCH(Paramètres!J38,Paramètres!$G$5:$G$57,0)),INDEX($E$1571:$E$1623,MATCH(Paramètres!J38,Paramètres!$G$5:$G$57,0)))+IF(RIGHT(TRIM(Paramètres!K38),3)="Fin",1-$H1604,IF(LEFT(TRIM(Paramètres!K38),1)="F",1,0)))),IF(Paramètres!L38="",0,IF(Paramètres!M38="",NA(),IF(LEFT(TRIM(Paramètres!M38),1)="F",INDEX($F$1571:$F$1623,MATCH(Paramètres!L38,Paramètres!$G$5:$G$57,0)),INDEX($E$1571:$E$1623,MATCH(Paramètres!L38,Paramètres!$G$5:$G$57,0)))+IF(RIGHT(TRIM(Paramètres!M38),3)="Fin",1-$H1604,IF(LEFT(TRIM(Paramètres!M38),1)="F",1,0)))),IF(Paramètres!N38="",0,IF(Paramètres!O38="",NA(),IF(LEFT(TRIM(Paramètres!O38),1)="F",INDEX($F$1571:$F$1623,MATCH(Paramètres!N38,Paramètres!$G$5:$G$57,0)),INDEX($E$1571:$E$1623,MATCH(Paramètres!N38,Paramètres!$G$5:$G$57,0)))+IF(RIGHT(TRIM(Paramètres!O38),3)="Fin",1-$H1604,IF(LEFT(TRIM(Paramètres!O38),1)="F",1,0)))))))</f>
        <v/>
      </c>
      <c r="F1604" s="19">
        <f>IF($A1604="","",E1604+$H1604-1)</f>
        <v/>
      </c>
      <c r="G1604" s="18" t="n"/>
      <c r="H1604" s="18">
        <f>IF($A1604="","",IF(I1604&lt;&gt;"",I1604,Paramètres!B38))</f>
        <v/>
      </c>
      <c r="I1604" s="18" t="n"/>
    </row>
    <row r="1605">
      <c r="A1605" s="18">
        <f>IF(ISNUMBER(Dossiers!$D$33),Dossiers!$A$33&amp;" · "&amp;Dossiers!$B$33,"")</f>
        <v/>
      </c>
      <c r="B1605" s="18">
        <f>IF($A1605="","",Paramètres!G39)</f>
        <v/>
      </c>
      <c r="C1605" s="18">
        <f>IF($A1605="","",IF(Paramètres!H39="","",Paramètres!H39))</f>
        <v/>
      </c>
      <c r="D1605" s="18">
        <f>IF($A1605="","",IF(Paramètres!I39="","",Paramètres!I39))</f>
        <v/>
      </c>
      <c r="E1605" s="19">
        <f>IF($A1605="","",IF(Paramètres!J39&amp;Paramètres!L39&amp;Paramètres!N39="",Dossiers!$D$33,MAX(IF(Paramètres!J39="",0,IF(Paramètres!K39="",NA(),IF(LEFT(TRIM(Paramètres!K39),1)="F",INDEX($F$1571:$F$1623,MATCH(Paramètres!J39,Paramètres!$G$5:$G$57,0)),INDEX($E$1571:$E$1623,MATCH(Paramètres!J39,Paramètres!$G$5:$G$57,0)))+IF(RIGHT(TRIM(Paramètres!K39),3)="Fin",1-$H1605,IF(LEFT(TRIM(Paramètres!K39),1)="F",1,0)))),IF(Paramètres!L39="",0,IF(Paramètres!M39="",NA(),IF(LEFT(TRIM(Paramètres!M39),1)="F",INDEX($F$1571:$F$1623,MATCH(Paramètres!L39,Paramètres!$G$5:$G$57,0)),INDEX($E$1571:$E$1623,MATCH(Paramètres!L39,Paramètres!$G$5:$G$57,0)))+IF(RIGHT(TRIM(Paramètres!M39),3)="Fin",1-$H1605,IF(LEFT(TRIM(Paramètres!M39),1)="F",1,0)))),IF(Paramètres!N39="",0,IF(Paramètres!O39="",NA(),IF(LEFT(TRIM(Paramètres!O39),1)="F",INDEX($F$1571:$F$1623,MATCH(Paramètres!N39,Paramètres!$G$5:$G$57,0)),INDEX($E$1571:$E$1623,MATCH(Paramètres!N39,Paramètres!$G$5:$G$57,0)))+IF(RIGHT(TRIM(Paramètres!O39),3)="Fin",1-$H1605,IF(LEFT(TRIM(Paramètres!O39),1)="F",1,0)))))))</f>
        <v/>
      </c>
      <c r="F1605" s="19">
        <f>IF($A1605="","",E1605+$H1605-1)</f>
        <v/>
      </c>
      <c r="G1605" s="18" t="n"/>
      <c r="H1605" s="18">
        <f>IF($A1605="","",IF(I1605&lt;&gt;"",I1605,Paramètres!B39))</f>
        <v/>
      </c>
      <c r="I1605" s="18" t="n"/>
    </row>
    <row r="1606">
      <c r="A1606" s="18">
        <f>IF(ISNUMBER(Dossiers!$D$33),Dossiers!$A$33&amp;" · "&amp;Dossiers!$B$33,"")</f>
        <v/>
      </c>
      <c r="B1606" s="18">
        <f>IF($A1606="","",Paramètres!G40)</f>
        <v/>
      </c>
      <c r="C1606" s="18">
        <f>IF($A1606="","",IF(Paramètres!H40="","",Paramètres!H40))</f>
        <v/>
      </c>
      <c r="D1606" s="18">
        <f>IF($A1606="","",IF(Paramètres!I40="","",Paramètres!I40))</f>
        <v/>
      </c>
      <c r="E1606" s="19">
        <f>IF($A1606="","",IF(Paramètres!J40&amp;Paramètres!L40&amp;Paramètres!N40="",Dossiers!$D$33,MAX(IF(Paramètres!J40="",0,IF(Paramètres!K40="",NA(),IF(LEFT(TRIM(Paramètres!K40),1)="F",INDEX($F$1571:$F$1623,MATCH(Paramètres!J40,Paramètres!$G$5:$G$57,0)),INDEX($E$1571:$E$1623,MATCH(Paramètres!J40,Paramètres!$G$5:$G$57,0)))+IF(RIGHT(TRIM(Paramètres!K40),3)="Fin",1-$H1606,IF(LEFT(TRIM(Paramètres!K40),1)="F",1,0)))),IF(Paramètres!L40="",0,IF(Paramètres!M40="",NA(),IF(LEFT(TRIM(Paramètres!M40),1)="F",INDEX($F$1571:$F$1623,MATCH(Paramètres!L40,Paramètres!$G$5:$G$57,0)),INDEX($E$1571:$E$1623,MATCH(Paramètres!L40,Paramètres!$G$5:$G$57,0)))+IF(RIGHT(TRIM(Paramètres!M40),3)="Fin",1-$H1606,IF(LEFT(TRIM(Paramètres!M40),1)="F",1,0)))),IF(Paramètres!N40="",0,IF(Paramètres!O40="",NA(),IF(LEFT(TRIM(Paramètres!O40),1)="F",INDEX($F$1571:$F$1623,MATCH(Paramètres!N40,Paramètres!$G$5:$G$57,0)),INDEX($E$1571:$E$1623,MATCH(Paramètres!N40,Paramètres!$G$5:$G$57,0)))+IF(RIGHT(TRIM(Paramètres!O40),3)="Fin",1-$H1606,IF(LEFT(TRIM(Paramètres!O40),1)="F",1,0)))))))</f>
        <v/>
      </c>
      <c r="F1606" s="19">
        <f>IF($A1606="","",E1606+$H1606-1)</f>
        <v/>
      </c>
      <c r="G1606" s="18" t="n"/>
      <c r="H1606" s="18">
        <f>IF($A1606="","",IF(I1606&lt;&gt;"",I1606,Paramètres!B40))</f>
        <v/>
      </c>
      <c r="I1606" s="18" t="n"/>
    </row>
    <row r="1607">
      <c r="A1607" s="18">
        <f>IF(ISNUMBER(Dossiers!$D$33),Dossiers!$A$33&amp;" · "&amp;Dossiers!$B$33,"")</f>
        <v/>
      </c>
      <c r="B1607" s="18">
        <f>IF($A1607="","",Paramètres!G41)</f>
        <v/>
      </c>
      <c r="C1607" s="18">
        <f>IF($A1607="","",IF(Paramètres!H41="","",Paramètres!H41))</f>
        <v/>
      </c>
      <c r="D1607" s="18">
        <f>IF($A1607="","",IF(Paramètres!I41="","",Paramètres!I41))</f>
        <v/>
      </c>
      <c r="E1607" s="19">
        <f>IF($A1607="","",IF(Paramètres!J41&amp;Paramètres!L41&amp;Paramètres!N41="",Dossiers!$D$33,MAX(IF(Paramètres!J41="",0,IF(Paramètres!K41="",NA(),IF(LEFT(TRIM(Paramètres!K41),1)="F",INDEX($F$1571:$F$1623,MATCH(Paramètres!J41,Paramètres!$G$5:$G$57,0)),INDEX($E$1571:$E$1623,MATCH(Paramètres!J41,Paramètres!$G$5:$G$57,0)))+IF(RIGHT(TRIM(Paramètres!K41),3)="Fin",1-$H1607,IF(LEFT(TRIM(Paramètres!K41),1)="F",1,0)))),IF(Paramètres!L41="",0,IF(Paramètres!M41="",NA(),IF(LEFT(TRIM(Paramètres!M41),1)="F",INDEX($F$1571:$F$1623,MATCH(Paramètres!L41,Paramètres!$G$5:$G$57,0)),INDEX($E$1571:$E$1623,MATCH(Paramètres!L41,Paramètres!$G$5:$G$57,0)))+IF(RIGHT(TRIM(Paramètres!M41),3)="Fin",1-$H1607,IF(LEFT(TRIM(Paramètres!M41),1)="F",1,0)))),IF(Paramètres!N41="",0,IF(Paramètres!O41="",NA(),IF(LEFT(TRIM(Paramètres!O41),1)="F",INDEX($F$1571:$F$1623,MATCH(Paramètres!N41,Paramètres!$G$5:$G$57,0)),INDEX($E$1571:$E$1623,MATCH(Paramètres!N41,Paramètres!$G$5:$G$57,0)))+IF(RIGHT(TRIM(Paramètres!O41),3)="Fin",1-$H1607,IF(LEFT(TRIM(Paramètres!O41),1)="F",1,0)))))))</f>
        <v/>
      </c>
      <c r="F1607" s="19">
        <f>IF($A1607="","",E1607+$H1607-1)</f>
        <v/>
      </c>
      <c r="G1607" s="18" t="n"/>
      <c r="H1607" s="18">
        <f>IF($A1607="","",IF(I1607&lt;&gt;"",I1607,Paramètres!B41))</f>
        <v/>
      </c>
      <c r="I1607" s="18" t="n"/>
    </row>
    <row r="1608">
      <c r="A1608" s="18">
        <f>IF(ISNUMBER(Dossiers!$D$33),Dossiers!$A$33&amp;" · "&amp;Dossiers!$B$33,"")</f>
        <v/>
      </c>
      <c r="B1608" s="18">
        <f>IF($A1608="","",Paramètres!G42)</f>
        <v/>
      </c>
      <c r="C1608" s="18">
        <f>IF($A1608="","",IF(Paramètres!H42="","",Paramètres!H42))</f>
        <v/>
      </c>
      <c r="D1608" s="18">
        <f>IF($A1608="","",IF(Paramètres!I42="","",Paramètres!I42))</f>
        <v/>
      </c>
      <c r="E1608" s="19">
        <f>IF($A1608="","",IF(Paramètres!J42&amp;Paramètres!L42&amp;Paramètres!N42="",Dossiers!$D$33,MAX(IF(Paramètres!J42="",0,IF(Paramètres!K42="",NA(),IF(LEFT(TRIM(Paramètres!K42),1)="F",INDEX($F$1571:$F$1623,MATCH(Paramètres!J42,Paramètres!$G$5:$G$57,0)),INDEX($E$1571:$E$1623,MATCH(Paramètres!J42,Paramètres!$G$5:$G$57,0)))+IF(RIGHT(TRIM(Paramètres!K42),3)="Fin",1-$H1608,IF(LEFT(TRIM(Paramètres!K42),1)="F",1,0)))),IF(Paramètres!L42="",0,IF(Paramètres!M42="",NA(),IF(LEFT(TRIM(Paramètres!M42),1)="F",INDEX($F$1571:$F$1623,MATCH(Paramètres!L42,Paramètres!$G$5:$G$57,0)),INDEX($E$1571:$E$1623,MATCH(Paramètres!L42,Paramètres!$G$5:$G$57,0)))+IF(RIGHT(TRIM(Paramètres!M42),3)="Fin",1-$H1608,IF(LEFT(TRIM(Paramètres!M42),1)="F",1,0)))),IF(Paramètres!N42="",0,IF(Paramètres!O42="",NA(),IF(LEFT(TRIM(Paramètres!O42),1)="F",INDEX($F$1571:$F$1623,MATCH(Paramètres!N42,Paramètres!$G$5:$G$57,0)),INDEX($E$1571:$E$1623,MATCH(Paramètres!N42,Paramètres!$G$5:$G$57,0)))+IF(RIGHT(TRIM(Paramètres!O42),3)="Fin",1-$H1608,IF(LEFT(TRIM(Paramètres!O42),1)="F",1,0)))))))</f>
        <v/>
      </c>
      <c r="F1608" s="19">
        <f>IF($A1608="","",E1608+$H1608-1)</f>
        <v/>
      </c>
      <c r="G1608" s="18" t="n"/>
      <c r="H1608" s="18">
        <f>IF($A1608="","",IF(I1608&lt;&gt;"",I1608,Paramètres!B42))</f>
        <v/>
      </c>
      <c r="I1608" s="18" t="n"/>
    </row>
    <row r="1609">
      <c r="A1609" s="18">
        <f>IF(ISNUMBER(Dossiers!$D$33),Dossiers!$A$33&amp;" · "&amp;Dossiers!$B$33,"")</f>
        <v/>
      </c>
      <c r="B1609" s="18">
        <f>IF($A1609="","",Paramètres!G43)</f>
        <v/>
      </c>
      <c r="C1609" s="18">
        <f>IF($A1609="","",IF(Paramètres!H43="","",Paramètres!H43))</f>
        <v/>
      </c>
      <c r="D1609" s="18">
        <f>IF($A1609="","",IF(Paramètres!I43="","",Paramètres!I43))</f>
        <v/>
      </c>
      <c r="E1609" s="19">
        <f>IF($A1609="","",IF(Paramètres!J43&amp;Paramètres!L43&amp;Paramètres!N43="",Dossiers!$D$33,MAX(IF(Paramètres!J43="",0,IF(Paramètres!K43="",NA(),IF(LEFT(TRIM(Paramètres!K43),1)="F",INDEX($F$1571:$F$1623,MATCH(Paramètres!J43,Paramètres!$G$5:$G$57,0)),INDEX($E$1571:$E$1623,MATCH(Paramètres!J43,Paramètres!$G$5:$G$57,0)))+IF(RIGHT(TRIM(Paramètres!K43),3)="Fin",1-$H1609,IF(LEFT(TRIM(Paramètres!K43),1)="F",1,0)))),IF(Paramètres!L43="",0,IF(Paramètres!M43="",NA(),IF(LEFT(TRIM(Paramètres!M43),1)="F",INDEX($F$1571:$F$1623,MATCH(Paramètres!L43,Paramètres!$G$5:$G$57,0)),INDEX($E$1571:$E$1623,MATCH(Paramètres!L43,Paramètres!$G$5:$G$57,0)))+IF(RIGHT(TRIM(Paramètres!M43),3)="Fin",1-$H1609,IF(LEFT(TRIM(Paramètres!M43),1)="F",1,0)))),IF(Paramètres!N43="",0,IF(Paramètres!O43="",NA(),IF(LEFT(TRIM(Paramètres!O43),1)="F",INDEX($F$1571:$F$1623,MATCH(Paramètres!N43,Paramètres!$G$5:$G$57,0)),INDEX($E$1571:$E$1623,MATCH(Paramètres!N43,Paramètres!$G$5:$G$57,0)))+IF(RIGHT(TRIM(Paramètres!O43),3)="Fin",1-$H1609,IF(LEFT(TRIM(Paramètres!O43),1)="F",1,0)))))))</f>
        <v/>
      </c>
      <c r="F1609" s="19">
        <f>IF($A1609="","",E1609+$H1609-1)</f>
        <v/>
      </c>
      <c r="G1609" s="18" t="n"/>
      <c r="H1609" s="18">
        <f>IF($A1609="","",IF(I1609&lt;&gt;"",I1609,Paramètres!B43))</f>
        <v/>
      </c>
      <c r="I1609" s="18" t="n"/>
    </row>
    <row r="1610">
      <c r="A1610" s="18">
        <f>IF(ISNUMBER(Dossiers!$D$33),Dossiers!$A$33&amp;" · "&amp;Dossiers!$B$33,"")</f>
        <v/>
      </c>
      <c r="B1610" s="18">
        <f>IF($A1610="","",Paramètres!G44)</f>
        <v/>
      </c>
      <c r="C1610" s="18">
        <f>IF($A1610="","",IF(Paramètres!H44="","",Paramètres!H44))</f>
        <v/>
      </c>
      <c r="D1610" s="18">
        <f>IF($A1610="","",IF(Paramètres!I44="","",Paramètres!I44))</f>
        <v/>
      </c>
      <c r="E1610" s="19">
        <f>IF($A1610="","",IF(Paramètres!J44&amp;Paramètres!L44&amp;Paramètres!N44="",Dossiers!$D$33,MAX(IF(Paramètres!J44="",0,IF(Paramètres!K44="",NA(),IF(LEFT(TRIM(Paramètres!K44),1)="F",INDEX($F$1571:$F$1623,MATCH(Paramètres!J44,Paramètres!$G$5:$G$57,0)),INDEX($E$1571:$E$1623,MATCH(Paramètres!J44,Paramètres!$G$5:$G$57,0)))+IF(RIGHT(TRIM(Paramètres!K44),3)="Fin",1-$H1610,IF(LEFT(TRIM(Paramètres!K44),1)="F",1,0)))),IF(Paramètres!L44="",0,IF(Paramètres!M44="",NA(),IF(LEFT(TRIM(Paramètres!M44),1)="F",INDEX($F$1571:$F$1623,MATCH(Paramètres!L44,Paramètres!$G$5:$G$57,0)),INDEX($E$1571:$E$1623,MATCH(Paramètres!L44,Paramètres!$G$5:$G$57,0)))+IF(RIGHT(TRIM(Paramètres!M44),3)="Fin",1-$H1610,IF(LEFT(TRIM(Paramètres!M44),1)="F",1,0)))),IF(Paramètres!N44="",0,IF(Paramètres!O44="",NA(),IF(LEFT(TRIM(Paramètres!O44),1)="F",INDEX($F$1571:$F$1623,MATCH(Paramètres!N44,Paramètres!$G$5:$G$57,0)),INDEX($E$1571:$E$1623,MATCH(Paramètres!N44,Paramètres!$G$5:$G$57,0)))+IF(RIGHT(TRIM(Paramètres!O44),3)="Fin",1-$H1610,IF(LEFT(TRIM(Paramètres!O44),1)="F",1,0)))))))</f>
        <v/>
      </c>
      <c r="F1610" s="19">
        <f>IF($A1610="","",E1610+$H1610-1)</f>
        <v/>
      </c>
      <c r="G1610" s="18" t="n"/>
      <c r="H1610" s="18">
        <f>IF($A1610="","",IF(I1610&lt;&gt;"",I1610,Paramètres!B44))</f>
        <v/>
      </c>
      <c r="I1610" s="18" t="n"/>
    </row>
    <row r="1611">
      <c r="A1611" s="18">
        <f>IF(ISNUMBER(Dossiers!$D$33),Dossiers!$A$33&amp;" · "&amp;Dossiers!$B$33,"")</f>
        <v/>
      </c>
      <c r="B1611" s="18">
        <f>IF($A1611="","",Paramètres!G45)</f>
        <v/>
      </c>
      <c r="C1611" s="20">
        <f>IF($A1611="","",IF(Dossiers!$G$33="","",Dossiers!$G$33))</f>
        <v/>
      </c>
      <c r="D1611" s="18">
        <f>IF($A1611="","",IF(Paramètres!I45="","",Paramètres!I45))</f>
        <v/>
      </c>
      <c r="E1611" s="19">
        <f>IF($A1611="","",IF(Paramètres!J45&amp;Paramètres!L45&amp;Paramètres!N45="",Dossiers!$D$33,MAX(IF(Paramètres!J45="",0,IF(Paramètres!K45="",NA(),IF(LEFT(TRIM(Paramètres!K45),1)="F",INDEX($F$1571:$F$1623,MATCH(Paramètres!J45,Paramètres!$G$5:$G$57,0)),INDEX($E$1571:$E$1623,MATCH(Paramètres!J45,Paramètres!$G$5:$G$57,0)))+IF(RIGHT(TRIM(Paramètres!K45),3)="Fin",1-$H1611,IF(LEFT(TRIM(Paramètres!K45),1)="F",1,0)))),IF(Paramètres!L45="",0,IF(Paramètres!M45="",NA(),IF(LEFT(TRIM(Paramètres!M45),1)="F",INDEX($F$1571:$F$1623,MATCH(Paramètres!L45,Paramètres!$G$5:$G$57,0)),INDEX($E$1571:$E$1623,MATCH(Paramètres!L45,Paramètres!$G$5:$G$57,0)))+IF(RIGHT(TRIM(Paramètres!M45),3)="Fin",1-$H1611,IF(LEFT(TRIM(Paramètres!M45),1)="F",1,0)))),IF(Paramètres!N45="",0,IF(Paramètres!O45="",NA(),IF(LEFT(TRIM(Paramètres!O45),1)="F",INDEX($F$1571:$F$1623,MATCH(Paramètres!N45,Paramètres!$G$5:$G$57,0)),INDEX($E$1571:$E$1623,MATCH(Paramètres!N45,Paramètres!$G$5:$G$57,0)))+IF(RIGHT(TRIM(Paramètres!O45),3)="Fin",1-$H1611,IF(LEFT(TRIM(Paramètres!O45),1)="F",1,0)))))))</f>
        <v/>
      </c>
      <c r="F1611" s="19">
        <f>IF($A1611="","",E1611+$H1611-1)</f>
        <v/>
      </c>
      <c r="G1611" s="18" t="n"/>
      <c r="H1611" s="18">
        <f>IF($A1611="","",IF(I1611&lt;&gt;"",I1611,Paramètres!B45))</f>
        <v/>
      </c>
      <c r="I1611" s="18" t="n"/>
    </row>
    <row r="1612">
      <c r="A1612" s="18">
        <f>IF(ISNUMBER(Dossiers!$D$33),Dossiers!$A$33&amp;" · "&amp;Dossiers!$B$33,"")</f>
        <v/>
      </c>
      <c r="B1612" s="18">
        <f>IF($A1612="","",Paramètres!G46)</f>
        <v/>
      </c>
      <c r="C1612" s="18">
        <f>IF($A1612="","",IF(Paramètres!H46="","",Paramètres!H46))</f>
        <v/>
      </c>
      <c r="D1612" s="18">
        <f>IF($A1612="","",IF(Paramètres!I46="","",Paramètres!I46))</f>
        <v/>
      </c>
      <c r="E1612" s="19">
        <f>IF($A1612="","",IF(Paramètres!J46&amp;Paramètres!L46&amp;Paramètres!N46="",Dossiers!$D$33,MAX(IF(Paramètres!J46="",0,IF(Paramètres!K46="",NA(),IF(LEFT(TRIM(Paramètres!K46),1)="F",INDEX($F$1571:$F$1623,MATCH(Paramètres!J46,Paramètres!$G$5:$G$57,0)),INDEX($E$1571:$E$1623,MATCH(Paramètres!J46,Paramètres!$G$5:$G$57,0)))+IF(RIGHT(TRIM(Paramètres!K46),3)="Fin",1-$H1612,IF(LEFT(TRIM(Paramètres!K46),1)="F",1,0)))),IF(Paramètres!L46="",0,IF(Paramètres!M46="",NA(),IF(LEFT(TRIM(Paramètres!M46),1)="F",INDEX($F$1571:$F$1623,MATCH(Paramètres!L46,Paramètres!$G$5:$G$57,0)),INDEX($E$1571:$E$1623,MATCH(Paramètres!L46,Paramètres!$G$5:$G$57,0)))+IF(RIGHT(TRIM(Paramètres!M46),3)="Fin",1-$H1612,IF(LEFT(TRIM(Paramètres!M46),1)="F",1,0)))),IF(Paramètres!N46="",0,IF(Paramètres!O46="",NA(),IF(LEFT(TRIM(Paramètres!O46),1)="F",INDEX($F$1571:$F$1623,MATCH(Paramètres!N46,Paramètres!$G$5:$G$57,0)),INDEX($E$1571:$E$1623,MATCH(Paramètres!N46,Paramètres!$G$5:$G$57,0)))+IF(RIGHT(TRIM(Paramètres!O46),3)="Fin",1-$H1612,IF(LEFT(TRIM(Paramètres!O46),1)="F",1,0)))))))</f>
        <v/>
      </c>
      <c r="F1612" s="19">
        <f>IF($A1612="","",E1612+$H1612-1)</f>
        <v/>
      </c>
      <c r="G1612" s="18" t="n"/>
      <c r="H1612" s="18">
        <f>IF($A1612="","",IF(I1612&lt;&gt;"",I1612,Paramètres!B46))</f>
        <v/>
      </c>
      <c r="I1612" s="18" t="n"/>
    </row>
    <row r="1613">
      <c r="A1613" s="18">
        <f>IF(ISNUMBER(Dossiers!$D$33),Dossiers!$A$33&amp;" · "&amp;Dossiers!$B$33,"")</f>
        <v/>
      </c>
      <c r="B1613" s="18">
        <f>IF($A1613="","",Paramètres!G47)</f>
        <v/>
      </c>
      <c r="C1613" s="18">
        <f>IF($A1613="","",IF(Paramètres!H47="","",Paramètres!H47))</f>
        <v/>
      </c>
      <c r="D1613" s="18">
        <f>IF($A1613="","",IF(Paramètres!I47="","",Paramètres!I47))</f>
        <v/>
      </c>
      <c r="E1613" s="19">
        <f>IF($A1613="","",IF(Paramètres!J47&amp;Paramètres!L47&amp;Paramètres!N47="",Dossiers!$D$33,MAX(IF(Paramètres!J47="",0,IF(Paramètres!K47="",NA(),IF(LEFT(TRIM(Paramètres!K47),1)="F",INDEX($F$1571:$F$1623,MATCH(Paramètres!J47,Paramètres!$G$5:$G$57,0)),INDEX($E$1571:$E$1623,MATCH(Paramètres!J47,Paramètres!$G$5:$G$57,0)))+IF(RIGHT(TRIM(Paramètres!K47),3)="Fin",1-$H1613,IF(LEFT(TRIM(Paramètres!K47),1)="F",1,0)))),IF(Paramètres!L47="",0,IF(Paramètres!M47="",NA(),IF(LEFT(TRIM(Paramètres!M47),1)="F",INDEX($F$1571:$F$1623,MATCH(Paramètres!L47,Paramètres!$G$5:$G$57,0)),INDEX($E$1571:$E$1623,MATCH(Paramètres!L47,Paramètres!$G$5:$G$57,0)))+IF(RIGHT(TRIM(Paramètres!M47),3)="Fin",1-$H1613,IF(LEFT(TRIM(Paramètres!M47),1)="F",1,0)))),IF(Paramètres!N47="",0,IF(Paramètres!O47="",NA(),IF(LEFT(TRIM(Paramètres!O47),1)="F",INDEX($F$1571:$F$1623,MATCH(Paramètres!N47,Paramètres!$G$5:$G$57,0)),INDEX($E$1571:$E$1623,MATCH(Paramètres!N47,Paramètres!$G$5:$G$57,0)))+IF(RIGHT(TRIM(Paramètres!O47),3)="Fin",1-$H1613,IF(LEFT(TRIM(Paramètres!O47),1)="F",1,0)))))))</f>
        <v/>
      </c>
      <c r="F1613" s="19">
        <f>IF($A1613="","",E1613+$H1613-1)</f>
        <v/>
      </c>
      <c r="G1613" s="18" t="n"/>
      <c r="H1613" s="18">
        <f>IF($A1613="","",IF(I1613&lt;&gt;"",I1613,Paramètres!B47))</f>
        <v/>
      </c>
      <c r="I1613" s="18" t="n"/>
    </row>
    <row r="1614">
      <c r="A1614" s="18">
        <f>IF(ISNUMBER(Dossiers!$D$33),Dossiers!$A$33&amp;" · "&amp;Dossiers!$B$33,"")</f>
        <v/>
      </c>
      <c r="B1614" s="18">
        <f>IF($A1614="","",Paramètres!G48)</f>
        <v/>
      </c>
      <c r="C1614" s="18">
        <f>IF($A1614="","",IF(Paramètres!H48="","",Paramètres!H48))</f>
        <v/>
      </c>
      <c r="D1614" s="18">
        <f>IF($A1614="","",IF(Paramètres!I48="","",Paramètres!I48))</f>
        <v/>
      </c>
      <c r="E1614" s="19">
        <f>IF($A1614="","",IF(Paramètres!J48&amp;Paramètres!L48&amp;Paramètres!N48="",Dossiers!$D$33,MAX(IF(Paramètres!J48="",0,IF(Paramètres!K48="",NA(),IF(LEFT(TRIM(Paramètres!K48),1)="F",INDEX($F$1571:$F$1623,MATCH(Paramètres!J48,Paramètres!$G$5:$G$57,0)),INDEX($E$1571:$E$1623,MATCH(Paramètres!J48,Paramètres!$G$5:$G$57,0)))+IF(RIGHT(TRIM(Paramètres!K48),3)="Fin",1-$H1614,IF(LEFT(TRIM(Paramètres!K48),1)="F",1,0)))),IF(Paramètres!L48="",0,IF(Paramètres!M48="",NA(),IF(LEFT(TRIM(Paramètres!M48),1)="F",INDEX($F$1571:$F$1623,MATCH(Paramètres!L48,Paramètres!$G$5:$G$57,0)),INDEX($E$1571:$E$1623,MATCH(Paramètres!L48,Paramètres!$G$5:$G$57,0)))+IF(RIGHT(TRIM(Paramètres!M48),3)="Fin",1-$H1614,IF(LEFT(TRIM(Paramètres!M48),1)="F",1,0)))),IF(Paramètres!N48="",0,IF(Paramètres!O48="",NA(),IF(LEFT(TRIM(Paramètres!O48),1)="F",INDEX($F$1571:$F$1623,MATCH(Paramètres!N48,Paramètres!$G$5:$G$57,0)),INDEX($E$1571:$E$1623,MATCH(Paramètres!N48,Paramètres!$G$5:$G$57,0)))+IF(RIGHT(TRIM(Paramètres!O48),3)="Fin",1-$H1614,IF(LEFT(TRIM(Paramètres!O48),1)="F",1,0)))))))</f>
        <v/>
      </c>
      <c r="F1614" s="19">
        <f>IF($A1614="","",E1614+$H1614-1)</f>
        <v/>
      </c>
      <c r="G1614" s="18" t="n"/>
      <c r="H1614" s="18">
        <f>IF($A1614="","",IF(I1614&lt;&gt;"",I1614,Paramètres!B48))</f>
        <v/>
      </c>
      <c r="I1614" s="18" t="n"/>
    </row>
    <row r="1615">
      <c r="A1615" s="18">
        <f>IF(ISNUMBER(Dossiers!$D$33),Dossiers!$A$33&amp;" · "&amp;Dossiers!$B$33,"")</f>
        <v/>
      </c>
      <c r="B1615" s="18">
        <f>IF($A1615="","",Paramètres!G49)</f>
        <v/>
      </c>
      <c r="C1615" s="18">
        <f>IF($A1615="","",IF(Paramètres!H49="","",Paramètres!H49))</f>
        <v/>
      </c>
      <c r="D1615" s="18">
        <f>IF($A1615="","",IF(Paramètres!I49="","",Paramètres!I49))</f>
        <v/>
      </c>
      <c r="E1615" s="19">
        <f>IF($A1615="","",IF(Paramètres!J49&amp;Paramètres!L49&amp;Paramètres!N49="",Dossiers!$D$33,MAX(IF(Paramètres!J49="",0,IF(Paramètres!K49="",NA(),IF(LEFT(TRIM(Paramètres!K49),1)="F",INDEX($F$1571:$F$1623,MATCH(Paramètres!J49,Paramètres!$G$5:$G$57,0)),INDEX($E$1571:$E$1623,MATCH(Paramètres!J49,Paramètres!$G$5:$G$57,0)))+IF(RIGHT(TRIM(Paramètres!K49),3)="Fin",1-$H1615,IF(LEFT(TRIM(Paramètres!K49),1)="F",1,0)))),IF(Paramètres!L49="",0,IF(Paramètres!M49="",NA(),IF(LEFT(TRIM(Paramètres!M49),1)="F",INDEX($F$1571:$F$1623,MATCH(Paramètres!L49,Paramètres!$G$5:$G$57,0)),INDEX($E$1571:$E$1623,MATCH(Paramètres!L49,Paramètres!$G$5:$G$57,0)))+IF(RIGHT(TRIM(Paramètres!M49),3)="Fin",1-$H1615,IF(LEFT(TRIM(Paramètres!M49),1)="F",1,0)))),IF(Paramètres!N49="",0,IF(Paramètres!O49="",NA(),IF(LEFT(TRIM(Paramètres!O49),1)="F",INDEX($F$1571:$F$1623,MATCH(Paramètres!N49,Paramètres!$G$5:$G$57,0)),INDEX($E$1571:$E$1623,MATCH(Paramètres!N49,Paramètres!$G$5:$G$57,0)))+IF(RIGHT(TRIM(Paramètres!O49),3)="Fin",1-$H1615,IF(LEFT(TRIM(Paramètres!O49),1)="F",1,0)))))))</f>
        <v/>
      </c>
      <c r="F1615" s="19">
        <f>IF($A1615="","",E1615+$H1615-1)</f>
        <v/>
      </c>
      <c r="G1615" s="18" t="n"/>
      <c r="H1615" s="18">
        <f>IF($A1615="","",IF(I1615&lt;&gt;"",I1615,Paramètres!B49))</f>
        <v/>
      </c>
      <c r="I1615" s="18" t="n"/>
    </row>
    <row r="1616">
      <c r="A1616" s="18">
        <f>IF(ISNUMBER(Dossiers!$D$33),Dossiers!$A$33&amp;" · "&amp;Dossiers!$B$33,"")</f>
        <v/>
      </c>
      <c r="B1616" s="18">
        <f>IF($A1616="","",Paramètres!G50)</f>
        <v/>
      </c>
      <c r="C1616" s="18">
        <f>IF($A1616="","",IF(Paramètres!H50="","",Paramètres!H50))</f>
        <v/>
      </c>
      <c r="D1616" s="18">
        <f>IF($A1616="","",IF(Paramètres!I50="","",Paramètres!I50))</f>
        <v/>
      </c>
      <c r="E1616" s="19">
        <f>IF($A1616="","",IF(Paramètres!J50&amp;Paramètres!L50&amp;Paramètres!N50="",Dossiers!$D$33,MAX(IF(Paramètres!J50="",0,IF(Paramètres!K50="",NA(),IF(LEFT(TRIM(Paramètres!K50),1)="F",INDEX($F$1571:$F$1623,MATCH(Paramètres!J50,Paramètres!$G$5:$G$57,0)),INDEX($E$1571:$E$1623,MATCH(Paramètres!J50,Paramètres!$G$5:$G$57,0)))+IF(RIGHT(TRIM(Paramètres!K50),3)="Fin",1-$H1616,IF(LEFT(TRIM(Paramètres!K50),1)="F",1,0)))),IF(Paramètres!L50="",0,IF(Paramètres!M50="",NA(),IF(LEFT(TRIM(Paramètres!M50),1)="F",INDEX($F$1571:$F$1623,MATCH(Paramètres!L50,Paramètres!$G$5:$G$57,0)),INDEX($E$1571:$E$1623,MATCH(Paramètres!L50,Paramètres!$G$5:$G$57,0)))+IF(RIGHT(TRIM(Paramètres!M50),3)="Fin",1-$H1616,IF(LEFT(TRIM(Paramètres!M50),1)="F",1,0)))),IF(Paramètres!N50="",0,IF(Paramètres!O50="",NA(),IF(LEFT(TRIM(Paramètres!O50),1)="F",INDEX($F$1571:$F$1623,MATCH(Paramètres!N50,Paramètres!$G$5:$G$57,0)),INDEX($E$1571:$E$1623,MATCH(Paramètres!N50,Paramètres!$G$5:$G$57,0)))+IF(RIGHT(TRIM(Paramètres!O50),3)="Fin",1-$H1616,IF(LEFT(TRIM(Paramètres!O50),1)="F",1,0)))))))</f>
        <v/>
      </c>
      <c r="F1616" s="19">
        <f>IF($A1616="","",E1616+$H1616-1)</f>
        <v/>
      </c>
      <c r="G1616" s="18" t="n"/>
      <c r="H1616" s="18">
        <f>IF($A1616="","",IF(I1616&lt;&gt;"",I1616,Paramètres!B50))</f>
        <v/>
      </c>
      <c r="I1616" s="18" t="n"/>
    </row>
    <row r="1617">
      <c r="A1617" s="18">
        <f>IF(ISNUMBER(Dossiers!$D$33),Dossiers!$A$33&amp;" · "&amp;Dossiers!$B$33,"")</f>
        <v/>
      </c>
      <c r="B1617" s="18">
        <f>IF($A1617="","",Paramètres!G51)</f>
        <v/>
      </c>
      <c r="C1617" s="18">
        <f>IF($A1617="","",IF(Paramètres!H51="","",Paramètres!H51))</f>
        <v/>
      </c>
      <c r="D1617" s="18">
        <f>IF($A1617="","",IF(Paramètres!I51="","",Paramètres!I51))</f>
        <v/>
      </c>
      <c r="E1617" s="19">
        <f>IF($A1617="","",IF(Paramètres!J51&amp;Paramètres!L51&amp;Paramètres!N51="",Dossiers!$D$33,MAX(IF(Paramètres!J51="",0,IF(Paramètres!K51="",NA(),IF(LEFT(TRIM(Paramètres!K51),1)="F",INDEX($F$1571:$F$1623,MATCH(Paramètres!J51,Paramètres!$G$5:$G$57,0)),INDEX($E$1571:$E$1623,MATCH(Paramètres!J51,Paramètres!$G$5:$G$57,0)))+IF(RIGHT(TRIM(Paramètres!K51),3)="Fin",1-$H1617,IF(LEFT(TRIM(Paramètres!K51),1)="F",1,0)))),IF(Paramètres!L51="",0,IF(Paramètres!M51="",NA(),IF(LEFT(TRIM(Paramètres!M51),1)="F",INDEX($F$1571:$F$1623,MATCH(Paramètres!L51,Paramètres!$G$5:$G$57,0)),INDEX($E$1571:$E$1623,MATCH(Paramètres!L51,Paramètres!$G$5:$G$57,0)))+IF(RIGHT(TRIM(Paramètres!M51),3)="Fin",1-$H1617,IF(LEFT(TRIM(Paramètres!M51),1)="F",1,0)))),IF(Paramètres!N51="",0,IF(Paramètres!O51="",NA(),IF(LEFT(TRIM(Paramètres!O51),1)="F",INDEX($F$1571:$F$1623,MATCH(Paramètres!N51,Paramètres!$G$5:$G$57,0)),INDEX($E$1571:$E$1623,MATCH(Paramètres!N51,Paramètres!$G$5:$G$57,0)))+IF(RIGHT(TRIM(Paramètres!O51),3)="Fin",1-$H1617,IF(LEFT(TRIM(Paramètres!O51),1)="F",1,0)))))))</f>
        <v/>
      </c>
      <c r="F1617" s="19">
        <f>IF($A1617="","",E1617+$H1617-1)</f>
        <v/>
      </c>
      <c r="G1617" s="18" t="n"/>
      <c r="H1617" s="18">
        <f>IF($A1617="","",IF(I1617&lt;&gt;"",I1617,Paramètres!B51))</f>
        <v/>
      </c>
      <c r="I1617" s="18" t="n"/>
    </row>
    <row r="1618">
      <c r="A1618" s="18">
        <f>IF(ISNUMBER(Dossiers!$D$33),Dossiers!$A$33&amp;" · "&amp;Dossiers!$B$33,"")</f>
        <v/>
      </c>
      <c r="B1618" s="18">
        <f>IF($A1618="","",Paramètres!G52)</f>
        <v/>
      </c>
      <c r="C1618" s="18">
        <f>IF($A1618="","",IF(Paramètres!H52="","",Paramètres!H52))</f>
        <v/>
      </c>
      <c r="D1618" s="18">
        <f>IF($A1618="","",IF(Paramètres!I52="","",Paramètres!I52))</f>
        <v/>
      </c>
      <c r="E1618" s="19">
        <f>IF($A1618="","",IF(Paramètres!J52&amp;Paramètres!L52&amp;Paramètres!N52="",Dossiers!$D$33,MAX(IF(Paramètres!J52="",0,IF(Paramètres!K52="",NA(),IF(LEFT(TRIM(Paramètres!K52),1)="F",INDEX($F$1571:$F$1623,MATCH(Paramètres!J52,Paramètres!$G$5:$G$57,0)),INDEX($E$1571:$E$1623,MATCH(Paramètres!J52,Paramètres!$G$5:$G$57,0)))+IF(RIGHT(TRIM(Paramètres!K52),3)="Fin",1-$H1618,IF(LEFT(TRIM(Paramètres!K52),1)="F",1,0)))),IF(Paramètres!L52="",0,IF(Paramètres!M52="",NA(),IF(LEFT(TRIM(Paramètres!M52),1)="F",INDEX($F$1571:$F$1623,MATCH(Paramètres!L52,Paramètres!$G$5:$G$57,0)),INDEX($E$1571:$E$1623,MATCH(Paramètres!L52,Paramètres!$G$5:$G$57,0)))+IF(RIGHT(TRIM(Paramètres!M52),3)="Fin",1-$H1618,IF(LEFT(TRIM(Paramètres!M52),1)="F",1,0)))),IF(Paramètres!N52="",0,IF(Paramètres!O52="",NA(),IF(LEFT(TRIM(Paramètres!O52),1)="F",INDEX($F$1571:$F$1623,MATCH(Paramètres!N52,Paramètres!$G$5:$G$57,0)),INDEX($E$1571:$E$1623,MATCH(Paramètres!N52,Paramètres!$G$5:$G$57,0)))+IF(RIGHT(TRIM(Paramètres!O52),3)="Fin",1-$H1618,IF(LEFT(TRIM(Paramètres!O52),1)="F",1,0)))))))</f>
        <v/>
      </c>
      <c r="F1618" s="19">
        <f>IF($A1618="","",E1618+$H1618-1)</f>
        <v/>
      </c>
      <c r="G1618" s="18" t="n"/>
      <c r="H1618" s="18">
        <f>IF($A1618="","",IF(I1618&lt;&gt;"",I1618,Paramètres!B52))</f>
        <v/>
      </c>
      <c r="I1618" s="18" t="n"/>
    </row>
    <row r="1619">
      <c r="A1619" s="18">
        <f>IF(ISNUMBER(Dossiers!$D$33),Dossiers!$A$33&amp;" · "&amp;Dossiers!$B$33,"")</f>
        <v/>
      </c>
      <c r="B1619" s="18">
        <f>IF($A1619="","",Paramètres!G53)</f>
        <v/>
      </c>
      <c r="C1619" s="18">
        <f>IF($A1619="","",IF(Paramètres!H53="","",Paramètres!H53))</f>
        <v/>
      </c>
      <c r="D1619" s="18">
        <f>IF($A1619="","",IF(Paramètres!I53="","",Paramètres!I53))</f>
        <v/>
      </c>
      <c r="E1619" s="19">
        <f>IF($A1619="","",IF(Paramètres!J53&amp;Paramètres!L53&amp;Paramètres!N53="",Dossiers!$D$33,MAX(IF(Paramètres!J53="",0,IF(Paramètres!K53="",NA(),IF(LEFT(TRIM(Paramètres!K53),1)="F",INDEX($F$1571:$F$1623,MATCH(Paramètres!J53,Paramètres!$G$5:$G$57,0)),INDEX($E$1571:$E$1623,MATCH(Paramètres!J53,Paramètres!$G$5:$G$57,0)))+IF(RIGHT(TRIM(Paramètres!K53),3)="Fin",1-$H1619,IF(LEFT(TRIM(Paramètres!K53),1)="F",1,0)))),IF(Paramètres!L53="",0,IF(Paramètres!M53="",NA(),IF(LEFT(TRIM(Paramètres!M53),1)="F",INDEX($F$1571:$F$1623,MATCH(Paramètres!L53,Paramètres!$G$5:$G$57,0)),INDEX($E$1571:$E$1623,MATCH(Paramètres!L53,Paramètres!$G$5:$G$57,0)))+IF(RIGHT(TRIM(Paramètres!M53),3)="Fin",1-$H1619,IF(LEFT(TRIM(Paramètres!M53),1)="F",1,0)))),IF(Paramètres!N53="",0,IF(Paramètres!O53="",NA(),IF(LEFT(TRIM(Paramètres!O53),1)="F",INDEX($F$1571:$F$1623,MATCH(Paramètres!N53,Paramètres!$G$5:$G$57,0)),INDEX($E$1571:$E$1623,MATCH(Paramètres!N53,Paramètres!$G$5:$G$57,0)))+IF(RIGHT(TRIM(Paramètres!O53),3)="Fin",1-$H1619,IF(LEFT(TRIM(Paramètres!O53),1)="F",1,0)))))))</f>
        <v/>
      </c>
      <c r="F1619" s="19">
        <f>IF($A1619="","",E1619+$H1619-1)</f>
        <v/>
      </c>
      <c r="G1619" s="18" t="n"/>
      <c r="H1619" s="18">
        <f>IF($A1619="","",IF(I1619&lt;&gt;"",I1619,Paramètres!B53))</f>
        <v/>
      </c>
      <c r="I1619" s="18" t="n"/>
    </row>
    <row r="1620">
      <c r="A1620" s="18">
        <f>IF(ISNUMBER(Dossiers!$D$33),Dossiers!$A$33&amp;" · "&amp;Dossiers!$B$33,"")</f>
        <v/>
      </c>
      <c r="B1620" s="18">
        <f>IF($A1620="","",Paramètres!G54)</f>
        <v/>
      </c>
      <c r="C1620" s="18">
        <f>IF($A1620="","",IF(Paramètres!H54="","",Paramètres!H54))</f>
        <v/>
      </c>
      <c r="D1620" s="18">
        <f>IF($A1620="","",IF(Paramètres!I54="","",Paramètres!I54))</f>
        <v/>
      </c>
      <c r="E1620" s="19">
        <f>IF($A1620="","",IF(Paramètres!J54&amp;Paramètres!L54&amp;Paramètres!N54="",Dossiers!$D$33,MAX(IF(Paramètres!J54="",0,IF(Paramètres!K54="",NA(),IF(LEFT(TRIM(Paramètres!K54),1)="F",INDEX($F$1571:$F$1623,MATCH(Paramètres!J54,Paramètres!$G$5:$G$57,0)),INDEX($E$1571:$E$1623,MATCH(Paramètres!J54,Paramètres!$G$5:$G$57,0)))+IF(RIGHT(TRIM(Paramètres!K54),3)="Fin",1-$H1620,IF(LEFT(TRIM(Paramètres!K54),1)="F",1,0)))),IF(Paramètres!L54="",0,IF(Paramètres!M54="",NA(),IF(LEFT(TRIM(Paramètres!M54),1)="F",INDEX($F$1571:$F$1623,MATCH(Paramètres!L54,Paramètres!$G$5:$G$57,0)),INDEX($E$1571:$E$1623,MATCH(Paramètres!L54,Paramètres!$G$5:$G$57,0)))+IF(RIGHT(TRIM(Paramètres!M54),3)="Fin",1-$H1620,IF(LEFT(TRIM(Paramètres!M54),1)="F",1,0)))),IF(Paramètres!N54="",0,IF(Paramètres!O54="",NA(),IF(LEFT(TRIM(Paramètres!O54),1)="F",INDEX($F$1571:$F$1623,MATCH(Paramètres!N54,Paramètres!$G$5:$G$57,0)),INDEX($E$1571:$E$1623,MATCH(Paramètres!N54,Paramètres!$G$5:$G$57,0)))+IF(RIGHT(TRIM(Paramètres!O54),3)="Fin",1-$H1620,IF(LEFT(TRIM(Paramètres!O54),1)="F",1,0)))))))</f>
        <v/>
      </c>
      <c r="F1620" s="19">
        <f>IF($A1620="","",E1620+$H1620-1)</f>
        <v/>
      </c>
      <c r="G1620" s="18" t="n"/>
      <c r="H1620" s="18">
        <f>IF($A1620="","",IF(I1620&lt;&gt;"",I1620,Paramètres!B54))</f>
        <v/>
      </c>
      <c r="I1620" s="18" t="n"/>
    </row>
    <row r="1621">
      <c r="A1621" s="18">
        <f>IF(ISNUMBER(Dossiers!$D$33),Dossiers!$A$33&amp;" · "&amp;Dossiers!$B$33,"")</f>
        <v/>
      </c>
      <c r="B1621" s="18">
        <f>IF($A1621="","",Paramètres!G55)</f>
        <v/>
      </c>
      <c r="C1621" s="18">
        <f>IF($A1621="","",IF(Paramètres!H55="","",Paramètres!H55))</f>
        <v/>
      </c>
      <c r="D1621" s="18">
        <f>IF($A1621="","",IF(Paramètres!I55="","",Paramètres!I55))</f>
        <v/>
      </c>
      <c r="E1621" s="19">
        <f>IF($A1621="","",IF(Paramètres!J55&amp;Paramètres!L55&amp;Paramètres!N55="",Dossiers!$D$33,MAX(IF(Paramètres!J55="",0,IF(Paramètres!K55="",NA(),IF(LEFT(TRIM(Paramètres!K55),1)="F",INDEX($F$1571:$F$1623,MATCH(Paramètres!J55,Paramètres!$G$5:$G$57,0)),INDEX($E$1571:$E$1623,MATCH(Paramètres!J55,Paramètres!$G$5:$G$57,0)))+IF(RIGHT(TRIM(Paramètres!K55),3)="Fin",1-$H1621,IF(LEFT(TRIM(Paramètres!K55),1)="F",1,0)))),IF(Paramètres!L55="",0,IF(Paramètres!M55="",NA(),IF(LEFT(TRIM(Paramètres!M55),1)="F",INDEX($F$1571:$F$1623,MATCH(Paramètres!L55,Paramètres!$G$5:$G$57,0)),INDEX($E$1571:$E$1623,MATCH(Paramètres!L55,Paramètres!$G$5:$G$57,0)))+IF(RIGHT(TRIM(Paramètres!M55),3)="Fin",1-$H1621,IF(LEFT(TRIM(Paramètres!M55),1)="F",1,0)))),IF(Paramètres!N55="",0,IF(Paramètres!O55="",NA(),IF(LEFT(TRIM(Paramètres!O55),1)="F",INDEX($F$1571:$F$1623,MATCH(Paramètres!N55,Paramètres!$G$5:$G$57,0)),INDEX($E$1571:$E$1623,MATCH(Paramètres!N55,Paramètres!$G$5:$G$57,0)))+IF(RIGHT(TRIM(Paramètres!O55),3)="Fin",1-$H1621,IF(LEFT(TRIM(Paramètres!O55),1)="F",1,0)))))))</f>
        <v/>
      </c>
      <c r="F1621" s="19">
        <f>IF($A1621="","",E1621+$H1621-1)</f>
        <v/>
      </c>
      <c r="G1621" s="18" t="n"/>
      <c r="H1621" s="18">
        <f>IF($A1621="","",IF(I1621&lt;&gt;"",I1621,Paramètres!B55))</f>
        <v/>
      </c>
      <c r="I1621" s="18" t="n"/>
    </row>
    <row r="1622">
      <c r="A1622" s="18">
        <f>IF(ISNUMBER(Dossiers!$D$33),Dossiers!$A$33&amp;" · "&amp;Dossiers!$B$33,"")</f>
        <v/>
      </c>
      <c r="B1622" s="18">
        <f>IF($A1622="","",Paramètres!G56)</f>
        <v/>
      </c>
      <c r="C1622" s="18">
        <f>IF($A1622="","",IF(Paramètres!H56="","",Paramètres!H56))</f>
        <v/>
      </c>
      <c r="D1622" s="18">
        <f>IF($A1622="","",IF(Paramètres!I56="","",Paramètres!I56))</f>
        <v/>
      </c>
      <c r="E1622" s="19">
        <f>IF($A1622="","",MIN(E1623:E1623))</f>
        <v/>
      </c>
      <c r="F1622" s="19">
        <f>IF($A1622="","",MAX(F1623:F1623))</f>
        <v/>
      </c>
      <c r="G1622" s="18" t="n"/>
      <c r="H1622" s="18">
        <f>IF($A1622="","",F1622-E1622+1)</f>
        <v/>
      </c>
      <c r="I1622" s="18" t="n"/>
    </row>
    <row r="1623">
      <c r="A1623" s="18">
        <f>IF(ISNUMBER(Dossiers!$D$33),Dossiers!$A$33&amp;" · "&amp;Dossiers!$B$33,"")</f>
        <v/>
      </c>
      <c r="B1623" s="18">
        <f>IF($A1623="","",Paramètres!G57)</f>
        <v/>
      </c>
      <c r="C1623" s="18">
        <f>IF($A1623="","",IF(Paramètres!H57="","",Paramètres!H57))</f>
        <v/>
      </c>
      <c r="D1623" s="18">
        <f>IF($A1623="","",IF(Paramètres!I57="","",Paramètres!I57))</f>
        <v/>
      </c>
      <c r="E1623" s="19">
        <f>IF($A1623="","",IF(Paramètres!J57&amp;Paramètres!L57&amp;Paramètres!N57="",Dossiers!$D$33,MAX(IF(Paramètres!J57="",0,IF(Paramètres!K57="",NA(),IF(LEFT(TRIM(Paramètres!K57),1)="F",INDEX($F$1571:$F$1623,MATCH(Paramètres!J57,Paramètres!$G$5:$G$57,0)),INDEX($E$1571:$E$1623,MATCH(Paramètres!J57,Paramètres!$G$5:$G$57,0)))+IF(RIGHT(TRIM(Paramètres!K57),3)="Fin",1-$H1623,IF(LEFT(TRIM(Paramètres!K57),1)="F",1,0)))),IF(Paramètres!L57="",0,IF(Paramètres!M57="",NA(),IF(LEFT(TRIM(Paramètres!M57),1)="F",INDEX($F$1571:$F$1623,MATCH(Paramètres!L57,Paramètres!$G$5:$G$57,0)),INDEX($E$1571:$E$1623,MATCH(Paramètres!L57,Paramètres!$G$5:$G$57,0)))+IF(RIGHT(TRIM(Paramètres!M57),3)="Fin",1-$H1623,IF(LEFT(TRIM(Paramètres!M57),1)="F",1,0)))),IF(Paramètres!N57="",0,IF(Paramètres!O57="",NA(),IF(LEFT(TRIM(Paramètres!O57),1)="F",INDEX($F$1571:$F$1623,MATCH(Paramètres!N57,Paramètres!$G$5:$G$57,0)),INDEX($E$1571:$E$1623,MATCH(Paramètres!N57,Paramètres!$G$5:$G$57,0)))+IF(RIGHT(TRIM(Paramètres!O57),3)="Fin",1-$H1623,IF(LEFT(TRIM(Paramètres!O57),1)="F",1,0)))))))</f>
        <v/>
      </c>
      <c r="F1623" s="19">
        <f>IF($A1623="","",E1623+$H1623-1)</f>
        <v/>
      </c>
      <c r="G1623" s="18" t="n"/>
      <c r="H1623" s="18">
        <f>IF($A1623="","",IF(I1623&lt;&gt;"",I1623,Paramètres!B57))</f>
        <v/>
      </c>
      <c r="I1623" s="18" t="n"/>
    </row>
    <row r="1624">
      <c r="A1624" s="16">
        <f>IF(ISNUMBER(Dossiers!$D$34),Dossiers!$E$34,"")</f>
        <v/>
      </c>
      <c r="B1624" s="16">
        <f>IF($A1624="","","Identifiant")</f>
        <v/>
      </c>
      <c r="C1624" s="16">
        <f>IF($A1624="","","Macro Etape")</f>
        <v/>
      </c>
      <c r="D1624" s="16">
        <f>IF($A1624="","","Etape")</f>
        <v/>
      </c>
      <c r="E1624" s="17">
        <f>IF($A1624="","","Début le")</f>
        <v/>
      </c>
      <c r="F1624" s="17">
        <f>IF($A1624="","","Fin prévue le")</f>
        <v/>
      </c>
      <c r="G1624" s="16">
        <f>IF($A1624="","","Statut")</f>
        <v/>
      </c>
      <c r="H1624" s="16">
        <f>IF($A1624="","","Durée (jours)")</f>
        <v/>
      </c>
      <c r="I1624" s="16">
        <f>IF($A1624="","","Durée particulière")</f>
        <v/>
      </c>
      <c r="J1624" s="10">
        <f>IF($A1624="","",HYPERLINK("#'Tableau de bord'!A1","↑ Tableau de bord"))</f>
        <v/>
      </c>
    </row>
    <row r="1625">
      <c r="A1625" s="18">
        <f>IF(ISNUMBER(Dossiers!$D$34),Dossiers!$A$34&amp;" · "&amp;Dossiers!$B$34,"")</f>
        <v/>
      </c>
      <c r="B1625" s="18">
        <f>IF($A1625="","",Paramètres!G5)</f>
        <v/>
      </c>
      <c r="C1625" s="18">
        <f>IF($A1625="","",IF(Paramètres!H5="","",Paramètres!H5))</f>
        <v/>
      </c>
      <c r="D1625" s="18">
        <f>IF($A1625="","",IF(Paramètres!I5="","",Paramètres!I5))</f>
        <v/>
      </c>
      <c r="E1625" s="19">
        <f>IF($A1625="","",MIN(E1626:E1629))</f>
        <v/>
      </c>
      <c r="F1625" s="19">
        <f>IF($A1625="","",MAX(F1626:F1629))</f>
        <v/>
      </c>
      <c r="G1625" s="18" t="n"/>
      <c r="H1625" s="18">
        <f>IF($A1625="","",F1625-E1625+1)</f>
        <v/>
      </c>
      <c r="I1625" s="18" t="n"/>
    </row>
    <row r="1626">
      <c r="A1626" s="18">
        <f>IF(ISNUMBER(Dossiers!$D$34),Dossiers!$A$34&amp;" · "&amp;Dossiers!$B$34,"")</f>
        <v/>
      </c>
      <c r="B1626" s="18">
        <f>IF($A1626="","",Paramètres!G6)</f>
        <v/>
      </c>
      <c r="C1626" s="18">
        <f>IF($A1626="","",IF(Paramètres!H6="","",Paramètres!H6))</f>
        <v/>
      </c>
      <c r="D1626" s="18">
        <f>IF($A1626="","",IF(Paramètres!I6="","",Paramètres!I6))</f>
        <v/>
      </c>
      <c r="E1626" s="19">
        <f>IF($A1626="","",IF(Paramètres!J6&amp;Paramètres!L6&amp;Paramètres!N6="",Dossiers!$D$34,MAX(IF(Paramètres!J6="",0,IF(Paramètres!K6="",NA(),IF(LEFT(TRIM(Paramètres!K6),1)="F",INDEX($F$1625:$F$1677,MATCH(Paramètres!J6,Paramètres!$G$5:$G$57,0)),INDEX($E$1625:$E$1677,MATCH(Paramètres!J6,Paramètres!$G$5:$G$57,0)))+IF(RIGHT(TRIM(Paramètres!K6),3)="Fin",1-$H1626,IF(LEFT(TRIM(Paramètres!K6),1)="F",1,0)))),IF(Paramètres!L6="",0,IF(Paramètres!M6="",NA(),IF(LEFT(TRIM(Paramètres!M6),1)="F",INDEX($F$1625:$F$1677,MATCH(Paramètres!L6,Paramètres!$G$5:$G$57,0)),INDEX($E$1625:$E$1677,MATCH(Paramètres!L6,Paramètres!$G$5:$G$57,0)))+IF(RIGHT(TRIM(Paramètres!M6),3)="Fin",1-$H1626,IF(LEFT(TRIM(Paramètres!M6),1)="F",1,0)))),IF(Paramètres!N6="",0,IF(Paramètres!O6="",NA(),IF(LEFT(TRIM(Paramètres!O6),1)="F",INDEX($F$1625:$F$1677,MATCH(Paramètres!N6,Paramètres!$G$5:$G$57,0)),INDEX($E$1625:$E$1677,MATCH(Paramètres!N6,Paramètres!$G$5:$G$57,0)))+IF(RIGHT(TRIM(Paramètres!O6),3)="Fin",1-$H1626,IF(LEFT(TRIM(Paramètres!O6),1)="F",1,0)))))))</f>
        <v/>
      </c>
      <c r="F1626" s="19">
        <f>IF($A1626="","",E1626+$H1626-1)</f>
        <v/>
      </c>
      <c r="G1626" s="18" t="n"/>
      <c r="H1626" s="18">
        <f>IF($A1626="","",IF(I1626&lt;&gt;"",I1626,Paramètres!B6))</f>
        <v/>
      </c>
      <c r="I1626" s="18" t="n"/>
    </row>
    <row r="1627">
      <c r="A1627" s="18">
        <f>IF(ISNUMBER(Dossiers!$D$34),Dossiers!$A$34&amp;" · "&amp;Dossiers!$B$34,"")</f>
        <v/>
      </c>
      <c r="B1627" s="18">
        <f>IF($A1627="","",Paramètres!G7)</f>
        <v/>
      </c>
      <c r="C1627" s="18">
        <f>IF($A1627="","",IF(Paramètres!H7="","",Paramètres!H7))</f>
        <v/>
      </c>
      <c r="D1627" s="18">
        <f>IF($A1627="","",IF(Paramètres!I7="","",Paramètres!I7))</f>
        <v/>
      </c>
      <c r="E1627" s="19">
        <f>IF($A1627="","",IF(Paramètres!J7&amp;Paramètres!L7&amp;Paramètres!N7="",Dossiers!$D$34,MAX(IF(Paramètres!J7="",0,IF(Paramètres!K7="",NA(),IF(LEFT(TRIM(Paramètres!K7),1)="F",INDEX($F$1625:$F$1677,MATCH(Paramètres!J7,Paramètres!$G$5:$G$57,0)),INDEX($E$1625:$E$1677,MATCH(Paramètres!J7,Paramètres!$G$5:$G$57,0)))+IF(RIGHT(TRIM(Paramètres!K7),3)="Fin",1-$H1627,IF(LEFT(TRIM(Paramètres!K7),1)="F",1,0)))),IF(Paramètres!L7="",0,IF(Paramètres!M7="",NA(),IF(LEFT(TRIM(Paramètres!M7),1)="F",INDEX($F$1625:$F$1677,MATCH(Paramètres!L7,Paramètres!$G$5:$G$57,0)),INDEX($E$1625:$E$1677,MATCH(Paramètres!L7,Paramètres!$G$5:$G$57,0)))+IF(RIGHT(TRIM(Paramètres!M7),3)="Fin",1-$H1627,IF(LEFT(TRIM(Paramètres!M7),1)="F",1,0)))),IF(Paramètres!N7="",0,IF(Paramètres!O7="",NA(),IF(LEFT(TRIM(Paramètres!O7),1)="F",INDEX($F$1625:$F$1677,MATCH(Paramètres!N7,Paramètres!$G$5:$G$57,0)),INDEX($E$1625:$E$1677,MATCH(Paramètres!N7,Paramètres!$G$5:$G$57,0)))+IF(RIGHT(TRIM(Paramètres!O7),3)="Fin",1-$H1627,IF(LEFT(TRIM(Paramètres!O7),1)="F",1,0)))))))</f>
        <v/>
      </c>
      <c r="F1627" s="19">
        <f>IF($A1627="","",E1627+$H1627-1)</f>
        <v/>
      </c>
      <c r="G1627" s="18" t="n"/>
      <c r="H1627" s="18">
        <f>IF($A1627="","",IF(I1627&lt;&gt;"",I1627,Paramètres!B7))</f>
        <v/>
      </c>
      <c r="I1627" s="18" t="n"/>
    </row>
    <row r="1628">
      <c r="A1628" s="18">
        <f>IF(ISNUMBER(Dossiers!$D$34),Dossiers!$A$34&amp;" · "&amp;Dossiers!$B$34,"")</f>
        <v/>
      </c>
      <c r="B1628" s="18">
        <f>IF($A1628="","",Paramètres!G8)</f>
        <v/>
      </c>
      <c r="C1628" s="18">
        <f>IF($A1628="","",IF(Paramètres!H8="","",Paramètres!H8))</f>
        <v/>
      </c>
      <c r="D1628" s="18">
        <f>IF($A1628="","",IF(Paramètres!I8="","",Paramètres!I8))</f>
        <v/>
      </c>
      <c r="E1628" s="19">
        <f>IF($A1628="","",IF(Paramètres!J8&amp;Paramètres!L8&amp;Paramètres!N8="",Dossiers!$D$34,MAX(IF(Paramètres!J8="",0,IF(Paramètres!K8="",NA(),IF(LEFT(TRIM(Paramètres!K8),1)="F",INDEX($F$1625:$F$1677,MATCH(Paramètres!J8,Paramètres!$G$5:$G$57,0)),INDEX($E$1625:$E$1677,MATCH(Paramètres!J8,Paramètres!$G$5:$G$57,0)))+IF(RIGHT(TRIM(Paramètres!K8),3)="Fin",1-$H1628,IF(LEFT(TRIM(Paramètres!K8),1)="F",1,0)))),IF(Paramètres!L8="",0,IF(Paramètres!M8="",NA(),IF(LEFT(TRIM(Paramètres!M8),1)="F",INDEX($F$1625:$F$1677,MATCH(Paramètres!L8,Paramètres!$G$5:$G$57,0)),INDEX($E$1625:$E$1677,MATCH(Paramètres!L8,Paramètres!$G$5:$G$57,0)))+IF(RIGHT(TRIM(Paramètres!M8),3)="Fin",1-$H1628,IF(LEFT(TRIM(Paramètres!M8),1)="F",1,0)))),IF(Paramètres!N8="",0,IF(Paramètres!O8="",NA(),IF(LEFT(TRIM(Paramètres!O8),1)="F",INDEX($F$1625:$F$1677,MATCH(Paramètres!N8,Paramètres!$G$5:$G$57,0)),INDEX($E$1625:$E$1677,MATCH(Paramètres!N8,Paramètres!$G$5:$G$57,0)))+IF(RIGHT(TRIM(Paramètres!O8),3)="Fin",1-$H1628,IF(LEFT(TRIM(Paramètres!O8),1)="F",1,0)))))))</f>
        <v/>
      </c>
      <c r="F1628" s="19">
        <f>IF($A1628="","",E1628+$H1628-1)</f>
        <v/>
      </c>
      <c r="G1628" s="18" t="n"/>
      <c r="H1628" s="18">
        <f>IF($A1628="","",IF(I1628&lt;&gt;"",I1628,Paramètres!B8))</f>
        <v/>
      </c>
      <c r="I1628" s="18" t="n"/>
    </row>
    <row r="1629">
      <c r="A1629" s="18">
        <f>IF(ISNUMBER(Dossiers!$D$34),Dossiers!$A$34&amp;" · "&amp;Dossiers!$B$34,"")</f>
        <v/>
      </c>
      <c r="B1629" s="18">
        <f>IF($A1629="","",Paramètres!G9)</f>
        <v/>
      </c>
      <c r="C1629" s="18">
        <f>IF($A1629="","",IF(Paramètres!H9="","",Paramètres!H9))</f>
        <v/>
      </c>
      <c r="D1629" s="18">
        <f>IF($A1629="","",IF(Paramètres!I9="","",Paramètres!I9))</f>
        <v/>
      </c>
      <c r="E1629" s="19">
        <f>IF($A1629="","",IF(Paramètres!J9&amp;Paramètres!L9&amp;Paramètres!N9="",Dossiers!$D$34,MAX(IF(Paramètres!J9="",0,IF(Paramètres!K9="",NA(),IF(LEFT(TRIM(Paramètres!K9),1)="F",INDEX($F$1625:$F$1677,MATCH(Paramètres!J9,Paramètres!$G$5:$G$57,0)),INDEX($E$1625:$E$1677,MATCH(Paramètres!J9,Paramètres!$G$5:$G$57,0)))+IF(RIGHT(TRIM(Paramètres!K9),3)="Fin",1-$H1629,IF(LEFT(TRIM(Paramètres!K9),1)="F",1,0)))),IF(Paramètres!L9="",0,IF(Paramètres!M9="",NA(),IF(LEFT(TRIM(Paramètres!M9),1)="F",INDEX($F$1625:$F$1677,MATCH(Paramètres!L9,Paramètres!$G$5:$G$57,0)),INDEX($E$1625:$E$1677,MATCH(Paramètres!L9,Paramètres!$G$5:$G$57,0)))+IF(RIGHT(TRIM(Paramètres!M9),3)="Fin",1-$H1629,IF(LEFT(TRIM(Paramètres!M9),1)="F",1,0)))),IF(Paramètres!N9="",0,IF(Paramètres!O9="",NA(),IF(LEFT(TRIM(Paramètres!O9),1)="F",INDEX($F$1625:$F$1677,MATCH(Paramètres!N9,Paramètres!$G$5:$G$57,0)),INDEX($E$1625:$E$1677,MATCH(Paramètres!N9,Paramètres!$G$5:$G$57,0)))+IF(RIGHT(TRIM(Paramètres!O9),3)="Fin",1-$H1629,IF(LEFT(TRIM(Paramètres!O9),1)="F",1,0)))))))</f>
        <v/>
      </c>
      <c r="F1629" s="19">
        <f>IF($A1629="","",E1629+$H1629-1)</f>
        <v/>
      </c>
      <c r="G1629" s="18" t="n"/>
      <c r="H1629" s="18">
        <f>IF($A1629="","",IF(I1629&lt;&gt;"",I1629,Paramètres!B9))</f>
        <v/>
      </c>
      <c r="I1629" s="18" t="n"/>
    </row>
    <row r="1630">
      <c r="A1630" s="18">
        <f>IF(ISNUMBER(Dossiers!$D$34),Dossiers!$A$34&amp;" · "&amp;Dossiers!$B$34,"")</f>
        <v/>
      </c>
      <c r="B1630" s="18">
        <f>IF($A1630="","",Paramètres!G10)</f>
        <v/>
      </c>
      <c r="C1630" s="18">
        <f>IF($A1630="","",IF(Paramètres!H10="","",Paramètres!H10))</f>
        <v/>
      </c>
      <c r="D1630" s="18">
        <f>IF($A1630="","",IF(Paramètres!I10="","",Paramètres!I10))</f>
        <v/>
      </c>
      <c r="E1630" s="19">
        <f>IF($A1630="","",MIN(E1631:E1634))</f>
        <v/>
      </c>
      <c r="F1630" s="19">
        <f>IF($A1630="","",MAX(F1631:F1634))</f>
        <v/>
      </c>
      <c r="G1630" s="18" t="n"/>
      <c r="H1630" s="18">
        <f>IF($A1630="","",F1630-E1630+1)</f>
        <v/>
      </c>
      <c r="I1630" s="18" t="n"/>
    </row>
    <row r="1631">
      <c r="A1631" s="18">
        <f>IF(ISNUMBER(Dossiers!$D$34),Dossiers!$A$34&amp;" · "&amp;Dossiers!$B$34,"")</f>
        <v/>
      </c>
      <c r="B1631" s="18">
        <f>IF($A1631="","",Paramètres!G11)</f>
        <v/>
      </c>
      <c r="C1631" s="18">
        <f>IF($A1631="","",IF(Paramètres!H11="","",Paramètres!H11))</f>
        <v/>
      </c>
      <c r="D1631" s="18">
        <f>IF($A1631="","",IF(Paramètres!I11="","",Paramètres!I11))</f>
        <v/>
      </c>
      <c r="E1631" s="19">
        <f>IF($A1631="","",IF(Paramètres!J11&amp;Paramètres!L11&amp;Paramètres!N11="",Dossiers!$D$34,MAX(IF(Paramètres!J11="",0,IF(Paramètres!K11="",NA(),IF(LEFT(TRIM(Paramètres!K11),1)="F",INDEX($F$1625:$F$1677,MATCH(Paramètres!J11,Paramètres!$G$5:$G$57,0)),INDEX($E$1625:$E$1677,MATCH(Paramètres!J11,Paramètres!$G$5:$G$57,0)))+IF(RIGHT(TRIM(Paramètres!K11),3)="Fin",1-$H1631,IF(LEFT(TRIM(Paramètres!K11),1)="F",1,0)))),IF(Paramètres!L11="",0,IF(Paramètres!M11="",NA(),IF(LEFT(TRIM(Paramètres!M11),1)="F",INDEX($F$1625:$F$1677,MATCH(Paramètres!L11,Paramètres!$G$5:$G$57,0)),INDEX($E$1625:$E$1677,MATCH(Paramètres!L11,Paramètres!$G$5:$G$57,0)))+IF(RIGHT(TRIM(Paramètres!M11),3)="Fin",1-$H1631,IF(LEFT(TRIM(Paramètres!M11),1)="F",1,0)))),IF(Paramètres!N11="",0,IF(Paramètres!O11="",NA(),IF(LEFT(TRIM(Paramètres!O11),1)="F",INDEX($F$1625:$F$1677,MATCH(Paramètres!N11,Paramètres!$G$5:$G$57,0)),INDEX($E$1625:$E$1677,MATCH(Paramètres!N11,Paramètres!$G$5:$G$57,0)))+IF(RIGHT(TRIM(Paramètres!O11),3)="Fin",1-$H1631,IF(LEFT(TRIM(Paramètres!O11),1)="F",1,0)))))))</f>
        <v/>
      </c>
      <c r="F1631" s="19">
        <f>IF($A1631="","",E1631+$H1631-1)</f>
        <v/>
      </c>
      <c r="G1631" s="18" t="n"/>
      <c r="H1631" s="18">
        <f>IF($A1631="","",IF(I1631&lt;&gt;"",I1631,Paramètres!B11))</f>
        <v/>
      </c>
      <c r="I1631" s="18" t="n"/>
    </row>
    <row r="1632">
      <c r="A1632" s="18">
        <f>IF(ISNUMBER(Dossiers!$D$34),Dossiers!$A$34&amp;" · "&amp;Dossiers!$B$34,"")</f>
        <v/>
      </c>
      <c r="B1632" s="18">
        <f>IF($A1632="","",Paramètres!G12)</f>
        <v/>
      </c>
      <c r="C1632" s="18">
        <f>IF($A1632="","",IF(Paramètres!H12="","",Paramètres!H12))</f>
        <v/>
      </c>
      <c r="D1632" s="18">
        <f>IF($A1632="","",IF(Paramètres!I12="","",Paramètres!I12))</f>
        <v/>
      </c>
      <c r="E1632" s="19">
        <f>IF($A1632="","",IF(Paramètres!J12&amp;Paramètres!L12&amp;Paramètres!N12="",Dossiers!$D$34,MAX(IF(Paramètres!J12="",0,IF(Paramètres!K12="",NA(),IF(LEFT(TRIM(Paramètres!K12),1)="F",INDEX($F$1625:$F$1677,MATCH(Paramètres!J12,Paramètres!$G$5:$G$57,0)),INDEX($E$1625:$E$1677,MATCH(Paramètres!J12,Paramètres!$G$5:$G$57,0)))+IF(RIGHT(TRIM(Paramètres!K12),3)="Fin",1-$H1632,IF(LEFT(TRIM(Paramètres!K12),1)="F",1,0)))),IF(Paramètres!L12="",0,IF(Paramètres!M12="",NA(),IF(LEFT(TRIM(Paramètres!M12),1)="F",INDEX($F$1625:$F$1677,MATCH(Paramètres!L12,Paramètres!$G$5:$G$57,0)),INDEX($E$1625:$E$1677,MATCH(Paramètres!L12,Paramètres!$G$5:$G$57,0)))+IF(RIGHT(TRIM(Paramètres!M12),3)="Fin",1-$H1632,IF(LEFT(TRIM(Paramètres!M12),1)="F",1,0)))),IF(Paramètres!N12="",0,IF(Paramètres!O12="",NA(),IF(LEFT(TRIM(Paramètres!O12),1)="F",INDEX($F$1625:$F$1677,MATCH(Paramètres!N12,Paramètres!$G$5:$G$57,0)),INDEX($E$1625:$E$1677,MATCH(Paramètres!N12,Paramètres!$G$5:$G$57,0)))+IF(RIGHT(TRIM(Paramètres!O12),3)="Fin",1-$H1632,IF(LEFT(TRIM(Paramètres!O12),1)="F",1,0)))))))</f>
        <v/>
      </c>
      <c r="F1632" s="19">
        <f>IF($A1632="","",E1632+$H1632-1)</f>
        <v/>
      </c>
      <c r="G1632" s="18" t="n"/>
      <c r="H1632" s="18">
        <f>IF($A1632="","",IF(I1632&lt;&gt;"",I1632,Paramètres!B12))</f>
        <v/>
      </c>
      <c r="I1632" s="18" t="n"/>
    </row>
    <row r="1633">
      <c r="A1633" s="18">
        <f>IF(ISNUMBER(Dossiers!$D$34),Dossiers!$A$34&amp;" · "&amp;Dossiers!$B$34,"")</f>
        <v/>
      </c>
      <c r="B1633" s="18">
        <f>IF($A1633="","",Paramètres!G13)</f>
        <v/>
      </c>
      <c r="C1633" s="18">
        <f>IF($A1633="","",IF(Paramètres!H13="","",Paramètres!H13))</f>
        <v/>
      </c>
      <c r="D1633" s="18">
        <f>IF($A1633="","",IF(Paramètres!I13="","",Paramètres!I13))</f>
        <v/>
      </c>
      <c r="E1633" s="19">
        <f>IF($A1633="","",IF(Paramètres!J13&amp;Paramètres!L13&amp;Paramètres!N13="",Dossiers!$D$34,MAX(IF(Paramètres!J13="",0,IF(Paramètres!K13="",NA(),IF(LEFT(TRIM(Paramètres!K13),1)="F",INDEX($F$1625:$F$1677,MATCH(Paramètres!J13,Paramètres!$G$5:$G$57,0)),INDEX($E$1625:$E$1677,MATCH(Paramètres!J13,Paramètres!$G$5:$G$57,0)))+IF(RIGHT(TRIM(Paramètres!K13),3)="Fin",1-$H1633,IF(LEFT(TRIM(Paramètres!K13),1)="F",1,0)))),IF(Paramètres!L13="",0,IF(Paramètres!M13="",NA(),IF(LEFT(TRIM(Paramètres!M13),1)="F",INDEX($F$1625:$F$1677,MATCH(Paramètres!L13,Paramètres!$G$5:$G$57,0)),INDEX($E$1625:$E$1677,MATCH(Paramètres!L13,Paramètres!$G$5:$G$57,0)))+IF(RIGHT(TRIM(Paramètres!M13),3)="Fin",1-$H1633,IF(LEFT(TRIM(Paramètres!M13),1)="F",1,0)))),IF(Paramètres!N13="",0,IF(Paramètres!O13="",NA(),IF(LEFT(TRIM(Paramètres!O13),1)="F",INDEX($F$1625:$F$1677,MATCH(Paramètres!N13,Paramètres!$G$5:$G$57,0)),INDEX($E$1625:$E$1677,MATCH(Paramètres!N13,Paramètres!$G$5:$G$57,0)))+IF(RIGHT(TRIM(Paramètres!O13),3)="Fin",1-$H1633,IF(LEFT(TRIM(Paramètres!O13),1)="F",1,0)))))))</f>
        <v/>
      </c>
      <c r="F1633" s="19">
        <f>IF($A1633="","",E1633+$H1633-1)</f>
        <v/>
      </c>
      <c r="G1633" s="18" t="n"/>
      <c r="H1633" s="18">
        <f>IF($A1633="","",IF(I1633&lt;&gt;"",I1633,Paramètres!B13))</f>
        <v/>
      </c>
      <c r="I1633" s="18" t="n"/>
    </row>
    <row r="1634">
      <c r="A1634" s="18">
        <f>IF(ISNUMBER(Dossiers!$D$34),Dossiers!$A$34&amp;" · "&amp;Dossiers!$B$34,"")</f>
        <v/>
      </c>
      <c r="B1634" s="18">
        <f>IF($A1634="","",Paramètres!G14)</f>
        <v/>
      </c>
      <c r="C1634" s="18">
        <f>IF($A1634="","",IF(Paramètres!H14="","",Paramètres!H14))</f>
        <v/>
      </c>
      <c r="D1634" s="18">
        <f>IF($A1634="","",IF(Paramètres!I14="","",Paramètres!I14))</f>
        <v/>
      </c>
      <c r="E1634" s="19">
        <f>IF($A1634="","",IF(Paramètres!J14&amp;Paramètres!L14&amp;Paramètres!N14="",Dossiers!$D$34,MAX(IF(Paramètres!J14="",0,IF(Paramètres!K14="",NA(),IF(LEFT(TRIM(Paramètres!K14),1)="F",INDEX($F$1625:$F$1677,MATCH(Paramètres!J14,Paramètres!$G$5:$G$57,0)),INDEX($E$1625:$E$1677,MATCH(Paramètres!J14,Paramètres!$G$5:$G$57,0)))+IF(RIGHT(TRIM(Paramètres!K14),3)="Fin",1-$H1634,IF(LEFT(TRIM(Paramètres!K14),1)="F",1,0)))),IF(Paramètres!L14="",0,IF(Paramètres!M14="",NA(),IF(LEFT(TRIM(Paramètres!M14),1)="F",INDEX($F$1625:$F$1677,MATCH(Paramètres!L14,Paramètres!$G$5:$G$57,0)),INDEX($E$1625:$E$1677,MATCH(Paramètres!L14,Paramètres!$G$5:$G$57,0)))+IF(RIGHT(TRIM(Paramètres!M14),3)="Fin",1-$H1634,IF(LEFT(TRIM(Paramètres!M14),1)="F",1,0)))),IF(Paramètres!N14="",0,IF(Paramètres!O14="",NA(),IF(LEFT(TRIM(Paramètres!O14),1)="F",INDEX($F$1625:$F$1677,MATCH(Paramètres!N14,Paramètres!$G$5:$G$57,0)),INDEX($E$1625:$E$1677,MATCH(Paramètres!N14,Paramètres!$G$5:$G$57,0)))+IF(RIGHT(TRIM(Paramètres!O14),3)="Fin",1-$H1634,IF(LEFT(TRIM(Paramètres!O14),1)="F",1,0)))))))</f>
        <v/>
      </c>
      <c r="F1634" s="19">
        <f>IF($A1634="","",E1634+$H1634-1)</f>
        <v/>
      </c>
      <c r="G1634" s="18" t="n"/>
      <c r="H1634" s="18">
        <f>IF($A1634="","",IF(I1634&lt;&gt;"",I1634,Paramètres!B14))</f>
        <v/>
      </c>
      <c r="I1634" s="18" t="n"/>
    </row>
    <row r="1635">
      <c r="A1635" s="18">
        <f>IF(ISNUMBER(Dossiers!$D$34),Dossiers!$A$34&amp;" · "&amp;Dossiers!$B$34,"")</f>
        <v/>
      </c>
      <c r="B1635" s="18">
        <f>IF($A1635="","",Paramètres!G15)</f>
        <v/>
      </c>
      <c r="C1635" s="18">
        <f>IF($A1635="","",IF(Paramètres!H15="","",Paramètres!H15))</f>
        <v/>
      </c>
      <c r="D1635" s="18">
        <f>IF($A1635="","",IF(Paramètres!I15="","",Paramètres!I15))</f>
        <v/>
      </c>
      <c r="E1635" s="19">
        <f>IF($A1635="","",MIN(E1636:E1651))</f>
        <v/>
      </c>
      <c r="F1635" s="19">
        <f>IF($A1635="","",MAX(F1636:F1651))</f>
        <v/>
      </c>
      <c r="G1635" s="18" t="n"/>
      <c r="H1635" s="18">
        <f>IF($A1635="","",F1635-E1635+1)</f>
        <v/>
      </c>
      <c r="I1635" s="18" t="n"/>
    </row>
    <row r="1636">
      <c r="A1636" s="18">
        <f>IF(ISNUMBER(Dossiers!$D$34),Dossiers!$A$34&amp;" · "&amp;Dossiers!$B$34,"")</f>
        <v/>
      </c>
      <c r="B1636" s="18">
        <f>IF($A1636="","",Paramètres!G16)</f>
        <v/>
      </c>
      <c r="C1636" s="18">
        <f>IF($A1636="","",IF(Paramètres!H16="","",Paramètres!H16))</f>
        <v/>
      </c>
      <c r="D1636" s="18">
        <f>IF($A1636="","",IF(Paramètres!I16="","",Paramètres!I16))</f>
        <v/>
      </c>
      <c r="E1636" s="19">
        <f>IF($A1636="","",IF(Paramètres!J16&amp;Paramètres!L16&amp;Paramètres!N16="",Dossiers!$D$34,MAX(IF(Paramètres!J16="",0,IF(Paramètres!K16="",NA(),IF(LEFT(TRIM(Paramètres!K16),1)="F",INDEX($F$1625:$F$1677,MATCH(Paramètres!J16,Paramètres!$G$5:$G$57,0)),INDEX($E$1625:$E$1677,MATCH(Paramètres!J16,Paramètres!$G$5:$G$57,0)))+IF(RIGHT(TRIM(Paramètres!K16),3)="Fin",1-$H1636,IF(LEFT(TRIM(Paramètres!K16),1)="F",1,0)))),IF(Paramètres!L16="",0,IF(Paramètres!M16="",NA(),IF(LEFT(TRIM(Paramètres!M16),1)="F",INDEX($F$1625:$F$1677,MATCH(Paramètres!L16,Paramètres!$G$5:$G$57,0)),INDEX($E$1625:$E$1677,MATCH(Paramètres!L16,Paramètres!$G$5:$G$57,0)))+IF(RIGHT(TRIM(Paramètres!M16),3)="Fin",1-$H1636,IF(LEFT(TRIM(Paramètres!M16),1)="F",1,0)))),IF(Paramètres!N16="",0,IF(Paramètres!O16="",NA(),IF(LEFT(TRIM(Paramètres!O16),1)="F",INDEX($F$1625:$F$1677,MATCH(Paramètres!N16,Paramètres!$G$5:$G$57,0)),INDEX($E$1625:$E$1677,MATCH(Paramètres!N16,Paramètres!$G$5:$G$57,0)))+IF(RIGHT(TRIM(Paramètres!O16),3)="Fin",1-$H1636,IF(LEFT(TRIM(Paramètres!O16),1)="F",1,0)))))))</f>
        <v/>
      </c>
      <c r="F1636" s="19">
        <f>IF($A1636="","",E1636+$H1636-1)</f>
        <v/>
      </c>
      <c r="G1636" s="18" t="n"/>
      <c r="H1636" s="18">
        <f>IF($A1636="","",IF(I1636&lt;&gt;"",I1636,Paramètres!B16))</f>
        <v/>
      </c>
      <c r="I1636" s="18" t="n"/>
    </row>
    <row r="1637">
      <c r="A1637" s="18">
        <f>IF(ISNUMBER(Dossiers!$D$34),Dossiers!$A$34&amp;" · "&amp;Dossiers!$B$34,"")</f>
        <v/>
      </c>
      <c r="B1637" s="18">
        <f>IF($A1637="","",Paramètres!G17)</f>
        <v/>
      </c>
      <c r="C1637" s="18">
        <f>IF($A1637="","",IF(Paramètres!H17="","",Paramètres!H17))</f>
        <v/>
      </c>
      <c r="D1637" s="18">
        <f>IF($A1637="","",IF(Paramètres!I17="","",Paramètres!I17))</f>
        <v/>
      </c>
      <c r="E1637" s="19">
        <f>IF($A1637="","",IF(Paramètres!J17&amp;Paramètres!L17&amp;Paramètres!N17="",Dossiers!$D$34,MAX(IF(Paramètres!J17="",0,IF(Paramètres!K17="",NA(),IF(LEFT(TRIM(Paramètres!K17),1)="F",INDEX($F$1625:$F$1677,MATCH(Paramètres!J17,Paramètres!$G$5:$G$57,0)),INDEX($E$1625:$E$1677,MATCH(Paramètres!J17,Paramètres!$G$5:$G$57,0)))+IF(RIGHT(TRIM(Paramètres!K17),3)="Fin",1-$H1637,IF(LEFT(TRIM(Paramètres!K17),1)="F",1,0)))),IF(Paramètres!L17="",0,IF(Paramètres!M17="",NA(),IF(LEFT(TRIM(Paramètres!M17),1)="F",INDEX($F$1625:$F$1677,MATCH(Paramètres!L17,Paramètres!$G$5:$G$57,0)),INDEX($E$1625:$E$1677,MATCH(Paramètres!L17,Paramètres!$G$5:$G$57,0)))+IF(RIGHT(TRIM(Paramètres!M17),3)="Fin",1-$H1637,IF(LEFT(TRIM(Paramètres!M17),1)="F",1,0)))),IF(Paramètres!N17="",0,IF(Paramètres!O17="",NA(),IF(LEFT(TRIM(Paramètres!O17),1)="F",INDEX($F$1625:$F$1677,MATCH(Paramètres!N17,Paramètres!$G$5:$G$57,0)),INDEX($E$1625:$E$1677,MATCH(Paramètres!N17,Paramètres!$G$5:$G$57,0)))+IF(RIGHT(TRIM(Paramètres!O17),3)="Fin",1-$H1637,IF(LEFT(TRIM(Paramètres!O17),1)="F",1,0)))))))</f>
        <v/>
      </c>
      <c r="F1637" s="19">
        <f>IF($A1637="","",E1637+$H1637-1)</f>
        <v/>
      </c>
      <c r="G1637" s="18" t="n"/>
      <c r="H1637" s="18">
        <f>IF($A1637="","",IF(I1637&lt;&gt;"",I1637,Paramètres!B17))</f>
        <v/>
      </c>
      <c r="I1637" s="18" t="n"/>
    </row>
    <row r="1638">
      <c r="A1638" s="18">
        <f>IF(ISNUMBER(Dossiers!$D$34),Dossiers!$A$34&amp;" · "&amp;Dossiers!$B$34,"")</f>
        <v/>
      </c>
      <c r="B1638" s="18">
        <f>IF($A1638="","",Paramètres!G18)</f>
        <v/>
      </c>
      <c r="C1638" s="18">
        <f>IF($A1638="","",IF(Paramètres!H18="","",Paramètres!H18))</f>
        <v/>
      </c>
      <c r="D1638" s="18">
        <f>IF($A1638="","",IF(Paramètres!I18="","",Paramètres!I18))</f>
        <v/>
      </c>
      <c r="E1638" s="19">
        <f>IF($A1638="","",IF(Paramètres!J18&amp;Paramètres!L18&amp;Paramètres!N18="",Dossiers!$D$34,MAX(IF(Paramètres!J18="",0,IF(Paramètres!K18="",NA(),IF(LEFT(TRIM(Paramètres!K18),1)="F",INDEX($F$1625:$F$1677,MATCH(Paramètres!J18,Paramètres!$G$5:$G$57,0)),INDEX($E$1625:$E$1677,MATCH(Paramètres!J18,Paramètres!$G$5:$G$57,0)))+IF(RIGHT(TRIM(Paramètres!K18),3)="Fin",1-$H1638,IF(LEFT(TRIM(Paramètres!K18),1)="F",1,0)))),IF(Paramètres!L18="",0,IF(Paramètres!M18="",NA(),IF(LEFT(TRIM(Paramètres!M18),1)="F",INDEX($F$1625:$F$1677,MATCH(Paramètres!L18,Paramètres!$G$5:$G$57,0)),INDEX($E$1625:$E$1677,MATCH(Paramètres!L18,Paramètres!$G$5:$G$57,0)))+IF(RIGHT(TRIM(Paramètres!M18),3)="Fin",1-$H1638,IF(LEFT(TRIM(Paramètres!M18),1)="F",1,0)))),IF(Paramètres!N18="",0,IF(Paramètres!O18="",NA(),IF(LEFT(TRIM(Paramètres!O18),1)="F",INDEX($F$1625:$F$1677,MATCH(Paramètres!N18,Paramètres!$G$5:$G$57,0)),INDEX($E$1625:$E$1677,MATCH(Paramètres!N18,Paramètres!$G$5:$G$57,0)))+IF(RIGHT(TRIM(Paramètres!O18),3)="Fin",1-$H1638,IF(LEFT(TRIM(Paramètres!O18),1)="F",1,0)))))))</f>
        <v/>
      </c>
      <c r="F1638" s="19">
        <f>IF($A1638="","",E1638+$H1638-1)</f>
        <v/>
      </c>
      <c r="G1638" s="18" t="n"/>
      <c r="H1638" s="18">
        <f>IF($A1638="","",IF(I1638&lt;&gt;"",I1638,Paramètres!B18))</f>
        <v/>
      </c>
      <c r="I1638" s="18" t="n"/>
    </row>
    <row r="1639">
      <c r="A1639" s="18">
        <f>IF(ISNUMBER(Dossiers!$D$34),Dossiers!$A$34&amp;" · "&amp;Dossiers!$B$34,"")</f>
        <v/>
      </c>
      <c r="B1639" s="18">
        <f>IF($A1639="","",Paramètres!G19)</f>
        <v/>
      </c>
      <c r="C1639" s="18">
        <f>IF($A1639="","",IF(Paramètres!H19="","",Paramètres!H19))</f>
        <v/>
      </c>
      <c r="D1639" s="18">
        <f>IF($A1639="","",IF(Paramètres!I19="","",Paramètres!I19))</f>
        <v/>
      </c>
      <c r="E1639" s="19">
        <f>IF($A1639="","",IF(Paramètres!J19&amp;Paramètres!L19&amp;Paramètres!N19="",Dossiers!$D$34,MAX(IF(Paramètres!J19="",0,IF(Paramètres!K19="",NA(),IF(LEFT(TRIM(Paramètres!K19),1)="F",INDEX($F$1625:$F$1677,MATCH(Paramètres!J19,Paramètres!$G$5:$G$57,0)),INDEX($E$1625:$E$1677,MATCH(Paramètres!J19,Paramètres!$G$5:$G$57,0)))+IF(RIGHT(TRIM(Paramètres!K19),3)="Fin",1-$H1639,IF(LEFT(TRIM(Paramètres!K19),1)="F",1,0)))),IF(Paramètres!L19="",0,IF(Paramètres!M19="",NA(),IF(LEFT(TRIM(Paramètres!M19),1)="F",INDEX($F$1625:$F$1677,MATCH(Paramètres!L19,Paramètres!$G$5:$G$57,0)),INDEX($E$1625:$E$1677,MATCH(Paramètres!L19,Paramètres!$G$5:$G$57,0)))+IF(RIGHT(TRIM(Paramètres!M19),3)="Fin",1-$H1639,IF(LEFT(TRIM(Paramètres!M19),1)="F",1,0)))),IF(Paramètres!N19="",0,IF(Paramètres!O19="",NA(),IF(LEFT(TRIM(Paramètres!O19),1)="F",INDEX($F$1625:$F$1677,MATCH(Paramètres!N19,Paramètres!$G$5:$G$57,0)),INDEX($E$1625:$E$1677,MATCH(Paramètres!N19,Paramètres!$G$5:$G$57,0)))+IF(RIGHT(TRIM(Paramètres!O19),3)="Fin",1-$H1639,IF(LEFT(TRIM(Paramètres!O19),1)="F",1,0)))))))</f>
        <v/>
      </c>
      <c r="F1639" s="19">
        <f>IF($A1639="","",E1639+$H1639-1)</f>
        <v/>
      </c>
      <c r="G1639" s="18" t="n"/>
      <c r="H1639" s="18">
        <f>IF($A1639="","",IF(I1639&lt;&gt;"",I1639,Paramètres!B19))</f>
        <v/>
      </c>
      <c r="I1639" s="18" t="n"/>
    </row>
    <row r="1640">
      <c r="A1640" s="18">
        <f>IF(ISNUMBER(Dossiers!$D$34),Dossiers!$A$34&amp;" · "&amp;Dossiers!$B$34,"")</f>
        <v/>
      </c>
      <c r="B1640" s="18">
        <f>IF($A1640="","",Paramètres!G20)</f>
        <v/>
      </c>
      <c r="C1640" s="18">
        <f>IF($A1640="","",IF(Paramètres!H20="","",Paramètres!H20))</f>
        <v/>
      </c>
      <c r="D1640" s="18">
        <f>IF($A1640="","",IF(Paramètres!I20="","",Paramètres!I20))</f>
        <v/>
      </c>
      <c r="E1640" s="19">
        <f>IF($A1640="","",IF(Paramètres!J20&amp;Paramètres!L20&amp;Paramètres!N20="",Dossiers!$D$34,MAX(IF(Paramètres!J20="",0,IF(Paramètres!K20="",NA(),IF(LEFT(TRIM(Paramètres!K20),1)="F",INDEX($F$1625:$F$1677,MATCH(Paramètres!J20,Paramètres!$G$5:$G$57,0)),INDEX($E$1625:$E$1677,MATCH(Paramètres!J20,Paramètres!$G$5:$G$57,0)))+IF(RIGHT(TRIM(Paramètres!K20),3)="Fin",1-$H1640,IF(LEFT(TRIM(Paramètres!K20),1)="F",1,0)))),IF(Paramètres!L20="",0,IF(Paramètres!M20="",NA(),IF(LEFT(TRIM(Paramètres!M20),1)="F",INDEX($F$1625:$F$1677,MATCH(Paramètres!L20,Paramètres!$G$5:$G$57,0)),INDEX($E$1625:$E$1677,MATCH(Paramètres!L20,Paramètres!$G$5:$G$57,0)))+IF(RIGHT(TRIM(Paramètres!M20),3)="Fin",1-$H1640,IF(LEFT(TRIM(Paramètres!M20),1)="F",1,0)))),IF(Paramètres!N20="",0,IF(Paramètres!O20="",NA(),IF(LEFT(TRIM(Paramètres!O20),1)="F",INDEX($F$1625:$F$1677,MATCH(Paramètres!N20,Paramètres!$G$5:$G$57,0)),INDEX($E$1625:$E$1677,MATCH(Paramètres!N20,Paramètres!$G$5:$G$57,0)))+IF(RIGHT(TRIM(Paramètres!O20),3)="Fin",1-$H1640,IF(LEFT(TRIM(Paramètres!O20),1)="F",1,0)))))))</f>
        <v/>
      </c>
      <c r="F1640" s="19">
        <f>IF($A1640="","",E1640+$H1640-1)</f>
        <v/>
      </c>
      <c r="G1640" s="18" t="n"/>
      <c r="H1640" s="18">
        <f>IF($A1640="","",IF(I1640&lt;&gt;"",I1640,Paramètres!B20))</f>
        <v/>
      </c>
      <c r="I1640" s="18" t="n"/>
    </row>
    <row r="1641">
      <c r="A1641" s="18">
        <f>IF(ISNUMBER(Dossiers!$D$34),Dossiers!$A$34&amp;" · "&amp;Dossiers!$B$34,"")</f>
        <v/>
      </c>
      <c r="B1641" s="18">
        <f>IF($A1641="","",Paramètres!G21)</f>
        <v/>
      </c>
      <c r="C1641" s="18">
        <f>IF($A1641="","",IF(Paramètres!H21="","",Paramètres!H21))</f>
        <v/>
      </c>
      <c r="D1641" s="18">
        <f>IF($A1641="","",IF(Paramètres!I21="","",Paramètres!I21))</f>
        <v/>
      </c>
      <c r="E1641" s="19">
        <f>IF($A1641="","",IF(Paramètres!J21&amp;Paramètres!L21&amp;Paramètres!N21="",Dossiers!$D$34,MAX(IF(Paramètres!J21="",0,IF(Paramètres!K21="",NA(),IF(LEFT(TRIM(Paramètres!K21),1)="F",INDEX($F$1625:$F$1677,MATCH(Paramètres!J21,Paramètres!$G$5:$G$57,0)),INDEX($E$1625:$E$1677,MATCH(Paramètres!J21,Paramètres!$G$5:$G$57,0)))+IF(RIGHT(TRIM(Paramètres!K21),3)="Fin",1-$H1641,IF(LEFT(TRIM(Paramètres!K21),1)="F",1,0)))),IF(Paramètres!L21="",0,IF(Paramètres!M21="",NA(),IF(LEFT(TRIM(Paramètres!M21),1)="F",INDEX($F$1625:$F$1677,MATCH(Paramètres!L21,Paramètres!$G$5:$G$57,0)),INDEX($E$1625:$E$1677,MATCH(Paramètres!L21,Paramètres!$G$5:$G$57,0)))+IF(RIGHT(TRIM(Paramètres!M21),3)="Fin",1-$H1641,IF(LEFT(TRIM(Paramètres!M21),1)="F",1,0)))),IF(Paramètres!N21="",0,IF(Paramètres!O21="",NA(),IF(LEFT(TRIM(Paramètres!O21),1)="F",INDEX($F$1625:$F$1677,MATCH(Paramètres!N21,Paramètres!$G$5:$G$57,0)),INDEX($E$1625:$E$1677,MATCH(Paramètres!N21,Paramètres!$G$5:$G$57,0)))+IF(RIGHT(TRIM(Paramètres!O21),3)="Fin",1-$H1641,IF(LEFT(TRIM(Paramètres!O21),1)="F",1,0)))))))</f>
        <v/>
      </c>
      <c r="F1641" s="19">
        <f>IF($A1641="","",E1641+$H1641-1)</f>
        <v/>
      </c>
      <c r="G1641" s="18" t="n"/>
      <c r="H1641" s="18">
        <f>IF($A1641="","",IF(I1641&lt;&gt;"",I1641,Paramètres!B21))</f>
        <v/>
      </c>
      <c r="I1641" s="18" t="n"/>
    </row>
    <row r="1642">
      <c r="A1642" s="18">
        <f>IF(ISNUMBER(Dossiers!$D$34),Dossiers!$A$34&amp;" · "&amp;Dossiers!$B$34,"")</f>
        <v/>
      </c>
      <c r="B1642" s="18">
        <f>IF($A1642="","",Paramètres!G22)</f>
        <v/>
      </c>
      <c r="C1642" s="18">
        <f>IF($A1642="","",IF(Paramètres!H22="","",Paramètres!H22))</f>
        <v/>
      </c>
      <c r="D1642" s="18">
        <f>IF($A1642="","",IF(Paramètres!I22="","",Paramètres!I22))</f>
        <v/>
      </c>
      <c r="E1642" s="19">
        <f>IF($A1642="","",IF(Paramètres!J22&amp;Paramètres!L22&amp;Paramètres!N22="",Dossiers!$D$34,MAX(IF(Paramètres!J22="",0,IF(Paramètres!K22="",NA(),IF(LEFT(TRIM(Paramètres!K22),1)="F",INDEX($F$1625:$F$1677,MATCH(Paramètres!J22,Paramètres!$G$5:$G$57,0)),INDEX($E$1625:$E$1677,MATCH(Paramètres!J22,Paramètres!$G$5:$G$57,0)))+IF(RIGHT(TRIM(Paramètres!K22),3)="Fin",1-$H1642,IF(LEFT(TRIM(Paramètres!K22),1)="F",1,0)))),IF(Paramètres!L22="",0,IF(Paramètres!M22="",NA(),IF(LEFT(TRIM(Paramètres!M22),1)="F",INDEX($F$1625:$F$1677,MATCH(Paramètres!L22,Paramètres!$G$5:$G$57,0)),INDEX($E$1625:$E$1677,MATCH(Paramètres!L22,Paramètres!$G$5:$G$57,0)))+IF(RIGHT(TRIM(Paramètres!M22),3)="Fin",1-$H1642,IF(LEFT(TRIM(Paramètres!M22),1)="F",1,0)))),IF(Paramètres!N22="",0,IF(Paramètres!O22="",NA(),IF(LEFT(TRIM(Paramètres!O22),1)="F",INDEX($F$1625:$F$1677,MATCH(Paramètres!N22,Paramètres!$G$5:$G$57,0)),INDEX($E$1625:$E$1677,MATCH(Paramètres!N22,Paramètres!$G$5:$G$57,0)))+IF(RIGHT(TRIM(Paramètres!O22),3)="Fin",1-$H1642,IF(LEFT(TRIM(Paramètres!O22),1)="F",1,0)))))))</f>
        <v/>
      </c>
      <c r="F1642" s="19">
        <f>IF($A1642="","",E1642+$H1642-1)</f>
        <v/>
      </c>
      <c r="G1642" s="18" t="n"/>
      <c r="H1642" s="18">
        <f>IF($A1642="","",IF(I1642&lt;&gt;"",I1642,Paramètres!B22))</f>
        <v/>
      </c>
      <c r="I1642" s="18" t="n"/>
    </row>
    <row r="1643">
      <c r="A1643" s="18">
        <f>IF(ISNUMBER(Dossiers!$D$34),Dossiers!$A$34&amp;" · "&amp;Dossiers!$B$34,"")</f>
        <v/>
      </c>
      <c r="B1643" s="18">
        <f>IF($A1643="","",Paramètres!G23)</f>
        <v/>
      </c>
      <c r="C1643" s="18">
        <f>IF($A1643="","",IF(Paramètres!H23="","",Paramètres!H23))</f>
        <v/>
      </c>
      <c r="D1643" s="18">
        <f>IF($A1643="","",IF(Paramètres!I23="","",Paramètres!I23))</f>
        <v/>
      </c>
      <c r="E1643" s="19">
        <f>IF($A1643="","",IF(Paramètres!J23&amp;Paramètres!L23&amp;Paramètres!N23="",Dossiers!$D$34,MAX(IF(Paramètres!J23="",0,IF(Paramètres!K23="",NA(),IF(LEFT(TRIM(Paramètres!K23),1)="F",INDEX($F$1625:$F$1677,MATCH(Paramètres!J23,Paramètres!$G$5:$G$57,0)),INDEX($E$1625:$E$1677,MATCH(Paramètres!J23,Paramètres!$G$5:$G$57,0)))+IF(RIGHT(TRIM(Paramètres!K23),3)="Fin",1-$H1643,IF(LEFT(TRIM(Paramètres!K23),1)="F",1,0)))),IF(Paramètres!L23="",0,IF(Paramètres!M23="",NA(),IF(LEFT(TRIM(Paramètres!M23),1)="F",INDEX($F$1625:$F$1677,MATCH(Paramètres!L23,Paramètres!$G$5:$G$57,0)),INDEX($E$1625:$E$1677,MATCH(Paramètres!L23,Paramètres!$G$5:$G$57,0)))+IF(RIGHT(TRIM(Paramètres!M23),3)="Fin",1-$H1643,IF(LEFT(TRIM(Paramètres!M23),1)="F",1,0)))),IF(Paramètres!N23="",0,IF(Paramètres!O23="",NA(),IF(LEFT(TRIM(Paramètres!O23),1)="F",INDEX($F$1625:$F$1677,MATCH(Paramètres!N23,Paramètres!$G$5:$G$57,0)),INDEX($E$1625:$E$1677,MATCH(Paramètres!N23,Paramètres!$G$5:$G$57,0)))+IF(RIGHT(TRIM(Paramètres!O23),3)="Fin",1-$H1643,IF(LEFT(TRIM(Paramètres!O23),1)="F",1,0)))))))</f>
        <v/>
      </c>
      <c r="F1643" s="19">
        <f>IF($A1643="","",E1643+$H1643-1)</f>
        <v/>
      </c>
      <c r="G1643" s="18" t="n"/>
      <c r="H1643" s="18">
        <f>IF($A1643="","",IF(I1643&lt;&gt;"",I1643,Paramètres!B23))</f>
        <v/>
      </c>
      <c r="I1643" s="18" t="n"/>
    </row>
    <row r="1644">
      <c r="A1644" s="18">
        <f>IF(ISNUMBER(Dossiers!$D$34),Dossiers!$A$34&amp;" · "&amp;Dossiers!$B$34,"")</f>
        <v/>
      </c>
      <c r="B1644" s="18">
        <f>IF($A1644="","",Paramètres!G24)</f>
        <v/>
      </c>
      <c r="C1644" s="18">
        <f>IF($A1644="","",IF(Paramètres!H24="","",Paramètres!H24))</f>
        <v/>
      </c>
      <c r="D1644" s="18">
        <f>IF($A1644="","",IF(Paramètres!I24="","",Paramètres!I24))</f>
        <v/>
      </c>
      <c r="E1644" s="19">
        <f>IF($A1644="","",IF(Paramètres!J24&amp;Paramètres!L24&amp;Paramètres!N24="",Dossiers!$D$34,MAX(IF(Paramètres!J24="",0,IF(Paramètres!K24="",NA(),IF(LEFT(TRIM(Paramètres!K24),1)="F",INDEX($F$1625:$F$1677,MATCH(Paramètres!J24,Paramètres!$G$5:$G$57,0)),INDEX($E$1625:$E$1677,MATCH(Paramètres!J24,Paramètres!$G$5:$G$57,0)))+IF(RIGHT(TRIM(Paramètres!K24),3)="Fin",1-$H1644,IF(LEFT(TRIM(Paramètres!K24),1)="F",1,0)))),IF(Paramètres!L24="",0,IF(Paramètres!M24="",NA(),IF(LEFT(TRIM(Paramètres!M24),1)="F",INDEX($F$1625:$F$1677,MATCH(Paramètres!L24,Paramètres!$G$5:$G$57,0)),INDEX($E$1625:$E$1677,MATCH(Paramètres!L24,Paramètres!$G$5:$G$57,0)))+IF(RIGHT(TRIM(Paramètres!M24),3)="Fin",1-$H1644,IF(LEFT(TRIM(Paramètres!M24),1)="F",1,0)))),IF(Paramètres!N24="",0,IF(Paramètres!O24="",NA(),IF(LEFT(TRIM(Paramètres!O24),1)="F",INDEX($F$1625:$F$1677,MATCH(Paramètres!N24,Paramètres!$G$5:$G$57,0)),INDEX($E$1625:$E$1677,MATCH(Paramètres!N24,Paramètres!$G$5:$G$57,0)))+IF(RIGHT(TRIM(Paramètres!O24),3)="Fin",1-$H1644,IF(LEFT(TRIM(Paramètres!O24),1)="F",1,0)))))))</f>
        <v/>
      </c>
      <c r="F1644" s="19">
        <f>IF($A1644="","",E1644+$H1644-1)</f>
        <v/>
      </c>
      <c r="G1644" s="18" t="n"/>
      <c r="H1644" s="18">
        <f>IF($A1644="","",IF(I1644&lt;&gt;"",I1644,Paramètres!B24))</f>
        <v/>
      </c>
      <c r="I1644" s="18" t="n"/>
    </row>
    <row r="1645">
      <c r="A1645" s="18">
        <f>IF(ISNUMBER(Dossiers!$D$34),Dossiers!$A$34&amp;" · "&amp;Dossiers!$B$34,"")</f>
        <v/>
      </c>
      <c r="B1645" s="18">
        <f>IF($A1645="","",Paramètres!G25)</f>
        <v/>
      </c>
      <c r="C1645" s="18">
        <f>IF($A1645="","",IF(Paramètres!H25="","",Paramètres!H25))</f>
        <v/>
      </c>
      <c r="D1645" s="18">
        <f>IF($A1645="","",IF(Paramètres!I25="","",Paramètres!I25))</f>
        <v/>
      </c>
      <c r="E1645" s="19">
        <f>IF($A1645="","",IF(Paramètres!J25&amp;Paramètres!L25&amp;Paramètres!N25="",Dossiers!$D$34,MAX(IF(Paramètres!J25="",0,IF(Paramètres!K25="",NA(),IF(LEFT(TRIM(Paramètres!K25),1)="F",INDEX($F$1625:$F$1677,MATCH(Paramètres!J25,Paramètres!$G$5:$G$57,0)),INDEX($E$1625:$E$1677,MATCH(Paramètres!J25,Paramètres!$G$5:$G$57,0)))+IF(RIGHT(TRIM(Paramètres!K25),3)="Fin",1-$H1645,IF(LEFT(TRIM(Paramètres!K25),1)="F",1,0)))),IF(Paramètres!L25="",0,IF(Paramètres!M25="",NA(),IF(LEFT(TRIM(Paramètres!M25),1)="F",INDEX($F$1625:$F$1677,MATCH(Paramètres!L25,Paramètres!$G$5:$G$57,0)),INDEX($E$1625:$E$1677,MATCH(Paramètres!L25,Paramètres!$G$5:$G$57,0)))+IF(RIGHT(TRIM(Paramètres!M25),3)="Fin",1-$H1645,IF(LEFT(TRIM(Paramètres!M25),1)="F",1,0)))),IF(Paramètres!N25="",0,IF(Paramètres!O25="",NA(),IF(LEFT(TRIM(Paramètres!O25),1)="F",INDEX($F$1625:$F$1677,MATCH(Paramètres!N25,Paramètres!$G$5:$G$57,0)),INDEX($E$1625:$E$1677,MATCH(Paramètres!N25,Paramètres!$G$5:$G$57,0)))+IF(RIGHT(TRIM(Paramètres!O25),3)="Fin",1-$H1645,IF(LEFT(TRIM(Paramètres!O25),1)="F",1,0)))))))</f>
        <v/>
      </c>
      <c r="F1645" s="19">
        <f>IF($A1645="","",E1645+$H1645-1)</f>
        <v/>
      </c>
      <c r="G1645" s="18" t="n"/>
      <c r="H1645" s="18">
        <f>IF($A1645="","",IF(I1645&lt;&gt;"",I1645,Paramètres!B25))</f>
        <v/>
      </c>
      <c r="I1645" s="18" t="n"/>
    </row>
    <row r="1646">
      <c r="A1646" s="18">
        <f>IF(ISNUMBER(Dossiers!$D$34),Dossiers!$A$34&amp;" · "&amp;Dossiers!$B$34,"")</f>
        <v/>
      </c>
      <c r="B1646" s="18">
        <f>IF($A1646="","",Paramètres!G26)</f>
        <v/>
      </c>
      <c r="C1646" s="18">
        <f>IF($A1646="","",IF(Paramètres!H26="","",Paramètres!H26))</f>
        <v/>
      </c>
      <c r="D1646" s="18">
        <f>IF($A1646="","",IF(Paramètres!I26="","",Paramètres!I26))</f>
        <v/>
      </c>
      <c r="E1646" s="19">
        <f>IF($A1646="","",IF(Paramètres!J26&amp;Paramètres!L26&amp;Paramètres!N26="",Dossiers!$D$34,MAX(IF(Paramètres!J26="",0,IF(Paramètres!K26="",NA(),IF(LEFT(TRIM(Paramètres!K26),1)="F",INDEX($F$1625:$F$1677,MATCH(Paramètres!J26,Paramètres!$G$5:$G$57,0)),INDEX($E$1625:$E$1677,MATCH(Paramètres!J26,Paramètres!$G$5:$G$57,0)))+IF(RIGHT(TRIM(Paramètres!K26),3)="Fin",1-$H1646,IF(LEFT(TRIM(Paramètres!K26),1)="F",1,0)))),IF(Paramètres!L26="",0,IF(Paramètres!M26="",NA(),IF(LEFT(TRIM(Paramètres!M26),1)="F",INDEX($F$1625:$F$1677,MATCH(Paramètres!L26,Paramètres!$G$5:$G$57,0)),INDEX($E$1625:$E$1677,MATCH(Paramètres!L26,Paramètres!$G$5:$G$57,0)))+IF(RIGHT(TRIM(Paramètres!M26),3)="Fin",1-$H1646,IF(LEFT(TRIM(Paramètres!M26),1)="F",1,0)))),IF(Paramètres!N26="",0,IF(Paramètres!O26="",NA(),IF(LEFT(TRIM(Paramètres!O26),1)="F",INDEX($F$1625:$F$1677,MATCH(Paramètres!N26,Paramètres!$G$5:$G$57,0)),INDEX($E$1625:$E$1677,MATCH(Paramètres!N26,Paramètres!$G$5:$G$57,0)))+IF(RIGHT(TRIM(Paramètres!O26),3)="Fin",1-$H1646,IF(LEFT(TRIM(Paramètres!O26),1)="F",1,0)))))))</f>
        <v/>
      </c>
      <c r="F1646" s="19">
        <f>IF($A1646="","",E1646+$H1646-1)</f>
        <v/>
      </c>
      <c r="G1646" s="18" t="n"/>
      <c r="H1646" s="18">
        <f>IF($A1646="","",IF(I1646&lt;&gt;"",I1646,Paramètres!B26))</f>
        <v/>
      </c>
      <c r="I1646" s="18" t="n"/>
    </row>
    <row r="1647">
      <c r="A1647" s="18">
        <f>IF(ISNUMBER(Dossiers!$D$34),Dossiers!$A$34&amp;" · "&amp;Dossiers!$B$34,"")</f>
        <v/>
      </c>
      <c r="B1647" s="18">
        <f>IF($A1647="","",Paramètres!G27)</f>
        <v/>
      </c>
      <c r="C1647" s="18">
        <f>IF($A1647="","",IF(Paramètres!H27="","",Paramètres!H27))</f>
        <v/>
      </c>
      <c r="D1647" s="18">
        <f>IF($A1647="","",IF(Paramètres!I27="","",Paramètres!I27))</f>
        <v/>
      </c>
      <c r="E1647" s="19">
        <f>IF($A1647="","",IF(Paramètres!J27&amp;Paramètres!L27&amp;Paramètres!N27="",Dossiers!$D$34,MAX(IF(Paramètres!J27="",0,IF(Paramètres!K27="",NA(),IF(LEFT(TRIM(Paramètres!K27),1)="F",INDEX($F$1625:$F$1677,MATCH(Paramètres!J27,Paramètres!$G$5:$G$57,0)),INDEX($E$1625:$E$1677,MATCH(Paramètres!J27,Paramètres!$G$5:$G$57,0)))+IF(RIGHT(TRIM(Paramètres!K27),3)="Fin",1-$H1647,IF(LEFT(TRIM(Paramètres!K27),1)="F",1,0)))),IF(Paramètres!L27="",0,IF(Paramètres!M27="",NA(),IF(LEFT(TRIM(Paramètres!M27),1)="F",INDEX($F$1625:$F$1677,MATCH(Paramètres!L27,Paramètres!$G$5:$G$57,0)),INDEX($E$1625:$E$1677,MATCH(Paramètres!L27,Paramètres!$G$5:$G$57,0)))+IF(RIGHT(TRIM(Paramètres!M27),3)="Fin",1-$H1647,IF(LEFT(TRIM(Paramètres!M27),1)="F",1,0)))),IF(Paramètres!N27="",0,IF(Paramètres!O27="",NA(),IF(LEFT(TRIM(Paramètres!O27),1)="F",INDEX($F$1625:$F$1677,MATCH(Paramètres!N27,Paramètres!$G$5:$G$57,0)),INDEX($E$1625:$E$1677,MATCH(Paramètres!N27,Paramètres!$G$5:$G$57,0)))+IF(RIGHT(TRIM(Paramètres!O27),3)="Fin",1-$H1647,IF(LEFT(TRIM(Paramètres!O27),1)="F",1,0)))))))</f>
        <v/>
      </c>
      <c r="F1647" s="19">
        <f>IF($A1647="","",E1647+$H1647-1)</f>
        <v/>
      </c>
      <c r="G1647" s="18" t="n"/>
      <c r="H1647" s="18">
        <f>IF($A1647="","",IF(I1647&lt;&gt;"",I1647,Paramètres!B27))</f>
        <v/>
      </c>
      <c r="I1647" s="18" t="n"/>
    </row>
    <row r="1648">
      <c r="A1648" s="18">
        <f>IF(ISNUMBER(Dossiers!$D$34),Dossiers!$A$34&amp;" · "&amp;Dossiers!$B$34,"")</f>
        <v/>
      </c>
      <c r="B1648" s="18">
        <f>IF($A1648="","",Paramètres!G28)</f>
        <v/>
      </c>
      <c r="C1648" s="18">
        <f>IF($A1648="","",IF(Paramètres!H28="","",Paramètres!H28))</f>
        <v/>
      </c>
      <c r="D1648" s="18">
        <f>IF($A1648="","",IF(Paramètres!I28="","",Paramètres!I28))</f>
        <v/>
      </c>
      <c r="E1648" s="19">
        <f>IF($A1648="","",IF(Paramètres!J28&amp;Paramètres!L28&amp;Paramètres!N28="",Dossiers!$D$34,MAX(IF(Paramètres!J28="",0,IF(Paramètres!K28="",NA(),IF(LEFT(TRIM(Paramètres!K28),1)="F",INDEX($F$1625:$F$1677,MATCH(Paramètres!J28,Paramètres!$G$5:$G$57,0)),INDEX($E$1625:$E$1677,MATCH(Paramètres!J28,Paramètres!$G$5:$G$57,0)))+IF(RIGHT(TRIM(Paramètres!K28),3)="Fin",1-$H1648,IF(LEFT(TRIM(Paramètres!K28),1)="F",1,0)))),IF(Paramètres!L28="",0,IF(Paramètres!M28="",NA(),IF(LEFT(TRIM(Paramètres!M28),1)="F",INDEX($F$1625:$F$1677,MATCH(Paramètres!L28,Paramètres!$G$5:$G$57,0)),INDEX($E$1625:$E$1677,MATCH(Paramètres!L28,Paramètres!$G$5:$G$57,0)))+IF(RIGHT(TRIM(Paramètres!M28),3)="Fin",1-$H1648,IF(LEFT(TRIM(Paramètres!M28),1)="F",1,0)))),IF(Paramètres!N28="",0,IF(Paramètres!O28="",NA(),IF(LEFT(TRIM(Paramètres!O28),1)="F",INDEX($F$1625:$F$1677,MATCH(Paramètres!N28,Paramètres!$G$5:$G$57,0)),INDEX($E$1625:$E$1677,MATCH(Paramètres!N28,Paramètres!$G$5:$G$57,0)))+IF(RIGHT(TRIM(Paramètres!O28),3)="Fin",1-$H1648,IF(LEFT(TRIM(Paramètres!O28),1)="F",1,0)))))))</f>
        <v/>
      </c>
      <c r="F1648" s="19">
        <f>IF($A1648="","",E1648+$H1648-1)</f>
        <v/>
      </c>
      <c r="G1648" s="18" t="n"/>
      <c r="H1648" s="18">
        <f>IF($A1648="","",IF(I1648&lt;&gt;"",I1648,Paramètres!B28))</f>
        <v/>
      </c>
      <c r="I1648" s="18" t="n"/>
    </row>
    <row r="1649">
      <c r="A1649" s="18">
        <f>IF(ISNUMBER(Dossiers!$D$34),Dossiers!$A$34&amp;" · "&amp;Dossiers!$B$34,"")</f>
        <v/>
      </c>
      <c r="B1649" s="18">
        <f>IF($A1649="","",Paramètres!G29)</f>
        <v/>
      </c>
      <c r="C1649" s="18">
        <f>IF($A1649="","",IF(Paramètres!H29="","",Paramètres!H29))</f>
        <v/>
      </c>
      <c r="D1649" s="18">
        <f>IF($A1649="","",IF(Paramètres!I29="","",Paramètres!I29))</f>
        <v/>
      </c>
      <c r="E1649" s="19">
        <f>IF($A1649="","",IF(Paramètres!J29&amp;Paramètres!L29&amp;Paramètres!N29="",Dossiers!$D$34,MAX(IF(Paramètres!J29="",0,IF(Paramètres!K29="",NA(),IF(LEFT(TRIM(Paramètres!K29),1)="F",INDEX($F$1625:$F$1677,MATCH(Paramètres!J29,Paramètres!$G$5:$G$57,0)),INDEX($E$1625:$E$1677,MATCH(Paramètres!J29,Paramètres!$G$5:$G$57,0)))+IF(RIGHT(TRIM(Paramètres!K29),3)="Fin",1-$H1649,IF(LEFT(TRIM(Paramètres!K29),1)="F",1,0)))),IF(Paramètres!L29="",0,IF(Paramètres!M29="",NA(),IF(LEFT(TRIM(Paramètres!M29),1)="F",INDEX($F$1625:$F$1677,MATCH(Paramètres!L29,Paramètres!$G$5:$G$57,0)),INDEX($E$1625:$E$1677,MATCH(Paramètres!L29,Paramètres!$G$5:$G$57,0)))+IF(RIGHT(TRIM(Paramètres!M29),3)="Fin",1-$H1649,IF(LEFT(TRIM(Paramètres!M29),1)="F",1,0)))),IF(Paramètres!N29="",0,IF(Paramètres!O29="",NA(),IF(LEFT(TRIM(Paramètres!O29),1)="F",INDEX($F$1625:$F$1677,MATCH(Paramètres!N29,Paramètres!$G$5:$G$57,0)),INDEX($E$1625:$E$1677,MATCH(Paramètres!N29,Paramètres!$G$5:$G$57,0)))+IF(RIGHT(TRIM(Paramètres!O29),3)="Fin",1-$H1649,IF(LEFT(TRIM(Paramètres!O29),1)="F",1,0)))))))</f>
        <v/>
      </c>
      <c r="F1649" s="19">
        <f>IF($A1649="","",E1649+$H1649-1)</f>
        <v/>
      </c>
      <c r="G1649" s="18" t="n"/>
      <c r="H1649" s="18">
        <f>IF($A1649="","",IF(I1649&lt;&gt;"",I1649,Paramètres!B29))</f>
        <v/>
      </c>
      <c r="I1649" s="18" t="n"/>
    </row>
    <row r="1650">
      <c r="A1650" s="18">
        <f>IF(ISNUMBER(Dossiers!$D$34),Dossiers!$A$34&amp;" · "&amp;Dossiers!$B$34,"")</f>
        <v/>
      </c>
      <c r="B1650" s="18">
        <f>IF($A1650="","",Paramètres!G30)</f>
        <v/>
      </c>
      <c r="C1650" s="18">
        <f>IF($A1650="","",IF(Paramètres!H30="","",Paramètres!H30))</f>
        <v/>
      </c>
      <c r="D1650" s="18">
        <f>IF($A1650="","",IF(Paramètres!I30="","",Paramètres!I30))</f>
        <v/>
      </c>
      <c r="E1650" s="19">
        <f>IF($A1650="","",IF(Paramètres!J30&amp;Paramètres!L30&amp;Paramètres!N30="",Dossiers!$D$34,MAX(IF(Paramètres!J30="",0,IF(Paramètres!K30="",NA(),IF(LEFT(TRIM(Paramètres!K30),1)="F",INDEX($F$1625:$F$1677,MATCH(Paramètres!J30,Paramètres!$G$5:$G$57,0)),INDEX($E$1625:$E$1677,MATCH(Paramètres!J30,Paramètres!$G$5:$G$57,0)))+IF(RIGHT(TRIM(Paramètres!K30),3)="Fin",1-$H1650,IF(LEFT(TRIM(Paramètres!K30),1)="F",1,0)))),IF(Paramètres!L30="",0,IF(Paramètres!M30="",NA(),IF(LEFT(TRIM(Paramètres!M30),1)="F",INDEX($F$1625:$F$1677,MATCH(Paramètres!L30,Paramètres!$G$5:$G$57,0)),INDEX($E$1625:$E$1677,MATCH(Paramètres!L30,Paramètres!$G$5:$G$57,0)))+IF(RIGHT(TRIM(Paramètres!M30),3)="Fin",1-$H1650,IF(LEFT(TRIM(Paramètres!M30),1)="F",1,0)))),IF(Paramètres!N30="",0,IF(Paramètres!O30="",NA(),IF(LEFT(TRIM(Paramètres!O30),1)="F",INDEX($F$1625:$F$1677,MATCH(Paramètres!N30,Paramètres!$G$5:$G$57,0)),INDEX($E$1625:$E$1677,MATCH(Paramètres!N30,Paramètres!$G$5:$G$57,0)))+IF(RIGHT(TRIM(Paramètres!O30),3)="Fin",1-$H1650,IF(LEFT(TRIM(Paramètres!O30),1)="F",1,0)))))))</f>
        <v/>
      </c>
      <c r="F1650" s="19">
        <f>IF($A1650="","",E1650+$H1650-1)</f>
        <v/>
      </c>
      <c r="G1650" s="18" t="n"/>
      <c r="H1650" s="18">
        <f>IF($A1650="","",IF(I1650&lt;&gt;"",I1650,Paramètres!B30))</f>
        <v/>
      </c>
      <c r="I1650" s="18" t="n"/>
    </row>
    <row r="1651">
      <c r="A1651" s="18">
        <f>IF(ISNUMBER(Dossiers!$D$34),Dossiers!$A$34&amp;" · "&amp;Dossiers!$B$34,"")</f>
        <v/>
      </c>
      <c r="B1651" s="18">
        <f>IF($A1651="","",Paramètres!G31)</f>
        <v/>
      </c>
      <c r="C1651" s="20">
        <f>IF($A1651="","",IF(Dossiers!$F$34="","",Dossiers!$F$34))</f>
        <v/>
      </c>
      <c r="D1651" s="18">
        <f>IF($A1651="","",IF(Paramètres!I31="","",Paramètres!I31))</f>
        <v/>
      </c>
      <c r="E1651" s="19">
        <f>IF($A1651="","",IF(Paramètres!J31&amp;Paramètres!L31&amp;Paramètres!N31="",Dossiers!$D$34,MAX(IF(Paramètres!J31="",0,IF(Paramètres!K31="",NA(),IF(LEFT(TRIM(Paramètres!K31),1)="F",INDEX($F$1625:$F$1677,MATCH(Paramètres!J31,Paramètres!$G$5:$G$57,0)),INDEX($E$1625:$E$1677,MATCH(Paramètres!J31,Paramètres!$G$5:$G$57,0)))+IF(RIGHT(TRIM(Paramètres!K31),3)="Fin",1-$H1651,IF(LEFT(TRIM(Paramètres!K31),1)="F",1,0)))),IF(Paramètres!L31="",0,IF(Paramètres!M31="",NA(),IF(LEFT(TRIM(Paramètres!M31),1)="F",INDEX($F$1625:$F$1677,MATCH(Paramètres!L31,Paramètres!$G$5:$G$57,0)),INDEX($E$1625:$E$1677,MATCH(Paramètres!L31,Paramètres!$G$5:$G$57,0)))+IF(RIGHT(TRIM(Paramètres!M31),3)="Fin",1-$H1651,IF(LEFT(TRIM(Paramètres!M31),1)="F",1,0)))),IF(Paramètres!N31="",0,IF(Paramètres!O31="",NA(),IF(LEFT(TRIM(Paramètres!O31),1)="F",INDEX($F$1625:$F$1677,MATCH(Paramètres!N31,Paramètres!$G$5:$G$57,0)),INDEX($E$1625:$E$1677,MATCH(Paramètres!N31,Paramètres!$G$5:$G$57,0)))+IF(RIGHT(TRIM(Paramètres!O31),3)="Fin",1-$H1651,IF(LEFT(TRIM(Paramètres!O31),1)="F",1,0)))))))</f>
        <v/>
      </c>
      <c r="F1651" s="19">
        <f>IF($A1651="","",E1651+$H1651-1)</f>
        <v/>
      </c>
      <c r="G1651" s="18" t="n"/>
      <c r="H1651" s="18">
        <f>IF($A1651="","",IF(I1651&lt;&gt;"",I1651,Paramètres!B31))</f>
        <v/>
      </c>
      <c r="I1651" s="18" t="n"/>
    </row>
    <row r="1652">
      <c r="A1652" s="18">
        <f>IF(ISNUMBER(Dossiers!$D$34),Dossiers!$A$34&amp;" · "&amp;Dossiers!$B$34,"")</f>
        <v/>
      </c>
      <c r="B1652" s="18">
        <f>IF($A1652="","",Paramètres!G32)</f>
        <v/>
      </c>
      <c r="C1652" s="18">
        <f>IF($A1652="","",IF(Paramètres!H32="","",Paramètres!H32))</f>
        <v/>
      </c>
      <c r="D1652" s="18">
        <f>IF($A1652="","",IF(Paramètres!I32="","",Paramètres!I32))</f>
        <v/>
      </c>
      <c r="E1652" s="19">
        <f>IF($A1652="","",MIN(E1653:E1656))</f>
        <v/>
      </c>
      <c r="F1652" s="19">
        <f>IF($A1652="","",MAX(F1653:F1656))</f>
        <v/>
      </c>
      <c r="G1652" s="18" t="n"/>
      <c r="H1652" s="18">
        <f>IF($A1652="","",F1652-E1652+1)</f>
        <v/>
      </c>
      <c r="I1652" s="18" t="n"/>
    </row>
    <row r="1653">
      <c r="A1653" s="18">
        <f>IF(ISNUMBER(Dossiers!$D$34),Dossiers!$A$34&amp;" · "&amp;Dossiers!$B$34,"")</f>
        <v/>
      </c>
      <c r="B1653" s="18">
        <f>IF($A1653="","",Paramètres!G33)</f>
        <v/>
      </c>
      <c r="C1653" s="18">
        <f>IF($A1653="","",IF(Paramètres!H33="","",Paramètres!H33))</f>
        <v/>
      </c>
      <c r="D1653" s="18">
        <f>IF($A1653="","",IF(Paramètres!I33="","",Paramètres!I33))</f>
        <v/>
      </c>
      <c r="E1653" s="19">
        <f>IF($A1653="","",IF(Paramètres!J33&amp;Paramètres!L33&amp;Paramètres!N33="",Dossiers!$D$34,MAX(IF(Paramètres!J33="",0,IF(Paramètres!K33="",NA(),IF(LEFT(TRIM(Paramètres!K33),1)="F",INDEX($F$1625:$F$1677,MATCH(Paramètres!J33,Paramètres!$G$5:$G$57,0)),INDEX($E$1625:$E$1677,MATCH(Paramètres!J33,Paramètres!$G$5:$G$57,0)))+IF(RIGHT(TRIM(Paramètres!K33),3)="Fin",1-$H1653,IF(LEFT(TRIM(Paramètres!K33),1)="F",1,0)))),IF(Paramètres!L33="",0,IF(Paramètres!M33="",NA(),IF(LEFT(TRIM(Paramètres!M33),1)="F",INDEX($F$1625:$F$1677,MATCH(Paramètres!L33,Paramètres!$G$5:$G$57,0)),INDEX($E$1625:$E$1677,MATCH(Paramètres!L33,Paramètres!$G$5:$G$57,0)))+IF(RIGHT(TRIM(Paramètres!M33),3)="Fin",1-$H1653,IF(LEFT(TRIM(Paramètres!M33),1)="F",1,0)))),IF(Paramètres!N33="",0,IF(Paramètres!O33="",NA(),IF(LEFT(TRIM(Paramètres!O33),1)="F",INDEX($F$1625:$F$1677,MATCH(Paramètres!N33,Paramètres!$G$5:$G$57,0)),INDEX($E$1625:$E$1677,MATCH(Paramètres!N33,Paramètres!$G$5:$G$57,0)))+IF(RIGHT(TRIM(Paramètres!O33),3)="Fin",1-$H1653,IF(LEFT(TRIM(Paramètres!O33),1)="F",1,0)))))))</f>
        <v/>
      </c>
      <c r="F1653" s="19">
        <f>IF($A1653="","",E1653+$H1653-1)</f>
        <v/>
      </c>
      <c r="G1653" s="18" t="n"/>
      <c r="H1653" s="18">
        <f>IF($A1653="","",IF(I1653&lt;&gt;"",I1653,Paramètres!B33))</f>
        <v/>
      </c>
      <c r="I1653" s="18" t="n"/>
    </row>
    <row r="1654">
      <c r="A1654" s="18">
        <f>IF(ISNUMBER(Dossiers!$D$34),Dossiers!$A$34&amp;" · "&amp;Dossiers!$B$34,"")</f>
        <v/>
      </c>
      <c r="B1654" s="18">
        <f>IF($A1654="","",Paramètres!G34)</f>
        <v/>
      </c>
      <c r="C1654" s="18">
        <f>IF($A1654="","",IF(Paramètres!H34="","",Paramètres!H34))</f>
        <v/>
      </c>
      <c r="D1654" s="18">
        <f>IF($A1654="","",IF(Paramètres!I34="","",Paramètres!I34))</f>
        <v/>
      </c>
      <c r="E1654" s="19">
        <f>IF($A1654="","",IF(Paramètres!J34&amp;Paramètres!L34&amp;Paramètres!N34="",Dossiers!$D$34,MAX(IF(Paramètres!J34="",0,IF(Paramètres!K34="",NA(),IF(LEFT(TRIM(Paramètres!K34),1)="F",INDEX($F$1625:$F$1677,MATCH(Paramètres!J34,Paramètres!$G$5:$G$57,0)),INDEX($E$1625:$E$1677,MATCH(Paramètres!J34,Paramètres!$G$5:$G$57,0)))+IF(RIGHT(TRIM(Paramètres!K34),3)="Fin",1-$H1654,IF(LEFT(TRIM(Paramètres!K34),1)="F",1,0)))),IF(Paramètres!L34="",0,IF(Paramètres!M34="",NA(),IF(LEFT(TRIM(Paramètres!M34),1)="F",INDEX($F$1625:$F$1677,MATCH(Paramètres!L34,Paramètres!$G$5:$G$57,0)),INDEX($E$1625:$E$1677,MATCH(Paramètres!L34,Paramètres!$G$5:$G$57,0)))+IF(RIGHT(TRIM(Paramètres!M34),3)="Fin",1-$H1654,IF(LEFT(TRIM(Paramètres!M34),1)="F",1,0)))),IF(Paramètres!N34="",0,IF(Paramètres!O34="",NA(),IF(LEFT(TRIM(Paramètres!O34),1)="F",INDEX($F$1625:$F$1677,MATCH(Paramètres!N34,Paramètres!$G$5:$G$57,0)),INDEX($E$1625:$E$1677,MATCH(Paramètres!N34,Paramètres!$G$5:$G$57,0)))+IF(RIGHT(TRIM(Paramètres!O34),3)="Fin",1-$H1654,IF(LEFT(TRIM(Paramètres!O34),1)="F",1,0)))))))</f>
        <v/>
      </c>
      <c r="F1654" s="19">
        <f>IF($A1654="","",E1654+$H1654-1)</f>
        <v/>
      </c>
      <c r="G1654" s="18" t="n"/>
      <c r="H1654" s="18">
        <f>IF($A1654="","",IF(I1654&lt;&gt;"",I1654,Paramètres!B34))</f>
        <v/>
      </c>
      <c r="I1654" s="18" t="n"/>
    </row>
    <row r="1655">
      <c r="A1655" s="18">
        <f>IF(ISNUMBER(Dossiers!$D$34),Dossiers!$A$34&amp;" · "&amp;Dossiers!$B$34,"")</f>
        <v/>
      </c>
      <c r="B1655" s="18">
        <f>IF($A1655="","",Paramètres!G35)</f>
        <v/>
      </c>
      <c r="C1655" s="18">
        <f>IF($A1655="","",IF(Paramètres!H35="","",Paramètres!H35))</f>
        <v/>
      </c>
      <c r="D1655" s="18">
        <f>IF($A1655="","",IF(Paramètres!I35="","",Paramètres!I35))</f>
        <v/>
      </c>
      <c r="E1655" s="19">
        <f>IF($A1655="","",IF(Paramètres!J35&amp;Paramètres!L35&amp;Paramètres!N35="",Dossiers!$D$34,MAX(IF(Paramètres!J35="",0,IF(Paramètres!K35="",NA(),IF(LEFT(TRIM(Paramètres!K35),1)="F",INDEX($F$1625:$F$1677,MATCH(Paramètres!J35,Paramètres!$G$5:$G$57,0)),INDEX($E$1625:$E$1677,MATCH(Paramètres!J35,Paramètres!$G$5:$G$57,0)))+IF(RIGHT(TRIM(Paramètres!K35),3)="Fin",1-$H1655,IF(LEFT(TRIM(Paramètres!K35),1)="F",1,0)))),IF(Paramètres!L35="",0,IF(Paramètres!M35="",NA(),IF(LEFT(TRIM(Paramètres!M35),1)="F",INDEX($F$1625:$F$1677,MATCH(Paramètres!L35,Paramètres!$G$5:$G$57,0)),INDEX($E$1625:$E$1677,MATCH(Paramètres!L35,Paramètres!$G$5:$G$57,0)))+IF(RIGHT(TRIM(Paramètres!M35),3)="Fin",1-$H1655,IF(LEFT(TRIM(Paramètres!M35),1)="F",1,0)))),IF(Paramètres!N35="",0,IF(Paramètres!O35="",NA(),IF(LEFT(TRIM(Paramètres!O35),1)="F",INDEX($F$1625:$F$1677,MATCH(Paramètres!N35,Paramètres!$G$5:$G$57,0)),INDEX($E$1625:$E$1677,MATCH(Paramètres!N35,Paramètres!$G$5:$G$57,0)))+IF(RIGHT(TRIM(Paramètres!O35),3)="Fin",1-$H1655,IF(LEFT(TRIM(Paramètres!O35),1)="F",1,0)))))))</f>
        <v/>
      </c>
      <c r="F1655" s="19">
        <f>IF($A1655="","",E1655+$H1655-1)</f>
        <v/>
      </c>
      <c r="G1655" s="18" t="n"/>
      <c r="H1655" s="18">
        <f>IF($A1655="","",IF(I1655&lt;&gt;"",I1655,Paramètres!B35))</f>
        <v/>
      </c>
      <c r="I1655" s="18" t="n"/>
    </row>
    <row r="1656">
      <c r="A1656" s="18">
        <f>IF(ISNUMBER(Dossiers!$D$34),Dossiers!$A$34&amp;" · "&amp;Dossiers!$B$34,"")</f>
        <v/>
      </c>
      <c r="B1656" s="18">
        <f>IF($A1656="","",Paramètres!G36)</f>
        <v/>
      </c>
      <c r="C1656" s="18">
        <f>IF($A1656="","",IF(Paramètres!H36="","",Paramètres!H36))</f>
        <v/>
      </c>
      <c r="D1656" s="18">
        <f>IF($A1656="","",IF(Paramètres!I36="","",Paramètres!I36))</f>
        <v/>
      </c>
      <c r="E1656" s="19">
        <f>IF($A1656="","",IF(Paramètres!J36&amp;Paramètres!L36&amp;Paramètres!N36="",Dossiers!$D$34,MAX(IF(Paramètres!J36="",0,IF(Paramètres!K36="",NA(),IF(LEFT(TRIM(Paramètres!K36),1)="F",INDEX($F$1625:$F$1677,MATCH(Paramètres!J36,Paramètres!$G$5:$G$57,0)),INDEX($E$1625:$E$1677,MATCH(Paramètres!J36,Paramètres!$G$5:$G$57,0)))+IF(RIGHT(TRIM(Paramètres!K36),3)="Fin",1-$H1656,IF(LEFT(TRIM(Paramètres!K36),1)="F",1,0)))),IF(Paramètres!L36="",0,IF(Paramètres!M36="",NA(),IF(LEFT(TRIM(Paramètres!M36),1)="F",INDEX($F$1625:$F$1677,MATCH(Paramètres!L36,Paramètres!$G$5:$G$57,0)),INDEX($E$1625:$E$1677,MATCH(Paramètres!L36,Paramètres!$G$5:$G$57,0)))+IF(RIGHT(TRIM(Paramètres!M36),3)="Fin",1-$H1656,IF(LEFT(TRIM(Paramètres!M36),1)="F",1,0)))),IF(Paramètres!N36="",0,IF(Paramètres!O36="",NA(),IF(LEFT(TRIM(Paramètres!O36),1)="F",INDEX($F$1625:$F$1677,MATCH(Paramètres!N36,Paramètres!$G$5:$G$57,0)),INDEX($E$1625:$E$1677,MATCH(Paramètres!N36,Paramètres!$G$5:$G$57,0)))+IF(RIGHT(TRIM(Paramètres!O36),3)="Fin",1-$H1656,IF(LEFT(TRIM(Paramètres!O36),1)="F",1,0)))))))</f>
        <v/>
      </c>
      <c r="F1656" s="19">
        <f>IF($A1656="","",E1656+$H1656-1)</f>
        <v/>
      </c>
      <c r="G1656" s="18" t="n"/>
      <c r="H1656" s="18">
        <f>IF($A1656="","",IF(I1656&lt;&gt;"",I1656,Paramètres!B36))</f>
        <v/>
      </c>
      <c r="I1656" s="18" t="n"/>
    </row>
    <row r="1657">
      <c r="A1657" s="18">
        <f>IF(ISNUMBER(Dossiers!$D$34),Dossiers!$A$34&amp;" · "&amp;Dossiers!$B$34,"")</f>
        <v/>
      </c>
      <c r="B1657" s="18">
        <f>IF($A1657="","",Paramètres!G37)</f>
        <v/>
      </c>
      <c r="C1657" s="18">
        <f>IF($A1657="","",IF(Paramètres!H37="","",Paramètres!H37))</f>
        <v/>
      </c>
      <c r="D1657" s="18">
        <f>IF($A1657="","",IF(Paramètres!I37="","",Paramètres!I37))</f>
        <v/>
      </c>
      <c r="E1657" s="19">
        <f>IF($A1657="","",MIN(E1658:E1675))</f>
        <v/>
      </c>
      <c r="F1657" s="19">
        <f>IF($A1657="","",MAX(F1658:F1675))</f>
        <v/>
      </c>
      <c r="G1657" s="18" t="n"/>
      <c r="H1657" s="18">
        <f>IF($A1657="","",F1657-E1657+1)</f>
        <v/>
      </c>
      <c r="I1657" s="18" t="n"/>
    </row>
    <row r="1658">
      <c r="A1658" s="18">
        <f>IF(ISNUMBER(Dossiers!$D$34),Dossiers!$A$34&amp;" · "&amp;Dossiers!$B$34,"")</f>
        <v/>
      </c>
      <c r="B1658" s="18">
        <f>IF($A1658="","",Paramètres!G38)</f>
        <v/>
      </c>
      <c r="C1658" s="18">
        <f>IF($A1658="","",IF(Paramètres!H38="","",Paramètres!H38))</f>
        <v/>
      </c>
      <c r="D1658" s="18">
        <f>IF($A1658="","",IF(Paramètres!I38="","",Paramètres!I38))</f>
        <v/>
      </c>
      <c r="E1658" s="19">
        <f>IF($A1658="","",IF(Paramètres!J38&amp;Paramètres!L38&amp;Paramètres!N38="",Dossiers!$D$34,MAX(IF(Paramètres!J38="",0,IF(Paramètres!K38="",NA(),IF(LEFT(TRIM(Paramètres!K38),1)="F",INDEX($F$1625:$F$1677,MATCH(Paramètres!J38,Paramètres!$G$5:$G$57,0)),INDEX($E$1625:$E$1677,MATCH(Paramètres!J38,Paramètres!$G$5:$G$57,0)))+IF(RIGHT(TRIM(Paramètres!K38),3)="Fin",1-$H1658,IF(LEFT(TRIM(Paramètres!K38),1)="F",1,0)))),IF(Paramètres!L38="",0,IF(Paramètres!M38="",NA(),IF(LEFT(TRIM(Paramètres!M38),1)="F",INDEX($F$1625:$F$1677,MATCH(Paramètres!L38,Paramètres!$G$5:$G$57,0)),INDEX($E$1625:$E$1677,MATCH(Paramètres!L38,Paramètres!$G$5:$G$57,0)))+IF(RIGHT(TRIM(Paramètres!M38),3)="Fin",1-$H1658,IF(LEFT(TRIM(Paramètres!M38),1)="F",1,0)))),IF(Paramètres!N38="",0,IF(Paramètres!O38="",NA(),IF(LEFT(TRIM(Paramètres!O38),1)="F",INDEX($F$1625:$F$1677,MATCH(Paramètres!N38,Paramètres!$G$5:$G$57,0)),INDEX($E$1625:$E$1677,MATCH(Paramètres!N38,Paramètres!$G$5:$G$57,0)))+IF(RIGHT(TRIM(Paramètres!O38),3)="Fin",1-$H1658,IF(LEFT(TRIM(Paramètres!O38),1)="F",1,0)))))))</f>
        <v/>
      </c>
      <c r="F1658" s="19">
        <f>IF($A1658="","",E1658+$H1658-1)</f>
        <v/>
      </c>
      <c r="G1658" s="18" t="n"/>
      <c r="H1658" s="18">
        <f>IF($A1658="","",IF(I1658&lt;&gt;"",I1658,Paramètres!B38))</f>
        <v/>
      </c>
      <c r="I1658" s="18" t="n"/>
    </row>
    <row r="1659">
      <c r="A1659" s="18">
        <f>IF(ISNUMBER(Dossiers!$D$34),Dossiers!$A$34&amp;" · "&amp;Dossiers!$B$34,"")</f>
        <v/>
      </c>
      <c r="B1659" s="18">
        <f>IF($A1659="","",Paramètres!G39)</f>
        <v/>
      </c>
      <c r="C1659" s="18">
        <f>IF($A1659="","",IF(Paramètres!H39="","",Paramètres!H39))</f>
        <v/>
      </c>
      <c r="D1659" s="18">
        <f>IF($A1659="","",IF(Paramètres!I39="","",Paramètres!I39))</f>
        <v/>
      </c>
      <c r="E1659" s="19">
        <f>IF($A1659="","",IF(Paramètres!J39&amp;Paramètres!L39&amp;Paramètres!N39="",Dossiers!$D$34,MAX(IF(Paramètres!J39="",0,IF(Paramètres!K39="",NA(),IF(LEFT(TRIM(Paramètres!K39),1)="F",INDEX($F$1625:$F$1677,MATCH(Paramètres!J39,Paramètres!$G$5:$G$57,0)),INDEX($E$1625:$E$1677,MATCH(Paramètres!J39,Paramètres!$G$5:$G$57,0)))+IF(RIGHT(TRIM(Paramètres!K39),3)="Fin",1-$H1659,IF(LEFT(TRIM(Paramètres!K39),1)="F",1,0)))),IF(Paramètres!L39="",0,IF(Paramètres!M39="",NA(),IF(LEFT(TRIM(Paramètres!M39),1)="F",INDEX($F$1625:$F$1677,MATCH(Paramètres!L39,Paramètres!$G$5:$G$57,0)),INDEX($E$1625:$E$1677,MATCH(Paramètres!L39,Paramètres!$G$5:$G$57,0)))+IF(RIGHT(TRIM(Paramètres!M39),3)="Fin",1-$H1659,IF(LEFT(TRIM(Paramètres!M39),1)="F",1,0)))),IF(Paramètres!N39="",0,IF(Paramètres!O39="",NA(),IF(LEFT(TRIM(Paramètres!O39),1)="F",INDEX($F$1625:$F$1677,MATCH(Paramètres!N39,Paramètres!$G$5:$G$57,0)),INDEX($E$1625:$E$1677,MATCH(Paramètres!N39,Paramètres!$G$5:$G$57,0)))+IF(RIGHT(TRIM(Paramètres!O39),3)="Fin",1-$H1659,IF(LEFT(TRIM(Paramètres!O39),1)="F",1,0)))))))</f>
        <v/>
      </c>
      <c r="F1659" s="19">
        <f>IF($A1659="","",E1659+$H1659-1)</f>
        <v/>
      </c>
      <c r="G1659" s="18" t="n"/>
      <c r="H1659" s="18">
        <f>IF($A1659="","",IF(I1659&lt;&gt;"",I1659,Paramètres!B39))</f>
        <v/>
      </c>
      <c r="I1659" s="18" t="n"/>
    </row>
    <row r="1660">
      <c r="A1660" s="18">
        <f>IF(ISNUMBER(Dossiers!$D$34),Dossiers!$A$34&amp;" · "&amp;Dossiers!$B$34,"")</f>
        <v/>
      </c>
      <c r="B1660" s="18">
        <f>IF($A1660="","",Paramètres!G40)</f>
        <v/>
      </c>
      <c r="C1660" s="18">
        <f>IF($A1660="","",IF(Paramètres!H40="","",Paramètres!H40))</f>
        <v/>
      </c>
      <c r="D1660" s="18">
        <f>IF($A1660="","",IF(Paramètres!I40="","",Paramètres!I40))</f>
        <v/>
      </c>
      <c r="E1660" s="19">
        <f>IF($A1660="","",IF(Paramètres!J40&amp;Paramètres!L40&amp;Paramètres!N40="",Dossiers!$D$34,MAX(IF(Paramètres!J40="",0,IF(Paramètres!K40="",NA(),IF(LEFT(TRIM(Paramètres!K40),1)="F",INDEX($F$1625:$F$1677,MATCH(Paramètres!J40,Paramètres!$G$5:$G$57,0)),INDEX($E$1625:$E$1677,MATCH(Paramètres!J40,Paramètres!$G$5:$G$57,0)))+IF(RIGHT(TRIM(Paramètres!K40),3)="Fin",1-$H1660,IF(LEFT(TRIM(Paramètres!K40),1)="F",1,0)))),IF(Paramètres!L40="",0,IF(Paramètres!M40="",NA(),IF(LEFT(TRIM(Paramètres!M40),1)="F",INDEX($F$1625:$F$1677,MATCH(Paramètres!L40,Paramètres!$G$5:$G$57,0)),INDEX($E$1625:$E$1677,MATCH(Paramètres!L40,Paramètres!$G$5:$G$57,0)))+IF(RIGHT(TRIM(Paramètres!M40),3)="Fin",1-$H1660,IF(LEFT(TRIM(Paramètres!M40),1)="F",1,0)))),IF(Paramètres!N40="",0,IF(Paramètres!O40="",NA(),IF(LEFT(TRIM(Paramètres!O40),1)="F",INDEX($F$1625:$F$1677,MATCH(Paramètres!N40,Paramètres!$G$5:$G$57,0)),INDEX($E$1625:$E$1677,MATCH(Paramètres!N40,Paramètres!$G$5:$G$57,0)))+IF(RIGHT(TRIM(Paramètres!O40),3)="Fin",1-$H1660,IF(LEFT(TRIM(Paramètres!O40),1)="F",1,0)))))))</f>
        <v/>
      </c>
      <c r="F1660" s="19">
        <f>IF($A1660="","",E1660+$H1660-1)</f>
        <v/>
      </c>
      <c r="G1660" s="18" t="n"/>
      <c r="H1660" s="18">
        <f>IF($A1660="","",IF(I1660&lt;&gt;"",I1660,Paramètres!B40))</f>
        <v/>
      </c>
      <c r="I1660" s="18" t="n"/>
    </row>
    <row r="1661">
      <c r="A1661" s="18">
        <f>IF(ISNUMBER(Dossiers!$D$34),Dossiers!$A$34&amp;" · "&amp;Dossiers!$B$34,"")</f>
        <v/>
      </c>
      <c r="B1661" s="18">
        <f>IF($A1661="","",Paramètres!G41)</f>
        <v/>
      </c>
      <c r="C1661" s="18">
        <f>IF($A1661="","",IF(Paramètres!H41="","",Paramètres!H41))</f>
        <v/>
      </c>
      <c r="D1661" s="18">
        <f>IF($A1661="","",IF(Paramètres!I41="","",Paramètres!I41))</f>
        <v/>
      </c>
      <c r="E1661" s="19">
        <f>IF($A1661="","",IF(Paramètres!J41&amp;Paramètres!L41&amp;Paramètres!N41="",Dossiers!$D$34,MAX(IF(Paramètres!J41="",0,IF(Paramètres!K41="",NA(),IF(LEFT(TRIM(Paramètres!K41),1)="F",INDEX($F$1625:$F$1677,MATCH(Paramètres!J41,Paramètres!$G$5:$G$57,0)),INDEX($E$1625:$E$1677,MATCH(Paramètres!J41,Paramètres!$G$5:$G$57,0)))+IF(RIGHT(TRIM(Paramètres!K41),3)="Fin",1-$H1661,IF(LEFT(TRIM(Paramètres!K41),1)="F",1,0)))),IF(Paramètres!L41="",0,IF(Paramètres!M41="",NA(),IF(LEFT(TRIM(Paramètres!M41),1)="F",INDEX($F$1625:$F$1677,MATCH(Paramètres!L41,Paramètres!$G$5:$G$57,0)),INDEX($E$1625:$E$1677,MATCH(Paramètres!L41,Paramètres!$G$5:$G$57,0)))+IF(RIGHT(TRIM(Paramètres!M41),3)="Fin",1-$H1661,IF(LEFT(TRIM(Paramètres!M41),1)="F",1,0)))),IF(Paramètres!N41="",0,IF(Paramètres!O41="",NA(),IF(LEFT(TRIM(Paramètres!O41),1)="F",INDEX($F$1625:$F$1677,MATCH(Paramètres!N41,Paramètres!$G$5:$G$57,0)),INDEX($E$1625:$E$1677,MATCH(Paramètres!N41,Paramètres!$G$5:$G$57,0)))+IF(RIGHT(TRIM(Paramètres!O41),3)="Fin",1-$H1661,IF(LEFT(TRIM(Paramètres!O41),1)="F",1,0)))))))</f>
        <v/>
      </c>
      <c r="F1661" s="19">
        <f>IF($A1661="","",E1661+$H1661-1)</f>
        <v/>
      </c>
      <c r="G1661" s="18" t="n"/>
      <c r="H1661" s="18">
        <f>IF($A1661="","",IF(I1661&lt;&gt;"",I1661,Paramètres!B41))</f>
        <v/>
      </c>
      <c r="I1661" s="18" t="n"/>
    </row>
    <row r="1662">
      <c r="A1662" s="18">
        <f>IF(ISNUMBER(Dossiers!$D$34),Dossiers!$A$34&amp;" · "&amp;Dossiers!$B$34,"")</f>
        <v/>
      </c>
      <c r="B1662" s="18">
        <f>IF($A1662="","",Paramètres!G42)</f>
        <v/>
      </c>
      <c r="C1662" s="18">
        <f>IF($A1662="","",IF(Paramètres!H42="","",Paramètres!H42))</f>
        <v/>
      </c>
      <c r="D1662" s="18">
        <f>IF($A1662="","",IF(Paramètres!I42="","",Paramètres!I42))</f>
        <v/>
      </c>
      <c r="E1662" s="19">
        <f>IF($A1662="","",IF(Paramètres!J42&amp;Paramètres!L42&amp;Paramètres!N42="",Dossiers!$D$34,MAX(IF(Paramètres!J42="",0,IF(Paramètres!K42="",NA(),IF(LEFT(TRIM(Paramètres!K42),1)="F",INDEX($F$1625:$F$1677,MATCH(Paramètres!J42,Paramètres!$G$5:$G$57,0)),INDEX($E$1625:$E$1677,MATCH(Paramètres!J42,Paramètres!$G$5:$G$57,0)))+IF(RIGHT(TRIM(Paramètres!K42),3)="Fin",1-$H1662,IF(LEFT(TRIM(Paramètres!K42),1)="F",1,0)))),IF(Paramètres!L42="",0,IF(Paramètres!M42="",NA(),IF(LEFT(TRIM(Paramètres!M42),1)="F",INDEX($F$1625:$F$1677,MATCH(Paramètres!L42,Paramètres!$G$5:$G$57,0)),INDEX($E$1625:$E$1677,MATCH(Paramètres!L42,Paramètres!$G$5:$G$57,0)))+IF(RIGHT(TRIM(Paramètres!M42),3)="Fin",1-$H1662,IF(LEFT(TRIM(Paramètres!M42),1)="F",1,0)))),IF(Paramètres!N42="",0,IF(Paramètres!O42="",NA(),IF(LEFT(TRIM(Paramètres!O42),1)="F",INDEX($F$1625:$F$1677,MATCH(Paramètres!N42,Paramètres!$G$5:$G$57,0)),INDEX($E$1625:$E$1677,MATCH(Paramètres!N42,Paramètres!$G$5:$G$57,0)))+IF(RIGHT(TRIM(Paramètres!O42),3)="Fin",1-$H1662,IF(LEFT(TRIM(Paramètres!O42),1)="F",1,0)))))))</f>
        <v/>
      </c>
      <c r="F1662" s="19">
        <f>IF($A1662="","",E1662+$H1662-1)</f>
        <v/>
      </c>
      <c r="G1662" s="18" t="n"/>
      <c r="H1662" s="18">
        <f>IF($A1662="","",IF(I1662&lt;&gt;"",I1662,Paramètres!B42))</f>
        <v/>
      </c>
      <c r="I1662" s="18" t="n"/>
    </row>
    <row r="1663">
      <c r="A1663" s="18">
        <f>IF(ISNUMBER(Dossiers!$D$34),Dossiers!$A$34&amp;" · "&amp;Dossiers!$B$34,"")</f>
        <v/>
      </c>
      <c r="B1663" s="18">
        <f>IF($A1663="","",Paramètres!G43)</f>
        <v/>
      </c>
      <c r="C1663" s="18">
        <f>IF($A1663="","",IF(Paramètres!H43="","",Paramètres!H43))</f>
        <v/>
      </c>
      <c r="D1663" s="18">
        <f>IF($A1663="","",IF(Paramètres!I43="","",Paramètres!I43))</f>
        <v/>
      </c>
      <c r="E1663" s="19">
        <f>IF($A1663="","",IF(Paramètres!J43&amp;Paramètres!L43&amp;Paramètres!N43="",Dossiers!$D$34,MAX(IF(Paramètres!J43="",0,IF(Paramètres!K43="",NA(),IF(LEFT(TRIM(Paramètres!K43),1)="F",INDEX($F$1625:$F$1677,MATCH(Paramètres!J43,Paramètres!$G$5:$G$57,0)),INDEX($E$1625:$E$1677,MATCH(Paramètres!J43,Paramètres!$G$5:$G$57,0)))+IF(RIGHT(TRIM(Paramètres!K43),3)="Fin",1-$H1663,IF(LEFT(TRIM(Paramètres!K43),1)="F",1,0)))),IF(Paramètres!L43="",0,IF(Paramètres!M43="",NA(),IF(LEFT(TRIM(Paramètres!M43),1)="F",INDEX($F$1625:$F$1677,MATCH(Paramètres!L43,Paramètres!$G$5:$G$57,0)),INDEX($E$1625:$E$1677,MATCH(Paramètres!L43,Paramètres!$G$5:$G$57,0)))+IF(RIGHT(TRIM(Paramètres!M43),3)="Fin",1-$H1663,IF(LEFT(TRIM(Paramètres!M43),1)="F",1,0)))),IF(Paramètres!N43="",0,IF(Paramètres!O43="",NA(),IF(LEFT(TRIM(Paramètres!O43),1)="F",INDEX($F$1625:$F$1677,MATCH(Paramètres!N43,Paramètres!$G$5:$G$57,0)),INDEX($E$1625:$E$1677,MATCH(Paramètres!N43,Paramètres!$G$5:$G$57,0)))+IF(RIGHT(TRIM(Paramètres!O43),3)="Fin",1-$H1663,IF(LEFT(TRIM(Paramètres!O43),1)="F",1,0)))))))</f>
        <v/>
      </c>
      <c r="F1663" s="19">
        <f>IF($A1663="","",E1663+$H1663-1)</f>
        <v/>
      </c>
      <c r="G1663" s="18" t="n"/>
      <c r="H1663" s="18">
        <f>IF($A1663="","",IF(I1663&lt;&gt;"",I1663,Paramètres!B43))</f>
        <v/>
      </c>
      <c r="I1663" s="18" t="n"/>
    </row>
    <row r="1664">
      <c r="A1664" s="18">
        <f>IF(ISNUMBER(Dossiers!$D$34),Dossiers!$A$34&amp;" · "&amp;Dossiers!$B$34,"")</f>
        <v/>
      </c>
      <c r="B1664" s="18">
        <f>IF($A1664="","",Paramètres!G44)</f>
        <v/>
      </c>
      <c r="C1664" s="18">
        <f>IF($A1664="","",IF(Paramètres!H44="","",Paramètres!H44))</f>
        <v/>
      </c>
      <c r="D1664" s="18">
        <f>IF($A1664="","",IF(Paramètres!I44="","",Paramètres!I44))</f>
        <v/>
      </c>
      <c r="E1664" s="19">
        <f>IF($A1664="","",IF(Paramètres!J44&amp;Paramètres!L44&amp;Paramètres!N44="",Dossiers!$D$34,MAX(IF(Paramètres!J44="",0,IF(Paramètres!K44="",NA(),IF(LEFT(TRIM(Paramètres!K44),1)="F",INDEX($F$1625:$F$1677,MATCH(Paramètres!J44,Paramètres!$G$5:$G$57,0)),INDEX($E$1625:$E$1677,MATCH(Paramètres!J44,Paramètres!$G$5:$G$57,0)))+IF(RIGHT(TRIM(Paramètres!K44),3)="Fin",1-$H1664,IF(LEFT(TRIM(Paramètres!K44),1)="F",1,0)))),IF(Paramètres!L44="",0,IF(Paramètres!M44="",NA(),IF(LEFT(TRIM(Paramètres!M44),1)="F",INDEX($F$1625:$F$1677,MATCH(Paramètres!L44,Paramètres!$G$5:$G$57,0)),INDEX($E$1625:$E$1677,MATCH(Paramètres!L44,Paramètres!$G$5:$G$57,0)))+IF(RIGHT(TRIM(Paramètres!M44),3)="Fin",1-$H1664,IF(LEFT(TRIM(Paramètres!M44),1)="F",1,0)))),IF(Paramètres!N44="",0,IF(Paramètres!O44="",NA(),IF(LEFT(TRIM(Paramètres!O44),1)="F",INDEX($F$1625:$F$1677,MATCH(Paramètres!N44,Paramètres!$G$5:$G$57,0)),INDEX($E$1625:$E$1677,MATCH(Paramètres!N44,Paramètres!$G$5:$G$57,0)))+IF(RIGHT(TRIM(Paramètres!O44),3)="Fin",1-$H1664,IF(LEFT(TRIM(Paramètres!O44),1)="F",1,0)))))))</f>
        <v/>
      </c>
      <c r="F1664" s="19">
        <f>IF($A1664="","",E1664+$H1664-1)</f>
        <v/>
      </c>
      <c r="G1664" s="18" t="n"/>
      <c r="H1664" s="18">
        <f>IF($A1664="","",IF(I1664&lt;&gt;"",I1664,Paramètres!B44))</f>
        <v/>
      </c>
      <c r="I1664" s="18" t="n"/>
    </row>
    <row r="1665">
      <c r="A1665" s="18">
        <f>IF(ISNUMBER(Dossiers!$D$34),Dossiers!$A$34&amp;" · "&amp;Dossiers!$B$34,"")</f>
        <v/>
      </c>
      <c r="B1665" s="18">
        <f>IF($A1665="","",Paramètres!G45)</f>
        <v/>
      </c>
      <c r="C1665" s="20">
        <f>IF($A1665="","",IF(Dossiers!$G$34="","",Dossiers!$G$34))</f>
        <v/>
      </c>
      <c r="D1665" s="18">
        <f>IF($A1665="","",IF(Paramètres!I45="","",Paramètres!I45))</f>
        <v/>
      </c>
      <c r="E1665" s="19">
        <f>IF($A1665="","",IF(Paramètres!J45&amp;Paramètres!L45&amp;Paramètres!N45="",Dossiers!$D$34,MAX(IF(Paramètres!J45="",0,IF(Paramètres!K45="",NA(),IF(LEFT(TRIM(Paramètres!K45),1)="F",INDEX($F$1625:$F$1677,MATCH(Paramètres!J45,Paramètres!$G$5:$G$57,0)),INDEX($E$1625:$E$1677,MATCH(Paramètres!J45,Paramètres!$G$5:$G$57,0)))+IF(RIGHT(TRIM(Paramètres!K45),3)="Fin",1-$H1665,IF(LEFT(TRIM(Paramètres!K45),1)="F",1,0)))),IF(Paramètres!L45="",0,IF(Paramètres!M45="",NA(),IF(LEFT(TRIM(Paramètres!M45),1)="F",INDEX($F$1625:$F$1677,MATCH(Paramètres!L45,Paramètres!$G$5:$G$57,0)),INDEX($E$1625:$E$1677,MATCH(Paramètres!L45,Paramètres!$G$5:$G$57,0)))+IF(RIGHT(TRIM(Paramètres!M45),3)="Fin",1-$H1665,IF(LEFT(TRIM(Paramètres!M45),1)="F",1,0)))),IF(Paramètres!N45="",0,IF(Paramètres!O45="",NA(),IF(LEFT(TRIM(Paramètres!O45),1)="F",INDEX($F$1625:$F$1677,MATCH(Paramètres!N45,Paramètres!$G$5:$G$57,0)),INDEX($E$1625:$E$1677,MATCH(Paramètres!N45,Paramètres!$G$5:$G$57,0)))+IF(RIGHT(TRIM(Paramètres!O45),3)="Fin",1-$H1665,IF(LEFT(TRIM(Paramètres!O45),1)="F",1,0)))))))</f>
        <v/>
      </c>
      <c r="F1665" s="19">
        <f>IF($A1665="","",E1665+$H1665-1)</f>
        <v/>
      </c>
      <c r="G1665" s="18" t="n"/>
      <c r="H1665" s="18">
        <f>IF($A1665="","",IF(I1665&lt;&gt;"",I1665,Paramètres!B45))</f>
        <v/>
      </c>
      <c r="I1665" s="18" t="n"/>
    </row>
    <row r="1666">
      <c r="A1666" s="18">
        <f>IF(ISNUMBER(Dossiers!$D$34),Dossiers!$A$34&amp;" · "&amp;Dossiers!$B$34,"")</f>
        <v/>
      </c>
      <c r="B1666" s="18">
        <f>IF($A1666="","",Paramètres!G46)</f>
        <v/>
      </c>
      <c r="C1666" s="18">
        <f>IF($A1666="","",IF(Paramètres!H46="","",Paramètres!H46))</f>
        <v/>
      </c>
      <c r="D1666" s="18">
        <f>IF($A1666="","",IF(Paramètres!I46="","",Paramètres!I46))</f>
        <v/>
      </c>
      <c r="E1666" s="19">
        <f>IF($A1666="","",IF(Paramètres!J46&amp;Paramètres!L46&amp;Paramètres!N46="",Dossiers!$D$34,MAX(IF(Paramètres!J46="",0,IF(Paramètres!K46="",NA(),IF(LEFT(TRIM(Paramètres!K46),1)="F",INDEX($F$1625:$F$1677,MATCH(Paramètres!J46,Paramètres!$G$5:$G$57,0)),INDEX($E$1625:$E$1677,MATCH(Paramètres!J46,Paramètres!$G$5:$G$57,0)))+IF(RIGHT(TRIM(Paramètres!K46),3)="Fin",1-$H1666,IF(LEFT(TRIM(Paramètres!K46),1)="F",1,0)))),IF(Paramètres!L46="",0,IF(Paramètres!M46="",NA(),IF(LEFT(TRIM(Paramètres!M46),1)="F",INDEX($F$1625:$F$1677,MATCH(Paramètres!L46,Paramètres!$G$5:$G$57,0)),INDEX($E$1625:$E$1677,MATCH(Paramètres!L46,Paramètres!$G$5:$G$57,0)))+IF(RIGHT(TRIM(Paramètres!M46),3)="Fin",1-$H1666,IF(LEFT(TRIM(Paramètres!M46),1)="F",1,0)))),IF(Paramètres!N46="",0,IF(Paramètres!O46="",NA(),IF(LEFT(TRIM(Paramètres!O46),1)="F",INDEX($F$1625:$F$1677,MATCH(Paramètres!N46,Paramètres!$G$5:$G$57,0)),INDEX($E$1625:$E$1677,MATCH(Paramètres!N46,Paramètres!$G$5:$G$57,0)))+IF(RIGHT(TRIM(Paramètres!O46),3)="Fin",1-$H1666,IF(LEFT(TRIM(Paramètres!O46),1)="F",1,0)))))))</f>
        <v/>
      </c>
      <c r="F1666" s="19">
        <f>IF($A1666="","",E1666+$H1666-1)</f>
        <v/>
      </c>
      <c r="G1666" s="18" t="n"/>
      <c r="H1666" s="18">
        <f>IF($A1666="","",IF(I1666&lt;&gt;"",I1666,Paramètres!B46))</f>
        <v/>
      </c>
      <c r="I1666" s="18" t="n"/>
    </row>
    <row r="1667">
      <c r="A1667" s="18">
        <f>IF(ISNUMBER(Dossiers!$D$34),Dossiers!$A$34&amp;" · "&amp;Dossiers!$B$34,"")</f>
        <v/>
      </c>
      <c r="B1667" s="18">
        <f>IF($A1667="","",Paramètres!G47)</f>
        <v/>
      </c>
      <c r="C1667" s="18">
        <f>IF($A1667="","",IF(Paramètres!H47="","",Paramètres!H47))</f>
        <v/>
      </c>
      <c r="D1667" s="18">
        <f>IF($A1667="","",IF(Paramètres!I47="","",Paramètres!I47))</f>
        <v/>
      </c>
      <c r="E1667" s="19">
        <f>IF($A1667="","",IF(Paramètres!J47&amp;Paramètres!L47&amp;Paramètres!N47="",Dossiers!$D$34,MAX(IF(Paramètres!J47="",0,IF(Paramètres!K47="",NA(),IF(LEFT(TRIM(Paramètres!K47),1)="F",INDEX($F$1625:$F$1677,MATCH(Paramètres!J47,Paramètres!$G$5:$G$57,0)),INDEX($E$1625:$E$1677,MATCH(Paramètres!J47,Paramètres!$G$5:$G$57,0)))+IF(RIGHT(TRIM(Paramètres!K47),3)="Fin",1-$H1667,IF(LEFT(TRIM(Paramètres!K47),1)="F",1,0)))),IF(Paramètres!L47="",0,IF(Paramètres!M47="",NA(),IF(LEFT(TRIM(Paramètres!M47),1)="F",INDEX($F$1625:$F$1677,MATCH(Paramètres!L47,Paramètres!$G$5:$G$57,0)),INDEX($E$1625:$E$1677,MATCH(Paramètres!L47,Paramètres!$G$5:$G$57,0)))+IF(RIGHT(TRIM(Paramètres!M47),3)="Fin",1-$H1667,IF(LEFT(TRIM(Paramètres!M47),1)="F",1,0)))),IF(Paramètres!N47="",0,IF(Paramètres!O47="",NA(),IF(LEFT(TRIM(Paramètres!O47),1)="F",INDEX($F$1625:$F$1677,MATCH(Paramètres!N47,Paramètres!$G$5:$G$57,0)),INDEX($E$1625:$E$1677,MATCH(Paramètres!N47,Paramètres!$G$5:$G$57,0)))+IF(RIGHT(TRIM(Paramètres!O47),3)="Fin",1-$H1667,IF(LEFT(TRIM(Paramètres!O47),1)="F",1,0)))))))</f>
        <v/>
      </c>
      <c r="F1667" s="19">
        <f>IF($A1667="","",E1667+$H1667-1)</f>
        <v/>
      </c>
      <c r="G1667" s="18" t="n"/>
      <c r="H1667" s="18">
        <f>IF($A1667="","",IF(I1667&lt;&gt;"",I1667,Paramètres!B47))</f>
        <v/>
      </c>
      <c r="I1667" s="18" t="n"/>
    </row>
    <row r="1668">
      <c r="A1668" s="18">
        <f>IF(ISNUMBER(Dossiers!$D$34),Dossiers!$A$34&amp;" · "&amp;Dossiers!$B$34,"")</f>
        <v/>
      </c>
      <c r="B1668" s="18">
        <f>IF($A1668="","",Paramètres!G48)</f>
        <v/>
      </c>
      <c r="C1668" s="18">
        <f>IF($A1668="","",IF(Paramètres!H48="","",Paramètres!H48))</f>
        <v/>
      </c>
      <c r="D1668" s="18">
        <f>IF($A1668="","",IF(Paramètres!I48="","",Paramètres!I48))</f>
        <v/>
      </c>
      <c r="E1668" s="19">
        <f>IF($A1668="","",IF(Paramètres!J48&amp;Paramètres!L48&amp;Paramètres!N48="",Dossiers!$D$34,MAX(IF(Paramètres!J48="",0,IF(Paramètres!K48="",NA(),IF(LEFT(TRIM(Paramètres!K48),1)="F",INDEX($F$1625:$F$1677,MATCH(Paramètres!J48,Paramètres!$G$5:$G$57,0)),INDEX($E$1625:$E$1677,MATCH(Paramètres!J48,Paramètres!$G$5:$G$57,0)))+IF(RIGHT(TRIM(Paramètres!K48),3)="Fin",1-$H1668,IF(LEFT(TRIM(Paramètres!K48),1)="F",1,0)))),IF(Paramètres!L48="",0,IF(Paramètres!M48="",NA(),IF(LEFT(TRIM(Paramètres!M48),1)="F",INDEX($F$1625:$F$1677,MATCH(Paramètres!L48,Paramètres!$G$5:$G$57,0)),INDEX($E$1625:$E$1677,MATCH(Paramètres!L48,Paramètres!$G$5:$G$57,0)))+IF(RIGHT(TRIM(Paramètres!M48),3)="Fin",1-$H1668,IF(LEFT(TRIM(Paramètres!M48),1)="F",1,0)))),IF(Paramètres!N48="",0,IF(Paramètres!O48="",NA(),IF(LEFT(TRIM(Paramètres!O48),1)="F",INDEX($F$1625:$F$1677,MATCH(Paramètres!N48,Paramètres!$G$5:$G$57,0)),INDEX($E$1625:$E$1677,MATCH(Paramètres!N48,Paramètres!$G$5:$G$57,0)))+IF(RIGHT(TRIM(Paramètres!O48),3)="Fin",1-$H1668,IF(LEFT(TRIM(Paramètres!O48),1)="F",1,0)))))))</f>
        <v/>
      </c>
      <c r="F1668" s="19">
        <f>IF($A1668="","",E1668+$H1668-1)</f>
        <v/>
      </c>
      <c r="G1668" s="18" t="n"/>
      <c r="H1668" s="18">
        <f>IF($A1668="","",IF(I1668&lt;&gt;"",I1668,Paramètres!B48))</f>
        <v/>
      </c>
      <c r="I1668" s="18" t="n"/>
    </row>
    <row r="1669">
      <c r="A1669" s="18">
        <f>IF(ISNUMBER(Dossiers!$D$34),Dossiers!$A$34&amp;" · "&amp;Dossiers!$B$34,"")</f>
        <v/>
      </c>
      <c r="B1669" s="18">
        <f>IF($A1669="","",Paramètres!G49)</f>
        <v/>
      </c>
      <c r="C1669" s="18">
        <f>IF($A1669="","",IF(Paramètres!H49="","",Paramètres!H49))</f>
        <v/>
      </c>
      <c r="D1669" s="18">
        <f>IF($A1669="","",IF(Paramètres!I49="","",Paramètres!I49))</f>
        <v/>
      </c>
      <c r="E1669" s="19">
        <f>IF($A1669="","",IF(Paramètres!J49&amp;Paramètres!L49&amp;Paramètres!N49="",Dossiers!$D$34,MAX(IF(Paramètres!J49="",0,IF(Paramètres!K49="",NA(),IF(LEFT(TRIM(Paramètres!K49),1)="F",INDEX($F$1625:$F$1677,MATCH(Paramètres!J49,Paramètres!$G$5:$G$57,0)),INDEX($E$1625:$E$1677,MATCH(Paramètres!J49,Paramètres!$G$5:$G$57,0)))+IF(RIGHT(TRIM(Paramètres!K49),3)="Fin",1-$H1669,IF(LEFT(TRIM(Paramètres!K49),1)="F",1,0)))),IF(Paramètres!L49="",0,IF(Paramètres!M49="",NA(),IF(LEFT(TRIM(Paramètres!M49),1)="F",INDEX($F$1625:$F$1677,MATCH(Paramètres!L49,Paramètres!$G$5:$G$57,0)),INDEX($E$1625:$E$1677,MATCH(Paramètres!L49,Paramètres!$G$5:$G$57,0)))+IF(RIGHT(TRIM(Paramètres!M49),3)="Fin",1-$H1669,IF(LEFT(TRIM(Paramètres!M49),1)="F",1,0)))),IF(Paramètres!N49="",0,IF(Paramètres!O49="",NA(),IF(LEFT(TRIM(Paramètres!O49),1)="F",INDEX($F$1625:$F$1677,MATCH(Paramètres!N49,Paramètres!$G$5:$G$57,0)),INDEX($E$1625:$E$1677,MATCH(Paramètres!N49,Paramètres!$G$5:$G$57,0)))+IF(RIGHT(TRIM(Paramètres!O49),3)="Fin",1-$H1669,IF(LEFT(TRIM(Paramètres!O49),1)="F",1,0)))))))</f>
        <v/>
      </c>
      <c r="F1669" s="19">
        <f>IF($A1669="","",E1669+$H1669-1)</f>
        <v/>
      </c>
      <c r="G1669" s="18" t="n"/>
      <c r="H1669" s="18">
        <f>IF($A1669="","",IF(I1669&lt;&gt;"",I1669,Paramètres!B49))</f>
        <v/>
      </c>
      <c r="I1669" s="18" t="n"/>
    </row>
    <row r="1670">
      <c r="A1670" s="18">
        <f>IF(ISNUMBER(Dossiers!$D$34),Dossiers!$A$34&amp;" · "&amp;Dossiers!$B$34,"")</f>
        <v/>
      </c>
      <c r="B1670" s="18">
        <f>IF($A1670="","",Paramètres!G50)</f>
        <v/>
      </c>
      <c r="C1670" s="18">
        <f>IF($A1670="","",IF(Paramètres!H50="","",Paramètres!H50))</f>
        <v/>
      </c>
      <c r="D1670" s="18">
        <f>IF($A1670="","",IF(Paramètres!I50="","",Paramètres!I50))</f>
        <v/>
      </c>
      <c r="E1670" s="19">
        <f>IF($A1670="","",IF(Paramètres!J50&amp;Paramètres!L50&amp;Paramètres!N50="",Dossiers!$D$34,MAX(IF(Paramètres!J50="",0,IF(Paramètres!K50="",NA(),IF(LEFT(TRIM(Paramètres!K50),1)="F",INDEX($F$1625:$F$1677,MATCH(Paramètres!J50,Paramètres!$G$5:$G$57,0)),INDEX($E$1625:$E$1677,MATCH(Paramètres!J50,Paramètres!$G$5:$G$57,0)))+IF(RIGHT(TRIM(Paramètres!K50),3)="Fin",1-$H1670,IF(LEFT(TRIM(Paramètres!K50),1)="F",1,0)))),IF(Paramètres!L50="",0,IF(Paramètres!M50="",NA(),IF(LEFT(TRIM(Paramètres!M50),1)="F",INDEX($F$1625:$F$1677,MATCH(Paramètres!L50,Paramètres!$G$5:$G$57,0)),INDEX($E$1625:$E$1677,MATCH(Paramètres!L50,Paramètres!$G$5:$G$57,0)))+IF(RIGHT(TRIM(Paramètres!M50),3)="Fin",1-$H1670,IF(LEFT(TRIM(Paramètres!M50),1)="F",1,0)))),IF(Paramètres!N50="",0,IF(Paramètres!O50="",NA(),IF(LEFT(TRIM(Paramètres!O50),1)="F",INDEX($F$1625:$F$1677,MATCH(Paramètres!N50,Paramètres!$G$5:$G$57,0)),INDEX($E$1625:$E$1677,MATCH(Paramètres!N50,Paramètres!$G$5:$G$57,0)))+IF(RIGHT(TRIM(Paramètres!O50),3)="Fin",1-$H1670,IF(LEFT(TRIM(Paramètres!O50),1)="F",1,0)))))))</f>
        <v/>
      </c>
      <c r="F1670" s="19">
        <f>IF($A1670="","",E1670+$H1670-1)</f>
        <v/>
      </c>
      <c r="G1670" s="18" t="n"/>
      <c r="H1670" s="18">
        <f>IF($A1670="","",IF(I1670&lt;&gt;"",I1670,Paramètres!B50))</f>
        <v/>
      </c>
      <c r="I1670" s="18" t="n"/>
    </row>
    <row r="1671">
      <c r="A1671" s="18">
        <f>IF(ISNUMBER(Dossiers!$D$34),Dossiers!$A$34&amp;" · "&amp;Dossiers!$B$34,"")</f>
        <v/>
      </c>
      <c r="B1671" s="18">
        <f>IF($A1671="","",Paramètres!G51)</f>
        <v/>
      </c>
      <c r="C1671" s="18">
        <f>IF($A1671="","",IF(Paramètres!H51="","",Paramètres!H51))</f>
        <v/>
      </c>
      <c r="D1671" s="18">
        <f>IF($A1671="","",IF(Paramètres!I51="","",Paramètres!I51))</f>
        <v/>
      </c>
      <c r="E1671" s="19">
        <f>IF($A1671="","",IF(Paramètres!J51&amp;Paramètres!L51&amp;Paramètres!N51="",Dossiers!$D$34,MAX(IF(Paramètres!J51="",0,IF(Paramètres!K51="",NA(),IF(LEFT(TRIM(Paramètres!K51),1)="F",INDEX($F$1625:$F$1677,MATCH(Paramètres!J51,Paramètres!$G$5:$G$57,0)),INDEX($E$1625:$E$1677,MATCH(Paramètres!J51,Paramètres!$G$5:$G$57,0)))+IF(RIGHT(TRIM(Paramètres!K51),3)="Fin",1-$H1671,IF(LEFT(TRIM(Paramètres!K51),1)="F",1,0)))),IF(Paramètres!L51="",0,IF(Paramètres!M51="",NA(),IF(LEFT(TRIM(Paramètres!M51),1)="F",INDEX($F$1625:$F$1677,MATCH(Paramètres!L51,Paramètres!$G$5:$G$57,0)),INDEX($E$1625:$E$1677,MATCH(Paramètres!L51,Paramètres!$G$5:$G$57,0)))+IF(RIGHT(TRIM(Paramètres!M51),3)="Fin",1-$H1671,IF(LEFT(TRIM(Paramètres!M51),1)="F",1,0)))),IF(Paramètres!N51="",0,IF(Paramètres!O51="",NA(),IF(LEFT(TRIM(Paramètres!O51),1)="F",INDEX($F$1625:$F$1677,MATCH(Paramètres!N51,Paramètres!$G$5:$G$57,0)),INDEX($E$1625:$E$1677,MATCH(Paramètres!N51,Paramètres!$G$5:$G$57,0)))+IF(RIGHT(TRIM(Paramètres!O51),3)="Fin",1-$H1671,IF(LEFT(TRIM(Paramètres!O51),1)="F",1,0)))))))</f>
        <v/>
      </c>
      <c r="F1671" s="19">
        <f>IF($A1671="","",E1671+$H1671-1)</f>
        <v/>
      </c>
      <c r="G1671" s="18" t="n"/>
      <c r="H1671" s="18">
        <f>IF($A1671="","",IF(I1671&lt;&gt;"",I1671,Paramètres!B51))</f>
        <v/>
      </c>
      <c r="I1671" s="18" t="n"/>
    </row>
    <row r="1672">
      <c r="A1672" s="18">
        <f>IF(ISNUMBER(Dossiers!$D$34),Dossiers!$A$34&amp;" · "&amp;Dossiers!$B$34,"")</f>
        <v/>
      </c>
      <c r="B1672" s="18">
        <f>IF($A1672="","",Paramètres!G52)</f>
        <v/>
      </c>
      <c r="C1672" s="18">
        <f>IF($A1672="","",IF(Paramètres!H52="","",Paramètres!H52))</f>
        <v/>
      </c>
      <c r="D1672" s="18">
        <f>IF($A1672="","",IF(Paramètres!I52="","",Paramètres!I52))</f>
        <v/>
      </c>
      <c r="E1672" s="19">
        <f>IF($A1672="","",IF(Paramètres!J52&amp;Paramètres!L52&amp;Paramètres!N52="",Dossiers!$D$34,MAX(IF(Paramètres!J52="",0,IF(Paramètres!K52="",NA(),IF(LEFT(TRIM(Paramètres!K52),1)="F",INDEX($F$1625:$F$1677,MATCH(Paramètres!J52,Paramètres!$G$5:$G$57,0)),INDEX($E$1625:$E$1677,MATCH(Paramètres!J52,Paramètres!$G$5:$G$57,0)))+IF(RIGHT(TRIM(Paramètres!K52),3)="Fin",1-$H1672,IF(LEFT(TRIM(Paramètres!K52),1)="F",1,0)))),IF(Paramètres!L52="",0,IF(Paramètres!M52="",NA(),IF(LEFT(TRIM(Paramètres!M52),1)="F",INDEX($F$1625:$F$1677,MATCH(Paramètres!L52,Paramètres!$G$5:$G$57,0)),INDEX($E$1625:$E$1677,MATCH(Paramètres!L52,Paramètres!$G$5:$G$57,0)))+IF(RIGHT(TRIM(Paramètres!M52),3)="Fin",1-$H1672,IF(LEFT(TRIM(Paramètres!M52),1)="F",1,0)))),IF(Paramètres!N52="",0,IF(Paramètres!O52="",NA(),IF(LEFT(TRIM(Paramètres!O52),1)="F",INDEX($F$1625:$F$1677,MATCH(Paramètres!N52,Paramètres!$G$5:$G$57,0)),INDEX($E$1625:$E$1677,MATCH(Paramètres!N52,Paramètres!$G$5:$G$57,0)))+IF(RIGHT(TRIM(Paramètres!O52),3)="Fin",1-$H1672,IF(LEFT(TRIM(Paramètres!O52),1)="F",1,0)))))))</f>
        <v/>
      </c>
      <c r="F1672" s="19">
        <f>IF($A1672="","",E1672+$H1672-1)</f>
        <v/>
      </c>
      <c r="G1672" s="18" t="n"/>
      <c r="H1672" s="18">
        <f>IF($A1672="","",IF(I1672&lt;&gt;"",I1672,Paramètres!B52))</f>
        <v/>
      </c>
      <c r="I1672" s="18" t="n"/>
    </row>
    <row r="1673">
      <c r="A1673" s="18">
        <f>IF(ISNUMBER(Dossiers!$D$34),Dossiers!$A$34&amp;" · "&amp;Dossiers!$B$34,"")</f>
        <v/>
      </c>
      <c r="B1673" s="18">
        <f>IF($A1673="","",Paramètres!G53)</f>
        <v/>
      </c>
      <c r="C1673" s="18">
        <f>IF($A1673="","",IF(Paramètres!H53="","",Paramètres!H53))</f>
        <v/>
      </c>
      <c r="D1673" s="18">
        <f>IF($A1673="","",IF(Paramètres!I53="","",Paramètres!I53))</f>
        <v/>
      </c>
      <c r="E1673" s="19">
        <f>IF($A1673="","",IF(Paramètres!J53&amp;Paramètres!L53&amp;Paramètres!N53="",Dossiers!$D$34,MAX(IF(Paramètres!J53="",0,IF(Paramètres!K53="",NA(),IF(LEFT(TRIM(Paramètres!K53),1)="F",INDEX($F$1625:$F$1677,MATCH(Paramètres!J53,Paramètres!$G$5:$G$57,0)),INDEX($E$1625:$E$1677,MATCH(Paramètres!J53,Paramètres!$G$5:$G$57,0)))+IF(RIGHT(TRIM(Paramètres!K53),3)="Fin",1-$H1673,IF(LEFT(TRIM(Paramètres!K53),1)="F",1,0)))),IF(Paramètres!L53="",0,IF(Paramètres!M53="",NA(),IF(LEFT(TRIM(Paramètres!M53),1)="F",INDEX($F$1625:$F$1677,MATCH(Paramètres!L53,Paramètres!$G$5:$G$57,0)),INDEX($E$1625:$E$1677,MATCH(Paramètres!L53,Paramètres!$G$5:$G$57,0)))+IF(RIGHT(TRIM(Paramètres!M53),3)="Fin",1-$H1673,IF(LEFT(TRIM(Paramètres!M53),1)="F",1,0)))),IF(Paramètres!N53="",0,IF(Paramètres!O53="",NA(),IF(LEFT(TRIM(Paramètres!O53),1)="F",INDEX($F$1625:$F$1677,MATCH(Paramètres!N53,Paramètres!$G$5:$G$57,0)),INDEX($E$1625:$E$1677,MATCH(Paramètres!N53,Paramètres!$G$5:$G$57,0)))+IF(RIGHT(TRIM(Paramètres!O53),3)="Fin",1-$H1673,IF(LEFT(TRIM(Paramètres!O53),1)="F",1,0)))))))</f>
        <v/>
      </c>
      <c r="F1673" s="19">
        <f>IF($A1673="","",E1673+$H1673-1)</f>
        <v/>
      </c>
      <c r="G1673" s="18" t="n"/>
      <c r="H1673" s="18">
        <f>IF($A1673="","",IF(I1673&lt;&gt;"",I1673,Paramètres!B53))</f>
        <v/>
      </c>
      <c r="I1673" s="18" t="n"/>
    </row>
    <row r="1674">
      <c r="A1674" s="18">
        <f>IF(ISNUMBER(Dossiers!$D$34),Dossiers!$A$34&amp;" · "&amp;Dossiers!$B$34,"")</f>
        <v/>
      </c>
      <c r="B1674" s="18">
        <f>IF($A1674="","",Paramètres!G54)</f>
        <v/>
      </c>
      <c r="C1674" s="18">
        <f>IF($A1674="","",IF(Paramètres!H54="","",Paramètres!H54))</f>
        <v/>
      </c>
      <c r="D1674" s="18">
        <f>IF($A1674="","",IF(Paramètres!I54="","",Paramètres!I54))</f>
        <v/>
      </c>
      <c r="E1674" s="19">
        <f>IF($A1674="","",IF(Paramètres!J54&amp;Paramètres!L54&amp;Paramètres!N54="",Dossiers!$D$34,MAX(IF(Paramètres!J54="",0,IF(Paramètres!K54="",NA(),IF(LEFT(TRIM(Paramètres!K54),1)="F",INDEX($F$1625:$F$1677,MATCH(Paramètres!J54,Paramètres!$G$5:$G$57,0)),INDEX($E$1625:$E$1677,MATCH(Paramètres!J54,Paramètres!$G$5:$G$57,0)))+IF(RIGHT(TRIM(Paramètres!K54),3)="Fin",1-$H1674,IF(LEFT(TRIM(Paramètres!K54),1)="F",1,0)))),IF(Paramètres!L54="",0,IF(Paramètres!M54="",NA(),IF(LEFT(TRIM(Paramètres!M54),1)="F",INDEX($F$1625:$F$1677,MATCH(Paramètres!L54,Paramètres!$G$5:$G$57,0)),INDEX($E$1625:$E$1677,MATCH(Paramètres!L54,Paramètres!$G$5:$G$57,0)))+IF(RIGHT(TRIM(Paramètres!M54),3)="Fin",1-$H1674,IF(LEFT(TRIM(Paramètres!M54),1)="F",1,0)))),IF(Paramètres!N54="",0,IF(Paramètres!O54="",NA(),IF(LEFT(TRIM(Paramètres!O54),1)="F",INDEX($F$1625:$F$1677,MATCH(Paramètres!N54,Paramètres!$G$5:$G$57,0)),INDEX($E$1625:$E$1677,MATCH(Paramètres!N54,Paramètres!$G$5:$G$57,0)))+IF(RIGHT(TRIM(Paramètres!O54),3)="Fin",1-$H1674,IF(LEFT(TRIM(Paramètres!O54),1)="F",1,0)))))))</f>
        <v/>
      </c>
      <c r="F1674" s="19">
        <f>IF($A1674="","",E1674+$H1674-1)</f>
        <v/>
      </c>
      <c r="G1674" s="18" t="n"/>
      <c r="H1674" s="18">
        <f>IF($A1674="","",IF(I1674&lt;&gt;"",I1674,Paramètres!B54))</f>
        <v/>
      </c>
      <c r="I1674" s="18" t="n"/>
    </row>
    <row r="1675">
      <c r="A1675" s="18">
        <f>IF(ISNUMBER(Dossiers!$D$34),Dossiers!$A$34&amp;" · "&amp;Dossiers!$B$34,"")</f>
        <v/>
      </c>
      <c r="B1675" s="18">
        <f>IF($A1675="","",Paramètres!G55)</f>
        <v/>
      </c>
      <c r="C1675" s="18">
        <f>IF($A1675="","",IF(Paramètres!H55="","",Paramètres!H55))</f>
        <v/>
      </c>
      <c r="D1675" s="18">
        <f>IF($A1675="","",IF(Paramètres!I55="","",Paramètres!I55))</f>
        <v/>
      </c>
      <c r="E1675" s="19">
        <f>IF($A1675="","",IF(Paramètres!J55&amp;Paramètres!L55&amp;Paramètres!N55="",Dossiers!$D$34,MAX(IF(Paramètres!J55="",0,IF(Paramètres!K55="",NA(),IF(LEFT(TRIM(Paramètres!K55),1)="F",INDEX($F$1625:$F$1677,MATCH(Paramètres!J55,Paramètres!$G$5:$G$57,0)),INDEX($E$1625:$E$1677,MATCH(Paramètres!J55,Paramètres!$G$5:$G$57,0)))+IF(RIGHT(TRIM(Paramètres!K55),3)="Fin",1-$H1675,IF(LEFT(TRIM(Paramètres!K55),1)="F",1,0)))),IF(Paramètres!L55="",0,IF(Paramètres!M55="",NA(),IF(LEFT(TRIM(Paramètres!M55),1)="F",INDEX($F$1625:$F$1677,MATCH(Paramètres!L55,Paramètres!$G$5:$G$57,0)),INDEX($E$1625:$E$1677,MATCH(Paramètres!L55,Paramètres!$G$5:$G$57,0)))+IF(RIGHT(TRIM(Paramètres!M55),3)="Fin",1-$H1675,IF(LEFT(TRIM(Paramètres!M55),1)="F",1,0)))),IF(Paramètres!N55="",0,IF(Paramètres!O55="",NA(),IF(LEFT(TRIM(Paramètres!O55),1)="F",INDEX($F$1625:$F$1677,MATCH(Paramètres!N55,Paramètres!$G$5:$G$57,0)),INDEX($E$1625:$E$1677,MATCH(Paramètres!N55,Paramètres!$G$5:$G$57,0)))+IF(RIGHT(TRIM(Paramètres!O55),3)="Fin",1-$H1675,IF(LEFT(TRIM(Paramètres!O55),1)="F",1,0)))))))</f>
        <v/>
      </c>
      <c r="F1675" s="19">
        <f>IF($A1675="","",E1675+$H1675-1)</f>
        <v/>
      </c>
      <c r="G1675" s="18" t="n"/>
      <c r="H1675" s="18">
        <f>IF($A1675="","",IF(I1675&lt;&gt;"",I1675,Paramètres!B55))</f>
        <v/>
      </c>
      <c r="I1675" s="18" t="n"/>
    </row>
    <row r="1676">
      <c r="A1676" s="18">
        <f>IF(ISNUMBER(Dossiers!$D$34),Dossiers!$A$34&amp;" · "&amp;Dossiers!$B$34,"")</f>
        <v/>
      </c>
      <c r="B1676" s="18">
        <f>IF($A1676="","",Paramètres!G56)</f>
        <v/>
      </c>
      <c r="C1676" s="18">
        <f>IF($A1676="","",IF(Paramètres!H56="","",Paramètres!H56))</f>
        <v/>
      </c>
      <c r="D1676" s="18">
        <f>IF($A1676="","",IF(Paramètres!I56="","",Paramètres!I56))</f>
        <v/>
      </c>
      <c r="E1676" s="19">
        <f>IF($A1676="","",MIN(E1677:E1677))</f>
        <v/>
      </c>
      <c r="F1676" s="19">
        <f>IF($A1676="","",MAX(F1677:F1677))</f>
        <v/>
      </c>
      <c r="G1676" s="18" t="n"/>
      <c r="H1676" s="18">
        <f>IF($A1676="","",F1676-E1676+1)</f>
        <v/>
      </c>
      <c r="I1676" s="18" t="n"/>
    </row>
    <row r="1677">
      <c r="A1677" s="18">
        <f>IF(ISNUMBER(Dossiers!$D$34),Dossiers!$A$34&amp;" · "&amp;Dossiers!$B$34,"")</f>
        <v/>
      </c>
      <c r="B1677" s="18">
        <f>IF($A1677="","",Paramètres!G57)</f>
        <v/>
      </c>
      <c r="C1677" s="18">
        <f>IF($A1677="","",IF(Paramètres!H57="","",Paramètres!H57))</f>
        <v/>
      </c>
      <c r="D1677" s="18">
        <f>IF($A1677="","",IF(Paramètres!I57="","",Paramètres!I57))</f>
        <v/>
      </c>
      <c r="E1677" s="19">
        <f>IF($A1677="","",IF(Paramètres!J57&amp;Paramètres!L57&amp;Paramètres!N57="",Dossiers!$D$34,MAX(IF(Paramètres!J57="",0,IF(Paramètres!K57="",NA(),IF(LEFT(TRIM(Paramètres!K57),1)="F",INDEX($F$1625:$F$1677,MATCH(Paramètres!J57,Paramètres!$G$5:$G$57,0)),INDEX($E$1625:$E$1677,MATCH(Paramètres!J57,Paramètres!$G$5:$G$57,0)))+IF(RIGHT(TRIM(Paramètres!K57),3)="Fin",1-$H1677,IF(LEFT(TRIM(Paramètres!K57),1)="F",1,0)))),IF(Paramètres!L57="",0,IF(Paramètres!M57="",NA(),IF(LEFT(TRIM(Paramètres!M57),1)="F",INDEX($F$1625:$F$1677,MATCH(Paramètres!L57,Paramètres!$G$5:$G$57,0)),INDEX($E$1625:$E$1677,MATCH(Paramètres!L57,Paramètres!$G$5:$G$57,0)))+IF(RIGHT(TRIM(Paramètres!M57),3)="Fin",1-$H1677,IF(LEFT(TRIM(Paramètres!M57),1)="F",1,0)))),IF(Paramètres!N57="",0,IF(Paramètres!O57="",NA(),IF(LEFT(TRIM(Paramètres!O57),1)="F",INDEX($F$1625:$F$1677,MATCH(Paramètres!N57,Paramètres!$G$5:$G$57,0)),INDEX($E$1625:$E$1677,MATCH(Paramètres!N57,Paramètres!$G$5:$G$57,0)))+IF(RIGHT(TRIM(Paramètres!O57),3)="Fin",1-$H1677,IF(LEFT(TRIM(Paramètres!O57),1)="F",1,0)))))))</f>
        <v/>
      </c>
      <c r="F1677" s="19">
        <f>IF($A1677="","",E1677+$H1677-1)</f>
        <v/>
      </c>
      <c r="G1677" s="18" t="n"/>
      <c r="H1677" s="18">
        <f>IF($A1677="","",IF(I1677&lt;&gt;"",I1677,Paramètres!B57))</f>
        <v/>
      </c>
      <c r="I1677" s="18" t="n"/>
    </row>
    <row r="1678">
      <c r="A1678" s="16">
        <f>IF(ISNUMBER(Dossiers!$D$35),Dossiers!$E$35,"")</f>
        <v/>
      </c>
      <c r="B1678" s="16">
        <f>IF($A1678="","","Identifiant")</f>
        <v/>
      </c>
      <c r="C1678" s="16">
        <f>IF($A1678="","","Macro Etape")</f>
        <v/>
      </c>
      <c r="D1678" s="16">
        <f>IF($A1678="","","Etape")</f>
        <v/>
      </c>
      <c r="E1678" s="17">
        <f>IF($A1678="","","Début le")</f>
        <v/>
      </c>
      <c r="F1678" s="17">
        <f>IF($A1678="","","Fin prévue le")</f>
        <v/>
      </c>
      <c r="G1678" s="16">
        <f>IF($A1678="","","Statut")</f>
        <v/>
      </c>
      <c r="H1678" s="16">
        <f>IF($A1678="","","Durée (jours)")</f>
        <v/>
      </c>
      <c r="I1678" s="16">
        <f>IF($A1678="","","Durée particulière")</f>
        <v/>
      </c>
      <c r="J1678" s="10">
        <f>IF($A1678="","",HYPERLINK("#'Tableau de bord'!A1","↑ Tableau de bord"))</f>
        <v/>
      </c>
    </row>
    <row r="1679">
      <c r="A1679" s="18">
        <f>IF(ISNUMBER(Dossiers!$D$35),Dossiers!$A$35&amp;" · "&amp;Dossiers!$B$35,"")</f>
        <v/>
      </c>
      <c r="B1679" s="18">
        <f>IF($A1679="","",Paramètres!G5)</f>
        <v/>
      </c>
      <c r="C1679" s="18">
        <f>IF($A1679="","",IF(Paramètres!H5="","",Paramètres!H5))</f>
        <v/>
      </c>
      <c r="D1679" s="18">
        <f>IF($A1679="","",IF(Paramètres!I5="","",Paramètres!I5))</f>
        <v/>
      </c>
      <c r="E1679" s="19">
        <f>IF($A1679="","",MIN(E1680:E1683))</f>
        <v/>
      </c>
      <c r="F1679" s="19">
        <f>IF($A1679="","",MAX(F1680:F1683))</f>
        <v/>
      </c>
      <c r="G1679" s="18" t="n"/>
      <c r="H1679" s="18">
        <f>IF($A1679="","",F1679-E1679+1)</f>
        <v/>
      </c>
      <c r="I1679" s="18" t="n"/>
    </row>
    <row r="1680">
      <c r="A1680" s="18">
        <f>IF(ISNUMBER(Dossiers!$D$35),Dossiers!$A$35&amp;" · "&amp;Dossiers!$B$35,"")</f>
        <v/>
      </c>
      <c r="B1680" s="18">
        <f>IF($A1680="","",Paramètres!G6)</f>
        <v/>
      </c>
      <c r="C1680" s="18">
        <f>IF($A1680="","",IF(Paramètres!H6="","",Paramètres!H6))</f>
        <v/>
      </c>
      <c r="D1680" s="18">
        <f>IF($A1680="","",IF(Paramètres!I6="","",Paramètres!I6))</f>
        <v/>
      </c>
      <c r="E1680" s="19">
        <f>IF($A1680="","",IF(Paramètres!J6&amp;Paramètres!L6&amp;Paramètres!N6="",Dossiers!$D$35,MAX(IF(Paramètres!J6="",0,IF(Paramètres!K6="",NA(),IF(LEFT(TRIM(Paramètres!K6),1)="F",INDEX($F$1679:$F$1731,MATCH(Paramètres!J6,Paramètres!$G$5:$G$57,0)),INDEX($E$1679:$E$1731,MATCH(Paramètres!J6,Paramètres!$G$5:$G$57,0)))+IF(RIGHT(TRIM(Paramètres!K6),3)="Fin",1-$H1680,IF(LEFT(TRIM(Paramètres!K6),1)="F",1,0)))),IF(Paramètres!L6="",0,IF(Paramètres!M6="",NA(),IF(LEFT(TRIM(Paramètres!M6),1)="F",INDEX($F$1679:$F$1731,MATCH(Paramètres!L6,Paramètres!$G$5:$G$57,0)),INDEX($E$1679:$E$1731,MATCH(Paramètres!L6,Paramètres!$G$5:$G$57,0)))+IF(RIGHT(TRIM(Paramètres!M6),3)="Fin",1-$H1680,IF(LEFT(TRIM(Paramètres!M6),1)="F",1,0)))),IF(Paramètres!N6="",0,IF(Paramètres!O6="",NA(),IF(LEFT(TRIM(Paramètres!O6),1)="F",INDEX($F$1679:$F$1731,MATCH(Paramètres!N6,Paramètres!$G$5:$G$57,0)),INDEX($E$1679:$E$1731,MATCH(Paramètres!N6,Paramètres!$G$5:$G$57,0)))+IF(RIGHT(TRIM(Paramètres!O6),3)="Fin",1-$H1680,IF(LEFT(TRIM(Paramètres!O6),1)="F",1,0)))))))</f>
        <v/>
      </c>
      <c r="F1680" s="19">
        <f>IF($A1680="","",E1680+$H1680-1)</f>
        <v/>
      </c>
      <c r="G1680" s="18" t="n"/>
      <c r="H1680" s="18">
        <f>IF($A1680="","",IF(I1680&lt;&gt;"",I1680,Paramètres!B6))</f>
        <v/>
      </c>
      <c r="I1680" s="18" t="n"/>
    </row>
    <row r="1681">
      <c r="A1681" s="18">
        <f>IF(ISNUMBER(Dossiers!$D$35),Dossiers!$A$35&amp;" · "&amp;Dossiers!$B$35,"")</f>
        <v/>
      </c>
      <c r="B1681" s="18">
        <f>IF($A1681="","",Paramètres!G7)</f>
        <v/>
      </c>
      <c r="C1681" s="18">
        <f>IF($A1681="","",IF(Paramètres!H7="","",Paramètres!H7))</f>
        <v/>
      </c>
      <c r="D1681" s="18">
        <f>IF($A1681="","",IF(Paramètres!I7="","",Paramètres!I7))</f>
        <v/>
      </c>
      <c r="E1681" s="19">
        <f>IF($A1681="","",IF(Paramètres!J7&amp;Paramètres!L7&amp;Paramètres!N7="",Dossiers!$D$35,MAX(IF(Paramètres!J7="",0,IF(Paramètres!K7="",NA(),IF(LEFT(TRIM(Paramètres!K7),1)="F",INDEX($F$1679:$F$1731,MATCH(Paramètres!J7,Paramètres!$G$5:$G$57,0)),INDEX($E$1679:$E$1731,MATCH(Paramètres!J7,Paramètres!$G$5:$G$57,0)))+IF(RIGHT(TRIM(Paramètres!K7),3)="Fin",1-$H1681,IF(LEFT(TRIM(Paramètres!K7),1)="F",1,0)))),IF(Paramètres!L7="",0,IF(Paramètres!M7="",NA(),IF(LEFT(TRIM(Paramètres!M7),1)="F",INDEX($F$1679:$F$1731,MATCH(Paramètres!L7,Paramètres!$G$5:$G$57,0)),INDEX($E$1679:$E$1731,MATCH(Paramètres!L7,Paramètres!$G$5:$G$57,0)))+IF(RIGHT(TRIM(Paramètres!M7),3)="Fin",1-$H1681,IF(LEFT(TRIM(Paramètres!M7),1)="F",1,0)))),IF(Paramètres!N7="",0,IF(Paramètres!O7="",NA(),IF(LEFT(TRIM(Paramètres!O7),1)="F",INDEX($F$1679:$F$1731,MATCH(Paramètres!N7,Paramètres!$G$5:$G$57,0)),INDEX($E$1679:$E$1731,MATCH(Paramètres!N7,Paramètres!$G$5:$G$57,0)))+IF(RIGHT(TRIM(Paramètres!O7),3)="Fin",1-$H1681,IF(LEFT(TRIM(Paramètres!O7),1)="F",1,0)))))))</f>
        <v/>
      </c>
      <c r="F1681" s="19">
        <f>IF($A1681="","",E1681+$H1681-1)</f>
        <v/>
      </c>
      <c r="G1681" s="18" t="n"/>
      <c r="H1681" s="18">
        <f>IF($A1681="","",IF(I1681&lt;&gt;"",I1681,Paramètres!B7))</f>
        <v/>
      </c>
      <c r="I1681" s="18" t="n"/>
    </row>
    <row r="1682">
      <c r="A1682" s="18">
        <f>IF(ISNUMBER(Dossiers!$D$35),Dossiers!$A$35&amp;" · "&amp;Dossiers!$B$35,"")</f>
        <v/>
      </c>
      <c r="B1682" s="18">
        <f>IF($A1682="","",Paramètres!G8)</f>
        <v/>
      </c>
      <c r="C1682" s="18">
        <f>IF($A1682="","",IF(Paramètres!H8="","",Paramètres!H8))</f>
        <v/>
      </c>
      <c r="D1682" s="18">
        <f>IF($A1682="","",IF(Paramètres!I8="","",Paramètres!I8))</f>
        <v/>
      </c>
      <c r="E1682" s="19">
        <f>IF($A1682="","",IF(Paramètres!J8&amp;Paramètres!L8&amp;Paramètres!N8="",Dossiers!$D$35,MAX(IF(Paramètres!J8="",0,IF(Paramètres!K8="",NA(),IF(LEFT(TRIM(Paramètres!K8),1)="F",INDEX($F$1679:$F$1731,MATCH(Paramètres!J8,Paramètres!$G$5:$G$57,0)),INDEX($E$1679:$E$1731,MATCH(Paramètres!J8,Paramètres!$G$5:$G$57,0)))+IF(RIGHT(TRIM(Paramètres!K8),3)="Fin",1-$H1682,IF(LEFT(TRIM(Paramètres!K8),1)="F",1,0)))),IF(Paramètres!L8="",0,IF(Paramètres!M8="",NA(),IF(LEFT(TRIM(Paramètres!M8),1)="F",INDEX($F$1679:$F$1731,MATCH(Paramètres!L8,Paramètres!$G$5:$G$57,0)),INDEX($E$1679:$E$1731,MATCH(Paramètres!L8,Paramètres!$G$5:$G$57,0)))+IF(RIGHT(TRIM(Paramètres!M8),3)="Fin",1-$H1682,IF(LEFT(TRIM(Paramètres!M8),1)="F",1,0)))),IF(Paramètres!N8="",0,IF(Paramètres!O8="",NA(),IF(LEFT(TRIM(Paramètres!O8),1)="F",INDEX($F$1679:$F$1731,MATCH(Paramètres!N8,Paramètres!$G$5:$G$57,0)),INDEX($E$1679:$E$1731,MATCH(Paramètres!N8,Paramètres!$G$5:$G$57,0)))+IF(RIGHT(TRIM(Paramètres!O8),3)="Fin",1-$H1682,IF(LEFT(TRIM(Paramètres!O8),1)="F",1,0)))))))</f>
        <v/>
      </c>
      <c r="F1682" s="19">
        <f>IF($A1682="","",E1682+$H1682-1)</f>
        <v/>
      </c>
      <c r="G1682" s="18" t="n"/>
      <c r="H1682" s="18">
        <f>IF($A1682="","",IF(I1682&lt;&gt;"",I1682,Paramètres!B8))</f>
        <v/>
      </c>
      <c r="I1682" s="18" t="n"/>
    </row>
    <row r="1683">
      <c r="A1683" s="18">
        <f>IF(ISNUMBER(Dossiers!$D$35),Dossiers!$A$35&amp;" · "&amp;Dossiers!$B$35,"")</f>
        <v/>
      </c>
      <c r="B1683" s="18">
        <f>IF($A1683="","",Paramètres!G9)</f>
        <v/>
      </c>
      <c r="C1683" s="18">
        <f>IF($A1683="","",IF(Paramètres!H9="","",Paramètres!H9))</f>
        <v/>
      </c>
      <c r="D1683" s="18">
        <f>IF($A1683="","",IF(Paramètres!I9="","",Paramètres!I9))</f>
        <v/>
      </c>
      <c r="E1683" s="19">
        <f>IF($A1683="","",IF(Paramètres!J9&amp;Paramètres!L9&amp;Paramètres!N9="",Dossiers!$D$35,MAX(IF(Paramètres!J9="",0,IF(Paramètres!K9="",NA(),IF(LEFT(TRIM(Paramètres!K9),1)="F",INDEX($F$1679:$F$1731,MATCH(Paramètres!J9,Paramètres!$G$5:$G$57,0)),INDEX($E$1679:$E$1731,MATCH(Paramètres!J9,Paramètres!$G$5:$G$57,0)))+IF(RIGHT(TRIM(Paramètres!K9),3)="Fin",1-$H1683,IF(LEFT(TRIM(Paramètres!K9),1)="F",1,0)))),IF(Paramètres!L9="",0,IF(Paramètres!M9="",NA(),IF(LEFT(TRIM(Paramètres!M9),1)="F",INDEX($F$1679:$F$1731,MATCH(Paramètres!L9,Paramètres!$G$5:$G$57,0)),INDEX($E$1679:$E$1731,MATCH(Paramètres!L9,Paramètres!$G$5:$G$57,0)))+IF(RIGHT(TRIM(Paramètres!M9),3)="Fin",1-$H1683,IF(LEFT(TRIM(Paramètres!M9),1)="F",1,0)))),IF(Paramètres!N9="",0,IF(Paramètres!O9="",NA(),IF(LEFT(TRIM(Paramètres!O9),1)="F",INDEX($F$1679:$F$1731,MATCH(Paramètres!N9,Paramètres!$G$5:$G$57,0)),INDEX($E$1679:$E$1731,MATCH(Paramètres!N9,Paramètres!$G$5:$G$57,0)))+IF(RIGHT(TRIM(Paramètres!O9),3)="Fin",1-$H1683,IF(LEFT(TRIM(Paramètres!O9),1)="F",1,0)))))))</f>
        <v/>
      </c>
      <c r="F1683" s="19">
        <f>IF($A1683="","",E1683+$H1683-1)</f>
        <v/>
      </c>
      <c r="G1683" s="18" t="n"/>
      <c r="H1683" s="18">
        <f>IF($A1683="","",IF(I1683&lt;&gt;"",I1683,Paramètres!B9))</f>
        <v/>
      </c>
      <c r="I1683" s="18" t="n"/>
    </row>
    <row r="1684">
      <c r="A1684" s="18">
        <f>IF(ISNUMBER(Dossiers!$D$35),Dossiers!$A$35&amp;" · "&amp;Dossiers!$B$35,"")</f>
        <v/>
      </c>
      <c r="B1684" s="18">
        <f>IF($A1684="","",Paramètres!G10)</f>
        <v/>
      </c>
      <c r="C1684" s="18">
        <f>IF($A1684="","",IF(Paramètres!H10="","",Paramètres!H10))</f>
        <v/>
      </c>
      <c r="D1684" s="18">
        <f>IF($A1684="","",IF(Paramètres!I10="","",Paramètres!I10))</f>
        <v/>
      </c>
      <c r="E1684" s="19">
        <f>IF($A1684="","",MIN(E1685:E1688))</f>
        <v/>
      </c>
      <c r="F1684" s="19">
        <f>IF($A1684="","",MAX(F1685:F1688))</f>
        <v/>
      </c>
      <c r="G1684" s="18" t="n"/>
      <c r="H1684" s="18">
        <f>IF($A1684="","",F1684-E1684+1)</f>
        <v/>
      </c>
      <c r="I1684" s="18" t="n"/>
    </row>
    <row r="1685">
      <c r="A1685" s="18">
        <f>IF(ISNUMBER(Dossiers!$D$35),Dossiers!$A$35&amp;" · "&amp;Dossiers!$B$35,"")</f>
        <v/>
      </c>
      <c r="B1685" s="18">
        <f>IF($A1685="","",Paramètres!G11)</f>
        <v/>
      </c>
      <c r="C1685" s="18">
        <f>IF($A1685="","",IF(Paramètres!H11="","",Paramètres!H11))</f>
        <v/>
      </c>
      <c r="D1685" s="18">
        <f>IF($A1685="","",IF(Paramètres!I11="","",Paramètres!I11))</f>
        <v/>
      </c>
      <c r="E1685" s="19">
        <f>IF($A1685="","",IF(Paramètres!J11&amp;Paramètres!L11&amp;Paramètres!N11="",Dossiers!$D$35,MAX(IF(Paramètres!J11="",0,IF(Paramètres!K11="",NA(),IF(LEFT(TRIM(Paramètres!K11),1)="F",INDEX($F$1679:$F$1731,MATCH(Paramètres!J11,Paramètres!$G$5:$G$57,0)),INDEX($E$1679:$E$1731,MATCH(Paramètres!J11,Paramètres!$G$5:$G$57,0)))+IF(RIGHT(TRIM(Paramètres!K11),3)="Fin",1-$H1685,IF(LEFT(TRIM(Paramètres!K11),1)="F",1,0)))),IF(Paramètres!L11="",0,IF(Paramètres!M11="",NA(),IF(LEFT(TRIM(Paramètres!M11),1)="F",INDEX($F$1679:$F$1731,MATCH(Paramètres!L11,Paramètres!$G$5:$G$57,0)),INDEX($E$1679:$E$1731,MATCH(Paramètres!L11,Paramètres!$G$5:$G$57,0)))+IF(RIGHT(TRIM(Paramètres!M11),3)="Fin",1-$H1685,IF(LEFT(TRIM(Paramètres!M11),1)="F",1,0)))),IF(Paramètres!N11="",0,IF(Paramètres!O11="",NA(),IF(LEFT(TRIM(Paramètres!O11),1)="F",INDEX($F$1679:$F$1731,MATCH(Paramètres!N11,Paramètres!$G$5:$G$57,0)),INDEX($E$1679:$E$1731,MATCH(Paramètres!N11,Paramètres!$G$5:$G$57,0)))+IF(RIGHT(TRIM(Paramètres!O11),3)="Fin",1-$H1685,IF(LEFT(TRIM(Paramètres!O11),1)="F",1,0)))))))</f>
        <v/>
      </c>
      <c r="F1685" s="19">
        <f>IF($A1685="","",E1685+$H1685-1)</f>
        <v/>
      </c>
      <c r="G1685" s="18" t="n"/>
      <c r="H1685" s="18">
        <f>IF($A1685="","",IF(I1685&lt;&gt;"",I1685,Paramètres!B11))</f>
        <v/>
      </c>
      <c r="I1685" s="18" t="n"/>
    </row>
    <row r="1686">
      <c r="A1686" s="18">
        <f>IF(ISNUMBER(Dossiers!$D$35),Dossiers!$A$35&amp;" · "&amp;Dossiers!$B$35,"")</f>
        <v/>
      </c>
      <c r="B1686" s="18">
        <f>IF($A1686="","",Paramètres!G12)</f>
        <v/>
      </c>
      <c r="C1686" s="18">
        <f>IF($A1686="","",IF(Paramètres!H12="","",Paramètres!H12))</f>
        <v/>
      </c>
      <c r="D1686" s="18">
        <f>IF($A1686="","",IF(Paramètres!I12="","",Paramètres!I12))</f>
        <v/>
      </c>
      <c r="E1686" s="19">
        <f>IF($A1686="","",IF(Paramètres!J12&amp;Paramètres!L12&amp;Paramètres!N12="",Dossiers!$D$35,MAX(IF(Paramètres!J12="",0,IF(Paramètres!K12="",NA(),IF(LEFT(TRIM(Paramètres!K12),1)="F",INDEX($F$1679:$F$1731,MATCH(Paramètres!J12,Paramètres!$G$5:$G$57,0)),INDEX($E$1679:$E$1731,MATCH(Paramètres!J12,Paramètres!$G$5:$G$57,0)))+IF(RIGHT(TRIM(Paramètres!K12),3)="Fin",1-$H1686,IF(LEFT(TRIM(Paramètres!K12),1)="F",1,0)))),IF(Paramètres!L12="",0,IF(Paramètres!M12="",NA(),IF(LEFT(TRIM(Paramètres!M12),1)="F",INDEX($F$1679:$F$1731,MATCH(Paramètres!L12,Paramètres!$G$5:$G$57,0)),INDEX($E$1679:$E$1731,MATCH(Paramètres!L12,Paramètres!$G$5:$G$57,0)))+IF(RIGHT(TRIM(Paramètres!M12),3)="Fin",1-$H1686,IF(LEFT(TRIM(Paramètres!M12),1)="F",1,0)))),IF(Paramètres!N12="",0,IF(Paramètres!O12="",NA(),IF(LEFT(TRIM(Paramètres!O12),1)="F",INDEX($F$1679:$F$1731,MATCH(Paramètres!N12,Paramètres!$G$5:$G$57,0)),INDEX($E$1679:$E$1731,MATCH(Paramètres!N12,Paramètres!$G$5:$G$57,0)))+IF(RIGHT(TRIM(Paramètres!O12),3)="Fin",1-$H1686,IF(LEFT(TRIM(Paramètres!O12),1)="F",1,0)))))))</f>
        <v/>
      </c>
      <c r="F1686" s="19">
        <f>IF($A1686="","",E1686+$H1686-1)</f>
        <v/>
      </c>
      <c r="G1686" s="18" t="n"/>
      <c r="H1686" s="18">
        <f>IF($A1686="","",IF(I1686&lt;&gt;"",I1686,Paramètres!B12))</f>
        <v/>
      </c>
      <c r="I1686" s="18" t="n"/>
    </row>
    <row r="1687">
      <c r="A1687" s="18">
        <f>IF(ISNUMBER(Dossiers!$D$35),Dossiers!$A$35&amp;" · "&amp;Dossiers!$B$35,"")</f>
        <v/>
      </c>
      <c r="B1687" s="18">
        <f>IF($A1687="","",Paramètres!G13)</f>
        <v/>
      </c>
      <c r="C1687" s="18">
        <f>IF($A1687="","",IF(Paramètres!H13="","",Paramètres!H13))</f>
        <v/>
      </c>
      <c r="D1687" s="18">
        <f>IF($A1687="","",IF(Paramètres!I13="","",Paramètres!I13))</f>
        <v/>
      </c>
      <c r="E1687" s="19">
        <f>IF($A1687="","",IF(Paramètres!J13&amp;Paramètres!L13&amp;Paramètres!N13="",Dossiers!$D$35,MAX(IF(Paramètres!J13="",0,IF(Paramètres!K13="",NA(),IF(LEFT(TRIM(Paramètres!K13),1)="F",INDEX($F$1679:$F$1731,MATCH(Paramètres!J13,Paramètres!$G$5:$G$57,0)),INDEX($E$1679:$E$1731,MATCH(Paramètres!J13,Paramètres!$G$5:$G$57,0)))+IF(RIGHT(TRIM(Paramètres!K13),3)="Fin",1-$H1687,IF(LEFT(TRIM(Paramètres!K13),1)="F",1,0)))),IF(Paramètres!L13="",0,IF(Paramètres!M13="",NA(),IF(LEFT(TRIM(Paramètres!M13),1)="F",INDEX($F$1679:$F$1731,MATCH(Paramètres!L13,Paramètres!$G$5:$G$57,0)),INDEX($E$1679:$E$1731,MATCH(Paramètres!L13,Paramètres!$G$5:$G$57,0)))+IF(RIGHT(TRIM(Paramètres!M13),3)="Fin",1-$H1687,IF(LEFT(TRIM(Paramètres!M13),1)="F",1,0)))),IF(Paramètres!N13="",0,IF(Paramètres!O13="",NA(),IF(LEFT(TRIM(Paramètres!O13),1)="F",INDEX($F$1679:$F$1731,MATCH(Paramètres!N13,Paramètres!$G$5:$G$57,0)),INDEX($E$1679:$E$1731,MATCH(Paramètres!N13,Paramètres!$G$5:$G$57,0)))+IF(RIGHT(TRIM(Paramètres!O13),3)="Fin",1-$H1687,IF(LEFT(TRIM(Paramètres!O13),1)="F",1,0)))))))</f>
        <v/>
      </c>
      <c r="F1687" s="19">
        <f>IF($A1687="","",E1687+$H1687-1)</f>
        <v/>
      </c>
      <c r="G1687" s="18" t="n"/>
      <c r="H1687" s="18">
        <f>IF($A1687="","",IF(I1687&lt;&gt;"",I1687,Paramètres!B13))</f>
        <v/>
      </c>
      <c r="I1687" s="18" t="n"/>
    </row>
    <row r="1688">
      <c r="A1688" s="18">
        <f>IF(ISNUMBER(Dossiers!$D$35),Dossiers!$A$35&amp;" · "&amp;Dossiers!$B$35,"")</f>
        <v/>
      </c>
      <c r="B1688" s="18">
        <f>IF($A1688="","",Paramètres!G14)</f>
        <v/>
      </c>
      <c r="C1688" s="18">
        <f>IF($A1688="","",IF(Paramètres!H14="","",Paramètres!H14))</f>
        <v/>
      </c>
      <c r="D1688" s="18">
        <f>IF($A1688="","",IF(Paramètres!I14="","",Paramètres!I14))</f>
        <v/>
      </c>
      <c r="E1688" s="19">
        <f>IF($A1688="","",IF(Paramètres!J14&amp;Paramètres!L14&amp;Paramètres!N14="",Dossiers!$D$35,MAX(IF(Paramètres!J14="",0,IF(Paramètres!K14="",NA(),IF(LEFT(TRIM(Paramètres!K14),1)="F",INDEX($F$1679:$F$1731,MATCH(Paramètres!J14,Paramètres!$G$5:$G$57,0)),INDEX($E$1679:$E$1731,MATCH(Paramètres!J14,Paramètres!$G$5:$G$57,0)))+IF(RIGHT(TRIM(Paramètres!K14),3)="Fin",1-$H1688,IF(LEFT(TRIM(Paramètres!K14),1)="F",1,0)))),IF(Paramètres!L14="",0,IF(Paramètres!M14="",NA(),IF(LEFT(TRIM(Paramètres!M14),1)="F",INDEX($F$1679:$F$1731,MATCH(Paramètres!L14,Paramètres!$G$5:$G$57,0)),INDEX($E$1679:$E$1731,MATCH(Paramètres!L14,Paramètres!$G$5:$G$57,0)))+IF(RIGHT(TRIM(Paramètres!M14),3)="Fin",1-$H1688,IF(LEFT(TRIM(Paramètres!M14),1)="F",1,0)))),IF(Paramètres!N14="",0,IF(Paramètres!O14="",NA(),IF(LEFT(TRIM(Paramètres!O14),1)="F",INDEX($F$1679:$F$1731,MATCH(Paramètres!N14,Paramètres!$G$5:$G$57,0)),INDEX($E$1679:$E$1731,MATCH(Paramètres!N14,Paramètres!$G$5:$G$57,0)))+IF(RIGHT(TRIM(Paramètres!O14),3)="Fin",1-$H1688,IF(LEFT(TRIM(Paramètres!O14),1)="F",1,0)))))))</f>
        <v/>
      </c>
      <c r="F1688" s="19">
        <f>IF($A1688="","",E1688+$H1688-1)</f>
        <v/>
      </c>
      <c r="G1688" s="18" t="n"/>
      <c r="H1688" s="18">
        <f>IF($A1688="","",IF(I1688&lt;&gt;"",I1688,Paramètres!B14))</f>
        <v/>
      </c>
      <c r="I1688" s="18" t="n"/>
    </row>
    <row r="1689">
      <c r="A1689" s="18">
        <f>IF(ISNUMBER(Dossiers!$D$35),Dossiers!$A$35&amp;" · "&amp;Dossiers!$B$35,"")</f>
        <v/>
      </c>
      <c r="B1689" s="18">
        <f>IF($A1689="","",Paramètres!G15)</f>
        <v/>
      </c>
      <c r="C1689" s="18">
        <f>IF($A1689="","",IF(Paramètres!H15="","",Paramètres!H15))</f>
        <v/>
      </c>
      <c r="D1689" s="18">
        <f>IF($A1689="","",IF(Paramètres!I15="","",Paramètres!I15))</f>
        <v/>
      </c>
      <c r="E1689" s="19">
        <f>IF($A1689="","",MIN(E1690:E1705))</f>
        <v/>
      </c>
      <c r="F1689" s="19">
        <f>IF($A1689="","",MAX(F1690:F1705))</f>
        <v/>
      </c>
      <c r="G1689" s="18" t="n"/>
      <c r="H1689" s="18">
        <f>IF($A1689="","",F1689-E1689+1)</f>
        <v/>
      </c>
      <c r="I1689" s="18" t="n"/>
    </row>
    <row r="1690">
      <c r="A1690" s="18">
        <f>IF(ISNUMBER(Dossiers!$D$35),Dossiers!$A$35&amp;" · "&amp;Dossiers!$B$35,"")</f>
        <v/>
      </c>
      <c r="B1690" s="18">
        <f>IF($A1690="","",Paramètres!G16)</f>
        <v/>
      </c>
      <c r="C1690" s="18">
        <f>IF($A1690="","",IF(Paramètres!H16="","",Paramètres!H16))</f>
        <v/>
      </c>
      <c r="D1690" s="18">
        <f>IF($A1690="","",IF(Paramètres!I16="","",Paramètres!I16))</f>
        <v/>
      </c>
      <c r="E1690" s="19">
        <f>IF($A1690="","",IF(Paramètres!J16&amp;Paramètres!L16&amp;Paramètres!N16="",Dossiers!$D$35,MAX(IF(Paramètres!J16="",0,IF(Paramètres!K16="",NA(),IF(LEFT(TRIM(Paramètres!K16),1)="F",INDEX($F$1679:$F$1731,MATCH(Paramètres!J16,Paramètres!$G$5:$G$57,0)),INDEX($E$1679:$E$1731,MATCH(Paramètres!J16,Paramètres!$G$5:$G$57,0)))+IF(RIGHT(TRIM(Paramètres!K16),3)="Fin",1-$H1690,IF(LEFT(TRIM(Paramètres!K16),1)="F",1,0)))),IF(Paramètres!L16="",0,IF(Paramètres!M16="",NA(),IF(LEFT(TRIM(Paramètres!M16),1)="F",INDEX($F$1679:$F$1731,MATCH(Paramètres!L16,Paramètres!$G$5:$G$57,0)),INDEX($E$1679:$E$1731,MATCH(Paramètres!L16,Paramètres!$G$5:$G$57,0)))+IF(RIGHT(TRIM(Paramètres!M16),3)="Fin",1-$H1690,IF(LEFT(TRIM(Paramètres!M16),1)="F",1,0)))),IF(Paramètres!N16="",0,IF(Paramètres!O16="",NA(),IF(LEFT(TRIM(Paramètres!O16),1)="F",INDEX($F$1679:$F$1731,MATCH(Paramètres!N16,Paramètres!$G$5:$G$57,0)),INDEX($E$1679:$E$1731,MATCH(Paramètres!N16,Paramètres!$G$5:$G$57,0)))+IF(RIGHT(TRIM(Paramètres!O16),3)="Fin",1-$H1690,IF(LEFT(TRIM(Paramètres!O16),1)="F",1,0)))))))</f>
        <v/>
      </c>
      <c r="F1690" s="19">
        <f>IF($A1690="","",E1690+$H1690-1)</f>
        <v/>
      </c>
      <c r="G1690" s="18" t="n"/>
      <c r="H1690" s="18">
        <f>IF($A1690="","",IF(I1690&lt;&gt;"",I1690,Paramètres!B16))</f>
        <v/>
      </c>
      <c r="I1690" s="18" t="n"/>
    </row>
    <row r="1691">
      <c r="A1691" s="18">
        <f>IF(ISNUMBER(Dossiers!$D$35),Dossiers!$A$35&amp;" · "&amp;Dossiers!$B$35,"")</f>
        <v/>
      </c>
      <c r="B1691" s="18">
        <f>IF($A1691="","",Paramètres!G17)</f>
        <v/>
      </c>
      <c r="C1691" s="18">
        <f>IF($A1691="","",IF(Paramètres!H17="","",Paramètres!H17))</f>
        <v/>
      </c>
      <c r="D1691" s="18">
        <f>IF($A1691="","",IF(Paramètres!I17="","",Paramètres!I17))</f>
        <v/>
      </c>
      <c r="E1691" s="19">
        <f>IF($A1691="","",IF(Paramètres!J17&amp;Paramètres!L17&amp;Paramètres!N17="",Dossiers!$D$35,MAX(IF(Paramètres!J17="",0,IF(Paramètres!K17="",NA(),IF(LEFT(TRIM(Paramètres!K17),1)="F",INDEX($F$1679:$F$1731,MATCH(Paramètres!J17,Paramètres!$G$5:$G$57,0)),INDEX($E$1679:$E$1731,MATCH(Paramètres!J17,Paramètres!$G$5:$G$57,0)))+IF(RIGHT(TRIM(Paramètres!K17),3)="Fin",1-$H1691,IF(LEFT(TRIM(Paramètres!K17),1)="F",1,0)))),IF(Paramètres!L17="",0,IF(Paramètres!M17="",NA(),IF(LEFT(TRIM(Paramètres!M17),1)="F",INDEX($F$1679:$F$1731,MATCH(Paramètres!L17,Paramètres!$G$5:$G$57,0)),INDEX($E$1679:$E$1731,MATCH(Paramètres!L17,Paramètres!$G$5:$G$57,0)))+IF(RIGHT(TRIM(Paramètres!M17),3)="Fin",1-$H1691,IF(LEFT(TRIM(Paramètres!M17),1)="F",1,0)))),IF(Paramètres!N17="",0,IF(Paramètres!O17="",NA(),IF(LEFT(TRIM(Paramètres!O17),1)="F",INDEX($F$1679:$F$1731,MATCH(Paramètres!N17,Paramètres!$G$5:$G$57,0)),INDEX($E$1679:$E$1731,MATCH(Paramètres!N17,Paramètres!$G$5:$G$57,0)))+IF(RIGHT(TRIM(Paramètres!O17),3)="Fin",1-$H1691,IF(LEFT(TRIM(Paramètres!O17),1)="F",1,0)))))))</f>
        <v/>
      </c>
      <c r="F1691" s="19">
        <f>IF($A1691="","",E1691+$H1691-1)</f>
        <v/>
      </c>
      <c r="G1691" s="18" t="n"/>
      <c r="H1691" s="18">
        <f>IF($A1691="","",IF(I1691&lt;&gt;"",I1691,Paramètres!B17))</f>
        <v/>
      </c>
      <c r="I1691" s="18" t="n"/>
    </row>
    <row r="1692">
      <c r="A1692" s="18">
        <f>IF(ISNUMBER(Dossiers!$D$35),Dossiers!$A$35&amp;" · "&amp;Dossiers!$B$35,"")</f>
        <v/>
      </c>
      <c r="B1692" s="18">
        <f>IF($A1692="","",Paramètres!G18)</f>
        <v/>
      </c>
      <c r="C1692" s="18">
        <f>IF($A1692="","",IF(Paramètres!H18="","",Paramètres!H18))</f>
        <v/>
      </c>
      <c r="D1692" s="18">
        <f>IF($A1692="","",IF(Paramètres!I18="","",Paramètres!I18))</f>
        <v/>
      </c>
      <c r="E1692" s="19">
        <f>IF($A1692="","",IF(Paramètres!J18&amp;Paramètres!L18&amp;Paramètres!N18="",Dossiers!$D$35,MAX(IF(Paramètres!J18="",0,IF(Paramètres!K18="",NA(),IF(LEFT(TRIM(Paramètres!K18),1)="F",INDEX($F$1679:$F$1731,MATCH(Paramètres!J18,Paramètres!$G$5:$G$57,0)),INDEX($E$1679:$E$1731,MATCH(Paramètres!J18,Paramètres!$G$5:$G$57,0)))+IF(RIGHT(TRIM(Paramètres!K18),3)="Fin",1-$H1692,IF(LEFT(TRIM(Paramètres!K18),1)="F",1,0)))),IF(Paramètres!L18="",0,IF(Paramètres!M18="",NA(),IF(LEFT(TRIM(Paramètres!M18),1)="F",INDEX($F$1679:$F$1731,MATCH(Paramètres!L18,Paramètres!$G$5:$G$57,0)),INDEX($E$1679:$E$1731,MATCH(Paramètres!L18,Paramètres!$G$5:$G$57,0)))+IF(RIGHT(TRIM(Paramètres!M18),3)="Fin",1-$H1692,IF(LEFT(TRIM(Paramètres!M18),1)="F",1,0)))),IF(Paramètres!N18="",0,IF(Paramètres!O18="",NA(),IF(LEFT(TRIM(Paramètres!O18),1)="F",INDEX($F$1679:$F$1731,MATCH(Paramètres!N18,Paramètres!$G$5:$G$57,0)),INDEX($E$1679:$E$1731,MATCH(Paramètres!N18,Paramètres!$G$5:$G$57,0)))+IF(RIGHT(TRIM(Paramètres!O18),3)="Fin",1-$H1692,IF(LEFT(TRIM(Paramètres!O18),1)="F",1,0)))))))</f>
        <v/>
      </c>
      <c r="F1692" s="19">
        <f>IF($A1692="","",E1692+$H1692-1)</f>
        <v/>
      </c>
      <c r="G1692" s="18" t="n"/>
      <c r="H1692" s="18">
        <f>IF($A1692="","",IF(I1692&lt;&gt;"",I1692,Paramètres!B18))</f>
        <v/>
      </c>
      <c r="I1692" s="18" t="n"/>
    </row>
    <row r="1693">
      <c r="A1693" s="18">
        <f>IF(ISNUMBER(Dossiers!$D$35),Dossiers!$A$35&amp;" · "&amp;Dossiers!$B$35,"")</f>
        <v/>
      </c>
      <c r="B1693" s="18">
        <f>IF($A1693="","",Paramètres!G19)</f>
        <v/>
      </c>
      <c r="C1693" s="18">
        <f>IF($A1693="","",IF(Paramètres!H19="","",Paramètres!H19))</f>
        <v/>
      </c>
      <c r="D1693" s="18">
        <f>IF($A1693="","",IF(Paramètres!I19="","",Paramètres!I19))</f>
        <v/>
      </c>
      <c r="E1693" s="19">
        <f>IF($A1693="","",IF(Paramètres!J19&amp;Paramètres!L19&amp;Paramètres!N19="",Dossiers!$D$35,MAX(IF(Paramètres!J19="",0,IF(Paramètres!K19="",NA(),IF(LEFT(TRIM(Paramètres!K19),1)="F",INDEX($F$1679:$F$1731,MATCH(Paramètres!J19,Paramètres!$G$5:$G$57,0)),INDEX($E$1679:$E$1731,MATCH(Paramètres!J19,Paramètres!$G$5:$G$57,0)))+IF(RIGHT(TRIM(Paramètres!K19),3)="Fin",1-$H1693,IF(LEFT(TRIM(Paramètres!K19),1)="F",1,0)))),IF(Paramètres!L19="",0,IF(Paramètres!M19="",NA(),IF(LEFT(TRIM(Paramètres!M19),1)="F",INDEX($F$1679:$F$1731,MATCH(Paramètres!L19,Paramètres!$G$5:$G$57,0)),INDEX($E$1679:$E$1731,MATCH(Paramètres!L19,Paramètres!$G$5:$G$57,0)))+IF(RIGHT(TRIM(Paramètres!M19),3)="Fin",1-$H1693,IF(LEFT(TRIM(Paramètres!M19),1)="F",1,0)))),IF(Paramètres!N19="",0,IF(Paramètres!O19="",NA(),IF(LEFT(TRIM(Paramètres!O19),1)="F",INDEX($F$1679:$F$1731,MATCH(Paramètres!N19,Paramètres!$G$5:$G$57,0)),INDEX($E$1679:$E$1731,MATCH(Paramètres!N19,Paramètres!$G$5:$G$57,0)))+IF(RIGHT(TRIM(Paramètres!O19),3)="Fin",1-$H1693,IF(LEFT(TRIM(Paramètres!O19),1)="F",1,0)))))))</f>
        <v/>
      </c>
      <c r="F1693" s="19">
        <f>IF($A1693="","",E1693+$H1693-1)</f>
        <v/>
      </c>
      <c r="G1693" s="18" t="n"/>
      <c r="H1693" s="18">
        <f>IF($A1693="","",IF(I1693&lt;&gt;"",I1693,Paramètres!B19))</f>
        <v/>
      </c>
      <c r="I1693" s="18" t="n"/>
    </row>
    <row r="1694">
      <c r="A1694" s="18">
        <f>IF(ISNUMBER(Dossiers!$D$35),Dossiers!$A$35&amp;" · "&amp;Dossiers!$B$35,"")</f>
        <v/>
      </c>
      <c r="B1694" s="18">
        <f>IF($A1694="","",Paramètres!G20)</f>
        <v/>
      </c>
      <c r="C1694" s="18">
        <f>IF($A1694="","",IF(Paramètres!H20="","",Paramètres!H20))</f>
        <v/>
      </c>
      <c r="D1694" s="18">
        <f>IF($A1694="","",IF(Paramètres!I20="","",Paramètres!I20))</f>
        <v/>
      </c>
      <c r="E1694" s="19">
        <f>IF($A1694="","",IF(Paramètres!J20&amp;Paramètres!L20&amp;Paramètres!N20="",Dossiers!$D$35,MAX(IF(Paramètres!J20="",0,IF(Paramètres!K20="",NA(),IF(LEFT(TRIM(Paramètres!K20),1)="F",INDEX($F$1679:$F$1731,MATCH(Paramètres!J20,Paramètres!$G$5:$G$57,0)),INDEX($E$1679:$E$1731,MATCH(Paramètres!J20,Paramètres!$G$5:$G$57,0)))+IF(RIGHT(TRIM(Paramètres!K20),3)="Fin",1-$H1694,IF(LEFT(TRIM(Paramètres!K20),1)="F",1,0)))),IF(Paramètres!L20="",0,IF(Paramètres!M20="",NA(),IF(LEFT(TRIM(Paramètres!M20),1)="F",INDEX($F$1679:$F$1731,MATCH(Paramètres!L20,Paramètres!$G$5:$G$57,0)),INDEX($E$1679:$E$1731,MATCH(Paramètres!L20,Paramètres!$G$5:$G$57,0)))+IF(RIGHT(TRIM(Paramètres!M20),3)="Fin",1-$H1694,IF(LEFT(TRIM(Paramètres!M20),1)="F",1,0)))),IF(Paramètres!N20="",0,IF(Paramètres!O20="",NA(),IF(LEFT(TRIM(Paramètres!O20),1)="F",INDEX($F$1679:$F$1731,MATCH(Paramètres!N20,Paramètres!$G$5:$G$57,0)),INDEX($E$1679:$E$1731,MATCH(Paramètres!N20,Paramètres!$G$5:$G$57,0)))+IF(RIGHT(TRIM(Paramètres!O20),3)="Fin",1-$H1694,IF(LEFT(TRIM(Paramètres!O20),1)="F",1,0)))))))</f>
        <v/>
      </c>
      <c r="F1694" s="19">
        <f>IF($A1694="","",E1694+$H1694-1)</f>
        <v/>
      </c>
      <c r="G1694" s="18" t="n"/>
      <c r="H1694" s="18">
        <f>IF($A1694="","",IF(I1694&lt;&gt;"",I1694,Paramètres!B20))</f>
        <v/>
      </c>
      <c r="I1694" s="18" t="n"/>
    </row>
    <row r="1695">
      <c r="A1695" s="18">
        <f>IF(ISNUMBER(Dossiers!$D$35),Dossiers!$A$35&amp;" · "&amp;Dossiers!$B$35,"")</f>
        <v/>
      </c>
      <c r="B1695" s="18">
        <f>IF($A1695="","",Paramètres!G21)</f>
        <v/>
      </c>
      <c r="C1695" s="18">
        <f>IF($A1695="","",IF(Paramètres!H21="","",Paramètres!H21))</f>
        <v/>
      </c>
      <c r="D1695" s="18">
        <f>IF($A1695="","",IF(Paramètres!I21="","",Paramètres!I21))</f>
        <v/>
      </c>
      <c r="E1695" s="19">
        <f>IF($A1695="","",IF(Paramètres!J21&amp;Paramètres!L21&amp;Paramètres!N21="",Dossiers!$D$35,MAX(IF(Paramètres!J21="",0,IF(Paramètres!K21="",NA(),IF(LEFT(TRIM(Paramètres!K21),1)="F",INDEX($F$1679:$F$1731,MATCH(Paramètres!J21,Paramètres!$G$5:$G$57,0)),INDEX($E$1679:$E$1731,MATCH(Paramètres!J21,Paramètres!$G$5:$G$57,0)))+IF(RIGHT(TRIM(Paramètres!K21),3)="Fin",1-$H1695,IF(LEFT(TRIM(Paramètres!K21),1)="F",1,0)))),IF(Paramètres!L21="",0,IF(Paramètres!M21="",NA(),IF(LEFT(TRIM(Paramètres!M21),1)="F",INDEX($F$1679:$F$1731,MATCH(Paramètres!L21,Paramètres!$G$5:$G$57,0)),INDEX($E$1679:$E$1731,MATCH(Paramètres!L21,Paramètres!$G$5:$G$57,0)))+IF(RIGHT(TRIM(Paramètres!M21),3)="Fin",1-$H1695,IF(LEFT(TRIM(Paramètres!M21),1)="F",1,0)))),IF(Paramètres!N21="",0,IF(Paramètres!O21="",NA(),IF(LEFT(TRIM(Paramètres!O21),1)="F",INDEX($F$1679:$F$1731,MATCH(Paramètres!N21,Paramètres!$G$5:$G$57,0)),INDEX($E$1679:$E$1731,MATCH(Paramètres!N21,Paramètres!$G$5:$G$57,0)))+IF(RIGHT(TRIM(Paramètres!O21),3)="Fin",1-$H1695,IF(LEFT(TRIM(Paramètres!O21),1)="F",1,0)))))))</f>
        <v/>
      </c>
      <c r="F1695" s="19">
        <f>IF($A1695="","",E1695+$H1695-1)</f>
        <v/>
      </c>
      <c r="G1695" s="18" t="n"/>
      <c r="H1695" s="18">
        <f>IF($A1695="","",IF(I1695&lt;&gt;"",I1695,Paramètres!B21))</f>
        <v/>
      </c>
      <c r="I1695" s="18" t="n"/>
    </row>
    <row r="1696">
      <c r="A1696" s="18">
        <f>IF(ISNUMBER(Dossiers!$D$35),Dossiers!$A$35&amp;" · "&amp;Dossiers!$B$35,"")</f>
        <v/>
      </c>
      <c r="B1696" s="18">
        <f>IF($A1696="","",Paramètres!G22)</f>
        <v/>
      </c>
      <c r="C1696" s="18">
        <f>IF($A1696="","",IF(Paramètres!H22="","",Paramètres!H22))</f>
        <v/>
      </c>
      <c r="D1696" s="18">
        <f>IF($A1696="","",IF(Paramètres!I22="","",Paramètres!I22))</f>
        <v/>
      </c>
      <c r="E1696" s="19">
        <f>IF($A1696="","",IF(Paramètres!J22&amp;Paramètres!L22&amp;Paramètres!N22="",Dossiers!$D$35,MAX(IF(Paramètres!J22="",0,IF(Paramètres!K22="",NA(),IF(LEFT(TRIM(Paramètres!K22),1)="F",INDEX($F$1679:$F$1731,MATCH(Paramètres!J22,Paramètres!$G$5:$G$57,0)),INDEX($E$1679:$E$1731,MATCH(Paramètres!J22,Paramètres!$G$5:$G$57,0)))+IF(RIGHT(TRIM(Paramètres!K22),3)="Fin",1-$H1696,IF(LEFT(TRIM(Paramètres!K22),1)="F",1,0)))),IF(Paramètres!L22="",0,IF(Paramètres!M22="",NA(),IF(LEFT(TRIM(Paramètres!M22),1)="F",INDEX($F$1679:$F$1731,MATCH(Paramètres!L22,Paramètres!$G$5:$G$57,0)),INDEX($E$1679:$E$1731,MATCH(Paramètres!L22,Paramètres!$G$5:$G$57,0)))+IF(RIGHT(TRIM(Paramètres!M22),3)="Fin",1-$H1696,IF(LEFT(TRIM(Paramètres!M22),1)="F",1,0)))),IF(Paramètres!N22="",0,IF(Paramètres!O22="",NA(),IF(LEFT(TRIM(Paramètres!O22),1)="F",INDEX($F$1679:$F$1731,MATCH(Paramètres!N22,Paramètres!$G$5:$G$57,0)),INDEX($E$1679:$E$1731,MATCH(Paramètres!N22,Paramètres!$G$5:$G$57,0)))+IF(RIGHT(TRIM(Paramètres!O22),3)="Fin",1-$H1696,IF(LEFT(TRIM(Paramètres!O22),1)="F",1,0)))))))</f>
        <v/>
      </c>
      <c r="F1696" s="19">
        <f>IF($A1696="","",E1696+$H1696-1)</f>
        <v/>
      </c>
      <c r="G1696" s="18" t="n"/>
      <c r="H1696" s="18">
        <f>IF($A1696="","",IF(I1696&lt;&gt;"",I1696,Paramètres!B22))</f>
        <v/>
      </c>
      <c r="I1696" s="18" t="n"/>
    </row>
    <row r="1697">
      <c r="A1697" s="18">
        <f>IF(ISNUMBER(Dossiers!$D$35),Dossiers!$A$35&amp;" · "&amp;Dossiers!$B$35,"")</f>
        <v/>
      </c>
      <c r="B1697" s="18">
        <f>IF($A1697="","",Paramètres!G23)</f>
        <v/>
      </c>
      <c r="C1697" s="18">
        <f>IF($A1697="","",IF(Paramètres!H23="","",Paramètres!H23))</f>
        <v/>
      </c>
      <c r="D1697" s="18">
        <f>IF($A1697="","",IF(Paramètres!I23="","",Paramètres!I23))</f>
        <v/>
      </c>
      <c r="E1697" s="19">
        <f>IF($A1697="","",IF(Paramètres!J23&amp;Paramètres!L23&amp;Paramètres!N23="",Dossiers!$D$35,MAX(IF(Paramètres!J23="",0,IF(Paramètres!K23="",NA(),IF(LEFT(TRIM(Paramètres!K23),1)="F",INDEX($F$1679:$F$1731,MATCH(Paramètres!J23,Paramètres!$G$5:$G$57,0)),INDEX($E$1679:$E$1731,MATCH(Paramètres!J23,Paramètres!$G$5:$G$57,0)))+IF(RIGHT(TRIM(Paramètres!K23),3)="Fin",1-$H1697,IF(LEFT(TRIM(Paramètres!K23),1)="F",1,0)))),IF(Paramètres!L23="",0,IF(Paramètres!M23="",NA(),IF(LEFT(TRIM(Paramètres!M23),1)="F",INDEX($F$1679:$F$1731,MATCH(Paramètres!L23,Paramètres!$G$5:$G$57,0)),INDEX($E$1679:$E$1731,MATCH(Paramètres!L23,Paramètres!$G$5:$G$57,0)))+IF(RIGHT(TRIM(Paramètres!M23),3)="Fin",1-$H1697,IF(LEFT(TRIM(Paramètres!M23),1)="F",1,0)))),IF(Paramètres!N23="",0,IF(Paramètres!O23="",NA(),IF(LEFT(TRIM(Paramètres!O23),1)="F",INDEX($F$1679:$F$1731,MATCH(Paramètres!N23,Paramètres!$G$5:$G$57,0)),INDEX($E$1679:$E$1731,MATCH(Paramètres!N23,Paramètres!$G$5:$G$57,0)))+IF(RIGHT(TRIM(Paramètres!O23),3)="Fin",1-$H1697,IF(LEFT(TRIM(Paramètres!O23),1)="F",1,0)))))))</f>
        <v/>
      </c>
      <c r="F1697" s="19">
        <f>IF($A1697="","",E1697+$H1697-1)</f>
        <v/>
      </c>
      <c r="G1697" s="18" t="n"/>
      <c r="H1697" s="18">
        <f>IF($A1697="","",IF(I1697&lt;&gt;"",I1697,Paramètres!B23))</f>
        <v/>
      </c>
      <c r="I1697" s="18" t="n"/>
    </row>
    <row r="1698">
      <c r="A1698" s="18">
        <f>IF(ISNUMBER(Dossiers!$D$35),Dossiers!$A$35&amp;" · "&amp;Dossiers!$B$35,"")</f>
        <v/>
      </c>
      <c r="B1698" s="18">
        <f>IF($A1698="","",Paramètres!G24)</f>
        <v/>
      </c>
      <c r="C1698" s="18">
        <f>IF($A1698="","",IF(Paramètres!H24="","",Paramètres!H24))</f>
        <v/>
      </c>
      <c r="D1698" s="18">
        <f>IF($A1698="","",IF(Paramètres!I24="","",Paramètres!I24))</f>
        <v/>
      </c>
      <c r="E1698" s="19">
        <f>IF($A1698="","",IF(Paramètres!J24&amp;Paramètres!L24&amp;Paramètres!N24="",Dossiers!$D$35,MAX(IF(Paramètres!J24="",0,IF(Paramètres!K24="",NA(),IF(LEFT(TRIM(Paramètres!K24),1)="F",INDEX($F$1679:$F$1731,MATCH(Paramètres!J24,Paramètres!$G$5:$G$57,0)),INDEX($E$1679:$E$1731,MATCH(Paramètres!J24,Paramètres!$G$5:$G$57,0)))+IF(RIGHT(TRIM(Paramètres!K24),3)="Fin",1-$H1698,IF(LEFT(TRIM(Paramètres!K24),1)="F",1,0)))),IF(Paramètres!L24="",0,IF(Paramètres!M24="",NA(),IF(LEFT(TRIM(Paramètres!M24),1)="F",INDEX($F$1679:$F$1731,MATCH(Paramètres!L24,Paramètres!$G$5:$G$57,0)),INDEX($E$1679:$E$1731,MATCH(Paramètres!L24,Paramètres!$G$5:$G$57,0)))+IF(RIGHT(TRIM(Paramètres!M24),3)="Fin",1-$H1698,IF(LEFT(TRIM(Paramètres!M24),1)="F",1,0)))),IF(Paramètres!N24="",0,IF(Paramètres!O24="",NA(),IF(LEFT(TRIM(Paramètres!O24),1)="F",INDEX($F$1679:$F$1731,MATCH(Paramètres!N24,Paramètres!$G$5:$G$57,0)),INDEX($E$1679:$E$1731,MATCH(Paramètres!N24,Paramètres!$G$5:$G$57,0)))+IF(RIGHT(TRIM(Paramètres!O24),3)="Fin",1-$H1698,IF(LEFT(TRIM(Paramètres!O24),1)="F",1,0)))))))</f>
        <v/>
      </c>
      <c r="F1698" s="19">
        <f>IF($A1698="","",E1698+$H1698-1)</f>
        <v/>
      </c>
      <c r="G1698" s="18" t="n"/>
      <c r="H1698" s="18">
        <f>IF($A1698="","",IF(I1698&lt;&gt;"",I1698,Paramètres!B24))</f>
        <v/>
      </c>
      <c r="I1698" s="18" t="n"/>
    </row>
    <row r="1699">
      <c r="A1699" s="18">
        <f>IF(ISNUMBER(Dossiers!$D$35),Dossiers!$A$35&amp;" · "&amp;Dossiers!$B$35,"")</f>
        <v/>
      </c>
      <c r="B1699" s="18">
        <f>IF($A1699="","",Paramètres!G25)</f>
        <v/>
      </c>
      <c r="C1699" s="18">
        <f>IF($A1699="","",IF(Paramètres!H25="","",Paramètres!H25))</f>
        <v/>
      </c>
      <c r="D1699" s="18">
        <f>IF($A1699="","",IF(Paramètres!I25="","",Paramètres!I25))</f>
        <v/>
      </c>
      <c r="E1699" s="19">
        <f>IF($A1699="","",IF(Paramètres!J25&amp;Paramètres!L25&amp;Paramètres!N25="",Dossiers!$D$35,MAX(IF(Paramètres!J25="",0,IF(Paramètres!K25="",NA(),IF(LEFT(TRIM(Paramètres!K25),1)="F",INDEX($F$1679:$F$1731,MATCH(Paramètres!J25,Paramètres!$G$5:$G$57,0)),INDEX($E$1679:$E$1731,MATCH(Paramètres!J25,Paramètres!$G$5:$G$57,0)))+IF(RIGHT(TRIM(Paramètres!K25),3)="Fin",1-$H1699,IF(LEFT(TRIM(Paramètres!K25),1)="F",1,0)))),IF(Paramètres!L25="",0,IF(Paramètres!M25="",NA(),IF(LEFT(TRIM(Paramètres!M25),1)="F",INDEX($F$1679:$F$1731,MATCH(Paramètres!L25,Paramètres!$G$5:$G$57,0)),INDEX($E$1679:$E$1731,MATCH(Paramètres!L25,Paramètres!$G$5:$G$57,0)))+IF(RIGHT(TRIM(Paramètres!M25),3)="Fin",1-$H1699,IF(LEFT(TRIM(Paramètres!M25),1)="F",1,0)))),IF(Paramètres!N25="",0,IF(Paramètres!O25="",NA(),IF(LEFT(TRIM(Paramètres!O25),1)="F",INDEX($F$1679:$F$1731,MATCH(Paramètres!N25,Paramètres!$G$5:$G$57,0)),INDEX($E$1679:$E$1731,MATCH(Paramètres!N25,Paramètres!$G$5:$G$57,0)))+IF(RIGHT(TRIM(Paramètres!O25),3)="Fin",1-$H1699,IF(LEFT(TRIM(Paramètres!O25),1)="F",1,0)))))))</f>
        <v/>
      </c>
      <c r="F1699" s="19">
        <f>IF($A1699="","",E1699+$H1699-1)</f>
        <v/>
      </c>
      <c r="G1699" s="18" t="n"/>
      <c r="H1699" s="18">
        <f>IF($A1699="","",IF(I1699&lt;&gt;"",I1699,Paramètres!B25))</f>
        <v/>
      </c>
      <c r="I1699" s="18" t="n"/>
    </row>
    <row r="1700">
      <c r="A1700" s="18">
        <f>IF(ISNUMBER(Dossiers!$D$35),Dossiers!$A$35&amp;" · "&amp;Dossiers!$B$35,"")</f>
        <v/>
      </c>
      <c r="B1700" s="18">
        <f>IF($A1700="","",Paramètres!G26)</f>
        <v/>
      </c>
      <c r="C1700" s="18">
        <f>IF($A1700="","",IF(Paramètres!H26="","",Paramètres!H26))</f>
        <v/>
      </c>
      <c r="D1700" s="18">
        <f>IF($A1700="","",IF(Paramètres!I26="","",Paramètres!I26))</f>
        <v/>
      </c>
      <c r="E1700" s="19">
        <f>IF($A1700="","",IF(Paramètres!J26&amp;Paramètres!L26&amp;Paramètres!N26="",Dossiers!$D$35,MAX(IF(Paramètres!J26="",0,IF(Paramètres!K26="",NA(),IF(LEFT(TRIM(Paramètres!K26),1)="F",INDEX($F$1679:$F$1731,MATCH(Paramètres!J26,Paramètres!$G$5:$G$57,0)),INDEX($E$1679:$E$1731,MATCH(Paramètres!J26,Paramètres!$G$5:$G$57,0)))+IF(RIGHT(TRIM(Paramètres!K26),3)="Fin",1-$H1700,IF(LEFT(TRIM(Paramètres!K26),1)="F",1,0)))),IF(Paramètres!L26="",0,IF(Paramètres!M26="",NA(),IF(LEFT(TRIM(Paramètres!M26),1)="F",INDEX($F$1679:$F$1731,MATCH(Paramètres!L26,Paramètres!$G$5:$G$57,0)),INDEX($E$1679:$E$1731,MATCH(Paramètres!L26,Paramètres!$G$5:$G$57,0)))+IF(RIGHT(TRIM(Paramètres!M26),3)="Fin",1-$H1700,IF(LEFT(TRIM(Paramètres!M26),1)="F",1,0)))),IF(Paramètres!N26="",0,IF(Paramètres!O26="",NA(),IF(LEFT(TRIM(Paramètres!O26),1)="F",INDEX($F$1679:$F$1731,MATCH(Paramètres!N26,Paramètres!$G$5:$G$57,0)),INDEX($E$1679:$E$1731,MATCH(Paramètres!N26,Paramètres!$G$5:$G$57,0)))+IF(RIGHT(TRIM(Paramètres!O26),3)="Fin",1-$H1700,IF(LEFT(TRIM(Paramètres!O26),1)="F",1,0)))))))</f>
        <v/>
      </c>
      <c r="F1700" s="19">
        <f>IF($A1700="","",E1700+$H1700-1)</f>
        <v/>
      </c>
      <c r="G1700" s="18" t="n"/>
      <c r="H1700" s="18">
        <f>IF($A1700="","",IF(I1700&lt;&gt;"",I1700,Paramètres!B26))</f>
        <v/>
      </c>
      <c r="I1700" s="18" t="n"/>
    </row>
    <row r="1701">
      <c r="A1701" s="18">
        <f>IF(ISNUMBER(Dossiers!$D$35),Dossiers!$A$35&amp;" · "&amp;Dossiers!$B$35,"")</f>
        <v/>
      </c>
      <c r="B1701" s="18">
        <f>IF($A1701="","",Paramètres!G27)</f>
        <v/>
      </c>
      <c r="C1701" s="18">
        <f>IF($A1701="","",IF(Paramètres!H27="","",Paramètres!H27))</f>
        <v/>
      </c>
      <c r="D1701" s="18">
        <f>IF($A1701="","",IF(Paramètres!I27="","",Paramètres!I27))</f>
        <v/>
      </c>
      <c r="E1701" s="19">
        <f>IF($A1701="","",IF(Paramètres!J27&amp;Paramètres!L27&amp;Paramètres!N27="",Dossiers!$D$35,MAX(IF(Paramètres!J27="",0,IF(Paramètres!K27="",NA(),IF(LEFT(TRIM(Paramètres!K27),1)="F",INDEX($F$1679:$F$1731,MATCH(Paramètres!J27,Paramètres!$G$5:$G$57,0)),INDEX($E$1679:$E$1731,MATCH(Paramètres!J27,Paramètres!$G$5:$G$57,0)))+IF(RIGHT(TRIM(Paramètres!K27),3)="Fin",1-$H1701,IF(LEFT(TRIM(Paramètres!K27),1)="F",1,0)))),IF(Paramètres!L27="",0,IF(Paramètres!M27="",NA(),IF(LEFT(TRIM(Paramètres!M27),1)="F",INDEX($F$1679:$F$1731,MATCH(Paramètres!L27,Paramètres!$G$5:$G$57,0)),INDEX($E$1679:$E$1731,MATCH(Paramètres!L27,Paramètres!$G$5:$G$57,0)))+IF(RIGHT(TRIM(Paramètres!M27),3)="Fin",1-$H1701,IF(LEFT(TRIM(Paramètres!M27),1)="F",1,0)))),IF(Paramètres!N27="",0,IF(Paramètres!O27="",NA(),IF(LEFT(TRIM(Paramètres!O27),1)="F",INDEX($F$1679:$F$1731,MATCH(Paramètres!N27,Paramètres!$G$5:$G$57,0)),INDEX($E$1679:$E$1731,MATCH(Paramètres!N27,Paramètres!$G$5:$G$57,0)))+IF(RIGHT(TRIM(Paramètres!O27),3)="Fin",1-$H1701,IF(LEFT(TRIM(Paramètres!O27),1)="F",1,0)))))))</f>
        <v/>
      </c>
      <c r="F1701" s="19">
        <f>IF($A1701="","",E1701+$H1701-1)</f>
        <v/>
      </c>
      <c r="G1701" s="18" t="n"/>
      <c r="H1701" s="18">
        <f>IF($A1701="","",IF(I1701&lt;&gt;"",I1701,Paramètres!B27))</f>
        <v/>
      </c>
      <c r="I1701" s="18" t="n"/>
    </row>
    <row r="1702">
      <c r="A1702" s="18">
        <f>IF(ISNUMBER(Dossiers!$D$35),Dossiers!$A$35&amp;" · "&amp;Dossiers!$B$35,"")</f>
        <v/>
      </c>
      <c r="B1702" s="18">
        <f>IF($A1702="","",Paramètres!G28)</f>
        <v/>
      </c>
      <c r="C1702" s="18">
        <f>IF($A1702="","",IF(Paramètres!H28="","",Paramètres!H28))</f>
        <v/>
      </c>
      <c r="D1702" s="18">
        <f>IF($A1702="","",IF(Paramètres!I28="","",Paramètres!I28))</f>
        <v/>
      </c>
      <c r="E1702" s="19">
        <f>IF($A1702="","",IF(Paramètres!J28&amp;Paramètres!L28&amp;Paramètres!N28="",Dossiers!$D$35,MAX(IF(Paramètres!J28="",0,IF(Paramètres!K28="",NA(),IF(LEFT(TRIM(Paramètres!K28),1)="F",INDEX($F$1679:$F$1731,MATCH(Paramètres!J28,Paramètres!$G$5:$G$57,0)),INDEX($E$1679:$E$1731,MATCH(Paramètres!J28,Paramètres!$G$5:$G$57,0)))+IF(RIGHT(TRIM(Paramètres!K28),3)="Fin",1-$H1702,IF(LEFT(TRIM(Paramètres!K28),1)="F",1,0)))),IF(Paramètres!L28="",0,IF(Paramètres!M28="",NA(),IF(LEFT(TRIM(Paramètres!M28),1)="F",INDEX($F$1679:$F$1731,MATCH(Paramètres!L28,Paramètres!$G$5:$G$57,0)),INDEX($E$1679:$E$1731,MATCH(Paramètres!L28,Paramètres!$G$5:$G$57,0)))+IF(RIGHT(TRIM(Paramètres!M28),3)="Fin",1-$H1702,IF(LEFT(TRIM(Paramètres!M28),1)="F",1,0)))),IF(Paramètres!N28="",0,IF(Paramètres!O28="",NA(),IF(LEFT(TRIM(Paramètres!O28),1)="F",INDEX($F$1679:$F$1731,MATCH(Paramètres!N28,Paramètres!$G$5:$G$57,0)),INDEX($E$1679:$E$1731,MATCH(Paramètres!N28,Paramètres!$G$5:$G$57,0)))+IF(RIGHT(TRIM(Paramètres!O28),3)="Fin",1-$H1702,IF(LEFT(TRIM(Paramètres!O28),1)="F",1,0)))))))</f>
        <v/>
      </c>
      <c r="F1702" s="19">
        <f>IF($A1702="","",E1702+$H1702-1)</f>
        <v/>
      </c>
      <c r="G1702" s="18" t="n"/>
      <c r="H1702" s="18">
        <f>IF($A1702="","",IF(I1702&lt;&gt;"",I1702,Paramètres!B28))</f>
        <v/>
      </c>
      <c r="I1702" s="18" t="n"/>
    </row>
    <row r="1703">
      <c r="A1703" s="18">
        <f>IF(ISNUMBER(Dossiers!$D$35),Dossiers!$A$35&amp;" · "&amp;Dossiers!$B$35,"")</f>
        <v/>
      </c>
      <c r="B1703" s="18">
        <f>IF($A1703="","",Paramètres!G29)</f>
        <v/>
      </c>
      <c r="C1703" s="18">
        <f>IF($A1703="","",IF(Paramètres!H29="","",Paramètres!H29))</f>
        <v/>
      </c>
      <c r="D1703" s="18">
        <f>IF($A1703="","",IF(Paramètres!I29="","",Paramètres!I29))</f>
        <v/>
      </c>
      <c r="E1703" s="19">
        <f>IF($A1703="","",IF(Paramètres!J29&amp;Paramètres!L29&amp;Paramètres!N29="",Dossiers!$D$35,MAX(IF(Paramètres!J29="",0,IF(Paramètres!K29="",NA(),IF(LEFT(TRIM(Paramètres!K29),1)="F",INDEX($F$1679:$F$1731,MATCH(Paramètres!J29,Paramètres!$G$5:$G$57,0)),INDEX($E$1679:$E$1731,MATCH(Paramètres!J29,Paramètres!$G$5:$G$57,0)))+IF(RIGHT(TRIM(Paramètres!K29),3)="Fin",1-$H1703,IF(LEFT(TRIM(Paramètres!K29),1)="F",1,0)))),IF(Paramètres!L29="",0,IF(Paramètres!M29="",NA(),IF(LEFT(TRIM(Paramètres!M29),1)="F",INDEX($F$1679:$F$1731,MATCH(Paramètres!L29,Paramètres!$G$5:$G$57,0)),INDEX($E$1679:$E$1731,MATCH(Paramètres!L29,Paramètres!$G$5:$G$57,0)))+IF(RIGHT(TRIM(Paramètres!M29),3)="Fin",1-$H1703,IF(LEFT(TRIM(Paramètres!M29),1)="F",1,0)))),IF(Paramètres!N29="",0,IF(Paramètres!O29="",NA(),IF(LEFT(TRIM(Paramètres!O29),1)="F",INDEX($F$1679:$F$1731,MATCH(Paramètres!N29,Paramètres!$G$5:$G$57,0)),INDEX($E$1679:$E$1731,MATCH(Paramètres!N29,Paramètres!$G$5:$G$57,0)))+IF(RIGHT(TRIM(Paramètres!O29),3)="Fin",1-$H1703,IF(LEFT(TRIM(Paramètres!O29),1)="F",1,0)))))))</f>
        <v/>
      </c>
      <c r="F1703" s="19">
        <f>IF($A1703="","",E1703+$H1703-1)</f>
        <v/>
      </c>
      <c r="G1703" s="18" t="n"/>
      <c r="H1703" s="18">
        <f>IF($A1703="","",IF(I1703&lt;&gt;"",I1703,Paramètres!B29))</f>
        <v/>
      </c>
      <c r="I1703" s="18" t="n"/>
    </row>
    <row r="1704">
      <c r="A1704" s="18">
        <f>IF(ISNUMBER(Dossiers!$D$35),Dossiers!$A$35&amp;" · "&amp;Dossiers!$B$35,"")</f>
        <v/>
      </c>
      <c r="B1704" s="18">
        <f>IF($A1704="","",Paramètres!G30)</f>
        <v/>
      </c>
      <c r="C1704" s="18">
        <f>IF($A1704="","",IF(Paramètres!H30="","",Paramètres!H30))</f>
        <v/>
      </c>
      <c r="D1704" s="18">
        <f>IF($A1704="","",IF(Paramètres!I30="","",Paramètres!I30))</f>
        <v/>
      </c>
      <c r="E1704" s="19">
        <f>IF($A1704="","",IF(Paramètres!J30&amp;Paramètres!L30&amp;Paramètres!N30="",Dossiers!$D$35,MAX(IF(Paramètres!J30="",0,IF(Paramètres!K30="",NA(),IF(LEFT(TRIM(Paramètres!K30),1)="F",INDEX($F$1679:$F$1731,MATCH(Paramètres!J30,Paramètres!$G$5:$G$57,0)),INDEX($E$1679:$E$1731,MATCH(Paramètres!J30,Paramètres!$G$5:$G$57,0)))+IF(RIGHT(TRIM(Paramètres!K30),3)="Fin",1-$H1704,IF(LEFT(TRIM(Paramètres!K30),1)="F",1,0)))),IF(Paramètres!L30="",0,IF(Paramètres!M30="",NA(),IF(LEFT(TRIM(Paramètres!M30),1)="F",INDEX($F$1679:$F$1731,MATCH(Paramètres!L30,Paramètres!$G$5:$G$57,0)),INDEX($E$1679:$E$1731,MATCH(Paramètres!L30,Paramètres!$G$5:$G$57,0)))+IF(RIGHT(TRIM(Paramètres!M30),3)="Fin",1-$H1704,IF(LEFT(TRIM(Paramètres!M30),1)="F",1,0)))),IF(Paramètres!N30="",0,IF(Paramètres!O30="",NA(),IF(LEFT(TRIM(Paramètres!O30),1)="F",INDEX($F$1679:$F$1731,MATCH(Paramètres!N30,Paramètres!$G$5:$G$57,0)),INDEX($E$1679:$E$1731,MATCH(Paramètres!N30,Paramètres!$G$5:$G$57,0)))+IF(RIGHT(TRIM(Paramètres!O30),3)="Fin",1-$H1704,IF(LEFT(TRIM(Paramètres!O30),1)="F",1,0)))))))</f>
        <v/>
      </c>
      <c r="F1704" s="19">
        <f>IF($A1704="","",E1704+$H1704-1)</f>
        <v/>
      </c>
      <c r="G1704" s="18" t="n"/>
      <c r="H1704" s="18">
        <f>IF($A1704="","",IF(I1704&lt;&gt;"",I1704,Paramètres!B30))</f>
        <v/>
      </c>
      <c r="I1704" s="18" t="n"/>
    </row>
    <row r="1705">
      <c r="A1705" s="18">
        <f>IF(ISNUMBER(Dossiers!$D$35),Dossiers!$A$35&amp;" · "&amp;Dossiers!$B$35,"")</f>
        <v/>
      </c>
      <c r="B1705" s="18">
        <f>IF($A1705="","",Paramètres!G31)</f>
        <v/>
      </c>
      <c r="C1705" s="20">
        <f>IF($A1705="","",IF(Dossiers!$F$35="","",Dossiers!$F$35))</f>
        <v/>
      </c>
      <c r="D1705" s="18">
        <f>IF($A1705="","",IF(Paramètres!I31="","",Paramètres!I31))</f>
        <v/>
      </c>
      <c r="E1705" s="19">
        <f>IF($A1705="","",IF(Paramètres!J31&amp;Paramètres!L31&amp;Paramètres!N31="",Dossiers!$D$35,MAX(IF(Paramètres!J31="",0,IF(Paramètres!K31="",NA(),IF(LEFT(TRIM(Paramètres!K31),1)="F",INDEX($F$1679:$F$1731,MATCH(Paramètres!J31,Paramètres!$G$5:$G$57,0)),INDEX($E$1679:$E$1731,MATCH(Paramètres!J31,Paramètres!$G$5:$G$57,0)))+IF(RIGHT(TRIM(Paramètres!K31),3)="Fin",1-$H1705,IF(LEFT(TRIM(Paramètres!K31),1)="F",1,0)))),IF(Paramètres!L31="",0,IF(Paramètres!M31="",NA(),IF(LEFT(TRIM(Paramètres!M31),1)="F",INDEX($F$1679:$F$1731,MATCH(Paramètres!L31,Paramètres!$G$5:$G$57,0)),INDEX($E$1679:$E$1731,MATCH(Paramètres!L31,Paramètres!$G$5:$G$57,0)))+IF(RIGHT(TRIM(Paramètres!M31),3)="Fin",1-$H1705,IF(LEFT(TRIM(Paramètres!M31),1)="F",1,0)))),IF(Paramètres!N31="",0,IF(Paramètres!O31="",NA(),IF(LEFT(TRIM(Paramètres!O31),1)="F",INDEX($F$1679:$F$1731,MATCH(Paramètres!N31,Paramètres!$G$5:$G$57,0)),INDEX($E$1679:$E$1731,MATCH(Paramètres!N31,Paramètres!$G$5:$G$57,0)))+IF(RIGHT(TRIM(Paramètres!O31),3)="Fin",1-$H1705,IF(LEFT(TRIM(Paramètres!O31),1)="F",1,0)))))))</f>
        <v/>
      </c>
      <c r="F1705" s="19">
        <f>IF($A1705="","",E1705+$H1705-1)</f>
        <v/>
      </c>
      <c r="G1705" s="18" t="n"/>
      <c r="H1705" s="18">
        <f>IF($A1705="","",IF(I1705&lt;&gt;"",I1705,Paramètres!B31))</f>
        <v/>
      </c>
      <c r="I1705" s="18" t="n"/>
    </row>
    <row r="1706">
      <c r="A1706" s="18">
        <f>IF(ISNUMBER(Dossiers!$D$35),Dossiers!$A$35&amp;" · "&amp;Dossiers!$B$35,"")</f>
        <v/>
      </c>
      <c r="B1706" s="18">
        <f>IF($A1706="","",Paramètres!G32)</f>
        <v/>
      </c>
      <c r="C1706" s="18">
        <f>IF($A1706="","",IF(Paramètres!H32="","",Paramètres!H32))</f>
        <v/>
      </c>
      <c r="D1706" s="18">
        <f>IF($A1706="","",IF(Paramètres!I32="","",Paramètres!I32))</f>
        <v/>
      </c>
      <c r="E1706" s="19">
        <f>IF($A1706="","",MIN(E1707:E1710))</f>
        <v/>
      </c>
      <c r="F1706" s="19">
        <f>IF($A1706="","",MAX(F1707:F1710))</f>
        <v/>
      </c>
      <c r="G1706" s="18" t="n"/>
      <c r="H1706" s="18">
        <f>IF($A1706="","",F1706-E1706+1)</f>
        <v/>
      </c>
      <c r="I1706" s="18" t="n"/>
    </row>
    <row r="1707">
      <c r="A1707" s="18">
        <f>IF(ISNUMBER(Dossiers!$D$35),Dossiers!$A$35&amp;" · "&amp;Dossiers!$B$35,"")</f>
        <v/>
      </c>
      <c r="B1707" s="18">
        <f>IF($A1707="","",Paramètres!G33)</f>
        <v/>
      </c>
      <c r="C1707" s="18">
        <f>IF($A1707="","",IF(Paramètres!H33="","",Paramètres!H33))</f>
        <v/>
      </c>
      <c r="D1707" s="18">
        <f>IF($A1707="","",IF(Paramètres!I33="","",Paramètres!I33))</f>
        <v/>
      </c>
      <c r="E1707" s="19">
        <f>IF($A1707="","",IF(Paramètres!J33&amp;Paramètres!L33&amp;Paramètres!N33="",Dossiers!$D$35,MAX(IF(Paramètres!J33="",0,IF(Paramètres!K33="",NA(),IF(LEFT(TRIM(Paramètres!K33),1)="F",INDEX($F$1679:$F$1731,MATCH(Paramètres!J33,Paramètres!$G$5:$G$57,0)),INDEX($E$1679:$E$1731,MATCH(Paramètres!J33,Paramètres!$G$5:$G$57,0)))+IF(RIGHT(TRIM(Paramètres!K33),3)="Fin",1-$H1707,IF(LEFT(TRIM(Paramètres!K33),1)="F",1,0)))),IF(Paramètres!L33="",0,IF(Paramètres!M33="",NA(),IF(LEFT(TRIM(Paramètres!M33),1)="F",INDEX($F$1679:$F$1731,MATCH(Paramètres!L33,Paramètres!$G$5:$G$57,0)),INDEX($E$1679:$E$1731,MATCH(Paramètres!L33,Paramètres!$G$5:$G$57,0)))+IF(RIGHT(TRIM(Paramètres!M33),3)="Fin",1-$H1707,IF(LEFT(TRIM(Paramètres!M33),1)="F",1,0)))),IF(Paramètres!N33="",0,IF(Paramètres!O33="",NA(),IF(LEFT(TRIM(Paramètres!O33),1)="F",INDEX($F$1679:$F$1731,MATCH(Paramètres!N33,Paramètres!$G$5:$G$57,0)),INDEX($E$1679:$E$1731,MATCH(Paramètres!N33,Paramètres!$G$5:$G$57,0)))+IF(RIGHT(TRIM(Paramètres!O33),3)="Fin",1-$H1707,IF(LEFT(TRIM(Paramètres!O33),1)="F",1,0)))))))</f>
        <v/>
      </c>
      <c r="F1707" s="19">
        <f>IF($A1707="","",E1707+$H1707-1)</f>
        <v/>
      </c>
      <c r="G1707" s="18" t="n"/>
      <c r="H1707" s="18">
        <f>IF($A1707="","",IF(I1707&lt;&gt;"",I1707,Paramètres!B33))</f>
        <v/>
      </c>
      <c r="I1707" s="18" t="n"/>
    </row>
    <row r="1708">
      <c r="A1708" s="18">
        <f>IF(ISNUMBER(Dossiers!$D$35),Dossiers!$A$35&amp;" · "&amp;Dossiers!$B$35,"")</f>
        <v/>
      </c>
      <c r="B1708" s="18">
        <f>IF($A1708="","",Paramètres!G34)</f>
        <v/>
      </c>
      <c r="C1708" s="18">
        <f>IF($A1708="","",IF(Paramètres!H34="","",Paramètres!H34))</f>
        <v/>
      </c>
      <c r="D1708" s="18">
        <f>IF($A1708="","",IF(Paramètres!I34="","",Paramètres!I34))</f>
        <v/>
      </c>
      <c r="E1708" s="19">
        <f>IF($A1708="","",IF(Paramètres!J34&amp;Paramètres!L34&amp;Paramètres!N34="",Dossiers!$D$35,MAX(IF(Paramètres!J34="",0,IF(Paramètres!K34="",NA(),IF(LEFT(TRIM(Paramètres!K34),1)="F",INDEX($F$1679:$F$1731,MATCH(Paramètres!J34,Paramètres!$G$5:$G$57,0)),INDEX($E$1679:$E$1731,MATCH(Paramètres!J34,Paramètres!$G$5:$G$57,0)))+IF(RIGHT(TRIM(Paramètres!K34),3)="Fin",1-$H1708,IF(LEFT(TRIM(Paramètres!K34),1)="F",1,0)))),IF(Paramètres!L34="",0,IF(Paramètres!M34="",NA(),IF(LEFT(TRIM(Paramètres!M34),1)="F",INDEX($F$1679:$F$1731,MATCH(Paramètres!L34,Paramètres!$G$5:$G$57,0)),INDEX($E$1679:$E$1731,MATCH(Paramètres!L34,Paramètres!$G$5:$G$57,0)))+IF(RIGHT(TRIM(Paramètres!M34),3)="Fin",1-$H1708,IF(LEFT(TRIM(Paramètres!M34),1)="F",1,0)))),IF(Paramètres!N34="",0,IF(Paramètres!O34="",NA(),IF(LEFT(TRIM(Paramètres!O34),1)="F",INDEX($F$1679:$F$1731,MATCH(Paramètres!N34,Paramètres!$G$5:$G$57,0)),INDEX($E$1679:$E$1731,MATCH(Paramètres!N34,Paramètres!$G$5:$G$57,0)))+IF(RIGHT(TRIM(Paramètres!O34),3)="Fin",1-$H1708,IF(LEFT(TRIM(Paramètres!O34),1)="F",1,0)))))))</f>
        <v/>
      </c>
      <c r="F1708" s="19">
        <f>IF($A1708="","",E1708+$H1708-1)</f>
        <v/>
      </c>
      <c r="G1708" s="18" t="n"/>
      <c r="H1708" s="18">
        <f>IF($A1708="","",IF(I1708&lt;&gt;"",I1708,Paramètres!B34))</f>
        <v/>
      </c>
      <c r="I1708" s="18" t="n"/>
    </row>
    <row r="1709">
      <c r="A1709" s="18">
        <f>IF(ISNUMBER(Dossiers!$D$35),Dossiers!$A$35&amp;" · "&amp;Dossiers!$B$35,"")</f>
        <v/>
      </c>
      <c r="B1709" s="18">
        <f>IF($A1709="","",Paramètres!G35)</f>
        <v/>
      </c>
      <c r="C1709" s="18">
        <f>IF($A1709="","",IF(Paramètres!H35="","",Paramètres!H35))</f>
        <v/>
      </c>
      <c r="D1709" s="18">
        <f>IF($A1709="","",IF(Paramètres!I35="","",Paramètres!I35))</f>
        <v/>
      </c>
      <c r="E1709" s="19">
        <f>IF($A1709="","",IF(Paramètres!J35&amp;Paramètres!L35&amp;Paramètres!N35="",Dossiers!$D$35,MAX(IF(Paramètres!J35="",0,IF(Paramètres!K35="",NA(),IF(LEFT(TRIM(Paramètres!K35),1)="F",INDEX($F$1679:$F$1731,MATCH(Paramètres!J35,Paramètres!$G$5:$G$57,0)),INDEX($E$1679:$E$1731,MATCH(Paramètres!J35,Paramètres!$G$5:$G$57,0)))+IF(RIGHT(TRIM(Paramètres!K35),3)="Fin",1-$H1709,IF(LEFT(TRIM(Paramètres!K35),1)="F",1,0)))),IF(Paramètres!L35="",0,IF(Paramètres!M35="",NA(),IF(LEFT(TRIM(Paramètres!M35),1)="F",INDEX($F$1679:$F$1731,MATCH(Paramètres!L35,Paramètres!$G$5:$G$57,0)),INDEX($E$1679:$E$1731,MATCH(Paramètres!L35,Paramètres!$G$5:$G$57,0)))+IF(RIGHT(TRIM(Paramètres!M35),3)="Fin",1-$H1709,IF(LEFT(TRIM(Paramètres!M35),1)="F",1,0)))),IF(Paramètres!N35="",0,IF(Paramètres!O35="",NA(),IF(LEFT(TRIM(Paramètres!O35),1)="F",INDEX($F$1679:$F$1731,MATCH(Paramètres!N35,Paramètres!$G$5:$G$57,0)),INDEX($E$1679:$E$1731,MATCH(Paramètres!N35,Paramètres!$G$5:$G$57,0)))+IF(RIGHT(TRIM(Paramètres!O35),3)="Fin",1-$H1709,IF(LEFT(TRIM(Paramètres!O35),1)="F",1,0)))))))</f>
        <v/>
      </c>
      <c r="F1709" s="19">
        <f>IF($A1709="","",E1709+$H1709-1)</f>
        <v/>
      </c>
      <c r="G1709" s="18" t="n"/>
      <c r="H1709" s="18">
        <f>IF($A1709="","",IF(I1709&lt;&gt;"",I1709,Paramètres!B35))</f>
        <v/>
      </c>
      <c r="I1709" s="18" t="n"/>
    </row>
    <row r="1710">
      <c r="A1710" s="18">
        <f>IF(ISNUMBER(Dossiers!$D$35),Dossiers!$A$35&amp;" · "&amp;Dossiers!$B$35,"")</f>
        <v/>
      </c>
      <c r="B1710" s="18">
        <f>IF($A1710="","",Paramètres!G36)</f>
        <v/>
      </c>
      <c r="C1710" s="18">
        <f>IF($A1710="","",IF(Paramètres!H36="","",Paramètres!H36))</f>
        <v/>
      </c>
      <c r="D1710" s="18">
        <f>IF($A1710="","",IF(Paramètres!I36="","",Paramètres!I36))</f>
        <v/>
      </c>
      <c r="E1710" s="19">
        <f>IF($A1710="","",IF(Paramètres!J36&amp;Paramètres!L36&amp;Paramètres!N36="",Dossiers!$D$35,MAX(IF(Paramètres!J36="",0,IF(Paramètres!K36="",NA(),IF(LEFT(TRIM(Paramètres!K36),1)="F",INDEX($F$1679:$F$1731,MATCH(Paramètres!J36,Paramètres!$G$5:$G$57,0)),INDEX($E$1679:$E$1731,MATCH(Paramètres!J36,Paramètres!$G$5:$G$57,0)))+IF(RIGHT(TRIM(Paramètres!K36),3)="Fin",1-$H1710,IF(LEFT(TRIM(Paramètres!K36),1)="F",1,0)))),IF(Paramètres!L36="",0,IF(Paramètres!M36="",NA(),IF(LEFT(TRIM(Paramètres!M36),1)="F",INDEX($F$1679:$F$1731,MATCH(Paramètres!L36,Paramètres!$G$5:$G$57,0)),INDEX($E$1679:$E$1731,MATCH(Paramètres!L36,Paramètres!$G$5:$G$57,0)))+IF(RIGHT(TRIM(Paramètres!M36),3)="Fin",1-$H1710,IF(LEFT(TRIM(Paramètres!M36),1)="F",1,0)))),IF(Paramètres!N36="",0,IF(Paramètres!O36="",NA(),IF(LEFT(TRIM(Paramètres!O36),1)="F",INDEX($F$1679:$F$1731,MATCH(Paramètres!N36,Paramètres!$G$5:$G$57,0)),INDEX($E$1679:$E$1731,MATCH(Paramètres!N36,Paramètres!$G$5:$G$57,0)))+IF(RIGHT(TRIM(Paramètres!O36),3)="Fin",1-$H1710,IF(LEFT(TRIM(Paramètres!O36),1)="F",1,0)))))))</f>
        <v/>
      </c>
      <c r="F1710" s="19">
        <f>IF($A1710="","",E1710+$H1710-1)</f>
        <v/>
      </c>
      <c r="G1710" s="18" t="n"/>
      <c r="H1710" s="18">
        <f>IF($A1710="","",IF(I1710&lt;&gt;"",I1710,Paramètres!B36))</f>
        <v/>
      </c>
      <c r="I1710" s="18" t="n"/>
    </row>
    <row r="1711">
      <c r="A1711" s="18">
        <f>IF(ISNUMBER(Dossiers!$D$35),Dossiers!$A$35&amp;" · "&amp;Dossiers!$B$35,"")</f>
        <v/>
      </c>
      <c r="B1711" s="18">
        <f>IF($A1711="","",Paramètres!G37)</f>
        <v/>
      </c>
      <c r="C1711" s="18">
        <f>IF($A1711="","",IF(Paramètres!H37="","",Paramètres!H37))</f>
        <v/>
      </c>
      <c r="D1711" s="18">
        <f>IF($A1711="","",IF(Paramètres!I37="","",Paramètres!I37))</f>
        <v/>
      </c>
      <c r="E1711" s="19">
        <f>IF($A1711="","",MIN(E1712:E1729))</f>
        <v/>
      </c>
      <c r="F1711" s="19">
        <f>IF($A1711="","",MAX(F1712:F1729))</f>
        <v/>
      </c>
      <c r="G1711" s="18" t="n"/>
      <c r="H1711" s="18">
        <f>IF($A1711="","",F1711-E1711+1)</f>
        <v/>
      </c>
      <c r="I1711" s="18" t="n"/>
    </row>
    <row r="1712">
      <c r="A1712" s="18">
        <f>IF(ISNUMBER(Dossiers!$D$35),Dossiers!$A$35&amp;" · "&amp;Dossiers!$B$35,"")</f>
        <v/>
      </c>
      <c r="B1712" s="18">
        <f>IF($A1712="","",Paramètres!G38)</f>
        <v/>
      </c>
      <c r="C1712" s="18">
        <f>IF($A1712="","",IF(Paramètres!H38="","",Paramètres!H38))</f>
        <v/>
      </c>
      <c r="D1712" s="18">
        <f>IF($A1712="","",IF(Paramètres!I38="","",Paramètres!I38))</f>
        <v/>
      </c>
      <c r="E1712" s="19">
        <f>IF($A1712="","",IF(Paramètres!J38&amp;Paramètres!L38&amp;Paramètres!N38="",Dossiers!$D$35,MAX(IF(Paramètres!J38="",0,IF(Paramètres!K38="",NA(),IF(LEFT(TRIM(Paramètres!K38),1)="F",INDEX($F$1679:$F$1731,MATCH(Paramètres!J38,Paramètres!$G$5:$G$57,0)),INDEX($E$1679:$E$1731,MATCH(Paramètres!J38,Paramètres!$G$5:$G$57,0)))+IF(RIGHT(TRIM(Paramètres!K38),3)="Fin",1-$H1712,IF(LEFT(TRIM(Paramètres!K38),1)="F",1,0)))),IF(Paramètres!L38="",0,IF(Paramètres!M38="",NA(),IF(LEFT(TRIM(Paramètres!M38),1)="F",INDEX($F$1679:$F$1731,MATCH(Paramètres!L38,Paramètres!$G$5:$G$57,0)),INDEX($E$1679:$E$1731,MATCH(Paramètres!L38,Paramètres!$G$5:$G$57,0)))+IF(RIGHT(TRIM(Paramètres!M38),3)="Fin",1-$H1712,IF(LEFT(TRIM(Paramètres!M38),1)="F",1,0)))),IF(Paramètres!N38="",0,IF(Paramètres!O38="",NA(),IF(LEFT(TRIM(Paramètres!O38),1)="F",INDEX($F$1679:$F$1731,MATCH(Paramètres!N38,Paramètres!$G$5:$G$57,0)),INDEX($E$1679:$E$1731,MATCH(Paramètres!N38,Paramètres!$G$5:$G$57,0)))+IF(RIGHT(TRIM(Paramètres!O38),3)="Fin",1-$H1712,IF(LEFT(TRIM(Paramètres!O38),1)="F",1,0)))))))</f>
        <v/>
      </c>
      <c r="F1712" s="19">
        <f>IF($A1712="","",E1712+$H1712-1)</f>
        <v/>
      </c>
      <c r="G1712" s="18" t="n"/>
      <c r="H1712" s="18">
        <f>IF($A1712="","",IF(I1712&lt;&gt;"",I1712,Paramètres!B38))</f>
        <v/>
      </c>
      <c r="I1712" s="18" t="n"/>
    </row>
    <row r="1713">
      <c r="A1713" s="18">
        <f>IF(ISNUMBER(Dossiers!$D$35),Dossiers!$A$35&amp;" · "&amp;Dossiers!$B$35,"")</f>
        <v/>
      </c>
      <c r="B1713" s="18">
        <f>IF($A1713="","",Paramètres!G39)</f>
        <v/>
      </c>
      <c r="C1713" s="18">
        <f>IF($A1713="","",IF(Paramètres!H39="","",Paramètres!H39))</f>
        <v/>
      </c>
      <c r="D1713" s="18">
        <f>IF($A1713="","",IF(Paramètres!I39="","",Paramètres!I39))</f>
        <v/>
      </c>
      <c r="E1713" s="19">
        <f>IF($A1713="","",IF(Paramètres!J39&amp;Paramètres!L39&amp;Paramètres!N39="",Dossiers!$D$35,MAX(IF(Paramètres!J39="",0,IF(Paramètres!K39="",NA(),IF(LEFT(TRIM(Paramètres!K39),1)="F",INDEX($F$1679:$F$1731,MATCH(Paramètres!J39,Paramètres!$G$5:$G$57,0)),INDEX($E$1679:$E$1731,MATCH(Paramètres!J39,Paramètres!$G$5:$G$57,0)))+IF(RIGHT(TRIM(Paramètres!K39),3)="Fin",1-$H1713,IF(LEFT(TRIM(Paramètres!K39),1)="F",1,0)))),IF(Paramètres!L39="",0,IF(Paramètres!M39="",NA(),IF(LEFT(TRIM(Paramètres!M39),1)="F",INDEX($F$1679:$F$1731,MATCH(Paramètres!L39,Paramètres!$G$5:$G$57,0)),INDEX($E$1679:$E$1731,MATCH(Paramètres!L39,Paramètres!$G$5:$G$57,0)))+IF(RIGHT(TRIM(Paramètres!M39),3)="Fin",1-$H1713,IF(LEFT(TRIM(Paramètres!M39),1)="F",1,0)))),IF(Paramètres!N39="",0,IF(Paramètres!O39="",NA(),IF(LEFT(TRIM(Paramètres!O39),1)="F",INDEX($F$1679:$F$1731,MATCH(Paramètres!N39,Paramètres!$G$5:$G$57,0)),INDEX($E$1679:$E$1731,MATCH(Paramètres!N39,Paramètres!$G$5:$G$57,0)))+IF(RIGHT(TRIM(Paramètres!O39),3)="Fin",1-$H1713,IF(LEFT(TRIM(Paramètres!O39),1)="F",1,0)))))))</f>
        <v/>
      </c>
      <c r="F1713" s="19">
        <f>IF($A1713="","",E1713+$H1713-1)</f>
        <v/>
      </c>
      <c r="G1713" s="18" t="n"/>
      <c r="H1713" s="18">
        <f>IF($A1713="","",IF(I1713&lt;&gt;"",I1713,Paramètres!B39))</f>
        <v/>
      </c>
      <c r="I1713" s="18" t="n"/>
    </row>
    <row r="1714">
      <c r="A1714" s="18">
        <f>IF(ISNUMBER(Dossiers!$D$35),Dossiers!$A$35&amp;" · "&amp;Dossiers!$B$35,"")</f>
        <v/>
      </c>
      <c r="B1714" s="18">
        <f>IF($A1714="","",Paramètres!G40)</f>
        <v/>
      </c>
      <c r="C1714" s="18">
        <f>IF($A1714="","",IF(Paramètres!H40="","",Paramètres!H40))</f>
        <v/>
      </c>
      <c r="D1714" s="18">
        <f>IF($A1714="","",IF(Paramètres!I40="","",Paramètres!I40))</f>
        <v/>
      </c>
      <c r="E1714" s="19">
        <f>IF($A1714="","",IF(Paramètres!J40&amp;Paramètres!L40&amp;Paramètres!N40="",Dossiers!$D$35,MAX(IF(Paramètres!J40="",0,IF(Paramètres!K40="",NA(),IF(LEFT(TRIM(Paramètres!K40),1)="F",INDEX($F$1679:$F$1731,MATCH(Paramètres!J40,Paramètres!$G$5:$G$57,0)),INDEX($E$1679:$E$1731,MATCH(Paramètres!J40,Paramètres!$G$5:$G$57,0)))+IF(RIGHT(TRIM(Paramètres!K40),3)="Fin",1-$H1714,IF(LEFT(TRIM(Paramètres!K40),1)="F",1,0)))),IF(Paramètres!L40="",0,IF(Paramètres!M40="",NA(),IF(LEFT(TRIM(Paramètres!M40),1)="F",INDEX($F$1679:$F$1731,MATCH(Paramètres!L40,Paramètres!$G$5:$G$57,0)),INDEX($E$1679:$E$1731,MATCH(Paramètres!L40,Paramètres!$G$5:$G$57,0)))+IF(RIGHT(TRIM(Paramètres!M40),3)="Fin",1-$H1714,IF(LEFT(TRIM(Paramètres!M40),1)="F",1,0)))),IF(Paramètres!N40="",0,IF(Paramètres!O40="",NA(),IF(LEFT(TRIM(Paramètres!O40),1)="F",INDEX($F$1679:$F$1731,MATCH(Paramètres!N40,Paramètres!$G$5:$G$57,0)),INDEX($E$1679:$E$1731,MATCH(Paramètres!N40,Paramètres!$G$5:$G$57,0)))+IF(RIGHT(TRIM(Paramètres!O40),3)="Fin",1-$H1714,IF(LEFT(TRIM(Paramètres!O40),1)="F",1,0)))))))</f>
        <v/>
      </c>
      <c r="F1714" s="19">
        <f>IF($A1714="","",E1714+$H1714-1)</f>
        <v/>
      </c>
      <c r="G1714" s="18" t="n"/>
      <c r="H1714" s="18">
        <f>IF($A1714="","",IF(I1714&lt;&gt;"",I1714,Paramètres!B40))</f>
        <v/>
      </c>
      <c r="I1714" s="18" t="n"/>
    </row>
    <row r="1715">
      <c r="A1715" s="18">
        <f>IF(ISNUMBER(Dossiers!$D$35),Dossiers!$A$35&amp;" · "&amp;Dossiers!$B$35,"")</f>
        <v/>
      </c>
      <c r="B1715" s="18">
        <f>IF($A1715="","",Paramètres!G41)</f>
        <v/>
      </c>
      <c r="C1715" s="18">
        <f>IF($A1715="","",IF(Paramètres!H41="","",Paramètres!H41))</f>
        <v/>
      </c>
      <c r="D1715" s="18">
        <f>IF($A1715="","",IF(Paramètres!I41="","",Paramètres!I41))</f>
        <v/>
      </c>
      <c r="E1715" s="19">
        <f>IF($A1715="","",IF(Paramètres!J41&amp;Paramètres!L41&amp;Paramètres!N41="",Dossiers!$D$35,MAX(IF(Paramètres!J41="",0,IF(Paramètres!K41="",NA(),IF(LEFT(TRIM(Paramètres!K41),1)="F",INDEX($F$1679:$F$1731,MATCH(Paramètres!J41,Paramètres!$G$5:$G$57,0)),INDEX($E$1679:$E$1731,MATCH(Paramètres!J41,Paramètres!$G$5:$G$57,0)))+IF(RIGHT(TRIM(Paramètres!K41),3)="Fin",1-$H1715,IF(LEFT(TRIM(Paramètres!K41),1)="F",1,0)))),IF(Paramètres!L41="",0,IF(Paramètres!M41="",NA(),IF(LEFT(TRIM(Paramètres!M41),1)="F",INDEX($F$1679:$F$1731,MATCH(Paramètres!L41,Paramètres!$G$5:$G$57,0)),INDEX($E$1679:$E$1731,MATCH(Paramètres!L41,Paramètres!$G$5:$G$57,0)))+IF(RIGHT(TRIM(Paramètres!M41),3)="Fin",1-$H1715,IF(LEFT(TRIM(Paramètres!M41),1)="F",1,0)))),IF(Paramètres!N41="",0,IF(Paramètres!O41="",NA(),IF(LEFT(TRIM(Paramètres!O41),1)="F",INDEX($F$1679:$F$1731,MATCH(Paramètres!N41,Paramètres!$G$5:$G$57,0)),INDEX($E$1679:$E$1731,MATCH(Paramètres!N41,Paramètres!$G$5:$G$57,0)))+IF(RIGHT(TRIM(Paramètres!O41),3)="Fin",1-$H1715,IF(LEFT(TRIM(Paramètres!O41),1)="F",1,0)))))))</f>
        <v/>
      </c>
      <c r="F1715" s="19">
        <f>IF($A1715="","",E1715+$H1715-1)</f>
        <v/>
      </c>
      <c r="G1715" s="18" t="n"/>
      <c r="H1715" s="18">
        <f>IF($A1715="","",IF(I1715&lt;&gt;"",I1715,Paramètres!B41))</f>
        <v/>
      </c>
      <c r="I1715" s="18" t="n"/>
    </row>
    <row r="1716">
      <c r="A1716" s="18">
        <f>IF(ISNUMBER(Dossiers!$D$35),Dossiers!$A$35&amp;" · "&amp;Dossiers!$B$35,"")</f>
        <v/>
      </c>
      <c r="B1716" s="18">
        <f>IF($A1716="","",Paramètres!G42)</f>
        <v/>
      </c>
      <c r="C1716" s="18">
        <f>IF($A1716="","",IF(Paramètres!H42="","",Paramètres!H42))</f>
        <v/>
      </c>
      <c r="D1716" s="18">
        <f>IF($A1716="","",IF(Paramètres!I42="","",Paramètres!I42))</f>
        <v/>
      </c>
      <c r="E1716" s="19">
        <f>IF($A1716="","",IF(Paramètres!J42&amp;Paramètres!L42&amp;Paramètres!N42="",Dossiers!$D$35,MAX(IF(Paramètres!J42="",0,IF(Paramètres!K42="",NA(),IF(LEFT(TRIM(Paramètres!K42),1)="F",INDEX($F$1679:$F$1731,MATCH(Paramètres!J42,Paramètres!$G$5:$G$57,0)),INDEX($E$1679:$E$1731,MATCH(Paramètres!J42,Paramètres!$G$5:$G$57,0)))+IF(RIGHT(TRIM(Paramètres!K42),3)="Fin",1-$H1716,IF(LEFT(TRIM(Paramètres!K42),1)="F",1,0)))),IF(Paramètres!L42="",0,IF(Paramètres!M42="",NA(),IF(LEFT(TRIM(Paramètres!M42),1)="F",INDEX($F$1679:$F$1731,MATCH(Paramètres!L42,Paramètres!$G$5:$G$57,0)),INDEX($E$1679:$E$1731,MATCH(Paramètres!L42,Paramètres!$G$5:$G$57,0)))+IF(RIGHT(TRIM(Paramètres!M42),3)="Fin",1-$H1716,IF(LEFT(TRIM(Paramètres!M42),1)="F",1,0)))),IF(Paramètres!N42="",0,IF(Paramètres!O42="",NA(),IF(LEFT(TRIM(Paramètres!O42),1)="F",INDEX($F$1679:$F$1731,MATCH(Paramètres!N42,Paramètres!$G$5:$G$57,0)),INDEX($E$1679:$E$1731,MATCH(Paramètres!N42,Paramètres!$G$5:$G$57,0)))+IF(RIGHT(TRIM(Paramètres!O42),3)="Fin",1-$H1716,IF(LEFT(TRIM(Paramètres!O42),1)="F",1,0)))))))</f>
        <v/>
      </c>
      <c r="F1716" s="19">
        <f>IF($A1716="","",E1716+$H1716-1)</f>
        <v/>
      </c>
      <c r="G1716" s="18" t="n"/>
      <c r="H1716" s="18">
        <f>IF($A1716="","",IF(I1716&lt;&gt;"",I1716,Paramètres!B42))</f>
        <v/>
      </c>
      <c r="I1716" s="18" t="n"/>
    </row>
    <row r="1717">
      <c r="A1717" s="18">
        <f>IF(ISNUMBER(Dossiers!$D$35),Dossiers!$A$35&amp;" · "&amp;Dossiers!$B$35,"")</f>
        <v/>
      </c>
      <c r="B1717" s="18">
        <f>IF($A1717="","",Paramètres!G43)</f>
        <v/>
      </c>
      <c r="C1717" s="18">
        <f>IF($A1717="","",IF(Paramètres!H43="","",Paramètres!H43))</f>
        <v/>
      </c>
      <c r="D1717" s="18">
        <f>IF($A1717="","",IF(Paramètres!I43="","",Paramètres!I43))</f>
        <v/>
      </c>
      <c r="E1717" s="19">
        <f>IF($A1717="","",IF(Paramètres!J43&amp;Paramètres!L43&amp;Paramètres!N43="",Dossiers!$D$35,MAX(IF(Paramètres!J43="",0,IF(Paramètres!K43="",NA(),IF(LEFT(TRIM(Paramètres!K43),1)="F",INDEX($F$1679:$F$1731,MATCH(Paramètres!J43,Paramètres!$G$5:$G$57,0)),INDEX($E$1679:$E$1731,MATCH(Paramètres!J43,Paramètres!$G$5:$G$57,0)))+IF(RIGHT(TRIM(Paramètres!K43),3)="Fin",1-$H1717,IF(LEFT(TRIM(Paramètres!K43),1)="F",1,0)))),IF(Paramètres!L43="",0,IF(Paramètres!M43="",NA(),IF(LEFT(TRIM(Paramètres!M43),1)="F",INDEX($F$1679:$F$1731,MATCH(Paramètres!L43,Paramètres!$G$5:$G$57,0)),INDEX($E$1679:$E$1731,MATCH(Paramètres!L43,Paramètres!$G$5:$G$57,0)))+IF(RIGHT(TRIM(Paramètres!M43),3)="Fin",1-$H1717,IF(LEFT(TRIM(Paramètres!M43),1)="F",1,0)))),IF(Paramètres!N43="",0,IF(Paramètres!O43="",NA(),IF(LEFT(TRIM(Paramètres!O43),1)="F",INDEX($F$1679:$F$1731,MATCH(Paramètres!N43,Paramètres!$G$5:$G$57,0)),INDEX($E$1679:$E$1731,MATCH(Paramètres!N43,Paramètres!$G$5:$G$57,0)))+IF(RIGHT(TRIM(Paramètres!O43),3)="Fin",1-$H1717,IF(LEFT(TRIM(Paramètres!O43),1)="F",1,0)))))))</f>
        <v/>
      </c>
      <c r="F1717" s="19">
        <f>IF($A1717="","",E1717+$H1717-1)</f>
        <v/>
      </c>
      <c r="G1717" s="18" t="n"/>
      <c r="H1717" s="18">
        <f>IF($A1717="","",IF(I1717&lt;&gt;"",I1717,Paramètres!B43))</f>
        <v/>
      </c>
      <c r="I1717" s="18" t="n"/>
    </row>
    <row r="1718">
      <c r="A1718" s="18">
        <f>IF(ISNUMBER(Dossiers!$D$35),Dossiers!$A$35&amp;" · "&amp;Dossiers!$B$35,"")</f>
        <v/>
      </c>
      <c r="B1718" s="18">
        <f>IF($A1718="","",Paramètres!G44)</f>
        <v/>
      </c>
      <c r="C1718" s="18">
        <f>IF($A1718="","",IF(Paramètres!H44="","",Paramètres!H44))</f>
        <v/>
      </c>
      <c r="D1718" s="18">
        <f>IF($A1718="","",IF(Paramètres!I44="","",Paramètres!I44))</f>
        <v/>
      </c>
      <c r="E1718" s="19">
        <f>IF($A1718="","",IF(Paramètres!J44&amp;Paramètres!L44&amp;Paramètres!N44="",Dossiers!$D$35,MAX(IF(Paramètres!J44="",0,IF(Paramètres!K44="",NA(),IF(LEFT(TRIM(Paramètres!K44),1)="F",INDEX($F$1679:$F$1731,MATCH(Paramètres!J44,Paramètres!$G$5:$G$57,0)),INDEX($E$1679:$E$1731,MATCH(Paramètres!J44,Paramètres!$G$5:$G$57,0)))+IF(RIGHT(TRIM(Paramètres!K44),3)="Fin",1-$H1718,IF(LEFT(TRIM(Paramètres!K44),1)="F",1,0)))),IF(Paramètres!L44="",0,IF(Paramètres!M44="",NA(),IF(LEFT(TRIM(Paramètres!M44),1)="F",INDEX($F$1679:$F$1731,MATCH(Paramètres!L44,Paramètres!$G$5:$G$57,0)),INDEX($E$1679:$E$1731,MATCH(Paramètres!L44,Paramètres!$G$5:$G$57,0)))+IF(RIGHT(TRIM(Paramètres!M44),3)="Fin",1-$H1718,IF(LEFT(TRIM(Paramètres!M44),1)="F",1,0)))),IF(Paramètres!N44="",0,IF(Paramètres!O44="",NA(),IF(LEFT(TRIM(Paramètres!O44),1)="F",INDEX($F$1679:$F$1731,MATCH(Paramètres!N44,Paramètres!$G$5:$G$57,0)),INDEX($E$1679:$E$1731,MATCH(Paramètres!N44,Paramètres!$G$5:$G$57,0)))+IF(RIGHT(TRIM(Paramètres!O44),3)="Fin",1-$H1718,IF(LEFT(TRIM(Paramètres!O44),1)="F",1,0)))))))</f>
        <v/>
      </c>
      <c r="F1718" s="19">
        <f>IF($A1718="","",E1718+$H1718-1)</f>
        <v/>
      </c>
      <c r="G1718" s="18" t="n"/>
      <c r="H1718" s="18">
        <f>IF($A1718="","",IF(I1718&lt;&gt;"",I1718,Paramètres!B44))</f>
        <v/>
      </c>
      <c r="I1718" s="18" t="n"/>
    </row>
    <row r="1719">
      <c r="A1719" s="18">
        <f>IF(ISNUMBER(Dossiers!$D$35),Dossiers!$A$35&amp;" · "&amp;Dossiers!$B$35,"")</f>
        <v/>
      </c>
      <c r="B1719" s="18">
        <f>IF($A1719="","",Paramètres!G45)</f>
        <v/>
      </c>
      <c r="C1719" s="20">
        <f>IF($A1719="","",IF(Dossiers!$G$35="","",Dossiers!$G$35))</f>
        <v/>
      </c>
      <c r="D1719" s="18">
        <f>IF($A1719="","",IF(Paramètres!I45="","",Paramètres!I45))</f>
        <v/>
      </c>
      <c r="E1719" s="19">
        <f>IF($A1719="","",IF(Paramètres!J45&amp;Paramètres!L45&amp;Paramètres!N45="",Dossiers!$D$35,MAX(IF(Paramètres!J45="",0,IF(Paramètres!K45="",NA(),IF(LEFT(TRIM(Paramètres!K45),1)="F",INDEX($F$1679:$F$1731,MATCH(Paramètres!J45,Paramètres!$G$5:$G$57,0)),INDEX($E$1679:$E$1731,MATCH(Paramètres!J45,Paramètres!$G$5:$G$57,0)))+IF(RIGHT(TRIM(Paramètres!K45),3)="Fin",1-$H1719,IF(LEFT(TRIM(Paramètres!K45),1)="F",1,0)))),IF(Paramètres!L45="",0,IF(Paramètres!M45="",NA(),IF(LEFT(TRIM(Paramètres!M45),1)="F",INDEX($F$1679:$F$1731,MATCH(Paramètres!L45,Paramètres!$G$5:$G$57,0)),INDEX($E$1679:$E$1731,MATCH(Paramètres!L45,Paramètres!$G$5:$G$57,0)))+IF(RIGHT(TRIM(Paramètres!M45),3)="Fin",1-$H1719,IF(LEFT(TRIM(Paramètres!M45),1)="F",1,0)))),IF(Paramètres!N45="",0,IF(Paramètres!O45="",NA(),IF(LEFT(TRIM(Paramètres!O45),1)="F",INDEX($F$1679:$F$1731,MATCH(Paramètres!N45,Paramètres!$G$5:$G$57,0)),INDEX($E$1679:$E$1731,MATCH(Paramètres!N45,Paramètres!$G$5:$G$57,0)))+IF(RIGHT(TRIM(Paramètres!O45),3)="Fin",1-$H1719,IF(LEFT(TRIM(Paramètres!O45),1)="F",1,0)))))))</f>
        <v/>
      </c>
      <c r="F1719" s="19">
        <f>IF($A1719="","",E1719+$H1719-1)</f>
        <v/>
      </c>
      <c r="G1719" s="18" t="n"/>
      <c r="H1719" s="18">
        <f>IF($A1719="","",IF(I1719&lt;&gt;"",I1719,Paramètres!B45))</f>
        <v/>
      </c>
      <c r="I1719" s="18" t="n"/>
    </row>
    <row r="1720">
      <c r="A1720" s="18">
        <f>IF(ISNUMBER(Dossiers!$D$35),Dossiers!$A$35&amp;" · "&amp;Dossiers!$B$35,"")</f>
        <v/>
      </c>
      <c r="B1720" s="18">
        <f>IF($A1720="","",Paramètres!G46)</f>
        <v/>
      </c>
      <c r="C1720" s="18">
        <f>IF($A1720="","",IF(Paramètres!H46="","",Paramètres!H46))</f>
        <v/>
      </c>
      <c r="D1720" s="18">
        <f>IF($A1720="","",IF(Paramètres!I46="","",Paramètres!I46))</f>
        <v/>
      </c>
      <c r="E1720" s="19">
        <f>IF($A1720="","",IF(Paramètres!J46&amp;Paramètres!L46&amp;Paramètres!N46="",Dossiers!$D$35,MAX(IF(Paramètres!J46="",0,IF(Paramètres!K46="",NA(),IF(LEFT(TRIM(Paramètres!K46),1)="F",INDEX($F$1679:$F$1731,MATCH(Paramètres!J46,Paramètres!$G$5:$G$57,0)),INDEX($E$1679:$E$1731,MATCH(Paramètres!J46,Paramètres!$G$5:$G$57,0)))+IF(RIGHT(TRIM(Paramètres!K46),3)="Fin",1-$H1720,IF(LEFT(TRIM(Paramètres!K46),1)="F",1,0)))),IF(Paramètres!L46="",0,IF(Paramètres!M46="",NA(),IF(LEFT(TRIM(Paramètres!M46),1)="F",INDEX($F$1679:$F$1731,MATCH(Paramètres!L46,Paramètres!$G$5:$G$57,0)),INDEX($E$1679:$E$1731,MATCH(Paramètres!L46,Paramètres!$G$5:$G$57,0)))+IF(RIGHT(TRIM(Paramètres!M46),3)="Fin",1-$H1720,IF(LEFT(TRIM(Paramètres!M46),1)="F",1,0)))),IF(Paramètres!N46="",0,IF(Paramètres!O46="",NA(),IF(LEFT(TRIM(Paramètres!O46),1)="F",INDEX($F$1679:$F$1731,MATCH(Paramètres!N46,Paramètres!$G$5:$G$57,0)),INDEX($E$1679:$E$1731,MATCH(Paramètres!N46,Paramètres!$G$5:$G$57,0)))+IF(RIGHT(TRIM(Paramètres!O46),3)="Fin",1-$H1720,IF(LEFT(TRIM(Paramètres!O46),1)="F",1,0)))))))</f>
        <v/>
      </c>
      <c r="F1720" s="19">
        <f>IF($A1720="","",E1720+$H1720-1)</f>
        <v/>
      </c>
      <c r="G1720" s="18" t="n"/>
      <c r="H1720" s="18">
        <f>IF($A1720="","",IF(I1720&lt;&gt;"",I1720,Paramètres!B46))</f>
        <v/>
      </c>
      <c r="I1720" s="18" t="n"/>
    </row>
    <row r="1721">
      <c r="A1721" s="18">
        <f>IF(ISNUMBER(Dossiers!$D$35),Dossiers!$A$35&amp;" · "&amp;Dossiers!$B$35,"")</f>
        <v/>
      </c>
      <c r="B1721" s="18">
        <f>IF($A1721="","",Paramètres!G47)</f>
        <v/>
      </c>
      <c r="C1721" s="18">
        <f>IF($A1721="","",IF(Paramètres!H47="","",Paramètres!H47))</f>
        <v/>
      </c>
      <c r="D1721" s="18">
        <f>IF($A1721="","",IF(Paramètres!I47="","",Paramètres!I47))</f>
        <v/>
      </c>
      <c r="E1721" s="19">
        <f>IF($A1721="","",IF(Paramètres!J47&amp;Paramètres!L47&amp;Paramètres!N47="",Dossiers!$D$35,MAX(IF(Paramètres!J47="",0,IF(Paramètres!K47="",NA(),IF(LEFT(TRIM(Paramètres!K47),1)="F",INDEX($F$1679:$F$1731,MATCH(Paramètres!J47,Paramètres!$G$5:$G$57,0)),INDEX($E$1679:$E$1731,MATCH(Paramètres!J47,Paramètres!$G$5:$G$57,0)))+IF(RIGHT(TRIM(Paramètres!K47),3)="Fin",1-$H1721,IF(LEFT(TRIM(Paramètres!K47),1)="F",1,0)))),IF(Paramètres!L47="",0,IF(Paramètres!M47="",NA(),IF(LEFT(TRIM(Paramètres!M47),1)="F",INDEX($F$1679:$F$1731,MATCH(Paramètres!L47,Paramètres!$G$5:$G$57,0)),INDEX($E$1679:$E$1731,MATCH(Paramètres!L47,Paramètres!$G$5:$G$57,0)))+IF(RIGHT(TRIM(Paramètres!M47),3)="Fin",1-$H1721,IF(LEFT(TRIM(Paramètres!M47),1)="F",1,0)))),IF(Paramètres!N47="",0,IF(Paramètres!O47="",NA(),IF(LEFT(TRIM(Paramètres!O47),1)="F",INDEX($F$1679:$F$1731,MATCH(Paramètres!N47,Paramètres!$G$5:$G$57,0)),INDEX($E$1679:$E$1731,MATCH(Paramètres!N47,Paramètres!$G$5:$G$57,0)))+IF(RIGHT(TRIM(Paramètres!O47),3)="Fin",1-$H1721,IF(LEFT(TRIM(Paramètres!O47),1)="F",1,0)))))))</f>
        <v/>
      </c>
      <c r="F1721" s="19">
        <f>IF($A1721="","",E1721+$H1721-1)</f>
        <v/>
      </c>
      <c r="G1721" s="18" t="n"/>
      <c r="H1721" s="18">
        <f>IF($A1721="","",IF(I1721&lt;&gt;"",I1721,Paramètres!B47))</f>
        <v/>
      </c>
      <c r="I1721" s="18" t="n"/>
    </row>
    <row r="1722">
      <c r="A1722" s="18">
        <f>IF(ISNUMBER(Dossiers!$D$35),Dossiers!$A$35&amp;" · "&amp;Dossiers!$B$35,"")</f>
        <v/>
      </c>
      <c r="B1722" s="18">
        <f>IF($A1722="","",Paramètres!G48)</f>
        <v/>
      </c>
      <c r="C1722" s="18">
        <f>IF($A1722="","",IF(Paramètres!H48="","",Paramètres!H48))</f>
        <v/>
      </c>
      <c r="D1722" s="18">
        <f>IF($A1722="","",IF(Paramètres!I48="","",Paramètres!I48))</f>
        <v/>
      </c>
      <c r="E1722" s="19">
        <f>IF($A1722="","",IF(Paramètres!J48&amp;Paramètres!L48&amp;Paramètres!N48="",Dossiers!$D$35,MAX(IF(Paramètres!J48="",0,IF(Paramètres!K48="",NA(),IF(LEFT(TRIM(Paramètres!K48),1)="F",INDEX($F$1679:$F$1731,MATCH(Paramètres!J48,Paramètres!$G$5:$G$57,0)),INDEX($E$1679:$E$1731,MATCH(Paramètres!J48,Paramètres!$G$5:$G$57,0)))+IF(RIGHT(TRIM(Paramètres!K48),3)="Fin",1-$H1722,IF(LEFT(TRIM(Paramètres!K48),1)="F",1,0)))),IF(Paramètres!L48="",0,IF(Paramètres!M48="",NA(),IF(LEFT(TRIM(Paramètres!M48),1)="F",INDEX($F$1679:$F$1731,MATCH(Paramètres!L48,Paramètres!$G$5:$G$57,0)),INDEX($E$1679:$E$1731,MATCH(Paramètres!L48,Paramètres!$G$5:$G$57,0)))+IF(RIGHT(TRIM(Paramètres!M48),3)="Fin",1-$H1722,IF(LEFT(TRIM(Paramètres!M48),1)="F",1,0)))),IF(Paramètres!N48="",0,IF(Paramètres!O48="",NA(),IF(LEFT(TRIM(Paramètres!O48),1)="F",INDEX($F$1679:$F$1731,MATCH(Paramètres!N48,Paramètres!$G$5:$G$57,0)),INDEX($E$1679:$E$1731,MATCH(Paramètres!N48,Paramètres!$G$5:$G$57,0)))+IF(RIGHT(TRIM(Paramètres!O48),3)="Fin",1-$H1722,IF(LEFT(TRIM(Paramètres!O48),1)="F",1,0)))))))</f>
        <v/>
      </c>
      <c r="F1722" s="19">
        <f>IF($A1722="","",E1722+$H1722-1)</f>
        <v/>
      </c>
      <c r="G1722" s="18" t="n"/>
      <c r="H1722" s="18">
        <f>IF($A1722="","",IF(I1722&lt;&gt;"",I1722,Paramètres!B48))</f>
        <v/>
      </c>
      <c r="I1722" s="18" t="n"/>
    </row>
    <row r="1723">
      <c r="A1723" s="18">
        <f>IF(ISNUMBER(Dossiers!$D$35),Dossiers!$A$35&amp;" · "&amp;Dossiers!$B$35,"")</f>
        <v/>
      </c>
      <c r="B1723" s="18">
        <f>IF($A1723="","",Paramètres!G49)</f>
        <v/>
      </c>
      <c r="C1723" s="18">
        <f>IF($A1723="","",IF(Paramètres!H49="","",Paramètres!H49))</f>
        <v/>
      </c>
      <c r="D1723" s="18">
        <f>IF($A1723="","",IF(Paramètres!I49="","",Paramètres!I49))</f>
        <v/>
      </c>
      <c r="E1723" s="19">
        <f>IF($A1723="","",IF(Paramètres!J49&amp;Paramètres!L49&amp;Paramètres!N49="",Dossiers!$D$35,MAX(IF(Paramètres!J49="",0,IF(Paramètres!K49="",NA(),IF(LEFT(TRIM(Paramètres!K49),1)="F",INDEX($F$1679:$F$1731,MATCH(Paramètres!J49,Paramètres!$G$5:$G$57,0)),INDEX($E$1679:$E$1731,MATCH(Paramètres!J49,Paramètres!$G$5:$G$57,0)))+IF(RIGHT(TRIM(Paramètres!K49),3)="Fin",1-$H1723,IF(LEFT(TRIM(Paramètres!K49),1)="F",1,0)))),IF(Paramètres!L49="",0,IF(Paramètres!M49="",NA(),IF(LEFT(TRIM(Paramètres!M49),1)="F",INDEX($F$1679:$F$1731,MATCH(Paramètres!L49,Paramètres!$G$5:$G$57,0)),INDEX($E$1679:$E$1731,MATCH(Paramètres!L49,Paramètres!$G$5:$G$57,0)))+IF(RIGHT(TRIM(Paramètres!M49),3)="Fin",1-$H1723,IF(LEFT(TRIM(Paramètres!M49),1)="F",1,0)))),IF(Paramètres!N49="",0,IF(Paramètres!O49="",NA(),IF(LEFT(TRIM(Paramètres!O49),1)="F",INDEX($F$1679:$F$1731,MATCH(Paramètres!N49,Paramètres!$G$5:$G$57,0)),INDEX($E$1679:$E$1731,MATCH(Paramètres!N49,Paramètres!$G$5:$G$57,0)))+IF(RIGHT(TRIM(Paramètres!O49),3)="Fin",1-$H1723,IF(LEFT(TRIM(Paramètres!O49),1)="F",1,0)))))))</f>
        <v/>
      </c>
      <c r="F1723" s="19">
        <f>IF($A1723="","",E1723+$H1723-1)</f>
        <v/>
      </c>
      <c r="G1723" s="18" t="n"/>
      <c r="H1723" s="18">
        <f>IF($A1723="","",IF(I1723&lt;&gt;"",I1723,Paramètres!B49))</f>
        <v/>
      </c>
      <c r="I1723" s="18" t="n"/>
    </row>
    <row r="1724">
      <c r="A1724" s="18">
        <f>IF(ISNUMBER(Dossiers!$D$35),Dossiers!$A$35&amp;" · "&amp;Dossiers!$B$35,"")</f>
        <v/>
      </c>
      <c r="B1724" s="18">
        <f>IF($A1724="","",Paramètres!G50)</f>
        <v/>
      </c>
      <c r="C1724" s="18">
        <f>IF($A1724="","",IF(Paramètres!H50="","",Paramètres!H50))</f>
        <v/>
      </c>
      <c r="D1724" s="18">
        <f>IF($A1724="","",IF(Paramètres!I50="","",Paramètres!I50))</f>
        <v/>
      </c>
      <c r="E1724" s="19">
        <f>IF($A1724="","",IF(Paramètres!J50&amp;Paramètres!L50&amp;Paramètres!N50="",Dossiers!$D$35,MAX(IF(Paramètres!J50="",0,IF(Paramètres!K50="",NA(),IF(LEFT(TRIM(Paramètres!K50),1)="F",INDEX($F$1679:$F$1731,MATCH(Paramètres!J50,Paramètres!$G$5:$G$57,0)),INDEX($E$1679:$E$1731,MATCH(Paramètres!J50,Paramètres!$G$5:$G$57,0)))+IF(RIGHT(TRIM(Paramètres!K50),3)="Fin",1-$H1724,IF(LEFT(TRIM(Paramètres!K50),1)="F",1,0)))),IF(Paramètres!L50="",0,IF(Paramètres!M50="",NA(),IF(LEFT(TRIM(Paramètres!M50),1)="F",INDEX($F$1679:$F$1731,MATCH(Paramètres!L50,Paramètres!$G$5:$G$57,0)),INDEX($E$1679:$E$1731,MATCH(Paramètres!L50,Paramètres!$G$5:$G$57,0)))+IF(RIGHT(TRIM(Paramètres!M50),3)="Fin",1-$H1724,IF(LEFT(TRIM(Paramètres!M50),1)="F",1,0)))),IF(Paramètres!N50="",0,IF(Paramètres!O50="",NA(),IF(LEFT(TRIM(Paramètres!O50),1)="F",INDEX($F$1679:$F$1731,MATCH(Paramètres!N50,Paramètres!$G$5:$G$57,0)),INDEX($E$1679:$E$1731,MATCH(Paramètres!N50,Paramètres!$G$5:$G$57,0)))+IF(RIGHT(TRIM(Paramètres!O50),3)="Fin",1-$H1724,IF(LEFT(TRIM(Paramètres!O50),1)="F",1,0)))))))</f>
        <v/>
      </c>
      <c r="F1724" s="19">
        <f>IF($A1724="","",E1724+$H1724-1)</f>
        <v/>
      </c>
      <c r="G1724" s="18" t="n"/>
      <c r="H1724" s="18">
        <f>IF($A1724="","",IF(I1724&lt;&gt;"",I1724,Paramètres!B50))</f>
        <v/>
      </c>
      <c r="I1724" s="18" t="n"/>
    </row>
    <row r="1725">
      <c r="A1725" s="18">
        <f>IF(ISNUMBER(Dossiers!$D$35),Dossiers!$A$35&amp;" · "&amp;Dossiers!$B$35,"")</f>
        <v/>
      </c>
      <c r="B1725" s="18">
        <f>IF($A1725="","",Paramètres!G51)</f>
        <v/>
      </c>
      <c r="C1725" s="18">
        <f>IF($A1725="","",IF(Paramètres!H51="","",Paramètres!H51))</f>
        <v/>
      </c>
      <c r="D1725" s="18">
        <f>IF($A1725="","",IF(Paramètres!I51="","",Paramètres!I51))</f>
        <v/>
      </c>
      <c r="E1725" s="19">
        <f>IF($A1725="","",IF(Paramètres!J51&amp;Paramètres!L51&amp;Paramètres!N51="",Dossiers!$D$35,MAX(IF(Paramètres!J51="",0,IF(Paramètres!K51="",NA(),IF(LEFT(TRIM(Paramètres!K51),1)="F",INDEX($F$1679:$F$1731,MATCH(Paramètres!J51,Paramètres!$G$5:$G$57,0)),INDEX($E$1679:$E$1731,MATCH(Paramètres!J51,Paramètres!$G$5:$G$57,0)))+IF(RIGHT(TRIM(Paramètres!K51),3)="Fin",1-$H1725,IF(LEFT(TRIM(Paramètres!K51),1)="F",1,0)))),IF(Paramètres!L51="",0,IF(Paramètres!M51="",NA(),IF(LEFT(TRIM(Paramètres!M51),1)="F",INDEX($F$1679:$F$1731,MATCH(Paramètres!L51,Paramètres!$G$5:$G$57,0)),INDEX($E$1679:$E$1731,MATCH(Paramètres!L51,Paramètres!$G$5:$G$57,0)))+IF(RIGHT(TRIM(Paramètres!M51),3)="Fin",1-$H1725,IF(LEFT(TRIM(Paramètres!M51),1)="F",1,0)))),IF(Paramètres!N51="",0,IF(Paramètres!O51="",NA(),IF(LEFT(TRIM(Paramètres!O51),1)="F",INDEX($F$1679:$F$1731,MATCH(Paramètres!N51,Paramètres!$G$5:$G$57,0)),INDEX($E$1679:$E$1731,MATCH(Paramètres!N51,Paramètres!$G$5:$G$57,0)))+IF(RIGHT(TRIM(Paramètres!O51),3)="Fin",1-$H1725,IF(LEFT(TRIM(Paramètres!O51),1)="F",1,0)))))))</f>
        <v/>
      </c>
      <c r="F1725" s="19">
        <f>IF($A1725="","",E1725+$H1725-1)</f>
        <v/>
      </c>
      <c r="G1725" s="18" t="n"/>
      <c r="H1725" s="18">
        <f>IF($A1725="","",IF(I1725&lt;&gt;"",I1725,Paramètres!B51))</f>
        <v/>
      </c>
      <c r="I1725" s="18" t="n"/>
    </row>
    <row r="1726">
      <c r="A1726" s="18">
        <f>IF(ISNUMBER(Dossiers!$D$35),Dossiers!$A$35&amp;" · "&amp;Dossiers!$B$35,"")</f>
        <v/>
      </c>
      <c r="B1726" s="18">
        <f>IF($A1726="","",Paramètres!G52)</f>
        <v/>
      </c>
      <c r="C1726" s="18">
        <f>IF($A1726="","",IF(Paramètres!H52="","",Paramètres!H52))</f>
        <v/>
      </c>
      <c r="D1726" s="18">
        <f>IF($A1726="","",IF(Paramètres!I52="","",Paramètres!I52))</f>
        <v/>
      </c>
      <c r="E1726" s="19">
        <f>IF($A1726="","",IF(Paramètres!J52&amp;Paramètres!L52&amp;Paramètres!N52="",Dossiers!$D$35,MAX(IF(Paramètres!J52="",0,IF(Paramètres!K52="",NA(),IF(LEFT(TRIM(Paramètres!K52),1)="F",INDEX($F$1679:$F$1731,MATCH(Paramètres!J52,Paramètres!$G$5:$G$57,0)),INDEX($E$1679:$E$1731,MATCH(Paramètres!J52,Paramètres!$G$5:$G$57,0)))+IF(RIGHT(TRIM(Paramètres!K52),3)="Fin",1-$H1726,IF(LEFT(TRIM(Paramètres!K52),1)="F",1,0)))),IF(Paramètres!L52="",0,IF(Paramètres!M52="",NA(),IF(LEFT(TRIM(Paramètres!M52),1)="F",INDEX($F$1679:$F$1731,MATCH(Paramètres!L52,Paramètres!$G$5:$G$57,0)),INDEX($E$1679:$E$1731,MATCH(Paramètres!L52,Paramètres!$G$5:$G$57,0)))+IF(RIGHT(TRIM(Paramètres!M52),3)="Fin",1-$H1726,IF(LEFT(TRIM(Paramètres!M52),1)="F",1,0)))),IF(Paramètres!N52="",0,IF(Paramètres!O52="",NA(),IF(LEFT(TRIM(Paramètres!O52),1)="F",INDEX($F$1679:$F$1731,MATCH(Paramètres!N52,Paramètres!$G$5:$G$57,0)),INDEX($E$1679:$E$1731,MATCH(Paramètres!N52,Paramètres!$G$5:$G$57,0)))+IF(RIGHT(TRIM(Paramètres!O52),3)="Fin",1-$H1726,IF(LEFT(TRIM(Paramètres!O52),1)="F",1,0)))))))</f>
        <v/>
      </c>
      <c r="F1726" s="19">
        <f>IF($A1726="","",E1726+$H1726-1)</f>
        <v/>
      </c>
      <c r="G1726" s="18" t="n"/>
      <c r="H1726" s="18">
        <f>IF($A1726="","",IF(I1726&lt;&gt;"",I1726,Paramètres!B52))</f>
        <v/>
      </c>
      <c r="I1726" s="18" t="n"/>
    </row>
    <row r="1727">
      <c r="A1727" s="18">
        <f>IF(ISNUMBER(Dossiers!$D$35),Dossiers!$A$35&amp;" · "&amp;Dossiers!$B$35,"")</f>
        <v/>
      </c>
      <c r="B1727" s="18">
        <f>IF($A1727="","",Paramètres!G53)</f>
        <v/>
      </c>
      <c r="C1727" s="18">
        <f>IF($A1727="","",IF(Paramètres!H53="","",Paramètres!H53))</f>
        <v/>
      </c>
      <c r="D1727" s="18">
        <f>IF($A1727="","",IF(Paramètres!I53="","",Paramètres!I53))</f>
        <v/>
      </c>
      <c r="E1727" s="19">
        <f>IF($A1727="","",IF(Paramètres!J53&amp;Paramètres!L53&amp;Paramètres!N53="",Dossiers!$D$35,MAX(IF(Paramètres!J53="",0,IF(Paramètres!K53="",NA(),IF(LEFT(TRIM(Paramètres!K53),1)="F",INDEX($F$1679:$F$1731,MATCH(Paramètres!J53,Paramètres!$G$5:$G$57,0)),INDEX($E$1679:$E$1731,MATCH(Paramètres!J53,Paramètres!$G$5:$G$57,0)))+IF(RIGHT(TRIM(Paramètres!K53),3)="Fin",1-$H1727,IF(LEFT(TRIM(Paramètres!K53),1)="F",1,0)))),IF(Paramètres!L53="",0,IF(Paramètres!M53="",NA(),IF(LEFT(TRIM(Paramètres!M53),1)="F",INDEX($F$1679:$F$1731,MATCH(Paramètres!L53,Paramètres!$G$5:$G$57,0)),INDEX($E$1679:$E$1731,MATCH(Paramètres!L53,Paramètres!$G$5:$G$57,0)))+IF(RIGHT(TRIM(Paramètres!M53),3)="Fin",1-$H1727,IF(LEFT(TRIM(Paramètres!M53),1)="F",1,0)))),IF(Paramètres!N53="",0,IF(Paramètres!O53="",NA(),IF(LEFT(TRIM(Paramètres!O53),1)="F",INDEX($F$1679:$F$1731,MATCH(Paramètres!N53,Paramètres!$G$5:$G$57,0)),INDEX($E$1679:$E$1731,MATCH(Paramètres!N53,Paramètres!$G$5:$G$57,0)))+IF(RIGHT(TRIM(Paramètres!O53),3)="Fin",1-$H1727,IF(LEFT(TRIM(Paramètres!O53),1)="F",1,0)))))))</f>
        <v/>
      </c>
      <c r="F1727" s="19">
        <f>IF($A1727="","",E1727+$H1727-1)</f>
        <v/>
      </c>
      <c r="G1727" s="18" t="n"/>
      <c r="H1727" s="18">
        <f>IF($A1727="","",IF(I1727&lt;&gt;"",I1727,Paramètres!B53))</f>
        <v/>
      </c>
      <c r="I1727" s="18" t="n"/>
    </row>
    <row r="1728">
      <c r="A1728" s="18">
        <f>IF(ISNUMBER(Dossiers!$D$35),Dossiers!$A$35&amp;" · "&amp;Dossiers!$B$35,"")</f>
        <v/>
      </c>
      <c r="B1728" s="18">
        <f>IF($A1728="","",Paramètres!G54)</f>
        <v/>
      </c>
      <c r="C1728" s="18">
        <f>IF($A1728="","",IF(Paramètres!H54="","",Paramètres!H54))</f>
        <v/>
      </c>
      <c r="D1728" s="18">
        <f>IF($A1728="","",IF(Paramètres!I54="","",Paramètres!I54))</f>
        <v/>
      </c>
      <c r="E1728" s="19">
        <f>IF($A1728="","",IF(Paramètres!J54&amp;Paramètres!L54&amp;Paramètres!N54="",Dossiers!$D$35,MAX(IF(Paramètres!J54="",0,IF(Paramètres!K54="",NA(),IF(LEFT(TRIM(Paramètres!K54),1)="F",INDEX($F$1679:$F$1731,MATCH(Paramètres!J54,Paramètres!$G$5:$G$57,0)),INDEX($E$1679:$E$1731,MATCH(Paramètres!J54,Paramètres!$G$5:$G$57,0)))+IF(RIGHT(TRIM(Paramètres!K54),3)="Fin",1-$H1728,IF(LEFT(TRIM(Paramètres!K54),1)="F",1,0)))),IF(Paramètres!L54="",0,IF(Paramètres!M54="",NA(),IF(LEFT(TRIM(Paramètres!M54),1)="F",INDEX($F$1679:$F$1731,MATCH(Paramètres!L54,Paramètres!$G$5:$G$57,0)),INDEX($E$1679:$E$1731,MATCH(Paramètres!L54,Paramètres!$G$5:$G$57,0)))+IF(RIGHT(TRIM(Paramètres!M54),3)="Fin",1-$H1728,IF(LEFT(TRIM(Paramètres!M54),1)="F",1,0)))),IF(Paramètres!N54="",0,IF(Paramètres!O54="",NA(),IF(LEFT(TRIM(Paramètres!O54),1)="F",INDEX($F$1679:$F$1731,MATCH(Paramètres!N54,Paramètres!$G$5:$G$57,0)),INDEX($E$1679:$E$1731,MATCH(Paramètres!N54,Paramètres!$G$5:$G$57,0)))+IF(RIGHT(TRIM(Paramètres!O54),3)="Fin",1-$H1728,IF(LEFT(TRIM(Paramètres!O54),1)="F",1,0)))))))</f>
        <v/>
      </c>
      <c r="F1728" s="19">
        <f>IF($A1728="","",E1728+$H1728-1)</f>
        <v/>
      </c>
      <c r="G1728" s="18" t="n"/>
      <c r="H1728" s="18">
        <f>IF($A1728="","",IF(I1728&lt;&gt;"",I1728,Paramètres!B54))</f>
        <v/>
      </c>
      <c r="I1728" s="18" t="n"/>
    </row>
    <row r="1729">
      <c r="A1729" s="18">
        <f>IF(ISNUMBER(Dossiers!$D$35),Dossiers!$A$35&amp;" · "&amp;Dossiers!$B$35,"")</f>
        <v/>
      </c>
      <c r="B1729" s="18">
        <f>IF($A1729="","",Paramètres!G55)</f>
        <v/>
      </c>
      <c r="C1729" s="18">
        <f>IF($A1729="","",IF(Paramètres!H55="","",Paramètres!H55))</f>
        <v/>
      </c>
      <c r="D1729" s="18">
        <f>IF($A1729="","",IF(Paramètres!I55="","",Paramètres!I55))</f>
        <v/>
      </c>
      <c r="E1729" s="19">
        <f>IF($A1729="","",IF(Paramètres!J55&amp;Paramètres!L55&amp;Paramètres!N55="",Dossiers!$D$35,MAX(IF(Paramètres!J55="",0,IF(Paramètres!K55="",NA(),IF(LEFT(TRIM(Paramètres!K55),1)="F",INDEX($F$1679:$F$1731,MATCH(Paramètres!J55,Paramètres!$G$5:$G$57,0)),INDEX($E$1679:$E$1731,MATCH(Paramètres!J55,Paramètres!$G$5:$G$57,0)))+IF(RIGHT(TRIM(Paramètres!K55),3)="Fin",1-$H1729,IF(LEFT(TRIM(Paramètres!K55),1)="F",1,0)))),IF(Paramètres!L55="",0,IF(Paramètres!M55="",NA(),IF(LEFT(TRIM(Paramètres!M55),1)="F",INDEX($F$1679:$F$1731,MATCH(Paramètres!L55,Paramètres!$G$5:$G$57,0)),INDEX($E$1679:$E$1731,MATCH(Paramètres!L55,Paramètres!$G$5:$G$57,0)))+IF(RIGHT(TRIM(Paramètres!M55),3)="Fin",1-$H1729,IF(LEFT(TRIM(Paramètres!M55),1)="F",1,0)))),IF(Paramètres!N55="",0,IF(Paramètres!O55="",NA(),IF(LEFT(TRIM(Paramètres!O55),1)="F",INDEX($F$1679:$F$1731,MATCH(Paramètres!N55,Paramètres!$G$5:$G$57,0)),INDEX($E$1679:$E$1731,MATCH(Paramètres!N55,Paramètres!$G$5:$G$57,0)))+IF(RIGHT(TRIM(Paramètres!O55),3)="Fin",1-$H1729,IF(LEFT(TRIM(Paramètres!O55),1)="F",1,0)))))))</f>
        <v/>
      </c>
      <c r="F1729" s="19">
        <f>IF($A1729="","",E1729+$H1729-1)</f>
        <v/>
      </c>
      <c r="G1729" s="18" t="n"/>
      <c r="H1729" s="18">
        <f>IF($A1729="","",IF(I1729&lt;&gt;"",I1729,Paramètres!B55))</f>
        <v/>
      </c>
      <c r="I1729" s="18" t="n"/>
    </row>
    <row r="1730">
      <c r="A1730" s="18">
        <f>IF(ISNUMBER(Dossiers!$D$35),Dossiers!$A$35&amp;" · "&amp;Dossiers!$B$35,"")</f>
        <v/>
      </c>
      <c r="B1730" s="18">
        <f>IF($A1730="","",Paramètres!G56)</f>
        <v/>
      </c>
      <c r="C1730" s="18">
        <f>IF($A1730="","",IF(Paramètres!H56="","",Paramètres!H56))</f>
        <v/>
      </c>
      <c r="D1730" s="18">
        <f>IF($A1730="","",IF(Paramètres!I56="","",Paramètres!I56))</f>
        <v/>
      </c>
      <c r="E1730" s="19">
        <f>IF($A1730="","",MIN(E1731:E1731))</f>
        <v/>
      </c>
      <c r="F1730" s="19">
        <f>IF($A1730="","",MAX(F1731:F1731))</f>
        <v/>
      </c>
      <c r="G1730" s="18" t="n"/>
      <c r="H1730" s="18">
        <f>IF($A1730="","",F1730-E1730+1)</f>
        <v/>
      </c>
      <c r="I1730" s="18" t="n"/>
    </row>
    <row r="1731">
      <c r="A1731" s="18">
        <f>IF(ISNUMBER(Dossiers!$D$35),Dossiers!$A$35&amp;" · "&amp;Dossiers!$B$35,"")</f>
        <v/>
      </c>
      <c r="B1731" s="18">
        <f>IF($A1731="","",Paramètres!G57)</f>
        <v/>
      </c>
      <c r="C1731" s="18">
        <f>IF($A1731="","",IF(Paramètres!H57="","",Paramètres!H57))</f>
        <v/>
      </c>
      <c r="D1731" s="18">
        <f>IF($A1731="","",IF(Paramètres!I57="","",Paramètres!I57))</f>
        <v/>
      </c>
      <c r="E1731" s="19">
        <f>IF($A1731="","",IF(Paramètres!J57&amp;Paramètres!L57&amp;Paramètres!N57="",Dossiers!$D$35,MAX(IF(Paramètres!J57="",0,IF(Paramètres!K57="",NA(),IF(LEFT(TRIM(Paramètres!K57),1)="F",INDEX($F$1679:$F$1731,MATCH(Paramètres!J57,Paramètres!$G$5:$G$57,0)),INDEX($E$1679:$E$1731,MATCH(Paramètres!J57,Paramètres!$G$5:$G$57,0)))+IF(RIGHT(TRIM(Paramètres!K57),3)="Fin",1-$H1731,IF(LEFT(TRIM(Paramètres!K57),1)="F",1,0)))),IF(Paramètres!L57="",0,IF(Paramètres!M57="",NA(),IF(LEFT(TRIM(Paramètres!M57),1)="F",INDEX($F$1679:$F$1731,MATCH(Paramètres!L57,Paramètres!$G$5:$G$57,0)),INDEX($E$1679:$E$1731,MATCH(Paramètres!L57,Paramètres!$G$5:$G$57,0)))+IF(RIGHT(TRIM(Paramètres!M57),3)="Fin",1-$H1731,IF(LEFT(TRIM(Paramètres!M57),1)="F",1,0)))),IF(Paramètres!N57="",0,IF(Paramètres!O57="",NA(),IF(LEFT(TRIM(Paramètres!O57),1)="F",INDEX($F$1679:$F$1731,MATCH(Paramètres!N57,Paramètres!$G$5:$G$57,0)),INDEX($E$1679:$E$1731,MATCH(Paramètres!N57,Paramètres!$G$5:$G$57,0)))+IF(RIGHT(TRIM(Paramètres!O57),3)="Fin",1-$H1731,IF(LEFT(TRIM(Paramètres!O57),1)="F",1,0)))))))</f>
        <v/>
      </c>
      <c r="F1731" s="19">
        <f>IF($A1731="","",E1731+$H1731-1)</f>
        <v/>
      </c>
      <c r="G1731" s="18" t="n"/>
      <c r="H1731" s="18">
        <f>IF($A1731="","",IF(I1731&lt;&gt;"",I1731,Paramètres!B57))</f>
        <v/>
      </c>
      <c r="I1731" s="18" t="n"/>
    </row>
    <row r="1732">
      <c r="A1732" s="16">
        <f>IF(ISNUMBER(Dossiers!$D$36),Dossiers!$E$36,"")</f>
        <v/>
      </c>
      <c r="B1732" s="16">
        <f>IF($A1732="","","Identifiant")</f>
        <v/>
      </c>
      <c r="C1732" s="16">
        <f>IF($A1732="","","Macro Etape")</f>
        <v/>
      </c>
      <c r="D1732" s="16">
        <f>IF($A1732="","","Etape")</f>
        <v/>
      </c>
      <c r="E1732" s="17">
        <f>IF($A1732="","","Début le")</f>
        <v/>
      </c>
      <c r="F1732" s="17">
        <f>IF($A1732="","","Fin prévue le")</f>
        <v/>
      </c>
      <c r="G1732" s="16">
        <f>IF($A1732="","","Statut")</f>
        <v/>
      </c>
      <c r="H1732" s="16">
        <f>IF($A1732="","","Durée (jours)")</f>
        <v/>
      </c>
      <c r="I1732" s="16">
        <f>IF($A1732="","","Durée particulière")</f>
        <v/>
      </c>
      <c r="J1732" s="10">
        <f>IF($A1732="","",HYPERLINK("#'Tableau de bord'!A1","↑ Tableau de bord"))</f>
        <v/>
      </c>
    </row>
    <row r="1733">
      <c r="A1733" s="18">
        <f>IF(ISNUMBER(Dossiers!$D$36),Dossiers!$A$36&amp;" · "&amp;Dossiers!$B$36,"")</f>
        <v/>
      </c>
      <c r="B1733" s="18">
        <f>IF($A1733="","",Paramètres!G5)</f>
        <v/>
      </c>
      <c r="C1733" s="18">
        <f>IF($A1733="","",IF(Paramètres!H5="","",Paramètres!H5))</f>
        <v/>
      </c>
      <c r="D1733" s="18">
        <f>IF($A1733="","",IF(Paramètres!I5="","",Paramètres!I5))</f>
        <v/>
      </c>
      <c r="E1733" s="19">
        <f>IF($A1733="","",MIN(E1734:E1737))</f>
        <v/>
      </c>
      <c r="F1733" s="19">
        <f>IF($A1733="","",MAX(F1734:F1737))</f>
        <v/>
      </c>
      <c r="G1733" s="18" t="n"/>
      <c r="H1733" s="18">
        <f>IF($A1733="","",F1733-E1733+1)</f>
        <v/>
      </c>
      <c r="I1733" s="18" t="n"/>
    </row>
    <row r="1734">
      <c r="A1734" s="18">
        <f>IF(ISNUMBER(Dossiers!$D$36),Dossiers!$A$36&amp;" · "&amp;Dossiers!$B$36,"")</f>
        <v/>
      </c>
      <c r="B1734" s="18">
        <f>IF($A1734="","",Paramètres!G6)</f>
        <v/>
      </c>
      <c r="C1734" s="18">
        <f>IF($A1734="","",IF(Paramètres!H6="","",Paramètres!H6))</f>
        <v/>
      </c>
      <c r="D1734" s="18">
        <f>IF($A1734="","",IF(Paramètres!I6="","",Paramètres!I6))</f>
        <v/>
      </c>
      <c r="E1734" s="19">
        <f>IF($A1734="","",IF(Paramètres!J6&amp;Paramètres!L6&amp;Paramètres!N6="",Dossiers!$D$36,MAX(IF(Paramètres!J6="",0,IF(Paramètres!K6="",NA(),IF(LEFT(TRIM(Paramètres!K6),1)="F",INDEX($F$1733:$F$1785,MATCH(Paramètres!J6,Paramètres!$G$5:$G$57,0)),INDEX($E$1733:$E$1785,MATCH(Paramètres!J6,Paramètres!$G$5:$G$57,0)))+IF(RIGHT(TRIM(Paramètres!K6),3)="Fin",1-$H1734,IF(LEFT(TRIM(Paramètres!K6),1)="F",1,0)))),IF(Paramètres!L6="",0,IF(Paramètres!M6="",NA(),IF(LEFT(TRIM(Paramètres!M6),1)="F",INDEX($F$1733:$F$1785,MATCH(Paramètres!L6,Paramètres!$G$5:$G$57,0)),INDEX($E$1733:$E$1785,MATCH(Paramètres!L6,Paramètres!$G$5:$G$57,0)))+IF(RIGHT(TRIM(Paramètres!M6),3)="Fin",1-$H1734,IF(LEFT(TRIM(Paramètres!M6),1)="F",1,0)))),IF(Paramètres!N6="",0,IF(Paramètres!O6="",NA(),IF(LEFT(TRIM(Paramètres!O6),1)="F",INDEX($F$1733:$F$1785,MATCH(Paramètres!N6,Paramètres!$G$5:$G$57,0)),INDEX($E$1733:$E$1785,MATCH(Paramètres!N6,Paramètres!$G$5:$G$57,0)))+IF(RIGHT(TRIM(Paramètres!O6),3)="Fin",1-$H1734,IF(LEFT(TRIM(Paramètres!O6),1)="F",1,0)))))))</f>
        <v/>
      </c>
      <c r="F1734" s="19">
        <f>IF($A1734="","",E1734+$H1734-1)</f>
        <v/>
      </c>
      <c r="G1734" s="18" t="n"/>
      <c r="H1734" s="18">
        <f>IF($A1734="","",IF(I1734&lt;&gt;"",I1734,Paramètres!B6))</f>
        <v/>
      </c>
      <c r="I1734" s="18" t="n"/>
    </row>
    <row r="1735">
      <c r="A1735" s="18">
        <f>IF(ISNUMBER(Dossiers!$D$36),Dossiers!$A$36&amp;" · "&amp;Dossiers!$B$36,"")</f>
        <v/>
      </c>
      <c r="B1735" s="18">
        <f>IF($A1735="","",Paramètres!G7)</f>
        <v/>
      </c>
      <c r="C1735" s="18">
        <f>IF($A1735="","",IF(Paramètres!H7="","",Paramètres!H7))</f>
        <v/>
      </c>
      <c r="D1735" s="18">
        <f>IF($A1735="","",IF(Paramètres!I7="","",Paramètres!I7))</f>
        <v/>
      </c>
      <c r="E1735" s="19">
        <f>IF($A1735="","",IF(Paramètres!J7&amp;Paramètres!L7&amp;Paramètres!N7="",Dossiers!$D$36,MAX(IF(Paramètres!J7="",0,IF(Paramètres!K7="",NA(),IF(LEFT(TRIM(Paramètres!K7),1)="F",INDEX($F$1733:$F$1785,MATCH(Paramètres!J7,Paramètres!$G$5:$G$57,0)),INDEX($E$1733:$E$1785,MATCH(Paramètres!J7,Paramètres!$G$5:$G$57,0)))+IF(RIGHT(TRIM(Paramètres!K7),3)="Fin",1-$H1735,IF(LEFT(TRIM(Paramètres!K7),1)="F",1,0)))),IF(Paramètres!L7="",0,IF(Paramètres!M7="",NA(),IF(LEFT(TRIM(Paramètres!M7),1)="F",INDEX($F$1733:$F$1785,MATCH(Paramètres!L7,Paramètres!$G$5:$G$57,0)),INDEX($E$1733:$E$1785,MATCH(Paramètres!L7,Paramètres!$G$5:$G$57,0)))+IF(RIGHT(TRIM(Paramètres!M7),3)="Fin",1-$H1735,IF(LEFT(TRIM(Paramètres!M7),1)="F",1,0)))),IF(Paramètres!N7="",0,IF(Paramètres!O7="",NA(),IF(LEFT(TRIM(Paramètres!O7),1)="F",INDEX($F$1733:$F$1785,MATCH(Paramètres!N7,Paramètres!$G$5:$G$57,0)),INDEX($E$1733:$E$1785,MATCH(Paramètres!N7,Paramètres!$G$5:$G$57,0)))+IF(RIGHT(TRIM(Paramètres!O7),3)="Fin",1-$H1735,IF(LEFT(TRIM(Paramètres!O7),1)="F",1,0)))))))</f>
        <v/>
      </c>
      <c r="F1735" s="19">
        <f>IF($A1735="","",E1735+$H1735-1)</f>
        <v/>
      </c>
      <c r="G1735" s="18" t="n"/>
      <c r="H1735" s="18">
        <f>IF($A1735="","",IF(I1735&lt;&gt;"",I1735,Paramètres!B7))</f>
        <v/>
      </c>
      <c r="I1735" s="18" t="n"/>
    </row>
    <row r="1736">
      <c r="A1736" s="18">
        <f>IF(ISNUMBER(Dossiers!$D$36),Dossiers!$A$36&amp;" · "&amp;Dossiers!$B$36,"")</f>
        <v/>
      </c>
      <c r="B1736" s="18">
        <f>IF($A1736="","",Paramètres!G8)</f>
        <v/>
      </c>
      <c r="C1736" s="18">
        <f>IF($A1736="","",IF(Paramètres!H8="","",Paramètres!H8))</f>
        <v/>
      </c>
      <c r="D1736" s="18">
        <f>IF($A1736="","",IF(Paramètres!I8="","",Paramètres!I8))</f>
        <v/>
      </c>
      <c r="E1736" s="19">
        <f>IF($A1736="","",IF(Paramètres!J8&amp;Paramètres!L8&amp;Paramètres!N8="",Dossiers!$D$36,MAX(IF(Paramètres!J8="",0,IF(Paramètres!K8="",NA(),IF(LEFT(TRIM(Paramètres!K8),1)="F",INDEX($F$1733:$F$1785,MATCH(Paramètres!J8,Paramètres!$G$5:$G$57,0)),INDEX($E$1733:$E$1785,MATCH(Paramètres!J8,Paramètres!$G$5:$G$57,0)))+IF(RIGHT(TRIM(Paramètres!K8),3)="Fin",1-$H1736,IF(LEFT(TRIM(Paramètres!K8),1)="F",1,0)))),IF(Paramètres!L8="",0,IF(Paramètres!M8="",NA(),IF(LEFT(TRIM(Paramètres!M8),1)="F",INDEX($F$1733:$F$1785,MATCH(Paramètres!L8,Paramètres!$G$5:$G$57,0)),INDEX($E$1733:$E$1785,MATCH(Paramètres!L8,Paramètres!$G$5:$G$57,0)))+IF(RIGHT(TRIM(Paramètres!M8),3)="Fin",1-$H1736,IF(LEFT(TRIM(Paramètres!M8),1)="F",1,0)))),IF(Paramètres!N8="",0,IF(Paramètres!O8="",NA(),IF(LEFT(TRIM(Paramètres!O8),1)="F",INDEX($F$1733:$F$1785,MATCH(Paramètres!N8,Paramètres!$G$5:$G$57,0)),INDEX($E$1733:$E$1785,MATCH(Paramètres!N8,Paramètres!$G$5:$G$57,0)))+IF(RIGHT(TRIM(Paramètres!O8),3)="Fin",1-$H1736,IF(LEFT(TRIM(Paramètres!O8),1)="F",1,0)))))))</f>
        <v/>
      </c>
      <c r="F1736" s="19">
        <f>IF($A1736="","",E1736+$H1736-1)</f>
        <v/>
      </c>
      <c r="G1736" s="18" t="n"/>
      <c r="H1736" s="18">
        <f>IF($A1736="","",IF(I1736&lt;&gt;"",I1736,Paramètres!B8))</f>
        <v/>
      </c>
      <c r="I1736" s="18" t="n"/>
    </row>
    <row r="1737">
      <c r="A1737" s="18">
        <f>IF(ISNUMBER(Dossiers!$D$36),Dossiers!$A$36&amp;" · "&amp;Dossiers!$B$36,"")</f>
        <v/>
      </c>
      <c r="B1737" s="18">
        <f>IF($A1737="","",Paramètres!G9)</f>
        <v/>
      </c>
      <c r="C1737" s="18">
        <f>IF($A1737="","",IF(Paramètres!H9="","",Paramètres!H9))</f>
        <v/>
      </c>
      <c r="D1737" s="18">
        <f>IF($A1737="","",IF(Paramètres!I9="","",Paramètres!I9))</f>
        <v/>
      </c>
      <c r="E1737" s="19">
        <f>IF($A1737="","",IF(Paramètres!J9&amp;Paramètres!L9&amp;Paramètres!N9="",Dossiers!$D$36,MAX(IF(Paramètres!J9="",0,IF(Paramètres!K9="",NA(),IF(LEFT(TRIM(Paramètres!K9),1)="F",INDEX($F$1733:$F$1785,MATCH(Paramètres!J9,Paramètres!$G$5:$G$57,0)),INDEX($E$1733:$E$1785,MATCH(Paramètres!J9,Paramètres!$G$5:$G$57,0)))+IF(RIGHT(TRIM(Paramètres!K9),3)="Fin",1-$H1737,IF(LEFT(TRIM(Paramètres!K9),1)="F",1,0)))),IF(Paramètres!L9="",0,IF(Paramètres!M9="",NA(),IF(LEFT(TRIM(Paramètres!M9),1)="F",INDEX($F$1733:$F$1785,MATCH(Paramètres!L9,Paramètres!$G$5:$G$57,0)),INDEX($E$1733:$E$1785,MATCH(Paramètres!L9,Paramètres!$G$5:$G$57,0)))+IF(RIGHT(TRIM(Paramètres!M9),3)="Fin",1-$H1737,IF(LEFT(TRIM(Paramètres!M9),1)="F",1,0)))),IF(Paramètres!N9="",0,IF(Paramètres!O9="",NA(),IF(LEFT(TRIM(Paramètres!O9),1)="F",INDEX($F$1733:$F$1785,MATCH(Paramètres!N9,Paramètres!$G$5:$G$57,0)),INDEX($E$1733:$E$1785,MATCH(Paramètres!N9,Paramètres!$G$5:$G$57,0)))+IF(RIGHT(TRIM(Paramètres!O9),3)="Fin",1-$H1737,IF(LEFT(TRIM(Paramètres!O9),1)="F",1,0)))))))</f>
        <v/>
      </c>
      <c r="F1737" s="19">
        <f>IF($A1737="","",E1737+$H1737-1)</f>
        <v/>
      </c>
      <c r="G1737" s="18" t="n"/>
      <c r="H1737" s="18">
        <f>IF($A1737="","",IF(I1737&lt;&gt;"",I1737,Paramètres!B9))</f>
        <v/>
      </c>
      <c r="I1737" s="18" t="n"/>
    </row>
    <row r="1738">
      <c r="A1738" s="18">
        <f>IF(ISNUMBER(Dossiers!$D$36),Dossiers!$A$36&amp;" · "&amp;Dossiers!$B$36,"")</f>
        <v/>
      </c>
      <c r="B1738" s="18">
        <f>IF($A1738="","",Paramètres!G10)</f>
        <v/>
      </c>
      <c r="C1738" s="18">
        <f>IF($A1738="","",IF(Paramètres!H10="","",Paramètres!H10))</f>
        <v/>
      </c>
      <c r="D1738" s="18">
        <f>IF($A1738="","",IF(Paramètres!I10="","",Paramètres!I10))</f>
        <v/>
      </c>
      <c r="E1738" s="19">
        <f>IF($A1738="","",MIN(E1739:E1742))</f>
        <v/>
      </c>
      <c r="F1738" s="19">
        <f>IF($A1738="","",MAX(F1739:F1742))</f>
        <v/>
      </c>
      <c r="G1738" s="18" t="n"/>
      <c r="H1738" s="18">
        <f>IF($A1738="","",F1738-E1738+1)</f>
        <v/>
      </c>
      <c r="I1738" s="18" t="n"/>
    </row>
    <row r="1739">
      <c r="A1739" s="18">
        <f>IF(ISNUMBER(Dossiers!$D$36),Dossiers!$A$36&amp;" · "&amp;Dossiers!$B$36,"")</f>
        <v/>
      </c>
      <c r="B1739" s="18">
        <f>IF($A1739="","",Paramètres!G11)</f>
        <v/>
      </c>
      <c r="C1739" s="18">
        <f>IF($A1739="","",IF(Paramètres!H11="","",Paramètres!H11))</f>
        <v/>
      </c>
      <c r="D1739" s="18">
        <f>IF($A1739="","",IF(Paramètres!I11="","",Paramètres!I11))</f>
        <v/>
      </c>
      <c r="E1739" s="19">
        <f>IF($A1739="","",IF(Paramètres!J11&amp;Paramètres!L11&amp;Paramètres!N11="",Dossiers!$D$36,MAX(IF(Paramètres!J11="",0,IF(Paramètres!K11="",NA(),IF(LEFT(TRIM(Paramètres!K11),1)="F",INDEX($F$1733:$F$1785,MATCH(Paramètres!J11,Paramètres!$G$5:$G$57,0)),INDEX($E$1733:$E$1785,MATCH(Paramètres!J11,Paramètres!$G$5:$G$57,0)))+IF(RIGHT(TRIM(Paramètres!K11),3)="Fin",1-$H1739,IF(LEFT(TRIM(Paramètres!K11),1)="F",1,0)))),IF(Paramètres!L11="",0,IF(Paramètres!M11="",NA(),IF(LEFT(TRIM(Paramètres!M11),1)="F",INDEX($F$1733:$F$1785,MATCH(Paramètres!L11,Paramètres!$G$5:$G$57,0)),INDEX($E$1733:$E$1785,MATCH(Paramètres!L11,Paramètres!$G$5:$G$57,0)))+IF(RIGHT(TRIM(Paramètres!M11),3)="Fin",1-$H1739,IF(LEFT(TRIM(Paramètres!M11),1)="F",1,0)))),IF(Paramètres!N11="",0,IF(Paramètres!O11="",NA(),IF(LEFT(TRIM(Paramètres!O11),1)="F",INDEX($F$1733:$F$1785,MATCH(Paramètres!N11,Paramètres!$G$5:$G$57,0)),INDEX($E$1733:$E$1785,MATCH(Paramètres!N11,Paramètres!$G$5:$G$57,0)))+IF(RIGHT(TRIM(Paramètres!O11),3)="Fin",1-$H1739,IF(LEFT(TRIM(Paramètres!O11),1)="F",1,0)))))))</f>
        <v/>
      </c>
      <c r="F1739" s="19">
        <f>IF($A1739="","",E1739+$H1739-1)</f>
        <v/>
      </c>
      <c r="G1739" s="18" t="n"/>
      <c r="H1739" s="18">
        <f>IF($A1739="","",IF(I1739&lt;&gt;"",I1739,Paramètres!B11))</f>
        <v/>
      </c>
      <c r="I1739" s="18" t="n"/>
    </row>
    <row r="1740">
      <c r="A1740" s="18">
        <f>IF(ISNUMBER(Dossiers!$D$36),Dossiers!$A$36&amp;" · "&amp;Dossiers!$B$36,"")</f>
        <v/>
      </c>
      <c r="B1740" s="18">
        <f>IF($A1740="","",Paramètres!G12)</f>
        <v/>
      </c>
      <c r="C1740" s="18">
        <f>IF($A1740="","",IF(Paramètres!H12="","",Paramètres!H12))</f>
        <v/>
      </c>
      <c r="D1740" s="18">
        <f>IF($A1740="","",IF(Paramètres!I12="","",Paramètres!I12))</f>
        <v/>
      </c>
      <c r="E1740" s="19">
        <f>IF($A1740="","",IF(Paramètres!J12&amp;Paramètres!L12&amp;Paramètres!N12="",Dossiers!$D$36,MAX(IF(Paramètres!J12="",0,IF(Paramètres!K12="",NA(),IF(LEFT(TRIM(Paramètres!K12),1)="F",INDEX($F$1733:$F$1785,MATCH(Paramètres!J12,Paramètres!$G$5:$G$57,0)),INDEX($E$1733:$E$1785,MATCH(Paramètres!J12,Paramètres!$G$5:$G$57,0)))+IF(RIGHT(TRIM(Paramètres!K12),3)="Fin",1-$H1740,IF(LEFT(TRIM(Paramètres!K12),1)="F",1,0)))),IF(Paramètres!L12="",0,IF(Paramètres!M12="",NA(),IF(LEFT(TRIM(Paramètres!M12),1)="F",INDEX($F$1733:$F$1785,MATCH(Paramètres!L12,Paramètres!$G$5:$G$57,0)),INDEX($E$1733:$E$1785,MATCH(Paramètres!L12,Paramètres!$G$5:$G$57,0)))+IF(RIGHT(TRIM(Paramètres!M12),3)="Fin",1-$H1740,IF(LEFT(TRIM(Paramètres!M12),1)="F",1,0)))),IF(Paramètres!N12="",0,IF(Paramètres!O12="",NA(),IF(LEFT(TRIM(Paramètres!O12),1)="F",INDEX($F$1733:$F$1785,MATCH(Paramètres!N12,Paramètres!$G$5:$G$57,0)),INDEX($E$1733:$E$1785,MATCH(Paramètres!N12,Paramètres!$G$5:$G$57,0)))+IF(RIGHT(TRIM(Paramètres!O12),3)="Fin",1-$H1740,IF(LEFT(TRIM(Paramètres!O12),1)="F",1,0)))))))</f>
        <v/>
      </c>
      <c r="F1740" s="19">
        <f>IF($A1740="","",E1740+$H1740-1)</f>
        <v/>
      </c>
      <c r="G1740" s="18" t="n"/>
      <c r="H1740" s="18">
        <f>IF($A1740="","",IF(I1740&lt;&gt;"",I1740,Paramètres!B12))</f>
        <v/>
      </c>
      <c r="I1740" s="18" t="n"/>
    </row>
    <row r="1741">
      <c r="A1741" s="18">
        <f>IF(ISNUMBER(Dossiers!$D$36),Dossiers!$A$36&amp;" · "&amp;Dossiers!$B$36,"")</f>
        <v/>
      </c>
      <c r="B1741" s="18">
        <f>IF($A1741="","",Paramètres!G13)</f>
        <v/>
      </c>
      <c r="C1741" s="18">
        <f>IF($A1741="","",IF(Paramètres!H13="","",Paramètres!H13))</f>
        <v/>
      </c>
      <c r="D1741" s="18">
        <f>IF($A1741="","",IF(Paramètres!I13="","",Paramètres!I13))</f>
        <v/>
      </c>
      <c r="E1741" s="19">
        <f>IF($A1741="","",IF(Paramètres!J13&amp;Paramètres!L13&amp;Paramètres!N13="",Dossiers!$D$36,MAX(IF(Paramètres!J13="",0,IF(Paramètres!K13="",NA(),IF(LEFT(TRIM(Paramètres!K13),1)="F",INDEX($F$1733:$F$1785,MATCH(Paramètres!J13,Paramètres!$G$5:$G$57,0)),INDEX($E$1733:$E$1785,MATCH(Paramètres!J13,Paramètres!$G$5:$G$57,0)))+IF(RIGHT(TRIM(Paramètres!K13),3)="Fin",1-$H1741,IF(LEFT(TRIM(Paramètres!K13),1)="F",1,0)))),IF(Paramètres!L13="",0,IF(Paramètres!M13="",NA(),IF(LEFT(TRIM(Paramètres!M13),1)="F",INDEX($F$1733:$F$1785,MATCH(Paramètres!L13,Paramètres!$G$5:$G$57,0)),INDEX($E$1733:$E$1785,MATCH(Paramètres!L13,Paramètres!$G$5:$G$57,0)))+IF(RIGHT(TRIM(Paramètres!M13),3)="Fin",1-$H1741,IF(LEFT(TRIM(Paramètres!M13),1)="F",1,0)))),IF(Paramètres!N13="",0,IF(Paramètres!O13="",NA(),IF(LEFT(TRIM(Paramètres!O13),1)="F",INDEX($F$1733:$F$1785,MATCH(Paramètres!N13,Paramètres!$G$5:$G$57,0)),INDEX($E$1733:$E$1785,MATCH(Paramètres!N13,Paramètres!$G$5:$G$57,0)))+IF(RIGHT(TRIM(Paramètres!O13),3)="Fin",1-$H1741,IF(LEFT(TRIM(Paramètres!O13),1)="F",1,0)))))))</f>
        <v/>
      </c>
      <c r="F1741" s="19">
        <f>IF($A1741="","",E1741+$H1741-1)</f>
        <v/>
      </c>
      <c r="G1741" s="18" t="n"/>
      <c r="H1741" s="18">
        <f>IF($A1741="","",IF(I1741&lt;&gt;"",I1741,Paramètres!B13))</f>
        <v/>
      </c>
      <c r="I1741" s="18" t="n"/>
    </row>
    <row r="1742">
      <c r="A1742" s="18">
        <f>IF(ISNUMBER(Dossiers!$D$36),Dossiers!$A$36&amp;" · "&amp;Dossiers!$B$36,"")</f>
        <v/>
      </c>
      <c r="B1742" s="18">
        <f>IF($A1742="","",Paramètres!G14)</f>
        <v/>
      </c>
      <c r="C1742" s="18">
        <f>IF($A1742="","",IF(Paramètres!H14="","",Paramètres!H14))</f>
        <v/>
      </c>
      <c r="D1742" s="18">
        <f>IF($A1742="","",IF(Paramètres!I14="","",Paramètres!I14))</f>
        <v/>
      </c>
      <c r="E1742" s="19">
        <f>IF($A1742="","",IF(Paramètres!J14&amp;Paramètres!L14&amp;Paramètres!N14="",Dossiers!$D$36,MAX(IF(Paramètres!J14="",0,IF(Paramètres!K14="",NA(),IF(LEFT(TRIM(Paramètres!K14),1)="F",INDEX($F$1733:$F$1785,MATCH(Paramètres!J14,Paramètres!$G$5:$G$57,0)),INDEX($E$1733:$E$1785,MATCH(Paramètres!J14,Paramètres!$G$5:$G$57,0)))+IF(RIGHT(TRIM(Paramètres!K14),3)="Fin",1-$H1742,IF(LEFT(TRIM(Paramètres!K14),1)="F",1,0)))),IF(Paramètres!L14="",0,IF(Paramètres!M14="",NA(),IF(LEFT(TRIM(Paramètres!M14),1)="F",INDEX($F$1733:$F$1785,MATCH(Paramètres!L14,Paramètres!$G$5:$G$57,0)),INDEX($E$1733:$E$1785,MATCH(Paramètres!L14,Paramètres!$G$5:$G$57,0)))+IF(RIGHT(TRIM(Paramètres!M14),3)="Fin",1-$H1742,IF(LEFT(TRIM(Paramètres!M14),1)="F",1,0)))),IF(Paramètres!N14="",0,IF(Paramètres!O14="",NA(),IF(LEFT(TRIM(Paramètres!O14),1)="F",INDEX($F$1733:$F$1785,MATCH(Paramètres!N14,Paramètres!$G$5:$G$57,0)),INDEX($E$1733:$E$1785,MATCH(Paramètres!N14,Paramètres!$G$5:$G$57,0)))+IF(RIGHT(TRIM(Paramètres!O14),3)="Fin",1-$H1742,IF(LEFT(TRIM(Paramètres!O14),1)="F",1,0)))))))</f>
        <v/>
      </c>
      <c r="F1742" s="19">
        <f>IF($A1742="","",E1742+$H1742-1)</f>
        <v/>
      </c>
      <c r="G1742" s="18" t="n"/>
      <c r="H1742" s="18">
        <f>IF($A1742="","",IF(I1742&lt;&gt;"",I1742,Paramètres!B14))</f>
        <v/>
      </c>
      <c r="I1742" s="18" t="n"/>
    </row>
    <row r="1743">
      <c r="A1743" s="18">
        <f>IF(ISNUMBER(Dossiers!$D$36),Dossiers!$A$36&amp;" · "&amp;Dossiers!$B$36,"")</f>
        <v/>
      </c>
      <c r="B1743" s="18">
        <f>IF($A1743="","",Paramètres!G15)</f>
        <v/>
      </c>
      <c r="C1743" s="18">
        <f>IF($A1743="","",IF(Paramètres!H15="","",Paramètres!H15))</f>
        <v/>
      </c>
      <c r="D1743" s="18">
        <f>IF($A1743="","",IF(Paramètres!I15="","",Paramètres!I15))</f>
        <v/>
      </c>
      <c r="E1743" s="19">
        <f>IF($A1743="","",MIN(E1744:E1759))</f>
        <v/>
      </c>
      <c r="F1743" s="19">
        <f>IF($A1743="","",MAX(F1744:F1759))</f>
        <v/>
      </c>
      <c r="G1743" s="18" t="n"/>
      <c r="H1743" s="18">
        <f>IF($A1743="","",F1743-E1743+1)</f>
        <v/>
      </c>
      <c r="I1743" s="18" t="n"/>
    </row>
    <row r="1744">
      <c r="A1744" s="18">
        <f>IF(ISNUMBER(Dossiers!$D$36),Dossiers!$A$36&amp;" · "&amp;Dossiers!$B$36,"")</f>
        <v/>
      </c>
      <c r="B1744" s="18">
        <f>IF($A1744="","",Paramètres!G16)</f>
        <v/>
      </c>
      <c r="C1744" s="18">
        <f>IF($A1744="","",IF(Paramètres!H16="","",Paramètres!H16))</f>
        <v/>
      </c>
      <c r="D1744" s="18">
        <f>IF($A1744="","",IF(Paramètres!I16="","",Paramètres!I16))</f>
        <v/>
      </c>
      <c r="E1744" s="19">
        <f>IF($A1744="","",IF(Paramètres!J16&amp;Paramètres!L16&amp;Paramètres!N16="",Dossiers!$D$36,MAX(IF(Paramètres!J16="",0,IF(Paramètres!K16="",NA(),IF(LEFT(TRIM(Paramètres!K16),1)="F",INDEX($F$1733:$F$1785,MATCH(Paramètres!J16,Paramètres!$G$5:$G$57,0)),INDEX($E$1733:$E$1785,MATCH(Paramètres!J16,Paramètres!$G$5:$G$57,0)))+IF(RIGHT(TRIM(Paramètres!K16),3)="Fin",1-$H1744,IF(LEFT(TRIM(Paramètres!K16),1)="F",1,0)))),IF(Paramètres!L16="",0,IF(Paramètres!M16="",NA(),IF(LEFT(TRIM(Paramètres!M16),1)="F",INDEX($F$1733:$F$1785,MATCH(Paramètres!L16,Paramètres!$G$5:$G$57,0)),INDEX($E$1733:$E$1785,MATCH(Paramètres!L16,Paramètres!$G$5:$G$57,0)))+IF(RIGHT(TRIM(Paramètres!M16),3)="Fin",1-$H1744,IF(LEFT(TRIM(Paramètres!M16),1)="F",1,0)))),IF(Paramètres!N16="",0,IF(Paramètres!O16="",NA(),IF(LEFT(TRIM(Paramètres!O16),1)="F",INDEX($F$1733:$F$1785,MATCH(Paramètres!N16,Paramètres!$G$5:$G$57,0)),INDEX($E$1733:$E$1785,MATCH(Paramètres!N16,Paramètres!$G$5:$G$57,0)))+IF(RIGHT(TRIM(Paramètres!O16),3)="Fin",1-$H1744,IF(LEFT(TRIM(Paramètres!O16),1)="F",1,0)))))))</f>
        <v/>
      </c>
      <c r="F1744" s="19">
        <f>IF($A1744="","",E1744+$H1744-1)</f>
        <v/>
      </c>
      <c r="G1744" s="18" t="n"/>
      <c r="H1744" s="18">
        <f>IF($A1744="","",IF(I1744&lt;&gt;"",I1744,Paramètres!B16))</f>
        <v/>
      </c>
      <c r="I1744" s="18" t="n"/>
    </row>
    <row r="1745">
      <c r="A1745" s="18">
        <f>IF(ISNUMBER(Dossiers!$D$36),Dossiers!$A$36&amp;" · "&amp;Dossiers!$B$36,"")</f>
        <v/>
      </c>
      <c r="B1745" s="18">
        <f>IF($A1745="","",Paramètres!G17)</f>
        <v/>
      </c>
      <c r="C1745" s="18">
        <f>IF($A1745="","",IF(Paramètres!H17="","",Paramètres!H17))</f>
        <v/>
      </c>
      <c r="D1745" s="18">
        <f>IF($A1745="","",IF(Paramètres!I17="","",Paramètres!I17))</f>
        <v/>
      </c>
      <c r="E1745" s="19">
        <f>IF($A1745="","",IF(Paramètres!J17&amp;Paramètres!L17&amp;Paramètres!N17="",Dossiers!$D$36,MAX(IF(Paramètres!J17="",0,IF(Paramètres!K17="",NA(),IF(LEFT(TRIM(Paramètres!K17),1)="F",INDEX($F$1733:$F$1785,MATCH(Paramètres!J17,Paramètres!$G$5:$G$57,0)),INDEX($E$1733:$E$1785,MATCH(Paramètres!J17,Paramètres!$G$5:$G$57,0)))+IF(RIGHT(TRIM(Paramètres!K17),3)="Fin",1-$H1745,IF(LEFT(TRIM(Paramètres!K17),1)="F",1,0)))),IF(Paramètres!L17="",0,IF(Paramètres!M17="",NA(),IF(LEFT(TRIM(Paramètres!M17),1)="F",INDEX($F$1733:$F$1785,MATCH(Paramètres!L17,Paramètres!$G$5:$G$57,0)),INDEX($E$1733:$E$1785,MATCH(Paramètres!L17,Paramètres!$G$5:$G$57,0)))+IF(RIGHT(TRIM(Paramètres!M17),3)="Fin",1-$H1745,IF(LEFT(TRIM(Paramètres!M17),1)="F",1,0)))),IF(Paramètres!N17="",0,IF(Paramètres!O17="",NA(),IF(LEFT(TRIM(Paramètres!O17),1)="F",INDEX($F$1733:$F$1785,MATCH(Paramètres!N17,Paramètres!$G$5:$G$57,0)),INDEX($E$1733:$E$1785,MATCH(Paramètres!N17,Paramètres!$G$5:$G$57,0)))+IF(RIGHT(TRIM(Paramètres!O17),3)="Fin",1-$H1745,IF(LEFT(TRIM(Paramètres!O17),1)="F",1,0)))))))</f>
        <v/>
      </c>
      <c r="F1745" s="19">
        <f>IF($A1745="","",E1745+$H1745-1)</f>
        <v/>
      </c>
      <c r="G1745" s="18" t="n"/>
      <c r="H1745" s="18">
        <f>IF($A1745="","",IF(I1745&lt;&gt;"",I1745,Paramètres!B17))</f>
        <v/>
      </c>
      <c r="I1745" s="18" t="n"/>
    </row>
    <row r="1746">
      <c r="A1746" s="18">
        <f>IF(ISNUMBER(Dossiers!$D$36),Dossiers!$A$36&amp;" · "&amp;Dossiers!$B$36,"")</f>
        <v/>
      </c>
      <c r="B1746" s="18">
        <f>IF($A1746="","",Paramètres!G18)</f>
        <v/>
      </c>
      <c r="C1746" s="18">
        <f>IF($A1746="","",IF(Paramètres!H18="","",Paramètres!H18))</f>
        <v/>
      </c>
      <c r="D1746" s="18">
        <f>IF($A1746="","",IF(Paramètres!I18="","",Paramètres!I18))</f>
        <v/>
      </c>
      <c r="E1746" s="19">
        <f>IF($A1746="","",IF(Paramètres!J18&amp;Paramètres!L18&amp;Paramètres!N18="",Dossiers!$D$36,MAX(IF(Paramètres!J18="",0,IF(Paramètres!K18="",NA(),IF(LEFT(TRIM(Paramètres!K18),1)="F",INDEX($F$1733:$F$1785,MATCH(Paramètres!J18,Paramètres!$G$5:$G$57,0)),INDEX($E$1733:$E$1785,MATCH(Paramètres!J18,Paramètres!$G$5:$G$57,0)))+IF(RIGHT(TRIM(Paramètres!K18),3)="Fin",1-$H1746,IF(LEFT(TRIM(Paramètres!K18),1)="F",1,0)))),IF(Paramètres!L18="",0,IF(Paramètres!M18="",NA(),IF(LEFT(TRIM(Paramètres!M18),1)="F",INDEX($F$1733:$F$1785,MATCH(Paramètres!L18,Paramètres!$G$5:$G$57,0)),INDEX($E$1733:$E$1785,MATCH(Paramètres!L18,Paramètres!$G$5:$G$57,0)))+IF(RIGHT(TRIM(Paramètres!M18),3)="Fin",1-$H1746,IF(LEFT(TRIM(Paramètres!M18),1)="F",1,0)))),IF(Paramètres!N18="",0,IF(Paramètres!O18="",NA(),IF(LEFT(TRIM(Paramètres!O18),1)="F",INDEX($F$1733:$F$1785,MATCH(Paramètres!N18,Paramètres!$G$5:$G$57,0)),INDEX($E$1733:$E$1785,MATCH(Paramètres!N18,Paramètres!$G$5:$G$57,0)))+IF(RIGHT(TRIM(Paramètres!O18),3)="Fin",1-$H1746,IF(LEFT(TRIM(Paramètres!O18),1)="F",1,0)))))))</f>
        <v/>
      </c>
      <c r="F1746" s="19">
        <f>IF($A1746="","",E1746+$H1746-1)</f>
        <v/>
      </c>
      <c r="G1746" s="18" t="n"/>
      <c r="H1746" s="18">
        <f>IF($A1746="","",IF(I1746&lt;&gt;"",I1746,Paramètres!B18))</f>
        <v/>
      </c>
      <c r="I1746" s="18" t="n"/>
    </row>
    <row r="1747">
      <c r="A1747" s="18">
        <f>IF(ISNUMBER(Dossiers!$D$36),Dossiers!$A$36&amp;" · "&amp;Dossiers!$B$36,"")</f>
        <v/>
      </c>
      <c r="B1747" s="18">
        <f>IF($A1747="","",Paramètres!G19)</f>
        <v/>
      </c>
      <c r="C1747" s="18">
        <f>IF($A1747="","",IF(Paramètres!H19="","",Paramètres!H19))</f>
        <v/>
      </c>
      <c r="D1747" s="18">
        <f>IF($A1747="","",IF(Paramètres!I19="","",Paramètres!I19))</f>
        <v/>
      </c>
      <c r="E1747" s="19">
        <f>IF($A1747="","",IF(Paramètres!J19&amp;Paramètres!L19&amp;Paramètres!N19="",Dossiers!$D$36,MAX(IF(Paramètres!J19="",0,IF(Paramètres!K19="",NA(),IF(LEFT(TRIM(Paramètres!K19),1)="F",INDEX($F$1733:$F$1785,MATCH(Paramètres!J19,Paramètres!$G$5:$G$57,0)),INDEX($E$1733:$E$1785,MATCH(Paramètres!J19,Paramètres!$G$5:$G$57,0)))+IF(RIGHT(TRIM(Paramètres!K19),3)="Fin",1-$H1747,IF(LEFT(TRIM(Paramètres!K19),1)="F",1,0)))),IF(Paramètres!L19="",0,IF(Paramètres!M19="",NA(),IF(LEFT(TRIM(Paramètres!M19),1)="F",INDEX($F$1733:$F$1785,MATCH(Paramètres!L19,Paramètres!$G$5:$G$57,0)),INDEX($E$1733:$E$1785,MATCH(Paramètres!L19,Paramètres!$G$5:$G$57,0)))+IF(RIGHT(TRIM(Paramètres!M19),3)="Fin",1-$H1747,IF(LEFT(TRIM(Paramètres!M19),1)="F",1,0)))),IF(Paramètres!N19="",0,IF(Paramètres!O19="",NA(),IF(LEFT(TRIM(Paramètres!O19),1)="F",INDEX($F$1733:$F$1785,MATCH(Paramètres!N19,Paramètres!$G$5:$G$57,0)),INDEX($E$1733:$E$1785,MATCH(Paramètres!N19,Paramètres!$G$5:$G$57,0)))+IF(RIGHT(TRIM(Paramètres!O19),3)="Fin",1-$H1747,IF(LEFT(TRIM(Paramètres!O19),1)="F",1,0)))))))</f>
        <v/>
      </c>
      <c r="F1747" s="19">
        <f>IF($A1747="","",E1747+$H1747-1)</f>
        <v/>
      </c>
      <c r="G1747" s="18" t="n"/>
      <c r="H1747" s="18">
        <f>IF($A1747="","",IF(I1747&lt;&gt;"",I1747,Paramètres!B19))</f>
        <v/>
      </c>
      <c r="I1747" s="18" t="n"/>
    </row>
    <row r="1748">
      <c r="A1748" s="18">
        <f>IF(ISNUMBER(Dossiers!$D$36),Dossiers!$A$36&amp;" · "&amp;Dossiers!$B$36,"")</f>
        <v/>
      </c>
      <c r="B1748" s="18">
        <f>IF($A1748="","",Paramètres!G20)</f>
        <v/>
      </c>
      <c r="C1748" s="18">
        <f>IF($A1748="","",IF(Paramètres!H20="","",Paramètres!H20))</f>
        <v/>
      </c>
      <c r="D1748" s="18">
        <f>IF($A1748="","",IF(Paramètres!I20="","",Paramètres!I20))</f>
        <v/>
      </c>
      <c r="E1748" s="19">
        <f>IF($A1748="","",IF(Paramètres!J20&amp;Paramètres!L20&amp;Paramètres!N20="",Dossiers!$D$36,MAX(IF(Paramètres!J20="",0,IF(Paramètres!K20="",NA(),IF(LEFT(TRIM(Paramètres!K20),1)="F",INDEX($F$1733:$F$1785,MATCH(Paramètres!J20,Paramètres!$G$5:$G$57,0)),INDEX($E$1733:$E$1785,MATCH(Paramètres!J20,Paramètres!$G$5:$G$57,0)))+IF(RIGHT(TRIM(Paramètres!K20),3)="Fin",1-$H1748,IF(LEFT(TRIM(Paramètres!K20),1)="F",1,0)))),IF(Paramètres!L20="",0,IF(Paramètres!M20="",NA(),IF(LEFT(TRIM(Paramètres!M20),1)="F",INDEX($F$1733:$F$1785,MATCH(Paramètres!L20,Paramètres!$G$5:$G$57,0)),INDEX($E$1733:$E$1785,MATCH(Paramètres!L20,Paramètres!$G$5:$G$57,0)))+IF(RIGHT(TRIM(Paramètres!M20),3)="Fin",1-$H1748,IF(LEFT(TRIM(Paramètres!M20),1)="F",1,0)))),IF(Paramètres!N20="",0,IF(Paramètres!O20="",NA(),IF(LEFT(TRIM(Paramètres!O20),1)="F",INDEX($F$1733:$F$1785,MATCH(Paramètres!N20,Paramètres!$G$5:$G$57,0)),INDEX($E$1733:$E$1785,MATCH(Paramètres!N20,Paramètres!$G$5:$G$57,0)))+IF(RIGHT(TRIM(Paramètres!O20),3)="Fin",1-$H1748,IF(LEFT(TRIM(Paramètres!O20),1)="F",1,0)))))))</f>
        <v/>
      </c>
      <c r="F1748" s="19">
        <f>IF($A1748="","",E1748+$H1748-1)</f>
        <v/>
      </c>
      <c r="G1748" s="18" t="n"/>
      <c r="H1748" s="18">
        <f>IF($A1748="","",IF(I1748&lt;&gt;"",I1748,Paramètres!B20))</f>
        <v/>
      </c>
      <c r="I1748" s="18" t="n"/>
    </row>
    <row r="1749">
      <c r="A1749" s="18">
        <f>IF(ISNUMBER(Dossiers!$D$36),Dossiers!$A$36&amp;" · "&amp;Dossiers!$B$36,"")</f>
        <v/>
      </c>
      <c r="B1749" s="18">
        <f>IF($A1749="","",Paramètres!G21)</f>
        <v/>
      </c>
      <c r="C1749" s="18">
        <f>IF($A1749="","",IF(Paramètres!H21="","",Paramètres!H21))</f>
        <v/>
      </c>
      <c r="D1749" s="18">
        <f>IF($A1749="","",IF(Paramètres!I21="","",Paramètres!I21))</f>
        <v/>
      </c>
      <c r="E1749" s="19">
        <f>IF($A1749="","",IF(Paramètres!J21&amp;Paramètres!L21&amp;Paramètres!N21="",Dossiers!$D$36,MAX(IF(Paramètres!J21="",0,IF(Paramètres!K21="",NA(),IF(LEFT(TRIM(Paramètres!K21),1)="F",INDEX($F$1733:$F$1785,MATCH(Paramètres!J21,Paramètres!$G$5:$G$57,0)),INDEX($E$1733:$E$1785,MATCH(Paramètres!J21,Paramètres!$G$5:$G$57,0)))+IF(RIGHT(TRIM(Paramètres!K21),3)="Fin",1-$H1749,IF(LEFT(TRIM(Paramètres!K21),1)="F",1,0)))),IF(Paramètres!L21="",0,IF(Paramètres!M21="",NA(),IF(LEFT(TRIM(Paramètres!M21),1)="F",INDEX($F$1733:$F$1785,MATCH(Paramètres!L21,Paramètres!$G$5:$G$57,0)),INDEX($E$1733:$E$1785,MATCH(Paramètres!L21,Paramètres!$G$5:$G$57,0)))+IF(RIGHT(TRIM(Paramètres!M21),3)="Fin",1-$H1749,IF(LEFT(TRIM(Paramètres!M21),1)="F",1,0)))),IF(Paramètres!N21="",0,IF(Paramètres!O21="",NA(),IF(LEFT(TRIM(Paramètres!O21),1)="F",INDEX($F$1733:$F$1785,MATCH(Paramètres!N21,Paramètres!$G$5:$G$57,0)),INDEX($E$1733:$E$1785,MATCH(Paramètres!N21,Paramètres!$G$5:$G$57,0)))+IF(RIGHT(TRIM(Paramètres!O21),3)="Fin",1-$H1749,IF(LEFT(TRIM(Paramètres!O21),1)="F",1,0)))))))</f>
        <v/>
      </c>
      <c r="F1749" s="19">
        <f>IF($A1749="","",E1749+$H1749-1)</f>
        <v/>
      </c>
      <c r="G1749" s="18" t="n"/>
      <c r="H1749" s="18">
        <f>IF($A1749="","",IF(I1749&lt;&gt;"",I1749,Paramètres!B21))</f>
        <v/>
      </c>
      <c r="I1749" s="18" t="n"/>
    </row>
    <row r="1750">
      <c r="A1750" s="18">
        <f>IF(ISNUMBER(Dossiers!$D$36),Dossiers!$A$36&amp;" · "&amp;Dossiers!$B$36,"")</f>
        <v/>
      </c>
      <c r="B1750" s="18">
        <f>IF($A1750="","",Paramètres!G22)</f>
        <v/>
      </c>
      <c r="C1750" s="18">
        <f>IF($A1750="","",IF(Paramètres!H22="","",Paramètres!H22))</f>
        <v/>
      </c>
      <c r="D1750" s="18">
        <f>IF($A1750="","",IF(Paramètres!I22="","",Paramètres!I22))</f>
        <v/>
      </c>
      <c r="E1750" s="19">
        <f>IF($A1750="","",IF(Paramètres!J22&amp;Paramètres!L22&amp;Paramètres!N22="",Dossiers!$D$36,MAX(IF(Paramètres!J22="",0,IF(Paramètres!K22="",NA(),IF(LEFT(TRIM(Paramètres!K22),1)="F",INDEX($F$1733:$F$1785,MATCH(Paramètres!J22,Paramètres!$G$5:$G$57,0)),INDEX($E$1733:$E$1785,MATCH(Paramètres!J22,Paramètres!$G$5:$G$57,0)))+IF(RIGHT(TRIM(Paramètres!K22),3)="Fin",1-$H1750,IF(LEFT(TRIM(Paramètres!K22),1)="F",1,0)))),IF(Paramètres!L22="",0,IF(Paramètres!M22="",NA(),IF(LEFT(TRIM(Paramètres!M22),1)="F",INDEX($F$1733:$F$1785,MATCH(Paramètres!L22,Paramètres!$G$5:$G$57,0)),INDEX($E$1733:$E$1785,MATCH(Paramètres!L22,Paramètres!$G$5:$G$57,0)))+IF(RIGHT(TRIM(Paramètres!M22),3)="Fin",1-$H1750,IF(LEFT(TRIM(Paramètres!M22),1)="F",1,0)))),IF(Paramètres!N22="",0,IF(Paramètres!O22="",NA(),IF(LEFT(TRIM(Paramètres!O22),1)="F",INDEX($F$1733:$F$1785,MATCH(Paramètres!N22,Paramètres!$G$5:$G$57,0)),INDEX($E$1733:$E$1785,MATCH(Paramètres!N22,Paramètres!$G$5:$G$57,0)))+IF(RIGHT(TRIM(Paramètres!O22),3)="Fin",1-$H1750,IF(LEFT(TRIM(Paramètres!O22),1)="F",1,0)))))))</f>
        <v/>
      </c>
      <c r="F1750" s="19">
        <f>IF($A1750="","",E1750+$H1750-1)</f>
        <v/>
      </c>
      <c r="G1750" s="18" t="n"/>
      <c r="H1750" s="18">
        <f>IF($A1750="","",IF(I1750&lt;&gt;"",I1750,Paramètres!B22))</f>
        <v/>
      </c>
      <c r="I1750" s="18" t="n"/>
    </row>
    <row r="1751">
      <c r="A1751" s="18">
        <f>IF(ISNUMBER(Dossiers!$D$36),Dossiers!$A$36&amp;" · "&amp;Dossiers!$B$36,"")</f>
        <v/>
      </c>
      <c r="B1751" s="18">
        <f>IF($A1751="","",Paramètres!G23)</f>
        <v/>
      </c>
      <c r="C1751" s="18">
        <f>IF($A1751="","",IF(Paramètres!H23="","",Paramètres!H23))</f>
        <v/>
      </c>
      <c r="D1751" s="18">
        <f>IF($A1751="","",IF(Paramètres!I23="","",Paramètres!I23))</f>
        <v/>
      </c>
      <c r="E1751" s="19">
        <f>IF($A1751="","",IF(Paramètres!J23&amp;Paramètres!L23&amp;Paramètres!N23="",Dossiers!$D$36,MAX(IF(Paramètres!J23="",0,IF(Paramètres!K23="",NA(),IF(LEFT(TRIM(Paramètres!K23),1)="F",INDEX($F$1733:$F$1785,MATCH(Paramètres!J23,Paramètres!$G$5:$G$57,0)),INDEX($E$1733:$E$1785,MATCH(Paramètres!J23,Paramètres!$G$5:$G$57,0)))+IF(RIGHT(TRIM(Paramètres!K23),3)="Fin",1-$H1751,IF(LEFT(TRIM(Paramètres!K23),1)="F",1,0)))),IF(Paramètres!L23="",0,IF(Paramètres!M23="",NA(),IF(LEFT(TRIM(Paramètres!M23),1)="F",INDEX($F$1733:$F$1785,MATCH(Paramètres!L23,Paramètres!$G$5:$G$57,0)),INDEX($E$1733:$E$1785,MATCH(Paramètres!L23,Paramètres!$G$5:$G$57,0)))+IF(RIGHT(TRIM(Paramètres!M23),3)="Fin",1-$H1751,IF(LEFT(TRIM(Paramètres!M23),1)="F",1,0)))),IF(Paramètres!N23="",0,IF(Paramètres!O23="",NA(),IF(LEFT(TRIM(Paramètres!O23),1)="F",INDEX($F$1733:$F$1785,MATCH(Paramètres!N23,Paramètres!$G$5:$G$57,0)),INDEX($E$1733:$E$1785,MATCH(Paramètres!N23,Paramètres!$G$5:$G$57,0)))+IF(RIGHT(TRIM(Paramètres!O23),3)="Fin",1-$H1751,IF(LEFT(TRIM(Paramètres!O23),1)="F",1,0)))))))</f>
        <v/>
      </c>
      <c r="F1751" s="19">
        <f>IF($A1751="","",E1751+$H1751-1)</f>
        <v/>
      </c>
      <c r="G1751" s="18" t="n"/>
      <c r="H1751" s="18">
        <f>IF($A1751="","",IF(I1751&lt;&gt;"",I1751,Paramètres!B23))</f>
        <v/>
      </c>
      <c r="I1751" s="18" t="n"/>
    </row>
    <row r="1752">
      <c r="A1752" s="18">
        <f>IF(ISNUMBER(Dossiers!$D$36),Dossiers!$A$36&amp;" · "&amp;Dossiers!$B$36,"")</f>
        <v/>
      </c>
      <c r="B1752" s="18">
        <f>IF($A1752="","",Paramètres!G24)</f>
        <v/>
      </c>
      <c r="C1752" s="18">
        <f>IF($A1752="","",IF(Paramètres!H24="","",Paramètres!H24))</f>
        <v/>
      </c>
      <c r="D1752" s="18">
        <f>IF($A1752="","",IF(Paramètres!I24="","",Paramètres!I24))</f>
        <v/>
      </c>
      <c r="E1752" s="19">
        <f>IF($A1752="","",IF(Paramètres!J24&amp;Paramètres!L24&amp;Paramètres!N24="",Dossiers!$D$36,MAX(IF(Paramètres!J24="",0,IF(Paramètres!K24="",NA(),IF(LEFT(TRIM(Paramètres!K24),1)="F",INDEX($F$1733:$F$1785,MATCH(Paramètres!J24,Paramètres!$G$5:$G$57,0)),INDEX($E$1733:$E$1785,MATCH(Paramètres!J24,Paramètres!$G$5:$G$57,0)))+IF(RIGHT(TRIM(Paramètres!K24),3)="Fin",1-$H1752,IF(LEFT(TRIM(Paramètres!K24),1)="F",1,0)))),IF(Paramètres!L24="",0,IF(Paramètres!M24="",NA(),IF(LEFT(TRIM(Paramètres!M24),1)="F",INDEX($F$1733:$F$1785,MATCH(Paramètres!L24,Paramètres!$G$5:$G$57,0)),INDEX($E$1733:$E$1785,MATCH(Paramètres!L24,Paramètres!$G$5:$G$57,0)))+IF(RIGHT(TRIM(Paramètres!M24),3)="Fin",1-$H1752,IF(LEFT(TRIM(Paramètres!M24),1)="F",1,0)))),IF(Paramètres!N24="",0,IF(Paramètres!O24="",NA(),IF(LEFT(TRIM(Paramètres!O24),1)="F",INDEX($F$1733:$F$1785,MATCH(Paramètres!N24,Paramètres!$G$5:$G$57,0)),INDEX($E$1733:$E$1785,MATCH(Paramètres!N24,Paramètres!$G$5:$G$57,0)))+IF(RIGHT(TRIM(Paramètres!O24),3)="Fin",1-$H1752,IF(LEFT(TRIM(Paramètres!O24),1)="F",1,0)))))))</f>
        <v/>
      </c>
      <c r="F1752" s="19">
        <f>IF($A1752="","",E1752+$H1752-1)</f>
        <v/>
      </c>
      <c r="G1752" s="18" t="n"/>
      <c r="H1752" s="18">
        <f>IF($A1752="","",IF(I1752&lt;&gt;"",I1752,Paramètres!B24))</f>
        <v/>
      </c>
      <c r="I1752" s="18" t="n"/>
    </row>
    <row r="1753">
      <c r="A1753" s="18">
        <f>IF(ISNUMBER(Dossiers!$D$36),Dossiers!$A$36&amp;" · "&amp;Dossiers!$B$36,"")</f>
        <v/>
      </c>
      <c r="B1753" s="18">
        <f>IF($A1753="","",Paramètres!G25)</f>
        <v/>
      </c>
      <c r="C1753" s="18">
        <f>IF($A1753="","",IF(Paramètres!H25="","",Paramètres!H25))</f>
        <v/>
      </c>
      <c r="D1753" s="18">
        <f>IF($A1753="","",IF(Paramètres!I25="","",Paramètres!I25))</f>
        <v/>
      </c>
      <c r="E1753" s="19">
        <f>IF($A1753="","",IF(Paramètres!J25&amp;Paramètres!L25&amp;Paramètres!N25="",Dossiers!$D$36,MAX(IF(Paramètres!J25="",0,IF(Paramètres!K25="",NA(),IF(LEFT(TRIM(Paramètres!K25),1)="F",INDEX($F$1733:$F$1785,MATCH(Paramètres!J25,Paramètres!$G$5:$G$57,0)),INDEX($E$1733:$E$1785,MATCH(Paramètres!J25,Paramètres!$G$5:$G$57,0)))+IF(RIGHT(TRIM(Paramètres!K25),3)="Fin",1-$H1753,IF(LEFT(TRIM(Paramètres!K25),1)="F",1,0)))),IF(Paramètres!L25="",0,IF(Paramètres!M25="",NA(),IF(LEFT(TRIM(Paramètres!M25),1)="F",INDEX($F$1733:$F$1785,MATCH(Paramètres!L25,Paramètres!$G$5:$G$57,0)),INDEX($E$1733:$E$1785,MATCH(Paramètres!L25,Paramètres!$G$5:$G$57,0)))+IF(RIGHT(TRIM(Paramètres!M25),3)="Fin",1-$H1753,IF(LEFT(TRIM(Paramètres!M25),1)="F",1,0)))),IF(Paramètres!N25="",0,IF(Paramètres!O25="",NA(),IF(LEFT(TRIM(Paramètres!O25),1)="F",INDEX($F$1733:$F$1785,MATCH(Paramètres!N25,Paramètres!$G$5:$G$57,0)),INDEX($E$1733:$E$1785,MATCH(Paramètres!N25,Paramètres!$G$5:$G$57,0)))+IF(RIGHT(TRIM(Paramètres!O25),3)="Fin",1-$H1753,IF(LEFT(TRIM(Paramètres!O25),1)="F",1,0)))))))</f>
        <v/>
      </c>
      <c r="F1753" s="19">
        <f>IF($A1753="","",E1753+$H1753-1)</f>
        <v/>
      </c>
      <c r="G1753" s="18" t="n"/>
      <c r="H1753" s="18">
        <f>IF($A1753="","",IF(I1753&lt;&gt;"",I1753,Paramètres!B25))</f>
        <v/>
      </c>
      <c r="I1753" s="18" t="n"/>
    </row>
    <row r="1754">
      <c r="A1754" s="18">
        <f>IF(ISNUMBER(Dossiers!$D$36),Dossiers!$A$36&amp;" · "&amp;Dossiers!$B$36,"")</f>
        <v/>
      </c>
      <c r="B1754" s="18">
        <f>IF($A1754="","",Paramètres!G26)</f>
        <v/>
      </c>
      <c r="C1754" s="18">
        <f>IF($A1754="","",IF(Paramètres!H26="","",Paramètres!H26))</f>
        <v/>
      </c>
      <c r="D1754" s="18">
        <f>IF($A1754="","",IF(Paramètres!I26="","",Paramètres!I26))</f>
        <v/>
      </c>
      <c r="E1754" s="19">
        <f>IF($A1754="","",IF(Paramètres!J26&amp;Paramètres!L26&amp;Paramètres!N26="",Dossiers!$D$36,MAX(IF(Paramètres!J26="",0,IF(Paramètres!K26="",NA(),IF(LEFT(TRIM(Paramètres!K26),1)="F",INDEX($F$1733:$F$1785,MATCH(Paramètres!J26,Paramètres!$G$5:$G$57,0)),INDEX($E$1733:$E$1785,MATCH(Paramètres!J26,Paramètres!$G$5:$G$57,0)))+IF(RIGHT(TRIM(Paramètres!K26),3)="Fin",1-$H1754,IF(LEFT(TRIM(Paramètres!K26),1)="F",1,0)))),IF(Paramètres!L26="",0,IF(Paramètres!M26="",NA(),IF(LEFT(TRIM(Paramètres!M26),1)="F",INDEX($F$1733:$F$1785,MATCH(Paramètres!L26,Paramètres!$G$5:$G$57,0)),INDEX($E$1733:$E$1785,MATCH(Paramètres!L26,Paramètres!$G$5:$G$57,0)))+IF(RIGHT(TRIM(Paramètres!M26),3)="Fin",1-$H1754,IF(LEFT(TRIM(Paramètres!M26),1)="F",1,0)))),IF(Paramètres!N26="",0,IF(Paramètres!O26="",NA(),IF(LEFT(TRIM(Paramètres!O26),1)="F",INDEX($F$1733:$F$1785,MATCH(Paramètres!N26,Paramètres!$G$5:$G$57,0)),INDEX($E$1733:$E$1785,MATCH(Paramètres!N26,Paramètres!$G$5:$G$57,0)))+IF(RIGHT(TRIM(Paramètres!O26),3)="Fin",1-$H1754,IF(LEFT(TRIM(Paramètres!O26),1)="F",1,0)))))))</f>
        <v/>
      </c>
      <c r="F1754" s="19">
        <f>IF($A1754="","",E1754+$H1754-1)</f>
        <v/>
      </c>
      <c r="G1754" s="18" t="n"/>
      <c r="H1754" s="18">
        <f>IF($A1754="","",IF(I1754&lt;&gt;"",I1754,Paramètres!B26))</f>
        <v/>
      </c>
      <c r="I1754" s="18" t="n"/>
    </row>
    <row r="1755">
      <c r="A1755" s="18">
        <f>IF(ISNUMBER(Dossiers!$D$36),Dossiers!$A$36&amp;" · "&amp;Dossiers!$B$36,"")</f>
        <v/>
      </c>
      <c r="B1755" s="18">
        <f>IF($A1755="","",Paramètres!G27)</f>
        <v/>
      </c>
      <c r="C1755" s="18">
        <f>IF($A1755="","",IF(Paramètres!H27="","",Paramètres!H27))</f>
        <v/>
      </c>
      <c r="D1755" s="18">
        <f>IF($A1755="","",IF(Paramètres!I27="","",Paramètres!I27))</f>
        <v/>
      </c>
      <c r="E1755" s="19">
        <f>IF($A1755="","",IF(Paramètres!J27&amp;Paramètres!L27&amp;Paramètres!N27="",Dossiers!$D$36,MAX(IF(Paramètres!J27="",0,IF(Paramètres!K27="",NA(),IF(LEFT(TRIM(Paramètres!K27),1)="F",INDEX($F$1733:$F$1785,MATCH(Paramètres!J27,Paramètres!$G$5:$G$57,0)),INDEX($E$1733:$E$1785,MATCH(Paramètres!J27,Paramètres!$G$5:$G$57,0)))+IF(RIGHT(TRIM(Paramètres!K27),3)="Fin",1-$H1755,IF(LEFT(TRIM(Paramètres!K27),1)="F",1,0)))),IF(Paramètres!L27="",0,IF(Paramètres!M27="",NA(),IF(LEFT(TRIM(Paramètres!M27),1)="F",INDEX($F$1733:$F$1785,MATCH(Paramètres!L27,Paramètres!$G$5:$G$57,0)),INDEX($E$1733:$E$1785,MATCH(Paramètres!L27,Paramètres!$G$5:$G$57,0)))+IF(RIGHT(TRIM(Paramètres!M27),3)="Fin",1-$H1755,IF(LEFT(TRIM(Paramètres!M27),1)="F",1,0)))),IF(Paramètres!N27="",0,IF(Paramètres!O27="",NA(),IF(LEFT(TRIM(Paramètres!O27),1)="F",INDEX($F$1733:$F$1785,MATCH(Paramètres!N27,Paramètres!$G$5:$G$57,0)),INDEX($E$1733:$E$1785,MATCH(Paramètres!N27,Paramètres!$G$5:$G$57,0)))+IF(RIGHT(TRIM(Paramètres!O27),3)="Fin",1-$H1755,IF(LEFT(TRIM(Paramètres!O27),1)="F",1,0)))))))</f>
        <v/>
      </c>
      <c r="F1755" s="19">
        <f>IF($A1755="","",E1755+$H1755-1)</f>
        <v/>
      </c>
      <c r="G1755" s="18" t="n"/>
      <c r="H1755" s="18">
        <f>IF($A1755="","",IF(I1755&lt;&gt;"",I1755,Paramètres!B27))</f>
        <v/>
      </c>
      <c r="I1755" s="18" t="n"/>
    </row>
    <row r="1756">
      <c r="A1756" s="18">
        <f>IF(ISNUMBER(Dossiers!$D$36),Dossiers!$A$36&amp;" · "&amp;Dossiers!$B$36,"")</f>
        <v/>
      </c>
      <c r="B1756" s="18">
        <f>IF($A1756="","",Paramètres!G28)</f>
        <v/>
      </c>
      <c r="C1756" s="18">
        <f>IF($A1756="","",IF(Paramètres!H28="","",Paramètres!H28))</f>
        <v/>
      </c>
      <c r="D1756" s="18">
        <f>IF($A1756="","",IF(Paramètres!I28="","",Paramètres!I28))</f>
        <v/>
      </c>
      <c r="E1756" s="19">
        <f>IF($A1756="","",IF(Paramètres!J28&amp;Paramètres!L28&amp;Paramètres!N28="",Dossiers!$D$36,MAX(IF(Paramètres!J28="",0,IF(Paramètres!K28="",NA(),IF(LEFT(TRIM(Paramètres!K28),1)="F",INDEX($F$1733:$F$1785,MATCH(Paramètres!J28,Paramètres!$G$5:$G$57,0)),INDEX($E$1733:$E$1785,MATCH(Paramètres!J28,Paramètres!$G$5:$G$57,0)))+IF(RIGHT(TRIM(Paramètres!K28),3)="Fin",1-$H1756,IF(LEFT(TRIM(Paramètres!K28),1)="F",1,0)))),IF(Paramètres!L28="",0,IF(Paramètres!M28="",NA(),IF(LEFT(TRIM(Paramètres!M28),1)="F",INDEX($F$1733:$F$1785,MATCH(Paramètres!L28,Paramètres!$G$5:$G$57,0)),INDEX($E$1733:$E$1785,MATCH(Paramètres!L28,Paramètres!$G$5:$G$57,0)))+IF(RIGHT(TRIM(Paramètres!M28),3)="Fin",1-$H1756,IF(LEFT(TRIM(Paramètres!M28),1)="F",1,0)))),IF(Paramètres!N28="",0,IF(Paramètres!O28="",NA(),IF(LEFT(TRIM(Paramètres!O28),1)="F",INDEX($F$1733:$F$1785,MATCH(Paramètres!N28,Paramètres!$G$5:$G$57,0)),INDEX($E$1733:$E$1785,MATCH(Paramètres!N28,Paramètres!$G$5:$G$57,0)))+IF(RIGHT(TRIM(Paramètres!O28),3)="Fin",1-$H1756,IF(LEFT(TRIM(Paramètres!O28),1)="F",1,0)))))))</f>
        <v/>
      </c>
      <c r="F1756" s="19">
        <f>IF($A1756="","",E1756+$H1756-1)</f>
        <v/>
      </c>
      <c r="G1756" s="18" t="n"/>
      <c r="H1756" s="18">
        <f>IF($A1756="","",IF(I1756&lt;&gt;"",I1756,Paramètres!B28))</f>
        <v/>
      </c>
      <c r="I1756" s="18" t="n"/>
    </row>
    <row r="1757">
      <c r="A1757" s="18">
        <f>IF(ISNUMBER(Dossiers!$D$36),Dossiers!$A$36&amp;" · "&amp;Dossiers!$B$36,"")</f>
        <v/>
      </c>
      <c r="B1757" s="18">
        <f>IF($A1757="","",Paramètres!G29)</f>
        <v/>
      </c>
      <c r="C1757" s="18">
        <f>IF($A1757="","",IF(Paramètres!H29="","",Paramètres!H29))</f>
        <v/>
      </c>
      <c r="D1757" s="18">
        <f>IF($A1757="","",IF(Paramètres!I29="","",Paramètres!I29))</f>
        <v/>
      </c>
      <c r="E1757" s="19">
        <f>IF($A1757="","",IF(Paramètres!J29&amp;Paramètres!L29&amp;Paramètres!N29="",Dossiers!$D$36,MAX(IF(Paramètres!J29="",0,IF(Paramètres!K29="",NA(),IF(LEFT(TRIM(Paramètres!K29),1)="F",INDEX($F$1733:$F$1785,MATCH(Paramètres!J29,Paramètres!$G$5:$G$57,0)),INDEX($E$1733:$E$1785,MATCH(Paramètres!J29,Paramètres!$G$5:$G$57,0)))+IF(RIGHT(TRIM(Paramètres!K29),3)="Fin",1-$H1757,IF(LEFT(TRIM(Paramètres!K29),1)="F",1,0)))),IF(Paramètres!L29="",0,IF(Paramètres!M29="",NA(),IF(LEFT(TRIM(Paramètres!M29),1)="F",INDEX($F$1733:$F$1785,MATCH(Paramètres!L29,Paramètres!$G$5:$G$57,0)),INDEX($E$1733:$E$1785,MATCH(Paramètres!L29,Paramètres!$G$5:$G$57,0)))+IF(RIGHT(TRIM(Paramètres!M29),3)="Fin",1-$H1757,IF(LEFT(TRIM(Paramètres!M29),1)="F",1,0)))),IF(Paramètres!N29="",0,IF(Paramètres!O29="",NA(),IF(LEFT(TRIM(Paramètres!O29),1)="F",INDEX($F$1733:$F$1785,MATCH(Paramètres!N29,Paramètres!$G$5:$G$57,0)),INDEX($E$1733:$E$1785,MATCH(Paramètres!N29,Paramètres!$G$5:$G$57,0)))+IF(RIGHT(TRIM(Paramètres!O29),3)="Fin",1-$H1757,IF(LEFT(TRIM(Paramètres!O29),1)="F",1,0)))))))</f>
        <v/>
      </c>
      <c r="F1757" s="19">
        <f>IF($A1757="","",E1757+$H1757-1)</f>
        <v/>
      </c>
      <c r="G1757" s="18" t="n"/>
      <c r="H1757" s="18">
        <f>IF($A1757="","",IF(I1757&lt;&gt;"",I1757,Paramètres!B29))</f>
        <v/>
      </c>
      <c r="I1757" s="18" t="n"/>
    </row>
    <row r="1758">
      <c r="A1758" s="18">
        <f>IF(ISNUMBER(Dossiers!$D$36),Dossiers!$A$36&amp;" · "&amp;Dossiers!$B$36,"")</f>
        <v/>
      </c>
      <c r="B1758" s="18">
        <f>IF($A1758="","",Paramètres!G30)</f>
        <v/>
      </c>
      <c r="C1758" s="18">
        <f>IF($A1758="","",IF(Paramètres!H30="","",Paramètres!H30))</f>
        <v/>
      </c>
      <c r="D1758" s="18">
        <f>IF($A1758="","",IF(Paramètres!I30="","",Paramètres!I30))</f>
        <v/>
      </c>
      <c r="E1758" s="19">
        <f>IF($A1758="","",IF(Paramètres!J30&amp;Paramètres!L30&amp;Paramètres!N30="",Dossiers!$D$36,MAX(IF(Paramètres!J30="",0,IF(Paramètres!K30="",NA(),IF(LEFT(TRIM(Paramètres!K30),1)="F",INDEX($F$1733:$F$1785,MATCH(Paramètres!J30,Paramètres!$G$5:$G$57,0)),INDEX($E$1733:$E$1785,MATCH(Paramètres!J30,Paramètres!$G$5:$G$57,0)))+IF(RIGHT(TRIM(Paramètres!K30),3)="Fin",1-$H1758,IF(LEFT(TRIM(Paramètres!K30),1)="F",1,0)))),IF(Paramètres!L30="",0,IF(Paramètres!M30="",NA(),IF(LEFT(TRIM(Paramètres!M30),1)="F",INDEX($F$1733:$F$1785,MATCH(Paramètres!L30,Paramètres!$G$5:$G$57,0)),INDEX($E$1733:$E$1785,MATCH(Paramètres!L30,Paramètres!$G$5:$G$57,0)))+IF(RIGHT(TRIM(Paramètres!M30),3)="Fin",1-$H1758,IF(LEFT(TRIM(Paramètres!M30),1)="F",1,0)))),IF(Paramètres!N30="",0,IF(Paramètres!O30="",NA(),IF(LEFT(TRIM(Paramètres!O30),1)="F",INDEX($F$1733:$F$1785,MATCH(Paramètres!N30,Paramètres!$G$5:$G$57,0)),INDEX($E$1733:$E$1785,MATCH(Paramètres!N30,Paramètres!$G$5:$G$57,0)))+IF(RIGHT(TRIM(Paramètres!O30),3)="Fin",1-$H1758,IF(LEFT(TRIM(Paramètres!O30),1)="F",1,0)))))))</f>
        <v/>
      </c>
      <c r="F1758" s="19">
        <f>IF($A1758="","",E1758+$H1758-1)</f>
        <v/>
      </c>
      <c r="G1758" s="18" t="n"/>
      <c r="H1758" s="18">
        <f>IF($A1758="","",IF(I1758&lt;&gt;"",I1758,Paramètres!B30))</f>
        <v/>
      </c>
      <c r="I1758" s="18" t="n"/>
    </row>
    <row r="1759">
      <c r="A1759" s="18">
        <f>IF(ISNUMBER(Dossiers!$D$36),Dossiers!$A$36&amp;" · "&amp;Dossiers!$B$36,"")</f>
        <v/>
      </c>
      <c r="B1759" s="18">
        <f>IF($A1759="","",Paramètres!G31)</f>
        <v/>
      </c>
      <c r="C1759" s="20">
        <f>IF($A1759="","",IF(Dossiers!$F$36="","",Dossiers!$F$36))</f>
        <v/>
      </c>
      <c r="D1759" s="18">
        <f>IF($A1759="","",IF(Paramètres!I31="","",Paramètres!I31))</f>
        <v/>
      </c>
      <c r="E1759" s="19">
        <f>IF($A1759="","",IF(Paramètres!J31&amp;Paramètres!L31&amp;Paramètres!N31="",Dossiers!$D$36,MAX(IF(Paramètres!J31="",0,IF(Paramètres!K31="",NA(),IF(LEFT(TRIM(Paramètres!K31),1)="F",INDEX($F$1733:$F$1785,MATCH(Paramètres!J31,Paramètres!$G$5:$G$57,0)),INDEX($E$1733:$E$1785,MATCH(Paramètres!J31,Paramètres!$G$5:$G$57,0)))+IF(RIGHT(TRIM(Paramètres!K31),3)="Fin",1-$H1759,IF(LEFT(TRIM(Paramètres!K31),1)="F",1,0)))),IF(Paramètres!L31="",0,IF(Paramètres!M31="",NA(),IF(LEFT(TRIM(Paramètres!M31),1)="F",INDEX($F$1733:$F$1785,MATCH(Paramètres!L31,Paramètres!$G$5:$G$57,0)),INDEX($E$1733:$E$1785,MATCH(Paramètres!L31,Paramètres!$G$5:$G$57,0)))+IF(RIGHT(TRIM(Paramètres!M31),3)="Fin",1-$H1759,IF(LEFT(TRIM(Paramètres!M31),1)="F",1,0)))),IF(Paramètres!N31="",0,IF(Paramètres!O31="",NA(),IF(LEFT(TRIM(Paramètres!O31),1)="F",INDEX($F$1733:$F$1785,MATCH(Paramètres!N31,Paramètres!$G$5:$G$57,0)),INDEX($E$1733:$E$1785,MATCH(Paramètres!N31,Paramètres!$G$5:$G$57,0)))+IF(RIGHT(TRIM(Paramètres!O31),3)="Fin",1-$H1759,IF(LEFT(TRIM(Paramètres!O31),1)="F",1,0)))))))</f>
        <v/>
      </c>
      <c r="F1759" s="19">
        <f>IF($A1759="","",E1759+$H1759-1)</f>
        <v/>
      </c>
      <c r="G1759" s="18" t="n"/>
      <c r="H1759" s="18">
        <f>IF($A1759="","",IF(I1759&lt;&gt;"",I1759,Paramètres!B31))</f>
        <v/>
      </c>
      <c r="I1759" s="18" t="n"/>
    </row>
    <row r="1760">
      <c r="A1760" s="18">
        <f>IF(ISNUMBER(Dossiers!$D$36),Dossiers!$A$36&amp;" · "&amp;Dossiers!$B$36,"")</f>
        <v/>
      </c>
      <c r="B1760" s="18">
        <f>IF($A1760="","",Paramètres!G32)</f>
        <v/>
      </c>
      <c r="C1760" s="18">
        <f>IF($A1760="","",IF(Paramètres!H32="","",Paramètres!H32))</f>
        <v/>
      </c>
      <c r="D1760" s="18">
        <f>IF($A1760="","",IF(Paramètres!I32="","",Paramètres!I32))</f>
        <v/>
      </c>
      <c r="E1760" s="19">
        <f>IF($A1760="","",MIN(E1761:E1764))</f>
        <v/>
      </c>
      <c r="F1760" s="19">
        <f>IF($A1760="","",MAX(F1761:F1764))</f>
        <v/>
      </c>
      <c r="G1760" s="18" t="n"/>
      <c r="H1760" s="18">
        <f>IF($A1760="","",F1760-E1760+1)</f>
        <v/>
      </c>
      <c r="I1760" s="18" t="n"/>
    </row>
    <row r="1761">
      <c r="A1761" s="18">
        <f>IF(ISNUMBER(Dossiers!$D$36),Dossiers!$A$36&amp;" · "&amp;Dossiers!$B$36,"")</f>
        <v/>
      </c>
      <c r="B1761" s="18">
        <f>IF($A1761="","",Paramètres!G33)</f>
        <v/>
      </c>
      <c r="C1761" s="18">
        <f>IF($A1761="","",IF(Paramètres!H33="","",Paramètres!H33))</f>
        <v/>
      </c>
      <c r="D1761" s="18">
        <f>IF($A1761="","",IF(Paramètres!I33="","",Paramètres!I33))</f>
        <v/>
      </c>
      <c r="E1761" s="19">
        <f>IF($A1761="","",IF(Paramètres!J33&amp;Paramètres!L33&amp;Paramètres!N33="",Dossiers!$D$36,MAX(IF(Paramètres!J33="",0,IF(Paramètres!K33="",NA(),IF(LEFT(TRIM(Paramètres!K33),1)="F",INDEX($F$1733:$F$1785,MATCH(Paramètres!J33,Paramètres!$G$5:$G$57,0)),INDEX($E$1733:$E$1785,MATCH(Paramètres!J33,Paramètres!$G$5:$G$57,0)))+IF(RIGHT(TRIM(Paramètres!K33),3)="Fin",1-$H1761,IF(LEFT(TRIM(Paramètres!K33),1)="F",1,0)))),IF(Paramètres!L33="",0,IF(Paramètres!M33="",NA(),IF(LEFT(TRIM(Paramètres!M33),1)="F",INDEX($F$1733:$F$1785,MATCH(Paramètres!L33,Paramètres!$G$5:$G$57,0)),INDEX($E$1733:$E$1785,MATCH(Paramètres!L33,Paramètres!$G$5:$G$57,0)))+IF(RIGHT(TRIM(Paramètres!M33),3)="Fin",1-$H1761,IF(LEFT(TRIM(Paramètres!M33),1)="F",1,0)))),IF(Paramètres!N33="",0,IF(Paramètres!O33="",NA(),IF(LEFT(TRIM(Paramètres!O33),1)="F",INDEX($F$1733:$F$1785,MATCH(Paramètres!N33,Paramètres!$G$5:$G$57,0)),INDEX($E$1733:$E$1785,MATCH(Paramètres!N33,Paramètres!$G$5:$G$57,0)))+IF(RIGHT(TRIM(Paramètres!O33),3)="Fin",1-$H1761,IF(LEFT(TRIM(Paramètres!O33),1)="F",1,0)))))))</f>
        <v/>
      </c>
      <c r="F1761" s="19">
        <f>IF($A1761="","",E1761+$H1761-1)</f>
        <v/>
      </c>
      <c r="G1761" s="18" t="n"/>
      <c r="H1761" s="18">
        <f>IF($A1761="","",IF(I1761&lt;&gt;"",I1761,Paramètres!B33))</f>
        <v/>
      </c>
      <c r="I1761" s="18" t="n"/>
    </row>
    <row r="1762">
      <c r="A1762" s="18">
        <f>IF(ISNUMBER(Dossiers!$D$36),Dossiers!$A$36&amp;" · "&amp;Dossiers!$B$36,"")</f>
        <v/>
      </c>
      <c r="B1762" s="18">
        <f>IF($A1762="","",Paramètres!G34)</f>
        <v/>
      </c>
      <c r="C1762" s="18">
        <f>IF($A1762="","",IF(Paramètres!H34="","",Paramètres!H34))</f>
        <v/>
      </c>
      <c r="D1762" s="18">
        <f>IF($A1762="","",IF(Paramètres!I34="","",Paramètres!I34))</f>
        <v/>
      </c>
      <c r="E1762" s="19">
        <f>IF($A1762="","",IF(Paramètres!J34&amp;Paramètres!L34&amp;Paramètres!N34="",Dossiers!$D$36,MAX(IF(Paramètres!J34="",0,IF(Paramètres!K34="",NA(),IF(LEFT(TRIM(Paramètres!K34),1)="F",INDEX($F$1733:$F$1785,MATCH(Paramètres!J34,Paramètres!$G$5:$G$57,0)),INDEX($E$1733:$E$1785,MATCH(Paramètres!J34,Paramètres!$G$5:$G$57,0)))+IF(RIGHT(TRIM(Paramètres!K34),3)="Fin",1-$H1762,IF(LEFT(TRIM(Paramètres!K34),1)="F",1,0)))),IF(Paramètres!L34="",0,IF(Paramètres!M34="",NA(),IF(LEFT(TRIM(Paramètres!M34),1)="F",INDEX($F$1733:$F$1785,MATCH(Paramètres!L34,Paramètres!$G$5:$G$57,0)),INDEX($E$1733:$E$1785,MATCH(Paramètres!L34,Paramètres!$G$5:$G$57,0)))+IF(RIGHT(TRIM(Paramètres!M34),3)="Fin",1-$H1762,IF(LEFT(TRIM(Paramètres!M34),1)="F",1,0)))),IF(Paramètres!N34="",0,IF(Paramètres!O34="",NA(),IF(LEFT(TRIM(Paramètres!O34),1)="F",INDEX($F$1733:$F$1785,MATCH(Paramètres!N34,Paramètres!$G$5:$G$57,0)),INDEX($E$1733:$E$1785,MATCH(Paramètres!N34,Paramètres!$G$5:$G$57,0)))+IF(RIGHT(TRIM(Paramètres!O34),3)="Fin",1-$H1762,IF(LEFT(TRIM(Paramètres!O34),1)="F",1,0)))))))</f>
        <v/>
      </c>
      <c r="F1762" s="19">
        <f>IF($A1762="","",E1762+$H1762-1)</f>
        <v/>
      </c>
      <c r="G1762" s="18" t="n"/>
      <c r="H1762" s="18">
        <f>IF($A1762="","",IF(I1762&lt;&gt;"",I1762,Paramètres!B34))</f>
        <v/>
      </c>
      <c r="I1762" s="18" t="n"/>
    </row>
    <row r="1763">
      <c r="A1763" s="18">
        <f>IF(ISNUMBER(Dossiers!$D$36),Dossiers!$A$36&amp;" · "&amp;Dossiers!$B$36,"")</f>
        <v/>
      </c>
      <c r="B1763" s="18">
        <f>IF($A1763="","",Paramètres!G35)</f>
        <v/>
      </c>
      <c r="C1763" s="18">
        <f>IF($A1763="","",IF(Paramètres!H35="","",Paramètres!H35))</f>
        <v/>
      </c>
      <c r="D1763" s="18">
        <f>IF($A1763="","",IF(Paramètres!I35="","",Paramètres!I35))</f>
        <v/>
      </c>
      <c r="E1763" s="19">
        <f>IF($A1763="","",IF(Paramètres!J35&amp;Paramètres!L35&amp;Paramètres!N35="",Dossiers!$D$36,MAX(IF(Paramètres!J35="",0,IF(Paramètres!K35="",NA(),IF(LEFT(TRIM(Paramètres!K35),1)="F",INDEX($F$1733:$F$1785,MATCH(Paramètres!J35,Paramètres!$G$5:$G$57,0)),INDEX($E$1733:$E$1785,MATCH(Paramètres!J35,Paramètres!$G$5:$G$57,0)))+IF(RIGHT(TRIM(Paramètres!K35),3)="Fin",1-$H1763,IF(LEFT(TRIM(Paramètres!K35),1)="F",1,0)))),IF(Paramètres!L35="",0,IF(Paramètres!M35="",NA(),IF(LEFT(TRIM(Paramètres!M35),1)="F",INDEX($F$1733:$F$1785,MATCH(Paramètres!L35,Paramètres!$G$5:$G$57,0)),INDEX($E$1733:$E$1785,MATCH(Paramètres!L35,Paramètres!$G$5:$G$57,0)))+IF(RIGHT(TRIM(Paramètres!M35),3)="Fin",1-$H1763,IF(LEFT(TRIM(Paramètres!M35),1)="F",1,0)))),IF(Paramètres!N35="",0,IF(Paramètres!O35="",NA(),IF(LEFT(TRIM(Paramètres!O35),1)="F",INDEX($F$1733:$F$1785,MATCH(Paramètres!N35,Paramètres!$G$5:$G$57,0)),INDEX($E$1733:$E$1785,MATCH(Paramètres!N35,Paramètres!$G$5:$G$57,0)))+IF(RIGHT(TRIM(Paramètres!O35),3)="Fin",1-$H1763,IF(LEFT(TRIM(Paramètres!O35),1)="F",1,0)))))))</f>
        <v/>
      </c>
      <c r="F1763" s="19">
        <f>IF($A1763="","",E1763+$H1763-1)</f>
        <v/>
      </c>
      <c r="G1763" s="18" t="n"/>
      <c r="H1763" s="18">
        <f>IF($A1763="","",IF(I1763&lt;&gt;"",I1763,Paramètres!B35))</f>
        <v/>
      </c>
      <c r="I1763" s="18" t="n"/>
    </row>
    <row r="1764">
      <c r="A1764" s="18">
        <f>IF(ISNUMBER(Dossiers!$D$36),Dossiers!$A$36&amp;" · "&amp;Dossiers!$B$36,"")</f>
        <v/>
      </c>
      <c r="B1764" s="18">
        <f>IF($A1764="","",Paramètres!G36)</f>
        <v/>
      </c>
      <c r="C1764" s="18">
        <f>IF($A1764="","",IF(Paramètres!H36="","",Paramètres!H36))</f>
        <v/>
      </c>
      <c r="D1764" s="18">
        <f>IF($A1764="","",IF(Paramètres!I36="","",Paramètres!I36))</f>
        <v/>
      </c>
      <c r="E1764" s="19">
        <f>IF($A1764="","",IF(Paramètres!J36&amp;Paramètres!L36&amp;Paramètres!N36="",Dossiers!$D$36,MAX(IF(Paramètres!J36="",0,IF(Paramètres!K36="",NA(),IF(LEFT(TRIM(Paramètres!K36),1)="F",INDEX($F$1733:$F$1785,MATCH(Paramètres!J36,Paramètres!$G$5:$G$57,0)),INDEX($E$1733:$E$1785,MATCH(Paramètres!J36,Paramètres!$G$5:$G$57,0)))+IF(RIGHT(TRIM(Paramètres!K36),3)="Fin",1-$H1764,IF(LEFT(TRIM(Paramètres!K36),1)="F",1,0)))),IF(Paramètres!L36="",0,IF(Paramètres!M36="",NA(),IF(LEFT(TRIM(Paramètres!M36),1)="F",INDEX($F$1733:$F$1785,MATCH(Paramètres!L36,Paramètres!$G$5:$G$57,0)),INDEX($E$1733:$E$1785,MATCH(Paramètres!L36,Paramètres!$G$5:$G$57,0)))+IF(RIGHT(TRIM(Paramètres!M36),3)="Fin",1-$H1764,IF(LEFT(TRIM(Paramètres!M36),1)="F",1,0)))),IF(Paramètres!N36="",0,IF(Paramètres!O36="",NA(),IF(LEFT(TRIM(Paramètres!O36),1)="F",INDEX($F$1733:$F$1785,MATCH(Paramètres!N36,Paramètres!$G$5:$G$57,0)),INDEX($E$1733:$E$1785,MATCH(Paramètres!N36,Paramètres!$G$5:$G$57,0)))+IF(RIGHT(TRIM(Paramètres!O36),3)="Fin",1-$H1764,IF(LEFT(TRIM(Paramètres!O36),1)="F",1,0)))))))</f>
        <v/>
      </c>
      <c r="F1764" s="19">
        <f>IF($A1764="","",E1764+$H1764-1)</f>
        <v/>
      </c>
      <c r="G1764" s="18" t="n"/>
      <c r="H1764" s="18">
        <f>IF($A1764="","",IF(I1764&lt;&gt;"",I1764,Paramètres!B36))</f>
        <v/>
      </c>
      <c r="I1764" s="18" t="n"/>
    </row>
    <row r="1765">
      <c r="A1765" s="18">
        <f>IF(ISNUMBER(Dossiers!$D$36),Dossiers!$A$36&amp;" · "&amp;Dossiers!$B$36,"")</f>
        <v/>
      </c>
      <c r="B1765" s="18">
        <f>IF($A1765="","",Paramètres!G37)</f>
        <v/>
      </c>
      <c r="C1765" s="18">
        <f>IF($A1765="","",IF(Paramètres!H37="","",Paramètres!H37))</f>
        <v/>
      </c>
      <c r="D1765" s="18">
        <f>IF($A1765="","",IF(Paramètres!I37="","",Paramètres!I37))</f>
        <v/>
      </c>
      <c r="E1765" s="19">
        <f>IF($A1765="","",MIN(E1766:E1783))</f>
        <v/>
      </c>
      <c r="F1765" s="19">
        <f>IF($A1765="","",MAX(F1766:F1783))</f>
        <v/>
      </c>
      <c r="G1765" s="18" t="n"/>
      <c r="H1765" s="18">
        <f>IF($A1765="","",F1765-E1765+1)</f>
        <v/>
      </c>
      <c r="I1765" s="18" t="n"/>
    </row>
    <row r="1766">
      <c r="A1766" s="18">
        <f>IF(ISNUMBER(Dossiers!$D$36),Dossiers!$A$36&amp;" · "&amp;Dossiers!$B$36,"")</f>
        <v/>
      </c>
      <c r="B1766" s="18">
        <f>IF($A1766="","",Paramètres!G38)</f>
        <v/>
      </c>
      <c r="C1766" s="18">
        <f>IF($A1766="","",IF(Paramètres!H38="","",Paramètres!H38))</f>
        <v/>
      </c>
      <c r="D1766" s="18">
        <f>IF($A1766="","",IF(Paramètres!I38="","",Paramètres!I38))</f>
        <v/>
      </c>
      <c r="E1766" s="19">
        <f>IF($A1766="","",IF(Paramètres!J38&amp;Paramètres!L38&amp;Paramètres!N38="",Dossiers!$D$36,MAX(IF(Paramètres!J38="",0,IF(Paramètres!K38="",NA(),IF(LEFT(TRIM(Paramètres!K38),1)="F",INDEX($F$1733:$F$1785,MATCH(Paramètres!J38,Paramètres!$G$5:$G$57,0)),INDEX($E$1733:$E$1785,MATCH(Paramètres!J38,Paramètres!$G$5:$G$57,0)))+IF(RIGHT(TRIM(Paramètres!K38),3)="Fin",1-$H1766,IF(LEFT(TRIM(Paramètres!K38),1)="F",1,0)))),IF(Paramètres!L38="",0,IF(Paramètres!M38="",NA(),IF(LEFT(TRIM(Paramètres!M38),1)="F",INDEX($F$1733:$F$1785,MATCH(Paramètres!L38,Paramètres!$G$5:$G$57,0)),INDEX($E$1733:$E$1785,MATCH(Paramètres!L38,Paramètres!$G$5:$G$57,0)))+IF(RIGHT(TRIM(Paramètres!M38),3)="Fin",1-$H1766,IF(LEFT(TRIM(Paramètres!M38),1)="F",1,0)))),IF(Paramètres!N38="",0,IF(Paramètres!O38="",NA(),IF(LEFT(TRIM(Paramètres!O38),1)="F",INDEX($F$1733:$F$1785,MATCH(Paramètres!N38,Paramètres!$G$5:$G$57,0)),INDEX($E$1733:$E$1785,MATCH(Paramètres!N38,Paramètres!$G$5:$G$57,0)))+IF(RIGHT(TRIM(Paramètres!O38),3)="Fin",1-$H1766,IF(LEFT(TRIM(Paramètres!O38),1)="F",1,0)))))))</f>
        <v/>
      </c>
      <c r="F1766" s="19">
        <f>IF($A1766="","",E1766+$H1766-1)</f>
        <v/>
      </c>
      <c r="G1766" s="18" t="n"/>
      <c r="H1766" s="18">
        <f>IF($A1766="","",IF(I1766&lt;&gt;"",I1766,Paramètres!B38))</f>
        <v/>
      </c>
      <c r="I1766" s="18" t="n"/>
    </row>
    <row r="1767">
      <c r="A1767" s="18">
        <f>IF(ISNUMBER(Dossiers!$D$36),Dossiers!$A$36&amp;" · "&amp;Dossiers!$B$36,"")</f>
        <v/>
      </c>
      <c r="B1767" s="18">
        <f>IF($A1767="","",Paramètres!G39)</f>
        <v/>
      </c>
      <c r="C1767" s="18">
        <f>IF($A1767="","",IF(Paramètres!H39="","",Paramètres!H39))</f>
        <v/>
      </c>
      <c r="D1767" s="18">
        <f>IF($A1767="","",IF(Paramètres!I39="","",Paramètres!I39))</f>
        <v/>
      </c>
      <c r="E1767" s="19">
        <f>IF($A1767="","",IF(Paramètres!J39&amp;Paramètres!L39&amp;Paramètres!N39="",Dossiers!$D$36,MAX(IF(Paramètres!J39="",0,IF(Paramètres!K39="",NA(),IF(LEFT(TRIM(Paramètres!K39),1)="F",INDEX($F$1733:$F$1785,MATCH(Paramètres!J39,Paramètres!$G$5:$G$57,0)),INDEX($E$1733:$E$1785,MATCH(Paramètres!J39,Paramètres!$G$5:$G$57,0)))+IF(RIGHT(TRIM(Paramètres!K39),3)="Fin",1-$H1767,IF(LEFT(TRIM(Paramètres!K39),1)="F",1,0)))),IF(Paramètres!L39="",0,IF(Paramètres!M39="",NA(),IF(LEFT(TRIM(Paramètres!M39),1)="F",INDEX($F$1733:$F$1785,MATCH(Paramètres!L39,Paramètres!$G$5:$G$57,0)),INDEX($E$1733:$E$1785,MATCH(Paramètres!L39,Paramètres!$G$5:$G$57,0)))+IF(RIGHT(TRIM(Paramètres!M39),3)="Fin",1-$H1767,IF(LEFT(TRIM(Paramètres!M39),1)="F",1,0)))),IF(Paramètres!N39="",0,IF(Paramètres!O39="",NA(),IF(LEFT(TRIM(Paramètres!O39),1)="F",INDEX($F$1733:$F$1785,MATCH(Paramètres!N39,Paramètres!$G$5:$G$57,0)),INDEX($E$1733:$E$1785,MATCH(Paramètres!N39,Paramètres!$G$5:$G$57,0)))+IF(RIGHT(TRIM(Paramètres!O39),3)="Fin",1-$H1767,IF(LEFT(TRIM(Paramètres!O39),1)="F",1,0)))))))</f>
        <v/>
      </c>
      <c r="F1767" s="19">
        <f>IF($A1767="","",E1767+$H1767-1)</f>
        <v/>
      </c>
      <c r="G1767" s="18" t="n"/>
      <c r="H1767" s="18">
        <f>IF($A1767="","",IF(I1767&lt;&gt;"",I1767,Paramètres!B39))</f>
        <v/>
      </c>
      <c r="I1767" s="18" t="n"/>
    </row>
    <row r="1768">
      <c r="A1768" s="18">
        <f>IF(ISNUMBER(Dossiers!$D$36),Dossiers!$A$36&amp;" · "&amp;Dossiers!$B$36,"")</f>
        <v/>
      </c>
      <c r="B1768" s="18">
        <f>IF($A1768="","",Paramètres!G40)</f>
        <v/>
      </c>
      <c r="C1768" s="18">
        <f>IF($A1768="","",IF(Paramètres!H40="","",Paramètres!H40))</f>
        <v/>
      </c>
      <c r="D1768" s="18">
        <f>IF($A1768="","",IF(Paramètres!I40="","",Paramètres!I40))</f>
        <v/>
      </c>
      <c r="E1768" s="19">
        <f>IF($A1768="","",IF(Paramètres!J40&amp;Paramètres!L40&amp;Paramètres!N40="",Dossiers!$D$36,MAX(IF(Paramètres!J40="",0,IF(Paramètres!K40="",NA(),IF(LEFT(TRIM(Paramètres!K40),1)="F",INDEX($F$1733:$F$1785,MATCH(Paramètres!J40,Paramètres!$G$5:$G$57,0)),INDEX($E$1733:$E$1785,MATCH(Paramètres!J40,Paramètres!$G$5:$G$57,0)))+IF(RIGHT(TRIM(Paramètres!K40),3)="Fin",1-$H1768,IF(LEFT(TRIM(Paramètres!K40),1)="F",1,0)))),IF(Paramètres!L40="",0,IF(Paramètres!M40="",NA(),IF(LEFT(TRIM(Paramètres!M40),1)="F",INDEX($F$1733:$F$1785,MATCH(Paramètres!L40,Paramètres!$G$5:$G$57,0)),INDEX($E$1733:$E$1785,MATCH(Paramètres!L40,Paramètres!$G$5:$G$57,0)))+IF(RIGHT(TRIM(Paramètres!M40),3)="Fin",1-$H1768,IF(LEFT(TRIM(Paramètres!M40),1)="F",1,0)))),IF(Paramètres!N40="",0,IF(Paramètres!O40="",NA(),IF(LEFT(TRIM(Paramètres!O40),1)="F",INDEX($F$1733:$F$1785,MATCH(Paramètres!N40,Paramètres!$G$5:$G$57,0)),INDEX($E$1733:$E$1785,MATCH(Paramètres!N40,Paramètres!$G$5:$G$57,0)))+IF(RIGHT(TRIM(Paramètres!O40),3)="Fin",1-$H1768,IF(LEFT(TRIM(Paramètres!O40),1)="F",1,0)))))))</f>
        <v/>
      </c>
      <c r="F1768" s="19">
        <f>IF($A1768="","",E1768+$H1768-1)</f>
        <v/>
      </c>
      <c r="G1768" s="18" t="n"/>
      <c r="H1768" s="18">
        <f>IF($A1768="","",IF(I1768&lt;&gt;"",I1768,Paramètres!B40))</f>
        <v/>
      </c>
      <c r="I1768" s="18" t="n"/>
    </row>
    <row r="1769">
      <c r="A1769" s="18">
        <f>IF(ISNUMBER(Dossiers!$D$36),Dossiers!$A$36&amp;" · "&amp;Dossiers!$B$36,"")</f>
        <v/>
      </c>
      <c r="B1769" s="18">
        <f>IF($A1769="","",Paramètres!G41)</f>
        <v/>
      </c>
      <c r="C1769" s="18">
        <f>IF($A1769="","",IF(Paramètres!H41="","",Paramètres!H41))</f>
        <v/>
      </c>
      <c r="D1769" s="18">
        <f>IF($A1769="","",IF(Paramètres!I41="","",Paramètres!I41))</f>
        <v/>
      </c>
      <c r="E1769" s="19">
        <f>IF($A1769="","",IF(Paramètres!J41&amp;Paramètres!L41&amp;Paramètres!N41="",Dossiers!$D$36,MAX(IF(Paramètres!J41="",0,IF(Paramètres!K41="",NA(),IF(LEFT(TRIM(Paramètres!K41),1)="F",INDEX($F$1733:$F$1785,MATCH(Paramètres!J41,Paramètres!$G$5:$G$57,0)),INDEX($E$1733:$E$1785,MATCH(Paramètres!J41,Paramètres!$G$5:$G$57,0)))+IF(RIGHT(TRIM(Paramètres!K41),3)="Fin",1-$H1769,IF(LEFT(TRIM(Paramètres!K41),1)="F",1,0)))),IF(Paramètres!L41="",0,IF(Paramètres!M41="",NA(),IF(LEFT(TRIM(Paramètres!M41),1)="F",INDEX($F$1733:$F$1785,MATCH(Paramètres!L41,Paramètres!$G$5:$G$57,0)),INDEX($E$1733:$E$1785,MATCH(Paramètres!L41,Paramètres!$G$5:$G$57,0)))+IF(RIGHT(TRIM(Paramètres!M41),3)="Fin",1-$H1769,IF(LEFT(TRIM(Paramètres!M41),1)="F",1,0)))),IF(Paramètres!N41="",0,IF(Paramètres!O41="",NA(),IF(LEFT(TRIM(Paramètres!O41),1)="F",INDEX($F$1733:$F$1785,MATCH(Paramètres!N41,Paramètres!$G$5:$G$57,0)),INDEX($E$1733:$E$1785,MATCH(Paramètres!N41,Paramètres!$G$5:$G$57,0)))+IF(RIGHT(TRIM(Paramètres!O41),3)="Fin",1-$H1769,IF(LEFT(TRIM(Paramètres!O41),1)="F",1,0)))))))</f>
        <v/>
      </c>
      <c r="F1769" s="19">
        <f>IF($A1769="","",E1769+$H1769-1)</f>
        <v/>
      </c>
      <c r="G1769" s="18" t="n"/>
      <c r="H1769" s="18">
        <f>IF($A1769="","",IF(I1769&lt;&gt;"",I1769,Paramètres!B41))</f>
        <v/>
      </c>
      <c r="I1769" s="18" t="n"/>
    </row>
    <row r="1770">
      <c r="A1770" s="18">
        <f>IF(ISNUMBER(Dossiers!$D$36),Dossiers!$A$36&amp;" · "&amp;Dossiers!$B$36,"")</f>
        <v/>
      </c>
      <c r="B1770" s="18">
        <f>IF($A1770="","",Paramètres!G42)</f>
        <v/>
      </c>
      <c r="C1770" s="18">
        <f>IF($A1770="","",IF(Paramètres!H42="","",Paramètres!H42))</f>
        <v/>
      </c>
      <c r="D1770" s="18">
        <f>IF($A1770="","",IF(Paramètres!I42="","",Paramètres!I42))</f>
        <v/>
      </c>
      <c r="E1770" s="19">
        <f>IF($A1770="","",IF(Paramètres!J42&amp;Paramètres!L42&amp;Paramètres!N42="",Dossiers!$D$36,MAX(IF(Paramètres!J42="",0,IF(Paramètres!K42="",NA(),IF(LEFT(TRIM(Paramètres!K42),1)="F",INDEX($F$1733:$F$1785,MATCH(Paramètres!J42,Paramètres!$G$5:$G$57,0)),INDEX($E$1733:$E$1785,MATCH(Paramètres!J42,Paramètres!$G$5:$G$57,0)))+IF(RIGHT(TRIM(Paramètres!K42),3)="Fin",1-$H1770,IF(LEFT(TRIM(Paramètres!K42),1)="F",1,0)))),IF(Paramètres!L42="",0,IF(Paramètres!M42="",NA(),IF(LEFT(TRIM(Paramètres!M42),1)="F",INDEX($F$1733:$F$1785,MATCH(Paramètres!L42,Paramètres!$G$5:$G$57,0)),INDEX($E$1733:$E$1785,MATCH(Paramètres!L42,Paramètres!$G$5:$G$57,0)))+IF(RIGHT(TRIM(Paramètres!M42),3)="Fin",1-$H1770,IF(LEFT(TRIM(Paramètres!M42),1)="F",1,0)))),IF(Paramètres!N42="",0,IF(Paramètres!O42="",NA(),IF(LEFT(TRIM(Paramètres!O42),1)="F",INDEX($F$1733:$F$1785,MATCH(Paramètres!N42,Paramètres!$G$5:$G$57,0)),INDEX($E$1733:$E$1785,MATCH(Paramètres!N42,Paramètres!$G$5:$G$57,0)))+IF(RIGHT(TRIM(Paramètres!O42),3)="Fin",1-$H1770,IF(LEFT(TRIM(Paramètres!O42),1)="F",1,0)))))))</f>
        <v/>
      </c>
      <c r="F1770" s="19">
        <f>IF($A1770="","",E1770+$H1770-1)</f>
        <v/>
      </c>
      <c r="G1770" s="18" t="n"/>
      <c r="H1770" s="18">
        <f>IF($A1770="","",IF(I1770&lt;&gt;"",I1770,Paramètres!B42))</f>
        <v/>
      </c>
      <c r="I1770" s="18" t="n"/>
    </row>
    <row r="1771">
      <c r="A1771" s="18">
        <f>IF(ISNUMBER(Dossiers!$D$36),Dossiers!$A$36&amp;" · "&amp;Dossiers!$B$36,"")</f>
        <v/>
      </c>
      <c r="B1771" s="18">
        <f>IF($A1771="","",Paramètres!G43)</f>
        <v/>
      </c>
      <c r="C1771" s="18">
        <f>IF($A1771="","",IF(Paramètres!H43="","",Paramètres!H43))</f>
        <v/>
      </c>
      <c r="D1771" s="18">
        <f>IF($A1771="","",IF(Paramètres!I43="","",Paramètres!I43))</f>
        <v/>
      </c>
      <c r="E1771" s="19">
        <f>IF($A1771="","",IF(Paramètres!J43&amp;Paramètres!L43&amp;Paramètres!N43="",Dossiers!$D$36,MAX(IF(Paramètres!J43="",0,IF(Paramètres!K43="",NA(),IF(LEFT(TRIM(Paramètres!K43),1)="F",INDEX($F$1733:$F$1785,MATCH(Paramètres!J43,Paramètres!$G$5:$G$57,0)),INDEX($E$1733:$E$1785,MATCH(Paramètres!J43,Paramètres!$G$5:$G$57,0)))+IF(RIGHT(TRIM(Paramètres!K43),3)="Fin",1-$H1771,IF(LEFT(TRIM(Paramètres!K43),1)="F",1,0)))),IF(Paramètres!L43="",0,IF(Paramètres!M43="",NA(),IF(LEFT(TRIM(Paramètres!M43),1)="F",INDEX($F$1733:$F$1785,MATCH(Paramètres!L43,Paramètres!$G$5:$G$57,0)),INDEX($E$1733:$E$1785,MATCH(Paramètres!L43,Paramètres!$G$5:$G$57,0)))+IF(RIGHT(TRIM(Paramètres!M43),3)="Fin",1-$H1771,IF(LEFT(TRIM(Paramètres!M43),1)="F",1,0)))),IF(Paramètres!N43="",0,IF(Paramètres!O43="",NA(),IF(LEFT(TRIM(Paramètres!O43),1)="F",INDEX($F$1733:$F$1785,MATCH(Paramètres!N43,Paramètres!$G$5:$G$57,0)),INDEX($E$1733:$E$1785,MATCH(Paramètres!N43,Paramètres!$G$5:$G$57,0)))+IF(RIGHT(TRIM(Paramètres!O43),3)="Fin",1-$H1771,IF(LEFT(TRIM(Paramètres!O43),1)="F",1,0)))))))</f>
        <v/>
      </c>
      <c r="F1771" s="19">
        <f>IF($A1771="","",E1771+$H1771-1)</f>
        <v/>
      </c>
      <c r="G1771" s="18" t="n"/>
      <c r="H1771" s="18">
        <f>IF($A1771="","",IF(I1771&lt;&gt;"",I1771,Paramètres!B43))</f>
        <v/>
      </c>
      <c r="I1771" s="18" t="n"/>
    </row>
    <row r="1772">
      <c r="A1772" s="18">
        <f>IF(ISNUMBER(Dossiers!$D$36),Dossiers!$A$36&amp;" · "&amp;Dossiers!$B$36,"")</f>
        <v/>
      </c>
      <c r="B1772" s="18">
        <f>IF($A1772="","",Paramètres!G44)</f>
        <v/>
      </c>
      <c r="C1772" s="18">
        <f>IF($A1772="","",IF(Paramètres!H44="","",Paramètres!H44))</f>
        <v/>
      </c>
      <c r="D1772" s="18">
        <f>IF($A1772="","",IF(Paramètres!I44="","",Paramètres!I44))</f>
        <v/>
      </c>
      <c r="E1772" s="19">
        <f>IF($A1772="","",IF(Paramètres!J44&amp;Paramètres!L44&amp;Paramètres!N44="",Dossiers!$D$36,MAX(IF(Paramètres!J44="",0,IF(Paramètres!K44="",NA(),IF(LEFT(TRIM(Paramètres!K44),1)="F",INDEX($F$1733:$F$1785,MATCH(Paramètres!J44,Paramètres!$G$5:$G$57,0)),INDEX($E$1733:$E$1785,MATCH(Paramètres!J44,Paramètres!$G$5:$G$57,0)))+IF(RIGHT(TRIM(Paramètres!K44),3)="Fin",1-$H1772,IF(LEFT(TRIM(Paramètres!K44),1)="F",1,0)))),IF(Paramètres!L44="",0,IF(Paramètres!M44="",NA(),IF(LEFT(TRIM(Paramètres!M44),1)="F",INDEX($F$1733:$F$1785,MATCH(Paramètres!L44,Paramètres!$G$5:$G$57,0)),INDEX($E$1733:$E$1785,MATCH(Paramètres!L44,Paramètres!$G$5:$G$57,0)))+IF(RIGHT(TRIM(Paramètres!M44),3)="Fin",1-$H1772,IF(LEFT(TRIM(Paramètres!M44),1)="F",1,0)))),IF(Paramètres!N44="",0,IF(Paramètres!O44="",NA(),IF(LEFT(TRIM(Paramètres!O44),1)="F",INDEX($F$1733:$F$1785,MATCH(Paramètres!N44,Paramètres!$G$5:$G$57,0)),INDEX($E$1733:$E$1785,MATCH(Paramètres!N44,Paramètres!$G$5:$G$57,0)))+IF(RIGHT(TRIM(Paramètres!O44),3)="Fin",1-$H1772,IF(LEFT(TRIM(Paramètres!O44),1)="F",1,0)))))))</f>
        <v/>
      </c>
      <c r="F1772" s="19">
        <f>IF($A1772="","",E1772+$H1772-1)</f>
        <v/>
      </c>
      <c r="G1772" s="18" t="n"/>
      <c r="H1772" s="18">
        <f>IF($A1772="","",IF(I1772&lt;&gt;"",I1772,Paramètres!B44))</f>
        <v/>
      </c>
      <c r="I1772" s="18" t="n"/>
    </row>
    <row r="1773">
      <c r="A1773" s="18">
        <f>IF(ISNUMBER(Dossiers!$D$36),Dossiers!$A$36&amp;" · "&amp;Dossiers!$B$36,"")</f>
        <v/>
      </c>
      <c r="B1773" s="18">
        <f>IF($A1773="","",Paramètres!G45)</f>
        <v/>
      </c>
      <c r="C1773" s="20">
        <f>IF($A1773="","",IF(Dossiers!$G$36="","",Dossiers!$G$36))</f>
        <v/>
      </c>
      <c r="D1773" s="18">
        <f>IF($A1773="","",IF(Paramètres!I45="","",Paramètres!I45))</f>
        <v/>
      </c>
      <c r="E1773" s="19">
        <f>IF($A1773="","",IF(Paramètres!J45&amp;Paramètres!L45&amp;Paramètres!N45="",Dossiers!$D$36,MAX(IF(Paramètres!J45="",0,IF(Paramètres!K45="",NA(),IF(LEFT(TRIM(Paramètres!K45),1)="F",INDEX($F$1733:$F$1785,MATCH(Paramètres!J45,Paramètres!$G$5:$G$57,0)),INDEX($E$1733:$E$1785,MATCH(Paramètres!J45,Paramètres!$G$5:$G$57,0)))+IF(RIGHT(TRIM(Paramètres!K45),3)="Fin",1-$H1773,IF(LEFT(TRIM(Paramètres!K45),1)="F",1,0)))),IF(Paramètres!L45="",0,IF(Paramètres!M45="",NA(),IF(LEFT(TRIM(Paramètres!M45),1)="F",INDEX($F$1733:$F$1785,MATCH(Paramètres!L45,Paramètres!$G$5:$G$57,0)),INDEX($E$1733:$E$1785,MATCH(Paramètres!L45,Paramètres!$G$5:$G$57,0)))+IF(RIGHT(TRIM(Paramètres!M45),3)="Fin",1-$H1773,IF(LEFT(TRIM(Paramètres!M45),1)="F",1,0)))),IF(Paramètres!N45="",0,IF(Paramètres!O45="",NA(),IF(LEFT(TRIM(Paramètres!O45),1)="F",INDEX($F$1733:$F$1785,MATCH(Paramètres!N45,Paramètres!$G$5:$G$57,0)),INDEX($E$1733:$E$1785,MATCH(Paramètres!N45,Paramètres!$G$5:$G$57,0)))+IF(RIGHT(TRIM(Paramètres!O45),3)="Fin",1-$H1773,IF(LEFT(TRIM(Paramètres!O45),1)="F",1,0)))))))</f>
        <v/>
      </c>
      <c r="F1773" s="19">
        <f>IF($A1773="","",E1773+$H1773-1)</f>
        <v/>
      </c>
      <c r="G1773" s="18" t="n"/>
      <c r="H1773" s="18">
        <f>IF($A1773="","",IF(I1773&lt;&gt;"",I1773,Paramètres!B45))</f>
        <v/>
      </c>
      <c r="I1773" s="18" t="n"/>
    </row>
    <row r="1774">
      <c r="A1774" s="18">
        <f>IF(ISNUMBER(Dossiers!$D$36),Dossiers!$A$36&amp;" · "&amp;Dossiers!$B$36,"")</f>
        <v/>
      </c>
      <c r="B1774" s="18">
        <f>IF($A1774="","",Paramètres!G46)</f>
        <v/>
      </c>
      <c r="C1774" s="18">
        <f>IF($A1774="","",IF(Paramètres!H46="","",Paramètres!H46))</f>
        <v/>
      </c>
      <c r="D1774" s="18">
        <f>IF($A1774="","",IF(Paramètres!I46="","",Paramètres!I46))</f>
        <v/>
      </c>
      <c r="E1774" s="19">
        <f>IF($A1774="","",IF(Paramètres!J46&amp;Paramètres!L46&amp;Paramètres!N46="",Dossiers!$D$36,MAX(IF(Paramètres!J46="",0,IF(Paramètres!K46="",NA(),IF(LEFT(TRIM(Paramètres!K46),1)="F",INDEX($F$1733:$F$1785,MATCH(Paramètres!J46,Paramètres!$G$5:$G$57,0)),INDEX($E$1733:$E$1785,MATCH(Paramètres!J46,Paramètres!$G$5:$G$57,0)))+IF(RIGHT(TRIM(Paramètres!K46),3)="Fin",1-$H1774,IF(LEFT(TRIM(Paramètres!K46),1)="F",1,0)))),IF(Paramètres!L46="",0,IF(Paramètres!M46="",NA(),IF(LEFT(TRIM(Paramètres!M46),1)="F",INDEX($F$1733:$F$1785,MATCH(Paramètres!L46,Paramètres!$G$5:$G$57,0)),INDEX($E$1733:$E$1785,MATCH(Paramètres!L46,Paramètres!$G$5:$G$57,0)))+IF(RIGHT(TRIM(Paramètres!M46),3)="Fin",1-$H1774,IF(LEFT(TRIM(Paramètres!M46),1)="F",1,0)))),IF(Paramètres!N46="",0,IF(Paramètres!O46="",NA(),IF(LEFT(TRIM(Paramètres!O46),1)="F",INDEX($F$1733:$F$1785,MATCH(Paramètres!N46,Paramètres!$G$5:$G$57,0)),INDEX($E$1733:$E$1785,MATCH(Paramètres!N46,Paramètres!$G$5:$G$57,0)))+IF(RIGHT(TRIM(Paramètres!O46),3)="Fin",1-$H1774,IF(LEFT(TRIM(Paramètres!O46),1)="F",1,0)))))))</f>
        <v/>
      </c>
      <c r="F1774" s="19">
        <f>IF($A1774="","",E1774+$H1774-1)</f>
        <v/>
      </c>
      <c r="G1774" s="18" t="n"/>
      <c r="H1774" s="18">
        <f>IF($A1774="","",IF(I1774&lt;&gt;"",I1774,Paramètres!B46))</f>
        <v/>
      </c>
      <c r="I1774" s="18" t="n"/>
    </row>
    <row r="1775">
      <c r="A1775" s="18">
        <f>IF(ISNUMBER(Dossiers!$D$36),Dossiers!$A$36&amp;" · "&amp;Dossiers!$B$36,"")</f>
        <v/>
      </c>
      <c r="B1775" s="18">
        <f>IF($A1775="","",Paramètres!G47)</f>
        <v/>
      </c>
      <c r="C1775" s="18">
        <f>IF($A1775="","",IF(Paramètres!H47="","",Paramètres!H47))</f>
        <v/>
      </c>
      <c r="D1775" s="18">
        <f>IF($A1775="","",IF(Paramètres!I47="","",Paramètres!I47))</f>
        <v/>
      </c>
      <c r="E1775" s="19">
        <f>IF($A1775="","",IF(Paramètres!J47&amp;Paramètres!L47&amp;Paramètres!N47="",Dossiers!$D$36,MAX(IF(Paramètres!J47="",0,IF(Paramètres!K47="",NA(),IF(LEFT(TRIM(Paramètres!K47),1)="F",INDEX($F$1733:$F$1785,MATCH(Paramètres!J47,Paramètres!$G$5:$G$57,0)),INDEX($E$1733:$E$1785,MATCH(Paramètres!J47,Paramètres!$G$5:$G$57,0)))+IF(RIGHT(TRIM(Paramètres!K47),3)="Fin",1-$H1775,IF(LEFT(TRIM(Paramètres!K47),1)="F",1,0)))),IF(Paramètres!L47="",0,IF(Paramètres!M47="",NA(),IF(LEFT(TRIM(Paramètres!M47),1)="F",INDEX($F$1733:$F$1785,MATCH(Paramètres!L47,Paramètres!$G$5:$G$57,0)),INDEX($E$1733:$E$1785,MATCH(Paramètres!L47,Paramètres!$G$5:$G$57,0)))+IF(RIGHT(TRIM(Paramètres!M47),3)="Fin",1-$H1775,IF(LEFT(TRIM(Paramètres!M47),1)="F",1,0)))),IF(Paramètres!N47="",0,IF(Paramètres!O47="",NA(),IF(LEFT(TRIM(Paramètres!O47),1)="F",INDEX($F$1733:$F$1785,MATCH(Paramètres!N47,Paramètres!$G$5:$G$57,0)),INDEX($E$1733:$E$1785,MATCH(Paramètres!N47,Paramètres!$G$5:$G$57,0)))+IF(RIGHT(TRIM(Paramètres!O47),3)="Fin",1-$H1775,IF(LEFT(TRIM(Paramètres!O47),1)="F",1,0)))))))</f>
        <v/>
      </c>
      <c r="F1775" s="19">
        <f>IF($A1775="","",E1775+$H1775-1)</f>
        <v/>
      </c>
      <c r="G1775" s="18" t="n"/>
      <c r="H1775" s="18">
        <f>IF($A1775="","",IF(I1775&lt;&gt;"",I1775,Paramètres!B47))</f>
        <v/>
      </c>
      <c r="I1775" s="18" t="n"/>
    </row>
    <row r="1776">
      <c r="A1776" s="18">
        <f>IF(ISNUMBER(Dossiers!$D$36),Dossiers!$A$36&amp;" · "&amp;Dossiers!$B$36,"")</f>
        <v/>
      </c>
      <c r="B1776" s="18">
        <f>IF($A1776="","",Paramètres!G48)</f>
        <v/>
      </c>
      <c r="C1776" s="18">
        <f>IF($A1776="","",IF(Paramètres!H48="","",Paramètres!H48))</f>
        <v/>
      </c>
      <c r="D1776" s="18">
        <f>IF($A1776="","",IF(Paramètres!I48="","",Paramètres!I48))</f>
        <v/>
      </c>
      <c r="E1776" s="19">
        <f>IF($A1776="","",IF(Paramètres!J48&amp;Paramètres!L48&amp;Paramètres!N48="",Dossiers!$D$36,MAX(IF(Paramètres!J48="",0,IF(Paramètres!K48="",NA(),IF(LEFT(TRIM(Paramètres!K48),1)="F",INDEX($F$1733:$F$1785,MATCH(Paramètres!J48,Paramètres!$G$5:$G$57,0)),INDEX($E$1733:$E$1785,MATCH(Paramètres!J48,Paramètres!$G$5:$G$57,0)))+IF(RIGHT(TRIM(Paramètres!K48),3)="Fin",1-$H1776,IF(LEFT(TRIM(Paramètres!K48),1)="F",1,0)))),IF(Paramètres!L48="",0,IF(Paramètres!M48="",NA(),IF(LEFT(TRIM(Paramètres!M48),1)="F",INDEX($F$1733:$F$1785,MATCH(Paramètres!L48,Paramètres!$G$5:$G$57,0)),INDEX($E$1733:$E$1785,MATCH(Paramètres!L48,Paramètres!$G$5:$G$57,0)))+IF(RIGHT(TRIM(Paramètres!M48),3)="Fin",1-$H1776,IF(LEFT(TRIM(Paramètres!M48),1)="F",1,0)))),IF(Paramètres!N48="",0,IF(Paramètres!O48="",NA(),IF(LEFT(TRIM(Paramètres!O48),1)="F",INDEX($F$1733:$F$1785,MATCH(Paramètres!N48,Paramètres!$G$5:$G$57,0)),INDEX($E$1733:$E$1785,MATCH(Paramètres!N48,Paramètres!$G$5:$G$57,0)))+IF(RIGHT(TRIM(Paramètres!O48),3)="Fin",1-$H1776,IF(LEFT(TRIM(Paramètres!O48),1)="F",1,0)))))))</f>
        <v/>
      </c>
      <c r="F1776" s="19">
        <f>IF($A1776="","",E1776+$H1776-1)</f>
        <v/>
      </c>
      <c r="G1776" s="18" t="n"/>
      <c r="H1776" s="18">
        <f>IF($A1776="","",IF(I1776&lt;&gt;"",I1776,Paramètres!B48))</f>
        <v/>
      </c>
      <c r="I1776" s="18" t="n"/>
    </row>
    <row r="1777">
      <c r="A1777" s="18">
        <f>IF(ISNUMBER(Dossiers!$D$36),Dossiers!$A$36&amp;" · "&amp;Dossiers!$B$36,"")</f>
        <v/>
      </c>
      <c r="B1777" s="18">
        <f>IF($A1777="","",Paramètres!G49)</f>
        <v/>
      </c>
      <c r="C1777" s="18">
        <f>IF($A1777="","",IF(Paramètres!H49="","",Paramètres!H49))</f>
        <v/>
      </c>
      <c r="D1777" s="18">
        <f>IF($A1777="","",IF(Paramètres!I49="","",Paramètres!I49))</f>
        <v/>
      </c>
      <c r="E1777" s="19">
        <f>IF($A1777="","",IF(Paramètres!J49&amp;Paramètres!L49&amp;Paramètres!N49="",Dossiers!$D$36,MAX(IF(Paramètres!J49="",0,IF(Paramètres!K49="",NA(),IF(LEFT(TRIM(Paramètres!K49),1)="F",INDEX($F$1733:$F$1785,MATCH(Paramètres!J49,Paramètres!$G$5:$G$57,0)),INDEX($E$1733:$E$1785,MATCH(Paramètres!J49,Paramètres!$G$5:$G$57,0)))+IF(RIGHT(TRIM(Paramètres!K49),3)="Fin",1-$H1777,IF(LEFT(TRIM(Paramètres!K49),1)="F",1,0)))),IF(Paramètres!L49="",0,IF(Paramètres!M49="",NA(),IF(LEFT(TRIM(Paramètres!M49),1)="F",INDEX($F$1733:$F$1785,MATCH(Paramètres!L49,Paramètres!$G$5:$G$57,0)),INDEX($E$1733:$E$1785,MATCH(Paramètres!L49,Paramètres!$G$5:$G$57,0)))+IF(RIGHT(TRIM(Paramètres!M49),3)="Fin",1-$H1777,IF(LEFT(TRIM(Paramètres!M49),1)="F",1,0)))),IF(Paramètres!N49="",0,IF(Paramètres!O49="",NA(),IF(LEFT(TRIM(Paramètres!O49),1)="F",INDEX($F$1733:$F$1785,MATCH(Paramètres!N49,Paramètres!$G$5:$G$57,0)),INDEX($E$1733:$E$1785,MATCH(Paramètres!N49,Paramètres!$G$5:$G$57,0)))+IF(RIGHT(TRIM(Paramètres!O49),3)="Fin",1-$H1777,IF(LEFT(TRIM(Paramètres!O49),1)="F",1,0)))))))</f>
        <v/>
      </c>
      <c r="F1777" s="19">
        <f>IF($A1777="","",E1777+$H1777-1)</f>
        <v/>
      </c>
      <c r="G1777" s="18" t="n"/>
      <c r="H1777" s="18">
        <f>IF($A1777="","",IF(I1777&lt;&gt;"",I1777,Paramètres!B49))</f>
        <v/>
      </c>
      <c r="I1777" s="18" t="n"/>
    </row>
    <row r="1778">
      <c r="A1778" s="18">
        <f>IF(ISNUMBER(Dossiers!$D$36),Dossiers!$A$36&amp;" · "&amp;Dossiers!$B$36,"")</f>
        <v/>
      </c>
      <c r="B1778" s="18">
        <f>IF($A1778="","",Paramètres!G50)</f>
        <v/>
      </c>
      <c r="C1778" s="18">
        <f>IF($A1778="","",IF(Paramètres!H50="","",Paramètres!H50))</f>
        <v/>
      </c>
      <c r="D1778" s="18">
        <f>IF($A1778="","",IF(Paramètres!I50="","",Paramètres!I50))</f>
        <v/>
      </c>
      <c r="E1778" s="19">
        <f>IF($A1778="","",IF(Paramètres!J50&amp;Paramètres!L50&amp;Paramètres!N50="",Dossiers!$D$36,MAX(IF(Paramètres!J50="",0,IF(Paramètres!K50="",NA(),IF(LEFT(TRIM(Paramètres!K50),1)="F",INDEX($F$1733:$F$1785,MATCH(Paramètres!J50,Paramètres!$G$5:$G$57,0)),INDEX($E$1733:$E$1785,MATCH(Paramètres!J50,Paramètres!$G$5:$G$57,0)))+IF(RIGHT(TRIM(Paramètres!K50),3)="Fin",1-$H1778,IF(LEFT(TRIM(Paramètres!K50),1)="F",1,0)))),IF(Paramètres!L50="",0,IF(Paramètres!M50="",NA(),IF(LEFT(TRIM(Paramètres!M50),1)="F",INDEX($F$1733:$F$1785,MATCH(Paramètres!L50,Paramètres!$G$5:$G$57,0)),INDEX($E$1733:$E$1785,MATCH(Paramètres!L50,Paramètres!$G$5:$G$57,0)))+IF(RIGHT(TRIM(Paramètres!M50),3)="Fin",1-$H1778,IF(LEFT(TRIM(Paramètres!M50),1)="F",1,0)))),IF(Paramètres!N50="",0,IF(Paramètres!O50="",NA(),IF(LEFT(TRIM(Paramètres!O50),1)="F",INDEX($F$1733:$F$1785,MATCH(Paramètres!N50,Paramètres!$G$5:$G$57,0)),INDEX($E$1733:$E$1785,MATCH(Paramètres!N50,Paramètres!$G$5:$G$57,0)))+IF(RIGHT(TRIM(Paramètres!O50),3)="Fin",1-$H1778,IF(LEFT(TRIM(Paramètres!O50),1)="F",1,0)))))))</f>
        <v/>
      </c>
      <c r="F1778" s="19">
        <f>IF($A1778="","",E1778+$H1778-1)</f>
        <v/>
      </c>
      <c r="G1778" s="18" t="n"/>
      <c r="H1778" s="18">
        <f>IF($A1778="","",IF(I1778&lt;&gt;"",I1778,Paramètres!B50))</f>
        <v/>
      </c>
      <c r="I1778" s="18" t="n"/>
    </row>
    <row r="1779">
      <c r="A1779" s="18">
        <f>IF(ISNUMBER(Dossiers!$D$36),Dossiers!$A$36&amp;" · "&amp;Dossiers!$B$36,"")</f>
        <v/>
      </c>
      <c r="B1779" s="18">
        <f>IF($A1779="","",Paramètres!G51)</f>
        <v/>
      </c>
      <c r="C1779" s="18">
        <f>IF($A1779="","",IF(Paramètres!H51="","",Paramètres!H51))</f>
        <v/>
      </c>
      <c r="D1779" s="18">
        <f>IF($A1779="","",IF(Paramètres!I51="","",Paramètres!I51))</f>
        <v/>
      </c>
      <c r="E1779" s="19">
        <f>IF($A1779="","",IF(Paramètres!J51&amp;Paramètres!L51&amp;Paramètres!N51="",Dossiers!$D$36,MAX(IF(Paramètres!J51="",0,IF(Paramètres!K51="",NA(),IF(LEFT(TRIM(Paramètres!K51),1)="F",INDEX($F$1733:$F$1785,MATCH(Paramètres!J51,Paramètres!$G$5:$G$57,0)),INDEX($E$1733:$E$1785,MATCH(Paramètres!J51,Paramètres!$G$5:$G$57,0)))+IF(RIGHT(TRIM(Paramètres!K51),3)="Fin",1-$H1779,IF(LEFT(TRIM(Paramètres!K51),1)="F",1,0)))),IF(Paramètres!L51="",0,IF(Paramètres!M51="",NA(),IF(LEFT(TRIM(Paramètres!M51),1)="F",INDEX($F$1733:$F$1785,MATCH(Paramètres!L51,Paramètres!$G$5:$G$57,0)),INDEX($E$1733:$E$1785,MATCH(Paramètres!L51,Paramètres!$G$5:$G$57,0)))+IF(RIGHT(TRIM(Paramètres!M51),3)="Fin",1-$H1779,IF(LEFT(TRIM(Paramètres!M51),1)="F",1,0)))),IF(Paramètres!N51="",0,IF(Paramètres!O51="",NA(),IF(LEFT(TRIM(Paramètres!O51),1)="F",INDEX($F$1733:$F$1785,MATCH(Paramètres!N51,Paramètres!$G$5:$G$57,0)),INDEX($E$1733:$E$1785,MATCH(Paramètres!N51,Paramètres!$G$5:$G$57,0)))+IF(RIGHT(TRIM(Paramètres!O51),3)="Fin",1-$H1779,IF(LEFT(TRIM(Paramètres!O51),1)="F",1,0)))))))</f>
        <v/>
      </c>
      <c r="F1779" s="19">
        <f>IF($A1779="","",E1779+$H1779-1)</f>
        <v/>
      </c>
      <c r="G1779" s="18" t="n"/>
      <c r="H1779" s="18">
        <f>IF($A1779="","",IF(I1779&lt;&gt;"",I1779,Paramètres!B51))</f>
        <v/>
      </c>
      <c r="I1779" s="18" t="n"/>
    </row>
    <row r="1780">
      <c r="A1780" s="18">
        <f>IF(ISNUMBER(Dossiers!$D$36),Dossiers!$A$36&amp;" · "&amp;Dossiers!$B$36,"")</f>
        <v/>
      </c>
      <c r="B1780" s="18">
        <f>IF($A1780="","",Paramètres!G52)</f>
        <v/>
      </c>
      <c r="C1780" s="18">
        <f>IF($A1780="","",IF(Paramètres!H52="","",Paramètres!H52))</f>
        <v/>
      </c>
      <c r="D1780" s="18">
        <f>IF($A1780="","",IF(Paramètres!I52="","",Paramètres!I52))</f>
        <v/>
      </c>
      <c r="E1780" s="19">
        <f>IF($A1780="","",IF(Paramètres!J52&amp;Paramètres!L52&amp;Paramètres!N52="",Dossiers!$D$36,MAX(IF(Paramètres!J52="",0,IF(Paramètres!K52="",NA(),IF(LEFT(TRIM(Paramètres!K52),1)="F",INDEX($F$1733:$F$1785,MATCH(Paramètres!J52,Paramètres!$G$5:$G$57,0)),INDEX($E$1733:$E$1785,MATCH(Paramètres!J52,Paramètres!$G$5:$G$57,0)))+IF(RIGHT(TRIM(Paramètres!K52),3)="Fin",1-$H1780,IF(LEFT(TRIM(Paramètres!K52),1)="F",1,0)))),IF(Paramètres!L52="",0,IF(Paramètres!M52="",NA(),IF(LEFT(TRIM(Paramètres!M52),1)="F",INDEX($F$1733:$F$1785,MATCH(Paramètres!L52,Paramètres!$G$5:$G$57,0)),INDEX($E$1733:$E$1785,MATCH(Paramètres!L52,Paramètres!$G$5:$G$57,0)))+IF(RIGHT(TRIM(Paramètres!M52),3)="Fin",1-$H1780,IF(LEFT(TRIM(Paramètres!M52),1)="F",1,0)))),IF(Paramètres!N52="",0,IF(Paramètres!O52="",NA(),IF(LEFT(TRIM(Paramètres!O52),1)="F",INDEX($F$1733:$F$1785,MATCH(Paramètres!N52,Paramètres!$G$5:$G$57,0)),INDEX($E$1733:$E$1785,MATCH(Paramètres!N52,Paramètres!$G$5:$G$57,0)))+IF(RIGHT(TRIM(Paramètres!O52),3)="Fin",1-$H1780,IF(LEFT(TRIM(Paramètres!O52),1)="F",1,0)))))))</f>
        <v/>
      </c>
      <c r="F1780" s="19">
        <f>IF($A1780="","",E1780+$H1780-1)</f>
        <v/>
      </c>
      <c r="G1780" s="18" t="n"/>
      <c r="H1780" s="18">
        <f>IF($A1780="","",IF(I1780&lt;&gt;"",I1780,Paramètres!B52))</f>
        <v/>
      </c>
      <c r="I1780" s="18" t="n"/>
    </row>
    <row r="1781">
      <c r="A1781" s="18">
        <f>IF(ISNUMBER(Dossiers!$D$36),Dossiers!$A$36&amp;" · "&amp;Dossiers!$B$36,"")</f>
        <v/>
      </c>
      <c r="B1781" s="18">
        <f>IF($A1781="","",Paramètres!G53)</f>
        <v/>
      </c>
      <c r="C1781" s="18">
        <f>IF($A1781="","",IF(Paramètres!H53="","",Paramètres!H53))</f>
        <v/>
      </c>
      <c r="D1781" s="18">
        <f>IF($A1781="","",IF(Paramètres!I53="","",Paramètres!I53))</f>
        <v/>
      </c>
      <c r="E1781" s="19">
        <f>IF($A1781="","",IF(Paramètres!J53&amp;Paramètres!L53&amp;Paramètres!N53="",Dossiers!$D$36,MAX(IF(Paramètres!J53="",0,IF(Paramètres!K53="",NA(),IF(LEFT(TRIM(Paramètres!K53),1)="F",INDEX($F$1733:$F$1785,MATCH(Paramètres!J53,Paramètres!$G$5:$G$57,0)),INDEX($E$1733:$E$1785,MATCH(Paramètres!J53,Paramètres!$G$5:$G$57,0)))+IF(RIGHT(TRIM(Paramètres!K53),3)="Fin",1-$H1781,IF(LEFT(TRIM(Paramètres!K53),1)="F",1,0)))),IF(Paramètres!L53="",0,IF(Paramètres!M53="",NA(),IF(LEFT(TRIM(Paramètres!M53),1)="F",INDEX($F$1733:$F$1785,MATCH(Paramètres!L53,Paramètres!$G$5:$G$57,0)),INDEX($E$1733:$E$1785,MATCH(Paramètres!L53,Paramètres!$G$5:$G$57,0)))+IF(RIGHT(TRIM(Paramètres!M53),3)="Fin",1-$H1781,IF(LEFT(TRIM(Paramètres!M53),1)="F",1,0)))),IF(Paramètres!N53="",0,IF(Paramètres!O53="",NA(),IF(LEFT(TRIM(Paramètres!O53),1)="F",INDEX($F$1733:$F$1785,MATCH(Paramètres!N53,Paramètres!$G$5:$G$57,0)),INDEX($E$1733:$E$1785,MATCH(Paramètres!N53,Paramètres!$G$5:$G$57,0)))+IF(RIGHT(TRIM(Paramètres!O53),3)="Fin",1-$H1781,IF(LEFT(TRIM(Paramètres!O53),1)="F",1,0)))))))</f>
        <v/>
      </c>
      <c r="F1781" s="19">
        <f>IF($A1781="","",E1781+$H1781-1)</f>
        <v/>
      </c>
      <c r="G1781" s="18" t="n"/>
      <c r="H1781" s="18">
        <f>IF($A1781="","",IF(I1781&lt;&gt;"",I1781,Paramètres!B53))</f>
        <v/>
      </c>
      <c r="I1781" s="18" t="n"/>
    </row>
    <row r="1782">
      <c r="A1782" s="18">
        <f>IF(ISNUMBER(Dossiers!$D$36),Dossiers!$A$36&amp;" · "&amp;Dossiers!$B$36,"")</f>
        <v/>
      </c>
      <c r="B1782" s="18">
        <f>IF($A1782="","",Paramètres!G54)</f>
        <v/>
      </c>
      <c r="C1782" s="18">
        <f>IF($A1782="","",IF(Paramètres!H54="","",Paramètres!H54))</f>
        <v/>
      </c>
      <c r="D1782" s="18">
        <f>IF($A1782="","",IF(Paramètres!I54="","",Paramètres!I54))</f>
        <v/>
      </c>
      <c r="E1782" s="19">
        <f>IF($A1782="","",IF(Paramètres!J54&amp;Paramètres!L54&amp;Paramètres!N54="",Dossiers!$D$36,MAX(IF(Paramètres!J54="",0,IF(Paramètres!K54="",NA(),IF(LEFT(TRIM(Paramètres!K54),1)="F",INDEX($F$1733:$F$1785,MATCH(Paramètres!J54,Paramètres!$G$5:$G$57,0)),INDEX($E$1733:$E$1785,MATCH(Paramètres!J54,Paramètres!$G$5:$G$57,0)))+IF(RIGHT(TRIM(Paramètres!K54),3)="Fin",1-$H1782,IF(LEFT(TRIM(Paramètres!K54),1)="F",1,0)))),IF(Paramètres!L54="",0,IF(Paramètres!M54="",NA(),IF(LEFT(TRIM(Paramètres!M54),1)="F",INDEX($F$1733:$F$1785,MATCH(Paramètres!L54,Paramètres!$G$5:$G$57,0)),INDEX($E$1733:$E$1785,MATCH(Paramètres!L54,Paramètres!$G$5:$G$57,0)))+IF(RIGHT(TRIM(Paramètres!M54),3)="Fin",1-$H1782,IF(LEFT(TRIM(Paramètres!M54),1)="F",1,0)))),IF(Paramètres!N54="",0,IF(Paramètres!O54="",NA(),IF(LEFT(TRIM(Paramètres!O54),1)="F",INDEX($F$1733:$F$1785,MATCH(Paramètres!N54,Paramètres!$G$5:$G$57,0)),INDEX($E$1733:$E$1785,MATCH(Paramètres!N54,Paramètres!$G$5:$G$57,0)))+IF(RIGHT(TRIM(Paramètres!O54),3)="Fin",1-$H1782,IF(LEFT(TRIM(Paramètres!O54),1)="F",1,0)))))))</f>
        <v/>
      </c>
      <c r="F1782" s="19">
        <f>IF($A1782="","",E1782+$H1782-1)</f>
        <v/>
      </c>
      <c r="G1782" s="18" t="n"/>
      <c r="H1782" s="18">
        <f>IF($A1782="","",IF(I1782&lt;&gt;"",I1782,Paramètres!B54))</f>
        <v/>
      </c>
      <c r="I1782" s="18" t="n"/>
    </row>
    <row r="1783">
      <c r="A1783" s="18">
        <f>IF(ISNUMBER(Dossiers!$D$36),Dossiers!$A$36&amp;" · "&amp;Dossiers!$B$36,"")</f>
        <v/>
      </c>
      <c r="B1783" s="18">
        <f>IF($A1783="","",Paramètres!G55)</f>
        <v/>
      </c>
      <c r="C1783" s="18">
        <f>IF($A1783="","",IF(Paramètres!H55="","",Paramètres!H55))</f>
        <v/>
      </c>
      <c r="D1783" s="18">
        <f>IF($A1783="","",IF(Paramètres!I55="","",Paramètres!I55))</f>
        <v/>
      </c>
      <c r="E1783" s="19">
        <f>IF($A1783="","",IF(Paramètres!J55&amp;Paramètres!L55&amp;Paramètres!N55="",Dossiers!$D$36,MAX(IF(Paramètres!J55="",0,IF(Paramètres!K55="",NA(),IF(LEFT(TRIM(Paramètres!K55),1)="F",INDEX($F$1733:$F$1785,MATCH(Paramètres!J55,Paramètres!$G$5:$G$57,0)),INDEX($E$1733:$E$1785,MATCH(Paramètres!J55,Paramètres!$G$5:$G$57,0)))+IF(RIGHT(TRIM(Paramètres!K55),3)="Fin",1-$H1783,IF(LEFT(TRIM(Paramètres!K55),1)="F",1,0)))),IF(Paramètres!L55="",0,IF(Paramètres!M55="",NA(),IF(LEFT(TRIM(Paramètres!M55),1)="F",INDEX($F$1733:$F$1785,MATCH(Paramètres!L55,Paramètres!$G$5:$G$57,0)),INDEX($E$1733:$E$1785,MATCH(Paramètres!L55,Paramètres!$G$5:$G$57,0)))+IF(RIGHT(TRIM(Paramètres!M55),3)="Fin",1-$H1783,IF(LEFT(TRIM(Paramètres!M55),1)="F",1,0)))),IF(Paramètres!N55="",0,IF(Paramètres!O55="",NA(),IF(LEFT(TRIM(Paramètres!O55),1)="F",INDEX($F$1733:$F$1785,MATCH(Paramètres!N55,Paramètres!$G$5:$G$57,0)),INDEX($E$1733:$E$1785,MATCH(Paramètres!N55,Paramètres!$G$5:$G$57,0)))+IF(RIGHT(TRIM(Paramètres!O55),3)="Fin",1-$H1783,IF(LEFT(TRIM(Paramètres!O55),1)="F",1,0)))))))</f>
        <v/>
      </c>
      <c r="F1783" s="19">
        <f>IF($A1783="","",E1783+$H1783-1)</f>
        <v/>
      </c>
      <c r="G1783" s="18" t="n"/>
      <c r="H1783" s="18">
        <f>IF($A1783="","",IF(I1783&lt;&gt;"",I1783,Paramètres!B55))</f>
        <v/>
      </c>
      <c r="I1783" s="18" t="n"/>
    </row>
    <row r="1784">
      <c r="A1784" s="18">
        <f>IF(ISNUMBER(Dossiers!$D$36),Dossiers!$A$36&amp;" · "&amp;Dossiers!$B$36,"")</f>
        <v/>
      </c>
      <c r="B1784" s="18">
        <f>IF($A1784="","",Paramètres!G56)</f>
        <v/>
      </c>
      <c r="C1784" s="18">
        <f>IF($A1784="","",IF(Paramètres!H56="","",Paramètres!H56))</f>
        <v/>
      </c>
      <c r="D1784" s="18">
        <f>IF($A1784="","",IF(Paramètres!I56="","",Paramètres!I56))</f>
        <v/>
      </c>
      <c r="E1784" s="19">
        <f>IF($A1784="","",MIN(E1785:E1785))</f>
        <v/>
      </c>
      <c r="F1784" s="19">
        <f>IF($A1784="","",MAX(F1785:F1785))</f>
        <v/>
      </c>
      <c r="G1784" s="18" t="n"/>
      <c r="H1784" s="18">
        <f>IF($A1784="","",F1784-E1784+1)</f>
        <v/>
      </c>
      <c r="I1784" s="18" t="n"/>
    </row>
    <row r="1785">
      <c r="A1785" s="18">
        <f>IF(ISNUMBER(Dossiers!$D$36),Dossiers!$A$36&amp;" · "&amp;Dossiers!$B$36,"")</f>
        <v/>
      </c>
      <c r="B1785" s="18">
        <f>IF($A1785="","",Paramètres!G57)</f>
        <v/>
      </c>
      <c r="C1785" s="18">
        <f>IF($A1785="","",IF(Paramètres!H57="","",Paramètres!H57))</f>
        <v/>
      </c>
      <c r="D1785" s="18">
        <f>IF($A1785="","",IF(Paramètres!I57="","",Paramètres!I57))</f>
        <v/>
      </c>
      <c r="E1785" s="19">
        <f>IF($A1785="","",IF(Paramètres!J57&amp;Paramètres!L57&amp;Paramètres!N57="",Dossiers!$D$36,MAX(IF(Paramètres!J57="",0,IF(Paramètres!K57="",NA(),IF(LEFT(TRIM(Paramètres!K57),1)="F",INDEX($F$1733:$F$1785,MATCH(Paramètres!J57,Paramètres!$G$5:$G$57,0)),INDEX($E$1733:$E$1785,MATCH(Paramètres!J57,Paramètres!$G$5:$G$57,0)))+IF(RIGHT(TRIM(Paramètres!K57),3)="Fin",1-$H1785,IF(LEFT(TRIM(Paramètres!K57),1)="F",1,0)))),IF(Paramètres!L57="",0,IF(Paramètres!M57="",NA(),IF(LEFT(TRIM(Paramètres!M57),1)="F",INDEX($F$1733:$F$1785,MATCH(Paramètres!L57,Paramètres!$G$5:$G$57,0)),INDEX($E$1733:$E$1785,MATCH(Paramètres!L57,Paramètres!$G$5:$G$57,0)))+IF(RIGHT(TRIM(Paramètres!M57),3)="Fin",1-$H1785,IF(LEFT(TRIM(Paramètres!M57),1)="F",1,0)))),IF(Paramètres!N57="",0,IF(Paramètres!O57="",NA(),IF(LEFT(TRIM(Paramètres!O57),1)="F",INDEX($F$1733:$F$1785,MATCH(Paramètres!N57,Paramètres!$G$5:$G$57,0)),INDEX($E$1733:$E$1785,MATCH(Paramètres!N57,Paramètres!$G$5:$G$57,0)))+IF(RIGHT(TRIM(Paramètres!O57),3)="Fin",1-$H1785,IF(LEFT(TRIM(Paramètres!O57),1)="F",1,0)))))))</f>
        <v/>
      </c>
      <c r="F1785" s="19">
        <f>IF($A1785="","",E1785+$H1785-1)</f>
        <v/>
      </c>
      <c r="G1785" s="18" t="n"/>
      <c r="H1785" s="18">
        <f>IF($A1785="","",IF(I1785&lt;&gt;"",I1785,Paramètres!B57))</f>
        <v/>
      </c>
      <c r="I1785" s="18" t="n"/>
    </row>
    <row r="1786">
      <c r="A1786" s="16">
        <f>IF(ISNUMBER(Dossiers!$D$37),Dossiers!$E$37,"")</f>
        <v/>
      </c>
      <c r="B1786" s="16">
        <f>IF($A1786="","","Identifiant")</f>
        <v/>
      </c>
      <c r="C1786" s="16">
        <f>IF($A1786="","","Macro Etape")</f>
        <v/>
      </c>
      <c r="D1786" s="16">
        <f>IF($A1786="","","Etape")</f>
        <v/>
      </c>
      <c r="E1786" s="17">
        <f>IF($A1786="","","Début le")</f>
        <v/>
      </c>
      <c r="F1786" s="17">
        <f>IF($A1786="","","Fin prévue le")</f>
        <v/>
      </c>
      <c r="G1786" s="16">
        <f>IF($A1786="","","Statut")</f>
        <v/>
      </c>
      <c r="H1786" s="16">
        <f>IF($A1786="","","Durée (jours)")</f>
        <v/>
      </c>
      <c r="I1786" s="16">
        <f>IF($A1786="","","Durée particulière")</f>
        <v/>
      </c>
      <c r="J1786" s="10">
        <f>IF($A1786="","",HYPERLINK("#'Tableau de bord'!A1","↑ Tableau de bord"))</f>
        <v/>
      </c>
    </row>
    <row r="1787">
      <c r="A1787" s="18">
        <f>IF(ISNUMBER(Dossiers!$D$37),Dossiers!$A$37&amp;" · "&amp;Dossiers!$B$37,"")</f>
        <v/>
      </c>
      <c r="B1787" s="18">
        <f>IF($A1787="","",Paramètres!G5)</f>
        <v/>
      </c>
      <c r="C1787" s="18">
        <f>IF($A1787="","",IF(Paramètres!H5="","",Paramètres!H5))</f>
        <v/>
      </c>
      <c r="D1787" s="18">
        <f>IF($A1787="","",IF(Paramètres!I5="","",Paramètres!I5))</f>
        <v/>
      </c>
      <c r="E1787" s="19">
        <f>IF($A1787="","",MIN(E1788:E1791))</f>
        <v/>
      </c>
      <c r="F1787" s="19">
        <f>IF($A1787="","",MAX(F1788:F1791))</f>
        <v/>
      </c>
      <c r="G1787" s="18" t="n"/>
      <c r="H1787" s="18">
        <f>IF($A1787="","",F1787-E1787+1)</f>
        <v/>
      </c>
      <c r="I1787" s="18" t="n"/>
    </row>
    <row r="1788">
      <c r="A1788" s="18">
        <f>IF(ISNUMBER(Dossiers!$D$37),Dossiers!$A$37&amp;" · "&amp;Dossiers!$B$37,"")</f>
        <v/>
      </c>
      <c r="B1788" s="18">
        <f>IF($A1788="","",Paramètres!G6)</f>
        <v/>
      </c>
      <c r="C1788" s="18">
        <f>IF($A1788="","",IF(Paramètres!H6="","",Paramètres!H6))</f>
        <v/>
      </c>
      <c r="D1788" s="18">
        <f>IF($A1788="","",IF(Paramètres!I6="","",Paramètres!I6))</f>
        <v/>
      </c>
      <c r="E1788" s="19">
        <f>IF($A1788="","",IF(Paramètres!J6&amp;Paramètres!L6&amp;Paramètres!N6="",Dossiers!$D$37,MAX(IF(Paramètres!J6="",0,IF(Paramètres!K6="",NA(),IF(LEFT(TRIM(Paramètres!K6),1)="F",INDEX($F$1787:$F$1839,MATCH(Paramètres!J6,Paramètres!$G$5:$G$57,0)),INDEX($E$1787:$E$1839,MATCH(Paramètres!J6,Paramètres!$G$5:$G$57,0)))+IF(RIGHT(TRIM(Paramètres!K6),3)="Fin",1-$H1788,IF(LEFT(TRIM(Paramètres!K6),1)="F",1,0)))),IF(Paramètres!L6="",0,IF(Paramètres!M6="",NA(),IF(LEFT(TRIM(Paramètres!M6),1)="F",INDEX($F$1787:$F$1839,MATCH(Paramètres!L6,Paramètres!$G$5:$G$57,0)),INDEX($E$1787:$E$1839,MATCH(Paramètres!L6,Paramètres!$G$5:$G$57,0)))+IF(RIGHT(TRIM(Paramètres!M6),3)="Fin",1-$H1788,IF(LEFT(TRIM(Paramètres!M6),1)="F",1,0)))),IF(Paramètres!N6="",0,IF(Paramètres!O6="",NA(),IF(LEFT(TRIM(Paramètres!O6),1)="F",INDEX($F$1787:$F$1839,MATCH(Paramètres!N6,Paramètres!$G$5:$G$57,0)),INDEX($E$1787:$E$1839,MATCH(Paramètres!N6,Paramètres!$G$5:$G$57,0)))+IF(RIGHT(TRIM(Paramètres!O6),3)="Fin",1-$H1788,IF(LEFT(TRIM(Paramètres!O6),1)="F",1,0)))))))</f>
        <v/>
      </c>
      <c r="F1788" s="19">
        <f>IF($A1788="","",E1788+$H1788-1)</f>
        <v/>
      </c>
      <c r="G1788" s="18" t="n"/>
      <c r="H1788" s="18">
        <f>IF($A1788="","",IF(I1788&lt;&gt;"",I1788,Paramètres!B6))</f>
        <v/>
      </c>
      <c r="I1788" s="18" t="n"/>
    </row>
    <row r="1789">
      <c r="A1789" s="18">
        <f>IF(ISNUMBER(Dossiers!$D$37),Dossiers!$A$37&amp;" · "&amp;Dossiers!$B$37,"")</f>
        <v/>
      </c>
      <c r="B1789" s="18">
        <f>IF($A1789="","",Paramètres!G7)</f>
        <v/>
      </c>
      <c r="C1789" s="18">
        <f>IF($A1789="","",IF(Paramètres!H7="","",Paramètres!H7))</f>
        <v/>
      </c>
      <c r="D1789" s="18">
        <f>IF($A1789="","",IF(Paramètres!I7="","",Paramètres!I7))</f>
        <v/>
      </c>
      <c r="E1789" s="19">
        <f>IF($A1789="","",IF(Paramètres!J7&amp;Paramètres!L7&amp;Paramètres!N7="",Dossiers!$D$37,MAX(IF(Paramètres!J7="",0,IF(Paramètres!K7="",NA(),IF(LEFT(TRIM(Paramètres!K7),1)="F",INDEX($F$1787:$F$1839,MATCH(Paramètres!J7,Paramètres!$G$5:$G$57,0)),INDEX($E$1787:$E$1839,MATCH(Paramètres!J7,Paramètres!$G$5:$G$57,0)))+IF(RIGHT(TRIM(Paramètres!K7),3)="Fin",1-$H1789,IF(LEFT(TRIM(Paramètres!K7),1)="F",1,0)))),IF(Paramètres!L7="",0,IF(Paramètres!M7="",NA(),IF(LEFT(TRIM(Paramètres!M7),1)="F",INDEX($F$1787:$F$1839,MATCH(Paramètres!L7,Paramètres!$G$5:$G$57,0)),INDEX($E$1787:$E$1839,MATCH(Paramètres!L7,Paramètres!$G$5:$G$57,0)))+IF(RIGHT(TRIM(Paramètres!M7),3)="Fin",1-$H1789,IF(LEFT(TRIM(Paramètres!M7),1)="F",1,0)))),IF(Paramètres!N7="",0,IF(Paramètres!O7="",NA(),IF(LEFT(TRIM(Paramètres!O7),1)="F",INDEX($F$1787:$F$1839,MATCH(Paramètres!N7,Paramètres!$G$5:$G$57,0)),INDEX($E$1787:$E$1839,MATCH(Paramètres!N7,Paramètres!$G$5:$G$57,0)))+IF(RIGHT(TRIM(Paramètres!O7),3)="Fin",1-$H1789,IF(LEFT(TRIM(Paramètres!O7),1)="F",1,0)))))))</f>
        <v/>
      </c>
      <c r="F1789" s="19">
        <f>IF($A1789="","",E1789+$H1789-1)</f>
        <v/>
      </c>
      <c r="G1789" s="18" t="n"/>
      <c r="H1789" s="18">
        <f>IF($A1789="","",IF(I1789&lt;&gt;"",I1789,Paramètres!B7))</f>
        <v/>
      </c>
      <c r="I1789" s="18" t="n"/>
    </row>
    <row r="1790">
      <c r="A1790" s="18">
        <f>IF(ISNUMBER(Dossiers!$D$37),Dossiers!$A$37&amp;" · "&amp;Dossiers!$B$37,"")</f>
        <v/>
      </c>
      <c r="B1790" s="18">
        <f>IF($A1790="","",Paramètres!G8)</f>
        <v/>
      </c>
      <c r="C1790" s="18">
        <f>IF($A1790="","",IF(Paramètres!H8="","",Paramètres!H8))</f>
        <v/>
      </c>
      <c r="D1790" s="18">
        <f>IF($A1790="","",IF(Paramètres!I8="","",Paramètres!I8))</f>
        <v/>
      </c>
      <c r="E1790" s="19">
        <f>IF($A1790="","",IF(Paramètres!J8&amp;Paramètres!L8&amp;Paramètres!N8="",Dossiers!$D$37,MAX(IF(Paramètres!J8="",0,IF(Paramètres!K8="",NA(),IF(LEFT(TRIM(Paramètres!K8),1)="F",INDEX($F$1787:$F$1839,MATCH(Paramètres!J8,Paramètres!$G$5:$G$57,0)),INDEX($E$1787:$E$1839,MATCH(Paramètres!J8,Paramètres!$G$5:$G$57,0)))+IF(RIGHT(TRIM(Paramètres!K8),3)="Fin",1-$H1790,IF(LEFT(TRIM(Paramètres!K8),1)="F",1,0)))),IF(Paramètres!L8="",0,IF(Paramètres!M8="",NA(),IF(LEFT(TRIM(Paramètres!M8),1)="F",INDEX($F$1787:$F$1839,MATCH(Paramètres!L8,Paramètres!$G$5:$G$57,0)),INDEX($E$1787:$E$1839,MATCH(Paramètres!L8,Paramètres!$G$5:$G$57,0)))+IF(RIGHT(TRIM(Paramètres!M8),3)="Fin",1-$H1790,IF(LEFT(TRIM(Paramètres!M8),1)="F",1,0)))),IF(Paramètres!N8="",0,IF(Paramètres!O8="",NA(),IF(LEFT(TRIM(Paramètres!O8),1)="F",INDEX($F$1787:$F$1839,MATCH(Paramètres!N8,Paramètres!$G$5:$G$57,0)),INDEX($E$1787:$E$1839,MATCH(Paramètres!N8,Paramètres!$G$5:$G$57,0)))+IF(RIGHT(TRIM(Paramètres!O8),3)="Fin",1-$H1790,IF(LEFT(TRIM(Paramètres!O8),1)="F",1,0)))))))</f>
        <v/>
      </c>
      <c r="F1790" s="19">
        <f>IF($A1790="","",E1790+$H1790-1)</f>
        <v/>
      </c>
      <c r="G1790" s="18" t="n"/>
      <c r="H1790" s="18">
        <f>IF($A1790="","",IF(I1790&lt;&gt;"",I1790,Paramètres!B8))</f>
        <v/>
      </c>
      <c r="I1790" s="18" t="n"/>
    </row>
    <row r="1791">
      <c r="A1791" s="18">
        <f>IF(ISNUMBER(Dossiers!$D$37),Dossiers!$A$37&amp;" · "&amp;Dossiers!$B$37,"")</f>
        <v/>
      </c>
      <c r="B1791" s="18">
        <f>IF($A1791="","",Paramètres!G9)</f>
        <v/>
      </c>
      <c r="C1791" s="18">
        <f>IF($A1791="","",IF(Paramètres!H9="","",Paramètres!H9))</f>
        <v/>
      </c>
      <c r="D1791" s="18">
        <f>IF($A1791="","",IF(Paramètres!I9="","",Paramètres!I9))</f>
        <v/>
      </c>
      <c r="E1791" s="19">
        <f>IF($A1791="","",IF(Paramètres!J9&amp;Paramètres!L9&amp;Paramètres!N9="",Dossiers!$D$37,MAX(IF(Paramètres!J9="",0,IF(Paramètres!K9="",NA(),IF(LEFT(TRIM(Paramètres!K9),1)="F",INDEX($F$1787:$F$1839,MATCH(Paramètres!J9,Paramètres!$G$5:$G$57,0)),INDEX($E$1787:$E$1839,MATCH(Paramètres!J9,Paramètres!$G$5:$G$57,0)))+IF(RIGHT(TRIM(Paramètres!K9),3)="Fin",1-$H1791,IF(LEFT(TRIM(Paramètres!K9),1)="F",1,0)))),IF(Paramètres!L9="",0,IF(Paramètres!M9="",NA(),IF(LEFT(TRIM(Paramètres!M9),1)="F",INDEX($F$1787:$F$1839,MATCH(Paramètres!L9,Paramètres!$G$5:$G$57,0)),INDEX($E$1787:$E$1839,MATCH(Paramètres!L9,Paramètres!$G$5:$G$57,0)))+IF(RIGHT(TRIM(Paramètres!M9),3)="Fin",1-$H1791,IF(LEFT(TRIM(Paramètres!M9),1)="F",1,0)))),IF(Paramètres!N9="",0,IF(Paramètres!O9="",NA(),IF(LEFT(TRIM(Paramètres!O9),1)="F",INDEX($F$1787:$F$1839,MATCH(Paramètres!N9,Paramètres!$G$5:$G$57,0)),INDEX($E$1787:$E$1839,MATCH(Paramètres!N9,Paramètres!$G$5:$G$57,0)))+IF(RIGHT(TRIM(Paramètres!O9),3)="Fin",1-$H1791,IF(LEFT(TRIM(Paramètres!O9),1)="F",1,0)))))))</f>
        <v/>
      </c>
      <c r="F1791" s="19">
        <f>IF($A1791="","",E1791+$H1791-1)</f>
        <v/>
      </c>
      <c r="G1791" s="18" t="n"/>
      <c r="H1791" s="18">
        <f>IF($A1791="","",IF(I1791&lt;&gt;"",I1791,Paramètres!B9))</f>
        <v/>
      </c>
      <c r="I1791" s="18" t="n"/>
    </row>
    <row r="1792">
      <c r="A1792" s="18">
        <f>IF(ISNUMBER(Dossiers!$D$37),Dossiers!$A$37&amp;" · "&amp;Dossiers!$B$37,"")</f>
        <v/>
      </c>
      <c r="B1792" s="18">
        <f>IF($A1792="","",Paramètres!G10)</f>
        <v/>
      </c>
      <c r="C1792" s="18">
        <f>IF($A1792="","",IF(Paramètres!H10="","",Paramètres!H10))</f>
        <v/>
      </c>
      <c r="D1792" s="18">
        <f>IF($A1792="","",IF(Paramètres!I10="","",Paramètres!I10))</f>
        <v/>
      </c>
      <c r="E1792" s="19">
        <f>IF($A1792="","",MIN(E1793:E1796))</f>
        <v/>
      </c>
      <c r="F1792" s="19">
        <f>IF($A1792="","",MAX(F1793:F1796))</f>
        <v/>
      </c>
      <c r="G1792" s="18" t="n"/>
      <c r="H1792" s="18">
        <f>IF($A1792="","",F1792-E1792+1)</f>
        <v/>
      </c>
      <c r="I1792" s="18" t="n"/>
    </row>
    <row r="1793">
      <c r="A1793" s="18">
        <f>IF(ISNUMBER(Dossiers!$D$37),Dossiers!$A$37&amp;" · "&amp;Dossiers!$B$37,"")</f>
        <v/>
      </c>
      <c r="B1793" s="18">
        <f>IF($A1793="","",Paramètres!G11)</f>
        <v/>
      </c>
      <c r="C1793" s="18">
        <f>IF($A1793="","",IF(Paramètres!H11="","",Paramètres!H11))</f>
        <v/>
      </c>
      <c r="D1793" s="18">
        <f>IF($A1793="","",IF(Paramètres!I11="","",Paramètres!I11))</f>
        <v/>
      </c>
      <c r="E1793" s="19">
        <f>IF($A1793="","",IF(Paramètres!J11&amp;Paramètres!L11&amp;Paramètres!N11="",Dossiers!$D$37,MAX(IF(Paramètres!J11="",0,IF(Paramètres!K11="",NA(),IF(LEFT(TRIM(Paramètres!K11),1)="F",INDEX($F$1787:$F$1839,MATCH(Paramètres!J11,Paramètres!$G$5:$G$57,0)),INDEX($E$1787:$E$1839,MATCH(Paramètres!J11,Paramètres!$G$5:$G$57,0)))+IF(RIGHT(TRIM(Paramètres!K11),3)="Fin",1-$H1793,IF(LEFT(TRIM(Paramètres!K11),1)="F",1,0)))),IF(Paramètres!L11="",0,IF(Paramètres!M11="",NA(),IF(LEFT(TRIM(Paramètres!M11),1)="F",INDEX($F$1787:$F$1839,MATCH(Paramètres!L11,Paramètres!$G$5:$G$57,0)),INDEX($E$1787:$E$1839,MATCH(Paramètres!L11,Paramètres!$G$5:$G$57,0)))+IF(RIGHT(TRIM(Paramètres!M11),3)="Fin",1-$H1793,IF(LEFT(TRIM(Paramètres!M11),1)="F",1,0)))),IF(Paramètres!N11="",0,IF(Paramètres!O11="",NA(),IF(LEFT(TRIM(Paramètres!O11),1)="F",INDEX($F$1787:$F$1839,MATCH(Paramètres!N11,Paramètres!$G$5:$G$57,0)),INDEX($E$1787:$E$1839,MATCH(Paramètres!N11,Paramètres!$G$5:$G$57,0)))+IF(RIGHT(TRIM(Paramètres!O11),3)="Fin",1-$H1793,IF(LEFT(TRIM(Paramètres!O11),1)="F",1,0)))))))</f>
        <v/>
      </c>
      <c r="F1793" s="19">
        <f>IF($A1793="","",E1793+$H1793-1)</f>
        <v/>
      </c>
      <c r="G1793" s="18" t="n"/>
      <c r="H1793" s="18">
        <f>IF($A1793="","",IF(I1793&lt;&gt;"",I1793,Paramètres!B11))</f>
        <v/>
      </c>
      <c r="I1793" s="18" t="n"/>
    </row>
    <row r="1794">
      <c r="A1794" s="18">
        <f>IF(ISNUMBER(Dossiers!$D$37),Dossiers!$A$37&amp;" · "&amp;Dossiers!$B$37,"")</f>
        <v/>
      </c>
      <c r="B1794" s="18">
        <f>IF($A1794="","",Paramètres!G12)</f>
        <v/>
      </c>
      <c r="C1794" s="18">
        <f>IF($A1794="","",IF(Paramètres!H12="","",Paramètres!H12))</f>
        <v/>
      </c>
      <c r="D1794" s="18">
        <f>IF($A1794="","",IF(Paramètres!I12="","",Paramètres!I12))</f>
        <v/>
      </c>
      <c r="E1794" s="19">
        <f>IF($A1794="","",IF(Paramètres!J12&amp;Paramètres!L12&amp;Paramètres!N12="",Dossiers!$D$37,MAX(IF(Paramètres!J12="",0,IF(Paramètres!K12="",NA(),IF(LEFT(TRIM(Paramètres!K12),1)="F",INDEX($F$1787:$F$1839,MATCH(Paramètres!J12,Paramètres!$G$5:$G$57,0)),INDEX($E$1787:$E$1839,MATCH(Paramètres!J12,Paramètres!$G$5:$G$57,0)))+IF(RIGHT(TRIM(Paramètres!K12),3)="Fin",1-$H1794,IF(LEFT(TRIM(Paramètres!K12),1)="F",1,0)))),IF(Paramètres!L12="",0,IF(Paramètres!M12="",NA(),IF(LEFT(TRIM(Paramètres!M12),1)="F",INDEX($F$1787:$F$1839,MATCH(Paramètres!L12,Paramètres!$G$5:$G$57,0)),INDEX($E$1787:$E$1839,MATCH(Paramètres!L12,Paramètres!$G$5:$G$57,0)))+IF(RIGHT(TRIM(Paramètres!M12),3)="Fin",1-$H1794,IF(LEFT(TRIM(Paramètres!M12),1)="F",1,0)))),IF(Paramètres!N12="",0,IF(Paramètres!O12="",NA(),IF(LEFT(TRIM(Paramètres!O12),1)="F",INDEX($F$1787:$F$1839,MATCH(Paramètres!N12,Paramètres!$G$5:$G$57,0)),INDEX($E$1787:$E$1839,MATCH(Paramètres!N12,Paramètres!$G$5:$G$57,0)))+IF(RIGHT(TRIM(Paramètres!O12),3)="Fin",1-$H1794,IF(LEFT(TRIM(Paramètres!O12),1)="F",1,0)))))))</f>
        <v/>
      </c>
      <c r="F1794" s="19">
        <f>IF($A1794="","",E1794+$H1794-1)</f>
        <v/>
      </c>
      <c r="G1794" s="18" t="n"/>
      <c r="H1794" s="18">
        <f>IF($A1794="","",IF(I1794&lt;&gt;"",I1794,Paramètres!B12))</f>
        <v/>
      </c>
      <c r="I1794" s="18" t="n"/>
    </row>
    <row r="1795">
      <c r="A1795" s="18">
        <f>IF(ISNUMBER(Dossiers!$D$37),Dossiers!$A$37&amp;" · "&amp;Dossiers!$B$37,"")</f>
        <v/>
      </c>
      <c r="B1795" s="18">
        <f>IF($A1795="","",Paramètres!G13)</f>
        <v/>
      </c>
      <c r="C1795" s="18">
        <f>IF($A1795="","",IF(Paramètres!H13="","",Paramètres!H13))</f>
        <v/>
      </c>
      <c r="D1795" s="18">
        <f>IF($A1795="","",IF(Paramètres!I13="","",Paramètres!I13))</f>
        <v/>
      </c>
      <c r="E1795" s="19">
        <f>IF($A1795="","",IF(Paramètres!J13&amp;Paramètres!L13&amp;Paramètres!N13="",Dossiers!$D$37,MAX(IF(Paramètres!J13="",0,IF(Paramètres!K13="",NA(),IF(LEFT(TRIM(Paramètres!K13),1)="F",INDEX($F$1787:$F$1839,MATCH(Paramètres!J13,Paramètres!$G$5:$G$57,0)),INDEX($E$1787:$E$1839,MATCH(Paramètres!J13,Paramètres!$G$5:$G$57,0)))+IF(RIGHT(TRIM(Paramètres!K13),3)="Fin",1-$H1795,IF(LEFT(TRIM(Paramètres!K13),1)="F",1,0)))),IF(Paramètres!L13="",0,IF(Paramètres!M13="",NA(),IF(LEFT(TRIM(Paramètres!M13),1)="F",INDEX($F$1787:$F$1839,MATCH(Paramètres!L13,Paramètres!$G$5:$G$57,0)),INDEX($E$1787:$E$1839,MATCH(Paramètres!L13,Paramètres!$G$5:$G$57,0)))+IF(RIGHT(TRIM(Paramètres!M13),3)="Fin",1-$H1795,IF(LEFT(TRIM(Paramètres!M13),1)="F",1,0)))),IF(Paramètres!N13="",0,IF(Paramètres!O13="",NA(),IF(LEFT(TRIM(Paramètres!O13),1)="F",INDEX($F$1787:$F$1839,MATCH(Paramètres!N13,Paramètres!$G$5:$G$57,0)),INDEX($E$1787:$E$1839,MATCH(Paramètres!N13,Paramètres!$G$5:$G$57,0)))+IF(RIGHT(TRIM(Paramètres!O13),3)="Fin",1-$H1795,IF(LEFT(TRIM(Paramètres!O13),1)="F",1,0)))))))</f>
        <v/>
      </c>
      <c r="F1795" s="19">
        <f>IF($A1795="","",E1795+$H1795-1)</f>
        <v/>
      </c>
      <c r="G1795" s="18" t="n"/>
      <c r="H1795" s="18">
        <f>IF($A1795="","",IF(I1795&lt;&gt;"",I1795,Paramètres!B13))</f>
        <v/>
      </c>
      <c r="I1795" s="18" t="n"/>
    </row>
    <row r="1796">
      <c r="A1796" s="18">
        <f>IF(ISNUMBER(Dossiers!$D$37),Dossiers!$A$37&amp;" · "&amp;Dossiers!$B$37,"")</f>
        <v/>
      </c>
      <c r="B1796" s="18">
        <f>IF($A1796="","",Paramètres!G14)</f>
        <v/>
      </c>
      <c r="C1796" s="18">
        <f>IF($A1796="","",IF(Paramètres!H14="","",Paramètres!H14))</f>
        <v/>
      </c>
      <c r="D1796" s="18">
        <f>IF($A1796="","",IF(Paramètres!I14="","",Paramètres!I14))</f>
        <v/>
      </c>
      <c r="E1796" s="19">
        <f>IF($A1796="","",IF(Paramètres!J14&amp;Paramètres!L14&amp;Paramètres!N14="",Dossiers!$D$37,MAX(IF(Paramètres!J14="",0,IF(Paramètres!K14="",NA(),IF(LEFT(TRIM(Paramètres!K14),1)="F",INDEX($F$1787:$F$1839,MATCH(Paramètres!J14,Paramètres!$G$5:$G$57,0)),INDEX($E$1787:$E$1839,MATCH(Paramètres!J14,Paramètres!$G$5:$G$57,0)))+IF(RIGHT(TRIM(Paramètres!K14),3)="Fin",1-$H1796,IF(LEFT(TRIM(Paramètres!K14),1)="F",1,0)))),IF(Paramètres!L14="",0,IF(Paramètres!M14="",NA(),IF(LEFT(TRIM(Paramètres!M14),1)="F",INDEX($F$1787:$F$1839,MATCH(Paramètres!L14,Paramètres!$G$5:$G$57,0)),INDEX($E$1787:$E$1839,MATCH(Paramètres!L14,Paramètres!$G$5:$G$57,0)))+IF(RIGHT(TRIM(Paramètres!M14),3)="Fin",1-$H1796,IF(LEFT(TRIM(Paramètres!M14),1)="F",1,0)))),IF(Paramètres!N14="",0,IF(Paramètres!O14="",NA(),IF(LEFT(TRIM(Paramètres!O14),1)="F",INDEX($F$1787:$F$1839,MATCH(Paramètres!N14,Paramètres!$G$5:$G$57,0)),INDEX($E$1787:$E$1839,MATCH(Paramètres!N14,Paramètres!$G$5:$G$57,0)))+IF(RIGHT(TRIM(Paramètres!O14),3)="Fin",1-$H1796,IF(LEFT(TRIM(Paramètres!O14),1)="F",1,0)))))))</f>
        <v/>
      </c>
      <c r="F1796" s="19">
        <f>IF($A1796="","",E1796+$H1796-1)</f>
        <v/>
      </c>
      <c r="G1796" s="18" t="n"/>
      <c r="H1796" s="18">
        <f>IF($A1796="","",IF(I1796&lt;&gt;"",I1796,Paramètres!B14))</f>
        <v/>
      </c>
      <c r="I1796" s="18" t="n"/>
    </row>
    <row r="1797">
      <c r="A1797" s="18">
        <f>IF(ISNUMBER(Dossiers!$D$37),Dossiers!$A$37&amp;" · "&amp;Dossiers!$B$37,"")</f>
        <v/>
      </c>
      <c r="B1797" s="18">
        <f>IF($A1797="","",Paramètres!G15)</f>
        <v/>
      </c>
      <c r="C1797" s="18">
        <f>IF($A1797="","",IF(Paramètres!H15="","",Paramètres!H15))</f>
        <v/>
      </c>
      <c r="D1797" s="18">
        <f>IF($A1797="","",IF(Paramètres!I15="","",Paramètres!I15))</f>
        <v/>
      </c>
      <c r="E1797" s="19">
        <f>IF($A1797="","",MIN(E1798:E1813))</f>
        <v/>
      </c>
      <c r="F1797" s="19">
        <f>IF($A1797="","",MAX(F1798:F1813))</f>
        <v/>
      </c>
      <c r="G1797" s="18" t="n"/>
      <c r="H1797" s="18">
        <f>IF($A1797="","",F1797-E1797+1)</f>
        <v/>
      </c>
      <c r="I1797" s="18" t="n"/>
    </row>
    <row r="1798">
      <c r="A1798" s="18">
        <f>IF(ISNUMBER(Dossiers!$D$37),Dossiers!$A$37&amp;" · "&amp;Dossiers!$B$37,"")</f>
        <v/>
      </c>
      <c r="B1798" s="18">
        <f>IF($A1798="","",Paramètres!G16)</f>
        <v/>
      </c>
      <c r="C1798" s="18">
        <f>IF($A1798="","",IF(Paramètres!H16="","",Paramètres!H16))</f>
        <v/>
      </c>
      <c r="D1798" s="18">
        <f>IF($A1798="","",IF(Paramètres!I16="","",Paramètres!I16))</f>
        <v/>
      </c>
      <c r="E1798" s="19">
        <f>IF($A1798="","",IF(Paramètres!J16&amp;Paramètres!L16&amp;Paramètres!N16="",Dossiers!$D$37,MAX(IF(Paramètres!J16="",0,IF(Paramètres!K16="",NA(),IF(LEFT(TRIM(Paramètres!K16),1)="F",INDEX($F$1787:$F$1839,MATCH(Paramètres!J16,Paramètres!$G$5:$G$57,0)),INDEX($E$1787:$E$1839,MATCH(Paramètres!J16,Paramètres!$G$5:$G$57,0)))+IF(RIGHT(TRIM(Paramètres!K16),3)="Fin",1-$H1798,IF(LEFT(TRIM(Paramètres!K16),1)="F",1,0)))),IF(Paramètres!L16="",0,IF(Paramètres!M16="",NA(),IF(LEFT(TRIM(Paramètres!M16),1)="F",INDEX($F$1787:$F$1839,MATCH(Paramètres!L16,Paramètres!$G$5:$G$57,0)),INDEX($E$1787:$E$1839,MATCH(Paramètres!L16,Paramètres!$G$5:$G$57,0)))+IF(RIGHT(TRIM(Paramètres!M16),3)="Fin",1-$H1798,IF(LEFT(TRIM(Paramètres!M16),1)="F",1,0)))),IF(Paramètres!N16="",0,IF(Paramètres!O16="",NA(),IF(LEFT(TRIM(Paramètres!O16),1)="F",INDEX($F$1787:$F$1839,MATCH(Paramètres!N16,Paramètres!$G$5:$G$57,0)),INDEX($E$1787:$E$1839,MATCH(Paramètres!N16,Paramètres!$G$5:$G$57,0)))+IF(RIGHT(TRIM(Paramètres!O16),3)="Fin",1-$H1798,IF(LEFT(TRIM(Paramètres!O16),1)="F",1,0)))))))</f>
        <v/>
      </c>
      <c r="F1798" s="19">
        <f>IF($A1798="","",E1798+$H1798-1)</f>
        <v/>
      </c>
      <c r="G1798" s="18" t="n"/>
      <c r="H1798" s="18">
        <f>IF($A1798="","",IF(I1798&lt;&gt;"",I1798,Paramètres!B16))</f>
        <v/>
      </c>
      <c r="I1798" s="18" t="n"/>
    </row>
    <row r="1799">
      <c r="A1799" s="18">
        <f>IF(ISNUMBER(Dossiers!$D$37),Dossiers!$A$37&amp;" · "&amp;Dossiers!$B$37,"")</f>
        <v/>
      </c>
      <c r="B1799" s="18">
        <f>IF($A1799="","",Paramètres!G17)</f>
        <v/>
      </c>
      <c r="C1799" s="18">
        <f>IF($A1799="","",IF(Paramètres!H17="","",Paramètres!H17))</f>
        <v/>
      </c>
      <c r="D1799" s="18">
        <f>IF($A1799="","",IF(Paramètres!I17="","",Paramètres!I17))</f>
        <v/>
      </c>
      <c r="E1799" s="19">
        <f>IF($A1799="","",IF(Paramètres!J17&amp;Paramètres!L17&amp;Paramètres!N17="",Dossiers!$D$37,MAX(IF(Paramètres!J17="",0,IF(Paramètres!K17="",NA(),IF(LEFT(TRIM(Paramètres!K17),1)="F",INDEX($F$1787:$F$1839,MATCH(Paramètres!J17,Paramètres!$G$5:$G$57,0)),INDEX($E$1787:$E$1839,MATCH(Paramètres!J17,Paramètres!$G$5:$G$57,0)))+IF(RIGHT(TRIM(Paramètres!K17),3)="Fin",1-$H1799,IF(LEFT(TRIM(Paramètres!K17),1)="F",1,0)))),IF(Paramètres!L17="",0,IF(Paramètres!M17="",NA(),IF(LEFT(TRIM(Paramètres!M17),1)="F",INDEX($F$1787:$F$1839,MATCH(Paramètres!L17,Paramètres!$G$5:$G$57,0)),INDEX($E$1787:$E$1839,MATCH(Paramètres!L17,Paramètres!$G$5:$G$57,0)))+IF(RIGHT(TRIM(Paramètres!M17),3)="Fin",1-$H1799,IF(LEFT(TRIM(Paramètres!M17),1)="F",1,0)))),IF(Paramètres!N17="",0,IF(Paramètres!O17="",NA(),IF(LEFT(TRIM(Paramètres!O17),1)="F",INDEX($F$1787:$F$1839,MATCH(Paramètres!N17,Paramètres!$G$5:$G$57,0)),INDEX($E$1787:$E$1839,MATCH(Paramètres!N17,Paramètres!$G$5:$G$57,0)))+IF(RIGHT(TRIM(Paramètres!O17),3)="Fin",1-$H1799,IF(LEFT(TRIM(Paramètres!O17),1)="F",1,0)))))))</f>
        <v/>
      </c>
      <c r="F1799" s="19">
        <f>IF($A1799="","",E1799+$H1799-1)</f>
        <v/>
      </c>
      <c r="G1799" s="18" t="n"/>
      <c r="H1799" s="18">
        <f>IF($A1799="","",IF(I1799&lt;&gt;"",I1799,Paramètres!B17))</f>
        <v/>
      </c>
      <c r="I1799" s="18" t="n"/>
    </row>
    <row r="1800">
      <c r="A1800" s="18">
        <f>IF(ISNUMBER(Dossiers!$D$37),Dossiers!$A$37&amp;" · "&amp;Dossiers!$B$37,"")</f>
        <v/>
      </c>
      <c r="B1800" s="18">
        <f>IF($A1800="","",Paramètres!G18)</f>
        <v/>
      </c>
      <c r="C1800" s="18">
        <f>IF($A1800="","",IF(Paramètres!H18="","",Paramètres!H18))</f>
        <v/>
      </c>
      <c r="D1800" s="18">
        <f>IF($A1800="","",IF(Paramètres!I18="","",Paramètres!I18))</f>
        <v/>
      </c>
      <c r="E1800" s="19">
        <f>IF($A1800="","",IF(Paramètres!J18&amp;Paramètres!L18&amp;Paramètres!N18="",Dossiers!$D$37,MAX(IF(Paramètres!J18="",0,IF(Paramètres!K18="",NA(),IF(LEFT(TRIM(Paramètres!K18),1)="F",INDEX($F$1787:$F$1839,MATCH(Paramètres!J18,Paramètres!$G$5:$G$57,0)),INDEX($E$1787:$E$1839,MATCH(Paramètres!J18,Paramètres!$G$5:$G$57,0)))+IF(RIGHT(TRIM(Paramètres!K18),3)="Fin",1-$H1800,IF(LEFT(TRIM(Paramètres!K18),1)="F",1,0)))),IF(Paramètres!L18="",0,IF(Paramètres!M18="",NA(),IF(LEFT(TRIM(Paramètres!M18),1)="F",INDEX($F$1787:$F$1839,MATCH(Paramètres!L18,Paramètres!$G$5:$G$57,0)),INDEX($E$1787:$E$1839,MATCH(Paramètres!L18,Paramètres!$G$5:$G$57,0)))+IF(RIGHT(TRIM(Paramètres!M18),3)="Fin",1-$H1800,IF(LEFT(TRIM(Paramètres!M18),1)="F",1,0)))),IF(Paramètres!N18="",0,IF(Paramètres!O18="",NA(),IF(LEFT(TRIM(Paramètres!O18),1)="F",INDEX($F$1787:$F$1839,MATCH(Paramètres!N18,Paramètres!$G$5:$G$57,0)),INDEX($E$1787:$E$1839,MATCH(Paramètres!N18,Paramètres!$G$5:$G$57,0)))+IF(RIGHT(TRIM(Paramètres!O18),3)="Fin",1-$H1800,IF(LEFT(TRIM(Paramètres!O18),1)="F",1,0)))))))</f>
        <v/>
      </c>
      <c r="F1800" s="19">
        <f>IF($A1800="","",E1800+$H1800-1)</f>
        <v/>
      </c>
      <c r="G1800" s="18" t="n"/>
      <c r="H1800" s="18">
        <f>IF($A1800="","",IF(I1800&lt;&gt;"",I1800,Paramètres!B18))</f>
        <v/>
      </c>
      <c r="I1800" s="18" t="n"/>
    </row>
    <row r="1801">
      <c r="A1801" s="18">
        <f>IF(ISNUMBER(Dossiers!$D$37),Dossiers!$A$37&amp;" · "&amp;Dossiers!$B$37,"")</f>
        <v/>
      </c>
      <c r="B1801" s="18">
        <f>IF($A1801="","",Paramètres!G19)</f>
        <v/>
      </c>
      <c r="C1801" s="18">
        <f>IF($A1801="","",IF(Paramètres!H19="","",Paramètres!H19))</f>
        <v/>
      </c>
      <c r="D1801" s="18">
        <f>IF($A1801="","",IF(Paramètres!I19="","",Paramètres!I19))</f>
        <v/>
      </c>
      <c r="E1801" s="19">
        <f>IF($A1801="","",IF(Paramètres!J19&amp;Paramètres!L19&amp;Paramètres!N19="",Dossiers!$D$37,MAX(IF(Paramètres!J19="",0,IF(Paramètres!K19="",NA(),IF(LEFT(TRIM(Paramètres!K19),1)="F",INDEX($F$1787:$F$1839,MATCH(Paramètres!J19,Paramètres!$G$5:$G$57,0)),INDEX($E$1787:$E$1839,MATCH(Paramètres!J19,Paramètres!$G$5:$G$57,0)))+IF(RIGHT(TRIM(Paramètres!K19),3)="Fin",1-$H1801,IF(LEFT(TRIM(Paramètres!K19),1)="F",1,0)))),IF(Paramètres!L19="",0,IF(Paramètres!M19="",NA(),IF(LEFT(TRIM(Paramètres!M19),1)="F",INDEX($F$1787:$F$1839,MATCH(Paramètres!L19,Paramètres!$G$5:$G$57,0)),INDEX($E$1787:$E$1839,MATCH(Paramètres!L19,Paramètres!$G$5:$G$57,0)))+IF(RIGHT(TRIM(Paramètres!M19),3)="Fin",1-$H1801,IF(LEFT(TRIM(Paramètres!M19),1)="F",1,0)))),IF(Paramètres!N19="",0,IF(Paramètres!O19="",NA(),IF(LEFT(TRIM(Paramètres!O19),1)="F",INDEX($F$1787:$F$1839,MATCH(Paramètres!N19,Paramètres!$G$5:$G$57,0)),INDEX($E$1787:$E$1839,MATCH(Paramètres!N19,Paramètres!$G$5:$G$57,0)))+IF(RIGHT(TRIM(Paramètres!O19),3)="Fin",1-$H1801,IF(LEFT(TRIM(Paramètres!O19),1)="F",1,0)))))))</f>
        <v/>
      </c>
      <c r="F1801" s="19">
        <f>IF($A1801="","",E1801+$H1801-1)</f>
        <v/>
      </c>
      <c r="G1801" s="18" t="n"/>
      <c r="H1801" s="18">
        <f>IF($A1801="","",IF(I1801&lt;&gt;"",I1801,Paramètres!B19))</f>
        <v/>
      </c>
      <c r="I1801" s="18" t="n"/>
    </row>
    <row r="1802">
      <c r="A1802" s="18">
        <f>IF(ISNUMBER(Dossiers!$D$37),Dossiers!$A$37&amp;" · "&amp;Dossiers!$B$37,"")</f>
        <v/>
      </c>
      <c r="B1802" s="18">
        <f>IF($A1802="","",Paramètres!G20)</f>
        <v/>
      </c>
      <c r="C1802" s="18">
        <f>IF($A1802="","",IF(Paramètres!H20="","",Paramètres!H20))</f>
        <v/>
      </c>
      <c r="D1802" s="18">
        <f>IF($A1802="","",IF(Paramètres!I20="","",Paramètres!I20))</f>
        <v/>
      </c>
      <c r="E1802" s="19">
        <f>IF($A1802="","",IF(Paramètres!J20&amp;Paramètres!L20&amp;Paramètres!N20="",Dossiers!$D$37,MAX(IF(Paramètres!J20="",0,IF(Paramètres!K20="",NA(),IF(LEFT(TRIM(Paramètres!K20),1)="F",INDEX($F$1787:$F$1839,MATCH(Paramètres!J20,Paramètres!$G$5:$G$57,0)),INDEX($E$1787:$E$1839,MATCH(Paramètres!J20,Paramètres!$G$5:$G$57,0)))+IF(RIGHT(TRIM(Paramètres!K20),3)="Fin",1-$H1802,IF(LEFT(TRIM(Paramètres!K20),1)="F",1,0)))),IF(Paramètres!L20="",0,IF(Paramètres!M20="",NA(),IF(LEFT(TRIM(Paramètres!M20),1)="F",INDEX($F$1787:$F$1839,MATCH(Paramètres!L20,Paramètres!$G$5:$G$57,0)),INDEX($E$1787:$E$1839,MATCH(Paramètres!L20,Paramètres!$G$5:$G$57,0)))+IF(RIGHT(TRIM(Paramètres!M20),3)="Fin",1-$H1802,IF(LEFT(TRIM(Paramètres!M20),1)="F",1,0)))),IF(Paramètres!N20="",0,IF(Paramètres!O20="",NA(),IF(LEFT(TRIM(Paramètres!O20),1)="F",INDEX($F$1787:$F$1839,MATCH(Paramètres!N20,Paramètres!$G$5:$G$57,0)),INDEX($E$1787:$E$1839,MATCH(Paramètres!N20,Paramètres!$G$5:$G$57,0)))+IF(RIGHT(TRIM(Paramètres!O20),3)="Fin",1-$H1802,IF(LEFT(TRIM(Paramètres!O20),1)="F",1,0)))))))</f>
        <v/>
      </c>
      <c r="F1802" s="19">
        <f>IF($A1802="","",E1802+$H1802-1)</f>
        <v/>
      </c>
      <c r="G1802" s="18" t="n"/>
      <c r="H1802" s="18">
        <f>IF($A1802="","",IF(I1802&lt;&gt;"",I1802,Paramètres!B20))</f>
        <v/>
      </c>
      <c r="I1802" s="18" t="n"/>
    </row>
    <row r="1803">
      <c r="A1803" s="18">
        <f>IF(ISNUMBER(Dossiers!$D$37),Dossiers!$A$37&amp;" · "&amp;Dossiers!$B$37,"")</f>
        <v/>
      </c>
      <c r="B1803" s="18">
        <f>IF($A1803="","",Paramètres!G21)</f>
        <v/>
      </c>
      <c r="C1803" s="18">
        <f>IF($A1803="","",IF(Paramètres!H21="","",Paramètres!H21))</f>
        <v/>
      </c>
      <c r="D1803" s="18">
        <f>IF($A1803="","",IF(Paramètres!I21="","",Paramètres!I21))</f>
        <v/>
      </c>
      <c r="E1803" s="19">
        <f>IF($A1803="","",IF(Paramètres!J21&amp;Paramètres!L21&amp;Paramètres!N21="",Dossiers!$D$37,MAX(IF(Paramètres!J21="",0,IF(Paramètres!K21="",NA(),IF(LEFT(TRIM(Paramètres!K21),1)="F",INDEX($F$1787:$F$1839,MATCH(Paramètres!J21,Paramètres!$G$5:$G$57,0)),INDEX($E$1787:$E$1839,MATCH(Paramètres!J21,Paramètres!$G$5:$G$57,0)))+IF(RIGHT(TRIM(Paramètres!K21),3)="Fin",1-$H1803,IF(LEFT(TRIM(Paramètres!K21),1)="F",1,0)))),IF(Paramètres!L21="",0,IF(Paramètres!M21="",NA(),IF(LEFT(TRIM(Paramètres!M21),1)="F",INDEX($F$1787:$F$1839,MATCH(Paramètres!L21,Paramètres!$G$5:$G$57,0)),INDEX($E$1787:$E$1839,MATCH(Paramètres!L21,Paramètres!$G$5:$G$57,0)))+IF(RIGHT(TRIM(Paramètres!M21),3)="Fin",1-$H1803,IF(LEFT(TRIM(Paramètres!M21),1)="F",1,0)))),IF(Paramètres!N21="",0,IF(Paramètres!O21="",NA(),IF(LEFT(TRIM(Paramètres!O21),1)="F",INDEX($F$1787:$F$1839,MATCH(Paramètres!N21,Paramètres!$G$5:$G$57,0)),INDEX($E$1787:$E$1839,MATCH(Paramètres!N21,Paramètres!$G$5:$G$57,0)))+IF(RIGHT(TRIM(Paramètres!O21),3)="Fin",1-$H1803,IF(LEFT(TRIM(Paramètres!O21),1)="F",1,0)))))))</f>
        <v/>
      </c>
      <c r="F1803" s="19">
        <f>IF($A1803="","",E1803+$H1803-1)</f>
        <v/>
      </c>
      <c r="G1803" s="18" t="n"/>
      <c r="H1803" s="18">
        <f>IF($A1803="","",IF(I1803&lt;&gt;"",I1803,Paramètres!B21))</f>
        <v/>
      </c>
      <c r="I1803" s="18" t="n"/>
    </row>
    <row r="1804">
      <c r="A1804" s="18">
        <f>IF(ISNUMBER(Dossiers!$D$37),Dossiers!$A$37&amp;" · "&amp;Dossiers!$B$37,"")</f>
        <v/>
      </c>
      <c r="B1804" s="18">
        <f>IF($A1804="","",Paramètres!G22)</f>
        <v/>
      </c>
      <c r="C1804" s="18">
        <f>IF($A1804="","",IF(Paramètres!H22="","",Paramètres!H22))</f>
        <v/>
      </c>
      <c r="D1804" s="18">
        <f>IF($A1804="","",IF(Paramètres!I22="","",Paramètres!I22))</f>
        <v/>
      </c>
      <c r="E1804" s="19">
        <f>IF($A1804="","",IF(Paramètres!J22&amp;Paramètres!L22&amp;Paramètres!N22="",Dossiers!$D$37,MAX(IF(Paramètres!J22="",0,IF(Paramètres!K22="",NA(),IF(LEFT(TRIM(Paramètres!K22),1)="F",INDEX($F$1787:$F$1839,MATCH(Paramètres!J22,Paramètres!$G$5:$G$57,0)),INDEX($E$1787:$E$1839,MATCH(Paramètres!J22,Paramètres!$G$5:$G$57,0)))+IF(RIGHT(TRIM(Paramètres!K22),3)="Fin",1-$H1804,IF(LEFT(TRIM(Paramètres!K22),1)="F",1,0)))),IF(Paramètres!L22="",0,IF(Paramètres!M22="",NA(),IF(LEFT(TRIM(Paramètres!M22),1)="F",INDEX($F$1787:$F$1839,MATCH(Paramètres!L22,Paramètres!$G$5:$G$57,0)),INDEX($E$1787:$E$1839,MATCH(Paramètres!L22,Paramètres!$G$5:$G$57,0)))+IF(RIGHT(TRIM(Paramètres!M22),3)="Fin",1-$H1804,IF(LEFT(TRIM(Paramètres!M22),1)="F",1,0)))),IF(Paramètres!N22="",0,IF(Paramètres!O22="",NA(),IF(LEFT(TRIM(Paramètres!O22),1)="F",INDEX($F$1787:$F$1839,MATCH(Paramètres!N22,Paramètres!$G$5:$G$57,0)),INDEX($E$1787:$E$1839,MATCH(Paramètres!N22,Paramètres!$G$5:$G$57,0)))+IF(RIGHT(TRIM(Paramètres!O22),3)="Fin",1-$H1804,IF(LEFT(TRIM(Paramètres!O22),1)="F",1,0)))))))</f>
        <v/>
      </c>
      <c r="F1804" s="19">
        <f>IF($A1804="","",E1804+$H1804-1)</f>
        <v/>
      </c>
      <c r="G1804" s="18" t="n"/>
      <c r="H1804" s="18">
        <f>IF($A1804="","",IF(I1804&lt;&gt;"",I1804,Paramètres!B22))</f>
        <v/>
      </c>
      <c r="I1804" s="18" t="n"/>
    </row>
    <row r="1805">
      <c r="A1805" s="18">
        <f>IF(ISNUMBER(Dossiers!$D$37),Dossiers!$A$37&amp;" · "&amp;Dossiers!$B$37,"")</f>
        <v/>
      </c>
      <c r="B1805" s="18">
        <f>IF($A1805="","",Paramètres!G23)</f>
        <v/>
      </c>
      <c r="C1805" s="18">
        <f>IF($A1805="","",IF(Paramètres!H23="","",Paramètres!H23))</f>
        <v/>
      </c>
      <c r="D1805" s="18">
        <f>IF($A1805="","",IF(Paramètres!I23="","",Paramètres!I23))</f>
        <v/>
      </c>
      <c r="E1805" s="19">
        <f>IF($A1805="","",IF(Paramètres!J23&amp;Paramètres!L23&amp;Paramètres!N23="",Dossiers!$D$37,MAX(IF(Paramètres!J23="",0,IF(Paramètres!K23="",NA(),IF(LEFT(TRIM(Paramètres!K23),1)="F",INDEX($F$1787:$F$1839,MATCH(Paramètres!J23,Paramètres!$G$5:$G$57,0)),INDEX($E$1787:$E$1839,MATCH(Paramètres!J23,Paramètres!$G$5:$G$57,0)))+IF(RIGHT(TRIM(Paramètres!K23),3)="Fin",1-$H1805,IF(LEFT(TRIM(Paramètres!K23),1)="F",1,0)))),IF(Paramètres!L23="",0,IF(Paramètres!M23="",NA(),IF(LEFT(TRIM(Paramètres!M23),1)="F",INDEX($F$1787:$F$1839,MATCH(Paramètres!L23,Paramètres!$G$5:$G$57,0)),INDEX($E$1787:$E$1839,MATCH(Paramètres!L23,Paramètres!$G$5:$G$57,0)))+IF(RIGHT(TRIM(Paramètres!M23),3)="Fin",1-$H1805,IF(LEFT(TRIM(Paramètres!M23),1)="F",1,0)))),IF(Paramètres!N23="",0,IF(Paramètres!O23="",NA(),IF(LEFT(TRIM(Paramètres!O23),1)="F",INDEX($F$1787:$F$1839,MATCH(Paramètres!N23,Paramètres!$G$5:$G$57,0)),INDEX($E$1787:$E$1839,MATCH(Paramètres!N23,Paramètres!$G$5:$G$57,0)))+IF(RIGHT(TRIM(Paramètres!O23),3)="Fin",1-$H1805,IF(LEFT(TRIM(Paramètres!O23),1)="F",1,0)))))))</f>
        <v/>
      </c>
      <c r="F1805" s="19">
        <f>IF($A1805="","",E1805+$H1805-1)</f>
        <v/>
      </c>
      <c r="G1805" s="18" t="n"/>
      <c r="H1805" s="18">
        <f>IF($A1805="","",IF(I1805&lt;&gt;"",I1805,Paramètres!B23))</f>
        <v/>
      </c>
      <c r="I1805" s="18" t="n"/>
    </row>
    <row r="1806">
      <c r="A1806" s="18">
        <f>IF(ISNUMBER(Dossiers!$D$37),Dossiers!$A$37&amp;" · "&amp;Dossiers!$B$37,"")</f>
        <v/>
      </c>
      <c r="B1806" s="18">
        <f>IF($A1806="","",Paramètres!G24)</f>
        <v/>
      </c>
      <c r="C1806" s="18">
        <f>IF($A1806="","",IF(Paramètres!H24="","",Paramètres!H24))</f>
        <v/>
      </c>
      <c r="D1806" s="18">
        <f>IF($A1806="","",IF(Paramètres!I24="","",Paramètres!I24))</f>
        <v/>
      </c>
      <c r="E1806" s="19">
        <f>IF($A1806="","",IF(Paramètres!J24&amp;Paramètres!L24&amp;Paramètres!N24="",Dossiers!$D$37,MAX(IF(Paramètres!J24="",0,IF(Paramètres!K24="",NA(),IF(LEFT(TRIM(Paramètres!K24),1)="F",INDEX($F$1787:$F$1839,MATCH(Paramètres!J24,Paramètres!$G$5:$G$57,0)),INDEX($E$1787:$E$1839,MATCH(Paramètres!J24,Paramètres!$G$5:$G$57,0)))+IF(RIGHT(TRIM(Paramètres!K24),3)="Fin",1-$H1806,IF(LEFT(TRIM(Paramètres!K24),1)="F",1,0)))),IF(Paramètres!L24="",0,IF(Paramètres!M24="",NA(),IF(LEFT(TRIM(Paramètres!M24),1)="F",INDEX($F$1787:$F$1839,MATCH(Paramètres!L24,Paramètres!$G$5:$G$57,0)),INDEX($E$1787:$E$1839,MATCH(Paramètres!L24,Paramètres!$G$5:$G$57,0)))+IF(RIGHT(TRIM(Paramètres!M24),3)="Fin",1-$H1806,IF(LEFT(TRIM(Paramètres!M24),1)="F",1,0)))),IF(Paramètres!N24="",0,IF(Paramètres!O24="",NA(),IF(LEFT(TRIM(Paramètres!O24),1)="F",INDEX($F$1787:$F$1839,MATCH(Paramètres!N24,Paramètres!$G$5:$G$57,0)),INDEX($E$1787:$E$1839,MATCH(Paramètres!N24,Paramètres!$G$5:$G$57,0)))+IF(RIGHT(TRIM(Paramètres!O24),3)="Fin",1-$H1806,IF(LEFT(TRIM(Paramètres!O24),1)="F",1,0)))))))</f>
        <v/>
      </c>
      <c r="F1806" s="19">
        <f>IF($A1806="","",E1806+$H1806-1)</f>
        <v/>
      </c>
      <c r="G1806" s="18" t="n"/>
      <c r="H1806" s="18">
        <f>IF($A1806="","",IF(I1806&lt;&gt;"",I1806,Paramètres!B24))</f>
        <v/>
      </c>
      <c r="I1806" s="18" t="n"/>
    </row>
    <row r="1807">
      <c r="A1807" s="18">
        <f>IF(ISNUMBER(Dossiers!$D$37),Dossiers!$A$37&amp;" · "&amp;Dossiers!$B$37,"")</f>
        <v/>
      </c>
      <c r="B1807" s="18">
        <f>IF($A1807="","",Paramètres!G25)</f>
        <v/>
      </c>
      <c r="C1807" s="18">
        <f>IF($A1807="","",IF(Paramètres!H25="","",Paramètres!H25))</f>
        <v/>
      </c>
      <c r="D1807" s="18">
        <f>IF($A1807="","",IF(Paramètres!I25="","",Paramètres!I25))</f>
        <v/>
      </c>
      <c r="E1807" s="19">
        <f>IF($A1807="","",IF(Paramètres!J25&amp;Paramètres!L25&amp;Paramètres!N25="",Dossiers!$D$37,MAX(IF(Paramètres!J25="",0,IF(Paramètres!K25="",NA(),IF(LEFT(TRIM(Paramètres!K25),1)="F",INDEX($F$1787:$F$1839,MATCH(Paramètres!J25,Paramètres!$G$5:$G$57,0)),INDEX($E$1787:$E$1839,MATCH(Paramètres!J25,Paramètres!$G$5:$G$57,0)))+IF(RIGHT(TRIM(Paramètres!K25),3)="Fin",1-$H1807,IF(LEFT(TRIM(Paramètres!K25),1)="F",1,0)))),IF(Paramètres!L25="",0,IF(Paramètres!M25="",NA(),IF(LEFT(TRIM(Paramètres!M25),1)="F",INDEX($F$1787:$F$1839,MATCH(Paramètres!L25,Paramètres!$G$5:$G$57,0)),INDEX($E$1787:$E$1839,MATCH(Paramètres!L25,Paramètres!$G$5:$G$57,0)))+IF(RIGHT(TRIM(Paramètres!M25),3)="Fin",1-$H1807,IF(LEFT(TRIM(Paramètres!M25),1)="F",1,0)))),IF(Paramètres!N25="",0,IF(Paramètres!O25="",NA(),IF(LEFT(TRIM(Paramètres!O25),1)="F",INDEX($F$1787:$F$1839,MATCH(Paramètres!N25,Paramètres!$G$5:$G$57,0)),INDEX($E$1787:$E$1839,MATCH(Paramètres!N25,Paramètres!$G$5:$G$57,0)))+IF(RIGHT(TRIM(Paramètres!O25),3)="Fin",1-$H1807,IF(LEFT(TRIM(Paramètres!O25),1)="F",1,0)))))))</f>
        <v/>
      </c>
      <c r="F1807" s="19">
        <f>IF($A1807="","",E1807+$H1807-1)</f>
        <v/>
      </c>
      <c r="G1807" s="18" t="n"/>
      <c r="H1807" s="18">
        <f>IF($A1807="","",IF(I1807&lt;&gt;"",I1807,Paramètres!B25))</f>
        <v/>
      </c>
      <c r="I1807" s="18" t="n"/>
    </row>
    <row r="1808">
      <c r="A1808" s="18">
        <f>IF(ISNUMBER(Dossiers!$D$37),Dossiers!$A$37&amp;" · "&amp;Dossiers!$B$37,"")</f>
        <v/>
      </c>
      <c r="B1808" s="18">
        <f>IF($A1808="","",Paramètres!G26)</f>
        <v/>
      </c>
      <c r="C1808" s="18">
        <f>IF($A1808="","",IF(Paramètres!H26="","",Paramètres!H26))</f>
        <v/>
      </c>
      <c r="D1808" s="18">
        <f>IF($A1808="","",IF(Paramètres!I26="","",Paramètres!I26))</f>
        <v/>
      </c>
      <c r="E1808" s="19">
        <f>IF($A1808="","",IF(Paramètres!J26&amp;Paramètres!L26&amp;Paramètres!N26="",Dossiers!$D$37,MAX(IF(Paramètres!J26="",0,IF(Paramètres!K26="",NA(),IF(LEFT(TRIM(Paramètres!K26),1)="F",INDEX($F$1787:$F$1839,MATCH(Paramètres!J26,Paramètres!$G$5:$G$57,0)),INDEX($E$1787:$E$1839,MATCH(Paramètres!J26,Paramètres!$G$5:$G$57,0)))+IF(RIGHT(TRIM(Paramètres!K26),3)="Fin",1-$H1808,IF(LEFT(TRIM(Paramètres!K26),1)="F",1,0)))),IF(Paramètres!L26="",0,IF(Paramètres!M26="",NA(),IF(LEFT(TRIM(Paramètres!M26),1)="F",INDEX($F$1787:$F$1839,MATCH(Paramètres!L26,Paramètres!$G$5:$G$57,0)),INDEX($E$1787:$E$1839,MATCH(Paramètres!L26,Paramètres!$G$5:$G$57,0)))+IF(RIGHT(TRIM(Paramètres!M26),3)="Fin",1-$H1808,IF(LEFT(TRIM(Paramètres!M26),1)="F",1,0)))),IF(Paramètres!N26="",0,IF(Paramètres!O26="",NA(),IF(LEFT(TRIM(Paramètres!O26),1)="F",INDEX($F$1787:$F$1839,MATCH(Paramètres!N26,Paramètres!$G$5:$G$57,0)),INDEX($E$1787:$E$1839,MATCH(Paramètres!N26,Paramètres!$G$5:$G$57,0)))+IF(RIGHT(TRIM(Paramètres!O26),3)="Fin",1-$H1808,IF(LEFT(TRIM(Paramètres!O26),1)="F",1,0)))))))</f>
        <v/>
      </c>
      <c r="F1808" s="19">
        <f>IF($A1808="","",E1808+$H1808-1)</f>
        <v/>
      </c>
      <c r="G1808" s="18" t="n"/>
      <c r="H1808" s="18">
        <f>IF($A1808="","",IF(I1808&lt;&gt;"",I1808,Paramètres!B26))</f>
        <v/>
      </c>
      <c r="I1808" s="18" t="n"/>
    </row>
    <row r="1809">
      <c r="A1809" s="18">
        <f>IF(ISNUMBER(Dossiers!$D$37),Dossiers!$A$37&amp;" · "&amp;Dossiers!$B$37,"")</f>
        <v/>
      </c>
      <c r="B1809" s="18">
        <f>IF($A1809="","",Paramètres!G27)</f>
        <v/>
      </c>
      <c r="C1809" s="18">
        <f>IF($A1809="","",IF(Paramètres!H27="","",Paramètres!H27))</f>
        <v/>
      </c>
      <c r="D1809" s="18">
        <f>IF($A1809="","",IF(Paramètres!I27="","",Paramètres!I27))</f>
        <v/>
      </c>
      <c r="E1809" s="19">
        <f>IF($A1809="","",IF(Paramètres!J27&amp;Paramètres!L27&amp;Paramètres!N27="",Dossiers!$D$37,MAX(IF(Paramètres!J27="",0,IF(Paramètres!K27="",NA(),IF(LEFT(TRIM(Paramètres!K27),1)="F",INDEX($F$1787:$F$1839,MATCH(Paramètres!J27,Paramètres!$G$5:$G$57,0)),INDEX($E$1787:$E$1839,MATCH(Paramètres!J27,Paramètres!$G$5:$G$57,0)))+IF(RIGHT(TRIM(Paramètres!K27),3)="Fin",1-$H1809,IF(LEFT(TRIM(Paramètres!K27),1)="F",1,0)))),IF(Paramètres!L27="",0,IF(Paramètres!M27="",NA(),IF(LEFT(TRIM(Paramètres!M27),1)="F",INDEX($F$1787:$F$1839,MATCH(Paramètres!L27,Paramètres!$G$5:$G$57,0)),INDEX($E$1787:$E$1839,MATCH(Paramètres!L27,Paramètres!$G$5:$G$57,0)))+IF(RIGHT(TRIM(Paramètres!M27),3)="Fin",1-$H1809,IF(LEFT(TRIM(Paramètres!M27),1)="F",1,0)))),IF(Paramètres!N27="",0,IF(Paramètres!O27="",NA(),IF(LEFT(TRIM(Paramètres!O27),1)="F",INDEX($F$1787:$F$1839,MATCH(Paramètres!N27,Paramètres!$G$5:$G$57,0)),INDEX($E$1787:$E$1839,MATCH(Paramètres!N27,Paramètres!$G$5:$G$57,0)))+IF(RIGHT(TRIM(Paramètres!O27),3)="Fin",1-$H1809,IF(LEFT(TRIM(Paramètres!O27),1)="F",1,0)))))))</f>
        <v/>
      </c>
      <c r="F1809" s="19">
        <f>IF($A1809="","",E1809+$H1809-1)</f>
        <v/>
      </c>
      <c r="G1809" s="18" t="n"/>
      <c r="H1809" s="18">
        <f>IF($A1809="","",IF(I1809&lt;&gt;"",I1809,Paramètres!B27))</f>
        <v/>
      </c>
      <c r="I1809" s="18" t="n"/>
    </row>
    <row r="1810">
      <c r="A1810" s="18">
        <f>IF(ISNUMBER(Dossiers!$D$37),Dossiers!$A$37&amp;" · "&amp;Dossiers!$B$37,"")</f>
        <v/>
      </c>
      <c r="B1810" s="18">
        <f>IF($A1810="","",Paramètres!G28)</f>
        <v/>
      </c>
      <c r="C1810" s="18">
        <f>IF($A1810="","",IF(Paramètres!H28="","",Paramètres!H28))</f>
        <v/>
      </c>
      <c r="D1810" s="18">
        <f>IF($A1810="","",IF(Paramètres!I28="","",Paramètres!I28))</f>
        <v/>
      </c>
      <c r="E1810" s="19">
        <f>IF($A1810="","",IF(Paramètres!J28&amp;Paramètres!L28&amp;Paramètres!N28="",Dossiers!$D$37,MAX(IF(Paramètres!J28="",0,IF(Paramètres!K28="",NA(),IF(LEFT(TRIM(Paramètres!K28),1)="F",INDEX($F$1787:$F$1839,MATCH(Paramètres!J28,Paramètres!$G$5:$G$57,0)),INDEX($E$1787:$E$1839,MATCH(Paramètres!J28,Paramètres!$G$5:$G$57,0)))+IF(RIGHT(TRIM(Paramètres!K28),3)="Fin",1-$H1810,IF(LEFT(TRIM(Paramètres!K28),1)="F",1,0)))),IF(Paramètres!L28="",0,IF(Paramètres!M28="",NA(),IF(LEFT(TRIM(Paramètres!M28),1)="F",INDEX($F$1787:$F$1839,MATCH(Paramètres!L28,Paramètres!$G$5:$G$57,0)),INDEX($E$1787:$E$1839,MATCH(Paramètres!L28,Paramètres!$G$5:$G$57,0)))+IF(RIGHT(TRIM(Paramètres!M28),3)="Fin",1-$H1810,IF(LEFT(TRIM(Paramètres!M28),1)="F",1,0)))),IF(Paramètres!N28="",0,IF(Paramètres!O28="",NA(),IF(LEFT(TRIM(Paramètres!O28),1)="F",INDEX($F$1787:$F$1839,MATCH(Paramètres!N28,Paramètres!$G$5:$G$57,0)),INDEX($E$1787:$E$1839,MATCH(Paramètres!N28,Paramètres!$G$5:$G$57,0)))+IF(RIGHT(TRIM(Paramètres!O28),3)="Fin",1-$H1810,IF(LEFT(TRIM(Paramètres!O28),1)="F",1,0)))))))</f>
        <v/>
      </c>
      <c r="F1810" s="19">
        <f>IF($A1810="","",E1810+$H1810-1)</f>
        <v/>
      </c>
      <c r="G1810" s="18" t="n"/>
      <c r="H1810" s="18">
        <f>IF($A1810="","",IF(I1810&lt;&gt;"",I1810,Paramètres!B28))</f>
        <v/>
      </c>
      <c r="I1810" s="18" t="n"/>
    </row>
    <row r="1811">
      <c r="A1811" s="18">
        <f>IF(ISNUMBER(Dossiers!$D$37),Dossiers!$A$37&amp;" · "&amp;Dossiers!$B$37,"")</f>
        <v/>
      </c>
      <c r="B1811" s="18">
        <f>IF($A1811="","",Paramètres!G29)</f>
        <v/>
      </c>
      <c r="C1811" s="18">
        <f>IF($A1811="","",IF(Paramètres!H29="","",Paramètres!H29))</f>
        <v/>
      </c>
      <c r="D1811" s="18">
        <f>IF($A1811="","",IF(Paramètres!I29="","",Paramètres!I29))</f>
        <v/>
      </c>
      <c r="E1811" s="19">
        <f>IF($A1811="","",IF(Paramètres!J29&amp;Paramètres!L29&amp;Paramètres!N29="",Dossiers!$D$37,MAX(IF(Paramètres!J29="",0,IF(Paramètres!K29="",NA(),IF(LEFT(TRIM(Paramètres!K29),1)="F",INDEX($F$1787:$F$1839,MATCH(Paramètres!J29,Paramètres!$G$5:$G$57,0)),INDEX($E$1787:$E$1839,MATCH(Paramètres!J29,Paramètres!$G$5:$G$57,0)))+IF(RIGHT(TRIM(Paramètres!K29),3)="Fin",1-$H1811,IF(LEFT(TRIM(Paramètres!K29),1)="F",1,0)))),IF(Paramètres!L29="",0,IF(Paramètres!M29="",NA(),IF(LEFT(TRIM(Paramètres!M29),1)="F",INDEX($F$1787:$F$1839,MATCH(Paramètres!L29,Paramètres!$G$5:$G$57,0)),INDEX($E$1787:$E$1839,MATCH(Paramètres!L29,Paramètres!$G$5:$G$57,0)))+IF(RIGHT(TRIM(Paramètres!M29),3)="Fin",1-$H1811,IF(LEFT(TRIM(Paramètres!M29),1)="F",1,0)))),IF(Paramètres!N29="",0,IF(Paramètres!O29="",NA(),IF(LEFT(TRIM(Paramètres!O29),1)="F",INDEX($F$1787:$F$1839,MATCH(Paramètres!N29,Paramètres!$G$5:$G$57,0)),INDEX($E$1787:$E$1839,MATCH(Paramètres!N29,Paramètres!$G$5:$G$57,0)))+IF(RIGHT(TRIM(Paramètres!O29),3)="Fin",1-$H1811,IF(LEFT(TRIM(Paramètres!O29),1)="F",1,0)))))))</f>
        <v/>
      </c>
      <c r="F1811" s="19">
        <f>IF($A1811="","",E1811+$H1811-1)</f>
        <v/>
      </c>
      <c r="G1811" s="18" t="n"/>
      <c r="H1811" s="18">
        <f>IF($A1811="","",IF(I1811&lt;&gt;"",I1811,Paramètres!B29))</f>
        <v/>
      </c>
      <c r="I1811" s="18" t="n"/>
    </row>
    <row r="1812">
      <c r="A1812" s="18">
        <f>IF(ISNUMBER(Dossiers!$D$37),Dossiers!$A$37&amp;" · "&amp;Dossiers!$B$37,"")</f>
        <v/>
      </c>
      <c r="B1812" s="18">
        <f>IF($A1812="","",Paramètres!G30)</f>
        <v/>
      </c>
      <c r="C1812" s="18">
        <f>IF($A1812="","",IF(Paramètres!H30="","",Paramètres!H30))</f>
        <v/>
      </c>
      <c r="D1812" s="18">
        <f>IF($A1812="","",IF(Paramètres!I30="","",Paramètres!I30))</f>
        <v/>
      </c>
      <c r="E1812" s="19">
        <f>IF($A1812="","",IF(Paramètres!J30&amp;Paramètres!L30&amp;Paramètres!N30="",Dossiers!$D$37,MAX(IF(Paramètres!J30="",0,IF(Paramètres!K30="",NA(),IF(LEFT(TRIM(Paramètres!K30),1)="F",INDEX($F$1787:$F$1839,MATCH(Paramètres!J30,Paramètres!$G$5:$G$57,0)),INDEX($E$1787:$E$1839,MATCH(Paramètres!J30,Paramètres!$G$5:$G$57,0)))+IF(RIGHT(TRIM(Paramètres!K30),3)="Fin",1-$H1812,IF(LEFT(TRIM(Paramètres!K30),1)="F",1,0)))),IF(Paramètres!L30="",0,IF(Paramètres!M30="",NA(),IF(LEFT(TRIM(Paramètres!M30),1)="F",INDEX($F$1787:$F$1839,MATCH(Paramètres!L30,Paramètres!$G$5:$G$57,0)),INDEX($E$1787:$E$1839,MATCH(Paramètres!L30,Paramètres!$G$5:$G$57,0)))+IF(RIGHT(TRIM(Paramètres!M30),3)="Fin",1-$H1812,IF(LEFT(TRIM(Paramètres!M30),1)="F",1,0)))),IF(Paramètres!N30="",0,IF(Paramètres!O30="",NA(),IF(LEFT(TRIM(Paramètres!O30),1)="F",INDEX($F$1787:$F$1839,MATCH(Paramètres!N30,Paramètres!$G$5:$G$57,0)),INDEX($E$1787:$E$1839,MATCH(Paramètres!N30,Paramètres!$G$5:$G$57,0)))+IF(RIGHT(TRIM(Paramètres!O30),3)="Fin",1-$H1812,IF(LEFT(TRIM(Paramètres!O30),1)="F",1,0)))))))</f>
        <v/>
      </c>
      <c r="F1812" s="19">
        <f>IF($A1812="","",E1812+$H1812-1)</f>
        <v/>
      </c>
      <c r="G1812" s="18" t="n"/>
      <c r="H1812" s="18">
        <f>IF($A1812="","",IF(I1812&lt;&gt;"",I1812,Paramètres!B30))</f>
        <v/>
      </c>
      <c r="I1812" s="18" t="n"/>
    </row>
    <row r="1813">
      <c r="A1813" s="18">
        <f>IF(ISNUMBER(Dossiers!$D$37),Dossiers!$A$37&amp;" · "&amp;Dossiers!$B$37,"")</f>
        <v/>
      </c>
      <c r="B1813" s="18">
        <f>IF($A1813="","",Paramètres!G31)</f>
        <v/>
      </c>
      <c r="C1813" s="20">
        <f>IF($A1813="","",IF(Dossiers!$F$37="","",Dossiers!$F$37))</f>
        <v/>
      </c>
      <c r="D1813" s="18">
        <f>IF($A1813="","",IF(Paramètres!I31="","",Paramètres!I31))</f>
        <v/>
      </c>
      <c r="E1813" s="19">
        <f>IF($A1813="","",IF(Paramètres!J31&amp;Paramètres!L31&amp;Paramètres!N31="",Dossiers!$D$37,MAX(IF(Paramètres!J31="",0,IF(Paramètres!K31="",NA(),IF(LEFT(TRIM(Paramètres!K31),1)="F",INDEX($F$1787:$F$1839,MATCH(Paramètres!J31,Paramètres!$G$5:$G$57,0)),INDEX($E$1787:$E$1839,MATCH(Paramètres!J31,Paramètres!$G$5:$G$57,0)))+IF(RIGHT(TRIM(Paramètres!K31),3)="Fin",1-$H1813,IF(LEFT(TRIM(Paramètres!K31),1)="F",1,0)))),IF(Paramètres!L31="",0,IF(Paramètres!M31="",NA(),IF(LEFT(TRIM(Paramètres!M31),1)="F",INDEX($F$1787:$F$1839,MATCH(Paramètres!L31,Paramètres!$G$5:$G$57,0)),INDEX($E$1787:$E$1839,MATCH(Paramètres!L31,Paramètres!$G$5:$G$57,0)))+IF(RIGHT(TRIM(Paramètres!M31),3)="Fin",1-$H1813,IF(LEFT(TRIM(Paramètres!M31),1)="F",1,0)))),IF(Paramètres!N31="",0,IF(Paramètres!O31="",NA(),IF(LEFT(TRIM(Paramètres!O31),1)="F",INDEX($F$1787:$F$1839,MATCH(Paramètres!N31,Paramètres!$G$5:$G$57,0)),INDEX($E$1787:$E$1839,MATCH(Paramètres!N31,Paramètres!$G$5:$G$57,0)))+IF(RIGHT(TRIM(Paramètres!O31),3)="Fin",1-$H1813,IF(LEFT(TRIM(Paramètres!O31),1)="F",1,0)))))))</f>
        <v/>
      </c>
      <c r="F1813" s="19">
        <f>IF($A1813="","",E1813+$H1813-1)</f>
        <v/>
      </c>
      <c r="G1813" s="18" t="n"/>
      <c r="H1813" s="18">
        <f>IF($A1813="","",IF(I1813&lt;&gt;"",I1813,Paramètres!B31))</f>
        <v/>
      </c>
      <c r="I1813" s="18" t="n"/>
    </row>
    <row r="1814">
      <c r="A1814" s="18">
        <f>IF(ISNUMBER(Dossiers!$D$37),Dossiers!$A$37&amp;" · "&amp;Dossiers!$B$37,"")</f>
        <v/>
      </c>
      <c r="B1814" s="18">
        <f>IF($A1814="","",Paramètres!G32)</f>
        <v/>
      </c>
      <c r="C1814" s="18">
        <f>IF($A1814="","",IF(Paramètres!H32="","",Paramètres!H32))</f>
        <v/>
      </c>
      <c r="D1814" s="18">
        <f>IF($A1814="","",IF(Paramètres!I32="","",Paramètres!I32))</f>
        <v/>
      </c>
      <c r="E1814" s="19">
        <f>IF($A1814="","",MIN(E1815:E1818))</f>
        <v/>
      </c>
      <c r="F1814" s="19">
        <f>IF($A1814="","",MAX(F1815:F1818))</f>
        <v/>
      </c>
      <c r="G1814" s="18" t="n"/>
      <c r="H1814" s="18">
        <f>IF($A1814="","",F1814-E1814+1)</f>
        <v/>
      </c>
      <c r="I1814" s="18" t="n"/>
    </row>
    <row r="1815">
      <c r="A1815" s="18">
        <f>IF(ISNUMBER(Dossiers!$D$37),Dossiers!$A$37&amp;" · "&amp;Dossiers!$B$37,"")</f>
        <v/>
      </c>
      <c r="B1815" s="18">
        <f>IF($A1815="","",Paramètres!G33)</f>
        <v/>
      </c>
      <c r="C1815" s="18">
        <f>IF($A1815="","",IF(Paramètres!H33="","",Paramètres!H33))</f>
        <v/>
      </c>
      <c r="D1815" s="18">
        <f>IF($A1815="","",IF(Paramètres!I33="","",Paramètres!I33))</f>
        <v/>
      </c>
      <c r="E1815" s="19">
        <f>IF($A1815="","",IF(Paramètres!J33&amp;Paramètres!L33&amp;Paramètres!N33="",Dossiers!$D$37,MAX(IF(Paramètres!J33="",0,IF(Paramètres!K33="",NA(),IF(LEFT(TRIM(Paramètres!K33),1)="F",INDEX($F$1787:$F$1839,MATCH(Paramètres!J33,Paramètres!$G$5:$G$57,0)),INDEX($E$1787:$E$1839,MATCH(Paramètres!J33,Paramètres!$G$5:$G$57,0)))+IF(RIGHT(TRIM(Paramètres!K33),3)="Fin",1-$H1815,IF(LEFT(TRIM(Paramètres!K33),1)="F",1,0)))),IF(Paramètres!L33="",0,IF(Paramètres!M33="",NA(),IF(LEFT(TRIM(Paramètres!M33),1)="F",INDEX($F$1787:$F$1839,MATCH(Paramètres!L33,Paramètres!$G$5:$G$57,0)),INDEX($E$1787:$E$1839,MATCH(Paramètres!L33,Paramètres!$G$5:$G$57,0)))+IF(RIGHT(TRIM(Paramètres!M33),3)="Fin",1-$H1815,IF(LEFT(TRIM(Paramètres!M33),1)="F",1,0)))),IF(Paramètres!N33="",0,IF(Paramètres!O33="",NA(),IF(LEFT(TRIM(Paramètres!O33),1)="F",INDEX($F$1787:$F$1839,MATCH(Paramètres!N33,Paramètres!$G$5:$G$57,0)),INDEX($E$1787:$E$1839,MATCH(Paramètres!N33,Paramètres!$G$5:$G$57,0)))+IF(RIGHT(TRIM(Paramètres!O33),3)="Fin",1-$H1815,IF(LEFT(TRIM(Paramètres!O33),1)="F",1,0)))))))</f>
        <v/>
      </c>
      <c r="F1815" s="19">
        <f>IF($A1815="","",E1815+$H1815-1)</f>
        <v/>
      </c>
      <c r="G1815" s="18" t="n"/>
      <c r="H1815" s="18">
        <f>IF($A1815="","",IF(I1815&lt;&gt;"",I1815,Paramètres!B33))</f>
        <v/>
      </c>
      <c r="I1815" s="18" t="n"/>
    </row>
    <row r="1816">
      <c r="A1816" s="18">
        <f>IF(ISNUMBER(Dossiers!$D$37),Dossiers!$A$37&amp;" · "&amp;Dossiers!$B$37,"")</f>
        <v/>
      </c>
      <c r="B1816" s="18">
        <f>IF($A1816="","",Paramètres!G34)</f>
        <v/>
      </c>
      <c r="C1816" s="18">
        <f>IF($A1816="","",IF(Paramètres!H34="","",Paramètres!H34))</f>
        <v/>
      </c>
      <c r="D1816" s="18">
        <f>IF($A1816="","",IF(Paramètres!I34="","",Paramètres!I34))</f>
        <v/>
      </c>
      <c r="E1816" s="19">
        <f>IF($A1816="","",IF(Paramètres!J34&amp;Paramètres!L34&amp;Paramètres!N34="",Dossiers!$D$37,MAX(IF(Paramètres!J34="",0,IF(Paramètres!K34="",NA(),IF(LEFT(TRIM(Paramètres!K34),1)="F",INDEX($F$1787:$F$1839,MATCH(Paramètres!J34,Paramètres!$G$5:$G$57,0)),INDEX($E$1787:$E$1839,MATCH(Paramètres!J34,Paramètres!$G$5:$G$57,0)))+IF(RIGHT(TRIM(Paramètres!K34),3)="Fin",1-$H1816,IF(LEFT(TRIM(Paramètres!K34),1)="F",1,0)))),IF(Paramètres!L34="",0,IF(Paramètres!M34="",NA(),IF(LEFT(TRIM(Paramètres!M34),1)="F",INDEX($F$1787:$F$1839,MATCH(Paramètres!L34,Paramètres!$G$5:$G$57,0)),INDEX($E$1787:$E$1839,MATCH(Paramètres!L34,Paramètres!$G$5:$G$57,0)))+IF(RIGHT(TRIM(Paramètres!M34),3)="Fin",1-$H1816,IF(LEFT(TRIM(Paramètres!M34),1)="F",1,0)))),IF(Paramètres!N34="",0,IF(Paramètres!O34="",NA(),IF(LEFT(TRIM(Paramètres!O34),1)="F",INDEX($F$1787:$F$1839,MATCH(Paramètres!N34,Paramètres!$G$5:$G$57,0)),INDEX($E$1787:$E$1839,MATCH(Paramètres!N34,Paramètres!$G$5:$G$57,0)))+IF(RIGHT(TRIM(Paramètres!O34),3)="Fin",1-$H1816,IF(LEFT(TRIM(Paramètres!O34),1)="F",1,0)))))))</f>
        <v/>
      </c>
      <c r="F1816" s="19">
        <f>IF($A1816="","",E1816+$H1816-1)</f>
        <v/>
      </c>
      <c r="G1816" s="18" t="n"/>
      <c r="H1816" s="18">
        <f>IF($A1816="","",IF(I1816&lt;&gt;"",I1816,Paramètres!B34))</f>
        <v/>
      </c>
      <c r="I1816" s="18" t="n"/>
    </row>
    <row r="1817">
      <c r="A1817" s="18">
        <f>IF(ISNUMBER(Dossiers!$D$37),Dossiers!$A$37&amp;" · "&amp;Dossiers!$B$37,"")</f>
        <v/>
      </c>
      <c r="B1817" s="18">
        <f>IF($A1817="","",Paramètres!G35)</f>
        <v/>
      </c>
      <c r="C1817" s="18">
        <f>IF($A1817="","",IF(Paramètres!H35="","",Paramètres!H35))</f>
        <v/>
      </c>
      <c r="D1817" s="18">
        <f>IF($A1817="","",IF(Paramètres!I35="","",Paramètres!I35))</f>
        <v/>
      </c>
      <c r="E1817" s="19">
        <f>IF($A1817="","",IF(Paramètres!J35&amp;Paramètres!L35&amp;Paramètres!N35="",Dossiers!$D$37,MAX(IF(Paramètres!J35="",0,IF(Paramètres!K35="",NA(),IF(LEFT(TRIM(Paramètres!K35),1)="F",INDEX($F$1787:$F$1839,MATCH(Paramètres!J35,Paramètres!$G$5:$G$57,0)),INDEX($E$1787:$E$1839,MATCH(Paramètres!J35,Paramètres!$G$5:$G$57,0)))+IF(RIGHT(TRIM(Paramètres!K35),3)="Fin",1-$H1817,IF(LEFT(TRIM(Paramètres!K35),1)="F",1,0)))),IF(Paramètres!L35="",0,IF(Paramètres!M35="",NA(),IF(LEFT(TRIM(Paramètres!M35),1)="F",INDEX($F$1787:$F$1839,MATCH(Paramètres!L35,Paramètres!$G$5:$G$57,0)),INDEX($E$1787:$E$1839,MATCH(Paramètres!L35,Paramètres!$G$5:$G$57,0)))+IF(RIGHT(TRIM(Paramètres!M35),3)="Fin",1-$H1817,IF(LEFT(TRIM(Paramètres!M35),1)="F",1,0)))),IF(Paramètres!N35="",0,IF(Paramètres!O35="",NA(),IF(LEFT(TRIM(Paramètres!O35),1)="F",INDEX($F$1787:$F$1839,MATCH(Paramètres!N35,Paramètres!$G$5:$G$57,0)),INDEX($E$1787:$E$1839,MATCH(Paramètres!N35,Paramètres!$G$5:$G$57,0)))+IF(RIGHT(TRIM(Paramètres!O35),3)="Fin",1-$H1817,IF(LEFT(TRIM(Paramètres!O35),1)="F",1,0)))))))</f>
        <v/>
      </c>
      <c r="F1817" s="19">
        <f>IF($A1817="","",E1817+$H1817-1)</f>
        <v/>
      </c>
      <c r="G1817" s="18" t="n"/>
      <c r="H1817" s="18">
        <f>IF($A1817="","",IF(I1817&lt;&gt;"",I1817,Paramètres!B35))</f>
        <v/>
      </c>
      <c r="I1817" s="18" t="n"/>
    </row>
    <row r="1818">
      <c r="A1818" s="18">
        <f>IF(ISNUMBER(Dossiers!$D$37),Dossiers!$A$37&amp;" · "&amp;Dossiers!$B$37,"")</f>
        <v/>
      </c>
      <c r="B1818" s="18">
        <f>IF($A1818="","",Paramètres!G36)</f>
        <v/>
      </c>
      <c r="C1818" s="18">
        <f>IF($A1818="","",IF(Paramètres!H36="","",Paramètres!H36))</f>
        <v/>
      </c>
      <c r="D1818" s="18">
        <f>IF($A1818="","",IF(Paramètres!I36="","",Paramètres!I36))</f>
        <v/>
      </c>
      <c r="E1818" s="19">
        <f>IF($A1818="","",IF(Paramètres!J36&amp;Paramètres!L36&amp;Paramètres!N36="",Dossiers!$D$37,MAX(IF(Paramètres!J36="",0,IF(Paramètres!K36="",NA(),IF(LEFT(TRIM(Paramètres!K36),1)="F",INDEX($F$1787:$F$1839,MATCH(Paramètres!J36,Paramètres!$G$5:$G$57,0)),INDEX($E$1787:$E$1839,MATCH(Paramètres!J36,Paramètres!$G$5:$G$57,0)))+IF(RIGHT(TRIM(Paramètres!K36),3)="Fin",1-$H1818,IF(LEFT(TRIM(Paramètres!K36),1)="F",1,0)))),IF(Paramètres!L36="",0,IF(Paramètres!M36="",NA(),IF(LEFT(TRIM(Paramètres!M36),1)="F",INDEX($F$1787:$F$1839,MATCH(Paramètres!L36,Paramètres!$G$5:$G$57,0)),INDEX($E$1787:$E$1839,MATCH(Paramètres!L36,Paramètres!$G$5:$G$57,0)))+IF(RIGHT(TRIM(Paramètres!M36),3)="Fin",1-$H1818,IF(LEFT(TRIM(Paramètres!M36),1)="F",1,0)))),IF(Paramètres!N36="",0,IF(Paramètres!O36="",NA(),IF(LEFT(TRIM(Paramètres!O36),1)="F",INDEX($F$1787:$F$1839,MATCH(Paramètres!N36,Paramètres!$G$5:$G$57,0)),INDEX($E$1787:$E$1839,MATCH(Paramètres!N36,Paramètres!$G$5:$G$57,0)))+IF(RIGHT(TRIM(Paramètres!O36),3)="Fin",1-$H1818,IF(LEFT(TRIM(Paramètres!O36),1)="F",1,0)))))))</f>
        <v/>
      </c>
      <c r="F1818" s="19">
        <f>IF($A1818="","",E1818+$H1818-1)</f>
        <v/>
      </c>
      <c r="G1818" s="18" t="n"/>
      <c r="H1818" s="18">
        <f>IF($A1818="","",IF(I1818&lt;&gt;"",I1818,Paramètres!B36))</f>
        <v/>
      </c>
      <c r="I1818" s="18" t="n"/>
    </row>
    <row r="1819">
      <c r="A1819" s="18">
        <f>IF(ISNUMBER(Dossiers!$D$37),Dossiers!$A$37&amp;" · "&amp;Dossiers!$B$37,"")</f>
        <v/>
      </c>
      <c r="B1819" s="18">
        <f>IF($A1819="","",Paramètres!G37)</f>
        <v/>
      </c>
      <c r="C1819" s="18">
        <f>IF($A1819="","",IF(Paramètres!H37="","",Paramètres!H37))</f>
        <v/>
      </c>
      <c r="D1819" s="18">
        <f>IF($A1819="","",IF(Paramètres!I37="","",Paramètres!I37))</f>
        <v/>
      </c>
      <c r="E1819" s="19">
        <f>IF($A1819="","",MIN(E1820:E1837))</f>
        <v/>
      </c>
      <c r="F1819" s="19">
        <f>IF($A1819="","",MAX(F1820:F1837))</f>
        <v/>
      </c>
      <c r="G1819" s="18" t="n"/>
      <c r="H1819" s="18">
        <f>IF($A1819="","",F1819-E1819+1)</f>
        <v/>
      </c>
      <c r="I1819" s="18" t="n"/>
    </row>
    <row r="1820">
      <c r="A1820" s="18">
        <f>IF(ISNUMBER(Dossiers!$D$37),Dossiers!$A$37&amp;" · "&amp;Dossiers!$B$37,"")</f>
        <v/>
      </c>
      <c r="B1820" s="18">
        <f>IF($A1820="","",Paramètres!G38)</f>
        <v/>
      </c>
      <c r="C1820" s="18">
        <f>IF($A1820="","",IF(Paramètres!H38="","",Paramètres!H38))</f>
        <v/>
      </c>
      <c r="D1820" s="18">
        <f>IF($A1820="","",IF(Paramètres!I38="","",Paramètres!I38))</f>
        <v/>
      </c>
      <c r="E1820" s="19">
        <f>IF($A1820="","",IF(Paramètres!J38&amp;Paramètres!L38&amp;Paramètres!N38="",Dossiers!$D$37,MAX(IF(Paramètres!J38="",0,IF(Paramètres!K38="",NA(),IF(LEFT(TRIM(Paramètres!K38),1)="F",INDEX($F$1787:$F$1839,MATCH(Paramètres!J38,Paramètres!$G$5:$G$57,0)),INDEX($E$1787:$E$1839,MATCH(Paramètres!J38,Paramètres!$G$5:$G$57,0)))+IF(RIGHT(TRIM(Paramètres!K38),3)="Fin",1-$H1820,IF(LEFT(TRIM(Paramètres!K38),1)="F",1,0)))),IF(Paramètres!L38="",0,IF(Paramètres!M38="",NA(),IF(LEFT(TRIM(Paramètres!M38),1)="F",INDEX($F$1787:$F$1839,MATCH(Paramètres!L38,Paramètres!$G$5:$G$57,0)),INDEX($E$1787:$E$1839,MATCH(Paramètres!L38,Paramètres!$G$5:$G$57,0)))+IF(RIGHT(TRIM(Paramètres!M38),3)="Fin",1-$H1820,IF(LEFT(TRIM(Paramètres!M38),1)="F",1,0)))),IF(Paramètres!N38="",0,IF(Paramètres!O38="",NA(),IF(LEFT(TRIM(Paramètres!O38),1)="F",INDEX($F$1787:$F$1839,MATCH(Paramètres!N38,Paramètres!$G$5:$G$57,0)),INDEX($E$1787:$E$1839,MATCH(Paramètres!N38,Paramètres!$G$5:$G$57,0)))+IF(RIGHT(TRIM(Paramètres!O38),3)="Fin",1-$H1820,IF(LEFT(TRIM(Paramètres!O38),1)="F",1,0)))))))</f>
        <v/>
      </c>
      <c r="F1820" s="19">
        <f>IF($A1820="","",E1820+$H1820-1)</f>
        <v/>
      </c>
      <c r="G1820" s="18" t="n"/>
      <c r="H1820" s="18">
        <f>IF($A1820="","",IF(I1820&lt;&gt;"",I1820,Paramètres!B38))</f>
        <v/>
      </c>
      <c r="I1820" s="18" t="n"/>
    </row>
    <row r="1821">
      <c r="A1821" s="18">
        <f>IF(ISNUMBER(Dossiers!$D$37),Dossiers!$A$37&amp;" · "&amp;Dossiers!$B$37,"")</f>
        <v/>
      </c>
      <c r="B1821" s="18">
        <f>IF($A1821="","",Paramètres!G39)</f>
        <v/>
      </c>
      <c r="C1821" s="18">
        <f>IF($A1821="","",IF(Paramètres!H39="","",Paramètres!H39))</f>
        <v/>
      </c>
      <c r="D1821" s="18">
        <f>IF($A1821="","",IF(Paramètres!I39="","",Paramètres!I39))</f>
        <v/>
      </c>
      <c r="E1821" s="19">
        <f>IF($A1821="","",IF(Paramètres!J39&amp;Paramètres!L39&amp;Paramètres!N39="",Dossiers!$D$37,MAX(IF(Paramètres!J39="",0,IF(Paramètres!K39="",NA(),IF(LEFT(TRIM(Paramètres!K39),1)="F",INDEX($F$1787:$F$1839,MATCH(Paramètres!J39,Paramètres!$G$5:$G$57,0)),INDEX($E$1787:$E$1839,MATCH(Paramètres!J39,Paramètres!$G$5:$G$57,0)))+IF(RIGHT(TRIM(Paramètres!K39),3)="Fin",1-$H1821,IF(LEFT(TRIM(Paramètres!K39),1)="F",1,0)))),IF(Paramètres!L39="",0,IF(Paramètres!M39="",NA(),IF(LEFT(TRIM(Paramètres!M39),1)="F",INDEX($F$1787:$F$1839,MATCH(Paramètres!L39,Paramètres!$G$5:$G$57,0)),INDEX($E$1787:$E$1839,MATCH(Paramètres!L39,Paramètres!$G$5:$G$57,0)))+IF(RIGHT(TRIM(Paramètres!M39),3)="Fin",1-$H1821,IF(LEFT(TRIM(Paramètres!M39),1)="F",1,0)))),IF(Paramètres!N39="",0,IF(Paramètres!O39="",NA(),IF(LEFT(TRIM(Paramètres!O39),1)="F",INDEX($F$1787:$F$1839,MATCH(Paramètres!N39,Paramètres!$G$5:$G$57,0)),INDEX($E$1787:$E$1839,MATCH(Paramètres!N39,Paramètres!$G$5:$G$57,0)))+IF(RIGHT(TRIM(Paramètres!O39),3)="Fin",1-$H1821,IF(LEFT(TRIM(Paramètres!O39),1)="F",1,0)))))))</f>
        <v/>
      </c>
      <c r="F1821" s="19">
        <f>IF($A1821="","",E1821+$H1821-1)</f>
        <v/>
      </c>
      <c r="G1821" s="18" t="n"/>
      <c r="H1821" s="18">
        <f>IF($A1821="","",IF(I1821&lt;&gt;"",I1821,Paramètres!B39))</f>
        <v/>
      </c>
      <c r="I1821" s="18" t="n"/>
    </row>
    <row r="1822">
      <c r="A1822" s="18">
        <f>IF(ISNUMBER(Dossiers!$D$37),Dossiers!$A$37&amp;" · "&amp;Dossiers!$B$37,"")</f>
        <v/>
      </c>
      <c r="B1822" s="18">
        <f>IF($A1822="","",Paramètres!G40)</f>
        <v/>
      </c>
      <c r="C1822" s="18">
        <f>IF($A1822="","",IF(Paramètres!H40="","",Paramètres!H40))</f>
        <v/>
      </c>
      <c r="D1822" s="18">
        <f>IF($A1822="","",IF(Paramètres!I40="","",Paramètres!I40))</f>
        <v/>
      </c>
      <c r="E1822" s="19">
        <f>IF($A1822="","",IF(Paramètres!J40&amp;Paramètres!L40&amp;Paramètres!N40="",Dossiers!$D$37,MAX(IF(Paramètres!J40="",0,IF(Paramètres!K40="",NA(),IF(LEFT(TRIM(Paramètres!K40),1)="F",INDEX($F$1787:$F$1839,MATCH(Paramètres!J40,Paramètres!$G$5:$G$57,0)),INDEX($E$1787:$E$1839,MATCH(Paramètres!J40,Paramètres!$G$5:$G$57,0)))+IF(RIGHT(TRIM(Paramètres!K40),3)="Fin",1-$H1822,IF(LEFT(TRIM(Paramètres!K40),1)="F",1,0)))),IF(Paramètres!L40="",0,IF(Paramètres!M40="",NA(),IF(LEFT(TRIM(Paramètres!M40),1)="F",INDEX($F$1787:$F$1839,MATCH(Paramètres!L40,Paramètres!$G$5:$G$57,0)),INDEX($E$1787:$E$1839,MATCH(Paramètres!L40,Paramètres!$G$5:$G$57,0)))+IF(RIGHT(TRIM(Paramètres!M40),3)="Fin",1-$H1822,IF(LEFT(TRIM(Paramètres!M40),1)="F",1,0)))),IF(Paramètres!N40="",0,IF(Paramètres!O40="",NA(),IF(LEFT(TRIM(Paramètres!O40),1)="F",INDEX($F$1787:$F$1839,MATCH(Paramètres!N40,Paramètres!$G$5:$G$57,0)),INDEX($E$1787:$E$1839,MATCH(Paramètres!N40,Paramètres!$G$5:$G$57,0)))+IF(RIGHT(TRIM(Paramètres!O40),3)="Fin",1-$H1822,IF(LEFT(TRIM(Paramètres!O40),1)="F",1,0)))))))</f>
        <v/>
      </c>
      <c r="F1822" s="19">
        <f>IF($A1822="","",E1822+$H1822-1)</f>
        <v/>
      </c>
      <c r="G1822" s="18" t="n"/>
      <c r="H1822" s="18">
        <f>IF($A1822="","",IF(I1822&lt;&gt;"",I1822,Paramètres!B40))</f>
        <v/>
      </c>
      <c r="I1822" s="18" t="n"/>
    </row>
    <row r="1823">
      <c r="A1823" s="18">
        <f>IF(ISNUMBER(Dossiers!$D$37),Dossiers!$A$37&amp;" · "&amp;Dossiers!$B$37,"")</f>
        <v/>
      </c>
      <c r="B1823" s="18">
        <f>IF($A1823="","",Paramètres!G41)</f>
        <v/>
      </c>
      <c r="C1823" s="18">
        <f>IF($A1823="","",IF(Paramètres!H41="","",Paramètres!H41))</f>
        <v/>
      </c>
      <c r="D1823" s="18">
        <f>IF($A1823="","",IF(Paramètres!I41="","",Paramètres!I41))</f>
        <v/>
      </c>
      <c r="E1823" s="19">
        <f>IF($A1823="","",IF(Paramètres!J41&amp;Paramètres!L41&amp;Paramètres!N41="",Dossiers!$D$37,MAX(IF(Paramètres!J41="",0,IF(Paramètres!K41="",NA(),IF(LEFT(TRIM(Paramètres!K41),1)="F",INDEX($F$1787:$F$1839,MATCH(Paramètres!J41,Paramètres!$G$5:$G$57,0)),INDEX($E$1787:$E$1839,MATCH(Paramètres!J41,Paramètres!$G$5:$G$57,0)))+IF(RIGHT(TRIM(Paramètres!K41),3)="Fin",1-$H1823,IF(LEFT(TRIM(Paramètres!K41),1)="F",1,0)))),IF(Paramètres!L41="",0,IF(Paramètres!M41="",NA(),IF(LEFT(TRIM(Paramètres!M41),1)="F",INDEX($F$1787:$F$1839,MATCH(Paramètres!L41,Paramètres!$G$5:$G$57,0)),INDEX($E$1787:$E$1839,MATCH(Paramètres!L41,Paramètres!$G$5:$G$57,0)))+IF(RIGHT(TRIM(Paramètres!M41),3)="Fin",1-$H1823,IF(LEFT(TRIM(Paramètres!M41),1)="F",1,0)))),IF(Paramètres!N41="",0,IF(Paramètres!O41="",NA(),IF(LEFT(TRIM(Paramètres!O41),1)="F",INDEX($F$1787:$F$1839,MATCH(Paramètres!N41,Paramètres!$G$5:$G$57,0)),INDEX($E$1787:$E$1839,MATCH(Paramètres!N41,Paramètres!$G$5:$G$57,0)))+IF(RIGHT(TRIM(Paramètres!O41),3)="Fin",1-$H1823,IF(LEFT(TRIM(Paramètres!O41),1)="F",1,0)))))))</f>
        <v/>
      </c>
      <c r="F1823" s="19">
        <f>IF($A1823="","",E1823+$H1823-1)</f>
        <v/>
      </c>
      <c r="G1823" s="18" t="n"/>
      <c r="H1823" s="18">
        <f>IF($A1823="","",IF(I1823&lt;&gt;"",I1823,Paramètres!B41))</f>
        <v/>
      </c>
      <c r="I1823" s="18" t="n"/>
    </row>
    <row r="1824">
      <c r="A1824" s="18">
        <f>IF(ISNUMBER(Dossiers!$D$37),Dossiers!$A$37&amp;" · "&amp;Dossiers!$B$37,"")</f>
        <v/>
      </c>
      <c r="B1824" s="18">
        <f>IF($A1824="","",Paramètres!G42)</f>
        <v/>
      </c>
      <c r="C1824" s="18">
        <f>IF($A1824="","",IF(Paramètres!H42="","",Paramètres!H42))</f>
        <v/>
      </c>
      <c r="D1824" s="18">
        <f>IF($A1824="","",IF(Paramètres!I42="","",Paramètres!I42))</f>
        <v/>
      </c>
      <c r="E1824" s="19">
        <f>IF($A1824="","",IF(Paramètres!J42&amp;Paramètres!L42&amp;Paramètres!N42="",Dossiers!$D$37,MAX(IF(Paramètres!J42="",0,IF(Paramètres!K42="",NA(),IF(LEFT(TRIM(Paramètres!K42),1)="F",INDEX($F$1787:$F$1839,MATCH(Paramètres!J42,Paramètres!$G$5:$G$57,0)),INDEX($E$1787:$E$1839,MATCH(Paramètres!J42,Paramètres!$G$5:$G$57,0)))+IF(RIGHT(TRIM(Paramètres!K42),3)="Fin",1-$H1824,IF(LEFT(TRIM(Paramètres!K42),1)="F",1,0)))),IF(Paramètres!L42="",0,IF(Paramètres!M42="",NA(),IF(LEFT(TRIM(Paramètres!M42),1)="F",INDEX($F$1787:$F$1839,MATCH(Paramètres!L42,Paramètres!$G$5:$G$57,0)),INDEX($E$1787:$E$1839,MATCH(Paramètres!L42,Paramètres!$G$5:$G$57,0)))+IF(RIGHT(TRIM(Paramètres!M42),3)="Fin",1-$H1824,IF(LEFT(TRIM(Paramètres!M42),1)="F",1,0)))),IF(Paramètres!N42="",0,IF(Paramètres!O42="",NA(),IF(LEFT(TRIM(Paramètres!O42),1)="F",INDEX($F$1787:$F$1839,MATCH(Paramètres!N42,Paramètres!$G$5:$G$57,0)),INDEX($E$1787:$E$1839,MATCH(Paramètres!N42,Paramètres!$G$5:$G$57,0)))+IF(RIGHT(TRIM(Paramètres!O42),3)="Fin",1-$H1824,IF(LEFT(TRIM(Paramètres!O42),1)="F",1,0)))))))</f>
        <v/>
      </c>
      <c r="F1824" s="19">
        <f>IF($A1824="","",E1824+$H1824-1)</f>
        <v/>
      </c>
      <c r="G1824" s="18" t="n"/>
      <c r="H1824" s="18">
        <f>IF($A1824="","",IF(I1824&lt;&gt;"",I1824,Paramètres!B42))</f>
        <v/>
      </c>
      <c r="I1824" s="18" t="n"/>
    </row>
    <row r="1825">
      <c r="A1825" s="18">
        <f>IF(ISNUMBER(Dossiers!$D$37),Dossiers!$A$37&amp;" · "&amp;Dossiers!$B$37,"")</f>
        <v/>
      </c>
      <c r="B1825" s="18">
        <f>IF($A1825="","",Paramètres!G43)</f>
        <v/>
      </c>
      <c r="C1825" s="18">
        <f>IF($A1825="","",IF(Paramètres!H43="","",Paramètres!H43))</f>
        <v/>
      </c>
      <c r="D1825" s="18">
        <f>IF($A1825="","",IF(Paramètres!I43="","",Paramètres!I43))</f>
        <v/>
      </c>
      <c r="E1825" s="19">
        <f>IF($A1825="","",IF(Paramètres!J43&amp;Paramètres!L43&amp;Paramètres!N43="",Dossiers!$D$37,MAX(IF(Paramètres!J43="",0,IF(Paramètres!K43="",NA(),IF(LEFT(TRIM(Paramètres!K43),1)="F",INDEX($F$1787:$F$1839,MATCH(Paramètres!J43,Paramètres!$G$5:$G$57,0)),INDEX($E$1787:$E$1839,MATCH(Paramètres!J43,Paramètres!$G$5:$G$57,0)))+IF(RIGHT(TRIM(Paramètres!K43),3)="Fin",1-$H1825,IF(LEFT(TRIM(Paramètres!K43),1)="F",1,0)))),IF(Paramètres!L43="",0,IF(Paramètres!M43="",NA(),IF(LEFT(TRIM(Paramètres!M43),1)="F",INDEX($F$1787:$F$1839,MATCH(Paramètres!L43,Paramètres!$G$5:$G$57,0)),INDEX($E$1787:$E$1839,MATCH(Paramètres!L43,Paramètres!$G$5:$G$57,0)))+IF(RIGHT(TRIM(Paramètres!M43),3)="Fin",1-$H1825,IF(LEFT(TRIM(Paramètres!M43),1)="F",1,0)))),IF(Paramètres!N43="",0,IF(Paramètres!O43="",NA(),IF(LEFT(TRIM(Paramètres!O43),1)="F",INDEX($F$1787:$F$1839,MATCH(Paramètres!N43,Paramètres!$G$5:$G$57,0)),INDEX($E$1787:$E$1839,MATCH(Paramètres!N43,Paramètres!$G$5:$G$57,0)))+IF(RIGHT(TRIM(Paramètres!O43),3)="Fin",1-$H1825,IF(LEFT(TRIM(Paramètres!O43),1)="F",1,0)))))))</f>
        <v/>
      </c>
      <c r="F1825" s="19">
        <f>IF($A1825="","",E1825+$H1825-1)</f>
        <v/>
      </c>
      <c r="G1825" s="18" t="n"/>
      <c r="H1825" s="18">
        <f>IF($A1825="","",IF(I1825&lt;&gt;"",I1825,Paramètres!B43))</f>
        <v/>
      </c>
      <c r="I1825" s="18" t="n"/>
    </row>
    <row r="1826">
      <c r="A1826" s="18">
        <f>IF(ISNUMBER(Dossiers!$D$37),Dossiers!$A$37&amp;" · "&amp;Dossiers!$B$37,"")</f>
        <v/>
      </c>
      <c r="B1826" s="18">
        <f>IF($A1826="","",Paramètres!G44)</f>
        <v/>
      </c>
      <c r="C1826" s="18">
        <f>IF($A1826="","",IF(Paramètres!H44="","",Paramètres!H44))</f>
        <v/>
      </c>
      <c r="D1826" s="18">
        <f>IF($A1826="","",IF(Paramètres!I44="","",Paramètres!I44))</f>
        <v/>
      </c>
      <c r="E1826" s="19">
        <f>IF($A1826="","",IF(Paramètres!J44&amp;Paramètres!L44&amp;Paramètres!N44="",Dossiers!$D$37,MAX(IF(Paramètres!J44="",0,IF(Paramètres!K44="",NA(),IF(LEFT(TRIM(Paramètres!K44),1)="F",INDEX($F$1787:$F$1839,MATCH(Paramètres!J44,Paramètres!$G$5:$G$57,0)),INDEX($E$1787:$E$1839,MATCH(Paramètres!J44,Paramètres!$G$5:$G$57,0)))+IF(RIGHT(TRIM(Paramètres!K44),3)="Fin",1-$H1826,IF(LEFT(TRIM(Paramètres!K44),1)="F",1,0)))),IF(Paramètres!L44="",0,IF(Paramètres!M44="",NA(),IF(LEFT(TRIM(Paramètres!M44),1)="F",INDEX($F$1787:$F$1839,MATCH(Paramètres!L44,Paramètres!$G$5:$G$57,0)),INDEX($E$1787:$E$1839,MATCH(Paramètres!L44,Paramètres!$G$5:$G$57,0)))+IF(RIGHT(TRIM(Paramètres!M44),3)="Fin",1-$H1826,IF(LEFT(TRIM(Paramètres!M44),1)="F",1,0)))),IF(Paramètres!N44="",0,IF(Paramètres!O44="",NA(),IF(LEFT(TRIM(Paramètres!O44),1)="F",INDEX($F$1787:$F$1839,MATCH(Paramètres!N44,Paramètres!$G$5:$G$57,0)),INDEX($E$1787:$E$1839,MATCH(Paramètres!N44,Paramètres!$G$5:$G$57,0)))+IF(RIGHT(TRIM(Paramètres!O44),3)="Fin",1-$H1826,IF(LEFT(TRIM(Paramètres!O44),1)="F",1,0)))))))</f>
        <v/>
      </c>
      <c r="F1826" s="19">
        <f>IF($A1826="","",E1826+$H1826-1)</f>
        <v/>
      </c>
      <c r="G1826" s="18" t="n"/>
      <c r="H1826" s="18">
        <f>IF($A1826="","",IF(I1826&lt;&gt;"",I1826,Paramètres!B44))</f>
        <v/>
      </c>
      <c r="I1826" s="18" t="n"/>
    </row>
    <row r="1827">
      <c r="A1827" s="18">
        <f>IF(ISNUMBER(Dossiers!$D$37),Dossiers!$A$37&amp;" · "&amp;Dossiers!$B$37,"")</f>
        <v/>
      </c>
      <c r="B1827" s="18">
        <f>IF($A1827="","",Paramètres!G45)</f>
        <v/>
      </c>
      <c r="C1827" s="20">
        <f>IF($A1827="","",IF(Dossiers!$G$37="","",Dossiers!$G$37))</f>
        <v/>
      </c>
      <c r="D1827" s="18">
        <f>IF($A1827="","",IF(Paramètres!I45="","",Paramètres!I45))</f>
        <v/>
      </c>
      <c r="E1827" s="19">
        <f>IF($A1827="","",IF(Paramètres!J45&amp;Paramètres!L45&amp;Paramètres!N45="",Dossiers!$D$37,MAX(IF(Paramètres!J45="",0,IF(Paramètres!K45="",NA(),IF(LEFT(TRIM(Paramètres!K45),1)="F",INDEX($F$1787:$F$1839,MATCH(Paramètres!J45,Paramètres!$G$5:$G$57,0)),INDEX($E$1787:$E$1839,MATCH(Paramètres!J45,Paramètres!$G$5:$G$57,0)))+IF(RIGHT(TRIM(Paramètres!K45),3)="Fin",1-$H1827,IF(LEFT(TRIM(Paramètres!K45),1)="F",1,0)))),IF(Paramètres!L45="",0,IF(Paramètres!M45="",NA(),IF(LEFT(TRIM(Paramètres!M45),1)="F",INDEX($F$1787:$F$1839,MATCH(Paramètres!L45,Paramètres!$G$5:$G$57,0)),INDEX($E$1787:$E$1839,MATCH(Paramètres!L45,Paramètres!$G$5:$G$57,0)))+IF(RIGHT(TRIM(Paramètres!M45),3)="Fin",1-$H1827,IF(LEFT(TRIM(Paramètres!M45),1)="F",1,0)))),IF(Paramètres!N45="",0,IF(Paramètres!O45="",NA(),IF(LEFT(TRIM(Paramètres!O45),1)="F",INDEX($F$1787:$F$1839,MATCH(Paramètres!N45,Paramètres!$G$5:$G$57,0)),INDEX($E$1787:$E$1839,MATCH(Paramètres!N45,Paramètres!$G$5:$G$57,0)))+IF(RIGHT(TRIM(Paramètres!O45),3)="Fin",1-$H1827,IF(LEFT(TRIM(Paramètres!O45),1)="F",1,0)))))))</f>
        <v/>
      </c>
      <c r="F1827" s="19">
        <f>IF($A1827="","",E1827+$H1827-1)</f>
        <v/>
      </c>
      <c r="G1827" s="18" t="n"/>
      <c r="H1827" s="18">
        <f>IF($A1827="","",IF(I1827&lt;&gt;"",I1827,Paramètres!B45))</f>
        <v/>
      </c>
      <c r="I1827" s="18" t="n"/>
    </row>
    <row r="1828">
      <c r="A1828" s="18">
        <f>IF(ISNUMBER(Dossiers!$D$37),Dossiers!$A$37&amp;" · "&amp;Dossiers!$B$37,"")</f>
        <v/>
      </c>
      <c r="B1828" s="18">
        <f>IF($A1828="","",Paramètres!G46)</f>
        <v/>
      </c>
      <c r="C1828" s="18">
        <f>IF($A1828="","",IF(Paramètres!H46="","",Paramètres!H46))</f>
        <v/>
      </c>
      <c r="D1828" s="18">
        <f>IF($A1828="","",IF(Paramètres!I46="","",Paramètres!I46))</f>
        <v/>
      </c>
      <c r="E1828" s="19">
        <f>IF($A1828="","",IF(Paramètres!J46&amp;Paramètres!L46&amp;Paramètres!N46="",Dossiers!$D$37,MAX(IF(Paramètres!J46="",0,IF(Paramètres!K46="",NA(),IF(LEFT(TRIM(Paramètres!K46),1)="F",INDEX($F$1787:$F$1839,MATCH(Paramètres!J46,Paramètres!$G$5:$G$57,0)),INDEX($E$1787:$E$1839,MATCH(Paramètres!J46,Paramètres!$G$5:$G$57,0)))+IF(RIGHT(TRIM(Paramètres!K46),3)="Fin",1-$H1828,IF(LEFT(TRIM(Paramètres!K46),1)="F",1,0)))),IF(Paramètres!L46="",0,IF(Paramètres!M46="",NA(),IF(LEFT(TRIM(Paramètres!M46),1)="F",INDEX($F$1787:$F$1839,MATCH(Paramètres!L46,Paramètres!$G$5:$G$57,0)),INDEX($E$1787:$E$1839,MATCH(Paramètres!L46,Paramètres!$G$5:$G$57,0)))+IF(RIGHT(TRIM(Paramètres!M46),3)="Fin",1-$H1828,IF(LEFT(TRIM(Paramètres!M46),1)="F",1,0)))),IF(Paramètres!N46="",0,IF(Paramètres!O46="",NA(),IF(LEFT(TRIM(Paramètres!O46),1)="F",INDEX($F$1787:$F$1839,MATCH(Paramètres!N46,Paramètres!$G$5:$G$57,0)),INDEX($E$1787:$E$1839,MATCH(Paramètres!N46,Paramètres!$G$5:$G$57,0)))+IF(RIGHT(TRIM(Paramètres!O46),3)="Fin",1-$H1828,IF(LEFT(TRIM(Paramètres!O46),1)="F",1,0)))))))</f>
        <v/>
      </c>
      <c r="F1828" s="19">
        <f>IF($A1828="","",E1828+$H1828-1)</f>
        <v/>
      </c>
      <c r="G1828" s="18" t="n"/>
      <c r="H1828" s="18">
        <f>IF($A1828="","",IF(I1828&lt;&gt;"",I1828,Paramètres!B46))</f>
        <v/>
      </c>
      <c r="I1828" s="18" t="n"/>
    </row>
    <row r="1829">
      <c r="A1829" s="18">
        <f>IF(ISNUMBER(Dossiers!$D$37),Dossiers!$A$37&amp;" · "&amp;Dossiers!$B$37,"")</f>
        <v/>
      </c>
      <c r="B1829" s="18">
        <f>IF($A1829="","",Paramètres!G47)</f>
        <v/>
      </c>
      <c r="C1829" s="18">
        <f>IF($A1829="","",IF(Paramètres!H47="","",Paramètres!H47))</f>
        <v/>
      </c>
      <c r="D1829" s="18">
        <f>IF($A1829="","",IF(Paramètres!I47="","",Paramètres!I47))</f>
        <v/>
      </c>
      <c r="E1829" s="19">
        <f>IF($A1829="","",IF(Paramètres!J47&amp;Paramètres!L47&amp;Paramètres!N47="",Dossiers!$D$37,MAX(IF(Paramètres!J47="",0,IF(Paramètres!K47="",NA(),IF(LEFT(TRIM(Paramètres!K47),1)="F",INDEX($F$1787:$F$1839,MATCH(Paramètres!J47,Paramètres!$G$5:$G$57,0)),INDEX($E$1787:$E$1839,MATCH(Paramètres!J47,Paramètres!$G$5:$G$57,0)))+IF(RIGHT(TRIM(Paramètres!K47),3)="Fin",1-$H1829,IF(LEFT(TRIM(Paramètres!K47),1)="F",1,0)))),IF(Paramètres!L47="",0,IF(Paramètres!M47="",NA(),IF(LEFT(TRIM(Paramètres!M47),1)="F",INDEX($F$1787:$F$1839,MATCH(Paramètres!L47,Paramètres!$G$5:$G$57,0)),INDEX($E$1787:$E$1839,MATCH(Paramètres!L47,Paramètres!$G$5:$G$57,0)))+IF(RIGHT(TRIM(Paramètres!M47),3)="Fin",1-$H1829,IF(LEFT(TRIM(Paramètres!M47),1)="F",1,0)))),IF(Paramètres!N47="",0,IF(Paramètres!O47="",NA(),IF(LEFT(TRIM(Paramètres!O47),1)="F",INDEX($F$1787:$F$1839,MATCH(Paramètres!N47,Paramètres!$G$5:$G$57,0)),INDEX($E$1787:$E$1839,MATCH(Paramètres!N47,Paramètres!$G$5:$G$57,0)))+IF(RIGHT(TRIM(Paramètres!O47),3)="Fin",1-$H1829,IF(LEFT(TRIM(Paramètres!O47),1)="F",1,0)))))))</f>
        <v/>
      </c>
      <c r="F1829" s="19">
        <f>IF($A1829="","",E1829+$H1829-1)</f>
        <v/>
      </c>
      <c r="G1829" s="18" t="n"/>
      <c r="H1829" s="18">
        <f>IF($A1829="","",IF(I1829&lt;&gt;"",I1829,Paramètres!B47))</f>
        <v/>
      </c>
      <c r="I1829" s="18" t="n"/>
    </row>
    <row r="1830">
      <c r="A1830" s="18">
        <f>IF(ISNUMBER(Dossiers!$D$37),Dossiers!$A$37&amp;" · "&amp;Dossiers!$B$37,"")</f>
        <v/>
      </c>
      <c r="B1830" s="18">
        <f>IF($A1830="","",Paramètres!G48)</f>
        <v/>
      </c>
      <c r="C1830" s="18">
        <f>IF($A1830="","",IF(Paramètres!H48="","",Paramètres!H48))</f>
        <v/>
      </c>
      <c r="D1830" s="18">
        <f>IF($A1830="","",IF(Paramètres!I48="","",Paramètres!I48))</f>
        <v/>
      </c>
      <c r="E1830" s="19">
        <f>IF($A1830="","",IF(Paramètres!J48&amp;Paramètres!L48&amp;Paramètres!N48="",Dossiers!$D$37,MAX(IF(Paramètres!J48="",0,IF(Paramètres!K48="",NA(),IF(LEFT(TRIM(Paramètres!K48),1)="F",INDEX($F$1787:$F$1839,MATCH(Paramètres!J48,Paramètres!$G$5:$G$57,0)),INDEX($E$1787:$E$1839,MATCH(Paramètres!J48,Paramètres!$G$5:$G$57,0)))+IF(RIGHT(TRIM(Paramètres!K48),3)="Fin",1-$H1830,IF(LEFT(TRIM(Paramètres!K48),1)="F",1,0)))),IF(Paramètres!L48="",0,IF(Paramètres!M48="",NA(),IF(LEFT(TRIM(Paramètres!M48),1)="F",INDEX($F$1787:$F$1839,MATCH(Paramètres!L48,Paramètres!$G$5:$G$57,0)),INDEX($E$1787:$E$1839,MATCH(Paramètres!L48,Paramètres!$G$5:$G$57,0)))+IF(RIGHT(TRIM(Paramètres!M48),3)="Fin",1-$H1830,IF(LEFT(TRIM(Paramètres!M48),1)="F",1,0)))),IF(Paramètres!N48="",0,IF(Paramètres!O48="",NA(),IF(LEFT(TRIM(Paramètres!O48),1)="F",INDEX($F$1787:$F$1839,MATCH(Paramètres!N48,Paramètres!$G$5:$G$57,0)),INDEX($E$1787:$E$1839,MATCH(Paramètres!N48,Paramètres!$G$5:$G$57,0)))+IF(RIGHT(TRIM(Paramètres!O48),3)="Fin",1-$H1830,IF(LEFT(TRIM(Paramètres!O48),1)="F",1,0)))))))</f>
        <v/>
      </c>
      <c r="F1830" s="19">
        <f>IF($A1830="","",E1830+$H1830-1)</f>
        <v/>
      </c>
      <c r="G1830" s="18" t="n"/>
      <c r="H1830" s="18">
        <f>IF($A1830="","",IF(I1830&lt;&gt;"",I1830,Paramètres!B48))</f>
        <v/>
      </c>
      <c r="I1830" s="18" t="n"/>
    </row>
    <row r="1831">
      <c r="A1831" s="18">
        <f>IF(ISNUMBER(Dossiers!$D$37),Dossiers!$A$37&amp;" · "&amp;Dossiers!$B$37,"")</f>
        <v/>
      </c>
      <c r="B1831" s="18">
        <f>IF($A1831="","",Paramètres!G49)</f>
        <v/>
      </c>
      <c r="C1831" s="18">
        <f>IF($A1831="","",IF(Paramètres!H49="","",Paramètres!H49))</f>
        <v/>
      </c>
      <c r="D1831" s="18">
        <f>IF($A1831="","",IF(Paramètres!I49="","",Paramètres!I49))</f>
        <v/>
      </c>
      <c r="E1831" s="19">
        <f>IF($A1831="","",IF(Paramètres!J49&amp;Paramètres!L49&amp;Paramètres!N49="",Dossiers!$D$37,MAX(IF(Paramètres!J49="",0,IF(Paramètres!K49="",NA(),IF(LEFT(TRIM(Paramètres!K49),1)="F",INDEX($F$1787:$F$1839,MATCH(Paramètres!J49,Paramètres!$G$5:$G$57,0)),INDEX($E$1787:$E$1839,MATCH(Paramètres!J49,Paramètres!$G$5:$G$57,0)))+IF(RIGHT(TRIM(Paramètres!K49),3)="Fin",1-$H1831,IF(LEFT(TRIM(Paramètres!K49),1)="F",1,0)))),IF(Paramètres!L49="",0,IF(Paramètres!M49="",NA(),IF(LEFT(TRIM(Paramètres!M49),1)="F",INDEX($F$1787:$F$1839,MATCH(Paramètres!L49,Paramètres!$G$5:$G$57,0)),INDEX($E$1787:$E$1839,MATCH(Paramètres!L49,Paramètres!$G$5:$G$57,0)))+IF(RIGHT(TRIM(Paramètres!M49),3)="Fin",1-$H1831,IF(LEFT(TRIM(Paramètres!M49),1)="F",1,0)))),IF(Paramètres!N49="",0,IF(Paramètres!O49="",NA(),IF(LEFT(TRIM(Paramètres!O49),1)="F",INDEX($F$1787:$F$1839,MATCH(Paramètres!N49,Paramètres!$G$5:$G$57,0)),INDEX($E$1787:$E$1839,MATCH(Paramètres!N49,Paramètres!$G$5:$G$57,0)))+IF(RIGHT(TRIM(Paramètres!O49),3)="Fin",1-$H1831,IF(LEFT(TRIM(Paramètres!O49),1)="F",1,0)))))))</f>
        <v/>
      </c>
      <c r="F1831" s="19">
        <f>IF($A1831="","",E1831+$H1831-1)</f>
        <v/>
      </c>
      <c r="G1831" s="18" t="n"/>
      <c r="H1831" s="18">
        <f>IF($A1831="","",IF(I1831&lt;&gt;"",I1831,Paramètres!B49))</f>
        <v/>
      </c>
      <c r="I1831" s="18" t="n"/>
    </row>
    <row r="1832">
      <c r="A1832" s="18">
        <f>IF(ISNUMBER(Dossiers!$D$37),Dossiers!$A$37&amp;" · "&amp;Dossiers!$B$37,"")</f>
        <v/>
      </c>
      <c r="B1832" s="18">
        <f>IF($A1832="","",Paramètres!G50)</f>
        <v/>
      </c>
      <c r="C1832" s="18">
        <f>IF($A1832="","",IF(Paramètres!H50="","",Paramètres!H50))</f>
        <v/>
      </c>
      <c r="D1832" s="18">
        <f>IF($A1832="","",IF(Paramètres!I50="","",Paramètres!I50))</f>
        <v/>
      </c>
      <c r="E1832" s="19">
        <f>IF($A1832="","",IF(Paramètres!J50&amp;Paramètres!L50&amp;Paramètres!N50="",Dossiers!$D$37,MAX(IF(Paramètres!J50="",0,IF(Paramètres!K50="",NA(),IF(LEFT(TRIM(Paramètres!K50),1)="F",INDEX($F$1787:$F$1839,MATCH(Paramètres!J50,Paramètres!$G$5:$G$57,0)),INDEX($E$1787:$E$1839,MATCH(Paramètres!J50,Paramètres!$G$5:$G$57,0)))+IF(RIGHT(TRIM(Paramètres!K50),3)="Fin",1-$H1832,IF(LEFT(TRIM(Paramètres!K50),1)="F",1,0)))),IF(Paramètres!L50="",0,IF(Paramètres!M50="",NA(),IF(LEFT(TRIM(Paramètres!M50),1)="F",INDEX($F$1787:$F$1839,MATCH(Paramètres!L50,Paramètres!$G$5:$G$57,0)),INDEX($E$1787:$E$1839,MATCH(Paramètres!L50,Paramètres!$G$5:$G$57,0)))+IF(RIGHT(TRIM(Paramètres!M50),3)="Fin",1-$H1832,IF(LEFT(TRIM(Paramètres!M50),1)="F",1,0)))),IF(Paramètres!N50="",0,IF(Paramètres!O50="",NA(),IF(LEFT(TRIM(Paramètres!O50),1)="F",INDEX($F$1787:$F$1839,MATCH(Paramètres!N50,Paramètres!$G$5:$G$57,0)),INDEX($E$1787:$E$1839,MATCH(Paramètres!N50,Paramètres!$G$5:$G$57,0)))+IF(RIGHT(TRIM(Paramètres!O50),3)="Fin",1-$H1832,IF(LEFT(TRIM(Paramètres!O50),1)="F",1,0)))))))</f>
        <v/>
      </c>
      <c r="F1832" s="19">
        <f>IF($A1832="","",E1832+$H1832-1)</f>
        <v/>
      </c>
      <c r="G1832" s="18" t="n"/>
      <c r="H1832" s="18">
        <f>IF($A1832="","",IF(I1832&lt;&gt;"",I1832,Paramètres!B50))</f>
        <v/>
      </c>
      <c r="I1832" s="18" t="n"/>
    </row>
    <row r="1833">
      <c r="A1833" s="18">
        <f>IF(ISNUMBER(Dossiers!$D$37),Dossiers!$A$37&amp;" · "&amp;Dossiers!$B$37,"")</f>
        <v/>
      </c>
      <c r="B1833" s="18">
        <f>IF($A1833="","",Paramètres!G51)</f>
        <v/>
      </c>
      <c r="C1833" s="18">
        <f>IF($A1833="","",IF(Paramètres!H51="","",Paramètres!H51))</f>
        <v/>
      </c>
      <c r="D1833" s="18">
        <f>IF($A1833="","",IF(Paramètres!I51="","",Paramètres!I51))</f>
        <v/>
      </c>
      <c r="E1833" s="19">
        <f>IF($A1833="","",IF(Paramètres!J51&amp;Paramètres!L51&amp;Paramètres!N51="",Dossiers!$D$37,MAX(IF(Paramètres!J51="",0,IF(Paramètres!K51="",NA(),IF(LEFT(TRIM(Paramètres!K51),1)="F",INDEX($F$1787:$F$1839,MATCH(Paramètres!J51,Paramètres!$G$5:$G$57,0)),INDEX($E$1787:$E$1839,MATCH(Paramètres!J51,Paramètres!$G$5:$G$57,0)))+IF(RIGHT(TRIM(Paramètres!K51),3)="Fin",1-$H1833,IF(LEFT(TRIM(Paramètres!K51),1)="F",1,0)))),IF(Paramètres!L51="",0,IF(Paramètres!M51="",NA(),IF(LEFT(TRIM(Paramètres!M51),1)="F",INDEX($F$1787:$F$1839,MATCH(Paramètres!L51,Paramètres!$G$5:$G$57,0)),INDEX($E$1787:$E$1839,MATCH(Paramètres!L51,Paramètres!$G$5:$G$57,0)))+IF(RIGHT(TRIM(Paramètres!M51),3)="Fin",1-$H1833,IF(LEFT(TRIM(Paramètres!M51),1)="F",1,0)))),IF(Paramètres!N51="",0,IF(Paramètres!O51="",NA(),IF(LEFT(TRIM(Paramètres!O51),1)="F",INDEX($F$1787:$F$1839,MATCH(Paramètres!N51,Paramètres!$G$5:$G$57,0)),INDEX($E$1787:$E$1839,MATCH(Paramètres!N51,Paramètres!$G$5:$G$57,0)))+IF(RIGHT(TRIM(Paramètres!O51),3)="Fin",1-$H1833,IF(LEFT(TRIM(Paramètres!O51),1)="F",1,0)))))))</f>
        <v/>
      </c>
      <c r="F1833" s="19">
        <f>IF($A1833="","",E1833+$H1833-1)</f>
        <v/>
      </c>
      <c r="G1833" s="18" t="n"/>
      <c r="H1833" s="18">
        <f>IF($A1833="","",IF(I1833&lt;&gt;"",I1833,Paramètres!B51))</f>
        <v/>
      </c>
      <c r="I1833" s="18" t="n"/>
    </row>
    <row r="1834">
      <c r="A1834" s="18">
        <f>IF(ISNUMBER(Dossiers!$D$37),Dossiers!$A$37&amp;" · "&amp;Dossiers!$B$37,"")</f>
        <v/>
      </c>
      <c r="B1834" s="18">
        <f>IF($A1834="","",Paramètres!G52)</f>
        <v/>
      </c>
      <c r="C1834" s="18">
        <f>IF($A1834="","",IF(Paramètres!H52="","",Paramètres!H52))</f>
        <v/>
      </c>
      <c r="D1834" s="18">
        <f>IF($A1834="","",IF(Paramètres!I52="","",Paramètres!I52))</f>
        <v/>
      </c>
      <c r="E1834" s="19">
        <f>IF($A1834="","",IF(Paramètres!J52&amp;Paramètres!L52&amp;Paramètres!N52="",Dossiers!$D$37,MAX(IF(Paramètres!J52="",0,IF(Paramètres!K52="",NA(),IF(LEFT(TRIM(Paramètres!K52),1)="F",INDEX($F$1787:$F$1839,MATCH(Paramètres!J52,Paramètres!$G$5:$G$57,0)),INDEX($E$1787:$E$1839,MATCH(Paramètres!J52,Paramètres!$G$5:$G$57,0)))+IF(RIGHT(TRIM(Paramètres!K52),3)="Fin",1-$H1834,IF(LEFT(TRIM(Paramètres!K52),1)="F",1,0)))),IF(Paramètres!L52="",0,IF(Paramètres!M52="",NA(),IF(LEFT(TRIM(Paramètres!M52),1)="F",INDEX($F$1787:$F$1839,MATCH(Paramètres!L52,Paramètres!$G$5:$G$57,0)),INDEX($E$1787:$E$1839,MATCH(Paramètres!L52,Paramètres!$G$5:$G$57,0)))+IF(RIGHT(TRIM(Paramètres!M52),3)="Fin",1-$H1834,IF(LEFT(TRIM(Paramètres!M52),1)="F",1,0)))),IF(Paramètres!N52="",0,IF(Paramètres!O52="",NA(),IF(LEFT(TRIM(Paramètres!O52),1)="F",INDEX($F$1787:$F$1839,MATCH(Paramètres!N52,Paramètres!$G$5:$G$57,0)),INDEX($E$1787:$E$1839,MATCH(Paramètres!N52,Paramètres!$G$5:$G$57,0)))+IF(RIGHT(TRIM(Paramètres!O52),3)="Fin",1-$H1834,IF(LEFT(TRIM(Paramètres!O52),1)="F",1,0)))))))</f>
        <v/>
      </c>
      <c r="F1834" s="19">
        <f>IF($A1834="","",E1834+$H1834-1)</f>
        <v/>
      </c>
      <c r="G1834" s="18" t="n"/>
      <c r="H1834" s="18">
        <f>IF($A1834="","",IF(I1834&lt;&gt;"",I1834,Paramètres!B52))</f>
        <v/>
      </c>
      <c r="I1834" s="18" t="n"/>
    </row>
    <row r="1835">
      <c r="A1835" s="18">
        <f>IF(ISNUMBER(Dossiers!$D$37),Dossiers!$A$37&amp;" · "&amp;Dossiers!$B$37,"")</f>
        <v/>
      </c>
      <c r="B1835" s="18">
        <f>IF($A1835="","",Paramètres!G53)</f>
        <v/>
      </c>
      <c r="C1835" s="18">
        <f>IF($A1835="","",IF(Paramètres!H53="","",Paramètres!H53))</f>
        <v/>
      </c>
      <c r="D1835" s="18">
        <f>IF($A1835="","",IF(Paramètres!I53="","",Paramètres!I53))</f>
        <v/>
      </c>
      <c r="E1835" s="19">
        <f>IF($A1835="","",IF(Paramètres!J53&amp;Paramètres!L53&amp;Paramètres!N53="",Dossiers!$D$37,MAX(IF(Paramètres!J53="",0,IF(Paramètres!K53="",NA(),IF(LEFT(TRIM(Paramètres!K53),1)="F",INDEX($F$1787:$F$1839,MATCH(Paramètres!J53,Paramètres!$G$5:$G$57,0)),INDEX($E$1787:$E$1839,MATCH(Paramètres!J53,Paramètres!$G$5:$G$57,0)))+IF(RIGHT(TRIM(Paramètres!K53),3)="Fin",1-$H1835,IF(LEFT(TRIM(Paramètres!K53),1)="F",1,0)))),IF(Paramètres!L53="",0,IF(Paramètres!M53="",NA(),IF(LEFT(TRIM(Paramètres!M53),1)="F",INDEX($F$1787:$F$1839,MATCH(Paramètres!L53,Paramètres!$G$5:$G$57,0)),INDEX($E$1787:$E$1839,MATCH(Paramètres!L53,Paramètres!$G$5:$G$57,0)))+IF(RIGHT(TRIM(Paramètres!M53),3)="Fin",1-$H1835,IF(LEFT(TRIM(Paramètres!M53),1)="F",1,0)))),IF(Paramètres!N53="",0,IF(Paramètres!O53="",NA(),IF(LEFT(TRIM(Paramètres!O53),1)="F",INDEX($F$1787:$F$1839,MATCH(Paramètres!N53,Paramètres!$G$5:$G$57,0)),INDEX($E$1787:$E$1839,MATCH(Paramètres!N53,Paramètres!$G$5:$G$57,0)))+IF(RIGHT(TRIM(Paramètres!O53),3)="Fin",1-$H1835,IF(LEFT(TRIM(Paramètres!O53),1)="F",1,0)))))))</f>
        <v/>
      </c>
      <c r="F1835" s="19">
        <f>IF($A1835="","",E1835+$H1835-1)</f>
        <v/>
      </c>
      <c r="G1835" s="18" t="n"/>
      <c r="H1835" s="18">
        <f>IF($A1835="","",IF(I1835&lt;&gt;"",I1835,Paramètres!B53))</f>
        <v/>
      </c>
      <c r="I1835" s="18" t="n"/>
    </row>
    <row r="1836">
      <c r="A1836" s="18">
        <f>IF(ISNUMBER(Dossiers!$D$37),Dossiers!$A$37&amp;" · "&amp;Dossiers!$B$37,"")</f>
        <v/>
      </c>
      <c r="B1836" s="18">
        <f>IF($A1836="","",Paramètres!G54)</f>
        <v/>
      </c>
      <c r="C1836" s="18">
        <f>IF($A1836="","",IF(Paramètres!H54="","",Paramètres!H54))</f>
        <v/>
      </c>
      <c r="D1836" s="18">
        <f>IF($A1836="","",IF(Paramètres!I54="","",Paramètres!I54))</f>
        <v/>
      </c>
      <c r="E1836" s="19">
        <f>IF($A1836="","",IF(Paramètres!J54&amp;Paramètres!L54&amp;Paramètres!N54="",Dossiers!$D$37,MAX(IF(Paramètres!J54="",0,IF(Paramètres!K54="",NA(),IF(LEFT(TRIM(Paramètres!K54),1)="F",INDEX($F$1787:$F$1839,MATCH(Paramètres!J54,Paramètres!$G$5:$G$57,0)),INDEX($E$1787:$E$1839,MATCH(Paramètres!J54,Paramètres!$G$5:$G$57,0)))+IF(RIGHT(TRIM(Paramètres!K54),3)="Fin",1-$H1836,IF(LEFT(TRIM(Paramètres!K54),1)="F",1,0)))),IF(Paramètres!L54="",0,IF(Paramètres!M54="",NA(),IF(LEFT(TRIM(Paramètres!M54),1)="F",INDEX($F$1787:$F$1839,MATCH(Paramètres!L54,Paramètres!$G$5:$G$57,0)),INDEX($E$1787:$E$1839,MATCH(Paramètres!L54,Paramètres!$G$5:$G$57,0)))+IF(RIGHT(TRIM(Paramètres!M54),3)="Fin",1-$H1836,IF(LEFT(TRIM(Paramètres!M54),1)="F",1,0)))),IF(Paramètres!N54="",0,IF(Paramètres!O54="",NA(),IF(LEFT(TRIM(Paramètres!O54),1)="F",INDEX($F$1787:$F$1839,MATCH(Paramètres!N54,Paramètres!$G$5:$G$57,0)),INDEX($E$1787:$E$1839,MATCH(Paramètres!N54,Paramètres!$G$5:$G$57,0)))+IF(RIGHT(TRIM(Paramètres!O54),3)="Fin",1-$H1836,IF(LEFT(TRIM(Paramètres!O54),1)="F",1,0)))))))</f>
        <v/>
      </c>
      <c r="F1836" s="19">
        <f>IF($A1836="","",E1836+$H1836-1)</f>
        <v/>
      </c>
      <c r="G1836" s="18" t="n"/>
      <c r="H1836" s="18">
        <f>IF($A1836="","",IF(I1836&lt;&gt;"",I1836,Paramètres!B54))</f>
        <v/>
      </c>
      <c r="I1836" s="18" t="n"/>
    </row>
    <row r="1837">
      <c r="A1837" s="18">
        <f>IF(ISNUMBER(Dossiers!$D$37),Dossiers!$A$37&amp;" · "&amp;Dossiers!$B$37,"")</f>
        <v/>
      </c>
      <c r="B1837" s="18">
        <f>IF($A1837="","",Paramètres!G55)</f>
        <v/>
      </c>
      <c r="C1837" s="18">
        <f>IF($A1837="","",IF(Paramètres!H55="","",Paramètres!H55))</f>
        <v/>
      </c>
      <c r="D1837" s="18">
        <f>IF($A1837="","",IF(Paramètres!I55="","",Paramètres!I55))</f>
        <v/>
      </c>
      <c r="E1837" s="19">
        <f>IF($A1837="","",IF(Paramètres!J55&amp;Paramètres!L55&amp;Paramètres!N55="",Dossiers!$D$37,MAX(IF(Paramètres!J55="",0,IF(Paramètres!K55="",NA(),IF(LEFT(TRIM(Paramètres!K55),1)="F",INDEX($F$1787:$F$1839,MATCH(Paramètres!J55,Paramètres!$G$5:$G$57,0)),INDEX($E$1787:$E$1839,MATCH(Paramètres!J55,Paramètres!$G$5:$G$57,0)))+IF(RIGHT(TRIM(Paramètres!K55),3)="Fin",1-$H1837,IF(LEFT(TRIM(Paramètres!K55),1)="F",1,0)))),IF(Paramètres!L55="",0,IF(Paramètres!M55="",NA(),IF(LEFT(TRIM(Paramètres!M55),1)="F",INDEX($F$1787:$F$1839,MATCH(Paramètres!L55,Paramètres!$G$5:$G$57,0)),INDEX($E$1787:$E$1839,MATCH(Paramètres!L55,Paramètres!$G$5:$G$57,0)))+IF(RIGHT(TRIM(Paramètres!M55),3)="Fin",1-$H1837,IF(LEFT(TRIM(Paramètres!M55),1)="F",1,0)))),IF(Paramètres!N55="",0,IF(Paramètres!O55="",NA(),IF(LEFT(TRIM(Paramètres!O55),1)="F",INDEX($F$1787:$F$1839,MATCH(Paramètres!N55,Paramètres!$G$5:$G$57,0)),INDEX($E$1787:$E$1839,MATCH(Paramètres!N55,Paramètres!$G$5:$G$57,0)))+IF(RIGHT(TRIM(Paramètres!O55),3)="Fin",1-$H1837,IF(LEFT(TRIM(Paramètres!O55),1)="F",1,0)))))))</f>
        <v/>
      </c>
      <c r="F1837" s="19">
        <f>IF($A1837="","",E1837+$H1837-1)</f>
        <v/>
      </c>
      <c r="G1837" s="18" t="n"/>
      <c r="H1837" s="18">
        <f>IF($A1837="","",IF(I1837&lt;&gt;"",I1837,Paramètres!B55))</f>
        <v/>
      </c>
      <c r="I1837" s="18" t="n"/>
    </row>
    <row r="1838">
      <c r="A1838" s="18">
        <f>IF(ISNUMBER(Dossiers!$D$37),Dossiers!$A$37&amp;" · "&amp;Dossiers!$B$37,"")</f>
        <v/>
      </c>
      <c r="B1838" s="18">
        <f>IF($A1838="","",Paramètres!G56)</f>
        <v/>
      </c>
      <c r="C1838" s="18">
        <f>IF($A1838="","",IF(Paramètres!H56="","",Paramètres!H56))</f>
        <v/>
      </c>
      <c r="D1838" s="18">
        <f>IF($A1838="","",IF(Paramètres!I56="","",Paramètres!I56))</f>
        <v/>
      </c>
      <c r="E1838" s="19">
        <f>IF($A1838="","",MIN(E1839:E1839))</f>
        <v/>
      </c>
      <c r="F1838" s="19">
        <f>IF($A1838="","",MAX(F1839:F1839))</f>
        <v/>
      </c>
      <c r="G1838" s="18" t="n"/>
      <c r="H1838" s="18">
        <f>IF($A1838="","",F1838-E1838+1)</f>
        <v/>
      </c>
      <c r="I1838" s="18" t="n"/>
    </row>
    <row r="1839">
      <c r="A1839" s="18">
        <f>IF(ISNUMBER(Dossiers!$D$37),Dossiers!$A$37&amp;" · "&amp;Dossiers!$B$37,"")</f>
        <v/>
      </c>
      <c r="B1839" s="18">
        <f>IF($A1839="","",Paramètres!G57)</f>
        <v/>
      </c>
      <c r="C1839" s="18">
        <f>IF($A1839="","",IF(Paramètres!H57="","",Paramètres!H57))</f>
        <v/>
      </c>
      <c r="D1839" s="18">
        <f>IF($A1839="","",IF(Paramètres!I57="","",Paramètres!I57))</f>
        <v/>
      </c>
      <c r="E1839" s="19">
        <f>IF($A1839="","",IF(Paramètres!J57&amp;Paramètres!L57&amp;Paramètres!N57="",Dossiers!$D$37,MAX(IF(Paramètres!J57="",0,IF(Paramètres!K57="",NA(),IF(LEFT(TRIM(Paramètres!K57),1)="F",INDEX($F$1787:$F$1839,MATCH(Paramètres!J57,Paramètres!$G$5:$G$57,0)),INDEX($E$1787:$E$1839,MATCH(Paramètres!J57,Paramètres!$G$5:$G$57,0)))+IF(RIGHT(TRIM(Paramètres!K57),3)="Fin",1-$H1839,IF(LEFT(TRIM(Paramètres!K57),1)="F",1,0)))),IF(Paramètres!L57="",0,IF(Paramètres!M57="",NA(),IF(LEFT(TRIM(Paramètres!M57),1)="F",INDEX($F$1787:$F$1839,MATCH(Paramètres!L57,Paramètres!$G$5:$G$57,0)),INDEX($E$1787:$E$1839,MATCH(Paramètres!L57,Paramètres!$G$5:$G$57,0)))+IF(RIGHT(TRIM(Paramètres!M57),3)="Fin",1-$H1839,IF(LEFT(TRIM(Paramètres!M57),1)="F",1,0)))),IF(Paramètres!N57="",0,IF(Paramètres!O57="",NA(),IF(LEFT(TRIM(Paramètres!O57),1)="F",INDEX($F$1787:$F$1839,MATCH(Paramètres!N57,Paramètres!$G$5:$G$57,0)),INDEX($E$1787:$E$1839,MATCH(Paramètres!N57,Paramètres!$G$5:$G$57,0)))+IF(RIGHT(TRIM(Paramètres!O57),3)="Fin",1-$H1839,IF(LEFT(TRIM(Paramètres!O57),1)="F",1,0)))))))</f>
        <v/>
      </c>
      <c r="F1839" s="19">
        <f>IF($A1839="","",E1839+$H1839-1)</f>
        <v/>
      </c>
      <c r="G1839" s="18" t="n"/>
      <c r="H1839" s="18">
        <f>IF($A1839="","",IF(I1839&lt;&gt;"",I1839,Paramètres!B57))</f>
        <v/>
      </c>
      <c r="I1839" s="18" t="n"/>
    </row>
    <row r="1840">
      <c r="A1840" s="16">
        <f>IF(ISNUMBER(Dossiers!$D$38),Dossiers!$E$38,"")</f>
        <v/>
      </c>
      <c r="B1840" s="16">
        <f>IF($A1840="","","Identifiant")</f>
        <v/>
      </c>
      <c r="C1840" s="16">
        <f>IF($A1840="","","Macro Etape")</f>
        <v/>
      </c>
      <c r="D1840" s="16">
        <f>IF($A1840="","","Etape")</f>
        <v/>
      </c>
      <c r="E1840" s="17">
        <f>IF($A1840="","","Début le")</f>
        <v/>
      </c>
      <c r="F1840" s="17">
        <f>IF($A1840="","","Fin prévue le")</f>
        <v/>
      </c>
      <c r="G1840" s="16">
        <f>IF($A1840="","","Statut")</f>
        <v/>
      </c>
      <c r="H1840" s="16">
        <f>IF($A1840="","","Durée (jours)")</f>
        <v/>
      </c>
      <c r="I1840" s="16">
        <f>IF($A1840="","","Durée particulière")</f>
        <v/>
      </c>
      <c r="J1840" s="10">
        <f>IF($A1840="","",HYPERLINK("#'Tableau de bord'!A1","↑ Tableau de bord"))</f>
        <v/>
      </c>
    </row>
    <row r="1841">
      <c r="A1841" s="18">
        <f>IF(ISNUMBER(Dossiers!$D$38),Dossiers!$A$38&amp;" · "&amp;Dossiers!$B$38,"")</f>
        <v/>
      </c>
      <c r="B1841" s="18">
        <f>IF($A1841="","",Paramètres!G5)</f>
        <v/>
      </c>
      <c r="C1841" s="18">
        <f>IF($A1841="","",IF(Paramètres!H5="","",Paramètres!H5))</f>
        <v/>
      </c>
      <c r="D1841" s="18">
        <f>IF($A1841="","",IF(Paramètres!I5="","",Paramètres!I5))</f>
        <v/>
      </c>
      <c r="E1841" s="19">
        <f>IF($A1841="","",MIN(E1842:E1845))</f>
        <v/>
      </c>
      <c r="F1841" s="19">
        <f>IF($A1841="","",MAX(F1842:F1845))</f>
        <v/>
      </c>
      <c r="G1841" s="18" t="n"/>
      <c r="H1841" s="18">
        <f>IF($A1841="","",F1841-E1841+1)</f>
        <v/>
      </c>
      <c r="I1841" s="18" t="n"/>
    </row>
    <row r="1842">
      <c r="A1842" s="18">
        <f>IF(ISNUMBER(Dossiers!$D$38),Dossiers!$A$38&amp;" · "&amp;Dossiers!$B$38,"")</f>
        <v/>
      </c>
      <c r="B1842" s="18">
        <f>IF($A1842="","",Paramètres!G6)</f>
        <v/>
      </c>
      <c r="C1842" s="18">
        <f>IF($A1842="","",IF(Paramètres!H6="","",Paramètres!H6))</f>
        <v/>
      </c>
      <c r="D1842" s="18">
        <f>IF($A1842="","",IF(Paramètres!I6="","",Paramètres!I6))</f>
        <v/>
      </c>
      <c r="E1842" s="19">
        <f>IF($A1842="","",IF(Paramètres!J6&amp;Paramètres!L6&amp;Paramètres!N6="",Dossiers!$D$38,MAX(IF(Paramètres!J6="",0,IF(Paramètres!K6="",NA(),IF(LEFT(TRIM(Paramètres!K6),1)="F",INDEX($F$1841:$F$1893,MATCH(Paramètres!J6,Paramètres!$G$5:$G$57,0)),INDEX($E$1841:$E$1893,MATCH(Paramètres!J6,Paramètres!$G$5:$G$57,0)))+IF(RIGHT(TRIM(Paramètres!K6),3)="Fin",1-$H1842,IF(LEFT(TRIM(Paramètres!K6),1)="F",1,0)))),IF(Paramètres!L6="",0,IF(Paramètres!M6="",NA(),IF(LEFT(TRIM(Paramètres!M6),1)="F",INDEX($F$1841:$F$1893,MATCH(Paramètres!L6,Paramètres!$G$5:$G$57,0)),INDEX($E$1841:$E$1893,MATCH(Paramètres!L6,Paramètres!$G$5:$G$57,0)))+IF(RIGHT(TRIM(Paramètres!M6),3)="Fin",1-$H1842,IF(LEFT(TRIM(Paramètres!M6),1)="F",1,0)))),IF(Paramètres!N6="",0,IF(Paramètres!O6="",NA(),IF(LEFT(TRIM(Paramètres!O6),1)="F",INDEX($F$1841:$F$1893,MATCH(Paramètres!N6,Paramètres!$G$5:$G$57,0)),INDEX($E$1841:$E$1893,MATCH(Paramètres!N6,Paramètres!$G$5:$G$57,0)))+IF(RIGHT(TRIM(Paramètres!O6),3)="Fin",1-$H1842,IF(LEFT(TRIM(Paramètres!O6),1)="F",1,0)))))))</f>
        <v/>
      </c>
      <c r="F1842" s="19">
        <f>IF($A1842="","",E1842+$H1842-1)</f>
        <v/>
      </c>
      <c r="G1842" s="18" t="n"/>
      <c r="H1842" s="18">
        <f>IF($A1842="","",IF(I1842&lt;&gt;"",I1842,Paramètres!B6))</f>
        <v/>
      </c>
      <c r="I1842" s="18" t="n"/>
    </row>
    <row r="1843">
      <c r="A1843" s="18">
        <f>IF(ISNUMBER(Dossiers!$D$38),Dossiers!$A$38&amp;" · "&amp;Dossiers!$B$38,"")</f>
        <v/>
      </c>
      <c r="B1843" s="18">
        <f>IF($A1843="","",Paramètres!G7)</f>
        <v/>
      </c>
      <c r="C1843" s="18">
        <f>IF($A1843="","",IF(Paramètres!H7="","",Paramètres!H7))</f>
        <v/>
      </c>
      <c r="D1843" s="18">
        <f>IF($A1843="","",IF(Paramètres!I7="","",Paramètres!I7))</f>
        <v/>
      </c>
      <c r="E1843" s="19">
        <f>IF($A1843="","",IF(Paramètres!J7&amp;Paramètres!L7&amp;Paramètres!N7="",Dossiers!$D$38,MAX(IF(Paramètres!J7="",0,IF(Paramètres!K7="",NA(),IF(LEFT(TRIM(Paramètres!K7),1)="F",INDEX($F$1841:$F$1893,MATCH(Paramètres!J7,Paramètres!$G$5:$G$57,0)),INDEX($E$1841:$E$1893,MATCH(Paramètres!J7,Paramètres!$G$5:$G$57,0)))+IF(RIGHT(TRIM(Paramètres!K7),3)="Fin",1-$H1843,IF(LEFT(TRIM(Paramètres!K7),1)="F",1,0)))),IF(Paramètres!L7="",0,IF(Paramètres!M7="",NA(),IF(LEFT(TRIM(Paramètres!M7),1)="F",INDEX($F$1841:$F$1893,MATCH(Paramètres!L7,Paramètres!$G$5:$G$57,0)),INDEX($E$1841:$E$1893,MATCH(Paramètres!L7,Paramètres!$G$5:$G$57,0)))+IF(RIGHT(TRIM(Paramètres!M7),3)="Fin",1-$H1843,IF(LEFT(TRIM(Paramètres!M7),1)="F",1,0)))),IF(Paramètres!N7="",0,IF(Paramètres!O7="",NA(),IF(LEFT(TRIM(Paramètres!O7),1)="F",INDEX($F$1841:$F$1893,MATCH(Paramètres!N7,Paramètres!$G$5:$G$57,0)),INDEX($E$1841:$E$1893,MATCH(Paramètres!N7,Paramètres!$G$5:$G$57,0)))+IF(RIGHT(TRIM(Paramètres!O7),3)="Fin",1-$H1843,IF(LEFT(TRIM(Paramètres!O7),1)="F",1,0)))))))</f>
        <v/>
      </c>
      <c r="F1843" s="19">
        <f>IF($A1843="","",E1843+$H1843-1)</f>
        <v/>
      </c>
      <c r="G1843" s="18" t="n"/>
      <c r="H1843" s="18">
        <f>IF($A1843="","",IF(I1843&lt;&gt;"",I1843,Paramètres!B7))</f>
        <v/>
      </c>
      <c r="I1843" s="18" t="n"/>
    </row>
    <row r="1844">
      <c r="A1844" s="18">
        <f>IF(ISNUMBER(Dossiers!$D$38),Dossiers!$A$38&amp;" · "&amp;Dossiers!$B$38,"")</f>
        <v/>
      </c>
      <c r="B1844" s="18">
        <f>IF($A1844="","",Paramètres!G8)</f>
        <v/>
      </c>
      <c r="C1844" s="18">
        <f>IF($A1844="","",IF(Paramètres!H8="","",Paramètres!H8))</f>
        <v/>
      </c>
      <c r="D1844" s="18">
        <f>IF($A1844="","",IF(Paramètres!I8="","",Paramètres!I8))</f>
        <v/>
      </c>
      <c r="E1844" s="19">
        <f>IF($A1844="","",IF(Paramètres!J8&amp;Paramètres!L8&amp;Paramètres!N8="",Dossiers!$D$38,MAX(IF(Paramètres!J8="",0,IF(Paramètres!K8="",NA(),IF(LEFT(TRIM(Paramètres!K8),1)="F",INDEX($F$1841:$F$1893,MATCH(Paramètres!J8,Paramètres!$G$5:$G$57,0)),INDEX($E$1841:$E$1893,MATCH(Paramètres!J8,Paramètres!$G$5:$G$57,0)))+IF(RIGHT(TRIM(Paramètres!K8),3)="Fin",1-$H1844,IF(LEFT(TRIM(Paramètres!K8),1)="F",1,0)))),IF(Paramètres!L8="",0,IF(Paramètres!M8="",NA(),IF(LEFT(TRIM(Paramètres!M8),1)="F",INDEX($F$1841:$F$1893,MATCH(Paramètres!L8,Paramètres!$G$5:$G$57,0)),INDEX($E$1841:$E$1893,MATCH(Paramètres!L8,Paramètres!$G$5:$G$57,0)))+IF(RIGHT(TRIM(Paramètres!M8),3)="Fin",1-$H1844,IF(LEFT(TRIM(Paramètres!M8),1)="F",1,0)))),IF(Paramètres!N8="",0,IF(Paramètres!O8="",NA(),IF(LEFT(TRIM(Paramètres!O8),1)="F",INDEX($F$1841:$F$1893,MATCH(Paramètres!N8,Paramètres!$G$5:$G$57,0)),INDEX($E$1841:$E$1893,MATCH(Paramètres!N8,Paramètres!$G$5:$G$57,0)))+IF(RIGHT(TRIM(Paramètres!O8),3)="Fin",1-$H1844,IF(LEFT(TRIM(Paramètres!O8),1)="F",1,0)))))))</f>
        <v/>
      </c>
      <c r="F1844" s="19">
        <f>IF($A1844="","",E1844+$H1844-1)</f>
        <v/>
      </c>
      <c r="G1844" s="18" t="n"/>
      <c r="H1844" s="18">
        <f>IF($A1844="","",IF(I1844&lt;&gt;"",I1844,Paramètres!B8))</f>
        <v/>
      </c>
      <c r="I1844" s="18" t="n"/>
    </row>
    <row r="1845">
      <c r="A1845" s="18">
        <f>IF(ISNUMBER(Dossiers!$D$38),Dossiers!$A$38&amp;" · "&amp;Dossiers!$B$38,"")</f>
        <v/>
      </c>
      <c r="B1845" s="18">
        <f>IF($A1845="","",Paramètres!G9)</f>
        <v/>
      </c>
      <c r="C1845" s="18">
        <f>IF($A1845="","",IF(Paramètres!H9="","",Paramètres!H9))</f>
        <v/>
      </c>
      <c r="D1845" s="18">
        <f>IF($A1845="","",IF(Paramètres!I9="","",Paramètres!I9))</f>
        <v/>
      </c>
      <c r="E1845" s="19">
        <f>IF($A1845="","",IF(Paramètres!J9&amp;Paramètres!L9&amp;Paramètres!N9="",Dossiers!$D$38,MAX(IF(Paramètres!J9="",0,IF(Paramètres!K9="",NA(),IF(LEFT(TRIM(Paramètres!K9),1)="F",INDEX($F$1841:$F$1893,MATCH(Paramètres!J9,Paramètres!$G$5:$G$57,0)),INDEX($E$1841:$E$1893,MATCH(Paramètres!J9,Paramètres!$G$5:$G$57,0)))+IF(RIGHT(TRIM(Paramètres!K9),3)="Fin",1-$H1845,IF(LEFT(TRIM(Paramètres!K9),1)="F",1,0)))),IF(Paramètres!L9="",0,IF(Paramètres!M9="",NA(),IF(LEFT(TRIM(Paramètres!M9),1)="F",INDEX($F$1841:$F$1893,MATCH(Paramètres!L9,Paramètres!$G$5:$G$57,0)),INDEX($E$1841:$E$1893,MATCH(Paramètres!L9,Paramètres!$G$5:$G$57,0)))+IF(RIGHT(TRIM(Paramètres!M9),3)="Fin",1-$H1845,IF(LEFT(TRIM(Paramètres!M9),1)="F",1,0)))),IF(Paramètres!N9="",0,IF(Paramètres!O9="",NA(),IF(LEFT(TRIM(Paramètres!O9),1)="F",INDEX($F$1841:$F$1893,MATCH(Paramètres!N9,Paramètres!$G$5:$G$57,0)),INDEX($E$1841:$E$1893,MATCH(Paramètres!N9,Paramètres!$G$5:$G$57,0)))+IF(RIGHT(TRIM(Paramètres!O9),3)="Fin",1-$H1845,IF(LEFT(TRIM(Paramètres!O9),1)="F",1,0)))))))</f>
        <v/>
      </c>
      <c r="F1845" s="19">
        <f>IF($A1845="","",E1845+$H1845-1)</f>
        <v/>
      </c>
      <c r="G1845" s="18" t="n"/>
      <c r="H1845" s="18">
        <f>IF($A1845="","",IF(I1845&lt;&gt;"",I1845,Paramètres!B9))</f>
        <v/>
      </c>
      <c r="I1845" s="18" t="n"/>
    </row>
    <row r="1846">
      <c r="A1846" s="18">
        <f>IF(ISNUMBER(Dossiers!$D$38),Dossiers!$A$38&amp;" · "&amp;Dossiers!$B$38,"")</f>
        <v/>
      </c>
      <c r="B1846" s="18">
        <f>IF($A1846="","",Paramètres!G10)</f>
        <v/>
      </c>
      <c r="C1846" s="18">
        <f>IF($A1846="","",IF(Paramètres!H10="","",Paramètres!H10))</f>
        <v/>
      </c>
      <c r="D1846" s="18">
        <f>IF($A1846="","",IF(Paramètres!I10="","",Paramètres!I10))</f>
        <v/>
      </c>
      <c r="E1846" s="19">
        <f>IF($A1846="","",MIN(E1847:E1850))</f>
        <v/>
      </c>
      <c r="F1846" s="19">
        <f>IF($A1846="","",MAX(F1847:F1850))</f>
        <v/>
      </c>
      <c r="G1846" s="18" t="n"/>
      <c r="H1846" s="18">
        <f>IF($A1846="","",F1846-E1846+1)</f>
        <v/>
      </c>
      <c r="I1846" s="18" t="n"/>
    </row>
    <row r="1847">
      <c r="A1847" s="18">
        <f>IF(ISNUMBER(Dossiers!$D$38),Dossiers!$A$38&amp;" · "&amp;Dossiers!$B$38,"")</f>
        <v/>
      </c>
      <c r="B1847" s="18">
        <f>IF($A1847="","",Paramètres!G11)</f>
        <v/>
      </c>
      <c r="C1847" s="18">
        <f>IF($A1847="","",IF(Paramètres!H11="","",Paramètres!H11))</f>
        <v/>
      </c>
      <c r="D1847" s="18">
        <f>IF($A1847="","",IF(Paramètres!I11="","",Paramètres!I11))</f>
        <v/>
      </c>
      <c r="E1847" s="19">
        <f>IF($A1847="","",IF(Paramètres!J11&amp;Paramètres!L11&amp;Paramètres!N11="",Dossiers!$D$38,MAX(IF(Paramètres!J11="",0,IF(Paramètres!K11="",NA(),IF(LEFT(TRIM(Paramètres!K11),1)="F",INDEX($F$1841:$F$1893,MATCH(Paramètres!J11,Paramètres!$G$5:$G$57,0)),INDEX($E$1841:$E$1893,MATCH(Paramètres!J11,Paramètres!$G$5:$G$57,0)))+IF(RIGHT(TRIM(Paramètres!K11),3)="Fin",1-$H1847,IF(LEFT(TRIM(Paramètres!K11),1)="F",1,0)))),IF(Paramètres!L11="",0,IF(Paramètres!M11="",NA(),IF(LEFT(TRIM(Paramètres!M11),1)="F",INDEX($F$1841:$F$1893,MATCH(Paramètres!L11,Paramètres!$G$5:$G$57,0)),INDEX($E$1841:$E$1893,MATCH(Paramètres!L11,Paramètres!$G$5:$G$57,0)))+IF(RIGHT(TRIM(Paramètres!M11),3)="Fin",1-$H1847,IF(LEFT(TRIM(Paramètres!M11),1)="F",1,0)))),IF(Paramètres!N11="",0,IF(Paramètres!O11="",NA(),IF(LEFT(TRIM(Paramètres!O11),1)="F",INDEX($F$1841:$F$1893,MATCH(Paramètres!N11,Paramètres!$G$5:$G$57,0)),INDEX($E$1841:$E$1893,MATCH(Paramètres!N11,Paramètres!$G$5:$G$57,0)))+IF(RIGHT(TRIM(Paramètres!O11),3)="Fin",1-$H1847,IF(LEFT(TRIM(Paramètres!O11),1)="F",1,0)))))))</f>
        <v/>
      </c>
      <c r="F1847" s="19">
        <f>IF($A1847="","",E1847+$H1847-1)</f>
        <v/>
      </c>
      <c r="G1847" s="18" t="n"/>
      <c r="H1847" s="18">
        <f>IF($A1847="","",IF(I1847&lt;&gt;"",I1847,Paramètres!B11))</f>
        <v/>
      </c>
      <c r="I1847" s="18" t="n"/>
    </row>
    <row r="1848">
      <c r="A1848" s="18">
        <f>IF(ISNUMBER(Dossiers!$D$38),Dossiers!$A$38&amp;" · "&amp;Dossiers!$B$38,"")</f>
        <v/>
      </c>
      <c r="B1848" s="18">
        <f>IF($A1848="","",Paramètres!G12)</f>
        <v/>
      </c>
      <c r="C1848" s="18">
        <f>IF($A1848="","",IF(Paramètres!H12="","",Paramètres!H12))</f>
        <v/>
      </c>
      <c r="D1848" s="18">
        <f>IF($A1848="","",IF(Paramètres!I12="","",Paramètres!I12))</f>
        <v/>
      </c>
      <c r="E1848" s="19">
        <f>IF($A1848="","",IF(Paramètres!J12&amp;Paramètres!L12&amp;Paramètres!N12="",Dossiers!$D$38,MAX(IF(Paramètres!J12="",0,IF(Paramètres!K12="",NA(),IF(LEFT(TRIM(Paramètres!K12),1)="F",INDEX($F$1841:$F$1893,MATCH(Paramètres!J12,Paramètres!$G$5:$G$57,0)),INDEX($E$1841:$E$1893,MATCH(Paramètres!J12,Paramètres!$G$5:$G$57,0)))+IF(RIGHT(TRIM(Paramètres!K12),3)="Fin",1-$H1848,IF(LEFT(TRIM(Paramètres!K12),1)="F",1,0)))),IF(Paramètres!L12="",0,IF(Paramètres!M12="",NA(),IF(LEFT(TRIM(Paramètres!M12),1)="F",INDEX($F$1841:$F$1893,MATCH(Paramètres!L12,Paramètres!$G$5:$G$57,0)),INDEX($E$1841:$E$1893,MATCH(Paramètres!L12,Paramètres!$G$5:$G$57,0)))+IF(RIGHT(TRIM(Paramètres!M12),3)="Fin",1-$H1848,IF(LEFT(TRIM(Paramètres!M12),1)="F",1,0)))),IF(Paramètres!N12="",0,IF(Paramètres!O12="",NA(),IF(LEFT(TRIM(Paramètres!O12),1)="F",INDEX($F$1841:$F$1893,MATCH(Paramètres!N12,Paramètres!$G$5:$G$57,0)),INDEX($E$1841:$E$1893,MATCH(Paramètres!N12,Paramètres!$G$5:$G$57,0)))+IF(RIGHT(TRIM(Paramètres!O12),3)="Fin",1-$H1848,IF(LEFT(TRIM(Paramètres!O12),1)="F",1,0)))))))</f>
        <v/>
      </c>
      <c r="F1848" s="19">
        <f>IF($A1848="","",E1848+$H1848-1)</f>
        <v/>
      </c>
      <c r="G1848" s="18" t="n"/>
      <c r="H1848" s="18">
        <f>IF($A1848="","",IF(I1848&lt;&gt;"",I1848,Paramètres!B12))</f>
        <v/>
      </c>
      <c r="I1848" s="18" t="n"/>
    </row>
    <row r="1849">
      <c r="A1849" s="18">
        <f>IF(ISNUMBER(Dossiers!$D$38),Dossiers!$A$38&amp;" · "&amp;Dossiers!$B$38,"")</f>
        <v/>
      </c>
      <c r="B1849" s="18">
        <f>IF($A1849="","",Paramètres!G13)</f>
        <v/>
      </c>
      <c r="C1849" s="18">
        <f>IF($A1849="","",IF(Paramètres!H13="","",Paramètres!H13))</f>
        <v/>
      </c>
      <c r="D1849" s="18">
        <f>IF($A1849="","",IF(Paramètres!I13="","",Paramètres!I13))</f>
        <v/>
      </c>
      <c r="E1849" s="19">
        <f>IF($A1849="","",IF(Paramètres!J13&amp;Paramètres!L13&amp;Paramètres!N13="",Dossiers!$D$38,MAX(IF(Paramètres!J13="",0,IF(Paramètres!K13="",NA(),IF(LEFT(TRIM(Paramètres!K13),1)="F",INDEX($F$1841:$F$1893,MATCH(Paramètres!J13,Paramètres!$G$5:$G$57,0)),INDEX($E$1841:$E$1893,MATCH(Paramètres!J13,Paramètres!$G$5:$G$57,0)))+IF(RIGHT(TRIM(Paramètres!K13),3)="Fin",1-$H1849,IF(LEFT(TRIM(Paramètres!K13),1)="F",1,0)))),IF(Paramètres!L13="",0,IF(Paramètres!M13="",NA(),IF(LEFT(TRIM(Paramètres!M13),1)="F",INDEX($F$1841:$F$1893,MATCH(Paramètres!L13,Paramètres!$G$5:$G$57,0)),INDEX($E$1841:$E$1893,MATCH(Paramètres!L13,Paramètres!$G$5:$G$57,0)))+IF(RIGHT(TRIM(Paramètres!M13),3)="Fin",1-$H1849,IF(LEFT(TRIM(Paramètres!M13),1)="F",1,0)))),IF(Paramètres!N13="",0,IF(Paramètres!O13="",NA(),IF(LEFT(TRIM(Paramètres!O13),1)="F",INDEX($F$1841:$F$1893,MATCH(Paramètres!N13,Paramètres!$G$5:$G$57,0)),INDEX($E$1841:$E$1893,MATCH(Paramètres!N13,Paramètres!$G$5:$G$57,0)))+IF(RIGHT(TRIM(Paramètres!O13),3)="Fin",1-$H1849,IF(LEFT(TRIM(Paramètres!O13),1)="F",1,0)))))))</f>
        <v/>
      </c>
      <c r="F1849" s="19">
        <f>IF($A1849="","",E1849+$H1849-1)</f>
        <v/>
      </c>
      <c r="G1849" s="18" t="n"/>
      <c r="H1849" s="18">
        <f>IF($A1849="","",IF(I1849&lt;&gt;"",I1849,Paramètres!B13))</f>
        <v/>
      </c>
      <c r="I1849" s="18" t="n"/>
    </row>
    <row r="1850">
      <c r="A1850" s="18">
        <f>IF(ISNUMBER(Dossiers!$D$38),Dossiers!$A$38&amp;" · "&amp;Dossiers!$B$38,"")</f>
        <v/>
      </c>
      <c r="B1850" s="18">
        <f>IF($A1850="","",Paramètres!G14)</f>
        <v/>
      </c>
      <c r="C1850" s="18">
        <f>IF($A1850="","",IF(Paramètres!H14="","",Paramètres!H14))</f>
        <v/>
      </c>
      <c r="D1850" s="18">
        <f>IF($A1850="","",IF(Paramètres!I14="","",Paramètres!I14))</f>
        <v/>
      </c>
      <c r="E1850" s="19">
        <f>IF($A1850="","",IF(Paramètres!J14&amp;Paramètres!L14&amp;Paramètres!N14="",Dossiers!$D$38,MAX(IF(Paramètres!J14="",0,IF(Paramètres!K14="",NA(),IF(LEFT(TRIM(Paramètres!K14),1)="F",INDEX($F$1841:$F$1893,MATCH(Paramètres!J14,Paramètres!$G$5:$G$57,0)),INDEX($E$1841:$E$1893,MATCH(Paramètres!J14,Paramètres!$G$5:$G$57,0)))+IF(RIGHT(TRIM(Paramètres!K14),3)="Fin",1-$H1850,IF(LEFT(TRIM(Paramètres!K14),1)="F",1,0)))),IF(Paramètres!L14="",0,IF(Paramètres!M14="",NA(),IF(LEFT(TRIM(Paramètres!M14),1)="F",INDEX($F$1841:$F$1893,MATCH(Paramètres!L14,Paramètres!$G$5:$G$57,0)),INDEX($E$1841:$E$1893,MATCH(Paramètres!L14,Paramètres!$G$5:$G$57,0)))+IF(RIGHT(TRIM(Paramètres!M14),3)="Fin",1-$H1850,IF(LEFT(TRIM(Paramètres!M14),1)="F",1,0)))),IF(Paramètres!N14="",0,IF(Paramètres!O14="",NA(),IF(LEFT(TRIM(Paramètres!O14),1)="F",INDEX($F$1841:$F$1893,MATCH(Paramètres!N14,Paramètres!$G$5:$G$57,0)),INDEX($E$1841:$E$1893,MATCH(Paramètres!N14,Paramètres!$G$5:$G$57,0)))+IF(RIGHT(TRIM(Paramètres!O14),3)="Fin",1-$H1850,IF(LEFT(TRIM(Paramètres!O14),1)="F",1,0)))))))</f>
        <v/>
      </c>
      <c r="F1850" s="19">
        <f>IF($A1850="","",E1850+$H1850-1)</f>
        <v/>
      </c>
      <c r="G1850" s="18" t="n"/>
      <c r="H1850" s="18">
        <f>IF($A1850="","",IF(I1850&lt;&gt;"",I1850,Paramètres!B14))</f>
        <v/>
      </c>
      <c r="I1850" s="18" t="n"/>
    </row>
    <row r="1851">
      <c r="A1851" s="18">
        <f>IF(ISNUMBER(Dossiers!$D$38),Dossiers!$A$38&amp;" · "&amp;Dossiers!$B$38,"")</f>
        <v/>
      </c>
      <c r="B1851" s="18">
        <f>IF($A1851="","",Paramètres!G15)</f>
        <v/>
      </c>
      <c r="C1851" s="18">
        <f>IF($A1851="","",IF(Paramètres!H15="","",Paramètres!H15))</f>
        <v/>
      </c>
      <c r="D1851" s="18">
        <f>IF($A1851="","",IF(Paramètres!I15="","",Paramètres!I15))</f>
        <v/>
      </c>
      <c r="E1851" s="19">
        <f>IF($A1851="","",MIN(E1852:E1867))</f>
        <v/>
      </c>
      <c r="F1851" s="19">
        <f>IF($A1851="","",MAX(F1852:F1867))</f>
        <v/>
      </c>
      <c r="G1851" s="18" t="n"/>
      <c r="H1851" s="18">
        <f>IF($A1851="","",F1851-E1851+1)</f>
        <v/>
      </c>
      <c r="I1851" s="18" t="n"/>
    </row>
    <row r="1852">
      <c r="A1852" s="18">
        <f>IF(ISNUMBER(Dossiers!$D$38),Dossiers!$A$38&amp;" · "&amp;Dossiers!$B$38,"")</f>
        <v/>
      </c>
      <c r="B1852" s="18">
        <f>IF($A1852="","",Paramètres!G16)</f>
        <v/>
      </c>
      <c r="C1852" s="18">
        <f>IF($A1852="","",IF(Paramètres!H16="","",Paramètres!H16))</f>
        <v/>
      </c>
      <c r="D1852" s="18">
        <f>IF($A1852="","",IF(Paramètres!I16="","",Paramètres!I16))</f>
        <v/>
      </c>
      <c r="E1852" s="19">
        <f>IF($A1852="","",IF(Paramètres!J16&amp;Paramètres!L16&amp;Paramètres!N16="",Dossiers!$D$38,MAX(IF(Paramètres!J16="",0,IF(Paramètres!K16="",NA(),IF(LEFT(TRIM(Paramètres!K16),1)="F",INDEX($F$1841:$F$1893,MATCH(Paramètres!J16,Paramètres!$G$5:$G$57,0)),INDEX($E$1841:$E$1893,MATCH(Paramètres!J16,Paramètres!$G$5:$G$57,0)))+IF(RIGHT(TRIM(Paramètres!K16),3)="Fin",1-$H1852,IF(LEFT(TRIM(Paramètres!K16),1)="F",1,0)))),IF(Paramètres!L16="",0,IF(Paramètres!M16="",NA(),IF(LEFT(TRIM(Paramètres!M16),1)="F",INDEX($F$1841:$F$1893,MATCH(Paramètres!L16,Paramètres!$G$5:$G$57,0)),INDEX($E$1841:$E$1893,MATCH(Paramètres!L16,Paramètres!$G$5:$G$57,0)))+IF(RIGHT(TRIM(Paramètres!M16),3)="Fin",1-$H1852,IF(LEFT(TRIM(Paramètres!M16),1)="F",1,0)))),IF(Paramètres!N16="",0,IF(Paramètres!O16="",NA(),IF(LEFT(TRIM(Paramètres!O16),1)="F",INDEX($F$1841:$F$1893,MATCH(Paramètres!N16,Paramètres!$G$5:$G$57,0)),INDEX($E$1841:$E$1893,MATCH(Paramètres!N16,Paramètres!$G$5:$G$57,0)))+IF(RIGHT(TRIM(Paramètres!O16),3)="Fin",1-$H1852,IF(LEFT(TRIM(Paramètres!O16),1)="F",1,0)))))))</f>
        <v/>
      </c>
      <c r="F1852" s="19">
        <f>IF($A1852="","",E1852+$H1852-1)</f>
        <v/>
      </c>
      <c r="G1852" s="18" t="n"/>
      <c r="H1852" s="18">
        <f>IF($A1852="","",IF(I1852&lt;&gt;"",I1852,Paramètres!B16))</f>
        <v/>
      </c>
      <c r="I1852" s="18" t="n"/>
    </row>
    <row r="1853">
      <c r="A1853" s="18">
        <f>IF(ISNUMBER(Dossiers!$D$38),Dossiers!$A$38&amp;" · "&amp;Dossiers!$B$38,"")</f>
        <v/>
      </c>
      <c r="B1853" s="18">
        <f>IF($A1853="","",Paramètres!G17)</f>
        <v/>
      </c>
      <c r="C1853" s="18">
        <f>IF($A1853="","",IF(Paramètres!H17="","",Paramètres!H17))</f>
        <v/>
      </c>
      <c r="D1853" s="18">
        <f>IF($A1853="","",IF(Paramètres!I17="","",Paramètres!I17))</f>
        <v/>
      </c>
      <c r="E1853" s="19">
        <f>IF($A1853="","",IF(Paramètres!J17&amp;Paramètres!L17&amp;Paramètres!N17="",Dossiers!$D$38,MAX(IF(Paramètres!J17="",0,IF(Paramètres!K17="",NA(),IF(LEFT(TRIM(Paramètres!K17),1)="F",INDEX($F$1841:$F$1893,MATCH(Paramètres!J17,Paramètres!$G$5:$G$57,0)),INDEX($E$1841:$E$1893,MATCH(Paramètres!J17,Paramètres!$G$5:$G$57,0)))+IF(RIGHT(TRIM(Paramètres!K17),3)="Fin",1-$H1853,IF(LEFT(TRIM(Paramètres!K17),1)="F",1,0)))),IF(Paramètres!L17="",0,IF(Paramètres!M17="",NA(),IF(LEFT(TRIM(Paramètres!M17),1)="F",INDEX($F$1841:$F$1893,MATCH(Paramètres!L17,Paramètres!$G$5:$G$57,0)),INDEX($E$1841:$E$1893,MATCH(Paramètres!L17,Paramètres!$G$5:$G$57,0)))+IF(RIGHT(TRIM(Paramètres!M17),3)="Fin",1-$H1853,IF(LEFT(TRIM(Paramètres!M17),1)="F",1,0)))),IF(Paramètres!N17="",0,IF(Paramètres!O17="",NA(),IF(LEFT(TRIM(Paramètres!O17),1)="F",INDEX($F$1841:$F$1893,MATCH(Paramètres!N17,Paramètres!$G$5:$G$57,0)),INDEX($E$1841:$E$1893,MATCH(Paramètres!N17,Paramètres!$G$5:$G$57,0)))+IF(RIGHT(TRIM(Paramètres!O17),3)="Fin",1-$H1853,IF(LEFT(TRIM(Paramètres!O17),1)="F",1,0)))))))</f>
        <v/>
      </c>
      <c r="F1853" s="19">
        <f>IF($A1853="","",E1853+$H1853-1)</f>
        <v/>
      </c>
      <c r="G1853" s="18" t="n"/>
      <c r="H1853" s="18">
        <f>IF($A1853="","",IF(I1853&lt;&gt;"",I1853,Paramètres!B17))</f>
        <v/>
      </c>
      <c r="I1853" s="18" t="n"/>
    </row>
    <row r="1854">
      <c r="A1854" s="18">
        <f>IF(ISNUMBER(Dossiers!$D$38),Dossiers!$A$38&amp;" · "&amp;Dossiers!$B$38,"")</f>
        <v/>
      </c>
      <c r="B1854" s="18">
        <f>IF($A1854="","",Paramètres!G18)</f>
        <v/>
      </c>
      <c r="C1854" s="18">
        <f>IF($A1854="","",IF(Paramètres!H18="","",Paramètres!H18))</f>
        <v/>
      </c>
      <c r="D1854" s="18">
        <f>IF($A1854="","",IF(Paramètres!I18="","",Paramètres!I18))</f>
        <v/>
      </c>
      <c r="E1854" s="19">
        <f>IF($A1854="","",IF(Paramètres!J18&amp;Paramètres!L18&amp;Paramètres!N18="",Dossiers!$D$38,MAX(IF(Paramètres!J18="",0,IF(Paramètres!K18="",NA(),IF(LEFT(TRIM(Paramètres!K18),1)="F",INDEX($F$1841:$F$1893,MATCH(Paramètres!J18,Paramètres!$G$5:$G$57,0)),INDEX($E$1841:$E$1893,MATCH(Paramètres!J18,Paramètres!$G$5:$G$57,0)))+IF(RIGHT(TRIM(Paramètres!K18),3)="Fin",1-$H1854,IF(LEFT(TRIM(Paramètres!K18),1)="F",1,0)))),IF(Paramètres!L18="",0,IF(Paramètres!M18="",NA(),IF(LEFT(TRIM(Paramètres!M18),1)="F",INDEX($F$1841:$F$1893,MATCH(Paramètres!L18,Paramètres!$G$5:$G$57,0)),INDEX($E$1841:$E$1893,MATCH(Paramètres!L18,Paramètres!$G$5:$G$57,0)))+IF(RIGHT(TRIM(Paramètres!M18),3)="Fin",1-$H1854,IF(LEFT(TRIM(Paramètres!M18),1)="F",1,0)))),IF(Paramètres!N18="",0,IF(Paramètres!O18="",NA(),IF(LEFT(TRIM(Paramètres!O18),1)="F",INDEX($F$1841:$F$1893,MATCH(Paramètres!N18,Paramètres!$G$5:$G$57,0)),INDEX($E$1841:$E$1893,MATCH(Paramètres!N18,Paramètres!$G$5:$G$57,0)))+IF(RIGHT(TRIM(Paramètres!O18),3)="Fin",1-$H1854,IF(LEFT(TRIM(Paramètres!O18),1)="F",1,0)))))))</f>
        <v/>
      </c>
      <c r="F1854" s="19">
        <f>IF($A1854="","",E1854+$H1854-1)</f>
        <v/>
      </c>
      <c r="G1854" s="18" t="n"/>
      <c r="H1854" s="18">
        <f>IF($A1854="","",IF(I1854&lt;&gt;"",I1854,Paramètres!B18))</f>
        <v/>
      </c>
      <c r="I1854" s="18" t="n"/>
    </row>
    <row r="1855">
      <c r="A1855" s="18">
        <f>IF(ISNUMBER(Dossiers!$D$38),Dossiers!$A$38&amp;" · "&amp;Dossiers!$B$38,"")</f>
        <v/>
      </c>
      <c r="B1855" s="18">
        <f>IF($A1855="","",Paramètres!G19)</f>
        <v/>
      </c>
      <c r="C1855" s="18">
        <f>IF($A1855="","",IF(Paramètres!H19="","",Paramètres!H19))</f>
        <v/>
      </c>
      <c r="D1855" s="18">
        <f>IF($A1855="","",IF(Paramètres!I19="","",Paramètres!I19))</f>
        <v/>
      </c>
      <c r="E1855" s="19">
        <f>IF($A1855="","",IF(Paramètres!J19&amp;Paramètres!L19&amp;Paramètres!N19="",Dossiers!$D$38,MAX(IF(Paramètres!J19="",0,IF(Paramètres!K19="",NA(),IF(LEFT(TRIM(Paramètres!K19),1)="F",INDEX($F$1841:$F$1893,MATCH(Paramètres!J19,Paramètres!$G$5:$G$57,0)),INDEX($E$1841:$E$1893,MATCH(Paramètres!J19,Paramètres!$G$5:$G$57,0)))+IF(RIGHT(TRIM(Paramètres!K19),3)="Fin",1-$H1855,IF(LEFT(TRIM(Paramètres!K19),1)="F",1,0)))),IF(Paramètres!L19="",0,IF(Paramètres!M19="",NA(),IF(LEFT(TRIM(Paramètres!M19),1)="F",INDEX($F$1841:$F$1893,MATCH(Paramètres!L19,Paramètres!$G$5:$G$57,0)),INDEX($E$1841:$E$1893,MATCH(Paramètres!L19,Paramètres!$G$5:$G$57,0)))+IF(RIGHT(TRIM(Paramètres!M19),3)="Fin",1-$H1855,IF(LEFT(TRIM(Paramètres!M19),1)="F",1,0)))),IF(Paramètres!N19="",0,IF(Paramètres!O19="",NA(),IF(LEFT(TRIM(Paramètres!O19),1)="F",INDEX($F$1841:$F$1893,MATCH(Paramètres!N19,Paramètres!$G$5:$G$57,0)),INDEX($E$1841:$E$1893,MATCH(Paramètres!N19,Paramètres!$G$5:$G$57,0)))+IF(RIGHT(TRIM(Paramètres!O19),3)="Fin",1-$H1855,IF(LEFT(TRIM(Paramètres!O19),1)="F",1,0)))))))</f>
        <v/>
      </c>
      <c r="F1855" s="19">
        <f>IF($A1855="","",E1855+$H1855-1)</f>
        <v/>
      </c>
      <c r="G1855" s="18" t="n"/>
      <c r="H1855" s="18">
        <f>IF($A1855="","",IF(I1855&lt;&gt;"",I1855,Paramètres!B19))</f>
        <v/>
      </c>
      <c r="I1855" s="18" t="n"/>
    </row>
    <row r="1856">
      <c r="A1856" s="18">
        <f>IF(ISNUMBER(Dossiers!$D$38),Dossiers!$A$38&amp;" · "&amp;Dossiers!$B$38,"")</f>
        <v/>
      </c>
      <c r="B1856" s="18">
        <f>IF($A1856="","",Paramètres!G20)</f>
        <v/>
      </c>
      <c r="C1856" s="18">
        <f>IF($A1856="","",IF(Paramètres!H20="","",Paramètres!H20))</f>
        <v/>
      </c>
      <c r="D1856" s="18">
        <f>IF($A1856="","",IF(Paramètres!I20="","",Paramètres!I20))</f>
        <v/>
      </c>
      <c r="E1856" s="19">
        <f>IF($A1856="","",IF(Paramètres!J20&amp;Paramètres!L20&amp;Paramètres!N20="",Dossiers!$D$38,MAX(IF(Paramètres!J20="",0,IF(Paramètres!K20="",NA(),IF(LEFT(TRIM(Paramètres!K20),1)="F",INDEX($F$1841:$F$1893,MATCH(Paramètres!J20,Paramètres!$G$5:$G$57,0)),INDEX($E$1841:$E$1893,MATCH(Paramètres!J20,Paramètres!$G$5:$G$57,0)))+IF(RIGHT(TRIM(Paramètres!K20),3)="Fin",1-$H1856,IF(LEFT(TRIM(Paramètres!K20),1)="F",1,0)))),IF(Paramètres!L20="",0,IF(Paramètres!M20="",NA(),IF(LEFT(TRIM(Paramètres!M20),1)="F",INDEX($F$1841:$F$1893,MATCH(Paramètres!L20,Paramètres!$G$5:$G$57,0)),INDEX($E$1841:$E$1893,MATCH(Paramètres!L20,Paramètres!$G$5:$G$57,0)))+IF(RIGHT(TRIM(Paramètres!M20),3)="Fin",1-$H1856,IF(LEFT(TRIM(Paramètres!M20),1)="F",1,0)))),IF(Paramètres!N20="",0,IF(Paramètres!O20="",NA(),IF(LEFT(TRIM(Paramètres!O20),1)="F",INDEX($F$1841:$F$1893,MATCH(Paramètres!N20,Paramètres!$G$5:$G$57,0)),INDEX($E$1841:$E$1893,MATCH(Paramètres!N20,Paramètres!$G$5:$G$57,0)))+IF(RIGHT(TRIM(Paramètres!O20),3)="Fin",1-$H1856,IF(LEFT(TRIM(Paramètres!O20),1)="F",1,0)))))))</f>
        <v/>
      </c>
      <c r="F1856" s="19">
        <f>IF($A1856="","",E1856+$H1856-1)</f>
        <v/>
      </c>
      <c r="G1856" s="18" t="n"/>
      <c r="H1856" s="18">
        <f>IF($A1856="","",IF(I1856&lt;&gt;"",I1856,Paramètres!B20))</f>
        <v/>
      </c>
      <c r="I1856" s="18" t="n"/>
    </row>
    <row r="1857">
      <c r="A1857" s="18">
        <f>IF(ISNUMBER(Dossiers!$D$38),Dossiers!$A$38&amp;" · "&amp;Dossiers!$B$38,"")</f>
        <v/>
      </c>
      <c r="B1857" s="18">
        <f>IF($A1857="","",Paramètres!G21)</f>
        <v/>
      </c>
      <c r="C1857" s="18">
        <f>IF($A1857="","",IF(Paramètres!H21="","",Paramètres!H21))</f>
        <v/>
      </c>
      <c r="D1857" s="18">
        <f>IF($A1857="","",IF(Paramètres!I21="","",Paramètres!I21))</f>
        <v/>
      </c>
      <c r="E1857" s="19">
        <f>IF($A1857="","",IF(Paramètres!J21&amp;Paramètres!L21&amp;Paramètres!N21="",Dossiers!$D$38,MAX(IF(Paramètres!J21="",0,IF(Paramètres!K21="",NA(),IF(LEFT(TRIM(Paramètres!K21),1)="F",INDEX($F$1841:$F$1893,MATCH(Paramètres!J21,Paramètres!$G$5:$G$57,0)),INDEX($E$1841:$E$1893,MATCH(Paramètres!J21,Paramètres!$G$5:$G$57,0)))+IF(RIGHT(TRIM(Paramètres!K21),3)="Fin",1-$H1857,IF(LEFT(TRIM(Paramètres!K21),1)="F",1,0)))),IF(Paramètres!L21="",0,IF(Paramètres!M21="",NA(),IF(LEFT(TRIM(Paramètres!M21),1)="F",INDEX($F$1841:$F$1893,MATCH(Paramètres!L21,Paramètres!$G$5:$G$57,0)),INDEX($E$1841:$E$1893,MATCH(Paramètres!L21,Paramètres!$G$5:$G$57,0)))+IF(RIGHT(TRIM(Paramètres!M21),3)="Fin",1-$H1857,IF(LEFT(TRIM(Paramètres!M21),1)="F",1,0)))),IF(Paramètres!N21="",0,IF(Paramètres!O21="",NA(),IF(LEFT(TRIM(Paramètres!O21),1)="F",INDEX($F$1841:$F$1893,MATCH(Paramètres!N21,Paramètres!$G$5:$G$57,0)),INDEX($E$1841:$E$1893,MATCH(Paramètres!N21,Paramètres!$G$5:$G$57,0)))+IF(RIGHT(TRIM(Paramètres!O21),3)="Fin",1-$H1857,IF(LEFT(TRIM(Paramètres!O21),1)="F",1,0)))))))</f>
        <v/>
      </c>
      <c r="F1857" s="19">
        <f>IF($A1857="","",E1857+$H1857-1)</f>
        <v/>
      </c>
      <c r="G1857" s="18" t="n"/>
      <c r="H1857" s="18">
        <f>IF($A1857="","",IF(I1857&lt;&gt;"",I1857,Paramètres!B21))</f>
        <v/>
      </c>
      <c r="I1857" s="18" t="n"/>
    </row>
    <row r="1858">
      <c r="A1858" s="18">
        <f>IF(ISNUMBER(Dossiers!$D$38),Dossiers!$A$38&amp;" · "&amp;Dossiers!$B$38,"")</f>
        <v/>
      </c>
      <c r="B1858" s="18">
        <f>IF($A1858="","",Paramètres!G22)</f>
        <v/>
      </c>
      <c r="C1858" s="18">
        <f>IF($A1858="","",IF(Paramètres!H22="","",Paramètres!H22))</f>
        <v/>
      </c>
      <c r="D1858" s="18">
        <f>IF($A1858="","",IF(Paramètres!I22="","",Paramètres!I22))</f>
        <v/>
      </c>
      <c r="E1858" s="19">
        <f>IF($A1858="","",IF(Paramètres!J22&amp;Paramètres!L22&amp;Paramètres!N22="",Dossiers!$D$38,MAX(IF(Paramètres!J22="",0,IF(Paramètres!K22="",NA(),IF(LEFT(TRIM(Paramètres!K22),1)="F",INDEX($F$1841:$F$1893,MATCH(Paramètres!J22,Paramètres!$G$5:$G$57,0)),INDEX($E$1841:$E$1893,MATCH(Paramètres!J22,Paramètres!$G$5:$G$57,0)))+IF(RIGHT(TRIM(Paramètres!K22),3)="Fin",1-$H1858,IF(LEFT(TRIM(Paramètres!K22),1)="F",1,0)))),IF(Paramètres!L22="",0,IF(Paramètres!M22="",NA(),IF(LEFT(TRIM(Paramètres!M22),1)="F",INDEX($F$1841:$F$1893,MATCH(Paramètres!L22,Paramètres!$G$5:$G$57,0)),INDEX($E$1841:$E$1893,MATCH(Paramètres!L22,Paramètres!$G$5:$G$57,0)))+IF(RIGHT(TRIM(Paramètres!M22),3)="Fin",1-$H1858,IF(LEFT(TRIM(Paramètres!M22),1)="F",1,0)))),IF(Paramètres!N22="",0,IF(Paramètres!O22="",NA(),IF(LEFT(TRIM(Paramètres!O22),1)="F",INDEX($F$1841:$F$1893,MATCH(Paramètres!N22,Paramètres!$G$5:$G$57,0)),INDEX($E$1841:$E$1893,MATCH(Paramètres!N22,Paramètres!$G$5:$G$57,0)))+IF(RIGHT(TRIM(Paramètres!O22),3)="Fin",1-$H1858,IF(LEFT(TRIM(Paramètres!O22),1)="F",1,0)))))))</f>
        <v/>
      </c>
      <c r="F1858" s="19">
        <f>IF($A1858="","",E1858+$H1858-1)</f>
        <v/>
      </c>
      <c r="G1858" s="18" t="n"/>
      <c r="H1858" s="18">
        <f>IF($A1858="","",IF(I1858&lt;&gt;"",I1858,Paramètres!B22))</f>
        <v/>
      </c>
      <c r="I1858" s="18" t="n"/>
    </row>
    <row r="1859">
      <c r="A1859" s="18">
        <f>IF(ISNUMBER(Dossiers!$D$38),Dossiers!$A$38&amp;" · "&amp;Dossiers!$B$38,"")</f>
        <v/>
      </c>
      <c r="B1859" s="18">
        <f>IF($A1859="","",Paramètres!G23)</f>
        <v/>
      </c>
      <c r="C1859" s="18">
        <f>IF($A1859="","",IF(Paramètres!H23="","",Paramètres!H23))</f>
        <v/>
      </c>
      <c r="D1859" s="18">
        <f>IF($A1859="","",IF(Paramètres!I23="","",Paramètres!I23))</f>
        <v/>
      </c>
      <c r="E1859" s="19">
        <f>IF($A1859="","",IF(Paramètres!J23&amp;Paramètres!L23&amp;Paramètres!N23="",Dossiers!$D$38,MAX(IF(Paramètres!J23="",0,IF(Paramètres!K23="",NA(),IF(LEFT(TRIM(Paramètres!K23),1)="F",INDEX($F$1841:$F$1893,MATCH(Paramètres!J23,Paramètres!$G$5:$G$57,0)),INDEX($E$1841:$E$1893,MATCH(Paramètres!J23,Paramètres!$G$5:$G$57,0)))+IF(RIGHT(TRIM(Paramètres!K23),3)="Fin",1-$H1859,IF(LEFT(TRIM(Paramètres!K23),1)="F",1,0)))),IF(Paramètres!L23="",0,IF(Paramètres!M23="",NA(),IF(LEFT(TRIM(Paramètres!M23),1)="F",INDEX($F$1841:$F$1893,MATCH(Paramètres!L23,Paramètres!$G$5:$G$57,0)),INDEX($E$1841:$E$1893,MATCH(Paramètres!L23,Paramètres!$G$5:$G$57,0)))+IF(RIGHT(TRIM(Paramètres!M23),3)="Fin",1-$H1859,IF(LEFT(TRIM(Paramètres!M23),1)="F",1,0)))),IF(Paramètres!N23="",0,IF(Paramètres!O23="",NA(),IF(LEFT(TRIM(Paramètres!O23),1)="F",INDEX($F$1841:$F$1893,MATCH(Paramètres!N23,Paramètres!$G$5:$G$57,0)),INDEX($E$1841:$E$1893,MATCH(Paramètres!N23,Paramètres!$G$5:$G$57,0)))+IF(RIGHT(TRIM(Paramètres!O23),3)="Fin",1-$H1859,IF(LEFT(TRIM(Paramètres!O23),1)="F",1,0)))))))</f>
        <v/>
      </c>
      <c r="F1859" s="19">
        <f>IF($A1859="","",E1859+$H1859-1)</f>
        <v/>
      </c>
      <c r="G1859" s="18" t="n"/>
      <c r="H1859" s="18">
        <f>IF($A1859="","",IF(I1859&lt;&gt;"",I1859,Paramètres!B23))</f>
        <v/>
      </c>
      <c r="I1859" s="18" t="n"/>
    </row>
    <row r="1860">
      <c r="A1860" s="18">
        <f>IF(ISNUMBER(Dossiers!$D$38),Dossiers!$A$38&amp;" · "&amp;Dossiers!$B$38,"")</f>
        <v/>
      </c>
      <c r="B1860" s="18">
        <f>IF($A1860="","",Paramètres!G24)</f>
        <v/>
      </c>
      <c r="C1860" s="18">
        <f>IF($A1860="","",IF(Paramètres!H24="","",Paramètres!H24))</f>
        <v/>
      </c>
      <c r="D1860" s="18">
        <f>IF($A1860="","",IF(Paramètres!I24="","",Paramètres!I24))</f>
        <v/>
      </c>
      <c r="E1860" s="19">
        <f>IF($A1860="","",IF(Paramètres!J24&amp;Paramètres!L24&amp;Paramètres!N24="",Dossiers!$D$38,MAX(IF(Paramètres!J24="",0,IF(Paramètres!K24="",NA(),IF(LEFT(TRIM(Paramètres!K24),1)="F",INDEX($F$1841:$F$1893,MATCH(Paramètres!J24,Paramètres!$G$5:$G$57,0)),INDEX($E$1841:$E$1893,MATCH(Paramètres!J24,Paramètres!$G$5:$G$57,0)))+IF(RIGHT(TRIM(Paramètres!K24),3)="Fin",1-$H1860,IF(LEFT(TRIM(Paramètres!K24),1)="F",1,0)))),IF(Paramètres!L24="",0,IF(Paramètres!M24="",NA(),IF(LEFT(TRIM(Paramètres!M24),1)="F",INDEX($F$1841:$F$1893,MATCH(Paramètres!L24,Paramètres!$G$5:$G$57,0)),INDEX($E$1841:$E$1893,MATCH(Paramètres!L24,Paramètres!$G$5:$G$57,0)))+IF(RIGHT(TRIM(Paramètres!M24),3)="Fin",1-$H1860,IF(LEFT(TRIM(Paramètres!M24),1)="F",1,0)))),IF(Paramètres!N24="",0,IF(Paramètres!O24="",NA(),IF(LEFT(TRIM(Paramètres!O24),1)="F",INDEX($F$1841:$F$1893,MATCH(Paramètres!N24,Paramètres!$G$5:$G$57,0)),INDEX($E$1841:$E$1893,MATCH(Paramètres!N24,Paramètres!$G$5:$G$57,0)))+IF(RIGHT(TRIM(Paramètres!O24),3)="Fin",1-$H1860,IF(LEFT(TRIM(Paramètres!O24),1)="F",1,0)))))))</f>
        <v/>
      </c>
      <c r="F1860" s="19">
        <f>IF($A1860="","",E1860+$H1860-1)</f>
        <v/>
      </c>
      <c r="G1860" s="18" t="n"/>
      <c r="H1860" s="18">
        <f>IF($A1860="","",IF(I1860&lt;&gt;"",I1860,Paramètres!B24))</f>
        <v/>
      </c>
      <c r="I1860" s="18" t="n"/>
    </row>
    <row r="1861">
      <c r="A1861" s="18">
        <f>IF(ISNUMBER(Dossiers!$D$38),Dossiers!$A$38&amp;" · "&amp;Dossiers!$B$38,"")</f>
        <v/>
      </c>
      <c r="B1861" s="18">
        <f>IF($A1861="","",Paramètres!G25)</f>
        <v/>
      </c>
      <c r="C1861" s="18">
        <f>IF($A1861="","",IF(Paramètres!H25="","",Paramètres!H25))</f>
        <v/>
      </c>
      <c r="D1861" s="18">
        <f>IF($A1861="","",IF(Paramètres!I25="","",Paramètres!I25))</f>
        <v/>
      </c>
      <c r="E1861" s="19">
        <f>IF($A1861="","",IF(Paramètres!J25&amp;Paramètres!L25&amp;Paramètres!N25="",Dossiers!$D$38,MAX(IF(Paramètres!J25="",0,IF(Paramètres!K25="",NA(),IF(LEFT(TRIM(Paramètres!K25),1)="F",INDEX($F$1841:$F$1893,MATCH(Paramètres!J25,Paramètres!$G$5:$G$57,0)),INDEX($E$1841:$E$1893,MATCH(Paramètres!J25,Paramètres!$G$5:$G$57,0)))+IF(RIGHT(TRIM(Paramètres!K25),3)="Fin",1-$H1861,IF(LEFT(TRIM(Paramètres!K25),1)="F",1,0)))),IF(Paramètres!L25="",0,IF(Paramètres!M25="",NA(),IF(LEFT(TRIM(Paramètres!M25),1)="F",INDEX($F$1841:$F$1893,MATCH(Paramètres!L25,Paramètres!$G$5:$G$57,0)),INDEX($E$1841:$E$1893,MATCH(Paramètres!L25,Paramètres!$G$5:$G$57,0)))+IF(RIGHT(TRIM(Paramètres!M25),3)="Fin",1-$H1861,IF(LEFT(TRIM(Paramètres!M25),1)="F",1,0)))),IF(Paramètres!N25="",0,IF(Paramètres!O25="",NA(),IF(LEFT(TRIM(Paramètres!O25),1)="F",INDEX($F$1841:$F$1893,MATCH(Paramètres!N25,Paramètres!$G$5:$G$57,0)),INDEX($E$1841:$E$1893,MATCH(Paramètres!N25,Paramètres!$G$5:$G$57,0)))+IF(RIGHT(TRIM(Paramètres!O25),3)="Fin",1-$H1861,IF(LEFT(TRIM(Paramètres!O25),1)="F",1,0)))))))</f>
        <v/>
      </c>
      <c r="F1861" s="19">
        <f>IF($A1861="","",E1861+$H1861-1)</f>
        <v/>
      </c>
      <c r="G1861" s="18" t="n"/>
      <c r="H1861" s="18">
        <f>IF($A1861="","",IF(I1861&lt;&gt;"",I1861,Paramètres!B25))</f>
        <v/>
      </c>
      <c r="I1861" s="18" t="n"/>
    </row>
    <row r="1862">
      <c r="A1862" s="18">
        <f>IF(ISNUMBER(Dossiers!$D$38),Dossiers!$A$38&amp;" · "&amp;Dossiers!$B$38,"")</f>
        <v/>
      </c>
      <c r="B1862" s="18">
        <f>IF($A1862="","",Paramètres!G26)</f>
        <v/>
      </c>
      <c r="C1862" s="18">
        <f>IF($A1862="","",IF(Paramètres!H26="","",Paramètres!H26))</f>
        <v/>
      </c>
      <c r="D1862" s="18">
        <f>IF($A1862="","",IF(Paramètres!I26="","",Paramètres!I26))</f>
        <v/>
      </c>
      <c r="E1862" s="19">
        <f>IF($A1862="","",IF(Paramètres!J26&amp;Paramètres!L26&amp;Paramètres!N26="",Dossiers!$D$38,MAX(IF(Paramètres!J26="",0,IF(Paramètres!K26="",NA(),IF(LEFT(TRIM(Paramètres!K26),1)="F",INDEX($F$1841:$F$1893,MATCH(Paramètres!J26,Paramètres!$G$5:$G$57,0)),INDEX($E$1841:$E$1893,MATCH(Paramètres!J26,Paramètres!$G$5:$G$57,0)))+IF(RIGHT(TRIM(Paramètres!K26),3)="Fin",1-$H1862,IF(LEFT(TRIM(Paramètres!K26),1)="F",1,0)))),IF(Paramètres!L26="",0,IF(Paramètres!M26="",NA(),IF(LEFT(TRIM(Paramètres!M26),1)="F",INDEX($F$1841:$F$1893,MATCH(Paramètres!L26,Paramètres!$G$5:$G$57,0)),INDEX($E$1841:$E$1893,MATCH(Paramètres!L26,Paramètres!$G$5:$G$57,0)))+IF(RIGHT(TRIM(Paramètres!M26),3)="Fin",1-$H1862,IF(LEFT(TRIM(Paramètres!M26),1)="F",1,0)))),IF(Paramètres!N26="",0,IF(Paramètres!O26="",NA(),IF(LEFT(TRIM(Paramètres!O26),1)="F",INDEX($F$1841:$F$1893,MATCH(Paramètres!N26,Paramètres!$G$5:$G$57,0)),INDEX($E$1841:$E$1893,MATCH(Paramètres!N26,Paramètres!$G$5:$G$57,0)))+IF(RIGHT(TRIM(Paramètres!O26),3)="Fin",1-$H1862,IF(LEFT(TRIM(Paramètres!O26),1)="F",1,0)))))))</f>
        <v/>
      </c>
      <c r="F1862" s="19">
        <f>IF($A1862="","",E1862+$H1862-1)</f>
        <v/>
      </c>
      <c r="G1862" s="18" t="n"/>
      <c r="H1862" s="18">
        <f>IF($A1862="","",IF(I1862&lt;&gt;"",I1862,Paramètres!B26))</f>
        <v/>
      </c>
      <c r="I1862" s="18" t="n"/>
    </row>
    <row r="1863">
      <c r="A1863" s="18">
        <f>IF(ISNUMBER(Dossiers!$D$38),Dossiers!$A$38&amp;" · "&amp;Dossiers!$B$38,"")</f>
        <v/>
      </c>
      <c r="B1863" s="18">
        <f>IF($A1863="","",Paramètres!G27)</f>
        <v/>
      </c>
      <c r="C1863" s="18">
        <f>IF($A1863="","",IF(Paramètres!H27="","",Paramètres!H27))</f>
        <v/>
      </c>
      <c r="D1863" s="18">
        <f>IF($A1863="","",IF(Paramètres!I27="","",Paramètres!I27))</f>
        <v/>
      </c>
      <c r="E1863" s="19">
        <f>IF($A1863="","",IF(Paramètres!J27&amp;Paramètres!L27&amp;Paramètres!N27="",Dossiers!$D$38,MAX(IF(Paramètres!J27="",0,IF(Paramètres!K27="",NA(),IF(LEFT(TRIM(Paramètres!K27),1)="F",INDEX($F$1841:$F$1893,MATCH(Paramètres!J27,Paramètres!$G$5:$G$57,0)),INDEX($E$1841:$E$1893,MATCH(Paramètres!J27,Paramètres!$G$5:$G$57,0)))+IF(RIGHT(TRIM(Paramètres!K27),3)="Fin",1-$H1863,IF(LEFT(TRIM(Paramètres!K27),1)="F",1,0)))),IF(Paramètres!L27="",0,IF(Paramètres!M27="",NA(),IF(LEFT(TRIM(Paramètres!M27),1)="F",INDEX($F$1841:$F$1893,MATCH(Paramètres!L27,Paramètres!$G$5:$G$57,0)),INDEX($E$1841:$E$1893,MATCH(Paramètres!L27,Paramètres!$G$5:$G$57,0)))+IF(RIGHT(TRIM(Paramètres!M27),3)="Fin",1-$H1863,IF(LEFT(TRIM(Paramètres!M27),1)="F",1,0)))),IF(Paramètres!N27="",0,IF(Paramètres!O27="",NA(),IF(LEFT(TRIM(Paramètres!O27),1)="F",INDEX($F$1841:$F$1893,MATCH(Paramètres!N27,Paramètres!$G$5:$G$57,0)),INDEX($E$1841:$E$1893,MATCH(Paramètres!N27,Paramètres!$G$5:$G$57,0)))+IF(RIGHT(TRIM(Paramètres!O27),3)="Fin",1-$H1863,IF(LEFT(TRIM(Paramètres!O27),1)="F",1,0)))))))</f>
        <v/>
      </c>
      <c r="F1863" s="19">
        <f>IF($A1863="","",E1863+$H1863-1)</f>
        <v/>
      </c>
      <c r="G1863" s="18" t="n"/>
      <c r="H1863" s="18">
        <f>IF($A1863="","",IF(I1863&lt;&gt;"",I1863,Paramètres!B27))</f>
        <v/>
      </c>
      <c r="I1863" s="18" t="n"/>
    </row>
    <row r="1864">
      <c r="A1864" s="18">
        <f>IF(ISNUMBER(Dossiers!$D$38),Dossiers!$A$38&amp;" · "&amp;Dossiers!$B$38,"")</f>
        <v/>
      </c>
      <c r="B1864" s="18">
        <f>IF($A1864="","",Paramètres!G28)</f>
        <v/>
      </c>
      <c r="C1864" s="18">
        <f>IF($A1864="","",IF(Paramètres!H28="","",Paramètres!H28))</f>
        <v/>
      </c>
      <c r="D1864" s="18">
        <f>IF($A1864="","",IF(Paramètres!I28="","",Paramètres!I28))</f>
        <v/>
      </c>
      <c r="E1864" s="19">
        <f>IF($A1864="","",IF(Paramètres!J28&amp;Paramètres!L28&amp;Paramètres!N28="",Dossiers!$D$38,MAX(IF(Paramètres!J28="",0,IF(Paramètres!K28="",NA(),IF(LEFT(TRIM(Paramètres!K28),1)="F",INDEX($F$1841:$F$1893,MATCH(Paramètres!J28,Paramètres!$G$5:$G$57,0)),INDEX($E$1841:$E$1893,MATCH(Paramètres!J28,Paramètres!$G$5:$G$57,0)))+IF(RIGHT(TRIM(Paramètres!K28),3)="Fin",1-$H1864,IF(LEFT(TRIM(Paramètres!K28),1)="F",1,0)))),IF(Paramètres!L28="",0,IF(Paramètres!M28="",NA(),IF(LEFT(TRIM(Paramètres!M28),1)="F",INDEX($F$1841:$F$1893,MATCH(Paramètres!L28,Paramètres!$G$5:$G$57,0)),INDEX($E$1841:$E$1893,MATCH(Paramètres!L28,Paramètres!$G$5:$G$57,0)))+IF(RIGHT(TRIM(Paramètres!M28),3)="Fin",1-$H1864,IF(LEFT(TRIM(Paramètres!M28),1)="F",1,0)))),IF(Paramètres!N28="",0,IF(Paramètres!O28="",NA(),IF(LEFT(TRIM(Paramètres!O28),1)="F",INDEX($F$1841:$F$1893,MATCH(Paramètres!N28,Paramètres!$G$5:$G$57,0)),INDEX($E$1841:$E$1893,MATCH(Paramètres!N28,Paramètres!$G$5:$G$57,0)))+IF(RIGHT(TRIM(Paramètres!O28),3)="Fin",1-$H1864,IF(LEFT(TRIM(Paramètres!O28),1)="F",1,0)))))))</f>
        <v/>
      </c>
      <c r="F1864" s="19">
        <f>IF($A1864="","",E1864+$H1864-1)</f>
        <v/>
      </c>
      <c r="G1864" s="18" t="n"/>
      <c r="H1864" s="18">
        <f>IF($A1864="","",IF(I1864&lt;&gt;"",I1864,Paramètres!B28))</f>
        <v/>
      </c>
      <c r="I1864" s="18" t="n"/>
    </row>
    <row r="1865">
      <c r="A1865" s="18">
        <f>IF(ISNUMBER(Dossiers!$D$38),Dossiers!$A$38&amp;" · "&amp;Dossiers!$B$38,"")</f>
        <v/>
      </c>
      <c r="B1865" s="18">
        <f>IF($A1865="","",Paramètres!G29)</f>
        <v/>
      </c>
      <c r="C1865" s="18">
        <f>IF($A1865="","",IF(Paramètres!H29="","",Paramètres!H29))</f>
        <v/>
      </c>
      <c r="D1865" s="18">
        <f>IF($A1865="","",IF(Paramètres!I29="","",Paramètres!I29))</f>
        <v/>
      </c>
      <c r="E1865" s="19">
        <f>IF($A1865="","",IF(Paramètres!J29&amp;Paramètres!L29&amp;Paramètres!N29="",Dossiers!$D$38,MAX(IF(Paramètres!J29="",0,IF(Paramètres!K29="",NA(),IF(LEFT(TRIM(Paramètres!K29),1)="F",INDEX($F$1841:$F$1893,MATCH(Paramètres!J29,Paramètres!$G$5:$G$57,0)),INDEX($E$1841:$E$1893,MATCH(Paramètres!J29,Paramètres!$G$5:$G$57,0)))+IF(RIGHT(TRIM(Paramètres!K29),3)="Fin",1-$H1865,IF(LEFT(TRIM(Paramètres!K29),1)="F",1,0)))),IF(Paramètres!L29="",0,IF(Paramètres!M29="",NA(),IF(LEFT(TRIM(Paramètres!M29),1)="F",INDEX($F$1841:$F$1893,MATCH(Paramètres!L29,Paramètres!$G$5:$G$57,0)),INDEX($E$1841:$E$1893,MATCH(Paramètres!L29,Paramètres!$G$5:$G$57,0)))+IF(RIGHT(TRIM(Paramètres!M29),3)="Fin",1-$H1865,IF(LEFT(TRIM(Paramètres!M29),1)="F",1,0)))),IF(Paramètres!N29="",0,IF(Paramètres!O29="",NA(),IF(LEFT(TRIM(Paramètres!O29),1)="F",INDEX($F$1841:$F$1893,MATCH(Paramètres!N29,Paramètres!$G$5:$G$57,0)),INDEX($E$1841:$E$1893,MATCH(Paramètres!N29,Paramètres!$G$5:$G$57,0)))+IF(RIGHT(TRIM(Paramètres!O29),3)="Fin",1-$H1865,IF(LEFT(TRIM(Paramètres!O29),1)="F",1,0)))))))</f>
        <v/>
      </c>
      <c r="F1865" s="19">
        <f>IF($A1865="","",E1865+$H1865-1)</f>
        <v/>
      </c>
      <c r="G1865" s="18" t="n"/>
      <c r="H1865" s="18">
        <f>IF($A1865="","",IF(I1865&lt;&gt;"",I1865,Paramètres!B29))</f>
        <v/>
      </c>
      <c r="I1865" s="18" t="n"/>
    </row>
    <row r="1866">
      <c r="A1866" s="18">
        <f>IF(ISNUMBER(Dossiers!$D$38),Dossiers!$A$38&amp;" · "&amp;Dossiers!$B$38,"")</f>
        <v/>
      </c>
      <c r="B1866" s="18">
        <f>IF($A1866="","",Paramètres!G30)</f>
        <v/>
      </c>
      <c r="C1866" s="18">
        <f>IF($A1866="","",IF(Paramètres!H30="","",Paramètres!H30))</f>
        <v/>
      </c>
      <c r="D1866" s="18">
        <f>IF($A1866="","",IF(Paramètres!I30="","",Paramètres!I30))</f>
        <v/>
      </c>
      <c r="E1866" s="19">
        <f>IF($A1866="","",IF(Paramètres!J30&amp;Paramètres!L30&amp;Paramètres!N30="",Dossiers!$D$38,MAX(IF(Paramètres!J30="",0,IF(Paramètres!K30="",NA(),IF(LEFT(TRIM(Paramètres!K30),1)="F",INDEX($F$1841:$F$1893,MATCH(Paramètres!J30,Paramètres!$G$5:$G$57,0)),INDEX($E$1841:$E$1893,MATCH(Paramètres!J30,Paramètres!$G$5:$G$57,0)))+IF(RIGHT(TRIM(Paramètres!K30),3)="Fin",1-$H1866,IF(LEFT(TRIM(Paramètres!K30),1)="F",1,0)))),IF(Paramètres!L30="",0,IF(Paramètres!M30="",NA(),IF(LEFT(TRIM(Paramètres!M30),1)="F",INDEX($F$1841:$F$1893,MATCH(Paramètres!L30,Paramètres!$G$5:$G$57,0)),INDEX($E$1841:$E$1893,MATCH(Paramètres!L30,Paramètres!$G$5:$G$57,0)))+IF(RIGHT(TRIM(Paramètres!M30),3)="Fin",1-$H1866,IF(LEFT(TRIM(Paramètres!M30),1)="F",1,0)))),IF(Paramètres!N30="",0,IF(Paramètres!O30="",NA(),IF(LEFT(TRIM(Paramètres!O30),1)="F",INDEX($F$1841:$F$1893,MATCH(Paramètres!N30,Paramètres!$G$5:$G$57,0)),INDEX($E$1841:$E$1893,MATCH(Paramètres!N30,Paramètres!$G$5:$G$57,0)))+IF(RIGHT(TRIM(Paramètres!O30),3)="Fin",1-$H1866,IF(LEFT(TRIM(Paramètres!O30),1)="F",1,0)))))))</f>
        <v/>
      </c>
      <c r="F1866" s="19">
        <f>IF($A1866="","",E1866+$H1866-1)</f>
        <v/>
      </c>
      <c r="G1866" s="18" t="n"/>
      <c r="H1866" s="18">
        <f>IF($A1866="","",IF(I1866&lt;&gt;"",I1866,Paramètres!B30))</f>
        <v/>
      </c>
      <c r="I1866" s="18" t="n"/>
    </row>
    <row r="1867">
      <c r="A1867" s="18">
        <f>IF(ISNUMBER(Dossiers!$D$38),Dossiers!$A$38&amp;" · "&amp;Dossiers!$B$38,"")</f>
        <v/>
      </c>
      <c r="B1867" s="18">
        <f>IF($A1867="","",Paramètres!G31)</f>
        <v/>
      </c>
      <c r="C1867" s="20">
        <f>IF($A1867="","",IF(Dossiers!$F$38="","",Dossiers!$F$38))</f>
        <v/>
      </c>
      <c r="D1867" s="18">
        <f>IF($A1867="","",IF(Paramètres!I31="","",Paramètres!I31))</f>
        <v/>
      </c>
      <c r="E1867" s="19">
        <f>IF($A1867="","",IF(Paramètres!J31&amp;Paramètres!L31&amp;Paramètres!N31="",Dossiers!$D$38,MAX(IF(Paramètres!J31="",0,IF(Paramètres!K31="",NA(),IF(LEFT(TRIM(Paramètres!K31),1)="F",INDEX($F$1841:$F$1893,MATCH(Paramètres!J31,Paramètres!$G$5:$G$57,0)),INDEX($E$1841:$E$1893,MATCH(Paramètres!J31,Paramètres!$G$5:$G$57,0)))+IF(RIGHT(TRIM(Paramètres!K31),3)="Fin",1-$H1867,IF(LEFT(TRIM(Paramètres!K31),1)="F",1,0)))),IF(Paramètres!L31="",0,IF(Paramètres!M31="",NA(),IF(LEFT(TRIM(Paramètres!M31),1)="F",INDEX($F$1841:$F$1893,MATCH(Paramètres!L31,Paramètres!$G$5:$G$57,0)),INDEX($E$1841:$E$1893,MATCH(Paramètres!L31,Paramètres!$G$5:$G$57,0)))+IF(RIGHT(TRIM(Paramètres!M31),3)="Fin",1-$H1867,IF(LEFT(TRIM(Paramètres!M31),1)="F",1,0)))),IF(Paramètres!N31="",0,IF(Paramètres!O31="",NA(),IF(LEFT(TRIM(Paramètres!O31),1)="F",INDEX($F$1841:$F$1893,MATCH(Paramètres!N31,Paramètres!$G$5:$G$57,0)),INDEX($E$1841:$E$1893,MATCH(Paramètres!N31,Paramètres!$G$5:$G$57,0)))+IF(RIGHT(TRIM(Paramètres!O31),3)="Fin",1-$H1867,IF(LEFT(TRIM(Paramètres!O31),1)="F",1,0)))))))</f>
        <v/>
      </c>
      <c r="F1867" s="19">
        <f>IF($A1867="","",E1867+$H1867-1)</f>
        <v/>
      </c>
      <c r="G1867" s="18" t="n"/>
      <c r="H1867" s="18">
        <f>IF($A1867="","",IF(I1867&lt;&gt;"",I1867,Paramètres!B31))</f>
        <v/>
      </c>
      <c r="I1867" s="18" t="n"/>
    </row>
    <row r="1868">
      <c r="A1868" s="18">
        <f>IF(ISNUMBER(Dossiers!$D$38),Dossiers!$A$38&amp;" · "&amp;Dossiers!$B$38,"")</f>
        <v/>
      </c>
      <c r="B1868" s="18">
        <f>IF($A1868="","",Paramètres!G32)</f>
        <v/>
      </c>
      <c r="C1868" s="18">
        <f>IF($A1868="","",IF(Paramètres!H32="","",Paramètres!H32))</f>
        <v/>
      </c>
      <c r="D1868" s="18">
        <f>IF($A1868="","",IF(Paramètres!I32="","",Paramètres!I32))</f>
        <v/>
      </c>
      <c r="E1868" s="19">
        <f>IF($A1868="","",MIN(E1869:E1872))</f>
        <v/>
      </c>
      <c r="F1868" s="19">
        <f>IF($A1868="","",MAX(F1869:F1872))</f>
        <v/>
      </c>
      <c r="G1868" s="18" t="n"/>
      <c r="H1868" s="18">
        <f>IF($A1868="","",F1868-E1868+1)</f>
        <v/>
      </c>
      <c r="I1868" s="18" t="n"/>
    </row>
    <row r="1869">
      <c r="A1869" s="18">
        <f>IF(ISNUMBER(Dossiers!$D$38),Dossiers!$A$38&amp;" · "&amp;Dossiers!$B$38,"")</f>
        <v/>
      </c>
      <c r="B1869" s="18">
        <f>IF($A1869="","",Paramètres!G33)</f>
        <v/>
      </c>
      <c r="C1869" s="18">
        <f>IF($A1869="","",IF(Paramètres!H33="","",Paramètres!H33))</f>
        <v/>
      </c>
      <c r="D1869" s="18">
        <f>IF($A1869="","",IF(Paramètres!I33="","",Paramètres!I33))</f>
        <v/>
      </c>
      <c r="E1869" s="19">
        <f>IF($A1869="","",IF(Paramètres!J33&amp;Paramètres!L33&amp;Paramètres!N33="",Dossiers!$D$38,MAX(IF(Paramètres!J33="",0,IF(Paramètres!K33="",NA(),IF(LEFT(TRIM(Paramètres!K33),1)="F",INDEX($F$1841:$F$1893,MATCH(Paramètres!J33,Paramètres!$G$5:$G$57,0)),INDEX($E$1841:$E$1893,MATCH(Paramètres!J33,Paramètres!$G$5:$G$57,0)))+IF(RIGHT(TRIM(Paramètres!K33),3)="Fin",1-$H1869,IF(LEFT(TRIM(Paramètres!K33),1)="F",1,0)))),IF(Paramètres!L33="",0,IF(Paramètres!M33="",NA(),IF(LEFT(TRIM(Paramètres!M33),1)="F",INDEX($F$1841:$F$1893,MATCH(Paramètres!L33,Paramètres!$G$5:$G$57,0)),INDEX($E$1841:$E$1893,MATCH(Paramètres!L33,Paramètres!$G$5:$G$57,0)))+IF(RIGHT(TRIM(Paramètres!M33),3)="Fin",1-$H1869,IF(LEFT(TRIM(Paramètres!M33),1)="F",1,0)))),IF(Paramètres!N33="",0,IF(Paramètres!O33="",NA(),IF(LEFT(TRIM(Paramètres!O33),1)="F",INDEX($F$1841:$F$1893,MATCH(Paramètres!N33,Paramètres!$G$5:$G$57,0)),INDEX($E$1841:$E$1893,MATCH(Paramètres!N33,Paramètres!$G$5:$G$57,0)))+IF(RIGHT(TRIM(Paramètres!O33),3)="Fin",1-$H1869,IF(LEFT(TRIM(Paramètres!O33),1)="F",1,0)))))))</f>
        <v/>
      </c>
      <c r="F1869" s="19">
        <f>IF($A1869="","",E1869+$H1869-1)</f>
        <v/>
      </c>
      <c r="G1869" s="18" t="n"/>
      <c r="H1869" s="18">
        <f>IF($A1869="","",IF(I1869&lt;&gt;"",I1869,Paramètres!B33))</f>
        <v/>
      </c>
      <c r="I1869" s="18" t="n"/>
    </row>
    <row r="1870">
      <c r="A1870" s="18">
        <f>IF(ISNUMBER(Dossiers!$D$38),Dossiers!$A$38&amp;" · "&amp;Dossiers!$B$38,"")</f>
        <v/>
      </c>
      <c r="B1870" s="18">
        <f>IF($A1870="","",Paramètres!G34)</f>
        <v/>
      </c>
      <c r="C1870" s="18">
        <f>IF($A1870="","",IF(Paramètres!H34="","",Paramètres!H34))</f>
        <v/>
      </c>
      <c r="D1870" s="18">
        <f>IF($A1870="","",IF(Paramètres!I34="","",Paramètres!I34))</f>
        <v/>
      </c>
      <c r="E1870" s="19">
        <f>IF($A1870="","",IF(Paramètres!J34&amp;Paramètres!L34&amp;Paramètres!N34="",Dossiers!$D$38,MAX(IF(Paramètres!J34="",0,IF(Paramètres!K34="",NA(),IF(LEFT(TRIM(Paramètres!K34),1)="F",INDEX($F$1841:$F$1893,MATCH(Paramètres!J34,Paramètres!$G$5:$G$57,0)),INDEX($E$1841:$E$1893,MATCH(Paramètres!J34,Paramètres!$G$5:$G$57,0)))+IF(RIGHT(TRIM(Paramètres!K34),3)="Fin",1-$H1870,IF(LEFT(TRIM(Paramètres!K34),1)="F",1,0)))),IF(Paramètres!L34="",0,IF(Paramètres!M34="",NA(),IF(LEFT(TRIM(Paramètres!M34),1)="F",INDEX($F$1841:$F$1893,MATCH(Paramètres!L34,Paramètres!$G$5:$G$57,0)),INDEX($E$1841:$E$1893,MATCH(Paramètres!L34,Paramètres!$G$5:$G$57,0)))+IF(RIGHT(TRIM(Paramètres!M34),3)="Fin",1-$H1870,IF(LEFT(TRIM(Paramètres!M34),1)="F",1,0)))),IF(Paramètres!N34="",0,IF(Paramètres!O34="",NA(),IF(LEFT(TRIM(Paramètres!O34),1)="F",INDEX($F$1841:$F$1893,MATCH(Paramètres!N34,Paramètres!$G$5:$G$57,0)),INDEX($E$1841:$E$1893,MATCH(Paramètres!N34,Paramètres!$G$5:$G$57,0)))+IF(RIGHT(TRIM(Paramètres!O34),3)="Fin",1-$H1870,IF(LEFT(TRIM(Paramètres!O34),1)="F",1,0)))))))</f>
        <v/>
      </c>
      <c r="F1870" s="19">
        <f>IF($A1870="","",E1870+$H1870-1)</f>
        <v/>
      </c>
      <c r="G1870" s="18" t="n"/>
      <c r="H1870" s="18">
        <f>IF($A1870="","",IF(I1870&lt;&gt;"",I1870,Paramètres!B34))</f>
        <v/>
      </c>
      <c r="I1870" s="18" t="n"/>
    </row>
    <row r="1871">
      <c r="A1871" s="18">
        <f>IF(ISNUMBER(Dossiers!$D$38),Dossiers!$A$38&amp;" · "&amp;Dossiers!$B$38,"")</f>
        <v/>
      </c>
      <c r="B1871" s="18">
        <f>IF($A1871="","",Paramètres!G35)</f>
        <v/>
      </c>
      <c r="C1871" s="18">
        <f>IF($A1871="","",IF(Paramètres!H35="","",Paramètres!H35))</f>
        <v/>
      </c>
      <c r="D1871" s="18">
        <f>IF($A1871="","",IF(Paramètres!I35="","",Paramètres!I35))</f>
        <v/>
      </c>
      <c r="E1871" s="19">
        <f>IF($A1871="","",IF(Paramètres!J35&amp;Paramètres!L35&amp;Paramètres!N35="",Dossiers!$D$38,MAX(IF(Paramètres!J35="",0,IF(Paramètres!K35="",NA(),IF(LEFT(TRIM(Paramètres!K35),1)="F",INDEX($F$1841:$F$1893,MATCH(Paramètres!J35,Paramètres!$G$5:$G$57,0)),INDEX($E$1841:$E$1893,MATCH(Paramètres!J35,Paramètres!$G$5:$G$57,0)))+IF(RIGHT(TRIM(Paramètres!K35),3)="Fin",1-$H1871,IF(LEFT(TRIM(Paramètres!K35),1)="F",1,0)))),IF(Paramètres!L35="",0,IF(Paramètres!M35="",NA(),IF(LEFT(TRIM(Paramètres!M35),1)="F",INDEX($F$1841:$F$1893,MATCH(Paramètres!L35,Paramètres!$G$5:$G$57,0)),INDEX($E$1841:$E$1893,MATCH(Paramètres!L35,Paramètres!$G$5:$G$57,0)))+IF(RIGHT(TRIM(Paramètres!M35),3)="Fin",1-$H1871,IF(LEFT(TRIM(Paramètres!M35),1)="F",1,0)))),IF(Paramètres!N35="",0,IF(Paramètres!O35="",NA(),IF(LEFT(TRIM(Paramètres!O35),1)="F",INDEX($F$1841:$F$1893,MATCH(Paramètres!N35,Paramètres!$G$5:$G$57,0)),INDEX($E$1841:$E$1893,MATCH(Paramètres!N35,Paramètres!$G$5:$G$57,0)))+IF(RIGHT(TRIM(Paramètres!O35),3)="Fin",1-$H1871,IF(LEFT(TRIM(Paramètres!O35),1)="F",1,0)))))))</f>
        <v/>
      </c>
      <c r="F1871" s="19">
        <f>IF($A1871="","",E1871+$H1871-1)</f>
        <v/>
      </c>
      <c r="G1871" s="18" t="n"/>
      <c r="H1871" s="18">
        <f>IF($A1871="","",IF(I1871&lt;&gt;"",I1871,Paramètres!B35))</f>
        <v/>
      </c>
      <c r="I1871" s="18" t="n"/>
    </row>
    <row r="1872">
      <c r="A1872" s="18">
        <f>IF(ISNUMBER(Dossiers!$D$38),Dossiers!$A$38&amp;" · "&amp;Dossiers!$B$38,"")</f>
        <v/>
      </c>
      <c r="B1872" s="18">
        <f>IF($A1872="","",Paramètres!G36)</f>
        <v/>
      </c>
      <c r="C1872" s="18">
        <f>IF($A1872="","",IF(Paramètres!H36="","",Paramètres!H36))</f>
        <v/>
      </c>
      <c r="D1872" s="18">
        <f>IF($A1872="","",IF(Paramètres!I36="","",Paramètres!I36))</f>
        <v/>
      </c>
      <c r="E1872" s="19">
        <f>IF($A1872="","",IF(Paramètres!J36&amp;Paramètres!L36&amp;Paramètres!N36="",Dossiers!$D$38,MAX(IF(Paramètres!J36="",0,IF(Paramètres!K36="",NA(),IF(LEFT(TRIM(Paramètres!K36),1)="F",INDEX($F$1841:$F$1893,MATCH(Paramètres!J36,Paramètres!$G$5:$G$57,0)),INDEX($E$1841:$E$1893,MATCH(Paramètres!J36,Paramètres!$G$5:$G$57,0)))+IF(RIGHT(TRIM(Paramètres!K36),3)="Fin",1-$H1872,IF(LEFT(TRIM(Paramètres!K36),1)="F",1,0)))),IF(Paramètres!L36="",0,IF(Paramètres!M36="",NA(),IF(LEFT(TRIM(Paramètres!M36),1)="F",INDEX($F$1841:$F$1893,MATCH(Paramètres!L36,Paramètres!$G$5:$G$57,0)),INDEX($E$1841:$E$1893,MATCH(Paramètres!L36,Paramètres!$G$5:$G$57,0)))+IF(RIGHT(TRIM(Paramètres!M36),3)="Fin",1-$H1872,IF(LEFT(TRIM(Paramètres!M36),1)="F",1,0)))),IF(Paramètres!N36="",0,IF(Paramètres!O36="",NA(),IF(LEFT(TRIM(Paramètres!O36),1)="F",INDEX($F$1841:$F$1893,MATCH(Paramètres!N36,Paramètres!$G$5:$G$57,0)),INDEX($E$1841:$E$1893,MATCH(Paramètres!N36,Paramètres!$G$5:$G$57,0)))+IF(RIGHT(TRIM(Paramètres!O36),3)="Fin",1-$H1872,IF(LEFT(TRIM(Paramètres!O36),1)="F",1,0)))))))</f>
        <v/>
      </c>
      <c r="F1872" s="19">
        <f>IF($A1872="","",E1872+$H1872-1)</f>
        <v/>
      </c>
      <c r="G1872" s="18" t="n"/>
      <c r="H1872" s="18">
        <f>IF($A1872="","",IF(I1872&lt;&gt;"",I1872,Paramètres!B36))</f>
        <v/>
      </c>
      <c r="I1872" s="18" t="n"/>
    </row>
    <row r="1873">
      <c r="A1873" s="18">
        <f>IF(ISNUMBER(Dossiers!$D$38),Dossiers!$A$38&amp;" · "&amp;Dossiers!$B$38,"")</f>
        <v/>
      </c>
      <c r="B1873" s="18">
        <f>IF($A1873="","",Paramètres!G37)</f>
        <v/>
      </c>
      <c r="C1873" s="18">
        <f>IF($A1873="","",IF(Paramètres!H37="","",Paramètres!H37))</f>
        <v/>
      </c>
      <c r="D1873" s="18">
        <f>IF($A1873="","",IF(Paramètres!I37="","",Paramètres!I37))</f>
        <v/>
      </c>
      <c r="E1873" s="19">
        <f>IF($A1873="","",MIN(E1874:E1891))</f>
        <v/>
      </c>
      <c r="F1873" s="19">
        <f>IF($A1873="","",MAX(F1874:F1891))</f>
        <v/>
      </c>
      <c r="G1873" s="18" t="n"/>
      <c r="H1873" s="18">
        <f>IF($A1873="","",F1873-E1873+1)</f>
        <v/>
      </c>
      <c r="I1873" s="18" t="n"/>
    </row>
    <row r="1874">
      <c r="A1874" s="18">
        <f>IF(ISNUMBER(Dossiers!$D$38),Dossiers!$A$38&amp;" · "&amp;Dossiers!$B$38,"")</f>
        <v/>
      </c>
      <c r="B1874" s="18">
        <f>IF($A1874="","",Paramètres!G38)</f>
        <v/>
      </c>
      <c r="C1874" s="18">
        <f>IF($A1874="","",IF(Paramètres!H38="","",Paramètres!H38))</f>
        <v/>
      </c>
      <c r="D1874" s="18">
        <f>IF($A1874="","",IF(Paramètres!I38="","",Paramètres!I38))</f>
        <v/>
      </c>
      <c r="E1874" s="19">
        <f>IF($A1874="","",IF(Paramètres!J38&amp;Paramètres!L38&amp;Paramètres!N38="",Dossiers!$D$38,MAX(IF(Paramètres!J38="",0,IF(Paramètres!K38="",NA(),IF(LEFT(TRIM(Paramètres!K38),1)="F",INDEX($F$1841:$F$1893,MATCH(Paramètres!J38,Paramètres!$G$5:$G$57,0)),INDEX($E$1841:$E$1893,MATCH(Paramètres!J38,Paramètres!$G$5:$G$57,0)))+IF(RIGHT(TRIM(Paramètres!K38),3)="Fin",1-$H1874,IF(LEFT(TRIM(Paramètres!K38),1)="F",1,0)))),IF(Paramètres!L38="",0,IF(Paramètres!M38="",NA(),IF(LEFT(TRIM(Paramètres!M38),1)="F",INDEX($F$1841:$F$1893,MATCH(Paramètres!L38,Paramètres!$G$5:$G$57,0)),INDEX($E$1841:$E$1893,MATCH(Paramètres!L38,Paramètres!$G$5:$G$57,0)))+IF(RIGHT(TRIM(Paramètres!M38),3)="Fin",1-$H1874,IF(LEFT(TRIM(Paramètres!M38),1)="F",1,0)))),IF(Paramètres!N38="",0,IF(Paramètres!O38="",NA(),IF(LEFT(TRIM(Paramètres!O38),1)="F",INDEX($F$1841:$F$1893,MATCH(Paramètres!N38,Paramètres!$G$5:$G$57,0)),INDEX($E$1841:$E$1893,MATCH(Paramètres!N38,Paramètres!$G$5:$G$57,0)))+IF(RIGHT(TRIM(Paramètres!O38),3)="Fin",1-$H1874,IF(LEFT(TRIM(Paramètres!O38),1)="F",1,0)))))))</f>
        <v/>
      </c>
      <c r="F1874" s="19">
        <f>IF($A1874="","",E1874+$H1874-1)</f>
        <v/>
      </c>
      <c r="G1874" s="18" t="n"/>
      <c r="H1874" s="18">
        <f>IF($A1874="","",IF(I1874&lt;&gt;"",I1874,Paramètres!B38))</f>
        <v/>
      </c>
      <c r="I1874" s="18" t="n"/>
    </row>
    <row r="1875">
      <c r="A1875" s="18">
        <f>IF(ISNUMBER(Dossiers!$D$38),Dossiers!$A$38&amp;" · "&amp;Dossiers!$B$38,"")</f>
        <v/>
      </c>
      <c r="B1875" s="18">
        <f>IF($A1875="","",Paramètres!G39)</f>
        <v/>
      </c>
      <c r="C1875" s="18">
        <f>IF($A1875="","",IF(Paramètres!H39="","",Paramètres!H39))</f>
        <v/>
      </c>
      <c r="D1875" s="18">
        <f>IF($A1875="","",IF(Paramètres!I39="","",Paramètres!I39))</f>
        <v/>
      </c>
      <c r="E1875" s="19">
        <f>IF($A1875="","",IF(Paramètres!J39&amp;Paramètres!L39&amp;Paramètres!N39="",Dossiers!$D$38,MAX(IF(Paramètres!J39="",0,IF(Paramètres!K39="",NA(),IF(LEFT(TRIM(Paramètres!K39),1)="F",INDEX($F$1841:$F$1893,MATCH(Paramètres!J39,Paramètres!$G$5:$G$57,0)),INDEX($E$1841:$E$1893,MATCH(Paramètres!J39,Paramètres!$G$5:$G$57,0)))+IF(RIGHT(TRIM(Paramètres!K39),3)="Fin",1-$H1875,IF(LEFT(TRIM(Paramètres!K39),1)="F",1,0)))),IF(Paramètres!L39="",0,IF(Paramètres!M39="",NA(),IF(LEFT(TRIM(Paramètres!M39),1)="F",INDEX($F$1841:$F$1893,MATCH(Paramètres!L39,Paramètres!$G$5:$G$57,0)),INDEX($E$1841:$E$1893,MATCH(Paramètres!L39,Paramètres!$G$5:$G$57,0)))+IF(RIGHT(TRIM(Paramètres!M39),3)="Fin",1-$H1875,IF(LEFT(TRIM(Paramètres!M39),1)="F",1,0)))),IF(Paramètres!N39="",0,IF(Paramètres!O39="",NA(),IF(LEFT(TRIM(Paramètres!O39),1)="F",INDEX($F$1841:$F$1893,MATCH(Paramètres!N39,Paramètres!$G$5:$G$57,0)),INDEX($E$1841:$E$1893,MATCH(Paramètres!N39,Paramètres!$G$5:$G$57,0)))+IF(RIGHT(TRIM(Paramètres!O39),3)="Fin",1-$H1875,IF(LEFT(TRIM(Paramètres!O39),1)="F",1,0)))))))</f>
        <v/>
      </c>
      <c r="F1875" s="19">
        <f>IF($A1875="","",E1875+$H1875-1)</f>
        <v/>
      </c>
      <c r="G1875" s="18" t="n"/>
      <c r="H1875" s="18">
        <f>IF($A1875="","",IF(I1875&lt;&gt;"",I1875,Paramètres!B39))</f>
        <v/>
      </c>
      <c r="I1875" s="18" t="n"/>
    </row>
    <row r="1876">
      <c r="A1876" s="18">
        <f>IF(ISNUMBER(Dossiers!$D$38),Dossiers!$A$38&amp;" · "&amp;Dossiers!$B$38,"")</f>
        <v/>
      </c>
      <c r="B1876" s="18">
        <f>IF($A1876="","",Paramètres!G40)</f>
        <v/>
      </c>
      <c r="C1876" s="18">
        <f>IF($A1876="","",IF(Paramètres!H40="","",Paramètres!H40))</f>
        <v/>
      </c>
      <c r="D1876" s="18">
        <f>IF($A1876="","",IF(Paramètres!I40="","",Paramètres!I40))</f>
        <v/>
      </c>
      <c r="E1876" s="19">
        <f>IF($A1876="","",IF(Paramètres!J40&amp;Paramètres!L40&amp;Paramètres!N40="",Dossiers!$D$38,MAX(IF(Paramètres!J40="",0,IF(Paramètres!K40="",NA(),IF(LEFT(TRIM(Paramètres!K40),1)="F",INDEX($F$1841:$F$1893,MATCH(Paramètres!J40,Paramètres!$G$5:$G$57,0)),INDEX($E$1841:$E$1893,MATCH(Paramètres!J40,Paramètres!$G$5:$G$57,0)))+IF(RIGHT(TRIM(Paramètres!K40),3)="Fin",1-$H1876,IF(LEFT(TRIM(Paramètres!K40),1)="F",1,0)))),IF(Paramètres!L40="",0,IF(Paramètres!M40="",NA(),IF(LEFT(TRIM(Paramètres!M40),1)="F",INDEX($F$1841:$F$1893,MATCH(Paramètres!L40,Paramètres!$G$5:$G$57,0)),INDEX($E$1841:$E$1893,MATCH(Paramètres!L40,Paramètres!$G$5:$G$57,0)))+IF(RIGHT(TRIM(Paramètres!M40),3)="Fin",1-$H1876,IF(LEFT(TRIM(Paramètres!M40),1)="F",1,0)))),IF(Paramètres!N40="",0,IF(Paramètres!O40="",NA(),IF(LEFT(TRIM(Paramètres!O40),1)="F",INDEX($F$1841:$F$1893,MATCH(Paramètres!N40,Paramètres!$G$5:$G$57,0)),INDEX($E$1841:$E$1893,MATCH(Paramètres!N40,Paramètres!$G$5:$G$57,0)))+IF(RIGHT(TRIM(Paramètres!O40),3)="Fin",1-$H1876,IF(LEFT(TRIM(Paramètres!O40),1)="F",1,0)))))))</f>
        <v/>
      </c>
      <c r="F1876" s="19">
        <f>IF($A1876="","",E1876+$H1876-1)</f>
        <v/>
      </c>
      <c r="G1876" s="18" t="n"/>
      <c r="H1876" s="18">
        <f>IF($A1876="","",IF(I1876&lt;&gt;"",I1876,Paramètres!B40))</f>
        <v/>
      </c>
      <c r="I1876" s="18" t="n"/>
    </row>
    <row r="1877">
      <c r="A1877" s="18">
        <f>IF(ISNUMBER(Dossiers!$D$38),Dossiers!$A$38&amp;" · "&amp;Dossiers!$B$38,"")</f>
        <v/>
      </c>
      <c r="B1877" s="18">
        <f>IF($A1877="","",Paramètres!G41)</f>
        <v/>
      </c>
      <c r="C1877" s="18">
        <f>IF($A1877="","",IF(Paramètres!H41="","",Paramètres!H41))</f>
        <v/>
      </c>
      <c r="D1877" s="18">
        <f>IF($A1877="","",IF(Paramètres!I41="","",Paramètres!I41))</f>
        <v/>
      </c>
      <c r="E1877" s="19">
        <f>IF($A1877="","",IF(Paramètres!J41&amp;Paramètres!L41&amp;Paramètres!N41="",Dossiers!$D$38,MAX(IF(Paramètres!J41="",0,IF(Paramètres!K41="",NA(),IF(LEFT(TRIM(Paramètres!K41),1)="F",INDEX($F$1841:$F$1893,MATCH(Paramètres!J41,Paramètres!$G$5:$G$57,0)),INDEX($E$1841:$E$1893,MATCH(Paramètres!J41,Paramètres!$G$5:$G$57,0)))+IF(RIGHT(TRIM(Paramètres!K41),3)="Fin",1-$H1877,IF(LEFT(TRIM(Paramètres!K41),1)="F",1,0)))),IF(Paramètres!L41="",0,IF(Paramètres!M41="",NA(),IF(LEFT(TRIM(Paramètres!M41),1)="F",INDEX($F$1841:$F$1893,MATCH(Paramètres!L41,Paramètres!$G$5:$G$57,0)),INDEX($E$1841:$E$1893,MATCH(Paramètres!L41,Paramètres!$G$5:$G$57,0)))+IF(RIGHT(TRIM(Paramètres!M41),3)="Fin",1-$H1877,IF(LEFT(TRIM(Paramètres!M41),1)="F",1,0)))),IF(Paramètres!N41="",0,IF(Paramètres!O41="",NA(),IF(LEFT(TRIM(Paramètres!O41),1)="F",INDEX($F$1841:$F$1893,MATCH(Paramètres!N41,Paramètres!$G$5:$G$57,0)),INDEX($E$1841:$E$1893,MATCH(Paramètres!N41,Paramètres!$G$5:$G$57,0)))+IF(RIGHT(TRIM(Paramètres!O41),3)="Fin",1-$H1877,IF(LEFT(TRIM(Paramètres!O41),1)="F",1,0)))))))</f>
        <v/>
      </c>
      <c r="F1877" s="19">
        <f>IF($A1877="","",E1877+$H1877-1)</f>
        <v/>
      </c>
      <c r="G1877" s="18" t="n"/>
      <c r="H1877" s="18">
        <f>IF($A1877="","",IF(I1877&lt;&gt;"",I1877,Paramètres!B41))</f>
        <v/>
      </c>
      <c r="I1877" s="18" t="n"/>
    </row>
    <row r="1878">
      <c r="A1878" s="18">
        <f>IF(ISNUMBER(Dossiers!$D$38),Dossiers!$A$38&amp;" · "&amp;Dossiers!$B$38,"")</f>
        <v/>
      </c>
      <c r="B1878" s="18">
        <f>IF($A1878="","",Paramètres!G42)</f>
        <v/>
      </c>
      <c r="C1878" s="18">
        <f>IF($A1878="","",IF(Paramètres!H42="","",Paramètres!H42))</f>
        <v/>
      </c>
      <c r="D1878" s="18">
        <f>IF($A1878="","",IF(Paramètres!I42="","",Paramètres!I42))</f>
        <v/>
      </c>
      <c r="E1878" s="19">
        <f>IF($A1878="","",IF(Paramètres!J42&amp;Paramètres!L42&amp;Paramètres!N42="",Dossiers!$D$38,MAX(IF(Paramètres!J42="",0,IF(Paramètres!K42="",NA(),IF(LEFT(TRIM(Paramètres!K42),1)="F",INDEX($F$1841:$F$1893,MATCH(Paramètres!J42,Paramètres!$G$5:$G$57,0)),INDEX($E$1841:$E$1893,MATCH(Paramètres!J42,Paramètres!$G$5:$G$57,0)))+IF(RIGHT(TRIM(Paramètres!K42),3)="Fin",1-$H1878,IF(LEFT(TRIM(Paramètres!K42),1)="F",1,0)))),IF(Paramètres!L42="",0,IF(Paramètres!M42="",NA(),IF(LEFT(TRIM(Paramètres!M42),1)="F",INDEX($F$1841:$F$1893,MATCH(Paramètres!L42,Paramètres!$G$5:$G$57,0)),INDEX($E$1841:$E$1893,MATCH(Paramètres!L42,Paramètres!$G$5:$G$57,0)))+IF(RIGHT(TRIM(Paramètres!M42),3)="Fin",1-$H1878,IF(LEFT(TRIM(Paramètres!M42),1)="F",1,0)))),IF(Paramètres!N42="",0,IF(Paramètres!O42="",NA(),IF(LEFT(TRIM(Paramètres!O42),1)="F",INDEX($F$1841:$F$1893,MATCH(Paramètres!N42,Paramètres!$G$5:$G$57,0)),INDEX($E$1841:$E$1893,MATCH(Paramètres!N42,Paramètres!$G$5:$G$57,0)))+IF(RIGHT(TRIM(Paramètres!O42),3)="Fin",1-$H1878,IF(LEFT(TRIM(Paramètres!O42),1)="F",1,0)))))))</f>
        <v/>
      </c>
      <c r="F1878" s="19">
        <f>IF($A1878="","",E1878+$H1878-1)</f>
        <v/>
      </c>
      <c r="G1878" s="18" t="n"/>
      <c r="H1878" s="18">
        <f>IF($A1878="","",IF(I1878&lt;&gt;"",I1878,Paramètres!B42))</f>
        <v/>
      </c>
      <c r="I1878" s="18" t="n"/>
    </row>
    <row r="1879">
      <c r="A1879" s="18">
        <f>IF(ISNUMBER(Dossiers!$D$38),Dossiers!$A$38&amp;" · "&amp;Dossiers!$B$38,"")</f>
        <v/>
      </c>
      <c r="B1879" s="18">
        <f>IF($A1879="","",Paramètres!G43)</f>
        <v/>
      </c>
      <c r="C1879" s="18">
        <f>IF($A1879="","",IF(Paramètres!H43="","",Paramètres!H43))</f>
        <v/>
      </c>
      <c r="D1879" s="18">
        <f>IF($A1879="","",IF(Paramètres!I43="","",Paramètres!I43))</f>
        <v/>
      </c>
      <c r="E1879" s="19">
        <f>IF($A1879="","",IF(Paramètres!J43&amp;Paramètres!L43&amp;Paramètres!N43="",Dossiers!$D$38,MAX(IF(Paramètres!J43="",0,IF(Paramètres!K43="",NA(),IF(LEFT(TRIM(Paramètres!K43),1)="F",INDEX($F$1841:$F$1893,MATCH(Paramètres!J43,Paramètres!$G$5:$G$57,0)),INDEX($E$1841:$E$1893,MATCH(Paramètres!J43,Paramètres!$G$5:$G$57,0)))+IF(RIGHT(TRIM(Paramètres!K43),3)="Fin",1-$H1879,IF(LEFT(TRIM(Paramètres!K43),1)="F",1,0)))),IF(Paramètres!L43="",0,IF(Paramètres!M43="",NA(),IF(LEFT(TRIM(Paramètres!M43),1)="F",INDEX($F$1841:$F$1893,MATCH(Paramètres!L43,Paramètres!$G$5:$G$57,0)),INDEX($E$1841:$E$1893,MATCH(Paramètres!L43,Paramètres!$G$5:$G$57,0)))+IF(RIGHT(TRIM(Paramètres!M43),3)="Fin",1-$H1879,IF(LEFT(TRIM(Paramètres!M43),1)="F",1,0)))),IF(Paramètres!N43="",0,IF(Paramètres!O43="",NA(),IF(LEFT(TRIM(Paramètres!O43),1)="F",INDEX($F$1841:$F$1893,MATCH(Paramètres!N43,Paramètres!$G$5:$G$57,0)),INDEX($E$1841:$E$1893,MATCH(Paramètres!N43,Paramètres!$G$5:$G$57,0)))+IF(RIGHT(TRIM(Paramètres!O43),3)="Fin",1-$H1879,IF(LEFT(TRIM(Paramètres!O43),1)="F",1,0)))))))</f>
        <v/>
      </c>
      <c r="F1879" s="19">
        <f>IF($A1879="","",E1879+$H1879-1)</f>
        <v/>
      </c>
      <c r="G1879" s="18" t="n"/>
      <c r="H1879" s="18">
        <f>IF($A1879="","",IF(I1879&lt;&gt;"",I1879,Paramètres!B43))</f>
        <v/>
      </c>
      <c r="I1879" s="18" t="n"/>
    </row>
    <row r="1880">
      <c r="A1880" s="18">
        <f>IF(ISNUMBER(Dossiers!$D$38),Dossiers!$A$38&amp;" · "&amp;Dossiers!$B$38,"")</f>
        <v/>
      </c>
      <c r="B1880" s="18">
        <f>IF($A1880="","",Paramètres!G44)</f>
        <v/>
      </c>
      <c r="C1880" s="18">
        <f>IF($A1880="","",IF(Paramètres!H44="","",Paramètres!H44))</f>
        <v/>
      </c>
      <c r="D1880" s="18">
        <f>IF($A1880="","",IF(Paramètres!I44="","",Paramètres!I44))</f>
        <v/>
      </c>
      <c r="E1880" s="19">
        <f>IF($A1880="","",IF(Paramètres!J44&amp;Paramètres!L44&amp;Paramètres!N44="",Dossiers!$D$38,MAX(IF(Paramètres!J44="",0,IF(Paramètres!K44="",NA(),IF(LEFT(TRIM(Paramètres!K44),1)="F",INDEX($F$1841:$F$1893,MATCH(Paramètres!J44,Paramètres!$G$5:$G$57,0)),INDEX($E$1841:$E$1893,MATCH(Paramètres!J44,Paramètres!$G$5:$G$57,0)))+IF(RIGHT(TRIM(Paramètres!K44),3)="Fin",1-$H1880,IF(LEFT(TRIM(Paramètres!K44),1)="F",1,0)))),IF(Paramètres!L44="",0,IF(Paramètres!M44="",NA(),IF(LEFT(TRIM(Paramètres!M44),1)="F",INDEX($F$1841:$F$1893,MATCH(Paramètres!L44,Paramètres!$G$5:$G$57,0)),INDEX($E$1841:$E$1893,MATCH(Paramètres!L44,Paramètres!$G$5:$G$57,0)))+IF(RIGHT(TRIM(Paramètres!M44),3)="Fin",1-$H1880,IF(LEFT(TRIM(Paramètres!M44),1)="F",1,0)))),IF(Paramètres!N44="",0,IF(Paramètres!O44="",NA(),IF(LEFT(TRIM(Paramètres!O44),1)="F",INDEX($F$1841:$F$1893,MATCH(Paramètres!N44,Paramètres!$G$5:$G$57,0)),INDEX($E$1841:$E$1893,MATCH(Paramètres!N44,Paramètres!$G$5:$G$57,0)))+IF(RIGHT(TRIM(Paramètres!O44),3)="Fin",1-$H1880,IF(LEFT(TRIM(Paramètres!O44),1)="F",1,0)))))))</f>
        <v/>
      </c>
      <c r="F1880" s="19">
        <f>IF($A1880="","",E1880+$H1880-1)</f>
        <v/>
      </c>
      <c r="G1880" s="18" t="n"/>
      <c r="H1880" s="18">
        <f>IF($A1880="","",IF(I1880&lt;&gt;"",I1880,Paramètres!B44))</f>
        <v/>
      </c>
      <c r="I1880" s="18" t="n"/>
    </row>
    <row r="1881">
      <c r="A1881" s="18">
        <f>IF(ISNUMBER(Dossiers!$D$38),Dossiers!$A$38&amp;" · "&amp;Dossiers!$B$38,"")</f>
        <v/>
      </c>
      <c r="B1881" s="18">
        <f>IF($A1881="","",Paramètres!G45)</f>
        <v/>
      </c>
      <c r="C1881" s="20">
        <f>IF($A1881="","",IF(Dossiers!$G$38="","",Dossiers!$G$38))</f>
        <v/>
      </c>
      <c r="D1881" s="18">
        <f>IF($A1881="","",IF(Paramètres!I45="","",Paramètres!I45))</f>
        <v/>
      </c>
      <c r="E1881" s="19">
        <f>IF($A1881="","",IF(Paramètres!J45&amp;Paramètres!L45&amp;Paramètres!N45="",Dossiers!$D$38,MAX(IF(Paramètres!J45="",0,IF(Paramètres!K45="",NA(),IF(LEFT(TRIM(Paramètres!K45),1)="F",INDEX($F$1841:$F$1893,MATCH(Paramètres!J45,Paramètres!$G$5:$G$57,0)),INDEX($E$1841:$E$1893,MATCH(Paramètres!J45,Paramètres!$G$5:$G$57,0)))+IF(RIGHT(TRIM(Paramètres!K45),3)="Fin",1-$H1881,IF(LEFT(TRIM(Paramètres!K45),1)="F",1,0)))),IF(Paramètres!L45="",0,IF(Paramètres!M45="",NA(),IF(LEFT(TRIM(Paramètres!M45),1)="F",INDEX($F$1841:$F$1893,MATCH(Paramètres!L45,Paramètres!$G$5:$G$57,0)),INDEX($E$1841:$E$1893,MATCH(Paramètres!L45,Paramètres!$G$5:$G$57,0)))+IF(RIGHT(TRIM(Paramètres!M45),3)="Fin",1-$H1881,IF(LEFT(TRIM(Paramètres!M45),1)="F",1,0)))),IF(Paramètres!N45="",0,IF(Paramètres!O45="",NA(),IF(LEFT(TRIM(Paramètres!O45),1)="F",INDEX($F$1841:$F$1893,MATCH(Paramètres!N45,Paramètres!$G$5:$G$57,0)),INDEX($E$1841:$E$1893,MATCH(Paramètres!N45,Paramètres!$G$5:$G$57,0)))+IF(RIGHT(TRIM(Paramètres!O45),3)="Fin",1-$H1881,IF(LEFT(TRIM(Paramètres!O45),1)="F",1,0)))))))</f>
        <v/>
      </c>
      <c r="F1881" s="19">
        <f>IF($A1881="","",E1881+$H1881-1)</f>
        <v/>
      </c>
      <c r="G1881" s="18" t="n"/>
      <c r="H1881" s="18">
        <f>IF($A1881="","",IF(I1881&lt;&gt;"",I1881,Paramètres!B45))</f>
        <v/>
      </c>
      <c r="I1881" s="18" t="n"/>
    </row>
    <row r="1882">
      <c r="A1882" s="18">
        <f>IF(ISNUMBER(Dossiers!$D$38),Dossiers!$A$38&amp;" · "&amp;Dossiers!$B$38,"")</f>
        <v/>
      </c>
      <c r="B1882" s="18">
        <f>IF($A1882="","",Paramètres!G46)</f>
        <v/>
      </c>
      <c r="C1882" s="18">
        <f>IF($A1882="","",IF(Paramètres!H46="","",Paramètres!H46))</f>
        <v/>
      </c>
      <c r="D1882" s="18">
        <f>IF($A1882="","",IF(Paramètres!I46="","",Paramètres!I46))</f>
        <v/>
      </c>
      <c r="E1882" s="19">
        <f>IF($A1882="","",IF(Paramètres!J46&amp;Paramètres!L46&amp;Paramètres!N46="",Dossiers!$D$38,MAX(IF(Paramètres!J46="",0,IF(Paramètres!K46="",NA(),IF(LEFT(TRIM(Paramètres!K46),1)="F",INDEX($F$1841:$F$1893,MATCH(Paramètres!J46,Paramètres!$G$5:$G$57,0)),INDEX($E$1841:$E$1893,MATCH(Paramètres!J46,Paramètres!$G$5:$G$57,0)))+IF(RIGHT(TRIM(Paramètres!K46),3)="Fin",1-$H1882,IF(LEFT(TRIM(Paramètres!K46),1)="F",1,0)))),IF(Paramètres!L46="",0,IF(Paramètres!M46="",NA(),IF(LEFT(TRIM(Paramètres!M46),1)="F",INDEX($F$1841:$F$1893,MATCH(Paramètres!L46,Paramètres!$G$5:$G$57,0)),INDEX($E$1841:$E$1893,MATCH(Paramètres!L46,Paramètres!$G$5:$G$57,0)))+IF(RIGHT(TRIM(Paramètres!M46),3)="Fin",1-$H1882,IF(LEFT(TRIM(Paramètres!M46),1)="F",1,0)))),IF(Paramètres!N46="",0,IF(Paramètres!O46="",NA(),IF(LEFT(TRIM(Paramètres!O46),1)="F",INDEX($F$1841:$F$1893,MATCH(Paramètres!N46,Paramètres!$G$5:$G$57,0)),INDEX($E$1841:$E$1893,MATCH(Paramètres!N46,Paramètres!$G$5:$G$57,0)))+IF(RIGHT(TRIM(Paramètres!O46),3)="Fin",1-$H1882,IF(LEFT(TRIM(Paramètres!O46),1)="F",1,0)))))))</f>
        <v/>
      </c>
      <c r="F1882" s="19">
        <f>IF($A1882="","",E1882+$H1882-1)</f>
        <v/>
      </c>
      <c r="G1882" s="18" t="n"/>
      <c r="H1882" s="18">
        <f>IF($A1882="","",IF(I1882&lt;&gt;"",I1882,Paramètres!B46))</f>
        <v/>
      </c>
      <c r="I1882" s="18" t="n"/>
    </row>
    <row r="1883">
      <c r="A1883" s="18">
        <f>IF(ISNUMBER(Dossiers!$D$38),Dossiers!$A$38&amp;" · "&amp;Dossiers!$B$38,"")</f>
        <v/>
      </c>
      <c r="B1883" s="18">
        <f>IF($A1883="","",Paramètres!G47)</f>
        <v/>
      </c>
      <c r="C1883" s="18">
        <f>IF($A1883="","",IF(Paramètres!H47="","",Paramètres!H47))</f>
        <v/>
      </c>
      <c r="D1883" s="18">
        <f>IF($A1883="","",IF(Paramètres!I47="","",Paramètres!I47))</f>
        <v/>
      </c>
      <c r="E1883" s="19">
        <f>IF($A1883="","",IF(Paramètres!J47&amp;Paramètres!L47&amp;Paramètres!N47="",Dossiers!$D$38,MAX(IF(Paramètres!J47="",0,IF(Paramètres!K47="",NA(),IF(LEFT(TRIM(Paramètres!K47),1)="F",INDEX($F$1841:$F$1893,MATCH(Paramètres!J47,Paramètres!$G$5:$G$57,0)),INDEX($E$1841:$E$1893,MATCH(Paramètres!J47,Paramètres!$G$5:$G$57,0)))+IF(RIGHT(TRIM(Paramètres!K47),3)="Fin",1-$H1883,IF(LEFT(TRIM(Paramètres!K47),1)="F",1,0)))),IF(Paramètres!L47="",0,IF(Paramètres!M47="",NA(),IF(LEFT(TRIM(Paramètres!M47),1)="F",INDEX($F$1841:$F$1893,MATCH(Paramètres!L47,Paramètres!$G$5:$G$57,0)),INDEX($E$1841:$E$1893,MATCH(Paramètres!L47,Paramètres!$G$5:$G$57,0)))+IF(RIGHT(TRIM(Paramètres!M47),3)="Fin",1-$H1883,IF(LEFT(TRIM(Paramètres!M47),1)="F",1,0)))),IF(Paramètres!N47="",0,IF(Paramètres!O47="",NA(),IF(LEFT(TRIM(Paramètres!O47),1)="F",INDEX($F$1841:$F$1893,MATCH(Paramètres!N47,Paramètres!$G$5:$G$57,0)),INDEX($E$1841:$E$1893,MATCH(Paramètres!N47,Paramètres!$G$5:$G$57,0)))+IF(RIGHT(TRIM(Paramètres!O47),3)="Fin",1-$H1883,IF(LEFT(TRIM(Paramètres!O47),1)="F",1,0)))))))</f>
        <v/>
      </c>
      <c r="F1883" s="19">
        <f>IF($A1883="","",E1883+$H1883-1)</f>
        <v/>
      </c>
      <c r="G1883" s="18" t="n"/>
      <c r="H1883" s="18">
        <f>IF($A1883="","",IF(I1883&lt;&gt;"",I1883,Paramètres!B47))</f>
        <v/>
      </c>
      <c r="I1883" s="18" t="n"/>
    </row>
    <row r="1884">
      <c r="A1884" s="18">
        <f>IF(ISNUMBER(Dossiers!$D$38),Dossiers!$A$38&amp;" · "&amp;Dossiers!$B$38,"")</f>
        <v/>
      </c>
      <c r="B1884" s="18">
        <f>IF($A1884="","",Paramètres!G48)</f>
        <v/>
      </c>
      <c r="C1884" s="18">
        <f>IF($A1884="","",IF(Paramètres!H48="","",Paramètres!H48))</f>
        <v/>
      </c>
      <c r="D1884" s="18">
        <f>IF($A1884="","",IF(Paramètres!I48="","",Paramètres!I48))</f>
        <v/>
      </c>
      <c r="E1884" s="19">
        <f>IF($A1884="","",IF(Paramètres!J48&amp;Paramètres!L48&amp;Paramètres!N48="",Dossiers!$D$38,MAX(IF(Paramètres!J48="",0,IF(Paramètres!K48="",NA(),IF(LEFT(TRIM(Paramètres!K48),1)="F",INDEX($F$1841:$F$1893,MATCH(Paramètres!J48,Paramètres!$G$5:$G$57,0)),INDEX($E$1841:$E$1893,MATCH(Paramètres!J48,Paramètres!$G$5:$G$57,0)))+IF(RIGHT(TRIM(Paramètres!K48),3)="Fin",1-$H1884,IF(LEFT(TRIM(Paramètres!K48),1)="F",1,0)))),IF(Paramètres!L48="",0,IF(Paramètres!M48="",NA(),IF(LEFT(TRIM(Paramètres!M48),1)="F",INDEX($F$1841:$F$1893,MATCH(Paramètres!L48,Paramètres!$G$5:$G$57,0)),INDEX($E$1841:$E$1893,MATCH(Paramètres!L48,Paramètres!$G$5:$G$57,0)))+IF(RIGHT(TRIM(Paramètres!M48),3)="Fin",1-$H1884,IF(LEFT(TRIM(Paramètres!M48),1)="F",1,0)))),IF(Paramètres!N48="",0,IF(Paramètres!O48="",NA(),IF(LEFT(TRIM(Paramètres!O48),1)="F",INDEX($F$1841:$F$1893,MATCH(Paramètres!N48,Paramètres!$G$5:$G$57,0)),INDEX($E$1841:$E$1893,MATCH(Paramètres!N48,Paramètres!$G$5:$G$57,0)))+IF(RIGHT(TRIM(Paramètres!O48),3)="Fin",1-$H1884,IF(LEFT(TRIM(Paramètres!O48),1)="F",1,0)))))))</f>
        <v/>
      </c>
      <c r="F1884" s="19">
        <f>IF($A1884="","",E1884+$H1884-1)</f>
        <v/>
      </c>
      <c r="G1884" s="18" t="n"/>
      <c r="H1884" s="18">
        <f>IF($A1884="","",IF(I1884&lt;&gt;"",I1884,Paramètres!B48))</f>
        <v/>
      </c>
      <c r="I1884" s="18" t="n"/>
    </row>
    <row r="1885">
      <c r="A1885" s="18">
        <f>IF(ISNUMBER(Dossiers!$D$38),Dossiers!$A$38&amp;" · "&amp;Dossiers!$B$38,"")</f>
        <v/>
      </c>
      <c r="B1885" s="18">
        <f>IF($A1885="","",Paramètres!G49)</f>
        <v/>
      </c>
      <c r="C1885" s="18">
        <f>IF($A1885="","",IF(Paramètres!H49="","",Paramètres!H49))</f>
        <v/>
      </c>
      <c r="D1885" s="18">
        <f>IF($A1885="","",IF(Paramètres!I49="","",Paramètres!I49))</f>
        <v/>
      </c>
      <c r="E1885" s="19">
        <f>IF($A1885="","",IF(Paramètres!J49&amp;Paramètres!L49&amp;Paramètres!N49="",Dossiers!$D$38,MAX(IF(Paramètres!J49="",0,IF(Paramètres!K49="",NA(),IF(LEFT(TRIM(Paramètres!K49),1)="F",INDEX($F$1841:$F$1893,MATCH(Paramètres!J49,Paramètres!$G$5:$G$57,0)),INDEX($E$1841:$E$1893,MATCH(Paramètres!J49,Paramètres!$G$5:$G$57,0)))+IF(RIGHT(TRIM(Paramètres!K49),3)="Fin",1-$H1885,IF(LEFT(TRIM(Paramètres!K49),1)="F",1,0)))),IF(Paramètres!L49="",0,IF(Paramètres!M49="",NA(),IF(LEFT(TRIM(Paramètres!M49),1)="F",INDEX($F$1841:$F$1893,MATCH(Paramètres!L49,Paramètres!$G$5:$G$57,0)),INDEX($E$1841:$E$1893,MATCH(Paramètres!L49,Paramètres!$G$5:$G$57,0)))+IF(RIGHT(TRIM(Paramètres!M49),3)="Fin",1-$H1885,IF(LEFT(TRIM(Paramètres!M49),1)="F",1,0)))),IF(Paramètres!N49="",0,IF(Paramètres!O49="",NA(),IF(LEFT(TRIM(Paramètres!O49),1)="F",INDEX($F$1841:$F$1893,MATCH(Paramètres!N49,Paramètres!$G$5:$G$57,0)),INDEX($E$1841:$E$1893,MATCH(Paramètres!N49,Paramètres!$G$5:$G$57,0)))+IF(RIGHT(TRIM(Paramètres!O49),3)="Fin",1-$H1885,IF(LEFT(TRIM(Paramètres!O49),1)="F",1,0)))))))</f>
        <v/>
      </c>
      <c r="F1885" s="19">
        <f>IF($A1885="","",E1885+$H1885-1)</f>
        <v/>
      </c>
      <c r="G1885" s="18" t="n"/>
      <c r="H1885" s="18">
        <f>IF($A1885="","",IF(I1885&lt;&gt;"",I1885,Paramètres!B49))</f>
        <v/>
      </c>
      <c r="I1885" s="18" t="n"/>
    </row>
    <row r="1886">
      <c r="A1886" s="18">
        <f>IF(ISNUMBER(Dossiers!$D$38),Dossiers!$A$38&amp;" · "&amp;Dossiers!$B$38,"")</f>
        <v/>
      </c>
      <c r="B1886" s="18">
        <f>IF($A1886="","",Paramètres!G50)</f>
        <v/>
      </c>
      <c r="C1886" s="18">
        <f>IF($A1886="","",IF(Paramètres!H50="","",Paramètres!H50))</f>
        <v/>
      </c>
      <c r="D1886" s="18">
        <f>IF($A1886="","",IF(Paramètres!I50="","",Paramètres!I50))</f>
        <v/>
      </c>
      <c r="E1886" s="19">
        <f>IF($A1886="","",IF(Paramètres!J50&amp;Paramètres!L50&amp;Paramètres!N50="",Dossiers!$D$38,MAX(IF(Paramètres!J50="",0,IF(Paramètres!K50="",NA(),IF(LEFT(TRIM(Paramètres!K50),1)="F",INDEX($F$1841:$F$1893,MATCH(Paramètres!J50,Paramètres!$G$5:$G$57,0)),INDEX($E$1841:$E$1893,MATCH(Paramètres!J50,Paramètres!$G$5:$G$57,0)))+IF(RIGHT(TRIM(Paramètres!K50),3)="Fin",1-$H1886,IF(LEFT(TRIM(Paramètres!K50),1)="F",1,0)))),IF(Paramètres!L50="",0,IF(Paramètres!M50="",NA(),IF(LEFT(TRIM(Paramètres!M50),1)="F",INDEX($F$1841:$F$1893,MATCH(Paramètres!L50,Paramètres!$G$5:$G$57,0)),INDEX($E$1841:$E$1893,MATCH(Paramètres!L50,Paramètres!$G$5:$G$57,0)))+IF(RIGHT(TRIM(Paramètres!M50),3)="Fin",1-$H1886,IF(LEFT(TRIM(Paramètres!M50),1)="F",1,0)))),IF(Paramètres!N50="",0,IF(Paramètres!O50="",NA(),IF(LEFT(TRIM(Paramètres!O50),1)="F",INDEX($F$1841:$F$1893,MATCH(Paramètres!N50,Paramètres!$G$5:$G$57,0)),INDEX($E$1841:$E$1893,MATCH(Paramètres!N50,Paramètres!$G$5:$G$57,0)))+IF(RIGHT(TRIM(Paramètres!O50),3)="Fin",1-$H1886,IF(LEFT(TRIM(Paramètres!O50),1)="F",1,0)))))))</f>
        <v/>
      </c>
      <c r="F1886" s="19">
        <f>IF($A1886="","",E1886+$H1886-1)</f>
        <v/>
      </c>
      <c r="G1886" s="18" t="n"/>
      <c r="H1886" s="18">
        <f>IF($A1886="","",IF(I1886&lt;&gt;"",I1886,Paramètres!B50))</f>
        <v/>
      </c>
      <c r="I1886" s="18" t="n"/>
    </row>
    <row r="1887">
      <c r="A1887" s="18">
        <f>IF(ISNUMBER(Dossiers!$D$38),Dossiers!$A$38&amp;" · "&amp;Dossiers!$B$38,"")</f>
        <v/>
      </c>
      <c r="B1887" s="18">
        <f>IF($A1887="","",Paramètres!G51)</f>
        <v/>
      </c>
      <c r="C1887" s="18">
        <f>IF($A1887="","",IF(Paramètres!H51="","",Paramètres!H51))</f>
        <v/>
      </c>
      <c r="D1887" s="18">
        <f>IF($A1887="","",IF(Paramètres!I51="","",Paramètres!I51))</f>
        <v/>
      </c>
      <c r="E1887" s="19">
        <f>IF($A1887="","",IF(Paramètres!J51&amp;Paramètres!L51&amp;Paramètres!N51="",Dossiers!$D$38,MAX(IF(Paramètres!J51="",0,IF(Paramètres!K51="",NA(),IF(LEFT(TRIM(Paramètres!K51),1)="F",INDEX($F$1841:$F$1893,MATCH(Paramètres!J51,Paramètres!$G$5:$G$57,0)),INDEX($E$1841:$E$1893,MATCH(Paramètres!J51,Paramètres!$G$5:$G$57,0)))+IF(RIGHT(TRIM(Paramètres!K51),3)="Fin",1-$H1887,IF(LEFT(TRIM(Paramètres!K51),1)="F",1,0)))),IF(Paramètres!L51="",0,IF(Paramètres!M51="",NA(),IF(LEFT(TRIM(Paramètres!M51),1)="F",INDEX($F$1841:$F$1893,MATCH(Paramètres!L51,Paramètres!$G$5:$G$57,0)),INDEX($E$1841:$E$1893,MATCH(Paramètres!L51,Paramètres!$G$5:$G$57,0)))+IF(RIGHT(TRIM(Paramètres!M51),3)="Fin",1-$H1887,IF(LEFT(TRIM(Paramètres!M51),1)="F",1,0)))),IF(Paramètres!N51="",0,IF(Paramètres!O51="",NA(),IF(LEFT(TRIM(Paramètres!O51),1)="F",INDEX($F$1841:$F$1893,MATCH(Paramètres!N51,Paramètres!$G$5:$G$57,0)),INDEX($E$1841:$E$1893,MATCH(Paramètres!N51,Paramètres!$G$5:$G$57,0)))+IF(RIGHT(TRIM(Paramètres!O51),3)="Fin",1-$H1887,IF(LEFT(TRIM(Paramètres!O51),1)="F",1,0)))))))</f>
        <v/>
      </c>
      <c r="F1887" s="19">
        <f>IF($A1887="","",E1887+$H1887-1)</f>
        <v/>
      </c>
      <c r="G1887" s="18" t="n"/>
      <c r="H1887" s="18">
        <f>IF($A1887="","",IF(I1887&lt;&gt;"",I1887,Paramètres!B51))</f>
        <v/>
      </c>
      <c r="I1887" s="18" t="n"/>
    </row>
    <row r="1888">
      <c r="A1888" s="18">
        <f>IF(ISNUMBER(Dossiers!$D$38),Dossiers!$A$38&amp;" · "&amp;Dossiers!$B$38,"")</f>
        <v/>
      </c>
      <c r="B1888" s="18">
        <f>IF($A1888="","",Paramètres!G52)</f>
        <v/>
      </c>
      <c r="C1888" s="18">
        <f>IF($A1888="","",IF(Paramètres!H52="","",Paramètres!H52))</f>
        <v/>
      </c>
      <c r="D1888" s="18">
        <f>IF($A1888="","",IF(Paramètres!I52="","",Paramètres!I52))</f>
        <v/>
      </c>
      <c r="E1888" s="19">
        <f>IF($A1888="","",IF(Paramètres!J52&amp;Paramètres!L52&amp;Paramètres!N52="",Dossiers!$D$38,MAX(IF(Paramètres!J52="",0,IF(Paramètres!K52="",NA(),IF(LEFT(TRIM(Paramètres!K52),1)="F",INDEX($F$1841:$F$1893,MATCH(Paramètres!J52,Paramètres!$G$5:$G$57,0)),INDEX($E$1841:$E$1893,MATCH(Paramètres!J52,Paramètres!$G$5:$G$57,0)))+IF(RIGHT(TRIM(Paramètres!K52),3)="Fin",1-$H1888,IF(LEFT(TRIM(Paramètres!K52),1)="F",1,0)))),IF(Paramètres!L52="",0,IF(Paramètres!M52="",NA(),IF(LEFT(TRIM(Paramètres!M52),1)="F",INDEX($F$1841:$F$1893,MATCH(Paramètres!L52,Paramètres!$G$5:$G$57,0)),INDEX($E$1841:$E$1893,MATCH(Paramètres!L52,Paramètres!$G$5:$G$57,0)))+IF(RIGHT(TRIM(Paramètres!M52),3)="Fin",1-$H1888,IF(LEFT(TRIM(Paramètres!M52),1)="F",1,0)))),IF(Paramètres!N52="",0,IF(Paramètres!O52="",NA(),IF(LEFT(TRIM(Paramètres!O52),1)="F",INDEX($F$1841:$F$1893,MATCH(Paramètres!N52,Paramètres!$G$5:$G$57,0)),INDEX($E$1841:$E$1893,MATCH(Paramètres!N52,Paramètres!$G$5:$G$57,0)))+IF(RIGHT(TRIM(Paramètres!O52),3)="Fin",1-$H1888,IF(LEFT(TRIM(Paramètres!O52),1)="F",1,0)))))))</f>
        <v/>
      </c>
      <c r="F1888" s="19">
        <f>IF($A1888="","",E1888+$H1888-1)</f>
        <v/>
      </c>
      <c r="G1888" s="18" t="n"/>
      <c r="H1888" s="18">
        <f>IF($A1888="","",IF(I1888&lt;&gt;"",I1888,Paramètres!B52))</f>
        <v/>
      </c>
      <c r="I1888" s="18" t="n"/>
    </row>
    <row r="1889">
      <c r="A1889" s="18">
        <f>IF(ISNUMBER(Dossiers!$D$38),Dossiers!$A$38&amp;" · "&amp;Dossiers!$B$38,"")</f>
        <v/>
      </c>
      <c r="B1889" s="18">
        <f>IF($A1889="","",Paramètres!G53)</f>
        <v/>
      </c>
      <c r="C1889" s="18">
        <f>IF($A1889="","",IF(Paramètres!H53="","",Paramètres!H53))</f>
        <v/>
      </c>
      <c r="D1889" s="18">
        <f>IF($A1889="","",IF(Paramètres!I53="","",Paramètres!I53))</f>
        <v/>
      </c>
      <c r="E1889" s="19">
        <f>IF($A1889="","",IF(Paramètres!J53&amp;Paramètres!L53&amp;Paramètres!N53="",Dossiers!$D$38,MAX(IF(Paramètres!J53="",0,IF(Paramètres!K53="",NA(),IF(LEFT(TRIM(Paramètres!K53),1)="F",INDEX($F$1841:$F$1893,MATCH(Paramètres!J53,Paramètres!$G$5:$G$57,0)),INDEX($E$1841:$E$1893,MATCH(Paramètres!J53,Paramètres!$G$5:$G$57,0)))+IF(RIGHT(TRIM(Paramètres!K53),3)="Fin",1-$H1889,IF(LEFT(TRIM(Paramètres!K53),1)="F",1,0)))),IF(Paramètres!L53="",0,IF(Paramètres!M53="",NA(),IF(LEFT(TRIM(Paramètres!M53),1)="F",INDEX($F$1841:$F$1893,MATCH(Paramètres!L53,Paramètres!$G$5:$G$57,0)),INDEX($E$1841:$E$1893,MATCH(Paramètres!L53,Paramètres!$G$5:$G$57,0)))+IF(RIGHT(TRIM(Paramètres!M53),3)="Fin",1-$H1889,IF(LEFT(TRIM(Paramètres!M53),1)="F",1,0)))),IF(Paramètres!N53="",0,IF(Paramètres!O53="",NA(),IF(LEFT(TRIM(Paramètres!O53),1)="F",INDEX($F$1841:$F$1893,MATCH(Paramètres!N53,Paramètres!$G$5:$G$57,0)),INDEX($E$1841:$E$1893,MATCH(Paramètres!N53,Paramètres!$G$5:$G$57,0)))+IF(RIGHT(TRIM(Paramètres!O53),3)="Fin",1-$H1889,IF(LEFT(TRIM(Paramètres!O53),1)="F",1,0)))))))</f>
        <v/>
      </c>
      <c r="F1889" s="19">
        <f>IF($A1889="","",E1889+$H1889-1)</f>
        <v/>
      </c>
      <c r="G1889" s="18" t="n"/>
      <c r="H1889" s="18">
        <f>IF($A1889="","",IF(I1889&lt;&gt;"",I1889,Paramètres!B53))</f>
        <v/>
      </c>
      <c r="I1889" s="18" t="n"/>
    </row>
    <row r="1890">
      <c r="A1890" s="18">
        <f>IF(ISNUMBER(Dossiers!$D$38),Dossiers!$A$38&amp;" · "&amp;Dossiers!$B$38,"")</f>
        <v/>
      </c>
      <c r="B1890" s="18">
        <f>IF($A1890="","",Paramètres!G54)</f>
        <v/>
      </c>
      <c r="C1890" s="18">
        <f>IF($A1890="","",IF(Paramètres!H54="","",Paramètres!H54))</f>
        <v/>
      </c>
      <c r="D1890" s="18">
        <f>IF($A1890="","",IF(Paramètres!I54="","",Paramètres!I54))</f>
        <v/>
      </c>
      <c r="E1890" s="19">
        <f>IF($A1890="","",IF(Paramètres!J54&amp;Paramètres!L54&amp;Paramètres!N54="",Dossiers!$D$38,MAX(IF(Paramètres!J54="",0,IF(Paramètres!K54="",NA(),IF(LEFT(TRIM(Paramètres!K54),1)="F",INDEX($F$1841:$F$1893,MATCH(Paramètres!J54,Paramètres!$G$5:$G$57,0)),INDEX($E$1841:$E$1893,MATCH(Paramètres!J54,Paramètres!$G$5:$G$57,0)))+IF(RIGHT(TRIM(Paramètres!K54),3)="Fin",1-$H1890,IF(LEFT(TRIM(Paramètres!K54),1)="F",1,0)))),IF(Paramètres!L54="",0,IF(Paramètres!M54="",NA(),IF(LEFT(TRIM(Paramètres!M54),1)="F",INDEX($F$1841:$F$1893,MATCH(Paramètres!L54,Paramètres!$G$5:$G$57,0)),INDEX($E$1841:$E$1893,MATCH(Paramètres!L54,Paramètres!$G$5:$G$57,0)))+IF(RIGHT(TRIM(Paramètres!M54),3)="Fin",1-$H1890,IF(LEFT(TRIM(Paramètres!M54),1)="F",1,0)))),IF(Paramètres!N54="",0,IF(Paramètres!O54="",NA(),IF(LEFT(TRIM(Paramètres!O54),1)="F",INDEX($F$1841:$F$1893,MATCH(Paramètres!N54,Paramètres!$G$5:$G$57,0)),INDEX($E$1841:$E$1893,MATCH(Paramètres!N54,Paramètres!$G$5:$G$57,0)))+IF(RIGHT(TRIM(Paramètres!O54),3)="Fin",1-$H1890,IF(LEFT(TRIM(Paramètres!O54),1)="F",1,0)))))))</f>
        <v/>
      </c>
      <c r="F1890" s="19">
        <f>IF($A1890="","",E1890+$H1890-1)</f>
        <v/>
      </c>
      <c r="G1890" s="18" t="n"/>
      <c r="H1890" s="18">
        <f>IF($A1890="","",IF(I1890&lt;&gt;"",I1890,Paramètres!B54))</f>
        <v/>
      </c>
      <c r="I1890" s="18" t="n"/>
    </row>
    <row r="1891">
      <c r="A1891" s="18">
        <f>IF(ISNUMBER(Dossiers!$D$38),Dossiers!$A$38&amp;" · "&amp;Dossiers!$B$38,"")</f>
        <v/>
      </c>
      <c r="B1891" s="18">
        <f>IF($A1891="","",Paramètres!G55)</f>
        <v/>
      </c>
      <c r="C1891" s="18">
        <f>IF($A1891="","",IF(Paramètres!H55="","",Paramètres!H55))</f>
        <v/>
      </c>
      <c r="D1891" s="18">
        <f>IF($A1891="","",IF(Paramètres!I55="","",Paramètres!I55))</f>
        <v/>
      </c>
      <c r="E1891" s="19">
        <f>IF($A1891="","",IF(Paramètres!J55&amp;Paramètres!L55&amp;Paramètres!N55="",Dossiers!$D$38,MAX(IF(Paramètres!J55="",0,IF(Paramètres!K55="",NA(),IF(LEFT(TRIM(Paramètres!K55),1)="F",INDEX($F$1841:$F$1893,MATCH(Paramètres!J55,Paramètres!$G$5:$G$57,0)),INDEX($E$1841:$E$1893,MATCH(Paramètres!J55,Paramètres!$G$5:$G$57,0)))+IF(RIGHT(TRIM(Paramètres!K55),3)="Fin",1-$H1891,IF(LEFT(TRIM(Paramètres!K55),1)="F",1,0)))),IF(Paramètres!L55="",0,IF(Paramètres!M55="",NA(),IF(LEFT(TRIM(Paramètres!M55),1)="F",INDEX($F$1841:$F$1893,MATCH(Paramètres!L55,Paramètres!$G$5:$G$57,0)),INDEX($E$1841:$E$1893,MATCH(Paramètres!L55,Paramètres!$G$5:$G$57,0)))+IF(RIGHT(TRIM(Paramètres!M55),3)="Fin",1-$H1891,IF(LEFT(TRIM(Paramètres!M55),1)="F",1,0)))),IF(Paramètres!N55="",0,IF(Paramètres!O55="",NA(),IF(LEFT(TRIM(Paramètres!O55),1)="F",INDEX($F$1841:$F$1893,MATCH(Paramètres!N55,Paramètres!$G$5:$G$57,0)),INDEX($E$1841:$E$1893,MATCH(Paramètres!N55,Paramètres!$G$5:$G$57,0)))+IF(RIGHT(TRIM(Paramètres!O55),3)="Fin",1-$H1891,IF(LEFT(TRIM(Paramètres!O55),1)="F",1,0)))))))</f>
        <v/>
      </c>
      <c r="F1891" s="19">
        <f>IF($A1891="","",E1891+$H1891-1)</f>
        <v/>
      </c>
      <c r="G1891" s="18" t="n"/>
      <c r="H1891" s="18">
        <f>IF($A1891="","",IF(I1891&lt;&gt;"",I1891,Paramètres!B55))</f>
        <v/>
      </c>
      <c r="I1891" s="18" t="n"/>
    </row>
    <row r="1892">
      <c r="A1892" s="18">
        <f>IF(ISNUMBER(Dossiers!$D$38),Dossiers!$A$38&amp;" · "&amp;Dossiers!$B$38,"")</f>
        <v/>
      </c>
      <c r="B1892" s="18">
        <f>IF($A1892="","",Paramètres!G56)</f>
        <v/>
      </c>
      <c r="C1892" s="18">
        <f>IF($A1892="","",IF(Paramètres!H56="","",Paramètres!H56))</f>
        <v/>
      </c>
      <c r="D1892" s="18">
        <f>IF($A1892="","",IF(Paramètres!I56="","",Paramètres!I56))</f>
        <v/>
      </c>
      <c r="E1892" s="19">
        <f>IF($A1892="","",MIN(E1893:E1893))</f>
        <v/>
      </c>
      <c r="F1892" s="19">
        <f>IF($A1892="","",MAX(F1893:F1893))</f>
        <v/>
      </c>
      <c r="G1892" s="18" t="n"/>
      <c r="H1892" s="18">
        <f>IF($A1892="","",F1892-E1892+1)</f>
        <v/>
      </c>
      <c r="I1892" s="18" t="n"/>
    </row>
    <row r="1893">
      <c r="A1893" s="18">
        <f>IF(ISNUMBER(Dossiers!$D$38),Dossiers!$A$38&amp;" · "&amp;Dossiers!$B$38,"")</f>
        <v/>
      </c>
      <c r="B1893" s="18">
        <f>IF($A1893="","",Paramètres!G57)</f>
        <v/>
      </c>
      <c r="C1893" s="18">
        <f>IF($A1893="","",IF(Paramètres!H57="","",Paramètres!H57))</f>
        <v/>
      </c>
      <c r="D1893" s="18">
        <f>IF($A1893="","",IF(Paramètres!I57="","",Paramètres!I57))</f>
        <v/>
      </c>
      <c r="E1893" s="19">
        <f>IF($A1893="","",IF(Paramètres!J57&amp;Paramètres!L57&amp;Paramètres!N57="",Dossiers!$D$38,MAX(IF(Paramètres!J57="",0,IF(Paramètres!K57="",NA(),IF(LEFT(TRIM(Paramètres!K57),1)="F",INDEX($F$1841:$F$1893,MATCH(Paramètres!J57,Paramètres!$G$5:$G$57,0)),INDEX($E$1841:$E$1893,MATCH(Paramètres!J57,Paramètres!$G$5:$G$57,0)))+IF(RIGHT(TRIM(Paramètres!K57),3)="Fin",1-$H1893,IF(LEFT(TRIM(Paramètres!K57),1)="F",1,0)))),IF(Paramètres!L57="",0,IF(Paramètres!M57="",NA(),IF(LEFT(TRIM(Paramètres!M57),1)="F",INDEX($F$1841:$F$1893,MATCH(Paramètres!L57,Paramètres!$G$5:$G$57,0)),INDEX($E$1841:$E$1893,MATCH(Paramètres!L57,Paramètres!$G$5:$G$57,0)))+IF(RIGHT(TRIM(Paramètres!M57),3)="Fin",1-$H1893,IF(LEFT(TRIM(Paramètres!M57),1)="F",1,0)))),IF(Paramètres!N57="",0,IF(Paramètres!O57="",NA(),IF(LEFT(TRIM(Paramètres!O57),1)="F",INDEX($F$1841:$F$1893,MATCH(Paramètres!N57,Paramètres!$G$5:$G$57,0)),INDEX($E$1841:$E$1893,MATCH(Paramètres!N57,Paramètres!$G$5:$G$57,0)))+IF(RIGHT(TRIM(Paramètres!O57),3)="Fin",1-$H1893,IF(LEFT(TRIM(Paramètres!O57),1)="F",1,0)))))))</f>
        <v/>
      </c>
      <c r="F1893" s="19">
        <f>IF($A1893="","",E1893+$H1893-1)</f>
        <v/>
      </c>
      <c r="G1893" s="18" t="n"/>
      <c r="H1893" s="18">
        <f>IF($A1893="","",IF(I1893&lt;&gt;"",I1893,Paramètres!B57))</f>
        <v/>
      </c>
      <c r="I1893" s="18" t="n"/>
    </row>
    <row r="1894">
      <c r="A1894" s="16">
        <f>IF(ISNUMBER(Dossiers!$D$39),Dossiers!$E$39,"")</f>
        <v/>
      </c>
      <c r="B1894" s="16">
        <f>IF($A1894="","","Identifiant")</f>
        <v/>
      </c>
      <c r="C1894" s="16">
        <f>IF($A1894="","","Macro Etape")</f>
        <v/>
      </c>
      <c r="D1894" s="16">
        <f>IF($A1894="","","Etape")</f>
        <v/>
      </c>
      <c r="E1894" s="17">
        <f>IF($A1894="","","Début le")</f>
        <v/>
      </c>
      <c r="F1894" s="17">
        <f>IF($A1894="","","Fin prévue le")</f>
        <v/>
      </c>
      <c r="G1894" s="16">
        <f>IF($A1894="","","Statut")</f>
        <v/>
      </c>
      <c r="H1894" s="16">
        <f>IF($A1894="","","Durée (jours)")</f>
        <v/>
      </c>
      <c r="I1894" s="16">
        <f>IF($A1894="","","Durée particulière")</f>
        <v/>
      </c>
      <c r="J1894" s="10">
        <f>IF($A1894="","",HYPERLINK("#'Tableau de bord'!A1","↑ Tableau de bord"))</f>
        <v/>
      </c>
    </row>
    <row r="1895">
      <c r="A1895" s="18">
        <f>IF(ISNUMBER(Dossiers!$D$39),Dossiers!$A$39&amp;" · "&amp;Dossiers!$B$39,"")</f>
        <v/>
      </c>
      <c r="B1895" s="18">
        <f>IF($A1895="","",Paramètres!G5)</f>
        <v/>
      </c>
      <c r="C1895" s="18">
        <f>IF($A1895="","",IF(Paramètres!H5="","",Paramètres!H5))</f>
        <v/>
      </c>
      <c r="D1895" s="18">
        <f>IF($A1895="","",IF(Paramètres!I5="","",Paramètres!I5))</f>
        <v/>
      </c>
      <c r="E1895" s="19">
        <f>IF($A1895="","",MIN(E1896:E1899))</f>
        <v/>
      </c>
      <c r="F1895" s="19">
        <f>IF($A1895="","",MAX(F1896:F1899))</f>
        <v/>
      </c>
      <c r="G1895" s="18" t="n"/>
      <c r="H1895" s="18">
        <f>IF($A1895="","",F1895-E1895+1)</f>
        <v/>
      </c>
      <c r="I1895" s="18" t="n"/>
    </row>
    <row r="1896">
      <c r="A1896" s="18">
        <f>IF(ISNUMBER(Dossiers!$D$39),Dossiers!$A$39&amp;" · "&amp;Dossiers!$B$39,"")</f>
        <v/>
      </c>
      <c r="B1896" s="18">
        <f>IF($A1896="","",Paramètres!G6)</f>
        <v/>
      </c>
      <c r="C1896" s="18">
        <f>IF($A1896="","",IF(Paramètres!H6="","",Paramètres!H6))</f>
        <v/>
      </c>
      <c r="D1896" s="18">
        <f>IF($A1896="","",IF(Paramètres!I6="","",Paramètres!I6))</f>
        <v/>
      </c>
      <c r="E1896" s="19">
        <f>IF($A1896="","",IF(Paramètres!J6&amp;Paramètres!L6&amp;Paramètres!N6="",Dossiers!$D$39,MAX(IF(Paramètres!J6="",0,IF(Paramètres!K6="",NA(),IF(LEFT(TRIM(Paramètres!K6),1)="F",INDEX($F$1895:$F$1947,MATCH(Paramètres!J6,Paramètres!$G$5:$G$57,0)),INDEX($E$1895:$E$1947,MATCH(Paramètres!J6,Paramètres!$G$5:$G$57,0)))+IF(RIGHT(TRIM(Paramètres!K6),3)="Fin",1-$H1896,IF(LEFT(TRIM(Paramètres!K6),1)="F",1,0)))),IF(Paramètres!L6="",0,IF(Paramètres!M6="",NA(),IF(LEFT(TRIM(Paramètres!M6),1)="F",INDEX($F$1895:$F$1947,MATCH(Paramètres!L6,Paramètres!$G$5:$G$57,0)),INDEX($E$1895:$E$1947,MATCH(Paramètres!L6,Paramètres!$G$5:$G$57,0)))+IF(RIGHT(TRIM(Paramètres!M6),3)="Fin",1-$H1896,IF(LEFT(TRIM(Paramètres!M6),1)="F",1,0)))),IF(Paramètres!N6="",0,IF(Paramètres!O6="",NA(),IF(LEFT(TRIM(Paramètres!O6),1)="F",INDEX($F$1895:$F$1947,MATCH(Paramètres!N6,Paramètres!$G$5:$G$57,0)),INDEX($E$1895:$E$1947,MATCH(Paramètres!N6,Paramètres!$G$5:$G$57,0)))+IF(RIGHT(TRIM(Paramètres!O6),3)="Fin",1-$H1896,IF(LEFT(TRIM(Paramètres!O6),1)="F",1,0)))))))</f>
        <v/>
      </c>
      <c r="F1896" s="19">
        <f>IF($A1896="","",E1896+$H1896-1)</f>
        <v/>
      </c>
      <c r="G1896" s="18" t="n"/>
      <c r="H1896" s="18">
        <f>IF($A1896="","",IF(I1896&lt;&gt;"",I1896,Paramètres!B6))</f>
        <v/>
      </c>
      <c r="I1896" s="18" t="n"/>
    </row>
    <row r="1897">
      <c r="A1897" s="18">
        <f>IF(ISNUMBER(Dossiers!$D$39),Dossiers!$A$39&amp;" · "&amp;Dossiers!$B$39,"")</f>
        <v/>
      </c>
      <c r="B1897" s="18">
        <f>IF($A1897="","",Paramètres!G7)</f>
        <v/>
      </c>
      <c r="C1897" s="18">
        <f>IF($A1897="","",IF(Paramètres!H7="","",Paramètres!H7))</f>
        <v/>
      </c>
      <c r="D1897" s="18">
        <f>IF($A1897="","",IF(Paramètres!I7="","",Paramètres!I7))</f>
        <v/>
      </c>
      <c r="E1897" s="19">
        <f>IF($A1897="","",IF(Paramètres!J7&amp;Paramètres!L7&amp;Paramètres!N7="",Dossiers!$D$39,MAX(IF(Paramètres!J7="",0,IF(Paramètres!K7="",NA(),IF(LEFT(TRIM(Paramètres!K7),1)="F",INDEX($F$1895:$F$1947,MATCH(Paramètres!J7,Paramètres!$G$5:$G$57,0)),INDEX($E$1895:$E$1947,MATCH(Paramètres!J7,Paramètres!$G$5:$G$57,0)))+IF(RIGHT(TRIM(Paramètres!K7),3)="Fin",1-$H1897,IF(LEFT(TRIM(Paramètres!K7),1)="F",1,0)))),IF(Paramètres!L7="",0,IF(Paramètres!M7="",NA(),IF(LEFT(TRIM(Paramètres!M7),1)="F",INDEX($F$1895:$F$1947,MATCH(Paramètres!L7,Paramètres!$G$5:$G$57,0)),INDEX($E$1895:$E$1947,MATCH(Paramètres!L7,Paramètres!$G$5:$G$57,0)))+IF(RIGHT(TRIM(Paramètres!M7),3)="Fin",1-$H1897,IF(LEFT(TRIM(Paramètres!M7),1)="F",1,0)))),IF(Paramètres!N7="",0,IF(Paramètres!O7="",NA(),IF(LEFT(TRIM(Paramètres!O7),1)="F",INDEX($F$1895:$F$1947,MATCH(Paramètres!N7,Paramètres!$G$5:$G$57,0)),INDEX($E$1895:$E$1947,MATCH(Paramètres!N7,Paramètres!$G$5:$G$57,0)))+IF(RIGHT(TRIM(Paramètres!O7),3)="Fin",1-$H1897,IF(LEFT(TRIM(Paramètres!O7),1)="F",1,0)))))))</f>
        <v/>
      </c>
      <c r="F1897" s="19">
        <f>IF($A1897="","",E1897+$H1897-1)</f>
        <v/>
      </c>
      <c r="G1897" s="18" t="n"/>
      <c r="H1897" s="18">
        <f>IF($A1897="","",IF(I1897&lt;&gt;"",I1897,Paramètres!B7))</f>
        <v/>
      </c>
      <c r="I1897" s="18" t="n"/>
    </row>
    <row r="1898">
      <c r="A1898" s="18">
        <f>IF(ISNUMBER(Dossiers!$D$39),Dossiers!$A$39&amp;" · "&amp;Dossiers!$B$39,"")</f>
        <v/>
      </c>
      <c r="B1898" s="18">
        <f>IF($A1898="","",Paramètres!G8)</f>
        <v/>
      </c>
      <c r="C1898" s="18">
        <f>IF($A1898="","",IF(Paramètres!H8="","",Paramètres!H8))</f>
        <v/>
      </c>
      <c r="D1898" s="18">
        <f>IF($A1898="","",IF(Paramètres!I8="","",Paramètres!I8))</f>
        <v/>
      </c>
      <c r="E1898" s="19">
        <f>IF($A1898="","",IF(Paramètres!J8&amp;Paramètres!L8&amp;Paramètres!N8="",Dossiers!$D$39,MAX(IF(Paramètres!J8="",0,IF(Paramètres!K8="",NA(),IF(LEFT(TRIM(Paramètres!K8),1)="F",INDEX($F$1895:$F$1947,MATCH(Paramètres!J8,Paramètres!$G$5:$G$57,0)),INDEX($E$1895:$E$1947,MATCH(Paramètres!J8,Paramètres!$G$5:$G$57,0)))+IF(RIGHT(TRIM(Paramètres!K8),3)="Fin",1-$H1898,IF(LEFT(TRIM(Paramètres!K8),1)="F",1,0)))),IF(Paramètres!L8="",0,IF(Paramètres!M8="",NA(),IF(LEFT(TRIM(Paramètres!M8),1)="F",INDEX($F$1895:$F$1947,MATCH(Paramètres!L8,Paramètres!$G$5:$G$57,0)),INDEX($E$1895:$E$1947,MATCH(Paramètres!L8,Paramètres!$G$5:$G$57,0)))+IF(RIGHT(TRIM(Paramètres!M8),3)="Fin",1-$H1898,IF(LEFT(TRIM(Paramètres!M8),1)="F",1,0)))),IF(Paramètres!N8="",0,IF(Paramètres!O8="",NA(),IF(LEFT(TRIM(Paramètres!O8),1)="F",INDEX($F$1895:$F$1947,MATCH(Paramètres!N8,Paramètres!$G$5:$G$57,0)),INDEX($E$1895:$E$1947,MATCH(Paramètres!N8,Paramètres!$G$5:$G$57,0)))+IF(RIGHT(TRIM(Paramètres!O8),3)="Fin",1-$H1898,IF(LEFT(TRIM(Paramètres!O8),1)="F",1,0)))))))</f>
        <v/>
      </c>
      <c r="F1898" s="19">
        <f>IF($A1898="","",E1898+$H1898-1)</f>
        <v/>
      </c>
      <c r="G1898" s="18" t="n"/>
      <c r="H1898" s="18">
        <f>IF($A1898="","",IF(I1898&lt;&gt;"",I1898,Paramètres!B8))</f>
        <v/>
      </c>
      <c r="I1898" s="18" t="n"/>
    </row>
    <row r="1899">
      <c r="A1899" s="18">
        <f>IF(ISNUMBER(Dossiers!$D$39),Dossiers!$A$39&amp;" · "&amp;Dossiers!$B$39,"")</f>
        <v/>
      </c>
      <c r="B1899" s="18">
        <f>IF($A1899="","",Paramètres!G9)</f>
        <v/>
      </c>
      <c r="C1899" s="18">
        <f>IF($A1899="","",IF(Paramètres!H9="","",Paramètres!H9))</f>
        <v/>
      </c>
      <c r="D1899" s="18">
        <f>IF($A1899="","",IF(Paramètres!I9="","",Paramètres!I9))</f>
        <v/>
      </c>
      <c r="E1899" s="19">
        <f>IF($A1899="","",IF(Paramètres!J9&amp;Paramètres!L9&amp;Paramètres!N9="",Dossiers!$D$39,MAX(IF(Paramètres!J9="",0,IF(Paramètres!K9="",NA(),IF(LEFT(TRIM(Paramètres!K9),1)="F",INDEX($F$1895:$F$1947,MATCH(Paramètres!J9,Paramètres!$G$5:$G$57,0)),INDEX($E$1895:$E$1947,MATCH(Paramètres!J9,Paramètres!$G$5:$G$57,0)))+IF(RIGHT(TRIM(Paramètres!K9),3)="Fin",1-$H1899,IF(LEFT(TRIM(Paramètres!K9),1)="F",1,0)))),IF(Paramètres!L9="",0,IF(Paramètres!M9="",NA(),IF(LEFT(TRIM(Paramètres!M9),1)="F",INDEX($F$1895:$F$1947,MATCH(Paramètres!L9,Paramètres!$G$5:$G$57,0)),INDEX($E$1895:$E$1947,MATCH(Paramètres!L9,Paramètres!$G$5:$G$57,0)))+IF(RIGHT(TRIM(Paramètres!M9),3)="Fin",1-$H1899,IF(LEFT(TRIM(Paramètres!M9),1)="F",1,0)))),IF(Paramètres!N9="",0,IF(Paramètres!O9="",NA(),IF(LEFT(TRIM(Paramètres!O9),1)="F",INDEX($F$1895:$F$1947,MATCH(Paramètres!N9,Paramètres!$G$5:$G$57,0)),INDEX($E$1895:$E$1947,MATCH(Paramètres!N9,Paramètres!$G$5:$G$57,0)))+IF(RIGHT(TRIM(Paramètres!O9),3)="Fin",1-$H1899,IF(LEFT(TRIM(Paramètres!O9),1)="F",1,0)))))))</f>
        <v/>
      </c>
      <c r="F1899" s="19">
        <f>IF($A1899="","",E1899+$H1899-1)</f>
        <v/>
      </c>
      <c r="G1899" s="18" t="n"/>
      <c r="H1899" s="18">
        <f>IF($A1899="","",IF(I1899&lt;&gt;"",I1899,Paramètres!B9))</f>
        <v/>
      </c>
      <c r="I1899" s="18" t="n"/>
    </row>
    <row r="1900">
      <c r="A1900" s="18">
        <f>IF(ISNUMBER(Dossiers!$D$39),Dossiers!$A$39&amp;" · "&amp;Dossiers!$B$39,"")</f>
        <v/>
      </c>
      <c r="B1900" s="18">
        <f>IF($A1900="","",Paramètres!G10)</f>
        <v/>
      </c>
      <c r="C1900" s="18">
        <f>IF($A1900="","",IF(Paramètres!H10="","",Paramètres!H10))</f>
        <v/>
      </c>
      <c r="D1900" s="18">
        <f>IF($A1900="","",IF(Paramètres!I10="","",Paramètres!I10))</f>
        <v/>
      </c>
      <c r="E1900" s="19">
        <f>IF($A1900="","",MIN(E1901:E1904))</f>
        <v/>
      </c>
      <c r="F1900" s="19">
        <f>IF($A1900="","",MAX(F1901:F1904))</f>
        <v/>
      </c>
      <c r="G1900" s="18" t="n"/>
      <c r="H1900" s="18">
        <f>IF($A1900="","",F1900-E1900+1)</f>
        <v/>
      </c>
      <c r="I1900" s="18" t="n"/>
    </row>
    <row r="1901">
      <c r="A1901" s="18">
        <f>IF(ISNUMBER(Dossiers!$D$39),Dossiers!$A$39&amp;" · "&amp;Dossiers!$B$39,"")</f>
        <v/>
      </c>
      <c r="B1901" s="18">
        <f>IF($A1901="","",Paramètres!G11)</f>
        <v/>
      </c>
      <c r="C1901" s="18">
        <f>IF($A1901="","",IF(Paramètres!H11="","",Paramètres!H11))</f>
        <v/>
      </c>
      <c r="D1901" s="18">
        <f>IF($A1901="","",IF(Paramètres!I11="","",Paramètres!I11))</f>
        <v/>
      </c>
      <c r="E1901" s="19">
        <f>IF($A1901="","",IF(Paramètres!J11&amp;Paramètres!L11&amp;Paramètres!N11="",Dossiers!$D$39,MAX(IF(Paramètres!J11="",0,IF(Paramètres!K11="",NA(),IF(LEFT(TRIM(Paramètres!K11),1)="F",INDEX($F$1895:$F$1947,MATCH(Paramètres!J11,Paramètres!$G$5:$G$57,0)),INDEX($E$1895:$E$1947,MATCH(Paramètres!J11,Paramètres!$G$5:$G$57,0)))+IF(RIGHT(TRIM(Paramètres!K11),3)="Fin",1-$H1901,IF(LEFT(TRIM(Paramètres!K11),1)="F",1,0)))),IF(Paramètres!L11="",0,IF(Paramètres!M11="",NA(),IF(LEFT(TRIM(Paramètres!M11),1)="F",INDEX($F$1895:$F$1947,MATCH(Paramètres!L11,Paramètres!$G$5:$G$57,0)),INDEX($E$1895:$E$1947,MATCH(Paramètres!L11,Paramètres!$G$5:$G$57,0)))+IF(RIGHT(TRIM(Paramètres!M11),3)="Fin",1-$H1901,IF(LEFT(TRIM(Paramètres!M11),1)="F",1,0)))),IF(Paramètres!N11="",0,IF(Paramètres!O11="",NA(),IF(LEFT(TRIM(Paramètres!O11),1)="F",INDEX($F$1895:$F$1947,MATCH(Paramètres!N11,Paramètres!$G$5:$G$57,0)),INDEX($E$1895:$E$1947,MATCH(Paramètres!N11,Paramètres!$G$5:$G$57,0)))+IF(RIGHT(TRIM(Paramètres!O11),3)="Fin",1-$H1901,IF(LEFT(TRIM(Paramètres!O11),1)="F",1,0)))))))</f>
        <v/>
      </c>
      <c r="F1901" s="19">
        <f>IF($A1901="","",E1901+$H1901-1)</f>
        <v/>
      </c>
      <c r="G1901" s="18" t="n"/>
      <c r="H1901" s="18">
        <f>IF($A1901="","",IF(I1901&lt;&gt;"",I1901,Paramètres!B11))</f>
        <v/>
      </c>
      <c r="I1901" s="18" t="n"/>
    </row>
    <row r="1902">
      <c r="A1902" s="18">
        <f>IF(ISNUMBER(Dossiers!$D$39),Dossiers!$A$39&amp;" · "&amp;Dossiers!$B$39,"")</f>
        <v/>
      </c>
      <c r="B1902" s="18">
        <f>IF($A1902="","",Paramètres!G12)</f>
        <v/>
      </c>
      <c r="C1902" s="18">
        <f>IF($A1902="","",IF(Paramètres!H12="","",Paramètres!H12))</f>
        <v/>
      </c>
      <c r="D1902" s="18">
        <f>IF($A1902="","",IF(Paramètres!I12="","",Paramètres!I12))</f>
        <v/>
      </c>
      <c r="E1902" s="19">
        <f>IF($A1902="","",IF(Paramètres!J12&amp;Paramètres!L12&amp;Paramètres!N12="",Dossiers!$D$39,MAX(IF(Paramètres!J12="",0,IF(Paramètres!K12="",NA(),IF(LEFT(TRIM(Paramètres!K12),1)="F",INDEX($F$1895:$F$1947,MATCH(Paramètres!J12,Paramètres!$G$5:$G$57,0)),INDEX($E$1895:$E$1947,MATCH(Paramètres!J12,Paramètres!$G$5:$G$57,0)))+IF(RIGHT(TRIM(Paramètres!K12),3)="Fin",1-$H1902,IF(LEFT(TRIM(Paramètres!K12),1)="F",1,0)))),IF(Paramètres!L12="",0,IF(Paramètres!M12="",NA(),IF(LEFT(TRIM(Paramètres!M12),1)="F",INDEX($F$1895:$F$1947,MATCH(Paramètres!L12,Paramètres!$G$5:$G$57,0)),INDEX($E$1895:$E$1947,MATCH(Paramètres!L12,Paramètres!$G$5:$G$57,0)))+IF(RIGHT(TRIM(Paramètres!M12),3)="Fin",1-$H1902,IF(LEFT(TRIM(Paramètres!M12),1)="F",1,0)))),IF(Paramètres!N12="",0,IF(Paramètres!O12="",NA(),IF(LEFT(TRIM(Paramètres!O12),1)="F",INDEX($F$1895:$F$1947,MATCH(Paramètres!N12,Paramètres!$G$5:$G$57,0)),INDEX($E$1895:$E$1947,MATCH(Paramètres!N12,Paramètres!$G$5:$G$57,0)))+IF(RIGHT(TRIM(Paramètres!O12),3)="Fin",1-$H1902,IF(LEFT(TRIM(Paramètres!O12),1)="F",1,0)))))))</f>
        <v/>
      </c>
      <c r="F1902" s="19">
        <f>IF($A1902="","",E1902+$H1902-1)</f>
        <v/>
      </c>
      <c r="G1902" s="18" t="n"/>
      <c r="H1902" s="18">
        <f>IF($A1902="","",IF(I1902&lt;&gt;"",I1902,Paramètres!B12))</f>
        <v/>
      </c>
      <c r="I1902" s="18" t="n"/>
    </row>
    <row r="1903">
      <c r="A1903" s="18">
        <f>IF(ISNUMBER(Dossiers!$D$39),Dossiers!$A$39&amp;" · "&amp;Dossiers!$B$39,"")</f>
        <v/>
      </c>
      <c r="B1903" s="18">
        <f>IF($A1903="","",Paramètres!G13)</f>
        <v/>
      </c>
      <c r="C1903" s="18">
        <f>IF($A1903="","",IF(Paramètres!H13="","",Paramètres!H13))</f>
        <v/>
      </c>
      <c r="D1903" s="18">
        <f>IF($A1903="","",IF(Paramètres!I13="","",Paramètres!I13))</f>
        <v/>
      </c>
      <c r="E1903" s="19">
        <f>IF($A1903="","",IF(Paramètres!J13&amp;Paramètres!L13&amp;Paramètres!N13="",Dossiers!$D$39,MAX(IF(Paramètres!J13="",0,IF(Paramètres!K13="",NA(),IF(LEFT(TRIM(Paramètres!K13),1)="F",INDEX($F$1895:$F$1947,MATCH(Paramètres!J13,Paramètres!$G$5:$G$57,0)),INDEX($E$1895:$E$1947,MATCH(Paramètres!J13,Paramètres!$G$5:$G$57,0)))+IF(RIGHT(TRIM(Paramètres!K13),3)="Fin",1-$H1903,IF(LEFT(TRIM(Paramètres!K13),1)="F",1,0)))),IF(Paramètres!L13="",0,IF(Paramètres!M13="",NA(),IF(LEFT(TRIM(Paramètres!M13),1)="F",INDEX($F$1895:$F$1947,MATCH(Paramètres!L13,Paramètres!$G$5:$G$57,0)),INDEX($E$1895:$E$1947,MATCH(Paramètres!L13,Paramètres!$G$5:$G$57,0)))+IF(RIGHT(TRIM(Paramètres!M13),3)="Fin",1-$H1903,IF(LEFT(TRIM(Paramètres!M13),1)="F",1,0)))),IF(Paramètres!N13="",0,IF(Paramètres!O13="",NA(),IF(LEFT(TRIM(Paramètres!O13),1)="F",INDEX($F$1895:$F$1947,MATCH(Paramètres!N13,Paramètres!$G$5:$G$57,0)),INDEX($E$1895:$E$1947,MATCH(Paramètres!N13,Paramètres!$G$5:$G$57,0)))+IF(RIGHT(TRIM(Paramètres!O13),3)="Fin",1-$H1903,IF(LEFT(TRIM(Paramètres!O13),1)="F",1,0)))))))</f>
        <v/>
      </c>
      <c r="F1903" s="19">
        <f>IF($A1903="","",E1903+$H1903-1)</f>
        <v/>
      </c>
      <c r="G1903" s="18" t="n"/>
      <c r="H1903" s="18">
        <f>IF($A1903="","",IF(I1903&lt;&gt;"",I1903,Paramètres!B13))</f>
        <v/>
      </c>
      <c r="I1903" s="18" t="n"/>
    </row>
    <row r="1904">
      <c r="A1904" s="18">
        <f>IF(ISNUMBER(Dossiers!$D$39),Dossiers!$A$39&amp;" · "&amp;Dossiers!$B$39,"")</f>
        <v/>
      </c>
      <c r="B1904" s="18">
        <f>IF($A1904="","",Paramètres!G14)</f>
        <v/>
      </c>
      <c r="C1904" s="18">
        <f>IF($A1904="","",IF(Paramètres!H14="","",Paramètres!H14))</f>
        <v/>
      </c>
      <c r="D1904" s="18">
        <f>IF($A1904="","",IF(Paramètres!I14="","",Paramètres!I14))</f>
        <v/>
      </c>
      <c r="E1904" s="19">
        <f>IF($A1904="","",IF(Paramètres!J14&amp;Paramètres!L14&amp;Paramètres!N14="",Dossiers!$D$39,MAX(IF(Paramètres!J14="",0,IF(Paramètres!K14="",NA(),IF(LEFT(TRIM(Paramètres!K14),1)="F",INDEX($F$1895:$F$1947,MATCH(Paramètres!J14,Paramètres!$G$5:$G$57,0)),INDEX($E$1895:$E$1947,MATCH(Paramètres!J14,Paramètres!$G$5:$G$57,0)))+IF(RIGHT(TRIM(Paramètres!K14),3)="Fin",1-$H1904,IF(LEFT(TRIM(Paramètres!K14),1)="F",1,0)))),IF(Paramètres!L14="",0,IF(Paramètres!M14="",NA(),IF(LEFT(TRIM(Paramètres!M14),1)="F",INDEX($F$1895:$F$1947,MATCH(Paramètres!L14,Paramètres!$G$5:$G$57,0)),INDEX($E$1895:$E$1947,MATCH(Paramètres!L14,Paramètres!$G$5:$G$57,0)))+IF(RIGHT(TRIM(Paramètres!M14),3)="Fin",1-$H1904,IF(LEFT(TRIM(Paramètres!M14),1)="F",1,0)))),IF(Paramètres!N14="",0,IF(Paramètres!O14="",NA(),IF(LEFT(TRIM(Paramètres!O14),1)="F",INDEX($F$1895:$F$1947,MATCH(Paramètres!N14,Paramètres!$G$5:$G$57,0)),INDEX($E$1895:$E$1947,MATCH(Paramètres!N14,Paramètres!$G$5:$G$57,0)))+IF(RIGHT(TRIM(Paramètres!O14),3)="Fin",1-$H1904,IF(LEFT(TRIM(Paramètres!O14),1)="F",1,0)))))))</f>
        <v/>
      </c>
      <c r="F1904" s="19">
        <f>IF($A1904="","",E1904+$H1904-1)</f>
        <v/>
      </c>
      <c r="G1904" s="18" t="n"/>
      <c r="H1904" s="18">
        <f>IF($A1904="","",IF(I1904&lt;&gt;"",I1904,Paramètres!B14))</f>
        <v/>
      </c>
      <c r="I1904" s="18" t="n"/>
    </row>
    <row r="1905">
      <c r="A1905" s="18">
        <f>IF(ISNUMBER(Dossiers!$D$39),Dossiers!$A$39&amp;" · "&amp;Dossiers!$B$39,"")</f>
        <v/>
      </c>
      <c r="B1905" s="18">
        <f>IF($A1905="","",Paramètres!G15)</f>
        <v/>
      </c>
      <c r="C1905" s="18">
        <f>IF($A1905="","",IF(Paramètres!H15="","",Paramètres!H15))</f>
        <v/>
      </c>
      <c r="D1905" s="18">
        <f>IF($A1905="","",IF(Paramètres!I15="","",Paramètres!I15))</f>
        <v/>
      </c>
      <c r="E1905" s="19">
        <f>IF($A1905="","",MIN(E1906:E1921))</f>
        <v/>
      </c>
      <c r="F1905" s="19">
        <f>IF($A1905="","",MAX(F1906:F1921))</f>
        <v/>
      </c>
      <c r="G1905" s="18" t="n"/>
      <c r="H1905" s="18">
        <f>IF($A1905="","",F1905-E1905+1)</f>
        <v/>
      </c>
      <c r="I1905" s="18" t="n"/>
    </row>
    <row r="1906">
      <c r="A1906" s="18">
        <f>IF(ISNUMBER(Dossiers!$D$39),Dossiers!$A$39&amp;" · "&amp;Dossiers!$B$39,"")</f>
        <v/>
      </c>
      <c r="B1906" s="18">
        <f>IF($A1906="","",Paramètres!G16)</f>
        <v/>
      </c>
      <c r="C1906" s="18">
        <f>IF($A1906="","",IF(Paramètres!H16="","",Paramètres!H16))</f>
        <v/>
      </c>
      <c r="D1906" s="18">
        <f>IF($A1906="","",IF(Paramètres!I16="","",Paramètres!I16))</f>
        <v/>
      </c>
      <c r="E1906" s="19">
        <f>IF($A1906="","",IF(Paramètres!J16&amp;Paramètres!L16&amp;Paramètres!N16="",Dossiers!$D$39,MAX(IF(Paramètres!J16="",0,IF(Paramètres!K16="",NA(),IF(LEFT(TRIM(Paramètres!K16),1)="F",INDEX($F$1895:$F$1947,MATCH(Paramètres!J16,Paramètres!$G$5:$G$57,0)),INDEX($E$1895:$E$1947,MATCH(Paramètres!J16,Paramètres!$G$5:$G$57,0)))+IF(RIGHT(TRIM(Paramètres!K16),3)="Fin",1-$H1906,IF(LEFT(TRIM(Paramètres!K16),1)="F",1,0)))),IF(Paramètres!L16="",0,IF(Paramètres!M16="",NA(),IF(LEFT(TRIM(Paramètres!M16),1)="F",INDEX($F$1895:$F$1947,MATCH(Paramètres!L16,Paramètres!$G$5:$G$57,0)),INDEX($E$1895:$E$1947,MATCH(Paramètres!L16,Paramètres!$G$5:$G$57,0)))+IF(RIGHT(TRIM(Paramètres!M16),3)="Fin",1-$H1906,IF(LEFT(TRIM(Paramètres!M16),1)="F",1,0)))),IF(Paramètres!N16="",0,IF(Paramètres!O16="",NA(),IF(LEFT(TRIM(Paramètres!O16),1)="F",INDEX($F$1895:$F$1947,MATCH(Paramètres!N16,Paramètres!$G$5:$G$57,0)),INDEX($E$1895:$E$1947,MATCH(Paramètres!N16,Paramètres!$G$5:$G$57,0)))+IF(RIGHT(TRIM(Paramètres!O16),3)="Fin",1-$H1906,IF(LEFT(TRIM(Paramètres!O16),1)="F",1,0)))))))</f>
        <v/>
      </c>
      <c r="F1906" s="19">
        <f>IF($A1906="","",E1906+$H1906-1)</f>
        <v/>
      </c>
      <c r="G1906" s="18" t="n"/>
      <c r="H1906" s="18">
        <f>IF($A1906="","",IF(I1906&lt;&gt;"",I1906,Paramètres!B16))</f>
        <v/>
      </c>
      <c r="I1906" s="18" t="n"/>
    </row>
    <row r="1907">
      <c r="A1907" s="18">
        <f>IF(ISNUMBER(Dossiers!$D$39),Dossiers!$A$39&amp;" · "&amp;Dossiers!$B$39,"")</f>
        <v/>
      </c>
      <c r="B1907" s="18">
        <f>IF($A1907="","",Paramètres!G17)</f>
        <v/>
      </c>
      <c r="C1907" s="18">
        <f>IF($A1907="","",IF(Paramètres!H17="","",Paramètres!H17))</f>
        <v/>
      </c>
      <c r="D1907" s="18">
        <f>IF($A1907="","",IF(Paramètres!I17="","",Paramètres!I17))</f>
        <v/>
      </c>
      <c r="E1907" s="19">
        <f>IF($A1907="","",IF(Paramètres!J17&amp;Paramètres!L17&amp;Paramètres!N17="",Dossiers!$D$39,MAX(IF(Paramètres!J17="",0,IF(Paramètres!K17="",NA(),IF(LEFT(TRIM(Paramètres!K17),1)="F",INDEX($F$1895:$F$1947,MATCH(Paramètres!J17,Paramètres!$G$5:$G$57,0)),INDEX($E$1895:$E$1947,MATCH(Paramètres!J17,Paramètres!$G$5:$G$57,0)))+IF(RIGHT(TRIM(Paramètres!K17),3)="Fin",1-$H1907,IF(LEFT(TRIM(Paramètres!K17),1)="F",1,0)))),IF(Paramètres!L17="",0,IF(Paramètres!M17="",NA(),IF(LEFT(TRIM(Paramètres!M17),1)="F",INDEX($F$1895:$F$1947,MATCH(Paramètres!L17,Paramètres!$G$5:$G$57,0)),INDEX($E$1895:$E$1947,MATCH(Paramètres!L17,Paramètres!$G$5:$G$57,0)))+IF(RIGHT(TRIM(Paramètres!M17),3)="Fin",1-$H1907,IF(LEFT(TRIM(Paramètres!M17),1)="F",1,0)))),IF(Paramètres!N17="",0,IF(Paramètres!O17="",NA(),IF(LEFT(TRIM(Paramètres!O17),1)="F",INDEX($F$1895:$F$1947,MATCH(Paramètres!N17,Paramètres!$G$5:$G$57,0)),INDEX($E$1895:$E$1947,MATCH(Paramètres!N17,Paramètres!$G$5:$G$57,0)))+IF(RIGHT(TRIM(Paramètres!O17),3)="Fin",1-$H1907,IF(LEFT(TRIM(Paramètres!O17),1)="F",1,0)))))))</f>
        <v/>
      </c>
      <c r="F1907" s="19">
        <f>IF($A1907="","",E1907+$H1907-1)</f>
        <v/>
      </c>
      <c r="G1907" s="18" t="n"/>
      <c r="H1907" s="18">
        <f>IF($A1907="","",IF(I1907&lt;&gt;"",I1907,Paramètres!B17))</f>
        <v/>
      </c>
      <c r="I1907" s="18" t="n"/>
    </row>
    <row r="1908">
      <c r="A1908" s="18">
        <f>IF(ISNUMBER(Dossiers!$D$39),Dossiers!$A$39&amp;" · "&amp;Dossiers!$B$39,"")</f>
        <v/>
      </c>
      <c r="B1908" s="18">
        <f>IF($A1908="","",Paramètres!G18)</f>
        <v/>
      </c>
      <c r="C1908" s="18">
        <f>IF($A1908="","",IF(Paramètres!H18="","",Paramètres!H18))</f>
        <v/>
      </c>
      <c r="D1908" s="18">
        <f>IF($A1908="","",IF(Paramètres!I18="","",Paramètres!I18))</f>
        <v/>
      </c>
      <c r="E1908" s="19">
        <f>IF($A1908="","",IF(Paramètres!J18&amp;Paramètres!L18&amp;Paramètres!N18="",Dossiers!$D$39,MAX(IF(Paramètres!J18="",0,IF(Paramètres!K18="",NA(),IF(LEFT(TRIM(Paramètres!K18),1)="F",INDEX($F$1895:$F$1947,MATCH(Paramètres!J18,Paramètres!$G$5:$G$57,0)),INDEX($E$1895:$E$1947,MATCH(Paramètres!J18,Paramètres!$G$5:$G$57,0)))+IF(RIGHT(TRIM(Paramètres!K18),3)="Fin",1-$H1908,IF(LEFT(TRIM(Paramètres!K18),1)="F",1,0)))),IF(Paramètres!L18="",0,IF(Paramètres!M18="",NA(),IF(LEFT(TRIM(Paramètres!M18),1)="F",INDEX($F$1895:$F$1947,MATCH(Paramètres!L18,Paramètres!$G$5:$G$57,0)),INDEX($E$1895:$E$1947,MATCH(Paramètres!L18,Paramètres!$G$5:$G$57,0)))+IF(RIGHT(TRIM(Paramètres!M18),3)="Fin",1-$H1908,IF(LEFT(TRIM(Paramètres!M18),1)="F",1,0)))),IF(Paramètres!N18="",0,IF(Paramètres!O18="",NA(),IF(LEFT(TRIM(Paramètres!O18),1)="F",INDEX($F$1895:$F$1947,MATCH(Paramètres!N18,Paramètres!$G$5:$G$57,0)),INDEX($E$1895:$E$1947,MATCH(Paramètres!N18,Paramètres!$G$5:$G$57,0)))+IF(RIGHT(TRIM(Paramètres!O18),3)="Fin",1-$H1908,IF(LEFT(TRIM(Paramètres!O18),1)="F",1,0)))))))</f>
        <v/>
      </c>
      <c r="F1908" s="19">
        <f>IF($A1908="","",E1908+$H1908-1)</f>
        <v/>
      </c>
      <c r="G1908" s="18" t="n"/>
      <c r="H1908" s="18">
        <f>IF($A1908="","",IF(I1908&lt;&gt;"",I1908,Paramètres!B18))</f>
        <v/>
      </c>
      <c r="I1908" s="18" t="n"/>
    </row>
    <row r="1909">
      <c r="A1909" s="18">
        <f>IF(ISNUMBER(Dossiers!$D$39),Dossiers!$A$39&amp;" · "&amp;Dossiers!$B$39,"")</f>
        <v/>
      </c>
      <c r="B1909" s="18">
        <f>IF($A1909="","",Paramètres!G19)</f>
        <v/>
      </c>
      <c r="C1909" s="18">
        <f>IF($A1909="","",IF(Paramètres!H19="","",Paramètres!H19))</f>
        <v/>
      </c>
      <c r="D1909" s="18">
        <f>IF($A1909="","",IF(Paramètres!I19="","",Paramètres!I19))</f>
        <v/>
      </c>
      <c r="E1909" s="19">
        <f>IF($A1909="","",IF(Paramètres!J19&amp;Paramètres!L19&amp;Paramètres!N19="",Dossiers!$D$39,MAX(IF(Paramètres!J19="",0,IF(Paramètres!K19="",NA(),IF(LEFT(TRIM(Paramètres!K19),1)="F",INDEX($F$1895:$F$1947,MATCH(Paramètres!J19,Paramètres!$G$5:$G$57,0)),INDEX($E$1895:$E$1947,MATCH(Paramètres!J19,Paramètres!$G$5:$G$57,0)))+IF(RIGHT(TRIM(Paramètres!K19),3)="Fin",1-$H1909,IF(LEFT(TRIM(Paramètres!K19),1)="F",1,0)))),IF(Paramètres!L19="",0,IF(Paramètres!M19="",NA(),IF(LEFT(TRIM(Paramètres!M19),1)="F",INDEX($F$1895:$F$1947,MATCH(Paramètres!L19,Paramètres!$G$5:$G$57,0)),INDEX($E$1895:$E$1947,MATCH(Paramètres!L19,Paramètres!$G$5:$G$57,0)))+IF(RIGHT(TRIM(Paramètres!M19),3)="Fin",1-$H1909,IF(LEFT(TRIM(Paramètres!M19),1)="F",1,0)))),IF(Paramètres!N19="",0,IF(Paramètres!O19="",NA(),IF(LEFT(TRIM(Paramètres!O19),1)="F",INDEX($F$1895:$F$1947,MATCH(Paramètres!N19,Paramètres!$G$5:$G$57,0)),INDEX($E$1895:$E$1947,MATCH(Paramètres!N19,Paramètres!$G$5:$G$57,0)))+IF(RIGHT(TRIM(Paramètres!O19),3)="Fin",1-$H1909,IF(LEFT(TRIM(Paramètres!O19),1)="F",1,0)))))))</f>
        <v/>
      </c>
      <c r="F1909" s="19">
        <f>IF($A1909="","",E1909+$H1909-1)</f>
        <v/>
      </c>
      <c r="G1909" s="18" t="n"/>
      <c r="H1909" s="18">
        <f>IF($A1909="","",IF(I1909&lt;&gt;"",I1909,Paramètres!B19))</f>
        <v/>
      </c>
      <c r="I1909" s="18" t="n"/>
    </row>
    <row r="1910">
      <c r="A1910" s="18">
        <f>IF(ISNUMBER(Dossiers!$D$39),Dossiers!$A$39&amp;" · "&amp;Dossiers!$B$39,"")</f>
        <v/>
      </c>
      <c r="B1910" s="18">
        <f>IF($A1910="","",Paramètres!G20)</f>
        <v/>
      </c>
      <c r="C1910" s="18">
        <f>IF($A1910="","",IF(Paramètres!H20="","",Paramètres!H20))</f>
        <v/>
      </c>
      <c r="D1910" s="18">
        <f>IF($A1910="","",IF(Paramètres!I20="","",Paramètres!I20))</f>
        <v/>
      </c>
      <c r="E1910" s="19">
        <f>IF($A1910="","",IF(Paramètres!J20&amp;Paramètres!L20&amp;Paramètres!N20="",Dossiers!$D$39,MAX(IF(Paramètres!J20="",0,IF(Paramètres!K20="",NA(),IF(LEFT(TRIM(Paramètres!K20),1)="F",INDEX($F$1895:$F$1947,MATCH(Paramètres!J20,Paramètres!$G$5:$G$57,0)),INDEX($E$1895:$E$1947,MATCH(Paramètres!J20,Paramètres!$G$5:$G$57,0)))+IF(RIGHT(TRIM(Paramètres!K20),3)="Fin",1-$H1910,IF(LEFT(TRIM(Paramètres!K20),1)="F",1,0)))),IF(Paramètres!L20="",0,IF(Paramètres!M20="",NA(),IF(LEFT(TRIM(Paramètres!M20),1)="F",INDEX($F$1895:$F$1947,MATCH(Paramètres!L20,Paramètres!$G$5:$G$57,0)),INDEX($E$1895:$E$1947,MATCH(Paramètres!L20,Paramètres!$G$5:$G$57,0)))+IF(RIGHT(TRIM(Paramètres!M20),3)="Fin",1-$H1910,IF(LEFT(TRIM(Paramètres!M20),1)="F",1,0)))),IF(Paramètres!N20="",0,IF(Paramètres!O20="",NA(),IF(LEFT(TRIM(Paramètres!O20),1)="F",INDEX($F$1895:$F$1947,MATCH(Paramètres!N20,Paramètres!$G$5:$G$57,0)),INDEX($E$1895:$E$1947,MATCH(Paramètres!N20,Paramètres!$G$5:$G$57,0)))+IF(RIGHT(TRIM(Paramètres!O20),3)="Fin",1-$H1910,IF(LEFT(TRIM(Paramètres!O20),1)="F",1,0)))))))</f>
        <v/>
      </c>
      <c r="F1910" s="19">
        <f>IF($A1910="","",E1910+$H1910-1)</f>
        <v/>
      </c>
      <c r="G1910" s="18" t="n"/>
      <c r="H1910" s="18">
        <f>IF($A1910="","",IF(I1910&lt;&gt;"",I1910,Paramètres!B20))</f>
        <v/>
      </c>
      <c r="I1910" s="18" t="n"/>
    </row>
    <row r="1911">
      <c r="A1911" s="18">
        <f>IF(ISNUMBER(Dossiers!$D$39),Dossiers!$A$39&amp;" · "&amp;Dossiers!$B$39,"")</f>
        <v/>
      </c>
      <c r="B1911" s="18">
        <f>IF($A1911="","",Paramètres!G21)</f>
        <v/>
      </c>
      <c r="C1911" s="18">
        <f>IF($A1911="","",IF(Paramètres!H21="","",Paramètres!H21))</f>
        <v/>
      </c>
      <c r="D1911" s="18">
        <f>IF($A1911="","",IF(Paramètres!I21="","",Paramètres!I21))</f>
        <v/>
      </c>
      <c r="E1911" s="19">
        <f>IF($A1911="","",IF(Paramètres!J21&amp;Paramètres!L21&amp;Paramètres!N21="",Dossiers!$D$39,MAX(IF(Paramètres!J21="",0,IF(Paramètres!K21="",NA(),IF(LEFT(TRIM(Paramètres!K21),1)="F",INDEX($F$1895:$F$1947,MATCH(Paramètres!J21,Paramètres!$G$5:$G$57,0)),INDEX($E$1895:$E$1947,MATCH(Paramètres!J21,Paramètres!$G$5:$G$57,0)))+IF(RIGHT(TRIM(Paramètres!K21),3)="Fin",1-$H1911,IF(LEFT(TRIM(Paramètres!K21),1)="F",1,0)))),IF(Paramètres!L21="",0,IF(Paramètres!M21="",NA(),IF(LEFT(TRIM(Paramètres!M21),1)="F",INDEX($F$1895:$F$1947,MATCH(Paramètres!L21,Paramètres!$G$5:$G$57,0)),INDEX($E$1895:$E$1947,MATCH(Paramètres!L21,Paramètres!$G$5:$G$57,0)))+IF(RIGHT(TRIM(Paramètres!M21),3)="Fin",1-$H1911,IF(LEFT(TRIM(Paramètres!M21),1)="F",1,0)))),IF(Paramètres!N21="",0,IF(Paramètres!O21="",NA(),IF(LEFT(TRIM(Paramètres!O21),1)="F",INDEX($F$1895:$F$1947,MATCH(Paramètres!N21,Paramètres!$G$5:$G$57,0)),INDEX($E$1895:$E$1947,MATCH(Paramètres!N21,Paramètres!$G$5:$G$57,0)))+IF(RIGHT(TRIM(Paramètres!O21),3)="Fin",1-$H1911,IF(LEFT(TRIM(Paramètres!O21),1)="F",1,0)))))))</f>
        <v/>
      </c>
      <c r="F1911" s="19">
        <f>IF($A1911="","",E1911+$H1911-1)</f>
        <v/>
      </c>
      <c r="G1911" s="18" t="n"/>
      <c r="H1911" s="18">
        <f>IF($A1911="","",IF(I1911&lt;&gt;"",I1911,Paramètres!B21))</f>
        <v/>
      </c>
      <c r="I1911" s="18" t="n"/>
    </row>
    <row r="1912">
      <c r="A1912" s="18">
        <f>IF(ISNUMBER(Dossiers!$D$39),Dossiers!$A$39&amp;" · "&amp;Dossiers!$B$39,"")</f>
        <v/>
      </c>
      <c r="B1912" s="18">
        <f>IF($A1912="","",Paramètres!G22)</f>
        <v/>
      </c>
      <c r="C1912" s="18">
        <f>IF($A1912="","",IF(Paramètres!H22="","",Paramètres!H22))</f>
        <v/>
      </c>
      <c r="D1912" s="18">
        <f>IF($A1912="","",IF(Paramètres!I22="","",Paramètres!I22))</f>
        <v/>
      </c>
      <c r="E1912" s="19">
        <f>IF($A1912="","",IF(Paramètres!J22&amp;Paramètres!L22&amp;Paramètres!N22="",Dossiers!$D$39,MAX(IF(Paramètres!J22="",0,IF(Paramètres!K22="",NA(),IF(LEFT(TRIM(Paramètres!K22),1)="F",INDEX($F$1895:$F$1947,MATCH(Paramètres!J22,Paramètres!$G$5:$G$57,0)),INDEX($E$1895:$E$1947,MATCH(Paramètres!J22,Paramètres!$G$5:$G$57,0)))+IF(RIGHT(TRIM(Paramètres!K22),3)="Fin",1-$H1912,IF(LEFT(TRIM(Paramètres!K22),1)="F",1,0)))),IF(Paramètres!L22="",0,IF(Paramètres!M22="",NA(),IF(LEFT(TRIM(Paramètres!M22),1)="F",INDEX($F$1895:$F$1947,MATCH(Paramètres!L22,Paramètres!$G$5:$G$57,0)),INDEX($E$1895:$E$1947,MATCH(Paramètres!L22,Paramètres!$G$5:$G$57,0)))+IF(RIGHT(TRIM(Paramètres!M22),3)="Fin",1-$H1912,IF(LEFT(TRIM(Paramètres!M22),1)="F",1,0)))),IF(Paramètres!N22="",0,IF(Paramètres!O22="",NA(),IF(LEFT(TRIM(Paramètres!O22),1)="F",INDEX($F$1895:$F$1947,MATCH(Paramètres!N22,Paramètres!$G$5:$G$57,0)),INDEX($E$1895:$E$1947,MATCH(Paramètres!N22,Paramètres!$G$5:$G$57,0)))+IF(RIGHT(TRIM(Paramètres!O22),3)="Fin",1-$H1912,IF(LEFT(TRIM(Paramètres!O22),1)="F",1,0)))))))</f>
        <v/>
      </c>
      <c r="F1912" s="19">
        <f>IF($A1912="","",E1912+$H1912-1)</f>
        <v/>
      </c>
      <c r="G1912" s="18" t="n"/>
      <c r="H1912" s="18">
        <f>IF($A1912="","",IF(I1912&lt;&gt;"",I1912,Paramètres!B22))</f>
        <v/>
      </c>
      <c r="I1912" s="18" t="n"/>
    </row>
    <row r="1913">
      <c r="A1913" s="18">
        <f>IF(ISNUMBER(Dossiers!$D$39),Dossiers!$A$39&amp;" · "&amp;Dossiers!$B$39,"")</f>
        <v/>
      </c>
      <c r="B1913" s="18">
        <f>IF($A1913="","",Paramètres!G23)</f>
        <v/>
      </c>
      <c r="C1913" s="18">
        <f>IF($A1913="","",IF(Paramètres!H23="","",Paramètres!H23))</f>
        <v/>
      </c>
      <c r="D1913" s="18">
        <f>IF($A1913="","",IF(Paramètres!I23="","",Paramètres!I23))</f>
        <v/>
      </c>
      <c r="E1913" s="19">
        <f>IF($A1913="","",IF(Paramètres!J23&amp;Paramètres!L23&amp;Paramètres!N23="",Dossiers!$D$39,MAX(IF(Paramètres!J23="",0,IF(Paramètres!K23="",NA(),IF(LEFT(TRIM(Paramètres!K23),1)="F",INDEX($F$1895:$F$1947,MATCH(Paramètres!J23,Paramètres!$G$5:$G$57,0)),INDEX($E$1895:$E$1947,MATCH(Paramètres!J23,Paramètres!$G$5:$G$57,0)))+IF(RIGHT(TRIM(Paramètres!K23),3)="Fin",1-$H1913,IF(LEFT(TRIM(Paramètres!K23),1)="F",1,0)))),IF(Paramètres!L23="",0,IF(Paramètres!M23="",NA(),IF(LEFT(TRIM(Paramètres!M23),1)="F",INDEX($F$1895:$F$1947,MATCH(Paramètres!L23,Paramètres!$G$5:$G$57,0)),INDEX($E$1895:$E$1947,MATCH(Paramètres!L23,Paramètres!$G$5:$G$57,0)))+IF(RIGHT(TRIM(Paramètres!M23),3)="Fin",1-$H1913,IF(LEFT(TRIM(Paramètres!M23),1)="F",1,0)))),IF(Paramètres!N23="",0,IF(Paramètres!O23="",NA(),IF(LEFT(TRIM(Paramètres!O23),1)="F",INDEX($F$1895:$F$1947,MATCH(Paramètres!N23,Paramètres!$G$5:$G$57,0)),INDEX($E$1895:$E$1947,MATCH(Paramètres!N23,Paramètres!$G$5:$G$57,0)))+IF(RIGHT(TRIM(Paramètres!O23),3)="Fin",1-$H1913,IF(LEFT(TRIM(Paramètres!O23),1)="F",1,0)))))))</f>
        <v/>
      </c>
      <c r="F1913" s="19">
        <f>IF($A1913="","",E1913+$H1913-1)</f>
        <v/>
      </c>
      <c r="G1913" s="18" t="n"/>
      <c r="H1913" s="18">
        <f>IF($A1913="","",IF(I1913&lt;&gt;"",I1913,Paramètres!B23))</f>
        <v/>
      </c>
      <c r="I1913" s="18" t="n"/>
    </row>
    <row r="1914">
      <c r="A1914" s="18">
        <f>IF(ISNUMBER(Dossiers!$D$39),Dossiers!$A$39&amp;" · "&amp;Dossiers!$B$39,"")</f>
        <v/>
      </c>
      <c r="B1914" s="18">
        <f>IF($A1914="","",Paramètres!G24)</f>
        <v/>
      </c>
      <c r="C1914" s="18">
        <f>IF($A1914="","",IF(Paramètres!H24="","",Paramètres!H24))</f>
        <v/>
      </c>
      <c r="D1914" s="18">
        <f>IF($A1914="","",IF(Paramètres!I24="","",Paramètres!I24))</f>
        <v/>
      </c>
      <c r="E1914" s="19">
        <f>IF($A1914="","",IF(Paramètres!J24&amp;Paramètres!L24&amp;Paramètres!N24="",Dossiers!$D$39,MAX(IF(Paramètres!J24="",0,IF(Paramètres!K24="",NA(),IF(LEFT(TRIM(Paramètres!K24),1)="F",INDEX($F$1895:$F$1947,MATCH(Paramètres!J24,Paramètres!$G$5:$G$57,0)),INDEX($E$1895:$E$1947,MATCH(Paramètres!J24,Paramètres!$G$5:$G$57,0)))+IF(RIGHT(TRIM(Paramètres!K24),3)="Fin",1-$H1914,IF(LEFT(TRIM(Paramètres!K24),1)="F",1,0)))),IF(Paramètres!L24="",0,IF(Paramètres!M24="",NA(),IF(LEFT(TRIM(Paramètres!M24),1)="F",INDEX($F$1895:$F$1947,MATCH(Paramètres!L24,Paramètres!$G$5:$G$57,0)),INDEX($E$1895:$E$1947,MATCH(Paramètres!L24,Paramètres!$G$5:$G$57,0)))+IF(RIGHT(TRIM(Paramètres!M24),3)="Fin",1-$H1914,IF(LEFT(TRIM(Paramètres!M24),1)="F",1,0)))),IF(Paramètres!N24="",0,IF(Paramètres!O24="",NA(),IF(LEFT(TRIM(Paramètres!O24),1)="F",INDEX($F$1895:$F$1947,MATCH(Paramètres!N24,Paramètres!$G$5:$G$57,0)),INDEX($E$1895:$E$1947,MATCH(Paramètres!N24,Paramètres!$G$5:$G$57,0)))+IF(RIGHT(TRIM(Paramètres!O24),3)="Fin",1-$H1914,IF(LEFT(TRIM(Paramètres!O24),1)="F",1,0)))))))</f>
        <v/>
      </c>
      <c r="F1914" s="19">
        <f>IF($A1914="","",E1914+$H1914-1)</f>
        <v/>
      </c>
      <c r="G1914" s="18" t="n"/>
      <c r="H1914" s="18">
        <f>IF($A1914="","",IF(I1914&lt;&gt;"",I1914,Paramètres!B24))</f>
        <v/>
      </c>
      <c r="I1914" s="18" t="n"/>
    </row>
    <row r="1915">
      <c r="A1915" s="18">
        <f>IF(ISNUMBER(Dossiers!$D$39),Dossiers!$A$39&amp;" · "&amp;Dossiers!$B$39,"")</f>
        <v/>
      </c>
      <c r="B1915" s="18">
        <f>IF($A1915="","",Paramètres!G25)</f>
        <v/>
      </c>
      <c r="C1915" s="18">
        <f>IF($A1915="","",IF(Paramètres!H25="","",Paramètres!H25))</f>
        <v/>
      </c>
      <c r="D1915" s="18">
        <f>IF($A1915="","",IF(Paramètres!I25="","",Paramètres!I25))</f>
        <v/>
      </c>
      <c r="E1915" s="19">
        <f>IF($A1915="","",IF(Paramètres!J25&amp;Paramètres!L25&amp;Paramètres!N25="",Dossiers!$D$39,MAX(IF(Paramètres!J25="",0,IF(Paramètres!K25="",NA(),IF(LEFT(TRIM(Paramètres!K25),1)="F",INDEX($F$1895:$F$1947,MATCH(Paramètres!J25,Paramètres!$G$5:$G$57,0)),INDEX($E$1895:$E$1947,MATCH(Paramètres!J25,Paramètres!$G$5:$G$57,0)))+IF(RIGHT(TRIM(Paramètres!K25),3)="Fin",1-$H1915,IF(LEFT(TRIM(Paramètres!K25),1)="F",1,0)))),IF(Paramètres!L25="",0,IF(Paramètres!M25="",NA(),IF(LEFT(TRIM(Paramètres!M25),1)="F",INDEX($F$1895:$F$1947,MATCH(Paramètres!L25,Paramètres!$G$5:$G$57,0)),INDEX($E$1895:$E$1947,MATCH(Paramètres!L25,Paramètres!$G$5:$G$57,0)))+IF(RIGHT(TRIM(Paramètres!M25),3)="Fin",1-$H1915,IF(LEFT(TRIM(Paramètres!M25),1)="F",1,0)))),IF(Paramètres!N25="",0,IF(Paramètres!O25="",NA(),IF(LEFT(TRIM(Paramètres!O25),1)="F",INDEX($F$1895:$F$1947,MATCH(Paramètres!N25,Paramètres!$G$5:$G$57,0)),INDEX($E$1895:$E$1947,MATCH(Paramètres!N25,Paramètres!$G$5:$G$57,0)))+IF(RIGHT(TRIM(Paramètres!O25),3)="Fin",1-$H1915,IF(LEFT(TRIM(Paramètres!O25),1)="F",1,0)))))))</f>
        <v/>
      </c>
      <c r="F1915" s="19">
        <f>IF($A1915="","",E1915+$H1915-1)</f>
        <v/>
      </c>
      <c r="G1915" s="18" t="n"/>
      <c r="H1915" s="18">
        <f>IF($A1915="","",IF(I1915&lt;&gt;"",I1915,Paramètres!B25))</f>
        <v/>
      </c>
      <c r="I1915" s="18" t="n"/>
    </row>
    <row r="1916">
      <c r="A1916" s="18">
        <f>IF(ISNUMBER(Dossiers!$D$39),Dossiers!$A$39&amp;" · "&amp;Dossiers!$B$39,"")</f>
        <v/>
      </c>
      <c r="B1916" s="18">
        <f>IF($A1916="","",Paramètres!G26)</f>
        <v/>
      </c>
      <c r="C1916" s="18">
        <f>IF($A1916="","",IF(Paramètres!H26="","",Paramètres!H26))</f>
        <v/>
      </c>
      <c r="D1916" s="18">
        <f>IF($A1916="","",IF(Paramètres!I26="","",Paramètres!I26))</f>
        <v/>
      </c>
      <c r="E1916" s="19">
        <f>IF($A1916="","",IF(Paramètres!J26&amp;Paramètres!L26&amp;Paramètres!N26="",Dossiers!$D$39,MAX(IF(Paramètres!J26="",0,IF(Paramètres!K26="",NA(),IF(LEFT(TRIM(Paramètres!K26),1)="F",INDEX($F$1895:$F$1947,MATCH(Paramètres!J26,Paramètres!$G$5:$G$57,0)),INDEX($E$1895:$E$1947,MATCH(Paramètres!J26,Paramètres!$G$5:$G$57,0)))+IF(RIGHT(TRIM(Paramètres!K26),3)="Fin",1-$H1916,IF(LEFT(TRIM(Paramètres!K26),1)="F",1,0)))),IF(Paramètres!L26="",0,IF(Paramètres!M26="",NA(),IF(LEFT(TRIM(Paramètres!M26),1)="F",INDEX($F$1895:$F$1947,MATCH(Paramètres!L26,Paramètres!$G$5:$G$57,0)),INDEX($E$1895:$E$1947,MATCH(Paramètres!L26,Paramètres!$G$5:$G$57,0)))+IF(RIGHT(TRIM(Paramètres!M26),3)="Fin",1-$H1916,IF(LEFT(TRIM(Paramètres!M26),1)="F",1,0)))),IF(Paramètres!N26="",0,IF(Paramètres!O26="",NA(),IF(LEFT(TRIM(Paramètres!O26),1)="F",INDEX($F$1895:$F$1947,MATCH(Paramètres!N26,Paramètres!$G$5:$G$57,0)),INDEX($E$1895:$E$1947,MATCH(Paramètres!N26,Paramètres!$G$5:$G$57,0)))+IF(RIGHT(TRIM(Paramètres!O26),3)="Fin",1-$H1916,IF(LEFT(TRIM(Paramètres!O26),1)="F",1,0)))))))</f>
        <v/>
      </c>
      <c r="F1916" s="19">
        <f>IF($A1916="","",E1916+$H1916-1)</f>
        <v/>
      </c>
      <c r="G1916" s="18" t="n"/>
      <c r="H1916" s="18">
        <f>IF($A1916="","",IF(I1916&lt;&gt;"",I1916,Paramètres!B26))</f>
        <v/>
      </c>
      <c r="I1916" s="18" t="n"/>
    </row>
    <row r="1917">
      <c r="A1917" s="18">
        <f>IF(ISNUMBER(Dossiers!$D$39),Dossiers!$A$39&amp;" · "&amp;Dossiers!$B$39,"")</f>
        <v/>
      </c>
      <c r="B1917" s="18">
        <f>IF($A1917="","",Paramètres!G27)</f>
        <v/>
      </c>
      <c r="C1917" s="18">
        <f>IF($A1917="","",IF(Paramètres!H27="","",Paramètres!H27))</f>
        <v/>
      </c>
      <c r="D1917" s="18">
        <f>IF($A1917="","",IF(Paramètres!I27="","",Paramètres!I27))</f>
        <v/>
      </c>
      <c r="E1917" s="19">
        <f>IF($A1917="","",IF(Paramètres!J27&amp;Paramètres!L27&amp;Paramètres!N27="",Dossiers!$D$39,MAX(IF(Paramètres!J27="",0,IF(Paramètres!K27="",NA(),IF(LEFT(TRIM(Paramètres!K27),1)="F",INDEX($F$1895:$F$1947,MATCH(Paramètres!J27,Paramètres!$G$5:$G$57,0)),INDEX($E$1895:$E$1947,MATCH(Paramètres!J27,Paramètres!$G$5:$G$57,0)))+IF(RIGHT(TRIM(Paramètres!K27),3)="Fin",1-$H1917,IF(LEFT(TRIM(Paramètres!K27),1)="F",1,0)))),IF(Paramètres!L27="",0,IF(Paramètres!M27="",NA(),IF(LEFT(TRIM(Paramètres!M27),1)="F",INDEX($F$1895:$F$1947,MATCH(Paramètres!L27,Paramètres!$G$5:$G$57,0)),INDEX($E$1895:$E$1947,MATCH(Paramètres!L27,Paramètres!$G$5:$G$57,0)))+IF(RIGHT(TRIM(Paramètres!M27),3)="Fin",1-$H1917,IF(LEFT(TRIM(Paramètres!M27),1)="F",1,0)))),IF(Paramètres!N27="",0,IF(Paramètres!O27="",NA(),IF(LEFT(TRIM(Paramètres!O27),1)="F",INDEX($F$1895:$F$1947,MATCH(Paramètres!N27,Paramètres!$G$5:$G$57,0)),INDEX($E$1895:$E$1947,MATCH(Paramètres!N27,Paramètres!$G$5:$G$57,0)))+IF(RIGHT(TRIM(Paramètres!O27),3)="Fin",1-$H1917,IF(LEFT(TRIM(Paramètres!O27),1)="F",1,0)))))))</f>
        <v/>
      </c>
      <c r="F1917" s="19">
        <f>IF($A1917="","",E1917+$H1917-1)</f>
        <v/>
      </c>
      <c r="G1917" s="18" t="n"/>
      <c r="H1917" s="18">
        <f>IF($A1917="","",IF(I1917&lt;&gt;"",I1917,Paramètres!B27))</f>
        <v/>
      </c>
      <c r="I1917" s="18" t="n"/>
    </row>
    <row r="1918">
      <c r="A1918" s="18">
        <f>IF(ISNUMBER(Dossiers!$D$39),Dossiers!$A$39&amp;" · "&amp;Dossiers!$B$39,"")</f>
        <v/>
      </c>
      <c r="B1918" s="18">
        <f>IF($A1918="","",Paramètres!G28)</f>
        <v/>
      </c>
      <c r="C1918" s="18">
        <f>IF($A1918="","",IF(Paramètres!H28="","",Paramètres!H28))</f>
        <v/>
      </c>
      <c r="D1918" s="18">
        <f>IF($A1918="","",IF(Paramètres!I28="","",Paramètres!I28))</f>
        <v/>
      </c>
      <c r="E1918" s="19">
        <f>IF($A1918="","",IF(Paramètres!J28&amp;Paramètres!L28&amp;Paramètres!N28="",Dossiers!$D$39,MAX(IF(Paramètres!J28="",0,IF(Paramètres!K28="",NA(),IF(LEFT(TRIM(Paramètres!K28),1)="F",INDEX($F$1895:$F$1947,MATCH(Paramètres!J28,Paramètres!$G$5:$G$57,0)),INDEX($E$1895:$E$1947,MATCH(Paramètres!J28,Paramètres!$G$5:$G$57,0)))+IF(RIGHT(TRIM(Paramètres!K28),3)="Fin",1-$H1918,IF(LEFT(TRIM(Paramètres!K28),1)="F",1,0)))),IF(Paramètres!L28="",0,IF(Paramètres!M28="",NA(),IF(LEFT(TRIM(Paramètres!M28),1)="F",INDEX($F$1895:$F$1947,MATCH(Paramètres!L28,Paramètres!$G$5:$G$57,0)),INDEX($E$1895:$E$1947,MATCH(Paramètres!L28,Paramètres!$G$5:$G$57,0)))+IF(RIGHT(TRIM(Paramètres!M28),3)="Fin",1-$H1918,IF(LEFT(TRIM(Paramètres!M28),1)="F",1,0)))),IF(Paramètres!N28="",0,IF(Paramètres!O28="",NA(),IF(LEFT(TRIM(Paramètres!O28),1)="F",INDEX($F$1895:$F$1947,MATCH(Paramètres!N28,Paramètres!$G$5:$G$57,0)),INDEX($E$1895:$E$1947,MATCH(Paramètres!N28,Paramètres!$G$5:$G$57,0)))+IF(RIGHT(TRIM(Paramètres!O28),3)="Fin",1-$H1918,IF(LEFT(TRIM(Paramètres!O28),1)="F",1,0)))))))</f>
        <v/>
      </c>
      <c r="F1918" s="19">
        <f>IF($A1918="","",E1918+$H1918-1)</f>
        <v/>
      </c>
      <c r="G1918" s="18" t="n"/>
      <c r="H1918" s="18">
        <f>IF($A1918="","",IF(I1918&lt;&gt;"",I1918,Paramètres!B28))</f>
        <v/>
      </c>
      <c r="I1918" s="18" t="n"/>
    </row>
    <row r="1919">
      <c r="A1919" s="18">
        <f>IF(ISNUMBER(Dossiers!$D$39),Dossiers!$A$39&amp;" · "&amp;Dossiers!$B$39,"")</f>
        <v/>
      </c>
      <c r="B1919" s="18">
        <f>IF($A1919="","",Paramètres!G29)</f>
        <v/>
      </c>
      <c r="C1919" s="18">
        <f>IF($A1919="","",IF(Paramètres!H29="","",Paramètres!H29))</f>
        <v/>
      </c>
      <c r="D1919" s="18">
        <f>IF($A1919="","",IF(Paramètres!I29="","",Paramètres!I29))</f>
        <v/>
      </c>
      <c r="E1919" s="19">
        <f>IF($A1919="","",IF(Paramètres!J29&amp;Paramètres!L29&amp;Paramètres!N29="",Dossiers!$D$39,MAX(IF(Paramètres!J29="",0,IF(Paramètres!K29="",NA(),IF(LEFT(TRIM(Paramètres!K29),1)="F",INDEX($F$1895:$F$1947,MATCH(Paramètres!J29,Paramètres!$G$5:$G$57,0)),INDEX($E$1895:$E$1947,MATCH(Paramètres!J29,Paramètres!$G$5:$G$57,0)))+IF(RIGHT(TRIM(Paramètres!K29),3)="Fin",1-$H1919,IF(LEFT(TRIM(Paramètres!K29),1)="F",1,0)))),IF(Paramètres!L29="",0,IF(Paramètres!M29="",NA(),IF(LEFT(TRIM(Paramètres!M29),1)="F",INDEX($F$1895:$F$1947,MATCH(Paramètres!L29,Paramètres!$G$5:$G$57,0)),INDEX($E$1895:$E$1947,MATCH(Paramètres!L29,Paramètres!$G$5:$G$57,0)))+IF(RIGHT(TRIM(Paramètres!M29),3)="Fin",1-$H1919,IF(LEFT(TRIM(Paramètres!M29),1)="F",1,0)))),IF(Paramètres!N29="",0,IF(Paramètres!O29="",NA(),IF(LEFT(TRIM(Paramètres!O29),1)="F",INDEX($F$1895:$F$1947,MATCH(Paramètres!N29,Paramètres!$G$5:$G$57,0)),INDEX($E$1895:$E$1947,MATCH(Paramètres!N29,Paramètres!$G$5:$G$57,0)))+IF(RIGHT(TRIM(Paramètres!O29),3)="Fin",1-$H1919,IF(LEFT(TRIM(Paramètres!O29),1)="F",1,0)))))))</f>
        <v/>
      </c>
      <c r="F1919" s="19">
        <f>IF($A1919="","",E1919+$H1919-1)</f>
        <v/>
      </c>
      <c r="G1919" s="18" t="n"/>
      <c r="H1919" s="18">
        <f>IF($A1919="","",IF(I1919&lt;&gt;"",I1919,Paramètres!B29))</f>
        <v/>
      </c>
      <c r="I1919" s="18" t="n"/>
    </row>
    <row r="1920">
      <c r="A1920" s="18">
        <f>IF(ISNUMBER(Dossiers!$D$39),Dossiers!$A$39&amp;" · "&amp;Dossiers!$B$39,"")</f>
        <v/>
      </c>
      <c r="B1920" s="18">
        <f>IF($A1920="","",Paramètres!G30)</f>
        <v/>
      </c>
      <c r="C1920" s="18">
        <f>IF($A1920="","",IF(Paramètres!H30="","",Paramètres!H30))</f>
        <v/>
      </c>
      <c r="D1920" s="18">
        <f>IF($A1920="","",IF(Paramètres!I30="","",Paramètres!I30))</f>
        <v/>
      </c>
      <c r="E1920" s="19">
        <f>IF($A1920="","",IF(Paramètres!J30&amp;Paramètres!L30&amp;Paramètres!N30="",Dossiers!$D$39,MAX(IF(Paramètres!J30="",0,IF(Paramètres!K30="",NA(),IF(LEFT(TRIM(Paramètres!K30),1)="F",INDEX($F$1895:$F$1947,MATCH(Paramètres!J30,Paramètres!$G$5:$G$57,0)),INDEX($E$1895:$E$1947,MATCH(Paramètres!J30,Paramètres!$G$5:$G$57,0)))+IF(RIGHT(TRIM(Paramètres!K30),3)="Fin",1-$H1920,IF(LEFT(TRIM(Paramètres!K30),1)="F",1,0)))),IF(Paramètres!L30="",0,IF(Paramètres!M30="",NA(),IF(LEFT(TRIM(Paramètres!M30),1)="F",INDEX($F$1895:$F$1947,MATCH(Paramètres!L30,Paramètres!$G$5:$G$57,0)),INDEX($E$1895:$E$1947,MATCH(Paramètres!L30,Paramètres!$G$5:$G$57,0)))+IF(RIGHT(TRIM(Paramètres!M30),3)="Fin",1-$H1920,IF(LEFT(TRIM(Paramètres!M30),1)="F",1,0)))),IF(Paramètres!N30="",0,IF(Paramètres!O30="",NA(),IF(LEFT(TRIM(Paramètres!O30),1)="F",INDEX($F$1895:$F$1947,MATCH(Paramètres!N30,Paramètres!$G$5:$G$57,0)),INDEX($E$1895:$E$1947,MATCH(Paramètres!N30,Paramètres!$G$5:$G$57,0)))+IF(RIGHT(TRIM(Paramètres!O30),3)="Fin",1-$H1920,IF(LEFT(TRIM(Paramètres!O30),1)="F",1,0)))))))</f>
        <v/>
      </c>
      <c r="F1920" s="19">
        <f>IF($A1920="","",E1920+$H1920-1)</f>
        <v/>
      </c>
      <c r="G1920" s="18" t="n"/>
      <c r="H1920" s="18">
        <f>IF($A1920="","",IF(I1920&lt;&gt;"",I1920,Paramètres!B30))</f>
        <v/>
      </c>
      <c r="I1920" s="18" t="n"/>
    </row>
    <row r="1921">
      <c r="A1921" s="18">
        <f>IF(ISNUMBER(Dossiers!$D$39),Dossiers!$A$39&amp;" · "&amp;Dossiers!$B$39,"")</f>
        <v/>
      </c>
      <c r="B1921" s="18">
        <f>IF($A1921="","",Paramètres!G31)</f>
        <v/>
      </c>
      <c r="C1921" s="20">
        <f>IF($A1921="","",IF(Dossiers!$F$39="","",Dossiers!$F$39))</f>
        <v/>
      </c>
      <c r="D1921" s="18">
        <f>IF($A1921="","",IF(Paramètres!I31="","",Paramètres!I31))</f>
        <v/>
      </c>
      <c r="E1921" s="19">
        <f>IF($A1921="","",IF(Paramètres!J31&amp;Paramètres!L31&amp;Paramètres!N31="",Dossiers!$D$39,MAX(IF(Paramètres!J31="",0,IF(Paramètres!K31="",NA(),IF(LEFT(TRIM(Paramètres!K31),1)="F",INDEX($F$1895:$F$1947,MATCH(Paramètres!J31,Paramètres!$G$5:$G$57,0)),INDEX($E$1895:$E$1947,MATCH(Paramètres!J31,Paramètres!$G$5:$G$57,0)))+IF(RIGHT(TRIM(Paramètres!K31),3)="Fin",1-$H1921,IF(LEFT(TRIM(Paramètres!K31),1)="F",1,0)))),IF(Paramètres!L31="",0,IF(Paramètres!M31="",NA(),IF(LEFT(TRIM(Paramètres!M31),1)="F",INDEX($F$1895:$F$1947,MATCH(Paramètres!L31,Paramètres!$G$5:$G$57,0)),INDEX($E$1895:$E$1947,MATCH(Paramètres!L31,Paramètres!$G$5:$G$57,0)))+IF(RIGHT(TRIM(Paramètres!M31),3)="Fin",1-$H1921,IF(LEFT(TRIM(Paramètres!M31),1)="F",1,0)))),IF(Paramètres!N31="",0,IF(Paramètres!O31="",NA(),IF(LEFT(TRIM(Paramètres!O31),1)="F",INDEX($F$1895:$F$1947,MATCH(Paramètres!N31,Paramètres!$G$5:$G$57,0)),INDEX($E$1895:$E$1947,MATCH(Paramètres!N31,Paramètres!$G$5:$G$57,0)))+IF(RIGHT(TRIM(Paramètres!O31),3)="Fin",1-$H1921,IF(LEFT(TRIM(Paramètres!O31),1)="F",1,0)))))))</f>
        <v/>
      </c>
      <c r="F1921" s="19">
        <f>IF($A1921="","",E1921+$H1921-1)</f>
        <v/>
      </c>
      <c r="G1921" s="18" t="n"/>
      <c r="H1921" s="18">
        <f>IF($A1921="","",IF(I1921&lt;&gt;"",I1921,Paramètres!B31))</f>
        <v/>
      </c>
      <c r="I1921" s="18" t="n"/>
    </row>
    <row r="1922">
      <c r="A1922" s="18">
        <f>IF(ISNUMBER(Dossiers!$D$39),Dossiers!$A$39&amp;" · "&amp;Dossiers!$B$39,"")</f>
        <v/>
      </c>
      <c r="B1922" s="18">
        <f>IF($A1922="","",Paramètres!G32)</f>
        <v/>
      </c>
      <c r="C1922" s="18">
        <f>IF($A1922="","",IF(Paramètres!H32="","",Paramètres!H32))</f>
        <v/>
      </c>
      <c r="D1922" s="18">
        <f>IF($A1922="","",IF(Paramètres!I32="","",Paramètres!I32))</f>
        <v/>
      </c>
      <c r="E1922" s="19">
        <f>IF($A1922="","",MIN(E1923:E1926))</f>
        <v/>
      </c>
      <c r="F1922" s="19">
        <f>IF($A1922="","",MAX(F1923:F1926))</f>
        <v/>
      </c>
      <c r="G1922" s="18" t="n"/>
      <c r="H1922" s="18">
        <f>IF($A1922="","",F1922-E1922+1)</f>
        <v/>
      </c>
      <c r="I1922" s="18" t="n"/>
    </row>
    <row r="1923">
      <c r="A1923" s="18">
        <f>IF(ISNUMBER(Dossiers!$D$39),Dossiers!$A$39&amp;" · "&amp;Dossiers!$B$39,"")</f>
        <v/>
      </c>
      <c r="B1923" s="18">
        <f>IF($A1923="","",Paramètres!G33)</f>
        <v/>
      </c>
      <c r="C1923" s="18">
        <f>IF($A1923="","",IF(Paramètres!H33="","",Paramètres!H33))</f>
        <v/>
      </c>
      <c r="D1923" s="18">
        <f>IF($A1923="","",IF(Paramètres!I33="","",Paramètres!I33))</f>
        <v/>
      </c>
      <c r="E1923" s="19">
        <f>IF($A1923="","",IF(Paramètres!J33&amp;Paramètres!L33&amp;Paramètres!N33="",Dossiers!$D$39,MAX(IF(Paramètres!J33="",0,IF(Paramètres!K33="",NA(),IF(LEFT(TRIM(Paramètres!K33),1)="F",INDEX($F$1895:$F$1947,MATCH(Paramètres!J33,Paramètres!$G$5:$G$57,0)),INDEX($E$1895:$E$1947,MATCH(Paramètres!J33,Paramètres!$G$5:$G$57,0)))+IF(RIGHT(TRIM(Paramètres!K33),3)="Fin",1-$H1923,IF(LEFT(TRIM(Paramètres!K33),1)="F",1,0)))),IF(Paramètres!L33="",0,IF(Paramètres!M33="",NA(),IF(LEFT(TRIM(Paramètres!M33),1)="F",INDEX($F$1895:$F$1947,MATCH(Paramètres!L33,Paramètres!$G$5:$G$57,0)),INDEX($E$1895:$E$1947,MATCH(Paramètres!L33,Paramètres!$G$5:$G$57,0)))+IF(RIGHT(TRIM(Paramètres!M33),3)="Fin",1-$H1923,IF(LEFT(TRIM(Paramètres!M33),1)="F",1,0)))),IF(Paramètres!N33="",0,IF(Paramètres!O33="",NA(),IF(LEFT(TRIM(Paramètres!O33),1)="F",INDEX($F$1895:$F$1947,MATCH(Paramètres!N33,Paramètres!$G$5:$G$57,0)),INDEX($E$1895:$E$1947,MATCH(Paramètres!N33,Paramètres!$G$5:$G$57,0)))+IF(RIGHT(TRIM(Paramètres!O33),3)="Fin",1-$H1923,IF(LEFT(TRIM(Paramètres!O33),1)="F",1,0)))))))</f>
        <v/>
      </c>
      <c r="F1923" s="19">
        <f>IF($A1923="","",E1923+$H1923-1)</f>
        <v/>
      </c>
      <c r="G1923" s="18" t="n"/>
      <c r="H1923" s="18">
        <f>IF($A1923="","",IF(I1923&lt;&gt;"",I1923,Paramètres!B33))</f>
        <v/>
      </c>
      <c r="I1923" s="18" t="n"/>
    </row>
    <row r="1924">
      <c r="A1924" s="18">
        <f>IF(ISNUMBER(Dossiers!$D$39),Dossiers!$A$39&amp;" · "&amp;Dossiers!$B$39,"")</f>
        <v/>
      </c>
      <c r="B1924" s="18">
        <f>IF($A1924="","",Paramètres!G34)</f>
        <v/>
      </c>
      <c r="C1924" s="18">
        <f>IF($A1924="","",IF(Paramètres!H34="","",Paramètres!H34))</f>
        <v/>
      </c>
      <c r="D1924" s="18">
        <f>IF($A1924="","",IF(Paramètres!I34="","",Paramètres!I34))</f>
        <v/>
      </c>
      <c r="E1924" s="19">
        <f>IF($A1924="","",IF(Paramètres!J34&amp;Paramètres!L34&amp;Paramètres!N34="",Dossiers!$D$39,MAX(IF(Paramètres!J34="",0,IF(Paramètres!K34="",NA(),IF(LEFT(TRIM(Paramètres!K34),1)="F",INDEX($F$1895:$F$1947,MATCH(Paramètres!J34,Paramètres!$G$5:$G$57,0)),INDEX($E$1895:$E$1947,MATCH(Paramètres!J34,Paramètres!$G$5:$G$57,0)))+IF(RIGHT(TRIM(Paramètres!K34),3)="Fin",1-$H1924,IF(LEFT(TRIM(Paramètres!K34),1)="F",1,0)))),IF(Paramètres!L34="",0,IF(Paramètres!M34="",NA(),IF(LEFT(TRIM(Paramètres!M34),1)="F",INDEX($F$1895:$F$1947,MATCH(Paramètres!L34,Paramètres!$G$5:$G$57,0)),INDEX($E$1895:$E$1947,MATCH(Paramètres!L34,Paramètres!$G$5:$G$57,0)))+IF(RIGHT(TRIM(Paramètres!M34),3)="Fin",1-$H1924,IF(LEFT(TRIM(Paramètres!M34),1)="F",1,0)))),IF(Paramètres!N34="",0,IF(Paramètres!O34="",NA(),IF(LEFT(TRIM(Paramètres!O34),1)="F",INDEX($F$1895:$F$1947,MATCH(Paramètres!N34,Paramètres!$G$5:$G$57,0)),INDEX($E$1895:$E$1947,MATCH(Paramètres!N34,Paramètres!$G$5:$G$57,0)))+IF(RIGHT(TRIM(Paramètres!O34),3)="Fin",1-$H1924,IF(LEFT(TRIM(Paramètres!O34),1)="F",1,0)))))))</f>
        <v/>
      </c>
      <c r="F1924" s="19">
        <f>IF($A1924="","",E1924+$H1924-1)</f>
        <v/>
      </c>
      <c r="G1924" s="18" t="n"/>
      <c r="H1924" s="18">
        <f>IF($A1924="","",IF(I1924&lt;&gt;"",I1924,Paramètres!B34))</f>
        <v/>
      </c>
      <c r="I1924" s="18" t="n"/>
    </row>
    <row r="1925">
      <c r="A1925" s="18">
        <f>IF(ISNUMBER(Dossiers!$D$39),Dossiers!$A$39&amp;" · "&amp;Dossiers!$B$39,"")</f>
        <v/>
      </c>
      <c r="B1925" s="18">
        <f>IF($A1925="","",Paramètres!G35)</f>
        <v/>
      </c>
      <c r="C1925" s="18">
        <f>IF($A1925="","",IF(Paramètres!H35="","",Paramètres!H35))</f>
        <v/>
      </c>
      <c r="D1925" s="18">
        <f>IF($A1925="","",IF(Paramètres!I35="","",Paramètres!I35))</f>
        <v/>
      </c>
      <c r="E1925" s="19">
        <f>IF($A1925="","",IF(Paramètres!J35&amp;Paramètres!L35&amp;Paramètres!N35="",Dossiers!$D$39,MAX(IF(Paramètres!J35="",0,IF(Paramètres!K35="",NA(),IF(LEFT(TRIM(Paramètres!K35),1)="F",INDEX($F$1895:$F$1947,MATCH(Paramètres!J35,Paramètres!$G$5:$G$57,0)),INDEX($E$1895:$E$1947,MATCH(Paramètres!J35,Paramètres!$G$5:$G$57,0)))+IF(RIGHT(TRIM(Paramètres!K35),3)="Fin",1-$H1925,IF(LEFT(TRIM(Paramètres!K35),1)="F",1,0)))),IF(Paramètres!L35="",0,IF(Paramètres!M35="",NA(),IF(LEFT(TRIM(Paramètres!M35),1)="F",INDEX($F$1895:$F$1947,MATCH(Paramètres!L35,Paramètres!$G$5:$G$57,0)),INDEX($E$1895:$E$1947,MATCH(Paramètres!L35,Paramètres!$G$5:$G$57,0)))+IF(RIGHT(TRIM(Paramètres!M35),3)="Fin",1-$H1925,IF(LEFT(TRIM(Paramètres!M35),1)="F",1,0)))),IF(Paramètres!N35="",0,IF(Paramètres!O35="",NA(),IF(LEFT(TRIM(Paramètres!O35),1)="F",INDEX($F$1895:$F$1947,MATCH(Paramètres!N35,Paramètres!$G$5:$G$57,0)),INDEX($E$1895:$E$1947,MATCH(Paramètres!N35,Paramètres!$G$5:$G$57,0)))+IF(RIGHT(TRIM(Paramètres!O35),3)="Fin",1-$H1925,IF(LEFT(TRIM(Paramètres!O35),1)="F",1,0)))))))</f>
        <v/>
      </c>
      <c r="F1925" s="19">
        <f>IF($A1925="","",E1925+$H1925-1)</f>
        <v/>
      </c>
      <c r="G1925" s="18" t="n"/>
      <c r="H1925" s="18">
        <f>IF($A1925="","",IF(I1925&lt;&gt;"",I1925,Paramètres!B35))</f>
        <v/>
      </c>
      <c r="I1925" s="18" t="n"/>
    </row>
    <row r="1926">
      <c r="A1926" s="18">
        <f>IF(ISNUMBER(Dossiers!$D$39),Dossiers!$A$39&amp;" · "&amp;Dossiers!$B$39,"")</f>
        <v/>
      </c>
      <c r="B1926" s="18">
        <f>IF($A1926="","",Paramètres!G36)</f>
        <v/>
      </c>
      <c r="C1926" s="18">
        <f>IF($A1926="","",IF(Paramètres!H36="","",Paramètres!H36))</f>
        <v/>
      </c>
      <c r="D1926" s="18">
        <f>IF($A1926="","",IF(Paramètres!I36="","",Paramètres!I36))</f>
        <v/>
      </c>
      <c r="E1926" s="19">
        <f>IF($A1926="","",IF(Paramètres!J36&amp;Paramètres!L36&amp;Paramètres!N36="",Dossiers!$D$39,MAX(IF(Paramètres!J36="",0,IF(Paramètres!K36="",NA(),IF(LEFT(TRIM(Paramètres!K36),1)="F",INDEX($F$1895:$F$1947,MATCH(Paramètres!J36,Paramètres!$G$5:$G$57,0)),INDEX($E$1895:$E$1947,MATCH(Paramètres!J36,Paramètres!$G$5:$G$57,0)))+IF(RIGHT(TRIM(Paramètres!K36),3)="Fin",1-$H1926,IF(LEFT(TRIM(Paramètres!K36),1)="F",1,0)))),IF(Paramètres!L36="",0,IF(Paramètres!M36="",NA(),IF(LEFT(TRIM(Paramètres!M36),1)="F",INDEX($F$1895:$F$1947,MATCH(Paramètres!L36,Paramètres!$G$5:$G$57,0)),INDEX($E$1895:$E$1947,MATCH(Paramètres!L36,Paramètres!$G$5:$G$57,0)))+IF(RIGHT(TRIM(Paramètres!M36),3)="Fin",1-$H1926,IF(LEFT(TRIM(Paramètres!M36),1)="F",1,0)))),IF(Paramètres!N36="",0,IF(Paramètres!O36="",NA(),IF(LEFT(TRIM(Paramètres!O36),1)="F",INDEX($F$1895:$F$1947,MATCH(Paramètres!N36,Paramètres!$G$5:$G$57,0)),INDEX($E$1895:$E$1947,MATCH(Paramètres!N36,Paramètres!$G$5:$G$57,0)))+IF(RIGHT(TRIM(Paramètres!O36),3)="Fin",1-$H1926,IF(LEFT(TRIM(Paramètres!O36),1)="F",1,0)))))))</f>
        <v/>
      </c>
      <c r="F1926" s="19">
        <f>IF($A1926="","",E1926+$H1926-1)</f>
        <v/>
      </c>
      <c r="G1926" s="18" t="n"/>
      <c r="H1926" s="18">
        <f>IF($A1926="","",IF(I1926&lt;&gt;"",I1926,Paramètres!B36))</f>
        <v/>
      </c>
      <c r="I1926" s="18" t="n"/>
    </row>
    <row r="1927">
      <c r="A1927" s="18">
        <f>IF(ISNUMBER(Dossiers!$D$39),Dossiers!$A$39&amp;" · "&amp;Dossiers!$B$39,"")</f>
        <v/>
      </c>
      <c r="B1927" s="18">
        <f>IF($A1927="","",Paramètres!G37)</f>
        <v/>
      </c>
      <c r="C1927" s="18">
        <f>IF($A1927="","",IF(Paramètres!H37="","",Paramètres!H37))</f>
        <v/>
      </c>
      <c r="D1927" s="18">
        <f>IF($A1927="","",IF(Paramètres!I37="","",Paramètres!I37))</f>
        <v/>
      </c>
      <c r="E1927" s="19">
        <f>IF($A1927="","",MIN(E1928:E1945))</f>
        <v/>
      </c>
      <c r="F1927" s="19">
        <f>IF($A1927="","",MAX(F1928:F1945))</f>
        <v/>
      </c>
      <c r="G1927" s="18" t="n"/>
      <c r="H1927" s="18">
        <f>IF($A1927="","",F1927-E1927+1)</f>
        <v/>
      </c>
      <c r="I1927" s="18" t="n"/>
    </row>
    <row r="1928">
      <c r="A1928" s="18">
        <f>IF(ISNUMBER(Dossiers!$D$39),Dossiers!$A$39&amp;" · "&amp;Dossiers!$B$39,"")</f>
        <v/>
      </c>
      <c r="B1928" s="18">
        <f>IF($A1928="","",Paramètres!G38)</f>
        <v/>
      </c>
      <c r="C1928" s="18">
        <f>IF($A1928="","",IF(Paramètres!H38="","",Paramètres!H38))</f>
        <v/>
      </c>
      <c r="D1928" s="18">
        <f>IF($A1928="","",IF(Paramètres!I38="","",Paramètres!I38))</f>
        <v/>
      </c>
      <c r="E1928" s="19">
        <f>IF($A1928="","",IF(Paramètres!J38&amp;Paramètres!L38&amp;Paramètres!N38="",Dossiers!$D$39,MAX(IF(Paramètres!J38="",0,IF(Paramètres!K38="",NA(),IF(LEFT(TRIM(Paramètres!K38),1)="F",INDEX($F$1895:$F$1947,MATCH(Paramètres!J38,Paramètres!$G$5:$G$57,0)),INDEX($E$1895:$E$1947,MATCH(Paramètres!J38,Paramètres!$G$5:$G$57,0)))+IF(RIGHT(TRIM(Paramètres!K38),3)="Fin",1-$H1928,IF(LEFT(TRIM(Paramètres!K38),1)="F",1,0)))),IF(Paramètres!L38="",0,IF(Paramètres!M38="",NA(),IF(LEFT(TRIM(Paramètres!M38),1)="F",INDEX($F$1895:$F$1947,MATCH(Paramètres!L38,Paramètres!$G$5:$G$57,0)),INDEX($E$1895:$E$1947,MATCH(Paramètres!L38,Paramètres!$G$5:$G$57,0)))+IF(RIGHT(TRIM(Paramètres!M38),3)="Fin",1-$H1928,IF(LEFT(TRIM(Paramètres!M38),1)="F",1,0)))),IF(Paramètres!N38="",0,IF(Paramètres!O38="",NA(),IF(LEFT(TRIM(Paramètres!O38),1)="F",INDEX($F$1895:$F$1947,MATCH(Paramètres!N38,Paramètres!$G$5:$G$57,0)),INDEX($E$1895:$E$1947,MATCH(Paramètres!N38,Paramètres!$G$5:$G$57,0)))+IF(RIGHT(TRIM(Paramètres!O38),3)="Fin",1-$H1928,IF(LEFT(TRIM(Paramètres!O38),1)="F",1,0)))))))</f>
        <v/>
      </c>
      <c r="F1928" s="19">
        <f>IF($A1928="","",E1928+$H1928-1)</f>
        <v/>
      </c>
      <c r="G1928" s="18" t="n"/>
      <c r="H1928" s="18">
        <f>IF($A1928="","",IF(I1928&lt;&gt;"",I1928,Paramètres!B38))</f>
        <v/>
      </c>
      <c r="I1928" s="18" t="n"/>
    </row>
    <row r="1929">
      <c r="A1929" s="18">
        <f>IF(ISNUMBER(Dossiers!$D$39),Dossiers!$A$39&amp;" · "&amp;Dossiers!$B$39,"")</f>
        <v/>
      </c>
      <c r="B1929" s="18">
        <f>IF($A1929="","",Paramètres!G39)</f>
        <v/>
      </c>
      <c r="C1929" s="18">
        <f>IF($A1929="","",IF(Paramètres!H39="","",Paramètres!H39))</f>
        <v/>
      </c>
      <c r="D1929" s="18">
        <f>IF($A1929="","",IF(Paramètres!I39="","",Paramètres!I39))</f>
        <v/>
      </c>
      <c r="E1929" s="19">
        <f>IF($A1929="","",IF(Paramètres!J39&amp;Paramètres!L39&amp;Paramètres!N39="",Dossiers!$D$39,MAX(IF(Paramètres!J39="",0,IF(Paramètres!K39="",NA(),IF(LEFT(TRIM(Paramètres!K39),1)="F",INDEX($F$1895:$F$1947,MATCH(Paramètres!J39,Paramètres!$G$5:$G$57,0)),INDEX($E$1895:$E$1947,MATCH(Paramètres!J39,Paramètres!$G$5:$G$57,0)))+IF(RIGHT(TRIM(Paramètres!K39),3)="Fin",1-$H1929,IF(LEFT(TRIM(Paramètres!K39),1)="F",1,0)))),IF(Paramètres!L39="",0,IF(Paramètres!M39="",NA(),IF(LEFT(TRIM(Paramètres!M39),1)="F",INDEX($F$1895:$F$1947,MATCH(Paramètres!L39,Paramètres!$G$5:$G$57,0)),INDEX($E$1895:$E$1947,MATCH(Paramètres!L39,Paramètres!$G$5:$G$57,0)))+IF(RIGHT(TRIM(Paramètres!M39),3)="Fin",1-$H1929,IF(LEFT(TRIM(Paramètres!M39),1)="F",1,0)))),IF(Paramètres!N39="",0,IF(Paramètres!O39="",NA(),IF(LEFT(TRIM(Paramètres!O39),1)="F",INDEX($F$1895:$F$1947,MATCH(Paramètres!N39,Paramètres!$G$5:$G$57,0)),INDEX($E$1895:$E$1947,MATCH(Paramètres!N39,Paramètres!$G$5:$G$57,0)))+IF(RIGHT(TRIM(Paramètres!O39),3)="Fin",1-$H1929,IF(LEFT(TRIM(Paramètres!O39),1)="F",1,0)))))))</f>
        <v/>
      </c>
      <c r="F1929" s="19">
        <f>IF($A1929="","",E1929+$H1929-1)</f>
        <v/>
      </c>
      <c r="G1929" s="18" t="n"/>
      <c r="H1929" s="18">
        <f>IF($A1929="","",IF(I1929&lt;&gt;"",I1929,Paramètres!B39))</f>
        <v/>
      </c>
      <c r="I1929" s="18" t="n"/>
    </row>
    <row r="1930">
      <c r="A1930" s="18">
        <f>IF(ISNUMBER(Dossiers!$D$39),Dossiers!$A$39&amp;" · "&amp;Dossiers!$B$39,"")</f>
        <v/>
      </c>
      <c r="B1930" s="18">
        <f>IF($A1930="","",Paramètres!G40)</f>
        <v/>
      </c>
      <c r="C1930" s="18">
        <f>IF($A1930="","",IF(Paramètres!H40="","",Paramètres!H40))</f>
        <v/>
      </c>
      <c r="D1930" s="18">
        <f>IF($A1930="","",IF(Paramètres!I40="","",Paramètres!I40))</f>
        <v/>
      </c>
      <c r="E1930" s="19">
        <f>IF($A1930="","",IF(Paramètres!J40&amp;Paramètres!L40&amp;Paramètres!N40="",Dossiers!$D$39,MAX(IF(Paramètres!J40="",0,IF(Paramètres!K40="",NA(),IF(LEFT(TRIM(Paramètres!K40),1)="F",INDEX($F$1895:$F$1947,MATCH(Paramètres!J40,Paramètres!$G$5:$G$57,0)),INDEX($E$1895:$E$1947,MATCH(Paramètres!J40,Paramètres!$G$5:$G$57,0)))+IF(RIGHT(TRIM(Paramètres!K40),3)="Fin",1-$H1930,IF(LEFT(TRIM(Paramètres!K40),1)="F",1,0)))),IF(Paramètres!L40="",0,IF(Paramètres!M40="",NA(),IF(LEFT(TRIM(Paramètres!M40),1)="F",INDEX($F$1895:$F$1947,MATCH(Paramètres!L40,Paramètres!$G$5:$G$57,0)),INDEX($E$1895:$E$1947,MATCH(Paramètres!L40,Paramètres!$G$5:$G$57,0)))+IF(RIGHT(TRIM(Paramètres!M40),3)="Fin",1-$H1930,IF(LEFT(TRIM(Paramètres!M40),1)="F",1,0)))),IF(Paramètres!N40="",0,IF(Paramètres!O40="",NA(),IF(LEFT(TRIM(Paramètres!O40),1)="F",INDEX($F$1895:$F$1947,MATCH(Paramètres!N40,Paramètres!$G$5:$G$57,0)),INDEX($E$1895:$E$1947,MATCH(Paramètres!N40,Paramètres!$G$5:$G$57,0)))+IF(RIGHT(TRIM(Paramètres!O40),3)="Fin",1-$H1930,IF(LEFT(TRIM(Paramètres!O40),1)="F",1,0)))))))</f>
        <v/>
      </c>
      <c r="F1930" s="19">
        <f>IF($A1930="","",E1930+$H1930-1)</f>
        <v/>
      </c>
      <c r="G1930" s="18" t="n"/>
      <c r="H1930" s="18">
        <f>IF($A1930="","",IF(I1930&lt;&gt;"",I1930,Paramètres!B40))</f>
        <v/>
      </c>
      <c r="I1930" s="18" t="n"/>
    </row>
    <row r="1931">
      <c r="A1931" s="18">
        <f>IF(ISNUMBER(Dossiers!$D$39),Dossiers!$A$39&amp;" · "&amp;Dossiers!$B$39,"")</f>
        <v/>
      </c>
      <c r="B1931" s="18">
        <f>IF($A1931="","",Paramètres!G41)</f>
        <v/>
      </c>
      <c r="C1931" s="18">
        <f>IF($A1931="","",IF(Paramètres!H41="","",Paramètres!H41))</f>
        <v/>
      </c>
      <c r="D1931" s="18">
        <f>IF($A1931="","",IF(Paramètres!I41="","",Paramètres!I41))</f>
        <v/>
      </c>
      <c r="E1931" s="19">
        <f>IF($A1931="","",IF(Paramètres!J41&amp;Paramètres!L41&amp;Paramètres!N41="",Dossiers!$D$39,MAX(IF(Paramètres!J41="",0,IF(Paramètres!K41="",NA(),IF(LEFT(TRIM(Paramètres!K41),1)="F",INDEX($F$1895:$F$1947,MATCH(Paramètres!J41,Paramètres!$G$5:$G$57,0)),INDEX($E$1895:$E$1947,MATCH(Paramètres!J41,Paramètres!$G$5:$G$57,0)))+IF(RIGHT(TRIM(Paramètres!K41),3)="Fin",1-$H1931,IF(LEFT(TRIM(Paramètres!K41),1)="F",1,0)))),IF(Paramètres!L41="",0,IF(Paramètres!M41="",NA(),IF(LEFT(TRIM(Paramètres!M41),1)="F",INDEX($F$1895:$F$1947,MATCH(Paramètres!L41,Paramètres!$G$5:$G$57,0)),INDEX($E$1895:$E$1947,MATCH(Paramètres!L41,Paramètres!$G$5:$G$57,0)))+IF(RIGHT(TRIM(Paramètres!M41),3)="Fin",1-$H1931,IF(LEFT(TRIM(Paramètres!M41),1)="F",1,0)))),IF(Paramètres!N41="",0,IF(Paramètres!O41="",NA(),IF(LEFT(TRIM(Paramètres!O41),1)="F",INDEX($F$1895:$F$1947,MATCH(Paramètres!N41,Paramètres!$G$5:$G$57,0)),INDEX($E$1895:$E$1947,MATCH(Paramètres!N41,Paramètres!$G$5:$G$57,0)))+IF(RIGHT(TRIM(Paramètres!O41),3)="Fin",1-$H1931,IF(LEFT(TRIM(Paramètres!O41),1)="F",1,0)))))))</f>
        <v/>
      </c>
      <c r="F1931" s="19">
        <f>IF($A1931="","",E1931+$H1931-1)</f>
        <v/>
      </c>
      <c r="G1931" s="18" t="n"/>
      <c r="H1931" s="18">
        <f>IF($A1931="","",IF(I1931&lt;&gt;"",I1931,Paramètres!B41))</f>
        <v/>
      </c>
      <c r="I1931" s="18" t="n"/>
    </row>
    <row r="1932">
      <c r="A1932" s="18">
        <f>IF(ISNUMBER(Dossiers!$D$39),Dossiers!$A$39&amp;" · "&amp;Dossiers!$B$39,"")</f>
        <v/>
      </c>
      <c r="B1932" s="18">
        <f>IF($A1932="","",Paramètres!G42)</f>
        <v/>
      </c>
      <c r="C1932" s="18">
        <f>IF($A1932="","",IF(Paramètres!H42="","",Paramètres!H42))</f>
        <v/>
      </c>
      <c r="D1932" s="18">
        <f>IF($A1932="","",IF(Paramètres!I42="","",Paramètres!I42))</f>
        <v/>
      </c>
      <c r="E1932" s="19">
        <f>IF($A1932="","",IF(Paramètres!J42&amp;Paramètres!L42&amp;Paramètres!N42="",Dossiers!$D$39,MAX(IF(Paramètres!J42="",0,IF(Paramètres!K42="",NA(),IF(LEFT(TRIM(Paramètres!K42),1)="F",INDEX($F$1895:$F$1947,MATCH(Paramètres!J42,Paramètres!$G$5:$G$57,0)),INDEX($E$1895:$E$1947,MATCH(Paramètres!J42,Paramètres!$G$5:$G$57,0)))+IF(RIGHT(TRIM(Paramètres!K42),3)="Fin",1-$H1932,IF(LEFT(TRIM(Paramètres!K42),1)="F",1,0)))),IF(Paramètres!L42="",0,IF(Paramètres!M42="",NA(),IF(LEFT(TRIM(Paramètres!M42),1)="F",INDEX($F$1895:$F$1947,MATCH(Paramètres!L42,Paramètres!$G$5:$G$57,0)),INDEX($E$1895:$E$1947,MATCH(Paramètres!L42,Paramètres!$G$5:$G$57,0)))+IF(RIGHT(TRIM(Paramètres!M42),3)="Fin",1-$H1932,IF(LEFT(TRIM(Paramètres!M42),1)="F",1,0)))),IF(Paramètres!N42="",0,IF(Paramètres!O42="",NA(),IF(LEFT(TRIM(Paramètres!O42),1)="F",INDEX($F$1895:$F$1947,MATCH(Paramètres!N42,Paramètres!$G$5:$G$57,0)),INDEX($E$1895:$E$1947,MATCH(Paramètres!N42,Paramètres!$G$5:$G$57,0)))+IF(RIGHT(TRIM(Paramètres!O42),3)="Fin",1-$H1932,IF(LEFT(TRIM(Paramètres!O42),1)="F",1,0)))))))</f>
        <v/>
      </c>
      <c r="F1932" s="19">
        <f>IF($A1932="","",E1932+$H1932-1)</f>
        <v/>
      </c>
      <c r="G1932" s="18" t="n"/>
      <c r="H1932" s="18">
        <f>IF($A1932="","",IF(I1932&lt;&gt;"",I1932,Paramètres!B42))</f>
        <v/>
      </c>
      <c r="I1932" s="18" t="n"/>
    </row>
    <row r="1933">
      <c r="A1933" s="18">
        <f>IF(ISNUMBER(Dossiers!$D$39),Dossiers!$A$39&amp;" · "&amp;Dossiers!$B$39,"")</f>
        <v/>
      </c>
      <c r="B1933" s="18">
        <f>IF($A1933="","",Paramètres!G43)</f>
        <v/>
      </c>
      <c r="C1933" s="18">
        <f>IF($A1933="","",IF(Paramètres!H43="","",Paramètres!H43))</f>
        <v/>
      </c>
      <c r="D1933" s="18">
        <f>IF($A1933="","",IF(Paramètres!I43="","",Paramètres!I43))</f>
        <v/>
      </c>
      <c r="E1933" s="19">
        <f>IF($A1933="","",IF(Paramètres!J43&amp;Paramètres!L43&amp;Paramètres!N43="",Dossiers!$D$39,MAX(IF(Paramètres!J43="",0,IF(Paramètres!K43="",NA(),IF(LEFT(TRIM(Paramètres!K43),1)="F",INDEX($F$1895:$F$1947,MATCH(Paramètres!J43,Paramètres!$G$5:$G$57,0)),INDEX($E$1895:$E$1947,MATCH(Paramètres!J43,Paramètres!$G$5:$G$57,0)))+IF(RIGHT(TRIM(Paramètres!K43),3)="Fin",1-$H1933,IF(LEFT(TRIM(Paramètres!K43),1)="F",1,0)))),IF(Paramètres!L43="",0,IF(Paramètres!M43="",NA(),IF(LEFT(TRIM(Paramètres!M43),1)="F",INDEX($F$1895:$F$1947,MATCH(Paramètres!L43,Paramètres!$G$5:$G$57,0)),INDEX($E$1895:$E$1947,MATCH(Paramètres!L43,Paramètres!$G$5:$G$57,0)))+IF(RIGHT(TRIM(Paramètres!M43),3)="Fin",1-$H1933,IF(LEFT(TRIM(Paramètres!M43),1)="F",1,0)))),IF(Paramètres!N43="",0,IF(Paramètres!O43="",NA(),IF(LEFT(TRIM(Paramètres!O43),1)="F",INDEX($F$1895:$F$1947,MATCH(Paramètres!N43,Paramètres!$G$5:$G$57,0)),INDEX($E$1895:$E$1947,MATCH(Paramètres!N43,Paramètres!$G$5:$G$57,0)))+IF(RIGHT(TRIM(Paramètres!O43),3)="Fin",1-$H1933,IF(LEFT(TRIM(Paramètres!O43),1)="F",1,0)))))))</f>
        <v/>
      </c>
      <c r="F1933" s="19">
        <f>IF($A1933="","",E1933+$H1933-1)</f>
        <v/>
      </c>
      <c r="G1933" s="18" t="n"/>
      <c r="H1933" s="18">
        <f>IF($A1933="","",IF(I1933&lt;&gt;"",I1933,Paramètres!B43))</f>
        <v/>
      </c>
      <c r="I1933" s="18" t="n"/>
    </row>
    <row r="1934">
      <c r="A1934" s="18">
        <f>IF(ISNUMBER(Dossiers!$D$39),Dossiers!$A$39&amp;" · "&amp;Dossiers!$B$39,"")</f>
        <v/>
      </c>
      <c r="B1934" s="18">
        <f>IF($A1934="","",Paramètres!G44)</f>
        <v/>
      </c>
      <c r="C1934" s="18">
        <f>IF($A1934="","",IF(Paramètres!H44="","",Paramètres!H44))</f>
        <v/>
      </c>
      <c r="D1934" s="18">
        <f>IF($A1934="","",IF(Paramètres!I44="","",Paramètres!I44))</f>
        <v/>
      </c>
      <c r="E1934" s="19">
        <f>IF($A1934="","",IF(Paramètres!J44&amp;Paramètres!L44&amp;Paramètres!N44="",Dossiers!$D$39,MAX(IF(Paramètres!J44="",0,IF(Paramètres!K44="",NA(),IF(LEFT(TRIM(Paramètres!K44),1)="F",INDEX($F$1895:$F$1947,MATCH(Paramètres!J44,Paramètres!$G$5:$G$57,0)),INDEX($E$1895:$E$1947,MATCH(Paramètres!J44,Paramètres!$G$5:$G$57,0)))+IF(RIGHT(TRIM(Paramètres!K44),3)="Fin",1-$H1934,IF(LEFT(TRIM(Paramètres!K44),1)="F",1,0)))),IF(Paramètres!L44="",0,IF(Paramètres!M44="",NA(),IF(LEFT(TRIM(Paramètres!M44),1)="F",INDEX($F$1895:$F$1947,MATCH(Paramètres!L44,Paramètres!$G$5:$G$57,0)),INDEX($E$1895:$E$1947,MATCH(Paramètres!L44,Paramètres!$G$5:$G$57,0)))+IF(RIGHT(TRIM(Paramètres!M44),3)="Fin",1-$H1934,IF(LEFT(TRIM(Paramètres!M44),1)="F",1,0)))),IF(Paramètres!N44="",0,IF(Paramètres!O44="",NA(),IF(LEFT(TRIM(Paramètres!O44),1)="F",INDEX($F$1895:$F$1947,MATCH(Paramètres!N44,Paramètres!$G$5:$G$57,0)),INDEX($E$1895:$E$1947,MATCH(Paramètres!N44,Paramètres!$G$5:$G$57,0)))+IF(RIGHT(TRIM(Paramètres!O44),3)="Fin",1-$H1934,IF(LEFT(TRIM(Paramètres!O44),1)="F",1,0)))))))</f>
        <v/>
      </c>
      <c r="F1934" s="19">
        <f>IF($A1934="","",E1934+$H1934-1)</f>
        <v/>
      </c>
      <c r="G1934" s="18" t="n"/>
      <c r="H1934" s="18">
        <f>IF($A1934="","",IF(I1934&lt;&gt;"",I1934,Paramètres!B44))</f>
        <v/>
      </c>
      <c r="I1934" s="18" t="n"/>
    </row>
    <row r="1935">
      <c r="A1935" s="18">
        <f>IF(ISNUMBER(Dossiers!$D$39),Dossiers!$A$39&amp;" · "&amp;Dossiers!$B$39,"")</f>
        <v/>
      </c>
      <c r="B1935" s="18">
        <f>IF($A1935="","",Paramètres!G45)</f>
        <v/>
      </c>
      <c r="C1935" s="20">
        <f>IF($A1935="","",IF(Dossiers!$G$39="","",Dossiers!$G$39))</f>
        <v/>
      </c>
      <c r="D1935" s="18">
        <f>IF($A1935="","",IF(Paramètres!I45="","",Paramètres!I45))</f>
        <v/>
      </c>
      <c r="E1935" s="19">
        <f>IF($A1935="","",IF(Paramètres!J45&amp;Paramètres!L45&amp;Paramètres!N45="",Dossiers!$D$39,MAX(IF(Paramètres!J45="",0,IF(Paramètres!K45="",NA(),IF(LEFT(TRIM(Paramètres!K45),1)="F",INDEX($F$1895:$F$1947,MATCH(Paramètres!J45,Paramètres!$G$5:$G$57,0)),INDEX($E$1895:$E$1947,MATCH(Paramètres!J45,Paramètres!$G$5:$G$57,0)))+IF(RIGHT(TRIM(Paramètres!K45),3)="Fin",1-$H1935,IF(LEFT(TRIM(Paramètres!K45),1)="F",1,0)))),IF(Paramètres!L45="",0,IF(Paramètres!M45="",NA(),IF(LEFT(TRIM(Paramètres!M45),1)="F",INDEX($F$1895:$F$1947,MATCH(Paramètres!L45,Paramètres!$G$5:$G$57,0)),INDEX($E$1895:$E$1947,MATCH(Paramètres!L45,Paramètres!$G$5:$G$57,0)))+IF(RIGHT(TRIM(Paramètres!M45),3)="Fin",1-$H1935,IF(LEFT(TRIM(Paramètres!M45),1)="F",1,0)))),IF(Paramètres!N45="",0,IF(Paramètres!O45="",NA(),IF(LEFT(TRIM(Paramètres!O45),1)="F",INDEX($F$1895:$F$1947,MATCH(Paramètres!N45,Paramètres!$G$5:$G$57,0)),INDEX($E$1895:$E$1947,MATCH(Paramètres!N45,Paramètres!$G$5:$G$57,0)))+IF(RIGHT(TRIM(Paramètres!O45),3)="Fin",1-$H1935,IF(LEFT(TRIM(Paramètres!O45),1)="F",1,0)))))))</f>
        <v/>
      </c>
      <c r="F1935" s="19">
        <f>IF($A1935="","",E1935+$H1935-1)</f>
        <v/>
      </c>
      <c r="G1935" s="18" t="n"/>
      <c r="H1935" s="18">
        <f>IF($A1935="","",IF(I1935&lt;&gt;"",I1935,Paramètres!B45))</f>
        <v/>
      </c>
      <c r="I1935" s="18" t="n"/>
    </row>
    <row r="1936">
      <c r="A1936" s="18">
        <f>IF(ISNUMBER(Dossiers!$D$39),Dossiers!$A$39&amp;" · "&amp;Dossiers!$B$39,"")</f>
        <v/>
      </c>
      <c r="B1936" s="18">
        <f>IF($A1936="","",Paramètres!G46)</f>
        <v/>
      </c>
      <c r="C1936" s="18">
        <f>IF($A1936="","",IF(Paramètres!H46="","",Paramètres!H46))</f>
        <v/>
      </c>
      <c r="D1936" s="18">
        <f>IF($A1936="","",IF(Paramètres!I46="","",Paramètres!I46))</f>
        <v/>
      </c>
      <c r="E1936" s="19">
        <f>IF($A1936="","",IF(Paramètres!J46&amp;Paramètres!L46&amp;Paramètres!N46="",Dossiers!$D$39,MAX(IF(Paramètres!J46="",0,IF(Paramètres!K46="",NA(),IF(LEFT(TRIM(Paramètres!K46),1)="F",INDEX($F$1895:$F$1947,MATCH(Paramètres!J46,Paramètres!$G$5:$G$57,0)),INDEX($E$1895:$E$1947,MATCH(Paramètres!J46,Paramètres!$G$5:$G$57,0)))+IF(RIGHT(TRIM(Paramètres!K46),3)="Fin",1-$H1936,IF(LEFT(TRIM(Paramètres!K46),1)="F",1,0)))),IF(Paramètres!L46="",0,IF(Paramètres!M46="",NA(),IF(LEFT(TRIM(Paramètres!M46),1)="F",INDEX($F$1895:$F$1947,MATCH(Paramètres!L46,Paramètres!$G$5:$G$57,0)),INDEX($E$1895:$E$1947,MATCH(Paramètres!L46,Paramètres!$G$5:$G$57,0)))+IF(RIGHT(TRIM(Paramètres!M46),3)="Fin",1-$H1936,IF(LEFT(TRIM(Paramètres!M46),1)="F",1,0)))),IF(Paramètres!N46="",0,IF(Paramètres!O46="",NA(),IF(LEFT(TRIM(Paramètres!O46),1)="F",INDEX($F$1895:$F$1947,MATCH(Paramètres!N46,Paramètres!$G$5:$G$57,0)),INDEX($E$1895:$E$1947,MATCH(Paramètres!N46,Paramètres!$G$5:$G$57,0)))+IF(RIGHT(TRIM(Paramètres!O46),3)="Fin",1-$H1936,IF(LEFT(TRIM(Paramètres!O46),1)="F",1,0)))))))</f>
        <v/>
      </c>
      <c r="F1936" s="19">
        <f>IF($A1936="","",E1936+$H1936-1)</f>
        <v/>
      </c>
      <c r="G1936" s="18" t="n"/>
      <c r="H1936" s="18">
        <f>IF($A1936="","",IF(I1936&lt;&gt;"",I1936,Paramètres!B46))</f>
        <v/>
      </c>
      <c r="I1936" s="18" t="n"/>
    </row>
    <row r="1937">
      <c r="A1937" s="18">
        <f>IF(ISNUMBER(Dossiers!$D$39),Dossiers!$A$39&amp;" · "&amp;Dossiers!$B$39,"")</f>
        <v/>
      </c>
      <c r="B1937" s="18">
        <f>IF($A1937="","",Paramètres!G47)</f>
        <v/>
      </c>
      <c r="C1937" s="18">
        <f>IF($A1937="","",IF(Paramètres!H47="","",Paramètres!H47))</f>
        <v/>
      </c>
      <c r="D1937" s="18">
        <f>IF($A1937="","",IF(Paramètres!I47="","",Paramètres!I47))</f>
        <v/>
      </c>
      <c r="E1937" s="19">
        <f>IF($A1937="","",IF(Paramètres!J47&amp;Paramètres!L47&amp;Paramètres!N47="",Dossiers!$D$39,MAX(IF(Paramètres!J47="",0,IF(Paramètres!K47="",NA(),IF(LEFT(TRIM(Paramètres!K47),1)="F",INDEX($F$1895:$F$1947,MATCH(Paramètres!J47,Paramètres!$G$5:$G$57,0)),INDEX($E$1895:$E$1947,MATCH(Paramètres!J47,Paramètres!$G$5:$G$57,0)))+IF(RIGHT(TRIM(Paramètres!K47),3)="Fin",1-$H1937,IF(LEFT(TRIM(Paramètres!K47),1)="F",1,0)))),IF(Paramètres!L47="",0,IF(Paramètres!M47="",NA(),IF(LEFT(TRIM(Paramètres!M47),1)="F",INDEX($F$1895:$F$1947,MATCH(Paramètres!L47,Paramètres!$G$5:$G$57,0)),INDEX($E$1895:$E$1947,MATCH(Paramètres!L47,Paramètres!$G$5:$G$57,0)))+IF(RIGHT(TRIM(Paramètres!M47),3)="Fin",1-$H1937,IF(LEFT(TRIM(Paramètres!M47),1)="F",1,0)))),IF(Paramètres!N47="",0,IF(Paramètres!O47="",NA(),IF(LEFT(TRIM(Paramètres!O47),1)="F",INDEX($F$1895:$F$1947,MATCH(Paramètres!N47,Paramètres!$G$5:$G$57,0)),INDEX($E$1895:$E$1947,MATCH(Paramètres!N47,Paramètres!$G$5:$G$57,0)))+IF(RIGHT(TRIM(Paramètres!O47),3)="Fin",1-$H1937,IF(LEFT(TRIM(Paramètres!O47),1)="F",1,0)))))))</f>
        <v/>
      </c>
      <c r="F1937" s="19">
        <f>IF($A1937="","",E1937+$H1937-1)</f>
        <v/>
      </c>
      <c r="G1937" s="18" t="n"/>
      <c r="H1937" s="18">
        <f>IF($A1937="","",IF(I1937&lt;&gt;"",I1937,Paramètres!B47))</f>
        <v/>
      </c>
      <c r="I1937" s="18" t="n"/>
    </row>
    <row r="1938">
      <c r="A1938" s="18">
        <f>IF(ISNUMBER(Dossiers!$D$39),Dossiers!$A$39&amp;" · "&amp;Dossiers!$B$39,"")</f>
        <v/>
      </c>
      <c r="B1938" s="18">
        <f>IF($A1938="","",Paramètres!G48)</f>
        <v/>
      </c>
      <c r="C1938" s="18">
        <f>IF($A1938="","",IF(Paramètres!H48="","",Paramètres!H48))</f>
        <v/>
      </c>
      <c r="D1938" s="18">
        <f>IF($A1938="","",IF(Paramètres!I48="","",Paramètres!I48))</f>
        <v/>
      </c>
      <c r="E1938" s="19">
        <f>IF($A1938="","",IF(Paramètres!J48&amp;Paramètres!L48&amp;Paramètres!N48="",Dossiers!$D$39,MAX(IF(Paramètres!J48="",0,IF(Paramètres!K48="",NA(),IF(LEFT(TRIM(Paramètres!K48),1)="F",INDEX($F$1895:$F$1947,MATCH(Paramètres!J48,Paramètres!$G$5:$G$57,0)),INDEX($E$1895:$E$1947,MATCH(Paramètres!J48,Paramètres!$G$5:$G$57,0)))+IF(RIGHT(TRIM(Paramètres!K48),3)="Fin",1-$H1938,IF(LEFT(TRIM(Paramètres!K48),1)="F",1,0)))),IF(Paramètres!L48="",0,IF(Paramètres!M48="",NA(),IF(LEFT(TRIM(Paramètres!M48),1)="F",INDEX($F$1895:$F$1947,MATCH(Paramètres!L48,Paramètres!$G$5:$G$57,0)),INDEX($E$1895:$E$1947,MATCH(Paramètres!L48,Paramètres!$G$5:$G$57,0)))+IF(RIGHT(TRIM(Paramètres!M48),3)="Fin",1-$H1938,IF(LEFT(TRIM(Paramètres!M48),1)="F",1,0)))),IF(Paramètres!N48="",0,IF(Paramètres!O48="",NA(),IF(LEFT(TRIM(Paramètres!O48),1)="F",INDEX($F$1895:$F$1947,MATCH(Paramètres!N48,Paramètres!$G$5:$G$57,0)),INDEX($E$1895:$E$1947,MATCH(Paramètres!N48,Paramètres!$G$5:$G$57,0)))+IF(RIGHT(TRIM(Paramètres!O48),3)="Fin",1-$H1938,IF(LEFT(TRIM(Paramètres!O48),1)="F",1,0)))))))</f>
        <v/>
      </c>
      <c r="F1938" s="19">
        <f>IF($A1938="","",E1938+$H1938-1)</f>
        <v/>
      </c>
      <c r="G1938" s="18" t="n"/>
      <c r="H1938" s="18">
        <f>IF($A1938="","",IF(I1938&lt;&gt;"",I1938,Paramètres!B48))</f>
        <v/>
      </c>
      <c r="I1938" s="18" t="n"/>
    </row>
    <row r="1939">
      <c r="A1939" s="18">
        <f>IF(ISNUMBER(Dossiers!$D$39),Dossiers!$A$39&amp;" · "&amp;Dossiers!$B$39,"")</f>
        <v/>
      </c>
      <c r="B1939" s="18">
        <f>IF($A1939="","",Paramètres!G49)</f>
        <v/>
      </c>
      <c r="C1939" s="18">
        <f>IF($A1939="","",IF(Paramètres!H49="","",Paramètres!H49))</f>
        <v/>
      </c>
      <c r="D1939" s="18">
        <f>IF($A1939="","",IF(Paramètres!I49="","",Paramètres!I49))</f>
        <v/>
      </c>
      <c r="E1939" s="19">
        <f>IF($A1939="","",IF(Paramètres!J49&amp;Paramètres!L49&amp;Paramètres!N49="",Dossiers!$D$39,MAX(IF(Paramètres!J49="",0,IF(Paramètres!K49="",NA(),IF(LEFT(TRIM(Paramètres!K49),1)="F",INDEX($F$1895:$F$1947,MATCH(Paramètres!J49,Paramètres!$G$5:$G$57,0)),INDEX($E$1895:$E$1947,MATCH(Paramètres!J49,Paramètres!$G$5:$G$57,0)))+IF(RIGHT(TRIM(Paramètres!K49),3)="Fin",1-$H1939,IF(LEFT(TRIM(Paramètres!K49),1)="F",1,0)))),IF(Paramètres!L49="",0,IF(Paramètres!M49="",NA(),IF(LEFT(TRIM(Paramètres!M49),1)="F",INDEX($F$1895:$F$1947,MATCH(Paramètres!L49,Paramètres!$G$5:$G$57,0)),INDEX($E$1895:$E$1947,MATCH(Paramètres!L49,Paramètres!$G$5:$G$57,0)))+IF(RIGHT(TRIM(Paramètres!M49),3)="Fin",1-$H1939,IF(LEFT(TRIM(Paramètres!M49),1)="F",1,0)))),IF(Paramètres!N49="",0,IF(Paramètres!O49="",NA(),IF(LEFT(TRIM(Paramètres!O49),1)="F",INDEX($F$1895:$F$1947,MATCH(Paramètres!N49,Paramètres!$G$5:$G$57,0)),INDEX($E$1895:$E$1947,MATCH(Paramètres!N49,Paramètres!$G$5:$G$57,0)))+IF(RIGHT(TRIM(Paramètres!O49),3)="Fin",1-$H1939,IF(LEFT(TRIM(Paramètres!O49),1)="F",1,0)))))))</f>
        <v/>
      </c>
      <c r="F1939" s="19">
        <f>IF($A1939="","",E1939+$H1939-1)</f>
        <v/>
      </c>
      <c r="G1939" s="18" t="n"/>
      <c r="H1939" s="18">
        <f>IF($A1939="","",IF(I1939&lt;&gt;"",I1939,Paramètres!B49))</f>
        <v/>
      </c>
      <c r="I1939" s="18" t="n"/>
    </row>
    <row r="1940">
      <c r="A1940" s="18">
        <f>IF(ISNUMBER(Dossiers!$D$39),Dossiers!$A$39&amp;" · "&amp;Dossiers!$B$39,"")</f>
        <v/>
      </c>
      <c r="B1940" s="18">
        <f>IF($A1940="","",Paramètres!G50)</f>
        <v/>
      </c>
      <c r="C1940" s="18">
        <f>IF($A1940="","",IF(Paramètres!H50="","",Paramètres!H50))</f>
        <v/>
      </c>
      <c r="D1940" s="18">
        <f>IF($A1940="","",IF(Paramètres!I50="","",Paramètres!I50))</f>
        <v/>
      </c>
      <c r="E1940" s="19">
        <f>IF($A1940="","",IF(Paramètres!J50&amp;Paramètres!L50&amp;Paramètres!N50="",Dossiers!$D$39,MAX(IF(Paramètres!J50="",0,IF(Paramètres!K50="",NA(),IF(LEFT(TRIM(Paramètres!K50),1)="F",INDEX($F$1895:$F$1947,MATCH(Paramètres!J50,Paramètres!$G$5:$G$57,0)),INDEX($E$1895:$E$1947,MATCH(Paramètres!J50,Paramètres!$G$5:$G$57,0)))+IF(RIGHT(TRIM(Paramètres!K50),3)="Fin",1-$H1940,IF(LEFT(TRIM(Paramètres!K50),1)="F",1,0)))),IF(Paramètres!L50="",0,IF(Paramètres!M50="",NA(),IF(LEFT(TRIM(Paramètres!M50),1)="F",INDEX($F$1895:$F$1947,MATCH(Paramètres!L50,Paramètres!$G$5:$G$57,0)),INDEX($E$1895:$E$1947,MATCH(Paramètres!L50,Paramètres!$G$5:$G$57,0)))+IF(RIGHT(TRIM(Paramètres!M50),3)="Fin",1-$H1940,IF(LEFT(TRIM(Paramètres!M50),1)="F",1,0)))),IF(Paramètres!N50="",0,IF(Paramètres!O50="",NA(),IF(LEFT(TRIM(Paramètres!O50),1)="F",INDEX($F$1895:$F$1947,MATCH(Paramètres!N50,Paramètres!$G$5:$G$57,0)),INDEX($E$1895:$E$1947,MATCH(Paramètres!N50,Paramètres!$G$5:$G$57,0)))+IF(RIGHT(TRIM(Paramètres!O50),3)="Fin",1-$H1940,IF(LEFT(TRIM(Paramètres!O50),1)="F",1,0)))))))</f>
        <v/>
      </c>
      <c r="F1940" s="19">
        <f>IF($A1940="","",E1940+$H1940-1)</f>
        <v/>
      </c>
      <c r="G1940" s="18" t="n"/>
      <c r="H1940" s="18">
        <f>IF($A1940="","",IF(I1940&lt;&gt;"",I1940,Paramètres!B50))</f>
        <v/>
      </c>
      <c r="I1940" s="18" t="n"/>
    </row>
    <row r="1941">
      <c r="A1941" s="18">
        <f>IF(ISNUMBER(Dossiers!$D$39),Dossiers!$A$39&amp;" · "&amp;Dossiers!$B$39,"")</f>
        <v/>
      </c>
      <c r="B1941" s="18">
        <f>IF($A1941="","",Paramètres!G51)</f>
        <v/>
      </c>
      <c r="C1941" s="18">
        <f>IF($A1941="","",IF(Paramètres!H51="","",Paramètres!H51))</f>
        <v/>
      </c>
      <c r="D1941" s="18">
        <f>IF($A1941="","",IF(Paramètres!I51="","",Paramètres!I51))</f>
        <v/>
      </c>
      <c r="E1941" s="19">
        <f>IF($A1941="","",IF(Paramètres!J51&amp;Paramètres!L51&amp;Paramètres!N51="",Dossiers!$D$39,MAX(IF(Paramètres!J51="",0,IF(Paramètres!K51="",NA(),IF(LEFT(TRIM(Paramètres!K51),1)="F",INDEX($F$1895:$F$1947,MATCH(Paramètres!J51,Paramètres!$G$5:$G$57,0)),INDEX($E$1895:$E$1947,MATCH(Paramètres!J51,Paramètres!$G$5:$G$57,0)))+IF(RIGHT(TRIM(Paramètres!K51),3)="Fin",1-$H1941,IF(LEFT(TRIM(Paramètres!K51),1)="F",1,0)))),IF(Paramètres!L51="",0,IF(Paramètres!M51="",NA(),IF(LEFT(TRIM(Paramètres!M51),1)="F",INDEX($F$1895:$F$1947,MATCH(Paramètres!L51,Paramètres!$G$5:$G$57,0)),INDEX($E$1895:$E$1947,MATCH(Paramètres!L51,Paramètres!$G$5:$G$57,0)))+IF(RIGHT(TRIM(Paramètres!M51),3)="Fin",1-$H1941,IF(LEFT(TRIM(Paramètres!M51),1)="F",1,0)))),IF(Paramètres!N51="",0,IF(Paramètres!O51="",NA(),IF(LEFT(TRIM(Paramètres!O51),1)="F",INDEX($F$1895:$F$1947,MATCH(Paramètres!N51,Paramètres!$G$5:$G$57,0)),INDEX($E$1895:$E$1947,MATCH(Paramètres!N51,Paramètres!$G$5:$G$57,0)))+IF(RIGHT(TRIM(Paramètres!O51),3)="Fin",1-$H1941,IF(LEFT(TRIM(Paramètres!O51),1)="F",1,0)))))))</f>
        <v/>
      </c>
      <c r="F1941" s="19">
        <f>IF($A1941="","",E1941+$H1941-1)</f>
        <v/>
      </c>
      <c r="G1941" s="18" t="n"/>
      <c r="H1941" s="18">
        <f>IF($A1941="","",IF(I1941&lt;&gt;"",I1941,Paramètres!B51))</f>
        <v/>
      </c>
      <c r="I1941" s="18" t="n"/>
    </row>
    <row r="1942">
      <c r="A1942" s="18">
        <f>IF(ISNUMBER(Dossiers!$D$39),Dossiers!$A$39&amp;" · "&amp;Dossiers!$B$39,"")</f>
        <v/>
      </c>
      <c r="B1942" s="18">
        <f>IF($A1942="","",Paramètres!G52)</f>
        <v/>
      </c>
      <c r="C1942" s="18">
        <f>IF($A1942="","",IF(Paramètres!H52="","",Paramètres!H52))</f>
        <v/>
      </c>
      <c r="D1942" s="18">
        <f>IF($A1942="","",IF(Paramètres!I52="","",Paramètres!I52))</f>
        <v/>
      </c>
      <c r="E1942" s="19">
        <f>IF($A1942="","",IF(Paramètres!J52&amp;Paramètres!L52&amp;Paramètres!N52="",Dossiers!$D$39,MAX(IF(Paramètres!J52="",0,IF(Paramètres!K52="",NA(),IF(LEFT(TRIM(Paramètres!K52),1)="F",INDEX($F$1895:$F$1947,MATCH(Paramètres!J52,Paramètres!$G$5:$G$57,0)),INDEX($E$1895:$E$1947,MATCH(Paramètres!J52,Paramètres!$G$5:$G$57,0)))+IF(RIGHT(TRIM(Paramètres!K52),3)="Fin",1-$H1942,IF(LEFT(TRIM(Paramètres!K52),1)="F",1,0)))),IF(Paramètres!L52="",0,IF(Paramètres!M52="",NA(),IF(LEFT(TRIM(Paramètres!M52),1)="F",INDEX($F$1895:$F$1947,MATCH(Paramètres!L52,Paramètres!$G$5:$G$57,0)),INDEX($E$1895:$E$1947,MATCH(Paramètres!L52,Paramètres!$G$5:$G$57,0)))+IF(RIGHT(TRIM(Paramètres!M52),3)="Fin",1-$H1942,IF(LEFT(TRIM(Paramètres!M52),1)="F",1,0)))),IF(Paramètres!N52="",0,IF(Paramètres!O52="",NA(),IF(LEFT(TRIM(Paramètres!O52),1)="F",INDEX($F$1895:$F$1947,MATCH(Paramètres!N52,Paramètres!$G$5:$G$57,0)),INDEX($E$1895:$E$1947,MATCH(Paramètres!N52,Paramètres!$G$5:$G$57,0)))+IF(RIGHT(TRIM(Paramètres!O52),3)="Fin",1-$H1942,IF(LEFT(TRIM(Paramètres!O52),1)="F",1,0)))))))</f>
        <v/>
      </c>
      <c r="F1942" s="19">
        <f>IF($A1942="","",E1942+$H1942-1)</f>
        <v/>
      </c>
      <c r="G1942" s="18" t="n"/>
      <c r="H1942" s="18">
        <f>IF($A1942="","",IF(I1942&lt;&gt;"",I1942,Paramètres!B52))</f>
        <v/>
      </c>
      <c r="I1942" s="18" t="n"/>
    </row>
    <row r="1943">
      <c r="A1943" s="18">
        <f>IF(ISNUMBER(Dossiers!$D$39),Dossiers!$A$39&amp;" · "&amp;Dossiers!$B$39,"")</f>
        <v/>
      </c>
      <c r="B1943" s="18">
        <f>IF($A1943="","",Paramètres!G53)</f>
        <v/>
      </c>
      <c r="C1943" s="18">
        <f>IF($A1943="","",IF(Paramètres!H53="","",Paramètres!H53))</f>
        <v/>
      </c>
      <c r="D1943" s="18">
        <f>IF($A1943="","",IF(Paramètres!I53="","",Paramètres!I53))</f>
        <v/>
      </c>
      <c r="E1943" s="19">
        <f>IF($A1943="","",IF(Paramètres!J53&amp;Paramètres!L53&amp;Paramètres!N53="",Dossiers!$D$39,MAX(IF(Paramètres!J53="",0,IF(Paramètres!K53="",NA(),IF(LEFT(TRIM(Paramètres!K53),1)="F",INDEX($F$1895:$F$1947,MATCH(Paramètres!J53,Paramètres!$G$5:$G$57,0)),INDEX($E$1895:$E$1947,MATCH(Paramètres!J53,Paramètres!$G$5:$G$57,0)))+IF(RIGHT(TRIM(Paramètres!K53),3)="Fin",1-$H1943,IF(LEFT(TRIM(Paramètres!K53),1)="F",1,0)))),IF(Paramètres!L53="",0,IF(Paramètres!M53="",NA(),IF(LEFT(TRIM(Paramètres!M53),1)="F",INDEX($F$1895:$F$1947,MATCH(Paramètres!L53,Paramètres!$G$5:$G$57,0)),INDEX($E$1895:$E$1947,MATCH(Paramètres!L53,Paramètres!$G$5:$G$57,0)))+IF(RIGHT(TRIM(Paramètres!M53),3)="Fin",1-$H1943,IF(LEFT(TRIM(Paramètres!M53),1)="F",1,0)))),IF(Paramètres!N53="",0,IF(Paramètres!O53="",NA(),IF(LEFT(TRIM(Paramètres!O53),1)="F",INDEX($F$1895:$F$1947,MATCH(Paramètres!N53,Paramètres!$G$5:$G$57,0)),INDEX($E$1895:$E$1947,MATCH(Paramètres!N53,Paramètres!$G$5:$G$57,0)))+IF(RIGHT(TRIM(Paramètres!O53),3)="Fin",1-$H1943,IF(LEFT(TRIM(Paramètres!O53),1)="F",1,0)))))))</f>
        <v/>
      </c>
      <c r="F1943" s="19">
        <f>IF($A1943="","",E1943+$H1943-1)</f>
        <v/>
      </c>
      <c r="G1943" s="18" t="n"/>
      <c r="H1943" s="18">
        <f>IF($A1943="","",IF(I1943&lt;&gt;"",I1943,Paramètres!B53))</f>
        <v/>
      </c>
      <c r="I1943" s="18" t="n"/>
    </row>
    <row r="1944">
      <c r="A1944" s="18">
        <f>IF(ISNUMBER(Dossiers!$D$39),Dossiers!$A$39&amp;" · "&amp;Dossiers!$B$39,"")</f>
        <v/>
      </c>
      <c r="B1944" s="18">
        <f>IF($A1944="","",Paramètres!G54)</f>
        <v/>
      </c>
      <c r="C1944" s="18">
        <f>IF($A1944="","",IF(Paramètres!H54="","",Paramètres!H54))</f>
        <v/>
      </c>
      <c r="D1944" s="18">
        <f>IF($A1944="","",IF(Paramètres!I54="","",Paramètres!I54))</f>
        <v/>
      </c>
      <c r="E1944" s="19">
        <f>IF($A1944="","",IF(Paramètres!J54&amp;Paramètres!L54&amp;Paramètres!N54="",Dossiers!$D$39,MAX(IF(Paramètres!J54="",0,IF(Paramètres!K54="",NA(),IF(LEFT(TRIM(Paramètres!K54),1)="F",INDEX($F$1895:$F$1947,MATCH(Paramètres!J54,Paramètres!$G$5:$G$57,0)),INDEX($E$1895:$E$1947,MATCH(Paramètres!J54,Paramètres!$G$5:$G$57,0)))+IF(RIGHT(TRIM(Paramètres!K54),3)="Fin",1-$H1944,IF(LEFT(TRIM(Paramètres!K54),1)="F",1,0)))),IF(Paramètres!L54="",0,IF(Paramètres!M54="",NA(),IF(LEFT(TRIM(Paramètres!M54),1)="F",INDEX($F$1895:$F$1947,MATCH(Paramètres!L54,Paramètres!$G$5:$G$57,0)),INDEX($E$1895:$E$1947,MATCH(Paramètres!L54,Paramètres!$G$5:$G$57,0)))+IF(RIGHT(TRIM(Paramètres!M54),3)="Fin",1-$H1944,IF(LEFT(TRIM(Paramètres!M54),1)="F",1,0)))),IF(Paramètres!N54="",0,IF(Paramètres!O54="",NA(),IF(LEFT(TRIM(Paramètres!O54),1)="F",INDEX($F$1895:$F$1947,MATCH(Paramètres!N54,Paramètres!$G$5:$G$57,0)),INDEX($E$1895:$E$1947,MATCH(Paramètres!N54,Paramètres!$G$5:$G$57,0)))+IF(RIGHT(TRIM(Paramètres!O54),3)="Fin",1-$H1944,IF(LEFT(TRIM(Paramètres!O54),1)="F",1,0)))))))</f>
        <v/>
      </c>
      <c r="F1944" s="19">
        <f>IF($A1944="","",E1944+$H1944-1)</f>
        <v/>
      </c>
      <c r="G1944" s="18" t="n"/>
      <c r="H1944" s="18">
        <f>IF($A1944="","",IF(I1944&lt;&gt;"",I1944,Paramètres!B54))</f>
        <v/>
      </c>
      <c r="I1944" s="18" t="n"/>
    </row>
    <row r="1945">
      <c r="A1945" s="18">
        <f>IF(ISNUMBER(Dossiers!$D$39),Dossiers!$A$39&amp;" · "&amp;Dossiers!$B$39,"")</f>
        <v/>
      </c>
      <c r="B1945" s="18">
        <f>IF($A1945="","",Paramètres!G55)</f>
        <v/>
      </c>
      <c r="C1945" s="18">
        <f>IF($A1945="","",IF(Paramètres!H55="","",Paramètres!H55))</f>
        <v/>
      </c>
      <c r="D1945" s="18">
        <f>IF($A1945="","",IF(Paramètres!I55="","",Paramètres!I55))</f>
        <v/>
      </c>
      <c r="E1945" s="19">
        <f>IF($A1945="","",IF(Paramètres!J55&amp;Paramètres!L55&amp;Paramètres!N55="",Dossiers!$D$39,MAX(IF(Paramètres!J55="",0,IF(Paramètres!K55="",NA(),IF(LEFT(TRIM(Paramètres!K55),1)="F",INDEX($F$1895:$F$1947,MATCH(Paramètres!J55,Paramètres!$G$5:$G$57,0)),INDEX($E$1895:$E$1947,MATCH(Paramètres!J55,Paramètres!$G$5:$G$57,0)))+IF(RIGHT(TRIM(Paramètres!K55),3)="Fin",1-$H1945,IF(LEFT(TRIM(Paramètres!K55),1)="F",1,0)))),IF(Paramètres!L55="",0,IF(Paramètres!M55="",NA(),IF(LEFT(TRIM(Paramètres!M55),1)="F",INDEX($F$1895:$F$1947,MATCH(Paramètres!L55,Paramètres!$G$5:$G$57,0)),INDEX($E$1895:$E$1947,MATCH(Paramètres!L55,Paramètres!$G$5:$G$57,0)))+IF(RIGHT(TRIM(Paramètres!M55),3)="Fin",1-$H1945,IF(LEFT(TRIM(Paramètres!M55),1)="F",1,0)))),IF(Paramètres!N55="",0,IF(Paramètres!O55="",NA(),IF(LEFT(TRIM(Paramètres!O55),1)="F",INDEX($F$1895:$F$1947,MATCH(Paramètres!N55,Paramètres!$G$5:$G$57,0)),INDEX($E$1895:$E$1947,MATCH(Paramètres!N55,Paramètres!$G$5:$G$57,0)))+IF(RIGHT(TRIM(Paramètres!O55),3)="Fin",1-$H1945,IF(LEFT(TRIM(Paramètres!O55),1)="F",1,0)))))))</f>
        <v/>
      </c>
      <c r="F1945" s="19">
        <f>IF($A1945="","",E1945+$H1945-1)</f>
        <v/>
      </c>
      <c r="G1945" s="18" t="n"/>
      <c r="H1945" s="18">
        <f>IF($A1945="","",IF(I1945&lt;&gt;"",I1945,Paramètres!B55))</f>
        <v/>
      </c>
      <c r="I1945" s="18" t="n"/>
    </row>
    <row r="1946">
      <c r="A1946" s="18">
        <f>IF(ISNUMBER(Dossiers!$D$39),Dossiers!$A$39&amp;" · "&amp;Dossiers!$B$39,"")</f>
        <v/>
      </c>
      <c r="B1946" s="18">
        <f>IF($A1946="","",Paramètres!G56)</f>
        <v/>
      </c>
      <c r="C1946" s="18">
        <f>IF($A1946="","",IF(Paramètres!H56="","",Paramètres!H56))</f>
        <v/>
      </c>
      <c r="D1946" s="18">
        <f>IF($A1946="","",IF(Paramètres!I56="","",Paramètres!I56))</f>
        <v/>
      </c>
      <c r="E1946" s="19">
        <f>IF($A1946="","",MIN(E1947:E1947))</f>
        <v/>
      </c>
      <c r="F1946" s="19">
        <f>IF($A1946="","",MAX(F1947:F1947))</f>
        <v/>
      </c>
      <c r="G1946" s="18" t="n"/>
      <c r="H1946" s="18">
        <f>IF($A1946="","",F1946-E1946+1)</f>
        <v/>
      </c>
      <c r="I1946" s="18" t="n"/>
    </row>
    <row r="1947">
      <c r="A1947" s="18">
        <f>IF(ISNUMBER(Dossiers!$D$39),Dossiers!$A$39&amp;" · "&amp;Dossiers!$B$39,"")</f>
        <v/>
      </c>
      <c r="B1947" s="18">
        <f>IF($A1947="","",Paramètres!G57)</f>
        <v/>
      </c>
      <c r="C1947" s="18">
        <f>IF($A1947="","",IF(Paramètres!H57="","",Paramètres!H57))</f>
        <v/>
      </c>
      <c r="D1947" s="18">
        <f>IF($A1947="","",IF(Paramètres!I57="","",Paramètres!I57))</f>
        <v/>
      </c>
      <c r="E1947" s="19">
        <f>IF($A1947="","",IF(Paramètres!J57&amp;Paramètres!L57&amp;Paramètres!N57="",Dossiers!$D$39,MAX(IF(Paramètres!J57="",0,IF(Paramètres!K57="",NA(),IF(LEFT(TRIM(Paramètres!K57),1)="F",INDEX($F$1895:$F$1947,MATCH(Paramètres!J57,Paramètres!$G$5:$G$57,0)),INDEX($E$1895:$E$1947,MATCH(Paramètres!J57,Paramètres!$G$5:$G$57,0)))+IF(RIGHT(TRIM(Paramètres!K57),3)="Fin",1-$H1947,IF(LEFT(TRIM(Paramètres!K57),1)="F",1,0)))),IF(Paramètres!L57="",0,IF(Paramètres!M57="",NA(),IF(LEFT(TRIM(Paramètres!M57),1)="F",INDEX($F$1895:$F$1947,MATCH(Paramètres!L57,Paramètres!$G$5:$G$57,0)),INDEX($E$1895:$E$1947,MATCH(Paramètres!L57,Paramètres!$G$5:$G$57,0)))+IF(RIGHT(TRIM(Paramètres!M57),3)="Fin",1-$H1947,IF(LEFT(TRIM(Paramètres!M57),1)="F",1,0)))),IF(Paramètres!N57="",0,IF(Paramètres!O57="",NA(),IF(LEFT(TRIM(Paramètres!O57),1)="F",INDEX($F$1895:$F$1947,MATCH(Paramètres!N57,Paramètres!$G$5:$G$57,0)),INDEX($E$1895:$E$1947,MATCH(Paramètres!N57,Paramètres!$G$5:$G$57,0)))+IF(RIGHT(TRIM(Paramètres!O57),3)="Fin",1-$H1947,IF(LEFT(TRIM(Paramètres!O57),1)="F",1,0)))))))</f>
        <v/>
      </c>
      <c r="F1947" s="19">
        <f>IF($A1947="","",E1947+$H1947-1)</f>
        <v/>
      </c>
      <c r="G1947" s="18" t="n"/>
      <c r="H1947" s="18">
        <f>IF($A1947="","",IF(I1947&lt;&gt;"",I1947,Paramètres!B57))</f>
        <v/>
      </c>
      <c r="I1947" s="18" t="n"/>
    </row>
    <row r="1948">
      <c r="A1948" s="16">
        <f>IF(ISNUMBER(Dossiers!$D$40),Dossiers!$E$40,"")</f>
        <v/>
      </c>
      <c r="B1948" s="16">
        <f>IF($A1948="","","Identifiant")</f>
        <v/>
      </c>
      <c r="C1948" s="16">
        <f>IF($A1948="","","Macro Etape")</f>
        <v/>
      </c>
      <c r="D1948" s="16">
        <f>IF($A1948="","","Etape")</f>
        <v/>
      </c>
      <c r="E1948" s="17">
        <f>IF($A1948="","","Début le")</f>
        <v/>
      </c>
      <c r="F1948" s="17">
        <f>IF($A1948="","","Fin prévue le")</f>
        <v/>
      </c>
      <c r="G1948" s="16">
        <f>IF($A1948="","","Statut")</f>
        <v/>
      </c>
      <c r="H1948" s="16">
        <f>IF($A1948="","","Durée (jours)")</f>
        <v/>
      </c>
      <c r="I1948" s="16">
        <f>IF($A1948="","","Durée particulière")</f>
        <v/>
      </c>
      <c r="J1948" s="10">
        <f>IF($A1948="","",HYPERLINK("#'Tableau de bord'!A1","↑ Tableau de bord"))</f>
        <v/>
      </c>
    </row>
    <row r="1949">
      <c r="A1949" s="18">
        <f>IF(ISNUMBER(Dossiers!$D$40),Dossiers!$A$40&amp;" · "&amp;Dossiers!$B$40,"")</f>
        <v/>
      </c>
      <c r="B1949" s="18">
        <f>IF($A1949="","",Paramètres!G5)</f>
        <v/>
      </c>
      <c r="C1949" s="18">
        <f>IF($A1949="","",IF(Paramètres!H5="","",Paramètres!H5))</f>
        <v/>
      </c>
      <c r="D1949" s="18">
        <f>IF($A1949="","",IF(Paramètres!I5="","",Paramètres!I5))</f>
        <v/>
      </c>
      <c r="E1949" s="19">
        <f>IF($A1949="","",MIN(E1950:E1953))</f>
        <v/>
      </c>
      <c r="F1949" s="19">
        <f>IF($A1949="","",MAX(F1950:F1953))</f>
        <v/>
      </c>
      <c r="G1949" s="18" t="n"/>
      <c r="H1949" s="18">
        <f>IF($A1949="","",F1949-E1949+1)</f>
        <v/>
      </c>
      <c r="I1949" s="18" t="n"/>
    </row>
    <row r="1950">
      <c r="A1950" s="18">
        <f>IF(ISNUMBER(Dossiers!$D$40),Dossiers!$A$40&amp;" · "&amp;Dossiers!$B$40,"")</f>
        <v/>
      </c>
      <c r="B1950" s="18">
        <f>IF($A1950="","",Paramètres!G6)</f>
        <v/>
      </c>
      <c r="C1950" s="18">
        <f>IF($A1950="","",IF(Paramètres!H6="","",Paramètres!H6))</f>
        <v/>
      </c>
      <c r="D1950" s="18">
        <f>IF($A1950="","",IF(Paramètres!I6="","",Paramètres!I6))</f>
        <v/>
      </c>
      <c r="E1950" s="19">
        <f>IF($A1950="","",IF(Paramètres!J6&amp;Paramètres!L6&amp;Paramètres!N6="",Dossiers!$D$40,MAX(IF(Paramètres!J6="",0,IF(Paramètres!K6="",NA(),IF(LEFT(TRIM(Paramètres!K6),1)="F",INDEX($F$1949:$F$2001,MATCH(Paramètres!J6,Paramètres!$G$5:$G$57,0)),INDEX($E$1949:$E$2001,MATCH(Paramètres!J6,Paramètres!$G$5:$G$57,0)))+IF(RIGHT(TRIM(Paramètres!K6),3)="Fin",1-$H1950,IF(LEFT(TRIM(Paramètres!K6),1)="F",1,0)))),IF(Paramètres!L6="",0,IF(Paramètres!M6="",NA(),IF(LEFT(TRIM(Paramètres!M6),1)="F",INDEX($F$1949:$F$2001,MATCH(Paramètres!L6,Paramètres!$G$5:$G$57,0)),INDEX($E$1949:$E$2001,MATCH(Paramètres!L6,Paramètres!$G$5:$G$57,0)))+IF(RIGHT(TRIM(Paramètres!M6),3)="Fin",1-$H1950,IF(LEFT(TRIM(Paramètres!M6),1)="F",1,0)))),IF(Paramètres!N6="",0,IF(Paramètres!O6="",NA(),IF(LEFT(TRIM(Paramètres!O6),1)="F",INDEX($F$1949:$F$2001,MATCH(Paramètres!N6,Paramètres!$G$5:$G$57,0)),INDEX($E$1949:$E$2001,MATCH(Paramètres!N6,Paramètres!$G$5:$G$57,0)))+IF(RIGHT(TRIM(Paramètres!O6),3)="Fin",1-$H1950,IF(LEFT(TRIM(Paramètres!O6),1)="F",1,0)))))))</f>
        <v/>
      </c>
      <c r="F1950" s="19">
        <f>IF($A1950="","",E1950+$H1950-1)</f>
        <v/>
      </c>
      <c r="G1950" s="18" t="n"/>
      <c r="H1950" s="18">
        <f>IF($A1950="","",IF(I1950&lt;&gt;"",I1950,Paramètres!B6))</f>
        <v/>
      </c>
      <c r="I1950" s="18" t="n"/>
    </row>
    <row r="1951">
      <c r="A1951" s="18">
        <f>IF(ISNUMBER(Dossiers!$D$40),Dossiers!$A$40&amp;" · "&amp;Dossiers!$B$40,"")</f>
        <v/>
      </c>
      <c r="B1951" s="18">
        <f>IF($A1951="","",Paramètres!G7)</f>
        <v/>
      </c>
      <c r="C1951" s="18">
        <f>IF($A1951="","",IF(Paramètres!H7="","",Paramètres!H7))</f>
        <v/>
      </c>
      <c r="D1951" s="18">
        <f>IF($A1951="","",IF(Paramètres!I7="","",Paramètres!I7))</f>
        <v/>
      </c>
      <c r="E1951" s="19">
        <f>IF($A1951="","",IF(Paramètres!J7&amp;Paramètres!L7&amp;Paramètres!N7="",Dossiers!$D$40,MAX(IF(Paramètres!J7="",0,IF(Paramètres!K7="",NA(),IF(LEFT(TRIM(Paramètres!K7),1)="F",INDEX($F$1949:$F$2001,MATCH(Paramètres!J7,Paramètres!$G$5:$G$57,0)),INDEX($E$1949:$E$2001,MATCH(Paramètres!J7,Paramètres!$G$5:$G$57,0)))+IF(RIGHT(TRIM(Paramètres!K7),3)="Fin",1-$H1951,IF(LEFT(TRIM(Paramètres!K7),1)="F",1,0)))),IF(Paramètres!L7="",0,IF(Paramètres!M7="",NA(),IF(LEFT(TRIM(Paramètres!M7),1)="F",INDEX($F$1949:$F$2001,MATCH(Paramètres!L7,Paramètres!$G$5:$G$57,0)),INDEX($E$1949:$E$2001,MATCH(Paramètres!L7,Paramètres!$G$5:$G$57,0)))+IF(RIGHT(TRIM(Paramètres!M7),3)="Fin",1-$H1951,IF(LEFT(TRIM(Paramètres!M7),1)="F",1,0)))),IF(Paramètres!N7="",0,IF(Paramètres!O7="",NA(),IF(LEFT(TRIM(Paramètres!O7),1)="F",INDEX($F$1949:$F$2001,MATCH(Paramètres!N7,Paramètres!$G$5:$G$57,0)),INDEX($E$1949:$E$2001,MATCH(Paramètres!N7,Paramètres!$G$5:$G$57,0)))+IF(RIGHT(TRIM(Paramètres!O7),3)="Fin",1-$H1951,IF(LEFT(TRIM(Paramètres!O7),1)="F",1,0)))))))</f>
        <v/>
      </c>
      <c r="F1951" s="19">
        <f>IF($A1951="","",E1951+$H1951-1)</f>
        <v/>
      </c>
      <c r="G1951" s="18" t="n"/>
      <c r="H1951" s="18">
        <f>IF($A1951="","",IF(I1951&lt;&gt;"",I1951,Paramètres!B7))</f>
        <v/>
      </c>
      <c r="I1951" s="18" t="n"/>
    </row>
    <row r="1952">
      <c r="A1952" s="18">
        <f>IF(ISNUMBER(Dossiers!$D$40),Dossiers!$A$40&amp;" · "&amp;Dossiers!$B$40,"")</f>
        <v/>
      </c>
      <c r="B1952" s="18">
        <f>IF($A1952="","",Paramètres!G8)</f>
        <v/>
      </c>
      <c r="C1952" s="18">
        <f>IF($A1952="","",IF(Paramètres!H8="","",Paramètres!H8))</f>
        <v/>
      </c>
      <c r="D1952" s="18">
        <f>IF($A1952="","",IF(Paramètres!I8="","",Paramètres!I8))</f>
        <v/>
      </c>
      <c r="E1952" s="19">
        <f>IF($A1952="","",IF(Paramètres!J8&amp;Paramètres!L8&amp;Paramètres!N8="",Dossiers!$D$40,MAX(IF(Paramètres!J8="",0,IF(Paramètres!K8="",NA(),IF(LEFT(TRIM(Paramètres!K8),1)="F",INDEX($F$1949:$F$2001,MATCH(Paramètres!J8,Paramètres!$G$5:$G$57,0)),INDEX($E$1949:$E$2001,MATCH(Paramètres!J8,Paramètres!$G$5:$G$57,0)))+IF(RIGHT(TRIM(Paramètres!K8),3)="Fin",1-$H1952,IF(LEFT(TRIM(Paramètres!K8),1)="F",1,0)))),IF(Paramètres!L8="",0,IF(Paramètres!M8="",NA(),IF(LEFT(TRIM(Paramètres!M8),1)="F",INDEX($F$1949:$F$2001,MATCH(Paramètres!L8,Paramètres!$G$5:$G$57,0)),INDEX($E$1949:$E$2001,MATCH(Paramètres!L8,Paramètres!$G$5:$G$57,0)))+IF(RIGHT(TRIM(Paramètres!M8),3)="Fin",1-$H1952,IF(LEFT(TRIM(Paramètres!M8),1)="F",1,0)))),IF(Paramètres!N8="",0,IF(Paramètres!O8="",NA(),IF(LEFT(TRIM(Paramètres!O8),1)="F",INDEX($F$1949:$F$2001,MATCH(Paramètres!N8,Paramètres!$G$5:$G$57,0)),INDEX($E$1949:$E$2001,MATCH(Paramètres!N8,Paramètres!$G$5:$G$57,0)))+IF(RIGHT(TRIM(Paramètres!O8),3)="Fin",1-$H1952,IF(LEFT(TRIM(Paramètres!O8),1)="F",1,0)))))))</f>
        <v/>
      </c>
      <c r="F1952" s="19">
        <f>IF($A1952="","",E1952+$H1952-1)</f>
        <v/>
      </c>
      <c r="G1952" s="18" t="n"/>
      <c r="H1952" s="18">
        <f>IF($A1952="","",IF(I1952&lt;&gt;"",I1952,Paramètres!B8))</f>
        <v/>
      </c>
      <c r="I1952" s="18" t="n"/>
    </row>
    <row r="1953">
      <c r="A1953" s="18">
        <f>IF(ISNUMBER(Dossiers!$D$40),Dossiers!$A$40&amp;" · "&amp;Dossiers!$B$40,"")</f>
        <v/>
      </c>
      <c r="B1953" s="18">
        <f>IF($A1953="","",Paramètres!G9)</f>
        <v/>
      </c>
      <c r="C1953" s="18">
        <f>IF($A1953="","",IF(Paramètres!H9="","",Paramètres!H9))</f>
        <v/>
      </c>
      <c r="D1953" s="18">
        <f>IF($A1953="","",IF(Paramètres!I9="","",Paramètres!I9))</f>
        <v/>
      </c>
      <c r="E1953" s="19">
        <f>IF($A1953="","",IF(Paramètres!J9&amp;Paramètres!L9&amp;Paramètres!N9="",Dossiers!$D$40,MAX(IF(Paramètres!J9="",0,IF(Paramètres!K9="",NA(),IF(LEFT(TRIM(Paramètres!K9),1)="F",INDEX($F$1949:$F$2001,MATCH(Paramètres!J9,Paramètres!$G$5:$G$57,0)),INDEX($E$1949:$E$2001,MATCH(Paramètres!J9,Paramètres!$G$5:$G$57,0)))+IF(RIGHT(TRIM(Paramètres!K9),3)="Fin",1-$H1953,IF(LEFT(TRIM(Paramètres!K9),1)="F",1,0)))),IF(Paramètres!L9="",0,IF(Paramètres!M9="",NA(),IF(LEFT(TRIM(Paramètres!M9),1)="F",INDEX($F$1949:$F$2001,MATCH(Paramètres!L9,Paramètres!$G$5:$G$57,0)),INDEX($E$1949:$E$2001,MATCH(Paramètres!L9,Paramètres!$G$5:$G$57,0)))+IF(RIGHT(TRIM(Paramètres!M9),3)="Fin",1-$H1953,IF(LEFT(TRIM(Paramètres!M9),1)="F",1,0)))),IF(Paramètres!N9="",0,IF(Paramètres!O9="",NA(),IF(LEFT(TRIM(Paramètres!O9),1)="F",INDEX($F$1949:$F$2001,MATCH(Paramètres!N9,Paramètres!$G$5:$G$57,0)),INDEX($E$1949:$E$2001,MATCH(Paramètres!N9,Paramètres!$G$5:$G$57,0)))+IF(RIGHT(TRIM(Paramètres!O9),3)="Fin",1-$H1953,IF(LEFT(TRIM(Paramètres!O9),1)="F",1,0)))))))</f>
        <v/>
      </c>
      <c r="F1953" s="19">
        <f>IF($A1953="","",E1953+$H1953-1)</f>
        <v/>
      </c>
      <c r="G1953" s="18" t="n"/>
      <c r="H1953" s="18">
        <f>IF($A1953="","",IF(I1953&lt;&gt;"",I1953,Paramètres!B9))</f>
        <v/>
      </c>
      <c r="I1953" s="18" t="n"/>
    </row>
    <row r="1954">
      <c r="A1954" s="18">
        <f>IF(ISNUMBER(Dossiers!$D$40),Dossiers!$A$40&amp;" · "&amp;Dossiers!$B$40,"")</f>
        <v/>
      </c>
      <c r="B1954" s="18">
        <f>IF($A1954="","",Paramètres!G10)</f>
        <v/>
      </c>
      <c r="C1954" s="18">
        <f>IF($A1954="","",IF(Paramètres!H10="","",Paramètres!H10))</f>
        <v/>
      </c>
      <c r="D1954" s="18">
        <f>IF($A1954="","",IF(Paramètres!I10="","",Paramètres!I10))</f>
        <v/>
      </c>
      <c r="E1954" s="19">
        <f>IF($A1954="","",MIN(E1955:E1958))</f>
        <v/>
      </c>
      <c r="F1954" s="19">
        <f>IF($A1954="","",MAX(F1955:F1958))</f>
        <v/>
      </c>
      <c r="G1954" s="18" t="n"/>
      <c r="H1954" s="18">
        <f>IF($A1954="","",F1954-E1954+1)</f>
        <v/>
      </c>
      <c r="I1954" s="18" t="n"/>
    </row>
    <row r="1955">
      <c r="A1955" s="18">
        <f>IF(ISNUMBER(Dossiers!$D$40),Dossiers!$A$40&amp;" · "&amp;Dossiers!$B$40,"")</f>
        <v/>
      </c>
      <c r="B1955" s="18">
        <f>IF($A1955="","",Paramètres!G11)</f>
        <v/>
      </c>
      <c r="C1955" s="18">
        <f>IF($A1955="","",IF(Paramètres!H11="","",Paramètres!H11))</f>
        <v/>
      </c>
      <c r="D1955" s="18">
        <f>IF($A1955="","",IF(Paramètres!I11="","",Paramètres!I11))</f>
        <v/>
      </c>
      <c r="E1955" s="19">
        <f>IF($A1955="","",IF(Paramètres!J11&amp;Paramètres!L11&amp;Paramètres!N11="",Dossiers!$D$40,MAX(IF(Paramètres!J11="",0,IF(Paramètres!K11="",NA(),IF(LEFT(TRIM(Paramètres!K11),1)="F",INDEX($F$1949:$F$2001,MATCH(Paramètres!J11,Paramètres!$G$5:$G$57,0)),INDEX($E$1949:$E$2001,MATCH(Paramètres!J11,Paramètres!$G$5:$G$57,0)))+IF(RIGHT(TRIM(Paramètres!K11),3)="Fin",1-$H1955,IF(LEFT(TRIM(Paramètres!K11),1)="F",1,0)))),IF(Paramètres!L11="",0,IF(Paramètres!M11="",NA(),IF(LEFT(TRIM(Paramètres!M11),1)="F",INDEX($F$1949:$F$2001,MATCH(Paramètres!L11,Paramètres!$G$5:$G$57,0)),INDEX($E$1949:$E$2001,MATCH(Paramètres!L11,Paramètres!$G$5:$G$57,0)))+IF(RIGHT(TRIM(Paramètres!M11),3)="Fin",1-$H1955,IF(LEFT(TRIM(Paramètres!M11),1)="F",1,0)))),IF(Paramètres!N11="",0,IF(Paramètres!O11="",NA(),IF(LEFT(TRIM(Paramètres!O11),1)="F",INDEX($F$1949:$F$2001,MATCH(Paramètres!N11,Paramètres!$G$5:$G$57,0)),INDEX($E$1949:$E$2001,MATCH(Paramètres!N11,Paramètres!$G$5:$G$57,0)))+IF(RIGHT(TRIM(Paramètres!O11),3)="Fin",1-$H1955,IF(LEFT(TRIM(Paramètres!O11),1)="F",1,0)))))))</f>
        <v/>
      </c>
      <c r="F1955" s="19">
        <f>IF($A1955="","",E1955+$H1955-1)</f>
        <v/>
      </c>
      <c r="G1955" s="18" t="n"/>
      <c r="H1955" s="18">
        <f>IF($A1955="","",IF(I1955&lt;&gt;"",I1955,Paramètres!B11))</f>
        <v/>
      </c>
      <c r="I1955" s="18" t="n"/>
    </row>
    <row r="1956">
      <c r="A1956" s="18">
        <f>IF(ISNUMBER(Dossiers!$D$40),Dossiers!$A$40&amp;" · "&amp;Dossiers!$B$40,"")</f>
        <v/>
      </c>
      <c r="B1956" s="18">
        <f>IF($A1956="","",Paramètres!G12)</f>
        <v/>
      </c>
      <c r="C1956" s="18">
        <f>IF($A1956="","",IF(Paramètres!H12="","",Paramètres!H12))</f>
        <v/>
      </c>
      <c r="D1956" s="18">
        <f>IF($A1956="","",IF(Paramètres!I12="","",Paramètres!I12))</f>
        <v/>
      </c>
      <c r="E1956" s="19">
        <f>IF($A1956="","",IF(Paramètres!J12&amp;Paramètres!L12&amp;Paramètres!N12="",Dossiers!$D$40,MAX(IF(Paramètres!J12="",0,IF(Paramètres!K12="",NA(),IF(LEFT(TRIM(Paramètres!K12),1)="F",INDEX($F$1949:$F$2001,MATCH(Paramètres!J12,Paramètres!$G$5:$G$57,0)),INDEX($E$1949:$E$2001,MATCH(Paramètres!J12,Paramètres!$G$5:$G$57,0)))+IF(RIGHT(TRIM(Paramètres!K12),3)="Fin",1-$H1956,IF(LEFT(TRIM(Paramètres!K12),1)="F",1,0)))),IF(Paramètres!L12="",0,IF(Paramètres!M12="",NA(),IF(LEFT(TRIM(Paramètres!M12),1)="F",INDEX($F$1949:$F$2001,MATCH(Paramètres!L12,Paramètres!$G$5:$G$57,0)),INDEX($E$1949:$E$2001,MATCH(Paramètres!L12,Paramètres!$G$5:$G$57,0)))+IF(RIGHT(TRIM(Paramètres!M12),3)="Fin",1-$H1956,IF(LEFT(TRIM(Paramètres!M12),1)="F",1,0)))),IF(Paramètres!N12="",0,IF(Paramètres!O12="",NA(),IF(LEFT(TRIM(Paramètres!O12),1)="F",INDEX($F$1949:$F$2001,MATCH(Paramètres!N12,Paramètres!$G$5:$G$57,0)),INDEX($E$1949:$E$2001,MATCH(Paramètres!N12,Paramètres!$G$5:$G$57,0)))+IF(RIGHT(TRIM(Paramètres!O12),3)="Fin",1-$H1956,IF(LEFT(TRIM(Paramètres!O12),1)="F",1,0)))))))</f>
        <v/>
      </c>
      <c r="F1956" s="19">
        <f>IF($A1956="","",E1956+$H1956-1)</f>
        <v/>
      </c>
      <c r="G1956" s="18" t="n"/>
      <c r="H1956" s="18">
        <f>IF($A1956="","",IF(I1956&lt;&gt;"",I1956,Paramètres!B12))</f>
        <v/>
      </c>
      <c r="I1956" s="18" t="n"/>
    </row>
    <row r="1957">
      <c r="A1957" s="18">
        <f>IF(ISNUMBER(Dossiers!$D$40),Dossiers!$A$40&amp;" · "&amp;Dossiers!$B$40,"")</f>
        <v/>
      </c>
      <c r="B1957" s="18">
        <f>IF($A1957="","",Paramètres!G13)</f>
        <v/>
      </c>
      <c r="C1957" s="18">
        <f>IF($A1957="","",IF(Paramètres!H13="","",Paramètres!H13))</f>
        <v/>
      </c>
      <c r="D1957" s="18">
        <f>IF($A1957="","",IF(Paramètres!I13="","",Paramètres!I13))</f>
        <v/>
      </c>
      <c r="E1957" s="19">
        <f>IF($A1957="","",IF(Paramètres!J13&amp;Paramètres!L13&amp;Paramètres!N13="",Dossiers!$D$40,MAX(IF(Paramètres!J13="",0,IF(Paramètres!K13="",NA(),IF(LEFT(TRIM(Paramètres!K13),1)="F",INDEX($F$1949:$F$2001,MATCH(Paramètres!J13,Paramètres!$G$5:$G$57,0)),INDEX($E$1949:$E$2001,MATCH(Paramètres!J13,Paramètres!$G$5:$G$57,0)))+IF(RIGHT(TRIM(Paramètres!K13),3)="Fin",1-$H1957,IF(LEFT(TRIM(Paramètres!K13),1)="F",1,0)))),IF(Paramètres!L13="",0,IF(Paramètres!M13="",NA(),IF(LEFT(TRIM(Paramètres!M13),1)="F",INDEX($F$1949:$F$2001,MATCH(Paramètres!L13,Paramètres!$G$5:$G$57,0)),INDEX($E$1949:$E$2001,MATCH(Paramètres!L13,Paramètres!$G$5:$G$57,0)))+IF(RIGHT(TRIM(Paramètres!M13),3)="Fin",1-$H1957,IF(LEFT(TRIM(Paramètres!M13),1)="F",1,0)))),IF(Paramètres!N13="",0,IF(Paramètres!O13="",NA(),IF(LEFT(TRIM(Paramètres!O13),1)="F",INDEX($F$1949:$F$2001,MATCH(Paramètres!N13,Paramètres!$G$5:$G$57,0)),INDEX($E$1949:$E$2001,MATCH(Paramètres!N13,Paramètres!$G$5:$G$57,0)))+IF(RIGHT(TRIM(Paramètres!O13),3)="Fin",1-$H1957,IF(LEFT(TRIM(Paramètres!O13),1)="F",1,0)))))))</f>
        <v/>
      </c>
      <c r="F1957" s="19">
        <f>IF($A1957="","",E1957+$H1957-1)</f>
        <v/>
      </c>
      <c r="G1957" s="18" t="n"/>
      <c r="H1957" s="18">
        <f>IF($A1957="","",IF(I1957&lt;&gt;"",I1957,Paramètres!B13))</f>
        <v/>
      </c>
      <c r="I1957" s="18" t="n"/>
    </row>
    <row r="1958">
      <c r="A1958" s="18">
        <f>IF(ISNUMBER(Dossiers!$D$40),Dossiers!$A$40&amp;" · "&amp;Dossiers!$B$40,"")</f>
        <v/>
      </c>
      <c r="B1958" s="18">
        <f>IF($A1958="","",Paramètres!G14)</f>
        <v/>
      </c>
      <c r="C1958" s="18">
        <f>IF($A1958="","",IF(Paramètres!H14="","",Paramètres!H14))</f>
        <v/>
      </c>
      <c r="D1958" s="18">
        <f>IF($A1958="","",IF(Paramètres!I14="","",Paramètres!I14))</f>
        <v/>
      </c>
      <c r="E1958" s="19">
        <f>IF($A1958="","",IF(Paramètres!J14&amp;Paramètres!L14&amp;Paramètres!N14="",Dossiers!$D$40,MAX(IF(Paramètres!J14="",0,IF(Paramètres!K14="",NA(),IF(LEFT(TRIM(Paramètres!K14),1)="F",INDEX($F$1949:$F$2001,MATCH(Paramètres!J14,Paramètres!$G$5:$G$57,0)),INDEX($E$1949:$E$2001,MATCH(Paramètres!J14,Paramètres!$G$5:$G$57,0)))+IF(RIGHT(TRIM(Paramètres!K14),3)="Fin",1-$H1958,IF(LEFT(TRIM(Paramètres!K14),1)="F",1,0)))),IF(Paramètres!L14="",0,IF(Paramètres!M14="",NA(),IF(LEFT(TRIM(Paramètres!M14),1)="F",INDEX($F$1949:$F$2001,MATCH(Paramètres!L14,Paramètres!$G$5:$G$57,0)),INDEX($E$1949:$E$2001,MATCH(Paramètres!L14,Paramètres!$G$5:$G$57,0)))+IF(RIGHT(TRIM(Paramètres!M14),3)="Fin",1-$H1958,IF(LEFT(TRIM(Paramètres!M14),1)="F",1,0)))),IF(Paramètres!N14="",0,IF(Paramètres!O14="",NA(),IF(LEFT(TRIM(Paramètres!O14),1)="F",INDEX($F$1949:$F$2001,MATCH(Paramètres!N14,Paramètres!$G$5:$G$57,0)),INDEX($E$1949:$E$2001,MATCH(Paramètres!N14,Paramètres!$G$5:$G$57,0)))+IF(RIGHT(TRIM(Paramètres!O14),3)="Fin",1-$H1958,IF(LEFT(TRIM(Paramètres!O14),1)="F",1,0)))))))</f>
        <v/>
      </c>
      <c r="F1958" s="19">
        <f>IF($A1958="","",E1958+$H1958-1)</f>
        <v/>
      </c>
      <c r="G1958" s="18" t="n"/>
      <c r="H1958" s="18">
        <f>IF($A1958="","",IF(I1958&lt;&gt;"",I1958,Paramètres!B14))</f>
        <v/>
      </c>
      <c r="I1958" s="18" t="n"/>
    </row>
    <row r="1959">
      <c r="A1959" s="18">
        <f>IF(ISNUMBER(Dossiers!$D$40),Dossiers!$A$40&amp;" · "&amp;Dossiers!$B$40,"")</f>
        <v/>
      </c>
      <c r="B1959" s="18">
        <f>IF($A1959="","",Paramètres!G15)</f>
        <v/>
      </c>
      <c r="C1959" s="18">
        <f>IF($A1959="","",IF(Paramètres!H15="","",Paramètres!H15))</f>
        <v/>
      </c>
      <c r="D1959" s="18">
        <f>IF($A1959="","",IF(Paramètres!I15="","",Paramètres!I15))</f>
        <v/>
      </c>
      <c r="E1959" s="19">
        <f>IF($A1959="","",MIN(E1960:E1975))</f>
        <v/>
      </c>
      <c r="F1959" s="19">
        <f>IF($A1959="","",MAX(F1960:F1975))</f>
        <v/>
      </c>
      <c r="G1959" s="18" t="n"/>
      <c r="H1959" s="18">
        <f>IF($A1959="","",F1959-E1959+1)</f>
        <v/>
      </c>
      <c r="I1959" s="18" t="n"/>
    </row>
    <row r="1960">
      <c r="A1960" s="18">
        <f>IF(ISNUMBER(Dossiers!$D$40),Dossiers!$A$40&amp;" · "&amp;Dossiers!$B$40,"")</f>
        <v/>
      </c>
      <c r="B1960" s="18">
        <f>IF($A1960="","",Paramètres!G16)</f>
        <v/>
      </c>
      <c r="C1960" s="18">
        <f>IF($A1960="","",IF(Paramètres!H16="","",Paramètres!H16))</f>
        <v/>
      </c>
      <c r="D1960" s="18">
        <f>IF($A1960="","",IF(Paramètres!I16="","",Paramètres!I16))</f>
        <v/>
      </c>
      <c r="E1960" s="19">
        <f>IF($A1960="","",IF(Paramètres!J16&amp;Paramètres!L16&amp;Paramètres!N16="",Dossiers!$D$40,MAX(IF(Paramètres!J16="",0,IF(Paramètres!K16="",NA(),IF(LEFT(TRIM(Paramètres!K16),1)="F",INDEX($F$1949:$F$2001,MATCH(Paramètres!J16,Paramètres!$G$5:$G$57,0)),INDEX($E$1949:$E$2001,MATCH(Paramètres!J16,Paramètres!$G$5:$G$57,0)))+IF(RIGHT(TRIM(Paramètres!K16),3)="Fin",1-$H1960,IF(LEFT(TRIM(Paramètres!K16),1)="F",1,0)))),IF(Paramètres!L16="",0,IF(Paramètres!M16="",NA(),IF(LEFT(TRIM(Paramètres!M16),1)="F",INDEX($F$1949:$F$2001,MATCH(Paramètres!L16,Paramètres!$G$5:$G$57,0)),INDEX($E$1949:$E$2001,MATCH(Paramètres!L16,Paramètres!$G$5:$G$57,0)))+IF(RIGHT(TRIM(Paramètres!M16),3)="Fin",1-$H1960,IF(LEFT(TRIM(Paramètres!M16),1)="F",1,0)))),IF(Paramètres!N16="",0,IF(Paramètres!O16="",NA(),IF(LEFT(TRIM(Paramètres!O16),1)="F",INDEX($F$1949:$F$2001,MATCH(Paramètres!N16,Paramètres!$G$5:$G$57,0)),INDEX($E$1949:$E$2001,MATCH(Paramètres!N16,Paramètres!$G$5:$G$57,0)))+IF(RIGHT(TRIM(Paramètres!O16),3)="Fin",1-$H1960,IF(LEFT(TRIM(Paramètres!O16),1)="F",1,0)))))))</f>
        <v/>
      </c>
      <c r="F1960" s="19">
        <f>IF($A1960="","",E1960+$H1960-1)</f>
        <v/>
      </c>
      <c r="G1960" s="18" t="n"/>
      <c r="H1960" s="18">
        <f>IF($A1960="","",IF(I1960&lt;&gt;"",I1960,Paramètres!B16))</f>
        <v/>
      </c>
      <c r="I1960" s="18" t="n"/>
    </row>
    <row r="1961">
      <c r="A1961" s="18">
        <f>IF(ISNUMBER(Dossiers!$D$40),Dossiers!$A$40&amp;" · "&amp;Dossiers!$B$40,"")</f>
        <v/>
      </c>
      <c r="B1961" s="18">
        <f>IF($A1961="","",Paramètres!G17)</f>
        <v/>
      </c>
      <c r="C1961" s="18">
        <f>IF($A1961="","",IF(Paramètres!H17="","",Paramètres!H17))</f>
        <v/>
      </c>
      <c r="D1961" s="18">
        <f>IF($A1961="","",IF(Paramètres!I17="","",Paramètres!I17))</f>
        <v/>
      </c>
      <c r="E1961" s="19">
        <f>IF($A1961="","",IF(Paramètres!J17&amp;Paramètres!L17&amp;Paramètres!N17="",Dossiers!$D$40,MAX(IF(Paramètres!J17="",0,IF(Paramètres!K17="",NA(),IF(LEFT(TRIM(Paramètres!K17),1)="F",INDEX($F$1949:$F$2001,MATCH(Paramètres!J17,Paramètres!$G$5:$G$57,0)),INDEX($E$1949:$E$2001,MATCH(Paramètres!J17,Paramètres!$G$5:$G$57,0)))+IF(RIGHT(TRIM(Paramètres!K17),3)="Fin",1-$H1961,IF(LEFT(TRIM(Paramètres!K17),1)="F",1,0)))),IF(Paramètres!L17="",0,IF(Paramètres!M17="",NA(),IF(LEFT(TRIM(Paramètres!M17),1)="F",INDEX($F$1949:$F$2001,MATCH(Paramètres!L17,Paramètres!$G$5:$G$57,0)),INDEX($E$1949:$E$2001,MATCH(Paramètres!L17,Paramètres!$G$5:$G$57,0)))+IF(RIGHT(TRIM(Paramètres!M17),3)="Fin",1-$H1961,IF(LEFT(TRIM(Paramètres!M17),1)="F",1,0)))),IF(Paramètres!N17="",0,IF(Paramètres!O17="",NA(),IF(LEFT(TRIM(Paramètres!O17),1)="F",INDEX($F$1949:$F$2001,MATCH(Paramètres!N17,Paramètres!$G$5:$G$57,0)),INDEX($E$1949:$E$2001,MATCH(Paramètres!N17,Paramètres!$G$5:$G$57,0)))+IF(RIGHT(TRIM(Paramètres!O17),3)="Fin",1-$H1961,IF(LEFT(TRIM(Paramètres!O17),1)="F",1,0)))))))</f>
        <v/>
      </c>
      <c r="F1961" s="19">
        <f>IF($A1961="","",E1961+$H1961-1)</f>
        <v/>
      </c>
      <c r="G1961" s="18" t="n"/>
      <c r="H1961" s="18">
        <f>IF($A1961="","",IF(I1961&lt;&gt;"",I1961,Paramètres!B17))</f>
        <v/>
      </c>
      <c r="I1961" s="18" t="n"/>
    </row>
    <row r="1962">
      <c r="A1962" s="18">
        <f>IF(ISNUMBER(Dossiers!$D$40),Dossiers!$A$40&amp;" · "&amp;Dossiers!$B$40,"")</f>
        <v/>
      </c>
      <c r="B1962" s="18">
        <f>IF($A1962="","",Paramètres!G18)</f>
        <v/>
      </c>
      <c r="C1962" s="18">
        <f>IF($A1962="","",IF(Paramètres!H18="","",Paramètres!H18))</f>
        <v/>
      </c>
      <c r="D1962" s="18">
        <f>IF($A1962="","",IF(Paramètres!I18="","",Paramètres!I18))</f>
        <v/>
      </c>
      <c r="E1962" s="19">
        <f>IF($A1962="","",IF(Paramètres!J18&amp;Paramètres!L18&amp;Paramètres!N18="",Dossiers!$D$40,MAX(IF(Paramètres!J18="",0,IF(Paramètres!K18="",NA(),IF(LEFT(TRIM(Paramètres!K18),1)="F",INDEX($F$1949:$F$2001,MATCH(Paramètres!J18,Paramètres!$G$5:$G$57,0)),INDEX($E$1949:$E$2001,MATCH(Paramètres!J18,Paramètres!$G$5:$G$57,0)))+IF(RIGHT(TRIM(Paramètres!K18),3)="Fin",1-$H1962,IF(LEFT(TRIM(Paramètres!K18),1)="F",1,0)))),IF(Paramètres!L18="",0,IF(Paramètres!M18="",NA(),IF(LEFT(TRIM(Paramètres!M18),1)="F",INDEX($F$1949:$F$2001,MATCH(Paramètres!L18,Paramètres!$G$5:$G$57,0)),INDEX($E$1949:$E$2001,MATCH(Paramètres!L18,Paramètres!$G$5:$G$57,0)))+IF(RIGHT(TRIM(Paramètres!M18),3)="Fin",1-$H1962,IF(LEFT(TRIM(Paramètres!M18),1)="F",1,0)))),IF(Paramètres!N18="",0,IF(Paramètres!O18="",NA(),IF(LEFT(TRIM(Paramètres!O18),1)="F",INDEX($F$1949:$F$2001,MATCH(Paramètres!N18,Paramètres!$G$5:$G$57,0)),INDEX($E$1949:$E$2001,MATCH(Paramètres!N18,Paramètres!$G$5:$G$57,0)))+IF(RIGHT(TRIM(Paramètres!O18),3)="Fin",1-$H1962,IF(LEFT(TRIM(Paramètres!O18),1)="F",1,0)))))))</f>
        <v/>
      </c>
      <c r="F1962" s="19">
        <f>IF($A1962="","",E1962+$H1962-1)</f>
        <v/>
      </c>
      <c r="G1962" s="18" t="n"/>
      <c r="H1962" s="18">
        <f>IF($A1962="","",IF(I1962&lt;&gt;"",I1962,Paramètres!B18))</f>
        <v/>
      </c>
      <c r="I1962" s="18" t="n"/>
    </row>
    <row r="1963">
      <c r="A1963" s="18">
        <f>IF(ISNUMBER(Dossiers!$D$40),Dossiers!$A$40&amp;" · "&amp;Dossiers!$B$40,"")</f>
        <v/>
      </c>
      <c r="B1963" s="18">
        <f>IF($A1963="","",Paramètres!G19)</f>
        <v/>
      </c>
      <c r="C1963" s="18">
        <f>IF($A1963="","",IF(Paramètres!H19="","",Paramètres!H19))</f>
        <v/>
      </c>
      <c r="D1963" s="18">
        <f>IF($A1963="","",IF(Paramètres!I19="","",Paramètres!I19))</f>
        <v/>
      </c>
      <c r="E1963" s="19">
        <f>IF($A1963="","",IF(Paramètres!J19&amp;Paramètres!L19&amp;Paramètres!N19="",Dossiers!$D$40,MAX(IF(Paramètres!J19="",0,IF(Paramètres!K19="",NA(),IF(LEFT(TRIM(Paramètres!K19),1)="F",INDEX($F$1949:$F$2001,MATCH(Paramètres!J19,Paramètres!$G$5:$G$57,0)),INDEX($E$1949:$E$2001,MATCH(Paramètres!J19,Paramètres!$G$5:$G$57,0)))+IF(RIGHT(TRIM(Paramètres!K19),3)="Fin",1-$H1963,IF(LEFT(TRIM(Paramètres!K19),1)="F",1,0)))),IF(Paramètres!L19="",0,IF(Paramètres!M19="",NA(),IF(LEFT(TRIM(Paramètres!M19),1)="F",INDEX($F$1949:$F$2001,MATCH(Paramètres!L19,Paramètres!$G$5:$G$57,0)),INDEX($E$1949:$E$2001,MATCH(Paramètres!L19,Paramètres!$G$5:$G$57,0)))+IF(RIGHT(TRIM(Paramètres!M19),3)="Fin",1-$H1963,IF(LEFT(TRIM(Paramètres!M19),1)="F",1,0)))),IF(Paramètres!N19="",0,IF(Paramètres!O19="",NA(),IF(LEFT(TRIM(Paramètres!O19),1)="F",INDEX($F$1949:$F$2001,MATCH(Paramètres!N19,Paramètres!$G$5:$G$57,0)),INDEX($E$1949:$E$2001,MATCH(Paramètres!N19,Paramètres!$G$5:$G$57,0)))+IF(RIGHT(TRIM(Paramètres!O19),3)="Fin",1-$H1963,IF(LEFT(TRIM(Paramètres!O19),1)="F",1,0)))))))</f>
        <v/>
      </c>
      <c r="F1963" s="19">
        <f>IF($A1963="","",E1963+$H1963-1)</f>
        <v/>
      </c>
      <c r="G1963" s="18" t="n"/>
      <c r="H1963" s="18">
        <f>IF($A1963="","",IF(I1963&lt;&gt;"",I1963,Paramètres!B19))</f>
        <v/>
      </c>
      <c r="I1963" s="18" t="n"/>
    </row>
    <row r="1964">
      <c r="A1964" s="18">
        <f>IF(ISNUMBER(Dossiers!$D$40),Dossiers!$A$40&amp;" · "&amp;Dossiers!$B$40,"")</f>
        <v/>
      </c>
      <c r="B1964" s="18">
        <f>IF($A1964="","",Paramètres!G20)</f>
        <v/>
      </c>
      <c r="C1964" s="18">
        <f>IF($A1964="","",IF(Paramètres!H20="","",Paramètres!H20))</f>
        <v/>
      </c>
      <c r="D1964" s="18">
        <f>IF($A1964="","",IF(Paramètres!I20="","",Paramètres!I20))</f>
        <v/>
      </c>
      <c r="E1964" s="19">
        <f>IF($A1964="","",IF(Paramètres!J20&amp;Paramètres!L20&amp;Paramètres!N20="",Dossiers!$D$40,MAX(IF(Paramètres!J20="",0,IF(Paramètres!K20="",NA(),IF(LEFT(TRIM(Paramètres!K20),1)="F",INDEX($F$1949:$F$2001,MATCH(Paramètres!J20,Paramètres!$G$5:$G$57,0)),INDEX($E$1949:$E$2001,MATCH(Paramètres!J20,Paramètres!$G$5:$G$57,0)))+IF(RIGHT(TRIM(Paramètres!K20),3)="Fin",1-$H1964,IF(LEFT(TRIM(Paramètres!K20),1)="F",1,0)))),IF(Paramètres!L20="",0,IF(Paramètres!M20="",NA(),IF(LEFT(TRIM(Paramètres!M20),1)="F",INDEX($F$1949:$F$2001,MATCH(Paramètres!L20,Paramètres!$G$5:$G$57,0)),INDEX($E$1949:$E$2001,MATCH(Paramètres!L20,Paramètres!$G$5:$G$57,0)))+IF(RIGHT(TRIM(Paramètres!M20),3)="Fin",1-$H1964,IF(LEFT(TRIM(Paramètres!M20),1)="F",1,0)))),IF(Paramètres!N20="",0,IF(Paramètres!O20="",NA(),IF(LEFT(TRIM(Paramètres!O20),1)="F",INDEX($F$1949:$F$2001,MATCH(Paramètres!N20,Paramètres!$G$5:$G$57,0)),INDEX($E$1949:$E$2001,MATCH(Paramètres!N20,Paramètres!$G$5:$G$57,0)))+IF(RIGHT(TRIM(Paramètres!O20),3)="Fin",1-$H1964,IF(LEFT(TRIM(Paramètres!O20),1)="F",1,0)))))))</f>
        <v/>
      </c>
      <c r="F1964" s="19">
        <f>IF($A1964="","",E1964+$H1964-1)</f>
        <v/>
      </c>
      <c r="G1964" s="18" t="n"/>
      <c r="H1964" s="18">
        <f>IF($A1964="","",IF(I1964&lt;&gt;"",I1964,Paramètres!B20))</f>
        <v/>
      </c>
      <c r="I1964" s="18" t="n"/>
    </row>
    <row r="1965">
      <c r="A1965" s="18">
        <f>IF(ISNUMBER(Dossiers!$D$40),Dossiers!$A$40&amp;" · "&amp;Dossiers!$B$40,"")</f>
        <v/>
      </c>
      <c r="B1965" s="18">
        <f>IF($A1965="","",Paramètres!G21)</f>
        <v/>
      </c>
      <c r="C1965" s="18">
        <f>IF($A1965="","",IF(Paramètres!H21="","",Paramètres!H21))</f>
        <v/>
      </c>
      <c r="D1965" s="18">
        <f>IF($A1965="","",IF(Paramètres!I21="","",Paramètres!I21))</f>
        <v/>
      </c>
      <c r="E1965" s="19">
        <f>IF($A1965="","",IF(Paramètres!J21&amp;Paramètres!L21&amp;Paramètres!N21="",Dossiers!$D$40,MAX(IF(Paramètres!J21="",0,IF(Paramètres!K21="",NA(),IF(LEFT(TRIM(Paramètres!K21),1)="F",INDEX($F$1949:$F$2001,MATCH(Paramètres!J21,Paramètres!$G$5:$G$57,0)),INDEX($E$1949:$E$2001,MATCH(Paramètres!J21,Paramètres!$G$5:$G$57,0)))+IF(RIGHT(TRIM(Paramètres!K21),3)="Fin",1-$H1965,IF(LEFT(TRIM(Paramètres!K21),1)="F",1,0)))),IF(Paramètres!L21="",0,IF(Paramètres!M21="",NA(),IF(LEFT(TRIM(Paramètres!M21),1)="F",INDEX($F$1949:$F$2001,MATCH(Paramètres!L21,Paramètres!$G$5:$G$57,0)),INDEX($E$1949:$E$2001,MATCH(Paramètres!L21,Paramètres!$G$5:$G$57,0)))+IF(RIGHT(TRIM(Paramètres!M21),3)="Fin",1-$H1965,IF(LEFT(TRIM(Paramètres!M21),1)="F",1,0)))),IF(Paramètres!N21="",0,IF(Paramètres!O21="",NA(),IF(LEFT(TRIM(Paramètres!O21),1)="F",INDEX($F$1949:$F$2001,MATCH(Paramètres!N21,Paramètres!$G$5:$G$57,0)),INDEX($E$1949:$E$2001,MATCH(Paramètres!N21,Paramètres!$G$5:$G$57,0)))+IF(RIGHT(TRIM(Paramètres!O21),3)="Fin",1-$H1965,IF(LEFT(TRIM(Paramètres!O21),1)="F",1,0)))))))</f>
        <v/>
      </c>
      <c r="F1965" s="19">
        <f>IF($A1965="","",E1965+$H1965-1)</f>
        <v/>
      </c>
      <c r="G1965" s="18" t="n"/>
      <c r="H1965" s="18">
        <f>IF($A1965="","",IF(I1965&lt;&gt;"",I1965,Paramètres!B21))</f>
        <v/>
      </c>
      <c r="I1965" s="18" t="n"/>
    </row>
    <row r="1966">
      <c r="A1966" s="18">
        <f>IF(ISNUMBER(Dossiers!$D$40),Dossiers!$A$40&amp;" · "&amp;Dossiers!$B$40,"")</f>
        <v/>
      </c>
      <c r="B1966" s="18">
        <f>IF($A1966="","",Paramètres!G22)</f>
        <v/>
      </c>
      <c r="C1966" s="18">
        <f>IF($A1966="","",IF(Paramètres!H22="","",Paramètres!H22))</f>
        <v/>
      </c>
      <c r="D1966" s="18">
        <f>IF($A1966="","",IF(Paramètres!I22="","",Paramètres!I22))</f>
        <v/>
      </c>
      <c r="E1966" s="19">
        <f>IF($A1966="","",IF(Paramètres!J22&amp;Paramètres!L22&amp;Paramètres!N22="",Dossiers!$D$40,MAX(IF(Paramètres!J22="",0,IF(Paramètres!K22="",NA(),IF(LEFT(TRIM(Paramètres!K22),1)="F",INDEX($F$1949:$F$2001,MATCH(Paramètres!J22,Paramètres!$G$5:$G$57,0)),INDEX($E$1949:$E$2001,MATCH(Paramètres!J22,Paramètres!$G$5:$G$57,0)))+IF(RIGHT(TRIM(Paramètres!K22),3)="Fin",1-$H1966,IF(LEFT(TRIM(Paramètres!K22),1)="F",1,0)))),IF(Paramètres!L22="",0,IF(Paramètres!M22="",NA(),IF(LEFT(TRIM(Paramètres!M22),1)="F",INDEX($F$1949:$F$2001,MATCH(Paramètres!L22,Paramètres!$G$5:$G$57,0)),INDEX($E$1949:$E$2001,MATCH(Paramètres!L22,Paramètres!$G$5:$G$57,0)))+IF(RIGHT(TRIM(Paramètres!M22),3)="Fin",1-$H1966,IF(LEFT(TRIM(Paramètres!M22),1)="F",1,0)))),IF(Paramètres!N22="",0,IF(Paramètres!O22="",NA(),IF(LEFT(TRIM(Paramètres!O22),1)="F",INDEX($F$1949:$F$2001,MATCH(Paramètres!N22,Paramètres!$G$5:$G$57,0)),INDEX($E$1949:$E$2001,MATCH(Paramètres!N22,Paramètres!$G$5:$G$57,0)))+IF(RIGHT(TRIM(Paramètres!O22),3)="Fin",1-$H1966,IF(LEFT(TRIM(Paramètres!O22),1)="F",1,0)))))))</f>
        <v/>
      </c>
      <c r="F1966" s="19">
        <f>IF($A1966="","",E1966+$H1966-1)</f>
        <v/>
      </c>
      <c r="G1966" s="18" t="n"/>
      <c r="H1966" s="18">
        <f>IF($A1966="","",IF(I1966&lt;&gt;"",I1966,Paramètres!B22))</f>
        <v/>
      </c>
      <c r="I1966" s="18" t="n"/>
    </row>
    <row r="1967">
      <c r="A1967" s="18">
        <f>IF(ISNUMBER(Dossiers!$D$40),Dossiers!$A$40&amp;" · "&amp;Dossiers!$B$40,"")</f>
        <v/>
      </c>
      <c r="B1967" s="18">
        <f>IF($A1967="","",Paramètres!G23)</f>
        <v/>
      </c>
      <c r="C1967" s="18">
        <f>IF($A1967="","",IF(Paramètres!H23="","",Paramètres!H23))</f>
        <v/>
      </c>
      <c r="D1967" s="18">
        <f>IF($A1967="","",IF(Paramètres!I23="","",Paramètres!I23))</f>
        <v/>
      </c>
      <c r="E1967" s="19">
        <f>IF($A1967="","",IF(Paramètres!J23&amp;Paramètres!L23&amp;Paramètres!N23="",Dossiers!$D$40,MAX(IF(Paramètres!J23="",0,IF(Paramètres!K23="",NA(),IF(LEFT(TRIM(Paramètres!K23),1)="F",INDEX($F$1949:$F$2001,MATCH(Paramètres!J23,Paramètres!$G$5:$G$57,0)),INDEX($E$1949:$E$2001,MATCH(Paramètres!J23,Paramètres!$G$5:$G$57,0)))+IF(RIGHT(TRIM(Paramètres!K23),3)="Fin",1-$H1967,IF(LEFT(TRIM(Paramètres!K23),1)="F",1,0)))),IF(Paramètres!L23="",0,IF(Paramètres!M23="",NA(),IF(LEFT(TRIM(Paramètres!M23),1)="F",INDEX($F$1949:$F$2001,MATCH(Paramètres!L23,Paramètres!$G$5:$G$57,0)),INDEX($E$1949:$E$2001,MATCH(Paramètres!L23,Paramètres!$G$5:$G$57,0)))+IF(RIGHT(TRIM(Paramètres!M23),3)="Fin",1-$H1967,IF(LEFT(TRIM(Paramètres!M23),1)="F",1,0)))),IF(Paramètres!N23="",0,IF(Paramètres!O23="",NA(),IF(LEFT(TRIM(Paramètres!O23),1)="F",INDEX($F$1949:$F$2001,MATCH(Paramètres!N23,Paramètres!$G$5:$G$57,0)),INDEX($E$1949:$E$2001,MATCH(Paramètres!N23,Paramètres!$G$5:$G$57,0)))+IF(RIGHT(TRIM(Paramètres!O23),3)="Fin",1-$H1967,IF(LEFT(TRIM(Paramètres!O23),1)="F",1,0)))))))</f>
        <v/>
      </c>
      <c r="F1967" s="19">
        <f>IF($A1967="","",E1967+$H1967-1)</f>
        <v/>
      </c>
      <c r="G1967" s="18" t="n"/>
      <c r="H1967" s="18">
        <f>IF($A1967="","",IF(I1967&lt;&gt;"",I1967,Paramètres!B23))</f>
        <v/>
      </c>
      <c r="I1967" s="18" t="n"/>
    </row>
    <row r="1968">
      <c r="A1968" s="18">
        <f>IF(ISNUMBER(Dossiers!$D$40),Dossiers!$A$40&amp;" · "&amp;Dossiers!$B$40,"")</f>
        <v/>
      </c>
      <c r="B1968" s="18">
        <f>IF($A1968="","",Paramètres!G24)</f>
        <v/>
      </c>
      <c r="C1968" s="18">
        <f>IF($A1968="","",IF(Paramètres!H24="","",Paramètres!H24))</f>
        <v/>
      </c>
      <c r="D1968" s="18">
        <f>IF($A1968="","",IF(Paramètres!I24="","",Paramètres!I24))</f>
        <v/>
      </c>
      <c r="E1968" s="19">
        <f>IF($A1968="","",IF(Paramètres!J24&amp;Paramètres!L24&amp;Paramètres!N24="",Dossiers!$D$40,MAX(IF(Paramètres!J24="",0,IF(Paramètres!K24="",NA(),IF(LEFT(TRIM(Paramètres!K24),1)="F",INDEX($F$1949:$F$2001,MATCH(Paramètres!J24,Paramètres!$G$5:$G$57,0)),INDEX($E$1949:$E$2001,MATCH(Paramètres!J24,Paramètres!$G$5:$G$57,0)))+IF(RIGHT(TRIM(Paramètres!K24),3)="Fin",1-$H1968,IF(LEFT(TRIM(Paramètres!K24),1)="F",1,0)))),IF(Paramètres!L24="",0,IF(Paramètres!M24="",NA(),IF(LEFT(TRIM(Paramètres!M24),1)="F",INDEX($F$1949:$F$2001,MATCH(Paramètres!L24,Paramètres!$G$5:$G$57,0)),INDEX($E$1949:$E$2001,MATCH(Paramètres!L24,Paramètres!$G$5:$G$57,0)))+IF(RIGHT(TRIM(Paramètres!M24),3)="Fin",1-$H1968,IF(LEFT(TRIM(Paramètres!M24),1)="F",1,0)))),IF(Paramètres!N24="",0,IF(Paramètres!O24="",NA(),IF(LEFT(TRIM(Paramètres!O24),1)="F",INDEX($F$1949:$F$2001,MATCH(Paramètres!N24,Paramètres!$G$5:$G$57,0)),INDEX($E$1949:$E$2001,MATCH(Paramètres!N24,Paramètres!$G$5:$G$57,0)))+IF(RIGHT(TRIM(Paramètres!O24),3)="Fin",1-$H1968,IF(LEFT(TRIM(Paramètres!O24),1)="F",1,0)))))))</f>
        <v/>
      </c>
      <c r="F1968" s="19">
        <f>IF($A1968="","",E1968+$H1968-1)</f>
        <v/>
      </c>
      <c r="G1968" s="18" t="n"/>
      <c r="H1968" s="18">
        <f>IF($A1968="","",IF(I1968&lt;&gt;"",I1968,Paramètres!B24))</f>
        <v/>
      </c>
      <c r="I1968" s="18" t="n"/>
    </row>
    <row r="1969">
      <c r="A1969" s="18">
        <f>IF(ISNUMBER(Dossiers!$D$40),Dossiers!$A$40&amp;" · "&amp;Dossiers!$B$40,"")</f>
        <v/>
      </c>
      <c r="B1969" s="18">
        <f>IF($A1969="","",Paramètres!G25)</f>
        <v/>
      </c>
      <c r="C1969" s="18">
        <f>IF($A1969="","",IF(Paramètres!H25="","",Paramètres!H25))</f>
        <v/>
      </c>
      <c r="D1969" s="18">
        <f>IF($A1969="","",IF(Paramètres!I25="","",Paramètres!I25))</f>
        <v/>
      </c>
      <c r="E1969" s="19">
        <f>IF($A1969="","",IF(Paramètres!J25&amp;Paramètres!L25&amp;Paramètres!N25="",Dossiers!$D$40,MAX(IF(Paramètres!J25="",0,IF(Paramètres!K25="",NA(),IF(LEFT(TRIM(Paramètres!K25),1)="F",INDEX($F$1949:$F$2001,MATCH(Paramètres!J25,Paramètres!$G$5:$G$57,0)),INDEX($E$1949:$E$2001,MATCH(Paramètres!J25,Paramètres!$G$5:$G$57,0)))+IF(RIGHT(TRIM(Paramètres!K25),3)="Fin",1-$H1969,IF(LEFT(TRIM(Paramètres!K25),1)="F",1,0)))),IF(Paramètres!L25="",0,IF(Paramètres!M25="",NA(),IF(LEFT(TRIM(Paramètres!M25),1)="F",INDEX($F$1949:$F$2001,MATCH(Paramètres!L25,Paramètres!$G$5:$G$57,0)),INDEX($E$1949:$E$2001,MATCH(Paramètres!L25,Paramètres!$G$5:$G$57,0)))+IF(RIGHT(TRIM(Paramètres!M25),3)="Fin",1-$H1969,IF(LEFT(TRIM(Paramètres!M25),1)="F",1,0)))),IF(Paramètres!N25="",0,IF(Paramètres!O25="",NA(),IF(LEFT(TRIM(Paramètres!O25),1)="F",INDEX($F$1949:$F$2001,MATCH(Paramètres!N25,Paramètres!$G$5:$G$57,0)),INDEX($E$1949:$E$2001,MATCH(Paramètres!N25,Paramètres!$G$5:$G$57,0)))+IF(RIGHT(TRIM(Paramètres!O25),3)="Fin",1-$H1969,IF(LEFT(TRIM(Paramètres!O25),1)="F",1,0)))))))</f>
        <v/>
      </c>
      <c r="F1969" s="19">
        <f>IF($A1969="","",E1969+$H1969-1)</f>
        <v/>
      </c>
      <c r="G1969" s="18" t="n"/>
      <c r="H1969" s="18">
        <f>IF($A1969="","",IF(I1969&lt;&gt;"",I1969,Paramètres!B25))</f>
        <v/>
      </c>
      <c r="I1969" s="18" t="n"/>
    </row>
    <row r="1970">
      <c r="A1970" s="18">
        <f>IF(ISNUMBER(Dossiers!$D$40),Dossiers!$A$40&amp;" · "&amp;Dossiers!$B$40,"")</f>
        <v/>
      </c>
      <c r="B1970" s="18">
        <f>IF($A1970="","",Paramètres!G26)</f>
        <v/>
      </c>
      <c r="C1970" s="18">
        <f>IF($A1970="","",IF(Paramètres!H26="","",Paramètres!H26))</f>
        <v/>
      </c>
      <c r="D1970" s="18">
        <f>IF($A1970="","",IF(Paramètres!I26="","",Paramètres!I26))</f>
        <v/>
      </c>
      <c r="E1970" s="19">
        <f>IF($A1970="","",IF(Paramètres!J26&amp;Paramètres!L26&amp;Paramètres!N26="",Dossiers!$D$40,MAX(IF(Paramètres!J26="",0,IF(Paramètres!K26="",NA(),IF(LEFT(TRIM(Paramètres!K26),1)="F",INDEX($F$1949:$F$2001,MATCH(Paramètres!J26,Paramètres!$G$5:$G$57,0)),INDEX($E$1949:$E$2001,MATCH(Paramètres!J26,Paramètres!$G$5:$G$57,0)))+IF(RIGHT(TRIM(Paramètres!K26),3)="Fin",1-$H1970,IF(LEFT(TRIM(Paramètres!K26),1)="F",1,0)))),IF(Paramètres!L26="",0,IF(Paramètres!M26="",NA(),IF(LEFT(TRIM(Paramètres!M26),1)="F",INDEX($F$1949:$F$2001,MATCH(Paramètres!L26,Paramètres!$G$5:$G$57,0)),INDEX($E$1949:$E$2001,MATCH(Paramètres!L26,Paramètres!$G$5:$G$57,0)))+IF(RIGHT(TRIM(Paramètres!M26),3)="Fin",1-$H1970,IF(LEFT(TRIM(Paramètres!M26),1)="F",1,0)))),IF(Paramètres!N26="",0,IF(Paramètres!O26="",NA(),IF(LEFT(TRIM(Paramètres!O26),1)="F",INDEX($F$1949:$F$2001,MATCH(Paramètres!N26,Paramètres!$G$5:$G$57,0)),INDEX($E$1949:$E$2001,MATCH(Paramètres!N26,Paramètres!$G$5:$G$57,0)))+IF(RIGHT(TRIM(Paramètres!O26),3)="Fin",1-$H1970,IF(LEFT(TRIM(Paramètres!O26),1)="F",1,0)))))))</f>
        <v/>
      </c>
      <c r="F1970" s="19">
        <f>IF($A1970="","",E1970+$H1970-1)</f>
        <v/>
      </c>
      <c r="G1970" s="18" t="n"/>
      <c r="H1970" s="18">
        <f>IF($A1970="","",IF(I1970&lt;&gt;"",I1970,Paramètres!B26))</f>
        <v/>
      </c>
      <c r="I1970" s="18" t="n"/>
    </row>
    <row r="1971">
      <c r="A1971" s="18">
        <f>IF(ISNUMBER(Dossiers!$D$40),Dossiers!$A$40&amp;" · "&amp;Dossiers!$B$40,"")</f>
        <v/>
      </c>
      <c r="B1971" s="18">
        <f>IF($A1971="","",Paramètres!G27)</f>
        <v/>
      </c>
      <c r="C1971" s="18">
        <f>IF($A1971="","",IF(Paramètres!H27="","",Paramètres!H27))</f>
        <v/>
      </c>
      <c r="D1971" s="18">
        <f>IF($A1971="","",IF(Paramètres!I27="","",Paramètres!I27))</f>
        <v/>
      </c>
      <c r="E1971" s="19">
        <f>IF($A1971="","",IF(Paramètres!J27&amp;Paramètres!L27&amp;Paramètres!N27="",Dossiers!$D$40,MAX(IF(Paramètres!J27="",0,IF(Paramètres!K27="",NA(),IF(LEFT(TRIM(Paramètres!K27),1)="F",INDEX($F$1949:$F$2001,MATCH(Paramètres!J27,Paramètres!$G$5:$G$57,0)),INDEX($E$1949:$E$2001,MATCH(Paramètres!J27,Paramètres!$G$5:$G$57,0)))+IF(RIGHT(TRIM(Paramètres!K27),3)="Fin",1-$H1971,IF(LEFT(TRIM(Paramètres!K27),1)="F",1,0)))),IF(Paramètres!L27="",0,IF(Paramètres!M27="",NA(),IF(LEFT(TRIM(Paramètres!M27),1)="F",INDEX($F$1949:$F$2001,MATCH(Paramètres!L27,Paramètres!$G$5:$G$57,0)),INDEX($E$1949:$E$2001,MATCH(Paramètres!L27,Paramètres!$G$5:$G$57,0)))+IF(RIGHT(TRIM(Paramètres!M27),3)="Fin",1-$H1971,IF(LEFT(TRIM(Paramètres!M27),1)="F",1,0)))),IF(Paramètres!N27="",0,IF(Paramètres!O27="",NA(),IF(LEFT(TRIM(Paramètres!O27),1)="F",INDEX($F$1949:$F$2001,MATCH(Paramètres!N27,Paramètres!$G$5:$G$57,0)),INDEX($E$1949:$E$2001,MATCH(Paramètres!N27,Paramètres!$G$5:$G$57,0)))+IF(RIGHT(TRIM(Paramètres!O27),3)="Fin",1-$H1971,IF(LEFT(TRIM(Paramètres!O27),1)="F",1,0)))))))</f>
        <v/>
      </c>
      <c r="F1971" s="19">
        <f>IF($A1971="","",E1971+$H1971-1)</f>
        <v/>
      </c>
      <c r="G1971" s="18" t="n"/>
      <c r="H1971" s="18">
        <f>IF($A1971="","",IF(I1971&lt;&gt;"",I1971,Paramètres!B27))</f>
        <v/>
      </c>
      <c r="I1971" s="18" t="n"/>
    </row>
    <row r="1972">
      <c r="A1972" s="18">
        <f>IF(ISNUMBER(Dossiers!$D$40),Dossiers!$A$40&amp;" · "&amp;Dossiers!$B$40,"")</f>
        <v/>
      </c>
      <c r="B1972" s="18">
        <f>IF($A1972="","",Paramètres!G28)</f>
        <v/>
      </c>
      <c r="C1972" s="18">
        <f>IF($A1972="","",IF(Paramètres!H28="","",Paramètres!H28))</f>
        <v/>
      </c>
      <c r="D1972" s="18">
        <f>IF($A1972="","",IF(Paramètres!I28="","",Paramètres!I28))</f>
        <v/>
      </c>
      <c r="E1972" s="19">
        <f>IF($A1972="","",IF(Paramètres!J28&amp;Paramètres!L28&amp;Paramètres!N28="",Dossiers!$D$40,MAX(IF(Paramètres!J28="",0,IF(Paramètres!K28="",NA(),IF(LEFT(TRIM(Paramètres!K28),1)="F",INDEX($F$1949:$F$2001,MATCH(Paramètres!J28,Paramètres!$G$5:$G$57,0)),INDEX($E$1949:$E$2001,MATCH(Paramètres!J28,Paramètres!$G$5:$G$57,0)))+IF(RIGHT(TRIM(Paramètres!K28),3)="Fin",1-$H1972,IF(LEFT(TRIM(Paramètres!K28),1)="F",1,0)))),IF(Paramètres!L28="",0,IF(Paramètres!M28="",NA(),IF(LEFT(TRIM(Paramètres!M28),1)="F",INDEX($F$1949:$F$2001,MATCH(Paramètres!L28,Paramètres!$G$5:$G$57,0)),INDEX($E$1949:$E$2001,MATCH(Paramètres!L28,Paramètres!$G$5:$G$57,0)))+IF(RIGHT(TRIM(Paramètres!M28),3)="Fin",1-$H1972,IF(LEFT(TRIM(Paramètres!M28),1)="F",1,0)))),IF(Paramètres!N28="",0,IF(Paramètres!O28="",NA(),IF(LEFT(TRIM(Paramètres!O28),1)="F",INDEX($F$1949:$F$2001,MATCH(Paramètres!N28,Paramètres!$G$5:$G$57,0)),INDEX($E$1949:$E$2001,MATCH(Paramètres!N28,Paramètres!$G$5:$G$57,0)))+IF(RIGHT(TRIM(Paramètres!O28),3)="Fin",1-$H1972,IF(LEFT(TRIM(Paramètres!O28),1)="F",1,0)))))))</f>
        <v/>
      </c>
      <c r="F1972" s="19">
        <f>IF($A1972="","",E1972+$H1972-1)</f>
        <v/>
      </c>
      <c r="G1972" s="18" t="n"/>
      <c r="H1972" s="18">
        <f>IF($A1972="","",IF(I1972&lt;&gt;"",I1972,Paramètres!B28))</f>
        <v/>
      </c>
      <c r="I1972" s="18" t="n"/>
    </row>
    <row r="1973">
      <c r="A1973" s="18">
        <f>IF(ISNUMBER(Dossiers!$D$40),Dossiers!$A$40&amp;" · "&amp;Dossiers!$B$40,"")</f>
        <v/>
      </c>
      <c r="B1973" s="18">
        <f>IF($A1973="","",Paramètres!G29)</f>
        <v/>
      </c>
      <c r="C1973" s="18">
        <f>IF($A1973="","",IF(Paramètres!H29="","",Paramètres!H29))</f>
        <v/>
      </c>
      <c r="D1973" s="18">
        <f>IF($A1973="","",IF(Paramètres!I29="","",Paramètres!I29))</f>
        <v/>
      </c>
      <c r="E1973" s="19">
        <f>IF($A1973="","",IF(Paramètres!J29&amp;Paramètres!L29&amp;Paramètres!N29="",Dossiers!$D$40,MAX(IF(Paramètres!J29="",0,IF(Paramètres!K29="",NA(),IF(LEFT(TRIM(Paramètres!K29),1)="F",INDEX($F$1949:$F$2001,MATCH(Paramètres!J29,Paramètres!$G$5:$G$57,0)),INDEX($E$1949:$E$2001,MATCH(Paramètres!J29,Paramètres!$G$5:$G$57,0)))+IF(RIGHT(TRIM(Paramètres!K29),3)="Fin",1-$H1973,IF(LEFT(TRIM(Paramètres!K29),1)="F",1,0)))),IF(Paramètres!L29="",0,IF(Paramètres!M29="",NA(),IF(LEFT(TRIM(Paramètres!M29),1)="F",INDEX($F$1949:$F$2001,MATCH(Paramètres!L29,Paramètres!$G$5:$G$57,0)),INDEX($E$1949:$E$2001,MATCH(Paramètres!L29,Paramètres!$G$5:$G$57,0)))+IF(RIGHT(TRIM(Paramètres!M29),3)="Fin",1-$H1973,IF(LEFT(TRIM(Paramètres!M29),1)="F",1,0)))),IF(Paramètres!N29="",0,IF(Paramètres!O29="",NA(),IF(LEFT(TRIM(Paramètres!O29),1)="F",INDEX($F$1949:$F$2001,MATCH(Paramètres!N29,Paramètres!$G$5:$G$57,0)),INDEX($E$1949:$E$2001,MATCH(Paramètres!N29,Paramètres!$G$5:$G$57,0)))+IF(RIGHT(TRIM(Paramètres!O29),3)="Fin",1-$H1973,IF(LEFT(TRIM(Paramètres!O29),1)="F",1,0)))))))</f>
        <v/>
      </c>
      <c r="F1973" s="19">
        <f>IF($A1973="","",E1973+$H1973-1)</f>
        <v/>
      </c>
      <c r="G1973" s="18" t="n"/>
      <c r="H1973" s="18">
        <f>IF($A1973="","",IF(I1973&lt;&gt;"",I1973,Paramètres!B29))</f>
        <v/>
      </c>
      <c r="I1973" s="18" t="n"/>
    </row>
    <row r="1974">
      <c r="A1974" s="18">
        <f>IF(ISNUMBER(Dossiers!$D$40),Dossiers!$A$40&amp;" · "&amp;Dossiers!$B$40,"")</f>
        <v/>
      </c>
      <c r="B1974" s="18">
        <f>IF($A1974="","",Paramètres!G30)</f>
        <v/>
      </c>
      <c r="C1974" s="18">
        <f>IF($A1974="","",IF(Paramètres!H30="","",Paramètres!H30))</f>
        <v/>
      </c>
      <c r="D1974" s="18">
        <f>IF($A1974="","",IF(Paramètres!I30="","",Paramètres!I30))</f>
        <v/>
      </c>
      <c r="E1974" s="19">
        <f>IF($A1974="","",IF(Paramètres!J30&amp;Paramètres!L30&amp;Paramètres!N30="",Dossiers!$D$40,MAX(IF(Paramètres!J30="",0,IF(Paramètres!K30="",NA(),IF(LEFT(TRIM(Paramètres!K30),1)="F",INDEX($F$1949:$F$2001,MATCH(Paramètres!J30,Paramètres!$G$5:$G$57,0)),INDEX($E$1949:$E$2001,MATCH(Paramètres!J30,Paramètres!$G$5:$G$57,0)))+IF(RIGHT(TRIM(Paramètres!K30),3)="Fin",1-$H1974,IF(LEFT(TRIM(Paramètres!K30),1)="F",1,0)))),IF(Paramètres!L30="",0,IF(Paramètres!M30="",NA(),IF(LEFT(TRIM(Paramètres!M30),1)="F",INDEX($F$1949:$F$2001,MATCH(Paramètres!L30,Paramètres!$G$5:$G$57,0)),INDEX($E$1949:$E$2001,MATCH(Paramètres!L30,Paramètres!$G$5:$G$57,0)))+IF(RIGHT(TRIM(Paramètres!M30),3)="Fin",1-$H1974,IF(LEFT(TRIM(Paramètres!M30),1)="F",1,0)))),IF(Paramètres!N30="",0,IF(Paramètres!O30="",NA(),IF(LEFT(TRIM(Paramètres!O30),1)="F",INDEX($F$1949:$F$2001,MATCH(Paramètres!N30,Paramètres!$G$5:$G$57,0)),INDEX($E$1949:$E$2001,MATCH(Paramètres!N30,Paramètres!$G$5:$G$57,0)))+IF(RIGHT(TRIM(Paramètres!O30),3)="Fin",1-$H1974,IF(LEFT(TRIM(Paramètres!O30),1)="F",1,0)))))))</f>
        <v/>
      </c>
      <c r="F1974" s="19">
        <f>IF($A1974="","",E1974+$H1974-1)</f>
        <v/>
      </c>
      <c r="G1974" s="18" t="n"/>
      <c r="H1974" s="18">
        <f>IF($A1974="","",IF(I1974&lt;&gt;"",I1974,Paramètres!B30))</f>
        <v/>
      </c>
      <c r="I1974" s="18" t="n"/>
    </row>
    <row r="1975">
      <c r="A1975" s="18">
        <f>IF(ISNUMBER(Dossiers!$D$40),Dossiers!$A$40&amp;" · "&amp;Dossiers!$B$40,"")</f>
        <v/>
      </c>
      <c r="B1975" s="18">
        <f>IF($A1975="","",Paramètres!G31)</f>
        <v/>
      </c>
      <c r="C1975" s="20">
        <f>IF($A1975="","",IF(Dossiers!$F$40="","",Dossiers!$F$40))</f>
        <v/>
      </c>
      <c r="D1975" s="18">
        <f>IF($A1975="","",IF(Paramètres!I31="","",Paramètres!I31))</f>
        <v/>
      </c>
      <c r="E1975" s="19">
        <f>IF($A1975="","",IF(Paramètres!J31&amp;Paramètres!L31&amp;Paramètres!N31="",Dossiers!$D$40,MAX(IF(Paramètres!J31="",0,IF(Paramètres!K31="",NA(),IF(LEFT(TRIM(Paramètres!K31),1)="F",INDEX($F$1949:$F$2001,MATCH(Paramètres!J31,Paramètres!$G$5:$G$57,0)),INDEX($E$1949:$E$2001,MATCH(Paramètres!J31,Paramètres!$G$5:$G$57,0)))+IF(RIGHT(TRIM(Paramètres!K31),3)="Fin",1-$H1975,IF(LEFT(TRIM(Paramètres!K31),1)="F",1,0)))),IF(Paramètres!L31="",0,IF(Paramètres!M31="",NA(),IF(LEFT(TRIM(Paramètres!M31),1)="F",INDEX($F$1949:$F$2001,MATCH(Paramètres!L31,Paramètres!$G$5:$G$57,0)),INDEX($E$1949:$E$2001,MATCH(Paramètres!L31,Paramètres!$G$5:$G$57,0)))+IF(RIGHT(TRIM(Paramètres!M31),3)="Fin",1-$H1975,IF(LEFT(TRIM(Paramètres!M31),1)="F",1,0)))),IF(Paramètres!N31="",0,IF(Paramètres!O31="",NA(),IF(LEFT(TRIM(Paramètres!O31),1)="F",INDEX($F$1949:$F$2001,MATCH(Paramètres!N31,Paramètres!$G$5:$G$57,0)),INDEX($E$1949:$E$2001,MATCH(Paramètres!N31,Paramètres!$G$5:$G$57,0)))+IF(RIGHT(TRIM(Paramètres!O31),3)="Fin",1-$H1975,IF(LEFT(TRIM(Paramètres!O31),1)="F",1,0)))))))</f>
        <v/>
      </c>
      <c r="F1975" s="19">
        <f>IF($A1975="","",E1975+$H1975-1)</f>
        <v/>
      </c>
      <c r="G1975" s="18" t="n"/>
      <c r="H1975" s="18">
        <f>IF($A1975="","",IF(I1975&lt;&gt;"",I1975,Paramètres!B31))</f>
        <v/>
      </c>
      <c r="I1975" s="18" t="n"/>
    </row>
    <row r="1976">
      <c r="A1976" s="18">
        <f>IF(ISNUMBER(Dossiers!$D$40),Dossiers!$A$40&amp;" · "&amp;Dossiers!$B$40,"")</f>
        <v/>
      </c>
      <c r="B1976" s="18">
        <f>IF($A1976="","",Paramètres!G32)</f>
        <v/>
      </c>
      <c r="C1976" s="18">
        <f>IF($A1976="","",IF(Paramètres!H32="","",Paramètres!H32))</f>
        <v/>
      </c>
      <c r="D1976" s="18">
        <f>IF($A1976="","",IF(Paramètres!I32="","",Paramètres!I32))</f>
        <v/>
      </c>
      <c r="E1976" s="19">
        <f>IF($A1976="","",MIN(E1977:E1980))</f>
        <v/>
      </c>
      <c r="F1976" s="19">
        <f>IF($A1976="","",MAX(F1977:F1980))</f>
        <v/>
      </c>
      <c r="G1976" s="18" t="n"/>
      <c r="H1976" s="18">
        <f>IF($A1976="","",F1976-E1976+1)</f>
        <v/>
      </c>
      <c r="I1976" s="18" t="n"/>
    </row>
    <row r="1977">
      <c r="A1977" s="18">
        <f>IF(ISNUMBER(Dossiers!$D$40),Dossiers!$A$40&amp;" · "&amp;Dossiers!$B$40,"")</f>
        <v/>
      </c>
      <c r="B1977" s="18">
        <f>IF($A1977="","",Paramètres!G33)</f>
        <v/>
      </c>
      <c r="C1977" s="18">
        <f>IF($A1977="","",IF(Paramètres!H33="","",Paramètres!H33))</f>
        <v/>
      </c>
      <c r="D1977" s="18">
        <f>IF($A1977="","",IF(Paramètres!I33="","",Paramètres!I33))</f>
        <v/>
      </c>
      <c r="E1977" s="19">
        <f>IF($A1977="","",IF(Paramètres!J33&amp;Paramètres!L33&amp;Paramètres!N33="",Dossiers!$D$40,MAX(IF(Paramètres!J33="",0,IF(Paramètres!K33="",NA(),IF(LEFT(TRIM(Paramètres!K33),1)="F",INDEX($F$1949:$F$2001,MATCH(Paramètres!J33,Paramètres!$G$5:$G$57,0)),INDEX($E$1949:$E$2001,MATCH(Paramètres!J33,Paramètres!$G$5:$G$57,0)))+IF(RIGHT(TRIM(Paramètres!K33),3)="Fin",1-$H1977,IF(LEFT(TRIM(Paramètres!K33),1)="F",1,0)))),IF(Paramètres!L33="",0,IF(Paramètres!M33="",NA(),IF(LEFT(TRIM(Paramètres!M33),1)="F",INDEX($F$1949:$F$2001,MATCH(Paramètres!L33,Paramètres!$G$5:$G$57,0)),INDEX($E$1949:$E$2001,MATCH(Paramètres!L33,Paramètres!$G$5:$G$57,0)))+IF(RIGHT(TRIM(Paramètres!M33),3)="Fin",1-$H1977,IF(LEFT(TRIM(Paramètres!M33),1)="F",1,0)))),IF(Paramètres!N33="",0,IF(Paramètres!O33="",NA(),IF(LEFT(TRIM(Paramètres!O33),1)="F",INDEX($F$1949:$F$2001,MATCH(Paramètres!N33,Paramètres!$G$5:$G$57,0)),INDEX($E$1949:$E$2001,MATCH(Paramètres!N33,Paramètres!$G$5:$G$57,0)))+IF(RIGHT(TRIM(Paramètres!O33),3)="Fin",1-$H1977,IF(LEFT(TRIM(Paramètres!O33),1)="F",1,0)))))))</f>
        <v/>
      </c>
      <c r="F1977" s="19">
        <f>IF($A1977="","",E1977+$H1977-1)</f>
        <v/>
      </c>
      <c r="G1977" s="18" t="n"/>
      <c r="H1977" s="18">
        <f>IF($A1977="","",IF(I1977&lt;&gt;"",I1977,Paramètres!B33))</f>
        <v/>
      </c>
      <c r="I1977" s="18" t="n"/>
    </row>
    <row r="1978">
      <c r="A1978" s="18">
        <f>IF(ISNUMBER(Dossiers!$D$40),Dossiers!$A$40&amp;" · "&amp;Dossiers!$B$40,"")</f>
        <v/>
      </c>
      <c r="B1978" s="18">
        <f>IF($A1978="","",Paramètres!G34)</f>
        <v/>
      </c>
      <c r="C1978" s="18">
        <f>IF($A1978="","",IF(Paramètres!H34="","",Paramètres!H34))</f>
        <v/>
      </c>
      <c r="D1978" s="18">
        <f>IF($A1978="","",IF(Paramètres!I34="","",Paramètres!I34))</f>
        <v/>
      </c>
      <c r="E1978" s="19">
        <f>IF($A1978="","",IF(Paramètres!J34&amp;Paramètres!L34&amp;Paramètres!N34="",Dossiers!$D$40,MAX(IF(Paramètres!J34="",0,IF(Paramètres!K34="",NA(),IF(LEFT(TRIM(Paramètres!K34),1)="F",INDEX($F$1949:$F$2001,MATCH(Paramètres!J34,Paramètres!$G$5:$G$57,0)),INDEX($E$1949:$E$2001,MATCH(Paramètres!J34,Paramètres!$G$5:$G$57,0)))+IF(RIGHT(TRIM(Paramètres!K34),3)="Fin",1-$H1978,IF(LEFT(TRIM(Paramètres!K34),1)="F",1,0)))),IF(Paramètres!L34="",0,IF(Paramètres!M34="",NA(),IF(LEFT(TRIM(Paramètres!M34),1)="F",INDEX($F$1949:$F$2001,MATCH(Paramètres!L34,Paramètres!$G$5:$G$57,0)),INDEX($E$1949:$E$2001,MATCH(Paramètres!L34,Paramètres!$G$5:$G$57,0)))+IF(RIGHT(TRIM(Paramètres!M34),3)="Fin",1-$H1978,IF(LEFT(TRIM(Paramètres!M34),1)="F",1,0)))),IF(Paramètres!N34="",0,IF(Paramètres!O34="",NA(),IF(LEFT(TRIM(Paramètres!O34),1)="F",INDEX($F$1949:$F$2001,MATCH(Paramètres!N34,Paramètres!$G$5:$G$57,0)),INDEX($E$1949:$E$2001,MATCH(Paramètres!N34,Paramètres!$G$5:$G$57,0)))+IF(RIGHT(TRIM(Paramètres!O34),3)="Fin",1-$H1978,IF(LEFT(TRIM(Paramètres!O34),1)="F",1,0)))))))</f>
        <v/>
      </c>
      <c r="F1978" s="19">
        <f>IF($A1978="","",E1978+$H1978-1)</f>
        <v/>
      </c>
      <c r="G1978" s="18" t="n"/>
      <c r="H1978" s="18">
        <f>IF($A1978="","",IF(I1978&lt;&gt;"",I1978,Paramètres!B34))</f>
        <v/>
      </c>
      <c r="I1978" s="18" t="n"/>
    </row>
    <row r="1979">
      <c r="A1979" s="18">
        <f>IF(ISNUMBER(Dossiers!$D$40),Dossiers!$A$40&amp;" · "&amp;Dossiers!$B$40,"")</f>
        <v/>
      </c>
      <c r="B1979" s="18">
        <f>IF($A1979="","",Paramètres!G35)</f>
        <v/>
      </c>
      <c r="C1979" s="18">
        <f>IF($A1979="","",IF(Paramètres!H35="","",Paramètres!H35))</f>
        <v/>
      </c>
      <c r="D1979" s="18">
        <f>IF($A1979="","",IF(Paramètres!I35="","",Paramètres!I35))</f>
        <v/>
      </c>
      <c r="E1979" s="19">
        <f>IF($A1979="","",IF(Paramètres!J35&amp;Paramètres!L35&amp;Paramètres!N35="",Dossiers!$D$40,MAX(IF(Paramètres!J35="",0,IF(Paramètres!K35="",NA(),IF(LEFT(TRIM(Paramètres!K35),1)="F",INDEX($F$1949:$F$2001,MATCH(Paramètres!J35,Paramètres!$G$5:$G$57,0)),INDEX($E$1949:$E$2001,MATCH(Paramètres!J35,Paramètres!$G$5:$G$57,0)))+IF(RIGHT(TRIM(Paramètres!K35),3)="Fin",1-$H1979,IF(LEFT(TRIM(Paramètres!K35),1)="F",1,0)))),IF(Paramètres!L35="",0,IF(Paramètres!M35="",NA(),IF(LEFT(TRIM(Paramètres!M35),1)="F",INDEX($F$1949:$F$2001,MATCH(Paramètres!L35,Paramètres!$G$5:$G$57,0)),INDEX($E$1949:$E$2001,MATCH(Paramètres!L35,Paramètres!$G$5:$G$57,0)))+IF(RIGHT(TRIM(Paramètres!M35),3)="Fin",1-$H1979,IF(LEFT(TRIM(Paramètres!M35),1)="F",1,0)))),IF(Paramètres!N35="",0,IF(Paramètres!O35="",NA(),IF(LEFT(TRIM(Paramètres!O35),1)="F",INDEX($F$1949:$F$2001,MATCH(Paramètres!N35,Paramètres!$G$5:$G$57,0)),INDEX($E$1949:$E$2001,MATCH(Paramètres!N35,Paramètres!$G$5:$G$57,0)))+IF(RIGHT(TRIM(Paramètres!O35),3)="Fin",1-$H1979,IF(LEFT(TRIM(Paramètres!O35),1)="F",1,0)))))))</f>
        <v/>
      </c>
      <c r="F1979" s="19">
        <f>IF($A1979="","",E1979+$H1979-1)</f>
        <v/>
      </c>
      <c r="G1979" s="18" t="n"/>
      <c r="H1979" s="18">
        <f>IF($A1979="","",IF(I1979&lt;&gt;"",I1979,Paramètres!B35))</f>
        <v/>
      </c>
      <c r="I1979" s="18" t="n"/>
    </row>
    <row r="1980">
      <c r="A1980" s="18">
        <f>IF(ISNUMBER(Dossiers!$D$40),Dossiers!$A$40&amp;" · "&amp;Dossiers!$B$40,"")</f>
        <v/>
      </c>
      <c r="B1980" s="18">
        <f>IF($A1980="","",Paramètres!G36)</f>
        <v/>
      </c>
      <c r="C1980" s="18">
        <f>IF($A1980="","",IF(Paramètres!H36="","",Paramètres!H36))</f>
        <v/>
      </c>
      <c r="D1980" s="18">
        <f>IF($A1980="","",IF(Paramètres!I36="","",Paramètres!I36))</f>
        <v/>
      </c>
      <c r="E1980" s="19">
        <f>IF($A1980="","",IF(Paramètres!J36&amp;Paramètres!L36&amp;Paramètres!N36="",Dossiers!$D$40,MAX(IF(Paramètres!J36="",0,IF(Paramètres!K36="",NA(),IF(LEFT(TRIM(Paramètres!K36),1)="F",INDEX($F$1949:$F$2001,MATCH(Paramètres!J36,Paramètres!$G$5:$G$57,0)),INDEX($E$1949:$E$2001,MATCH(Paramètres!J36,Paramètres!$G$5:$G$57,0)))+IF(RIGHT(TRIM(Paramètres!K36),3)="Fin",1-$H1980,IF(LEFT(TRIM(Paramètres!K36),1)="F",1,0)))),IF(Paramètres!L36="",0,IF(Paramètres!M36="",NA(),IF(LEFT(TRIM(Paramètres!M36),1)="F",INDEX($F$1949:$F$2001,MATCH(Paramètres!L36,Paramètres!$G$5:$G$57,0)),INDEX($E$1949:$E$2001,MATCH(Paramètres!L36,Paramètres!$G$5:$G$57,0)))+IF(RIGHT(TRIM(Paramètres!M36),3)="Fin",1-$H1980,IF(LEFT(TRIM(Paramètres!M36),1)="F",1,0)))),IF(Paramètres!N36="",0,IF(Paramètres!O36="",NA(),IF(LEFT(TRIM(Paramètres!O36),1)="F",INDEX($F$1949:$F$2001,MATCH(Paramètres!N36,Paramètres!$G$5:$G$57,0)),INDEX($E$1949:$E$2001,MATCH(Paramètres!N36,Paramètres!$G$5:$G$57,0)))+IF(RIGHT(TRIM(Paramètres!O36),3)="Fin",1-$H1980,IF(LEFT(TRIM(Paramètres!O36),1)="F",1,0)))))))</f>
        <v/>
      </c>
      <c r="F1980" s="19">
        <f>IF($A1980="","",E1980+$H1980-1)</f>
        <v/>
      </c>
      <c r="G1980" s="18" t="n"/>
      <c r="H1980" s="18">
        <f>IF($A1980="","",IF(I1980&lt;&gt;"",I1980,Paramètres!B36))</f>
        <v/>
      </c>
      <c r="I1980" s="18" t="n"/>
    </row>
    <row r="1981">
      <c r="A1981" s="18">
        <f>IF(ISNUMBER(Dossiers!$D$40),Dossiers!$A$40&amp;" · "&amp;Dossiers!$B$40,"")</f>
        <v/>
      </c>
      <c r="B1981" s="18">
        <f>IF($A1981="","",Paramètres!G37)</f>
        <v/>
      </c>
      <c r="C1981" s="18">
        <f>IF($A1981="","",IF(Paramètres!H37="","",Paramètres!H37))</f>
        <v/>
      </c>
      <c r="D1981" s="18">
        <f>IF($A1981="","",IF(Paramètres!I37="","",Paramètres!I37))</f>
        <v/>
      </c>
      <c r="E1981" s="19">
        <f>IF($A1981="","",MIN(E1982:E1999))</f>
        <v/>
      </c>
      <c r="F1981" s="19">
        <f>IF($A1981="","",MAX(F1982:F1999))</f>
        <v/>
      </c>
      <c r="G1981" s="18" t="n"/>
      <c r="H1981" s="18">
        <f>IF($A1981="","",F1981-E1981+1)</f>
        <v/>
      </c>
      <c r="I1981" s="18" t="n"/>
    </row>
    <row r="1982">
      <c r="A1982" s="18">
        <f>IF(ISNUMBER(Dossiers!$D$40),Dossiers!$A$40&amp;" · "&amp;Dossiers!$B$40,"")</f>
        <v/>
      </c>
      <c r="B1982" s="18">
        <f>IF($A1982="","",Paramètres!G38)</f>
        <v/>
      </c>
      <c r="C1982" s="18">
        <f>IF($A1982="","",IF(Paramètres!H38="","",Paramètres!H38))</f>
        <v/>
      </c>
      <c r="D1982" s="18">
        <f>IF($A1982="","",IF(Paramètres!I38="","",Paramètres!I38))</f>
        <v/>
      </c>
      <c r="E1982" s="19">
        <f>IF($A1982="","",IF(Paramètres!J38&amp;Paramètres!L38&amp;Paramètres!N38="",Dossiers!$D$40,MAX(IF(Paramètres!J38="",0,IF(Paramètres!K38="",NA(),IF(LEFT(TRIM(Paramètres!K38),1)="F",INDEX($F$1949:$F$2001,MATCH(Paramètres!J38,Paramètres!$G$5:$G$57,0)),INDEX($E$1949:$E$2001,MATCH(Paramètres!J38,Paramètres!$G$5:$G$57,0)))+IF(RIGHT(TRIM(Paramètres!K38),3)="Fin",1-$H1982,IF(LEFT(TRIM(Paramètres!K38),1)="F",1,0)))),IF(Paramètres!L38="",0,IF(Paramètres!M38="",NA(),IF(LEFT(TRIM(Paramètres!M38),1)="F",INDEX($F$1949:$F$2001,MATCH(Paramètres!L38,Paramètres!$G$5:$G$57,0)),INDEX($E$1949:$E$2001,MATCH(Paramètres!L38,Paramètres!$G$5:$G$57,0)))+IF(RIGHT(TRIM(Paramètres!M38),3)="Fin",1-$H1982,IF(LEFT(TRIM(Paramètres!M38),1)="F",1,0)))),IF(Paramètres!N38="",0,IF(Paramètres!O38="",NA(),IF(LEFT(TRIM(Paramètres!O38),1)="F",INDEX($F$1949:$F$2001,MATCH(Paramètres!N38,Paramètres!$G$5:$G$57,0)),INDEX($E$1949:$E$2001,MATCH(Paramètres!N38,Paramètres!$G$5:$G$57,0)))+IF(RIGHT(TRIM(Paramètres!O38),3)="Fin",1-$H1982,IF(LEFT(TRIM(Paramètres!O38),1)="F",1,0)))))))</f>
        <v/>
      </c>
      <c r="F1982" s="19">
        <f>IF($A1982="","",E1982+$H1982-1)</f>
        <v/>
      </c>
      <c r="G1982" s="18" t="n"/>
      <c r="H1982" s="18">
        <f>IF($A1982="","",IF(I1982&lt;&gt;"",I1982,Paramètres!B38))</f>
        <v/>
      </c>
      <c r="I1982" s="18" t="n"/>
    </row>
    <row r="1983">
      <c r="A1983" s="18">
        <f>IF(ISNUMBER(Dossiers!$D$40),Dossiers!$A$40&amp;" · "&amp;Dossiers!$B$40,"")</f>
        <v/>
      </c>
      <c r="B1983" s="18">
        <f>IF($A1983="","",Paramètres!G39)</f>
        <v/>
      </c>
      <c r="C1983" s="18">
        <f>IF($A1983="","",IF(Paramètres!H39="","",Paramètres!H39))</f>
        <v/>
      </c>
      <c r="D1983" s="18">
        <f>IF($A1983="","",IF(Paramètres!I39="","",Paramètres!I39))</f>
        <v/>
      </c>
      <c r="E1983" s="19">
        <f>IF($A1983="","",IF(Paramètres!J39&amp;Paramètres!L39&amp;Paramètres!N39="",Dossiers!$D$40,MAX(IF(Paramètres!J39="",0,IF(Paramètres!K39="",NA(),IF(LEFT(TRIM(Paramètres!K39),1)="F",INDEX($F$1949:$F$2001,MATCH(Paramètres!J39,Paramètres!$G$5:$G$57,0)),INDEX($E$1949:$E$2001,MATCH(Paramètres!J39,Paramètres!$G$5:$G$57,0)))+IF(RIGHT(TRIM(Paramètres!K39),3)="Fin",1-$H1983,IF(LEFT(TRIM(Paramètres!K39),1)="F",1,0)))),IF(Paramètres!L39="",0,IF(Paramètres!M39="",NA(),IF(LEFT(TRIM(Paramètres!M39),1)="F",INDEX($F$1949:$F$2001,MATCH(Paramètres!L39,Paramètres!$G$5:$G$57,0)),INDEX($E$1949:$E$2001,MATCH(Paramètres!L39,Paramètres!$G$5:$G$57,0)))+IF(RIGHT(TRIM(Paramètres!M39),3)="Fin",1-$H1983,IF(LEFT(TRIM(Paramètres!M39),1)="F",1,0)))),IF(Paramètres!N39="",0,IF(Paramètres!O39="",NA(),IF(LEFT(TRIM(Paramètres!O39),1)="F",INDEX($F$1949:$F$2001,MATCH(Paramètres!N39,Paramètres!$G$5:$G$57,0)),INDEX($E$1949:$E$2001,MATCH(Paramètres!N39,Paramètres!$G$5:$G$57,0)))+IF(RIGHT(TRIM(Paramètres!O39),3)="Fin",1-$H1983,IF(LEFT(TRIM(Paramètres!O39),1)="F",1,0)))))))</f>
        <v/>
      </c>
      <c r="F1983" s="19">
        <f>IF($A1983="","",E1983+$H1983-1)</f>
        <v/>
      </c>
      <c r="G1983" s="18" t="n"/>
      <c r="H1983" s="18">
        <f>IF($A1983="","",IF(I1983&lt;&gt;"",I1983,Paramètres!B39))</f>
        <v/>
      </c>
      <c r="I1983" s="18" t="n"/>
    </row>
    <row r="1984">
      <c r="A1984" s="18">
        <f>IF(ISNUMBER(Dossiers!$D$40),Dossiers!$A$40&amp;" · "&amp;Dossiers!$B$40,"")</f>
        <v/>
      </c>
      <c r="B1984" s="18">
        <f>IF($A1984="","",Paramètres!G40)</f>
        <v/>
      </c>
      <c r="C1984" s="18">
        <f>IF($A1984="","",IF(Paramètres!H40="","",Paramètres!H40))</f>
        <v/>
      </c>
      <c r="D1984" s="18">
        <f>IF($A1984="","",IF(Paramètres!I40="","",Paramètres!I40))</f>
        <v/>
      </c>
      <c r="E1984" s="19">
        <f>IF($A1984="","",IF(Paramètres!J40&amp;Paramètres!L40&amp;Paramètres!N40="",Dossiers!$D$40,MAX(IF(Paramètres!J40="",0,IF(Paramètres!K40="",NA(),IF(LEFT(TRIM(Paramètres!K40),1)="F",INDEX($F$1949:$F$2001,MATCH(Paramètres!J40,Paramètres!$G$5:$G$57,0)),INDEX($E$1949:$E$2001,MATCH(Paramètres!J40,Paramètres!$G$5:$G$57,0)))+IF(RIGHT(TRIM(Paramètres!K40),3)="Fin",1-$H1984,IF(LEFT(TRIM(Paramètres!K40),1)="F",1,0)))),IF(Paramètres!L40="",0,IF(Paramètres!M40="",NA(),IF(LEFT(TRIM(Paramètres!M40),1)="F",INDEX($F$1949:$F$2001,MATCH(Paramètres!L40,Paramètres!$G$5:$G$57,0)),INDEX($E$1949:$E$2001,MATCH(Paramètres!L40,Paramètres!$G$5:$G$57,0)))+IF(RIGHT(TRIM(Paramètres!M40),3)="Fin",1-$H1984,IF(LEFT(TRIM(Paramètres!M40),1)="F",1,0)))),IF(Paramètres!N40="",0,IF(Paramètres!O40="",NA(),IF(LEFT(TRIM(Paramètres!O40),1)="F",INDEX($F$1949:$F$2001,MATCH(Paramètres!N40,Paramètres!$G$5:$G$57,0)),INDEX($E$1949:$E$2001,MATCH(Paramètres!N40,Paramètres!$G$5:$G$57,0)))+IF(RIGHT(TRIM(Paramètres!O40),3)="Fin",1-$H1984,IF(LEFT(TRIM(Paramètres!O40),1)="F",1,0)))))))</f>
        <v/>
      </c>
      <c r="F1984" s="19">
        <f>IF($A1984="","",E1984+$H1984-1)</f>
        <v/>
      </c>
      <c r="G1984" s="18" t="n"/>
      <c r="H1984" s="18">
        <f>IF($A1984="","",IF(I1984&lt;&gt;"",I1984,Paramètres!B40))</f>
        <v/>
      </c>
      <c r="I1984" s="18" t="n"/>
    </row>
    <row r="1985">
      <c r="A1985" s="18">
        <f>IF(ISNUMBER(Dossiers!$D$40),Dossiers!$A$40&amp;" · "&amp;Dossiers!$B$40,"")</f>
        <v/>
      </c>
      <c r="B1985" s="18">
        <f>IF($A1985="","",Paramètres!G41)</f>
        <v/>
      </c>
      <c r="C1985" s="18">
        <f>IF($A1985="","",IF(Paramètres!H41="","",Paramètres!H41))</f>
        <v/>
      </c>
      <c r="D1985" s="18">
        <f>IF($A1985="","",IF(Paramètres!I41="","",Paramètres!I41))</f>
        <v/>
      </c>
      <c r="E1985" s="19">
        <f>IF($A1985="","",IF(Paramètres!J41&amp;Paramètres!L41&amp;Paramètres!N41="",Dossiers!$D$40,MAX(IF(Paramètres!J41="",0,IF(Paramètres!K41="",NA(),IF(LEFT(TRIM(Paramètres!K41),1)="F",INDEX($F$1949:$F$2001,MATCH(Paramètres!J41,Paramètres!$G$5:$G$57,0)),INDEX($E$1949:$E$2001,MATCH(Paramètres!J41,Paramètres!$G$5:$G$57,0)))+IF(RIGHT(TRIM(Paramètres!K41),3)="Fin",1-$H1985,IF(LEFT(TRIM(Paramètres!K41),1)="F",1,0)))),IF(Paramètres!L41="",0,IF(Paramètres!M41="",NA(),IF(LEFT(TRIM(Paramètres!M41),1)="F",INDEX($F$1949:$F$2001,MATCH(Paramètres!L41,Paramètres!$G$5:$G$57,0)),INDEX($E$1949:$E$2001,MATCH(Paramètres!L41,Paramètres!$G$5:$G$57,0)))+IF(RIGHT(TRIM(Paramètres!M41),3)="Fin",1-$H1985,IF(LEFT(TRIM(Paramètres!M41),1)="F",1,0)))),IF(Paramètres!N41="",0,IF(Paramètres!O41="",NA(),IF(LEFT(TRIM(Paramètres!O41),1)="F",INDEX($F$1949:$F$2001,MATCH(Paramètres!N41,Paramètres!$G$5:$G$57,0)),INDEX($E$1949:$E$2001,MATCH(Paramètres!N41,Paramètres!$G$5:$G$57,0)))+IF(RIGHT(TRIM(Paramètres!O41),3)="Fin",1-$H1985,IF(LEFT(TRIM(Paramètres!O41),1)="F",1,0)))))))</f>
        <v/>
      </c>
      <c r="F1985" s="19">
        <f>IF($A1985="","",E1985+$H1985-1)</f>
        <v/>
      </c>
      <c r="G1985" s="18" t="n"/>
      <c r="H1985" s="18">
        <f>IF($A1985="","",IF(I1985&lt;&gt;"",I1985,Paramètres!B41))</f>
        <v/>
      </c>
      <c r="I1985" s="18" t="n"/>
    </row>
    <row r="1986">
      <c r="A1986" s="18">
        <f>IF(ISNUMBER(Dossiers!$D$40),Dossiers!$A$40&amp;" · "&amp;Dossiers!$B$40,"")</f>
        <v/>
      </c>
      <c r="B1986" s="18">
        <f>IF($A1986="","",Paramètres!G42)</f>
        <v/>
      </c>
      <c r="C1986" s="18">
        <f>IF($A1986="","",IF(Paramètres!H42="","",Paramètres!H42))</f>
        <v/>
      </c>
      <c r="D1986" s="18">
        <f>IF($A1986="","",IF(Paramètres!I42="","",Paramètres!I42))</f>
        <v/>
      </c>
      <c r="E1986" s="19">
        <f>IF($A1986="","",IF(Paramètres!J42&amp;Paramètres!L42&amp;Paramètres!N42="",Dossiers!$D$40,MAX(IF(Paramètres!J42="",0,IF(Paramètres!K42="",NA(),IF(LEFT(TRIM(Paramètres!K42),1)="F",INDEX($F$1949:$F$2001,MATCH(Paramètres!J42,Paramètres!$G$5:$G$57,0)),INDEX($E$1949:$E$2001,MATCH(Paramètres!J42,Paramètres!$G$5:$G$57,0)))+IF(RIGHT(TRIM(Paramètres!K42),3)="Fin",1-$H1986,IF(LEFT(TRIM(Paramètres!K42),1)="F",1,0)))),IF(Paramètres!L42="",0,IF(Paramètres!M42="",NA(),IF(LEFT(TRIM(Paramètres!M42),1)="F",INDEX($F$1949:$F$2001,MATCH(Paramètres!L42,Paramètres!$G$5:$G$57,0)),INDEX($E$1949:$E$2001,MATCH(Paramètres!L42,Paramètres!$G$5:$G$57,0)))+IF(RIGHT(TRIM(Paramètres!M42),3)="Fin",1-$H1986,IF(LEFT(TRIM(Paramètres!M42),1)="F",1,0)))),IF(Paramètres!N42="",0,IF(Paramètres!O42="",NA(),IF(LEFT(TRIM(Paramètres!O42),1)="F",INDEX($F$1949:$F$2001,MATCH(Paramètres!N42,Paramètres!$G$5:$G$57,0)),INDEX($E$1949:$E$2001,MATCH(Paramètres!N42,Paramètres!$G$5:$G$57,0)))+IF(RIGHT(TRIM(Paramètres!O42),3)="Fin",1-$H1986,IF(LEFT(TRIM(Paramètres!O42),1)="F",1,0)))))))</f>
        <v/>
      </c>
      <c r="F1986" s="19">
        <f>IF($A1986="","",E1986+$H1986-1)</f>
        <v/>
      </c>
      <c r="G1986" s="18" t="n"/>
      <c r="H1986" s="18">
        <f>IF($A1986="","",IF(I1986&lt;&gt;"",I1986,Paramètres!B42))</f>
        <v/>
      </c>
      <c r="I1986" s="18" t="n"/>
    </row>
    <row r="1987">
      <c r="A1987" s="18">
        <f>IF(ISNUMBER(Dossiers!$D$40),Dossiers!$A$40&amp;" · "&amp;Dossiers!$B$40,"")</f>
        <v/>
      </c>
      <c r="B1987" s="18">
        <f>IF($A1987="","",Paramètres!G43)</f>
        <v/>
      </c>
      <c r="C1987" s="18">
        <f>IF($A1987="","",IF(Paramètres!H43="","",Paramètres!H43))</f>
        <v/>
      </c>
      <c r="D1987" s="18">
        <f>IF($A1987="","",IF(Paramètres!I43="","",Paramètres!I43))</f>
        <v/>
      </c>
      <c r="E1987" s="19">
        <f>IF($A1987="","",IF(Paramètres!J43&amp;Paramètres!L43&amp;Paramètres!N43="",Dossiers!$D$40,MAX(IF(Paramètres!J43="",0,IF(Paramètres!K43="",NA(),IF(LEFT(TRIM(Paramètres!K43),1)="F",INDEX($F$1949:$F$2001,MATCH(Paramètres!J43,Paramètres!$G$5:$G$57,0)),INDEX($E$1949:$E$2001,MATCH(Paramètres!J43,Paramètres!$G$5:$G$57,0)))+IF(RIGHT(TRIM(Paramètres!K43),3)="Fin",1-$H1987,IF(LEFT(TRIM(Paramètres!K43),1)="F",1,0)))),IF(Paramètres!L43="",0,IF(Paramètres!M43="",NA(),IF(LEFT(TRIM(Paramètres!M43),1)="F",INDEX($F$1949:$F$2001,MATCH(Paramètres!L43,Paramètres!$G$5:$G$57,0)),INDEX($E$1949:$E$2001,MATCH(Paramètres!L43,Paramètres!$G$5:$G$57,0)))+IF(RIGHT(TRIM(Paramètres!M43),3)="Fin",1-$H1987,IF(LEFT(TRIM(Paramètres!M43),1)="F",1,0)))),IF(Paramètres!N43="",0,IF(Paramètres!O43="",NA(),IF(LEFT(TRIM(Paramètres!O43),1)="F",INDEX($F$1949:$F$2001,MATCH(Paramètres!N43,Paramètres!$G$5:$G$57,0)),INDEX($E$1949:$E$2001,MATCH(Paramètres!N43,Paramètres!$G$5:$G$57,0)))+IF(RIGHT(TRIM(Paramètres!O43),3)="Fin",1-$H1987,IF(LEFT(TRIM(Paramètres!O43),1)="F",1,0)))))))</f>
        <v/>
      </c>
      <c r="F1987" s="19">
        <f>IF($A1987="","",E1987+$H1987-1)</f>
        <v/>
      </c>
      <c r="G1987" s="18" t="n"/>
      <c r="H1987" s="18">
        <f>IF($A1987="","",IF(I1987&lt;&gt;"",I1987,Paramètres!B43))</f>
        <v/>
      </c>
      <c r="I1987" s="18" t="n"/>
    </row>
    <row r="1988">
      <c r="A1988" s="18">
        <f>IF(ISNUMBER(Dossiers!$D$40),Dossiers!$A$40&amp;" · "&amp;Dossiers!$B$40,"")</f>
        <v/>
      </c>
      <c r="B1988" s="18">
        <f>IF($A1988="","",Paramètres!G44)</f>
        <v/>
      </c>
      <c r="C1988" s="18">
        <f>IF($A1988="","",IF(Paramètres!H44="","",Paramètres!H44))</f>
        <v/>
      </c>
      <c r="D1988" s="18">
        <f>IF($A1988="","",IF(Paramètres!I44="","",Paramètres!I44))</f>
        <v/>
      </c>
      <c r="E1988" s="19">
        <f>IF($A1988="","",IF(Paramètres!J44&amp;Paramètres!L44&amp;Paramètres!N44="",Dossiers!$D$40,MAX(IF(Paramètres!J44="",0,IF(Paramètres!K44="",NA(),IF(LEFT(TRIM(Paramètres!K44),1)="F",INDEX($F$1949:$F$2001,MATCH(Paramètres!J44,Paramètres!$G$5:$G$57,0)),INDEX($E$1949:$E$2001,MATCH(Paramètres!J44,Paramètres!$G$5:$G$57,0)))+IF(RIGHT(TRIM(Paramètres!K44),3)="Fin",1-$H1988,IF(LEFT(TRIM(Paramètres!K44),1)="F",1,0)))),IF(Paramètres!L44="",0,IF(Paramètres!M44="",NA(),IF(LEFT(TRIM(Paramètres!M44),1)="F",INDEX($F$1949:$F$2001,MATCH(Paramètres!L44,Paramètres!$G$5:$G$57,0)),INDEX($E$1949:$E$2001,MATCH(Paramètres!L44,Paramètres!$G$5:$G$57,0)))+IF(RIGHT(TRIM(Paramètres!M44),3)="Fin",1-$H1988,IF(LEFT(TRIM(Paramètres!M44),1)="F",1,0)))),IF(Paramètres!N44="",0,IF(Paramètres!O44="",NA(),IF(LEFT(TRIM(Paramètres!O44),1)="F",INDEX($F$1949:$F$2001,MATCH(Paramètres!N44,Paramètres!$G$5:$G$57,0)),INDEX($E$1949:$E$2001,MATCH(Paramètres!N44,Paramètres!$G$5:$G$57,0)))+IF(RIGHT(TRIM(Paramètres!O44),3)="Fin",1-$H1988,IF(LEFT(TRIM(Paramètres!O44),1)="F",1,0)))))))</f>
        <v/>
      </c>
      <c r="F1988" s="19">
        <f>IF($A1988="","",E1988+$H1988-1)</f>
        <v/>
      </c>
      <c r="G1988" s="18" t="n"/>
      <c r="H1988" s="18">
        <f>IF($A1988="","",IF(I1988&lt;&gt;"",I1988,Paramètres!B44))</f>
        <v/>
      </c>
      <c r="I1988" s="18" t="n"/>
    </row>
    <row r="1989">
      <c r="A1989" s="18">
        <f>IF(ISNUMBER(Dossiers!$D$40),Dossiers!$A$40&amp;" · "&amp;Dossiers!$B$40,"")</f>
        <v/>
      </c>
      <c r="B1989" s="18">
        <f>IF($A1989="","",Paramètres!G45)</f>
        <v/>
      </c>
      <c r="C1989" s="20">
        <f>IF($A1989="","",IF(Dossiers!$G$40="","",Dossiers!$G$40))</f>
        <v/>
      </c>
      <c r="D1989" s="18">
        <f>IF($A1989="","",IF(Paramètres!I45="","",Paramètres!I45))</f>
        <v/>
      </c>
      <c r="E1989" s="19">
        <f>IF($A1989="","",IF(Paramètres!J45&amp;Paramètres!L45&amp;Paramètres!N45="",Dossiers!$D$40,MAX(IF(Paramètres!J45="",0,IF(Paramètres!K45="",NA(),IF(LEFT(TRIM(Paramètres!K45),1)="F",INDEX($F$1949:$F$2001,MATCH(Paramètres!J45,Paramètres!$G$5:$G$57,0)),INDEX($E$1949:$E$2001,MATCH(Paramètres!J45,Paramètres!$G$5:$G$57,0)))+IF(RIGHT(TRIM(Paramètres!K45),3)="Fin",1-$H1989,IF(LEFT(TRIM(Paramètres!K45),1)="F",1,0)))),IF(Paramètres!L45="",0,IF(Paramètres!M45="",NA(),IF(LEFT(TRIM(Paramètres!M45),1)="F",INDEX($F$1949:$F$2001,MATCH(Paramètres!L45,Paramètres!$G$5:$G$57,0)),INDEX($E$1949:$E$2001,MATCH(Paramètres!L45,Paramètres!$G$5:$G$57,0)))+IF(RIGHT(TRIM(Paramètres!M45),3)="Fin",1-$H1989,IF(LEFT(TRIM(Paramètres!M45),1)="F",1,0)))),IF(Paramètres!N45="",0,IF(Paramètres!O45="",NA(),IF(LEFT(TRIM(Paramètres!O45),1)="F",INDEX($F$1949:$F$2001,MATCH(Paramètres!N45,Paramètres!$G$5:$G$57,0)),INDEX($E$1949:$E$2001,MATCH(Paramètres!N45,Paramètres!$G$5:$G$57,0)))+IF(RIGHT(TRIM(Paramètres!O45),3)="Fin",1-$H1989,IF(LEFT(TRIM(Paramètres!O45),1)="F",1,0)))))))</f>
        <v/>
      </c>
      <c r="F1989" s="19">
        <f>IF($A1989="","",E1989+$H1989-1)</f>
        <v/>
      </c>
      <c r="G1989" s="18" t="n"/>
      <c r="H1989" s="18">
        <f>IF($A1989="","",IF(I1989&lt;&gt;"",I1989,Paramètres!B45))</f>
        <v/>
      </c>
      <c r="I1989" s="18" t="n"/>
    </row>
    <row r="1990">
      <c r="A1990" s="18">
        <f>IF(ISNUMBER(Dossiers!$D$40),Dossiers!$A$40&amp;" · "&amp;Dossiers!$B$40,"")</f>
        <v/>
      </c>
      <c r="B1990" s="18">
        <f>IF($A1990="","",Paramètres!G46)</f>
        <v/>
      </c>
      <c r="C1990" s="18">
        <f>IF($A1990="","",IF(Paramètres!H46="","",Paramètres!H46))</f>
        <v/>
      </c>
      <c r="D1990" s="18">
        <f>IF($A1990="","",IF(Paramètres!I46="","",Paramètres!I46))</f>
        <v/>
      </c>
      <c r="E1990" s="19">
        <f>IF($A1990="","",IF(Paramètres!J46&amp;Paramètres!L46&amp;Paramètres!N46="",Dossiers!$D$40,MAX(IF(Paramètres!J46="",0,IF(Paramètres!K46="",NA(),IF(LEFT(TRIM(Paramètres!K46),1)="F",INDEX($F$1949:$F$2001,MATCH(Paramètres!J46,Paramètres!$G$5:$G$57,0)),INDEX($E$1949:$E$2001,MATCH(Paramètres!J46,Paramètres!$G$5:$G$57,0)))+IF(RIGHT(TRIM(Paramètres!K46),3)="Fin",1-$H1990,IF(LEFT(TRIM(Paramètres!K46),1)="F",1,0)))),IF(Paramètres!L46="",0,IF(Paramètres!M46="",NA(),IF(LEFT(TRIM(Paramètres!M46),1)="F",INDEX($F$1949:$F$2001,MATCH(Paramètres!L46,Paramètres!$G$5:$G$57,0)),INDEX($E$1949:$E$2001,MATCH(Paramètres!L46,Paramètres!$G$5:$G$57,0)))+IF(RIGHT(TRIM(Paramètres!M46),3)="Fin",1-$H1990,IF(LEFT(TRIM(Paramètres!M46),1)="F",1,0)))),IF(Paramètres!N46="",0,IF(Paramètres!O46="",NA(),IF(LEFT(TRIM(Paramètres!O46),1)="F",INDEX($F$1949:$F$2001,MATCH(Paramètres!N46,Paramètres!$G$5:$G$57,0)),INDEX($E$1949:$E$2001,MATCH(Paramètres!N46,Paramètres!$G$5:$G$57,0)))+IF(RIGHT(TRIM(Paramètres!O46),3)="Fin",1-$H1990,IF(LEFT(TRIM(Paramètres!O46),1)="F",1,0)))))))</f>
        <v/>
      </c>
      <c r="F1990" s="19">
        <f>IF($A1990="","",E1990+$H1990-1)</f>
        <v/>
      </c>
      <c r="G1990" s="18" t="n"/>
      <c r="H1990" s="18">
        <f>IF($A1990="","",IF(I1990&lt;&gt;"",I1990,Paramètres!B46))</f>
        <v/>
      </c>
      <c r="I1990" s="18" t="n"/>
    </row>
    <row r="1991">
      <c r="A1991" s="18">
        <f>IF(ISNUMBER(Dossiers!$D$40),Dossiers!$A$40&amp;" · "&amp;Dossiers!$B$40,"")</f>
        <v/>
      </c>
      <c r="B1991" s="18">
        <f>IF($A1991="","",Paramètres!G47)</f>
        <v/>
      </c>
      <c r="C1991" s="18">
        <f>IF($A1991="","",IF(Paramètres!H47="","",Paramètres!H47))</f>
        <v/>
      </c>
      <c r="D1991" s="18">
        <f>IF($A1991="","",IF(Paramètres!I47="","",Paramètres!I47))</f>
        <v/>
      </c>
      <c r="E1991" s="19">
        <f>IF($A1991="","",IF(Paramètres!J47&amp;Paramètres!L47&amp;Paramètres!N47="",Dossiers!$D$40,MAX(IF(Paramètres!J47="",0,IF(Paramètres!K47="",NA(),IF(LEFT(TRIM(Paramètres!K47),1)="F",INDEX($F$1949:$F$2001,MATCH(Paramètres!J47,Paramètres!$G$5:$G$57,0)),INDEX($E$1949:$E$2001,MATCH(Paramètres!J47,Paramètres!$G$5:$G$57,0)))+IF(RIGHT(TRIM(Paramètres!K47),3)="Fin",1-$H1991,IF(LEFT(TRIM(Paramètres!K47),1)="F",1,0)))),IF(Paramètres!L47="",0,IF(Paramètres!M47="",NA(),IF(LEFT(TRIM(Paramètres!M47),1)="F",INDEX($F$1949:$F$2001,MATCH(Paramètres!L47,Paramètres!$G$5:$G$57,0)),INDEX($E$1949:$E$2001,MATCH(Paramètres!L47,Paramètres!$G$5:$G$57,0)))+IF(RIGHT(TRIM(Paramètres!M47),3)="Fin",1-$H1991,IF(LEFT(TRIM(Paramètres!M47),1)="F",1,0)))),IF(Paramètres!N47="",0,IF(Paramètres!O47="",NA(),IF(LEFT(TRIM(Paramètres!O47),1)="F",INDEX($F$1949:$F$2001,MATCH(Paramètres!N47,Paramètres!$G$5:$G$57,0)),INDEX($E$1949:$E$2001,MATCH(Paramètres!N47,Paramètres!$G$5:$G$57,0)))+IF(RIGHT(TRIM(Paramètres!O47),3)="Fin",1-$H1991,IF(LEFT(TRIM(Paramètres!O47),1)="F",1,0)))))))</f>
        <v/>
      </c>
      <c r="F1991" s="19">
        <f>IF($A1991="","",E1991+$H1991-1)</f>
        <v/>
      </c>
      <c r="G1991" s="18" t="n"/>
      <c r="H1991" s="18">
        <f>IF($A1991="","",IF(I1991&lt;&gt;"",I1991,Paramètres!B47))</f>
        <v/>
      </c>
      <c r="I1991" s="18" t="n"/>
    </row>
    <row r="1992">
      <c r="A1992" s="18">
        <f>IF(ISNUMBER(Dossiers!$D$40),Dossiers!$A$40&amp;" · "&amp;Dossiers!$B$40,"")</f>
        <v/>
      </c>
      <c r="B1992" s="18">
        <f>IF($A1992="","",Paramètres!G48)</f>
        <v/>
      </c>
      <c r="C1992" s="18">
        <f>IF($A1992="","",IF(Paramètres!H48="","",Paramètres!H48))</f>
        <v/>
      </c>
      <c r="D1992" s="18">
        <f>IF($A1992="","",IF(Paramètres!I48="","",Paramètres!I48))</f>
        <v/>
      </c>
      <c r="E1992" s="19">
        <f>IF($A1992="","",IF(Paramètres!J48&amp;Paramètres!L48&amp;Paramètres!N48="",Dossiers!$D$40,MAX(IF(Paramètres!J48="",0,IF(Paramètres!K48="",NA(),IF(LEFT(TRIM(Paramètres!K48),1)="F",INDEX($F$1949:$F$2001,MATCH(Paramètres!J48,Paramètres!$G$5:$G$57,0)),INDEX($E$1949:$E$2001,MATCH(Paramètres!J48,Paramètres!$G$5:$G$57,0)))+IF(RIGHT(TRIM(Paramètres!K48),3)="Fin",1-$H1992,IF(LEFT(TRIM(Paramètres!K48),1)="F",1,0)))),IF(Paramètres!L48="",0,IF(Paramètres!M48="",NA(),IF(LEFT(TRIM(Paramètres!M48),1)="F",INDEX($F$1949:$F$2001,MATCH(Paramètres!L48,Paramètres!$G$5:$G$57,0)),INDEX($E$1949:$E$2001,MATCH(Paramètres!L48,Paramètres!$G$5:$G$57,0)))+IF(RIGHT(TRIM(Paramètres!M48),3)="Fin",1-$H1992,IF(LEFT(TRIM(Paramètres!M48),1)="F",1,0)))),IF(Paramètres!N48="",0,IF(Paramètres!O48="",NA(),IF(LEFT(TRIM(Paramètres!O48),1)="F",INDEX($F$1949:$F$2001,MATCH(Paramètres!N48,Paramètres!$G$5:$G$57,0)),INDEX($E$1949:$E$2001,MATCH(Paramètres!N48,Paramètres!$G$5:$G$57,0)))+IF(RIGHT(TRIM(Paramètres!O48),3)="Fin",1-$H1992,IF(LEFT(TRIM(Paramètres!O48),1)="F",1,0)))))))</f>
        <v/>
      </c>
      <c r="F1992" s="19">
        <f>IF($A1992="","",E1992+$H1992-1)</f>
        <v/>
      </c>
      <c r="G1992" s="18" t="n"/>
      <c r="H1992" s="18">
        <f>IF($A1992="","",IF(I1992&lt;&gt;"",I1992,Paramètres!B48))</f>
        <v/>
      </c>
      <c r="I1992" s="18" t="n"/>
    </row>
    <row r="1993">
      <c r="A1993" s="18">
        <f>IF(ISNUMBER(Dossiers!$D$40),Dossiers!$A$40&amp;" · "&amp;Dossiers!$B$40,"")</f>
        <v/>
      </c>
      <c r="B1993" s="18">
        <f>IF($A1993="","",Paramètres!G49)</f>
        <v/>
      </c>
      <c r="C1993" s="18">
        <f>IF($A1993="","",IF(Paramètres!H49="","",Paramètres!H49))</f>
        <v/>
      </c>
      <c r="D1993" s="18">
        <f>IF($A1993="","",IF(Paramètres!I49="","",Paramètres!I49))</f>
        <v/>
      </c>
      <c r="E1993" s="19">
        <f>IF($A1993="","",IF(Paramètres!J49&amp;Paramètres!L49&amp;Paramètres!N49="",Dossiers!$D$40,MAX(IF(Paramètres!J49="",0,IF(Paramètres!K49="",NA(),IF(LEFT(TRIM(Paramètres!K49),1)="F",INDEX($F$1949:$F$2001,MATCH(Paramètres!J49,Paramètres!$G$5:$G$57,0)),INDEX($E$1949:$E$2001,MATCH(Paramètres!J49,Paramètres!$G$5:$G$57,0)))+IF(RIGHT(TRIM(Paramètres!K49),3)="Fin",1-$H1993,IF(LEFT(TRIM(Paramètres!K49),1)="F",1,0)))),IF(Paramètres!L49="",0,IF(Paramètres!M49="",NA(),IF(LEFT(TRIM(Paramètres!M49),1)="F",INDEX($F$1949:$F$2001,MATCH(Paramètres!L49,Paramètres!$G$5:$G$57,0)),INDEX($E$1949:$E$2001,MATCH(Paramètres!L49,Paramètres!$G$5:$G$57,0)))+IF(RIGHT(TRIM(Paramètres!M49),3)="Fin",1-$H1993,IF(LEFT(TRIM(Paramètres!M49),1)="F",1,0)))),IF(Paramètres!N49="",0,IF(Paramètres!O49="",NA(),IF(LEFT(TRIM(Paramètres!O49),1)="F",INDEX($F$1949:$F$2001,MATCH(Paramètres!N49,Paramètres!$G$5:$G$57,0)),INDEX($E$1949:$E$2001,MATCH(Paramètres!N49,Paramètres!$G$5:$G$57,0)))+IF(RIGHT(TRIM(Paramètres!O49),3)="Fin",1-$H1993,IF(LEFT(TRIM(Paramètres!O49),1)="F",1,0)))))))</f>
        <v/>
      </c>
      <c r="F1993" s="19">
        <f>IF($A1993="","",E1993+$H1993-1)</f>
        <v/>
      </c>
      <c r="G1993" s="18" t="n"/>
      <c r="H1993" s="18">
        <f>IF($A1993="","",IF(I1993&lt;&gt;"",I1993,Paramètres!B49))</f>
        <v/>
      </c>
      <c r="I1993" s="18" t="n"/>
    </row>
    <row r="1994">
      <c r="A1994" s="18">
        <f>IF(ISNUMBER(Dossiers!$D$40),Dossiers!$A$40&amp;" · "&amp;Dossiers!$B$40,"")</f>
        <v/>
      </c>
      <c r="B1994" s="18">
        <f>IF($A1994="","",Paramètres!G50)</f>
        <v/>
      </c>
      <c r="C1994" s="18">
        <f>IF($A1994="","",IF(Paramètres!H50="","",Paramètres!H50))</f>
        <v/>
      </c>
      <c r="D1994" s="18">
        <f>IF($A1994="","",IF(Paramètres!I50="","",Paramètres!I50))</f>
        <v/>
      </c>
      <c r="E1994" s="19">
        <f>IF($A1994="","",IF(Paramètres!J50&amp;Paramètres!L50&amp;Paramètres!N50="",Dossiers!$D$40,MAX(IF(Paramètres!J50="",0,IF(Paramètres!K50="",NA(),IF(LEFT(TRIM(Paramètres!K50),1)="F",INDEX($F$1949:$F$2001,MATCH(Paramètres!J50,Paramètres!$G$5:$G$57,0)),INDEX($E$1949:$E$2001,MATCH(Paramètres!J50,Paramètres!$G$5:$G$57,0)))+IF(RIGHT(TRIM(Paramètres!K50),3)="Fin",1-$H1994,IF(LEFT(TRIM(Paramètres!K50),1)="F",1,0)))),IF(Paramètres!L50="",0,IF(Paramètres!M50="",NA(),IF(LEFT(TRIM(Paramètres!M50),1)="F",INDEX($F$1949:$F$2001,MATCH(Paramètres!L50,Paramètres!$G$5:$G$57,0)),INDEX($E$1949:$E$2001,MATCH(Paramètres!L50,Paramètres!$G$5:$G$57,0)))+IF(RIGHT(TRIM(Paramètres!M50),3)="Fin",1-$H1994,IF(LEFT(TRIM(Paramètres!M50),1)="F",1,0)))),IF(Paramètres!N50="",0,IF(Paramètres!O50="",NA(),IF(LEFT(TRIM(Paramètres!O50),1)="F",INDEX($F$1949:$F$2001,MATCH(Paramètres!N50,Paramètres!$G$5:$G$57,0)),INDEX($E$1949:$E$2001,MATCH(Paramètres!N50,Paramètres!$G$5:$G$57,0)))+IF(RIGHT(TRIM(Paramètres!O50),3)="Fin",1-$H1994,IF(LEFT(TRIM(Paramètres!O50),1)="F",1,0)))))))</f>
        <v/>
      </c>
      <c r="F1994" s="19">
        <f>IF($A1994="","",E1994+$H1994-1)</f>
        <v/>
      </c>
      <c r="G1994" s="18" t="n"/>
      <c r="H1994" s="18">
        <f>IF($A1994="","",IF(I1994&lt;&gt;"",I1994,Paramètres!B50))</f>
        <v/>
      </c>
      <c r="I1994" s="18" t="n"/>
    </row>
    <row r="1995">
      <c r="A1995" s="18">
        <f>IF(ISNUMBER(Dossiers!$D$40),Dossiers!$A$40&amp;" · "&amp;Dossiers!$B$40,"")</f>
        <v/>
      </c>
      <c r="B1995" s="18">
        <f>IF($A1995="","",Paramètres!G51)</f>
        <v/>
      </c>
      <c r="C1995" s="18">
        <f>IF($A1995="","",IF(Paramètres!H51="","",Paramètres!H51))</f>
        <v/>
      </c>
      <c r="D1995" s="18">
        <f>IF($A1995="","",IF(Paramètres!I51="","",Paramètres!I51))</f>
        <v/>
      </c>
      <c r="E1995" s="19">
        <f>IF($A1995="","",IF(Paramètres!J51&amp;Paramètres!L51&amp;Paramètres!N51="",Dossiers!$D$40,MAX(IF(Paramètres!J51="",0,IF(Paramètres!K51="",NA(),IF(LEFT(TRIM(Paramètres!K51),1)="F",INDEX($F$1949:$F$2001,MATCH(Paramètres!J51,Paramètres!$G$5:$G$57,0)),INDEX($E$1949:$E$2001,MATCH(Paramètres!J51,Paramètres!$G$5:$G$57,0)))+IF(RIGHT(TRIM(Paramètres!K51),3)="Fin",1-$H1995,IF(LEFT(TRIM(Paramètres!K51),1)="F",1,0)))),IF(Paramètres!L51="",0,IF(Paramètres!M51="",NA(),IF(LEFT(TRIM(Paramètres!M51),1)="F",INDEX($F$1949:$F$2001,MATCH(Paramètres!L51,Paramètres!$G$5:$G$57,0)),INDEX($E$1949:$E$2001,MATCH(Paramètres!L51,Paramètres!$G$5:$G$57,0)))+IF(RIGHT(TRIM(Paramètres!M51),3)="Fin",1-$H1995,IF(LEFT(TRIM(Paramètres!M51),1)="F",1,0)))),IF(Paramètres!N51="",0,IF(Paramètres!O51="",NA(),IF(LEFT(TRIM(Paramètres!O51),1)="F",INDEX($F$1949:$F$2001,MATCH(Paramètres!N51,Paramètres!$G$5:$G$57,0)),INDEX($E$1949:$E$2001,MATCH(Paramètres!N51,Paramètres!$G$5:$G$57,0)))+IF(RIGHT(TRIM(Paramètres!O51),3)="Fin",1-$H1995,IF(LEFT(TRIM(Paramètres!O51),1)="F",1,0)))))))</f>
        <v/>
      </c>
      <c r="F1995" s="19">
        <f>IF($A1995="","",E1995+$H1995-1)</f>
        <v/>
      </c>
      <c r="G1995" s="18" t="n"/>
      <c r="H1995" s="18">
        <f>IF($A1995="","",IF(I1995&lt;&gt;"",I1995,Paramètres!B51))</f>
        <v/>
      </c>
      <c r="I1995" s="18" t="n"/>
    </row>
    <row r="1996">
      <c r="A1996" s="18">
        <f>IF(ISNUMBER(Dossiers!$D$40),Dossiers!$A$40&amp;" · "&amp;Dossiers!$B$40,"")</f>
        <v/>
      </c>
      <c r="B1996" s="18">
        <f>IF($A1996="","",Paramètres!G52)</f>
        <v/>
      </c>
      <c r="C1996" s="18">
        <f>IF($A1996="","",IF(Paramètres!H52="","",Paramètres!H52))</f>
        <v/>
      </c>
      <c r="D1996" s="18">
        <f>IF($A1996="","",IF(Paramètres!I52="","",Paramètres!I52))</f>
        <v/>
      </c>
      <c r="E1996" s="19">
        <f>IF($A1996="","",IF(Paramètres!J52&amp;Paramètres!L52&amp;Paramètres!N52="",Dossiers!$D$40,MAX(IF(Paramètres!J52="",0,IF(Paramètres!K52="",NA(),IF(LEFT(TRIM(Paramètres!K52),1)="F",INDEX($F$1949:$F$2001,MATCH(Paramètres!J52,Paramètres!$G$5:$G$57,0)),INDEX($E$1949:$E$2001,MATCH(Paramètres!J52,Paramètres!$G$5:$G$57,0)))+IF(RIGHT(TRIM(Paramètres!K52),3)="Fin",1-$H1996,IF(LEFT(TRIM(Paramètres!K52),1)="F",1,0)))),IF(Paramètres!L52="",0,IF(Paramètres!M52="",NA(),IF(LEFT(TRIM(Paramètres!M52),1)="F",INDEX($F$1949:$F$2001,MATCH(Paramètres!L52,Paramètres!$G$5:$G$57,0)),INDEX($E$1949:$E$2001,MATCH(Paramètres!L52,Paramètres!$G$5:$G$57,0)))+IF(RIGHT(TRIM(Paramètres!M52),3)="Fin",1-$H1996,IF(LEFT(TRIM(Paramètres!M52),1)="F",1,0)))),IF(Paramètres!N52="",0,IF(Paramètres!O52="",NA(),IF(LEFT(TRIM(Paramètres!O52),1)="F",INDEX($F$1949:$F$2001,MATCH(Paramètres!N52,Paramètres!$G$5:$G$57,0)),INDEX($E$1949:$E$2001,MATCH(Paramètres!N52,Paramètres!$G$5:$G$57,0)))+IF(RIGHT(TRIM(Paramètres!O52),3)="Fin",1-$H1996,IF(LEFT(TRIM(Paramètres!O52),1)="F",1,0)))))))</f>
        <v/>
      </c>
      <c r="F1996" s="19">
        <f>IF($A1996="","",E1996+$H1996-1)</f>
        <v/>
      </c>
      <c r="G1996" s="18" t="n"/>
      <c r="H1996" s="18">
        <f>IF($A1996="","",IF(I1996&lt;&gt;"",I1996,Paramètres!B52))</f>
        <v/>
      </c>
      <c r="I1996" s="18" t="n"/>
    </row>
    <row r="1997">
      <c r="A1997" s="18">
        <f>IF(ISNUMBER(Dossiers!$D$40),Dossiers!$A$40&amp;" · "&amp;Dossiers!$B$40,"")</f>
        <v/>
      </c>
      <c r="B1997" s="18">
        <f>IF($A1997="","",Paramètres!G53)</f>
        <v/>
      </c>
      <c r="C1997" s="18">
        <f>IF($A1997="","",IF(Paramètres!H53="","",Paramètres!H53))</f>
        <v/>
      </c>
      <c r="D1997" s="18">
        <f>IF($A1997="","",IF(Paramètres!I53="","",Paramètres!I53))</f>
        <v/>
      </c>
      <c r="E1997" s="19">
        <f>IF($A1997="","",IF(Paramètres!J53&amp;Paramètres!L53&amp;Paramètres!N53="",Dossiers!$D$40,MAX(IF(Paramètres!J53="",0,IF(Paramètres!K53="",NA(),IF(LEFT(TRIM(Paramètres!K53),1)="F",INDEX($F$1949:$F$2001,MATCH(Paramètres!J53,Paramètres!$G$5:$G$57,0)),INDEX($E$1949:$E$2001,MATCH(Paramètres!J53,Paramètres!$G$5:$G$57,0)))+IF(RIGHT(TRIM(Paramètres!K53),3)="Fin",1-$H1997,IF(LEFT(TRIM(Paramètres!K53),1)="F",1,0)))),IF(Paramètres!L53="",0,IF(Paramètres!M53="",NA(),IF(LEFT(TRIM(Paramètres!M53),1)="F",INDEX($F$1949:$F$2001,MATCH(Paramètres!L53,Paramètres!$G$5:$G$57,0)),INDEX($E$1949:$E$2001,MATCH(Paramètres!L53,Paramètres!$G$5:$G$57,0)))+IF(RIGHT(TRIM(Paramètres!M53),3)="Fin",1-$H1997,IF(LEFT(TRIM(Paramètres!M53),1)="F",1,0)))),IF(Paramètres!N53="",0,IF(Paramètres!O53="",NA(),IF(LEFT(TRIM(Paramètres!O53),1)="F",INDEX($F$1949:$F$2001,MATCH(Paramètres!N53,Paramètres!$G$5:$G$57,0)),INDEX($E$1949:$E$2001,MATCH(Paramètres!N53,Paramètres!$G$5:$G$57,0)))+IF(RIGHT(TRIM(Paramètres!O53),3)="Fin",1-$H1997,IF(LEFT(TRIM(Paramètres!O53),1)="F",1,0)))))))</f>
        <v/>
      </c>
      <c r="F1997" s="19">
        <f>IF($A1997="","",E1997+$H1997-1)</f>
        <v/>
      </c>
      <c r="G1997" s="18" t="n"/>
      <c r="H1997" s="18">
        <f>IF($A1997="","",IF(I1997&lt;&gt;"",I1997,Paramètres!B53))</f>
        <v/>
      </c>
      <c r="I1997" s="18" t="n"/>
    </row>
    <row r="1998">
      <c r="A1998" s="18">
        <f>IF(ISNUMBER(Dossiers!$D$40),Dossiers!$A$40&amp;" · "&amp;Dossiers!$B$40,"")</f>
        <v/>
      </c>
      <c r="B1998" s="18">
        <f>IF($A1998="","",Paramètres!G54)</f>
        <v/>
      </c>
      <c r="C1998" s="18">
        <f>IF($A1998="","",IF(Paramètres!H54="","",Paramètres!H54))</f>
        <v/>
      </c>
      <c r="D1998" s="18">
        <f>IF($A1998="","",IF(Paramètres!I54="","",Paramètres!I54))</f>
        <v/>
      </c>
      <c r="E1998" s="19">
        <f>IF($A1998="","",IF(Paramètres!J54&amp;Paramètres!L54&amp;Paramètres!N54="",Dossiers!$D$40,MAX(IF(Paramètres!J54="",0,IF(Paramètres!K54="",NA(),IF(LEFT(TRIM(Paramètres!K54),1)="F",INDEX($F$1949:$F$2001,MATCH(Paramètres!J54,Paramètres!$G$5:$G$57,0)),INDEX($E$1949:$E$2001,MATCH(Paramètres!J54,Paramètres!$G$5:$G$57,0)))+IF(RIGHT(TRIM(Paramètres!K54),3)="Fin",1-$H1998,IF(LEFT(TRIM(Paramètres!K54),1)="F",1,0)))),IF(Paramètres!L54="",0,IF(Paramètres!M54="",NA(),IF(LEFT(TRIM(Paramètres!M54),1)="F",INDEX($F$1949:$F$2001,MATCH(Paramètres!L54,Paramètres!$G$5:$G$57,0)),INDEX($E$1949:$E$2001,MATCH(Paramètres!L54,Paramètres!$G$5:$G$57,0)))+IF(RIGHT(TRIM(Paramètres!M54),3)="Fin",1-$H1998,IF(LEFT(TRIM(Paramètres!M54),1)="F",1,0)))),IF(Paramètres!N54="",0,IF(Paramètres!O54="",NA(),IF(LEFT(TRIM(Paramètres!O54),1)="F",INDEX($F$1949:$F$2001,MATCH(Paramètres!N54,Paramètres!$G$5:$G$57,0)),INDEX($E$1949:$E$2001,MATCH(Paramètres!N54,Paramètres!$G$5:$G$57,0)))+IF(RIGHT(TRIM(Paramètres!O54),3)="Fin",1-$H1998,IF(LEFT(TRIM(Paramètres!O54),1)="F",1,0)))))))</f>
        <v/>
      </c>
      <c r="F1998" s="19">
        <f>IF($A1998="","",E1998+$H1998-1)</f>
        <v/>
      </c>
      <c r="G1998" s="18" t="n"/>
      <c r="H1998" s="18">
        <f>IF($A1998="","",IF(I1998&lt;&gt;"",I1998,Paramètres!B54))</f>
        <v/>
      </c>
      <c r="I1998" s="18" t="n"/>
    </row>
    <row r="1999">
      <c r="A1999" s="18">
        <f>IF(ISNUMBER(Dossiers!$D$40),Dossiers!$A$40&amp;" · "&amp;Dossiers!$B$40,"")</f>
        <v/>
      </c>
      <c r="B1999" s="18">
        <f>IF($A1999="","",Paramètres!G55)</f>
        <v/>
      </c>
      <c r="C1999" s="18">
        <f>IF($A1999="","",IF(Paramètres!H55="","",Paramètres!H55))</f>
        <v/>
      </c>
      <c r="D1999" s="18">
        <f>IF($A1999="","",IF(Paramètres!I55="","",Paramètres!I55))</f>
        <v/>
      </c>
      <c r="E1999" s="19">
        <f>IF($A1999="","",IF(Paramètres!J55&amp;Paramètres!L55&amp;Paramètres!N55="",Dossiers!$D$40,MAX(IF(Paramètres!J55="",0,IF(Paramètres!K55="",NA(),IF(LEFT(TRIM(Paramètres!K55),1)="F",INDEX($F$1949:$F$2001,MATCH(Paramètres!J55,Paramètres!$G$5:$G$57,0)),INDEX($E$1949:$E$2001,MATCH(Paramètres!J55,Paramètres!$G$5:$G$57,0)))+IF(RIGHT(TRIM(Paramètres!K55),3)="Fin",1-$H1999,IF(LEFT(TRIM(Paramètres!K55),1)="F",1,0)))),IF(Paramètres!L55="",0,IF(Paramètres!M55="",NA(),IF(LEFT(TRIM(Paramètres!M55),1)="F",INDEX($F$1949:$F$2001,MATCH(Paramètres!L55,Paramètres!$G$5:$G$57,0)),INDEX($E$1949:$E$2001,MATCH(Paramètres!L55,Paramètres!$G$5:$G$57,0)))+IF(RIGHT(TRIM(Paramètres!M55),3)="Fin",1-$H1999,IF(LEFT(TRIM(Paramètres!M55),1)="F",1,0)))),IF(Paramètres!N55="",0,IF(Paramètres!O55="",NA(),IF(LEFT(TRIM(Paramètres!O55),1)="F",INDEX($F$1949:$F$2001,MATCH(Paramètres!N55,Paramètres!$G$5:$G$57,0)),INDEX($E$1949:$E$2001,MATCH(Paramètres!N55,Paramètres!$G$5:$G$57,0)))+IF(RIGHT(TRIM(Paramètres!O55),3)="Fin",1-$H1999,IF(LEFT(TRIM(Paramètres!O55),1)="F",1,0)))))))</f>
        <v/>
      </c>
      <c r="F1999" s="19">
        <f>IF($A1999="","",E1999+$H1999-1)</f>
        <v/>
      </c>
      <c r="G1999" s="18" t="n"/>
      <c r="H1999" s="18">
        <f>IF($A1999="","",IF(I1999&lt;&gt;"",I1999,Paramètres!B55))</f>
        <v/>
      </c>
      <c r="I1999" s="18" t="n"/>
    </row>
    <row r="2000">
      <c r="A2000" s="18">
        <f>IF(ISNUMBER(Dossiers!$D$40),Dossiers!$A$40&amp;" · "&amp;Dossiers!$B$40,"")</f>
        <v/>
      </c>
      <c r="B2000" s="18">
        <f>IF($A2000="","",Paramètres!G56)</f>
        <v/>
      </c>
      <c r="C2000" s="18">
        <f>IF($A2000="","",IF(Paramètres!H56="","",Paramètres!H56))</f>
        <v/>
      </c>
      <c r="D2000" s="18">
        <f>IF($A2000="","",IF(Paramètres!I56="","",Paramètres!I56))</f>
        <v/>
      </c>
      <c r="E2000" s="19">
        <f>IF($A2000="","",MIN(E2001:E2001))</f>
        <v/>
      </c>
      <c r="F2000" s="19">
        <f>IF($A2000="","",MAX(F2001:F2001))</f>
        <v/>
      </c>
      <c r="G2000" s="18" t="n"/>
      <c r="H2000" s="18">
        <f>IF($A2000="","",F2000-E2000+1)</f>
        <v/>
      </c>
      <c r="I2000" s="18" t="n"/>
    </row>
    <row r="2001">
      <c r="A2001" s="18">
        <f>IF(ISNUMBER(Dossiers!$D$40),Dossiers!$A$40&amp;" · "&amp;Dossiers!$B$40,"")</f>
        <v/>
      </c>
      <c r="B2001" s="18">
        <f>IF($A2001="","",Paramètres!G57)</f>
        <v/>
      </c>
      <c r="C2001" s="18">
        <f>IF($A2001="","",IF(Paramètres!H57="","",Paramètres!H57))</f>
        <v/>
      </c>
      <c r="D2001" s="18">
        <f>IF($A2001="","",IF(Paramètres!I57="","",Paramètres!I57))</f>
        <v/>
      </c>
      <c r="E2001" s="19">
        <f>IF($A2001="","",IF(Paramètres!J57&amp;Paramètres!L57&amp;Paramètres!N57="",Dossiers!$D$40,MAX(IF(Paramètres!J57="",0,IF(Paramètres!K57="",NA(),IF(LEFT(TRIM(Paramètres!K57),1)="F",INDEX($F$1949:$F$2001,MATCH(Paramètres!J57,Paramètres!$G$5:$G$57,0)),INDEX($E$1949:$E$2001,MATCH(Paramètres!J57,Paramètres!$G$5:$G$57,0)))+IF(RIGHT(TRIM(Paramètres!K57),3)="Fin",1-$H2001,IF(LEFT(TRIM(Paramètres!K57),1)="F",1,0)))),IF(Paramètres!L57="",0,IF(Paramètres!M57="",NA(),IF(LEFT(TRIM(Paramètres!M57),1)="F",INDEX($F$1949:$F$2001,MATCH(Paramètres!L57,Paramètres!$G$5:$G$57,0)),INDEX($E$1949:$E$2001,MATCH(Paramètres!L57,Paramètres!$G$5:$G$57,0)))+IF(RIGHT(TRIM(Paramètres!M57),3)="Fin",1-$H2001,IF(LEFT(TRIM(Paramètres!M57),1)="F",1,0)))),IF(Paramètres!N57="",0,IF(Paramètres!O57="",NA(),IF(LEFT(TRIM(Paramètres!O57),1)="F",INDEX($F$1949:$F$2001,MATCH(Paramètres!N57,Paramètres!$G$5:$G$57,0)),INDEX($E$1949:$E$2001,MATCH(Paramètres!N57,Paramètres!$G$5:$G$57,0)))+IF(RIGHT(TRIM(Paramètres!O57),3)="Fin",1-$H2001,IF(LEFT(TRIM(Paramètres!O57),1)="F",1,0)))))))</f>
        <v/>
      </c>
      <c r="F2001" s="19">
        <f>IF($A2001="","",E2001+$H2001-1)</f>
        <v/>
      </c>
      <c r="G2001" s="18" t="n"/>
      <c r="H2001" s="18">
        <f>IF($A2001="","",IF(I2001&lt;&gt;"",I2001,Paramètres!B57))</f>
        <v/>
      </c>
      <c r="I2001" s="18" t="n"/>
    </row>
    <row r="2002">
      <c r="A2002" s="16">
        <f>IF(ISNUMBER(Dossiers!$D$41),Dossiers!$E$41,"")</f>
        <v/>
      </c>
      <c r="B2002" s="16">
        <f>IF($A2002="","","Identifiant")</f>
        <v/>
      </c>
      <c r="C2002" s="16">
        <f>IF($A2002="","","Macro Etape")</f>
        <v/>
      </c>
      <c r="D2002" s="16">
        <f>IF($A2002="","","Etape")</f>
        <v/>
      </c>
      <c r="E2002" s="17">
        <f>IF($A2002="","","Début le")</f>
        <v/>
      </c>
      <c r="F2002" s="17">
        <f>IF($A2002="","","Fin prévue le")</f>
        <v/>
      </c>
      <c r="G2002" s="16">
        <f>IF($A2002="","","Statut")</f>
        <v/>
      </c>
      <c r="H2002" s="16">
        <f>IF($A2002="","","Durée (jours)")</f>
        <v/>
      </c>
      <c r="I2002" s="16">
        <f>IF($A2002="","","Durée particulière")</f>
        <v/>
      </c>
      <c r="J2002" s="10">
        <f>IF($A2002="","",HYPERLINK("#'Tableau de bord'!A1","↑ Tableau de bord"))</f>
        <v/>
      </c>
    </row>
    <row r="2003">
      <c r="A2003" s="18">
        <f>IF(ISNUMBER(Dossiers!$D$41),Dossiers!$A$41&amp;" · "&amp;Dossiers!$B$41,"")</f>
        <v/>
      </c>
      <c r="B2003" s="18">
        <f>IF($A2003="","",Paramètres!G5)</f>
        <v/>
      </c>
      <c r="C2003" s="18">
        <f>IF($A2003="","",IF(Paramètres!H5="","",Paramètres!H5))</f>
        <v/>
      </c>
      <c r="D2003" s="18">
        <f>IF($A2003="","",IF(Paramètres!I5="","",Paramètres!I5))</f>
        <v/>
      </c>
      <c r="E2003" s="19">
        <f>IF($A2003="","",MIN(E2004:E2007))</f>
        <v/>
      </c>
      <c r="F2003" s="19">
        <f>IF($A2003="","",MAX(F2004:F2007))</f>
        <v/>
      </c>
      <c r="G2003" s="18" t="n"/>
      <c r="H2003" s="18">
        <f>IF($A2003="","",F2003-E2003+1)</f>
        <v/>
      </c>
      <c r="I2003" s="18" t="n"/>
    </row>
    <row r="2004">
      <c r="A2004" s="18">
        <f>IF(ISNUMBER(Dossiers!$D$41),Dossiers!$A$41&amp;" · "&amp;Dossiers!$B$41,"")</f>
        <v/>
      </c>
      <c r="B2004" s="18">
        <f>IF($A2004="","",Paramètres!G6)</f>
        <v/>
      </c>
      <c r="C2004" s="18">
        <f>IF($A2004="","",IF(Paramètres!H6="","",Paramètres!H6))</f>
        <v/>
      </c>
      <c r="D2004" s="18">
        <f>IF($A2004="","",IF(Paramètres!I6="","",Paramètres!I6))</f>
        <v/>
      </c>
      <c r="E2004" s="19">
        <f>IF($A2004="","",IF(Paramètres!J6&amp;Paramètres!L6&amp;Paramètres!N6="",Dossiers!$D$41,MAX(IF(Paramètres!J6="",0,IF(Paramètres!K6="",NA(),IF(LEFT(TRIM(Paramètres!K6),1)="F",INDEX($F$2003:$F$2055,MATCH(Paramètres!J6,Paramètres!$G$5:$G$57,0)),INDEX($E$2003:$E$2055,MATCH(Paramètres!J6,Paramètres!$G$5:$G$57,0)))+IF(RIGHT(TRIM(Paramètres!K6),3)="Fin",1-$H2004,IF(LEFT(TRIM(Paramètres!K6),1)="F",1,0)))),IF(Paramètres!L6="",0,IF(Paramètres!M6="",NA(),IF(LEFT(TRIM(Paramètres!M6),1)="F",INDEX($F$2003:$F$2055,MATCH(Paramètres!L6,Paramètres!$G$5:$G$57,0)),INDEX($E$2003:$E$2055,MATCH(Paramètres!L6,Paramètres!$G$5:$G$57,0)))+IF(RIGHT(TRIM(Paramètres!M6),3)="Fin",1-$H2004,IF(LEFT(TRIM(Paramètres!M6),1)="F",1,0)))),IF(Paramètres!N6="",0,IF(Paramètres!O6="",NA(),IF(LEFT(TRIM(Paramètres!O6),1)="F",INDEX($F$2003:$F$2055,MATCH(Paramètres!N6,Paramètres!$G$5:$G$57,0)),INDEX($E$2003:$E$2055,MATCH(Paramètres!N6,Paramètres!$G$5:$G$57,0)))+IF(RIGHT(TRIM(Paramètres!O6),3)="Fin",1-$H2004,IF(LEFT(TRIM(Paramètres!O6),1)="F",1,0)))))))</f>
        <v/>
      </c>
      <c r="F2004" s="19">
        <f>IF($A2004="","",E2004+$H2004-1)</f>
        <v/>
      </c>
      <c r="G2004" s="18" t="n"/>
      <c r="H2004" s="18">
        <f>IF($A2004="","",IF(I2004&lt;&gt;"",I2004,Paramètres!B6))</f>
        <v/>
      </c>
      <c r="I2004" s="18" t="n"/>
    </row>
    <row r="2005">
      <c r="A2005" s="18">
        <f>IF(ISNUMBER(Dossiers!$D$41),Dossiers!$A$41&amp;" · "&amp;Dossiers!$B$41,"")</f>
        <v/>
      </c>
      <c r="B2005" s="18">
        <f>IF($A2005="","",Paramètres!G7)</f>
        <v/>
      </c>
      <c r="C2005" s="18">
        <f>IF($A2005="","",IF(Paramètres!H7="","",Paramètres!H7))</f>
        <v/>
      </c>
      <c r="D2005" s="18">
        <f>IF($A2005="","",IF(Paramètres!I7="","",Paramètres!I7))</f>
        <v/>
      </c>
      <c r="E2005" s="19">
        <f>IF($A2005="","",IF(Paramètres!J7&amp;Paramètres!L7&amp;Paramètres!N7="",Dossiers!$D$41,MAX(IF(Paramètres!J7="",0,IF(Paramètres!K7="",NA(),IF(LEFT(TRIM(Paramètres!K7),1)="F",INDEX($F$2003:$F$2055,MATCH(Paramètres!J7,Paramètres!$G$5:$G$57,0)),INDEX($E$2003:$E$2055,MATCH(Paramètres!J7,Paramètres!$G$5:$G$57,0)))+IF(RIGHT(TRIM(Paramètres!K7),3)="Fin",1-$H2005,IF(LEFT(TRIM(Paramètres!K7),1)="F",1,0)))),IF(Paramètres!L7="",0,IF(Paramètres!M7="",NA(),IF(LEFT(TRIM(Paramètres!M7),1)="F",INDEX($F$2003:$F$2055,MATCH(Paramètres!L7,Paramètres!$G$5:$G$57,0)),INDEX($E$2003:$E$2055,MATCH(Paramètres!L7,Paramètres!$G$5:$G$57,0)))+IF(RIGHT(TRIM(Paramètres!M7),3)="Fin",1-$H2005,IF(LEFT(TRIM(Paramètres!M7),1)="F",1,0)))),IF(Paramètres!N7="",0,IF(Paramètres!O7="",NA(),IF(LEFT(TRIM(Paramètres!O7),1)="F",INDEX($F$2003:$F$2055,MATCH(Paramètres!N7,Paramètres!$G$5:$G$57,0)),INDEX($E$2003:$E$2055,MATCH(Paramètres!N7,Paramètres!$G$5:$G$57,0)))+IF(RIGHT(TRIM(Paramètres!O7),3)="Fin",1-$H2005,IF(LEFT(TRIM(Paramètres!O7),1)="F",1,0)))))))</f>
        <v/>
      </c>
      <c r="F2005" s="19">
        <f>IF($A2005="","",E2005+$H2005-1)</f>
        <v/>
      </c>
      <c r="G2005" s="18" t="n"/>
      <c r="H2005" s="18">
        <f>IF($A2005="","",IF(I2005&lt;&gt;"",I2005,Paramètres!B7))</f>
        <v/>
      </c>
      <c r="I2005" s="18" t="n"/>
    </row>
    <row r="2006">
      <c r="A2006" s="18">
        <f>IF(ISNUMBER(Dossiers!$D$41),Dossiers!$A$41&amp;" · "&amp;Dossiers!$B$41,"")</f>
        <v/>
      </c>
      <c r="B2006" s="18">
        <f>IF($A2006="","",Paramètres!G8)</f>
        <v/>
      </c>
      <c r="C2006" s="18">
        <f>IF($A2006="","",IF(Paramètres!H8="","",Paramètres!H8))</f>
        <v/>
      </c>
      <c r="D2006" s="18">
        <f>IF($A2006="","",IF(Paramètres!I8="","",Paramètres!I8))</f>
        <v/>
      </c>
      <c r="E2006" s="19">
        <f>IF($A2006="","",IF(Paramètres!J8&amp;Paramètres!L8&amp;Paramètres!N8="",Dossiers!$D$41,MAX(IF(Paramètres!J8="",0,IF(Paramètres!K8="",NA(),IF(LEFT(TRIM(Paramètres!K8),1)="F",INDEX($F$2003:$F$2055,MATCH(Paramètres!J8,Paramètres!$G$5:$G$57,0)),INDEX($E$2003:$E$2055,MATCH(Paramètres!J8,Paramètres!$G$5:$G$57,0)))+IF(RIGHT(TRIM(Paramètres!K8),3)="Fin",1-$H2006,IF(LEFT(TRIM(Paramètres!K8),1)="F",1,0)))),IF(Paramètres!L8="",0,IF(Paramètres!M8="",NA(),IF(LEFT(TRIM(Paramètres!M8),1)="F",INDEX($F$2003:$F$2055,MATCH(Paramètres!L8,Paramètres!$G$5:$G$57,0)),INDEX($E$2003:$E$2055,MATCH(Paramètres!L8,Paramètres!$G$5:$G$57,0)))+IF(RIGHT(TRIM(Paramètres!M8),3)="Fin",1-$H2006,IF(LEFT(TRIM(Paramètres!M8),1)="F",1,0)))),IF(Paramètres!N8="",0,IF(Paramètres!O8="",NA(),IF(LEFT(TRIM(Paramètres!O8),1)="F",INDEX($F$2003:$F$2055,MATCH(Paramètres!N8,Paramètres!$G$5:$G$57,0)),INDEX($E$2003:$E$2055,MATCH(Paramètres!N8,Paramètres!$G$5:$G$57,0)))+IF(RIGHT(TRIM(Paramètres!O8),3)="Fin",1-$H2006,IF(LEFT(TRIM(Paramètres!O8),1)="F",1,0)))))))</f>
        <v/>
      </c>
      <c r="F2006" s="19">
        <f>IF($A2006="","",E2006+$H2006-1)</f>
        <v/>
      </c>
      <c r="G2006" s="18" t="n"/>
      <c r="H2006" s="18">
        <f>IF($A2006="","",IF(I2006&lt;&gt;"",I2006,Paramètres!B8))</f>
        <v/>
      </c>
      <c r="I2006" s="18" t="n"/>
    </row>
    <row r="2007">
      <c r="A2007" s="18">
        <f>IF(ISNUMBER(Dossiers!$D$41),Dossiers!$A$41&amp;" · "&amp;Dossiers!$B$41,"")</f>
        <v/>
      </c>
      <c r="B2007" s="18">
        <f>IF($A2007="","",Paramètres!G9)</f>
        <v/>
      </c>
      <c r="C2007" s="18">
        <f>IF($A2007="","",IF(Paramètres!H9="","",Paramètres!H9))</f>
        <v/>
      </c>
      <c r="D2007" s="18">
        <f>IF($A2007="","",IF(Paramètres!I9="","",Paramètres!I9))</f>
        <v/>
      </c>
      <c r="E2007" s="19">
        <f>IF($A2007="","",IF(Paramètres!J9&amp;Paramètres!L9&amp;Paramètres!N9="",Dossiers!$D$41,MAX(IF(Paramètres!J9="",0,IF(Paramètres!K9="",NA(),IF(LEFT(TRIM(Paramètres!K9),1)="F",INDEX($F$2003:$F$2055,MATCH(Paramètres!J9,Paramètres!$G$5:$G$57,0)),INDEX($E$2003:$E$2055,MATCH(Paramètres!J9,Paramètres!$G$5:$G$57,0)))+IF(RIGHT(TRIM(Paramètres!K9),3)="Fin",1-$H2007,IF(LEFT(TRIM(Paramètres!K9),1)="F",1,0)))),IF(Paramètres!L9="",0,IF(Paramètres!M9="",NA(),IF(LEFT(TRIM(Paramètres!M9),1)="F",INDEX($F$2003:$F$2055,MATCH(Paramètres!L9,Paramètres!$G$5:$G$57,0)),INDEX($E$2003:$E$2055,MATCH(Paramètres!L9,Paramètres!$G$5:$G$57,0)))+IF(RIGHT(TRIM(Paramètres!M9),3)="Fin",1-$H2007,IF(LEFT(TRIM(Paramètres!M9),1)="F",1,0)))),IF(Paramètres!N9="",0,IF(Paramètres!O9="",NA(),IF(LEFT(TRIM(Paramètres!O9),1)="F",INDEX($F$2003:$F$2055,MATCH(Paramètres!N9,Paramètres!$G$5:$G$57,0)),INDEX($E$2003:$E$2055,MATCH(Paramètres!N9,Paramètres!$G$5:$G$57,0)))+IF(RIGHT(TRIM(Paramètres!O9),3)="Fin",1-$H2007,IF(LEFT(TRIM(Paramètres!O9),1)="F",1,0)))))))</f>
        <v/>
      </c>
      <c r="F2007" s="19">
        <f>IF($A2007="","",E2007+$H2007-1)</f>
        <v/>
      </c>
      <c r="G2007" s="18" t="n"/>
      <c r="H2007" s="18">
        <f>IF($A2007="","",IF(I2007&lt;&gt;"",I2007,Paramètres!B9))</f>
        <v/>
      </c>
      <c r="I2007" s="18" t="n"/>
    </row>
    <row r="2008">
      <c r="A2008" s="18">
        <f>IF(ISNUMBER(Dossiers!$D$41),Dossiers!$A$41&amp;" · "&amp;Dossiers!$B$41,"")</f>
        <v/>
      </c>
      <c r="B2008" s="18">
        <f>IF($A2008="","",Paramètres!G10)</f>
        <v/>
      </c>
      <c r="C2008" s="18">
        <f>IF($A2008="","",IF(Paramètres!H10="","",Paramètres!H10))</f>
        <v/>
      </c>
      <c r="D2008" s="18">
        <f>IF($A2008="","",IF(Paramètres!I10="","",Paramètres!I10))</f>
        <v/>
      </c>
      <c r="E2008" s="19">
        <f>IF($A2008="","",MIN(E2009:E2012))</f>
        <v/>
      </c>
      <c r="F2008" s="19">
        <f>IF($A2008="","",MAX(F2009:F2012))</f>
        <v/>
      </c>
      <c r="G2008" s="18" t="n"/>
      <c r="H2008" s="18">
        <f>IF($A2008="","",F2008-E2008+1)</f>
        <v/>
      </c>
      <c r="I2008" s="18" t="n"/>
    </row>
    <row r="2009">
      <c r="A2009" s="18">
        <f>IF(ISNUMBER(Dossiers!$D$41),Dossiers!$A$41&amp;" · "&amp;Dossiers!$B$41,"")</f>
        <v/>
      </c>
      <c r="B2009" s="18">
        <f>IF($A2009="","",Paramètres!G11)</f>
        <v/>
      </c>
      <c r="C2009" s="18">
        <f>IF($A2009="","",IF(Paramètres!H11="","",Paramètres!H11))</f>
        <v/>
      </c>
      <c r="D2009" s="18">
        <f>IF($A2009="","",IF(Paramètres!I11="","",Paramètres!I11))</f>
        <v/>
      </c>
      <c r="E2009" s="19">
        <f>IF($A2009="","",IF(Paramètres!J11&amp;Paramètres!L11&amp;Paramètres!N11="",Dossiers!$D$41,MAX(IF(Paramètres!J11="",0,IF(Paramètres!K11="",NA(),IF(LEFT(TRIM(Paramètres!K11),1)="F",INDEX($F$2003:$F$2055,MATCH(Paramètres!J11,Paramètres!$G$5:$G$57,0)),INDEX($E$2003:$E$2055,MATCH(Paramètres!J11,Paramètres!$G$5:$G$57,0)))+IF(RIGHT(TRIM(Paramètres!K11),3)="Fin",1-$H2009,IF(LEFT(TRIM(Paramètres!K11),1)="F",1,0)))),IF(Paramètres!L11="",0,IF(Paramètres!M11="",NA(),IF(LEFT(TRIM(Paramètres!M11),1)="F",INDEX($F$2003:$F$2055,MATCH(Paramètres!L11,Paramètres!$G$5:$G$57,0)),INDEX($E$2003:$E$2055,MATCH(Paramètres!L11,Paramètres!$G$5:$G$57,0)))+IF(RIGHT(TRIM(Paramètres!M11),3)="Fin",1-$H2009,IF(LEFT(TRIM(Paramètres!M11),1)="F",1,0)))),IF(Paramètres!N11="",0,IF(Paramètres!O11="",NA(),IF(LEFT(TRIM(Paramètres!O11),1)="F",INDEX($F$2003:$F$2055,MATCH(Paramètres!N11,Paramètres!$G$5:$G$57,0)),INDEX($E$2003:$E$2055,MATCH(Paramètres!N11,Paramètres!$G$5:$G$57,0)))+IF(RIGHT(TRIM(Paramètres!O11),3)="Fin",1-$H2009,IF(LEFT(TRIM(Paramètres!O11),1)="F",1,0)))))))</f>
        <v/>
      </c>
      <c r="F2009" s="19">
        <f>IF($A2009="","",E2009+$H2009-1)</f>
        <v/>
      </c>
      <c r="G2009" s="18" t="n"/>
      <c r="H2009" s="18">
        <f>IF($A2009="","",IF(I2009&lt;&gt;"",I2009,Paramètres!B11))</f>
        <v/>
      </c>
      <c r="I2009" s="18" t="n"/>
    </row>
    <row r="2010">
      <c r="A2010" s="18">
        <f>IF(ISNUMBER(Dossiers!$D$41),Dossiers!$A$41&amp;" · "&amp;Dossiers!$B$41,"")</f>
        <v/>
      </c>
      <c r="B2010" s="18">
        <f>IF($A2010="","",Paramètres!G12)</f>
        <v/>
      </c>
      <c r="C2010" s="18">
        <f>IF($A2010="","",IF(Paramètres!H12="","",Paramètres!H12))</f>
        <v/>
      </c>
      <c r="D2010" s="18">
        <f>IF($A2010="","",IF(Paramètres!I12="","",Paramètres!I12))</f>
        <v/>
      </c>
      <c r="E2010" s="19">
        <f>IF($A2010="","",IF(Paramètres!J12&amp;Paramètres!L12&amp;Paramètres!N12="",Dossiers!$D$41,MAX(IF(Paramètres!J12="",0,IF(Paramètres!K12="",NA(),IF(LEFT(TRIM(Paramètres!K12),1)="F",INDEX($F$2003:$F$2055,MATCH(Paramètres!J12,Paramètres!$G$5:$G$57,0)),INDEX($E$2003:$E$2055,MATCH(Paramètres!J12,Paramètres!$G$5:$G$57,0)))+IF(RIGHT(TRIM(Paramètres!K12),3)="Fin",1-$H2010,IF(LEFT(TRIM(Paramètres!K12),1)="F",1,0)))),IF(Paramètres!L12="",0,IF(Paramètres!M12="",NA(),IF(LEFT(TRIM(Paramètres!M12),1)="F",INDEX($F$2003:$F$2055,MATCH(Paramètres!L12,Paramètres!$G$5:$G$57,0)),INDEX($E$2003:$E$2055,MATCH(Paramètres!L12,Paramètres!$G$5:$G$57,0)))+IF(RIGHT(TRIM(Paramètres!M12),3)="Fin",1-$H2010,IF(LEFT(TRIM(Paramètres!M12),1)="F",1,0)))),IF(Paramètres!N12="",0,IF(Paramètres!O12="",NA(),IF(LEFT(TRIM(Paramètres!O12),1)="F",INDEX($F$2003:$F$2055,MATCH(Paramètres!N12,Paramètres!$G$5:$G$57,0)),INDEX($E$2003:$E$2055,MATCH(Paramètres!N12,Paramètres!$G$5:$G$57,0)))+IF(RIGHT(TRIM(Paramètres!O12),3)="Fin",1-$H2010,IF(LEFT(TRIM(Paramètres!O12),1)="F",1,0)))))))</f>
        <v/>
      </c>
      <c r="F2010" s="19">
        <f>IF($A2010="","",E2010+$H2010-1)</f>
        <v/>
      </c>
      <c r="G2010" s="18" t="n"/>
      <c r="H2010" s="18">
        <f>IF($A2010="","",IF(I2010&lt;&gt;"",I2010,Paramètres!B12))</f>
        <v/>
      </c>
      <c r="I2010" s="18" t="n"/>
    </row>
    <row r="2011">
      <c r="A2011" s="18">
        <f>IF(ISNUMBER(Dossiers!$D$41),Dossiers!$A$41&amp;" · "&amp;Dossiers!$B$41,"")</f>
        <v/>
      </c>
      <c r="B2011" s="18">
        <f>IF($A2011="","",Paramètres!G13)</f>
        <v/>
      </c>
      <c r="C2011" s="18">
        <f>IF($A2011="","",IF(Paramètres!H13="","",Paramètres!H13))</f>
        <v/>
      </c>
      <c r="D2011" s="18">
        <f>IF($A2011="","",IF(Paramètres!I13="","",Paramètres!I13))</f>
        <v/>
      </c>
      <c r="E2011" s="19">
        <f>IF($A2011="","",IF(Paramètres!J13&amp;Paramètres!L13&amp;Paramètres!N13="",Dossiers!$D$41,MAX(IF(Paramètres!J13="",0,IF(Paramètres!K13="",NA(),IF(LEFT(TRIM(Paramètres!K13),1)="F",INDEX($F$2003:$F$2055,MATCH(Paramètres!J13,Paramètres!$G$5:$G$57,0)),INDEX($E$2003:$E$2055,MATCH(Paramètres!J13,Paramètres!$G$5:$G$57,0)))+IF(RIGHT(TRIM(Paramètres!K13),3)="Fin",1-$H2011,IF(LEFT(TRIM(Paramètres!K13),1)="F",1,0)))),IF(Paramètres!L13="",0,IF(Paramètres!M13="",NA(),IF(LEFT(TRIM(Paramètres!M13),1)="F",INDEX($F$2003:$F$2055,MATCH(Paramètres!L13,Paramètres!$G$5:$G$57,0)),INDEX($E$2003:$E$2055,MATCH(Paramètres!L13,Paramètres!$G$5:$G$57,0)))+IF(RIGHT(TRIM(Paramètres!M13),3)="Fin",1-$H2011,IF(LEFT(TRIM(Paramètres!M13),1)="F",1,0)))),IF(Paramètres!N13="",0,IF(Paramètres!O13="",NA(),IF(LEFT(TRIM(Paramètres!O13),1)="F",INDEX($F$2003:$F$2055,MATCH(Paramètres!N13,Paramètres!$G$5:$G$57,0)),INDEX($E$2003:$E$2055,MATCH(Paramètres!N13,Paramètres!$G$5:$G$57,0)))+IF(RIGHT(TRIM(Paramètres!O13),3)="Fin",1-$H2011,IF(LEFT(TRIM(Paramètres!O13),1)="F",1,0)))))))</f>
        <v/>
      </c>
      <c r="F2011" s="19">
        <f>IF($A2011="","",E2011+$H2011-1)</f>
        <v/>
      </c>
      <c r="G2011" s="18" t="n"/>
      <c r="H2011" s="18">
        <f>IF($A2011="","",IF(I2011&lt;&gt;"",I2011,Paramètres!B13))</f>
        <v/>
      </c>
      <c r="I2011" s="18" t="n"/>
    </row>
    <row r="2012">
      <c r="A2012" s="18">
        <f>IF(ISNUMBER(Dossiers!$D$41),Dossiers!$A$41&amp;" · "&amp;Dossiers!$B$41,"")</f>
        <v/>
      </c>
      <c r="B2012" s="18">
        <f>IF($A2012="","",Paramètres!G14)</f>
        <v/>
      </c>
      <c r="C2012" s="18">
        <f>IF($A2012="","",IF(Paramètres!H14="","",Paramètres!H14))</f>
        <v/>
      </c>
      <c r="D2012" s="18">
        <f>IF($A2012="","",IF(Paramètres!I14="","",Paramètres!I14))</f>
        <v/>
      </c>
      <c r="E2012" s="19">
        <f>IF($A2012="","",IF(Paramètres!J14&amp;Paramètres!L14&amp;Paramètres!N14="",Dossiers!$D$41,MAX(IF(Paramètres!J14="",0,IF(Paramètres!K14="",NA(),IF(LEFT(TRIM(Paramètres!K14),1)="F",INDEX($F$2003:$F$2055,MATCH(Paramètres!J14,Paramètres!$G$5:$G$57,0)),INDEX($E$2003:$E$2055,MATCH(Paramètres!J14,Paramètres!$G$5:$G$57,0)))+IF(RIGHT(TRIM(Paramètres!K14),3)="Fin",1-$H2012,IF(LEFT(TRIM(Paramètres!K14),1)="F",1,0)))),IF(Paramètres!L14="",0,IF(Paramètres!M14="",NA(),IF(LEFT(TRIM(Paramètres!M14),1)="F",INDEX($F$2003:$F$2055,MATCH(Paramètres!L14,Paramètres!$G$5:$G$57,0)),INDEX($E$2003:$E$2055,MATCH(Paramètres!L14,Paramètres!$G$5:$G$57,0)))+IF(RIGHT(TRIM(Paramètres!M14),3)="Fin",1-$H2012,IF(LEFT(TRIM(Paramètres!M14),1)="F",1,0)))),IF(Paramètres!N14="",0,IF(Paramètres!O14="",NA(),IF(LEFT(TRIM(Paramètres!O14),1)="F",INDEX($F$2003:$F$2055,MATCH(Paramètres!N14,Paramètres!$G$5:$G$57,0)),INDEX($E$2003:$E$2055,MATCH(Paramètres!N14,Paramètres!$G$5:$G$57,0)))+IF(RIGHT(TRIM(Paramètres!O14),3)="Fin",1-$H2012,IF(LEFT(TRIM(Paramètres!O14),1)="F",1,0)))))))</f>
        <v/>
      </c>
      <c r="F2012" s="19">
        <f>IF($A2012="","",E2012+$H2012-1)</f>
        <v/>
      </c>
      <c r="G2012" s="18" t="n"/>
      <c r="H2012" s="18">
        <f>IF($A2012="","",IF(I2012&lt;&gt;"",I2012,Paramètres!B14))</f>
        <v/>
      </c>
      <c r="I2012" s="18" t="n"/>
    </row>
    <row r="2013">
      <c r="A2013" s="18">
        <f>IF(ISNUMBER(Dossiers!$D$41),Dossiers!$A$41&amp;" · "&amp;Dossiers!$B$41,"")</f>
        <v/>
      </c>
      <c r="B2013" s="18">
        <f>IF($A2013="","",Paramètres!G15)</f>
        <v/>
      </c>
      <c r="C2013" s="18">
        <f>IF($A2013="","",IF(Paramètres!H15="","",Paramètres!H15))</f>
        <v/>
      </c>
      <c r="D2013" s="18">
        <f>IF($A2013="","",IF(Paramètres!I15="","",Paramètres!I15))</f>
        <v/>
      </c>
      <c r="E2013" s="19">
        <f>IF($A2013="","",MIN(E2014:E2029))</f>
        <v/>
      </c>
      <c r="F2013" s="19">
        <f>IF($A2013="","",MAX(F2014:F2029))</f>
        <v/>
      </c>
      <c r="G2013" s="18" t="n"/>
      <c r="H2013" s="18">
        <f>IF($A2013="","",F2013-E2013+1)</f>
        <v/>
      </c>
      <c r="I2013" s="18" t="n"/>
    </row>
    <row r="2014">
      <c r="A2014" s="18">
        <f>IF(ISNUMBER(Dossiers!$D$41),Dossiers!$A$41&amp;" · "&amp;Dossiers!$B$41,"")</f>
        <v/>
      </c>
      <c r="B2014" s="18">
        <f>IF($A2014="","",Paramètres!G16)</f>
        <v/>
      </c>
      <c r="C2014" s="18">
        <f>IF($A2014="","",IF(Paramètres!H16="","",Paramètres!H16))</f>
        <v/>
      </c>
      <c r="D2014" s="18">
        <f>IF($A2014="","",IF(Paramètres!I16="","",Paramètres!I16))</f>
        <v/>
      </c>
      <c r="E2014" s="19">
        <f>IF($A2014="","",IF(Paramètres!J16&amp;Paramètres!L16&amp;Paramètres!N16="",Dossiers!$D$41,MAX(IF(Paramètres!J16="",0,IF(Paramètres!K16="",NA(),IF(LEFT(TRIM(Paramètres!K16),1)="F",INDEX($F$2003:$F$2055,MATCH(Paramètres!J16,Paramètres!$G$5:$G$57,0)),INDEX($E$2003:$E$2055,MATCH(Paramètres!J16,Paramètres!$G$5:$G$57,0)))+IF(RIGHT(TRIM(Paramètres!K16),3)="Fin",1-$H2014,IF(LEFT(TRIM(Paramètres!K16),1)="F",1,0)))),IF(Paramètres!L16="",0,IF(Paramètres!M16="",NA(),IF(LEFT(TRIM(Paramètres!M16),1)="F",INDEX($F$2003:$F$2055,MATCH(Paramètres!L16,Paramètres!$G$5:$G$57,0)),INDEX($E$2003:$E$2055,MATCH(Paramètres!L16,Paramètres!$G$5:$G$57,0)))+IF(RIGHT(TRIM(Paramètres!M16),3)="Fin",1-$H2014,IF(LEFT(TRIM(Paramètres!M16),1)="F",1,0)))),IF(Paramètres!N16="",0,IF(Paramètres!O16="",NA(),IF(LEFT(TRIM(Paramètres!O16),1)="F",INDEX($F$2003:$F$2055,MATCH(Paramètres!N16,Paramètres!$G$5:$G$57,0)),INDEX($E$2003:$E$2055,MATCH(Paramètres!N16,Paramètres!$G$5:$G$57,0)))+IF(RIGHT(TRIM(Paramètres!O16),3)="Fin",1-$H2014,IF(LEFT(TRIM(Paramètres!O16),1)="F",1,0)))))))</f>
        <v/>
      </c>
      <c r="F2014" s="19">
        <f>IF($A2014="","",E2014+$H2014-1)</f>
        <v/>
      </c>
      <c r="G2014" s="18" t="n"/>
      <c r="H2014" s="18">
        <f>IF($A2014="","",IF(I2014&lt;&gt;"",I2014,Paramètres!B16))</f>
        <v/>
      </c>
      <c r="I2014" s="18" t="n"/>
    </row>
    <row r="2015">
      <c r="A2015" s="18">
        <f>IF(ISNUMBER(Dossiers!$D$41),Dossiers!$A$41&amp;" · "&amp;Dossiers!$B$41,"")</f>
        <v/>
      </c>
      <c r="B2015" s="18">
        <f>IF($A2015="","",Paramètres!G17)</f>
        <v/>
      </c>
      <c r="C2015" s="18">
        <f>IF($A2015="","",IF(Paramètres!H17="","",Paramètres!H17))</f>
        <v/>
      </c>
      <c r="D2015" s="18">
        <f>IF($A2015="","",IF(Paramètres!I17="","",Paramètres!I17))</f>
        <v/>
      </c>
      <c r="E2015" s="19">
        <f>IF($A2015="","",IF(Paramètres!J17&amp;Paramètres!L17&amp;Paramètres!N17="",Dossiers!$D$41,MAX(IF(Paramètres!J17="",0,IF(Paramètres!K17="",NA(),IF(LEFT(TRIM(Paramètres!K17),1)="F",INDEX($F$2003:$F$2055,MATCH(Paramètres!J17,Paramètres!$G$5:$G$57,0)),INDEX($E$2003:$E$2055,MATCH(Paramètres!J17,Paramètres!$G$5:$G$57,0)))+IF(RIGHT(TRIM(Paramètres!K17),3)="Fin",1-$H2015,IF(LEFT(TRIM(Paramètres!K17),1)="F",1,0)))),IF(Paramètres!L17="",0,IF(Paramètres!M17="",NA(),IF(LEFT(TRIM(Paramètres!M17),1)="F",INDEX($F$2003:$F$2055,MATCH(Paramètres!L17,Paramètres!$G$5:$G$57,0)),INDEX($E$2003:$E$2055,MATCH(Paramètres!L17,Paramètres!$G$5:$G$57,0)))+IF(RIGHT(TRIM(Paramètres!M17),3)="Fin",1-$H2015,IF(LEFT(TRIM(Paramètres!M17),1)="F",1,0)))),IF(Paramètres!N17="",0,IF(Paramètres!O17="",NA(),IF(LEFT(TRIM(Paramètres!O17),1)="F",INDEX($F$2003:$F$2055,MATCH(Paramètres!N17,Paramètres!$G$5:$G$57,0)),INDEX($E$2003:$E$2055,MATCH(Paramètres!N17,Paramètres!$G$5:$G$57,0)))+IF(RIGHT(TRIM(Paramètres!O17),3)="Fin",1-$H2015,IF(LEFT(TRIM(Paramètres!O17),1)="F",1,0)))))))</f>
        <v/>
      </c>
      <c r="F2015" s="19">
        <f>IF($A2015="","",E2015+$H2015-1)</f>
        <v/>
      </c>
      <c r="G2015" s="18" t="n"/>
      <c r="H2015" s="18">
        <f>IF($A2015="","",IF(I2015&lt;&gt;"",I2015,Paramètres!B17))</f>
        <v/>
      </c>
      <c r="I2015" s="18" t="n"/>
    </row>
    <row r="2016">
      <c r="A2016" s="18">
        <f>IF(ISNUMBER(Dossiers!$D$41),Dossiers!$A$41&amp;" · "&amp;Dossiers!$B$41,"")</f>
        <v/>
      </c>
      <c r="B2016" s="18">
        <f>IF($A2016="","",Paramètres!G18)</f>
        <v/>
      </c>
      <c r="C2016" s="18">
        <f>IF($A2016="","",IF(Paramètres!H18="","",Paramètres!H18))</f>
        <v/>
      </c>
      <c r="D2016" s="18">
        <f>IF($A2016="","",IF(Paramètres!I18="","",Paramètres!I18))</f>
        <v/>
      </c>
      <c r="E2016" s="19">
        <f>IF($A2016="","",IF(Paramètres!J18&amp;Paramètres!L18&amp;Paramètres!N18="",Dossiers!$D$41,MAX(IF(Paramètres!J18="",0,IF(Paramètres!K18="",NA(),IF(LEFT(TRIM(Paramètres!K18),1)="F",INDEX($F$2003:$F$2055,MATCH(Paramètres!J18,Paramètres!$G$5:$G$57,0)),INDEX($E$2003:$E$2055,MATCH(Paramètres!J18,Paramètres!$G$5:$G$57,0)))+IF(RIGHT(TRIM(Paramètres!K18),3)="Fin",1-$H2016,IF(LEFT(TRIM(Paramètres!K18),1)="F",1,0)))),IF(Paramètres!L18="",0,IF(Paramètres!M18="",NA(),IF(LEFT(TRIM(Paramètres!M18),1)="F",INDEX($F$2003:$F$2055,MATCH(Paramètres!L18,Paramètres!$G$5:$G$57,0)),INDEX($E$2003:$E$2055,MATCH(Paramètres!L18,Paramètres!$G$5:$G$57,0)))+IF(RIGHT(TRIM(Paramètres!M18),3)="Fin",1-$H2016,IF(LEFT(TRIM(Paramètres!M18),1)="F",1,0)))),IF(Paramètres!N18="",0,IF(Paramètres!O18="",NA(),IF(LEFT(TRIM(Paramètres!O18),1)="F",INDEX($F$2003:$F$2055,MATCH(Paramètres!N18,Paramètres!$G$5:$G$57,0)),INDEX($E$2003:$E$2055,MATCH(Paramètres!N18,Paramètres!$G$5:$G$57,0)))+IF(RIGHT(TRIM(Paramètres!O18),3)="Fin",1-$H2016,IF(LEFT(TRIM(Paramètres!O18),1)="F",1,0)))))))</f>
        <v/>
      </c>
      <c r="F2016" s="19">
        <f>IF($A2016="","",E2016+$H2016-1)</f>
        <v/>
      </c>
      <c r="G2016" s="18" t="n"/>
      <c r="H2016" s="18">
        <f>IF($A2016="","",IF(I2016&lt;&gt;"",I2016,Paramètres!B18))</f>
        <v/>
      </c>
      <c r="I2016" s="18" t="n"/>
    </row>
    <row r="2017">
      <c r="A2017" s="18">
        <f>IF(ISNUMBER(Dossiers!$D$41),Dossiers!$A$41&amp;" · "&amp;Dossiers!$B$41,"")</f>
        <v/>
      </c>
      <c r="B2017" s="18">
        <f>IF($A2017="","",Paramètres!G19)</f>
        <v/>
      </c>
      <c r="C2017" s="18">
        <f>IF($A2017="","",IF(Paramètres!H19="","",Paramètres!H19))</f>
        <v/>
      </c>
      <c r="D2017" s="18">
        <f>IF($A2017="","",IF(Paramètres!I19="","",Paramètres!I19))</f>
        <v/>
      </c>
      <c r="E2017" s="19">
        <f>IF($A2017="","",IF(Paramètres!J19&amp;Paramètres!L19&amp;Paramètres!N19="",Dossiers!$D$41,MAX(IF(Paramètres!J19="",0,IF(Paramètres!K19="",NA(),IF(LEFT(TRIM(Paramètres!K19),1)="F",INDEX($F$2003:$F$2055,MATCH(Paramètres!J19,Paramètres!$G$5:$G$57,0)),INDEX($E$2003:$E$2055,MATCH(Paramètres!J19,Paramètres!$G$5:$G$57,0)))+IF(RIGHT(TRIM(Paramètres!K19),3)="Fin",1-$H2017,IF(LEFT(TRIM(Paramètres!K19),1)="F",1,0)))),IF(Paramètres!L19="",0,IF(Paramètres!M19="",NA(),IF(LEFT(TRIM(Paramètres!M19),1)="F",INDEX($F$2003:$F$2055,MATCH(Paramètres!L19,Paramètres!$G$5:$G$57,0)),INDEX($E$2003:$E$2055,MATCH(Paramètres!L19,Paramètres!$G$5:$G$57,0)))+IF(RIGHT(TRIM(Paramètres!M19),3)="Fin",1-$H2017,IF(LEFT(TRIM(Paramètres!M19),1)="F",1,0)))),IF(Paramètres!N19="",0,IF(Paramètres!O19="",NA(),IF(LEFT(TRIM(Paramètres!O19),1)="F",INDEX($F$2003:$F$2055,MATCH(Paramètres!N19,Paramètres!$G$5:$G$57,0)),INDEX($E$2003:$E$2055,MATCH(Paramètres!N19,Paramètres!$G$5:$G$57,0)))+IF(RIGHT(TRIM(Paramètres!O19),3)="Fin",1-$H2017,IF(LEFT(TRIM(Paramètres!O19),1)="F",1,0)))))))</f>
        <v/>
      </c>
      <c r="F2017" s="19">
        <f>IF($A2017="","",E2017+$H2017-1)</f>
        <v/>
      </c>
      <c r="G2017" s="18" t="n"/>
      <c r="H2017" s="18">
        <f>IF($A2017="","",IF(I2017&lt;&gt;"",I2017,Paramètres!B19))</f>
        <v/>
      </c>
      <c r="I2017" s="18" t="n"/>
    </row>
    <row r="2018">
      <c r="A2018" s="18">
        <f>IF(ISNUMBER(Dossiers!$D$41),Dossiers!$A$41&amp;" · "&amp;Dossiers!$B$41,"")</f>
        <v/>
      </c>
      <c r="B2018" s="18">
        <f>IF($A2018="","",Paramètres!G20)</f>
        <v/>
      </c>
      <c r="C2018" s="18">
        <f>IF($A2018="","",IF(Paramètres!H20="","",Paramètres!H20))</f>
        <v/>
      </c>
      <c r="D2018" s="18">
        <f>IF($A2018="","",IF(Paramètres!I20="","",Paramètres!I20))</f>
        <v/>
      </c>
      <c r="E2018" s="19">
        <f>IF($A2018="","",IF(Paramètres!J20&amp;Paramètres!L20&amp;Paramètres!N20="",Dossiers!$D$41,MAX(IF(Paramètres!J20="",0,IF(Paramètres!K20="",NA(),IF(LEFT(TRIM(Paramètres!K20),1)="F",INDEX($F$2003:$F$2055,MATCH(Paramètres!J20,Paramètres!$G$5:$G$57,0)),INDEX($E$2003:$E$2055,MATCH(Paramètres!J20,Paramètres!$G$5:$G$57,0)))+IF(RIGHT(TRIM(Paramètres!K20),3)="Fin",1-$H2018,IF(LEFT(TRIM(Paramètres!K20),1)="F",1,0)))),IF(Paramètres!L20="",0,IF(Paramètres!M20="",NA(),IF(LEFT(TRIM(Paramètres!M20),1)="F",INDEX($F$2003:$F$2055,MATCH(Paramètres!L20,Paramètres!$G$5:$G$57,0)),INDEX($E$2003:$E$2055,MATCH(Paramètres!L20,Paramètres!$G$5:$G$57,0)))+IF(RIGHT(TRIM(Paramètres!M20),3)="Fin",1-$H2018,IF(LEFT(TRIM(Paramètres!M20),1)="F",1,0)))),IF(Paramètres!N20="",0,IF(Paramètres!O20="",NA(),IF(LEFT(TRIM(Paramètres!O20),1)="F",INDEX($F$2003:$F$2055,MATCH(Paramètres!N20,Paramètres!$G$5:$G$57,0)),INDEX($E$2003:$E$2055,MATCH(Paramètres!N20,Paramètres!$G$5:$G$57,0)))+IF(RIGHT(TRIM(Paramètres!O20),3)="Fin",1-$H2018,IF(LEFT(TRIM(Paramètres!O20),1)="F",1,0)))))))</f>
        <v/>
      </c>
      <c r="F2018" s="19">
        <f>IF($A2018="","",E2018+$H2018-1)</f>
        <v/>
      </c>
      <c r="G2018" s="18" t="n"/>
      <c r="H2018" s="18">
        <f>IF($A2018="","",IF(I2018&lt;&gt;"",I2018,Paramètres!B20))</f>
        <v/>
      </c>
      <c r="I2018" s="18" t="n"/>
    </row>
    <row r="2019">
      <c r="A2019" s="18">
        <f>IF(ISNUMBER(Dossiers!$D$41),Dossiers!$A$41&amp;" · "&amp;Dossiers!$B$41,"")</f>
        <v/>
      </c>
      <c r="B2019" s="18">
        <f>IF($A2019="","",Paramètres!G21)</f>
        <v/>
      </c>
      <c r="C2019" s="18">
        <f>IF($A2019="","",IF(Paramètres!H21="","",Paramètres!H21))</f>
        <v/>
      </c>
      <c r="D2019" s="18">
        <f>IF($A2019="","",IF(Paramètres!I21="","",Paramètres!I21))</f>
        <v/>
      </c>
      <c r="E2019" s="19">
        <f>IF($A2019="","",IF(Paramètres!J21&amp;Paramètres!L21&amp;Paramètres!N21="",Dossiers!$D$41,MAX(IF(Paramètres!J21="",0,IF(Paramètres!K21="",NA(),IF(LEFT(TRIM(Paramètres!K21),1)="F",INDEX($F$2003:$F$2055,MATCH(Paramètres!J21,Paramètres!$G$5:$G$57,0)),INDEX($E$2003:$E$2055,MATCH(Paramètres!J21,Paramètres!$G$5:$G$57,0)))+IF(RIGHT(TRIM(Paramètres!K21),3)="Fin",1-$H2019,IF(LEFT(TRIM(Paramètres!K21),1)="F",1,0)))),IF(Paramètres!L21="",0,IF(Paramètres!M21="",NA(),IF(LEFT(TRIM(Paramètres!M21),1)="F",INDEX($F$2003:$F$2055,MATCH(Paramètres!L21,Paramètres!$G$5:$G$57,0)),INDEX($E$2003:$E$2055,MATCH(Paramètres!L21,Paramètres!$G$5:$G$57,0)))+IF(RIGHT(TRIM(Paramètres!M21),3)="Fin",1-$H2019,IF(LEFT(TRIM(Paramètres!M21),1)="F",1,0)))),IF(Paramètres!N21="",0,IF(Paramètres!O21="",NA(),IF(LEFT(TRIM(Paramètres!O21),1)="F",INDEX($F$2003:$F$2055,MATCH(Paramètres!N21,Paramètres!$G$5:$G$57,0)),INDEX($E$2003:$E$2055,MATCH(Paramètres!N21,Paramètres!$G$5:$G$57,0)))+IF(RIGHT(TRIM(Paramètres!O21),3)="Fin",1-$H2019,IF(LEFT(TRIM(Paramètres!O21),1)="F",1,0)))))))</f>
        <v/>
      </c>
      <c r="F2019" s="19">
        <f>IF($A2019="","",E2019+$H2019-1)</f>
        <v/>
      </c>
      <c r="G2019" s="18" t="n"/>
      <c r="H2019" s="18">
        <f>IF($A2019="","",IF(I2019&lt;&gt;"",I2019,Paramètres!B21))</f>
        <v/>
      </c>
      <c r="I2019" s="18" t="n"/>
    </row>
    <row r="2020">
      <c r="A2020" s="18">
        <f>IF(ISNUMBER(Dossiers!$D$41),Dossiers!$A$41&amp;" · "&amp;Dossiers!$B$41,"")</f>
        <v/>
      </c>
      <c r="B2020" s="18">
        <f>IF($A2020="","",Paramètres!G22)</f>
        <v/>
      </c>
      <c r="C2020" s="18">
        <f>IF($A2020="","",IF(Paramètres!H22="","",Paramètres!H22))</f>
        <v/>
      </c>
      <c r="D2020" s="18">
        <f>IF($A2020="","",IF(Paramètres!I22="","",Paramètres!I22))</f>
        <v/>
      </c>
      <c r="E2020" s="19">
        <f>IF($A2020="","",IF(Paramètres!J22&amp;Paramètres!L22&amp;Paramètres!N22="",Dossiers!$D$41,MAX(IF(Paramètres!J22="",0,IF(Paramètres!K22="",NA(),IF(LEFT(TRIM(Paramètres!K22),1)="F",INDEX($F$2003:$F$2055,MATCH(Paramètres!J22,Paramètres!$G$5:$G$57,0)),INDEX($E$2003:$E$2055,MATCH(Paramètres!J22,Paramètres!$G$5:$G$57,0)))+IF(RIGHT(TRIM(Paramètres!K22),3)="Fin",1-$H2020,IF(LEFT(TRIM(Paramètres!K22),1)="F",1,0)))),IF(Paramètres!L22="",0,IF(Paramètres!M22="",NA(),IF(LEFT(TRIM(Paramètres!M22),1)="F",INDEX($F$2003:$F$2055,MATCH(Paramètres!L22,Paramètres!$G$5:$G$57,0)),INDEX($E$2003:$E$2055,MATCH(Paramètres!L22,Paramètres!$G$5:$G$57,0)))+IF(RIGHT(TRIM(Paramètres!M22),3)="Fin",1-$H2020,IF(LEFT(TRIM(Paramètres!M22),1)="F",1,0)))),IF(Paramètres!N22="",0,IF(Paramètres!O22="",NA(),IF(LEFT(TRIM(Paramètres!O22),1)="F",INDEX($F$2003:$F$2055,MATCH(Paramètres!N22,Paramètres!$G$5:$G$57,0)),INDEX($E$2003:$E$2055,MATCH(Paramètres!N22,Paramètres!$G$5:$G$57,0)))+IF(RIGHT(TRIM(Paramètres!O22),3)="Fin",1-$H2020,IF(LEFT(TRIM(Paramètres!O22),1)="F",1,0)))))))</f>
        <v/>
      </c>
      <c r="F2020" s="19">
        <f>IF($A2020="","",E2020+$H2020-1)</f>
        <v/>
      </c>
      <c r="G2020" s="18" t="n"/>
      <c r="H2020" s="18">
        <f>IF($A2020="","",IF(I2020&lt;&gt;"",I2020,Paramètres!B22))</f>
        <v/>
      </c>
      <c r="I2020" s="18" t="n"/>
    </row>
    <row r="2021">
      <c r="A2021" s="18">
        <f>IF(ISNUMBER(Dossiers!$D$41),Dossiers!$A$41&amp;" · "&amp;Dossiers!$B$41,"")</f>
        <v/>
      </c>
      <c r="B2021" s="18">
        <f>IF($A2021="","",Paramètres!G23)</f>
        <v/>
      </c>
      <c r="C2021" s="18">
        <f>IF($A2021="","",IF(Paramètres!H23="","",Paramètres!H23))</f>
        <v/>
      </c>
      <c r="D2021" s="18">
        <f>IF($A2021="","",IF(Paramètres!I23="","",Paramètres!I23))</f>
        <v/>
      </c>
      <c r="E2021" s="19">
        <f>IF($A2021="","",IF(Paramètres!J23&amp;Paramètres!L23&amp;Paramètres!N23="",Dossiers!$D$41,MAX(IF(Paramètres!J23="",0,IF(Paramètres!K23="",NA(),IF(LEFT(TRIM(Paramètres!K23),1)="F",INDEX($F$2003:$F$2055,MATCH(Paramètres!J23,Paramètres!$G$5:$G$57,0)),INDEX($E$2003:$E$2055,MATCH(Paramètres!J23,Paramètres!$G$5:$G$57,0)))+IF(RIGHT(TRIM(Paramètres!K23),3)="Fin",1-$H2021,IF(LEFT(TRIM(Paramètres!K23),1)="F",1,0)))),IF(Paramètres!L23="",0,IF(Paramètres!M23="",NA(),IF(LEFT(TRIM(Paramètres!M23),1)="F",INDEX($F$2003:$F$2055,MATCH(Paramètres!L23,Paramètres!$G$5:$G$57,0)),INDEX($E$2003:$E$2055,MATCH(Paramètres!L23,Paramètres!$G$5:$G$57,0)))+IF(RIGHT(TRIM(Paramètres!M23),3)="Fin",1-$H2021,IF(LEFT(TRIM(Paramètres!M23),1)="F",1,0)))),IF(Paramètres!N23="",0,IF(Paramètres!O23="",NA(),IF(LEFT(TRIM(Paramètres!O23),1)="F",INDEX($F$2003:$F$2055,MATCH(Paramètres!N23,Paramètres!$G$5:$G$57,0)),INDEX($E$2003:$E$2055,MATCH(Paramètres!N23,Paramètres!$G$5:$G$57,0)))+IF(RIGHT(TRIM(Paramètres!O23),3)="Fin",1-$H2021,IF(LEFT(TRIM(Paramètres!O23),1)="F",1,0)))))))</f>
        <v/>
      </c>
      <c r="F2021" s="19">
        <f>IF($A2021="","",E2021+$H2021-1)</f>
        <v/>
      </c>
      <c r="G2021" s="18" t="n"/>
      <c r="H2021" s="18">
        <f>IF($A2021="","",IF(I2021&lt;&gt;"",I2021,Paramètres!B23))</f>
        <v/>
      </c>
      <c r="I2021" s="18" t="n"/>
    </row>
    <row r="2022">
      <c r="A2022" s="18">
        <f>IF(ISNUMBER(Dossiers!$D$41),Dossiers!$A$41&amp;" · "&amp;Dossiers!$B$41,"")</f>
        <v/>
      </c>
      <c r="B2022" s="18">
        <f>IF($A2022="","",Paramètres!G24)</f>
        <v/>
      </c>
      <c r="C2022" s="18">
        <f>IF($A2022="","",IF(Paramètres!H24="","",Paramètres!H24))</f>
        <v/>
      </c>
      <c r="D2022" s="18">
        <f>IF($A2022="","",IF(Paramètres!I24="","",Paramètres!I24))</f>
        <v/>
      </c>
      <c r="E2022" s="19">
        <f>IF($A2022="","",IF(Paramètres!J24&amp;Paramètres!L24&amp;Paramètres!N24="",Dossiers!$D$41,MAX(IF(Paramètres!J24="",0,IF(Paramètres!K24="",NA(),IF(LEFT(TRIM(Paramètres!K24),1)="F",INDEX($F$2003:$F$2055,MATCH(Paramètres!J24,Paramètres!$G$5:$G$57,0)),INDEX($E$2003:$E$2055,MATCH(Paramètres!J24,Paramètres!$G$5:$G$57,0)))+IF(RIGHT(TRIM(Paramètres!K24),3)="Fin",1-$H2022,IF(LEFT(TRIM(Paramètres!K24),1)="F",1,0)))),IF(Paramètres!L24="",0,IF(Paramètres!M24="",NA(),IF(LEFT(TRIM(Paramètres!M24),1)="F",INDEX($F$2003:$F$2055,MATCH(Paramètres!L24,Paramètres!$G$5:$G$57,0)),INDEX($E$2003:$E$2055,MATCH(Paramètres!L24,Paramètres!$G$5:$G$57,0)))+IF(RIGHT(TRIM(Paramètres!M24),3)="Fin",1-$H2022,IF(LEFT(TRIM(Paramètres!M24),1)="F",1,0)))),IF(Paramètres!N24="",0,IF(Paramètres!O24="",NA(),IF(LEFT(TRIM(Paramètres!O24),1)="F",INDEX($F$2003:$F$2055,MATCH(Paramètres!N24,Paramètres!$G$5:$G$57,0)),INDEX($E$2003:$E$2055,MATCH(Paramètres!N24,Paramètres!$G$5:$G$57,0)))+IF(RIGHT(TRIM(Paramètres!O24),3)="Fin",1-$H2022,IF(LEFT(TRIM(Paramètres!O24),1)="F",1,0)))))))</f>
        <v/>
      </c>
      <c r="F2022" s="19">
        <f>IF($A2022="","",E2022+$H2022-1)</f>
        <v/>
      </c>
      <c r="G2022" s="18" t="n"/>
      <c r="H2022" s="18">
        <f>IF($A2022="","",IF(I2022&lt;&gt;"",I2022,Paramètres!B24))</f>
        <v/>
      </c>
      <c r="I2022" s="18" t="n"/>
    </row>
    <row r="2023">
      <c r="A2023" s="18">
        <f>IF(ISNUMBER(Dossiers!$D$41),Dossiers!$A$41&amp;" · "&amp;Dossiers!$B$41,"")</f>
        <v/>
      </c>
      <c r="B2023" s="18">
        <f>IF($A2023="","",Paramètres!G25)</f>
        <v/>
      </c>
      <c r="C2023" s="18">
        <f>IF($A2023="","",IF(Paramètres!H25="","",Paramètres!H25))</f>
        <v/>
      </c>
      <c r="D2023" s="18">
        <f>IF($A2023="","",IF(Paramètres!I25="","",Paramètres!I25))</f>
        <v/>
      </c>
      <c r="E2023" s="19">
        <f>IF($A2023="","",IF(Paramètres!J25&amp;Paramètres!L25&amp;Paramètres!N25="",Dossiers!$D$41,MAX(IF(Paramètres!J25="",0,IF(Paramètres!K25="",NA(),IF(LEFT(TRIM(Paramètres!K25),1)="F",INDEX($F$2003:$F$2055,MATCH(Paramètres!J25,Paramètres!$G$5:$G$57,0)),INDEX($E$2003:$E$2055,MATCH(Paramètres!J25,Paramètres!$G$5:$G$57,0)))+IF(RIGHT(TRIM(Paramètres!K25),3)="Fin",1-$H2023,IF(LEFT(TRIM(Paramètres!K25),1)="F",1,0)))),IF(Paramètres!L25="",0,IF(Paramètres!M25="",NA(),IF(LEFT(TRIM(Paramètres!M25),1)="F",INDEX($F$2003:$F$2055,MATCH(Paramètres!L25,Paramètres!$G$5:$G$57,0)),INDEX($E$2003:$E$2055,MATCH(Paramètres!L25,Paramètres!$G$5:$G$57,0)))+IF(RIGHT(TRIM(Paramètres!M25),3)="Fin",1-$H2023,IF(LEFT(TRIM(Paramètres!M25),1)="F",1,0)))),IF(Paramètres!N25="",0,IF(Paramètres!O25="",NA(),IF(LEFT(TRIM(Paramètres!O25),1)="F",INDEX($F$2003:$F$2055,MATCH(Paramètres!N25,Paramètres!$G$5:$G$57,0)),INDEX($E$2003:$E$2055,MATCH(Paramètres!N25,Paramètres!$G$5:$G$57,0)))+IF(RIGHT(TRIM(Paramètres!O25),3)="Fin",1-$H2023,IF(LEFT(TRIM(Paramètres!O25),1)="F",1,0)))))))</f>
        <v/>
      </c>
      <c r="F2023" s="19">
        <f>IF($A2023="","",E2023+$H2023-1)</f>
        <v/>
      </c>
      <c r="G2023" s="18" t="n"/>
      <c r="H2023" s="18">
        <f>IF($A2023="","",IF(I2023&lt;&gt;"",I2023,Paramètres!B25))</f>
        <v/>
      </c>
      <c r="I2023" s="18" t="n"/>
    </row>
    <row r="2024">
      <c r="A2024" s="18">
        <f>IF(ISNUMBER(Dossiers!$D$41),Dossiers!$A$41&amp;" · "&amp;Dossiers!$B$41,"")</f>
        <v/>
      </c>
      <c r="B2024" s="18">
        <f>IF($A2024="","",Paramètres!G26)</f>
        <v/>
      </c>
      <c r="C2024" s="18">
        <f>IF($A2024="","",IF(Paramètres!H26="","",Paramètres!H26))</f>
        <v/>
      </c>
      <c r="D2024" s="18">
        <f>IF($A2024="","",IF(Paramètres!I26="","",Paramètres!I26))</f>
        <v/>
      </c>
      <c r="E2024" s="19">
        <f>IF($A2024="","",IF(Paramètres!J26&amp;Paramètres!L26&amp;Paramètres!N26="",Dossiers!$D$41,MAX(IF(Paramètres!J26="",0,IF(Paramètres!K26="",NA(),IF(LEFT(TRIM(Paramètres!K26),1)="F",INDEX($F$2003:$F$2055,MATCH(Paramètres!J26,Paramètres!$G$5:$G$57,0)),INDEX($E$2003:$E$2055,MATCH(Paramètres!J26,Paramètres!$G$5:$G$57,0)))+IF(RIGHT(TRIM(Paramètres!K26),3)="Fin",1-$H2024,IF(LEFT(TRIM(Paramètres!K26),1)="F",1,0)))),IF(Paramètres!L26="",0,IF(Paramètres!M26="",NA(),IF(LEFT(TRIM(Paramètres!M26),1)="F",INDEX($F$2003:$F$2055,MATCH(Paramètres!L26,Paramètres!$G$5:$G$57,0)),INDEX($E$2003:$E$2055,MATCH(Paramètres!L26,Paramètres!$G$5:$G$57,0)))+IF(RIGHT(TRIM(Paramètres!M26),3)="Fin",1-$H2024,IF(LEFT(TRIM(Paramètres!M26),1)="F",1,0)))),IF(Paramètres!N26="",0,IF(Paramètres!O26="",NA(),IF(LEFT(TRIM(Paramètres!O26),1)="F",INDEX($F$2003:$F$2055,MATCH(Paramètres!N26,Paramètres!$G$5:$G$57,0)),INDEX($E$2003:$E$2055,MATCH(Paramètres!N26,Paramètres!$G$5:$G$57,0)))+IF(RIGHT(TRIM(Paramètres!O26),3)="Fin",1-$H2024,IF(LEFT(TRIM(Paramètres!O26),1)="F",1,0)))))))</f>
        <v/>
      </c>
      <c r="F2024" s="19">
        <f>IF($A2024="","",E2024+$H2024-1)</f>
        <v/>
      </c>
      <c r="G2024" s="18" t="n"/>
      <c r="H2024" s="18">
        <f>IF($A2024="","",IF(I2024&lt;&gt;"",I2024,Paramètres!B26))</f>
        <v/>
      </c>
      <c r="I2024" s="18" t="n"/>
    </row>
    <row r="2025">
      <c r="A2025" s="18">
        <f>IF(ISNUMBER(Dossiers!$D$41),Dossiers!$A$41&amp;" · "&amp;Dossiers!$B$41,"")</f>
        <v/>
      </c>
      <c r="B2025" s="18">
        <f>IF($A2025="","",Paramètres!G27)</f>
        <v/>
      </c>
      <c r="C2025" s="18">
        <f>IF($A2025="","",IF(Paramètres!H27="","",Paramètres!H27))</f>
        <v/>
      </c>
      <c r="D2025" s="18">
        <f>IF($A2025="","",IF(Paramètres!I27="","",Paramètres!I27))</f>
        <v/>
      </c>
      <c r="E2025" s="19">
        <f>IF($A2025="","",IF(Paramètres!J27&amp;Paramètres!L27&amp;Paramètres!N27="",Dossiers!$D$41,MAX(IF(Paramètres!J27="",0,IF(Paramètres!K27="",NA(),IF(LEFT(TRIM(Paramètres!K27),1)="F",INDEX($F$2003:$F$2055,MATCH(Paramètres!J27,Paramètres!$G$5:$G$57,0)),INDEX($E$2003:$E$2055,MATCH(Paramètres!J27,Paramètres!$G$5:$G$57,0)))+IF(RIGHT(TRIM(Paramètres!K27),3)="Fin",1-$H2025,IF(LEFT(TRIM(Paramètres!K27),1)="F",1,0)))),IF(Paramètres!L27="",0,IF(Paramètres!M27="",NA(),IF(LEFT(TRIM(Paramètres!M27),1)="F",INDEX($F$2003:$F$2055,MATCH(Paramètres!L27,Paramètres!$G$5:$G$57,0)),INDEX($E$2003:$E$2055,MATCH(Paramètres!L27,Paramètres!$G$5:$G$57,0)))+IF(RIGHT(TRIM(Paramètres!M27),3)="Fin",1-$H2025,IF(LEFT(TRIM(Paramètres!M27),1)="F",1,0)))),IF(Paramètres!N27="",0,IF(Paramètres!O27="",NA(),IF(LEFT(TRIM(Paramètres!O27),1)="F",INDEX($F$2003:$F$2055,MATCH(Paramètres!N27,Paramètres!$G$5:$G$57,0)),INDEX($E$2003:$E$2055,MATCH(Paramètres!N27,Paramètres!$G$5:$G$57,0)))+IF(RIGHT(TRIM(Paramètres!O27),3)="Fin",1-$H2025,IF(LEFT(TRIM(Paramètres!O27),1)="F",1,0)))))))</f>
        <v/>
      </c>
      <c r="F2025" s="19">
        <f>IF($A2025="","",E2025+$H2025-1)</f>
        <v/>
      </c>
      <c r="G2025" s="18" t="n"/>
      <c r="H2025" s="18">
        <f>IF($A2025="","",IF(I2025&lt;&gt;"",I2025,Paramètres!B27))</f>
        <v/>
      </c>
      <c r="I2025" s="18" t="n"/>
    </row>
    <row r="2026">
      <c r="A2026" s="18">
        <f>IF(ISNUMBER(Dossiers!$D$41),Dossiers!$A$41&amp;" · "&amp;Dossiers!$B$41,"")</f>
        <v/>
      </c>
      <c r="B2026" s="18">
        <f>IF($A2026="","",Paramètres!G28)</f>
        <v/>
      </c>
      <c r="C2026" s="18">
        <f>IF($A2026="","",IF(Paramètres!H28="","",Paramètres!H28))</f>
        <v/>
      </c>
      <c r="D2026" s="18">
        <f>IF($A2026="","",IF(Paramètres!I28="","",Paramètres!I28))</f>
        <v/>
      </c>
      <c r="E2026" s="19">
        <f>IF($A2026="","",IF(Paramètres!J28&amp;Paramètres!L28&amp;Paramètres!N28="",Dossiers!$D$41,MAX(IF(Paramètres!J28="",0,IF(Paramètres!K28="",NA(),IF(LEFT(TRIM(Paramètres!K28),1)="F",INDEX($F$2003:$F$2055,MATCH(Paramètres!J28,Paramètres!$G$5:$G$57,0)),INDEX($E$2003:$E$2055,MATCH(Paramètres!J28,Paramètres!$G$5:$G$57,0)))+IF(RIGHT(TRIM(Paramètres!K28),3)="Fin",1-$H2026,IF(LEFT(TRIM(Paramètres!K28),1)="F",1,0)))),IF(Paramètres!L28="",0,IF(Paramètres!M28="",NA(),IF(LEFT(TRIM(Paramètres!M28),1)="F",INDEX($F$2003:$F$2055,MATCH(Paramètres!L28,Paramètres!$G$5:$G$57,0)),INDEX($E$2003:$E$2055,MATCH(Paramètres!L28,Paramètres!$G$5:$G$57,0)))+IF(RIGHT(TRIM(Paramètres!M28),3)="Fin",1-$H2026,IF(LEFT(TRIM(Paramètres!M28),1)="F",1,0)))),IF(Paramètres!N28="",0,IF(Paramètres!O28="",NA(),IF(LEFT(TRIM(Paramètres!O28),1)="F",INDEX($F$2003:$F$2055,MATCH(Paramètres!N28,Paramètres!$G$5:$G$57,0)),INDEX($E$2003:$E$2055,MATCH(Paramètres!N28,Paramètres!$G$5:$G$57,0)))+IF(RIGHT(TRIM(Paramètres!O28),3)="Fin",1-$H2026,IF(LEFT(TRIM(Paramètres!O28),1)="F",1,0)))))))</f>
        <v/>
      </c>
      <c r="F2026" s="19">
        <f>IF($A2026="","",E2026+$H2026-1)</f>
        <v/>
      </c>
      <c r="G2026" s="18" t="n"/>
      <c r="H2026" s="18">
        <f>IF($A2026="","",IF(I2026&lt;&gt;"",I2026,Paramètres!B28))</f>
        <v/>
      </c>
      <c r="I2026" s="18" t="n"/>
    </row>
    <row r="2027">
      <c r="A2027" s="18">
        <f>IF(ISNUMBER(Dossiers!$D$41),Dossiers!$A$41&amp;" · "&amp;Dossiers!$B$41,"")</f>
        <v/>
      </c>
      <c r="B2027" s="18">
        <f>IF($A2027="","",Paramètres!G29)</f>
        <v/>
      </c>
      <c r="C2027" s="18">
        <f>IF($A2027="","",IF(Paramètres!H29="","",Paramètres!H29))</f>
        <v/>
      </c>
      <c r="D2027" s="18">
        <f>IF($A2027="","",IF(Paramètres!I29="","",Paramètres!I29))</f>
        <v/>
      </c>
      <c r="E2027" s="19">
        <f>IF($A2027="","",IF(Paramètres!J29&amp;Paramètres!L29&amp;Paramètres!N29="",Dossiers!$D$41,MAX(IF(Paramètres!J29="",0,IF(Paramètres!K29="",NA(),IF(LEFT(TRIM(Paramètres!K29),1)="F",INDEX($F$2003:$F$2055,MATCH(Paramètres!J29,Paramètres!$G$5:$G$57,0)),INDEX($E$2003:$E$2055,MATCH(Paramètres!J29,Paramètres!$G$5:$G$57,0)))+IF(RIGHT(TRIM(Paramètres!K29),3)="Fin",1-$H2027,IF(LEFT(TRIM(Paramètres!K29),1)="F",1,0)))),IF(Paramètres!L29="",0,IF(Paramètres!M29="",NA(),IF(LEFT(TRIM(Paramètres!M29),1)="F",INDEX($F$2003:$F$2055,MATCH(Paramètres!L29,Paramètres!$G$5:$G$57,0)),INDEX($E$2003:$E$2055,MATCH(Paramètres!L29,Paramètres!$G$5:$G$57,0)))+IF(RIGHT(TRIM(Paramètres!M29),3)="Fin",1-$H2027,IF(LEFT(TRIM(Paramètres!M29),1)="F",1,0)))),IF(Paramètres!N29="",0,IF(Paramètres!O29="",NA(),IF(LEFT(TRIM(Paramètres!O29),1)="F",INDEX($F$2003:$F$2055,MATCH(Paramètres!N29,Paramètres!$G$5:$G$57,0)),INDEX($E$2003:$E$2055,MATCH(Paramètres!N29,Paramètres!$G$5:$G$57,0)))+IF(RIGHT(TRIM(Paramètres!O29),3)="Fin",1-$H2027,IF(LEFT(TRIM(Paramètres!O29),1)="F",1,0)))))))</f>
        <v/>
      </c>
      <c r="F2027" s="19">
        <f>IF($A2027="","",E2027+$H2027-1)</f>
        <v/>
      </c>
      <c r="G2027" s="18" t="n"/>
      <c r="H2027" s="18">
        <f>IF($A2027="","",IF(I2027&lt;&gt;"",I2027,Paramètres!B29))</f>
        <v/>
      </c>
      <c r="I2027" s="18" t="n"/>
    </row>
    <row r="2028">
      <c r="A2028" s="18">
        <f>IF(ISNUMBER(Dossiers!$D$41),Dossiers!$A$41&amp;" · "&amp;Dossiers!$B$41,"")</f>
        <v/>
      </c>
      <c r="B2028" s="18">
        <f>IF($A2028="","",Paramètres!G30)</f>
        <v/>
      </c>
      <c r="C2028" s="18">
        <f>IF($A2028="","",IF(Paramètres!H30="","",Paramètres!H30))</f>
        <v/>
      </c>
      <c r="D2028" s="18">
        <f>IF($A2028="","",IF(Paramètres!I30="","",Paramètres!I30))</f>
        <v/>
      </c>
      <c r="E2028" s="19">
        <f>IF($A2028="","",IF(Paramètres!J30&amp;Paramètres!L30&amp;Paramètres!N30="",Dossiers!$D$41,MAX(IF(Paramètres!J30="",0,IF(Paramètres!K30="",NA(),IF(LEFT(TRIM(Paramètres!K30),1)="F",INDEX($F$2003:$F$2055,MATCH(Paramètres!J30,Paramètres!$G$5:$G$57,0)),INDEX($E$2003:$E$2055,MATCH(Paramètres!J30,Paramètres!$G$5:$G$57,0)))+IF(RIGHT(TRIM(Paramètres!K30),3)="Fin",1-$H2028,IF(LEFT(TRIM(Paramètres!K30),1)="F",1,0)))),IF(Paramètres!L30="",0,IF(Paramètres!M30="",NA(),IF(LEFT(TRIM(Paramètres!M30),1)="F",INDEX($F$2003:$F$2055,MATCH(Paramètres!L30,Paramètres!$G$5:$G$57,0)),INDEX($E$2003:$E$2055,MATCH(Paramètres!L30,Paramètres!$G$5:$G$57,0)))+IF(RIGHT(TRIM(Paramètres!M30),3)="Fin",1-$H2028,IF(LEFT(TRIM(Paramètres!M30),1)="F",1,0)))),IF(Paramètres!N30="",0,IF(Paramètres!O30="",NA(),IF(LEFT(TRIM(Paramètres!O30),1)="F",INDEX($F$2003:$F$2055,MATCH(Paramètres!N30,Paramètres!$G$5:$G$57,0)),INDEX($E$2003:$E$2055,MATCH(Paramètres!N30,Paramètres!$G$5:$G$57,0)))+IF(RIGHT(TRIM(Paramètres!O30),3)="Fin",1-$H2028,IF(LEFT(TRIM(Paramètres!O30),1)="F",1,0)))))))</f>
        <v/>
      </c>
      <c r="F2028" s="19">
        <f>IF($A2028="","",E2028+$H2028-1)</f>
        <v/>
      </c>
      <c r="G2028" s="18" t="n"/>
      <c r="H2028" s="18">
        <f>IF($A2028="","",IF(I2028&lt;&gt;"",I2028,Paramètres!B30))</f>
        <v/>
      </c>
      <c r="I2028" s="18" t="n"/>
    </row>
    <row r="2029">
      <c r="A2029" s="18">
        <f>IF(ISNUMBER(Dossiers!$D$41),Dossiers!$A$41&amp;" · "&amp;Dossiers!$B$41,"")</f>
        <v/>
      </c>
      <c r="B2029" s="18">
        <f>IF($A2029="","",Paramètres!G31)</f>
        <v/>
      </c>
      <c r="C2029" s="20">
        <f>IF($A2029="","",IF(Dossiers!$F$41="","",Dossiers!$F$41))</f>
        <v/>
      </c>
      <c r="D2029" s="18">
        <f>IF($A2029="","",IF(Paramètres!I31="","",Paramètres!I31))</f>
        <v/>
      </c>
      <c r="E2029" s="19">
        <f>IF($A2029="","",IF(Paramètres!J31&amp;Paramètres!L31&amp;Paramètres!N31="",Dossiers!$D$41,MAX(IF(Paramètres!J31="",0,IF(Paramètres!K31="",NA(),IF(LEFT(TRIM(Paramètres!K31),1)="F",INDEX($F$2003:$F$2055,MATCH(Paramètres!J31,Paramètres!$G$5:$G$57,0)),INDEX($E$2003:$E$2055,MATCH(Paramètres!J31,Paramètres!$G$5:$G$57,0)))+IF(RIGHT(TRIM(Paramètres!K31),3)="Fin",1-$H2029,IF(LEFT(TRIM(Paramètres!K31),1)="F",1,0)))),IF(Paramètres!L31="",0,IF(Paramètres!M31="",NA(),IF(LEFT(TRIM(Paramètres!M31),1)="F",INDEX($F$2003:$F$2055,MATCH(Paramètres!L31,Paramètres!$G$5:$G$57,0)),INDEX($E$2003:$E$2055,MATCH(Paramètres!L31,Paramètres!$G$5:$G$57,0)))+IF(RIGHT(TRIM(Paramètres!M31),3)="Fin",1-$H2029,IF(LEFT(TRIM(Paramètres!M31),1)="F",1,0)))),IF(Paramètres!N31="",0,IF(Paramètres!O31="",NA(),IF(LEFT(TRIM(Paramètres!O31),1)="F",INDEX($F$2003:$F$2055,MATCH(Paramètres!N31,Paramètres!$G$5:$G$57,0)),INDEX($E$2003:$E$2055,MATCH(Paramètres!N31,Paramètres!$G$5:$G$57,0)))+IF(RIGHT(TRIM(Paramètres!O31),3)="Fin",1-$H2029,IF(LEFT(TRIM(Paramètres!O31),1)="F",1,0)))))))</f>
        <v/>
      </c>
      <c r="F2029" s="19">
        <f>IF($A2029="","",E2029+$H2029-1)</f>
        <v/>
      </c>
      <c r="G2029" s="18" t="n"/>
      <c r="H2029" s="18">
        <f>IF($A2029="","",IF(I2029&lt;&gt;"",I2029,Paramètres!B31))</f>
        <v/>
      </c>
      <c r="I2029" s="18" t="n"/>
    </row>
    <row r="2030">
      <c r="A2030" s="18">
        <f>IF(ISNUMBER(Dossiers!$D$41),Dossiers!$A$41&amp;" · "&amp;Dossiers!$B$41,"")</f>
        <v/>
      </c>
      <c r="B2030" s="18">
        <f>IF($A2030="","",Paramètres!G32)</f>
        <v/>
      </c>
      <c r="C2030" s="18">
        <f>IF($A2030="","",IF(Paramètres!H32="","",Paramètres!H32))</f>
        <v/>
      </c>
      <c r="D2030" s="18">
        <f>IF($A2030="","",IF(Paramètres!I32="","",Paramètres!I32))</f>
        <v/>
      </c>
      <c r="E2030" s="19">
        <f>IF($A2030="","",MIN(E2031:E2034))</f>
        <v/>
      </c>
      <c r="F2030" s="19">
        <f>IF($A2030="","",MAX(F2031:F2034))</f>
        <v/>
      </c>
      <c r="G2030" s="18" t="n"/>
      <c r="H2030" s="18">
        <f>IF($A2030="","",F2030-E2030+1)</f>
        <v/>
      </c>
      <c r="I2030" s="18" t="n"/>
    </row>
    <row r="2031">
      <c r="A2031" s="18">
        <f>IF(ISNUMBER(Dossiers!$D$41),Dossiers!$A$41&amp;" · "&amp;Dossiers!$B$41,"")</f>
        <v/>
      </c>
      <c r="B2031" s="18">
        <f>IF($A2031="","",Paramètres!G33)</f>
        <v/>
      </c>
      <c r="C2031" s="18">
        <f>IF($A2031="","",IF(Paramètres!H33="","",Paramètres!H33))</f>
        <v/>
      </c>
      <c r="D2031" s="18">
        <f>IF($A2031="","",IF(Paramètres!I33="","",Paramètres!I33))</f>
        <v/>
      </c>
      <c r="E2031" s="19">
        <f>IF($A2031="","",IF(Paramètres!J33&amp;Paramètres!L33&amp;Paramètres!N33="",Dossiers!$D$41,MAX(IF(Paramètres!J33="",0,IF(Paramètres!K33="",NA(),IF(LEFT(TRIM(Paramètres!K33),1)="F",INDEX($F$2003:$F$2055,MATCH(Paramètres!J33,Paramètres!$G$5:$G$57,0)),INDEX($E$2003:$E$2055,MATCH(Paramètres!J33,Paramètres!$G$5:$G$57,0)))+IF(RIGHT(TRIM(Paramètres!K33),3)="Fin",1-$H2031,IF(LEFT(TRIM(Paramètres!K33),1)="F",1,0)))),IF(Paramètres!L33="",0,IF(Paramètres!M33="",NA(),IF(LEFT(TRIM(Paramètres!M33),1)="F",INDEX($F$2003:$F$2055,MATCH(Paramètres!L33,Paramètres!$G$5:$G$57,0)),INDEX($E$2003:$E$2055,MATCH(Paramètres!L33,Paramètres!$G$5:$G$57,0)))+IF(RIGHT(TRIM(Paramètres!M33),3)="Fin",1-$H2031,IF(LEFT(TRIM(Paramètres!M33),1)="F",1,0)))),IF(Paramètres!N33="",0,IF(Paramètres!O33="",NA(),IF(LEFT(TRIM(Paramètres!O33),1)="F",INDEX($F$2003:$F$2055,MATCH(Paramètres!N33,Paramètres!$G$5:$G$57,0)),INDEX($E$2003:$E$2055,MATCH(Paramètres!N33,Paramètres!$G$5:$G$57,0)))+IF(RIGHT(TRIM(Paramètres!O33),3)="Fin",1-$H2031,IF(LEFT(TRIM(Paramètres!O33),1)="F",1,0)))))))</f>
        <v/>
      </c>
      <c r="F2031" s="19">
        <f>IF($A2031="","",E2031+$H2031-1)</f>
        <v/>
      </c>
      <c r="G2031" s="18" t="n"/>
      <c r="H2031" s="18">
        <f>IF($A2031="","",IF(I2031&lt;&gt;"",I2031,Paramètres!B33))</f>
        <v/>
      </c>
      <c r="I2031" s="18" t="n"/>
    </row>
    <row r="2032">
      <c r="A2032" s="18">
        <f>IF(ISNUMBER(Dossiers!$D$41),Dossiers!$A$41&amp;" · "&amp;Dossiers!$B$41,"")</f>
        <v/>
      </c>
      <c r="B2032" s="18">
        <f>IF($A2032="","",Paramètres!G34)</f>
        <v/>
      </c>
      <c r="C2032" s="18">
        <f>IF($A2032="","",IF(Paramètres!H34="","",Paramètres!H34))</f>
        <v/>
      </c>
      <c r="D2032" s="18">
        <f>IF($A2032="","",IF(Paramètres!I34="","",Paramètres!I34))</f>
        <v/>
      </c>
      <c r="E2032" s="19">
        <f>IF($A2032="","",IF(Paramètres!J34&amp;Paramètres!L34&amp;Paramètres!N34="",Dossiers!$D$41,MAX(IF(Paramètres!J34="",0,IF(Paramètres!K34="",NA(),IF(LEFT(TRIM(Paramètres!K34),1)="F",INDEX($F$2003:$F$2055,MATCH(Paramètres!J34,Paramètres!$G$5:$G$57,0)),INDEX($E$2003:$E$2055,MATCH(Paramètres!J34,Paramètres!$G$5:$G$57,0)))+IF(RIGHT(TRIM(Paramètres!K34),3)="Fin",1-$H2032,IF(LEFT(TRIM(Paramètres!K34),1)="F",1,0)))),IF(Paramètres!L34="",0,IF(Paramètres!M34="",NA(),IF(LEFT(TRIM(Paramètres!M34),1)="F",INDEX($F$2003:$F$2055,MATCH(Paramètres!L34,Paramètres!$G$5:$G$57,0)),INDEX($E$2003:$E$2055,MATCH(Paramètres!L34,Paramètres!$G$5:$G$57,0)))+IF(RIGHT(TRIM(Paramètres!M34),3)="Fin",1-$H2032,IF(LEFT(TRIM(Paramètres!M34),1)="F",1,0)))),IF(Paramètres!N34="",0,IF(Paramètres!O34="",NA(),IF(LEFT(TRIM(Paramètres!O34),1)="F",INDEX($F$2003:$F$2055,MATCH(Paramètres!N34,Paramètres!$G$5:$G$57,0)),INDEX($E$2003:$E$2055,MATCH(Paramètres!N34,Paramètres!$G$5:$G$57,0)))+IF(RIGHT(TRIM(Paramètres!O34),3)="Fin",1-$H2032,IF(LEFT(TRIM(Paramètres!O34),1)="F",1,0)))))))</f>
        <v/>
      </c>
      <c r="F2032" s="19">
        <f>IF($A2032="","",E2032+$H2032-1)</f>
        <v/>
      </c>
      <c r="G2032" s="18" t="n"/>
      <c r="H2032" s="18">
        <f>IF($A2032="","",IF(I2032&lt;&gt;"",I2032,Paramètres!B34))</f>
        <v/>
      </c>
      <c r="I2032" s="18" t="n"/>
    </row>
    <row r="2033">
      <c r="A2033" s="18">
        <f>IF(ISNUMBER(Dossiers!$D$41),Dossiers!$A$41&amp;" · "&amp;Dossiers!$B$41,"")</f>
        <v/>
      </c>
      <c r="B2033" s="18">
        <f>IF($A2033="","",Paramètres!G35)</f>
        <v/>
      </c>
      <c r="C2033" s="18">
        <f>IF($A2033="","",IF(Paramètres!H35="","",Paramètres!H35))</f>
        <v/>
      </c>
      <c r="D2033" s="18">
        <f>IF($A2033="","",IF(Paramètres!I35="","",Paramètres!I35))</f>
        <v/>
      </c>
      <c r="E2033" s="19">
        <f>IF($A2033="","",IF(Paramètres!J35&amp;Paramètres!L35&amp;Paramètres!N35="",Dossiers!$D$41,MAX(IF(Paramètres!J35="",0,IF(Paramètres!K35="",NA(),IF(LEFT(TRIM(Paramètres!K35),1)="F",INDEX($F$2003:$F$2055,MATCH(Paramètres!J35,Paramètres!$G$5:$G$57,0)),INDEX($E$2003:$E$2055,MATCH(Paramètres!J35,Paramètres!$G$5:$G$57,0)))+IF(RIGHT(TRIM(Paramètres!K35),3)="Fin",1-$H2033,IF(LEFT(TRIM(Paramètres!K35),1)="F",1,0)))),IF(Paramètres!L35="",0,IF(Paramètres!M35="",NA(),IF(LEFT(TRIM(Paramètres!M35),1)="F",INDEX($F$2003:$F$2055,MATCH(Paramètres!L35,Paramètres!$G$5:$G$57,0)),INDEX($E$2003:$E$2055,MATCH(Paramètres!L35,Paramètres!$G$5:$G$57,0)))+IF(RIGHT(TRIM(Paramètres!M35),3)="Fin",1-$H2033,IF(LEFT(TRIM(Paramètres!M35),1)="F",1,0)))),IF(Paramètres!N35="",0,IF(Paramètres!O35="",NA(),IF(LEFT(TRIM(Paramètres!O35),1)="F",INDEX($F$2003:$F$2055,MATCH(Paramètres!N35,Paramètres!$G$5:$G$57,0)),INDEX($E$2003:$E$2055,MATCH(Paramètres!N35,Paramètres!$G$5:$G$57,0)))+IF(RIGHT(TRIM(Paramètres!O35),3)="Fin",1-$H2033,IF(LEFT(TRIM(Paramètres!O35),1)="F",1,0)))))))</f>
        <v/>
      </c>
      <c r="F2033" s="19">
        <f>IF($A2033="","",E2033+$H2033-1)</f>
        <v/>
      </c>
      <c r="G2033" s="18" t="n"/>
      <c r="H2033" s="18">
        <f>IF($A2033="","",IF(I2033&lt;&gt;"",I2033,Paramètres!B35))</f>
        <v/>
      </c>
      <c r="I2033" s="18" t="n"/>
    </row>
    <row r="2034">
      <c r="A2034" s="18">
        <f>IF(ISNUMBER(Dossiers!$D$41),Dossiers!$A$41&amp;" · "&amp;Dossiers!$B$41,"")</f>
        <v/>
      </c>
      <c r="B2034" s="18">
        <f>IF($A2034="","",Paramètres!G36)</f>
        <v/>
      </c>
      <c r="C2034" s="18">
        <f>IF($A2034="","",IF(Paramètres!H36="","",Paramètres!H36))</f>
        <v/>
      </c>
      <c r="D2034" s="18">
        <f>IF($A2034="","",IF(Paramètres!I36="","",Paramètres!I36))</f>
        <v/>
      </c>
      <c r="E2034" s="19">
        <f>IF($A2034="","",IF(Paramètres!J36&amp;Paramètres!L36&amp;Paramètres!N36="",Dossiers!$D$41,MAX(IF(Paramètres!J36="",0,IF(Paramètres!K36="",NA(),IF(LEFT(TRIM(Paramètres!K36),1)="F",INDEX($F$2003:$F$2055,MATCH(Paramètres!J36,Paramètres!$G$5:$G$57,0)),INDEX($E$2003:$E$2055,MATCH(Paramètres!J36,Paramètres!$G$5:$G$57,0)))+IF(RIGHT(TRIM(Paramètres!K36),3)="Fin",1-$H2034,IF(LEFT(TRIM(Paramètres!K36),1)="F",1,0)))),IF(Paramètres!L36="",0,IF(Paramètres!M36="",NA(),IF(LEFT(TRIM(Paramètres!M36),1)="F",INDEX($F$2003:$F$2055,MATCH(Paramètres!L36,Paramètres!$G$5:$G$57,0)),INDEX($E$2003:$E$2055,MATCH(Paramètres!L36,Paramètres!$G$5:$G$57,0)))+IF(RIGHT(TRIM(Paramètres!M36),3)="Fin",1-$H2034,IF(LEFT(TRIM(Paramètres!M36),1)="F",1,0)))),IF(Paramètres!N36="",0,IF(Paramètres!O36="",NA(),IF(LEFT(TRIM(Paramètres!O36),1)="F",INDEX($F$2003:$F$2055,MATCH(Paramètres!N36,Paramètres!$G$5:$G$57,0)),INDEX($E$2003:$E$2055,MATCH(Paramètres!N36,Paramètres!$G$5:$G$57,0)))+IF(RIGHT(TRIM(Paramètres!O36),3)="Fin",1-$H2034,IF(LEFT(TRIM(Paramètres!O36),1)="F",1,0)))))))</f>
        <v/>
      </c>
      <c r="F2034" s="19">
        <f>IF($A2034="","",E2034+$H2034-1)</f>
        <v/>
      </c>
      <c r="G2034" s="18" t="n"/>
      <c r="H2034" s="18">
        <f>IF($A2034="","",IF(I2034&lt;&gt;"",I2034,Paramètres!B36))</f>
        <v/>
      </c>
      <c r="I2034" s="18" t="n"/>
    </row>
    <row r="2035">
      <c r="A2035" s="18">
        <f>IF(ISNUMBER(Dossiers!$D$41),Dossiers!$A$41&amp;" · "&amp;Dossiers!$B$41,"")</f>
        <v/>
      </c>
      <c r="B2035" s="18">
        <f>IF($A2035="","",Paramètres!G37)</f>
        <v/>
      </c>
      <c r="C2035" s="18">
        <f>IF($A2035="","",IF(Paramètres!H37="","",Paramètres!H37))</f>
        <v/>
      </c>
      <c r="D2035" s="18">
        <f>IF($A2035="","",IF(Paramètres!I37="","",Paramètres!I37))</f>
        <v/>
      </c>
      <c r="E2035" s="19">
        <f>IF($A2035="","",MIN(E2036:E2053))</f>
        <v/>
      </c>
      <c r="F2035" s="19">
        <f>IF($A2035="","",MAX(F2036:F2053))</f>
        <v/>
      </c>
      <c r="G2035" s="18" t="n"/>
      <c r="H2035" s="18">
        <f>IF($A2035="","",F2035-E2035+1)</f>
        <v/>
      </c>
      <c r="I2035" s="18" t="n"/>
    </row>
    <row r="2036">
      <c r="A2036" s="18">
        <f>IF(ISNUMBER(Dossiers!$D$41),Dossiers!$A$41&amp;" · "&amp;Dossiers!$B$41,"")</f>
        <v/>
      </c>
      <c r="B2036" s="18">
        <f>IF($A2036="","",Paramètres!G38)</f>
        <v/>
      </c>
      <c r="C2036" s="18">
        <f>IF($A2036="","",IF(Paramètres!H38="","",Paramètres!H38))</f>
        <v/>
      </c>
      <c r="D2036" s="18">
        <f>IF($A2036="","",IF(Paramètres!I38="","",Paramètres!I38))</f>
        <v/>
      </c>
      <c r="E2036" s="19">
        <f>IF($A2036="","",IF(Paramètres!J38&amp;Paramètres!L38&amp;Paramètres!N38="",Dossiers!$D$41,MAX(IF(Paramètres!J38="",0,IF(Paramètres!K38="",NA(),IF(LEFT(TRIM(Paramètres!K38),1)="F",INDEX($F$2003:$F$2055,MATCH(Paramètres!J38,Paramètres!$G$5:$G$57,0)),INDEX($E$2003:$E$2055,MATCH(Paramètres!J38,Paramètres!$G$5:$G$57,0)))+IF(RIGHT(TRIM(Paramètres!K38),3)="Fin",1-$H2036,IF(LEFT(TRIM(Paramètres!K38),1)="F",1,0)))),IF(Paramètres!L38="",0,IF(Paramètres!M38="",NA(),IF(LEFT(TRIM(Paramètres!M38),1)="F",INDEX($F$2003:$F$2055,MATCH(Paramètres!L38,Paramètres!$G$5:$G$57,0)),INDEX($E$2003:$E$2055,MATCH(Paramètres!L38,Paramètres!$G$5:$G$57,0)))+IF(RIGHT(TRIM(Paramètres!M38),3)="Fin",1-$H2036,IF(LEFT(TRIM(Paramètres!M38),1)="F",1,0)))),IF(Paramètres!N38="",0,IF(Paramètres!O38="",NA(),IF(LEFT(TRIM(Paramètres!O38),1)="F",INDEX($F$2003:$F$2055,MATCH(Paramètres!N38,Paramètres!$G$5:$G$57,0)),INDEX($E$2003:$E$2055,MATCH(Paramètres!N38,Paramètres!$G$5:$G$57,0)))+IF(RIGHT(TRIM(Paramètres!O38),3)="Fin",1-$H2036,IF(LEFT(TRIM(Paramètres!O38),1)="F",1,0)))))))</f>
        <v/>
      </c>
      <c r="F2036" s="19">
        <f>IF($A2036="","",E2036+$H2036-1)</f>
        <v/>
      </c>
      <c r="G2036" s="18" t="n"/>
      <c r="H2036" s="18">
        <f>IF($A2036="","",IF(I2036&lt;&gt;"",I2036,Paramètres!B38))</f>
        <v/>
      </c>
      <c r="I2036" s="18" t="n"/>
    </row>
    <row r="2037">
      <c r="A2037" s="18">
        <f>IF(ISNUMBER(Dossiers!$D$41),Dossiers!$A$41&amp;" · "&amp;Dossiers!$B$41,"")</f>
        <v/>
      </c>
      <c r="B2037" s="18">
        <f>IF($A2037="","",Paramètres!G39)</f>
        <v/>
      </c>
      <c r="C2037" s="18">
        <f>IF($A2037="","",IF(Paramètres!H39="","",Paramètres!H39))</f>
        <v/>
      </c>
      <c r="D2037" s="18">
        <f>IF($A2037="","",IF(Paramètres!I39="","",Paramètres!I39))</f>
        <v/>
      </c>
      <c r="E2037" s="19">
        <f>IF($A2037="","",IF(Paramètres!J39&amp;Paramètres!L39&amp;Paramètres!N39="",Dossiers!$D$41,MAX(IF(Paramètres!J39="",0,IF(Paramètres!K39="",NA(),IF(LEFT(TRIM(Paramètres!K39),1)="F",INDEX($F$2003:$F$2055,MATCH(Paramètres!J39,Paramètres!$G$5:$G$57,0)),INDEX($E$2003:$E$2055,MATCH(Paramètres!J39,Paramètres!$G$5:$G$57,0)))+IF(RIGHT(TRIM(Paramètres!K39),3)="Fin",1-$H2037,IF(LEFT(TRIM(Paramètres!K39),1)="F",1,0)))),IF(Paramètres!L39="",0,IF(Paramètres!M39="",NA(),IF(LEFT(TRIM(Paramètres!M39),1)="F",INDEX($F$2003:$F$2055,MATCH(Paramètres!L39,Paramètres!$G$5:$G$57,0)),INDEX($E$2003:$E$2055,MATCH(Paramètres!L39,Paramètres!$G$5:$G$57,0)))+IF(RIGHT(TRIM(Paramètres!M39),3)="Fin",1-$H2037,IF(LEFT(TRIM(Paramètres!M39),1)="F",1,0)))),IF(Paramètres!N39="",0,IF(Paramètres!O39="",NA(),IF(LEFT(TRIM(Paramètres!O39),1)="F",INDEX($F$2003:$F$2055,MATCH(Paramètres!N39,Paramètres!$G$5:$G$57,0)),INDEX($E$2003:$E$2055,MATCH(Paramètres!N39,Paramètres!$G$5:$G$57,0)))+IF(RIGHT(TRIM(Paramètres!O39),3)="Fin",1-$H2037,IF(LEFT(TRIM(Paramètres!O39),1)="F",1,0)))))))</f>
        <v/>
      </c>
      <c r="F2037" s="19">
        <f>IF($A2037="","",E2037+$H2037-1)</f>
        <v/>
      </c>
      <c r="G2037" s="18" t="n"/>
      <c r="H2037" s="18">
        <f>IF($A2037="","",IF(I2037&lt;&gt;"",I2037,Paramètres!B39))</f>
        <v/>
      </c>
      <c r="I2037" s="18" t="n"/>
    </row>
    <row r="2038">
      <c r="A2038" s="18">
        <f>IF(ISNUMBER(Dossiers!$D$41),Dossiers!$A$41&amp;" · "&amp;Dossiers!$B$41,"")</f>
        <v/>
      </c>
      <c r="B2038" s="18">
        <f>IF($A2038="","",Paramètres!G40)</f>
        <v/>
      </c>
      <c r="C2038" s="18">
        <f>IF($A2038="","",IF(Paramètres!H40="","",Paramètres!H40))</f>
        <v/>
      </c>
      <c r="D2038" s="18">
        <f>IF($A2038="","",IF(Paramètres!I40="","",Paramètres!I40))</f>
        <v/>
      </c>
      <c r="E2038" s="19">
        <f>IF($A2038="","",IF(Paramètres!J40&amp;Paramètres!L40&amp;Paramètres!N40="",Dossiers!$D$41,MAX(IF(Paramètres!J40="",0,IF(Paramètres!K40="",NA(),IF(LEFT(TRIM(Paramètres!K40),1)="F",INDEX($F$2003:$F$2055,MATCH(Paramètres!J40,Paramètres!$G$5:$G$57,0)),INDEX($E$2003:$E$2055,MATCH(Paramètres!J40,Paramètres!$G$5:$G$57,0)))+IF(RIGHT(TRIM(Paramètres!K40),3)="Fin",1-$H2038,IF(LEFT(TRIM(Paramètres!K40),1)="F",1,0)))),IF(Paramètres!L40="",0,IF(Paramètres!M40="",NA(),IF(LEFT(TRIM(Paramètres!M40),1)="F",INDEX($F$2003:$F$2055,MATCH(Paramètres!L40,Paramètres!$G$5:$G$57,0)),INDEX($E$2003:$E$2055,MATCH(Paramètres!L40,Paramètres!$G$5:$G$57,0)))+IF(RIGHT(TRIM(Paramètres!M40),3)="Fin",1-$H2038,IF(LEFT(TRIM(Paramètres!M40),1)="F",1,0)))),IF(Paramètres!N40="",0,IF(Paramètres!O40="",NA(),IF(LEFT(TRIM(Paramètres!O40),1)="F",INDEX($F$2003:$F$2055,MATCH(Paramètres!N40,Paramètres!$G$5:$G$57,0)),INDEX($E$2003:$E$2055,MATCH(Paramètres!N40,Paramètres!$G$5:$G$57,0)))+IF(RIGHT(TRIM(Paramètres!O40),3)="Fin",1-$H2038,IF(LEFT(TRIM(Paramètres!O40),1)="F",1,0)))))))</f>
        <v/>
      </c>
      <c r="F2038" s="19">
        <f>IF($A2038="","",E2038+$H2038-1)</f>
        <v/>
      </c>
      <c r="G2038" s="18" t="n"/>
      <c r="H2038" s="18">
        <f>IF($A2038="","",IF(I2038&lt;&gt;"",I2038,Paramètres!B40))</f>
        <v/>
      </c>
      <c r="I2038" s="18" t="n"/>
    </row>
    <row r="2039">
      <c r="A2039" s="18">
        <f>IF(ISNUMBER(Dossiers!$D$41),Dossiers!$A$41&amp;" · "&amp;Dossiers!$B$41,"")</f>
        <v/>
      </c>
      <c r="B2039" s="18">
        <f>IF($A2039="","",Paramètres!G41)</f>
        <v/>
      </c>
      <c r="C2039" s="18">
        <f>IF($A2039="","",IF(Paramètres!H41="","",Paramètres!H41))</f>
        <v/>
      </c>
      <c r="D2039" s="18">
        <f>IF($A2039="","",IF(Paramètres!I41="","",Paramètres!I41))</f>
        <v/>
      </c>
      <c r="E2039" s="19">
        <f>IF($A2039="","",IF(Paramètres!J41&amp;Paramètres!L41&amp;Paramètres!N41="",Dossiers!$D$41,MAX(IF(Paramètres!J41="",0,IF(Paramètres!K41="",NA(),IF(LEFT(TRIM(Paramètres!K41),1)="F",INDEX($F$2003:$F$2055,MATCH(Paramètres!J41,Paramètres!$G$5:$G$57,0)),INDEX($E$2003:$E$2055,MATCH(Paramètres!J41,Paramètres!$G$5:$G$57,0)))+IF(RIGHT(TRIM(Paramètres!K41),3)="Fin",1-$H2039,IF(LEFT(TRIM(Paramètres!K41),1)="F",1,0)))),IF(Paramètres!L41="",0,IF(Paramètres!M41="",NA(),IF(LEFT(TRIM(Paramètres!M41),1)="F",INDEX($F$2003:$F$2055,MATCH(Paramètres!L41,Paramètres!$G$5:$G$57,0)),INDEX($E$2003:$E$2055,MATCH(Paramètres!L41,Paramètres!$G$5:$G$57,0)))+IF(RIGHT(TRIM(Paramètres!M41),3)="Fin",1-$H2039,IF(LEFT(TRIM(Paramètres!M41),1)="F",1,0)))),IF(Paramètres!N41="",0,IF(Paramètres!O41="",NA(),IF(LEFT(TRIM(Paramètres!O41),1)="F",INDEX($F$2003:$F$2055,MATCH(Paramètres!N41,Paramètres!$G$5:$G$57,0)),INDEX($E$2003:$E$2055,MATCH(Paramètres!N41,Paramètres!$G$5:$G$57,0)))+IF(RIGHT(TRIM(Paramètres!O41),3)="Fin",1-$H2039,IF(LEFT(TRIM(Paramètres!O41),1)="F",1,0)))))))</f>
        <v/>
      </c>
      <c r="F2039" s="19">
        <f>IF($A2039="","",E2039+$H2039-1)</f>
        <v/>
      </c>
      <c r="G2039" s="18" t="n"/>
      <c r="H2039" s="18">
        <f>IF($A2039="","",IF(I2039&lt;&gt;"",I2039,Paramètres!B41))</f>
        <v/>
      </c>
      <c r="I2039" s="18" t="n"/>
    </row>
    <row r="2040">
      <c r="A2040" s="18">
        <f>IF(ISNUMBER(Dossiers!$D$41),Dossiers!$A$41&amp;" · "&amp;Dossiers!$B$41,"")</f>
        <v/>
      </c>
      <c r="B2040" s="18">
        <f>IF($A2040="","",Paramètres!G42)</f>
        <v/>
      </c>
      <c r="C2040" s="18">
        <f>IF($A2040="","",IF(Paramètres!H42="","",Paramètres!H42))</f>
        <v/>
      </c>
      <c r="D2040" s="18">
        <f>IF($A2040="","",IF(Paramètres!I42="","",Paramètres!I42))</f>
        <v/>
      </c>
      <c r="E2040" s="19">
        <f>IF($A2040="","",IF(Paramètres!J42&amp;Paramètres!L42&amp;Paramètres!N42="",Dossiers!$D$41,MAX(IF(Paramètres!J42="",0,IF(Paramètres!K42="",NA(),IF(LEFT(TRIM(Paramètres!K42),1)="F",INDEX($F$2003:$F$2055,MATCH(Paramètres!J42,Paramètres!$G$5:$G$57,0)),INDEX($E$2003:$E$2055,MATCH(Paramètres!J42,Paramètres!$G$5:$G$57,0)))+IF(RIGHT(TRIM(Paramètres!K42),3)="Fin",1-$H2040,IF(LEFT(TRIM(Paramètres!K42),1)="F",1,0)))),IF(Paramètres!L42="",0,IF(Paramètres!M42="",NA(),IF(LEFT(TRIM(Paramètres!M42),1)="F",INDEX($F$2003:$F$2055,MATCH(Paramètres!L42,Paramètres!$G$5:$G$57,0)),INDEX($E$2003:$E$2055,MATCH(Paramètres!L42,Paramètres!$G$5:$G$57,0)))+IF(RIGHT(TRIM(Paramètres!M42),3)="Fin",1-$H2040,IF(LEFT(TRIM(Paramètres!M42),1)="F",1,0)))),IF(Paramètres!N42="",0,IF(Paramètres!O42="",NA(),IF(LEFT(TRIM(Paramètres!O42),1)="F",INDEX($F$2003:$F$2055,MATCH(Paramètres!N42,Paramètres!$G$5:$G$57,0)),INDEX($E$2003:$E$2055,MATCH(Paramètres!N42,Paramètres!$G$5:$G$57,0)))+IF(RIGHT(TRIM(Paramètres!O42),3)="Fin",1-$H2040,IF(LEFT(TRIM(Paramètres!O42),1)="F",1,0)))))))</f>
        <v/>
      </c>
      <c r="F2040" s="19">
        <f>IF($A2040="","",E2040+$H2040-1)</f>
        <v/>
      </c>
      <c r="G2040" s="18" t="n"/>
      <c r="H2040" s="18">
        <f>IF($A2040="","",IF(I2040&lt;&gt;"",I2040,Paramètres!B42))</f>
        <v/>
      </c>
      <c r="I2040" s="18" t="n"/>
    </row>
    <row r="2041">
      <c r="A2041" s="18">
        <f>IF(ISNUMBER(Dossiers!$D$41),Dossiers!$A$41&amp;" · "&amp;Dossiers!$B$41,"")</f>
        <v/>
      </c>
      <c r="B2041" s="18">
        <f>IF($A2041="","",Paramètres!G43)</f>
        <v/>
      </c>
      <c r="C2041" s="18">
        <f>IF($A2041="","",IF(Paramètres!H43="","",Paramètres!H43))</f>
        <v/>
      </c>
      <c r="D2041" s="18">
        <f>IF($A2041="","",IF(Paramètres!I43="","",Paramètres!I43))</f>
        <v/>
      </c>
      <c r="E2041" s="19">
        <f>IF($A2041="","",IF(Paramètres!J43&amp;Paramètres!L43&amp;Paramètres!N43="",Dossiers!$D$41,MAX(IF(Paramètres!J43="",0,IF(Paramètres!K43="",NA(),IF(LEFT(TRIM(Paramètres!K43),1)="F",INDEX($F$2003:$F$2055,MATCH(Paramètres!J43,Paramètres!$G$5:$G$57,0)),INDEX($E$2003:$E$2055,MATCH(Paramètres!J43,Paramètres!$G$5:$G$57,0)))+IF(RIGHT(TRIM(Paramètres!K43),3)="Fin",1-$H2041,IF(LEFT(TRIM(Paramètres!K43),1)="F",1,0)))),IF(Paramètres!L43="",0,IF(Paramètres!M43="",NA(),IF(LEFT(TRIM(Paramètres!M43),1)="F",INDEX($F$2003:$F$2055,MATCH(Paramètres!L43,Paramètres!$G$5:$G$57,0)),INDEX($E$2003:$E$2055,MATCH(Paramètres!L43,Paramètres!$G$5:$G$57,0)))+IF(RIGHT(TRIM(Paramètres!M43),3)="Fin",1-$H2041,IF(LEFT(TRIM(Paramètres!M43),1)="F",1,0)))),IF(Paramètres!N43="",0,IF(Paramètres!O43="",NA(),IF(LEFT(TRIM(Paramètres!O43),1)="F",INDEX($F$2003:$F$2055,MATCH(Paramètres!N43,Paramètres!$G$5:$G$57,0)),INDEX($E$2003:$E$2055,MATCH(Paramètres!N43,Paramètres!$G$5:$G$57,0)))+IF(RIGHT(TRIM(Paramètres!O43),3)="Fin",1-$H2041,IF(LEFT(TRIM(Paramètres!O43),1)="F",1,0)))))))</f>
        <v/>
      </c>
      <c r="F2041" s="19">
        <f>IF($A2041="","",E2041+$H2041-1)</f>
        <v/>
      </c>
      <c r="G2041" s="18" t="n"/>
      <c r="H2041" s="18">
        <f>IF($A2041="","",IF(I2041&lt;&gt;"",I2041,Paramètres!B43))</f>
        <v/>
      </c>
      <c r="I2041" s="18" t="n"/>
    </row>
    <row r="2042">
      <c r="A2042" s="18">
        <f>IF(ISNUMBER(Dossiers!$D$41),Dossiers!$A$41&amp;" · "&amp;Dossiers!$B$41,"")</f>
        <v/>
      </c>
      <c r="B2042" s="18">
        <f>IF($A2042="","",Paramètres!G44)</f>
        <v/>
      </c>
      <c r="C2042" s="18">
        <f>IF($A2042="","",IF(Paramètres!H44="","",Paramètres!H44))</f>
        <v/>
      </c>
      <c r="D2042" s="18">
        <f>IF($A2042="","",IF(Paramètres!I44="","",Paramètres!I44))</f>
        <v/>
      </c>
      <c r="E2042" s="19">
        <f>IF($A2042="","",IF(Paramètres!J44&amp;Paramètres!L44&amp;Paramètres!N44="",Dossiers!$D$41,MAX(IF(Paramètres!J44="",0,IF(Paramètres!K44="",NA(),IF(LEFT(TRIM(Paramètres!K44),1)="F",INDEX($F$2003:$F$2055,MATCH(Paramètres!J44,Paramètres!$G$5:$G$57,0)),INDEX($E$2003:$E$2055,MATCH(Paramètres!J44,Paramètres!$G$5:$G$57,0)))+IF(RIGHT(TRIM(Paramètres!K44),3)="Fin",1-$H2042,IF(LEFT(TRIM(Paramètres!K44),1)="F",1,0)))),IF(Paramètres!L44="",0,IF(Paramètres!M44="",NA(),IF(LEFT(TRIM(Paramètres!M44),1)="F",INDEX($F$2003:$F$2055,MATCH(Paramètres!L44,Paramètres!$G$5:$G$57,0)),INDEX($E$2003:$E$2055,MATCH(Paramètres!L44,Paramètres!$G$5:$G$57,0)))+IF(RIGHT(TRIM(Paramètres!M44),3)="Fin",1-$H2042,IF(LEFT(TRIM(Paramètres!M44),1)="F",1,0)))),IF(Paramètres!N44="",0,IF(Paramètres!O44="",NA(),IF(LEFT(TRIM(Paramètres!O44),1)="F",INDEX($F$2003:$F$2055,MATCH(Paramètres!N44,Paramètres!$G$5:$G$57,0)),INDEX($E$2003:$E$2055,MATCH(Paramètres!N44,Paramètres!$G$5:$G$57,0)))+IF(RIGHT(TRIM(Paramètres!O44),3)="Fin",1-$H2042,IF(LEFT(TRIM(Paramètres!O44),1)="F",1,0)))))))</f>
        <v/>
      </c>
      <c r="F2042" s="19">
        <f>IF($A2042="","",E2042+$H2042-1)</f>
        <v/>
      </c>
      <c r="G2042" s="18" t="n"/>
      <c r="H2042" s="18">
        <f>IF($A2042="","",IF(I2042&lt;&gt;"",I2042,Paramètres!B44))</f>
        <v/>
      </c>
      <c r="I2042" s="18" t="n"/>
    </row>
    <row r="2043">
      <c r="A2043" s="18">
        <f>IF(ISNUMBER(Dossiers!$D$41),Dossiers!$A$41&amp;" · "&amp;Dossiers!$B$41,"")</f>
        <v/>
      </c>
      <c r="B2043" s="18">
        <f>IF($A2043="","",Paramètres!G45)</f>
        <v/>
      </c>
      <c r="C2043" s="20">
        <f>IF($A2043="","",IF(Dossiers!$G$41="","",Dossiers!$G$41))</f>
        <v/>
      </c>
      <c r="D2043" s="18">
        <f>IF($A2043="","",IF(Paramètres!I45="","",Paramètres!I45))</f>
        <v/>
      </c>
      <c r="E2043" s="19">
        <f>IF($A2043="","",IF(Paramètres!J45&amp;Paramètres!L45&amp;Paramètres!N45="",Dossiers!$D$41,MAX(IF(Paramètres!J45="",0,IF(Paramètres!K45="",NA(),IF(LEFT(TRIM(Paramètres!K45),1)="F",INDEX($F$2003:$F$2055,MATCH(Paramètres!J45,Paramètres!$G$5:$G$57,0)),INDEX($E$2003:$E$2055,MATCH(Paramètres!J45,Paramètres!$G$5:$G$57,0)))+IF(RIGHT(TRIM(Paramètres!K45),3)="Fin",1-$H2043,IF(LEFT(TRIM(Paramètres!K45),1)="F",1,0)))),IF(Paramètres!L45="",0,IF(Paramètres!M45="",NA(),IF(LEFT(TRIM(Paramètres!M45),1)="F",INDEX($F$2003:$F$2055,MATCH(Paramètres!L45,Paramètres!$G$5:$G$57,0)),INDEX($E$2003:$E$2055,MATCH(Paramètres!L45,Paramètres!$G$5:$G$57,0)))+IF(RIGHT(TRIM(Paramètres!M45),3)="Fin",1-$H2043,IF(LEFT(TRIM(Paramètres!M45),1)="F",1,0)))),IF(Paramètres!N45="",0,IF(Paramètres!O45="",NA(),IF(LEFT(TRIM(Paramètres!O45),1)="F",INDEX($F$2003:$F$2055,MATCH(Paramètres!N45,Paramètres!$G$5:$G$57,0)),INDEX($E$2003:$E$2055,MATCH(Paramètres!N45,Paramètres!$G$5:$G$57,0)))+IF(RIGHT(TRIM(Paramètres!O45),3)="Fin",1-$H2043,IF(LEFT(TRIM(Paramètres!O45),1)="F",1,0)))))))</f>
        <v/>
      </c>
      <c r="F2043" s="19">
        <f>IF($A2043="","",E2043+$H2043-1)</f>
        <v/>
      </c>
      <c r="G2043" s="18" t="n"/>
      <c r="H2043" s="18">
        <f>IF($A2043="","",IF(I2043&lt;&gt;"",I2043,Paramètres!B45))</f>
        <v/>
      </c>
      <c r="I2043" s="18" t="n"/>
    </row>
    <row r="2044">
      <c r="A2044" s="18">
        <f>IF(ISNUMBER(Dossiers!$D$41),Dossiers!$A$41&amp;" · "&amp;Dossiers!$B$41,"")</f>
        <v/>
      </c>
      <c r="B2044" s="18">
        <f>IF($A2044="","",Paramètres!G46)</f>
        <v/>
      </c>
      <c r="C2044" s="18">
        <f>IF($A2044="","",IF(Paramètres!H46="","",Paramètres!H46))</f>
        <v/>
      </c>
      <c r="D2044" s="18">
        <f>IF($A2044="","",IF(Paramètres!I46="","",Paramètres!I46))</f>
        <v/>
      </c>
      <c r="E2044" s="19">
        <f>IF($A2044="","",IF(Paramètres!J46&amp;Paramètres!L46&amp;Paramètres!N46="",Dossiers!$D$41,MAX(IF(Paramètres!J46="",0,IF(Paramètres!K46="",NA(),IF(LEFT(TRIM(Paramètres!K46),1)="F",INDEX($F$2003:$F$2055,MATCH(Paramètres!J46,Paramètres!$G$5:$G$57,0)),INDEX($E$2003:$E$2055,MATCH(Paramètres!J46,Paramètres!$G$5:$G$57,0)))+IF(RIGHT(TRIM(Paramètres!K46),3)="Fin",1-$H2044,IF(LEFT(TRIM(Paramètres!K46),1)="F",1,0)))),IF(Paramètres!L46="",0,IF(Paramètres!M46="",NA(),IF(LEFT(TRIM(Paramètres!M46),1)="F",INDEX($F$2003:$F$2055,MATCH(Paramètres!L46,Paramètres!$G$5:$G$57,0)),INDEX($E$2003:$E$2055,MATCH(Paramètres!L46,Paramètres!$G$5:$G$57,0)))+IF(RIGHT(TRIM(Paramètres!M46),3)="Fin",1-$H2044,IF(LEFT(TRIM(Paramètres!M46),1)="F",1,0)))),IF(Paramètres!N46="",0,IF(Paramètres!O46="",NA(),IF(LEFT(TRIM(Paramètres!O46),1)="F",INDEX($F$2003:$F$2055,MATCH(Paramètres!N46,Paramètres!$G$5:$G$57,0)),INDEX($E$2003:$E$2055,MATCH(Paramètres!N46,Paramètres!$G$5:$G$57,0)))+IF(RIGHT(TRIM(Paramètres!O46),3)="Fin",1-$H2044,IF(LEFT(TRIM(Paramètres!O46),1)="F",1,0)))))))</f>
        <v/>
      </c>
      <c r="F2044" s="19">
        <f>IF($A2044="","",E2044+$H2044-1)</f>
        <v/>
      </c>
      <c r="G2044" s="18" t="n"/>
      <c r="H2044" s="18">
        <f>IF($A2044="","",IF(I2044&lt;&gt;"",I2044,Paramètres!B46))</f>
        <v/>
      </c>
      <c r="I2044" s="18" t="n"/>
    </row>
    <row r="2045">
      <c r="A2045" s="18">
        <f>IF(ISNUMBER(Dossiers!$D$41),Dossiers!$A$41&amp;" · "&amp;Dossiers!$B$41,"")</f>
        <v/>
      </c>
      <c r="B2045" s="18">
        <f>IF($A2045="","",Paramètres!G47)</f>
        <v/>
      </c>
      <c r="C2045" s="18">
        <f>IF($A2045="","",IF(Paramètres!H47="","",Paramètres!H47))</f>
        <v/>
      </c>
      <c r="D2045" s="18">
        <f>IF($A2045="","",IF(Paramètres!I47="","",Paramètres!I47))</f>
        <v/>
      </c>
      <c r="E2045" s="19">
        <f>IF($A2045="","",IF(Paramètres!J47&amp;Paramètres!L47&amp;Paramètres!N47="",Dossiers!$D$41,MAX(IF(Paramètres!J47="",0,IF(Paramètres!K47="",NA(),IF(LEFT(TRIM(Paramètres!K47),1)="F",INDEX($F$2003:$F$2055,MATCH(Paramètres!J47,Paramètres!$G$5:$G$57,0)),INDEX($E$2003:$E$2055,MATCH(Paramètres!J47,Paramètres!$G$5:$G$57,0)))+IF(RIGHT(TRIM(Paramètres!K47),3)="Fin",1-$H2045,IF(LEFT(TRIM(Paramètres!K47),1)="F",1,0)))),IF(Paramètres!L47="",0,IF(Paramètres!M47="",NA(),IF(LEFT(TRIM(Paramètres!M47),1)="F",INDEX($F$2003:$F$2055,MATCH(Paramètres!L47,Paramètres!$G$5:$G$57,0)),INDEX($E$2003:$E$2055,MATCH(Paramètres!L47,Paramètres!$G$5:$G$57,0)))+IF(RIGHT(TRIM(Paramètres!M47),3)="Fin",1-$H2045,IF(LEFT(TRIM(Paramètres!M47),1)="F",1,0)))),IF(Paramètres!N47="",0,IF(Paramètres!O47="",NA(),IF(LEFT(TRIM(Paramètres!O47),1)="F",INDEX($F$2003:$F$2055,MATCH(Paramètres!N47,Paramètres!$G$5:$G$57,0)),INDEX($E$2003:$E$2055,MATCH(Paramètres!N47,Paramètres!$G$5:$G$57,0)))+IF(RIGHT(TRIM(Paramètres!O47),3)="Fin",1-$H2045,IF(LEFT(TRIM(Paramètres!O47),1)="F",1,0)))))))</f>
        <v/>
      </c>
      <c r="F2045" s="19">
        <f>IF($A2045="","",E2045+$H2045-1)</f>
        <v/>
      </c>
      <c r="G2045" s="18" t="n"/>
      <c r="H2045" s="18">
        <f>IF($A2045="","",IF(I2045&lt;&gt;"",I2045,Paramètres!B47))</f>
        <v/>
      </c>
      <c r="I2045" s="18" t="n"/>
    </row>
    <row r="2046">
      <c r="A2046" s="18">
        <f>IF(ISNUMBER(Dossiers!$D$41),Dossiers!$A$41&amp;" · "&amp;Dossiers!$B$41,"")</f>
        <v/>
      </c>
      <c r="B2046" s="18">
        <f>IF($A2046="","",Paramètres!G48)</f>
        <v/>
      </c>
      <c r="C2046" s="18">
        <f>IF($A2046="","",IF(Paramètres!H48="","",Paramètres!H48))</f>
        <v/>
      </c>
      <c r="D2046" s="18">
        <f>IF($A2046="","",IF(Paramètres!I48="","",Paramètres!I48))</f>
        <v/>
      </c>
      <c r="E2046" s="19">
        <f>IF($A2046="","",IF(Paramètres!J48&amp;Paramètres!L48&amp;Paramètres!N48="",Dossiers!$D$41,MAX(IF(Paramètres!J48="",0,IF(Paramètres!K48="",NA(),IF(LEFT(TRIM(Paramètres!K48),1)="F",INDEX($F$2003:$F$2055,MATCH(Paramètres!J48,Paramètres!$G$5:$G$57,0)),INDEX($E$2003:$E$2055,MATCH(Paramètres!J48,Paramètres!$G$5:$G$57,0)))+IF(RIGHT(TRIM(Paramètres!K48),3)="Fin",1-$H2046,IF(LEFT(TRIM(Paramètres!K48),1)="F",1,0)))),IF(Paramètres!L48="",0,IF(Paramètres!M48="",NA(),IF(LEFT(TRIM(Paramètres!M48),1)="F",INDEX($F$2003:$F$2055,MATCH(Paramètres!L48,Paramètres!$G$5:$G$57,0)),INDEX($E$2003:$E$2055,MATCH(Paramètres!L48,Paramètres!$G$5:$G$57,0)))+IF(RIGHT(TRIM(Paramètres!M48),3)="Fin",1-$H2046,IF(LEFT(TRIM(Paramètres!M48),1)="F",1,0)))),IF(Paramètres!N48="",0,IF(Paramètres!O48="",NA(),IF(LEFT(TRIM(Paramètres!O48),1)="F",INDEX($F$2003:$F$2055,MATCH(Paramètres!N48,Paramètres!$G$5:$G$57,0)),INDEX($E$2003:$E$2055,MATCH(Paramètres!N48,Paramètres!$G$5:$G$57,0)))+IF(RIGHT(TRIM(Paramètres!O48),3)="Fin",1-$H2046,IF(LEFT(TRIM(Paramètres!O48),1)="F",1,0)))))))</f>
        <v/>
      </c>
      <c r="F2046" s="19">
        <f>IF($A2046="","",E2046+$H2046-1)</f>
        <v/>
      </c>
      <c r="G2046" s="18" t="n"/>
      <c r="H2046" s="18">
        <f>IF($A2046="","",IF(I2046&lt;&gt;"",I2046,Paramètres!B48))</f>
        <v/>
      </c>
      <c r="I2046" s="18" t="n"/>
    </row>
    <row r="2047">
      <c r="A2047" s="18">
        <f>IF(ISNUMBER(Dossiers!$D$41),Dossiers!$A$41&amp;" · "&amp;Dossiers!$B$41,"")</f>
        <v/>
      </c>
      <c r="B2047" s="18">
        <f>IF($A2047="","",Paramètres!G49)</f>
        <v/>
      </c>
      <c r="C2047" s="18">
        <f>IF($A2047="","",IF(Paramètres!H49="","",Paramètres!H49))</f>
        <v/>
      </c>
      <c r="D2047" s="18">
        <f>IF($A2047="","",IF(Paramètres!I49="","",Paramètres!I49))</f>
        <v/>
      </c>
      <c r="E2047" s="19">
        <f>IF($A2047="","",IF(Paramètres!J49&amp;Paramètres!L49&amp;Paramètres!N49="",Dossiers!$D$41,MAX(IF(Paramètres!J49="",0,IF(Paramètres!K49="",NA(),IF(LEFT(TRIM(Paramètres!K49),1)="F",INDEX($F$2003:$F$2055,MATCH(Paramètres!J49,Paramètres!$G$5:$G$57,0)),INDEX($E$2003:$E$2055,MATCH(Paramètres!J49,Paramètres!$G$5:$G$57,0)))+IF(RIGHT(TRIM(Paramètres!K49),3)="Fin",1-$H2047,IF(LEFT(TRIM(Paramètres!K49),1)="F",1,0)))),IF(Paramètres!L49="",0,IF(Paramètres!M49="",NA(),IF(LEFT(TRIM(Paramètres!M49),1)="F",INDEX($F$2003:$F$2055,MATCH(Paramètres!L49,Paramètres!$G$5:$G$57,0)),INDEX($E$2003:$E$2055,MATCH(Paramètres!L49,Paramètres!$G$5:$G$57,0)))+IF(RIGHT(TRIM(Paramètres!M49),3)="Fin",1-$H2047,IF(LEFT(TRIM(Paramètres!M49),1)="F",1,0)))),IF(Paramètres!N49="",0,IF(Paramètres!O49="",NA(),IF(LEFT(TRIM(Paramètres!O49),1)="F",INDEX($F$2003:$F$2055,MATCH(Paramètres!N49,Paramètres!$G$5:$G$57,0)),INDEX($E$2003:$E$2055,MATCH(Paramètres!N49,Paramètres!$G$5:$G$57,0)))+IF(RIGHT(TRIM(Paramètres!O49),3)="Fin",1-$H2047,IF(LEFT(TRIM(Paramètres!O49),1)="F",1,0)))))))</f>
        <v/>
      </c>
      <c r="F2047" s="19">
        <f>IF($A2047="","",E2047+$H2047-1)</f>
        <v/>
      </c>
      <c r="G2047" s="18" t="n"/>
      <c r="H2047" s="18">
        <f>IF($A2047="","",IF(I2047&lt;&gt;"",I2047,Paramètres!B49))</f>
        <v/>
      </c>
      <c r="I2047" s="18" t="n"/>
    </row>
    <row r="2048">
      <c r="A2048" s="18">
        <f>IF(ISNUMBER(Dossiers!$D$41),Dossiers!$A$41&amp;" · "&amp;Dossiers!$B$41,"")</f>
        <v/>
      </c>
      <c r="B2048" s="18">
        <f>IF($A2048="","",Paramètres!G50)</f>
        <v/>
      </c>
      <c r="C2048" s="18">
        <f>IF($A2048="","",IF(Paramètres!H50="","",Paramètres!H50))</f>
        <v/>
      </c>
      <c r="D2048" s="18">
        <f>IF($A2048="","",IF(Paramètres!I50="","",Paramètres!I50))</f>
        <v/>
      </c>
      <c r="E2048" s="19">
        <f>IF($A2048="","",IF(Paramètres!J50&amp;Paramètres!L50&amp;Paramètres!N50="",Dossiers!$D$41,MAX(IF(Paramètres!J50="",0,IF(Paramètres!K50="",NA(),IF(LEFT(TRIM(Paramètres!K50),1)="F",INDEX($F$2003:$F$2055,MATCH(Paramètres!J50,Paramètres!$G$5:$G$57,0)),INDEX($E$2003:$E$2055,MATCH(Paramètres!J50,Paramètres!$G$5:$G$57,0)))+IF(RIGHT(TRIM(Paramètres!K50),3)="Fin",1-$H2048,IF(LEFT(TRIM(Paramètres!K50),1)="F",1,0)))),IF(Paramètres!L50="",0,IF(Paramètres!M50="",NA(),IF(LEFT(TRIM(Paramètres!M50),1)="F",INDEX($F$2003:$F$2055,MATCH(Paramètres!L50,Paramètres!$G$5:$G$57,0)),INDEX($E$2003:$E$2055,MATCH(Paramètres!L50,Paramètres!$G$5:$G$57,0)))+IF(RIGHT(TRIM(Paramètres!M50),3)="Fin",1-$H2048,IF(LEFT(TRIM(Paramètres!M50),1)="F",1,0)))),IF(Paramètres!N50="",0,IF(Paramètres!O50="",NA(),IF(LEFT(TRIM(Paramètres!O50),1)="F",INDEX($F$2003:$F$2055,MATCH(Paramètres!N50,Paramètres!$G$5:$G$57,0)),INDEX($E$2003:$E$2055,MATCH(Paramètres!N50,Paramètres!$G$5:$G$57,0)))+IF(RIGHT(TRIM(Paramètres!O50),3)="Fin",1-$H2048,IF(LEFT(TRIM(Paramètres!O50),1)="F",1,0)))))))</f>
        <v/>
      </c>
      <c r="F2048" s="19">
        <f>IF($A2048="","",E2048+$H2048-1)</f>
        <v/>
      </c>
      <c r="G2048" s="18" t="n"/>
      <c r="H2048" s="18">
        <f>IF($A2048="","",IF(I2048&lt;&gt;"",I2048,Paramètres!B50))</f>
        <v/>
      </c>
      <c r="I2048" s="18" t="n"/>
    </row>
    <row r="2049">
      <c r="A2049" s="18">
        <f>IF(ISNUMBER(Dossiers!$D$41),Dossiers!$A$41&amp;" · "&amp;Dossiers!$B$41,"")</f>
        <v/>
      </c>
      <c r="B2049" s="18">
        <f>IF($A2049="","",Paramètres!G51)</f>
        <v/>
      </c>
      <c r="C2049" s="18">
        <f>IF($A2049="","",IF(Paramètres!H51="","",Paramètres!H51))</f>
        <v/>
      </c>
      <c r="D2049" s="18">
        <f>IF($A2049="","",IF(Paramètres!I51="","",Paramètres!I51))</f>
        <v/>
      </c>
      <c r="E2049" s="19">
        <f>IF($A2049="","",IF(Paramètres!J51&amp;Paramètres!L51&amp;Paramètres!N51="",Dossiers!$D$41,MAX(IF(Paramètres!J51="",0,IF(Paramètres!K51="",NA(),IF(LEFT(TRIM(Paramètres!K51),1)="F",INDEX($F$2003:$F$2055,MATCH(Paramètres!J51,Paramètres!$G$5:$G$57,0)),INDEX($E$2003:$E$2055,MATCH(Paramètres!J51,Paramètres!$G$5:$G$57,0)))+IF(RIGHT(TRIM(Paramètres!K51),3)="Fin",1-$H2049,IF(LEFT(TRIM(Paramètres!K51),1)="F",1,0)))),IF(Paramètres!L51="",0,IF(Paramètres!M51="",NA(),IF(LEFT(TRIM(Paramètres!M51),1)="F",INDEX($F$2003:$F$2055,MATCH(Paramètres!L51,Paramètres!$G$5:$G$57,0)),INDEX($E$2003:$E$2055,MATCH(Paramètres!L51,Paramètres!$G$5:$G$57,0)))+IF(RIGHT(TRIM(Paramètres!M51),3)="Fin",1-$H2049,IF(LEFT(TRIM(Paramètres!M51),1)="F",1,0)))),IF(Paramètres!N51="",0,IF(Paramètres!O51="",NA(),IF(LEFT(TRIM(Paramètres!O51),1)="F",INDEX($F$2003:$F$2055,MATCH(Paramètres!N51,Paramètres!$G$5:$G$57,0)),INDEX($E$2003:$E$2055,MATCH(Paramètres!N51,Paramètres!$G$5:$G$57,0)))+IF(RIGHT(TRIM(Paramètres!O51),3)="Fin",1-$H2049,IF(LEFT(TRIM(Paramètres!O51),1)="F",1,0)))))))</f>
        <v/>
      </c>
      <c r="F2049" s="19">
        <f>IF($A2049="","",E2049+$H2049-1)</f>
        <v/>
      </c>
      <c r="G2049" s="18" t="n"/>
      <c r="H2049" s="18">
        <f>IF($A2049="","",IF(I2049&lt;&gt;"",I2049,Paramètres!B51))</f>
        <v/>
      </c>
      <c r="I2049" s="18" t="n"/>
    </row>
    <row r="2050">
      <c r="A2050" s="18">
        <f>IF(ISNUMBER(Dossiers!$D$41),Dossiers!$A$41&amp;" · "&amp;Dossiers!$B$41,"")</f>
        <v/>
      </c>
      <c r="B2050" s="18">
        <f>IF($A2050="","",Paramètres!G52)</f>
        <v/>
      </c>
      <c r="C2050" s="18">
        <f>IF($A2050="","",IF(Paramètres!H52="","",Paramètres!H52))</f>
        <v/>
      </c>
      <c r="D2050" s="18">
        <f>IF($A2050="","",IF(Paramètres!I52="","",Paramètres!I52))</f>
        <v/>
      </c>
      <c r="E2050" s="19">
        <f>IF($A2050="","",IF(Paramètres!J52&amp;Paramètres!L52&amp;Paramètres!N52="",Dossiers!$D$41,MAX(IF(Paramètres!J52="",0,IF(Paramètres!K52="",NA(),IF(LEFT(TRIM(Paramètres!K52),1)="F",INDEX($F$2003:$F$2055,MATCH(Paramètres!J52,Paramètres!$G$5:$G$57,0)),INDEX($E$2003:$E$2055,MATCH(Paramètres!J52,Paramètres!$G$5:$G$57,0)))+IF(RIGHT(TRIM(Paramètres!K52),3)="Fin",1-$H2050,IF(LEFT(TRIM(Paramètres!K52),1)="F",1,0)))),IF(Paramètres!L52="",0,IF(Paramètres!M52="",NA(),IF(LEFT(TRIM(Paramètres!M52),1)="F",INDEX($F$2003:$F$2055,MATCH(Paramètres!L52,Paramètres!$G$5:$G$57,0)),INDEX($E$2003:$E$2055,MATCH(Paramètres!L52,Paramètres!$G$5:$G$57,0)))+IF(RIGHT(TRIM(Paramètres!M52),3)="Fin",1-$H2050,IF(LEFT(TRIM(Paramètres!M52),1)="F",1,0)))),IF(Paramètres!N52="",0,IF(Paramètres!O52="",NA(),IF(LEFT(TRIM(Paramètres!O52),1)="F",INDEX($F$2003:$F$2055,MATCH(Paramètres!N52,Paramètres!$G$5:$G$57,0)),INDEX($E$2003:$E$2055,MATCH(Paramètres!N52,Paramètres!$G$5:$G$57,0)))+IF(RIGHT(TRIM(Paramètres!O52),3)="Fin",1-$H2050,IF(LEFT(TRIM(Paramètres!O52),1)="F",1,0)))))))</f>
        <v/>
      </c>
      <c r="F2050" s="19">
        <f>IF($A2050="","",E2050+$H2050-1)</f>
        <v/>
      </c>
      <c r="G2050" s="18" t="n"/>
      <c r="H2050" s="18">
        <f>IF($A2050="","",IF(I2050&lt;&gt;"",I2050,Paramètres!B52))</f>
        <v/>
      </c>
      <c r="I2050" s="18" t="n"/>
    </row>
    <row r="2051">
      <c r="A2051" s="18">
        <f>IF(ISNUMBER(Dossiers!$D$41),Dossiers!$A$41&amp;" · "&amp;Dossiers!$B$41,"")</f>
        <v/>
      </c>
      <c r="B2051" s="18">
        <f>IF($A2051="","",Paramètres!G53)</f>
        <v/>
      </c>
      <c r="C2051" s="18">
        <f>IF($A2051="","",IF(Paramètres!H53="","",Paramètres!H53))</f>
        <v/>
      </c>
      <c r="D2051" s="18">
        <f>IF($A2051="","",IF(Paramètres!I53="","",Paramètres!I53))</f>
        <v/>
      </c>
      <c r="E2051" s="19">
        <f>IF($A2051="","",IF(Paramètres!J53&amp;Paramètres!L53&amp;Paramètres!N53="",Dossiers!$D$41,MAX(IF(Paramètres!J53="",0,IF(Paramètres!K53="",NA(),IF(LEFT(TRIM(Paramètres!K53),1)="F",INDEX($F$2003:$F$2055,MATCH(Paramètres!J53,Paramètres!$G$5:$G$57,0)),INDEX($E$2003:$E$2055,MATCH(Paramètres!J53,Paramètres!$G$5:$G$57,0)))+IF(RIGHT(TRIM(Paramètres!K53),3)="Fin",1-$H2051,IF(LEFT(TRIM(Paramètres!K53),1)="F",1,0)))),IF(Paramètres!L53="",0,IF(Paramètres!M53="",NA(),IF(LEFT(TRIM(Paramètres!M53),1)="F",INDEX($F$2003:$F$2055,MATCH(Paramètres!L53,Paramètres!$G$5:$G$57,0)),INDEX($E$2003:$E$2055,MATCH(Paramètres!L53,Paramètres!$G$5:$G$57,0)))+IF(RIGHT(TRIM(Paramètres!M53),3)="Fin",1-$H2051,IF(LEFT(TRIM(Paramètres!M53),1)="F",1,0)))),IF(Paramètres!N53="",0,IF(Paramètres!O53="",NA(),IF(LEFT(TRIM(Paramètres!O53),1)="F",INDEX($F$2003:$F$2055,MATCH(Paramètres!N53,Paramètres!$G$5:$G$57,0)),INDEX($E$2003:$E$2055,MATCH(Paramètres!N53,Paramètres!$G$5:$G$57,0)))+IF(RIGHT(TRIM(Paramètres!O53),3)="Fin",1-$H2051,IF(LEFT(TRIM(Paramètres!O53),1)="F",1,0)))))))</f>
        <v/>
      </c>
      <c r="F2051" s="19">
        <f>IF($A2051="","",E2051+$H2051-1)</f>
        <v/>
      </c>
      <c r="G2051" s="18" t="n"/>
      <c r="H2051" s="18">
        <f>IF($A2051="","",IF(I2051&lt;&gt;"",I2051,Paramètres!B53))</f>
        <v/>
      </c>
      <c r="I2051" s="18" t="n"/>
    </row>
    <row r="2052">
      <c r="A2052" s="18">
        <f>IF(ISNUMBER(Dossiers!$D$41),Dossiers!$A$41&amp;" · "&amp;Dossiers!$B$41,"")</f>
        <v/>
      </c>
      <c r="B2052" s="18">
        <f>IF($A2052="","",Paramètres!G54)</f>
        <v/>
      </c>
      <c r="C2052" s="18">
        <f>IF($A2052="","",IF(Paramètres!H54="","",Paramètres!H54))</f>
        <v/>
      </c>
      <c r="D2052" s="18">
        <f>IF($A2052="","",IF(Paramètres!I54="","",Paramètres!I54))</f>
        <v/>
      </c>
      <c r="E2052" s="19">
        <f>IF($A2052="","",IF(Paramètres!J54&amp;Paramètres!L54&amp;Paramètres!N54="",Dossiers!$D$41,MAX(IF(Paramètres!J54="",0,IF(Paramètres!K54="",NA(),IF(LEFT(TRIM(Paramètres!K54),1)="F",INDEX($F$2003:$F$2055,MATCH(Paramètres!J54,Paramètres!$G$5:$G$57,0)),INDEX($E$2003:$E$2055,MATCH(Paramètres!J54,Paramètres!$G$5:$G$57,0)))+IF(RIGHT(TRIM(Paramètres!K54),3)="Fin",1-$H2052,IF(LEFT(TRIM(Paramètres!K54),1)="F",1,0)))),IF(Paramètres!L54="",0,IF(Paramètres!M54="",NA(),IF(LEFT(TRIM(Paramètres!M54),1)="F",INDEX($F$2003:$F$2055,MATCH(Paramètres!L54,Paramètres!$G$5:$G$57,0)),INDEX($E$2003:$E$2055,MATCH(Paramètres!L54,Paramètres!$G$5:$G$57,0)))+IF(RIGHT(TRIM(Paramètres!M54),3)="Fin",1-$H2052,IF(LEFT(TRIM(Paramètres!M54),1)="F",1,0)))),IF(Paramètres!N54="",0,IF(Paramètres!O54="",NA(),IF(LEFT(TRIM(Paramètres!O54),1)="F",INDEX($F$2003:$F$2055,MATCH(Paramètres!N54,Paramètres!$G$5:$G$57,0)),INDEX($E$2003:$E$2055,MATCH(Paramètres!N54,Paramètres!$G$5:$G$57,0)))+IF(RIGHT(TRIM(Paramètres!O54),3)="Fin",1-$H2052,IF(LEFT(TRIM(Paramètres!O54),1)="F",1,0)))))))</f>
        <v/>
      </c>
      <c r="F2052" s="19">
        <f>IF($A2052="","",E2052+$H2052-1)</f>
        <v/>
      </c>
      <c r="G2052" s="18" t="n"/>
      <c r="H2052" s="18">
        <f>IF($A2052="","",IF(I2052&lt;&gt;"",I2052,Paramètres!B54))</f>
        <v/>
      </c>
      <c r="I2052" s="18" t="n"/>
    </row>
    <row r="2053">
      <c r="A2053" s="18">
        <f>IF(ISNUMBER(Dossiers!$D$41),Dossiers!$A$41&amp;" · "&amp;Dossiers!$B$41,"")</f>
        <v/>
      </c>
      <c r="B2053" s="18">
        <f>IF($A2053="","",Paramètres!G55)</f>
        <v/>
      </c>
      <c r="C2053" s="18">
        <f>IF($A2053="","",IF(Paramètres!H55="","",Paramètres!H55))</f>
        <v/>
      </c>
      <c r="D2053" s="18">
        <f>IF($A2053="","",IF(Paramètres!I55="","",Paramètres!I55))</f>
        <v/>
      </c>
      <c r="E2053" s="19">
        <f>IF($A2053="","",IF(Paramètres!J55&amp;Paramètres!L55&amp;Paramètres!N55="",Dossiers!$D$41,MAX(IF(Paramètres!J55="",0,IF(Paramètres!K55="",NA(),IF(LEFT(TRIM(Paramètres!K55),1)="F",INDEX($F$2003:$F$2055,MATCH(Paramètres!J55,Paramètres!$G$5:$G$57,0)),INDEX($E$2003:$E$2055,MATCH(Paramètres!J55,Paramètres!$G$5:$G$57,0)))+IF(RIGHT(TRIM(Paramètres!K55),3)="Fin",1-$H2053,IF(LEFT(TRIM(Paramètres!K55),1)="F",1,0)))),IF(Paramètres!L55="",0,IF(Paramètres!M55="",NA(),IF(LEFT(TRIM(Paramètres!M55),1)="F",INDEX($F$2003:$F$2055,MATCH(Paramètres!L55,Paramètres!$G$5:$G$57,0)),INDEX($E$2003:$E$2055,MATCH(Paramètres!L55,Paramètres!$G$5:$G$57,0)))+IF(RIGHT(TRIM(Paramètres!M55),3)="Fin",1-$H2053,IF(LEFT(TRIM(Paramètres!M55),1)="F",1,0)))),IF(Paramètres!N55="",0,IF(Paramètres!O55="",NA(),IF(LEFT(TRIM(Paramètres!O55),1)="F",INDEX($F$2003:$F$2055,MATCH(Paramètres!N55,Paramètres!$G$5:$G$57,0)),INDEX($E$2003:$E$2055,MATCH(Paramètres!N55,Paramètres!$G$5:$G$57,0)))+IF(RIGHT(TRIM(Paramètres!O55),3)="Fin",1-$H2053,IF(LEFT(TRIM(Paramètres!O55),1)="F",1,0)))))))</f>
        <v/>
      </c>
      <c r="F2053" s="19">
        <f>IF($A2053="","",E2053+$H2053-1)</f>
        <v/>
      </c>
      <c r="G2053" s="18" t="n"/>
      <c r="H2053" s="18">
        <f>IF($A2053="","",IF(I2053&lt;&gt;"",I2053,Paramètres!B55))</f>
        <v/>
      </c>
      <c r="I2053" s="18" t="n"/>
    </row>
    <row r="2054">
      <c r="A2054" s="18">
        <f>IF(ISNUMBER(Dossiers!$D$41),Dossiers!$A$41&amp;" · "&amp;Dossiers!$B$41,"")</f>
        <v/>
      </c>
      <c r="B2054" s="18">
        <f>IF($A2054="","",Paramètres!G56)</f>
        <v/>
      </c>
      <c r="C2054" s="18">
        <f>IF($A2054="","",IF(Paramètres!H56="","",Paramètres!H56))</f>
        <v/>
      </c>
      <c r="D2054" s="18">
        <f>IF($A2054="","",IF(Paramètres!I56="","",Paramètres!I56))</f>
        <v/>
      </c>
      <c r="E2054" s="19">
        <f>IF($A2054="","",MIN(E2055:E2055))</f>
        <v/>
      </c>
      <c r="F2054" s="19">
        <f>IF($A2054="","",MAX(F2055:F2055))</f>
        <v/>
      </c>
      <c r="G2054" s="18" t="n"/>
      <c r="H2054" s="18">
        <f>IF($A2054="","",F2054-E2054+1)</f>
        <v/>
      </c>
      <c r="I2054" s="18" t="n"/>
    </row>
    <row r="2055">
      <c r="A2055" s="18">
        <f>IF(ISNUMBER(Dossiers!$D$41),Dossiers!$A$41&amp;" · "&amp;Dossiers!$B$41,"")</f>
        <v/>
      </c>
      <c r="B2055" s="18">
        <f>IF($A2055="","",Paramètres!G57)</f>
        <v/>
      </c>
      <c r="C2055" s="18">
        <f>IF($A2055="","",IF(Paramètres!H57="","",Paramètres!H57))</f>
        <v/>
      </c>
      <c r="D2055" s="18">
        <f>IF($A2055="","",IF(Paramètres!I57="","",Paramètres!I57))</f>
        <v/>
      </c>
      <c r="E2055" s="19">
        <f>IF($A2055="","",IF(Paramètres!J57&amp;Paramètres!L57&amp;Paramètres!N57="",Dossiers!$D$41,MAX(IF(Paramètres!J57="",0,IF(Paramètres!K57="",NA(),IF(LEFT(TRIM(Paramètres!K57),1)="F",INDEX($F$2003:$F$2055,MATCH(Paramètres!J57,Paramètres!$G$5:$G$57,0)),INDEX($E$2003:$E$2055,MATCH(Paramètres!J57,Paramètres!$G$5:$G$57,0)))+IF(RIGHT(TRIM(Paramètres!K57),3)="Fin",1-$H2055,IF(LEFT(TRIM(Paramètres!K57),1)="F",1,0)))),IF(Paramètres!L57="",0,IF(Paramètres!M57="",NA(),IF(LEFT(TRIM(Paramètres!M57),1)="F",INDEX($F$2003:$F$2055,MATCH(Paramètres!L57,Paramètres!$G$5:$G$57,0)),INDEX($E$2003:$E$2055,MATCH(Paramètres!L57,Paramètres!$G$5:$G$57,0)))+IF(RIGHT(TRIM(Paramètres!M57),3)="Fin",1-$H2055,IF(LEFT(TRIM(Paramètres!M57),1)="F",1,0)))),IF(Paramètres!N57="",0,IF(Paramètres!O57="",NA(),IF(LEFT(TRIM(Paramètres!O57),1)="F",INDEX($F$2003:$F$2055,MATCH(Paramètres!N57,Paramètres!$G$5:$G$57,0)),INDEX($E$2003:$E$2055,MATCH(Paramètres!N57,Paramètres!$G$5:$G$57,0)))+IF(RIGHT(TRIM(Paramètres!O57),3)="Fin",1-$H2055,IF(LEFT(TRIM(Paramètres!O57),1)="F",1,0)))))))</f>
        <v/>
      </c>
      <c r="F2055" s="19">
        <f>IF($A2055="","",E2055+$H2055-1)</f>
        <v/>
      </c>
      <c r="G2055" s="18" t="n"/>
      <c r="H2055" s="18">
        <f>IF($A2055="","",IF(I2055&lt;&gt;"",I2055,Paramètres!B57))</f>
        <v/>
      </c>
      <c r="I2055" s="18" t="n"/>
    </row>
    <row r="2056">
      <c r="A2056" s="16">
        <f>IF(ISNUMBER(Dossiers!$D$42),Dossiers!$E$42,"")</f>
        <v/>
      </c>
      <c r="B2056" s="16">
        <f>IF($A2056="","","Identifiant")</f>
        <v/>
      </c>
      <c r="C2056" s="16">
        <f>IF($A2056="","","Macro Etape")</f>
        <v/>
      </c>
      <c r="D2056" s="16">
        <f>IF($A2056="","","Etape")</f>
        <v/>
      </c>
      <c r="E2056" s="17">
        <f>IF($A2056="","","Début le")</f>
        <v/>
      </c>
      <c r="F2056" s="17">
        <f>IF($A2056="","","Fin prévue le")</f>
        <v/>
      </c>
      <c r="G2056" s="16">
        <f>IF($A2056="","","Statut")</f>
        <v/>
      </c>
      <c r="H2056" s="16">
        <f>IF($A2056="","","Durée (jours)")</f>
        <v/>
      </c>
      <c r="I2056" s="16">
        <f>IF($A2056="","","Durée particulière")</f>
        <v/>
      </c>
      <c r="J2056" s="10">
        <f>IF($A2056="","",HYPERLINK("#'Tableau de bord'!A1","↑ Tableau de bord"))</f>
        <v/>
      </c>
    </row>
    <row r="2057">
      <c r="A2057" s="18">
        <f>IF(ISNUMBER(Dossiers!$D$42),Dossiers!$A$42&amp;" · "&amp;Dossiers!$B$42,"")</f>
        <v/>
      </c>
      <c r="B2057" s="18">
        <f>IF($A2057="","",Paramètres!G5)</f>
        <v/>
      </c>
      <c r="C2057" s="18">
        <f>IF($A2057="","",IF(Paramètres!H5="","",Paramètres!H5))</f>
        <v/>
      </c>
      <c r="D2057" s="18">
        <f>IF($A2057="","",IF(Paramètres!I5="","",Paramètres!I5))</f>
        <v/>
      </c>
      <c r="E2057" s="19">
        <f>IF($A2057="","",MIN(E2058:E2061))</f>
        <v/>
      </c>
      <c r="F2057" s="19">
        <f>IF($A2057="","",MAX(F2058:F2061))</f>
        <v/>
      </c>
      <c r="G2057" s="18" t="n"/>
      <c r="H2057" s="18">
        <f>IF($A2057="","",F2057-E2057+1)</f>
        <v/>
      </c>
      <c r="I2057" s="18" t="n"/>
    </row>
    <row r="2058">
      <c r="A2058" s="18">
        <f>IF(ISNUMBER(Dossiers!$D$42),Dossiers!$A$42&amp;" · "&amp;Dossiers!$B$42,"")</f>
        <v/>
      </c>
      <c r="B2058" s="18">
        <f>IF($A2058="","",Paramètres!G6)</f>
        <v/>
      </c>
      <c r="C2058" s="18">
        <f>IF($A2058="","",IF(Paramètres!H6="","",Paramètres!H6))</f>
        <v/>
      </c>
      <c r="D2058" s="18">
        <f>IF($A2058="","",IF(Paramètres!I6="","",Paramètres!I6))</f>
        <v/>
      </c>
      <c r="E2058" s="19">
        <f>IF($A2058="","",IF(Paramètres!J6&amp;Paramètres!L6&amp;Paramètres!N6="",Dossiers!$D$42,MAX(IF(Paramètres!J6="",0,IF(Paramètres!K6="",NA(),IF(LEFT(TRIM(Paramètres!K6),1)="F",INDEX($F$2057:$F$2109,MATCH(Paramètres!J6,Paramètres!$G$5:$G$57,0)),INDEX($E$2057:$E$2109,MATCH(Paramètres!J6,Paramètres!$G$5:$G$57,0)))+IF(RIGHT(TRIM(Paramètres!K6),3)="Fin",1-$H2058,IF(LEFT(TRIM(Paramètres!K6),1)="F",1,0)))),IF(Paramètres!L6="",0,IF(Paramètres!M6="",NA(),IF(LEFT(TRIM(Paramètres!M6),1)="F",INDEX($F$2057:$F$2109,MATCH(Paramètres!L6,Paramètres!$G$5:$G$57,0)),INDEX($E$2057:$E$2109,MATCH(Paramètres!L6,Paramètres!$G$5:$G$57,0)))+IF(RIGHT(TRIM(Paramètres!M6),3)="Fin",1-$H2058,IF(LEFT(TRIM(Paramètres!M6),1)="F",1,0)))),IF(Paramètres!N6="",0,IF(Paramètres!O6="",NA(),IF(LEFT(TRIM(Paramètres!O6),1)="F",INDEX($F$2057:$F$2109,MATCH(Paramètres!N6,Paramètres!$G$5:$G$57,0)),INDEX($E$2057:$E$2109,MATCH(Paramètres!N6,Paramètres!$G$5:$G$57,0)))+IF(RIGHT(TRIM(Paramètres!O6),3)="Fin",1-$H2058,IF(LEFT(TRIM(Paramètres!O6),1)="F",1,0)))))))</f>
        <v/>
      </c>
      <c r="F2058" s="19">
        <f>IF($A2058="","",E2058+$H2058-1)</f>
        <v/>
      </c>
      <c r="G2058" s="18" t="n"/>
      <c r="H2058" s="18">
        <f>IF($A2058="","",IF(I2058&lt;&gt;"",I2058,Paramètres!B6))</f>
        <v/>
      </c>
      <c r="I2058" s="18" t="n"/>
    </row>
    <row r="2059">
      <c r="A2059" s="18">
        <f>IF(ISNUMBER(Dossiers!$D$42),Dossiers!$A$42&amp;" · "&amp;Dossiers!$B$42,"")</f>
        <v/>
      </c>
      <c r="B2059" s="18">
        <f>IF($A2059="","",Paramètres!G7)</f>
        <v/>
      </c>
      <c r="C2059" s="18">
        <f>IF($A2059="","",IF(Paramètres!H7="","",Paramètres!H7))</f>
        <v/>
      </c>
      <c r="D2059" s="18">
        <f>IF($A2059="","",IF(Paramètres!I7="","",Paramètres!I7))</f>
        <v/>
      </c>
      <c r="E2059" s="19">
        <f>IF($A2059="","",IF(Paramètres!J7&amp;Paramètres!L7&amp;Paramètres!N7="",Dossiers!$D$42,MAX(IF(Paramètres!J7="",0,IF(Paramètres!K7="",NA(),IF(LEFT(TRIM(Paramètres!K7),1)="F",INDEX($F$2057:$F$2109,MATCH(Paramètres!J7,Paramètres!$G$5:$G$57,0)),INDEX($E$2057:$E$2109,MATCH(Paramètres!J7,Paramètres!$G$5:$G$57,0)))+IF(RIGHT(TRIM(Paramètres!K7),3)="Fin",1-$H2059,IF(LEFT(TRIM(Paramètres!K7),1)="F",1,0)))),IF(Paramètres!L7="",0,IF(Paramètres!M7="",NA(),IF(LEFT(TRIM(Paramètres!M7),1)="F",INDEX($F$2057:$F$2109,MATCH(Paramètres!L7,Paramètres!$G$5:$G$57,0)),INDEX($E$2057:$E$2109,MATCH(Paramètres!L7,Paramètres!$G$5:$G$57,0)))+IF(RIGHT(TRIM(Paramètres!M7),3)="Fin",1-$H2059,IF(LEFT(TRIM(Paramètres!M7),1)="F",1,0)))),IF(Paramètres!N7="",0,IF(Paramètres!O7="",NA(),IF(LEFT(TRIM(Paramètres!O7),1)="F",INDEX($F$2057:$F$2109,MATCH(Paramètres!N7,Paramètres!$G$5:$G$57,0)),INDEX($E$2057:$E$2109,MATCH(Paramètres!N7,Paramètres!$G$5:$G$57,0)))+IF(RIGHT(TRIM(Paramètres!O7),3)="Fin",1-$H2059,IF(LEFT(TRIM(Paramètres!O7),1)="F",1,0)))))))</f>
        <v/>
      </c>
      <c r="F2059" s="19">
        <f>IF($A2059="","",E2059+$H2059-1)</f>
        <v/>
      </c>
      <c r="G2059" s="18" t="n"/>
      <c r="H2059" s="18">
        <f>IF($A2059="","",IF(I2059&lt;&gt;"",I2059,Paramètres!B7))</f>
        <v/>
      </c>
      <c r="I2059" s="18" t="n"/>
    </row>
    <row r="2060">
      <c r="A2060" s="18">
        <f>IF(ISNUMBER(Dossiers!$D$42),Dossiers!$A$42&amp;" · "&amp;Dossiers!$B$42,"")</f>
        <v/>
      </c>
      <c r="B2060" s="18">
        <f>IF($A2060="","",Paramètres!G8)</f>
        <v/>
      </c>
      <c r="C2060" s="18">
        <f>IF($A2060="","",IF(Paramètres!H8="","",Paramètres!H8))</f>
        <v/>
      </c>
      <c r="D2060" s="18">
        <f>IF($A2060="","",IF(Paramètres!I8="","",Paramètres!I8))</f>
        <v/>
      </c>
      <c r="E2060" s="19">
        <f>IF($A2060="","",IF(Paramètres!J8&amp;Paramètres!L8&amp;Paramètres!N8="",Dossiers!$D$42,MAX(IF(Paramètres!J8="",0,IF(Paramètres!K8="",NA(),IF(LEFT(TRIM(Paramètres!K8),1)="F",INDEX($F$2057:$F$2109,MATCH(Paramètres!J8,Paramètres!$G$5:$G$57,0)),INDEX($E$2057:$E$2109,MATCH(Paramètres!J8,Paramètres!$G$5:$G$57,0)))+IF(RIGHT(TRIM(Paramètres!K8),3)="Fin",1-$H2060,IF(LEFT(TRIM(Paramètres!K8),1)="F",1,0)))),IF(Paramètres!L8="",0,IF(Paramètres!M8="",NA(),IF(LEFT(TRIM(Paramètres!M8),1)="F",INDEX($F$2057:$F$2109,MATCH(Paramètres!L8,Paramètres!$G$5:$G$57,0)),INDEX($E$2057:$E$2109,MATCH(Paramètres!L8,Paramètres!$G$5:$G$57,0)))+IF(RIGHT(TRIM(Paramètres!M8),3)="Fin",1-$H2060,IF(LEFT(TRIM(Paramètres!M8),1)="F",1,0)))),IF(Paramètres!N8="",0,IF(Paramètres!O8="",NA(),IF(LEFT(TRIM(Paramètres!O8),1)="F",INDEX($F$2057:$F$2109,MATCH(Paramètres!N8,Paramètres!$G$5:$G$57,0)),INDEX($E$2057:$E$2109,MATCH(Paramètres!N8,Paramètres!$G$5:$G$57,0)))+IF(RIGHT(TRIM(Paramètres!O8),3)="Fin",1-$H2060,IF(LEFT(TRIM(Paramètres!O8),1)="F",1,0)))))))</f>
        <v/>
      </c>
      <c r="F2060" s="19">
        <f>IF($A2060="","",E2060+$H2060-1)</f>
        <v/>
      </c>
      <c r="G2060" s="18" t="n"/>
      <c r="H2060" s="18">
        <f>IF($A2060="","",IF(I2060&lt;&gt;"",I2060,Paramètres!B8))</f>
        <v/>
      </c>
      <c r="I2060" s="18" t="n"/>
    </row>
    <row r="2061">
      <c r="A2061" s="18">
        <f>IF(ISNUMBER(Dossiers!$D$42),Dossiers!$A$42&amp;" · "&amp;Dossiers!$B$42,"")</f>
        <v/>
      </c>
      <c r="B2061" s="18">
        <f>IF($A2061="","",Paramètres!G9)</f>
        <v/>
      </c>
      <c r="C2061" s="18">
        <f>IF($A2061="","",IF(Paramètres!H9="","",Paramètres!H9))</f>
        <v/>
      </c>
      <c r="D2061" s="18">
        <f>IF($A2061="","",IF(Paramètres!I9="","",Paramètres!I9))</f>
        <v/>
      </c>
      <c r="E2061" s="19">
        <f>IF($A2061="","",IF(Paramètres!J9&amp;Paramètres!L9&amp;Paramètres!N9="",Dossiers!$D$42,MAX(IF(Paramètres!J9="",0,IF(Paramètres!K9="",NA(),IF(LEFT(TRIM(Paramètres!K9),1)="F",INDEX($F$2057:$F$2109,MATCH(Paramètres!J9,Paramètres!$G$5:$G$57,0)),INDEX($E$2057:$E$2109,MATCH(Paramètres!J9,Paramètres!$G$5:$G$57,0)))+IF(RIGHT(TRIM(Paramètres!K9),3)="Fin",1-$H2061,IF(LEFT(TRIM(Paramètres!K9),1)="F",1,0)))),IF(Paramètres!L9="",0,IF(Paramètres!M9="",NA(),IF(LEFT(TRIM(Paramètres!M9),1)="F",INDEX($F$2057:$F$2109,MATCH(Paramètres!L9,Paramètres!$G$5:$G$57,0)),INDEX($E$2057:$E$2109,MATCH(Paramètres!L9,Paramètres!$G$5:$G$57,0)))+IF(RIGHT(TRIM(Paramètres!M9),3)="Fin",1-$H2061,IF(LEFT(TRIM(Paramètres!M9),1)="F",1,0)))),IF(Paramètres!N9="",0,IF(Paramètres!O9="",NA(),IF(LEFT(TRIM(Paramètres!O9),1)="F",INDEX($F$2057:$F$2109,MATCH(Paramètres!N9,Paramètres!$G$5:$G$57,0)),INDEX($E$2057:$E$2109,MATCH(Paramètres!N9,Paramètres!$G$5:$G$57,0)))+IF(RIGHT(TRIM(Paramètres!O9),3)="Fin",1-$H2061,IF(LEFT(TRIM(Paramètres!O9),1)="F",1,0)))))))</f>
        <v/>
      </c>
      <c r="F2061" s="19">
        <f>IF($A2061="","",E2061+$H2061-1)</f>
        <v/>
      </c>
      <c r="G2061" s="18" t="n"/>
      <c r="H2061" s="18">
        <f>IF($A2061="","",IF(I2061&lt;&gt;"",I2061,Paramètres!B9))</f>
        <v/>
      </c>
      <c r="I2061" s="18" t="n"/>
    </row>
    <row r="2062">
      <c r="A2062" s="18">
        <f>IF(ISNUMBER(Dossiers!$D$42),Dossiers!$A$42&amp;" · "&amp;Dossiers!$B$42,"")</f>
        <v/>
      </c>
      <c r="B2062" s="18">
        <f>IF($A2062="","",Paramètres!G10)</f>
        <v/>
      </c>
      <c r="C2062" s="18">
        <f>IF($A2062="","",IF(Paramètres!H10="","",Paramètres!H10))</f>
        <v/>
      </c>
      <c r="D2062" s="18">
        <f>IF($A2062="","",IF(Paramètres!I10="","",Paramètres!I10))</f>
        <v/>
      </c>
      <c r="E2062" s="19">
        <f>IF($A2062="","",MIN(E2063:E2066))</f>
        <v/>
      </c>
      <c r="F2062" s="19">
        <f>IF($A2062="","",MAX(F2063:F2066))</f>
        <v/>
      </c>
      <c r="G2062" s="18" t="n"/>
      <c r="H2062" s="18">
        <f>IF($A2062="","",F2062-E2062+1)</f>
        <v/>
      </c>
      <c r="I2062" s="18" t="n"/>
    </row>
    <row r="2063">
      <c r="A2063" s="18">
        <f>IF(ISNUMBER(Dossiers!$D$42),Dossiers!$A$42&amp;" · "&amp;Dossiers!$B$42,"")</f>
        <v/>
      </c>
      <c r="B2063" s="18">
        <f>IF($A2063="","",Paramètres!G11)</f>
        <v/>
      </c>
      <c r="C2063" s="18">
        <f>IF($A2063="","",IF(Paramètres!H11="","",Paramètres!H11))</f>
        <v/>
      </c>
      <c r="D2063" s="18">
        <f>IF($A2063="","",IF(Paramètres!I11="","",Paramètres!I11))</f>
        <v/>
      </c>
      <c r="E2063" s="19">
        <f>IF($A2063="","",IF(Paramètres!J11&amp;Paramètres!L11&amp;Paramètres!N11="",Dossiers!$D$42,MAX(IF(Paramètres!J11="",0,IF(Paramètres!K11="",NA(),IF(LEFT(TRIM(Paramètres!K11),1)="F",INDEX($F$2057:$F$2109,MATCH(Paramètres!J11,Paramètres!$G$5:$G$57,0)),INDEX($E$2057:$E$2109,MATCH(Paramètres!J11,Paramètres!$G$5:$G$57,0)))+IF(RIGHT(TRIM(Paramètres!K11),3)="Fin",1-$H2063,IF(LEFT(TRIM(Paramètres!K11),1)="F",1,0)))),IF(Paramètres!L11="",0,IF(Paramètres!M11="",NA(),IF(LEFT(TRIM(Paramètres!M11),1)="F",INDEX($F$2057:$F$2109,MATCH(Paramètres!L11,Paramètres!$G$5:$G$57,0)),INDEX($E$2057:$E$2109,MATCH(Paramètres!L11,Paramètres!$G$5:$G$57,0)))+IF(RIGHT(TRIM(Paramètres!M11),3)="Fin",1-$H2063,IF(LEFT(TRIM(Paramètres!M11),1)="F",1,0)))),IF(Paramètres!N11="",0,IF(Paramètres!O11="",NA(),IF(LEFT(TRIM(Paramètres!O11),1)="F",INDEX($F$2057:$F$2109,MATCH(Paramètres!N11,Paramètres!$G$5:$G$57,0)),INDEX($E$2057:$E$2109,MATCH(Paramètres!N11,Paramètres!$G$5:$G$57,0)))+IF(RIGHT(TRIM(Paramètres!O11),3)="Fin",1-$H2063,IF(LEFT(TRIM(Paramètres!O11),1)="F",1,0)))))))</f>
        <v/>
      </c>
      <c r="F2063" s="19">
        <f>IF($A2063="","",E2063+$H2063-1)</f>
        <v/>
      </c>
      <c r="G2063" s="18" t="n"/>
      <c r="H2063" s="18">
        <f>IF($A2063="","",IF(I2063&lt;&gt;"",I2063,Paramètres!B11))</f>
        <v/>
      </c>
      <c r="I2063" s="18" t="n"/>
    </row>
    <row r="2064">
      <c r="A2064" s="18">
        <f>IF(ISNUMBER(Dossiers!$D$42),Dossiers!$A$42&amp;" · "&amp;Dossiers!$B$42,"")</f>
        <v/>
      </c>
      <c r="B2064" s="18">
        <f>IF($A2064="","",Paramètres!G12)</f>
        <v/>
      </c>
      <c r="C2064" s="18">
        <f>IF($A2064="","",IF(Paramètres!H12="","",Paramètres!H12))</f>
        <v/>
      </c>
      <c r="D2064" s="18">
        <f>IF($A2064="","",IF(Paramètres!I12="","",Paramètres!I12))</f>
        <v/>
      </c>
      <c r="E2064" s="19">
        <f>IF($A2064="","",IF(Paramètres!J12&amp;Paramètres!L12&amp;Paramètres!N12="",Dossiers!$D$42,MAX(IF(Paramètres!J12="",0,IF(Paramètres!K12="",NA(),IF(LEFT(TRIM(Paramètres!K12),1)="F",INDEX($F$2057:$F$2109,MATCH(Paramètres!J12,Paramètres!$G$5:$G$57,0)),INDEX($E$2057:$E$2109,MATCH(Paramètres!J12,Paramètres!$G$5:$G$57,0)))+IF(RIGHT(TRIM(Paramètres!K12),3)="Fin",1-$H2064,IF(LEFT(TRIM(Paramètres!K12),1)="F",1,0)))),IF(Paramètres!L12="",0,IF(Paramètres!M12="",NA(),IF(LEFT(TRIM(Paramètres!M12),1)="F",INDEX($F$2057:$F$2109,MATCH(Paramètres!L12,Paramètres!$G$5:$G$57,0)),INDEX($E$2057:$E$2109,MATCH(Paramètres!L12,Paramètres!$G$5:$G$57,0)))+IF(RIGHT(TRIM(Paramètres!M12),3)="Fin",1-$H2064,IF(LEFT(TRIM(Paramètres!M12),1)="F",1,0)))),IF(Paramètres!N12="",0,IF(Paramètres!O12="",NA(),IF(LEFT(TRIM(Paramètres!O12),1)="F",INDEX($F$2057:$F$2109,MATCH(Paramètres!N12,Paramètres!$G$5:$G$57,0)),INDEX($E$2057:$E$2109,MATCH(Paramètres!N12,Paramètres!$G$5:$G$57,0)))+IF(RIGHT(TRIM(Paramètres!O12),3)="Fin",1-$H2064,IF(LEFT(TRIM(Paramètres!O12),1)="F",1,0)))))))</f>
        <v/>
      </c>
      <c r="F2064" s="19">
        <f>IF($A2064="","",E2064+$H2064-1)</f>
        <v/>
      </c>
      <c r="G2064" s="18" t="n"/>
      <c r="H2064" s="18">
        <f>IF($A2064="","",IF(I2064&lt;&gt;"",I2064,Paramètres!B12))</f>
        <v/>
      </c>
      <c r="I2064" s="18" t="n"/>
    </row>
    <row r="2065">
      <c r="A2065" s="18">
        <f>IF(ISNUMBER(Dossiers!$D$42),Dossiers!$A$42&amp;" · "&amp;Dossiers!$B$42,"")</f>
        <v/>
      </c>
      <c r="B2065" s="18">
        <f>IF($A2065="","",Paramètres!G13)</f>
        <v/>
      </c>
      <c r="C2065" s="18">
        <f>IF($A2065="","",IF(Paramètres!H13="","",Paramètres!H13))</f>
        <v/>
      </c>
      <c r="D2065" s="18">
        <f>IF($A2065="","",IF(Paramètres!I13="","",Paramètres!I13))</f>
        <v/>
      </c>
      <c r="E2065" s="19">
        <f>IF($A2065="","",IF(Paramètres!J13&amp;Paramètres!L13&amp;Paramètres!N13="",Dossiers!$D$42,MAX(IF(Paramètres!J13="",0,IF(Paramètres!K13="",NA(),IF(LEFT(TRIM(Paramètres!K13),1)="F",INDEX($F$2057:$F$2109,MATCH(Paramètres!J13,Paramètres!$G$5:$G$57,0)),INDEX($E$2057:$E$2109,MATCH(Paramètres!J13,Paramètres!$G$5:$G$57,0)))+IF(RIGHT(TRIM(Paramètres!K13),3)="Fin",1-$H2065,IF(LEFT(TRIM(Paramètres!K13),1)="F",1,0)))),IF(Paramètres!L13="",0,IF(Paramètres!M13="",NA(),IF(LEFT(TRIM(Paramètres!M13),1)="F",INDEX($F$2057:$F$2109,MATCH(Paramètres!L13,Paramètres!$G$5:$G$57,0)),INDEX($E$2057:$E$2109,MATCH(Paramètres!L13,Paramètres!$G$5:$G$57,0)))+IF(RIGHT(TRIM(Paramètres!M13),3)="Fin",1-$H2065,IF(LEFT(TRIM(Paramètres!M13),1)="F",1,0)))),IF(Paramètres!N13="",0,IF(Paramètres!O13="",NA(),IF(LEFT(TRIM(Paramètres!O13),1)="F",INDEX($F$2057:$F$2109,MATCH(Paramètres!N13,Paramètres!$G$5:$G$57,0)),INDEX($E$2057:$E$2109,MATCH(Paramètres!N13,Paramètres!$G$5:$G$57,0)))+IF(RIGHT(TRIM(Paramètres!O13),3)="Fin",1-$H2065,IF(LEFT(TRIM(Paramètres!O13),1)="F",1,0)))))))</f>
        <v/>
      </c>
      <c r="F2065" s="19">
        <f>IF($A2065="","",E2065+$H2065-1)</f>
        <v/>
      </c>
      <c r="G2065" s="18" t="n"/>
      <c r="H2065" s="18">
        <f>IF($A2065="","",IF(I2065&lt;&gt;"",I2065,Paramètres!B13))</f>
        <v/>
      </c>
      <c r="I2065" s="18" t="n"/>
    </row>
    <row r="2066">
      <c r="A2066" s="18">
        <f>IF(ISNUMBER(Dossiers!$D$42),Dossiers!$A$42&amp;" · "&amp;Dossiers!$B$42,"")</f>
        <v/>
      </c>
      <c r="B2066" s="18">
        <f>IF($A2066="","",Paramètres!G14)</f>
        <v/>
      </c>
      <c r="C2066" s="18">
        <f>IF($A2066="","",IF(Paramètres!H14="","",Paramètres!H14))</f>
        <v/>
      </c>
      <c r="D2066" s="18">
        <f>IF($A2066="","",IF(Paramètres!I14="","",Paramètres!I14))</f>
        <v/>
      </c>
      <c r="E2066" s="19">
        <f>IF($A2066="","",IF(Paramètres!J14&amp;Paramètres!L14&amp;Paramètres!N14="",Dossiers!$D$42,MAX(IF(Paramètres!J14="",0,IF(Paramètres!K14="",NA(),IF(LEFT(TRIM(Paramètres!K14),1)="F",INDEX($F$2057:$F$2109,MATCH(Paramètres!J14,Paramètres!$G$5:$G$57,0)),INDEX($E$2057:$E$2109,MATCH(Paramètres!J14,Paramètres!$G$5:$G$57,0)))+IF(RIGHT(TRIM(Paramètres!K14),3)="Fin",1-$H2066,IF(LEFT(TRIM(Paramètres!K14),1)="F",1,0)))),IF(Paramètres!L14="",0,IF(Paramètres!M14="",NA(),IF(LEFT(TRIM(Paramètres!M14),1)="F",INDEX($F$2057:$F$2109,MATCH(Paramètres!L14,Paramètres!$G$5:$G$57,0)),INDEX($E$2057:$E$2109,MATCH(Paramètres!L14,Paramètres!$G$5:$G$57,0)))+IF(RIGHT(TRIM(Paramètres!M14),3)="Fin",1-$H2066,IF(LEFT(TRIM(Paramètres!M14),1)="F",1,0)))),IF(Paramètres!N14="",0,IF(Paramètres!O14="",NA(),IF(LEFT(TRIM(Paramètres!O14),1)="F",INDEX($F$2057:$F$2109,MATCH(Paramètres!N14,Paramètres!$G$5:$G$57,0)),INDEX($E$2057:$E$2109,MATCH(Paramètres!N14,Paramètres!$G$5:$G$57,0)))+IF(RIGHT(TRIM(Paramètres!O14),3)="Fin",1-$H2066,IF(LEFT(TRIM(Paramètres!O14),1)="F",1,0)))))))</f>
        <v/>
      </c>
      <c r="F2066" s="19">
        <f>IF($A2066="","",E2066+$H2066-1)</f>
        <v/>
      </c>
      <c r="G2066" s="18" t="n"/>
      <c r="H2066" s="18">
        <f>IF($A2066="","",IF(I2066&lt;&gt;"",I2066,Paramètres!B14))</f>
        <v/>
      </c>
      <c r="I2066" s="18" t="n"/>
    </row>
    <row r="2067">
      <c r="A2067" s="18">
        <f>IF(ISNUMBER(Dossiers!$D$42),Dossiers!$A$42&amp;" · "&amp;Dossiers!$B$42,"")</f>
        <v/>
      </c>
      <c r="B2067" s="18">
        <f>IF($A2067="","",Paramètres!G15)</f>
        <v/>
      </c>
      <c r="C2067" s="18">
        <f>IF($A2067="","",IF(Paramètres!H15="","",Paramètres!H15))</f>
        <v/>
      </c>
      <c r="D2067" s="18">
        <f>IF($A2067="","",IF(Paramètres!I15="","",Paramètres!I15))</f>
        <v/>
      </c>
      <c r="E2067" s="19">
        <f>IF($A2067="","",MIN(E2068:E2083))</f>
        <v/>
      </c>
      <c r="F2067" s="19">
        <f>IF($A2067="","",MAX(F2068:F2083))</f>
        <v/>
      </c>
      <c r="G2067" s="18" t="n"/>
      <c r="H2067" s="18">
        <f>IF($A2067="","",F2067-E2067+1)</f>
        <v/>
      </c>
      <c r="I2067" s="18" t="n"/>
    </row>
    <row r="2068">
      <c r="A2068" s="18">
        <f>IF(ISNUMBER(Dossiers!$D$42),Dossiers!$A$42&amp;" · "&amp;Dossiers!$B$42,"")</f>
        <v/>
      </c>
      <c r="B2068" s="18">
        <f>IF($A2068="","",Paramètres!G16)</f>
        <v/>
      </c>
      <c r="C2068" s="18">
        <f>IF($A2068="","",IF(Paramètres!H16="","",Paramètres!H16))</f>
        <v/>
      </c>
      <c r="D2068" s="18">
        <f>IF($A2068="","",IF(Paramètres!I16="","",Paramètres!I16))</f>
        <v/>
      </c>
      <c r="E2068" s="19">
        <f>IF($A2068="","",IF(Paramètres!J16&amp;Paramètres!L16&amp;Paramètres!N16="",Dossiers!$D$42,MAX(IF(Paramètres!J16="",0,IF(Paramètres!K16="",NA(),IF(LEFT(TRIM(Paramètres!K16),1)="F",INDEX($F$2057:$F$2109,MATCH(Paramètres!J16,Paramètres!$G$5:$G$57,0)),INDEX($E$2057:$E$2109,MATCH(Paramètres!J16,Paramètres!$G$5:$G$57,0)))+IF(RIGHT(TRIM(Paramètres!K16),3)="Fin",1-$H2068,IF(LEFT(TRIM(Paramètres!K16),1)="F",1,0)))),IF(Paramètres!L16="",0,IF(Paramètres!M16="",NA(),IF(LEFT(TRIM(Paramètres!M16),1)="F",INDEX($F$2057:$F$2109,MATCH(Paramètres!L16,Paramètres!$G$5:$G$57,0)),INDEX($E$2057:$E$2109,MATCH(Paramètres!L16,Paramètres!$G$5:$G$57,0)))+IF(RIGHT(TRIM(Paramètres!M16),3)="Fin",1-$H2068,IF(LEFT(TRIM(Paramètres!M16),1)="F",1,0)))),IF(Paramètres!N16="",0,IF(Paramètres!O16="",NA(),IF(LEFT(TRIM(Paramètres!O16),1)="F",INDEX($F$2057:$F$2109,MATCH(Paramètres!N16,Paramètres!$G$5:$G$57,0)),INDEX($E$2057:$E$2109,MATCH(Paramètres!N16,Paramètres!$G$5:$G$57,0)))+IF(RIGHT(TRIM(Paramètres!O16),3)="Fin",1-$H2068,IF(LEFT(TRIM(Paramètres!O16),1)="F",1,0)))))))</f>
        <v/>
      </c>
      <c r="F2068" s="19">
        <f>IF($A2068="","",E2068+$H2068-1)</f>
        <v/>
      </c>
      <c r="G2068" s="18" t="n"/>
      <c r="H2068" s="18">
        <f>IF($A2068="","",IF(I2068&lt;&gt;"",I2068,Paramètres!B16))</f>
        <v/>
      </c>
      <c r="I2068" s="18" t="n"/>
    </row>
    <row r="2069">
      <c r="A2069" s="18">
        <f>IF(ISNUMBER(Dossiers!$D$42),Dossiers!$A$42&amp;" · "&amp;Dossiers!$B$42,"")</f>
        <v/>
      </c>
      <c r="B2069" s="18">
        <f>IF($A2069="","",Paramètres!G17)</f>
        <v/>
      </c>
      <c r="C2069" s="18">
        <f>IF($A2069="","",IF(Paramètres!H17="","",Paramètres!H17))</f>
        <v/>
      </c>
      <c r="D2069" s="18">
        <f>IF($A2069="","",IF(Paramètres!I17="","",Paramètres!I17))</f>
        <v/>
      </c>
      <c r="E2069" s="19">
        <f>IF($A2069="","",IF(Paramètres!J17&amp;Paramètres!L17&amp;Paramètres!N17="",Dossiers!$D$42,MAX(IF(Paramètres!J17="",0,IF(Paramètres!K17="",NA(),IF(LEFT(TRIM(Paramètres!K17),1)="F",INDEX($F$2057:$F$2109,MATCH(Paramètres!J17,Paramètres!$G$5:$G$57,0)),INDEX($E$2057:$E$2109,MATCH(Paramètres!J17,Paramètres!$G$5:$G$57,0)))+IF(RIGHT(TRIM(Paramètres!K17),3)="Fin",1-$H2069,IF(LEFT(TRIM(Paramètres!K17),1)="F",1,0)))),IF(Paramètres!L17="",0,IF(Paramètres!M17="",NA(),IF(LEFT(TRIM(Paramètres!M17),1)="F",INDEX($F$2057:$F$2109,MATCH(Paramètres!L17,Paramètres!$G$5:$G$57,0)),INDEX($E$2057:$E$2109,MATCH(Paramètres!L17,Paramètres!$G$5:$G$57,0)))+IF(RIGHT(TRIM(Paramètres!M17),3)="Fin",1-$H2069,IF(LEFT(TRIM(Paramètres!M17),1)="F",1,0)))),IF(Paramètres!N17="",0,IF(Paramètres!O17="",NA(),IF(LEFT(TRIM(Paramètres!O17),1)="F",INDEX($F$2057:$F$2109,MATCH(Paramètres!N17,Paramètres!$G$5:$G$57,0)),INDEX($E$2057:$E$2109,MATCH(Paramètres!N17,Paramètres!$G$5:$G$57,0)))+IF(RIGHT(TRIM(Paramètres!O17),3)="Fin",1-$H2069,IF(LEFT(TRIM(Paramètres!O17),1)="F",1,0)))))))</f>
        <v/>
      </c>
      <c r="F2069" s="19">
        <f>IF($A2069="","",E2069+$H2069-1)</f>
        <v/>
      </c>
      <c r="G2069" s="18" t="n"/>
      <c r="H2069" s="18">
        <f>IF($A2069="","",IF(I2069&lt;&gt;"",I2069,Paramètres!B17))</f>
        <v/>
      </c>
      <c r="I2069" s="18" t="n"/>
    </row>
    <row r="2070">
      <c r="A2070" s="18">
        <f>IF(ISNUMBER(Dossiers!$D$42),Dossiers!$A$42&amp;" · "&amp;Dossiers!$B$42,"")</f>
        <v/>
      </c>
      <c r="B2070" s="18">
        <f>IF($A2070="","",Paramètres!G18)</f>
        <v/>
      </c>
      <c r="C2070" s="18">
        <f>IF($A2070="","",IF(Paramètres!H18="","",Paramètres!H18))</f>
        <v/>
      </c>
      <c r="D2070" s="18">
        <f>IF($A2070="","",IF(Paramètres!I18="","",Paramètres!I18))</f>
        <v/>
      </c>
      <c r="E2070" s="19">
        <f>IF($A2070="","",IF(Paramètres!J18&amp;Paramètres!L18&amp;Paramètres!N18="",Dossiers!$D$42,MAX(IF(Paramètres!J18="",0,IF(Paramètres!K18="",NA(),IF(LEFT(TRIM(Paramètres!K18),1)="F",INDEX($F$2057:$F$2109,MATCH(Paramètres!J18,Paramètres!$G$5:$G$57,0)),INDEX($E$2057:$E$2109,MATCH(Paramètres!J18,Paramètres!$G$5:$G$57,0)))+IF(RIGHT(TRIM(Paramètres!K18),3)="Fin",1-$H2070,IF(LEFT(TRIM(Paramètres!K18),1)="F",1,0)))),IF(Paramètres!L18="",0,IF(Paramètres!M18="",NA(),IF(LEFT(TRIM(Paramètres!M18),1)="F",INDEX($F$2057:$F$2109,MATCH(Paramètres!L18,Paramètres!$G$5:$G$57,0)),INDEX($E$2057:$E$2109,MATCH(Paramètres!L18,Paramètres!$G$5:$G$57,0)))+IF(RIGHT(TRIM(Paramètres!M18),3)="Fin",1-$H2070,IF(LEFT(TRIM(Paramètres!M18),1)="F",1,0)))),IF(Paramètres!N18="",0,IF(Paramètres!O18="",NA(),IF(LEFT(TRIM(Paramètres!O18),1)="F",INDEX($F$2057:$F$2109,MATCH(Paramètres!N18,Paramètres!$G$5:$G$57,0)),INDEX($E$2057:$E$2109,MATCH(Paramètres!N18,Paramètres!$G$5:$G$57,0)))+IF(RIGHT(TRIM(Paramètres!O18),3)="Fin",1-$H2070,IF(LEFT(TRIM(Paramètres!O18),1)="F",1,0)))))))</f>
        <v/>
      </c>
      <c r="F2070" s="19">
        <f>IF($A2070="","",E2070+$H2070-1)</f>
        <v/>
      </c>
      <c r="G2070" s="18" t="n"/>
      <c r="H2070" s="18">
        <f>IF($A2070="","",IF(I2070&lt;&gt;"",I2070,Paramètres!B18))</f>
        <v/>
      </c>
      <c r="I2070" s="18" t="n"/>
    </row>
    <row r="2071">
      <c r="A2071" s="18">
        <f>IF(ISNUMBER(Dossiers!$D$42),Dossiers!$A$42&amp;" · "&amp;Dossiers!$B$42,"")</f>
        <v/>
      </c>
      <c r="B2071" s="18">
        <f>IF($A2071="","",Paramètres!G19)</f>
        <v/>
      </c>
      <c r="C2071" s="18">
        <f>IF($A2071="","",IF(Paramètres!H19="","",Paramètres!H19))</f>
        <v/>
      </c>
      <c r="D2071" s="18">
        <f>IF($A2071="","",IF(Paramètres!I19="","",Paramètres!I19))</f>
        <v/>
      </c>
      <c r="E2071" s="19">
        <f>IF($A2071="","",IF(Paramètres!J19&amp;Paramètres!L19&amp;Paramètres!N19="",Dossiers!$D$42,MAX(IF(Paramètres!J19="",0,IF(Paramètres!K19="",NA(),IF(LEFT(TRIM(Paramètres!K19),1)="F",INDEX($F$2057:$F$2109,MATCH(Paramètres!J19,Paramètres!$G$5:$G$57,0)),INDEX($E$2057:$E$2109,MATCH(Paramètres!J19,Paramètres!$G$5:$G$57,0)))+IF(RIGHT(TRIM(Paramètres!K19),3)="Fin",1-$H2071,IF(LEFT(TRIM(Paramètres!K19),1)="F",1,0)))),IF(Paramètres!L19="",0,IF(Paramètres!M19="",NA(),IF(LEFT(TRIM(Paramètres!M19),1)="F",INDEX($F$2057:$F$2109,MATCH(Paramètres!L19,Paramètres!$G$5:$G$57,0)),INDEX($E$2057:$E$2109,MATCH(Paramètres!L19,Paramètres!$G$5:$G$57,0)))+IF(RIGHT(TRIM(Paramètres!M19),3)="Fin",1-$H2071,IF(LEFT(TRIM(Paramètres!M19),1)="F",1,0)))),IF(Paramètres!N19="",0,IF(Paramètres!O19="",NA(),IF(LEFT(TRIM(Paramètres!O19),1)="F",INDEX($F$2057:$F$2109,MATCH(Paramètres!N19,Paramètres!$G$5:$G$57,0)),INDEX($E$2057:$E$2109,MATCH(Paramètres!N19,Paramètres!$G$5:$G$57,0)))+IF(RIGHT(TRIM(Paramètres!O19),3)="Fin",1-$H2071,IF(LEFT(TRIM(Paramètres!O19),1)="F",1,0)))))))</f>
        <v/>
      </c>
      <c r="F2071" s="19">
        <f>IF($A2071="","",E2071+$H2071-1)</f>
        <v/>
      </c>
      <c r="G2071" s="18" t="n"/>
      <c r="H2071" s="18">
        <f>IF($A2071="","",IF(I2071&lt;&gt;"",I2071,Paramètres!B19))</f>
        <v/>
      </c>
      <c r="I2071" s="18" t="n"/>
    </row>
    <row r="2072">
      <c r="A2072" s="18">
        <f>IF(ISNUMBER(Dossiers!$D$42),Dossiers!$A$42&amp;" · "&amp;Dossiers!$B$42,"")</f>
        <v/>
      </c>
      <c r="B2072" s="18">
        <f>IF($A2072="","",Paramètres!G20)</f>
        <v/>
      </c>
      <c r="C2072" s="18">
        <f>IF($A2072="","",IF(Paramètres!H20="","",Paramètres!H20))</f>
        <v/>
      </c>
      <c r="D2072" s="18">
        <f>IF($A2072="","",IF(Paramètres!I20="","",Paramètres!I20))</f>
        <v/>
      </c>
      <c r="E2072" s="19">
        <f>IF($A2072="","",IF(Paramètres!J20&amp;Paramètres!L20&amp;Paramètres!N20="",Dossiers!$D$42,MAX(IF(Paramètres!J20="",0,IF(Paramètres!K20="",NA(),IF(LEFT(TRIM(Paramètres!K20),1)="F",INDEX($F$2057:$F$2109,MATCH(Paramètres!J20,Paramètres!$G$5:$G$57,0)),INDEX($E$2057:$E$2109,MATCH(Paramètres!J20,Paramètres!$G$5:$G$57,0)))+IF(RIGHT(TRIM(Paramètres!K20),3)="Fin",1-$H2072,IF(LEFT(TRIM(Paramètres!K20),1)="F",1,0)))),IF(Paramètres!L20="",0,IF(Paramètres!M20="",NA(),IF(LEFT(TRIM(Paramètres!M20),1)="F",INDEX($F$2057:$F$2109,MATCH(Paramètres!L20,Paramètres!$G$5:$G$57,0)),INDEX($E$2057:$E$2109,MATCH(Paramètres!L20,Paramètres!$G$5:$G$57,0)))+IF(RIGHT(TRIM(Paramètres!M20),3)="Fin",1-$H2072,IF(LEFT(TRIM(Paramètres!M20),1)="F",1,0)))),IF(Paramètres!N20="",0,IF(Paramètres!O20="",NA(),IF(LEFT(TRIM(Paramètres!O20),1)="F",INDEX($F$2057:$F$2109,MATCH(Paramètres!N20,Paramètres!$G$5:$G$57,0)),INDEX($E$2057:$E$2109,MATCH(Paramètres!N20,Paramètres!$G$5:$G$57,0)))+IF(RIGHT(TRIM(Paramètres!O20),3)="Fin",1-$H2072,IF(LEFT(TRIM(Paramètres!O20),1)="F",1,0)))))))</f>
        <v/>
      </c>
      <c r="F2072" s="19">
        <f>IF($A2072="","",E2072+$H2072-1)</f>
        <v/>
      </c>
      <c r="G2072" s="18" t="n"/>
      <c r="H2072" s="18">
        <f>IF($A2072="","",IF(I2072&lt;&gt;"",I2072,Paramètres!B20))</f>
        <v/>
      </c>
      <c r="I2072" s="18" t="n"/>
    </row>
    <row r="2073">
      <c r="A2073" s="18">
        <f>IF(ISNUMBER(Dossiers!$D$42),Dossiers!$A$42&amp;" · "&amp;Dossiers!$B$42,"")</f>
        <v/>
      </c>
      <c r="B2073" s="18">
        <f>IF($A2073="","",Paramètres!G21)</f>
        <v/>
      </c>
      <c r="C2073" s="18">
        <f>IF($A2073="","",IF(Paramètres!H21="","",Paramètres!H21))</f>
        <v/>
      </c>
      <c r="D2073" s="18">
        <f>IF($A2073="","",IF(Paramètres!I21="","",Paramètres!I21))</f>
        <v/>
      </c>
      <c r="E2073" s="19">
        <f>IF($A2073="","",IF(Paramètres!J21&amp;Paramètres!L21&amp;Paramètres!N21="",Dossiers!$D$42,MAX(IF(Paramètres!J21="",0,IF(Paramètres!K21="",NA(),IF(LEFT(TRIM(Paramètres!K21),1)="F",INDEX($F$2057:$F$2109,MATCH(Paramètres!J21,Paramètres!$G$5:$G$57,0)),INDEX($E$2057:$E$2109,MATCH(Paramètres!J21,Paramètres!$G$5:$G$57,0)))+IF(RIGHT(TRIM(Paramètres!K21),3)="Fin",1-$H2073,IF(LEFT(TRIM(Paramètres!K21),1)="F",1,0)))),IF(Paramètres!L21="",0,IF(Paramètres!M21="",NA(),IF(LEFT(TRIM(Paramètres!M21),1)="F",INDEX($F$2057:$F$2109,MATCH(Paramètres!L21,Paramètres!$G$5:$G$57,0)),INDEX($E$2057:$E$2109,MATCH(Paramètres!L21,Paramètres!$G$5:$G$57,0)))+IF(RIGHT(TRIM(Paramètres!M21),3)="Fin",1-$H2073,IF(LEFT(TRIM(Paramètres!M21),1)="F",1,0)))),IF(Paramètres!N21="",0,IF(Paramètres!O21="",NA(),IF(LEFT(TRIM(Paramètres!O21),1)="F",INDEX($F$2057:$F$2109,MATCH(Paramètres!N21,Paramètres!$G$5:$G$57,0)),INDEX($E$2057:$E$2109,MATCH(Paramètres!N21,Paramètres!$G$5:$G$57,0)))+IF(RIGHT(TRIM(Paramètres!O21),3)="Fin",1-$H2073,IF(LEFT(TRIM(Paramètres!O21),1)="F",1,0)))))))</f>
        <v/>
      </c>
      <c r="F2073" s="19">
        <f>IF($A2073="","",E2073+$H2073-1)</f>
        <v/>
      </c>
      <c r="G2073" s="18" t="n"/>
      <c r="H2073" s="18">
        <f>IF($A2073="","",IF(I2073&lt;&gt;"",I2073,Paramètres!B21))</f>
        <v/>
      </c>
      <c r="I2073" s="18" t="n"/>
    </row>
    <row r="2074">
      <c r="A2074" s="18">
        <f>IF(ISNUMBER(Dossiers!$D$42),Dossiers!$A$42&amp;" · "&amp;Dossiers!$B$42,"")</f>
        <v/>
      </c>
      <c r="B2074" s="18">
        <f>IF($A2074="","",Paramètres!G22)</f>
        <v/>
      </c>
      <c r="C2074" s="18">
        <f>IF($A2074="","",IF(Paramètres!H22="","",Paramètres!H22))</f>
        <v/>
      </c>
      <c r="D2074" s="18">
        <f>IF($A2074="","",IF(Paramètres!I22="","",Paramètres!I22))</f>
        <v/>
      </c>
      <c r="E2074" s="19">
        <f>IF($A2074="","",IF(Paramètres!J22&amp;Paramètres!L22&amp;Paramètres!N22="",Dossiers!$D$42,MAX(IF(Paramètres!J22="",0,IF(Paramètres!K22="",NA(),IF(LEFT(TRIM(Paramètres!K22),1)="F",INDEX($F$2057:$F$2109,MATCH(Paramètres!J22,Paramètres!$G$5:$G$57,0)),INDEX($E$2057:$E$2109,MATCH(Paramètres!J22,Paramètres!$G$5:$G$57,0)))+IF(RIGHT(TRIM(Paramètres!K22),3)="Fin",1-$H2074,IF(LEFT(TRIM(Paramètres!K22),1)="F",1,0)))),IF(Paramètres!L22="",0,IF(Paramètres!M22="",NA(),IF(LEFT(TRIM(Paramètres!M22),1)="F",INDEX($F$2057:$F$2109,MATCH(Paramètres!L22,Paramètres!$G$5:$G$57,0)),INDEX($E$2057:$E$2109,MATCH(Paramètres!L22,Paramètres!$G$5:$G$57,0)))+IF(RIGHT(TRIM(Paramètres!M22),3)="Fin",1-$H2074,IF(LEFT(TRIM(Paramètres!M22),1)="F",1,0)))),IF(Paramètres!N22="",0,IF(Paramètres!O22="",NA(),IF(LEFT(TRIM(Paramètres!O22),1)="F",INDEX($F$2057:$F$2109,MATCH(Paramètres!N22,Paramètres!$G$5:$G$57,0)),INDEX($E$2057:$E$2109,MATCH(Paramètres!N22,Paramètres!$G$5:$G$57,0)))+IF(RIGHT(TRIM(Paramètres!O22),3)="Fin",1-$H2074,IF(LEFT(TRIM(Paramètres!O22),1)="F",1,0)))))))</f>
        <v/>
      </c>
      <c r="F2074" s="19">
        <f>IF($A2074="","",E2074+$H2074-1)</f>
        <v/>
      </c>
      <c r="G2074" s="18" t="n"/>
      <c r="H2074" s="18">
        <f>IF($A2074="","",IF(I2074&lt;&gt;"",I2074,Paramètres!B22))</f>
        <v/>
      </c>
      <c r="I2074" s="18" t="n"/>
    </row>
    <row r="2075">
      <c r="A2075" s="18">
        <f>IF(ISNUMBER(Dossiers!$D$42),Dossiers!$A$42&amp;" · "&amp;Dossiers!$B$42,"")</f>
        <v/>
      </c>
      <c r="B2075" s="18">
        <f>IF($A2075="","",Paramètres!G23)</f>
        <v/>
      </c>
      <c r="C2075" s="18">
        <f>IF($A2075="","",IF(Paramètres!H23="","",Paramètres!H23))</f>
        <v/>
      </c>
      <c r="D2075" s="18">
        <f>IF($A2075="","",IF(Paramètres!I23="","",Paramètres!I23))</f>
        <v/>
      </c>
      <c r="E2075" s="19">
        <f>IF($A2075="","",IF(Paramètres!J23&amp;Paramètres!L23&amp;Paramètres!N23="",Dossiers!$D$42,MAX(IF(Paramètres!J23="",0,IF(Paramètres!K23="",NA(),IF(LEFT(TRIM(Paramètres!K23),1)="F",INDEX($F$2057:$F$2109,MATCH(Paramètres!J23,Paramètres!$G$5:$G$57,0)),INDEX($E$2057:$E$2109,MATCH(Paramètres!J23,Paramètres!$G$5:$G$57,0)))+IF(RIGHT(TRIM(Paramètres!K23),3)="Fin",1-$H2075,IF(LEFT(TRIM(Paramètres!K23),1)="F",1,0)))),IF(Paramètres!L23="",0,IF(Paramètres!M23="",NA(),IF(LEFT(TRIM(Paramètres!M23),1)="F",INDEX($F$2057:$F$2109,MATCH(Paramètres!L23,Paramètres!$G$5:$G$57,0)),INDEX($E$2057:$E$2109,MATCH(Paramètres!L23,Paramètres!$G$5:$G$57,0)))+IF(RIGHT(TRIM(Paramètres!M23),3)="Fin",1-$H2075,IF(LEFT(TRIM(Paramètres!M23),1)="F",1,0)))),IF(Paramètres!N23="",0,IF(Paramètres!O23="",NA(),IF(LEFT(TRIM(Paramètres!O23),1)="F",INDEX($F$2057:$F$2109,MATCH(Paramètres!N23,Paramètres!$G$5:$G$57,0)),INDEX($E$2057:$E$2109,MATCH(Paramètres!N23,Paramètres!$G$5:$G$57,0)))+IF(RIGHT(TRIM(Paramètres!O23),3)="Fin",1-$H2075,IF(LEFT(TRIM(Paramètres!O23),1)="F",1,0)))))))</f>
        <v/>
      </c>
      <c r="F2075" s="19">
        <f>IF($A2075="","",E2075+$H2075-1)</f>
        <v/>
      </c>
      <c r="G2075" s="18" t="n"/>
      <c r="H2075" s="18">
        <f>IF($A2075="","",IF(I2075&lt;&gt;"",I2075,Paramètres!B23))</f>
        <v/>
      </c>
      <c r="I2075" s="18" t="n"/>
    </row>
    <row r="2076">
      <c r="A2076" s="18">
        <f>IF(ISNUMBER(Dossiers!$D$42),Dossiers!$A$42&amp;" · "&amp;Dossiers!$B$42,"")</f>
        <v/>
      </c>
      <c r="B2076" s="18">
        <f>IF($A2076="","",Paramètres!G24)</f>
        <v/>
      </c>
      <c r="C2076" s="18">
        <f>IF($A2076="","",IF(Paramètres!H24="","",Paramètres!H24))</f>
        <v/>
      </c>
      <c r="D2076" s="18">
        <f>IF($A2076="","",IF(Paramètres!I24="","",Paramètres!I24))</f>
        <v/>
      </c>
      <c r="E2076" s="19">
        <f>IF($A2076="","",IF(Paramètres!J24&amp;Paramètres!L24&amp;Paramètres!N24="",Dossiers!$D$42,MAX(IF(Paramètres!J24="",0,IF(Paramètres!K24="",NA(),IF(LEFT(TRIM(Paramètres!K24),1)="F",INDEX($F$2057:$F$2109,MATCH(Paramètres!J24,Paramètres!$G$5:$G$57,0)),INDEX($E$2057:$E$2109,MATCH(Paramètres!J24,Paramètres!$G$5:$G$57,0)))+IF(RIGHT(TRIM(Paramètres!K24),3)="Fin",1-$H2076,IF(LEFT(TRIM(Paramètres!K24),1)="F",1,0)))),IF(Paramètres!L24="",0,IF(Paramètres!M24="",NA(),IF(LEFT(TRIM(Paramètres!M24),1)="F",INDEX($F$2057:$F$2109,MATCH(Paramètres!L24,Paramètres!$G$5:$G$57,0)),INDEX($E$2057:$E$2109,MATCH(Paramètres!L24,Paramètres!$G$5:$G$57,0)))+IF(RIGHT(TRIM(Paramètres!M24),3)="Fin",1-$H2076,IF(LEFT(TRIM(Paramètres!M24),1)="F",1,0)))),IF(Paramètres!N24="",0,IF(Paramètres!O24="",NA(),IF(LEFT(TRIM(Paramètres!O24),1)="F",INDEX($F$2057:$F$2109,MATCH(Paramètres!N24,Paramètres!$G$5:$G$57,0)),INDEX($E$2057:$E$2109,MATCH(Paramètres!N24,Paramètres!$G$5:$G$57,0)))+IF(RIGHT(TRIM(Paramètres!O24),3)="Fin",1-$H2076,IF(LEFT(TRIM(Paramètres!O24),1)="F",1,0)))))))</f>
        <v/>
      </c>
      <c r="F2076" s="19">
        <f>IF($A2076="","",E2076+$H2076-1)</f>
        <v/>
      </c>
      <c r="G2076" s="18" t="n"/>
      <c r="H2076" s="18">
        <f>IF($A2076="","",IF(I2076&lt;&gt;"",I2076,Paramètres!B24))</f>
        <v/>
      </c>
      <c r="I2076" s="18" t="n"/>
    </row>
    <row r="2077">
      <c r="A2077" s="18">
        <f>IF(ISNUMBER(Dossiers!$D$42),Dossiers!$A$42&amp;" · "&amp;Dossiers!$B$42,"")</f>
        <v/>
      </c>
      <c r="B2077" s="18">
        <f>IF($A2077="","",Paramètres!G25)</f>
        <v/>
      </c>
      <c r="C2077" s="18">
        <f>IF($A2077="","",IF(Paramètres!H25="","",Paramètres!H25))</f>
        <v/>
      </c>
      <c r="D2077" s="18">
        <f>IF($A2077="","",IF(Paramètres!I25="","",Paramètres!I25))</f>
        <v/>
      </c>
      <c r="E2077" s="19">
        <f>IF($A2077="","",IF(Paramètres!J25&amp;Paramètres!L25&amp;Paramètres!N25="",Dossiers!$D$42,MAX(IF(Paramètres!J25="",0,IF(Paramètres!K25="",NA(),IF(LEFT(TRIM(Paramètres!K25),1)="F",INDEX($F$2057:$F$2109,MATCH(Paramètres!J25,Paramètres!$G$5:$G$57,0)),INDEX($E$2057:$E$2109,MATCH(Paramètres!J25,Paramètres!$G$5:$G$57,0)))+IF(RIGHT(TRIM(Paramètres!K25),3)="Fin",1-$H2077,IF(LEFT(TRIM(Paramètres!K25),1)="F",1,0)))),IF(Paramètres!L25="",0,IF(Paramètres!M25="",NA(),IF(LEFT(TRIM(Paramètres!M25),1)="F",INDEX($F$2057:$F$2109,MATCH(Paramètres!L25,Paramètres!$G$5:$G$57,0)),INDEX($E$2057:$E$2109,MATCH(Paramètres!L25,Paramètres!$G$5:$G$57,0)))+IF(RIGHT(TRIM(Paramètres!M25),3)="Fin",1-$H2077,IF(LEFT(TRIM(Paramètres!M25),1)="F",1,0)))),IF(Paramètres!N25="",0,IF(Paramètres!O25="",NA(),IF(LEFT(TRIM(Paramètres!O25),1)="F",INDEX($F$2057:$F$2109,MATCH(Paramètres!N25,Paramètres!$G$5:$G$57,0)),INDEX($E$2057:$E$2109,MATCH(Paramètres!N25,Paramètres!$G$5:$G$57,0)))+IF(RIGHT(TRIM(Paramètres!O25),3)="Fin",1-$H2077,IF(LEFT(TRIM(Paramètres!O25),1)="F",1,0)))))))</f>
        <v/>
      </c>
      <c r="F2077" s="19">
        <f>IF($A2077="","",E2077+$H2077-1)</f>
        <v/>
      </c>
      <c r="G2077" s="18" t="n"/>
      <c r="H2077" s="18">
        <f>IF($A2077="","",IF(I2077&lt;&gt;"",I2077,Paramètres!B25))</f>
        <v/>
      </c>
      <c r="I2077" s="18" t="n"/>
    </row>
    <row r="2078">
      <c r="A2078" s="18">
        <f>IF(ISNUMBER(Dossiers!$D$42),Dossiers!$A$42&amp;" · "&amp;Dossiers!$B$42,"")</f>
        <v/>
      </c>
      <c r="B2078" s="18">
        <f>IF($A2078="","",Paramètres!G26)</f>
        <v/>
      </c>
      <c r="C2078" s="18">
        <f>IF($A2078="","",IF(Paramètres!H26="","",Paramètres!H26))</f>
        <v/>
      </c>
      <c r="D2078" s="18">
        <f>IF($A2078="","",IF(Paramètres!I26="","",Paramètres!I26))</f>
        <v/>
      </c>
      <c r="E2078" s="19">
        <f>IF($A2078="","",IF(Paramètres!J26&amp;Paramètres!L26&amp;Paramètres!N26="",Dossiers!$D$42,MAX(IF(Paramètres!J26="",0,IF(Paramètres!K26="",NA(),IF(LEFT(TRIM(Paramètres!K26),1)="F",INDEX($F$2057:$F$2109,MATCH(Paramètres!J26,Paramètres!$G$5:$G$57,0)),INDEX($E$2057:$E$2109,MATCH(Paramètres!J26,Paramètres!$G$5:$G$57,0)))+IF(RIGHT(TRIM(Paramètres!K26),3)="Fin",1-$H2078,IF(LEFT(TRIM(Paramètres!K26),1)="F",1,0)))),IF(Paramètres!L26="",0,IF(Paramètres!M26="",NA(),IF(LEFT(TRIM(Paramètres!M26),1)="F",INDEX($F$2057:$F$2109,MATCH(Paramètres!L26,Paramètres!$G$5:$G$57,0)),INDEX($E$2057:$E$2109,MATCH(Paramètres!L26,Paramètres!$G$5:$G$57,0)))+IF(RIGHT(TRIM(Paramètres!M26),3)="Fin",1-$H2078,IF(LEFT(TRIM(Paramètres!M26),1)="F",1,0)))),IF(Paramètres!N26="",0,IF(Paramètres!O26="",NA(),IF(LEFT(TRIM(Paramètres!O26),1)="F",INDEX($F$2057:$F$2109,MATCH(Paramètres!N26,Paramètres!$G$5:$G$57,0)),INDEX($E$2057:$E$2109,MATCH(Paramètres!N26,Paramètres!$G$5:$G$57,0)))+IF(RIGHT(TRIM(Paramètres!O26),3)="Fin",1-$H2078,IF(LEFT(TRIM(Paramètres!O26),1)="F",1,0)))))))</f>
        <v/>
      </c>
      <c r="F2078" s="19">
        <f>IF($A2078="","",E2078+$H2078-1)</f>
        <v/>
      </c>
      <c r="G2078" s="18" t="n"/>
      <c r="H2078" s="18">
        <f>IF($A2078="","",IF(I2078&lt;&gt;"",I2078,Paramètres!B26))</f>
        <v/>
      </c>
      <c r="I2078" s="18" t="n"/>
    </row>
    <row r="2079">
      <c r="A2079" s="18">
        <f>IF(ISNUMBER(Dossiers!$D$42),Dossiers!$A$42&amp;" · "&amp;Dossiers!$B$42,"")</f>
        <v/>
      </c>
      <c r="B2079" s="18">
        <f>IF($A2079="","",Paramètres!G27)</f>
        <v/>
      </c>
      <c r="C2079" s="18">
        <f>IF($A2079="","",IF(Paramètres!H27="","",Paramètres!H27))</f>
        <v/>
      </c>
      <c r="D2079" s="18">
        <f>IF($A2079="","",IF(Paramètres!I27="","",Paramètres!I27))</f>
        <v/>
      </c>
      <c r="E2079" s="19">
        <f>IF($A2079="","",IF(Paramètres!J27&amp;Paramètres!L27&amp;Paramètres!N27="",Dossiers!$D$42,MAX(IF(Paramètres!J27="",0,IF(Paramètres!K27="",NA(),IF(LEFT(TRIM(Paramètres!K27),1)="F",INDEX($F$2057:$F$2109,MATCH(Paramètres!J27,Paramètres!$G$5:$G$57,0)),INDEX($E$2057:$E$2109,MATCH(Paramètres!J27,Paramètres!$G$5:$G$57,0)))+IF(RIGHT(TRIM(Paramètres!K27),3)="Fin",1-$H2079,IF(LEFT(TRIM(Paramètres!K27),1)="F",1,0)))),IF(Paramètres!L27="",0,IF(Paramètres!M27="",NA(),IF(LEFT(TRIM(Paramètres!M27),1)="F",INDEX($F$2057:$F$2109,MATCH(Paramètres!L27,Paramètres!$G$5:$G$57,0)),INDEX($E$2057:$E$2109,MATCH(Paramètres!L27,Paramètres!$G$5:$G$57,0)))+IF(RIGHT(TRIM(Paramètres!M27),3)="Fin",1-$H2079,IF(LEFT(TRIM(Paramètres!M27),1)="F",1,0)))),IF(Paramètres!N27="",0,IF(Paramètres!O27="",NA(),IF(LEFT(TRIM(Paramètres!O27),1)="F",INDEX($F$2057:$F$2109,MATCH(Paramètres!N27,Paramètres!$G$5:$G$57,0)),INDEX($E$2057:$E$2109,MATCH(Paramètres!N27,Paramètres!$G$5:$G$57,0)))+IF(RIGHT(TRIM(Paramètres!O27),3)="Fin",1-$H2079,IF(LEFT(TRIM(Paramètres!O27),1)="F",1,0)))))))</f>
        <v/>
      </c>
      <c r="F2079" s="19">
        <f>IF($A2079="","",E2079+$H2079-1)</f>
        <v/>
      </c>
      <c r="G2079" s="18" t="n"/>
      <c r="H2079" s="18">
        <f>IF($A2079="","",IF(I2079&lt;&gt;"",I2079,Paramètres!B27))</f>
        <v/>
      </c>
      <c r="I2079" s="18" t="n"/>
    </row>
    <row r="2080">
      <c r="A2080" s="18">
        <f>IF(ISNUMBER(Dossiers!$D$42),Dossiers!$A$42&amp;" · "&amp;Dossiers!$B$42,"")</f>
        <v/>
      </c>
      <c r="B2080" s="18">
        <f>IF($A2080="","",Paramètres!G28)</f>
        <v/>
      </c>
      <c r="C2080" s="18">
        <f>IF($A2080="","",IF(Paramètres!H28="","",Paramètres!H28))</f>
        <v/>
      </c>
      <c r="D2080" s="18">
        <f>IF($A2080="","",IF(Paramètres!I28="","",Paramètres!I28))</f>
        <v/>
      </c>
      <c r="E2080" s="19">
        <f>IF($A2080="","",IF(Paramètres!J28&amp;Paramètres!L28&amp;Paramètres!N28="",Dossiers!$D$42,MAX(IF(Paramètres!J28="",0,IF(Paramètres!K28="",NA(),IF(LEFT(TRIM(Paramètres!K28),1)="F",INDEX($F$2057:$F$2109,MATCH(Paramètres!J28,Paramètres!$G$5:$G$57,0)),INDEX($E$2057:$E$2109,MATCH(Paramètres!J28,Paramètres!$G$5:$G$57,0)))+IF(RIGHT(TRIM(Paramètres!K28),3)="Fin",1-$H2080,IF(LEFT(TRIM(Paramètres!K28),1)="F",1,0)))),IF(Paramètres!L28="",0,IF(Paramètres!M28="",NA(),IF(LEFT(TRIM(Paramètres!M28),1)="F",INDEX($F$2057:$F$2109,MATCH(Paramètres!L28,Paramètres!$G$5:$G$57,0)),INDEX($E$2057:$E$2109,MATCH(Paramètres!L28,Paramètres!$G$5:$G$57,0)))+IF(RIGHT(TRIM(Paramètres!M28),3)="Fin",1-$H2080,IF(LEFT(TRIM(Paramètres!M28),1)="F",1,0)))),IF(Paramètres!N28="",0,IF(Paramètres!O28="",NA(),IF(LEFT(TRIM(Paramètres!O28),1)="F",INDEX($F$2057:$F$2109,MATCH(Paramètres!N28,Paramètres!$G$5:$G$57,0)),INDEX($E$2057:$E$2109,MATCH(Paramètres!N28,Paramètres!$G$5:$G$57,0)))+IF(RIGHT(TRIM(Paramètres!O28),3)="Fin",1-$H2080,IF(LEFT(TRIM(Paramètres!O28),1)="F",1,0)))))))</f>
        <v/>
      </c>
      <c r="F2080" s="19">
        <f>IF($A2080="","",E2080+$H2080-1)</f>
        <v/>
      </c>
      <c r="G2080" s="18" t="n"/>
      <c r="H2080" s="18">
        <f>IF($A2080="","",IF(I2080&lt;&gt;"",I2080,Paramètres!B28))</f>
        <v/>
      </c>
      <c r="I2080" s="18" t="n"/>
    </row>
    <row r="2081">
      <c r="A2081" s="18">
        <f>IF(ISNUMBER(Dossiers!$D$42),Dossiers!$A$42&amp;" · "&amp;Dossiers!$B$42,"")</f>
        <v/>
      </c>
      <c r="B2081" s="18">
        <f>IF($A2081="","",Paramètres!G29)</f>
        <v/>
      </c>
      <c r="C2081" s="18">
        <f>IF($A2081="","",IF(Paramètres!H29="","",Paramètres!H29))</f>
        <v/>
      </c>
      <c r="D2081" s="18">
        <f>IF($A2081="","",IF(Paramètres!I29="","",Paramètres!I29))</f>
        <v/>
      </c>
      <c r="E2081" s="19">
        <f>IF($A2081="","",IF(Paramètres!J29&amp;Paramètres!L29&amp;Paramètres!N29="",Dossiers!$D$42,MAX(IF(Paramètres!J29="",0,IF(Paramètres!K29="",NA(),IF(LEFT(TRIM(Paramètres!K29),1)="F",INDEX($F$2057:$F$2109,MATCH(Paramètres!J29,Paramètres!$G$5:$G$57,0)),INDEX($E$2057:$E$2109,MATCH(Paramètres!J29,Paramètres!$G$5:$G$57,0)))+IF(RIGHT(TRIM(Paramètres!K29),3)="Fin",1-$H2081,IF(LEFT(TRIM(Paramètres!K29),1)="F",1,0)))),IF(Paramètres!L29="",0,IF(Paramètres!M29="",NA(),IF(LEFT(TRIM(Paramètres!M29),1)="F",INDEX($F$2057:$F$2109,MATCH(Paramètres!L29,Paramètres!$G$5:$G$57,0)),INDEX($E$2057:$E$2109,MATCH(Paramètres!L29,Paramètres!$G$5:$G$57,0)))+IF(RIGHT(TRIM(Paramètres!M29),3)="Fin",1-$H2081,IF(LEFT(TRIM(Paramètres!M29),1)="F",1,0)))),IF(Paramètres!N29="",0,IF(Paramètres!O29="",NA(),IF(LEFT(TRIM(Paramètres!O29),1)="F",INDEX($F$2057:$F$2109,MATCH(Paramètres!N29,Paramètres!$G$5:$G$57,0)),INDEX($E$2057:$E$2109,MATCH(Paramètres!N29,Paramètres!$G$5:$G$57,0)))+IF(RIGHT(TRIM(Paramètres!O29),3)="Fin",1-$H2081,IF(LEFT(TRIM(Paramètres!O29),1)="F",1,0)))))))</f>
        <v/>
      </c>
      <c r="F2081" s="19">
        <f>IF($A2081="","",E2081+$H2081-1)</f>
        <v/>
      </c>
      <c r="G2081" s="18" t="n"/>
      <c r="H2081" s="18">
        <f>IF($A2081="","",IF(I2081&lt;&gt;"",I2081,Paramètres!B29))</f>
        <v/>
      </c>
      <c r="I2081" s="18" t="n"/>
    </row>
    <row r="2082">
      <c r="A2082" s="18">
        <f>IF(ISNUMBER(Dossiers!$D$42),Dossiers!$A$42&amp;" · "&amp;Dossiers!$B$42,"")</f>
        <v/>
      </c>
      <c r="B2082" s="18">
        <f>IF($A2082="","",Paramètres!G30)</f>
        <v/>
      </c>
      <c r="C2082" s="18">
        <f>IF($A2082="","",IF(Paramètres!H30="","",Paramètres!H30))</f>
        <v/>
      </c>
      <c r="D2082" s="18">
        <f>IF($A2082="","",IF(Paramètres!I30="","",Paramètres!I30))</f>
        <v/>
      </c>
      <c r="E2082" s="19">
        <f>IF($A2082="","",IF(Paramètres!J30&amp;Paramètres!L30&amp;Paramètres!N30="",Dossiers!$D$42,MAX(IF(Paramètres!J30="",0,IF(Paramètres!K30="",NA(),IF(LEFT(TRIM(Paramètres!K30),1)="F",INDEX($F$2057:$F$2109,MATCH(Paramètres!J30,Paramètres!$G$5:$G$57,0)),INDEX($E$2057:$E$2109,MATCH(Paramètres!J30,Paramètres!$G$5:$G$57,0)))+IF(RIGHT(TRIM(Paramètres!K30),3)="Fin",1-$H2082,IF(LEFT(TRIM(Paramètres!K30),1)="F",1,0)))),IF(Paramètres!L30="",0,IF(Paramètres!M30="",NA(),IF(LEFT(TRIM(Paramètres!M30),1)="F",INDEX($F$2057:$F$2109,MATCH(Paramètres!L30,Paramètres!$G$5:$G$57,0)),INDEX($E$2057:$E$2109,MATCH(Paramètres!L30,Paramètres!$G$5:$G$57,0)))+IF(RIGHT(TRIM(Paramètres!M30),3)="Fin",1-$H2082,IF(LEFT(TRIM(Paramètres!M30),1)="F",1,0)))),IF(Paramètres!N30="",0,IF(Paramètres!O30="",NA(),IF(LEFT(TRIM(Paramètres!O30),1)="F",INDEX($F$2057:$F$2109,MATCH(Paramètres!N30,Paramètres!$G$5:$G$57,0)),INDEX($E$2057:$E$2109,MATCH(Paramètres!N30,Paramètres!$G$5:$G$57,0)))+IF(RIGHT(TRIM(Paramètres!O30),3)="Fin",1-$H2082,IF(LEFT(TRIM(Paramètres!O30),1)="F",1,0)))))))</f>
        <v/>
      </c>
      <c r="F2082" s="19">
        <f>IF($A2082="","",E2082+$H2082-1)</f>
        <v/>
      </c>
      <c r="G2082" s="18" t="n"/>
      <c r="H2082" s="18">
        <f>IF($A2082="","",IF(I2082&lt;&gt;"",I2082,Paramètres!B30))</f>
        <v/>
      </c>
      <c r="I2082" s="18" t="n"/>
    </row>
    <row r="2083">
      <c r="A2083" s="18">
        <f>IF(ISNUMBER(Dossiers!$D$42),Dossiers!$A$42&amp;" · "&amp;Dossiers!$B$42,"")</f>
        <v/>
      </c>
      <c r="B2083" s="18">
        <f>IF($A2083="","",Paramètres!G31)</f>
        <v/>
      </c>
      <c r="C2083" s="20">
        <f>IF($A2083="","",IF(Dossiers!$F$42="","",Dossiers!$F$42))</f>
        <v/>
      </c>
      <c r="D2083" s="18">
        <f>IF($A2083="","",IF(Paramètres!I31="","",Paramètres!I31))</f>
        <v/>
      </c>
      <c r="E2083" s="19">
        <f>IF($A2083="","",IF(Paramètres!J31&amp;Paramètres!L31&amp;Paramètres!N31="",Dossiers!$D$42,MAX(IF(Paramètres!J31="",0,IF(Paramètres!K31="",NA(),IF(LEFT(TRIM(Paramètres!K31),1)="F",INDEX($F$2057:$F$2109,MATCH(Paramètres!J31,Paramètres!$G$5:$G$57,0)),INDEX($E$2057:$E$2109,MATCH(Paramètres!J31,Paramètres!$G$5:$G$57,0)))+IF(RIGHT(TRIM(Paramètres!K31),3)="Fin",1-$H2083,IF(LEFT(TRIM(Paramètres!K31),1)="F",1,0)))),IF(Paramètres!L31="",0,IF(Paramètres!M31="",NA(),IF(LEFT(TRIM(Paramètres!M31),1)="F",INDEX($F$2057:$F$2109,MATCH(Paramètres!L31,Paramètres!$G$5:$G$57,0)),INDEX($E$2057:$E$2109,MATCH(Paramètres!L31,Paramètres!$G$5:$G$57,0)))+IF(RIGHT(TRIM(Paramètres!M31),3)="Fin",1-$H2083,IF(LEFT(TRIM(Paramètres!M31),1)="F",1,0)))),IF(Paramètres!N31="",0,IF(Paramètres!O31="",NA(),IF(LEFT(TRIM(Paramètres!O31),1)="F",INDEX($F$2057:$F$2109,MATCH(Paramètres!N31,Paramètres!$G$5:$G$57,0)),INDEX($E$2057:$E$2109,MATCH(Paramètres!N31,Paramètres!$G$5:$G$57,0)))+IF(RIGHT(TRIM(Paramètres!O31),3)="Fin",1-$H2083,IF(LEFT(TRIM(Paramètres!O31),1)="F",1,0)))))))</f>
        <v/>
      </c>
      <c r="F2083" s="19">
        <f>IF($A2083="","",E2083+$H2083-1)</f>
        <v/>
      </c>
      <c r="G2083" s="18" t="n"/>
      <c r="H2083" s="18">
        <f>IF($A2083="","",IF(I2083&lt;&gt;"",I2083,Paramètres!B31))</f>
        <v/>
      </c>
      <c r="I2083" s="18" t="n"/>
    </row>
    <row r="2084">
      <c r="A2084" s="18">
        <f>IF(ISNUMBER(Dossiers!$D$42),Dossiers!$A$42&amp;" · "&amp;Dossiers!$B$42,"")</f>
        <v/>
      </c>
      <c r="B2084" s="18">
        <f>IF($A2084="","",Paramètres!G32)</f>
        <v/>
      </c>
      <c r="C2084" s="18">
        <f>IF($A2084="","",IF(Paramètres!H32="","",Paramètres!H32))</f>
        <v/>
      </c>
      <c r="D2084" s="18">
        <f>IF($A2084="","",IF(Paramètres!I32="","",Paramètres!I32))</f>
        <v/>
      </c>
      <c r="E2084" s="19">
        <f>IF($A2084="","",MIN(E2085:E2088))</f>
        <v/>
      </c>
      <c r="F2084" s="19">
        <f>IF($A2084="","",MAX(F2085:F2088))</f>
        <v/>
      </c>
      <c r="G2084" s="18" t="n"/>
      <c r="H2084" s="18">
        <f>IF($A2084="","",F2084-E2084+1)</f>
        <v/>
      </c>
      <c r="I2084" s="18" t="n"/>
    </row>
    <row r="2085">
      <c r="A2085" s="18">
        <f>IF(ISNUMBER(Dossiers!$D$42),Dossiers!$A$42&amp;" · "&amp;Dossiers!$B$42,"")</f>
        <v/>
      </c>
      <c r="B2085" s="18">
        <f>IF($A2085="","",Paramètres!G33)</f>
        <v/>
      </c>
      <c r="C2085" s="18">
        <f>IF($A2085="","",IF(Paramètres!H33="","",Paramètres!H33))</f>
        <v/>
      </c>
      <c r="D2085" s="18">
        <f>IF($A2085="","",IF(Paramètres!I33="","",Paramètres!I33))</f>
        <v/>
      </c>
      <c r="E2085" s="19">
        <f>IF($A2085="","",IF(Paramètres!J33&amp;Paramètres!L33&amp;Paramètres!N33="",Dossiers!$D$42,MAX(IF(Paramètres!J33="",0,IF(Paramètres!K33="",NA(),IF(LEFT(TRIM(Paramètres!K33),1)="F",INDEX($F$2057:$F$2109,MATCH(Paramètres!J33,Paramètres!$G$5:$G$57,0)),INDEX($E$2057:$E$2109,MATCH(Paramètres!J33,Paramètres!$G$5:$G$57,0)))+IF(RIGHT(TRIM(Paramètres!K33),3)="Fin",1-$H2085,IF(LEFT(TRIM(Paramètres!K33),1)="F",1,0)))),IF(Paramètres!L33="",0,IF(Paramètres!M33="",NA(),IF(LEFT(TRIM(Paramètres!M33),1)="F",INDEX($F$2057:$F$2109,MATCH(Paramètres!L33,Paramètres!$G$5:$G$57,0)),INDEX($E$2057:$E$2109,MATCH(Paramètres!L33,Paramètres!$G$5:$G$57,0)))+IF(RIGHT(TRIM(Paramètres!M33),3)="Fin",1-$H2085,IF(LEFT(TRIM(Paramètres!M33),1)="F",1,0)))),IF(Paramètres!N33="",0,IF(Paramètres!O33="",NA(),IF(LEFT(TRIM(Paramètres!O33),1)="F",INDEX($F$2057:$F$2109,MATCH(Paramètres!N33,Paramètres!$G$5:$G$57,0)),INDEX($E$2057:$E$2109,MATCH(Paramètres!N33,Paramètres!$G$5:$G$57,0)))+IF(RIGHT(TRIM(Paramètres!O33),3)="Fin",1-$H2085,IF(LEFT(TRIM(Paramètres!O33),1)="F",1,0)))))))</f>
        <v/>
      </c>
      <c r="F2085" s="19">
        <f>IF($A2085="","",E2085+$H2085-1)</f>
        <v/>
      </c>
      <c r="G2085" s="18" t="n"/>
      <c r="H2085" s="18">
        <f>IF($A2085="","",IF(I2085&lt;&gt;"",I2085,Paramètres!B33))</f>
        <v/>
      </c>
      <c r="I2085" s="18" t="n"/>
    </row>
    <row r="2086">
      <c r="A2086" s="18">
        <f>IF(ISNUMBER(Dossiers!$D$42),Dossiers!$A$42&amp;" · "&amp;Dossiers!$B$42,"")</f>
        <v/>
      </c>
      <c r="B2086" s="18">
        <f>IF($A2086="","",Paramètres!G34)</f>
        <v/>
      </c>
      <c r="C2086" s="18">
        <f>IF($A2086="","",IF(Paramètres!H34="","",Paramètres!H34))</f>
        <v/>
      </c>
      <c r="D2086" s="18">
        <f>IF($A2086="","",IF(Paramètres!I34="","",Paramètres!I34))</f>
        <v/>
      </c>
      <c r="E2086" s="19">
        <f>IF($A2086="","",IF(Paramètres!J34&amp;Paramètres!L34&amp;Paramètres!N34="",Dossiers!$D$42,MAX(IF(Paramètres!J34="",0,IF(Paramètres!K34="",NA(),IF(LEFT(TRIM(Paramètres!K34),1)="F",INDEX($F$2057:$F$2109,MATCH(Paramètres!J34,Paramètres!$G$5:$G$57,0)),INDEX($E$2057:$E$2109,MATCH(Paramètres!J34,Paramètres!$G$5:$G$57,0)))+IF(RIGHT(TRIM(Paramètres!K34),3)="Fin",1-$H2086,IF(LEFT(TRIM(Paramètres!K34),1)="F",1,0)))),IF(Paramètres!L34="",0,IF(Paramètres!M34="",NA(),IF(LEFT(TRIM(Paramètres!M34),1)="F",INDEX($F$2057:$F$2109,MATCH(Paramètres!L34,Paramètres!$G$5:$G$57,0)),INDEX($E$2057:$E$2109,MATCH(Paramètres!L34,Paramètres!$G$5:$G$57,0)))+IF(RIGHT(TRIM(Paramètres!M34),3)="Fin",1-$H2086,IF(LEFT(TRIM(Paramètres!M34),1)="F",1,0)))),IF(Paramètres!N34="",0,IF(Paramètres!O34="",NA(),IF(LEFT(TRIM(Paramètres!O34),1)="F",INDEX($F$2057:$F$2109,MATCH(Paramètres!N34,Paramètres!$G$5:$G$57,0)),INDEX($E$2057:$E$2109,MATCH(Paramètres!N34,Paramètres!$G$5:$G$57,0)))+IF(RIGHT(TRIM(Paramètres!O34),3)="Fin",1-$H2086,IF(LEFT(TRIM(Paramètres!O34),1)="F",1,0)))))))</f>
        <v/>
      </c>
      <c r="F2086" s="19">
        <f>IF($A2086="","",E2086+$H2086-1)</f>
        <v/>
      </c>
      <c r="G2086" s="18" t="n"/>
      <c r="H2086" s="18">
        <f>IF($A2086="","",IF(I2086&lt;&gt;"",I2086,Paramètres!B34))</f>
        <v/>
      </c>
      <c r="I2086" s="18" t="n"/>
    </row>
    <row r="2087">
      <c r="A2087" s="18">
        <f>IF(ISNUMBER(Dossiers!$D$42),Dossiers!$A$42&amp;" · "&amp;Dossiers!$B$42,"")</f>
        <v/>
      </c>
      <c r="B2087" s="18">
        <f>IF($A2087="","",Paramètres!G35)</f>
        <v/>
      </c>
      <c r="C2087" s="18">
        <f>IF($A2087="","",IF(Paramètres!H35="","",Paramètres!H35))</f>
        <v/>
      </c>
      <c r="D2087" s="18">
        <f>IF($A2087="","",IF(Paramètres!I35="","",Paramètres!I35))</f>
        <v/>
      </c>
      <c r="E2087" s="19">
        <f>IF($A2087="","",IF(Paramètres!J35&amp;Paramètres!L35&amp;Paramètres!N35="",Dossiers!$D$42,MAX(IF(Paramètres!J35="",0,IF(Paramètres!K35="",NA(),IF(LEFT(TRIM(Paramètres!K35),1)="F",INDEX($F$2057:$F$2109,MATCH(Paramètres!J35,Paramètres!$G$5:$G$57,0)),INDEX($E$2057:$E$2109,MATCH(Paramètres!J35,Paramètres!$G$5:$G$57,0)))+IF(RIGHT(TRIM(Paramètres!K35),3)="Fin",1-$H2087,IF(LEFT(TRIM(Paramètres!K35),1)="F",1,0)))),IF(Paramètres!L35="",0,IF(Paramètres!M35="",NA(),IF(LEFT(TRIM(Paramètres!M35),1)="F",INDEX($F$2057:$F$2109,MATCH(Paramètres!L35,Paramètres!$G$5:$G$57,0)),INDEX($E$2057:$E$2109,MATCH(Paramètres!L35,Paramètres!$G$5:$G$57,0)))+IF(RIGHT(TRIM(Paramètres!M35),3)="Fin",1-$H2087,IF(LEFT(TRIM(Paramètres!M35),1)="F",1,0)))),IF(Paramètres!N35="",0,IF(Paramètres!O35="",NA(),IF(LEFT(TRIM(Paramètres!O35),1)="F",INDEX($F$2057:$F$2109,MATCH(Paramètres!N35,Paramètres!$G$5:$G$57,0)),INDEX($E$2057:$E$2109,MATCH(Paramètres!N35,Paramètres!$G$5:$G$57,0)))+IF(RIGHT(TRIM(Paramètres!O35),3)="Fin",1-$H2087,IF(LEFT(TRIM(Paramètres!O35),1)="F",1,0)))))))</f>
        <v/>
      </c>
      <c r="F2087" s="19">
        <f>IF($A2087="","",E2087+$H2087-1)</f>
        <v/>
      </c>
      <c r="G2087" s="18" t="n"/>
      <c r="H2087" s="18">
        <f>IF($A2087="","",IF(I2087&lt;&gt;"",I2087,Paramètres!B35))</f>
        <v/>
      </c>
      <c r="I2087" s="18" t="n"/>
    </row>
    <row r="2088">
      <c r="A2088" s="18">
        <f>IF(ISNUMBER(Dossiers!$D$42),Dossiers!$A$42&amp;" · "&amp;Dossiers!$B$42,"")</f>
        <v/>
      </c>
      <c r="B2088" s="18">
        <f>IF($A2088="","",Paramètres!G36)</f>
        <v/>
      </c>
      <c r="C2088" s="18">
        <f>IF($A2088="","",IF(Paramètres!H36="","",Paramètres!H36))</f>
        <v/>
      </c>
      <c r="D2088" s="18">
        <f>IF($A2088="","",IF(Paramètres!I36="","",Paramètres!I36))</f>
        <v/>
      </c>
      <c r="E2088" s="19">
        <f>IF($A2088="","",IF(Paramètres!J36&amp;Paramètres!L36&amp;Paramètres!N36="",Dossiers!$D$42,MAX(IF(Paramètres!J36="",0,IF(Paramètres!K36="",NA(),IF(LEFT(TRIM(Paramètres!K36),1)="F",INDEX($F$2057:$F$2109,MATCH(Paramètres!J36,Paramètres!$G$5:$G$57,0)),INDEX($E$2057:$E$2109,MATCH(Paramètres!J36,Paramètres!$G$5:$G$57,0)))+IF(RIGHT(TRIM(Paramètres!K36),3)="Fin",1-$H2088,IF(LEFT(TRIM(Paramètres!K36),1)="F",1,0)))),IF(Paramètres!L36="",0,IF(Paramètres!M36="",NA(),IF(LEFT(TRIM(Paramètres!M36),1)="F",INDEX($F$2057:$F$2109,MATCH(Paramètres!L36,Paramètres!$G$5:$G$57,0)),INDEX($E$2057:$E$2109,MATCH(Paramètres!L36,Paramètres!$G$5:$G$57,0)))+IF(RIGHT(TRIM(Paramètres!M36),3)="Fin",1-$H2088,IF(LEFT(TRIM(Paramètres!M36),1)="F",1,0)))),IF(Paramètres!N36="",0,IF(Paramètres!O36="",NA(),IF(LEFT(TRIM(Paramètres!O36),1)="F",INDEX($F$2057:$F$2109,MATCH(Paramètres!N36,Paramètres!$G$5:$G$57,0)),INDEX($E$2057:$E$2109,MATCH(Paramètres!N36,Paramètres!$G$5:$G$57,0)))+IF(RIGHT(TRIM(Paramètres!O36),3)="Fin",1-$H2088,IF(LEFT(TRIM(Paramètres!O36),1)="F",1,0)))))))</f>
        <v/>
      </c>
      <c r="F2088" s="19">
        <f>IF($A2088="","",E2088+$H2088-1)</f>
        <v/>
      </c>
      <c r="G2088" s="18" t="n"/>
      <c r="H2088" s="18">
        <f>IF($A2088="","",IF(I2088&lt;&gt;"",I2088,Paramètres!B36))</f>
        <v/>
      </c>
      <c r="I2088" s="18" t="n"/>
    </row>
    <row r="2089">
      <c r="A2089" s="18">
        <f>IF(ISNUMBER(Dossiers!$D$42),Dossiers!$A$42&amp;" · "&amp;Dossiers!$B$42,"")</f>
        <v/>
      </c>
      <c r="B2089" s="18">
        <f>IF($A2089="","",Paramètres!G37)</f>
        <v/>
      </c>
      <c r="C2089" s="18">
        <f>IF($A2089="","",IF(Paramètres!H37="","",Paramètres!H37))</f>
        <v/>
      </c>
      <c r="D2089" s="18">
        <f>IF($A2089="","",IF(Paramètres!I37="","",Paramètres!I37))</f>
        <v/>
      </c>
      <c r="E2089" s="19">
        <f>IF($A2089="","",MIN(E2090:E2107))</f>
        <v/>
      </c>
      <c r="F2089" s="19">
        <f>IF($A2089="","",MAX(F2090:F2107))</f>
        <v/>
      </c>
      <c r="G2089" s="18" t="n"/>
      <c r="H2089" s="18">
        <f>IF($A2089="","",F2089-E2089+1)</f>
        <v/>
      </c>
      <c r="I2089" s="18" t="n"/>
    </row>
    <row r="2090">
      <c r="A2090" s="18">
        <f>IF(ISNUMBER(Dossiers!$D$42),Dossiers!$A$42&amp;" · "&amp;Dossiers!$B$42,"")</f>
        <v/>
      </c>
      <c r="B2090" s="18">
        <f>IF($A2090="","",Paramètres!G38)</f>
        <v/>
      </c>
      <c r="C2090" s="18">
        <f>IF($A2090="","",IF(Paramètres!H38="","",Paramètres!H38))</f>
        <v/>
      </c>
      <c r="D2090" s="18">
        <f>IF($A2090="","",IF(Paramètres!I38="","",Paramètres!I38))</f>
        <v/>
      </c>
      <c r="E2090" s="19">
        <f>IF($A2090="","",IF(Paramètres!J38&amp;Paramètres!L38&amp;Paramètres!N38="",Dossiers!$D$42,MAX(IF(Paramètres!J38="",0,IF(Paramètres!K38="",NA(),IF(LEFT(TRIM(Paramètres!K38),1)="F",INDEX($F$2057:$F$2109,MATCH(Paramètres!J38,Paramètres!$G$5:$G$57,0)),INDEX($E$2057:$E$2109,MATCH(Paramètres!J38,Paramètres!$G$5:$G$57,0)))+IF(RIGHT(TRIM(Paramètres!K38),3)="Fin",1-$H2090,IF(LEFT(TRIM(Paramètres!K38),1)="F",1,0)))),IF(Paramètres!L38="",0,IF(Paramètres!M38="",NA(),IF(LEFT(TRIM(Paramètres!M38),1)="F",INDEX($F$2057:$F$2109,MATCH(Paramètres!L38,Paramètres!$G$5:$G$57,0)),INDEX($E$2057:$E$2109,MATCH(Paramètres!L38,Paramètres!$G$5:$G$57,0)))+IF(RIGHT(TRIM(Paramètres!M38),3)="Fin",1-$H2090,IF(LEFT(TRIM(Paramètres!M38),1)="F",1,0)))),IF(Paramètres!N38="",0,IF(Paramètres!O38="",NA(),IF(LEFT(TRIM(Paramètres!O38),1)="F",INDEX($F$2057:$F$2109,MATCH(Paramètres!N38,Paramètres!$G$5:$G$57,0)),INDEX($E$2057:$E$2109,MATCH(Paramètres!N38,Paramètres!$G$5:$G$57,0)))+IF(RIGHT(TRIM(Paramètres!O38),3)="Fin",1-$H2090,IF(LEFT(TRIM(Paramètres!O38),1)="F",1,0)))))))</f>
        <v/>
      </c>
      <c r="F2090" s="19">
        <f>IF($A2090="","",E2090+$H2090-1)</f>
        <v/>
      </c>
      <c r="G2090" s="18" t="n"/>
      <c r="H2090" s="18">
        <f>IF($A2090="","",IF(I2090&lt;&gt;"",I2090,Paramètres!B38))</f>
        <v/>
      </c>
      <c r="I2090" s="18" t="n"/>
    </row>
    <row r="2091">
      <c r="A2091" s="18">
        <f>IF(ISNUMBER(Dossiers!$D$42),Dossiers!$A$42&amp;" · "&amp;Dossiers!$B$42,"")</f>
        <v/>
      </c>
      <c r="B2091" s="18">
        <f>IF($A2091="","",Paramètres!G39)</f>
        <v/>
      </c>
      <c r="C2091" s="18">
        <f>IF($A2091="","",IF(Paramètres!H39="","",Paramètres!H39))</f>
        <v/>
      </c>
      <c r="D2091" s="18">
        <f>IF($A2091="","",IF(Paramètres!I39="","",Paramètres!I39))</f>
        <v/>
      </c>
      <c r="E2091" s="19">
        <f>IF($A2091="","",IF(Paramètres!J39&amp;Paramètres!L39&amp;Paramètres!N39="",Dossiers!$D$42,MAX(IF(Paramètres!J39="",0,IF(Paramètres!K39="",NA(),IF(LEFT(TRIM(Paramètres!K39),1)="F",INDEX($F$2057:$F$2109,MATCH(Paramètres!J39,Paramètres!$G$5:$G$57,0)),INDEX($E$2057:$E$2109,MATCH(Paramètres!J39,Paramètres!$G$5:$G$57,0)))+IF(RIGHT(TRIM(Paramètres!K39),3)="Fin",1-$H2091,IF(LEFT(TRIM(Paramètres!K39),1)="F",1,0)))),IF(Paramètres!L39="",0,IF(Paramètres!M39="",NA(),IF(LEFT(TRIM(Paramètres!M39),1)="F",INDEX($F$2057:$F$2109,MATCH(Paramètres!L39,Paramètres!$G$5:$G$57,0)),INDEX($E$2057:$E$2109,MATCH(Paramètres!L39,Paramètres!$G$5:$G$57,0)))+IF(RIGHT(TRIM(Paramètres!M39),3)="Fin",1-$H2091,IF(LEFT(TRIM(Paramètres!M39),1)="F",1,0)))),IF(Paramètres!N39="",0,IF(Paramètres!O39="",NA(),IF(LEFT(TRIM(Paramètres!O39),1)="F",INDEX($F$2057:$F$2109,MATCH(Paramètres!N39,Paramètres!$G$5:$G$57,0)),INDEX($E$2057:$E$2109,MATCH(Paramètres!N39,Paramètres!$G$5:$G$57,0)))+IF(RIGHT(TRIM(Paramètres!O39),3)="Fin",1-$H2091,IF(LEFT(TRIM(Paramètres!O39),1)="F",1,0)))))))</f>
        <v/>
      </c>
      <c r="F2091" s="19">
        <f>IF($A2091="","",E2091+$H2091-1)</f>
        <v/>
      </c>
      <c r="G2091" s="18" t="n"/>
      <c r="H2091" s="18">
        <f>IF($A2091="","",IF(I2091&lt;&gt;"",I2091,Paramètres!B39))</f>
        <v/>
      </c>
      <c r="I2091" s="18" t="n"/>
    </row>
    <row r="2092">
      <c r="A2092" s="18">
        <f>IF(ISNUMBER(Dossiers!$D$42),Dossiers!$A$42&amp;" · "&amp;Dossiers!$B$42,"")</f>
        <v/>
      </c>
      <c r="B2092" s="18">
        <f>IF($A2092="","",Paramètres!G40)</f>
        <v/>
      </c>
      <c r="C2092" s="18">
        <f>IF($A2092="","",IF(Paramètres!H40="","",Paramètres!H40))</f>
        <v/>
      </c>
      <c r="D2092" s="18">
        <f>IF($A2092="","",IF(Paramètres!I40="","",Paramètres!I40))</f>
        <v/>
      </c>
      <c r="E2092" s="19">
        <f>IF($A2092="","",IF(Paramètres!J40&amp;Paramètres!L40&amp;Paramètres!N40="",Dossiers!$D$42,MAX(IF(Paramètres!J40="",0,IF(Paramètres!K40="",NA(),IF(LEFT(TRIM(Paramètres!K40),1)="F",INDEX($F$2057:$F$2109,MATCH(Paramètres!J40,Paramètres!$G$5:$G$57,0)),INDEX($E$2057:$E$2109,MATCH(Paramètres!J40,Paramètres!$G$5:$G$57,0)))+IF(RIGHT(TRIM(Paramètres!K40),3)="Fin",1-$H2092,IF(LEFT(TRIM(Paramètres!K40),1)="F",1,0)))),IF(Paramètres!L40="",0,IF(Paramètres!M40="",NA(),IF(LEFT(TRIM(Paramètres!M40),1)="F",INDEX($F$2057:$F$2109,MATCH(Paramètres!L40,Paramètres!$G$5:$G$57,0)),INDEX($E$2057:$E$2109,MATCH(Paramètres!L40,Paramètres!$G$5:$G$57,0)))+IF(RIGHT(TRIM(Paramètres!M40),3)="Fin",1-$H2092,IF(LEFT(TRIM(Paramètres!M40),1)="F",1,0)))),IF(Paramètres!N40="",0,IF(Paramètres!O40="",NA(),IF(LEFT(TRIM(Paramètres!O40),1)="F",INDEX($F$2057:$F$2109,MATCH(Paramètres!N40,Paramètres!$G$5:$G$57,0)),INDEX($E$2057:$E$2109,MATCH(Paramètres!N40,Paramètres!$G$5:$G$57,0)))+IF(RIGHT(TRIM(Paramètres!O40),3)="Fin",1-$H2092,IF(LEFT(TRIM(Paramètres!O40),1)="F",1,0)))))))</f>
        <v/>
      </c>
      <c r="F2092" s="19">
        <f>IF($A2092="","",E2092+$H2092-1)</f>
        <v/>
      </c>
      <c r="G2092" s="18" t="n"/>
      <c r="H2092" s="18">
        <f>IF($A2092="","",IF(I2092&lt;&gt;"",I2092,Paramètres!B40))</f>
        <v/>
      </c>
      <c r="I2092" s="18" t="n"/>
    </row>
    <row r="2093">
      <c r="A2093" s="18">
        <f>IF(ISNUMBER(Dossiers!$D$42),Dossiers!$A$42&amp;" · "&amp;Dossiers!$B$42,"")</f>
        <v/>
      </c>
      <c r="B2093" s="18">
        <f>IF($A2093="","",Paramètres!G41)</f>
        <v/>
      </c>
      <c r="C2093" s="18">
        <f>IF($A2093="","",IF(Paramètres!H41="","",Paramètres!H41))</f>
        <v/>
      </c>
      <c r="D2093" s="18">
        <f>IF($A2093="","",IF(Paramètres!I41="","",Paramètres!I41))</f>
        <v/>
      </c>
      <c r="E2093" s="19">
        <f>IF($A2093="","",IF(Paramètres!J41&amp;Paramètres!L41&amp;Paramètres!N41="",Dossiers!$D$42,MAX(IF(Paramètres!J41="",0,IF(Paramètres!K41="",NA(),IF(LEFT(TRIM(Paramètres!K41),1)="F",INDEX($F$2057:$F$2109,MATCH(Paramètres!J41,Paramètres!$G$5:$G$57,0)),INDEX($E$2057:$E$2109,MATCH(Paramètres!J41,Paramètres!$G$5:$G$57,0)))+IF(RIGHT(TRIM(Paramètres!K41),3)="Fin",1-$H2093,IF(LEFT(TRIM(Paramètres!K41),1)="F",1,0)))),IF(Paramètres!L41="",0,IF(Paramètres!M41="",NA(),IF(LEFT(TRIM(Paramètres!M41),1)="F",INDEX($F$2057:$F$2109,MATCH(Paramètres!L41,Paramètres!$G$5:$G$57,0)),INDEX($E$2057:$E$2109,MATCH(Paramètres!L41,Paramètres!$G$5:$G$57,0)))+IF(RIGHT(TRIM(Paramètres!M41),3)="Fin",1-$H2093,IF(LEFT(TRIM(Paramètres!M41),1)="F",1,0)))),IF(Paramètres!N41="",0,IF(Paramètres!O41="",NA(),IF(LEFT(TRIM(Paramètres!O41),1)="F",INDEX($F$2057:$F$2109,MATCH(Paramètres!N41,Paramètres!$G$5:$G$57,0)),INDEX($E$2057:$E$2109,MATCH(Paramètres!N41,Paramètres!$G$5:$G$57,0)))+IF(RIGHT(TRIM(Paramètres!O41),3)="Fin",1-$H2093,IF(LEFT(TRIM(Paramètres!O41),1)="F",1,0)))))))</f>
        <v/>
      </c>
      <c r="F2093" s="19">
        <f>IF($A2093="","",E2093+$H2093-1)</f>
        <v/>
      </c>
      <c r="G2093" s="18" t="n"/>
      <c r="H2093" s="18">
        <f>IF($A2093="","",IF(I2093&lt;&gt;"",I2093,Paramètres!B41))</f>
        <v/>
      </c>
      <c r="I2093" s="18" t="n"/>
    </row>
    <row r="2094">
      <c r="A2094" s="18">
        <f>IF(ISNUMBER(Dossiers!$D$42),Dossiers!$A$42&amp;" · "&amp;Dossiers!$B$42,"")</f>
        <v/>
      </c>
      <c r="B2094" s="18">
        <f>IF($A2094="","",Paramètres!G42)</f>
        <v/>
      </c>
      <c r="C2094" s="18">
        <f>IF($A2094="","",IF(Paramètres!H42="","",Paramètres!H42))</f>
        <v/>
      </c>
      <c r="D2094" s="18">
        <f>IF($A2094="","",IF(Paramètres!I42="","",Paramètres!I42))</f>
        <v/>
      </c>
      <c r="E2094" s="19">
        <f>IF($A2094="","",IF(Paramètres!J42&amp;Paramètres!L42&amp;Paramètres!N42="",Dossiers!$D$42,MAX(IF(Paramètres!J42="",0,IF(Paramètres!K42="",NA(),IF(LEFT(TRIM(Paramètres!K42),1)="F",INDEX($F$2057:$F$2109,MATCH(Paramètres!J42,Paramètres!$G$5:$G$57,0)),INDEX($E$2057:$E$2109,MATCH(Paramètres!J42,Paramètres!$G$5:$G$57,0)))+IF(RIGHT(TRIM(Paramètres!K42),3)="Fin",1-$H2094,IF(LEFT(TRIM(Paramètres!K42),1)="F",1,0)))),IF(Paramètres!L42="",0,IF(Paramètres!M42="",NA(),IF(LEFT(TRIM(Paramètres!M42),1)="F",INDEX($F$2057:$F$2109,MATCH(Paramètres!L42,Paramètres!$G$5:$G$57,0)),INDEX($E$2057:$E$2109,MATCH(Paramètres!L42,Paramètres!$G$5:$G$57,0)))+IF(RIGHT(TRIM(Paramètres!M42),3)="Fin",1-$H2094,IF(LEFT(TRIM(Paramètres!M42),1)="F",1,0)))),IF(Paramètres!N42="",0,IF(Paramètres!O42="",NA(),IF(LEFT(TRIM(Paramètres!O42),1)="F",INDEX($F$2057:$F$2109,MATCH(Paramètres!N42,Paramètres!$G$5:$G$57,0)),INDEX($E$2057:$E$2109,MATCH(Paramètres!N42,Paramètres!$G$5:$G$57,0)))+IF(RIGHT(TRIM(Paramètres!O42),3)="Fin",1-$H2094,IF(LEFT(TRIM(Paramètres!O42),1)="F",1,0)))))))</f>
        <v/>
      </c>
      <c r="F2094" s="19">
        <f>IF($A2094="","",E2094+$H2094-1)</f>
        <v/>
      </c>
      <c r="G2094" s="18" t="n"/>
      <c r="H2094" s="18">
        <f>IF($A2094="","",IF(I2094&lt;&gt;"",I2094,Paramètres!B42))</f>
        <v/>
      </c>
      <c r="I2094" s="18" t="n"/>
    </row>
    <row r="2095">
      <c r="A2095" s="18">
        <f>IF(ISNUMBER(Dossiers!$D$42),Dossiers!$A$42&amp;" · "&amp;Dossiers!$B$42,"")</f>
        <v/>
      </c>
      <c r="B2095" s="18">
        <f>IF($A2095="","",Paramètres!G43)</f>
        <v/>
      </c>
      <c r="C2095" s="18">
        <f>IF($A2095="","",IF(Paramètres!H43="","",Paramètres!H43))</f>
        <v/>
      </c>
      <c r="D2095" s="18">
        <f>IF($A2095="","",IF(Paramètres!I43="","",Paramètres!I43))</f>
        <v/>
      </c>
      <c r="E2095" s="19">
        <f>IF($A2095="","",IF(Paramètres!J43&amp;Paramètres!L43&amp;Paramètres!N43="",Dossiers!$D$42,MAX(IF(Paramètres!J43="",0,IF(Paramètres!K43="",NA(),IF(LEFT(TRIM(Paramètres!K43),1)="F",INDEX($F$2057:$F$2109,MATCH(Paramètres!J43,Paramètres!$G$5:$G$57,0)),INDEX($E$2057:$E$2109,MATCH(Paramètres!J43,Paramètres!$G$5:$G$57,0)))+IF(RIGHT(TRIM(Paramètres!K43),3)="Fin",1-$H2095,IF(LEFT(TRIM(Paramètres!K43),1)="F",1,0)))),IF(Paramètres!L43="",0,IF(Paramètres!M43="",NA(),IF(LEFT(TRIM(Paramètres!M43),1)="F",INDEX($F$2057:$F$2109,MATCH(Paramètres!L43,Paramètres!$G$5:$G$57,0)),INDEX($E$2057:$E$2109,MATCH(Paramètres!L43,Paramètres!$G$5:$G$57,0)))+IF(RIGHT(TRIM(Paramètres!M43),3)="Fin",1-$H2095,IF(LEFT(TRIM(Paramètres!M43),1)="F",1,0)))),IF(Paramètres!N43="",0,IF(Paramètres!O43="",NA(),IF(LEFT(TRIM(Paramètres!O43),1)="F",INDEX($F$2057:$F$2109,MATCH(Paramètres!N43,Paramètres!$G$5:$G$57,0)),INDEX($E$2057:$E$2109,MATCH(Paramètres!N43,Paramètres!$G$5:$G$57,0)))+IF(RIGHT(TRIM(Paramètres!O43),3)="Fin",1-$H2095,IF(LEFT(TRIM(Paramètres!O43),1)="F",1,0)))))))</f>
        <v/>
      </c>
      <c r="F2095" s="19">
        <f>IF($A2095="","",E2095+$H2095-1)</f>
        <v/>
      </c>
      <c r="G2095" s="18" t="n"/>
      <c r="H2095" s="18">
        <f>IF($A2095="","",IF(I2095&lt;&gt;"",I2095,Paramètres!B43))</f>
        <v/>
      </c>
      <c r="I2095" s="18" t="n"/>
    </row>
    <row r="2096">
      <c r="A2096" s="18">
        <f>IF(ISNUMBER(Dossiers!$D$42),Dossiers!$A$42&amp;" · "&amp;Dossiers!$B$42,"")</f>
        <v/>
      </c>
      <c r="B2096" s="18">
        <f>IF($A2096="","",Paramètres!G44)</f>
        <v/>
      </c>
      <c r="C2096" s="18">
        <f>IF($A2096="","",IF(Paramètres!H44="","",Paramètres!H44))</f>
        <v/>
      </c>
      <c r="D2096" s="18">
        <f>IF($A2096="","",IF(Paramètres!I44="","",Paramètres!I44))</f>
        <v/>
      </c>
      <c r="E2096" s="19">
        <f>IF($A2096="","",IF(Paramètres!J44&amp;Paramètres!L44&amp;Paramètres!N44="",Dossiers!$D$42,MAX(IF(Paramètres!J44="",0,IF(Paramètres!K44="",NA(),IF(LEFT(TRIM(Paramètres!K44),1)="F",INDEX($F$2057:$F$2109,MATCH(Paramètres!J44,Paramètres!$G$5:$G$57,0)),INDEX($E$2057:$E$2109,MATCH(Paramètres!J44,Paramètres!$G$5:$G$57,0)))+IF(RIGHT(TRIM(Paramètres!K44),3)="Fin",1-$H2096,IF(LEFT(TRIM(Paramètres!K44),1)="F",1,0)))),IF(Paramètres!L44="",0,IF(Paramètres!M44="",NA(),IF(LEFT(TRIM(Paramètres!M44),1)="F",INDEX($F$2057:$F$2109,MATCH(Paramètres!L44,Paramètres!$G$5:$G$57,0)),INDEX($E$2057:$E$2109,MATCH(Paramètres!L44,Paramètres!$G$5:$G$57,0)))+IF(RIGHT(TRIM(Paramètres!M44),3)="Fin",1-$H2096,IF(LEFT(TRIM(Paramètres!M44),1)="F",1,0)))),IF(Paramètres!N44="",0,IF(Paramètres!O44="",NA(),IF(LEFT(TRIM(Paramètres!O44),1)="F",INDEX($F$2057:$F$2109,MATCH(Paramètres!N44,Paramètres!$G$5:$G$57,0)),INDEX($E$2057:$E$2109,MATCH(Paramètres!N44,Paramètres!$G$5:$G$57,0)))+IF(RIGHT(TRIM(Paramètres!O44),3)="Fin",1-$H2096,IF(LEFT(TRIM(Paramètres!O44),1)="F",1,0)))))))</f>
        <v/>
      </c>
      <c r="F2096" s="19">
        <f>IF($A2096="","",E2096+$H2096-1)</f>
        <v/>
      </c>
      <c r="G2096" s="18" t="n"/>
      <c r="H2096" s="18">
        <f>IF($A2096="","",IF(I2096&lt;&gt;"",I2096,Paramètres!B44))</f>
        <v/>
      </c>
      <c r="I2096" s="18" t="n"/>
    </row>
    <row r="2097">
      <c r="A2097" s="18">
        <f>IF(ISNUMBER(Dossiers!$D$42),Dossiers!$A$42&amp;" · "&amp;Dossiers!$B$42,"")</f>
        <v/>
      </c>
      <c r="B2097" s="18">
        <f>IF($A2097="","",Paramètres!G45)</f>
        <v/>
      </c>
      <c r="C2097" s="20">
        <f>IF($A2097="","",IF(Dossiers!$G$42="","",Dossiers!$G$42))</f>
        <v/>
      </c>
      <c r="D2097" s="18">
        <f>IF($A2097="","",IF(Paramètres!I45="","",Paramètres!I45))</f>
        <v/>
      </c>
      <c r="E2097" s="19">
        <f>IF($A2097="","",IF(Paramètres!J45&amp;Paramètres!L45&amp;Paramètres!N45="",Dossiers!$D$42,MAX(IF(Paramètres!J45="",0,IF(Paramètres!K45="",NA(),IF(LEFT(TRIM(Paramètres!K45),1)="F",INDEX($F$2057:$F$2109,MATCH(Paramètres!J45,Paramètres!$G$5:$G$57,0)),INDEX($E$2057:$E$2109,MATCH(Paramètres!J45,Paramètres!$G$5:$G$57,0)))+IF(RIGHT(TRIM(Paramètres!K45),3)="Fin",1-$H2097,IF(LEFT(TRIM(Paramètres!K45),1)="F",1,0)))),IF(Paramètres!L45="",0,IF(Paramètres!M45="",NA(),IF(LEFT(TRIM(Paramètres!M45),1)="F",INDEX($F$2057:$F$2109,MATCH(Paramètres!L45,Paramètres!$G$5:$G$57,0)),INDEX($E$2057:$E$2109,MATCH(Paramètres!L45,Paramètres!$G$5:$G$57,0)))+IF(RIGHT(TRIM(Paramètres!M45),3)="Fin",1-$H2097,IF(LEFT(TRIM(Paramètres!M45),1)="F",1,0)))),IF(Paramètres!N45="",0,IF(Paramètres!O45="",NA(),IF(LEFT(TRIM(Paramètres!O45),1)="F",INDEX($F$2057:$F$2109,MATCH(Paramètres!N45,Paramètres!$G$5:$G$57,0)),INDEX($E$2057:$E$2109,MATCH(Paramètres!N45,Paramètres!$G$5:$G$57,0)))+IF(RIGHT(TRIM(Paramètres!O45),3)="Fin",1-$H2097,IF(LEFT(TRIM(Paramètres!O45),1)="F",1,0)))))))</f>
        <v/>
      </c>
      <c r="F2097" s="19">
        <f>IF($A2097="","",E2097+$H2097-1)</f>
        <v/>
      </c>
      <c r="G2097" s="18" t="n"/>
      <c r="H2097" s="18">
        <f>IF($A2097="","",IF(I2097&lt;&gt;"",I2097,Paramètres!B45))</f>
        <v/>
      </c>
      <c r="I2097" s="18" t="n"/>
    </row>
    <row r="2098">
      <c r="A2098" s="18">
        <f>IF(ISNUMBER(Dossiers!$D$42),Dossiers!$A$42&amp;" · "&amp;Dossiers!$B$42,"")</f>
        <v/>
      </c>
      <c r="B2098" s="18">
        <f>IF($A2098="","",Paramètres!G46)</f>
        <v/>
      </c>
      <c r="C2098" s="18">
        <f>IF($A2098="","",IF(Paramètres!H46="","",Paramètres!H46))</f>
        <v/>
      </c>
      <c r="D2098" s="18">
        <f>IF($A2098="","",IF(Paramètres!I46="","",Paramètres!I46))</f>
        <v/>
      </c>
      <c r="E2098" s="19">
        <f>IF($A2098="","",IF(Paramètres!J46&amp;Paramètres!L46&amp;Paramètres!N46="",Dossiers!$D$42,MAX(IF(Paramètres!J46="",0,IF(Paramètres!K46="",NA(),IF(LEFT(TRIM(Paramètres!K46),1)="F",INDEX($F$2057:$F$2109,MATCH(Paramètres!J46,Paramètres!$G$5:$G$57,0)),INDEX($E$2057:$E$2109,MATCH(Paramètres!J46,Paramètres!$G$5:$G$57,0)))+IF(RIGHT(TRIM(Paramètres!K46),3)="Fin",1-$H2098,IF(LEFT(TRIM(Paramètres!K46),1)="F",1,0)))),IF(Paramètres!L46="",0,IF(Paramètres!M46="",NA(),IF(LEFT(TRIM(Paramètres!M46),1)="F",INDEX($F$2057:$F$2109,MATCH(Paramètres!L46,Paramètres!$G$5:$G$57,0)),INDEX($E$2057:$E$2109,MATCH(Paramètres!L46,Paramètres!$G$5:$G$57,0)))+IF(RIGHT(TRIM(Paramètres!M46),3)="Fin",1-$H2098,IF(LEFT(TRIM(Paramètres!M46),1)="F",1,0)))),IF(Paramètres!N46="",0,IF(Paramètres!O46="",NA(),IF(LEFT(TRIM(Paramètres!O46),1)="F",INDEX($F$2057:$F$2109,MATCH(Paramètres!N46,Paramètres!$G$5:$G$57,0)),INDEX($E$2057:$E$2109,MATCH(Paramètres!N46,Paramètres!$G$5:$G$57,0)))+IF(RIGHT(TRIM(Paramètres!O46),3)="Fin",1-$H2098,IF(LEFT(TRIM(Paramètres!O46),1)="F",1,0)))))))</f>
        <v/>
      </c>
      <c r="F2098" s="19">
        <f>IF($A2098="","",E2098+$H2098-1)</f>
        <v/>
      </c>
      <c r="G2098" s="18" t="n"/>
      <c r="H2098" s="18">
        <f>IF($A2098="","",IF(I2098&lt;&gt;"",I2098,Paramètres!B46))</f>
        <v/>
      </c>
      <c r="I2098" s="18" t="n"/>
    </row>
    <row r="2099">
      <c r="A2099" s="18">
        <f>IF(ISNUMBER(Dossiers!$D$42),Dossiers!$A$42&amp;" · "&amp;Dossiers!$B$42,"")</f>
        <v/>
      </c>
      <c r="B2099" s="18">
        <f>IF($A2099="","",Paramètres!G47)</f>
        <v/>
      </c>
      <c r="C2099" s="18">
        <f>IF($A2099="","",IF(Paramètres!H47="","",Paramètres!H47))</f>
        <v/>
      </c>
      <c r="D2099" s="18">
        <f>IF($A2099="","",IF(Paramètres!I47="","",Paramètres!I47))</f>
        <v/>
      </c>
      <c r="E2099" s="19">
        <f>IF($A2099="","",IF(Paramètres!J47&amp;Paramètres!L47&amp;Paramètres!N47="",Dossiers!$D$42,MAX(IF(Paramètres!J47="",0,IF(Paramètres!K47="",NA(),IF(LEFT(TRIM(Paramètres!K47),1)="F",INDEX($F$2057:$F$2109,MATCH(Paramètres!J47,Paramètres!$G$5:$G$57,0)),INDEX($E$2057:$E$2109,MATCH(Paramètres!J47,Paramètres!$G$5:$G$57,0)))+IF(RIGHT(TRIM(Paramètres!K47),3)="Fin",1-$H2099,IF(LEFT(TRIM(Paramètres!K47),1)="F",1,0)))),IF(Paramètres!L47="",0,IF(Paramètres!M47="",NA(),IF(LEFT(TRIM(Paramètres!M47),1)="F",INDEX($F$2057:$F$2109,MATCH(Paramètres!L47,Paramètres!$G$5:$G$57,0)),INDEX($E$2057:$E$2109,MATCH(Paramètres!L47,Paramètres!$G$5:$G$57,0)))+IF(RIGHT(TRIM(Paramètres!M47),3)="Fin",1-$H2099,IF(LEFT(TRIM(Paramètres!M47),1)="F",1,0)))),IF(Paramètres!N47="",0,IF(Paramètres!O47="",NA(),IF(LEFT(TRIM(Paramètres!O47),1)="F",INDEX($F$2057:$F$2109,MATCH(Paramètres!N47,Paramètres!$G$5:$G$57,0)),INDEX($E$2057:$E$2109,MATCH(Paramètres!N47,Paramètres!$G$5:$G$57,0)))+IF(RIGHT(TRIM(Paramètres!O47),3)="Fin",1-$H2099,IF(LEFT(TRIM(Paramètres!O47),1)="F",1,0)))))))</f>
        <v/>
      </c>
      <c r="F2099" s="19">
        <f>IF($A2099="","",E2099+$H2099-1)</f>
        <v/>
      </c>
      <c r="G2099" s="18" t="n"/>
      <c r="H2099" s="18">
        <f>IF($A2099="","",IF(I2099&lt;&gt;"",I2099,Paramètres!B47))</f>
        <v/>
      </c>
      <c r="I2099" s="18" t="n"/>
    </row>
    <row r="2100">
      <c r="A2100" s="18">
        <f>IF(ISNUMBER(Dossiers!$D$42),Dossiers!$A$42&amp;" · "&amp;Dossiers!$B$42,"")</f>
        <v/>
      </c>
      <c r="B2100" s="18">
        <f>IF($A2100="","",Paramètres!G48)</f>
        <v/>
      </c>
      <c r="C2100" s="18">
        <f>IF($A2100="","",IF(Paramètres!H48="","",Paramètres!H48))</f>
        <v/>
      </c>
      <c r="D2100" s="18">
        <f>IF($A2100="","",IF(Paramètres!I48="","",Paramètres!I48))</f>
        <v/>
      </c>
      <c r="E2100" s="19">
        <f>IF($A2100="","",IF(Paramètres!J48&amp;Paramètres!L48&amp;Paramètres!N48="",Dossiers!$D$42,MAX(IF(Paramètres!J48="",0,IF(Paramètres!K48="",NA(),IF(LEFT(TRIM(Paramètres!K48),1)="F",INDEX($F$2057:$F$2109,MATCH(Paramètres!J48,Paramètres!$G$5:$G$57,0)),INDEX($E$2057:$E$2109,MATCH(Paramètres!J48,Paramètres!$G$5:$G$57,0)))+IF(RIGHT(TRIM(Paramètres!K48),3)="Fin",1-$H2100,IF(LEFT(TRIM(Paramètres!K48),1)="F",1,0)))),IF(Paramètres!L48="",0,IF(Paramètres!M48="",NA(),IF(LEFT(TRIM(Paramètres!M48),1)="F",INDEX($F$2057:$F$2109,MATCH(Paramètres!L48,Paramètres!$G$5:$G$57,0)),INDEX($E$2057:$E$2109,MATCH(Paramètres!L48,Paramètres!$G$5:$G$57,0)))+IF(RIGHT(TRIM(Paramètres!M48),3)="Fin",1-$H2100,IF(LEFT(TRIM(Paramètres!M48),1)="F",1,0)))),IF(Paramètres!N48="",0,IF(Paramètres!O48="",NA(),IF(LEFT(TRIM(Paramètres!O48),1)="F",INDEX($F$2057:$F$2109,MATCH(Paramètres!N48,Paramètres!$G$5:$G$57,0)),INDEX($E$2057:$E$2109,MATCH(Paramètres!N48,Paramètres!$G$5:$G$57,0)))+IF(RIGHT(TRIM(Paramètres!O48),3)="Fin",1-$H2100,IF(LEFT(TRIM(Paramètres!O48),1)="F",1,0)))))))</f>
        <v/>
      </c>
      <c r="F2100" s="19">
        <f>IF($A2100="","",E2100+$H2100-1)</f>
        <v/>
      </c>
      <c r="G2100" s="18" t="n"/>
      <c r="H2100" s="18">
        <f>IF($A2100="","",IF(I2100&lt;&gt;"",I2100,Paramètres!B48))</f>
        <v/>
      </c>
      <c r="I2100" s="18" t="n"/>
    </row>
    <row r="2101">
      <c r="A2101" s="18">
        <f>IF(ISNUMBER(Dossiers!$D$42),Dossiers!$A$42&amp;" · "&amp;Dossiers!$B$42,"")</f>
        <v/>
      </c>
      <c r="B2101" s="18">
        <f>IF($A2101="","",Paramètres!G49)</f>
        <v/>
      </c>
      <c r="C2101" s="18">
        <f>IF($A2101="","",IF(Paramètres!H49="","",Paramètres!H49))</f>
        <v/>
      </c>
      <c r="D2101" s="18">
        <f>IF($A2101="","",IF(Paramètres!I49="","",Paramètres!I49))</f>
        <v/>
      </c>
      <c r="E2101" s="19">
        <f>IF($A2101="","",IF(Paramètres!J49&amp;Paramètres!L49&amp;Paramètres!N49="",Dossiers!$D$42,MAX(IF(Paramètres!J49="",0,IF(Paramètres!K49="",NA(),IF(LEFT(TRIM(Paramètres!K49),1)="F",INDEX($F$2057:$F$2109,MATCH(Paramètres!J49,Paramètres!$G$5:$G$57,0)),INDEX($E$2057:$E$2109,MATCH(Paramètres!J49,Paramètres!$G$5:$G$57,0)))+IF(RIGHT(TRIM(Paramètres!K49),3)="Fin",1-$H2101,IF(LEFT(TRIM(Paramètres!K49),1)="F",1,0)))),IF(Paramètres!L49="",0,IF(Paramètres!M49="",NA(),IF(LEFT(TRIM(Paramètres!M49),1)="F",INDEX($F$2057:$F$2109,MATCH(Paramètres!L49,Paramètres!$G$5:$G$57,0)),INDEX($E$2057:$E$2109,MATCH(Paramètres!L49,Paramètres!$G$5:$G$57,0)))+IF(RIGHT(TRIM(Paramètres!M49),3)="Fin",1-$H2101,IF(LEFT(TRIM(Paramètres!M49),1)="F",1,0)))),IF(Paramètres!N49="",0,IF(Paramètres!O49="",NA(),IF(LEFT(TRIM(Paramètres!O49),1)="F",INDEX($F$2057:$F$2109,MATCH(Paramètres!N49,Paramètres!$G$5:$G$57,0)),INDEX($E$2057:$E$2109,MATCH(Paramètres!N49,Paramètres!$G$5:$G$57,0)))+IF(RIGHT(TRIM(Paramètres!O49),3)="Fin",1-$H2101,IF(LEFT(TRIM(Paramètres!O49),1)="F",1,0)))))))</f>
        <v/>
      </c>
      <c r="F2101" s="19">
        <f>IF($A2101="","",E2101+$H2101-1)</f>
        <v/>
      </c>
      <c r="G2101" s="18" t="n"/>
      <c r="H2101" s="18">
        <f>IF($A2101="","",IF(I2101&lt;&gt;"",I2101,Paramètres!B49))</f>
        <v/>
      </c>
      <c r="I2101" s="18" t="n"/>
    </row>
    <row r="2102">
      <c r="A2102" s="18">
        <f>IF(ISNUMBER(Dossiers!$D$42),Dossiers!$A$42&amp;" · "&amp;Dossiers!$B$42,"")</f>
        <v/>
      </c>
      <c r="B2102" s="18">
        <f>IF($A2102="","",Paramètres!G50)</f>
        <v/>
      </c>
      <c r="C2102" s="18">
        <f>IF($A2102="","",IF(Paramètres!H50="","",Paramètres!H50))</f>
        <v/>
      </c>
      <c r="D2102" s="18">
        <f>IF($A2102="","",IF(Paramètres!I50="","",Paramètres!I50))</f>
        <v/>
      </c>
      <c r="E2102" s="19">
        <f>IF($A2102="","",IF(Paramètres!J50&amp;Paramètres!L50&amp;Paramètres!N50="",Dossiers!$D$42,MAX(IF(Paramètres!J50="",0,IF(Paramètres!K50="",NA(),IF(LEFT(TRIM(Paramètres!K50),1)="F",INDEX($F$2057:$F$2109,MATCH(Paramètres!J50,Paramètres!$G$5:$G$57,0)),INDEX($E$2057:$E$2109,MATCH(Paramètres!J50,Paramètres!$G$5:$G$57,0)))+IF(RIGHT(TRIM(Paramètres!K50),3)="Fin",1-$H2102,IF(LEFT(TRIM(Paramètres!K50),1)="F",1,0)))),IF(Paramètres!L50="",0,IF(Paramètres!M50="",NA(),IF(LEFT(TRIM(Paramètres!M50),1)="F",INDEX($F$2057:$F$2109,MATCH(Paramètres!L50,Paramètres!$G$5:$G$57,0)),INDEX($E$2057:$E$2109,MATCH(Paramètres!L50,Paramètres!$G$5:$G$57,0)))+IF(RIGHT(TRIM(Paramètres!M50),3)="Fin",1-$H2102,IF(LEFT(TRIM(Paramètres!M50),1)="F",1,0)))),IF(Paramètres!N50="",0,IF(Paramètres!O50="",NA(),IF(LEFT(TRIM(Paramètres!O50),1)="F",INDEX($F$2057:$F$2109,MATCH(Paramètres!N50,Paramètres!$G$5:$G$57,0)),INDEX($E$2057:$E$2109,MATCH(Paramètres!N50,Paramètres!$G$5:$G$57,0)))+IF(RIGHT(TRIM(Paramètres!O50),3)="Fin",1-$H2102,IF(LEFT(TRIM(Paramètres!O50),1)="F",1,0)))))))</f>
        <v/>
      </c>
      <c r="F2102" s="19">
        <f>IF($A2102="","",E2102+$H2102-1)</f>
        <v/>
      </c>
      <c r="G2102" s="18" t="n"/>
      <c r="H2102" s="18">
        <f>IF($A2102="","",IF(I2102&lt;&gt;"",I2102,Paramètres!B50))</f>
        <v/>
      </c>
      <c r="I2102" s="18" t="n"/>
    </row>
    <row r="2103">
      <c r="A2103" s="18">
        <f>IF(ISNUMBER(Dossiers!$D$42),Dossiers!$A$42&amp;" · "&amp;Dossiers!$B$42,"")</f>
        <v/>
      </c>
      <c r="B2103" s="18">
        <f>IF($A2103="","",Paramètres!G51)</f>
        <v/>
      </c>
      <c r="C2103" s="18">
        <f>IF($A2103="","",IF(Paramètres!H51="","",Paramètres!H51))</f>
        <v/>
      </c>
      <c r="D2103" s="18">
        <f>IF($A2103="","",IF(Paramètres!I51="","",Paramètres!I51))</f>
        <v/>
      </c>
      <c r="E2103" s="19">
        <f>IF($A2103="","",IF(Paramètres!J51&amp;Paramètres!L51&amp;Paramètres!N51="",Dossiers!$D$42,MAX(IF(Paramètres!J51="",0,IF(Paramètres!K51="",NA(),IF(LEFT(TRIM(Paramètres!K51),1)="F",INDEX($F$2057:$F$2109,MATCH(Paramètres!J51,Paramètres!$G$5:$G$57,0)),INDEX($E$2057:$E$2109,MATCH(Paramètres!J51,Paramètres!$G$5:$G$57,0)))+IF(RIGHT(TRIM(Paramètres!K51),3)="Fin",1-$H2103,IF(LEFT(TRIM(Paramètres!K51),1)="F",1,0)))),IF(Paramètres!L51="",0,IF(Paramètres!M51="",NA(),IF(LEFT(TRIM(Paramètres!M51),1)="F",INDEX($F$2057:$F$2109,MATCH(Paramètres!L51,Paramètres!$G$5:$G$57,0)),INDEX($E$2057:$E$2109,MATCH(Paramètres!L51,Paramètres!$G$5:$G$57,0)))+IF(RIGHT(TRIM(Paramètres!M51),3)="Fin",1-$H2103,IF(LEFT(TRIM(Paramètres!M51),1)="F",1,0)))),IF(Paramètres!N51="",0,IF(Paramètres!O51="",NA(),IF(LEFT(TRIM(Paramètres!O51),1)="F",INDEX($F$2057:$F$2109,MATCH(Paramètres!N51,Paramètres!$G$5:$G$57,0)),INDEX($E$2057:$E$2109,MATCH(Paramètres!N51,Paramètres!$G$5:$G$57,0)))+IF(RIGHT(TRIM(Paramètres!O51),3)="Fin",1-$H2103,IF(LEFT(TRIM(Paramètres!O51),1)="F",1,0)))))))</f>
        <v/>
      </c>
      <c r="F2103" s="19">
        <f>IF($A2103="","",E2103+$H2103-1)</f>
        <v/>
      </c>
      <c r="G2103" s="18" t="n"/>
      <c r="H2103" s="18">
        <f>IF($A2103="","",IF(I2103&lt;&gt;"",I2103,Paramètres!B51))</f>
        <v/>
      </c>
      <c r="I2103" s="18" t="n"/>
    </row>
    <row r="2104">
      <c r="A2104" s="18">
        <f>IF(ISNUMBER(Dossiers!$D$42),Dossiers!$A$42&amp;" · "&amp;Dossiers!$B$42,"")</f>
        <v/>
      </c>
      <c r="B2104" s="18">
        <f>IF($A2104="","",Paramètres!G52)</f>
        <v/>
      </c>
      <c r="C2104" s="18">
        <f>IF($A2104="","",IF(Paramètres!H52="","",Paramètres!H52))</f>
        <v/>
      </c>
      <c r="D2104" s="18">
        <f>IF($A2104="","",IF(Paramètres!I52="","",Paramètres!I52))</f>
        <v/>
      </c>
      <c r="E2104" s="19">
        <f>IF($A2104="","",IF(Paramètres!J52&amp;Paramètres!L52&amp;Paramètres!N52="",Dossiers!$D$42,MAX(IF(Paramètres!J52="",0,IF(Paramètres!K52="",NA(),IF(LEFT(TRIM(Paramètres!K52),1)="F",INDEX($F$2057:$F$2109,MATCH(Paramètres!J52,Paramètres!$G$5:$G$57,0)),INDEX($E$2057:$E$2109,MATCH(Paramètres!J52,Paramètres!$G$5:$G$57,0)))+IF(RIGHT(TRIM(Paramètres!K52),3)="Fin",1-$H2104,IF(LEFT(TRIM(Paramètres!K52),1)="F",1,0)))),IF(Paramètres!L52="",0,IF(Paramètres!M52="",NA(),IF(LEFT(TRIM(Paramètres!M52),1)="F",INDEX($F$2057:$F$2109,MATCH(Paramètres!L52,Paramètres!$G$5:$G$57,0)),INDEX($E$2057:$E$2109,MATCH(Paramètres!L52,Paramètres!$G$5:$G$57,0)))+IF(RIGHT(TRIM(Paramètres!M52),3)="Fin",1-$H2104,IF(LEFT(TRIM(Paramètres!M52),1)="F",1,0)))),IF(Paramètres!N52="",0,IF(Paramètres!O52="",NA(),IF(LEFT(TRIM(Paramètres!O52),1)="F",INDEX($F$2057:$F$2109,MATCH(Paramètres!N52,Paramètres!$G$5:$G$57,0)),INDEX($E$2057:$E$2109,MATCH(Paramètres!N52,Paramètres!$G$5:$G$57,0)))+IF(RIGHT(TRIM(Paramètres!O52),3)="Fin",1-$H2104,IF(LEFT(TRIM(Paramètres!O52),1)="F",1,0)))))))</f>
        <v/>
      </c>
      <c r="F2104" s="19">
        <f>IF($A2104="","",E2104+$H2104-1)</f>
        <v/>
      </c>
      <c r="G2104" s="18" t="n"/>
      <c r="H2104" s="18">
        <f>IF($A2104="","",IF(I2104&lt;&gt;"",I2104,Paramètres!B52))</f>
        <v/>
      </c>
      <c r="I2104" s="18" t="n"/>
    </row>
    <row r="2105">
      <c r="A2105" s="18">
        <f>IF(ISNUMBER(Dossiers!$D$42),Dossiers!$A$42&amp;" · "&amp;Dossiers!$B$42,"")</f>
        <v/>
      </c>
      <c r="B2105" s="18">
        <f>IF($A2105="","",Paramètres!G53)</f>
        <v/>
      </c>
      <c r="C2105" s="18">
        <f>IF($A2105="","",IF(Paramètres!H53="","",Paramètres!H53))</f>
        <v/>
      </c>
      <c r="D2105" s="18">
        <f>IF($A2105="","",IF(Paramètres!I53="","",Paramètres!I53))</f>
        <v/>
      </c>
      <c r="E2105" s="19">
        <f>IF($A2105="","",IF(Paramètres!J53&amp;Paramètres!L53&amp;Paramètres!N53="",Dossiers!$D$42,MAX(IF(Paramètres!J53="",0,IF(Paramètres!K53="",NA(),IF(LEFT(TRIM(Paramètres!K53),1)="F",INDEX($F$2057:$F$2109,MATCH(Paramètres!J53,Paramètres!$G$5:$G$57,0)),INDEX($E$2057:$E$2109,MATCH(Paramètres!J53,Paramètres!$G$5:$G$57,0)))+IF(RIGHT(TRIM(Paramètres!K53),3)="Fin",1-$H2105,IF(LEFT(TRIM(Paramètres!K53),1)="F",1,0)))),IF(Paramètres!L53="",0,IF(Paramètres!M53="",NA(),IF(LEFT(TRIM(Paramètres!M53),1)="F",INDEX($F$2057:$F$2109,MATCH(Paramètres!L53,Paramètres!$G$5:$G$57,0)),INDEX($E$2057:$E$2109,MATCH(Paramètres!L53,Paramètres!$G$5:$G$57,0)))+IF(RIGHT(TRIM(Paramètres!M53),3)="Fin",1-$H2105,IF(LEFT(TRIM(Paramètres!M53),1)="F",1,0)))),IF(Paramètres!N53="",0,IF(Paramètres!O53="",NA(),IF(LEFT(TRIM(Paramètres!O53),1)="F",INDEX($F$2057:$F$2109,MATCH(Paramètres!N53,Paramètres!$G$5:$G$57,0)),INDEX($E$2057:$E$2109,MATCH(Paramètres!N53,Paramètres!$G$5:$G$57,0)))+IF(RIGHT(TRIM(Paramètres!O53),3)="Fin",1-$H2105,IF(LEFT(TRIM(Paramètres!O53),1)="F",1,0)))))))</f>
        <v/>
      </c>
      <c r="F2105" s="19">
        <f>IF($A2105="","",E2105+$H2105-1)</f>
        <v/>
      </c>
      <c r="G2105" s="18" t="n"/>
      <c r="H2105" s="18">
        <f>IF($A2105="","",IF(I2105&lt;&gt;"",I2105,Paramètres!B53))</f>
        <v/>
      </c>
      <c r="I2105" s="18" t="n"/>
    </row>
    <row r="2106">
      <c r="A2106" s="18">
        <f>IF(ISNUMBER(Dossiers!$D$42),Dossiers!$A$42&amp;" · "&amp;Dossiers!$B$42,"")</f>
        <v/>
      </c>
      <c r="B2106" s="18">
        <f>IF($A2106="","",Paramètres!G54)</f>
        <v/>
      </c>
      <c r="C2106" s="18">
        <f>IF($A2106="","",IF(Paramètres!H54="","",Paramètres!H54))</f>
        <v/>
      </c>
      <c r="D2106" s="18">
        <f>IF($A2106="","",IF(Paramètres!I54="","",Paramètres!I54))</f>
        <v/>
      </c>
      <c r="E2106" s="19">
        <f>IF($A2106="","",IF(Paramètres!J54&amp;Paramètres!L54&amp;Paramètres!N54="",Dossiers!$D$42,MAX(IF(Paramètres!J54="",0,IF(Paramètres!K54="",NA(),IF(LEFT(TRIM(Paramètres!K54),1)="F",INDEX($F$2057:$F$2109,MATCH(Paramètres!J54,Paramètres!$G$5:$G$57,0)),INDEX($E$2057:$E$2109,MATCH(Paramètres!J54,Paramètres!$G$5:$G$57,0)))+IF(RIGHT(TRIM(Paramètres!K54),3)="Fin",1-$H2106,IF(LEFT(TRIM(Paramètres!K54),1)="F",1,0)))),IF(Paramètres!L54="",0,IF(Paramètres!M54="",NA(),IF(LEFT(TRIM(Paramètres!M54),1)="F",INDEX($F$2057:$F$2109,MATCH(Paramètres!L54,Paramètres!$G$5:$G$57,0)),INDEX($E$2057:$E$2109,MATCH(Paramètres!L54,Paramètres!$G$5:$G$57,0)))+IF(RIGHT(TRIM(Paramètres!M54),3)="Fin",1-$H2106,IF(LEFT(TRIM(Paramètres!M54),1)="F",1,0)))),IF(Paramètres!N54="",0,IF(Paramètres!O54="",NA(),IF(LEFT(TRIM(Paramètres!O54),1)="F",INDEX($F$2057:$F$2109,MATCH(Paramètres!N54,Paramètres!$G$5:$G$57,0)),INDEX($E$2057:$E$2109,MATCH(Paramètres!N54,Paramètres!$G$5:$G$57,0)))+IF(RIGHT(TRIM(Paramètres!O54),3)="Fin",1-$H2106,IF(LEFT(TRIM(Paramètres!O54),1)="F",1,0)))))))</f>
        <v/>
      </c>
      <c r="F2106" s="19">
        <f>IF($A2106="","",E2106+$H2106-1)</f>
        <v/>
      </c>
      <c r="G2106" s="18" t="n"/>
      <c r="H2106" s="18">
        <f>IF($A2106="","",IF(I2106&lt;&gt;"",I2106,Paramètres!B54))</f>
        <v/>
      </c>
      <c r="I2106" s="18" t="n"/>
    </row>
    <row r="2107">
      <c r="A2107" s="18">
        <f>IF(ISNUMBER(Dossiers!$D$42),Dossiers!$A$42&amp;" · "&amp;Dossiers!$B$42,"")</f>
        <v/>
      </c>
      <c r="B2107" s="18">
        <f>IF($A2107="","",Paramètres!G55)</f>
        <v/>
      </c>
      <c r="C2107" s="18">
        <f>IF($A2107="","",IF(Paramètres!H55="","",Paramètres!H55))</f>
        <v/>
      </c>
      <c r="D2107" s="18">
        <f>IF($A2107="","",IF(Paramètres!I55="","",Paramètres!I55))</f>
        <v/>
      </c>
      <c r="E2107" s="19">
        <f>IF($A2107="","",IF(Paramètres!J55&amp;Paramètres!L55&amp;Paramètres!N55="",Dossiers!$D$42,MAX(IF(Paramètres!J55="",0,IF(Paramètres!K55="",NA(),IF(LEFT(TRIM(Paramètres!K55),1)="F",INDEX($F$2057:$F$2109,MATCH(Paramètres!J55,Paramètres!$G$5:$G$57,0)),INDEX($E$2057:$E$2109,MATCH(Paramètres!J55,Paramètres!$G$5:$G$57,0)))+IF(RIGHT(TRIM(Paramètres!K55),3)="Fin",1-$H2107,IF(LEFT(TRIM(Paramètres!K55),1)="F",1,0)))),IF(Paramètres!L55="",0,IF(Paramètres!M55="",NA(),IF(LEFT(TRIM(Paramètres!M55),1)="F",INDEX($F$2057:$F$2109,MATCH(Paramètres!L55,Paramètres!$G$5:$G$57,0)),INDEX($E$2057:$E$2109,MATCH(Paramètres!L55,Paramètres!$G$5:$G$57,0)))+IF(RIGHT(TRIM(Paramètres!M55),3)="Fin",1-$H2107,IF(LEFT(TRIM(Paramètres!M55),1)="F",1,0)))),IF(Paramètres!N55="",0,IF(Paramètres!O55="",NA(),IF(LEFT(TRIM(Paramètres!O55),1)="F",INDEX($F$2057:$F$2109,MATCH(Paramètres!N55,Paramètres!$G$5:$G$57,0)),INDEX($E$2057:$E$2109,MATCH(Paramètres!N55,Paramètres!$G$5:$G$57,0)))+IF(RIGHT(TRIM(Paramètres!O55),3)="Fin",1-$H2107,IF(LEFT(TRIM(Paramètres!O55),1)="F",1,0)))))))</f>
        <v/>
      </c>
      <c r="F2107" s="19">
        <f>IF($A2107="","",E2107+$H2107-1)</f>
        <v/>
      </c>
      <c r="G2107" s="18" t="n"/>
      <c r="H2107" s="18">
        <f>IF($A2107="","",IF(I2107&lt;&gt;"",I2107,Paramètres!B55))</f>
        <v/>
      </c>
      <c r="I2107" s="18" t="n"/>
    </row>
    <row r="2108">
      <c r="A2108" s="18">
        <f>IF(ISNUMBER(Dossiers!$D$42),Dossiers!$A$42&amp;" · "&amp;Dossiers!$B$42,"")</f>
        <v/>
      </c>
      <c r="B2108" s="18">
        <f>IF($A2108="","",Paramètres!G56)</f>
        <v/>
      </c>
      <c r="C2108" s="18">
        <f>IF($A2108="","",IF(Paramètres!H56="","",Paramètres!H56))</f>
        <v/>
      </c>
      <c r="D2108" s="18">
        <f>IF($A2108="","",IF(Paramètres!I56="","",Paramètres!I56))</f>
        <v/>
      </c>
      <c r="E2108" s="19">
        <f>IF($A2108="","",MIN(E2109:E2109))</f>
        <v/>
      </c>
      <c r="F2108" s="19">
        <f>IF($A2108="","",MAX(F2109:F2109))</f>
        <v/>
      </c>
      <c r="G2108" s="18" t="n"/>
      <c r="H2108" s="18">
        <f>IF($A2108="","",F2108-E2108+1)</f>
        <v/>
      </c>
      <c r="I2108" s="18" t="n"/>
    </row>
    <row r="2109">
      <c r="A2109" s="18">
        <f>IF(ISNUMBER(Dossiers!$D$42),Dossiers!$A$42&amp;" · "&amp;Dossiers!$B$42,"")</f>
        <v/>
      </c>
      <c r="B2109" s="18">
        <f>IF($A2109="","",Paramètres!G57)</f>
        <v/>
      </c>
      <c r="C2109" s="18">
        <f>IF($A2109="","",IF(Paramètres!H57="","",Paramètres!H57))</f>
        <v/>
      </c>
      <c r="D2109" s="18">
        <f>IF($A2109="","",IF(Paramètres!I57="","",Paramètres!I57))</f>
        <v/>
      </c>
      <c r="E2109" s="19">
        <f>IF($A2109="","",IF(Paramètres!J57&amp;Paramètres!L57&amp;Paramètres!N57="",Dossiers!$D$42,MAX(IF(Paramètres!J57="",0,IF(Paramètres!K57="",NA(),IF(LEFT(TRIM(Paramètres!K57),1)="F",INDEX($F$2057:$F$2109,MATCH(Paramètres!J57,Paramètres!$G$5:$G$57,0)),INDEX($E$2057:$E$2109,MATCH(Paramètres!J57,Paramètres!$G$5:$G$57,0)))+IF(RIGHT(TRIM(Paramètres!K57),3)="Fin",1-$H2109,IF(LEFT(TRIM(Paramètres!K57),1)="F",1,0)))),IF(Paramètres!L57="",0,IF(Paramètres!M57="",NA(),IF(LEFT(TRIM(Paramètres!M57),1)="F",INDEX($F$2057:$F$2109,MATCH(Paramètres!L57,Paramètres!$G$5:$G$57,0)),INDEX($E$2057:$E$2109,MATCH(Paramètres!L57,Paramètres!$G$5:$G$57,0)))+IF(RIGHT(TRIM(Paramètres!M57),3)="Fin",1-$H2109,IF(LEFT(TRIM(Paramètres!M57),1)="F",1,0)))),IF(Paramètres!N57="",0,IF(Paramètres!O57="",NA(),IF(LEFT(TRIM(Paramètres!O57),1)="F",INDEX($F$2057:$F$2109,MATCH(Paramètres!N57,Paramètres!$G$5:$G$57,0)),INDEX($E$2057:$E$2109,MATCH(Paramètres!N57,Paramètres!$G$5:$G$57,0)))+IF(RIGHT(TRIM(Paramètres!O57),3)="Fin",1-$H2109,IF(LEFT(TRIM(Paramètres!O57),1)="F",1,0)))))))</f>
        <v/>
      </c>
      <c r="F2109" s="19">
        <f>IF($A2109="","",E2109+$H2109-1)</f>
        <v/>
      </c>
      <c r="G2109" s="18" t="n"/>
      <c r="H2109" s="18">
        <f>IF($A2109="","",IF(I2109&lt;&gt;"",I2109,Paramètres!B57))</f>
        <v/>
      </c>
      <c r="I2109" s="18" t="n"/>
    </row>
    <row r="2110">
      <c r="A2110" s="16">
        <f>IF(ISNUMBER(Dossiers!$D$43),Dossiers!$E$43,"")</f>
        <v/>
      </c>
      <c r="B2110" s="16">
        <f>IF($A2110="","","Identifiant")</f>
        <v/>
      </c>
      <c r="C2110" s="16">
        <f>IF($A2110="","","Macro Etape")</f>
        <v/>
      </c>
      <c r="D2110" s="16">
        <f>IF($A2110="","","Etape")</f>
        <v/>
      </c>
      <c r="E2110" s="17">
        <f>IF($A2110="","","Début le")</f>
        <v/>
      </c>
      <c r="F2110" s="17">
        <f>IF($A2110="","","Fin prévue le")</f>
        <v/>
      </c>
      <c r="G2110" s="16">
        <f>IF($A2110="","","Statut")</f>
        <v/>
      </c>
      <c r="H2110" s="16">
        <f>IF($A2110="","","Durée (jours)")</f>
        <v/>
      </c>
      <c r="I2110" s="16">
        <f>IF($A2110="","","Durée particulière")</f>
        <v/>
      </c>
      <c r="J2110" s="10">
        <f>IF($A2110="","",HYPERLINK("#'Tableau de bord'!A1","↑ Tableau de bord"))</f>
        <v/>
      </c>
    </row>
    <row r="2111">
      <c r="A2111" s="18">
        <f>IF(ISNUMBER(Dossiers!$D$43),Dossiers!$A$43&amp;" · "&amp;Dossiers!$B$43,"")</f>
        <v/>
      </c>
      <c r="B2111" s="18">
        <f>IF($A2111="","",Paramètres!G5)</f>
        <v/>
      </c>
      <c r="C2111" s="18">
        <f>IF($A2111="","",IF(Paramètres!H5="","",Paramètres!H5))</f>
        <v/>
      </c>
      <c r="D2111" s="18">
        <f>IF($A2111="","",IF(Paramètres!I5="","",Paramètres!I5))</f>
        <v/>
      </c>
      <c r="E2111" s="19">
        <f>IF($A2111="","",MIN(E2112:E2115))</f>
        <v/>
      </c>
      <c r="F2111" s="19">
        <f>IF($A2111="","",MAX(F2112:F2115))</f>
        <v/>
      </c>
      <c r="G2111" s="18" t="n"/>
      <c r="H2111" s="18">
        <f>IF($A2111="","",F2111-E2111+1)</f>
        <v/>
      </c>
      <c r="I2111" s="18" t="n"/>
    </row>
    <row r="2112">
      <c r="A2112" s="18">
        <f>IF(ISNUMBER(Dossiers!$D$43),Dossiers!$A$43&amp;" · "&amp;Dossiers!$B$43,"")</f>
        <v/>
      </c>
      <c r="B2112" s="18">
        <f>IF($A2112="","",Paramètres!G6)</f>
        <v/>
      </c>
      <c r="C2112" s="18">
        <f>IF($A2112="","",IF(Paramètres!H6="","",Paramètres!H6))</f>
        <v/>
      </c>
      <c r="D2112" s="18">
        <f>IF($A2112="","",IF(Paramètres!I6="","",Paramètres!I6))</f>
        <v/>
      </c>
      <c r="E2112" s="19">
        <f>IF($A2112="","",IF(Paramètres!J6&amp;Paramètres!L6&amp;Paramètres!N6="",Dossiers!$D$43,MAX(IF(Paramètres!J6="",0,IF(Paramètres!K6="",NA(),IF(LEFT(TRIM(Paramètres!K6),1)="F",INDEX($F$2111:$F$2163,MATCH(Paramètres!J6,Paramètres!$G$5:$G$57,0)),INDEX($E$2111:$E$2163,MATCH(Paramètres!J6,Paramètres!$G$5:$G$57,0)))+IF(RIGHT(TRIM(Paramètres!K6),3)="Fin",1-$H2112,IF(LEFT(TRIM(Paramètres!K6),1)="F",1,0)))),IF(Paramètres!L6="",0,IF(Paramètres!M6="",NA(),IF(LEFT(TRIM(Paramètres!M6),1)="F",INDEX($F$2111:$F$2163,MATCH(Paramètres!L6,Paramètres!$G$5:$G$57,0)),INDEX($E$2111:$E$2163,MATCH(Paramètres!L6,Paramètres!$G$5:$G$57,0)))+IF(RIGHT(TRIM(Paramètres!M6),3)="Fin",1-$H2112,IF(LEFT(TRIM(Paramètres!M6),1)="F",1,0)))),IF(Paramètres!N6="",0,IF(Paramètres!O6="",NA(),IF(LEFT(TRIM(Paramètres!O6),1)="F",INDEX($F$2111:$F$2163,MATCH(Paramètres!N6,Paramètres!$G$5:$G$57,0)),INDEX($E$2111:$E$2163,MATCH(Paramètres!N6,Paramètres!$G$5:$G$57,0)))+IF(RIGHT(TRIM(Paramètres!O6),3)="Fin",1-$H2112,IF(LEFT(TRIM(Paramètres!O6),1)="F",1,0)))))))</f>
        <v/>
      </c>
      <c r="F2112" s="19">
        <f>IF($A2112="","",E2112+$H2112-1)</f>
        <v/>
      </c>
      <c r="G2112" s="18" t="n"/>
      <c r="H2112" s="18">
        <f>IF($A2112="","",IF(I2112&lt;&gt;"",I2112,Paramètres!B6))</f>
        <v/>
      </c>
      <c r="I2112" s="18" t="n"/>
    </row>
    <row r="2113">
      <c r="A2113" s="18">
        <f>IF(ISNUMBER(Dossiers!$D$43),Dossiers!$A$43&amp;" · "&amp;Dossiers!$B$43,"")</f>
        <v/>
      </c>
      <c r="B2113" s="18">
        <f>IF($A2113="","",Paramètres!G7)</f>
        <v/>
      </c>
      <c r="C2113" s="18">
        <f>IF($A2113="","",IF(Paramètres!H7="","",Paramètres!H7))</f>
        <v/>
      </c>
      <c r="D2113" s="18">
        <f>IF($A2113="","",IF(Paramètres!I7="","",Paramètres!I7))</f>
        <v/>
      </c>
      <c r="E2113" s="19">
        <f>IF($A2113="","",IF(Paramètres!J7&amp;Paramètres!L7&amp;Paramètres!N7="",Dossiers!$D$43,MAX(IF(Paramètres!J7="",0,IF(Paramètres!K7="",NA(),IF(LEFT(TRIM(Paramètres!K7),1)="F",INDEX($F$2111:$F$2163,MATCH(Paramètres!J7,Paramètres!$G$5:$G$57,0)),INDEX($E$2111:$E$2163,MATCH(Paramètres!J7,Paramètres!$G$5:$G$57,0)))+IF(RIGHT(TRIM(Paramètres!K7),3)="Fin",1-$H2113,IF(LEFT(TRIM(Paramètres!K7),1)="F",1,0)))),IF(Paramètres!L7="",0,IF(Paramètres!M7="",NA(),IF(LEFT(TRIM(Paramètres!M7),1)="F",INDEX($F$2111:$F$2163,MATCH(Paramètres!L7,Paramètres!$G$5:$G$57,0)),INDEX($E$2111:$E$2163,MATCH(Paramètres!L7,Paramètres!$G$5:$G$57,0)))+IF(RIGHT(TRIM(Paramètres!M7),3)="Fin",1-$H2113,IF(LEFT(TRIM(Paramètres!M7),1)="F",1,0)))),IF(Paramètres!N7="",0,IF(Paramètres!O7="",NA(),IF(LEFT(TRIM(Paramètres!O7),1)="F",INDEX($F$2111:$F$2163,MATCH(Paramètres!N7,Paramètres!$G$5:$G$57,0)),INDEX($E$2111:$E$2163,MATCH(Paramètres!N7,Paramètres!$G$5:$G$57,0)))+IF(RIGHT(TRIM(Paramètres!O7),3)="Fin",1-$H2113,IF(LEFT(TRIM(Paramètres!O7),1)="F",1,0)))))))</f>
        <v/>
      </c>
      <c r="F2113" s="19">
        <f>IF($A2113="","",E2113+$H2113-1)</f>
        <v/>
      </c>
      <c r="G2113" s="18" t="n"/>
      <c r="H2113" s="18">
        <f>IF($A2113="","",IF(I2113&lt;&gt;"",I2113,Paramètres!B7))</f>
        <v/>
      </c>
      <c r="I2113" s="18" t="n"/>
    </row>
    <row r="2114">
      <c r="A2114" s="18">
        <f>IF(ISNUMBER(Dossiers!$D$43),Dossiers!$A$43&amp;" · "&amp;Dossiers!$B$43,"")</f>
        <v/>
      </c>
      <c r="B2114" s="18">
        <f>IF($A2114="","",Paramètres!G8)</f>
        <v/>
      </c>
      <c r="C2114" s="18">
        <f>IF($A2114="","",IF(Paramètres!H8="","",Paramètres!H8))</f>
        <v/>
      </c>
      <c r="D2114" s="18">
        <f>IF($A2114="","",IF(Paramètres!I8="","",Paramètres!I8))</f>
        <v/>
      </c>
      <c r="E2114" s="19">
        <f>IF($A2114="","",IF(Paramètres!J8&amp;Paramètres!L8&amp;Paramètres!N8="",Dossiers!$D$43,MAX(IF(Paramètres!J8="",0,IF(Paramètres!K8="",NA(),IF(LEFT(TRIM(Paramètres!K8),1)="F",INDEX($F$2111:$F$2163,MATCH(Paramètres!J8,Paramètres!$G$5:$G$57,0)),INDEX($E$2111:$E$2163,MATCH(Paramètres!J8,Paramètres!$G$5:$G$57,0)))+IF(RIGHT(TRIM(Paramètres!K8),3)="Fin",1-$H2114,IF(LEFT(TRIM(Paramètres!K8),1)="F",1,0)))),IF(Paramètres!L8="",0,IF(Paramètres!M8="",NA(),IF(LEFT(TRIM(Paramètres!M8),1)="F",INDEX($F$2111:$F$2163,MATCH(Paramètres!L8,Paramètres!$G$5:$G$57,0)),INDEX($E$2111:$E$2163,MATCH(Paramètres!L8,Paramètres!$G$5:$G$57,0)))+IF(RIGHT(TRIM(Paramètres!M8),3)="Fin",1-$H2114,IF(LEFT(TRIM(Paramètres!M8),1)="F",1,0)))),IF(Paramètres!N8="",0,IF(Paramètres!O8="",NA(),IF(LEFT(TRIM(Paramètres!O8),1)="F",INDEX($F$2111:$F$2163,MATCH(Paramètres!N8,Paramètres!$G$5:$G$57,0)),INDEX($E$2111:$E$2163,MATCH(Paramètres!N8,Paramètres!$G$5:$G$57,0)))+IF(RIGHT(TRIM(Paramètres!O8),3)="Fin",1-$H2114,IF(LEFT(TRIM(Paramètres!O8),1)="F",1,0)))))))</f>
        <v/>
      </c>
      <c r="F2114" s="19">
        <f>IF($A2114="","",E2114+$H2114-1)</f>
        <v/>
      </c>
      <c r="G2114" s="18" t="n"/>
      <c r="H2114" s="18">
        <f>IF($A2114="","",IF(I2114&lt;&gt;"",I2114,Paramètres!B8))</f>
        <v/>
      </c>
      <c r="I2114" s="18" t="n"/>
    </row>
    <row r="2115">
      <c r="A2115" s="18">
        <f>IF(ISNUMBER(Dossiers!$D$43),Dossiers!$A$43&amp;" · "&amp;Dossiers!$B$43,"")</f>
        <v/>
      </c>
      <c r="B2115" s="18">
        <f>IF($A2115="","",Paramètres!G9)</f>
        <v/>
      </c>
      <c r="C2115" s="18">
        <f>IF($A2115="","",IF(Paramètres!H9="","",Paramètres!H9))</f>
        <v/>
      </c>
      <c r="D2115" s="18">
        <f>IF($A2115="","",IF(Paramètres!I9="","",Paramètres!I9))</f>
        <v/>
      </c>
      <c r="E2115" s="19">
        <f>IF($A2115="","",IF(Paramètres!J9&amp;Paramètres!L9&amp;Paramètres!N9="",Dossiers!$D$43,MAX(IF(Paramètres!J9="",0,IF(Paramètres!K9="",NA(),IF(LEFT(TRIM(Paramètres!K9),1)="F",INDEX($F$2111:$F$2163,MATCH(Paramètres!J9,Paramètres!$G$5:$G$57,0)),INDEX($E$2111:$E$2163,MATCH(Paramètres!J9,Paramètres!$G$5:$G$57,0)))+IF(RIGHT(TRIM(Paramètres!K9),3)="Fin",1-$H2115,IF(LEFT(TRIM(Paramètres!K9),1)="F",1,0)))),IF(Paramètres!L9="",0,IF(Paramètres!M9="",NA(),IF(LEFT(TRIM(Paramètres!M9),1)="F",INDEX($F$2111:$F$2163,MATCH(Paramètres!L9,Paramètres!$G$5:$G$57,0)),INDEX($E$2111:$E$2163,MATCH(Paramètres!L9,Paramètres!$G$5:$G$57,0)))+IF(RIGHT(TRIM(Paramètres!M9),3)="Fin",1-$H2115,IF(LEFT(TRIM(Paramètres!M9),1)="F",1,0)))),IF(Paramètres!N9="",0,IF(Paramètres!O9="",NA(),IF(LEFT(TRIM(Paramètres!O9),1)="F",INDEX($F$2111:$F$2163,MATCH(Paramètres!N9,Paramètres!$G$5:$G$57,0)),INDEX($E$2111:$E$2163,MATCH(Paramètres!N9,Paramètres!$G$5:$G$57,0)))+IF(RIGHT(TRIM(Paramètres!O9),3)="Fin",1-$H2115,IF(LEFT(TRIM(Paramètres!O9),1)="F",1,0)))))))</f>
        <v/>
      </c>
      <c r="F2115" s="19">
        <f>IF($A2115="","",E2115+$H2115-1)</f>
        <v/>
      </c>
      <c r="G2115" s="18" t="n"/>
      <c r="H2115" s="18">
        <f>IF($A2115="","",IF(I2115&lt;&gt;"",I2115,Paramètres!B9))</f>
        <v/>
      </c>
      <c r="I2115" s="18" t="n"/>
    </row>
    <row r="2116">
      <c r="A2116" s="18">
        <f>IF(ISNUMBER(Dossiers!$D$43),Dossiers!$A$43&amp;" · "&amp;Dossiers!$B$43,"")</f>
        <v/>
      </c>
      <c r="B2116" s="18">
        <f>IF($A2116="","",Paramètres!G10)</f>
        <v/>
      </c>
      <c r="C2116" s="18">
        <f>IF($A2116="","",IF(Paramètres!H10="","",Paramètres!H10))</f>
        <v/>
      </c>
      <c r="D2116" s="18">
        <f>IF($A2116="","",IF(Paramètres!I10="","",Paramètres!I10))</f>
        <v/>
      </c>
      <c r="E2116" s="19">
        <f>IF($A2116="","",MIN(E2117:E2120))</f>
        <v/>
      </c>
      <c r="F2116" s="19">
        <f>IF($A2116="","",MAX(F2117:F2120))</f>
        <v/>
      </c>
      <c r="G2116" s="18" t="n"/>
      <c r="H2116" s="18">
        <f>IF($A2116="","",F2116-E2116+1)</f>
        <v/>
      </c>
      <c r="I2116" s="18" t="n"/>
    </row>
    <row r="2117">
      <c r="A2117" s="18">
        <f>IF(ISNUMBER(Dossiers!$D$43),Dossiers!$A$43&amp;" · "&amp;Dossiers!$B$43,"")</f>
        <v/>
      </c>
      <c r="B2117" s="18">
        <f>IF($A2117="","",Paramètres!G11)</f>
        <v/>
      </c>
      <c r="C2117" s="18">
        <f>IF($A2117="","",IF(Paramètres!H11="","",Paramètres!H11))</f>
        <v/>
      </c>
      <c r="D2117" s="18">
        <f>IF($A2117="","",IF(Paramètres!I11="","",Paramètres!I11))</f>
        <v/>
      </c>
      <c r="E2117" s="19">
        <f>IF($A2117="","",IF(Paramètres!J11&amp;Paramètres!L11&amp;Paramètres!N11="",Dossiers!$D$43,MAX(IF(Paramètres!J11="",0,IF(Paramètres!K11="",NA(),IF(LEFT(TRIM(Paramètres!K11),1)="F",INDEX($F$2111:$F$2163,MATCH(Paramètres!J11,Paramètres!$G$5:$G$57,0)),INDEX($E$2111:$E$2163,MATCH(Paramètres!J11,Paramètres!$G$5:$G$57,0)))+IF(RIGHT(TRIM(Paramètres!K11),3)="Fin",1-$H2117,IF(LEFT(TRIM(Paramètres!K11),1)="F",1,0)))),IF(Paramètres!L11="",0,IF(Paramètres!M11="",NA(),IF(LEFT(TRIM(Paramètres!M11),1)="F",INDEX($F$2111:$F$2163,MATCH(Paramètres!L11,Paramètres!$G$5:$G$57,0)),INDEX($E$2111:$E$2163,MATCH(Paramètres!L11,Paramètres!$G$5:$G$57,0)))+IF(RIGHT(TRIM(Paramètres!M11),3)="Fin",1-$H2117,IF(LEFT(TRIM(Paramètres!M11),1)="F",1,0)))),IF(Paramètres!N11="",0,IF(Paramètres!O11="",NA(),IF(LEFT(TRIM(Paramètres!O11),1)="F",INDEX($F$2111:$F$2163,MATCH(Paramètres!N11,Paramètres!$G$5:$G$57,0)),INDEX($E$2111:$E$2163,MATCH(Paramètres!N11,Paramètres!$G$5:$G$57,0)))+IF(RIGHT(TRIM(Paramètres!O11),3)="Fin",1-$H2117,IF(LEFT(TRIM(Paramètres!O11),1)="F",1,0)))))))</f>
        <v/>
      </c>
      <c r="F2117" s="19">
        <f>IF($A2117="","",E2117+$H2117-1)</f>
        <v/>
      </c>
      <c r="G2117" s="18" t="n"/>
      <c r="H2117" s="18">
        <f>IF($A2117="","",IF(I2117&lt;&gt;"",I2117,Paramètres!B11))</f>
        <v/>
      </c>
      <c r="I2117" s="18" t="n"/>
    </row>
    <row r="2118">
      <c r="A2118" s="18">
        <f>IF(ISNUMBER(Dossiers!$D$43),Dossiers!$A$43&amp;" · "&amp;Dossiers!$B$43,"")</f>
        <v/>
      </c>
      <c r="B2118" s="18">
        <f>IF($A2118="","",Paramètres!G12)</f>
        <v/>
      </c>
      <c r="C2118" s="18">
        <f>IF($A2118="","",IF(Paramètres!H12="","",Paramètres!H12))</f>
        <v/>
      </c>
      <c r="D2118" s="18">
        <f>IF($A2118="","",IF(Paramètres!I12="","",Paramètres!I12))</f>
        <v/>
      </c>
      <c r="E2118" s="19">
        <f>IF($A2118="","",IF(Paramètres!J12&amp;Paramètres!L12&amp;Paramètres!N12="",Dossiers!$D$43,MAX(IF(Paramètres!J12="",0,IF(Paramètres!K12="",NA(),IF(LEFT(TRIM(Paramètres!K12),1)="F",INDEX($F$2111:$F$2163,MATCH(Paramètres!J12,Paramètres!$G$5:$G$57,0)),INDEX($E$2111:$E$2163,MATCH(Paramètres!J12,Paramètres!$G$5:$G$57,0)))+IF(RIGHT(TRIM(Paramètres!K12),3)="Fin",1-$H2118,IF(LEFT(TRIM(Paramètres!K12),1)="F",1,0)))),IF(Paramètres!L12="",0,IF(Paramètres!M12="",NA(),IF(LEFT(TRIM(Paramètres!M12),1)="F",INDEX($F$2111:$F$2163,MATCH(Paramètres!L12,Paramètres!$G$5:$G$57,0)),INDEX($E$2111:$E$2163,MATCH(Paramètres!L12,Paramètres!$G$5:$G$57,0)))+IF(RIGHT(TRIM(Paramètres!M12),3)="Fin",1-$H2118,IF(LEFT(TRIM(Paramètres!M12),1)="F",1,0)))),IF(Paramètres!N12="",0,IF(Paramètres!O12="",NA(),IF(LEFT(TRIM(Paramètres!O12),1)="F",INDEX($F$2111:$F$2163,MATCH(Paramètres!N12,Paramètres!$G$5:$G$57,0)),INDEX($E$2111:$E$2163,MATCH(Paramètres!N12,Paramètres!$G$5:$G$57,0)))+IF(RIGHT(TRIM(Paramètres!O12),3)="Fin",1-$H2118,IF(LEFT(TRIM(Paramètres!O12),1)="F",1,0)))))))</f>
        <v/>
      </c>
      <c r="F2118" s="19">
        <f>IF($A2118="","",E2118+$H2118-1)</f>
        <v/>
      </c>
      <c r="G2118" s="18" t="n"/>
      <c r="H2118" s="18">
        <f>IF($A2118="","",IF(I2118&lt;&gt;"",I2118,Paramètres!B12))</f>
        <v/>
      </c>
      <c r="I2118" s="18" t="n"/>
    </row>
    <row r="2119">
      <c r="A2119" s="18">
        <f>IF(ISNUMBER(Dossiers!$D$43),Dossiers!$A$43&amp;" · "&amp;Dossiers!$B$43,"")</f>
        <v/>
      </c>
      <c r="B2119" s="18">
        <f>IF($A2119="","",Paramètres!G13)</f>
        <v/>
      </c>
      <c r="C2119" s="18">
        <f>IF($A2119="","",IF(Paramètres!H13="","",Paramètres!H13))</f>
        <v/>
      </c>
      <c r="D2119" s="18">
        <f>IF($A2119="","",IF(Paramètres!I13="","",Paramètres!I13))</f>
        <v/>
      </c>
      <c r="E2119" s="19">
        <f>IF($A2119="","",IF(Paramètres!J13&amp;Paramètres!L13&amp;Paramètres!N13="",Dossiers!$D$43,MAX(IF(Paramètres!J13="",0,IF(Paramètres!K13="",NA(),IF(LEFT(TRIM(Paramètres!K13),1)="F",INDEX($F$2111:$F$2163,MATCH(Paramètres!J13,Paramètres!$G$5:$G$57,0)),INDEX($E$2111:$E$2163,MATCH(Paramètres!J13,Paramètres!$G$5:$G$57,0)))+IF(RIGHT(TRIM(Paramètres!K13),3)="Fin",1-$H2119,IF(LEFT(TRIM(Paramètres!K13),1)="F",1,0)))),IF(Paramètres!L13="",0,IF(Paramètres!M13="",NA(),IF(LEFT(TRIM(Paramètres!M13),1)="F",INDEX($F$2111:$F$2163,MATCH(Paramètres!L13,Paramètres!$G$5:$G$57,0)),INDEX($E$2111:$E$2163,MATCH(Paramètres!L13,Paramètres!$G$5:$G$57,0)))+IF(RIGHT(TRIM(Paramètres!M13),3)="Fin",1-$H2119,IF(LEFT(TRIM(Paramètres!M13),1)="F",1,0)))),IF(Paramètres!N13="",0,IF(Paramètres!O13="",NA(),IF(LEFT(TRIM(Paramètres!O13),1)="F",INDEX($F$2111:$F$2163,MATCH(Paramètres!N13,Paramètres!$G$5:$G$57,0)),INDEX($E$2111:$E$2163,MATCH(Paramètres!N13,Paramètres!$G$5:$G$57,0)))+IF(RIGHT(TRIM(Paramètres!O13),3)="Fin",1-$H2119,IF(LEFT(TRIM(Paramètres!O13),1)="F",1,0)))))))</f>
        <v/>
      </c>
      <c r="F2119" s="19">
        <f>IF($A2119="","",E2119+$H2119-1)</f>
        <v/>
      </c>
      <c r="G2119" s="18" t="n"/>
      <c r="H2119" s="18">
        <f>IF($A2119="","",IF(I2119&lt;&gt;"",I2119,Paramètres!B13))</f>
        <v/>
      </c>
      <c r="I2119" s="18" t="n"/>
    </row>
    <row r="2120">
      <c r="A2120" s="18">
        <f>IF(ISNUMBER(Dossiers!$D$43),Dossiers!$A$43&amp;" · "&amp;Dossiers!$B$43,"")</f>
        <v/>
      </c>
      <c r="B2120" s="18">
        <f>IF($A2120="","",Paramètres!G14)</f>
        <v/>
      </c>
      <c r="C2120" s="18">
        <f>IF($A2120="","",IF(Paramètres!H14="","",Paramètres!H14))</f>
        <v/>
      </c>
      <c r="D2120" s="18">
        <f>IF($A2120="","",IF(Paramètres!I14="","",Paramètres!I14))</f>
        <v/>
      </c>
      <c r="E2120" s="19">
        <f>IF($A2120="","",IF(Paramètres!J14&amp;Paramètres!L14&amp;Paramètres!N14="",Dossiers!$D$43,MAX(IF(Paramètres!J14="",0,IF(Paramètres!K14="",NA(),IF(LEFT(TRIM(Paramètres!K14),1)="F",INDEX($F$2111:$F$2163,MATCH(Paramètres!J14,Paramètres!$G$5:$G$57,0)),INDEX($E$2111:$E$2163,MATCH(Paramètres!J14,Paramètres!$G$5:$G$57,0)))+IF(RIGHT(TRIM(Paramètres!K14),3)="Fin",1-$H2120,IF(LEFT(TRIM(Paramètres!K14),1)="F",1,0)))),IF(Paramètres!L14="",0,IF(Paramètres!M14="",NA(),IF(LEFT(TRIM(Paramètres!M14),1)="F",INDEX($F$2111:$F$2163,MATCH(Paramètres!L14,Paramètres!$G$5:$G$57,0)),INDEX($E$2111:$E$2163,MATCH(Paramètres!L14,Paramètres!$G$5:$G$57,0)))+IF(RIGHT(TRIM(Paramètres!M14),3)="Fin",1-$H2120,IF(LEFT(TRIM(Paramètres!M14),1)="F",1,0)))),IF(Paramètres!N14="",0,IF(Paramètres!O14="",NA(),IF(LEFT(TRIM(Paramètres!O14),1)="F",INDEX($F$2111:$F$2163,MATCH(Paramètres!N14,Paramètres!$G$5:$G$57,0)),INDEX($E$2111:$E$2163,MATCH(Paramètres!N14,Paramètres!$G$5:$G$57,0)))+IF(RIGHT(TRIM(Paramètres!O14),3)="Fin",1-$H2120,IF(LEFT(TRIM(Paramètres!O14),1)="F",1,0)))))))</f>
        <v/>
      </c>
      <c r="F2120" s="19">
        <f>IF($A2120="","",E2120+$H2120-1)</f>
        <v/>
      </c>
      <c r="G2120" s="18" t="n"/>
      <c r="H2120" s="18">
        <f>IF($A2120="","",IF(I2120&lt;&gt;"",I2120,Paramètres!B14))</f>
        <v/>
      </c>
      <c r="I2120" s="18" t="n"/>
    </row>
    <row r="2121">
      <c r="A2121" s="18">
        <f>IF(ISNUMBER(Dossiers!$D$43),Dossiers!$A$43&amp;" · "&amp;Dossiers!$B$43,"")</f>
        <v/>
      </c>
      <c r="B2121" s="18">
        <f>IF($A2121="","",Paramètres!G15)</f>
        <v/>
      </c>
      <c r="C2121" s="18">
        <f>IF($A2121="","",IF(Paramètres!H15="","",Paramètres!H15))</f>
        <v/>
      </c>
      <c r="D2121" s="18">
        <f>IF($A2121="","",IF(Paramètres!I15="","",Paramètres!I15))</f>
        <v/>
      </c>
      <c r="E2121" s="19">
        <f>IF($A2121="","",MIN(E2122:E2137))</f>
        <v/>
      </c>
      <c r="F2121" s="19">
        <f>IF($A2121="","",MAX(F2122:F2137))</f>
        <v/>
      </c>
      <c r="G2121" s="18" t="n"/>
      <c r="H2121" s="18">
        <f>IF($A2121="","",F2121-E2121+1)</f>
        <v/>
      </c>
      <c r="I2121" s="18" t="n"/>
    </row>
    <row r="2122">
      <c r="A2122" s="18">
        <f>IF(ISNUMBER(Dossiers!$D$43),Dossiers!$A$43&amp;" · "&amp;Dossiers!$B$43,"")</f>
        <v/>
      </c>
      <c r="B2122" s="18">
        <f>IF($A2122="","",Paramètres!G16)</f>
        <v/>
      </c>
      <c r="C2122" s="18">
        <f>IF($A2122="","",IF(Paramètres!H16="","",Paramètres!H16))</f>
        <v/>
      </c>
      <c r="D2122" s="18">
        <f>IF($A2122="","",IF(Paramètres!I16="","",Paramètres!I16))</f>
        <v/>
      </c>
      <c r="E2122" s="19">
        <f>IF($A2122="","",IF(Paramètres!J16&amp;Paramètres!L16&amp;Paramètres!N16="",Dossiers!$D$43,MAX(IF(Paramètres!J16="",0,IF(Paramètres!K16="",NA(),IF(LEFT(TRIM(Paramètres!K16),1)="F",INDEX($F$2111:$F$2163,MATCH(Paramètres!J16,Paramètres!$G$5:$G$57,0)),INDEX($E$2111:$E$2163,MATCH(Paramètres!J16,Paramètres!$G$5:$G$57,0)))+IF(RIGHT(TRIM(Paramètres!K16),3)="Fin",1-$H2122,IF(LEFT(TRIM(Paramètres!K16),1)="F",1,0)))),IF(Paramètres!L16="",0,IF(Paramètres!M16="",NA(),IF(LEFT(TRIM(Paramètres!M16),1)="F",INDEX($F$2111:$F$2163,MATCH(Paramètres!L16,Paramètres!$G$5:$G$57,0)),INDEX($E$2111:$E$2163,MATCH(Paramètres!L16,Paramètres!$G$5:$G$57,0)))+IF(RIGHT(TRIM(Paramètres!M16),3)="Fin",1-$H2122,IF(LEFT(TRIM(Paramètres!M16),1)="F",1,0)))),IF(Paramètres!N16="",0,IF(Paramètres!O16="",NA(),IF(LEFT(TRIM(Paramètres!O16),1)="F",INDEX($F$2111:$F$2163,MATCH(Paramètres!N16,Paramètres!$G$5:$G$57,0)),INDEX($E$2111:$E$2163,MATCH(Paramètres!N16,Paramètres!$G$5:$G$57,0)))+IF(RIGHT(TRIM(Paramètres!O16),3)="Fin",1-$H2122,IF(LEFT(TRIM(Paramètres!O16),1)="F",1,0)))))))</f>
        <v/>
      </c>
      <c r="F2122" s="19">
        <f>IF($A2122="","",E2122+$H2122-1)</f>
        <v/>
      </c>
      <c r="G2122" s="18" t="n"/>
      <c r="H2122" s="18">
        <f>IF($A2122="","",IF(I2122&lt;&gt;"",I2122,Paramètres!B16))</f>
        <v/>
      </c>
      <c r="I2122" s="18" t="n"/>
    </row>
    <row r="2123">
      <c r="A2123" s="18">
        <f>IF(ISNUMBER(Dossiers!$D$43),Dossiers!$A$43&amp;" · "&amp;Dossiers!$B$43,"")</f>
        <v/>
      </c>
      <c r="B2123" s="18">
        <f>IF($A2123="","",Paramètres!G17)</f>
        <v/>
      </c>
      <c r="C2123" s="18">
        <f>IF($A2123="","",IF(Paramètres!H17="","",Paramètres!H17))</f>
        <v/>
      </c>
      <c r="D2123" s="18">
        <f>IF($A2123="","",IF(Paramètres!I17="","",Paramètres!I17))</f>
        <v/>
      </c>
      <c r="E2123" s="19">
        <f>IF($A2123="","",IF(Paramètres!J17&amp;Paramètres!L17&amp;Paramètres!N17="",Dossiers!$D$43,MAX(IF(Paramètres!J17="",0,IF(Paramètres!K17="",NA(),IF(LEFT(TRIM(Paramètres!K17),1)="F",INDEX($F$2111:$F$2163,MATCH(Paramètres!J17,Paramètres!$G$5:$G$57,0)),INDEX($E$2111:$E$2163,MATCH(Paramètres!J17,Paramètres!$G$5:$G$57,0)))+IF(RIGHT(TRIM(Paramètres!K17),3)="Fin",1-$H2123,IF(LEFT(TRIM(Paramètres!K17),1)="F",1,0)))),IF(Paramètres!L17="",0,IF(Paramètres!M17="",NA(),IF(LEFT(TRIM(Paramètres!M17),1)="F",INDEX($F$2111:$F$2163,MATCH(Paramètres!L17,Paramètres!$G$5:$G$57,0)),INDEX($E$2111:$E$2163,MATCH(Paramètres!L17,Paramètres!$G$5:$G$57,0)))+IF(RIGHT(TRIM(Paramètres!M17),3)="Fin",1-$H2123,IF(LEFT(TRIM(Paramètres!M17),1)="F",1,0)))),IF(Paramètres!N17="",0,IF(Paramètres!O17="",NA(),IF(LEFT(TRIM(Paramètres!O17),1)="F",INDEX($F$2111:$F$2163,MATCH(Paramètres!N17,Paramètres!$G$5:$G$57,0)),INDEX($E$2111:$E$2163,MATCH(Paramètres!N17,Paramètres!$G$5:$G$57,0)))+IF(RIGHT(TRIM(Paramètres!O17),3)="Fin",1-$H2123,IF(LEFT(TRIM(Paramètres!O17),1)="F",1,0)))))))</f>
        <v/>
      </c>
      <c r="F2123" s="19">
        <f>IF($A2123="","",E2123+$H2123-1)</f>
        <v/>
      </c>
      <c r="G2123" s="18" t="n"/>
      <c r="H2123" s="18">
        <f>IF($A2123="","",IF(I2123&lt;&gt;"",I2123,Paramètres!B17))</f>
        <v/>
      </c>
      <c r="I2123" s="18" t="n"/>
    </row>
    <row r="2124">
      <c r="A2124" s="18">
        <f>IF(ISNUMBER(Dossiers!$D$43),Dossiers!$A$43&amp;" · "&amp;Dossiers!$B$43,"")</f>
        <v/>
      </c>
      <c r="B2124" s="18">
        <f>IF($A2124="","",Paramètres!G18)</f>
        <v/>
      </c>
      <c r="C2124" s="18">
        <f>IF($A2124="","",IF(Paramètres!H18="","",Paramètres!H18))</f>
        <v/>
      </c>
      <c r="D2124" s="18">
        <f>IF($A2124="","",IF(Paramètres!I18="","",Paramètres!I18))</f>
        <v/>
      </c>
      <c r="E2124" s="19">
        <f>IF($A2124="","",IF(Paramètres!J18&amp;Paramètres!L18&amp;Paramètres!N18="",Dossiers!$D$43,MAX(IF(Paramètres!J18="",0,IF(Paramètres!K18="",NA(),IF(LEFT(TRIM(Paramètres!K18),1)="F",INDEX($F$2111:$F$2163,MATCH(Paramètres!J18,Paramètres!$G$5:$G$57,0)),INDEX($E$2111:$E$2163,MATCH(Paramètres!J18,Paramètres!$G$5:$G$57,0)))+IF(RIGHT(TRIM(Paramètres!K18),3)="Fin",1-$H2124,IF(LEFT(TRIM(Paramètres!K18),1)="F",1,0)))),IF(Paramètres!L18="",0,IF(Paramètres!M18="",NA(),IF(LEFT(TRIM(Paramètres!M18),1)="F",INDEX($F$2111:$F$2163,MATCH(Paramètres!L18,Paramètres!$G$5:$G$57,0)),INDEX($E$2111:$E$2163,MATCH(Paramètres!L18,Paramètres!$G$5:$G$57,0)))+IF(RIGHT(TRIM(Paramètres!M18),3)="Fin",1-$H2124,IF(LEFT(TRIM(Paramètres!M18),1)="F",1,0)))),IF(Paramètres!N18="",0,IF(Paramètres!O18="",NA(),IF(LEFT(TRIM(Paramètres!O18),1)="F",INDEX($F$2111:$F$2163,MATCH(Paramètres!N18,Paramètres!$G$5:$G$57,0)),INDEX($E$2111:$E$2163,MATCH(Paramètres!N18,Paramètres!$G$5:$G$57,0)))+IF(RIGHT(TRIM(Paramètres!O18),3)="Fin",1-$H2124,IF(LEFT(TRIM(Paramètres!O18),1)="F",1,0)))))))</f>
        <v/>
      </c>
      <c r="F2124" s="19">
        <f>IF($A2124="","",E2124+$H2124-1)</f>
        <v/>
      </c>
      <c r="G2124" s="18" t="n"/>
      <c r="H2124" s="18">
        <f>IF($A2124="","",IF(I2124&lt;&gt;"",I2124,Paramètres!B18))</f>
        <v/>
      </c>
      <c r="I2124" s="18" t="n"/>
    </row>
    <row r="2125">
      <c r="A2125" s="18">
        <f>IF(ISNUMBER(Dossiers!$D$43),Dossiers!$A$43&amp;" · "&amp;Dossiers!$B$43,"")</f>
        <v/>
      </c>
      <c r="B2125" s="18">
        <f>IF($A2125="","",Paramètres!G19)</f>
        <v/>
      </c>
      <c r="C2125" s="18">
        <f>IF($A2125="","",IF(Paramètres!H19="","",Paramètres!H19))</f>
        <v/>
      </c>
      <c r="D2125" s="18">
        <f>IF($A2125="","",IF(Paramètres!I19="","",Paramètres!I19))</f>
        <v/>
      </c>
      <c r="E2125" s="19">
        <f>IF($A2125="","",IF(Paramètres!J19&amp;Paramètres!L19&amp;Paramètres!N19="",Dossiers!$D$43,MAX(IF(Paramètres!J19="",0,IF(Paramètres!K19="",NA(),IF(LEFT(TRIM(Paramètres!K19),1)="F",INDEX($F$2111:$F$2163,MATCH(Paramètres!J19,Paramètres!$G$5:$G$57,0)),INDEX($E$2111:$E$2163,MATCH(Paramètres!J19,Paramètres!$G$5:$G$57,0)))+IF(RIGHT(TRIM(Paramètres!K19),3)="Fin",1-$H2125,IF(LEFT(TRIM(Paramètres!K19),1)="F",1,0)))),IF(Paramètres!L19="",0,IF(Paramètres!M19="",NA(),IF(LEFT(TRIM(Paramètres!M19),1)="F",INDEX($F$2111:$F$2163,MATCH(Paramètres!L19,Paramètres!$G$5:$G$57,0)),INDEX($E$2111:$E$2163,MATCH(Paramètres!L19,Paramètres!$G$5:$G$57,0)))+IF(RIGHT(TRIM(Paramètres!M19),3)="Fin",1-$H2125,IF(LEFT(TRIM(Paramètres!M19),1)="F",1,0)))),IF(Paramètres!N19="",0,IF(Paramètres!O19="",NA(),IF(LEFT(TRIM(Paramètres!O19),1)="F",INDEX($F$2111:$F$2163,MATCH(Paramètres!N19,Paramètres!$G$5:$G$57,0)),INDEX($E$2111:$E$2163,MATCH(Paramètres!N19,Paramètres!$G$5:$G$57,0)))+IF(RIGHT(TRIM(Paramètres!O19),3)="Fin",1-$H2125,IF(LEFT(TRIM(Paramètres!O19),1)="F",1,0)))))))</f>
        <v/>
      </c>
      <c r="F2125" s="19">
        <f>IF($A2125="","",E2125+$H2125-1)</f>
        <v/>
      </c>
      <c r="G2125" s="18" t="n"/>
      <c r="H2125" s="18">
        <f>IF($A2125="","",IF(I2125&lt;&gt;"",I2125,Paramètres!B19))</f>
        <v/>
      </c>
      <c r="I2125" s="18" t="n"/>
    </row>
    <row r="2126">
      <c r="A2126" s="18">
        <f>IF(ISNUMBER(Dossiers!$D$43),Dossiers!$A$43&amp;" · "&amp;Dossiers!$B$43,"")</f>
        <v/>
      </c>
      <c r="B2126" s="18">
        <f>IF($A2126="","",Paramètres!G20)</f>
        <v/>
      </c>
      <c r="C2126" s="18">
        <f>IF($A2126="","",IF(Paramètres!H20="","",Paramètres!H20))</f>
        <v/>
      </c>
      <c r="D2126" s="18">
        <f>IF($A2126="","",IF(Paramètres!I20="","",Paramètres!I20))</f>
        <v/>
      </c>
      <c r="E2126" s="19">
        <f>IF($A2126="","",IF(Paramètres!J20&amp;Paramètres!L20&amp;Paramètres!N20="",Dossiers!$D$43,MAX(IF(Paramètres!J20="",0,IF(Paramètres!K20="",NA(),IF(LEFT(TRIM(Paramètres!K20),1)="F",INDEX($F$2111:$F$2163,MATCH(Paramètres!J20,Paramètres!$G$5:$G$57,0)),INDEX($E$2111:$E$2163,MATCH(Paramètres!J20,Paramètres!$G$5:$G$57,0)))+IF(RIGHT(TRIM(Paramètres!K20),3)="Fin",1-$H2126,IF(LEFT(TRIM(Paramètres!K20),1)="F",1,0)))),IF(Paramètres!L20="",0,IF(Paramètres!M20="",NA(),IF(LEFT(TRIM(Paramètres!M20),1)="F",INDEX($F$2111:$F$2163,MATCH(Paramètres!L20,Paramètres!$G$5:$G$57,0)),INDEX($E$2111:$E$2163,MATCH(Paramètres!L20,Paramètres!$G$5:$G$57,0)))+IF(RIGHT(TRIM(Paramètres!M20),3)="Fin",1-$H2126,IF(LEFT(TRIM(Paramètres!M20),1)="F",1,0)))),IF(Paramètres!N20="",0,IF(Paramètres!O20="",NA(),IF(LEFT(TRIM(Paramètres!O20),1)="F",INDEX($F$2111:$F$2163,MATCH(Paramètres!N20,Paramètres!$G$5:$G$57,0)),INDEX($E$2111:$E$2163,MATCH(Paramètres!N20,Paramètres!$G$5:$G$57,0)))+IF(RIGHT(TRIM(Paramètres!O20),3)="Fin",1-$H2126,IF(LEFT(TRIM(Paramètres!O20),1)="F",1,0)))))))</f>
        <v/>
      </c>
      <c r="F2126" s="19">
        <f>IF($A2126="","",E2126+$H2126-1)</f>
        <v/>
      </c>
      <c r="G2126" s="18" t="n"/>
      <c r="H2126" s="18">
        <f>IF($A2126="","",IF(I2126&lt;&gt;"",I2126,Paramètres!B20))</f>
        <v/>
      </c>
      <c r="I2126" s="18" t="n"/>
    </row>
    <row r="2127">
      <c r="A2127" s="18">
        <f>IF(ISNUMBER(Dossiers!$D$43),Dossiers!$A$43&amp;" · "&amp;Dossiers!$B$43,"")</f>
        <v/>
      </c>
      <c r="B2127" s="18">
        <f>IF($A2127="","",Paramètres!G21)</f>
        <v/>
      </c>
      <c r="C2127" s="18">
        <f>IF($A2127="","",IF(Paramètres!H21="","",Paramètres!H21))</f>
        <v/>
      </c>
      <c r="D2127" s="18">
        <f>IF($A2127="","",IF(Paramètres!I21="","",Paramètres!I21))</f>
        <v/>
      </c>
      <c r="E2127" s="19">
        <f>IF($A2127="","",IF(Paramètres!J21&amp;Paramètres!L21&amp;Paramètres!N21="",Dossiers!$D$43,MAX(IF(Paramètres!J21="",0,IF(Paramètres!K21="",NA(),IF(LEFT(TRIM(Paramètres!K21),1)="F",INDEX($F$2111:$F$2163,MATCH(Paramètres!J21,Paramètres!$G$5:$G$57,0)),INDEX($E$2111:$E$2163,MATCH(Paramètres!J21,Paramètres!$G$5:$G$57,0)))+IF(RIGHT(TRIM(Paramètres!K21),3)="Fin",1-$H2127,IF(LEFT(TRIM(Paramètres!K21),1)="F",1,0)))),IF(Paramètres!L21="",0,IF(Paramètres!M21="",NA(),IF(LEFT(TRIM(Paramètres!M21),1)="F",INDEX($F$2111:$F$2163,MATCH(Paramètres!L21,Paramètres!$G$5:$G$57,0)),INDEX($E$2111:$E$2163,MATCH(Paramètres!L21,Paramètres!$G$5:$G$57,0)))+IF(RIGHT(TRIM(Paramètres!M21),3)="Fin",1-$H2127,IF(LEFT(TRIM(Paramètres!M21),1)="F",1,0)))),IF(Paramètres!N21="",0,IF(Paramètres!O21="",NA(),IF(LEFT(TRIM(Paramètres!O21),1)="F",INDEX($F$2111:$F$2163,MATCH(Paramètres!N21,Paramètres!$G$5:$G$57,0)),INDEX($E$2111:$E$2163,MATCH(Paramètres!N21,Paramètres!$G$5:$G$57,0)))+IF(RIGHT(TRIM(Paramètres!O21),3)="Fin",1-$H2127,IF(LEFT(TRIM(Paramètres!O21),1)="F",1,0)))))))</f>
        <v/>
      </c>
      <c r="F2127" s="19">
        <f>IF($A2127="","",E2127+$H2127-1)</f>
        <v/>
      </c>
      <c r="G2127" s="18" t="n"/>
      <c r="H2127" s="18">
        <f>IF($A2127="","",IF(I2127&lt;&gt;"",I2127,Paramètres!B21))</f>
        <v/>
      </c>
      <c r="I2127" s="18" t="n"/>
    </row>
    <row r="2128">
      <c r="A2128" s="18">
        <f>IF(ISNUMBER(Dossiers!$D$43),Dossiers!$A$43&amp;" · "&amp;Dossiers!$B$43,"")</f>
        <v/>
      </c>
      <c r="B2128" s="18">
        <f>IF($A2128="","",Paramètres!G22)</f>
        <v/>
      </c>
      <c r="C2128" s="18">
        <f>IF($A2128="","",IF(Paramètres!H22="","",Paramètres!H22))</f>
        <v/>
      </c>
      <c r="D2128" s="18">
        <f>IF($A2128="","",IF(Paramètres!I22="","",Paramètres!I22))</f>
        <v/>
      </c>
      <c r="E2128" s="19">
        <f>IF($A2128="","",IF(Paramètres!J22&amp;Paramètres!L22&amp;Paramètres!N22="",Dossiers!$D$43,MAX(IF(Paramètres!J22="",0,IF(Paramètres!K22="",NA(),IF(LEFT(TRIM(Paramètres!K22),1)="F",INDEX($F$2111:$F$2163,MATCH(Paramètres!J22,Paramètres!$G$5:$G$57,0)),INDEX($E$2111:$E$2163,MATCH(Paramètres!J22,Paramètres!$G$5:$G$57,0)))+IF(RIGHT(TRIM(Paramètres!K22),3)="Fin",1-$H2128,IF(LEFT(TRIM(Paramètres!K22),1)="F",1,0)))),IF(Paramètres!L22="",0,IF(Paramètres!M22="",NA(),IF(LEFT(TRIM(Paramètres!M22),1)="F",INDEX($F$2111:$F$2163,MATCH(Paramètres!L22,Paramètres!$G$5:$G$57,0)),INDEX($E$2111:$E$2163,MATCH(Paramètres!L22,Paramètres!$G$5:$G$57,0)))+IF(RIGHT(TRIM(Paramètres!M22),3)="Fin",1-$H2128,IF(LEFT(TRIM(Paramètres!M22),1)="F",1,0)))),IF(Paramètres!N22="",0,IF(Paramètres!O22="",NA(),IF(LEFT(TRIM(Paramètres!O22),1)="F",INDEX($F$2111:$F$2163,MATCH(Paramètres!N22,Paramètres!$G$5:$G$57,0)),INDEX($E$2111:$E$2163,MATCH(Paramètres!N22,Paramètres!$G$5:$G$57,0)))+IF(RIGHT(TRIM(Paramètres!O22),3)="Fin",1-$H2128,IF(LEFT(TRIM(Paramètres!O22),1)="F",1,0)))))))</f>
        <v/>
      </c>
      <c r="F2128" s="19">
        <f>IF($A2128="","",E2128+$H2128-1)</f>
        <v/>
      </c>
      <c r="G2128" s="18" t="n"/>
      <c r="H2128" s="18">
        <f>IF($A2128="","",IF(I2128&lt;&gt;"",I2128,Paramètres!B22))</f>
        <v/>
      </c>
      <c r="I2128" s="18" t="n"/>
    </row>
    <row r="2129">
      <c r="A2129" s="18">
        <f>IF(ISNUMBER(Dossiers!$D$43),Dossiers!$A$43&amp;" · "&amp;Dossiers!$B$43,"")</f>
        <v/>
      </c>
      <c r="B2129" s="18">
        <f>IF($A2129="","",Paramètres!G23)</f>
        <v/>
      </c>
      <c r="C2129" s="18">
        <f>IF($A2129="","",IF(Paramètres!H23="","",Paramètres!H23))</f>
        <v/>
      </c>
      <c r="D2129" s="18">
        <f>IF($A2129="","",IF(Paramètres!I23="","",Paramètres!I23))</f>
        <v/>
      </c>
      <c r="E2129" s="19">
        <f>IF($A2129="","",IF(Paramètres!J23&amp;Paramètres!L23&amp;Paramètres!N23="",Dossiers!$D$43,MAX(IF(Paramètres!J23="",0,IF(Paramètres!K23="",NA(),IF(LEFT(TRIM(Paramètres!K23),1)="F",INDEX($F$2111:$F$2163,MATCH(Paramètres!J23,Paramètres!$G$5:$G$57,0)),INDEX($E$2111:$E$2163,MATCH(Paramètres!J23,Paramètres!$G$5:$G$57,0)))+IF(RIGHT(TRIM(Paramètres!K23),3)="Fin",1-$H2129,IF(LEFT(TRIM(Paramètres!K23),1)="F",1,0)))),IF(Paramètres!L23="",0,IF(Paramètres!M23="",NA(),IF(LEFT(TRIM(Paramètres!M23),1)="F",INDEX($F$2111:$F$2163,MATCH(Paramètres!L23,Paramètres!$G$5:$G$57,0)),INDEX($E$2111:$E$2163,MATCH(Paramètres!L23,Paramètres!$G$5:$G$57,0)))+IF(RIGHT(TRIM(Paramètres!M23),3)="Fin",1-$H2129,IF(LEFT(TRIM(Paramètres!M23),1)="F",1,0)))),IF(Paramètres!N23="",0,IF(Paramètres!O23="",NA(),IF(LEFT(TRIM(Paramètres!O23),1)="F",INDEX($F$2111:$F$2163,MATCH(Paramètres!N23,Paramètres!$G$5:$G$57,0)),INDEX($E$2111:$E$2163,MATCH(Paramètres!N23,Paramètres!$G$5:$G$57,0)))+IF(RIGHT(TRIM(Paramètres!O23),3)="Fin",1-$H2129,IF(LEFT(TRIM(Paramètres!O23),1)="F",1,0)))))))</f>
        <v/>
      </c>
      <c r="F2129" s="19">
        <f>IF($A2129="","",E2129+$H2129-1)</f>
        <v/>
      </c>
      <c r="G2129" s="18" t="n"/>
      <c r="H2129" s="18">
        <f>IF($A2129="","",IF(I2129&lt;&gt;"",I2129,Paramètres!B23))</f>
        <v/>
      </c>
      <c r="I2129" s="18" t="n"/>
    </row>
    <row r="2130">
      <c r="A2130" s="18">
        <f>IF(ISNUMBER(Dossiers!$D$43),Dossiers!$A$43&amp;" · "&amp;Dossiers!$B$43,"")</f>
        <v/>
      </c>
      <c r="B2130" s="18">
        <f>IF($A2130="","",Paramètres!G24)</f>
        <v/>
      </c>
      <c r="C2130" s="18">
        <f>IF($A2130="","",IF(Paramètres!H24="","",Paramètres!H24))</f>
        <v/>
      </c>
      <c r="D2130" s="18">
        <f>IF($A2130="","",IF(Paramètres!I24="","",Paramètres!I24))</f>
        <v/>
      </c>
      <c r="E2130" s="19">
        <f>IF($A2130="","",IF(Paramètres!J24&amp;Paramètres!L24&amp;Paramètres!N24="",Dossiers!$D$43,MAX(IF(Paramètres!J24="",0,IF(Paramètres!K24="",NA(),IF(LEFT(TRIM(Paramètres!K24),1)="F",INDEX($F$2111:$F$2163,MATCH(Paramètres!J24,Paramètres!$G$5:$G$57,0)),INDEX($E$2111:$E$2163,MATCH(Paramètres!J24,Paramètres!$G$5:$G$57,0)))+IF(RIGHT(TRIM(Paramètres!K24),3)="Fin",1-$H2130,IF(LEFT(TRIM(Paramètres!K24),1)="F",1,0)))),IF(Paramètres!L24="",0,IF(Paramètres!M24="",NA(),IF(LEFT(TRIM(Paramètres!M24),1)="F",INDEX($F$2111:$F$2163,MATCH(Paramètres!L24,Paramètres!$G$5:$G$57,0)),INDEX($E$2111:$E$2163,MATCH(Paramètres!L24,Paramètres!$G$5:$G$57,0)))+IF(RIGHT(TRIM(Paramètres!M24),3)="Fin",1-$H2130,IF(LEFT(TRIM(Paramètres!M24),1)="F",1,0)))),IF(Paramètres!N24="",0,IF(Paramètres!O24="",NA(),IF(LEFT(TRIM(Paramètres!O24),1)="F",INDEX($F$2111:$F$2163,MATCH(Paramètres!N24,Paramètres!$G$5:$G$57,0)),INDEX($E$2111:$E$2163,MATCH(Paramètres!N24,Paramètres!$G$5:$G$57,0)))+IF(RIGHT(TRIM(Paramètres!O24),3)="Fin",1-$H2130,IF(LEFT(TRIM(Paramètres!O24),1)="F",1,0)))))))</f>
        <v/>
      </c>
      <c r="F2130" s="19">
        <f>IF($A2130="","",E2130+$H2130-1)</f>
        <v/>
      </c>
      <c r="G2130" s="18" t="n"/>
      <c r="H2130" s="18">
        <f>IF($A2130="","",IF(I2130&lt;&gt;"",I2130,Paramètres!B24))</f>
        <v/>
      </c>
      <c r="I2130" s="18" t="n"/>
    </row>
    <row r="2131">
      <c r="A2131" s="18">
        <f>IF(ISNUMBER(Dossiers!$D$43),Dossiers!$A$43&amp;" · "&amp;Dossiers!$B$43,"")</f>
        <v/>
      </c>
      <c r="B2131" s="18">
        <f>IF($A2131="","",Paramètres!G25)</f>
        <v/>
      </c>
      <c r="C2131" s="18">
        <f>IF($A2131="","",IF(Paramètres!H25="","",Paramètres!H25))</f>
        <v/>
      </c>
      <c r="D2131" s="18">
        <f>IF($A2131="","",IF(Paramètres!I25="","",Paramètres!I25))</f>
        <v/>
      </c>
      <c r="E2131" s="19">
        <f>IF($A2131="","",IF(Paramètres!J25&amp;Paramètres!L25&amp;Paramètres!N25="",Dossiers!$D$43,MAX(IF(Paramètres!J25="",0,IF(Paramètres!K25="",NA(),IF(LEFT(TRIM(Paramètres!K25),1)="F",INDEX($F$2111:$F$2163,MATCH(Paramètres!J25,Paramètres!$G$5:$G$57,0)),INDEX($E$2111:$E$2163,MATCH(Paramètres!J25,Paramètres!$G$5:$G$57,0)))+IF(RIGHT(TRIM(Paramètres!K25),3)="Fin",1-$H2131,IF(LEFT(TRIM(Paramètres!K25),1)="F",1,0)))),IF(Paramètres!L25="",0,IF(Paramètres!M25="",NA(),IF(LEFT(TRIM(Paramètres!M25),1)="F",INDEX($F$2111:$F$2163,MATCH(Paramètres!L25,Paramètres!$G$5:$G$57,0)),INDEX($E$2111:$E$2163,MATCH(Paramètres!L25,Paramètres!$G$5:$G$57,0)))+IF(RIGHT(TRIM(Paramètres!M25),3)="Fin",1-$H2131,IF(LEFT(TRIM(Paramètres!M25),1)="F",1,0)))),IF(Paramètres!N25="",0,IF(Paramètres!O25="",NA(),IF(LEFT(TRIM(Paramètres!O25),1)="F",INDEX($F$2111:$F$2163,MATCH(Paramètres!N25,Paramètres!$G$5:$G$57,0)),INDEX($E$2111:$E$2163,MATCH(Paramètres!N25,Paramètres!$G$5:$G$57,0)))+IF(RIGHT(TRIM(Paramètres!O25),3)="Fin",1-$H2131,IF(LEFT(TRIM(Paramètres!O25),1)="F",1,0)))))))</f>
        <v/>
      </c>
      <c r="F2131" s="19">
        <f>IF($A2131="","",E2131+$H2131-1)</f>
        <v/>
      </c>
      <c r="G2131" s="18" t="n"/>
      <c r="H2131" s="18">
        <f>IF($A2131="","",IF(I2131&lt;&gt;"",I2131,Paramètres!B25))</f>
        <v/>
      </c>
      <c r="I2131" s="18" t="n"/>
    </row>
    <row r="2132">
      <c r="A2132" s="18">
        <f>IF(ISNUMBER(Dossiers!$D$43),Dossiers!$A$43&amp;" · "&amp;Dossiers!$B$43,"")</f>
        <v/>
      </c>
      <c r="B2132" s="18">
        <f>IF($A2132="","",Paramètres!G26)</f>
        <v/>
      </c>
      <c r="C2132" s="18">
        <f>IF($A2132="","",IF(Paramètres!H26="","",Paramètres!H26))</f>
        <v/>
      </c>
      <c r="D2132" s="18">
        <f>IF($A2132="","",IF(Paramètres!I26="","",Paramètres!I26))</f>
        <v/>
      </c>
      <c r="E2132" s="19">
        <f>IF($A2132="","",IF(Paramètres!J26&amp;Paramètres!L26&amp;Paramètres!N26="",Dossiers!$D$43,MAX(IF(Paramètres!J26="",0,IF(Paramètres!K26="",NA(),IF(LEFT(TRIM(Paramètres!K26),1)="F",INDEX($F$2111:$F$2163,MATCH(Paramètres!J26,Paramètres!$G$5:$G$57,0)),INDEX($E$2111:$E$2163,MATCH(Paramètres!J26,Paramètres!$G$5:$G$57,0)))+IF(RIGHT(TRIM(Paramètres!K26),3)="Fin",1-$H2132,IF(LEFT(TRIM(Paramètres!K26),1)="F",1,0)))),IF(Paramètres!L26="",0,IF(Paramètres!M26="",NA(),IF(LEFT(TRIM(Paramètres!M26),1)="F",INDEX($F$2111:$F$2163,MATCH(Paramètres!L26,Paramètres!$G$5:$G$57,0)),INDEX($E$2111:$E$2163,MATCH(Paramètres!L26,Paramètres!$G$5:$G$57,0)))+IF(RIGHT(TRIM(Paramètres!M26),3)="Fin",1-$H2132,IF(LEFT(TRIM(Paramètres!M26),1)="F",1,0)))),IF(Paramètres!N26="",0,IF(Paramètres!O26="",NA(),IF(LEFT(TRIM(Paramètres!O26),1)="F",INDEX($F$2111:$F$2163,MATCH(Paramètres!N26,Paramètres!$G$5:$G$57,0)),INDEX($E$2111:$E$2163,MATCH(Paramètres!N26,Paramètres!$G$5:$G$57,0)))+IF(RIGHT(TRIM(Paramètres!O26),3)="Fin",1-$H2132,IF(LEFT(TRIM(Paramètres!O26),1)="F",1,0)))))))</f>
        <v/>
      </c>
      <c r="F2132" s="19">
        <f>IF($A2132="","",E2132+$H2132-1)</f>
        <v/>
      </c>
      <c r="G2132" s="18" t="n"/>
      <c r="H2132" s="18">
        <f>IF($A2132="","",IF(I2132&lt;&gt;"",I2132,Paramètres!B26))</f>
        <v/>
      </c>
      <c r="I2132" s="18" t="n"/>
    </row>
    <row r="2133">
      <c r="A2133" s="18">
        <f>IF(ISNUMBER(Dossiers!$D$43),Dossiers!$A$43&amp;" · "&amp;Dossiers!$B$43,"")</f>
        <v/>
      </c>
      <c r="B2133" s="18">
        <f>IF($A2133="","",Paramètres!G27)</f>
        <v/>
      </c>
      <c r="C2133" s="18">
        <f>IF($A2133="","",IF(Paramètres!H27="","",Paramètres!H27))</f>
        <v/>
      </c>
      <c r="D2133" s="18">
        <f>IF($A2133="","",IF(Paramètres!I27="","",Paramètres!I27))</f>
        <v/>
      </c>
      <c r="E2133" s="19">
        <f>IF($A2133="","",IF(Paramètres!J27&amp;Paramètres!L27&amp;Paramètres!N27="",Dossiers!$D$43,MAX(IF(Paramètres!J27="",0,IF(Paramètres!K27="",NA(),IF(LEFT(TRIM(Paramètres!K27),1)="F",INDEX($F$2111:$F$2163,MATCH(Paramètres!J27,Paramètres!$G$5:$G$57,0)),INDEX($E$2111:$E$2163,MATCH(Paramètres!J27,Paramètres!$G$5:$G$57,0)))+IF(RIGHT(TRIM(Paramètres!K27),3)="Fin",1-$H2133,IF(LEFT(TRIM(Paramètres!K27),1)="F",1,0)))),IF(Paramètres!L27="",0,IF(Paramètres!M27="",NA(),IF(LEFT(TRIM(Paramètres!M27),1)="F",INDEX($F$2111:$F$2163,MATCH(Paramètres!L27,Paramètres!$G$5:$G$57,0)),INDEX($E$2111:$E$2163,MATCH(Paramètres!L27,Paramètres!$G$5:$G$57,0)))+IF(RIGHT(TRIM(Paramètres!M27),3)="Fin",1-$H2133,IF(LEFT(TRIM(Paramètres!M27),1)="F",1,0)))),IF(Paramètres!N27="",0,IF(Paramètres!O27="",NA(),IF(LEFT(TRIM(Paramètres!O27),1)="F",INDEX($F$2111:$F$2163,MATCH(Paramètres!N27,Paramètres!$G$5:$G$57,0)),INDEX($E$2111:$E$2163,MATCH(Paramètres!N27,Paramètres!$G$5:$G$57,0)))+IF(RIGHT(TRIM(Paramètres!O27),3)="Fin",1-$H2133,IF(LEFT(TRIM(Paramètres!O27),1)="F",1,0)))))))</f>
        <v/>
      </c>
      <c r="F2133" s="19">
        <f>IF($A2133="","",E2133+$H2133-1)</f>
        <v/>
      </c>
      <c r="G2133" s="18" t="n"/>
      <c r="H2133" s="18">
        <f>IF($A2133="","",IF(I2133&lt;&gt;"",I2133,Paramètres!B27))</f>
        <v/>
      </c>
      <c r="I2133" s="18" t="n"/>
    </row>
    <row r="2134">
      <c r="A2134" s="18">
        <f>IF(ISNUMBER(Dossiers!$D$43),Dossiers!$A$43&amp;" · "&amp;Dossiers!$B$43,"")</f>
        <v/>
      </c>
      <c r="B2134" s="18">
        <f>IF($A2134="","",Paramètres!G28)</f>
        <v/>
      </c>
      <c r="C2134" s="18">
        <f>IF($A2134="","",IF(Paramètres!H28="","",Paramètres!H28))</f>
        <v/>
      </c>
      <c r="D2134" s="18">
        <f>IF($A2134="","",IF(Paramètres!I28="","",Paramètres!I28))</f>
        <v/>
      </c>
      <c r="E2134" s="19">
        <f>IF($A2134="","",IF(Paramètres!J28&amp;Paramètres!L28&amp;Paramètres!N28="",Dossiers!$D$43,MAX(IF(Paramètres!J28="",0,IF(Paramètres!K28="",NA(),IF(LEFT(TRIM(Paramètres!K28),1)="F",INDEX($F$2111:$F$2163,MATCH(Paramètres!J28,Paramètres!$G$5:$G$57,0)),INDEX($E$2111:$E$2163,MATCH(Paramètres!J28,Paramètres!$G$5:$G$57,0)))+IF(RIGHT(TRIM(Paramètres!K28),3)="Fin",1-$H2134,IF(LEFT(TRIM(Paramètres!K28),1)="F",1,0)))),IF(Paramètres!L28="",0,IF(Paramètres!M28="",NA(),IF(LEFT(TRIM(Paramètres!M28),1)="F",INDEX($F$2111:$F$2163,MATCH(Paramètres!L28,Paramètres!$G$5:$G$57,0)),INDEX($E$2111:$E$2163,MATCH(Paramètres!L28,Paramètres!$G$5:$G$57,0)))+IF(RIGHT(TRIM(Paramètres!M28),3)="Fin",1-$H2134,IF(LEFT(TRIM(Paramètres!M28),1)="F",1,0)))),IF(Paramètres!N28="",0,IF(Paramètres!O28="",NA(),IF(LEFT(TRIM(Paramètres!O28),1)="F",INDEX($F$2111:$F$2163,MATCH(Paramètres!N28,Paramètres!$G$5:$G$57,0)),INDEX($E$2111:$E$2163,MATCH(Paramètres!N28,Paramètres!$G$5:$G$57,0)))+IF(RIGHT(TRIM(Paramètres!O28),3)="Fin",1-$H2134,IF(LEFT(TRIM(Paramètres!O28),1)="F",1,0)))))))</f>
        <v/>
      </c>
      <c r="F2134" s="19">
        <f>IF($A2134="","",E2134+$H2134-1)</f>
        <v/>
      </c>
      <c r="G2134" s="18" t="n"/>
      <c r="H2134" s="18">
        <f>IF($A2134="","",IF(I2134&lt;&gt;"",I2134,Paramètres!B28))</f>
        <v/>
      </c>
      <c r="I2134" s="18" t="n"/>
    </row>
    <row r="2135">
      <c r="A2135" s="18">
        <f>IF(ISNUMBER(Dossiers!$D$43),Dossiers!$A$43&amp;" · "&amp;Dossiers!$B$43,"")</f>
        <v/>
      </c>
      <c r="B2135" s="18">
        <f>IF($A2135="","",Paramètres!G29)</f>
        <v/>
      </c>
      <c r="C2135" s="18">
        <f>IF($A2135="","",IF(Paramètres!H29="","",Paramètres!H29))</f>
        <v/>
      </c>
      <c r="D2135" s="18">
        <f>IF($A2135="","",IF(Paramètres!I29="","",Paramètres!I29))</f>
        <v/>
      </c>
      <c r="E2135" s="19">
        <f>IF($A2135="","",IF(Paramètres!J29&amp;Paramètres!L29&amp;Paramètres!N29="",Dossiers!$D$43,MAX(IF(Paramètres!J29="",0,IF(Paramètres!K29="",NA(),IF(LEFT(TRIM(Paramètres!K29),1)="F",INDEX($F$2111:$F$2163,MATCH(Paramètres!J29,Paramètres!$G$5:$G$57,0)),INDEX($E$2111:$E$2163,MATCH(Paramètres!J29,Paramètres!$G$5:$G$57,0)))+IF(RIGHT(TRIM(Paramètres!K29),3)="Fin",1-$H2135,IF(LEFT(TRIM(Paramètres!K29),1)="F",1,0)))),IF(Paramètres!L29="",0,IF(Paramètres!M29="",NA(),IF(LEFT(TRIM(Paramètres!M29),1)="F",INDEX($F$2111:$F$2163,MATCH(Paramètres!L29,Paramètres!$G$5:$G$57,0)),INDEX($E$2111:$E$2163,MATCH(Paramètres!L29,Paramètres!$G$5:$G$57,0)))+IF(RIGHT(TRIM(Paramètres!M29),3)="Fin",1-$H2135,IF(LEFT(TRIM(Paramètres!M29),1)="F",1,0)))),IF(Paramètres!N29="",0,IF(Paramètres!O29="",NA(),IF(LEFT(TRIM(Paramètres!O29),1)="F",INDEX($F$2111:$F$2163,MATCH(Paramètres!N29,Paramètres!$G$5:$G$57,0)),INDEX($E$2111:$E$2163,MATCH(Paramètres!N29,Paramètres!$G$5:$G$57,0)))+IF(RIGHT(TRIM(Paramètres!O29),3)="Fin",1-$H2135,IF(LEFT(TRIM(Paramètres!O29),1)="F",1,0)))))))</f>
        <v/>
      </c>
      <c r="F2135" s="19">
        <f>IF($A2135="","",E2135+$H2135-1)</f>
        <v/>
      </c>
      <c r="G2135" s="18" t="n"/>
      <c r="H2135" s="18">
        <f>IF($A2135="","",IF(I2135&lt;&gt;"",I2135,Paramètres!B29))</f>
        <v/>
      </c>
      <c r="I2135" s="18" t="n"/>
    </row>
    <row r="2136">
      <c r="A2136" s="18">
        <f>IF(ISNUMBER(Dossiers!$D$43),Dossiers!$A$43&amp;" · "&amp;Dossiers!$B$43,"")</f>
        <v/>
      </c>
      <c r="B2136" s="18">
        <f>IF($A2136="","",Paramètres!G30)</f>
        <v/>
      </c>
      <c r="C2136" s="18">
        <f>IF($A2136="","",IF(Paramètres!H30="","",Paramètres!H30))</f>
        <v/>
      </c>
      <c r="D2136" s="18">
        <f>IF($A2136="","",IF(Paramètres!I30="","",Paramètres!I30))</f>
        <v/>
      </c>
      <c r="E2136" s="19">
        <f>IF($A2136="","",IF(Paramètres!J30&amp;Paramètres!L30&amp;Paramètres!N30="",Dossiers!$D$43,MAX(IF(Paramètres!J30="",0,IF(Paramètres!K30="",NA(),IF(LEFT(TRIM(Paramètres!K30),1)="F",INDEX($F$2111:$F$2163,MATCH(Paramètres!J30,Paramètres!$G$5:$G$57,0)),INDEX($E$2111:$E$2163,MATCH(Paramètres!J30,Paramètres!$G$5:$G$57,0)))+IF(RIGHT(TRIM(Paramètres!K30),3)="Fin",1-$H2136,IF(LEFT(TRIM(Paramètres!K30),1)="F",1,0)))),IF(Paramètres!L30="",0,IF(Paramètres!M30="",NA(),IF(LEFT(TRIM(Paramètres!M30),1)="F",INDEX($F$2111:$F$2163,MATCH(Paramètres!L30,Paramètres!$G$5:$G$57,0)),INDEX($E$2111:$E$2163,MATCH(Paramètres!L30,Paramètres!$G$5:$G$57,0)))+IF(RIGHT(TRIM(Paramètres!M30),3)="Fin",1-$H2136,IF(LEFT(TRIM(Paramètres!M30),1)="F",1,0)))),IF(Paramètres!N30="",0,IF(Paramètres!O30="",NA(),IF(LEFT(TRIM(Paramètres!O30),1)="F",INDEX($F$2111:$F$2163,MATCH(Paramètres!N30,Paramètres!$G$5:$G$57,0)),INDEX($E$2111:$E$2163,MATCH(Paramètres!N30,Paramètres!$G$5:$G$57,0)))+IF(RIGHT(TRIM(Paramètres!O30),3)="Fin",1-$H2136,IF(LEFT(TRIM(Paramètres!O30),1)="F",1,0)))))))</f>
        <v/>
      </c>
      <c r="F2136" s="19">
        <f>IF($A2136="","",E2136+$H2136-1)</f>
        <v/>
      </c>
      <c r="G2136" s="18" t="n"/>
      <c r="H2136" s="18">
        <f>IF($A2136="","",IF(I2136&lt;&gt;"",I2136,Paramètres!B30))</f>
        <v/>
      </c>
      <c r="I2136" s="18" t="n"/>
    </row>
    <row r="2137">
      <c r="A2137" s="18">
        <f>IF(ISNUMBER(Dossiers!$D$43),Dossiers!$A$43&amp;" · "&amp;Dossiers!$B$43,"")</f>
        <v/>
      </c>
      <c r="B2137" s="18">
        <f>IF($A2137="","",Paramètres!G31)</f>
        <v/>
      </c>
      <c r="C2137" s="20">
        <f>IF($A2137="","",IF(Dossiers!$F$43="","",Dossiers!$F$43))</f>
        <v/>
      </c>
      <c r="D2137" s="18">
        <f>IF($A2137="","",IF(Paramètres!I31="","",Paramètres!I31))</f>
        <v/>
      </c>
      <c r="E2137" s="19">
        <f>IF($A2137="","",IF(Paramètres!J31&amp;Paramètres!L31&amp;Paramètres!N31="",Dossiers!$D$43,MAX(IF(Paramètres!J31="",0,IF(Paramètres!K31="",NA(),IF(LEFT(TRIM(Paramètres!K31),1)="F",INDEX($F$2111:$F$2163,MATCH(Paramètres!J31,Paramètres!$G$5:$G$57,0)),INDEX($E$2111:$E$2163,MATCH(Paramètres!J31,Paramètres!$G$5:$G$57,0)))+IF(RIGHT(TRIM(Paramètres!K31),3)="Fin",1-$H2137,IF(LEFT(TRIM(Paramètres!K31),1)="F",1,0)))),IF(Paramètres!L31="",0,IF(Paramètres!M31="",NA(),IF(LEFT(TRIM(Paramètres!M31),1)="F",INDEX($F$2111:$F$2163,MATCH(Paramètres!L31,Paramètres!$G$5:$G$57,0)),INDEX($E$2111:$E$2163,MATCH(Paramètres!L31,Paramètres!$G$5:$G$57,0)))+IF(RIGHT(TRIM(Paramètres!M31),3)="Fin",1-$H2137,IF(LEFT(TRIM(Paramètres!M31),1)="F",1,0)))),IF(Paramètres!N31="",0,IF(Paramètres!O31="",NA(),IF(LEFT(TRIM(Paramètres!O31),1)="F",INDEX($F$2111:$F$2163,MATCH(Paramètres!N31,Paramètres!$G$5:$G$57,0)),INDEX($E$2111:$E$2163,MATCH(Paramètres!N31,Paramètres!$G$5:$G$57,0)))+IF(RIGHT(TRIM(Paramètres!O31),3)="Fin",1-$H2137,IF(LEFT(TRIM(Paramètres!O31),1)="F",1,0)))))))</f>
        <v/>
      </c>
      <c r="F2137" s="19">
        <f>IF($A2137="","",E2137+$H2137-1)</f>
        <v/>
      </c>
      <c r="G2137" s="18" t="n"/>
      <c r="H2137" s="18">
        <f>IF($A2137="","",IF(I2137&lt;&gt;"",I2137,Paramètres!B31))</f>
        <v/>
      </c>
      <c r="I2137" s="18" t="n"/>
    </row>
    <row r="2138">
      <c r="A2138" s="18">
        <f>IF(ISNUMBER(Dossiers!$D$43),Dossiers!$A$43&amp;" · "&amp;Dossiers!$B$43,"")</f>
        <v/>
      </c>
      <c r="B2138" s="18">
        <f>IF($A2138="","",Paramètres!G32)</f>
        <v/>
      </c>
      <c r="C2138" s="18">
        <f>IF($A2138="","",IF(Paramètres!H32="","",Paramètres!H32))</f>
        <v/>
      </c>
      <c r="D2138" s="18">
        <f>IF($A2138="","",IF(Paramètres!I32="","",Paramètres!I32))</f>
        <v/>
      </c>
      <c r="E2138" s="19">
        <f>IF($A2138="","",MIN(E2139:E2142))</f>
        <v/>
      </c>
      <c r="F2138" s="19">
        <f>IF($A2138="","",MAX(F2139:F2142))</f>
        <v/>
      </c>
      <c r="G2138" s="18" t="n"/>
      <c r="H2138" s="18">
        <f>IF($A2138="","",F2138-E2138+1)</f>
        <v/>
      </c>
      <c r="I2138" s="18" t="n"/>
    </row>
    <row r="2139">
      <c r="A2139" s="18">
        <f>IF(ISNUMBER(Dossiers!$D$43),Dossiers!$A$43&amp;" · "&amp;Dossiers!$B$43,"")</f>
        <v/>
      </c>
      <c r="B2139" s="18">
        <f>IF($A2139="","",Paramètres!G33)</f>
        <v/>
      </c>
      <c r="C2139" s="18">
        <f>IF($A2139="","",IF(Paramètres!H33="","",Paramètres!H33))</f>
        <v/>
      </c>
      <c r="D2139" s="18">
        <f>IF($A2139="","",IF(Paramètres!I33="","",Paramètres!I33))</f>
        <v/>
      </c>
      <c r="E2139" s="19">
        <f>IF($A2139="","",IF(Paramètres!J33&amp;Paramètres!L33&amp;Paramètres!N33="",Dossiers!$D$43,MAX(IF(Paramètres!J33="",0,IF(Paramètres!K33="",NA(),IF(LEFT(TRIM(Paramètres!K33),1)="F",INDEX($F$2111:$F$2163,MATCH(Paramètres!J33,Paramètres!$G$5:$G$57,0)),INDEX($E$2111:$E$2163,MATCH(Paramètres!J33,Paramètres!$G$5:$G$57,0)))+IF(RIGHT(TRIM(Paramètres!K33),3)="Fin",1-$H2139,IF(LEFT(TRIM(Paramètres!K33),1)="F",1,0)))),IF(Paramètres!L33="",0,IF(Paramètres!M33="",NA(),IF(LEFT(TRIM(Paramètres!M33),1)="F",INDEX($F$2111:$F$2163,MATCH(Paramètres!L33,Paramètres!$G$5:$G$57,0)),INDEX($E$2111:$E$2163,MATCH(Paramètres!L33,Paramètres!$G$5:$G$57,0)))+IF(RIGHT(TRIM(Paramètres!M33),3)="Fin",1-$H2139,IF(LEFT(TRIM(Paramètres!M33),1)="F",1,0)))),IF(Paramètres!N33="",0,IF(Paramètres!O33="",NA(),IF(LEFT(TRIM(Paramètres!O33),1)="F",INDEX($F$2111:$F$2163,MATCH(Paramètres!N33,Paramètres!$G$5:$G$57,0)),INDEX($E$2111:$E$2163,MATCH(Paramètres!N33,Paramètres!$G$5:$G$57,0)))+IF(RIGHT(TRIM(Paramètres!O33),3)="Fin",1-$H2139,IF(LEFT(TRIM(Paramètres!O33),1)="F",1,0)))))))</f>
        <v/>
      </c>
      <c r="F2139" s="19">
        <f>IF($A2139="","",E2139+$H2139-1)</f>
        <v/>
      </c>
      <c r="G2139" s="18" t="n"/>
      <c r="H2139" s="18">
        <f>IF($A2139="","",IF(I2139&lt;&gt;"",I2139,Paramètres!B33))</f>
        <v/>
      </c>
      <c r="I2139" s="18" t="n"/>
    </row>
    <row r="2140">
      <c r="A2140" s="18">
        <f>IF(ISNUMBER(Dossiers!$D$43),Dossiers!$A$43&amp;" · "&amp;Dossiers!$B$43,"")</f>
        <v/>
      </c>
      <c r="B2140" s="18">
        <f>IF($A2140="","",Paramètres!G34)</f>
        <v/>
      </c>
      <c r="C2140" s="18">
        <f>IF($A2140="","",IF(Paramètres!H34="","",Paramètres!H34))</f>
        <v/>
      </c>
      <c r="D2140" s="18">
        <f>IF($A2140="","",IF(Paramètres!I34="","",Paramètres!I34))</f>
        <v/>
      </c>
      <c r="E2140" s="19">
        <f>IF($A2140="","",IF(Paramètres!J34&amp;Paramètres!L34&amp;Paramètres!N34="",Dossiers!$D$43,MAX(IF(Paramètres!J34="",0,IF(Paramètres!K34="",NA(),IF(LEFT(TRIM(Paramètres!K34),1)="F",INDEX($F$2111:$F$2163,MATCH(Paramètres!J34,Paramètres!$G$5:$G$57,0)),INDEX($E$2111:$E$2163,MATCH(Paramètres!J34,Paramètres!$G$5:$G$57,0)))+IF(RIGHT(TRIM(Paramètres!K34),3)="Fin",1-$H2140,IF(LEFT(TRIM(Paramètres!K34),1)="F",1,0)))),IF(Paramètres!L34="",0,IF(Paramètres!M34="",NA(),IF(LEFT(TRIM(Paramètres!M34),1)="F",INDEX($F$2111:$F$2163,MATCH(Paramètres!L34,Paramètres!$G$5:$G$57,0)),INDEX($E$2111:$E$2163,MATCH(Paramètres!L34,Paramètres!$G$5:$G$57,0)))+IF(RIGHT(TRIM(Paramètres!M34),3)="Fin",1-$H2140,IF(LEFT(TRIM(Paramètres!M34),1)="F",1,0)))),IF(Paramètres!N34="",0,IF(Paramètres!O34="",NA(),IF(LEFT(TRIM(Paramètres!O34),1)="F",INDEX($F$2111:$F$2163,MATCH(Paramètres!N34,Paramètres!$G$5:$G$57,0)),INDEX($E$2111:$E$2163,MATCH(Paramètres!N34,Paramètres!$G$5:$G$57,0)))+IF(RIGHT(TRIM(Paramètres!O34),3)="Fin",1-$H2140,IF(LEFT(TRIM(Paramètres!O34),1)="F",1,0)))))))</f>
        <v/>
      </c>
      <c r="F2140" s="19">
        <f>IF($A2140="","",E2140+$H2140-1)</f>
        <v/>
      </c>
      <c r="G2140" s="18" t="n"/>
      <c r="H2140" s="18">
        <f>IF($A2140="","",IF(I2140&lt;&gt;"",I2140,Paramètres!B34))</f>
        <v/>
      </c>
      <c r="I2140" s="18" t="n"/>
    </row>
    <row r="2141">
      <c r="A2141" s="18">
        <f>IF(ISNUMBER(Dossiers!$D$43),Dossiers!$A$43&amp;" · "&amp;Dossiers!$B$43,"")</f>
        <v/>
      </c>
      <c r="B2141" s="18">
        <f>IF($A2141="","",Paramètres!G35)</f>
        <v/>
      </c>
      <c r="C2141" s="18">
        <f>IF($A2141="","",IF(Paramètres!H35="","",Paramètres!H35))</f>
        <v/>
      </c>
      <c r="D2141" s="18">
        <f>IF($A2141="","",IF(Paramètres!I35="","",Paramètres!I35))</f>
        <v/>
      </c>
      <c r="E2141" s="19">
        <f>IF($A2141="","",IF(Paramètres!J35&amp;Paramètres!L35&amp;Paramètres!N35="",Dossiers!$D$43,MAX(IF(Paramètres!J35="",0,IF(Paramètres!K35="",NA(),IF(LEFT(TRIM(Paramètres!K35),1)="F",INDEX($F$2111:$F$2163,MATCH(Paramètres!J35,Paramètres!$G$5:$G$57,0)),INDEX($E$2111:$E$2163,MATCH(Paramètres!J35,Paramètres!$G$5:$G$57,0)))+IF(RIGHT(TRIM(Paramètres!K35),3)="Fin",1-$H2141,IF(LEFT(TRIM(Paramètres!K35),1)="F",1,0)))),IF(Paramètres!L35="",0,IF(Paramètres!M35="",NA(),IF(LEFT(TRIM(Paramètres!M35),1)="F",INDEX($F$2111:$F$2163,MATCH(Paramètres!L35,Paramètres!$G$5:$G$57,0)),INDEX($E$2111:$E$2163,MATCH(Paramètres!L35,Paramètres!$G$5:$G$57,0)))+IF(RIGHT(TRIM(Paramètres!M35),3)="Fin",1-$H2141,IF(LEFT(TRIM(Paramètres!M35),1)="F",1,0)))),IF(Paramètres!N35="",0,IF(Paramètres!O35="",NA(),IF(LEFT(TRIM(Paramètres!O35),1)="F",INDEX($F$2111:$F$2163,MATCH(Paramètres!N35,Paramètres!$G$5:$G$57,0)),INDEX($E$2111:$E$2163,MATCH(Paramètres!N35,Paramètres!$G$5:$G$57,0)))+IF(RIGHT(TRIM(Paramètres!O35),3)="Fin",1-$H2141,IF(LEFT(TRIM(Paramètres!O35),1)="F",1,0)))))))</f>
        <v/>
      </c>
      <c r="F2141" s="19">
        <f>IF($A2141="","",E2141+$H2141-1)</f>
        <v/>
      </c>
      <c r="G2141" s="18" t="n"/>
      <c r="H2141" s="18">
        <f>IF($A2141="","",IF(I2141&lt;&gt;"",I2141,Paramètres!B35))</f>
        <v/>
      </c>
      <c r="I2141" s="18" t="n"/>
    </row>
    <row r="2142">
      <c r="A2142" s="18">
        <f>IF(ISNUMBER(Dossiers!$D$43),Dossiers!$A$43&amp;" · "&amp;Dossiers!$B$43,"")</f>
        <v/>
      </c>
      <c r="B2142" s="18">
        <f>IF($A2142="","",Paramètres!G36)</f>
        <v/>
      </c>
      <c r="C2142" s="18">
        <f>IF($A2142="","",IF(Paramètres!H36="","",Paramètres!H36))</f>
        <v/>
      </c>
      <c r="D2142" s="18">
        <f>IF($A2142="","",IF(Paramètres!I36="","",Paramètres!I36))</f>
        <v/>
      </c>
      <c r="E2142" s="19">
        <f>IF($A2142="","",IF(Paramètres!J36&amp;Paramètres!L36&amp;Paramètres!N36="",Dossiers!$D$43,MAX(IF(Paramètres!J36="",0,IF(Paramètres!K36="",NA(),IF(LEFT(TRIM(Paramètres!K36),1)="F",INDEX($F$2111:$F$2163,MATCH(Paramètres!J36,Paramètres!$G$5:$G$57,0)),INDEX($E$2111:$E$2163,MATCH(Paramètres!J36,Paramètres!$G$5:$G$57,0)))+IF(RIGHT(TRIM(Paramètres!K36),3)="Fin",1-$H2142,IF(LEFT(TRIM(Paramètres!K36),1)="F",1,0)))),IF(Paramètres!L36="",0,IF(Paramètres!M36="",NA(),IF(LEFT(TRIM(Paramètres!M36),1)="F",INDEX($F$2111:$F$2163,MATCH(Paramètres!L36,Paramètres!$G$5:$G$57,0)),INDEX($E$2111:$E$2163,MATCH(Paramètres!L36,Paramètres!$G$5:$G$57,0)))+IF(RIGHT(TRIM(Paramètres!M36),3)="Fin",1-$H2142,IF(LEFT(TRIM(Paramètres!M36),1)="F",1,0)))),IF(Paramètres!N36="",0,IF(Paramètres!O36="",NA(),IF(LEFT(TRIM(Paramètres!O36),1)="F",INDEX($F$2111:$F$2163,MATCH(Paramètres!N36,Paramètres!$G$5:$G$57,0)),INDEX($E$2111:$E$2163,MATCH(Paramètres!N36,Paramètres!$G$5:$G$57,0)))+IF(RIGHT(TRIM(Paramètres!O36),3)="Fin",1-$H2142,IF(LEFT(TRIM(Paramètres!O36),1)="F",1,0)))))))</f>
        <v/>
      </c>
      <c r="F2142" s="19">
        <f>IF($A2142="","",E2142+$H2142-1)</f>
        <v/>
      </c>
      <c r="G2142" s="18" t="n"/>
      <c r="H2142" s="18">
        <f>IF($A2142="","",IF(I2142&lt;&gt;"",I2142,Paramètres!B36))</f>
        <v/>
      </c>
      <c r="I2142" s="18" t="n"/>
    </row>
    <row r="2143">
      <c r="A2143" s="18">
        <f>IF(ISNUMBER(Dossiers!$D$43),Dossiers!$A$43&amp;" · "&amp;Dossiers!$B$43,"")</f>
        <v/>
      </c>
      <c r="B2143" s="18">
        <f>IF($A2143="","",Paramètres!G37)</f>
        <v/>
      </c>
      <c r="C2143" s="18">
        <f>IF($A2143="","",IF(Paramètres!H37="","",Paramètres!H37))</f>
        <v/>
      </c>
      <c r="D2143" s="18">
        <f>IF($A2143="","",IF(Paramètres!I37="","",Paramètres!I37))</f>
        <v/>
      </c>
      <c r="E2143" s="19">
        <f>IF($A2143="","",MIN(E2144:E2161))</f>
        <v/>
      </c>
      <c r="F2143" s="19">
        <f>IF($A2143="","",MAX(F2144:F2161))</f>
        <v/>
      </c>
      <c r="G2143" s="18" t="n"/>
      <c r="H2143" s="18">
        <f>IF($A2143="","",F2143-E2143+1)</f>
        <v/>
      </c>
      <c r="I2143" s="18" t="n"/>
    </row>
    <row r="2144">
      <c r="A2144" s="18">
        <f>IF(ISNUMBER(Dossiers!$D$43),Dossiers!$A$43&amp;" · "&amp;Dossiers!$B$43,"")</f>
        <v/>
      </c>
      <c r="B2144" s="18">
        <f>IF($A2144="","",Paramètres!G38)</f>
        <v/>
      </c>
      <c r="C2144" s="18">
        <f>IF($A2144="","",IF(Paramètres!H38="","",Paramètres!H38))</f>
        <v/>
      </c>
      <c r="D2144" s="18">
        <f>IF($A2144="","",IF(Paramètres!I38="","",Paramètres!I38))</f>
        <v/>
      </c>
      <c r="E2144" s="19">
        <f>IF($A2144="","",IF(Paramètres!J38&amp;Paramètres!L38&amp;Paramètres!N38="",Dossiers!$D$43,MAX(IF(Paramètres!J38="",0,IF(Paramètres!K38="",NA(),IF(LEFT(TRIM(Paramètres!K38),1)="F",INDEX($F$2111:$F$2163,MATCH(Paramètres!J38,Paramètres!$G$5:$G$57,0)),INDEX($E$2111:$E$2163,MATCH(Paramètres!J38,Paramètres!$G$5:$G$57,0)))+IF(RIGHT(TRIM(Paramètres!K38),3)="Fin",1-$H2144,IF(LEFT(TRIM(Paramètres!K38),1)="F",1,0)))),IF(Paramètres!L38="",0,IF(Paramètres!M38="",NA(),IF(LEFT(TRIM(Paramètres!M38),1)="F",INDEX($F$2111:$F$2163,MATCH(Paramètres!L38,Paramètres!$G$5:$G$57,0)),INDEX($E$2111:$E$2163,MATCH(Paramètres!L38,Paramètres!$G$5:$G$57,0)))+IF(RIGHT(TRIM(Paramètres!M38),3)="Fin",1-$H2144,IF(LEFT(TRIM(Paramètres!M38),1)="F",1,0)))),IF(Paramètres!N38="",0,IF(Paramètres!O38="",NA(),IF(LEFT(TRIM(Paramètres!O38),1)="F",INDEX($F$2111:$F$2163,MATCH(Paramètres!N38,Paramètres!$G$5:$G$57,0)),INDEX($E$2111:$E$2163,MATCH(Paramètres!N38,Paramètres!$G$5:$G$57,0)))+IF(RIGHT(TRIM(Paramètres!O38),3)="Fin",1-$H2144,IF(LEFT(TRIM(Paramètres!O38),1)="F",1,0)))))))</f>
        <v/>
      </c>
      <c r="F2144" s="19">
        <f>IF($A2144="","",E2144+$H2144-1)</f>
        <v/>
      </c>
      <c r="G2144" s="18" t="n"/>
      <c r="H2144" s="18">
        <f>IF($A2144="","",IF(I2144&lt;&gt;"",I2144,Paramètres!B38))</f>
        <v/>
      </c>
      <c r="I2144" s="18" t="n"/>
    </row>
    <row r="2145">
      <c r="A2145" s="18">
        <f>IF(ISNUMBER(Dossiers!$D$43),Dossiers!$A$43&amp;" · "&amp;Dossiers!$B$43,"")</f>
        <v/>
      </c>
      <c r="B2145" s="18">
        <f>IF($A2145="","",Paramètres!G39)</f>
        <v/>
      </c>
      <c r="C2145" s="18">
        <f>IF($A2145="","",IF(Paramètres!H39="","",Paramètres!H39))</f>
        <v/>
      </c>
      <c r="D2145" s="18">
        <f>IF($A2145="","",IF(Paramètres!I39="","",Paramètres!I39))</f>
        <v/>
      </c>
      <c r="E2145" s="19">
        <f>IF($A2145="","",IF(Paramètres!J39&amp;Paramètres!L39&amp;Paramètres!N39="",Dossiers!$D$43,MAX(IF(Paramètres!J39="",0,IF(Paramètres!K39="",NA(),IF(LEFT(TRIM(Paramètres!K39),1)="F",INDEX($F$2111:$F$2163,MATCH(Paramètres!J39,Paramètres!$G$5:$G$57,0)),INDEX($E$2111:$E$2163,MATCH(Paramètres!J39,Paramètres!$G$5:$G$57,0)))+IF(RIGHT(TRIM(Paramètres!K39),3)="Fin",1-$H2145,IF(LEFT(TRIM(Paramètres!K39),1)="F",1,0)))),IF(Paramètres!L39="",0,IF(Paramètres!M39="",NA(),IF(LEFT(TRIM(Paramètres!M39),1)="F",INDEX($F$2111:$F$2163,MATCH(Paramètres!L39,Paramètres!$G$5:$G$57,0)),INDEX($E$2111:$E$2163,MATCH(Paramètres!L39,Paramètres!$G$5:$G$57,0)))+IF(RIGHT(TRIM(Paramètres!M39),3)="Fin",1-$H2145,IF(LEFT(TRIM(Paramètres!M39),1)="F",1,0)))),IF(Paramètres!N39="",0,IF(Paramètres!O39="",NA(),IF(LEFT(TRIM(Paramètres!O39),1)="F",INDEX($F$2111:$F$2163,MATCH(Paramètres!N39,Paramètres!$G$5:$G$57,0)),INDEX($E$2111:$E$2163,MATCH(Paramètres!N39,Paramètres!$G$5:$G$57,0)))+IF(RIGHT(TRIM(Paramètres!O39),3)="Fin",1-$H2145,IF(LEFT(TRIM(Paramètres!O39),1)="F",1,0)))))))</f>
        <v/>
      </c>
      <c r="F2145" s="19">
        <f>IF($A2145="","",E2145+$H2145-1)</f>
        <v/>
      </c>
      <c r="G2145" s="18" t="n"/>
      <c r="H2145" s="18">
        <f>IF($A2145="","",IF(I2145&lt;&gt;"",I2145,Paramètres!B39))</f>
        <v/>
      </c>
      <c r="I2145" s="18" t="n"/>
    </row>
    <row r="2146">
      <c r="A2146" s="18">
        <f>IF(ISNUMBER(Dossiers!$D$43),Dossiers!$A$43&amp;" · "&amp;Dossiers!$B$43,"")</f>
        <v/>
      </c>
      <c r="B2146" s="18">
        <f>IF($A2146="","",Paramètres!G40)</f>
        <v/>
      </c>
      <c r="C2146" s="18">
        <f>IF($A2146="","",IF(Paramètres!H40="","",Paramètres!H40))</f>
        <v/>
      </c>
      <c r="D2146" s="18">
        <f>IF($A2146="","",IF(Paramètres!I40="","",Paramètres!I40))</f>
        <v/>
      </c>
      <c r="E2146" s="19">
        <f>IF($A2146="","",IF(Paramètres!J40&amp;Paramètres!L40&amp;Paramètres!N40="",Dossiers!$D$43,MAX(IF(Paramètres!J40="",0,IF(Paramètres!K40="",NA(),IF(LEFT(TRIM(Paramètres!K40),1)="F",INDEX($F$2111:$F$2163,MATCH(Paramètres!J40,Paramètres!$G$5:$G$57,0)),INDEX($E$2111:$E$2163,MATCH(Paramètres!J40,Paramètres!$G$5:$G$57,0)))+IF(RIGHT(TRIM(Paramètres!K40),3)="Fin",1-$H2146,IF(LEFT(TRIM(Paramètres!K40),1)="F",1,0)))),IF(Paramètres!L40="",0,IF(Paramètres!M40="",NA(),IF(LEFT(TRIM(Paramètres!M40),1)="F",INDEX($F$2111:$F$2163,MATCH(Paramètres!L40,Paramètres!$G$5:$G$57,0)),INDEX($E$2111:$E$2163,MATCH(Paramètres!L40,Paramètres!$G$5:$G$57,0)))+IF(RIGHT(TRIM(Paramètres!M40),3)="Fin",1-$H2146,IF(LEFT(TRIM(Paramètres!M40),1)="F",1,0)))),IF(Paramètres!N40="",0,IF(Paramètres!O40="",NA(),IF(LEFT(TRIM(Paramètres!O40),1)="F",INDEX($F$2111:$F$2163,MATCH(Paramètres!N40,Paramètres!$G$5:$G$57,0)),INDEX($E$2111:$E$2163,MATCH(Paramètres!N40,Paramètres!$G$5:$G$57,0)))+IF(RIGHT(TRIM(Paramètres!O40),3)="Fin",1-$H2146,IF(LEFT(TRIM(Paramètres!O40),1)="F",1,0)))))))</f>
        <v/>
      </c>
      <c r="F2146" s="19">
        <f>IF($A2146="","",E2146+$H2146-1)</f>
        <v/>
      </c>
      <c r="G2146" s="18" t="n"/>
      <c r="H2146" s="18">
        <f>IF($A2146="","",IF(I2146&lt;&gt;"",I2146,Paramètres!B40))</f>
        <v/>
      </c>
      <c r="I2146" s="18" t="n"/>
    </row>
    <row r="2147">
      <c r="A2147" s="18">
        <f>IF(ISNUMBER(Dossiers!$D$43),Dossiers!$A$43&amp;" · "&amp;Dossiers!$B$43,"")</f>
        <v/>
      </c>
      <c r="B2147" s="18">
        <f>IF($A2147="","",Paramètres!G41)</f>
        <v/>
      </c>
      <c r="C2147" s="18">
        <f>IF($A2147="","",IF(Paramètres!H41="","",Paramètres!H41))</f>
        <v/>
      </c>
      <c r="D2147" s="18">
        <f>IF($A2147="","",IF(Paramètres!I41="","",Paramètres!I41))</f>
        <v/>
      </c>
      <c r="E2147" s="19">
        <f>IF($A2147="","",IF(Paramètres!J41&amp;Paramètres!L41&amp;Paramètres!N41="",Dossiers!$D$43,MAX(IF(Paramètres!J41="",0,IF(Paramètres!K41="",NA(),IF(LEFT(TRIM(Paramètres!K41),1)="F",INDEX($F$2111:$F$2163,MATCH(Paramètres!J41,Paramètres!$G$5:$G$57,0)),INDEX($E$2111:$E$2163,MATCH(Paramètres!J41,Paramètres!$G$5:$G$57,0)))+IF(RIGHT(TRIM(Paramètres!K41),3)="Fin",1-$H2147,IF(LEFT(TRIM(Paramètres!K41),1)="F",1,0)))),IF(Paramètres!L41="",0,IF(Paramètres!M41="",NA(),IF(LEFT(TRIM(Paramètres!M41),1)="F",INDEX($F$2111:$F$2163,MATCH(Paramètres!L41,Paramètres!$G$5:$G$57,0)),INDEX($E$2111:$E$2163,MATCH(Paramètres!L41,Paramètres!$G$5:$G$57,0)))+IF(RIGHT(TRIM(Paramètres!M41),3)="Fin",1-$H2147,IF(LEFT(TRIM(Paramètres!M41),1)="F",1,0)))),IF(Paramètres!N41="",0,IF(Paramètres!O41="",NA(),IF(LEFT(TRIM(Paramètres!O41),1)="F",INDEX($F$2111:$F$2163,MATCH(Paramètres!N41,Paramètres!$G$5:$G$57,0)),INDEX($E$2111:$E$2163,MATCH(Paramètres!N41,Paramètres!$G$5:$G$57,0)))+IF(RIGHT(TRIM(Paramètres!O41),3)="Fin",1-$H2147,IF(LEFT(TRIM(Paramètres!O41),1)="F",1,0)))))))</f>
        <v/>
      </c>
      <c r="F2147" s="19">
        <f>IF($A2147="","",E2147+$H2147-1)</f>
        <v/>
      </c>
      <c r="G2147" s="18" t="n"/>
      <c r="H2147" s="18">
        <f>IF($A2147="","",IF(I2147&lt;&gt;"",I2147,Paramètres!B41))</f>
        <v/>
      </c>
      <c r="I2147" s="18" t="n"/>
    </row>
    <row r="2148">
      <c r="A2148" s="18">
        <f>IF(ISNUMBER(Dossiers!$D$43),Dossiers!$A$43&amp;" · "&amp;Dossiers!$B$43,"")</f>
        <v/>
      </c>
      <c r="B2148" s="18">
        <f>IF($A2148="","",Paramètres!G42)</f>
        <v/>
      </c>
      <c r="C2148" s="18">
        <f>IF($A2148="","",IF(Paramètres!H42="","",Paramètres!H42))</f>
        <v/>
      </c>
      <c r="D2148" s="18">
        <f>IF($A2148="","",IF(Paramètres!I42="","",Paramètres!I42))</f>
        <v/>
      </c>
      <c r="E2148" s="19">
        <f>IF($A2148="","",IF(Paramètres!J42&amp;Paramètres!L42&amp;Paramètres!N42="",Dossiers!$D$43,MAX(IF(Paramètres!J42="",0,IF(Paramètres!K42="",NA(),IF(LEFT(TRIM(Paramètres!K42),1)="F",INDEX($F$2111:$F$2163,MATCH(Paramètres!J42,Paramètres!$G$5:$G$57,0)),INDEX($E$2111:$E$2163,MATCH(Paramètres!J42,Paramètres!$G$5:$G$57,0)))+IF(RIGHT(TRIM(Paramètres!K42),3)="Fin",1-$H2148,IF(LEFT(TRIM(Paramètres!K42),1)="F",1,0)))),IF(Paramètres!L42="",0,IF(Paramètres!M42="",NA(),IF(LEFT(TRIM(Paramètres!M42),1)="F",INDEX($F$2111:$F$2163,MATCH(Paramètres!L42,Paramètres!$G$5:$G$57,0)),INDEX($E$2111:$E$2163,MATCH(Paramètres!L42,Paramètres!$G$5:$G$57,0)))+IF(RIGHT(TRIM(Paramètres!M42),3)="Fin",1-$H2148,IF(LEFT(TRIM(Paramètres!M42),1)="F",1,0)))),IF(Paramètres!N42="",0,IF(Paramètres!O42="",NA(),IF(LEFT(TRIM(Paramètres!O42),1)="F",INDEX($F$2111:$F$2163,MATCH(Paramètres!N42,Paramètres!$G$5:$G$57,0)),INDEX($E$2111:$E$2163,MATCH(Paramètres!N42,Paramètres!$G$5:$G$57,0)))+IF(RIGHT(TRIM(Paramètres!O42),3)="Fin",1-$H2148,IF(LEFT(TRIM(Paramètres!O42),1)="F",1,0)))))))</f>
        <v/>
      </c>
      <c r="F2148" s="19">
        <f>IF($A2148="","",E2148+$H2148-1)</f>
        <v/>
      </c>
      <c r="G2148" s="18" t="n"/>
      <c r="H2148" s="18">
        <f>IF($A2148="","",IF(I2148&lt;&gt;"",I2148,Paramètres!B42))</f>
        <v/>
      </c>
      <c r="I2148" s="18" t="n"/>
    </row>
    <row r="2149">
      <c r="A2149" s="18">
        <f>IF(ISNUMBER(Dossiers!$D$43),Dossiers!$A$43&amp;" · "&amp;Dossiers!$B$43,"")</f>
        <v/>
      </c>
      <c r="B2149" s="18">
        <f>IF($A2149="","",Paramètres!G43)</f>
        <v/>
      </c>
      <c r="C2149" s="18">
        <f>IF($A2149="","",IF(Paramètres!H43="","",Paramètres!H43))</f>
        <v/>
      </c>
      <c r="D2149" s="18">
        <f>IF($A2149="","",IF(Paramètres!I43="","",Paramètres!I43))</f>
        <v/>
      </c>
      <c r="E2149" s="19">
        <f>IF($A2149="","",IF(Paramètres!J43&amp;Paramètres!L43&amp;Paramètres!N43="",Dossiers!$D$43,MAX(IF(Paramètres!J43="",0,IF(Paramètres!K43="",NA(),IF(LEFT(TRIM(Paramètres!K43),1)="F",INDEX($F$2111:$F$2163,MATCH(Paramètres!J43,Paramètres!$G$5:$G$57,0)),INDEX($E$2111:$E$2163,MATCH(Paramètres!J43,Paramètres!$G$5:$G$57,0)))+IF(RIGHT(TRIM(Paramètres!K43),3)="Fin",1-$H2149,IF(LEFT(TRIM(Paramètres!K43),1)="F",1,0)))),IF(Paramètres!L43="",0,IF(Paramètres!M43="",NA(),IF(LEFT(TRIM(Paramètres!M43),1)="F",INDEX($F$2111:$F$2163,MATCH(Paramètres!L43,Paramètres!$G$5:$G$57,0)),INDEX($E$2111:$E$2163,MATCH(Paramètres!L43,Paramètres!$G$5:$G$57,0)))+IF(RIGHT(TRIM(Paramètres!M43),3)="Fin",1-$H2149,IF(LEFT(TRIM(Paramètres!M43),1)="F",1,0)))),IF(Paramètres!N43="",0,IF(Paramètres!O43="",NA(),IF(LEFT(TRIM(Paramètres!O43),1)="F",INDEX($F$2111:$F$2163,MATCH(Paramètres!N43,Paramètres!$G$5:$G$57,0)),INDEX($E$2111:$E$2163,MATCH(Paramètres!N43,Paramètres!$G$5:$G$57,0)))+IF(RIGHT(TRIM(Paramètres!O43),3)="Fin",1-$H2149,IF(LEFT(TRIM(Paramètres!O43),1)="F",1,0)))))))</f>
        <v/>
      </c>
      <c r="F2149" s="19">
        <f>IF($A2149="","",E2149+$H2149-1)</f>
        <v/>
      </c>
      <c r="G2149" s="18" t="n"/>
      <c r="H2149" s="18">
        <f>IF($A2149="","",IF(I2149&lt;&gt;"",I2149,Paramètres!B43))</f>
        <v/>
      </c>
      <c r="I2149" s="18" t="n"/>
    </row>
    <row r="2150">
      <c r="A2150" s="18">
        <f>IF(ISNUMBER(Dossiers!$D$43),Dossiers!$A$43&amp;" · "&amp;Dossiers!$B$43,"")</f>
        <v/>
      </c>
      <c r="B2150" s="18">
        <f>IF($A2150="","",Paramètres!G44)</f>
        <v/>
      </c>
      <c r="C2150" s="18">
        <f>IF($A2150="","",IF(Paramètres!H44="","",Paramètres!H44))</f>
        <v/>
      </c>
      <c r="D2150" s="18">
        <f>IF($A2150="","",IF(Paramètres!I44="","",Paramètres!I44))</f>
        <v/>
      </c>
      <c r="E2150" s="19">
        <f>IF($A2150="","",IF(Paramètres!J44&amp;Paramètres!L44&amp;Paramètres!N44="",Dossiers!$D$43,MAX(IF(Paramètres!J44="",0,IF(Paramètres!K44="",NA(),IF(LEFT(TRIM(Paramètres!K44),1)="F",INDEX($F$2111:$F$2163,MATCH(Paramètres!J44,Paramètres!$G$5:$G$57,0)),INDEX($E$2111:$E$2163,MATCH(Paramètres!J44,Paramètres!$G$5:$G$57,0)))+IF(RIGHT(TRIM(Paramètres!K44),3)="Fin",1-$H2150,IF(LEFT(TRIM(Paramètres!K44),1)="F",1,0)))),IF(Paramètres!L44="",0,IF(Paramètres!M44="",NA(),IF(LEFT(TRIM(Paramètres!M44),1)="F",INDEX($F$2111:$F$2163,MATCH(Paramètres!L44,Paramètres!$G$5:$G$57,0)),INDEX($E$2111:$E$2163,MATCH(Paramètres!L44,Paramètres!$G$5:$G$57,0)))+IF(RIGHT(TRIM(Paramètres!M44),3)="Fin",1-$H2150,IF(LEFT(TRIM(Paramètres!M44),1)="F",1,0)))),IF(Paramètres!N44="",0,IF(Paramètres!O44="",NA(),IF(LEFT(TRIM(Paramètres!O44),1)="F",INDEX($F$2111:$F$2163,MATCH(Paramètres!N44,Paramètres!$G$5:$G$57,0)),INDEX($E$2111:$E$2163,MATCH(Paramètres!N44,Paramètres!$G$5:$G$57,0)))+IF(RIGHT(TRIM(Paramètres!O44),3)="Fin",1-$H2150,IF(LEFT(TRIM(Paramètres!O44),1)="F",1,0)))))))</f>
        <v/>
      </c>
      <c r="F2150" s="19">
        <f>IF($A2150="","",E2150+$H2150-1)</f>
        <v/>
      </c>
      <c r="G2150" s="18" t="n"/>
      <c r="H2150" s="18">
        <f>IF($A2150="","",IF(I2150&lt;&gt;"",I2150,Paramètres!B44))</f>
        <v/>
      </c>
      <c r="I2150" s="18" t="n"/>
    </row>
    <row r="2151">
      <c r="A2151" s="18">
        <f>IF(ISNUMBER(Dossiers!$D$43),Dossiers!$A$43&amp;" · "&amp;Dossiers!$B$43,"")</f>
        <v/>
      </c>
      <c r="B2151" s="18">
        <f>IF($A2151="","",Paramètres!G45)</f>
        <v/>
      </c>
      <c r="C2151" s="20">
        <f>IF($A2151="","",IF(Dossiers!$G$43="","",Dossiers!$G$43))</f>
        <v/>
      </c>
      <c r="D2151" s="18">
        <f>IF($A2151="","",IF(Paramètres!I45="","",Paramètres!I45))</f>
        <v/>
      </c>
      <c r="E2151" s="19">
        <f>IF($A2151="","",IF(Paramètres!J45&amp;Paramètres!L45&amp;Paramètres!N45="",Dossiers!$D$43,MAX(IF(Paramètres!J45="",0,IF(Paramètres!K45="",NA(),IF(LEFT(TRIM(Paramètres!K45),1)="F",INDEX($F$2111:$F$2163,MATCH(Paramètres!J45,Paramètres!$G$5:$G$57,0)),INDEX($E$2111:$E$2163,MATCH(Paramètres!J45,Paramètres!$G$5:$G$57,0)))+IF(RIGHT(TRIM(Paramètres!K45),3)="Fin",1-$H2151,IF(LEFT(TRIM(Paramètres!K45),1)="F",1,0)))),IF(Paramètres!L45="",0,IF(Paramètres!M45="",NA(),IF(LEFT(TRIM(Paramètres!M45),1)="F",INDEX($F$2111:$F$2163,MATCH(Paramètres!L45,Paramètres!$G$5:$G$57,0)),INDEX($E$2111:$E$2163,MATCH(Paramètres!L45,Paramètres!$G$5:$G$57,0)))+IF(RIGHT(TRIM(Paramètres!M45),3)="Fin",1-$H2151,IF(LEFT(TRIM(Paramètres!M45),1)="F",1,0)))),IF(Paramètres!N45="",0,IF(Paramètres!O45="",NA(),IF(LEFT(TRIM(Paramètres!O45),1)="F",INDEX($F$2111:$F$2163,MATCH(Paramètres!N45,Paramètres!$G$5:$G$57,0)),INDEX($E$2111:$E$2163,MATCH(Paramètres!N45,Paramètres!$G$5:$G$57,0)))+IF(RIGHT(TRIM(Paramètres!O45),3)="Fin",1-$H2151,IF(LEFT(TRIM(Paramètres!O45),1)="F",1,0)))))))</f>
        <v/>
      </c>
      <c r="F2151" s="19">
        <f>IF($A2151="","",E2151+$H2151-1)</f>
        <v/>
      </c>
      <c r="G2151" s="18" t="n"/>
      <c r="H2151" s="18">
        <f>IF($A2151="","",IF(I2151&lt;&gt;"",I2151,Paramètres!B45))</f>
        <v/>
      </c>
      <c r="I2151" s="18" t="n"/>
    </row>
    <row r="2152">
      <c r="A2152" s="18">
        <f>IF(ISNUMBER(Dossiers!$D$43),Dossiers!$A$43&amp;" · "&amp;Dossiers!$B$43,"")</f>
        <v/>
      </c>
      <c r="B2152" s="18">
        <f>IF($A2152="","",Paramètres!G46)</f>
        <v/>
      </c>
      <c r="C2152" s="18">
        <f>IF($A2152="","",IF(Paramètres!H46="","",Paramètres!H46))</f>
        <v/>
      </c>
      <c r="D2152" s="18">
        <f>IF($A2152="","",IF(Paramètres!I46="","",Paramètres!I46))</f>
        <v/>
      </c>
      <c r="E2152" s="19">
        <f>IF($A2152="","",IF(Paramètres!J46&amp;Paramètres!L46&amp;Paramètres!N46="",Dossiers!$D$43,MAX(IF(Paramètres!J46="",0,IF(Paramètres!K46="",NA(),IF(LEFT(TRIM(Paramètres!K46),1)="F",INDEX($F$2111:$F$2163,MATCH(Paramètres!J46,Paramètres!$G$5:$G$57,0)),INDEX($E$2111:$E$2163,MATCH(Paramètres!J46,Paramètres!$G$5:$G$57,0)))+IF(RIGHT(TRIM(Paramètres!K46),3)="Fin",1-$H2152,IF(LEFT(TRIM(Paramètres!K46),1)="F",1,0)))),IF(Paramètres!L46="",0,IF(Paramètres!M46="",NA(),IF(LEFT(TRIM(Paramètres!M46),1)="F",INDEX($F$2111:$F$2163,MATCH(Paramètres!L46,Paramètres!$G$5:$G$57,0)),INDEX($E$2111:$E$2163,MATCH(Paramètres!L46,Paramètres!$G$5:$G$57,0)))+IF(RIGHT(TRIM(Paramètres!M46),3)="Fin",1-$H2152,IF(LEFT(TRIM(Paramètres!M46),1)="F",1,0)))),IF(Paramètres!N46="",0,IF(Paramètres!O46="",NA(),IF(LEFT(TRIM(Paramètres!O46),1)="F",INDEX($F$2111:$F$2163,MATCH(Paramètres!N46,Paramètres!$G$5:$G$57,0)),INDEX($E$2111:$E$2163,MATCH(Paramètres!N46,Paramètres!$G$5:$G$57,0)))+IF(RIGHT(TRIM(Paramètres!O46),3)="Fin",1-$H2152,IF(LEFT(TRIM(Paramètres!O46),1)="F",1,0)))))))</f>
        <v/>
      </c>
      <c r="F2152" s="19">
        <f>IF($A2152="","",E2152+$H2152-1)</f>
        <v/>
      </c>
      <c r="G2152" s="18" t="n"/>
      <c r="H2152" s="18">
        <f>IF($A2152="","",IF(I2152&lt;&gt;"",I2152,Paramètres!B46))</f>
        <v/>
      </c>
      <c r="I2152" s="18" t="n"/>
    </row>
    <row r="2153">
      <c r="A2153" s="18">
        <f>IF(ISNUMBER(Dossiers!$D$43),Dossiers!$A$43&amp;" · "&amp;Dossiers!$B$43,"")</f>
        <v/>
      </c>
      <c r="B2153" s="18">
        <f>IF($A2153="","",Paramètres!G47)</f>
        <v/>
      </c>
      <c r="C2153" s="18">
        <f>IF($A2153="","",IF(Paramètres!H47="","",Paramètres!H47))</f>
        <v/>
      </c>
      <c r="D2153" s="18">
        <f>IF($A2153="","",IF(Paramètres!I47="","",Paramètres!I47))</f>
        <v/>
      </c>
      <c r="E2153" s="19">
        <f>IF($A2153="","",IF(Paramètres!J47&amp;Paramètres!L47&amp;Paramètres!N47="",Dossiers!$D$43,MAX(IF(Paramètres!J47="",0,IF(Paramètres!K47="",NA(),IF(LEFT(TRIM(Paramètres!K47),1)="F",INDEX($F$2111:$F$2163,MATCH(Paramètres!J47,Paramètres!$G$5:$G$57,0)),INDEX($E$2111:$E$2163,MATCH(Paramètres!J47,Paramètres!$G$5:$G$57,0)))+IF(RIGHT(TRIM(Paramètres!K47),3)="Fin",1-$H2153,IF(LEFT(TRIM(Paramètres!K47),1)="F",1,0)))),IF(Paramètres!L47="",0,IF(Paramètres!M47="",NA(),IF(LEFT(TRIM(Paramètres!M47),1)="F",INDEX($F$2111:$F$2163,MATCH(Paramètres!L47,Paramètres!$G$5:$G$57,0)),INDEX($E$2111:$E$2163,MATCH(Paramètres!L47,Paramètres!$G$5:$G$57,0)))+IF(RIGHT(TRIM(Paramètres!M47),3)="Fin",1-$H2153,IF(LEFT(TRIM(Paramètres!M47),1)="F",1,0)))),IF(Paramètres!N47="",0,IF(Paramètres!O47="",NA(),IF(LEFT(TRIM(Paramètres!O47),1)="F",INDEX($F$2111:$F$2163,MATCH(Paramètres!N47,Paramètres!$G$5:$G$57,0)),INDEX($E$2111:$E$2163,MATCH(Paramètres!N47,Paramètres!$G$5:$G$57,0)))+IF(RIGHT(TRIM(Paramètres!O47),3)="Fin",1-$H2153,IF(LEFT(TRIM(Paramètres!O47),1)="F",1,0)))))))</f>
        <v/>
      </c>
      <c r="F2153" s="19">
        <f>IF($A2153="","",E2153+$H2153-1)</f>
        <v/>
      </c>
      <c r="G2153" s="18" t="n"/>
      <c r="H2153" s="18">
        <f>IF($A2153="","",IF(I2153&lt;&gt;"",I2153,Paramètres!B47))</f>
        <v/>
      </c>
      <c r="I2153" s="18" t="n"/>
    </row>
    <row r="2154">
      <c r="A2154" s="18">
        <f>IF(ISNUMBER(Dossiers!$D$43),Dossiers!$A$43&amp;" · "&amp;Dossiers!$B$43,"")</f>
        <v/>
      </c>
      <c r="B2154" s="18">
        <f>IF($A2154="","",Paramètres!G48)</f>
        <v/>
      </c>
      <c r="C2154" s="18">
        <f>IF($A2154="","",IF(Paramètres!H48="","",Paramètres!H48))</f>
        <v/>
      </c>
      <c r="D2154" s="18">
        <f>IF($A2154="","",IF(Paramètres!I48="","",Paramètres!I48))</f>
        <v/>
      </c>
      <c r="E2154" s="19">
        <f>IF($A2154="","",IF(Paramètres!J48&amp;Paramètres!L48&amp;Paramètres!N48="",Dossiers!$D$43,MAX(IF(Paramètres!J48="",0,IF(Paramètres!K48="",NA(),IF(LEFT(TRIM(Paramètres!K48),1)="F",INDEX($F$2111:$F$2163,MATCH(Paramètres!J48,Paramètres!$G$5:$G$57,0)),INDEX($E$2111:$E$2163,MATCH(Paramètres!J48,Paramètres!$G$5:$G$57,0)))+IF(RIGHT(TRIM(Paramètres!K48),3)="Fin",1-$H2154,IF(LEFT(TRIM(Paramètres!K48),1)="F",1,0)))),IF(Paramètres!L48="",0,IF(Paramètres!M48="",NA(),IF(LEFT(TRIM(Paramètres!M48),1)="F",INDEX($F$2111:$F$2163,MATCH(Paramètres!L48,Paramètres!$G$5:$G$57,0)),INDEX($E$2111:$E$2163,MATCH(Paramètres!L48,Paramètres!$G$5:$G$57,0)))+IF(RIGHT(TRIM(Paramètres!M48),3)="Fin",1-$H2154,IF(LEFT(TRIM(Paramètres!M48),1)="F",1,0)))),IF(Paramètres!N48="",0,IF(Paramètres!O48="",NA(),IF(LEFT(TRIM(Paramètres!O48),1)="F",INDEX($F$2111:$F$2163,MATCH(Paramètres!N48,Paramètres!$G$5:$G$57,0)),INDEX($E$2111:$E$2163,MATCH(Paramètres!N48,Paramètres!$G$5:$G$57,0)))+IF(RIGHT(TRIM(Paramètres!O48),3)="Fin",1-$H2154,IF(LEFT(TRIM(Paramètres!O48),1)="F",1,0)))))))</f>
        <v/>
      </c>
      <c r="F2154" s="19">
        <f>IF($A2154="","",E2154+$H2154-1)</f>
        <v/>
      </c>
      <c r="G2154" s="18" t="n"/>
      <c r="H2154" s="18">
        <f>IF($A2154="","",IF(I2154&lt;&gt;"",I2154,Paramètres!B48))</f>
        <v/>
      </c>
      <c r="I2154" s="18" t="n"/>
    </row>
    <row r="2155">
      <c r="A2155" s="18">
        <f>IF(ISNUMBER(Dossiers!$D$43),Dossiers!$A$43&amp;" · "&amp;Dossiers!$B$43,"")</f>
        <v/>
      </c>
      <c r="B2155" s="18">
        <f>IF($A2155="","",Paramètres!G49)</f>
        <v/>
      </c>
      <c r="C2155" s="18">
        <f>IF($A2155="","",IF(Paramètres!H49="","",Paramètres!H49))</f>
        <v/>
      </c>
      <c r="D2155" s="18">
        <f>IF($A2155="","",IF(Paramètres!I49="","",Paramètres!I49))</f>
        <v/>
      </c>
      <c r="E2155" s="19">
        <f>IF($A2155="","",IF(Paramètres!J49&amp;Paramètres!L49&amp;Paramètres!N49="",Dossiers!$D$43,MAX(IF(Paramètres!J49="",0,IF(Paramètres!K49="",NA(),IF(LEFT(TRIM(Paramètres!K49),1)="F",INDEX($F$2111:$F$2163,MATCH(Paramètres!J49,Paramètres!$G$5:$G$57,0)),INDEX($E$2111:$E$2163,MATCH(Paramètres!J49,Paramètres!$G$5:$G$57,0)))+IF(RIGHT(TRIM(Paramètres!K49),3)="Fin",1-$H2155,IF(LEFT(TRIM(Paramètres!K49),1)="F",1,0)))),IF(Paramètres!L49="",0,IF(Paramètres!M49="",NA(),IF(LEFT(TRIM(Paramètres!M49),1)="F",INDEX($F$2111:$F$2163,MATCH(Paramètres!L49,Paramètres!$G$5:$G$57,0)),INDEX($E$2111:$E$2163,MATCH(Paramètres!L49,Paramètres!$G$5:$G$57,0)))+IF(RIGHT(TRIM(Paramètres!M49),3)="Fin",1-$H2155,IF(LEFT(TRIM(Paramètres!M49),1)="F",1,0)))),IF(Paramètres!N49="",0,IF(Paramètres!O49="",NA(),IF(LEFT(TRIM(Paramètres!O49),1)="F",INDEX($F$2111:$F$2163,MATCH(Paramètres!N49,Paramètres!$G$5:$G$57,0)),INDEX($E$2111:$E$2163,MATCH(Paramètres!N49,Paramètres!$G$5:$G$57,0)))+IF(RIGHT(TRIM(Paramètres!O49),3)="Fin",1-$H2155,IF(LEFT(TRIM(Paramètres!O49),1)="F",1,0)))))))</f>
        <v/>
      </c>
      <c r="F2155" s="19">
        <f>IF($A2155="","",E2155+$H2155-1)</f>
        <v/>
      </c>
      <c r="G2155" s="18" t="n"/>
      <c r="H2155" s="18">
        <f>IF($A2155="","",IF(I2155&lt;&gt;"",I2155,Paramètres!B49))</f>
        <v/>
      </c>
      <c r="I2155" s="18" t="n"/>
    </row>
    <row r="2156">
      <c r="A2156" s="18">
        <f>IF(ISNUMBER(Dossiers!$D$43),Dossiers!$A$43&amp;" · "&amp;Dossiers!$B$43,"")</f>
        <v/>
      </c>
      <c r="B2156" s="18">
        <f>IF($A2156="","",Paramètres!G50)</f>
        <v/>
      </c>
      <c r="C2156" s="18">
        <f>IF($A2156="","",IF(Paramètres!H50="","",Paramètres!H50))</f>
        <v/>
      </c>
      <c r="D2156" s="18">
        <f>IF($A2156="","",IF(Paramètres!I50="","",Paramètres!I50))</f>
        <v/>
      </c>
      <c r="E2156" s="19">
        <f>IF($A2156="","",IF(Paramètres!J50&amp;Paramètres!L50&amp;Paramètres!N50="",Dossiers!$D$43,MAX(IF(Paramètres!J50="",0,IF(Paramètres!K50="",NA(),IF(LEFT(TRIM(Paramètres!K50),1)="F",INDEX($F$2111:$F$2163,MATCH(Paramètres!J50,Paramètres!$G$5:$G$57,0)),INDEX($E$2111:$E$2163,MATCH(Paramètres!J50,Paramètres!$G$5:$G$57,0)))+IF(RIGHT(TRIM(Paramètres!K50),3)="Fin",1-$H2156,IF(LEFT(TRIM(Paramètres!K50),1)="F",1,0)))),IF(Paramètres!L50="",0,IF(Paramètres!M50="",NA(),IF(LEFT(TRIM(Paramètres!M50),1)="F",INDEX($F$2111:$F$2163,MATCH(Paramètres!L50,Paramètres!$G$5:$G$57,0)),INDEX($E$2111:$E$2163,MATCH(Paramètres!L50,Paramètres!$G$5:$G$57,0)))+IF(RIGHT(TRIM(Paramètres!M50),3)="Fin",1-$H2156,IF(LEFT(TRIM(Paramètres!M50),1)="F",1,0)))),IF(Paramètres!N50="",0,IF(Paramètres!O50="",NA(),IF(LEFT(TRIM(Paramètres!O50),1)="F",INDEX($F$2111:$F$2163,MATCH(Paramètres!N50,Paramètres!$G$5:$G$57,0)),INDEX($E$2111:$E$2163,MATCH(Paramètres!N50,Paramètres!$G$5:$G$57,0)))+IF(RIGHT(TRIM(Paramètres!O50),3)="Fin",1-$H2156,IF(LEFT(TRIM(Paramètres!O50),1)="F",1,0)))))))</f>
        <v/>
      </c>
      <c r="F2156" s="19">
        <f>IF($A2156="","",E2156+$H2156-1)</f>
        <v/>
      </c>
      <c r="G2156" s="18" t="n"/>
      <c r="H2156" s="18">
        <f>IF($A2156="","",IF(I2156&lt;&gt;"",I2156,Paramètres!B50))</f>
        <v/>
      </c>
      <c r="I2156" s="18" t="n"/>
    </row>
    <row r="2157">
      <c r="A2157" s="18">
        <f>IF(ISNUMBER(Dossiers!$D$43),Dossiers!$A$43&amp;" · "&amp;Dossiers!$B$43,"")</f>
        <v/>
      </c>
      <c r="B2157" s="18">
        <f>IF($A2157="","",Paramètres!G51)</f>
        <v/>
      </c>
      <c r="C2157" s="18">
        <f>IF($A2157="","",IF(Paramètres!H51="","",Paramètres!H51))</f>
        <v/>
      </c>
      <c r="D2157" s="18">
        <f>IF($A2157="","",IF(Paramètres!I51="","",Paramètres!I51))</f>
        <v/>
      </c>
      <c r="E2157" s="19">
        <f>IF($A2157="","",IF(Paramètres!J51&amp;Paramètres!L51&amp;Paramètres!N51="",Dossiers!$D$43,MAX(IF(Paramètres!J51="",0,IF(Paramètres!K51="",NA(),IF(LEFT(TRIM(Paramètres!K51),1)="F",INDEX($F$2111:$F$2163,MATCH(Paramètres!J51,Paramètres!$G$5:$G$57,0)),INDEX($E$2111:$E$2163,MATCH(Paramètres!J51,Paramètres!$G$5:$G$57,0)))+IF(RIGHT(TRIM(Paramètres!K51),3)="Fin",1-$H2157,IF(LEFT(TRIM(Paramètres!K51),1)="F",1,0)))),IF(Paramètres!L51="",0,IF(Paramètres!M51="",NA(),IF(LEFT(TRIM(Paramètres!M51),1)="F",INDEX($F$2111:$F$2163,MATCH(Paramètres!L51,Paramètres!$G$5:$G$57,0)),INDEX($E$2111:$E$2163,MATCH(Paramètres!L51,Paramètres!$G$5:$G$57,0)))+IF(RIGHT(TRIM(Paramètres!M51),3)="Fin",1-$H2157,IF(LEFT(TRIM(Paramètres!M51),1)="F",1,0)))),IF(Paramètres!N51="",0,IF(Paramètres!O51="",NA(),IF(LEFT(TRIM(Paramètres!O51),1)="F",INDEX($F$2111:$F$2163,MATCH(Paramètres!N51,Paramètres!$G$5:$G$57,0)),INDEX($E$2111:$E$2163,MATCH(Paramètres!N51,Paramètres!$G$5:$G$57,0)))+IF(RIGHT(TRIM(Paramètres!O51),3)="Fin",1-$H2157,IF(LEFT(TRIM(Paramètres!O51),1)="F",1,0)))))))</f>
        <v/>
      </c>
      <c r="F2157" s="19">
        <f>IF($A2157="","",E2157+$H2157-1)</f>
        <v/>
      </c>
      <c r="G2157" s="18" t="n"/>
      <c r="H2157" s="18">
        <f>IF($A2157="","",IF(I2157&lt;&gt;"",I2157,Paramètres!B51))</f>
        <v/>
      </c>
      <c r="I2157" s="18" t="n"/>
    </row>
    <row r="2158">
      <c r="A2158" s="18">
        <f>IF(ISNUMBER(Dossiers!$D$43),Dossiers!$A$43&amp;" · "&amp;Dossiers!$B$43,"")</f>
        <v/>
      </c>
      <c r="B2158" s="18">
        <f>IF($A2158="","",Paramètres!G52)</f>
        <v/>
      </c>
      <c r="C2158" s="18">
        <f>IF($A2158="","",IF(Paramètres!H52="","",Paramètres!H52))</f>
        <v/>
      </c>
      <c r="D2158" s="18">
        <f>IF($A2158="","",IF(Paramètres!I52="","",Paramètres!I52))</f>
        <v/>
      </c>
      <c r="E2158" s="19">
        <f>IF($A2158="","",IF(Paramètres!J52&amp;Paramètres!L52&amp;Paramètres!N52="",Dossiers!$D$43,MAX(IF(Paramètres!J52="",0,IF(Paramètres!K52="",NA(),IF(LEFT(TRIM(Paramètres!K52),1)="F",INDEX($F$2111:$F$2163,MATCH(Paramètres!J52,Paramètres!$G$5:$G$57,0)),INDEX($E$2111:$E$2163,MATCH(Paramètres!J52,Paramètres!$G$5:$G$57,0)))+IF(RIGHT(TRIM(Paramètres!K52),3)="Fin",1-$H2158,IF(LEFT(TRIM(Paramètres!K52),1)="F",1,0)))),IF(Paramètres!L52="",0,IF(Paramètres!M52="",NA(),IF(LEFT(TRIM(Paramètres!M52),1)="F",INDEX($F$2111:$F$2163,MATCH(Paramètres!L52,Paramètres!$G$5:$G$57,0)),INDEX($E$2111:$E$2163,MATCH(Paramètres!L52,Paramètres!$G$5:$G$57,0)))+IF(RIGHT(TRIM(Paramètres!M52),3)="Fin",1-$H2158,IF(LEFT(TRIM(Paramètres!M52),1)="F",1,0)))),IF(Paramètres!N52="",0,IF(Paramètres!O52="",NA(),IF(LEFT(TRIM(Paramètres!O52),1)="F",INDEX($F$2111:$F$2163,MATCH(Paramètres!N52,Paramètres!$G$5:$G$57,0)),INDEX($E$2111:$E$2163,MATCH(Paramètres!N52,Paramètres!$G$5:$G$57,0)))+IF(RIGHT(TRIM(Paramètres!O52),3)="Fin",1-$H2158,IF(LEFT(TRIM(Paramètres!O52),1)="F",1,0)))))))</f>
        <v/>
      </c>
      <c r="F2158" s="19">
        <f>IF($A2158="","",E2158+$H2158-1)</f>
        <v/>
      </c>
      <c r="G2158" s="18" t="n"/>
      <c r="H2158" s="18">
        <f>IF($A2158="","",IF(I2158&lt;&gt;"",I2158,Paramètres!B52))</f>
        <v/>
      </c>
      <c r="I2158" s="18" t="n"/>
    </row>
    <row r="2159">
      <c r="A2159" s="18">
        <f>IF(ISNUMBER(Dossiers!$D$43),Dossiers!$A$43&amp;" · "&amp;Dossiers!$B$43,"")</f>
        <v/>
      </c>
      <c r="B2159" s="18">
        <f>IF($A2159="","",Paramètres!G53)</f>
        <v/>
      </c>
      <c r="C2159" s="18">
        <f>IF($A2159="","",IF(Paramètres!H53="","",Paramètres!H53))</f>
        <v/>
      </c>
      <c r="D2159" s="18">
        <f>IF($A2159="","",IF(Paramètres!I53="","",Paramètres!I53))</f>
        <v/>
      </c>
      <c r="E2159" s="19">
        <f>IF($A2159="","",IF(Paramètres!J53&amp;Paramètres!L53&amp;Paramètres!N53="",Dossiers!$D$43,MAX(IF(Paramètres!J53="",0,IF(Paramètres!K53="",NA(),IF(LEFT(TRIM(Paramètres!K53),1)="F",INDEX($F$2111:$F$2163,MATCH(Paramètres!J53,Paramètres!$G$5:$G$57,0)),INDEX($E$2111:$E$2163,MATCH(Paramètres!J53,Paramètres!$G$5:$G$57,0)))+IF(RIGHT(TRIM(Paramètres!K53),3)="Fin",1-$H2159,IF(LEFT(TRIM(Paramètres!K53),1)="F",1,0)))),IF(Paramètres!L53="",0,IF(Paramètres!M53="",NA(),IF(LEFT(TRIM(Paramètres!M53),1)="F",INDEX($F$2111:$F$2163,MATCH(Paramètres!L53,Paramètres!$G$5:$G$57,0)),INDEX($E$2111:$E$2163,MATCH(Paramètres!L53,Paramètres!$G$5:$G$57,0)))+IF(RIGHT(TRIM(Paramètres!M53),3)="Fin",1-$H2159,IF(LEFT(TRIM(Paramètres!M53),1)="F",1,0)))),IF(Paramètres!N53="",0,IF(Paramètres!O53="",NA(),IF(LEFT(TRIM(Paramètres!O53),1)="F",INDEX($F$2111:$F$2163,MATCH(Paramètres!N53,Paramètres!$G$5:$G$57,0)),INDEX($E$2111:$E$2163,MATCH(Paramètres!N53,Paramètres!$G$5:$G$57,0)))+IF(RIGHT(TRIM(Paramètres!O53),3)="Fin",1-$H2159,IF(LEFT(TRIM(Paramètres!O53),1)="F",1,0)))))))</f>
        <v/>
      </c>
      <c r="F2159" s="19">
        <f>IF($A2159="","",E2159+$H2159-1)</f>
        <v/>
      </c>
      <c r="G2159" s="18" t="n"/>
      <c r="H2159" s="18">
        <f>IF($A2159="","",IF(I2159&lt;&gt;"",I2159,Paramètres!B53))</f>
        <v/>
      </c>
      <c r="I2159" s="18" t="n"/>
    </row>
    <row r="2160">
      <c r="A2160" s="18">
        <f>IF(ISNUMBER(Dossiers!$D$43),Dossiers!$A$43&amp;" · "&amp;Dossiers!$B$43,"")</f>
        <v/>
      </c>
      <c r="B2160" s="18">
        <f>IF($A2160="","",Paramètres!G54)</f>
        <v/>
      </c>
      <c r="C2160" s="18">
        <f>IF($A2160="","",IF(Paramètres!H54="","",Paramètres!H54))</f>
        <v/>
      </c>
      <c r="D2160" s="18">
        <f>IF($A2160="","",IF(Paramètres!I54="","",Paramètres!I54))</f>
        <v/>
      </c>
      <c r="E2160" s="19">
        <f>IF($A2160="","",IF(Paramètres!J54&amp;Paramètres!L54&amp;Paramètres!N54="",Dossiers!$D$43,MAX(IF(Paramètres!J54="",0,IF(Paramètres!K54="",NA(),IF(LEFT(TRIM(Paramètres!K54),1)="F",INDEX($F$2111:$F$2163,MATCH(Paramètres!J54,Paramètres!$G$5:$G$57,0)),INDEX($E$2111:$E$2163,MATCH(Paramètres!J54,Paramètres!$G$5:$G$57,0)))+IF(RIGHT(TRIM(Paramètres!K54),3)="Fin",1-$H2160,IF(LEFT(TRIM(Paramètres!K54),1)="F",1,0)))),IF(Paramètres!L54="",0,IF(Paramètres!M54="",NA(),IF(LEFT(TRIM(Paramètres!M54),1)="F",INDEX($F$2111:$F$2163,MATCH(Paramètres!L54,Paramètres!$G$5:$G$57,0)),INDEX($E$2111:$E$2163,MATCH(Paramètres!L54,Paramètres!$G$5:$G$57,0)))+IF(RIGHT(TRIM(Paramètres!M54),3)="Fin",1-$H2160,IF(LEFT(TRIM(Paramètres!M54),1)="F",1,0)))),IF(Paramètres!N54="",0,IF(Paramètres!O54="",NA(),IF(LEFT(TRIM(Paramètres!O54),1)="F",INDEX($F$2111:$F$2163,MATCH(Paramètres!N54,Paramètres!$G$5:$G$57,0)),INDEX($E$2111:$E$2163,MATCH(Paramètres!N54,Paramètres!$G$5:$G$57,0)))+IF(RIGHT(TRIM(Paramètres!O54),3)="Fin",1-$H2160,IF(LEFT(TRIM(Paramètres!O54),1)="F",1,0)))))))</f>
        <v/>
      </c>
      <c r="F2160" s="19">
        <f>IF($A2160="","",E2160+$H2160-1)</f>
        <v/>
      </c>
      <c r="G2160" s="18" t="n"/>
      <c r="H2160" s="18">
        <f>IF($A2160="","",IF(I2160&lt;&gt;"",I2160,Paramètres!B54))</f>
        <v/>
      </c>
      <c r="I2160" s="18" t="n"/>
    </row>
    <row r="2161">
      <c r="A2161" s="18">
        <f>IF(ISNUMBER(Dossiers!$D$43),Dossiers!$A$43&amp;" · "&amp;Dossiers!$B$43,"")</f>
        <v/>
      </c>
      <c r="B2161" s="18">
        <f>IF($A2161="","",Paramètres!G55)</f>
        <v/>
      </c>
      <c r="C2161" s="18">
        <f>IF($A2161="","",IF(Paramètres!H55="","",Paramètres!H55))</f>
        <v/>
      </c>
      <c r="D2161" s="18">
        <f>IF($A2161="","",IF(Paramètres!I55="","",Paramètres!I55))</f>
        <v/>
      </c>
      <c r="E2161" s="19">
        <f>IF($A2161="","",IF(Paramètres!J55&amp;Paramètres!L55&amp;Paramètres!N55="",Dossiers!$D$43,MAX(IF(Paramètres!J55="",0,IF(Paramètres!K55="",NA(),IF(LEFT(TRIM(Paramètres!K55),1)="F",INDEX($F$2111:$F$2163,MATCH(Paramètres!J55,Paramètres!$G$5:$G$57,0)),INDEX($E$2111:$E$2163,MATCH(Paramètres!J55,Paramètres!$G$5:$G$57,0)))+IF(RIGHT(TRIM(Paramètres!K55),3)="Fin",1-$H2161,IF(LEFT(TRIM(Paramètres!K55),1)="F",1,0)))),IF(Paramètres!L55="",0,IF(Paramètres!M55="",NA(),IF(LEFT(TRIM(Paramètres!M55),1)="F",INDEX($F$2111:$F$2163,MATCH(Paramètres!L55,Paramètres!$G$5:$G$57,0)),INDEX($E$2111:$E$2163,MATCH(Paramètres!L55,Paramètres!$G$5:$G$57,0)))+IF(RIGHT(TRIM(Paramètres!M55),3)="Fin",1-$H2161,IF(LEFT(TRIM(Paramètres!M55),1)="F",1,0)))),IF(Paramètres!N55="",0,IF(Paramètres!O55="",NA(),IF(LEFT(TRIM(Paramètres!O55),1)="F",INDEX($F$2111:$F$2163,MATCH(Paramètres!N55,Paramètres!$G$5:$G$57,0)),INDEX($E$2111:$E$2163,MATCH(Paramètres!N55,Paramètres!$G$5:$G$57,0)))+IF(RIGHT(TRIM(Paramètres!O55),3)="Fin",1-$H2161,IF(LEFT(TRIM(Paramètres!O55),1)="F",1,0)))))))</f>
        <v/>
      </c>
      <c r="F2161" s="19">
        <f>IF($A2161="","",E2161+$H2161-1)</f>
        <v/>
      </c>
      <c r="G2161" s="18" t="n"/>
      <c r="H2161" s="18">
        <f>IF($A2161="","",IF(I2161&lt;&gt;"",I2161,Paramètres!B55))</f>
        <v/>
      </c>
      <c r="I2161" s="18" t="n"/>
    </row>
    <row r="2162">
      <c r="A2162" s="18">
        <f>IF(ISNUMBER(Dossiers!$D$43),Dossiers!$A$43&amp;" · "&amp;Dossiers!$B$43,"")</f>
        <v/>
      </c>
      <c r="B2162" s="18">
        <f>IF($A2162="","",Paramètres!G56)</f>
        <v/>
      </c>
      <c r="C2162" s="18">
        <f>IF($A2162="","",IF(Paramètres!H56="","",Paramètres!H56))</f>
        <v/>
      </c>
      <c r="D2162" s="18">
        <f>IF($A2162="","",IF(Paramètres!I56="","",Paramètres!I56))</f>
        <v/>
      </c>
      <c r="E2162" s="19">
        <f>IF($A2162="","",MIN(E2163:E2163))</f>
        <v/>
      </c>
      <c r="F2162" s="19">
        <f>IF($A2162="","",MAX(F2163:F2163))</f>
        <v/>
      </c>
      <c r="G2162" s="18" t="n"/>
      <c r="H2162" s="18">
        <f>IF($A2162="","",F2162-E2162+1)</f>
        <v/>
      </c>
      <c r="I2162" s="18" t="n"/>
    </row>
    <row r="2163">
      <c r="A2163" s="18">
        <f>IF(ISNUMBER(Dossiers!$D$43),Dossiers!$A$43&amp;" · "&amp;Dossiers!$B$43,"")</f>
        <v/>
      </c>
      <c r="B2163" s="18">
        <f>IF($A2163="","",Paramètres!G57)</f>
        <v/>
      </c>
      <c r="C2163" s="18">
        <f>IF($A2163="","",IF(Paramètres!H57="","",Paramètres!H57))</f>
        <v/>
      </c>
      <c r="D2163" s="18">
        <f>IF($A2163="","",IF(Paramètres!I57="","",Paramètres!I57))</f>
        <v/>
      </c>
      <c r="E2163" s="19">
        <f>IF($A2163="","",IF(Paramètres!J57&amp;Paramètres!L57&amp;Paramètres!N57="",Dossiers!$D$43,MAX(IF(Paramètres!J57="",0,IF(Paramètres!K57="",NA(),IF(LEFT(TRIM(Paramètres!K57),1)="F",INDEX($F$2111:$F$2163,MATCH(Paramètres!J57,Paramètres!$G$5:$G$57,0)),INDEX($E$2111:$E$2163,MATCH(Paramètres!J57,Paramètres!$G$5:$G$57,0)))+IF(RIGHT(TRIM(Paramètres!K57),3)="Fin",1-$H2163,IF(LEFT(TRIM(Paramètres!K57),1)="F",1,0)))),IF(Paramètres!L57="",0,IF(Paramètres!M57="",NA(),IF(LEFT(TRIM(Paramètres!M57),1)="F",INDEX($F$2111:$F$2163,MATCH(Paramètres!L57,Paramètres!$G$5:$G$57,0)),INDEX($E$2111:$E$2163,MATCH(Paramètres!L57,Paramètres!$G$5:$G$57,0)))+IF(RIGHT(TRIM(Paramètres!M57),3)="Fin",1-$H2163,IF(LEFT(TRIM(Paramètres!M57),1)="F",1,0)))),IF(Paramètres!N57="",0,IF(Paramètres!O57="",NA(),IF(LEFT(TRIM(Paramètres!O57),1)="F",INDEX($F$2111:$F$2163,MATCH(Paramètres!N57,Paramètres!$G$5:$G$57,0)),INDEX($E$2111:$E$2163,MATCH(Paramètres!N57,Paramètres!$G$5:$G$57,0)))+IF(RIGHT(TRIM(Paramètres!O57),3)="Fin",1-$H2163,IF(LEFT(TRIM(Paramètres!O57),1)="F",1,0)))))))</f>
        <v/>
      </c>
      <c r="F2163" s="19">
        <f>IF($A2163="","",E2163+$H2163-1)</f>
        <v/>
      </c>
      <c r="G2163" s="18" t="n"/>
      <c r="H2163" s="18">
        <f>IF($A2163="","",IF(I2163&lt;&gt;"",I2163,Paramètres!B57))</f>
        <v/>
      </c>
      <c r="I2163" s="18" t="n"/>
    </row>
    <row r="2164">
      <c r="A2164" s="16">
        <f>IF(ISNUMBER(Dossiers!$D$44),Dossiers!$E$44,"")</f>
        <v/>
      </c>
      <c r="B2164" s="16">
        <f>IF($A2164="","","Identifiant")</f>
        <v/>
      </c>
      <c r="C2164" s="16">
        <f>IF($A2164="","","Macro Etape")</f>
        <v/>
      </c>
      <c r="D2164" s="16">
        <f>IF($A2164="","","Etape")</f>
        <v/>
      </c>
      <c r="E2164" s="17">
        <f>IF($A2164="","","Début le")</f>
        <v/>
      </c>
      <c r="F2164" s="17">
        <f>IF($A2164="","","Fin prévue le")</f>
        <v/>
      </c>
      <c r="G2164" s="16">
        <f>IF($A2164="","","Statut")</f>
        <v/>
      </c>
      <c r="H2164" s="16">
        <f>IF($A2164="","","Durée (jours)")</f>
        <v/>
      </c>
      <c r="I2164" s="16">
        <f>IF($A2164="","","Durée particulière")</f>
        <v/>
      </c>
      <c r="J2164" s="10">
        <f>IF($A2164="","",HYPERLINK("#'Tableau de bord'!A1","↑ Tableau de bord"))</f>
        <v/>
      </c>
    </row>
    <row r="2165">
      <c r="A2165" s="18">
        <f>IF(ISNUMBER(Dossiers!$D$44),Dossiers!$A$44&amp;" · "&amp;Dossiers!$B$44,"")</f>
        <v/>
      </c>
      <c r="B2165" s="18">
        <f>IF($A2165="","",Paramètres!G5)</f>
        <v/>
      </c>
      <c r="C2165" s="18">
        <f>IF($A2165="","",IF(Paramètres!H5="","",Paramètres!H5))</f>
        <v/>
      </c>
      <c r="D2165" s="18">
        <f>IF($A2165="","",IF(Paramètres!I5="","",Paramètres!I5))</f>
        <v/>
      </c>
      <c r="E2165" s="19">
        <f>IF($A2165="","",MIN(E2166:E2169))</f>
        <v/>
      </c>
      <c r="F2165" s="19">
        <f>IF($A2165="","",MAX(F2166:F2169))</f>
        <v/>
      </c>
      <c r="G2165" s="18" t="n"/>
      <c r="H2165" s="18">
        <f>IF($A2165="","",F2165-E2165+1)</f>
        <v/>
      </c>
      <c r="I2165" s="18" t="n"/>
    </row>
    <row r="2166">
      <c r="A2166" s="18">
        <f>IF(ISNUMBER(Dossiers!$D$44),Dossiers!$A$44&amp;" · "&amp;Dossiers!$B$44,"")</f>
        <v/>
      </c>
      <c r="B2166" s="18">
        <f>IF($A2166="","",Paramètres!G6)</f>
        <v/>
      </c>
      <c r="C2166" s="18">
        <f>IF($A2166="","",IF(Paramètres!H6="","",Paramètres!H6))</f>
        <v/>
      </c>
      <c r="D2166" s="18">
        <f>IF($A2166="","",IF(Paramètres!I6="","",Paramètres!I6))</f>
        <v/>
      </c>
      <c r="E2166" s="19">
        <f>IF($A2166="","",IF(Paramètres!J6&amp;Paramètres!L6&amp;Paramètres!N6="",Dossiers!$D$44,MAX(IF(Paramètres!J6="",0,IF(Paramètres!K6="",NA(),IF(LEFT(TRIM(Paramètres!K6),1)="F",INDEX($F$2165:$F$2217,MATCH(Paramètres!J6,Paramètres!$G$5:$G$57,0)),INDEX($E$2165:$E$2217,MATCH(Paramètres!J6,Paramètres!$G$5:$G$57,0)))+IF(RIGHT(TRIM(Paramètres!K6),3)="Fin",1-$H2166,IF(LEFT(TRIM(Paramètres!K6),1)="F",1,0)))),IF(Paramètres!L6="",0,IF(Paramètres!M6="",NA(),IF(LEFT(TRIM(Paramètres!M6),1)="F",INDEX($F$2165:$F$2217,MATCH(Paramètres!L6,Paramètres!$G$5:$G$57,0)),INDEX($E$2165:$E$2217,MATCH(Paramètres!L6,Paramètres!$G$5:$G$57,0)))+IF(RIGHT(TRIM(Paramètres!M6),3)="Fin",1-$H2166,IF(LEFT(TRIM(Paramètres!M6),1)="F",1,0)))),IF(Paramètres!N6="",0,IF(Paramètres!O6="",NA(),IF(LEFT(TRIM(Paramètres!O6),1)="F",INDEX($F$2165:$F$2217,MATCH(Paramètres!N6,Paramètres!$G$5:$G$57,0)),INDEX($E$2165:$E$2217,MATCH(Paramètres!N6,Paramètres!$G$5:$G$57,0)))+IF(RIGHT(TRIM(Paramètres!O6),3)="Fin",1-$H2166,IF(LEFT(TRIM(Paramètres!O6),1)="F",1,0)))))))</f>
        <v/>
      </c>
      <c r="F2166" s="19">
        <f>IF($A2166="","",E2166+$H2166-1)</f>
        <v/>
      </c>
      <c r="G2166" s="18" t="n"/>
      <c r="H2166" s="18">
        <f>IF($A2166="","",IF(I2166&lt;&gt;"",I2166,Paramètres!B6))</f>
        <v/>
      </c>
      <c r="I2166" s="18" t="n"/>
    </row>
    <row r="2167">
      <c r="A2167" s="18">
        <f>IF(ISNUMBER(Dossiers!$D$44),Dossiers!$A$44&amp;" · "&amp;Dossiers!$B$44,"")</f>
        <v/>
      </c>
      <c r="B2167" s="18">
        <f>IF($A2167="","",Paramètres!G7)</f>
        <v/>
      </c>
      <c r="C2167" s="18">
        <f>IF($A2167="","",IF(Paramètres!H7="","",Paramètres!H7))</f>
        <v/>
      </c>
      <c r="D2167" s="18">
        <f>IF($A2167="","",IF(Paramètres!I7="","",Paramètres!I7))</f>
        <v/>
      </c>
      <c r="E2167" s="19">
        <f>IF($A2167="","",IF(Paramètres!J7&amp;Paramètres!L7&amp;Paramètres!N7="",Dossiers!$D$44,MAX(IF(Paramètres!J7="",0,IF(Paramètres!K7="",NA(),IF(LEFT(TRIM(Paramètres!K7),1)="F",INDEX($F$2165:$F$2217,MATCH(Paramètres!J7,Paramètres!$G$5:$G$57,0)),INDEX($E$2165:$E$2217,MATCH(Paramètres!J7,Paramètres!$G$5:$G$57,0)))+IF(RIGHT(TRIM(Paramètres!K7),3)="Fin",1-$H2167,IF(LEFT(TRIM(Paramètres!K7),1)="F",1,0)))),IF(Paramètres!L7="",0,IF(Paramètres!M7="",NA(),IF(LEFT(TRIM(Paramètres!M7),1)="F",INDEX($F$2165:$F$2217,MATCH(Paramètres!L7,Paramètres!$G$5:$G$57,0)),INDEX($E$2165:$E$2217,MATCH(Paramètres!L7,Paramètres!$G$5:$G$57,0)))+IF(RIGHT(TRIM(Paramètres!M7),3)="Fin",1-$H2167,IF(LEFT(TRIM(Paramètres!M7),1)="F",1,0)))),IF(Paramètres!N7="",0,IF(Paramètres!O7="",NA(),IF(LEFT(TRIM(Paramètres!O7),1)="F",INDEX($F$2165:$F$2217,MATCH(Paramètres!N7,Paramètres!$G$5:$G$57,0)),INDEX($E$2165:$E$2217,MATCH(Paramètres!N7,Paramètres!$G$5:$G$57,0)))+IF(RIGHT(TRIM(Paramètres!O7),3)="Fin",1-$H2167,IF(LEFT(TRIM(Paramètres!O7),1)="F",1,0)))))))</f>
        <v/>
      </c>
      <c r="F2167" s="19">
        <f>IF($A2167="","",E2167+$H2167-1)</f>
        <v/>
      </c>
      <c r="G2167" s="18" t="n"/>
      <c r="H2167" s="18">
        <f>IF($A2167="","",IF(I2167&lt;&gt;"",I2167,Paramètres!B7))</f>
        <v/>
      </c>
      <c r="I2167" s="18" t="n"/>
    </row>
    <row r="2168">
      <c r="A2168" s="18">
        <f>IF(ISNUMBER(Dossiers!$D$44),Dossiers!$A$44&amp;" · "&amp;Dossiers!$B$44,"")</f>
        <v/>
      </c>
      <c r="B2168" s="18">
        <f>IF($A2168="","",Paramètres!G8)</f>
        <v/>
      </c>
      <c r="C2168" s="18">
        <f>IF($A2168="","",IF(Paramètres!H8="","",Paramètres!H8))</f>
        <v/>
      </c>
      <c r="D2168" s="18">
        <f>IF($A2168="","",IF(Paramètres!I8="","",Paramètres!I8))</f>
        <v/>
      </c>
      <c r="E2168" s="19">
        <f>IF($A2168="","",IF(Paramètres!J8&amp;Paramètres!L8&amp;Paramètres!N8="",Dossiers!$D$44,MAX(IF(Paramètres!J8="",0,IF(Paramètres!K8="",NA(),IF(LEFT(TRIM(Paramètres!K8),1)="F",INDEX($F$2165:$F$2217,MATCH(Paramètres!J8,Paramètres!$G$5:$G$57,0)),INDEX($E$2165:$E$2217,MATCH(Paramètres!J8,Paramètres!$G$5:$G$57,0)))+IF(RIGHT(TRIM(Paramètres!K8),3)="Fin",1-$H2168,IF(LEFT(TRIM(Paramètres!K8),1)="F",1,0)))),IF(Paramètres!L8="",0,IF(Paramètres!M8="",NA(),IF(LEFT(TRIM(Paramètres!M8),1)="F",INDEX($F$2165:$F$2217,MATCH(Paramètres!L8,Paramètres!$G$5:$G$57,0)),INDEX($E$2165:$E$2217,MATCH(Paramètres!L8,Paramètres!$G$5:$G$57,0)))+IF(RIGHT(TRIM(Paramètres!M8),3)="Fin",1-$H2168,IF(LEFT(TRIM(Paramètres!M8),1)="F",1,0)))),IF(Paramètres!N8="",0,IF(Paramètres!O8="",NA(),IF(LEFT(TRIM(Paramètres!O8),1)="F",INDEX($F$2165:$F$2217,MATCH(Paramètres!N8,Paramètres!$G$5:$G$57,0)),INDEX($E$2165:$E$2217,MATCH(Paramètres!N8,Paramètres!$G$5:$G$57,0)))+IF(RIGHT(TRIM(Paramètres!O8),3)="Fin",1-$H2168,IF(LEFT(TRIM(Paramètres!O8),1)="F",1,0)))))))</f>
        <v/>
      </c>
      <c r="F2168" s="19">
        <f>IF($A2168="","",E2168+$H2168-1)</f>
        <v/>
      </c>
      <c r="G2168" s="18" t="n"/>
      <c r="H2168" s="18">
        <f>IF($A2168="","",IF(I2168&lt;&gt;"",I2168,Paramètres!B8))</f>
        <v/>
      </c>
      <c r="I2168" s="18" t="n"/>
    </row>
    <row r="2169">
      <c r="A2169" s="18">
        <f>IF(ISNUMBER(Dossiers!$D$44),Dossiers!$A$44&amp;" · "&amp;Dossiers!$B$44,"")</f>
        <v/>
      </c>
      <c r="B2169" s="18">
        <f>IF($A2169="","",Paramètres!G9)</f>
        <v/>
      </c>
      <c r="C2169" s="18">
        <f>IF($A2169="","",IF(Paramètres!H9="","",Paramètres!H9))</f>
        <v/>
      </c>
      <c r="D2169" s="18">
        <f>IF($A2169="","",IF(Paramètres!I9="","",Paramètres!I9))</f>
        <v/>
      </c>
      <c r="E2169" s="19">
        <f>IF($A2169="","",IF(Paramètres!J9&amp;Paramètres!L9&amp;Paramètres!N9="",Dossiers!$D$44,MAX(IF(Paramètres!J9="",0,IF(Paramètres!K9="",NA(),IF(LEFT(TRIM(Paramètres!K9),1)="F",INDEX($F$2165:$F$2217,MATCH(Paramètres!J9,Paramètres!$G$5:$G$57,0)),INDEX($E$2165:$E$2217,MATCH(Paramètres!J9,Paramètres!$G$5:$G$57,0)))+IF(RIGHT(TRIM(Paramètres!K9),3)="Fin",1-$H2169,IF(LEFT(TRIM(Paramètres!K9),1)="F",1,0)))),IF(Paramètres!L9="",0,IF(Paramètres!M9="",NA(),IF(LEFT(TRIM(Paramètres!M9),1)="F",INDEX($F$2165:$F$2217,MATCH(Paramètres!L9,Paramètres!$G$5:$G$57,0)),INDEX($E$2165:$E$2217,MATCH(Paramètres!L9,Paramètres!$G$5:$G$57,0)))+IF(RIGHT(TRIM(Paramètres!M9),3)="Fin",1-$H2169,IF(LEFT(TRIM(Paramètres!M9),1)="F",1,0)))),IF(Paramètres!N9="",0,IF(Paramètres!O9="",NA(),IF(LEFT(TRIM(Paramètres!O9),1)="F",INDEX($F$2165:$F$2217,MATCH(Paramètres!N9,Paramètres!$G$5:$G$57,0)),INDEX($E$2165:$E$2217,MATCH(Paramètres!N9,Paramètres!$G$5:$G$57,0)))+IF(RIGHT(TRIM(Paramètres!O9),3)="Fin",1-$H2169,IF(LEFT(TRIM(Paramètres!O9),1)="F",1,0)))))))</f>
        <v/>
      </c>
      <c r="F2169" s="19">
        <f>IF($A2169="","",E2169+$H2169-1)</f>
        <v/>
      </c>
      <c r="G2169" s="18" t="n"/>
      <c r="H2169" s="18">
        <f>IF($A2169="","",IF(I2169&lt;&gt;"",I2169,Paramètres!B9))</f>
        <v/>
      </c>
      <c r="I2169" s="18" t="n"/>
    </row>
    <row r="2170">
      <c r="A2170" s="18">
        <f>IF(ISNUMBER(Dossiers!$D$44),Dossiers!$A$44&amp;" · "&amp;Dossiers!$B$44,"")</f>
        <v/>
      </c>
      <c r="B2170" s="18">
        <f>IF($A2170="","",Paramètres!G10)</f>
        <v/>
      </c>
      <c r="C2170" s="18">
        <f>IF($A2170="","",IF(Paramètres!H10="","",Paramètres!H10))</f>
        <v/>
      </c>
      <c r="D2170" s="18">
        <f>IF($A2170="","",IF(Paramètres!I10="","",Paramètres!I10))</f>
        <v/>
      </c>
      <c r="E2170" s="19">
        <f>IF($A2170="","",MIN(E2171:E2174))</f>
        <v/>
      </c>
      <c r="F2170" s="19">
        <f>IF($A2170="","",MAX(F2171:F2174))</f>
        <v/>
      </c>
      <c r="G2170" s="18" t="n"/>
      <c r="H2170" s="18">
        <f>IF($A2170="","",F2170-E2170+1)</f>
        <v/>
      </c>
      <c r="I2170" s="18" t="n"/>
    </row>
    <row r="2171">
      <c r="A2171" s="18">
        <f>IF(ISNUMBER(Dossiers!$D$44),Dossiers!$A$44&amp;" · "&amp;Dossiers!$B$44,"")</f>
        <v/>
      </c>
      <c r="B2171" s="18">
        <f>IF($A2171="","",Paramètres!G11)</f>
        <v/>
      </c>
      <c r="C2171" s="18">
        <f>IF($A2171="","",IF(Paramètres!H11="","",Paramètres!H11))</f>
        <v/>
      </c>
      <c r="D2171" s="18">
        <f>IF($A2171="","",IF(Paramètres!I11="","",Paramètres!I11))</f>
        <v/>
      </c>
      <c r="E2171" s="19">
        <f>IF($A2171="","",IF(Paramètres!J11&amp;Paramètres!L11&amp;Paramètres!N11="",Dossiers!$D$44,MAX(IF(Paramètres!J11="",0,IF(Paramètres!K11="",NA(),IF(LEFT(TRIM(Paramètres!K11),1)="F",INDEX($F$2165:$F$2217,MATCH(Paramètres!J11,Paramètres!$G$5:$G$57,0)),INDEX($E$2165:$E$2217,MATCH(Paramètres!J11,Paramètres!$G$5:$G$57,0)))+IF(RIGHT(TRIM(Paramètres!K11),3)="Fin",1-$H2171,IF(LEFT(TRIM(Paramètres!K11),1)="F",1,0)))),IF(Paramètres!L11="",0,IF(Paramètres!M11="",NA(),IF(LEFT(TRIM(Paramètres!M11),1)="F",INDEX($F$2165:$F$2217,MATCH(Paramètres!L11,Paramètres!$G$5:$G$57,0)),INDEX($E$2165:$E$2217,MATCH(Paramètres!L11,Paramètres!$G$5:$G$57,0)))+IF(RIGHT(TRIM(Paramètres!M11),3)="Fin",1-$H2171,IF(LEFT(TRIM(Paramètres!M11),1)="F",1,0)))),IF(Paramètres!N11="",0,IF(Paramètres!O11="",NA(),IF(LEFT(TRIM(Paramètres!O11),1)="F",INDEX($F$2165:$F$2217,MATCH(Paramètres!N11,Paramètres!$G$5:$G$57,0)),INDEX($E$2165:$E$2217,MATCH(Paramètres!N11,Paramètres!$G$5:$G$57,0)))+IF(RIGHT(TRIM(Paramètres!O11),3)="Fin",1-$H2171,IF(LEFT(TRIM(Paramètres!O11),1)="F",1,0)))))))</f>
        <v/>
      </c>
      <c r="F2171" s="19">
        <f>IF($A2171="","",E2171+$H2171-1)</f>
        <v/>
      </c>
      <c r="G2171" s="18" t="n"/>
      <c r="H2171" s="18">
        <f>IF($A2171="","",IF(I2171&lt;&gt;"",I2171,Paramètres!B11))</f>
        <v/>
      </c>
      <c r="I2171" s="18" t="n"/>
    </row>
    <row r="2172">
      <c r="A2172" s="18">
        <f>IF(ISNUMBER(Dossiers!$D$44),Dossiers!$A$44&amp;" · "&amp;Dossiers!$B$44,"")</f>
        <v/>
      </c>
      <c r="B2172" s="18">
        <f>IF($A2172="","",Paramètres!G12)</f>
        <v/>
      </c>
      <c r="C2172" s="18">
        <f>IF($A2172="","",IF(Paramètres!H12="","",Paramètres!H12))</f>
        <v/>
      </c>
      <c r="D2172" s="18">
        <f>IF($A2172="","",IF(Paramètres!I12="","",Paramètres!I12))</f>
        <v/>
      </c>
      <c r="E2172" s="19">
        <f>IF($A2172="","",IF(Paramètres!J12&amp;Paramètres!L12&amp;Paramètres!N12="",Dossiers!$D$44,MAX(IF(Paramètres!J12="",0,IF(Paramètres!K12="",NA(),IF(LEFT(TRIM(Paramètres!K12),1)="F",INDEX($F$2165:$F$2217,MATCH(Paramètres!J12,Paramètres!$G$5:$G$57,0)),INDEX($E$2165:$E$2217,MATCH(Paramètres!J12,Paramètres!$G$5:$G$57,0)))+IF(RIGHT(TRIM(Paramètres!K12),3)="Fin",1-$H2172,IF(LEFT(TRIM(Paramètres!K12),1)="F",1,0)))),IF(Paramètres!L12="",0,IF(Paramètres!M12="",NA(),IF(LEFT(TRIM(Paramètres!M12),1)="F",INDEX($F$2165:$F$2217,MATCH(Paramètres!L12,Paramètres!$G$5:$G$57,0)),INDEX($E$2165:$E$2217,MATCH(Paramètres!L12,Paramètres!$G$5:$G$57,0)))+IF(RIGHT(TRIM(Paramètres!M12),3)="Fin",1-$H2172,IF(LEFT(TRIM(Paramètres!M12),1)="F",1,0)))),IF(Paramètres!N12="",0,IF(Paramètres!O12="",NA(),IF(LEFT(TRIM(Paramètres!O12),1)="F",INDEX($F$2165:$F$2217,MATCH(Paramètres!N12,Paramètres!$G$5:$G$57,0)),INDEX($E$2165:$E$2217,MATCH(Paramètres!N12,Paramètres!$G$5:$G$57,0)))+IF(RIGHT(TRIM(Paramètres!O12),3)="Fin",1-$H2172,IF(LEFT(TRIM(Paramètres!O12),1)="F",1,0)))))))</f>
        <v/>
      </c>
      <c r="F2172" s="19">
        <f>IF($A2172="","",E2172+$H2172-1)</f>
        <v/>
      </c>
      <c r="G2172" s="18" t="n"/>
      <c r="H2172" s="18">
        <f>IF($A2172="","",IF(I2172&lt;&gt;"",I2172,Paramètres!B12))</f>
        <v/>
      </c>
      <c r="I2172" s="18" t="n"/>
    </row>
    <row r="2173">
      <c r="A2173" s="18">
        <f>IF(ISNUMBER(Dossiers!$D$44),Dossiers!$A$44&amp;" · "&amp;Dossiers!$B$44,"")</f>
        <v/>
      </c>
      <c r="B2173" s="18">
        <f>IF($A2173="","",Paramètres!G13)</f>
        <v/>
      </c>
      <c r="C2173" s="18">
        <f>IF($A2173="","",IF(Paramètres!H13="","",Paramètres!H13))</f>
        <v/>
      </c>
      <c r="D2173" s="18">
        <f>IF($A2173="","",IF(Paramètres!I13="","",Paramètres!I13))</f>
        <v/>
      </c>
      <c r="E2173" s="19">
        <f>IF($A2173="","",IF(Paramètres!J13&amp;Paramètres!L13&amp;Paramètres!N13="",Dossiers!$D$44,MAX(IF(Paramètres!J13="",0,IF(Paramètres!K13="",NA(),IF(LEFT(TRIM(Paramètres!K13),1)="F",INDEX($F$2165:$F$2217,MATCH(Paramètres!J13,Paramètres!$G$5:$G$57,0)),INDEX($E$2165:$E$2217,MATCH(Paramètres!J13,Paramètres!$G$5:$G$57,0)))+IF(RIGHT(TRIM(Paramètres!K13),3)="Fin",1-$H2173,IF(LEFT(TRIM(Paramètres!K13),1)="F",1,0)))),IF(Paramètres!L13="",0,IF(Paramètres!M13="",NA(),IF(LEFT(TRIM(Paramètres!M13),1)="F",INDEX($F$2165:$F$2217,MATCH(Paramètres!L13,Paramètres!$G$5:$G$57,0)),INDEX($E$2165:$E$2217,MATCH(Paramètres!L13,Paramètres!$G$5:$G$57,0)))+IF(RIGHT(TRIM(Paramètres!M13),3)="Fin",1-$H2173,IF(LEFT(TRIM(Paramètres!M13),1)="F",1,0)))),IF(Paramètres!N13="",0,IF(Paramètres!O13="",NA(),IF(LEFT(TRIM(Paramètres!O13),1)="F",INDEX($F$2165:$F$2217,MATCH(Paramètres!N13,Paramètres!$G$5:$G$57,0)),INDEX($E$2165:$E$2217,MATCH(Paramètres!N13,Paramètres!$G$5:$G$57,0)))+IF(RIGHT(TRIM(Paramètres!O13),3)="Fin",1-$H2173,IF(LEFT(TRIM(Paramètres!O13),1)="F",1,0)))))))</f>
        <v/>
      </c>
      <c r="F2173" s="19">
        <f>IF($A2173="","",E2173+$H2173-1)</f>
        <v/>
      </c>
      <c r="G2173" s="18" t="n"/>
      <c r="H2173" s="18">
        <f>IF($A2173="","",IF(I2173&lt;&gt;"",I2173,Paramètres!B13))</f>
        <v/>
      </c>
      <c r="I2173" s="18" t="n"/>
    </row>
    <row r="2174">
      <c r="A2174" s="18">
        <f>IF(ISNUMBER(Dossiers!$D$44),Dossiers!$A$44&amp;" · "&amp;Dossiers!$B$44,"")</f>
        <v/>
      </c>
      <c r="B2174" s="18">
        <f>IF($A2174="","",Paramètres!G14)</f>
        <v/>
      </c>
      <c r="C2174" s="18">
        <f>IF($A2174="","",IF(Paramètres!H14="","",Paramètres!H14))</f>
        <v/>
      </c>
      <c r="D2174" s="18">
        <f>IF($A2174="","",IF(Paramètres!I14="","",Paramètres!I14))</f>
        <v/>
      </c>
      <c r="E2174" s="19">
        <f>IF($A2174="","",IF(Paramètres!J14&amp;Paramètres!L14&amp;Paramètres!N14="",Dossiers!$D$44,MAX(IF(Paramètres!J14="",0,IF(Paramètres!K14="",NA(),IF(LEFT(TRIM(Paramètres!K14),1)="F",INDEX($F$2165:$F$2217,MATCH(Paramètres!J14,Paramètres!$G$5:$G$57,0)),INDEX($E$2165:$E$2217,MATCH(Paramètres!J14,Paramètres!$G$5:$G$57,0)))+IF(RIGHT(TRIM(Paramètres!K14),3)="Fin",1-$H2174,IF(LEFT(TRIM(Paramètres!K14),1)="F",1,0)))),IF(Paramètres!L14="",0,IF(Paramètres!M14="",NA(),IF(LEFT(TRIM(Paramètres!M14),1)="F",INDEX($F$2165:$F$2217,MATCH(Paramètres!L14,Paramètres!$G$5:$G$57,0)),INDEX($E$2165:$E$2217,MATCH(Paramètres!L14,Paramètres!$G$5:$G$57,0)))+IF(RIGHT(TRIM(Paramètres!M14),3)="Fin",1-$H2174,IF(LEFT(TRIM(Paramètres!M14),1)="F",1,0)))),IF(Paramètres!N14="",0,IF(Paramètres!O14="",NA(),IF(LEFT(TRIM(Paramètres!O14),1)="F",INDEX($F$2165:$F$2217,MATCH(Paramètres!N14,Paramètres!$G$5:$G$57,0)),INDEX($E$2165:$E$2217,MATCH(Paramètres!N14,Paramètres!$G$5:$G$57,0)))+IF(RIGHT(TRIM(Paramètres!O14),3)="Fin",1-$H2174,IF(LEFT(TRIM(Paramètres!O14),1)="F",1,0)))))))</f>
        <v/>
      </c>
      <c r="F2174" s="19">
        <f>IF($A2174="","",E2174+$H2174-1)</f>
        <v/>
      </c>
      <c r="G2174" s="18" t="n"/>
      <c r="H2174" s="18">
        <f>IF($A2174="","",IF(I2174&lt;&gt;"",I2174,Paramètres!B14))</f>
        <v/>
      </c>
      <c r="I2174" s="18" t="n"/>
    </row>
    <row r="2175">
      <c r="A2175" s="18">
        <f>IF(ISNUMBER(Dossiers!$D$44),Dossiers!$A$44&amp;" · "&amp;Dossiers!$B$44,"")</f>
        <v/>
      </c>
      <c r="B2175" s="18">
        <f>IF($A2175="","",Paramètres!G15)</f>
        <v/>
      </c>
      <c r="C2175" s="18">
        <f>IF($A2175="","",IF(Paramètres!H15="","",Paramètres!H15))</f>
        <v/>
      </c>
      <c r="D2175" s="18">
        <f>IF($A2175="","",IF(Paramètres!I15="","",Paramètres!I15))</f>
        <v/>
      </c>
      <c r="E2175" s="19">
        <f>IF($A2175="","",MIN(E2176:E2191))</f>
        <v/>
      </c>
      <c r="F2175" s="19">
        <f>IF($A2175="","",MAX(F2176:F2191))</f>
        <v/>
      </c>
      <c r="G2175" s="18" t="n"/>
      <c r="H2175" s="18">
        <f>IF($A2175="","",F2175-E2175+1)</f>
        <v/>
      </c>
      <c r="I2175" s="18" t="n"/>
    </row>
    <row r="2176">
      <c r="A2176" s="18">
        <f>IF(ISNUMBER(Dossiers!$D$44),Dossiers!$A$44&amp;" · "&amp;Dossiers!$B$44,"")</f>
        <v/>
      </c>
      <c r="B2176" s="18">
        <f>IF($A2176="","",Paramètres!G16)</f>
        <v/>
      </c>
      <c r="C2176" s="18">
        <f>IF($A2176="","",IF(Paramètres!H16="","",Paramètres!H16))</f>
        <v/>
      </c>
      <c r="D2176" s="18">
        <f>IF($A2176="","",IF(Paramètres!I16="","",Paramètres!I16))</f>
        <v/>
      </c>
      <c r="E2176" s="19">
        <f>IF($A2176="","",IF(Paramètres!J16&amp;Paramètres!L16&amp;Paramètres!N16="",Dossiers!$D$44,MAX(IF(Paramètres!J16="",0,IF(Paramètres!K16="",NA(),IF(LEFT(TRIM(Paramètres!K16),1)="F",INDEX($F$2165:$F$2217,MATCH(Paramètres!J16,Paramètres!$G$5:$G$57,0)),INDEX($E$2165:$E$2217,MATCH(Paramètres!J16,Paramètres!$G$5:$G$57,0)))+IF(RIGHT(TRIM(Paramètres!K16),3)="Fin",1-$H2176,IF(LEFT(TRIM(Paramètres!K16),1)="F",1,0)))),IF(Paramètres!L16="",0,IF(Paramètres!M16="",NA(),IF(LEFT(TRIM(Paramètres!M16),1)="F",INDEX($F$2165:$F$2217,MATCH(Paramètres!L16,Paramètres!$G$5:$G$57,0)),INDEX($E$2165:$E$2217,MATCH(Paramètres!L16,Paramètres!$G$5:$G$57,0)))+IF(RIGHT(TRIM(Paramètres!M16),3)="Fin",1-$H2176,IF(LEFT(TRIM(Paramètres!M16),1)="F",1,0)))),IF(Paramètres!N16="",0,IF(Paramètres!O16="",NA(),IF(LEFT(TRIM(Paramètres!O16),1)="F",INDEX($F$2165:$F$2217,MATCH(Paramètres!N16,Paramètres!$G$5:$G$57,0)),INDEX($E$2165:$E$2217,MATCH(Paramètres!N16,Paramètres!$G$5:$G$57,0)))+IF(RIGHT(TRIM(Paramètres!O16),3)="Fin",1-$H2176,IF(LEFT(TRIM(Paramètres!O16),1)="F",1,0)))))))</f>
        <v/>
      </c>
      <c r="F2176" s="19">
        <f>IF($A2176="","",E2176+$H2176-1)</f>
        <v/>
      </c>
      <c r="G2176" s="18" t="n"/>
      <c r="H2176" s="18">
        <f>IF($A2176="","",IF(I2176&lt;&gt;"",I2176,Paramètres!B16))</f>
        <v/>
      </c>
      <c r="I2176" s="18" t="n"/>
    </row>
    <row r="2177">
      <c r="A2177" s="18">
        <f>IF(ISNUMBER(Dossiers!$D$44),Dossiers!$A$44&amp;" · "&amp;Dossiers!$B$44,"")</f>
        <v/>
      </c>
      <c r="B2177" s="18">
        <f>IF($A2177="","",Paramètres!G17)</f>
        <v/>
      </c>
      <c r="C2177" s="18">
        <f>IF($A2177="","",IF(Paramètres!H17="","",Paramètres!H17))</f>
        <v/>
      </c>
      <c r="D2177" s="18">
        <f>IF($A2177="","",IF(Paramètres!I17="","",Paramètres!I17))</f>
        <v/>
      </c>
      <c r="E2177" s="19">
        <f>IF($A2177="","",IF(Paramètres!J17&amp;Paramètres!L17&amp;Paramètres!N17="",Dossiers!$D$44,MAX(IF(Paramètres!J17="",0,IF(Paramètres!K17="",NA(),IF(LEFT(TRIM(Paramètres!K17),1)="F",INDEX($F$2165:$F$2217,MATCH(Paramètres!J17,Paramètres!$G$5:$G$57,0)),INDEX($E$2165:$E$2217,MATCH(Paramètres!J17,Paramètres!$G$5:$G$57,0)))+IF(RIGHT(TRIM(Paramètres!K17),3)="Fin",1-$H2177,IF(LEFT(TRIM(Paramètres!K17),1)="F",1,0)))),IF(Paramètres!L17="",0,IF(Paramètres!M17="",NA(),IF(LEFT(TRIM(Paramètres!M17),1)="F",INDEX($F$2165:$F$2217,MATCH(Paramètres!L17,Paramètres!$G$5:$G$57,0)),INDEX($E$2165:$E$2217,MATCH(Paramètres!L17,Paramètres!$G$5:$G$57,0)))+IF(RIGHT(TRIM(Paramètres!M17),3)="Fin",1-$H2177,IF(LEFT(TRIM(Paramètres!M17),1)="F",1,0)))),IF(Paramètres!N17="",0,IF(Paramètres!O17="",NA(),IF(LEFT(TRIM(Paramètres!O17),1)="F",INDEX($F$2165:$F$2217,MATCH(Paramètres!N17,Paramètres!$G$5:$G$57,0)),INDEX($E$2165:$E$2217,MATCH(Paramètres!N17,Paramètres!$G$5:$G$57,0)))+IF(RIGHT(TRIM(Paramètres!O17),3)="Fin",1-$H2177,IF(LEFT(TRIM(Paramètres!O17),1)="F",1,0)))))))</f>
        <v/>
      </c>
      <c r="F2177" s="19">
        <f>IF($A2177="","",E2177+$H2177-1)</f>
        <v/>
      </c>
      <c r="G2177" s="18" t="n"/>
      <c r="H2177" s="18">
        <f>IF($A2177="","",IF(I2177&lt;&gt;"",I2177,Paramètres!B17))</f>
        <v/>
      </c>
      <c r="I2177" s="18" t="n"/>
    </row>
    <row r="2178">
      <c r="A2178" s="18">
        <f>IF(ISNUMBER(Dossiers!$D$44),Dossiers!$A$44&amp;" · "&amp;Dossiers!$B$44,"")</f>
        <v/>
      </c>
      <c r="B2178" s="18">
        <f>IF($A2178="","",Paramètres!G18)</f>
        <v/>
      </c>
      <c r="C2178" s="18">
        <f>IF($A2178="","",IF(Paramètres!H18="","",Paramètres!H18))</f>
        <v/>
      </c>
      <c r="D2178" s="18">
        <f>IF($A2178="","",IF(Paramètres!I18="","",Paramètres!I18))</f>
        <v/>
      </c>
      <c r="E2178" s="19">
        <f>IF($A2178="","",IF(Paramètres!J18&amp;Paramètres!L18&amp;Paramètres!N18="",Dossiers!$D$44,MAX(IF(Paramètres!J18="",0,IF(Paramètres!K18="",NA(),IF(LEFT(TRIM(Paramètres!K18),1)="F",INDEX($F$2165:$F$2217,MATCH(Paramètres!J18,Paramètres!$G$5:$G$57,0)),INDEX($E$2165:$E$2217,MATCH(Paramètres!J18,Paramètres!$G$5:$G$57,0)))+IF(RIGHT(TRIM(Paramètres!K18),3)="Fin",1-$H2178,IF(LEFT(TRIM(Paramètres!K18),1)="F",1,0)))),IF(Paramètres!L18="",0,IF(Paramètres!M18="",NA(),IF(LEFT(TRIM(Paramètres!M18),1)="F",INDEX($F$2165:$F$2217,MATCH(Paramètres!L18,Paramètres!$G$5:$G$57,0)),INDEX($E$2165:$E$2217,MATCH(Paramètres!L18,Paramètres!$G$5:$G$57,0)))+IF(RIGHT(TRIM(Paramètres!M18),3)="Fin",1-$H2178,IF(LEFT(TRIM(Paramètres!M18),1)="F",1,0)))),IF(Paramètres!N18="",0,IF(Paramètres!O18="",NA(),IF(LEFT(TRIM(Paramètres!O18),1)="F",INDEX($F$2165:$F$2217,MATCH(Paramètres!N18,Paramètres!$G$5:$G$57,0)),INDEX($E$2165:$E$2217,MATCH(Paramètres!N18,Paramètres!$G$5:$G$57,0)))+IF(RIGHT(TRIM(Paramètres!O18),3)="Fin",1-$H2178,IF(LEFT(TRIM(Paramètres!O18),1)="F",1,0)))))))</f>
        <v/>
      </c>
      <c r="F2178" s="19">
        <f>IF($A2178="","",E2178+$H2178-1)</f>
        <v/>
      </c>
      <c r="G2178" s="18" t="n"/>
      <c r="H2178" s="18">
        <f>IF($A2178="","",IF(I2178&lt;&gt;"",I2178,Paramètres!B18))</f>
        <v/>
      </c>
      <c r="I2178" s="18" t="n"/>
    </row>
    <row r="2179">
      <c r="A2179" s="18">
        <f>IF(ISNUMBER(Dossiers!$D$44),Dossiers!$A$44&amp;" · "&amp;Dossiers!$B$44,"")</f>
        <v/>
      </c>
      <c r="B2179" s="18">
        <f>IF($A2179="","",Paramètres!G19)</f>
        <v/>
      </c>
      <c r="C2179" s="18">
        <f>IF($A2179="","",IF(Paramètres!H19="","",Paramètres!H19))</f>
        <v/>
      </c>
      <c r="D2179" s="18">
        <f>IF($A2179="","",IF(Paramètres!I19="","",Paramètres!I19))</f>
        <v/>
      </c>
      <c r="E2179" s="19">
        <f>IF($A2179="","",IF(Paramètres!J19&amp;Paramètres!L19&amp;Paramètres!N19="",Dossiers!$D$44,MAX(IF(Paramètres!J19="",0,IF(Paramètres!K19="",NA(),IF(LEFT(TRIM(Paramètres!K19),1)="F",INDEX($F$2165:$F$2217,MATCH(Paramètres!J19,Paramètres!$G$5:$G$57,0)),INDEX($E$2165:$E$2217,MATCH(Paramètres!J19,Paramètres!$G$5:$G$57,0)))+IF(RIGHT(TRIM(Paramètres!K19),3)="Fin",1-$H2179,IF(LEFT(TRIM(Paramètres!K19),1)="F",1,0)))),IF(Paramètres!L19="",0,IF(Paramètres!M19="",NA(),IF(LEFT(TRIM(Paramètres!M19),1)="F",INDEX($F$2165:$F$2217,MATCH(Paramètres!L19,Paramètres!$G$5:$G$57,0)),INDEX($E$2165:$E$2217,MATCH(Paramètres!L19,Paramètres!$G$5:$G$57,0)))+IF(RIGHT(TRIM(Paramètres!M19),3)="Fin",1-$H2179,IF(LEFT(TRIM(Paramètres!M19),1)="F",1,0)))),IF(Paramètres!N19="",0,IF(Paramètres!O19="",NA(),IF(LEFT(TRIM(Paramètres!O19),1)="F",INDEX($F$2165:$F$2217,MATCH(Paramètres!N19,Paramètres!$G$5:$G$57,0)),INDEX($E$2165:$E$2217,MATCH(Paramètres!N19,Paramètres!$G$5:$G$57,0)))+IF(RIGHT(TRIM(Paramètres!O19),3)="Fin",1-$H2179,IF(LEFT(TRIM(Paramètres!O19),1)="F",1,0)))))))</f>
        <v/>
      </c>
      <c r="F2179" s="19">
        <f>IF($A2179="","",E2179+$H2179-1)</f>
        <v/>
      </c>
      <c r="G2179" s="18" t="n"/>
      <c r="H2179" s="18">
        <f>IF($A2179="","",IF(I2179&lt;&gt;"",I2179,Paramètres!B19))</f>
        <v/>
      </c>
      <c r="I2179" s="18" t="n"/>
    </row>
    <row r="2180">
      <c r="A2180" s="18">
        <f>IF(ISNUMBER(Dossiers!$D$44),Dossiers!$A$44&amp;" · "&amp;Dossiers!$B$44,"")</f>
        <v/>
      </c>
      <c r="B2180" s="18">
        <f>IF($A2180="","",Paramètres!G20)</f>
        <v/>
      </c>
      <c r="C2180" s="18">
        <f>IF($A2180="","",IF(Paramètres!H20="","",Paramètres!H20))</f>
        <v/>
      </c>
      <c r="D2180" s="18">
        <f>IF($A2180="","",IF(Paramètres!I20="","",Paramètres!I20))</f>
        <v/>
      </c>
      <c r="E2180" s="19">
        <f>IF($A2180="","",IF(Paramètres!J20&amp;Paramètres!L20&amp;Paramètres!N20="",Dossiers!$D$44,MAX(IF(Paramètres!J20="",0,IF(Paramètres!K20="",NA(),IF(LEFT(TRIM(Paramètres!K20),1)="F",INDEX($F$2165:$F$2217,MATCH(Paramètres!J20,Paramètres!$G$5:$G$57,0)),INDEX($E$2165:$E$2217,MATCH(Paramètres!J20,Paramètres!$G$5:$G$57,0)))+IF(RIGHT(TRIM(Paramètres!K20),3)="Fin",1-$H2180,IF(LEFT(TRIM(Paramètres!K20),1)="F",1,0)))),IF(Paramètres!L20="",0,IF(Paramètres!M20="",NA(),IF(LEFT(TRIM(Paramètres!M20),1)="F",INDEX($F$2165:$F$2217,MATCH(Paramètres!L20,Paramètres!$G$5:$G$57,0)),INDEX($E$2165:$E$2217,MATCH(Paramètres!L20,Paramètres!$G$5:$G$57,0)))+IF(RIGHT(TRIM(Paramètres!M20),3)="Fin",1-$H2180,IF(LEFT(TRIM(Paramètres!M20),1)="F",1,0)))),IF(Paramètres!N20="",0,IF(Paramètres!O20="",NA(),IF(LEFT(TRIM(Paramètres!O20),1)="F",INDEX($F$2165:$F$2217,MATCH(Paramètres!N20,Paramètres!$G$5:$G$57,0)),INDEX($E$2165:$E$2217,MATCH(Paramètres!N20,Paramètres!$G$5:$G$57,0)))+IF(RIGHT(TRIM(Paramètres!O20),3)="Fin",1-$H2180,IF(LEFT(TRIM(Paramètres!O20),1)="F",1,0)))))))</f>
        <v/>
      </c>
      <c r="F2180" s="19">
        <f>IF($A2180="","",E2180+$H2180-1)</f>
        <v/>
      </c>
      <c r="G2180" s="18" t="n"/>
      <c r="H2180" s="18">
        <f>IF($A2180="","",IF(I2180&lt;&gt;"",I2180,Paramètres!B20))</f>
        <v/>
      </c>
      <c r="I2180" s="18" t="n"/>
    </row>
    <row r="2181">
      <c r="A2181" s="18">
        <f>IF(ISNUMBER(Dossiers!$D$44),Dossiers!$A$44&amp;" · "&amp;Dossiers!$B$44,"")</f>
        <v/>
      </c>
      <c r="B2181" s="18">
        <f>IF($A2181="","",Paramètres!G21)</f>
        <v/>
      </c>
      <c r="C2181" s="18">
        <f>IF($A2181="","",IF(Paramètres!H21="","",Paramètres!H21))</f>
        <v/>
      </c>
      <c r="D2181" s="18">
        <f>IF($A2181="","",IF(Paramètres!I21="","",Paramètres!I21))</f>
        <v/>
      </c>
      <c r="E2181" s="19">
        <f>IF($A2181="","",IF(Paramètres!J21&amp;Paramètres!L21&amp;Paramètres!N21="",Dossiers!$D$44,MAX(IF(Paramètres!J21="",0,IF(Paramètres!K21="",NA(),IF(LEFT(TRIM(Paramètres!K21),1)="F",INDEX($F$2165:$F$2217,MATCH(Paramètres!J21,Paramètres!$G$5:$G$57,0)),INDEX($E$2165:$E$2217,MATCH(Paramètres!J21,Paramètres!$G$5:$G$57,0)))+IF(RIGHT(TRIM(Paramètres!K21),3)="Fin",1-$H2181,IF(LEFT(TRIM(Paramètres!K21),1)="F",1,0)))),IF(Paramètres!L21="",0,IF(Paramètres!M21="",NA(),IF(LEFT(TRIM(Paramètres!M21),1)="F",INDEX($F$2165:$F$2217,MATCH(Paramètres!L21,Paramètres!$G$5:$G$57,0)),INDEX($E$2165:$E$2217,MATCH(Paramètres!L21,Paramètres!$G$5:$G$57,0)))+IF(RIGHT(TRIM(Paramètres!M21),3)="Fin",1-$H2181,IF(LEFT(TRIM(Paramètres!M21),1)="F",1,0)))),IF(Paramètres!N21="",0,IF(Paramètres!O21="",NA(),IF(LEFT(TRIM(Paramètres!O21),1)="F",INDEX($F$2165:$F$2217,MATCH(Paramètres!N21,Paramètres!$G$5:$G$57,0)),INDEX($E$2165:$E$2217,MATCH(Paramètres!N21,Paramètres!$G$5:$G$57,0)))+IF(RIGHT(TRIM(Paramètres!O21),3)="Fin",1-$H2181,IF(LEFT(TRIM(Paramètres!O21),1)="F",1,0)))))))</f>
        <v/>
      </c>
      <c r="F2181" s="19">
        <f>IF($A2181="","",E2181+$H2181-1)</f>
        <v/>
      </c>
      <c r="G2181" s="18" t="n"/>
      <c r="H2181" s="18">
        <f>IF($A2181="","",IF(I2181&lt;&gt;"",I2181,Paramètres!B21))</f>
        <v/>
      </c>
      <c r="I2181" s="18" t="n"/>
    </row>
    <row r="2182">
      <c r="A2182" s="18">
        <f>IF(ISNUMBER(Dossiers!$D$44),Dossiers!$A$44&amp;" · "&amp;Dossiers!$B$44,"")</f>
        <v/>
      </c>
      <c r="B2182" s="18">
        <f>IF($A2182="","",Paramètres!G22)</f>
        <v/>
      </c>
      <c r="C2182" s="18">
        <f>IF($A2182="","",IF(Paramètres!H22="","",Paramètres!H22))</f>
        <v/>
      </c>
      <c r="D2182" s="18">
        <f>IF($A2182="","",IF(Paramètres!I22="","",Paramètres!I22))</f>
        <v/>
      </c>
      <c r="E2182" s="19">
        <f>IF($A2182="","",IF(Paramètres!J22&amp;Paramètres!L22&amp;Paramètres!N22="",Dossiers!$D$44,MAX(IF(Paramètres!J22="",0,IF(Paramètres!K22="",NA(),IF(LEFT(TRIM(Paramètres!K22),1)="F",INDEX($F$2165:$F$2217,MATCH(Paramètres!J22,Paramètres!$G$5:$G$57,0)),INDEX($E$2165:$E$2217,MATCH(Paramètres!J22,Paramètres!$G$5:$G$57,0)))+IF(RIGHT(TRIM(Paramètres!K22),3)="Fin",1-$H2182,IF(LEFT(TRIM(Paramètres!K22),1)="F",1,0)))),IF(Paramètres!L22="",0,IF(Paramètres!M22="",NA(),IF(LEFT(TRIM(Paramètres!M22),1)="F",INDEX($F$2165:$F$2217,MATCH(Paramètres!L22,Paramètres!$G$5:$G$57,0)),INDEX($E$2165:$E$2217,MATCH(Paramètres!L22,Paramètres!$G$5:$G$57,0)))+IF(RIGHT(TRIM(Paramètres!M22),3)="Fin",1-$H2182,IF(LEFT(TRIM(Paramètres!M22),1)="F",1,0)))),IF(Paramètres!N22="",0,IF(Paramètres!O22="",NA(),IF(LEFT(TRIM(Paramètres!O22),1)="F",INDEX($F$2165:$F$2217,MATCH(Paramètres!N22,Paramètres!$G$5:$G$57,0)),INDEX($E$2165:$E$2217,MATCH(Paramètres!N22,Paramètres!$G$5:$G$57,0)))+IF(RIGHT(TRIM(Paramètres!O22),3)="Fin",1-$H2182,IF(LEFT(TRIM(Paramètres!O22),1)="F",1,0)))))))</f>
        <v/>
      </c>
      <c r="F2182" s="19">
        <f>IF($A2182="","",E2182+$H2182-1)</f>
        <v/>
      </c>
      <c r="G2182" s="18" t="n"/>
      <c r="H2182" s="18">
        <f>IF($A2182="","",IF(I2182&lt;&gt;"",I2182,Paramètres!B22))</f>
        <v/>
      </c>
      <c r="I2182" s="18" t="n"/>
    </row>
    <row r="2183">
      <c r="A2183" s="18">
        <f>IF(ISNUMBER(Dossiers!$D$44),Dossiers!$A$44&amp;" · "&amp;Dossiers!$B$44,"")</f>
        <v/>
      </c>
      <c r="B2183" s="18">
        <f>IF($A2183="","",Paramètres!G23)</f>
        <v/>
      </c>
      <c r="C2183" s="18">
        <f>IF($A2183="","",IF(Paramètres!H23="","",Paramètres!H23))</f>
        <v/>
      </c>
      <c r="D2183" s="18">
        <f>IF($A2183="","",IF(Paramètres!I23="","",Paramètres!I23))</f>
        <v/>
      </c>
      <c r="E2183" s="19">
        <f>IF($A2183="","",IF(Paramètres!J23&amp;Paramètres!L23&amp;Paramètres!N23="",Dossiers!$D$44,MAX(IF(Paramètres!J23="",0,IF(Paramètres!K23="",NA(),IF(LEFT(TRIM(Paramètres!K23),1)="F",INDEX($F$2165:$F$2217,MATCH(Paramètres!J23,Paramètres!$G$5:$G$57,0)),INDEX($E$2165:$E$2217,MATCH(Paramètres!J23,Paramètres!$G$5:$G$57,0)))+IF(RIGHT(TRIM(Paramètres!K23),3)="Fin",1-$H2183,IF(LEFT(TRIM(Paramètres!K23),1)="F",1,0)))),IF(Paramètres!L23="",0,IF(Paramètres!M23="",NA(),IF(LEFT(TRIM(Paramètres!M23),1)="F",INDEX($F$2165:$F$2217,MATCH(Paramètres!L23,Paramètres!$G$5:$G$57,0)),INDEX($E$2165:$E$2217,MATCH(Paramètres!L23,Paramètres!$G$5:$G$57,0)))+IF(RIGHT(TRIM(Paramètres!M23),3)="Fin",1-$H2183,IF(LEFT(TRIM(Paramètres!M23),1)="F",1,0)))),IF(Paramètres!N23="",0,IF(Paramètres!O23="",NA(),IF(LEFT(TRIM(Paramètres!O23),1)="F",INDEX($F$2165:$F$2217,MATCH(Paramètres!N23,Paramètres!$G$5:$G$57,0)),INDEX($E$2165:$E$2217,MATCH(Paramètres!N23,Paramètres!$G$5:$G$57,0)))+IF(RIGHT(TRIM(Paramètres!O23),3)="Fin",1-$H2183,IF(LEFT(TRIM(Paramètres!O23),1)="F",1,0)))))))</f>
        <v/>
      </c>
      <c r="F2183" s="19">
        <f>IF($A2183="","",E2183+$H2183-1)</f>
        <v/>
      </c>
      <c r="G2183" s="18" t="n"/>
      <c r="H2183" s="18">
        <f>IF($A2183="","",IF(I2183&lt;&gt;"",I2183,Paramètres!B23))</f>
        <v/>
      </c>
      <c r="I2183" s="18" t="n"/>
    </row>
    <row r="2184">
      <c r="A2184" s="18">
        <f>IF(ISNUMBER(Dossiers!$D$44),Dossiers!$A$44&amp;" · "&amp;Dossiers!$B$44,"")</f>
        <v/>
      </c>
      <c r="B2184" s="18">
        <f>IF($A2184="","",Paramètres!G24)</f>
        <v/>
      </c>
      <c r="C2184" s="18">
        <f>IF($A2184="","",IF(Paramètres!H24="","",Paramètres!H24))</f>
        <v/>
      </c>
      <c r="D2184" s="18">
        <f>IF($A2184="","",IF(Paramètres!I24="","",Paramètres!I24))</f>
        <v/>
      </c>
      <c r="E2184" s="19">
        <f>IF($A2184="","",IF(Paramètres!J24&amp;Paramètres!L24&amp;Paramètres!N24="",Dossiers!$D$44,MAX(IF(Paramètres!J24="",0,IF(Paramètres!K24="",NA(),IF(LEFT(TRIM(Paramètres!K24),1)="F",INDEX($F$2165:$F$2217,MATCH(Paramètres!J24,Paramètres!$G$5:$G$57,0)),INDEX($E$2165:$E$2217,MATCH(Paramètres!J24,Paramètres!$G$5:$G$57,0)))+IF(RIGHT(TRIM(Paramètres!K24),3)="Fin",1-$H2184,IF(LEFT(TRIM(Paramètres!K24),1)="F",1,0)))),IF(Paramètres!L24="",0,IF(Paramètres!M24="",NA(),IF(LEFT(TRIM(Paramètres!M24),1)="F",INDEX($F$2165:$F$2217,MATCH(Paramètres!L24,Paramètres!$G$5:$G$57,0)),INDEX($E$2165:$E$2217,MATCH(Paramètres!L24,Paramètres!$G$5:$G$57,0)))+IF(RIGHT(TRIM(Paramètres!M24),3)="Fin",1-$H2184,IF(LEFT(TRIM(Paramètres!M24),1)="F",1,0)))),IF(Paramètres!N24="",0,IF(Paramètres!O24="",NA(),IF(LEFT(TRIM(Paramètres!O24),1)="F",INDEX($F$2165:$F$2217,MATCH(Paramètres!N24,Paramètres!$G$5:$G$57,0)),INDEX($E$2165:$E$2217,MATCH(Paramètres!N24,Paramètres!$G$5:$G$57,0)))+IF(RIGHT(TRIM(Paramètres!O24),3)="Fin",1-$H2184,IF(LEFT(TRIM(Paramètres!O24),1)="F",1,0)))))))</f>
        <v/>
      </c>
      <c r="F2184" s="19">
        <f>IF($A2184="","",E2184+$H2184-1)</f>
        <v/>
      </c>
      <c r="G2184" s="18" t="n"/>
      <c r="H2184" s="18">
        <f>IF($A2184="","",IF(I2184&lt;&gt;"",I2184,Paramètres!B24))</f>
        <v/>
      </c>
      <c r="I2184" s="18" t="n"/>
    </row>
    <row r="2185">
      <c r="A2185" s="18">
        <f>IF(ISNUMBER(Dossiers!$D$44),Dossiers!$A$44&amp;" · "&amp;Dossiers!$B$44,"")</f>
        <v/>
      </c>
      <c r="B2185" s="18">
        <f>IF($A2185="","",Paramètres!G25)</f>
        <v/>
      </c>
      <c r="C2185" s="18">
        <f>IF($A2185="","",IF(Paramètres!H25="","",Paramètres!H25))</f>
        <v/>
      </c>
      <c r="D2185" s="18">
        <f>IF($A2185="","",IF(Paramètres!I25="","",Paramètres!I25))</f>
        <v/>
      </c>
      <c r="E2185" s="19">
        <f>IF($A2185="","",IF(Paramètres!J25&amp;Paramètres!L25&amp;Paramètres!N25="",Dossiers!$D$44,MAX(IF(Paramètres!J25="",0,IF(Paramètres!K25="",NA(),IF(LEFT(TRIM(Paramètres!K25),1)="F",INDEX($F$2165:$F$2217,MATCH(Paramètres!J25,Paramètres!$G$5:$G$57,0)),INDEX($E$2165:$E$2217,MATCH(Paramètres!J25,Paramètres!$G$5:$G$57,0)))+IF(RIGHT(TRIM(Paramètres!K25),3)="Fin",1-$H2185,IF(LEFT(TRIM(Paramètres!K25),1)="F",1,0)))),IF(Paramètres!L25="",0,IF(Paramètres!M25="",NA(),IF(LEFT(TRIM(Paramètres!M25),1)="F",INDEX($F$2165:$F$2217,MATCH(Paramètres!L25,Paramètres!$G$5:$G$57,0)),INDEX($E$2165:$E$2217,MATCH(Paramètres!L25,Paramètres!$G$5:$G$57,0)))+IF(RIGHT(TRIM(Paramètres!M25),3)="Fin",1-$H2185,IF(LEFT(TRIM(Paramètres!M25),1)="F",1,0)))),IF(Paramètres!N25="",0,IF(Paramètres!O25="",NA(),IF(LEFT(TRIM(Paramètres!O25),1)="F",INDEX($F$2165:$F$2217,MATCH(Paramètres!N25,Paramètres!$G$5:$G$57,0)),INDEX($E$2165:$E$2217,MATCH(Paramètres!N25,Paramètres!$G$5:$G$57,0)))+IF(RIGHT(TRIM(Paramètres!O25),3)="Fin",1-$H2185,IF(LEFT(TRIM(Paramètres!O25),1)="F",1,0)))))))</f>
        <v/>
      </c>
      <c r="F2185" s="19">
        <f>IF($A2185="","",E2185+$H2185-1)</f>
        <v/>
      </c>
      <c r="G2185" s="18" t="n"/>
      <c r="H2185" s="18">
        <f>IF($A2185="","",IF(I2185&lt;&gt;"",I2185,Paramètres!B25))</f>
        <v/>
      </c>
      <c r="I2185" s="18" t="n"/>
    </row>
    <row r="2186">
      <c r="A2186" s="18">
        <f>IF(ISNUMBER(Dossiers!$D$44),Dossiers!$A$44&amp;" · "&amp;Dossiers!$B$44,"")</f>
        <v/>
      </c>
      <c r="B2186" s="18">
        <f>IF($A2186="","",Paramètres!G26)</f>
        <v/>
      </c>
      <c r="C2186" s="18">
        <f>IF($A2186="","",IF(Paramètres!H26="","",Paramètres!H26))</f>
        <v/>
      </c>
      <c r="D2186" s="18">
        <f>IF($A2186="","",IF(Paramètres!I26="","",Paramètres!I26))</f>
        <v/>
      </c>
      <c r="E2186" s="19">
        <f>IF($A2186="","",IF(Paramètres!J26&amp;Paramètres!L26&amp;Paramètres!N26="",Dossiers!$D$44,MAX(IF(Paramètres!J26="",0,IF(Paramètres!K26="",NA(),IF(LEFT(TRIM(Paramètres!K26),1)="F",INDEX($F$2165:$F$2217,MATCH(Paramètres!J26,Paramètres!$G$5:$G$57,0)),INDEX($E$2165:$E$2217,MATCH(Paramètres!J26,Paramètres!$G$5:$G$57,0)))+IF(RIGHT(TRIM(Paramètres!K26),3)="Fin",1-$H2186,IF(LEFT(TRIM(Paramètres!K26),1)="F",1,0)))),IF(Paramètres!L26="",0,IF(Paramètres!M26="",NA(),IF(LEFT(TRIM(Paramètres!M26),1)="F",INDEX($F$2165:$F$2217,MATCH(Paramètres!L26,Paramètres!$G$5:$G$57,0)),INDEX($E$2165:$E$2217,MATCH(Paramètres!L26,Paramètres!$G$5:$G$57,0)))+IF(RIGHT(TRIM(Paramètres!M26),3)="Fin",1-$H2186,IF(LEFT(TRIM(Paramètres!M26),1)="F",1,0)))),IF(Paramètres!N26="",0,IF(Paramètres!O26="",NA(),IF(LEFT(TRIM(Paramètres!O26),1)="F",INDEX($F$2165:$F$2217,MATCH(Paramètres!N26,Paramètres!$G$5:$G$57,0)),INDEX($E$2165:$E$2217,MATCH(Paramètres!N26,Paramètres!$G$5:$G$57,0)))+IF(RIGHT(TRIM(Paramètres!O26),3)="Fin",1-$H2186,IF(LEFT(TRIM(Paramètres!O26),1)="F",1,0)))))))</f>
        <v/>
      </c>
      <c r="F2186" s="19">
        <f>IF($A2186="","",E2186+$H2186-1)</f>
        <v/>
      </c>
      <c r="G2186" s="18" t="n"/>
      <c r="H2186" s="18">
        <f>IF($A2186="","",IF(I2186&lt;&gt;"",I2186,Paramètres!B26))</f>
        <v/>
      </c>
      <c r="I2186" s="18" t="n"/>
    </row>
    <row r="2187">
      <c r="A2187" s="18">
        <f>IF(ISNUMBER(Dossiers!$D$44),Dossiers!$A$44&amp;" · "&amp;Dossiers!$B$44,"")</f>
        <v/>
      </c>
      <c r="B2187" s="18">
        <f>IF($A2187="","",Paramètres!G27)</f>
        <v/>
      </c>
      <c r="C2187" s="18">
        <f>IF($A2187="","",IF(Paramètres!H27="","",Paramètres!H27))</f>
        <v/>
      </c>
      <c r="D2187" s="18">
        <f>IF($A2187="","",IF(Paramètres!I27="","",Paramètres!I27))</f>
        <v/>
      </c>
      <c r="E2187" s="19">
        <f>IF($A2187="","",IF(Paramètres!J27&amp;Paramètres!L27&amp;Paramètres!N27="",Dossiers!$D$44,MAX(IF(Paramètres!J27="",0,IF(Paramètres!K27="",NA(),IF(LEFT(TRIM(Paramètres!K27),1)="F",INDEX($F$2165:$F$2217,MATCH(Paramètres!J27,Paramètres!$G$5:$G$57,0)),INDEX($E$2165:$E$2217,MATCH(Paramètres!J27,Paramètres!$G$5:$G$57,0)))+IF(RIGHT(TRIM(Paramètres!K27),3)="Fin",1-$H2187,IF(LEFT(TRIM(Paramètres!K27),1)="F",1,0)))),IF(Paramètres!L27="",0,IF(Paramètres!M27="",NA(),IF(LEFT(TRIM(Paramètres!M27),1)="F",INDEX($F$2165:$F$2217,MATCH(Paramètres!L27,Paramètres!$G$5:$G$57,0)),INDEX($E$2165:$E$2217,MATCH(Paramètres!L27,Paramètres!$G$5:$G$57,0)))+IF(RIGHT(TRIM(Paramètres!M27),3)="Fin",1-$H2187,IF(LEFT(TRIM(Paramètres!M27),1)="F",1,0)))),IF(Paramètres!N27="",0,IF(Paramètres!O27="",NA(),IF(LEFT(TRIM(Paramètres!O27),1)="F",INDEX($F$2165:$F$2217,MATCH(Paramètres!N27,Paramètres!$G$5:$G$57,0)),INDEX($E$2165:$E$2217,MATCH(Paramètres!N27,Paramètres!$G$5:$G$57,0)))+IF(RIGHT(TRIM(Paramètres!O27),3)="Fin",1-$H2187,IF(LEFT(TRIM(Paramètres!O27),1)="F",1,0)))))))</f>
        <v/>
      </c>
      <c r="F2187" s="19">
        <f>IF($A2187="","",E2187+$H2187-1)</f>
        <v/>
      </c>
      <c r="G2187" s="18" t="n"/>
      <c r="H2187" s="18">
        <f>IF($A2187="","",IF(I2187&lt;&gt;"",I2187,Paramètres!B27))</f>
        <v/>
      </c>
      <c r="I2187" s="18" t="n"/>
    </row>
    <row r="2188">
      <c r="A2188" s="18">
        <f>IF(ISNUMBER(Dossiers!$D$44),Dossiers!$A$44&amp;" · "&amp;Dossiers!$B$44,"")</f>
        <v/>
      </c>
      <c r="B2188" s="18">
        <f>IF($A2188="","",Paramètres!G28)</f>
        <v/>
      </c>
      <c r="C2188" s="18">
        <f>IF($A2188="","",IF(Paramètres!H28="","",Paramètres!H28))</f>
        <v/>
      </c>
      <c r="D2188" s="18">
        <f>IF($A2188="","",IF(Paramètres!I28="","",Paramètres!I28))</f>
        <v/>
      </c>
      <c r="E2188" s="19">
        <f>IF($A2188="","",IF(Paramètres!J28&amp;Paramètres!L28&amp;Paramètres!N28="",Dossiers!$D$44,MAX(IF(Paramètres!J28="",0,IF(Paramètres!K28="",NA(),IF(LEFT(TRIM(Paramètres!K28),1)="F",INDEX($F$2165:$F$2217,MATCH(Paramètres!J28,Paramètres!$G$5:$G$57,0)),INDEX($E$2165:$E$2217,MATCH(Paramètres!J28,Paramètres!$G$5:$G$57,0)))+IF(RIGHT(TRIM(Paramètres!K28),3)="Fin",1-$H2188,IF(LEFT(TRIM(Paramètres!K28),1)="F",1,0)))),IF(Paramètres!L28="",0,IF(Paramètres!M28="",NA(),IF(LEFT(TRIM(Paramètres!M28),1)="F",INDEX($F$2165:$F$2217,MATCH(Paramètres!L28,Paramètres!$G$5:$G$57,0)),INDEX($E$2165:$E$2217,MATCH(Paramètres!L28,Paramètres!$G$5:$G$57,0)))+IF(RIGHT(TRIM(Paramètres!M28),3)="Fin",1-$H2188,IF(LEFT(TRIM(Paramètres!M28),1)="F",1,0)))),IF(Paramètres!N28="",0,IF(Paramètres!O28="",NA(),IF(LEFT(TRIM(Paramètres!O28),1)="F",INDEX($F$2165:$F$2217,MATCH(Paramètres!N28,Paramètres!$G$5:$G$57,0)),INDEX($E$2165:$E$2217,MATCH(Paramètres!N28,Paramètres!$G$5:$G$57,0)))+IF(RIGHT(TRIM(Paramètres!O28),3)="Fin",1-$H2188,IF(LEFT(TRIM(Paramètres!O28),1)="F",1,0)))))))</f>
        <v/>
      </c>
      <c r="F2188" s="19">
        <f>IF($A2188="","",E2188+$H2188-1)</f>
        <v/>
      </c>
      <c r="G2188" s="18" t="n"/>
      <c r="H2188" s="18">
        <f>IF($A2188="","",IF(I2188&lt;&gt;"",I2188,Paramètres!B28))</f>
        <v/>
      </c>
      <c r="I2188" s="18" t="n"/>
    </row>
    <row r="2189">
      <c r="A2189" s="18">
        <f>IF(ISNUMBER(Dossiers!$D$44),Dossiers!$A$44&amp;" · "&amp;Dossiers!$B$44,"")</f>
        <v/>
      </c>
      <c r="B2189" s="18">
        <f>IF($A2189="","",Paramètres!G29)</f>
        <v/>
      </c>
      <c r="C2189" s="18">
        <f>IF($A2189="","",IF(Paramètres!H29="","",Paramètres!H29))</f>
        <v/>
      </c>
      <c r="D2189" s="18">
        <f>IF($A2189="","",IF(Paramètres!I29="","",Paramètres!I29))</f>
        <v/>
      </c>
      <c r="E2189" s="19">
        <f>IF($A2189="","",IF(Paramètres!J29&amp;Paramètres!L29&amp;Paramètres!N29="",Dossiers!$D$44,MAX(IF(Paramètres!J29="",0,IF(Paramètres!K29="",NA(),IF(LEFT(TRIM(Paramètres!K29),1)="F",INDEX($F$2165:$F$2217,MATCH(Paramètres!J29,Paramètres!$G$5:$G$57,0)),INDEX($E$2165:$E$2217,MATCH(Paramètres!J29,Paramètres!$G$5:$G$57,0)))+IF(RIGHT(TRIM(Paramètres!K29),3)="Fin",1-$H2189,IF(LEFT(TRIM(Paramètres!K29),1)="F",1,0)))),IF(Paramètres!L29="",0,IF(Paramètres!M29="",NA(),IF(LEFT(TRIM(Paramètres!M29),1)="F",INDEX($F$2165:$F$2217,MATCH(Paramètres!L29,Paramètres!$G$5:$G$57,0)),INDEX($E$2165:$E$2217,MATCH(Paramètres!L29,Paramètres!$G$5:$G$57,0)))+IF(RIGHT(TRIM(Paramètres!M29),3)="Fin",1-$H2189,IF(LEFT(TRIM(Paramètres!M29),1)="F",1,0)))),IF(Paramètres!N29="",0,IF(Paramètres!O29="",NA(),IF(LEFT(TRIM(Paramètres!O29),1)="F",INDEX($F$2165:$F$2217,MATCH(Paramètres!N29,Paramètres!$G$5:$G$57,0)),INDEX($E$2165:$E$2217,MATCH(Paramètres!N29,Paramètres!$G$5:$G$57,0)))+IF(RIGHT(TRIM(Paramètres!O29),3)="Fin",1-$H2189,IF(LEFT(TRIM(Paramètres!O29),1)="F",1,0)))))))</f>
        <v/>
      </c>
      <c r="F2189" s="19">
        <f>IF($A2189="","",E2189+$H2189-1)</f>
        <v/>
      </c>
      <c r="G2189" s="18" t="n"/>
      <c r="H2189" s="18">
        <f>IF($A2189="","",IF(I2189&lt;&gt;"",I2189,Paramètres!B29))</f>
        <v/>
      </c>
      <c r="I2189" s="18" t="n"/>
    </row>
    <row r="2190">
      <c r="A2190" s="18">
        <f>IF(ISNUMBER(Dossiers!$D$44),Dossiers!$A$44&amp;" · "&amp;Dossiers!$B$44,"")</f>
        <v/>
      </c>
      <c r="B2190" s="18">
        <f>IF($A2190="","",Paramètres!G30)</f>
        <v/>
      </c>
      <c r="C2190" s="18">
        <f>IF($A2190="","",IF(Paramètres!H30="","",Paramètres!H30))</f>
        <v/>
      </c>
      <c r="D2190" s="18">
        <f>IF($A2190="","",IF(Paramètres!I30="","",Paramètres!I30))</f>
        <v/>
      </c>
      <c r="E2190" s="19">
        <f>IF($A2190="","",IF(Paramètres!J30&amp;Paramètres!L30&amp;Paramètres!N30="",Dossiers!$D$44,MAX(IF(Paramètres!J30="",0,IF(Paramètres!K30="",NA(),IF(LEFT(TRIM(Paramètres!K30),1)="F",INDEX($F$2165:$F$2217,MATCH(Paramètres!J30,Paramètres!$G$5:$G$57,0)),INDEX($E$2165:$E$2217,MATCH(Paramètres!J30,Paramètres!$G$5:$G$57,0)))+IF(RIGHT(TRIM(Paramètres!K30),3)="Fin",1-$H2190,IF(LEFT(TRIM(Paramètres!K30),1)="F",1,0)))),IF(Paramètres!L30="",0,IF(Paramètres!M30="",NA(),IF(LEFT(TRIM(Paramètres!M30),1)="F",INDEX($F$2165:$F$2217,MATCH(Paramètres!L30,Paramètres!$G$5:$G$57,0)),INDEX($E$2165:$E$2217,MATCH(Paramètres!L30,Paramètres!$G$5:$G$57,0)))+IF(RIGHT(TRIM(Paramètres!M30),3)="Fin",1-$H2190,IF(LEFT(TRIM(Paramètres!M30),1)="F",1,0)))),IF(Paramètres!N30="",0,IF(Paramètres!O30="",NA(),IF(LEFT(TRIM(Paramètres!O30),1)="F",INDEX($F$2165:$F$2217,MATCH(Paramètres!N30,Paramètres!$G$5:$G$57,0)),INDEX($E$2165:$E$2217,MATCH(Paramètres!N30,Paramètres!$G$5:$G$57,0)))+IF(RIGHT(TRIM(Paramètres!O30),3)="Fin",1-$H2190,IF(LEFT(TRIM(Paramètres!O30),1)="F",1,0)))))))</f>
        <v/>
      </c>
      <c r="F2190" s="19">
        <f>IF($A2190="","",E2190+$H2190-1)</f>
        <v/>
      </c>
      <c r="G2190" s="18" t="n"/>
      <c r="H2190" s="18">
        <f>IF($A2190="","",IF(I2190&lt;&gt;"",I2190,Paramètres!B30))</f>
        <v/>
      </c>
      <c r="I2190" s="18" t="n"/>
    </row>
    <row r="2191">
      <c r="A2191" s="18">
        <f>IF(ISNUMBER(Dossiers!$D$44),Dossiers!$A$44&amp;" · "&amp;Dossiers!$B$44,"")</f>
        <v/>
      </c>
      <c r="B2191" s="18">
        <f>IF($A2191="","",Paramètres!G31)</f>
        <v/>
      </c>
      <c r="C2191" s="20">
        <f>IF($A2191="","",IF(Dossiers!$F$44="","",Dossiers!$F$44))</f>
        <v/>
      </c>
      <c r="D2191" s="18">
        <f>IF($A2191="","",IF(Paramètres!I31="","",Paramètres!I31))</f>
        <v/>
      </c>
      <c r="E2191" s="19">
        <f>IF($A2191="","",IF(Paramètres!J31&amp;Paramètres!L31&amp;Paramètres!N31="",Dossiers!$D$44,MAX(IF(Paramètres!J31="",0,IF(Paramètres!K31="",NA(),IF(LEFT(TRIM(Paramètres!K31),1)="F",INDEX($F$2165:$F$2217,MATCH(Paramètres!J31,Paramètres!$G$5:$G$57,0)),INDEX($E$2165:$E$2217,MATCH(Paramètres!J31,Paramètres!$G$5:$G$57,0)))+IF(RIGHT(TRIM(Paramètres!K31),3)="Fin",1-$H2191,IF(LEFT(TRIM(Paramètres!K31),1)="F",1,0)))),IF(Paramètres!L31="",0,IF(Paramètres!M31="",NA(),IF(LEFT(TRIM(Paramètres!M31),1)="F",INDEX($F$2165:$F$2217,MATCH(Paramètres!L31,Paramètres!$G$5:$G$57,0)),INDEX($E$2165:$E$2217,MATCH(Paramètres!L31,Paramètres!$G$5:$G$57,0)))+IF(RIGHT(TRIM(Paramètres!M31),3)="Fin",1-$H2191,IF(LEFT(TRIM(Paramètres!M31),1)="F",1,0)))),IF(Paramètres!N31="",0,IF(Paramètres!O31="",NA(),IF(LEFT(TRIM(Paramètres!O31),1)="F",INDEX($F$2165:$F$2217,MATCH(Paramètres!N31,Paramètres!$G$5:$G$57,0)),INDEX($E$2165:$E$2217,MATCH(Paramètres!N31,Paramètres!$G$5:$G$57,0)))+IF(RIGHT(TRIM(Paramètres!O31),3)="Fin",1-$H2191,IF(LEFT(TRIM(Paramètres!O31),1)="F",1,0)))))))</f>
        <v/>
      </c>
      <c r="F2191" s="19">
        <f>IF($A2191="","",E2191+$H2191-1)</f>
        <v/>
      </c>
      <c r="G2191" s="18" t="n"/>
      <c r="H2191" s="18">
        <f>IF($A2191="","",IF(I2191&lt;&gt;"",I2191,Paramètres!B31))</f>
        <v/>
      </c>
      <c r="I2191" s="18" t="n"/>
    </row>
    <row r="2192">
      <c r="A2192" s="18">
        <f>IF(ISNUMBER(Dossiers!$D$44),Dossiers!$A$44&amp;" · "&amp;Dossiers!$B$44,"")</f>
        <v/>
      </c>
      <c r="B2192" s="18">
        <f>IF($A2192="","",Paramètres!G32)</f>
        <v/>
      </c>
      <c r="C2192" s="18">
        <f>IF($A2192="","",IF(Paramètres!H32="","",Paramètres!H32))</f>
        <v/>
      </c>
      <c r="D2192" s="18">
        <f>IF($A2192="","",IF(Paramètres!I32="","",Paramètres!I32))</f>
        <v/>
      </c>
      <c r="E2192" s="19">
        <f>IF($A2192="","",MIN(E2193:E2196))</f>
        <v/>
      </c>
      <c r="F2192" s="19">
        <f>IF($A2192="","",MAX(F2193:F2196))</f>
        <v/>
      </c>
      <c r="G2192" s="18" t="n"/>
      <c r="H2192" s="18">
        <f>IF($A2192="","",F2192-E2192+1)</f>
        <v/>
      </c>
      <c r="I2192" s="18" t="n"/>
    </row>
    <row r="2193">
      <c r="A2193" s="18">
        <f>IF(ISNUMBER(Dossiers!$D$44),Dossiers!$A$44&amp;" · "&amp;Dossiers!$B$44,"")</f>
        <v/>
      </c>
      <c r="B2193" s="18">
        <f>IF($A2193="","",Paramètres!G33)</f>
        <v/>
      </c>
      <c r="C2193" s="18">
        <f>IF($A2193="","",IF(Paramètres!H33="","",Paramètres!H33))</f>
        <v/>
      </c>
      <c r="D2193" s="18">
        <f>IF($A2193="","",IF(Paramètres!I33="","",Paramètres!I33))</f>
        <v/>
      </c>
      <c r="E2193" s="19">
        <f>IF($A2193="","",IF(Paramètres!J33&amp;Paramètres!L33&amp;Paramètres!N33="",Dossiers!$D$44,MAX(IF(Paramètres!J33="",0,IF(Paramètres!K33="",NA(),IF(LEFT(TRIM(Paramètres!K33),1)="F",INDEX($F$2165:$F$2217,MATCH(Paramètres!J33,Paramètres!$G$5:$G$57,0)),INDEX($E$2165:$E$2217,MATCH(Paramètres!J33,Paramètres!$G$5:$G$57,0)))+IF(RIGHT(TRIM(Paramètres!K33),3)="Fin",1-$H2193,IF(LEFT(TRIM(Paramètres!K33),1)="F",1,0)))),IF(Paramètres!L33="",0,IF(Paramètres!M33="",NA(),IF(LEFT(TRIM(Paramètres!M33),1)="F",INDEX($F$2165:$F$2217,MATCH(Paramètres!L33,Paramètres!$G$5:$G$57,0)),INDEX($E$2165:$E$2217,MATCH(Paramètres!L33,Paramètres!$G$5:$G$57,0)))+IF(RIGHT(TRIM(Paramètres!M33),3)="Fin",1-$H2193,IF(LEFT(TRIM(Paramètres!M33),1)="F",1,0)))),IF(Paramètres!N33="",0,IF(Paramètres!O33="",NA(),IF(LEFT(TRIM(Paramètres!O33),1)="F",INDEX($F$2165:$F$2217,MATCH(Paramètres!N33,Paramètres!$G$5:$G$57,0)),INDEX($E$2165:$E$2217,MATCH(Paramètres!N33,Paramètres!$G$5:$G$57,0)))+IF(RIGHT(TRIM(Paramètres!O33),3)="Fin",1-$H2193,IF(LEFT(TRIM(Paramètres!O33),1)="F",1,0)))))))</f>
        <v/>
      </c>
      <c r="F2193" s="19">
        <f>IF($A2193="","",E2193+$H2193-1)</f>
        <v/>
      </c>
      <c r="G2193" s="18" t="n"/>
      <c r="H2193" s="18">
        <f>IF($A2193="","",IF(I2193&lt;&gt;"",I2193,Paramètres!B33))</f>
        <v/>
      </c>
      <c r="I2193" s="18" t="n"/>
    </row>
    <row r="2194">
      <c r="A2194" s="18">
        <f>IF(ISNUMBER(Dossiers!$D$44),Dossiers!$A$44&amp;" · "&amp;Dossiers!$B$44,"")</f>
        <v/>
      </c>
      <c r="B2194" s="18">
        <f>IF($A2194="","",Paramètres!G34)</f>
        <v/>
      </c>
      <c r="C2194" s="18">
        <f>IF($A2194="","",IF(Paramètres!H34="","",Paramètres!H34))</f>
        <v/>
      </c>
      <c r="D2194" s="18">
        <f>IF($A2194="","",IF(Paramètres!I34="","",Paramètres!I34))</f>
        <v/>
      </c>
      <c r="E2194" s="19">
        <f>IF($A2194="","",IF(Paramètres!J34&amp;Paramètres!L34&amp;Paramètres!N34="",Dossiers!$D$44,MAX(IF(Paramètres!J34="",0,IF(Paramètres!K34="",NA(),IF(LEFT(TRIM(Paramètres!K34),1)="F",INDEX($F$2165:$F$2217,MATCH(Paramètres!J34,Paramètres!$G$5:$G$57,0)),INDEX($E$2165:$E$2217,MATCH(Paramètres!J34,Paramètres!$G$5:$G$57,0)))+IF(RIGHT(TRIM(Paramètres!K34),3)="Fin",1-$H2194,IF(LEFT(TRIM(Paramètres!K34),1)="F",1,0)))),IF(Paramètres!L34="",0,IF(Paramètres!M34="",NA(),IF(LEFT(TRIM(Paramètres!M34),1)="F",INDEX($F$2165:$F$2217,MATCH(Paramètres!L34,Paramètres!$G$5:$G$57,0)),INDEX($E$2165:$E$2217,MATCH(Paramètres!L34,Paramètres!$G$5:$G$57,0)))+IF(RIGHT(TRIM(Paramètres!M34),3)="Fin",1-$H2194,IF(LEFT(TRIM(Paramètres!M34),1)="F",1,0)))),IF(Paramètres!N34="",0,IF(Paramètres!O34="",NA(),IF(LEFT(TRIM(Paramètres!O34),1)="F",INDEX($F$2165:$F$2217,MATCH(Paramètres!N34,Paramètres!$G$5:$G$57,0)),INDEX($E$2165:$E$2217,MATCH(Paramètres!N34,Paramètres!$G$5:$G$57,0)))+IF(RIGHT(TRIM(Paramètres!O34),3)="Fin",1-$H2194,IF(LEFT(TRIM(Paramètres!O34),1)="F",1,0)))))))</f>
        <v/>
      </c>
      <c r="F2194" s="19">
        <f>IF($A2194="","",E2194+$H2194-1)</f>
        <v/>
      </c>
      <c r="G2194" s="18" t="n"/>
      <c r="H2194" s="18">
        <f>IF($A2194="","",IF(I2194&lt;&gt;"",I2194,Paramètres!B34))</f>
        <v/>
      </c>
      <c r="I2194" s="18" t="n"/>
    </row>
    <row r="2195">
      <c r="A2195" s="18">
        <f>IF(ISNUMBER(Dossiers!$D$44),Dossiers!$A$44&amp;" · "&amp;Dossiers!$B$44,"")</f>
        <v/>
      </c>
      <c r="B2195" s="18">
        <f>IF($A2195="","",Paramètres!G35)</f>
        <v/>
      </c>
      <c r="C2195" s="18">
        <f>IF($A2195="","",IF(Paramètres!H35="","",Paramètres!H35))</f>
        <v/>
      </c>
      <c r="D2195" s="18">
        <f>IF($A2195="","",IF(Paramètres!I35="","",Paramètres!I35))</f>
        <v/>
      </c>
      <c r="E2195" s="19">
        <f>IF($A2195="","",IF(Paramètres!J35&amp;Paramètres!L35&amp;Paramètres!N35="",Dossiers!$D$44,MAX(IF(Paramètres!J35="",0,IF(Paramètres!K35="",NA(),IF(LEFT(TRIM(Paramètres!K35),1)="F",INDEX($F$2165:$F$2217,MATCH(Paramètres!J35,Paramètres!$G$5:$G$57,0)),INDEX($E$2165:$E$2217,MATCH(Paramètres!J35,Paramètres!$G$5:$G$57,0)))+IF(RIGHT(TRIM(Paramètres!K35),3)="Fin",1-$H2195,IF(LEFT(TRIM(Paramètres!K35),1)="F",1,0)))),IF(Paramètres!L35="",0,IF(Paramètres!M35="",NA(),IF(LEFT(TRIM(Paramètres!M35),1)="F",INDEX($F$2165:$F$2217,MATCH(Paramètres!L35,Paramètres!$G$5:$G$57,0)),INDEX($E$2165:$E$2217,MATCH(Paramètres!L35,Paramètres!$G$5:$G$57,0)))+IF(RIGHT(TRIM(Paramètres!M35),3)="Fin",1-$H2195,IF(LEFT(TRIM(Paramètres!M35),1)="F",1,0)))),IF(Paramètres!N35="",0,IF(Paramètres!O35="",NA(),IF(LEFT(TRIM(Paramètres!O35),1)="F",INDEX($F$2165:$F$2217,MATCH(Paramètres!N35,Paramètres!$G$5:$G$57,0)),INDEX($E$2165:$E$2217,MATCH(Paramètres!N35,Paramètres!$G$5:$G$57,0)))+IF(RIGHT(TRIM(Paramètres!O35),3)="Fin",1-$H2195,IF(LEFT(TRIM(Paramètres!O35),1)="F",1,0)))))))</f>
        <v/>
      </c>
      <c r="F2195" s="19">
        <f>IF($A2195="","",E2195+$H2195-1)</f>
        <v/>
      </c>
      <c r="G2195" s="18" t="n"/>
      <c r="H2195" s="18">
        <f>IF($A2195="","",IF(I2195&lt;&gt;"",I2195,Paramètres!B35))</f>
        <v/>
      </c>
      <c r="I2195" s="18" t="n"/>
    </row>
    <row r="2196">
      <c r="A2196" s="18">
        <f>IF(ISNUMBER(Dossiers!$D$44),Dossiers!$A$44&amp;" · "&amp;Dossiers!$B$44,"")</f>
        <v/>
      </c>
      <c r="B2196" s="18">
        <f>IF($A2196="","",Paramètres!G36)</f>
        <v/>
      </c>
      <c r="C2196" s="18">
        <f>IF($A2196="","",IF(Paramètres!H36="","",Paramètres!H36))</f>
        <v/>
      </c>
      <c r="D2196" s="18">
        <f>IF($A2196="","",IF(Paramètres!I36="","",Paramètres!I36))</f>
        <v/>
      </c>
      <c r="E2196" s="19">
        <f>IF($A2196="","",IF(Paramètres!J36&amp;Paramètres!L36&amp;Paramètres!N36="",Dossiers!$D$44,MAX(IF(Paramètres!J36="",0,IF(Paramètres!K36="",NA(),IF(LEFT(TRIM(Paramètres!K36),1)="F",INDEX($F$2165:$F$2217,MATCH(Paramètres!J36,Paramètres!$G$5:$G$57,0)),INDEX($E$2165:$E$2217,MATCH(Paramètres!J36,Paramètres!$G$5:$G$57,0)))+IF(RIGHT(TRIM(Paramètres!K36),3)="Fin",1-$H2196,IF(LEFT(TRIM(Paramètres!K36),1)="F",1,0)))),IF(Paramètres!L36="",0,IF(Paramètres!M36="",NA(),IF(LEFT(TRIM(Paramètres!M36),1)="F",INDEX($F$2165:$F$2217,MATCH(Paramètres!L36,Paramètres!$G$5:$G$57,0)),INDEX($E$2165:$E$2217,MATCH(Paramètres!L36,Paramètres!$G$5:$G$57,0)))+IF(RIGHT(TRIM(Paramètres!M36),3)="Fin",1-$H2196,IF(LEFT(TRIM(Paramètres!M36),1)="F",1,0)))),IF(Paramètres!N36="",0,IF(Paramètres!O36="",NA(),IF(LEFT(TRIM(Paramètres!O36),1)="F",INDEX($F$2165:$F$2217,MATCH(Paramètres!N36,Paramètres!$G$5:$G$57,0)),INDEX($E$2165:$E$2217,MATCH(Paramètres!N36,Paramètres!$G$5:$G$57,0)))+IF(RIGHT(TRIM(Paramètres!O36),3)="Fin",1-$H2196,IF(LEFT(TRIM(Paramètres!O36),1)="F",1,0)))))))</f>
        <v/>
      </c>
      <c r="F2196" s="19">
        <f>IF($A2196="","",E2196+$H2196-1)</f>
        <v/>
      </c>
      <c r="G2196" s="18" t="n"/>
      <c r="H2196" s="18">
        <f>IF($A2196="","",IF(I2196&lt;&gt;"",I2196,Paramètres!B36))</f>
        <v/>
      </c>
      <c r="I2196" s="18" t="n"/>
    </row>
    <row r="2197">
      <c r="A2197" s="18">
        <f>IF(ISNUMBER(Dossiers!$D$44),Dossiers!$A$44&amp;" · "&amp;Dossiers!$B$44,"")</f>
        <v/>
      </c>
      <c r="B2197" s="18">
        <f>IF($A2197="","",Paramètres!G37)</f>
        <v/>
      </c>
      <c r="C2197" s="18">
        <f>IF($A2197="","",IF(Paramètres!H37="","",Paramètres!H37))</f>
        <v/>
      </c>
      <c r="D2197" s="18">
        <f>IF($A2197="","",IF(Paramètres!I37="","",Paramètres!I37))</f>
        <v/>
      </c>
      <c r="E2197" s="19">
        <f>IF($A2197="","",MIN(E2198:E2215))</f>
        <v/>
      </c>
      <c r="F2197" s="19">
        <f>IF($A2197="","",MAX(F2198:F2215))</f>
        <v/>
      </c>
      <c r="G2197" s="18" t="n"/>
      <c r="H2197" s="18">
        <f>IF($A2197="","",F2197-E2197+1)</f>
        <v/>
      </c>
      <c r="I2197" s="18" t="n"/>
    </row>
    <row r="2198">
      <c r="A2198" s="18">
        <f>IF(ISNUMBER(Dossiers!$D$44),Dossiers!$A$44&amp;" · "&amp;Dossiers!$B$44,"")</f>
        <v/>
      </c>
      <c r="B2198" s="18">
        <f>IF($A2198="","",Paramètres!G38)</f>
        <v/>
      </c>
      <c r="C2198" s="18">
        <f>IF($A2198="","",IF(Paramètres!H38="","",Paramètres!H38))</f>
        <v/>
      </c>
      <c r="D2198" s="18">
        <f>IF($A2198="","",IF(Paramètres!I38="","",Paramètres!I38))</f>
        <v/>
      </c>
      <c r="E2198" s="19">
        <f>IF($A2198="","",IF(Paramètres!J38&amp;Paramètres!L38&amp;Paramètres!N38="",Dossiers!$D$44,MAX(IF(Paramètres!J38="",0,IF(Paramètres!K38="",NA(),IF(LEFT(TRIM(Paramètres!K38),1)="F",INDEX($F$2165:$F$2217,MATCH(Paramètres!J38,Paramètres!$G$5:$G$57,0)),INDEX($E$2165:$E$2217,MATCH(Paramètres!J38,Paramètres!$G$5:$G$57,0)))+IF(RIGHT(TRIM(Paramètres!K38),3)="Fin",1-$H2198,IF(LEFT(TRIM(Paramètres!K38),1)="F",1,0)))),IF(Paramètres!L38="",0,IF(Paramètres!M38="",NA(),IF(LEFT(TRIM(Paramètres!M38),1)="F",INDEX($F$2165:$F$2217,MATCH(Paramètres!L38,Paramètres!$G$5:$G$57,0)),INDEX($E$2165:$E$2217,MATCH(Paramètres!L38,Paramètres!$G$5:$G$57,0)))+IF(RIGHT(TRIM(Paramètres!M38),3)="Fin",1-$H2198,IF(LEFT(TRIM(Paramètres!M38),1)="F",1,0)))),IF(Paramètres!N38="",0,IF(Paramètres!O38="",NA(),IF(LEFT(TRIM(Paramètres!O38),1)="F",INDEX($F$2165:$F$2217,MATCH(Paramètres!N38,Paramètres!$G$5:$G$57,0)),INDEX($E$2165:$E$2217,MATCH(Paramètres!N38,Paramètres!$G$5:$G$57,0)))+IF(RIGHT(TRIM(Paramètres!O38),3)="Fin",1-$H2198,IF(LEFT(TRIM(Paramètres!O38),1)="F",1,0)))))))</f>
        <v/>
      </c>
      <c r="F2198" s="19">
        <f>IF($A2198="","",E2198+$H2198-1)</f>
        <v/>
      </c>
      <c r="G2198" s="18" t="n"/>
      <c r="H2198" s="18">
        <f>IF($A2198="","",IF(I2198&lt;&gt;"",I2198,Paramètres!B38))</f>
        <v/>
      </c>
      <c r="I2198" s="18" t="n"/>
    </row>
    <row r="2199">
      <c r="A2199" s="18">
        <f>IF(ISNUMBER(Dossiers!$D$44),Dossiers!$A$44&amp;" · "&amp;Dossiers!$B$44,"")</f>
        <v/>
      </c>
      <c r="B2199" s="18">
        <f>IF($A2199="","",Paramètres!G39)</f>
        <v/>
      </c>
      <c r="C2199" s="18">
        <f>IF($A2199="","",IF(Paramètres!H39="","",Paramètres!H39))</f>
        <v/>
      </c>
      <c r="D2199" s="18">
        <f>IF($A2199="","",IF(Paramètres!I39="","",Paramètres!I39))</f>
        <v/>
      </c>
      <c r="E2199" s="19">
        <f>IF($A2199="","",IF(Paramètres!J39&amp;Paramètres!L39&amp;Paramètres!N39="",Dossiers!$D$44,MAX(IF(Paramètres!J39="",0,IF(Paramètres!K39="",NA(),IF(LEFT(TRIM(Paramètres!K39),1)="F",INDEX($F$2165:$F$2217,MATCH(Paramètres!J39,Paramètres!$G$5:$G$57,0)),INDEX($E$2165:$E$2217,MATCH(Paramètres!J39,Paramètres!$G$5:$G$57,0)))+IF(RIGHT(TRIM(Paramètres!K39),3)="Fin",1-$H2199,IF(LEFT(TRIM(Paramètres!K39),1)="F",1,0)))),IF(Paramètres!L39="",0,IF(Paramètres!M39="",NA(),IF(LEFT(TRIM(Paramètres!M39),1)="F",INDEX($F$2165:$F$2217,MATCH(Paramètres!L39,Paramètres!$G$5:$G$57,0)),INDEX($E$2165:$E$2217,MATCH(Paramètres!L39,Paramètres!$G$5:$G$57,0)))+IF(RIGHT(TRIM(Paramètres!M39),3)="Fin",1-$H2199,IF(LEFT(TRIM(Paramètres!M39),1)="F",1,0)))),IF(Paramètres!N39="",0,IF(Paramètres!O39="",NA(),IF(LEFT(TRIM(Paramètres!O39),1)="F",INDEX($F$2165:$F$2217,MATCH(Paramètres!N39,Paramètres!$G$5:$G$57,0)),INDEX($E$2165:$E$2217,MATCH(Paramètres!N39,Paramètres!$G$5:$G$57,0)))+IF(RIGHT(TRIM(Paramètres!O39),3)="Fin",1-$H2199,IF(LEFT(TRIM(Paramètres!O39),1)="F",1,0)))))))</f>
        <v/>
      </c>
      <c r="F2199" s="19">
        <f>IF($A2199="","",E2199+$H2199-1)</f>
        <v/>
      </c>
      <c r="G2199" s="18" t="n"/>
      <c r="H2199" s="18">
        <f>IF($A2199="","",IF(I2199&lt;&gt;"",I2199,Paramètres!B39))</f>
        <v/>
      </c>
      <c r="I2199" s="18" t="n"/>
    </row>
    <row r="2200">
      <c r="A2200" s="18">
        <f>IF(ISNUMBER(Dossiers!$D$44),Dossiers!$A$44&amp;" · "&amp;Dossiers!$B$44,"")</f>
        <v/>
      </c>
      <c r="B2200" s="18">
        <f>IF($A2200="","",Paramètres!G40)</f>
        <v/>
      </c>
      <c r="C2200" s="18">
        <f>IF($A2200="","",IF(Paramètres!H40="","",Paramètres!H40))</f>
        <v/>
      </c>
      <c r="D2200" s="18">
        <f>IF($A2200="","",IF(Paramètres!I40="","",Paramètres!I40))</f>
        <v/>
      </c>
      <c r="E2200" s="19">
        <f>IF($A2200="","",IF(Paramètres!J40&amp;Paramètres!L40&amp;Paramètres!N40="",Dossiers!$D$44,MAX(IF(Paramètres!J40="",0,IF(Paramètres!K40="",NA(),IF(LEFT(TRIM(Paramètres!K40),1)="F",INDEX($F$2165:$F$2217,MATCH(Paramètres!J40,Paramètres!$G$5:$G$57,0)),INDEX($E$2165:$E$2217,MATCH(Paramètres!J40,Paramètres!$G$5:$G$57,0)))+IF(RIGHT(TRIM(Paramètres!K40),3)="Fin",1-$H2200,IF(LEFT(TRIM(Paramètres!K40),1)="F",1,0)))),IF(Paramètres!L40="",0,IF(Paramètres!M40="",NA(),IF(LEFT(TRIM(Paramètres!M40),1)="F",INDEX($F$2165:$F$2217,MATCH(Paramètres!L40,Paramètres!$G$5:$G$57,0)),INDEX($E$2165:$E$2217,MATCH(Paramètres!L40,Paramètres!$G$5:$G$57,0)))+IF(RIGHT(TRIM(Paramètres!M40),3)="Fin",1-$H2200,IF(LEFT(TRIM(Paramètres!M40),1)="F",1,0)))),IF(Paramètres!N40="",0,IF(Paramètres!O40="",NA(),IF(LEFT(TRIM(Paramètres!O40),1)="F",INDEX($F$2165:$F$2217,MATCH(Paramètres!N40,Paramètres!$G$5:$G$57,0)),INDEX($E$2165:$E$2217,MATCH(Paramètres!N40,Paramètres!$G$5:$G$57,0)))+IF(RIGHT(TRIM(Paramètres!O40),3)="Fin",1-$H2200,IF(LEFT(TRIM(Paramètres!O40),1)="F",1,0)))))))</f>
        <v/>
      </c>
      <c r="F2200" s="19">
        <f>IF($A2200="","",E2200+$H2200-1)</f>
        <v/>
      </c>
      <c r="G2200" s="18" t="n"/>
      <c r="H2200" s="18">
        <f>IF($A2200="","",IF(I2200&lt;&gt;"",I2200,Paramètres!B40))</f>
        <v/>
      </c>
      <c r="I2200" s="18" t="n"/>
    </row>
    <row r="2201">
      <c r="A2201" s="18">
        <f>IF(ISNUMBER(Dossiers!$D$44),Dossiers!$A$44&amp;" · "&amp;Dossiers!$B$44,"")</f>
        <v/>
      </c>
      <c r="B2201" s="18">
        <f>IF($A2201="","",Paramètres!G41)</f>
        <v/>
      </c>
      <c r="C2201" s="18">
        <f>IF($A2201="","",IF(Paramètres!H41="","",Paramètres!H41))</f>
        <v/>
      </c>
      <c r="D2201" s="18">
        <f>IF($A2201="","",IF(Paramètres!I41="","",Paramètres!I41))</f>
        <v/>
      </c>
      <c r="E2201" s="19">
        <f>IF($A2201="","",IF(Paramètres!J41&amp;Paramètres!L41&amp;Paramètres!N41="",Dossiers!$D$44,MAX(IF(Paramètres!J41="",0,IF(Paramètres!K41="",NA(),IF(LEFT(TRIM(Paramètres!K41),1)="F",INDEX($F$2165:$F$2217,MATCH(Paramètres!J41,Paramètres!$G$5:$G$57,0)),INDEX($E$2165:$E$2217,MATCH(Paramètres!J41,Paramètres!$G$5:$G$57,0)))+IF(RIGHT(TRIM(Paramètres!K41),3)="Fin",1-$H2201,IF(LEFT(TRIM(Paramètres!K41),1)="F",1,0)))),IF(Paramètres!L41="",0,IF(Paramètres!M41="",NA(),IF(LEFT(TRIM(Paramètres!M41),1)="F",INDEX($F$2165:$F$2217,MATCH(Paramètres!L41,Paramètres!$G$5:$G$57,0)),INDEX($E$2165:$E$2217,MATCH(Paramètres!L41,Paramètres!$G$5:$G$57,0)))+IF(RIGHT(TRIM(Paramètres!M41),3)="Fin",1-$H2201,IF(LEFT(TRIM(Paramètres!M41),1)="F",1,0)))),IF(Paramètres!N41="",0,IF(Paramètres!O41="",NA(),IF(LEFT(TRIM(Paramètres!O41),1)="F",INDEX($F$2165:$F$2217,MATCH(Paramètres!N41,Paramètres!$G$5:$G$57,0)),INDEX($E$2165:$E$2217,MATCH(Paramètres!N41,Paramètres!$G$5:$G$57,0)))+IF(RIGHT(TRIM(Paramètres!O41),3)="Fin",1-$H2201,IF(LEFT(TRIM(Paramètres!O41),1)="F",1,0)))))))</f>
        <v/>
      </c>
      <c r="F2201" s="19">
        <f>IF($A2201="","",E2201+$H2201-1)</f>
        <v/>
      </c>
      <c r="G2201" s="18" t="n"/>
      <c r="H2201" s="18">
        <f>IF($A2201="","",IF(I2201&lt;&gt;"",I2201,Paramètres!B41))</f>
        <v/>
      </c>
      <c r="I2201" s="18" t="n"/>
    </row>
    <row r="2202">
      <c r="A2202" s="18">
        <f>IF(ISNUMBER(Dossiers!$D$44),Dossiers!$A$44&amp;" · "&amp;Dossiers!$B$44,"")</f>
        <v/>
      </c>
      <c r="B2202" s="18">
        <f>IF($A2202="","",Paramètres!G42)</f>
        <v/>
      </c>
      <c r="C2202" s="18">
        <f>IF($A2202="","",IF(Paramètres!H42="","",Paramètres!H42))</f>
        <v/>
      </c>
      <c r="D2202" s="18">
        <f>IF($A2202="","",IF(Paramètres!I42="","",Paramètres!I42))</f>
        <v/>
      </c>
      <c r="E2202" s="19">
        <f>IF($A2202="","",IF(Paramètres!J42&amp;Paramètres!L42&amp;Paramètres!N42="",Dossiers!$D$44,MAX(IF(Paramètres!J42="",0,IF(Paramètres!K42="",NA(),IF(LEFT(TRIM(Paramètres!K42),1)="F",INDEX($F$2165:$F$2217,MATCH(Paramètres!J42,Paramètres!$G$5:$G$57,0)),INDEX($E$2165:$E$2217,MATCH(Paramètres!J42,Paramètres!$G$5:$G$57,0)))+IF(RIGHT(TRIM(Paramètres!K42),3)="Fin",1-$H2202,IF(LEFT(TRIM(Paramètres!K42),1)="F",1,0)))),IF(Paramètres!L42="",0,IF(Paramètres!M42="",NA(),IF(LEFT(TRIM(Paramètres!M42),1)="F",INDEX($F$2165:$F$2217,MATCH(Paramètres!L42,Paramètres!$G$5:$G$57,0)),INDEX($E$2165:$E$2217,MATCH(Paramètres!L42,Paramètres!$G$5:$G$57,0)))+IF(RIGHT(TRIM(Paramètres!M42),3)="Fin",1-$H2202,IF(LEFT(TRIM(Paramètres!M42),1)="F",1,0)))),IF(Paramètres!N42="",0,IF(Paramètres!O42="",NA(),IF(LEFT(TRIM(Paramètres!O42),1)="F",INDEX($F$2165:$F$2217,MATCH(Paramètres!N42,Paramètres!$G$5:$G$57,0)),INDEX($E$2165:$E$2217,MATCH(Paramètres!N42,Paramètres!$G$5:$G$57,0)))+IF(RIGHT(TRIM(Paramètres!O42),3)="Fin",1-$H2202,IF(LEFT(TRIM(Paramètres!O42),1)="F",1,0)))))))</f>
        <v/>
      </c>
      <c r="F2202" s="19">
        <f>IF($A2202="","",E2202+$H2202-1)</f>
        <v/>
      </c>
      <c r="G2202" s="18" t="n"/>
      <c r="H2202" s="18">
        <f>IF($A2202="","",IF(I2202&lt;&gt;"",I2202,Paramètres!B42))</f>
        <v/>
      </c>
      <c r="I2202" s="18" t="n"/>
    </row>
    <row r="2203">
      <c r="A2203" s="18">
        <f>IF(ISNUMBER(Dossiers!$D$44),Dossiers!$A$44&amp;" · "&amp;Dossiers!$B$44,"")</f>
        <v/>
      </c>
      <c r="B2203" s="18">
        <f>IF($A2203="","",Paramètres!G43)</f>
        <v/>
      </c>
      <c r="C2203" s="18">
        <f>IF($A2203="","",IF(Paramètres!H43="","",Paramètres!H43))</f>
        <v/>
      </c>
      <c r="D2203" s="18">
        <f>IF($A2203="","",IF(Paramètres!I43="","",Paramètres!I43))</f>
        <v/>
      </c>
      <c r="E2203" s="19">
        <f>IF($A2203="","",IF(Paramètres!J43&amp;Paramètres!L43&amp;Paramètres!N43="",Dossiers!$D$44,MAX(IF(Paramètres!J43="",0,IF(Paramètres!K43="",NA(),IF(LEFT(TRIM(Paramètres!K43),1)="F",INDEX($F$2165:$F$2217,MATCH(Paramètres!J43,Paramètres!$G$5:$G$57,0)),INDEX($E$2165:$E$2217,MATCH(Paramètres!J43,Paramètres!$G$5:$G$57,0)))+IF(RIGHT(TRIM(Paramètres!K43),3)="Fin",1-$H2203,IF(LEFT(TRIM(Paramètres!K43),1)="F",1,0)))),IF(Paramètres!L43="",0,IF(Paramètres!M43="",NA(),IF(LEFT(TRIM(Paramètres!M43),1)="F",INDEX($F$2165:$F$2217,MATCH(Paramètres!L43,Paramètres!$G$5:$G$57,0)),INDEX($E$2165:$E$2217,MATCH(Paramètres!L43,Paramètres!$G$5:$G$57,0)))+IF(RIGHT(TRIM(Paramètres!M43),3)="Fin",1-$H2203,IF(LEFT(TRIM(Paramètres!M43),1)="F",1,0)))),IF(Paramètres!N43="",0,IF(Paramètres!O43="",NA(),IF(LEFT(TRIM(Paramètres!O43),1)="F",INDEX($F$2165:$F$2217,MATCH(Paramètres!N43,Paramètres!$G$5:$G$57,0)),INDEX($E$2165:$E$2217,MATCH(Paramètres!N43,Paramètres!$G$5:$G$57,0)))+IF(RIGHT(TRIM(Paramètres!O43),3)="Fin",1-$H2203,IF(LEFT(TRIM(Paramètres!O43),1)="F",1,0)))))))</f>
        <v/>
      </c>
      <c r="F2203" s="19">
        <f>IF($A2203="","",E2203+$H2203-1)</f>
        <v/>
      </c>
      <c r="G2203" s="18" t="n"/>
      <c r="H2203" s="18">
        <f>IF($A2203="","",IF(I2203&lt;&gt;"",I2203,Paramètres!B43))</f>
        <v/>
      </c>
      <c r="I2203" s="18" t="n"/>
    </row>
    <row r="2204">
      <c r="A2204" s="18">
        <f>IF(ISNUMBER(Dossiers!$D$44),Dossiers!$A$44&amp;" · "&amp;Dossiers!$B$44,"")</f>
        <v/>
      </c>
      <c r="B2204" s="18">
        <f>IF($A2204="","",Paramètres!G44)</f>
        <v/>
      </c>
      <c r="C2204" s="18">
        <f>IF($A2204="","",IF(Paramètres!H44="","",Paramètres!H44))</f>
        <v/>
      </c>
      <c r="D2204" s="18">
        <f>IF($A2204="","",IF(Paramètres!I44="","",Paramètres!I44))</f>
        <v/>
      </c>
      <c r="E2204" s="19">
        <f>IF($A2204="","",IF(Paramètres!J44&amp;Paramètres!L44&amp;Paramètres!N44="",Dossiers!$D$44,MAX(IF(Paramètres!J44="",0,IF(Paramètres!K44="",NA(),IF(LEFT(TRIM(Paramètres!K44),1)="F",INDEX($F$2165:$F$2217,MATCH(Paramètres!J44,Paramètres!$G$5:$G$57,0)),INDEX($E$2165:$E$2217,MATCH(Paramètres!J44,Paramètres!$G$5:$G$57,0)))+IF(RIGHT(TRIM(Paramètres!K44),3)="Fin",1-$H2204,IF(LEFT(TRIM(Paramètres!K44),1)="F",1,0)))),IF(Paramètres!L44="",0,IF(Paramètres!M44="",NA(),IF(LEFT(TRIM(Paramètres!M44),1)="F",INDEX($F$2165:$F$2217,MATCH(Paramètres!L44,Paramètres!$G$5:$G$57,0)),INDEX($E$2165:$E$2217,MATCH(Paramètres!L44,Paramètres!$G$5:$G$57,0)))+IF(RIGHT(TRIM(Paramètres!M44),3)="Fin",1-$H2204,IF(LEFT(TRIM(Paramètres!M44),1)="F",1,0)))),IF(Paramètres!N44="",0,IF(Paramètres!O44="",NA(),IF(LEFT(TRIM(Paramètres!O44),1)="F",INDEX($F$2165:$F$2217,MATCH(Paramètres!N44,Paramètres!$G$5:$G$57,0)),INDEX($E$2165:$E$2217,MATCH(Paramètres!N44,Paramètres!$G$5:$G$57,0)))+IF(RIGHT(TRIM(Paramètres!O44),3)="Fin",1-$H2204,IF(LEFT(TRIM(Paramètres!O44),1)="F",1,0)))))))</f>
        <v/>
      </c>
      <c r="F2204" s="19">
        <f>IF($A2204="","",E2204+$H2204-1)</f>
        <v/>
      </c>
      <c r="G2204" s="18" t="n"/>
      <c r="H2204" s="18">
        <f>IF($A2204="","",IF(I2204&lt;&gt;"",I2204,Paramètres!B44))</f>
        <v/>
      </c>
      <c r="I2204" s="18" t="n"/>
    </row>
    <row r="2205">
      <c r="A2205" s="18">
        <f>IF(ISNUMBER(Dossiers!$D$44),Dossiers!$A$44&amp;" · "&amp;Dossiers!$B$44,"")</f>
        <v/>
      </c>
      <c r="B2205" s="18">
        <f>IF($A2205="","",Paramètres!G45)</f>
        <v/>
      </c>
      <c r="C2205" s="20">
        <f>IF($A2205="","",IF(Dossiers!$G$44="","",Dossiers!$G$44))</f>
        <v/>
      </c>
      <c r="D2205" s="18">
        <f>IF($A2205="","",IF(Paramètres!I45="","",Paramètres!I45))</f>
        <v/>
      </c>
      <c r="E2205" s="19">
        <f>IF($A2205="","",IF(Paramètres!J45&amp;Paramètres!L45&amp;Paramètres!N45="",Dossiers!$D$44,MAX(IF(Paramètres!J45="",0,IF(Paramètres!K45="",NA(),IF(LEFT(TRIM(Paramètres!K45),1)="F",INDEX($F$2165:$F$2217,MATCH(Paramètres!J45,Paramètres!$G$5:$G$57,0)),INDEX($E$2165:$E$2217,MATCH(Paramètres!J45,Paramètres!$G$5:$G$57,0)))+IF(RIGHT(TRIM(Paramètres!K45),3)="Fin",1-$H2205,IF(LEFT(TRIM(Paramètres!K45),1)="F",1,0)))),IF(Paramètres!L45="",0,IF(Paramètres!M45="",NA(),IF(LEFT(TRIM(Paramètres!M45),1)="F",INDEX($F$2165:$F$2217,MATCH(Paramètres!L45,Paramètres!$G$5:$G$57,0)),INDEX($E$2165:$E$2217,MATCH(Paramètres!L45,Paramètres!$G$5:$G$57,0)))+IF(RIGHT(TRIM(Paramètres!M45),3)="Fin",1-$H2205,IF(LEFT(TRIM(Paramètres!M45),1)="F",1,0)))),IF(Paramètres!N45="",0,IF(Paramètres!O45="",NA(),IF(LEFT(TRIM(Paramètres!O45),1)="F",INDEX($F$2165:$F$2217,MATCH(Paramètres!N45,Paramètres!$G$5:$G$57,0)),INDEX($E$2165:$E$2217,MATCH(Paramètres!N45,Paramètres!$G$5:$G$57,0)))+IF(RIGHT(TRIM(Paramètres!O45),3)="Fin",1-$H2205,IF(LEFT(TRIM(Paramètres!O45),1)="F",1,0)))))))</f>
        <v/>
      </c>
      <c r="F2205" s="19">
        <f>IF($A2205="","",E2205+$H2205-1)</f>
        <v/>
      </c>
      <c r="G2205" s="18" t="n"/>
      <c r="H2205" s="18">
        <f>IF($A2205="","",IF(I2205&lt;&gt;"",I2205,Paramètres!B45))</f>
        <v/>
      </c>
      <c r="I2205" s="18" t="n"/>
    </row>
    <row r="2206">
      <c r="A2206" s="18">
        <f>IF(ISNUMBER(Dossiers!$D$44),Dossiers!$A$44&amp;" · "&amp;Dossiers!$B$44,"")</f>
        <v/>
      </c>
      <c r="B2206" s="18">
        <f>IF($A2206="","",Paramètres!G46)</f>
        <v/>
      </c>
      <c r="C2206" s="18">
        <f>IF($A2206="","",IF(Paramètres!H46="","",Paramètres!H46))</f>
        <v/>
      </c>
      <c r="D2206" s="18">
        <f>IF($A2206="","",IF(Paramètres!I46="","",Paramètres!I46))</f>
        <v/>
      </c>
      <c r="E2206" s="19">
        <f>IF($A2206="","",IF(Paramètres!J46&amp;Paramètres!L46&amp;Paramètres!N46="",Dossiers!$D$44,MAX(IF(Paramètres!J46="",0,IF(Paramètres!K46="",NA(),IF(LEFT(TRIM(Paramètres!K46),1)="F",INDEX($F$2165:$F$2217,MATCH(Paramètres!J46,Paramètres!$G$5:$G$57,0)),INDEX($E$2165:$E$2217,MATCH(Paramètres!J46,Paramètres!$G$5:$G$57,0)))+IF(RIGHT(TRIM(Paramètres!K46),3)="Fin",1-$H2206,IF(LEFT(TRIM(Paramètres!K46),1)="F",1,0)))),IF(Paramètres!L46="",0,IF(Paramètres!M46="",NA(),IF(LEFT(TRIM(Paramètres!M46),1)="F",INDEX($F$2165:$F$2217,MATCH(Paramètres!L46,Paramètres!$G$5:$G$57,0)),INDEX($E$2165:$E$2217,MATCH(Paramètres!L46,Paramètres!$G$5:$G$57,0)))+IF(RIGHT(TRIM(Paramètres!M46),3)="Fin",1-$H2206,IF(LEFT(TRIM(Paramètres!M46),1)="F",1,0)))),IF(Paramètres!N46="",0,IF(Paramètres!O46="",NA(),IF(LEFT(TRIM(Paramètres!O46),1)="F",INDEX($F$2165:$F$2217,MATCH(Paramètres!N46,Paramètres!$G$5:$G$57,0)),INDEX($E$2165:$E$2217,MATCH(Paramètres!N46,Paramètres!$G$5:$G$57,0)))+IF(RIGHT(TRIM(Paramètres!O46),3)="Fin",1-$H2206,IF(LEFT(TRIM(Paramètres!O46),1)="F",1,0)))))))</f>
        <v/>
      </c>
      <c r="F2206" s="19">
        <f>IF($A2206="","",E2206+$H2206-1)</f>
        <v/>
      </c>
      <c r="G2206" s="18" t="n"/>
      <c r="H2206" s="18">
        <f>IF($A2206="","",IF(I2206&lt;&gt;"",I2206,Paramètres!B46))</f>
        <v/>
      </c>
      <c r="I2206" s="18" t="n"/>
    </row>
    <row r="2207">
      <c r="A2207" s="18">
        <f>IF(ISNUMBER(Dossiers!$D$44),Dossiers!$A$44&amp;" · "&amp;Dossiers!$B$44,"")</f>
        <v/>
      </c>
      <c r="B2207" s="18">
        <f>IF($A2207="","",Paramètres!G47)</f>
        <v/>
      </c>
      <c r="C2207" s="18">
        <f>IF($A2207="","",IF(Paramètres!H47="","",Paramètres!H47))</f>
        <v/>
      </c>
      <c r="D2207" s="18">
        <f>IF($A2207="","",IF(Paramètres!I47="","",Paramètres!I47))</f>
        <v/>
      </c>
      <c r="E2207" s="19">
        <f>IF($A2207="","",IF(Paramètres!J47&amp;Paramètres!L47&amp;Paramètres!N47="",Dossiers!$D$44,MAX(IF(Paramètres!J47="",0,IF(Paramètres!K47="",NA(),IF(LEFT(TRIM(Paramètres!K47),1)="F",INDEX($F$2165:$F$2217,MATCH(Paramètres!J47,Paramètres!$G$5:$G$57,0)),INDEX($E$2165:$E$2217,MATCH(Paramètres!J47,Paramètres!$G$5:$G$57,0)))+IF(RIGHT(TRIM(Paramètres!K47),3)="Fin",1-$H2207,IF(LEFT(TRIM(Paramètres!K47),1)="F",1,0)))),IF(Paramètres!L47="",0,IF(Paramètres!M47="",NA(),IF(LEFT(TRIM(Paramètres!M47),1)="F",INDEX($F$2165:$F$2217,MATCH(Paramètres!L47,Paramètres!$G$5:$G$57,0)),INDEX($E$2165:$E$2217,MATCH(Paramètres!L47,Paramètres!$G$5:$G$57,0)))+IF(RIGHT(TRIM(Paramètres!M47),3)="Fin",1-$H2207,IF(LEFT(TRIM(Paramètres!M47),1)="F",1,0)))),IF(Paramètres!N47="",0,IF(Paramètres!O47="",NA(),IF(LEFT(TRIM(Paramètres!O47),1)="F",INDEX($F$2165:$F$2217,MATCH(Paramètres!N47,Paramètres!$G$5:$G$57,0)),INDEX($E$2165:$E$2217,MATCH(Paramètres!N47,Paramètres!$G$5:$G$57,0)))+IF(RIGHT(TRIM(Paramètres!O47),3)="Fin",1-$H2207,IF(LEFT(TRIM(Paramètres!O47),1)="F",1,0)))))))</f>
        <v/>
      </c>
      <c r="F2207" s="19">
        <f>IF($A2207="","",E2207+$H2207-1)</f>
        <v/>
      </c>
      <c r="G2207" s="18" t="n"/>
      <c r="H2207" s="18">
        <f>IF($A2207="","",IF(I2207&lt;&gt;"",I2207,Paramètres!B47))</f>
        <v/>
      </c>
      <c r="I2207" s="18" t="n"/>
    </row>
    <row r="2208">
      <c r="A2208" s="18">
        <f>IF(ISNUMBER(Dossiers!$D$44),Dossiers!$A$44&amp;" · "&amp;Dossiers!$B$44,"")</f>
        <v/>
      </c>
      <c r="B2208" s="18">
        <f>IF($A2208="","",Paramètres!G48)</f>
        <v/>
      </c>
      <c r="C2208" s="18">
        <f>IF($A2208="","",IF(Paramètres!H48="","",Paramètres!H48))</f>
        <v/>
      </c>
      <c r="D2208" s="18">
        <f>IF($A2208="","",IF(Paramètres!I48="","",Paramètres!I48))</f>
        <v/>
      </c>
      <c r="E2208" s="19">
        <f>IF($A2208="","",IF(Paramètres!J48&amp;Paramètres!L48&amp;Paramètres!N48="",Dossiers!$D$44,MAX(IF(Paramètres!J48="",0,IF(Paramètres!K48="",NA(),IF(LEFT(TRIM(Paramètres!K48),1)="F",INDEX($F$2165:$F$2217,MATCH(Paramètres!J48,Paramètres!$G$5:$G$57,0)),INDEX($E$2165:$E$2217,MATCH(Paramètres!J48,Paramètres!$G$5:$G$57,0)))+IF(RIGHT(TRIM(Paramètres!K48),3)="Fin",1-$H2208,IF(LEFT(TRIM(Paramètres!K48),1)="F",1,0)))),IF(Paramètres!L48="",0,IF(Paramètres!M48="",NA(),IF(LEFT(TRIM(Paramètres!M48),1)="F",INDEX($F$2165:$F$2217,MATCH(Paramètres!L48,Paramètres!$G$5:$G$57,0)),INDEX($E$2165:$E$2217,MATCH(Paramètres!L48,Paramètres!$G$5:$G$57,0)))+IF(RIGHT(TRIM(Paramètres!M48),3)="Fin",1-$H2208,IF(LEFT(TRIM(Paramètres!M48),1)="F",1,0)))),IF(Paramètres!N48="",0,IF(Paramètres!O48="",NA(),IF(LEFT(TRIM(Paramètres!O48),1)="F",INDEX($F$2165:$F$2217,MATCH(Paramètres!N48,Paramètres!$G$5:$G$57,0)),INDEX($E$2165:$E$2217,MATCH(Paramètres!N48,Paramètres!$G$5:$G$57,0)))+IF(RIGHT(TRIM(Paramètres!O48),3)="Fin",1-$H2208,IF(LEFT(TRIM(Paramètres!O48),1)="F",1,0)))))))</f>
        <v/>
      </c>
      <c r="F2208" s="19">
        <f>IF($A2208="","",E2208+$H2208-1)</f>
        <v/>
      </c>
      <c r="G2208" s="18" t="n"/>
      <c r="H2208" s="18">
        <f>IF($A2208="","",IF(I2208&lt;&gt;"",I2208,Paramètres!B48))</f>
        <v/>
      </c>
      <c r="I2208" s="18" t="n"/>
    </row>
    <row r="2209">
      <c r="A2209" s="18">
        <f>IF(ISNUMBER(Dossiers!$D$44),Dossiers!$A$44&amp;" · "&amp;Dossiers!$B$44,"")</f>
        <v/>
      </c>
      <c r="B2209" s="18">
        <f>IF($A2209="","",Paramètres!G49)</f>
        <v/>
      </c>
      <c r="C2209" s="18">
        <f>IF($A2209="","",IF(Paramètres!H49="","",Paramètres!H49))</f>
        <v/>
      </c>
      <c r="D2209" s="18">
        <f>IF($A2209="","",IF(Paramètres!I49="","",Paramètres!I49))</f>
        <v/>
      </c>
      <c r="E2209" s="19">
        <f>IF($A2209="","",IF(Paramètres!J49&amp;Paramètres!L49&amp;Paramètres!N49="",Dossiers!$D$44,MAX(IF(Paramètres!J49="",0,IF(Paramètres!K49="",NA(),IF(LEFT(TRIM(Paramètres!K49),1)="F",INDEX($F$2165:$F$2217,MATCH(Paramètres!J49,Paramètres!$G$5:$G$57,0)),INDEX($E$2165:$E$2217,MATCH(Paramètres!J49,Paramètres!$G$5:$G$57,0)))+IF(RIGHT(TRIM(Paramètres!K49),3)="Fin",1-$H2209,IF(LEFT(TRIM(Paramètres!K49),1)="F",1,0)))),IF(Paramètres!L49="",0,IF(Paramètres!M49="",NA(),IF(LEFT(TRIM(Paramètres!M49),1)="F",INDEX($F$2165:$F$2217,MATCH(Paramètres!L49,Paramètres!$G$5:$G$57,0)),INDEX($E$2165:$E$2217,MATCH(Paramètres!L49,Paramètres!$G$5:$G$57,0)))+IF(RIGHT(TRIM(Paramètres!M49),3)="Fin",1-$H2209,IF(LEFT(TRIM(Paramètres!M49),1)="F",1,0)))),IF(Paramètres!N49="",0,IF(Paramètres!O49="",NA(),IF(LEFT(TRIM(Paramètres!O49),1)="F",INDEX($F$2165:$F$2217,MATCH(Paramètres!N49,Paramètres!$G$5:$G$57,0)),INDEX($E$2165:$E$2217,MATCH(Paramètres!N49,Paramètres!$G$5:$G$57,0)))+IF(RIGHT(TRIM(Paramètres!O49),3)="Fin",1-$H2209,IF(LEFT(TRIM(Paramètres!O49),1)="F",1,0)))))))</f>
        <v/>
      </c>
      <c r="F2209" s="19">
        <f>IF($A2209="","",E2209+$H2209-1)</f>
        <v/>
      </c>
      <c r="G2209" s="18" t="n"/>
      <c r="H2209" s="18">
        <f>IF($A2209="","",IF(I2209&lt;&gt;"",I2209,Paramètres!B49))</f>
        <v/>
      </c>
      <c r="I2209" s="18" t="n"/>
    </row>
    <row r="2210">
      <c r="A2210" s="18">
        <f>IF(ISNUMBER(Dossiers!$D$44),Dossiers!$A$44&amp;" · "&amp;Dossiers!$B$44,"")</f>
        <v/>
      </c>
      <c r="B2210" s="18">
        <f>IF($A2210="","",Paramètres!G50)</f>
        <v/>
      </c>
      <c r="C2210" s="18">
        <f>IF($A2210="","",IF(Paramètres!H50="","",Paramètres!H50))</f>
        <v/>
      </c>
      <c r="D2210" s="18">
        <f>IF($A2210="","",IF(Paramètres!I50="","",Paramètres!I50))</f>
        <v/>
      </c>
      <c r="E2210" s="19">
        <f>IF($A2210="","",IF(Paramètres!J50&amp;Paramètres!L50&amp;Paramètres!N50="",Dossiers!$D$44,MAX(IF(Paramètres!J50="",0,IF(Paramètres!K50="",NA(),IF(LEFT(TRIM(Paramètres!K50),1)="F",INDEX($F$2165:$F$2217,MATCH(Paramètres!J50,Paramètres!$G$5:$G$57,0)),INDEX($E$2165:$E$2217,MATCH(Paramètres!J50,Paramètres!$G$5:$G$57,0)))+IF(RIGHT(TRIM(Paramètres!K50),3)="Fin",1-$H2210,IF(LEFT(TRIM(Paramètres!K50),1)="F",1,0)))),IF(Paramètres!L50="",0,IF(Paramètres!M50="",NA(),IF(LEFT(TRIM(Paramètres!M50),1)="F",INDEX($F$2165:$F$2217,MATCH(Paramètres!L50,Paramètres!$G$5:$G$57,0)),INDEX($E$2165:$E$2217,MATCH(Paramètres!L50,Paramètres!$G$5:$G$57,0)))+IF(RIGHT(TRIM(Paramètres!M50),3)="Fin",1-$H2210,IF(LEFT(TRIM(Paramètres!M50),1)="F",1,0)))),IF(Paramètres!N50="",0,IF(Paramètres!O50="",NA(),IF(LEFT(TRIM(Paramètres!O50),1)="F",INDEX($F$2165:$F$2217,MATCH(Paramètres!N50,Paramètres!$G$5:$G$57,0)),INDEX($E$2165:$E$2217,MATCH(Paramètres!N50,Paramètres!$G$5:$G$57,0)))+IF(RIGHT(TRIM(Paramètres!O50),3)="Fin",1-$H2210,IF(LEFT(TRIM(Paramètres!O50),1)="F",1,0)))))))</f>
        <v/>
      </c>
      <c r="F2210" s="19">
        <f>IF($A2210="","",E2210+$H2210-1)</f>
        <v/>
      </c>
      <c r="G2210" s="18" t="n"/>
      <c r="H2210" s="18">
        <f>IF($A2210="","",IF(I2210&lt;&gt;"",I2210,Paramètres!B50))</f>
        <v/>
      </c>
      <c r="I2210" s="18" t="n"/>
    </row>
    <row r="2211">
      <c r="A2211" s="18">
        <f>IF(ISNUMBER(Dossiers!$D$44),Dossiers!$A$44&amp;" · "&amp;Dossiers!$B$44,"")</f>
        <v/>
      </c>
      <c r="B2211" s="18">
        <f>IF($A2211="","",Paramètres!G51)</f>
        <v/>
      </c>
      <c r="C2211" s="18">
        <f>IF($A2211="","",IF(Paramètres!H51="","",Paramètres!H51))</f>
        <v/>
      </c>
      <c r="D2211" s="18">
        <f>IF($A2211="","",IF(Paramètres!I51="","",Paramètres!I51))</f>
        <v/>
      </c>
      <c r="E2211" s="19">
        <f>IF($A2211="","",IF(Paramètres!J51&amp;Paramètres!L51&amp;Paramètres!N51="",Dossiers!$D$44,MAX(IF(Paramètres!J51="",0,IF(Paramètres!K51="",NA(),IF(LEFT(TRIM(Paramètres!K51),1)="F",INDEX($F$2165:$F$2217,MATCH(Paramètres!J51,Paramètres!$G$5:$G$57,0)),INDEX($E$2165:$E$2217,MATCH(Paramètres!J51,Paramètres!$G$5:$G$57,0)))+IF(RIGHT(TRIM(Paramètres!K51),3)="Fin",1-$H2211,IF(LEFT(TRIM(Paramètres!K51),1)="F",1,0)))),IF(Paramètres!L51="",0,IF(Paramètres!M51="",NA(),IF(LEFT(TRIM(Paramètres!M51),1)="F",INDEX($F$2165:$F$2217,MATCH(Paramètres!L51,Paramètres!$G$5:$G$57,0)),INDEX($E$2165:$E$2217,MATCH(Paramètres!L51,Paramètres!$G$5:$G$57,0)))+IF(RIGHT(TRIM(Paramètres!M51),3)="Fin",1-$H2211,IF(LEFT(TRIM(Paramètres!M51),1)="F",1,0)))),IF(Paramètres!N51="",0,IF(Paramètres!O51="",NA(),IF(LEFT(TRIM(Paramètres!O51),1)="F",INDEX($F$2165:$F$2217,MATCH(Paramètres!N51,Paramètres!$G$5:$G$57,0)),INDEX($E$2165:$E$2217,MATCH(Paramètres!N51,Paramètres!$G$5:$G$57,0)))+IF(RIGHT(TRIM(Paramètres!O51),3)="Fin",1-$H2211,IF(LEFT(TRIM(Paramètres!O51),1)="F",1,0)))))))</f>
        <v/>
      </c>
      <c r="F2211" s="19">
        <f>IF($A2211="","",E2211+$H2211-1)</f>
        <v/>
      </c>
      <c r="G2211" s="18" t="n"/>
      <c r="H2211" s="18">
        <f>IF($A2211="","",IF(I2211&lt;&gt;"",I2211,Paramètres!B51))</f>
        <v/>
      </c>
      <c r="I2211" s="18" t="n"/>
    </row>
    <row r="2212">
      <c r="A2212" s="18">
        <f>IF(ISNUMBER(Dossiers!$D$44),Dossiers!$A$44&amp;" · "&amp;Dossiers!$B$44,"")</f>
        <v/>
      </c>
      <c r="B2212" s="18">
        <f>IF($A2212="","",Paramètres!G52)</f>
        <v/>
      </c>
      <c r="C2212" s="18">
        <f>IF($A2212="","",IF(Paramètres!H52="","",Paramètres!H52))</f>
        <v/>
      </c>
      <c r="D2212" s="18">
        <f>IF($A2212="","",IF(Paramètres!I52="","",Paramètres!I52))</f>
        <v/>
      </c>
      <c r="E2212" s="19">
        <f>IF($A2212="","",IF(Paramètres!J52&amp;Paramètres!L52&amp;Paramètres!N52="",Dossiers!$D$44,MAX(IF(Paramètres!J52="",0,IF(Paramètres!K52="",NA(),IF(LEFT(TRIM(Paramètres!K52),1)="F",INDEX($F$2165:$F$2217,MATCH(Paramètres!J52,Paramètres!$G$5:$G$57,0)),INDEX($E$2165:$E$2217,MATCH(Paramètres!J52,Paramètres!$G$5:$G$57,0)))+IF(RIGHT(TRIM(Paramètres!K52),3)="Fin",1-$H2212,IF(LEFT(TRIM(Paramètres!K52),1)="F",1,0)))),IF(Paramètres!L52="",0,IF(Paramètres!M52="",NA(),IF(LEFT(TRIM(Paramètres!M52),1)="F",INDEX($F$2165:$F$2217,MATCH(Paramètres!L52,Paramètres!$G$5:$G$57,0)),INDEX($E$2165:$E$2217,MATCH(Paramètres!L52,Paramètres!$G$5:$G$57,0)))+IF(RIGHT(TRIM(Paramètres!M52),3)="Fin",1-$H2212,IF(LEFT(TRIM(Paramètres!M52),1)="F",1,0)))),IF(Paramètres!N52="",0,IF(Paramètres!O52="",NA(),IF(LEFT(TRIM(Paramètres!O52),1)="F",INDEX($F$2165:$F$2217,MATCH(Paramètres!N52,Paramètres!$G$5:$G$57,0)),INDEX($E$2165:$E$2217,MATCH(Paramètres!N52,Paramètres!$G$5:$G$57,0)))+IF(RIGHT(TRIM(Paramètres!O52),3)="Fin",1-$H2212,IF(LEFT(TRIM(Paramètres!O52),1)="F",1,0)))))))</f>
        <v/>
      </c>
      <c r="F2212" s="19">
        <f>IF($A2212="","",E2212+$H2212-1)</f>
        <v/>
      </c>
      <c r="G2212" s="18" t="n"/>
      <c r="H2212" s="18">
        <f>IF($A2212="","",IF(I2212&lt;&gt;"",I2212,Paramètres!B52))</f>
        <v/>
      </c>
      <c r="I2212" s="18" t="n"/>
    </row>
    <row r="2213">
      <c r="A2213" s="18">
        <f>IF(ISNUMBER(Dossiers!$D$44),Dossiers!$A$44&amp;" · "&amp;Dossiers!$B$44,"")</f>
        <v/>
      </c>
      <c r="B2213" s="18">
        <f>IF($A2213="","",Paramètres!G53)</f>
        <v/>
      </c>
      <c r="C2213" s="18">
        <f>IF($A2213="","",IF(Paramètres!H53="","",Paramètres!H53))</f>
        <v/>
      </c>
      <c r="D2213" s="18">
        <f>IF($A2213="","",IF(Paramètres!I53="","",Paramètres!I53))</f>
        <v/>
      </c>
      <c r="E2213" s="19">
        <f>IF($A2213="","",IF(Paramètres!J53&amp;Paramètres!L53&amp;Paramètres!N53="",Dossiers!$D$44,MAX(IF(Paramètres!J53="",0,IF(Paramètres!K53="",NA(),IF(LEFT(TRIM(Paramètres!K53),1)="F",INDEX($F$2165:$F$2217,MATCH(Paramètres!J53,Paramètres!$G$5:$G$57,0)),INDEX($E$2165:$E$2217,MATCH(Paramètres!J53,Paramètres!$G$5:$G$57,0)))+IF(RIGHT(TRIM(Paramètres!K53),3)="Fin",1-$H2213,IF(LEFT(TRIM(Paramètres!K53),1)="F",1,0)))),IF(Paramètres!L53="",0,IF(Paramètres!M53="",NA(),IF(LEFT(TRIM(Paramètres!M53),1)="F",INDEX($F$2165:$F$2217,MATCH(Paramètres!L53,Paramètres!$G$5:$G$57,0)),INDEX($E$2165:$E$2217,MATCH(Paramètres!L53,Paramètres!$G$5:$G$57,0)))+IF(RIGHT(TRIM(Paramètres!M53),3)="Fin",1-$H2213,IF(LEFT(TRIM(Paramètres!M53),1)="F",1,0)))),IF(Paramètres!N53="",0,IF(Paramètres!O53="",NA(),IF(LEFT(TRIM(Paramètres!O53),1)="F",INDEX($F$2165:$F$2217,MATCH(Paramètres!N53,Paramètres!$G$5:$G$57,0)),INDEX($E$2165:$E$2217,MATCH(Paramètres!N53,Paramètres!$G$5:$G$57,0)))+IF(RIGHT(TRIM(Paramètres!O53),3)="Fin",1-$H2213,IF(LEFT(TRIM(Paramètres!O53),1)="F",1,0)))))))</f>
        <v/>
      </c>
      <c r="F2213" s="19">
        <f>IF($A2213="","",E2213+$H2213-1)</f>
        <v/>
      </c>
      <c r="G2213" s="18" t="n"/>
      <c r="H2213" s="18">
        <f>IF($A2213="","",IF(I2213&lt;&gt;"",I2213,Paramètres!B53))</f>
        <v/>
      </c>
      <c r="I2213" s="18" t="n"/>
    </row>
    <row r="2214">
      <c r="A2214" s="18">
        <f>IF(ISNUMBER(Dossiers!$D$44),Dossiers!$A$44&amp;" · "&amp;Dossiers!$B$44,"")</f>
        <v/>
      </c>
      <c r="B2214" s="18">
        <f>IF($A2214="","",Paramètres!G54)</f>
        <v/>
      </c>
      <c r="C2214" s="18">
        <f>IF($A2214="","",IF(Paramètres!H54="","",Paramètres!H54))</f>
        <v/>
      </c>
      <c r="D2214" s="18">
        <f>IF($A2214="","",IF(Paramètres!I54="","",Paramètres!I54))</f>
        <v/>
      </c>
      <c r="E2214" s="19">
        <f>IF($A2214="","",IF(Paramètres!J54&amp;Paramètres!L54&amp;Paramètres!N54="",Dossiers!$D$44,MAX(IF(Paramètres!J54="",0,IF(Paramètres!K54="",NA(),IF(LEFT(TRIM(Paramètres!K54),1)="F",INDEX($F$2165:$F$2217,MATCH(Paramètres!J54,Paramètres!$G$5:$G$57,0)),INDEX($E$2165:$E$2217,MATCH(Paramètres!J54,Paramètres!$G$5:$G$57,0)))+IF(RIGHT(TRIM(Paramètres!K54),3)="Fin",1-$H2214,IF(LEFT(TRIM(Paramètres!K54),1)="F",1,0)))),IF(Paramètres!L54="",0,IF(Paramètres!M54="",NA(),IF(LEFT(TRIM(Paramètres!M54),1)="F",INDEX($F$2165:$F$2217,MATCH(Paramètres!L54,Paramètres!$G$5:$G$57,0)),INDEX($E$2165:$E$2217,MATCH(Paramètres!L54,Paramètres!$G$5:$G$57,0)))+IF(RIGHT(TRIM(Paramètres!M54),3)="Fin",1-$H2214,IF(LEFT(TRIM(Paramètres!M54),1)="F",1,0)))),IF(Paramètres!N54="",0,IF(Paramètres!O54="",NA(),IF(LEFT(TRIM(Paramètres!O54),1)="F",INDEX($F$2165:$F$2217,MATCH(Paramètres!N54,Paramètres!$G$5:$G$57,0)),INDEX($E$2165:$E$2217,MATCH(Paramètres!N54,Paramètres!$G$5:$G$57,0)))+IF(RIGHT(TRIM(Paramètres!O54),3)="Fin",1-$H2214,IF(LEFT(TRIM(Paramètres!O54),1)="F",1,0)))))))</f>
        <v/>
      </c>
      <c r="F2214" s="19">
        <f>IF($A2214="","",E2214+$H2214-1)</f>
        <v/>
      </c>
      <c r="G2214" s="18" t="n"/>
      <c r="H2214" s="18">
        <f>IF($A2214="","",IF(I2214&lt;&gt;"",I2214,Paramètres!B54))</f>
        <v/>
      </c>
      <c r="I2214" s="18" t="n"/>
    </row>
    <row r="2215">
      <c r="A2215" s="18">
        <f>IF(ISNUMBER(Dossiers!$D$44),Dossiers!$A$44&amp;" · "&amp;Dossiers!$B$44,"")</f>
        <v/>
      </c>
      <c r="B2215" s="18">
        <f>IF($A2215="","",Paramètres!G55)</f>
        <v/>
      </c>
      <c r="C2215" s="18">
        <f>IF($A2215="","",IF(Paramètres!H55="","",Paramètres!H55))</f>
        <v/>
      </c>
      <c r="D2215" s="18">
        <f>IF($A2215="","",IF(Paramètres!I55="","",Paramètres!I55))</f>
        <v/>
      </c>
      <c r="E2215" s="19">
        <f>IF($A2215="","",IF(Paramètres!J55&amp;Paramètres!L55&amp;Paramètres!N55="",Dossiers!$D$44,MAX(IF(Paramètres!J55="",0,IF(Paramètres!K55="",NA(),IF(LEFT(TRIM(Paramètres!K55),1)="F",INDEX($F$2165:$F$2217,MATCH(Paramètres!J55,Paramètres!$G$5:$G$57,0)),INDEX($E$2165:$E$2217,MATCH(Paramètres!J55,Paramètres!$G$5:$G$57,0)))+IF(RIGHT(TRIM(Paramètres!K55),3)="Fin",1-$H2215,IF(LEFT(TRIM(Paramètres!K55),1)="F",1,0)))),IF(Paramètres!L55="",0,IF(Paramètres!M55="",NA(),IF(LEFT(TRIM(Paramètres!M55),1)="F",INDEX($F$2165:$F$2217,MATCH(Paramètres!L55,Paramètres!$G$5:$G$57,0)),INDEX($E$2165:$E$2217,MATCH(Paramètres!L55,Paramètres!$G$5:$G$57,0)))+IF(RIGHT(TRIM(Paramètres!M55),3)="Fin",1-$H2215,IF(LEFT(TRIM(Paramètres!M55),1)="F",1,0)))),IF(Paramètres!N55="",0,IF(Paramètres!O55="",NA(),IF(LEFT(TRIM(Paramètres!O55),1)="F",INDEX($F$2165:$F$2217,MATCH(Paramètres!N55,Paramètres!$G$5:$G$57,0)),INDEX($E$2165:$E$2217,MATCH(Paramètres!N55,Paramètres!$G$5:$G$57,0)))+IF(RIGHT(TRIM(Paramètres!O55),3)="Fin",1-$H2215,IF(LEFT(TRIM(Paramètres!O55),1)="F",1,0)))))))</f>
        <v/>
      </c>
      <c r="F2215" s="19">
        <f>IF($A2215="","",E2215+$H2215-1)</f>
        <v/>
      </c>
      <c r="G2215" s="18" t="n"/>
      <c r="H2215" s="18">
        <f>IF($A2215="","",IF(I2215&lt;&gt;"",I2215,Paramètres!B55))</f>
        <v/>
      </c>
      <c r="I2215" s="18" t="n"/>
    </row>
    <row r="2216">
      <c r="A2216" s="18">
        <f>IF(ISNUMBER(Dossiers!$D$44),Dossiers!$A$44&amp;" · "&amp;Dossiers!$B$44,"")</f>
        <v/>
      </c>
      <c r="B2216" s="18">
        <f>IF($A2216="","",Paramètres!G56)</f>
        <v/>
      </c>
      <c r="C2216" s="18">
        <f>IF($A2216="","",IF(Paramètres!H56="","",Paramètres!H56))</f>
        <v/>
      </c>
      <c r="D2216" s="18">
        <f>IF($A2216="","",IF(Paramètres!I56="","",Paramètres!I56))</f>
        <v/>
      </c>
      <c r="E2216" s="19">
        <f>IF($A2216="","",MIN(E2217:E2217))</f>
        <v/>
      </c>
      <c r="F2216" s="19">
        <f>IF($A2216="","",MAX(F2217:F2217))</f>
        <v/>
      </c>
      <c r="G2216" s="18" t="n"/>
      <c r="H2216" s="18">
        <f>IF($A2216="","",F2216-E2216+1)</f>
        <v/>
      </c>
      <c r="I2216" s="18" t="n"/>
    </row>
    <row r="2217">
      <c r="A2217" s="18">
        <f>IF(ISNUMBER(Dossiers!$D$44),Dossiers!$A$44&amp;" · "&amp;Dossiers!$B$44,"")</f>
        <v/>
      </c>
      <c r="B2217" s="18">
        <f>IF($A2217="","",Paramètres!G57)</f>
        <v/>
      </c>
      <c r="C2217" s="18">
        <f>IF($A2217="","",IF(Paramètres!H57="","",Paramètres!H57))</f>
        <v/>
      </c>
      <c r="D2217" s="18">
        <f>IF($A2217="","",IF(Paramètres!I57="","",Paramètres!I57))</f>
        <v/>
      </c>
      <c r="E2217" s="19">
        <f>IF($A2217="","",IF(Paramètres!J57&amp;Paramètres!L57&amp;Paramètres!N57="",Dossiers!$D$44,MAX(IF(Paramètres!J57="",0,IF(Paramètres!K57="",NA(),IF(LEFT(TRIM(Paramètres!K57),1)="F",INDEX($F$2165:$F$2217,MATCH(Paramètres!J57,Paramètres!$G$5:$G$57,0)),INDEX($E$2165:$E$2217,MATCH(Paramètres!J57,Paramètres!$G$5:$G$57,0)))+IF(RIGHT(TRIM(Paramètres!K57),3)="Fin",1-$H2217,IF(LEFT(TRIM(Paramètres!K57),1)="F",1,0)))),IF(Paramètres!L57="",0,IF(Paramètres!M57="",NA(),IF(LEFT(TRIM(Paramètres!M57),1)="F",INDEX($F$2165:$F$2217,MATCH(Paramètres!L57,Paramètres!$G$5:$G$57,0)),INDEX($E$2165:$E$2217,MATCH(Paramètres!L57,Paramètres!$G$5:$G$57,0)))+IF(RIGHT(TRIM(Paramètres!M57),3)="Fin",1-$H2217,IF(LEFT(TRIM(Paramètres!M57),1)="F",1,0)))),IF(Paramètres!N57="",0,IF(Paramètres!O57="",NA(),IF(LEFT(TRIM(Paramètres!O57),1)="F",INDEX($F$2165:$F$2217,MATCH(Paramètres!N57,Paramètres!$G$5:$G$57,0)),INDEX($E$2165:$E$2217,MATCH(Paramètres!N57,Paramètres!$G$5:$G$57,0)))+IF(RIGHT(TRIM(Paramètres!O57),3)="Fin",1-$H2217,IF(LEFT(TRIM(Paramètres!O57),1)="F",1,0)))))))</f>
        <v/>
      </c>
      <c r="F2217" s="19">
        <f>IF($A2217="","",E2217+$H2217-1)</f>
        <v/>
      </c>
      <c r="G2217" s="18" t="n"/>
      <c r="H2217" s="18">
        <f>IF($A2217="","",IF(I2217&lt;&gt;"",I2217,Paramètres!B57))</f>
        <v/>
      </c>
      <c r="I2217" s="18" t="n"/>
    </row>
    <row r="2218">
      <c r="A2218" s="16">
        <f>IF(ISNUMBER(Dossiers!$D$45),Dossiers!$E$45,"")</f>
        <v/>
      </c>
      <c r="B2218" s="16">
        <f>IF($A2218="","","Identifiant")</f>
        <v/>
      </c>
      <c r="C2218" s="16">
        <f>IF($A2218="","","Macro Etape")</f>
        <v/>
      </c>
      <c r="D2218" s="16">
        <f>IF($A2218="","","Etape")</f>
        <v/>
      </c>
      <c r="E2218" s="17">
        <f>IF($A2218="","","Début le")</f>
        <v/>
      </c>
      <c r="F2218" s="17">
        <f>IF($A2218="","","Fin prévue le")</f>
        <v/>
      </c>
      <c r="G2218" s="16">
        <f>IF($A2218="","","Statut")</f>
        <v/>
      </c>
      <c r="H2218" s="16">
        <f>IF($A2218="","","Durée (jours)")</f>
        <v/>
      </c>
      <c r="I2218" s="16">
        <f>IF($A2218="","","Durée particulière")</f>
        <v/>
      </c>
      <c r="J2218" s="10">
        <f>IF($A2218="","",HYPERLINK("#'Tableau de bord'!A1","↑ Tableau de bord"))</f>
        <v/>
      </c>
    </row>
    <row r="2219">
      <c r="A2219" s="18">
        <f>IF(ISNUMBER(Dossiers!$D$45),Dossiers!$A$45&amp;" · "&amp;Dossiers!$B$45,"")</f>
        <v/>
      </c>
      <c r="B2219" s="18">
        <f>IF($A2219="","",Paramètres!G5)</f>
        <v/>
      </c>
      <c r="C2219" s="18">
        <f>IF($A2219="","",IF(Paramètres!H5="","",Paramètres!H5))</f>
        <v/>
      </c>
      <c r="D2219" s="18">
        <f>IF($A2219="","",IF(Paramètres!I5="","",Paramètres!I5))</f>
        <v/>
      </c>
      <c r="E2219" s="19">
        <f>IF($A2219="","",MIN(E2220:E2223))</f>
        <v/>
      </c>
      <c r="F2219" s="19">
        <f>IF($A2219="","",MAX(F2220:F2223))</f>
        <v/>
      </c>
      <c r="G2219" s="18" t="n"/>
      <c r="H2219" s="18">
        <f>IF($A2219="","",F2219-E2219+1)</f>
        <v/>
      </c>
      <c r="I2219" s="18" t="n"/>
    </row>
    <row r="2220">
      <c r="A2220" s="18">
        <f>IF(ISNUMBER(Dossiers!$D$45),Dossiers!$A$45&amp;" · "&amp;Dossiers!$B$45,"")</f>
        <v/>
      </c>
      <c r="B2220" s="18">
        <f>IF($A2220="","",Paramètres!G6)</f>
        <v/>
      </c>
      <c r="C2220" s="18">
        <f>IF($A2220="","",IF(Paramètres!H6="","",Paramètres!H6))</f>
        <v/>
      </c>
      <c r="D2220" s="18">
        <f>IF($A2220="","",IF(Paramètres!I6="","",Paramètres!I6))</f>
        <v/>
      </c>
      <c r="E2220" s="19">
        <f>IF($A2220="","",IF(Paramètres!J6&amp;Paramètres!L6&amp;Paramètres!N6="",Dossiers!$D$45,MAX(IF(Paramètres!J6="",0,IF(Paramètres!K6="",NA(),IF(LEFT(TRIM(Paramètres!K6),1)="F",INDEX($F$2219:$F$2271,MATCH(Paramètres!J6,Paramètres!$G$5:$G$57,0)),INDEX($E$2219:$E$2271,MATCH(Paramètres!J6,Paramètres!$G$5:$G$57,0)))+IF(RIGHT(TRIM(Paramètres!K6),3)="Fin",1-$H2220,IF(LEFT(TRIM(Paramètres!K6),1)="F",1,0)))),IF(Paramètres!L6="",0,IF(Paramètres!M6="",NA(),IF(LEFT(TRIM(Paramètres!M6),1)="F",INDEX($F$2219:$F$2271,MATCH(Paramètres!L6,Paramètres!$G$5:$G$57,0)),INDEX($E$2219:$E$2271,MATCH(Paramètres!L6,Paramètres!$G$5:$G$57,0)))+IF(RIGHT(TRIM(Paramètres!M6),3)="Fin",1-$H2220,IF(LEFT(TRIM(Paramètres!M6),1)="F",1,0)))),IF(Paramètres!N6="",0,IF(Paramètres!O6="",NA(),IF(LEFT(TRIM(Paramètres!O6),1)="F",INDEX($F$2219:$F$2271,MATCH(Paramètres!N6,Paramètres!$G$5:$G$57,0)),INDEX($E$2219:$E$2271,MATCH(Paramètres!N6,Paramètres!$G$5:$G$57,0)))+IF(RIGHT(TRIM(Paramètres!O6),3)="Fin",1-$H2220,IF(LEFT(TRIM(Paramètres!O6),1)="F",1,0)))))))</f>
        <v/>
      </c>
      <c r="F2220" s="19">
        <f>IF($A2220="","",E2220+$H2220-1)</f>
        <v/>
      </c>
      <c r="G2220" s="18" t="n"/>
      <c r="H2220" s="18">
        <f>IF($A2220="","",IF(I2220&lt;&gt;"",I2220,Paramètres!B6))</f>
        <v/>
      </c>
      <c r="I2220" s="18" t="n"/>
    </row>
    <row r="2221">
      <c r="A2221" s="18">
        <f>IF(ISNUMBER(Dossiers!$D$45),Dossiers!$A$45&amp;" · "&amp;Dossiers!$B$45,"")</f>
        <v/>
      </c>
      <c r="B2221" s="18">
        <f>IF($A2221="","",Paramètres!G7)</f>
        <v/>
      </c>
      <c r="C2221" s="18">
        <f>IF($A2221="","",IF(Paramètres!H7="","",Paramètres!H7))</f>
        <v/>
      </c>
      <c r="D2221" s="18">
        <f>IF($A2221="","",IF(Paramètres!I7="","",Paramètres!I7))</f>
        <v/>
      </c>
      <c r="E2221" s="19">
        <f>IF($A2221="","",IF(Paramètres!J7&amp;Paramètres!L7&amp;Paramètres!N7="",Dossiers!$D$45,MAX(IF(Paramètres!J7="",0,IF(Paramètres!K7="",NA(),IF(LEFT(TRIM(Paramètres!K7),1)="F",INDEX($F$2219:$F$2271,MATCH(Paramètres!J7,Paramètres!$G$5:$G$57,0)),INDEX($E$2219:$E$2271,MATCH(Paramètres!J7,Paramètres!$G$5:$G$57,0)))+IF(RIGHT(TRIM(Paramètres!K7),3)="Fin",1-$H2221,IF(LEFT(TRIM(Paramètres!K7),1)="F",1,0)))),IF(Paramètres!L7="",0,IF(Paramètres!M7="",NA(),IF(LEFT(TRIM(Paramètres!M7),1)="F",INDEX($F$2219:$F$2271,MATCH(Paramètres!L7,Paramètres!$G$5:$G$57,0)),INDEX($E$2219:$E$2271,MATCH(Paramètres!L7,Paramètres!$G$5:$G$57,0)))+IF(RIGHT(TRIM(Paramètres!M7),3)="Fin",1-$H2221,IF(LEFT(TRIM(Paramètres!M7),1)="F",1,0)))),IF(Paramètres!N7="",0,IF(Paramètres!O7="",NA(),IF(LEFT(TRIM(Paramètres!O7),1)="F",INDEX($F$2219:$F$2271,MATCH(Paramètres!N7,Paramètres!$G$5:$G$57,0)),INDEX($E$2219:$E$2271,MATCH(Paramètres!N7,Paramètres!$G$5:$G$57,0)))+IF(RIGHT(TRIM(Paramètres!O7),3)="Fin",1-$H2221,IF(LEFT(TRIM(Paramètres!O7),1)="F",1,0)))))))</f>
        <v/>
      </c>
      <c r="F2221" s="19">
        <f>IF($A2221="","",E2221+$H2221-1)</f>
        <v/>
      </c>
      <c r="G2221" s="18" t="n"/>
      <c r="H2221" s="18">
        <f>IF($A2221="","",IF(I2221&lt;&gt;"",I2221,Paramètres!B7))</f>
        <v/>
      </c>
      <c r="I2221" s="18" t="n"/>
    </row>
    <row r="2222">
      <c r="A2222" s="18">
        <f>IF(ISNUMBER(Dossiers!$D$45),Dossiers!$A$45&amp;" · "&amp;Dossiers!$B$45,"")</f>
        <v/>
      </c>
      <c r="B2222" s="18">
        <f>IF($A2222="","",Paramètres!G8)</f>
        <v/>
      </c>
      <c r="C2222" s="18">
        <f>IF($A2222="","",IF(Paramètres!H8="","",Paramètres!H8))</f>
        <v/>
      </c>
      <c r="D2222" s="18">
        <f>IF($A2222="","",IF(Paramètres!I8="","",Paramètres!I8))</f>
        <v/>
      </c>
      <c r="E2222" s="19">
        <f>IF($A2222="","",IF(Paramètres!J8&amp;Paramètres!L8&amp;Paramètres!N8="",Dossiers!$D$45,MAX(IF(Paramètres!J8="",0,IF(Paramètres!K8="",NA(),IF(LEFT(TRIM(Paramètres!K8),1)="F",INDEX($F$2219:$F$2271,MATCH(Paramètres!J8,Paramètres!$G$5:$G$57,0)),INDEX($E$2219:$E$2271,MATCH(Paramètres!J8,Paramètres!$G$5:$G$57,0)))+IF(RIGHT(TRIM(Paramètres!K8),3)="Fin",1-$H2222,IF(LEFT(TRIM(Paramètres!K8),1)="F",1,0)))),IF(Paramètres!L8="",0,IF(Paramètres!M8="",NA(),IF(LEFT(TRIM(Paramètres!M8),1)="F",INDEX($F$2219:$F$2271,MATCH(Paramètres!L8,Paramètres!$G$5:$G$57,0)),INDEX($E$2219:$E$2271,MATCH(Paramètres!L8,Paramètres!$G$5:$G$57,0)))+IF(RIGHT(TRIM(Paramètres!M8),3)="Fin",1-$H2222,IF(LEFT(TRIM(Paramètres!M8),1)="F",1,0)))),IF(Paramètres!N8="",0,IF(Paramètres!O8="",NA(),IF(LEFT(TRIM(Paramètres!O8),1)="F",INDEX($F$2219:$F$2271,MATCH(Paramètres!N8,Paramètres!$G$5:$G$57,0)),INDEX($E$2219:$E$2271,MATCH(Paramètres!N8,Paramètres!$G$5:$G$57,0)))+IF(RIGHT(TRIM(Paramètres!O8),3)="Fin",1-$H2222,IF(LEFT(TRIM(Paramètres!O8),1)="F",1,0)))))))</f>
        <v/>
      </c>
      <c r="F2222" s="19">
        <f>IF($A2222="","",E2222+$H2222-1)</f>
        <v/>
      </c>
      <c r="G2222" s="18" t="n"/>
      <c r="H2222" s="18">
        <f>IF($A2222="","",IF(I2222&lt;&gt;"",I2222,Paramètres!B8))</f>
        <v/>
      </c>
      <c r="I2222" s="18" t="n"/>
    </row>
    <row r="2223">
      <c r="A2223" s="18">
        <f>IF(ISNUMBER(Dossiers!$D$45),Dossiers!$A$45&amp;" · "&amp;Dossiers!$B$45,"")</f>
        <v/>
      </c>
      <c r="B2223" s="18">
        <f>IF($A2223="","",Paramètres!G9)</f>
        <v/>
      </c>
      <c r="C2223" s="18">
        <f>IF($A2223="","",IF(Paramètres!H9="","",Paramètres!H9))</f>
        <v/>
      </c>
      <c r="D2223" s="18">
        <f>IF($A2223="","",IF(Paramètres!I9="","",Paramètres!I9))</f>
        <v/>
      </c>
      <c r="E2223" s="19">
        <f>IF($A2223="","",IF(Paramètres!J9&amp;Paramètres!L9&amp;Paramètres!N9="",Dossiers!$D$45,MAX(IF(Paramètres!J9="",0,IF(Paramètres!K9="",NA(),IF(LEFT(TRIM(Paramètres!K9),1)="F",INDEX($F$2219:$F$2271,MATCH(Paramètres!J9,Paramètres!$G$5:$G$57,0)),INDEX($E$2219:$E$2271,MATCH(Paramètres!J9,Paramètres!$G$5:$G$57,0)))+IF(RIGHT(TRIM(Paramètres!K9),3)="Fin",1-$H2223,IF(LEFT(TRIM(Paramètres!K9),1)="F",1,0)))),IF(Paramètres!L9="",0,IF(Paramètres!M9="",NA(),IF(LEFT(TRIM(Paramètres!M9),1)="F",INDEX($F$2219:$F$2271,MATCH(Paramètres!L9,Paramètres!$G$5:$G$57,0)),INDEX($E$2219:$E$2271,MATCH(Paramètres!L9,Paramètres!$G$5:$G$57,0)))+IF(RIGHT(TRIM(Paramètres!M9),3)="Fin",1-$H2223,IF(LEFT(TRIM(Paramètres!M9),1)="F",1,0)))),IF(Paramètres!N9="",0,IF(Paramètres!O9="",NA(),IF(LEFT(TRIM(Paramètres!O9),1)="F",INDEX($F$2219:$F$2271,MATCH(Paramètres!N9,Paramètres!$G$5:$G$57,0)),INDEX($E$2219:$E$2271,MATCH(Paramètres!N9,Paramètres!$G$5:$G$57,0)))+IF(RIGHT(TRIM(Paramètres!O9),3)="Fin",1-$H2223,IF(LEFT(TRIM(Paramètres!O9),1)="F",1,0)))))))</f>
        <v/>
      </c>
      <c r="F2223" s="19">
        <f>IF($A2223="","",E2223+$H2223-1)</f>
        <v/>
      </c>
      <c r="G2223" s="18" t="n"/>
      <c r="H2223" s="18">
        <f>IF($A2223="","",IF(I2223&lt;&gt;"",I2223,Paramètres!B9))</f>
        <v/>
      </c>
      <c r="I2223" s="18" t="n"/>
    </row>
    <row r="2224">
      <c r="A2224" s="18">
        <f>IF(ISNUMBER(Dossiers!$D$45),Dossiers!$A$45&amp;" · "&amp;Dossiers!$B$45,"")</f>
        <v/>
      </c>
      <c r="B2224" s="18">
        <f>IF($A2224="","",Paramètres!G10)</f>
        <v/>
      </c>
      <c r="C2224" s="18">
        <f>IF($A2224="","",IF(Paramètres!H10="","",Paramètres!H10))</f>
        <v/>
      </c>
      <c r="D2224" s="18">
        <f>IF($A2224="","",IF(Paramètres!I10="","",Paramètres!I10))</f>
        <v/>
      </c>
      <c r="E2224" s="19">
        <f>IF($A2224="","",MIN(E2225:E2228))</f>
        <v/>
      </c>
      <c r="F2224" s="19">
        <f>IF($A2224="","",MAX(F2225:F2228))</f>
        <v/>
      </c>
      <c r="G2224" s="18" t="n"/>
      <c r="H2224" s="18">
        <f>IF($A2224="","",F2224-E2224+1)</f>
        <v/>
      </c>
      <c r="I2224" s="18" t="n"/>
    </row>
    <row r="2225">
      <c r="A2225" s="18">
        <f>IF(ISNUMBER(Dossiers!$D$45),Dossiers!$A$45&amp;" · "&amp;Dossiers!$B$45,"")</f>
        <v/>
      </c>
      <c r="B2225" s="18">
        <f>IF($A2225="","",Paramètres!G11)</f>
        <v/>
      </c>
      <c r="C2225" s="18">
        <f>IF($A2225="","",IF(Paramètres!H11="","",Paramètres!H11))</f>
        <v/>
      </c>
      <c r="D2225" s="18">
        <f>IF($A2225="","",IF(Paramètres!I11="","",Paramètres!I11))</f>
        <v/>
      </c>
      <c r="E2225" s="19">
        <f>IF($A2225="","",IF(Paramètres!J11&amp;Paramètres!L11&amp;Paramètres!N11="",Dossiers!$D$45,MAX(IF(Paramètres!J11="",0,IF(Paramètres!K11="",NA(),IF(LEFT(TRIM(Paramètres!K11),1)="F",INDEX($F$2219:$F$2271,MATCH(Paramètres!J11,Paramètres!$G$5:$G$57,0)),INDEX($E$2219:$E$2271,MATCH(Paramètres!J11,Paramètres!$G$5:$G$57,0)))+IF(RIGHT(TRIM(Paramètres!K11),3)="Fin",1-$H2225,IF(LEFT(TRIM(Paramètres!K11),1)="F",1,0)))),IF(Paramètres!L11="",0,IF(Paramètres!M11="",NA(),IF(LEFT(TRIM(Paramètres!M11),1)="F",INDEX($F$2219:$F$2271,MATCH(Paramètres!L11,Paramètres!$G$5:$G$57,0)),INDEX($E$2219:$E$2271,MATCH(Paramètres!L11,Paramètres!$G$5:$G$57,0)))+IF(RIGHT(TRIM(Paramètres!M11),3)="Fin",1-$H2225,IF(LEFT(TRIM(Paramètres!M11),1)="F",1,0)))),IF(Paramètres!N11="",0,IF(Paramètres!O11="",NA(),IF(LEFT(TRIM(Paramètres!O11),1)="F",INDEX($F$2219:$F$2271,MATCH(Paramètres!N11,Paramètres!$G$5:$G$57,0)),INDEX($E$2219:$E$2271,MATCH(Paramètres!N11,Paramètres!$G$5:$G$57,0)))+IF(RIGHT(TRIM(Paramètres!O11),3)="Fin",1-$H2225,IF(LEFT(TRIM(Paramètres!O11),1)="F",1,0)))))))</f>
        <v/>
      </c>
      <c r="F2225" s="19">
        <f>IF($A2225="","",E2225+$H2225-1)</f>
        <v/>
      </c>
      <c r="G2225" s="18" t="n"/>
      <c r="H2225" s="18">
        <f>IF($A2225="","",IF(I2225&lt;&gt;"",I2225,Paramètres!B11))</f>
        <v/>
      </c>
      <c r="I2225" s="18" t="n"/>
    </row>
    <row r="2226">
      <c r="A2226" s="18">
        <f>IF(ISNUMBER(Dossiers!$D$45),Dossiers!$A$45&amp;" · "&amp;Dossiers!$B$45,"")</f>
        <v/>
      </c>
      <c r="B2226" s="18">
        <f>IF($A2226="","",Paramètres!G12)</f>
        <v/>
      </c>
      <c r="C2226" s="18">
        <f>IF($A2226="","",IF(Paramètres!H12="","",Paramètres!H12))</f>
        <v/>
      </c>
      <c r="D2226" s="18">
        <f>IF($A2226="","",IF(Paramètres!I12="","",Paramètres!I12))</f>
        <v/>
      </c>
      <c r="E2226" s="19">
        <f>IF($A2226="","",IF(Paramètres!J12&amp;Paramètres!L12&amp;Paramètres!N12="",Dossiers!$D$45,MAX(IF(Paramètres!J12="",0,IF(Paramètres!K12="",NA(),IF(LEFT(TRIM(Paramètres!K12),1)="F",INDEX($F$2219:$F$2271,MATCH(Paramètres!J12,Paramètres!$G$5:$G$57,0)),INDEX($E$2219:$E$2271,MATCH(Paramètres!J12,Paramètres!$G$5:$G$57,0)))+IF(RIGHT(TRIM(Paramètres!K12),3)="Fin",1-$H2226,IF(LEFT(TRIM(Paramètres!K12),1)="F",1,0)))),IF(Paramètres!L12="",0,IF(Paramètres!M12="",NA(),IF(LEFT(TRIM(Paramètres!M12),1)="F",INDEX($F$2219:$F$2271,MATCH(Paramètres!L12,Paramètres!$G$5:$G$57,0)),INDEX($E$2219:$E$2271,MATCH(Paramètres!L12,Paramètres!$G$5:$G$57,0)))+IF(RIGHT(TRIM(Paramètres!M12),3)="Fin",1-$H2226,IF(LEFT(TRIM(Paramètres!M12),1)="F",1,0)))),IF(Paramètres!N12="",0,IF(Paramètres!O12="",NA(),IF(LEFT(TRIM(Paramètres!O12),1)="F",INDEX($F$2219:$F$2271,MATCH(Paramètres!N12,Paramètres!$G$5:$G$57,0)),INDEX($E$2219:$E$2271,MATCH(Paramètres!N12,Paramètres!$G$5:$G$57,0)))+IF(RIGHT(TRIM(Paramètres!O12),3)="Fin",1-$H2226,IF(LEFT(TRIM(Paramètres!O12),1)="F",1,0)))))))</f>
        <v/>
      </c>
      <c r="F2226" s="19">
        <f>IF($A2226="","",E2226+$H2226-1)</f>
        <v/>
      </c>
      <c r="G2226" s="18" t="n"/>
      <c r="H2226" s="18">
        <f>IF($A2226="","",IF(I2226&lt;&gt;"",I2226,Paramètres!B12))</f>
        <v/>
      </c>
      <c r="I2226" s="18" t="n"/>
    </row>
    <row r="2227">
      <c r="A2227" s="18">
        <f>IF(ISNUMBER(Dossiers!$D$45),Dossiers!$A$45&amp;" · "&amp;Dossiers!$B$45,"")</f>
        <v/>
      </c>
      <c r="B2227" s="18">
        <f>IF($A2227="","",Paramètres!G13)</f>
        <v/>
      </c>
      <c r="C2227" s="18">
        <f>IF($A2227="","",IF(Paramètres!H13="","",Paramètres!H13))</f>
        <v/>
      </c>
      <c r="D2227" s="18">
        <f>IF($A2227="","",IF(Paramètres!I13="","",Paramètres!I13))</f>
        <v/>
      </c>
      <c r="E2227" s="19">
        <f>IF($A2227="","",IF(Paramètres!J13&amp;Paramètres!L13&amp;Paramètres!N13="",Dossiers!$D$45,MAX(IF(Paramètres!J13="",0,IF(Paramètres!K13="",NA(),IF(LEFT(TRIM(Paramètres!K13),1)="F",INDEX($F$2219:$F$2271,MATCH(Paramètres!J13,Paramètres!$G$5:$G$57,0)),INDEX($E$2219:$E$2271,MATCH(Paramètres!J13,Paramètres!$G$5:$G$57,0)))+IF(RIGHT(TRIM(Paramètres!K13),3)="Fin",1-$H2227,IF(LEFT(TRIM(Paramètres!K13),1)="F",1,0)))),IF(Paramètres!L13="",0,IF(Paramètres!M13="",NA(),IF(LEFT(TRIM(Paramètres!M13),1)="F",INDEX($F$2219:$F$2271,MATCH(Paramètres!L13,Paramètres!$G$5:$G$57,0)),INDEX($E$2219:$E$2271,MATCH(Paramètres!L13,Paramètres!$G$5:$G$57,0)))+IF(RIGHT(TRIM(Paramètres!M13),3)="Fin",1-$H2227,IF(LEFT(TRIM(Paramètres!M13),1)="F",1,0)))),IF(Paramètres!N13="",0,IF(Paramètres!O13="",NA(),IF(LEFT(TRIM(Paramètres!O13),1)="F",INDEX($F$2219:$F$2271,MATCH(Paramètres!N13,Paramètres!$G$5:$G$57,0)),INDEX($E$2219:$E$2271,MATCH(Paramètres!N13,Paramètres!$G$5:$G$57,0)))+IF(RIGHT(TRIM(Paramètres!O13),3)="Fin",1-$H2227,IF(LEFT(TRIM(Paramètres!O13),1)="F",1,0)))))))</f>
        <v/>
      </c>
      <c r="F2227" s="19">
        <f>IF($A2227="","",E2227+$H2227-1)</f>
        <v/>
      </c>
      <c r="G2227" s="18" t="n"/>
      <c r="H2227" s="18">
        <f>IF($A2227="","",IF(I2227&lt;&gt;"",I2227,Paramètres!B13))</f>
        <v/>
      </c>
      <c r="I2227" s="18" t="n"/>
    </row>
    <row r="2228">
      <c r="A2228" s="18">
        <f>IF(ISNUMBER(Dossiers!$D$45),Dossiers!$A$45&amp;" · "&amp;Dossiers!$B$45,"")</f>
        <v/>
      </c>
      <c r="B2228" s="18">
        <f>IF($A2228="","",Paramètres!G14)</f>
        <v/>
      </c>
      <c r="C2228" s="18">
        <f>IF($A2228="","",IF(Paramètres!H14="","",Paramètres!H14))</f>
        <v/>
      </c>
      <c r="D2228" s="18">
        <f>IF($A2228="","",IF(Paramètres!I14="","",Paramètres!I14))</f>
        <v/>
      </c>
      <c r="E2228" s="19">
        <f>IF($A2228="","",IF(Paramètres!J14&amp;Paramètres!L14&amp;Paramètres!N14="",Dossiers!$D$45,MAX(IF(Paramètres!J14="",0,IF(Paramètres!K14="",NA(),IF(LEFT(TRIM(Paramètres!K14),1)="F",INDEX($F$2219:$F$2271,MATCH(Paramètres!J14,Paramètres!$G$5:$G$57,0)),INDEX($E$2219:$E$2271,MATCH(Paramètres!J14,Paramètres!$G$5:$G$57,0)))+IF(RIGHT(TRIM(Paramètres!K14),3)="Fin",1-$H2228,IF(LEFT(TRIM(Paramètres!K14),1)="F",1,0)))),IF(Paramètres!L14="",0,IF(Paramètres!M14="",NA(),IF(LEFT(TRIM(Paramètres!M14),1)="F",INDEX($F$2219:$F$2271,MATCH(Paramètres!L14,Paramètres!$G$5:$G$57,0)),INDEX($E$2219:$E$2271,MATCH(Paramètres!L14,Paramètres!$G$5:$G$57,0)))+IF(RIGHT(TRIM(Paramètres!M14),3)="Fin",1-$H2228,IF(LEFT(TRIM(Paramètres!M14),1)="F",1,0)))),IF(Paramètres!N14="",0,IF(Paramètres!O14="",NA(),IF(LEFT(TRIM(Paramètres!O14),1)="F",INDEX($F$2219:$F$2271,MATCH(Paramètres!N14,Paramètres!$G$5:$G$57,0)),INDEX($E$2219:$E$2271,MATCH(Paramètres!N14,Paramètres!$G$5:$G$57,0)))+IF(RIGHT(TRIM(Paramètres!O14),3)="Fin",1-$H2228,IF(LEFT(TRIM(Paramètres!O14),1)="F",1,0)))))))</f>
        <v/>
      </c>
      <c r="F2228" s="19">
        <f>IF($A2228="","",E2228+$H2228-1)</f>
        <v/>
      </c>
      <c r="G2228" s="18" t="n"/>
      <c r="H2228" s="18">
        <f>IF($A2228="","",IF(I2228&lt;&gt;"",I2228,Paramètres!B14))</f>
        <v/>
      </c>
      <c r="I2228" s="18" t="n"/>
    </row>
    <row r="2229">
      <c r="A2229" s="18">
        <f>IF(ISNUMBER(Dossiers!$D$45),Dossiers!$A$45&amp;" · "&amp;Dossiers!$B$45,"")</f>
        <v/>
      </c>
      <c r="B2229" s="18">
        <f>IF($A2229="","",Paramètres!G15)</f>
        <v/>
      </c>
      <c r="C2229" s="18">
        <f>IF($A2229="","",IF(Paramètres!H15="","",Paramètres!H15))</f>
        <v/>
      </c>
      <c r="D2229" s="18">
        <f>IF($A2229="","",IF(Paramètres!I15="","",Paramètres!I15))</f>
        <v/>
      </c>
      <c r="E2229" s="19">
        <f>IF($A2229="","",MIN(E2230:E2245))</f>
        <v/>
      </c>
      <c r="F2229" s="19">
        <f>IF($A2229="","",MAX(F2230:F2245))</f>
        <v/>
      </c>
      <c r="G2229" s="18" t="n"/>
      <c r="H2229" s="18">
        <f>IF($A2229="","",F2229-E2229+1)</f>
        <v/>
      </c>
      <c r="I2229" s="18" t="n"/>
    </row>
    <row r="2230">
      <c r="A2230" s="18">
        <f>IF(ISNUMBER(Dossiers!$D$45),Dossiers!$A$45&amp;" · "&amp;Dossiers!$B$45,"")</f>
        <v/>
      </c>
      <c r="B2230" s="18">
        <f>IF($A2230="","",Paramètres!G16)</f>
        <v/>
      </c>
      <c r="C2230" s="18">
        <f>IF($A2230="","",IF(Paramètres!H16="","",Paramètres!H16))</f>
        <v/>
      </c>
      <c r="D2230" s="18">
        <f>IF($A2230="","",IF(Paramètres!I16="","",Paramètres!I16))</f>
        <v/>
      </c>
      <c r="E2230" s="19">
        <f>IF($A2230="","",IF(Paramètres!J16&amp;Paramètres!L16&amp;Paramètres!N16="",Dossiers!$D$45,MAX(IF(Paramètres!J16="",0,IF(Paramètres!K16="",NA(),IF(LEFT(TRIM(Paramètres!K16),1)="F",INDEX($F$2219:$F$2271,MATCH(Paramètres!J16,Paramètres!$G$5:$G$57,0)),INDEX($E$2219:$E$2271,MATCH(Paramètres!J16,Paramètres!$G$5:$G$57,0)))+IF(RIGHT(TRIM(Paramètres!K16),3)="Fin",1-$H2230,IF(LEFT(TRIM(Paramètres!K16),1)="F",1,0)))),IF(Paramètres!L16="",0,IF(Paramètres!M16="",NA(),IF(LEFT(TRIM(Paramètres!M16),1)="F",INDEX($F$2219:$F$2271,MATCH(Paramètres!L16,Paramètres!$G$5:$G$57,0)),INDEX($E$2219:$E$2271,MATCH(Paramètres!L16,Paramètres!$G$5:$G$57,0)))+IF(RIGHT(TRIM(Paramètres!M16),3)="Fin",1-$H2230,IF(LEFT(TRIM(Paramètres!M16),1)="F",1,0)))),IF(Paramètres!N16="",0,IF(Paramètres!O16="",NA(),IF(LEFT(TRIM(Paramètres!O16),1)="F",INDEX($F$2219:$F$2271,MATCH(Paramètres!N16,Paramètres!$G$5:$G$57,0)),INDEX($E$2219:$E$2271,MATCH(Paramètres!N16,Paramètres!$G$5:$G$57,0)))+IF(RIGHT(TRIM(Paramètres!O16),3)="Fin",1-$H2230,IF(LEFT(TRIM(Paramètres!O16),1)="F",1,0)))))))</f>
        <v/>
      </c>
      <c r="F2230" s="19">
        <f>IF($A2230="","",E2230+$H2230-1)</f>
        <v/>
      </c>
      <c r="G2230" s="18" t="n"/>
      <c r="H2230" s="18">
        <f>IF($A2230="","",IF(I2230&lt;&gt;"",I2230,Paramètres!B16))</f>
        <v/>
      </c>
      <c r="I2230" s="18" t="n"/>
    </row>
    <row r="2231">
      <c r="A2231" s="18">
        <f>IF(ISNUMBER(Dossiers!$D$45),Dossiers!$A$45&amp;" · "&amp;Dossiers!$B$45,"")</f>
        <v/>
      </c>
      <c r="B2231" s="18">
        <f>IF($A2231="","",Paramètres!G17)</f>
        <v/>
      </c>
      <c r="C2231" s="18">
        <f>IF($A2231="","",IF(Paramètres!H17="","",Paramètres!H17))</f>
        <v/>
      </c>
      <c r="D2231" s="18">
        <f>IF($A2231="","",IF(Paramètres!I17="","",Paramètres!I17))</f>
        <v/>
      </c>
      <c r="E2231" s="19">
        <f>IF($A2231="","",IF(Paramètres!J17&amp;Paramètres!L17&amp;Paramètres!N17="",Dossiers!$D$45,MAX(IF(Paramètres!J17="",0,IF(Paramètres!K17="",NA(),IF(LEFT(TRIM(Paramètres!K17),1)="F",INDEX($F$2219:$F$2271,MATCH(Paramètres!J17,Paramètres!$G$5:$G$57,0)),INDEX($E$2219:$E$2271,MATCH(Paramètres!J17,Paramètres!$G$5:$G$57,0)))+IF(RIGHT(TRIM(Paramètres!K17),3)="Fin",1-$H2231,IF(LEFT(TRIM(Paramètres!K17),1)="F",1,0)))),IF(Paramètres!L17="",0,IF(Paramètres!M17="",NA(),IF(LEFT(TRIM(Paramètres!M17),1)="F",INDEX($F$2219:$F$2271,MATCH(Paramètres!L17,Paramètres!$G$5:$G$57,0)),INDEX($E$2219:$E$2271,MATCH(Paramètres!L17,Paramètres!$G$5:$G$57,0)))+IF(RIGHT(TRIM(Paramètres!M17),3)="Fin",1-$H2231,IF(LEFT(TRIM(Paramètres!M17),1)="F",1,0)))),IF(Paramètres!N17="",0,IF(Paramètres!O17="",NA(),IF(LEFT(TRIM(Paramètres!O17),1)="F",INDEX($F$2219:$F$2271,MATCH(Paramètres!N17,Paramètres!$G$5:$G$57,0)),INDEX($E$2219:$E$2271,MATCH(Paramètres!N17,Paramètres!$G$5:$G$57,0)))+IF(RIGHT(TRIM(Paramètres!O17),3)="Fin",1-$H2231,IF(LEFT(TRIM(Paramètres!O17),1)="F",1,0)))))))</f>
        <v/>
      </c>
      <c r="F2231" s="19">
        <f>IF($A2231="","",E2231+$H2231-1)</f>
        <v/>
      </c>
      <c r="G2231" s="18" t="n"/>
      <c r="H2231" s="18">
        <f>IF($A2231="","",IF(I2231&lt;&gt;"",I2231,Paramètres!B17))</f>
        <v/>
      </c>
      <c r="I2231" s="18" t="n"/>
    </row>
    <row r="2232">
      <c r="A2232" s="18">
        <f>IF(ISNUMBER(Dossiers!$D$45),Dossiers!$A$45&amp;" · "&amp;Dossiers!$B$45,"")</f>
        <v/>
      </c>
      <c r="B2232" s="18">
        <f>IF($A2232="","",Paramètres!G18)</f>
        <v/>
      </c>
      <c r="C2232" s="18">
        <f>IF($A2232="","",IF(Paramètres!H18="","",Paramètres!H18))</f>
        <v/>
      </c>
      <c r="D2232" s="18">
        <f>IF($A2232="","",IF(Paramètres!I18="","",Paramètres!I18))</f>
        <v/>
      </c>
      <c r="E2232" s="19">
        <f>IF($A2232="","",IF(Paramètres!J18&amp;Paramètres!L18&amp;Paramètres!N18="",Dossiers!$D$45,MAX(IF(Paramètres!J18="",0,IF(Paramètres!K18="",NA(),IF(LEFT(TRIM(Paramètres!K18),1)="F",INDEX($F$2219:$F$2271,MATCH(Paramètres!J18,Paramètres!$G$5:$G$57,0)),INDEX($E$2219:$E$2271,MATCH(Paramètres!J18,Paramètres!$G$5:$G$57,0)))+IF(RIGHT(TRIM(Paramètres!K18),3)="Fin",1-$H2232,IF(LEFT(TRIM(Paramètres!K18),1)="F",1,0)))),IF(Paramètres!L18="",0,IF(Paramètres!M18="",NA(),IF(LEFT(TRIM(Paramètres!M18),1)="F",INDEX($F$2219:$F$2271,MATCH(Paramètres!L18,Paramètres!$G$5:$G$57,0)),INDEX($E$2219:$E$2271,MATCH(Paramètres!L18,Paramètres!$G$5:$G$57,0)))+IF(RIGHT(TRIM(Paramètres!M18),3)="Fin",1-$H2232,IF(LEFT(TRIM(Paramètres!M18),1)="F",1,0)))),IF(Paramètres!N18="",0,IF(Paramètres!O18="",NA(),IF(LEFT(TRIM(Paramètres!O18),1)="F",INDEX($F$2219:$F$2271,MATCH(Paramètres!N18,Paramètres!$G$5:$G$57,0)),INDEX($E$2219:$E$2271,MATCH(Paramètres!N18,Paramètres!$G$5:$G$57,0)))+IF(RIGHT(TRIM(Paramètres!O18),3)="Fin",1-$H2232,IF(LEFT(TRIM(Paramètres!O18),1)="F",1,0)))))))</f>
        <v/>
      </c>
      <c r="F2232" s="19">
        <f>IF($A2232="","",E2232+$H2232-1)</f>
        <v/>
      </c>
      <c r="G2232" s="18" t="n"/>
      <c r="H2232" s="18">
        <f>IF($A2232="","",IF(I2232&lt;&gt;"",I2232,Paramètres!B18))</f>
        <v/>
      </c>
      <c r="I2232" s="18" t="n"/>
    </row>
    <row r="2233">
      <c r="A2233" s="18">
        <f>IF(ISNUMBER(Dossiers!$D$45),Dossiers!$A$45&amp;" · "&amp;Dossiers!$B$45,"")</f>
        <v/>
      </c>
      <c r="B2233" s="18">
        <f>IF($A2233="","",Paramètres!G19)</f>
        <v/>
      </c>
      <c r="C2233" s="18">
        <f>IF($A2233="","",IF(Paramètres!H19="","",Paramètres!H19))</f>
        <v/>
      </c>
      <c r="D2233" s="18">
        <f>IF($A2233="","",IF(Paramètres!I19="","",Paramètres!I19))</f>
        <v/>
      </c>
      <c r="E2233" s="19">
        <f>IF($A2233="","",IF(Paramètres!J19&amp;Paramètres!L19&amp;Paramètres!N19="",Dossiers!$D$45,MAX(IF(Paramètres!J19="",0,IF(Paramètres!K19="",NA(),IF(LEFT(TRIM(Paramètres!K19),1)="F",INDEX($F$2219:$F$2271,MATCH(Paramètres!J19,Paramètres!$G$5:$G$57,0)),INDEX($E$2219:$E$2271,MATCH(Paramètres!J19,Paramètres!$G$5:$G$57,0)))+IF(RIGHT(TRIM(Paramètres!K19),3)="Fin",1-$H2233,IF(LEFT(TRIM(Paramètres!K19),1)="F",1,0)))),IF(Paramètres!L19="",0,IF(Paramètres!M19="",NA(),IF(LEFT(TRIM(Paramètres!M19),1)="F",INDEX($F$2219:$F$2271,MATCH(Paramètres!L19,Paramètres!$G$5:$G$57,0)),INDEX($E$2219:$E$2271,MATCH(Paramètres!L19,Paramètres!$G$5:$G$57,0)))+IF(RIGHT(TRIM(Paramètres!M19),3)="Fin",1-$H2233,IF(LEFT(TRIM(Paramètres!M19),1)="F",1,0)))),IF(Paramètres!N19="",0,IF(Paramètres!O19="",NA(),IF(LEFT(TRIM(Paramètres!O19),1)="F",INDEX($F$2219:$F$2271,MATCH(Paramètres!N19,Paramètres!$G$5:$G$57,0)),INDEX($E$2219:$E$2271,MATCH(Paramètres!N19,Paramètres!$G$5:$G$57,0)))+IF(RIGHT(TRIM(Paramètres!O19),3)="Fin",1-$H2233,IF(LEFT(TRIM(Paramètres!O19),1)="F",1,0)))))))</f>
        <v/>
      </c>
      <c r="F2233" s="19">
        <f>IF($A2233="","",E2233+$H2233-1)</f>
        <v/>
      </c>
      <c r="G2233" s="18" t="n"/>
      <c r="H2233" s="18">
        <f>IF($A2233="","",IF(I2233&lt;&gt;"",I2233,Paramètres!B19))</f>
        <v/>
      </c>
      <c r="I2233" s="18" t="n"/>
    </row>
    <row r="2234">
      <c r="A2234" s="18">
        <f>IF(ISNUMBER(Dossiers!$D$45),Dossiers!$A$45&amp;" · "&amp;Dossiers!$B$45,"")</f>
        <v/>
      </c>
      <c r="B2234" s="18">
        <f>IF($A2234="","",Paramètres!G20)</f>
        <v/>
      </c>
      <c r="C2234" s="18">
        <f>IF($A2234="","",IF(Paramètres!H20="","",Paramètres!H20))</f>
        <v/>
      </c>
      <c r="D2234" s="18">
        <f>IF($A2234="","",IF(Paramètres!I20="","",Paramètres!I20))</f>
        <v/>
      </c>
      <c r="E2234" s="19">
        <f>IF($A2234="","",IF(Paramètres!J20&amp;Paramètres!L20&amp;Paramètres!N20="",Dossiers!$D$45,MAX(IF(Paramètres!J20="",0,IF(Paramètres!K20="",NA(),IF(LEFT(TRIM(Paramètres!K20),1)="F",INDEX($F$2219:$F$2271,MATCH(Paramètres!J20,Paramètres!$G$5:$G$57,0)),INDEX($E$2219:$E$2271,MATCH(Paramètres!J20,Paramètres!$G$5:$G$57,0)))+IF(RIGHT(TRIM(Paramètres!K20),3)="Fin",1-$H2234,IF(LEFT(TRIM(Paramètres!K20),1)="F",1,0)))),IF(Paramètres!L20="",0,IF(Paramètres!M20="",NA(),IF(LEFT(TRIM(Paramètres!M20),1)="F",INDEX($F$2219:$F$2271,MATCH(Paramètres!L20,Paramètres!$G$5:$G$57,0)),INDEX($E$2219:$E$2271,MATCH(Paramètres!L20,Paramètres!$G$5:$G$57,0)))+IF(RIGHT(TRIM(Paramètres!M20),3)="Fin",1-$H2234,IF(LEFT(TRIM(Paramètres!M20),1)="F",1,0)))),IF(Paramètres!N20="",0,IF(Paramètres!O20="",NA(),IF(LEFT(TRIM(Paramètres!O20),1)="F",INDEX($F$2219:$F$2271,MATCH(Paramètres!N20,Paramètres!$G$5:$G$57,0)),INDEX($E$2219:$E$2271,MATCH(Paramètres!N20,Paramètres!$G$5:$G$57,0)))+IF(RIGHT(TRIM(Paramètres!O20),3)="Fin",1-$H2234,IF(LEFT(TRIM(Paramètres!O20),1)="F",1,0)))))))</f>
        <v/>
      </c>
      <c r="F2234" s="19">
        <f>IF($A2234="","",E2234+$H2234-1)</f>
        <v/>
      </c>
      <c r="G2234" s="18" t="n"/>
      <c r="H2234" s="18">
        <f>IF($A2234="","",IF(I2234&lt;&gt;"",I2234,Paramètres!B20))</f>
        <v/>
      </c>
      <c r="I2234" s="18" t="n"/>
    </row>
    <row r="2235">
      <c r="A2235" s="18">
        <f>IF(ISNUMBER(Dossiers!$D$45),Dossiers!$A$45&amp;" · "&amp;Dossiers!$B$45,"")</f>
        <v/>
      </c>
      <c r="B2235" s="18">
        <f>IF($A2235="","",Paramètres!G21)</f>
        <v/>
      </c>
      <c r="C2235" s="18">
        <f>IF($A2235="","",IF(Paramètres!H21="","",Paramètres!H21))</f>
        <v/>
      </c>
      <c r="D2235" s="18">
        <f>IF($A2235="","",IF(Paramètres!I21="","",Paramètres!I21))</f>
        <v/>
      </c>
      <c r="E2235" s="19">
        <f>IF($A2235="","",IF(Paramètres!J21&amp;Paramètres!L21&amp;Paramètres!N21="",Dossiers!$D$45,MAX(IF(Paramètres!J21="",0,IF(Paramètres!K21="",NA(),IF(LEFT(TRIM(Paramètres!K21),1)="F",INDEX($F$2219:$F$2271,MATCH(Paramètres!J21,Paramètres!$G$5:$G$57,0)),INDEX($E$2219:$E$2271,MATCH(Paramètres!J21,Paramètres!$G$5:$G$57,0)))+IF(RIGHT(TRIM(Paramètres!K21),3)="Fin",1-$H2235,IF(LEFT(TRIM(Paramètres!K21),1)="F",1,0)))),IF(Paramètres!L21="",0,IF(Paramètres!M21="",NA(),IF(LEFT(TRIM(Paramètres!M21),1)="F",INDEX($F$2219:$F$2271,MATCH(Paramètres!L21,Paramètres!$G$5:$G$57,0)),INDEX($E$2219:$E$2271,MATCH(Paramètres!L21,Paramètres!$G$5:$G$57,0)))+IF(RIGHT(TRIM(Paramètres!M21),3)="Fin",1-$H2235,IF(LEFT(TRIM(Paramètres!M21),1)="F",1,0)))),IF(Paramètres!N21="",0,IF(Paramètres!O21="",NA(),IF(LEFT(TRIM(Paramètres!O21),1)="F",INDEX($F$2219:$F$2271,MATCH(Paramètres!N21,Paramètres!$G$5:$G$57,0)),INDEX($E$2219:$E$2271,MATCH(Paramètres!N21,Paramètres!$G$5:$G$57,0)))+IF(RIGHT(TRIM(Paramètres!O21),3)="Fin",1-$H2235,IF(LEFT(TRIM(Paramètres!O21),1)="F",1,0)))))))</f>
        <v/>
      </c>
      <c r="F2235" s="19">
        <f>IF($A2235="","",E2235+$H2235-1)</f>
        <v/>
      </c>
      <c r="G2235" s="18" t="n"/>
      <c r="H2235" s="18">
        <f>IF($A2235="","",IF(I2235&lt;&gt;"",I2235,Paramètres!B21))</f>
        <v/>
      </c>
      <c r="I2235" s="18" t="n"/>
    </row>
    <row r="2236">
      <c r="A2236" s="18">
        <f>IF(ISNUMBER(Dossiers!$D$45),Dossiers!$A$45&amp;" · "&amp;Dossiers!$B$45,"")</f>
        <v/>
      </c>
      <c r="B2236" s="18">
        <f>IF($A2236="","",Paramètres!G22)</f>
        <v/>
      </c>
      <c r="C2236" s="18">
        <f>IF($A2236="","",IF(Paramètres!H22="","",Paramètres!H22))</f>
        <v/>
      </c>
      <c r="D2236" s="18">
        <f>IF($A2236="","",IF(Paramètres!I22="","",Paramètres!I22))</f>
        <v/>
      </c>
      <c r="E2236" s="19">
        <f>IF($A2236="","",IF(Paramètres!J22&amp;Paramètres!L22&amp;Paramètres!N22="",Dossiers!$D$45,MAX(IF(Paramètres!J22="",0,IF(Paramètres!K22="",NA(),IF(LEFT(TRIM(Paramètres!K22),1)="F",INDEX($F$2219:$F$2271,MATCH(Paramètres!J22,Paramètres!$G$5:$G$57,0)),INDEX($E$2219:$E$2271,MATCH(Paramètres!J22,Paramètres!$G$5:$G$57,0)))+IF(RIGHT(TRIM(Paramètres!K22),3)="Fin",1-$H2236,IF(LEFT(TRIM(Paramètres!K22),1)="F",1,0)))),IF(Paramètres!L22="",0,IF(Paramètres!M22="",NA(),IF(LEFT(TRIM(Paramètres!M22),1)="F",INDEX($F$2219:$F$2271,MATCH(Paramètres!L22,Paramètres!$G$5:$G$57,0)),INDEX($E$2219:$E$2271,MATCH(Paramètres!L22,Paramètres!$G$5:$G$57,0)))+IF(RIGHT(TRIM(Paramètres!M22),3)="Fin",1-$H2236,IF(LEFT(TRIM(Paramètres!M22),1)="F",1,0)))),IF(Paramètres!N22="",0,IF(Paramètres!O22="",NA(),IF(LEFT(TRIM(Paramètres!O22),1)="F",INDEX($F$2219:$F$2271,MATCH(Paramètres!N22,Paramètres!$G$5:$G$57,0)),INDEX($E$2219:$E$2271,MATCH(Paramètres!N22,Paramètres!$G$5:$G$57,0)))+IF(RIGHT(TRIM(Paramètres!O22),3)="Fin",1-$H2236,IF(LEFT(TRIM(Paramètres!O22),1)="F",1,0)))))))</f>
        <v/>
      </c>
      <c r="F2236" s="19">
        <f>IF($A2236="","",E2236+$H2236-1)</f>
        <v/>
      </c>
      <c r="G2236" s="18" t="n"/>
      <c r="H2236" s="18">
        <f>IF($A2236="","",IF(I2236&lt;&gt;"",I2236,Paramètres!B22))</f>
        <v/>
      </c>
      <c r="I2236" s="18" t="n"/>
    </row>
    <row r="2237">
      <c r="A2237" s="18">
        <f>IF(ISNUMBER(Dossiers!$D$45),Dossiers!$A$45&amp;" · "&amp;Dossiers!$B$45,"")</f>
        <v/>
      </c>
      <c r="B2237" s="18">
        <f>IF($A2237="","",Paramètres!G23)</f>
        <v/>
      </c>
      <c r="C2237" s="18">
        <f>IF($A2237="","",IF(Paramètres!H23="","",Paramètres!H23))</f>
        <v/>
      </c>
      <c r="D2237" s="18">
        <f>IF($A2237="","",IF(Paramètres!I23="","",Paramètres!I23))</f>
        <v/>
      </c>
      <c r="E2237" s="19">
        <f>IF($A2237="","",IF(Paramètres!J23&amp;Paramètres!L23&amp;Paramètres!N23="",Dossiers!$D$45,MAX(IF(Paramètres!J23="",0,IF(Paramètres!K23="",NA(),IF(LEFT(TRIM(Paramètres!K23),1)="F",INDEX($F$2219:$F$2271,MATCH(Paramètres!J23,Paramètres!$G$5:$G$57,0)),INDEX($E$2219:$E$2271,MATCH(Paramètres!J23,Paramètres!$G$5:$G$57,0)))+IF(RIGHT(TRIM(Paramètres!K23),3)="Fin",1-$H2237,IF(LEFT(TRIM(Paramètres!K23),1)="F",1,0)))),IF(Paramètres!L23="",0,IF(Paramètres!M23="",NA(),IF(LEFT(TRIM(Paramètres!M23),1)="F",INDEX($F$2219:$F$2271,MATCH(Paramètres!L23,Paramètres!$G$5:$G$57,0)),INDEX($E$2219:$E$2271,MATCH(Paramètres!L23,Paramètres!$G$5:$G$57,0)))+IF(RIGHT(TRIM(Paramètres!M23),3)="Fin",1-$H2237,IF(LEFT(TRIM(Paramètres!M23),1)="F",1,0)))),IF(Paramètres!N23="",0,IF(Paramètres!O23="",NA(),IF(LEFT(TRIM(Paramètres!O23),1)="F",INDEX($F$2219:$F$2271,MATCH(Paramètres!N23,Paramètres!$G$5:$G$57,0)),INDEX($E$2219:$E$2271,MATCH(Paramètres!N23,Paramètres!$G$5:$G$57,0)))+IF(RIGHT(TRIM(Paramètres!O23),3)="Fin",1-$H2237,IF(LEFT(TRIM(Paramètres!O23),1)="F",1,0)))))))</f>
        <v/>
      </c>
      <c r="F2237" s="19">
        <f>IF($A2237="","",E2237+$H2237-1)</f>
        <v/>
      </c>
      <c r="G2237" s="18" t="n"/>
      <c r="H2237" s="18">
        <f>IF($A2237="","",IF(I2237&lt;&gt;"",I2237,Paramètres!B23))</f>
        <v/>
      </c>
      <c r="I2237" s="18" t="n"/>
    </row>
    <row r="2238">
      <c r="A2238" s="18">
        <f>IF(ISNUMBER(Dossiers!$D$45),Dossiers!$A$45&amp;" · "&amp;Dossiers!$B$45,"")</f>
        <v/>
      </c>
      <c r="B2238" s="18">
        <f>IF($A2238="","",Paramètres!G24)</f>
        <v/>
      </c>
      <c r="C2238" s="18">
        <f>IF($A2238="","",IF(Paramètres!H24="","",Paramètres!H24))</f>
        <v/>
      </c>
      <c r="D2238" s="18">
        <f>IF($A2238="","",IF(Paramètres!I24="","",Paramètres!I24))</f>
        <v/>
      </c>
      <c r="E2238" s="19">
        <f>IF($A2238="","",IF(Paramètres!J24&amp;Paramètres!L24&amp;Paramètres!N24="",Dossiers!$D$45,MAX(IF(Paramètres!J24="",0,IF(Paramètres!K24="",NA(),IF(LEFT(TRIM(Paramètres!K24),1)="F",INDEX($F$2219:$F$2271,MATCH(Paramètres!J24,Paramètres!$G$5:$G$57,0)),INDEX($E$2219:$E$2271,MATCH(Paramètres!J24,Paramètres!$G$5:$G$57,0)))+IF(RIGHT(TRIM(Paramètres!K24),3)="Fin",1-$H2238,IF(LEFT(TRIM(Paramètres!K24),1)="F",1,0)))),IF(Paramètres!L24="",0,IF(Paramètres!M24="",NA(),IF(LEFT(TRIM(Paramètres!M24),1)="F",INDEX($F$2219:$F$2271,MATCH(Paramètres!L24,Paramètres!$G$5:$G$57,0)),INDEX($E$2219:$E$2271,MATCH(Paramètres!L24,Paramètres!$G$5:$G$57,0)))+IF(RIGHT(TRIM(Paramètres!M24),3)="Fin",1-$H2238,IF(LEFT(TRIM(Paramètres!M24),1)="F",1,0)))),IF(Paramètres!N24="",0,IF(Paramètres!O24="",NA(),IF(LEFT(TRIM(Paramètres!O24),1)="F",INDEX($F$2219:$F$2271,MATCH(Paramètres!N24,Paramètres!$G$5:$G$57,0)),INDEX($E$2219:$E$2271,MATCH(Paramètres!N24,Paramètres!$G$5:$G$57,0)))+IF(RIGHT(TRIM(Paramètres!O24),3)="Fin",1-$H2238,IF(LEFT(TRIM(Paramètres!O24),1)="F",1,0)))))))</f>
        <v/>
      </c>
      <c r="F2238" s="19">
        <f>IF($A2238="","",E2238+$H2238-1)</f>
        <v/>
      </c>
      <c r="G2238" s="18" t="n"/>
      <c r="H2238" s="18">
        <f>IF($A2238="","",IF(I2238&lt;&gt;"",I2238,Paramètres!B24))</f>
        <v/>
      </c>
      <c r="I2238" s="18" t="n"/>
    </row>
    <row r="2239">
      <c r="A2239" s="18">
        <f>IF(ISNUMBER(Dossiers!$D$45),Dossiers!$A$45&amp;" · "&amp;Dossiers!$B$45,"")</f>
        <v/>
      </c>
      <c r="B2239" s="18">
        <f>IF($A2239="","",Paramètres!G25)</f>
        <v/>
      </c>
      <c r="C2239" s="18">
        <f>IF($A2239="","",IF(Paramètres!H25="","",Paramètres!H25))</f>
        <v/>
      </c>
      <c r="D2239" s="18">
        <f>IF($A2239="","",IF(Paramètres!I25="","",Paramètres!I25))</f>
        <v/>
      </c>
      <c r="E2239" s="19">
        <f>IF($A2239="","",IF(Paramètres!J25&amp;Paramètres!L25&amp;Paramètres!N25="",Dossiers!$D$45,MAX(IF(Paramètres!J25="",0,IF(Paramètres!K25="",NA(),IF(LEFT(TRIM(Paramètres!K25),1)="F",INDEX($F$2219:$F$2271,MATCH(Paramètres!J25,Paramètres!$G$5:$G$57,0)),INDEX($E$2219:$E$2271,MATCH(Paramètres!J25,Paramètres!$G$5:$G$57,0)))+IF(RIGHT(TRIM(Paramètres!K25),3)="Fin",1-$H2239,IF(LEFT(TRIM(Paramètres!K25),1)="F",1,0)))),IF(Paramètres!L25="",0,IF(Paramètres!M25="",NA(),IF(LEFT(TRIM(Paramètres!M25),1)="F",INDEX($F$2219:$F$2271,MATCH(Paramètres!L25,Paramètres!$G$5:$G$57,0)),INDEX($E$2219:$E$2271,MATCH(Paramètres!L25,Paramètres!$G$5:$G$57,0)))+IF(RIGHT(TRIM(Paramètres!M25),3)="Fin",1-$H2239,IF(LEFT(TRIM(Paramètres!M25),1)="F",1,0)))),IF(Paramètres!N25="",0,IF(Paramètres!O25="",NA(),IF(LEFT(TRIM(Paramètres!O25),1)="F",INDEX($F$2219:$F$2271,MATCH(Paramètres!N25,Paramètres!$G$5:$G$57,0)),INDEX($E$2219:$E$2271,MATCH(Paramètres!N25,Paramètres!$G$5:$G$57,0)))+IF(RIGHT(TRIM(Paramètres!O25),3)="Fin",1-$H2239,IF(LEFT(TRIM(Paramètres!O25),1)="F",1,0)))))))</f>
        <v/>
      </c>
      <c r="F2239" s="19">
        <f>IF($A2239="","",E2239+$H2239-1)</f>
        <v/>
      </c>
      <c r="G2239" s="18" t="n"/>
      <c r="H2239" s="18">
        <f>IF($A2239="","",IF(I2239&lt;&gt;"",I2239,Paramètres!B25))</f>
        <v/>
      </c>
      <c r="I2239" s="18" t="n"/>
    </row>
    <row r="2240">
      <c r="A2240" s="18">
        <f>IF(ISNUMBER(Dossiers!$D$45),Dossiers!$A$45&amp;" · "&amp;Dossiers!$B$45,"")</f>
        <v/>
      </c>
      <c r="B2240" s="18">
        <f>IF($A2240="","",Paramètres!G26)</f>
        <v/>
      </c>
      <c r="C2240" s="18">
        <f>IF($A2240="","",IF(Paramètres!H26="","",Paramètres!H26))</f>
        <v/>
      </c>
      <c r="D2240" s="18">
        <f>IF($A2240="","",IF(Paramètres!I26="","",Paramètres!I26))</f>
        <v/>
      </c>
      <c r="E2240" s="19">
        <f>IF($A2240="","",IF(Paramètres!J26&amp;Paramètres!L26&amp;Paramètres!N26="",Dossiers!$D$45,MAX(IF(Paramètres!J26="",0,IF(Paramètres!K26="",NA(),IF(LEFT(TRIM(Paramètres!K26),1)="F",INDEX($F$2219:$F$2271,MATCH(Paramètres!J26,Paramètres!$G$5:$G$57,0)),INDEX($E$2219:$E$2271,MATCH(Paramètres!J26,Paramètres!$G$5:$G$57,0)))+IF(RIGHT(TRIM(Paramètres!K26),3)="Fin",1-$H2240,IF(LEFT(TRIM(Paramètres!K26),1)="F",1,0)))),IF(Paramètres!L26="",0,IF(Paramètres!M26="",NA(),IF(LEFT(TRIM(Paramètres!M26),1)="F",INDEX($F$2219:$F$2271,MATCH(Paramètres!L26,Paramètres!$G$5:$G$57,0)),INDEX($E$2219:$E$2271,MATCH(Paramètres!L26,Paramètres!$G$5:$G$57,0)))+IF(RIGHT(TRIM(Paramètres!M26),3)="Fin",1-$H2240,IF(LEFT(TRIM(Paramètres!M26),1)="F",1,0)))),IF(Paramètres!N26="",0,IF(Paramètres!O26="",NA(),IF(LEFT(TRIM(Paramètres!O26),1)="F",INDEX($F$2219:$F$2271,MATCH(Paramètres!N26,Paramètres!$G$5:$G$57,0)),INDEX($E$2219:$E$2271,MATCH(Paramètres!N26,Paramètres!$G$5:$G$57,0)))+IF(RIGHT(TRIM(Paramètres!O26),3)="Fin",1-$H2240,IF(LEFT(TRIM(Paramètres!O26),1)="F",1,0)))))))</f>
        <v/>
      </c>
      <c r="F2240" s="19">
        <f>IF($A2240="","",E2240+$H2240-1)</f>
        <v/>
      </c>
      <c r="G2240" s="18" t="n"/>
      <c r="H2240" s="18">
        <f>IF($A2240="","",IF(I2240&lt;&gt;"",I2240,Paramètres!B26))</f>
        <v/>
      </c>
      <c r="I2240" s="18" t="n"/>
    </row>
    <row r="2241">
      <c r="A2241" s="18">
        <f>IF(ISNUMBER(Dossiers!$D$45),Dossiers!$A$45&amp;" · "&amp;Dossiers!$B$45,"")</f>
        <v/>
      </c>
      <c r="B2241" s="18">
        <f>IF($A2241="","",Paramètres!G27)</f>
        <v/>
      </c>
      <c r="C2241" s="18">
        <f>IF($A2241="","",IF(Paramètres!H27="","",Paramètres!H27))</f>
        <v/>
      </c>
      <c r="D2241" s="18">
        <f>IF($A2241="","",IF(Paramètres!I27="","",Paramètres!I27))</f>
        <v/>
      </c>
      <c r="E2241" s="19">
        <f>IF($A2241="","",IF(Paramètres!J27&amp;Paramètres!L27&amp;Paramètres!N27="",Dossiers!$D$45,MAX(IF(Paramètres!J27="",0,IF(Paramètres!K27="",NA(),IF(LEFT(TRIM(Paramètres!K27),1)="F",INDEX($F$2219:$F$2271,MATCH(Paramètres!J27,Paramètres!$G$5:$G$57,0)),INDEX($E$2219:$E$2271,MATCH(Paramètres!J27,Paramètres!$G$5:$G$57,0)))+IF(RIGHT(TRIM(Paramètres!K27),3)="Fin",1-$H2241,IF(LEFT(TRIM(Paramètres!K27),1)="F",1,0)))),IF(Paramètres!L27="",0,IF(Paramètres!M27="",NA(),IF(LEFT(TRIM(Paramètres!M27),1)="F",INDEX($F$2219:$F$2271,MATCH(Paramètres!L27,Paramètres!$G$5:$G$57,0)),INDEX($E$2219:$E$2271,MATCH(Paramètres!L27,Paramètres!$G$5:$G$57,0)))+IF(RIGHT(TRIM(Paramètres!M27),3)="Fin",1-$H2241,IF(LEFT(TRIM(Paramètres!M27),1)="F",1,0)))),IF(Paramètres!N27="",0,IF(Paramètres!O27="",NA(),IF(LEFT(TRIM(Paramètres!O27),1)="F",INDEX($F$2219:$F$2271,MATCH(Paramètres!N27,Paramètres!$G$5:$G$57,0)),INDEX($E$2219:$E$2271,MATCH(Paramètres!N27,Paramètres!$G$5:$G$57,0)))+IF(RIGHT(TRIM(Paramètres!O27),3)="Fin",1-$H2241,IF(LEFT(TRIM(Paramètres!O27),1)="F",1,0)))))))</f>
        <v/>
      </c>
      <c r="F2241" s="19">
        <f>IF($A2241="","",E2241+$H2241-1)</f>
        <v/>
      </c>
      <c r="G2241" s="18" t="n"/>
      <c r="H2241" s="18">
        <f>IF($A2241="","",IF(I2241&lt;&gt;"",I2241,Paramètres!B27))</f>
        <v/>
      </c>
      <c r="I2241" s="18" t="n"/>
    </row>
    <row r="2242">
      <c r="A2242" s="18">
        <f>IF(ISNUMBER(Dossiers!$D$45),Dossiers!$A$45&amp;" · "&amp;Dossiers!$B$45,"")</f>
        <v/>
      </c>
      <c r="B2242" s="18">
        <f>IF($A2242="","",Paramètres!G28)</f>
        <v/>
      </c>
      <c r="C2242" s="18">
        <f>IF($A2242="","",IF(Paramètres!H28="","",Paramètres!H28))</f>
        <v/>
      </c>
      <c r="D2242" s="18">
        <f>IF($A2242="","",IF(Paramètres!I28="","",Paramètres!I28))</f>
        <v/>
      </c>
      <c r="E2242" s="19">
        <f>IF($A2242="","",IF(Paramètres!J28&amp;Paramètres!L28&amp;Paramètres!N28="",Dossiers!$D$45,MAX(IF(Paramètres!J28="",0,IF(Paramètres!K28="",NA(),IF(LEFT(TRIM(Paramètres!K28),1)="F",INDEX($F$2219:$F$2271,MATCH(Paramètres!J28,Paramètres!$G$5:$G$57,0)),INDEX($E$2219:$E$2271,MATCH(Paramètres!J28,Paramètres!$G$5:$G$57,0)))+IF(RIGHT(TRIM(Paramètres!K28),3)="Fin",1-$H2242,IF(LEFT(TRIM(Paramètres!K28),1)="F",1,0)))),IF(Paramètres!L28="",0,IF(Paramètres!M28="",NA(),IF(LEFT(TRIM(Paramètres!M28),1)="F",INDEX($F$2219:$F$2271,MATCH(Paramètres!L28,Paramètres!$G$5:$G$57,0)),INDEX($E$2219:$E$2271,MATCH(Paramètres!L28,Paramètres!$G$5:$G$57,0)))+IF(RIGHT(TRIM(Paramètres!M28),3)="Fin",1-$H2242,IF(LEFT(TRIM(Paramètres!M28),1)="F",1,0)))),IF(Paramètres!N28="",0,IF(Paramètres!O28="",NA(),IF(LEFT(TRIM(Paramètres!O28),1)="F",INDEX($F$2219:$F$2271,MATCH(Paramètres!N28,Paramètres!$G$5:$G$57,0)),INDEX($E$2219:$E$2271,MATCH(Paramètres!N28,Paramètres!$G$5:$G$57,0)))+IF(RIGHT(TRIM(Paramètres!O28),3)="Fin",1-$H2242,IF(LEFT(TRIM(Paramètres!O28),1)="F",1,0)))))))</f>
        <v/>
      </c>
      <c r="F2242" s="19">
        <f>IF($A2242="","",E2242+$H2242-1)</f>
        <v/>
      </c>
      <c r="G2242" s="18" t="n"/>
      <c r="H2242" s="18">
        <f>IF($A2242="","",IF(I2242&lt;&gt;"",I2242,Paramètres!B28))</f>
        <v/>
      </c>
      <c r="I2242" s="18" t="n"/>
    </row>
    <row r="2243">
      <c r="A2243" s="18">
        <f>IF(ISNUMBER(Dossiers!$D$45),Dossiers!$A$45&amp;" · "&amp;Dossiers!$B$45,"")</f>
        <v/>
      </c>
      <c r="B2243" s="18">
        <f>IF($A2243="","",Paramètres!G29)</f>
        <v/>
      </c>
      <c r="C2243" s="18">
        <f>IF($A2243="","",IF(Paramètres!H29="","",Paramètres!H29))</f>
        <v/>
      </c>
      <c r="D2243" s="18">
        <f>IF($A2243="","",IF(Paramètres!I29="","",Paramètres!I29))</f>
        <v/>
      </c>
      <c r="E2243" s="19">
        <f>IF($A2243="","",IF(Paramètres!J29&amp;Paramètres!L29&amp;Paramètres!N29="",Dossiers!$D$45,MAX(IF(Paramètres!J29="",0,IF(Paramètres!K29="",NA(),IF(LEFT(TRIM(Paramètres!K29),1)="F",INDEX($F$2219:$F$2271,MATCH(Paramètres!J29,Paramètres!$G$5:$G$57,0)),INDEX($E$2219:$E$2271,MATCH(Paramètres!J29,Paramètres!$G$5:$G$57,0)))+IF(RIGHT(TRIM(Paramètres!K29),3)="Fin",1-$H2243,IF(LEFT(TRIM(Paramètres!K29),1)="F",1,0)))),IF(Paramètres!L29="",0,IF(Paramètres!M29="",NA(),IF(LEFT(TRIM(Paramètres!M29),1)="F",INDEX($F$2219:$F$2271,MATCH(Paramètres!L29,Paramètres!$G$5:$G$57,0)),INDEX($E$2219:$E$2271,MATCH(Paramètres!L29,Paramètres!$G$5:$G$57,0)))+IF(RIGHT(TRIM(Paramètres!M29),3)="Fin",1-$H2243,IF(LEFT(TRIM(Paramètres!M29),1)="F",1,0)))),IF(Paramètres!N29="",0,IF(Paramètres!O29="",NA(),IF(LEFT(TRIM(Paramètres!O29),1)="F",INDEX($F$2219:$F$2271,MATCH(Paramètres!N29,Paramètres!$G$5:$G$57,0)),INDEX($E$2219:$E$2271,MATCH(Paramètres!N29,Paramètres!$G$5:$G$57,0)))+IF(RIGHT(TRIM(Paramètres!O29),3)="Fin",1-$H2243,IF(LEFT(TRIM(Paramètres!O29),1)="F",1,0)))))))</f>
        <v/>
      </c>
      <c r="F2243" s="19">
        <f>IF($A2243="","",E2243+$H2243-1)</f>
        <v/>
      </c>
      <c r="G2243" s="18" t="n"/>
      <c r="H2243" s="18">
        <f>IF($A2243="","",IF(I2243&lt;&gt;"",I2243,Paramètres!B29))</f>
        <v/>
      </c>
      <c r="I2243" s="18" t="n"/>
    </row>
    <row r="2244">
      <c r="A2244" s="18">
        <f>IF(ISNUMBER(Dossiers!$D$45),Dossiers!$A$45&amp;" · "&amp;Dossiers!$B$45,"")</f>
        <v/>
      </c>
      <c r="B2244" s="18">
        <f>IF($A2244="","",Paramètres!G30)</f>
        <v/>
      </c>
      <c r="C2244" s="18">
        <f>IF($A2244="","",IF(Paramètres!H30="","",Paramètres!H30))</f>
        <v/>
      </c>
      <c r="D2244" s="18">
        <f>IF($A2244="","",IF(Paramètres!I30="","",Paramètres!I30))</f>
        <v/>
      </c>
      <c r="E2244" s="19">
        <f>IF($A2244="","",IF(Paramètres!J30&amp;Paramètres!L30&amp;Paramètres!N30="",Dossiers!$D$45,MAX(IF(Paramètres!J30="",0,IF(Paramètres!K30="",NA(),IF(LEFT(TRIM(Paramètres!K30),1)="F",INDEX($F$2219:$F$2271,MATCH(Paramètres!J30,Paramètres!$G$5:$G$57,0)),INDEX($E$2219:$E$2271,MATCH(Paramètres!J30,Paramètres!$G$5:$G$57,0)))+IF(RIGHT(TRIM(Paramètres!K30),3)="Fin",1-$H2244,IF(LEFT(TRIM(Paramètres!K30),1)="F",1,0)))),IF(Paramètres!L30="",0,IF(Paramètres!M30="",NA(),IF(LEFT(TRIM(Paramètres!M30),1)="F",INDEX($F$2219:$F$2271,MATCH(Paramètres!L30,Paramètres!$G$5:$G$57,0)),INDEX($E$2219:$E$2271,MATCH(Paramètres!L30,Paramètres!$G$5:$G$57,0)))+IF(RIGHT(TRIM(Paramètres!M30),3)="Fin",1-$H2244,IF(LEFT(TRIM(Paramètres!M30),1)="F",1,0)))),IF(Paramètres!N30="",0,IF(Paramètres!O30="",NA(),IF(LEFT(TRIM(Paramètres!O30),1)="F",INDEX($F$2219:$F$2271,MATCH(Paramètres!N30,Paramètres!$G$5:$G$57,0)),INDEX($E$2219:$E$2271,MATCH(Paramètres!N30,Paramètres!$G$5:$G$57,0)))+IF(RIGHT(TRIM(Paramètres!O30),3)="Fin",1-$H2244,IF(LEFT(TRIM(Paramètres!O30),1)="F",1,0)))))))</f>
        <v/>
      </c>
      <c r="F2244" s="19">
        <f>IF($A2244="","",E2244+$H2244-1)</f>
        <v/>
      </c>
      <c r="G2244" s="18" t="n"/>
      <c r="H2244" s="18">
        <f>IF($A2244="","",IF(I2244&lt;&gt;"",I2244,Paramètres!B30))</f>
        <v/>
      </c>
      <c r="I2244" s="18" t="n"/>
    </row>
    <row r="2245">
      <c r="A2245" s="18">
        <f>IF(ISNUMBER(Dossiers!$D$45),Dossiers!$A$45&amp;" · "&amp;Dossiers!$B$45,"")</f>
        <v/>
      </c>
      <c r="B2245" s="18">
        <f>IF($A2245="","",Paramètres!G31)</f>
        <v/>
      </c>
      <c r="C2245" s="20">
        <f>IF($A2245="","",IF(Dossiers!$F$45="","",Dossiers!$F$45))</f>
        <v/>
      </c>
      <c r="D2245" s="18">
        <f>IF($A2245="","",IF(Paramètres!I31="","",Paramètres!I31))</f>
        <v/>
      </c>
      <c r="E2245" s="19">
        <f>IF($A2245="","",IF(Paramètres!J31&amp;Paramètres!L31&amp;Paramètres!N31="",Dossiers!$D$45,MAX(IF(Paramètres!J31="",0,IF(Paramètres!K31="",NA(),IF(LEFT(TRIM(Paramètres!K31),1)="F",INDEX($F$2219:$F$2271,MATCH(Paramètres!J31,Paramètres!$G$5:$G$57,0)),INDEX($E$2219:$E$2271,MATCH(Paramètres!J31,Paramètres!$G$5:$G$57,0)))+IF(RIGHT(TRIM(Paramètres!K31),3)="Fin",1-$H2245,IF(LEFT(TRIM(Paramètres!K31),1)="F",1,0)))),IF(Paramètres!L31="",0,IF(Paramètres!M31="",NA(),IF(LEFT(TRIM(Paramètres!M31),1)="F",INDEX($F$2219:$F$2271,MATCH(Paramètres!L31,Paramètres!$G$5:$G$57,0)),INDEX($E$2219:$E$2271,MATCH(Paramètres!L31,Paramètres!$G$5:$G$57,0)))+IF(RIGHT(TRIM(Paramètres!M31),3)="Fin",1-$H2245,IF(LEFT(TRIM(Paramètres!M31),1)="F",1,0)))),IF(Paramètres!N31="",0,IF(Paramètres!O31="",NA(),IF(LEFT(TRIM(Paramètres!O31),1)="F",INDEX($F$2219:$F$2271,MATCH(Paramètres!N31,Paramètres!$G$5:$G$57,0)),INDEX($E$2219:$E$2271,MATCH(Paramètres!N31,Paramètres!$G$5:$G$57,0)))+IF(RIGHT(TRIM(Paramètres!O31),3)="Fin",1-$H2245,IF(LEFT(TRIM(Paramètres!O31),1)="F",1,0)))))))</f>
        <v/>
      </c>
      <c r="F2245" s="19">
        <f>IF($A2245="","",E2245+$H2245-1)</f>
        <v/>
      </c>
      <c r="G2245" s="18" t="n"/>
      <c r="H2245" s="18">
        <f>IF($A2245="","",IF(I2245&lt;&gt;"",I2245,Paramètres!B31))</f>
        <v/>
      </c>
      <c r="I2245" s="18" t="n"/>
    </row>
    <row r="2246">
      <c r="A2246" s="18">
        <f>IF(ISNUMBER(Dossiers!$D$45),Dossiers!$A$45&amp;" · "&amp;Dossiers!$B$45,"")</f>
        <v/>
      </c>
      <c r="B2246" s="18">
        <f>IF($A2246="","",Paramètres!G32)</f>
        <v/>
      </c>
      <c r="C2246" s="18">
        <f>IF($A2246="","",IF(Paramètres!H32="","",Paramètres!H32))</f>
        <v/>
      </c>
      <c r="D2246" s="18">
        <f>IF($A2246="","",IF(Paramètres!I32="","",Paramètres!I32))</f>
        <v/>
      </c>
      <c r="E2246" s="19">
        <f>IF($A2246="","",MIN(E2247:E2250))</f>
        <v/>
      </c>
      <c r="F2246" s="19">
        <f>IF($A2246="","",MAX(F2247:F2250))</f>
        <v/>
      </c>
      <c r="G2246" s="18" t="n"/>
      <c r="H2246" s="18">
        <f>IF($A2246="","",F2246-E2246+1)</f>
        <v/>
      </c>
      <c r="I2246" s="18" t="n"/>
    </row>
    <row r="2247">
      <c r="A2247" s="18">
        <f>IF(ISNUMBER(Dossiers!$D$45),Dossiers!$A$45&amp;" · "&amp;Dossiers!$B$45,"")</f>
        <v/>
      </c>
      <c r="B2247" s="18">
        <f>IF($A2247="","",Paramètres!G33)</f>
        <v/>
      </c>
      <c r="C2247" s="18">
        <f>IF($A2247="","",IF(Paramètres!H33="","",Paramètres!H33))</f>
        <v/>
      </c>
      <c r="D2247" s="18">
        <f>IF($A2247="","",IF(Paramètres!I33="","",Paramètres!I33))</f>
        <v/>
      </c>
      <c r="E2247" s="19">
        <f>IF($A2247="","",IF(Paramètres!J33&amp;Paramètres!L33&amp;Paramètres!N33="",Dossiers!$D$45,MAX(IF(Paramètres!J33="",0,IF(Paramètres!K33="",NA(),IF(LEFT(TRIM(Paramètres!K33),1)="F",INDEX($F$2219:$F$2271,MATCH(Paramètres!J33,Paramètres!$G$5:$G$57,0)),INDEX($E$2219:$E$2271,MATCH(Paramètres!J33,Paramètres!$G$5:$G$57,0)))+IF(RIGHT(TRIM(Paramètres!K33),3)="Fin",1-$H2247,IF(LEFT(TRIM(Paramètres!K33),1)="F",1,0)))),IF(Paramètres!L33="",0,IF(Paramètres!M33="",NA(),IF(LEFT(TRIM(Paramètres!M33),1)="F",INDEX($F$2219:$F$2271,MATCH(Paramètres!L33,Paramètres!$G$5:$G$57,0)),INDEX($E$2219:$E$2271,MATCH(Paramètres!L33,Paramètres!$G$5:$G$57,0)))+IF(RIGHT(TRIM(Paramètres!M33),3)="Fin",1-$H2247,IF(LEFT(TRIM(Paramètres!M33),1)="F",1,0)))),IF(Paramètres!N33="",0,IF(Paramètres!O33="",NA(),IF(LEFT(TRIM(Paramètres!O33),1)="F",INDEX($F$2219:$F$2271,MATCH(Paramètres!N33,Paramètres!$G$5:$G$57,0)),INDEX($E$2219:$E$2271,MATCH(Paramètres!N33,Paramètres!$G$5:$G$57,0)))+IF(RIGHT(TRIM(Paramètres!O33),3)="Fin",1-$H2247,IF(LEFT(TRIM(Paramètres!O33),1)="F",1,0)))))))</f>
        <v/>
      </c>
      <c r="F2247" s="19">
        <f>IF($A2247="","",E2247+$H2247-1)</f>
        <v/>
      </c>
      <c r="G2247" s="18" t="n"/>
      <c r="H2247" s="18">
        <f>IF($A2247="","",IF(I2247&lt;&gt;"",I2247,Paramètres!B33))</f>
        <v/>
      </c>
      <c r="I2247" s="18" t="n"/>
    </row>
    <row r="2248">
      <c r="A2248" s="18">
        <f>IF(ISNUMBER(Dossiers!$D$45),Dossiers!$A$45&amp;" · "&amp;Dossiers!$B$45,"")</f>
        <v/>
      </c>
      <c r="B2248" s="18">
        <f>IF($A2248="","",Paramètres!G34)</f>
        <v/>
      </c>
      <c r="C2248" s="18">
        <f>IF($A2248="","",IF(Paramètres!H34="","",Paramètres!H34))</f>
        <v/>
      </c>
      <c r="D2248" s="18">
        <f>IF($A2248="","",IF(Paramètres!I34="","",Paramètres!I34))</f>
        <v/>
      </c>
      <c r="E2248" s="19">
        <f>IF($A2248="","",IF(Paramètres!J34&amp;Paramètres!L34&amp;Paramètres!N34="",Dossiers!$D$45,MAX(IF(Paramètres!J34="",0,IF(Paramètres!K34="",NA(),IF(LEFT(TRIM(Paramètres!K34),1)="F",INDEX($F$2219:$F$2271,MATCH(Paramètres!J34,Paramètres!$G$5:$G$57,0)),INDEX($E$2219:$E$2271,MATCH(Paramètres!J34,Paramètres!$G$5:$G$57,0)))+IF(RIGHT(TRIM(Paramètres!K34),3)="Fin",1-$H2248,IF(LEFT(TRIM(Paramètres!K34),1)="F",1,0)))),IF(Paramètres!L34="",0,IF(Paramètres!M34="",NA(),IF(LEFT(TRIM(Paramètres!M34),1)="F",INDEX($F$2219:$F$2271,MATCH(Paramètres!L34,Paramètres!$G$5:$G$57,0)),INDEX($E$2219:$E$2271,MATCH(Paramètres!L34,Paramètres!$G$5:$G$57,0)))+IF(RIGHT(TRIM(Paramètres!M34),3)="Fin",1-$H2248,IF(LEFT(TRIM(Paramètres!M34),1)="F",1,0)))),IF(Paramètres!N34="",0,IF(Paramètres!O34="",NA(),IF(LEFT(TRIM(Paramètres!O34),1)="F",INDEX($F$2219:$F$2271,MATCH(Paramètres!N34,Paramètres!$G$5:$G$57,0)),INDEX($E$2219:$E$2271,MATCH(Paramètres!N34,Paramètres!$G$5:$G$57,0)))+IF(RIGHT(TRIM(Paramètres!O34),3)="Fin",1-$H2248,IF(LEFT(TRIM(Paramètres!O34),1)="F",1,0)))))))</f>
        <v/>
      </c>
      <c r="F2248" s="19">
        <f>IF($A2248="","",E2248+$H2248-1)</f>
        <v/>
      </c>
      <c r="G2248" s="18" t="n"/>
      <c r="H2248" s="18">
        <f>IF($A2248="","",IF(I2248&lt;&gt;"",I2248,Paramètres!B34))</f>
        <v/>
      </c>
      <c r="I2248" s="18" t="n"/>
    </row>
    <row r="2249">
      <c r="A2249" s="18">
        <f>IF(ISNUMBER(Dossiers!$D$45),Dossiers!$A$45&amp;" · "&amp;Dossiers!$B$45,"")</f>
        <v/>
      </c>
      <c r="B2249" s="18">
        <f>IF($A2249="","",Paramètres!G35)</f>
        <v/>
      </c>
      <c r="C2249" s="18">
        <f>IF($A2249="","",IF(Paramètres!H35="","",Paramètres!H35))</f>
        <v/>
      </c>
      <c r="D2249" s="18">
        <f>IF($A2249="","",IF(Paramètres!I35="","",Paramètres!I35))</f>
        <v/>
      </c>
      <c r="E2249" s="19">
        <f>IF($A2249="","",IF(Paramètres!J35&amp;Paramètres!L35&amp;Paramètres!N35="",Dossiers!$D$45,MAX(IF(Paramètres!J35="",0,IF(Paramètres!K35="",NA(),IF(LEFT(TRIM(Paramètres!K35),1)="F",INDEX($F$2219:$F$2271,MATCH(Paramètres!J35,Paramètres!$G$5:$G$57,0)),INDEX($E$2219:$E$2271,MATCH(Paramètres!J35,Paramètres!$G$5:$G$57,0)))+IF(RIGHT(TRIM(Paramètres!K35),3)="Fin",1-$H2249,IF(LEFT(TRIM(Paramètres!K35),1)="F",1,0)))),IF(Paramètres!L35="",0,IF(Paramètres!M35="",NA(),IF(LEFT(TRIM(Paramètres!M35),1)="F",INDEX($F$2219:$F$2271,MATCH(Paramètres!L35,Paramètres!$G$5:$G$57,0)),INDEX($E$2219:$E$2271,MATCH(Paramètres!L35,Paramètres!$G$5:$G$57,0)))+IF(RIGHT(TRIM(Paramètres!M35),3)="Fin",1-$H2249,IF(LEFT(TRIM(Paramètres!M35),1)="F",1,0)))),IF(Paramètres!N35="",0,IF(Paramètres!O35="",NA(),IF(LEFT(TRIM(Paramètres!O35),1)="F",INDEX($F$2219:$F$2271,MATCH(Paramètres!N35,Paramètres!$G$5:$G$57,0)),INDEX($E$2219:$E$2271,MATCH(Paramètres!N35,Paramètres!$G$5:$G$57,0)))+IF(RIGHT(TRIM(Paramètres!O35),3)="Fin",1-$H2249,IF(LEFT(TRIM(Paramètres!O35),1)="F",1,0)))))))</f>
        <v/>
      </c>
      <c r="F2249" s="19">
        <f>IF($A2249="","",E2249+$H2249-1)</f>
        <v/>
      </c>
      <c r="G2249" s="18" t="n"/>
      <c r="H2249" s="18">
        <f>IF($A2249="","",IF(I2249&lt;&gt;"",I2249,Paramètres!B35))</f>
        <v/>
      </c>
      <c r="I2249" s="18" t="n"/>
    </row>
    <row r="2250">
      <c r="A2250" s="18">
        <f>IF(ISNUMBER(Dossiers!$D$45),Dossiers!$A$45&amp;" · "&amp;Dossiers!$B$45,"")</f>
        <v/>
      </c>
      <c r="B2250" s="18">
        <f>IF($A2250="","",Paramètres!G36)</f>
        <v/>
      </c>
      <c r="C2250" s="18">
        <f>IF($A2250="","",IF(Paramètres!H36="","",Paramètres!H36))</f>
        <v/>
      </c>
      <c r="D2250" s="18">
        <f>IF($A2250="","",IF(Paramètres!I36="","",Paramètres!I36))</f>
        <v/>
      </c>
      <c r="E2250" s="19">
        <f>IF($A2250="","",IF(Paramètres!J36&amp;Paramètres!L36&amp;Paramètres!N36="",Dossiers!$D$45,MAX(IF(Paramètres!J36="",0,IF(Paramètres!K36="",NA(),IF(LEFT(TRIM(Paramètres!K36),1)="F",INDEX($F$2219:$F$2271,MATCH(Paramètres!J36,Paramètres!$G$5:$G$57,0)),INDEX($E$2219:$E$2271,MATCH(Paramètres!J36,Paramètres!$G$5:$G$57,0)))+IF(RIGHT(TRIM(Paramètres!K36),3)="Fin",1-$H2250,IF(LEFT(TRIM(Paramètres!K36),1)="F",1,0)))),IF(Paramètres!L36="",0,IF(Paramètres!M36="",NA(),IF(LEFT(TRIM(Paramètres!M36),1)="F",INDEX($F$2219:$F$2271,MATCH(Paramètres!L36,Paramètres!$G$5:$G$57,0)),INDEX($E$2219:$E$2271,MATCH(Paramètres!L36,Paramètres!$G$5:$G$57,0)))+IF(RIGHT(TRIM(Paramètres!M36),3)="Fin",1-$H2250,IF(LEFT(TRIM(Paramètres!M36),1)="F",1,0)))),IF(Paramètres!N36="",0,IF(Paramètres!O36="",NA(),IF(LEFT(TRIM(Paramètres!O36),1)="F",INDEX($F$2219:$F$2271,MATCH(Paramètres!N36,Paramètres!$G$5:$G$57,0)),INDEX($E$2219:$E$2271,MATCH(Paramètres!N36,Paramètres!$G$5:$G$57,0)))+IF(RIGHT(TRIM(Paramètres!O36),3)="Fin",1-$H2250,IF(LEFT(TRIM(Paramètres!O36),1)="F",1,0)))))))</f>
        <v/>
      </c>
      <c r="F2250" s="19">
        <f>IF($A2250="","",E2250+$H2250-1)</f>
        <v/>
      </c>
      <c r="G2250" s="18" t="n"/>
      <c r="H2250" s="18">
        <f>IF($A2250="","",IF(I2250&lt;&gt;"",I2250,Paramètres!B36))</f>
        <v/>
      </c>
      <c r="I2250" s="18" t="n"/>
    </row>
    <row r="2251">
      <c r="A2251" s="18">
        <f>IF(ISNUMBER(Dossiers!$D$45),Dossiers!$A$45&amp;" · "&amp;Dossiers!$B$45,"")</f>
        <v/>
      </c>
      <c r="B2251" s="18">
        <f>IF($A2251="","",Paramètres!G37)</f>
        <v/>
      </c>
      <c r="C2251" s="18">
        <f>IF($A2251="","",IF(Paramètres!H37="","",Paramètres!H37))</f>
        <v/>
      </c>
      <c r="D2251" s="18">
        <f>IF($A2251="","",IF(Paramètres!I37="","",Paramètres!I37))</f>
        <v/>
      </c>
      <c r="E2251" s="19">
        <f>IF($A2251="","",MIN(E2252:E2269))</f>
        <v/>
      </c>
      <c r="F2251" s="19">
        <f>IF($A2251="","",MAX(F2252:F2269))</f>
        <v/>
      </c>
      <c r="G2251" s="18" t="n"/>
      <c r="H2251" s="18">
        <f>IF($A2251="","",F2251-E2251+1)</f>
        <v/>
      </c>
      <c r="I2251" s="18" t="n"/>
    </row>
    <row r="2252">
      <c r="A2252" s="18">
        <f>IF(ISNUMBER(Dossiers!$D$45),Dossiers!$A$45&amp;" · "&amp;Dossiers!$B$45,"")</f>
        <v/>
      </c>
      <c r="B2252" s="18">
        <f>IF($A2252="","",Paramètres!G38)</f>
        <v/>
      </c>
      <c r="C2252" s="18">
        <f>IF($A2252="","",IF(Paramètres!H38="","",Paramètres!H38))</f>
        <v/>
      </c>
      <c r="D2252" s="18">
        <f>IF($A2252="","",IF(Paramètres!I38="","",Paramètres!I38))</f>
        <v/>
      </c>
      <c r="E2252" s="19">
        <f>IF($A2252="","",IF(Paramètres!J38&amp;Paramètres!L38&amp;Paramètres!N38="",Dossiers!$D$45,MAX(IF(Paramètres!J38="",0,IF(Paramètres!K38="",NA(),IF(LEFT(TRIM(Paramètres!K38),1)="F",INDEX($F$2219:$F$2271,MATCH(Paramètres!J38,Paramètres!$G$5:$G$57,0)),INDEX($E$2219:$E$2271,MATCH(Paramètres!J38,Paramètres!$G$5:$G$57,0)))+IF(RIGHT(TRIM(Paramètres!K38),3)="Fin",1-$H2252,IF(LEFT(TRIM(Paramètres!K38),1)="F",1,0)))),IF(Paramètres!L38="",0,IF(Paramètres!M38="",NA(),IF(LEFT(TRIM(Paramètres!M38),1)="F",INDEX($F$2219:$F$2271,MATCH(Paramètres!L38,Paramètres!$G$5:$G$57,0)),INDEX($E$2219:$E$2271,MATCH(Paramètres!L38,Paramètres!$G$5:$G$57,0)))+IF(RIGHT(TRIM(Paramètres!M38),3)="Fin",1-$H2252,IF(LEFT(TRIM(Paramètres!M38),1)="F",1,0)))),IF(Paramètres!N38="",0,IF(Paramètres!O38="",NA(),IF(LEFT(TRIM(Paramètres!O38),1)="F",INDEX($F$2219:$F$2271,MATCH(Paramètres!N38,Paramètres!$G$5:$G$57,0)),INDEX($E$2219:$E$2271,MATCH(Paramètres!N38,Paramètres!$G$5:$G$57,0)))+IF(RIGHT(TRIM(Paramètres!O38),3)="Fin",1-$H2252,IF(LEFT(TRIM(Paramètres!O38),1)="F",1,0)))))))</f>
        <v/>
      </c>
      <c r="F2252" s="19">
        <f>IF($A2252="","",E2252+$H2252-1)</f>
        <v/>
      </c>
      <c r="G2252" s="18" t="n"/>
      <c r="H2252" s="18">
        <f>IF($A2252="","",IF(I2252&lt;&gt;"",I2252,Paramètres!B38))</f>
        <v/>
      </c>
      <c r="I2252" s="18" t="n"/>
    </row>
    <row r="2253">
      <c r="A2253" s="18">
        <f>IF(ISNUMBER(Dossiers!$D$45),Dossiers!$A$45&amp;" · "&amp;Dossiers!$B$45,"")</f>
        <v/>
      </c>
      <c r="B2253" s="18">
        <f>IF($A2253="","",Paramètres!G39)</f>
        <v/>
      </c>
      <c r="C2253" s="18">
        <f>IF($A2253="","",IF(Paramètres!H39="","",Paramètres!H39))</f>
        <v/>
      </c>
      <c r="D2253" s="18">
        <f>IF($A2253="","",IF(Paramètres!I39="","",Paramètres!I39))</f>
        <v/>
      </c>
      <c r="E2253" s="19">
        <f>IF($A2253="","",IF(Paramètres!J39&amp;Paramètres!L39&amp;Paramètres!N39="",Dossiers!$D$45,MAX(IF(Paramètres!J39="",0,IF(Paramètres!K39="",NA(),IF(LEFT(TRIM(Paramètres!K39),1)="F",INDEX($F$2219:$F$2271,MATCH(Paramètres!J39,Paramètres!$G$5:$G$57,0)),INDEX($E$2219:$E$2271,MATCH(Paramètres!J39,Paramètres!$G$5:$G$57,0)))+IF(RIGHT(TRIM(Paramètres!K39),3)="Fin",1-$H2253,IF(LEFT(TRIM(Paramètres!K39),1)="F",1,0)))),IF(Paramètres!L39="",0,IF(Paramètres!M39="",NA(),IF(LEFT(TRIM(Paramètres!M39),1)="F",INDEX($F$2219:$F$2271,MATCH(Paramètres!L39,Paramètres!$G$5:$G$57,0)),INDEX($E$2219:$E$2271,MATCH(Paramètres!L39,Paramètres!$G$5:$G$57,0)))+IF(RIGHT(TRIM(Paramètres!M39),3)="Fin",1-$H2253,IF(LEFT(TRIM(Paramètres!M39),1)="F",1,0)))),IF(Paramètres!N39="",0,IF(Paramètres!O39="",NA(),IF(LEFT(TRIM(Paramètres!O39),1)="F",INDEX($F$2219:$F$2271,MATCH(Paramètres!N39,Paramètres!$G$5:$G$57,0)),INDEX($E$2219:$E$2271,MATCH(Paramètres!N39,Paramètres!$G$5:$G$57,0)))+IF(RIGHT(TRIM(Paramètres!O39),3)="Fin",1-$H2253,IF(LEFT(TRIM(Paramètres!O39),1)="F",1,0)))))))</f>
        <v/>
      </c>
      <c r="F2253" s="19">
        <f>IF($A2253="","",E2253+$H2253-1)</f>
        <v/>
      </c>
      <c r="G2253" s="18" t="n"/>
      <c r="H2253" s="18">
        <f>IF($A2253="","",IF(I2253&lt;&gt;"",I2253,Paramètres!B39))</f>
        <v/>
      </c>
      <c r="I2253" s="18" t="n"/>
    </row>
    <row r="2254">
      <c r="A2254" s="18">
        <f>IF(ISNUMBER(Dossiers!$D$45),Dossiers!$A$45&amp;" · "&amp;Dossiers!$B$45,"")</f>
        <v/>
      </c>
      <c r="B2254" s="18">
        <f>IF($A2254="","",Paramètres!G40)</f>
        <v/>
      </c>
      <c r="C2254" s="18">
        <f>IF($A2254="","",IF(Paramètres!H40="","",Paramètres!H40))</f>
        <v/>
      </c>
      <c r="D2254" s="18">
        <f>IF($A2254="","",IF(Paramètres!I40="","",Paramètres!I40))</f>
        <v/>
      </c>
      <c r="E2254" s="19">
        <f>IF($A2254="","",IF(Paramètres!J40&amp;Paramètres!L40&amp;Paramètres!N40="",Dossiers!$D$45,MAX(IF(Paramètres!J40="",0,IF(Paramètres!K40="",NA(),IF(LEFT(TRIM(Paramètres!K40),1)="F",INDEX($F$2219:$F$2271,MATCH(Paramètres!J40,Paramètres!$G$5:$G$57,0)),INDEX($E$2219:$E$2271,MATCH(Paramètres!J40,Paramètres!$G$5:$G$57,0)))+IF(RIGHT(TRIM(Paramètres!K40),3)="Fin",1-$H2254,IF(LEFT(TRIM(Paramètres!K40),1)="F",1,0)))),IF(Paramètres!L40="",0,IF(Paramètres!M40="",NA(),IF(LEFT(TRIM(Paramètres!M40),1)="F",INDEX($F$2219:$F$2271,MATCH(Paramètres!L40,Paramètres!$G$5:$G$57,0)),INDEX($E$2219:$E$2271,MATCH(Paramètres!L40,Paramètres!$G$5:$G$57,0)))+IF(RIGHT(TRIM(Paramètres!M40),3)="Fin",1-$H2254,IF(LEFT(TRIM(Paramètres!M40),1)="F",1,0)))),IF(Paramètres!N40="",0,IF(Paramètres!O40="",NA(),IF(LEFT(TRIM(Paramètres!O40),1)="F",INDEX($F$2219:$F$2271,MATCH(Paramètres!N40,Paramètres!$G$5:$G$57,0)),INDEX($E$2219:$E$2271,MATCH(Paramètres!N40,Paramètres!$G$5:$G$57,0)))+IF(RIGHT(TRIM(Paramètres!O40),3)="Fin",1-$H2254,IF(LEFT(TRIM(Paramètres!O40),1)="F",1,0)))))))</f>
        <v/>
      </c>
      <c r="F2254" s="19">
        <f>IF($A2254="","",E2254+$H2254-1)</f>
        <v/>
      </c>
      <c r="G2254" s="18" t="n"/>
      <c r="H2254" s="18">
        <f>IF($A2254="","",IF(I2254&lt;&gt;"",I2254,Paramètres!B40))</f>
        <v/>
      </c>
      <c r="I2254" s="18" t="n"/>
    </row>
    <row r="2255">
      <c r="A2255" s="18">
        <f>IF(ISNUMBER(Dossiers!$D$45),Dossiers!$A$45&amp;" · "&amp;Dossiers!$B$45,"")</f>
        <v/>
      </c>
      <c r="B2255" s="18">
        <f>IF($A2255="","",Paramètres!G41)</f>
        <v/>
      </c>
      <c r="C2255" s="18">
        <f>IF($A2255="","",IF(Paramètres!H41="","",Paramètres!H41))</f>
        <v/>
      </c>
      <c r="D2255" s="18">
        <f>IF($A2255="","",IF(Paramètres!I41="","",Paramètres!I41))</f>
        <v/>
      </c>
      <c r="E2255" s="19">
        <f>IF($A2255="","",IF(Paramètres!J41&amp;Paramètres!L41&amp;Paramètres!N41="",Dossiers!$D$45,MAX(IF(Paramètres!J41="",0,IF(Paramètres!K41="",NA(),IF(LEFT(TRIM(Paramètres!K41),1)="F",INDEX($F$2219:$F$2271,MATCH(Paramètres!J41,Paramètres!$G$5:$G$57,0)),INDEX($E$2219:$E$2271,MATCH(Paramètres!J41,Paramètres!$G$5:$G$57,0)))+IF(RIGHT(TRIM(Paramètres!K41),3)="Fin",1-$H2255,IF(LEFT(TRIM(Paramètres!K41),1)="F",1,0)))),IF(Paramètres!L41="",0,IF(Paramètres!M41="",NA(),IF(LEFT(TRIM(Paramètres!M41),1)="F",INDEX($F$2219:$F$2271,MATCH(Paramètres!L41,Paramètres!$G$5:$G$57,0)),INDEX($E$2219:$E$2271,MATCH(Paramètres!L41,Paramètres!$G$5:$G$57,0)))+IF(RIGHT(TRIM(Paramètres!M41),3)="Fin",1-$H2255,IF(LEFT(TRIM(Paramètres!M41),1)="F",1,0)))),IF(Paramètres!N41="",0,IF(Paramètres!O41="",NA(),IF(LEFT(TRIM(Paramètres!O41),1)="F",INDEX($F$2219:$F$2271,MATCH(Paramètres!N41,Paramètres!$G$5:$G$57,0)),INDEX($E$2219:$E$2271,MATCH(Paramètres!N41,Paramètres!$G$5:$G$57,0)))+IF(RIGHT(TRIM(Paramètres!O41),3)="Fin",1-$H2255,IF(LEFT(TRIM(Paramètres!O41),1)="F",1,0)))))))</f>
        <v/>
      </c>
      <c r="F2255" s="19">
        <f>IF($A2255="","",E2255+$H2255-1)</f>
        <v/>
      </c>
      <c r="G2255" s="18" t="n"/>
      <c r="H2255" s="18">
        <f>IF($A2255="","",IF(I2255&lt;&gt;"",I2255,Paramètres!B41))</f>
        <v/>
      </c>
      <c r="I2255" s="18" t="n"/>
    </row>
    <row r="2256">
      <c r="A2256" s="18">
        <f>IF(ISNUMBER(Dossiers!$D$45),Dossiers!$A$45&amp;" · "&amp;Dossiers!$B$45,"")</f>
        <v/>
      </c>
      <c r="B2256" s="18">
        <f>IF($A2256="","",Paramètres!G42)</f>
        <v/>
      </c>
      <c r="C2256" s="18">
        <f>IF($A2256="","",IF(Paramètres!H42="","",Paramètres!H42))</f>
        <v/>
      </c>
      <c r="D2256" s="18">
        <f>IF($A2256="","",IF(Paramètres!I42="","",Paramètres!I42))</f>
        <v/>
      </c>
      <c r="E2256" s="19">
        <f>IF($A2256="","",IF(Paramètres!J42&amp;Paramètres!L42&amp;Paramètres!N42="",Dossiers!$D$45,MAX(IF(Paramètres!J42="",0,IF(Paramètres!K42="",NA(),IF(LEFT(TRIM(Paramètres!K42),1)="F",INDEX($F$2219:$F$2271,MATCH(Paramètres!J42,Paramètres!$G$5:$G$57,0)),INDEX($E$2219:$E$2271,MATCH(Paramètres!J42,Paramètres!$G$5:$G$57,0)))+IF(RIGHT(TRIM(Paramètres!K42),3)="Fin",1-$H2256,IF(LEFT(TRIM(Paramètres!K42),1)="F",1,0)))),IF(Paramètres!L42="",0,IF(Paramètres!M42="",NA(),IF(LEFT(TRIM(Paramètres!M42),1)="F",INDEX($F$2219:$F$2271,MATCH(Paramètres!L42,Paramètres!$G$5:$G$57,0)),INDEX($E$2219:$E$2271,MATCH(Paramètres!L42,Paramètres!$G$5:$G$57,0)))+IF(RIGHT(TRIM(Paramètres!M42),3)="Fin",1-$H2256,IF(LEFT(TRIM(Paramètres!M42),1)="F",1,0)))),IF(Paramètres!N42="",0,IF(Paramètres!O42="",NA(),IF(LEFT(TRIM(Paramètres!O42),1)="F",INDEX($F$2219:$F$2271,MATCH(Paramètres!N42,Paramètres!$G$5:$G$57,0)),INDEX($E$2219:$E$2271,MATCH(Paramètres!N42,Paramètres!$G$5:$G$57,0)))+IF(RIGHT(TRIM(Paramètres!O42),3)="Fin",1-$H2256,IF(LEFT(TRIM(Paramètres!O42),1)="F",1,0)))))))</f>
        <v/>
      </c>
      <c r="F2256" s="19">
        <f>IF($A2256="","",E2256+$H2256-1)</f>
        <v/>
      </c>
      <c r="G2256" s="18" t="n"/>
      <c r="H2256" s="18">
        <f>IF($A2256="","",IF(I2256&lt;&gt;"",I2256,Paramètres!B42))</f>
        <v/>
      </c>
      <c r="I2256" s="18" t="n"/>
    </row>
    <row r="2257">
      <c r="A2257" s="18">
        <f>IF(ISNUMBER(Dossiers!$D$45),Dossiers!$A$45&amp;" · "&amp;Dossiers!$B$45,"")</f>
        <v/>
      </c>
      <c r="B2257" s="18">
        <f>IF($A2257="","",Paramètres!G43)</f>
        <v/>
      </c>
      <c r="C2257" s="18">
        <f>IF($A2257="","",IF(Paramètres!H43="","",Paramètres!H43))</f>
        <v/>
      </c>
      <c r="D2257" s="18">
        <f>IF($A2257="","",IF(Paramètres!I43="","",Paramètres!I43))</f>
        <v/>
      </c>
      <c r="E2257" s="19">
        <f>IF($A2257="","",IF(Paramètres!J43&amp;Paramètres!L43&amp;Paramètres!N43="",Dossiers!$D$45,MAX(IF(Paramètres!J43="",0,IF(Paramètres!K43="",NA(),IF(LEFT(TRIM(Paramètres!K43),1)="F",INDEX($F$2219:$F$2271,MATCH(Paramètres!J43,Paramètres!$G$5:$G$57,0)),INDEX($E$2219:$E$2271,MATCH(Paramètres!J43,Paramètres!$G$5:$G$57,0)))+IF(RIGHT(TRIM(Paramètres!K43),3)="Fin",1-$H2257,IF(LEFT(TRIM(Paramètres!K43),1)="F",1,0)))),IF(Paramètres!L43="",0,IF(Paramètres!M43="",NA(),IF(LEFT(TRIM(Paramètres!M43),1)="F",INDEX($F$2219:$F$2271,MATCH(Paramètres!L43,Paramètres!$G$5:$G$57,0)),INDEX($E$2219:$E$2271,MATCH(Paramètres!L43,Paramètres!$G$5:$G$57,0)))+IF(RIGHT(TRIM(Paramètres!M43),3)="Fin",1-$H2257,IF(LEFT(TRIM(Paramètres!M43),1)="F",1,0)))),IF(Paramètres!N43="",0,IF(Paramètres!O43="",NA(),IF(LEFT(TRIM(Paramètres!O43),1)="F",INDEX($F$2219:$F$2271,MATCH(Paramètres!N43,Paramètres!$G$5:$G$57,0)),INDEX($E$2219:$E$2271,MATCH(Paramètres!N43,Paramètres!$G$5:$G$57,0)))+IF(RIGHT(TRIM(Paramètres!O43),3)="Fin",1-$H2257,IF(LEFT(TRIM(Paramètres!O43),1)="F",1,0)))))))</f>
        <v/>
      </c>
      <c r="F2257" s="19">
        <f>IF($A2257="","",E2257+$H2257-1)</f>
        <v/>
      </c>
      <c r="G2257" s="18" t="n"/>
      <c r="H2257" s="18">
        <f>IF($A2257="","",IF(I2257&lt;&gt;"",I2257,Paramètres!B43))</f>
        <v/>
      </c>
      <c r="I2257" s="18" t="n"/>
    </row>
    <row r="2258">
      <c r="A2258" s="18">
        <f>IF(ISNUMBER(Dossiers!$D$45),Dossiers!$A$45&amp;" · "&amp;Dossiers!$B$45,"")</f>
        <v/>
      </c>
      <c r="B2258" s="18">
        <f>IF($A2258="","",Paramètres!G44)</f>
        <v/>
      </c>
      <c r="C2258" s="18">
        <f>IF($A2258="","",IF(Paramètres!H44="","",Paramètres!H44))</f>
        <v/>
      </c>
      <c r="D2258" s="18">
        <f>IF($A2258="","",IF(Paramètres!I44="","",Paramètres!I44))</f>
        <v/>
      </c>
      <c r="E2258" s="19">
        <f>IF($A2258="","",IF(Paramètres!J44&amp;Paramètres!L44&amp;Paramètres!N44="",Dossiers!$D$45,MAX(IF(Paramètres!J44="",0,IF(Paramètres!K44="",NA(),IF(LEFT(TRIM(Paramètres!K44),1)="F",INDEX($F$2219:$F$2271,MATCH(Paramètres!J44,Paramètres!$G$5:$G$57,0)),INDEX($E$2219:$E$2271,MATCH(Paramètres!J44,Paramètres!$G$5:$G$57,0)))+IF(RIGHT(TRIM(Paramètres!K44),3)="Fin",1-$H2258,IF(LEFT(TRIM(Paramètres!K44),1)="F",1,0)))),IF(Paramètres!L44="",0,IF(Paramètres!M44="",NA(),IF(LEFT(TRIM(Paramètres!M44),1)="F",INDEX($F$2219:$F$2271,MATCH(Paramètres!L44,Paramètres!$G$5:$G$57,0)),INDEX($E$2219:$E$2271,MATCH(Paramètres!L44,Paramètres!$G$5:$G$57,0)))+IF(RIGHT(TRIM(Paramètres!M44),3)="Fin",1-$H2258,IF(LEFT(TRIM(Paramètres!M44),1)="F",1,0)))),IF(Paramètres!N44="",0,IF(Paramètres!O44="",NA(),IF(LEFT(TRIM(Paramètres!O44),1)="F",INDEX($F$2219:$F$2271,MATCH(Paramètres!N44,Paramètres!$G$5:$G$57,0)),INDEX($E$2219:$E$2271,MATCH(Paramètres!N44,Paramètres!$G$5:$G$57,0)))+IF(RIGHT(TRIM(Paramètres!O44),3)="Fin",1-$H2258,IF(LEFT(TRIM(Paramètres!O44),1)="F",1,0)))))))</f>
        <v/>
      </c>
      <c r="F2258" s="19">
        <f>IF($A2258="","",E2258+$H2258-1)</f>
        <v/>
      </c>
      <c r="G2258" s="18" t="n"/>
      <c r="H2258" s="18">
        <f>IF($A2258="","",IF(I2258&lt;&gt;"",I2258,Paramètres!B44))</f>
        <v/>
      </c>
      <c r="I2258" s="18" t="n"/>
    </row>
    <row r="2259">
      <c r="A2259" s="18">
        <f>IF(ISNUMBER(Dossiers!$D$45),Dossiers!$A$45&amp;" · "&amp;Dossiers!$B$45,"")</f>
        <v/>
      </c>
      <c r="B2259" s="18">
        <f>IF($A2259="","",Paramètres!G45)</f>
        <v/>
      </c>
      <c r="C2259" s="20">
        <f>IF($A2259="","",IF(Dossiers!$G$45="","",Dossiers!$G$45))</f>
        <v/>
      </c>
      <c r="D2259" s="18">
        <f>IF($A2259="","",IF(Paramètres!I45="","",Paramètres!I45))</f>
        <v/>
      </c>
      <c r="E2259" s="19">
        <f>IF($A2259="","",IF(Paramètres!J45&amp;Paramètres!L45&amp;Paramètres!N45="",Dossiers!$D$45,MAX(IF(Paramètres!J45="",0,IF(Paramètres!K45="",NA(),IF(LEFT(TRIM(Paramètres!K45),1)="F",INDEX($F$2219:$F$2271,MATCH(Paramètres!J45,Paramètres!$G$5:$G$57,0)),INDEX($E$2219:$E$2271,MATCH(Paramètres!J45,Paramètres!$G$5:$G$57,0)))+IF(RIGHT(TRIM(Paramètres!K45),3)="Fin",1-$H2259,IF(LEFT(TRIM(Paramètres!K45),1)="F",1,0)))),IF(Paramètres!L45="",0,IF(Paramètres!M45="",NA(),IF(LEFT(TRIM(Paramètres!M45),1)="F",INDEX($F$2219:$F$2271,MATCH(Paramètres!L45,Paramètres!$G$5:$G$57,0)),INDEX($E$2219:$E$2271,MATCH(Paramètres!L45,Paramètres!$G$5:$G$57,0)))+IF(RIGHT(TRIM(Paramètres!M45),3)="Fin",1-$H2259,IF(LEFT(TRIM(Paramètres!M45),1)="F",1,0)))),IF(Paramètres!N45="",0,IF(Paramètres!O45="",NA(),IF(LEFT(TRIM(Paramètres!O45),1)="F",INDEX($F$2219:$F$2271,MATCH(Paramètres!N45,Paramètres!$G$5:$G$57,0)),INDEX($E$2219:$E$2271,MATCH(Paramètres!N45,Paramètres!$G$5:$G$57,0)))+IF(RIGHT(TRIM(Paramètres!O45),3)="Fin",1-$H2259,IF(LEFT(TRIM(Paramètres!O45),1)="F",1,0)))))))</f>
        <v/>
      </c>
      <c r="F2259" s="19">
        <f>IF($A2259="","",E2259+$H2259-1)</f>
        <v/>
      </c>
      <c r="G2259" s="18" t="n"/>
      <c r="H2259" s="18">
        <f>IF($A2259="","",IF(I2259&lt;&gt;"",I2259,Paramètres!B45))</f>
        <v/>
      </c>
      <c r="I2259" s="18" t="n"/>
    </row>
    <row r="2260">
      <c r="A2260" s="18">
        <f>IF(ISNUMBER(Dossiers!$D$45),Dossiers!$A$45&amp;" · "&amp;Dossiers!$B$45,"")</f>
        <v/>
      </c>
      <c r="B2260" s="18">
        <f>IF($A2260="","",Paramètres!G46)</f>
        <v/>
      </c>
      <c r="C2260" s="18">
        <f>IF($A2260="","",IF(Paramètres!H46="","",Paramètres!H46))</f>
        <v/>
      </c>
      <c r="D2260" s="18">
        <f>IF($A2260="","",IF(Paramètres!I46="","",Paramètres!I46))</f>
        <v/>
      </c>
      <c r="E2260" s="19">
        <f>IF($A2260="","",IF(Paramètres!J46&amp;Paramètres!L46&amp;Paramètres!N46="",Dossiers!$D$45,MAX(IF(Paramètres!J46="",0,IF(Paramètres!K46="",NA(),IF(LEFT(TRIM(Paramètres!K46),1)="F",INDEX($F$2219:$F$2271,MATCH(Paramètres!J46,Paramètres!$G$5:$G$57,0)),INDEX($E$2219:$E$2271,MATCH(Paramètres!J46,Paramètres!$G$5:$G$57,0)))+IF(RIGHT(TRIM(Paramètres!K46),3)="Fin",1-$H2260,IF(LEFT(TRIM(Paramètres!K46),1)="F",1,0)))),IF(Paramètres!L46="",0,IF(Paramètres!M46="",NA(),IF(LEFT(TRIM(Paramètres!M46),1)="F",INDEX($F$2219:$F$2271,MATCH(Paramètres!L46,Paramètres!$G$5:$G$57,0)),INDEX($E$2219:$E$2271,MATCH(Paramètres!L46,Paramètres!$G$5:$G$57,0)))+IF(RIGHT(TRIM(Paramètres!M46),3)="Fin",1-$H2260,IF(LEFT(TRIM(Paramètres!M46),1)="F",1,0)))),IF(Paramètres!N46="",0,IF(Paramètres!O46="",NA(),IF(LEFT(TRIM(Paramètres!O46),1)="F",INDEX($F$2219:$F$2271,MATCH(Paramètres!N46,Paramètres!$G$5:$G$57,0)),INDEX($E$2219:$E$2271,MATCH(Paramètres!N46,Paramètres!$G$5:$G$57,0)))+IF(RIGHT(TRIM(Paramètres!O46),3)="Fin",1-$H2260,IF(LEFT(TRIM(Paramètres!O46),1)="F",1,0)))))))</f>
        <v/>
      </c>
      <c r="F2260" s="19">
        <f>IF($A2260="","",E2260+$H2260-1)</f>
        <v/>
      </c>
      <c r="G2260" s="18" t="n"/>
      <c r="H2260" s="18">
        <f>IF($A2260="","",IF(I2260&lt;&gt;"",I2260,Paramètres!B46))</f>
        <v/>
      </c>
      <c r="I2260" s="18" t="n"/>
    </row>
    <row r="2261">
      <c r="A2261" s="18">
        <f>IF(ISNUMBER(Dossiers!$D$45),Dossiers!$A$45&amp;" · "&amp;Dossiers!$B$45,"")</f>
        <v/>
      </c>
      <c r="B2261" s="18">
        <f>IF($A2261="","",Paramètres!G47)</f>
        <v/>
      </c>
      <c r="C2261" s="18">
        <f>IF($A2261="","",IF(Paramètres!H47="","",Paramètres!H47))</f>
        <v/>
      </c>
      <c r="D2261" s="18">
        <f>IF($A2261="","",IF(Paramètres!I47="","",Paramètres!I47))</f>
        <v/>
      </c>
      <c r="E2261" s="19">
        <f>IF($A2261="","",IF(Paramètres!J47&amp;Paramètres!L47&amp;Paramètres!N47="",Dossiers!$D$45,MAX(IF(Paramètres!J47="",0,IF(Paramètres!K47="",NA(),IF(LEFT(TRIM(Paramètres!K47),1)="F",INDEX($F$2219:$F$2271,MATCH(Paramètres!J47,Paramètres!$G$5:$G$57,0)),INDEX($E$2219:$E$2271,MATCH(Paramètres!J47,Paramètres!$G$5:$G$57,0)))+IF(RIGHT(TRIM(Paramètres!K47),3)="Fin",1-$H2261,IF(LEFT(TRIM(Paramètres!K47),1)="F",1,0)))),IF(Paramètres!L47="",0,IF(Paramètres!M47="",NA(),IF(LEFT(TRIM(Paramètres!M47),1)="F",INDEX($F$2219:$F$2271,MATCH(Paramètres!L47,Paramètres!$G$5:$G$57,0)),INDEX($E$2219:$E$2271,MATCH(Paramètres!L47,Paramètres!$G$5:$G$57,0)))+IF(RIGHT(TRIM(Paramètres!M47),3)="Fin",1-$H2261,IF(LEFT(TRIM(Paramètres!M47),1)="F",1,0)))),IF(Paramètres!N47="",0,IF(Paramètres!O47="",NA(),IF(LEFT(TRIM(Paramètres!O47),1)="F",INDEX($F$2219:$F$2271,MATCH(Paramètres!N47,Paramètres!$G$5:$G$57,0)),INDEX($E$2219:$E$2271,MATCH(Paramètres!N47,Paramètres!$G$5:$G$57,0)))+IF(RIGHT(TRIM(Paramètres!O47),3)="Fin",1-$H2261,IF(LEFT(TRIM(Paramètres!O47),1)="F",1,0)))))))</f>
        <v/>
      </c>
      <c r="F2261" s="19">
        <f>IF($A2261="","",E2261+$H2261-1)</f>
        <v/>
      </c>
      <c r="G2261" s="18" t="n"/>
      <c r="H2261" s="18">
        <f>IF($A2261="","",IF(I2261&lt;&gt;"",I2261,Paramètres!B47))</f>
        <v/>
      </c>
      <c r="I2261" s="18" t="n"/>
    </row>
    <row r="2262">
      <c r="A2262" s="18">
        <f>IF(ISNUMBER(Dossiers!$D$45),Dossiers!$A$45&amp;" · "&amp;Dossiers!$B$45,"")</f>
        <v/>
      </c>
      <c r="B2262" s="18">
        <f>IF($A2262="","",Paramètres!G48)</f>
        <v/>
      </c>
      <c r="C2262" s="18">
        <f>IF($A2262="","",IF(Paramètres!H48="","",Paramètres!H48))</f>
        <v/>
      </c>
      <c r="D2262" s="18">
        <f>IF($A2262="","",IF(Paramètres!I48="","",Paramètres!I48))</f>
        <v/>
      </c>
      <c r="E2262" s="19">
        <f>IF($A2262="","",IF(Paramètres!J48&amp;Paramètres!L48&amp;Paramètres!N48="",Dossiers!$D$45,MAX(IF(Paramètres!J48="",0,IF(Paramètres!K48="",NA(),IF(LEFT(TRIM(Paramètres!K48),1)="F",INDEX($F$2219:$F$2271,MATCH(Paramètres!J48,Paramètres!$G$5:$G$57,0)),INDEX($E$2219:$E$2271,MATCH(Paramètres!J48,Paramètres!$G$5:$G$57,0)))+IF(RIGHT(TRIM(Paramètres!K48),3)="Fin",1-$H2262,IF(LEFT(TRIM(Paramètres!K48),1)="F",1,0)))),IF(Paramètres!L48="",0,IF(Paramètres!M48="",NA(),IF(LEFT(TRIM(Paramètres!M48),1)="F",INDEX($F$2219:$F$2271,MATCH(Paramètres!L48,Paramètres!$G$5:$G$57,0)),INDEX($E$2219:$E$2271,MATCH(Paramètres!L48,Paramètres!$G$5:$G$57,0)))+IF(RIGHT(TRIM(Paramètres!M48),3)="Fin",1-$H2262,IF(LEFT(TRIM(Paramètres!M48),1)="F",1,0)))),IF(Paramètres!N48="",0,IF(Paramètres!O48="",NA(),IF(LEFT(TRIM(Paramètres!O48),1)="F",INDEX($F$2219:$F$2271,MATCH(Paramètres!N48,Paramètres!$G$5:$G$57,0)),INDEX($E$2219:$E$2271,MATCH(Paramètres!N48,Paramètres!$G$5:$G$57,0)))+IF(RIGHT(TRIM(Paramètres!O48),3)="Fin",1-$H2262,IF(LEFT(TRIM(Paramètres!O48),1)="F",1,0)))))))</f>
        <v/>
      </c>
      <c r="F2262" s="19">
        <f>IF($A2262="","",E2262+$H2262-1)</f>
        <v/>
      </c>
      <c r="G2262" s="18" t="n"/>
      <c r="H2262" s="18">
        <f>IF($A2262="","",IF(I2262&lt;&gt;"",I2262,Paramètres!B48))</f>
        <v/>
      </c>
      <c r="I2262" s="18" t="n"/>
    </row>
    <row r="2263">
      <c r="A2263" s="18">
        <f>IF(ISNUMBER(Dossiers!$D$45),Dossiers!$A$45&amp;" · "&amp;Dossiers!$B$45,"")</f>
        <v/>
      </c>
      <c r="B2263" s="18">
        <f>IF($A2263="","",Paramètres!G49)</f>
        <v/>
      </c>
      <c r="C2263" s="18">
        <f>IF($A2263="","",IF(Paramètres!H49="","",Paramètres!H49))</f>
        <v/>
      </c>
      <c r="D2263" s="18">
        <f>IF($A2263="","",IF(Paramètres!I49="","",Paramètres!I49))</f>
        <v/>
      </c>
      <c r="E2263" s="19">
        <f>IF($A2263="","",IF(Paramètres!J49&amp;Paramètres!L49&amp;Paramètres!N49="",Dossiers!$D$45,MAX(IF(Paramètres!J49="",0,IF(Paramètres!K49="",NA(),IF(LEFT(TRIM(Paramètres!K49),1)="F",INDEX($F$2219:$F$2271,MATCH(Paramètres!J49,Paramètres!$G$5:$G$57,0)),INDEX($E$2219:$E$2271,MATCH(Paramètres!J49,Paramètres!$G$5:$G$57,0)))+IF(RIGHT(TRIM(Paramètres!K49),3)="Fin",1-$H2263,IF(LEFT(TRIM(Paramètres!K49),1)="F",1,0)))),IF(Paramètres!L49="",0,IF(Paramètres!M49="",NA(),IF(LEFT(TRIM(Paramètres!M49),1)="F",INDEX($F$2219:$F$2271,MATCH(Paramètres!L49,Paramètres!$G$5:$G$57,0)),INDEX($E$2219:$E$2271,MATCH(Paramètres!L49,Paramètres!$G$5:$G$57,0)))+IF(RIGHT(TRIM(Paramètres!M49),3)="Fin",1-$H2263,IF(LEFT(TRIM(Paramètres!M49),1)="F",1,0)))),IF(Paramètres!N49="",0,IF(Paramètres!O49="",NA(),IF(LEFT(TRIM(Paramètres!O49),1)="F",INDEX($F$2219:$F$2271,MATCH(Paramètres!N49,Paramètres!$G$5:$G$57,0)),INDEX($E$2219:$E$2271,MATCH(Paramètres!N49,Paramètres!$G$5:$G$57,0)))+IF(RIGHT(TRIM(Paramètres!O49),3)="Fin",1-$H2263,IF(LEFT(TRIM(Paramètres!O49),1)="F",1,0)))))))</f>
        <v/>
      </c>
      <c r="F2263" s="19">
        <f>IF($A2263="","",E2263+$H2263-1)</f>
        <v/>
      </c>
      <c r="G2263" s="18" t="n"/>
      <c r="H2263" s="18">
        <f>IF($A2263="","",IF(I2263&lt;&gt;"",I2263,Paramètres!B49))</f>
        <v/>
      </c>
      <c r="I2263" s="18" t="n"/>
    </row>
    <row r="2264">
      <c r="A2264" s="18">
        <f>IF(ISNUMBER(Dossiers!$D$45),Dossiers!$A$45&amp;" · "&amp;Dossiers!$B$45,"")</f>
        <v/>
      </c>
      <c r="B2264" s="18">
        <f>IF($A2264="","",Paramètres!G50)</f>
        <v/>
      </c>
      <c r="C2264" s="18">
        <f>IF($A2264="","",IF(Paramètres!H50="","",Paramètres!H50))</f>
        <v/>
      </c>
      <c r="D2264" s="18">
        <f>IF($A2264="","",IF(Paramètres!I50="","",Paramètres!I50))</f>
        <v/>
      </c>
      <c r="E2264" s="19">
        <f>IF($A2264="","",IF(Paramètres!J50&amp;Paramètres!L50&amp;Paramètres!N50="",Dossiers!$D$45,MAX(IF(Paramètres!J50="",0,IF(Paramètres!K50="",NA(),IF(LEFT(TRIM(Paramètres!K50),1)="F",INDEX($F$2219:$F$2271,MATCH(Paramètres!J50,Paramètres!$G$5:$G$57,0)),INDEX($E$2219:$E$2271,MATCH(Paramètres!J50,Paramètres!$G$5:$G$57,0)))+IF(RIGHT(TRIM(Paramètres!K50),3)="Fin",1-$H2264,IF(LEFT(TRIM(Paramètres!K50),1)="F",1,0)))),IF(Paramètres!L50="",0,IF(Paramètres!M50="",NA(),IF(LEFT(TRIM(Paramètres!M50),1)="F",INDEX($F$2219:$F$2271,MATCH(Paramètres!L50,Paramètres!$G$5:$G$57,0)),INDEX($E$2219:$E$2271,MATCH(Paramètres!L50,Paramètres!$G$5:$G$57,0)))+IF(RIGHT(TRIM(Paramètres!M50),3)="Fin",1-$H2264,IF(LEFT(TRIM(Paramètres!M50),1)="F",1,0)))),IF(Paramètres!N50="",0,IF(Paramètres!O50="",NA(),IF(LEFT(TRIM(Paramètres!O50),1)="F",INDEX($F$2219:$F$2271,MATCH(Paramètres!N50,Paramètres!$G$5:$G$57,0)),INDEX($E$2219:$E$2271,MATCH(Paramètres!N50,Paramètres!$G$5:$G$57,0)))+IF(RIGHT(TRIM(Paramètres!O50),3)="Fin",1-$H2264,IF(LEFT(TRIM(Paramètres!O50),1)="F",1,0)))))))</f>
        <v/>
      </c>
      <c r="F2264" s="19">
        <f>IF($A2264="","",E2264+$H2264-1)</f>
        <v/>
      </c>
      <c r="G2264" s="18" t="n"/>
      <c r="H2264" s="18">
        <f>IF($A2264="","",IF(I2264&lt;&gt;"",I2264,Paramètres!B50))</f>
        <v/>
      </c>
      <c r="I2264" s="18" t="n"/>
    </row>
    <row r="2265">
      <c r="A2265" s="18">
        <f>IF(ISNUMBER(Dossiers!$D$45),Dossiers!$A$45&amp;" · "&amp;Dossiers!$B$45,"")</f>
        <v/>
      </c>
      <c r="B2265" s="18">
        <f>IF($A2265="","",Paramètres!G51)</f>
        <v/>
      </c>
      <c r="C2265" s="18">
        <f>IF($A2265="","",IF(Paramètres!H51="","",Paramètres!H51))</f>
        <v/>
      </c>
      <c r="D2265" s="18">
        <f>IF($A2265="","",IF(Paramètres!I51="","",Paramètres!I51))</f>
        <v/>
      </c>
      <c r="E2265" s="19">
        <f>IF($A2265="","",IF(Paramètres!J51&amp;Paramètres!L51&amp;Paramètres!N51="",Dossiers!$D$45,MAX(IF(Paramètres!J51="",0,IF(Paramètres!K51="",NA(),IF(LEFT(TRIM(Paramètres!K51),1)="F",INDEX($F$2219:$F$2271,MATCH(Paramètres!J51,Paramètres!$G$5:$G$57,0)),INDEX($E$2219:$E$2271,MATCH(Paramètres!J51,Paramètres!$G$5:$G$57,0)))+IF(RIGHT(TRIM(Paramètres!K51),3)="Fin",1-$H2265,IF(LEFT(TRIM(Paramètres!K51),1)="F",1,0)))),IF(Paramètres!L51="",0,IF(Paramètres!M51="",NA(),IF(LEFT(TRIM(Paramètres!M51),1)="F",INDEX($F$2219:$F$2271,MATCH(Paramètres!L51,Paramètres!$G$5:$G$57,0)),INDEX($E$2219:$E$2271,MATCH(Paramètres!L51,Paramètres!$G$5:$G$57,0)))+IF(RIGHT(TRIM(Paramètres!M51),3)="Fin",1-$H2265,IF(LEFT(TRIM(Paramètres!M51),1)="F",1,0)))),IF(Paramètres!N51="",0,IF(Paramètres!O51="",NA(),IF(LEFT(TRIM(Paramètres!O51),1)="F",INDEX($F$2219:$F$2271,MATCH(Paramètres!N51,Paramètres!$G$5:$G$57,0)),INDEX($E$2219:$E$2271,MATCH(Paramètres!N51,Paramètres!$G$5:$G$57,0)))+IF(RIGHT(TRIM(Paramètres!O51),3)="Fin",1-$H2265,IF(LEFT(TRIM(Paramètres!O51),1)="F",1,0)))))))</f>
        <v/>
      </c>
      <c r="F2265" s="19">
        <f>IF($A2265="","",E2265+$H2265-1)</f>
        <v/>
      </c>
      <c r="G2265" s="18" t="n"/>
      <c r="H2265" s="18">
        <f>IF($A2265="","",IF(I2265&lt;&gt;"",I2265,Paramètres!B51))</f>
        <v/>
      </c>
      <c r="I2265" s="18" t="n"/>
    </row>
    <row r="2266">
      <c r="A2266" s="18">
        <f>IF(ISNUMBER(Dossiers!$D$45),Dossiers!$A$45&amp;" · "&amp;Dossiers!$B$45,"")</f>
        <v/>
      </c>
      <c r="B2266" s="18">
        <f>IF($A2266="","",Paramètres!G52)</f>
        <v/>
      </c>
      <c r="C2266" s="18">
        <f>IF($A2266="","",IF(Paramètres!H52="","",Paramètres!H52))</f>
        <v/>
      </c>
      <c r="D2266" s="18">
        <f>IF($A2266="","",IF(Paramètres!I52="","",Paramètres!I52))</f>
        <v/>
      </c>
      <c r="E2266" s="19">
        <f>IF($A2266="","",IF(Paramètres!J52&amp;Paramètres!L52&amp;Paramètres!N52="",Dossiers!$D$45,MAX(IF(Paramètres!J52="",0,IF(Paramètres!K52="",NA(),IF(LEFT(TRIM(Paramètres!K52),1)="F",INDEX($F$2219:$F$2271,MATCH(Paramètres!J52,Paramètres!$G$5:$G$57,0)),INDEX($E$2219:$E$2271,MATCH(Paramètres!J52,Paramètres!$G$5:$G$57,0)))+IF(RIGHT(TRIM(Paramètres!K52),3)="Fin",1-$H2266,IF(LEFT(TRIM(Paramètres!K52),1)="F",1,0)))),IF(Paramètres!L52="",0,IF(Paramètres!M52="",NA(),IF(LEFT(TRIM(Paramètres!M52),1)="F",INDEX($F$2219:$F$2271,MATCH(Paramètres!L52,Paramètres!$G$5:$G$57,0)),INDEX($E$2219:$E$2271,MATCH(Paramètres!L52,Paramètres!$G$5:$G$57,0)))+IF(RIGHT(TRIM(Paramètres!M52),3)="Fin",1-$H2266,IF(LEFT(TRIM(Paramètres!M52),1)="F",1,0)))),IF(Paramètres!N52="",0,IF(Paramètres!O52="",NA(),IF(LEFT(TRIM(Paramètres!O52),1)="F",INDEX($F$2219:$F$2271,MATCH(Paramètres!N52,Paramètres!$G$5:$G$57,0)),INDEX($E$2219:$E$2271,MATCH(Paramètres!N52,Paramètres!$G$5:$G$57,0)))+IF(RIGHT(TRIM(Paramètres!O52),3)="Fin",1-$H2266,IF(LEFT(TRIM(Paramètres!O52),1)="F",1,0)))))))</f>
        <v/>
      </c>
      <c r="F2266" s="19">
        <f>IF($A2266="","",E2266+$H2266-1)</f>
        <v/>
      </c>
      <c r="G2266" s="18" t="n"/>
      <c r="H2266" s="18">
        <f>IF($A2266="","",IF(I2266&lt;&gt;"",I2266,Paramètres!B52))</f>
        <v/>
      </c>
      <c r="I2266" s="18" t="n"/>
    </row>
    <row r="2267">
      <c r="A2267" s="18">
        <f>IF(ISNUMBER(Dossiers!$D$45),Dossiers!$A$45&amp;" · "&amp;Dossiers!$B$45,"")</f>
        <v/>
      </c>
      <c r="B2267" s="18">
        <f>IF($A2267="","",Paramètres!G53)</f>
        <v/>
      </c>
      <c r="C2267" s="18">
        <f>IF($A2267="","",IF(Paramètres!H53="","",Paramètres!H53))</f>
        <v/>
      </c>
      <c r="D2267" s="18">
        <f>IF($A2267="","",IF(Paramètres!I53="","",Paramètres!I53))</f>
        <v/>
      </c>
      <c r="E2267" s="19">
        <f>IF($A2267="","",IF(Paramètres!J53&amp;Paramètres!L53&amp;Paramètres!N53="",Dossiers!$D$45,MAX(IF(Paramètres!J53="",0,IF(Paramètres!K53="",NA(),IF(LEFT(TRIM(Paramètres!K53),1)="F",INDEX($F$2219:$F$2271,MATCH(Paramètres!J53,Paramètres!$G$5:$G$57,0)),INDEX($E$2219:$E$2271,MATCH(Paramètres!J53,Paramètres!$G$5:$G$57,0)))+IF(RIGHT(TRIM(Paramètres!K53),3)="Fin",1-$H2267,IF(LEFT(TRIM(Paramètres!K53),1)="F",1,0)))),IF(Paramètres!L53="",0,IF(Paramètres!M53="",NA(),IF(LEFT(TRIM(Paramètres!M53),1)="F",INDEX($F$2219:$F$2271,MATCH(Paramètres!L53,Paramètres!$G$5:$G$57,0)),INDEX($E$2219:$E$2271,MATCH(Paramètres!L53,Paramètres!$G$5:$G$57,0)))+IF(RIGHT(TRIM(Paramètres!M53),3)="Fin",1-$H2267,IF(LEFT(TRIM(Paramètres!M53),1)="F",1,0)))),IF(Paramètres!N53="",0,IF(Paramètres!O53="",NA(),IF(LEFT(TRIM(Paramètres!O53),1)="F",INDEX($F$2219:$F$2271,MATCH(Paramètres!N53,Paramètres!$G$5:$G$57,0)),INDEX($E$2219:$E$2271,MATCH(Paramètres!N53,Paramètres!$G$5:$G$57,0)))+IF(RIGHT(TRIM(Paramètres!O53),3)="Fin",1-$H2267,IF(LEFT(TRIM(Paramètres!O53),1)="F",1,0)))))))</f>
        <v/>
      </c>
      <c r="F2267" s="19">
        <f>IF($A2267="","",E2267+$H2267-1)</f>
        <v/>
      </c>
      <c r="G2267" s="18" t="n"/>
      <c r="H2267" s="18">
        <f>IF($A2267="","",IF(I2267&lt;&gt;"",I2267,Paramètres!B53))</f>
        <v/>
      </c>
      <c r="I2267" s="18" t="n"/>
    </row>
    <row r="2268">
      <c r="A2268" s="18">
        <f>IF(ISNUMBER(Dossiers!$D$45),Dossiers!$A$45&amp;" · "&amp;Dossiers!$B$45,"")</f>
        <v/>
      </c>
      <c r="B2268" s="18">
        <f>IF($A2268="","",Paramètres!G54)</f>
        <v/>
      </c>
      <c r="C2268" s="18">
        <f>IF($A2268="","",IF(Paramètres!H54="","",Paramètres!H54))</f>
        <v/>
      </c>
      <c r="D2268" s="18">
        <f>IF($A2268="","",IF(Paramètres!I54="","",Paramètres!I54))</f>
        <v/>
      </c>
      <c r="E2268" s="19">
        <f>IF($A2268="","",IF(Paramètres!J54&amp;Paramètres!L54&amp;Paramètres!N54="",Dossiers!$D$45,MAX(IF(Paramètres!J54="",0,IF(Paramètres!K54="",NA(),IF(LEFT(TRIM(Paramètres!K54),1)="F",INDEX($F$2219:$F$2271,MATCH(Paramètres!J54,Paramètres!$G$5:$G$57,0)),INDEX($E$2219:$E$2271,MATCH(Paramètres!J54,Paramètres!$G$5:$G$57,0)))+IF(RIGHT(TRIM(Paramètres!K54),3)="Fin",1-$H2268,IF(LEFT(TRIM(Paramètres!K54),1)="F",1,0)))),IF(Paramètres!L54="",0,IF(Paramètres!M54="",NA(),IF(LEFT(TRIM(Paramètres!M54),1)="F",INDEX($F$2219:$F$2271,MATCH(Paramètres!L54,Paramètres!$G$5:$G$57,0)),INDEX($E$2219:$E$2271,MATCH(Paramètres!L54,Paramètres!$G$5:$G$57,0)))+IF(RIGHT(TRIM(Paramètres!M54),3)="Fin",1-$H2268,IF(LEFT(TRIM(Paramètres!M54),1)="F",1,0)))),IF(Paramètres!N54="",0,IF(Paramètres!O54="",NA(),IF(LEFT(TRIM(Paramètres!O54),1)="F",INDEX($F$2219:$F$2271,MATCH(Paramètres!N54,Paramètres!$G$5:$G$57,0)),INDEX($E$2219:$E$2271,MATCH(Paramètres!N54,Paramètres!$G$5:$G$57,0)))+IF(RIGHT(TRIM(Paramètres!O54),3)="Fin",1-$H2268,IF(LEFT(TRIM(Paramètres!O54),1)="F",1,0)))))))</f>
        <v/>
      </c>
      <c r="F2268" s="19">
        <f>IF($A2268="","",E2268+$H2268-1)</f>
        <v/>
      </c>
      <c r="G2268" s="18" t="n"/>
      <c r="H2268" s="18">
        <f>IF($A2268="","",IF(I2268&lt;&gt;"",I2268,Paramètres!B54))</f>
        <v/>
      </c>
      <c r="I2268" s="18" t="n"/>
    </row>
    <row r="2269">
      <c r="A2269" s="18">
        <f>IF(ISNUMBER(Dossiers!$D$45),Dossiers!$A$45&amp;" · "&amp;Dossiers!$B$45,"")</f>
        <v/>
      </c>
      <c r="B2269" s="18">
        <f>IF($A2269="","",Paramètres!G55)</f>
        <v/>
      </c>
      <c r="C2269" s="18">
        <f>IF($A2269="","",IF(Paramètres!H55="","",Paramètres!H55))</f>
        <v/>
      </c>
      <c r="D2269" s="18">
        <f>IF($A2269="","",IF(Paramètres!I55="","",Paramètres!I55))</f>
        <v/>
      </c>
      <c r="E2269" s="19">
        <f>IF($A2269="","",IF(Paramètres!J55&amp;Paramètres!L55&amp;Paramètres!N55="",Dossiers!$D$45,MAX(IF(Paramètres!J55="",0,IF(Paramètres!K55="",NA(),IF(LEFT(TRIM(Paramètres!K55),1)="F",INDEX($F$2219:$F$2271,MATCH(Paramètres!J55,Paramètres!$G$5:$G$57,0)),INDEX($E$2219:$E$2271,MATCH(Paramètres!J55,Paramètres!$G$5:$G$57,0)))+IF(RIGHT(TRIM(Paramètres!K55),3)="Fin",1-$H2269,IF(LEFT(TRIM(Paramètres!K55),1)="F",1,0)))),IF(Paramètres!L55="",0,IF(Paramètres!M55="",NA(),IF(LEFT(TRIM(Paramètres!M55),1)="F",INDEX($F$2219:$F$2271,MATCH(Paramètres!L55,Paramètres!$G$5:$G$57,0)),INDEX($E$2219:$E$2271,MATCH(Paramètres!L55,Paramètres!$G$5:$G$57,0)))+IF(RIGHT(TRIM(Paramètres!M55),3)="Fin",1-$H2269,IF(LEFT(TRIM(Paramètres!M55),1)="F",1,0)))),IF(Paramètres!N55="",0,IF(Paramètres!O55="",NA(),IF(LEFT(TRIM(Paramètres!O55),1)="F",INDEX($F$2219:$F$2271,MATCH(Paramètres!N55,Paramètres!$G$5:$G$57,0)),INDEX($E$2219:$E$2271,MATCH(Paramètres!N55,Paramètres!$G$5:$G$57,0)))+IF(RIGHT(TRIM(Paramètres!O55),3)="Fin",1-$H2269,IF(LEFT(TRIM(Paramètres!O55),1)="F",1,0)))))))</f>
        <v/>
      </c>
      <c r="F2269" s="19">
        <f>IF($A2269="","",E2269+$H2269-1)</f>
        <v/>
      </c>
      <c r="G2269" s="18" t="n"/>
      <c r="H2269" s="18">
        <f>IF($A2269="","",IF(I2269&lt;&gt;"",I2269,Paramètres!B55))</f>
        <v/>
      </c>
      <c r="I2269" s="18" t="n"/>
    </row>
    <row r="2270">
      <c r="A2270" s="18">
        <f>IF(ISNUMBER(Dossiers!$D$45),Dossiers!$A$45&amp;" · "&amp;Dossiers!$B$45,"")</f>
        <v/>
      </c>
      <c r="B2270" s="18">
        <f>IF($A2270="","",Paramètres!G56)</f>
        <v/>
      </c>
      <c r="C2270" s="18">
        <f>IF($A2270="","",IF(Paramètres!H56="","",Paramètres!H56))</f>
        <v/>
      </c>
      <c r="D2270" s="18">
        <f>IF($A2270="","",IF(Paramètres!I56="","",Paramètres!I56))</f>
        <v/>
      </c>
      <c r="E2270" s="19">
        <f>IF($A2270="","",MIN(E2271:E2271))</f>
        <v/>
      </c>
      <c r="F2270" s="19">
        <f>IF($A2270="","",MAX(F2271:F2271))</f>
        <v/>
      </c>
      <c r="G2270" s="18" t="n"/>
      <c r="H2270" s="18">
        <f>IF($A2270="","",F2270-E2270+1)</f>
        <v/>
      </c>
      <c r="I2270" s="18" t="n"/>
    </row>
    <row r="2271">
      <c r="A2271" s="18">
        <f>IF(ISNUMBER(Dossiers!$D$45),Dossiers!$A$45&amp;" · "&amp;Dossiers!$B$45,"")</f>
        <v/>
      </c>
      <c r="B2271" s="18">
        <f>IF($A2271="","",Paramètres!G57)</f>
        <v/>
      </c>
      <c r="C2271" s="18">
        <f>IF($A2271="","",IF(Paramètres!H57="","",Paramètres!H57))</f>
        <v/>
      </c>
      <c r="D2271" s="18">
        <f>IF($A2271="","",IF(Paramètres!I57="","",Paramètres!I57))</f>
        <v/>
      </c>
      <c r="E2271" s="19">
        <f>IF($A2271="","",IF(Paramètres!J57&amp;Paramètres!L57&amp;Paramètres!N57="",Dossiers!$D$45,MAX(IF(Paramètres!J57="",0,IF(Paramètres!K57="",NA(),IF(LEFT(TRIM(Paramètres!K57),1)="F",INDEX($F$2219:$F$2271,MATCH(Paramètres!J57,Paramètres!$G$5:$G$57,0)),INDEX($E$2219:$E$2271,MATCH(Paramètres!J57,Paramètres!$G$5:$G$57,0)))+IF(RIGHT(TRIM(Paramètres!K57),3)="Fin",1-$H2271,IF(LEFT(TRIM(Paramètres!K57),1)="F",1,0)))),IF(Paramètres!L57="",0,IF(Paramètres!M57="",NA(),IF(LEFT(TRIM(Paramètres!M57),1)="F",INDEX($F$2219:$F$2271,MATCH(Paramètres!L57,Paramètres!$G$5:$G$57,0)),INDEX($E$2219:$E$2271,MATCH(Paramètres!L57,Paramètres!$G$5:$G$57,0)))+IF(RIGHT(TRIM(Paramètres!M57),3)="Fin",1-$H2271,IF(LEFT(TRIM(Paramètres!M57),1)="F",1,0)))),IF(Paramètres!N57="",0,IF(Paramètres!O57="",NA(),IF(LEFT(TRIM(Paramètres!O57),1)="F",INDEX($F$2219:$F$2271,MATCH(Paramètres!N57,Paramètres!$G$5:$G$57,0)),INDEX($E$2219:$E$2271,MATCH(Paramètres!N57,Paramètres!$G$5:$G$57,0)))+IF(RIGHT(TRIM(Paramètres!O57),3)="Fin",1-$H2271,IF(LEFT(TRIM(Paramètres!O57),1)="F",1,0)))))))</f>
        <v/>
      </c>
      <c r="F2271" s="19">
        <f>IF($A2271="","",E2271+$H2271-1)</f>
        <v/>
      </c>
      <c r="G2271" s="18" t="n"/>
      <c r="H2271" s="18">
        <f>IF($A2271="","",IF(I2271&lt;&gt;"",I2271,Paramètres!B57))</f>
        <v/>
      </c>
      <c r="I2271" s="18" t="n"/>
    </row>
    <row r="2272">
      <c r="A2272" s="16">
        <f>IF(ISNUMBER(Dossiers!$D$46),Dossiers!$E$46,"")</f>
        <v/>
      </c>
      <c r="B2272" s="16">
        <f>IF($A2272="","","Identifiant")</f>
        <v/>
      </c>
      <c r="C2272" s="16">
        <f>IF($A2272="","","Macro Etape")</f>
        <v/>
      </c>
      <c r="D2272" s="16">
        <f>IF($A2272="","","Etape")</f>
        <v/>
      </c>
      <c r="E2272" s="17">
        <f>IF($A2272="","","Début le")</f>
        <v/>
      </c>
      <c r="F2272" s="17">
        <f>IF($A2272="","","Fin prévue le")</f>
        <v/>
      </c>
      <c r="G2272" s="16">
        <f>IF($A2272="","","Statut")</f>
        <v/>
      </c>
      <c r="H2272" s="16">
        <f>IF($A2272="","","Durée (jours)")</f>
        <v/>
      </c>
      <c r="I2272" s="16">
        <f>IF($A2272="","","Durée particulière")</f>
        <v/>
      </c>
      <c r="J2272" s="10">
        <f>IF($A2272="","",HYPERLINK("#'Tableau de bord'!A1","↑ Tableau de bord"))</f>
        <v/>
      </c>
    </row>
    <row r="2273">
      <c r="A2273" s="18">
        <f>IF(ISNUMBER(Dossiers!$D$46),Dossiers!$A$46&amp;" · "&amp;Dossiers!$B$46,"")</f>
        <v/>
      </c>
      <c r="B2273" s="18">
        <f>IF($A2273="","",Paramètres!G5)</f>
        <v/>
      </c>
      <c r="C2273" s="18">
        <f>IF($A2273="","",IF(Paramètres!H5="","",Paramètres!H5))</f>
        <v/>
      </c>
      <c r="D2273" s="18">
        <f>IF($A2273="","",IF(Paramètres!I5="","",Paramètres!I5))</f>
        <v/>
      </c>
      <c r="E2273" s="19">
        <f>IF($A2273="","",MIN(E2274:E2277))</f>
        <v/>
      </c>
      <c r="F2273" s="19">
        <f>IF($A2273="","",MAX(F2274:F2277))</f>
        <v/>
      </c>
      <c r="G2273" s="18" t="n"/>
      <c r="H2273" s="18">
        <f>IF($A2273="","",F2273-E2273+1)</f>
        <v/>
      </c>
      <c r="I2273" s="18" t="n"/>
    </row>
    <row r="2274">
      <c r="A2274" s="18">
        <f>IF(ISNUMBER(Dossiers!$D$46),Dossiers!$A$46&amp;" · "&amp;Dossiers!$B$46,"")</f>
        <v/>
      </c>
      <c r="B2274" s="18">
        <f>IF($A2274="","",Paramètres!G6)</f>
        <v/>
      </c>
      <c r="C2274" s="18">
        <f>IF($A2274="","",IF(Paramètres!H6="","",Paramètres!H6))</f>
        <v/>
      </c>
      <c r="D2274" s="18">
        <f>IF($A2274="","",IF(Paramètres!I6="","",Paramètres!I6))</f>
        <v/>
      </c>
      <c r="E2274" s="19">
        <f>IF($A2274="","",IF(Paramètres!J6&amp;Paramètres!L6&amp;Paramètres!N6="",Dossiers!$D$46,MAX(IF(Paramètres!J6="",0,IF(Paramètres!K6="",NA(),IF(LEFT(TRIM(Paramètres!K6),1)="F",INDEX($F$2273:$F$2325,MATCH(Paramètres!J6,Paramètres!$G$5:$G$57,0)),INDEX($E$2273:$E$2325,MATCH(Paramètres!J6,Paramètres!$G$5:$G$57,0)))+IF(RIGHT(TRIM(Paramètres!K6),3)="Fin",1-$H2274,IF(LEFT(TRIM(Paramètres!K6),1)="F",1,0)))),IF(Paramètres!L6="",0,IF(Paramètres!M6="",NA(),IF(LEFT(TRIM(Paramètres!M6),1)="F",INDEX($F$2273:$F$2325,MATCH(Paramètres!L6,Paramètres!$G$5:$G$57,0)),INDEX($E$2273:$E$2325,MATCH(Paramètres!L6,Paramètres!$G$5:$G$57,0)))+IF(RIGHT(TRIM(Paramètres!M6),3)="Fin",1-$H2274,IF(LEFT(TRIM(Paramètres!M6),1)="F",1,0)))),IF(Paramètres!N6="",0,IF(Paramètres!O6="",NA(),IF(LEFT(TRIM(Paramètres!O6),1)="F",INDEX($F$2273:$F$2325,MATCH(Paramètres!N6,Paramètres!$G$5:$G$57,0)),INDEX($E$2273:$E$2325,MATCH(Paramètres!N6,Paramètres!$G$5:$G$57,0)))+IF(RIGHT(TRIM(Paramètres!O6),3)="Fin",1-$H2274,IF(LEFT(TRIM(Paramètres!O6),1)="F",1,0)))))))</f>
        <v/>
      </c>
      <c r="F2274" s="19">
        <f>IF($A2274="","",E2274+$H2274-1)</f>
        <v/>
      </c>
      <c r="G2274" s="18" t="n"/>
      <c r="H2274" s="18">
        <f>IF($A2274="","",IF(I2274&lt;&gt;"",I2274,Paramètres!B6))</f>
        <v/>
      </c>
      <c r="I2274" s="18" t="n"/>
    </row>
    <row r="2275">
      <c r="A2275" s="18">
        <f>IF(ISNUMBER(Dossiers!$D$46),Dossiers!$A$46&amp;" · "&amp;Dossiers!$B$46,"")</f>
        <v/>
      </c>
      <c r="B2275" s="18">
        <f>IF($A2275="","",Paramètres!G7)</f>
        <v/>
      </c>
      <c r="C2275" s="18">
        <f>IF($A2275="","",IF(Paramètres!H7="","",Paramètres!H7))</f>
        <v/>
      </c>
      <c r="D2275" s="18">
        <f>IF($A2275="","",IF(Paramètres!I7="","",Paramètres!I7))</f>
        <v/>
      </c>
      <c r="E2275" s="19">
        <f>IF($A2275="","",IF(Paramètres!J7&amp;Paramètres!L7&amp;Paramètres!N7="",Dossiers!$D$46,MAX(IF(Paramètres!J7="",0,IF(Paramètres!K7="",NA(),IF(LEFT(TRIM(Paramètres!K7),1)="F",INDEX($F$2273:$F$2325,MATCH(Paramètres!J7,Paramètres!$G$5:$G$57,0)),INDEX($E$2273:$E$2325,MATCH(Paramètres!J7,Paramètres!$G$5:$G$57,0)))+IF(RIGHT(TRIM(Paramètres!K7),3)="Fin",1-$H2275,IF(LEFT(TRIM(Paramètres!K7),1)="F",1,0)))),IF(Paramètres!L7="",0,IF(Paramètres!M7="",NA(),IF(LEFT(TRIM(Paramètres!M7),1)="F",INDEX($F$2273:$F$2325,MATCH(Paramètres!L7,Paramètres!$G$5:$G$57,0)),INDEX($E$2273:$E$2325,MATCH(Paramètres!L7,Paramètres!$G$5:$G$57,0)))+IF(RIGHT(TRIM(Paramètres!M7),3)="Fin",1-$H2275,IF(LEFT(TRIM(Paramètres!M7),1)="F",1,0)))),IF(Paramètres!N7="",0,IF(Paramètres!O7="",NA(),IF(LEFT(TRIM(Paramètres!O7),1)="F",INDEX($F$2273:$F$2325,MATCH(Paramètres!N7,Paramètres!$G$5:$G$57,0)),INDEX($E$2273:$E$2325,MATCH(Paramètres!N7,Paramètres!$G$5:$G$57,0)))+IF(RIGHT(TRIM(Paramètres!O7),3)="Fin",1-$H2275,IF(LEFT(TRIM(Paramètres!O7),1)="F",1,0)))))))</f>
        <v/>
      </c>
      <c r="F2275" s="19">
        <f>IF($A2275="","",E2275+$H2275-1)</f>
        <v/>
      </c>
      <c r="G2275" s="18" t="n"/>
      <c r="H2275" s="18">
        <f>IF($A2275="","",IF(I2275&lt;&gt;"",I2275,Paramètres!B7))</f>
        <v/>
      </c>
      <c r="I2275" s="18" t="n"/>
    </row>
    <row r="2276">
      <c r="A2276" s="18">
        <f>IF(ISNUMBER(Dossiers!$D$46),Dossiers!$A$46&amp;" · "&amp;Dossiers!$B$46,"")</f>
        <v/>
      </c>
      <c r="B2276" s="18">
        <f>IF($A2276="","",Paramètres!G8)</f>
        <v/>
      </c>
      <c r="C2276" s="18">
        <f>IF($A2276="","",IF(Paramètres!H8="","",Paramètres!H8))</f>
        <v/>
      </c>
      <c r="D2276" s="18">
        <f>IF($A2276="","",IF(Paramètres!I8="","",Paramètres!I8))</f>
        <v/>
      </c>
      <c r="E2276" s="19">
        <f>IF($A2276="","",IF(Paramètres!J8&amp;Paramètres!L8&amp;Paramètres!N8="",Dossiers!$D$46,MAX(IF(Paramètres!J8="",0,IF(Paramètres!K8="",NA(),IF(LEFT(TRIM(Paramètres!K8),1)="F",INDEX($F$2273:$F$2325,MATCH(Paramètres!J8,Paramètres!$G$5:$G$57,0)),INDEX($E$2273:$E$2325,MATCH(Paramètres!J8,Paramètres!$G$5:$G$57,0)))+IF(RIGHT(TRIM(Paramètres!K8),3)="Fin",1-$H2276,IF(LEFT(TRIM(Paramètres!K8),1)="F",1,0)))),IF(Paramètres!L8="",0,IF(Paramètres!M8="",NA(),IF(LEFT(TRIM(Paramètres!M8),1)="F",INDEX($F$2273:$F$2325,MATCH(Paramètres!L8,Paramètres!$G$5:$G$57,0)),INDEX($E$2273:$E$2325,MATCH(Paramètres!L8,Paramètres!$G$5:$G$57,0)))+IF(RIGHT(TRIM(Paramètres!M8),3)="Fin",1-$H2276,IF(LEFT(TRIM(Paramètres!M8),1)="F",1,0)))),IF(Paramètres!N8="",0,IF(Paramètres!O8="",NA(),IF(LEFT(TRIM(Paramètres!O8),1)="F",INDEX($F$2273:$F$2325,MATCH(Paramètres!N8,Paramètres!$G$5:$G$57,0)),INDEX($E$2273:$E$2325,MATCH(Paramètres!N8,Paramètres!$G$5:$G$57,0)))+IF(RIGHT(TRIM(Paramètres!O8),3)="Fin",1-$H2276,IF(LEFT(TRIM(Paramètres!O8),1)="F",1,0)))))))</f>
        <v/>
      </c>
      <c r="F2276" s="19">
        <f>IF($A2276="","",E2276+$H2276-1)</f>
        <v/>
      </c>
      <c r="G2276" s="18" t="n"/>
      <c r="H2276" s="18">
        <f>IF($A2276="","",IF(I2276&lt;&gt;"",I2276,Paramètres!B8))</f>
        <v/>
      </c>
      <c r="I2276" s="18" t="n"/>
    </row>
    <row r="2277">
      <c r="A2277" s="18">
        <f>IF(ISNUMBER(Dossiers!$D$46),Dossiers!$A$46&amp;" · "&amp;Dossiers!$B$46,"")</f>
        <v/>
      </c>
      <c r="B2277" s="18">
        <f>IF($A2277="","",Paramètres!G9)</f>
        <v/>
      </c>
      <c r="C2277" s="18">
        <f>IF($A2277="","",IF(Paramètres!H9="","",Paramètres!H9))</f>
        <v/>
      </c>
      <c r="D2277" s="18">
        <f>IF($A2277="","",IF(Paramètres!I9="","",Paramètres!I9))</f>
        <v/>
      </c>
      <c r="E2277" s="19">
        <f>IF($A2277="","",IF(Paramètres!J9&amp;Paramètres!L9&amp;Paramètres!N9="",Dossiers!$D$46,MAX(IF(Paramètres!J9="",0,IF(Paramètres!K9="",NA(),IF(LEFT(TRIM(Paramètres!K9),1)="F",INDEX($F$2273:$F$2325,MATCH(Paramètres!J9,Paramètres!$G$5:$G$57,0)),INDEX($E$2273:$E$2325,MATCH(Paramètres!J9,Paramètres!$G$5:$G$57,0)))+IF(RIGHT(TRIM(Paramètres!K9),3)="Fin",1-$H2277,IF(LEFT(TRIM(Paramètres!K9),1)="F",1,0)))),IF(Paramètres!L9="",0,IF(Paramètres!M9="",NA(),IF(LEFT(TRIM(Paramètres!M9),1)="F",INDEX($F$2273:$F$2325,MATCH(Paramètres!L9,Paramètres!$G$5:$G$57,0)),INDEX($E$2273:$E$2325,MATCH(Paramètres!L9,Paramètres!$G$5:$G$57,0)))+IF(RIGHT(TRIM(Paramètres!M9),3)="Fin",1-$H2277,IF(LEFT(TRIM(Paramètres!M9),1)="F",1,0)))),IF(Paramètres!N9="",0,IF(Paramètres!O9="",NA(),IF(LEFT(TRIM(Paramètres!O9),1)="F",INDEX($F$2273:$F$2325,MATCH(Paramètres!N9,Paramètres!$G$5:$G$57,0)),INDEX($E$2273:$E$2325,MATCH(Paramètres!N9,Paramètres!$G$5:$G$57,0)))+IF(RIGHT(TRIM(Paramètres!O9),3)="Fin",1-$H2277,IF(LEFT(TRIM(Paramètres!O9),1)="F",1,0)))))))</f>
        <v/>
      </c>
      <c r="F2277" s="19">
        <f>IF($A2277="","",E2277+$H2277-1)</f>
        <v/>
      </c>
      <c r="G2277" s="18" t="n"/>
      <c r="H2277" s="18">
        <f>IF($A2277="","",IF(I2277&lt;&gt;"",I2277,Paramètres!B9))</f>
        <v/>
      </c>
      <c r="I2277" s="18" t="n"/>
    </row>
    <row r="2278">
      <c r="A2278" s="18">
        <f>IF(ISNUMBER(Dossiers!$D$46),Dossiers!$A$46&amp;" · "&amp;Dossiers!$B$46,"")</f>
        <v/>
      </c>
      <c r="B2278" s="18">
        <f>IF($A2278="","",Paramètres!G10)</f>
        <v/>
      </c>
      <c r="C2278" s="18">
        <f>IF($A2278="","",IF(Paramètres!H10="","",Paramètres!H10))</f>
        <v/>
      </c>
      <c r="D2278" s="18">
        <f>IF($A2278="","",IF(Paramètres!I10="","",Paramètres!I10))</f>
        <v/>
      </c>
      <c r="E2278" s="19">
        <f>IF($A2278="","",MIN(E2279:E2282))</f>
        <v/>
      </c>
      <c r="F2278" s="19">
        <f>IF($A2278="","",MAX(F2279:F2282))</f>
        <v/>
      </c>
      <c r="G2278" s="18" t="n"/>
      <c r="H2278" s="18">
        <f>IF($A2278="","",F2278-E2278+1)</f>
        <v/>
      </c>
      <c r="I2278" s="18" t="n"/>
    </row>
    <row r="2279">
      <c r="A2279" s="18">
        <f>IF(ISNUMBER(Dossiers!$D$46),Dossiers!$A$46&amp;" · "&amp;Dossiers!$B$46,"")</f>
        <v/>
      </c>
      <c r="B2279" s="18">
        <f>IF($A2279="","",Paramètres!G11)</f>
        <v/>
      </c>
      <c r="C2279" s="18">
        <f>IF($A2279="","",IF(Paramètres!H11="","",Paramètres!H11))</f>
        <v/>
      </c>
      <c r="D2279" s="18">
        <f>IF($A2279="","",IF(Paramètres!I11="","",Paramètres!I11))</f>
        <v/>
      </c>
      <c r="E2279" s="19">
        <f>IF($A2279="","",IF(Paramètres!J11&amp;Paramètres!L11&amp;Paramètres!N11="",Dossiers!$D$46,MAX(IF(Paramètres!J11="",0,IF(Paramètres!K11="",NA(),IF(LEFT(TRIM(Paramètres!K11),1)="F",INDEX($F$2273:$F$2325,MATCH(Paramètres!J11,Paramètres!$G$5:$G$57,0)),INDEX($E$2273:$E$2325,MATCH(Paramètres!J11,Paramètres!$G$5:$G$57,0)))+IF(RIGHT(TRIM(Paramètres!K11),3)="Fin",1-$H2279,IF(LEFT(TRIM(Paramètres!K11),1)="F",1,0)))),IF(Paramètres!L11="",0,IF(Paramètres!M11="",NA(),IF(LEFT(TRIM(Paramètres!M11),1)="F",INDEX($F$2273:$F$2325,MATCH(Paramètres!L11,Paramètres!$G$5:$G$57,0)),INDEX($E$2273:$E$2325,MATCH(Paramètres!L11,Paramètres!$G$5:$G$57,0)))+IF(RIGHT(TRIM(Paramètres!M11),3)="Fin",1-$H2279,IF(LEFT(TRIM(Paramètres!M11),1)="F",1,0)))),IF(Paramètres!N11="",0,IF(Paramètres!O11="",NA(),IF(LEFT(TRIM(Paramètres!O11),1)="F",INDEX($F$2273:$F$2325,MATCH(Paramètres!N11,Paramètres!$G$5:$G$57,0)),INDEX($E$2273:$E$2325,MATCH(Paramètres!N11,Paramètres!$G$5:$G$57,0)))+IF(RIGHT(TRIM(Paramètres!O11),3)="Fin",1-$H2279,IF(LEFT(TRIM(Paramètres!O11),1)="F",1,0)))))))</f>
        <v/>
      </c>
      <c r="F2279" s="19">
        <f>IF($A2279="","",E2279+$H2279-1)</f>
        <v/>
      </c>
      <c r="G2279" s="18" t="n"/>
      <c r="H2279" s="18">
        <f>IF($A2279="","",IF(I2279&lt;&gt;"",I2279,Paramètres!B11))</f>
        <v/>
      </c>
      <c r="I2279" s="18" t="n"/>
    </row>
    <row r="2280">
      <c r="A2280" s="18">
        <f>IF(ISNUMBER(Dossiers!$D$46),Dossiers!$A$46&amp;" · "&amp;Dossiers!$B$46,"")</f>
        <v/>
      </c>
      <c r="B2280" s="18">
        <f>IF($A2280="","",Paramètres!G12)</f>
        <v/>
      </c>
      <c r="C2280" s="18">
        <f>IF($A2280="","",IF(Paramètres!H12="","",Paramètres!H12))</f>
        <v/>
      </c>
      <c r="D2280" s="18">
        <f>IF($A2280="","",IF(Paramètres!I12="","",Paramètres!I12))</f>
        <v/>
      </c>
      <c r="E2280" s="19">
        <f>IF($A2280="","",IF(Paramètres!J12&amp;Paramètres!L12&amp;Paramètres!N12="",Dossiers!$D$46,MAX(IF(Paramètres!J12="",0,IF(Paramètres!K12="",NA(),IF(LEFT(TRIM(Paramètres!K12),1)="F",INDEX($F$2273:$F$2325,MATCH(Paramètres!J12,Paramètres!$G$5:$G$57,0)),INDEX($E$2273:$E$2325,MATCH(Paramètres!J12,Paramètres!$G$5:$G$57,0)))+IF(RIGHT(TRIM(Paramètres!K12),3)="Fin",1-$H2280,IF(LEFT(TRIM(Paramètres!K12),1)="F",1,0)))),IF(Paramètres!L12="",0,IF(Paramètres!M12="",NA(),IF(LEFT(TRIM(Paramètres!M12),1)="F",INDEX($F$2273:$F$2325,MATCH(Paramètres!L12,Paramètres!$G$5:$G$57,0)),INDEX($E$2273:$E$2325,MATCH(Paramètres!L12,Paramètres!$G$5:$G$57,0)))+IF(RIGHT(TRIM(Paramètres!M12),3)="Fin",1-$H2280,IF(LEFT(TRIM(Paramètres!M12),1)="F",1,0)))),IF(Paramètres!N12="",0,IF(Paramètres!O12="",NA(),IF(LEFT(TRIM(Paramètres!O12),1)="F",INDEX($F$2273:$F$2325,MATCH(Paramètres!N12,Paramètres!$G$5:$G$57,0)),INDEX($E$2273:$E$2325,MATCH(Paramètres!N12,Paramètres!$G$5:$G$57,0)))+IF(RIGHT(TRIM(Paramètres!O12),3)="Fin",1-$H2280,IF(LEFT(TRIM(Paramètres!O12),1)="F",1,0)))))))</f>
        <v/>
      </c>
      <c r="F2280" s="19">
        <f>IF($A2280="","",E2280+$H2280-1)</f>
        <v/>
      </c>
      <c r="G2280" s="18" t="n"/>
      <c r="H2280" s="18">
        <f>IF($A2280="","",IF(I2280&lt;&gt;"",I2280,Paramètres!B12))</f>
        <v/>
      </c>
      <c r="I2280" s="18" t="n"/>
    </row>
    <row r="2281">
      <c r="A2281" s="18">
        <f>IF(ISNUMBER(Dossiers!$D$46),Dossiers!$A$46&amp;" · "&amp;Dossiers!$B$46,"")</f>
        <v/>
      </c>
      <c r="B2281" s="18">
        <f>IF($A2281="","",Paramètres!G13)</f>
        <v/>
      </c>
      <c r="C2281" s="18">
        <f>IF($A2281="","",IF(Paramètres!H13="","",Paramètres!H13))</f>
        <v/>
      </c>
      <c r="D2281" s="18">
        <f>IF($A2281="","",IF(Paramètres!I13="","",Paramètres!I13))</f>
        <v/>
      </c>
      <c r="E2281" s="19">
        <f>IF($A2281="","",IF(Paramètres!J13&amp;Paramètres!L13&amp;Paramètres!N13="",Dossiers!$D$46,MAX(IF(Paramètres!J13="",0,IF(Paramètres!K13="",NA(),IF(LEFT(TRIM(Paramètres!K13),1)="F",INDEX($F$2273:$F$2325,MATCH(Paramètres!J13,Paramètres!$G$5:$G$57,0)),INDEX($E$2273:$E$2325,MATCH(Paramètres!J13,Paramètres!$G$5:$G$57,0)))+IF(RIGHT(TRIM(Paramètres!K13),3)="Fin",1-$H2281,IF(LEFT(TRIM(Paramètres!K13),1)="F",1,0)))),IF(Paramètres!L13="",0,IF(Paramètres!M13="",NA(),IF(LEFT(TRIM(Paramètres!M13),1)="F",INDEX($F$2273:$F$2325,MATCH(Paramètres!L13,Paramètres!$G$5:$G$57,0)),INDEX($E$2273:$E$2325,MATCH(Paramètres!L13,Paramètres!$G$5:$G$57,0)))+IF(RIGHT(TRIM(Paramètres!M13),3)="Fin",1-$H2281,IF(LEFT(TRIM(Paramètres!M13),1)="F",1,0)))),IF(Paramètres!N13="",0,IF(Paramètres!O13="",NA(),IF(LEFT(TRIM(Paramètres!O13),1)="F",INDEX($F$2273:$F$2325,MATCH(Paramètres!N13,Paramètres!$G$5:$G$57,0)),INDEX($E$2273:$E$2325,MATCH(Paramètres!N13,Paramètres!$G$5:$G$57,0)))+IF(RIGHT(TRIM(Paramètres!O13),3)="Fin",1-$H2281,IF(LEFT(TRIM(Paramètres!O13),1)="F",1,0)))))))</f>
        <v/>
      </c>
      <c r="F2281" s="19">
        <f>IF($A2281="","",E2281+$H2281-1)</f>
        <v/>
      </c>
      <c r="G2281" s="18" t="n"/>
      <c r="H2281" s="18">
        <f>IF($A2281="","",IF(I2281&lt;&gt;"",I2281,Paramètres!B13))</f>
        <v/>
      </c>
      <c r="I2281" s="18" t="n"/>
    </row>
    <row r="2282">
      <c r="A2282" s="18">
        <f>IF(ISNUMBER(Dossiers!$D$46),Dossiers!$A$46&amp;" · "&amp;Dossiers!$B$46,"")</f>
        <v/>
      </c>
      <c r="B2282" s="18">
        <f>IF($A2282="","",Paramètres!G14)</f>
        <v/>
      </c>
      <c r="C2282" s="18">
        <f>IF($A2282="","",IF(Paramètres!H14="","",Paramètres!H14))</f>
        <v/>
      </c>
      <c r="D2282" s="18">
        <f>IF($A2282="","",IF(Paramètres!I14="","",Paramètres!I14))</f>
        <v/>
      </c>
      <c r="E2282" s="19">
        <f>IF($A2282="","",IF(Paramètres!J14&amp;Paramètres!L14&amp;Paramètres!N14="",Dossiers!$D$46,MAX(IF(Paramètres!J14="",0,IF(Paramètres!K14="",NA(),IF(LEFT(TRIM(Paramètres!K14),1)="F",INDEX($F$2273:$F$2325,MATCH(Paramètres!J14,Paramètres!$G$5:$G$57,0)),INDEX($E$2273:$E$2325,MATCH(Paramètres!J14,Paramètres!$G$5:$G$57,0)))+IF(RIGHT(TRIM(Paramètres!K14),3)="Fin",1-$H2282,IF(LEFT(TRIM(Paramètres!K14),1)="F",1,0)))),IF(Paramètres!L14="",0,IF(Paramètres!M14="",NA(),IF(LEFT(TRIM(Paramètres!M14),1)="F",INDEX($F$2273:$F$2325,MATCH(Paramètres!L14,Paramètres!$G$5:$G$57,0)),INDEX($E$2273:$E$2325,MATCH(Paramètres!L14,Paramètres!$G$5:$G$57,0)))+IF(RIGHT(TRIM(Paramètres!M14),3)="Fin",1-$H2282,IF(LEFT(TRIM(Paramètres!M14),1)="F",1,0)))),IF(Paramètres!N14="",0,IF(Paramètres!O14="",NA(),IF(LEFT(TRIM(Paramètres!O14),1)="F",INDEX($F$2273:$F$2325,MATCH(Paramètres!N14,Paramètres!$G$5:$G$57,0)),INDEX($E$2273:$E$2325,MATCH(Paramètres!N14,Paramètres!$G$5:$G$57,0)))+IF(RIGHT(TRIM(Paramètres!O14),3)="Fin",1-$H2282,IF(LEFT(TRIM(Paramètres!O14),1)="F",1,0)))))))</f>
        <v/>
      </c>
      <c r="F2282" s="19">
        <f>IF($A2282="","",E2282+$H2282-1)</f>
        <v/>
      </c>
      <c r="G2282" s="18" t="n"/>
      <c r="H2282" s="18">
        <f>IF($A2282="","",IF(I2282&lt;&gt;"",I2282,Paramètres!B14))</f>
        <v/>
      </c>
      <c r="I2282" s="18" t="n"/>
    </row>
    <row r="2283">
      <c r="A2283" s="18">
        <f>IF(ISNUMBER(Dossiers!$D$46),Dossiers!$A$46&amp;" · "&amp;Dossiers!$B$46,"")</f>
        <v/>
      </c>
      <c r="B2283" s="18">
        <f>IF($A2283="","",Paramètres!G15)</f>
        <v/>
      </c>
      <c r="C2283" s="18">
        <f>IF($A2283="","",IF(Paramètres!H15="","",Paramètres!H15))</f>
        <v/>
      </c>
      <c r="D2283" s="18">
        <f>IF($A2283="","",IF(Paramètres!I15="","",Paramètres!I15))</f>
        <v/>
      </c>
      <c r="E2283" s="19">
        <f>IF($A2283="","",MIN(E2284:E2299))</f>
        <v/>
      </c>
      <c r="F2283" s="19">
        <f>IF($A2283="","",MAX(F2284:F2299))</f>
        <v/>
      </c>
      <c r="G2283" s="18" t="n"/>
      <c r="H2283" s="18">
        <f>IF($A2283="","",F2283-E2283+1)</f>
        <v/>
      </c>
      <c r="I2283" s="18" t="n"/>
    </row>
    <row r="2284">
      <c r="A2284" s="18">
        <f>IF(ISNUMBER(Dossiers!$D$46),Dossiers!$A$46&amp;" · "&amp;Dossiers!$B$46,"")</f>
        <v/>
      </c>
      <c r="B2284" s="18">
        <f>IF($A2284="","",Paramètres!G16)</f>
        <v/>
      </c>
      <c r="C2284" s="18">
        <f>IF($A2284="","",IF(Paramètres!H16="","",Paramètres!H16))</f>
        <v/>
      </c>
      <c r="D2284" s="18">
        <f>IF($A2284="","",IF(Paramètres!I16="","",Paramètres!I16))</f>
        <v/>
      </c>
      <c r="E2284" s="19">
        <f>IF($A2284="","",IF(Paramètres!J16&amp;Paramètres!L16&amp;Paramètres!N16="",Dossiers!$D$46,MAX(IF(Paramètres!J16="",0,IF(Paramètres!K16="",NA(),IF(LEFT(TRIM(Paramètres!K16),1)="F",INDEX($F$2273:$F$2325,MATCH(Paramètres!J16,Paramètres!$G$5:$G$57,0)),INDEX($E$2273:$E$2325,MATCH(Paramètres!J16,Paramètres!$G$5:$G$57,0)))+IF(RIGHT(TRIM(Paramètres!K16),3)="Fin",1-$H2284,IF(LEFT(TRIM(Paramètres!K16),1)="F",1,0)))),IF(Paramètres!L16="",0,IF(Paramètres!M16="",NA(),IF(LEFT(TRIM(Paramètres!M16),1)="F",INDEX($F$2273:$F$2325,MATCH(Paramètres!L16,Paramètres!$G$5:$G$57,0)),INDEX($E$2273:$E$2325,MATCH(Paramètres!L16,Paramètres!$G$5:$G$57,0)))+IF(RIGHT(TRIM(Paramètres!M16),3)="Fin",1-$H2284,IF(LEFT(TRIM(Paramètres!M16),1)="F",1,0)))),IF(Paramètres!N16="",0,IF(Paramètres!O16="",NA(),IF(LEFT(TRIM(Paramètres!O16),1)="F",INDEX($F$2273:$F$2325,MATCH(Paramètres!N16,Paramètres!$G$5:$G$57,0)),INDEX($E$2273:$E$2325,MATCH(Paramètres!N16,Paramètres!$G$5:$G$57,0)))+IF(RIGHT(TRIM(Paramètres!O16),3)="Fin",1-$H2284,IF(LEFT(TRIM(Paramètres!O16),1)="F",1,0)))))))</f>
        <v/>
      </c>
      <c r="F2284" s="19">
        <f>IF($A2284="","",E2284+$H2284-1)</f>
        <v/>
      </c>
      <c r="G2284" s="18" t="n"/>
      <c r="H2284" s="18">
        <f>IF($A2284="","",IF(I2284&lt;&gt;"",I2284,Paramètres!B16))</f>
        <v/>
      </c>
      <c r="I2284" s="18" t="n"/>
    </row>
    <row r="2285">
      <c r="A2285" s="18">
        <f>IF(ISNUMBER(Dossiers!$D$46),Dossiers!$A$46&amp;" · "&amp;Dossiers!$B$46,"")</f>
        <v/>
      </c>
      <c r="B2285" s="18">
        <f>IF($A2285="","",Paramètres!G17)</f>
        <v/>
      </c>
      <c r="C2285" s="18">
        <f>IF($A2285="","",IF(Paramètres!H17="","",Paramètres!H17))</f>
        <v/>
      </c>
      <c r="D2285" s="18">
        <f>IF($A2285="","",IF(Paramètres!I17="","",Paramètres!I17))</f>
        <v/>
      </c>
      <c r="E2285" s="19">
        <f>IF($A2285="","",IF(Paramètres!J17&amp;Paramètres!L17&amp;Paramètres!N17="",Dossiers!$D$46,MAX(IF(Paramètres!J17="",0,IF(Paramètres!K17="",NA(),IF(LEFT(TRIM(Paramètres!K17),1)="F",INDEX($F$2273:$F$2325,MATCH(Paramètres!J17,Paramètres!$G$5:$G$57,0)),INDEX($E$2273:$E$2325,MATCH(Paramètres!J17,Paramètres!$G$5:$G$57,0)))+IF(RIGHT(TRIM(Paramètres!K17),3)="Fin",1-$H2285,IF(LEFT(TRIM(Paramètres!K17),1)="F",1,0)))),IF(Paramètres!L17="",0,IF(Paramètres!M17="",NA(),IF(LEFT(TRIM(Paramètres!M17),1)="F",INDEX($F$2273:$F$2325,MATCH(Paramètres!L17,Paramètres!$G$5:$G$57,0)),INDEX($E$2273:$E$2325,MATCH(Paramètres!L17,Paramètres!$G$5:$G$57,0)))+IF(RIGHT(TRIM(Paramètres!M17),3)="Fin",1-$H2285,IF(LEFT(TRIM(Paramètres!M17),1)="F",1,0)))),IF(Paramètres!N17="",0,IF(Paramètres!O17="",NA(),IF(LEFT(TRIM(Paramètres!O17),1)="F",INDEX($F$2273:$F$2325,MATCH(Paramètres!N17,Paramètres!$G$5:$G$57,0)),INDEX($E$2273:$E$2325,MATCH(Paramètres!N17,Paramètres!$G$5:$G$57,0)))+IF(RIGHT(TRIM(Paramètres!O17),3)="Fin",1-$H2285,IF(LEFT(TRIM(Paramètres!O17),1)="F",1,0)))))))</f>
        <v/>
      </c>
      <c r="F2285" s="19">
        <f>IF($A2285="","",E2285+$H2285-1)</f>
        <v/>
      </c>
      <c r="G2285" s="18" t="n"/>
      <c r="H2285" s="18">
        <f>IF($A2285="","",IF(I2285&lt;&gt;"",I2285,Paramètres!B17))</f>
        <v/>
      </c>
      <c r="I2285" s="18" t="n"/>
    </row>
    <row r="2286">
      <c r="A2286" s="18">
        <f>IF(ISNUMBER(Dossiers!$D$46),Dossiers!$A$46&amp;" · "&amp;Dossiers!$B$46,"")</f>
        <v/>
      </c>
      <c r="B2286" s="18">
        <f>IF($A2286="","",Paramètres!G18)</f>
        <v/>
      </c>
      <c r="C2286" s="18">
        <f>IF($A2286="","",IF(Paramètres!H18="","",Paramètres!H18))</f>
        <v/>
      </c>
      <c r="D2286" s="18">
        <f>IF($A2286="","",IF(Paramètres!I18="","",Paramètres!I18))</f>
        <v/>
      </c>
      <c r="E2286" s="19">
        <f>IF($A2286="","",IF(Paramètres!J18&amp;Paramètres!L18&amp;Paramètres!N18="",Dossiers!$D$46,MAX(IF(Paramètres!J18="",0,IF(Paramètres!K18="",NA(),IF(LEFT(TRIM(Paramètres!K18),1)="F",INDEX($F$2273:$F$2325,MATCH(Paramètres!J18,Paramètres!$G$5:$G$57,0)),INDEX($E$2273:$E$2325,MATCH(Paramètres!J18,Paramètres!$G$5:$G$57,0)))+IF(RIGHT(TRIM(Paramètres!K18),3)="Fin",1-$H2286,IF(LEFT(TRIM(Paramètres!K18),1)="F",1,0)))),IF(Paramètres!L18="",0,IF(Paramètres!M18="",NA(),IF(LEFT(TRIM(Paramètres!M18),1)="F",INDEX($F$2273:$F$2325,MATCH(Paramètres!L18,Paramètres!$G$5:$G$57,0)),INDEX($E$2273:$E$2325,MATCH(Paramètres!L18,Paramètres!$G$5:$G$57,0)))+IF(RIGHT(TRIM(Paramètres!M18),3)="Fin",1-$H2286,IF(LEFT(TRIM(Paramètres!M18),1)="F",1,0)))),IF(Paramètres!N18="",0,IF(Paramètres!O18="",NA(),IF(LEFT(TRIM(Paramètres!O18),1)="F",INDEX($F$2273:$F$2325,MATCH(Paramètres!N18,Paramètres!$G$5:$G$57,0)),INDEX($E$2273:$E$2325,MATCH(Paramètres!N18,Paramètres!$G$5:$G$57,0)))+IF(RIGHT(TRIM(Paramètres!O18),3)="Fin",1-$H2286,IF(LEFT(TRIM(Paramètres!O18),1)="F",1,0)))))))</f>
        <v/>
      </c>
      <c r="F2286" s="19">
        <f>IF($A2286="","",E2286+$H2286-1)</f>
        <v/>
      </c>
      <c r="G2286" s="18" t="n"/>
      <c r="H2286" s="18">
        <f>IF($A2286="","",IF(I2286&lt;&gt;"",I2286,Paramètres!B18))</f>
        <v/>
      </c>
      <c r="I2286" s="18" t="n"/>
    </row>
    <row r="2287">
      <c r="A2287" s="18">
        <f>IF(ISNUMBER(Dossiers!$D$46),Dossiers!$A$46&amp;" · "&amp;Dossiers!$B$46,"")</f>
        <v/>
      </c>
      <c r="B2287" s="18">
        <f>IF($A2287="","",Paramètres!G19)</f>
        <v/>
      </c>
      <c r="C2287" s="18">
        <f>IF($A2287="","",IF(Paramètres!H19="","",Paramètres!H19))</f>
        <v/>
      </c>
      <c r="D2287" s="18">
        <f>IF($A2287="","",IF(Paramètres!I19="","",Paramètres!I19))</f>
        <v/>
      </c>
      <c r="E2287" s="19">
        <f>IF($A2287="","",IF(Paramètres!J19&amp;Paramètres!L19&amp;Paramètres!N19="",Dossiers!$D$46,MAX(IF(Paramètres!J19="",0,IF(Paramètres!K19="",NA(),IF(LEFT(TRIM(Paramètres!K19),1)="F",INDEX($F$2273:$F$2325,MATCH(Paramètres!J19,Paramètres!$G$5:$G$57,0)),INDEX($E$2273:$E$2325,MATCH(Paramètres!J19,Paramètres!$G$5:$G$57,0)))+IF(RIGHT(TRIM(Paramètres!K19),3)="Fin",1-$H2287,IF(LEFT(TRIM(Paramètres!K19),1)="F",1,0)))),IF(Paramètres!L19="",0,IF(Paramètres!M19="",NA(),IF(LEFT(TRIM(Paramètres!M19),1)="F",INDEX($F$2273:$F$2325,MATCH(Paramètres!L19,Paramètres!$G$5:$G$57,0)),INDEX($E$2273:$E$2325,MATCH(Paramètres!L19,Paramètres!$G$5:$G$57,0)))+IF(RIGHT(TRIM(Paramètres!M19),3)="Fin",1-$H2287,IF(LEFT(TRIM(Paramètres!M19),1)="F",1,0)))),IF(Paramètres!N19="",0,IF(Paramètres!O19="",NA(),IF(LEFT(TRIM(Paramètres!O19),1)="F",INDEX($F$2273:$F$2325,MATCH(Paramètres!N19,Paramètres!$G$5:$G$57,0)),INDEX($E$2273:$E$2325,MATCH(Paramètres!N19,Paramètres!$G$5:$G$57,0)))+IF(RIGHT(TRIM(Paramètres!O19),3)="Fin",1-$H2287,IF(LEFT(TRIM(Paramètres!O19),1)="F",1,0)))))))</f>
        <v/>
      </c>
      <c r="F2287" s="19">
        <f>IF($A2287="","",E2287+$H2287-1)</f>
        <v/>
      </c>
      <c r="G2287" s="18" t="n"/>
      <c r="H2287" s="18">
        <f>IF($A2287="","",IF(I2287&lt;&gt;"",I2287,Paramètres!B19))</f>
        <v/>
      </c>
      <c r="I2287" s="18" t="n"/>
    </row>
    <row r="2288">
      <c r="A2288" s="18">
        <f>IF(ISNUMBER(Dossiers!$D$46),Dossiers!$A$46&amp;" · "&amp;Dossiers!$B$46,"")</f>
        <v/>
      </c>
      <c r="B2288" s="18">
        <f>IF($A2288="","",Paramètres!G20)</f>
        <v/>
      </c>
      <c r="C2288" s="18">
        <f>IF($A2288="","",IF(Paramètres!H20="","",Paramètres!H20))</f>
        <v/>
      </c>
      <c r="D2288" s="18">
        <f>IF($A2288="","",IF(Paramètres!I20="","",Paramètres!I20))</f>
        <v/>
      </c>
      <c r="E2288" s="19">
        <f>IF($A2288="","",IF(Paramètres!J20&amp;Paramètres!L20&amp;Paramètres!N20="",Dossiers!$D$46,MAX(IF(Paramètres!J20="",0,IF(Paramètres!K20="",NA(),IF(LEFT(TRIM(Paramètres!K20),1)="F",INDEX($F$2273:$F$2325,MATCH(Paramètres!J20,Paramètres!$G$5:$G$57,0)),INDEX($E$2273:$E$2325,MATCH(Paramètres!J20,Paramètres!$G$5:$G$57,0)))+IF(RIGHT(TRIM(Paramètres!K20),3)="Fin",1-$H2288,IF(LEFT(TRIM(Paramètres!K20),1)="F",1,0)))),IF(Paramètres!L20="",0,IF(Paramètres!M20="",NA(),IF(LEFT(TRIM(Paramètres!M20),1)="F",INDEX($F$2273:$F$2325,MATCH(Paramètres!L20,Paramètres!$G$5:$G$57,0)),INDEX($E$2273:$E$2325,MATCH(Paramètres!L20,Paramètres!$G$5:$G$57,0)))+IF(RIGHT(TRIM(Paramètres!M20),3)="Fin",1-$H2288,IF(LEFT(TRIM(Paramètres!M20),1)="F",1,0)))),IF(Paramètres!N20="",0,IF(Paramètres!O20="",NA(),IF(LEFT(TRIM(Paramètres!O20),1)="F",INDEX($F$2273:$F$2325,MATCH(Paramètres!N20,Paramètres!$G$5:$G$57,0)),INDEX($E$2273:$E$2325,MATCH(Paramètres!N20,Paramètres!$G$5:$G$57,0)))+IF(RIGHT(TRIM(Paramètres!O20),3)="Fin",1-$H2288,IF(LEFT(TRIM(Paramètres!O20),1)="F",1,0)))))))</f>
        <v/>
      </c>
      <c r="F2288" s="19">
        <f>IF($A2288="","",E2288+$H2288-1)</f>
        <v/>
      </c>
      <c r="G2288" s="18" t="n"/>
      <c r="H2288" s="18">
        <f>IF($A2288="","",IF(I2288&lt;&gt;"",I2288,Paramètres!B20))</f>
        <v/>
      </c>
      <c r="I2288" s="18" t="n"/>
    </row>
    <row r="2289">
      <c r="A2289" s="18">
        <f>IF(ISNUMBER(Dossiers!$D$46),Dossiers!$A$46&amp;" · "&amp;Dossiers!$B$46,"")</f>
        <v/>
      </c>
      <c r="B2289" s="18">
        <f>IF($A2289="","",Paramètres!G21)</f>
        <v/>
      </c>
      <c r="C2289" s="18">
        <f>IF($A2289="","",IF(Paramètres!H21="","",Paramètres!H21))</f>
        <v/>
      </c>
      <c r="D2289" s="18">
        <f>IF($A2289="","",IF(Paramètres!I21="","",Paramètres!I21))</f>
        <v/>
      </c>
      <c r="E2289" s="19">
        <f>IF($A2289="","",IF(Paramètres!J21&amp;Paramètres!L21&amp;Paramètres!N21="",Dossiers!$D$46,MAX(IF(Paramètres!J21="",0,IF(Paramètres!K21="",NA(),IF(LEFT(TRIM(Paramètres!K21),1)="F",INDEX($F$2273:$F$2325,MATCH(Paramètres!J21,Paramètres!$G$5:$G$57,0)),INDEX($E$2273:$E$2325,MATCH(Paramètres!J21,Paramètres!$G$5:$G$57,0)))+IF(RIGHT(TRIM(Paramètres!K21),3)="Fin",1-$H2289,IF(LEFT(TRIM(Paramètres!K21),1)="F",1,0)))),IF(Paramètres!L21="",0,IF(Paramètres!M21="",NA(),IF(LEFT(TRIM(Paramètres!M21),1)="F",INDEX($F$2273:$F$2325,MATCH(Paramètres!L21,Paramètres!$G$5:$G$57,0)),INDEX($E$2273:$E$2325,MATCH(Paramètres!L21,Paramètres!$G$5:$G$57,0)))+IF(RIGHT(TRIM(Paramètres!M21),3)="Fin",1-$H2289,IF(LEFT(TRIM(Paramètres!M21),1)="F",1,0)))),IF(Paramètres!N21="",0,IF(Paramètres!O21="",NA(),IF(LEFT(TRIM(Paramètres!O21),1)="F",INDEX($F$2273:$F$2325,MATCH(Paramètres!N21,Paramètres!$G$5:$G$57,0)),INDEX($E$2273:$E$2325,MATCH(Paramètres!N21,Paramètres!$G$5:$G$57,0)))+IF(RIGHT(TRIM(Paramètres!O21),3)="Fin",1-$H2289,IF(LEFT(TRIM(Paramètres!O21),1)="F",1,0)))))))</f>
        <v/>
      </c>
      <c r="F2289" s="19">
        <f>IF($A2289="","",E2289+$H2289-1)</f>
        <v/>
      </c>
      <c r="G2289" s="18" t="n"/>
      <c r="H2289" s="18">
        <f>IF($A2289="","",IF(I2289&lt;&gt;"",I2289,Paramètres!B21))</f>
        <v/>
      </c>
      <c r="I2289" s="18" t="n"/>
    </row>
    <row r="2290">
      <c r="A2290" s="18">
        <f>IF(ISNUMBER(Dossiers!$D$46),Dossiers!$A$46&amp;" · "&amp;Dossiers!$B$46,"")</f>
        <v/>
      </c>
      <c r="B2290" s="18">
        <f>IF($A2290="","",Paramètres!G22)</f>
        <v/>
      </c>
      <c r="C2290" s="18">
        <f>IF($A2290="","",IF(Paramètres!H22="","",Paramètres!H22))</f>
        <v/>
      </c>
      <c r="D2290" s="18">
        <f>IF($A2290="","",IF(Paramètres!I22="","",Paramètres!I22))</f>
        <v/>
      </c>
      <c r="E2290" s="19">
        <f>IF($A2290="","",IF(Paramètres!J22&amp;Paramètres!L22&amp;Paramètres!N22="",Dossiers!$D$46,MAX(IF(Paramètres!J22="",0,IF(Paramètres!K22="",NA(),IF(LEFT(TRIM(Paramètres!K22),1)="F",INDEX($F$2273:$F$2325,MATCH(Paramètres!J22,Paramètres!$G$5:$G$57,0)),INDEX($E$2273:$E$2325,MATCH(Paramètres!J22,Paramètres!$G$5:$G$57,0)))+IF(RIGHT(TRIM(Paramètres!K22),3)="Fin",1-$H2290,IF(LEFT(TRIM(Paramètres!K22),1)="F",1,0)))),IF(Paramètres!L22="",0,IF(Paramètres!M22="",NA(),IF(LEFT(TRIM(Paramètres!M22),1)="F",INDEX($F$2273:$F$2325,MATCH(Paramètres!L22,Paramètres!$G$5:$G$57,0)),INDEX($E$2273:$E$2325,MATCH(Paramètres!L22,Paramètres!$G$5:$G$57,0)))+IF(RIGHT(TRIM(Paramètres!M22),3)="Fin",1-$H2290,IF(LEFT(TRIM(Paramètres!M22),1)="F",1,0)))),IF(Paramètres!N22="",0,IF(Paramètres!O22="",NA(),IF(LEFT(TRIM(Paramètres!O22),1)="F",INDEX($F$2273:$F$2325,MATCH(Paramètres!N22,Paramètres!$G$5:$G$57,0)),INDEX($E$2273:$E$2325,MATCH(Paramètres!N22,Paramètres!$G$5:$G$57,0)))+IF(RIGHT(TRIM(Paramètres!O22),3)="Fin",1-$H2290,IF(LEFT(TRIM(Paramètres!O22),1)="F",1,0)))))))</f>
        <v/>
      </c>
      <c r="F2290" s="19">
        <f>IF($A2290="","",E2290+$H2290-1)</f>
        <v/>
      </c>
      <c r="G2290" s="18" t="n"/>
      <c r="H2290" s="18">
        <f>IF($A2290="","",IF(I2290&lt;&gt;"",I2290,Paramètres!B22))</f>
        <v/>
      </c>
      <c r="I2290" s="18" t="n"/>
    </row>
    <row r="2291">
      <c r="A2291" s="18">
        <f>IF(ISNUMBER(Dossiers!$D$46),Dossiers!$A$46&amp;" · "&amp;Dossiers!$B$46,"")</f>
        <v/>
      </c>
      <c r="B2291" s="18">
        <f>IF($A2291="","",Paramètres!G23)</f>
        <v/>
      </c>
      <c r="C2291" s="18">
        <f>IF($A2291="","",IF(Paramètres!H23="","",Paramètres!H23))</f>
        <v/>
      </c>
      <c r="D2291" s="18">
        <f>IF($A2291="","",IF(Paramètres!I23="","",Paramètres!I23))</f>
        <v/>
      </c>
      <c r="E2291" s="19">
        <f>IF($A2291="","",IF(Paramètres!J23&amp;Paramètres!L23&amp;Paramètres!N23="",Dossiers!$D$46,MAX(IF(Paramètres!J23="",0,IF(Paramètres!K23="",NA(),IF(LEFT(TRIM(Paramètres!K23),1)="F",INDEX($F$2273:$F$2325,MATCH(Paramètres!J23,Paramètres!$G$5:$G$57,0)),INDEX($E$2273:$E$2325,MATCH(Paramètres!J23,Paramètres!$G$5:$G$57,0)))+IF(RIGHT(TRIM(Paramètres!K23),3)="Fin",1-$H2291,IF(LEFT(TRIM(Paramètres!K23),1)="F",1,0)))),IF(Paramètres!L23="",0,IF(Paramètres!M23="",NA(),IF(LEFT(TRIM(Paramètres!M23),1)="F",INDEX($F$2273:$F$2325,MATCH(Paramètres!L23,Paramètres!$G$5:$G$57,0)),INDEX($E$2273:$E$2325,MATCH(Paramètres!L23,Paramètres!$G$5:$G$57,0)))+IF(RIGHT(TRIM(Paramètres!M23),3)="Fin",1-$H2291,IF(LEFT(TRIM(Paramètres!M23),1)="F",1,0)))),IF(Paramètres!N23="",0,IF(Paramètres!O23="",NA(),IF(LEFT(TRIM(Paramètres!O23),1)="F",INDEX($F$2273:$F$2325,MATCH(Paramètres!N23,Paramètres!$G$5:$G$57,0)),INDEX($E$2273:$E$2325,MATCH(Paramètres!N23,Paramètres!$G$5:$G$57,0)))+IF(RIGHT(TRIM(Paramètres!O23),3)="Fin",1-$H2291,IF(LEFT(TRIM(Paramètres!O23),1)="F",1,0)))))))</f>
        <v/>
      </c>
      <c r="F2291" s="19">
        <f>IF($A2291="","",E2291+$H2291-1)</f>
        <v/>
      </c>
      <c r="G2291" s="18" t="n"/>
      <c r="H2291" s="18">
        <f>IF($A2291="","",IF(I2291&lt;&gt;"",I2291,Paramètres!B23))</f>
        <v/>
      </c>
      <c r="I2291" s="18" t="n"/>
    </row>
    <row r="2292">
      <c r="A2292" s="18">
        <f>IF(ISNUMBER(Dossiers!$D$46),Dossiers!$A$46&amp;" · "&amp;Dossiers!$B$46,"")</f>
        <v/>
      </c>
      <c r="B2292" s="18">
        <f>IF($A2292="","",Paramètres!G24)</f>
        <v/>
      </c>
      <c r="C2292" s="18">
        <f>IF($A2292="","",IF(Paramètres!H24="","",Paramètres!H24))</f>
        <v/>
      </c>
      <c r="D2292" s="18">
        <f>IF($A2292="","",IF(Paramètres!I24="","",Paramètres!I24))</f>
        <v/>
      </c>
      <c r="E2292" s="19">
        <f>IF($A2292="","",IF(Paramètres!J24&amp;Paramètres!L24&amp;Paramètres!N24="",Dossiers!$D$46,MAX(IF(Paramètres!J24="",0,IF(Paramètres!K24="",NA(),IF(LEFT(TRIM(Paramètres!K24),1)="F",INDEX($F$2273:$F$2325,MATCH(Paramètres!J24,Paramètres!$G$5:$G$57,0)),INDEX($E$2273:$E$2325,MATCH(Paramètres!J24,Paramètres!$G$5:$G$57,0)))+IF(RIGHT(TRIM(Paramètres!K24),3)="Fin",1-$H2292,IF(LEFT(TRIM(Paramètres!K24),1)="F",1,0)))),IF(Paramètres!L24="",0,IF(Paramètres!M24="",NA(),IF(LEFT(TRIM(Paramètres!M24),1)="F",INDEX($F$2273:$F$2325,MATCH(Paramètres!L24,Paramètres!$G$5:$G$57,0)),INDEX($E$2273:$E$2325,MATCH(Paramètres!L24,Paramètres!$G$5:$G$57,0)))+IF(RIGHT(TRIM(Paramètres!M24),3)="Fin",1-$H2292,IF(LEFT(TRIM(Paramètres!M24),1)="F",1,0)))),IF(Paramètres!N24="",0,IF(Paramètres!O24="",NA(),IF(LEFT(TRIM(Paramètres!O24),1)="F",INDEX($F$2273:$F$2325,MATCH(Paramètres!N24,Paramètres!$G$5:$G$57,0)),INDEX($E$2273:$E$2325,MATCH(Paramètres!N24,Paramètres!$G$5:$G$57,0)))+IF(RIGHT(TRIM(Paramètres!O24),3)="Fin",1-$H2292,IF(LEFT(TRIM(Paramètres!O24),1)="F",1,0)))))))</f>
        <v/>
      </c>
      <c r="F2292" s="19">
        <f>IF($A2292="","",E2292+$H2292-1)</f>
        <v/>
      </c>
      <c r="G2292" s="18" t="n"/>
      <c r="H2292" s="18">
        <f>IF($A2292="","",IF(I2292&lt;&gt;"",I2292,Paramètres!B24))</f>
        <v/>
      </c>
      <c r="I2292" s="18" t="n"/>
    </row>
    <row r="2293">
      <c r="A2293" s="18">
        <f>IF(ISNUMBER(Dossiers!$D$46),Dossiers!$A$46&amp;" · "&amp;Dossiers!$B$46,"")</f>
        <v/>
      </c>
      <c r="B2293" s="18">
        <f>IF($A2293="","",Paramètres!G25)</f>
        <v/>
      </c>
      <c r="C2293" s="18">
        <f>IF($A2293="","",IF(Paramètres!H25="","",Paramètres!H25))</f>
        <v/>
      </c>
      <c r="D2293" s="18">
        <f>IF($A2293="","",IF(Paramètres!I25="","",Paramètres!I25))</f>
        <v/>
      </c>
      <c r="E2293" s="19">
        <f>IF($A2293="","",IF(Paramètres!J25&amp;Paramètres!L25&amp;Paramètres!N25="",Dossiers!$D$46,MAX(IF(Paramètres!J25="",0,IF(Paramètres!K25="",NA(),IF(LEFT(TRIM(Paramètres!K25),1)="F",INDEX($F$2273:$F$2325,MATCH(Paramètres!J25,Paramètres!$G$5:$G$57,0)),INDEX($E$2273:$E$2325,MATCH(Paramètres!J25,Paramètres!$G$5:$G$57,0)))+IF(RIGHT(TRIM(Paramètres!K25),3)="Fin",1-$H2293,IF(LEFT(TRIM(Paramètres!K25),1)="F",1,0)))),IF(Paramètres!L25="",0,IF(Paramètres!M25="",NA(),IF(LEFT(TRIM(Paramètres!M25),1)="F",INDEX($F$2273:$F$2325,MATCH(Paramètres!L25,Paramètres!$G$5:$G$57,0)),INDEX($E$2273:$E$2325,MATCH(Paramètres!L25,Paramètres!$G$5:$G$57,0)))+IF(RIGHT(TRIM(Paramètres!M25),3)="Fin",1-$H2293,IF(LEFT(TRIM(Paramètres!M25),1)="F",1,0)))),IF(Paramètres!N25="",0,IF(Paramètres!O25="",NA(),IF(LEFT(TRIM(Paramètres!O25),1)="F",INDEX($F$2273:$F$2325,MATCH(Paramètres!N25,Paramètres!$G$5:$G$57,0)),INDEX($E$2273:$E$2325,MATCH(Paramètres!N25,Paramètres!$G$5:$G$57,0)))+IF(RIGHT(TRIM(Paramètres!O25),3)="Fin",1-$H2293,IF(LEFT(TRIM(Paramètres!O25),1)="F",1,0)))))))</f>
        <v/>
      </c>
      <c r="F2293" s="19">
        <f>IF($A2293="","",E2293+$H2293-1)</f>
        <v/>
      </c>
      <c r="G2293" s="18" t="n"/>
      <c r="H2293" s="18">
        <f>IF($A2293="","",IF(I2293&lt;&gt;"",I2293,Paramètres!B25))</f>
        <v/>
      </c>
      <c r="I2293" s="18" t="n"/>
    </row>
    <row r="2294">
      <c r="A2294" s="18">
        <f>IF(ISNUMBER(Dossiers!$D$46),Dossiers!$A$46&amp;" · "&amp;Dossiers!$B$46,"")</f>
        <v/>
      </c>
      <c r="B2294" s="18">
        <f>IF($A2294="","",Paramètres!G26)</f>
        <v/>
      </c>
      <c r="C2294" s="18">
        <f>IF($A2294="","",IF(Paramètres!H26="","",Paramètres!H26))</f>
        <v/>
      </c>
      <c r="D2294" s="18">
        <f>IF($A2294="","",IF(Paramètres!I26="","",Paramètres!I26))</f>
        <v/>
      </c>
      <c r="E2294" s="19">
        <f>IF($A2294="","",IF(Paramètres!J26&amp;Paramètres!L26&amp;Paramètres!N26="",Dossiers!$D$46,MAX(IF(Paramètres!J26="",0,IF(Paramètres!K26="",NA(),IF(LEFT(TRIM(Paramètres!K26),1)="F",INDEX($F$2273:$F$2325,MATCH(Paramètres!J26,Paramètres!$G$5:$G$57,0)),INDEX($E$2273:$E$2325,MATCH(Paramètres!J26,Paramètres!$G$5:$G$57,0)))+IF(RIGHT(TRIM(Paramètres!K26),3)="Fin",1-$H2294,IF(LEFT(TRIM(Paramètres!K26),1)="F",1,0)))),IF(Paramètres!L26="",0,IF(Paramètres!M26="",NA(),IF(LEFT(TRIM(Paramètres!M26),1)="F",INDEX($F$2273:$F$2325,MATCH(Paramètres!L26,Paramètres!$G$5:$G$57,0)),INDEX($E$2273:$E$2325,MATCH(Paramètres!L26,Paramètres!$G$5:$G$57,0)))+IF(RIGHT(TRIM(Paramètres!M26),3)="Fin",1-$H2294,IF(LEFT(TRIM(Paramètres!M26),1)="F",1,0)))),IF(Paramètres!N26="",0,IF(Paramètres!O26="",NA(),IF(LEFT(TRIM(Paramètres!O26),1)="F",INDEX($F$2273:$F$2325,MATCH(Paramètres!N26,Paramètres!$G$5:$G$57,0)),INDEX($E$2273:$E$2325,MATCH(Paramètres!N26,Paramètres!$G$5:$G$57,0)))+IF(RIGHT(TRIM(Paramètres!O26),3)="Fin",1-$H2294,IF(LEFT(TRIM(Paramètres!O26),1)="F",1,0)))))))</f>
        <v/>
      </c>
      <c r="F2294" s="19">
        <f>IF($A2294="","",E2294+$H2294-1)</f>
        <v/>
      </c>
      <c r="G2294" s="18" t="n"/>
      <c r="H2294" s="18">
        <f>IF($A2294="","",IF(I2294&lt;&gt;"",I2294,Paramètres!B26))</f>
        <v/>
      </c>
      <c r="I2294" s="18" t="n"/>
    </row>
    <row r="2295">
      <c r="A2295" s="18">
        <f>IF(ISNUMBER(Dossiers!$D$46),Dossiers!$A$46&amp;" · "&amp;Dossiers!$B$46,"")</f>
        <v/>
      </c>
      <c r="B2295" s="18">
        <f>IF($A2295="","",Paramètres!G27)</f>
        <v/>
      </c>
      <c r="C2295" s="18">
        <f>IF($A2295="","",IF(Paramètres!H27="","",Paramètres!H27))</f>
        <v/>
      </c>
      <c r="D2295" s="18">
        <f>IF($A2295="","",IF(Paramètres!I27="","",Paramètres!I27))</f>
        <v/>
      </c>
      <c r="E2295" s="19">
        <f>IF($A2295="","",IF(Paramètres!J27&amp;Paramètres!L27&amp;Paramètres!N27="",Dossiers!$D$46,MAX(IF(Paramètres!J27="",0,IF(Paramètres!K27="",NA(),IF(LEFT(TRIM(Paramètres!K27),1)="F",INDEX($F$2273:$F$2325,MATCH(Paramètres!J27,Paramètres!$G$5:$G$57,0)),INDEX($E$2273:$E$2325,MATCH(Paramètres!J27,Paramètres!$G$5:$G$57,0)))+IF(RIGHT(TRIM(Paramètres!K27),3)="Fin",1-$H2295,IF(LEFT(TRIM(Paramètres!K27),1)="F",1,0)))),IF(Paramètres!L27="",0,IF(Paramètres!M27="",NA(),IF(LEFT(TRIM(Paramètres!M27),1)="F",INDEX($F$2273:$F$2325,MATCH(Paramètres!L27,Paramètres!$G$5:$G$57,0)),INDEX($E$2273:$E$2325,MATCH(Paramètres!L27,Paramètres!$G$5:$G$57,0)))+IF(RIGHT(TRIM(Paramètres!M27),3)="Fin",1-$H2295,IF(LEFT(TRIM(Paramètres!M27),1)="F",1,0)))),IF(Paramètres!N27="",0,IF(Paramètres!O27="",NA(),IF(LEFT(TRIM(Paramètres!O27),1)="F",INDEX($F$2273:$F$2325,MATCH(Paramètres!N27,Paramètres!$G$5:$G$57,0)),INDEX($E$2273:$E$2325,MATCH(Paramètres!N27,Paramètres!$G$5:$G$57,0)))+IF(RIGHT(TRIM(Paramètres!O27),3)="Fin",1-$H2295,IF(LEFT(TRIM(Paramètres!O27),1)="F",1,0)))))))</f>
        <v/>
      </c>
      <c r="F2295" s="19">
        <f>IF($A2295="","",E2295+$H2295-1)</f>
        <v/>
      </c>
      <c r="G2295" s="18" t="n"/>
      <c r="H2295" s="18">
        <f>IF($A2295="","",IF(I2295&lt;&gt;"",I2295,Paramètres!B27))</f>
        <v/>
      </c>
      <c r="I2295" s="18" t="n"/>
    </row>
    <row r="2296">
      <c r="A2296" s="18">
        <f>IF(ISNUMBER(Dossiers!$D$46),Dossiers!$A$46&amp;" · "&amp;Dossiers!$B$46,"")</f>
        <v/>
      </c>
      <c r="B2296" s="18">
        <f>IF($A2296="","",Paramètres!G28)</f>
        <v/>
      </c>
      <c r="C2296" s="18">
        <f>IF($A2296="","",IF(Paramètres!H28="","",Paramètres!H28))</f>
        <v/>
      </c>
      <c r="D2296" s="18">
        <f>IF($A2296="","",IF(Paramètres!I28="","",Paramètres!I28))</f>
        <v/>
      </c>
      <c r="E2296" s="19">
        <f>IF($A2296="","",IF(Paramètres!J28&amp;Paramètres!L28&amp;Paramètres!N28="",Dossiers!$D$46,MAX(IF(Paramètres!J28="",0,IF(Paramètres!K28="",NA(),IF(LEFT(TRIM(Paramètres!K28),1)="F",INDEX($F$2273:$F$2325,MATCH(Paramètres!J28,Paramètres!$G$5:$G$57,0)),INDEX($E$2273:$E$2325,MATCH(Paramètres!J28,Paramètres!$G$5:$G$57,0)))+IF(RIGHT(TRIM(Paramètres!K28),3)="Fin",1-$H2296,IF(LEFT(TRIM(Paramètres!K28),1)="F",1,0)))),IF(Paramètres!L28="",0,IF(Paramètres!M28="",NA(),IF(LEFT(TRIM(Paramètres!M28),1)="F",INDEX($F$2273:$F$2325,MATCH(Paramètres!L28,Paramètres!$G$5:$G$57,0)),INDEX($E$2273:$E$2325,MATCH(Paramètres!L28,Paramètres!$G$5:$G$57,0)))+IF(RIGHT(TRIM(Paramètres!M28),3)="Fin",1-$H2296,IF(LEFT(TRIM(Paramètres!M28),1)="F",1,0)))),IF(Paramètres!N28="",0,IF(Paramètres!O28="",NA(),IF(LEFT(TRIM(Paramètres!O28),1)="F",INDEX($F$2273:$F$2325,MATCH(Paramètres!N28,Paramètres!$G$5:$G$57,0)),INDEX($E$2273:$E$2325,MATCH(Paramètres!N28,Paramètres!$G$5:$G$57,0)))+IF(RIGHT(TRIM(Paramètres!O28),3)="Fin",1-$H2296,IF(LEFT(TRIM(Paramètres!O28),1)="F",1,0)))))))</f>
        <v/>
      </c>
      <c r="F2296" s="19">
        <f>IF($A2296="","",E2296+$H2296-1)</f>
        <v/>
      </c>
      <c r="G2296" s="18" t="n"/>
      <c r="H2296" s="18">
        <f>IF($A2296="","",IF(I2296&lt;&gt;"",I2296,Paramètres!B28))</f>
        <v/>
      </c>
      <c r="I2296" s="18" t="n"/>
    </row>
    <row r="2297">
      <c r="A2297" s="18">
        <f>IF(ISNUMBER(Dossiers!$D$46),Dossiers!$A$46&amp;" · "&amp;Dossiers!$B$46,"")</f>
        <v/>
      </c>
      <c r="B2297" s="18">
        <f>IF($A2297="","",Paramètres!G29)</f>
        <v/>
      </c>
      <c r="C2297" s="18">
        <f>IF($A2297="","",IF(Paramètres!H29="","",Paramètres!H29))</f>
        <v/>
      </c>
      <c r="D2297" s="18">
        <f>IF($A2297="","",IF(Paramètres!I29="","",Paramètres!I29))</f>
        <v/>
      </c>
      <c r="E2297" s="19">
        <f>IF($A2297="","",IF(Paramètres!J29&amp;Paramètres!L29&amp;Paramètres!N29="",Dossiers!$D$46,MAX(IF(Paramètres!J29="",0,IF(Paramètres!K29="",NA(),IF(LEFT(TRIM(Paramètres!K29),1)="F",INDEX($F$2273:$F$2325,MATCH(Paramètres!J29,Paramètres!$G$5:$G$57,0)),INDEX($E$2273:$E$2325,MATCH(Paramètres!J29,Paramètres!$G$5:$G$57,0)))+IF(RIGHT(TRIM(Paramètres!K29),3)="Fin",1-$H2297,IF(LEFT(TRIM(Paramètres!K29),1)="F",1,0)))),IF(Paramètres!L29="",0,IF(Paramètres!M29="",NA(),IF(LEFT(TRIM(Paramètres!M29),1)="F",INDEX($F$2273:$F$2325,MATCH(Paramètres!L29,Paramètres!$G$5:$G$57,0)),INDEX($E$2273:$E$2325,MATCH(Paramètres!L29,Paramètres!$G$5:$G$57,0)))+IF(RIGHT(TRIM(Paramètres!M29),3)="Fin",1-$H2297,IF(LEFT(TRIM(Paramètres!M29),1)="F",1,0)))),IF(Paramètres!N29="",0,IF(Paramètres!O29="",NA(),IF(LEFT(TRIM(Paramètres!O29),1)="F",INDEX($F$2273:$F$2325,MATCH(Paramètres!N29,Paramètres!$G$5:$G$57,0)),INDEX($E$2273:$E$2325,MATCH(Paramètres!N29,Paramètres!$G$5:$G$57,0)))+IF(RIGHT(TRIM(Paramètres!O29),3)="Fin",1-$H2297,IF(LEFT(TRIM(Paramètres!O29),1)="F",1,0)))))))</f>
        <v/>
      </c>
      <c r="F2297" s="19">
        <f>IF($A2297="","",E2297+$H2297-1)</f>
        <v/>
      </c>
      <c r="G2297" s="18" t="n"/>
      <c r="H2297" s="18">
        <f>IF($A2297="","",IF(I2297&lt;&gt;"",I2297,Paramètres!B29))</f>
        <v/>
      </c>
      <c r="I2297" s="18" t="n"/>
    </row>
    <row r="2298">
      <c r="A2298" s="18">
        <f>IF(ISNUMBER(Dossiers!$D$46),Dossiers!$A$46&amp;" · "&amp;Dossiers!$B$46,"")</f>
        <v/>
      </c>
      <c r="B2298" s="18">
        <f>IF($A2298="","",Paramètres!G30)</f>
        <v/>
      </c>
      <c r="C2298" s="18">
        <f>IF($A2298="","",IF(Paramètres!H30="","",Paramètres!H30))</f>
        <v/>
      </c>
      <c r="D2298" s="18">
        <f>IF($A2298="","",IF(Paramètres!I30="","",Paramètres!I30))</f>
        <v/>
      </c>
      <c r="E2298" s="19">
        <f>IF($A2298="","",IF(Paramètres!J30&amp;Paramètres!L30&amp;Paramètres!N30="",Dossiers!$D$46,MAX(IF(Paramètres!J30="",0,IF(Paramètres!K30="",NA(),IF(LEFT(TRIM(Paramètres!K30),1)="F",INDEX($F$2273:$F$2325,MATCH(Paramètres!J30,Paramètres!$G$5:$G$57,0)),INDEX($E$2273:$E$2325,MATCH(Paramètres!J30,Paramètres!$G$5:$G$57,0)))+IF(RIGHT(TRIM(Paramètres!K30),3)="Fin",1-$H2298,IF(LEFT(TRIM(Paramètres!K30),1)="F",1,0)))),IF(Paramètres!L30="",0,IF(Paramètres!M30="",NA(),IF(LEFT(TRIM(Paramètres!M30),1)="F",INDEX($F$2273:$F$2325,MATCH(Paramètres!L30,Paramètres!$G$5:$G$57,0)),INDEX($E$2273:$E$2325,MATCH(Paramètres!L30,Paramètres!$G$5:$G$57,0)))+IF(RIGHT(TRIM(Paramètres!M30),3)="Fin",1-$H2298,IF(LEFT(TRIM(Paramètres!M30),1)="F",1,0)))),IF(Paramètres!N30="",0,IF(Paramètres!O30="",NA(),IF(LEFT(TRIM(Paramètres!O30),1)="F",INDEX($F$2273:$F$2325,MATCH(Paramètres!N30,Paramètres!$G$5:$G$57,0)),INDEX($E$2273:$E$2325,MATCH(Paramètres!N30,Paramètres!$G$5:$G$57,0)))+IF(RIGHT(TRIM(Paramètres!O30),3)="Fin",1-$H2298,IF(LEFT(TRIM(Paramètres!O30),1)="F",1,0)))))))</f>
        <v/>
      </c>
      <c r="F2298" s="19">
        <f>IF($A2298="","",E2298+$H2298-1)</f>
        <v/>
      </c>
      <c r="G2298" s="18" t="n"/>
      <c r="H2298" s="18">
        <f>IF($A2298="","",IF(I2298&lt;&gt;"",I2298,Paramètres!B30))</f>
        <v/>
      </c>
      <c r="I2298" s="18" t="n"/>
    </row>
    <row r="2299">
      <c r="A2299" s="18">
        <f>IF(ISNUMBER(Dossiers!$D$46),Dossiers!$A$46&amp;" · "&amp;Dossiers!$B$46,"")</f>
        <v/>
      </c>
      <c r="B2299" s="18">
        <f>IF($A2299="","",Paramètres!G31)</f>
        <v/>
      </c>
      <c r="C2299" s="20">
        <f>IF($A2299="","",IF(Dossiers!$F$46="","",Dossiers!$F$46))</f>
        <v/>
      </c>
      <c r="D2299" s="18">
        <f>IF($A2299="","",IF(Paramètres!I31="","",Paramètres!I31))</f>
        <v/>
      </c>
      <c r="E2299" s="19">
        <f>IF($A2299="","",IF(Paramètres!J31&amp;Paramètres!L31&amp;Paramètres!N31="",Dossiers!$D$46,MAX(IF(Paramètres!J31="",0,IF(Paramètres!K31="",NA(),IF(LEFT(TRIM(Paramètres!K31),1)="F",INDEX($F$2273:$F$2325,MATCH(Paramètres!J31,Paramètres!$G$5:$G$57,0)),INDEX($E$2273:$E$2325,MATCH(Paramètres!J31,Paramètres!$G$5:$G$57,0)))+IF(RIGHT(TRIM(Paramètres!K31),3)="Fin",1-$H2299,IF(LEFT(TRIM(Paramètres!K31),1)="F",1,0)))),IF(Paramètres!L31="",0,IF(Paramètres!M31="",NA(),IF(LEFT(TRIM(Paramètres!M31),1)="F",INDEX($F$2273:$F$2325,MATCH(Paramètres!L31,Paramètres!$G$5:$G$57,0)),INDEX($E$2273:$E$2325,MATCH(Paramètres!L31,Paramètres!$G$5:$G$57,0)))+IF(RIGHT(TRIM(Paramètres!M31),3)="Fin",1-$H2299,IF(LEFT(TRIM(Paramètres!M31),1)="F",1,0)))),IF(Paramètres!N31="",0,IF(Paramètres!O31="",NA(),IF(LEFT(TRIM(Paramètres!O31),1)="F",INDEX($F$2273:$F$2325,MATCH(Paramètres!N31,Paramètres!$G$5:$G$57,0)),INDEX($E$2273:$E$2325,MATCH(Paramètres!N31,Paramètres!$G$5:$G$57,0)))+IF(RIGHT(TRIM(Paramètres!O31),3)="Fin",1-$H2299,IF(LEFT(TRIM(Paramètres!O31),1)="F",1,0)))))))</f>
        <v/>
      </c>
      <c r="F2299" s="19">
        <f>IF($A2299="","",E2299+$H2299-1)</f>
        <v/>
      </c>
      <c r="G2299" s="18" t="n"/>
      <c r="H2299" s="18">
        <f>IF($A2299="","",IF(I2299&lt;&gt;"",I2299,Paramètres!B31))</f>
        <v/>
      </c>
      <c r="I2299" s="18" t="n"/>
    </row>
    <row r="2300">
      <c r="A2300" s="18">
        <f>IF(ISNUMBER(Dossiers!$D$46),Dossiers!$A$46&amp;" · "&amp;Dossiers!$B$46,"")</f>
        <v/>
      </c>
      <c r="B2300" s="18">
        <f>IF($A2300="","",Paramètres!G32)</f>
        <v/>
      </c>
      <c r="C2300" s="18">
        <f>IF($A2300="","",IF(Paramètres!H32="","",Paramètres!H32))</f>
        <v/>
      </c>
      <c r="D2300" s="18">
        <f>IF($A2300="","",IF(Paramètres!I32="","",Paramètres!I32))</f>
        <v/>
      </c>
      <c r="E2300" s="19">
        <f>IF($A2300="","",MIN(E2301:E2304))</f>
        <v/>
      </c>
      <c r="F2300" s="19">
        <f>IF($A2300="","",MAX(F2301:F2304))</f>
        <v/>
      </c>
      <c r="G2300" s="18" t="n"/>
      <c r="H2300" s="18">
        <f>IF($A2300="","",F2300-E2300+1)</f>
        <v/>
      </c>
      <c r="I2300" s="18" t="n"/>
    </row>
    <row r="2301">
      <c r="A2301" s="18">
        <f>IF(ISNUMBER(Dossiers!$D$46),Dossiers!$A$46&amp;" · "&amp;Dossiers!$B$46,"")</f>
        <v/>
      </c>
      <c r="B2301" s="18">
        <f>IF($A2301="","",Paramètres!G33)</f>
        <v/>
      </c>
      <c r="C2301" s="18">
        <f>IF($A2301="","",IF(Paramètres!H33="","",Paramètres!H33))</f>
        <v/>
      </c>
      <c r="D2301" s="18">
        <f>IF($A2301="","",IF(Paramètres!I33="","",Paramètres!I33))</f>
        <v/>
      </c>
      <c r="E2301" s="19">
        <f>IF($A2301="","",IF(Paramètres!J33&amp;Paramètres!L33&amp;Paramètres!N33="",Dossiers!$D$46,MAX(IF(Paramètres!J33="",0,IF(Paramètres!K33="",NA(),IF(LEFT(TRIM(Paramètres!K33),1)="F",INDEX($F$2273:$F$2325,MATCH(Paramètres!J33,Paramètres!$G$5:$G$57,0)),INDEX($E$2273:$E$2325,MATCH(Paramètres!J33,Paramètres!$G$5:$G$57,0)))+IF(RIGHT(TRIM(Paramètres!K33),3)="Fin",1-$H2301,IF(LEFT(TRIM(Paramètres!K33),1)="F",1,0)))),IF(Paramètres!L33="",0,IF(Paramètres!M33="",NA(),IF(LEFT(TRIM(Paramètres!M33),1)="F",INDEX($F$2273:$F$2325,MATCH(Paramètres!L33,Paramètres!$G$5:$G$57,0)),INDEX($E$2273:$E$2325,MATCH(Paramètres!L33,Paramètres!$G$5:$G$57,0)))+IF(RIGHT(TRIM(Paramètres!M33),3)="Fin",1-$H2301,IF(LEFT(TRIM(Paramètres!M33),1)="F",1,0)))),IF(Paramètres!N33="",0,IF(Paramètres!O33="",NA(),IF(LEFT(TRIM(Paramètres!O33),1)="F",INDEX($F$2273:$F$2325,MATCH(Paramètres!N33,Paramètres!$G$5:$G$57,0)),INDEX($E$2273:$E$2325,MATCH(Paramètres!N33,Paramètres!$G$5:$G$57,0)))+IF(RIGHT(TRIM(Paramètres!O33),3)="Fin",1-$H2301,IF(LEFT(TRIM(Paramètres!O33),1)="F",1,0)))))))</f>
        <v/>
      </c>
      <c r="F2301" s="19">
        <f>IF($A2301="","",E2301+$H2301-1)</f>
        <v/>
      </c>
      <c r="G2301" s="18" t="n"/>
      <c r="H2301" s="18">
        <f>IF($A2301="","",IF(I2301&lt;&gt;"",I2301,Paramètres!B33))</f>
        <v/>
      </c>
      <c r="I2301" s="18" t="n"/>
    </row>
    <row r="2302">
      <c r="A2302" s="18">
        <f>IF(ISNUMBER(Dossiers!$D$46),Dossiers!$A$46&amp;" · "&amp;Dossiers!$B$46,"")</f>
        <v/>
      </c>
      <c r="B2302" s="18">
        <f>IF($A2302="","",Paramètres!G34)</f>
        <v/>
      </c>
      <c r="C2302" s="18">
        <f>IF($A2302="","",IF(Paramètres!H34="","",Paramètres!H34))</f>
        <v/>
      </c>
      <c r="D2302" s="18">
        <f>IF($A2302="","",IF(Paramètres!I34="","",Paramètres!I34))</f>
        <v/>
      </c>
      <c r="E2302" s="19">
        <f>IF($A2302="","",IF(Paramètres!J34&amp;Paramètres!L34&amp;Paramètres!N34="",Dossiers!$D$46,MAX(IF(Paramètres!J34="",0,IF(Paramètres!K34="",NA(),IF(LEFT(TRIM(Paramètres!K34),1)="F",INDEX($F$2273:$F$2325,MATCH(Paramètres!J34,Paramètres!$G$5:$G$57,0)),INDEX($E$2273:$E$2325,MATCH(Paramètres!J34,Paramètres!$G$5:$G$57,0)))+IF(RIGHT(TRIM(Paramètres!K34),3)="Fin",1-$H2302,IF(LEFT(TRIM(Paramètres!K34),1)="F",1,0)))),IF(Paramètres!L34="",0,IF(Paramètres!M34="",NA(),IF(LEFT(TRIM(Paramètres!M34),1)="F",INDEX($F$2273:$F$2325,MATCH(Paramètres!L34,Paramètres!$G$5:$G$57,0)),INDEX($E$2273:$E$2325,MATCH(Paramètres!L34,Paramètres!$G$5:$G$57,0)))+IF(RIGHT(TRIM(Paramètres!M34),3)="Fin",1-$H2302,IF(LEFT(TRIM(Paramètres!M34),1)="F",1,0)))),IF(Paramètres!N34="",0,IF(Paramètres!O34="",NA(),IF(LEFT(TRIM(Paramètres!O34),1)="F",INDEX($F$2273:$F$2325,MATCH(Paramètres!N34,Paramètres!$G$5:$G$57,0)),INDEX($E$2273:$E$2325,MATCH(Paramètres!N34,Paramètres!$G$5:$G$57,0)))+IF(RIGHT(TRIM(Paramètres!O34),3)="Fin",1-$H2302,IF(LEFT(TRIM(Paramètres!O34),1)="F",1,0)))))))</f>
        <v/>
      </c>
      <c r="F2302" s="19">
        <f>IF($A2302="","",E2302+$H2302-1)</f>
        <v/>
      </c>
      <c r="G2302" s="18" t="n"/>
      <c r="H2302" s="18">
        <f>IF($A2302="","",IF(I2302&lt;&gt;"",I2302,Paramètres!B34))</f>
        <v/>
      </c>
      <c r="I2302" s="18" t="n"/>
    </row>
    <row r="2303">
      <c r="A2303" s="18">
        <f>IF(ISNUMBER(Dossiers!$D$46),Dossiers!$A$46&amp;" · "&amp;Dossiers!$B$46,"")</f>
        <v/>
      </c>
      <c r="B2303" s="18">
        <f>IF($A2303="","",Paramètres!G35)</f>
        <v/>
      </c>
      <c r="C2303" s="18">
        <f>IF($A2303="","",IF(Paramètres!H35="","",Paramètres!H35))</f>
        <v/>
      </c>
      <c r="D2303" s="18">
        <f>IF($A2303="","",IF(Paramètres!I35="","",Paramètres!I35))</f>
        <v/>
      </c>
      <c r="E2303" s="19">
        <f>IF($A2303="","",IF(Paramètres!J35&amp;Paramètres!L35&amp;Paramètres!N35="",Dossiers!$D$46,MAX(IF(Paramètres!J35="",0,IF(Paramètres!K35="",NA(),IF(LEFT(TRIM(Paramètres!K35),1)="F",INDEX($F$2273:$F$2325,MATCH(Paramètres!J35,Paramètres!$G$5:$G$57,0)),INDEX($E$2273:$E$2325,MATCH(Paramètres!J35,Paramètres!$G$5:$G$57,0)))+IF(RIGHT(TRIM(Paramètres!K35),3)="Fin",1-$H2303,IF(LEFT(TRIM(Paramètres!K35),1)="F",1,0)))),IF(Paramètres!L35="",0,IF(Paramètres!M35="",NA(),IF(LEFT(TRIM(Paramètres!M35),1)="F",INDEX($F$2273:$F$2325,MATCH(Paramètres!L35,Paramètres!$G$5:$G$57,0)),INDEX($E$2273:$E$2325,MATCH(Paramètres!L35,Paramètres!$G$5:$G$57,0)))+IF(RIGHT(TRIM(Paramètres!M35),3)="Fin",1-$H2303,IF(LEFT(TRIM(Paramètres!M35),1)="F",1,0)))),IF(Paramètres!N35="",0,IF(Paramètres!O35="",NA(),IF(LEFT(TRIM(Paramètres!O35),1)="F",INDEX($F$2273:$F$2325,MATCH(Paramètres!N35,Paramètres!$G$5:$G$57,0)),INDEX($E$2273:$E$2325,MATCH(Paramètres!N35,Paramètres!$G$5:$G$57,0)))+IF(RIGHT(TRIM(Paramètres!O35),3)="Fin",1-$H2303,IF(LEFT(TRIM(Paramètres!O35),1)="F",1,0)))))))</f>
        <v/>
      </c>
      <c r="F2303" s="19">
        <f>IF($A2303="","",E2303+$H2303-1)</f>
        <v/>
      </c>
      <c r="G2303" s="18" t="n"/>
      <c r="H2303" s="18">
        <f>IF($A2303="","",IF(I2303&lt;&gt;"",I2303,Paramètres!B35))</f>
        <v/>
      </c>
      <c r="I2303" s="18" t="n"/>
    </row>
    <row r="2304">
      <c r="A2304" s="18">
        <f>IF(ISNUMBER(Dossiers!$D$46),Dossiers!$A$46&amp;" · "&amp;Dossiers!$B$46,"")</f>
        <v/>
      </c>
      <c r="B2304" s="18">
        <f>IF($A2304="","",Paramètres!G36)</f>
        <v/>
      </c>
      <c r="C2304" s="18">
        <f>IF($A2304="","",IF(Paramètres!H36="","",Paramètres!H36))</f>
        <v/>
      </c>
      <c r="D2304" s="18">
        <f>IF($A2304="","",IF(Paramètres!I36="","",Paramètres!I36))</f>
        <v/>
      </c>
      <c r="E2304" s="19">
        <f>IF($A2304="","",IF(Paramètres!J36&amp;Paramètres!L36&amp;Paramètres!N36="",Dossiers!$D$46,MAX(IF(Paramètres!J36="",0,IF(Paramètres!K36="",NA(),IF(LEFT(TRIM(Paramètres!K36),1)="F",INDEX($F$2273:$F$2325,MATCH(Paramètres!J36,Paramètres!$G$5:$G$57,0)),INDEX($E$2273:$E$2325,MATCH(Paramètres!J36,Paramètres!$G$5:$G$57,0)))+IF(RIGHT(TRIM(Paramètres!K36),3)="Fin",1-$H2304,IF(LEFT(TRIM(Paramètres!K36),1)="F",1,0)))),IF(Paramètres!L36="",0,IF(Paramètres!M36="",NA(),IF(LEFT(TRIM(Paramètres!M36),1)="F",INDEX($F$2273:$F$2325,MATCH(Paramètres!L36,Paramètres!$G$5:$G$57,0)),INDEX($E$2273:$E$2325,MATCH(Paramètres!L36,Paramètres!$G$5:$G$57,0)))+IF(RIGHT(TRIM(Paramètres!M36),3)="Fin",1-$H2304,IF(LEFT(TRIM(Paramètres!M36),1)="F",1,0)))),IF(Paramètres!N36="",0,IF(Paramètres!O36="",NA(),IF(LEFT(TRIM(Paramètres!O36),1)="F",INDEX($F$2273:$F$2325,MATCH(Paramètres!N36,Paramètres!$G$5:$G$57,0)),INDEX($E$2273:$E$2325,MATCH(Paramètres!N36,Paramètres!$G$5:$G$57,0)))+IF(RIGHT(TRIM(Paramètres!O36),3)="Fin",1-$H2304,IF(LEFT(TRIM(Paramètres!O36),1)="F",1,0)))))))</f>
        <v/>
      </c>
      <c r="F2304" s="19">
        <f>IF($A2304="","",E2304+$H2304-1)</f>
        <v/>
      </c>
      <c r="G2304" s="18" t="n"/>
      <c r="H2304" s="18">
        <f>IF($A2304="","",IF(I2304&lt;&gt;"",I2304,Paramètres!B36))</f>
        <v/>
      </c>
      <c r="I2304" s="18" t="n"/>
    </row>
    <row r="2305">
      <c r="A2305" s="18">
        <f>IF(ISNUMBER(Dossiers!$D$46),Dossiers!$A$46&amp;" · "&amp;Dossiers!$B$46,"")</f>
        <v/>
      </c>
      <c r="B2305" s="18">
        <f>IF($A2305="","",Paramètres!G37)</f>
        <v/>
      </c>
      <c r="C2305" s="18">
        <f>IF($A2305="","",IF(Paramètres!H37="","",Paramètres!H37))</f>
        <v/>
      </c>
      <c r="D2305" s="18">
        <f>IF($A2305="","",IF(Paramètres!I37="","",Paramètres!I37))</f>
        <v/>
      </c>
      <c r="E2305" s="19">
        <f>IF($A2305="","",MIN(E2306:E2323))</f>
        <v/>
      </c>
      <c r="F2305" s="19">
        <f>IF($A2305="","",MAX(F2306:F2323))</f>
        <v/>
      </c>
      <c r="G2305" s="18" t="n"/>
      <c r="H2305" s="18">
        <f>IF($A2305="","",F2305-E2305+1)</f>
        <v/>
      </c>
      <c r="I2305" s="18" t="n"/>
    </row>
    <row r="2306">
      <c r="A2306" s="18">
        <f>IF(ISNUMBER(Dossiers!$D$46),Dossiers!$A$46&amp;" · "&amp;Dossiers!$B$46,"")</f>
        <v/>
      </c>
      <c r="B2306" s="18">
        <f>IF($A2306="","",Paramètres!G38)</f>
        <v/>
      </c>
      <c r="C2306" s="18">
        <f>IF($A2306="","",IF(Paramètres!H38="","",Paramètres!H38))</f>
        <v/>
      </c>
      <c r="D2306" s="18">
        <f>IF($A2306="","",IF(Paramètres!I38="","",Paramètres!I38))</f>
        <v/>
      </c>
      <c r="E2306" s="19">
        <f>IF($A2306="","",IF(Paramètres!J38&amp;Paramètres!L38&amp;Paramètres!N38="",Dossiers!$D$46,MAX(IF(Paramètres!J38="",0,IF(Paramètres!K38="",NA(),IF(LEFT(TRIM(Paramètres!K38),1)="F",INDEX($F$2273:$F$2325,MATCH(Paramètres!J38,Paramètres!$G$5:$G$57,0)),INDEX($E$2273:$E$2325,MATCH(Paramètres!J38,Paramètres!$G$5:$G$57,0)))+IF(RIGHT(TRIM(Paramètres!K38),3)="Fin",1-$H2306,IF(LEFT(TRIM(Paramètres!K38),1)="F",1,0)))),IF(Paramètres!L38="",0,IF(Paramètres!M38="",NA(),IF(LEFT(TRIM(Paramètres!M38),1)="F",INDEX($F$2273:$F$2325,MATCH(Paramètres!L38,Paramètres!$G$5:$G$57,0)),INDEX($E$2273:$E$2325,MATCH(Paramètres!L38,Paramètres!$G$5:$G$57,0)))+IF(RIGHT(TRIM(Paramètres!M38),3)="Fin",1-$H2306,IF(LEFT(TRIM(Paramètres!M38),1)="F",1,0)))),IF(Paramètres!N38="",0,IF(Paramètres!O38="",NA(),IF(LEFT(TRIM(Paramètres!O38),1)="F",INDEX($F$2273:$F$2325,MATCH(Paramètres!N38,Paramètres!$G$5:$G$57,0)),INDEX($E$2273:$E$2325,MATCH(Paramètres!N38,Paramètres!$G$5:$G$57,0)))+IF(RIGHT(TRIM(Paramètres!O38),3)="Fin",1-$H2306,IF(LEFT(TRIM(Paramètres!O38),1)="F",1,0)))))))</f>
        <v/>
      </c>
      <c r="F2306" s="19">
        <f>IF($A2306="","",E2306+$H2306-1)</f>
        <v/>
      </c>
      <c r="G2306" s="18" t="n"/>
      <c r="H2306" s="18">
        <f>IF($A2306="","",IF(I2306&lt;&gt;"",I2306,Paramètres!B38))</f>
        <v/>
      </c>
      <c r="I2306" s="18" t="n"/>
    </row>
    <row r="2307">
      <c r="A2307" s="18">
        <f>IF(ISNUMBER(Dossiers!$D$46),Dossiers!$A$46&amp;" · "&amp;Dossiers!$B$46,"")</f>
        <v/>
      </c>
      <c r="B2307" s="18">
        <f>IF($A2307="","",Paramètres!G39)</f>
        <v/>
      </c>
      <c r="C2307" s="18">
        <f>IF($A2307="","",IF(Paramètres!H39="","",Paramètres!H39))</f>
        <v/>
      </c>
      <c r="D2307" s="18">
        <f>IF($A2307="","",IF(Paramètres!I39="","",Paramètres!I39))</f>
        <v/>
      </c>
      <c r="E2307" s="19">
        <f>IF($A2307="","",IF(Paramètres!J39&amp;Paramètres!L39&amp;Paramètres!N39="",Dossiers!$D$46,MAX(IF(Paramètres!J39="",0,IF(Paramètres!K39="",NA(),IF(LEFT(TRIM(Paramètres!K39),1)="F",INDEX($F$2273:$F$2325,MATCH(Paramètres!J39,Paramètres!$G$5:$G$57,0)),INDEX($E$2273:$E$2325,MATCH(Paramètres!J39,Paramètres!$G$5:$G$57,0)))+IF(RIGHT(TRIM(Paramètres!K39),3)="Fin",1-$H2307,IF(LEFT(TRIM(Paramètres!K39),1)="F",1,0)))),IF(Paramètres!L39="",0,IF(Paramètres!M39="",NA(),IF(LEFT(TRIM(Paramètres!M39),1)="F",INDEX($F$2273:$F$2325,MATCH(Paramètres!L39,Paramètres!$G$5:$G$57,0)),INDEX($E$2273:$E$2325,MATCH(Paramètres!L39,Paramètres!$G$5:$G$57,0)))+IF(RIGHT(TRIM(Paramètres!M39),3)="Fin",1-$H2307,IF(LEFT(TRIM(Paramètres!M39),1)="F",1,0)))),IF(Paramètres!N39="",0,IF(Paramètres!O39="",NA(),IF(LEFT(TRIM(Paramètres!O39),1)="F",INDEX($F$2273:$F$2325,MATCH(Paramètres!N39,Paramètres!$G$5:$G$57,0)),INDEX($E$2273:$E$2325,MATCH(Paramètres!N39,Paramètres!$G$5:$G$57,0)))+IF(RIGHT(TRIM(Paramètres!O39),3)="Fin",1-$H2307,IF(LEFT(TRIM(Paramètres!O39),1)="F",1,0)))))))</f>
        <v/>
      </c>
      <c r="F2307" s="19">
        <f>IF($A2307="","",E2307+$H2307-1)</f>
        <v/>
      </c>
      <c r="G2307" s="18" t="n"/>
      <c r="H2307" s="18">
        <f>IF($A2307="","",IF(I2307&lt;&gt;"",I2307,Paramètres!B39))</f>
        <v/>
      </c>
      <c r="I2307" s="18" t="n"/>
    </row>
    <row r="2308">
      <c r="A2308" s="18">
        <f>IF(ISNUMBER(Dossiers!$D$46),Dossiers!$A$46&amp;" · "&amp;Dossiers!$B$46,"")</f>
        <v/>
      </c>
      <c r="B2308" s="18">
        <f>IF($A2308="","",Paramètres!G40)</f>
        <v/>
      </c>
      <c r="C2308" s="18">
        <f>IF($A2308="","",IF(Paramètres!H40="","",Paramètres!H40))</f>
        <v/>
      </c>
      <c r="D2308" s="18">
        <f>IF($A2308="","",IF(Paramètres!I40="","",Paramètres!I40))</f>
        <v/>
      </c>
      <c r="E2308" s="19">
        <f>IF($A2308="","",IF(Paramètres!J40&amp;Paramètres!L40&amp;Paramètres!N40="",Dossiers!$D$46,MAX(IF(Paramètres!J40="",0,IF(Paramètres!K40="",NA(),IF(LEFT(TRIM(Paramètres!K40),1)="F",INDEX($F$2273:$F$2325,MATCH(Paramètres!J40,Paramètres!$G$5:$G$57,0)),INDEX($E$2273:$E$2325,MATCH(Paramètres!J40,Paramètres!$G$5:$G$57,0)))+IF(RIGHT(TRIM(Paramètres!K40),3)="Fin",1-$H2308,IF(LEFT(TRIM(Paramètres!K40),1)="F",1,0)))),IF(Paramètres!L40="",0,IF(Paramètres!M40="",NA(),IF(LEFT(TRIM(Paramètres!M40),1)="F",INDEX($F$2273:$F$2325,MATCH(Paramètres!L40,Paramètres!$G$5:$G$57,0)),INDEX($E$2273:$E$2325,MATCH(Paramètres!L40,Paramètres!$G$5:$G$57,0)))+IF(RIGHT(TRIM(Paramètres!M40),3)="Fin",1-$H2308,IF(LEFT(TRIM(Paramètres!M40),1)="F",1,0)))),IF(Paramètres!N40="",0,IF(Paramètres!O40="",NA(),IF(LEFT(TRIM(Paramètres!O40),1)="F",INDEX($F$2273:$F$2325,MATCH(Paramètres!N40,Paramètres!$G$5:$G$57,0)),INDEX($E$2273:$E$2325,MATCH(Paramètres!N40,Paramètres!$G$5:$G$57,0)))+IF(RIGHT(TRIM(Paramètres!O40),3)="Fin",1-$H2308,IF(LEFT(TRIM(Paramètres!O40),1)="F",1,0)))))))</f>
        <v/>
      </c>
      <c r="F2308" s="19">
        <f>IF($A2308="","",E2308+$H2308-1)</f>
        <v/>
      </c>
      <c r="G2308" s="18" t="n"/>
      <c r="H2308" s="18">
        <f>IF($A2308="","",IF(I2308&lt;&gt;"",I2308,Paramètres!B40))</f>
        <v/>
      </c>
      <c r="I2308" s="18" t="n"/>
    </row>
    <row r="2309">
      <c r="A2309" s="18">
        <f>IF(ISNUMBER(Dossiers!$D$46),Dossiers!$A$46&amp;" · "&amp;Dossiers!$B$46,"")</f>
        <v/>
      </c>
      <c r="B2309" s="18">
        <f>IF($A2309="","",Paramètres!G41)</f>
        <v/>
      </c>
      <c r="C2309" s="18">
        <f>IF($A2309="","",IF(Paramètres!H41="","",Paramètres!H41))</f>
        <v/>
      </c>
      <c r="D2309" s="18">
        <f>IF($A2309="","",IF(Paramètres!I41="","",Paramètres!I41))</f>
        <v/>
      </c>
      <c r="E2309" s="19">
        <f>IF($A2309="","",IF(Paramètres!J41&amp;Paramètres!L41&amp;Paramètres!N41="",Dossiers!$D$46,MAX(IF(Paramètres!J41="",0,IF(Paramètres!K41="",NA(),IF(LEFT(TRIM(Paramètres!K41),1)="F",INDEX($F$2273:$F$2325,MATCH(Paramètres!J41,Paramètres!$G$5:$G$57,0)),INDEX($E$2273:$E$2325,MATCH(Paramètres!J41,Paramètres!$G$5:$G$57,0)))+IF(RIGHT(TRIM(Paramètres!K41),3)="Fin",1-$H2309,IF(LEFT(TRIM(Paramètres!K41),1)="F",1,0)))),IF(Paramètres!L41="",0,IF(Paramètres!M41="",NA(),IF(LEFT(TRIM(Paramètres!M41),1)="F",INDEX($F$2273:$F$2325,MATCH(Paramètres!L41,Paramètres!$G$5:$G$57,0)),INDEX($E$2273:$E$2325,MATCH(Paramètres!L41,Paramètres!$G$5:$G$57,0)))+IF(RIGHT(TRIM(Paramètres!M41),3)="Fin",1-$H2309,IF(LEFT(TRIM(Paramètres!M41),1)="F",1,0)))),IF(Paramètres!N41="",0,IF(Paramètres!O41="",NA(),IF(LEFT(TRIM(Paramètres!O41),1)="F",INDEX($F$2273:$F$2325,MATCH(Paramètres!N41,Paramètres!$G$5:$G$57,0)),INDEX($E$2273:$E$2325,MATCH(Paramètres!N41,Paramètres!$G$5:$G$57,0)))+IF(RIGHT(TRIM(Paramètres!O41),3)="Fin",1-$H2309,IF(LEFT(TRIM(Paramètres!O41),1)="F",1,0)))))))</f>
        <v/>
      </c>
      <c r="F2309" s="19">
        <f>IF($A2309="","",E2309+$H2309-1)</f>
        <v/>
      </c>
      <c r="G2309" s="18" t="n"/>
      <c r="H2309" s="18">
        <f>IF($A2309="","",IF(I2309&lt;&gt;"",I2309,Paramètres!B41))</f>
        <v/>
      </c>
      <c r="I2309" s="18" t="n"/>
    </row>
    <row r="2310">
      <c r="A2310" s="18">
        <f>IF(ISNUMBER(Dossiers!$D$46),Dossiers!$A$46&amp;" · "&amp;Dossiers!$B$46,"")</f>
        <v/>
      </c>
      <c r="B2310" s="18">
        <f>IF($A2310="","",Paramètres!G42)</f>
        <v/>
      </c>
      <c r="C2310" s="18">
        <f>IF($A2310="","",IF(Paramètres!H42="","",Paramètres!H42))</f>
        <v/>
      </c>
      <c r="D2310" s="18">
        <f>IF($A2310="","",IF(Paramètres!I42="","",Paramètres!I42))</f>
        <v/>
      </c>
      <c r="E2310" s="19">
        <f>IF($A2310="","",IF(Paramètres!J42&amp;Paramètres!L42&amp;Paramètres!N42="",Dossiers!$D$46,MAX(IF(Paramètres!J42="",0,IF(Paramètres!K42="",NA(),IF(LEFT(TRIM(Paramètres!K42),1)="F",INDEX($F$2273:$F$2325,MATCH(Paramètres!J42,Paramètres!$G$5:$G$57,0)),INDEX($E$2273:$E$2325,MATCH(Paramètres!J42,Paramètres!$G$5:$G$57,0)))+IF(RIGHT(TRIM(Paramètres!K42),3)="Fin",1-$H2310,IF(LEFT(TRIM(Paramètres!K42),1)="F",1,0)))),IF(Paramètres!L42="",0,IF(Paramètres!M42="",NA(),IF(LEFT(TRIM(Paramètres!M42),1)="F",INDEX($F$2273:$F$2325,MATCH(Paramètres!L42,Paramètres!$G$5:$G$57,0)),INDEX($E$2273:$E$2325,MATCH(Paramètres!L42,Paramètres!$G$5:$G$57,0)))+IF(RIGHT(TRIM(Paramètres!M42),3)="Fin",1-$H2310,IF(LEFT(TRIM(Paramètres!M42),1)="F",1,0)))),IF(Paramètres!N42="",0,IF(Paramètres!O42="",NA(),IF(LEFT(TRIM(Paramètres!O42),1)="F",INDEX($F$2273:$F$2325,MATCH(Paramètres!N42,Paramètres!$G$5:$G$57,0)),INDEX($E$2273:$E$2325,MATCH(Paramètres!N42,Paramètres!$G$5:$G$57,0)))+IF(RIGHT(TRIM(Paramètres!O42),3)="Fin",1-$H2310,IF(LEFT(TRIM(Paramètres!O42),1)="F",1,0)))))))</f>
        <v/>
      </c>
      <c r="F2310" s="19">
        <f>IF($A2310="","",E2310+$H2310-1)</f>
        <v/>
      </c>
      <c r="G2310" s="18" t="n"/>
      <c r="H2310" s="18">
        <f>IF($A2310="","",IF(I2310&lt;&gt;"",I2310,Paramètres!B42))</f>
        <v/>
      </c>
      <c r="I2310" s="18" t="n"/>
    </row>
    <row r="2311">
      <c r="A2311" s="18">
        <f>IF(ISNUMBER(Dossiers!$D$46),Dossiers!$A$46&amp;" · "&amp;Dossiers!$B$46,"")</f>
        <v/>
      </c>
      <c r="B2311" s="18">
        <f>IF($A2311="","",Paramètres!G43)</f>
        <v/>
      </c>
      <c r="C2311" s="18">
        <f>IF($A2311="","",IF(Paramètres!H43="","",Paramètres!H43))</f>
        <v/>
      </c>
      <c r="D2311" s="18">
        <f>IF($A2311="","",IF(Paramètres!I43="","",Paramètres!I43))</f>
        <v/>
      </c>
      <c r="E2311" s="19">
        <f>IF($A2311="","",IF(Paramètres!J43&amp;Paramètres!L43&amp;Paramètres!N43="",Dossiers!$D$46,MAX(IF(Paramètres!J43="",0,IF(Paramètres!K43="",NA(),IF(LEFT(TRIM(Paramètres!K43),1)="F",INDEX($F$2273:$F$2325,MATCH(Paramètres!J43,Paramètres!$G$5:$G$57,0)),INDEX($E$2273:$E$2325,MATCH(Paramètres!J43,Paramètres!$G$5:$G$57,0)))+IF(RIGHT(TRIM(Paramètres!K43),3)="Fin",1-$H2311,IF(LEFT(TRIM(Paramètres!K43),1)="F",1,0)))),IF(Paramètres!L43="",0,IF(Paramètres!M43="",NA(),IF(LEFT(TRIM(Paramètres!M43),1)="F",INDEX($F$2273:$F$2325,MATCH(Paramètres!L43,Paramètres!$G$5:$G$57,0)),INDEX($E$2273:$E$2325,MATCH(Paramètres!L43,Paramètres!$G$5:$G$57,0)))+IF(RIGHT(TRIM(Paramètres!M43),3)="Fin",1-$H2311,IF(LEFT(TRIM(Paramètres!M43),1)="F",1,0)))),IF(Paramètres!N43="",0,IF(Paramètres!O43="",NA(),IF(LEFT(TRIM(Paramètres!O43),1)="F",INDEX($F$2273:$F$2325,MATCH(Paramètres!N43,Paramètres!$G$5:$G$57,0)),INDEX($E$2273:$E$2325,MATCH(Paramètres!N43,Paramètres!$G$5:$G$57,0)))+IF(RIGHT(TRIM(Paramètres!O43),3)="Fin",1-$H2311,IF(LEFT(TRIM(Paramètres!O43),1)="F",1,0)))))))</f>
        <v/>
      </c>
      <c r="F2311" s="19">
        <f>IF($A2311="","",E2311+$H2311-1)</f>
        <v/>
      </c>
      <c r="G2311" s="18" t="n"/>
      <c r="H2311" s="18">
        <f>IF($A2311="","",IF(I2311&lt;&gt;"",I2311,Paramètres!B43))</f>
        <v/>
      </c>
      <c r="I2311" s="18" t="n"/>
    </row>
    <row r="2312">
      <c r="A2312" s="18">
        <f>IF(ISNUMBER(Dossiers!$D$46),Dossiers!$A$46&amp;" · "&amp;Dossiers!$B$46,"")</f>
        <v/>
      </c>
      <c r="B2312" s="18">
        <f>IF($A2312="","",Paramètres!G44)</f>
        <v/>
      </c>
      <c r="C2312" s="18">
        <f>IF($A2312="","",IF(Paramètres!H44="","",Paramètres!H44))</f>
        <v/>
      </c>
      <c r="D2312" s="18">
        <f>IF($A2312="","",IF(Paramètres!I44="","",Paramètres!I44))</f>
        <v/>
      </c>
      <c r="E2312" s="19">
        <f>IF($A2312="","",IF(Paramètres!J44&amp;Paramètres!L44&amp;Paramètres!N44="",Dossiers!$D$46,MAX(IF(Paramètres!J44="",0,IF(Paramètres!K44="",NA(),IF(LEFT(TRIM(Paramètres!K44),1)="F",INDEX($F$2273:$F$2325,MATCH(Paramètres!J44,Paramètres!$G$5:$G$57,0)),INDEX($E$2273:$E$2325,MATCH(Paramètres!J44,Paramètres!$G$5:$G$57,0)))+IF(RIGHT(TRIM(Paramètres!K44),3)="Fin",1-$H2312,IF(LEFT(TRIM(Paramètres!K44),1)="F",1,0)))),IF(Paramètres!L44="",0,IF(Paramètres!M44="",NA(),IF(LEFT(TRIM(Paramètres!M44),1)="F",INDEX($F$2273:$F$2325,MATCH(Paramètres!L44,Paramètres!$G$5:$G$57,0)),INDEX($E$2273:$E$2325,MATCH(Paramètres!L44,Paramètres!$G$5:$G$57,0)))+IF(RIGHT(TRIM(Paramètres!M44),3)="Fin",1-$H2312,IF(LEFT(TRIM(Paramètres!M44),1)="F",1,0)))),IF(Paramètres!N44="",0,IF(Paramètres!O44="",NA(),IF(LEFT(TRIM(Paramètres!O44),1)="F",INDEX($F$2273:$F$2325,MATCH(Paramètres!N44,Paramètres!$G$5:$G$57,0)),INDEX($E$2273:$E$2325,MATCH(Paramètres!N44,Paramètres!$G$5:$G$57,0)))+IF(RIGHT(TRIM(Paramètres!O44),3)="Fin",1-$H2312,IF(LEFT(TRIM(Paramètres!O44),1)="F",1,0)))))))</f>
        <v/>
      </c>
      <c r="F2312" s="19">
        <f>IF($A2312="","",E2312+$H2312-1)</f>
        <v/>
      </c>
      <c r="G2312" s="18" t="n"/>
      <c r="H2312" s="18">
        <f>IF($A2312="","",IF(I2312&lt;&gt;"",I2312,Paramètres!B44))</f>
        <v/>
      </c>
      <c r="I2312" s="18" t="n"/>
    </row>
    <row r="2313">
      <c r="A2313" s="18">
        <f>IF(ISNUMBER(Dossiers!$D$46),Dossiers!$A$46&amp;" · "&amp;Dossiers!$B$46,"")</f>
        <v/>
      </c>
      <c r="B2313" s="18">
        <f>IF($A2313="","",Paramètres!G45)</f>
        <v/>
      </c>
      <c r="C2313" s="20">
        <f>IF($A2313="","",IF(Dossiers!$G$46="","",Dossiers!$G$46))</f>
        <v/>
      </c>
      <c r="D2313" s="18">
        <f>IF($A2313="","",IF(Paramètres!I45="","",Paramètres!I45))</f>
        <v/>
      </c>
      <c r="E2313" s="19">
        <f>IF($A2313="","",IF(Paramètres!J45&amp;Paramètres!L45&amp;Paramètres!N45="",Dossiers!$D$46,MAX(IF(Paramètres!J45="",0,IF(Paramètres!K45="",NA(),IF(LEFT(TRIM(Paramètres!K45),1)="F",INDEX($F$2273:$F$2325,MATCH(Paramètres!J45,Paramètres!$G$5:$G$57,0)),INDEX($E$2273:$E$2325,MATCH(Paramètres!J45,Paramètres!$G$5:$G$57,0)))+IF(RIGHT(TRIM(Paramètres!K45),3)="Fin",1-$H2313,IF(LEFT(TRIM(Paramètres!K45),1)="F",1,0)))),IF(Paramètres!L45="",0,IF(Paramètres!M45="",NA(),IF(LEFT(TRIM(Paramètres!M45),1)="F",INDEX($F$2273:$F$2325,MATCH(Paramètres!L45,Paramètres!$G$5:$G$57,0)),INDEX($E$2273:$E$2325,MATCH(Paramètres!L45,Paramètres!$G$5:$G$57,0)))+IF(RIGHT(TRIM(Paramètres!M45),3)="Fin",1-$H2313,IF(LEFT(TRIM(Paramètres!M45),1)="F",1,0)))),IF(Paramètres!N45="",0,IF(Paramètres!O45="",NA(),IF(LEFT(TRIM(Paramètres!O45),1)="F",INDEX($F$2273:$F$2325,MATCH(Paramètres!N45,Paramètres!$G$5:$G$57,0)),INDEX($E$2273:$E$2325,MATCH(Paramètres!N45,Paramètres!$G$5:$G$57,0)))+IF(RIGHT(TRIM(Paramètres!O45),3)="Fin",1-$H2313,IF(LEFT(TRIM(Paramètres!O45),1)="F",1,0)))))))</f>
        <v/>
      </c>
      <c r="F2313" s="19">
        <f>IF($A2313="","",E2313+$H2313-1)</f>
        <v/>
      </c>
      <c r="G2313" s="18" t="n"/>
      <c r="H2313" s="18">
        <f>IF($A2313="","",IF(I2313&lt;&gt;"",I2313,Paramètres!B45))</f>
        <v/>
      </c>
      <c r="I2313" s="18" t="n"/>
    </row>
    <row r="2314">
      <c r="A2314" s="18">
        <f>IF(ISNUMBER(Dossiers!$D$46),Dossiers!$A$46&amp;" · "&amp;Dossiers!$B$46,"")</f>
        <v/>
      </c>
      <c r="B2314" s="18">
        <f>IF($A2314="","",Paramètres!G46)</f>
        <v/>
      </c>
      <c r="C2314" s="18">
        <f>IF($A2314="","",IF(Paramètres!H46="","",Paramètres!H46))</f>
        <v/>
      </c>
      <c r="D2314" s="18">
        <f>IF($A2314="","",IF(Paramètres!I46="","",Paramètres!I46))</f>
        <v/>
      </c>
      <c r="E2314" s="19">
        <f>IF($A2314="","",IF(Paramètres!J46&amp;Paramètres!L46&amp;Paramètres!N46="",Dossiers!$D$46,MAX(IF(Paramètres!J46="",0,IF(Paramètres!K46="",NA(),IF(LEFT(TRIM(Paramètres!K46),1)="F",INDEX($F$2273:$F$2325,MATCH(Paramètres!J46,Paramètres!$G$5:$G$57,0)),INDEX($E$2273:$E$2325,MATCH(Paramètres!J46,Paramètres!$G$5:$G$57,0)))+IF(RIGHT(TRIM(Paramètres!K46),3)="Fin",1-$H2314,IF(LEFT(TRIM(Paramètres!K46),1)="F",1,0)))),IF(Paramètres!L46="",0,IF(Paramètres!M46="",NA(),IF(LEFT(TRIM(Paramètres!M46),1)="F",INDEX($F$2273:$F$2325,MATCH(Paramètres!L46,Paramètres!$G$5:$G$57,0)),INDEX($E$2273:$E$2325,MATCH(Paramètres!L46,Paramètres!$G$5:$G$57,0)))+IF(RIGHT(TRIM(Paramètres!M46),3)="Fin",1-$H2314,IF(LEFT(TRIM(Paramètres!M46),1)="F",1,0)))),IF(Paramètres!N46="",0,IF(Paramètres!O46="",NA(),IF(LEFT(TRIM(Paramètres!O46),1)="F",INDEX($F$2273:$F$2325,MATCH(Paramètres!N46,Paramètres!$G$5:$G$57,0)),INDEX($E$2273:$E$2325,MATCH(Paramètres!N46,Paramètres!$G$5:$G$57,0)))+IF(RIGHT(TRIM(Paramètres!O46),3)="Fin",1-$H2314,IF(LEFT(TRIM(Paramètres!O46),1)="F",1,0)))))))</f>
        <v/>
      </c>
      <c r="F2314" s="19">
        <f>IF($A2314="","",E2314+$H2314-1)</f>
        <v/>
      </c>
      <c r="G2314" s="18" t="n"/>
      <c r="H2314" s="18">
        <f>IF($A2314="","",IF(I2314&lt;&gt;"",I2314,Paramètres!B46))</f>
        <v/>
      </c>
      <c r="I2314" s="18" t="n"/>
    </row>
    <row r="2315">
      <c r="A2315" s="18">
        <f>IF(ISNUMBER(Dossiers!$D$46),Dossiers!$A$46&amp;" · "&amp;Dossiers!$B$46,"")</f>
        <v/>
      </c>
      <c r="B2315" s="18">
        <f>IF($A2315="","",Paramètres!G47)</f>
        <v/>
      </c>
      <c r="C2315" s="18">
        <f>IF($A2315="","",IF(Paramètres!H47="","",Paramètres!H47))</f>
        <v/>
      </c>
      <c r="D2315" s="18">
        <f>IF($A2315="","",IF(Paramètres!I47="","",Paramètres!I47))</f>
        <v/>
      </c>
      <c r="E2315" s="19">
        <f>IF($A2315="","",IF(Paramètres!J47&amp;Paramètres!L47&amp;Paramètres!N47="",Dossiers!$D$46,MAX(IF(Paramètres!J47="",0,IF(Paramètres!K47="",NA(),IF(LEFT(TRIM(Paramètres!K47),1)="F",INDEX($F$2273:$F$2325,MATCH(Paramètres!J47,Paramètres!$G$5:$G$57,0)),INDEX($E$2273:$E$2325,MATCH(Paramètres!J47,Paramètres!$G$5:$G$57,0)))+IF(RIGHT(TRIM(Paramètres!K47),3)="Fin",1-$H2315,IF(LEFT(TRIM(Paramètres!K47),1)="F",1,0)))),IF(Paramètres!L47="",0,IF(Paramètres!M47="",NA(),IF(LEFT(TRIM(Paramètres!M47),1)="F",INDEX($F$2273:$F$2325,MATCH(Paramètres!L47,Paramètres!$G$5:$G$57,0)),INDEX($E$2273:$E$2325,MATCH(Paramètres!L47,Paramètres!$G$5:$G$57,0)))+IF(RIGHT(TRIM(Paramètres!M47),3)="Fin",1-$H2315,IF(LEFT(TRIM(Paramètres!M47),1)="F",1,0)))),IF(Paramètres!N47="",0,IF(Paramètres!O47="",NA(),IF(LEFT(TRIM(Paramètres!O47),1)="F",INDEX($F$2273:$F$2325,MATCH(Paramètres!N47,Paramètres!$G$5:$G$57,0)),INDEX($E$2273:$E$2325,MATCH(Paramètres!N47,Paramètres!$G$5:$G$57,0)))+IF(RIGHT(TRIM(Paramètres!O47),3)="Fin",1-$H2315,IF(LEFT(TRIM(Paramètres!O47),1)="F",1,0)))))))</f>
        <v/>
      </c>
      <c r="F2315" s="19">
        <f>IF($A2315="","",E2315+$H2315-1)</f>
        <v/>
      </c>
      <c r="G2315" s="18" t="n"/>
      <c r="H2315" s="18">
        <f>IF($A2315="","",IF(I2315&lt;&gt;"",I2315,Paramètres!B47))</f>
        <v/>
      </c>
      <c r="I2315" s="18" t="n"/>
    </row>
    <row r="2316">
      <c r="A2316" s="18">
        <f>IF(ISNUMBER(Dossiers!$D$46),Dossiers!$A$46&amp;" · "&amp;Dossiers!$B$46,"")</f>
        <v/>
      </c>
      <c r="B2316" s="18">
        <f>IF($A2316="","",Paramètres!G48)</f>
        <v/>
      </c>
      <c r="C2316" s="18">
        <f>IF($A2316="","",IF(Paramètres!H48="","",Paramètres!H48))</f>
        <v/>
      </c>
      <c r="D2316" s="18">
        <f>IF($A2316="","",IF(Paramètres!I48="","",Paramètres!I48))</f>
        <v/>
      </c>
      <c r="E2316" s="19">
        <f>IF($A2316="","",IF(Paramètres!J48&amp;Paramètres!L48&amp;Paramètres!N48="",Dossiers!$D$46,MAX(IF(Paramètres!J48="",0,IF(Paramètres!K48="",NA(),IF(LEFT(TRIM(Paramètres!K48),1)="F",INDEX($F$2273:$F$2325,MATCH(Paramètres!J48,Paramètres!$G$5:$G$57,0)),INDEX($E$2273:$E$2325,MATCH(Paramètres!J48,Paramètres!$G$5:$G$57,0)))+IF(RIGHT(TRIM(Paramètres!K48),3)="Fin",1-$H2316,IF(LEFT(TRIM(Paramètres!K48),1)="F",1,0)))),IF(Paramètres!L48="",0,IF(Paramètres!M48="",NA(),IF(LEFT(TRIM(Paramètres!M48),1)="F",INDEX($F$2273:$F$2325,MATCH(Paramètres!L48,Paramètres!$G$5:$G$57,0)),INDEX($E$2273:$E$2325,MATCH(Paramètres!L48,Paramètres!$G$5:$G$57,0)))+IF(RIGHT(TRIM(Paramètres!M48),3)="Fin",1-$H2316,IF(LEFT(TRIM(Paramètres!M48),1)="F",1,0)))),IF(Paramètres!N48="",0,IF(Paramètres!O48="",NA(),IF(LEFT(TRIM(Paramètres!O48),1)="F",INDEX($F$2273:$F$2325,MATCH(Paramètres!N48,Paramètres!$G$5:$G$57,0)),INDEX($E$2273:$E$2325,MATCH(Paramètres!N48,Paramètres!$G$5:$G$57,0)))+IF(RIGHT(TRIM(Paramètres!O48),3)="Fin",1-$H2316,IF(LEFT(TRIM(Paramètres!O48),1)="F",1,0)))))))</f>
        <v/>
      </c>
      <c r="F2316" s="19">
        <f>IF($A2316="","",E2316+$H2316-1)</f>
        <v/>
      </c>
      <c r="G2316" s="18" t="n"/>
      <c r="H2316" s="18">
        <f>IF($A2316="","",IF(I2316&lt;&gt;"",I2316,Paramètres!B48))</f>
        <v/>
      </c>
      <c r="I2316" s="18" t="n"/>
    </row>
    <row r="2317">
      <c r="A2317" s="18">
        <f>IF(ISNUMBER(Dossiers!$D$46),Dossiers!$A$46&amp;" · "&amp;Dossiers!$B$46,"")</f>
        <v/>
      </c>
      <c r="B2317" s="18">
        <f>IF($A2317="","",Paramètres!G49)</f>
        <v/>
      </c>
      <c r="C2317" s="18">
        <f>IF($A2317="","",IF(Paramètres!H49="","",Paramètres!H49))</f>
        <v/>
      </c>
      <c r="D2317" s="18">
        <f>IF($A2317="","",IF(Paramètres!I49="","",Paramètres!I49))</f>
        <v/>
      </c>
      <c r="E2317" s="19">
        <f>IF($A2317="","",IF(Paramètres!J49&amp;Paramètres!L49&amp;Paramètres!N49="",Dossiers!$D$46,MAX(IF(Paramètres!J49="",0,IF(Paramètres!K49="",NA(),IF(LEFT(TRIM(Paramètres!K49),1)="F",INDEX($F$2273:$F$2325,MATCH(Paramètres!J49,Paramètres!$G$5:$G$57,0)),INDEX($E$2273:$E$2325,MATCH(Paramètres!J49,Paramètres!$G$5:$G$57,0)))+IF(RIGHT(TRIM(Paramètres!K49),3)="Fin",1-$H2317,IF(LEFT(TRIM(Paramètres!K49),1)="F",1,0)))),IF(Paramètres!L49="",0,IF(Paramètres!M49="",NA(),IF(LEFT(TRIM(Paramètres!M49),1)="F",INDEX($F$2273:$F$2325,MATCH(Paramètres!L49,Paramètres!$G$5:$G$57,0)),INDEX($E$2273:$E$2325,MATCH(Paramètres!L49,Paramètres!$G$5:$G$57,0)))+IF(RIGHT(TRIM(Paramètres!M49),3)="Fin",1-$H2317,IF(LEFT(TRIM(Paramètres!M49),1)="F",1,0)))),IF(Paramètres!N49="",0,IF(Paramètres!O49="",NA(),IF(LEFT(TRIM(Paramètres!O49),1)="F",INDEX($F$2273:$F$2325,MATCH(Paramètres!N49,Paramètres!$G$5:$G$57,0)),INDEX($E$2273:$E$2325,MATCH(Paramètres!N49,Paramètres!$G$5:$G$57,0)))+IF(RIGHT(TRIM(Paramètres!O49),3)="Fin",1-$H2317,IF(LEFT(TRIM(Paramètres!O49),1)="F",1,0)))))))</f>
        <v/>
      </c>
      <c r="F2317" s="19">
        <f>IF($A2317="","",E2317+$H2317-1)</f>
        <v/>
      </c>
      <c r="G2317" s="18" t="n"/>
      <c r="H2317" s="18">
        <f>IF($A2317="","",IF(I2317&lt;&gt;"",I2317,Paramètres!B49))</f>
        <v/>
      </c>
      <c r="I2317" s="18" t="n"/>
    </row>
    <row r="2318">
      <c r="A2318" s="18">
        <f>IF(ISNUMBER(Dossiers!$D$46),Dossiers!$A$46&amp;" · "&amp;Dossiers!$B$46,"")</f>
        <v/>
      </c>
      <c r="B2318" s="18">
        <f>IF($A2318="","",Paramètres!G50)</f>
        <v/>
      </c>
      <c r="C2318" s="18">
        <f>IF($A2318="","",IF(Paramètres!H50="","",Paramètres!H50))</f>
        <v/>
      </c>
      <c r="D2318" s="18">
        <f>IF($A2318="","",IF(Paramètres!I50="","",Paramètres!I50))</f>
        <v/>
      </c>
      <c r="E2318" s="19">
        <f>IF($A2318="","",IF(Paramètres!J50&amp;Paramètres!L50&amp;Paramètres!N50="",Dossiers!$D$46,MAX(IF(Paramètres!J50="",0,IF(Paramètres!K50="",NA(),IF(LEFT(TRIM(Paramètres!K50),1)="F",INDEX($F$2273:$F$2325,MATCH(Paramètres!J50,Paramètres!$G$5:$G$57,0)),INDEX($E$2273:$E$2325,MATCH(Paramètres!J50,Paramètres!$G$5:$G$57,0)))+IF(RIGHT(TRIM(Paramètres!K50),3)="Fin",1-$H2318,IF(LEFT(TRIM(Paramètres!K50),1)="F",1,0)))),IF(Paramètres!L50="",0,IF(Paramètres!M50="",NA(),IF(LEFT(TRIM(Paramètres!M50),1)="F",INDEX($F$2273:$F$2325,MATCH(Paramètres!L50,Paramètres!$G$5:$G$57,0)),INDEX($E$2273:$E$2325,MATCH(Paramètres!L50,Paramètres!$G$5:$G$57,0)))+IF(RIGHT(TRIM(Paramètres!M50),3)="Fin",1-$H2318,IF(LEFT(TRIM(Paramètres!M50),1)="F",1,0)))),IF(Paramètres!N50="",0,IF(Paramètres!O50="",NA(),IF(LEFT(TRIM(Paramètres!O50),1)="F",INDEX($F$2273:$F$2325,MATCH(Paramètres!N50,Paramètres!$G$5:$G$57,0)),INDEX($E$2273:$E$2325,MATCH(Paramètres!N50,Paramètres!$G$5:$G$57,0)))+IF(RIGHT(TRIM(Paramètres!O50),3)="Fin",1-$H2318,IF(LEFT(TRIM(Paramètres!O50),1)="F",1,0)))))))</f>
        <v/>
      </c>
      <c r="F2318" s="19">
        <f>IF($A2318="","",E2318+$H2318-1)</f>
        <v/>
      </c>
      <c r="G2318" s="18" t="n"/>
      <c r="H2318" s="18">
        <f>IF($A2318="","",IF(I2318&lt;&gt;"",I2318,Paramètres!B50))</f>
        <v/>
      </c>
      <c r="I2318" s="18" t="n"/>
    </row>
    <row r="2319">
      <c r="A2319" s="18">
        <f>IF(ISNUMBER(Dossiers!$D$46),Dossiers!$A$46&amp;" · "&amp;Dossiers!$B$46,"")</f>
        <v/>
      </c>
      <c r="B2319" s="18">
        <f>IF($A2319="","",Paramètres!G51)</f>
        <v/>
      </c>
      <c r="C2319" s="18">
        <f>IF($A2319="","",IF(Paramètres!H51="","",Paramètres!H51))</f>
        <v/>
      </c>
      <c r="D2319" s="18">
        <f>IF($A2319="","",IF(Paramètres!I51="","",Paramètres!I51))</f>
        <v/>
      </c>
      <c r="E2319" s="19">
        <f>IF($A2319="","",IF(Paramètres!J51&amp;Paramètres!L51&amp;Paramètres!N51="",Dossiers!$D$46,MAX(IF(Paramètres!J51="",0,IF(Paramètres!K51="",NA(),IF(LEFT(TRIM(Paramètres!K51),1)="F",INDEX($F$2273:$F$2325,MATCH(Paramètres!J51,Paramètres!$G$5:$G$57,0)),INDEX($E$2273:$E$2325,MATCH(Paramètres!J51,Paramètres!$G$5:$G$57,0)))+IF(RIGHT(TRIM(Paramètres!K51),3)="Fin",1-$H2319,IF(LEFT(TRIM(Paramètres!K51),1)="F",1,0)))),IF(Paramètres!L51="",0,IF(Paramètres!M51="",NA(),IF(LEFT(TRIM(Paramètres!M51),1)="F",INDEX($F$2273:$F$2325,MATCH(Paramètres!L51,Paramètres!$G$5:$G$57,0)),INDEX($E$2273:$E$2325,MATCH(Paramètres!L51,Paramètres!$G$5:$G$57,0)))+IF(RIGHT(TRIM(Paramètres!M51),3)="Fin",1-$H2319,IF(LEFT(TRIM(Paramètres!M51),1)="F",1,0)))),IF(Paramètres!N51="",0,IF(Paramètres!O51="",NA(),IF(LEFT(TRIM(Paramètres!O51),1)="F",INDEX($F$2273:$F$2325,MATCH(Paramètres!N51,Paramètres!$G$5:$G$57,0)),INDEX($E$2273:$E$2325,MATCH(Paramètres!N51,Paramètres!$G$5:$G$57,0)))+IF(RIGHT(TRIM(Paramètres!O51),3)="Fin",1-$H2319,IF(LEFT(TRIM(Paramètres!O51),1)="F",1,0)))))))</f>
        <v/>
      </c>
      <c r="F2319" s="19">
        <f>IF($A2319="","",E2319+$H2319-1)</f>
        <v/>
      </c>
      <c r="G2319" s="18" t="n"/>
      <c r="H2319" s="18">
        <f>IF($A2319="","",IF(I2319&lt;&gt;"",I2319,Paramètres!B51))</f>
        <v/>
      </c>
      <c r="I2319" s="18" t="n"/>
    </row>
    <row r="2320">
      <c r="A2320" s="18">
        <f>IF(ISNUMBER(Dossiers!$D$46),Dossiers!$A$46&amp;" · "&amp;Dossiers!$B$46,"")</f>
        <v/>
      </c>
      <c r="B2320" s="18">
        <f>IF($A2320="","",Paramètres!G52)</f>
        <v/>
      </c>
      <c r="C2320" s="18">
        <f>IF($A2320="","",IF(Paramètres!H52="","",Paramètres!H52))</f>
        <v/>
      </c>
      <c r="D2320" s="18">
        <f>IF($A2320="","",IF(Paramètres!I52="","",Paramètres!I52))</f>
        <v/>
      </c>
      <c r="E2320" s="19">
        <f>IF($A2320="","",IF(Paramètres!J52&amp;Paramètres!L52&amp;Paramètres!N52="",Dossiers!$D$46,MAX(IF(Paramètres!J52="",0,IF(Paramètres!K52="",NA(),IF(LEFT(TRIM(Paramètres!K52),1)="F",INDEX($F$2273:$F$2325,MATCH(Paramètres!J52,Paramètres!$G$5:$G$57,0)),INDEX($E$2273:$E$2325,MATCH(Paramètres!J52,Paramètres!$G$5:$G$57,0)))+IF(RIGHT(TRIM(Paramètres!K52),3)="Fin",1-$H2320,IF(LEFT(TRIM(Paramètres!K52),1)="F",1,0)))),IF(Paramètres!L52="",0,IF(Paramètres!M52="",NA(),IF(LEFT(TRIM(Paramètres!M52),1)="F",INDEX($F$2273:$F$2325,MATCH(Paramètres!L52,Paramètres!$G$5:$G$57,0)),INDEX($E$2273:$E$2325,MATCH(Paramètres!L52,Paramètres!$G$5:$G$57,0)))+IF(RIGHT(TRIM(Paramètres!M52),3)="Fin",1-$H2320,IF(LEFT(TRIM(Paramètres!M52),1)="F",1,0)))),IF(Paramètres!N52="",0,IF(Paramètres!O52="",NA(),IF(LEFT(TRIM(Paramètres!O52),1)="F",INDEX($F$2273:$F$2325,MATCH(Paramètres!N52,Paramètres!$G$5:$G$57,0)),INDEX($E$2273:$E$2325,MATCH(Paramètres!N52,Paramètres!$G$5:$G$57,0)))+IF(RIGHT(TRIM(Paramètres!O52),3)="Fin",1-$H2320,IF(LEFT(TRIM(Paramètres!O52),1)="F",1,0)))))))</f>
        <v/>
      </c>
      <c r="F2320" s="19">
        <f>IF($A2320="","",E2320+$H2320-1)</f>
        <v/>
      </c>
      <c r="G2320" s="18" t="n"/>
      <c r="H2320" s="18">
        <f>IF($A2320="","",IF(I2320&lt;&gt;"",I2320,Paramètres!B52))</f>
        <v/>
      </c>
      <c r="I2320" s="18" t="n"/>
    </row>
    <row r="2321">
      <c r="A2321" s="18">
        <f>IF(ISNUMBER(Dossiers!$D$46),Dossiers!$A$46&amp;" · "&amp;Dossiers!$B$46,"")</f>
        <v/>
      </c>
      <c r="B2321" s="18">
        <f>IF($A2321="","",Paramètres!G53)</f>
        <v/>
      </c>
      <c r="C2321" s="18">
        <f>IF($A2321="","",IF(Paramètres!H53="","",Paramètres!H53))</f>
        <v/>
      </c>
      <c r="D2321" s="18">
        <f>IF($A2321="","",IF(Paramètres!I53="","",Paramètres!I53))</f>
        <v/>
      </c>
      <c r="E2321" s="19">
        <f>IF($A2321="","",IF(Paramètres!J53&amp;Paramètres!L53&amp;Paramètres!N53="",Dossiers!$D$46,MAX(IF(Paramètres!J53="",0,IF(Paramètres!K53="",NA(),IF(LEFT(TRIM(Paramètres!K53),1)="F",INDEX($F$2273:$F$2325,MATCH(Paramètres!J53,Paramètres!$G$5:$G$57,0)),INDEX($E$2273:$E$2325,MATCH(Paramètres!J53,Paramètres!$G$5:$G$57,0)))+IF(RIGHT(TRIM(Paramètres!K53),3)="Fin",1-$H2321,IF(LEFT(TRIM(Paramètres!K53),1)="F",1,0)))),IF(Paramètres!L53="",0,IF(Paramètres!M53="",NA(),IF(LEFT(TRIM(Paramètres!M53),1)="F",INDEX($F$2273:$F$2325,MATCH(Paramètres!L53,Paramètres!$G$5:$G$57,0)),INDEX($E$2273:$E$2325,MATCH(Paramètres!L53,Paramètres!$G$5:$G$57,0)))+IF(RIGHT(TRIM(Paramètres!M53),3)="Fin",1-$H2321,IF(LEFT(TRIM(Paramètres!M53),1)="F",1,0)))),IF(Paramètres!N53="",0,IF(Paramètres!O53="",NA(),IF(LEFT(TRIM(Paramètres!O53),1)="F",INDEX($F$2273:$F$2325,MATCH(Paramètres!N53,Paramètres!$G$5:$G$57,0)),INDEX($E$2273:$E$2325,MATCH(Paramètres!N53,Paramètres!$G$5:$G$57,0)))+IF(RIGHT(TRIM(Paramètres!O53),3)="Fin",1-$H2321,IF(LEFT(TRIM(Paramètres!O53),1)="F",1,0)))))))</f>
        <v/>
      </c>
      <c r="F2321" s="19">
        <f>IF($A2321="","",E2321+$H2321-1)</f>
        <v/>
      </c>
      <c r="G2321" s="18" t="n"/>
      <c r="H2321" s="18">
        <f>IF($A2321="","",IF(I2321&lt;&gt;"",I2321,Paramètres!B53))</f>
        <v/>
      </c>
      <c r="I2321" s="18" t="n"/>
    </row>
    <row r="2322">
      <c r="A2322" s="18">
        <f>IF(ISNUMBER(Dossiers!$D$46),Dossiers!$A$46&amp;" · "&amp;Dossiers!$B$46,"")</f>
        <v/>
      </c>
      <c r="B2322" s="18">
        <f>IF($A2322="","",Paramètres!G54)</f>
        <v/>
      </c>
      <c r="C2322" s="18">
        <f>IF($A2322="","",IF(Paramètres!H54="","",Paramètres!H54))</f>
        <v/>
      </c>
      <c r="D2322" s="18">
        <f>IF($A2322="","",IF(Paramètres!I54="","",Paramètres!I54))</f>
        <v/>
      </c>
      <c r="E2322" s="19">
        <f>IF($A2322="","",IF(Paramètres!J54&amp;Paramètres!L54&amp;Paramètres!N54="",Dossiers!$D$46,MAX(IF(Paramètres!J54="",0,IF(Paramètres!K54="",NA(),IF(LEFT(TRIM(Paramètres!K54),1)="F",INDEX($F$2273:$F$2325,MATCH(Paramètres!J54,Paramètres!$G$5:$G$57,0)),INDEX($E$2273:$E$2325,MATCH(Paramètres!J54,Paramètres!$G$5:$G$57,0)))+IF(RIGHT(TRIM(Paramètres!K54),3)="Fin",1-$H2322,IF(LEFT(TRIM(Paramètres!K54),1)="F",1,0)))),IF(Paramètres!L54="",0,IF(Paramètres!M54="",NA(),IF(LEFT(TRIM(Paramètres!M54),1)="F",INDEX($F$2273:$F$2325,MATCH(Paramètres!L54,Paramètres!$G$5:$G$57,0)),INDEX($E$2273:$E$2325,MATCH(Paramètres!L54,Paramètres!$G$5:$G$57,0)))+IF(RIGHT(TRIM(Paramètres!M54),3)="Fin",1-$H2322,IF(LEFT(TRIM(Paramètres!M54),1)="F",1,0)))),IF(Paramètres!N54="",0,IF(Paramètres!O54="",NA(),IF(LEFT(TRIM(Paramètres!O54),1)="F",INDEX($F$2273:$F$2325,MATCH(Paramètres!N54,Paramètres!$G$5:$G$57,0)),INDEX($E$2273:$E$2325,MATCH(Paramètres!N54,Paramètres!$G$5:$G$57,0)))+IF(RIGHT(TRIM(Paramètres!O54),3)="Fin",1-$H2322,IF(LEFT(TRIM(Paramètres!O54),1)="F",1,0)))))))</f>
        <v/>
      </c>
      <c r="F2322" s="19">
        <f>IF($A2322="","",E2322+$H2322-1)</f>
        <v/>
      </c>
      <c r="G2322" s="18" t="n"/>
      <c r="H2322" s="18">
        <f>IF($A2322="","",IF(I2322&lt;&gt;"",I2322,Paramètres!B54))</f>
        <v/>
      </c>
      <c r="I2322" s="18" t="n"/>
    </row>
    <row r="2323">
      <c r="A2323" s="18">
        <f>IF(ISNUMBER(Dossiers!$D$46),Dossiers!$A$46&amp;" · "&amp;Dossiers!$B$46,"")</f>
        <v/>
      </c>
      <c r="B2323" s="18">
        <f>IF($A2323="","",Paramètres!G55)</f>
        <v/>
      </c>
      <c r="C2323" s="18">
        <f>IF($A2323="","",IF(Paramètres!H55="","",Paramètres!H55))</f>
        <v/>
      </c>
      <c r="D2323" s="18">
        <f>IF($A2323="","",IF(Paramètres!I55="","",Paramètres!I55))</f>
        <v/>
      </c>
      <c r="E2323" s="19">
        <f>IF($A2323="","",IF(Paramètres!J55&amp;Paramètres!L55&amp;Paramètres!N55="",Dossiers!$D$46,MAX(IF(Paramètres!J55="",0,IF(Paramètres!K55="",NA(),IF(LEFT(TRIM(Paramètres!K55),1)="F",INDEX($F$2273:$F$2325,MATCH(Paramètres!J55,Paramètres!$G$5:$G$57,0)),INDEX($E$2273:$E$2325,MATCH(Paramètres!J55,Paramètres!$G$5:$G$57,0)))+IF(RIGHT(TRIM(Paramètres!K55),3)="Fin",1-$H2323,IF(LEFT(TRIM(Paramètres!K55),1)="F",1,0)))),IF(Paramètres!L55="",0,IF(Paramètres!M55="",NA(),IF(LEFT(TRIM(Paramètres!M55),1)="F",INDEX($F$2273:$F$2325,MATCH(Paramètres!L55,Paramètres!$G$5:$G$57,0)),INDEX($E$2273:$E$2325,MATCH(Paramètres!L55,Paramètres!$G$5:$G$57,0)))+IF(RIGHT(TRIM(Paramètres!M55),3)="Fin",1-$H2323,IF(LEFT(TRIM(Paramètres!M55),1)="F",1,0)))),IF(Paramètres!N55="",0,IF(Paramètres!O55="",NA(),IF(LEFT(TRIM(Paramètres!O55),1)="F",INDEX($F$2273:$F$2325,MATCH(Paramètres!N55,Paramètres!$G$5:$G$57,0)),INDEX($E$2273:$E$2325,MATCH(Paramètres!N55,Paramètres!$G$5:$G$57,0)))+IF(RIGHT(TRIM(Paramètres!O55),3)="Fin",1-$H2323,IF(LEFT(TRIM(Paramètres!O55),1)="F",1,0)))))))</f>
        <v/>
      </c>
      <c r="F2323" s="19">
        <f>IF($A2323="","",E2323+$H2323-1)</f>
        <v/>
      </c>
      <c r="G2323" s="18" t="n"/>
      <c r="H2323" s="18">
        <f>IF($A2323="","",IF(I2323&lt;&gt;"",I2323,Paramètres!B55))</f>
        <v/>
      </c>
      <c r="I2323" s="18" t="n"/>
    </row>
    <row r="2324">
      <c r="A2324" s="18">
        <f>IF(ISNUMBER(Dossiers!$D$46),Dossiers!$A$46&amp;" · "&amp;Dossiers!$B$46,"")</f>
        <v/>
      </c>
      <c r="B2324" s="18">
        <f>IF($A2324="","",Paramètres!G56)</f>
        <v/>
      </c>
      <c r="C2324" s="18">
        <f>IF($A2324="","",IF(Paramètres!H56="","",Paramètres!H56))</f>
        <v/>
      </c>
      <c r="D2324" s="18">
        <f>IF($A2324="","",IF(Paramètres!I56="","",Paramètres!I56))</f>
        <v/>
      </c>
      <c r="E2324" s="19">
        <f>IF($A2324="","",MIN(E2325:E2325))</f>
        <v/>
      </c>
      <c r="F2324" s="19">
        <f>IF($A2324="","",MAX(F2325:F2325))</f>
        <v/>
      </c>
      <c r="G2324" s="18" t="n"/>
      <c r="H2324" s="18">
        <f>IF($A2324="","",F2324-E2324+1)</f>
        <v/>
      </c>
      <c r="I2324" s="18" t="n"/>
    </row>
    <row r="2325">
      <c r="A2325" s="18">
        <f>IF(ISNUMBER(Dossiers!$D$46),Dossiers!$A$46&amp;" · "&amp;Dossiers!$B$46,"")</f>
        <v/>
      </c>
      <c r="B2325" s="18">
        <f>IF($A2325="","",Paramètres!G57)</f>
        <v/>
      </c>
      <c r="C2325" s="18">
        <f>IF($A2325="","",IF(Paramètres!H57="","",Paramètres!H57))</f>
        <v/>
      </c>
      <c r="D2325" s="18">
        <f>IF($A2325="","",IF(Paramètres!I57="","",Paramètres!I57))</f>
        <v/>
      </c>
      <c r="E2325" s="19">
        <f>IF($A2325="","",IF(Paramètres!J57&amp;Paramètres!L57&amp;Paramètres!N57="",Dossiers!$D$46,MAX(IF(Paramètres!J57="",0,IF(Paramètres!K57="",NA(),IF(LEFT(TRIM(Paramètres!K57),1)="F",INDEX($F$2273:$F$2325,MATCH(Paramètres!J57,Paramètres!$G$5:$G$57,0)),INDEX($E$2273:$E$2325,MATCH(Paramètres!J57,Paramètres!$G$5:$G$57,0)))+IF(RIGHT(TRIM(Paramètres!K57),3)="Fin",1-$H2325,IF(LEFT(TRIM(Paramètres!K57),1)="F",1,0)))),IF(Paramètres!L57="",0,IF(Paramètres!M57="",NA(),IF(LEFT(TRIM(Paramètres!M57),1)="F",INDEX($F$2273:$F$2325,MATCH(Paramètres!L57,Paramètres!$G$5:$G$57,0)),INDEX($E$2273:$E$2325,MATCH(Paramètres!L57,Paramètres!$G$5:$G$57,0)))+IF(RIGHT(TRIM(Paramètres!M57),3)="Fin",1-$H2325,IF(LEFT(TRIM(Paramètres!M57),1)="F",1,0)))),IF(Paramètres!N57="",0,IF(Paramètres!O57="",NA(),IF(LEFT(TRIM(Paramètres!O57),1)="F",INDEX($F$2273:$F$2325,MATCH(Paramètres!N57,Paramètres!$G$5:$G$57,0)),INDEX($E$2273:$E$2325,MATCH(Paramètres!N57,Paramètres!$G$5:$G$57,0)))+IF(RIGHT(TRIM(Paramètres!O57),3)="Fin",1-$H2325,IF(LEFT(TRIM(Paramètres!O57),1)="F",1,0)))))))</f>
        <v/>
      </c>
      <c r="F2325" s="19">
        <f>IF($A2325="","",E2325+$H2325-1)</f>
        <v/>
      </c>
      <c r="G2325" s="18" t="n"/>
      <c r="H2325" s="18">
        <f>IF($A2325="","",IF(I2325&lt;&gt;"",I2325,Paramètres!B57))</f>
        <v/>
      </c>
      <c r="I2325" s="18" t="n"/>
    </row>
    <row r="2326">
      <c r="A2326" s="16">
        <f>IF(ISNUMBER(Dossiers!$D$47),Dossiers!$E$47,"")</f>
        <v/>
      </c>
      <c r="B2326" s="16">
        <f>IF($A2326="","","Identifiant")</f>
        <v/>
      </c>
      <c r="C2326" s="16">
        <f>IF($A2326="","","Macro Etape")</f>
        <v/>
      </c>
      <c r="D2326" s="16">
        <f>IF($A2326="","","Etape")</f>
        <v/>
      </c>
      <c r="E2326" s="17">
        <f>IF($A2326="","","Début le")</f>
        <v/>
      </c>
      <c r="F2326" s="17">
        <f>IF($A2326="","","Fin prévue le")</f>
        <v/>
      </c>
      <c r="G2326" s="16">
        <f>IF($A2326="","","Statut")</f>
        <v/>
      </c>
      <c r="H2326" s="16">
        <f>IF($A2326="","","Durée (jours)")</f>
        <v/>
      </c>
      <c r="I2326" s="16">
        <f>IF($A2326="","","Durée particulière")</f>
        <v/>
      </c>
      <c r="J2326" s="10">
        <f>IF($A2326="","",HYPERLINK("#'Tableau de bord'!A1","↑ Tableau de bord"))</f>
        <v/>
      </c>
    </row>
    <row r="2327">
      <c r="A2327" s="18">
        <f>IF(ISNUMBER(Dossiers!$D$47),Dossiers!$A$47&amp;" · "&amp;Dossiers!$B$47,"")</f>
        <v/>
      </c>
      <c r="B2327" s="18">
        <f>IF($A2327="","",Paramètres!G5)</f>
        <v/>
      </c>
      <c r="C2327" s="18">
        <f>IF($A2327="","",IF(Paramètres!H5="","",Paramètres!H5))</f>
        <v/>
      </c>
      <c r="D2327" s="18">
        <f>IF($A2327="","",IF(Paramètres!I5="","",Paramètres!I5))</f>
        <v/>
      </c>
      <c r="E2327" s="19">
        <f>IF($A2327="","",MIN(E2328:E2331))</f>
        <v/>
      </c>
      <c r="F2327" s="19">
        <f>IF($A2327="","",MAX(F2328:F2331))</f>
        <v/>
      </c>
      <c r="G2327" s="18" t="n"/>
      <c r="H2327" s="18">
        <f>IF($A2327="","",F2327-E2327+1)</f>
        <v/>
      </c>
      <c r="I2327" s="18" t="n"/>
    </row>
    <row r="2328">
      <c r="A2328" s="18">
        <f>IF(ISNUMBER(Dossiers!$D$47),Dossiers!$A$47&amp;" · "&amp;Dossiers!$B$47,"")</f>
        <v/>
      </c>
      <c r="B2328" s="18">
        <f>IF($A2328="","",Paramètres!G6)</f>
        <v/>
      </c>
      <c r="C2328" s="18">
        <f>IF($A2328="","",IF(Paramètres!H6="","",Paramètres!H6))</f>
        <v/>
      </c>
      <c r="D2328" s="18">
        <f>IF($A2328="","",IF(Paramètres!I6="","",Paramètres!I6))</f>
        <v/>
      </c>
      <c r="E2328" s="19">
        <f>IF($A2328="","",IF(Paramètres!J6&amp;Paramètres!L6&amp;Paramètres!N6="",Dossiers!$D$47,MAX(IF(Paramètres!J6="",0,IF(Paramètres!K6="",NA(),IF(LEFT(TRIM(Paramètres!K6),1)="F",INDEX($F$2327:$F$2379,MATCH(Paramètres!J6,Paramètres!$G$5:$G$57,0)),INDEX($E$2327:$E$2379,MATCH(Paramètres!J6,Paramètres!$G$5:$G$57,0)))+IF(RIGHT(TRIM(Paramètres!K6),3)="Fin",1-$H2328,IF(LEFT(TRIM(Paramètres!K6),1)="F",1,0)))),IF(Paramètres!L6="",0,IF(Paramètres!M6="",NA(),IF(LEFT(TRIM(Paramètres!M6),1)="F",INDEX($F$2327:$F$2379,MATCH(Paramètres!L6,Paramètres!$G$5:$G$57,0)),INDEX($E$2327:$E$2379,MATCH(Paramètres!L6,Paramètres!$G$5:$G$57,0)))+IF(RIGHT(TRIM(Paramètres!M6),3)="Fin",1-$H2328,IF(LEFT(TRIM(Paramètres!M6),1)="F",1,0)))),IF(Paramètres!N6="",0,IF(Paramètres!O6="",NA(),IF(LEFT(TRIM(Paramètres!O6),1)="F",INDEX($F$2327:$F$2379,MATCH(Paramètres!N6,Paramètres!$G$5:$G$57,0)),INDEX($E$2327:$E$2379,MATCH(Paramètres!N6,Paramètres!$G$5:$G$57,0)))+IF(RIGHT(TRIM(Paramètres!O6),3)="Fin",1-$H2328,IF(LEFT(TRIM(Paramètres!O6),1)="F",1,0)))))))</f>
        <v/>
      </c>
      <c r="F2328" s="19">
        <f>IF($A2328="","",E2328+$H2328-1)</f>
        <v/>
      </c>
      <c r="G2328" s="18" t="n"/>
      <c r="H2328" s="18">
        <f>IF($A2328="","",IF(I2328&lt;&gt;"",I2328,Paramètres!B6))</f>
        <v/>
      </c>
      <c r="I2328" s="18" t="n"/>
    </row>
    <row r="2329">
      <c r="A2329" s="18">
        <f>IF(ISNUMBER(Dossiers!$D$47),Dossiers!$A$47&amp;" · "&amp;Dossiers!$B$47,"")</f>
        <v/>
      </c>
      <c r="B2329" s="18">
        <f>IF($A2329="","",Paramètres!G7)</f>
        <v/>
      </c>
      <c r="C2329" s="18">
        <f>IF($A2329="","",IF(Paramètres!H7="","",Paramètres!H7))</f>
        <v/>
      </c>
      <c r="D2329" s="18">
        <f>IF($A2329="","",IF(Paramètres!I7="","",Paramètres!I7))</f>
        <v/>
      </c>
      <c r="E2329" s="19">
        <f>IF($A2329="","",IF(Paramètres!J7&amp;Paramètres!L7&amp;Paramètres!N7="",Dossiers!$D$47,MAX(IF(Paramètres!J7="",0,IF(Paramètres!K7="",NA(),IF(LEFT(TRIM(Paramètres!K7),1)="F",INDEX($F$2327:$F$2379,MATCH(Paramètres!J7,Paramètres!$G$5:$G$57,0)),INDEX($E$2327:$E$2379,MATCH(Paramètres!J7,Paramètres!$G$5:$G$57,0)))+IF(RIGHT(TRIM(Paramètres!K7),3)="Fin",1-$H2329,IF(LEFT(TRIM(Paramètres!K7),1)="F",1,0)))),IF(Paramètres!L7="",0,IF(Paramètres!M7="",NA(),IF(LEFT(TRIM(Paramètres!M7),1)="F",INDEX($F$2327:$F$2379,MATCH(Paramètres!L7,Paramètres!$G$5:$G$57,0)),INDEX($E$2327:$E$2379,MATCH(Paramètres!L7,Paramètres!$G$5:$G$57,0)))+IF(RIGHT(TRIM(Paramètres!M7),3)="Fin",1-$H2329,IF(LEFT(TRIM(Paramètres!M7),1)="F",1,0)))),IF(Paramètres!N7="",0,IF(Paramètres!O7="",NA(),IF(LEFT(TRIM(Paramètres!O7),1)="F",INDEX($F$2327:$F$2379,MATCH(Paramètres!N7,Paramètres!$G$5:$G$57,0)),INDEX($E$2327:$E$2379,MATCH(Paramètres!N7,Paramètres!$G$5:$G$57,0)))+IF(RIGHT(TRIM(Paramètres!O7),3)="Fin",1-$H2329,IF(LEFT(TRIM(Paramètres!O7),1)="F",1,0)))))))</f>
        <v/>
      </c>
      <c r="F2329" s="19">
        <f>IF($A2329="","",E2329+$H2329-1)</f>
        <v/>
      </c>
      <c r="G2329" s="18" t="n"/>
      <c r="H2329" s="18">
        <f>IF($A2329="","",IF(I2329&lt;&gt;"",I2329,Paramètres!B7))</f>
        <v/>
      </c>
      <c r="I2329" s="18" t="n"/>
    </row>
    <row r="2330">
      <c r="A2330" s="18">
        <f>IF(ISNUMBER(Dossiers!$D$47),Dossiers!$A$47&amp;" · "&amp;Dossiers!$B$47,"")</f>
        <v/>
      </c>
      <c r="B2330" s="18">
        <f>IF($A2330="","",Paramètres!G8)</f>
        <v/>
      </c>
      <c r="C2330" s="18">
        <f>IF($A2330="","",IF(Paramètres!H8="","",Paramètres!H8))</f>
        <v/>
      </c>
      <c r="D2330" s="18">
        <f>IF($A2330="","",IF(Paramètres!I8="","",Paramètres!I8))</f>
        <v/>
      </c>
      <c r="E2330" s="19">
        <f>IF($A2330="","",IF(Paramètres!J8&amp;Paramètres!L8&amp;Paramètres!N8="",Dossiers!$D$47,MAX(IF(Paramètres!J8="",0,IF(Paramètres!K8="",NA(),IF(LEFT(TRIM(Paramètres!K8),1)="F",INDEX($F$2327:$F$2379,MATCH(Paramètres!J8,Paramètres!$G$5:$G$57,0)),INDEX($E$2327:$E$2379,MATCH(Paramètres!J8,Paramètres!$G$5:$G$57,0)))+IF(RIGHT(TRIM(Paramètres!K8),3)="Fin",1-$H2330,IF(LEFT(TRIM(Paramètres!K8),1)="F",1,0)))),IF(Paramètres!L8="",0,IF(Paramètres!M8="",NA(),IF(LEFT(TRIM(Paramètres!M8),1)="F",INDEX($F$2327:$F$2379,MATCH(Paramètres!L8,Paramètres!$G$5:$G$57,0)),INDEX($E$2327:$E$2379,MATCH(Paramètres!L8,Paramètres!$G$5:$G$57,0)))+IF(RIGHT(TRIM(Paramètres!M8),3)="Fin",1-$H2330,IF(LEFT(TRIM(Paramètres!M8),1)="F",1,0)))),IF(Paramètres!N8="",0,IF(Paramètres!O8="",NA(),IF(LEFT(TRIM(Paramètres!O8),1)="F",INDEX($F$2327:$F$2379,MATCH(Paramètres!N8,Paramètres!$G$5:$G$57,0)),INDEX($E$2327:$E$2379,MATCH(Paramètres!N8,Paramètres!$G$5:$G$57,0)))+IF(RIGHT(TRIM(Paramètres!O8),3)="Fin",1-$H2330,IF(LEFT(TRIM(Paramètres!O8),1)="F",1,0)))))))</f>
        <v/>
      </c>
      <c r="F2330" s="19">
        <f>IF($A2330="","",E2330+$H2330-1)</f>
        <v/>
      </c>
      <c r="G2330" s="18" t="n"/>
      <c r="H2330" s="18">
        <f>IF($A2330="","",IF(I2330&lt;&gt;"",I2330,Paramètres!B8))</f>
        <v/>
      </c>
      <c r="I2330" s="18" t="n"/>
    </row>
    <row r="2331">
      <c r="A2331" s="18">
        <f>IF(ISNUMBER(Dossiers!$D$47),Dossiers!$A$47&amp;" · "&amp;Dossiers!$B$47,"")</f>
        <v/>
      </c>
      <c r="B2331" s="18">
        <f>IF($A2331="","",Paramètres!G9)</f>
        <v/>
      </c>
      <c r="C2331" s="18">
        <f>IF($A2331="","",IF(Paramètres!H9="","",Paramètres!H9))</f>
        <v/>
      </c>
      <c r="D2331" s="18">
        <f>IF($A2331="","",IF(Paramètres!I9="","",Paramètres!I9))</f>
        <v/>
      </c>
      <c r="E2331" s="19">
        <f>IF($A2331="","",IF(Paramètres!J9&amp;Paramètres!L9&amp;Paramètres!N9="",Dossiers!$D$47,MAX(IF(Paramètres!J9="",0,IF(Paramètres!K9="",NA(),IF(LEFT(TRIM(Paramètres!K9),1)="F",INDEX($F$2327:$F$2379,MATCH(Paramètres!J9,Paramètres!$G$5:$G$57,0)),INDEX($E$2327:$E$2379,MATCH(Paramètres!J9,Paramètres!$G$5:$G$57,0)))+IF(RIGHT(TRIM(Paramètres!K9),3)="Fin",1-$H2331,IF(LEFT(TRIM(Paramètres!K9),1)="F",1,0)))),IF(Paramètres!L9="",0,IF(Paramètres!M9="",NA(),IF(LEFT(TRIM(Paramètres!M9),1)="F",INDEX($F$2327:$F$2379,MATCH(Paramètres!L9,Paramètres!$G$5:$G$57,0)),INDEX($E$2327:$E$2379,MATCH(Paramètres!L9,Paramètres!$G$5:$G$57,0)))+IF(RIGHT(TRIM(Paramètres!M9),3)="Fin",1-$H2331,IF(LEFT(TRIM(Paramètres!M9),1)="F",1,0)))),IF(Paramètres!N9="",0,IF(Paramètres!O9="",NA(),IF(LEFT(TRIM(Paramètres!O9),1)="F",INDEX($F$2327:$F$2379,MATCH(Paramètres!N9,Paramètres!$G$5:$G$57,0)),INDEX($E$2327:$E$2379,MATCH(Paramètres!N9,Paramètres!$G$5:$G$57,0)))+IF(RIGHT(TRIM(Paramètres!O9),3)="Fin",1-$H2331,IF(LEFT(TRIM(Paramètres!O9),1)="F",1,0)))))))</f>
        <v/>
      </c>
      <c r="F2331" s="19">
        <f>IF($A2331="","",E2331+$H2331-1)</f>
        <v/>
      </c>
      <c r="G2331" s="18" t="n"/>
      <c r="H2331" s="18">
        <f>IF($A2331="","",IF(I2331&lt;&gt;"",I2331,Paramètres!B9))</f>
        <v/>
      </c>
      <c r="I2331" s="18" t="n"/>
    </row>
    <row r="2332">
      <c r="A2332" s="18">
        <f>IF(ISNUMBER(Dossiers!$D$47),Dossiers!$A$47&amp;" · "&amp;Dossiers!$B$47,"")</f>
        <v/>
      </c>
      <c r="B2332" s="18">
        <f>IF($A2332="","",Paramètres!G10)</f>
        <v/>
      </c>
      <c r="C2332" s="18">
        <f>IF($A2332="","",IF(Paramètres!H10="","",Paramètres!H10))</f>
        <v/>
      </c>
      <c r="D2332" s="18">
        <f>IF($A2332="","",IF(Paramètres!I10="","",Paramètres!I10))</f>
        <v/>
      </c>
      <c r="E2332" s="19">
        <f>IF($A2332="","",MIN(E2333:E2336))</f>
        <v/>
      </c>
      <c r="F2332" s="19">
        <f>IF($A2332="","",MAX(F2333:F2336))</f>
        <v/>
      </c>
      <c r="G2332" s="18" t="n"/>
      <c r="H2332" s="18">
        <f>IF($A2332="","",F2332-E2332+1)</f>
        <v/>
      </c>
      <c r="I2332" s="18" t="n"/>
    </row>
    <row r="2333">
      <c r="A2333" s="18">
        <f>IF(ISNUMBER(Dossiers!$D$47),Dossiers!$A$47&amp;" · "&amp;Dossiers!$B$47,"")</f>
        <v/>
      </c>
      <c r="B2333" s="18">
        <f>IF($A2333="","",Paramètres!G11)</f>
        <v/>
      </c>
      <c r="C2333" s="18">
        <f>IF($A2333="","",IF(Paramètres!H11="","",Paramètres!H11))</f>
        <v/>
      </c>
      <c r="D2333" s="18">
        <f>IF($A2333="","",IF(Paramètres!I11="","",Paramètres!I11))</f>
        <v/>
      </c>
      <c r="E2333" s="19">
        <f>IF($A2333="","",IF(Paramètres!J11&amp;Paramètres!L11&amp;Paramètres!N11="",Dossiers!$D$47,MAX(IF(Paramètres!J11="",0,IF(Paramètres!K11="",NA(),IF(LEFT(TRIM(Paramètres!K11),1)="F",INDEX($F$2327:$F$2379,MATCH(Paramètres!J11,Paramètres!$G$5:$G$57,0)),INDEX($E$2327:$E$2379,MATCH(Paramètres!J11,Paramètres!$G$5:$G$57,0)))+IF(RIGHT(TRIM(Paramètres!K11),3)="Fin",1-$H2333,IF(LEFT(TRIM(Paramètres!K11),1)="F",1,0)))),IF(Paramètres!L11="",0,IF(Paramètres!M11="",NA(),IF(LEFT(TRIM(Paramètres!M11),1)="F",INDEX($F$2327:$F$2379,MATCH(Paramètres!L11,Paramètres!$G$5:$G$57,0)),INDEX($E$2327:$E$2379,MATCH(Paramètres!L11,Paramètres!$G$5:$G$57,0)))+IF(RIGHT(TRIM(Paramètres!M11),3)="Fin",1-$H2333,IF(LEFT(TRIM(Paramètres!M11),1)="F",1,0)))),IF(Paramètres!N11="",0,IF(Paramètres!O11="",NA(),IF(LEFT(TRIM(Paramètres!O11),1)="F",INDEX($F$2327:$F$2379,MATCH(Paramètres!N11,Paramètres!$G$5:$G$57,0)),INDEX($E$2327:$E$2379,MATCH(Paramètres!N11,Paramètres!$G$5:$G$57,0)))+IF(RIGHT(TRIM(Paramètres!O11),3)="Fin",1-$H2333,IF(LEFT(TRIM(Paramètres!O11),1)="F",1,0)))))))</f>
        <v/>
      </c>
      <c r="F2333" s="19">
        <f>IF($A2333="","",E2333+$H2333-1)</f>
        <v/>
      </c>
      <c r="G2333" s="18" t="n"/>
      <c r="H2333" s="18">
        <f>IF($A2333="","",IF(I2333&lt;&gt;"",I2333,Paramètres!B11))</f>
        <v/>
      </c>
      <c r="I2333" s="18" t="n"/>
    </row>
    <row r="2334">
      <c r="A2334" s="18">
        <f>IF(ISNUMBER(Dossiers!$D$47),Dossiers!$A$47&amp;" · "&amp;Dossiers!$B$47,"")</f>
        <v/>
      </c>
      <c r="B2334" s="18">
        <f>IF($A2334="","",Paramètres!G12)</f>
        <v/>
      </c>
      <c r="C2334" s="18">
        <f>IF($A2334="","",IF(Paramètres!H12="","",Paramètres!H12))</f>
        <v/>
      </c>
      <c r="D2334" s="18">
        <f>IF($A2334="","",IF(Paramètres!I12="","",Paramètres!I12))</f>
        <v/>
      </c>
      <c r="E2334" s="19">
        <f>IF($A2334="","",IF(Paramètres!J12&amp;Paramètres!L12&amp;Paramètres!N12="",Dossiers!$D$47,MAX(IF(Paramètres!J12="",0,IF(Paramètres!K12="",NA(),IF(LEFT(TRIM(Paramètres!K12),1)="F",INDEX($F$2327:$F$2379,MATCH(Paramètres!J12,Paramètres!$G$5:$G$57,0)),INDEX($E$2327:$E$2379,MATCH(Paramètres!J12,Paramètres!$G$5:$G$57,0)))+IF(RIGHT(TRIM(Paramètres!K12),3)="Fin",1-$H2334,IF(LEFT(TRIM(Paramètres!K12),1)="F",1,0)))),IF(Paramètres!L12="",0,IF(Paramètres!M12="",NA(),IF(LEFT(TRIM(Paramètres!M12),1)="F",INDEX($F$2327:$F$2379,MATCH(Paramètres!L12,Paramètres!$G$5:$G$57,0)),INDEX($E$2327:$E$2379,MATCH(Paramètres!L12,Paramètres!$G$5:$G$57,0)))+IF(RIGHT(TRIM(Paramètres!M12),3)="Fin",1-$H2334,IF(LEFT(TRIM(Paramètres!M12),1)="F",1,0)))),IF(Paramètres!N12="",0,IF(Paramètres!O12="",NA(),IF(LEFT(TRIM(Paramètres!O12),1)="F",INDEX($F$2327:$F$2379,MATCH(Paramètres!N12,Paramètres!$G$5:$G$57,0)),INDEX($E$2327:$E$2379,MATCH(Paramètres!N12,Paramètres!$G$5:$G$57,0)))+IF(RIGHT(TRIM(Paramètres!O12),3)="Fin",1-$H2334,IF(LEFT(TRIM(Paramètres!O12),1)="F",1,0)))))))</f>
        <v/>
      </c>
      <c r="F2334" s="19">
        <f>IF($A2334="","",E2334+$H2334-1)</f>
        <v/>
      </c>
      <c r="G2334" s="18" t="n"/>
      <c r="H2334" s="18">
        <f>IF($A2334="","",IF(I2334&lt;&gt;"",I2334,Paramètres!B12))</f>
        <v/>
      </c>
      <c r="I2334" s="18" t="n"/>
    </row>
    <row r="2335">
      <c r="A2335" s="18">
        <f>IF(ISNUMBER(Dossiers!$D$47),Dossiers!$A$47&amp;" · "&amp;Dossiers!$B$47,"")</f>
        <v/>
      </c>
      <c r="B2335" s="18">
        <f>IF($A2335="","",Paramètres!G13)</f>
        <v/>
      </c>
      <c r="C2335" s="18">
        <f>IF($A2335="","",IF(Paramètres!H13="","",Paramètres!H13))</f>
        <v/>
      </c>
      <c r="D2335" s="18">
        <f>IF($A2335="","",IF(Paramètres!I13="","",Paramètres!I13))</f>
        <v/>
      </c>
      <c r="E2335" s="19">
        <f>IF($A2335="","",IF(Paramètres!J13&amp;Paramètres!L13&amp;Paramètres!N13="",Dossiers!$D$47,MAX(IF(Paramètres!J13="",0,IF(Paramètres!K13="",NA(),IF(LEFT(TRIM(Paramètres!K13),1)="F",INDEX($F$2327:$F$2379,MATCH(Paramètres!J13,Paramètres!$G$5:$G$57,0)),INDEX($E$2327:$E$2379,MATCH(Paramètres!J13,Paramètres!$G$5:$G$57,0)))+IF(RIGHT(TRIM(Paramètres!K13),3)="Fin",1-$H2335,IF(LEFT(TRIM(Paramètres!K13),1)="F",1,0)))),IF(Paramètres!L13="",0,IF(Paramètres!M13="",NA(),IF(LEFT(TRIM(Paramètres!M13),1)="F",INDEX($F$2327:$F$2379,MATCH(Paramètres!L13,Paramètres!$G$5:$G$57,0)),INDEX($E$2327:$E$2379,MATCH(Paramètres!L13,Paramètres!$G$5:$G$57,0)))+IF(RIGHT(TRIM(Paramètres!M13),3)="Fin",1-$H2335,IF(LEFT(TRIM(Paramètres!M13),1)="F",1,0)))),IF(Paramètres!N13="",0,IF(Paramètres!O13="",NA(),IF(LEFT(TRIM(Paramètres!O13),1)="F",INDEX($F$2327:$F$2379,MATCH(Paramètres!N13,Paramètres!$G$5:$G$57,0)),INDEX($E$2327:$E$2379,MATCH(Paramètres!N13,Paramètres!$G$5:$G$57,0)))+IF(RIGHT(TRIM(Paramètres!O13),3)="Fin",1-$H2335,IF(LEFT(TRIM(Paramètres!O13),1)="F",1,0)))))))</f>
        <v/>
      </c>
      <c r="F2335" s="19">
        <f>IF($A2335="","",E2335+$H2335-1)</f>
        <v/>
      </c>
      <c r="G2335" s="18" t="n"/>
      <c r="H2335" s="18">
        <f>IF($A2335="","",IF(I2335&lt;&gt;"",I2335,Paramètres!B13))</f>
        <v/>
      </c>
      <c r="I2335" s="18" t="n"/>
    </row>
    <row r="2336">
      <c r="A2336" s="18">
        <f>IF(ISNUMBER(Dossiers!$D$47),Dossiers!$A$47&amp;" · "&amp;Dossiers!$B$47,"")</f>
        <v/>
      </c>
      <c r="B2336" s="18">
        <f>IF($A2336="","",Paramètres!G14)</f>
        <v/>
      </c>
      <c r="C2336" s="18">
        <f>IF($A2336="","",IF(Paramètres!H14="","",Paramètres!H14))</f>
        <v/>
      </c>
      <c r="D2336" s="18">
        <f>IF($A2336="","",IF(Paramètres!I14="","",Paramètres!I14))</f>
        <v/>
      </c>
      <c r="E2336" s="19">
        <f>IF($A2336="","",IF(Paramètres!J14&amp;Paramètres!L14&amp;Paramètres!N14="",Dossiers!$D$47,MAX(IF(Paramètres!J14="",0,IF(Paramètres!K14="",NA(),IF(LEFT(TRIM(Paramètres!K14),1)="F",INDEX($F$2327:$F$2379,MATCH(Paramètres!J14,Paramètres!$G$5:$G$57,0)),INDEX($E$2327:$E$2379,MATCH(Paramètres!J14,Paramètres!$G$5:$G$57,0)))+IF(RIGHT(TRIM(Paramètres!K14),3)="Fin",1-$H2336,IF(LEFT(TRIM(Paramètres!K14),1)="F",1,0)))),IF(Paramètres!L14="",0,IF(Paramètres!M14="",NA(),IF(LEFT(TRIM(Paramètres!M14),1)="F",INDEX($F$2327:$F$2379,MATCH(Paramètres!L14,Paramètres!$G$5:$G$57,0)),INDEX($E$2327:$E$2379,MATCH(Paramètres!L14,Paramètres!$G$5:$G$57,0)))+IF(RIGHT(TRIM(Paramètres!M14),3)="Fin",1-$H2336,IF(LEFT(TRIM(Paramètres!M14),1)="F",1,0)))),IF(Paramètres!N14="",0,IF(Paramètres!O14="",NA(),IF(LEFT(TRIM(Paramètres!O14),1)="F",INDEX($F$2327:$F$2379,MATCH(Paramètres!N14,Paramètres!$G$5:$G$57,0)),INDEX($E$2327:$E$2379,MATCH(Paramètres!N14,Paramètres!$G$5:$G$57,0)))+IF(RIGHT(TRIM(Paramètres!O14),3)="Fin",1-$H2336,IF(LEFT(TRIM(Paramètres!O14),1)="F",1,0)))))))</f>
        <v/>
      </c>
      <c r="F2336" s="19">
        <f>IF($A2336="","",E2336+$H2336-1)</f>
        <v/>
      </c>
      <c r="G2336" s="18" t="n"/>
      <c r="H2336" s="18">
        <f>IF($A2336="","",IF(I2336&lt;&gt;"",I2336,Paramètres!B14))</f>
        <v/>
      </c>
      <c r="I2336" s="18" t="n"/>
    </row>
    <row r="2337">
      <c r="A2337" s="18">
        <f>IF(ISNUMBER(Dossiers!$D$47),Dossiers!$A$47&amp;" · "&amp;Dossiers!$B$47,"")</f>
        <v/>
      </c>
      <c r="B2337" s="18">
        <f>IF($A2337="","",Paramètres!G15)</f>
        <v/>
      </c>
      <c r="C2337" s="18">
        <f>IF($A2337="","",IF(Paramètres!H15="","",Paramètres!H15))</f>
        <v/>
      </c>
      <c r="D2337" s="18">
        <f>IF($A2337="","",IF(Paramètres!I15="","",Paramètres!I15))</f>
        <v/>
      </c>
      <c r="E2337" s="19">
        <f>IF($A2337="","",MIN(E2338:E2353))</f>
        <v/>
      </c>
      <c r="F2337" s="19">
        <f>IF($A2337="","",MAX(F2338:F2353))</f>
        <v/>
      </c>
      <c r="G2337" s="18" t="n"/>
      <c r="H2337" s="18">
        <f>IF($A2337="","",F2337-E2337+1)</f>
        <v/>
      </c>
      <c r="I2337" s="18" t="n"/>
    </row>
    <row r="2338">
      <c r="A2338" s="18">
        <f>IF(ISNUMBER(Dossiers!$D$47),Dossiers!$A$47&amp;" · "&amp;Dossiers!$B$47,"")</f>
        <v/>
      </c>
      <c r="B2338" s="18">
        <f>IF($A2338="","",Paramètres!G16)</f>
        <v/>
      </c>
      <c r="C2338" s="18">
        <f>IF($A2338="","",IF(Paramètres!H16="","",Paramètres!H16))</f>
        <v/>
      </c>
      <c r="D2338" s="18">
        <f>IF($A2338="","",IF(Paramètres!I16="","",Paramètres!I16))</f>
        <v/>
      </c>
      <c r="E2338" s="19">
        <f>IF($A2338="","",IF(Paramètres!J16&amp;Paramètres!L16&amp;Paramètres!N16="",Dossiers!$D$47,MAX(IF(Paramètres!J16="",0,IF(Paramètres!K16="",NA(),IF(LEFT(TRIM(Paramètres!K16),1)="F",INDEX($F$2327:$F$2379,MATCH(Paramètres!J16,Paramètres!$G$5:$G$57,0)),INDEX($E$2327:$E$2379,MATCH(Paramètres!J16,Paramètres!$G$5:$G$57,0)))+IF(RIGHT(TRIM(Paramètres!K16),3)="Fin",1-$H2338,IF(LEFT(TRIM(Paramètres!K16),1)="F",1,0)))),IF(Paramètres!L16="",0,IF(Paramètres!M16="",NA(),IF(LEFT(TRIM(Paramètres!M16),1)="F",INDEX($F$2327:$F$2379,MATCH(Paramètres!L16,Paramètres!$G$5:$G$57,0)),INDEX($E$2327:$E$2379,MATCH(Paramètres!L16,Paramètres!$G$5:$G$57,0)))+IF(RIGHT(TRIM(Paramètres!M16),3)="Fin",1-$H2338,IF(LEFT(TRIM(Paramètres!M16),1)="F",1,0)))),IF(Paramètres!N16="",0,IF(Paramètres!O16="",NA(),IF(LEFT(TRIM(Paramètres!O16),1)="F",INDEX($F$2327:$F$2379,MATCH(Paramètres!N16,Paramètres!$G$5:$G$57,0)),INDEX($E$2327:$E$2379,MATCH(Paramètres!N16,Paramètres!$G$5:$G$57,0)))+IF(RIGHT(TRIM(Paramètres!O16),3)="Fin",1-$H2338,IF(LEFT(TRIM(Paramètres!O16),1)="F",1,0)))))))</f>
        <v/>
      </c>
      <c r="F2338" s="19">
        <f>IF($A2338="","",E2338+$H2338-1)</f>
        <v/>
      </c>
      <c r="G2338" s="18" t="n"/>
      <c r="H2338" s="18">
        <f>IF($A2338="","",IF(I2338&lt;&gt;"",I2338,Paramètres!B16))</f>
        <v/>
      </c>
      <c r="I2338" s="18" t="n"/>
    </row>
    <row r="2339">
      <c r="A2339" s="18">
        <f>IF(ISNUMBER(Dossiers!$D$47),Dossiers!$A$47&amp;" · "&amp;Dossiers!$B$47,"")</f>
        <v/>
      </c>
      <c r="B2339" s="18">
        <f>IF($A2339="","",Paramètres!G17)</f>
        <v/>
      </c>
      <c r="C2339" s="18">
        <f>IF($A2339="","",IF(Paramètres!H17="","",Paramètres!H17))</f>
        <v/>
      </c>
      <c r="D2339" s="18">
        <f>IF($A2339="","",IF(Paramètres!I17="","",Paramètres!I17))</f>
        <v/>
      </c>
      <c r="E2339" s="19">
        <f>IF($A2339="","",IF(Paramètres!J17&amp;Paramètres!L17&amp;Paramètres!N17="",Dossiers!$D$47,MAX(IF(Paramètres!J17="",0,IF(Paramètres!K17="",NA(),IF(LEFT(TRIM(Paramètres!K17),1)="F",INDEX($F$2327:$F$2379,MATCH(Paramètres!J17,Paramètres!$G$5:$G$57,0)),INDEX($E$2327:$E$2379,MATCH(Paramètres!J17,Paramètres!$G$5:$G$57,0)))+IF(RIGHT(TRIM(Paramètres!K17),3)="Fin",1-$H2339,IF(LEFT(TRIM(Paramètres!K17),1)="F",1,0)))),IF(Paramètres!L17="",0,IF(Paramètres!M17="",NA(),IF(LEFT(TRIM(Paramètres!M17),1)="F",INDEX($F$2327:$F$2379,MATCH(Paramètres!L17,Paramètres!$G$5:$G$57,0)),INDEX($E$2327:$E$2379,MATCH(Paramètres!L17,Paramètres!$G$5:$G$57,0)))+IF(RIGHT(TRIM(Paramètres!M17),3)="Fin",1-$H2339,IF(LEFT(TRIM(Paramètres!M17),1)="F",1,0)))),IF(Paramètres!N17="",0,IF(Paramètres!O17="",NA(),IF(LEFT(TRIM(Paramètres!O17),1)="F",INDEX($F$2327:$F$2379,MATCH(Paramètres!N17,Paramètres!$G$5:$G$57,0)),INDEX($E$2327:$E$2379,MATCH(Paramètres!N17,Paramètres!$G$5:$G$57,0)))+IF(RIGHT(TRIM(Paramètres!O17),3)="Fin",1-$H2339,IF(LEFT(TRIM(Paramètres!O17),1)="F",1,0)))))))</f>
        <v/>
      </c>
      <c r="F2339" s="19">
        <f>IF($A2339="","",E2339+$H2339-1)</f>
        <v/>
      </c>
      <c r="G2339" s="18" t="n"/>
      <c r="H2339" s="18">
        <f>IF($A2339="","",IF(I2339&lt;&gt;"",I2339,Paramètres!B17))</f>
        <v/>
      </c>
      <c r="I2339" s="18" t="n"/>
    </row>
    <row r="2340">
      <c r="A2340" s="18">
        <f>IF(ISNUMBER(Dossiers!$D$47),Dossiers!$A$47&amp;" · "&amp;Dossiers!$B$47,"")</f>
        <v/>
      </c>
      <c r="B2340" s="18">
        <f>IF($A2340="","",Paramètres!G18)</f>
        <v/>
      </c>
      <c r="C2340" s="18">
        <f>IF($A2340="","",IF(Paramètres!H18="","",Paramètres!H18))</f>
        <v/>
      </c>
      <c r="D2340" s="18">
        <f>IF($A2340="","",IF(Paramètres!I18="","",Paramètres!I18))</f>
        <v/>
      </c>
      <c r="E2340" s="19">
        <f>IF($A2340="","",IF(Paramètres!J18&amp;Paramètres!L18&amp;Paramètres!N18="",Dossiers!$D$47,MAX(IF(Paramètres!J18="",0,IF(Paramètres!K18="",NA(),IF(LEFT(TRIM(Paramètres!K18),1)="F",INDEX($F$2327:$F$2379,MATCH(Paramètres!J18,Paramètres!$G$5:$G$57,0)),INDEX($E$2327:$E$2379,MATCH(Paramètres!J18,Paramètres!$G$5:$G$57,0)))+IF(RIGHT(TRIM(Paramètres!K18),3)="Fin",1-$H2340,IF(LEFT(TRIM(Paramètres!K18),1)="F",1,0)))),IF(Paramètres!L18="",0,IF(Paramètres!M18="",NA(),IF(LEFT(TRIM(Paramètres!M18),1)="F",INDEX($F$2327:$F$2379,MATCH(Paramètres!L18,Paramètres!$G$5:$G$57,0)),INDEX($E$2327:$E$2379,MATCH(Paramètres!L18,Paramètres!$G$5:$G$57,0)))+IF(RIGHT(TRIM(Paramètres!M18),3)="Fin",1-$H2340,IF(LEFT(TRIM(Paramètres!M18),1)="F",1,0)))),IF(Paramètres!N18="",0,IF(Paramètres!O18="",NA(),IF(LEFT(TRIM(Paramètres!O18),1)="F",INDEX($F$2327:$F$2379,MATCH(Paramètres!N18,Paramètres!$G$5:$G$57,0)),INDEX($E$2327:$E$2379,MATCH(Paramètres!N18,Paramètres!$G$5:$G$57,0)))+IF(RIGHT(TRIM(Paramètres!O18),3)="Fin",1-$H2340,IF(LEFT(TRIM(Paramètres!O18),1)="F",1,0)))))))</f>
        <v/>
      </c>
      <c r="F2340" s="19">
        <f>IF($A2340="","",E2340+$H2340-1)</f>
        <v/>
      </c>
      <c r="G2340" s="18" t="n"/>
      <c r="H2340" s="18">
        <f>IF($A2340="","",IF(I2340&lt;&gt;"",I2340,Paramètres!B18))</f>
        <v/>
      </c>
      <c r="I2340" s="18" t="n"/>
    </row>
    <row r="2341">
      <c r="A2341" s="18">
        <f>IF(ISNUMBER(Dossiers!$D$47),Dossiers!$A$47&amp;" · "&amp;Dossiers!$B$47,"")</f>
        <v/>
      </c>
      <c r="B2341" s="18">
        <f>IF($A2341="","",Paramètres!G19)</f>
        <v/>
      </c>
      <c r="C2341" s="18">
        <f>IF($A2341="","",IF(Paramètres!H19="","",Paramètres!H19))</f>
        <v/>
      </c>
      <c r="D2341" s="18">
        <f>IF($A2341="","",IF(Paramètres!I19="","",Paramètres!I19))</f>
        <v/>
      </c>
      <c r="E2341" s="19">
        <f>IF($A2341="","",IF(Paramètres!J19&amp;Paramètres!L19&amp;Paramètres!N19="",Dossiers!$D$47,MAX(IF(Paramètres!J19="",0,IF(Paramètres!K19="",NA(),IF(LEFT(TRIM(Paramètres!K19),1)="F",INDEX($F$2327:$F$2379,MATCH(Paramètres!J19,Paramètres!$G$5:$G$57,0)),INDEX($E$2327:$E$2379,MATCH(Paramètres!J19,Paramètres!$G$5:$G$57,0)))+IF(RIGHT(TRIM(Paramètres!K19),3)="Fin",1-$H2341,IF(LEFT(TRIM(Paramètres!K19),1)="F",1,0)))),IF(Paramètres!L19="",0,IF(Paramètres!M19="",NA(),IF(LEFT(TRIM(Paramètres!M19),1)="F",INDEX($F$2327:$F$2379,MATCH(Paramètres!L19,Paramètres!$G$5:$G$57,0)),INDEX($E$2327:$E$2379,MATCH(Paramètres!L19,Paramètres!$G$5:$G$57,0)))+IF(RIGHT(TRIM(Paramètres!M19),3)="Fin",1-$H2341,IF(LEFT(TRIM(Paramètres!M19),1)="F",1,0)))),IF(Paramètres!N19="",0,IF(Paramètres!O19="",NA(),IF(LEFT(TRIM(Paramètres!O19),1)="F",INDEX($F$2327:$F$2379,MATCH(Paramètres!N19,Paramètres!$G$5:$G$57,0)),INDEX($E$2327:$E$2379,MATCH(Paramètres!N19,Paramètres!$G$5:$G$57,0)))+IF(RIGHT(TRIM(Paramètres!O19),3)="Fin",1-$H2341,IF(LEFT(TRIM(Paramètres!O19),1)="F",1,0)))))))</f>
        <v/>
      </c>
      <c r="F2341" s="19">
        <f>IF($A2341="","",E2341+$H2341-1)</f>
        <v/>
      </c>
      <c r="G2341" s="18" t="n"/>
      <c r="H2341" s="18">
        <f>IF($A2341="","",IF(I2341&lt;&gt;"",I2341,Paramètres!B19))</f>
        <v/>
      </c>
      <c r="I2341" s="18" t="n"/>
    </row>
    <row r="2342">
      <c r="A2342" s="18">
        <f>IF(ISNUMBER(Dossiers!$D$47),Dossiers!$A$47&amp;" · "&amp;Dossiers!$B$47,"")</f>
        <v/>
      </c>
      <c r="B2342" s="18">
        <f>IF($A2342="","",Paramètres!G20)</f>
        <v/>
      </c>
      <c r="C2342" s="18">
        <f>IF($A2342="","",IF(Paramètres!H20="","",Paramètres!H20))</f>
        <v/>
      </c>
      <c r="D2342" s="18">
        <f>IF($A2342="","",IF(Paramètres!I20="","",Paramètres!I20))</f>
        <v/>
      </c>
      <c r="E2342" s="19">
        <f>IF($A2342="","",IF(Paramètres!J20&amp;Paramètres!L20&amp;Paramètres!N20="",Dossiers!$D$47,MAX(IF(Paramètres!J20="",0,IF(Paramètres!K20="",NA(),IF(LEFT(TRIM(Paramètres!K20),1)="F",INDEX($F$2327:$F$2379,MATCH(Paramètres!J20,Paramètres!$G$5:$G$57,0)),INDEX($E$2327:$E$2379,MATCH(Paramètres!J20,Paramètres!$G$5:$G$57,0)))+IF(RIGHT(TRIM(Paramètres!K20),3)="Fin",1-$H2342,IF(LEFT(TRIM(Paramètres!K20),1)="F",1,0)))),IF(Paramètres!L20="",0,IF(Paramètres!M20="",NA(),IF(LEFT(TRIM(Paramètres!M20),1)="F",INDEX($F$2327:$F$2379,MATCH(Paramètres!L20,Paramètres!$G$5:$G$57,0)),INDEX($E$2327:$E$2379,MATCH(Paramètres!L20,Paramètres!$G$5:$G$57,0)))+IF(RIGHT(TRIM(Paramètres!M20),3)="Fin",1-$H2342,IF(LEFT(TRIM(Paramètres!M20),1)="F",1,0)))),IF(Paramètres!N20="",0,IF(Paramètres!O20="",NA(),IF(LEFT(TRIM(Paramètres!O20),1)="F",INDEX($F$2327:$F$2379,MATCH(Paramètres!N20,Paramètres!$G$5:$G$57,0)),INDEX($E$2327:$E$2379,MATCH(Paramètres!N20,Paramètres!$G$5:$G$57,0)))+IF(RIGHT(TRIM(Paramètres!O20),3)="Fin",1-$H2342,IF(LEFT(TRIM(Paramètres!O20),1)="F",1,0)))))))</f>
        <v/>
      </c>
      <c r="F2342" s="19">
        <f>IF($A2342="","",E2342+$H2342-1)</f>
        <v/>
      </c>
      <c r="G2342" s="18" t="n"/>
      <c r="H2342" s="18">
        <f>IF($A2342="","",IF(I2342&lt;&gt;"",I2342,Paramètres!B20))</f>
        <v/>
      </c>
      <c r="I2342" s="18" t="n"/>
    </row>
    <row r="2343">
      <c r="A2343" s="18">
        <f>IF(ISNUMBER(Dossiers!$D$47),Dossiers!$A$47&amp;" · "&amp;Dossiers!$B$47,"")</f>
        <v/>
      </c>
      <c r="B2343" s="18">
        <f>IF($A2343="","",Paramètres!G21)</f>
        <v/>
      </c>
      <c r="C2343" s="18">
        <f>IF($A2343="","",IF(Paramètres!H21="","",Paramètres!H21))</f>
        <v/>
      </c>
      <c r="D2343" s="18">
        <f>IF($A2343="","",IF(Paramètres!I21="","",Paramètres!I21))</f>
        <v/>
      </c>
      <c r="E2343" s="19">
        <f>IF($A2343="","",IF(Paramètres!J21&amp;Paramètres!L21&amp;Paramètres!N21="",Dossiers!$D$47,MAX(IF(Paramètres!J21="",0,IF(Paramètres!K21="",NA(),IF(LEFT(TRIM(Paramètres!K21),1)="F",INDEX($F$2327:$F$2379,MATCH(Paramètres!J21,Paramètres!$G$5:$G$57,0)),INDEX($E$2327:$E$2379,MATCH(Paramètres!J21,Paramètres!$G$5:$G$57,0)))+IF(RIGHT(TRIM(Paramètres!K21),3)="Fin",1-$H2343,IF(LEFT(TRIM(Paramètres!K21),1)="F",1,0)))),IF(Paramètres!L21="",0,IF(Paramètres!M21="",NA(),IF(LEFT(TRIM(Paramètres!M21),1)="F",INDEX($F$2327:$F$2379,MATCH(Paramètres!L21,Paramètres!$G$5:$G$57,0)),INDEX($E$2327:$E$2379,MATCH(Paramètres!L21,Paramètres!$G$5:$G$57,0)))+IF(RIGHT(TRIM(Paramètres!M21),3)="Fin",1-$H2343,IF(LEFT(TRIM(Paramètres!M21),1)="F",1,0)))),IF(Paramètres!N21="",0,IF(Paramètres!O21="",NA(),IF(LEFT(TRIM(Paramètres!O21),1)="F",INDEX($F$2327:$F$2379,MATCH(Paramètres!N21,Paramètres!$G$5:$G$57,0)),INDEX($E$2327:$E$2379,MATCH(Paramètres!N21,Paramètres!$G$5:$G$57,0)))+IF(RIGHT(TRIM(Paramètres!O21),3)="Fin",1-$H2343,IF(LEFT(TRIM(Paramètres!O21),1)="F",1,0)))))))</f>
        <v/>
      </c>
      <c r="F2343" s="19">
        <f>IF($A2343="","",E2343+$H2343-1)</f>
        <v/>
      </c>
      <c r="G2343" s="18" t="n"/>
      <c r="H2343" s="18">
        <f>IF($A2343="","",IF(I2343&lt;&gt;"",I2343,Paramètres!B21))</f>
        <v/>
      </c>
      <c r="I2343" s="18" t="n"/>
    </row>
    <row r="2344">
      <c r="A2344" s="18">
        <f>IF(ISNUMBER(Dossiers!$D$47),Dossiers!$A$47&amp;" · "&amp;Dossiers!$B$47,"")</f>
        <v/>
      </c>
      <c r="B2344" s="18">
        <f>IF($A2344="","",Paramètres!G22)</f>
        <v/>
      </c>
      <c r="C2344" s="18">
        <f>IF($A2344="","",IF(Paramètres!H22="","",Paramètres!H22))</f>
        <v/>
      </c>
      <c r="D2344" s="18">
        <f>IF($A2344="","",IF(Paramètres!I22="","",Paramètres!I22))</f>
        <v/>
      </c>
      <c r="E2344" s="19">
        <f>IF($A2344="","",IF(Paramètres!J22&amp;Paramètres!L22&amp;Paramètres!N22="",Dossiers!$D$47,MAX(IF(Paramètres!J22="",0,IF(Paramètres!K22="",NA(),IF(LEFT(TRIM(Paramètres!K22),1)="F",INDEX($F$2327:$F$2379,MATCH(Paramètres!J22,Paramètres!$G$5:$G$57,0)),INDEX($E$2327:$E$2379,MATCH(Paramètres!J22,Paramètres!$G$5:$G$57,0)))+IF(RIGHT(TRIM(Paramètres!K22),3)="Fin",1-$H2344,IF(LEFT(TRIM(Paramètres!K22),1)="F",1,0)))),IF(Paramètres!L22="",0,IF(Paramètres!M22="",NA(),IF(LEFT(TRIM(Paramètres!M22),1)="F",INDEX($F$2327:$F$2379,MATCH(Paramètres!L22,Paramètres!$G$5:$G$57,0)),INDEX($E$2327:$E$2379,MATCH(Paramètres!L22,Paramètres!$G$5:$G$57,0)))+IF(RIGHT(TRIM(Paramètres!M22),3)="Fin",1-$H2344,IF(LEFT(TRIM(Paramètres!M22),1)="F",1,0)))),IF(Paramètres!N22="",0,IF(Paramètres!O22="",NA(),IF(LEFT(TRIM(Paramètres!O22),1)="F",INDEX($F$2327:$F$2379,MATCH(Paramètres!N22,Paramètres!$G$5:$G$57,0)),INDEX($E$2327:$E$2379,MATCH(Paramètres!N22,Paramètres!$G$5:$G$57,0)))+IF(RIGHT(TRIM(Paramètres!O22),3)="Fin",1-$H2344,IF(LEFT(TRIM(Paramètres!O22),1)="F",1,0)))))))</f>
        <v/>
      </c>
      <c r="F2344" s="19">
        <f>IF($A2344="","",E2344+$H2344-1)</f>
        <v/>
      </c>
      <c r="G2344" s="18" t="n"/>
      <c r="H2344" s="18">
        <f>IF($A2344="","",IF(I2344&lt;&gt;"",I2344,Paramètres!B22))</f>
        <v/>
      </c>
      <c r="I2344" s="18" t="n"/>
    </row>
    <row r="2345">
      <c r="A2345" s="18">
        <f>IF(ISNUMBER(Dossiers!$D$47),Dossiers!$A$47&amp;" · "&amp;Dossiers!$B$47,"")</f>
        <v/>
      </c>
      <c r="B2345" s="18">
        <f>IF($A2345="","",Paramètres!G23)</f>
        <v/>
      </c>
      <c r="C2345" s="18">
        <f>IF($A2345="","",IF(Paramètres!H23="","",Paramètres!H23))</f>
        <v/>
      </c>
      <c r="D2345" s="18">
        <f>IF($A2345="","",IF(Paramètres!I23="","",Paramètres!I23))</f>
        <v/>
      </c>
      <c r="E2345" s="19">
        <f>IF($A2345="","",IF(Paramètres!J23&amp;Paramètres!L23&amp;Paramètres!N23="",Dossiers!$D$47,MAX(IF(Paramètres!J23="",0,IF(Paramètres!K23="",NA(),IF(LEFT(TRIM(Paramètres!K23),1)="F",INDEX($F$2327:$F$2379,MATCH(Paramètres!J23,Paramètres!$G$5:$G$57,0)),INDEX($E$2327:$E$2379,MATCH(Paramètres!J23,Paramètres!$G$5:$G$57,0)))+IF(RIGHT(TRIM(Paramètres!K23),3)="Fin",1-$H2345,IF(LEFT(TRIM(Paramètres!K23),1)="F",1,0)))),IF(Paramètres!L23="",0,IF(Paramètres!M23="",NA(),IF(LEFT(TRIM(Paramètres!M23),1)="F",INDEX($F$2327:$F$2379,MATCH(Paramètres!L23,Paramètres!$G$5:$G$57,0)),INDEX($E$2327:$E$2379,MATCH(Paramètres!L23,Paramètres!$G$5:$G$57,0)))+IF(RIGHT(TRIM(Paramètres!M23),3)="Fin",1-$H2345,IF(LEFT(TRIM(Paramètres!M23),1)="F",1,0)))),IF(Paramètres!N23="",0,IF(Paramètres!O23="",NA(),IF(LEFT(TRIM(Paramètres!O23),1)="F",INDEX($F$2327:$F$2379,MATCH(Paramètres!N23,Paramètres!$G$5:$G$57,0)),INDEX($E$2327:$E$2379,MATCH(Paramètres!N23,Paramètres!$G$5:$G$57,0)))+IF(RIGHT(TRIM(Paramètres!O23),3)="Fin",1-$H2345,IF(LEFT(TRIM(Paramètres!O23),1)="F",1,0)))))))</f>
        <v/>
      </c>
      <c r="F2345" s="19">
        <f>IF($A2345="","",E2345+$H2345-1)</f>
        <v/>
      </c>
      <c r="G2345" s="18" t="n"/>
      <c r="H2345" s="18">
        <f>IF($A2345="","",IF(I2345&lt;&gt;"",I2345,Paramètres!B23))</f>
        <v/>
      </c>
      <c r="I2345" s="18" t="n"/>
    </row>
    <row r="2346">
      <c r="A2346" s="18">
        <f>IF(ISNUMBER(Dossiers!$D$47),Dossiers!$A$47&amp;" · "&amp;Dossiers!$B$47,"")</f>
        <v/>
      </c>
      <c r="B2346" s="18">
        <f>IF($A2346="","",Paramètres!G24)</f>
        <v/>
      </c>
      <c r="C2346" s="18">
        <f>IF($A2346="","",IF(Paramètres!H24="","",Paramètres!H24))</f>
        <v/>
      </c>
      <c r="D2346" s="18">
        <f>IF($A2346="","",IF(Paramètres!I24="","",Paramètres!I24))</f>
        <v/>
      </c>
      <c r="E2346" s="19">
        <f>IF($A2346="","",IF(Paramètres!J24&amp;Paramètres!L24&amp;Paramètres!N24="",Dossiers!$D$47,MAX(IF(Paramètres!J24="",0,IF(Paramètres!K24="",NA(),IF(LEFT(TRIM(Paramètres!K24),1)="F",INDEX($F$2327:$F$2379,MATCH(Paramètres!J24,Paramètres!$G$5:$G$57,0)),INDEX($E$2327:$E$2379,MATCH(Paramètres!J24,Paramètres!$G$5:$G$57,0)))+IF(RIGHT(TRIM(Paramètres!K24),3)="Fin",1-$H2346,IF(LEFT(TRIM(Paramètres!K24),1)="F",1,0)))),IF(Paramètres!L24="",0,IF(Paramètres!M24="",NA(),IF(LEFT(TRIM(Paramètres!M24),1)="F",INDEX($F$2327:$F$2379,MATCH(Paramètres!L24,Paramètres!$G$5:$G$57,0)),INDEX($E$2327:$E$2379,MATCH(Paramètres!L24,Paramètres!$G$5:$G$57,0)))+IF(RIGHT(TRIM(Paramètres!M24),3)="Fin",1-$H2346,IF(LEFT(TRIM(Paramètres!M24),1)="F",1,0)))),IF(Paramètres!N24="",0,IF(Paramètres!O24="",NA(),IF(LEFT(TRIM(Paramètres!O24),1)="F",INDEX($F$2327:$F$2379,MATCH(Paramètres!N24,Paramètres!$G$5:$G$57,0)),INDEX($E$2327:$E$2379,MATCH(Paramètres!N24,Paramètres!$G$5:$G$57,0)))+IF(RIGHT(TRIM(Paramètres!O24),3)="Fin",1-$H2346,IF(LEFT(TRIM(Paramètres!O24),1)="F",1,0)))))))</f>
        <v/>
      </c>
      <c r="F2346" s="19">
        <f>IF($A2346="","",E2346+$H2346-1)</f>
        <v/>
      </c>
      <c r="G2346" s="18" t="n"/>
      <c r="H2346" s="18">
        <f>IF($A2346="","",IF(I2346&lt;&gt;"",I2346,Paramètres!B24))</f>
        <v/>
      </c>
      <c r="I2346" s="18" t="n"/>
    </row>
    <row r="2347">
      <c r="A2347" s="18">
        <f>IF(ISNUMBER(Dossiers!$D$47),Dossiers!$A$47&amp;" · "&amp;Dossiers!$B$47,"")</f>
        <v/>
      </c>
      <c r="B2347" s="18">
        <f>IF($A2347="","",Paramètres!G25)</f>
        <v/>
      </c>
      <c r="C2347" s="18">
        <f>IF($A2347="","",IF(Paramètres!H25="","",Paramètres!H25))</f>
        <v/>
      </c>
      <c r="D2347" s="18">
        <f>IF($A2347="","",IF(Paramètres!I25="","",Paramètres!I25))</f>
        <v/>
      </c>
      <c r="E2347" s="19">
        <f>IF($A2347="","",IF(Paramètres!J25&amp;Paramètres!L25&amp;Paramètres!N25="",Dossiers!$D$47,MAX(IF(Paramètres!J25="",0,IF(Paramètres!K25="",NA(),IF(LEFT(TRIM(Paramètres!K25),1)="F",INDEX($F$2327:$F$2379,MATCH(Paramètres!J25,Paramètres!$G$5:$G$57,0)),INDEX($E$2327:$E$2379,MATCH(Paramètres!J25,Paramètres!$G$5:$G$57,0)))+IF(RIGHT(TRIM(Paramètres!K25),3)="Fin",1-$H2347,IF(LEFT(TRIM(Paramètres!K25),1)="F",1,0)))),IF(Paramètres!L25="",0,IF(Paramètres!M25="",NA(),IF(LEFT(TRIM(Paramètres!M25),1)="F",INDEX($F$2327:$F$2379,MATCH(Paramètres!L25,Paramètres!$G$5:$G$57,0)),INDEX($E$2327:$E$2379,MATCH(Paramètres!L25,Paramètres!$G$5:$G$57,0)))+IF(RIGHT(TRIM(Paramètres!M25),3)="Fin",1-$H2347,IF(LEFT(TRIM(Paramètres!M25),1)="F",1,0)))),IF(Paramètres!N25="",0,IF(Paramètres!O25="",NA(),IF(LEFT(TRIM(Paramètres!O25),1)="F",INDEX($F$2327:$F$2379,MATCH(Paramètres!N25,Paramètres!$G$5:$G$57,0)),INDEX($E$2327:$E$2379,MATCH(Paramètres!N25,Paramètres!$G$5:$G$57,0)))+IF(RIGHT(TRIM(Paramètres!O25),3)="Fin",1-$H2347,IF(LEFT(TRIM(Paramètres!O25),1)="F",1,0)))))))</f>
        <v/>
      </c>
      <c r="F2347" s="19">
        <f>IF($A2347="","",E2347+$H2347-1)</f>
        <v/>
      </c>
      <c r="G2347" s="18" t="n"/>
      <c r="H2347" s="18">
        <f>IF($A2347="","",IF(I2347&lt;&gt;"",I2347,Paramètres!B25))</f>
        <v/>
      </c>
      <c r="I2347" s="18" t="n"/>
    </row>
    <row r="2348">
      <c r="A2348" s="18">
        <f>IF(ISNUMBER(Dossiers!$D$47),Dossiers!$A$47&amp;" · "&amp;Dossiers!$B$47,"")</f>
        <v/>
      </c>
      <c r="B2348" s="18">
        <f>IF($A2348="","",Paramètres!G26)</f>
        <v/>
      </c>
      <c r="C2348" s="18">
        <f>IF($A2348="","",IF(Paramètres!H26="","",Paramètres!H26))</f>
        <v/>
      </c>
      <c r="D2348" s="18">
        <f>IF($A2348="","",IF(Paramètres!I26="","",Paramètres!I26))</f>
        <v/>
      </c>
      <c r="E2348" s="19">
        <f>IF($A2348="","",IF(Paramètres!J26&amp;Paramètres!L26&amp;Paramètres!N26="",Dossiers!$D$47,MAX(IF(Paramètres!J26="",0,IF(Paramètres!K26="",NA(),IF(LEFT(TRIM(Paramètres!K26),1)="F",INDEX($F$2327:$F$2379,MATCH(Paramètres!J26,Paramètres!$G$5:$G$57,0)),INDEX($E$2327:$E$2379,MATCH(Paramètres!J26,Paramètres!$G$5:$G$57,0)))+IF(RIGHT(TRIM(Paramètres!K26),3)="Fin",1-$H2348,IF(LEFT(TRIM(Paramètres!K26),1)="F",1,0)))),IF(Paramètres!L26="",0,IF(Paramètres!M26="",NA(),IF(LEFT(TRIM(Paramètres!M26),1)="F",INDEX($F$2327:$F$2379,MATCH(Paramètres!L26,Paramètres!$G$5:$G$57,0)),INDEX($E$2327:$E$2379,MATCH(Paramètres!L26,Paramètres!$G$5:$G$57,0)))+IF(RIGHT(TRIM(Paramètres!M26),3)="Fin",1-$H2348,IF(LEFT(TRIM(Paramètres!M26),1)="F",1,0)))),IF(Paramètres!N26="",0,IF(Paramètres!O26="",NA(),IF(LEFT(TRIM(Paramètres!O26),1)="F",INDEX($F$2327:$F$2379,MATCH(Paramètres!N26,Paramètres!$G$5:$G$57,0)),INDEX($E$2327:$E$2379,MATCH(Paramètres!N26,Paramètres!$G$5:$G$57,0)))+IF(RIGHT(TRIM(Paramètres!O26),3)="Fin",1-$H2348,IF(LEFT(TRIM(Paramètres!O26),1)="F",1,0)))))))</f>
        <v/>
      </c>
      <c r="F2348" s="19">
        <f>IF($A2348="","",E2348+$H2348-1)</f>
        <v/>
      </c>
      <c r="G2348" s="18" t="n"/>
      <c r="H2348" s="18">
        <f>IF($A2348="","",IF(I2348&lt;&gt;"",I2348,Paramètres!B26))</f>
        <v/>
      </c>
      <c r="I2348" s="18" t="n"/>
    </row>
    <row r="2349">
      <c r="A2349" s="18">
        <f>IF(ISNUMBER(Dossiers!$D$47),Dossiers!$A$47&amp;" · "&amp;Dossiers!$B$47,"")</f>
        <v/>
      </c>
      <c r="B2349" s="18">
        <f>IF($A2349="","",Paramètres!G27)</f>
        <v/>
      </c>
      <c r="C2349" s="18">
        <f>IF($A2349="","",IF(Paramètres!H27="","",Paramètres!H27))</f>
        <v/>
      </c>
      <c r="D2349" s="18">
        <f>IF($A2349="","",IF(Paramètres!I27="","",Paramètres!I27))</f>
        <v/>
      </c>
      <c r="E2349" s="19">
        <f>IF($A2349="","",IF(Paramètres!J27&amp;Paramètres!L27&amp;Paramètres!N27="",Dossiers!$D$47,MAX(IF(Paramètres!J27="",0,IF(Paramètres!K27="",NA(),IF(LEFT(TRIM(Paramètres!K27),1)="F",INDEX($F$2327:$F$2379,MATCH(Paramètres!J27,Paramètres!$G$5:$G$57,0)),INDEX($E$2327:$E$2379,MATCH(Paramètres!J27,Paramètres!$G$5:$G$57,0)))+IF(RIGHT(TRIM(Paramètres!K27),3)="Fin",1-$H2349,IF(LEFT(TRIM(Paramètres!K27),1)="F",1,0)))),IF(Paramètres!L27="",0,IF(Paramètres!M27="",NA(),IF(LEFT(TRIM(Paramètres!M27),1)="F",INDEX($F$2327:$F$2379,MATCH(Paramètres!L27,Paramètres!$G$5:$G$57,0)),INDEX($E$2327:$E$2379,MATCH(Paramètres!L27,Paramètres!$G$5:$G$57,0)))+IF(RIGHT(TRIM(Paramètres!M27),3)="Fin",1-$H2349,IF(LEFT(TRIM(Paramètres!M27),1)="F",1,0)))),IF(Paramètres!N27="",0,IF(Paramètres!O27="",NA(),IF(LEFT(TRIM(Paramètres!O27),1)="F",INDEX($F$2327:$F$2379,MATCH(Paramètres!N27,Paramètres!$G$5:$G$57,0)),INDEX($E$2327:$E$2379,MATCH(Paramètres!N27,Paramètres!$G$5:$G$57,0)))+IF(RIGHT(TRIM(Paramètres!O27),3)="Fin",1-$H2349,IF(LEFT(TRIM(Paramètres!O27),1)="F",1,0)))))))</f>
        <v/>
      </c>
      <c r="F2349" s="19">
        <f>IF($A2349="","",E2349+$H2349-1)</f>
        <v/>
      </c>
      <c r="G2349" s="18" t="n"/>
      <c r="H2349" s="18">
        <f>IF($A2349="","",IF(I2349&lt;&gt;"",I2349,Paramètres!B27))</f>
        <v/>
      </c>
      <c r="I2349" s="18" t="n"/>
    </row>
    <row r="2350">
      <c r="A2350" s="18">
        <f>IF(ISNUMBER(Dossiers!$D$47),Dossiers!$A$47&amp;" · "&amp;Dossiers!$B$47,"")</f>
        <v/>
      </c>
      <c r="B2350" s="18">
        <f>IF($A2350="","",Paramètres!G28)</f>
        <v/>
      </c>
      <c r="C2350" s="18">
        <f>IF($A2350="","",IF(Paramètres!H28="","",Paramètres!H28))</f>
        <v/>
      </c>
      <c r="D2350" s="18">
        <f>IF($A2350="","",IF(Paramètres!I28="","",Paramètres!I28))</f>
        <v/>
      </c>
      <c r="E2350" s="19">
        <f>IF($A2350="","",IF(Paramètres!J28&amp;Paramètres!L28&amp;Paramètres!N28="",Dossiers!$D$47,MAX(IF(Paramètres!J28="",0,IF(Paramètres!K28="",NA(),IF(LEFT(TRIM(Paramètres!K28),1)="F",INDEX($F$2327:$F$2379,MATCH(Paramètres!J28,Paramètres!$G$5:$G$57,0)),INDEX($E$2327:$E$2379,MATCH(Paramètres!J28,Paramètres!$G$5:$G$57,0)))+IF(RIGHT(TRIM(Paramètres!K28),3)="Fin",1-$H2350,IF(LEFT(TRIM(Paramètres!K28),1)="F",1,0)))),IF(Paramètres!L28="",0,IF(Paramètres!M28="",NA(),IF(LEFT(TRIM(Paramètres!M28),1)="F",INDEX($F$2327:$F$2379,MATCH(Paramètres!L28,Paramètres!$G$5:$G$57,0)),INDEX($E$2327:$E$2379,MATCH(Paramètres!L28,Paramètres!$G$5:$G$57,0)))+IF(RIGHT(TRIM(Paramètres!M28),3)="Fin",1-$H2350,IF(LEFT(TRIM(Paramètres!M28),1)="F",1,0)))),IF(Paramètres!N28="",0,IF(Paramètres!O28="",NA(),IF(LEFT(TRIM(Paramètres!O28),1)="F",INDEX($F$2327:$F$2379,MATCH(Paramètres!N28,Paramètres!$G$5:$G$57,0)),INDEX($E$2327:$E$2379,MATCH(Paramètres!N28,Paramètres!$G$5:$G$57,0)))+IF(RIGHT(TRIM(Paramètres!O28),3)="Fin",1-$H2350,IF(LEFT(TRIM(Paramètres!O28),1)="F",1,0)))))))</f>
        <v/>
      </c>
      <c r="F2350" s="19">
        <f>IF($A2350="","",E2350+$H2350-1)</f>
        <v/>
      </c>
      <c r="G2350" s="18" t="n"/>
      <c r="H2350" s="18">
        <f>IF($A2350="","",IF(I2350&lt;&gt;"",I2350,Paramètres!B28))</f>
        <v/>
      </c>
      <c r="I2350" s="18" t="n"/>
    </row>
    <row r="2351">
      <c r="A2351" s="18">
        <f>IF(ISNUMBER(Dossiers!$D$47),Dossiers!$A$47&amp;" · "&amp;Dossiers!$B$47,"")</f>
        <v/>
      </c>
      <c r="B2351" s="18">
        <f>IF($A2351="","",Paramètres!G29)</f>
        <v/>
      </c>
      <c r="C2351" s="18">
        <f>IF($A2351="","",IF(Paramètres!H29="","",Paramètres!H29))</f>
        <v/>
      </c>
      <c r="D2351" s="18">
        <f>IF($A2351="","",IF(Paramètres!I29="","",Paramètres!I29))</f>
        <v/>
      </c>
      <c r="E2351" s="19">
        <f>IF($A2351="","",IF(Paramètres!J29&amp;Paramètres!L29&amp;Paramètres!N29="",Dossiers!$D$47,MAX(IF(Paramètres!J29="",0,IF(Paramètres!K29="",NA(),IF(LEFT(TRIM(Paramètres!K29),1)="F",INDEX($F$2327:$F$2379,MATCH(Paramètres!J29,Paramètres!$G$5:$G$57,0)),INDEX($E$2327:$E$2379,MATCH(Paramètres!J29,Paramètres!$G$5:$G$57,0)))+IF(RIGHT(TRIM(Paramètres!K29),3)="Fin",1-$H2351,IF(LEFT(TRIM(Paramètres!K29),1)="F",1,0)))),IF(Paramètres!L29="",0,IF(Paramètres!M29="",NA(),IF(LEFT(TRIM(Paramètres!M29),1)="F",INDEX($F$2327:$F$2379,MATCH(Paramètres!L29,Paramètres!$G$5:$G$57,0)),INDEX($E$2327:$E$2379,MATCH(Paramètres!L29,Paramètres!$G$5:$G$57,0)))+IF(RIGHT(TRIM(Paramètres!M29),3)="Fin",1-$H2351,IF(LEFT(TRIM(Paramètres!M29),1)="F",1,0)))),IF(Paramètres!N29="",0,IF(Paramètres!O29="",NA(),IF(LEFT(TRIM(Paramètres!O29),1)="F",INDEX($F$2327:$F$2379,MATCH(Paramètres!N29,Paramètres!$G$5:$G$57,0)),INDEX($E$2327:$E$2379,MATCH(Paramètres!N29,Paramètres!$G$5:$G$57,0)))+IF(RIGHT(TRIM(Paramètres!O29),3)="Fin",1-$H2351,IF(LEFT(TRIM(Paramètres!O29),1)="F",1,0)))))))</f>
        <v/>
      </c>
      <c r="F2351" s="19">
        <f>IF($A2351="","",E2351+$H2351-1)</f>
        <v/>
      </c>
      <c r="G2351" s="18" t="n"/>
      <c r="H2351" s="18">
        <f>IF($A2351="","",IF(I2351&lt;&gt;"",I2351,Paramètres!B29))</f>
        <v/>
      </c>
      <c r="I2351" s="18" t="n"/>
    </row>
    <row r="2352">
      <c r="A2352" s="18">
        <f>IF(ISNUMBER(Dossiers!$D$47),Dossiers!$A$47&amp;" · "&amp;Dossiers!$B$47,"")</f>
        <v/>
      </c>
      <c r="B2352" s="18">
        <f>IF($A2352="","",Paramètres!G30)</f>
        <v/>
      </c>
      <c r="C2352" s="18">
        <f>IF($A2352="","",IF(Paramètres!H30="","",Paramètres!H30))</f>
        <v/>
      </c>
      <c r="D2352" s="18">
        <f>IF($A2352="","",IF(Paramètres!I30="","",Paramètres!I30))</f>
        <v/>
      </c>
      <c r="E2352" s="19">
        <f>IF($A2352="","",IF(Paramètres!J30&amp;Paramètres!L30&amp;Paramètres!N30="",Dossiers!$D$47,MAX(IF(Paramètres!J30="",0,IF(Paramètres!K30="",NA(),IF(LEFT(TRIM(Paramètres!K30),1)="F",INDEX($F$2327:$F$2379,MATCH(Paramètres!J30,Paramètres!$G$5:$G$57,0)),INDEX($E$2327:$E$2379,MATCH(Paramètres!J30,Paramètres!$G$5:$G$57,0)))+IF(RIGHT(TRIM(Paramètres!K30),3)="Fin",1-$H2352,IF(LEFT(TRIM(Paramètres!K30),1)="F",1,0)))),IF(Paramètres!L30="",0,IF(Paramètres!M30="",NA(),IF(LEFT(TRIM(Paramètres!M30),1)="F",INDEX($F$2327:$F$2379,MATCH(Paramètres!L30,Paramètres!$G$5:$G$57,0)),INDEX($E$2327:$E$2379,MATCH(Paramètres!L30,Paramètres!$G$5:$G$57,0)))+IF(RIGHT(TRIM(Paramètres!M30),3)="Fin",1-$H2352,IF(LEFT(TRIM(Paramètres!M30),1)="F",1,0)))),IF(Paramètres!N30="",0,IF(Paramètres!O30="",NA(),IF(LEFT(TRIM(Paramètres!O30),1)="F",INDEX($F$2327:$F$2379,MATCH(Paramètres!N30,Paramètres!$G$5:$G$57,0)),INDEX($E$2327:$E$2379,MATCH(Paramètres!N30,Paramètres!$G$5:$G$57,0)))+IF(RIGHT(TRIM(Paramètres!O30),3)="Fin",1-$H2352,IF(LEFT(TRIM(Paramètres!O30),1)="F",1,0)))))))</f>
        <v/>
      </c>
      <c r="F2352" s="19">
        <f>IF($A2352="","",E2352+$H2352-1)</f>
        <v/>
      </c>
      <c r="G2352" s="18" t="n"/>
      <c r="H2352" s="18">
        <f>IF($A2352="","",IF(I2352&lt;&gt;"",I2352,Paramètres!B30))</f>
        <v/>
      </c>
      <c r="I2352" s="18" t="n"/>
    </row>
    <row r="2353">
      <c r="A2353" s="18">
        <f>IF(ISNUMBER(Dossiers!$D$47),Dossiers!$A$47&amp;" · "&amp;Dossiers!$B$47,"")</f>
        <v/>
      </c>
      <c r="B2353" s="18">
        <f>IF($A2353="","",Paramètres!G31)</f>
        <v/>
      </c>
      <c r="C2353" s="20">
        <f>IF($A2353="","",IF(Dossiers!$F$47="","",Dossiers!$F$47))</f>
        <v/>
      </c>
      <c r="D2353" s="18">
        <f>IF($A2353="","",IF(Paramètres!I31="","",Paramètres!I31))</f>
        <v/>
      </c>
      <c r="E2353" s="19">
        <f>IF($A2353="","",IF(Paramètres!J31&amp;Paramètres!L31&amp;Paramètres!N31="",Dossiers!$D$47,MAX(IF(Paramètres!J31="",0,IF(Paramètres!K31="",NA(),IF(LEFT(TRIM(Paramètres!K31),1)="F",INDEX($F$2327:$F$2379,MATCH(Paramètres!J31,Paramètres!$G$5:$G$57,0)),INDEX($E$2327:$E$2379,MATCH(Paramètres!J31,Paramètres!$G$5:$G$57,0)))+IF(RIGHT(TRIM(Paramètres!K31),3)="Fin",1-$H2353,IF(LEFT(TRIM(Paramètres!K31),1)="F",1,0)))),IF(Paramètres!L31="",0,IF(Paramètres!M31="",NA(),IF(LEFT(TRIM(Paramètres!M31),1)="F",INDEX($F$2327:$F$2379,MATCH(Paramètres!L31,Paramètres!$G$5:$G$57,0)),INDEX($E$2327:$E$2379,MATCH(Paramètres!L31,Paramètres!$G$5:$G$57,0)))+IF(RIGHT(TRIM(Paramètres!M31),3)="Fin",1-$H2353,IF(LEFT(TRIM(Paramètres!M31),1)="F",1,0)))),IF(Paramètres!N31="",0,IF(Paramètres!O31="",NA(),IF(LEFT(TRIM(Paramètres!O31),1)="F",INDEX($F$2327:$F$2379,MATCH(Paramètres!N31,Paramètres!$G$5:$G$57,0)),INDEX($E$2327:$E$2379,MATCH(Paramètres!N31,Paramètres!$G$5:$G$57,0)))+IF(RIGHT(TRIM(Paramètres!O31),3)="Fin",1-$H2353,IF(LEFT(TRIM(Paramètres!O31),1)="F",1,0)))))))</f>
        <v/>
      </c>
      <c r="F2353" s="19">
        <f>IF($A2353="","",E2353+$H2353-1)</f>
        <v/>
      </c>
      <c r="G2353" s="18" t="n"/>
      <c r="H2353" s="18">
        <f>IF($A2353="","",IF(I2353&lt;&gt;"",I2353,Paramètres!B31))</f>
        <v/>
      </c>
      <c r="I2353" s="18" t="n"/>
    </row>
    <row r="2354">
      <c r="A2354" s="18">
        <f>IF(ISNUMBER(Dossiers!$D$47),Dossiers!$A$47&amp;" · "&amp;Dossiers!$B$47,"")</f>
        <v/>
      </c>
      <c r="B2354" s="18">
        <f>IF($A2354="","",Paramètres!G32)</f>
        <v/>
      </c>
      <c r="C2354" s="18">
        <f>IF($A2354="","",IF(Paramètres!H32="","",Paramètres!H32))</f>
        <v/>
      </c>
      <c r="D2354" s="18">
        <f>IF($A2354="","",IF(Paramètres!I32="","",Paramètres!I32))</f>
        <v/>
      </c>
      <c r="E2354" s="19">
        <f>IF($A2354="","",MIN(E2355:E2358))</f>
        <v/>
      </c>
      <c r="F2354" s="19">
        <f>IF($A2354="","",MAX(F2355:F2358))</f>
        <v/>
      </c>
      <c r="G2354" s="18" t="n"/>
      <c r="H2354" s="18">
        <f>IF($A2354="","",F2354-E2354+1)</f>
        <v/>
      </c>
      <c r="I2354" s="18" t="n"/>
    </row>
    <row r="2355">
      <c r="A2355" s="18">
        <f>IF(ISNUMBER(Dossiers!$D$47),Dossiers!$A$47&amp;" · "&amp;Dossiers!$B$47,"")</f>
        <v/>
      </c>
      <c r="B2355" s="18">
        <f>IF($A2355="","",Paramètres!G33)</f>
        <v/>
      </c>
      <c r="C2355" s="18">
        <f>IF($A2355="","",IF(Paramètres!H33="","",Paramètres!H33))</f>
        <v/>
      </c>
      <c r="D2355" s="18">
        <f>IF($A2355="","",IF(Paramètres!I33="","",Paramètres!I33))</f>
        <v/>
      </c>
      <c r="E2355" s="19">
        <f>IF($A2355="","",IF(Paramètres!J33&amp;Paramètres!L33&amp;Paramètres!N33="",Dossiers!$D$47,MAX(IF(Paramètres!J33="",0,IF(Paramètres!K33="",NA(),IF(LEFT(TRIM(Paramètres!K33),1)="F",INDEX($F$2327:$F$2379,MATCH(Paramètres!J33,Paramètres!$G$5:$G$57,0)),INDEX($E$2327:$E$2379,MATCH(Paramètres!J33,Paramètres!$G$5:$G$57,0)))+IF(RIGHT(TRIM(Paramètres!K33),3)="Fin",1-$H2355,IF(LEFT(TRIM(Paramètres!K33),1)="F",1,0)))),IF(Paramètres!L33="",0,IF(Paramètres!M33="",NA(),IF(LEFT(TRIM(Paramètres!M33),1)="F",INDEX($F$2327:$F$2379,MATCH(Paramètres!L33,Paramètres!$G$5:$G$57,0)),INDEX($E$2327:$E$2379,MATCH(Paramètres!L33,Paramètres!$G$5:$G$57,0)))+IF(RIGHT(TRIM(Paramètres!M33),3)="Fin",1-$H2355,IF(LEFT(TRIM(Paramètres!M33),1)="F",1,0)))),IF(Paramètres!N33="",0,IF(Paramètres!O33="",NA(),IF(LEFT(TRIM(Paramètres!O33),1)="F",INDEX($F$2327:$F$2379,MATCH(Paramètres!N33,Paramètres!$G$5:$G$57,0)),INDEX($E$2327:$E$2379,MATCH(Paramètres!N33,Paramètres!$G$5:$G$57,0)))+IF(RIGHT(TRIM(Paramètres!O33),3)="Fin",1-$H2355,IF(LEFT(TRIM(Paramètres!O33),1)="F",1,0)))))))</f>
        <v/>
      </c>
      <c r="F2355" s="19">
        <f>IF($A2355="","",E2355+$H2355-1)</f>
        <v/>
      </c>
      <c r="G2355" s="18" t="n"/>
      <c r="H2355" s="18">
        <f>IF($A2355="","",IF(I2355&lt;&gt;"",I2355,Paramètres!B33))</f>
        <v/>
      </c>
      <c r="I2355" s="18" t="n"/>
    </row>
    <row r="2356">
      <c r="A2356" s="18">
        <f>IF(ISNUMBER(Dossiers!$D$47),Dossiers!$A$47&amp;" · "&amp;Dossiers!$B$47,"")</f>
        <v/>
      </c>
      <c r="B2356" s="18">
        <f>IF($A2356="","",Paramètres!G34)</f>
        <v/>
      </c>
      <c r="C2356" s="18">
        <f>IF($A2356="","",IF(Paramètres!H34="","",Paramètres!H34))</f>
        <v/>
      </c>
      <c r="D2356" s="18">
        <f>IF($A2356="","",IF(Paramètres!I34="","",Paramètres!I34))</f>
        <v/>
      </c>
      <c r="E2356" s="19">
        <f>IF($A2356="","",IF(Paramètres!J34&amp;Paramètres!L34&amp;Paramètres!N34="",Dossiers!$D$47,MAX(IF(Paramètres!J34="",0,IF(Paramètres!K34="",NA(),IF(LEFT(TRIM(Paramètres!K34),1)="F",INDEX($F$2327:$F$2379,MATCH(Paramètres!J34,Paramètres!$G$5:$G$57,0)),INDEX($E$2327:$E$2379,MATCH(Paramètres!J34,Paramètres!$G$5:$G$57,0)))+IF(RIGHT(TRIM(Paramètres!K34),3)="Fin",1-$H2356,IF(LEFT(TRIM(Paramètres!K34),1)="F",1,0)))),IF(Paramètres!L34="",0,IF(Paramètres!M34="",NA(),IF(LEFT(TRIM(Paramètres!M34),1)="F",INDEX($F$2327:$F$2379,MATCH(Paramètres!L34,Paramètres!$G$5:$G$57,0)),INDEX($E$2327:$E$2379,MATCH(Paramètres!L34,Paramètres!$G$5:$G$57,0)))+IF(RIGHT(TRIM(Paramètres!M34),3)="Fin",1-$H2356,IF(LEFT(TRIM(Paramètres!M34),1)="F",1,0)))),IF(Paramètres!N34="",0,IF(Paramètres!O34="",NA(),IF(LEFT(TRIM(Paramètres!O34),1)="F",INDEX($F$2327:$F$2379,MATCH(Paramètres!N34,Paramètres!$G$5:$G$57,0)),INDEX($E$2327:$E$2379,MATCH(Paramètres!N34,Paramètres!$G$5:$G$57,0)))+IF(RIGHT(TRIM(Paramètres!O34),3)="Fin",1-$H2356,IF(LEFT(TRIM(Paramètres!O34),1)="F",1,0)))))))</f>
        <v/>
      </c>
      <c r="F2356" s="19">
        <f>IF($A2356="","",E2356+$H2356-1)</f>
        <v/>
      </c>
      <c r="G2356" s="18" t="n"/>
      <c r="H2356" s="18">
        <f>IF($A2356="","",IF(I2356&lt;&gt;"",I2356,Paramètres!B34))</f>
        <v/>
      </c>
      <c r="I2356" s="18" t="n"/>
    </row>
    <row r="2357">
      <c r="A2357" s="18">
        <f>IF(ISNUMBER(Dossiers!$D$47),Dossiers!$A$47&amp;" · "&amp;Dossiers!$B$47,"")</f>
        <v/>
      </c>
      <c r="B2357" s="18">
        <f>IF($A2357="","",Paramètres!G35)</f>
        <v/>
      </c>
      <c r="C2357" s="18">
        <f>IF($A2357="","",IF(Paramètres!H35="","",Paramètres!H35))</f>
        <v/>
      </c>
      <c r="D2357" s="18">
        <f>IF($A2357="","",IF(Paramètres!I35="","",Paramètres!I35))</f>
        <v/>
      </c>
      <c r="E2357" s="19">
        <f>IF($A2357="","",IF(Paramètres!J35&amp;Paramètres!L35&amp;Paramètres!N35="",Dossiers!$D$47,MAX(IF(Paramètres!J35="",0,IF(Paramètres!K35="",NA(),IF(LEFT(TRIM(Paramètres!K35),1)="F",INDEX($F$2327:$F$2379,MATCH(Paramètres!J35,Paramètres!$G$5:$G$57,0)),INDEX($E$2327:$E$2379,MATCH(Paramètres!J35,Paramètres!$G$5:$G$57,0)))+IF(RIGHT(TRIM(Paramètres!K35),3)="Fin",1-$H2357,IF(LEFT(TRIM(Paramètres!K35),1)="F",1,0)))),IF(Paramètres!L35="",0,IF(Paramètres!M35="",NA(),IF(LEFT(TRIM(Paramètres!M35),1)="F",INDEX($F$2327:$F$2379,MATCH(Paramètres!L35,Paramètres!$G$5:$G$57,0)),INDEX($E$2327:$E$2379,MATCH(Paramètres!L35,Paramètres!$G$5:$G$57,0)))+IF(RIGHT(TRIM(Paramètres!M35),3)="Fin",1-$H2357,IF(LEFT(TRIM(Paramètres!M35),1)="F",1,0)))),IF(Paramètres!N35="",0,IF(Paramètres!O35="",NA(),IF(LEFT(TRIM(Paramètres!O35),1)="F",INDEX($F$2327:$F$2379,MATCH(Paramètres!N35,Paramètres!$G$5:$G$57,0)),INDEX($E$2327:$E$2379,MATCH(Paramètres!N35,Paramètres!$G$5:$G$57,0)))+IF(RIGHT(TRIM(Paramètres!O35),3)="Fin",1-$H2357,IF(LEFT(TRIM(Paramètres!O35),1)="F",1,0)))))))</f>
        <v/>
      </c>
      <c r="F2357" s="19">
        <f>IF($A2357="","",E2357+$H2357-1)</f>
        <v/>
      </c>
      <c r="G2357" s="18" t="n"/>
      <c r="H2357" s="18">
        <f>IF($A2357="","",IF(I2357&lt;&gt;"",I2357,Paramètres!B35))</f>
        <v/>
      </c>
      <c r="I2357" s="18" t="n"/>
    </row>
    <row r="2358">
      <c r="A2358" s="18">
        <f>IF(ISNUMBER(Dossiers!$D$47),Dossiers!$A$47&amp;" · "&amp;Dossiers!$B$47,"")</f>
        <v/>
      </c>
      <c r="B2358" s="18">
        <f>IF($A2358="","",Paramètres!G36)</f>
        <v/>
      </c>
      <c r="C2358" s="18">
        <f>IF($A2358="","",IF(Paramètres!H36="","",Paramètres!H36))</f>
        <v/>
      </c>
      <c r="D2358" s="18">
        <f>IF($A2358="","",IF(Paramètres!I36="","",Paramètres!I36))</f>
        <v/>
      </c>
      <c r="E2358" s="19">
        <f>IF($A2358="","",IF(Paramètres!J36&amp;Paramètres!L36&amp;Paramètres!N36="",Dossiers!$D$47,MAX(IF(Paramètres!J36="",0,IF(Paramètres!K36="",NA(),IF(LEFT(TRIM(Paramètres!K36),1)="F",INDEX($F$2327:$F$2379,MATCH(Paramètres!J36,Paramètres!$G$5:$G$57,0)),INDEX($E$2327:$E$2379,MATCH(Paramètres!J36,Paramètres!$G$5:$G$57,0)))+IF(RIGHT(TRIM(Paramètres!K36),3)="Fin",1-$H2358,IF(LEFT(TRIM(Paramètres!K36),1)="F",1,0)))),IF(Paramètres!L36="",0,IF(Paramètres!M36="",NA(),IF(LEFT(TRIM(Paramètres!M36),1)="F",INDEX($F$2327:$F$2379,MATCH(Paramètres!L36,Paramètres!$G$5:$G$57,0)),INDEX($E$2327:$E$2379,MATCH(Paramètres!L36,Paramètres!$G$5:$G$57,0)))+IF(RIGHT(TRIM(Paramètres!M36),3)="Fin",1-$H2358,IF(LEFT(TRIM(Paramètres!M36),1)="F",1,0)))),IF(Paramètres!N36="",0,IF(Paramètres!O36="",NA(),IF(LEFT(TRIM(Paramètres!O36),1)="F",INDEX($F$2327:$F$2379,MATCH(Paramètres!N36,Paramètres!$G$5:$G$57,0)),INDEX($E$2327:$E$2379,MATCH(Paramètres!N36,Paramètres!$G$5:$G$57,0)))+IF(RIGHT(TRIM(Paramètres!O36),3)="Fin",1-$H2358,IF(LEFT(TRIM(Paramètres!O36),1)="F",1,0)))))))</f>
        <v/>
      </c>
      <c r="F2358" s="19">
        <f>IF($A2358="","",E2358+$H2358-1)</f>
        <v/>
      </c>
      <c r="G2358" s="18" t="n"/>
      <c r="H2358" s="18">
        <f>IF($A2358="","",IF(I2358&lt;&gt;"",I2358,Paramètres!B36))</f>
        <v/>
      </c>
      <c r="I2358" s="18" t="n"/>
    </row>
    <row r="2359">
      <c r="A2359" s="18">
        <f>IF(ISNUMBER(Dossiers!$D$47),Dossiers!$A$47&amp;" · "&amp;Dossiers!$B$47,"")</f>
        <v/>
      </c>
      <c r="B2359" s="18">
        <f>IF($A2359="","",Paramètres!G37)</f>
        <v/>
      </c>
      <c r="C2359" s="18">
        <f>IF($A2359="","",IF(Paramètres!H37="","",Paramètres!H37))</f>
        <v/>
      </c>
      <c r="D2359" s="18">
        <f>IF($A2359="","",IF(Paramètres!I37="","",Paramètres!I37))</f>
        <v/>
      </c>
      <c r="E2359" s="19">
        <f>IF($A2359="","",MIN(E2360:E2377))</f>
        <v/>
      </c>
      <c r="F2359" s="19">
        <f>IF($A2359="","",MAX(F2360:F2377))</f>
        <v/>
      </c>
      <c r="G2359" s="18" t="n"/>
      <c r="H2359" s="18">
        <f>IF($A2359="","",F2359-E2359+1)</f>
        <v/>
      </c>
      <c r="I2359" s="18" t="n"/>
    </row>
    <row r="2360">
      <c r="A2360" s="18">
        <f>IF(ISNUMBER(Dossiers!$D$47),Dossiers!$A$47&amp;" · "&amp;Dossiers!$B$47,"")</f>
        <v/>
      </c>
      <c r="B2360" s="18">
        <f>IF($A2360="","",Paramètres!G38)</f>
        <v/>
      </c>
      <c r="C2360" s="18">
        <f>IF($A2360="","",IF(Paramètres!H38="","",Paramètres!H38))</f>
        <v/>
      </c>
      <c r="D2360" s="18">
        <f>IF($A2360="","",IF(Paramètres!I38="","",Paramètres!I38))</f>
        <v/>
      </c>
      <c r="E2360" s="19">
        <f>IF($A2360="","",IF(Paramètres!J38&amp;Paramètres!L38&amp;Paramètres!N38="",Dossiers!$D$47,MAX(IF(Paramètres!J38="",0,IF(Paramètres!K38="",NA(),IF(LEFT(TRIM(Paramètres!K38),1)="F",INDEX($F$2327:$F$2379,MATCH(Paramètres!J38,Paramètres!$G$5:$G$57,0)),INDEX($E$2327:$E$2379,MATCH(Paramètres!J38,Paramètres!$G$5:$G$57,0)))+IF(RIGHT(TRIM(Paramètres!K38),3)="Fin",1-$H2360,IF(LEFT(TRIM(Paramètres!K38),1)="F",1,0)))),IF(Paramètres!L38="",0,IF(Paramètres!M38="",NA(),IF(LEFT(TRIM(Paramètres!M38),1)="F",INDEX($F$2327:$F$2379,MATCH(Paramètres!L38,Paramètres!$G$5:$G$57,0)),INDEX($E$2327:$E$2379,MATCH(Paramètres!L38,Paramètres!$G$5:$G$57,0)))+IF(RIGHT(TRIM(Paramètres!M38),3)="Fin",1-$H2360,IF(LEFT(TRIM(Paramètres!M38),1)="F",1,0)))),IF(Paramètres!N38="",0,IF(Paramètres!O38="",NA(),IF(LEFT(TRIM(Paramètres!O38),1)="F",INDEX($F$2327:$F$2379,MATCH(Paramètres!N38,Paramètres!$G$5:$G$57,0)),INDEX($E$2327:$E$2379,MATCH(Paramètres!N38,Paramètres!$G$5:$G$57,0)))+IF(RIGHT(TRIM(Paramètres!O38),3)="Fin",1-$H2360,IF(LEFT(TRIM(Paramètres!O38),1)="F",1,0)))))))</f>
        <v/>
      </c>
      <c r="F2360" s="19">
        <f>IF($A2360="","",E2360+$H2360-1)</f>
        <v/>
      </c>
      <c r="G2360" s="18" t="n"/>
      <c r="H2360" s="18">
        <f>IF($A2360="","",IF(I2360&lt;&gt;"",I2360,Paramètres!B38))</f>
        <v/>
      </c>
      <c r="I2360" s="18" t="n"/>
    </row>
    <row r="2361">
      <c r="A2361" s="18">
        <f>IF(ISNUMBER(Dossiers!$D$47),Dossiers!$A$47&amp;" · "&amp;Dossiers!$B$47,"")</f>
        <v/>
      </c>
      <c r="B2361" s="18">
        <f>IF($A2361="","",Paramètres!G39)</f>
        <v/>
      </c>
      <c r="C2361" s="18">
        <f>IF($A2361="","",IF(Paramètres!H39="","",Paramètres!H39))</f>
        <v/>
      </c>
      <c r="D2361" s="18">
        <f>IF($A2361="","",IF(Paramètres!I39="","",Paramètres!I39))</f>
        <v/>
      </c>
      <c r="E2361" s="19">
        <f>IF($A2361="","",IF(Paramètres!J39&amp;Paramètres!L39&amp;Paramètres!N39="",Dossiers!$D$47,MAX(IF(Paramètres!J39="",0,IF(Paramètres!K39="",NA(),IF(LEFT(TRIM(Paramètres!K39),1)="F",INDEX($F$2327:$F$2379,MATCH(Paramètres!J39,Paramètres!$G$5:$G$57,0)),INDEX($E$2327:$E$2379,MATCH(Paramètres!J39,Paramètres!$G$5:$G$57,0)))+IF(RIGHT(TRIM(Paramètres!K39),3)="Fin",1-$H2361,IF(LEFT(TRIM(Paramètres!K39),1)="F",1,0)))),IF(Paramètres!L39="",0,IF(Paramètres!M39="",NA(),IF(LEFT(TRIM(Paramètres!M39),1)="F",INDEX($F$2327:$F$2379,MATCH(Paramètres!L39,Paramètres!$G$5:$G$57,0)),INDEX($E$2327:$E$2379,MATCH(Paramètres!L39,Paramètres!$G$5:$G$57,0)))+IF(RIGHT(TRIM(Paramètres!M39),3)="Fin",1-$H2361,IF(LEFT(TRIM(Paramètres!M39),1)="F",1,0)))),IF(Paramètres!N39="",0,IF(Paramètres!O39="",NA(),IF(LEFT(TRIM(Paramètres!O39),1)="F",INDEX($F$2327:$F$2379,MATCH(Paramètres!N39,Paramètres!$G$5:$G$57,0)),INDEX($E$2327:$E$2379,MATCH(Paramètres!N39,Paramètres!$G$5:$G$57,0)))+IF(RIGHT(TRIM(Paramètres!O39),3)="Fin",1-$H2361,IF(LEFT(TRIM(Paramètres!O39),1)="F",1,0)))))))</f>
        <v/>
      </c>
      <c r="F2361" s="19">
        <f>IF($A2361="","",E2361+$H2361-1)</f>
        <v/>
      </c>
      <c r="G2361" s="18" t="n"/>
      <c r="H2361" s="18">
        <f>IF($A2361="","",IF(I2361&lt;&gt;"",I2361,Paramètres!B39))</f>
        <v/>
      </c>
      <c r="I2361" s="18" t="n"/>
    </row>
    <row r="2362">
      <c r="A2362" s="18">
        <f>IF(ISNUMBER(Dossiers!$D$47),Dossiers!$A$47&amp;" · "&amp;Dossiers!$B$47,"")</f>
        <v/>
      </c>
      <c r="B2362" s="18">
        <f>IF($A2362="","",Paramètres!G40)</f>
        <v/>
      </c>
      <c r="C2362" s="18">
        <f>IF($A2362="","",IF(Paramètres!H40="","",Paramètres!H40))</f>
        <v/>
      </c>
      <c r="D2362" s="18">
        <f>IF($A2362="","",IF(Paramètres!I40="","",Paramètres!I40))</f>
        <v/>
      </c>
      <c r="E2362" s="19">
        <f>IF($A2362="","",IF(Paramètres!J40&amp;Paramètres!L40&amp;Paramètres!N40="",Dossiers!$D$47,MAX(IF(Paramètres!J40="",0,IF(Paramètres!K40="",NA(),IF(LEFT(TRIM(Paramètres!K40),1)="F",INDEX($F$2327:$F$2379,MATCH(Paramètres!J40,Paramètres!$G$5:$G$57,0)),INDEX($E$2327:$E$2379,MATCH(Paramètres!J40,Paramètres!$G$5:$G$57,0)))+IF(RIGHT(TRIM(Paramètres!K40),3)="Fin",1-$H2362,IF(LEFT(TRIM(Paramètres!K40),1)="F",1,0)))),IF(Paramètres!L40="",0,IF(Paramètres!M40="",NA(),IF(LEFT(TRIM(Paramètres!M40),1)="F",INDEX($F$2327:$F$2379,MATCH(Paramètres!L40,Paramètres!$G$5:$G$57,0)),INDEX($E$2327:$E$2379,MATCH(Paramètres!L40,Paramètres!$G$5:$G$57,0)))+IF(RIGHT(TRIM(Paramètres!M40),3)="Fin",1-$H2362,IF(LEFT(TRIM(Paramètres!M40),1)="F",1,0)))),IF(Paramètres!N40="",0,IF(Paramètres!O40="",NA(),IF(LEFT(TRIM(Paramètres!O40),1)="F",INDEX($F$2327:$F$2379,MATCH(Paramètres!N40,Paramètres!$G$5:$G$57,0)),INDEX($E$2327:$E$2379,MATCH(Paramètres!N40,Paramètres!$G$5:$G$57,0)))+IF(RIGHT(TRIM(Paramètres!O40),3)="Fin",1-$H2362,IF(LEFT(TRIM(Paramètres!O40),1)="F",1,0)))))))</f>
        <v/>
      </c>
      <c r="F2362" s="19">
        <f>IF($A2362="","",E2362+$H2362-1)</f>
        <v/>
      </c>
      <c r="G2362" s="18" t="n"/>
      <c r="H2362" s="18">
        <f>IF($A2362="","",IF(I2362&lt;&gt;"",I2362,Paramètres!B40))</f>
        <v/>
      </c>
      <c r="I2362" s="18" t="n"/>
    </row>
    <row r="2363">
      <c r="A2363" s="18">
        <f>IF(ISNUMBER(Dossiers!$D$47),Dossiers!$A$47&amp;" · "&amp;Dossiers!$B$47,"")</f>
        <v/>
      </c>
      <c r="B2363" s="18">
        <f>IF($A2363="","",Paramètres!G41)</f>
        <v/>
      </c>
      <c r="C2363" s="18">
        <f>IF($A2363="","",IF(Paramètres!H41="","",Paramètres!H41))</f>
        <v/>
      </c>
      <c r="D2363" s="18">
        <f>IF($A2363="","",IF(Paramètres!I41="","",Paramètres!I41))</f>
        <v/>
      </c>
      <c r="E2363" s="19">
        <f>IF($A2363="","",IF(Paramètres!J41&amp;Paramètres!L41&amp;Paramètres!N41="",Dossiers!$D$47,MAX(IF(Paramètres!J41="",0,IF(Paramètres!K41="",NA(),IF(LEFT(TRIM(Paramètres!K41),1)="F",INDEX($F$2327:$F$2379,MATCH(Paramètres!J41,Paramètres!$G$5:$G$57,0)),INDEX($E$2327:$E$2379,MATCH(Paramètres!J41,Paramètres!$G$5:$G$57,0)))+IF(RIGHT(TRIM(Paramètres!K41),3)="Fin",1-$H2363,IF(LEFT(TRIM(Paramètres!K41),1)="F",1,0)))),IF(Paramètres!L41="",0,IF(Paramètres!M41="",NA(),IF(LEFT(TRIM(Paramètres!M41),1)="F",INDEX($F$2327:$F$2379,MATCH(Paramètres!L41,Paramètres!$G$5:$G$57,0)),INDEX($E$2327:$E$2379,MATCH(Paramètres!L41,Paramètres!$G$5:$G$57,0)))+IF(RIGHT(TRIM(Paramètres!M41),3)="Fin",1-$H2363,IF(LEFT(TRIM(Paramètres!M41),1)="F",1,0)))),IF(Paramètres!N41="",0,IF(Paramètres!O41="",NA(),IF(LEFT(TRIM(Paramètres!O41),1)="F",INDEX($F$2327:$F$2379,MATCH(Paramètres!N41,Paramètres!$G$5:$G$57,0)),INDEX($E$2327:$E$2379,MATCH(Paramètres!N41,Paramètres!$G$5:$G$57,0)))+IF(RIGHT(TRIM(Paramètres!O41),3)="Fin",1-$H2363,IF(LEFT(TRIM(Paramètres!O41),1)="F",1,0)))))))</f>
        <v/>
      </c>
      <c r="F2363" s="19">
        <f>IF($A2363="","",E2363+$H2363-1)</f>
        <v/>
      </c>
      <c r="G2363" s="18" t="n"/>
      <c r="H2363" s="18">
        <f>IF($A2363="","",IF(I2363&lt;&gt;"",I2363,Paramètres!B41))</f>
        <v/>
      </c>
      <c r="I2363" s="18" t="n"/>
    </row>
    <row r="2364">
      <c r="A2364" s="18">
        <f>IF(ISNUMBER(Dossiers!$D$47),Dossiers!$A$47&amp;" · "&amp;Dossiers!$B$47,"")</f>
        <v/>
      </c>
      <c r="B2364" s="18">
        <f>IF($A2364="","",Paramètres!G42)</f>
        <v/>
      </c>
      <c r="C2364" s="18">
        <f>IF($A2364="","",IF(Paramètres!H42="","",Paramètres!H42))</f>
        <v/>
      </c>
      <c r="D2364" s="18">
        <f>IF($A2364="","",IF(Paramètres!I42="","",Paramètres!I42))</f>
        <v/>
      </c>
      <c r="E2364" s="19">
        <f>IF($A2364="","",IF(Paramètres!J42&amp;Paramètres!L42&amp;Paramètres!N42="",Dossiers!$D$47,MAX(IF(Paramètres!J42="",0,IF(Paramètres!K42="",NA(),IF(LEFT(TRIM(Paramètres!K42),1)="F",INDEX($F$2327:$F$2379,MATCH(Paramètres!J42,Paramètres!$G$5:$G$57,0)),INDEX($E$2327:$E$2379,MATCH(Paramètres!J42,Paramètres!$G$5:$G$57,0)))+IF(RIGHT(TRIM(Paramètres!K42),3)="Fin",1-$H2364,IF(LEFT(TRIM(Paramètres!K42),1)="F",1,0)))),IF(Paramètres!L42="",0,IF(Paramètres!M42="",NA(),IF(LEFT(TRIM(Paramètres!M42),1)="F",INDEX($F$2327:$F$2379,MATCH(Paramètres!L42,Paramètres!$G$5:$G$57,0)),INDEX($E$2327:$E$2379,MATCH(Paramètres!L42,Paramètres!$G$5:$G$57,0)))+IF(RIGHT(TRIM(Paramètres!M42),3)="Fin",1-$H2364,IF(LEFT(TRIM(Paramètres!M42),1)="F",1,0)))),IF(Paramètres!N42="",0,IF(Paramètres!O42="",NA(),IF(LEFT(TRIM(Paramètres!O42),1)="F",INDEX($F$2327:$F$2379,MATCH(Paramètres!N42,Paramètres!$G$5:$G$57,0)),INDEX($E$2327:$E$2379,MATCH(Paramètres!N42,Paramètres!$G$5:$G$57,0)))+IF(RIGHT(TRIM(Paramètres!O42),3)="Fin",1-$H2364,IF(LEFT(TRIM(Paramètres!O42),1)="F",1,0)))))))</f>
        <v/>
      </c>
      <c r="F2364" s="19">
        <f>IF($A2364="","",E2364+$H2364-1)</f>
        <v/>
      </c>
      <c r="G2364" s="18" t="n"/>
      <c r="H2364" s="18">
        <f>IF($A2364="","",IF(I2364&lt;&gt;"",I2364,Paramètres!B42))</f>
        <v/>
      </c>
      <c r="I2364" s="18" t="n"/>
    </row>
    <row r="2365">
      <c r="A2365" s="18">
        <f>IF(ISNUMBER(Dossiers!$D$47),Dossiers!$A$47&amp;" · "&amp;Dossiers!$B$47,"")</f>
        <v/>
      </c>
      <c r="B2365" s="18">
        <f>IF($A2365="","",Paramètres!G43)</f>
        <v/>
      </c>
      <c r="C2365" s="18">
        <f>IF($A2365="","",IF(Paramètres!H43="","",Paramètres!H43))</f>
        <v/>
      </c>
      <c r="D2365" s="18">
        <f>IF($A2365="","",IF(Paramètres!I43="","",Paramètres!I43))</f>
        <v/>
      </c>
      <c r="E2365" s="19">
        <f>IF($A2365="","",IF(Paramètres!J43&amp;Paramètres!L43&amp;Paramètres!N43="",Dossiers!$D$47,MAX(IF(Paramètres!J43="",0,IF(Paramètres!K43="",NA(),IF(LEFT(TRIM(Paramètres!K43),1)="F",INDEX($F$2327:$F$2379,MATCH(Paramètres!J43,Paramètres!$G$5:$G$57,0)),INDEX($E$2327:$E$2379,MATCH(Paramètres!J43,Paramètres!$G$5:$G$57,0)))+IF(RIGHT(TRIM(Paramètres!K43),3)="Fin",1-$H2365,IF(LEFT(TRIM(Paramètres!K43),1)="F",1,0)))),IF(Paramètres!L43="",0,IF(Paramètres!M43="",NA(),IF(LEFT(TRIM(Paramètres!M43),1)="F",INDEX($F$2327:$F$2379,MATCH(Paramètres!L43,Paramètres!$G$5:$G$57,0)),INDEX($E$2327:$E$2379,MATCH(Paramètres!L43,Paramètres!$G$5:$G$57,0)))+IF(RIGHT(TRIM(Paramètres!M43),3)="Fin",1-$H2365,IF(LEFT(TRIM(Paramètres!M43),1)="F",1,0)))),IF(Paramètres!N43="",0,IF(Paramètres!O43="",NA(),IF(LEFT(TRIM(Paramètres!O43),1)="F",INDEX($F$2327:$F$2379,MATCH(Paramètres!N43,Paramètres!$G$5:$G$57,0)),INDEX($E$2327:$E$2379,MATCH(Paramètres!N43,Paramètres!$G$5:$G$57,0)))+IF(RIGHT(TRIM(Paramètres!O43),3)="Fin",1-$H2365,IF(LEFT(TRIM(Paramètres!O43),1)="F",1,0)))))))</f>
        <v/>
      </c>
      <c r="F2365" s="19">
        <f>IF($A2365="","",E2365+$H2365-1)</f>
        <v/>
      </c>
      <c r="G2365" s="18" t="n"/>
      <c r="H2365" s="18">
        <f>IF($A2365="","",IF(I2365&lt;&gt;"",I2365,Paramètres!B43))</f>
        <v/>
      </c>
      <c r="I2365" s="18" t="n"/>
    </row>
    <row r="2366">
      <c r="A2366" s="18">
        <f>IF(ISNUMBER(Dossiers!$D$47),Dossiers!$A$47&amp;" · "&amp;Dossiers!$B$47,"")</f>
        <v/>
      </c>
      <c r="B2366" s="18">
        <f>IF($A2366="","",Paramètres!G44)</f>
        <v/>
      </c>
      <c r="C2366" s="18">
        <f>IF($A2366="","",IF(Paramètres!H44="","",Paramètres!H44))</f>
        <v/>
      </c>
      <c r="D2366" s="18">
        <f>IF($A2366="","",IF(Paramètres!I44="","",Paramètres!I44))</f>
        <v/>
      </c>
      <c r="E2366" s="19">
        <f>IF($A2366="","",IF(Paramètres!J44&amp;Paramètres!L44&amp;Paramètres!N44="",Dossiers!$D$47,MAX(IF(Paramètres!J44="",0,IF(Paramètres!K44="",NA(),IF(LEFT(TRIM(Paramètres!K44),1)="F",INDEX($F$2327:$F$2379,MATCH(Paramètres!J44,Paramètres!$G$5:$G$57,0)),INDEX($E$2327:$E$2379,MATCH(Paramètres!J44,Paramètres!$G$5:$G$57,0)))+IF(RIGHT(TRIM(Paramètres!K44),3)="Fin",1-$H2366,IF(LEFT(TRIM(Paramètres!K44),1)="F",1,0)))),IF(Paramètres!L44="",0,IF(Paramètres!M44="",NA(),IF(LEFT(TRIM(Paramètres!M44),1)="F",INDEX($F$2327:$F$2379,MATCH(Paramètres!L44,Paramètres!$G$5:$G$57,0)),INDEX($E$2327:$E$2379,MATCH(Paramètres!L44,Paramètres!$G$5:$G$57,0)))+IF(RIGHT(TRIM(Paramètres!M44),3)="Fin",1-$H2366,IF(LEFT(TRIM(Paramètres!M44),1)="F",1,0)))),IF(Paramètres!N44="",0,IF(Paramètres!O44="",NA(),IF(LEFT(TRIM(Paramètres!O44),1)="F",INDEX($F$2327:$F$2379,MATCH(Paramètres!N44,Paramètres!$G$5:$G$57,0)),INDEX($E$2327:$E$2379,MATCH(Paramètres!N44,Paramètres!$G$5:$G$57,0)))+IF(RIGHT(TRIM(Paramètres!O44),3)="Fin",1-$H2366,IF(LEFT(TRIM(Paramètres!O44),1)="F",1,0)))))))</f>
        <v/>
      </c>
      <c r="F2366" s="19">
        <f>IF($A2366="","",E2366+$H2366-1)</f>
        <v/>
      </c>
      <c r="G2366" s="18" t="n"/>
      <c r="H2366" s="18">
        <f>IF($A2366="","",IF(I2366&lt;&gt;"",I2366,Paramètres!B44))</f>
        <v/>
      </c>
      <c r="I2366" s="18" t="n"/>
    </row>
    <row r="2367">
      <c r="A2367" s="18">
        <f>IF(ISNUMBER(Dossiers!$D$47),Dossiers!$A$47&amp;" · "&amp;Dossiers!$B$47,"")</f>
        <v/>
      </c>
      <c r="B2367" s="18">
        <f>IF($A2367="","",Paramètres!G45)</f>
        <v/>
      </c>
      <c r="C2367" s="20">
        <f>IF($A2367="","",IF(Dossiers!$G$47="","",Dossiers!$G$47))</f>
        <v/>
      </c>
      <c r="D2367" s="18">
        <f>IF($A2367="","",IF(Paramètres!I45="","",Paramètres!I45))</f>
        <v/>
      </c>
      <c r="E2367" s="19">
        <f>IF($A2367="","",IF(Paramètres!J45&amp;Paramètres!L45&amp;Paramètres!N45="",Dossiers!$D$47,MAX(IF(Paramètres!J45="",0,IF(Paramètres!K45="",NA(),IF(LEFT(TRIM(Paramètres!K45),1)="F",INDEX($F$2327:$F$2379,MATCH(Paramètres!J45,Paramètres!$G$5:$G$57,0)),INDEX($E$2327:$E$2379,MATCH(Paramètres!J45,Paramètres!$G$5:$G$57,0)))+IF(RIGHT(TRIM(Paramètres!K45),3)="Fin",1-$H2367,IF(LEFT(TRIM(Paramètres!K45),1)="F",1,0)))),IF(Paramètres!L45="",0,IF(Paramètres!M45="",NA(),IF(LEFT(TRIM(Paramètres!M45),1)="F",INDEX($F$2327:$F$2379,MATCH(Paramètres!L45,Paramètres!$G$5:$G$57,0)),INDEX($E$2327:$E$2379,MATCH(Paramètres!L45,Paramètres!$G$5:$G$57,0)))+IF(RIGHT(TRIM(Paramètres!M45),3)="Fin",1-$H2367,IF(LEFT(TRIM(Paramètres!M45),1)="F",1,0)))),IF(Paramètres!N45="",0,IF(Paramètres!O45="",NA(),IF(LEFT(TRIM(Paramètres!O45),1)="F",INDEX($F$2327:$F$2379,MATCH(Paramètres!N45,Paramètres!$G$5:$G$57,0)),INDEX($E$2327:$E$2379,MATCH(Paramètres!N45,Paramètres!$G$5:$G$57,0)))+IF(RIGHT(TRIM(Paramètres!O45),3)="Fin",1-$H2367,IF(LEFT(TRIM(Paramètres!O45),1)="F",1,0)))))))</f>
        <v/>
      </c>
      <c r="F2367" s="19">
        <f>IF($A2367="","",E2367+$H2367-1)</f>
        <v/>
      </c>
      <c r="G2367" s="18" t="n"/>
      <c r="H2367" s="18">
        <f>IF($A2367="","",IF(I2367&lt;&gt;"",I2367,Paramètres!B45))</f>
        <v/>
      </c>
      <c r="I2367" s="18" t="n"/>
    </row>
    <row r="2368">
      <c r="A2368" s="18">
        <f>IF(ISNUMBER(Dossiers!$D$47),Dossiers!$A$47&amp;" · "&amp;Dossiers!$B$47,"")</f>
        <v/>
      </c>
      <c r="B2368" s="18">
        <f>IF($A2368="","",Paramètres!G46)</f>
        <v/>
      </c>
      <c r="C2368" s="18">
        <f>IF($A2368="","",IF(Paramètres!H46="","",Paramètres!H46))</f>
        <v/>
      </c>
      <c r="D2368" s="18">
        <f>IF($A2368="","",IF(Paramètres!I46="","",Paramètres!I46))</f>
        <v/>
      </c>
      <c r="E2368" s="19">
        <f>IF($A2368="","",IF(Paramètres!J46&amp;Paramètres!L46&amp;Paramètres!N46="",Dossiers!$D$47,MAX(IF(Paramètres!J46="",0,IF(Paramètres!K46="",NA(),IF(LEFT(TRIM(Paramètres!K46),1)="F",INDEX($F$2327:$F$2379,MATCH(Paramètres!J46,Paramètres!$G$5:$G$57,0)),INDEX($E$2327:$E$2379,MATCH(Paramètres!J46,Paramètres!$G$5:$G$57,0)))+IF(RIGHT(TRIM(Paramètres!K46),3)="Fin",1-$H2368,IF(LEFT(TRIM(Paramètres!K46),1)="F",1,0)))),IF(Paramètres!L46="",0,IF(Paramètres!M46="",NA(),IF(LEFT(TRIM(Paramètres!M46),1)="F",INDEX($F$2327:$F$2379,MATCH(Paramètres!L46,Paramètres!$G$5:$G$57,0)),INDEX($E$2327:$E$2379,MATCH(Paramètres!L46,Paramètres!$G$5:$G$57,0)))+IF(RIGHT(TRIM(Paramètres!M46),3)="Fin",1-$H2368,IF(LEFT(TRIM(Paramètres!M46),1)="F",1,0)))),IF(Paramètres!N46="",0,IF(Paramètres!O46="",NA(),IF(LEFT(TRIM(Paramètres!O46),1)="F",INDEX($F$2327:$F$2379,MATCH(Paramètres!N46,Paramètres!$G$5:$G$57,0)),INDEX($E$2327:$E$2379,MATCH(Paramètres!N46,Paramètres!$G$5:$G$57,0)))+IF(RIGHT(TRIM(Paramètres!O46),3)="Fin",1-$H2368,IF(LEFT(TRIM(Paramètres!O46),1)="F",1,0)))))))</f>
        <v/>
      </c>
      <c r="F2368" s="19">
        <f>IF($A2368="","",E2368+$H2368-1)</f>
        <v/>
      </c>
      <c r="G2368" s="18" t="n"/>
      <c r="H2368" s="18">
        <f>IF($A2368="","",IF(I2368&lt;&gt;"",I2368,Paramètres!B46))</f>
        <v/>
      </c>
      <c r="I2368" s="18" t="n"/>
    </row>
    <row r="2369">
      <c r="A2369" s="18">
        <f>IF(ISNUMBER(Dossiers!$D$47),Dossiers!$A$47&amp;" · "&amp;Dossiers!$B$47,"")</f>
        <v/>
      </c>
      <c r="B2369" s="18">
        <f>IF($A2369="","",Paramètres!G47)</f>
        <v/>
      </c>
      <c r="C2369" s="18">
        <f>IF($A2369="","",IF(Paramètres!H47="","",Paramètres!H47))</f>
        <v/>
      </c>
      <c r="D2369" s="18">
        <f>IF($A2369="","",IF(Paramètres!I47="","",Paramètres!I47))</f>
        <v/>
      </c>
      <c r="E2369" s="19">
        <f>IF($A2369="","",IF(Paramètres!J47&amp;Paramètres!L47&amp;Paramètres!N47="",Dossiers!$D$47,MAX(IF(Paramètres!J47="",0,IF(Paramètres!K47="",NA(),IF(LEFT(TRIM(Paramètres!K47),1)="F",INDEX($F$2327:$F$2379,MATCH(Paramètres!J47,Paramètres!$G$5:$G$57,0)),INDEX($E$2327:$E$2379,MATCH(Paramètres!J47,Paramètres!$G$5:$G$57,0)))+IF(RIGHT(TRIM(Paramètres!K47),3)="Fin",1-$H2369,IF(LEFT(TRIM(Paramètres!K47),1)="F",1,0)))),IF(Paramètres!L47="",0,IF(Paramètres!M47="",NA(),IF(LEFT(TRIM(Paramètres!M47),1)="F",INDEX($F$2327:$F$2379,MATCH(Paramètres!L47,Paramètres!$G$5:$G$57,0)),INDEX($E$2327:$E$2379,MATCH(Paramètres!L47,Paramètres!$G$5:$G$57,0)))+IF(RIGHT(TRIM(Paramètres!M47),3)="Fin",1-$H2369,IF(LEFT(TRIM(Paramètres!M47),1)="F",1,0)))),IF(Paramètres!N47="",0,IF(Paramètres!O47="",NA(),IF(LEFT(TRIM(Paramètres!O47),1)="F",INDEX($F$2327:$F$2379,MATCH(Paramètres!N47,Paramètres!$G$5:$G$57,0)),INDEX($E$2327:$E$2379,MATCH(Paramètres!N47,Paramètres!$G$5:$G$57,0)))+IF(RIGHT(TRIM(Paramètres!O47),3)="Fin",1-$H2369,IF(LEFT(TRIM(Paramètres!O47),1)="F",1,0)))))))</f>
        <v/>
      </c>
      <c r="F2369" s="19">
        <f>IF($A2369="","",E2369+$H2369-1)</f>
        <v/>
      </c>
      <c r="G2369" s="18" t="n"/>
      <c r="H2369" s="18">
        <f>IF($A2369="","",IF(I2369&lt;&gt;"",I2369,Paramètres!B47))</f>
        <v/>
      </c>
      <c r="I2369" s="18" t="n"/>
    </row>
    <row r="2370">
      <c r="A2370" s="18">
        <f>IF(ISNUMBER(Dossiers!$D$47),Dossiers!$A$47&amp;" · "&amp;Dossiers!$B$47,"")</f>
        <v/>
      </c>
      <c r="B2370" s="18">
        <f>IF($A2370="","",Paramètres!G48)</f>
        <v/>
      </c>
      <c r="C2370" s="18">
        <f>IF($A2370="","",IF(Paramètres!H48="","",Paramètres!H48))</f>
        <v/>
      </c>
      <c r="D2370" s="18">
        <f>IF($A2370="","",IF(Paramètres!I48="","",Paramètres!I48))</f>
        <v/>
      </c>
      <c r="E2370" s="19">
        <f>IF($A2370="","",IF(Paramètres!J48&amp;Paramètres!L48&amp;Paramètres!N48="",Dossiers!$D$47,MAX(IF(Paramètres!J48="",0,IF(Paramètres!K48="",NA(),IF(LEFT(TRIM(Paramètres!K48),1)="F",INDEX($F$2327:$F$2379,MATCH(Paramètres!J48,Paramètres!$G$5:$G$57,0)),INDEX($E$2327:$E$2379,MATCH(Paramètres!J48,Paramètres!$G$5:$G$57,0)))+IF(RIGHT(TRIM(Paramètres!K48),3)="Fin",1-$H2370,IF(LEFT(TRIM(Paramètres!K48),1)="F",1,0)))),IF(Paramètres!L48="",0,IF(Paramètres!M48="",NA(),IF(LEFT(TRIM(Paramètres!M48),1)="F",INDEX($F$2327:$F$2379,MATCH(Paramètres!L48,Paramètres!$G$5:$G$57,0)),INDEX($E$2327:$E$2379,MATCH(Paramètres!L48,Paramètres!$G$5:$G$57,0)))+IF(RIGHT(TRIM(Paramètres!M48),3)="Fin",1-$H2370,IF(LEFT(TRIM(Paramètres!M48),1)="F",1,0)))),IF(Paramètres!N48="",0,IF(Paramètres!O48="",NA(),IF(LEFT(TRIM(Paramètres!O48),1)="F",INDEX($F$2327:$F$2379,MATCH(Paramètres!N48,Paramètres!$G$5:$G$57,0)),INDEX($E$2327:$E$2379,MATCH(Paramètres!N48,Paramètres!$G$5:$G$57,0)))+IF(RIGHT(TRIM(Paramètres!O48),3)="Fin",1-$H2370,IF(LEFT(TRIM(Paramètres!O48),1)="F",1,0)))))))</f>
        <v/>
      </c>
      <c r="F2370" s="19">
        <f>IF($A2370="","",E2370+$H2370-1)</f>
        <v/>
      </c>
      <c r="G2370" s="18" t="n"/>
      <c r="H2370" s="18">
        <f>IF($A2370="","",IF(I2370&lt;&gt;"",I2370,Paramètres!B48))</f>
        <v/>
      </c>
      <c r="I2370" s="18" t="n"/>
    </row>
    <row r="2371">
      <c r="A2371" s="18">
        <f>IF(ISNUMBER(Dossiers!$D$47),Dossiers!$A$47&amp;" · "&amp;Dossiers!$B$47,"")</f>
        <v/>
      </c>
      <c r="B2371" s="18">
        <f>IF($A2371="","",Paramètres!G49)</f>
        <v/>
      </c>
      <c r="C2371" s="18">
        <f>IF($A2371="","",IF(Paramètres!H49="","",Paramètres!H49))</f>
        <v/>
      </c>
      <c r="D2371" s="18">
        <f>IF($A2371="","",IF(Paramètres!I49="","",Paramètres!I49))</f>
        <v/>
      </c>
      <c r="E2371" s="19">
        <f>IF($A2371="","",IF(Paramètres!J49&amp;Paramètres!L49&amp;Paramètres!N49="",Dossiers!$D$47,MAX(IF(Paramètres!J49="",0,IF(Paramètres!K49="",NA(),IF(LEFT(TRIM(Paramètres!K49),1)="F",INDEX($F$2327:$F$2379,MATCH(Paramètres!J49,Paramètres!$G$5:$G$57,0)),INDEX($E$2327:$E$2379,MATCH(Paramètres!J49,Paramètres!$G$5:$G$57,0)))+IF(RIGHT(TRIM(Paramètres!K49),3)="Fin",1-$H2371,IF(LEFT(TRIM(Paramètres!K49),1)="F",1,0)))),IF(Paramètres!L49="",0,IF(Paramètres!M49="",NA(),IF(LEFT(TRIM(Paramètres!M49),1)="F",INDEX($F$2327:$F$2379,MATCH(Paramètres!L49,Paramètres!$G$5:$G$57,0)),INDEX($E$2327:$E$2379,MATCH(Paramètres!L49,Paramètres!$G$5:$G$57,0)))+IF(RIGHT(TRIM(Paramètres!M49),3)="Fin",1-$H2371,IF(LEFT(TRIM(Paramètres!M49),1)="F",1,0)))),IF(Paramètres!N49="",0,IF(Paramètres!O49="",NA(),IF(LEFT(TRIM(Paramètres!O49),1)="F",INDEX($F$2327:$F$2379,MATCH(Paramètres!N49,Paramètres!$G$5:$G$57,0)),INDEX($E$2327:$E$2379,MATCH(Paramètres!N49,Paramètres!$G$5:$G$57,0)))+IF(RIGHT(TRIM(Paramètres!O49),3)="Fin",1-$H2371,IF(LEFT(TRIM(Paramètres!O49),1)="F",1,0)))))))</f>
        <v/>
      </c>
      <c r="F2371" s="19">
        <f>IF($A2371="","",E2371+$H2371-1)</f>
        <v/>
      </c>
      <c r="G2371" s="18" t="n"/>
      <c r="H2371" s="18">
        <f>IF($A2371="","",IF(I2371&lt;&gt;"",I2371,Paramètres!B49))</f>
        <v/>
      </c>
      <c r="I2371" s="18" t="n"/>
    </row>
    <row r="2372">
      <c r="A2372" s="18">
        <f>IF(ISNUMBER(Dossiers!$D$47),Dossiers!$A$47&amp;" · "&amp;Dossiers!$B$47,"")</f>
        <v/>
      </c>
      <c r="B2372" s="18">
        <f>IF($A2372="","",Paramètres!G50)</f>
        <v/>
      </c>
      <c r="C2372" s="18">
        <f>IF($A2372="","",IF(Paramètres!H50="","",Paramètres!H50))</f>
        <v/>
      </c>
      <c r="D2372" s="18">
        <f>IF($A2372="","",IF(Paramètres!I50="","",Paramètres!I50))</f>
        <v/>
      </c>
      <c r="E2372" s="19">
        <f>IF($A2372="","",IF(Paramètres!J50&amp;Paramètres!L50&amp;Paramètres!N50="",Dossiers!$D$47,MAX(IF(Paramètres!J50="",0,IF(Paramètres!K50="",NA(),IF(LEFT(TRIM(Paramètres!K50),1)="F",INDEX($F$2327:$F$2379,MATCH(Paramètres!J50,Paramètres!$G$5:$G$57,0)),INDEX($E$2327:$E$2379,MATCH(Paramètres!J50,Paramètres!$G$5:$G$57,0)))+IF(RIGHT(TRIM(Paramètres!K50),3)="Fin",1-$H2372,IF(LEFT(TRIM(Paramètres!K50),1)="F",1,0)))),IF(Paramètres!L50="",0,IF(Paramètres!M50="",NA(),IF(LEFT(TRIM(Paramètres!M50),1)="F",INDEX($F$2327:$F$2379,MATCH(Paramètres!L50,Paramètres!$G$5:$G$57,0)),INDEX($E$2327:$E$2379,MATCH(Paramètres!L50,Paramètres!$G$5:$G$57,0)))+IF(RIGHT(TRIM(Paramètres!M50),3)="Fin",1-$H2372,IF(LEFT(TRIM(Paramètres!M50),1)="F",1,0)))),IF(Paramètres!N50="",0,IF(Paramètres!O50="",NA(),IF(LEFT(TRIM(Paramètres!O50),1)="F",INDEX($F$2327:$F$2379,MATCH(Paramètres!N50,Paramètres!$G$5:$G$57,0)),INDEX($E$2327:$E$2379,MATCH(Paramètres!N50,Paramètres!$G$5:$G$57,0)))+IF(RIGHT(TRIM(Paramètres!O50),3)="Fin",1-$H2372,IF(LEFT(TRIM(Paramètres!O50),1)="F",1,0)))))))</f>
        <v/>
      </c>
      <c r="F2372" s="19">
        <f>IF($A2372="","",E2372+$H2372-1)</f>
        <v/>
      </c>
      <c r="G2372" s="18" t="n"/>
      <c r="H2372" s="18">
        <f>IF($A2372="","",IF(I2372&lt;&gt;"",I2372,Paramètres!B50))</f>
        <v/>
      </c>
      <c r="I2372" s="18" t="n"/>
    </row>
    <row r="2373">
      <c r="A2373" s="18">
        <f>IF(ISNUMBER(Dossiers!$D$47),Dossiers!$A$47&amp;" · "&amp;Dossiers!$B$47,"")</f>
        <v/>
      </c>
      <c r="B2373" s="18">
        <f>IF($A2373="","",Paramètres!G51)</f>
        <v/>
      </c>
      <c r="C2373" s="18">
        <f>IF($A2373="","",IF(Paramètres!H51="","",Paramètres!H51))</f>
        <v/>
      </c>
      <c r="D2373" s="18">
        <f>IF($A2373="","",IF(Paramètres!I51="","",Paramètres!I51))</f>
        <v/>
      </c>
      <c r="E2373" s="19">
        <f>IF($A2373="","",IF(Paramètres!J51&amp;Paramètres!L51&amp;Paramètres!N51="",Dossiers!$D$47,MAX(IF(Paramètres!J51="",0,IF(Paramètres!K51="",NA(),IF(LEFT(TRIM(Paramètres!K51),1)="F",INDEX($F$2327:$F$2379,MATCH(Paramètres!J51,Paramètres!$G$5:$G$57,0)),INDEX($E$2327:$E$2379,MATCH(Paramètres!J51,Paramètres!$G$5:$G$57,0)))+IF(RIGHT(TRIM(Paramètres!K51),3)="Fin",1-$H2373,IF(LEFT(TRIM(Paramètres!K51),1)="F",1,0)))),IF(Paramètres!L51="",0,IF(Paramètres!M51="",NA(),IF(LEFT(TRIM(Paramètres!M51),1)="F",INDEX($F$2327:$F$2379,MATCH(Paramètres!L51,Paramètres!$G$5:$G$57,0)),INDEX($E$2327:$E$2379,MATCH(Paramètres!L51,Paramètres!$G$5:$G$57,0)))+IF(RIGHT(TRIM(Paramètres!M51),3)="Fin",1-$H2373,IF(LEFT(TRIM(Paramètres!M51),1)="F",1,0)))),IF(Paramètres!N51="",0,IF(Paramètres!O51="",NA(),IF(LEFT(TRIM(Paramètres!O51),1)="F",INDEX($F$2327:$F$2379,MATCH(Paramètres!N51,Paramètres!$G$5:$G$57,0)),INDEX($E$2327:$E$2379,MATCH(Paramètres!N51,Paramètres!$G$5:$G$57,0)))+IF(RIGHT(TRIM(Paramètres!O51),3)="Fin",1-$H2373,IF(LEFT(TRIM(Paramètres!O51),1)="F",1,0)))))))</f>
        <v/>
      </c>
      <c r="F2373" s="19">
        <f>IF($A2373="","",E2373+$H2373-1)</f>
        <v/>
      </c>
      <c r="G2373" s="18" t="n"/>
      <c r="H2373" s="18">
        <f>IF($A2373="","",IF(I2373&lt;&gt;"",I2373,Paramètres!B51))</f>
        <v/>
      </c>
      <c r="I2373" s="18" t="n"/>
    </row>
    <row r="2374">
      <c r="A2374" s="18">
        <f>IF(ISNUMBER(Dossiers!$D$47),Dossiers!$A$47&amp;" · "&amp;Dossiers!$B$47,"")</f>
        <v/>
      </c>
      <c r="B2374" s="18">
        <f>IF($A2374="","",Paramètres!G52)</f>
        <v/>
      </c>
      <c r="C2374" s="18">
        <f>IF($A2374="","",IF(Paramètres!H52="","",Paramètres!H52))</f>
        <v/>
      </c>
      <c r="D2374" s="18">
        <f>IF($A2374="","",IF(Paramètres!I52="","",Paramètres!I52))</f>
        <v/>
      </c>
      <c r="E2374" s="19">
        <f>IF($A2374="","",IF(Paramètres!J52&amp;Paramètres!L52&amp;Paramètres!N52="",Dossiers!$D$47,MAX(IF(Paramètres!J52="",0,IF(Paramètres!K52="",NA(),IF(LEFT(TRIM(Paramètres!K52),1)="F",INDEX($F$2327:$F$2379,MATCH(Paramètres!J52,Paramètres!$G$5:$G$57,0)),INDEX($E$2327:$E$2379,MATCH(Paramètres!J52,Paramètres!$G$5:$G$57,0)))+IF(RIGHT(TRIM(Paramètres!K52),3)="Fin",1-$H2374,IF(LEFT(TRIM(Paramètres!K52),1)="F",1,0)))),IF(Paramètres!L52="",0,IF(Paramètres!M52="",NA(),IF(LEFT(TRIM(Paramètres!M52),1)="F",INDEX($F$2327:$F$2379,MATCH(Paramètres!L52,Paramètres!$G$5:$G$57,0)),INDEX($E$2327:$E$2379,MATCH(Paramètres!L52,Paramètres!$G$5:$G$57,0)))+IF(RIGHT(TRIM(Paramètres!M52),3)="Fin",1-$H2374,IF(LEFT(TRIM(Paramètres!M52),1)="F",1,0)))),IF(Paramètres!N52="",0,IF(Paramètres!O52="",NA(),IF(LEFT(TRIM(Paramètres!O52),1)="F",INDEX($F$2327:$F$2379,MATCH(Paramètres!N52,Paramètres!$G$5:$G$57,0)),INDEX($E$2327:$E$2379,MATCH(Paramètres!N52,Paramètres!$G$5:$G$57,0)))+IF(RIGHT(TRIM(Paramètres!O52),3)="Fin",1-$H2374,IF(LEFT(TRIM(Paramètres!O52),1)="F",1,0)))))))</f>
        <v/>
      </c>
      <c r="F2374" s="19">
        <f>IF($A2374="","",E2374+$H2374-1)</f>
        <v/>
      </c>
      <c r="G2374" s="18" t="n"/>
      <c r="H2374" s="18">
        <f>IF($A2374="","",IF(I2374&lt;&gt;"",I2374,Paramètres!B52))</f>
        <v/>
      </c>
      <c r="I2374" s="18" t="n"/>
    </row>
    <row r="2375">
      <c r="A2375" s="18">
        <f>IF(ISNUMBER(Dossiers!$D$47),Dossiers!$A$47&amp;" · "&amp;Dossiers!$B$47,"")</f>
        <v/>
      </c>
      <c r="B2375" s="18">
        <f>IF($A2375="","",Paramètres!G53)</f>
        <v/>
      </c>
      <c r="C2375" s="18">
        <f>IF($A2375="","",IF(Paramètres!H53="","",Paramètres!H53))</f>
        <v/>
      </c>
      <c r="D2375" s="18">
        <f>IF($A2375="","",IF(Paramètres!I53="","",Paramètres!I53))</f>
        <v/>
      </c>
      <c r="E2375" s="19">
        <f>IF($A2375="","",IF(Paramètres!J53&amp;Paramètres!L53&amp;Paramètres!N53="",Dossiers!$D$47,MAX(IF(Paramètres!J53="",0,IF(Paramètres!K53="",NA(),IF(LEFT(TRIM(Paramètres!K53),1)="F",INDEX($F$2327:$F$2379,MATCH(Paramètres!J53,Paramètres!$G$5:$G$57,0)),INDEX($E$2327:$E$2379,MATCH(Paramètres!J53,Paramètres!$G$5:$G$57,0)))+IF(RIGHT(TRIM(Paramètres!K53),3)="Fin",1-$H2375,IF(LEFT(TRIM(Paramètres!K53),1)="F",1,0)))),IF(Paramètres!L53="",0,IF(Paramètres!M53="",NA(),IF(LEFT(TRIM(Paramètres!M53),1)="F",INDEX($F$2327:$F$2379,MATCH(Paramètres!L53,Paramètres!$G$5:$G$57,0)),INDEX($E$2327:$E$2379,MATCH(Paramètres!L53,Paramètres!$G$5:$G$57,0)))+IF(RIGHT(TRIM(Paramètres!M53),3)="Fin",1-$H2375,IF(LEFT(TRIM(Paramètres!M53),1)="F",1,0)))),IF(Paramètres!N53="",0,IF(Paramètres!O53="",NA(),IF(LEFT(TRIM(Paramètres!O53),1)="F",INDEX($F$2327:$F$2379,MATCH(Paramètres!N53,Paramètres!$G$5:$G$57,0)),INDEX($E$2327:$E$2379,MATCH(Paramètres!N53,Paramètres!$G$5:$G$57,0)))+IF(RIGHT(TRIM(Paramètres!O53),3)="Fin",1-$H2375,IF(LEFT(TRIM(Paramètres!O53),1)="F",1,0)))))))</f>
        <v/>
      </c>
      <c r="F2375" s="19">
        <f>IF($A2375="","",E2375+$H2375-1)</f>
        <v/>
      </c>
      <c r="G2375" s="18" t="n"/>
      <c r="H2375" s="18">
        <f>IF($A2375="","",IF(I2375&lt;&gt;"",I2375,Paramètres!B53))</f>
        <v/>
      </c>
      <c r="I2375" s="18" t="n"/>
    </row>
    <row r="2376">
      <c r="A2376" s="18">
        <f>IF(ISNUMBER(Dossiers!$D$47),Dossiers!$A$47&amp;" · "&amp;Dossiers!$B$47,"")</f>
        <v/>
      </c>
      <c r="B2376" s="18">
        <f>IF($A2376="","",Paramètres!G54)</f>
        <v/>
      </c>
      <c r="C2376" s="18">
        <f>IF($A2376="","",IF(Paramètres!H54="","",Paramètres!H54))</f>
        <v/>
      </c>
      <c r="D2376" s="18">
        <f>IF($A2376="","",IF(Paramètres!I54="","",Paramètres!I54))</f>
        <v/>
      </c>
      <c r="E2376" s="19">
        <f>IF($A2376="","",IF(Paramètres!J54&amp;Paramètres!L54&amp;Paramètres!N54="",Dossiers!$D$47,MAX(IF(Paramètres!J54="",0,IF(Paramètres!K54="",NA(),IF(LEFT(TRIM(Paramètres!K54),1)="F",INDEX($F$2327:$F$2379,MATCH(Paramètres!J54,Paramètres!$G$5:$G$57,0)),INDEX($E$2327:$E$2379,MATCH(Paramètres!J54,Paramètres!$G$5:$G$57,0)))+IF(RIGHT(TRIM(Paramètres!K54),3)="Fin",1-$H2376,IF(LEFT(TRIM(Paramètres!K54),1)="F",1,0)))),IF(Paramètres!L54="",0,IF(Paramètres!M54="",NA(),IF(LEFT(TRIM(Paramètres!M54),1)="F",INDEX($F$2327:$F$2379,MATCH(Paramètres!L54,Paramètres!$G$5:$G$57,0)),INDEX($E$2327:$E$2379,MATCH(Paramètres!L54,Paramètres!$G$5:$G$57,0)))+IF(RIGHT(TRIM(Paramètres!M54),3)="Fin",1-$H2376,IF(LEFT(TRIM(Paramètres!M54),1)="F",1,0)))),IF(Paramètres!N54="",0,IF(Paramètres!O54="",NA(),IF(LEFT(TRIM(Paramètres!O54),1)="F",INDEX($F$2327:$F$2379,MATCH(Paramètres!N54,Paramètres!$G$5:$G$57,0)),INDEX($E$2327:$E$2379,MATCH(Paramètres!N54,Paramètres!$G$5:$G$57,0)))+IF(RIGHT(TRIM(Paramètres!O54),3)="Fin",1-$H2376,IF(LEFT(TRIM(Paramètres!O54),1)="F",1,0)))))))</f>
        <v/>
      </c>
      <c r="F2376" s="19">
        <f>IF($A2376="","",E2376+$H2376-1)</f>
        <v/>
      </c>
      <c r="G2376" s="18" t="n"/>
      <c r="H2376" s="18">
        <f>IF($A2376="","",IF(I2376&lt;&gt;"",I2376,Paramètres!B54))</f>
        <v/>
      </c>
      <c r="I2376" s="18" t="n"/>
    </row>
    <row r="2377">
      <c r="A2377" s="18">
        <f>IF(ISNUMBER(Dossiers!$D$47),Dossiers!$A$47&amp;" · "&amp;Dossiers!$B$47,"")</f>
        <v/>
      </c>
      <c r="B2377" s="18">
        <f>IF($A2377="","",Paramètres!G55)</f>
        <v/>
      </c>
      <c r="C2377" s="18">
        <f>IF($A2377="","",IF(Paramètres!H55="","",Paramètres!H55))</f>
        <v/>
      </c>
      <c r="D2377" s="18">
        <f>IF($A2377="","",IF(Paramètres!I55="","",Paramètres!I55))</f>
        <v/>
      </c>
      <c r="E2377" s="19">
        <f>IF($A2377="","",IF(Paramètres!J55&amp;Paramètres!L55&amp;Paramètres!N55="",Dossiers!$D$47,MAX(IF(Paramètres!J55="",0,IF(Paramètres!K55="",NA(),IF(LEFT(TRIM(Paramètres!K55),1)="F",INDEX($F$2327:$F$2379,MATCH(Paramètres!J55,Paramètres!$G$5:$G$57,0)),INDEX($E$2327:$E$2379,MATCH(Paramètres!J55,Paramètres!$G$5:$G$57,0)))+IF(RIGHT(TRIM(Paramètres!K55),3)="Fin",1-$H2377,IF(LEFT(TRIM(Paramètres!K55),1)="F",1,0)))),IF(Paramètres!L55="",0,IF(Paramètres!M55="",NA(),IF(LEFT(TRIM(Paramètres!M55),1)="F",INDEX($F$2327:$F$2379,MATCH(Paramètres!L55,Paramètres!$G$5:$G$57,0)),INDEX($E$2327:$E$2379,MATCH(Paramètres!L55,Paramètres!$G$5:$G$57,0)))+IF(RIGHT(TRIM(Paramètres!M55),3)="Fin",1-$H2377,IF(LEFT(TRIM(Paramètres!M55),1)="F",1,0)))),IF(Paramètres!N55="",0,IF(Paramètres!O55="",NA(),IF(LEFT(TRIM(Paramètres!O55),1)="F",INDEX($F$2327:$F$2379,MATCH(Paramètres!N55,Paramètres!$G$5:$G$57,0)),INDEX($E$2327:$E$2379,MATCH(Paramètres!N55,Paramètres!$G$5:$G$57,0)))+IF(RIGHT(TRIM(Paramètres!O55),3)="Fin",1-$H2377,IF(LEFT(TRIM(Paramètres!O55),1)="F",1,0)))))))</f>
        <v/>
      </c>
      <c r="F2377" s="19">
        <f>IF($A2377="","",E2377+$H2377-1)</f>
        <v/>
      </c>
      <c r="G2377" s="18" t="n"/>
      <c r="H2377" s="18">
        <f>IF($A2377="","",IF(I2377&lt;&gt;"",I2377,Paramètres!B55))</f>
        <v/>
      </c>
      <c r="I2377" s="18" t="n"/>
    </row>
    <row r="2378">
      <c r="A2378" s="18">
        <f>IF(ISNUMBER(Dossiers!$D$47),Dossiers!$A$47&amp;" · "&amp;Dossiers!$B$47,"")</f>
        <v/>
      </c>
      <c r="B2378" s="18">
        <f>IF($A2378="","",Paramètres!G56)</f>
        <v/>
      </c>
      <c r="C2378" s="18">
        <f>IF($A2378="","",IF(Paramètres!H56="","",Paramètres!H56))</f>
        <v/>
      </c>
      <c r="D2378" s="18">
        <f>IF($A2378="","",IF(Paramètres!I56="","",Paramètres!I56))</f>
        <v/>
      </c>
      <c r="E2378" s="19">
        <f>IF($A2378="","",MIN(E2379:E2379))</f>
        <v/>
      </c>
      <c r="F2378" s="19">
        <f>IF($A2378="","",MAX(F2379:F2379))</f>
        <v/>
      </c>
      <c r="G2378" s="18" t="n"/>
      <c r="H2378" s="18">
        <f>IF($A2378="","",F2378-E2378+1)</f>
        <v/>
      </c>
      <c r="I2378" s="18" t="n"/>
    </row>
    <row r="2379">
      <c r="A2379" s="18">
        <f>IF(ISNUMBER(Dossiers!$D$47),Dossiers!$A$47&amp;" · "&amp;Dossiers!$B$47,"")</f>
        <v/>
      </c>
      <c r="B2379" s="18">
        <f>IF($A2379="","",Paramètres!G57)</f>
        <v/>
      </c>
      <c r="C2379" s="18">
        <f>IF($A2379="","",IF(Paramètres!H57="","",Paramètres!H57))</f>
        <v/>
      </c>
      <c r="D2379" s="18">
        <f>IF($A2379="","",IF(Paramètres!I57="","",Paramètres!I57))</f>
        <v/>
      </c>
      <c r="E2379" s="19">
        <f>IF($A2379="","",IF(Paramètres!J57&amp;Paramètres!L57&amp;Paramètres!N57="",Dossiers!$D$47,MAX(IF(Paramètres!J57="",0,IF(Paramètres!K57="",NA(),IF(LEFT(TRIM(Paramètres!K57),1)="F",INDEX($F$2327:$F$2379,MATCH(Paramètres!J57,Paramètres!$G$5:$G$57,0)),INDEX($E$2327:$E$2379,MATCH(Paramètres!J57,Paramètres!$G$5:$G$57,0)))+IF(RIGHT(TRIM(Paramètres!K57),3)="Fin",1-$H2379,IF(LEFT(TRIM(Paramètres!K57),1)="F",1,0)))),IF(Paramètres!L57="",0,IF(Paramètres!M57="",NA(),IF(LEFT(TRIM(Paramètres!M57),1)="F",INDEX($F$2327:$F$2379,MATCH(Paramètres!L57,Paramètres!$G$5:$G$57,0)),INDEX($E$2327:$E$2379,MATCH(Paramètres!L57,Paramètres!$G$5:$G$57,0)))+IF(RIGHT(TRIM(Paramètres!M57),3)="Fin",1-$H2379,IF(LEFT(TRIM(Paramètres!M57),1)="F",1,0)))),IF(Paramètres!N57="",0,IF(Paramètres!O57="",NA(),IF(LEFT(TRIM(Paramètres!O57),1)="F",INDEX($F$2327:$F$2379,MATCH(Paramètres!N57,Paramètres!$G$5:$G$57,0)),INDEX($E$2327:$E$2379,MATCH(Paramètres!N57,Paramètres!$G$5:$G$57,0)))+IF(RIGHT(TRIM(Paramètres!O57),3)="Fin",1-$H2379,IF(LEFT(TRIM(Paramètres!O57),1)="F",1,0)))))))</f>
        <v/>
      </c>
      <c r="F2379" s="19">
        <f>IF($A2379="","",E2379+$H2379-1)</f>
        <v/>
      </c>
      <c r="G2379" s="18" t="n"/>
      <c r="H2379" s="18">
        <f>IF($A2379="","",IF(I2379&lt;&gt;"",I2379,Paramètres!B57))</f>
        <v/>
      </c>
      <c r="I2379" s="18" t="n"/>
    </row>
    <row r="2380">
      <c r="A2380" s="16">
        <f>IF(ISNUMBER(Dossiers!$D$48),Dossiers!$E$48,"")</f>
        <v/>
      </c>
      <c r="B2380" s="16">
        <f>IF($A2380="","","Identifiant")</f>
        <v/>
      </c>
      <c r="C2380" s="16">
        <f>IF($A2380="","","Macro Etape")</f>
        <v/>
      </c>
      <c r="D2380" s="16">
        <f>IF($A2380="","","Etape")</f>
        <v/>
      </c>
      <c r="E2380" s="17">
        <f>IF($A2380="","","Début le")</f>
        <v/>
      </c>
      <c r="F2380" s="17">
        <f>IF($A2380="","","Fin prévue le")</f>
        <v/>
      </c>
      <c r="G2380" s="16">
        <f>IF($A2380="","","Statut")</f>
        <v/>
      </c>
      <c r="H2380" s="16">
        <f>IF($A2380="","","Durée (jours)")</f>
        <v/>
      </c>
      <c r="I2380" s="16">
        <f>IF($A2380="","","Durée particulière")</f>
        <v/>
      </c>
      <c r="J2380" s="10">
        <f>IF($A2380="","",HYPERLINK("#'Tableau de bord'!A1","↑ Tableau de bord"))</f>
        <v/>
      </c>
    </row>
    <row r="2381">
      <c r="A2381" s="18">
        <f>IF(ISNUMBER(Dossiers!$D$48),Dossiers!$A$48&amp;" · "&amp;Dossiers!$B$48,"")</f>
        <v/>
      </c>
      <c r="B2381" s="18">
        <f>IF($A2381="","",Paramètres!G5)</f>
        <v/>
      </c>
      <c r="C2381" s="18">
        <f>IF($A2381="","",IF(Paramètres!H5="","",Paramètres!H5))</f>
        <v/>
      </c>
      <c r="D2381" s="18">
        <f>IF($A2381="","",IF(Paramètres!I5="","",Paramètres!I5))</f>
        <v/>
      </c>
      <c r="E2381" s="19">
        <f>IF($A2381="","",MIN(E2382:E2385))</f>
        <v/>
      </c>
      <c r="F2381" s="19">
        <f>IF($A2381="","",MAX(F2382:F2385))</f>
        <v/>
      </c>
      <c r="G2381" s="18" t="n"/>
      <c r="H2381" s="18">
        <f>IF($A2381="","",F2381-E2381+1)</f>
        <v/>
      </c>
      <c r="I2381" s="18" t="n"/>
    </row>
    <row r="2382">
      <c r="A2382" s="18">
        <f>IF(ISNUMBER(Dossiers!$D$48),Dossiers!$A$48&amp;" · "&amp;Dossiers!$B$48,"")</f>
        <v/>
      </c>
      <c r="B2382" s="18">
        <f>IF($A2382="","",Paramètres!G6)</f>
        <v/>
      </c>
      <c r="C2382" s="18">
        <f>IF($A2382="","",IF(Paramètres!H6="","",Paramètres!H6))</f>
        <v/>
      </c>
      <c r="D2382" s="18">
        <f>IF($A2382="","",IF(Paramètres!I6="","",Paramètres!I6))</f>
        <v/>
      </c>
      <c r="E2382" s="19">
        <f>IF($A2382="","",IF(Paramètres!J6&amp;Paramètres!L6&amp;Paramètres!N6="",Dossiers!$D$48,MAX(IF(Paramètres!J6="",0,IF(Paramètres!K6="",NA(),IF(LEFT(TRIM(Paramètres!K6),1)="F",INDEX($F$2381:$F$2433,MATCH(Paramètres!J6,Paramètres!$G$5:$G$57,0)),INDEX($E$2381:$E$2433,MATCH(Paramètres!J6,Paramètres!$G$5:$G$57,0)))+IF(RIGHT(TRIM(Paramètres!K6),3)="Fin",1-$H2382,IF(LEFT(TRIM(Paramètres!K6),1)="F",1,0)))),IF(Paramètres!L6="",0,IF(Paramètres!M6="",NA(),IF(LEFT(TRIM(Paramètres!M6),1)="F",INDEX($F$2381:$F$2433,MATCH(Paramètres!L6,Paramètres!$G$5:$G$57,0)),INDEX($E$2381:$E$2433,MATCH(Paramètres!L6,Paramètres!$G$5:$G$57,0)))+IF(RIGHT(TRIM(Paramètres!M6),3)="Fin",1-$H2382,IF(LEFT(TRIM(Paramètres!M6),1)="F",1,0)))),IF(Paramètres!N6="",0,IF(Paramètres!O6="",NA(),IF(LEFT(TRIM(Paramètres!O6),1)="F",INDEX($F$2381:$F$2433,MATCH(Paramètres!N6,Paramètres!$G$5:$G$57,0)),INDEX($E$2381:$E$2433,MATCH(Paramètres!N6,Paramètres!$G$5:$G$57,0)))+IF(RIGHT(TRIM(Paramètres!O6),3)="Fin",1-$H2382,IF(LEFT(TRIM(Paramètres!O6),1)="F",1,0)))))))</f>
        <v/>
      </c>
      <c r="F2382" s="19">
        <f>IF($A2382="","",E2382+$H2382-1)</f>
        <v/>
      </c>
      <c r="G2382" s="18" t="n"/>
      <c r="H2382" s="18">
        <f>IF($A2382="","",IF(I2382&lt;&gt;"",I2382,Paramètres!B6))</f>
        <v/>
      </c>
      <c r="I2382" s="18" t="n"/>
    </row>
    <row r="2383">
      <c r="A2383" s="18">
        <f>IF(ISNUMBER(Dossiers!$D$48),Dossiers!$A$48&amp;" · "&amp;Dossiers!$B$48,"")</f>
        <v/>
      </c>
      <c r="B2383" s="18">
        <f>IF($A2383="","",Paramètres!G7)</f>
        <v/>
      </c>
      <c r="C2383" s="18">
        <f>IF($A2383="","",IF(Paramètres!H7="","",Paramètres!H7))</f>
        <v/>
      </c>
      <c r="D2383" s="18">
        <f>IF($A2383="","",IF(Paramètres!I7="","",Paramètres!I7))</f>
        <v/>
      </c>
      <c r="E2383" s="19">
        <f>IF($A2383="","",IF(Paramètres!J7&amp;Paramètres!L7&amp;Paramètres!N7="",Dossiers!$D$48,MAX(IF(Paramètres!J7="",0,IF(Paramètres!K7="",NA(),IF(LEFT(TRIM(Paramètres!K7),1)="F",INDEX($F$2381:$F$2433,MATCH(Paramètres!J7,Paramètres!$G$5:$G$57,0)),INDEX($E$2381:$E$2433,MATCH(Paramètres!J7,Paramètres!$G$5:$G$57,0)))+IF(RIGHT(TRIM(Paramètres!K7),3)="Fin",1-$H2383,IF(LEFT(TRIM(Paramètres!K7),1)="F",1,0)))),IF(Paramètres!L7="",0,IF(Paramètres!M7="",NA(),IF(LEFT(TRIM(Paramètres!M7),1)="F",INDEX($F$2381:$F$2433,MATCH(Paramètres!L7,Paramètres!$G$5:$G$57,0)),INDEX($E$2381:$E$2433,MATCH(Paramètres!L7,Paramètres!$G$5:$G$57,0)))+IF(RIGHT(TRIM(Paramètres!M7),3)="Fin",1-$H2383,IF(LEFT(TRIM(Paramètres!M7),1)="F",1,0)))),IF(Paramètres!N7="",0,IF(Paramètres!O7="",NA(),IF(LEFT(TRIM(Paramètres!O7),1)="F",INDEX($F$2381:$F$2433,MATCH(Paramètres!N7,Paramètres!$G$5:$G$57,0)),INDEX($E$2381:$E$2433,MATCH(Paramètres!N7,Paramètres!$G$5:$G$57,0)))+IF(RIGHT(TRIM(Paramètres!O7),3)="Fin",1-$H2383,IF(LEFT(TRIM(Paramètres!O7),1)="F",1,0)))))))</f>
        <v/>
      </c>
      <c r="F2383" s="19">
        <f>IF($A2383="","",E2383+$H2383-1)</f>
        <v/>
      </c>
      <c r="G2383" s="18" t="n"/>
      <c r="H2383" s="18">
        <f>IF($A2383="","",IF(I2383&lt;&gt;"",I2383,Paramètres!B7))</f>
        <v/>
      </c>
      <c r="I2383" s="18" t="n"/>
    </row>
    <row r="2384">
      <c r="A2384" s="18">
        <f>IF(ISNUMBER(Dossiers!$D$48),Dossiers!$A$48&amp;" · "&amp;Dossiers!$B$48,"")</f>
        <v/>
      </c>
      <c r="B2384" s="18">
        <f>IF($A2384="","",Paramètres!G8)</f>
        <v/>
      </c>
      <c r="C2384" s="18">
        <f>IF($A2384="","",IF(Paramètres!H8="","",Paramètres!H8))</f>
        <v/>
      </c>
      <c r="D2384" s="18">
        <f>IF($A2384="","",IF(Paramètres!I8="","",Paramètres!I8))</f>
        <v/>
      </c>
      <c r="E2384" s="19">
        <f>IF($A2384="","",IF(Paramètres!J8&amp;Paramètres!L8&amp;Paramètres!N8="",Dossiers!$D$48,MAX(IF(Paramètres!J8="",0,IF(Paramètres!K8="",NA(),IF(LEFT(TRIM(Paramètres!K8),1)="F",INDEX($F$2381:$F$2433,MATCH(Paramètres!J8,Paramètres!$G$5:$G$57,0)),INDEX($E$2381:$E$2433,MATCH(Paramètres!J8,Paramètres!$G$5:$G$57,0)))+IF(RIGHT(TRIM(Paramètres!K8),3)="Fin",1-$H2384,IF(LEFT(TRIM(Paramètres!K8),1)="F",1,0)))),IF(Paramètres!L8="",0,IF(Paramètres!M8="",NA(),IF(LEFT(TRIM(Paramètres!M8),1)="F",INDEX($F$2381:$F$2433,MATCH(Paramètres!L8,Paramètres!$G$5:$G$57,0)),INDEX($E$2381:$E$2433,MATCH(Paramètres!L8,Paramètres!$G$5:$G$57,0)))+IF(RIGHT(TRIM(Paramètres!M8),3)="Fin",1-$H2384,IF(LEFT(TRIM(Paramètres!M8),1)="F",1,0)))),IF(Paramètres!N8="",0,IF(Paramètres!O8="",NA(),IF(LEFT(TRIM(Paramètres!O8),1)="F",INDEX($F$2381:$F$2433,MATCH(Paramètres!N8,Paramètres!$G$5:$G$57,0)),INDEX($E$2381:$E$2433,MATCH(Paramètres!N8,Paramètres!$G$5:$G$57,0)))+IF(RIGHT(TRIM(Paramètres!O8),3)="Fin",1-$H2384,IF(LEFT(TRIM(Paramètres!O8),1)="F",1,0)))))))</f>
        <v/>
      </c>
      <c r="F2384" s="19">
        <f>IF($A2384="","",E2384+$H2384-1)</f>
        <v/>
      </c>
      <c r="G2384" s="18" t="n"/>
      <c r="H2384" s="18">
        <f>IF($A2384="","",IF(I2384&lt;&gt;"",I2384,Paramètres!B8))</f>
        <v/>
      </c>
      <c r="I2384" s="18" t="n"/>
    </row>
    <row r="2385">
      <c r="A2385" s="18">
        <f>IF(ISNUMBER(Dossiers!$D$48),Dossiers!$A$48&amp;" · "&amp;Dossiers!$B$48,"")</f>
        <v/>
      </c>
      <c r="B2385" s="18">
        <f>IF($A2385="","",Paramètres!G9)</f>
        <v/>
      </c>
      <c r="C2385" s="18">
        <f>IF($A2385="","",IF(Paramètres!H9="","",Paramètres!H9))</f>
        <v/>
      </c>
      <c r="D2385" s="18">
        <f>IF($A2385="","",IF(Paramètres!I9="","",Paramètres!I9))</f>
        <v/>
      </c>
      <c r="E2385" s="19">
        <f>IF($A2385="","",IF(Paramètres!J9&amp;Paramètres!L9&amp;Paramètres!N9="",Dossiers!$D$48,MAX(IF(Paramètres!J9="",0,IF(Paramètres!K9="",NA(),IF(LEFT(TRIM(Paramètres!K9),1)="F",INDEX($F$2381:$F$2433,MATCH(Paramètres!J9,Paramètres!$G$5:$G$57,0)),INDEX($E$2381:$E$2433,MATCH(Paramètres!J9,Paramètres!$G$5:$G$57,0)))+IF(RIGHT(TRIM(Paramètres!K9),3)="Fin",1-$H2385,IF(LEFT(TRIM(Paramètres!K9),1)="F",1,0)))),IF(Paramètres!L9="",0,IF(Paramètres!M9="",NA(),IF(LEFT(TRIM(Paramètres!M9),1)="F",INDEX($F$2381:$F$2433,MATCH(Paramètres!L9,Paramètres!$G$5:$G$57,0)),INDEX($E$2381:$E$2433,MATCH(Paramètres!L9,Paramètres!$G$5:$G$57,0)))+IF(RIGHT(TRIM(Paramètres!M9),3)="Fin",1-$H2385,IF(LEFT(TRIM(Paramètres!M9),1)="F",1,0)))),IF(Paramètres!N9="",0,IF(Paramètres!O9="",NA(),IF(LEFT(TRIM(Paramètres!O9),1)="F",INDEX($F$2381:$F$2433,MATCH(Paramètres!N9,Paramètres!$G$5:$G$57,0)),INDEX($E$2381:$E$2433,MATCH(Paramètres!N9,Paramètres!$G$5:$G$57,0)))+IF(RIGHT(TRIM(Paramètres!O9),3)="Fin",1-$H2385,IF(LEFT(TRIM(Paramètres!O9),1)="F",1,0)))))))</f>
        <v/>
      </c>
      <c r="F2385" s="19">
        <f>IF($A2385="","",E2385+$H2385-1)</f>
        <v/>
      </c>
      <c r="G2385" s="18" t="n"/>
      <c r="H2385" s="18">
        <f>IF($A2385="","",IF(I2385&lt;&gt;"",I2385,Paramètres!B9))</f>
        <v/>
      </c>
      <c r="I2385" s="18" t="n"/>
    </row>
    <row r="2386">
      <c r="A2386" s="18">
        <f>IF(ISNUMBER(Dossiers!$D$48),Dossiers!$A$48&amp;" · "&amp;Dossiers!$B$48,"")</f>
        <v/>
      </c>
      <c r="B2386" s="18">
        <f>IF($A2386="","",Paramètres!G10)</f>
        <v/>
      </c>
      <c r="C2386" s="18">
        <f>IF($A2386="","",IF(Paramètres!H10="","",Paramètres!H10))</f>
        <v/>
      </c>
      <c r="D2386" s="18">
        <f>IF($A2386="","",IF(Paramètres!I10="","",Paramètres!I10))</f>
        <v/>
      </c>
      <c r="E2386" s="19">
        <f>IF($A2386="","",MIN(E2387:E2390))</f>
        <v/>
      </c>
      <c r="F2386" s="19">
        <f>IF($A2386="","",MAX(F2387:F2390))</f>
        <v/>
      </c>
      <c r="G2386" s="18" t="n"/>
      <c r="H2386" s="18">
        <f>IF($A2386="","",F2386-E2386+1)</f>
        <v/>
      </c>
      <c r="I2386" s="18" t="n"/>
    </row>
    <row r="2387">
      <c r="A2387" s="18">
        <f>IF(ISNUMBER(Dossiers!$D$48),Dossiers!$A$48&amp;" · "&amp;Dossiers!$B$48,"")</f>
        <v/>
      </c>
      <c r="B2387" s="18">
        <f>IF($A2387="","",Paramètres!G11)</f>
        <v/>
      </c>
      <c r="C2387" s="18">
        <f>IF($A2387="","",IF(Paramètres!H11="","",Paramètres!H11))</f>
        <v/>
      </c>
      <c r="D2387" s="18">
        <f>IF($A2387="","",IF(Paramètres!I11="","",Paramètres!I11))</f>
        <v/>
      </c>
      <c r="E2387" s="19">
        <f>IF($A2387="","",IF(Paramètres!J11&amp;Paramètres!L11&amp;Paramètres!N11="",Dossiers!$D$48,MAX(IF(Paramètres!J11="",0,IF(Paramètres!K11="",NA(),IF(LEFT(TRIM(Paramètres!K11),1)="F",INDEX($F$2381:$F$2433,MATCH(Paramètres!J11,Paramètres!$G$5:$G$57,0)),INDEX($E$2381:$E$2433,MATCH(Paramètres!J11,Paramètres!$G$5:$G$57,0)))+IF(RIGHT(TRIM(Paramètres!K11),3)="Fin",1-$H2387,IF(LEFT(TRIM(Paramètres!K11),1)="F",1,0)))),IF(Paramètres!L11="",0,IF(Paramètres!M11="",NA(),IF(LEFT(TRIM(Paramètres!M11),1)="F",INDEX($F$2381:$F$2433,MATCH(Paramètres!L11,Paramètres!$G$5:$G$57,0)),INDEX($E$2381:$E$2433,MATCH(Paramètres!L11,Paramètres!$G$5:$G$57,0)))+IF(RIGHT(TRIM(Paramètres!M11),3)="Fin",1-$H2387,IF(LEFT(TRIM(Paramètres!M11),1)="F",1,0)))),IF(Paramètres!N11="",0,IF(Paramètres!O11="",NA(),IF(LEFT(TRIM(Paramètres!O11),1)="F",INDEX($F$2381:$F$2433,MATCH(Paramètres!N11,Paramètres!$G$5:$G$57,0)),INDEX($E$2381:$E$2433,MATCH(Paramètres!N11,Paramètres!$G$5:$G$57,0)))+IF(RIGHT(TRIM(Paramètres!O11),3)="Fin",1-$H2387,IF(LEFT(TRIM(Paramètres!O11),1)="F",1,0)))))))</f>
        <v/>
      </c>
      <c r="F2387" s="19">
        <f>IF($A2387="","",E2387+$H2387-1)</f>
        <v/>
      </c>
      <c r="G2387" s="18" t="n"/>
      <c r="H2387" s="18">
        <f>IF($A2387="","",IF(I2387&lt;&gt;"",I2387,Paramètres!B11))</f>
        <v/>
      </c>
      <c r="I2387" s="18" t="n"/>
    </row>
    <row r="2388">
      <c r="A2388" s="18">
        <f>IF(ISNUMBER(Dossiers!$D$48),Dossiers!$A$48&amp;" · "&amp;Dossiers!$B$48,"")</f>
        <v/>
      </c>
      <c r="B2388" s="18">
        <f>IF($A2388="","",Paramètres!G12)</f>
        <v/>
      </c>
      <c r="C2388" s="18">
        <f>IF($A2388="","",IF(Paramètres!H12="","",Paramètres!H12))</f>
        <v/>
      </c>
      <c r="D2388" s="18">
        <f>IF($A2388="","",IF(Paramètres!I12="","",Paramètres!I12))</f>
        <v/>
      </c>
      <c r="E2388" s="19">
        <f>IF($A2388="","",IF(Paramètres!J12&amp;Paramètres!L12&amp;Paramètres!N12="",Dossiers!$D$48,MAX(IF(Paramètres!J12="",0,IF(Paramètres!K12="",NA(),IF(LEFT(TRIM(Paramètres!K12),1)="F",INDEX($F$2381:$F$2433,MATCH(Paramètres!J12,Paramètres!$G$5:$G$57,0)),INDEX($E$2381:$E$2433,MATCH(Paramètres!J12,Paramètres!$G$5:$G$57,0)))+IF(RIGHT(TRIM(Paramètres!K12),3)="Fin",1-$H2388,IF(LEFT(TRIM(Paramètres!K12),1)="F",1,0)))),IF(Paramètres!L12="",0,IF(Paramètres!M12="",NA(),IF(LEFT(TRIM(Paramètres!M12),1)="F",INDEX($F$2381:$F$2433,MATCH(Paramètres!L12,Paramètres!$G$5:$G$57,0)),INDEX($E$2381:$E$2433,MATCH(Paramètres!L12,Paramètres!$G$5:$G$57,0)))+IF(RIGHT(TRIM(Paramètres!M12),3)="Fin",1-$H2388,IF(LEFT(TRIM(Paramètres!M12),1)="F",1,0)))),IF(Paramètres!N12="",0,IF(Paramètres!O12="",NA(),IF(LEFT(TRIM(Paramètres!O12),1)="F",INDEX($F$2381:$F$2433,MATCH(Paramètres!N12,Paramètres!$G$5:$G$57,0)),INDEX($E$2381:$E$2433,MATCH(Paramètres!N12,Paramètres!$G$5:$G$57,0)))+IF(RIGHT(TRIM(Paramètres!O12),3)="Fin",1-$H2388,IF(LEFT(TRIM(Paramètres!O12),1)="F",1,0)))))))</f>
        <v/>
      </c>
      <c r="F2388" s="19">
        <f>IF($A2388="","",E2388+$H2388-1)</f>
        <v/>
      </c>
      <c r="G2388" s="18" t="n"/>
      <c r="H2388" s="18">
        <f>IF($A2388="","",IF(I2388&lt;&gt;"",I2388,Paramètres!B12))</f>
        <v/>
      </c>
      <c r="I2388" s="18" t="n"/>
    </row>
    <row r="2389">
      <c r="A2389" s="18">
        <f>IF(ISNUMBER(Dossiers!$D$48),Dossiers!$A$48&amp;" · "&amp;Dossiers!$B$48,"")</f>
        <v/>
      </c>
      <c r="B2389" s="18">
        <f>IF($A2389="","",Paramètres!G13)</f>
        <v/>
      </c>
      <c r="C2389" s="18">
        <f>IF($A2389="","",IF(Paramètres!H13="","",Paramètres!H13))</f>
        <v/>
      </c>
      <c r="D2389" s="18">
        <f>IF($A2389="","",IF(Paramètres!I13="","",Paramètres!I13))</f>
        <v/>
      </c>
      <c r="E2389" s="19">
        <f>IF($A2389="","",IF(Paramètres!J13&amp;Paramètres!L13&amp;Paramètres!N13="",Dossiers!$D$48,MAX(IF(Paramètres!J13="",0,IF(Paramètres!K13="",NA(),IF(LEFT(TRIM(Paramètres!K13),1)="F",INDEX($F$2381:$F$2433,MATCH(Paramètres!J13,Paramètres!$G$5:$G$57,0)),INDEX($E$2381:$E$2433,MATCH(Paramètres!J13,Paramètres!$G$5:$G$57,0)))+IF(RIGHT(TRIM(Paramètres!K13),3)="Fin",1-$H2389,IF(LEFT(TRIM(Paramètres!K13),1)="F",1,0)))),IF(Paramètres!L13="",0,IF(Paramètres!M13="",NA(),IF(LEFT(TRIM(Paramètres!M13),1)="F",INDEX($F$2381:$F$2433,MATCH(Paramètres!L13,Paramètres!$G$5:$G$57,0)),INDEX($E$2381:$E$2433,MATCH(Paramètres!L13,Paramètres!$G$5:$G$57,0)))+IF(RIGHT(TRIM(Paramètres!M13),3)="Fin",1-$H2389,IF(LEFT(TRIM(Paramètres!M13),1)="F",1,0)))),IF(Paramètres!N13="",0,IF(Paramètres!O13="",NA(),IF(LEFT(TRIM(Paramètres!O13),1)="F",INDEX($F$2381:$F$2433,MATCH(Paramètres!N13,Paramètres!$G$5:$G$57,0)),INDEX($E$2381:$E$2433,MATCH(Paramètres!N13,Paramètres!$G$5:$G$57,0)))+IF(RIGHT(TRIM(Paramètres!O13),3)="Fin",1-$H2389,IF(LEFT(TRIM(Paramètres!O13),1)="F",1,0)))))))</f>
        <v/>
      </c>
      <c r="F2389" s="19">
        <f>IF($A2389="","",E2389+$H2389-1)</f>
        <v/>
      </c>
      <c r="G2389" s="18" t="n"/>
      <c r="H2389" s="18">
        <f>IF($A2389="","",IF(I2389&lt;&gt;"",I2389,Paramètres!B13))</f>
        <v/>
      </c>
      <c r="I2389" s="18" t="n"/>
    </row>
    <row r="2390">
      <c r="A2390" s="18">
        <f>IF(ISNUMBER(Dossiers!$D$48),Dossiers!$A$48&amp;" · "&amp;Dossiers!$B$48,"")</f>
        <v/>
      </c>
      <c r="B2390" s="18">
        <f>IF($A2390="","",Paramètres!G14)</f>
        <v/>
      </c>
      <c r="C2390" s="18">
        <f>IF($A2390="","",IF(Paramètres!H14="","",Paramètres!H14))</f>
        <v/>
      </c>
      <c r="D2390" s="18">
        <f>IF($A2390="","",IF(Paramètres!I14="","",Paramètres!I14))</f>
        <v/>
      </c>
      <c r="E2390" s="19">
        <f>IF($A2390="","",IF(Paramètres!J14&amp;Paramètres!L14&amp;Paramètres!N14="",Dossiers!$D$48,MAX(IF(Paramètres!J14="",0,IF(Paramètres!K14="",NA(),IF(LEFT(TRIM(Paramètres!K14),1)="F",INDEX($F$2381:$F$2433,MATCH(Paramètres!J14,Paramètres!$G$5:$G$57,0)),INDEX($E$2381:$E$2433,MATCH(Paramètres!J14,Paramètres!$G$5:$G$57,0)))+IF(RIGHT(TRIM(Paramètres!K14),3)="Fin",1-$H2390,IF(LEFT(TRIM(Paramètres!K14),1)="F",1,0)))),IF(Paramètres!L14="",0,IF(Paramètres!M14="",NA(),IF(LEFT(TRIM(Paramètres!M14),1)="F",INDEX($F$2381:$F$2433,MATCH(Paramètres!L14,Paramètres!$G$5:$G$57,0)),INDEX($E$2381:$E$2433,MATCH(Paramètres!L14,Paramètres!$G$5:$G$57,0)))+IF(RIGHT(TRIM(Paramètres!M14),3)="Fin",1-$H2390,IF(LEFT(TRIM(Paramètres!M14),1)="F",1,0)))),IF(Paramètres!N14="",0,IF(Paramètres!O14="",NA(),IF(LEFT(TRIM(Paramètres!O14),1)="F",INDEX($F$2381:$F$2433,MATCH(Paramètres!N14,Paramètres!$G$5:$G$57,0)),INDEX($E$2381:$E$2433,MATCH(Paramètres!N14,Paramètres!$G$5:$G$57,0)))+IF(RIGHT(TRIM(Paramètres!O14),3)="Fin",1-$H2390,IF(LEFT(TRIM(Paramètres!O14),1)="F",1,0)))))))</f>
        <v/>
      </c>
      <c r="F2390" s="19">
        <f>IF($A2390="","",E2390+$H2390-1)</f>
        <v/>
      </c>
      <c r="G2390" s="18" t="n"/>
      <c r="H2390" s="18">
        <f>IF($A2390="","",IF(I2390&lt;&gt;"",I2390,Paramètres!B14))</f>
        <v/>
      </c>
      <c r="I2390" s="18" t="n"/>
    </row>
    <row r="2391">
      <c r="A2391" s="18">
        <f>IF(ISNUMBER(Dossiers!$D$48),Dossiers!$A$48&amp;" · "&amp;Dossiers!$B$48,"")</f>
        <v/>
      </c>
      <c r="B2391" s="18">
        <f>IF($A2391="","",Paramètres!G15)</f>
        <v/>
      </c>
      <c r="C2391" s="18">
        <f>IF($A2391="","",IF(Paramètres!H15="","",Paramètres!H15))</f>
        <v/>
      </c>
      <c r="D2391" s="18">
        <f>IF($A2391="","",IF(Paramètres!I15="","",Paramètres!I15))</f>
        <v/>
      </c>
      <c r="E2391" s="19">
        <f>IF($A2391="","",MIN(E2392:E2407))</f>
        <v/>
      </c>
      <c r="F2391" s="19">
        <f>IF($A2391="","",MAX(F2392:F2407))</f>
        <v/>
      </c>
      <c r="G2391" s="18" t="n"/>
      <c r="H2391" s="18">
        <f>IF($A2391="","",F2391-E2391+1)</f>
        <v/>
      </c>
      <c r="I2391" s="18" t="n"/>
    </row>
    <row r="2392">
      <c r="A2392" s="18">
        <f>IF(ISNUMBER(Dossiers!$D$48),Dossiers!$A$48&amp;" · "&amp;Dossiers!$B$48,"")</f>
        <v/>
      </c>
      <c r="B2392" s="18">
        <f>IF($A2392="","",Paramètres!G16)</f>
        <v/>
      </c>
      <c r="C2392" s="18">
        <f>IF($A2392="","",IF(Paramètres!H16="","",Paramètres!H16))</f>
        <v/>
      </c>
      <c r="D2392" s="18">
        <f>IF($A2392="","",IF(Paramètres!I16="","",Paramètres!I16))</f>
        <v/>
      </c>
      <c r="E2392" s="19">
        <f>IF($A2392="","",IF(Paramètres!J16&amp;Paramètres!L16&amp;Paramètres!N16="",Dossiers!$D$48,MAX(IF(Paramètres!J16="",0,IF(Paramètres!K16="",NA(),IF(LEFT(TRIM(Paramètres!K16),1)="F",INDEX($F$2381:$F$2433,MATCH(Paramètres!J16,Paramètres!$G$5:$G$57,0)),INDEX($E$2381:$E$2433,MATCH(Paramètres!J16,Paramètres!$G$5:$G$57,0)))+IF(RIGHT(TRIM(Paramètres!K16),3)="Fin",1-$H2392,IF(LEFT(TRIM(Paramètres!K16),1)="F",1,0)))),IF(Paramètres!L16="",0,IF(Paramètres!M16="",NA(),IF(LEFT(TRIM(Paramètres!M16),1)="F",INDEX($F$2381:$F$2433,MATCH(Paramètres!L16,Paramètres!$G$5:$G$57,0)),INDEX($E$2381:$E$2433,MATCH(Paramètres!L16,Paramètres!$G$5:$G$57,0)))+IF(RIGHT(TRIM(Paramètres!M16),3)="Fin",1-$H2392,IF(LEFT(TRIM(Paramètres!M16),1)="F",1,0)))),IF(Paramètres!N16="",0,IF(Paramètres!O16="",NA(),IF(LEFT(TRIM(Paramètres!O16),1)="F",INDEX($F$2381:$F$2433,MATCH(Paramètres!N16,Paramètres!$G$5:$G$57,0)),INDEX($E$2381:$E$2433,MATCH(Paramètres!N16,Paramètres!$G$5:$G$57,0)))+IF(RIGHT(TRIM(Paramètres!O16),3)="Fin",1-$H2392,IF(LEFT(TRIM(Paramètres!O16),1)="F",1,0)))))))</f>
        <v/>
      </c>
      <c r="F2392" s="19">
        <f>IF($A2392="","",E2392+$H2392-1)</f>
        <v/>
      </c>
      <c r="G2392" s="18" t="n"/>
      <c r="H2392" s="18">
        <f>IF($A2392="","",IF(I2392&lt;&gt;"",I2392,Paramètres!B16))</f>
        <v/>
      </c>
      <c r="I2392" s="18" t="n"/>
    </row>
    <row r="2393">
      <c r="A2393" s="18">
        <f>IF(ISNUMBER(Dossiers!$D$48),Dossiers!$A$48&amp;" · "&amp;Dossiers!$B$48,"")</f>
        <v/>
      </c>
      <c r="B2393" s="18">
        <f>IF($A2393="","",Paramètres!G17)</f>
        <v/>
      </c>
      <c r="C2393" s="18">
        <f>IF($A2393="","",IF(Paramètres!H17="","",Paramètres!H17))</f>
        <v/>
      </c>
      <c r="D2393" s="18">
        <f>IF($A2393="","",IF(Paramètres!I17="","",Paramètres!I17))</f>
        <v/>
      </c>
      <c r="E2393" s="19">
        <f>IF($A2393="","",IF(Paramètres!J17&amp;Paramètres!L17&amp;Paramètres!N17="",Dossiers!$D$48,MAX(IF(Paramètres!J17="",0,IF(Paramètres!K17="",NA(),IF(LEFT(TRIM(Paramètres!K17),1)="F",INDEX($F$2381:$F$2433,MATCH(Paramètres!J17,Paramètres!$G$5:$G$57,0)),INDEX($E$2381:$E$2433,MATCH(Paramètres!J17,Paramètres!$G$5:$G$57,0)))+IF(RIGHT(TRIM(Paramètres!K17),3)="Fin",1-$H2393,IF(LEFT(TRIM(Paramètres!K17),1)="F",1,0)))),IF(Paramètres!L17="",0,IF(Paramètres!M17="",NA(),IF(LEFT(TRIM(Paramètres!M17),1)="F",INDEX($F$2381:$F$2433,MATCH(Paramètres!L17,Paramètres!$G$5:$G$57,0)),INDEX($E$2381:$E$2433,MATCH(Paramètres!L17,Paramètres!$G$5:$G$57,0)))+IF(RIGHT(TRIM(Paramètres!M17),3)="Fin",1-$H2393,IF(LEFT(TRIM(Paramètres!M17),1)="F",1,0)))),IF(Paramètres!N17="",0,IF(Paramètres!O17="",NA(),IF(LEFT(TRIM(Paramètres!O17),1)="F",INDEX($F$2381:$F$2433,MATCH(Paramètres!N17,Paramètres!$G$5:$G$57,0)),INDEX($E$2381:$E$2433,MATCH(Paramètres!N17,Paramètres!$G$5:$G$57,0)))+IF(RIGHT(TRIM(Paramètres!O17),3)="Fin",1-$H2393,IF(LEFT(TRIM(Paramètres!O17),1)="F",1,0)))))))</f>
        <v/>
      </c>
      <c r="F2393" s="19">
        <f>IF($A2393="","",E2393+$H2393-1)</f>
        <v/>
      </c>
      <c r="G2393" s="18" t="n"/>
      <c r="H2393" s="18">
        <f>IF($A2393="","",IF(I2393&lt;&gt;"",I2393,Paramètres!B17))</f>
        <v/>
      </c>
      <c r="I2393" s="18" t="n"/>
    </row>
    <row r="2394">
      <c r="A2394" s="18">
        <f>IF(ISNUMBER(Dossiers!$D$48),Dossiers!$A$48&amp;" · "&amp;Dossiers!$B$48,"")</f>
        <v/>
      </c>
      <c r="B2394" s="18">
        <f>IF($A2394="","",Paramètres!G18)</f>
        <v/>
      </c>
      <c r="C2394" s="18">
        <f>IF($A2394="","",IF(Paramètres!H18="","",Paramètres!H18))</f>
        <v/>
      </c>
      <c r="D2394" s="18">
        <f>IF($A2394="","",IF(Paramètres!I18="","",Paramètres!I18))</f>
        <v/>
      </c>
      <c r="E2394" s="19">
        <f>IF($A2394="","",IF(Paramètres!J18&amp;Paramètres!L18&amp;Paramètres!N18="",Dossiers!$D$48,MAX(IF(Paramètres!J18="",0,IF(Paramètres!K18="",NA(),IF(LEFT(TRIM(Paramètres!K18),1)="F",INDEX($F$2381:$F$2433,MATCH(Paramètres!J18,Paramètres!$G$5:$G$57,0)),INDEX($E$2381:$E$2433,MATCH(Paramètres!J18,Paramètres!$G$5:$G$57,0)))+IF(RIGHT(TRIM(Paramètres!K18),3)="Fin",1-$H2394,IF(LEFT(TRIM(Paramètres!K18),1)="F",1,0)))),IF(Paramètres!L18="",0,IF(Paramètres!M18="",NA(),IF(LEFT(TRIM(Paramètres!M18),1)="F",INDEX($F$2381:$F$2433,MATCH(Paramètres!L18,Paramètres!$G$5:$G$57,0)),INDEX($E$2381:$E$2433,MATCH(Paramètres!L18,Paramètres!$G$5:$G$57,0)))+IF(RIGHT(TRIM(Paramètres!M18),3)="Fin",1-$H2394,IF(LEFT(TRIM(Paramètres!M18),1)="F",1,0)))),IF(Paramètres!N18="",0,IF(Paramètres!O18="",NA(),IF(LEFT(TRIM(Paramètres!O18),1)="F",INDEX($F$2381:$F$2433,MATCH(Paramètres!N18,Paramètres!$G$5:$G$57,0)),INDEX($E$2381:$E$2433,MATCH(Paramètres!N18,Paramètres!$G$5:$G$57,0)))+IF(RIGHT(TRIM(Paramètres!O18),3)="Fin",1-$H2394,IF(LEFT(TRIM(Paramètres!O18),1)="F",1,0)))))))</f>
        <v/>
      </c>
      <c r="F2394" s="19">
        <f>IF($A2394="","",E2394+$H2394-1)</f>
        <v/>
      </c>
      <c r="G2394" s="18" t="n"/>
      <c r="H2394" s="18">
        <f>IF($A2394="","",IF(I2394&lt;&gt;"",I2394,Paramètres!B18))</f>
        <v/>
      </c>
      <c r="I2394" s="18" t="n"/>
    </row>
    <row r="2395">
      <c r="A2395" s="18">
        <f>IF(ISNUMBER(Dossiers!$D$48),Dossiers!$A$48&amp;" · "&amp;Dossiers!$B$48,"")</f>
        <v/>
      </c>
      <c r="B2395" s="18">
        <f>IF($A2395="","",Paramètres!G19)</f>
        <v/>
      </c>
      <c r="C2395" s="18">
        <f>IF($A2395="","",IF(Paramètres!H19="","",Paramètres!H19))</f>
        <v/>
      </c>
      <c r="D2395" s="18">
        <f>IF($A2395="","",IF(Paramètres!I19="","",Paramètres!I19))</f>
        <v/>
      </c>
      <c r="E2395" s="19">
        <f>IF($A2395="","",IF(Paramètres!J19&amp;Paramètres!L19&amp;Paramètres!N19="",Dossiers!$D$48,MAX(IF(Paramètres!J19="",0,IF(Paramètres!K19="",NA(),IF(LEFT(TRIM(Paramètres!K19),1)="F",INDEX($F$2381:$F$2433,MATCH(Paramètres!J19,Paramètres!$G$5:$G$57,0)),INDEX($E$2381:$E$2433,MATCH(Paramètres!J19,Paramètres!$G$5:$G$57,0)))+IF(RIGHT(TRIM(Paramètres!K19),3)="Fin",1-$H2395,IF(LEFT(TRIM(Paramètres!K19),1)="F",1,0)))),IF(Paramètres!L19="",0,IF(Paramètres!M19="",NA(),IF(LEFT(TRIM(Paramètres!M19),1)="F",INDEX($F$2381:$F$2433,MATCH(Paramètres!L19,Paramètres!$G$5:$G$57,0)),INDEX($E$2381:$E$2433,MATCH(Paramètres!L19,Paramètres!$G$5:$G$57,0)))+IF(RIGHT(TRIM(Paramètres!M19),3)="Fin",1-$H2395,IF(LEFT(TRIM(Paramètres!M19),1)="F",1,0)))),IF(Paramètres!N19="",0,IF(Paramètres!O19="",NA(),IF(LEFT(TRIM(Paramètres!O19),1)="F",INDEX($F$2381:$F$2433,MATCH(Paramètres!N19,Paramètres!$G$5:$G$57,0)),INDEX($E$2381:$E$2433,MATCH(Paramètres!N19,Paramètres!$G$5:$G$57,0)))+IF(RIGHT(TRIM(Paramètres!O19),3)="Fin",1-$H2395,IF(LEFT(TRIM(Paramètres!O19),1)="F",1,0)))))))</f>
        <v/>
      </c>
      <c r="F2395" s="19">
        <f>IF($A2395="","",E2395+$H2395-1)</f>
        <v/>
      </c>
      <c r="G2395" s="18" t="n"/>
      <c r="H2395" s="18">
        <f>IF($A2395="","",IF(I2395&lt;&gt;"",I2395,Paramètres!B19))</f>
        <v/>
      </c>
      <c r="I2395" s="18" t="n"/>
    </row>
    <row r="2396">
      <c r="A2396" s="18">
        <f>IF(ISNUMBER(Dossiers!$D$48),Dossiers!$A$48&amp;" · "&amp;Dossiers!$B$48,"")</f>
        <v/>
      </c>
      <c r="B2396" s="18">
        <f>IF($A2396="","",Paramètres!G20)</f>
        <v/>
      </c>
      <c r="C2396" s="18">
        <f>IF($A2396="","",IF(Paramètres!H20="","",Paramètres!H20))</f>
        <v/>
      </c>
      <c r="D2396" s="18">
        <f>IF($A2396="","",IF(Paramètres!I20="","",Paramètres!I20))</f>
        <v/>
      </c>
      <c r="E2396" s="19">
        <f>IF($A2396="","",IF(Paramètres!J20&amp;Paramètres!L20&amp;Paramètres!N20="",Dossiers!$D$48,MAX(IF(Paramètres!J20="",0,IF(Paramètres!K20="",NA(),IF(LEFT(TRIM(Paramètres!K20),1)="F",INDEX($F$2381:$F$2433,MATCH(Paramètres!J20,Paramètres!$G$5:$G$57,0)),INDEX($E$2381:$E$2433,MATCH(Paramètres!J20,Paramètres!$G$5:$G$57,0)))+IF(RIGHT(TRIM(Paramètres!K20),3)="Fin",1-$H2396,IF(LEFT(TRIM(Paramètres!K20),1)="F",1,0)))),IF(Paramètres!L20="",0,IF(Paramètres!M20="",NA(),IF(LEFT(TRIM(Paramètres!M20),1)="F",INDEX($F$2381:$F$2433,MATCH(Paramètres!L20,Paramètres!$G$5:$G$57,0)),INDEX($E$2381:$E$2433,MATCH(Paramètres!L20,Paramètres!$G$5:$G$57,0)))+IF(RIGHT(TRIM(Paramètres!M20),3)="Fin",1-$H2396,IF(LEFT(TRIM(Paramètres!M20),1)="F",1,0)))),IF(Paramètres!N20="",0,IF(Paramètres!O20="",NA(),IF(LEFT(TRIM(Paramètres!O20),1)="F",INDEX($F$2381:$F$2433,MATCH(Paramètres!N20,Paramètres!$G$5:$G$57,0)),INDEX($E$2381:$E$2433,MATCH(Paramètres!N20,Paramètres!$G$5:$G$57,0)))+IF(RIGHT(TRIM(Paramètres!O20),3)="Fin",1-$H2396,IF(LEFT(TRIM(Paramètres!O20),1)="F",1,0)))))))</f>
        <v/>
      </c>
      <c r="F2396" s="19">
        <f>IF($A2396="","",E2396+$H2396-1)</f>
        <v/>
      </c>
      <c r="G2396" s="18" t="n"/>
      <c r="H2396" s="18">
        <f>IF($A2396="","",IF(I2396&lt;&gt;"",I2396,Paramètres!B20))</f>
        <v/>
      </c>
      <c r="I2396" s="18" t="n"/>
    </row>
    <row r="2397">
      <c r="A2397" s="18">
        <f>IF(ISNUMBER(Dossiers!$D$48),Dossiers!$A$48&amp;" · "&amp;Dossiers!$B$48,"")</f>
        <v/>
      </c>
      <c r="B2397" s="18">
        <f>IF($A2397="","",Paramètres!G21)</f>
        <v/>
      </c>
      <c r="C2397" s="18">
        <f>IF($A2397="","",IF(Paramètres!H21="","",Paramètres!H21))</f>
        <v/>
      </c>
      <c r="D2397" s="18">
        <f>IF($A2397="","",IF(Paramètres!I21="","",Paramètres!I21))</f>
        <v/>
      </c>
      <c r="E2397" s="19">
        <f>IF($A2397="","",IF(Paramètres!J21&amp;Paramètres!L21&amp;Paramètres!N21="",Dossiers!$D$48,MAX(IF(Paramètres!J21="",0,IF(Paramètres!K21="",NA(),IF(LEFT(TRIM(Paramètres!K21),1)="F",INDEX($F$2381:$F$2433,MATCH(Paramètres!J21,Paramètres!$G$5:$G$57,0)),INDEX($E$2381:$E$2433,MATCH(Paramètres!J21,Paramètres!$G$5:$G$57,0)))+IF(RIGHT(TRIM(Paramètres!K21),3)="Fin",1-$H2397,IF(LEFT(TRIM(Paramètres!K21),1)="F",1,0)))),IF(Paramètres!L21="",0,IF(Paramètres!M21="",NA(),IF(LEFT(TRIM(Paramètres!M21),1)="F",INDEX($F$2381:$F$2433,MATCH(Paramètres!L21,Paramètres!$G$5:$G$57,0)),INDEX($E$2381:$E$2433,MATCH(Paramètres!L21,Paramètres!$G$5:$G$57,0)))+IF(RIGHT(TRIM(Paramètres!M21),3)="Fin",1-$H2397,IF(LEFT(TRIM(Paramètres!M21),1)="F",1,0)))),IF(Paramètres!N21="",0,IF(Paramètres!O21="",NA(),IF(LEFT(TRIM(Paramètres!O21),1)="F",INDEX($F$2381:$F$2433,MATCH(Paramètres!N21,Paramètres!$G$5:$G$57,0)),INDEX($E$2381:$E$2433,MATCH(Paramètres!N21,Paramètres!$G$5:$G$57,0)))+IF(RIGHT(TRIM(Paramètres!O21),3)="Fin",1-$H2397,IF(LEFT(TRIM(Paramètres!O21),1)="F",1,0)))))))</f>
        <v/>
      </c>
      <c r="F2397" s="19">
        <f>IF($A2397="","",E2397+$H2397-1)</f>
        <v/>
      </c>
      <c r="G2397" s="18" t="n"/>
      <c r="H2397" s="18">
        <f>IF($A2397="","",IF(I2397&lt;&gt;"",I2397,Paramètres!B21))</f>
        <v/>
      </c>
      <c r="I2397" s="18" t="n"/>
    </row>
    <row r="2398">
      <c r="A2398" s="18">
        <f>IF(ISNUMBER(Dossiers!$D$48),Dossiers!$A$48&amp;" · "&amp;Dossiers!$B$48,"")</f>
        <v/>
      </c>
      <c r="B2398" s="18">
        <f>IF($A2398="","",Paramètres!G22)</f>
        <v/>
      </c>
      <c r="C2398" s="18">
        <f>IF($A2398="","",IF(Paramètres!H22="","",Paramètres!H22))</f>
        <v/>
      </c>
      <c r="D2398" s="18">
        <f>IF($A2398="","",IF(Paramètres!I22="","",Paramètres!I22))</f>
        <v/>
      </c>
      <c r="E2398" s="19">
        <f>IF($A2398="","",IF(Paramètres!J22&amp;Paramètres!L22&amp;Paramètres!N22="",Dossiers!$D$48,MAX(IF(Paramètres!J22="",0,IF(Paramètres!K22="",NA(),IF(LEFT(TRIM(Paramètres!K22),1)="F",INDEX($F$2381:$F$2433,MATCH(Paramètres!J22,Paramètres!$G$5:$G$57,0)),INDEX($E$2381:$E$2433,MATCH(Paramètres!J22,Paramètres!$G$5:$G$57,0)))+IF(RIGHT(TRIM(Paramètres!K22),3)="Fin",1-$H2398,IF(LEFT(TRIM(Paramètres!K22),1)="F",1,0)))),IF(Paramètres!L22="",0,IF(Paramètres!M22="",NA(),IF(LEFT(TRIM(Paramètres!M22),1)="F",INDEX($F$2381:$F$2433,MATCH(Paramètres!L22,Paramètres!$G$5:$G$57,0)),INDEX($E$2381:$E$2433,MATCH(Paramètres!L22,Paramètres!$G$5:$G$57,0)))+IF(RIGHT(TRIM(Paramètres!M22),3)="Fin",1-$H2398,IF(LEFT(TRIM(Paramètres!M22),1)="F",1,0)))),IF(Paramètres!N22="",0,IF(Paramètres!O22="",NA(),IF(LEFT(TRIM(Paramètres!O22),1)="F",INDEX($F$2381:$F$2433,MATCH(Paramètres!N22,Paramètres!$G$5:$G$57,0)),INDEX($E$2381:$E$2433,MATCH(Paramètres!N22,Paramètres!$G$5:$G$57,0)))+IF(RIGHT(TRIM(Paramètres!O22),3)="Fin",1-$H2398,IF(LEFT(TRIM(Paramètres!O22),1)="F",1,0)))))))</f>
        <v/>
      </c>
      <c r="F2398" s="19">
        <f>IF($A2398="","",E2398+$H2398-1)</f>
        <v/>
      </c>
      <c r="G2398" s="18" t="n"/>
      <c r="H2398" s="18">
        <f>IF($A2398="","",IF(I2398&lt;&gt;"",I2398,Paramètres!B22))</f>
        <v/>
      </c>
      <c r="I2398" s="18" t="n"/>
    </row>
    <row r="2399">
      <c r="A2399" s="18">
        <f>IF(ISNUMBER(Dossiers!$D$48),Dossiers!$A$48&amp;" · "&amp;Dossiers!$B$48,"")</f>
        <v/>
      </c>
      <c r="B2399" s="18">
        <f>IF($A2399="","",Paramètres!G23)</f>
        <v/>
      </c>
      <c r="C2399" s="18">
        <f>IF($A2399="","",IF(Paramètres!H23="","",Paramètres!H23))</f>
        <v/>
      </c>
      <c r="D2399" s="18">
        <f>IF($A2399="","",IF(Paramètres!I23="","",Paramètres!I23))</f>
        <v/>
      </c>
      <c r="E2399" s="19">
        <f>IF($A2399="","",IF(Paramètres!J23&amp;Paramètres!L23&amp;Paramètres!N23="",Dossiers!$D$48,MAX(IF(Paramètres!J23="",0,IF(Paramètres!K23="",NA(),IF(LEFT(TRIM(Paramètres!K23),1)="F",INDEX($F$2381:$F$2433,MATCH(Paramètres!J23,Paramètres!$G$5:$G$57,0)),INDEX($E$2381:$E$2433,MATCH(Paramètres!J23,Paramètres!$G$5:$G$57,0)))+IF(RIGHT(TRIM(Paramètres!K23),3)="Fin",1-$H2399,IF(LEFT(TRIM(Paramètres!K23),1)="F",1,0)))),IF(Paramètres!L23="",0,IF(Paramètres!M23="",NA(),IF(LEFT(TRIM(Paramètres!M23),1)="F",INDEX($F$2381:$F$2433,MATCH(Paramètres!L23,Paramètres!$G$5:$G$57,0)),INDEX($E$2381:$E$2433,MATCH(Paramètres!L23,Paramètres!$G$5:$G$57,0)))+IF(RIGHT(TRIM(Paramètres!M23),3)="Fin",1-$H2399,IF(LEFT(TRIM(Paramètres!M23),1)="F",1,0)))),IF(Paramètres!N23="",0,IF(Paramètres!O23="",NA(),IF(LEFT(TRIM(Paramètres!O23),1)="F",INDEX($F$2381:$F$2433,MATCH(Paramètres!N23,Paramètres!$G$5:$G$57,0)),INDEX($E$2381:$E$2433,MATCH(Paramètres!N23,Paramètres!$G$5:$G$57,0)))+IF(RIGHT(TRIM(Paramètres!O23),3)="Fin",1-$H2399,IF(LEFT(TRIM(Paramètres!O23),1)="F",1,0)))))))</f>
        <v/>
      </c>
      <c r="F2399" s="19">
        <f>IF($A2399="","",E2399+$H2399-1)</f>
        <v/>
      </c>
      <c r="G2399" s="18" t="n"/>
      <c r="H2399" s="18">
        <f>IF($A2399="","",IF(I2399&lt;&gt;"",I2399,Paramètres!B23))</f>
        <v/>
      </c>
      <c r="I2399" s="18" t="n"/>
    </row>
    <row r="2400">
      <c r="A2400" s="18">
        <f>IF(ISNUMBER(Dossiers!$D$48),Dossiers!$A$48&amp;" · "&amp;Dossiers!$B$48,"")</f>
        <v/>
      </c>
      <c r="B2400" s="18">
        <f>IF($A2400="","",Paramètres!G24)</f>
        <v/>
      </c>
      <c r="C2400" s="18">
        <f>IF($A2400="","",IF(Paramètres!H24="","",Paramètres!H24))</f>
        <v/>
      </c>
      <c r="D2400" s="18">
        <f>IF($A2400="","",IF(Paramètres!I24="","",Paramètres!I24))</f>
        <v/>
      </c>
      <c r="E2400" s="19">
        <f>IF($A2400="","",IF(Paramètres!J24&amp;Paramètres!L24&amp;Paramètres!N24="",Dossiers!$D$48,MAX(IF(Paramètres!J24="",0,IF(Paramètres!K24="",NA(),IF(LEFT(TRIM(Paramètres!K24),1)="F",INDEX($F$2381:$F$2433,MATCH(Paramètres!J24,Paramètres!$G$5:$G$57,0)),INDEX($E$2381:$E$2433,MATCH(Paramètres!J24,Paramètres!$G$5:$G$57,0)))+IF(RIGHT(TRIM(Paramètres!K24),3)="Fin",1-$H2400,IF(LEFT(TRIM(Paramètres!K24),1)="F",1,0)))),IF(Paramètres!L24="",0,IF(Paramètres!M24="",NA(),IF(LEFT(TRIM(Paramètres!M24),1)="F",INDEX($F$2381:$F$2433,MATCH(Paramètres!L24,Paramètres!$G$5:$G$57,0)),INDEX($E$2381:$E$2433,MATCH(Paramètres!L24,Paramètres!$G$5:$G$57,0)))+IF(RIGHT(TRIM(Paramètres!M24),3)="Fin",1-$H2400,IF(LEFT(TRIM(Paramètres!M24),1)="F",1,0)))),IF(Paramètres!N24="",0,IF(Paramètres!O24="",NA(),IF(LEFT(TRIM(Paramètres!O24),1)="F",INDEX($F$2381:$F$2433,MATCH(Paramètres!N24,Paramètres!$G$5:$G$57,0)),INDEX($E$2381:$E$2433,MATCH(Paramètres!N24,Paramètres!$G$5:$G$57,0)))+IF(RIGHT(TRIM(Paramètres!O24),3)="Fin",1-$H2400,IF(LEFT(TRIM(Paramètres!O24),1)="F",1,0)))))))</f>
        <v/>
      </c>
      <c r="F2400" s="19">
        <f>IF($A2400="","",E2400+$H2400-1)</f>
        <v/>
      </c>
      <c r="G2400" s="18" t="n"/>
      <c r="H2400" s="18">
        <f>IF($A2400="","",IF(I2400&lt;&gt;"",I2400,Paramètres!B24))</f>
        <v/>
      </c>
      <c r="I2400" s="18" t="n"/>
    </row>
    <row r="2401">
      <c r="A2401" s="18">
        <f>IF(ISNUMBER(Dossiers!$D$48),Dossiers!$A$48&amp;" · "&amp;Dossiers!$B$48,"")</f>
        <v/>
      </c>
      <c r="B2401" s="18">
        <f>IF($A2401="","",Paramètres!G25)</f>
        <v/>
      </c>
      <c r="C2401" s="18">
        <f>IF($A2401="","",IF(Paramètres!H25="","",Paramètres!H25))</f>
        <v/>
      </c>
      <c r="D2401" s="18">
        <f>IF($A2401="","",IF(Paramètres!I25="","",Paramètres!I25))</f>
        <v/>
      </c>
      <c r="E2401" s="19">
        <f>IF($A2401="","",IF(Paramètres!J25&amp;Paramètres!L25&amp;Paramètres!N25="",Dossiers!$D$48,MAX(IF(Paramètres!J25="",0,IF(Paramètres!K25="",NA(),IF(LEFT(TRIM(Paramètres!K25),1)="F",INDEX($F$2381:$F$2433,MATCH(Paramètres!J25,Paramètres!$G$5:$G$57,0)),INDEX($E$2381:$E$2433,MATCH(Paramètres!J25,Paramètres!$G$5:$G$57,0)))+IF(RIGHT(TRIM(Paramètres!K25),3)="Fin",1-$H2401,IF(LEFT(TRIM(Paramètres!K25),1)="F",1,0)))),IF(Paramètres!L25="",0,IF(Paramètres!M25="",NA(),IF(LEFT(TRIM(Paramètres!M25),1)="F",INDEX($F$2381:$F$2433,MATCH(Paramètres!L25,Paramètres!$G$5:$G$57,0)),INDEX($E$2381:$E$2433,MATCH(Paramètres!L25,Paramètres!$G$5:$G$57,0)))+IF(RIGHT(TRIM(Paramètres!M25),3)="Fin",1-$H2401,IF(LEFT(TRIM(Paramètres!M25),1)="F",1,0)))),IF(Paramètres!N25="",0,IF(Paramètres!O25="",NA(),IF(LEFT(TRIM(Paramètres!O25),1)="F",INDEX($F$2381:$F$2433,MATCH(Paramètres!N25,Paramètres!$G$5:$G$57,0)),INDEX($E$2381:$E$2433,MATCH(Paramètres!N25,Paramètres!$G$5:$G$57,0)))+IF(RIGHT(TRIM(Paramètres!O25),3)="Fin",1-$H2401,IF(LEFT(TRIM(Paramètres!O25),1)="F",1,0)))))))</f>
        <v/>
      </c>
      <c r="F2401" s="19">
        <f>IF($A2401="","",E2401+$H2401-1)</f>
        <v/>
      </c>
      <c r="G2401" s="18" t="n"/>
      <c r="H2401" s="18">
        <f>IF($A2401="","",IF(I2401&lt;&gt;"",I2401,Paramètres!B25))</f>
        <v/>
      </c>
      <c r="I2401" s="18" t="n"/>
    </row>
    <row r="2402">
      <c r="A2402" s="18">
        <f>IF(ISNUMBER(Dossiers!$D$48),Dossiers!$A$48&amp;" · "&amp;Dossiers!$B$48,"")</f>
        <v/>
      </c>
      <c r="B2402" s="18">
        <f>IF($A2402="","",Paramètres!G26)</f>
        <v/>
      </c>
      <c r="C2402" s="18">
        <f>IF($A2402="","",IF(Paramètres!H26="","",Paramètres!H26))</f>
        <v/>
      </c>
      <c r="D2402" s="18">
        <f>IF($A2402="","",IF(Paramètres!I26="","",Paramètres!I26))</f>
        <v/>
      </c>
      <c r="E2402" s="19">
        <f>IF($A2402="","",IF(Paramètres!J26&amp;Paramètres!L26&amp;Paramètres!N26="",Dossiers!$D$48,MAX(IF(Paramètres!J26="",0,IF(Paramètres!K26="",NA(),IF(LEFT(TRIM(Paramètres!K26),1)="F",INDEX($F$2381:$F$2433,MATCH(Paramètres!J26,Paramètres!$G$5:$G$57,0)),INDEX($E$2381:$E$2433,MATCH(Paramètres!J26,Paramètres!$G$5:$G$57,0)))+IF(RIGHT(TRIM(Paramètres!K26),3)="Fin",1-$H2402,IF(LEFT(TRIM(Paramètres!K26),1)="F",1,0)))),IF(Paramètres!L26="",0,IF(Paramètres!M26="",NA(),IF(LEFT(TRIM(Paramètres!M26),1)="F",INDEX($F$2381:$F$2433,MATCH(Paramètres!L26,Paramètres!$G$5:$G$57,0)),INDEX($E$2381:$E$2433,MATCH(Paramètres!L26,Paramètres!$G$5:$G$57,0)))+IF(RIGHT(TRIM(Paramètres!M26),3)="Fin",1-$H2402,IF(LEFT(TRIM(Paramètres!M26),1)="F",1,0)))),IF(Paramètres!N26="",0,IF(Paramètres!O26="",NA(),IF(LEFT(TRIM(Paramètres!O26),1)="F",INDEX($F$2381:$F$2433,MATCH(Paramètres!N26,Paramètres!$G$5:$G$57,0)),INDEX($E$2381:$E$2433,MATCH(Paramètres!N26,Paramètres!$G$5:$G$57,0)))+IF(RIGHT(TRIM(Paramètres!O26),3)="Fin",1-$H2402,IF(LEFT(TRIM(Paramètres!O26),1)="F",1,0)))))))</f>
        <v/>
      </c>
      <c r="F2402" s="19">
        <f>IF($A2402="","",E2402+$H2402-1)</f>
        <v/>
      </c>
      <c r="G2402" s="18" t="n"/>
      <c r="H2402" s="18">
        <f>IF($A2402="","",IF(I2402&lt;&gt;"",I2402,Paramètres!B26))</f>
        <v/>
      </c>
      <c r="I2402" s="18" t="n"/>
    </row>
    <row r="2403">
      <c r="A2403" s="18">
        <f>IF(ISNUMBER(Dossiers!$D$48),Dossiers!$A$48&amp;" · "&amp;Dossiers!$B$48,"")</f>
        <v/>
      </c>
      <c r="B2403" s="18">
        <f>IF($A2403="","",Paramètres!G27)</f>
        <v/>
      </c>
      <c r="C2403" s="18">
        <f>IF($A2403="","",IF(Paramètres!H27="","",Paramètres!H27))</f>
        <v/>
      </c>
      <c r="D2403" s="18">
        <f>IF($A2403="","",IF(Paramètres!I27="","",Paramètres!I27))</f>
        <v/>
      </c>
      <c r="E2403" s="19">
        <f>IF($A2403="","",IF(Paramètres!J27&amp;Paramètres!L27&amp;Paramètres!N27="",Dossiers!$D$48,MAX(IF(Paramètres!J27="",0,IF(Paramètres!K27="",NA(),IF(LEFT(TRIM(Paramètres!K27),1)="F",INDEX($F$2381:$F$2433,MATCH(Paramètres!J27,Paramètres!$G$5:$G$57,0)),INDEX($E$2381:$E$2433,MATCH(Paramètres!J27,Paramètres!$G$5:$G$57,0)))+IF(RIGHT(TRIM(Paramètres!K27),3)="Fin",1-$H2403,IF(LEFT(TRIM(Paramètres!K27),1)="F",1,0)))),IF(Paramètres!L27="",0,IF(Paramètres!M27="",NA(),IF(LEFT(TRIM(Paramètres!M27),1)="F",INDEX($F$2381:$F$2433,MATCH(Paramètres!L27,Paramètres!$G$5:$G$57,0)),INDEX($E$2381:$E$2433,MATCH(Paramètres!L27,Paramètres!$G$5:$G$57,0)))+IF(RIGHT(TRIM(Paramètres!M27),3)="Fin",1-$H2403,IF(LEFT(TRIM(Paramètres!M27),1)="F",1,0)))),IF(Paramètres!N27="",0,IF(Paramètres!O27="",NA(),IF(LEFT(TRIM(Paramètres!O27),1)="F",INDEX($F$2381:$F$2433,MATCH(Paramètres!N27,Paramètres!$G$5:$G$57,0)),INDEX($E$2381:$E$2433,MATCH(Paramètres!N27,Paramètres!$G$5:$G$57,0)))+IF(RIGHT(TRIM(Paramètres!O27),3)="Fin",1-$H2403,IF(LEFT(TRIM(Paramètres!O27),1)="F",1,0)))))))</f>
        <v/>
      </c>
      <c r="F2403" s="19">
        <f>IF($A2403="","",E2403+$H2403-1)</f>
        <v/>
      </c>
      <c r="G2403" s="18" t="n"/>
      <c r="H2403" s="18">
        <f>IF($A2403="","",IF(I2403&lt;&gt;"",I2403,Paramètres!B27))</f>
        <v/>
      </c>
      <c r="I2403" s="18" t="n"/>
    </row>
    <row r="2404">
      <c r="A2404" s="18">
        <f>IF(ISNUMBER(Dossiers!$D$48),Dossiers!$A$48&amp;" · "&amp;Dossiers!$B$48,"")</f>
        <v/>
      </c>
      <c r="B2404" s="18">
        <f>IF($A2404="","",Paramètres!G28)</f>
        <v/>
      </c>
      <c r="C2404" s="18">
        <f>IF($A2404="","",IF(Paramètres!H28="","",Paramètres!H28))</f>
        <v/>
      </c>
      <c r="D2404" s="18">
        <f>IF($A2404="","",IF(Paramètres!I28="","",Paramètres!I28))</f>
        <v/>
      </c>
      <c r="E2404" s="19">
        <f>IF($A2404="","",IF(Paramètres!J28&amp;Paramètres!L28&amp;Paramètres!N28="",Dossiers!$D$48,MAX(IF(Paramètres!J28="",0,IF(Paramètres!K28="",NA(),IF(LEFT(TRIM(Paramètres!K28),1)="F",INDEX($F$2381:$F$2433,MATCH(Paramètres!J28,Paramètres!$G$5:$G$57,0)),INDEX($E$2381:$E$2433,MATCH(Paramètres!J28,Paramètres!$G$5:$G$57,0)))+IF(RIGHT(TRIM(Paramètres!K28),3)="Fin",1-$H2404,IF(LEFT(TRIM(Paramètres!K28),1)="F",1,0)))),IF(Paramètres!L28="",0,IF(Paramètres!M28="",NA(),IF(LEFT(TRIM(Paramètres!M28),1)="F",INDEX($F$2381:$F$2433,MATCH(Paramètres!L28,Paramètres!$G$5:$G$57,0)),INDEX($E$2381:$E$2433,MATCH(Paramètres!L28,Paramètres!$G$5:$G$57,0)))+IF(RIGHT(TRIM(Paramètres!M28),3)="Fin",1-$H2404,IF(LEFT(TRIM(Paramètres!M28),1)="F",1,0)))),IF(Paramètres!N28="",0,IF(Paramètres!O28="",NA(),IF(LEFT(TRIM(Paramètres!O28),1)="F",INDEX($F$2381:$F$2433,MATCH(Paramètres!N28,Paramètres!$G$5:$G$57,0)),INDEX($E$2381:$E$2433,MATCH(Paramètres!N28,Paramètres!$G$5:$G$57,0)))+IF(RIGHT(TRIM(Paramètres!O28),3)="Fin",1-$H2404,IF(LEFT(TRIM(Paramètres!O28),1)="F",1,0)))))))</f>
        <v/>
      </c>
      <c r="F2404" s="19">
        <f>IF($A2404="","",E2404+$H2404-1)</f>
        <v/>
      </c>
      <c r="G2404" s="18" t="n"/>
      <c r="H2404" s="18">
        <f>IF($A2404="","",IF(I2404&lt;&gt;"",I2404,Paramètres!B28))</f>
        <v/>
      </c>
      <c r="I2404" s="18" t="n"/>
    </row>
    <row r="2405">
      <c r="A2405" s="18">
        <f>IF(ISNUMBER(Dossiers!$D$48),Dossiers!$A$48&amp;" · "&amp;Dossiers!$B$48,"")</f>
        <v/>
      </c>
      <c r="B2405" s="18">
        <f>IF($A2405="","",Paramètres!G29)</f>
        <v/>
      </c>
      <c r="C2405" s="18">
        <f>IF($A2405="","",IF(Paramètres!H29="","",Paramètres!H29))</f>
        <v/>
      </c>
      <c r="D2405" s="18">
        <f>IF($A2405="","",IF(Paramètres!I29="","",Paramètres!I29))</f>
        <v/>
      </c>
      <c r="E2405" s="19">
        <f>IF($A2405="","",IF(Paramètres!J29&amp;Paramètres!L29&amp;Paramètres!N29="",Dossiers!$D$48,MAX(IF(Paramètres!J29="",0,IF(Paramètres!K29="",NA(),IF(LEFT(TRIM(Paramètres!K29),1)="F",INDEX($F$2381:$F$2433,MATCH(Paramètres!J29,Paramètres!$G$5:$G$57,0)),INDEX($E$2381:$E$2433,MATCH(Paramètres!J29,Paramètres!$G$5:$G$57,0)))+IF(RIGHT(TRIM(Paramètres!K29),3)="Fin",1-$H2405,IF(LEFT(TRIM(Paramètres!K29),1)="F",1,0)))),IF(Paramètres!L29="",0,IF(Paramètres!M29="",NA(),IF(LEFT(TRIM(Paramètres!M29),1)="F",INDEX($F$2381:$F$2433,MATCH(Paramètres!L29,Paramètres!$G$5:$G$57,0)),INDEX($E$2381:$E$2433,MATCH(Paramètres!L29,Paramètres!$G$5:$G$57,0)))+IF(RIGHT(TRIM(Paramètres!M29),3)="Fin",1-$H2405,IF(LEFT(TRIM(Paramètres!M29),1)="F",1,0)))),IF(Paramètres!N29="",0,IF(Paramètres!O29="",NA(),IF(LEFT(TRIM(Paramètres!O29),1)="F",INDEX($F$2381:$F$2433,MATCH(Paramètres!N29,Paramètres!$G$5:$G$57,0)),INDEX($E$2381:$E$2433,MATCH(Paramètres!N29,Paramètres!$G$5:$G$57,0)))+IF(RIGHT(TRIM(Paramètres!O29),3)="Fin",1-$H2405,IF(LEFT(TRIM(Paramètres!O29),1)="F",1,0)))))))</f>
        <v/>
      </c>
      <c r="F2405" s="19">
        <f>IF($A2405="","",E2405+$H2405-1)</f>
        <v/>
      </c>
      <c r="G2405" s="18" t="n"/>
      <c r="H2405" s="18">
        <f>IF($A2405="","",IF(I2405&lt;&gt;"",I2405,Paramètres!B29))</f>
        <v/>
      </c>
      <c r="I2405" s="18" t="n"/>
    </row>
    <row r="2406">
      <c r="A2406" s="18">
        <f>IF(ISNUMBER(Dossiers!$D$48),Dossiers!$A$48&amp;" · "&amp;Dossiers!$B$48,"")</f>
        <v/>
      </c>
      <c r="B2406" s="18">
        <f>IF($A2406="","",Paramètres!G30)</f>
        <v/>
      </c>
      <c r="C2406" s="18">
        <f>IF($A2406="","",IF(Paramètres!H30="","",Paramètres!H30))</f>
        <v/>
      </c>
      <c r="D2406" s="18">
        <f>IF($A2406="","",IF(Paramètres!I30="","",Paramètres!I30))</f>
        <v/>
      </c>
      <c r="E2406" s="19">
        <f>IF($A2406="","",IF(Paramètres!J30&amp;Paramètres!L30&amp;Paramètres!N30="",Dossiers!$D$48,MAX(IF(Paramètres!J30="",0,IF(Paramètres!K30="",NA(),IF(LEFT(TRIM(Paramètres!K30),1)="F",INDEX($F$2381:$F$2433,MATCH(Paramètres!J30,Paramètres!$G$5:$G$57,0)),INDEX($E$2381:$E$2433,MATCH(Paramètres!J30,Paramètres!$G$5:$G$57,0)))+IF(RIGHT(TRIM(Paramètres!K30),3)="Fin",1-$H2406,IF(LEFT(TRIM(Paramètres!K30),1)="F",1,0)))),IF(Paramètres!L30="",0,IF(Paramètres!M30="",NA(),IF(LEFT(TRIM(Paramètres!M30),1)="F",INDEX($F$2381:$F$2433,MATCH(Paramètres!L30,Paramètres!$G$5:$G$57,0)),INDEX($E$2381:$E$2433,MATCH(Paramètres!L30,Paramètres!$G$5:$G$57,0)))+IF(RIGHT(TRIM(Paramètres!M30),3)="Fin",1-$H2406,IF(LEFT(TRIM(Paramètres!M30),1)="F",1,0)))),IF(Paramètres!N30="",0,IF(Paramètres!O30="",NA(),IF(LEFT(TRIM(Paramètres!O30),1)="F",INDEX($F$2381:$F$2433,MATCH(Paramètres!N30,Paramètres!$G$5:$G$57,0)),INDEX($E$2381:$E$2433,MATCH(Paramètres!N30,Paramètres!$G$5:$G$57,0)))+IF(RIGHT(TRIM(Paramètres!O30),3)="Fin",1-$H2406,IF(LEFT(TRIM(Paramètres!O30),1)="F",1,0)))))))</f>
        <v/>
      </c>
      <c r="F2406" s="19">
        <f>IF($A2406="","",E2406+$H2406-1)</f>
        <v/>
      </c>
      <c r="G2406" s="18" t="n"/>
      <c r="H2406" s="18">
        <f>IF($A2406="","",IF(I2406&lt;&gt;"",I2406,Paramètres!B30))</f>
        <v/>
      </c>
      <c r="I2406" s="18" t="n"/>
    </row>
    <row r="2407">
      <c r="A2407" s="18">
        <f>IF(ISNUMBER(Dossiers!$D$48),Dossiers!$A$48&amp;" · "&amp;Dossiers!$B$48,"")</f>
        <v/>
      </c>
      <c r="B2407" s="18">
        <f>IF($A2407="","",Paramètres!G31)</f>
        <v/>
      </c>
      <c r="C2407" s="20">
        <f>IF($A2407="","",IF(Dossiers!$F$48="","",Dossiers!$F$48))</f>
        <v/>
      </c>
      <c r="D2407" s="18">
        <f>IF($A2407="","",IF(Paramètres!I31="","",Paramètres!I31))</f>
        <v/>
      </c>
      <c r="E2407" s="19">
        <f>IF($A2407="","",IF(Paramètres!J31&amp;Paramètres!L31&amp;Paramètres!N31="",Dossiers!$D$48,MAX(IF(Paramètres!J31="",0,IF(Paramètres!K31="",NA(),IF(LEFT(TRIM(Paramètres!K31),1)="F",INDEX($F$2381:$F$2433,MATCH(Paramètres!J31,Paramètres!$G$5:$G$57,0)),INDEX($E$2381:$E$2433,MATCH(Paramètres!J31,Paramètres!$G$5:$G$57,0)))+IF(RIGHT(TRIM(Paramètres!K31),3)="Fin",1-$H2407,IF(LEFT(TRIM(Paramètres!K31),1)="F",1,0)))),IF(Paramètres!L31="",0,IF(Paramètres!M31="",NA(),IF(LEFT(TRIM(Paramètres!M31),1)="F",INDEX($F$2381:$F$2433,MATCH(Paramètres!L31,Paramètres!$G$5:$G$57,0)),INDEX($E$2381:$E$2433,MATCH(Paramètres!L31,Paramètres!$G$5:$G$57,0)))+IF(RIGHT(TRIM(Paramètres!M31),3)="Fin",1-$H2407,IF(LEFT(TRIM(Paramètres!M31),1)="F",1,0)))),IF(Paramètres!N31="",0,IF(Paramètres!O31="",NA(),IF(LEFT(TRIM(Paramètres!O31),1)="F",INDEX($F$2381:$F$2433,MATCH(Paramètres!N31,Paramètres!$G$5:$G$57,0)),INDEX($E$2381:$E$2433,MATCH(Paramètres!N31,Paramètres!$G$5:$G$57,0)))+IF(RIGHT(TRIM(Paramètres!O31),3)="Fin",1-$H2407,IF(LEFT(TRIM(Paramètres!O31),1)="F",1,0)))))))</f>
        <v/>
      </c>
      <c r="F2407" s="19">
        <f>IF($A2407="","",E2407+$H2407-1)</f>
        <v/>
      </c>
      <c r="G2407" s="18" t="n"/>
      <c r="H2407" s="18">
        <f>IF($A2407="","",IF(I2407&lt;&gt;"",I2407,Paramètres!B31))</f>
        <v/>
      </c>
      <c r="I2407" s="18" t="n"/>
    </row>
    <row r="2408">
      <c r="A2408" s="18">
        <f>IF(ISNUMBER(Dossiers!$D$48),Dossiers!$A$48&amp;" · "&amp;Dossiers!$B$48,"")</f>
        <v/>
      </c>
      <c r="B2408" s="18">
        <f>IF($A2408="","",Paramètres!G32)</f>
        <v/>
      </c>
      <c r="C2408" s="18">
        <f>IF($A2408="","",IF(Paramètres!H32="","",Paramètres!H32))</f>
        <v/>
      </c>
      <c r="D2408" s="18">
        <f>IF($A2408="","",IF(Paramètres!I32="","",Paramètres!I32))</f>
        <v/>
      </c>
      <c r="E2408" s="19">
        <f>IF($A2408="","",MIN(E2409:E2412))</f>
        <v/>
      </c>
      <c r="F2408" s="19">
        <f>IF($A2408="","",MAX(F2409:F2412))</f>
        <v/>
      </c>
      <c r="G2408" s="18" t="n"/>
      <c r="H2408" s="18">
        <f>IF($A2408="","",F2408-E2408+1)</f>
        <v/>
      </c>
      <c r="I2408" s="18" t="n"/>
    </row>
    <row r="2409">
      <c r="A2409" s="18">
        <f>IF(ISNUMBER(Dossiers!$D$48),Dossiers!$A$48&amp;" · "&amp;Dossiers!$B$48,"")</f>
        <v/>
      </c>
      <c r="B2409" s="18">
        <f>IF($A2409="","",Paramètres!G33)</f>
        <v/>
      </c>
      <c r="C2409" s="18">
        <f>IF($A2409="","",IF(Paramètres!H33="","",Paramètres!H33))</f>
        <v/>
      </c>
      <c r="D2409" s="18">
        <f>IF($A2409="","",IF(Paramètres!I33="","",Paramètres!I33))</f>
        <v/>
      </c>
      <c r="E2409" s="19">
        <f>IF($A2409="","",IF(Paramètres!J33&amp;Paramètres!L33&amp;Paramètres!N33="",Dossiers!$D$48,MAX(IF(Paramètres!J33="",0,IF(Paramètres!K33="",NA(),IF(LEFT(TRIM(Paramètres!K33),1)="F",INDEX($F$2381:$F$2433,MATCH(Paramètres!J33,Paramètres!$G$5:$G$57,0)),INDEX($E$2381:$E$2433,MATCH(Paramètres!J33,Paramètres!$G$5:$G$57,0)))+IF(RIGHT(TRIM(Paramètres!K33),3)="Fin",1-$H2409,IF(LEFT(TRIM(Paramètres!K33),1)="F",1,0)))),IF(Paramètres!L33="",0,IF(Paramètres!M33="",NA(),IF(LEFT(TRIM(Paramètres!M33),1)="F",INDEX($F$2381:$F$2433,MATCH(Paramètres!L33,Paramètres!$G$5:$G$57,0)),INDEX($E$2381:$E$2433,MATCH(Paramètres!L33,Paramètres!$G$5:$G$57,0)))+IF(RIGHT(TRIM(Paramètres!M33),3)="Fin",1-$H2409,IF(LEFT(TRIM(Paramètres!M33),1)="F",1,0)))),IF(Paramètres!N33="",0,IF(Paramètres!O33="",NA(),IF(LEFT(TRIM(Paramètres!O33),1)="F",INDEX($F$2381:$F$2433,MATCH(Paramètres!N33,Paramètres!$G$5:$G$57,0)),INDEX($E$2381:$E$2433,MATCH(Paramètres!N33,Paramètres!$G$5:$G$57,0)))+IF(RIGHT(TRIM(Paramètres!O33),3)="Fin",1-$H2409,IF(LEFT(TRIM(Paramètres!O33),1)="F",1,0)))))))</f>
        <v/>
      </c>
      <c r="F2409" s="19">
        <f>IF($A2409="","",E2409+$H2409-1)</f>
        <v/>
      </c>
      <c r="G2409" s="18" t="n"/>
      <c r="H2409" s="18">
        <f>IF($A2409="","",IF(I2409&lt;&gt;"",I2409,Paramètres!B33))</f>
        <v/>
      </c>
      <c r="I2409" s="18" t="n"/>
    </row>
    <row r="2410">
      <c r="A2410" s="18">
        <f>IF(ISNUMBER(Dossiers!$D$48),Dossiers!$A$48&amp;" · "&amp;Dossiers!$B$48,"")</f>
        <v/>
      </c>
      <c r="B2410" s="18">
        <f>IF($A2410="","",Paramètres!G34)</f>
        <v/>
      </c>
      <c r="C2410" s="18">
        <f>IF($A2410="","",IF(Paramètres!H34="","",Paramètres!H34))</f>
        <v/>
      </c>
      <c r="D2410" s="18">
        <f>IF($A2410="","",IF(Paramètres!I34="","",Paramètres!I34))</f>
        <v/>
      </c>
      <c r="E2410" s="19">
        <f>IF($A2410="","",IF(Paramètres!J34&amp;Paramètres!L34&amp;Paramètres!N34="",Dossiers!$D$48,MAX(IF(Paramètres!J34="",0,IF(Paramètres!K34="",NA(),IF(LEFT(TRIM(Paramètres!K34),1)="F",INDEX($F$2381:$F$2433,MATCH(Paramètres!J34,Paramètres!$G$5:$G$57,0)),INDEX($E$2381:$E$2433,MATCH(Paramètres!J34,Paramètres!$G$5:$G$57,0)))+IF(RIGHT(TRIM(Paramètres!K34),3)="Fin",1-$H2410,IF(LEFT(TRIM(Paramètres!K34),1)="F",1,0)))),IF(Paramètres!L34="",0,IF(Paramètres!M34="",NA(),IF(LEFT(TRIM(Paramètres!M34),1)="F",INDEX($F$2381:$F$2433,MATCH(Paramètres!L34,Paramètres!$G$5:$G$57,0)),INDEX($E$2381:$E$2433,MATCH(Paramètres!L34,Paramètres!$G$5:$G$57,0)))+IF(RIGHT(TRIM(Paramètres!M34),3)="Fin",1-$H2410,IF(LEFT(TRIM(Paramètres!M34),1)="F",1,0)))),IF(Paramètres!N34="",0,IF(Paramètres!O34="",NA(),IF(LEFT(TRIM(Paramètres!O34),1)="F",INDEX($F$2381:$F$2433,MATCH(Paramètres!N34,Paramètres!$G$5:$G$57,0)),INDEX($E$2381:$E$2433,MATCH(Paramètres!N34,Paramètres!$G$5:$G$57,0)))+IF(RIGHT(TRIM(Paramètres!O34),3)="Fin",1-$H2410,IF(LEFT(TRIM(Paramètres!O34),1)="F",1,0)))))))</f>
        <v/>
      </c>
      <c r="F2410" s="19">
        <f>IF($A2410="","",E2410+$H2410-1)</f>
        <v/>
      </c>
      <c r="G2410" s="18" t="n"/>
      <c r="H2410" s="18">
        <f>IF($A2410="","",IF(I2410&lt;&gt;"",I2410,Paramètres!B34))</f>
        <v/>
      </c>
      <c r="I2410" s="18" t="n"/>
    </row>
    <row r="2411">
      <c r="A2411" s="18">
        <f>IF(ISNUMBER(Dossiers!$D$48),Dossiers!$A$48&amp;" · "&amp;Dossiers!$B$48,"")</f>
        <v/>
      </c>
      <c r="B2411" s="18">
        <f>IF($A2411="","",Paramètres!G35)</f>
        <v/>
      </c>
      <c r="C2411" s="18">
        <f>IF($A2411="","",IF(Paramètres!H35="","",Paramètres!H35))</f>
        <v/>
      </c>
      <c r="D2411" s="18">
        <f>IF($A2411="","",IF(Paramètres!I35="","",Paramètres!I35))</f>
        <v/>
      </c>
      <c r="E2411" s="19">
        <f>IF($A2411="","",IF(Paramètres!J35&amp;Paramètres!L35&amp;Paramètres!N35="",Dossiers!$D$48,MAX(IF(Paramètres!J35="",0,IF(Paramètres!K35="",NA(),IF(LEFT(TRIM(Paramètres!K35),1)="F",INDEX($F$2381:$F$2433,MATCH(Paramètres!J35,Paramètres!$G$5:$G$57,0)),INDEX($E$2381:$E$2433,MATCH(Paramètres!J35,Paramètres!$G$5:$G$57,0)))+IF(RIGHT(TRIM(Paramètres!K35),3)="Fin",1-$H2411,IF(LEFT(TRIM(Paramètres!K35),1)="F",1,0)))),IF(Paramètres!L35="",0,IF(Paramètres!M35="",NA(),IF(LEFT(TRIM(Paramètres!M35),1)="F",INDEX($F$2381:$F$2433,MATCH(Paramètres!L35,Paramètres!$G$5:$G$57,0)),INDEX($E$2381:$E$2433,MATCH(Paramètres!L35,Paramètres!$G$5:$G$57,0)))+IF(RIGHT(TRIM(Paramètres!M35),3)="Fin",1-$H2411,IF(LEFT(TRIM(Paramètres!M35),1)="F",1,0)))),IF(Paramètres!N35="",0,IF(Paramètres!O35="",NA(),IF(LEFT(TRIM(Paramètres!O35),1)="F",INDEX($F$2381:$F$2433,MATCH(Paramètres!N35,Paramètres!$G$5:$G$57,0)),INDEX($E$2381:$E$2433,MATCH(Paramètres!N35,Paramètres!$G$5:$G$57,0)))+IF(RIGHT(TRIM(Paramètres!O35),3)="Fin",1-$H2411,IF(LEFT(TRIM(Paramètres!O35),1)="F",1,0)))))))</f>
        <v/>
      </c>
      <c r="F2411" s="19">
        <f>IF($A2411="","",E2411+$H2411-1)</f>
        <v/>
      </c>
      <c r="G2411" s="18" t="n"/>
      <c r="H2411" s="18">
        <f>IF($A2411="","",IF(I2411&lt;&gt;"",I2411,Paramètres!B35))</f>
        <v/>
      </c>
      <c r="I2411" s="18" t="n"/>
    </row>
    <row r="2412">
      <c r="A2412" s="18">
        <f>IF(ISNUMBER(Dossiers!$D$48),Dossiers!$A$48&amp;" · "&amp;Dossiers!$B$48,"")</f>
        <v/>
      </c>
      <c r="B2412" s="18">
        <f>IF($A2412="","",Paramètres!G36)</f>
        <v/>
      </c>
      <c r="C2412" s="18">
        <f>IF($A2412="","",IF(Paramètres!H36="","",Paramètres!H36))</f>
        <v/>
      </c>
      <c r="D2412" s="18">
        <f>IF($A2412="","",IF(Paramètres!I36="","",Paramètres!I36))</f>
        <v/>
      </c>
      <c r="E2412" s="19">
        <f>IF($A2412="","",IF(Paramètres!J36&amp;Paramètres!L36&amp;Paramètres!N36="",Dossiers!$D$48,MAX(IF(Paramètres!J36="",0,IF(Paramètres!K36="",NA(),IF(LEFT(TRIM(Paramètres!K36),1)="F",INDEX($F$2381:$F$2433,MATCH(Paramètres!J36,Paramètres!$G$5:$G$57,0)),INDEX($E$2381:$E$2433,MATCH(Paramètres!J36,Paramètres!$G$5:$G$57,0)))+IF(RIGHT(TRIM(Paramètres!K36),3)="Fin",1-$H2412,IF(LEFT(TRIM(Paramètres!K36),1)="F",1,0)))),IF(Paramètres!L36="",0,IF(Paramètres!M36="",NA(),IF(LEFT(TRIM(Paramètres!M36),1)="F",INDEX($F$2381:$F$2433,MATCH(Paramètres!L36,Paramètres!$G$5:$G$57,0)),INDEX($E$2381:$E$2433,MATCH(Paramètres!L36,Paramètres!$G$5:$G$57,0)))+IF(RIGHT(TRIM(Paramètres!M36),3)="Fin",1-$H2412,IF(LEFT(TRIM(Paramètres!M36),1)="F",1,0)))),IF(Paramètres!N36="",0,IF(Paramètres!O36="",NA(),IF(LEFT(TRIM(Paramètres!O36),1)="F",INDEX($F$2381:$F$2433,MATCH(Paramètres!N36,Paramètres!$G$5:$G$57,0)),INDEX($E$2381:$E$2433,MATCH(Paramètres!N36,Paramètres!$G$5:$G$57,0)))+IF(RIGHT(TRIM(Paramètres!O36),3)="Fin",1-$H2412,IF(LEFT(TRIM(Paramètres!O36),1)="F",1,0)))))))</f>
        <v/>
      </c>
      <c r="F2412" s="19">
        <f>IF($A2412="","",E2412+$H2412-1)</f>
        <v/>
      </c>
      <c r="G2412" s="18" t="n"/>
      <c r="H2412" s="18">
        <f>IF($A2412="","",IF(I2412&lt;&gt;"",I2412,Paramètres!B36))</f>
        <v/>
      </c>
      <c r="I2412" s="18" t="n"/>
    </row>
    <row r="2413">
      <c r="A2413" s="18">
        <f>IF(ISNUMBER(Dossiers!$D$48),Dossiers!$A$48&amp;" · "&amp;Dossiers!$B$48,"")</f>
        <v/>
      </c>
      <c r="B2413" s="18">
        <f>IF($A2413="","",Paramètres!G37)</f>
        <v/>
      </c>
      <c r="C2413" s="18">
        <f>IF($A2413="","",IF(Paramètres!H37="","",Paramètres!H37))</f>
        <v/>
      </c>
      <c r="D2413" s="18">
        <f>IF($A2413="","",IF(Paramètres!I37="","",Paramètres!I37))</f>
        <v/>
      </c>
      <c r="E2413" s="19">
        <f>IF($A2413="","",MIN(E2414:E2431))</f>
        <v/>
      </c>
      <c r="F2413" s="19">
        <f>IF($A2413="","",MAX(F2414:F2431))</f>
        <v/>
      </c>
      <c r="G2413" s="18" t="n"/>
      <c r="H2413" s="18">
        <f>IF($A2413="","",F2413-E2413+1)</f>
        <v/>
      </c>
      <c r="I2413" s="18" t="n"/>
    </row>
    <row r="2414">
      <c r="A2414" s="18">
        <f>IF(ISNUMBER(Dossiers!$D$48),Dossiers!$A$48&amp;" · "&amp;Dossiers!$B$48,"")</f>
        <v/>
      </c>
      <c r="B2414" s="18">
        <f>IF($A2414="","",Paramètres!G38)</f>
        <v/>
      </c>
      <c r="C2414" s="18">
        <f>IF($A2414="","",IF(Paramètres!H38="","",Paramètres!H38))</f>
        <v/>
      </c>
      <c r="D2414" s="18">
        <f>IF($A2414="","",IF(Paramètres!I38="","",Paramètres!I38))</f>
        <v/>
      </c>
      <c r="E2414" s="19">
        <f>IF($A2414="","",IF(Paramètres!J38&amp;Paramètres!L38&amp;Paramètres!N38="",Dossiers!$D$48,MAX(IF(Paramètres!J38="",0,IF(Paramètres!K38="",NA(),IF(LEFT(TRIM(Paramètres!K38),1)="F",INDEX($F$2381:$F$2433,MATCH(Paramètres!J38,Paramètres!$G$5:$G$57,0)),INDEX($E$2381:$E$2433,MATCH(Paramètres!J38,Paramètres!$G$5:$G$57,0)))+IF(RIGHT(TRIM(Paramètres!K38),3)="Fin",1-$H2414,IF(LEFT(TRIM(Paramètres!K38),1)="F",1,0)))),IF(Paramètres!L38="",0,IF(Paramètres!M38="",NA(),IF(LEFT(TRIM(Paramètres!M38),1)="F",INDEX($F$2381:$F$2433,MATCH(Paramètres!L38,Paramètres!$G$5:$G$57,0)),INDEX($E$2381:$E$2433,MATCH(Paramètres!L38,Paramètres!$G$5:$G$57,0)))+IF(RIGHT(TRIM(Paramètres!M38),3)="Fin",1-$H2414,IF(LEFT(TRIM(Paramètres!M38),1)="F",1,0)))),IF(Paramètres!N38="",0,IF(Paramètres!O38="",NA(),IF(LEFT(TRIM(Paramètres!O38),1)="F",INDEX($F$2381:$F$2433,MATCH(Paramètres!N38,Paramètres!$G$5:$G$57,0)),INDEX($E$2381:$E$2433,MATCH(Paramètres!N38,Paramètres!$G$5:$G$57,0)))+IF(RIGHT(TRIM(Paramètres!O38),3)="Fin",1-$H2414,IF(LEFT(TRIM(Paramètres!O38),1)="F",1,0)))))))</f>
        <v/>
      </c>
      <c r="F2414" s="19">
        <f>IF($A2414="","",E2414+$H2414-1)</f>
        <v/>
      </c>
      <c r="G2414" s="18" t="n"/>
      <c r="H2414" s="18">
        <f>IF($A2414="","",IF(I2414&lt;&gt;"",I2414,Paramètres!B38))</f>
        <v/>
      </c>
      <c r="I2414" s="18" t="n"/>
    </row>
    <row r="2415">
      <c r="A2415" s="18">
        <f>IF(ISNUMBER(Dossiers!$D$48),Dossiers!$A$48&amp;" · "&amp;Dossiers!$B$48,"")</f>
        <v/>
      </c>
      <c r="B2415" s="18">
        <f>IF($A2415="","",Paramètres!G39)</f>
        <v/>
      </c>
      <c r="C2415" s="18">
        <f>IF($A2415="","",IF(Paramètres!H39="","",Paramètres!H39))</f>
        <v/>
      </c>
      <c r="D2415" s="18">
        <f>IF($A2415="","",IF(Paramètres!I39="","",Paramètres!I39))</f>
        <v/>
      </c>
      <c r="E2415" s="19">
        <f>IF($A2415="","",IF(Paramètres!J39&amp;Paramètres!L39&amp;Paramètres!N39="",Dossiers!$D$48,MAX(IF(Paramètres!J39="",0,IF(Paramètres!K39="",NA(),IF(LEFT(TRIM(Paramètres!K39),1)="F",INDEX($F$2381:$F$2433,MATCH(Paramètres!J39,Paramètres!$G$5:$G$57,0)),INDEX($E$2381:$E$2433,MATCH(Paramètres!J39,Paramètres!$G$5:$G$57,0)))+IF(RIGHT(TRIM(Paramètres!K39),3)="Fin",1-$H2415,IF(LEFT(TRIM(Paramètres!K39),1)="F",1,0)))),IF(Paramètres!L39="",0,IF(Paramètres!M39="",NA(),IF(LEFT(TRIM(Paramètres!M39),1)="F",INDEX($F$2381:$F$2433,MATCH(Paramètres!L39,Paramètres!$G$5:$G$57,0)),INDEX($E$2381:$E$2433,MATCH(Paramètres!L39,Paramètres!$G$5:$G$57,0)))+IF(RIGHT(TRIM(Paramètres!M39),3)="Fin",1-$H2415,IF(LEFT(TRIM(Paramètres!M39),1)="F",1,0)))),IF(Paramètres!N39="",0,IF(Paramètres!O39="",NA(),IF(LEFT(TRIM(Paramètres!O39),1)="F",INDEX($F$2381:$F$2433,MATCH(Paramètres!N39,Paramètres!$G$5:$G$57,0)),INDEX($E$2381:$E$2433,MATCH(Paramètres!N39,Paramètres!$G$5:$G$57,0)))+IF(RIGHT(TRIM(Paramètres!O39),3)="Fin",1-$H2415,IF(LEFT(TRIM(Paramètres!O39),1)="F",1,0)))))))</f>
        <v/>
      </c>
      <c r="F2415" s="19">
        <f>IF($A2415="","",E2415+$H2415-1)</f>
        <v/>
      </c>
      <c r="G2415" s="18" t="n"/>
      <c r="H2415" s="18">
        <f>IF($A2415="","",IF(I2415&lt;&gt;"",I2415,Paramètres!B39))</f>
        <v/>
      </c>
      <c r="I2415" s="18" t="n"/>
    </row>
    <row r="2416">
      <c r="A2416" s="18">
        <f>IF(ISNUMBER(Dossiers!$D$48),Dossiers!$A$48&amp;" · "&amp;Dossiers!$B$48,"")</f>
        <v/>
      </c>
      <c r="B2416" s="18">
        <f>IF($A2416="","",Paramètres!G40)</f>
        <v/>
      </c>
      <c r="C2416" s="18">
        <f>IF($A2416="","",IF(Paramètres!H40="","",Paramètres!H40))</f>
        <v/>
      </c>
      <c r="D2416" s="18">
        <f>IF($A2416="","",IF(Paramètres!I40="","",Paramètres!I40))</f>
        <v/>
      </c>
      <c r="E2416" s="19">
        <f>IF($A2416="","",IF(Paramètres!J40&amp;Paramètres!L40&amp;Paramètres!N40="",Dossiers!$D$48,MAX(IF(Paramètres!J40="",0,IF(Paramètres!K40="",NA(),IF(LEFT(TRIM(Paramètres!K40),1)="F",INDEX($F$2381:$F$2433,MATCH(Paramètres!J40,Paramètres!$G$5:$G$57,0)),INDEX($E$2381:$E$2433,MATCH(Paramètres!J40,Paramètres!$G$5:$G$57,0)))+IF(RIGHT(TRIM(Paramètres!K40),3)="Fin",1-$H2416,IF(LEFT(TRIM(Paramètres!K40),1)="F",1,0)))),IF(Paramètres!L40="",0,IF(Paramètres!M40="",NA(),IF(LEFT(TRIM(Paramètres!M40),1)="F",INDEX($F$2381:$F$2433,MATCH(Paramètres!L40,Paramètres!$G$5:$G$57,0)),INDEX($E$2381:$E$2433,MATCH(Paramètres!L40,Paramètres!$G$5:$G$57,0)))+IF(RIGHT(TRIM(Paramètres!M40),3)="Fin",1-$H2416,IF(LEFT(TRIM(Paramètres!M40),1)="F",1,0)))),IF(Paramètres!N40="",0,IF(Paramètres!O40="",NA(),IF(LEFT(TRIM(Paramètres!O40),1)="F",INDEX($F$2381:$F$2433,MATCH(Paramètres!N40,Paramètres!$G$5:$G$57,0)),INDEX($E$2381:$E$2433,MATCH(Paramètres!N40,Paramètres!$G$5:$G$57,0)))+IF(RIGHT(TRIM(Paramètres!O40),3)="Fin",1-$H2416,IF(LEFT(TRIM(Paramètres!O40),1)="F",1,0)))))))</f>
        <v/>
      </c>
      <c r="F2416" s="19">
        <f>IF($A2416="","",E2416+$H2416-1)</f>
        <v/>
      </c>
      <c r="G2416" s="18" t="n"/>
      <c r="H2416" s="18">
        <f>IF($A2416="","",IF(I2416&lt;&gt;"",I2416,Paramètres!B40))</f>
        <v/>
      </c>
      <c r="I2416" s="18" t="n"/>
    </row>
    <row r="2417">
      <c r="A2417" s="18">
        <f>IF(ISNUMBER(Dossiers!$D$48),Dossiers!$A$48&amp;" · "&amp;Dossiers!$B$48,"")</f>
        <v/>
      </c>
      <c r="B2417" s="18">
        <f>IF($A2417="","",Paramètres!G41)</f>
        <v/>
      </c>
      <c r="C2417" s="18">
        <f>IF($A2417="","",IF(Paramètres!H41="","",Paramètres!H41))</f>
        <v/>
      </c>
      <c r="D2417" s="18">
        <f>IF($A2417="","",IF(Paramètres!I41="","",Paramètres!I41))</f>
        <v/>
      </c>
      <c r="E2417" s="19">
        <f>IF($A2417="","",IF(Paramètres!J41&amp;Paramètres!L41&amp;Paramètres!N41="",Dossiers!$D$48,MAX(IF(Paramètres!J41="",0,IF(Paramètres!K41="",NA(),IF(LEFT(TRIM(Paramètres!K41),1)="F",INDEX($F$2381:$F$2433,MATCH(Paramètres!J41,Paramètres!$G$5:$G$57,0)),INDEX($E$2381:$E$2433,MATCH(Paramètres!J41,Paramètres!$G$5:$G$57,0)))+IF(RIGHT(TRIM(Paramètres!K41),3)="Fin",1-$H2417,IF(LEFT(TRIM(Paramètres!K41),1)="F",1,0)))),IF(Paramètres!L41="",0,IF(Paramètres!M41="",NA(),IF(LEFT(TRIM(Paramètres!M41),1)="F",INDEX($F$2381:$F$2433,MATCH(Paramètres!L41,Paramètres!$G$5:$G$57,0)),INDEX($E$2381:$E$2433,MATCH(Paramètres!L41,Paramètres!$G$5:$G$57,0)))+IF(RIGHT(TRIM(Paramètres!M41),3)="Fin",1-$H2417,IF(LEFT(TRIM(Paramètres!M41),1)="F",1,0)))),IF(Paramètres!N41="",0,IF(Paramètres!O41="",NA(),IF(LEFT(TRIM(Paramètres!O41),1)="F",INDEX($F$2381:$F$2433,MATCH(Paramètres!N41,Paramètres!$G$5:$G$57,0)),INDEX($E$2381:$E$2433,MATCH(Paramètres!N41,Paramètres!$G$5:$G$57,0)))+IF(RIGHT(TRIM(Paramètres!O41),3)="Fin",1-$H2417,IF(LEFT(TRIM(Paramètres!O41),1)="F",1,0)))))))</f>
        <v/>
      </c>
      <c r="F2417" s="19">
        <f>IF($A2417="","",E2417+$H2417-1)</f>
        <v/>
      </c>
      <c r="G2417" s="18" t="n"/>
      <c r="H2417" s="18">
        <f>IF($A2417="","",IF(I2417&lt;&gt;"",I2417,Paramètres!B41))</f>
        <v/>
      </c>
      <c r="I2417" s="18" t="n"/>
    </row>
    <row r="2418">
      <c r="A2418" s="18">
        <f>IF(ISNUMBER(Dossiers!$D$48),Dossiers!$A$48&amp;" · "&amp;Dossiers!$B$48,"")</f>
        <v/>
      </c>
      <c r="B2418" s="18">
        <f>IF($A2418="","",Paramètres!G42)</f>
        <v/>
      </c>
      <c r="C2418" s="18">
        <f>IF($A2418="","",IF(Paramètres!H42="","",Paramètres!H42))</f>
        <v/>
      </c>
      <c r="D2418" s="18">
        <f>IF($A2418="","",IF(Paramètres!I42="","",Paramètres!I42))</f>
        <v/>
      </c>
      <c r="E2418" s="19">
        <f>IF($A2418="","",IF(Paramètres!J42&amp;Paramètres!L42&amp;Paramètres!N42="",Dossiers!$D$48,MAX(IF(Paramètres!J42="",0,IF(Paramètres!K42="",NA(),IF(LEFT(TRIM(Paramètres!K42),1)="F",INDEX($F$2381:$F$2433,MATCH(Paramètres!J42,Paramètres!$G$5:$G$57,0)),INDEX($E$2381:$E$2433,MATCH(Paramètres!J42,Paramètres!$G$5:$G$57,0)))+IF(RIGHT(TRIM(Paramètres!K42),3)="Fin",1-$H2418,IF(LEFT(TRIM(Paramètres!K42),1)="F",1,0)))),IF(Paramètres!L42="",0,IF(Paramètres!M42="",NA(),IF(LEFT(TRIM(Paramètres!M42),1)="F",INDEX($F$2381:$F$2433,MATCH(Paramètres!L42,Paramètres!$G$5:$G$57,0)),INDEX($E$2381:$E$2433,MATCH(Paramètres!L42,Paramètres!$G$5:$G$57,0)))+IF(RIGHT(TRIM(Paramètres!M42),3)="Fin",1-$H2418,IF(LEFT(TRIM(Paramètres!M42),1)="F",1,0)))),IF(Paramètres!N42="",0,IF(Paramètres!O42="",NA(),IF(LEFT(TRIM(Paramètres!O42),1)="F",INDEX($F$2381:$F$2433,MATCH(Paramètres!N42,Paramètres!$G$5:$G$57,0)),INDEX($E$2381:$E$2433,MATCH(Paramètres!N42,Paramètres!$G$5:$G$57,0)))+IF(RIGHT(TRIM(Paramètres!O42),3)="Fin",1-$H2418,IF(LEFT(TRIM(Paramètres!O42),1)="F",1,0)))))))</f>
        <v/>
      </c>
      <c r="F2418" s="19">
        <f>IF($A2418="","",E2418+$H2418-1)</f>
        <v/>
      </c>
      <c r="G2418" s="18" t="n"/>
      <c r="H2418" s="18">
        <f>IF($A2418="","",IF(I2418&lt;&gt;"",I2418,Paramètres!B42))</f>
        <v/>
      </c>
      <c r="I2418" s="18" t="n"/>
    </row>
    <row r="2419">
      <c r="A2419" s="18">
        <f>IF(ISNUMBER(Dossiers!$D$48),Dossiers!$A$48&amp;" · "&amp;Dossiers!$B$48,"")</f>
        <v/>
      </c>
      <c r="B2419" s="18">
        <f>IF($A2419="","",Paramètres!G43)</f>
        <v/>
      </c>
      <c r="C2419" s="18">
        <f>IF($A2419="","",IF(Paramètres!H43="","",Paramètres!H43))</f>
        <v/>
      </c>
      <c r="D2419" s="18">
        <f>IF($A2419="","",IF(Paramètres!I43="","",Paramètres!I43))</f>
        <v/>
      </c>
      <c r="E2419" s="19">
        <f>IF($A2419="","",IF(Paramètres!J43&amp;Paramètres!L43&amp;Paramètres!N43="",Dossiers!$D$48,MAX(IF(Paramètres!J43="",0,IF(Paramètres!K43="",NA(),IF(LEFT(TRIM(Paramètres!K43),1)="F",INDEX($F$2381:$F$2433,MATCH(Paramètres!J43,Paramètres!$G$5:$G$57,0)),INDEX($E$2381:$E$2433,MATCH(Paramètres!J43,Paramètres!$G$5:$G$57,0)))+IF(RIGHT(TRIM(Paramètres!K43),3)="Fin",1-$H2419,IF(LEFT(TRIM(Paramètres!K43),1)="F",1,0)))),IF(Paramètres!L43="",0,IF(Paramètres!M43="",NA(),IF(LEFT(TRIM(Paramètres!M43),1)="F",INDEX($F$2381:$F$2433,MATCH(Paramètres!L43,Paramètres!$G$5:$G$57,0)),INDEX($E$2381:$E$2433,MATCH(Paramètres!L43,Paramètres!$G$5:$G$57,0)))+IF(RIGHT(TRIM(Paramètres!M43),3)="Fin",1-$H2419,IF(LEFT(TRIM(Paramètres!M43),1)="F",1,0)))),IF(Paramètres!N43="",0,IF(Paramètres!O43="",NA(),IF(LEFT(TRIM(Paramètres!O43),1)="F",INDEX($F$2381:$F$2433,MATCH(Paramètres!N43,Paramètres!$G$5:$G$57,0)),INDEX($E$2381:$E$2433,MATCH(Paramètres!N43,Paramètres!$G$5:$G$57,0)))+IF(RIGHT(TRIM(Paramètres!O43),3)="Fin",1-$H2419,IF(LEFT(TRIM(Paramètres!O43),1)="F",1,0)))))))</f>
        <v/>
      </c>
      <c r="F2419" s="19">
        <f>IF($A2419="","",E2419+$H2419-1)</f>
        <v/>
      </c>
      <c r="G2419" s="18" t="n"/>
      <c r="H2419" s="18">
        <f>IF($A2419="","",IF(I2419&lt;&gt;"",I2419,Paramètres!B43))</f>
        <v/>
      </c>
      <c r="I2419" s="18" t="n"/>
    </row>
    <row r="2420">
      <c r="A2420" s="18">
        <f>IF(ISNUMBER(Dossiers!$D$48),Dossiers!$A$48&amp;" · "&amp;Dossiers!$B$48,"")</f>
        <v/>
      </c>
      <c r="B2420" s="18">
        <f>IF($A2420="","",Paramètres!G44)</f>
        <v/>
      </c>
      <c r="C2420" s="18">
        <f>IF($A2420="","",IF(Paramètres!H44="","",Paramètres!H44))</f>
        <v/>
      </c>
      <c r="D2420" s="18">
        <f>IF($A2420="","",IF(Paramètres!I44="","",Paramètres!I44))</f>
        <v/>
      </c>
      <c r="E2420" s="19">
        <f>IF($A2420="","",IF(Paramètres!J44&amp;Paramètres!L44&amp;Paramètres!N44="",Dossiers!$D$48,MAX(IF(Paramètres!J44="",0,IF(Paramètres!K44="",NA(),IF(LEFT(TRIM(Paramètres!K44),1)="F",INDEX($F$2381:$F$2433,MATCH(Paramètres!J44,Paramètres!$G$5:$G$57,0)),INDEX($E$2381:$E$2433,MATCH(Paramètres!J44,Paramètres!$G$5:$G$57,0)))+IF(RIGHT(TRIM(Paramètres!K44),3)="Fin",1-$H2420,IF(LEFT(TRIM(Paramètres!K44),1)="F",1,0)))),IF(Paramètres!L44="",0,IF(Paramètres!M44="",NA(),IF(LEFT(TRIM(Paramètres!M44),1)="F",INDEX($F$2381:$F$2433,MATCH(Paramètres!L44,Paramètres!$G$5:$G$57,0)),INDEX($E$2381:$E$2433,MATCH(Paramètres!L44,Paramètres!$G$5:$G$57,0)))+IF(RIGHT(TRIM(Paramètres!M44),3)="Fin",1-$H2420,IF(LEFT(TRIM(Paramètres!M44),1)="F",1,0)))),IF(Paramètres!N44="",0,IF(Paramètres!O44="",NA(),IF(LEFT(TRIM(Paramètres!O44),1)="F",INDEX($F$2381:$F$2433,MATCH(Paramètres!N44,Paramètres!$G$5:$G$57,0)),INDEX($E$2381:$E$2433,MATCH(Paramètres!N44,Paramètres!$G$5:$G$57,0)))+IF(RIGHT(TRIM(Paramètres!O44),3)="Fin",1-$H2420,IF(LEFT(TRIM(Paramètres!O44),1)="F",1,0)))))))</f>
        <v/>
      </c>
      <c r="F2420" s="19">
        <f>IF($A2420="","",E2420+$H2420-1)</f>
        <v/>
      </c>
      <c r="G2420" s="18" t="n"/>
      <c r="H2420" s="18">
        <f>IF($A2420="","",IF(I2420&lt;&gt;"",I2420,Paramètres!B44))</f>
        <v/>
      </c>
      <c r="I2420" s="18" t="n"/>
    </row>
    <row r="2421">
      <c r="A2421" s="18">
        <f>IF(ISNUMBER(Dossiers!$D$48),Dossiers!$A$48&amp;" · "&amp;Dossiers!$B$48,"")</f>
        <v/>
      </c>
      <c r="B2421" s="18">
        <f>IF($A2421="","",Paramètres!G45)</f>
        <v/>
      </c>
      <c r="C2421" s="20">
        <f>IF($A2421="","",IF(Dossiers!$G$48="","",Dossiers!$G$48))</f>
        <v/>
      </c>
      <c r="D2421" s="18">
        <f>IF($A2421="","",IF(Paramètres!I45="","",Paramètres!I45))</f>
        <v/>
      </c>
      <c r="E2421" s="19">
        <f>IF($A2421="","",IF(Paramètres!J45&amp;Paramètres!L45&amp;Paramètres!N45="",Dossiers!$D$48,MAX(IF(Paramètres!J45="",0,IF(Paramètres!K45="",NA(),IF(LEFT(TRIM(Paramètres!K45),1)="F",INDEX($F$2381:$F$2433,MATCH(Paramètres!J45,Paramètres!$G$5:$G$57,0)),INDEX($E$2381:$E$2433,MATCH(Paramètres!J45,Paramètres!$G$5:$G$57,0)))+IF(RIGHT(TRIM(Paramètres!K45),3)="Fin",1-$H2421,IF(LEFT(TRIM(Paramètres!K45),1)="F",1,0)))),IF(Paramètres!L45="",0,IF(Paramètres!M45="",NA(),IF(LEFT(TRIM(Paramètres!M45),1)="F",INDEX($F$2381:$F$2433,MATCH(Paramètres!L45,Paramètres!$G$5:$G$57,0)),INDEX($E$2381:$E$2433,MATCH(Paramètres!L45,Paramètres!$G$5:$G$57,0)))+IF(RIGHT(TRIM(Paramètres!M45),3)="Fin",1-$H2421,IF(LEFT(TRIM(Paramètres!M45),1)="F",1,0)))),IF(Paramètres!N45="",0,IF(Paramètres!O45="",NA(),IF(LEFT(TRIM(Paramètres!O45),1)="F",INDEX($F$2381:$F$2433,MATCH(Paramètres!N45,Paramètres!$G$5:$G$57,0)),INDEX($E$2381:$E$2433,MATCH(Paramètres!N45,Paramètres!$G$5:$G$57,0)))+IF(RIGHT(TRIM(Paramètres!O45),3)="Fin",1-$H2421,IF(LEFT(TRIM(Paramètres!O45),1)="F",1,0)))))))</f>
        <v/>
      </c>
      <c r="F2421" s="19">
        <f>IF($A2421="","",E2421+$H2421-1)</f>
        <v/>
      </c>
      <c r="G2421" s="18" t="n"/>
      <c r="H2421" s="18">
        <f>IF($A2421="","",IF(I2421&lt;&gt;"",I2421,Paramètres!B45))</f>
        <v/>
      </c>
      <c r="I2421" s="18" t="n"/>
    </row>
    <row r="2422">
      <c r="A2422" s="18">
        <f>IF(ISNUMBER(Dossiers!$D$48),Dossiers!$A$48&amp;" · "&amp;Dossiers!$B$48,"")</f>
        <v/>
      </c>
      <c r="B2422" s="18">
        <f>IF($A2422="","",Paramètres!G46)</f>
        <v/>
      </c>
      <c r="C2422" s="18">
        <f>IF($A2422="","",IF(Paramètres!H46="","",Paramètres!H46))</f>
        <v/>
      </c>
      <c r="D2422" s="18">
        <f>IF($A2422="","",IF(Paramètres!I46="","",Paramètres!I46))</f>
        <v/>
      </c>
      <c r="E2422" s="19">
        <f>IF($A2422="","",IF(Paramètres!J46&amp;Paramètres!L46&amp;Paramètres!N46="",Dossiers!$D$48,MAX(IF(Paramètres!J46="",0,IF(Paramètres!K46="",NA(),IF(LEFT(TRIM(Paramètres!K46),1)="F",INDEX($F$2381:$F$2433,MATCH(Paramètres!J46,Paramètres!$G$5:$G$57,0)),INDEX($E$2381:$E$2433,MATCH(Paramètres!J46,Paramètres!$G$5:$G$57,0)))+IF(RIGHT(TRIM(Paramètres!K46),3)="Fin",1-$H2422,IF(LEFT(TRIM(Paramètres!K46),1)="F",1,0)))),IF(Paramètres!L46="",0,IF(Paramètres!M46="",NA(),IF(LEFT(TRIM(Paramètres!M46),1)="F",INDEX($F$2381:$F$2433,MATCH(Paramètres!L46,Paramètres!$G$5:$G$57,0)),INDEX($E$2381:$E$2433,MATCH(Paramètres!L46,Paramètres!$G$5:$G$57,0)))+IF(RIGHT(TRIM(Paramètres!M46),3)="Fin",1-$H2422,IF(LEFT(TRIM(Paramètres!M46),1)="F",1,0)))),IF(Paramètres!N46="",0,IF(Paramètres!O46="",NA(),IF(LEFT(TRIM(Paramètres!O46),1)="F",INDEX($F$2381:$F$2433,MATCH(Paramètres!N46,Paramètres!$G$5:$G$57,0)),INDEX($E$2381:$E$2433,MATCH(Paramètres!N46,Paramètres!$G$5:$G$57,0)))+IF(RIGHT(TRIM(Paramètres!O46),3)="Fin",1-$H2422,IF(LEFT(TRIM(Paramètres!O46),1)="F",1,0)))))))</f>
        <v/>
      </c>
      <c r="F2422" s="19">
        <f>IF($A2422="","",E2422+$H2422-1)</f>
        <v/>
      </c>
      <c r="G2422" s="18" t="n"/>
      <c r="H2422" s="18">
        <f>IF($A2422="","",IF(I2422&lt;&gt;"",I2422,Paramètres!B46))</f>
        <v/>
      </c>
      <c r="I2422" s="18" t="n"/>
    </row>
    <row r="2423">
      <c r="A2423" s="18">
        <f>IF(ISNUMBER(Dossiers!$D$48),Dossiers!$A$48&amp;" · "&amp;Dossiers!$B$48,"")</f>
        <v/>
      </c>
      <c r="B2423" s="18">
        <f>IF($A2423="","",Paramètres!G47)</f>
        <v/>
      </c>
      <c r="C2423" s="18">
        <f>IF($A2423="","",IF(Paramètres!H47="","",Paramètres!H47))</f>
        <v/>
      </c>
      <c r="D2423" s="18">
        <f>IF($A2423="","",IF(Paramètres!I47="","",Paramètres!I47))</f>
        <v/>
      </c>
      <c r="E2423" s="19">
        <f>IF($A2423="","",IF(Paramètres!J47&amp;Paramètres!L47&amp;Paramètres!N47="",Dossiers!$D$48,MAX(IF(Paramètres!J47="",0,IF(Paramètres!K47="",NA(),IF(LEFT(TRIM(Paramètres!K47),1)="F",INDEX($F$2381:$F$2433,MATCH(Paramètres!J47,Paramètres!$G$5:$G$57,0)),INDEX($E$2381:$E$2433,MATCH(Paramètres!J47,Paramètres!$G$5:$G$57,0)))+IF(RIGHT(TRIM(Paramètres!K47),3)="Fin",1-$H2423,IF(LEFT(TRIM(Paramètres!K47),1)="F",1,0)))),IF(Paramètres!L47="",0,IF(Paramètres!M47="",NA(),IF(LEFT(TRIM(Paramètres!M47),1)="F",INDEX($F$2381:$F$2433,MATCH(Paramètres!L47,Paramètres!$G$5:$G$57,0)),INDEX($E$2381:$E$2433,MATCH(Paramètres!L47,Paramètres!$G$5:$G$57,0)))+IF(RIGHT(TRIM(Paramètres!M47),3)="Fin",1-$H2423,IF(LEFT(TRIM(Paramètres!M47),1)="F",1,0)))),IF(Paramètres!N47="",0,IF(Paramètres!O47="",NA(),IF(LEFT(TRIM(Paramètres!O47),1)="F",INDEX($F$2381:$F$2433,MATCH(Paramètres!N47,Paramètres!$G$5:$G$57,0)),INDEX($E$2381:$E$2433,MATCH(Paramètres!N47,Paramètres!$G$5:$G$57,0)))+IF(RIGHT(TRIM(Paramètres!O47),3)="Fin",1-$H2423,IF(LEFT(TRIM(Paramètres!O47),1)="F",1,0)))))))</f>
        <v/>
      </c>
      <c r="F2423" s="19">
        <f>IF($A2423="","",E2423+$H2423-1)</f>
        <v/>
      </c>
      <c r="G2423" s="18" t="n"/>
      <c r="H2423" s="18">
        <f>IF($A2423="","",IF(I2423&lt;&gt;"",I2423,Paramètres!B47))</f>
        <v/>
      </c>
      <c r="I2423" s="18" t="n"/>
    </row>
    <row r="2424">
      <c r="A2424" s="18">
        <f>IF(ISNUMBER(Dossiers!$D$48),Dossiers!$A$48&amp;" · "&amp;Dossiers!$B$48,"")</f>
        <v/>
      </c>
      <c r="B2424" s="18">
        <f>IF($A2424="","",Paramètres!G48)</f>
        <v/>
      </c>
      <c r="C2424" s="18">
        <f>IF($A2424="","",IF(Paramètres!H48="","",Paramètres!H48))</f>
        <v/>
      </c>
      <c r="D2424" s="18">
        <f>IF($A2424="","",IF(Paramètres!I48="","",Paramètres!I48))</f>
        <v/>
      </c>
      <c r="E2424" s="19">
        <f>IF($A2424="","",IF(Paramètres!J48&amp;Paramètres!L48&amp;Paramètres!N48="",Dossiers!$D$48,MAX(IF(Paramètres!J48="",0,IF(Paramètres!K48="",NA(),IF(LEFT(TRIM(Paramètres!K48),1)="F",INDEX($F$2381:$F$2433,MATCH(Paramètres!J48,Paramètres!$G$5:$G$57,0)),INDEX($E$2381:$E$2433,MATCH(Paramètres!J48,Paramètres!$G$5:$G$57,0)))+IF(RIGHT(TRIM(Paramètres!K48),3)="Fin",1-$H2424,IF(LEFT(TRIM(Paramètres!K48),1)="F",1,0)))),IF(Paramètres!L48="",0,IF(Paramètres!M48="",NA(),IF(LEFT(TRIM(Paramètres!M48),1)="F",INDEX($F$2381:$F$2433,MATCH(Paramètres!L48,Paramètres!$G$5:$G$57,0)),INDEX($E$2381:$E$2433,MATCH(Paramètres!L48,Paramètres!$G$5:$G$57,0)))+IF(RIGHT(TRIM(Paramètres!M48),3)="Fin",1-$H2424,IF(LEFT(TRIM(Paramètres!M48),1)="F",1,0)))),IF(Paramètres!N48="",0,IF(Paramètres!O48="",NA(),IF(LEFT(TRIM(Paramètres!O48),1)="F",INDEX($F$2381:$F$2433,MATCH(Paramètres!N48,Paramètres!$G$5:$G$57,0)),INDEX($E$2381:$E$2433,MATCH(Paramètres!N48,Paramètres!$G$5:$G$57,0)))+IF(RIGHT(TRIM(Paramètres!O48),3)="Fin",1-$H2424,IF(LEFT(TRIM(Paramètres!O48),1)="F",1,0)))))))</f>
        <v/>
      </c>
      <c r="F2424" s="19">
        <f>IF($A2424="","",E2424+$H2424-1)</f>
        <v/>
      </c>
      <c r="G2424" s="18" t="n"/>
      <c r="H2424" s="18">
        <f>IF($A2424="","",IF(I2424&lt;&gt;"",I2424,Paramètres!B48))</f>
        <v/>
      </c>
      <c r="I2424" s="18" t="n"/>
    </row>
    <row r="2425">
      <c r="A2425" s="18">
        <f>IF(ISNUMBER(Dossiers!$D$48),Dossiers!$A$48&amp;" · "&amp;Dossiers!$B$48,"")</f>
        <v/>
      </c>
      <c r="B2425" s="18">
        <f>IF($A2425="","",Paramètres!G49)</f>
        <v/>
      </c>
      <c r="C2425" s="18">
        <f>IF($A2425="","",IF(Paramètres!H49="","",Paramètres!H49))</f>
        <v/>
      </c>
      <c r="D2425" s="18">
        <f>IF($A2425="","",IF(Paramètres!I49="","",Paramètres!I49))</f>
        <v/>
      </c>
      <c r="E2425" s="19">
        <f>IF($A2425="","",IF(Paramètres!J49&amp;Paramètres!L49&amp;Paramètres!N49="",Dossiers!$D$48,MAX(IF(Paramètres!J49="",0,IF(Paramètres!K49="",NA(),IF(LEFT(TRIM(Paramètres!K49),1)="F",INDEX($F$2381:$F$2433,MATCH(Paramètres!J49,Paramètres!$G$5:$G$57,0)),INDEX($E$2381:$E$2433,MATCH(Paramètres!J49,Paramètres!$G$5:$G$57,0)))+IF(RIGHT(TRIM(Paramètres!K49),3)="Fin",1-$H2425,IF(LEFT(TRIM(Paramètres!K49),1)="F",1,0)))),IF(Paramètres!L49="",0,IF(Paramètres!M49="",NA(),IF(LEFT(TRIM(Paramètres!M49),1)="F",INDEX($F$2381:$F$2433,MATCH(Paramètres!L49,Paramètres!$G$5:$G$57,0)),INDEX($E$2381:$E$2433,MATCH(Paramètres!L49,Paramètres!$G$5:$G$57,0)))+IF(RIGHT(TRIM(Paramètres!M49),3)="Fin",1-$H2425,IF(LEFT(TRIM(Paramètres!M49),1)="F",1,0)))),IF(Paramètres!N49="",0,IF(Paramètres!O49="",NA(),IF(LEFT(TRIM(Paramètres!O49),1)="F",INDEX($F$2381:$F$2433,MATCH(Paramètres!N49,Paramètres!$G$5:$G$57,0)),INDEX($E$2381:$E$2433,MATCH(Paramètres!N49,Paramètres!$G$5:$G$57,0)))+IF(RIGHT(TRIM(Paramètres!O49),3)="Fin",1-$H2425,IF(LEFT(TRIM(Paramètres!O49),1)="F",1,0)))))))</f>
        <v/>
      </c>
      <c r="F2425" s="19">
        <f>IF($A2425="","",E2425+$H2425-1)</f>
        <v/>
      </c>
      <c r="G2425" s="18" t="n"/>
      <c r="H2425" s="18">
        <f>IF($A2425="","",IF(I2425&lt;&gt;"",I2425,Paramètres!B49))</f>
        <v/>
      </c>
      <c r="I2425" s="18" t="n"/>
    </row>
    <row r="2426">
      <c r="A2426" s="18">
        <f>IF(ISNUMBER(Dossiers!$D$48),Dossiers!$A$48&amp;" · "&amp;Dossiers!$B$48,"")</f>
        <v/>
      </c>
      <c r="B2426" s="18">
        <f>IF($A2426="","",Paramètres!G50)</f>
        <v/>
      </c>
      <c r="C2426" s="18">
        <f>IF($A2426="","",IF(Paramètres!H50="","",Paramètres!H50))</f>
        <v/>
      </c>
      <c r="D2426" s="18">
        <f>IF($A2426="","",IF(Paramètres!I50="","",Paramètres!I50))</f>
        <v/>
      </c>
      <c r="E2426" s="19">
        <f>IF($A2426="","",IF(Paramètres!J50&amp;Paramètres!L50&amp;Paramètres!N50="",Dossiers!$D$48,MAX(IF(Paramètres!J50="",0,IF(Paramètres!K50="",NA(),IF(LEFT(TRIM(Paramètres!K50),1)="F",INDEX($F$2381:$F$2433,MATCH(Paramètres!J50,Paramètres!$G$5:$G$57,0)),INDEX($E$2381:$E$2433,MATCH(Paramètres!J50,Paramètres!$G$5:$G$57,0)))+IF(RIGHT(TRIM(Paramètres!K50),3)="Fin",1-$H2426,IF(LEFT(TRIM(Paramètres!K50),1)="F",1,0)))),IF(Paramètres!L50="",0,IF(Paramètres!M50="",NA(),IF(LEFT(TRIM(Paramètres!M50),1)="F",INDEX($F$2381:$F$2433,MATCH(Paramètres!L50,Paramètres!$G$5:$G$57,0)),INDEX($E$2381:$E$2433,MATCH(Paramètres!L50,Paramètres!$G$5:$G$57,0)))+IF(RIGHT(TRIM(Paramètres!M50),3)="Fin",1-$H2426,IF(LEFT(TRIM(Paramètres!M50),1)="F",1,0)))),IF(Paramètres!N50="",0,IF(Paramètres!O50="",NA(),IF(LEFT(TRIM(Paramètres!O50),1)="F",INDEX($F$2381:$F$2433,MATCH(Paramètres!N50,Paramètres!$G$5:$G$57,0)),INDEX($E$2381:$E$2433,MATCH(Paramètres!N50,Paramètres!$G$5:$G$57,0)))+IF(RIGHT(TRIM(Paramètres!O50),3)="Fin",1-$H2426,IF(LEFT(TRIM(Paramètres!O50),1)="F",1,0)))))))</f>
        <v/>
      </c>
      <c r="F2426" s="19">
        <f>IF($A2426="","",E2426+$H2426-1)</f>
        <v/>
      </c>
      <c r="G2426" s="18" t="n"/>
      <c r="H2426" s="18">
        <f>IF($A2426="","",IF(I2426&lt;&gt;"",I2426,Paramètres!B50))</f>
        <v/>
      </c>
      <c r="I2426" s="18" t="n"/>
    </row>
    <row r="2427">
      <c r="A2427" s="18">
        <f>IF(ISNUMBER(Dossiers!$D$48),Dossiers!$A$48&amp;" · "&amp;Dossiers!$B$48,"")</f>
        <v/>
      </c>
      <c r="B2427" s="18">
        <f>IF($A2427="","",Paramètres!G51)</f>
        <v/>
      </c>
      <c r="C2427" s="18">
        <f>IF($A2427="","",IF(Paramètres!H51="","",Paramètres!H51))</f>
        <v/>
      </c>
      <c r="D2427" s="18">
        <f>IF($A2427="","",IF(Paramètres!I51="","",Paramètres!I51))</f>
        <v/>
      </c>
      <c r="E2427" s="19">
        <f>IF($A2427="","",IF(Paramètres!J51&amp;Paramètres!L51&amp;Paramètres!N51="",Dossiers!$D$48,MAX(IF(Paramètres!J51="",0,IF(Paramètres!K51="",NA(),IF(LEFT(TRIM(Paramètres!K51),1)="F",INDEX($F$2381:$F$2433,MATCH(Paramètres!J51,Paramètres!$G$5:$G$57,0)),INDEX($E$2381:$E$2433,MATCH(Paramètres!J51,Paramètres!$G$5:$G$57,0)))+IF(RIGHT(TRIM(Paramètres!K51),3)="Fin",1-$H2427,IF(LEFT(TRIM(Paramètres!K51),1)="F",1,0)))),IF(Paramètres!L51="",0,IF(Paramètres!M51="",NA(),IF(LEFT(TRIM(Paramètres!M51),1)="F",INDEX($F$2381:$F$2433,MATCH(Paramètres!L51,Paramètres!$G$5:$G$57,0)),INDEX($E$2381:$E$2433,MATCH(Paramètres!L51,Paramètres!$G$5:$G$57,0)))+IF(RIGHT(TRIM(Paramètres!M51),3)="Fin",1-$H2427,IF(LEFT(TRIM(Paramètres!M51),1)="F",1,0)))),IF(Paramètres!N51="",0,IF(Paramètres!O51="",NA(),IF(LEFT(TRIM(Paramètres!O51),1)="F",INDEX($F$2381:$F$2433,MATCH(Paramètres!N51,Paramètres!$G$5:$G$57,0)),INDEX($E$2381:$E$2433,MATCH(Paramètres!N51,Paramètres!$G$5:$G$57,0)))+IF(RIGHT(TRIM(Paramètres!O51),3)="Fin",1-$H2427,IF(LEFT(TRIM(Paramètres!O51),1)="F",1,0)))))))</f>
        <v/>
      </c>
      <c r="F2427" s="19">
        <f>IF($A2427="","",E2427+$H2427-1)</f>
        <v/>
      </c>
      <c r="G2427" s="18" t="n"/>
      <c r="H2427" s="18">
        <f>IF($A2427="","",IF(I2427&lt;&gt;"",I2427,Paramètres!B51))</f>
        <v/>
      </c>
      <c r="I2427" s="18" t="n"/>
    </row>
    <row r="2428">
      <c r="A2428" s="18">
        <f>IF(ISNUMBER(Dossiers!$D$48),Dossiers!$A$48&amp;" · "&amp;Dossiers!$B$48,"")</f>
        <v/>
      </c>
      <c r="B2428" s="18">
        <f>IF($A2428="","",Paramètres!G52)</f>
        <v/>
      </c>
      <c r="C2428" s="18">
        <f>IF($A2428="","",IF(Paramètres!H52="","",Paramètres!H52))</f>
        <v/>
      </c>
      <c r="D2428" s="18">
        <f>IF($A2428="","",IF(Paramètres!I52="","",Paramètres!I52))</f>
        <v/>
      </c>
      <c r="E2428" s="19">
        <f>IF($A2428="","",IF(Paramètres!J52&amp;Paramètres!L52&amp;Paramètres!N52="",Dossiers!$D$48,MAX(IF(Paramètres!J52="",0,IF(Paramètres!K52="",NA(),IF(LEFT(TRIM(Paramètres!K52),1)="F",INDEX($F$2381:$F$2433,MATCH(Paramètres!J52,Paramètres!$G$5:$G$57,0)),INDEX($E$2381:$E$2433,MATCH(Paramètres!J52,Paramètres!$G$5:$G$57,0)))+IF(RIGHT(TRIM(Paramètres!K52),3)="Fin",1-$H2428,IF(LEFT(TRIM(Paramètres!K52),1)="F",1,0)))),IF(Paramètres!L52="",0,IF(Paramètres!M52="",NA(),IF(LEFT(TRIM(Paramètres!M52),1)="F",INDEX($F$2381:$F$2433,MATCH(Paramètres!L52,Paramètres!$G$5:$G$57,0)),INDEX($E$2381:$E$2433,MATCH(Paramètres!L52,Paramètres!$G$5:$G$57,0)))+IF(RIGHT(TRIM(Paramètres!M52),3)="Fin",1-$H2428,IF(LEFT(TRIM(Paramètres!M52),1)="F",1,0)))),IF(Paramètres!N52="",0,IF(Paramètres!O52="",NA(),IF(LEFT(TRIM(Paramètres!O52),1)="F",INDEX($F$2381:$F$2433,MATCH(Paramètres!N52,Paramètres!$G$5:$G$57,0)),INDEX($E$2381:$E$2433,MATCH(Paramètres!N52,Paramètres!$G$5:$G$57,0)))+IF(RIGHT(TRIM(Paramètres!O52),3)="Fin",1-$H2428,IF(LEFT(TRIM(Paramètres!O52),1)="F",1,0)))))))</f>
        <v/>
      </c>
      <c r="F2428" s="19">
        <f>IF($A2428="","",E2428+$H2428-1)</f>
        <v/>
      </c>
      <c r="G2428" s="18" t="n"/>
      <c r="H2428" s="18">
        <f>IF($A2428="","",IF(I2428&lt;&gt;"",I2428,Paramètres!B52))</f>
        <v/>
      </c>
      <c r="I2428" s="18" t="n"/>
    </row>
    <row r="2429">
      <c r="A2429" s="18">
        <f>IF(ISNUMBER(Dossiers!$D$48),Dossiers!$A$48&amp;" · "&amp;Dossiers!$B$48,"")</f>
        <v/>
      </c>
      <c r="B2429" s="18">
        <f>IF($A2429="","",Paramètres!G53)</f>
        <v/>
      </c>
      <c r="C2429" s="18">
        <f>IF($A2429="","",IF(Paramètres!H53="","",Paramètres!H53))</f>
        <v/>
      </c>
      <c r="D2429" s="18">
        <f>IF($A2429="","",IF(Paramètres!I53="","",Paramètres!I53))</f>
        <v/>
      </c>
      <c r="E2429" s="19">
        <f>IF($A2429="","",IF(Paramètres!J53&amp;Paramètres!L53&amp;Paramètres!N53="",Dossiers!$D$48,MAX(IF(Paramètres!J53="",0,IF(Paramètres!K53="",NA(),IF(LEFT(TRIM(Paramètres!K53),1)="F",INDEX($F$2381:$F$2433,MATCH(Paramètres!J53,Paramètres!$G$5:$G$57,0)),INDEX($E$2381:$E$2433,MATCH(Paramètres!J53,Paramètres!$G$5:$G$57,0)))+IF(RIGHT(TRIM(Paramètres!K53),3)="Fin",1-$H2429,IF(LEFT(TRIM(Paramètres!K53),1)="F",1,0)))),IF(Paramètres!L53="",0,IF(Paramètres!M53="",NA(),IF(LEFT(TRIM(Paramètres!M53),1)="F",INDEX($F$2381:$F$2433,MATCH(Paramètres!L53,Paramètres!$G$5:$G$57,0)),INDEX($E$2381:$E$2433,MATCH(Paramètres!L53,Paramètres!$G$5:$G$57,0)))+IF(RIGHT(TRIM(Paramètres!M53),3)="Fin",1-$H2429,IF(LEFT(TRIM(Paramètres!M53),1)="F",1,0)))),IF(Paramètres!N53="",0,IF(Paramètres!O53="",NA(),IF(LEFT(TRIM(Paramètres!O53),1)="F",INDEX($F$2381:$F$2433,MATCH(Paramètres!N53,Paramètres!$G$5:$G$57,0)),INDEX($E$2381:$E$2433,MATCH(Paramètres!N53,Paramètres!$G$5:$G$57,0)))+IF(RIGHT(TRIM(Paramètres!O53),3)="Fin",1-$H2429,IF(LEFT(TRIM(Paramètres!O53),1)="F",1,0)))))))</f>
        <v/>
      </c>
      <c r="F2429" s="19">
        <f>IF($A2429="","",E2429+$H2429-1)</f>
        <v/>
      </c>
      <c r="G2429" s="18" t="n"/>
      <c r="H2429" s="18">
        <f>IF($A2429="","",IF(I2429&lt;&gt;"",I2429,Paramètres!B53))</f>
        <v/>
      </c>
      <c r="I2429" s="18" t="n"/>
    </row>
    <row r="2430">
      <c r="A2430" s="18">
        <f>IF(ISNUMBER(Dossiers!$D$48),Dossiers!$A$48&amp;" · "&amp;Dossiers!$B$48,"")</f>
        <v/>
      </c>
      <c r="B2430" s="18">
        <f>IF($A2430="","",Paramètres!G54)</f>
        <v/>
      </c>
      <c r="C2430" s="18">
        <f>IF($A2430="","",IF(Paramètres!H54="","",Paramètres!H54))</f>
        <v/>
      </c>
      <c r="D2430" s="18">
        <f>IF($A2430="","",IF(Paramètres!I54="","",Paramètres!I54))</f>
        <v/>
      </c>
      <c r="E2430" s="19">
        <f>IF($A2430="","",IF(Paramètres!J54&amp;Paramètres!L54&amp;Paramètres!N54="",Dossiers!$D$48,MAX(IF(Paramètres!J54="",0,IF(Paramètres!K54="",NA(),IF(LEFT(TRIM(Paramètres!K54),1)="F",INDEX($F$2381:$F$2433,MATCH(Paramètres!J54,Paramètres!$G$5:$G$57,0)),INDEX($E$2381:$E$2433,MATCH(Paramètres!J54,Paramètres!$G$5:$G$57,0)))+IF(RIGHT(TRIM(Paramètres!K54),3)="Fin",1-$H2430,IF(LEFT(TRIM(Paramètres!K54),1)="F",1,0)))),IF(Paramètres!L54="",0,IF(Paramètres!M54="",NA(),IF(LEFT(TRIM(Paramètres!M54),1)="F",INDEX($F$2381:$F$2433,MATCH(Paramètres!L54,Paramètres!$G$5:$G$57,0)),INDEX($E$2381:$E$2433,MATCH(Paramètres!L54,Paramètres!$G$5:$G$57,0)))+IF(RIGHT(TRIM(Paramètres!M54),3)="Fin",1-$H2430,IF(LEFT(TRIM(Paramètres!M54),1)="F",1,0)))),IF(Paramètres!N54="",0,IF(Paramètres!O54="",NA(),IF(LEFT(TRIM(Paramètres!O54),1)="F",INDEX($F$2381:$F$2433,MATCH(Paramètres!N54,Paramètres!$G$5:$G$57,0)),INDEX($E$2381:$E$2433,MATCH(Paramètres!N54,Paramètres!$G$5:$G$57,0)))+IF(RIGHT(TRIM(Paramètres!O54),3)="Fin",1-$H2430,IF(LEFT(TRIM(Paramètres!O54),1)="F",1,0)))))))</f>
        <v/>
      </c>
      <c r="F2430" s="19">
        <f>IF($A2430="","",E2430+$H2430-1)</f>
        <v/>
      </c>
      <c r="G2430" s="18" t="n"/>
      <c r="H2430" s="18">
        <f>IF($A2430="","",IF(I2430&lt;&gt;"",I2430,Paramètres!B54))</f>
        <v/>
      </c>
      <c r="I2430" s="18" t="n"/>
    </row>
    <row r="2431">
      <c r="A2431" s="18">
        <f>IF(ISNUMBER(Dossiers!$D$48),Dossiers!$A$48&amp;" · "&amp;Dossiers!$B$48,"")</f>
        <v/>
      </c>
      <c r="B2431" s="18">
        <f>IF($A2431="","",Paramètres!G55)</f>
        <v/>
      </c>
      <c r="C2431" s="18">
        <f>IF($A2431="","",IF(Paramètres!H55="","",Paramètres!H55))</f>
        <v/>
      </c>
      <c r="D2431" s="18">
        <f>IF($A2431="","",IF(Paramètres!I55="","",Paramètres!I55))</f>
        <v/>
      </c>
      <c r="E2431" s="19">
        <f>IF($A2431="","",IF(Paramètres!J55&amp;Paramètres!L55&amp;Paramètres!N55="",Dossiers!$D$48,MAX(IF(Paramètres!J55="",0,IF(Paramètres!K55="",NA(),IF(LEFT(TRIM(Paramètres!K55),1)="F",INDEX($F$2381:$F$2433,MATCH(Paramètres!J55,Paramètres!$G$5:$G$57,0)),INDEX($E$2381:$E$2433,MATCH(Paramètres!J55,Paramètres!$G$5:$G$57,0)))+IF(RIGHT(TRIM(Paramètres!K55),3)="Fin",1-$H2431,IF(LEFT(TRIM(Paramètres!K55),1)="F",1,0)))),IF(Paramètres!L55="",0,IF(Paramètres!M55="",NA(),IF(LEFT(TRIM(Paramètres!M55),1)="F",INDEX($F$2381:$F$2433,MATCH(Paramètres!L55,Paramètres!$G$5:$G$57,0)),INDEX($E$2381:$E$2433,MATCH(Paramètres!L55,Paramètres!$G$5:$G$57,0)))+IF(RIGHT(TRIM(Paramètres!M55),3)="Fin",1-$H2431,IF(LEFT(TRIM(Paramètres!M55),1)="F",1,0)))),IF(Paramètres!N55="",0,IF(Paramètres!O55="",NA(),IF(LEFT(TRIM(Paramètres!O55),1)="F",INDEX($F$2381:$F$2433,MATCH(Paramètres!N55,Paramètres!$G$5:$G$57,0)),INDEX($E$2381:$E$2433,MATCH(Paramètres!N55,Paramètres!$G$5:$G$57,0)))+IF(RIGHT(TRIM(Paramètres!O55),3)="Fin",1-$H2431,IF(LEFT(TRIM(Paramètres!O55),1)="F",1,0)))))))</f>
        <v/>
      </c>
      <c r="F2431" s="19">
        <f>IF($A2431="","",E2431+$H2431-1)</f>
        <v/>
      </c>
      <c r="G2431" s="18" t="n"/>
      <c r="H2431" s="18">
        <f>IF($A2431="","",IF(I2431&lt;&gt;"",I2431,Paramètres!B55))</f>
        <v/>
      </c>
      <c r="I2431" s="18" t="n"/>
    </row>
    <row r="2432">
      <c r="A2432" s="18">
        <f>IF(ISNUMBER(Dossiers!$D$48),Dossiers!$A$48&amp;" · "&amp;Dossiers!$B$48,"")</f>
        <v/>
      </c>
      <c r="B2432" s="18">
        <f>IF($A2432="","",Paramètres!G56)</f>
        <v/>
      </c>
      <c r="C2432" s="18">
        <f>IF($A2432="","",IF(Paramètres!H56="","",Paramètres!H56))</f>
        <v/>
      </c>
      <c r="D2432" s="18">
        <f>IF($A2432="","",IF(Paramètres!I56="","",Paramètres!I56))</f>
        <v/>
      </c>
      <c r="E2432" s="19">
        <f>IF($A2432="","",MIN(E2433:E2433))</f>
        <v/>
      </c>
      <c r="F2432" s="19">
        <f>IF($A2432="","",MAX(F2433:F2433))</f>
        <v/>
      </c>
      <c r="G2432" s="18" t="n"/>
      <c r="H2432" s="18">
        <f>IF($A2432="","",F2432-E2432+1)</f>
        <v/>
      </c>
      <c r="I2432" s="18" t="n"/>
    </row>
    <row r="2433">
      <c r="A2433" s="18">
        <f>IF(ISNUMBER(Dossiers!$D$48),Dossiers!$A$48&amp;" · "&amp;Dossiers!$B$48,"")</f>
        <v/>
      </c>
      <c r="B2433" s="18">
        <f>IF($A2433="","",Paramètres!G57)</f>
        <v/>
      </c>
      <c r="C2433" s="18">
        <f>IF($A2433="","",IF(Paramètres!H57="","",Paramètres!H57))</f>
        <v/>
      </c>
      <c r="D2433" s="18">
        <f>IF($A2433="","",IF(Paramètres!I57="","",Paramètres!I57))</f>
        <v/>
      </c>
      <c r="E2433" s="19">
        <f>IF($A2433="","",IF(Paramètres!J57&amp;Paramètres!L57&amp;Paramètres!N57="",Dossiers!$D$48,MAX(IF(Paramètres!J57="",0,IF(Paramètres!K57="",NA(),IF(LEFT(TRIM(Paramètres!K57),1)="F",INDEX($F$2381:$F$2433,MATCH(Paramètres!J57,Paramètres!$G$5:$G$57,0)),INDEX($E$2381:$E$2433,MATCH(Paramètres!J57,Paramètres!$G$5:$G$57,0)))+IF(RIGHT(TRIM(Paramètres!K57),3)="Fin",1-$H2433,IF(LEFT(TRIM(Paramètres!K57),1)="F",1,0)))),IF(Paramètres!L57="",0,IF(Paramètres!M57="",NA(),IF(LEFT(TRIM(Paramètres!M57),1)="F",INDEX($F$2381:$F$2433,MATCH(Paramètres!L57,Paramètres!$G$5:$G$57,0)),INDEX($E$2381:$E$2433,MATCH(Paramètres!L57,Paramètres!$G$5:$G$57,0)))+IF(RIGHT(TRIM(Paramètres!M57),3)="Fin",1-$H2433,IF(LEFT(TRIM(Paramètres!M57),1)="F",1,0)))),IF(Paramètres!N57="",0,IF(Paramètres!O57="",NA(),IF(LEFT(TRIM(Paramètres!O57),1)="F",INDEX($F$2381:$F$2433,MATCH(Paramètres!N57,Paramètres!$G$5:$G$57,0)),INDEX($E$2381:$E$2433,MATCH(Paramètres!N57,Paramètres!$G$5:$G$57,0)))+IF(RIGHT(TRIM(Paramètres!O57),3)="Fin",1-$H2433,IF(LEFT(TRIM(Paramètres!O57),1)="F",1,0)))))))</f>
        <v/>
      </c>
      <c r="F2433" s="19">
        <f>IF($A2433="","",E2433+$H2433-1)</f>
        <v/>
      </c>
      <c r="G2433" s="18" t="n"/>
      <c r="H2433" s="18">
        <f>IF($A2433="","",IF(I2433&lt;&gt;"",I2433,Paramètres!B57))</f>
        <v/>
      </c>
      <c r="I2433" s="18" t="n"/>
    </row>
    <row r="2434">
      <c r="A2434" s="16">
        <f>IF(ISNUMBER(Dossiers!$D$49),Dossiers!$E$49,"")</f>
        <v/>
      </c>
      <c r="B2434" s="16">
        <f>IF($A2434="","","Identifiant")</f>
        <v/>
      </c>
      <c r="C2434" s="16">
        <f>IF($A2434="","","Macro Etape")</f>
        <v/>
      </c>
      <c r="D2434" s="16">
        <f>IF($A2434="","","Etape")</f>
        <v/>
      </c>
      <c r="E2434" s="17">
        <f>IF($A2434="","","Début le")</f>
        <v/>
      </c>
      <c r="F2434" s="17">
        <f>IF($A2434="","","Fin prévue le")</f>
        <v/>
      </c>
      <c r="G2434" s="16">
        <f>IF($A2434="","","Statut")</f>
        <v/>
      </c>
      <c r="H2434" s="16">
        <f>IF($A2434="","","Durée (jours)")</f>
        <v/>
      </c>
      <c r="I2434" s="16">
        <f>IF($A2434="","","Durée particulière")</f>
        <v/>
      </c>
      <c r="J2434" s="10">
        <f>IF($A2434="","",HYPERLINK("#'Tableau de bord'!A1","↑ Tableau de bord"))</f>
        <v/>
      </c>
    </row>
    <row r="2435">
      <c r="A2435" s="18">
        <f>IF(ISNUMBER(Dossiers!$D$49),Dossiers!$A$49&amp;" · "&amp;Dossiers!$B$49,"")</f>
        <v/>
      </c>
      <c r="B2435" s="18">
        <f>IF($A2435="","",Paramètres!G5)</f>
        <v/>
      </c>
      <c r="C2435" s="18">
        <f>IF($A2435="","",IF(Paramètres!H5="","",Paramètres!H5))</f>
        <v/>
      </c>
      <c r="D2435" s="18">
        <f>IF($A2435="","",IF(Paramètres!I5="","",Paramètres!I5))</f>
        <v/>
      </c>
      <c r="E2435" s="19">
        <f>IF($A2435="","",MIN(E2436:E2439))</f>
        <v/>
      </c>
      <c r="F2435" s="19">
        <f>IF($A2435="","",MAX(F2436:F2439))</f>
        <v/>
      </c>
      <c r="G2435" s="18" t="n"/>
      <c r="H2435" s="18">
        <f>IF($A2435="","",F2435-E2435+1)</f>
        <v/>
      </c>
      <c r="I2435" s="18" t="n"/>
    </row>
    <row r="2436">
      <c r="A2436" s="18">
        <f>IF(ISNUMBER(Dossiers!$D$49),Dossiers!$A$49&amp;" · "&amp;Dossiers!$B$49,"")</f>
        <v/>
      </c>
      <c r="B2436" s="18">
        <f>IF($A2436="","",Paramètres!G6)</f>
        <v/>
      </c>
      <c r="C2436" s="18">
        <f>IF($A2436="","",IF(Paramètres!H6="","",Paramètres!H6))</f>
        <v/>
      </c>
      <c r="D2436" s="18">
        <f>IF($A2436="","",IF(Paramètres!I6="","",Paramètres!I6))</f>
        <v/>
      </c>
      <c r="E2436" s="19">
        <f>IF($A2436="","",IF(Paramètres!J6&amp;Paramètres!L6&amp;Paramètres!N6="",Dossiers!$D$49,MAX(IF(Paramètres!J6="",0,IF(Paramètres!K6="",NA(),IF(LEFT(TRIM(Paramètres!K6),1)="F",INDEX($F$2435:$F$2487,MATCH(Paramètres!J6,Paramètres!$G$5:$G$57,0)),INDEX($E$2435:$E$2487,MATCH(Paramètres!J6,Paramètres!$G$5:$G$57,0)))+IF(RIGHT(TRIM(Paramètres!K6),3)="Fin",1-$H2436,IF(LEFT(TRIM(Paramètres!K6),1)="F",1,0)))),IF(Paramètres!L6="",0,IF(Paramètres!M6="",NA(),IF(LEFT(TRIM(Paramètres!M6),1)="F",INDEX($F$2435:$F$2487,MATCH(Paramètres!L6,Paramètres!$G$5:$G$57,0)),INDEX($E$2435:$E$2487,MATCH(Paramètres!L6,Paramètres!$G$5:$G$57,0)))+IF(RIGHT(TRIM(Paramètres!M6),3)="Fin",1-$H2436,IF(LEFT(TRIM(Paramètres!M6),1)="F",1,0)))),IF(Paramètres!N6="",0,IF(Paramètres!O6="",NA(),IF(LEFT(TRIM(Paramètres!O6),1)="F",INDEX($F$2435:$F$2487,MATCH(Paramètres!N6,Paramètres!$G$5:$G$57,0)),INDEX($E$2435:$E$2487,MATCH(Paramètres!N6,Paramètres!$G$5:$G$57,0)))+IF(RIGHT(TRIM(Paramètres!O6),3)="Fin",1-$H2436,IF(LEFT(TRIM(Paramètres!O6),1)="F",1,0)))))))</f>
        <v/>
      </c>
      <c r="F2436" s="19">
        <f>IF($A2436="","",E2436+$H2436-1)</f>
        <v/>
      </c>
      <c r="G2436" s="18" t="n"/>
      <c r="H2436" s="18">
        <f>IF($A2436="","",IF(I2436&lt;&gt;"",I2436,Paramètres!B6))</f>
        <v/>
      </c>
      <c r="I2436" s="18" t="n"/>
    </row>
    <row r="2437">
      <c r="A2437" s="18">
        <f>IF(ISNUMBER(Dossiers!$D$49),Dossiers!$A$49&amp;" · "&amp;Dossiers!$B$49,"")</f>
        <v/>
      </c>
      <c r="B2437" s="18">
        <f>IF($A2437="","",Paramètres!G7)</f>
        <v/>
      </c>
      <c r="C2437" s="18">
        <f>IF($A2437="","",IF(Paramètres!H7="","",Paramètres!H7))</f>
        <v/>
      </c>
      <c r="D2437" s="18">
        <f>IF($A2437="","",IF(Paramètres!I7="","",Paramètres!I7))</f>
        <v/>
      </c>
      <c r="E2437" s="19">
        <f>IF($A2437="","",IF(Paramètres!J7&amp;Paramètres!L7&amp;Paramètres!N7="",Dossiers!$D$49,MAX(IF(Paramètres!J7="",0,IF(Paramètres!K7="",NA(),IF(LEFT(TRIM(Paramètres!K7),1)="F",INDEX($F$2435:$F$2487,MATCH(Paramètres!J7,Paramètres!$G$5:$G$57,0)),INDEX($E$2435:$E$2487,MATCH(Paramètres!J7,Paramètres!$G$5:$G$57,0)))+IF(RIGHT(TRIM(Paramètres!K7),3)="Fin",1-$H2437,IF(LEFT(TRIM(Paramètres!K7),1)="F",1,0)))),IF(Paramètres!L7="",0,IF(Paramètres!M7="",NA(),IF(LEFT(TRIM(Paramètres!M7),1)="F",INDEX($F$2435:$F$2487,MATCH(Paramètres!L7,Paramètres!$G$5:$G$57,0)),INDEX($E$2435:$E$2487,MATCH(Paramètres!L7,Paramètres!$G$5:$G$57,0)))+IF(RIGHT(TRIM(Paramètres!M7),3)="Fin",1-$H2437,IF(LEFT(TRIM(Paramètres!M7),1)="F",1,0)))),IF(Paramètres!N7="",0,IF(Paramètres!O7="",NA(),IF(LEFT(TRIM(Paramètres!O7),1)="F",INDEX($F$2435:$F$2487,MATCH(Paramètres!N7,Paramètres!$G$5:$G$57,0)),INDEX($E$2435:$E$2487,MATCH(Paramètres!N7,Paramètres!$G$5:$G$57,0)))+IF(RIGHT(TRIM(Paramètres!O7),3)="Fin",1-$H2437,IF(LEFT(TRIM(Paramètres!O7),1)="F",1,0)))))))</f>
        <v/>
      </c>
      <c r="F2437" s="19">
        <f>IF($A2437="","",E2437+$H2437-1)</f>
        <v/>
      </c>
      <c r="G2437" s="18" t="n"/>
      <c r="H2437" s="18">
        <f>IF($A2437="","",IF(I2437&lt;&gt;"",I2437,Paramètres!B7))</f>
        <v/>
      </c>
      <c r="I2437" s="18" t="n"/>
    </row>
    <row r="2438">
      <c r="A2438" s="18">
        <f>IF(ISNUMBER(Dossiers!$D$49),Dossiers!$A$49&amp;" · "&amp;Dossiers!$B$49,"")</f>
        <v/>
      </c>
      <c r="B2438" s="18">
        <f>IF($A2438="","",Paramètres!G8)</f>
        <v/>
      </c>
      <c r="C2438" s="18">
        <f>IF($A2438="","",IF(Paramètres!H8="","",Paramètres!H8))</f>
        <v/>
      </c>
      <c r="D2438" s="18">
        <f>IF($A2438="","",IF(Paramètres!I8="","",Paramètres!I8))</f>
        <v/>
      </c>
      <c r="E2438" s="19">
        <f>IF($A2438="","",IF(Paramètres!J8&amp;Paramètres!L8&amp;Paramètres!N8="",Dossiers!$D$49,MAX(IF(Paramètres!J8="",0,IF(Paramètres!K8="",NA(),IF(LEFT(TRIM(Paramètres!K8),1)="F",INDEX($F$2435:$F$2487,MATCH(Paramètres!J8,Paramètres!$G$5:$G$57,0)),INDEX($E$2435:$E$2487,MATCH(Paramètres!J8,Paramètres!$G$5:$G$57,0)))+IF(RIGHT(TRIM(Paramètres!K8),3)="Fin",1-$H2438,IF(LEFT(TRIM(Paramètres!K8),1)="F",1,0)))),IF(Paramètres!L8="",0,IF(Paramètres!M8="",NA(),IF(LEFT(TRIM(Paramètres!M8),1)="F",INDEX($F$2435:$F$2487,MATCH(Paramètres!L8,Paramètres!$G$5:$G$57,0)),INDEX($E$2435:$E$2487,MATCH(Paramètres!L8,Paramètres!$G$5:$G$57,0)))+IF(RIGHT(TRIM(Paramètres!M8),3)="Fin",1-$H2438,IF(LEFT(TRIM(Paramètres!M8),1)="F",1,0)))),IF(Paramètres!N8="",0,IF(Paramètres!O8="",NA(),IF(LEFT(TRIM(Paramètres!O8),1)="F",INDEX($F$2435:$F$2487,MATCH(Paramètres!N8,Paramètres!$G$5:$G$57,0)),INDEX($E$2435:$E$2487,MATCH(Paramètres!N8,Paramètres!$G$5:$G$57,0)))+IF(RIGHT(TRIM(Paramètres!O8),3)="Fin",1-$H2438,IF(LEFT(TRIM(Paramètres!O8),1)="F",1,0)))))))</f>
        <v/>
      </c>
      <c r="F2438" s="19">
        <f>IF($A2438="","",E2438+$H2438-1)</f>
        <v/>
      </c>
      <c r="G2438" s="18" t="n"/>
      <c r="H2438" s="18">
        <f>IF($A2438="","",IF(I2438&lt;&gt;"",I2438,Paramètres!B8))</f>
        <v/>
      </c>
      <c r="I2438" s="18" t="n"/>
    </row>
    <row r="2439">
      <c r="A2439" s="18">
        <f>IF(ISNUMBER(Dossiers!$D$49),Dossiers!$A$49&amp;" · "&amp;Dossiers!$B$49,"")</f>
        <v/>
      </c>
      <c r="B2439" s="18">
        <f>IF($A2439="","",Paramètres!G9)</f>
        <v/>
      </c>
      <c r="C2439" s="18">
        <f>IF($A2439="","",IF(Paramètres!H9="","",Paramètres!H9))</f>
        <v/>
      </c>
      <c r="D2439" s="18">
        <f>IF($A2439="","",IF(Paramètres!I9="","",Paramètres!I9))</f>
        <v/>
      </c>
      <c r="E2439" s="19">
        <f>IF($A2439="","",IF(Paramètres!J9&amp;Paramètres!L9&amp;Paramètres!N9="",Dossiers!$D$49,MAX(IF(Paramètres!J9="",0,IF(Paramètres!K9="",NA(),IF(LEFT(TRIM(Paramètres!K9),1)="F",INDEX($F$2435:$F$2487,MATCH(Paramètres!J9,Paramètres!$G$5:$G$57,0)),INDEX($E$2435:$E$2487,MATCH(Paramètres!J9,Paramètres!$G$5:$G$57,0)))+IF(RIGHT(TRIM(Paramètres!K9),3)="Fin",1-$H2439,IF(LEFT(TRIM(Paramètres!K9),1)="F",1,0)))),IF(Paramètres!L9="",0,IF(Paramètres!M9="",NA(),IF(LEFT(TRIM(Paramètres!M9),1)="F",INDEX($F$2435:$F$2487,MATCH(Paramètres!L9,Paramètres!$G$5:$G$57,0)),INDEX($E$2435:$E$2487,MATCH(Paramètres!L9,Paramètres!$G$5:$G$57,0)))+IF(RIGHT(TRIM(Paramètres!M9),3)="Fin",1-$H2439,IF(LEFT(TRIM(Paramètres!M9),1)="F",1,0)))),IF(Paramètres!N9="",0,IF(Paramètres!O9="",NA(),IF(LEFT(TRIM(Paramètres!O9),1)="F",INDEX($F$2435:$F$2487,MATCH(Paramètres!N9,Paramètres!$G$5:$G$57,0)),INDEX($E$2435:$E$2487,MATCH(Paramètres!N9,Paramètres!$G$5:$G$57,0)))+IF(RIGHT(TRIM(Paramètres!O9),3)="Fin",1-$H2439,IF(LEFT(TRIM(Paramètres!O9),1)="F",1,0)))))))</f>
        <v/>
      </c>
      <c r="F2439" s="19">
        <f>IF($A2439="","",E2439+$H2439-1)</f>
        <v/>
      </c>
      <c r="G2439" s="18" t="n"/>
      <c r="H2439" s="18">
        <f>IF($A2439="","",IF(I2439&lt;&gt;"",I2439,Paramètres!B9))</f>
        <v/>
      </c>
      <c r="I2439" s="18" t="n"/>
    </row>
    <row r="2440">
      <c r="A2440" s="18">
        <f>IF(ISNUMBER(Dossiers!$D$49),Dossiers!$A$49&amp;" · "&amp;Dossiers!$B$49,"")</f>
        <v/>
      </c>
      <c r="B2440" s="18">
        <f>IF($A2440="","",Paramètres!G10)</f>
        <v/>
      </c>
      <c r="C2440" s="18">
        <f>IF($A2440="","",IF(Paramètres!H10="","",Paramètres!H10))</f>
        <v/>
      </c>
      <c r="D2440" s="18">
        <f>IF($A2440="","",IF(Paramètres!I10="","",Paramètres!I10))</f>
        <v/>
      </c>
      <c r="E2440" s="19">
        <f>IF($A2440="","",MIN(E2441:E2444))</f>
        <v/>
      </c>
      <c r="F2440" s="19">
        <f>IF($A2440="","",MAX(F2441:F2444))</f>
        <v/>
      </c>
      <c r="G2440" s="18" t="n"/>
      <c r="H2440" s="18">
        <f>IF($A2440="","",F2440-E2440+1)</f>
        <v/>
      </c>
      <c r="I2440" s="18" t="n"/>
    </row>
    <row r="2441">
      <c r="A2441" s="18">
        <f>IF(ISNUMBER(Dossiers!$D$49),Dossiers!$A$49&amp;" · "&amp;Dossiers!$B$49,"")</f>
        <v/>
      </c>
      <c r="B2441" s="18">
        <f>IF($A2441="","",Paramètres!G11)</f>
        <v/>
      </c>
      <c r="C2441" s="18">
        <f>IF($A2441="","",IF(Paramètres!H11="","",Paramètres!H11))</f>
        <v/>
      </c>
      <c r="D2441" s="18">
        <f>IF($A2441="","",IF(Paramètres!I11="","",Paramètres!I11))</f>
        <v/>
      </c>
      <c r="E2441" s="19">
        <f>IF($A2441="","",IF(Paramètres!J11&amp;Paramètres!L11&amp;Paramètres!N11="",Dossiers!$D$49,MAX(IF(Paramètres!J11="",0,IF(Paramètres!K11="",NA(),IF(LEFT(TRIM(Paramètres!K11),1)="F",INDEX($F$2435:$F$2487,MATCH(Paramètres!J11,Paramètres!$G$5:$G$57,0)),INDEX($E$2435:$E$2487,MATCH(Paramètres!J11,Paramètres!$G$5:$G$57,0)))+IF(RIGHT(TRIM(Paramètres!K11),3)="Fin",1-$H2441,IF(LEFT(TRIM(Paramètres!K11),1)="F",1,0)))),IF(Paramètres!L11="",0,IF(Paramètres!M11="",NA(),IF(LEFT(TRIM(Paramètres!M11),1)="F",INDEX($F$2435:$F$2487,MATCH(Paramètres!L11,Paramètres!$G$5:$G$57,0)),INDEX($E$2435:$E$2487,MATCH(Paramètres!L11,Paramètres!$G$5:$G$57,0)))+IF(RIGHT(TRIM(Paramètres!M11),3)="Fin",1-$H2441,IF(LEFT(TRIM(Paramètres!M11),1)="F",1,0)))),IF(Paramètres!N11="",0,IF(Paramètres!O11="",NA(),IF(LEFT(TRIM(Paramètres!O11),1)="F",INDEX($F$2435:$F$2487,MATCH(Paramètres!N11,Paramètres!$G$5:$G$57,0)),INDEX($E$2435:$E$2487,MATCH(Paramètres!N11,Paramètres!$G$5:$G$57,0)))+IF(RIGHT(TRIM(Paramètres!O11),3)="Fin",1-$H2441,IF(LEFT(TRIM(Paramètres!O11),1)="F",1,0)))))))</f>
        <v/>
      </c>
      <c r="F2441" s="19">
        <f>IF($A2441="","",E2441+$H2441-1)</f>
        <v/>
      </c>
      <c r="G2441" s="18" t="n"/>
      <c r="H2441" s="18">
        <f>IF($A2441="","",IF(I2441&lt;&gt;"",I2441,Paramètres!B11))</f>
        <v/>
      </c>
      <c r="I2441" s="18" t="n"/>
    </row>
    <row r="2442">
      <c r="A2442" s="18">
        <f>IF(ISNUMBER(Dossiers!$D$49),Dossiers!$A$49&amp;" · "&amp;Dossiers!$B$49,"")</f>
        <v/>
      </c>
      <c r="B2442" s="18">
        <f>IF($A2442="","",Paramètres!G12)</f>
        <v/>
      </c>
      <c r="C2442" s="18">
        <f>IF($A2442="","",IF(Paramètres!H12="","",Paramètres!H12))</f>
        <v/>
      </c>
      <c r="D2442" s="18">
        <f>IF($A2442="","",IF(Paramètres!I12="","",Paramètres!I12))</f>
        <v/>
      </c>
      <c r="E2442" s="19">
        <f>IF($A2442="","",IF(Paramètres!J12&amp;Paramètres!L12&amp;Paramètres!N12="",Dossiers!$D$49,MAX(IF(Paramètres!J12="",0,IF(Paramètres!K12="",NA(),IF(LEFT(TRIM(Paramètres!K12),1)="F",INDEX($F$2435:$F$2487,MATCH(Paramètres!J12,Paramètres!$G$5:$G$57,0)),INDEX($E$2435:$E$2487,MATCH(Paramètres!J12,Paramètres!$G$5:$G$57,0)))+IF(RIGHT(TRIM(Paramètres!K12),3)="Fin",1-$H2442,IF(LEFT(TRIM(Paramètres!K12),1)="F",1,0)))),IF(Paramètres!L12="",0,IF(Paramètres!M12="",NA(),IF(LEFT(TRIM(Paramètres!M12),1)="F",INDEX($F$2435:$F$2487,MATCH(Paramètres!L12,Paramètres!$G$5:$G$57,0)),INDEX($E$2435:$E$2487,MATCH(Paramètres!L12,Paramètres!$G$5:$G$57,0)))+IF(RIGHT(TRIM(Paramètres!M12),3)="Fin",1-$H2442,IF(LEFT(TRIM(Paramètres!M12),1)="F",1,0)))),IF(Paramètres!N12="",0,IF(Paramètres!O12="",NA(),IF(LEFT(TRIM(Paramètres!O12),1)="F",INDEX($F$2435:$F$2487,MATCH(Paramètres!N12,Paramètres!$G$5:$G$57,0)),INDEX($E$2435:$E$2487,MATCH(Paramètres!N12,Paramètres!$G$5:$G$57,0)))+IF(RIGHT(TRIM(Paramètres!O12),3)="Fin",1-$H2442,IF(LEFT(TRIM(Paramètres!O12),1)="F",1,0)))))))</f>
        <v/>
      </c>
      <c r="F2442" s="19">
        <f>IF($A2442="","",E2442+$H2442-1)</f>
        <v/>
      </c>
      <c r="G2442" s="18" t="n"/>
      <c r="H2442" s="18">
        <f>IF($A2442="","",IF(I2442&lt;&gt;"",I2442,Paramètres!B12))</f>
        <v/>
      </c>
      <c r="I2442" s="18" t="n"/>
    </row>
    <row r="2443">
      <c r="A2443" s="18">
        <f>IF(ISNUMBER(Dossiers!$D$49),Dossiers!$A$49&amp;" · "&amp;Dossiers!$B$49,"")</f>
        <v/>
      </c>
      <c r="B2443" s="18">
        <f>IF($A2443="","",Paramètres!G13)</f>
        <v/>
      </c>
      <c r="C2443" s="18">
        <f>IF($A2443="","",IF(Paramètres!H13="","",Paramètres!H13))</f>
        <v/>
      </c>
      <c r="D2443" s="18">
        <f>IF($A2443="","",IF(Paramètres!I13="","",Paramètres!I13))</f>
        <v/>
      </c>
      <c r="E2443" s="19">
        <f>IF($A2443="","",IF(Paramètres!J13&amp;Paramètres!L13&amp;Paramètres!N13="",Dossiers!$D$49,MAX(IF(Paramètres!J13="",0,IF(Paramètres!K13="",NA(),IF(LEFT(TRIM(Paramètres!K13),1)="F",INDEX($F$2435:$F$2487,MATCH(Paramètres!J13,Paramètres!$G$5:$G$57,0)),INDEX($E$2435:$E$2487,MATCH(Paramètres!J13,Paramètres!$G$5:$G$57,0)))+IF(RIGHT(TRIM(Paramètres!K13),3)="Fin",1-$H2443,IF(LEFT(TRIM(Paramètres!K13),1)="F",1,0)))),IF(Paramètres!L13="",0,IF(Paramètres!M13="",NA(),IF(LEFT(TRIM(Paramètres!M13),1)="F",INDEX($F$2435:$F$2487,MATCH(Paramètres!L13,Paramètres!$G$5:$G$57,0)),INDEX($E$2435:$E$2487,MATCH(Paramètres!L13,Paramètres!$G$5:$G$57,0)))+IF(RIGHT(TRIM(Paramètres!M13),3)="Fin",1-$H2443,IF(LEFT(TRIM(Paramètres!M13),1)="F",1,0)))),IF(Paramètres!N13="",0,IF(Paramètres!O13="",NA(),IF(LEFT(TRIM(Paramètres!O13),1)="F",INDEX($F$2435:$F$2487,MATCH(Paramètres!N13,Paramètres!$G$5:$G$57,0)),INDEX($E$2435:$E$2487,MATCH(Paramètres!N13,Paramètres!$G$5:$G$57,0)))+IF(RIGHT(TRIM(Paramètres!O13),3)="Fin",1-$H2443,IF(LEFT(TRIM(Paramètres!O13),1)="F",1,0)))))))</f>
        <v/>
      </c>
      <c r="F2443" s="19">
        <f>IF($A2443="","",E2443+$H2443-1)</f>
        <v/>
      </c>
      <c r="G2443" s="18" t="n"/>
      <c r="H2443" s="18">
        <f>IF($A2443="","",IF(I2443&lt;&gt;"",I2443,Paramètres!B13))</f>
        <v/>
      </c>
      <c r="I2443" s="18" t="n"/>
    </row>
    <row r="2444">
      <c r="A2444" s="18">
        <f>IF(ISNUMBER(Dossiers!$D$49),Dossiers!$A$49&amp;" · "&amp;Dossiers!$B$49,"")</f>
        <v/>
      </c>
      <c r="B2444" s="18">
        <f>IF($A2444="","",Paramètres!G14)</f>
        <v/>
      </c>
      <c r="C2444" s="18">
        <f>IF($A2444="","",IF(Paramètres!H14="","",Paramètres!H14))</f>
        <v/>
      </c>
      <c r="D2444" s="18">
        <f>IF($A2444="","",IF(Paramètres!I14="","",Paramètres!I14))</f>
        <v/>
      </c>
      <c r="E2444" s="19">
        <f>IF($A2444="","",IF(Paramètres!J14&amp;Paramètres!L14&amp;Paramètres!N14="",Dossiers!$D$49,MAX(IF(Paramètres!J14="",0,IF(Paramètres!K14="",NA(),IF(LEFT(TRIM(Paramètres!K14),1)="F",INDEX($F$2435:$F$2487,MATCH(Paramètres!J14,Paramètres!$G$5:$G$57,0)),INDEX($E$2435:$E$2487,MATCH(Paramètres!J14,Paramètres!$G$5:$G$57,0)))+IF(RIGHT(TRIM(Paramètres!K14),3)="Fin",1-$H2444,IF(LEFT(TRIM(Paramètres!K14),1)="F",1,0)))),IF(Paramètres!L14="",0,IF(Paramètres!M14="",NA(),IF(LEFT(TRIM(Paramètres!M14),1)="F",INDEX($F$2435:$F$2487,MATCH(Paramètres!L14,Paramètres!$G$5:$G$57,0)),INDEX($E$2435:$E$2487,MATCH(Paramètres!L14,Paramètres!$G$5:$G$57,0)))+IF(RIGHT(TRIM(Paramètres!M14),3)="Fin",1-$H2444,IF(LEFT(TRIM(Paramètres!M14),1)="F",1,0)))),IF(Paramètres!N14="",0,IF(Paramètres!O14="",NA(),IF(LEFT(TRIM(Paramètres!O14),1)="F",INDEX($F$2435:$F$2487,MATCH(Paramètres!N14,Paramètres!$G$5:$G$57,0)),INDEX($E$2435:$E$2487,MATCH(Paramètres!N14,Paramètres!$G$5:$G$57,0)))+IF(RIGHT(TRIM(Paramètres!O14),3)="Fin",1-$H2444,IF(LEFT(TRIM(Paramètres!O14),1)="F",1,0)))))))</f>
        <v/>
      </c>
      <c r="F2444" s="19">
        <f>IF($A2444="","",E2444+$H2444-1)</f>
        <v/>
      </c>
      <c r="G2444" s="18" t="n"/>
      <c r="H2444" s="18">
        <f>IF($A2444="","",IF(I2444&lt;&gt;"",I2444,Paramètres!B14))</f>
        <v/>
      </c>
      <c r="I2444" s="18" t="n"/>
    </row>
    <row r="2445">
      <c r="A2445" s="18">
        <f>IF(ISNUMBER(Dossiers!$D$49),Dossiers!$A$49&amp;" · "&amp;Dossiers!$B$49,"")</f>
        <v/>
      </c>
      <c r="B2445" s="18">
        <f>IF($A2445="","",Paramètres!G15)</f>
        <v/>
      </c>
      <c r="C2445" s="18">
        <f>IF($A2445="","",IF(Paramètres!H15="","",Paramètres!H15))</f>
        <v/>
      </c>
      <c r="D2445" s="18">
        <f>IF($A2445="","",IF(Paramètres!I15="","",Paramètres!I15))</f>
        <v/>
      </c>
      <c r="E2445" s="19">
        <f>IF($A2445="","",MIN(E2446:E2461))</f>
        <v/>
      </c>
      <c r="F2445" s="19">
        <f>IF($A2445="","",MAX(F2446:F2461))</f>
        <v/>
      </c>
      <c r="G2445" s="18" t="n"/>
      <c r="H2445" s="18">
        <f>IF($A2445="","",F2445-E2445+1)</f>
        <v/>
      </c>
      <c r="I2445" s="18" t="n"/>
    </row>
    <row r="2446">
      <c r="A2446" s="18">
        <f>IF(ISNUMBER(Dossiers!$D$49),Dossiers!$A$49&amp;" · "&amp;Dossiers!$B$49,"")</f>
        <v/>
      </c>
      <c r="B2446" s="18">
        <f>IF($A2446="","",Paramètres!G16)</f>
        <v/>
      </c>
      <c r="C2446" s="18">
        <f>IF($A2446="","",IF(Paramètres!H16="","",Paramètres!H16))</f>
        <v/>
      </c>
      <c r="D2446" s="18">
        <f>IF($A2446="","",IF(Paramètres!I16="","",Paramètres!I16))</f>
        <v/>
      </c>
      <c r="E2446" s="19">
        <f>IF($A2446="","",IF(Paramètres!J16&amp;Paramètres!L16&amp;Paramètres!N16="",Dossiers!$D$49,MAX(IF(Paramètres!J16="",0,IF(Paramètres!K16="",NA(),IF(LEFT(TRIM(Paramètres!K16),1)="F",INDEX($F$2435:$F$2487,MATCH(Paramètres!J16,Paramètres!$G$5:$G$57,0)),INDEX($E$2435:$E$2487,MATCH(Paramètres!J16,Paramètres!$G$5:$G$57,0)))+IF(RIGHT(TRIM(Paramètres!K16),3)="Fin",1-$H2446,IF(LEFT(TRIM(Paramètres!K16),1)="F",1,0)))),IF(Paramètres!L16="",0,IF(Paramètres!M16="",NA(),IF(LEFT(TRIM(Paramètres!M16),1)="F",INDEX($F$2435:$F$2487,MATCH(Paramètres!L16,Paramètres!$G$5:$G$57,0)),INDEX($E$2435:$E$2487,MATCH(Paramètres!L16,Paramètres!$G$5:$G$57,0)))+IF(RIGHT(TRIM(Paramètres!M16),3)="Fin",1-$H2446,IF(LEFT(TRIM(Paramètres!M16),1)="F",1,0)))),IF(Paramètres!N16="",0,IF(Paramètres!O16="",NA(),IF(LEFT(TRIM(Paramètres!O16),1)="F",INDEX($F$2435:$F$2487,MATCH(Paramètres!N16,Paramètres!$G$5:$G$57,0)),INDEX($E$2435:$E$2487,MATCH(Paramètres!N16,Paramètres!$G$5:$G$57,0)))+IF(RIGHT(TRIM(Paramètres!O16),3)="Fin",1-$H2446,IF(LEFT(TRIM(Paramètres!O16),1)="F",1,0)))))))</f>
        <v/>
      </c>
      <c r="F2446" s="19">
        <f>IF($A2446="","",E2446+$H2446-1)</f>
        <v/>
      </c>
      <c r="G2446" s="18" t="n"/>
      <c r="H2446" s="18">
        <f>IF($A2446="","",IF(I2446&lt;&gt;"",I2446,Paramètres!B16))</f>
        <v/>
      </c>
      <c r="I2446" s="18" t="n"/>
    </row>
    <row r="2447">
      <c r="A2447" s="18">
        <f>IF(ISNUMBER(Dossiers!$D$49),Dossiers!$A$49&amp;" · "&amp;Dossiers!$B$49,"")</f>
        <v/>
      </c>
      <c r="B2447" s="18">
        <f>IF($A2447="","",Paramètres!G17)</f>
        <v/>
      </c>
      <c r="C2447" s="18">
        <f>IF($A2447="","",IF(Paramètres!H17="","",Paramètres!H17))</f>
        <v/>
      </c>
      <c r="D2447" s="18">
        <f>IF($A2447="","",IF(Paramètres!I17="","",Paramètres!I17))</f>
        <v/>
      </c>
      <c r="E2447" s="19">
        <f>IF($A2447="","",IF(Paramètres!J17&amp;Paramètres!L17&amp;Paramètres!N17="",Dossiers!$D$49,MAX(IF(Paramètres!J17="",0,IF(Paramètres!K17="",NA(),IF(LEFT(TRIM(Paramètres!K17),1)="F",INDEX($F$2435:$F$2487,MATCH(Paramètres!J17,Paramètres!$G$5:$G$57,0)),INDEX($E$2435:$E$2487,MATCH(Paramètres!J17,Paramètres!$G$5:$G$57,0)))+IF(RIGHT(TRIM(Paramètres!K17),3)="Fin",1-$H2447,IF(LEFT(TRIM(Paramètres!K17),1)="F",1,0)))),IF(Paramètres!L17="",0,IF(Paramètres!M17="",NA(),IF(LEFT(TRIM(Paramètres!M17),1)="F",INDEX($F$2435:$F$2487,MATCH(Paramètres!L17,Paramètres!$G$5:$G$57,0)),INDEX($E$2435:$E$2487,MATCH(Paramètres!L17,Paramètres!$G$5:$G$57,0)))+IF(RIGHT(TRIM(Paramètres!M17),3)="Fin",1-$H2447,IF(LEFT(TRIM(Paramètres!M17),1)="F",1,0)))),IF(Paramètres!N17="",0,IF(Paramètres!O17="",NA(),IF(LEFT(TRIM(Paramètres!O17),1)="F",INDEX($F$2435:$F$2487,MATCH(Paramètres!N17,Paramètres!$G$5:$G$57,0)),INDEX($E$2435:$E$2487,MATCH(Paramètres!N17,Paramètres!$G$5:$G$57,0)))+IF(RIGHT(TRIM(Paramètres!O17),3)="Fin",1-$H2447,IF(LEFT(TRIM(Paramètres!O17),1)="F",1,0)))))))</f>
        <v/>
      </c>
      <c r="F2447" s="19">
        <f>IF($A2447="","",E2447+$H2447-1)</f>
        <v/>
      </c>
      <c r="G2447" s="18" t="n"/>
      <c r="H2447" s="18">
        <f>IF($A2447="","",IF(I2447&lt;&gt;"",I2447,Paramètres!B17))</f>
        <v/>
      </c>
      <c r="I2447" s="18" t="n"/>
    </row>
    <row r="2448">
      <c r="A2448" s="18">
        <f>IF(ISNUMBER(Dossiers!$D$49),Dossiers!$A$49&amp;" · "&amp;Dossiers!$B$49,"")</f>
        <v/>
      </c>
      <c r="B2448" s="18">
        <f>IF($A2448="","",Paramètres!G18)</f>
        <v/>
      </c>
      <c r="C2448" s="18">
        <f>IF($A2448="","",IF(Paramètres!H18="","",Paramètres!H18))</f>
        <v/>
      </c>
      <c r="D2448" s="18">
        <f>IF($A2448="","",IF(Paramètres!I18="","",Paramètres!I18))</f>
        <v/>
      </c>
      <c r="E2448" s="19">
        <f>IF($A2448="","",IF(Paramètres!J18&amp;Paramètres!L18&amp;Paramètres!N18="",Dossiers!$D$49,MAX(IF(Paramètres!J18="",0,IF(Paramètres!K18="",NA(),IF(LEFT(TRIM(Paramètres!K18),1)="F",INDEX($F$2435:$F$2487,MATCH(Paramètres!J18,Paramètres!$G$5:$G$57,0)),INDEX($E$2435:$E$2487,MATCH(Paramètres!J18,Paramètres!$G$5:$G$57,0)))+IF(RIGHT(TRIM(Paramètres!K18),3)="Fin",1-$H2448,IF(LEFT(TRIM(Paramètres!K18),1)="F",1,0)))),IF(Paramètres!L18="",0,IF(Paramètres!M18="",NA(),IF(LEFT(TRIM(Paramètres!M18),1)="F",INDEX($F$2435:$F$2487,MATCH(Paramètres!L18,Paramètres!$G$5:$G$57,0)),INDEX($E$2435:$E$2487,MATCH(Paramètres!L18,Paramètres!$G$5:$G$57,0)))+IF(RIGHT(TRIM(Paramètres!M18),3)="Fin",1-$H2448,IF(LEFT(TRIM(Paramètres!M18),1)="F",1,0)))),IF(Paramètres!N18="",0,IF(Paramètres!O18="",NA(),IF(LEFT(TRIM(Paramètres!O18),1)="F",INDEX($F$2435:$F$2487,MATCH(Paramètres!N18,Paramètres!$G$5:$G$57,0)),INDEX($E$2435:$E$2487,MATCH(Paramètres!N18,Paramètres!$G$5:$G$57,0)))+IF(RIGHT(TRIM(Paramètres!O18),3)="Fin",1-$H2448,IF(LEFT(TRIM(Paramètres!O18),1)="F",1,0)))))))</f>
        <v/>
      </c>
      <c r="F2448" s="19">
        <f>IF($A2448="","",E2448+$H2448-1)</f>
        <v/>
      </c>
      <c r="G2448" s="18" t="n"/>
      <c r="H2448" s="18">
        <f>IF($A2448="","",IF(I2448&lt;&gt;"",I2448,Paramètres!B18))</f>
        <v/>
      </c>
      <c r="I2448" s="18" t="n"/>
    </row>
    <row r="2449">
      <c r="A2449" s="18">
        <f>IF(ISNUMBER(Dossiers!$D$49),Dossiers!$A$49&amp;" · "&amp;Dossiers!$B$49,"")</f>
        <v/>
      </c>
      <c r="B2449" s="18">
        <f>IF($A2449="","",Paramètres!G19)</f>
        <v/>
      </c>
      <c r="C2449" s="18">
        <f>IF($A2449="","",IF(Paramètres!H19="","",Paramètres!H19))</f>
        <v/>
      </c>
      <c r="D2449" s="18">
        <f>IF($A2449="","",IF(Paramètres!I19="","",Paramètres!I19))</f>
        <v/>
      </c>
      <c r="E2449" s="19">
        <f>IF($A2449="","",IF(Paramètres!J19&amp;Paramètres!L19&amp;Paramètres!N19="",Dossiers!$D$49,MAX(IF(Paramètres!J19="",0,IF(Paramètres!K19="",NA(),IF(LEFT(TRIM(Paramètres!K19),1)="F",INDEX($F$2435:$F$2487,MATCH(Paramètres!J19,Paramètres!$G$5:$G$57,0)),INDEX($E$2435:$E$2487,MATCH(Paramètres!J19,Paramètres!$G$5:$G$57,0)))+IF(RIGHT(TRIM(Paramètres!K19),3)="Fin",1-$H2449,IF(LEFT(TRIM(Paramètres!K19),1)="F",1,0)))),IF(Paramètres!L19="",0,IF(Paramètres!M19="",NA(),IF(LEFT(TRIM(Paramètres!M19),1)="F",INDEX($F$2435:$F$2487,MATCH(Paramètres!L19,Paramètres!$G$5:$G$57,0)),INDEX($E$2435:$E$2487,MATCH(Paramètres!L19,Paramètres!$G$5:$G$57,0)))+IF(RIGHT(TRIM(Paramètres!M19),3)="Fin",1-$H2449,IF(LEFT(TRIM(Paramètres!M19),1)="F",1,0)))),IF(Paramètres!N19="",0,IF(Paramètres!O19="",NA(),IF(LEFT(TRIM(Paramètres!O19),1)="F",INDEX($F$2435:$F$2487,MATCH(Paramètres!N19,Paramètres!$G$5:$G$57,0)),INDEX($E$2435:$E$2487,MATCH(Paramètres!N19,Paramètres!$G$5:$G$57,0)))+IF(RIGHT(TRIM(Paramètres!O19),3)="Fin",1-$H2449,IF(LEFT(TRIM(Paramètres!O19),1)="F",1,0)))))))</f>
        <v/>
      </c>
      <c r="F2449" s="19">
        <f>IF($A2449="","",E2449+$H2449-1)</f>
        <v/>
      </c>
      <c r="G2449" s="18" t="n"/>
      <c r="H2449" s="18">
        <f>IF($A2449="","",IF(I2449&lt;&gt;"",I2449,Paramètres!B19))</f>
        <v/>
      </c>
      <c r="I2449" s="18" t="n"/>
    </row>
    <row r="2450">
      <c r="A2450" s="18">
        <f>IF(ISNUMBER(Dossiers!$D$49),Dossiers!$A$49&amp;" · "&amp;Dossiers!$B$49,"")</f>
        <v/>
      </c>
      <c r="B2450" s="18">
        <f>IF($A2450="","",Paramètres!G20)</f>
        <v/>
      </c>
      <c r="C2450" s="18">
        <f>IF($A2450="","",IF(Paramètres!H20="","",Paramètres!H20))</f>
        <v/>
      </c>
      <c r="D2450" s="18">
        <f>IF($A2450="","",IF(Paramètres!I20="","",Paramètres!I20))</f>
        <v/>
      </c>
      <c r="E2450" s="19">
        <f>IF($A2450="","",IF(Paramètres!J20&amp;Paramètres!L20&amp;Paramètres!N20="",Dossiers!$D$49,MAX(IF(Paramètres!J20="",0,IF(Paramètres!K20="",NA(),IF(LEFT(TRIM(Paramètres!K20),1)="F",INDEX($F$2435:$F$2487,MATCH(Paramètres!J20,Paramètres!$G$5:$G$57,0)),INDEX($E$2435:$E$2487,MATCH(Paramètres!J20,Paramètres!$G$5:$G$57,0)))+IF(RIGHT(TRIM(Paramètres!K20),3)="Fin",1-$H2450,IF(LEFT(TRIM(Paramètres!K20),1)="F",1,0)))),IF(Paramètres!L20="",0,IF(Paramètres!M20="",NA(),IF(LEFT(TRIM(Paramètres!M20),1)="F",INDEX($F$2435:$F$2487,MATCH(Paramètres!L20,Paramètres!$G$5:$G$57,0)),INDEX($E$2435:$E$2487,MATCH(Paramètres!L20,Paramètres!$G$5:$G$57,0)))+IF(RIGHT(TRIM(Paramètres!M20),3)="Fin",1-$H2450,IF(LEFT(TRIM(Paramètres!M20),1)="F",1,0)))),IF(Paramètres!N20="",0,IF(Paramètres!O20="",NA(),IF(LEFT(TRIM(Paramètres!O20),1)="F",INDEX($F$2435:$F$2487,MATCH(Paramètres!N20,Paramètres!$G$5:$G$57,0)),INDEX($E$2435:$E$2487,MATCH(Paramètres!N20,Paramètres!$G$5:$G$57,0)))+IF(RIGHT(TRIM(Paramètres!O20),3)="Fin",1-$H2450,IF(LEFT(TRIM(Paramètres!O20),1)="F",1,0)))))))</f>
        <v/>
      </c>
      <c r="F2450" s="19">
        <f>IF($A2450="","",E2450+$H2450-1)</f>
        <v/>
      </c>
      <c r="G2450" s="18" t="n"/>
      <c r="H2450" s="18">
        <f>IF($A2450="","",IF(I2450&lt;&gt;"",I2450,Paramètres!B20))</f>
        <v/>
      </c>
      <c r="I2450" s="18" t="n"/>
    </row>
    <row r="2451">
      <c r="A2451" s="18">
        <f>IF(ISNUMBER(Dossiers!$D$49),Dossiers!$A$49&amp;" · "&amp;Dossiers!$B$49,"")</f>
        <v/>
      </c>
      <c r="B2451" s="18">
        <f>IF($A2451="","",Paramètres!G21)</f>
        <v/>
      </c>
      <c r="C2451" s="18">
        <f>IF($A2451="","",IF(Paramètres!H21="","",Paramètres!H21))</f>
        <v/>
      </c>
      <c r="D2451" s="18">
        <f>IF($A2451="","",IF(Paramètres!I21="","",Paramètres!I21))</f>
        <v/>
      </c>
      <c r="E2451" s="19">
        <f>IF($A2451="","",IF(Paramètres!J21&amp;Paramètres!L21&amp;Paramètres!N21="",Dossiers!$D$49,MAX(IF(Paramètres!J21="",0,IF(Paramètres!K21="",NA(),IF(LEFT(TRIM(Paramètres!K21),1)="F",INDEX($F$2435:$F$2487,MATCH(Paramètres!J21,Paramètres!$G$5:$G$57,0)),INDEX($E$2435:$E$2487,MATCH(Paramètres!J21,Paramètres!$G$5:$G$57,0)))+IF(RIGHT(TRIM(Paramètres!K21),3)="Fin",1-$H2451,IF(LEFT(TRIM(Paramètres!K21),1)="F",1,0)))),IF(Paramètres!L21="",0,IF(Paramètres!M21="",NA(),IF(LEFT(TRIM(Paramètres!M21),1)="F",INDEX($F$2435:$F$2487,MATCH(Paramètres!L21,Paramètres!$G$5:$G$57,0)),INDEX($E$2435:$E$2487,MATCH(Paramètres!L21,Paramètres!$G$5:$G$57,0)))+IF(RIGHT(TRIM(Paramètres!M21),3)="Fin",1-$H2451,IF(LEFT(TRIM(Paramètres!M21),1)="F",1,0)))),IF(Paramètres!N21="",0,IF(Paramètres!O21="",NA(),IF(LEFT(TRIM(Paramètres!O21),1)="F",INDEX($F$2435:$F$2487,MATCH(Paramètres!N21,Paramètres!$G$5:$G$57,0)),INDEX($E$2435:$E$2487,MATCH(Paramètres!N21,Paramètres!$G$5:$G$57,0)))+IF(RIGHT(TRIM(Paramètres!O21),3)="Fin",1-$H2451,IF(LEFT(TRIM(Paramètres!O21),1)="F",1,0)))))))</f>
        <v/>
      </c>
      <c r="F2451" s="19">
        <f>IF($A2451="","",E2451+$H2451-1)</f>
        <v/>
      </c>
      <c r="G2451" s="18" t="n"/>
      <c r="H2451" s="18">
        <f>IF($A2451="","",IF(I2451&lt;&gt;"",I2451,Paramètres!B21))</f>
        <v/>
      </c>
      <c r="I2451" s="18" t="n"/>
    </row>
    <row r="2452">
      <c r="A2452" s="18">
        <f>IF(ISNUMBER(Dossiers!$D$49),Dossiers!$A$49&amp;" · "&amp;Dossiers!$B$49,"")</f>
        <v/>
      </c>
      <c r="B2452" s="18">
        <f>IF($A2452="","",Paramètres!G22)</f>
        <v/>
      </c>
      <c r="C2452" s="18">
        <f>IF($A2452="","",IF(Paramètres!H22="","",Paramètres!H22))</f>
        <v/>
      </c>
      <c r="D2452" s="18">
        <f>IF($A2452="","",IF(Paramètres!I22="","",Paramètres!I22))</f>
        <v/>
      </c>
      <c r="E2452" s="19">
        <f>IF($A2452="","",IF(Paramètres!J22&amp;Paramètres!L22&amp;Paramètres!N22="",Dossiers!$D$49,MAX(IF(Paramètres!J22="",0,IF(Paramètres!K22="",NA(),IF(LEFT(TRIM(Paramètres!K22),1)="F",INDEX($F$2435:$F$2487,MATCH(Paramètres!J22,Paramètres!$G$5:$G$57,0)),INDEX($E$2435:$E$2487,MATCH(Paramètres!J22,Paramètres!$G$5:$G$57,0)))+IF(RIGHT(TRIM(Paramètres!K22),3)="Fin",1-$H2452,IF(LEFT(TRIM(Paramètres!K22),1)="F",1,0)))),IF(Paramètres!L22="",0,IF(Paramètres!M22="",NA(),IF(LEFT(TRIM(Paramètres!M22),1)="F",INDEX($F$2435:$F$2487,MATCH(Paramètres!L22,Paramètres!$G$5:$G$57,0)),INDEX($E$2435:$E$2487,MATCH(Paramètres!L22,Paramètres!$G$5:$G$57,0)))+IF(RIGHT(TRIM(Paramètres!M22),3)="Fin",1-$H2452,IF(LEFT(TRIM(Paramètres!M22),1)="F",1,0)))),IF(Paramètres!N22="",0,IF(Paramètres!O22="",NA(),IF(LEFT(TRIM(Paramètres!O22),1)="F",INDEX($F$2435:$F$2487,MATCH(Paramètres!N22,Paramètres!$G$5:$G$57,0)),INDEX($E$2435:$E$2487,MATCH(Paramètres!N22,Paramètres!$G$5:$G$57,0)))+IF(RIGHT(TRIM(Paramètres!O22),3)="Fin",1-$H2452,IF(LEFT(TRIM(Paramètres!O22),1)="F",1,0)))))))</f>
        <v/>
      </c>
      <c r="F2452" s="19">
        <f>IF($A2452="","",E2452+$H2452-1)</f>
        <v/>
      </c>
      <c r="G2452" s="18" t="n"/>
      <c r="H2452" s="18">
        <f>IF($A2452="","",IF(I2452&lt;&gt;"",I2452,Paramètres!B22))</f>
        <v/>
      </c>
      <c r="I2452" s="18" t="n"/>
    </row>
    <row r="2453">
      <c r="A2453" s="18">
        <f>IF(ISNUMBER(Dossiers!$D$49),Dossiers!$A$49&amp;" · "&amp;Dossiers!$B$49,"")</f>
        <v/>
      </c>
      <c r="B2453" s="18">
        <f>IF($A2453="","",Paramètres!G23)</f>
        <v/>
      </c>
      <c r="C2453" s="18">
        <f>IF($A2453="","",IF(Paramètres!H23="","",Paramètres!H23))</f>
        <v/>
      </c>
      <c r="D2453" s="18">
        <f>IF($A2453="","",IF(Paramètres!I23="","",Paramètres!I23))</f>
        <v/>
      </c>
      <c r="E2453" s="19">
        <f>IF($A2453="","",IF(Paramètres!J23&amp;Paramètres!L23&amp;Paramètres!N23="",Dossiers!$D$49,MAX(IF(Paramètres!J23="",0,IF(Paramètres!K23="",NA(),IF(LEFT(TRIM(Paramètres!K23),1)="F",INDEX($F$2435:$F$2487,MATCH(Paramètres!J23,Paramètres!$G$5:$G$57,0)),INDEX($E$2435:$E$2487,MATCH(Paramètres!J23,Paramètres!$G$5:$G$57,0)))+IF(RIGHT(TRIM(Paramètres!K23),3)="Fin",1-$H2453,IF(LEFT(TRIM(Paramètres!K23),1)="F",1,0)))),IF(Paramètres!L23="",0,IF(Paramètres!M23="",NA(),IF(LEFT(TRIM(Paramètres!M23),1)="F",INDEX($F$2435:$F$2487,MATCH(Paramètres!L23,Paramètres!$G$5:$G$57,0)),INDEX($E$2435:$E$2487,MATCH(Paramètres!L23,Paramètres!$G$5:$G$57,0)))+IF(RIGHT(TRIM(Paramètres!M23),3)="Fin",1-$H2453,IF(LEFT(TRIM(Paramètres!M23),1)="F",1,0)))),IF(Paramètres!N23="",0,IF(Paramètres!O23="",NA(),IF(LEFT(TRIM(Paramètres!O23),1)="F",INDEX($F$2435:$F$2487,MATCH(Paramètres!N23,Paramètres!$G$5:$G$57,0)),INDEX($E$2435:$E$2487,MATCH(Paramètres!N23,Paramètres!$G$5:$G$57,0)))+IF(RIGHT(TRIM(Paramètres!O23),3)="Fin",1-$H2453,IF(LEFT(TRIM(Paramètres!O23),1)="F",1,0)))))))</f>
        <v/>
      </c>
      <c r="F2453" s="19">
        <f>IF($A2453="","",E2453+$H2453-1)</f>
        <v/>
      </c>
      <c r="G2453" s="18" t="n"/>
      <c r="H2453" s="18">
        <f>IF($A2453="","",IF(I2453&lt;&gt;"",I2453,Paramètres!B23))</f>
        <v/>
      </c>
      <c r="I2453" s="18" t="n"/>
    </row>
    <row r="2454">
      <c r="A2454" s="18">
        <f>IF(ISNUMBER(Dossiers!$D$49),Dossiers!$A$49&amp;" · "&amp;Dossiers!$B$49,"")</f>
        <v/>
      </c>
      <c r="B2454" s="18">
        <f>IF($A2454="","",Paramètres!G24)</f>
        <v/>
      </c>
      <c r="C2454" s="18">
        <f>IF($A2454="","",IF(Paramètres!H24="","",Paramètres!H24))</f>
        <v/>
      </c>
      <c r="D2454" s="18">
        <f>IF($A2454="","",IF(Paramètres!I24="","",Paramètres!I24))</f>
        <v/>
      </c>
      <c r="E2454" s="19">
        <f>IF($A2454="","",IF(Paramètres!J24&amp;Paramètres!L24&amp;Paramètres!N24="",Dossiers!$D$49,MAX(IF(Paramètres!J24="",0,IF(Paramètres!K24="",NA(),IF(LEFT(TRIM(Paramètres!K24),1)="F",INDEX($F$2435:$F$2487,MATCH(Paramètres!J24,Paramètres!$G$5:$G$57,0)),INDEX($E$2435:$E$2487,MATCH(Paramètres!J24,Paramètres!$G$5:$G$57,0)))+IF(RIGHT(TRIM(Paramètres!K24),3)="Fin",1-$H2454,IF(LEFT(TRIM(Paramètres!K24),1)="F",1,0)))),IF(Paramètres!L24="",0,IF(Paramètres!M24="",NA(),IF(LEFT(TRIM(Paramètres!M24),1)="F",INDEX($F$2435:$F$2487,MATCH(Paramètres!L24,Paramètres!$G$5:$G$57,0)),INDEX($E$2435:$E$2487,MATCH(Paramètres!L24,Paramètres!$G$5:$G$57,0)))+IF(RIGHT(TRIM(Paramètres!M24),3)="Fin",1-$H2454,IF(LEFT(TRIM(Paramètres!M24),1)="F",1,0)))),IF(Paramètres!N24="",0,IF(Paramètres!O24="",NA(),IF(LEFT(TRIM(Paramètres!O24),1)="F",INDEX($F$2435:$F$2487,MATCH(Paramètres!N24,Paramètres!$G$5:$G$57,0)),INDEX($E$2435:$E$2487,MATCH(Paramètres!N24,Paramètres!$G$5:$G$57,0)))+IF(RIGHT(TRIM(Paramètres!O24),3)="Fin",1-$H2454,IF(LEFT(TRIM(Paramètres!O24),1)="F",1,0)))))))</f>
        <v/>
      </c>
      <c r="F2454" s="19">
        <f>IF($A2454="","",E2454+$H2454-1)</f>
        <v/>
      </c>
      <c r="G2454" s="18" t="n"/>
      <c r="H2454" s="18">
        <f>IF($A2454="","",IF(I2454&lt;&gt;"",I2454,Paramètres!B24))</f>
        <v/>
      </c>
      <c r="I2454" s="18" t="n"/>
    </row>
    <row r="2455">
      <c r="A2455" s="18">
        <f>IF(ISNUMBER(Dossiers!$D$49),Dossiers!$A$49&amp;" · "&amp;Dossiers!$B$49,"")</f>
        <v/>
      </c>
      <c r="B2455" s="18">
        <f>IF($A2455="","",Paramètres!G25)</f>
        <v/>
      </c>
      <c r="C2455" s="18">
        <f>IF($A2455="","",IF(Paramètres!H25="","",Paramètres!H25))</f>
        <v/>
      </c>
      <c r="D2455" s="18">
        <f>IF($A2455="","",IF(Paramètres!I25="","",Paramètres!I25))</f>
        <v/>
      </c>
      <c r="E2455" s="19">
        <f>IF($A2455="","",IF(Paramètres!J25&amp;Paramètres!L25&amp;Paramètres!N25="",Dossiers!$D$49,MAX(IF(Paramètres!J25="",0,IF(Paramètres!K25="",NA(),IF(LEFT(TRIM(Paramètres!K25),1)="F",INDEX($F$2435:$F$2487,MATCH(Paramètres!J25,Paramètres!$G$5:$G$57,0)),INDEX($E$2435:$E$2487,MATCH(Paramètres!J25,Paramètres!$G$5:$G$57,0)))+IF(RIGHT(TRIM(Paramètres!K25),3)="Fin",1-$H2455,IF(LEFT(TRIM(Paramètres!K25),1)="F",1,0)))),IF(Paramètres!L25="",0,IF(Paramètres!M25="",NA(),IF(LEFT(TRIM(Paramètres!M25),1)="F",INDEX($F$2435:$F$2487,MATCH(Paramètres!L25,Paramètres!$G$5:$G$57,0)),INDEX($E$2435:$E$2487,MATCH(Paramètres!L25,Paramètres!$G$5:$G$57,0)))+IF(RIGHT(TRIM(Paramètres!M25),3)="Fin",1-$H2455,IF(LEFT(TRIM(Paramètres!M25),1)="F",1,0)))),IF(Paramètres!N25="",0,IF(Paramètres!O25="",NA(),IF(LEFT(TRIM(Paramètres!O25),1)="F",INDEX($F$2435:$F$2487,MATCH(Paramètres!N25,Paramètres!$G$5:$G$57,0)),INDEX($E$2435:$E$2487,MATCH(Paramètres!N25,Paramètres!$G$5:$G$57,0)))+IF(RIGHT(TRIM(Paramètres!O25),3)="Fin",1-$H2455,IF(LEFT(TRIM(Paramètres!O25),1)="F",1,0)))))))</f>
        <v/>
      </c>
      <c r="F2455" s="19">
        <f>IF($A2455="","",E2455+$H2455-1)</f>
        <v/>
      </c>
      <c r="G2455" s="18" t="n"/>
      <c r="H2455" s="18">
        <f>IF($A2455="","",IF(I2455&lt;&gt;"",I2455,Paramètres!B25))</f>
        <v/>
      </c>
      <c r="I2455" s="18" t="n"/>
    </row>
    <row r="2456">
      <c r="A2456" s="18">
        <f>IF(ISNUMBER(Dossiers!$D$49),Dossiers!$A$49&amp;" · "&amp;Dossiers!$B$49,"")</f>
        <v/>
      </c>
      <c r="B2456" s="18">
        <f>IF($A2456="","",Paramètres!G26)</f>
        <v/>
      </c>
      <c r="C2456" s="18">
        <f>IF($A2456="","",IF(Paramètres!H26="","",Paramètres!H26))</f>
        <v/>
      </c>
      <c r="D2456" s="18">
        <f>IF($A2456="","",IF(Paramètres!I26="","",Paramètres!I26))</f>
        <v/>
      </c>
      <c r="E2456" s="19">
        <f>IF($A2456="","",IF(Paramètres!J26&amp;Paramètres!L26&amp;Paramètres!N26="",Dossiers!$D$49,MAX(IF(Paramètres!J26="",0,IF(Paramètres!K26="",NA(),IF(LEFT(TRIM(Paramètres!K26),1)="F",INDEX($F$2435:$F$2487,MATCH(Paramètres!J26,Paramètres!$G$5:$G$57,0)),INDEX($E$2435:$E$2487,MATCH(Paramètres!J26,Paramètres!$G$5:$G$57,0)))+IF(RIGHT(TRIM(Paramètres!K26),3)="Fin",1-$H2456,IF(LEFT(TRIM(Paramètres!K26),1)="F",1,0)))),IF(Paramètres!L26="",0,IF(Paramètres!M26="",NA(),IF(LEFT(TRIM(Paramètres!M26),1)="F",INDEX($F$2435:$F$2487,MATCH(Paramètres!L26,Paramètres!$G$5:$G$57,0)),INDEX($E$2435:$E$2487,MATCH(Paramètres!L26,Paramètres!$G$5:$G$57,0)))+IF(RIGHT(TRIM(Paramètres!M26),3)="Fin",1-$H2456,IF(LEFT(TRIM(Paramètres!M26),1)="F",1,0)))),IF(Paramètres!N26="",0,IF(Paramètres!O26="",NA(),IF(LEFT(TRIM(Paramètres!O26),1)="F",INDEX($F$2435:$F$2487,MATCH(Paramètres!N26,Paramètres!$G$5:$G$57,0)),INDEX($E$2435:$E$2487,MATCH(Paramètres!N26,Paramètres!$G$5:$G$57,0)))+IF(RIGHT(TRIM(Paramètres!O26),3)="Fin",1-$H2456,IF(LEFT(TRIM(Paramètres!O26),1)="F",1,0)))))))</f>
        <v/>
      </c>
      <c r="F2456" s="19">
        <f>IF($A2456="","",E2456+$H2456-1)</f>
        <v/>
      </c>
      <c r="G2456" s="18" t="n"/>
      <c r="H2456" s="18">
        <f>IF($A2456="","",IF(I2456&lt;&gt;"",I2456,Paramètres!B26))</f>
        <v/>
      </c>
      <c r="I2456" s="18" t="n"/>
    </row>
    <row r="2457">
      <c r="A2457" s="18">
        <f>IF(ISNUMBER(Dossiers!$D$49),Dossiers!$A$49&amp;" · "&amp;Dossiers!$B$49,"")</f>
        <v/>
      </c>
      <c r="B2457" s="18">
        <f>IF($A2457="","",Paramètres!G27)</f>
        <v/>
      </c>
      <c r="C2457" s="18">
        <f>IF($A2457="","",IF(Paramètres!H27="","",Paramètres!H27))</f>
        <v/>
      </c>
      <c r="D2457" s="18">
        <f>IF($A2457="","",IF(Paramètres!I27="","",Paramètres!I27))</f>
        <v/>
      </c>
      <c r="E2457" s="19">
        <f>IF($A2457="","",IF(Paramètres!J27&amp;Paramètres!L27&amp;Paramètres!N27="",Dossiers!$D$49,MAX(IF(Paramètres!J27="",0,IF(Paramètres!K27="",NA(),IF(LEFT(TRIM(Paramètres!K27),1)="F",INDEX($F$2435:$F$2487,MATCH(Paramètres!J27,Paramètres!$G$5:$G$57,0)),INDEX($E$2435:$E$2487,MATCH(Paramètres!J27,Paramètres!$G$5:$G$57,0)))+IF(RIGHT(TRIM(Paramètres!K27),3)="Fin",1-$H2457,IF(LEFT(TRIM(Paramètres!K27),1)="F",1,0)))),IF(Paramètres!L27="",0,IF(Paramètres!M27="",NA(),IF(LEFT(TRIM(Paramètres!M27),1)="F",INDEX($F$2435:$F$2487,MATCH(Paramètres!L27,Paramètres!$G$5:$G$57,0)),INDEX($E$2435:$E$2487,MATCH(Paramètres!L27,Paramètres!$G$5:$G$57,0)))+IF(RIGHT(TRIM(Paramètres!M27),3)="Fin",1-$H2457,IF(LEFT(TRIM(Paramètres!M27),1)="F",1,0)))),IF(Paramètres!N27="",0,IF(Paramètres!O27="",NA(),IF(LEFT(TRIM(Paramètres!O27),1)="F",INDEX($F$2435:$F$2487,MATCH(Paramètres!N27,Paramètres!$G$5:$G$57,0)),INDEX($E$2435:$E$2487,MATCH(Paramètres!N27,Paramètres!$G$5:$G$57,0)))+IF(RIGHT(TRIM(Paramètres!O27),3)="Fin",1-$H2457,IF(LEFT(TRIM(Paramètres!O27),1)="F",1,0)))))))</f>
        <v/>
      </c>
      <c r="F2457" s="19">
        <f>IF($A2457="","",E2457+$H2457-1)</f>
        <v/>
      </c>
      <c r="G2457" s="18" t="n"/>
      <c r="H2457" s="18">
        <f>IF($A2457="","",IF(I2457&lt;&gt;"",I2457,Paramètres!B27))</f>
        <v/>
      </c>
      <c r="I2457" s="18" t="n"/>
    </row>
    <row r="2458">
      <c r="A2458" s="18">
        <f>IF(ISNUMBER(Dossiers!$D$49),Dossiers!$A$49&amp;" · "&amp;Dossiers!$B$49,"")</f>
        <v/>
      </c>
      <c r="B2458" s="18">
        <f>IF($A2458="","",Paramètres!G28)</f>
        <v/>
      </c>
      <c r="C2458" s="18">
        <f>IF($A2458="","",IF(Paramètres!H28="","",Paramètres!H28))</f>
        <v/>
      </c>
      <c r="D2458" s="18">
        <f>IF($A2458="","",IF(Paramètres!I28="","",Paramètres!I28))</f>
        <v/>
      </c>
      <c r="E2458" s="19">
        <f>IF($A2458="","",IF(Paramètres!J28&amp;Paramètres!L28&amp;Paramètres!N28="",Dossiers!$D$49,MAX(IF(Paramètres!J28="",0,IF(Paramètres!K28="",NA(),IF(LEFT(TRIM(Paramètres!K28),1)="F",INDEX($F$2435:$F$2487,MATCH(Paramètres!J28,Paramètres!$G$5:$G$57,0)),INDEX($E$2435:$E$2487,MATCH(Paramètres!J28,Paramètres!$G$5:$G$57,0)))+IF(RIGHT(TRIM(Paramètres!K28),3)="Fin",1-$H2458,IF(LEFT(TRIM(Paramètres!K28),1)="F",1,0)))),IF(Paramètres!L28="",0,IF(Paramètres!M28="",NA(),IF(LEFT(TRIM(Paramètres!M28),1)="F",INDEX($F$2435:$F$2487,MATCH(Paramètres!L28,Paramètres!$G$5:$G$57,0)),INDEX($E$2435:$E$2487,MATCH(Paramètres!L28,Paramètres!$G$5:$G$57,0)))+IF(RIGHT(TRIM(Paramètres!M28),3)="Fin",1-$H2458,IF(LEFT(TRIM(Paramètres!M28),1)="F",1,0)))),IF(Paramètres!N28="",0,IF(Paramètres!O28="",NA(),IF(LEFT(TRIM(Paramètres!O28),1)="F",INDEX($F$2435:$F$2487,MATCH(Paramètres!N28,Paramètres!$G$5:$G$57,0)),INDEX($E$2435:$E$2487,MATCH(Paramètres!N28,Paramètres!$G$5:$G$57,0)))+IF(RIGHT(TRIM(Paramètres!O28),3)="Fin",1-$H2458,IF(LEFT(TRIM(Paramètres!O28),1)="F",1,0)))))))</f>
        <v/>
      </c>
      <c r="F2458" s="19">
        <f>IF($A2458="","",E2458+$H2458-1)</f>
        <v/>
      </c>
      <c r="G2458" s="18" t="n"/>
      <c r="H2458" s="18">
        <f>IF($A2458="","",IF(I2458&lt;&gt;"",I2458,Paramètres!B28))</f>
        <v/>
      </c>
      <c r="I2458" s="18" t="n"/>
    </row>
    <row r="2459">
      <c r="A2459" s="18">
        <f>IF(ISNUMBER(Dossiers!$D$49),Dossiers!$A$49&amp;" · "&amp;Dossiers!$B$49,"")</f>
        <v/>
      </c>
      <c r="B2459" s="18">
        <f>IF($A2459="","",Paramètres!G29)</f>
        <v/>
      </c>
      <c r="C2459" s="18">
        <f>IF($A2459="","",IF(Paramètres!H29="","",Paramètres!H29))</f>
        <v/>
      </c>
      <c r="D2459" s="18">
        <f>IF($A2459="","",IF(Paramètres!I29="","",Paramètres!I29))</f>
        <v/>
      </c>
      <c r="E2459" s="19">
        <f>IF($A2459="","",IF(Paramètres!J29&amp;Paramètres!L29&amp;Paramètres!N29="",Dossiers!$D$49,MAX(IF(Paramètres!J29="",0,IF(Paramètres!K29="",NA(),IF(LEFT(TRIM(Paramètres!K29),1)="F",INDEX($F$2435:$F$2487,MATCH(Paramètres!J29,Paramètres!$G$5:$G$57,0)),INDEX($E$2435:$E$2487,MATCH(Paramètres!J29,Paramètres!$G$5:$G$57,0)))+IF(RIGHT(TRIM(Paramètres!K29),3)="Fin",1-$H2459,IF(LEFT(TRIM(Paramètres!K29),1)="F",1,0)))),IF(Paramètres!L29="",0,IF(Paramètres!M29="",NA(),IF(LEFT(TRIM(Paramètres!M29),1)="F",INDEX($F$2435:$F$2487,MATCH(Paramètres!L29,Paramètres!$G$5:$G$57,0)),INDEX($E$2435:$E$2487,MATCH(Paramètres!L29,Paramètres!$G$5:$G$57,0)))+IF(RIGHT(TRIM(Paramètres!M29),3)="Fin",1-$H2459,IF(LEFT(TRIM(Paramètres!M29),1)="F",1,0)))),IF(Paramètres!N29="",0,IF(Paramètres!O29="",NA(),IF(LEFT(TRIM(Paramètres!O29),1)="F",INDEX($F$2435:$F$2487,MATCH(Paramètres!N29,Paramètres!$G$5:$G$57,0)),INDEX($E$2435:$E$2487,MATCH(Paramètres!N29,Paramètres!$G$5:$G$57,0)))+IF(RIGHT(TRIM(Paramètres!O29),3)="Fin",1-$H2459,IF(LEFT(TRIM(Paramètres!O29),1)="F",1,0)))))))</f>
        <v/>
      </c>
      <c r="F2459" s="19">
        <f>IF($A2459="","",E2459+$H2459-1)</f>
        <v/>
      </c>
      <c r="G2459" s="18" t="n"/>
      <c r="H2459" s="18">
        <f>IF($A2459="","",IF(I2459&lt;&gt;"",I2459,Paramètres!B29))</f>
        <v/>
      </c>
      <c r="I2459" s="18" t="n"/>
    </row>
    <row r="2460">
      <c r="A2460" s="18">
        <f>IF(ISNUMBER(Dossiers!$D$49),Dossiers!$A$49&amp;" · "&amp;Dossiers!$B$49,"")</f>
        <v/>
      </c>
      <c r="B2460" s="18">
        <f>IF($A2460="","",Paramètres!G30)</f>
        <v/>
      </c>
      <c r="C2460" s="18">
        <f>IF($A2460="","",IF(Paramètres!H30="","",Paramètres!H30))</f>
        <v/>
      </c>
      <c r="D2460" s="18">
        <f>IF($A2460="","",IF(Paramètres!I30="","",Paramètres!I30))</f>
        <v/>
      </c>
      <c r="E2460" s="19">
        <f>IF($A2460="","",IF(Paramètres!J30&amp;Paramètres!L30&amp;Paramètres!N30="",Dossiers!$D$49,MAX(IF(Paramètres!J30="",0,IF(Paramètres!K30="",NA(),IF(LEFT(TRIM(Paramètres!K30),1)="F",INDEX($F$2435:$F$2487,MATCH(Paramètres!J30,Paramètres!$G$5:$G$57,0)),INDEX($E$2435:$E$2487,MATCH(Paramètres!J30,Paramètres!$G$5:$G$57,0)))+IF(RIGHT(TRIM(Paramètres!K30),3)="Fin",1-$H2460,IF(LEFT(TRIM(Paramètres!K30),1)="F",1,0)))),IF(Paramètres!L30="",0,IF(Paramètres!M30="",NA(),IF(LEFT(TRIM(Paramètres!M30),1)="F",INDEX($F$2435:$F$2487,MATCH(Paramètres!L30,Paramètres!$G$5:$G$57,0)),INDEX($E$2435:$E$2487,MATCH(Paramètres!L30,Paramètres!$G$5:$G$57,0)))+IF(RIGHT(TRIM(Paramètres!M30),3)="Fin",1-$H2460,IF(LEFT(TRIM(Paramètres!M30),1)="F",1,0)))),IF(Paramètres!N30="",0,IF(Paramètres!O30="",NA(),IF(LEFT(TRIM(Paramètres!O30),1)="F",INDEX($F$2435:$F$2487,MATCH(Paramètres!N30,Paramètres!$G$5:$G$57,0)),INDEX($E$2435:$E$2487,MATCH(Paramètres!N30,Paramètres!$G$5:$G$57,0)))+IF(RIGHT(TRIM(Paramètres!O30),3)="Fin",1-$H2460,IF(LEFT(TRIM(Paramètres!O30),1)="F",1,0)))))))</f>
        <v/>
      </c>
      <c r="F2460" s="19">
        <f>IF($A2460="","",E2460+$H2460-1)</f>
        <v/>
      </c>
      <c r="G2460" s="18" t="n"/>
      <c r="H2460" s="18">
        <f>IF($A2460="","",IF(I2460&lt;&gt;"",I2460,Paramètres!B30))</f>
        <v/>
      </c>
      <c r="I2460" s="18" t="n"/>
    </row>
    <row r="2461">
      <c r="A2461" s="18">
        <f>IF(ISNUMBER(Dossiers!$D$49),Dossiers!$A$49&amp;" · "&amp;Dossiers!$B$49,"")</f>
        <v/>
      </c>
      <c r="B2461" s="18">
        <f>IF($A2461="","",Paramètres!G31)</f>
        <v/>
      </c>
      <c r="C2461" s="20">
        <f>IF($A2461="","",IF(Dossiers!$F$49="","",Dossiers!$F$49))</f>
        <v/>
      </c>
      <c r="D2461" s="18">
        <f>IF($A2461="","",IF(Paramètres!I31="","",Paramètres!I31))</f>
        <v/>
      </c>
      <c r="E2461" s="19">
        <f>IF($A2461="","",IF(Paramètres!J31&amp;Paramètres!L31&amp;Paramètres!N31="",Dossiers!$D$49,MAX(IF(Paramètres!J31="",0,IF(Paramètres!K31="",NA(),IF(LEFT(TRIM(Paramètres!K31),1)="F",INDEX($F$2435:$F$2487,MATCH(Paramètres!J31,Paramètres!$G$5:$G$57,0)),INDEX($E$2435:$E$2487,MATCH(Paramètres!J31,Paramètres!$G$5:$G$57,0)))+IF(RIGHT(TRIM(Paramètres!K31),3)="Fin",1-$H2461,IF(LEFT(TRIM(Paramètres!K31),1)="F",1,0)))),IF(Paramètres!L31="",0,IF(Paramètres!M31="",NA(),IF(LEFT(TRIM(Paramètres!M31),1)="F",INDEX($F$2435:$F$2487,MATCH(Paramètres!L31,Paramètres!$G$5:$G$57,0)),INDEX($E$2435:$E$2487,MATCH(Paramètres!L31,Paramètres!$G$5:$G$57,0)))+IF(RIGHT(TRIM(Paramètres!M31),3)="Fin",1-$H2461,IF(LEFT(TRIM(Paramètres!M31),1)="F",1,0)))),IF(Paramètres!N31="",0,IF(Paramètres!O31="",NA(),IF(LEFT(TRIM(Paramètres!O31),1)="F",INDEX($F$2435:$F$2487,MATCH(Paramètres!N31,Paramètres!$G$5:$G$57,0)),INDEX($E$2435:$E$2487,MATCH(Paramètres!N31,Paramètres!$G$5:$G$57,0)))+IF(RIGHT(TRIM(Paramètres!O31),3)="Fin",1-$H2461,IF(LEFT(TRIM(Paramètres!O31),1)="F",1,0)))))))</f>
        <v/>
      </c>
      <c r="F2461" s="19">
        <f>IF($A2461="","",E2461+$H2461-1)</f>
        <v/>
      </c>
      <c r="G2461" s="18" t="n"/>
      <c r="H2461" s="18">
        <f>IF($A2461="","",IF(I2461&lt;&gt;"",I2461,Paramètres!B31))</f>
        <v/>
      </c>
      <c r="I2461" s="18" t="n"/>
    </row>
    <row r="2462">
      <c r="A2462" s="18">
        <f>IF(ISNUMBER(Dossiers!$D$49),Dossiers!$A$49&amp;" · "&amp;Dossiers!$B$49,"")</f>
        <v/>
      </c>
      <c r="B2462" s="18">
        <f>IF($A2462="","",Paramètres!G32)</f>
        <v/>
      </c>
      <c r="C2462" s="18">
        <f>IF($A2462="","",IF(Paramètres!H32="","",Paramètres!H32))</f>
        <v/>
      </c>
      <c r="D2462" s="18">
        <f>IF($A2462="","",IF(Paramètres!I32="","",Paramètres!I32))</f>
        <v/>
      </c>
      <c r="E2462" s="19">
        <f>IF($A2462="","",MIN(E2463:E2466))</f>
        <v/>
      </c>
      <c r="F2462" s="19">
        <f>IF($A2462="","",MAX(F2463:F2466))</f>
        <v/>
      </c>
      <c r="G2462" s="18" t="n"/>
      <c r="H2462" s="18">
        <f>IF($A2462="","",F2462-E2462+1)</f>
        <v/>
      </c>
      <c r="I2462" s="18" t="n"/>
    </row>
    <row r="2463">
      <c r="A2463" s="18">
        <f>IF(ISNUMBER(Dossiers!$D$49),Dossiers!$A$49&amp;" · "&amp;Dossiers!$B$49,"")</f>
        <v/>
      </c>
      <c r="B2463" s="18">
        <f>IF($A2463="","",Paramètres!G33)</f>
        <v/>
      </c>
      <c r="C2463" s="18">
        <f>IF($A2463="","",IF(Paramètres!H33="","",Paramètres!H33))</f>
        <v/>
      </c>
      <c r="D2463" s="18">
        <f>IF($A2463="","",IF(Paramètres!I33="","",Paramètres!I33))</f>
        <v/>
      </c>
      <c r="E2463" s="19">
        <f>IF($A2463="","",IF(Paramètres!J33&amp;Paramètres!L33&amp;Paramètres!N33="",Dossiers!$D$49,MAX(IF(Paramètres!J33="",0,IF(Paramètres!K33="",NA(),IF(LEFT(TRIM(Paramètres!K33),1)="F",INDEX($F$2435:$F$2487,MATCH(Paramètres!J33,Paramètres!$G$5:$G$57,0)),INDEX($E$2435:$E$2487,MATCH(Paramètres!J33,Paramètres!$G$5:$G$57,0)))+IF(RIGHT(TRIM(Paramètres!K33),3)="Fin",1-$H2463,IF(LEFT(TRIM(Paramètres!K33),1)="F",1,0)))),IF(Paramètres!L33="",0,IF(Paramètres!M33="",NA(),IF(LEFT(TRIM(Paramètres!M33),1)="F",INDEX($F$2435:$F$2487,MATCH(Paramètres!L33,Paramètres!$G$5:$G$57,0)),INDEX($E$2435:$E$2487,MATCH(Paramètres!L33,Paramètres!$G$5:$G$57,0)))+IF(RIGHT(TRIM(Paramètres!M33),3)="Fin",1-$H2463,IF(LEFT(TRIM(Paramètres!M33),1)="F",1,0)))),IF(Paramètres!N33="",0,IF(Paramètres!O33="",NA(),IF(LEFT(TRIM(Paramètres!O33),1)="F",INDEX($F$2435:$F$2487,MATCH(Paramètres!N33,Paramètres!$G$5:$G$57,0)),INDEX($E$2435:$E$2487,MATCH(Paramètres!N33,Paramètres!$G$5:$G$57,0)))+IF(RIGHT(TRIM(Paramètres!O33),3)="Fin",1-$H2463,IF(LEFT(TRIM(Paramètres!O33),1)="F",1,0)))))))</f>
        <v/>
      </c>
      <c r="F2463" s="19">
        <f>IF($A2463="","",E2463+$H2463-1)</f>
        <v/>
      </c>
      <c r="G2463" s="18" t="n"/>
      <c r="H2463" s="18">
        <f>IF($A2463="","",IF(I2463&lt;&gt;"",I2463,Paramètres!B33))</f>
        <v/>
      </c>
      <c r="I2463" s="18" t="n"/>
    </row>
    <row r="2464">
      <c r="A2464" s="18">
        <f>IF(ISNUMBER(Dossiers!$D$49),Dossiers!$A$49&amp;" · "&amp;Dossiers!$B$49,"")</f>
        <v/>
      </c>
      <c r="B2464" s="18">
        <f>IF($A2464="","",Paramètres!G34)</f>
        <v/>
      </c>
      <c r="C2464" s="18">
        <f>IF($A2464="","",IF(Paramètres!H34="","",Paramètres!H34))</f>
        <v/>
      </c>
      <c r="D2464" s="18">
        <f>IF($A2464="","",IF(Paramètres!I34="","",Paramètres!I34))</f>
        <v/>
      </c>
      <c r="E2464" s="19">
        <f>IF($A2464="","",IF(Paramètres!J34&amp;Paramètres!L34&amp;Paramètres!N34="",Dossiers!$D$49,MAX(IF(Paramètres!J34="",0,IF(Paramètres!K34="",NA(),IF(LEFT(TRIM(Paramètres!K34),1)="F",INDEX($F$2435:$F$2487,MATCH(Paramètres!J34,Paramètres!$G$5:$G$57,0)),INDEX($E$2435:$E$2487,MATCH(Paramètres!J34,Paramètres!$G$5:$G$57,0)))+IF(RIGHT(TRIM(Paramètres!K34),3)="Fin",1-$H2464,IF(LEFT(TRIM(Paramètres!K34),1)="F",1,0)))),IF(Paramètres!L34="",0,IF(Paramètres!M34="",NA(),IF(LEFT(TRIM(Paramètres!M34),1)="F",INDEX($F$2435:$F$2487,MATCH(Paramètres!L34,Paramètres!$G$5:$G$57,0)),INDEX($E$2435:$E$2487,MATCH(Paramètres!L34,Paramètres!$G$5:$G$57,0)))+IF(RIGHT(TRIM(Paramètres!M34),3)="Fin",1-$H2464,IF(LEFT(TRIM(Paramètres!M34),1)="F",1,0)))),IF(Paramètres!N34="",0,IF(Paramètres!O34="",NA(),IF(LEFT(TRIM(Paramètres!O34),1)="F",INDEX($F$2435:$F$2487,MATCH(Paramètres!N34,Paramètres!$G$5:$G$57,0)),INDEX($E$2435:$E$2487,MATCH(Paramètres!N34,Paramètres!$G$5:$G$57,0)))+IF(RIGHT(TRIM(Paramètres!O34),3)="Fin",1-$H2464,IF(LEFT(TRIM(Paramètres!O34),1)="F",1,0)))))))</f>
        <v/>
      </c>
      <c r="F2464" s="19">
        <f>IF($A2464="","",E2464+$H2464-1)</f>
        <v/>
      </c>
      <c r="G2464" s="18" t="n"/>
      <c r="H2464" s="18">
        <f>IF($A2464="","",IF(I2464&lt;&gt;"",I2464,Paramètres!B34))</f>
        <v/>
      </c>
      <c r="I2464" s="18" t="n"/>
    </row>
    <row r="2465">
      <c r="A2465" s="18">
        <f>IF(ISNUMBER(Dossiers!$D$49),Dossiers!$A$49&amp;" · "&amp;Dossiers!$B$49,"")</f>
        <v/>
      </c>
      <c r="B2465" s="18">
        <f>IF($A2465="","",Paramètres!G35)</f>
        <v/>
      </c>
      <c r="C2465" s="18">
        <f>IF($A2465="","",IF(Paramètres!H35="","",Paramètres!H35))</f>
        <v/>
      </c>
      <c r="D2465" s="18">
        <f>IF($A2465="","",IF(Paramètres!I35="","",Paramètres!I35))</f>
        <v/>
      </c>
      <c r="E2465" s="19">
        <f>IF($A2465="","",IF(Paramètres!J35&amp;Paramètres!L35&amp;Paramètres!N35="",Dossiers!$D$49,MAX(IF(Paramètres!J35="",0,IF(Paramètres!K35="",NA(),IF(LEFT(TRIM(Paramètres!K35),1)="F",INDEX($F$2435:$F$2487,MATCH(Paramètres!J35,Paramètres!$G$5:$G$57,0)),INDEX($E$2435:$E$2487,MATCH(Paramètres!J35,Paramètres!$G$5:$G$57,0)))+IF(RIGHT(TRIM(Paramètres!K35),3)="Fin",1-$H2465,IF(LEFT(TRIM(Paramètres!K35),1)="F",1,0)))),IF(Paramètres!L35="",0,IF(Paramètres!M35="",NA(),IF(LEFT(TRIM(Paramètres!M35),1)="F",INDEX($F$2435:$F$2487,MATCH(Paramètres!L35,Paramètres!$G$5:$G$57,0)),INDEX($E$2435:$E$2487,MATCH(Paramètres!L35,Paramètres!$G$5:$G$57,0)))+IF(RIGHT(TRIM(Paramètres!M35),3)="Fin",1-$H2465,IF(LEFT(TRIM(Paramètres!M35),1)="F",1,0)))),IF(Paramètres!N35="",0,IF(Paramètres!O35="",NA(),IF(LEFT(TRIM(Paramètres!O35),1)="F",INDEX($F$2435:$F$2487,MATCH(Paramètres!N35,Paramètres!$G$5:$G$57,0)),INDEX($E$2435:$E$2487,MATCH(Paramètres!N35,Paramètres!$G$5:$G$57,0)))+IF(RIGHT(TRIM(Paramètres!O35),3)="Fin",1-$H2465,IF(LEFT(TRIM(Paramètres!O35),1)="F",1,0)))))))</f>
        <v/>
      </c>
      <c r="F2465" s="19">
        <f>IF($A2465="","",E2465+$H2465-1)</f>
        <v/>
      </c>
      <c r="G2465" s="18" t="n"/>
      <c r="H2465" s="18">
        <f>IF($A2465="","",IF(I2465&lt;&gt;"",I2465,Paramètres!B35))</f>
        <v/>
      </c>
      <c r="I2465" s="18" t="n"/>
    </row>
    <row r="2466">
      <c r="A2466" s="18">
        <f>IF(ISNUMBER(Dossiers!$D$49),Dossiers!$A$49&amp;" · "&amp;Dossiers!$B$49,"")</f>
        <v/>
      </c>
      <c r="B2466" s="18">
        <f>IF($A2466="","",Paramètres!G36)</f>
        <v/>
      </c>
      <c r="C2466" s="18">
        <f>IF($A2466="","",IF(Paramètres!H36="","",Paramètres!H36))</f>
        <v/>
      </c>
      <c r="D2466" s="18">
        <f>IF($A2466="","",IF(Paramètres!I36="","",Paramètres!I36))</f>
        <v/>
      </c>
      <c r="E2466" s="19">
        <f>IF($A2466="","",IF(Paramètres!J36&amp;Paramètres!L36&amp;Paramètres!N36="",Dossiers!$D$49,MAX(IF(Paramètres!J36="",0,IF(Paramètres!K36="",NA(),IF(LEFT(TRIM(Paramètres!K36),1)="F",INDEX($F$2435:$F$2487,MATCH(Paramètres!J36,Paramètres!$G$5:$G$57,0)),INDEX($E$2435:$E$2487,MATCH(Paramètres!J36,Paramètres!$G$5:$G$57,0)))+IF(RIGHT(TRIM(Paramètres!K36),3)="Fin",1-$H2466,IF(LEFT(TRIM(Paramètres!K36),1)="F",1,0)))),IF(Paramètres!L36="",0,IF(Paramètres!M36="",NA(),IF(LEFT(TRIM(Paramètres!M36),1)="F",INDEX($F$2435:$F$2487,MATCH(Paramètres!L36,Paramètres!$G$5:$G$57,0)),INDEX($E$2435:$E$2487,MATCH(Paramètres!L36,Paramètres!$G$5:$G$57,0)))+IF(RIGHT(TRIM(Paramètres!M36),3)="Fin",1-$H2466,IF(LEFT(TRIM(Paramètres!M36),1)="F",1,0)))),IF(Paramètres!N36="",0,IF(Paramètres!O36="",NA(),IF(LEFT(TRIM(Paramètres!O36),1)="F",INDEX($F$2435:$F$2487,MATCH(Paramètres!N36,Paramètres!$G$5:$G$57,0)),INDEX($E$2435:$E$2487,MATCH(Paramètres!N36,Paramètres!$G$5:$G$57,0)))+IF(RIGHT(TRIM(Paramètres!O36),3)="Fin",1-$H2466,IF(LEFT(TRIM(Paramètres!O36),1)="F",1,0)))))))</f>
        <v/>
      </c>
      <c r="F2466" s="19">
        <f>IF($A2466="","",E2466+$H2466-1)</f>
        <v/>
      </c>
      <c r="G2466" s="18" t="n"/>
      <c r="H2466" s="18">
        <f>IF($A2466="","",IF(I2466&lt;&gt;"",I2466,Paramètres!B36))</f>
        <v/>
      </c>
      <c r="I2466" s="18" t="n"/>
    </row>
    <row r="2467">
      <c r="A2467" s="18">
        <f>IF(ISNUMBER(Dossiers!$D$49),Dossiers!$A$49&amp;" · "&amp;Dossiers!$B$49,"")</f>
        <v/>
      </c>
      <c r="B2467" s="18">
        <f>IF($A2467="","",Paramètres!G37)</f>
        <v/>
      </c>
      <c r="C2467" s="18">
        <f>IF($A2467="","",IF(Paramètres!H37="","",Paramètres!H37))</f>
        <v/>
      </c>
      <c r="D2467" s="18">
        <f>IF($A2467="","",IF(Paramètres!I37="","",Paramètres!I37))</f>
        <v/>
      </c>
      <c r="E2467" s="19">
        <f>IF($A2467="","",MIN(E2468:E2485))</f>
        <v/>
      </c>
      <c r="F2467" s="19">
        <f>IF($A2467="","",MAX(F2468:F2485))</f>
        <v/>
      </c>
      <c r="G2467" s="18" t="n"/>
      <c r="H2467" s="18">
        <f>IF($A2467="","",F2467-E2467+1)</f>
        <v/>
      </c>
      <c r="I2467" s="18" t="n"/>
    </row>
    <row r="2468">
      <c r="A2468" s="18">
        <f>IF(ISNUMBER(Dossiers!$D$49),Dossiers!$A$49&amp;" · "&amp;Dossiers!$B$49,"")</f>
        <v/>
      </c>
      <c r="B2468" s="18">
        <f>IF($A2468="","",Paramètres!G38)</f>
        <v/>
      </c>
      <c r="C2468" s="18">
        <f>IF($A2468="","",IF(Paramètres!H38="","",Paramètres!H38))</f>
        <v/>
      </c>
      <c r="D2468" s="18">
        <f>IF($A2468="","",IF(Paramètres!I38="","",Paramètres!I38))</f>
        <v/>
      </c>
      <c r="E2468" s="19">
        <f>IF($A2468="","",IF(Paramètres!J38&amp;Paramètres!L38&amp;Paramètres!N38="",Dossiers!$D$49,MAX(IF(Paramètres!J38="",0,IF(Paramètres!K38="",NA(),IF(LEFT(TRIM(Paramètres!K38),1)="F",INDEX($F$2435:$F$2487,MATCH(Paramètres!J38,Paramètres!$G$5:$G$57,0)),INDEX($E$2435:$E$2487,MATCH(Paramètres!J38,Paramètres!$G$5:$G$57,0)))+IF(RIGHT(TRIM(Paramètres!K38),3)="Fin",1-$H2468,IF(LEFT(TRIM(Paramètres!K38),1)="F",1,0)))),IF(Paramètres!L38="",0,IF(Paramètres!M38="",NA(),IF(LEFT(TRIM(Paramètres!M38),1)="F",INDEX($F$2435:$F$2487,MATCH(Paramètres!L38,Paramètres!$G$5:$G$57,0)),INDEX($E$2435:$E$2487,MATCH(Paramètres!L38,Paramètres!$G$5:$G$57,0)))+IF(RIGHT(TRIM(Paramètres!M38),3)="Fin",1-$H2468,IF(LEFT(TRIM(Paramètres!M38),1)="F",1,0)))),IF(Paramètres!N38="",0,IF(Paramètres!O38="",NA(),IF(LEFT(TRIM(Paramètres!O38),1)="F",INDEX($F$2435:$F$2487,MATCH(Paramètres!N38,Paramètres!$G$5:$G$57,0)),INDEX($E$2435:$E$2487,MATCH(Paramètres!N38,Paramètres!$G$5:$G$57,0)))+IF(RIGHT(TRIM(Paramètres!O38),3)="Fin",1-$H2468,IF(LEFT(TRIM(Paramètres!O38),1)="F",1,0)))))))</f>
        <v/>
      </c>
      <c r="F2468" s="19">
        <f>IF($A2468="","",E2468+$H2468-1)</f>
        <v/>
      </c>
      <c r="G2468" s="18" t="n"/>
      <c r="H2468" s="18">
        <f>IF($A2468="","",IF(I2468&lt;&gt;"",I2468,Paramètres!B38))</f>
        <v/>
      </c>
      <c r="I2468" s="18" t="n"/>
    </row>
    <row r="2469">
      <c r="A2469" s="18">
        <f>IF(ISNUMBER(Dossiers!$D$49),Dossiers!$A$49&amp;" · "&amp;Dossiers!$B$49,"")</f>
        <v/>
      </c>
      <c r="B2469" s="18">
        <f>IF($A2469="","",Paramètres!G39)</f>
        <v/>
      </c>
      <c r="C2469" s="18">
        <f>IF($A2469="","",IF(Paramètres!H39="","",Paramètres!H39))</f>
        <v/>
      </c>
      <c r="D2469" s="18">
        <f>IF($A2469="","",IF(Paramètres!I39="","",Paramètres!I39))</f>
        <v/>
      </c>
      <c r="E2469" s="19">
        <f>IF($A2469="","",IF(Paramètres!J39&amp;Paramètres!L39&amp;Paramètres!N39="",Dossiers!$D$49,MAX(IF(Paramètres!J39="",0,IF(Paramètres!K39="",NA(),IF(LEFT(TRIM(Paramètres!K39),1)="F",INDEX($F$2435:$F$2487,MATCH(Paramètres!J39,Paramètres!$G$5:$G$57,0)),INDEX($E$2435:$E$2487,MATCH(Paramètres!J39,Paramètres!$G$5:$G$57,0)))+IF(RIGHT(TRIM(Paramètres!K39),3)="Fin",1-$H2469,IF(LEFT(TRIM(Paramètres!K39),1)="F",1,0)))),IF(Paramètres!L39="",0,IF(Paramètres!M39="",NA(),IF(LEFT(TRIM(Paramètres!M39),1)="F",INDEX($F$2435:$F$2487,MATCH(Paramètres!L39,Paramètres!$G$5:$G$57,0)),INDEX($E$2435:$E$2487,MATCH(Paramètres!L39,Paramètres!$G$5:$G$57,0)))+IF(RIGHT(TRIM(Paramètres!M39),3)="Fin",1-$H2469,IF(LEFT(TRIM(Paramètres!M39),1)="F",1,0)))),IF(Paramètres!N39="",0,IF(Paramètres!O39="",NA(),IF(LEFT(TRIM(Paramètres!O39),1)="F",INDEX($F$2435:$F$2487,MATCH(Paramètres!N39,Paramètres!$G$5:$G$57,0)),INDEX($E$2435:$E$2487,MATCH(Paramètres!N39,Paramètres!$G$5:$G$57,0)))+IF(RIGHT(TRIM(Paramètres!O39),3)="Fin",1-$H2469,IF(LEFT(TRIM(Paramètres!O39),1)="F",1,0)))))))</f>
        <v/>
      </c>
      <c r="F2469" s="19">
        <f>IF($A2469="","",E2469+$H2469-1)</f>
        <v/>
      </c>
      <c r="G2469" s="18" t="n"/>
      <c r="H2469" s="18">
        <f>IF($A2469="","",IF(I2469&lt;&gt;"",I2469,Paramètres!B39))</f>
        <v/>
      </c>
      <c r="I2469" s="18" t="n"/>
    </row>
    <row r="2470">
      <c r="A2470" s="18">
        <f>IF(ISNUMBER(Dossiers!$D$49),Dossiers!$A$49&amp;" · "&amp;Dossiers!$B$49,"")</f>
        <v/>
      </c>
      <c r="B2470" s="18">
        <f>IF($A2470="","",Paramètres!G40)</f>
        <v/>
      </c>
      <c r="C2470" s="18">
        <f>IF($A2470="","",IF(Paramètres!H40="","",Paramètres!H40))</f>
        <v/>
      </c>
      <c r="D2470" s="18">
        <f>IF($A2470="","",IF(Paramètres!I40="","",Paramètres!I40))</f>
        <v/>
      </c>
      <c r="E2470" s="19">
        <f>IF($A2470="","",IF(Paramètres!J40&amp;Paramètres!L40&amp;Paramètres!N40="",Dossiers!$D$49,MAX(IF(Paramètres!J40="",0,IF(Paramètres!K40="",NA(),IF(LEFT(TRIM(Paramètres!K40),1)="F",INDEX($F$2435:$F$2487,MATCH(Paramètres!J40,Paramètres!$G$5:$G$57,0)),INDEX($E$2435:$E$2487,MATCH(Paramètres!J40,Paramètres!$G$5:$G$57,0)))+IF(RIGHT(TRIM(Paramètres!K40),3)="Fin",1-$H2470,IF(LEFT(TRIM(Paramètres!K40),1)="F",1,0)))),IF(Paramètres!L40="",0,IF(Paramètres!M40="",NA(),IF(LEFT(TRIM(Paramètres!M40),1)="F",INDEX($F$2435:$F$2487,MATCH(Paramètres!L40,Paramètres!$G$5:$G$57,0)),INDEX($E$2435:$E$2487,MATCH(Paramètres!L40,Paramètres!$G$5:$G$57,0)))+IF(RIGHT(TRIM(Paramètres!M40),3)="Fin",1-$H2470,IF(LEFT(TRIM(Paramètres!M40),1)="F",1,0)))),IF(Paramètres!N40="",0,IF(Paramètres!O40="",NA(),IF(LEFT(TRIM(Paramètres!O40),1)="F",INDEX($F$2435:$F$2487,MATCH(Paramètres!N40,Paramètres!$G$5:$G$57,0)),INDEX($E$2435:$E$2487,MATCH(Paramètres!N40,Paramètres!$G$5:$G$57,0)))+IF(RIGHT(TRIM(Paramètres!O40),3)="Fin",1-$H2470,IF(LEFT(TRIM(Paramètres!O40),1)="F",1,0)))))))</f>
        <v/>
      </c>
      <c r="F2470" s="19">
        <f>IF($A2470="","",E2470+$H2470-1)</f>
        <v/>
      </c>
      <c r="G2470" s="18" t="n"/>
      <c r="H2470" s="18">
        <f>IF($A2470="","",IF(I2470&lt;&gt;"",I2470,Paramètres!B40))</f>
        <v/>
      </c>
      <c r="I2470" s="18" t="n"/>
    </row>
    <row r="2471">
      <c r="A2471" s="18">
        <f>IF(ISNUMBER(Dossiers!$D$49),Dossiers!$A$49&amp;" · "&amp;Dossiers!$B$49,"")</f>
        <v/>
      </c>
      <c r="B2471" s="18">
        <f>IF($A2471="","",Paramètres!G41)</f>
        <v/>
      </c>
      <c r="C2471" s="18">
        <f>IF($A2471="","",IF(Paramètres!H41="","",Paramètres!H41))</f>
        <v/>
      </c>
      <c r="D2471" s="18">
        <f>IF($A2471="","",IF(Paramètres!I41="","",Paramètres!I41))</f>
        <v/>
      </c>
      <c r="E2471" s="19">
        <f>IF($A2471="","",IF(Paramètres!J41&amp;Paramètres!L41&amp;Paramètres!N41="",Dossiers!$D$49,MAX(IF(Paramètres!J41="",0,IF(Paramètres!K41="",NA(),IF(LEFT(TRIM(Paramètres!K41),1)="F",INDEX($F$2435:$F$2487,MATCH(Paramètres!J41,Paramètres!$G$5:$G$57,0)),INDEX($E$2435:$E$2487,MATCH(Paramètres!J41,Paramètres!$G$5:$G$57,0)))+IF(RIGHT(TRIM(Paramètres!K41),3)="Fin",1-$H2471,IF(LEFT(TRIM(Paramètres!K41),1)="F",1,0)))),IF(Paramètres!L41="",0,IF(Paramètres!M41="",NA(),IF(LEFT(TRIM(Paramètres!M41),1)="F",INDEX($F$2435:$F$2487,MATCH(Paramètres!L41,Paramètres!$G$5:$G$57,0)),INDEX($E$2435:$E$2487,MATCH(Paramètres!L41,Paramètres!$G$5:$G$57,0)))+IF(RIGHT(TRIM(Paramètres!M41),3)="Fin",1-$H2471,IF(LEFT(TRIM(Paramètres!M41),1)="F",1,0)))),IF(Paramètres!N41="",0,IF(Paramètres!O41="",NA(),IF(LEFT(TRIM(Paramètres!O41),1)="F",INDEX($F$2435:$F$2487,MATCH(Paramètres!N41,Paramètres!$G$5:$G$57,0)),INDEX($E$2435:$E$2487,MATCH(Paramètres!N41,Paramètres!$G$5:$G$57,0)))+IF(RIGHT(TRIM(Paramètres!O41),3)="Fin",1-$H2471,IF(LEFT(TRIM(Paramètres!O41),1)="F",1,0)))))))</f>
        <v/>
      </c>
      <c r="F2471" s="19">
        <f>IF($A2471="","",E2471+$H2471-1)</f>
        <v/>
      </c>
      <c r="G2471" s="18" t="n"/>
      <c r="H2471" s="18">
        <f>IF($A2471="","",IF(I2471&lt;&gt;"",I2471,Paramètres!B41))</f>
        <v/>
      </c>
      <c r="I2471" s="18" t="n"/>
    </row>
    <row r="2472">
      <c r="A2472" s="18">
        <f>IF(ISNUMBER(Dossiers!$D$49),Dossiers!$A$49&amp;" · "&amp;Dossiers!$B$49,"")</f>
        <v/>
      </c>
      <c r="B2472" s="18">
        <f>IF($A2472="","",Paramètres!G42)</f>
        <v/>
      </c>
      <c r="C2472" s="18">
        <f>IF($A2472="","",IF(Paramètres!H42="","",Paramètres!H42))</f>
        <v/>
      </c>
      <c r="D2472" s="18">
        <f>IF($A2472="","",IF(Paramètres!I42="","",Paramètres!I42))</f>
        <v/>
      </c>
      <c r="E2472" s="19">
        <f>IF($A2472="","",IF(Paramètres!J42&amp;Paramètres!L42&amp;Paramètres!N42="",Dossiers!$D$49,MAX(IF(Paramètres!J42="",0,IF(Paramètres!K42="",NA(),IF(LEFT(TRIM(Paramètres!K42),1)="F",INDEX($F$2435:$F$2487,MATCH(Paramètres!J42,Paramètres!$G$5:$G$57,0)),INDEX($E$2435:$E$2487,MATCH(Paramètres!J42,Paramètres!$G$5:$G$57,0)))+IF(RIGHT(TRIM(Paramètres!K42),3)="Fin",1-$H2472,IF(LEFT(TRIM(Paramètres!K42),1)="F",1,0)))),IF(Paramètres!L42="",0,IF(Paramètres!M42="",NA(),IF(LEFT(TRIM(Paramètres!M42),1)="F",INDEX($F$2435:$F$2487,MATCH(Paramètres!L42,Paramètres!$G$5:$G$57,0)),INDEX($E$2435:$E$2487,MATCH(Paramètres!L42,Paramètres!$G$5:$G$57,0)))+IF(RIGHT(TRIM(Paramètres!M42),3)="Fin",1-$H2472,IF(LEFT(TRIM(Paramètres!M42),1)="F",1,0)))),IF(Paramètres!N42="",0,IF(Paramètres!O42="",NA(),IF(LEFT(TRIM(Paramètres!O42),1)="F",INDEX($F$2435:$F$2487,MATCH(Paramètres!N42,Paramètres!$G$5:$G$57,0)),INDEX($E$2435:$E$2487,MATCH(Paramètres!N42,Paramètres!$G$5:$G$57,0)))+IF(RIGHT(TRIM(Paramètres!O42),3)="Fin",1-$H2472,IF(LEFT(TRIM(Paramètres!O42),1)="F",1,0)))))))</f>
        <v/>
      </c>
      <c r="F2472" s="19">
        <f>IF($A2472="","",E2472+$H2472-1)</f>
        <v/>
      </c>
      <c r="G2472" s="18" t="n"/>
      <c r="H2472" s="18">
        <f>IF($A2472="","",IF(I2472&lt;&gt;"",I2472,Paramètres!B42))</f>
        <v/>
      </c>
      <c r="I2472" s="18" t="n"/>
    </row>
    <row r="2473">
      <c r="A2473" s="18">
        <f>IF(ISNUMBER(Dossiers!$D$49),Dossiers!$A$49&amp;" · "&amp;Dossiers!$B$49,"")</f>
        <v/>
      </c>
      <c r="B2473" s="18">
        <f>IF($A2473="","",Paramètres!G43)</f>
        <v/>
      </c>
      <c r="C2473" s="18">
        <f>IF($A2473="","",IF(Paramètres!H43="","",Paramètres!H43))</f>
        <v/>
      </c>
      <c r="D2473" s="18">
        <f>IF($A2473="","",IF(Paramètres!I43="","",Paramètres!I43))</f>
        <v/>
      </c>
      <c r="E2473" s="19">
        <f>IF($A2473="","",IF(Paramètres!J43&amp;Paramètres!L43&amp;Paramètres!N43="",Dossiers!$D$49,MAX(IF(Paramètres!J43="",0,IF(Paramètres!K43="",NA(),IF(LEFT(TRIM(Paramètres!K43),1)="F",INDEX($F$2435:$F$2487,MATCH(Paramètres!J43,Paramètres!$G$5:$G$57,0)),INDEX($E$2435:$E$2487,MATCH(Paramètres!J43,Paramètres!$G$5:$G$57,0)))+IF(RIGHT(TRIM(Paramètres!K43),3)="Fin",1-$H2473,IF(LEFT(TRIM(Paramètres!K43),1)="F",1,0)))),IF(Paramètres!L43="",0,IF(Paramètres!M43="",NA(),IF(LEFT(TRIM(Paramètres!M43),1)="F",INDEX($F$2435:$F$2487,MATCH(Paramètres!L43,Paramètres!$G$5:$G$57,0)),INDEX($E$2435:$E$2487,MATCH(Paramètres!L43,Paramètres!$G$5:$G$57,0)))+IF(RIGHT(TRIM(Paramètres!M43),3)="Fin",1-$H2473,IF(LEFT(TRIM(Paramètres!M43),1)="F",1,0)))),IF(Paramètres!N43="",0,IF(Paramètres!O43="",NA(),IF(LEFT(TRIM(Paramètres!O43),1)="F",INDEX($F$2435:$F$2487,MATCH(Paramètres!N43,Paramètres!$G$5:$G$57,0)),INDEX($E$2435:$E$2487,MATCH(Paramètres!N43,Paramètres!$G$5:$G$57,0)))+IF(RIGHT(TRIM(Paramètres!O43),3)="Fin",1-$H2473,IF(LEFT(TRIM(Paramètres!O43),1)="F",1,0)))))))</f>
        <v/>
      </c>
      <c r="F2473" s="19">
        <f>IF($A2473="","",E2473+$H2473-1)</f>
        <v/>
      </c>
      <c r="G2473" s="18" t="n"/>
      <c r="H2473" s="18">
        <f>IF($A2473="","",IF(I2473&lt;&gt;"",I2473,Paramètres!B43))</f>
        <v/>
      </c>
      <c r="I2473" s="18" t="n"/>
    </row>
    <row r="2474">
      <c r="A2474" s="18">
        <f>IF(ISNUMBER(Dossiers!$D$49),Dossiers!$A$49&amp;" · "&amp;Dossiers!$B$49,"")</f>
        <v/>
      </c>
      <c r="B2474" s="18">
        <f>IF($A2474="","",Paramètres!G44)</f>
        <v/>
      </c>
      <c r="C2474" s="18">
        <f>IF($A2474="","",IF(Paramètres!H44="","",Paramètres!H44))</f>
        <v/>
      </c>
      <c r="D2474" s="18">
        <f>IF($A2474="","",IF(Paramètres!I44="","",Paramètres!I44))</f>
        <v/>
      </c>
      <c r="E2474" s="19">
        <f>IF($A2474="","",IF(Paramètres!J44&amp;Paramètres!L44&amp;Paramètres!N44="",Dossiers!$D$49,MAX(IF(Paramètres!J44="",0,IF(Paramètres!K44="",NA(),IF(LEFT(TRIM(Paramètres!K44),1)="F",INDEX($F$2435:$F$2487,MATCH(Paramètres!J44,Paramètres!$G$5:$G$57,0)),INDEX($E$2435:$E$2487,MATCH(Paramètres!J44,Paramètres!$G$5:$G$57,0)))+IF(RIGHT(TRIM(Paramètres!K44),3)="Fin",1-$H2474,IF(LEFT(TRIM(Paramètres!K44),1)="F",1,0)))),IF(Paramètres!L44="",0,IF(Paramètres!M44="",NA(),IF(LEFT(TRIM(Paramètres!M44),1)="F",INDEX($F$2435:$F$2487,MATCH(Paramètres!L44,Paramètres!$G$5:$G$57,0)),INDEX($E$2435:$E$2487,MATCH(Paramètres!L44,Paramètres!$G$5:$G$57,0)))+IF(RIGHT(TRIM(Paramètres!M44),3)="Fin",1-$H2474,IF(LEFT(TRIM(Paramètres!M44),1)="F",1,0)))),IF(Paramètres!N44="",0,IF(Paramètres!O44="",NA(),IF(LEFT(TRIM(Paramètres!O44),1)="F",INDEX($F$2435:$F$2487,MATCH(Paramètres!N44,Paramètres!$G$5:$G$57,0)),INDEX($E$2435:$E$2487,MATCH(Paramètres!N44,Paramètres!$G$5:$G$57,0)))+IF(RIGHT(TRIM(Paramètres!O44),3)="Fin",1-$H2474,IF(LEFT(TRIM(Paramètres!O44),1)="F",1,0)))))))</f>
        <v/>
      </c>
      <c r="F2474" s="19">
        <f>IF($A2474="","",E2474+$H2474-1)</f>
        <v/>
      </c>
      <c r="G2474" s="18" t="n"/>
      <c r="H2474" s="18">
        <f>IF($A2474="","",IF(I2474&lt;&gt;"",I2474,Paramètres!B44))</f>
        <v/>
      </c>
      <c r="I2474" s="18" t="n"/>
    </row>
    <row r="2475">
      <c r="A2475" s="18">
        <f>IF(ISNUMBER(Dossiers!$D$49),Dossiers!$A$49&amp;" · "&amp;Dossiers!$B$49,"")</f>
        <v/>
      </c>
      <c r="B2475" s="18">
        <f>IF($A2475="","",Paramètres!G45)</f>
        <v/>
      </c>
      <c r="C2475" s="20">
        <f>IF($A2475="","",IF(Dossiers!$G$49="","",Dossiers!$G$49))</f>
        <v/>
      </c>
      <c r="D2475" s="18">
        <f>IF($A2475="","",IF(Paramètres!I45="","",Paramètres!I45))</f>
        <v/>
      </c>
      <c r="E2475" s="19">
        <f>IF($A2475="","",IF(Paramètres!J45&amp;Paramètres!L45&amp;Paramètres!N45="",Dossiers!$D$49,MAX(IF(Paramètres!J45="",0,IF(Paramètres!K45="",NA(),IF(LEFT(TRIM(Paramètres!K45),1)="F",INDEX($F$2435:$F$2487,MATCH(Paramètres!J45,Paramètres!$G$5:$G$57,0)),INDEX($E$2435:$E$2487,MATCH(Paramètres!J45,Paramètres!$G$5:$G$57,0)))+IF(RIGHT(TRIM(Paramètres!K45),3)="Fin",1-$H2475,IF(LEFT(TRIM(Paramètres!K45),1)="F",1,0)))),IF(Paramètres!L45="",0,IF(Paramètres!M45="",NA(),IF(LEFT(TRIM(Paramètres!M45),1)="F",INDEX($F$2435:$F$2487,MATCH(Paramètres!L45,Paramètres!$G$5:$G$57,0)),INDEX($E$2435:$E$2487,MATCH(Paramètres!L45,Paramètres!$G$5:$G$57,0)))+IF(RIGHT(TRIM(Paramètres!M45),3)="Fin",1-$H2475,IF(LEFT(TRIM(Paramètres!M45),1)="F",1,0)))),IF(Paramètres!N45="",0,IF(Paramètres!O45="",NA(),IF(LEFT(TRIM(Paramètres!O45),1)="F",INDEX($F$2435:$F$2487,MATCH(Paramètres!N45,Paramètres!$G$5:$G$57,0)),INDEX($E$2435:$E$2487,MATCH(Paramètres!N45,Paramètres!$G$5:$G$57,0)))+IF(RIGHT(TRIM(Paramètres!O45),3)="Fin",1-$H2475,IF(LEFT(TRIM(Paramètres!O45),1)="F",1,0)))))))</f>
        <v/>
      </c>
      <c r="F2475" s="19">
        <f>IF($A2475="","",E2475+$H2475-1)</f>
        <v/>
      </c>
      <c r="G2475" s="18" t="n"/>
      <c r="H2475" s="18">
        <f>IF($A2475="","",IF(I2475&lt;&gt;"",I2475,Paramètres!B45))</f>
        <v/>
      </c>
      <c r="I2475" s="18" t="n"/>
    </row>
    <row r="2476">
      <c r="A2476" s="18">
        <f>IF(ISNUMBER(Dossiers!$D$49),Dossiers!$A$49&amp;" · "&amp;Dossiers!$B$49,"")</f>
        <v/>
      </c>
      <c r="B2476" s="18">
        <f>IF($A2476="","",Paramètres!G46)</f>
        <v/>
      </c>
      <c r="C2476" s="18">
        <f>IF($A2476="","",IF(Paramètres!H46="","",Paramètres!H46))</f>
        <v/>
      </c>
      <c r="D2476" s="18">
        <f>IF($A2476="","",IF(Paramètres!I46="","",Paramètres!I46))</f>
        <v/>
      </c>
      <c r="E2476" s="19">
        <f>IF($A2476="","",IF(Paramètres!J46&amp;Paramètres!L46&amp;Paramètres!N46="",Dossiers!$D$49,MAX(IF(Paramètres!J46="",0,IF(Paramètres!K46="",NA(),IF(LEFT(TRIM(Paramètres!K46),1)="F",INDEX($F$2435:$F$2487,MATCH(Paramètres!J46,Paramètres!$G$5:$G$57,0)),INDEX($E$2435:$E$2487,MATCH(Paramètres!J46,Paramètres!$G$5:$G$57,0)))+IF(RIGHT(TRIM(Paramètres!K46),3)="Fin",1-$H2476,IF(LEFT(TRIM(Paramètres!K46),1)="F",1,0)))),IF(Paramètres!L46="",0,IF(Paramètres!M46="",NA(),IF(LEFT(TRIM(Paramètres!M46),1)="F",INDEX($F$2435:$F$2487,MATCH(Paramètres!L46,Paramètres!$G$5:$G$57,0)),INDEX($E$2435:$E$2487,MATCH(Paramètres!L46,Paramètres!$G$5:$G$57,0)))+IF(RIGHT(TRIM(Paramètres!M46),3)="Fin",1-$H2476,IF(LEFT(TRIM(Paramètres!M46),1)="F",1,0)))),IF(Paramètres!N46="",0,IF(Paramètres!O46="",NA(),IF(LEFT(TRIM(Paramètres!O46),1)="F",INDEX($F$2435:$F$2487,MATCH(Paramètres!N46,Paramètres!$G$5:$G$57,0)),INDEX($E$2435:$E$2487,MATCH(Paramètres!N46,Paramètres!$G$5:$G$57,0)))+IF(RIGHT(TRIM(Paramètres!O46),3)="Fin",1-$H2476,IF(LEFT(TRIM(Paramètres!O46),1)="F",1,0)))))))</f>
        <v/>
      </c>
      <c r="F2476" s="19">
        <f>IF($A2476="","",E2476+$H2476-1)</f>
        <v/>
      </c>
      <c r="G2476" s="18" t="n"/>
      <c r="H2476" s="18">
        <f>IF($A2476="","",IF(I2476&lt;&gt;"",I2476,Paramètres!B46))</f>
        <v/>
      </c>
      <c r="I2476" s="18" t="n"/>
    </row>
    <row r="2477">
      <c r="A2477" s="18">
        <f>IF(ISNUMBER(Dossiers!$D$49),Dossiers!$A$49&amp;" · "&amp;Dossiers!$B$49,"")</f>
        <v/>
      </c>
      <c r="B2477" s="18">
        <f>IF($A2477="","",Paramètres!G47)</f>
        <v/>
      </c>
      <c r="C2477" s="18">
        <f>IF($A2477="","",IF(Paramètres!H47="","",Paramètres!H47))</f>
        <v/>
      </c>
      <c r="D2477" s="18">
        <f>IF($A2477="","",IF(Paramètres!I47="","",Paramètres!I47))</f>
        <v/>
      </c>
      <c r="E2477" s="19">
        <f>IF($A2477="","",IF(Paramètres!J47&amp;Paramètres!L47&amp;Paramètres!N47="",Dossiers!$D$49,MAX(IF(Paramètres!J47="",0,IF(Paramètres!K47="",NA(),IF(LEFT(TRIM(Paramètres!K47),1)="F",INDEX($F$2435:$F$2487,MATCH(Paramètres!J47,Paramètres!$G$5:$G$57,0)),INDEX($E$2435:$E$2487,MATCH(Paramètres!J47,Paramètres!$G$5:$G$57,0)))+IF(RIGHT(TRIM(Paramètres!K47),3)="Fin",1-$H2477,IF(LEFT(TRIM(Paramètres!K47),1)="F",1,0)))),IF(Paramètres!L47="",0,IF(Paramètres!M47="",NA(),IF(LEFT(TRIM(Paramètres!M47),1)="F",INDEX($F$2435:$F$2487,MATCH(Paramètres!L47,Paramètres!$G$5:$G$57,0)),INDEX($E$2435:$E$2487,MATCH(Paramètres!L47,Paramètres!$G$5:$G$57,0)))+IF(RIGHT(TRIM(Paramètres!M47),3)="Fin",1-$H2477,IF(LEFT(TRIM(Paramètres!M47),1)="F",1,0)))),IF(Paramètres!N47="",0,IF(Paramètres!O47="",NA(),IF(LEFT(TRIM(Paramètres!O47),1)="F",INDEX($F$2435:$F$2487,MATCH(Paramètres!N47,Paramètres!$G$5:$G$57,0)),INDEX($E$2435:$E$2487,MATCH(Paramètres!N47,Paramètres!$G$5:$G$57,0)))+IF(RIGHT(TRIM(Paramètres!O47),3)="Fin",1-$H2477,IF(LEFT(TRIM(Paramètres!O47),1)="F",1,0)))))))</f>
        <v/>
      </c>
      <c r="F2477" s="19">
        <f>IF($A2477="","",E2477+$H2477-1)</f>
        <v/>
      </c>
      <c r="G2477" s="18" t="n"/>
      <c r="H2477" s="18">
        <f>IF($A2477="","",IF(I2477&lt;&gt;"",I2477,Paramètres!B47))</f>
        <v/>
      </c>
      <c r="I2477" s="18" t="n"/>
    </row>
    <row r="2478">
      <c r="A2478" s="18">
        <f>IF(ISNUMBER(Dossiers!$D$49),Dossiers!$A$49&amp;" · "&amp;Dossiers!$B$49,"")</f>
        <v/>
      </c>
      <c r="B2478" s="18">
        <f>IF($A2478="","",Paramètres!G48)</f>
        <v/>
      </c>
      <c r="C2478" s="18">
        <f>IF($A2478="","",IF(Paramètres!H48="","",Paramètres!H48))</f>
        <v/>
      </c>
      <c r="D2478" s="18">
        <f>IF($A2478="","",IF(Paramètres!I48="","",Paramètres!I48))</f>
        <v/>
      </c>
      <c r="E2478" s="19">
        <f>IF($A2478="","",IF(Paramètres!J48&amp;Paramètres!L48&amp;Paramètres!N48="",Dossiers!$D$49,MAX(IF(Paramètres!J48="",0,IF(Paramètres!K48="",NA(),IF(LEFT(TRIM(Paramètres!K48),1)="F",INDEX($F$2435:$F$2487,MATCH(Paramètres!J48,Paramètres!$G$5:$G$57,0)),INDEX($E$2435:$E$2487,MATCH(Paramètres!J48,Paramètres!$G$5:$G$57,0)))+IF(RIGHT(TRIM(Paramètres!K48),3)="Fin",1-$H2478,IF(LEFT(TRIM(Paramètres!K48),1)="F",1,0)))),IF(Paramètres!L48="",0,IF(Paramètres!M48="",NA(),IF(LEFT(TRIM(Paramètres!M48),1)="F",INDEX($F$2435:$F$2487,MATCH(Paramètres!L48,Paramètres!$G$5:$G$57,0)),INDEX($E$2435:$E$2487,MATCH(Paramètres!L48,Paramètres!$G$5:$G$57,0)))+IF(RIGHT(TRIM(Paramètres!M48),3)="Fin",1-$H2478,IF(LEFT(TRIM(Paramètres!M48),1)="F",1,0)))),IF(Paramètres!N48="",0,IF(Paramètres!O48="",NA(),IF(LEFT(TRIM(Paramètres!O48),1)="F",INDEX($F$2435:$F$2487,MATCH(Paramètres!N48,Paramètres!$G$5:$G$57,0)),INDEX($E$2435:$E$2487,MATCH(Paramètres!N48,Paramètres!$G$5:$G$57,0)))+IF(RIGHT(TRIM(Paramètres!O48),3)="Fin",1-$H2478,IF(LEFT(TRIM(Paramètres!O48),1)="F",1,0)))))))</f>
        <v/>
      </c>
      <c r="F2478" s="19">
        <f>IF($A2478="","",E2478+$H2478-1)</f>
        <v/>
      </c>
      <c r="G2478" s="18" t="n"/>
      <c r="H2478" s="18">
        <f>IF($A2478="","",IF(I2478&lt;&gt;"",I2478,Paramètres!B48))</f>
        <v/>
      </c>
      <c r="I2478" s="18" t="n"/>
    </row>
    <row r="2479">
      <c r="A2479" s="18">
        <f>IF(ISNUMBER(Dossiers!$D$49),Dossiers!$A$49&amp;" · "&amp;Dossiers!$B$49,"")</f>
        <v/>
      </c>
      <c r="B2479" s="18">
        <f>IF($A2479="","",Paramètres!G49)</f>
        <v/>
      </c>
      <c r="C2479" s="18">
        <f>IF($A2479="","",IF(Paramètres!H49="","",Paramètres!H49))</f>
        <v/>
      </c>
      <c r="D2479" s="18">
        <f>IF($A2479="","",IF(Paramètres!I49="","",Paramètres!I49))</f>
        <v/>
      </c>
      <c r="E2479" s="19">
        <f>IF($A2479="","",IF(Paramètres!J49&amp;Paramètres!L49&amp;Paramètres!N49="",Dossiers!$D$49,MAX(IF(Paramètres!J49="",0,IF(Paramètres!K49="",NA(),IF(LEFT(TRIM(Paramètres!K49),1)="F",INDEX($F$2435:$F$2487,MATCH(Paramètres!J49,Paramètres!$G$5:$G$57,0)),INDEX($E$2435:$E$2487,MATCH(Paramètres!J49,Paramètres!$G$5:$G$57,0)))+IF(RIGHT(TRIM(Paramètres!K49),3)="Fin",1-$H2479,IF(LEFT(TRIM(Paramètres!K49),1)="F",1,0)))),IF(Paramètres!L49="",0,IF(Paramètres!M49="",NA(),IF(LEFT(TRIM(Paramètres!M49),1)="F",INDEX($F$2435:$F$2487,MATCH(Paramètres!L49,Paramètres!$G$5:$G$57,0)),INDEX($E$2435:$E$2487,MATCH(Paramètres!L49,Paramètres!$G$5:$G$57,0)))+IF(RIGHT(TRIM(Paramètres!M49),3)="Fin",1-$H2479,IF(LEFT(TRIM(Paramètres!M49),1)="F",1,0)))),IF(Paramètres!N49="",0,IF(Paramètres!O49="",NA(),IF(LEFT(TRIM(Paramètres!O49),1)="F",INDEX($F$2435:$F$2487,MATCH(Paramètres!N49,Paramètres!$G$5:$G$57,0)),INDEX($E$2435:$E$2487,MATCH(Paramètres!N49,Paramètres!$G$5:$G$57,0)))+IF(RIGHT(TRIM(Paramètres!O49),3)="Fin",1-$H2479,IF(LEFT(TRIM(Paramètres!O49),1)="F",1,0)))))))</f>
        <v/>
      </c>
      <c r="F2479" s="19">
        <f>IF($A2479="","",E2479+$H2479-1)</f>
        <v/>
      </c>
      <c r="G2479" s="18" t="n"/>
      <c r="H2479" s="18">
        <f>IF($A2479="","",IF(I2479&lt;&gt;"",I2479,Paramètres!B49))</f>
        <v/>
      </c>
      <c r="I2479" s="18" t="n"/>
    </row>
    <row r="2480">
      <c r="A2480" s="18">
        <f>IF(ISNUMBER(Dossiers!$D$49),Dossiers!$A$49&amp;" · "&amp;Dossiers!$B$49,"")</f>
        <v/>
      </c>
      <c r="B2480" s="18">
        <f>IF($A2480="","",Paramètres!G50)</f>
        <v/>
      </c>
      <c r="C2480" s="18">
        <f>IF($A2480="","",IF(Paramètres!H50="","",Paramètres!H50))</f>
        <v/>
      </c>
      <c r="D2480" s="18">
        <f>IF($A2480="","",IF(Paramètres!I50="","",Paramètres!I50))</f>
        <v/>
      </c>
      <c r="E2480" s="19">
        <f>IF($A2480="","",IF(Paramètres!J50&amp;Paramètres!L50&amp;Paramètres!N50="",Dossiers!$D$49,MAX(IF(Paramètres!J50="",0,IF(Paramètres!K50="",NA(),IF(LEFT(TRIM(Paramètres!K50),1)="F",INDEX($F$2435:$F$2487,MATCH(Paramètres!J50,Paramètres!$G$5:$G$57,0)),INDEX($E$2435:$E$2487,MATCH(Paramètres!J50,Paramètres!$G$5:$G$57,0)))+IF(RIGHT(TRIM(Paramètres!K50),3)="Fin",1-$H2480,IF(LEFT(TRIM(Paramètres!K50),1)="F",1,0)))),IF(Paramètres!L50="",0,IF(Paramètres!M50="",NA(),IF(LEFT(TRIM(Paramètres!M50),1)="F",INDEX($F$2435:$F$2487,MATCH(Paramètres!L50,Paramètres!$G$5:$G$57,0)),INDEX($E$2435:$E$2487,MATCH(Paramètres!L50,Paramètres!$G$5:$G$57,0)))+IF(RIGHT(TRIM(Paramètres!M50),3)="Fin",1-$H2480,IF(LEFT(TRIM(Paramètres!M50),1)="F",1,0)))),IF(Paramètres!N50="",0,IF(Paramètres!O50="",NA(),IF(LEFT(TRIM(Paramètres!O50),1)="F",INDEX($F$2435:$F$2487,MATCH(Paramètres!N50,Paramètres!$G$5:$G$57,0)),INDEX($E$2435:$E$2487,MATCH(Paramètres!N50,Paramètres!$G$5:$G$57,0)))+IF(RIGHT(TRIM(Paramètres!O50),3)="Fin",1-$H2480,IF(LEFT(TRIM(Paramètres!O50),1)="F",1,0)))))))</f>
        <v/>
      </c>
      <c r="F2480" s="19">
        <f>IF($A2480="","",E2480+$H2480-1)</f>
        <v/>
      </c>
      <c r="G2480" s="18" t="n"/>
      <c r="H2480" s="18">
        <f>IF($A2480="","",IF(I2480&lt;&gt;"",I2480,Paramètres!B50))</f>
        <v/>
      </c>
      <c r="I2480" s="18" t="n"/>
    </row>
    <row r="2481">
      <c r="A2481" s="18">
        <f>IF(ISNUMBER(Dossiers!$D$49),Dossiers!$A$49&amp;" · "&amp;Dossiers!$B$49,"")</f>
        <v/>
      </c>
      <c r="B2481" s="18">
        <f>IF($A2481="","",Paramètres!G51)</f>
        <v/>
      </c>
      <c r="C2481" s="18">
        <f>IF($A2481="","",IF(Paramètres!H51="","",Paramètres!H51))</f>
        <v/>
      </c>
      <c r="D2481" s="18">
        <f>IF($A2481="","",IF(Paramètres!I51="","",Paramètres!I51))</f>
        <v/>
      </c>
      <c r="E2481" s="19">
        <f>IF($A2481="","",IF(Paramètres!J51&amp;Paramètres!L51&amp;Paramètres!N51="",Dossiers!$D$49,MAX(IF(Paramètres!J51="",0,IF(Paramètres!K51="",NA(),IF(LEFT(TRIM(Paramètres!K51),1)="F",INDEX($F$2435:$F$2487,MATCH(Paramètres!J51,Paramètres!$G$5:$G$57,0)),INDEX($E$2435:$E$2487,MATCH(Paramètres!J51,Paramètres!$G$5:$G$57,0)))+IF(RIGHT(TRIM(Paramètres!K51),3)="Fin",1-$H2481,IF(LEFT(TRIM(Paramètres!K51),1)="F",1,0)))),IF(Paramètres!L51="",0,IF(Paramètres!M51="",NA(),IF(LEFT(TRIM(Paramètres!M51),1)="F",INDEX($F$2435:$F$2487,MATCH(Paramètres!L51,Paramètres!$G$5:$G$57,0)),INDEX($E$2435:$E$2487,MATCH(Paramètres!L51,Paramètres!$G$5:$G$57,0)))+IF(RIGHT(TRIM(Paramètres!M51),3)="Fin",1-$H2481,IF(LEFT(TRIM(Paramètres!M51),1)="F",1,0)))),IF(Paramètres!N51="",0,IF(Paramètres!O51="",NA(),IF(LEFT(TRIM(Paramètres!O51),1)="F",INDEX($F$2435:$F$2487,MATCH(Paramètres!N51,Paramètres!$G$5:$G$57,0)),INDEX($E$2435:$E$2487,MATCH(Paramètres!N51,Paramètres!$G$5:$G$57,0)))+IF(RIGHT(TRIM(Paramètres!O51),3)="Fin",1-$H2481,IF(LEFT(TRIM(Paramètres!O51),1)="F",1,0)))))))</f>
        <v/>
      </c>
      <c r="F2481" s="19">
        <f>IF($A2481="","",E2481+$H2481-1)</f>
        <v/>
      </c>
      <c r="G2481" s="18" t="n"/>
      <c r="H2481" s="18">
        <f>IF($A2481="","",IF(I2481&lt;&gt;"",I2481,Paramètres!B51))</f>
        <v/>
      </c>
      <c r="I2481" s="18" t="n"/>
    </row>
    <row r="2482">
      <c r="A2482" s="18">
        <f>IF(ISNUMBER(Dossiers!$D$49),Dossiers!$A$49&amp;" · "&amp;Dossiers!$B$49,"")</f>
        <v/>
      </c>
      <c r="B2482" s="18">
        <f>IF($A2482="","",Paramètres!G52)</f>
        <v/>
      </c>
      <c r="C2482" s="18">
        <f>IF($A2482="","",IF(Paramètres!H52="","",Paramètres!H52))</f>
        <v/>
      </c>
      <c r="D2482" s="18">
        <f>IF($A2482="","",IF(Paramètres!I52="","",Paramètres!I52))</f>
        <v/>
      </c>
      <c r="E2482" s="19">
        <f>IF($A2482="","",IF(Paramètres!J52&amp;Paramètres!L52&amp;Paramètres!N52="",Dossiers!$D$49,MAX(IF(Paramètres!J52="",0,IF(Paramètres!K52="",NA(),IF(LEFT(TRIM(Paramètres!K52),1)="F",INDEX($F$2435:$F$2487,MATCH(Paramètres!J52,Paramètres!$G$5:$G$57,0)),INDEX($E$2435:$E$2487,MATCH(Paramètres!J52,Paramètres!$G$5:$G$57,0)))+IF(RIGHT(TRIM(Paramètres!K52),3)="Fin",1-$H2482,IF(LEFT(TRIM(Paramètres!K52),1)="F",1,0)))),IF(Paramètres!L52="",0,IF(Paramètres!M52="",NA(),IF(LEFT(TRIM(Paramètres!M52),1)="F",INDEX($F$2435:$F$2487,MATCH(Paramètres!L52,Paramètres!$G$5:$G$57,0)),INDEX($E$2435:$E$2487,MATCH(Paramètres!L52,Paramètres!$G$5:$G$57,0)))+IF(RIGHT(TRIM(Paramètres!M52),3)="Fin",1-$H2482,IF(LEFT(TRIM(Paramètres!M52),1)="F",1,0)))),IF(Paramètres!N52="",0,IF(Paramètres!O52="",NA(),IF(LEFT(TRIM(Paramètres!O52),1)="F",INDEX($F$2435:$F$2487,MATCH(Paramètres!N52,Paramètres!$G$5:$G$57,0)),INDEX($E$2435:$E$2487,MATCH(Paramètres!N52,Paramètres!$G$5:$G$57,0)))+IF(RIGHT(TRIM(Paramètres!O52),3)="Fin",1-$H2482,IF(LEFT(TRIM(Paramètres!O52),1)="F",1,0)))))))</f>
        <v/>
      </c>
      <c r="F2482" s="19">
        <f>IF($A2482="","",E2482+$H2482-1)</f>
        <v/>
      </c>
      <c r="G2482" s="18" t="n"/>
      <c r="H2482" s="18">
        <f>IF($A2482="","",IF(I2482&lt;&gt;"",I2482,Paramètres!B52))</f>
        <v/>
      </c>
      <c r="I2482" s="18" t="n"/>
    </row>
    <row r="2483">
      <c r="A2483" s="18">
        <f>IF(ISNUMBER(Dossiers!$D$49),Dossiers!$A$49&amp;" · "&amp;Dossiers!$B$49,"")</f>
        <v/>
      </c>
      <c r="B2483" s="18">
        <f>IF($A2483="","",Paramètres!G53)</f>
        <v/>
      </c>
      <c r="C2483" s="18">
        <f>IF($A2483="","",IF(Paramètres!H53="","",Paramètres!H53))</f>
        <v/>
      </c>
      <c r="D2483" s="18">
        <f>IF($A2483="","",IF(Paramètres!I53="","",Paramètres!I53))</f>
        <v/>
      </c>
      <c r="E2483" s="19">
        <f>IF($A2483="","",IF(Paramètres!J53&amp;Paramètres!L53&amp;Paramètres!N53="",Dossiers!$D$49,MAX(IF(Paramètres!J53="",0,IF(Paramètres!K53="",NA(),IF(LEFT(TRIM(Paramètres!K53),1)="F",INDEX($F$2435:$F$2487,MATCH(Paramètres!J53,Paramètres!$G$5:$G$57,0)),INDEX($E$2435:$E$2487,MATCH(Paramètres!J53,Paramètres!$G$5:$G$57,0)))+IF(RIGHT(TRIM(Paramètres!K53),3)="Fin",1-$H2483,IF(LEFT(TRIM(Paramètres!K53),1)="F",1,0)))),IF(Paramètres!L53="",0,IF(Paramètres!M53="",NA(),IF(LEFT(TRIM(Paramètres!M53),1)="F",INDEX($F$2435:$F$2487,MATCH(Paramètres!L53,Paramètres!$G$5:$G$57,0)),INDEX($E$2435:$E$2487,MATCH(Paramètres!L53,Paramètres!$G$5:$G$57,0)))+IF(RIGHT(TRIM(Paramètres!M53),3)="Fin",1-$H2483,IF(LEFT(TRIM(Paramètres!M53),1)="F",1,0)))),IF(Paramètres!N53="",0,IF(Paramètres!O53="",NA(),IF(LEFT(TRIM(Paramètres!O53),1)="F",INDEX($F$2435:$F$2487,MATCH(Paramètres!N53,Paramètres!$G$5:$G$57,0)),INDEX($E$2435:$E$2487,MATCH(Paramètres!N53,Paramètres!$G$5:$G$57,0)))+IF(RIGHT(TRIM(Paramètres!O53),3)="Fin",1-$H2483,IF(LEFT(TRIM(Paramètres!O53),1)="F",1,0)))))))</f>
        <v/>
      </c>
      <c r="F2483" s="19">
        <f>IF($A2483="","",E2483+$H2483-1)</f>
        <v/>
      </c>
      <c r="G2483" s="18" t="n"/>
      <c r="H2483" s="18">
        <f>IF($A2483="","",IF(I2483&lt;&gt;"",I2483,Paramètres!B53))</f>
        <v/>
      </c>
      <c r="I2483" s="18" t="n"/>
    </row>
    <row r="2484">
      <c r="A2484" s="18">
        <f>IF(ISNUMBER(Dossiers!$D$49),Dossiers!$A$49&amp;" · "&amp;Dossiers!$B$49,"")</f>
        <v/>
      </c>
      <c r="B2484" s="18">
        <f>IF($A2484="","",Paramètres!G54)</f>
        <v/>
      </c>
      <c r="C2484" s="18">
        <f>IF($A2484="","",IF(Paramètres!H54="","",Paramètres!H54))</f>
        <v/>
      </c>
      <c r="D2484" s="18">
        <f>IF($A2484="","",IF(Paramètres!I54="","",Paramètres!I54))</f>
        <v/>
      </c>
      <c r="E2484" s="19">
        <f>IF($A2484="","",IF(Paramètres!J54&amp;Paramètres!L54&amp;Paramètres!N54="",Dossiers!$D$49,MAX(IF(Paramètres!J54="",0,IF(Paramètres!K54="",NA(),IF(LEFT(TRIM(Paramètres!K54),1)="F",INDEX($F$2435:$F$2487,MATCH(Paramètres!J54,Paramètres!$G$5:$G$57,0)),INDEX($E$2435:$E$2487,MATCH(Paramètres!J54,Paramètres!$G$5:$G$57,0)))+IF(RIGHT(TRIM(Paramètres!K54),3)="Fin",1-$H2484,IF(LEFT(TRIM(Paramètres!K54),1)="F",1,0)))),IF(Paramètres!L54="",0,IF(Paramètres!M54="",NA(),IF(LEFT(TRIM(Paramètres!M54),1)="F",INDEX($F$2435:$F$2487,MATCH(Paramètres!L54,Paramètres!$G$5:$G$57,0)),INDEX($E$2435:$E$2487,MATCH(Paramètres!L54,Paramètres!$G$5:$G$57,0)))+IF(RIGHT(TRIM(Paramètres!M54),3)="Fin",1-$H2484,IF(LEFT(TRIM(Paramètres!M54),1)="F",1,0)))),IF(Paramètres!N54="",0,IF(Paramètres!O54="",NA(),IF(LEFT(TRIM(Paramètres!O54),1)="F",INDEX($F$2435:$F$2487,MATCH(Paramètres!N54,Paramètres!$G$5:$G$57,0)),INDEX($E$2435:$E$2487,MATCH(Paramètres!N54,Paramètres!$G$5:$G$57,0)))+IF(RIGHT(TRIM(Paramètres!O54),3)="Fin",1-$H2484,IF(LEFT(TRIM(Paramètres!O54),1)="F",1,0)))))))</f>
        <v/>
      </c>
      <c r="F2484" s="19">
        <f>IF($A2484="","",E2484+$H2484-1)</f>
        <v/>
      </c>
      <c r="G2484" s="18" t="n"/>
      <c r="H2484" s="18">
        <f>IF($A2484="","",IF(I2484&lt;&gt;"",I2484,Paramètres!B54))</f>
        <v/>
      </c>
      <c r="I2484" s="18" t="n"/>
    </row>
    <row r="2485">
      <c r="A2485" s="18">
        <f>IF(ISNUMBER(Dossiers!$D$49),Dossiers!$A$49&amp;" · "&amp;Dossiers!$B$49,"")</f>
        <v/>
      </c>
      <c r="B2485" s="18">
        <f>IF($A2485="","",Paramètres!G55)</f>
        <v/>
      </c>
      <c r="C2485" s="18">
        <f>IF($A2485="","",IF(Paramètres!H55="","",Paramètres!H55))</f>
        <v/>
      </c>
      <c r="D2485" s="18">
        <f>IF($A2485="","",IF(Paramètres!I55="","",Paramètres!I55))</f>
        <v/>
      </c>
      <c r="E2485" s="19">
        <f>IF($A2485="","",IF(Paramètres!J55&amp;Paramètres!L55&amp;Paramètres!N55="",Dossiers!$D$49,MAX(IF(Paramètres!J55="",0,IF(Paramètres!K55="",NA(),IF(LEFT(TRIM(Paramètres!K55),1)="F",INDEX($F$2435:$F$2487,MATCH(Paramètres!J55,Paramètres!$G$5:$G$57,0)),INDEX($E$2435:$E$2487,MATCH(Paramètres!J55,Paramètres!$G$5:$G$57,0)))+IF(RIGHT(TRIM(Paramètres!K55),3)="Fin",1-$H2485,IF(LEFT(TRIM(Paramètres!K55),1)="F",1,0)))),IF(Paramètres!L55="",0,IF(Paramètres!M55="",NA(),IF(LEFT(TRIM(Paramètres!M55),1)="F",INDEX($F$2435:$F$2487,MATCH(Paramètres!L55,Paramètres!$G$5:$G$57,0)),INDEX($E$2435:$E$2487,MATCH(Paramètres!L55,Paramètres!$G$5:$G$57,0)))+IF(RIGHT(TRIM(Paramètres!M55),3)="Fin",1-$H2485,IF(LEFT(TRIM(Paramètres!M55),1)="F",1,0)))),IF(Paramètres!N55="",0,IF(Paramètres!O55="",NA(),IF(LEFT(TRIM(Paramètres!O55),1)="F",INDEX($F$2435:$F$2487,MATCH(Paramètres!N55,Paramètres!$G$5:$G$57,0)),INDEX($E$2435:$E$2487,MATCH(Paramètres!N55,Paramètres!$G$5:$G$57,0)))+IF(RIGHT(TRIM(Paramètres!O55),3)="Fin",1-$H2485,IF(LEFT(TRIM(Paramètres!O55),1)="F",1,0)))))))</f>
        <v/>
      </c>
      <c r="F2485" s="19">
        <f>IF($A2485="","",E2485+$H2485-1)</f>
        <v/>
      </c>
      <c r="G2485" s="18" t="n"/>
      <c r="H2485" s="18">
        <f>IF($A2485="","",IF(I2485&lt;&gt;"",I2485,Paramètres!B55))</f>
        <v/>
      </c>
      <c r="I2485" s="18" t="n"/>
    </row>
    <row r="2486">
      <c r="A2486" s="18">
        <f>IF(ISNUMBER(Dossiers!$D$49),Dossiers!$A$49&amp;" · "&amp;Dossiers!$B$49,"")</f>
        <v/>
      </c>
      <c r="B2486" s="18">
        <f>IF($A2486="","",Paramètres!G56)</f>
        <v/>
      </c>
      <c r="C2486" s="18">
        <f>IF($A2486="","",IF(Paramètres!H56="","",Paramètres!H56))</f>
        <v/>
      </c>
      <c r="D2486" s="18">
        <f>IF($A2486="","",IF(Paramètres!I56="","",Paramètres!I56))</f>
        <v/>
      </c>
      <c r="E2486" s="19">
        <f>IF($A2486="","",MIN(E2487:E2487))</f>
        <v/>
      </c>
      <c r="F2486" s="19">
        <f>IF($A2486="","",MAX(F2487:F2487))</f>
        <v/>
      </c>
      <c r="G2486" s="18" t="n"/>
      <c r="H2486" s="18">
        <f>IF($A2486="","",F2486-E2486+1)</f>
        <v/>
      </c>
      <c r="I2486" s="18" t="n"/>
    </row>
    <row r="2487">
      <c r="A2487" s="18">
        <f>IF(ISNUMBER(Dossiers!$D$49),Dossiers!$A$49&amp;" · "&amp;Dossiers!$B$49,"")</f>
        <v/>
      </c>
      <c r="B2487" s="18">
        <f>IF($A2487="","",Paramètres!G57)</f>
        <v/>
      </c>
      <c r="C2487" s="18">
        <f>IF($A2487="","",IF(Paramètres!H57="","",Paramètres!H57))</f>
        <v/>
      </c>
      <c r="D2487" s="18">
        <f>IF($A2487="","",IF(Paramètres!I57="","",Paramètres!I57))</f>
        <v/>
      </c>
      <c r="E2487" s="19">
        <f>IF($A2487="","",IF(Paramètres!J57&amp;Paramètres!L57&amp;Paramètres!N57="",Dossiers!$D$49,MAX(IF(Paramètres!J57="",0,IF(Paramètres!K57="",NA(),IF(LEFT(TRIM(Paramètres!K57),1)="F",INDEX($F$2435:$F$2487,MATCH(Paramètres!J57,Paramètres!$G$5:$G$57,0)),INDEX($E$2435:$E$2487,MATCH(Paramètres!J57,Paramètres!$G$5:$G$57,0)))+IF(RIGHT(TRIM(Paramètres!K57),3)="Fin",1-$H2487,IF(LEFT(TRIM(Paramètres!K57),1)="F",1,0)))),IF(Paramètres!L57="",0,IF(Paramètres!M57="",NA(),IF(LEFT(TRIM(Paramètres!M57),1)="F",INDEX($F$2435:$F$2487,MATCH(Paramètres!L57,Paramètres!$G$5:$G$57,0)),INDEX($E$2435:$E$2487,MATCH(Paramètres!L57,Paramètres!$G$5:$G$57,0)))+IF(RIGHT(TRIM(Paramètres!M57),3)="Fin",1-$H2487,IF(LEFT(TRIM(Paramètres!M57),1)="F",1,0)))),IF(Paramètres!N57="",0,IF(Paramètres!O57="",NA(),IF(LEFT(TRIM(Paramètres!O57),1)="F",INDEX($F$2435:$F$2487,MATCH(Paramètres!N57,Paramètres!$G$5:$G$57,0)),INDEX($E$2435:$E$2487,MATCH(Paramètres!N57,Paramètres!$G$5:$G$57,0)))+IF(RIGHT(TRIM(Paramètres!O57),3)="Fin",1-$H2487,IF(LEFT(TRIM(Paramètres!O57),1)="F",1,0)))))))</f>
        <v/>
      </c>
      <c r="F2487" s="19">
        <f>IF($A2487="","",E2487+$H2487-1)</f>
        <v/>
      </c>
      <c r="G2487" s="18" t="n"/>
      <c r="H2487" s="18">
        <f>IF($A2487="","",IF(I2487&lt;&gt;"",I2487,Paramètres!B57))</f>
        <v/>
      </c>
      <c r="I2487" s="18" t="n"/>
    </row>
    <row r="2488">
      <c r="A2488" s="16">
        <f>IF(ISNUMBER(Dossiers!$D$50),Dossiers!$E$50,"")</f>
        <v/>
      </c>
      <c r="B2488" s="16">
        <f>IF($A2488="","","Identifiant")</f>
        <v/>
      </c>
      <c r="C2488" s="16">
        <f>IF($A2488="","","Macro Etape")</f>
        <v/>
      </c>
      <c r="D2488" s="16">
        <f>IF($A2488="","","Etape")</f>
        <v/>
      </c>
      <c r="E2488" s="17">
        <f>IF($A2488="","","Début le")</f>
        <v/>
      </c>
      <c r="F2488" s="17">
        <f>IF($A2488="","","Fin prévue le")</f>
        <v/>
      </c>
      <c r="G2488" s="16">
        <f>IF($A2488="","","Statut")</f>
        <v/>
      </c>
      <c r="H2488" s="16">
        <f>IF($A2488="","","Durée (jours)")</f>
        <v/>
      </c>
      <c r="I2488" s="16">
        <f>IF($A2488="","","Durée particulière")</f>
        <v/>
      </c>
      <c r="J2488" s="10">
        <f>IF($A2488="","",HYPERLINK("#'Tableau de bord'!A1","↑ Tableau de bord"))</f>
        <v/>
      </c>
    </row>
    <row r="2489">
      <c r="A2489" s="18">
        <f>IF(ISNUMBER(Dossiers!$D$50),Dossiers!$A$50&amp;" · "&amp;Dossiers!$B$50,"")</f>
        <v/>
      </c>
      <c r="B2489" s="18">
        <f>IF($A2489="","",Paramètres!G5)</f>
        <v/>
      </c>
      <c r="C2489" s="18">
        <f>IF($A2489="","",IF(Paramètres!H5="","",Paramètres!H5))</f>
        <v/>
      </c>
      <c r="D2489" s="18">
        <f>IF($A2489="","",IF(Paramètres!I5="","",Paramètres!I5))</f>
        <v/>
      </c>
      <c r="E2489" s="19">
        <f>IF($A2489="","",MIN(E2490:E2493))</f>
        <v/>
      </c>
      <c r="F2489" s="19">
        <f>IF($A2489="","",MAX(F2490:F2493))</f>
        <v/>
      </c>
      <c r="G2489" s="18" t="n"/>
      <c r="H2489" s="18">
        <f>IF($A2489="","",F2489-E2489+1)</f>
        <v/>
      </c>
      <c r="I2489" s="18" t="n"/>
    </row>
    <row r="2490">
      <c r="A2490" s="18">
        <f>IF(ISNUMBER(Dossiers!$D$50),Dossiers!$A$50&amp;" · "&amp;Dossiers!$B$50,"")</f>
        <v/>
      </c>
      <c r="B2490" s="18">
        <f>IF($A2490="","",Paramètres!G6)</f>
        <v/>
      </c>
      <c r="C2490" s="18">
        <f>IF($A2490="","",IF(Paramètres!H6="","",Paramètres!H6))</f>
        <v/>
      </c>
      <c r="D2490" s="18">
        <f>IF($A2490="","",IF(Paramètres!I6="","",Paramètres!I6))</f>
        <v/>
      </c>
      <c r="E2490" s="19">
        <f>IF($A2490="","",IF(Paramètres!J6&amp;Paramètres!L6&amp;Paramètres!N6="",Dossiers!$D$50,MAX(IF(Paramètres!J6="",0,IF(Paramètres!K6="",NA(),IF(LEFT(TRIM(Paramètres!K6),1)="F",INDEX($F$2489:$F$2541,MATCH(Paramètres!J6,Paramètres!$G$5:$G$57,0)),INDEX($E$2489:$E$2541,MATCH(Paramètres!J6,Paramètres!$G$5:$G$57,0)))+IF(RIGHT(TRIM(Paramètres!K6),3)="Fin",1-$H2490,IF(LEFT(TRIM(Paramètres!K6),1)="F",1,0)))),IF(Paramètres!L6="",0,IF(Paramètres!M6="",NA(),IF(LEFT(TRIM(Paramètres!M6),1)="F",INDEX($F$2489:$F$2541,MATCH(Paramètres!L6,Paramètres!$G$5:$G$57,0)),INDEX($E$2489:$E$2541,MATCH(Paramètres!L6,Paramètres!$G$5:$G$57,0)))+IF(RIGHT(TRIM(Paramètres!M6),3)="Fin",1-$H2490,IF(LEFT(TRIM(Paramètres!M6),1)="F",1,0)))),IF(Paramètres!N6="",0,IF(Paramètres!O6="",NA(),IF(LEFT(TRIM(Paramètres!O6),1)="F",INDEX($F$2489:$F$2541,MATCH(Paramètres!N6,Paramètres!$G$5:$G$57,0)),INDEX($E$2489:$E$2541,MATCH(Paramètres!N6,Paramètres!$G$5:$G$57,0)))+IF(RIGHT(TRIM(Paramètres!O6),3)="Fin",1-$H2490,IF(LEFT(TRIM(Paramètres!O6),1)="F",1,0)))))))</f>
        <v/>
      </c>
      <c r="F2490" s="19">
        <f>IF($A2490="","",E2490+$H2490-1)</f>
        <v/>
      </c>
      <c r="G2490" s="18" t="n"/>
      <c r="H2490" s="18">
        <f>IF($A2490="","",IF(I2490&lt;&gt;"",I2490,Paramètres!B6))</f>
        <v/>
      </c>
      <c r="I2490" s="18" t="n"/>
    </row>
    <row r="2491">
      <c r="A2491" s="18">
        <f>IF(ISNUMBER(Dossiers!$D$50),Dossiers!$A$50&amp;" · "&amp;Dossiers!$B$50,"")</f>
        <v/>
      </c>
      <c r="B2491" s="18">
        <f>IF($A2491="","",Paramètres!G7)</f>
        <v/>
      </c>
      <c r="C2491" s="18">
        <f>IF($A2491="","",IF(Paramètres!H7="","",Paramètres!H7))</f>
        <v/>
      </c>
      <c r="D2491" s="18">
        <f>IF($A2491="","",IF(Paramètres!I7="","",Paramètres!I7))</f>
        <v/>
      </c>
      <c r="E2491" s="19">
        <f>IF($A2491="","",IF(Paramètres!J7&amp;Paramètres!L7&amp;Paramètres!N7="",Dossiers!$D$50,MAX(IF(Paramètres!J7="",0,IF(Paramètres!K7="",NA(),IF(LEFT(TRIM(Paramètres!K7),1)="F",INDEX($F$2489:$F$2541,MATCH(Paramètres!J7,Paramètres!$G$5:$G$57,0)),INDEX($E$2489:$E$2541,MATCH(Paramètres!J7,Paramètres!$G$5:$G$57,0)))+IF(RIGHT(TRIM(Paramètres!K7),3)="Fin",1-$H2491,IF(LEFT(TRIM(Paramètres!K7),1)="F",1,0)))),IF(Paramètres!L7="",0,IF(Paramètres!M7="",NA(),IF(LEFT(TRIM(Paramètres!M7),1)="F",INDEX($F$2489:$F$2541,MATCH(Paramètres!L7,Paramètres!$G$5:$G$57,0)),INDEX($E$2489:$E$2541,MATCH(Paramètres!L7,Paramètres!$G$5:$G$57,0)))+IF(RIGHT(TRIM(Paramètres!M7),3)="Fin",1-$H2491,IF(LEFT(TRIM(Paramètres!M7),1)="F",1,0)))),IF(Paramètres!N7="",0,IF(Paramètres!O7="",NA(),IF(LEFT(TRIM(Paramètres!O7),1)="F",INDEX($F$2489:$F$2541,MATCH(Paramètres!N7,Paramètres!$G$5:$G$57,0)),INDEX($E$2489:$E$2541,MATCH(Paramètres!N7,Paramètres!$G$5:$G$57,0)))+IF(RIGHT(TRIM(Paramètres!O7),3)="Fin",1-$H2491,IF(LEFT(TRIM(Paramètres!O7),1)="F",1,0)))))))</f>
        <v/>
      </c>
      <c r="F2491" s="19">
        <f>IF($A2491="","",E2491+$H2491-1)</f>
        <v/>
      </c>
      <c r="G2491" s="18" t="n"/>
      <c r="H2491" s="18">
        <f>IF($A2491="","",IF(I2491&lt;&gt;"",I2491,Paramètres!B7))</f>
        <v/>
      </c>
      <c r="I2491" s="18" t="n"/>
    </row>
    <row r="2492">
      <c r="A2492" s="18">
        <f>IF(ISNUMBER(Dossiers!$D$50),Dossiers!$A$50&amp;" · "&amp;Dossiers!$B$50,"")</f>
        <v/>
      </c>
      <c r="B2492" s="18">
        <f>IF($A2492="","",Paramètres!G8)</f>
        <v/>
      </c>
      <c r="C2492" s="18">
        <f>IF($A2492="","",IF(Paramètres!H8="","",Paramètres!H8))</f>
        <v/>
      </c>
      <c r="D2492" s="18">
        <f>IF($A2492="","",IF(Paramètres!I8="","",Paramètres!I8))</f>
        <v/>
      </c>
      <c r="E2492" s="19">
        <f>IF($A2492="","",IF(Paramètres!J8&amp;Paramètres!L8&amp;Paramètres!N8="",Dossiers!$D$50,MAX(IF(Paramètres!J8="",0,IF(Paramètres!K8="",NA(),IF(LEFT(TRIM(Paramètres!K8),1)="F",INDEX($F$2489:$F$2541,MATCH(Paramètres!J8,Paramètres!$G$5:$G$57,0)),INDEX($E$2489:$E$2541,MATCH(Paramètres!J8,Paramètres!$G$5:$G$57,0)))+IF(RIGHT(TRIM(Paramètres!K8),3)="Fin",1-$H2492,IF(LEFT(TRIM(Paramètres!K8),1)="F",1,0)))),IF(Paramètres!L8="",0,IF(Paramètres!M8="",NA(),IF(LEFT(TRIM(Paramètres!M8),1)="F",INDEX($F$2489:$F$2541,MATCH(Paramètres!L8,Paramètres!$G$5:$G$57,0)),INDEX($E$2489:$E$2541,MATCH(Paramètres!L8,Paramètres!$G$5:$G$57,0)))+IF(RIGHT(TRIM(Paramètres!M8),3)="Fin",1-$H2492,IF(LEFT(TRIM(Paramètres!M8),1)="F",1,0)))),IF(Paramètres!N8="",0,IF(Paramètres!O8="",NA(),IF(LEFT(TRIM(Paramètres!O8),1)="F",INDEX($F$2489:$F$2541,MATCH(Paramètres!N8,Paramètres!$G$5:$G$57,0)),INDEX($E$2489:$E$2541,MATCH(Paramètres!N8,Paramètres!$G$5:$G$57,0)))+IF(RIGHT(TRIM(Paramètres!O8),3)="Fin",1-$H2492,IF(LEFT(TRIM(Paramètres!O8),1)="F",1,0)))))))</f>
        <v/>
      </c>
      <c r="F2492" s="19">
        <f>IF($A2492="","",E2492+$H2492-1)</f>
        <v/>
      </c>
      <c r="G2492" s="18" t="n"/>
      <c r="H2492" s="18">
        <f>IF($A2492="","",IF(I2492&lt;&gt;"",I2492,Paramètres!B8))</f>
        <v/>
      </c>
      <c r="I2492" s="18" t="n"/>
    </row>
    <row r="2493">
      <c r="A2493" s="18">
        <f>IF(ISNUMBER(Dossiers!$D$50),Dossiers!$A$50&amp;" · "&amp;Dossiers!$B$50,"")</f>
        <v/>
      </c>
      <c r="B2493" s="18">
        <f>IF($A2493="","",Paramètres!G9)</f>
        <v/>
      </c>
      <c r="C2493" s="18">
        <f>IF($A2493="","",IF(Paramètres!H9="","",Paramètres!H9))</f>
        <v/>
      </c>
      <c r="D2493" s="18">
        <f>IF($A2493="","",IF(Paramètres!I9="","",Paramètres!I9))</f>
        <v/>
      </c>
      <c r="E2493" s="19">
        <f>IF($A2493="","",IF(Paramètres!J9&amp;Paramètres!L9&amp;Paramètres!N9="",Dossiers!$D$50,MAX(IF(Paramètres!J9="",0,IF(Paramètres!K9="",NA(),IF(LEFT(TRIM(Paramètres!K9),1)="F",INDEX($F$2489:$F$2541,MATCH(Paramètres!J9,Paramètres!$G$5:$G$57,0)),INDEX($E$2489:$E$2541,MATCH(Paramètres!J9,Paramètres!$G$5:$G$57,0)))+IF(RIGHT(TRIM(Paramètres!K9),3)="Fin",1-$H2493,IF(LEFT(TRIM(Paramètres!K9),1)="F",1,0)))),IF(Paramètres!L9="",0,IF(Paramètres!M9="",NA(),IF(LEFT(TRIM(Paramètres!M9),1)="F",INDEX($F$2489:$F$2541,MATCH(Paramètres!L9,Paramètres!$G$5:$G$57,0)),INDEX($E$2489:$E$2541,MATCH(Paramètres!L9,Paramètres!$G$5:$G$57,0)))+IF(RIGHT(TRIM(Paramètres!M9),3)="Fin",1-$H2493,IF(LEFT(TRIM(Paramètres!M9),1)="F",1,0)))),IF(Paramètres!N9="",0,IF(Paramètres!O9="",NA(),IF(LEFT(TRIM(Paramètres!O9),1)="F",INDEX($F$2489:$F$2541,MATCH(Paramètres!N9,Paramètres!$G$5:$G$57,0)),INDEX($E$2489:$E$2541,MATCH(Paramètres!N9,Paramètres!$G$5:$G$57,0)))+IF(RIGHT(TRIM(Paramètres!O9),3)="Fin",1-$H2493,IF(LEFT(TRIM(Paramètres!O9),1)="F",1,0)))))))</f>
        <v/>
      </c>
      <c r="F2493" s="19">
        <f>IF($A2493="","",E2493+$H2493-1)</f>
        <v/>
      </c>
      <c r="G2493" s="18" t="n"/>
      <c r="H2493" s="18">
        <f>IF($A2493="","",IF(I2493&lt;&gt;"",I2493,Paramètres!B9))</f>
        <v/>
      </c>
      <c r="I2493" s="18" t="n"/>
    </row>
    <row r="2494">
      <c r="A2494" s="18">
        <f>IF(ISNUMBER(Dossiers!$D$50),Dossiers!$A$50&amp;" · "&amp;Dossiers!$B$50,"")</f>
        <v/>
      </c>
      <c r="B2494" s="18">
        <f>IF($A2494="","",Paramètres!G10)</f>
        <v/>
      </c>
      <c r="C2494" s="18">
        <f>IF($A2494="","",IF(Paramètres!H10="","",Paramètres!H10))</f>
        <v/>
      </c>
      <c r="D2494" s="18">
        <f>IF($A2494="","",IF(Paramètres!I10="","",Paramètres!I10))</f>
        <v/>
      </c>
      <c r="E2494" s="19">
        <f>IF($A2494="","",MIN(E2495:E2498))</f>
        <v/>
      </c>
      <c r="F2494" s="19">
        <f>IF($A2494="","",MAX(F2495:F2498))</f>
        <v/>
      </c>
      <c r="G2494" s="18" t="n"/>
      <c r="H2494" s="18">
        <f>IF($A2494="","",F2494-E2494+1)</f>
        <v/>
      </c>
      <c r="I2494" s="18" t="n"/>
    </row>
    <row r="2495">
      <c r="A2495" s="18">
        <f>IF(ISNUMBER(Dossiers!$D$50),Dossiers!$A$50&amp;" · "&amp;Dossiers!$B$50,"")</f>
        <v/>
      </c>
      <c r="B2495" s="18">
        <f>IF($A2495="","",Paramètres!G11)</f>
        <v/>
      </c>
      <c r="C2495" s="18">
        <f>IF($A2495="","",IF(Paramètres!H11="","",Paramètres!H11))</f>
        <v/>
      </c>
      <c r="D2495" s="18">
        <f>IF($A2495="","",IF(Paramètres!I11="","",Paramètres!I11))</f>
        <v/>
      </c>
      <c r="E2495" s="19">
        <f>IF($A2495="","",IF(Paramètres!J11&amp;Paramètres!L11&amp;Paramètres!N11="",Dossiers!$D$50,MAX(IF(Paramètres!J11="",0,IF(Paramètres!K11="",NA(),IF(LEFT(TRIM(Paramètres!K11),1)="F",INDEX($F$2489:$F$2541,MATCH(Paramètres!J11,Paramètres!$G$5:$G$57,0)),INDEX($E$2489:$E$2541,MATCH(Paramètres!J11,Paramètres!$G$5:$G$57,0)))+IF(RIGHT(TRIM(Paramètres!K11),3)="Fin",1-$H2495,IF(LEFT(TRIM(Paramètres!K11),1)="F",1,0)))),IF(Paramètres!L11="",0,IF(Paramètres!M11="",NA(),IF(LEFT(TRIM(Paramètres!M11),1)="F",INDEX($F$2489:$F$2541,MATCH(Paramètres!L11,Paramètres!$G$5:$G$57,0)),INDEX($E$2489:$E$2541,MATCH(Paramètres!L11,Paramètres!$G$5:$G$57,0)))+IF(RIGHT(TRIM(Paramètres!M11),3)="Fin",1-$H2495,IF(LEFT(TRIM(Paramètres!M11),1)="F",1,0)))),IF(Paramètres!N11="",0,IF(Paramètres!O11="",NA(),IF(LEFT(TRIM(Paramètres!O11),1)="F",INDEX($F$2489:$F$2541,MATCH(Paramètres!N11,Paramètres!$G$5:$G$57,0)),INDEX($E$2489:$E$2541,MATCH(Paramètres!N11,Paramètres!$G$5:$G$57,0)))+IF(RIGHT(TRIM(Paramètres!O11),3)="Fin",1-$H2495,IF(LEFT(TRIM(Paramètres!O11),1)="F",1,0)))))))</f>
        <v/>
      </c>
      <c r="F2495" s="19">
        <f>IF($A2495="","",E2495+$H2495-1)</f>
        <v/>
      </c>
      <c r="G2495" s="18" t="n"/>
      <c r="H2495" s="18">
        <f>IF($A2495="","",IF(I2495&lt;&gt;"",I2495,Paramètres!B11))</f>
        <v/>
      </c>
      <c r="I2495" s="18" t="n"/>
    </row>
    <row r="2496">
      <c r="A2496" s="18">
        <f>IF(ISNUMBER(Dossiers!$D$50),Dossiers!$A$50&amp;" · "&amp;Dossiers!$B$50,"")</f>
        <v/>
      </c>
      <c r="B2496" s="18">
        <f>IF($A2496="","",Paramètres!G12)</f>
        <v/>
      </c>
      <c r="C2496" s="18">
        <f>IF($A2496="","",IF(Paramètres!H12="","",Paramètres!H12))</f>
        <v/>
      </c>
      <c r="D2496" s="18">
        <f>IF($A2496="","",IF(Paramètres!I12="","",Paramètres!I12))</f>
        <v/>
      </c>
      <c r="E2496" s="19">
        <f>IF($A2496="","",IF(Paramètres!J12&amp;Paramètres!L12&amp;Paramètres!N12="",Dossiers!$D$50,MAX(IF(Paramètres!J12="",0,IF(Paramètres!K12="",NA(),IF(LEFT(TRIM(Paramètres!K12),1)="F",INDEX($F$2489:$F$2541,MATCH(Paramètres!J12,Paramètres!$G$5:$G$57,0)),INDEX($E$2489:$E$2541,MATCH(Paramètres!J12,Paramètres!$G$5:$G$57,0)))+IF(RIGHT(TRIM(Paramètres!K12),3)="Fin",1-$H2496,IF(LEFT(TRIM(Paramètres!K12),1)="F",1,0)))),IF(Paramètres!L12="",0,IF(Paramètres!M12="",NA(),IF(LEFT(TRIM(Paramètres!M12),1)="F",INDEX($F$2489:$F$2541,MATCH(Paramètres!L12,Paramètres!$G$5:$G$57,0)),INDEX($E$2489:$E$2541,MATCH(Paramètres!L12,Paramètres!$G$5:$G$57,0)))+IF(RIGHT(TRIM(Paramètres!M12),3)="Fin",1-$H2496,IF(LEFT(TRIM(Paramètres!M12),1)="F",1,0)))),IF(Paramètres!N12="",0,IF(Paramètres!O12="",NA(),IF(LEFT(TRIM(Paramètres!O12),1)="F",INDEX($F$2489:$F$2541,MATCH(Paramètres!N12,Paramètres!$G$5:$G$57,0)),INDEX($E$2489:$E$2541,MATCH(Paramètres!N12,Paramètres!$G$5:$G$57,0)))+IF(RIGHT(TRIM(Paramètres!O12),3)="Fin",1-$H2496,IF(LEFT(TRIM(Paramètres!O12),1)="F",1,0)))))))</f>
        <v/>
      </c>
      <c r="F2496" s="19">
        <f>IF($A2496="","",E2496+$H2496-1)</f>
        <v/>
      </c>
      <c r="G2496" s="18" t="n"/>
      <c r="H2496" s="18">
        <f>IF($A2496="","",IF(I2496&lt;&gt;"",I2496,Paramètres!B12))</f>
        <v/>
      </c>
      <c r="I2496" s="18" t="n"/>
    </row>
    <row r="2497">
      <c r="A2497" s="18">
        <f>IF(ISNUMBER(Dossiers!$D$50),Dossiers!$A$50&amp;" · "&amp;Dossiers!$B$50,"")</f>
        <v/>
      </c>
      <c r="B2497" s="18">
        <f>IF($A2497="","",Paramètres!G13)</f>
        <v/>
      </c>
      <c r="C2497" s="18">
        <f>IF($A2497="","",IF(Paramètres!H13="","",Paramètres!H13))</f>
        <v/>
      </c>
      <c r="D2497" s="18">
        <f>IF($A2497="","",IF(Paramètres!I13="","",Paramètres!I13))</f>
        <v/>
      </c>
      <c r="E2497" s="19">
        <f>IF($A2497="","",IF(Paramètres!J13&amp;Paramètres!L13&amp;Paramètres!N13="",Dossiers!$D$50,MAX(IF(Paramètres!J13="",0,IF(Paramètres!K13="",NA(),IF(LEFT(TRIM(Paramètres!K13),1)="F",INDEX($F$2489:$F$2541,MATCH(Paramètres!J13,Paramètres!$G$5:$G$57,0)),INDEX($E$2489:$E$2541,MATCH(Paramètres!J13,Paramètres!$G$5:$G$57,0)))+IF(RIGHT(TRIM(Paramètres!K13),3)="Fin",1-$H2497,IF(LEFT(TRIM(Paramètres!K13),1)="F",1,0)))),IF(Paramètres!L13="",0,IF(Paramètres!M13="",NA(),IF(LEFT(TRIM(Paramètres!M13),1)="F",INDEX($F$2489:$F$2541,MATCH(Paramètres!L13,Paramètres!$G$5:$G$57,0)),INDEX($E$2489:$E$2541,MATCH(Paramètres!L13,Paramètres!$G$5:$G$57,0)))+IF(RIGHT(TRIM(Paramètres!M13),3)="Fin",1-$H2497,IF(LEFT(TRIM(Paramètres!M13),1)="F",1,0)))),IF(Paramètres!N13="",0,IF(Paramètres!O13="",NA(),IF(LEFT(TRIM(Paramètres!O13),1)="F",INDEX($F$2489:$F$2541,MATCH(Paramètres!N13,Paramètres!$G$5:$G$57,0)),INDEX($E$2489:$E$2541,MATCH(Paramètres!N13,Paramètres!$G$5:$G$57,0)))+IF(RIGHT(TRIM(Paramètres!O13),3)="Fin",1-$H2497,IF(LEFT(TRIM(Paramètres!O13),1)="F",1,0)))))))</f>
        <v/>
      </c>
      <c r="F2497" s="19">
        <f>IF($A2497="","",E2497+$H2497-1)</f>
        <v/>
      </c>
      <c r="G2497" s="18" t="n"/>
      <c r="H2497" s="18">
        <f>IF($A2497="","",IF(I2497&lt;&gt;"",I2497,Paramètres!B13))</f>
        <v/>
      </c>
      <c r="I2497" s="18" t="n"/>
    </row>
    <row r="2498">
      <c r="A2498" s="18">
        <f>IF(ISNUMBER(Dossiers!$D$50),Dossiers!$A$50&amp;" · "&amp;Dossiers!$B$50,"")</f>
        <v/>
      </c>
      <c r="B2498" s="18">
        <f>IF($A2498="","",Paramètres!G14)</f>
        <v/>
      </c>
      <c r="C2498" s="18">
        <f>IF($A2498="","",IF(Paramètres!H14="","",Paramètres!H14))</f>
        <v/>
      </c>
      <c r="D2498" s="18">
        <f>IF($A2498="","",IF(Paramètres!I14="","",Paramètres!I14))</f>
        <v/>
      </c>
      <c r="E2498" s="19">
        <f>IF($A2498="","",IF(Paramètres!J14&amp;Paramètres!L14&amp;Paramètres!N14="",Dossiers!$D$50,MAX(IF(Paramètres!J14="",0,IF(Paramètres!K14="",NA(),IF(LEFT(TRIM(Paramètres!K14),1)="F",INDEX($F$2489:$F$2541,MATCH(Paramètres!J14,Paramètres!$G$5:$G$57,0)),INDEX($E$2489:$E$2541,MATCH(Paramètres!J14,Paramètres!$G$5:$G$57,0)))+IF(RIGHT(TRIM(Paramètres!K14),3)="Fin",1-$H2498,IF(LEFT(TRIM(Paramètres!K14),1)="F",1,0)))),IF(Paramètres!L14="",0,IF(Paramètres!M14="",NA(),IF(LEFT(TRIM(Paramètres!M14),1)="F",INDEX($F$2489:$F$2541,MATCH(Paramètres!L14,Paramètres!$G$5:$G$57,0)),INDEX($E$2489:$E$2541,MATCH(Paramètres!L14,Paramètres!$G$5:$G$57,0)))+IF(RIGHT(TRIM(Paramètres!M14),3)="Fin",1-$H2498,IF(LEFT(TRIM(Paramètres!M14),1)="F",1,0)))),IF(Paramètres!N14="",0,IF(Paramètres!O14="",NA(),IF(LEFT(TRIM(Paramètres!O14),1)="F",INDEX($F$2489:$F$2541,MATCH(Paramètres!N14,Paramètres!$G$5:$G$57,0)),INDEX($E$2489:$E$2541,MATCH(Paramètres!N14,Paramètres!$G$5:$G$57,0)))+IF(RIGHT(TRIM(Paramètres!O14),3)="Fin",1-$H2498,IF(LEFT(TRIM(Paramètres!O14),1)="F",1,0)))))))</f>
        <v/>
      </c>
      <c r="F2498" s="19">
        <f>IF($A2498="","",E2498+$H2498-1)</f>
        <v/>
      </c>
      <c r="G2498" s="18" t="n"/>
      <c r="H2498" s="18">
        <f>IF($A2498="","",IF(I2498&lt;&gt;"",I2498,Paramètres!B14))</f>
        <v/>
      </c>
      <c r="I2498" s="18" t="n"/>
    </row>
    <row r="2499">
      <c r="A2499" s="18">
        <f>IF(ISNUMBER(Dossiers!$D$50),Dossiers!$A$50&amp;" · "&amp;Dossiers!$B$50,"")</f>
        <v/>
      </c>
      <c r="B2499" s="18">
        <f>IF($A2499="","",Paramètres!G15)</f>
        <v/>
      </c>
      <c r="C2499" s="18">
        <f>IF($A2499="","",IF(Paramètres!H15="","",Paramètres!H15))</f>
        <v/>
      </c>
      <c r="D2499" s="18">
        <f>IF($A2499="","",IF(Paramètres!I15="","",Paramètres!I15))</f>
        <v/>
      </c>
      <c r="E2499" s="19">
        <f>IF($A2499="","",MIN(E2500:E2515))</f>
        <v/>
      </c>
      <c r="F2499" s="19">
        <f>IF($A2499="","",MAX(F2500:F2515))</f>
        <v/>
      </c>
      <c r="G2499" s="18" t="n"/>
      <c r="H2499" s="18">
        <f>IF($A2499="","",F2499-E2499+1)</f>
        <v/>
      </c>
      <c r="I2499" s="18" t="n"/>
    </row>
    <row r="2500">
      <c r="A2500" s="18">
        <f>IF(ISNUMBER(Dossiers!$D$50),Dossiers!$A$50&amp;" · "&amp;Dossiers!$B$50,"")</f>
        <v/>
      </c>
      <c r="B2500" s="18">
        <f>IF($A2500="","",Paramètres!G16)</f>
        <v/>
      </c>
      <c r="C2500" s="18">
        <f>IF($A2500="","",IF(Paramètres!H16="","",Paramètres!H16))</f>
        <v/>
      </c>
      <c r="D2500" s="18">
        <f>IF($A2500="","",IF(Paramètres!I16="","",Paramètres!I16))</f>
        <v/>
      </c>
      <c r="E2500" s="19">
        <f>IF($A2500="","",IF(Paramètres!J16&amp;Paramètres!L16&amp;Paramètres!N16="",Dossiers!$D$50,MAX(IF(Paramètres!J16="",0,IF(Paramètres!K16="",NA(),IF(LEFT(TRIM(Paramètres!K16),1)="F",INDEX($F$2489:$F$2541,MATCH(Paramètres!J16,Paramètres!$G$5:$G$57,0)),INDEX($E$2489:$E$2541,MATCH(Paramètres!J16,Paramètres!$G$5:$G$57,0)))+IF(RIGHT(TRIM(Paramètres!K16),3)="Fin",1-$H2500,IF(LEFT(TRIM(Paramètres!K16),1)="F",1,0)))),IF(Paramètres!L16="",0,IF(Paramètres!M16="",NA(),IF(LEFT(TRIM(Paramètres!M16),1)="F",INDEX($F$2489:$F$2541,MATCH(Paramètres!L16,Paramètres!$G$5:$G$57,0)),INDEX($E$2489:$E$2541,MATCH(Paramètres!L16,Paramètres!$G$5:$G$57,0)))+IF(RIGHT(TRIM(Paramètres!M16),3)="Fin",1-$H2500,IF(LEFT(TRIM(Paramètres!M16),1)="F",1,0)))),IF(Paramètres!N16="",0,IF(Paramètres!O16="",NA(),IF(LEFT(TRIM(Paramètres!O16),1)="F",INDEX($F$2489:$F$2541,MATCH(Paramètres!N16,Paramètres!$G$5:$G$57,0)),INDEX($E$2489:$E$2541,MATCH(Paramètres!N16,Paramètres!$G$5:$G$57,0)))+IF(RIGHT(TRIM(Paramètres!O16),3)="Fin",1-$H2500,IF(LEFT(TRIM(Paramètres!O16),1)="F",1,0)))))))</f>
        <v/>
      </c>
      <c r="F2500" s="19">
        <f>IF($A2500="","",E2500+$H2500-1)</f>
        <v/>
      </c>
      <c r="G2500" s="18" t="n"/>
      <c r="H2500" s="18">
        <f>IF($A2500="","",IF(I2500&lt;&gt;"",I2500,Paramètres!B16))</f>
        <v/>
      </c>
      <c r="I2500" s="18" t="n"/>
    </row>
    <row r="2501">
      <c r="A2501" s="18">
        <f>IF(ISNUMBER(Dossiers!$D$50),Dossiers!$A$50&amp;" · "&amp;Dossiers!$B$50,"")</f>
        <v/>
      </c>
      <c r="B2501" s="18">
        <f>IF($A2501="","",Paramètres!G17)</f>
        <v/>
      </c>
      <c r="C2501" s="18">
        <f>IF($A2501="","",IF(Paramètres!H17="","",Paramètres!H17))</f>
        <v/>
      </c>
      <c r="D2501" s="18">
        <f>IF($A2501="","",IF(Paramètres!I17="","",Paramètres!I17))</f>
        <v/>
      </c>
      <c r="E2501" s="19">
        <f>IF($A2501="","",IF(Paramètres!J17&amp;Paramètres!L17&amp;Paramètres!N17="",Dossiers!$D$50,MAX(IF(Paramètres!J17="",0,IF(Paramètres!K17="",NA(),IF(LEFT(TRIM(Paramètres!K17),1)="F",INDEX($F$2489:$F$2541,MATCH(Paramètres!J17,Paramètres!$G$5:$G$57,0)),INDEX($E$2489:$E$2541,MATCH(Paramètres!J17,Paramètres!$G$5:$G$57,0)))+IF(RIGHT(TRIM(Paramètres!K17),3)="Fin",1-$H2501,IF(LEFT(TRIM(Paramètres!K17),1)="F",1,0)))),IF(Paramètres!L17="",0,IF(Paramètres!M17="",NA(),IF(LEFT(TRIM(Paramètres!M17),1)="F",INDEX($F$2489:$F$2541,MATCH(Paramètres!L17,Paramètres!$G$5:$G$57,0)),INDEX($E$2489:$E$2541,MATCH(Paramètres!L17,Paramètres!$G$5:$G$57,0)))+IF(RIGHT(TRIM(Paramètres!M17),3)="Fin",1-$H2501,IF(LEFT(TRIM(Paramètres!M17),1)="F",1,0)))),IF(Paramètres!N17="",0,IF(Paramètres!O17="",NA(),IF(LEFT(TRIM(Paramètres!O17),1)="F",INDEX($F$2489:$F$2541,MATCH(Paramètres!N17,Paramètres!$G$5:$G$57,0)),INDEX($E$2489:$E$2541,MATCH(Paramètres!N17,Paramètres!$G$5:$G$57,0)))+IF(RIGHT(TRIM(Paramètres!O17),3)="Fin",1-$H2501,IF(LEFT(TRIM(Paramètres!O17),1)="F",1,0)))))))</f>
        <v/>
      </c>
      <c r="F2501" s="19">
        <f>IF($A2501="","",E2501+$H2501-1)</f>
        <v/>
      </c>
      <c r="G2501" s="18" t="n"/>
      <c r="H2501" s="18">
        <f>IF($A2501="","",IF(I2501&lt;&gt;"",I2501,Paramètres!B17))</f>
        <v/>
      </c>
      <c r="I2501" s="18" t="n"/>
    </row>
    <row r="2502">
      <c r="A2502" s="18">
        <f>IF(ISNUMBER(Dossiers!$D$50),Dossiers!$A$50&amp;" · "&amp;Dossiers!$B$50,"")</f>
        <v/>
      </c>
      <c r="B2502" s="18">
        <f>IF($A2502="","",Paramètres!G18)</f>
        <v/>
      </c>
      <c r="C2502" s="18">
        <f>IF($A2502="","",IF(Paramètres!H18="","",Paramètres!H18))</f>
        <v/>
      </c>
      <c r="D2502" s="18">
        <f>IF($A2502="","",IF(Paramètres!I18="","",Paramètres!I18))</f>
        <v/>
      </c>
      <c r="E2502" s="19">
        <f>IF($A2502="","",IF(Paramètres!J18&amp;Paramètres!L18&amp;Paramètres!N18="",Dossiers!$D$50,MAX(IF(Paramètres!J18="",0,IF(Paramètres!K18="",NA(),IF(LEFT(TRIM(Paramètres!K18),1)="F",INDEX($F$2489:$F$2541,MATCH(Paramètres!J18,Paramètres!$G$5:$G$57,0)),INDEX($E$2489:$E$2541,MATCH(Paramètres!J18,Paramètres!$G$5:$G$57,0)))+IF(RIGHT(TRIM(Paramètres!K18),3)="Fin",1-$H2502,IF(LEFT(TRIM(Paramètres!K18),1)="F",1,0)))),IF(Paramètres!L18="",0,IF(Paramètres!M18="",NA(),IF(LEFT(TRIM(Paramètres!M18),1)="F",INDEX($F$2489:$F$2541,MATCH(Paramètres!L18,Paramètres!$G$5:$G$57,0)),INDEX($E$2489:$E$2541,MATCH(Paramètres!L18,Paramètres!$G$5:$G$57,0)))+IF(RIGHT(TRIM(Paramètres!M18),3)="Fin",1-$H2502,IF(LEFT(TRIM(Paramètres!M18),1)="F",1,0)))),IF(Paramètres!N18="",0,IF(Paramètres!O18="",NA(),IF(LEFT(TRIM(Paramètres!O18),1)="F",INDEX($F$2489:$F$2541,MATCH(Paramètres!N18,Paramètres!$G$5:$G$57,0)),INDEX($E$2489:$E$2541,MATCH(Paramètres!N18,Paramètres!$G$5:$G$57,0)))+IF(RIGHT(TRIM(Paramètres!O18),3)="Fin",1-$H2502,IF(LEFT(TRIM(Paramètres!O18),1)="F",1,0)))))))</f>
        <v/>
      </c>
      <c r="F2502" s="19">
        <f>IF($A2502="","",E2502+$H2502-1)</f>
        <v/>
      </c>
      <c r="G2502" s="18" t="n"/>
      <c r="H2502" s="18">
        <f>IF($A2502="","",IF(I2502&lt;&gt;"",I2502,Paramètres!B18))</f>
        <v/>
      </c>
      <c r="I2502" s="18" t="n"/>
    </row>
    <row r="2503">
      <c r="A2503" s="18">
        <f>IF(ISNUMBER(Dossiers!$D$50),Dossiers!$A$50&amp;" · "&amp;Dossiers!$B$50,"")</f>
        <v/>
      </c>
      <c r="B2503" s="18">
        <f>IF($A2503="","",Paramètres!G19)</f>
        <v/>
      </c>
      <c r="C2503" s="18">
        <f>IF($A2503="","",IF(Paramètres!H19="","",Paramètres!H19))</f>
        <v/>
      </c>
      <c r="D2503" s="18">
        <f>IF($A2503="","",IF(Paramètres!I19="","",Paramètres!I19))</f>
        <v/>
      </c>
      <c r="E2503" s="19">
        <f>IF($A2503="","",IF(Paramètres!J19&amp;Paramètres!L19&amp;Paramètres!N19="",Dossiers!$D$50,MAX(IF(Paramètres!J19="",0,IF(Paramètres!K19="",NA(),IF(LEFT(TRIM(Paramètres!K19),1)="F",INDEX($F$2489:$F$2541,MATCH(Paramètres!J19,Paramètres!$G$5:$G$57,0)),INDEX($E$2489:$E$2541,MATCH(Paramètres!J19,Paramètres!$G$5:$G$57,0)))+IF(RIGHT(TRIM(Paramètres!K19),3)="Fin",1-$H2503,IF(LEFT(TRIM(Paramètres!K19),1)="F",1,0)))),IF(Paramètres!L19="",0,IF(Paramètres!M19="",NA(),IF(LEFT(TRIM(Paramètres!M19),1)="F",INDEX($F$2489:$F$2541,MATCH(Paramètres!L19,Paramètres!$G$5:$G$57,0)),INDEX($E$2489:$E$2541,MATCH(Paramètres!L19,Paramètres!$G$5:$G$57,0)))+IF(RIGHT(TRIM(Paramètres!M19),3)="Fin",1-$H2503,IF(LEFT(TRIM(Paramètres!M19),1)="F",1,0)))),IF(Paramètres!N19="",0,IF(Paramètres!O19="",NA(),IF(LEFT(TRIM(Paramètres!O19),1)="F",INDEX($F$2489:$F$2541,MATCH(Paramètres!N19,Paramètres!$G$5:$G$57,0)),INDEX($E$2489:$E$2541,MATCH(Paramètres!N19,Paramètres!$G$5:$G$57,0)))+IF(RIGHT(TRIM(Paramètres!O19),3)="Fin",1-$H2503,IF(LEFT(TRIM(Paramètres!O19),1)="F",1,0)))))))</f>
        <v/>
      </c>
      <c r="F2503" s="19">
        <f>IF($A2503="","",E2503+$H2503-1)</f>
        <v/>
      </c>
      <c r="G2503" s="18" t="n"/>
      <c r="H2503" s="18">
        <f>IF($A2503="","",IF(I2503&lt;&gt;"",I2503,Paramètres!B19))</f>
        <v/>
      </c>
      <c r="I2503" s="18" t="n"/>
    </row>
    <row r="2504">
      <c r="A2504" s="18">
        <f>IF(ISNUMBER(Dossiers!$D$50),Dossiers!$A$50&amp;" · "&amp;Dossiers!$B$50,"")</f>
        <v/>
      </c>
      <c r="B2504" s="18">
        <f>IF($A2504="","",Paramètres!G20)</f>
        <v/>
      </c>
      <c r="C2504" s="18">
        <f>IF($A2504="","",IF(Paramètres!H20="","",Paramètres!H20))</f>
        <v/>
      </c>
      <c r="D2504" s="18">
        <f>IF($A2504="","",IF(Paramètres!I20="","",Paramètres!I20))</f>
        <v/>
      </c>
      <c r="E2504" s="19">
        <f>IF($A2504="","",IF(Paramètres!J20&amp;Paramètres!L20&amp;Paramètres!N20="",Dossiers!$D$50,MAX(IF(Paramètres!J20="",0,IF(Paramètres!K20="",NA(),IF(LEFT(TRIM(Paramètres!K20),1)="F",INDEX($F$2489:$F$2541,MATCH(Paramètres!J20,Paramètres!$G$5:$G$57,0)),INDEX($E$2489:$E$2541,MATCH(Paramètres!J20,Paramètres!$G$5:$G$57,0)))+IF(RIGHT(TRIM(Paramètres!K20),3)="Fin",1-$H2504,IF(LEFT(TRIM(Paramètres!K20),1)="F",1,0)))),IF(Paramètres!L20="",0,IF(Paramètres!M20="",NA(),IF(LEFT(TRIM(Paramètres!M20),1)="F",INDEX($F$2489:$F$2541,MATCH(Paramètres!L20,Paramètres!$G$5:$G$57,0)),INDEX($E$2489:$E$2541,MATCH(Paramètres!L20,Paramètres!$G$5:$G$57,0)))+IF(RIGHT(TRIM(Paramètres!M20),3)="Fin",1-$H2504,IF(LEFT(TRIM(Paramètres!M20),1)="F",1,0)))),IF(Paramètres!N20="",0,IF(Paramètres!O20="",NA(),IF(LEFT(TRIM(Paramètres!O20),1)="F",INDEX($F$2489:$F$2541,MATCH(Paramètres!N20,Paramètres!$G$5:$G$57,0)),INDEX($E$2489:$E$2541,MATCH(Paramètres!N20,Paramètres!$G$5:$G$57,0)))+IF(RIGHT(TRIM(Paramètres!O20),3)="Fin",1-$H2504,IF(LEFT(TRIM(Paramètres!O20),1)="F",1,0)))))))</f>
        <v/>
      </c>
      <c r="F2504" s="19">
        <f>IF($A2504="","",E2504+$H2504-1)</f>
        <v/>
      </c>
      <c r="G2504" s="18" t="n"/>
      <c r="H2504" s="18">
        <f>IF($A2504="","",IF(I2504&lt;&gt;"",I2504,Paramètres!B20))</f>
        <v/>
      </c>
      <c r="I2504" s="18" t="n"/>
    </row>
    <row r="2505">
      <c r="A2505" s="18">
        <f>IF(ISNUMBER(Dossiers!$D$50),Dossiers!$A$50&amp;" · "&amp;Dossiers!$B$50,"")</f>
        <v/>
      </c>
      <c r="B2505" s="18">
        <f>IF($A2505="","",Paramètres!G21)</f>
        <v/>
      </c>
      <c r="C2505" s="18">
        <f>IF($A2505="","",IF(Paramètres!H21="","",Paramètres!H21))</f>
        <v/>
      </c>
      <c r="D2505" s="18">
        <f>IF($A2505="","",IF(Paramètres!I21="","",Paramètres!I21))</f>
        <v/>
      </c>
      <c r="E2505" s="19">
        <f>IF($A2505="","",IF(Paramètres!J21&amp;Paramètres!L21&amp;Paramètres!N21="",Dossiers!$D$50,MAX(IF(Paramètres!J21="",0,IF(Paramètres!K21="",NA(),IF(LEFT(TRIM(Paramètres!K21),1)="F",INDEX($F$2489:$F$2541,MATCH(Paramètres!J21,Paramètres!$G$5:$G$57,0)),INDEX($E$2489:$E$2541,MATCH(Paramètres!J21,Paramètres!$G$5:$G$57,0)))+IF(RIGHT(TRIM(Paramètres!K21),3)="Fin",1-$H2505,IF(LEFT(TRIM(Paramètres!K21),1)="F",1,0)))),IF(Paramètres!L21="",0,IF(Paramètres!M21="",NA(),IF(LEFT(TRIM(Paramètres!M21),1)="F",INDEX($F$2489:$F$2541,MATCH(Paramètres!L21,Paramètres!$G$5:$G$57,0)),INDEX($E$2489:$E$2541,MATCH(Paramètres!L21,Paramètres!$G$5:$G$57,0)))+IF(RIGHT(TRIM(Paramètres!M21),3)="Fin",1-$H2505,IF(LEFT(TRIM(Paramètres!M21),1)="F",1,0)))),IF(Paramètres!N21="",0,IF(Paramètres!O21="",NA(),IF(LEFT(TRIM(Paramètres!O21),1)="F",INDEX($F$2489:$F$2541,MATCH(Paramètres!N21,Paramètres!$G$5:$G$57,0)),INDEX($E$2489:$E$2541,MATCH(Paramètres!N21,Paramètres!$G$5:$G$57,0)))+IF(RIGHT(TRIM(Paramètres!O21),3)="Fin",1-$H2505,IF(LEFT(TRIM(Paramètres!O21),1)="F",1,0)))))))</f>
        <v/>
      </c>
      <c r="F2505" s="19">
        <f>IF($A2505="","",E2505+$H2505-1)</f>
        <v/>
      </c>
      <c r="G2505" s="18" t="n"/>
      <c r="H2505" s="18">
        <f>IF($A2505="","",IF(I2505&lt;&gt;"",I2505,Paramètres!B21))</f>
        <v/>
      </c>
      <c r="I2505" s="18" t="n"/>
    </row>
    <row r="2506">
      <c r="A2506" s="18">
        <f>IF(ISNUMBER(Dossiers!$D$50),Dossiers!$A$50&amp;" · "&amp;Dossiers!$B$50,"")</f>
        <v/>
      </c>
      <c r="B2506" s="18">
        <f>IF($A2506="","",Paramètres!G22)</f>
        <v/>
      </c>
      <c r="C2506" s="18">
        <f>IF($A2506="","",IF(Paramètres!H22="","",Paramètres!H22))</f>
        <v/>
      </c>
      <c r="D2506" s="18">
        <f>IF($A2506="","",IF(Paramètres!I22="","",Paramètres!I22))</f>
        <v/>
      </c>
      <c r="E2506" s="19">
        <f>IF($A2506="","",IF(Paramètres!J22&amp;Paramètres!L22&amp;Paramètres!N22="",Dossiers!$D$50,MAX(IF(Paramètres!J22="",0,IF(Paramètres!K22="",NA(),IF(LEFT(TRIM(Paramètres!K22),1)="F",INDEX($F$2489:$F$2541,MATCH(Paramètres!J22,Paramètres!$G$5:$G$57,0)),INDEX($E$2489:$E$2541,MATCH(Paramètres!J22,Paramètres!$G$5:$G$57,0)))+IF(RIGHT(TRIM(Paramètres!K22),3)="Fin",1-$H2506,IF(LEFT(TRIM(Paramètres!K22),1)="F",1,0)))),IF(Paramètres!L22="",0,IF(Paramètres!M22="",NA(),IF(LEFT(TRIM(Paramètres!M22),1)="F",INDEX($F$2489:$F$2541,MATCH(Paramètres!L22,Paramètres!$G$5:$G$57,0)),INDEX($E$2489:$E$2541,MATCH(Paramètres!L22,Paramètres!$G$5:$G$57,0)))+IF(RIGHT(TRIM(Paramètres!M22),3)="Fin",1-$H2506,IF(LEFT(TRIM(Paramètres!M22),1)="F",1,0)))),IF(Paramètres!N22="",0,IF(Paramètres!O22="",NA(),IF(LEFT(TRIM(Paramètres!O22),1)="F",INDEX($F$2489:$F$2541,MATCH(Paramètres!N22,Paramètres!$G$5:$G$57,0)),INDEX($E$2489:$E$2541,MATCH(Paramètres!N22,Paramètres!$G$5:$G$57,0)))+IF(RIGHT(TRIM(Paramètres!O22),3)="Fin",1-$H2506,IF(LEFT(TRIM(Paramètres!O22),1)="F",1,0)))))))</f>
        <v/>
      </c>
      <c r="F2506" s="19">
        <f>IF($A2506="","",E2506+$H2506-1)</f>
        <v/>
      </c>
      <c r="G2506" s="18" t="n"/>
      <c r="H2506" s="18">
        <f>IF($A2506="","",IF(I2506&lt;&gt;"",I2506,Paramètres!B22))</f>
        <v/>
      </c>
      <c r="I2506" s="18" t="n"/>
    </row>
    <row r="2507">
      <c r="A2507" s="18">
        <f>IF(ISNUMBER(Dossiers!$D$50),Dossiers!$A$50&amp;" · "&amp;Dossiers!$B$50,"")</f>
        <v/>
      </c>
      <c r="B2507" s="18">
        <f>IF($A2507="","",Paramètres!G23)</f>
        <v/>
      </c>
      <c r="C2507" s="18">
        <f>IF($A2507="","",IF(Paramètres!H23="","",Paramètres!H23))</f>
        <v/>
      </c>
      <c r="D2507" s="18">
        <f>IF($A2507="","",IF(Paramètres!I23="","",Paramètres!I23))</f>
        <v/>
      </c>
      <c r="E2507" s="19">
        <f>IF($A2507="","",IF(Paramètres!J23&amp;Paramètres!L23&amp;Paramètres!N23="",Dossiers!$D$50,MAX(IF(Paramètres!J23="",0,IF(Paramètres!K23="",NA(),IF(LEFT(TRIM(Paramètres!K23),1)="F",INDEX($F$2489:$F$2541,MATCH(Paramètres!J23,Paramètres!$G$5:$G$57,0)),INDEX($E$2489:$E$2541,MATCH(Paramètres!J23,Paramètres!$G$5:$G$57,0)))+IF(RIGHT(TRIM(Paramètres!K23),3)="Fin",1-$H2507,IF(LEFT(TRIM(Paramètres!K23),1)="F",1,0)))),IF(Paramètres!L23="",0,IF(Paramètres!M23="",NA(),IF(LEFT(TRIM(Paramètres!M23),1)="F",INDEX($F$2489:$F$2541,MATCH(Paramètres!L23,Paramètres!$G$5:$G$57,0)),INDEX($E$2489:$E$2541,MATCH(Paramètres!L23,Paramètres!$G$5:$G$57,0)))+IF(RIGHT(TRIM(Paramètres!M23),3)="Fin",1-$H2507,IF(LEFT(TRIM(Paramètres!M23),1)="F",1,0)))),IF(Paramètres!N23="",0,IF(Paramètres!O23="",NA(),IF(LEFT(TRIM(Paramètres!O23),1)="F",INDEX($F$2489:$F$2541,MATCH(Paramètres!N23,Paramètres!$G$5:$G$57,0)),INDEX($E$2489:$E$2541,MATCH(Paramètres!N23,Paramètres!$G$5:$G$57,0)))+IF(RIGHT(TRIM(Paramètres!O23),3)="Fin",1-$H2507,IF(LEFT(TRIM(Paramètres!O23),1)="F",1,0)))))))</f>
        <v/>
      </c>
      <c r="F2507" s="19">
        <f>IF($A2507="","",E2507+$H2507-1)</f>
        <v/>
      </c>
      <c r="G2507" s="18" t="n"/>
      <c r="H2507" s="18">
        <f>IF($A2507="","",IF(I2507&lt;&gt;"",I2507,Paramètres!B23))</f>
        <v/>
      </c>
      <c r="I2507" s="18" t="n"/>
    </row>
    <row r="2508">
      <c r="A2508" s="18">
        <f>IF(ISNUMBER(Dossiers!$D$50),Dossiers!$A$50&amp;" · "&amp;Dossiers!$B$50,"")</f>
        <v/>
      </c>
      <c r="B2508" s="18">
        <f>IF($A2508="","",Paramètres!G24)</f>
        <v/>
      </c>
      <c r="C2508" s="18">
        <f>IF($A2508="","",IF(Paramètres!H24="","",Paramètres!H24))</f>
        <v/>
      </c>
      <c r="D2508" s="18">
        <f>IF($A2508="","",IF(Paramètres!I24="","",Paramètres!I24))</f>
        <v/>
      </c>
      <c r="E2508" s="19">
        <f>IF($A2508="","",IF(Paramètres!J24&amp;Paramètres!L24&amp;Paramètres!N24="",Dossiers!$D$50,MAX(IF(Paramètres!J24="",0,IF(Paramètres!K24="",NA(),IF(LEFT(TRIM(Paramètres!K24),1)="F",INDEX($F$2489:$F$2541,MATCH(Paramètres!J24,Paramètres!$G$5:$G$57,0)),INDEX($E$2489:$E$2541,MATCH(Paramètres!J24,Paramètres!$G$5:$G$57,0)))+IF(RIGHT(TRIM(Paramètres!K24),3)="Fin",1-$H2508,IF(LEFT(TRIM(Paramètres!K24),1)="F",1,0)))),IF(Paramètres!L24="",0,IF(Paramètres!M24="",NA(),IF(LEFT(TRIM(Paramètres!M24),1)="F",INDEX($F$2489:$F$2541,MATCH(Paramètres!L24,Paramètres!$G$5:$G$57,0)),INDEX($E$2489:$E$2541,MATCH(Paramètres!L24,Paramètres!$G$5:$G$57,0)))+IF(RIGHT(TRIM(Paramètres!M24),3)="Fin",1-$H2508,IF(LEFT(TRIM(Paramètres!M24),1)="F",1,0)))),IF(Paramètres!N24="",0,IF(Paramètres!O24="",NA(),IF(LEFT(TRIM(Paramètres!O24),1)="F",INDEX($F$2489:$F$2541,MATCH(Paramètres!N24,Paramètres!$G$5:$G$57,0)),INDEX($E$2489:$E$2541,MATCH(Paramètres!N24,Paramètres!$G$5:$G$57,0)))+IF(RIGHT(TRIM(Paramètres!O24),3)="Fin",1-$H2508,IF(LEFT(TRIM(Paramètres!O24),1)="F",1,0)))))))</f>
        <v/>
      </c>
      <c r="F2508" s="19">
        <f>IF($A2508="","",E2508+$H2508-1)</f>
        <v/>
      </c>
      <c r="G2508" s="18" t="n"/>
      <c r="H2508" s="18">
        <f>IF($A2508="","",IF(I2508&lt;&gt;"",I2508,Paramètres!B24))</f>
        <v/>
      </c>
      <c r="I2508" s="18" t="n"/>
    </row>
    <row r="2509">
      <c r="A2509" s="18">
        <f>IF(ISNUMBER(Dossiers!$D$50),Dossiers!$A$50&amp;" · "&amp;Dossiers!$B$50,"")</f>
        <v/>
      </c>
      <c r="B2509" s="18">
        <f>IF($A2509="","",Paramètres!G25)</f>
        <v/>
      </c>
      <c r="C2509" s="18">
        <f>IF($A2509="","",IF(Paramètres!H25="","",Paramètres!H25))</f>
        <v/>
      </c>
      <c r="D2509" s="18">
        <f>IF($A2509="","",IF(Paramètres!I25="","",Paramètres!I25))</f>
        <v/>
      </c>
      <c r="E2509" s="19">
        <f>IF($A2509="","",IF(Paramètres!J25&amp;Paramètres!L25&amp;Paramètres!N25="",Dossiers!$D$50,MAX(IF(Paramètres!J25="",0,IF(Paramètres!K25="",NA(),IF(LEFT(TRIM(Paramètres!K25),1)="F",INDEX($F$2489:$F$2541,MATCH(Paramètres!J25,Paramètres!$G$5:$G$57,0)),INDEX($E$2489:$E$2541,MATCH(Paramètres!J25,Paramètres!$G$5:$G$57,0)))+IF(RIGHT(TRIM(Paramètres!K25),3)="Fin",1-$H2509,IF(LEFT(TRIM(Paramètres!K25),1)="F",1,0)))),IF(Paramètres!L25="",0,IF(Paramètres!M25="",NA(),IF(LEFT(TRIM(Paramètres!M25),1)="F",INDEX($F$2489:$F$2541,MATCH(Paramètres!L25,Paramètres!$G$5:$G$57,0)),INDEX($E$2489:$E$2541,MATCH(Paramètres!L25,Paramètres!$G$5:$G$57,0)))+IF(RIGHT(TRIM(Paramètres!M25),3)="Fin",1-$H2509,IF(LEFT(TRIM(Paramètres!M25),1)="F",1,0)))),IF(Paramètres!N25="",0,IF(Paramètres!O25="",NA(),IF(LEFT(TRIM(Paramètres!O25),1)="F",INDEX($F$2489:$F$2541,MATCH(Paramètres!N25,Paramètres!$G$5:$G$57,0)),INDEX($E$2489:$E$2541,MATCH(Paramètres!N25,Paramètres!$G$5:$G$57,0)))+IF(RIGHT(TRIM(Paramètres!O25),3)="Fin",1-$H2509,IF(LEFT(TRIM(Paramètres!O25),1)="F",1,0)))))))</f>
        <v/>
      </c>
      <c r="F2509" s="19">
        <f>IF($A2509="","",E2509+$H2509-1)</f>
        <v/>
      </c>
      <c r="G2509" s="18" t="n"/>
      <c r="H2509" s="18">
        <f>IF($A2509="","",IF(I2509&lt;&gt;"",I2509,Paramètres!B25))</f>
        <v/>
      </c>
      <c r="I2509" s="18" t="n"/>
    </row>
    <row r="2510">
      <c r="A2510" s="18">
        <f>IF(ISNUMBER(Dossiers!$D$50),Dossiers!$A$50&amp;" · "&amp;Dossiers!$B$50,"")</f>
        <v/>
      </c>
      <c r="B2510" s="18">
        <f>IF($A2510="","",Paramètres!G26)</f>
        <v/>
      </c>
      <c r="C2510" s="18">
        <f>IF($A2510="","",IF(Paramètres!H26="","",Paramètres!H26))</f>
        <v/>
      </c>
      <c r="D2510" s="18">
        <f>IF($A2510="","",IF(Paramètres!I26="","",Paramètres!I26))</f>
        <v/>
      </c>
      <c r="E2510" s="19">
        <f>IF($A2510="","",IF(Paramètres!J26&amp;Paramètres!L26&amp;Paramètres!N26="",Dossiers!$D$50,MAX(IF(Paramètres!J26="",0,IF(Paramètres!K26="",NA(),IF(LEFT(TRIM(Paramètres!K26),1)="F",INDEX($F$2489:$F$2541,MATCH(Paramètres!J26,Paramètres!$G$5:$G$57,0)),INDEX($E$2489:$E$2541,MATCH(Paramètres!J26,Paramètres!$G$5:$G$57,0)))+IF(RIGHT(TRIM(Paramètres!K26),3)="Fin",1-$H2510,IF(LEFT(TRIM(Paramètres!K26),1)="F",1,0)))),IF(Paramètres!L26="",0,IF(Paramètres!M26="",NA(),IF(LEFT(TRIM(Paramètres!M26),1)="F",INDEX($F$2489:$F$2541,MATCH(Paramètres!L26,Paramètres!$G$5:$G$57,0)),INDEX($E$2489:$E$2541,MATCH(Paramètres!L26,Paramètres!$G$5:$G$57,0)))+IF(RIGHT(TRIM(Paramètres!M26),3)="Fin",1-$H2510,IF(LEFT(TRIM(Paramètres!M26),1)="F",1,0)))),IF(Paramètres!N26="",0,IF(Paramètres!O26="",NA(),IF(LEFT(TRIM(Paramètres!O26),1)="F",INDEX($F$2489:$F$2541,MATCH(Paramètres!N26,Paramètres!$G$5:$G$57,0)),INDEX($E$2489:$E$2541,MATCH(Paramètres!N26,Paramètres!$G$5:$G$57,0)))+IF(RIGHT(TRIM(Paramètres!O26),3)="Fin",1-$H2510,IF(LEFT(TRIM(Paramètres!O26),1)="F",1,0)))))))</f>
        <v/>
      </c>
      <c r="F2510" s="19">
        <f>IF($A2510="","",E2510+$H2510-1)</f>
        <v/>
      </c>
      <c r="G2510" s="18" t="n"/>
      <c r="H2510" s="18">
        <f>IF($A2510="","",IF(I2510&lt;&gt;"",I2510,Paramètres!B26))</f>
        <v/>
      </c>
      <c r="I2510" s="18" t="n"/>
    </row>
    <row r="2511">
      <c r="A2511" s="18">
        <f>IF(ISNUMBER(Dossiers!$D$50),Dossiers!$A$50&amp;" · "&amp;Dossiers!$B$50,"")</f>
        <v/>
      </c>
      <c r="B2511" s="18">
        <f>IF($A2511="","",Paramètres!G27)</f>
        <v/>
      </c>
      <c r="C2511" s="18">
        <f>IF($A2511="","",IF(Paramètres!H27="","",Paramètres!H27))</f>
        <v/>
      </c>
      <c r="D2511" s="18">
        <f>IF($A2511="","",IF(Paramètres!I27="","",Paramètres!I27))</f>
        <v/>
      </c>
      <c r="E2511" s="19">
        <f>IF($A2511="","",IF(Paramètres!J27&amp;Paramètres!L27&amp;Paramètres!N27="",Dossiers!$D$50,MAX(IF(Paramètres!J27="",0,IF(Paramètres!K27="",NA(),IF(LEFT(TRIM(Paramètres!K27),1)="F",INDEX($F$2489:$F$2541,MATCH(Paramètres!J27,Paramètres!$G$5:$G$57,0)),INDEX($E$2489:$E$2541,MATCH(Paramètres!J27,Paramètres!$G$5:$G$57,0)))+IF(RIGHT(TRIM(Paramètres!K27),3)="Fin",1-$H2511,IF(LEFT(TRIM(Paramètres!K27),1)="F",1,0)))),IF(Paramètres!L27="",0,IF(Paramètres!M27="",NA(),IF(LEFT(TRIM(Paramètres!M27),1)="F",INDEX($F$2489:$F$2541,MATCH(Paramètres!L27,Paramètres!$G$5:$G$57,0)),INDEX($E$2489:$E$2541,MATCH(Paramètres!L27,Paramètres!$G$5:$G$57,0)))+IF(RIGHT(TRIM(Paramètres!M27),3)="Fin",1-$H2511,IF(LEFT(TRIM(Paramètres!M27),1)="F",1,0)))),IF(Paramètres!N27="",0,IF(Paramètres!O27="",NA(),IF(LEFT(TRIM(Paramètres!O27),1)="F",INDEX($F$2489:$F$2541,MATCH(Paramètres!N27,Paramètres!$G$5:$G$57,0)),INDEX($E$2489:$E$2541,MATCH(Paramètres!N27,Paramètres!$G$5:$G$57,0)))+IF(RIGHT(TRIM(Paramètres!O27),3)="Fin",1-$H2511,IF(LEFT(TRIM(Paramètres!O27),1)="F",1,0)))))))</f>
        <v/>
      </c>
      <c r="F2511" s="19">
        <f>IF($A2511="","",E2511+$H2511-1)</f>
        <v/>
      </c>
      <c r="G2511" s="18" t="n"/>
      <c r="H2511" s="18">
        <f>IF($A2511="","",IF(I2511&lt;&gt;"",I2511,Paramètres!B27))</f>
        <v/>
      </c>
      <c r="I2511" s="18" t="n"/>
    </row>
    <row r="2512">
      <c r="A2512" s="18">
        <f>IF(ISNUMBER(Dossiers!$D$50),Dossiers!$A$50&amp;" · "&amp;Dossiers!$B$50,"")</f>
        <v/>
      </c>
      <c r="B2512" s="18">
        <f>IF($A2512="","",Paramètres!G28)</f>
        <v/>
      </c>
      <c r="C2512" s="18">
        <f>IF($A2512="","",IF(Paramètres!H28="","",Paramètres!H28))</f>
        <v/>
      </c>
      <c r="D2512" s="18">
        <f>IF($A2512="","",IF(Paramètres!I28="","",Paramètres!I28))</f>
        <v/>
      </c>
      <c r="E2512" s="19">
        <f>IF($A2512="","",IF(Paramètres!J28&amp;Paramètres!L28&amp;Paramètres!N28="",Dossiers!$D$50,MAX(IF(Paramètres!J28="",0,IF(Paramètres!K28="",NA(),IF(LEFT(TRIM(Paramètres!K28),1)="F",INDEX($F$2489:$F$2541,MATCH(Paramètres!J28,Paramètres!$G$5:$G$57,0)),INDEX($E$2489:$E$2541,MATCH(Paramètres!J28,Paramètres!$G$5:$G$57,0)))+IF(RIGHT(TRIM(Paramètres!K28),3)="Fin",1-$H2512,IF(LEFT(TRIM(Paramètres!K28),1)="F",1,0)))),IF(Paramètres!L28="",0,IF(Paramètres!M28="",NA(),IF(LEFT(TRIM(Paramètres!M28),1)="F",INDEX($F$2489:$F$2541,MATCH(Paramètres!L28,Paramètres!$G$5:$G$57,0)),INDEX($E$2489:$E$2541,MATCH(Paramètres!L28,Paramètres!$G$5:$G$57,0)))+IF(RIGHT(TRIM(Paramètres!M28),3)="Fin",1-$H2512,IF(LEFT(TRIM(Paramètres!M28),1)="F",1,0)))),IF(Paramètres!N28="",0,IF(Paramètres!O28="",NA(),IF(LEFT(TRIM(Paramètres!O28),1)="F",INDEX($F$2489:$F$2541,MATCH(Paramètres!N28,Paramètres!$G$5:$G$57,0)),INDEX($E$2489:$E$2541,MATCH(Paramètres!N28,Paramètres!$G$5:$G$57,0)))+IF(RIGHT(TRIM(Paramètres!O28),3)="Fin",1-$H2512,IF(LEFT(TRIM(Paramètres!O28),1)="F",1,0)))))))</f>
        <v/>
      </c>
      <c r="F2512" s="19">
        <f>IF($A2512="","",E2512+$H2512-1)</f>
        <v/>
      </c>
      <c r="G2512" s="18" t="n"/>
      <c r="H2512" s="18">
        <f>IF($A2512="","",IF(I2512&lt;&gt;"",I2512,Paramètres!B28))</f>
        <v/>
      </c>
      <c r="I2512" s="18" t="n"/>
    </row>
    <row r="2513">
      <c r="A2513" s="18">
        <f>IF(ISNUMBER(Dossiers!$D$50),Dossiers!$A$50&amp;" · "&amp;Dossiers!$B$50,"")</f>
        <v/>
      </c>
      <c r="B2513" s="18">
        <f>IF($A2513="","",Paramètres!G29)</f>
        <v/>
      </c>
      <c r="C2513" s="18">
        <f>IF($A2513="","",IF(Paramètres!H29="","",Paramètres!H29))</f>
        <v/>
      </c>
      <c r="D2513" s="18">
        <f>IF($A2513="","",IF(Paramètres!I29="","",Paramètres!I29))</f>
        <v/>
      </c>
      <c r="E2513" s="19">
        <f>IF($A2513="","",IF(Paramètres!J29&amp;Paramètres!L29&amp;Paramètres!N29="",Dossiers!$D$50,MAX(IF(Paramètres!J29="",0,IF(Paramètres!K29="",NA(),IF(LEFT(TRIM(Paramètres!K29),1)="F",INDEX($F$2489:$F$2541,MATCH(Paramètres!J29,Paramètres!$G$5:$G$57,0)),INDEX($E$2489:$E$2541,MATCH(Paramètres!J29,Paramètres!$G$5:$G$57,0)))+IF(RIGHT(TRIM(Paramètres!K29),3)="Fin",1-$H2513,IF(LEFT(TRIM(Paramètres!K29),1)="F",1,0)))),IF(Paramètres!L29="",0,IF(Paramètres!M29="",NA(),IF(LEFT(TRIM(Paramètres!M29),1)="F",INDEX($F$2489:$F$2541,MATCH(Paramètres!L29,Paramètres!$G$5:$G$57,0)),INDEX($E$2489:$E$2541,MATCH(Paramètres!L29,Paramètres!$G$5:$G$57,0)))+IF(RIGHT(TRIM(Paramètres!M29),3)="Fin",1-$H2513,IF(LEFT(TRIM(Paramètres!M29),1)="F",1,0)))),IF(Paramètres!N29="",0,IF(Paramètres!O29="",NA(),IF(LEFT(TRIM(Paramètres!O29),1)="F",INDEX($F$2489:$F$2541,MATCH(Paramètres!N29,Paramètres!$G$5:$G$57,0)),INDEX($E$2489:$E$2541,MATCH(Paramètres!N29,Paramètres!$G$5:$G$57,0)))+IF(RIGHT(TRIM(Paramètres!O29),3)="Fin",1-$H2513,IF(LEFT(TRIM(Paramètres!O29),1)="F",1,0)))))))</f>
        <v/>
      </c>
      <c r="F2513" s="19">
        <f>IF($A2513="","",E2513+$H2513-1)</f>
        <v/>
      </c>
      <c r="G2513" s="18" t="n"/>
      <c r="H2513" s="18">
        <f>IF($A2513="","",IF(I2513&lt;&gt;"",I2513,Paramètres!B29))</f>
        <v/>
      </c>
      <c r="I2513" s="18" t="n"/>
    </row>
    <row r="2514">
      <c r="A2514" s="18">
        <f>IF(ISNUMBER(Dossiers!$D$50),Dossiers!$A$50&amp;" · "&amp;Dossiers!$B$50,"")</f>
        <v/>
      </c>
      <c r="B2514" s="18">
        <f>IF($A2514="","",Paramètres!G30)</f>
        <v/>
      </c>
      <c r="C2514" s="18">
        <f>IF($A2514="","",IF(Paramètres!H30="","",Paramètres!H30))</f>
        <v/>
      </c>
      <c r="D2514" s="18">
        <f>IF($A2514="","",IF(Paramètres!I30="","",Paramètres!I30))</f>
        <v/>
      </c>
      <c r="E2514" s="19">
        <f>IF($A2514="","",IF(Paramètres!J30&amp;Paramètres!L30&amp;Paramètres!N30="",Dossiers!$D$50,MAX(IF(Paramètres!J30="",0,IF(Paramètres!K30="",NA(),IF(LEFT(TRIM(Paramètres!K30),1)="F",INDEX($F$2489:$F$2541,MATCH(Paramètres!J30,Paramètres!$G$5:$G$57,0)),INDEX($E$2489:$E$2541,MATCH(Paramètres!J30,Paramètres!$G$5:$G$57,0)))+IF(RIGHT(TRIM(Paramètres!K30),3)="Fin",1-$H2514,IF(LEFT(TRIM(Paramètres!K30),1)="F",1,0)))),IF(Paramètres!L30="",0,IF(Paramètres!M30="",NA(),IF(LEFT(TRIM(Paramètres!M30),1)="F",INDEX($F$2489:$F$2541,MATCH(Paramètres!L30,Paramètres!$G$5:$G$57,0)),INDEX($E$2489:$E$2541,MATCH(Paramètres!L30,Paramètres!$G$5:$G$57,0)))+IF(RIGHT(TRIM(Paramètres!M30),3)="Fin",1-$H2514,IF(LEFT(TRIM(Paramètres!M30),1)="F",1,0)))),IF(Paramètres!N30="",0,IF(Paramètres!O30="",NA(),IF(LEFT(TRIM(Paramètres!O30),1)="F",INDEX($F$2489:$F$2541,MATCH(Paramètres!N30,Paramètres!$G$5:$G$57,0)),INDEX($E$2489:$E$2541,MATCH(Paramètres!N30,Paramètres!$G$5:$G$57,0)))+IF(RIGHT(TRIM(Paramètres!O30),3)="Fin",1-$H2514,IF(LEFT(TRIM(Paramètres!O30),1)="F",1,0)))))))</f>
        <v/>
      </c>
      <c r="F2514" s="19">
        <f>IF($A2514="","",E2514+$H2514-1)</f>
        <v/>
      </c>
      <c r="G2514" s="18" t="n"/>
      <c r="H2514" s="18">
        <f>IF($A2514="","",IF(I2514&lt;&gt;"",I2514,Paramètres!B30))</f>
        <v/>
      </c>
      <c r="I2514" s="18" t="n"/>
    </row>
    <row r="2515">
      <c r="A2515" s="18">
        <f>IF(ISNUMBER(Dossiers!$D$50),Dossiers!$A$50&amp;" · "&amp;Dossiers!$B$50,"")</f>
        <v/>
      </c>
      <c r="B2515" s="18">
        <f>IF($A2515="","",Paramètres!G31)</f>
        <v/>
      </c>
      <c r="C2515" s="20">
        <f>IF($A2515="","",IF(Dossiers!$F$50="","",Dossiers!$F$50))</f>
        <v/>
      </c>
      <c r="D2515" s="18">
        <f>IF($A2515="","",IF(Paramètres!I31="","",Paramètres!I31))</f>
        <v/>
      </c>
      <c r="E2515" s="19">
        <f>IF($A2515="","",IF(Paramètres!J31&amp;Paramètres!L31&amp;Paramètres!N31="",Dossiers!$D$50,MAX(IF(Paramètres!J31="",0,IF(Paramètres!K31="",NA(),IF(LEFT(TRIM(Paramètres!K31),1)="F",INDEX($F$2489:$F$2541,MATCH(Paramètres!J31,Paramètres!$G$5:$G$57,0)),INDEX($E$2489:$E$2541,MATCH(Paramètres!J31,Paramètres!$G$5:$G$57,0)))+IF(RIGHT(TRIM(Paramètres!K31),3)="Fin",1-$H2515,IF(LEFT(TRIM(Paramètres!K31),1)="F",1,0)))),IF(Paramètres!L31="",0,IF(Paramètres!M31="",NA(),IF(LEFT(TRIM(Paramètres!M31),1)="F",INDEX($F$2489:$F$2541,MATCH(Paramètres!L31,Paramètres!$G$5:$G$57,0)),INDEX($E$2489:$E$2541,MATCH(Paramètres!L31,Paramètres!$G$5:$G$57,0)))+IF(RIGHT(TRIM(Paramètres!M31),3)="Fin",1-$H2515,IF(LEFT(TRIM(Paramètres!M31),1)="F",1,0)))),IF(Paramètres!N31="",0,IF(Paramètres!O31="",NA(),IF(LEFT(TRIM(Paramètres!O31),1)="F",INDEX($F$2489:$F$2541,MATCH(Paramètres!N31,Paramètres!$G$5:$G$57,0)),INDEX($E$2489:$E$2541,MATCH(Paramètres!N31,Paramètres!$G$5:$G$57,0)))+IF(RIGHT(TRIM(Paramètres!O31),3)="Fin",1-$H2515,IF(LEFT(TRIM(Paramètres!O31),1)="F",1,0)))))))</f>
        <v/>
      </c>
      <c r="F2515" s="19">
        <f>IF($A2515="","",E2515+$H2515-1)</f>
        <v/>
      </c>
      <c r="G2515" s="18" t="n"/>
      <c r="H2515" s="18">
        <f>IF($A2515="","",IF(I2515&lt;&gt;"",I2515,Paramètres!B31))</f>
        <v/>
      </c>
      <c r="I2515" s="18" t="n"/>
    </row>
    <row r="2516">
      <c r="A2516" s="18">
        <f>IF(ISNUMBER(Dossiers!$D$50),Dossiers!$A$50&amp;" · "&amp;Dossiers!$B$50,"")</f>
        <v/>
      </c>
      <c r="B2516" s="18">
        <f>IF($A2516="","",Paramètres!G32)</f>
        <v/>
      </c>
      <c r="C2516" s="18">
        <f>IF($A2516="","",IF(Paramètres!H32="","",Paramètres!H32))</f>
        <v/>
      </c>
      <c r="D2516" s="18">
        <f>IF($A2516="","",IF(Paramètres!I32="","",Paramètres!I32))</f>
        <v/>
      </c>
      <c r="E2516" s="19">
        <f>IF($A2516="","",MIN(E2517:E2520))</f>
        <v/>
      </c>
      <c r="F2516" s="19">
        <f>IF($A2516="","",MAX(F2517:F2520))</f>
        <v/>
      </c>
      <c r="G2516" s="18" t="n"/>
      <c r="H2516" s="18">
        <f>IF($A2516="","",F2516-E2516+1)</f>
        <v/>
      </c>
      <c r="I2516" s="18" t="n"/>
    </row>
    <row r="2517">
      <c r="A2517" s="18">
        <f>IF(ISNUMBER(Dossiers!$D$50),Dossiers!$A$50&amp;" · "&amp;Dossiers!$B$50,"")</f>
        <v/>
      </c>
      <c r="B2517" s="18">
        <f>IF($A2517="","",Paramètres!G33)</f>
        <v/>
      </c>
      <c r="C2517" s="18">
        <f>IF($A2517="","",IF(Paramètres!H33="","",Paramètres!H33))</f>
        <v/>
      </c>
      <c r="D2517" s="18">
        <f>IF($A2517="","",IF(Paramètres!I33="","",Paramètres!I33))</f>
        <v/>
      </c>
      <c r="E2517" s="19">
        <f>IF($A2517="","",IF(Paramètres!J33&amp;Paramètres!L33&amp;Paramètres!N33="",Dossiers!$D$50,MAX(IF(Paramètres!J33="",0,IF(Paramètres!K33="",NA(),IF(LEFT(TRIM(Paramètres!K33),1)="F",INDEX($F$2489:$F$2541,MATCH(Paramètres!J33,Paramètres!$G$5:$G$57,0)),INDEX($E$2489:$E$2541,MATCH(Paramètres!J33,Paramètres!$G$5:$G$57,0)))+IF(RIGHT(TRIM(Paramètres!K33),3)="Fin",1-$H2517,IF(LEFT(TRIM(Paramètres!K33),1)="F",1,0)))),IF(Paramètres!L33="",0,IF(Paramètres!M33="",NA(),IF(LEFT(TRIM(Paramètres!M33),1)="F",INDEX($F$2489:$F$2541,MATCH(Paramètres!L33,Paramètres!$G$5:$G$57,0)),INDEX($E$2489:$E$2541,MATCH(Paramètres!L33,Paramètres!$G$5:$G$57,0)))+IF(RIGHT(TRIM(Paramètres!M33),3)="Fin",1-$H2517,IF(LEFT(TRIM(Paramètres!M33),1)="F",1,0)))),IF(Paramètres!N33="",0,IF(Paramètres!O33="",NA(),IF(LEFT(TRIM(Paramètres!O33),1)="F",INDEX($F$2489:$F$2541,MATCH(Paramètres!N33,Paramètres!$G$5:$G$57,0)),INDEX($E$2489:$E$2541,MATCH(Paramètres!N33,Paramètres!$G$5:$G$57,0)))+IF(RIGHT(TRIM(Paramètres!O33),3)="Fin",1-$H2517,IF(LEFT(TRIM(Paramètres!O33),1)="F",1,0)))))))</f>
        <v/>
      </c>
      <c r="F2517" s="19">
        <f>IF($A2517="","",E2517+$H2517-1)</f>
        <v/>
      </c>
      <c r="G2517" s="18" t="n"/>
      <c r="H2517" s="18">
        <f>IF($A2517="","",IF(I2517&lt;&gt;"",I2517,Paramètres!B33))</f>
        <v/>
      </c>
      <c r="I2517" s="18" t="n"/>
    </row>
    <row r="2518">
      <c r="A2518" s="18">
        <f>IF(ISNUMBER(Dossiers!$D$50),Dossiers!$A$50&amp;" · "&amp;Dossiers!$B$50,"")</f>
        <v/>
      </c>
      <c r="B2518" s="18">
        <f>IF($A2518="","",Paramètres!G34)</f>
        <v/>
      </c>
      <c r="C2518" s="18">
        <f>IF($A2518="","",IF(Paramètres!H34="","",Paramètres!H34))</f>
        <v/>
      </c>
      <c r="D2518" s="18">
        <f>IF($A2518="","",IF(Paramètres!I34="","",Paramètres!I34))</f>
        <v/>
      </c>
      <c r="E2518" s="19">
        <f>IF($A2518="","",IF(Paramètres!J34&amp;Paramètres!L34&amp;Paramètres!N34="",Dossiers!$D$50,MAX(IF(Paramètres!J34="",0,IF(Paramètres!K34="",NA(),IF(LEFT(TRIM(Paramètres!K34),1)="F",INDEX($F$2489:$F$2541,MATCH(Paramètres!J34,Paramètres!$G$5:$G$57,0)),INDEX($E$2489:$E$2541,MATCH(Paramètres!J34,Paramètres!$G$5:$G$57,0)))+IF(RIGHT(TRIM(Paramètres!K34),3)="Fin",1-$H2518,IF(LEFT(TRIM(Paramètres!K34),1)="F",1,0)))),IF(Paramètres!L34="",0,IF(Paramètres!M34="",NA(),IF(LEFT(TRIM(Paramètres!M34),1)="F",INDEX($F$2489:$F$2541,MATCH(Paramètres!L34,Paramètres!$G$5:$G$57,0)),INDEX($E$2489:$E$2541,MATCH(Paramètres!L34,Paramètres!$G$5:$G$57,0)))+IF(RIGHT(TRIM(Paramètres!M34),3)="Fin",1-$H2518,IF(LEFT(TRIM(Paramètres!M34),1)="F",1,0)))),IF(Paramètres!N34="",0,IF(Paramètres!O34="",NA(),IF(LEFT(TRIM(Paramètres!O34),1)="F",INDEX($F$2489:$F$2541,MATCH(Paramètres!N34,Paramètres!$G$5:$G$57,0)),INDEX($E$2489:$E$2541,MATCH(Paramètres!N34,Paramètres!$G$5:$G$57,0)))+IF(RIGHT(TRIM(Paramètres!O34),3)="Fin",1-$H2518,IF(LEFT(TRIM(Paramètres!O34),1)="F",1,0)))))))</f>
        <v/>
      </c>
      <c r="F2518" s="19">
        <f>IF($A2518="","",E2518+$H2518-1)</f>
        <v/>
      </c>
      <c r="G2518" s="18" t="n"/>
      <c r="H2518" s="18">
        <f>IF($A2518="","",IF(I2518&lt;&gt;"",I2518,Paramètres!B34))</f>
        <v/>
      </c>
      <c r="I2518" s="18" t="n"/>
    </row>
    <row r="2519">
      <c r="A2519" s="18">
        <f>IF(ISNUMBER(Dossiers!$D$50),Dossiers!$A$50&amp;" · "&amp;Dossiers!$B$50,"")</f>
        <v/>
      </c>
      <c r="B2519" s="18">
        <f>IF($A2519="","",Paramètres!G35)</f>
        <v/>
      </c>
      <c r="C2519" s="18">
        <f>IF($A2519="","",IF(Paramètres!H35="","",Paramètres!H35))</f>
        <v/>
      </c>
      <c r="D2519" s="18">
        <f>IF($A2519="","",IF(Paramètres!I35="","",Paramètres!I35))</f>
        <v/>
      </c>
      <c r="E2519" s="19">
        <f>IF($A2519="","",IF(Paramètres!J35&amp;Paramètres!L35&amp;Paramètres!N35="",Dossiers!$D$50,MAX(IF(Paramètres!J35="",0,IF(Paramètres!K35="",NA(),IF(LEFT(TRIM(Paramètres!K35),1)="F",INDEX($F$2489:$F$2541,MATCH(Paramètres!J35,Paramètres!$G$5:$G$57,0)),INDEX($E$2489:$E$2541,MATCH(Paramètres!J35,Paramètres!$G$5:$G$57,0)))+IF(RIGHT(TRIM(Paramètres!K35),3)="Fin",1-$H2519,IF(LEFT(TRIM(Paramètres!K35),1)="F",1,0)))),IF(Paramètres!L35="",0,IF(Paramètres!M35="",NA(),IF(LEFT(TRIM(Paramètres!M35),1)="F",INDEX($F$2489:$F$2541,MATCH(Paramètres!L35,Paramètres!$G$5:$G$57,0)),INDEX($E$2489:$E$2541,MATCH(Paramètres!L35,Paramètres!$G$5:$G$57,0)))+IF(RIGHT(TRIM(Paramètres!M35),3)="Fin",1-$H2519,IF(LEFT(TRIM(Paramètres!M35),1)="F",1,0)))),IF(Paramètres!N35="",0,IF(Paramètres!O35="",NA(),IF(LEFT(TRIM(Paramètres!O35),1)="F",INDEX($F$2489:$F$2541,MATCH(Paramètres!N35,Paramètres!$G$5:$G$57,0)),INDEX($E$2489:$E$2541,MATCH(Paramètres!N35,Paramètres!$G$5:$G$57,0)))+IF(RIGHT(TRIM(Paramètres!O35),3)="Fin",1-$H2519,IF(LEFT(TRIM(Paramètres!O35),1)="F",1,0)))))))</f>
        <v/>
      </c>
      <c r="F2519" s="19">
        <f>IF($A2519="","",E2519+$H2519-1)</f>
        <v/>
      </c>
      <c r="G2519" s="18" t="n"/>
      <c r="H2519" s="18">
        <f>IF($A2519="","",IF(I2519&lt;&gt;"",I2519,Paramètres!B35))</f>
        <v/>
      </c>
      <c r="I2519" s="18" t="n"/>
    </row>
    <row r="2520">
      <c r="A2520" s="18">
        <f>IF(ISNUMBER(Dossiers!$D$50),Dossiers!$A$50&amp;" · "&amp;Dossiers!$B$50,"")</f>
        <v/>
      </c>
      <c r="B2520" s="18">
        <f>IF($A2520="","",Paramètres!G36)</f>
        <v/>
      </c>
      <c r="C2520" s="18">
        <f>IF($A2520="","",IF(Paramètres!H36="","",Paramètres!H36))</f>
        <v/>
      </c>
      <c r="D2520" s="18">
        <f>IF($A2520="","",IF(Paramètres!I36="","",Paramètres!I36))</f>
        <v/>
      </c>
      <c r="E2520" s="19">
        <f>IF($A2520="","",IF(Paramètres!J36&amp;Paramètres!L36&amp;Paramètres!N36="",Dossiers!$D$50,MAX(IF(Paramètres!J36="",0,IF(Paramètres!K36="",NA(),IF(LEFT(TRIM(Paramètres!K36),1)="F",INDEX($F$2489:$F$2541,MATCH(Paramètres!J36,Paramètres!$G$5:$G$57,0)),INDEX($E$2489:$E$2541,MATCH(Paramètres!J36,Paramètres!$G$5:$G$57,0)))+IF(RIGHT(TRIM(Paramètres!K36),3)="Fin",1-$H2520,IF(LEFT(TRIM(Paramètres!K36),1)="F",1,0)))),IF(Paramètres!L36="",0,IF(Paramètres!M36="",NA(),IF(LEFT(TRIM(Paramètres!M36),1)="F",INDEX($F$2489:$F$2541,MATCH(Paramètres!L36,Paramètres!$G$5:$G$57,0)),INDEX($E$2489:$E$2541,MATCH(Paramètres!L36,Paramètres!$G$5:$G$57,0)))+IF(RIGHT(TRIM(Paramètres!M36),3)="Fin",1-$H2520,IF(LEFT(TRIM(Paramètres!M36),1)="F",1,0)))),IF(Paramètres!N36="",0,IF(Paramètres!O36="",NA(),IF(LEFT(TRIM(Paramètres!O36),1)="F",INDEX($F$2489:$F$2541,MATCH(Paramètres!N36,Paramètres!$G$5:$G$57,0)),INDEX($E$2489:$E$2541,MATCH(Paramètres!N36,Paramètres!$G$5:$G$57,0)))+IF(RIGHT(TRIM(Paramètres!O36),3)="Fin",1-$H2520,IF(LEFT(TRIM(Paramètres!O36),1)="F",1,0)))))))</f>
        <v/>
      </c>
      <c r="F2520" s="19">
        <f>IF($A2520="","",E2520+$H2520-1)</f>
        <v/>
      </c>
      <c r="G2520" s="18" t="n"/>
      <c r="H2520" s="18">
        <f>IF($A2520="","",IF(I2520&lt;&gt;"",I2520,Paramètres!B36))</f>
        <v/>
      </c>
      <c r="I2520" s="18" t="n"/>
    </row>
    <row r="2521">
      <c r="A2521" s="18">
        <f>IF(ISNUMBER(Dossiers!$D$50),Dossiers!$A$50&amp;" · "&amp;Dossiers!$B$50,"")</f>
        <v/>
      </c>
      <c r="B2521" s="18">
        <f>IF($A2521="","",Paramètres!G37)</f>
        <v/>
      </c>
      <c r="C2521" s="18">
        <f>IF($A2521="","",IF(Paramètres!H37="","",Paramètres!H37))</f>
        <v/>
      </c>
      <c r="D2521" s="18">
        <f>IF($A2521="","",IF(Paramètres!I37="","",Paramètres!I37))</f>
        <v/>
      </c>
      <c r="E2521" s="19">
        <f>IF($A2521="","",MIN(E2522:E2539))</f>
        <v/>
      </c>
      <c r="F2521" s="19">
        <f>IF($A2521="","",MAX(F2522:F2539))</f>
        <v/>
      </c>
      <c r="G2521" s="18" t="n"/>
      <c r="H2521" s="18">
        <f>IF($A2521="","",F2521-E2521+1)</f>
        <v/>
      </c>
      <c r="I2521" s="18" t="n"/>
    </row>
    <row r="2522">
      <c r="A2522" s="18">
        <f>IF(ISNUMBER(Dossiers!$D$50),Dossiers!$A$50&amp;" · "&amp;Dossiers!$B$50,"")</f>
        <v/>
      </c>
      <c r="B2522" s="18">
        <f>IF($A2522="","",Paramètres!G38)</f>
        <v/>
      </c>
      <c r="C2522" s="18">
        <f>IF($A2522="","",IF(Paramètres!H38="","",Paramètres!H38))</f>
        <v/>
      </c>
      <c r="D2522" s="18">
        <f>IF($A2522="","",IF(Paramètres!I38="","",Paramètres!I38))</f>
        <v/>
      </c>
      <c r="E2522" s="19">
        <f>IF($A2522="","",IF(Paramètres!J38&amp;Paramètres!L38&amp;Paramètres!N38="",Dossiers!$D$50,MAX(IF(Paramètres!J38="",0,IF(Paramètres!K38="",NA(),IF(LEFT(TRIM(Paramètres!K38),1)="F",INDEX($F$2489:$F$2541,MATCH(Paramètres!J38,Paramètres!$G$5:$G$57,0)),INDEX($E$2489:$E$2541,MATCH(Paramètres!J38,Paramètres!$G$5:$G$57,0)))+IF(RIGHT(TRIM(Paramètres!K38),3)="Fin",1-$H2522,IF(LEFT(TRIM(Paramètres!K38),1)="F",1,0)))),IF(Paramètres!L38="",0,IF(Paramètres!M38="",NA(),IF(LEFT(TRIM(Paramètres!M38),1)="F",INDEX($F$2489:$F$2541,MATCH(Paramètres!L38,Paramètres!$G$5:$G$57,0)),INDEX($E$2489:$E$2541,MATCH(Paramètres!L38,Paramètres!$G$5:$G$57,0)))+IF(RIGHT(TRIM(Paramètres!M38),3)="Fin",1-$H2522,IF(LEFT(TRIM(Paramètres!M38),1)="F",1,0)))),IF(Paramètres!N38="",0,IF(Paramètres!O38="",NA(),IF(LEFT(TRIM(Paramètres!O38),1)="F",INDEX($F$2489:$F$2541,MATCH(Paramètres!N38,Paramètres!$G$5:$G$57,0)),INDEX($E$2489:$E$2541,MATCH(Paramètres!N38,Paramètres!$G$5:$G$57,0)))+IF(RIGHT(TRIM(Paramètres!O38),3)="Fin",1-$H2522,IF(LEFT(TRIM(Paramètres!O38),1)="F",1,0)))))))</f>
        <v/>
      </c>
      <c r="F2522" s="19">
        <f>IF($A2522="","",E2522+$H2522-1)</f>
        <v/>
      </c>
      <c r="G2522" s="18" t="n"/>
      <c r="H2522" s="18">
        <f>IF($A2522="","",IF(I2522&lt;&gt;"",I2522,Paramètres!B38))</f>
        <v/>
      </c>
      <c r="I2522" s="18" t="n"/>
    </row>
    <row r="2523">
      <c r="A2523" s="18">
        <f>IF(ISNUMBER(Dossiers!$D$50),Dossiers!$A$50&amp;" · "&amp;Dossiers!$B$50,"")</f>
        <v/>
      </c>
      <c r="B2523" s="18">
        <f>IF($A2523="","",Paramètres!G39)</f>
        <v/>
      </c>
      <c r="C2523" s="18">
        <f>IF($A2523="","",IF(Paramètres!H39="","",Paramètres!H39))</f>
        <v/>
      </c>
      <c r="D2523" s="18">
        <f>IF($A2523="","",IF(Paramètres!I39="","",Paramètres!I39))</f>
        <v/>
      </c>
      <c r="E2523" s="19">
        <f>IF($A2523="","",IF(Paramètres!J39&amp;Paramètres!L39&amp;Paramètres!N39="",Dossiers!$D$50,MAX(IF(Paramètres!J39="",0,IF(Paramètres!K39="",NA(),IF(LEFT(TRIM(Paramètres!K39),1)="F",INDEX($F$2489:$F$2541,MATCH(Paramètres!J39,Paramètres!$G$5:$G$57,0)),INDEX($E$2489:$E$2541,MATCH(Paramètres!J39,Paramètres!$G$5:$G$57,0)))+IF(RIGHT(TRIM(Paramètres!K39),3)="Fin",1-$H2523,IF(LEFT(TRIM(Paramètres!K39),1)="F",1,0)))),IF(Paramètres!L39="",0,IF(Paramètres!M39="",NA(),IF(LEFT(TRIM(Paramètres!M39),1)="F",INDEX($F$2489:$F$2541,MATCH(Paramètres!L39,Paramètres!$G$5:$G$57,0)),INDEX($E$2489:$E$2541,MATCH(Paramètres!L39,Paramètres!$G$5:$G$57,0)))+IF(RIGHT(TRIM(Paramètres!M39),3)="Fin",1-$H2523,IF(LEFT(TRIM(Paramètres!M39),1)="F",1,0)))),IF(Paramètres!N39="",0,IF(Paramètres!O39="",NA(),IF(LEFT(TRIM(Paramètres!O39),1)="F",INDEX($F$2489:$F$2541,MATCH(Paramètres!N39,Paramètres!$G$5:$G$57,0)),INDEX($E$2489:$E$2541,MATCH(Paramètres!N39,Paramètres!$G$5:$G$57,0)))+IF(RIGHT(TRIM(Paramètres!O39),3)="Fin",1-$H2523,IF(LEFT(TRIM(Paramètres!O39),1)="F",1,0)))))))</f>
        <v/>
      </c>
      <c r="F2523" s="19">
        <f>IF($A2523="","",E2523+$H2523-1)</f>
        <v/>
      </c>
      <c r="G2523" s="18" t="n"/>
      <c r="H2523" s="18">
        <f>IF($A2523="","",IF(I2523&lt;&gt;"",I2523,Paramètres!B39))</f>
        <v/>
      </c>
      <c r="I2523" s="18" t="n"/>
    </row>
    <row r="2524">
      <c r="A2524" s="18">
        <f>IF(ISNUMBER(Dossiers!$D$50),Dossiers!$A$50&amp;" · "&amp;Dossiers!$B$50,"")</f>
        <v/>
      </c>
      <c r="B2524" s="18">
        <f>IF($A2524="","",Paramètres!G40)</f>
        <v/>
      </c>
      <c r="C2524" s="18">
        <f>IF($A2524="","",IF(Paramètres!H40="","",Paramètres!H40))</f>
        <v/>
      </c>
      <c r="D2524" s="18">
        <f>IF($A2524="","",IF(Paramètres!I40="","",Paramètres!I40))</f>
        <v/>
      </c>
      <c r="E2524" s="19">
        <f>IF($A2524="","",IF(Paramètres!J40&amp;Paramètres!L40&amp;Paramètres!N40="",Dossiers!$D$50,MAX(IF(Paramètres!J40="",0,IF(Paramètres!K40="",NA(),IF(LEFT(TRIM(Paramètres!K40),1)="F",INDEX($F$2489:$F$2541,MATCH(Paramètres!J40,Paramètres!$G$5:$G$57,0)),INDEX($E$2489:$E$2541,MATCH(Paramètres!J40,Paramètres!$G$5:$G$57,0)))+IF(RIGHT(TRIM(Paramètres!K40),3)="Fin",1-$H2524,IF(LEFT(TRIM(Paramètres!K40),1)="F",1,0)))),IF(Paramètres!L40="",0,IF(Paramètres!M40="",NA(),IF(LEFT(TRIM(Paramètres!M40),1)="F",INDEX($F$2489:$F$2541,MATCH(Paramètres!L40,Paramètres!$G$5:$G$57,0)),INDEX($E$2489:$E$2541,MATCH(Paramètres!L40,Paramètres!$G$5:$G$57,0)))+IF(RIGHT(TRIM(Paramètres!M40),3)="Fin",1-$H2524,IF(LEFT(TRIM(Paramètres!M40),1)="F",1,0)))),IF(Paramètres!N40="",0,IF(Paramètres!O40="",NA(),IF(LEFT(TRIM(Paramètres!O40),1)="F",INDEX($F$2489:$F$2541,MATCH(Paramètres!N40,Paramètres!$G$5:$G$57,0)),INDEX($E$2489:$E$2541,MATCH(Paramètres!N40,Paramètres!$G$5:$G$57,0)))+IF(RIGHT(TRIM(Paramètres!O40),3)="Fin",1-$H2524,IF(LEFT(TRIM(Paramètres!O40),1)="F",1,0)))))))</f>
        <v/>
      </c>
      <c r="F2524" s="19">
        <f>IF($A2524="","",E2524+$H2524-1)</f>
        <v/>
      </c>
      <c r="G2524" s="18" t="n"/>
      <c r="H2524" s="18">
        <f>IF($A2524="","",IF(I2524&lt;&gt;"",I2524,Paramètres!B40))</f>
        <v/>
      </c>
      <c r="I2524" s="18" t="n"/>
    </row>
    <row r="2525">
      <c r="A2525" s="18">
        <f>IF(ISNUMBER(Dossiers!$D$50),Dossiers!$A$50&amp;" · "&amp;Dossiers!$B$50,"")</f>
        <v/>
      </c>
      <c r="B2525" s="18">
        <f>IF($A2525="","",Paramètres!G41)</f>
        <v/>
      </c>
      <c r="C2525" s="18">
        <f>IF($A2525="","",IF(Paramètres!H41="","",Paramètres!H41))</f>
        <v/>
      </c>
      <c r="D2525" s="18">
        <f>IF($A2525="","",IF(Paramètres!I41="","",Paramètres!I41))</f>
        <v/>
      </c>
      <c r="E2525" s="19">
        <f>IF($A2525="","",IF(Paramètres!J41&amp;Paramètres!L41&amp;Paramètres!N41="",Dossiers!$D$50,MAX(IF(Paramètres!J41="",0,IF(Paramètres!K41="",NA(),IF(LEFT(TRIM(Paramètres!K41),1)="F",INDEX($F$2489:$F$2541,MATCH(Paramètres!J41,Paramètres!$G$5:$G$57,0)),INDEX($E$2489:$E$2541,MATCH(Paramètres!J41,Paramètres!$G$5:$G$57,0)))+IF(RIGHT(TRIM(Paramètres!K41),3)="Fin",1-$H2525,IF(LEFT(TRIM(Paramètres!K41),1)="F",1,0)))),IF(Paramètres!L41="",0,IF(Paramètres!M41="",NA(),IF(LEFT(TRIM(Paramètres!M41),1)="F",INDEX($F$2489:$F$2541,MATCH(Paramètres!L41,Paramètres!$G$5:$G$57,0)),INDEX($E$2489:$E$2541,MATCH(Paramètres!L41,Paramètres!$G$5:$G$57,0)))+IF(RIGHT(TRIM(Paramètres!M41),3)="Fin",1-$H2525,IF(LEFT(TRIM(Paramètres!M41),1)="F",1,0)))),IF(Paramètres!N41="",0,IF(Paramètres!O41="",NA(),IF(LEFT(TRIM(Paramètres!O41),1)="F",INDEX($F$2489:$F$2541,MATCH(Paramètres!N41,Paramètres!$G$5:$G$57,0)),INDEX($E$2489:$E$2541,MATCH(Paramètres!N41,Paramètres!$G$5:$G$57,0)))+IF(RIGHT(TRIM(Paramètres!O41),3)="Fin",1-$H2525,IF(LEFT(TRIM(Paramètres!O41),1)="F",1,0)))))))</f>
        <v/>
      </c>
      <c r="F2525" s="19">
        <f>IF($A2525="","",E2525+$H2525-1)</f>
        <v/>
      </c>
      <c r="G2525" s="18" t="n"/>
      <c r="H2525" s="18">
        <f>IF($A2525="","",IF(I2525&lt;&gt;"",I2525,Paramètres!B41))</f>
        <v/>
      </c>
      <c r="I2525" s="18" t="n"/>
    </row>
    <row r="2526">
      <c r="A2526" s="18">
        <f>IF(ISNUMBER(Dossiers!$D$50),Dossiers!$A$50&amp;" · "&amp;Dossiers!$B$50,"")</f>
        <v/>
      </c>
      <c r="B2526" s="18">
        <f>IF($A2526="","",Paramètres!G42)</f>
        <v/>
      </c>
      <c r="C2526" s="18">
        <f>IF($A2526="","",IF(Paramètres!H42="","",Paramètres!H42))</f>
        <v/>
      </c>
      <c r="D2526" s="18">
        <f>IF($A2526="","",IF(Paramètres!I42="","",Paramètres!I42))</f>
        <v/>
      </c>
      <c r="E2526" s="19">
        <f>IF($A2526="","",IF(Paramètres!J42&amp;Paramètres!L42&amp;Paramètres!N42="",Dossiers!$D$50,MAX(IF(Paramètres!J42="",0,IF(Paramètres!K42="",NA(),IF(LEFT(TRIM(Paramètres!K42),1)="F",INDEX($F$2489:$F$2541,MATCH(Paramètres!J42,Paramètres!$G$5:$G$57,0)),INDEX($E$2489:$E$2541,MATCH(Paramètres!J42,Paramètres!$G$5:$G$57,0)))+IF(RIGHT(TRIM(Paramètres!K42),3)="Fin",1-$H2526,IF(LEFT(TRIM(Paramètres!K42),1)="F",1,0)))),IF(Paramètres!L42="",0,IF(Paramètres!M42="",NA(),IF(LEFT(TRIM(Paramètres!M42),1)="F",INDEX($F$2489:$F$2541,MATCH(Paramètres!L42,Paramètres!$G$5:$G$57,0)),INDEX($E$2489:$E$2541,MATCH(Paramètres!L42,Paramètres!$G$5:$G$57,0)))+IF(RIGHT(TRIM(Paramètres!M42),3)="Fin",1-$H2526,IF(LEFT(TRIM(Paramètres!M42),1)="F",1,0)))),IF(Paramètres!N42="",0,IF(Paramètres!O42="",NA(),IF(LEFT(TRIM(Paramètres!O42),1)="F",INDEX($F$2489:$F$2541,MATCH(Paramètres!N42,Paramètres!$G$5:$G$57,0)),INDEX($E$2489:$E$2541,MATCH(Paramètres!N42,Paramètres!$G$5:$G$57,0)))+IF(RIGHT(TRIM(Paramètres!O42),3)="Fin",1-$H2526,IF(LEFT(TRIM(Paramètres!O42),1)="F",1,0)))))))</f>
        <v/>
      </c>
      <c r="F2526" s="19">
        <f>IF($A2526="","",E2526+$H2526-1)</f>
        <v/>
      </c>
      <c r="G2526" s="18" t="n"/>
      <c r="H2526" s="18">
        <f>IF($A2526="","",IF(I2526&lt;&gt;"",I2526,Paramètres!B42))</f>
        <v/>
      </c>
      <c r="I2526" s="18" t="n"/>
    </row>
    <row r="2527">
      <c r="A2527" s="18">
        <f>IF(ISNUMBER(Dossiers!$D$50),Dossiers!$A$50&amp;" · "&amp;Dossiers!$B$50,"")</f>
        <v/>
      </c>
      <c r="B2527" s="18">
        <f>IF($A2527="","",Paramètres!G43)</f>
        <v/>
      </c>
      <c r="C2527" s="18">
        <f>IF($A2527="","",IF(Paramètres!H43="","",Paramètres!H43))</f>
        <v/>
      </c>
      <c r="D2527" s="18">
        <f>IF($A2527="","",IF(Paramètres!I43="","",Paramètres!I43))</f>
        <v/>
      </c>
      <c r="E2527" s="19">
        <f>IF($A2527="","",IF(Paramètres!J43&amp;Paramètres!L43&amp;Paramètres!N43="",Dossiers!$D$50,MAX(IF(Paramètres!J43="",0,IF(Paramètres!K43="",NA(),IF(LEFT(TRIM(Paramètres!K43),1)="F",INDEX($F$2489:$F$2541,MATCH(Paramètres!J43,Paramètres!$G$5:$G$57,0)),INDEX($E$2489:$E$2541,MATCH(Paramètres!J43,Paramètres!$G$5:$G$57,0)))+IF(RIGHT(TRIM(Paramètres!K43),3)="Fin",1-$H2527,IF(LEFT(TRIM(Paramètres!K43),1)="F",1,0)))),IF(Paramètres!L43="",0,IF(Paramètres!M43="",NA(),IF(LEFT(TRIM(Paramètres!M43),1)="F",INDEX($F$2489:$F$2541,MATCH(Paramètres!L43,Paramètres!$G$5:$G$57,0)),INDEX($E$2489:$E$2541,MATCH(Paramètres!L43,Paramètres!$G$5:$G$57,0)))+IF(RIGHT(TRIM(Paramètres!M43),3)="Fin",1-$H2527,IF(LEFT(TRIM(Paramètres!M43),1)="F",1,0)))),IF(Paramètres!N43="",0,IF(Paramètres!O43="",NA(),IF(LEFT(TRIM(Paramètres!O43),1)="F",INDEX($F$2489:$F$2541,MATCH(Paramètres!N43,Paramètres!$G$5:$G$57,0)),INDEX($E$2489:$E$2541,MATCH(Paramètres!N43,Paramètres!$G$5:$G$57,0)))+IF(RIGHT(TRIM(Paramètres!O43),3)="Fin",1-$H2527,IF(LEFT(TRIM(Paramètres!O43),1)="F",1,0)))))))</f>
        <v/>
      </c>
      <c r="F2527" s="19">
        <f>IF($A2527="","",E2527+$H2527-1)</f>
        <v/>
      </c>
      <c r="G2527" s="18" t="n"/>
      <c r="H2527" s="18">
        <f>IF($A2527="","",IF(I2527&lt;&gt;"",I2527,Paramètres!B43))</f>
        <v/>
      </c>
      <c r="I2527" s="18" t="n"/>
    </row>
    <row r="2528">
      <c r="A2528" s="18">
        <f>IF(ISNUMBER(Dossiers!$D$50),Dossiers!$A$50&amp;" · "&amp;Dossiers!$B$50,"")</f>
        <v/>
      </c>
      <c r="B2528" s="18">
        <f>IF($A2528="","",Paramètres!G44)</f>
        <v/>
      </c>
      <c r="C2528" s="18">
        <f>IF($A2528="","",IF(Paramètres!H44="","",Paramètres!H44))</f>
        <v/>
      </c>
      <c r="D2528" s="18">
        <f>IF($A2528="","",IF(Paramètres!I44="","",Paramètres!I44))</f>
        <v/>
      </c>
      <c r="E2528" s="19">
        <f>IF($A2528="","",IF(Paramètres!J44&amp;Paramètres!L44&amp;Paramètres!N44="",Dossiers!$D$50,MAX(IF(Paramètres!J44="",0,IF(Paramètres!K44="",NA(),IF(LEFT(TRIM(Paramètres!K44),1)="F",INDEX($F$2489:$F$2541,MATCH(Paramètres!J44,Paramètres!$G$5:$G$57,0)),INDEX($E$2489:$E$2541,MATCH(Paramètres!J44,Paramètres!$G$5:$G$57,0)))+IF(RIGHT(TRIM(Paramètres!K44),3)="Fin",1-$H2528,IF(LEFT(TRIM(Paramètres!K44),1)="F",1,0)))),IF(Paramètres!L44="",0,IF(Paramètres!M44="",NA(),IF(LEFT(TRIM(Paramètres!M44),1)="F",INDEX($F$2489:$F$2541,MATCH(Paramètres!L44,Paramètres!$G$5:$G$57,0)),INDEX($E$2489:$E$2541,MATCH(Paramètres!L44,Paramètres!$G$5:$G$57,0)))+IF(RIGHT(TRIM(Paramètres!M44),3)="Fin",1-$H2528,IF(LEFT(TRIM(Paramètres!M44),1)="F",1,0)))),IF(Paramètres!N44="",0,IF(Paramètres!O44="",NA(),IF(LEFT(TRIM(Paramètres!O44),1)="F",INDEX($F$2489:$F$2541,MATCH(Paramètres!N44,Paramètres!$G$5:$G$57,0)),INDEX($E$2489:$E$2541,MATCH(Paramètres!N44,Paramètres!$G$5:$G$57,0)))+IF(RIGHT(TRIM(Paramètres!O44),3)="Fin",1-$H2528,IF(LEFT(TRIM(Paramètres!O44),1)="F",1,0)))))))</f>
        <v/>
      </c>
      <c r="F2528" s="19">
        <f>IF($A2528="","",E2528+$H2528-1)</f>
        <v/>
      </c>
      <c r="G2528" s="18" t="n"/>
      <c r="H2528" s="18">
        <f>IF($A2528="","",IF(I2528&lt;&gt;"",I2528,Paramètres!B44))</f>
        <v/>
      </c>
      <c r="I2528" s="18" t="n"/>
    </row>
    <row r="2529">
      <c r="A2529" s="18">
        <f>IF(ISNUMBER(Dossiers!$D$50),Dossiers!$A$50&amp;" · "&amp;Dossiers!$B$50,"")</f>
        <v/>
      </c>
      <c r="B2529" s="18">
        <f>IF($A2529="","",Paramètres!G45)</f>
        <v/>
      </c>
      <c r="C2529" s="20">
        <f>IF($A2529="","",IF(Dossiers!$G$50="","",Dossiers!$G$50))</f>
        <v/>
      </c>
      <c r="D2529" s="18">
        <f>IF($A2529="","",IF(Paramètres!I45="","",Paramètres!I45))</f>
        <v/>
      </c>
      <c r="E2529" s="19">
        <f>IF($A2529="","",IF(Paramètres!J45&amp;Paramètres!L45&amp;Paramètres!N45="",Dossiers!$D$50,MAX(IF(Paramètres!J45="",0,IF(Paramètres!K45="",NA(),IF(LEFT(TRIM(Paramètres!K45),1)="F",INDEX($F$2489:$F$2541,MATCH(Paramètres!J45,Paramètres!$G$5:$G$57,0)),INDEX($E$2489:$E$2541,MATCH(Paramètres!J45,Paramètres!$G$5:$G$57,0)))+IF(RIGHT(TRIM(Paramètres!K45),3)="Fin",1-$H2529,IF(LEFT(TRIM(Paramètres!K45),1)="F",1,0)))),IF(Paramètres!L45="",0,IF(Paramètres!M45="",NA(),IF(LEFT(TRIM(Paramètres!M45),1)="F",INDEX($F$2489:$F$2541,MATCH(Paramètres!L45,Paramètres!$G$5:$G$57,0)),INDEX($E$2489:$E$2541,MATCH(Paramètres!L45,Paramètres!$G$5:$G$57,0)))+IF(RIGHT(TRIM(Paramètres!M45),3)="Fin",1-$H2529,IF(LEFT(TRIM(Paramètres!M45),1)="F",1,0)))),IF(Paramètres!N45="",0,IF(Paramètres!O45="",NA(),IF(LEFT(TRIM(Paramètres!O45),1)="F",INDEX($F$2489:$F$2541,MATCH(Paramètres!N45,Paramètres!$G$5:$G$57,0)),INDEX($E$2489:$E$2541,MATCH(Paramètres!N45,Paramètres!$G$5:$G$57,0)))+IF(RIGHT(TRIM(Paramètres!O45),3)="Fin",1-$H2529,IF(LEFT(TRIM(Paramètres!O45),1)="F",1,0)))))))</f>
        <v/>
      </c>
      <c r="F2529" s="19">
        <f>IF($A2529="","",E2529+$H2529-1)</f>
        <v/>
      </c>
      <c r="G2529" s="18" t="n"/>
      <c r="H2529" s="18">
        <f>IF($A2529="","",IF(I2529&lt;&gt;"",I2529,Paramètres!B45))</f>
        <v/>
      </c>
      <c r="I2529" s="18" t="n"/>
    </row>
    <row r="2530">
      <c r="A2530" s="18">
        <f>IF(ISNUMBER(Dossiers!$D$50),Dossiers!$A$50&amp;" · "&amp;Dossiers!$B$50,"")</f>
        <v/>
      </c>
      <c r="B2530" s="18">
        <f>IF($A2530="","",Paramètres!G46)</f>
        <v/>
      </c>
      <c r="C2530" s="18">
        <f>IF($A2530="","",IF(Paramètres!H46="","",Paramètres!H46))</f>
        <v/>
      </c>
      <c r="D2530" s="18">
        <f>IF($A2530="","",IF(Paramètres!I46="","",Paramètres!I46))</f>
        <v/>
      </c>
      <c r="E2530" s="19">
        <f>IF($A2530="","",IF(Paramètres!J46&amp;Paramètres!L46&amp;Paramètres!N46="",Dossiers!$D$50,MAX(IF(Paramètres!J46="",0,IF(Paramètres!K46="",NA(),IF(LEFT(TRIM(Paramètres!K46),1)="F",INDEX($F$2489:$F$2541,MATCH(Paramètres!J46,Paramètres!$G$5:$G$57,0)),INDEX($E$2489:$E$2541,MATCH(Paramètres!J46,Paramètres!$G$5:$G$57,0)))+IF(RIGHT(TRIM(Paramètres!K46),3)="Fin",1-$H2530,IF(LEFT(TRIM(Paramètres!K46),1)="F",1,0)))),IF(Paramètres!L46="",0,IF(Paramètres!M46="",NA(),IF(LEFT(TRIM(Paramètres!M46),1)="F",INDEX($F$2489:$F$2541,MATCH(Paramètres!L46,Paramètres!$G$5:$G$57,0)),INDEX($E$2489:$E$2541,MATCH(Paramètres!L46,Paramètres!$G$5:$G$57,0)))+IF(RIGHT(TRIM(Paramètres!M46),3)="Fin",1-$H2530,IF(LEFT(TRIM(Paramètres!M46),1)="F",1,0)))),IF(Paramètres!N46="",0,IF(Paramètres!O46="",NA(),IF(LEFT(TRIM(Paramètres!O46),1)="F",INDEX($F$2489:$F$2541,MATCH(Paramètres!N46,Paramètres!$G$5:$G$57,0)),INDEX($E$2489:$E$2541,MATCH(Paramètres!N46,Paramètres!$G$5:$G$57,0)))+IF(RIGHT(TRIM(Paramètres!O46),3)="Fin",1-$H2530,IF(LEFT(TRIM(Paramètres!O46),1)="F",1,0)))))))</f>
        <v/>
      </c>
      <c r="F2530" s="19">
        <f>IF($A2530="","",E2530+$H2530-1)</f>
        <v/>
      </c>
      <c r="G2530" s="18" t="n"/>
      <c r="H2530" s="18">
        <f>IF($A2530="","",IF(I2530&lt;&gt;"",I2530,Paramètres!B46))</f>
        <v/>
      </c>
      <c r="I2530" s="18" t="n"/>
    </row>
    <row r="2531">
      <c r="A2531" s="18">
        <f>IF(ISNUMBER(Dossiers!$D$50),Dossiers!$A$50&amp;" · "&amp;Dossiers!$B$50,"")</f>
        <v/>
      </c>
      <c r="B2531" s="18">
        <f>IF($A2531="","",Paramètres!G47)</f>
        <v/>
      </c>
      <c r="C2531" s="18">
        <f>IF($A2531="","",IF(Paramètres!H47="","",Paramètres!H47))</f>
        <v/>
      </c>
      <c r="D2531" s="18">
        <f>IF($A2531="","",IF(Paramètres!I47="","",Paramètres!I47))</f>
        <v/>
      </c>
      <c r="E2531" s="19">
        <f>IF($A2531="","",IF(Paramètres!J47&amp;Paramètres!L47&amp;Paramètres!N47="",Dossiers!$D$50,MAX(IF(Paramètres!J47="",0,IF(Paramètres!K47="",NA(),IF(LEFT(TRIM(Paramètres!K47),1)="F",INDEX($F$2489:$F$2541,MATCH(Paramètres!J47,Paramètres!$G$5:$G$57,0)),INDEX($E$2489:$E$2541,MATCH(Paramètres!J47,Paramètres!$G$5:$G$57,0)))+IF(RIGHT(TRIM(Paramètres!K47),3)="Fin",1-$H2531,IF(LEFT(TRIM(Paramètres!K47),1)="F",1,0)))),IF(Paramètres!L47="",0,IF(Paramètres!M47="",NA(),IF(LEFT(TRIM(Paramètres!M47),1)="F",INDEX($F$2489:$F$2541,MATCH(Paramètres!L47,Paramètres!$G$5:$G$57,0)),INDEX($E$2489:$E$2541,MATCH(Paramètres!L47,Paramètres!$G$5:$G$57,0)))+IF(RIGHT(TRIM(Paramètres!M47),3)="Fin",1-$H2531,IF(LEFT(TRIM(Paramètres!M47),1)="F",1,0)))),IF(Paramètres!N47="",0,IF(Paramètres!O47="",NA(),IF(LEFT(TRIM(Paramètres!O47),1)="F",INDEX($F$2489:$F$2541,MATCH(Paramètres!N47,Paramètres!$G$5:$G$57,0)),INDEX($E$2489:$E$2541,MATCH(Paramètres!N47,Paramètres!$G$5:$G$57,0)))+IF(RIGHT(TRIM(Paramètres!O47),3)="Fin",1-$H2531,IF(LEFT(TRIM(Paramètres!O47),1)="F",1,0)))))))</f>
        <v/>
      </c>
      <c r="F2531" s="19">
        <f>IF($A2531="","",E2531+$H2531-1)</f>
        <v/>
      </c>
      <c r="G2531" s="18" t="n"/>
      <c r="H2531" s="18">
        <f>IF($A2531="","",IF(I2531&lt;&gt;"",I2531,Paramètres!B47))</f>
        <v/>
      </c>
      <c r="I2531" s="18" t="n"/>
    </row>
    <row r="2532">
      <c r="A2532" s="18">
        <f>IF(ISNUMBER(Dossiers!$D$50),Dossiers!$A$50&amp;" · "&amp;Dossiers!$B$50,"")</f>
        <v/>
      </c>
      <c r="B2532" s="18">
        <f>IF($A2532="","",Paramètres!G48)</f>
        <v/>
      </c>
      <c r="C2532" s="18">
        <f>IF($A2532="","",IF(Paramètres!H48="","",Paramètres!H48))</f>
        <v/>
      </c>
      <c r="D2532" s="18">
        <f>IF($A2532="","",IF(Paramètres!I48="","",Paramètres!I48))</f>
        <v/>
      </c>
      <c r="E2532" s="19">
        <f>IF($A2532="","",IF(Paramètres!J48&amp;Paramètres!L48&amp;Paramètres!N48="",Dossiers!$D$50,MAX(IF(Paramètres!J48="",0,IF(Paramètres!K48="",NA(),IF(LEFT(TRIM(Paramètres!K48),1)="F",INDEX($F$2489:$F$2541,MATCH(Paramètres!J48,Paramètres!$G$5:$G$57,0)),INDEX($E$2489:$E$2541,MATCH(Paramètres!J48,Paramètres!$G$5:$G$57,0)))+IF(RIGHT(TRIM(Paramètres!K48),3)="Fin",1-$H2532,IF(LEFT(TRIM(Paramètres!K48),1)="F",1,0)))),IF(Paramètres!L48="",0,IF(Paramètres!M48="",NA(),IF(LEFT(TRIM(Paramètres!M48),1)="F",INDEX($F$2489:$F$2541,MATCH(Paramètres!L48,Paramètres!$G$5:$G$57,0)),INDEX($E$2489:$E$2541,MATCH(Paramètres!L48,Paramètres!$G$5:$G$57,0)))+IF(RIGHT(TRIM(Paramètres!M48),3)="Fin",1-$H2532,IF(LEFT(TRIM(Paramètres!M48),1)="F",1,0)))),IF(Paramètres!N48="",0,IF(Paramètres!O48="",NA(),IF(LEFT(TRIM(Paramètres!O48),1)="F",INDEX($F$2489:$F$2541,MATCH(Paramètres!N48,Paramètres!$G$5:$G$57,0)),INDEX($E$2489:$E$2541,MATCH(Paramètres!N48,Paramètres!$G$5:$G$57,0)))+IF(RIGHT(TRIM(Paramètres!O48),3)="Fin",1-$H2532,IF(LEFT(TRIM(Paramètres!O48),1)="F",1,0)))))))</f>
        <v/>
      </c>
      <c r="F2532" s="19">
        <f>IF($A2532="","",E2532+$H2532-1)</f>
        <v/>
      </c>
      <c r="G2532" s="18" t="n"/>
      <c r="H2532" s="18">
        <f>IF($A2532="","",IF(I2532&lt;&gt;"",I2532,Paramètres!B48))</f>
        <v/>
      </c>
      <c r="I2532" s="18" t="n"/>
    </row>
    <row r="2533">
      <c r="A2533" s="18">
        <f>IF(ISNUMBER(Dossiers!$D$50),Dossiers!$A$50&amp;" · "&amp;Dossiers!$B$50,"")</f>
        <v/>
      </c>
      <c r="B2533" s="18">
        <f>IF($A2533="","",Paramètres!G49)</f>
        <v/>
      </c>
      <c r="C2533" s="18">
        <f>IF($A2533="","",IF(Paramètres!H49="","",Paramètres!H49))</f>
        <v/>
      </c>
      <c r="D2533" s="18">
        <f>IF($A2533="","",IF(Paramètres!I49="","",Paramètres!I49))</f>
        <v/>
      </c>
      <c r="E2533" s="19">
        <f>IF($A2533="","",IF(Paramètres!J49&amp;Paramètres!L49&amp;Paramètres!N49="",Dossiers!$D$50,MAX(IF(Paramètres!J49="",0,IF(Paramètres!K49="",NA(),IF(LEFT(TRIM(Paramètres!K49),1)="F",INDEX($F$2489:$F$2541,MATCH(Paramètres!J49,Paramètres!$G$5:$G$57,0)),INDEX($E$2489:$E$2541,MATCH(Paramètres!J49,Paramètres!$G$5:$G$57,0)))+IF(RIGHT(TRIM(Paramètres!K49),3)="Fin",1-$H2533,IF(LEFT(TRIM(Paramètres!K49),1)="F",1,0)))),IF(Paramètres!L49="",0,IF(Paramètres!M49="",NA(),IF(LEFT(TRIM(Paramètres!M49),1)="F",INDEX($F$2489:$F$2541,MATCH(Paramètres!L49,Paramètres!$G$5:$G$57,0)),INDEX($E$2489:$E$2541,MATCH(Paramètres!L49,Paramètres!$G$5:$G$57,0)))+IF(RIGHT(TRIM(Paramètres!M49),3)="Fin",1-$H2533,IF(LEFT(TRIM(Paramètres!M49),1)="F",1,0)))),IF(Paramètres!N49="",0,IF(Paramètres!O49="",NA(),IF(LEFT(TRIM(Paramètres!O49),1)="F",INDEX($F$2489:$F$2541,MATCH(Paramètres!N49,Paramètres!$G$5:$G$57,0)),INDEX($E$2489:$E$2541,MATCH(Paramètres!N49,Paramètres!$G$5:$G$57,0)))+IF(RIGHT(TRIM(Paramètres!O49),3)="Fin",1-$H2533,IF(LEFT(TRIM(Paramètres!O49),1)="F",1,0)))))))</f>
        <v/>
      </c>
      <c r="F2533" s="19">
        <f>IF($A2533="","",E2533+$H2533-1)</f>
        <v/>
      </c>
      <c r="G2533" s="18" t="n"/>
      <c r="H2533" s="18">
        <f>IF($A2533="","",IF(I2533&lt;&gt;"",I2533,Paramètres!B49))</f>
        <v/>
      </c>
      <c r="I2533" s="18" t="n"/>
    </row>
    <row r="2534">
      <c r="A2534" s="18">
        <f>IF(ISNUMBER(Dossiers!$D$50),Dossiers!$A$50&amp;" · "&amp;Dossiers!$B$50,"")</f>
        <v/>
      </c>
      <c r="B2534" s="18">
        <f>IF($A2534="","",Paramètres!G50)</f>
        <v/>
      </c>
      <c r="C2534" s="18">
        <f>IF($A2534="","",IF(Paramètres!H50="","",Paramètres!H50))</f>
        <v/>
      </c>
      <c r="D2534" s="18">
        <f>IF($A2534="","",IF(Paramètres!I50="","",Paramètres!I50))</f>
        <v/>
      </c>
      <c r="E2534" s="19">
        <f>IF($A2534="","",IF(Paramètres!J50&amp;Paramètres!L50&amp;Paramètres!N50="",Dossiers!$D$50,MAX(IF(Paramètres!J50="",0,IF(Paramètres!K50="",NA(),IF(LEFT(TRIM(Paramètres!K50),1)="F",INDEX($F$2489:$F$2541,MATCH(Paramètres!J50,Paramètres!$G$5:$G$57,0)),INDEX($E$2489:$E$2541,MATCH(Paramètres!J50,Paramètres!$G$5:$G$57,0)))+IF(RIGHT(TRIM(Paramètres!K50),3)="Fin",1-$H2534,IF(LEFT(TRIM(Paramètres!K50),1)="F",1,0)))),IF(Paramètres!L50="",0,IF(Paramètres!M50="",NA(),IF(LEFT(TRIM(Paramètres!M50),1)="F",INDEX($F$2489:$F$2541,MATCH(Paramètres!L50,Paramètres!$G$5:$G$57,0)),INDEX($E$2489:$E$2541,MATCH(Paramètres!L50,Paramètres!$G$5:$G$57,0)))+IF(RIGHT(TRIM(Paramètres!M50),3)="Fin",1-$H2534,IF(LEFT(TRIM(Paramètres!M50),1)="F",1,0)))),IF(Paramètres!N50="",0,IF(Paramètres!O50="",NA(),IF(LEFT(TRIM(Paramètres!O50),1)="F",INDEX($F$2489:$F$2541,MATCH(Paramètres!N50,Paramètres!$G$5:$G$57,0)),INDEX($E$2489:$E$2541,MATCH(Paramètres!N50,Paramètres!$G$5:$G$57,0)))+IF(RIGHT(TRIM(Paramètres!O50),3)="Fin",1-$H2534,IF(LEFT(TRIM(Paramètres!O50),1)="F",1,0)))))))</f>
        <v/>
      </c>
      <c r="F2534" s="19">
        <f>IF($A2534="","",E2534+$H2534-1)</f>
        <v/>
      </c>
      <c r="G2534" s="18" t="n"/>
      <c r="H2534" s="18">
        <f>IF($A2534="","",IF(I2534&lt;&gt;"",I2534,Paramètres!B50))</f>
        <v/>
      </c>
      <c r="I2534" s="18" t="n"/>
    </row>
    <row r="2535">
      <c r="A2535" s="18">
        <f>IF(ISNUMBER(Dossiers!$D$50),Dossiers!$A$50&amp;" · "&amp;Dossiers!$B$50,"")</f>
        <v/>
      </c>
      <c r="B2535" s="18">
        <f>IF($A2535="","",Paramètres!G51)</f>
        <v/>
      </c>
      <c r="C2535" s="18">
        <f>IF($A2535="","",IF(Paramètres!H51="","",Paramètres!H51))</f>
        <v/>
      </c>
      <c r="D2535" s="18">
        <f>IF($A2535="","",IF(Paramètres!I51="","",Paramètres!I51))</f>
        <v/>
      </c>
      <c r="E2535" s="19">
        <f>IF($A2535="","",IF(Paramètres!J51&amp;Paramètres!L51&amp;Paramètres!N51="",Dossiers!$D$50,MAX(IF(Paramètres!J51="",0,IF(Paramètres!K51="",NA(),IF(LEFT(TRIM(Paramètres!K51),1)="F",INDEX($F$2489:$F$2541,MATCH(Paramètres!J51,Paramètres!$G$5:$G$57,0)),INDEX($E$2489:$E$2541,MATCH(Paramètres!J51,Paramètres!$G$5:$G$57,0)))+IF(RIGHT(TRIM(Paramètres!K51),3)="Fin",1-$H2535,IF(LEFT(TRIM(Paramètres!K51),1)="F",1,0)))),IF(Paramètres!L51="",0,IF(Paramètres!M51="",NA(),IF(LEFT(TRIM(Paramètres!M51),1)="F",INDEX($F$2489:$F$2541,MATCH(Paramètres!L51,Paramètres!$G$5:$G$57,0)),INDEX($E$2489:$E$2541,MATCH(Paramètres!L51,Paramètres!$G$5:$G$57,0)))+IF(RIGHT(TRIM(Paramètres!M51),3)="Fin",1-$H2535,IF(LEFT(TRIM(Paramètres!M51),1)="F",1,0)))),IF(Paramètres!N51="",0,IF(Paramètres!O51="",NA(),IF(LEFT(TRIM(Paramètres!O51),1)="F",INDEX($F$2489:$F$2541,MATCH(Paramètres!N51,Paramètres!$G$5:$G$57,0)),INDEX($E$2489:$E$2541,MATCH(Paramètres!N51,Paramètres!$G$5:$G$57,0)))+IF(RIGHT(TRIM(Paramètres!O51),3)="Fin",1-$H2535,IF(LEFT(TRIM(Paramètres!O51),1)="F",1,0)))))))</f>
        <v/>
      </c>
      <c r="F2535" s="19">
        <f>IF($A2535="","",E2535+$H2535-1)</f>
        <v/>
      </c>
      <c r="G2535" s="18" t="n"/>
      <c r="H2535" s="18">
        <f>IF($A2535="","",IF(I2535&lt;&gt;"",I2535,Paramètres!B51))</f>
        <v/>
      </c>
      <c r="I2535" s="18" t="n"/>
    </row>
    <row r="2536">
      <c r="A2536" s="18">
        <f>IF(ISNUMBER(Dossiers!$D$50),Dossiers!$A$50&amp;" · "&amp;Dossiers!$B$50,"")</f>
        <v/>
      </c>
      <c r="B2536" s="18">
        <f>IF($A2536="","",Paramètres!G52)</f>
        <v/>
      </c>
      <c r="C2536" s="18">
        <f>IF($A2536="","",IF(Paramètres!H52="","",Paramètres!H52))</f>
        <v/>
      </c>
      <c r="D2536" s="18">
        <f>IF($A2536="","",IF(Paramètres!I52="","",Paramètres!I52))</f>
        <v/>
      </c>
      <c r="E2536" s="19">
        <f>IF($A2536="","",IF(Paramètres!J52&amp;Paramètres!L52&amp;Paramètres!N52="",Dossiers!$D$50,MAX(IF(Paramètres!J52="",0,IF(Paramètres!K52="",NA(),IF(LEFT(TRIM(Paramètres!K52),1)="F",INDEX($F$2489:$F$2541,MATCH(Paramètres!J52,Paramètres!$G$5:$G$57,0)),INDEX($E$2489:$E$2541,MATCH(Paramètres!J52,Paramètres!$G$5:$G$57,0)))+IF(RIGHT(TRIM(Paramètres!K52),3)="Fin",1-$H2536,IF(LEFT(TRIM(Paramètres!K52),1)="F",1,0)))),IF(Paramètres!L52="",0,IF(Paramètres!M52="",NA(),IF(LEFT(TRIM(Paramètres!M52),1)="F",INDEX($F$2489:$F$2541,MATCH(Paramètres!L52,Paramètres!$G$5:$G$57,0)),INDEX($E$2489:$E$2541,MATCH(Paramètres!L52,Paramètres!$G$5:$G$57,0)))+IF(RIGHT(TRIM(Paramètres!M52),3)="Fin",1-$H2536,IF(LEFT(TRIM(Paramètres!M52),1)="F",1,0)))),IF(Paramètres!N52="",0,IF(Paramètres!O52="",NA(),IF(LEFT(TRIM(Paramètres!O52),1)="F",INDEX($F$2489:$F$2541,MATCH(Paramètres!N52,Paramètres!$G$5:$G$57,0)),INDEX($E$2489:$E$2541,MATCH(Paramètres!N52,Paramètres!$G$5:$G$57,0)))+IF(RIGHT(TRIM(Paramètres!O52),3)="Fin",1-$H2536,IF(LEFT(TRIM(Paramètres!O52),1)="F",1,0)))))))</f>
        <v/>
      </c>
      <c r="F2536" s="19">
        <f>IF($A2536="","",E2536+$H2536-1)</f>
        <v/>
      </c>
      <c r="G2536" s="18" t="n"/>
      <c r="H2536" s="18">
        <f>IF($A2536="","",IF(I2536&lt;&gt;"",I2536,Paramètres!B52))</f>
        <v/>
      </c>
      <c r="I2536" s="18" t="n"/>
    </row>
    <row r="2537">
      <c r="A2537" s="18">
        <f>IF(ISNUMBER(Dossiers!$D$50),Dossiers!$A$50&amp;" · "&amp;Dossiers!$B$50,"")</f>
        <v/>
      </c>
      <c r="B2537" s="18">
        <f>IF($A2537="","",Paramètres!G53)</f>
        <v/>
      </c>
      <c r="C2537" s="18">
        <f>IF($A2537="","",IF(Paramètres!H53="","",Paramètres!H53))</f>
        <v/>
      </c>
      <c r="D2537" s="18">
        <f>IF($A2537="","",IF(Paramètres!I53="","",Paramètres!I53))</f>
        <v/>
      </c>
      <c r="E2537" s="19">
        <f>IF($A2537="","",IF(Paramètres!J53&amp;Paramètres!L53&amp;Paramètres!N53="",Dossiers!$D$50,MAX(IF(Paramètres!J53="",0,IF(Paramètres!K53="",NA(),IF(LEFT(TRIM(Paramètres!K53),1)="F",INDEX($F$2489:$F$2541,MATCH(Paramètres!J53,Paramètres!$G$5:$G$57,0)),INDEX($E$2489:$E$2541,MATCH(Paramètres!J53,Paramètres!$G$5:$G$57,0)))+IF(RIGHT(TRIM(Paramètres!K53),3)="Fin",1-$H2537,IF(LEFT(TRIM(Paramètres!K53),1)="F",1,0)))),IF(Paramètres!L53="",0,IF(Paramètres!M53="",NA(),IF(LEFT(TRIM(Paramètres!M53),1)="F",INDEX($F$2489:$F$2541,MATCH(Paramètres!L53,Paramètres!$G$5:$G$57,0)),INDEX($E$2489:$E$2541,MATCH(Paramètres!L53,Paramètres!$G$5:$G$57,0)))+IF(RIGHT(TRIM(Paramètres!M53),3)="Fin",1-$H2537,IF(LEFT(TRIM(Paramètres!M53),1)="F",1,0)))),IF(Paramètres!N53="",0,IF(Paramètres!O53="",NA(),IF(LEFT(TRIM(Paramètres!O53),1)="F",INDEX($F$2489:$F$2541,MATCH(Paramètres!N53,Paramètres!$G$5:$G$57,0)),INDEX($E$2489:$E$2541,MATCH(Paramètres!N53,Paramètres!$G$5:$G$57,0)))+IF(RIGHT(TRIM(Paramètres!O53),3)="Fin",1-$H2537,IF(LEFT(TRIM(Paramètres!O53),1)="F",1,0)))))))</f>
        <v/>
      </c>
      <c r="F2537" s="19">
        <f>IF($A2537="","",E2537+$H2537-1)</f>
        <v/>
      </c>
      <c r="G2537" s="18" t="n"/>
      <c r="H2537" s="18">
        <f>IF($A2537="","",IF(I2537&lt;&gt;"",I2537,Paramètres!B53))</f>
        <v/>
      </c>
      <c r="I2537" s="18" t="n"/>
    </row>
    <row r="2538">
      <c r="A2538" s="18">
        <f>IF(ISNUMBER(Dossiers!$D$50),Dossiers!$A$50&amp;" · "&amp;Dossiers!$B$50,"")</f>
        <v/>
      </c>
      <c r="B2538" s="18">
        <f>IF($A2538="","",Paramètres!G54)</f>
        <v/>
      </c>
      <c r="C2538" s="18">
        <f>IF($A2538="","",IF(Paramètres!H54="","",Paramètres!H54))</f>
        <v/>
      </c>
      <c r="D2538" s="18">
        <f>IF($A2538="","",IF(Paramètres!I54="","",Paramètres!I54))</f>
        <v/>
      </c>
      <c r="E2538" s="19">
        <f>IF($A2538="","",IF(Paramètres!J54&amp;Paramètres!L54&amp;Paramètres!N54="",Dossiers!$D$50,MAX(IF(Paramètres!J54="",0,IF(Paramètres!K54="",NA(),IF(LEFT(TRIM(Paramètres!K54),1)="F",INDEX($F$2489:$F$2541,MATCH(Paramètres!J54,Paramètres!$G$5:$G$57,0)),INDEX($E$2489:$E$2541,MATCH(Paramètres!J54,Paramètres!$G$5:$G$57,0)))+IF(RIGHT(TRIM(Paramètres!K54),3)="Fin",1-$H2538,IF(LEFT(TRIM(Paramètres!K54),1)="F",1,0)))),IF(Paramètres!L54="",0,IF(Paramètres!M54="",NA(),IF(LEFT(TRIM(Paramètres!M54),1)="F",INDEX($F$2489:$F$2541,MATCH(Paramètres!L54,Paramètres!$G$5:$G$57,0)),INDEX($E$2489:$E$2541,MATCH(Paramètres!L54,Paramètres!$G$5:$G$57,0)))+IF(RIGHT(TRIM(Paramètres!M54),3)="Fin",1-$H2538,IF(LEFT(TRIM(Paramètres!M54),1)="F",1,0)))),IF(Paramètres!N54="",0,IF(Paramètres!O54="",NA(),IF(LEFT(TRIM(Paramètres!O54),1)="F",INDEX($F$2489:$F$2541,MATCH(Paramètres!N54,Paramètres!$G$5:$G$57,0)),INDEX($E$2489:$E$2541,MATCH(Paramètres!N54,Paramètres!$G$5:$G$57,0)))+IF(RIGHT(TRIM(Paramètres!O54),3)="Fin",1-$H2538,IF(LEFT(TRIM(Paramètres!O54),1)="F",1,0)))))))</f>
        <v/>
      </c>
      <c r="F2538" s="19">
        <f>IF($A2538="","",E2538+$H2538-1)</f>
        <v/>
      </c>
      <c r="G2538" s="18" t="n"/>
      <c r="H2538" s="18">
        <f>IF($A2538="","",IF(I2538&lt;&gt;"",I2538,Paramètres!B54))</f>
        <v/>
      </c>
      <c r="I2538" s="18" t="n"/>
    </row>
    <row r="2539">
      <c r="A2539" s="18">
        <f>IF(ISNUMBER(Dossiers!$D$50),Dossiers!$A$50&amp;" · "&amp;Dossiers!$B$50,"")</f>
        <v/>
      </c>
      <c r="B2539" s="18">
        <f>IF($A2539="","",Paramètres!G55)</f>
        <v/>
      </c>
      <c r="C2539" s="18">
        <f>IF($A2539="","",IF(Paramètres!H55="","",Paramètres!H55))</f>
        <v/>
      </c>
      <c r="D2539" s="18">
        <f>IF($A2539="","",IF(Paramètres!I55="","",Paramètres!I55))</f>
        <v/>
      </c>
      <c r="E2539" s="19">
        <f>IF($A2539="","",IF(Paramètres!J55&amp;Paramètres!L55&amp;Paramètres!N55="",Dossiers!$D$50,MAX(IF(Paramètres!J55="",0,IF(Paramètres!K55="",NA(),IF(LEFT(TRIM(Paramètres!K55),1)="F",INDEX($F$2489:$F$2541,MATCH(Paramètres!J55,Paramètres!$G$5:$G$57,0)),INDEX($E$2489:$E$2541,MATCH(Paramètres!J55,Paramètres!$G$5:$G$57,0)))+IF(RIGHT(TRIM(Paramètres!K55),3)="Fin",1-$H2539,IF(LEFT(TRIM(Paramètres!K55),1)="F",1,0)))),IF(Paramètres!L55="",0,IF(Paramètres!M55="",NA(),IF(LEFT(TRIM(Paramètres!M55),1)="F",INDEX($F$2489:$F$2541,MATCH(Paramètres!L55,Paramètres!$G$5:$G$57,0)),INDEX($E$2489:$E$2541,MATCH(Paramètres!L55,Paramètres!$G$5:$G$57,0)))+IF(RIGHT(TRIM(Paramètres!M55),3)="Fin",1-$H2539,IF(LEFT(TRIM(Paramètres!M55),1)="F",1,0)))),IF(Paramètres!N55="",0,IF(Paramètres!O55="",NA(),IF(LEFT(TRIM(Paramètres!O55),1)="F",INDEX($F$2489:$F$2541,MATCH(Paramètres!N55,Paramètres!$G$5:$G$57,0)),INDEX($E$2489:$E$2541,MATCH(Paramètres!N55,Paramètres!$G$5:$G$57,0)))+IF(RIGHT(TRIM(Paramètres!O55),3)="Fin",1-$H2539,IF(LEFT(TRIM(Paramètres!O55),1)="F",1,0)))))))</f>
        <v/>
      </c>
      <c r="F2539" s="19">
        <f>IF($A2539="","",E2539+$H2539-1)</f>
        <v/>
      </c>
      <c r="G2539" s="18" t="n"/>
      <c r="H2539" s="18">
        <f>IF($A2539="","",IF(I2539&lt;&gt;"",I2539,Paramètres!B55))</f>
        <v/>
      </c>
      <c r="I2539" s="18" t="n"/>
    </row>
    <row r="2540">
      <c r="A2540" s="18">
        <f>IF(ISNUMBER(Dossiers!$D$50),Dossiers!$A$50&amp;" · "&amp;Dossiers!$B$50,"")</f>
        <v/>
      </c>
      <c r="B2540" s="18">
        <f>IF($A2540="","",Paramètres!G56)</f>
        <v/>
      </c>
      <c r="C2540" s="18">
        <f>IF($A2540="","",IF(Paramètres!H56="","",Paramètres!H56))</f>
        <v/>
      </c>
      <c r="D2540" s="18">
        <f>IF($A2540="","",IF(Paramètres!I56="","",Paramètres!I56))</f>
        <v/>
      </c>
      <c r="E2540" s="19">
        <f>IF($A2540="","",MIN(E2541:E2541))</f>
        <v/>
      </c>
      <c r="F2540" s="19">
        <f>IF($A2540="","",MAX(F2541:F2541))</f>
        <v/>
      </c>
      <c r="G2540" s="18" t="n"/>
      <c r="H2540" s="18">
        <f>IF($A2540="","",F2540-E2540+1)</f>
        <v/>
      </c>
      <c r="I2540" s="18" t="n"/>
    </row>
    <row r="2541">
      <c r="A2541" s="18">
        <f>IF(ISNUMBER(Dossiers!$D$50),Dossiers!$A$50&amp;" · "&amp;Dossiers!$B$50,"")</f>
        <v/>
      </c>
      <c r="B2541" s="18">
        <f>IF($A2541="","",Paramètres!G57)</f>
        <v/>
      </c>
      <c r="C2541" s="18">
        <f>IF($A2541="","",IF(Paramètres!H57="","",Paramètres!H57))</f>
        <v/>
      </c>
      <c r="D2541" s="18">
        <f>IF($A2541="","",IF(Paramètres!I57="","",Paramètres!I57))</f>
        <v/>
      </c>
      <c r="E2541" s="19">
        <f>IF($A2541="","",IF(Paramètres!J57&amp;Paramètres!L57&amp;Paramètres!N57="",Dossiers!$D$50,MAX(IF(Paramètres!J57="",0,IF(Paramètres!K57="",NA(),IF(LEFT(TRIM(Paramètres!K57),1)="F",INDEX($F$2489:$F$2541,MATCH(Paramètres!J57,Paramètres!$G$5:$G$57,0)),INDEX($E$2489:$E$2541,MATCH(Paramètres!J57,Paramètres!$G$5:$G$57,0)))+IF(RIGHT(TRIM(Paramètres!K57),3)="Fin",1-$H2541,IF(LEFT(TRIM(Paramètres!K57),1)="F",1,0)))),IF(Paramètres!L57="",0,IF(Paramètres!M57="",NA(),IF(LEFT(TRIM(Paramètres!M57),1)="F",INDEX($F$2489:$F$2541,MATCH(Paramètres!L57,Paramètres!$G$5:$G$57,0)),INDEX($E$2489:$E$2541,MATCH(Paramètres!L57,Paramètres!$G$5:$G$57,0)))+IF(RIGHT(TRIM(Paramètres!M57),3)="Fin",1-$H2541,IF(LEFT(TRIM(Paramètres!M57),1)="F",1,0)))),IF(Paramètres!N57="",0,IF(Paramètres!O57="",NA(),IF(LEFT(TRIM(Paramètres!O57),1)="F",INDEX($F$2489:$F$2541,MATCH(Paramètres!N57,Paramètres!$G$5:$G$57,0)),INDEX($E$2489:$E$2541,MATCH(Paramètres!N57,Paramètres!$G$5:$G$57,0)))+IF(RIGHT(TRIM(Paramètres!O57),3)="Fin",1-$H2541,IF(LEFT(TRIM(Paramètres!O57),1)="F",1,0)))))))</f>
        <v/>
      </c>
      <c r="F2541" s="19">
        <f>IF($A2541="","",E2541+$H2541-1)</f>
        <v/>
      </c>
      <c r="G2541" s="18" t="n"/>
      <c r="H2541" s="18">
        <f>IF($A2541="","",IF(I2541&lt;&gt;"",I2541,Paramètres!B57))</f>
        <v/>
      </c>
      <c r="I2541" s="18" t="n"/>
    </row>
    <row r="2542">
      <c r="A2542" s="16">
        <f>IF(ISNUMBER(Dossiers!$D$51),Dossiers!$E$51,"")</f>
        <v/>
      </c>
      <c r="B2542" s="16">
        <f>IF($A2542="","","Identifiant")</f>
        <v/>
      </c>
      <c r="C2542" s="16">
        <f>IF($A2542="","","Macro Etape")</f>
        <v/>
      </c>
      <c r="D2542" s="16">
        <f>IF($A2542="","","Etape")</f>
        <v/>
      </c>
      <c r="E2542" s="17">
        <f>IF($A2542="","","Début le")</f>
        <v/>
      </c>
      <c r="F2542" s="17">
        <f>IF($A2542="","","Fin prévue le")</f>
        <v/>
      </c>
      <c r="G2542" s="16">
        <f>IF($A2542="","","Statut")</f>
        <v/>
      </c>
      <c r="H2542" s="16">
        <f>IF($A2542="","","Durée (jours)")</f>
        <v/>
      </c>
      <c r="I2542" s="16">
        <f>IF($A2542="","","Durée particulière")</f>
        <v/>
      </c>
      <c r="J2542" s="10">
        <f>IF($A2542="","",HYPERLINK("#'Tableau de bord'!A1","↑ Tableau de bord"))</f>
        <v/>
      </c>
    </row>
    <row r="2543">
      <c r="A2543" s="18">
        <f>IF(ISNUMBER(Dossiers!$D$51),Dossiers!$A$51&amp;" · "&amp;Dossiers!$B$51,"")</f>
        <v/>
      </c>
      <c r="B2543" s="18">
        <f>IF($A2543="","",Paramètres!G5)</f>
        <v/>
      </c>
      <c r="C2543" s="18">
        <f>IF($A2543="","",IF(Paramètres!H5="","",Paramètres!H5))</f>
        <v/>
      </c>
      <c r="D2543" s="18">
        <f>IF($A2543="","",IF(Paramètres!I5="","",Paramètres!I5))</f>
        <v/>
      </c>
      <c r="E2543" s="19">
        <f>IF($A2543="","",MIN(E2544:E2547))</f>
        <v/>
      </c>
      <c r="F2543" s="19">
        <f>IF($A2543="","",MAX(F2544:F2547))</f>
        <v/>
      </c>
      <c r="G2543" s="18" t="n"/>
      <c r="H2543" s="18">
        <f>IF($A2543="","",F2543-E2543+1)</f>
        <v/>
      </c>
      <c r="I2543" s="18" t="n"/>
    </row>
    <row r="2544">
      <c r="A2544" s="18">
        <f>IF(ISNUMBER(Dossiers!$D$51),Dossiers!$A$51&amp;" · "&amp;Dossiers!$B$51,"")</f>
        <v/>
      </c>
      <c r="B2544" s="18">
        <f>IF($A2544="","",Paramètres!G6)</f>
        <v/>
      </c>
      <c r="C2544" s="18">
        <f>IF($A2544="","",IF(Paramètres!H6="","",Paramètres!H6))</f>
        <v/>
      </c>
      <c r="D2544" s="18">
        <f>IF($A2544="","",IF(Paramètres!I6="","",Paramètres!I6))</f>
        <v/>
      </c>
      <c r="E2544" s="19">
        <f>IF($A2544="","",IF(Paramètres!J6&amp;Paramètres!L6&amp;Paramètres!N6="",Dossiers!$D$51,MAX(IF(Paramètres!J6="",0,IF(Paramètres!K6="",NA(),IF(LEFT(TRIM(Paramètres!K6),1)="F",INDEX($F$2543:$F$2595,MATCH(Paramètres!J6,Paramètres!$G$5:$G$57,0)),INDEX($E$2543:$E$2595,MATCH(Paramètres!J6,Paramètres!$G$5:$G$57,0)))+IF(RIGHT(TRIM(Paramètres!K6),3)="Fin",1-$H2544,IF(LEFT(TRIM(Paramètres!K6),1)="F",1,0)))),IF(Paramètres!L6="",0,IF(Paramètres!M6="",NA(),IF(LEFT(TRIM(Paramètres!M6),1)="F",INDEX($F$2543:$F$2595,MATCH(Paramètres!L6,Paramètres!$G$5:$G$57,0)),INDEX($E$2543:$E$2595,MATCH(Paramètres!L6,Paramètres!$G$5:$G$57,0)))+IF(RIGHT(TRIM(Paramètres!M6),3)="Fin",1-$H2544,IF(LEFT(TRIM(Paramètres!M6),1)="F",1,0)))),IF(Paramètres!N6="",0,IF(Paramètres!O6="",NA(),IF(LEFT(TRIM(Paramètres!O6),1)="F",INDEX($F$2543:$F$2595,MATCH(Paramètres!N6,Paramètres!$G$5:$G$57,0)),INDEX($E$2543:$E$2595,MATCH(Paramètres!N6,Paramètres!$G$5:$G$57,0)))+IF(RIGHT(TRIM(Paramètres!O6),3)="Fin",1-$H2544,IF(LEFT(TRIM(Paramètres!O6),1)="F",1,0)))))))</f>
        <v/>
      </c>
      <c r="F2544" s="19">
        <f>IF($A2544="","",E2544+$H2544-1)</f>
        <v/>
      </c>
      <c r="G2544" s="18" t="n"/>
      <c r="H2544" s="18">
        <f>IF($A2544="","",IF(I2544&lt;&gt;"",I2544,Paramètres!B6))</f>
        <v/>
      </c>
      <c r="I2544" s="18" t="n"/>
    </row>
    <row r="2545">
      <c r="A2545" s="18">
        <f>IF(ISNUMBER(Dossiers!$D$51),Dossiers!$A$51&amp;" · "&amp;Dossiers!$B$51,"")</f>
        <v/>
      </c>
      <c r="B2545" s="18">
        <f>IF($A2545="","",Paramètres!G7)</f>
        <v/>
      </c>
      <c r="C2545" s="18">
        <f>IF($A2545="","",IF(Paramètres!H7="","",Paramètres!H7))</f>
        <v/>
      </c>
      <c r="D2545" s="18">
        <f>IF($A2545="","",IF(Paramètres!I7="","",Paramètres!I7))</f>
        <v/>
      </c>
      <c r="E2545" s="19">
        <f>IF($A2545="","",IF(Paramètres!J7&amp;Paramètres!L7&amp;Paramètres!N7="",Dossiers!$D$51,MAX(IF(Paramètres!J7="",0,IF(Paramètres!K7="",NA(),IF(LEFT(TRIM(Paramètres!K7),1)="F",INDEX($F$2543:$F$2595,MATCH(Paramètres!J7,Paramètres!$G$5:$G$57,0)),INDEX($E$2543:$E$2595,MATCH(Paramètres!J7,Paramètres!$G$5:$G$57,0)))+IF(RIGHT(TRIM(Paramètres!K7),3)="Fin",1-$H2545,IF(LEFT(TRIM(Paramètres!K7),1)="F",1,0)))),IF(Paramètres!L7="",0,IF(Paramètres!M7="",NA(),IF(LEFT(TRIM(Paramètres!M7),1)="F",INDEX($F$2543:$F$2595,MATCH(Paramètres!L7,Paramètres!$G$5:$G$57,0)),INDEX($E$2543:$E$2595,MATCH(Paramètres!L7,Paramètres!$G$5:$G$57,0)))+IF(RIGHT(TRIM(Paramètres!M7),3)="Fin",1-$H2545,IF(LEFT(TRIM(Paramètres!M7),1)="F",1,0)))),IF(Paramètres!N7="",0,IF(Paramètres!O7="",NA(),IF(LEFT(TRIM(Paramètres!O7),1)="F",INDEX($F$2543:$F$2595,MATCH(Paramètres!N7,Paramètres!$G$5:$G$57,0)),INDEX($E$2543:$E$2595,MATCH(Paramètres!N7,Paramètres!$G$5:$G$57,0)))+IF(RIGHT(TRIM(Paramètres!O7),3)="Fin",1-$H2545,IF(LEFT(TRIM(Paramètres!O7),1)="F",1,0)))))))</f>
        <v/>
      </c>
      <c r="F2545" s="19">
        <f>IF($A2545="","",E2545+$H2545-1)</f>
        <v/>
      </c>
      <c r="G2545" s="18" t="n"/>
      <c r="H2545" s="18">
        <f>IF($A2545="","",IF(I2545&lt;&gt;"",I2545,Paramètres!B7))</f>
        <v/>
      </c>
      <c r="I2545" s="18" t="n"/>
    </row>
    <row r="2546">
      <c r="A2546" s="18">
        <f>IF(ISNUMBER(Dossiers!$D$51),Dossiers!$A$51&amp;" · "&amp;Dossiers!$B$51,"")</f>
        <v/>
      </c>
      <c r="B2546" s="18">
        <f>IF($A2546="","",Paramètres!G8)</f>
        <v/>
      </c>
      <c r="C2546" s="18">
        <f>IF($A2546="","",IF(Paramètres!H8="","",Paramètres!H8))</f>
        <v/>
      </c>
      <c r="D2546" s="18">
        <f>IF($A2546="","",IF(Paramètres!I8="","",Paramètres!I8))</f>
        <v/>
      </c>
      <c r="E2546" s="19">
        <f>IF($A2546="","",IF(Paramètres!J8&amp;Paramètres!L8&amp;Paramètres!N8="",Dossiers!$D$51,MAX(IF(Paramètres!J8="",0,IF(Paramètres!K8="",NA(),IF(LEFT(TRIM(Paramètres!K8),1)="F",INDEX($F$2543:$F$2595,MATCH(Paramètres!J8,Paramètres!$G$5:$G$57,0)),INDEX($E$2543:$E$2595,MATCH(Paramètres!J8,Paramètres!$G$5:$G$57,0)))+IF(RIGHT(TRIM(Paramètres!K8),3)="Fin",1-$H2546,IF(LEFT(TRIM(Paramètres!K8),1)="F",1,0)))),IF(Paramètres!L8="",0,IF(Paramètres!M8="",NA(),IF(LEFT(TRIM(Paramètres!M8),1)="F",INDEX($F$2543:$F$2595,MATCH(Paramètres!L8,Paramètres!$G$5:$G$57,0)),INDEX($E$2543:$E$2595,MATCH(Paramètres!L8,Paramètres!$G$5:$G$57,0)))+IF(RIGHT(TRIM(Paramètres!M8),3)="Fin",1-$H2546,IF(LEFT(TRIM(Paramètres!M8),1)="F",1,0)))),IF(Paramètres!N8="",0,IF(Paramètres!O8="",NA(),IF(LEFT(TRIM(Paramètres!O8),1)="F",INDEX($F$2543:$F$2595,MATCH(Paramètres!N8,Paramètres!$G$5:$G$57,0)),INDEX($E$2543:$E$2595,MATCH(Paramètres!N8,Paramètres!$G$5:$G$57,0)))+IF(RIGHT(TRIM(Paramètres!O8),3)="Fin",1-$H2546,IF(LEFT(TRIM(Paramètres!O8),1)="F",1,0)))))))</f>
        <v/>
      </c>
      <c r="F2546" s="19">
        <f>IF($A2546="","",E2546+$H2546-1)</f>
        <v/>
      </c>
      <c r="G2546" s="18" t="n"/>
      <c r="H2546" s="18">
        <f>IF($A2546="","",IF(I2546&lt;&gt;"",I2546,Paramètres!B8))</f>
        <v/>
      </c>
      <c r="I2546" s="18" t="n"/>
    </row>
    <row r="2547">
      <c r="A2547" s="18">
        <f>IF(ISNUMBER(Dossiers!$D$51),Dossiers!$A$51&amp;" · "&amp;Dossiers!$B$51,"")</f>
        <v/>
      </c>
      <c r="B2547" s="18">
        <f>IF($A2547="","",Paramètres!G9)</f>
        <v/>
      </c>
      <c r="C2547" s="18">
        <f>IF($A2547="","",IF(Paramètres!H9="","",Paramètres!H9))</f>
        <v/>
      </c>
      <c r="D2547" s="18">
        <f>IF($A2547="","",IF(Paramètres!I9="","",Paramètres!I9))</f>
        <v/>
      </c>
      <c r="E2547" s="19">
        <f>IF($A2547="","",IF(Paramètres!J9&amp;Paramètres!L9&amp;Paramètres!N9="",Dossiers!$D$51,MAX(IF(Paramètres!J9="",0,IF(Paramètres!K9="",NA(),IF(LEFT(TRIM(Paramètres!K9),1)="F",INDEX($F$2543:$F$2595,MATCH(Paramètres!J9,Paramètres!$G$5:$G$57,0)),INDEX($E$2543:$E$2595,MATCH(Paramètres!J9,Paramètres!$G$5:$G$57,0)))+IF(RIGHT(TRIM(Paramètres!K9),3)="Fin",1-$H2547,IF(LEFT(TRIM(Paramètres!K9),1)="F",1,0)))),IF(Paramètres!L9="",0,IF(Paramètres!M9="",NA(),IF(LEFT(TRIM(Paramètres!M9),1)="F",INDEX($F$2543:$F$2595,MATCH(Paramètres!L9,Paramètres!$G$5:$G$57,0)),INDEX($E$2543:$E$2595,MATCH(Paramètres!L9,Paramètres!$G$5:$G$57,0)))+IF(RIGHT(TRIM(Paramètres!M9),3)="Fin",1-$H2547,IF(LEFT(TRIM(Paramètres!M9),1)="F",1,0)))),IF(Paramètres!N9="",0,IF(Paramètres!O9="",NA(),IF(LEFT(TRIM(Paramètres!O9),1)="F",INDEX($F$2543:$F$2595,MATCH(Paramètres!N9,Paramètres!$G$5:$G$57,0)),INDEX($E$2543:$E$2595,MATCH(Paramètres!N9,Paramètres!$G$5:$G$57,0)))+IF(RIGHT(TRIM(Paramètres!O9),3)="Fin",1-$H2547,IF(LEFT(TRIM(Paramètres!O9),1)="F",1,0)))))))</f>
        <v/>
      </c>
      <c r="F2547" s="19">
        <f>IF($A2547="","",E2547+$H2547-1)</f>
        <v/>
      </c>
      <c r="G2547" s="18" t="n"/>
      <c r="H2547" s="18">
        <f>IF($A2547="","",IF(I2547&lt;&gt;"",I2547,Paramètres!B9))</f>
        <v/>
      </c>
      <c r="I2547" s="18" t="n"/>
    </row>
    <row r="2548">
      <c r="A2548" s="18">
        <f>IF(ISNUMBER(Dossiers!$D$51),Dossiers!$A$51&amp;" · "&amp;Dossiers!$B$51,"")</f>
        <v/>
      </c>
      <c r="B2548" s="18">
        <f>IF($A2548="","",Paramètres!G10)</f>
        <v/>
      </c>
      <c r="C2548" s="18">
        <f>IF($A2548="","",IF(Paramètres!H10="","",Paramètres!H10))</f>
        <v/>
      </c>
      <c r="D2548" s="18">
        <f>IF($A2548="","",IF(Paramètres!I10="","",Paramètres!I10))</f>
        <v/>
      </c>
      <c r="E2548" s="19">
        <f>IF($A2548="","",MIN(E2549:E2552))</f>
        <v/>
      </c>
      <c r="F2548" s="19">
        <f>IF($A2548="","",MAX(F2549:F2552))</f>
        <v/>
      </c>
      <c r="G2548" s="18" t="n"/>
      <c r="H2548" s="18">
        <f>IF($A2548="","",F2548-E2548+1)</f>
        <v/>
      </c>
      <c r="I2548" s="18" t="n"/>
    </row>
    <row r="2549">
      <c r="A2549" s="18">
        <f>IF(ISNUMBER(Dossiers!$D$51),Dossiers!$A$51&amp;" · "&amp;Dossiers!$B$51,"")</f>
        <v/>
      </c>
      <c r="B2549" s="18">
        <f>IF($A2549="","",Paramètres!G11)</f>
        <v/>
      </c>
      <c r="C2549" s="18">
        <f>IF($A2549="","",IF(Paramètres!H11="","",Paramètres!H11))</f>
        <v/>
      </c>
      <c r="D2549" s="18">
        <f>IF($A2549="","",IF(Paramètres!I11="","",Paramètres!I11))</f>
        <v/>
      </c>
      <c r="E2549" s="19">
        <f>IF($A2549="","",IF(Paramètres!J11&amp;Paramètres!L11&amp;Paramètres!N11="",Dossiers!$D$51,MAX(IF(Paramètres!J11="",0,IF(Paramètres!K11="",NA(),IF(LEFT(TRIM(Paramètres!K11),1)="F",INDEX($F$2543:$F$2595,MATCH(Paramètres!J11,Paramètres!$G$5:$G$57,0)),INDEX($E$2543:$E$2595,MATCH(Paramètres!J11,Paramètres!$G$5:$G$57,0)))+IF(RIGHT(TRIM(Paramètres!K11),3)="Fin",1-$H2549,IF(LEFT(TRIM(Paramètres!K11),1)="F",1,0)))),IF(Paramètres!L11="",0,IF(Paramètres!M11="",NA(),IF(LEFT(TRIM(Paramètres!M11),1)="F",INDEX($F$2543:$F$2595,MATCH(Paramètres!L11,Paramètres!$G$5:$G$57,0)),INDEX($E$2543:$E$2595,MATCH(Paramètres!L11,Paramètres!$G$5:$G$57,0)))+IF(RIGHT(TRIM(Paramètres!M11),3)="Fin",1-$H2549,IF(LEFT(TRIM(Paramètres!M11),1)="F",1,0)))),IF(Paramètres!N11="",0,IF(Paramètres!O11="",NA(),IF(LEFT(TRIM(Paramètres!O11),1)="F",INDEX($F$2543:$F$2595,MATCH(Paramètres!N11,Paramètres!$G$5:$G$57,0)),INDEX($E$2543:$E$2595,MATCH(Paramètres!N11,Paramètres!$G$5:$G$57,0)))+IF(RIGHT(TRIM(Paramètres!O11),3)="Fin",1-$H2549,IF(LEFT(TRIM(Paramètres!O11),1)="F",1,0)))))))</f>
        <v/>
      </c>
      <c r="F2549" s="19">
        <f>IF($A2549="","",E2549+$H2549-1)</f>
        <v/>
      </c>
      <c r="G2549" s="18" t="n"/>
      <c r="H2549" s="18">
        <f>IF($A2549="","",IF(I2549&lt;&gt;"",I2549,Paramètres!B11))</f>
        <v/>
      </c>
      <c r="I2549" s="18" t="n"/>
    </row>
    <row r="2550">
      <c r="A2550" s="18">
        <f>IF(ISNUMBER(Dossiers!$D$51),Dossiers!$A$51&amp;" · "&amp;Dossiers!$B$51,"")</f>
        <v/>
      </c>
      <c r="B2550" s="18">
        <f>IF($A2550="","",Paramètres!G12)</f>
        <v/>
      </c>
      <c r="C2550" s="18">
        <f>IF($A2550="","",IF(Paramètres!H12="","",Paramètres!H12))</f>
        <v/>
      </c>
      <c r="D2550" s="18">
        <f>IF($A2550="","",IF(Paramètres!I12="","",Paramètres!I12))</f>
        <v/>
      </c>
      <c r="E2550" s="19">
        <f>IF($A2550="","",IF(Paramètres!J12&amp;Paramètres!L12&amp;Paramètres!N12="",Dossiers!$D$51,MAX(IF(Paramètres!J12="",0,IF(Paramètres!K12="",NA(),IF(LEFT(TRIM(Paramètres!K12),1)="F",INDEX($F$2543:$F$2595,MATCH(Paramètres!J12,Paramètres!$G$5:$G$57,0)),INDEX($E$2543:$E$2595,MATCH(Paramètres!J12,Paramètres!$G$5:$G$57,0)))+IF(RIGHT(TRIM(Paramètres!K12),3)="Fin",1-$H2550,IF(LEFT(TRIM(Paramètres!K12),1)="F",1,0)))),IF(Paramètres!L12="",0,IF(Paramètres!M12="",NA(),IF(LEFT(TRIM(Paramètres!M12),1)="F",INDEX($F$2543:$F$2595,MATCH(Paramètres!L12,Paramètres!$G$5:$G$57,0)),INDEX($E$2543:$E$2595,MATCH(Paramètres!L12,Paramètres!$G$5:$G$57,0)))+IF(RIGHT(TRIM(Paramètres!M12),3)="Fin",1-$H2550,IF(LEFT(TRIM(Paramètres!M12),1)="F",1,0)))),IF(Paramètres!N12="",0,IF(Paramètres!O12="",NA(),IF(LEFT(TRIM(Paramètres!O12),1)="F",INDEX($F$2543:$F$2595,MATCH(Paramètres!N12,Paramètres!$G$5:$G$57,0)),INDEX($E$2543:$E$2595,MATCH(Paramètres!N12,Paramètres!$G$5:$G$57,0)))+IF(RIGHT(TRIM(Paramètres!O12),3)="Fin",1-$H2550,IF(LEFT(TRIM(Paramètres!O12),1)="F",1,0)))))))</f>
        <v/>
      </c>
      <c r="F2550" s="19">
        <f>IF($A2550="","",E2550+$H2550-1)</f>
        <v/>
      </c>
      <c r="G2550" s="18" t="n"/>
      <c r="H2550" s="18">
        <f>IF($A2550="","",IF(I2550&lt;&gt;"",I2550,Paramètres!B12))</f>
        <v/>
      </c>
      <c r="I2550" s="18" t="n"/>
    </row>
    <row r="2551">
      <c r="A2551" s="18">
        <f>IF(ISNUMBER(Dossiers!$D$51),Dossiers!$A$51&amp;" · "&amp;Dossiers!$B$51,"")</f>
        <v/>
      </c>
      <c r="B2551" s="18">
        <f>IF($A2551="","",Paramètres!G13)</f>
        <v/>
      </c>
      <c r="C2551" s="18">
        <f>IF($A2551="","",IF(Paramètres!H13="","",Paramètres!H13))</f>
        <v/>
      </c>
      <c r="D2551" s="18">
        <f>IF($A2551="","",IF(Paramètres!I13="","",Paramètres!I13))</f>
        <v/>
      </c>
      <c r="E2551" s="19">
        <f>IF($A2551="","",IF(Paramètres!J13&amp;Paramètres!L13&amp;Paramètres!N13="",Dossiers!$D$51,MAX(IF(Paramètres!J13="",0,IF(Paramètres!K13="",NA(),IF(LEFT(TRIM(Paramètres!K13),1)="F",INDEX($F$2543:$F$2595,MATCH(Paramètres!J13,Paramètres!$G$5:$G$57,0)),INDEX($E$2543:$E$2595,MATCH(Paramètres!J13,Paramètres!$G$5:$G$57,0)))+IF(RIGHT(TRIM(Paramètres!K13),3)="Fin",1-$H2551,IF(LEFT(TRIM(Paramètres!K13),1)="F",1,0)))),IF(Paramètres!L13="",0,IF(Paramètres!M13="",NA(),IF(LEFT(TRIM(Paramètres!M13),1)="F",INDEX($F$2543:$F$2595,MATCH(Paramètres!L13,Paramètres!$G$5:$G$57,0)),INDEX($E$2543:$E$2595,MATCH(Paramètres!L13,Paramètres!$G$5:$G$57,0)))+IF(RIGHT(TRIM(Paramètres!M13),3)="Fin",1-$H2551,IF(LEFT(TRIM(Paramètres!M13),1)="F",1,0)))),IF(Paramètres!N13="",0,IF(Paramètres!O13="",NA(),IF(LEFT(TRIM(Paramètres!O13),1)="F",INDEX($F$2543:$F$2595,MATCH(Paramètres!N13,Paramètres!$G$5:$G$57,0)),INDEX($E$2543:$E$2595,MATCH(Paramètres!N13,Paramètres!$G$5:$G$57,0)))+IF(RIGHT(TRIM(Paramètres!O13),3)="Fin",1-$H2551,IF(LEFT(TRIM(Paramètres!O13),1)="F",1,0)))))))</f>
        <v/>
      </c>
      <c r="F2551" s="19">
        <f>IF($A2551="","",E2551+$H2551-1)</f>
        <v/>
      </c>
      <c r="G2551" s="18" t="n"/>
      <c r="H2551" s="18">
        <f>IF($A2551="","",IF(I2551&lt;&gt;"",I2551,Paramètres!B13))</f>
        <v/>
      </c>
      <c r="I2551" s="18" t="n"/>
    </row>
    <row r="2552">
      <c r="A2552" s="18">
        <f>IF(ISNUMBER(Dossiers!$D$51),Dossiers!$A$51&amp;" · "&amp;Dossiers!$B$51,"")</f>
        <v/>
      </c>
      <c r="B2552" s="18">
        <f>IF($A2552="","",Paramètres!G14)</f>
        <v/>
      </c>
      <c r="C2552" s="18">
        <f>IF($A2552="","",IF(Paramètres!H14="","",Paramètres!H14))</f>
        <v/>
      </c>
      <c r="D2552" s="18">
        <f>IF($A2552="","",IF(Paramètres!I14="","",Paramètres!I14))</f>
        <v/>
      </c>
      <c r="E2552" s="19">
        <f>IF($A2552="","",IF(Paramètres!J14&amp;Paramètres!L14&amp;Paramètres!N14="",Dossiers!$D$51,MAX(IF(Paramètres!J14="",0,IF(Paramètres!K14="",NA(),IF(LEFT(TRIM(Paramètres!K14),1)="F",INDEX($F$2543:$F$2595,MATCH(Paramètres!J14,Paramètres!$G$5:$G$57,0)),INDEX($E$2543:$E$2595,MATCH(Paramètres!J14,Paramètres!$G$5:$G$57,0)))+IF(RIGHT(TRIM(Paramètres!K14),3)="Fin",1-$H2552,IF(LEFT(TRIM(Paramètres!K14),1)="F",1,0)))),IF(Paramètres!L14="",0,IF(Paramètres!M14="",NA(),IF(LEFT(TRIM(Paramètres!M14),1)="F",INDEX($F$2543:$F$2595,MATCH(Paramètres!L14,Paramètres!$G$5:$G$57,0)),INDEX($E$2543:$E$2595,MATCH(Paramètres!L14,Paramètres!$G$5:$G$57,0)))+IF(RIGHT(TRIM(Paramètres!M14),3)="Fin",1-$H2552,IF(LEFT(TRIM(Paramètres!M14),1)="F",1,0)))),IF(Paramètres!N14="",0,IF(Paramètres!O14="",NA(),IF(LEFT(TRIM(Paramètres!O14),1)="F",INDEX($F$2543:$F$2595,MATCH(Paramètres!N14,Paramètres!$G$5:$G$57,0)),INDEX($E$2543:$E$2595,MATCH(Paramètres!N14,Paramètres!$G$5:$G$57,0)))+IF(RIGHT(TRIM(Paramètres!O14),3)="Fin",1-$H2552,IF(LEFT(TRIM(Paramètres!O14),1)="F",1,0)))))))</f>
        <v/>
      </c>
      <c r="F2552" s="19">
        <f>IF($A2552="","",E2552+$H2552-1)</f>
        <v/>
      </c>
      <c r="G2552" s="18" t="n"/>
      <c r="H2552" s="18">
        <f>IF($A2552="","",IF(I2552&lt;&gt;"",I2552,Paramètres!B14))</f>
        <v/>
      </c>
      <c r="I2552" s="18" t="n"/>
    </row>
    <row r="2553">
      <c r="A2553" s="18">
        <f>IF(ISNUMBER(Dossiers!$D$51),Dossiers!$A$51&amp;" · "&amp;Dossiers!$B$51,"")</f>
        <v/>
      </c>
      <c r="B2553" s="18">
        <f>IF($A2553="","",Paramètres!G15)</f>
        <v/>
      </c>
      <c r="C2553" s="18">
        <f>IF($A2553="","",IF(Paramètres!H15="","",Paramètres!H15))</f>
        <v/>
      </c>
      <c r="D2553" s="18">
        <f>IF($A2553="","",IF(Paramètres!I15="","",Paramètres!I15))</f>
        <v/>
      </c>
      <c r="E2553" s="19">
        <f>IF($A2553="","",MIN(E2554:E2569))</f>
        <v/>
      </c>
      <c r="F2553" s="19">
        <f>IF($A2553="","",MAX(F2554:F2569))</f>
        <v/>
      </c>
      <c r="G2553" s="18" t="n"/>
      <c r="H2553" s="18">
        <f>IF($A2553="","",F2553-E2553+1)</f>
        <v/>
      </c>
      <c r="I2553" s="18" t="n"/>
    </row>
    <row r="2554">
      <c r="A2554" s="18">
        <f>IF(ISNUMBER(Dossiers!$D$51),Dossiers!$A$51&amp;" · "&amp;Dossiers!$B$51,"")</f>
        <v/>
      </c>
      <c r="B2554" s="18">
        <f>IF($A2554="","",Paramètres!G16)</f>
        <v/>
      </c>
      <c r="C2554" s="18">
        <f>IF($A2554="","",IF(Paramètres!H16="","",Paramètres!H16))</f>
        <v/>
      </c>
      <c r="D2554" s="18">
        <f>IF($A2554="","",IF(Paramètres!I16="","",Paramètres!I16))</f>
        <v/>
      </c>
      <c r="E2554" s="19">
        <f>IF($A2554="","",IF(Paramètres!J16&amp;Paramètres!L16&amp;Paramètres!N16="",Dossiers!$D$51,MAX(IF(Paramètres!J16="",0,IF(Paramètres!K16="",NA(),IF(LEFT(TRIM(Paramètres!K16),1)="F",INDEX($F$2543:$F$2595,MATCH(Paramètres!J16,Paramètres!$G$5:$G$57,0)),INDEX($E$2543:$E$2595,MATCH(Paramètres!J16,Paramètres!$G$5:$G$57,0)))+IF(RIGHT(TRIM(Paramètres!K16),3)="Fin",1-$H2554,IF(LEFT(TRIM(Paramètres!K16),1)="F",1,0)))),IF(Paramètres!L16="",0,IF(Paramètres!M16="",NA(),IF(LEFT(TRIM(Paramètres!M16),1)="F",INDEX($F$2543:$F$2595,MATCH(Paramètres!L16,Paramètres!$G$5:$G$57,0)),INDEX($E$2543:$E$2595,MATCH(Paramètres!L16,Paramètres!$G$5:$G$57,0)))+IF(RIGHT(TRIM(Paramètres!M16),3)="Fin",1-$H2554,IF(LEFT(TRIM(Paramètres!M16),1)="F",1,0)))),IF(Paramètres!N16="",0,IF(Paramètres!O16="",NA(),IF(LEFT(TRIM(Paramètres!O16),1)="F",INDEX($F$2543:$F$2595,MATCH(Paramètres!N16,Paramètres!$G$5:$G$57,0)),INDEX($E$2543:$E$2595,MATCH(Paramètres!N16,Paramètres!$G$5:$G$57,0)))+IF(RIGHT(TRIM(Paramètres!O16),3)="Fin",1-$H2554,IF(LEFT(TRIM(Paramètres!O16),1)="F",1,0)))))))</f>
        <v/>
      </c>
      <c r="F2554" s="19">
        <f>IF($A2554="","",E2554+$H2554-1)</f>
        <v/>
      </c>
      <c r="G2554" s="18" t="n"/>
      <c r="H2554" s="18">
        <f>IF($A2554="","",IF(I2554&lt;&gt;"",I2554,Paramètres!B16))</f>
        <v/>
      </c>
      <c r="I2554" s="18" t="n"/>
    </row>
    <row r="2555">
      <c r="A2555" s="18">
        <f>IF(ISNUMBER(Dossiers!$D$51),Dossiers!$A$51&amp;" · "&amp;Dossiers!$B$51,"")</f>
        <v/>
      </c>
      <c r="B2555" s="18">
        <f>IF($A2555="","",Paramètres!G17)</f>
        <v/>
      </c>
      <c r="C2555" s="18">
        <f>IF($A2555="","",IF(Paramètres!H17="","",Paramètres!H17))</f>
        <v/>
      </c>
      <c r="D2555" s="18">
        <f>IF($A2555="","",IF(Paramètres!I17="","",Paramètres!I17))</f>
        <v/>
      </c>
      <c r="E2555" s="19">
        <f>IF($A2555="","",IF(Paramètres!J17&amp;Paramètres!L17&amp;Paramètres!N17="",Dossiers!$D$51,MAX(IF(Paramètres!J17="",0,IF(Paramètres!K17="",NA(),IF(LEFT(TRIM(Paramètres!K17),1)="F",INDEX($F$2543:$F$2595,MATCH(Paramètres!J17,Paramètres!$G$5:$G$57,0)),INDEX($E$2543:$E$2595,MATCH(Paramètres!J17,Paramètres!$G$5:$G$57,0)))+IF(RIGHT(TRIM(Paramètres!K17),3)="Fin",1-$H2555,IF(LEFT(TRIM(Paramètres!K17),1)="F",1,0)))),IF(Paramètres!L17="",0,IF(Paramètres!M17="",NA(),IF(LEFT(TRIM(Paramètres!M17),1)="F",INDEX($F$2543:$F$2595,MATCH(Paramètres!L17,Paramètres!$G$5:$G$57,0)),INDEX($E$2543:$E$2595,MATCH(Paramètres!L17,Paramètres!$G$5:$G$57,0)))+IF(RIGHT(TRIM(Paramètres!M17),3)="Fin",1-$H2555,IF(LEFT(TRIM(Paramètres!M17),1)="F",1,0)))),IF(Paramètres!N17="",0,IF(Paramètres!O17="",NA(),IF(LEFT(TRIM(Paramètres!O17),1)="F",INDEX($F$2543:$F$2595,MATCH(Paramètres!N17,Paramètres!$G$5:$G$57,0)),INDEX($E$2543:$E$2595,MATCH(Paramètres!N17,Paramètres!$G$5:$G$57,0)))+IF(RIGHT(TRIM(Paramètres!O17),3)="Fin",1-$H2555,IF(LEFT(TRIM(Paramètres!O17),1)="F",1,0)))))))</f>
        <v/>
      </c>
      <c r="F2555" s="19">
        <f>IF($A2555="","",E2555+$H2555-1)</f>
        <v/>
      </c>
      <c r="G2555" s="18" t="n"/>
      <c r="H2555" s="18">
        <f>IF($A2555="","",IF(I2555&lt;&gt;"",I2555,Paramètres!B17))</f>
        <v/>
      </c>
      <c r="I2555" s="18" t="n"/>
    </row>
    <row r="2556">
      <c r="A2556" s="18">
        <f>IF(ISNUMBER(Dossiers!$D$51),Dossiers!$A$51&amp;" · "&amp;Dossiers!$B$51,"")</f>
        <v/>
      </c>
      <c r="B2556" s="18">
        <f>IF($A2556="","",Paramètres!G18)</f>
        <v/>
      </c>
      <c r="C2556" s="18">
        <f>IF($A2556="","",IF(Paramètres!H18="","",Paramètres!H18))</f>
        <v/>
      </c>
      <c r="D2556" s="18">
        <f>IF($A2556="","",IF(Paramètres!I18="","",Paramètres!I18))</f>
        <v/>
      </c>
      <c r="E2556" s="19">
        <f>IF($A2556="","",IF(Paramètres!J18&amp;Paramètres!L18&amp;Paramètres!N18="",Dossiers!$D$51,MAX(IF(Paramètres!J18="",0,IF(Paramètres!K18="",NA(),IF(LEFT(TRIM(Paramètres!K18),1)="F",INDEX($F$2543:$F$2595,MATCH(Paramètres!J18,Paramètres!$G$5:$G$57,0)),INDEX($E$2543:$E$2595,MATCH(Paramètres!J18,Paramètres!$G$5:$G$57,0)))+IF(RIGHT(TRIM(Paramètres!K18),3)="Fin",1-$H2556,IF(LEFT(TRIM(Paramètres!K18),1)="F",1,0)))),IF(Paramètres!L18="",0,IF(Paramètres!M18="",NA(),IF(LEFT(TRIM(Paramètres!M18),1)="F",INDEX($F$2543:$F$2595,MATCH(Paramètres!L18,Paramètres!$G$5:$G$57,0)),INDEX($E$2543:$E$2595,MATCH(Paramètres!L18,Paramètres!$G$5:$G$57,0)))+IF(RIGHT(TRIM(Paramètres!M18),3)="Fin",1-$H2556,IF(LEFT(TRIM(Paramètres!M18),1)="F",1,0)))),IF(Paramètres!N18="",0,IF(Paramètres!O18="",NA(),IF(LEFT(TRIM(Paramètres!O18),1)="F",INDEX($F$2543:$F$2595,MATCH(Paramètres!N18,Paramètres!$G$5:$G$57,0)),INDEX($E$2543:$E$2595,MATCH(Paramètres!N18,Paramètres!$G$5:$G$57,0)))+IF(RIGHT(TRIM(Paramètres!O18),3)="Fin",1-$H2556,IF(LEFT(TRIM(Paramètres!O18),1)="F",1,0)))))))</f>
        <v/>
      </c>
      <c r="F2556" s="19">
        <f>IF($A2556="","",E2556+$H2556-1)</f>
        <v/>
      </c>
      <c r="G2556" s="18" t="n"/>
      <c r="H2556" s="18">
        <f>IF($A2556="","",IF(I2556&lt;&gt;"",I2556,Paramètres!B18))</f>
        <v/>
      </c>
      <c r="I2556" s="18" t="n"/>
    </row>
    <row r="2557">
      <c r="A2557" s="18">
        <f>IF(ISNUMBER(Dossiers!$D$51),Dossiers!$A$51&amp;" · "&amp;Dossiers!$B$51,"")</f>
        <v/>
      </c>
      <c r="B2557" s="18">
        <f>IF($A2557="","",Paramètres!G19)</f>
        <v/>
      </c>
      <c r="C2557" s="18">
        <f>IF($A2557="","",IF(Paramètres!H19="","",Paramètres!H19))</f>
        <v/>
      </c>
      <c r="D2557" s="18">
        <f>IF($A2557="","",IF(Paramètres!I19="","",Paramètres!I19))</f>
        <v/>
      </c>
      <c r="E2557" s="19">
        <f>IF($A2557="","",IF(Paramètres!J19&amp;Paramètres!L19&amp;Paramètres!N19="",Dossiers!$D$51,MAX(IF(Paramètres!J19="",0,IF(Paramètres!K19="",NA(),IF(LEFT(TRIM(Paramètres!K19),1)="F",INDEX($F$2543:$F$2595,MATCH(Paramètres!J19,Paramètres!$G$5:$G$57,0)),INDEX($E$2543:$E$2595,MATCH(Paramètres!J19,Paramètres!$G$5:$G$57,0)))+IF(RIGHT(TRIM(Paramètres!K19),3)="Fin",1-$H2557,IF(LEFT(TRIM(Paramètres!K19),1)="F",1,0)))),IF(Paramètres!L19="",0,IF(Paramètres!M19="",NA(),IF(LEFT(TRIM(Paramètres!M19),1)="F",INDEX($F$2543:$F$2595,MATCH(Paramètres!L19,Paramètres!$G$5:$G$57,0)),INDEX($E$2543:$E$2595,MATCH(Paramètres!L19,Paramètres!$G$5:$G$57,0)))+IF(RIGHT(TRIM(Paramètres!M19),3)="Fin",1-$H2557,IF(LEFT(TRIM(Paramètres!M19),1)="F",1,0)))),IF(Paramètres!N19="",0,IF(Paramètres!O19="",NA(),IF(LEFT(TRIM(Paramètres!O19),1)="F",INDEX($F$2543:$F$2595,MATCH(Paramètres!N19,Paramètres!$G$5:$G$57,0)),INDEX($E$2543:$E$2595,MATCH(Paramètres!N19,Paramètres!$G$5:$G$57,0)))+IF(RIGHT(TRIM(Paramètres!O19),3)="Fin",1-$H2557,IF(LEFT(TRIM(Paramètres!O19),1)="F",1,0)))))))</f>
        <v/>
      </c>
      <c r="F2557" s="19">
        <f>IF($A2557="","",E2557+$H2557-1)</f>
        <v/>
      </c>
      <c r="G2557" s="18" t="n"/>
      <c r="H2557" s="18">
        <f>IF($A2557="","",IF(I2557&lt;&gt;"",I2557,Paramètres!B19))</f>
        <v/>
      </c>
      <c r="I2557" s="18" t="n"/>
    </row>
    <row r="2558">
      <c r="A2558" s="18">
        <f>IF(ISNUMBER(Dossiers!$D$51),Dossiers!$A$51&amp;" · "&amp;Dossiers!$B$51,"")</f>
        <v/>
      </c>
      <c r="B2558" s="18">
        <f>IF($A2558="","",Paramètres!G20)</f>
        <v/>
      </c>
      <c r="C2558" s="18">
        <f>IF($A2558="","",IF(Paramètres!H20="","",Paramètres!H20))</f>
        <v/>
      </c>
      <c r="D2558" s="18">
        <f>IF($A2558="","",IF(Paramètres!I20="","",Paramètres!I20))</f>
        <v/>
      </c>
      <c r="E2558" s="19">
        <f>IF($A2558="","",IF(Paramètres!J20&amp;Paramètres!L20&amp;Paramètres!N20="",Dossiers!$D$51,MAX(IF(Paramètres!J20="",0,IF(Paramètres!K20="",NA(),IF(LEFT(TRIM(Paramètres!K20),1)="F",INDEX($F$2543:$F$2595,MATCH(Paramètres!J20,Paramètres!$G$5:$G$57,0)),INDEX($E$2543:$E$2595,MATCH(Paramètres!J20,Paramètres!$G$5:$G$57,0)))+IF(RIGHT(TRIM(Paramètres!K20),3)="Fin",1-$H2558,IF(LEFT(TRIM(Paramètres!K20),1)="F",1,0)))),IF(Paramètres!L20="",0,IF(Paramètres!M20="",NA(),IF(LEFT(TRIM(Paramètres!M20),1)="F",INDEX($F$2543:$F$2595,MATCH(Paramètres!L20,Paramètres!$G$5:$G$57,0)),INDEX($E$2543:$E$2595,MATCH(Paramètres!L20,Paramètres!$G$5:$G$57,0)))+IF(RIGHT(TRIM(Paramètres!M20),3)="Fin",1-$H2558,IF(LEFT(TRIM(Paramètres!M20),1)="F",1,0)))),IF(Paramètres!N20="",0,IF(Paramètres!O20="",NA(),IF(LEFT(TRIM(Paramètres!O20),1)="F",INDEX($F$2543:$F$2595,MATCH(Paramètres!N20,Paramètres!$G$5:$G$57,0)),INDEX($E$2543:$E$2595,MATCH(Paramètres!N20,Paramètres!$G$5:$G$57,0)))+IF(RIGHT(TRIM(Paramètres!O20),3)="Fin",1-$H2558,IF(LEFT(TRIM(Paramètres!O20),1)="F",1,0)))))))</f>
        <v/>
      </c>
      <c r="F2558" s="19">
        <f>IF($A2558="","",E2558+$H2558-1)</f>
        <v/>
      </c>
      <c r="G2558" s="18" t="n"/>
      <c r="H2558" s="18">
        <f>IF($A2558="","",IF(I2558&lt;&gt;"",I2558,Paramètres!B20))</f>
        <v/>
      </c>
      <c r="I2558" s="18" t="n"/>
    </row>
    <row r="2559">
      <c r="A2559" s="18">
        <f>IF(ISNUMBER(Dossiers!$D$51),Dossiers!$A$51&amp;" · "&amp;Dossiers!$B$51,"")</f>
        <v/>
      </c>
      <c r="B2559" s="18">
        <f>IF($A2559="","",Paramètres!G21)</f>
        <v/>
      </c>
      <c r="C2559" s="18">
        <f>IF($A2559="","",IF(Paramètres!H21="","",Paramètres!H21))</f>
        <v/>
      </c>
      <c r="D2559" s="18">
        <f>IF($A2559="","",IF(Paramètres!I21="","",Paramètres!I21))</f>
        <v/>
      </c>
      <c r="E2559" s="19">
        <f>IF($A2559="","",IF(Paramètres!J21&amp;Paramètres!L21&amp;Paramètres!N21="",Dossiers!$D$51,MAX(IF(Paramètres!J21="",0,IF(Paramètres!K21="",NA(),IF(LEFT(TRIM(Paramètres!K21),1)="F",INDEX($F$2543:$F$2595,MATCH(Paramètres!J21,Paramètres!$G$5:$G$57,0)),INDEX($E$2543:$E$2595,MATCH(Paramètres!J21,Paramètres!$G$5:$G$57,0)))+IF(RIGHT(TRIM(Paramètres!K21),3)="Fin",1-$H2559,IF(LEFT(TRIM(Paramètres!K21),1)="F",1,0)))),IF(Paramètres!L21="",0,IF(Paramètres!M21="",NA(),IF(LEFT(TRIM(Paramètres!M21),1)="F",INDEX($F$2543:$F$2595,MATCH(Paramètres!L21,Paramètres!$G$5:$G$57,0)),INDEX($E$2543:$E$2595,MATCH(Paramètres!L21,Paramètres!$G$5:$G$57,0)))+IF(RIGHT(TRIM(Paramètres!M21),3)="Fin",1-$H2559,IF(LEFT(TRIM(Paramètres!M21),1)="F",1,0)))),IF(Paramètres!N21="",0,IF(Paramètres!O21="",NA(),IF(LEFT(TRIM(Paramètres!O21),1)="F",INDEX($F$2543:$F$2595,MATCH(Paramètres!N21,Paramètres!$G$5:$G$57,0)),INDEX($E$2543:$E$2595,MATCH(Paramètres!N21,Paramètres!$G$5:$G$57,0)))+IF(RIGHT(TRIM(Paramètres!O21),3)="Fin",1-$H2559,IF(LEFT(TRIM(Paramètres!O21),1)="F",1,0)))))))</f>
        <v/>
      </c>
      <c r="F2559" s="19">
        <f>IF($A2559="","",E2559+$H2559-1)</f>
        <v/>
      </c>
      <c r="G2559" s="18" t="n"/>
      <c r="H2559" s="18">
        <f>IF($A2559="","",IF(I2559&lt;&gt;"",I2559,Paramètres!B21))</f>
        <v/>
      </c>
      <c r="I2559" s="18" t="n"/>
    </row>
    <row r="2560">
      <c r="A2560" s="18">
        <f>IF(ISNUMBER(Dossiers!$D$51),Dossiers!$A$51&amp;" · "&amp;Dossiers!$B$51,"")</f>
        <v/>
      </c>
      <c r="B2560" s="18">
        <f>IF($A2560="","",Paramètres!G22)</f>
        <v/>
      </c>
      <c r="C2560" s="18">
        <f>IF($A2560="","",IF(Paramètres!H22="","",Paramètres!H22))</f>
        <v/>
      </c>
      <c r="D2560" s="18">
        <f>IF($A2560="","",IF(Paramètres!I22="","",Paramètres!I22))</f>
        <v/>
      </c>
      <c r="E2560" s="19">
        <f>IF($A2560="","",IF(Paramètres!J22&amp;Paramètres!L22&amp;Paramètres!N22="",Dossiers!$D$51,MAX(IF(Paramètres!J22="",0,IF(Paramètres!K22="",NA(),IF(LEFT(TRIM(Paramètres!K22),1)="F",INDEX($F$2543:$F$2595,MATCH(Paramètres!J22,Paramètres!$G$5:$G$57,0)),INDEX($E$2543:$E$2595,MATCH(Paramètres!J22,Paramètres!$G$5:$G$57,0)))+IF(RIGHT(TRIM(Paramètres!K22),3)="Fin",1-$H2560,IF(LEFT(TRIM(Paramètres!K22),1)="F",1,0)))),IF(Paramètres!L22="",0,IF(Paramètres!M22="",NA(),IF(LEFT(TRIM(Paramètres!M22),1)="F",INDEX($F$2543:$F$2595,MATCH(Paramètres!L22,Paramètres!$G$5:$G$57,0)),INDEX($E$2543:$E$2595,MATCH(Paramètres!L22,Paramètres!$G$5:$G$57,0)))+IF(RIGHT(TRIM(Paramètres!M22),3)="Fin",1-$H2560,IF(LEFT(TRIM(Paramètres!M22),1)="F",1,0)))),IF(Paramètres!N22="",0,IF(Paramètres!O22="",NA(),IF(LEFT(TRIM(Paramètres!O22),1)="F",INDEX($F$2543:$F$2595,MATCH(Paramètres!N22,Paramètres!$G$5:$G$57,0)),INDEX($E$2543:$E$2595,MATCH(Paramètres!N22,Paramètres!$G$5:$G$57,0)))+IF(RIGHT(TRIM(Paramètres!O22),3)="Fin",1-$H2560,IF(LEFT(TRIM(Paramètres!O22),1)="F",1,0)))))))</f>
        <v/>
      </c>
      <c r="F2560" s="19">
        <f>IF($A2560="","",E2560+$H2560-1)</f>
        <v/>
      </c>
      <c r="G2560" s="18" t="n"/>
      <c r="H2560" s="18">
        <f>IF($A2560="","",IF(I2560&lt;&gt;"",I2560,Paramètres!B22))</f>
        <v/>
      </c>
      <c r="I2560" s="18" t="n"/>
    </row>
    <row r="2561">
      <c r="A2561" s="18">
        <f>IF(ISNUMBER(Dossiers!$D$51),Dossiers!$A$51&amp;" · "&amp;Dossiers!$B$51,"")</f>
        <v/>
      </c>
      <c r="B2561" s="18">
        <f>IF($A2561="","",Paramètres!G23)</f>
        <v/>
      </c>
      <c r="C2561" s="18">
        <f>IF($A2561="","",IF(Paramètres!H23="","",Paramètres!H23))</f>
        <v/>
      </c>
      <c r="D2561" s="18">
        <f>IF($A2561="","",IF(Paramètres!I23="","",Paramètres!I23))</f>
        <v/>
      </c>
      <c r="E2561" s="19">
        <f>IF($A2561="","",IF(Paramètres!J23&amp;Paramètres!L23&amp;Paramètres!N23="",Dossiers!$D$51,MAX(IF(Paramètres!J23="",0,IF(Paramètres!K23="",NA(),IF(LEFT(TRIM(Paramètres!K23),1)="F",INDEX($F$2543:$F$2595,MATCH(Paramètres!J23,Paramètres!$G$5:$G$57,0)),INDEX($E$2543:$E$2595,MATCH(Paramètres!J23,Paramètres!$G$5:$G$57,0)))+IF(RIGHT(TRIM(Paramètres!K23),3)="Fin",1-$H2561,IF(LEFT(TRIM(Paramètres!K23),1)="F",1,0)))),IF(Paramètres!L23="",0,IF(Paramètres!M23="",NA(),IF(LEFT(TRIM(Paramètres!M23),1)="F",INDEX($F$2543:$F$2595,MATCH(Paramètres!L23,Paramètres!$G$5:$G$57,0)),INDEX($E$2543:$E$2595,MATCH(Paramètres!L23,Paramètres!$G$5:$G$57,0)))+IF(RIGHT(TRIM(Paramètres!M23),3)="Fin",1-$H2561,IF(LEFT(TRIM(Paramètres!M23),1)="F",1,0)))),IF(Paramètres!N23="",0,IF(Paramètres!O23="",NA(),IF(LEFT(TRIM(Paramètres!O23),1)="F",INDEX($F$2543:$F$2595,MATCH(Paramètres!N23,Paramètres!$G$5:$G$57,0)),INDEX($E$2543:$E$2595,MATCH(Paramètres!N23,Paramètres!$G$5:$G$57,0)))+IF(RIGHT(TRIM(Paramètres!O23),3)="Fin",1-$H2561,IF(LEFT(TRIM(Paramètres!O23),1)="F",1,0)))))))</f>
        <v/>
      </c>
      <c r="F2561" s="19">
        <f>IF($A2561="","",E2561+$H2561-1)</f>
        <v/>
      </c>
      <c r="G2561" s="18" t="n"/>
      <c r="H2561" s="18">
        <f>IF($A2561="","",IF(I2561&lt;&gt;"",I2561,Paramètres!B23))</f>
        <v/>
      </c>
      <c r="I2561" s="18" t="n"/>
    </row>
    <row r="2562">
      <c r="A2562" s="18">
        <f>IF(ISNUMBER(Dossiers!$D$51),Dossiers!$A$51&amp;" · "&amp;Dossiers!$B$51,"")</f>
        <v/>
      </c>
      <c r="B2562" s="18">
        <f>IF($A2562="","",Paramètres!G24)</f>
        <v/>
      </c>
      <c r="C2562" s="18">
        <f>IF($A2562="","",IF(Paramètres!H24="","",Paramètres!H24))</f>
        <v/>
      </c>
      <c r="D2562" s="18">
        <f>IF($A2562="","",IF(Paramètres!I24="","",Paramètres!I24))</f>
        <v/>
      </c>
      <c r="E2562" s="19">
        <f>IF($A2562="","",IF(Paramètres!J24&amp;Paramètres!L24&amp;Paramètres!N24="",Dossiers!$D$51,MAX(IF(Paramètres!J24="",0,IF(Paramètres!K24="",NA(),IF(LEFT(TRIM(Paramètres!K24),1)="F",INDEX($F$2543:$F$2595,MATCH(Paramètres!J24,Paramètres!$G$5:$G$57,0)),INDEX($E$2543:$E$2595,MATCH(Paramètres!J24,Paramètres!$G$5:$G$57,0)))+IF(RIGHT(TRIM(Paramètres!K24),3)="Fin",1-$H2562,IF(LEFT(TRIM(Paramètres!K24),1)="F",1,0)))),IF(Paramètres!L24="",0,IF(Paramètres!M24="",NA(),IF(LEFT(TRIM(Paramètres!M24),1)="F",INDEX($F$2543:$F$2595,MATCH(Paramètres!L24,Paramètres!$G$5:$G$57,0)),INDEX($E$2543:$E$2595,MATCH(Paramètres!L24,Paramètres!$G$5:$G$57,0)))+IF(RIGHT(TRIM(Paramètres!M24),3)="Fin",1-$H2562,IF(LEFT(TRIM(Paramètres!M24),1)="F",1,0)))),IF(Paramètres!N24="",0,IF(Paramètres!O24="",NA(),IF(LEFT(TRIM(Paramètres!O24),1)="F",INDEX($F$2543:$F$2595,MATCH(Paramètres!N24,Paramètres!$G$5:$G$57,0)),INDEX($E$2543:$E$2595,MATCH(Paramètres!N24,Paramètres!$G$5:$G$57,0)))+IF(RIGHT(TRIM(Paramètres!O24),3)="Fin",1-$H2562,IF(LEFT(TRIM(Paramètres!O24),1)="F",1,0)))))))</f>
        <v/>
      </c>
      <c r="F2562" s="19">
        <f>IF($A2562="","",E2562+$H2562-1)</f>
        <v/>
      </c>
      <c r="G2562" s="18" t="n"/>
      <c r="H2562" s="18">
        <f>IF($A2562="","",IF(I2562&lt;&gt;"",I2562,Paramètres!B24))</f>
        <v/>
      </c>
      <c r="I2562" s="18" t="n"/>
    </row>
    <row r="2563">
      <c r="A2563" s="18">
        <f>IF(ISNUMBER(Dossiers!$D$51),Dossiers!$A$51&amp;" · "&amp;Dossiers!$B$51,"")</f>
        <v/>
      </c>
      <c r="B2563" s="18">
        <f>IF($A2563="","",Paramètres!G25)</f>
        <v/>
      </c>
      <c r="C2563" s="18">
        <f>IF($A2563="","",IF(Paramètres!H25="","",Paramètres!H25))</f>
        <v/>
      </c>
      <c r="D2563" s="18">
        <f>IF($A2563="","",IF(Paramètres!I25="","",Paramètres!I25))</f>
        <v/>
      </c>
      <c r="E2563" s="19">
        <f>IF($A2563="","",IF(Paramètres!J25&amp;Paramètres!L25&amp;Paramètres!N25="",Dossiers!$D$51,MAX(IF(Paramètres!J25="",0,IF(Paramètres!K25="",NA(),IF(LEFT(TRIM(Paramètres!K25),1)="F",INDEX($F$2543:$F$2595,MATCH(Paramètres!J25,Paramètres!$G$5:$G$57,0)),INDEX($E$2543:$E$2595,MATCH(Paramètres!J25,Paramètres!$G$5:$G$57,0)))+IF(RIGHT(TRIM(Paramètres!K25),3)="Fin",1-$H2563,IF(LEFT(TRIM(Paramètres!K25),1)="F",1,0)))),IF(Paramètres!L25="",0,IF(Paramètres!M25="",NA(),IF(LEFT(TRIM(Paramètres!M25),1)="F",INDEX($F$2543:$F$2595,MATCH(Paramètres!L25,Paramètres!$G$5:$G$57,0)),INDEX($E$2543:$E$2595,MATCH(Paramètres!L25,Paramètres!$G$5:$G$57,0)))+IF(RIGHT(TRIM(Paramètres!M25),3)="Fin",1-$H2563,IF(LEFT(TRIM(Paramètres!M25),1)="F",1,0)))),IF(Paramètres!N25="",0,IF(Paramètres!O25="",NA(),IF(LEFT(TRIM(Paramètres!O25),1)="F",INDEX($F$2543:$F$2595,MATCH(Paramètres!N25,Paramètres!$G$5:$G$57,0)),INDEX($E$2543:$E$2595,MATCH(Paramètres!N25,Paramètres!$G$5:$G$57,0)))+IF(RIGHT(TRIM(Paramètres!O25),3)="Fin",1-$H2563,IF(LEFT(TRIM(Paramètres!O25),1)="F",1,0)))))))</f>
        <v/>
      </c>
      <c r="F2563" s="19">
        <f>IF($A2563="","",E2563+$H2563-1)</f>
        <v/>
      </c>
      <c r="G2563" s="18" t="n"/>
      <c r="H2563" s="18">
        <f>IF($A2563="","",IF(I2563&lt;&gt;"",I2563,Paramètres!B25))</f>
        <v/>
      </c>
      <c r="I2563" s="18" t="n"/>
    </row>
    <row r="2564">
      <c r="A2564" s="18">
        <f>IF(ISNUMBER(Dossiers!$D$51),Dossiers!$A$51&amp;" · "&amp;Dossiers!$B$51,"")</f>
        <v/>
      </c>
      <c r="B2564" s="18">
        <f>IF($A2564="","",Paramètres!G26)</f>
        <v/>
      </c>
      <c r="C2564" s="18">
        <f>IF($A2564="","",IF(Paramètres!H26="","",Paramètres!H26))</f>
        <v/>
      </c>
      <c r="D2564" s="18">
        <f>IF($A2564="","",IF(Paramètres!I26="","",Paramètres!I26))</f>
        <v/>
      </c>
      <c r="E2564" s="19">
        <f>IF($A2564="","",IF(Paramètres!J26&amp;Paramètres!L26&amp;Paramètres!N26="",Dossiers!$D$51,MAX(IF(Paramètres!J26="",0,IF(Paramètres!K26="",NA(),IF(LEFT(TRIM(Paramètres!K26),1)="F",INDEX($F$2543:$F$2595,MATCH(Paramètres!J26,Paramètres!$G$5:$G$57,0)),INDEX($E$2543:$E$2595,MATCH(Paramètres!J26,Paramètres!$G$5:$G$57,0)))+IF(RIGHT(TRIM(Paramètres!K26),3)="Fin",1-$H2564,IF(LEFT(TRIM(Paramètres!K26),1)="F",1,0)))),IF(Paramètres!L26="",0,IF(Paramètres!M26="",NA(),IF(LEFT(TRIM(Paramètres!M26),1)="F",INDEX($F$2543:$F$2595,MATCH(Paramètres!L26,Paramètres!$G$5:$G$57,0)),INDEX($E$2543:$E$2595,MATCH(Paramètres!L26,Paramètres!$G$5:$G$57,0)))+IF(RIGHT(TRIM(Paramètres!M26),3)="Fin",1-$H2564,IF(LEFT(TRIM(Paramètres!M26),1)="F",1,0)))),IF(Paramètres!N26="",0,IF(Paramètres!O26="",NA(),IF(LEFT(TRIM(Paramètres!O26),1)="F",INDEX($F$2543:$F$2595,MATCH(Paramètres!N26,Paramètres!$G$5:$G$57,0)),INDEX($E$2543:$E$2595,MATCH(Paramètres!N26,Paramètres!$G$5:$G$57,0)))+IF(RIGHT(TRIM(Paramètres!O26),3)="Fin",1-$H2564,IF(LEFT(TRIM(Paramètres!O26),1)="F",1,0)))))))</f>
        <v/>
      </c>
      <c r="F2564" s="19">
        <f>IF($A2564="","",E2564+$H2564-1)</f>
        <v/>
      </c>
      <c r="G2564" s="18" t="n"/>
      <c r="H2564" s="18">
        <f>IF($A2564="","",IF(I2564&lt;&gt;"",I2564,Paramètres!B26))</f>
        <v/>
      </c>
      <c r="I2564" s="18" t="n"/>
    </row>
    <row r="2565">
      <c r="A2565" s="18">
        <f>IF(ISNUMBER(Dossiers!$D$51),Dossiers!$A$51&amp;" · "&amp;Dossiers!$B$51,"")</f>
        <v/>
      </c>
      <c r="B2565" s="18">
        <f>IF($A2565="","",Paramètres!G27)</f>
        <v/>
      </c>
      <c r="C2565" s="18">
        <f>IF($A2565="","",IF(Paramètres!H27="","",Paramètres!H27))</f>
        <v/>
      </c>
      <c r="D2565" s="18">
        <f>IF($A2565="","",IF(Paramètres!I27="","",Paramètres!I27))</f>
        <v/>
      </c>
      <c r="E2565" s="19">
        <f>IF($A2565="","",IF(Paramètres!J27&amp;Paramètres!L27&amp;Paramètres!N27="",Dossiers!$D$51,MAX(IF(Paramètres!J27="",0,IF(Paramètres!K27="",NA(),IF(LEFT(TRIM(Paramètres!K27),1)="F",INDEX($F$2543:$F$2595,MATCH(Paramètres!J27,Paramètres!$G$5:$G$57,0)),INDEX($E$2543:$E$2595,MATCH(Paramètres!J27,Paramètres!$G$5:$G$57,0)))+IF(RIGHT(TRIM(Paramètres!K27),3)="Fin",1-$H2565,IF(LEFT(TRIM(Paramètres!K27),1)="F",1,0)))),IF(Paramètres!L27="",0,IF(Paramètres!M27="",NA(),IF(LEFT(TRIM(Paramètres!M27),1)="F",INDEX($F$2543:$F$2595,MATCH(Paramètres!L27,Paramètres!$G$5:$G$57,0)),INDEX($E$2543:$E$2595,MATCH(Paramètres!L27,Paramètres!$G$5:$G$57,0)))+IF(RIGHT(TRIM(Paramètres!M27),3)="Fin",1-$H2565,IF(LEFT(TRIM(Paramètres!M27),1)="F",1,0)))),IF(Paramètres!N27="",0,IF(Paramètres!O27="",NA(),IF(LEFT(TRIM(Paramètres!O27),1)="F",INDEX($F$2543:$F$2595,MATCH(Paramètres!N27,Paramètres!$G$5:$G$57,0)),INDEX($E$2543:$E$2595,MATCH(Paramètres!N27,Paramètres!$G$5:$G$57,0)))+IF(RIGHT(TRIM(Paramètres!O27),3)="Fin",1-$H2565,IF(LEFT(TRIM(Paramètres!O27),1)="F",1,0)))))))</f>
        <v/>
      </c>
      <c r="F2565" s="19">
        <f>IF($A2565="","",E2565+$H2565-1)</f>
        <v/>
      </c>
      <c r="G2565" s="18" t="n"/>
      <c r="H2565" s="18">
        <f>IF($A2565="","",IF(I2565&lt;&gt;"",I2565,Paramètres!B27))</f>
        <v/>
      </c>
      <c r="I2565" s="18" t="n"/>
    </row>
    <row r="2566">
      <c r="A2566" s="18">
        <f>IF(ISNUMBER(Dossiers!$D$51),Dossiers!$A$51&amp;" · "&amp;Dossiers!$B$51,"")</f>
        <v/>
      </c>
      <c r="B2566" s="18">
        <f>IF($A2566="","",Paramètres!G28)</f>
        <v/>
      </c>
      <c r="C2566" s="18">
        <f>IF($A2566="","",IF(Paramètres!H28="","",Paramètres!H28))</f>
        <v/>
      </c>
      <c r="D2566" s="18">
        <f>IF($A2566="","",IF(Paramètres!I28="","",Paramètres!I28))</f>
        <v/>
      </c>
      <c r="E2566" s="19">
        <f>IF($A2566="","",IF(Paramètres!J28&amp;Paramètres!L28&amp;Paramètres!N28="",Dossiers!$D$51,MAX(IF(Paramètres!J28="",0,IF(Paramètres!K28="",NA(),IF(LEFT(TRIM(Paramètres!K28),1)="F",INDEX($F$2543:$F$2595,MATCH(Paramètres!J28,Paramètres!$G$5:$G$57,0)),INDEX($E$2543:$E$2595,MATCH(Paramètres!J28,Paramètres!$G$5:$G$57,0)))+IF(RIGHT(TRIM(Paramètres!K28),3)="Fin",1-$H2566,IF(LEFT(TRIM(Paramètres!K28),1)="F",1,0)))),IF(Paramètres!L28="",0,IF(Paramètres!M28="",NA(),IF(LEFT(TRIM(Paramètres!M28),1)="F",INDEX($F$2543:$F$2595,MATCH(Paramètres!L28,Paramètres!$G$5:$G$57,0)),INDEX($E$2543:$E$2595,MATCH(Paramètres!L28,Paramètres!$G$5:$G$57,0)))+IF(RIGHT(TRIM(Paramètres!M28),3)="Fin",1-$H2566,IF(LEFT(TRIM(Paramètres!M28),1)="F",1,0)))),IF(Paramètres!N28="",0,IF(Paramètres!O28="",NA(),IF(LEFT(TRIM(Paramètres!O28),1)="F",INDEX($F$2543:$F$2595,MATCH(Paramètres!N28,Paramètres!$G$5:$G$57,0)),INDEX($E$2543:$E$2595,MATCH(Paramètres!N28,Paramètres!$G$5:$G$57,0)))+IF(RIGHT(TRIM(Paramètres!O28),3)="Fin",1-$H2566,IF(LEFT(TRIM(Paramètres!O28),1)="F",1,0)))))))</f>
        <v/>
      </c>
      <c r="F2566" s="19">
        <f>IF($A2566="","",E2566+$H2566-1)</f>
        <v/>
      </c>
      <c r="G2566" s="18" t="n"/>
      <c r="H2566" s="18">
        <f>IF($A2566="","",IF(I2566&lt;&gt;"",I2566,Paramètres!B28))</f>
        <v/>
      </c>
      <c r="I2566" s="18" t="n"/>
    </row>
    <row r="2567">
      <c r="A2567" s="18">
        <f>IF(ISNUMBER(Dossiers!$D$51),Dossiers!$A$51&amp;" · "&amp;Dossiers!$B$51,"")</f>
        <v/>
      </c>
      <c r="B2567" s="18">
        <f>IF($A2567="","",Paramètres!G29)</f>
        <v/>
      </c>
      <c r="C2567" s="18">
        <f>IF($A2567="","",IF(Paramètres!H29="","",Paramètres!H29))</f>
        <v/>
      </c>
      <c r="D2567" s="18">
        <f>IF($A2567="","",IF(Paramètres!I29="","",Paramètres!I29))</f>
        <v/>
      </c>
      <c r="E2567" s="19">
        <f>IF($A2567="","",IF(Paramètres!J29&amp;Paramètres!L29&amp;Paramètres!N29="",Dossiers!$D$51,MAX(IF(Paramètres!J29="",0,IF(Paramètres!K29="",NA(),IF(LEFT(TRIM(Paramètres!K29),1)="F",INDEX($F$2543:$F$2595,MATCH(Paramètres!J29,Paramètres!$G$5:$G$57,0)),INDEX($E$2543:$E$2595,MATCH(Paramètres!J29,Paramètres!$G$5:$G$57,0)))+IF(RIGHT(TRIM(Paramètres!K29),3)="Fin",1-$H2567,IF(LEFT(TRIM(Paramètres!K29),1)="F",1,0)))),IF(Paramètres!L29="",0,IF(Paramètres!M29="",NA(),IF(LEFT(TRIM(Paramètres!M29),1)="F",INDEX($F$2543:$F$2595,MATCH(Paramètres!L29,Paramètres!$G$5:$G$57,0)),INDEX($E$2543:$E$2595,MATCH(Paramètres!L29,Paramètres!$G$5:$G$57,0)))+IF(RIGHT(TRIM(Paramètres!M29),3)="Fin",1-$H2567,IF(LEFT(TRIM(Paramètres!M29),1)="F",1,0)))),IF(Paramètres!N29="",0,IF(Paramètres!O29="",NA(),IF(LEFT(TRIM(Paramètres!O29),1)="F",INDEX($F$2543:$F$2595,MATCH(Paramètres!N29,Paramètres!$G$5:$G$57,0)),INDEX($E$2543:$E$2595,MATCH(Paramètres!N29,Paramètres!$G$5:$G$57,0)))+IF(RIGHT(TRIM(Paramètres!O29),3)="Fin",1-$H2567,IF(LEFT(TRIM(Paramètres!O29),1)="F",1,0)))))))</f>
        <v/>
      </c>
      <c r="F2567" s="19">
        <f>IF($A2567="","",E2567+$H2567-1)</f>
        <v/>
      </c>
      <c r="G2567" s="18" t="n"/>
      <c r="H2567" s="18">
        <f>IF($A2567="","",IF(I2567&lt;&gt;"",I2567,Paramètres!B29))</f>
        <v/>
      </c>
      <c r="I2567" s="18" t="n"/>
    </row>
    <row r="2568">
      <c r="A2568" s="18">
        <f>IF(ISNUMBER(Dossiers!$D$51),Dossiers!$A$51&amp;" · "&amp;Dossiers!$B$51,"")</f>
        <v/>
      </c>
      <c r="B2568" s="18">
        <f>IF($A2568="","",Paramètres!G30)</f>
        <v/>
      </c>
      <c r="C2568" s="18">
        <f>IF($A2568="","",IF(Paramètres!H30="","",Paramètres!H30))</f>
        <v/>
      </c>
      <c r="D2568" s="18">
        <f>IF($A2568="","",IF(Paramètres!I30="","",Paramètres!I30))</f>
        <v/>
      </c>
      <c r="E2568" s="19">
        <f>IF($A2568="","",IF(Paramètres!J30&amp;Paramètres!L30&amp;Paramètres!N30="",Dossiers!$D$51,MAX(IF(Paramètres!J30="",0,IF(Paramètres!K30="",NA(),IF(LEFT(TRIM(Paramètres!K30),1)="F",INDEX($F$2543:$F$2595,MATCH(Paramètres!J30,Paramètres!$G$5:$G$57,0)),INDEX($E$2543:$E$2595,MATCH(Paramètres!J30,Paramètres!$G$5:$G$57,0)))+IF(RIGHT(TRIM(Paramètres!K30),3)="Fin",1-$H2568,IF(LEFT(TRIM(Paramètres!K30),1)="F",1,0)))),IF(Paramètres!L30="",0,IF(Paramètres!M30="",NA(),IF(LEFT(TRIM(Paramètres!M30),1)="F",INDEX($F$2543:$F$2595,MATCH(Paramètres!L30,Paramètres!$G$5:$G$57,0)),INDEX($E$2543:$E$2595,MATCH(Paramètres!L30,Paramètres!$G$5:$G$57,0)))+IF(RIGHT(TRIM(Paramètres!M30),3)="Fin",1-$H2568,IF(LEFT(TRIM(Paramètres!M30),1)="F",1,0)))),IF(Paramètres!N30="",0,IF(Paramètres!O30="",NA(),IF(LEFT(TRIM(Paramètres!O30),1)="F",INDEX($F$2543:$F$2595,MATCH(Paramètres!N30,Paramètres!$G$5:$G$57,0)),INDEX($E$2543:$E$2595,MATCH(Paramètres!N30,Paramètres!$G$5:$G$57,0)))+IF(RIGHT(TRIM(Paramètres!O30),3)="Fin",1-$H2568,IF(LEFT(TRIM(Paramètres!O30),1)="F",1,0)))))))</f>
        <v/>
      </c>
      <c r="F2568" s="19">
        <f>IF($A2568="","",E2568+$H2568-1)</f>
        <v/>
      </c>
      <c r="G2568" s="18" t="n"/>
      <c r="H2568" s="18">
        <f>IF($A2568="","",IF(I2568&lt;&gt;"",I2568,Paramètres!B30))</f>
        <v/>
      </c>
      <c r="I2568" s="18" t="n"/>
    </row>
    <row r="2569">
      <c r="A2569" s="18">
        <f>IF(ISNUMBER(Dossiers!$D$51),Dossiers!$A$51&amp;" · "&amp;Dossiers!$B$51,"")</f>
        <v/>
      </c>
      <c r="B2569" s="18">
        <f>IF($A2569="","",Paramètres!G31)</f>
        <v/>
      </c>
      <c r="C2569" s="20">
        <f>IF($A2569="","",IF(Dossiers!$F$51="","",Dossiers!$F$51))</f>
        <v/>
      </c>
      <c r="D2569" s="18">
        <f>IF($A2569="","",IF(Paramètres!I31="","",Paramètres!I31))</f>
        <v/>
      </c>
      <c r="E2569" s="19">
        <f>IF($A2569="","",IF(Paramètres!J31&amp;Paramètres!L31&amp;Paramètres!N31="",Dossiers!$D$51,MAX(IF(Paramètres!J31="",0,IF(Paramètres!K31="",NA(),IF(LEFT(TRIM(Paramètres!K31),1)="F",INDEX($F$2543:$F$2595,MATCH(Paramètres!J31,Paramètres!$G$5:$G$57,0)),INDEX($E$2543:$E$2595,MATCH(Paramètres!J31,Paramètres!$G$5:$G$57,0)))+IF(RIGHT(TRIM(Paramètres!K31),3)="Fin",1-$H2569,IF(LEFT(TRIM(Paramètres!K31),1)="F",1,0)))),IF(Paramètres!L31="",0,IF(Paramètres!M31="",NA(),IF(LEFT(TRIM(Paramètres!M31),1)="F",INDEX($F$2543:$F$2595,MATCH(Paramètres!L31,Paramètres!$G$5:$G$57,0)),INDEX($E$2543:$E$2595,MATCH(Paramètres!L31,Paramètres!$G$5:$G$57,0)))+IF(RIGHT(TRIM(Paramètres!M31),3)="Fin",1-$H2569,IF(LEFT(TRIM(Paramètres!M31),1)="F",1,0)))),IF(Paramètres!N31="",0,IF(Paramètres!O31="",NA(),IF(LEFT(TRIM(Paramètres!O31),1)="F",INDEX($F$2543:$F$2595,MATCH(Paramètres!N31,Paramètres!$G$5:$G$57,0)),INDEX($E$2543:$E$2595,MATCH(Paramètres!N31,Paramètres!$G$5:$G$57,0)))+IF(RIGHT(TRIM(Paramètres!O31),3)="Fin",1-$H2569,IF(LEFT(TRIM(Paramètres!O31),1)="F",1,0)))))))</f>
        <v/>
      </c>
      <c r="F2569" s="19">
        <f>IF($A2569="","",E2569+$H2569-1)</f>
        <v/>
      </c>
      <c r="G2569" s="18" t="n"/>
      <c r="H2569" s="18">
        <f>IF($A2569="","",IF(I2569&lt;&gt;"",I2569,Paramètres!B31))</f>
        <v/>
      </c>
      <c r="I2569" s="18" t="n"/>
    </row>
    <row r="2570">
      <c r="A2570" s="18">
        <f>IF(ISNUMBER(Dossiers!$D$51),Dossiers!$A$51&amp;" · "&amp;Dossiers!$B$51,"")</f>
        <v/>
      </c>
      <c r="B2570" s="18">
        <f>IF($A2570="","",Paramètres!G32)</f>
        <v/>
      </c>
      <c r="C2570" s="18">
        <f>IF($A2570="","",IF(Paramètres!H32="","",Paramètres!H32))</f>
        <v/>
      </c>
      <c r="D2570" s="18">
        <f>IF($A2570="","",IF(Paramètres!I32="","",Paramètres!I32))</f>
        <v/>
      </c>
      <c r="E2570" s="19">
        <f>IF($A2570="","",MIN(E2571:E2574))</f>
        <v/>
      </c>
      <c r="F2570" s="19">
        <f>IF($A2570="","",MAX(F2571:F2574))</f>
        <v/>
      </c>
      <c r="G2570" s="18" t="n"/>
      <c r="H2570" s="18">
        <f>IF($A2570="","",F2570-E2570+1)</f>
        <v/>
      </c>
      <c r="I2570" s="18" t="n"/>
    </row>
    <row r="2571">
      <c r="A2571" s="18">
        <f>IF(ISNUMBER(Dossiers!$D$51),Dossiers!$A$51&amp;" · "&amp;Dossiers!$B$51,"")</f>
        <v/>
      </c>
      <c r="B2571" s="18">
        <f>IF($A2571="","",Paramètres!G33)</f>
        <v/>
      </c>
      <c r="C2571" s="18">
        <f>IF($A2571="","",IF(Paramètres!H33="","",Paramètres!H33))</f>
        <v/>
      </c>
      <c r="D2571" s="18">
        <f>IF($A2571="","",IF(Paramètres!I33="","",Paramètres!I33))</f>
        <v/>
      </c>
      <c r="E2571" s="19">
        <f>IF($A2571="","",IF(Paramètres!J33&amp;Paramètres!L33&amp;Paramètres!N33="",Dossiers!$D$51,MAX(IF(Paramètres!J33="",0,IF(Paramètres!K33="",NA(),IF(LEFT(TRIM(Paramètres!K33),1)="F",INDEX($F$2543:$F$2595,MATCH(Paramètres!J33,Paramètres!$G$5:$G$57,0)),INDEX($E$2543:$E$2595,MATCH(Paramètres!J33,Paramètres!$G$5:$G$57,0)))+IF(RIGHT(TRIM(Paramètres!K33),3)="Fin",1-$H2571,IF(LEFT(TRIM(Paramètres!K33),1)="F",1,0)))),IF(Paramètres!L33="",0,IF(Paramètres!M33="",NA(),IF(LEFT(TRIM(Paramètres!M33),1)="F",INDEX($F$2543:$F$2595,MATCH(Paramètres!L33,Paramètres!$G$5:$G$57,0)),INDEX($E$2543:$E$2595,MATCH(Paramètres!L33,Paramètres!$G$5:$G$57,0)))+IF(RIGHT(TRIM(Paramètres!M33),3)="Fin",1-$H2571,IF(LEFT(TRIM(Paramètres!M33),1)="F",1,0)))),IF(Paramètres!N33="",0,IF(Paramètres!O33="",NA(),IF(LEFT(TRIM(Paramètres!O33),1)="F",INDEX($F$2543:$F$2595,MATCH(Paramètres!N33,Paramètres!$G$5:$G$57,0)),INDEX($E$2543:$E$2595,MATCH(Paramètres!N33,Paramètres!$G$5:$G$57,0)))+IF(RIGHT(TRIM(Paramètres!O33),3)="Fin",1-$H2571,IF(LEFT(TRIM(Paramètres!O33),1)="F",1,0)))))))</f>
        <v/>
      </c>
      <c r="F2571" s="19">
        <f>IF($A2571="","",E2571+$H2571-1)</f>
        <v/>
      </c>
      <c r="G2571" s="18" t="n"/>
      <c r="H2571" s="18">
        <f>IF($A2571="","",IF(I2571&lt;&gt;"",I2571,Paramètres!B33))</f>
        <v/>
      </c>
      <c r="I2571" s="18" t="n"/>
    </row>
    <row r="2572">
      <c r="A2572" s="18">
        <f>IF(ISNUMBER(Dossiers!$D$51),Dossiers!$A$51&amp;" · "&amp;Dossiers!$B$51,"")</f>
        <v/>
      </c>
      <c r="B2572" s="18">
        <f>IF($A2572="","",Paramètres!G34)</f>
        <v/>
      </c>
      <c r="C2572" s="18">
        <f>IF($A2572="","",IF(Paramètres!H34="","",Paramètres!H34))</f>
        <v/>
      </c>
      <c r="D2572" s="18">
        <f>IF($A2572="","",IF(Paramètres!I34="","",Paramètres!I34))</f>
        <v/>
      </c>
      <c r="E2572" s="19">
        <f>IF($A2572="","",IF(Paramètres!J34&amp;Paramètres!L34&amp;Paramètres!N34="",Dossiers!$D$51,MAX(IF(Paramètres!J34="",0,IF(Paramètres!K34="",NA(),IF(LEFT(TRIM(Paramètres!K34),1)="F",INDEX($F$2543:$F$2595,MATCH(Paramètres!J34,Paramètres!$G$5:$G$57,0)),INDEX($E$2543:$E$2595,MATCH(Paramètres!J34,Paramètres!$G$5:$G$57,0)))+IF(RIGHT(TRIM(Paramètres!K34),3)="Fin",1-$H2572,IF(LEFT(TRIM(Paramètres!K34),1)="F",1,0)))),IF(Paramètres!L34="",0,IF(Paramètres!M34="",NA(),IF(LEFT(TRIM(Paramètres!M34),1)="F",INDEX($F$2543:$F$2595,MATCH(Paramètres!L34,Paramètres!$G$5:$G$57,0)),INDEX($E$2543:$E$2595,MATCH(Paramètres!L34,Paramètres!$G$5:$G$57,0)))+IF(RIGHT(TRIM(Paramètres!M34),3)="Fin",1-$H2572,IF(LEFT(TRIM(Paramètres!M34),1)="F",1,0)))),IF(Paramètres!N34="",0,IF(Paramètres!O34="",NA(),IF(LEFT(TRIM(Paramètres!O34),1)="F",INDEX($F$2543:$F$2595,MATCH(Paramètres!N34,Paramètres!$G$5:$G$57,0)),INDEX($E$2543:$E$2595,MATCH(Paramètres!N34,Paramètres!$G$5:$G$57,0)))+IF(RIGHT(TRIM(Paramètres!O34),3)="Fin",1-$H2572,IF(LEFT(TRIM(Paramètres!O34),1)="F",1,0)))))))</f>
        <v/>
      </c>
      <c r="F2572" s="19">
        <f>IF($A2572="","",E2572+$H2572-1)</f>
        <v/>
      </c>
      <c r="G2572" s="18" t="n"/>
      <c r="H2572" s="18">
        <f>IF($A2572="","",IF(I2572&lt;&gt;"",I2572,Paramètres!B34))</f>
        <v/>
      </c>
      <c r="I2572" s="18" t="n"/>
    </row>
    <row r="2573">
      <c r="A2573" s="18">
        <f>IF(ISNUMBER(Dossiers!$D$51),Dossiers!$A$51&amp;" · "&amp;Dossiers!$B$51,"")</f>
        <v/>
      </c>
      <c r="B2573" s="18">
        <f>IF($A2573="","",Paramètres!G35)</f>
        <v/>
      </c>
      <c r="C2573" s="18">
        <f>IF($A2573="","",IF(Paramètres!H35="","",Paramètres!H35))</f>
        <v/>
      </c>
      <c r="D2573" s="18">
        <f>IF($A2573="","",IF(Paramètres!I35="","",Paramètres!I35))</f>
        <v/>
      </c>
      <c r="E2573" s="19">
        <f>IF($A2573="","",IF(Paramètres!J35&amp;Paramètres!L35&amp;Paramètres!N35="",Dossiers!$D$51,MAX(IF(Paramètres!J35="",0,IF(Paramètres!K35="",NA(),IF(LEFT(TRIM(Paramètres!K35),1)="F",INDEX($F$2543:$F$2595,MATCH(Paramètres!J35,Paramètres!$G$5:$G$57,0)),INDEX($E$2543:$E$2595,MATCH(Paramètres!J35,Paramètres!$G$5:$G$57,0)))+IF(RIGHT(TRIM(Paramètres!K35),3)="Fin",1-$H2573,IF(LEFT(TRIM(Paramètres!K35),1)="F",1,0)))),IF(Paramètres!L35="",0,IF(Paramètres!M35="",NA(),IF(LEFT(TRIM(Paramètres!M35),1)="F",INDEX($F$2543:$F$2595,MATCH(Paramètres!L35,Paramètres!$G$5:$G$57,0)),INDEX($E$2543:$E$2595,MATCH(Paramètres!L35,Paramètres!$G$5:$G$57,0)))+IF(RIGHT(TRIM(Paramètres!M35),3)="Fin",1-$H2573,IF(LEFT(TRIM(Paramètres!M35),1)="F",1,0)))),IF(Paramètres!N35="",0,IF(Paramètres!O35="",NA(),IF(LEFT(TRIM(Paramètres!O35),1)="F",INDEX($F$2543:$F$2595,MATCH(Paramètres!N35,Paramètres!$G$5:$G$57,0)),INDEX($E$2543:$E$2595,MATCH(Paramètres!N35,Paramètres!$G$5:$G$57,0)))+IF(RIGHT(TRIM(Paramètres!O35),3)="Fin",1-$H2573,IF(LEFT(TRIM(Paramètres!O35),1)="F",1,0)))))))</f>
        <v/>
      </c>
      <c r="F2573" s="19">
        <f>IF($A2573="","",E2573+$H2573-1)</f>
        <v/>
      </c>
      <c r="G2573" s="18" t="n"/>
      <c r="H2573" s="18">
        <f>IF($A2573="","",IF(I2573&lt;&gt;"",I2573,Paramètres!B35))</f>
        <v/>
      </c>
      <c r="I2573" s="18" t="n"/>
    </row>
    <row r="2574">
      <c r="A2574" s="18">
        <f>IF(ISNUMBER(Dossiers!$D$51),Dossiers!$A$51&amp;" · "&amp;Dossiers!$B$51,"")</f>
        <v/>
      </c>
      <c r="B2574" s="18">
        <f>IF($A2574="","",Paramètres!G36)</f>
        <v/>
      </c>
      <c r="C2574" s="18">
        <f>IF($A2574="","",IF(Paramètres!H36="","",Paramètres!H36))</f>
        <v/>
      </c>
      <c r="D2574" s="18">
        <f>IF($A2574="","",IF(Paramètres!I36="","",Paramètres!I36))</f>
        <v/>
      </c>
      <c r="E2574" s="19">
        <f>IF($A2574="","",IF(Paramètres!J36&amp;Paramètres!L36&amp;Paramètres!N36="",Dossiers!$D$51,MAX(IF(Paramètres!J36="",0,IF(Paramètres!K36="",NA(),IF(LEFT(TRIM(Paramètres!K36),1)="F",INDEX($F$2543:$F$2595,MATCH(Paramètres!J36,Paramètres!$G$5:$G$57,0)),INDEX($E$2543:$E$2595,MATCH(Paramètres!J36,Paramètres!$G$5:$G$57,0)))+IF(RIGHT(TRIM(Paramètres!K36),3)="Fin",1-$H2574,IF(LEFT(TRIM(Paramètres!K36),1)="F",1,0)))),IF(Paramètres!L36="",0,IF(Paramètres!M36="",NA(),IF(LEFT(TRIM(Paramètres!M36),1)="F",INDEX($F$2543:$F$2595,MATCH(Paramètres!L36,Paramètres!$G$5:$G$57,0)),INDEX($E$2543:$E$2595,MATCH(Paramètres!L36,Paramètres!$G$5:$G$57,0)))+IF(RIGHT(TRIM(Paramètres!M36),3)="Fin",1-$H2574,IF(LEFT(TRIM(Paramètres!M36),1)="F",1,0)))),IF(Paramètres!N36="",0,IF(Paramètres!O36="",NA(),IF(LEFT(TRIM(Paramètres!O36),1)="F",INDEX($F$2543:$F$2595,MATCH(Paramètres!N36,Paramètres!$G$5:$G$57,0)),INDEX($E$2543:$E$2595,MATCH(Paramètres!N36,Paramètres!$G$5:$G$57,0)))+IF(RIGHT(TRIM(Paramètres!O36),3)="Fin",1-$H2574,IF(LEFT(TRIM(Paramètres!O36),1)="F",1,0)))))))</f>
        <v/>
      </c>
      <c r="F2574" s="19">
        <f>IF($A2574="","",E2574+$H2574-1)</f>
        <v/>
      </c>
      <c r="G2574" s="18" t="n"/>
      <c r="H2574" s="18">
        <f>IF($A2574="","",IF(I2574&lt;&gt;"",I2574,Paramètres!B36))</f>
        <v/>
      </c>
      <c r="I2574" s="18" t="n"/>
    </row>
    <row r="2575">
      <c r="A2575" s="18">
        <f>IF(ISNUMBER(Dossiers!$D$51),Dossiers!$A$51&amp;" · "&amp;Dossiers!$B$51,"")</f>
        <v/>
      </c>
      <c r="B2575" s="18">
        <f>IF($A2575="","",Paramètres!G37)</f>
        <v/>
      </c>
      <c r="C2575" s="18">
        <f>IF($A2575="","",IF(Paramètres!H37="","",Paramètres!H37))</f>
        <v/>
      </c>
      <c r="D2575" s="18">
        <f>IF($A2575="","",IF(Paramètres!I37="","",Paramètres!I37))</f>
        <v/>
      </c>
      <c r="E2575" s="19">
        <f>IF($A2575="","",MIN(E2576:E2593))</f>
        <v/>
      </c>
      <c r="F2575" s="19">
        <f>IF($A2575="","",MAX(F2576:F2593))</f>
        <v/>
      </c>
      <c r="G2575" s="18" t="n"/>
      <c r="H2575" s="18">
        <f>IF($A2575="","",F2575-E2575+1)</f>
        <v/>
      </c>
      <c r="I2575" s="18" t="n"/>
    </row>
    <row r="2576">
      <c r="A2576" s="18">
        <f>IF(ISNUMBER(Dossiers!$D$51),Dossiers!$A$51&amp;" · "&amp;Dossiers!$B$51,"")</f>
        <v/>
      </c>
      <c r="B2576" s="18">
        <f>IF($A2576="","",Paramètres!G38)</f>
        <v/>
      </c>
      <c r="C2576" s="18">
        <f>IF($A2576="","",IF(Paramètres!H38="","",Paramètres!H38))</f>
        <v/>
      </c>
      <c r="D2576" s="18">
        <f>IF($A2576="","",IF(Paramètres!I38="","",Paramètres!I38))</f>
        <v/>
      </c>
      <c r="E2576" s="19">
        <f>IF($A2576="","",IF(Paramètres!J38&amp;Paramètres!L38&amp;Paramètres!N38="",Dossiers!$D$51,MAX(IF(Paramètres!J38="",0,IF(Paramètres!K38="",NA(),IF(LEFT(TRIM(Paramètres!K38),1)="F",INDEX($F$2543:$F$2595,MATCH(Paramètres!J38,Paramètres!$G$5:$G$57,0)),INDEX($E$2543:$E$2595,MATCH(Paramètres!J38,Paramètres!$G$5:$G$57,0)))+IF(RIGHT(TRIM(Paramètres!K38),3)="Fin",1-$H2576,IF(LEFT(TRIM(Paramètres!K38),1)="F",1,0)))),IF(Paramètres!L38="",0,IF(Paramètres!M38="",NA(),IF(LEFT(TRIM(Paramètres!M38),1)="F",INDEX($F$2543:$F$2595,MATCH(Paramètres!L38,Paramètres!$G$5:$G$57,0)),INDEX($E$2543:$E$2595,MATCH(Paramètres!L38,Paramètres!$G$5:$G$57,0)))+IF(RIGHT(TRIM(Paramètres!M38),3)="Fin",1-$H2576,IF(LEFT(TRIM(Paramètres!M38),1)="F",1,0)))),IF(Paramètres!N38="",0,IF(Paramètres!O38="",NA(),IF(LEFT(TRIM(Paramètres!O38),1)="F",INDEX($F$2543:$F$2595,MATCH(Paramètres!N38,Paramètres!$G$5:$G$57,0)),INDEX($E$2543:$E$2595,MATCH(Paramètres!N38,Paramètres!$G$5:$G$57,0)))+IF(RIGHT(TRIM(Paramètres!O38),3)="Fin",1-$H2576,IF(LEFT(TRIM(Paramètres!O38),1)="F",1,0)))))))</f>
        <v/>
      </c>
      <c r="F2576" s="19">
        <f>IF($A2576="","",E2576+$H2576-1)</f>
        <v/>
      </c>
      <c r="G2576" s="18" t="n"/>
      <c r="H2576" s="18">
        <f>IF($A2576="","",IF(I2576&lt;&gt;"",I2576,Paramètres!B38))</f>
        <v/>
      </c>
      <c r="I2576" s="18" t="n"/>
    </row>
    <row r="2577">
      <c r="A2577" s="18">
        <f>IF(ISNUMBER(Dossiers!$D$51),Dossiers!$A$51&amp;" · "&amp;Dossiers!$B$51,"")</f>
        <v/>
      </c>
      <c r="B2577" s="18">
        <f>IF($A2577="","",Paramètres!G39)</f>
        <v/>
      </c>
      <c r="C2577" s="18">
        <f>IF($A2577="","",IF(Paramètres!H39="","",Paramètres!H39))</f>
        <v/>
      </c>
      <c r="D2577" s="18">
        <f>IF($A2577="","",IF(Paramètres!I39="","",Paramètres!I39))</f>
        <v/>
      </c>
      <c r="E2577" s="19">
        <f>IF($A2577="","",IF(Paramètres!J39&amp;Paramètres!L39&amp;Paramètres!N39="",Dossiers!$D$51,MAX(IF(Paramètres!J39="",0,IF(Paramètres!K39="",NA(),IF(LEFT(TRIM(Paramètres!K39),1)="F",INDEX($F$2543:$F$2595,MATCH(Paramètres!J39,Paramètres!$G$5:$G$57,0)),INDEX($E$2543:$E$2595,MATCH(Paramètres!J39,Paramètres!$G$5:$G$57,0)))+IF(RIGHT(TRIM(Paramètres!K39),3)="Fin",1-$H2577,IF(LEFT(TRIM(Paramètres!K39),1)="F",1,0)))),IF(Paramètres!L39="",0,IF(Paramètres!M39="",NA(),IF(LEFT(TRIM(Paramètres!M39),1)="F",INDEX($F$2543:$F$2595,MATCH(Paramètres!L39,Paramètres!$G$5:$G$57,0)),INDEX($E$2543:$E$2595,MATCH(Paramètres!L39,Paramètres!$G$5:$G$57,0)))+IF(RIGHT(TRIM(Paramètres!M39),3)="Fin",1-$H2577,IF(LEFT(TRIM(Paramètres!M39),1)="F",1,0)))),IF(Paramètres!N39="",0,IF(Paramètres!O39="",NA(),IF(LEFT(TRIM(Paramètres!O39),1)="F",INDEX($F$2543:$F$2595,MATCH(Paramètres!N39,Paramètres!$G$5:$G$57,0)),INDEX($E$2543:$E$2595,MATCH(Paramètres!N39,Paramètres!$G$5:$G$57,0)))+IF(RIGHT(TRIM(Paramètres!O39),3)="Fin",1-$H2577,IF(LEFT(TRIM(Paramètres!O39),1)="F",1,0)))))))</f>
        <v/>
      </c>
      <c r="F2577" s="19">
        <f>IF($A2577="","",E2577+$H2577-1)</f>
        <v/>
      </c>
      <c r="G2577" s="18" t="n"/>
      <c r="H2577" s="18">
        <f>IF($A2577="","",IF(I2577&lt;&gt;"",I2577,Paramètres!B39))</f>
        <v/>
      </c>
      <c r="I2577" s="18" t="n"/>
    </row>
    <row r="2578">
      <c r="A2578" s="18">
        <f>IF(ISNUMBER(Dossiers!$D$51),Dossiers!$A$51&amp;" · "&amp;Dossiers!$B$51,"")</f>
        <v/>
      </c>
      <c r="B2578" s="18">
        <f>IF($A2578="","",Paramètres!G40)</f>
        <v/>
      </c>
      <c r="C2578" s="18">
        <f>IF($A2578="","",IF(Paramètres!H40="","",Paramètres!H40))</f>
        <v/>
      </c>
      <c r="D2578" s="18">
        <f>IF($A2578="","",IF(Paramètres!I40="","",Paramètres!I40))</f>
        <v/>
      </c>
      <c r="E2578" s="19">
        <f>IF($A2578="","",IF(Paramètres!J40&amp;Paramètres!L40&amp;Paramètres!N40="",Dossiers!$D$51,MAX(IF(Paramètres!J40="",0,IF(Paramètres!K40="",NA(),IF(LEFT(TRIM(Paramètres!K40),1)="F",INDEX($F$2543:$F$2595,MATCH(Paramètres!J40,Paramètres!$G$5:$G$57,0)),INDEX($E$2543:$E$2595,MATCH(Paramètres!J40,Paramètres!$G$5:$G$57,0)))+IF(RIGHT(TRIM(Paramètres!K40),3)="Fin",1-$H2578,IF(LEFT(TRIM(Paramètres!K40),1)="F",1,0)))),IF(Paramètres!L40="",0,IF(Paramètres!M40="",NA(),IF(LEFT(TRIM(Paramètres!M40),1)="F",INDEX($F$2543:$F$2595,MATCH(Paramètres!L40,Paramètres!$G$5:$G$57,0)),INDEX($E$2543:$E$2595,MATCH(Paramètres!L40,Paramètres!$G$5:$G$57,0)))+IF(RIGHT(TRIM(Paramètres!M40),3)="Fin",1-$H2578,IF(LEFT(TRIM(Paramètres!M40),1)="F",1,0)))),IF(Paramètres!N40="",0,IF(Paramètres!O40="",NA(),IF(LEFT(TRIM(Paramètres!O40),1)="F",INDEX($F$2543:$F$2595,MATCH(Paramètres!N40,Paramètres!$G$5:$G$57,0)),INDEX($E$2543:$E$2595,MATCH(Paramètres!N40,Paramètres!$G$5:$G$57,0)))+IF(RIGHT(TRIM(Paramètres!O40),3)="Fin",1-$H2578,IF(LEFT(TRIM(Paramètres!O40),1)="F",1,0)))))))</f>
        <v/>
      </c>
      <c r="F2578" s="19">
        <f>IF($A2578="","",E2578+$H2578-1)</f>
        <v/>
      </c>
      <c r="G2578" s="18" t="n"/>
      <c r="H2578" s="18">
        <f>IF($A2578="","",IF(I2578&lt;&gt;"",I2578,Paramètres!B40))</f>
        <v/>
      </c>
      <c r="I2578" s="18" t="n"/>
    </row>
    <row r="2579">
      <c r="A2579" s="18">
        <f>IF(ISNUMBER(Dossiers!$D$51),Dossiers!$A$51&amp;" · "&amp;Dossiers!$B$51,"")</f>
        <v/>
      </c>
      <c r="B2579" s="18">
        <f>IF($A2579="","",Paramètres!G41)</f>
        <v/>
      </c>
      <c r="C2579" s="18">
        <f>IF($A2579="","",IF(Paramètres!H41="","",Paramètres!H41))</f>
        <v/>
      </c>
      <c r="D2579" s="18">
        <f>IF($A2579="","",IF(Paramètres!I41="","",Paramètres!I41))</f>
        <v/>
      </c>
      <c r="E2579" s="19">
        <f>IF($A2579="","",IF(Paramètres!J41&amp;Paramètres!L41&amp;Paramètres!N41="",Dossiers!$D$51,MAX(IF(Paramètres!J41="",0,IF(Paramètres!K41="",NA(),IF(LEFT(TRIM(Paramètres!K41),1)="F",INDEX($F$2543:$F$2595,MATCH(Paramètres!J41,Paramètres!$G$5:$G$57,0)),INDEX($E$2543:$E$2595,MATCH(Paramètres!J41,Paramètres!$G$5:$G$57,0)))+IF(RIGHT(TRIM(Paramètres!K41),3)="Fin",1-$H2579,IF(LEFT(TRIM(Paramètres!K41),1)="F",1,0)))),IF(Paramètres!L41="",0,IF(Paramètres!M41="",NA(),IF(LEFT(TRIM(Paramètres!M41),1)="F",INDEX($F$2543:$F$2595,MATCH(Paramètres!L41,Paramètres!$G$5:$G$57,0)),INDEX($E$2543:$E$2595,MATCH(Paramètres!L41,Paramètres!$G$5:$G$57,0)))+IF(RIGHT(TRIM(Paramètres!M41),3)="Fin",1-$H2579,IF(LEFT(TRIM(Paramètres!M41),1)="F",1,0)))),IF(Paramètres!N41="",0,IF(Paramètres!O41="",NA(),IF(LEFT(TRIM(Paramètres!O41),1)="F",INDEX($F$2543:$F$2595,MATCH(Paramètres!N41,Paramètres!$G$5:$G$57,0)),INDEX($E$2543:$E$2595,MATCH(Paramètres!N41,Paramètres!$G$5:$G$57,0)))+IF(RIGHT(TRIM(Paramètres!O41),3)="Fin",1-$H2579,IF(LEFT(TRIM(Paramètres!O41),1)="F",1,0)))))))</f>
        <v/>
      </c>
      <c r="F2579" s="19">
        <f>IF($A2579="","",E2579+$H2579-1)</f>
        <v/>
      </c>
      <c r="G2579" s="18" t="n"/>
      <c r="H2579" s="18">
        <f>IF($A2579="","",IF(I2579&lt;&gt;"",I2579,Paramètres!B41))</f>
        <v/>
      </c>
      <c r="I2579" s="18" t="n"/>
    </row>
    <row r="2580">
      <c r="A2580" s="18">
        <f>IF(ISNUMBER(Dossiers!$D$51),Dossiers!$A$51&amp;" · "&amp;Dossiers!$B$51,"")</f>
        <v/>
      </c>
      <c r="B2580" s="18">
        <f>IF($A2580="","",Paramètres!G42)</f>
        <v/>
      </c>
      <c r="C2580" s="18">
        <f>IF($A2580="","",IF(Paramètres!H42="","",Paramètres!H42))</f>
        <v/>
      </c>
      <c r="D2580" s="18">
        <f>IF($A2580="","",IF(Paramètres!I42="","",Paramètres!I42))</f>
        <v/>
      </c>
      <c r="E2580" s="19">
        <f>IF($A2580="","",IF(Paramètres!J42&amp;Paramètres!L42&amp;Paramètres!N42="",Dossiers!$D$51,MAX(IF(Paramètres!J42="",0,IF(Paramètres!K42="",NA(),IF(LEFT(TRIM(Paramètres!K42),1)="F",INDEX($F$2543:$F$2595,MATCH(Paramètres!J42,Paramètres!$G$5:$G$57,0)),INDEX($E$2543:$E$2595,MATCH(Paramètres!J42,Paramètres!$G$5:$G$57,0)))+IF(RIGHT(TRIM(Paramètres!K42),3)="Fin",1-$H2580,IF(LEFT(TRIM(Paramètres!K42),1)="F",1,0)))),IF(Paramètres!L42="",0,IF(Paramètres!M42="",NA(),IF(LEFT(TRIM(Paramètres!M42),1)="F",INDEX($F$2543:$F$2595,MATCH(Paramètres!L42,Paramètres!$G$5:$G$57,0)),INDEX($E$2543:$E$2595,MATCH(Paramètres!L42,Paramètres!$G$5:$G$57,0)))+IF(RIGHT(TRIM(Paramètres!M42),3)="Fin",1-$H2580,IF(LEFT(TRIM(Paramètres!M42),1)="F",1,0)))),IF(Paramètres!N42="",0,IF(Paramètres!O42="",NA(),IF(LEFT(TRIM(Paramètres!O42),1)="F",INDEX($F$2543:$F$2595,MATCH(Paramètres!N42,Paramètres!$G$5:$G$57,0)),INDEX($E$2543:$E$2595,MATCH(Paramètres!N42,Paramètres!$G$5:$G$57,0)))+IF(RIGHT(TRIM(Paramètres!O42),3)="Fin",1-$H2580,IF(LEFT(TRIM(Paramètres!O42),1)="F",1,0)))))))</f>
        <v/>
      </c>
      <c r="F2580" s="19">
        <f>IF($A2580="","",E2580+$H2580-1)</f>
        <v/>
      </c>
      <c r="G2580" s="18" t="n"/>
      <c r="H2580" s="18">
        <f>IF($A2580="","",IF(I2580&lt;&gt;"",I2580,Paramètres!B42))</f>
        <v/>
      </c>
      <c r="I2580" s="18" t="n"/>
    </row>
    <row r="2581">
      <c r="A2581" s="18">
        <f>IF(ISNUMBER(Dossiers!$D$51),Dossiers!$A$51&amp;" · "&amp;Dossiers!$B$51,"")</f>
        <v/>
      </c>
      <c r="B2581" s="18">
        <f>IF($A2581="","",Paramètres!G43)</f>
        <v/>
      </c>
      <c r="C2581" s="18">
        <f>IF($A2581="","",IF(Paramètres!H43="","",Paramètres!H43))</f>
        <v/>
      </c>
      <c r="D2581" s="18">
        <f>IF($A2581="","",IF(Paramètres!I43="","",Paramètres!I43))</f>
        <v/>
      </c>
      <c r="E2581" s="19">
        <f>IF($A2581="","",IF(Paramètres!J43&amp;Paramètres!L43&amp;Paramètres!N43="",Dossiers!$D$51,MAX(IF(Paramètres!J43="",0,IF(Paramètres!K43="",NA(),IF(LEFT(TRIM(Paramètres!K43),1)="F",INDEX($F$2543:$F$2595,MATCH(Paramètres!J43,Paramètres!$G$5:$G$57,0)),INDEX($E$2543:$E$2595,MATCH(Paramètres!J43,Paramètres!$G$5:$G$57,0)))+IF(RIGHT(TRIM(Paramètres!K43),3)="Fin",1-$H2581,IF(LEFT(TRIM(Paramètres!K43),1)="F",1,0)))),IF(Paramètres!L43="",0,IF(Paramètres!M43="",NA(),IF(LEFT(TRIM(Paramètres!M43),1)="F",INDEX($F$2543:$F$2595,MATCH(Paramètres!L43,Paramètres!$G$5:$G$57,0)),INDEX($E$2543:$E$2595,MATCH(Paramètres!L43,Paramètres!$G$5:$G$57,0)))+IF(RIGHT(TRIM(Paramètres!M43),3)="Fin",1-$H2581,IF(LEFT(TRIM(Paramètres!M43),1)="F",1,0)))),IF(Paramètres!N43="",0,IF(Paramètres!O43="",NA(),IF(LEFT(TRIM(Paramètres!O43),1)="F",INDEX($F$2543:$F$2595,MATCH(Paramètres!N43,Paramètres!$G$5:$G$57,0)),INDEX($E$2543:$E$2595,MATCH(Paramètres!N43,Paramètres!$G$5:$G$57,0)))+IF(RIGHT(TRIM(Paramètres!O43),3)="Fin",1-$H2581,IF(LEFT(TRIM(Paramètres!O43),1)="F",1,0)))))))</f>
        <v/>
      </c>
      <c r="F2581" s="19">
        <f>IF($A2581="","",E2581+$H2581-1)</f>
        <v/>
      </c>
      <c r="G2581" s="18" t="n"/>
      <c r="H2581" s="18">
        <f>IF($A2581="","",IF(I2581&lt;&gt;"",I2581,Paramètres!B43))</f>
        <v/>
      </c>
      <c r="I2581" s="18" t="n"/>
    </row>
    <row r="2582">
      <c r="A2582" s="18">
        <f>IF(ISNUMBER(Dossiers!$D$51),Dossiers!$A$51&amp;" · "&amp;Dossiers!$B$51,"")</f>
        <v/>
      </c>
      <c r="B2582" s="18">
        <f>IF($A2582="","",Paramètres!G44)</f>
        <v/>
      </c>
      <c r="C2582" s="18">
        <f>IF($A2582="","",IF(Paramètres!H44="","",Paramètres!H44))</f>
        <v/>
      </c>
      <c r="D2582" s="18">
        <f>IF($A2582="","",IF(Paramètres!I44="","",Paramètres!I44))</f>
        <v/>
      </c>
      <c r="E2582" s="19">
        <f>IF($A2582="","",IF(Paramètres!J44&amp;Paramètres!L44&amp;Paramètres!N44="",Dossiers!$D$51,MAX(IF(Paramètres!J44="",0,IF(Paramètres!K44="",NA(),IF(LEFT(TRIM(Paramètres!K44),1)="F",INDEX($F$2543:$F$2595,MATCH(Paramètres!J44,Paramètres!$G$5:$G$57,0)),INDEX($E$2543:$E$2595,MATCH(Paramètres!J44,Paramètres!$G$5:$G$57,0)))+IF(RIGHT(TRIM(Paramètres!K44),3)="Fin",1-$H2582,IF(LEFT(TRIM(Paramètres!K44),1)="F",1,0)))),IF(Paramètres!L44="",0,IF(Paramètres!M44="",NA(),IF(LEFT(TRIM(Paramètres!M44),1)="F",INDEX($F$2543:$F$2595,MATCH(Paramètres!L44,Paramètres!$G$5:$G$57,0)),INDEX($E$2543:$E$2595,MATCH(Paramètres!L44,Paramètres!$G$5:$G$57,0)))+IF(RIGHT(TRIM(Paramètres!M44),3)="Fin",1-$H2582,IF(LEFT(TRIM(Paramètres!M44),1)="F",1,0)))),IF(Paramètres!N44="",0,IF(Paramètres!O44="",NA(),IF(LEFT(TRIM(Paramètres!O44),1)="F",INDEX($F$2543:$F$2595,MATCH(Paramètres!N44,Paramètres!$G$5:$G$57,0)),INDEX($E$2543:$E$2595,MATCH(Paramètres!N44,Paramètres!$G$5:$G$57,0)))+IF(RIGHT(TRIM(Paramètres!O44),3)="Fin",1-$H2582,IF(LEFT(TRIM(Paramètres!O44),1)="F",1,0)))))))</f>
        <v/>
      </c>
      <c r="F2582" s="19">
        <f>IF($A2582="","",E2582+$H2582-1)</f>
        <v/>
      </c>
      <c r="G2582" s="18" t="n"/>
      <c r="H2582" s="18">
        <f>IF($A2582="","",IF(I2582&lt;&gt;"",I2582,Paramètres!B44))</f>
        <v/>
      </c>
      <c r="I2582" s="18" t="n"/>
    </row>
    <row r="2583">
      <c r="A2583" s="18">
        <f>IF(ISNUMBER(Dossiers!$D$51),Dossiers!$A$51&amp;" · "&amp;Dossiers!$B$51,"")</f>
        <v/>
      </c>
      <c r="B2583" s="18">
        <f>IF($A2583="","",Paramètres!G45)</f>
        <v/>
      </c>
      <c r="C2583" s="20">
        <f>IF($A2583="","",IF(Dossiers!$G$51="","",Dossiers!$G$51))</f>
        <v/>
      </c>
      <c r="D2583" s="18">
        <f>IF($A2583="","",IF(Paramètres!I45="","",Paramètres!I45))</f>
        <v/>
      </c>
      <c r="E2583" s="19">
        <f>IF($A2583="","",IF(Paramètres!J45&amp;Paramètres!L45&amp;Paramètres!N45="",Dossiers!$D$51,MAX(IF(Paramètres!J45="",0,IF(Paramètres!K45="",NA(),IF(LEFT(TRIM(Paramètres!K45),1)="F",INDEX($F$2543:$F$2595,MATCH(Paramètres!J45,Paramètres!$G$5:$G$57,0)),INDEX($E$2543:$E$2595,MATCH(Paramètres!J45,Paramètres!$G$5:$G$57,0)))+IF(RIGHT(TRIM(Paramètres!K45),3)="Fin",1-$H2583,IF(LEFT(TRIM(Paramètres!K45),1)="F",1,0)))),IF(Paramètres!L45="",0,IF(Paramètres!M45="",NA(),IF(LEFT(TRIM(Paramètres!M45),1)="F",INDEX($F$2543:$F$2595,MATCH(Paramètres!L45,Paramètres!$G$5:$G$57,0)),INDEX($E$2543:$E$2595,MATCH(Paramètres!L45,Paramètres!$G$5:$G$57,0)))+IF(RIGHT(TRIM(Paramètres!M45),3)="Fin",1-$H2583,IF(LEFT(TRIM(Paramètres!M45),1)="F",1,0)))),IF(Paramètres!N45="",0,IF(Paramètres!O45="",NA(),IF(LEFT(TRIM(Paramètres!O45),1)="F",INDEX($F$2543:$F$2595,MATCH(Paramètres!N45,Paramètres!$G$5:$G$57,0)),INDEX($E$2543:$E$2595,MATCH(Paramètres!N45,Paramètres!$G$5:$G$57,0)))+IF(RIGHT(TRIM(Paramètres!O45),3)="Fin",1-$H2583,IF(LEFT(TRIM(Paramètres!O45),1)="F",1,0)))))))</f>
        <v/>
      </c>
      <c r="F2583" s="19">
        <f>IF($A2583="","",E2583+$H2583-1)</f>
        <v/>
      </c>
      <c r="G2583" s="18" t="n"/>
      <c r="H2583" s="18">
        <f>IF($A2583="","",IF(I2583&lt;&gt;"",I2583,Paramètres!B45))</f>
        <v/>
      </c>
      <c r="I2583" s="18" t="n"/>
    </row>
    <row r="2584">
      <c r="A2584" s="18">
        <f>IF(ISNUMBER(Dossiers!$D$51),Dossiers!$A$51&amp;" · "&amp;Dossiers!$B$51,"")</f>
        <v/>
      </c>
      <c r="B2584" s="18">
        <f>IF($A2584="","",Paramètres!G46)</f>
        <v/>
      </c>
      <c r="C2584" s="18">
        <f>IF($A2584="","",IF(Paramètres!H46="","",Paramètres!H46))</f>
        <v/>
      </c>
      <c r="D2584" s="18">
        <f>IF($A2584="","",IF(Paramètres!I46="","",Paramètres!I46))</f>
        <v/>
      </c>
      <c r="E2584" s="19">
        <f>IF($A2584="","",IF(Paramètres!J46&amp;Paramètres!L46&amp;Paramètres!N46="",Dossiers!$D$51,MAX(IF(Paramètres!J46="",0,IF(Paramètres!K46="",NA(),IF(LEFT(TRIM(Paramètres!K46),1)="F",INDEX($F$2543:$F$2595,MATCH(Paramètres!J46,Paramètres!$G$5:$G$57,0)),INDEX($E$2543:$E$2595,MATCH(Paramètres!J46,Paramètres!$G$5:$G$57,0)))+IF(RIGHT(TRIM(Paramètres!K46),3)="Fin",1-$H2584,IF(LEFT(TRIM(Paramètres!K46),1)="F",1,0)))),IF(Paramètres!L46="",0,IF(Paramètres!M46="",NA(),IF(LEFT(TRIM(Paramètres!M46),1)="F",INDEX($F$2543:$F$2595,MATCH(Paramètres!L46,Paramètres!$G$5:$G$57,0)),INDEX($E$2543:$E$2595,MATCH(Paramètres!L46,Paramètres!$G$5:$G$57,0)))+IF(RIGHT(TRIM(Paramètres!M46),3)="Fin",1-$H2584,IF(LEFT(TRIM(Paramètres!M46),1)="F",1,0)))),IF(Paramètres!N46="",0,IF(Paramètres!O46="",NA(),IF(LEFT(TRIM(Paramètres!O46),1)="F",INDEX($F$2543:$F$2595,MATCH(Paramètres!N46,Paramètres!$G$5:$G$57,0)),INDEX($E$2543:$E$2595,MATCH(Paramètres!N46,Paramètres!$G$5:$G$57,0)))+IF(RIGHT(TRIM(Paramètres!O46),3)="Fin",1-$H2584,IF(LEFT(TRIM(Paramètres!O46),1)="F",1,0)))))))</f>
        <v/>
      </c>
      <c r="F2584" s="19">
        <f>IF($A2584="","",E2584+$H2584-1)</f>
        <v/>
      </c>
      <c r="G2584" s="18" t="n"/>
      <c r="H2584" s="18">
        <f>IF($A2584="","",IF(I2584&lt;&gt;"",I2584,Paramètres!B46))</f>
        <v/>
      </c>
      <c r="I2584" s="18" t="n"/>
    </row>
    <row r="2585">
      <c r="A2585" s="18">
        <f>IF(ISNUMBER(Dossiers!$D$51),Dossiers!$A$51&amp;" · "&amp;Dossiers!$B$51,"")</f>
        <v/>
      </c>
      <c r="B2585" s="18">
        <f>IF($A2585="","",Paramètres!G47)</f>
        <v/>
      </c>
      <c r="C2585" s="18">
        <f>IF($A2585="","",IF(Paramètres!H47="","",Paramètres!H47))</f>
        <v/>
      </c>
      <c r="D2585" s="18">
        <f>IF($A2585="","",IF(Paramètres!I47="","",Paramètres!I47))</f>
        <v/>
      </c>
      <c r="E2585" s="19">
        <f>IF($A2585="","",IF(Paramètres!J47&amp;Paramètres!L47&amp;Paramètres!N47="",Dossiers!$D$51,MAX(IF(Paramètres!J47="",0,IF(Paramètres!K47="",NA(),IF(LEFT(TRIM(Paramètres!K47),1)="F",INDEX($F$2543:$F$2595,MATCH(Paramètres!J47,Paramètres!$G$5:$G$57,0)),INDEX($E$2543:$E$2595,MATCH(Paramètres!J47,Paramètres!$G$5:$G$57,0)))+IF(RIGHT(TRIM(Paramètres!K47),3)="Fin",1-$H2585,IF(LEFT(TRIM(Paramètres!K47),1)="F",1,0)))),IF(Paramètres!L47="",0,IF(Paramètres!M47="",NA(),IF(LEFT(TRIM(Paramètres!M47),1)="F",INDEX($F$2543:$F$2595,MATCH(Paramètres!L47,Paramètres!$G$5:$G$57,0)),INDEX($E$2543:$E$2595,MATCH(Paramètres!L47,Paramètres!$G$5:$G$57,0)))+IF(RIGHT(TRIM(Paramètres!M47),3)="Fin",1-$H2585,IF(LEFT(TRIM(Paramètres!M47),1)="F",1,0)))),IF(Paramètres!N47="",0,IF(Paramètres!O47="",NA(),IF(LEFT(TRIM(Paramètres!O47),1)="F",INDEX($F$2543:$F$2595,MATCH(Paramètres!N47,Paramètres!$G$5:$G$57,0)),INDEX($E$2543:$E$2595,MATCH(Paramètres!N47,Paramètres!$G$5:$G$57,0)))+IF(RIGHT(TRIM(Paramètres!O47),3)="Fin",1-$H2585,IF(LEFT(TRIM(Paramètres!O47),1)="F",1,0)))))))</f>
        <v/>
      </c>
      <c r="F2585" s="19">
        <f>IF($A2585="","",E2585+$H2585-1)</f>
        <v/>
      </c>
      <c r="G2585" s="18" t="n"/>
      <c r="H2585" s="18">
        <f>IF($A2585="","",IF(I2585&lt;&gt;"",I2585,Paramètres!B47))</f>
        <v/>
      </c>
      <c r="I2585" s="18" t="n"/>
    </row>
    <row r="2586">
      <c r="A2586" s="18">
        <f>IF(ISNUMBER(Dossiers!$D$51),Dossiers!$A$51&amp;" · "&amp;Dossiers!$B$51,"")</f>
        <v/>
      </c>
      <c r="B2586" s="18">
        <f>IF($A2586="","",Paramètres!G48)</f>
        <v/>
      </c>
      <c r="C2586" s="18">
        <f>IF($A2586="","",IF(Paramètres!H48="","",Paramètres!H48))</f>
        <v/>
      </c>
      <c r="D2586" s="18">
        <f>IF($A2586="","",IF(Paramètres!I48="","",Paramètres!I48))</f>
        <v/>
      </c>
      <c r="E2586" s="19">
        <f>IF($A2586="","",IF(Paramètres!J48&amp;Paramètres!L48&amp;Paramètres!N48="",Dossiers!$D$51,MAX(IF(Paramètres!J48="",0,IF(Paramètres!K48="",NA(),IF(LEFT(TRIM(Paramètres!K48),1)="F",INDEX($F$2543:$F$2595,MATCH(Paramètres!J48,Paramètres!$G$5:$G$57,0)),INDEX($E$2543:$E$2595,MATCH(Paramètres!J48,Paramètres!$G$5:$G$57,0)))+IF(RIGHT(TRIM(Paramètres!K48),3)="Fin",1-$H2586,IF(LEFT(TRIM(Paramètres!K48),1)="F",1,0)))),IF(Paramètres!L48="",0,IF(Paramètres!M48="",NA(),IF(LEFT(TRIM(Paramètres!M48),1)="F",INDEX($F$2543:$F$2595,MATCH(Paramètres!L48,Paramètres!$G$5:$G$57,0)),INDEX($E$2543:$E$2595,MATCH(Paramètres!L48,Paramètres!$G$5:$G$57,0)))+IF(RIGHT(TRIM(Paramètres!M48),3)="Fin",1-$H2586,IF(LEFT(TRIM(Paramètres!M48),1)="F",1,0)))),IF(Paramètres!N48="",0,IF(Paramètres!O48="",NA(),IF(LEFT(TRIM(Paramètres!O48),1)="F",INDEX($F$2543:$F$2595,MATCH(Paramètres!N48,Paramètres!$G$5:$G$57,0)),INDEX($E$2543:$E$2595,MATCH(Paramètres!N48,Paramètres!$G$5:$G$57,0)))+IF(RIGHT(TRIM(Paramètres!O48),3)="Fin",1-$H2586,IF(LEFT(TRIM(Paramètres!O48),1)="F",1,0)))))))</f>
        <v/>
      </c>
      <c r="F2586" s="19">
        <f>IF($A2586="","",E2586+$H2586-1)</f>
        <v/>
      </c>
      <c r="G2586" s="18" t="n"/>
      <c r="H2586" s="18">
        <f>IF($A2586="","",IF(I2586&lt;&gt;"",I2586,Paramètres!B48))</f>
        <v/>
      </c>
      <c r="I2586" s="18" t="n"/>
    </row>
    <row r="2587">
      <c r="A2587" s="18">
        <f>IF(ISNUMBER(Dossiers!$D$51),Dossiers!$A$51&amp;" · "&amp;Dossiers!$B$51,"")</f>
        <v/>
      </c>
      <c r="B2587" s="18">
        <f>IF($A2587="","",Paramètres!G49)</f>
        <v/>
      </c>
      <c r="C2587" s="18">
        <f>IF($A2587="","",IF(Paramètres!H49="","",Paramètres!H49))</f>
        <v/>
      </c>
      <c r="D2587" s="18">
        <f>IF($A2587="","",IF(Paramètres!I49="","",Paramètres!I49))</f>
        <v/>
      </c>
      <c r="E2587" s="19">
        <f>IF($A2587="","",IF(Paramètres!J49&amp;Paramètres!L49&amp;Paramètres!N49="",Dossiers!$D$51,MAX(IF(Paramètres!J49="",0,IF(Paramètres!K49="",NA(),IF(LEFT(TRIM(Paramètres!K49),1)="F",INDEX($F$2543:$F$2595,MATCH(Paramètres!J49,Paramètres!$G$5:$G$57,0)),INDEX($E$2543:$E$2595,MATCH(Paramètres!J49,Paramètres!$G$5:$G$57,0)))+IF(RIGHT(TRIM(Paramètres!K49),3)="Fin",1-$H2587,IF(LEFT(TRIM(Paramètres!K49),1)="F",1,0)))),IF(Paramètres!L49="",0,IF(Paramètres!M49="",NA(),IF(LEFT(TRIM(Paramètres!M49),1)="F",INDEX($F$2543:$F$2595,MATCH(Paramètres!L49,Paramètres!$G$5:$G$57,0)),INDEX($E$2543:$E$2595,MATCH(Paramètres!L49,Paramètres!$G$5:$G$57,0)))+IF(RIGHT(TRIM(Paramètres!M49),3)="Fin",1-$H2587,IF(LEFT(TRIM(Paramètres!M49),1)="F",1,0)))),IF(Paramètres!N49="",0,IF(Paramètres!O49="",NA(),IF(LEFT(TRIM(Paramètres!O49),1)="F",INDEX($F$2543:$F$2595,MATCH(Paramètres!N49,Paramètres!$G$5:$G$57,0)),INDEX($E$2543:$E$2595,MATCH(Paramètres!N49,Paramètres!$G$5:$G$57,0)))+IF(RIGHT(TRIM(Paramètres!O49),3)="Fin",1-$H2587,IF(LEFT(TRIM(Paramètres!O49),1)="F",1,0)))))))</f>
        <v/>
      </c>
      <c r="F2587" s="19">
        <f>IF($A2587="","",E2587+$H2587-1)</f>
        <v/>
      </c>
      <c r="G2587" s="18" t="n"/>
      <c r="H2587" s="18">
        <f>IF($A2587="","",IF(I2587&lt;&gt;"",I2587,Paramètres!B49))</f>
        <v/>
      </c>
      <c r="I2587" s="18" t="n"/>
    </row>
    <row r="2588">
      <c r="A2588" s="18">
        <f>IF(ISNUMBER(Dossiers!$D$51),Dossiers!$A$51&amp;" · "&amp;Dossiers!$B$51,"")</f>
        <v/>
      </c>
      <c r="B2588" s="18">
        <f>IF($A2588="","",Paramètres!G50)</f>
        <v/>
      </c>
      <c r="C2588" s="18">
        <f>IF($A2588="","",IF(Paramètres!H50="","",Paramètres!H50))</f>
        <v/>
      </c>
      <c r="D2588" s="18">
        <f>IF($A2588="","",IF(Paramètres!I50="","",Paramètres!I50))</f>
        <v/>
      </c>
      <c r="E2588" s="19">
        <f>IF($A2588="","",IF(Paramètres!J50&amp;Paramètres!L50&amp;Paramètres!N50="",Dossiers!$D$51,MAX(IF(Paramètres!J50="",0,IF(Paramètres!K50="",NA(),IF(LEFT(TRIM(Paramètres!K50),1)="F",INDEX($F$2543:$F$2595,MATCH(Paramètres!J50,Paramètres!$G$5:$G$57,0)),INDEX($E$2543:$E$2595,MATCH(Paramètres!J50,Paramètres!$G$5:$G$57,0)))+IF(RIGHT(TRIM(Paramètres!K50),3)="Fin",1-$H2588,IF(LEFT(TRIM(Paramètres!K50),1)="F",1,0)))),IF(Paramètres!L50="",0,IF(Paramètres!M50="",NA(),IF(LEFT(TRIM(Paramètres!M50),1)="F",INDEX($F$2543:$F$2595,MATCH(Paramètres!L50,Paramètres!$G$5:$G$57,0)),INDEX($E$2543:$E$2595,MATCH(Paramètres!L50,Paramètres!$G$5:$G$57,0)))+IF(RIGHT(TRIM(Paramètres!M50),3)="Fin",1-$H2588,IF(LEFT(TRIM(Paramètres!M50),1)="F",1,0)))),IF(Paramètres!N50="",0,IF(Paramètres!O50="",NA(),IF(LEFT(TRIM(Paramètres!O50),1)="F",INDEX($F$2543:$F$2595,MATCH(Paramètres!N50,Paramètres!$G$5:$G$57,0)),INDEX($E$2543:$E$2595,MATCH(Paramètres!N50,Paramètres!$G$5:$G$57,0)))+IF(RIGHT(TRIM(Paramètres!O50),3)="Fin",1-$H2588,IF(LEFT(TRIM(Paramètres!O50),1)="F",1,0)))))))</f>
        <v/>
      </c>
      <c r="F2588" s="19">
        <f>IF($A2588="","",E2588+$H2588-1)</f>
        <v/>
      </c>
      <c r="G2588" s="18" t="n"/>
      <c r="H2588" s="18">
        <f>IF($A2588="","",IF(I2588&lt;&gt;"",I2588,Paramètres!B50))</f>
        <v/>
      </c>
      <c r="I2588" s="18" t="n"/>
    </row>
    <row r="2589">
      <c r="A2589" s="18">
        <f>IF(ISNUMBER(Dossiers!$D$51),Dossiers!$A$51&amp;" · "&amp;Dossiers!$B$51,"")</f>
        <v/>
      </c>
      <c r="B2589" s="18">
        <f>IF($A2589="","",Paramètres!G51)</f>
        <v/>
      </c>
      <c r="C2589" s="18">
        <f>IF($A2589="","",IF(Paramètres!H51="","",Paramètres!H51))</f>
        <v/>
      </c>
      <c r="D2589" s="18">
        <f>IF($A2589="","",IF(Paramètres!I51="","",Paramètres!I51))</f>
        <v/>
      </c>
      <c r="E2589" s="19">
        <f>IF($A2589="","",IF(Paramètres!J51&amp;Paramètres!L51&amp;Paramètres!N51="",Dossiers!$D$51,MAX(IF(Paramètres!J51="",0,IF(Paramètres!K51="",NA(),IF(LEFT(TRIM(Paramètres!K51),1)="F",INDEX($F$2543:$F$2595,MATCH(Paramètres!J51,Paramètres!$G$5:$G$57,0)),INDEX($E$2543:$E$2595,MATCH(Paramètres!J51,Paramètres!$G$5:$G$57,0)))+IF(RIGHT(TRIM(Paramètres!K51),3)="Fin",1-$H2589,IF(LEFT(TRIM(Paramètres!K51),1)="F",1,0)))),IF(Paramètres!L51="",0,IF(Paramètres!M51="",NA(),IF(LEFT(TRIM(Paramètres!M51),1)="F",INDEX($F$2543:$F$2595,MATCH(Paramètres!L51,Paramètres!$G$5:$G$57,0)),INDEX($E$2543:$E$2595,MATCH(Paramètres!L51,Paramètres!$G$5:$G$57,0)))+IF(RIGHT(TRIM(Paramètres!M51),3)="Fin",1-$H2589,IF(LEFT(TRIM(Paramètres!M51),1)="F",1,0)))),IF(Paramètres!N51="",0,IF(Paramètres!O51="",NA(),IF(LEFT(TRIM(Paramètres!O51),1)="F",INDEX($F$2543:$F$2595,MATCH(Paramètres!N51,Paramètres!$G$5:$G$57,0)),INDEX($E$2543:$E$2595,MATCH(Paramètres!N51,Paramètres!$G$5:$G$57,0)))+IF(RIGHT(TRIM(Paramètres!O51),3)="Fin",1-$H2589,IF(LEFT(TRIM(Paramètres!O51),1)="F",1,0)))))))</f>
        <v/>
      </c>
      <c r="F2589" s="19">
        <f>IF($A2589="","",E2589+$H2589-1)</f>
        <v/>
      </c>
      <c r="G2589" s="18" t="n"/>
      <c r="H2589" s="18">
        <f>IF($A2589="","",IF(I2589&lt;&gt;"",I2589,Paramètres!B51))</f>
        <v/>
      </c>
      <c r="I2589" s="18" t="n"/>
    </row>
    <row r="2590">
      <c r="A2590" s="18">
        <f>IF(ISNUMBER(Dossiers!$D$51),Dossiers!$A$51&amp;" · "&amp;Dossiers!$B$51,"")</f>
        <v/>
      </c>
      <c r="B2590" s="18">
        <f>IF($A2590="","",Paramètres!G52)</f>
        <v/>
      </c>
      <c r="C2590" s="18">
        <f>IF($A2590="","",IF(Paramètres!H52="","",Paramètres!H52))</f>
        <v/>
      </c>
      <c r="D2590" s="18">
        <f>IF($A2590="","",IF(Paramètres!I52="","",Paramètres!I52))</f>
        <v/>
      </c>
      <c r="E2590" s="19">
        <f>IF($A2590="","",IF(Paramètres!J52&amp;Paramètres!L52&amp;Paramètres!N52="",Dossiers!$D$51,MAX(IF(Paramètres!J52="",0,IF(Paramètres!K52="",NA(),IF(LEFT(TRIM(Paramètres!K52),1)="F",INDEX($F$2543:$F$2595,MATCH(Paramètres!J52,Paramètres!$G$5:$G$57,0)),INDEX($E$2543:$E$2595,MATCH(Paramètres!J52,Paramètres!$G$5:$G$57,0)))+IF(RIGHT(TRIM(Paramètres!K52),3)="Fin",1-$H2590,IF(LEFT(TRIM(Paramètres!K52),1)="F",1,0)))),IF(Paramètres!L52="",0,IF(Paramètres!M52="",NA(),IF(LEFT(TRIM(Paramètres!M52),1)="F",INDEX($F$2543:$F$2595,MATCH(Paramètres!L52,Paramètres!$G$5:$G$57,0)),INDEX($E$2543:$E$2595,MATCH(Paramètres!L52,Paramètres!$G$5:$G$57,0)))+IF(RIGHT(TRIM(Paramètres!M52),3)="Fin",1-$H2590,IF(LEFT(TRIM(Paramètres!M52),1)="F",1,0)))),IF(Paramètres!N52="",0,IF(Paramètres!O52="",NA(),IF(LEFT(TRIM(Paramètres!O52),1)="F",INDEX($F$2543:$F$2595,MATCH(Paramètres!N52,Paramètres!$G$5:$G$57,0)),INDEX($E$2543:$E$2595,MATCH(Paramètres!N52,Paramètres!$G$5:$G$57,0)))+IF(RIGHT(TRIM(Paramètres!O52),3)="Fin",1-$H2590,IF(LEFT(TRIM(Paramètres!O52),1)="F",1,0)))))))</f>
        <v/>
      </c>
      <c r="F2590" s="19">
        <f>IF($A2590="","",E2590+$H2590-1)</f>
        <v/>
      </c>
      <c r="G2590" s="18" t="n"/>
      <c r="H2590" s="18">
        <f>IF($A2590="","",IF(I2590&lt;&gt;"",I2590,Paramètres!B52))</f>
        <v/>
      </c>
      <c r="I2590" s="18" t="n"/>
    </row>
    <row r="2591">
      <c r="A2591" s="18">
        <f>IF(ISNUMBER(Dossiers!$D$51),Dossiers!$A$51&amp;" · "&amp;Dossiers!$B$51,"")</f>
        <v/>
      </c>
      <c r="B2591" s="18">
        <f>IF($A2591="","",Paramètres!G53)</f>
        <v/>
      </c>
      <c r="C2591" s="18">
        <f>IF($A2591="","",IF(Paramètres!H53="","",Paramètres!H53))</f>
        <v/>
      </c>
      <c r="D2591" s="18">
        <f>IF($A2591="","",IF(Paramètres!I53="","",Paramètres!I53))</f>
        <v/>
      </c>
      <c r="E2591" s="19">
        <f>IF($A2591="","",IF(Paramètres!J53&amp;Paramètres!L53&amp;Paramètres!N53="",Dossiers!$D$51,MAX(IF(Paramètres!J53="",0,IF(Paramètres!K53="",NA(),IF(LEFT(TRIM(Paramètres!K53),1)="F",INDEX($F$2543:$F$2595,MATCH(Paramètres!J53,Paramètres!$G$5:$G$57,0)),INDEX($E$2543:$E$2595,MATCH(Paramètres!J53,Paramètres!$G$5:$G$57,0)))+IF(RIGHT(TRIM(Paramètres!K53),3)="Fin",1-$H2591,IF(LEFT(TRIM(Paramètres!K53),1)="F",1,0)))),IF(Paramètres!L53="",0,IF(Paramètres!M53="",NA(),IF(LEFT(TRIM(Paramètres!M53),1)="F",INDEX($F$2543:$F$2595,MATCH(Paramètres!L53,Paramètres!$G$5:$G$57,0)),INDEX($E$2543:$E$2595,MATCH(Paramètres!L53,Paramètres!$G$5:$G$57,0)))+IF(RIGHT(TRIM(Paramètres!M53),3)="Fin",1-$H2591,IF(LEFT(TRIM(Paramètres!M53),1)="F",1,0)))),IF(Paramètres!N53="",0,IF(Paramètres!O53="",NA(),IF(LEFT(TRIM(Paramètres!O53),1)="F",INDEX($F$2543:$F$2595,MATCH(Paramètres!N53,Paramètres!$G$5:$G$57,0)),INDEX($E$2543:$E$2595,MATCH(Paramètres!N53,Paramètres!$G$5:$G$57,0)))+IF(RIGHT(TRIM(Paramètres!O53),3)="Fin",1-$H2591,IF(LEFT(TRIM(Paramètres!O53),1)="F",1,0)))))))</f>
        <v/>
      </c>
      <c r="F2591" s="19">
        <f>IF($A2591="","",E2591+$H2591-1)</f>
        <v/>
      </c>
      <c r="G2591" s="18" t="n"/>
      <c r="H2591" s="18">
        <f>IF($A2591="","",IF(I2591&lt;&gt;"",I2591,Paramètres!B53))</f>
        <v/>
      </c>
      <c r="I2591" s="18" t="n"/>
    </row>
    <row r="2592">
      <c r="A2592" s="18">
        <f>IF(ISNUMBER(Dossiers!$D$51),Dossiers!$A$51&amp;" · "&amp;Dossiers!$B$51,"")</f>
        <v/>
      </c>
      <c r="B2592" s="18">
        <f>IF($A2592="","",Paramètres!G54)</f>
        <v/>
      </c>
      <c r="C2592" s="18">
        <f>IF($A2592="","",IF(Paramètres!H54="","",Paramètres!H54))</f>
        <v/>
      </c>
      <c r="D2592" s="18">
        <f>IF($A2592="","",IF(Paramètres!I54="","",Paramètres!I54))</f>
        <v/>
      </c>
      <c r="E2592" s="19">
        <f>IF($A2592="","",IF(Paramètres!J54&amp;Paramètres!L54&amp;Paramètres!N54="",Dossiers!$D$51,MAX(IF(Paramètres!J54="",0,IF(Paramètres!K54="",NA(),IF(LEFT(TRIM(Paramètres!K54),1)="F",INDEX($F$2543:$F$2595,MATCH(Paramètres!J54,Paramètres!$G$5:$G$57,0)),INDEX($E$2543:$E$2595,MATCH(Paramètres!J54,Paramètres!$G$5:$G$57,0)))+IF(RIGHT(TRIM(Paramètres!K54),3)="Fin",1-$H2592,IF(LEFT(TRIM(Paramètres!K54),1)="F",1,0)))),IF(Paramètres!L54="",0,IF(Paramètres!M54="",NA(),IF(LEFT(TRIM(Paramètres!M54),1)="F",INDEX($F$2543:$F$2595,MATCH(Paramètres!L54,Paramètres!$G$5:$G$57,0)),INDEX($E$2543:$E$2595,MATCH(Paramètres!L54,Paramètres!$G$5:$G$57,0)))+IF(RIGHT(TRIM(Paramètres!M54),3)="Fin",1-$H2592,IF(LEFT(TRIM(Paramètres!M54),1)="F",1,0)))),IF(Paramètres!N54="",0,IF(Paramètres!O54="",NA(),IF(LEFT(TRIM(Paramètres!O54),1)="F",INDEX($F$2543:$F$2595,MATCH(Paramètres!N54,Paramètres!$G$5:$G$57,0)),INDEX($E$2543:$E$2595,MATCH(Paramètres!N54,Paramètres!$G$5:$G$57,0)))+IF(RIGHT(TRIM(Paramètres!O54),3)="Fin",1-$H2592,IF(LEFT(TRIM(Paramètres!O54),1)="F",1,0)))))))</f>
        <v/>
      </c>
      <c r="F2592" s="19">
        <f>IF($A2592="","",E2592+$H2592-1)</f>
        <v/>
      </c>
      <c r="G2592" s="18" t="n"/>
      <c r="H2592" s="18">
        <f>IF($A2592="","",IF(I2592&lt;&gt;"",I2592,Paramètres!B54))</f>
        <v/>
      </c>
      <c r="I2592" s="18" t="n"/>
    </row>
    <row r="2593">
      <c r="A2593" s="18">
        <f>IF(ISNUMBER(Dossiers!$D$51),Dossiers!$A$51&amp;" · "&amp;Dossiers!$B$51,"")</f>
        <v/>
      </c>
      <c r="B2593" s="18">
        <f>IF($A2593="","",Paramètres!G55)</f>
        <v/>
      </c>
      <c r="C2593" s="18">
        <f>IF($A2593="","",IF(Paramètres!H55="","",Paramètres!H55))</f>
        <v/>
      </c>
      <c r="D2593" s="18">
        <f>IF($A2593="","",IF(Paramètres!I55="","",Paramètres!I55))</f>
        <v/>
      </c>
      <c r="E2593" s="19">
        <f>IF($A2593="","",IF(Paramètres!J55&amp;Paramètres!L55&amp;Paramètres!N55="",Dossiers!$D$51,MAX(IF(Paramètres!J55="",0,IF(Paramètres!K55="",NA(),IF(LEFT(TRIM(Paramètres!K55),1)="F",INDEX($F$2543:$F$2595,MATCH(Paramètres!J55,Paramètres!$G$5:$G$57,0)),INDEX($E$2543:$E$2595,MATCH(Paramètres!J55,Paramètres!$G$5:$G$57,0)))+IF(RIGHT(TRIM(Paramètres!K55),3)="Fin",1-$H2593,IF(LEFT(TRIM(Paramètres!K55),1)="F",1,0)))),IF(Paramètres!L55="",0,IF(Paramètres!M55="",NA(),IF(LEFT(TRIM(Paramètres!M55),1)="F",INDEX($F$2543:$F$2595,MATCH(Paramètres!L55,Paramètres!$G$5:$G$57,0)),INDEX($E$2543:$E$2595,MATCH(Paramètres!L55,Paramètres!$G$5:$G$57,0)))+IF(RIGHT(TRIM(Paramètres!M55),3)="Fin",1-$H2593,IF(LEFT(TRIM(Paramètres!M55),1)="F",1,0)))),IF(Paramètres!N55="",0,IF(Paramètres!O55="",NA(),IF(LEFT(TRIM(Paramètres!O55),1)="F",INDEX($F$2543:$F$2595,MATCH(Paramètres!N55,Paramètres!$G$5:$G$57,0)),INDEX($E$2543:$E$2595,MATCH(Paramètres!N55,Paramètres!$G$5:$G$57,0)))+IF(RIGHT(TRIM(Paramètres!O55),3)="Fin",1-$H2593,IF(LEFT(TRIM(Paramètres!O55),1)="F",1,0)))))))</f>
        <v/>
      </c>
      <c r="F2593" s="19">
        <f>IF($A2593="","",E2593+$H2593-1)</f>
        <v/>
      </c>
      <c r="G2593" s="18" t="n"/>
      <c r="H2593" s="18">
        <f>IF($A2593="","",IF(I2593&lt;&gt;"",I2593,Paramètres!B55))</f>
        <v/>
      </c>
      <c r="I2593" s="18" t="n"/>
    </row>
    <row r="2594">
      <c r="A2594" s="18">
        <f>IF(ISNUMBER(Dossiers!$D$51),Dossiers!$A$51&amp;" · "&amp;Dossiers!$B$51,"")</f>
        <v/>
      </c>
      <c r="B2594" s="18">
        <f>IF($A2594="","",Paramètres!G56)</f>
        <v/>
      </c>
      <c r="C2594" s="18">
        <f>IF($A2594="","",IF(Paramètres!H56="","",Paramètres!H56))</f>
        <v/>
      </c>
      <c r="D2594" s="18">
        <f>IF($A2594="","",IF(Paramètres!I56="","",Paramètres!I56))</f>
        <v/>
      </c>
      <c r="E2594" s="19">
        <f>IF($A2594="","",MIN(E2595:E2595))</f>
        <v/>
      </c>
      <c r="F2594" s="19">
        <f>IF($A2594="","",MAX(F2595:F2595))</f>
        <v/>
      </c>
      <c r="G2594" s="18" t="n"/>
      <c r="H2594" s="18">
        <f>IF($A2594="","",F2594-E2594+1)</f>
        <v/>
      </c>
      <c r="I2594" s="18" t="n"/>
    </row>
    <row r="2595">
      <c r="A2595" s="18">
        <f>IF(ISNUMBER(Dossiers!$D$51),Dossiers!$A$51&amp;" · "&amp;Dossiers!$B$51,"")</f>
        <v/>
      </c>
      <c r="B2595" s="18">
        <f>IF($A2595="","",Paramètres!G57)</f>
        <v/>
      </c>
      <c r="C2595" s="18">
        <f>IF($A2595="","",IF(Paramètres!H57="","",Paramètres!H57))</f>
        <v/>
      </c>
      <c r="D2595" s="18">
        <f>IF($A2595="","",IF(Paramètres!I57="","",Paramètres!I57))</f>
        <v/>
      </c>
      <c r="E2595" s="19">
        <f>IF($A2595="","",IF(Paramètres!J57&amp;Paramètres!L57&amp;Paramètres!N57="",Dossiers!$D$51,MAX(IF(Paramètres!J57="",0,IF(Paramètres!K57="",NA(),IF(LEFT(TRIM(Paramètres!K57),1)="F",INDEX($F$2543:$F$2595,MATCH(Paramètres!J57,Paramètres!$G$5:$G$57,0)),INDEX($E$2543:$E$2595,MATCH(Paramètres!J57,Paramètres!$G$5:$G$57,0)))+IF(RIGHT(TRIM(Paramètres!K57),3)="Fin",1-$H2595,IF(LEFT(TRIM(Paramètres!K57),1)="F",1,0)))),IF(Paramètres!L57="",0,IF(Paramètres!M57="",NA(),IF(LEFT(TRIM(Paramètres!M57),1)="F",INDEX($F$2543:$F$2595,MATCH(Paramètres!L57,Paramètres!$G$5:$G$57,0)),INDEX($E$2543:$E$2595,MATCH(Paramètres!L57,Paramètres!$G$5:$G$57,0)))+IF(RIGHT(TRIM(Paramètres!M57),3)="Fin",1-$H2595,IF(LEFT(TRIM(Paramètres!M57),1)="F",1,0)))),IF(Paramètres!N57="",0,IF(Paramètres!O57="",NA(),IF(LEFT(TRIM(Paramètres!O57),1)="F",INDEX($F$2543:$F$2595,MATCH(Paramètres!N57,Paramètres!$G$5:$G$57,0)),INDEX($E$2543:$E$2595,MATCH(Paramètres!N57,Paramètres!$G$5:$G$57,0)))+IF(RIGHT(TRIM(Paramètres!O57),3)="Fin",1-$H2595,IF(LEFT(TRIM(Paramètres!O57),1)="F",1,0)))))))</f>
        <v/>
      </c>
      <c r="F2595" s="19">
        <f>IF($A2595="","",E2595+$H2595-1)</f>
        <v/>
      </c>
      <c r="G2595" s="18" t="n"/>
      <c r="H2595" s="18">
        <f>IF($A2595="","",IF(I2595&lt;&gt;"",I2595,Paramètres!B57))</f>
        <v/>
      </c>
      <c r="I2595" s="18" t="n"/>
    </row>
    <row r="2596">
      <c r="A2596" s="16">
        <f>IF(ISNUMBER(Dossiers!$D$52),Dossiers!$E$52,"")</f>
        <v/>
      </c>
      <c r="B2596" s="16">
        <f>IF($A2596="","","Identifiant")</f>
        <v/>
      </c>
      <c r="C2596" s="16">
        <f>IF($A2596="","","Macro Etape")</f>
        <v/>
      </c>
      <c r="D2596" s="16">
        <f>IF($A2596="","","Etape")</f>
        <v/>
      </c>
      <c r="E2596" s="17">
        <f>IF($A2596="","","Début le")</f>
        <v/>
      </c>
      <c r="F2596" s="17">
        <f>IF($A2596="","","Fin prévue le")</f>
        <v/>
      </c>
      <c r="G2596" s="16">
        <f>IF($A2596="","","Statut")</f>
        <v/>
      </c>
      <c r="H2596" s="16">
        <f>IF($A2596="","","Durée (jours)")</f>
        <v/>
      </c>
      <c r="I2596" s="16">
        <f>IF($A2596="","","Durée particulière")</f>
        <v/>
      </c>
      <c r="J2596" s="10">
        <f>IF($A2596="","",HYPERLINK("#'Tableau de bord'!A1","↑ Tableau de bord"))</f>
        <v/>
      </c>
    </row>
    <row r="2597">
      <c r="A2597" s="18">
        <f>IF(ISNUMBER(Dossiers!$D$52),Dossiers!$A$52&amp;" · "&amp;Dossiers!$B$52,"")</f>
        <v/>
      </c>
      <c r="B2597" s="18">
        <f>IF($A2597="","",Paramètres!G5)</f>
        <v/>
      </c>
      <c r="C2597" s="18">
        <f>IF($A2597="","",IF(Paramètres!H5="","",Paramètres!H5))</f>
        <v/>
      </c>
      <c r="D2597" s="18">
        <f>IF($A2597="","",IF(Paramètres!I5="","",Paramètres!I5))</f>
        <v/>
      </c>
      <c r="E2597" s="19">
        <f>IF($A2597="","",MIN(E2598:E2601))</f>
        <v/>
      </c>
      <c r="F2597" s="19">
        <f>IF($A2597="","",MAX(F2598:F2601))</f>
        <v/>
      </c>
      <c r="G2597" s="18" t="n"/>
      <c r="H2597" s="18">
        <f>IF($A2597="","",F2597-E2597+1)</f>
        <v/>
      </c>
      <c r="I2597" s="18" t="n"/>
    </row>
    <row r="2598">
      <c r="A2598" s="18">
        <f>IF(ISNUMBER(Dossiers!$D$52),Dossiers!$A$52&amp;" · "&amp;Dossiers!$B$52,"")</f>
        <v/>
      </c>
      <c r="B2598" s="18">
        <f>IF($A2598="","",Paramètres!G6)</f>
        <v/>
      </c>
      <c r="C2598" s="18">
        <f>IF($A2598="","",IF(Paramètres!H6="","",Paramètres!H6))</f>
        <v/>
      </c>
      <c r="D2598" s="18">
        <f>IF($A2598="","",IF(Paramètres!I6="","",Paramètres!I6))</f>
        <v/>
      </c>
      <c r="E2598" s="19">
        <f>IF($A2598="","",IF(Paramètres!J6&amp;Paramètres!L6&amp;Paramètres!N6="",Dossiers!$D$52,MAX(IF(Paramètres!J6="",0,IF(Paramètres!K6="",NA(),IF(LEFT(TRIM(Paramètres!K6),1)="F",INDEX($F$2597:$F$2649,MATCH(Paramètres!J6,Paramètres!$G$5:$G$57,0)),INDEX($E$2597:$E$2649,MATCH(Paramètres!J6,Paramètres!$G$5:$G$57,0)))+IF(RIGHT(TRIM(Paramètres!K6),3)="Fin",1-$H2598,IF(LEFT(TRIM(Paramètres!K6),1)="F",1,0)))),IF(Paramètres!L6="",0,IF(Paramètres!M6="",NA(),IF(LEFT(TRIM(Paramètres!M6),1)="F",INDEX($F$2597:$F$2649,MATCH(Paramètres!L6,Paramètres!$G$5:$G$57,0)),INDEX($E$2597:$E$2649,MATCH(Paramètres!L6,Paramètres!$G$5:$G$57,0)))+IF(RIGHT(TRIM(Paramètres!M6),3)="Fin",1-$H2598,IF(LEFT(TRIM(Paramètres!M6),1)="F",1,0)))),IF(Paramètres!N6="",0,IF(Paramètres!O6="",NA(),IF(LEFT(TRIM(Paramètres!O6),1)="F",INDEX($F$2597:$F$2649,MATCH(Paramètres!N6,Paramètres!$G$5:$G$57,0)),INDEX($E$2597:$E$2649,MATCH(Paramètres!N6,Paramètres!$G$5:$G$57,0)))+IF(RIGHT(TRIM(Paramètres!O6),3)="Fin",1-$H2598,IF(LEFT(TRIM(Paramètres!O6),1)="F",1,0)))))))</f>
        <v/>
      </c>
      <c r="F2598" s="19">
        <f>IF($A2598="","",E2598+$H2598-1)</f>
        <v/>
      </c>
      <c r="G2598" s="18" t="n"/>
      <c r="H2598" s="18">
        <f>IF($A2598="","",IF(I2598&lt;&gt;"",I2598,Paramètres!B6))</f>
        <v/>
      </c>
      <c r="I2598" s="18" t="n"/>
    </row>
    <row r="2599">
      <c r="A2599" s="18">
        <f>IF(ISNUMBER(Dossiers!$D$52),Dossiers!$A$52&amp;" · "&amp;Dossiers!$B$52,"")</f>
        <v/>
      </c>
      <c r="B2599" s="18">
        <f>IF($A2599="","",Paramètres!G7)</f>
        <v/>
      </c>
      <c r="C2599" s="18">
        <f>IF($A2599="","",IF(Paramètres!H7="","",Paramètres!H7))</f>
        <v/>
      </c>
      <c r="D2599" s="18">
        <f>IF($A2599="","",IF(Paramètres!I7="","",Paramètres!I7))</f>
        <v/>
      </c>
      <c r="E2599" s="19">
        <f>IF($A2599="","",IF(Paramètres!J7&amp;Paramètres!L7&amp;Paramètres!N7="",Dossiers!$D$52,MAX(IF(Paramètres!J7="",0,IF(Paramètres!K7="",NA(),IF(LEFT(TRIM(Paramètres!K7),1)="F",INDEX($F$2597:$F$2649,MATCH(Paramètres!J7,Paramètres!$G$5:$G$57,0)),INDEX($E$2597:$E$2649,MATCH(Paramètres!J7,Paramètres!$G$5:$G$57,0)))+IF(RIGHT(TRIM(Paramètres!K7),3)="Fin",1-$H2599,IF(LEFT(TRIM(Paramètres!K7),1)="F",1,0)))),IF(Paramètres!L7="",0,IF(Paramètres!M7="",NA(),IF(LEFT(TRIM(Paramètres!M7),1)="F",INDEX($F$2597:$F$2649,MATCH(Paramètres!L7,Paramètres!$G$5:$G$57,0)),INDEX($E$2597:$E$2649,MATCH(Paramètres!L7,Paramètres!$G$5:$G$57,0)))+IF(RIGHT(TRIM(Paramètres!M7),3)="Fin",1-$H2599,IF(LEFT(TRIM(Paramètres!M7),1)="F",1,0)))),IF(Paramètres!N7="",0,IF(Paramètres!O7="",NA(),IF(LEFT(TRIM(Paramètres!O7),1)="F",INDEX($F$2597:$F$2649,MATCH(Paramètres!N7,Paramètres!$G$5:$G$57,0)),INDEX($E$2597:$E$2649,MATCH(Paramètres!N7,Paramètres!$G$5:$G$57,0)))+IF(RIGHT(TRIM(Paramètres!O7),3)="Fin",1-$H2599,IF(LEFT(TRIM(Paramètres!O7),1)="F",1,0)))))))</f>
        <v/>
      </c>
      <c r="F2599" s="19">
        <f>IF($A2599="","",E2599+$H2599-1)</f>
        <v/>
      </c>
      <c r="G2599" s="18" t="n"/>
      <c r="H2599" s="18">
        <f>IF($A2599="","",IF(I2599&lt;&gt;"",I2599,Paramètres!B7))</f>
        <v/>
      </c>
      <c r="I2599" s="18" t="n"/>
    </row>
    <row r="2600">
      <c r="A2600" s="18">
        <f>IF(ISNUMBER(Dossiers!$D$52),Dossiers!$A$52&amp;" · "&amp;Dossiers!$B$52,"")</f>
        <v/>
      </c>
      <c r="B2600" s="18">
        <f>IF($A2600="","",Paramètres!G8)</f>
        <v/>
      </c>
      <c r="C2600" s="18">
        <f>IF($A2600="","",IF(Paramètres!H8="","",Paramètres!H8))</f>
        <v/>
      </c>
      <c r="D2600" s="18">
        <f>IF($A2600="","",IF(Paramètres!I8="","",Paramètres!I8))</f>
        <v/>
      </c>
      <c r="E2600" s="19">
        <f>IF($A2600="","",IF(Paramètres!J8&amp;Paramètres!L8&amp;Paramètres!N8="",Dossiers!$D$52,MAX(IF(Paramètres!J8="",0,IF(Paramètres!K8="",NA(),IF(LEFT(TRIM(Paramètres!K8),1)="F",INDEX($F$2597:$F$2649,MATCH(Paramètres!J8,Paramètres!$G$5:$G$57,0)),INDEX($E$2597:$E$2649,MATCH(Paramètres!J8,Paramètres!$G$5:$G$57,0)))+IF(RIGHT(TRIM(Paramètres!K8),3)="Fin",1-$H2600,IF(LEFT(TRIM(Paramètres!K8),1)="F",1,0)))),IF(Paramètres!L8="",0,IF(Paramètres!M8="",NA(),IF(LEFT(TRIM(Paramètres!M8),1)="F",INDEX($F$2597:$F$2649,MATCH(Paramètres!L8,Paramètres!$G$5:$G$57,0)),INDEX($E$2597:$E$2649,MATCH(Paramètres!L8,Paramètres!$G$5:$G$57,0)))+IF(RIGHT(TRIM(Paramètres!M8),3)="Fin",1-$H2600,IF(LEFT(TRIM(Paramètres!M8),1)="F",1,0)))),IF(Paramètres!N8="",0,IF(Paramètres!O8="",NA(),IF(LEFT(TRIM(Paramètres!O8),1)="F",INDEX($F$2597:$F$2649,MATCH(Paramètres!N8,Paramètres!$G$5:$G$57,0)),INDEX($E$2597:$E$2649,MATCH(Paramètres!N8,Paramètres!$G$5:$G$57,0)))+IF(RIGHT(TRIM(Paramètres!O8),3)="Fin",1-$H2600,IF(LEFT(TRIM(Paramètres!O8),1)="F",1,0)))))))</f>
        <v/>
      </c>
      <c r="F2600" s="19">
        <f>IF($A2600="","",E2600+$H2600-1)</f>
        <v/>
      </c>
      <c r="G2600" s="18" t="n"/>
      <c r="H2600" s="18">
        <f>IF($A2600="","",IF(I2600&lt;&gt;"",I2600,Paramètres!B8))</f>
        <v/>
      </c>
      <c r="I2600" s="18" t="n"/>
    </row>
    <row r="2601">
      <c r="A2601" s="18">
        <f>IF(ISNUMBER(Dossiers!$D$52),Dossiers!$A$52&amp;" · "&amp;Dossiers!$B$52,"")</f>
        <v/>
      </c>
      <c r="B2601" s="18">
        <f>IF($A2601="","",Paramètres!G9)</f>
        <v/>
      </c>
      <c r="C2601" s="18">
        <f>IF($A2601="","",IF(Paramètres!H9="","",Paramètres!H9))</f>
        <v/>
      </c>
      <c r="D2601" s="18">
        <f>IF($A2601="","",IF(Paramètres!I9="","",Paramètres!I9))</f>
        <v/>
      </c>
      <c r="E2601" s="19">
        <f>IF($A2601="","",IF(Paramètres!J9&amp;Paramètres!L9&amp;Paramètres!N9="",Dossiers!$D$52,MAX(IF(Paramètres!J9="",0,IF(Paramètres!K9="",NA(),IF(LEFT(TRIM(Paramètres!K9),1)="F",INDEX($F$2597:$F$2649,MATCH(Paramètres!J9,Paramètres!$G$5:$G$57,0)),INDEX($E$2597:$E$2649,MATCH(Paramètres!J9,Paramètres!$G$5:$G$57,0)))+IF(RIGHT(TRIM(Paramètres!K9),3)="Fin",1-$H2601,IF(LEFT(TRIM(Paramètres!K9),1)="F",1,0)))),IF(Paramètres!L9="",0,IF(Paramètres!M9="",NA(),IF(LEFT(TRIM(Paramètres!M9),1)="F",INDEX($F$2597:$F$2649,MATCH(Paramètres!L9,Paramètres!$G$5:$G$57,0)),INDEX($E$2597:$E$2649,MATCH(Paramètres!L9,Paramètres!$G$5:$G$57,0)))+IF(RIGHT(TRIM(Paramètres!M9),3)="Fin",1-$H2601,IF(LEFT(TRIM(Paramètres!M9),1)="F",1,0)))),IF(Paramètres!N9="",0,IF(Paramètres!O9="",NA(),IF(LEFT(TRIM(Paramètres!O9),1)="F",INDEX($F$2597:$F$2649,MATCH(Paramètres!N9,Paramètres!$G$5:$G$57,0)),INDEX($E$2597:$E$2649,MATCH(Paramètres!N9,Paramètres!$G$5:$G$57,0)))+IF(RIGHT(TRIM(Paramètres!O9),3)="Fin",1-$H2601,IF(LEFT(TRIM(Paramètres!O9),1)="F",1,0)))))))</f>
        <v/>
      </c>
      <c r="F2601" s="19">
        <f>IF($A2601="","",E2601+$H2601-1)</f>
        <v/>
      </c>
      <c r="G2601" s="18" t="n"/>
      <c r="H2601" s="18">
        <f>IF($A2601="","",IF(I2601&lt;&gt;"",I2601,Paramètres!B9))</f>
        <v/>
      </c>
      <c r="I2601" s="18" t="n"/>
    </row>
    <row r="2602">
      <c r="A2602" s="18">
        <f>IF(ISNUMBER(Dossiers!$D$52),Dossiers!$A$52&amp;" · "&amp;Dossiers!$B$52,"")</f>
        <v/>
      </c>
      <c r="B2602" s="18">
        <f>IF($A2602="","",Paramètres!G10)</f>
        <v/>
      </c>
      <c r="C2602" s="18">
        <f>IF($A2602="","",IF(Paramètres!H10="","",Paramètres!H10))</f>
        <v/>
      </c>
      <c r="D2602" s="18">
        <f>IF($A2602="","",IF(Paramètres!I10="","",Paramètres!I10))</f>
        <v/>
      </c>
      <c r="E2602" s="19">
        <f>IF($A2602="","",MIN(E2603:E2606))</f>
        <v/>
      </c>
      <c r="F2602" s="19">
        <f>IF($A2602="","",MAX(F2603:F2606))</f>
        <v/>
      </c>
      <c r="G2602" s="18" t="n"/>
      <c r="H2602" s="18">
        <f>IF($A2602="","",F2602-E2602+1)</f>
        <v/>
      </c>
      <c r="I2602" s="18" t="n"/>
    </row>
    <row r="2603">
      <c r="A2603" s="18">
        <f>IF(ISNUMBER(Dossiers!$D$52),Dossiers!$A$52&amp;" · "&amp;Dossiers!$B$52,"")</f>
        <v/>
      </c>
      <c r="B2603" s="18">
        <f>IF($A2603="","",Paramètres!G11)</f>
        <v/>
      </c>
      <c r="C2603" s="18">
        <f>IF($A2603="","",IF(Paramètres!H11="","",Paramètres!H11))</f>
        <v/>
      </c>
      <c r="D2603" s="18">
        <f>IF($A2603="","",IF(Paramètres!I11="","",Paramètres!I11))</f>
        <v/>
      </c>
      <c r="E2603" s="19">
        <f>IF($A2603="","",IF(Paramètres!J11&amp;Paramètres!L11&amp;Paramètres!N11="",Dossiers!$D$52,MAX(IF(Paramètres!J11="",0,IF(Paramètres!K11="",NA(),IF(LEFT(TRIM(Paramètres!K11),1)="F",INDEX($F$2597:$F$2649,MATCH(Paramètres!J11,Paramètres!$G$5:$G$57,0)),INDEX($E$2597:$E$2649,MATCH(Paramètres!J11,Paramètres!$G$5:$G$57,0)))+IF(RIGHT(TRIM(Paramètres!K11),3)="Fin",1-$H2603,IF(LEFT(TRIM(Paramètres!K11),1)="F",1,0)))),IF(Paramètres!L11="",0,IF(Paramètres!M11="",NA(),IF(LEFT(TRIM(Paramètres!M11),1)="F",INDEX($F$2597:$F$2649,MATCH(Paramètres!L11,Paramètres!$G$5:$G$57,0)),INDEX($E$2597:$E$2649,MATCH(Paramètres!L11,Paramètres!$G$5:$G$57,0)))+IF(RIGHT(TRIM(Paramètres!M11),3)="Fin",1-$H2603,IF(LEFT(TRIM(Paramètres!M11),1)="F",1,0)))),IF(Paramètres!N11="",0,IF(Paramètres!O11="",NA(),IF(LEFT(TRIM(Paramètres!O11),1)="F",INDEX($F$2597:$F$2649,MATCH(Paramètres!N11,Paramètres!$G$5:$G$57,0)),INDEX($E$2597:$E$2649,MATCH(Paramètres!N11,Paramètres!$G$5:$G$57,0)))+IF(RIGHT(TRIM(Paramètres!O11),3)="Fin",1-$H2603,IF(LEFT(TRIM(Paramètres!O11),1)="F",1,0)))))))</f>
        <v/>
      </c>
      <c r="F2603" s="19">
        <f>IF($A2603="","",E2603+$H2603-1)</f>
        <v/>
      </c>
      <c r="G2603" s="18" t="n"/>
      <c r="H2603" s="18">
        <f>IF($A2603="","",IF(I2603&lt;&gt;"",I2603,Paramètres!B11))</f>
        <v/>
      </c>
      <c r="I2603" s="18" t="n"/>
    </row>
    <row r="2604">
      <c r="A2604" s="18">
        <f>IF(ISNUMBER(Dossiers!$D$52),Dossiers!$A$52&amp;" · "&amp;Dossiers!$B$52,"")</f>
        <v/>
      </c>
      <c r="B2604" s="18">
        <f>IF($A2604="","",Paramètres!G12)</f>
        <v/>
      </c>
      <c r="C2604" s="18">
        <f>IF($A2604="","",IF(Paramètres!H12="","",Paramètres!H12))</f>
        <v/>
      </c>
      <c r="D2604" s="18">
        <f>IF($A2604="","",IF(Paramètres!I12="","",Paramètres!I12))</f>
        <v/>
      </c>
      <c r="E2604" s="19">
        <f>IF($A2604="","",IF(Paramètres!J12&amp;Paramètres!L12&amp;Paramètres!N12="",Dossiers!$D$52,MAX(IF(Paramètres!J12="",0,IF(Paramètres!K12="",NA(),IF(LEFT(TRIM(Paramètres!K12),1)="F",INDEX($F$2597:$F$2649,MATCH(Paramètres!J12,Paramètres!$G$5:$G$57,0)),INDEX($E$2597:$E$2649,MATCH(Paramètres!J12,Paramètres!$G$5:$G$57,0)))+IF(RIGHT(TRIM(Paramètres!K12),3)="Fin",1-$H2604,IF(LEFT(TRIM(Paramètres!K12),1)="F",1,0)))),IF(Paramètres!L12="",0,IF(Paramètres!M12="",NA(),IF(LEFT(TRIM(Paramètres!M12),1)="F",INDEX($F$2597:$F$2649,MATCH(Paramètres!L12,Paramètres!$G$5:$G$57,0)),INDEX($E$2597:$E$2649,MATCH(Paramètres!L12,Paramètres!$G$5:$G$57,0)))+IF(RIGHT(TRIM(Paramètres!M12),3)="Fin",1-$H2604,IF(LEFT(TRIM(Paramètres!M12),1)="F",1,0)))),IF(Paramètres!N12="",0,IF(Paramètres!O12="",NA(),IF(LEFT(TRIM(Paramètres!O12),1)="F",INDEX($F$2597:$F$2649,MATCH(Paramètres!N12,Paramètres!$G$5:$G$57,0)),INDEX($E$2597:$E$2649,MATCH(Paramètres!N12,Paramètres!$G$5:$G$57,0)))+IF(RIGHT(TRIM(Paramètres!O12),3)="Fin",1-$H2604,IF(LEFT(TRIM(Paramètres!O12),1)="F",1,0)))))))</f>
        <v/>
      </c>
      <c r="F2604" s="19">
        <f>IF($A2604="","",E2604+$H2604-1)</f>
        <v/>
      </c>
      <c r="G2604" s="18" t="n"/>
      <c r="H2604" s="18">
        <f>IF($A2604="","",IF(I2604&lt;&gt;"",I2604,Paramètres!B12))</f>
        <v/>
      </c>
      <c r="I2604" s="18" t="n"/>
    </row>
    <row r="2605">
      <c r="A2605" s="18">
        <f>IF(ISNUMBER(Dossiers!$D$52),Dossiers!$A$52&amp;" · "&amp;Dossiers!$B$52,"")</f>
        <v/>
      </c>
      <c r="B2605" s="18">
        <f>IF($A2605="","",Paramètres!G13)</f>
        <v/>
      </c>
      <c r="C2605" s="18">
        <f>IF($A2605="","",IF(Paramètres!H13="","",Paramètres!H13))</f>
        <v/>
      </c>
      <c r="D2605" s="18">
        <f>IF($A2605="","",IF(Paramètres!I13="","",Paramètres!I13))</f>
        <v/>
      </c>
      <c r="E2605" s="19">
        <f>IF($A2605="","",IF(Paramètres!J13&amp;Paramètres!L13&amp;Paramètres!N13="",Dossiers!$D$52,MAX(IF(Paramètres!J13="",0,IF(Paramètres!K13="",NA(),IF(LEFT(TRIM(Paramètres!K13),1)="F",INDEX($F$2597:$F$2649,MATCH(Paramètres!J13,Paramètres!$G$5:$G$57,0)),INDEX($E$2597:$E$2649,MATCH(Paramètres!J13,Paramètres!$G$5:$G$57,0)))+IF(RIGHT(TRIM(Paramètres!K13),3)="Fin",1-$H2605,IF(LEFT(TRIM(Paramètres!K13),1)="F",1,0)))),IF(Paramètres!L13="",0,IF(Paramètres!M13="",NA(),IF(LEFT(TRIM(Paramètres!M13),1)="F",INDEX($F$2597:$F$2649,MATCH(Paramètres!L13,Paramètres!$G$5:$G$57,0)),INDEX($E$2597:$E$2649,MATCH(Paramètres!L13,Paramètres!$G$5:$G$57,0)))+IF(RIGHT(TRIM(Paramètres!M13),3)="Fin",1-$H2605,IF(LEFT(TRIM(Paramètres!M13),1)="F",1,0)))),IF(Paramètres!N13="",0,IF(Paramètres!O13="",NA(),IF(LEFT(TRIM(Paramètres!O13),1)="F",INDEX($F$2597:$F$2649,MATCH(Paramètres!N13,Paramètres!$G$5:$G$57,0)),INDEX($E$2597:$E$2649,MATCH(Paramètres!N13,Paramètres!$G$5:$G$57,0)))+IF(RIGHT(TRIM(Paramètres!O13),3)="Fin",1-$H2605,IF(LEFT(TRIM(Paramètres!O13),1)="F",1,0)))))))</f>
        <v/>
      </c>
      <c r="F2605" s="19">
        <f>IF($A2605="","",E2605+$H2605-1)</f>
        <v/>
      </c>
      <c r="G2605" s="18" t="n"/>
      <c r="H2605" s="18">
        <f>IF($A2605="","",IF(I2605&lt;&gt;"",I2605,Paramètres!B13))</f>
        <v/>
      </c>
      <c r="I2605" s="18" t="n"/>
    </row>
    <row r="2606">
      <c r="A2606" s="18">
        <f>IF(ISNUMBER(Dossiers!$D$52),Dossiers!$A$52&amp;" · "&amp;Dossiers!$B$52,"")</f>
        <v/>
      </c>
      <c r="B2606" s="18">
        <f>IF($A2606="","",Paramètres!G14)</f>
        <v/>
      </c>
      <c r="C2606" s="18">
        <f>IF($A2606="","",IF(Paramètres!H14="","",Paramètres!H14))</f>
        <v/>
      </c>
      <c r="D2606" s="18">
        <f>IF($A2606="","",IF(Paramètres!I14="","",Paramètres!I14))</f>
        <v/>
      </c>
      <c r="E2606" s="19">
        <f>IF($A2606="","",IF(Paramètres!J14&amp;Paramètres!L14&amp;Paramètres!N14="",Dossiers!$D$52,MAX(IF(Paramètres!J14="",0,IF(Paramètres!K14="",NA(),IF(LEFT(TRIM(Paramètres!K14),1)="F",INDEX($F$2597:$F$2649,MATCH(Paramètres!J14,Paramètres!$G$5:$G$57,0)),INDEX($E$2597:$E$2649,MATCH(Paramètres!J14,Paramètres!$G$5:$G$57,0)))+IF(RIGHT(TRIM(Paramètres!K14),3)="Fin",1-$H2606,IF(LEFT(TRIM(Paramètres!K14),1)="F",1,0)))),IF(Paramètres!L14="",0,IF(Paramètres!M14="",NA(),IF(LEFT(TRIM(Paramètres!M14),1)="F",INDEX($F$2597:$F$2649,MATCH(Paramètres!L14,Paramètres!$G$5:$G$57,0)),INDEX($E$2597:$E$2649,MATCH(Paramètres!L14,Paramètres!$G$5:$G$57,0)))+IF(RIGHT(TRIM(Paramètres!M14),3)="Fin",1-$H2606,IF(LEFT(TRIM(Paramètres!M14),1)="F",1,0)))),IF(Paramètres!N14="",0,IF(Paramètres!O14="",NA(),IF(LEFT(TRIM(Paramètres!O14),1)="F",INDEX($F$2597:$F$2649,MATCH(Paramètres!N14,Paramètres!$G$5:$G$57,0)),INDEX($E$2597:$E$2649,MATCH(Paramètres!N14,Paramètres!$G$5:$G$57,0)))+IF(RIGHT(TRIM(Paramètres!O14),3)="Fin",1-$H2606,IF(LEFT(TRIM(Paramètres!O14),1)="F",1,0)))))))</f>
        <v/>
      </c>
      <c r="F2606" s="19">
        <f>IF($A2606="","",E2606+$H2606-1)</f>
        <v/>
      </c>
      <c r="G2606" s="18" t="n"/>
      <c r="H2606" s="18">
        <f>IF($A2606="","",IF(I2606&lt;&gt;"",I2606,Paramètres!B14))</f>
        <v/>
      </c>
      <c r="I2606" s="18" t="n"/>
    </row>
    <row r="2607">
      <c r="A2607" s="18">
        <f>IF(ISNUMBER(Dossiers!$D$52),Dossiers!$A$52&amp;" · "&amp;Dossiers!$B$52,"")</f>
        <v/>
      </c>
      <c r="B2607" s="18">
        <f>IF($A2607="","",Paramètres!G15)</f>
        <v/>
      </c>
      <c r="C2607" s="18">
        <f>IF($A2607="","",IF(Paramètres!H15="","",Paramètres!H15))</f>
        <v/>
      </c>
      <c r="D2607" s="18">
        <f>IF($A2607="","",IF(Paramètres!I15="","",Paramètres!I15))</f>
        <v/>
      </c>
      <c r="E2607" s="19">
        <f>IF($A2607="","",MIN(E2608:E2623))</f>
        <v/>
      </c>
      <c r="F2607" s="19">
        <f>IF($A2607="","",MAX(F2608:F2623))</f>
        <v/>
      </c>
      <c r="G2607" s="18" t="n"/>
      <c r="H2607" s="18">
        <f>IF($A2607="","",F2607-E2607+1)</f>
        <v/>
      </c>
      <c r="I2607" s="18" t="n"/>
    </row>
    <row r="2608">
      <c r="A2608" s="18">
        <f>IF(ISNUMBER(Dossiers!$D$52),Dossiers!$A$52&amp;" · "&amp;Dossiers!$B$52,"")</f>
        <v/>
      </c>
      <c r="B2608" s="18">
        <f>IF($A2608="","",Paramètres!G16)</f>
        <v/>
      </c>
      <c r="C2608" s="18">
        <f>IF($A2608="","",IF(Paramètres!H16="","",Paramètres!H16))</f>
        <v/>
      </c>
      <c r="D2608" s="18">
        <f>IF($A2608="","",IF(Paramètres!I16="","",Paramètres!I16))</f>
        <v/>
      </c>
      <c r="E2608" s="19">
        <f>IF($A2608="","",IF(Paramètres!J16&amp;Paramètres!L16&amp;Paramètres!N16="",Dossiers!$D$52,MAX(IF(Paramètres!J16="",0,IF(Paramètres!K16="",NA(),IF(LEFT(TRIM(Paramètres!K16),1)="F",INDEX($F$2597:$F$2649,MATCH(Paramètres!J16,Paramètres!$G$5:$G$57,0)),INDEX($E$2597:$E$2649,MATCH(Paramètres!J16,Paramètres!$G$5:$G$57,0)))+IF(RIGHT(TRIM(Paramètres!K16),3)="Fin",1-$H2608,IF(LEFT(TRIM(Paramètres!K16),1)="F",1,0)))),IF(Paramètres!L16="",0,IF(Paramètres!M16="",NA(),IF(LEFT(TRIM(Paramètres!M16),1)="F",INDEX($F$2597:$F$2649,MATCH(Paramètres!L16,Paramètres!$G$5:$G$57,0)),INDEX($E$2597:$E$2649,MATCH(Paramètres!L16,Paramètres!$G$5:$G$57,0)))+IF(RIGHT(TRIM(Paramètres!M16),3)="Fin",1-$H2608,IF(LEFT(TRIM(Paramètres!M16),1)="F",1,0)))),IF(Paramètres!N16="",0,IF(Paramètres!O16="",NA(),IF(LEFT(TRIM(Paramètres!O16),1)="F",INDEX($F$2597:$F$2649,MATCH(Paramètres!N16,Paramètres!$G$5:$G$57,0)),INDEX($E$2597:$E$2649,MATCH(Paramètres!N16,Paramètres!$G$5:$G$57,0)))+IF(RIGHT(TRIM(Paramètres!O16),3)="Fin",1-$H2608,IF(LEFT(TRIM(Paramètres!O16),1)="F",1,0)))))))</f>
        <v/>
      </c>
      <c r="F2608" s="19">
        <f>IF($A2608="","",E2608+$H2608-1)</f>
        <v/>
      </c>
      <c r="G2608" s="18" t="n"/>
      <c r="H2608" s="18">
        <f>IF($A2608="","",IF(I2608&lt;&gt;"",I2608,Paramètres!B16))</f>
        <v/>
      </c>
      <c r="I2608" s="18" t="n"/>
    </row>
    <row r="2609">
      <c r="A2609" s="18">
        <f>IF(ISNUMBER(Dossiers!$D$52),Dossiers!$A$52&amp;" · "&amp;Dossiers!$B$52,"")</f>
        <v/>
      </c>
      <c r="B2609" s="18">
        <f>IF($A2609="","",Paramètres!G17)</f>
        <v/>
      </c>
      <c r="C2609" s="18">
        <f>IF($A2609="","",IF(Paramètres!H17="","",Paramètres!H17))</f>
        <v/>
      </c>
      <c r="D2609" s="18">
        <f>IF($A2609="","",IF(Paramètres!I17="","",Paramètres!I17))</f>
        <v/>
      </c>
      <c r="E2609" s="19">
        <f>IF($A2609="","",IF(Paramètres!J17&amp;Paramètres!L17&amp;Paramètres!N17="",Dossiers!$D$52,MAX(IF(Paramètres!J17="",0,IF(Paramètres!K17="",NA(),IF(LEFT(TRIM(Paramètres!K17),1)="F",INDEX($F$2597:$F$2649,MATCH(Paramètres!J17,Paramètres!$G$5:$G$57,0)),INDEX($E$2597:$E$2649,MATCH(Paramètres!J17,Paramètres!$G$5:$G$57,0)))+IF(RIGHT(TRIM(Paramètres!K17),3)="Fin",1-$H2609,IF(LEFT(TRIM(Paramètres!K17),1)="F",1,0)))),IF(Paramètres!L17="",0,IF(Paramètres!M17="",NA(),IF(LEFT(TRIM(Paramètres!M17),1)="F",INDEX($F$2597:$F$2649,MATCH(Paramètres!L17,Paramètres!$G$5:$G$57,0)),INDEX($E$2597:$E$2649,MATCH(Paramètres!L17,Paramètres!$G$5:$G$57,0)))+IF(RIGHT(TRIM(Paramètres!M17),3)="Fin",1-$H2609,IF(LEFT(TRIM(Paramètres!M17),1)="F",1,0)))),IF(Paramètres!N17="",0,IF(Paramètres!O17="",NA(),IF(LEFT(TRIM(Paramètres!O17),1)="F",INDEX($F$2597:$F$2649,MATCH(Paramètres!N17,Paramètres!$G$5:$G$57,0)),INDEX($E$2597:$E$2649,MATCH(Paramètres!N17,Paramètres!$G$5:$G$57,0)))+IF(RIGHT(TRIM(Paramètres!O17),3)="Fin",1-$H2609,IF(LEFT(TRIM(Paramètres!O17),1)="F",1,0)))))))</f>
        <v/>
      </c>
      <c r="F2609" s="19">
        <f>IF($A2609="","",E2609+$H2609-1)</f>
        <v/>
      </c>
      <c r="G2609" s="18" t="n"/>
      <c r="H2609" s="18">
        <f>IF($A2609="","",IF(I2609&lt;&gt;"",I2609,Paramètres!B17))</f>
        <v/>
      </c>
      <c r="I2609" s="18" t="n"/>
    </row>
    <row r="2610">
      <c r="A2610" s="18">
        <f>IF(ISNUMBER(Dossiers!$D$52),Dossiers!$A$52&amp;" · "&amp;Dossiers!$B$52,"")</f>
        <v/>
      </c>
      <c r="B2610" s="18">
        <f>IF($A2610="","",Paramètres!G18)</f>
        <v/>
      </c>
      <c r="C2610" s="18">
        <f>IF($A2610="","",IF(Paramètres!H18="","",Paramètres!H18))</f>
        <v/>
      </c>
      <c r="D2610" s="18">
        <f>IF($A2610="","",IF(Paramètres!I18="","",Paramètres!I18))</f>
        <v/>
      </c>
      <c r="E2610" s="19">
        <f>IF($A2610="","",IF(Paramètres!J18&amp;Paramètres!L18&amp;Paramètres!N18="",Dossiers!$D$52,MAX(IF(Paramètres!J18="",0,IF(Paramètres!K18="",NA(),IF(LEFT(TRIM(Paramètres!K18),1)="F",INDEX($F$2597:$F$2649,MATCH(Paramètres!J18,Paramètres!$G$5:$G$57,0)),INDEX($E$2597:$E$2649,MATCH(Paramètres!J18,Paramètres!$G$5:$G$57,0)))+IF(RIGHT(TRIM(Paramètres!K18),3)="Fin",1-$H2610,IF(LEFT(TRIM(Paramètres!K18),1)="F",1,0)))),IF(Paramètres!L18="",0,IF(Paramètres!M18="",NA(),IF(LEFT(TRIM(Paramètres!M18),1)="F",INDEX($F$2597:$F$2649,MATCH(Paramètres!L18,Paramètres!$G$5:$G$57,0)),INDEX($E$2597:$E$2649,MATCH(Paramètres!L18,Paramètres!$G$5:$G$57,0)))+IF(RIGHT(TRIM(Paramètres!M18),3)="Fin",1-$H2610,IF(LEFT(TRIM(Paramètres!M18),1)="F",1,0)))),IF(Paramètres!N18="",0,IF(Paramètres!O18="",NA(),IF(LEFT(TRIM(Paramètres!O18),1)="F",INDEX($F$2597:$F$2649,MATCH(Paramètres!N18,Paramètres!$G$5:$G$57,0)),INDEX($E$2597:$E$2649,MATCH(Paramètres!N18,Paramètres!$G$5:$G$57,0)))+IF(RIGHT(TRIM(Paramètres!O18),3)="Fin",1-$H2610,IF(LEFT(TRIM(Paramètres!O18),1)="F",1,0)))))))</f>
        <v/>
      </c>
      <c r="F2610" s="19">
        <f>IF($A2610="","",E2610+$H2610-1)</f>
        <v/>
      </c>
      <c r="G2610" s="18" t="n"/>
      <c r="H2610" s="18">
        <f>IF($A2610="","",IF(I2610&lt;&gt;"",I2610,Paramètres!B18))</f>
        <v/>
      </c>
      <c r="I2610" s="18" t="n"/>
    </row>
    <row r="2611">
      <c r="A2611" s="18">
        <f>IF(ISNUMBER(Dossiers!$D$52),Dossiers!$A$52&amp;" · "&amp;Dossiers!$B$52,"")</f>
        <v/>
      </c>
      <c r="B2611" s="18">
        <f>IF($A2611="","",Paramètres!G19)</f>
        <v/>
      </c>
      <c r="C2611" s="18">
        <f>IF($A2611="","",IF(Paramètres!H19="","",Paramètres!H19))</f>
        <v/>
      </c>
      <c r="D2611" s="18">
        <f>IF($A2611="","",IF(Paramètres!I19="","",Paramètres!I19))</f>
        <v/>
      </c>
      <c r="E2611" s="19">
        <f>IF($A2611="","",IF(Paramètres!J19&amp;Paramètres!L19&amp;Paramètres!N19="",Dossiers!$D$52,MAX(IF(Paramètres!J19="",0,IF(Paramètres!K19="",NA(),IF(LEFT(TRIM(Paramètres!K19),1)="F",INDEX($F$2597:$F$2649,MATCH(Paramètres!J19,Paramètres!$G$5:$G$57,0)),INDEX($E$2597:$E$2649,MATCH(Paramètres!J19,Paramètres!$G$5:$G$57,0)))+IF(RIGHT(TRIM(Paramètres!K19),3)="Fin",1-$H2611,IF(LEFT(TRIM(Paramètres!K19),1)="F",1,0)))),IF(Paramètres!L19="",0,IF(Paramètres!M19="",NA(),IF(LEFT(TRIM(Paramètres!M19),1)="F",INDEX($F$2597:$F$2649,MATCH(Paramètres!L19,Paramètres!$G$5:$G$57,0)),INDEX($E$2597:$E$2649,MATCH(Paramètres!L19,Paramètres!$G$5:$G$57,0)))+IF(RIGHT(TRIM(Paramètres!M19),3)="Fin",1-$H2611,IF(LEFT(TRIM(Paramètres!M19),1)="F",1,0)))),IF(Paramètres!N19="",0,IF(Paramètres!O19="",NA(),IF(LEFT(TRIM(Paramètres!O19),1)="F",INDEX($F$2597:$F$2649,MATCH(Paramètres!N19,Paramètres!$G$5:$G$57,0)),INDEX($E$2597:$E$2649,MATCH(Paramètres!N19,Paramètres!$G$5:$G$57,0)))+IF(RIGHT(TRIM(Paramètres!O19),3)="Fin",1-$H2611,IF(LEFT(TRIM(Paramètres!O19),1)="F",1,0)))))))</f>
        <v/>
      </c>
      <c r="F2611" s="19">
        <f>IF($A2611="","",E2611+$H2611-1)</f>
        <v/>
      </c>
      <c r="G2611" s="18" t="n"/>
      <c r="H2611" s="18">
        <f>IF($A2611="","",IF(I2611&lt;&gt;"",I2611,Paramètres!B19))</f>
        <v/>
      </c>
      <c r="I2611" s="18" t="n"/>
    </row>
    <row r="2612">
      <c r="A2612" s="18">
        <f>IF(ISNUMBER(Dossiers!$D$52),Dossiers!$A$52&amp;" · "&amp;Dossiers!$B$52,"")</f>
        <v/>
      </c>
      <c r="B2612" s="18">
        <f>IF($A2612="","",Paramètres!G20)</f>
        <v/>
      </c>
      <c r="C2612" s="18">
        <f>IF($A2612="","",IF(Paramètres!H20="","",Paramètres!H20))</f>
        <v/>
      </c>
      <c r="D2612" s="18">
        <f>IF($A2612="","",IF(Paramètres!I20="","",Paramètres!I20))</f>
        <v/>
      </c>
      <c r="E2612" s="19">
        <f>IF($A2612="","",IF(Paramètres!J20&amp;Paramètres!L20&amp;Paramètres!N20="",Dossiers!$D$52,MAX(IF(Paramètres!J20="",0,IF(Paramètres!K20="",NA(),IF(LEFT(TRIM(Paramètres!K20),1)="F",INDEX($F$2597:$F$2649,MATCH(Paramètres!J20,Paramètres!$G$5:$G$57,0)),INDEX($E$2597:$E$2649,MATCH(Paramètres!J20,Paramètres!$G$5:$G$57,0)))+IF(RIGHT(TRIM(Paramètres!K20),3)="Fin",1-$H2612,IF(LEFT(TRIM(Paramètres!K20),1)="F",1,0)))),IF(Paramètres!L20="",0,IF(Paramètres!M20="",NA(),IF(LEFT(TRIM(Paramètres!M20),1)="F",INDEX($F$2597:$F$2649,MATCH(Paramètres!L20,Paramètres!$G$5:$G$57,0)),INDEX($E$2597:$E$2649,MATCH(Paramètres!L20,Paramètres!$G$5:$G$57,0)))+IF(RIGHT(TRIM(Paramètres!M20),3)="Fin",1-$H2612,IF(LEFT(TRIM(Paramètres!M20),1)="F",1,0)))),IF(Paramètres!N20="",0,IF(Paramètres!O20="",NA(),IF(LEFT(TRIM(Paramètres!O20),1)="F",INDEX($F$2597:$F$2649,MATCH(Paramètres!N20,Paramètres!$G$5:$G$57,0)),INDEX($E$2597:$E$2649,MATCH(Paramètres!N20,Paramètres!$G$5:$G$57,0)))+IF(RIGHT(TRIM(Paramètres!O20),3)="Fin",1-$H2612,IF(LEFT(TRIM(Paramètres!O20),1)="F",1,0)))))))</f>
        <v/>
      </c>
      <c r="F2612" s="19">
        <f>IF($A2612="","",E2612+$H2612-1)</f>
        <v/>
      </c>
      <c r="G2612" s="18" t="n"/>
      <c r="H2612" s="18">
        <f>IF($A2612="","",IF(I2612&lt;&gt;"",I2612,Paramètres!B20))</f>
        <v/>
      </c>
      <c r="I2612" s="18" t="n"/>
    </row>
    <row r="2613">
      <c r="A2613" s="18">
        <f>IF(ISNUMBER(Dossiers!$D$52),Dossiers!$A$52&amp;" · "&amp;Dossiers!$B$52,"")</f>
        <v/>
      </c>
      <c r="B2613" s="18">
        <f>IF($A2613="","",Paramètres!G21)</f>
        <v/>
      </c>
      <c r="C2613" s="18">
        <f>IF($A2613="","",IF(Paramètres!H21="","",Paramètres!H21))</f>
        <v/>
      </c>
      <c r="D2613" s="18">
        <f>IF($A2613="","",IF(Paramètres!I21="","",Paramètres!I21))</f>
        <v/>
      </c>
      <c r="E2613" s="19">
        <f>IF($A2613="","",IF(Paramètres!J21&amp;Paramètres!L21&amp;Paramètres!N21="",Dossiers!$D$52,MAX(IF(Paramètres!J21="",0,IF(Paramètres!K21="",NA(),IF(LEFT(TRIM(Paramètres!K21),1)="F",INDEX($F$2597:$F$2649,MATCH(Paramètres!J21,Paramètres!$G$5:$G$57,0)),INDEX($E$2597:$E$2649,MATCH(Paramètres!J21,Paramètres!$G$5:$G$57,0)))+IF(RIGHT(TRIM(Paramètres!K21),3)="Fin",1-$H2613,IF(LEFT(TRIM(Paramètres!K21),1)="F",1,0)))),IF(Paramètres!L21="",0,IF(Paramètres!M21="",NA(),IF(LEFT(TRIM(Paramètres!M21),1)="F",INDEX($F$2597:$F$2649,MATCH(Paramètres!L21,Paramètres!$G$5:$G$57,0)),INDEX($E$2597:$E$2649,MATCH(Paramètres!L21,Paramètres!$G$5:$G$57,0)))+IF(RIGHT(TRIM(Paramètres!M21),3)="Fin",1-$H2613,IF(LEFT(TRIM(Paramètres!M21),1)="F",1,0)))),IF(Paramètres!N21="",0,IF(Paramètres!O21="",NA(),IF(LEFT(TRIM(Paramètres!O21),1)="F",INDEX($F$2597:$F$2649,MATCH(Paramètres!N21,Paramètres!$G$5:$G$57,0)),INDEX($E$2597:$E$2649,MATCH(Paramètres!N21,Paramètres!$G$5:$G$57,0)))+IF(RIGHT(TRIM(Paramètres!O21),3)="Fin",1-$H2613,IF(LEFT(TRIM(Paramètres!O21),1)="F",1,0)))))))</f>
        <v/>
      </c>
      <c r="F2613" s="19">
        <f>IF($A2613="","",E2613+$H2613-1)</f>
        <v/>
      </c>
      <c r="G2613" s="18" t="n"/>
      <c r="H2613" s="18">
        <f>IF($A2613="","",IF(I2613&lt;&gt;"",I2613,Paramètres!B21))</f>
        <v/>
      </c>
      <c r="I2613" s="18" t="n"/>
    </row>
    <row r="2614">
      <c r="A2614" s="18">
        <f>IF(ISNUMBER(Dossiers!$D$52),Dossiers!$A$52&amp;" · "&amp;Dossiers!$B$52,"")</f>
        <v/>
      </c>
      <c r="B2614" s="18">
        <f>IF($A2614="","",Paramètres!G22)</f>
        <v/>
      </c>
      <c r="C2614" s="18">
        <f>IF($A2614="","",IF(Paramètres!H22="","",Paramètres!H22))</f>
        <v/>
      </c>
      <c r="D2614" s="18">
        <f>IF($A2614="","",IF(Paramètres!I22="","",Paramètres!I22))</f>
        <v/>
      </c>
      <c r="E2614" s="19">
        <f>IF($A2614="","",IF(Paramètres!J22&amp;Paramètres!L22&amp;Paramètres!N22="",Dossiers!$D$52,MAX(IF(Paramètres!J22="",0,IF(Paramètres!K22="",NA(),IF(LEFT(TRIM(Paramètres!K22),1)="F",INDEX($F$2597:$F$2649,MATCH(Paramètres!J22,Paramètres!$G$5:$G$57,0)),INDEX($E$2597:$E$2649,MATCH(Paramètres!J22,Paramètres!$G$5:$G$57,0)))+IF(RIGHT(TRIM(Paramètres!K22),3)="Fin",1-$H2614,IF(LEFT(TRIM(Paramètres!K22),1)="F",1,0)))),IF(Paramètres!L22="",0,IF(Paramètres!M22="",NA(),IF(LEFT(TRIM(Paramètres!M22),1)="F",INDEX($F$2597:$F$2649,MATCH(Paramètres!L22,Paramètres!$G$5:$G$57,0)),INDEX($E$2597:$E$2649,MATCH(Paramètres!L22,Paramètres!$G$5:$G$57,0)))+IF(RIGHT(TRIM(Paramètres!M22),3)="Fin",1-$H2614,IF(LEFT(TRIM(Paramètres!M22),1)="F",1,0)))),IF(Paramètres!N22="",0,IF(Paramètres!O22="",NA(),IF(LEFT(TRIM(Paramètres!O22),1)="F",INDEX($F$2597:$F$2649,MATCH(Paramètres!N22,Paramètres!$G$5:$G$57,0)),INDEX($E$2597:$E$2649,MATCH(Paramètres!N22,Paramètres!$G$5:$G$57,0)))+IF(RIGHT(TRIM(Paramètres!O22),3)="Fin",1-$H2614,IF(LEFT(TRIM(Paramètres!O22),1)="F",1,0)))))))</f>
        <v/>
      </c>
      <c r="F2614" s="19">
        <f>IF($A2614="","",E2614+$H2614-1)</f>
        <v/>
      </c>
      <c r="G2614" s="18" t="n"/>
      <c r="H2614" s="18">
        <f>IF($A2614="","",IF(I2614&lt;&gt;"",I2614,Paramètres!B22))</f>
        <v/>
      </c>
      <c r="I2614" s="18" t="n"/>
    </row>
    <row r="2615">
      <c r="A2615" s="18">
        <f>IF(ISNUMBER(Dossiers!$D$52),Dossiers!$A$52&amp;" · "&amp;Dossiers!$B$52,"")</f>
        <v/>
      </c>
      <c r="B2615" s="18">
        <f>IF($A2615="","",Paramètres!G23)</f>
        <v/>
      </c>
      <c r="C2615" s="18">
        <f>IF($A2615="","",IF(Paramètres!H23="","",Paramètres!H23))</f>
        <v/>
      </c>
      <c r="D2615" s="18">
        <f>IF($A2615="","",IF(Paramètres!I23="","",Paramètres!I23))</f>
        <v/>
      </c>
      <c r="E2615" s="19">
        <f>IF($A2615="","",IF(Paramètres!J23&amp;Paramètres!L23&amp;Paramètres!N23="",Dossiers!$D$52,MAX(IF(Paramètres!J23="",0,IF(Paramètres!K23="",NA(),IF(LEFT(TRIM(Paramètres!K23),1)="F",INDEX($F$2597:$F$2649,MATCH(Paramètres!J23,Paramètres!$G$5:$G$57,0)),INDEX($E$2597:$E$2649,MATCH(Paramètres!J23,Paramètres!$G$5:$G$57,0)))+IF(RIGHT(TRIM(Paramètres!K23),3)="Fin",1-$H2615,IF(LEFT(TRIM(Paramètres!K23),1)="F",1,0)))),IF(Paramètres!L23="",0,IF(Paramètres!M23="",NA(),IF(LEFT(TRIM(Paramètres!M23),1)="F",INDEX($F$2597:$F$2649,MATCH(Paramètres!L23,Paramètres!$G$5:$G$57,0)),INDEX($E$2597:$E$2649,MATCH(Paramètres!L23,Paramètres!$G$5:$G$57,0)))+IF(RIGHT(TRIM(Paramètres!M23),3)="Fin",1-$H2615,IF(LEFT(TRIM(Paramètres!M23),1)="F",1,0)))),IF(Paramètres!N23="",0,IF(Paramètres!O23="",NA(),IF(LEFT(TRIM(Paramètres!O23),1)="F",INDEX($F$2597:$F$2649,MATCH(Paramètres!N23,Paramètres!$G$5:$G$57,0)),INDEX($E$2597:$E$2649,MATCH(Paramètres!N23,Paramètres!$G$5:$G$57,0)))+IF(RIGHT(TRIM(Paramètres!O23),3)="Fin",1-$H2615,IF(LEFT(TRIM(Paramètres!O23),1)="F",1,0)))))))</f>
        <v/>
      </c>
      <c r="F2615" s="19">
        <f>IF($A2615="","",E2615+$H2615-1)</f>
        <v/>
      </c>
      <c r="G2615" s="18" t="n"/>
      <c r="H2615" s="18">
        <f>IF($A2615="","",IF(I2615&lt;&gt;"",I2615,Paramètres!B23))</f>
        <v/>
      </c>
      <c r="I2615" s="18" t="n"/>
    </row>
    <row r="2616">
      <c r="A2616" s="18">
        <f>IF(ISNUMBER(Dossiers!$D$52),Dossiers!$A$52&amp;" · "&amp;Dossiers!$B$52,"")</f>
        <v/>
      </c>
      <c r="B2616" s="18">
        <f>IF($A2616="","",Paramètres!G24)</f>
        <v/>
      </c>
      <c r="C2616" s="18">
        <f>IF($A2616="","",IF(Paramètres!H24="","",Paramètres!H24))</f>
        <v/>
      </c>
      <c r="D2616" s="18">
        <f>IF($A2616="","",IF(Paramètres!I24="","",Paramètres!I24))</f>
        <v/>
      </c>
      <c r="E2616" s="19">
        <f>IF($A2616="","",IF(Paramètres!J24&amp;Paramètres!L24&amp;Paramètres!N24="",Dossiers!$D$52,MAX(IF(Paramètres!J24="",0,IF(Paramètres!K24="",NA(),IF(LEFT(TRIM(Paramètres!K24),1)="F",INDEX($F$2597:$F$2649,MATCH(Paramètres!J24,Paramètres!$G$5:$G$57,0)),INDEX($E$2597:$E$2649,MATCH(Paramètres!J24,Paramètres!$G$5:$G$57,0)))+IF(RIGHT(TRIM(Paramètres!K24),3)="Fin",1-$H2616,IF(LEFT(TRIM(Paramètres!K24),1)="F",1,0)))),IF(Paramètres!L24="",0,IF(Paramètres!M24="",NA(),IF(LEFT(TRIM(Paramètres!M24),1)="F",INDEX($F$2597:$F$2649,MATCH(Paramètres!L24,Paramètres!$G$5:$G$57,0)),INDEX($E$2597:$E$2649,MATCH(Paramètres!L24,Paramètres!$G$5:$G$57,0)))+IF(RIGHT(TRIM(Paramètres!M24),3)="Fin",1-$H2616,IF(LEFT(TRIM(Paramètres!M24),1)="F",1,0)))),IF(Paramètres!N24="",0,IF(Paramètres!O24="",NA(),IF(LEFT(TRIM(Paramètres!O24),1)="F",INDEX($F$2597:$F$2649,MATCH(Paramètres!N24,Paramètres!$G$5:$G$57,0)),INDEX($E$2597:$E$2649,MATCH(Paramètres!N24,Paramètres!$G$5:$G$57,0)))+IF(RIGHT(TRIM(Paramètres!O24),3)="Fin",1-$H2616,IF(LEFT(TRIM(Paramètres!O24),1)="F",1,0)))))))</f>
        <v/>
      </c>
      <c r="F2616" s="19">
        <f>IF($A2616="","",E2616+$H2616-1)</f>
        <v/>
      </c>
      <c r="G2616" s="18" t="n"/>
      <c r="H2616" s="18">
        <f>IF($A2616="","",IF(I2616&lt;&gt;"",I2616,Paramètres!B24))</f>
        <v/>
      </c>
      <c r="I2616" s="18" t="n"/>
    </row>
    <row r="2617">
      <c r="A2617" s="18">
        <f>IF(ISNUMBER(Dossiers!$D$52),Dossiers!$A$52&amp;" · "&amp;Dossiers!$B$52,"")</f>
        <v/>
      </c>
      <c r="B2617" s="18">
        <f>IF($A2617="","",Paramètres!G25)</f>
        <v/>
      </c>
      <c r="C2617" s="18">
        <f>IF($A2617="","",IF(Paramètres!H25="","",Paramètres!H25))</f>
        <v/>
      </c>
      <c r="D2617" s="18">
        <f>IF($A2617="","",IF(Paramètres!I25="","",Paramètres!I25))</f>
        <v/>
      </c>
      <c r="E2617" s="19">
        <f>IF($A2617="","",IF(Paramètres!J25&amp;Paramètres!L25&amp;Paramètres!N25="",Dossiers!$D$52,MAX(IF(Paramètres!J25="",0,IF(Paramètres!K25="",NA(),IF(LEFT(TRIM(Paramètres!K25),1)="F",INDEX($F$2597:$F$2649,MATCH(Paramètres!J25,Paramètres!$G$5:$G$57,0)),INDEX($E$2597:$E$2649,MATCH(Paramètres!J25,Paramètres!$G$5:$G$57,0)))+IF(RIGHT(TRIM(Paramètres!K25),3)="Fin",1-$H2617,IF(LEFT(TRIM(Paramètres!K25),1)="F",1,0)))),IF(Paramètres!L25="",0,IF(Paramètres!M25="",NA(),IF(LEFT(TRIM(Paramètres!M25),1)="F",INDEX($F$2597:$F$2649,MATCH(Paramètres!L25,Paramètres!$G$5:$G$57,0)),INDEX($E$2597:$E$2649,MATCH(Paramètres!L25,Paramètres!$G$5:$G$57,0)))+IF(RIGHT(TRIM(Paramètres!M25),3)="Fin",1-$H2617,IF(LEFT(TRIM(Paramètres!M25),1)="F",1,0)))),IF(Paramètres!N25="",0,IF(Paramètres!O25="",NA(),IF(LEFT(TRIM(Paramètres!O25),1)="F",INDEX($F$2597:$F$2649,MATCH(Paramètres!N25,Paramètres!$G$5:$G$57,0)),INDEX($E$2597:$E$2649,MATCH(Paramètres!N25,Paramètres!$G$5:$G$57,0)))+IF(RIGHT(TRIM(Paramètres!O25),3)="Fin",1-$H2617,IF(LEFT(TRIM(Paramètres!O25),1)="F",1,0)))))))</f>
        <v/>
      </c>
      <c r="F2617" s="19">
        <f>IF($A2617="","",E2617+$H2617-1)</f>
        <v/>
      </c>
      <c r="G2617" s="18" t="n"/>
      <c r="H2617" s="18">
        <f>IF($A2617="","",IF(I2617&lt;&gt;"",I2617,Paramètres!B25))</f>
        <v/>
      </c>
      <c r="I2617" s="18" t="n"/>
    </row>
    <row r="2618">
      <c r="A2618" s="18">
        <f>IF(ISNUMBER(Dossiers!$D$52),Dossiers!$A$52&amp;" · "&amp;Dossiers!$B$52,"")</f>
        <v/>
      </c>
      <c r="B2618" s="18">
        <f>IF($A2618="","",Paramètres!G26)</f>
        <v/>
      </c>
      <c r="C2618" s="18">
        <f>IF($A2618="","",IF(Paramètres!H26="","",Paramètres!H26))</f>
        <v/>
      </c>
      <c r="D2618" s="18">
        <f>IF($A2618="","",IF(Paramètres!I26="","",Paramètres!I26))</f>
        <v/>
      </c>
      <c r="E2618" s="19">
        <f>IF($A2618="","",IF(Paramètres!J26&amp;Paramètres!L26&amp;Paramètres!N26="",Dossiers!$D$52,MAX(IF(Paramètres!J26="",0,IF(Paramètres!K26="",NA(),IF(LEFT(TRIM(Paramètres!K26),1)="F",INDEX($F$2597:$F$2649,MATCH(Paramètres!J26,Paramètres!$G$5:$G$57,0)),INDEX($E$2597:$E$2649,MATCH(Paramètres!J26,Paramètres!$G$5:$G$57,0)))+IF(RIGHT(TRIM(Paramètres!K26),3)="Fin",1-$H2618,IF(LEFT(TRIM(Paramètres!K26),1)="F",1,0)))),IF(Paramètres!L26="",0,IF(Paramètres!M26="",NA(),IF(LEFT(TRIM(Paramètres!M26),1)="F",INDEX($F$2597:$F$2649,MATCH(Paramètres!L26,Paramètres!$G$5:$G$57,0)),INDEX($E$2597:$E$2649,MATCH(Paramètres!L26,Paramètres!$G$5:$G$57,0)))+IF(RIGHT(TRIM(Paramètres!M26),3)="Fin",1-$H2618,IF(LEFT(TRIM(Paramètres!M26),1)="F",1,0)))),IF(Paramètres!N26="",0,IF(Paramètres!O26="",NA(),IF(LEFT(TRIM(Paramètres!O26),1)="F",INDEX($F$2597:$F$2649,MATCH(Paramètres!N26,Paramètres!$G$5:$G$57,0)),INDEX($E$2597:$E$2649,MATCH(Paramètres!N26,Paramètres!$G$5:$G$57,0)))+IF(RIGHT(TRIM(Paramètres!O26),3)="Fin",1-$H2618,IF(LEFT(TRIM(Paramètres!O26),1)="F",1,0)))))))</f>
        <v/>
      </c>
      <c r="F2618" s="19">
        <f>IF($A2618="","",E2618+$H2618-1)</f>
        <v/>
      </c>
      <c r="G2618" s="18" t="n"/>
      <c r="H2618" s="18">
        <f>IF($A2618="","",IF(I2618&lt;&gt;"",I2618,Paramètres!B26))</f>
        <v/>
      </c>
      <c r="I2618" s="18" t="n"/>
    </row>
    <row r="2619">
      <c r="A2619" s="18">
        <f>IF(ISNUMBER(Dossiers!$D$52),Dossiers!$A$52&amp;" · "&amp;Dossiers!$B$52,"")</f>
        <v/>
      </c>
      <c r="B2619" s="18">
        <f>IF($A2619="","",Paramètres!G27)</f>
        <v/>
      </c>
      <c r="C2619" s="18">
        <f>IF($A2619="","",IF(Paramètres!H27="","",Paramètres!H27))</f>
        <v/>
      </c>
      <c r="D2619" s="18">
        <f>IF($A2619="","",IF(Paramètres!I27="","",Paramètres!I27))</f>
        <v/>
      </c>
      <c r="E2619" s="19">
        <f>IF($A2619="","",IF(Paramètres!J27&amp;Paramètres!L27&amp;Paramètres!N27="",Dossiers!$D$52,MAX(IF(Paramètres!J27="",0,IF(Paramètres!K27="",NA(),IF(LEFT(TRIM(Paramètres!K27),1)="F",INDEX($F$2597:$F$2649,MATCH(Paramètres!J27,Paramètres!$G$5:$G$57,0)),INDEX($E$2597:$E$2649,MATCH(Paramètres!J27,Paramètres!$G$5:$G$57,0)))+IF(RIGHT(TRIM(Paramètres!K27),3)="Fin",1-$H2619,IF(LEFT(TRIM(Paramètres!K27),1)="F",1,0)))),IF(Paramètres!L27="",0,IF(Paramètres!M27="",NA(),IF(LEFT(TRIM(Paramètres!M27),1)="F",INDEX($F$2597:$F$2649,MATCH(Paramètres!L27,Paramètres!$G$5:$G$57,0)),INDEX($E$2597:$E$2649,MATCH(Paramètres!L27,Paramètres!$G$5:$G$57,0)))+IF(RIGHT(TRIM(Paramètres!M27),3)="Fin",1-$H2619,IF(LEFT(TRIM(Paramètres!M27),1)="F",1,0)))),IF(Paramètres!N27="",0,IF(Paramètres!O27="",NA(),IF(LEFT(TRIM(Paramètres!O27),1)="F",INDEX($F$2597:$F$2649,MATCH(Paramètres!N27,Paramètres!$G$5:$G$57,0)),INDEX($E$2597:$E$2649,MATCH(Paramètres!N27,Paramètres!$G$5:$G$57,0)))+IF(RIGHT(TRIM(Paramètres!O27),3)="Fin",1-$H2619,IF(LEFT(TRIM(Paramètres!O27),1)="F",1,0)))))))</f>
        <v/>
      </c>
      <c r="F2619" s="19">
        <f>IF($A2619="","",E2619+$H2619-1)</f>
        <v/>
      </c>
      <c r="G2619" s="18" t="n"/>
      <c r="H2619" s="18">
        <f>IF($A2619="","",IF(I2619&lt;&gt;"",I2619,Paramètres!B27))</f>
        <v/>
      </c>
      <c r="I2619" s="18" t="n"/>
    </row>
    <row r="2620">
      <c r="A2620" s="18">
        <f>IF(ISNUMBER(Dossiers!$D$52),Dossiers!$A$52&amp;" · "&amp;Dossiers!$B$52,"")</f>
        <v/>
      </c>
      <c r="B2620" s="18">
        <f>IF($A2620="","",Paramètres!G28)</f>
        <v/>
      </c>
      <c r="C2620" s="18">
        <f>IF($A2620="","",IF(Paramètres!H28="","",Paramètres!H28))</f>
        <v/>
      </c>
      <c r="D2620" s="18">
        <f>IF($A2620="","",IF(Paramètres!I28="","",Paramètres!I28))</f>
        <v/>
      </c>
      <c r="E2620" s="19">
        <f>IF($A2620="","",IF(Paramètres!J28&amp;Paramètres!L28&amp;Paramètres!N28="",Dossiers!$D$52,MAX(IF(Paramètres!J28="",0,IF(Paramètres!K28="",NA(),IF(LEFT(TRIM(Paramètres!K28),1)="F",INDEX($F$2597:$F$2649,MATCH(Paramètres!J28,Paramètres!$G$5:$G$57,0)),INDEX($E$2597:$E$2649,MATCH(Paramètres!J28,Paramètres!$G$5:$G$57,0)))+IF(RIGHT(TRIM(Paramètres!K28),3)="Fin",1-$H2620,IF(LEFT(TRIM(Paramètres!K28),1)="F",1,0)))),IF(Paramètres!L28="",0,IF(Paramètres!M28="",NA(),IF(LEFT(TRIM(Paramètres!M28),1)="F",INDEX($F$2597:$F$2649,MATCH(Paramètres!L28,Paramètres!$G$5:$G$57,0)),INDEX($E$2597:$E$2649,MATCH(Paramètres!L28,Paramètres!$G$5:$G$57,0)))+IF(RIGHT(TRIM(Paramètres!M28),3)="Fin",1-$H2620,IF(LEFT(TRIM(Paramètres!M28),1)="F",1,0)))),IF(Paramètres!N28="",0,IF(Paramètres!O28="",NA(),IF(LEFT(TRIM(Paramètres!O28),1)="F",INDEX($F$2597:$F$2649,MATCH(Paramètres!N28,Paramètres!$G$5:$G$57,0)),INDEX($E$2597:$E$2649,MATCH(Paramètres!N28,Paramètres!$G$5:$G$57,0)))+IF(RIGHT(TRIM(Paramètres!O28),3)="Fin",1-$H2620,IF(LEFT(TRIM(Paramètres!O28),1)="F",1,0)))))))</f>
        <v/>
      </c>
      <c r="F2620" s="19">
        <f>IF($A2620="","",E2620+$H2620-1)</f>
        <v/>
      </c>
      <c r="G2620" s="18" t="n"/>
      <c r="H2620" s="18">
        <f>IF($A2620="","",IF(I2620&lt;&gt;"",I2620,Paramètres!B28))</f>
        <v/>
      </c>
      <c r="I2620" s="18" t="n"/>
    </row>
    <row r="2621">
      <c r="A2621" s="18">
        <f>IF(ISNUMBER(Dossiers!$D$52),Dossiers!$A$52&amp;" · "&amp;Dossiers!$B$52,"")</f>
        <v/>
      </c>
      <c r="B2621" s="18">
        <f>IF($A2621="","",Paramètres!G29)</f>
        <v/>
      </c>
      <c r="C2621" s="18">
        <f>IF($A2621="","",IF(Paramètres!H29="","",Paramètres!H29))</f>
        <v/>
      </c>
      <c r="D2621" s="18">
        <f>IF($A2621="","",IF(Paramètres!I29="","",Paramètres!I29))</f>
        <v/>
      </c>
      <c r="E2621" s="19">
        <f>IF($A2621="","",IF(Paramètres!J29&amp;Paramètres!L29&amp;Paramètres!N29="",Dossiers!$D$52,MAX(IF(Paramètres!J29="",0,IF(Paramètres!K29="",NA(),IF(LEFT(TRIM(Paramètres!K29),1)="F",INDEX($F$2597:$F$2649,MATCH(Paramètres!J29,Paramètres!$G$5:$G$57,0)),INDEX($E$2597:$E$2649,MATCH(Paramètres!J29,Paramètres!$G$5:$G$57,0)))+IF(RIGHT(TRIM(Paramètres!K29),3)="Fin",1-$H2621,IF(LEFT(TRIM(Paramètres!K29),1)="F",1,0)))),IF(Paramètres!L29="",0,IF(Paramètres!M29="",NA(),IF(LEFT(TRIM(Paramètres!M29),1)="F",INDEX($F$2597:$F$2649,MATCH(Paramètres!L29,Paramètres!$G$5:$G$57,0)),INDEX($E$2597:$E$2649,MATCH(Paramètres!L29,Paramètres!$G$5:$G$57,0)))+IF(RIGHT(TRIM(Paramètres!M29),3)="Fin",1-$H2621,IF(LEFT(TRIM(Paramètres!M29),1)="F",1,0)))),IF(Paramètres!N29="",0,IF(Paramètres!O29="",NA(),IF(LEFT(TRIM(Paramètres!O29),1)="F",INDEX($F$2597:$F$2649,MATCH(Paramètres!N29,Paramètres!$G$5:$G$57,0)),INDEX($E$2597:$E$2649,MATCH(Paramètres!N29,Paramètres!$G$5:$G$57,0)))+IF(RIGHT(TRIM(Paramètres!O29),3)="Fin",1-$H2621,IF(LEFT(TRIM(Paramètres!O29),1)="F",1,0)))))))</f>
        <v/>
      </c>
      <c r="F2621" s="19">
        <f>IF($A2621="","",E2621+$H2621-1)</f>
        <v/>
      </c>
      <c r="G2621" s="18" t="n"/>
      <c r="H2621" s="18">
        <f>IF($A2621="","",IF(I2621&lt;&gt;"",I2621,Paramètres!B29))</f>
        <v/>
      </c>
      <c r="I2621" s="18" t="n"/>
    </row>
    <row r="2622">
      <c r="A2622" s="18">
        <f>IF(ISNUMBER(Dossiers!$D$52),Dossiers!$A$52&amp;" · "&amp;Dossiers!$B$52,"")</f>
        <v/>
      </c>
      <c r="B2622" s="18">
        <f>IF($A2622="","",Paramètres!G30)</f>
        <v/>
      </c>
      <c r="C2622" s="18">
        <f>IF($A2622="","",IF(Paramètres!H30="","",Paramètres!H30))</f>
        <v/>
      </c>
      <c r="D2622" s="18">
        <f>IF($A2622="","",IF(Paramètres!I30="","",Paramètres!I30))</f>
        <v/>
      </c>
      <c r="E2622" s="19">
        <f>IF($A2622="","",IF(Paramètres!J30&amp;Paramètres!L30&amp;Paramètres!N30="",Dossiers!$D$52,MAX(IF(Paramètres!J30="",0,IF(Paramètres!K30="",NA(),IF(LEFT(TRIM(Paramètres!K30),1)="F",INDEX($F$2597:$F$2649,MATCH(Paramètres!J30,Paramètres!$G$5:$G$57,0)),INDEX($E$2597:$E$2649,MATCH(Paramètres!J30,Paramètres!$G$5:$G$57,0)))+IF(RIGHT(TRIM(Paramètres!K30),3)="Fin",1-$H2622,IF(LEFT(TRIM(Paramètres!K30),1)="F",1,0)))),IF(Paramètres!L30="",0,IF(Paramètres!M30="",NA(),IF(LEFT(TRIM(Paramètres!M30),1)="F",INDEX($F$2597:$F$2649,MATCH(Paramètres!L30,Paramètres!$G$5:$G$57,0)),INDEX($E$2597:$E$2649,MATCH(Paramètres!L30,Paramètres!$G$5:$G$57,0)))+IF(RIGHT(TRIM(Paramètres!M30),3)="Fin",1-$H2622,IF(LEFT(TRIM(Paramètres!M30),1)="F",1,0)))),IF(Paramètres!N30="",0,IF(Paramètres!O30="",NA(),IF(LEFT(TRIM(Paramètres!O30),1)="F",INDEX($F$2597:$F$2649,MATCH(Paramètres!N30,Paramètres!$G$5:$G$57,0)),INDEX($E$2597:$E$2649,MATCH(Paramètres!N30,Paramètres!$G$5:$G$57,0)))+IF(RIGHT(TRIM(Paramètres!O30),3)="Fin",1-$H2622,IF(LEFT(TRIM(Paramètres!O30),1)="F",1,0)))))))</f>
        <v/>
      </c>
      <c r="F2622" s="19">
        <f>IF($A2622="","",E2622+$H2622-1)</f>
        <v/>
      </c>
      <c r="G2622" s="18" t="n"/>
      <c r="H2622" s="18">
        <f>IF($A2622="","",IF(I2622&lt;&gt;"",I2622,Paramètres!B30))</f>
        <v/>
      </c>
      <c r="I2622" s="18" t="n"/>
    </row>
    <row r="2623">
      <c r="A2623" s="18">
        <f>IF(ISNUMBER(Dossiers!$D$52),Dossiers!$A$52&amp;" · "&amp;Dossiers!$B$52,"")</f>
        <v/>
      </c>
      <c r="B2623" s="18">
        <f>IF($A2623="","",Paramètres!G31)</f>
        <v/>
      </c>
      <c r="C2623" s="20">
        <f>IF($A2623="","",IF(Dossiers!$F$52="","",Dossiers!$F$52))</f>
        <v/>
      </c>
      <c r="D2623" s="18">
        <f>IF($A2623="","",IF(Paramètres!I31="","",Paramètres!I31))</f>
        <v/>
      </c>
      <c r="E2623" s="19">
        <f>IF($A2623="","",IF(Paramètres!J31&amp;Paramètres!L31&amp;Paramètres!N31="",Dossiers!$D$52,MAX(IF(Paramètres!J31="",0,IF(Paramètres!K31="",NA(),IF(LEFT(TRIM(Paramètres!K31),1)="F",INDEX($F$2597:$F$2649,MATCH(Paramètres!J31,Paramètres!$G$5:$G$57,0)),INDEX($E$2597:$E$2649,MATCH(Paramètres!J31,Paramètres!$G$5:$G$57,0)))+IF(RIGHT(TRIM(Paramètres!K31),3)="Fin",1-$H2623,IF(LEFT(TRIM(Paramètres!K31),1)="F",1,0)))),IF(Paramètres!L31="",0,IF(Paramètres!M31="",NA(),IF(LEFT(TRIM(Paramètres!M31),1)="F",INDEX($F$2597:$F$2649,MATCH(Paramètres!L31,Paramètres!$G$5:$G$57,0)),INDEX($E$2597:$E$2649,MATCH(Paramètres!L31,Paramètres!$G$5:$G$57,0)))+IF(RIGHT(TRIM(Paramètres!M31),3)="Fin",1-$H2623,IF(LEFT(TRIM(Paramètres!M31),1)="F",1,0)))),IF(Paramètres!N31="",0,IF(Paramètres!O31="",NA(),IF(LEFT(TRIM(Paramètres!O31),1)="F",INDEX($F$2597:$F$2649,MATCH(Paramètres!N31,Paramètres!$G$5:$G$57,0)),INDEX($E$2597:$E$2649,MATCH(Paramètres!N31,Paramètres!$G$5:$G$57,0)))+IF(RIGHT(TRIM(Paramètres!O31),3)="Fin",1-$H2623,IF(LEFT(TRIM(Paramètres!O31),1)="F",1,0)))))))</f>
        <v/>
      </c>
      <c r="F2623" s="19">
        <f>IF($A2623="","",E2623+$H2623-1)</f>
        <v/>
      </c>
      <c r="G2623" s="18" t="n"/>
      <c r="H2623" s="18">
        <f>IF($A2623="","",IF(I2623&lt;&gt;"",I2623,Paramètres!B31))</f>
        <v/>
      </c>
      <c r="I2623" s="18" t="n"/>
    </row>
    <row r="2624">
      <c r="A2624" s="18">
        <f>IF(ISNUMBER(Dossiers!$D$52),Dossiers!$A$52&amp;" · "&amp;Dossiers!$B$52,"")</f>
        <v/>
      </c>
      <c r="B2624" s="18">
        <f>IF($A2624="","",Paramètres!G32)</f>
        <v/>
      </c>
      <c r="C2624" s="18">
        <f>IF($A2624="","",IF(Paramètres!H32="","",Paramètres!H32))</f>
        <v/>
      </c>
      <c r="D2624" s="18">
        <f>IF($A2624="","",IF(Paramètres!I32="","",Paramètres!I32))</f>
        <v/>
      </c>
      <c r="E2624" s="19">
        <f>IF($A2624="","",MIN(E2625:E2628))</f>
        <v/>
      </c>
      <c r="F2624" s="19">
        <f>IF($A2624="","",MAX(F2625:F2628))</f>
        <v/>
      </c>
      <c r="G2624" s="18" t="n"/>
      <c r="H2624" s="18">
        <f>IF($A2624="","",F2624-E2624+1)</f>
        <v/>
      </c>
      <c r="I2624" s="18" t="n"/>
    </row>
    <row r="2625">
      <c r="A2625" s="18">
        <f>IF(ISNUMBER(Dossiers!$D$52),Dossiers!$A$52&amp;" · "&amp;Dossiers!$B$52,"")</f>
        <v/>
      </c>
      <c r="B2625" s="18">
        <f>IF($A2625="","",Paramètres!G33)</f>
        <v/>
      </c>
      <c r="C2625" s="18">
        <f>IF($A2625="","",IF(Paramètres!H33="","",Paramètres!H33))</f>
        <v/>
      </c>
      <c r="D2625" s="18">
        <f>IF($A2625="","",IF(Paramètres!I33="","",Paramètres!I33))</f>
        <v/>
      </c>
      <c r="E2625" s="19">
        <f>IF($A2625="","",IF(Paramètres!J33&amp;Paramètres!L33&amp;Paramètres!N33="",Dossiers!$D$52,MAX(IF(Paramètres!J33="",0,IF(Paramètres!K33="",NA(),IF(LEFT(TRIM(Paramètres!K33),1)="F",INDEX($F$2597:$F$2649,MATCH(Paramètres!J33,Paramètres!$G$5:$G$57,0)),INDEX($E$2597:$E$2649,MATCH(Paramètres!J33,Paramètres!$G$5:$G$57,0)))+IF(RIGHT(TRIM(Paramètres!K33),3)="Fin",1-$H2625,IF(LEFT(TRIM(Paramètres!K33),1)="F",1,0)))),IF(Paramètres!L33="",0,IF(Paramètres!M33="",NA(),IF(LEFT(TRIM(Paramètres!M33),1)="F",INDEX($F$2597:$F$2649,MATCH(Paramètres!L33,Paramètres!$G$5:$G$57,0)),INDEX($E$2597:$E$2649,MATCH(Paramètres!L33,Paramètres!$G$5:$G$57,0)))+IF(RIGHT(TRIM(Paramètres!M33),3)="Fin",1-$H2625,IF(LEFT(TRIM(Paramètres!M33),1)="F",1,0)))),IF(Paramètres!N33="",0,IF(Paramètres!O33="",NA(),IF(LEFT(TRIM(Paramètres!O33),1)="F",INDEX($F$2597:$F$2649,MATCH(Paramètres!N33,Paramètres!$G$5:$G$57,0)),INDEX($E$2597:$E$2649,MATCH(Paramètres!N33,Paramètres!$G$5:$G$57,0)))+IF(RIGHT(TRIM(Paramètres!O33),3)="Fin",1-$H2625,IF(LEFT(TRIM(Paramètres!O33),1)="F",1,0)))))))</f>
        <v/>
      </c>
      <c r="F2625" s="19">
        <f>IF($A2625="","",E2625+$H2625-1)</f>
        <v/>
      </c>
      <c r="G2625" s="18" t="n"/>
      <c r="H2625" s="18">
        <f>IF($A2625="","",IF(I2625&lt;&gt;"",I2625,Paramètres!B33))</f>
        <v/>
      </c>
      <c r="I2625" s="18" t="n"/>
    </row>
    <row r="2626">
      <c r="A2626" s="18">
        <f>IF(ISNUMBER(Dossiers!$D$52),Dossiers!$A$52&amp;" · "&amp;Dossiers!$B$52,"")</f>
        <v/>
      </c>
      <c r="B2626" s="18">
        <f>IF($A2626="","",Paramètres!G34)</f>
        <v/>
      </c>
      <c r="C2626" s="18">
        <f>IF($A2626="","",IF(Paramètres!H34="","",Paramètres!H34))</f>
        <v/>
      </c>
      <c r="D2626" s="18">
        <f>IF($A2626="","",IF(Paramètres!I34="","",Paramètres!I34))</f>
        <v/>
      </c>
      <c r="E2626" s="19">
        <f>IF($A2626="","",IF(Paramètres!J34&amp;Paramètres!L34&amp;Paramètres!N34="",Dossiers!$D$52,MAX(IF(Paramètres!J34="",0,IF(Paramètres!K34="",NA(),IF(LEFT(TRIM(Paramètres!K34),1)="F",INDEX($F$2597:$F$2649,MATCH(Paramètres!J34,Paramètres!$G$5:$G$57,0)),INDEX($E$2597:$E$2649,MATCH(Paramètres!J34,Paramètres!$G$5:$G$57,0)))+IF(RIGHT(TRIM(Paramètres!K34),3)="Fin",1-$H2626,IF(LEFT(TRIM(Paramètres!K34),1)="F",1,0)))),IF(Paramètres!L34="",0,IF(Paramètres!M34="",NA(),IF(LEFT(TRIM(Paramètres!M34),1)="F",INDEX($F$2597:$F$2649,MATCH(Paramètres!L34,Paramètres!$G$5:$G$57,0)),INDEX($E$2597:$E$2649,MATCH(Paramètres!L34,Paramètres!$G$5:$G$57,0)))+IF(RIGHT(TRIM(Paramètres!M34),3)="Fin",1-$H2626,IF(LEFT(TRIM(Paramètres!M34),1)="F",1,0)))),IF(Paramètres!N34="",0,IF(Paramètres!O34="",NA(),IF(LEFT(TRIM(Paramètres!O34),1)="F",INDEX($F$2597:$F$2649,MATCH(Paramètres!N34,Paramètres!$G$5:$G$57,0)),INDEX($E$2597:$E$2649,MATCH(Paramètres!N34,Paramètres!$G$5:$G$57,0)))+IF(RIGHT(TRIM(Paramètres!O34),3)="Fin",1-$H2626,IF(LEFT(TRIM(Paramètres!O34),1)="F",1,0)))))))</f>
        <v/>
      </c>
      <c r="F2626" s="19">
        <f>IF($A2626="","",E2626+$H2626-1)</f>
        <v/>
      </c>
      <c r="G2626" s="18" t="n"/>
      <c r="H2626" s="18">
        <f>IF($A2626="","",IF(I2626&lt;&gt;"",I2626,Paramètres!B34))</f>
        <v/>
      </c>
      <c r="I2626" s="18" t="n"/>
    </row>
    <row r="2627">
      <c r="A2627" s="18">
        <f>IF(ISNUMBER(Dossiers!$D$52),Dossiers!$A$52&amp;" · "&amp;Dossiers!$B$52,"")</f>
        <v/>
      </c>
      <c r="B2627" s="18">
        <f>IF($A2627="","",Paramètres!G35)</f>
        <v/>
      </c>
      <c r="C2627" s="18">
        <f>IF($A2627="","",IF(Paramètres!H35="","",Paramètres!H35))</f>
        <v/>
      </c>
      <c r="D2627" s="18">
        <f>IF($A2627="","",IF(Paramètres!I35="","",Paramètres!I35))</f>
        <v/>
      </c>
      <c r="E2627" s="19">
        <f>IF($A2627="","",IF(Paramètres!J35&amp;Paramètres!L35&amp;Paramètres!N35="",Dossiers!$D$52,MAX(IF(Paramètres!J35="",0,IF(Paramètres!K35="",NA(),IF(LEFT(TRIM(Paramètres!K35),1)="F",INDEX($F$2597:$F$2649,MATCH(Paramètres!J35,Paramètres!$G$5:$G$57,0)),INDEX($E$2597:$E$2649,MATCH(Paramètres!J35,Paramètres!$G$5:$G$57,0)))+IF(RIGHT(TRIM(Paramètres!K35),3)="Fin",1-$H2627,IF(LEFT(TRIM(Paramètres!K35),1)="F",1,0)))),IF(Paramètres!L35="",0,IF(Paramètres!M35="",NA(),IF(LEFT(TRIM(Paramètres!M35),1)="F",INDEX($F$2597:$F$2649,MATCH(Paramètres!L35,Paramètres!$G$5:$G$57,0)),INDEX($E$2597:$E$2649,MATCH(Paramètres!L35,Paramètres!$G$5:$G$57,0)))+IF(RIGHT(TRIM(Paramètres!M35),3)="Fin",1-$H2627,IF(LEFT(TRIM(Paramètres!M35),1)="F",1,0)))),IF(Paramètres!N35="",0,IF(Paramètres!O35="",NA(),IF(LEFT(TRIM(Paramètres!O35),1)="F",INDEX($F$2597:$F$2649,MATCH(Paramètres!N35,Paramètres!$G$5:$G$57,0)),INDEX($E$2597:$E$2649,MATCH(Paramètres!N35,Paramètres!$G$5:$G$57,0)))+IF(RIGHT(TRIM(Paramètres!O35),3)="Fin",1-$H2627,IF(LEFT(TRIM(Paramètres!O35),1)="F",1,0)))))))</f>
        <v/>
      </c>
      <c r="F2627" s="19">
        <f>IF($A2627="","",E2627+$H2627-1)</f>
        <v/>
      </c>
      <c r="G2627" s="18" t="n"/>
      <c r="H2627" s="18">
        <f>IF($A2627="","",IF(I2627&lt;&gt;"",I2627,Paramètres!B35))</f>
        <v/>
      </c>
      <c r="I2627" s="18" t="n"/>
    </row>
    <row r="2628">
      <c r="A2628" s="18">
        <f>IF(ISNUMBER(Dossiers!$D$52),Dossiers!$A$52&amp;" · "&amp;Dossiers!$B$52,"")</f>
        <v/>
      </c>
      <c r="B2628" s="18">
        <f>IF($A2628="","",Paramètres!G36)</f>
        <v/>
      </c>
      <c r="C2628" s="18">
        <f>IF($A2628="","",IF(Paramètres!H36="","",Paramètres!H36))</f>
        <v/>
      </c>
      <c r="D2628" s="18">
        <f>IF($A2628="","",IF(Paramètres!I36="","",Paramètres!I36))</f>
        <v/>
      </c>
      <c r="E2628" s="19">
        <f>IF($A2628="","",IF(Paramètres!J36&amp;Paramètres!L36&amp;Paramètres!N36="",Dossiers!$D$52,MAX(IF(Paramètres!J36="",0,IF(Paramètres!K36="",NA(),IF(LEFT(TRIM(Paramètres!K36),1)="F",INDEX($F$2597:$F$2649,MATCH(Paramètres!J36,Paramètres!$G$5:$G$57,0)),INDEX($E$2597:$E$2649,MATCH(Paramètres!J36,Paramètres!$G$5:$G$57,0)))+IF(RIGHT(TRIM(Paramètres!K36),3)="Fin",1-$H2628,IF(LEFT(TRIM(Paramètres!K36),1)="F",1,0)))),IF(Paramètres!L36="",0,IF(Paramètres!M36="",NA(),IF(LEFT(TRIM(Paramètres!M36),1)="F",INDEX($F$2597:$F$2649,MATCH(Paramètres!L36,Paramètres!$G$5:$G$57,0)),INDEX($E$2597:$E$2649,MATCH(Paramètres!L36,Paramètres!$G$5:$G$57,0)))+IF(RIGHT(TRIM(Paramètres!M36),3)="Fin",1-$H2628,IF(LEFT(TRIM(Paramètres!M36),1)="F",1,0)))),IF(Paramètres!N36="",0,IF(Paramètres!O36="",NA(),IF(LEFT(TRIM(Paramètres!O36),1)="F",INDEX($F$2597:$F$2649,MATCH(Paramètres!N36,Paramètres!$G$5:$G$57,0)),INDEX($E$2597:$E$2649,MATCH(Paramètres!N36,Paramètres!$G$5:$G$57,0)))+IF(RIGHT(TRIM(Paramètres!O36),3)="Fin",1-$H2628,IF(LEFT(TRIM(Paramètres!O36),1)="F",1,0)))))))</f>
        <v/>
      </c>
      <c r="F2628" s="19">
        <f>IF($A2628="","",E2628+$H2628-1)</f>
        <v/>
      </c>
      <c r="G2628" s="18" t="n"/>
      <c r="H2628" s="18">
        <f>IF($A2628="","",IF(I2628&lt;&gt;"",I2628,Paramètres!B36))</f>
        <v/>
      </c>
      <c r="I2628" s="18" t="n"/>
    </row>
    <row r="2629">
      <c r="A2629" s="18">
        <f>IF(ISNUMBER(Dossiers!$D$52),Dossiers!$A$52&amp;" · "&amp;Dossiers!$B$52,"")</f>
        <v/>
      </c>
      <c r="B2629" s="18">
        <f>IF($A2629="","",Paramètres!G37)</f>
        <v/>
      </c>
      <c r="C2629" s="18">
        <f>IF($A2629="","",IF(Paramètres!H37="","",Paramètres!H37))</f>
        <v/>
      </c>
      <c r="D2629" s="18">
        <f>IF($A2629="","",IF(Paramètres!I37="","",Paramètres!I37))</f>
        <v/>
      </c>
      <c r="E2629" s="19">
        <f>IF($A2629="","",MIN(E2630:E2647))</f>
        <v/>
      </c>
      <c r="F2629" s="19">
        <f>IF($A2629="","",MAX(F2630:F2647))</f>
        <v/>
      </c>
      <c r="G2629" s="18" t="n"/>
      <c r="H2629" s="18">
        <f>IF($A2629="","",F2629-E2629+1)</f>
        <v/>
      </c>
      <c r="I2629" s="18" t="n"/>
    </row>
    <row r="2630">
      <c r="A2630" s="18">
        <f>IF(ISNUMBER(Dossiers!$D$52),Dossiers!$A$52&amp;" · "&amp;Dossiers!$B$52,"")</f>
        <v/>
      </c>
      <c r="B2630" s="18">
        <f>IF($A2630="","",Paramètres!G38)</f>
        <v/>
      </c>
      <c r="C2630" s="18">
        <f>IF($A2630="","",IF(Paramètres!H38="","",Paramètres!H38))</f>
        <v/>
      </c>
      <c r="D2630" s="18">
        <f>IF($A2630="","",IF(Paramètres!I38="","",Paramètres!I38))</f>
        <v/>
      </c>
      <c r="E2630" s="19">
        <f>IF($A2630="","",IF(Paramètres!J38&amp;Paramètres!L38&amp;Paramètres!N38="",Dossiers!$D$52,MAX(IF(Paramètres!J38="",0,IF(Paramètres!K38="",NA(),IF(LEFT(TRIM(Paramètres!K38),1)="F",INDEX($F$2597:$F$2649,MATCH(Paramètres!J38,Paramètres!$G$5:$G$57,0)),INDEX($E$2597:$E$2649,MATCH(Paramètres!J38,Paramètres!$G$5:$G$57,0)))+IF(RIGHT(TRIM(Paramètres!K38),3)="Fin",1-$H2630,IF(LEFT(TRIM(Paramètres!K38),1)="F",1,0)))),IF(Paramètres!L38="",0,IF(Paramètres!M38="",NA(),IF(LEFT(TRIM(Paramètres!M38),1)="F",INDEX($F$2597:$F$2649,MATCH(Paramètres!L38,Paramètres!$G$5:$G$57,0)),INDEX($E$2597:$E$2649,MATCH(Paramètres!L38,Paramètres!$G$5:$G$57,0)))+IF(RIGHT(TRIM(Paramètres!M38),3)="Fin",1-$H2630,IF(LEFT(TRIM(Paramètres!M38),1)="F",1,0)))),IF(Paramètres!N38="",0,IF(Paramètres!O38="",NA(),IF(LEFT(TRIM(Paramètres!O38),1)="F",INDEX($F$2597:$F$2649,MATCH(Paramètres!N38,Paramètres!$G$5:$G$57,0)),INDEX($E$2597:$E$2649,MATCH(Paramètres!N38,Paramètres!$G$5:$G$57,0)))+IF(RIGHT(TRIM(Paramètres!O38),3)="Fin",1-$H2630,IF(LEFT(TRIM(Paramètres!O38),1)="F",1,0)))))))</f>
        <v/>
      </c>
      <c r="F2630" s="19">
        <f>IF($A2630="","",E2630+$H2630-1)</f>
        <v/>
      </c>
      <c r="G2630" s="18" t="n"/>
      <c r="H2630" s="18">
        <f>IF($A2630="","",IF(I2630&lt;&gt;"",I2630,Paramètres!B38))</f>
        <v/>
      </c>
      <c r="I2630" s="18" t="n"/>
    </row>
    <row r="2631">
      <c r="A2631" s="18">
        <f>IF(ISNUMBER(Dossiers!$D$52),Dossiers!$A$52&amp;" · "&amp;Dossiers!$B$52,"")</f>
        <v/>
      </c>
      <c r="B2631" s="18">
        <f>IF($A2631="","",Paramètres!G39)</f>
        <v/>
      </c>
      <c r="C2631" s="18">
        <f>IF($A2631="","",IF(Paramètres!H39="","",Paramètres!H39))</f>
        <v/>
      </c>
      <c r="D2631" s="18">
        <f>IF($A2631="","",IF(Paramètres!I39="","",Paramètres!I39))</f>
        <v/>
      </c>
      <c r="E2631" s="19">
        <f>IF($A2631="","",IF(Paramètres!J39&amp;Paramètres!L39&amp;Paramètres!N39="",Dossiers!$D$52,MAX(IF(Paramètres!J39="",0,IF(Paramètres!K39="",NA(),IF(LEFT(TRIM(Paramètres!K39),1)="F",INDEX($F$2597:$F$2649,MATCH(Paramètres!J39,Paramètres!$G$5:$G$57,0)),INDEX($E$2597:$E$2649,MATCH(Paramètres!J39,Paramètres!$G$5:$G$57,0)))+IF(RIGHT(TRIM(Paramètres!K39),3)="Fin",1-$H2631,IF(LEFT(TRIM(Paramètres!K39),1)="F",1,0)))),IF(Paramètres!L39="",0,IF(Paramètres!M39="",NA(),IF(LEFT(TRIM(Paramètres!M39),1)="F",INDEX($F$2597:$F$2649,MATCH(Paramètres!L39,Paramètres!$G$5:$G$57,0)),INDEX($E$2597:$E$2649,MATCH(Paramètres!L39,Paramètres!$G$5:$G$57,0)))+IF(RIGHT(TRIM(Paramètres!M39),3)="Fin",1-$H2631,IF(LEFT(TRIM(Paramètres!M39),1)="F",1,0)))),IF(Paramètres!N39="",0,IF(Paramètres!O39="",NA(),IF(LEFT(TRIM(Paramètres!O39),1)="F",INDEX($F$2597:$F$2649,MATCH(Paramètres!N39,Paramètres!$G$5:$G$57,0)),INDEX($E$2597:$E$2649,MATCH(Paramètres!N39,Paramètres!$G$5:$G$57,0)))+IF(RIGHT(TRIM(Paramètres!O39),3)="Fin",1-$H2631,IF(LEFT(TRIM(Paramètres!O39),1)="F",1,0)))))))</f>
        <v/>
      </c>
      <c r="F2631" s="19">
        <f>IF($A2631="","",E2631+$H2631-1)</f>
        <v/>
      </c>
      <c r="G2631" s="18" t="n"/>
      <c r="H2631" s="18">
        <f>IF($A2631="","",IF(I2631&lt;&gt;"",I2631,Paramètres!B39))</f>
        <v/>
      </c>
      <c r="I2631" s="18" t="n"/>
    </row>
    <row r="2632">
      <c r="A2632" s="18">
        <f>IF(ISNUMBER(Dossiers!$D$52),Dossiers!$A$52&amp;" · "&amp;Dossiers!$B$52,"")</f>
        <v/>
      </c>
      <c r="B2632" s="18">
        <f>IF($A2632="","",Paramètres!G40)</f>
        <v/>
      </c>
      <c r="C2632" s="18">
        <f>IF($A2632="","",IF(Paramètres!H40="","",Paramètres!H40))</f>
        <v/>
      </c>
      <c r="D2632" s="18">
        <f>IF($A2632="","",IF(Paramètres!I40="","",Paramètres!I40))</f>
        <v/>
      </c>
      <c r="E2632" s="19">
        <f>IF($A2632="","",IF(Paramètres!J40&amp;Paramètres!L40&amp;Paramètres!N40="",Dossiers!$D$52,MAX(IF(Paramètres!J40="",0,IF(Paramètres!K40="",NA(),IF(LEFT(TRIM(Paramètres!K40),1)="F",INDEX($F$2597:$F$2649,MATCH(Paramètres!J40,Paramètres!$G$5:$G$57,0)),INDEX($E$2597:$E$2649,MATCH(Paramètres!J40,Paramètres!$G$5:$G$57,0)))+IF(RIGHT(TRIM(Paramètres!K40),3)="Fin",1-$H2632,IF(LEFT(TRIM(Paramètres!K40),1)="F",1,0)))),IF(Paramètres!L40="",0,IF(Paramètres!M40="",NA(),IF(LEFT(TRIM(Paramètres!M40),1)="F",INDEX($F$2597:$F$2649,MATCH(Paramètres!L40,Paramètres!$G$5:$G$57,0)),INDEX($E$2597:$E$2649,MATCH(Paramètres!L40,Paramètres!$G$5:$G$57,0)))+IF(RIGHT(TRIM(Paramètres!M40),3)="Fin",1-$H2632,IF(LEFT(TRIM(Paramètres!M40),1)="F",1,0)))),IF(Paramètres!N40="",0,IF(Paramètres!O40="",NA(),IF(LEFT(TRIM(Paramètres!O40),1)="F",INDEX($F$2597:$F$2649,MATCH(Paramètres!N40,Paramètres!$G$5:$G$57,0)),INDEX($E$2597:$E$2649,MATCH(Paramètres!N40,Paramètres!$G$5:$G$57,0)))+IF(RIGHT(TRIM(Paramètres!O40),3)="Fin",1-$H2632,IF(LEFT(TRIM(Paramètres!O40),1)="F",1,0)))))))</f>
        <v/>
      </c>
      <c r="F2632" s="19">
        <f>IF($A2632="","",E2632+$H2632-1)</f>
        <v/>
      </c>
      <c r="G2632" s="18" t="n"/>
      <c r="H2632" s="18">
        <f>IF($A2632="","",IF(I2632&lt;&gt;"",I2632,Paramètres!B40))</f>
        <v/>
      </c>
      <c r="I2632" s="18" t="n"/>
    </row>
    <row r="2633">
      <c r="A2633" s="18">
        <f>IF(ISNUMBER(Dossiers!$D$52),Dossiers!$A$52&amp;" · "&amp;Dossiers!$B$52,"")</f>
        <v/>
      </c>
      <c r="B2633" s="18">
        <f>IF($A2633="","",Paramètres!G41)</f>
        <v/>
      </c>
      <c r="C2633" s="18">
        <f>IF($A2633="","",IF(Paramètres!H41="","",Paramètres!H41))</f>
        <v/>
      </c>
      <c r="D2633" s="18">
        <f>IF($A2633="","",IF(Paramètres!I41="","",Paramètres!I41))</f>
        <v/>
      </c>
      <c r="E2633" s="19">
        <f>IF($A2633="","",IF(Paramètres!J41&amp;Paramètres!L41&amp;Paramètres!N41="",Dossiers!$D$52,MAX(IF(Paramètres!J41="",0,IF(Paramètres!K41="",NA(),IF(LEFT(TRIM(Paramètres!K41),1)="F",INDEX($F$2597:$F$2649,MATCH(Paramètres!J41,Paramètres!$G$5:$G$57,0)),INDEX($E$2597:$E$2649,MATCH(Paramètres!J41,Paramètres!$G$5:$G$57,0)))+IF(RIGHT(TRIM(Paramètres!K41),3)="Fin",1-$H2633,IF(LEFT(TRIM(Paramètres!K41),1)="F",1,0)))),IF(Paramètres!L41="",0,IF(Paramètres!M41="",NA(),IF(LEFT(TRIM(Paramètres!M41),1)="F",INDEX($F$2597:$F$2649,MATCH(Paramètres!L41,Paramètres!$G$5:$G$57,0)),INDEX($E$2597:$E$2649,MATCH(Paramètres!L41,Paramètres!$G$5:$G$57,0)))+IF(RIGHT(TRIM(Paramètres!M41),3)="Fin",1-$H2633,IF(LEFT(TRIM(Paramètres!M41),1)="F",1,0)))),IF(Paramètres!N41="",0,IF(Paramètres!O41="",NA(),IF(LEFT(TRIM(Paramètres!O41),1)="F",INDEX($F$2597:$F$2649,MATCH(Paramètres!N41,Paramètres!$G$5:$G$57,0)),INDEX($E$2597:$E$2649,MATCH(Paramètres!N41,Paramètres!$G$5:$G$57,0)))+IF(RIGHT(TRIM(Paramètres!O41),3)="Fin",1-$H2633,IF(LEFT(TRIM(Paramètres!O41),1)="F",1,0)))))))</f>
        <v/>
      </c>
      <c r="F2633" s="19">
        <f>IF($A2633="","",E2633+$H2633-1)</f>
        <v/>
      </c>
      <c r="G2633" s="18" t="n"/>
      <c r="H2633" s="18">
        <f>IF($A2633="","",IF(I2633&lt;&gt;"",I2633,Paramètres!B41))</f>
        <v/>
      </c>
      <c r="I2633" s="18" t="n"/>
    </row>
    <row r="2634">
      <c r="A2634" s="18">
        <f>IF(ISNUMBER(Dossiers!$D$52),Dossiers!$A$52&amp;" · "&amp;Dossiers!$B$52,"")</f>
        <v/>
      </c>
      <c r="B2634" s="18">
        <f>IF($A2634="","",Paramètres!G42)</f>
        <v/>
      </c>
      <c r="C2634" s="18">
        <f>IF($A2634="","",IF(Paramètres!H42="","",Paramètres!H42))</f>
        <v/>
      </c>
      <c r="D2634" s="18">
        <f>IF($A2634="","",IF(Paramètres!I42="","",Paramètres!I42))</f>
        <v/>
      </c>
      <c r="E2634" s="19">
        <f>IF($A2634="","",IF(Paramètres!J42&amp;Paramètres!L42&amp;Paramètres!N42="",Dossiers!$D$52,MAX(IF(Paramètres!J42="",0,IF(Paramètres!K42="",NA(),IF(LEFT(TRIM(Paramètres!K42),1)="F",INDEX($F$2597:$F$2649,MATCH(Paramètres!J42,Paramètres!$G$5:$G$57,0)),INDEX($E$2597:$E$2649,MATCH(Paramètres!J42,Paramètres!$G$5:$G$57,0)))+IF(RIGHT(TRIM(Paramètres!K42),3)="Fin",1-$H2634,IF(LEFT(TRIM(Paramètres!K42),1)="F",1,0)))),IF(Paramètres!L42="",0,IF(Paramètres!M42="",NA(),IF(LEFT(TRIM(Paramètres!M42),1)="F",INDEX($F$2597:$F$2649,MATCH(Paramètres!L42,Paramètres!$G$5:$G$57,0)),INDEX($E$2597:$E$2649,MATCH(Paramètres!L42,Paramètres!$G$5:$G$57,0)))+IF(RIGHT(TRIM(Paramètres!M42),3)="Fin",1-$H2634,IF(LEFT(TRIM(Paramètres!M42),1)="F",1,0)))),IF(Paramètres!N42="",0,IF(Paramètres!O42="",NA(),IF(LEFT(TRIM(Paramètres!O42),1)="F",INDEX($F$2597:$F$2649,MATCH(Paramètres!N42,Paramètres!$G$5:$G$57,0)),INDEX($E$2597:$E$2649,MATCH(Paramètres!N42,Paramètres!$G$5:$G$57,0)))+IF(RIGHT(TRIM(Paramètres!O42),3)="Fin",1-$H2634,IF(LEFT(TRIM(Paramètres!O42),1)="F",1,0)))))))</f>
        <v/>
      </c>
      <c r="F2634" s="19">
        <f>IF($A2634="","",E2634+$H2634-1)</f>
        <v/>
      </c>
      <c r="G2634" s="18" t="n"/>
      <c r="H2634" s="18">
        <f>IF($A2634="","",IF(I2634&lt;&gt;"",I2634,Paramètres!B42))</f>
        <v/>
      </c>
      <c r="I2634" s="18" t="n"/>
    </row>
    <row r="2635">
      <c r="A2635" s="18">
        <f>IF(ISNUMBER(Dossiers!$D$52),Dossiers!$A$52&amp;" · "&amp;Dossiers!$B$52,"")</f>
        <v/>
      </c>
      <c r="B2635" s="18">
        <f>IF($A2635="","",Paramètres!G43)</f>
        <v/>
      </c>
      <c r="C2635" s="18">
        <f>IF($A2635="","",IF(Paramètres!H43="","",Paramètres!H43))</f>
        <v/>
      </c>
      <c r="D2635" s="18">
        <f>IF($A2635="","",IF(Paramètres!I43="","",Paramètres!I43))</f>
        <v/>
      </c>
      <c r="E2635" s="19">
        <f>IF($A2635="","",IF(Paramètres!J43&amp;Paramètres!L43&amp;Paramètres!N43="",Dossiers!$D$52,MAX(IF(Paramètres!J43="",0,IF(Paramètres!K43="",NA(),IF(LEFT(TRIM(Paramètres!K43),1)="F",INDEX($F$2597:$F$2649,MATCH(Paramètres!J43,Paramètres!$G$5:$G$57,0)),INDEX($E$2597:$E$2649,MATCH(Paramètres!J43,Paramètres!$G$5:$G$57,0)))+IF(RIGHT(TRIM(Paramètres!K43),3)="Fin",1-$H2635,IF(LEFT(TRIM(Paramètres!K43),1)="F",1,0)))),IF(Paramètres!L43="",0,IF(Paramètres!M43="",NA(),IF(LEFT(TRIM(Paramètres!M43),1)="F",INDEX($F$2597:$F$2649,MATCH(Paramètres!L43,Paramètres!$G$5:$G$57,0)),INDEX($E$2597:$E$2649,MATCH(Paramètres!L43,Paramètres!$G$5:$G$57,0)))+IF(RIGHT(TRIM(Paramètres!M43),3)="Fin",1-$H2635,IF(LEFT(TRIM(Paramètres!M43),1)="F",1,0)))),IF(Paramètres!N43="",0,IF(Paramètres!O43="",NA(),IF(LEFT(TRIM(Paramètres!O43),1)="F",INDEX($F$2597:$F$2649,MATCH(Paramètres!N43,Paramètres!$G$5:$G$57,0)),INDEX($E$2597:$E$2649,MATCH(Paramètres!N43,Paramètres!$G$5:$G$57,0)))+IF(RIGHT(TRIM(Paramètres!O43),3)="Fin",1-$H2635,IF(LEFT(TRIM(Paramètres!O43),1)="F",1,0)))))))</f>
        <v/>
      </c>
      <c r="F2635" s="19">
        <f>IF($A2635="","",E2635+$H2635-1)</f>
        <v/>
      </c>
      <c r="G2635" s="18" t="n"/>
      <c r="H2635" s="18">
        <f>IF($A2635="","",IF(I2635&lt;&gt;"",I2635,Paramètres!B43))</f>
        <v/>
      </c>
      <c r="I2635" s="18" t="n"/>
    </row>
    <row r="2636">
      <c r="A2636" s="18">
        <f>IF(ISNUMBER(Dossiers!$D$52),Dossiers!$A$52&amp;" · "&amp;Dossiers!$B$52,"")</f>
        <v/>
      </c>
      <c r="B2636" s="18">
        <f>IF($A2636="","",Paramètres!G44)</f>
        <v/>
      </c>
      <c r="C2636" s="18">
        <f>IF($A2636="","",IF(Paramètres!H44="","",Paramètres!H44))</f>
        <v/>
      </c>
      <c r="D2636" s="18">
        <f>IF($A2636="","",IF(Paramètres!I44="","",Paramètres!I44))</f>
        <v/>
      </c>
      <c r="E2636" s="19">
        <f>IF($A2636="","",IF(Paramètres!J44&amp;Paramètres!L44&amp;Paramètres!N44="",Dossiers!$D$52,MAX(IF(Paramètres!J44="",0,IF(Paramètres!K44="",NA(),IF(LEFT(TRIM(Paramètres!K44),1)="F",INDEX($F$2597:$F$2649,MATCH(Paramètres!J44,Paramètres!$G$5:$G$57,0)),INDEX($E$2597:$E$2649,MATCH(Paramètres!J44,Paramètres!$G$5:$G$57,0)))+IF(RIGHT(TRIM(Paramètres!K44),3)="Fin",1-$H2636,IF(LEFT(TRIM(Paramètres!K44),1)="F",1,0)))),IF(Paramètres!L44="",0,IF(Paramètres!M44="",NA(),IF(LEFT(TRIM(Paramètres!M44),1)="F",INDEX($F$2597:$F$2649,MATCH(Paramètres!L44,Paramètres!$G$5:$G$57,0)),INDEX($E$2597:$E$2649,MATCH(Paramètres!L44,Paramètres!$G$5:$G$57,0)))+IF(RIGHT(TRIM(Paramètres!M44),3)="Fin",1-$H2636,IF(LEFT(TRIM(Paramètres!M44),1)="F",1,0)))),IF(Paramètres!N44="",0,IF(Paramètres!O44="",NA(),IF(LEFT(TRIM(Paramètres!O44),1)="F",INDEX($F$2597:$F$2649,MATCH(Paramètres!N44,Paramètres!$G$5:$G$57,0)),INDEX($E$2597:$E$2649,MATCH(Paramètres!N44,Paramètres!$G$5:$G$57,0)))+IF(RIGHT(TRIM(Paramètres!O44),3)="Fin",1-$H2636,IF(LEFT(TRIM(Paramètres!O44),1)="F",1,0)))))))</f>
        <v/>
      </c>
      <c r="F2636" s="19">
        <f>IF($A2636="","",E2636+$H2636-1)</f>
        <v/>
      </c>
      <c r="G2636" s="18" t="n"/>
      <c r="H2636" s="18">
        <f>IF($A2636="","",IF(I2636&lt;&gt;"",I2636,Paramètres!B44))</f>
        <v/>
      </c>
      <c r="I2636" s="18" t="n"/>
    </row>
    <row r="2637">
      <c r="A2637" s="18">
        <f>IF(ISNUMBER(Dossiers!$D$52),Dossiers!$A$52&amp;" · "&amp;Dossiers!$B$52,"")</f>
        <v/>
      </c>
      <c r="B2637" s="18">
        <f>IF($A2637="","",Paramètres!G45)</f>
        <v/>
      </c>
      <c r="C2637" s="20">
        <f>IF($A2637="","",IF(Dossiers!$G$52="","",Dossiers!$G$52))</f>
        <v/>
      </c>
      <c r="D2637" s="18">
        <f>IF($A2637="","",IF(Paramètres!I45="","",Paramètres!I45))</f>
        <v/>
      </c>
      <c r="E2637" s="19">
        <f>IF($A2637="","",IF(Paramètres!J45&amp;Paramètres!L45&amp;Paramètres!N45="",Dossiers!$D$52,MAX(IF(Paramètres!J45="",0,IF(Paramètres!K45="",NA(),IF(LEFT(TRIM(Paramètres!K45),1)="F",INDEX($F$2597:$F$2649,MATCH(Paramètres!J45,Paramètres!$G$5:$G$57,0)),INDEX($E$2597:$E$2649,MATCH(Paramètres!J45,Paramètres!$G$5:$G$57,0)))+IF(RIGHT(TRIM(Paramètres!K45),3)="Fin",1-$H2637,IF(LEFT(TRIM(Paramètres!K45),1)="F",1,0)))),IF(Paramètres!L45="",0,IF(Paramètres!M45="",NA(),IF(LEFT(TRIM(Paramètres!M45),1)="F",INDEX($F$2597:$F$2649,MATCH(Paramètres!L45,Paramètres!$G$5:$G$57,0)),INDEX($E$2597:$E$2649,MATCH(Paramètres!L45,Paramètres!$G$5:$G$57,0)))+IF(RIGHT(TRIM(Paramètres!M45),3)="Fin",1-$H2637,IF(LEFT(TRIM(Paramètres!M45),1)="F",1,0)))),IF(Paramètres!N45="",0,IF(Paramètres!O45="",NA(),IF(LEFT(TRIM(Paramètres!O45),1)="F",INDEX($F$2597:$F$2649,MATCH(Paramètres!N45,Paramètres!$G$5:$G$57,0)),INDEX($E$2597:$E$2649,MATCH(Paramètres!N45,Paramètres!$G$5:$G$57,0)))+IF(RIGHT(TRIM(Paramètres!O45),3)="Fin",1-$H2637,IF(LEFT(TRIM(Paramètres!O45),1)="F",1,0)))))))</f>
        <v/>
      </c>
      <c r="F2637" s="19">
        <f>IF($A2637="","",E2637+$H2637-1)</f>
        <v/>
      </c>
      <c r="G2637" s="18" t="n"/>
      <c r="H2637" s="18">
        <f>IF($A2637="","",IF(I2637&lt;&gt;"",I2637,Paramètres!B45))</f>
        <v/>
      </c>
      <c r="I2637" s="18" t="n"/>
    </row>
    <row r="2638">
      <c r="A2638" s="18">
        <f>IF(ISNUMBER(Dossiers!$D$52),Dossiers!$A$52&amp;" · "&amp;Dossiers!$B$52,"")</f>
        <v/>
      </c>
      <c r="B2638" s="18">
        <f>IF($A2638="","",Paramètres!G46)</f>
        <v/>
      </c>
      <c r="C2638" s="18">
        <f>IF($A2638="","",IF(Paramètres!H46="","",Paramètres!H46))</f>
        <v/>
      </c>
      <c r="D2638" s="18">
        <f>IF($A2638="","",IF(Paramètres!I46="","",Paramètres!I46))</f>
        <v/>
      </c>
      <c r="E2638" s="19">
        <f>IF($A2638="","",IF(Paramètres!J46&amp;Paramètres!L46&amp;Paramètres!N46="",Dossiers!$D$52,MAX(IF(Paramètres!J46="",0,IF(Paramètres!K46="",NA(),IF(LEFT(TRIM(Paramètres!K46),1)="F",INDEX($F$2597:$F$2649,MATCH(Paramètres!J46,Paramètres!$G$5:$G$57,0)),INDEX($E$2597:$E$2649,MATCH(Paramètres!J46,Paramètres!$G$5:$G$57,0)))+IF(RIGHT(TRIM(Paramètres!K46),3)="Fin",1-$H2638,IF(LEFT(TRIM(Paramètres!K46),1)="F",1,0)))),IF(Paramètres!L46="",0,IF(Paramètres!M46="",NA(),IF(LEFT(TRIM(Paramètres!M46),1)="F",INDEX($F$2597:$F$2649,MATCH(Paramètres!L46,Paramètres!$G$5:$G$57,0)),INDEX($E$2597:$E$2649,MATCH(Paramètres!L46,Paramètres!$G$5:$G$57,0)))+IF(RIGHT(TRIM(Paramètres!M46),3)="Fin",1-$H2638,IF(LEFT(TRIM(Paramètres!M46),1)="F",1,0)))),IF(Paramètres!N46="",0,IF(Paramètres!O46="",NA(),IF(LEFT(TRIM(Paramètres!O46),1)="F",INDEX($F$2597:$F$2649,MATCH(Paramètres!N46,Paramètres!$G$5:$G$57,0)),INDEX($E$2597:$E$2649,MATCH(Paramètres!N46,Paramètres!$G$5:$G$57,0)))+IF(RIGHT(TRIM(Paramètres!O46),3)="Fin",1-$H2638,IF(LEFT(TRIM(Paramètres!O46),1)="F",1,0)))))))</f>
        <v/>
      </c>
      <c r="F2638" s="19">
        <f>IF($A2638="","",E2638+$H2638-1)</f>
        <v/>
      </c>
      <c r="G2638" s="18" t="n"/>
      <c r="H2638" s="18">
        <f>IF($A2638="","",IF(I2638&lt;&gt;"",I2638,Paramètres!B46))</f>
        <v/>
      </c>
      <c r="I2638" s="18" t="n"/>
    </row>
    <row r="2639">
      <c r="A2639" s="18">
        <f>IF(ISNUMBER(Dossiers!$D$52),Dossiers!$A$52&amp;" · "&amp;Dossiers!$B$52,"")</f>
        <v/>
      </c>
      <c r="B2639" s="18">
        <f>IF($A2639="","",Paramètres!G47)</f>
        <v/>
      </c>
      <c r="C2639" s="18">
        <f>IF($A2639="","",IF(Paramètres!H47="","",Paramètres!H47))</f>
        <v/>
      </c>
      <c r="D2639" s="18">
        <f>IF($A2639="","",IF(Paramètres!I47="","",Paramètres!I47))</f>
        <v/>
      </c>
      <c r="E2639" s="19">
        <f>IF($A2639="","",IF(Paramètres!J47&amp;Paramètres!L47&amp;Paramètres!N47="",Dossiers!$D$52,MAX(IF(Paramètres!J47="",0,IF(Paramètres!K47="",NA(),IF(LEFT(TRIM(Paramètres!K47),1)="F",INDEX($F$2597:$F$2649,MATCH(Paramètres!J47,Paramètres!$G$5:$G$57,0)),INDEX($E$2597:$E$2649,MATCH(Paramètres!J47,Paramètres!$G$5:$G$57,0)))+IF(RIGHT(TRIM(Paramètres!K47),3)="Fin",1-$H2639,IF(LEFT(TRIM(Paramètres!K47),1)="F",1,0)))),IF(Paramètres!L47="",0,IF(Paramètres!M47="",NA(),IF(LEFT(TRIM(Paramètres!M47),1)="F",INDEX($F$2597:$F$2649,MATCH(Paramètres!L47,Paramètres!$G$5:$G$57,0)),INDEX($E$2597:$E$2649,MATCH(Paramètres!L47,Paramètres!$G$5:$G$57,0)))+IF(RIGHT(TRIM(Paramètres!M47),3)="Fin",1-$H2639,IF(LEFT(TRIM(Paramètres!M47),1)="F",1,0)))),IF(Paramètres!N47="",0,IF(Paramètres!O47="",NA(),IF(LEFT(TRIM(Paramètres!O47),1)="F",INDEX($F$2597:$F$2649,MATCH(Paramètres!N47,Paramètres!$G$5:$G$57,0)),INDEX($E$2597:$E$2649,MATCH(Paramètres!N47,Paramètres!$G$5:$G$57,0)))+IF(RIGHT(TRIM(Paramètres!O47),3)="Fin",1-$H2639,IF(LEFT(TRIM(Paramètres!O47),1)="F",1,0)))))))</f>
        <v/>
      </c>
      <c r="F2639" s="19">
        <f>IF($A2639="","",E2639+$H2639-1)</f>
        <v/>
      </c>
      <c r="G2639" s="18" t="n"/>
      <c r="H2639" s="18">
        <f>IF($A2639="","",IF(I2639&lt;&gt;"",I2639,Paramètres!B47))</f>
        <v/>
      </c>
      <c r="I2639" s="18" t="n"/>
    </row>
    <row r="2640">
      <c r="A2640" s="18">
        <f>IF(ISNUMBER(Dossiers!$D$52),Dossiers!$A$52&amp;" · "&amp;Dossiers!$B$52,"")</f>
        <v/>
      </c>
      <c r="B2640" s="18">
        <f>IF($A2640="","",Paramètres!G48)</f>
        <v/>
      </c>
      <c r="C2640" s="18">
        <f>IF($A2640="","",IF(Paramètres!H48="","",Paramètres!H48))</f>
        <v/>
      </c>
      <c r="D2640" s="18">
        <f>IF($A2640="","",IF(Paramètres!I48="","",Paramètres!I48))</f>
        <v/>
      </c>
      <c r="E2640" s="19">
        <f>IF($A2640="","",IF(Paramètres!J48&amp;Paramètres!L48&amp;Paramètres!N48="",Dossiers!$D$52,MAX(IF(Paramètres!J48="",0,IF(Paramètres!K48="",NA(),IF(LEFT(TRIM(Paramètres!K48),1)="F",INDEX($F$2597:$F$2649,MATCH(Paramètres!J48,Paramètres!$G$5:$G$57,0)),INDEX($E$2597:$E$2649,MATCH(Paramètres!J48,Paramètres!$G$5:$G$57,0)))+IF(RIGHT(TRIM(Paramètres!K48),3)="Fin",1-$H2640,IF(LEFT(TRIM(Paramètres!K48),1)="F",1,0)))),IF(Paramètres!L48="",0,IF(Paramètres!M48="",NA(),IF(LEFT(TRIM(Paramètres!M48),1)="F",INDEX($F$2597:$F$2649,MATCH(Paramètres!L48,Paramètres!$G$5:$G$57,0)),INDEX($E$2597:$E$2649,MATCH(Paramètres!L48,Paramètres!$G$5:$G$57,0)))+IF(RIGHT(TRIM(Paramètres!M48),3)="Fin",1-$H2640,IF(LEFT(TRIM(Paramètres!M48),1)="F",1,0)))),IF(Paramètres!N48="",0,IF(Paramètres!O48="",NA(),IF(LEFT(TRIM(Paramètres!O48),1)="F",INDEX($F$2597:$F$2649,MATCH(Paramètres!N48,Paramètres!$G$5:$G$57,0)),INDEX($E$2597:$E$2649,MATCH(Paramètres!N48,Paramètres!$G$5:$G$57,0)))+IF(RIGHT(TRIM(Paramètres!O48),3)="Fin",1-$H2640,IF(LEFT(TRIM(Paramètres!O48),1)="F",1,0)))))))</f>
        <v/>
      </c>
      <c r="F2640" s="19">
        <f>IF($A2640="","",E2640+$H2640-1)</f>
        <v/>
      </c>
      <c r="G2640" s="18" t="n"/>
      <c r="H2640" s="18">
        <f>IF($A2640="","",IF(I2640&lt;&gt;"",I2640,Paramètres!B48))</f>
        <v/>
      </c>
      <c r="I2640" s="18" t="n"/>
    </row>
    <row r="2641">
      <c r="A2641" s="18">
        <f>IF(ISNUMBER(Dossiers!$D$52),Dossiers!$A$52&amp;" · "&amp;Dossiers!$B$52,"")</f>
        <v/>
      </c>
      <c r="B2641" s="18">
        <f>IF($A2641="","",Paramètres!G49)</f>
        <v/>
      </c>
      <c r="C2641" s="18">
        <f>IF($A2641="","",IF(Paramètres!H49="","",Paramètres!H49))</f>
        <v/>
      </c>
      <c r="D2641" s="18">
        <f>IF($A2641="","",IF(Paramètres!I49="","",Paramètres!I49))</f>
        <v/>
      </c>
      <c r="E2641" s="19">
        <f>IF($A2641="","",IF(Paramètres!J49&amp;Paramètres!L49&amp;Paramètres!N49="",Dossiers!$D$52,MAX(IF(Paramètres!J49="",0,IF(Paramètres!K49="",NA(),IF(LEFT(TRIM(Paramètres!K49),1)="F",INDEX($F$2597:$F$2649,MATCH(Paramètres!J49,Paramètres!$G$5:$G$57,0)),INDEX($E$2597:$E$2649,MATCH(Paramètres!J49,Paramètres!$G$5:$G$57,0)))+IF(RIGHT(TRIM(Paramètres!K49),3)="Fin",1-$H2641,IF(LEFT(TRIM(Paramètres!K49),1)="F",1,0)))),IF(Paramètres!L49="",0,IF(Paramètres!M49="",NA(),IF(LEFT(TRIM(Paramètres!M49),1)="F",INDEX($F$2597:$F$2649,MATCH(Paramètres!L49,Paramètres!$G$5:$G$57,0)),INDEX($E$2597:$E$2649,MATCH(Paramètres!L49,Paramètres!$G$5:$G$57,0)))+IF(RIGHT(TRIM(Paramètres!M49),3)="Fin",1-$H2641,IF(LEFT(TRIM(Paramètres!M49),1)="F",1,0)))),IF(Paramètres!N49="",0,IF(Paramètres!O49="",NA(),IF(LEFT(TRIM(Paramètres!O49),1)="F",INDEX($F$2597:$F$2649,MATCH(Paramètres!N49,Paramètres!$G$5:$G$57,0)),INDEX($E$2597:$E$2649,MATCH(Paramètres!N49,Paramètres!$G$5:$G$57,0)))+IF(RIGHT(TRIM(Paramètres!O49),3)="Fin",1-$H2641,IF(LEFT(TRIM(Paramètres!O49),1)="F",1,0)))))))</f>
        <v/>
      </c>
      <c r="F2641" s="19">
        <f>IF($A2641="","",E2641+$H2641-1)</f>
        <v/>
      </c>
      <c r="G2641" s="18" t="n"/>
      <c r="H2641" s="18">
        <f>IF($A2641="","",IF(I2641&lt;&gt;"",I2641,Paramètres!B49))</f>
        <v/>
      </c>
      <c r="I2641" s="18" t="n"/>
    </row>
    <row r="2642">
      <c r="A2642" s="18">
        <f>IF(ISNUMBER(Dossiers!$D$52),Dossiers!$A$52&amp;" · "&amp;Dossiers!$B$52,"")</f>
        <v/>
      </c>
      <c r="B2642" s="18">
        <f>IF($A2642="","",Paramètres!G50)</f>
        <v/>
      </c>
      <c r="C2642" s="18">
        <f>IF($A2642="","",IF(Paramètres!H50="","",Paramètres!H50))</f>
        <v/>
      </c>
      <c r="D2642" s="18">
        <f>IF($A2642="","",IF(Paramètres!I50="","",Paramètres!I50))</f>
        <v/>
      </c>
      <c r="E2642" s="19">
        <f>IF($A2642="","",IF(Paramètres!J50&amp;Paramètres!L50&amp;Paramètres!N50="",Dossiers!$D$52,MAX(IF(Paramètres!J50="",0,IF(Paramètres!K50="",NA(),IF(LEFT(TRIM(Paramètres!K50),1)="F",INDEX($F$2597:$F$2649,MATCH(Paramètres!J50,Paramètres!$G$5:$G$57,0)),INDEX($E$2597:$E$2649,MATCH(Paramètres!J50,Paramètres!$G$5:$G$57,0)))+IF(RIGHT(TRIM(Paramètres!K50),3)="Fin",1-$H2642,IF(LEFT(TRIM(Paramètres!K50),1)="F",1,0)))),IF(Paramètres!L50="",0,IF(Paramètres!M50="",NA(),IF(LEFT(TRIM(Paramètres!M50),1)="F",INDEX($F$2597:$F$2649,MATCH(Paramètres!L50,Paramètres!$G$5:$G$57,0)),INDEX($E$2597:$E$2649,MATCH(Paramètres!L50,Paramètres!$G$5:$G$57,0)))+IF(RIGHT(TRIM(Paramètres!M50),3)="Fin",1-$H2642,IF(LEFT(TRIM(Paramètres!M50),1)="F",1,0)))),IF(Paramètres!N50="",0,IF(Paramètres!O50="",NA(),IF(LEFT(TRIM(Paramètres!O50),1)="F",INDEX($F$2597:$F$2649,MATCH(Paramètres!N50,Paramètres!$G$5:$G$57,0)),INDEX($E$2597:$E$2649,MATCH(Paramètres!N50,Paramètres!$G$5:$G$57,0)))+IF(RIGHT(TRIM(Paramètres!O50),3)="Fin",1-$H2642,IF(LEFT(TRIM(Paramètres!O50),1)="F",1,0)))))))</f>
        <v/>
      </c>
      <c r="F2642" s="19">
        <f>IF($A2642="","",E2642+$H2642-1)</f>
        <v/>
      </c>
      <c r="G2642" s="18" t="n"/>
      <c r="H2642" s="18">
        <f>IF($A2642="","",IF(I2642&lt;&gt;"",I2642,Paramètres!B50))</f>
        <v/>
      </c>
      <c r="I2642" s="18" t="n"/>
    </row>
    <row r="2643">
      <c r="A2643" s="18">
        <f>IF(ISNUMBER(Dossiers!$D$52),Dossiers!$A$52&amp;" · "&amp;Dossiers!$B$52,"")</f>
        <v/>
      </c>
      <c r="B2643" s="18">
        <f>IF($A2643="","",Paramètres!G51)</f>
        <v/>
      </c>
      <c r="C2643" s="18">
        <f>IF($A2643="","",IF(Paramètres!H51="","",Paramètres!H51))</f>
        <v/>
      </c>
      <c r="D2643" s="18">
        <f>IF($A2643="","",IF(Paramètres!I51="","",Paramètres!I51))</f>
        <v/>
      </c>
      <c r="E2643" s="19">
        <f>IF($A2643="","",IF(Paramètres!J51&amp;Paramètres!L51&amp;Paramètres!N51="",Dossiers!$D$52,MAX(IF(Paramètres!J51="",0,IF(Paramètres!K51="",NA(),IF(LEFT(TRIM(Paramètres!K51),1)="F",INDEX($F$2597:$F$2649,MATCH(Paramètres!J51,Paramètres!$G$5:$G$57,0)),INDEX($E$2597:$E$2649,MATCH(Paramètres!J51,Paramètres!$G$5:$G$57,0)))+IF(RIGHT(TRIM(Paramètres!K51),3)="Fin",1-$H2643,IF(LEFT(TRIM(Paramètres!K51),1)="F",1,0)))),IF(Paramètres!L51="",0,IF(Paramètres!M51="",NA(),IF(LEFT(TRIM(Paramètres!M51),1)="F",INDEX($F$2597:$F$2649,MATCH(Paramètres!L51,Paramètres!$G$5:$G$57,0)),INDEX($E$2597:$E$2649,MATCH(Paramètres!L51,Paramètres!$G$5:$G$57,0)))+IF(RIGHT(TRIM(Paramètres!M51),3)="Fin",1-$H2643,IF(LEFT(TRIM(Paramètres!M51),1)="F",1,0)))),IF(Paramètres!N51="",0,IF(Paramètres!O51="",NA(),IF(LEFT(TRIM(Paramètres!O51),1)="F",INDEX($F$2597:$F$2649,MATCH(Paramètres!N51,Paramètres!$G$5:$G$57,0)),INDEX($E$2597:$E$2649,MATCH(Paramètres!N51,Paramètres!$G$5:$G$57,0)))+IF(RIGHT(TRIM(Paramètres!O51),3)="Fin",1-$H2643,IF(LEFT(TRIM(Paramètres!O51),1)="F",1,0)))))))</f>
        <v/>
      </c>
      <c r="F2643" s="19">
        <f>IF($A2643="","",E2643+$H2643-1)</f>
        <v/>
      </c>
      <c r="G2643" s="18" t="n"/>
      <c r="H2643" s="18">
        <f>IF($A2643="","",IF(I2643&lt;&gt;"",I2643,Paramètres!B51))</f>
        <v/>
      </c>
      <c r="I2643" s="18" t="n"/>
    </row>
    <row r="2644">
      <c r="A2644" s="18">
        <f>IF(ISNUMBER(Dossiers!$D$52),Dossiers!$A$52&amp;" · "&amp;Dossiers!$B$52,"")</f>
        <v/>
      </c>
      <c r="B2644" s="18">
        <f>IF($A2644="","",Paramètres!G52)</f>
        <v/>
      </c>
      <c r="C2644" s="18">
        <f>IF($A2644="","",IF(Paramètres!H52="","",Paramètres!H52))</f>
        <v/>
      </c>
      <c r="D2644" s="18">
        <f>IF($A2644="","",IF(Paramètres!I52="","",Paramètres!I52))</f>
        <v/>
      </c>
      <c r="E2644" s="19">
        <f>IF($A2644="","",IF(Paramètres!J52&amp;Paramètres!L52&amp;Paramètres!N52="",Dossiers!$D$52,MAX(IF(Paramètres!J52="",0,IF(Paramètres!K52="",NA(),IF(LEFT(TRIM(Paramètres!K52),1)="F",INDEX($F$2597:$F$2649,MATCH(Paramètres!J52,Paramètres!$G$5:$G$57,0)),INDEX($E$2597:$E$2649,MATCH(Paramètres!J52,Paramètres!$G$5:$G$57,0)))+IF(RIGHT(TRIM(Paramètres!K52),3)="Fin",1-$H2644,IF(LEFT(TRIM(Paramètres!K52),1)="F",1,0)))),IF(Paramètres!L52="",0,IF(Paramètres!M52="",NA(),IF(LEFT(TRIM(Paramètres!M52),1)="F",INDEX($F$2597:$F$2649,MATCH(Paramètres!L52,Paramètres!$G$5:$G$57,0)),INDEX($E$2597:$E$2649,MATCH(Paramètres!L52,Paramètres!$G$5:$G$57,0)))+IF(RIGHT(TRIM(Paramètres!M52),3)="Fin",1-$H2644,IF(LEFT(TRIM(Paramètres!M52),1)="F",1,0)))),IF(Paramètres!N52="",0,IF(Paramètres!O52="",NA(),IF(LEFT(TRIM(Paramètres!O52),1)="F",INDEX($F$2597:$F$2649,MATCH(Paramètres!N52,Paramètres!$G$5:$G$57,0)),INDEX($E$2597:$E$2649,MATCH(Paramètres!N52,Paramètres!$G$5:$G$57,0)))+IF(RIGHT(TRIM(Paramètres!O52),3)="Fin",1-$H2644,IF(LEFT(TRIM(Paramètres!O52),1)="F",1,0)))))))</f>
        <v/>
      </c>
      <c r="F2644" s="19">
        <f>IF($A2644="","",E2644+$H2644-1)</f>
        <v/>
      </c>
      <c r="G2644" s="18" t="n"/>
      <c r="H2644" s="18">
        <f>IF($A2644="","",IF(I2644&lt;&gt;"",I2644,Paramètres!B52))</f>
        <v/>
      </c>
      <c r="I2644" s="18" t="n"/>
    </row>
    <row r="2645">
      <c r="A2645" s="18">
        <f>IF(ISNUMBER(Dossiers!$D$52),Dossiers!$A$52&amp;" · "&amp;Dossiers!$B$52,"")</f>
        <v/>
      </c>
      <c r="B2645" s="18">
        <f>IF($A2645="","",Paramètres!G53)</f>
        <v/>
      </c>
      <c r="C2645" s="18">
        <f>IF($A2645="","",IF(Paramètres!H53="","",Paramètres!H53))</f>
        <v/>
      </c>
      <c r="D2645" s="18">
        <f>IF($A2645="","",IF(Paramètres!I53="","",Paramètres!I53))</f>
        <v/>
      </c>
      <c r="E2645" s="19">
        <f>IF($A2645="","",IF(Paramètres!J53&amp;Paramètres!L53&amp;Paramètres!N53="",Dossiers!$D$52,MAX(IF(Paramètres!J53="",0,IF(Paramètres!K53="",NA(),IF(LEFT(TRIM(Paramètres!K53),1)="F",INDEX($F$2597:$F$2649,MATCH(Paramètres!J53,Paramètres!$G$5:$G$57,0)),INDEX($E$2597:$E$2649,MATCH(Paramètres!J53,Paramètres!$G$5:$G$57,0)))+IF(RIGHT(TRIM(Paramètres!K53),3)="Fin",1-$H2645,IF(LEFT(TRIM(Paramètres!K53),1)="F",1,0)))),IF(Paramètres!L53="",0,IF(Paramètres!M53="",NA(),IF(LEFT(TRIM(Paramètres!M53),1)="F",INDEX($F$2597:$F$2649,MATCH(Paramètres!L53,Paramètres!$G$5:$G$57,0)),INDEX($E$2597:$E$2649,MATCH(Paramètres!L53,Paramètres!$G$5:$G$57,0)))+IF(RIGHT(TRIM(Paramètres!M53),3)="Fin",1-$H2645,IF(LEFT(TRIM(Paramètres!M53),1)="F",1,0)))),IF(Paramètres!N53="",0,IF(Paramètres!O53="",NA(),IF(LEFT(TRIM(Paramètres!O53),1)="F",INDEX($F$2597:$F$2649,MATCH(Paramètres!N53,Paramètres!$G$5:$G$57,0)),INDEX($E$2597:$E$2649,MATCH(Paramètres!N53,Paramètres!$G$5:$G$57,0)))+IF(RIGHT(TRIM(Paramètres!O53),3)="Fin",1-$H2645,IF(LEFT(TRIM(Paramètres!O53),1)="F",1,0)))))))</f>
        <v/>
      </c>
      <c r="F2645" s="19">
        <f>IF($A2645="","",E2645+$H2645-1)</f>
        <v/>
      </c>
      <c r="G2645" s="18" t="n"/>
      <c r="H2645" s="18">
        <f>IF($A2645="","",IF(I2645&lt;&gt;"",I2645,Paramètres!B53))</f>
        <v/>
      </c>
      <c r="I2645" s="18" t="n"/>
    </row>
    <row r="2646">
      <c r="A2646" s="18">
        <f>IF(ISNUMBER(Dossiers!$D$52),Dossiers!$A$52&amp;" · "&amp;Dossiers!$B$52,"")</f>
        <v/>
      </c>
      <c r="B2646" s="18">
        <f>IF($A2646="","",Paramètres!G54)</f>
        <v/>
      </c>
      <c r="C2646" s="18">
        <f>IF($A2646="","",IF(Paramètres!H54="","",Paramètres!H54))</f>
        <v/>
      </c>
      <c r="D2646" s="18">
        <f>IF($A2646="","",IF(Paramètres!I54="","",Paramètres!I54))</f>
        <v/>
      </c>
      <c r="E2646" s="19">
        <f>IF($A2646="","",IF(Paramètres!J54&amp;Paramètres!L54&amp;Paramètres!N54="",Dossiers!$D$52,MAX(IF(Paramètres!J54="",0,IF(Paramètres!K54="",NA(),IF(LEFT(TRIM(Paramètres!K54),1)="F",INDEX($F$2597:$F$2649,MATCH(Paramètres!J54,Paramètres!$G$5:$G$57,0)),INDEX($E$2597:$E$2649,MATCH(Paramètres!J54,Paramètres!$G$5:$G$57,0)))+IF(RIGHT(TRIM(Paramètres!K54),3)="Fin",1-$H2646,IF(LEFT(TRIM(Paramètres!K54),1)="F",1,0)))),IF(Paramètres!L54="",0,IF(Paramètres!M54="",NA(),IF(LEFT(TRIM(Paramètres!M54),1)="F",INDEX($F$2597:$F$2649,MATCH(Paramètres!L54,Paramètres!$G$5:$G$57,0)),INDEX($E$2597:$E$2649,MATCH(Paramètres!L54,Paramètres!$G$5:$G$57,0)))+IF(RIGHT(TRIM(Paramètres!M54),3)="Fin",1-$H2646,IF(LEFT(TRIM(Paramètres!M54),1)="F",1,0)))),IF(Paramètres!N54="",0,IF(Paramètres!O54="",NA(),IF(LEFT(TRIM(Paramètres!O54),1)="F",INDEX($F$2597:$F$2649,MATCH(Paramètres!N54,Paramètres!$G$5:$G$57,0)),INDEX($E$2597:$E$2649,MATCH(Paramètres!N54,Paramètres!$G$5:$G$57,0)))+IF(RIGHT(TRIM(Paramètres!O54),3)="Fin",1-$H2646,IF(LEFT(TRIM(Paramètres!O54),1)="F",1,0)))))))</f>
        <v/>
      </c>
      <c r="F2646" s="19">
        <f>IF($A2646="","",E2646+$H2646-1)</f>
        <v/>
      </c>
      <c r="G2646" s="18" t="n"/>
      <c r="H2646" s="18">
        <f>IF($A2646="","",IF(I2646&lt;&gt;"",I2646,Paramètres!B54))</f>
        <v/>
      </c>
      <c r="I2646" s="18" t="n"/>
    </row>
    <row r="2647">
      <c r="A2647" s="18">
        <f>IF(ISNUMBER(Dossiers!$D$52),Dossiers!$A$52&amp;" · "&amp;Dossiers!$B$52,"")</f>
        <v/>
      </c>
      <c r="B2647" s="18">
        <f>IF($A2647="","",Paramètres!G55)</f>
        <v/>
      </c>
      <c r="C2647" s="18">
        <f>IF($A2647="","",IF(Paramètres!H55="","",Paramètres!H55))</f>
        <v/>
      </c>
      <c r="D2647" s="18">
        <f>IF($A2647="","",IF(Paramètres!I55="","",Paramètres!I55))</f>
        <v/>
      </c>
      <c r="E2647" s="19">
        <f>IF($A2647="","",IF(Paramètres!J55&amp;Paramètres!L55&amp;Paramètres!N55="",Dossiers!$D$52,MAX(IF(Paramètres!J55="",0,IF(Paramètres!K55="",NA(),IF(LEFT(TRIM(Paramètres!K55),1)="F",INDEX($F$2597:$F$2649,MATCH(Paramètres!J55,Paramètres!$G$5:$G$57,0)),INDEX($E$2597:$E$2649,MATCH(Paramètres!J55,Paramètres!$G$5:$G$57,0)))+IF(RIGHT(TRIM(Paramètres!K55),3)="Fin",1-$H2647,IF(LEFT(TRIM(Paramètres!K55),1)="F",1,0)))),IF(Paramètres!L55="",0,IF(Paramètres!M55="",NA(),IF(LEFT(TRIM(Paramètres!M55),1)="F",INDEX($F$2597:$F$2649,MATCH(Paramètres!L55,Paramètres!$G$5:$G$57,0)),INDEX($E$2597:$E$2649,MATCH(Paramètres!L55,Paramètres!$G$5:$G$57,0)))+IF(RIGHT(TRIM(Paramètres!M55),3)="Fin",1-$H2647,IF(LEFT(TRIM(Paramètres!M55),1)="F",1,0)))),IF(Paramètres!N55="",0,IF(Paramètres!O55="",NA(),IF(LEFT(TRIM(Paramètres!O55),1)="F",INDEX($F$2597:$F$2649,MATCH(Paramètres!N55,Paramètres!$G$5:$G$57,0)),INDEX($E$2597:$E$2649,MATCH(Paramètres!N55,Paramètres!$G$5:$G$57,0)))+IF(RIGHT(TRIM(Paramètres!O55),3)="Fin",1-$H2647,IF(LEFT(TRIM(Paramètres!O55),1)="F",1,0)))))))</f>
        <v/>
      </c>
      <c r="F2647" s="19">
        <f>IF($A2647="","",E2647+$H2647-1)</f>
        <v/>
      </c>
      <c r="G2647" s="18" t="n"/>
      <c r="H2647" s="18">
        <f>IF($A2647="","",IF(I2647&lt;&gt;"",I2647,Paramètres!B55))</f>
        <v/>
      </c>
      <c r="I2647" s="18" t="n"/>
    </row>
    <row r="2648">
      <c r="A2648" s="18">
        <f>IF(ISNUMBER(Dossiers!$D$52),Dossiers!$A$52&amp;" · "&amp;Dossiers!$B$52,"")</f>
        <v/>
      </c>
      <c r="B2648" s="18">
        <f>IF($A2648="","",Paramètres!G56)</f>
        <v/>
      </c>
      <c r="C2648" s="18">
        <f>IF($A2648="","",IF(Paramètres!H56="","",Paramètres!H56))</f>
        <v/>
      </c>
      <c r="D2648" s="18">
        <f>IF($A2648="","",IF(Paramètres!I56="","",Paramètres!I56))</f>
        <v/>
      </c>
      <c r="E2648" s="19">
        <f>IF($A2648="","",MIN(E2649:E2649))</f>
        <v/>
      </c>
      <c r="F2648" s="19">
        <f>IF($A2648="","",MAX(F2649:F2649))</f>
        <v/>
      </c>
      <c r="G2648" s="18" t="n"/>
      <c r="H2648" s="18">
        <f>IF($A2648="","",F2648-E2648+1)</f>
        <v/>
      </c>
      <c r="I2648" s="18" t="n"/>
    </row>
    <row r="2649">
      <c r="A2649" s="18">
        <f>IF(ISNUMBER(Dossiers!$D$52),Dossiers!$A$52&amp;" · "&amp;Dossiers!$B$52,"")</f>
        <v/>
      </c>
      <c r="B2649" s="18">
        <f>IF($A2649="","",Paramètres!G57)</f>
        <v/>
      </c>
      <c r="C2649" s="18">
        <f>IF($A2649="","",IF(Paramètres!H57="","",Paramètres!H57))</f>
        <v/>
      </c>
      <c r="D2649" s="18">
        <f>IF($A2649="","",IF(Paramètres!I57="","",Paramètres!I57))</f>
        <v/>
      </c>
      <c r="E2649" s="19">
        <f>IF($A2649="","",IF(Paramètres!J57&amp;Paramètres!L57&amp;Paramètres!N57="",Dossiers!$D$52,MAX(IF(Paramètres!J57="",0,IF(Paramètres!K57="",NA(),IF(LEFT(TRIM(Paramètres!K57),1)="F",INDEX($F$2597:$F$2649,MATCH(Paramètres!J57,Paramètres!$G$5:$G$57,0)),INDEX($E$2597:$E$2649,MATCH(Paramètres!J57,Paramètres!$G$5:$G$57,0)))+IF(RIGHT(TRIM(Paramètres!K57),3)="Fin",1-$H2649,IF(LEFT(TRIM(Paramètres!K57),1)="F",1,0)))),IF(Paramètres!L57="",0,IF(Paramètres!M57="",NA(),IF(LEFT(TRIM(Paramètres!M57),1)="F",INDEX($F$2597:$F$2649,MATCH(Paramètres!L57,Paramètres!$G$5:$G$57,0)),INDEX($E$2597:$E$2649,MATCH(Paramètres!L57,Paramètres!$G$5:$G$57,0)))+IF(RIGHT(TRIM(Paramètres!M57),3)="Fin",1-$H2649,IF(LEFT(TRIM(Paramètres!M57),1)="F",1,0)))),IF(Paramètres!N57="",0,IF(Paramètres!O57="",NA(),IF(LEFT(TRIM(Paramètres!O57),1)="F",INDEX($F$2597:$F$2649,MATCH(Paramètres!N57,Paramètres!$G$5:$G$57,0)),INDEX($E$2597:$E$2649,MATCH(Paramètres!N57,Paramètres!$G$5:$G$57,0)))+IF(RIGHT(TRIM(Paramètres!O57),3)="Fin",1-$H2649,IF(LEFT(TRIM(Paramètres!O57),1)="F",1,0)))))))</f>
        <v/>
      </c>
      <c r="F2649" s="19">
        <f>IF($A2649="","",E2649+$H2649-1)</f>
        <v/>
      </c>
      <c r="G2649" s="18" t="n"/>
      <c r="H2649" s="18">
        <f>IF($A2649="","",IF(I2649&lt;&gt;"",I2649,Paramètres!B57))</f>
        <v/>
      </c>
      <c r="I2649" s="18" t="n"/>
    </row>
    <row r="2650">
      <c r="A2650" s="16">
        <f>IF(ISNUMBER(Dossiers!$D$53),Dossiers!$E$53,"")</f>
        <v/>
      </c>
      <c r="B2650" s="16">
        <f>IF($A2650="","","Identifiant")</f>
        <v/>
      </c>
      <c r="C2650" s="16">
        <f>IF($A2650="","","Macro Etape")</f>
        <v/>
      </c>
      <c r="D2650" s="16">
        <f>IF($A2650="","","Etape")</f>
        <v/>
      </c>
      <c r="E2650" s="17">
        <f>IF($A2650="","","Début le")</f>
        <v/>
      </c>
      <c r="F2650" s="17">
        <f>IF($A2650="","","Fin prévue le")</f>
        <v/>
      </c>
      <c r="G2650" s="16">
        <f>IF($A2650="","","Statut")</f>
        <v/>
      </c>
      <c r="H2650" s="16">
        <f>IF($A2650="","","Durée (jours)")</f>
        <v/>
      </c>
      <c r="I2650" s="16">
        <f>IF($A2650="","","Durée particulière")</f>
        <v/>
      </c>
      <c r="J2650" s="10">
        <f>IF($A2650="","",HYPERLINK("#'Tableau de bord'!A1","↑ Tableau de bord"))</f>
        <v/>
      </c>
    </row>
    <row r="2651">
      <c r="A2651" s="18">
        <f>IF(ISNUMBER(Dossiers!$D$53),Dossiers!$A$53&amp;" · "&amp;Dossiers!$B$53,"")</f>
        <v/>
      </c>
      <c r="B2651" s="18">
        <f>IF($A2651="","",Paramètres!G5)</f>
        <v/>
      </c>
      <c r="C2651" s="18">
        <f>IF($A2651="","",IF(Paramètres!H5="","",Paramètres!H5))</f>
        <v/>
      </c>
      <c r="D2651" s="18">
        <f>IF($A2651="","",IF(Paramètres!I5="","",Paramètres!I5))</f>
        <v/>
      </c>
      <c r="E2651" s="19">
        <f>IF($A2651="","",MIN(E2652:E2655))</f>
        <v/>
      </c>
      <c r="F2651" s="19">
        <f>IF($A2651="","",MAX(F2652:F2655))</f>
        <v/>
      </c>
      <c r="G2651" s="18" t="n"/>
      <c r="H2651" s="18">
        <f>IF($A2651="","",F2651-E2651+1)</f>
        <v/>
      </c>
      <c r="I2651" s="18" t="n"/>
    </row>
    <row r="2652">
      <c r="A2652" s="18">
        <f>IF(ISNUMBER(Dossiers!$D$53),Dossiers!$A$53&amp;" · "&amp;Dossiers!$B$53,"")</f>
        <v/>
      </c>
      <c r="B2652" s="18">
        <f>IF($A2652="","",Paramètres!G6)</f>
        <v/>
      </c>
      <c r="C2652" s="18">
        <f>IF($A2652="","",IF(Paramètres!H6="","",Paramètres!H6))</f>
        <v/>
      </c>
      <c r="D2652" s="18">
        <f>IF($A2652="","",IF(Paramètres!I6="","",Paramètres!I6))</f>
        <v/>
      </c>
      <c r="E2652" s="19">
        <f>IF($A2652="","",IF(Paramètres!J6&amp;Paramètres!L6&amp;Paramètres!N6="",Dossiers!$D$53,MAX(IF(Paramètres!J6="",0,IF(Paramètres!K6="",NA(),IF(LEFT(TRIM(Paramètres!K6),1)="F",INDEX($F$2651:$F$2703,MATCH(Paramètres!J6,Paramètres!$G$5:$G$57,0)),INDEX($E$2651:$E$2703,MATCH(Paramètres!J6,Paramètres!$G$5:$G$57,0)))+IF(RIGHT(TRIM(Paramètres!K6),3)="Fin",1-$H2652,IF(LEFT(TRIM(Paramètres!K6),1)="F",1,0)))),IF(Paramètres!L6="",0,IF(Paramètres!M6="",NA(),IF(LEFT(TRIM(Paramètres!M6),1)="F",INDEX($F$2651:$F$2703,MATCH(Paramètres!L6,Paramètres!$G$5:$G$57,0)),INDEX($E$2651:$E$2703,MATCH(Paramètres!L6,Paramètres!$G$5:$G$57,0)))+IF(RIGHT(TRIM(Paramètres!M6),3)="Fin",1-$H2652,IF(LEFT(TRIM(Paramètres!M6),1)="F",1,0)))),IF(Paramètres!N6="",0,IF(Paramètres!O6="",NA(),IF(LEFT(TRIM(Paramètres!O6),1)="F",INDEX($F$2651:$F$2703,MATCH(Paramètres!N6,Paramètres!$G$5:$G$57,0)),INDEX($E$2651:$E$2703,MATCH(Paramètres!N6,Paramètres!$G$5:$G$57,0)))+IF(RIGHT(TRIM(Paramètres!O6),3)="Fin",1-$H2652,IF(LEFT(TRIM(Paramètres!O6),1)="F",1,0)))))))</f>
        <v/>
      </c>
      <c r="F2652" s="19">
        <f>IF($A2652="","",E2652+$H2652-1)</f>
        <v/>
      </c>
      <c r="G2652" s="18" t="n"/>
      <c r="H2652" s="18">
        <f>IF($A2652="","",IF(I2652&lt;&gt;"",I2652,Paramètres!B6))</f>
        <v/>
      </c>
      <c r="I2652" s="18" t="n"/>
    </row>
    <row r="2653">
      <c r="A2653" s="18">
        <f>IF(ISNUMBER(Dossiers!$D$53),Dossiers!$A$53&amp;" · "&amp;Dossiers!$B$53,"")</f>
        <v/>
      </c>
      <c r="B2653" s="18">
        <f>IF($A2653="","",Paramètres!G7)</f>
        <v/>
      </c>
      <c r="C2653" s="18">
        <f>IF($A2653="","",IF(Paramètres!H7="","",Paramètres!H7))</f>
        <v/>
      </c>
      <c r="D2653" s="18">
        <f>IF($A2653="","",IF(Paramètres!I7="","",Paramètres!I7))</f>
        <v/>
      </c>
      <c r="E2653" s="19">
        <f>IF($A2653="","",IF(Paramètres!J7&amp;Paramètres!L7&amp;Paramètres!N7="",Dossiers!$D$53,MAX(IF(Paramètres!J7="",0,IF(Paramètres!K7="",NA(),IF(LEFT(TRIM(Paramètres!K7),1)="F",INDEX($F$2651:$F$2703,MATCH(Paramètres!J7,Paramètres!$G$5:$G$57,0)),INDEX($E$2651:$E$2703,MATCH(Paramètres!J7,Paramètres!$G$5:$G$57,0)))+IF(RIGHT(TRIM(Paramètres!K7),3)="Fin",1-$H2653,IF(LEFT(TRIM(Paramètres!K7),1)="F",1,0)))),IF(Paramètres!L7="",0,IF(Paramètres!M7="",NA(),IF(LEFT(TRIM(Paramètres!M7),1)="F",INDEX($F$2651:$F$2703,MATCH(Paramètres!L7,Paramètres!$G$5:$G$57,0)),INDEX($E$2651:$E$2703,MATCH(Paramètres!L7,Paramètres!$G$5:$G$57,0)))+IF(RIGHT(TRIM(Paramètres!M7),3)="Fin",1-$H2653,IF(LEFT(TRIM(Paramètres!M7),1)="F",1,0)))),IF(Paramètres!N7="",0,IF(Paramètres!O7="",NA(),IF(LEFT(TRIM(Paramètres!O7),1)="F",INDEX($F$2651:$F$2703,MATCH(Paramètres!N7,Paramètres!$G$5:$G$57,0)),INDEX($E$2651:$E$2703,MATCH(Paramètres!N7,Paramètres!$G$5:$G$57,0)))+IF(RIGHT(TRIM(Paramètres!O7),3)="Fin",1-$H2653,IF(LEFT(TRIM(Paramètres!O7),1)="F",1,0)))))))</f>
        <v/>
      </c>
      <c r="F2653" s="19">
        <f>IF($A2653="","",E2653+$H2653-1)</f>
        <v/>
      </c>
      <c r="G2653" s="18" t="n"/>
      <c r="H2653" s="18">
        <f>IF($A2653="","",IF(I2653&lt;&gt;"",I2653,Paramètres!B7))</f>
        <v/>
      </c>
      <c r="I2653" s="18" t="n"/>
    </row>
    <row r="2654">
      <c r="A2654" s="18">
        <f>IF(ISNUMBER(Dossiers!$D$53),Dossiers!$A$53&amp;" · "&amp;Dossiers!$B$53,"")</f>
        <v/>
      </c>
      <c r="B2654" s="18">
        <f>IF($A2654="","",Paramètres!G8)</f>
        <v/>
      </c>
      <c r="C2654" s="18">
        <f>IF($A2654="","",IF(Paramètres!H8="","",Paramètres!H8))</f>
        <v/>
      </c>
      <c r="D2654" s="18">
        <f>IF($A2654="","",IF(Paramètres!I8="","",Paramètres!I8))</f>
        <v/>
      </c>
      <c r="E2654" s="19">
        <f>IF($A2654="","",IF(Paramètres!J8&amp;Paramètres!L8&amp;Paramètres!N8="",Dossiers!$D$53,MAX(IF(Paramètres!J8="",0,IF(Paramètres!K8="",NA(),IF(LEFT(TRIM(Paramètres!K8),1)="F",INDEX($F$2651:$F$2703,MATCH(Paramètres!J8,Paramètres!$G$5:$G$57,0)),INDEX($E$2651:$E$2703,MATCH(Paramètres!J8,Paramètres!$G$5:$G$57,0)))+IF(RIGHT(TRIM(Paramètres!K8),3)="Fin",1-$H2654,IF(LEFT(TRIM(Paramètres!K8),1)="F",1,0)))),IF(Paramètres!L8="",0,IF(Paramètres!M8="",NA(),IF(LEFT(TRIM(Paramètres!M8),1)="F",INDEX($F$2651:$F$2703,MATCH(Paramètres!L8,Paramètres!$G$5:$G$57,0)),INDEX($E$2651:$E$2703,MATCH(Paramètres!L8,Paramètres!$G$5:$G$57,0)))+IF(RIGHT(TRIM(Paramètres!M8),3)="Fin",1-$H2654,IF(LEFT(TRIM(Paramètres!M8),1)="F",1,0)))),IF(Paramètres!N8="",0,IF(Paramètres!O8="",NA(),IF(LEFT(TRIM(Paramètres!O8),1)="F",INDEX($F$2651:$F$2703,MATCH(Paramètres!N8,Paramètres!$G$5:$G$57,0)),INDEX($E$2651:$E$2703,MATCH(Paramètres!N8,Paramètres!$G$5:$G$57,0)))+IF(RIGHT(TRIM(Paramètres!O8),3)="Fin",1-$H2654,IF(LEFT(TRIM(Paramètres!O8),1)="F",1,0)))))))</f>
        <v/>
      </c>
      <c r="F2654" s="19">
        <f>IF($A2654="","",E2654+$H2654-1)</f>
        <v/>
      </c>
      <c r="G2654" s="18" t="n"/>
      <c r="H2654" s="18">
        <f>IF($A2654="","",IF(I2654&lt;&gt;"",I2654,Paramètres!B8))</f>
        <v/>
      </c>
      <c r="I2654" s="18" t="n"/>
    </row>
    <row r="2655">
      <c r="A2655" s="18">
        <f>IF(ISNUMBER(Dossiers!$D$53),Dossiers!$A$53&amp;" · "&amp;Dossiers!$B$53,"")</f>
        <v/>
      </c>
      <c r="B2655" s="18">
        <f>IF($A2655="","",Paramètres!G9)</f>
        <v/>
      </c>
      <c r="C2655" s="18">
        <f>IF($A2655="","",IF(Paramètres!H9="","",Paramètres!H9))</f>
        <v/>
      </c>
      <c r="D2655" s="18">
        <f>IF($A2655="","",IF(Paramètres!I9="","",Paramètres!I9))</f>
        <v/>
      </c>
      <c r="E2655" s="19">
        <f>IF($A2655="","",IF(Paramètres!J9&amp;Paramètres!L9&amp;Paramètres!N9="",Dossiers!$D$53,MAX(IF(Paramètres!J9="",0,IF(Paramètres!K9="",NA(),IF(LEFT(TRIM(Paramètres!K9),1)="F",INDEX($F$2651:$F$2703,MATCH(Paramètres!J9,Paramètres!$G$5:$G$57,0)),INDEX($E$2651:$E$2703,MATCH(Paramètres!J9,Paramètres!$G$5:$G$57,0)))+IF(RIGHT(TRIM(Paramètres!K9),3)="Fin",1-$H2655,IF(LEFT(TRIM(Paramètres!K9),1)="F",1,0)))),IF(Paramètres!L9="",0,IF(Paramètres!M9="",NA(),IF(LEFT(TRIM(Paramètres!M9),1)="F",INDEX($F$2651:$F$2703,MATCH(Paramètres!L9,Paramètres!$G$5:$G$57,0)),INDEX($E$2651:$E$2703,MATCH(Paramètres!L9,Paramètres!$G$5:$G$57,0)))+IF(RIGHT(TRIM(Paramètres!M9),3)="Fin",1-$H2655,IF(LEFT(TRIM(Paramètres!M9),1)="F",1,0)))),IF(Paramètres!N9="",0,IF(Paramètres!O9="",NA(),IF(LEFT(TRIM(Paramètres!O9),1)="F",INDEX($F$2651:$F$2703,MATCH(Paramètres!N9,Paramètres!$G$5:$G$57,0)),INDEX($E$2651:$E$2703,MATCH(Paramètres!N9,Paramètres!$G$5:$G$57,0)))+IF(RIGHT(TRIM(Paramètres!O9),3)="Fin",1-$H2655,IF(LEFT(TRIM(Paramètres!O9),1)="F",1,0)))))))</f>
        <v/>
      </c>
      <c r="F2655" s="19">
        <f>IF($A2655="","",E2655+$H2655-1)</f>
        <v/>
      </c>
      <c r="G2655" s="18" t="n"/>
      <c r="H2655" s="18">
        <f>IF($A2655="","",IF(I2655&lt;&gt;"",I2655,Paramètres!B9))</f>
        <v/>
      </c>
      <c r="I2655" s="18" t="n"/>
    </row>
    <row r="2656">
      <c r="A2656" s="18">
        <f>IF(ISNUMBER(Dossiers!$D$53),Dossiers!$A$53&amp;" · "&amp;Dossiers!$B$53,"")</f>
        <v/>
      </c>
      <c r="B2656" s="18">
        <f>IF($A2656="","",Paramètres!G10)</f>
        <v/>
      </c>
      <c r="C2656" s="18">
        <f>IF($A2656="","",IF(Paramètres!H10="","",Paramètres!H10))</f>
        <v/>
      </c>
      <c r="D2656" s="18">
        <f>IF($A2656="","",IF(Paramètres!I10="","",Paramètres!I10))</f>
        <v/>
      </c>
      <c r="E2656" s="19">
        <f>IF($A2656="","",MIN(E2657:E2660))</f>
        <v/>
      </c>
      <c r="F2656" s="19">
        <f>IF($A2656="","",MAX(F2657:F2660))</f>
        <v/>
      </c>
      <c r="G2656" s="18" t="n"/>
      <c r="H2656" s="18">
        <f>IF($A2656="","",F2656-E2656+1)</f>
        <v/>
      </c>
      <c r="I2656" s="18" t="n"/>
    </row>
    <row r="2657">
      <c r="A2657" s="18">
        <f>IF(ISNUMBER(Dossiers!$D$53),Dossiers!$A$53&amp;" · "&amp;Dossiers!$B$53,"")</f>
        <v/>
      </c>
      <c r="B2657" s="18">
        <f>IF($A2657="","",Paramètres!G11)</f>
        <v/>
      </c>
      <c r="C2657" s="18">
        <f>IF($A2657="","",IF(Paramètres!H11="","",Paramètres!H11))</f>
        <v/>
      </c>
      <c r="D2657" s="18">
        <f>IF($A2657="","",IF(Paramètres!I11="","",Paramètres!I11))</f>
        <v/>
      </c>
      <c r="E2657" s="19">
        <f>IF($A2657="","",IF(Paramètres!J11&amp;Paramètres!L11&amp;Paramètres!N11="",Dossiers!$D$53,MAX(IF(Paramètres!J11="",0,IF(Paramètres!K11="",NA(),IF(LEFT(TRIM(Paramètres!K11),1)="F",INDEX($F$2651:$F$2703,MATCH(Paramètres!J11,Paramètres!$G$5:$G$57,0)),INDEX($E$2651:$E$2703,MATCH(Paramètres!J11,Paramètres!$G$5:$G$57,0)))+IF(RIGHT(TRIM(Paramètres!K11),3)="Fin",1-$H2657,IF(LEFT(TRIM(Paramètres!K11),1)="F",1,0)))),IF(Paramètres!L11="",0,IF(Paramètres!M11="",NA(),IF(LEFT(TRIM(Paramètres!M11),1)="F",INDEX($F$2651:$F$2703,MATCH(Paramètres!L11,Paramètres!$G$5:$G$57,0)),INDEX($E$2651:$E$2703,MATCH(Paramètres!L11,Paramètres!$G$5:$G$57,0)))+IF(RIGHT(TRIM(Paramètres!M11),3)="Fin",1-$H2657,IF(LEFT(TRIM(Paramètres!M11),1)="F",1,0)))),IF(Paramètres!N11="",0,IF(Paramètres!O11="",NA(),IF(LEFT(TRIM(Paramètres!O11),1)="F",INDEX($F$2651:$F$2703,MATCH(Paramètres!N11,Paramètres!$G$5:$G$57,0)),INDEX($E$2651:$E$2703,MATCH(Paramètres!N11,Paramètres!$G$5:$G$57,0)))+IF(RIGHT(TRIM(Paramètres!O11),3)="Fin",1-$H2657,IF(LEFT(TRIM(Paramètres!O11),1)="F",1,0)))))))</f>
        <v/>
      </c>
      <c r="F2657" s="19">
        <f>IF($A2657="","",E2657+$H2657-1)</f>
        <v/>
      </c>
      <c r="G2657" s="18" t="n"/>
      <c r="H2657" s="18">
        <f>IF($A2657="","",IF(I2657&lt;&gt;"",I2657,Paramètres!B11))</f>
        <v/>
      </c>
      <c r="I2657" s="18" t="n"/>
    </row>
    <row r="2658">
      <c r="A2658" s="18">
        <f>IF(ISNUMBER(Dossiers!$D$53),Dossiers!$A$53&amp;" · "&amp;Dossiers!$B$53,"")</f>
        <v/>
      </c>
      <c r="B2658" s="18">
        <f>IF($A2658="","",Paramètres!G12)</f>
        <v/>
      </c>
      <c r="C2658" s="18">
        <f>IF($A2658="","",IF(Paramètres!H12="","",Paramètres!H12))</f>
        <v/>
      </c>
      <c r="D2658" s="18">
        <f>IF($A2658="","",IF(Paramètres!I12="","",Paramètres!I12))</f>
        <v/>
      </c>
      <c r="E2658" s="19">
        <f>IF($A2658="","",IF(Paramètres!J12&amp;Paramètres!L12&amp;Paramètres!N12="",Dossiers!$D$53,MAX(IF(Paramètres!J12="",0,IF(Paramètres!K12="",NA(),IF(LEFT(TRIM(Paramètres!K12),1)="F",INDEX($F$2651:$F$2703,MATCH(Paramètres!J12,Paramètres!$G$5:$G$57,0)),INDEX($E$2651:$E$2703,MATCH(Paramètres!J12,Paramètres!$G$5:$G$57,0)))+IF(RIGHT(TRIM(Paramètres!K12),3)="Fin",1-$H2658,IF(LEFT(TRIM(Paramètres!K12),1)="F",1,0)))),IF(Paramètres!L12="",0,IF(Paramètres!M12="",NA(),IF(LEFT(TRIM(Paramètres!M12),1)="F",INDEX($F$2651:$F$2703,MATCH(Paramètres!L12,Paramètres!$G$5:$G$57,0)),INDEX($E$2651:$E$2703,MATCH(Paramètres!L12,Paramètres!$G$5:$G$57,0)))+IF(RIGHT(TRIM(Paramètres!M12),3)="Fin",1-$H2658,IF(LEFT(TRIM(Paramètres!M12),1)="F",1,0)))),IF(Paramètres!N12="",0,IF(Paramètres!O12="",NA(),IF(LEFT(TRIM(Paramètres!O12),1)="F",INDEX($F$2651:$F$2703,MATCH(Paramètres!N12,Paramètres!$G$5:$G$57,0)),INDEX($E$2651:$E$2703,MATCH(Paramètres!N12,Paramètres!$G$5:$G$57,0)))+IF(RIGHT(TRIM(Paramètres!O12),3)="Fin",1-$H2658,IF(LEFT(TRIM(Paramètres!O12),1)="F",1,0)))))))</f>
        <v/>
      </c>
      <c r="F2658" s="19">
        <f>IF($A2658="","",E2658+$H2658-1)</f>
        <v/>
      </c>
      <c r="G2658" s="18" t="n"/>
      <c r="H2658" s="18">
        <f>IF($A2658="","",IF(I2658&lt;&gt;"",I2658,Paramètres!B12))</f>
        <v/>
      </c>
      <c r="I2658" s="18" t="n"/>
    </row>
    <row r="2659">
      <c r="A2659" s="18">
        <f>IF(ISNUMBER(Dossiers!$D$53),Dossiers!$A$53&amp;" · "&amp;Dossiers!$B$53,"")</f>
        <v/>
      </c>
      <c r="B2659" s="18">
        <f>IF($A2659="","",Paramètres!G13)</f>
        <v/>
      </c>
      <c r="C2659" s="18">
        <f>IF($A2659="","",IF(Paramètres!H13="","",Paramètres!H13))</f>
        <v/>
      </c>
      <c r="D2659" s="18">
        <f>IF($A2659="","",IF(Paramètres!I13="","",Paramètres!I13))</f>
        <v/>
      </c>
      <c r="E2659" s="19">
        <f>IF($A2659="","",IF(Paramètres!J13&amp;Paramètres!L13&amp;Paramètres!N13="",Dossiers!$D$53,MAX(IF(Paramètres!J13="",0,IF(Paramètres!K13="",NA(),IF(LEFT(TRIM(Paramètres!K13),1)="F",INDEX($F$2651:$F$2703,MATCH(Paramètres!J13,Paramètres!$G$5:$G$57,0)),INDEX($E$2651:$E$2703,MATCH(Paramètres!J13,Paramètres!$G$5:$G$57,0)))+IF(RIGHT(TRIM(Paramètres!K13),3)="Fin",1-$H2659,IF(LEFT(TRIM(Paramètres!K13),1)="F",1,0)))),IF(Paramètres!L13="",0,IF(Paramètres!M13="",NA(),IF(LEFT(TRIM(Paramètres!M13),1)="F",INDEX($F$2651:$F$2703,MATCH(Paramètres!L13,Paramètres!$G$5:$G$57,0)),INDEX($E$2651:$E$2703,MATCH(Paramètres!L13,Paramètres!$G$5:$G$57,0)))+IF(RIGHT(TRIM(Paramètres!M13),3)="Fin",1-$H2659,IF(LEFT(TRIM(Paramètres!M13),1)="F",1,0)))),IF(Paramètres!N13="",0,IF(Paramètres!O13="",NA(),IF(LEFT(TRIM(Paramètres!O13),1)="F",INDEX($F$2651:$F$2703,MATCH(Paramètres!N13,Paramètres!$G$5:$G$57,0)),INDEX($E$2651:$E$2703,MATCH(Paramètres!N13,Paramètres!$G$5:$G$57,0)))+IF(RIGHT(TRIM(Paramètres!O13),3)="Fin",1-$H2659,IF(LEFT(TRIM(Paramètres!O13),1)="F",1,0)))))))</f>
        <v/>
      </c>
      <c r="F2659" s="19">
        <f>IF($A2659="","",E2659+$H2659-1)</f>
        <v/>
      </c>
      <c r="G2659" s="18" t="n"/>
      <c r="H2659" s="18">
        <f>IF($A2659="","",IF(I2659&lt;&gt;"",I2659,Paramètres!B13))</f>
        <v/>
      </c>
      <c r="I2659" s="18" t="n"/>
    </row>
    <row r="2660">
      <c r="A2660" s="18">
        <f>IF(ISNUMBER(Dossiers!$D$53),Dossiers!$A$53&amp;" · "&amp;Dossiers!$B$53,"")</f>
        <v/>
      </c>
      <c r="B2660" s="18">
        <f>IF($A2660="","",Paramètres!G14)</f>
        <v/>
      </c>
      <c r="C2660" s="18">
        <f>IF($A2660="","",IF(Paramètres!H14="","",Paramètres!H14))</f>
        <v/>
      </c>
      <c r="D2660" s="18">
        <f>IF($A2660="","",IF(Paramètres!I14="","",Paramètres!I14))</f>
        <v/>
      </c>
      <c r="E2660" s="19">
        <f>IF($A2660="","",IF(Paramètres!J14&amp;Paramètres!L14&amp;Paramètres!N14="",Dossiers!$D$53,MAX(IF(Paramètres!J14="",0,IF(Paramètres!K14="",NA(),IF(LEFT(TRIM(Paramètres!K14),1)="F",INDEX($F$2651:$F$2703,MATCH(Paramètres!J14,Paramètres!$G$5:$G$57,0)),INDEX($E$2651:$E$2703,MATCH(Paramètres!J14,Paramètres!$G$5:$G$57,0)))+IF(RIGHT(TRIM(Paramètres!K14),3)="Fin",1-$H2660,IF(LEFT(TRIM(Paramètres!K14),1)="F",1,0)))),IF(Paramètres!L14="",0,IF(Paramètres!M14="",NA(),IF(LEFT(TRIM(Paramètres!M14),1)="F",INDEX($F$2651:$F$2703,MATCH(Paramètres!L14,Paramètres!$G$5:$G$57,0)),INDEX($E$2651:$E$2703,MATCH(Paramètres!L14,Paramètres!$G$5:$G$57,0)))+IF(RIGHT(TRIM(Paramètres!M14),3)="Fin",1-$H2660,IF(LEFT(TRIM(Paramètres!M14),1)="F",1,0)))),IF(Paramètres!N14="",0,IF(Paramètres!O14="",NA(),IF(LEFT(TRIM(Paramètres!O14),1)="F",INDEX($F$2651:$F$2703,MATCH(Paramètres!N14,Paramètres!$G$5:$G$57,0)),INDEX($E$2651:$E$2703,MATCH(Paramètres!N14,Paramètres!$G$5:$G$57,0)))+IF(RIGHT(TRIM(Paramètres!O14),3)="Fin",1-$H2660,IF(LEFT(TRIM(Paramètres!O14),1)="F",1,0)))))))</f>
        <v/>
      </c>
      <c r="F2660" s="19">
        <f>IF($A2660="","",E2660+$H2660-1)</f>
        <v/>
      </c>
      <c r="G2660" s="18" t="n"/>
      <c r="H2660" s="18">
        <f>IF($A2660="","",IF(I2660&lt;&gt;"",I2660,Paramètres!B14))</f>
        <v/>
      </c>
      <c r="I2660" s="18" t="n"/>
    </row>
    <row r="2661">
      <c r="A2661" s="18">
        <f>IF(ISNUMBER(Dossiers!$D$53),Dossiers!$A$53&amp;" · "&amp;Dossiers!$B$53,"")</f>
        <v/>
      </c>
      <c r="B2661" s="18">
        <f>IF($A2661="","",Paramètres!G15)</f>
        <v/>
      </c>
      <c r="C2661" s="18">
        <f>IF($A2661="","",IF(Paramètres!H15="","",Paramètres!H15))</f>
        <v/>
      </c>
      <c r="D2661" s="18">
        <f>IF($A2661="","",IF(Paramètres!I15="","",Paramètres!I15))</f>
        <v/>
      </c>
      <c r="E2661" s="19">
        <f>IF($A2661="","",MIN(E2662:E2677))</f>
        <v/>
      </c>
      <c r="F2661" s="19">
        <f>IF($A2661="","",MAX(F2662:F2677))</f>
        <v/>
      </c>
      <c r="G2661" s="18" t="n"/>
      <c r="H2661" s="18">
        <f>IF($A2661="","",F2661-E2661+1)</f>
        <v/>
      </c>
      <c r="I2661" s="18" t="n"/>
    </row>
    <row r="2662">
      <c r="A2662" s="18">
        <f>IF(ISNUMBER(Dossiers!$D$53),Dossiers!$A$53&amp;" · "&amp;Dossiers!$B$53,"")</f>
        <v/>
      </c>
      <c r="B2662" s="18">
        <f>IF($A2662="","",Paramètres!G16)</f>
        <v/>
      </c>
      <c r="C2662" s="18">
        <f>IF($A2662="","",IF(Paramètres!H16="","",Paramètres!H16))</f>
        <v/>
      </c>
      <c r="D2662" s="18">
        <f>IF($A2662="","",IF(Paramètres!I16="","",Paramètres!I16))</f>
        <v/>
      </c>
      <c r="E2662" s="19">
        <f>IF($A2662="","",IF(Paramètres!J16&amp;Paramètres!L16&amp;Paramètres!N16="",Dossiers!$D$53,MAX(IF(Paramètres!J16="",0,IF(Paramètres!K16="",NA(),IF(LEFT(TRIM(Paramètres!K16),1)="F",INDEX($F$2651:$F$2703,MATCH(Paramètres!J16,Paramètres!$G$5:$G$57,0)),INDEX($E$2651:$E$2703,MATCH(Paramètres!J16,Paramètres!$G$5:$G$57,0)))+IF(RIGHT(TRIM(Paramètres!K16),3)="Fin",1-$H2662,IF(LEFT(TRIM(Paramètres!K16),1)="F",1,0)))),IF(Paramètres!L16="",0,IF(Paramètres!M16="",NA(),IF(LEFT(TRIM(Paramètres!M16),1)="F",INDEX($F$2651:$F$2703,MATCH(Paramètres!L16,Paramètres!$G$5:$G$57,0)),INDEX($E$2651:$E$2703,MATCH(Paramètres!L16,Paramètres!$G$5:$G$57,0)))+IF(RIGHT(TRIM(Paramètres!M16),3)="Fin",1-$H2662,IF(LEFT(TRIM(Paramètres!M16),1)="F",1,0)))),IF(Paramètres!N16="",0,IF(Paramètres!O16="",NA(),IF(LEFT(TRIM(Paramètres!O16),1)="F",INDEX($F$2651:$F$2703,MATCH(Paramètres!N16,Paramètres!$G$5:$G$57,0)),INDEX($E$2651:$E$2703,MATCH(Paramètres!N16,Paramètres!$G$5:$G$57,0)))+IF(RIGHT(TRIM(Paramètres!O16),3)="Fin",1-$H2662,IF(LEFT(TRIM(Paramètres!O16),1)="F",1,0)))))))</f>
        <v/>
      </c>
      <c r="F2662" s="19">
        <f>IF($A2662="","",E2662+$H2662-1)</f>
        <v/>
      </c>
      <c r="G2662" s="18" t="n"/>
      <c r="H2662" s="18">
        <f>IF($A2662="","",IF(I2662&lt;&gt;"",I2662,Paramètres!B16))</f>
        <v/>
      </c>
      <c r="I2662" s="18" t="n"/>
    </row>
    <row r="2663">
      <c r="A2663" s="18">
        <f>IF(ISNUMBER(Dossiers!$D$53),Dossiers!$A$53&amp;" · "&amp;Dossiers!$B$53,"")</f>
        <v/>
      </c>
      <c r="B2663" s="18">
        <f>IF($A2663="","",Paramètres!G17)</f>
        <v/>
      </c>
      <c r="C2663" s="18">
        <f>IF($A2663="","",IF(Paramètres!H17="","",Paramètres!H17))</f>
        <v/>
      </c>
      <c r="D2663" s="18">
        <f>IF($A2663="","",IF(Paramètres!I17="","",Paramètres!I17))</f>
        <v/>
      </c>
      <c r="E2663" s="19">
        <f>IF($A2663="","",IF(Paramètres!J17&amp;Paramètres!L17&amp;Paramètres!N17="",Dossiers!$D$53,MAX(IF(Paramètres!J17="",0,IF(Paramètres!K17="",NA(),IF(LEFT(TRIM(Paramètres!K17),1)="F",INDEX($F$2651:$F$2703,MATCH(Paramètres!J17,Paramètres!$G$5:$G$57,0)),INDEX($E$2651:$E$2703,MATCH(Paramètres!J17,Paramètres!$G$5:$G$57,0)))+IF(RIGHT(TRIM(Paramètres!K17),3)="Fin",1-$H2663,IF(LEFT(TRIM(Paramètres!K17),1)="F",1,0)))),IF(Paramètres!L17="",0,IF(Paramètres!M17="",NA(),IF(LEFT(TRIM(Paramètres!M17),1)="F",INDEX($F$2651:$F$2703,MATCH(Paramètres!L17,Paramètres!$G$5:$G$57,0)),INDEX($E$2651:$E$2703,MATCH(Paramètres!L17,Paramètres!$G$5:$G$57,0)))+IF(RIGHT(TRIM(Paramètres!M17),3)="Fin",1-$H2663,IF(LEFT(TRIM(Paramètres!M17),1)="F",1,0)))),IF(Paramètres!N17="",0,IF(Paramètres!O17="",NA(),IF(LEFT(TRIM(Paramètres!O17),1)="F",INDEX($F$2651:$F$2703,MATCH(Paramètres!N17,Paramètres!$G$5:$G$57,0)),INDEX($E$2651:$E$2703,MATCH(Paramètres!N17,Paramètres!$G$5:$G$57,0)))+IF(RIGHT(TRIM(Paramètres!O17),3)="Fin",1-$H2663,IF(LEFT(TRIM(Paramètres!O17),1)="F",1,0)))))))</f>
        <v/>
      </c>
      <c r="F2663" s="19">
        <f>IF($A2663="","",E2663+$H2663-1)</f>
        <v/>
      </c>
      <c r="G2663" s="18" t="n"/>
      <c r="H2663" s="18">
        <f>IF($A2663="","",IF(I2663&lt;&gt;"",I2663,Paramètres!B17))</f>
        <v/>
      </c>
      <c r="I2663" s="18" t="n"/>
    </row>
    <row r="2664">
      <c r="A2664" s="18">
        <f>IF(ISNUMBER(Dossiers!$D$53),Dossiers!$A$53&amp;" · "&amp;Dossiers!$B$53,"")</f>
        <v/>
      </c>
      <c r="B2664" s="18">
        <f>IF($A2664="","",Paramètres!G18)</f>
        <v/>
      </c>
      <c r="C2664" s="18">
        <f>IF($A2664="","",IF(Paramètres!H18="","",Paramètres!H18))</f>
        <v/>
      </c>
      <c r="D2664" s="18">
        <f>IF($A2664="","",IF(Paramètres!I18="","",Paramètres!I18))</f>
        <v/>
      </c>
      <c r="E2664" s="19">
        <f>IF($A2664="","",IF(Paramètres!J18&amp;Paramètres!L18&amp;Paramètres!N18="",Dossiers!$D$53,MAX(IF(Paramètres!J18="",0,IF(Paramètres!K18="",NA(),IF(LEFT(TRIM(Paramètres!K18),1)="F",INDEX($F$2651:$F$2703,MATCH(Paramètres!J18,Paramètres!$G$5:$G$57,0)),INDEX($E$2651:$E$2703,MATCH(Paramètres!J18,Paramètres!$G$5:$G$57,0)))+IF(RIGHT(TRIM(Paramètres!K18),3)="Fin",1-$H2664,IF(LEFT(TRIM(Paramètres!K18),1)="F",1,0)))),IF(Paramètres!L18="",0,IF(Paramètres!M18="",NA(),IF(LEFT(TRIM(Paramètres!M18),1)="F",INDEX($F$2651:$F$2703,MATCH(Paramètres!L18,Paramètres!$G$5:$G$57,0)),INDEX($E$2651:$E$2703,MATCH(Paramètres!L18,Paramètres!$G$5:$G$57,0)))+IF(RIGHT(TRIM(Paramètres!M18),3)="Fin",1-$H2664,IF(LEFT(TRIM(Paramètres!M18),1)="F",1,0)))),IF(Paramètres!N18="",0,IF(Paramètres!O18="",NA(),IF(LEFT(TRIM(Paramètres!O18),1)="F",INDEX($F$2651:$F$2703,MATCH(Paramètres!N18,Paramètres!$G$5:$G$57,0)),INDEX($E$2651:$E$2703,MATCH(Paramètres!N18,Paramètres!$G$5:$G$57,0)))+IF(RIGHT(TRIM(Paramètres!O18),3)="Fin",1-$H2664,IF(LEFT(TRIM(Paramètres!O18),1)="F",1,0)))))))</f>
        <v/>
      </c>
      <c r="F2664" s="19">
        <f>IF($A2664="","",E2664+$H2664-1)</f>
        <v/>
      </c>
      <c r="G2664" s="18" t="n"/>
      <c r="H2664" s="18">
        <f>IF($A2664="","",IF(I2664&lt;&gt;"",I2664,Paramètres!B18))</f>
        <v/>
      </c>
      <c r="I2664" s="18" t="n"/>
    </row>
    <row r="2665">
      <c r="A2665" s="18">
        <f>IF(ISNUMBER(Dossiers!$D$53),Dossiers!$A$53&amp;" · "&amp;Dossiers!$B$53,"")</f>
        <v/>
      </c>
      <c r="B2665" s="18">
        <f>IF($A2665="","",Paramètres!G19)</f>
        <v/>
      </c>
      <c r="C2665" s="18">
        <f>IF($A2665="","",IF(Paramètres!H19="","",Paramètres!H19))</f>
        <v/>
      </c>
      <c r="D2665" s="18">
        <f>IF($A2665="","",IF(Paramètres!I19="","",Paramètres!I19))</f>
        <v/>
      </c>
      <c r="E2665" s="19">
        <f>IF($A2665="","",IF(Paramètres!J19&amp;Paramètres!L19&amp;Paramètres!N19="",Dossiers!$D$53,MAX(IF(Paramètres!J19="",0,IF(Paramètres!K19="",NA(),IF(LEFT(TRIM(Paramètres!K19),1)="F",INDEX($F$2651:$F$2703,MATCH(Paramètres!J19,Paramètres!$G$5:$G$57,0)),INDEX($E$2651:$E$2703,MATCH(Paramètres!J19,Paramètres!$G$5:$G$57,0)))+IF(RIGHT(TRIM(Paramètres!K19),3)="Fin",1-$H2665,IF(LEFT(TRIM(Paramètres!K19),1)="F",1,0)))),IF(Paramètres!L19="",0,IF(Paramètres!M19="",NA(),IF(LEFT(TRIM(Paramètres!M19),1)="F",INDEX($F$2651:$F$2703,MATCH(Paramètres!L19,Paramètres!$G$5:$G$57,0)),INDEX($E$2651:$E$2703,MATCH(Paramètres!L19,Paramètres!$G$5:$G$57,0)))+IF(RIGHT(TRIM(Paramètres!M19),3)="Fin",1-$H2665,IF(LEFT(TRIM(Paramètres!M19),1)="F",1,0)))),IF(Paramètres!N19="",0,IF(Paramètres!O19="",NA(),IF(LEFT(TRIM(Paramètres!O19),1)="F",INDEX($F$2651:$F$2703,MATCH(Paramètres!N19,Paramètres!$G$5:$G$57,0)),INDEX($E$2651:$E$2703,MATCH(Paramètres!N19,Paramètres!$G$5:$G$57,0)))+IF(RIGHT(TRIM(Paramètres!O19),3)="Fin",1-$H2665,IF(LEFT(TRIM(Paramètres!O19),1)="F",1,0)))))))</f>
        <v/>
      </c>
      <c r="F2665" s="19">
        <f>IF($A2665="","",E2665+$H2665-1)</f>
        <v/>
      </c>
      <c r="G2665" s="18" t="n"/>
      <c r="H2665" s="18">
        <f>IF($A2665="","",IF(I2665&lt;&gt;"",I2665,Paramètres!B19))</f>
        <v/>
      </c>
      <c r="I2665" s="18" t="n"/>
    </row>
    <row r="2666">
      <c r="A2666" s="18">
        <f>IF(ISNUMBER(Dossiers!$D$53),Dossiers!$A$53&amp;" · "&amp;Dossiers!$B$53,"")</f>
        <v/>
      </c>
      <c r="B2666" s="18">
        <f>IF($A2666="","",Paramètres!G20)</f>
        <v/>
      </c>
      <c r="C2666" s="18">
        <f>IF($A2666="","",IF(Paramètres!H20="","",Paramètres!H20))</f>
        <v/>
      </c>
      <c r="D2666" s="18">
        <f>IF($A2666="","",IF(Paramètres!I20="","",Paramètres!I20))</f>
        <v/>
      </c>
      <c r="E2666" s="19">
        <f>IF($A2666="","",IF(Paramètres!J20&amp;Paramètres!L20&amp;Paramètres!N20="",Dossiers!$D$53,MAX(IF(Paramètres!J20="",0,IF(Paramètres!K20="",NA(),IF(LEFT(TRIM(Paramètres!K20),1)="F",INDEX($F$2651:$F$2703,MATCH(Paramètres!J20,Paramètres!$G$5:$G$57,0)),INDEX($E$2651:$E$2703,MATCH(Paramètres!J20,Paramètres!$G$5:$G$57,0)))+IF(RIGHT(TRIM(Paramètres!K20),3)="Fin",1-$H2666,IF(LEFT(TRIM(Paramètres!K20),1)="F",1,0)))),IF(Paramètres!L20="",0,IF(Paramètres!M20="",NA(),IF(LEFT(TRIM(Paramètres!M20),1)="F",INDEX($F$2651:$F$2703,MATCH(Paramètres!L20,Paramètres!$G$5:$G$57,0)),INDEX($E$2651:$E$2703,MATCH(Paramètres!L20,Paramètres!$G$5:$G$57,0)))+IF(RIGHT(TRIM(Paramètres!M20),3)="Fin",1-$H2666,IF(LEFT(TRIM(Paramètres!M20),1)="F",1,0)))),IF(Paramètres!N20="",0,IF(Paramètres!O20="",NA(),IF(LEFT(TRIM(Paramètres!O20),1)="F",INDEX($F$2651:$F$2703,MATCH(Paramètres!N20,Paramètres!$G$5:$G$57,0)),INDEX($E$2651:$E$2703,MATCH(Paramètres!N20,Paramètres!$G$5:$G$57,0)))+IF(RIGHT(TRIM(Paramètres!O20),3)="Fin",1-$H2666,IF(LEFT(TRIM(Paramètres!O20),1)="F",1,0)))))))</f>
        <v/>
      </c>
      <c r="F2666" s="19">
        <f>IF($A2666="","",E2666+$H2666-1)</f>
        <v/>
      </c>
      <c r="G2666" s="18" t="n"/>
      <c r="H2666" s="18">
        <f>IF($A2666="","",IF(I2666&lt;&gt;"",I2666,Paramètres!B20))</f>
        <v/>
      </c>
      <c r="I2666" s="18" t="n"/>
    </row>
    <row r="2667">
      <c r="A2667" s="18">
        <f>IF(ISNUMBER(Dossiers!$D$53),Dossiers!$A$53&amp;" · "&amp;Dossiers!$B$53,"")</f>
        <v/>
      </c>
      <c r="B2667" s="18">
        <f>IF($A2667="","",Paramètres!G21)</f>
        <v/>
      </c>
      <c r="C2667" s="18">
        <f>IF($A2667="","",IF(Paramètres!H21="","",Paramètres!H21))</f>
        <v/>
      </c>
      <c r="D2667" s="18">
        <f>IF($A2667="","",IF(Paramètres!I21="","",Paramètres!I21))</f>
        <v/>
      </c>
      <c r="E2667" s="19">
        <f>IF($A2667="","",IF(Paramètres!J21&amp;Paramètres!L21&amp;Paramètres!N21="",Dossiers!$D$53,MAX(IF(Paramètres!J21="",0,IF(Paramètres!K21="",NA(),IF(LEFT(TRIM(Paramètres!K21),1)="F",INDEX($F$2651:$F$2703,MATCH(Paramètres!J21,Paramètres!$G$5:$G$57,0)),INDEX($E$2651:$E$2703,MATCH(Paramètres!J21,Paramètres!$G$5:$G$57,0)))+IF(RIGHT(TRIM(Paramètres!K21),3)="Fin",1-$H2667,IF(LEFT(TRIM(Paramètres!K21),1)="F",1,0)))),IF(Paramètres!L21="",0,IF(Paramètres!M21="",NA(),IF(LEFT(TRIM(Paramètres!M21),1)="F",INDEX($F$2651:$F$2703,MATCH(Paramètres!L21,Paramètres!$G$5:$G$57,0)),INDEX($E$2651:$E$2703,MATCH(Paramètres!L21,Paramètres!$G$5:$G$57,0)))+IF(RIGHT(TRIM(Paramètres!M21),3)="Fin",1-$H2667,IF(LEFT(TRIM(Paramètres!M21),1)="F",1,0)))),IF(Paramètres!N21="",0,IF(Paramètres!O21="",NA(),IF(LEFT(TRIM(Paramètres!O21),1)="F",INDEX($F$2651:$F$2703,MATCH(Paramètres!N21,Paramètres!$G$5:$G$57,0)),INDEX($E$2651:$E$2703,MATCH(Paramètres!N21,Paramètres!$G$5:$G$57,0)))+IF(RIGHT(TRIM(Paramètres!O21),3)="Fin",1-$H2667,IF(LEFT(TRIM(Paramètres!O21),1)="F",1,0)))))))</f>
        <v/>
      </c>
      <c r="F2667" s="19">
        <f>IF($A2667="","",E2667+$H2667-1)</f>
        <v/>
      </c>
      <c r="G2667" s="18" t="n"/>
      <c r="H2667" s="18">
        <f>IF($A2667="","",IF(I2667&lt;&gt;"",I2667,Paramètres!B21))</f>
        <v/>
      </c>
      <c r="I2667" s="18" t="n"/>
    </row>
    <row r="2668">
      <c r="A2668" s="18">
        <f>IF(ISNUMBER(Dossiers!$D$53),Dossiers!$A$53&amp;" · "&amp;Dossiers!$B$53,"")</f>
        <v/>
      </c>
      <c r="B2668" s="18">
        <f>IF($A2668="","",Paramètres!G22)</f>
        <v/>
      </c>
      <c r="C2668" s="18">
        <f>IF($A2668="","",IF(Paramètres!H22="","",Paramètres!H22))</f>
        <v/>
      </c>
      <c r="D2668" s="18">
        <f>IF($A2668="","",IF(Paramètres!I22="","",Paramètres!I22))</f>
        <v/>
      </c>
      <c r="E2668" s="19">
        <f>IF($A2668="","",IF(Paramètres!J22&amp;Paramètres!L22&amp;Paramètres!N22="",Dossiers!$D$53,MAX(IF(Paramètres!J22="",0,IF(Paramètres!K22="",NA(),IF(LEFT(TRIM(Paramètres!K22),1)="F",INDEX($F$2651:$F$2703,MATCH(Paramètres!J22,Paramètres!$G$5:$G$57,0)),INDEX($E$2651:$E$2703,MATCH(Paramètres!J22,Paramètres!$G$5:$G$57,0)))+IF(RIGHT(TRIM(Paramètres!K22),3)="Fin",1-$H2668,IF(LEFT(TRIM(Paramètres!K22),1)="F",1,0)))),IF(Paramètres!L22="",0,IF(Paramètres!M22="",NA(),IF(LEFT(TRIM(Paramètres!M22),1)="F",INDEX($F$2651:$F$2703,MATCH(Paramètres!L22,Paramètres!$G$5:$G$57,0)),INDEX($E$2651:$E$2703,MATCH(Paramètres!L22,Paramètres!$G$5:$G$57,0)))+IF(RIGHT(TRIM(Paramètres!M22),3)="Fin",1-$H2668,IF(LEFT(TRIM(Paramètres!M22),1)="F",1,0)))),IF(Paramètres!N22="",0,IF(Paramètres!O22="",NA(),IF(LEFT(TRIM(Paramètres!O22),1)="F",INDEX($F$2651:$F$2703,MATCH(Paramètres!N22,Paramètres!$G$5:$G$57,0)),INDEX($E$2651:$E$2703,MATCH(Paramètres!N22,Paramètres!$G$5:$G$57,0)))+IF(RIGHT(TRIM(Paramètres!O22),3)="Fin",1-$H2668,IF(LEFT(TRIM(Paramètres!O22),1)="F",1,0)))))))</f>
        <v/>
      </c>
      <c r="F2668" s="19">
        <f>IF($A2668="","",E2668+$H2668-1)</f>
        <v/>
      </c>
      <c r="G2668" s="18" t="n"/>
      <c r="H2668" s="18">
        <f>IF($A2668="","",IF(I2668&lt;&gt;"",I2668,Paramètres!B22))</f>
        <v/>
      </c>
      <c r="I2668" s="18" t="n"/>
    </row>
    <row r="2669">
      <c r="A2669" s="18">
        <f>IF(ISNUMBER(Dossiers!$D$53),Dossiers!$A$53&amp;" · "&amp;Dossiers!$B$53,"")</f>
        <v/>
      </c>
      <c r="B2669" s="18">
        <f>IF($A2669="","",Paramètres!G23)</f>
        <v/>
      </c>
      <c r="C2669" s="18">
        <f>IF($A2669="","",IF(Paramètres!H23="","",Paramètres!H23))</f>
        <v/>
      </c>
      <c r="D2669" s="18">
        <f>IF($A2669="","",IF(Paramètres!I23="","",Paramètres!I23))</f>
        <v/>
      </c>
      <c r="E2669" s="19">
        <f>IF($A2669="","",IF(Paramètres!J23&amp;Paramètres!L23&amp;Paramètres!N23="",Dossiers!$D$53,MAX(IF(Paramètres!J23="",0,IF(Paramètres!K23="",NA(),IF(LEFT(TRIM(Paramètres!K23),1)="F",INDEX($F$2651:$F$2703,MATCH(Paramètres!J23,Paramètres!$G$5:$G$57,0)),INDEX($E$2651:$E$2703,MATCH(Paramètres!J23,Paramètres!$G$5:$G$57,0)))+IF(RIGHT(TRIM(Paramètres!K23),3)="Fin",1-$H2669,IF(LEFT(TRIM(Paramètres!K23),1)="F",1,0)))),IF(Paramètres!L23="",0,IF(Paramètres!M23="",NA(),IF(LEFT(TRIM(Paramètres!M23),1)="F",INDEX($F$2651:$F$2703,MATCH(Paramètres!L23,Paramètres!$G$5:$G$57,0)),INDEX($E$2651:$E$2703,MATCH(Paramètres!L23,Paramètres!$G$5:$G$57,0)))+IF(RIGHT(TRIM(Paramètres!M23),3)="Fin",1-$H2669,IF(LEFT(TRIM(Paramètres!M23),1)="F",1,0)))),IF(Paramètres!N23="",0,IF(Paramètres!O23="",NA(),IF(LEFT(TRIM(Paramètres!O23),1)="F",INDEX($F$2651:$F$2703,MATCH(Paramètres!N23,Paramètres!$G$5:$G$57,0)),INDEX($E$2651:$E$2703,MATCH(Paramètres!N23,Paramètres!$G$5:$G$57,0)))+IF(RIGHT(TRIM(Paramètres!O23),3)="Fin",1-$H2669,IF(LEFT(TRIM(Paramètres!O23),1)="F",1,0)))))))</f>
        <v/>
      </c>
      <c r="F2669" s="19">
        <f>IF($A2669="","",E2669+$H2669-1)</f>
        <v/>
      </c>
      <c r="G2669" s="18" t="n"/>
      <c r="H2669" s="18">
        <f>IF($A2669="","",IF(I2669&lt;&gt;"",I2669,Paramètres!B23))</f>
        <v/>
      </c>
      <c r="I2669" s="18" t="n"/>
    </row>
    <row r="2670">
      <c r="A2670" s="18">
        <f>IF(ISNUMBER(Dossiers!$D$53),Dossiers!$A$53&amp;" · "&amp;Dossiers!$B$53,"")</f>
        <v/>
      </c>
      <c r="B2670" s="18">
        <f>IF($A2670="","",Paramètres!G24)</f>
        <v/>
      </c>
      <c r="C2670" s="18">
        <f>IF($A2670="","",IF(Paramètres!H24="","",Paramètres!H24))</f>
        <v/>
      </c>
      <c r="D2670" s="18">
        <f>IF($A2670="","",IF(Paramètres!I24="","",Paramètres!I24))</f>
        <v/>
      </c>
      <c r="E2670" s="19">
        <f>IF($A2670="","",IF(Paramètres!J24&amp;Paramètres!L24&amp;Paramètres!N24="",Dossiers!$D$53,MAX(IF(Paramètres!J24="",0,IF(Paramètres!K24="",NA(),IF(LEFT(TRIM(Paramètres!K24),1)="F",INDEX($F$2651:$F$2703,MATCH(Paramètres!J24,Paramètres!$G$5:$G$57,0)),INDEX($E$2651:$E$2703,MATCH(Paramètres!J24,Paramètres!$G$5:$G$57,0)))+IF(RIGHT(TRIM(Paramètres!K24),3)="Fin",1-$H2670,IF(LEFT(TRIM(Paramètres!K24),1)="F",1,0)))),IF(Paramètres!L24="",0,IF(Paramètres!M24="",NA(),IF(LEFT(TRIM(Paramètres!M24),1)="F",INDEX($F$2651:$F$2703,MATCH(Paramètres!L24,Paramètres!$G$5:$G$57,0)),INDEX($E$2651:$E$2703,MATCH(Paramètres!L24,Paramètres!$G$5:$G$57,0)))+IF(RIGHT(TRIM(Paramètres!M24),3)="Fin",1-$H2670,IF(LEFT(TRIM(Paramètres!M24),1)="F",1,0)))),IF(Paramètres!N24="",0,IF(Paramètres!O24="",NA(),IF(LEFT(TRIM(Paramètres!O24),1)="F",INDEX($F$2651:$F$2703,MATCH(Paramètres!N24,Paramètres!$G$5:$G$57,0)),INDEX($E$2651:$E$2703,MATCH(Paramètres!N24,Paramètres!$G$5:$G$57,0)))+IF(RIGHT(TRIM(Paramètres!O24),3)="Fin",1-$H2670,IF(LEFT(TRIM(Paramètres!O24),1)="F",1,0)))))))</f>
        <v/>
      </c>
      <c r="F2670" s="19">
        <f>IF($A2670="","",E2670+$H2670-1)</f>
        <v/>
      </c>
      <c r="G2670" s="18" t="n"/>
      <c r="H2670" s="18">
        <f>IF($A2670="","",IF(I2670&lt;&gt;"",I2670,Paramètres!B24))</f>
        <v/>
      </c>
      <c r="I2670" s="18" t="n"/>
    </row>
    <row r="2671">
      <c r="A2671" s="18">
        <f>IF(ISNUMBER(Dossiers!$D$53),Dossiers!$A$53&amp;" · "&amp;Dossiers!$B$53,"")</f>
        <v/>
      </c>
      <c r="B2671" s="18">
        <f>IF($A2671="","",Paramètres!G25)</f>
        <v/>
      </c>
      <c r="C2671" s="18">
        <f>IF($A2671="","",IF(Paramètres!H25="","",Paramètres!H25))</f>
        <v/>
      </c>
      <c r="D2671" s="18">
        <f>IF($A2671="","",IF(Paramètres!I25="","",Paramètres!I25))</f>
        <v/>
      </c>
      <c r="E2671" s="19">
        <f>IF($A2671="","",IF(Paramètres!J25&amp;Paramètres!L25&amp;Paramètres!N25="",Dossiers!$D$53,MAX(IF(Paramètres!J25="",0,IF(Paramètres!K25="",NA(),IF(LEFT(TRIM(Paramètres!K25),1)="F",INDEX($F$2651:$F$2703,MATCH(Paramètres!J25,Paramètres!$G$5:$G$57,0)),INDEX($E$2651:$E$2703,MATCH(Paramètres!J25,Paramètres!$G$5:$G$57,0)))+IF(RIGHT(TRIM(Paramètres!K25),3)="Fin",1-$H2671,IF(LEFT(TRIM(Paramètres!K25),1)="F",1,0)))),IF(Paramètres!L25="",0,IF(Paramètres!M25="",NA(),IF(LEFT(TRIM(Paramètres!M25),1)="F",INDEX($F$2651:$F$2703,MATCH(Paramètres!L25,Paramètres!$G$5:$G$57,0)),INDEX($E$2651:$E$2703,MATCH(Paramètres!L25,Paramètres!$G$5:$G$57,0)))+IF(RIGHT(TRIM(Paramètres!M25),3)="Fin",1-$H2671,IF(LEFT(TRIM(Paramètres!M25),1)="F",1,0)))),IF(Paramètres!N25="",0,IF(Paramètres!O25="",NA(),IF(LEFT(TRIM(Paramètres!O25),1)="F",INDEX($F$2651:$F$2703,MATCH(Paramètres!N25,Paramètres!$G$5:$G$57,0)),INDEX($E$2651:$E$2703,MATCH(Paramètres!N25,Paramètres!$G$5:$G$57,0)))+IF(RIGHT(TRIM(Paramètres!O25),3)="Fin",1-$H2671,IF(LEFT(TRIM(Paramètres!O25),1)="F",1,0)))))))</f>
        <v/>
      </c>
      <c r="F2671" s="19">
        <f>IF($A2671="","",E2671+$H2671-1)</f>
        <v/>
      </c>
      <c r="G2671" s="18" t="n"/>
      <c r="H2671" s="18">
        <f>IF($A2671="","",IF(I2671&lt;&gt;"",I2671,Paramètres!B25))</f>
        <v/>
      </c>
      <c r="I2671" s="18" t="n"/>
    </row>
    <row r="2672">
      <c r="A2672" s="18">
        <f>IF(ISNUMBER(Dossiers!$D$53),Dossiers!$A$53&amp;" · "&amp;Dossiers!$B$53,"")</f>
        <v/>
      </c>
      <c r="B2672" s="18">
        <f>IF($A2672="","",Paramètres!G26)</f>
        <v/>
      </c>
      <c r="C2672" s="18">
        <f>IF($A2672="","",IF(Paramètres!H26="","",Paramètres!H26))</f>
        <v/>
      </c>
      <c r="D2672" s="18">
        <f>IF($A2672="","",IF(Paramètres!I26="","",Paramètres!I26))</f>
        <v/>
      </c>
      <c r="E2672" s="19">
        <f>IF($A2672="","",IF(Paramètres!J26&amp;Paramètres!L26&amp;Paramètres!N26="",Dossiers!$D$53,MAX(IF(Paramètres!J26="",0,IF(Paramètres!K26="",NA(),IF(LEFT(TRIM(Paramètres!K26),1)="F",INDEX($F$2651:$F$2703,MATCH(Paramètres!J26,Paramètres!$G$5:$G$57,0)),INDEX($E$2651:$E$2703,MATCH(Paramètres!J26,Paramètres!$G$5:$G$57,0)))+IF(RIGHT(TRIM(Paramètres!K26),3)="Fin",1-$H2672,IF(LEFT(TRIM(Paramètres!K26),1)="F",1,0)))),IF(Paramètres!L26="",0,IF(Paramètres!M26="",NA(),IF(LEFT(TRIM(Paramètres!M26),1)="F",INDEX($F$2651:$F$2703,MATCH(Paramètres!L26,Paramètres!$G$5:$G$57,0)),INDEX($E$2651:$E$2703,MATCH(Paramètres!L26,Paramètres!$G$5:$G$57,0)))+IF(RIGHT(TRIM(Paramètres!M26),3)="Fin",1-$H2672,IF(LEFT(TRIM(Paramètres!M26),1)="F",1,0)))),IF(Paramètres!N26="",0,IF(Paramètres!O26="",NA(),IF(LEFT(TRIM(Paramètres!O26),1)="F",INDEX($F$2651:$F$2703,MATCH(Paramètres!N26,Paramètres!$G$5:$G$57,0)),INDEX($E$2651:$E$2703,MATCH(Paramètres!N26,Paramètres!$G$5:$G$57,0)))+IF(RIGHT(TRIM(Paramètres!O26),3)="Fin",1-$H2672,IF(LEFT(TRIM(Paramètres!O26),1)="F",1,0)))))))</f>
        <v/>
      </c>
      <c r="F2672" s="19">
        <f>IF($A2672="","",E2672+$H2672-1)</f>
        <v/>
      </c>
      <c r="G2672" s="18" t="n"/>
      <c r="H2672" s="18">
        <f>IF($A2672="","",IF(I2672&lt;&gt;"",I2672,Paramètres!B26))</f>
        <v/>
      </c>
      <c r="I2672" s="18" t="n"/>
    </row>
    <row r="2673">
      <c r="A2673" s="18">
        <f>IF(ISNUMBER(Dossiers!$D$53),Dossiers!$A$53&amp;" · "&amp;Dossiers!$B$53,"")</f>
        <v/>
      </c>
      <c r="B2673" s="18">
        <f>IF($A2673="","",Paramètres!G27)</f>
        <v/>
      </c>
      <c r="C2673" s="18">
        <f>IF($A2673="","",IF(Paramètres!H27="","",Paramètres!H27))</f>
        <v/>
      </c>
      <c r="D2673" s="18">
        <f>IF($A2673="","",IF(Paramètres!I27="","",Paramètres!I27))</f>
        <v/>
      </c>
      <c r="E2673" s="19">
        <f>IF($A2673="","",IF(Paramètres!J27&amp;Paramètres!L27&amp;Paramètres!N27="",Dossiers!$D$53,MAX(IF(Paramètres!J27="",0,IF(Paramètres!K27="",NA(),IF(LEFT(TRIM(Paramètres!K27),1)="F",INDEX($F$2651:$F$2703,MATCH(Paramètres!J27,Paramètres!$G$5:$G$57,0)),INDEX($E$2651:$E$2703,MATCH(Paramètres!J27,Paramètres!$G$5:$G$57,0)))+IF(RIGHT(TRIM(Paramètres!K27),3)="Fin",1-$H2673,IF(LEFT(TRIM(Paramètres!K27),1)="F",1,0)))),IF(Paramètres!L27="",0,IF(Paramètres!M27="",NA(),IF(LEFT(TRIM(Paramètres!M27),1)="F",INDEX($F$2651:$F$2703,MATCH(Paramètres!L27,Paramètres!$G$5:$G$57,0)),INDEX($E$2651:$E$2703,MATCH(Paramètres!L27,Paramètres!$G$5:$G$57,0)))+IF(RIGHT(TRIM(Paramètres!M27),3)="Fin",1-$H2673,IF(LEFT(TRIM(Paramètres!M27),1)="F",1,0)))),IF(Paramètres!N27="",0,IF(Paramètres!O27="",NA(),IF(LEFT(TRIM(Paramètres!O27),1)="F",INDEX($F$2651:$F$2703,MATCH(Paramètres!N27,Paramètres!$G$5:$G$57,0)),INDEX($E$2651:$E$2703,MATCH(Paramètres!N27,Paramètres!$G$5:$G$57,0)))+IF(RIGHT(TRIM(Paramètres!O27),3)="Fin",1-$H2673,IF(LEFT(TRIM(Paramètres!O27),1)="F",1,0)))))))</f>
        <v/>
      </c>
      <c r="F2673" s="19">
        <f>IF($A2673="","",E2673+$H2673-1)</f>
        <v/>
      </c>
      <c r="G2673" s="18" t="n"/>
      <c r="H2673" s="18">
        <f>IF($A2673="","",IF(I2673&lt;&gt;"",I2673,Paramètres!B27))</f>
        <v/>
      </c>
      <c r="I2673" s="18" t="n"/>
    </row>
    <row r="2674">
      <c r="A2674" s="18">
        <f>IF(ISNUMBER(Dossiers!$D$53),Dossiers!$A$53&amp;" · "&amp;Dossiers!$B$53,"")</f>
        <v/>
      </c>
      <c r="B2674" s="18">
        <f>IF($A2674="","",Paramètres!G28)</f>
        <v/>
      </c>
      <c r="C2674" s="18">
        <f>IF($A2674="","",IF(Paramètres!H28="","",Paramètres!H28))</f>
        <v/>
      </c>
      <c r="D2674" s="18">
        <f>IF($A2674="","",IF(Paramètres!I28="","",Paramètres!I28))</f>
        <v/>
      </c>
      <c r="E2674" s="19">
        <f>IF($A2674="","",IF(Paramètres!J28&amp;Paramètres!L28&amp;Paramètres!N28="",Dossiers!$D$53,MAX(IF(Paramètres!J28="",0,IF(Paramètres!K28="",NA(),IF(LEFT(TRIM(Paramètres!K28),1)="F",INDEX($F$2651:$F$2703,MATCH(Paramètres!J28,Paramètres!$G$5:$G$57,0)),INDEX($E$2651:$E$2703,MATCH(Paramètres!J28,Paramètres!$G$5:$G$57,0)))+IF(RIGHT(TRIM(Paramètres!K28),3)="Fin",1-$H2674,IF(LEFT(TRIM(Paramètres!K28),1)="F",1,0)))),IF(Paramètres!L28="",0,IF(Paramètres!M28="",NA(),IF(LEFT(TRIM(Paramètres!M28),1)="F",INDEX($F$2651:$F$2703,MATCH(Paramètres!L28,Paramètres!$G$5:$G$57,0)),INDEX($E$2651:$E$2703,MATCH(Paramètres!L28,Paramètres!$G$5:$G$57,0)))+IF(RIGHT(TRIM(Paramètres!M28),3)="Fin",1-$H2674,IF(LEFT(TRIM(Paramètres!M28),1)="F",1,0)))),IF(Paramètres!N28="",0,IF(Paramètres!O28="",NA(),IF(LEFT(TRIM(Paramètres!O28),1)="F",INDEX($F$2651:$F$2703,MATCH(Paramètres!N28,Paramètres!$G$5:$G$57,0)),INDEX($E$2651:$E$2703,MATCH(Paramètres!N28,Paramètres!$G$5:$G$57,0)))+IF(RIGHT(TRIM(Paramètres!O28),3)="Fin",1-$H2674,IF(LEFT(TRIM(Paramètres!O28),1)="F",1,0)))))))</f>
        <v/>
      </c>
      <c r="F2674" s="19">
        <f>IF($A2674="","",E2674+$H2674-1)</f>
        <v/>
      </c>
      <c r="G2674" s="18" t="n"/>
      <c r="H2674" s="18">
        <f>IF($A2674="","",IF(I2674&lt;&gt;"",I2674,Paramètres!B28))</f>
        <v/>
      </c>
      <c r="I2674" s="18" t="n"/>
    </row>
    <row r="2675">
      <c r="A2675" s="18">
        <f>IF(ISNUMBER(Dossiers!$D$53),Dossiers!$A$53&amp;" · "&amp;Dossiers!$B$53,"")</f>
        <v/>
      </c>
      <c r="B2675" s="18">
        <f>IF($A2675="","",Paramètres!G29)</f>
        <v/>
      </c>
      <c r="C2675" s="18">
        <f>IF($A2675="","",IF(Paramètres!H29="","",Paramètres!H29))</f>
        <v/>
      </c>
      <c r="D2675" s="18">
        <f>IF($A2675="","",IF(Paramètres!I29="","",Paramètres!I29))</f>
        <v/>
      </c>
      <c r="E2675" s="19">
        <f>IF($A2675="","",IF(Paramètres!J29&amp;Paramètres!L29&amp;Paramètres!N29="",Dossiers!$D$53,MAX(IF(Paramètres!J29="",0,IF(Paramètres!K29="",NA(),IF(LEFT(TRIM(Paramètres!K29),1)="F",INDEX($F$2651:$F$2703,MATCH(Paramètres!J29,Paramètres!$G$5:$G$57,0)),INDEX($E$2651:$E$2703,MATCH(Paramètres!J29,Paramètres!$G$5:$G$57,0)))+IF(RIGHT(TRIM(Paramètres!K29),3)="Fin",1-$H2675,IF(LEFT(TRIM(Paramètres!K29),1)="F",1,0)))),IF(Paramètres!L29="",0,IF(Paramètres!M29="",NA(),IF(LEFT(TRIM(Paramètres!M29),1)="F",INDEX($F$2651:$F$2703,MATCH(Paramètres!L29,Paramètres!$G$5:$G$57,0)),INDEX($E$2651:$E$2703,MATCH(Paramètres!L29,Paramètres!$G$5:$G$57,0)))+IF(RIGHT(TRIM(Paramètres!M29),3)="Fin",1-$H2675,IF(LEFT(TRIM(Paramètres!M29),1)="F",1,0)))),IF(Paramètres!N29="",0,IF(Paramètres!O29="",NA(),IF(LEFT(TRIM(Paramètres!O29),1)="F",INDEX($F$2651:$F$2703,MATCH(Paramètres!N29,Paramètres!$G$5:$G$57,0)),INDEX($E$2651:$E$2703,MATCH(Paramètres!N29,Paramètres!$G$5:$G$57,0)))+IF(RIGHT(TRIM(Paramètres!O29),3)="Fin",1-$H2675,IF(LEFT(TRIM(Paramètres!O29),1)="F",1,0)))))))</f>
        <v/>
      </c>
      <c r="F2675" s="19">
        <f>IF($A2675="","",E2675+$H2675-1)</f>
        <v/>
      </c>
      <c r="G2675" s="18" t="n"/>
      <c r="H2675" s="18">
        <f>IF($A2675="","",IF(I2675&lt;&gt;"",I2675,Paramètres!B29))</f>
        <v/>
      </c>
      <c r="I2675" s="18" t="n"/>
    </row>
    <row r="2676">
      <c r="A2676" s="18">
        <f>IF(ISNUMBER(Dossiers!$D$53),Dossiers!$A$53&amp;" · "&amp;Dossiers!$B$53,"")</f>
        <v/>
      </c>
      <c r="B2676" s="18">
        <f>IF($A2676="","",Paramètres!G30)</f>
        <v/>
      </c>
      <c r="C2676" s="18">
        <f>IF($A2676="","",IF(Paramètres!H30="","",Paramètres!H30))</f>
        <v/>
      </c>
      <c r="D2676" s="18">
        <f>IF($A2676="","",IF(Paramètres!I30="","",Paramètres!I30))</f>
        <v/>
      </c>
      <c r="E2676" s="19">
        <f>IF($A2676="","",IF(Paramètres!J30&amp;Paramètres!L30&amp;Paramètres!N30="",Dossiers!$D$53,MAX(IF(Paramètres!J30="",0,IF(Paramètres!K30="",NA(),IF(LEFT(TRIM(Paramètres!K30),1)="F",INDEX($F$2651:$F$2703,MATCH(Paramètres!J30,Paramètres!$G$5:$G$57,0)),INDEX($E$2651:$E$2703,MATCH(Paramètres!J30,Paramètres!$G$5:$G$57,0)))+IF(RIGHT(TRIM(Paramètres!K30),3)="Fin",1-$H2676,IF(LEFT(TRIM(Paramètres!K30),1)="F",1,0)))),IF(Paramètres!L30="",0,IF(Paramètres!M30="",NA(),IF(LEFT(TRIM(Paramètres!M30),1)="F",INDEX($F$2651:$F$2703,MATCH(Paramètres!L30,Paramètres!$G$5:$G$57,0)),INDEX($E$2651:$E$2703,MATCH(Paramètres!L30,Paramètres!$G$5:$G$57,0)))+IF(RIGHT(TRIM(Paramètres!M30),3)="Fin",1-$H2676,IF(LEFT(TRIM(Paramètres!M30),1)="F",1,0)))),IF(Paramètres!N30="",0,IF(Paramètres!O30="",NA(),IF(LEFT(TRIM(Paramètres!O30),1)="F",INDEX($F$2651:$F$2703,MATCH(Paramètres!N30,Paramètres!$G$5:$G$57,0)),INDEX($E$2651:$E$2703,MATCH(Paramètres!N30,Paramètres!$G$5:$G$57,0)))+IF(RIGHT(TRIM(Paramètres!O30),3)="Fin",1-$H2676,IF(LEFT(TRIM(Paramètres!O30),1)="F",1,0)))))))</f>
        <v/>
      </c>
      <c r="F2676" s="19">
        <f>IF($A2676="","",E2676+$H2676-1)</f>
        <v/>
      </c>
      <c r="G2676" s="18" t="n"/>
      <c r="H2676" s="18">
        <f>IF($A2676="","",IF(I2676&lt;&gt;"",I2676,Paramètres!B30))</f>
        <v/>
      </c>
      <c r="I2676" s="18" t="n"/>
    </row>
    <row r="2677">
      <c r="A2677" s="18">
        <f>IF(ISNUMBER(Dossiers!$D$53),Dossiers!$A$53&amp;" · "&amp;Dossiers!$B$53,"")</f>
        <v/>
      </c>
      <c r="B2677" s="18">
        <f>IF($A2677="","",Paramètres!G31)</f>
        <v/>
      </c>
      <c r="C2677" s="20">
        <f>IF($A2677="","",IF(Dossiers!$F$53="","",Dossiers!$F$53))</f>
        <v/>
      </c>
      <c r="D2677" s="18">
        <f>IF($A2677="","",IF(Paramètres!I31="","",Paramètres!I31))</f>
        <v/>
      </c>
      <c r="E2677" s="19">
        <f>IF($A2677="","",IF(Paramètres!J31&amp;Paramètres!L31&amp;Paramètres!N31="",Dossiers!$D$53,MAX(IF(Paramètres!J31="",0,IF(Paramètres!K31="",NA(),IF(LEFT(TRIM(Paramètres!K31),1)="F",INDEX($F$2651:$F$2703,MATCH(Paramètres!J31,Paramètres!$G$5:$G$57,0)),INDEX($E$2651:$E$2703,MATCH(Paramètres!J31,Paramètres!$G$5:$G$57,0)))+IF(RIGHT(TRIM(Paramètres!K31),3)="Fin",1-$H2677,IF(LEFT(TRIM(Paramètres!K31),1)="F",1,0)))),IF(Paramètres!L31="",0,IF(Paramètres!M31="",NA(),IF(LEFT(TRIM(Paramètres!M31),1)="F",INDEX($F$2651:$F$2703,MATCH(Paramètres!L31,Paramètres!$G$5:$G$57,0)),INDEX($E$2651:$E$2703,MATCH(Paramètres!L31,Paramètres!$G$5:$G$57,0)))+IF(RIGHT(TRIM(Paramètres!M31),3)="Fin",1-$H2677,IF(LEFT(TRIM(Paramètres!M31),1)="F",1,0)))),IF(Paramètres!N31="",0,IF(Paramètres!O31="",NA(),IF(LEFT(TRIM(Paramètres!O31),1)="F",INDEX($F$2651:$F$2703,MATCH(Paramètres!N31,Paramètres!$G$5:$G$57,0)),INDEX($E$2651:$E$2703,MATCH(Paramètres!N31,Paramètres!$G$5:$G$57,0)))+IF(RIGHT(TRIM(Paramètres!O31),3)="Fin",1-$H2677,IF(LEFT(TRIM(Paramètres!O31),1)="F",1,0)))))))</f>
        <v/>
      </c>
      <c r="F2677" s="19">
        <f>IF($A2677="","",E2677+$H2677-1)</f>
        <v/>
      </c>
      <c r="G2677" s="18" t="n"/>
      <c r="H2677" s="18">
        <f>IF($A2677="","",IF(I2677&lt;&gt;"",I2677,Paramètres!B31))</f>
        <v/>
      </c>
      <c r="I2677" s="18" t="n"/>
    </row>
    <row r="2678">
      <c r="A2678" s="18">
        <f>IF(ISNUMBER(Dossiers!$D$53),Dossiers!$A$53&amp;" · "&amp;Dossiers!$B$53,"")</f>
        <v/>
      </c>
      <c r="B2678" s="18">
        <f>IF($A2678="","",Paramètres!G32)</f>
        <v/>
      </c>
      <c r="C2678" s="18">
        <f>IF($A2678="","",IF(Paramètres!H32="","",Paramètres!H32))</f>
        <v/>
      </c>
      <c r="D2678" s="18">
        <f>IF($A2678="","",IF(Paramètres!I32="","",Paramètres!I32))</f>
        <v/>
      </c>
      <c r="E2678" s="19">
        <f>IF($A2678="","",MIN(E2679:E2682))</f>
        <v/>
      </c>
      <c r="F2678" s="19">
        <f>IF($A2678="","",MAX(F2679:F2682))</f>
        <v/>
      </c>
      <c r="G2678" s="18" t="n"/>
      <c r="H2678" s="18">
        <f>IF($A2678="","",F2678-E2678+1)</f>
        <v/>
      </c>
      <c r="I2678" s="18" t="n"/>
    </row>
    <row r="2679">
      <c r="A2679" s="18">
        <f>IF(ISNUMBER(Dossiers!$D$53),Dossiers!$A$53&amp;" · "&amp;Dossiers!$B$53,"")</f>
        <v/>
      </c>
      <c r="B2679" s="18">
        <f>IF($A2679="","",Paramètres!G33)</f>
        <v/>
      </c>
      <c r="C2679" s="18">
        <f>IF($A2679="","",IF(Paramètres!H33="","",Paramètres!H33))</f>
        <v/>
      </c>
      <c r="D2679" s="18">
        <f>IF($A2679="","",IF(Paramètres!I33="","",Paramètres!I33))</f>
        <v/>
      </c>
      <c r="E2679" s="19">
        <f>IF($A2679="","",IF(Paramètres!J33&amp;Paramètres!L33&amp;Paramètres!N33="",Dossiers!$D$53,MAX(IF(Paramètres!J33="",0,IF(Paramètres!K33="",NA(),IF(LEFT(TRIM(Paramètres!K33),1)="F",INDEX($F$2651:$F$2703,MATCH(Paramètres!J33,Paramètres!$G$5:$G$57,0)),INDEX($E$2651:$E$2703,MATCH(Paramètres!J33,Paramètres!$G$5:$G$57,0)))+IF(RIGHT(TRIM(Paramètres!K33),3)="Fin",1-$H2679,IF(LEFT(TRIM(Paramètres!K33),1)="F",1,0)))),IF(Paramètres!L33="",0,IF(Paramètres!M33="",NA(),IF(LEFT(TRIM(Paramètres!M33),1)="F",INDEX($F$2651:$F$2703,MATCH(Paramètres!L33,Paramètres!$G$5:$G$57,0)),INDEX($E$2651:$E$2703,MATCH(Paramètres!L33,Paramètres!$G$5:$G$57,0)))+IF(RIGHT(TRIM(Paramètres!M33),3)="Fin",1-$H2679,IF(LEFT(TRIM(Paramètres!M33),1)="F",1,0)))),IF(Paramètres!N33="",0,IF(Paramètres!O33="",NA(),IF(LEFT(TRIM(Paramètres!O33),1)="F",INDEX($F$2651:$F$2703,MATCH(Paramètres!N33,Paramètres!$G$5:$G$57,0)),INDEX($E$2651:$E$2703,MATCH(Paramètres!N33,Paramètres!$G$5:$G$57,0)))+IF(RIGHT(TRIM(Paramètres!O33),3)="Fin",1-$H2679,IF(LEFT(TRIM(Paramètres!O33),1)="F",1,0)))))))</f>
        <v/>
      </c>
      <c r="F2679" s="19">
        <f>IF($A2679="","",E2679+$H2679-1)</f>
        <v/>
      </c>
      <c r="G2679" s="18" t="n"/>
      <c r="H2679" s="18">
        <f>IF($A2679="","",IF(I2679&lt;&gt;"",I2679,Paramètres!B33))</f>
        <v/>
      </c>
      <c r="I2679" s="18" t="n"/>
    </row>
    <row r="2680">
      <c r="A2680" s="18">
        <f>IF(ISNUMBER(Dossiers!$D$53),Dossiers!$A$53&amp;" · "&amp;Dossiers!$B$53,"")</f>
        <v/>
      </c>
      <c r="B2680" s="18">
        <f>IF($A2680="","",Paramètres!G34)</f>
        <v/>
      </c>
      <c r="C2680" s="18">
        <f>IF($A2680="","",IF(Paramètres!H34="","",Paramètres!H34))</f>
        <v/>
      </c>
      <c r="D2680" s="18">
        <f>IF($A2680="","",IF(Paramètres!I34="","",Paramètres!I34))</f>
        <v/>
      </c>
      <c r="E2680" s="19">
        <f>IF($A2680="","",IF(Paramètres!J34&amp;Paramètres!L34&amp;Paramètres!N34="",Dossiers!$D$53,MAX(IF(Paramètres!J34="",0,IF(Paramètres!K34="",NA(),IF(LEFT(TRIM(Paramètres!K34),1)="F",INDEX($F$2651:$F$2703,MATCH(Paramètres!J34,Paramètres!$G$5:$G$57,0)),INDEX($E$2651:$E$2703,MATCH(Paramètres!J34,Paramètres!$G$5:$G$57,0)))+IF(RIGHT(TRIM(Paramètres!K34),3)="Fin",1-$H2680,IF(LEFT(TRIM(Paramètres!K34),1)="F",1,0)))),IF(Paramètres!L34="",0,IF(Paramètres!M34="",NA(),IF(LEFT(TRIM(Paramètres!M34),1)="F",INDEX($F$2651:$F$2703,MATCH(Paramètres!L34,Paramètres!$G$5:$G$57,0)),INDEX($E$2651:$E$2703,MATCH(Paramètres!L34,Paramètres!$G$5:$G$57,0)))+IF(RIGHT(TRIM(Paramètres!M34),3)="Fin",1-$H2680,IF(LEFT(TRIM(Paramètres!M34),1)="F",1,0)))),IF(Paramètres!N34="",0,IF(Paramètres!O34="",NA(),IF(LEFT(TRIM(Paramètres!O34),1)="F",INDEX($F$2651:$F$2703,MATCH(Paramètres!N34,Paramètres!$G$5:$G$57,0)),INDEX($E$2651:$E$2703,MATCH(Paramètres!N34,Paramètres!$G$5:$G$57,0)))+IF(RIGHT(TRIM(Paramètres!O34),3)="Fin",1-$H2680,IF(LEFT(TRIM(Paramètres!O34),1)="F",1,0)))))))</f>
        <v/>
      </c>
      <c r="F2680" s="19">
        <f>IF($A2680="","",E2680+$H2680-1)</f>
        <v/>
      </c>
      <c r="G2680" s="18" t="n"/>
      <c r="H2680" s="18">
        <f>IF($A2680="","",IF(I2680&lt;&gt;"",I2680,Paramètres!B34))</f>
        <v/>
      </c>
      <c r="I2680" s="18" t="n"/>
    </row>
    <row r="2681">
      <c r="A2681" s="18">
        <f>IF(ISNUMBER(Dossiers!$D$53),Dossiers!$A$53&amp;" · "&amp;Dossiers!$B$53,"")</f>
        <v/>
      </c>
      <c r="B2681" s="18">
        <f>IF($A2681="","",Paramètres!G35)</f>
        <v/>
      </c>
      <c r="C2681" s="18">
        <f>IF($A2681="","",IF(Paramètres!H35="","",Paramètres!H35))</f>
        <v/>
      </c>
      <c r="D2681" s="18">
        <f>IF($A2681="","",IF(Paramètres!I35="","",Paramètres!I35))</f>
        <v/>
      </c>
      <c r="E2681" s="19">
        <f>IF($A2681="","",IF(Paramètres!J35&amp;Paramètres!L35&amp;Paramètres!N35="",Dossiers!$D$53,MAX(IF(Paramètres!J35="",0,IF(Paramètres!K35="",NA(),IF(LEFT(TRIM(Paramètres!K35),1)="F",INDEX($F$2651:$F$2703,MATCH(Paramètres!J35,Paramètres!$G$5:$G$57,0)),INDEX($E$2651:$E$2703,MATCH(Paramètres!J35,Paramètres!$G$5:$G$57,0)))+IF(RIGHT(TRIM(Paramètres!K35),3)="Fin",1-$H2681,IF(LEFT(TRIM(Paramètres!K35),1)="F",1,0)))),IF(Paramètres!L35="",0,IF(Paramètres!M35="",NA(),IF(LEFT(TRIM(Paramètres!M35),1)="F",INDEX($F$2651:$F$2703,MATCH(Paramètres!L35,Paramètres!$G$5:$G$57,0)),INDEX($E$2651:$E$2703,MATCH(Paramètres!L35,Paramètres!$G$5:$G$57,0)))+IF(RIGHT(TRIM(Paramètres!M35),3)="Fin",1-$H2681,IF(LEFT(TRIM(Paramètres!M35),1)="F",1,0)))),IF(Paramètres!N35="",0,IF(Paramètres!O35="",NA(),IF(LEFT(TRIM(Paramètres!O35),1)="F",INDEX($F$2651:$F$2703,MATCH(Paramètres!N35,Paramètres!$G$5:$G$57,0)),INDEX($E$2651:$E$2703,MATCH(Paramètres!N35,Paramètres!$G$5:$G$57,0)))+IF(RIGHT(TRIM(Paramètres!O35),3)="Fin",1-$H2681,IF(LEFT(TRIM(Paramètres!O35),1)="F",1,0)))))))</f>
        <v/>
      </c>
      <c r="F2681" s="19">
        <f>IF($A2681="","",E2681+$H2681-1)</f>
        <v/>
      </c>
      <c r="G2681" s="18" t="n"/>
      <c r="H2681" s="18">
        <f>IF($A2681="","",IF(I2681&lt;&gt;"",I2681,Paramètres!B35))</f>
        <v/>
      </c>
      <c r="I2681" s="18" t="n"/>
    </row>
    <row r="2682">
      <c r="A2682" s="18">
        <f>IF(ISNUMBER(Dossiers!$D$53),Dossiers!$A$53&amp;" · "&amp;Dossiers!$B$53,"")</f>
        <v/>
      </c>
      <c r="B2682" s="18">
        <f>IF($A2682="","",Paramètres!G36)</f>
        <v/>
      </c>
      <c r="C2682" s="18">
        <f>IF($A2682="","",IF(Paramètres!H36="","",Paramètres!H36))</f>
        <v/>
      </c>
      <c r="D2682" s="18">
        <f>IF($A2682="","",IF(Paramètres!I36="","",Paramètres!I36))</f>
        <v/>
      </c>
      <c r="E2682" s="19">
        <f>IF($A2682="","",IF(Paramètres!J36&amp;Paramètres!L36&amp;Paramètres!N36="",Dossiers!$D$53,MAX(IF(Paramètres!J36="",0,IF(Paramètres!K36="",NA(),IF(LEFT(TRIM(Paramètres!K36),1)="F",INDEX($F$2651:$F$2703,MATCH(Paramètres!J36,Paramètres!$G$5:$G$57,0)),INDEX($E$2651:$E$2703,MATCH(Paramètres!J36,Paramètres!$G$5:$G$57,0)))+IF(RIGHT(TRIM(Paramètres!K36),3)="Fin",1-$H2682,IF(LEFT(TRIM(Paramètres!K36),1)="F",1,0)))),IF(Paramètres!L36="",0,IF(Paramètres!M36="",NA(),IF(LEFT(TRIM(Paramètres!M36),1)="F",INDEX($F$2651:$F$2703,MATCH(Paramètres!L36,Paramètres!$G$5:$G$57,0)),INDEX($E$2651:$E$2703,MATCH(Paramètres!L36,Paramètres!$G$5:$G$57,0)))+IF(RIGHT(TRIM(Paramètres!M36),3)="Fin",1-$H2682,IF(LEFT(TRIM(Paramètres!M36),1)="F",1,0)))),IF(Paramètres!N36="",0,IF(Paramètres!O36="",NA(),IF(LEFT(TRIM(Paramètres!O36),1)="F",INDEX($F$2651:$F$2703,MATCH(Paramètres!N36,Paramètres!$G$5:$G$57,0)),INDEX($E$2651:$E$2703,MATCH(Paramètres!N36,Paramètres!$G$5:$G$57,0)))+IF(RIGHT(TRIM(Paramètres!O36),3)="Fin",1-$H2682,IF(LEFT(TRIM(Paramètres!O36),1)="F",1,0)))))))</f>
        <v/>
      </c>
      <c r="F2682" s="19">
        <f>IF($A2682="","",E2682+$H2682-1)</f>
        <v/>
      </c>
      <c r="G2682" s="18" t="n"/>
      <c r="H2682" s="18">
        <f>IF($A2682="","",IF(I2682&lt;&gt;"",I2682,Paramètres!B36))</f>
        <v/>
      </c>
      <c r="I2682" s="18" t="n"/>
    </row>
    <row r="2683">
      <c r="A2683" s="18">
        <f>IF(ISNUMBER(Dossiers!$D$53),Dossiers!$A$53&amp;" · "&amp;Dossiers!$B$53,"")</f>
        <v/>
      </c>
      <c r="B2683" s="18">
        <f>IF($A2683="","",Paramètres!G37)</f>
        <v/>
      </c>
      <c r="C2683" s="18">
        <f>IF($A2683="","",IF(Paramètres!H37="","",Paramètres!H37))</f>
        <v/>
      </c>
      <c r="D2683" s="18">
        <f>IF($A2683="","",IF(Paramètres!I37="","",Paramètres!I37))</f>
        <v/>
      </c>
      <c r="E2683" s="19">
        <f>IF($A2683="","",MIN(E2684:E2701))</f>
        <v/>
      </c>
      <c r="F2683" s="19">
        <f>IF($A2683="","",MAX(F2684:F2701))</f>
        <v/>
      </c>
      <c r="G2683" s="18" t="n"/>
      <c r="H2683" s="18">
        <f>IF($A2683="","",F2683-E2683+1)</f>
        <v/>
      </c>
      <c r="I2683" s="18" t="n"/>
    </row>
    <row r="2684">
      <c r="A2684" s="18">
        <f>IF(ISNUMBER(Dossiers!$D$53),Dossiers!$A$53&amp;" · "&amp;Dossiers!$B$53,"")</f>
        <v/>
      </c>
      <c r="B2684" s="18">
        <f>IF($A2684="","",Paramètres!G38)</f>
        <v/>
      </c>
      <c r="C2684" s="18">
        <f>IF($A2684="","",IF(Paramètres!H38="","",Paramètres!H38))</f>
        <v/>
      </c>
      <c r="D2684" s="18">
        <f>IF($A2684="","",IF(Paramètres!I38="","",Paramètres!I38))</f>
        <v/>
      </c>
      <c r="E2684" s="19">
        <f>IF($A2684="","",IF(Paramètres!J38&amp;Paramètres!L38&amp;Paramètres!N38="",Dossiers!$D$53,MAX(IF(Paramètres!J38="",0,IF(Paramètres!K38="",NA(),IF(LEFT(TRIM(Paramètres!K38),1)="F",INDEX($F$2651:$F$2703,MATCH(Paramètres!J38,Paramètres!$G$5:$G$57,0)),INDEX($E$2651:$E$2703,MATCH(Paramètres!J38,Paramètres!$G$5:$G$57,0)))+IF(RIGHT(TRIM(Paramètres!K38),3)="Fin",1-$H2684,IF(LEFT(TRIM(Paramètres!K38),1)="F",1,0)))),IF(Paramètres!L38="",0,IF(Paramètres!M38="",NA(),IF(LEFT(TRIM(Paramètres!M38),1)="F",INDEX($F$2651:$F$2703,MATCH(Paramètres!L38,Paramètres!$G$5:$G$57,0)),INDEX($E$2651:$E$2703,MATCH(Paramètres!L38,Paramètres!$G$5:$G$57,0)))+IF(RIGHT(TRIM(Paramètres!M38),3)="Fin",1-$H2684,IF(LEFT(TRIM(Paramètres!M38),1)="F",1,0)))),IF(Paramètres!N38="",0,IF(Paramètres!O38="",NA(),IF(LEFT(TRIM(Paramètres!O38),1)="F",INDEX($F$2651:$F$2703,MATCH(Paramètres!N38,Paramètres!$G$5:$G$57,0)),INDEX($E$2651:$E$2703,MATCH(Paramètres!N38,Paramètres!$G$5:$G$57,0)))+IF(RIGHT(TRIM(Paramètres!O38),3)="Fin",1-$H2684,IF(LEFT(TRIM(Paramètres!O38),1)="F",1,0)))))))</f>
        <v/>
      </c>
      <c r="F2684" s="19">
        <f>IF($A2684="","",E2684+$H2684-1)</f>
        <v/>
      </c>
      <c r="G2684" s="18" t="n"/>
      <c r="H2684" s="18">
        <f>IF($A2684="","",IF(I2684&lt;&gt;"",I2684,Paramètres!B38))</f>
        <v/>
      </c>
      <c r="I2684" s="18" t="n"/>
    </row>
    <row r="2685">
      <c r="A2685" s="18">
        <f>IF(ISNUMBER(Dossiers!$D$53),Dossiers!$A$53&amp;" · "&amp;Dossiers!$B$53,"")</f>
        <v/>
      </c>
      <c r="B2685" s="18">
        <f>IF($A2685="","",Paramètres!G39)</f>
        <v/>
      </c>
      <c r="C2685" s="18">
        <f>IF($A2685="","",IF(Paramètres!H39="","",Paramètres!H39))</f>
        <v/>
      </c>
      <c r="D2685" s="18">
        <f>IF($A2685="","",IF(Paramètres!I39="","",Paramètres!I39))</f>
        <v/>
      </c>
      <c r="E2685" s="19">
        <f>IF($A2685="","",IF(Paramètres!J39&amp;Paramètres!L39&amp;Paramètres!N39="",Dossiers!$D$53,MAX(IF(Paramètres!J39="",0,IF(Paramètres!K39="",NA(),IF(LEFT(TRIM(Paramètres!K39),1)="F",INDEX($F$2651:$F$2703,MATCH(Paramètres!J39,Paramètres!$G$5:$G$57,0)),INDEX($E$2651:$E$2703,MATCH(Paramètres!J39,Paramètres!$G$5:$G$57,0)))+IF(RIGHT(TRIM(Paramètres!K39),3)="Fin",1-$H2685,IF(LEFT(TRIM(Paramètres!K39),1)="F",1,0)))),IF(Paramètres!L39="",0,IF(Paramètres!M39="",NA(),IF(LEFT(TRIM(Paramètres!M39),1)="F",INDEX($F$2651:$F$2703,MATCH(Paramètres!L39,Paramètres!$G$5:$G$57,0)),INDEX($E$2651:$E$2703,MATCH(Paramètres!L39,Paramètres!$G$5:$G$57,0)))+IF(RIGHT(TRIM(Paramètres!M39),3)="Fin",1-$H2685,IF(LEFT(TRIM(Paramètres!M39),1)="F",1,0)))),IF(Paramètres!N39="",0,IF(Paramètres!O39="",NA(),IF(LEFT(TRIM(Paramètres!O39),1)="F",INDEX($F$2651:$F$2703,MATCH(Paramètres!N39,Paramètres!$G$5:$G$57,0)),INDEX($E$2651:$E$2703,MATCH(Paramètres!N39,Paramètres!$G$5:$G$57,0)))+IF(RIGHT(TRIM(Paramètres!O39),3)="Fin",1-$H2685,IF(LEFT(TRIM(Paramètres!O39),1)="F",1,0)))))))</f>
        <v/>
      </c>
      <c r="F2685" s="19">
        <f>IF($A2685="","",E2685+$H2685-1)</f>
        <v/>
      </c>
      <c r="G2685" s="18" t="n"/>
      <c r="H2685" s="18">
        <f>IF($A2685="","",IF(I2685&lt;&gt;"",I2685,Paramètres!B39))</f>
        <v/>
      </c>
      <c r="I2685" s="18" t="n"/>
    </row>
    <row r="2686">
      <c r="A2686" s="18">
        <f>IF(ISNUMBER(Dossiers!$D$53),Dossiers!$A$53&amp;" · "&amp;Dossiers!$B$53,"")</f>
        <v/>
      </c>
      <c r="B2686" s="18">
        <f>IF($A2686="","",Paramètres!G40)</f>
        <v/>
      </c>
      <c r="C2686" s="18">
        <f>IF($A2686="","",IF(Paramètres!H40="","",Paramètres!H40))</f>
        <v/>
      </c>
      <c r="D2686" s="18">
        <f>IF($A2686="","",IF(Paramètres!I40="","",Paramètres!I40))</f>
        <v/>
      </c>
      <c r="E2686" s="19">
        <f>IF($A2686="","",IF(Paramètres!J40&amp;Paramètres!L40&amp;Paramètres!N40="",Dossiers!$D$53,MAX(IF(Paramètres!J40="",0,IF(Paramètres!K40="",NA(),IF(LEFT(TRIM(Paramètres!K40),1)="F",INDEX($F$2651:$F$2703,MATCH(Paramètres!J40,Paramètres!$G$5:$G$57,0)),INDEX($E$2651:$E$2703,MATCH(Paramètres!J40,Paramètres!$G$5:$G$57,0)))+IF(RIGHT(TRIM(Paramètres!K40),3)="Fin",1-$H2686,IF(LEFT(TRIM(Paramètres!K40),1)="F",1,0)))),IF(Paramètres!L40="",0,IF(Paramètres!M40="",NA(),IF(LEFT(TRIM(Paramètres!M40),1)="F",INDEX($F$2651:$F$2703,MATCH(Paramètres!L40,Paramètres!$G$5:$G$57,0)),INDEX($E$2651:$E$2703,MATCH(Paramètres!L40,Paramètres!$G$5:$G$57,0)))+IF(RIGHT(TRIM(Paramètres!M40),3)="Fin",1-$H2686,IF(LEFT(TRIM(Paramètres!M40),1)="F",1,0)))),IF(Paramètres!N40="",0,IF(Paramètres!O40="",NA(),IF(LEFT(TRIM(Paramètres!O40),1)="F",INDEX($F$2651:$F$2703,MATCH(Paramètres!N40,Paramètres!$G$5:$G$57,0)),INDEX($E$2651:$E$2703,MATCH(Paramètres!N40,Paramètres!$G$5:$G$57,0)))+IF(RIGHT(TRIM(Paramètres!O40),3)="Fin",1-$H2686,IF(LEFT(TRIM(Paramètres!O40),1)="F",1,0)))))))</f>
        <v/>
      </c>
      <c r="F2686" s="19">
        <f>IF($A2686="","",E2686+$H2686-1)</f>
        <v/>
      </c>
      <c r="G2686" s="18" t="n"/>
      <c r="H2686" s="18">
        <f>IF($A2686="","",IF(I2686&lt;&gt;"",I2686,Paramètres!B40))</f>
        <v/>
      </c>
      <c r="I2686" s="18" t="n"/>
    </row>
    <row r="2687">
      <c r="A2687" s="18">
        <f>IF(ISNUMBER(Dossiers!$D$53),Dossiers!$A$53&amp;" · "&amp;Dossiers!$B$53,"")</f>
        <v/>
      </c>
      <c r="B2687" s="18">
        <f>IF($A2687="","",Paramètres!G41)</f>
        <v/>
      </c>
      <c r="C2687" s="18">
        <f>IF($A2687="","",IF(Paramètres!H41="","",Paramètres!H41))</f>
        <v/>
      </c>
      <c r="D2687" s="18">
        <f>IF($A2687="","",IF(Paramètres!I41="","",Paramètres!I41))</f>
        <v/>
      </c>
      <c r="E2687" s="19">
        <f>IF($A2687="","",IF(Paramètres!J41&amp;Paramètres!L41&amp;Paramètres!N41="",Dossiers!$D$53,MAX(IF(Paramètres!J41="",0,IF(Paramètres!K41="",NA(),IF(LEFT(TRIM(Paramètres!K41),1)="F",INDEX($F$2651:$F$2703,MATCH(Paramètres!J41,Paramètres!$G$5:$G$57,0)),INDEX($E$2651:$E$2703,MATCH(Paramètres!J41,Paramètres!$G$5:$G$57,0)))+IF(RIGHT(TRIM(Paramètres!K41),3)="Fin",1-$H2687,IF(LEFT(TRIM(Paramètres!K41),1)="F",1,0)))),IF(Paramètres!L41="",0,IF(Paramètres!M41="",NA(),IF(LEFT(TRIM(Paramètres!M41),1)="F",INDEX($F$2651:$F$2703,MATCH(Paramètres!L41,Paramètres!$G$5:$G$57,0)),INDEX($E$2651:$E$2703,MATCH(Paramètres!L41,Paramètres!$G$5:$G$57,0)))+IF(RIGHT(TRIM(Paramètres!M41),3)="Fin",1-$H2687,IF(LEFT(TRIM(Paramètres!M41),1)="F",1,0)))),IF(Paramètres!N41="",0,IF(Paramètres!O41="",NA(),IF(LEFT(TRIM(Paramètres!O41),1)="F",INDEX($F$2651:$F$2703,MATCH(Paramètres!N41,Paramètres!$G$5:$G$57,0)),INDEX($E$2651:$E$2703,MATCH(Paramètres!N41,Paramètres!$G$5:$G$57,0)))+IF(RIGHT(TRIM(Paramètres!O41),3)="Fin",1-$H2687,IF(LEFT(TRIM(Paramètres!O41),1)="F",1,0)))))))</f>
        <v/>
      </c>
      <c r="F2687" s="19">
        <f>IF($A2687="","",E2687+$H2687-1)</f>
        <v/>
      </c>
      <c r="G2687" s="18" t="n"/>
      <c r="H2687" s="18">
        <f>IF($A2687="","",IF(I2687&lt;&gt;"",I2687,Paramètres!B41))</f>
        <v/>
      </c>
      <c r="I2687" s="18" t="n"/>
    </row>
    <row r="2688">
      <c r="A2688" s="18">
        <f>IF(ISNUMBER(Dossiers!$D$53),Dossiers!$A$53&amp;" · "&amp;Dossiers!$B$53,"")</f>
        <v/>
      </c>
      <c r="B2688" s="18">
        <f>IF($A2688="","",Paramètres!G42)</f>
        <v/>
      </c>
      <c r="C2688" s="18">
        <f>IF($A2688="","",IF(Paramètres!H42="","",Paramètres!H42))</f>
        <v/>
      </c>
      <c r="D2688" s="18">
        <f>IF($A2688="","",IF(Paramètres!I42="","",Paramètres!I42))</f>
        <v/>
      </c>
      <c r="E2688" s="19">
        <f>IF($A2688="","",IF(Paramètres!J42&amp;Paramètres!L42&amp;Paramètres!N42="",Dossiers!$D$53,MAX(IF(Paramètres!J42="",0,IF(Paramètres!K42="",NA(),IF(LEFT(TRIM(Paramètres!K42),1)="F",INDEX($F$2651:$F$2703,MATCH(Paramètres!J42,Paramètres!$G$5:$G$57,0)),INDEX($E$2651:$E$2703,MATCH(Paramètres!J42,Paramètres!$G$5:$G$57,0)))+IF(RIGHT(TRIM(Paramètres!K42),3)="Fin",1-$H2688,IF(LEFT(TRIM(Paramètres!K42),1)="F",1,0)))),IF(Paramètres!L42="",0,IF(Paramètres!M42="",NA(),IF(LEFT(TRIM(Paramètres!M42),1)="F",INDEX($F$2651:$F$2703,MATCH(Paramètres!L42,Paramètres!$G$5:$G$57,0)),INDEX($E$2651:$E$2703,MATCH(Paramètres!L42,Paramètres!$G$5:$G$57,0)))+IF(RIGHT(TRIM(Paramètres!M42),3)="Fin",1-$H2688,IF(LEFT(TRIM(Paramètres!M42),1)="F",1,0)))),IF(Paramètres!N42="",0,IF(Paramètres!O42="",NA(),IF(LEFT(TRIM(Paramètres!O42),1)="F",INDEX($F$2651:$F$2703,MATCH(Paramètres!N42,Paramètres!$G$5:$G$57,0)),INDEX($E$2651:$E$2703,MATCH(Paramètres!N42,Paramètres!$G$5:$G$57,0)))+IF(RIGHT(TRIM(Paramètres!O42),3)="Fin",1-$H2688,IF(LEFT(TRIM(Paramètres!O42),1)="F",1,0)))))))</f>
        <v/>
      </c>
      <c r="F2688" s="19">
        <f>IF($A2688="","",E2688+$H2688-1)</f>
        <v/>
      </c>
      <c r="G2688" s="18" t="n"/>
      <c r="H2688" s="18">
        <f>IF($A2688="","",IF(I2688&lt;&gt;"",I2688,Paramètres!B42))</f>
        <v/>
      </c>
      <c r="I2688" s="18" t="n"/>
    </row>
    <row r="2689">
      <c r="A2689" s="18">
        <f>IF(ISNUMBER(Dossiers!$D$53),Dossiers!$A$53&amp;" · "&amp;Dossiers!$B$53,"")</f>
        <v/>
      </c>
      <c r="B2689" s="18">
        <f>IF($A2689="","",Paramètres!G43)</f>
        <v/>
      </c>
      <c r="C2689" s="18">
        <f>IF($A2689="","",IF(Paramètres!H43="","",Paramètres!H43))</f>
        <v/>
      </c>
      <c r="D2689" s="18">
        <f>IF($A2689="","",IF(Paramètres!I43="","",Paramètres!I43))</f>
        <v/>
      </c>
      <c r="E2689" s="19">
        <f>IF($A2689="","",IF(Paramètres!J43&amp;Paramètres!L43&amp;Paramètres!N43="",Dossiers!$D$53,MAX(IF(Paramètres!J43="",0,IF(Paramètres!K43="",NA(),IF(LEFT(TRIM(Paramètres!K43),1)="F",INDEX($F$2651:$F$2703,MATCH(Paramètres!J43,Paramètres!$G$5:$G$57,0)),INDEX($E$2651:$E$2703,MATCH(Paramètres!J43,Paramètres!$G$5:$G$57,0)))+IF(RIGHT(TRIM(Paramètres!K43),3)="Fin",1-$H2689,IF(LEFT(TRIM(Paramètres!K43),1)="F",1,0)))),IF(Paramètres!L43="",0,IF(Paramètres!M43="",NA(),IF(LEFT(TRIM(Paramètres!M43),1)="F",INDEX($F$2651:$F$2703,MATCH(Paramètres!L43,Paramètres!$G$5:$G$57,0)),INDEX($E$2651:$E$2703,MATCH(Paramètres!L43,Paramètres!$G$5:$G$57,0)))+IF(RIGHT(TRIM(Paramètres!M43),3)="Fin",1-$H2689,IF(LEFT(TRIM(Paramètres!M43),1)="F",1,0)))),IF(Paramètres!N43="",0,IF(Paramètres!O43="",NA(),IF(LEFT(TRIM(Paramètres!O43),1)="F",INDEX($F$2651:$F$2703,MATCH(Paramètres!N43,Paramètres!$G$5:$G$57,0)),INDEX($E$2651:$E$2703,MATCH(Paramètres!N43,Paramètres!$G$5:$G$57,0)))+IF(RIGHT(TRIM(Paramètres!O43),3)="Fin",1-$H2689,IF(LEFT(TRIM(Paramètres!O43),1)="F",1,0)))))))</f>
        <v/>
      </c>
      <c r="F2689" s="19">
        <f>IF($A2689="","",E2689+$H2689-1)</f>
        <v/>
      </c>
      <c r="G2689" s="18" t="n"/>
      <c r="H2689" s="18">
        <f>IF($A2689="","",IF(I2689&lt;&gt;"",I2689,Paramètres!B43))</f>
        <v/>
      </c>
      <c r="I2689" s="18" t="n"/>
    </row>
    <row r="2690">
      <c r="A2690" s="18">
        <f>IF(ISNUMBER(Dossiers!$D$53),Dossiers!$A$53&amp;" · "&amp;Dossiers!$B$53,"")</f>
        <v/>
      </c>
      <c r="B2690" s="18">
        <f>IF($A2690="","",Paramètres!G44)</f>
        <v/>
      </c>
      <c r="C2690" s="18">
        <f>IF($A2690="","",IF(Paramètres!H44="","",Paramètres!H44))</f>
        <v/>
      </c>
      <c r="D2690" s="18">
        <f>IF($A2690="","",IF(Paramètres!I44="","",Paramètres!I44))</f>
        <v/>
      </c>
      <c r="E2690" s="19">
        <f>IF($A2690="","",IF(Paramètres!J44&amp;Paramètres!L44&amp;Paramètres!N44="",Dossiers!$D$53,MAX(IF(Paramètres!J44="",0,IF(Paramètres!K44="",NA(),IF(LEFT(TRIM(Paramètres!K44),1)="F",INDEX($F$2651:$F$2703,MATCH(Paramètres!J44,Paramètres!$G$5:$G$57,0)),INDEX($E$2651:$E$2703,MATCH(Paramètres!J44,Paramètres!$G$5:$G$57,0)))+IF(RIGHT(TRIM(Paramètres!K44),3)="Fin",1-$H2690,IF(LEFT(TRIM(Paramètres!K44),1)="F",1,0)))),IF(Paramètres!L44="",0,IF(Paramètres!M44="",NA(),IF(LEFT(TRIM(Paramètres!M44),1)="F",INDEX($F$2651:$F$2703,MATCH(Paramètres!L44,Paramètres!$G$5:$G$57,0)),INDEX($E$2651:$E$2703,MATCH(Paramètres!L44,Paramètres!$G$5:$G$57,0)))+IF(RIGHT(TRIM(Paramètres!M44),3)="Fin",1-$H2690,IF(LEFT(TRIM(Paramètres!M44),1)="F",1,0)))),IF(Paramètres!N44="",0,IF(Paramètres!O44="",NA(),IF(LEFT(TRIM(Paramètres!O44),1)="F",INDEX($F$2651:$F$2703,MATCH(Paramètres!N44,Paramètres!$G$5:$G$57,0)),INDEX($E$2651:$E$2703,MATCH(Paramètres!N44,Paramètres!$G$5:$G$57,0)))+IF(RIGHT(TRIM(Paramètres!O44),3)="Fin",1-$H2690,IF(LEFT(TRIM(Paramètres!O44),1)="F",1,0)))))))</f>
        <v/>
      </c>
      <c r="F2690" s="19">
        <f>IF($A2690="","",E2690+$H2690-1)</f>
        <v/>
      </c>
      <c r="G2690" s="18" t="n"/>
      <c r="H2690" s="18">
        <f>IF($A2690="","",IF(I2690&lt;&gt;"",I2690,Paramètres!B44))</f>
        <v/>
      </c>
      <c r="I2690" s="18" t="n"/>
    </row>
    <row r="2691">
      <c r="A2691" s="18">
        <f>IF(ISNUMBER(Dossiers!$D$53),Dossiers!$A$53&amp;" · "&amp;Dossiers!$B$53,"")</f>
        <v/>
      </c>
      <c r="B2691" s="18">
        <f>IF($A2691="","",Paramètres!G45)</f>
        <v/>
      </c>
      <c r="C2691" s="20">
        <f>IF($A2691="","",IF(Dossiers!$G$53="","",Dossiers!$G$53))</f>
        <v/>
      </c>
      <c r="D2691" s="18">
        <f>IF($A2691="","",IF(Paramètres!I45="","",Paramètres!I45))</f>
        <v/>
      </c>
      <c r="E2691" s="19">
        <f>IF($A2691="","",IF(Paramètres!J45&amp;Paramètres!L45&amp;Paramètres!N45="",Dossiers!$D$53,MAX(IF(Paramètres!J45="",0,IF(Paramètres!K45="",NA(),IF(LEFT(TRIM(Paramètres!K45),1)="F",INDEX($F$2651:$F$2703,MATCH(Paramètres!J45,Paramètres!$G$5:$G$57,0)),INDEX($E$2651:$E$2703,MATCH(Paramètres!J45,Paramètres!$G$5:$G$57,0)))+IF(RIGHT(TRIM(Paramètres!K45),3)="Fin",1-$H2691,IF(LEFT(TRIM(Paramètres!K45),1)="F",1,0)))),IF(Paramètres!L45="",0,IF(Paramètres!M45="",NA(),IF(LEFT(TRIM(Paramètres!M45),1)="F",INDEX($F$2651:$F$2703,MATCH(Paramètres!L45,Paramètres!$G$5:$G$57,0)),INDEX($E$2651:$E$2703,MATCH(Paramètres!L45,Paramètres!$G$5:$G$57,0)))+IF(RIGHT(TRIM(Paramètres!M45),3)="Fin",1-$H2691,IF(LEFT(TRIM(Paramètres!M45),1)="F",1,0)))),IF(Paramètres!N45="",0,IF(Paramètres!O45="",NA(),IF(LEFT(TRIM(Paramètres!O45),1)="F",INDEX($F$2651:$F$2703,MATCH(Paramètres!N45,Paramètres!$G$5:$G$57,0)),INDEX($E$2651:$E$2703,MATCH(Paramètres!N45,Paramètres!$G$5:$G$57,0)))+IF(RIGHT(TRIM(Paramètres!O45),3)="Fin",1-$H2691,IF(LEFT(TRIM(Paramètres!O45),1)="F",1,0)))))))</f>
        <v/>
      </c>
      <c r="F2691" s="19">
        <f>IF($A2691="","",E2691+$H2691-1)</f>
        <v/>
      </c>
      <c r="G2691" s="18" t="n"/>
      <c r="H2691" s="18">
        <f>IF($A2691="","",IF(I2691&lt;&gt;"",I2691,Paramètres!B45))</f>
        <v/>
      </c>
      <c r="I2691" s="18" t="n"/>
    </row>
    <row r="2692">
      <c r="A2692" s="18">
        <f>IF(ISNUMBER(Dossiers!$D$53),Dossiers!$A$53&amp;" · "&amp;Dossiers!$B$53,"")</f>
        <v/>
      </c>
      <c r="B2692" s="18">
        <f>IF($A2692="","",Paramètres!G46)</f>
        <v/>
      </c>
      <c r="C2692" s="18">
        <f>IF($A2692="","",IF(Paramètres!H46="","",Paramètres!H46))</f>
        <v/>
      </c>
      <c r="D2692" s="18">
        <f>IF($A2692="","",IF(Paramètres!I46="","",Paramètres!I46))</f>
        <v/>
      </c>
      <c r="E2692" s="19">
        <f>IF($A2692="","",IF(Paramètres!J46&amp;Paramètres!L46&amp;Paramètres!N46="",Dossiers!$D$53,MAX(IF(Paramètres!J46="",0,IF(Paramètres!K46="",NA(),IF(LEFT(TRIM(Paramètres!K46),1)="F",INDEX($F$2651:$F$2703,MATCH(Paramètres!J46,Paramètres!$G$5:$G$57,0)),INDEX($E$2651:$E$2703,MATCH(Paramètres!J46,Paramètres!$G$5:$G$57,0)))+IF(RIGHT(TRIM(Paramètres!K46),3)="Fin",1-$H2692,IF(LEFT(TRIM(Paramètres!K46),1)="F",1,0)))),IF(Paramètres!L46="",0,IF(Paramètres!M46="",NA(),IF(LEFT(TRIM(Paramètres!M46),1)="F",INDEX($F$2651:$F$2703,MATCH(Paramètres!L46,Paramètres!$G$5:$G$57,0)),INDEX($E$2651:$E$2703,MATCH(Paramètres!L46,Paramètres!$G$5:$G$57,0)))+IF(RIGHT(TRIM(Paramètres!M46),3)="Fin",1-$H2692,IF(LEFT(TRIM(Paramètres!M46),1)="F",1,0)))),IF(Paramètres!N46="",0,IF(Paramètres!O46="",NA(),IF(LEFT(TRIM(Paramètres!O46),1)="F",INDEX($F$2651:$F$2703,MATCH(Paramètres!N46,Paramètres!$G$5:$G$57,0)),INDEX($E$2651:$E$2703,MATCH(Paramètres!N46,Paramètres!$G$5:$G$57,0)))+IF(RIGHT(TRIM(Paramètres!O46),3)="Fin",1-$H2692,IF(LEFT(TRIM(Paramètres!O46),1)="F",1,0)))))))</f>
        <v/>
      </c>
      <c r="F2692" s="19">
        <f>IF($A2692="","",E2692+$H2692-1)</f>
        <v/>
      </c>
      <c r="G2692" s="18" t="n"/>
      <c r="H2692" s="18">
        <f>IF($A2692="","",IF(I2692&lt;&gt;"",I2692,Paramètres!B46))</f>
        <v/>
      </c>
      <c r="I2692" s="18" t="n"/>
    </row>
    <row r="2693">
      <c r="A2693" s="18">
        <f>IF(ISNUMBER(Dossiers!$D$53),Dossiers!$A$53&amp;" · "&amp;Dossiers!$B$53,"")</f>
        <v/>
      </c>
      <c r="B2693" s="18">
        <f>IF($A2693="","",Paramètres!G47)</f>
        <v/>
      </c>
      <c r="C2693" s="18">
        <f>IF($A2693="","",IF(Paramètres!H47="","",Paramètres!H47))</f>
        <v/>
      </c>
      <c r="D2693" s="18">
        <f>IF($A2693="","",IF(Paramètres!I47="","",Paramètres!I47))</f>
        <v/>
      </c>
      <c r="E2693" s="19">
        <f>IF($A2693="","",IF(Paramètres!J47&amp;Paramètres!L47&amp;Paramètres!N47="",Dossiers!$D$53,MAX(IF(Paramètres!J47="",0,IF(Paramètres!K47="",NA(),IF(LEFT(TRIM(Paramètres!K47),1)="F",INDEX($F$2651:$F$2703,MATCH(Paramètres!J47,Paramètres!$G$5:$G$57,0)),INDEX($E$2651:$E$2703,MATCH(Paramètres!J47,Paramètres!$G$5:$G$57,0)))+IF(RIGHT(TRIM(Paramètres!K47),3)="Fin",1-$H2693,IF(LEFT(TRIM(Paramètres!K47),1)="F",1,0)))),IF(Paramètres!L47="",0,IF(Paramètres!M47="",NA(),IF(LEFT(TRIM(Paramètres!M47),1)="F",INDEX($F$2651:$F$2703,MATCH(Paramètres!L47,Paramètres!$G$5:$G$57,0)),INDEX($E$2651:$E$2703,MATCH(Paramètres!L47,Paramètres!$G$5:$G$57,0)))+IF(RIGHT(TRIM(Paramètres!M47),3)="Fin",1-$H2693,IF(LEFT(TRIM(Paramètres!M47),1)="F",1,0)))),IF(Paramètres!N47="",0,IF(Paramètres!O47="",NA(),IF(LEFT(TRIM(Paramètres!O47),1)="F",INDEX($F$2651:$F$2703,MATCH(Paramètres!N47,Paramètres!$G$5:$G$57,0)),INDEX($E$2651:$E$2703,MATCH(Paramètres!N47,Paramètres!$G$5:$G$57,0)))+IF(RIGHT(TRIM(Paramètres!O47),3)="Fin",1-$H2693,IF(LEFT(TRIM(Paramètres!O47),1)="F",1,0)))))))</f>
        <v/>
      </c>
      <c r="F2693" s="19">
        <f>IF($A2693="","",E2693+$H2693-1)</f>
        <v/>
      </c>
      <c r="G2693" s="18" t="n"/>
      <c r="H2693" s="18">
        <f>IF($A2693="","",IF(I2693&lt;&gt;"",I2693,Paramètres!B47))</f>
        <v/>
      </c>
      <c r="I2693" s="18" t="n"/>
    </row>
    <row r="2694">
      <c r="A2694" s="18">
        <f>IF(ISNUMBER(Dossiers!$D$53),Dossiers!$A$53&amp;" · "&amp;Dossiers!$B$53,"")</f>
        <v/>
      </c>
      <c r="B2694" s="18">
        <f>IF($A2694="","",Paramètres!G48)</f>
        <v/>
      </c>
      <c r="C2694" s="18">
        <f>IF($A2694="","",IF(Paramètres!H48="","",Paramètres!H48))</f>
        <v/>
      </c>
      <c r="D2694" s="18">
        <f>IF($A2694="","",IF(Paramètres!I48="","",Paramètres!I48))</f>
        <v/>
      </c>
      <c r="E2694" s="19">
        <f>IF($A2694="","",IF(Paramètres!J48&amp;Paramètres!L48&amp;Paramètres!N48="",Dossiers!$D$53,MAX(IF(Paramètres!J48="",0,IF(Paramètres!K48="",NA(),IF(LEFT(TRIM(Paramètres!K48),1)="F",INDEX($F$2651:$F$2703,MATCH(Paramètres!J48,Paramètres!$G$5:$G$57,0)),INDEX($E$2651:$E$2703,MATCH(Paramètres!J48,Paramètres!$G$5:$G$57,0)))+IF(RIGHT(TRIM(Paramètres!K48),3)="Fin",1-$H2694,IF(LEFT(TRIM(Paramètres!K48),1)="F",1,0)))),IF(Paramètres!L48="",0,IF(Paramètres!M48="",NA(),IF(LEFT(TRIM(Paramètres!M48),1)="F",INDEX($F$2651:$F$2703,MATCH(Paramètres!L48,Paramètres!$G$5:$G$57,0)),INDEX($E$2651:$E$2703,MATCH(Paramètres!L48,Paramètres!$G$5:$G$57,0)))+IF(RIGHT(TRIM(Paramètres!M48),3)="Fin",1-$H2694,IF(LEFT(TRIM(Paramètres!M48),1)="F",1,0)))),IF(Paramètres!N48="",0,IF(Paramètres!O48="",NA(),IF(LEFT(TRIM(Paramètres!O48),1)="F",INDEX($F$2651:$F$2703,MATCH(Paramètres!N48,Paramètres!$G$5:$G$57,0)),INDEX($E$2651:$E$2703,MATCH(Paramètres!N48,Paramètres!$G$5:$G$57,0)))+IF(RIGHT(TRIM(Paramètres!O48),3)="Fin",1-$H2694,IF(LEFT(TRIM(Paramètres!O48),1)="F",1,0)))))))</f>
        <v/>
      </c>
      <c r="F2694" s="19">
        <f>IF($A2694="","",E2694+$H2694-1)</f>
        <v/>
      </c>
      <c r="G2694" s="18" t="n"/>
      <c r="H2694" s="18">
        <f>IF($A2694="","",IF(I2694&lt;&gt;"",I2694,Paramètres!B48))</f>
        <v/>
      </c>
      <c r="I2694" s="18" t="n"/>
    </row>
    <row r="2695">
      <c r="A2695" s="18">
        <f>IF(ISNUMBER(Dossiers!$D$53),Dossiers!$A$53&amp;" · "&amp;Dossiers!$B$53,"")</f>
        <v/>
      </c>
      <c r="B2695" s="18">
        <f>IF($A2695="","",Paramètres!G49)</f>
        <v/>
      </c>
      <c r="C2695" s="18">
        <f>IF($A2695="","",IF(Paramètres!H49="","",Paramètres!H49))</f>
        <v/>
      </c>
      <c r="D2695" s="18">
        <f>IF($A2695="","",IF(Paramètres!I49="","",Paramètres!I49))</f>
        <v/>
      </c>
      <c r="E2695" s="19">
        <f>IF($A2695="","",IF(Paramètres!J49&amp;Paramètres!L49&amp;Paramètres!N49="",Dossiers!$D$53,MAX(IF(Paramètres!J49="",0,IF(Paramètres!K49="",NA(),IF(LEFT(TRIM(Paramètres!K49),1)="F",INDEX($F$2651:$F$2703,MATCH(Paramètres!J49,Paramètres!$G$5:$G$57,0)),INDEX($E$2651:$E$2703,MATCH(Paramètres!J49,Paramètres!$G$5:$G$57,0)))+IF(RIGHT(TRIM(Paramètres!K49),3)="Fin",1-$H2695,IF(LEFT(TRIM(Paramètres!K49),1)="F",1,0)))),IF(Paramètres!L49="",0,IF(Paramètres!M49="",NA(),IF(LEFT(TRIM(Paramètres!M49),1)="F",INDEX($F$2651:$F$2703,MATCH(Paramètres!L49,Paramètres!$G$5:$G$57,0)),INDEX($E$2651:$E$2703,MATCH(Paramètres!L49,Paramètres!$G$5:$G$57,0)))+IF(RIGHT(TRIM(Paramètres!M49),3)="Fin",1-$H2695,IF(LEFT(TRIM(Paramètres!M49),1)="F",1,0)))),IF(Paramètres!N49="",0,IF(Paramètres!O49="",NA(),IF(LEFT(TRIM(Paramètres!O49),1)="F",INDEX($F$2651:$F$2703,MATCH(Paramètres!N49,Paramètres!$G$5:$G$57,0)),INDEX($E$2651:$E$2703,MATCH(Paramètres!N49,Paramètres!$G$5:$G$57,0)))+IF(RIGHT(TRIM(Paramètres!O49),3)="Fin",1-$H2695,IF(LEFT(TRIM(Paramètres!O49),1)="F",1,0)))))))</f>
        <v/>
      </c>
      <c r="F2695" s="19">
        <f>IF($A2695="","",E2695+$H2695-1)</f>
        <v/>
      </c>
      <c r="G2695" s="18" t="n"/>
      <c r="H2695" s="18">
        <f>IF($A2695="","",IF(I2695&lt;&gt;"",I2695,Paramètres!B49))</f>
        <v/>
      </c>
      <c r="I2695" s="18" t="n"/>
    </row>
    <row r="2696">
      <c r="A2696" s="18">
        <f>IF(ISNUMBER(Dossiers!$D$53),Dossiers!$A$53&amp;" · "&amp;Dossiers!$B$53,"")</f>
        <v/>
      </c>
      <c r="B2696" s="18">
        <f>IF($A2696="","",Paramètres!G50)</f>
        <v/>
      </c>
      <c r="C2696" s="18">
        <f>IF($A2696="","",IF(Paramètres!H50="","",Paramètres!H50))</f>
        <v/>
      </c>
      <c r="D2696" s="18">
        <f>IF($A2696="","",IF(Paramètres!I50="","",Paramètres!I50))</f>
        <v/>
      </c>
      <c r="E2696" s="19">
        <f>IF($A2696="","",IF(Paramètres!J50&amp;Paramètres!L50&amp;Paramètres!N50="",Dossiers!$D$53,MAX(IF(Paramètres!J50="",0,IF(Paramètres!K50="",NA(),IF(LEFT(TRIM(Paramètres!K50),1)="F",INDEX($F$2651:$F$2703,MATCH(Paramètres!J50,Paramètres!$G$5:$G$57,0)),INDEX($E$2651:$E$2703,MATCH(Paramètres!J50,Paramètres!$G$5:$G$57,0)))+IF(RIGHT(TRIM(Paramètres!K50),3)="Fin",1-$H2696,IF(LEFT(TRIM(Paramètres!K50),1)="F",1,0)))),IF(Paramètres!L50="",0,IF(Paramètres!M50="",NA(),IF(LEFT(TRIM(Paramètres!M50),1)="F",INDEX($F$2651:$F$2703,MATCH(Paramètres!L50,Paramètres!$G$5:$G$57,0)),INDEX($E$2651:$E$2703,MATCH(Paramètres!L50,Paramètres!$G$5:$G$57,0)))+IF(RIGHT(TRIM(Paramètres!M50),3)="Fin",1-$H2696,IF(LEFT(TRIM(Paramètres!M50),1)="F",1,0)))),IF(Paramètres!N50="",0,IF(Paramètres!O50="",NA(),IF(LEFT(TRIM(Paramètres!O50),1)="F",INDEX($F$2651:$F$2703,MATCH(Paramètres!N50,Paramètres!$G$5:$G$57,0)),INDEX($E$2651:$E$2703,MATCH(Paramètres!N50,Paramètres!$G$5:$G$57,0)))+IF(RIGHT(TRIM(Paramètres!O50),3)="Fin",1-$H2696,IF(LEFT(TRIM(Paramètres!O50),1)="F",1,0)))))))</f>
        <v/>
      </c>
      <c r="F2696" s="19">
        <f>IF($A2696="","",E2696+$H2696-1)</f>
        <v/>
      </c>
      <c r="G2696" s="18" t="n"/>
      <c r="H2696" s="18">
        <f>IF($A2696="","",IF(I2696&lt;&gt;"",I2696,Paramètres!B50))</f>
        <v/>
      </c>
      <c r="I2696" s="18" t="n"/>
    </row>
    <row r="2697">
      <c r="A2697" s="18">
        <f>IF(ISNUMBER(Dossiers!$D$53),Dossiers!$A$53&amp;" · "&amp;Dossiers!$B$53,"")</f>
        <v/>
      </c>
      <c r="B2697" s="18">
        <f>IF($A2697="","",Paramètres!G51)</f>
        <v/>
      </c>
      <c r="C2697" s="18">
        <f>IF($A2697="","",IF(Paramètres!H51="","",Paramètres!H51))</f>
        <v/>
      </c>
      <c r="D2697" s="18">
        <f>IF($A2697="","",IF(Paramètres!I51="","",Paramètres!I51))</f>
        <v/>
      </c>
      <c r="E2697" s="19">
        <f>IF($A2697="","",IF(Paramètres!J51&amp;Paramètres!L51&amp;Paramètres!N51="",Dossiers!$D$53,MAX(IF(Paramètres!J51="",0,IF(Paramètres!K51="",NA(),IF(LEFT(TRIM(Paramètres!K51),1)="F",INDEX($F$2651:$F$2703,MATCH(Paramètres!J51,Paramètres!$G$5:$G$57,0)),INDEX($E$2651:$E$2703,MATCH(Paramètres!J51,Paramètres!$G$5:$G$57,0)))+IF(RIGHT(TRIM(Paramètres!K51),3)="Fin",1-$H2697,IF(LEFT(TRIM(Paramètres!K51),1)="F",1,0)))),IF(Paramètres!L51="",0,IF(Paramètres!M51="",NA(),IF(LEFT(TRIM(Paramètres!M51),1)="F",INDEX($F$2651:$F$2703,MATCH(Paramètres!L51,Paramètres!$G$5:$G$57,0)),INDEX($E$2651:$E$2703,MATCH(Paramètres!L51,Paramètres!$G$5:$G$57,0)))+IF(RIGHT(TRIM(Paramètres!M51),3)="Fin",1-$H2697,IF(LEFT(TRIM(Paramètres!M51),1)="F",1,0)))),IF(Paramètres!N51="",0,IF(Paramètres!O51="",NA(),IF(LEFT(TRIM(Paramètres!O51),1)="F",INDEX($F$2651:$F$2703,MATCH(Paramètres!N51,Paramètres!$G$5:$G$57,0)),INDEX($E$2651:$E$2703,MATCH(Paramètres!N51,Paramètres!$G$5:$G$57,0)))+IF(RIGHT(TRIM(Paramètres!O51),3)="Fin",1-$H2697,IF(LEFT(TRIM(Paramètres!O51),1)="F",1,0)))))))</f>
        <v/>
      </c>
      <c r="F2697" s="19">
        <f>IF($A2697="","",E2697+$H2697-1)</f>
        <v/>
      </c>
      <c r="G2697" s="18" t="n"/>
      <c r="H2697" s="18">
        <f>IF($A2697="","",IF(I2697&lt;&gt;"",I2697,Paramètres!B51))</f>
        <v/>
      </c>
      <c r="I2697" s="18" t="n"/>
    </row>
    <row r="2698">
      <c r="A2698" s="18">
        <f>IF(ISNUMBER(Dossiers!$D$53),Dossiers!$A$53&amp;" · "&amp;Dossiers!$B$53,"")</f>
        <v/>
      </c>
      <c r="B2698" s="18">
        <f>IF($A2698="","",Paramètres!G52)</f>
        <v/>
      </c>
      <c r="C2698" s="18">
        <f>IF($A2698="","",IF(Paramètres!H52="","",Paramètres!H52))</f>
        <v/>
      </c>
      <c r="D2698" s="18">
        <f>IF($A2698="","",IF(Paramètres!I52="","",Paramètres!I52))</f>
        <v/>
      </c>
      <c r="E2698" s="19">
        <f>IF($A2698="","",IF(Paramètres!J52&amp;Paramètres!L52&amp;Paramètres!N52="",Dossiers!$D$53,MAX(IF(Paramètres!J52="",0,IF(Paramètres!K52="",NA(),IF(LEFT(TRIM(Paramètres!K52),1)="F",INDEX($F$2651:$F$2703,MATCH(Paramètres!J52,Paramètres!$G$5:$G$57,0)),INDEX($E$2651:$E$2703,MATCH(Paramètres!J52,Paramètres!$G$5:$G$57,0)))+IF(RIGHT(TRIM(Paramètres!K52),3)="Fin",1-$H2698,IF(LEFT(TRIM(Paramètres!K52),1)="F",1,0)))),IF(Paramètres!L52="",0,IF(Paramètres!M52="",NA(),IF(LEFT(TRIM(Paramètres!M52),1)="F",INDEX($F$2651:$F$2703,MATCH(Paramètres!L52,Paramètres!$G$5:$G$57,0)),INDEX($E$2651:$E$2703,MATCH(Paramètres!L52,Paramètres!$G$5:$G$57,0)))+IF(RIGHT(TRIM(Paramètres!M52),3)="Fin",1-$H2698,IF(LEFT(TRIM(Paramètres!M52),1)="F",1,0)))),IF(Paramètres!N52="",0,IF(Paramètres!O52="",NA(),IF(LEFT(TRIM(Paramètres!O52),1)="F",INDEX($F$2651:$F$2703,MATCH(Paramètres!N52,Paramètres!$G$5:$G$57,0)),INDEX($E$2651:$E$2703,MATCH(Paramètres!N52,Paramètres!$G$5:$G$57,0)))+IF(RIGHT(TRIM(Paramètres!O52),3)="Fin",1-$H2698,IF(LEFT(TRIM(Paramètres!O52),1)="F",1,0)))))))</f>
        <v/>
      </c>
      <c r="F2698" s="19">
        <f>IF($A2698="","",E2698+$H2698-1)</f>
        <v/>
      </c>
      <c r="G2698" s="18" t="n"/>
      <c r="H2698" s="18">
        <f>IF($A2698="","",IF(I2698&lt;&gt;"",I2698,Paramètres!B52))</f>
        <v/>
      </c>
      <c r="I2698" s="18" t="n"/>
    </row>
    <row r="2699">
      <c r="A2699" s="18">
        <f>IF(ISNUMBER(Dossiers!$D$53),Dossiers!$A$53&amp;" · "&amp;Dossiers!$B$53,"")</f>
        <v/>
      </c>
      <c r="B2699" s="18">
        <f>IF($A2699="","",Paramètres!G53)</f>
        <v/>
      </c>
      <c r="C2699" s="18">
        <f>IF($A2699="","",IF(Paramètres!H53="","",Paramètres!H53))</f>
        <v/>
      </c>
      <c r="D2699" s="18">
        <f>IF($A2699="","",IF(Paramètres!I53="","",Paramètres!I53))</f>
        <v/>
      </c>
      <c r="E2699" s="19">
        <f>IF($A2699="","",IF(Paramètres!J53&amp;Paramètres!L53&amp;Paramètres!N53="",Dossiers!$D$53,MAX(IF(Paramètres!J53="",0,IF(Paramètres!K53="",NA(),IF(LEFT(TRIM(Paramètres!K53),1)="F",INDEX($F$2651:$F$2703,MATCH(Paramètres!J53,Paramètres!$G$5:$G$57,0)),INDEX($E$2651:$E$2703,MATCH(Paramètres!J53,Paramètres!$G$5:$G$57,0)))+IF(RIGHT(TRIM(Paramètres!K53),3)="Fin",1-$H2699,IF(LEFT(TRIM(Paramètres!K53),1)="F",1,0)))),IF(Paramètres!L53="",0,IF(Paramètres!M53="",NA(),IF(LEFT(TRIM(Paramètres!M53),1)="F",INDEX($F$2651:$F$2703,MATCH(Paramètres!L53,Paramètres!$G$5:$G$57,0)),INDEX($E$2651:$E$2703,MATCH(Paramètres!L53,Paramètres!$G$5:$G$57,0)))+IF(RIGHT(TRIM(Paramètres!M53),3)="Fin",1-$H2699,IF(LEFT(TRIM(Paramètres!M53),1)="F",1,0)))),IF(Paramètres!N53="",0,IF(Paramètres!O53="",NA(),IF(LEFT(TRIM(Paramètres!O53),1)="F",INDEX($F$2651:$F$2703,MATCH(Paramètres!N53,Paramètres!$G$5:$G$57,0)),INDEX($E$2651:$E$2703,MATCH(Paramètres!N53,Paramètres!$G$5:$G$57,0)))+IF(RIGHT(TRIM(Paramètres!O53),3)="Fin",1-$H2699,IF(LEFT(TRIM(Paramètres!O53),1)="F",1,0)))))))</f>
        <v/>
      </c>
      <c r="F2699" s="19">
        <f>IF($A2699="","",E2699+$H2699-1)</f>
        <v/>
      </c>
      <c r="G2699" s="18" t="n"/>
      <c r="H2699" s="18">
        <f>IF($A2699="","",IF(I2699&lt;&gt;"",I2699,Paramètres!B53))</f>
        <v/>
      </c>
      <c r="I2699" s="18" t="n"/>
    </row>
    <row r="2700">
      <c r="A2700" s="18">
        <f>IF(ISNUMBER(Dossiers!$D$53),Dossiers!$A$53&amp;" · "&amp;Dossiers!$B$53,"")</f>
        <v/>
      </c>
      <c r="B2700" s="18">
        <f>IF($A2700="","",Paramètres!G54)</f>
        <v/>
      </c>
      <c r="C2700" s="18">
        <f>IF($A2700="","",IF(Paramètres!H54="","",Paramètres!H54))</f>
        <v/>
      </c>
      <c r="D2700" s="18">
        <f>IF($A2700="","",IF(Paramètres!I54="","",Paramètres!I54))</f>
        <v/>
      </c>
      <c r="E2700" s="19">
        <f>IF($A2700="","",IF(Paramètres!J54&amp;Paramètres!L54&amp;Paramètres!N54="",Dossiers!$D$53,MAX(IF(Paramètres!J54="",0,IF(Paramètres!K54="",NA(),IF(LEFT(TRIM(Paramètres!K54),1)="F",INDEX($F$2651:$F$2703,MATCH(Paramètres!J54,Paramètres!$G$5:$G$57,0)),INDEX($E$2651:$E$2703,MATCH(Paramètres!J54,Paramètres!$G$5:$G$57,0)))+IF(RIGHT(TRIM(Paramètres!K54),3)="Fin",1-$H2700,IF(LEFT(TRIM(Paramètres!K54),1)="F",1,0)))),IF(Paramètres!L54="",0,IF(Paramètres!M54="",NA(),IF(LEFT(TRIM(Paramètres!M54),1)="F",INDEX($F$2651:$F$2703,MATCH(Paramètres!L54,Paramètres!$G$5:$G$57,0)),INDEX($E$2651:$E$2703,MATCH(Paramètres!L54,Paramètres!$G$5:$G$57,0)))+IF(RIGHT(TRIM(Paramètres!M54),3)="Fin",1-$H2700,IF(LEFT(TRIM(Paramètres!M54),1)="F",1,0)))),IF(Paramètres!N54="",0,IF(Paramètres!O54="",NA(),IF(LEFT(TRIM(Paramètres!O54),1)="F",INDEX($F$2651:$F$2703,MATCH(Paramètres!N54,Paramètres!$G$5:$G$57,0)),INDEX($E$2651:$E$2703,MATCH(Paramètres!N54,Paramètres!$G$5:$G$57,0)))+IF(RIGHT(TRIM(Paramètres!O54),3)="Fin",1-$H2700,IF(LEFT(TRIM(Paramètres!O54),1)="F",1,0)))))))</f>
        <v/>
      </c>
      <c r="F2700" s="19">
        <f>IF($A2700="","",E2700+$H2700-1)</f>
        <v/>
      </c>
      <c r="G2700" s="18" t="n"/>
      <c r="H2700" s="18">
        <f>IF($A2700="","",IF(I2700&lt;&gt;"",I2700,Paramètres!B54))</f>
        <v/>
      </c>
      <c r="I2700" s="18" t="n"/>
    </row>
    <row r="2701">
      <c r="A2701" s="18">
        <f>IF(ISNUMBER(Dossiers!$D$53),Dossiers!$A$53&amp;" · "&amp;Dossiers!$B$53,"")</f>
        <v/>
      </c>
      <c r="B2701" s="18">
        <f>IF($A2701="","",Paramètres!G55)</f>
        <v/>
      </c>
      <c r="C2701" s="18">
        <f>IF($A2701="","",IF(Paramètres!H55="","",Paramètres!H55))</f>
        <v/>
      </c>
      <c r="D2701" s="18">
        <f>IF($A2701="","",IF(Paramètres!I55="","",Paramètres!I55))</f>
        <v/>
      </c>
      <c r="E2701" s="19">
        <f>IF($A2701="","",IF(Paramètres!J55&amp;Paramètres!L55&amp;Paramètres!N55="",Dossiers!$D$53,MAX(IF(Paramètres!J55="",0,IF(Paramètres!K55="",NA(),IF(LEFT(TRIM(Paramètres!K55),1)="F",INDEX($F$2651:$F$2703,MATCH(Paramètres!J55,Paramètres!$G$5:$G$57,0)),INDEX($E$2651:$E$2703,MATCH(Paramètres!J55,Paramètres!$G$5:$G$57,0)))+IF(RIGHT(TRIM(Paramètres!K55),3)="Fin",1-$H2701,IF(LEFT(TRIM(Paramètres!K55),1)="F",1,0)))),IF(Paramètres!L55="",0,IF(Paramètres!M55="",NA(),IF(LEFT(TRIM(Paramètres!M55),1)="F",INDEX($F$2651:$F$2703,MATCH(Paramètres!L55,Paramètres!$G$5:$G$57,0)),INDEX($E$2651:$E$2703,MATCH(Paramètres!L55,Paramètres!$G$5:$G$57,0)))+IF(RIGHT(TRIM(Paramètres!M55),3)="Fin",1-$H2701,IF(LEFT(TRIM(Paramètres!M55),1)="F",1,0)))),IF(Paramètres!N55="",0,IF(Paramètres!O55="",NA(),IF(LEFT(TRIM(Paramètres!O55),1)="F",INDEX($F$2651:$F$2703,MATCH(Paramètres!N55,Paramètres!$G$5:$G$57,0)),INDEX($E$2651:$E$2703,MATCH(Paramètres!N55,Paramètres!$G$5:$G$57,0)))+IF(RIGHT(TRIM(Paramètres!O55),3)="Fin",1-$H2701,IF(LEFT(TRIM(Paramètres!O55),1)="F",1,0)))))))</f>
        <v/>
      </c>
      <c r="F2701" s="19">
        <f>IF($A2701="","",E2701+$H2701-1)</f>
        <v/>
      </c>
      <c r="G2701" s="18" t="n"/>
      <c r="H2701" s="18">
        <f>IF($A2701="","",IF(I2701&lt;&gt;"",I2701,Paramètres!B55))</f>
        <v/>
      </c>
      <c r="I2701" s="18" t="n"/>
    </row>
    <row r="2702">
      <c r="A2702" s="18">
        <f>IF(ISNUMBER(Dossiers!$D$53),Dossiers!$A$53&amp;" · "&amp;Dossiers!$B$53,"")</f>
        <v/>
      </c>
      <c r="B2702" s="18">
        <f>IF($A2702="","",Paramètres!G56)</f>
        <v/>
      </c>
      <c r="C2702" s="18">
        <f>IF($A2702="","",IF(Paramètres!H56="","",Paramètres!H56))</f>
        <v/>
      </c>
      <c r="D2702" s="18">
        <f>IF($A2702="","",IF(Paramètres!I56="","",Paramètres!I56))</f>
        <v/>
      </c>
      <c r="E2702" s="19">
        <f>IF($A2702="","",MIN(E2703:E2703))</f>
        <v/>
      </c>
      <c r="F2702" s="19">
        <f>IF($A2702="","",MAX(F2703:F2703))</f>
        <v/>
      </c>
      <c r="G2702" s="18" t="n"/>
      <c r="H2702" s="18">
        <f>IF($A2702="","",F2702-E2702+1)</f>
        <v/>
      </c>
      <c r="I2702" s="18" t="n"/>
    </row>
    <row r="2703">
      <c r="A2703" s="18">
        <f>IF(ISNUMBER(Dossiers!$D$53),Dossiers!$A$53&amp;" · "&amp;Dossiers!$B$53,"")</f>
        <v/>
      </c>
      <c r="B2703" s="18">
        <f>IF($A2703="","",Paramètres!G57)</f>
        <v/>
      </c>
      <c r="C2703" s="18">
        <f>IF($A2703="","",IF(Paramètres!H57="","",Paramètres!H57))</f>
        <v/>
      </c>
      <c r="D2703" s="18">
        <f>IF($A2703="","",IF(Paramètres!I57="","",Paramètres!I57))</f>
        <v/>
      </c>
      <c r="E2703" s="19">
        <f>IF($A2703="","",IF(Paramètres!J57&amp;Paramètres!L57&amp;Paramètres!N57="",Dossiers!$D$53,MAX(IF(Paramètres!J57="",0,IF(Paramètres!K57="",NA(),IF(LEFT(TRIM(Paramètres!K57),1)="F",INDEX($F$2651:$F$2703,MATCH(Paramètres!J57,Paramètres!$G$5:$G$57,0)),INDEX($E$2651:$E$2703,MATCH(Paramètres!J57,Paramètres!$G$5:$G$57,0)))+IF(RIGHT(TRIM(Paramètres!K57),3)="Fin",1-$H2703,IF(LEFT(TRIM(Paramètres!K57),1)="F",1,0)))),IF(Paramètres!L57="",0,IF(Paramètres!M57="",NA(),IF(LEFT(TRIM(Paramètres!M57),1)="F",INDEX($F$2651:$F$2703,MATCH(Paramètres!L57,Paramètres!$G$5:$G$57,0)),INDEX($E$2651:$E$2703,MATCH(Paramètres!L57,Paramètres!$G$5:$G$57,0)))+IF(RIGHT(TRIM(Paramètres!M57),3)="Fin",1-$H2703,IF(LEFT(TRIM(Paramètres!M57),1)="F",1,0)))),IF(Paramètres!N57="",0,IF(Paramètres!O57="",NA(),IF(LEFT(TRIM(Paramètres!O57),1)="F",INDEX($F$2651:$F$2703,MATCH(Paramètres!N57,Paramètres!$G$5:$G$57,0)),INDEX($E$2651:$E$2703,MATCH(Paramètres!N57,Paramètres!$G$5:$G$57,0)))+IF(RIGHT(TRIM(Paramètres!O57),3)="Fin",1-$H2703,IF(LEFT(TRIM(Paramètres!O57),1)="F",1,0)))))))</f>
        <v/>
      </c>
      <c r="F2703" s="19">
        <f>IF($A2703="","",E2703+$H2703-1)</f>
        <v/>
      </c>
      <c r="G2703" s="18" t="n"/>
      <c r="H2703" s="18">
        <f>IF($A2703="","",IF(I2703&lt;&gt;"",I2703,Paramètres!B57))</f>
        <v/>
      </c>
      <c r="I2703" s="18" t="n"/>
    </row>
    <row r="2704">
      <c r="A2704" s="16">
        <f>IF(ISNUMBER(Dossiers!$D$54),Dossiers!$E$54,"")</f>
        <v/>
      </c>
      <c r="B2704" s="16">
        <f>IF($A2704="","","Identifiant")</f>
        <v/>
      </c>
      <c r="C2704" s="16">
        <f>IF($A2704="","","Macro Etape")</f>
        <v/>
      </c>
      <c r="D2704" s="16">
        <f>IF($A2704="","","Etape")</f>
        <v/>
      </c>
      <c r="E2704" s="17">
        <f>IF($A2704="","","Début le")</f>
        <v/>
      </c>
      <c r="F2704" s="17">
        <f>IF($A2704="","","Fin prévue le")</f>
        <v/>
      </c>
      <c r="G2704" s="16">
        <f>IF($A2704="","","Statut")</f>
        <v/>
      </c>
      <c r="H2704" s="16">
        <f>IF($A2704="","","Durée (jours)")</f>
        <v/>
      </c>
      <c r="I2704" s="16">
        <f>IF($A2704="","","Durée particulière")</f>
        <v/>
      </c>
      <c r="J2704" s="10">
        <f>IF($A2704="","",HYPERLINK("#'Tableau de bord'!A1","↑ Tableau de bord"))</f>
        <v/>
      </c>
    </row>
    <row r="2705">
      <c r="A2705" s="18">
        <f>IF(ISNUMBER(Dossiers!$D$54),Dossiers!$A$54&amp;" · "&amp;Dossiers!$B$54,"")</f>
        <v/>
      </c>
      <c r="B2705" s="18">
        <f>IF($A2705="","",Paramètres!G5)</f>
        <v/>
      </c>
      <c r="C2705" s="18">
        <f>IF($A2705="","",IF(Paramètres!H5="","",Paramètres!H5))</f>
        <v/>
      </c>
      <c r="D2705" s="18">
        <f>IF($A2705="","",IF(Paramètres!I5="","",Paramètres!I5))</f>
        <v/>
      </c>
      <c r="E2705" s="19">
        <f>IF($A2705="","",MIN(E2706:E2709))</f>
        <v/>
      </c>
      <c r="F2705" s="19">
        <f>IF($A2705="","",MAX(F2706:F2709))</f>
        <v/>
      </c>
      <c r="G2705" s="18" t="n"/>
      <c r="H2705" s="18">
        <f>IF($A2705="","",F2705-E2705+1)</f>
        <v/>
      </c>
      <c r="I2705" s="18" t="n"/>
    </row>
    <row r="2706">
      <c r="A2706" s="18">
        <f>IF(ISNUMBER(Dossiers!$D$54),Dossiers!$A$54&amp;" · "&amp;Dossiers!$B$54,"")</f>
        <v/>
      </c>
      <c r="B2706" s="18">
        <f>IF($A2706="","",Paramètres!G6)</f>
        <v/>
      </c>
      <c r="C2706" s="18">
        <f>IF($A2706="","",IF(Paramètres!H6="","",Paramètres!H6))</f>
        <v/>
      </c>
      <c r="D2706" s="18">
        <f>IF($A2706="","",IF(Paramètres!I6="","",Paramètres!I6))</f>
        <v/>
      </c>
      <c r="E2706" s="19">
        <f>IF($A2706="","",IF(Paramètres!J6&amp;Paramètres!L6&amp;Paramètres!N6="",Dossiers!$D$54,MAX(IF(Paramètres!J6="",0,IF(Paramètres!K6="",NA(),IF(LEFT(TRIM(Paramètres!K6),1)="F",INDEX($F$2705:$F$2757,MATCH(Paramètres!J6,Paramètres!$G$5:$G$57,0)),INDEX($E$2705:$E$2757,MATCH(Paramètres!J6,Paramètres!$G$5:$G$57,0)))+IF(RIGHT(TRIM(Paramètres!K6),3)="Fin",1-$H2706,IF(LEFT(TRIM(Paramètres!K6),1)="F",1,0)))),IF(Paramètres!L6="",0,IF(Paramètres!M6="",NA(),IF(LEFT(TRIM(Paramètres!M6),1)="F",INDEX($F$2705:$F$2757,MATCH(Paramètres!L6,Paramètres!$G$5:$G$57,0)),INDEX($E$2705:$E$2757,MATCH(Paramètres!L6,Paramètres!$G$5:$G$57,0)))+IF(RIGHT(TRIM(Paramètres!M6),3)="Fin",1-$H2706,IF(LEFT(TRIM(Paramètres!M6),1)="F",1,0)))),IF(Paramètres!N6="",0,IF(Paramètres!O6="",NA(),IF(LEFT(TRIM(Paramètres!O6),1)="F",INDEX($F$2705:$F$2757,MATCH(Paramètres!N6,Paramètres!$G$5:$G$57,0)),INDEX($E$2705:$E$2757,MATCH(Paramètres!N6,Paramètres!$G$5:$G$57,0)))+IF(RIGHT(TRIM(Paramètres!O6),3)="Fin",1-$H2706,IF(LEFT(TRIM(Paramètres!O6),1)="F",1,0)))))))</f>
        <v/>
      </c>
      <c r="F2706" s="19">
        <f>IF($A2706="","",E2706+$H2706-1)</f>
        <v/>
      </c>
      <c r="G2706" s="18" t="n"/>
      <c r="H2706" s="18">
        <f>IF($A2706="","",IF(I2706&lt;&gt;"",I2706,Paramètres!B6))</f>
        <v/>
      </c>
      <c r="I2706" s="18" t="n"/>
    </row>
    <row r="2707">
      <c r="A2707" s="18">
        <f>IF(ISNUMBER(Dossiers!$D$54),Dossiers!$A$54&amp;" · "&amp;Dossiers!$B$54,"")</f>
        <v/>
      </c>
      <c r="B2707" s="18">
        <f>IF($A2707="","",Paramètres!G7)</f>
        <v/>
      </c>
      <c r="C2707" s="18">
        <f>IF($A2707="","",IF(Paramètres!H7="","",Paramètres!H7))</f>
        <v/>
      </c>
      <c r="D2707" s="18">
        <f>IF($A2707="","",IF(Paramètres!I7="","",Paramètres!I7))</f>
        <v/>
      </c>
      <c r="E2707" s="19">
        <f>IF($A2707="","",IF(Paramètres!J7&amp;Paramètres!L7&amp;Paramètres!N7="",Dossiers!$D$54,MAX(IF(Paramètres!J7="",0,IF(Paramètres!K7="",NA(),IF(LEFT(TRIM(Paramètres!K7),1)="F",INDEX($F$2705:$F$2757,MATCH(Paramètres!J7,Paramètres!$G$5:$G$57,0)),INDEX($E$2705:$E$2757,MATCH(Paramètres!J7,Paramètres!$G$5:$G$57,0)))+IF(RIGHT(TRIM(Paramètres!K7),3)="Fin",1-$H2707,IF(LEFT(TRIM(Paramètres!K7),1)="F",1,0)))),IF(Paramètres!L7="",0,IF(Paramètres!M7="",NA(),IF(LEFT(TRIM(Paramètres!M7),1)="F",INDEX($F$2705:$F$2757,MATCH(Paramètres!L7,Paramètres!$G$5:$G$57,0)),INDEX($E$2705:$E$2757,MATCH(Paramètres!L7,Paramètres!$G$5:$G$57,0)))+IF(RIGHT(TRIM(Paramètres!M7),3)="Fin",1-$H2707,IF(LEFT(TRIM(Paramètres!M7),1)="F",1,0)))),IF(Paramètres!N7="",0,IF(Paramètres!O7="",NA(),IF(LEFT(TRIM(Paramètres!O7),1)="F",INDEX($F$2705:$F$2757,MATCH(Paramètres!N7,Paramètres!$G$5:$G$57,0)),INDEX($E$2705:$E$2757,MATCH(Paramètres!N7,Paramètres!$G$5:$G$57,0)))+IF(RIGHT(TRIM(Paramètres!O7),3)="Fin",1-$H2707,IF(LEFT(TRIM(Paramètres!O7),1)="F",1,0)))))))</f>
        <v/>
      </c>
      <c r="F2707" s="19">
        <f>IF($A2707="","",E2707+$H2707-1)</f>
        <v/>
      </c>
      <c r="G2707" s="18" t="n"/>
      <c r="H2707" s="18">
        <f>IF($A2707="","",IF(I2707&lt;&gt;"",I2707,Paramètres!B7))</f>
        <v/>
      </c>
      <c r="I2707" s="18" t="n"/>
    </row>
    <row r="2708">
      <c r="A2708" s="18">
        <f>IF(ISNUMBER(Dossiers!$D$54),Dossiers!$A$54&amp;" · "&amp;Dossiers!$B$54,"")</f>
        <v/>
      </c>
      <c r="B2708" s="18">
        <f>IF($A2708="","",Paramètres!G8)</f>
        <v/>
      </c>
      <c r="C2708" s="18">
        <f>IF($A2708="","",IF(Paramètres!H8="","",Paramètres!H8))</f>
        <v/>
      </c>
      <c r="D2708" s="18">
        <f>IF($A2708="","",IF(Paramètres!I8="","",Paramètres!I8))</f>
        <v/>
      </c>
      <c r="E2708" s="19">
        <f>IF($A2708="","",IF(Paramètres!J8&amp;Paramètres!L8&amp;Paramètres!N8="",Dossiers!$D$54,MAX(IF(Paramètres!J8="",0,IF(Paramètres!K8="",NA(),IF(LEFT(TRIM(Paramètres!K8),1)="F",INDEX($F$2705:$F$2757,MATCH(Paramètres!J8,Paramètres!$G$5:$G$57,0)),INDEX($E$2705:$E$2757,MATCH(Paramètres!J8,Paramètres!$G$5:$G$57,0)))+IF(RIGHT(TRIM(Paramètres!K8),3)="Fin",1-$H2708,IF(LEFT(TRIM(Paramètres!K8),1)="F",1,0)))),IF(Paramètres!L8="",0,IF(Paramètres!M8="",NA(),IF(LEFT(TRIM(Paramètres!M8),1)="F",INDEX($F$2705:$F$2757,MATCH(Paramètres!L8,Paramètres!$G$5:$G$57,0)),INDEX($E$2705:$E$2757,MATCH(Paramètres!L8,Paramètres!$G$5:$G$57,0)))+IF(RIGHT(TRIM(Paramètres!M8),3)="Fin",1-$H2708,IF(LEFT(TRIM(Paramètres!M8),1)="F",1,0)))),IF(Paramètres!N8="",0,IF(Paramètres!O8="",NA(),IF(LEFT(TRIM(Paramètres!O8),1)="F",INDEX($F$2705:$F$2757,MATCH(Paramètres!N8,Paramètres!$G$5:$G$57,0)),INDEX($E$2705:$E$2757,MATCH(Paramètres!N8,Paramètres!$G$5:$G$57,0)))+IF(RIGHT(TRIM(Paramètres!O8),3)="Fin",1-$H2708,IF(LEFT(TRIM(Paramètres!O8),1)="F",1,0)))))))</f>
        <v/>
      </c>
      <c r="F2708" s="19">
        <f>IF($A2708="","",E2708+$H2708-1)</f>
        <v/>
      </c>
      <c r="G2708" s="18" t="n"/>
      <c r="H2708" s="18">
        <f>IF($A2708="","",IF(I2708&lt;&gt;"",I2708,Paramètres!B8))</f>
        <v/>
      </c>
      <c r="I2708" s="18" t="n"/>
    </row>
    <row r="2709">
      <c r="A2709" s="18">
        <f>IF(ISNUMBER(Dossiers!$D$54),Dossiers!$A$54&amp;" · "&amp;Dossiers!$B$54,"")</f>
        <v/>
      </c>
      <c r="B2709" s="18">
        <f>IF($A2709="","",Paramètres!G9)</f>
        <v/>
      </c>
      <c r="C2709" s="18">
        <f>IF($A2709="","",IF(Paramètres!H9="","",Paramètres!H9))</f>
        <v/>
      </c>
      <c r="D2709" s="18">
        <f>IF($A2709="","",IF(Paramètres!I9="","",Paramètres!I9))</f>
        <v/>
      </c>
      <c r="E2709" s="19">
        <f>IF($A2709="","",IF(Paramètres!J9&amp;Paramètres!L9&amp;Paramètres!N9="",Dossiers!$D$54,MAX(IF(Paramètres!J9="",0,IF(Paramètres!K9="",NA(),IF(LEFT(TRIM(Paramètres!K9),1)="F",INDEX($F$2705:$F$2757,MATCH(Paramètres!J9,Paramètres!$G$5:$G$57,0)),INDEX($E$2705:$E$2757,MATCH(Paramètres!J9,Paramètres!$G$5:$G$57,0)))+IF(RIGHT(TRIM(Paramètres!K9),3)="Fin",1-$H2709,IF(LEFT(TRIM(Paramètres!K9),1)="F",1,0)))),IF(Paramètres!L9="",0,IF(Paramètres!M9="",NA(),IF(LEFT(TRIM(Paramètres!M9),1)="F",INDEX($F$2705:$F$2757,MATCH(Paramètres!L9,Paramètres!$G$5:$G$57,0)),INDEX($E$2705:$E$2757,MATCH(Paramètres!L9,Paramètres!$G$5:$G$57,0)))+IF(RIGHT(TRIM(Paramètres!M9),3)="Fin",1-$H2709,IF(LEFT(TRIM(Paramètres!M9),1)="F",1,0)))),IF(Paramètres!N9="",0,IF(Paramètres!O9="",NA(),IF(LEFT(TRIM(Paramètres!O9),1)="F",INDEX($F$2705:$F$2757,MATCH(Paramètres!N9,Paramètres!$G$5:$G$57,0)),INDEX($E$2705:$E$2757,MATCH(Paramètres!N9,Paramètres!$G$5:$G$57,0)))+IF(RIGHT(TRIM(Paramètres!O9),3)="Fin",1-$H2709,IF(LEFT(TRIM(Paramètres!O9),1)="F",1,0)))))))</f>
        <v/>
      </c>
      <c r="F2709" s="19">
        <f>IF($A2709="","",E2709+$H2709-1)</f>
        <v/>
      </c>
      <c r="G2709" s="18" t="n"/>
      <c r="H2709" s="18">
        <f>IF($A2709="","",IF(I2709&lt;&gt;"",I2709,Paramètres!B9))</f>
        <v/>
      </c>
      <c r="I2709" s="18" t="n"/>
    </row>
    <row r="2710">
      <c r="A2710" s="18">
        <f>IF(ISNUMBER(Dossiers!$D$54),Dossiers!$A$54&amp;" · "&amp;Dossiers!$B$54,"")</f>
        <v/>
      </c>
      <c r="B2710" s="18">
        <f>IF($A2710="","",Paramètres!G10)</f>
        <v/>
      </c>
      <c r="C2710" s="18">
        <f>IF($A2710="","",IF(Paramètres!H10="","",Paramètres!H10))</f>
        <v/>
      </c>
      <c r="D2710" s="18">
        <f>IF($A2710="","",IF(Paramètres!I10="","",Paramètres!I10))</f>
        <v/>
      </c>
      <c r="E2710" s="19">
        <f>IF($A2710="","",MIN(E2711:E2714))</f>
        <v/>
      </c>
      <c r="F2710" s="19">
        <f>IF($A2710="","",MAX(F2711:F2714))</f>
        <v/>
      </c>
      <c r="G2710" s="18" t="n"/>
      <c r="H2710" s="18">
        <f>IF($A2710="","",F2710-E2710+1)</f>
        <v/>
      </c>
      <c r="I2710" s="18" t="n"/>
    </row>
    <row r="2711">
      <c r="A2711" s="18">
        <f>IF(ISNUMBER(Dossiers!$D$54),Dossiers!$A$54&amp;" · "&amp;Dossiers!$B$54,"")</f>
        <v/>
      </c>
      <c r="B2711" s="18">
        <f>IF($A2711="","",Paramètres!G11)</f>
        <v/>
      </c>
      <c r="C2711" s="18">
        <f>IF($A2711="","",IF(Paramètres!H11="","",Paramètres!H11))</f>
        <v/>
      </c>
      <c r="D2711" s="18">
        <f>IF($A2711="","",IF(Paramètres!I11="","",Paramètres!I11))</f>
        <v/>
      </c>
      <c r="E2711" s="19">
        <f>IF($A2711="","",IF(Paramètres!J11&amp;Paramètres!L11&amp;Paramètres!N11="",Dossiers!$D$54,MAX(IF(Paramètres!J11="",0,IF(Paramètres!K11="",NA(),IF(LEFT(TRIM(Paramètres!K11),1)="F",INDEX($F$2705:$F$2757,MATCH(Paramètres!J11,Paramètres!$G$5:$G$57,0)),INDEX($E$2705:$E$2757,MATCH(Paramètres!J11,Paramètres!$G$5:$G$57,0)))+IF(RIGHT(TRIM(Paramètres!K11),3)="Fin",1-$H2711,IF(LEFT(TRIM(Paramètres!K11),1)="F",1,0)))),IF(Paramètres!L11="",0,IF(Paramètres!M11="",NA(),IF(LEFT(TRIM(Paramètres!M11),1)="F",INDEX($F$2705:$F$2757,MATCH(Paramètres!L11,Paramètres!$G$5:$G$57,0)),INDEX($E$2705:$E$2757,MATCH(Paramètres!L11,Paramètres!$G$5:$G$57,0)))+IF(RIGHT(TRIM(Paramètres!M11),3)="Fin",1-$H2711,IF(LEFT(TRIM(Paramètres!M11),1)="F",1,0)))),IF(Paramètres!N11="",0,IF(Paramètres!O11="",NA(),IF(LEFT(TRIM(Paramètres!O11),1)="F",INDEX($F$2705:$F$2757,MATCH(Paramètres!N11,Paramètres!$G$5:$G$57,0)),INDEX($E$2705:$E$2757,MATCH(Paramètres!N11,Paramètres!$G$5:$G$57,0)))+IF(RIGHT(TRIM(Paramètres!O11),3)="Fin",1-$H2711,IF(LEFT(TRIM(Paramètres!O11),1)="F",1,0)))))))</f>
        <v/>
      </c>
      <c r="F2711" s="19">
        <f>IF($A2711="","",E2711+$H2711-1)</f>
        <v/>
      </c>
      <c r="G2711" s="18" t="n"/>
      <c r="H2711" s="18">
        <f>IF($A2711="","",IF(I2711&lt;&gt;"",I2711,Paramètres!B11))</f>
        <v/>
      </c>
      <c r="I2711" s="18" t="n"/>
    </row>
    <row r="2712">
      <c r="A2712" s="18">
        <f>IF(ISNUMBER(Dossiers!$D$54),Dossiers!$A$54&amp;" · "&amp;Dossiers!$B$54,"")</f>
        <v/>
      </c>
      <c r="B2712" s="18">
        <f>IF($A2712="","",Paramètres!G12)</f>
        <v/>
      </c>
      <c r="C2712" s="18">
        <f>IF($A2712="","",IF(Paramètres!H12="","",Paramètres!H12))</f>
        <v/>
      </c>
      <c r="D2712" s="18">
        <f>IF($A2712="","",IF(Paramètres!I12="","",Paramètres!I12))</f>
        <v/>
      </c>
      <c r="E2712" s="19">
        <f>IF($A2712="","",IF(Paramètres!J12&amp;Paramètres!L12&amp;Paramètres!N12="",Dossiers!$D$54,MAX(IF(Paramètres!J12="",0,IF(Paramètres!K12="",NA(),IF(LEFT(TRIM(Paramètres!K12),1)="F",INDEX($F$2705:$F$2757,MATCH(Paramètres!J12,Paramètres!$G$5:$G$57,0)),INDEX($E$2705:$E$2757,MATCH(Paramètres!J12,Paramètres!$G$5:$G$57,0)))+IF(RIGHT(TRIM(Paramètres!K12),3)="Fin",1-$H2712,IF(LEFT(TRIM(Paramètres!K12),1)="F",1,0)))),IF(Paramètres!L12="",0,IF(Paramètres!M12="",NA(),IF(LEFT(TRIM(Paramètres!M12),1)="F",INDEX($F$2705:$F$2757,MATCH(Paramètres!L12,Paramètres!$G$5:$G$57,0)),INDEX($E$2705:$E$2757,MATCH(Paramètres!L12,Paramètres!$G$5:$G$57,0)))+IF(RIGHT(TRIM(Paramètres!M12),3)="Fin",1-$H2712,IF(LEFT(TRIM(Paramètres!M12),1)="F",1,0)))),IF(Paramètres!N12="",0,IF(Paramètres!O12="",NA(),IF(LEFT(TRIM(Paramètres!O12),1)="F",INDEX($F$2705:$F$2757,MATCH(Paramètres!N12,Paramètres!$G$5:$G$57,0)),INDEX($E$2705:$E$2757,MATCH(Paramètres!N12,Paramètres!$G$5:$G$57,0)))+IF(RIGHT(TRIM(Paramètres!O12),3)="Fin",1-$H2712,IF(LEFT(TRIM(Paramètres!O12),1)="F",1,0)))))))</f>
        <v/>
      </c>
      <c r="F2712" s="19">
        <f>IF($A2712="","",E2712+$H2712-1)</f>
        <v/>
      </c>
      <c r="G2712" s="18" t="n"/>
      <c r="H2712" s="18">
        <f>IF($A2712="","",IF(I2712&lt;&gt;"",I2712,Paramètres!B12))</f>
        <v/>
      </c>
      <c r="I2712" s="18" t="n"/>
    </row>
    <row r="2713">
      <c r="A2713" s="18">
        <f>IF(ISNUMBER(Dossiers!$D$54),Dossiers!$A$54&amp;" · "&amp;Dossiers!$B$54,"")</f>
        <v/>
      </c>
      <c r="B2713" s="18">
        <f>IF($A2713="","",Paramètres!G13)</f>
        <v/>
      </c>
      <c r="C2713" s="18">
        <f>IF($A2713="","",IF(Paramètres!H13="","",Paramètres!H13))</f>
        <v/>
      </c>
      <c r="D2713" s="18">
        <f>IF($A2713="","",IF(Paramètres!I13="","",Paramètres!I13))</f>
        <v/>
      </c>
      <c r="E2713" s="19">
        <f>IF($A2713="","",IF(Paramètres!J13&amp;Paramètres!L13&amp;Paramètres!N13="",Dossiers!$D$54,MAX(IF(Paramètres!J13="",0,IF(Paramètres!K13="",NA(),IF(LEFT(TRIM(Paramètres!K13),1)="F",INDEX($F$2705:$F$2757,MATCH(Paramètres!J13,Paramètres!$G$5:$G$57,0)),INDEX($E$2705:$E$2757,MATCH(Paramètres!J13,Paramètres!$G$5:$G$57,0)))+IF(RIGHT(TRIM(Paramètres!K13),3)="Fin",1-$H2713,IF(LEFT(TRIM(Paramètres!K13),1)="F",1,0)))),IF(Paramètres!L13="",0,IF(Paramètres!M13="",NA(),IF(LEFT(TRIM(Paramètres!M13),1)="F",INDEX($F$2705:$F$2757,MATCH(Paramètres!L13,Paramètres!$G$5:$G$57,0)),INDEX($E$2705:$E$2757,MATCH(Paramètres!L13,Paramètres!$G$5:$G$57,0)))+IF(RIGHT(TRIM(Paramètres!M13),3)="Fin",1-$H2713,IF(LEFT(TRIM(Paramètres!M13),1)="F",1,0)))),IF(Paramètres!N13="",0,IF(Paramètres!O13="",NA(),IF(LEFT(TRIM(Paramètres!O13),1)="F",INDEX($F$2705:$F$2757,MATCH(Paramètres!N13,Paramètres!$G$5:$G$57,0)),INDEX($E$2705:$E$2757,MATCH(Paramètres!N13,Paramètres!$G$5:$G$57,0)))+IF(RIGHT(TRIM(Paramètres!O13),3)="Fin",1-$H2713,IF(LEFT(TRIM(Paramètres!O13),1)="F",1,0)))))))</f>
        <v/>
      </c>
      <c r="F2713" s="19">
        <f>IF($A2713="","",E2713+$H2713-1)</f>
        <v/>
      </c>
      <c r="G2713" s="18" t="n"/>
      <c r="H2713" s="18">
        <f>IF($A2713="","",IF(I2713&lt;&gt;"",I2713,Paramètres!B13))</f>
        <v/>
      </c>
      <c r="I2713" s="18" t="n"/>
    </row>
    <row r="2714">
      <c r="A2714" s="18">
        <f>IF(ISNUMBER(Dossiers!$D$54),Dossiers!$A$54&amp;" · "&amp;Dossiers!$B$54,"")</f>
        <v/>
      </c>
      <c r="B2714" s="18">
        <f>IF($A2714="","",Paramètres!G14)</f>
        <v/>
      </c>
      <c r="C2714" s="18">
        <f>IF($A2714="","",IF(Paramètres!H14="","",Paramètres!H14))</f>
        <v/>
      </c>
      <c r="D2714" s="18">
        <f>IF($A2714="","",IF(Paramètres!I14="","",Paramètres!I14))</f>
        <v/>
      </c>
      <c r="E2714" s="19">
        <f>IF($A2714="","",IF(Paramètres!J14&amp;Paramètres!L14&amp;Paramètres!N14="",Dossiers!$D$54,MAX(IF(Paramètres!J14="",0,IF(Paramètres!K14="",NA(),IF(LEFT(TRIM(Paramètres!K14),1)="F",INDEX($F$2705:$F$2757,MATCH(Paramètres!J14,Paramètres!$G$5:$G$57,0)),INDEX($E$2705:$E$2757,MATCH(Paramètres!J14,Paramètres!$G$5:$G$57,0)))+IF(RIGHT(TRIM(Paramètres!K14),3)="Fin",1-$H2714,IF(LEFT(TRIM(Paramètres!K14),1)="F",1,0)))),IF(Paramètres!L14="",0,IF(Paramètres!M14="",NA(),IF(LEFT(TRIM(Paramètres!M14),1)="F",INDEX($F$2705:$F$2757,MATCH(Paramètres!L14,Paramètres!$G$5:$G$57,0)),INDEX($E$2705:$E$2757,MATCH(Paramètres!L14,Paramètres!$G$5:$G$57,0)))+IF(RIGHT(TRIM(Paramètres!M14),3)="Fin",1-$H2714,IF(LEFT(TRIM(Paramètres!M14),1)="F",1,0)))),IF(Paramètres!N14="",0,IF(Paramètres!O14="",NA(),IF(LEFT(TRIM(Paramètres!O14),1)="F",INDEX($F$2705:$F$2757,MATCH(Paramètres!N14,Paramètres!$G$5:$G$57,0)),INDEX($E$2705:$E$2757,MATCH(Paramètres!N14,Paramètres!$G$5:$G$57,0)))+IF(RIGHT(TRIM(Paramètres!O14),3)="Fin",1-$H2714,IF(LEFT(TRIM(Paramètres!O14),1)="F",1,0)))))))</f>
        <v/>
      </c>
      <c r="F2714" s="19">
        <f>IF($A2714="","",E2714+$H2714-1)</f>
        <v/>
      </c>
      <c r="G2714" s="18" t="n"/>
      <c r="H2714" s="18">
        <f>IF($A2714="","",IF(I2714&lt;&gt;"",I2714,Paramètres!B14))</f>
        <v/>
      </c>
      <c r="I2714" s="18" t="n"/>
    </row>
    <row r="2715">
      <c r="A2715" s="18">
        <f>IF(ISNUMBER(Dossiers!$D$54),Dossiers!$A$54&amp;" · "&amp;Dossiers!$B$54,"")</f>
        <v/>
      </c>
      <c r="B2715" s="18">
        <f>IF($A2715="","",Paramètres!G15)</f>
        <v/>
      </c>
      <c r="C2715" s="18">
        <f>IF($A2715="","",IF(Paramètres!H15="","",Paramètres!H15))</f>
        <v/>
      </c>
      <c r="D2715" s="18">
        <f>IF($A2715="","",IF(Paramètres!I15="","",Paramètres!I15))</f>
        <v/>
      </c>
      <c r="E2715" s="19">
        <f>IF($A2715="","",MIN(E2716:E2731))</f>
        <v/>
      </c>
      <c r="F2715" s="19">
        <f>IF($A2715="","",MAX(F2716:F2731))</f>
        <v/>
      </c>
      <c r="G2715" s="18" t="n"/>
      <c r="H2715" s="18">
        <f>IF($A2715="","",F2715-E2715+1)</f>
        <v/>
      </c>
      <c r="I2715" s="18" t="n"/>
    </row>
    <row r="2716">
      <c r="A2716" s="18">
        <f>IF(ISNUMBER(Dossiers!$D$54),Dossiers!$A$54&amp;" · "&amp;Dossiers!$B$54,"")</f>
        <v/>
      </c>
      <c r="B2716" s="18">
        <f>IF($A2716="","",Paramètres!G16)</f>
        <v/>
      </c>
      <c r="C2716" s="18">
        <f>IF($A2716="","",IF(Paramètres!H16="","",Paramètres!H16))</f>
        <v/>
      </c>
      <c r="D2716" s="18">
        <f>IF($A2716="","",IF(Paramètres!I16="","",Paramètres!I16))</f>
        <v/>
      </c>
      <c r="E2716" s="19">
        <f>IF($A2716="","",IF(Paramètres!J16&amp;Paramètres!L16&amp;Paramètres!N16="",Dossiers!$D$54,MAX(IF(Paramètres!J16="",0,IF(Paramètres!K16="",NA(),IF(LEFT(TRIM(Paramètres!K16),1)="F",INDEX($F$2705:$F$2757,MATCH(Paramètres!J16,Paramètres!$G$5:$G$57,0)),INDEX($E$2705:$E$2757,MATCH(Paramètres!J16,Paramètres!$G$5:$G$57,0)))+IF(RIGHT(TRIM(Paramètres!K16),3)="Fin",1-$H2716,IF(LEFT(TRIM(Paramètres!K16),1)="F",1,0)))),IF(Paramètres!L16="",0,IF(Paramètres!M16="",NA(),IF(LEFT(TRIM(Paramètres!M16),1)="F",INDEX($F$2705:$F$2757,MATCH(Paramètres!L16,Paramètres!$G$5:$G$57,0)),INDEX($E$2705:$E$2757,MATCH(Paramètres!L16,Paramètres!$G$5:$G$57,0)))+IF(RIGHT(TRIM(Paramètres!M16),3)="Fin",1-$H2716,IF(LEFT(TRIM(Paramètres!M16),1)="F",1,0)))),IF(Paramètres!N16="",0,IF(Paramètres!O16="",NA(),IF(LEFT(TRIM(Paramètres!O16),1)="F",INDEX($F$2705:$F$2757,MATCH(Paramètres!N16,Paramètres!$G$5:$G$57,0)),INDEX($E$2705:$E$2757,MATCH(Paramètres!N16,Paramètres!$G$5:$G$57,0)))+IF(RIGHT(TRIM(Paramètres!O16),3)="Fin",1-$H2716,IF(LEFT(TRIM(Paramètres!O16),1)="F",1,0)))))))</f>
        <v/>
      </c>
      <c r="F2716" s="19">
        <f>IF($A2716="","",E2716+$H2716-1)</f>
        <v/>
      </c>
      <c r="G2716" s="18" t="n"/>
      <c r="H2716" s="18">
        <f>IF($A2716="","",IF(I2716&lt;&gt;"",I2716,Paramètres!B16))</f>
        <v/>
      </c>
      <c r="I2716" s="18" t="n"/>
    </row>
    <row r="2717">
      <c r="A2717" s="18">
        <f>IF(ISNUMBER(Dossiers!$D$54),Dossiers!$A$54&amp;" · "&amp;Dossiers!$B$54,"")</f>
        <v/>
      </c>
      <c r="B2717" s="18">
        <f>IF($A2717="","",Paramètres!G17)</f>
        <v/>
      </c>
      <c r="C2717" s="18">
        <f>IF($A2717="","",IF(Paramètres!H17="","",Paramètres!H17))</f>
        <v/>
      </c>
      <c r="D2717" s="18">
        <f>IF($A2717="","",IF(Paramètres!I17="","",Paramètres!I17))</f>
        <v/>
      </c>
      <c r="E2717" s="19">
        <f>IF($A2717="","",IF(Paramètres!J17&amp;Paramètres!L17&amp;Paramètres!N17="",Dossiers!$D$54,MAX(IF(Paramètres!J17="",0,IF(Paramètres!K17="",NA(),IF(LEFT(TRIM(Paramètres!K17),1)="F",INDEX($F$2705:$F$2757,MATCH(Paramètres!J17,Paramètres!$G$5:$G$57,0)),INDEX($E$2705:$E$2757,MATCH(Paramètres!J17,Paramètres!$G$5:$G$57,0)))+IF(RIGHT(TRIM(Paramètres!K17),3)="Fin",1-$H2717,IF(LEFT(TRIM(Paramètres!K17),1)="F",1,0)))),IF(Paramètres!L17="",0,IF(Paramètres!M17="",NA(),IF(LEFT(TRIM(Paramètres!M17),1)="F",INDEX($F$2705:$F$2757,MATCH(Paramètres!L17,Paramètres!$G$5:$G$57,0)),INDEX($E$2705:$E$2757,MATCH(Paramètres!L17,Paramètres!$G$5:$G$57,0)))+IF(RIGHT(TRIM(Paramètres!M17),3)="Fin",1-$H2717,IF(LEFT(TRIM(Paramètres!M17),1)="F",1,0)))),IF(Paramètres!N17="",0,IF(Paramètres!O17="",NA(),IF(LEFT(TRIM(Paramètres!O17),1)="F",INDEX($F$2705:$F$2757,MATCH(Paramètres!N17,Paramètres!$G$5:$G$57,0)),INDEX($E$2705:$E$2757,MATCH(Paramètres!N17,Paramètres!$G$5:$G$57,0)))+IF(RIGHT(TRIM(Paramètres!O17),3)="Fin",1-$H2717,IF(LEFT(TRIM(Paramètres!O17),1)="F",1,0)))))))</f>
        <v/>
      </c>
      <c r="F2717" s="19">
        <f>IF($A2717="","",E2717+$H2717-1)</f>
        <v/>
      </c>
      <c r="G2717" s="18" t="n"/>
      <c r="H2717" s="18">
        <f>IF($A2717="","",IF(I2717&lt;&gt;"",I2717,Paramètres!B17))</f>
        <v/>
      </c>
      <c r="I2717" s="18" t="n"/>
    </row>
    <row r="2718">
      <c r="A2718" s="18">
        <f>IF(ISNUMBER(Dossiers!$D$54),Dossiers!$A$54&amp;" · "&amp;Dossiers!$B$54,"")</f>
        <v/>
      </c>
      <c r="B2718" s="18">
        <f>IF($A2718="","",Paramètres!G18)</f>
        <v/>
      </c>
      <c r="C2718" s="18">
        <f>IF($A2718="","",IF(Paramètres!H18="","",Paramètres!H18))</f>
        <v/>
      </c>
      <c r="D2718" s="18">
        <f>IF($A2718="","",IF(Paramètres!I18="","",Paramètres!I18))</f>
        <v/>
      </c>
      <c r="E2718" s="19">
        <f>IF($A2718="","",IF(Paramètres!J18&amp;Paramètres!L18&amp;Paramètres!N18="",Dossiers!$D$54,MAX(IF(Paramètres!J18="",0,IF(Paramètres!K18="",NA(),IF(LEFT(TRIM(Paramètres!K18),1)="F",INDEX($F$2705:$F$2757,MATCH(Paramètres!J18,Paramètres!$G$5:$G$57,0)),INDEX($E$2705:$E$2757,MATCH(Paramètres!J18,Paramètres!$G$5:$G$57,0)))+IF(RIGHT(TRIM(Paramètres!K18),3)="Fin",1-$H2718,IF(LEFT(TRIM(Paramètres!K18),1)="F",1,0)))),IF(Paramètres!L18="",0,IF(Paramètres!M18="",NA(),IF(LEFT(TRIM(Paramètres!M18),1)="F",INDEX($F$2705:$F$2757,MATCH(Paramètres!L18,Paramètres!$G$5:$G$57,0)),INDEX($E$2705:$E$2757,MATCH(Paramètres!L18,Paramètres!$G$5:$G$57,0)))+IF(RIGHT(TRIM(Paramètres!M18),3)="Fin",1-$H2718,IF(LEFT(TRIM(Paramètres!M18),1)="F",1,0)))),IF(Paramètres!N18="",0,IF(Paramètres!O18="",NA(),IF(LEFT(TRIM(Paramètres!O18),1)="F",INDEX($F$2705:$F$2757,MATCH(Paramètres!N18,Paramètres!$G$5:$G$57,0)),INDEX($E$2705:$E$2757,MATCH(Paramètres!N18,Paramètres!$G$5:$G$57,0)))+IF(RIGHT(TRIM(Paramètres!O18),3)="Fin",1-$H2718,IF(LEFT(TRIM(Paramètres!O18),1)="F",1,0)))))))</f>
        <v/>
      </c>
      <c r="F2718" s="19">
        <f>IF($A2718="","",E2718+$H2718-1)</f>
        <v/>
      </c>
      <c r="G2718" s="18" t="n"/>
      <c r="H2718" s="18">
        <f>IF($A2718="","",IF(I2718&lt;&gt;"",I2718,Paramètres!B18))</f>
        <v/>
      </c>
      <c r="I2718" s="18" t="n"/>
    </row>
    <row r="2719">
      <c r="A2719" s="18">
        <f>IF(ISNUMBER(Dossiers!$D$54),Dossiers!$A$54&amp;" · "&amp;Dossiers!$B$54,"")</f>
        <v/>
      </c>
      <c r="B2719" s="18">
        <f>IF($A2719="","",Paramètres!G19)</f>
        <v/>
      </c>
      <c r="C2719" s="18">
        <f>IF($A2719="","",IF(Paramètres!H19="","",Paramètres!H19))</f>
        <v/>
      </c>
      <c r="D2719" s="18">
        <f>IF($A2719="","",IF(Paramètres!I19="","",Paramètres!I19))</f>
        <v/>
      </c>
      <c r="E2719" s="19">
        <f>IF($A2719="","",IF(Paramètres!J19&amp;Paramètres!L19&amp;Paramètres!N19="",Dossiers!$D$54,MAX(IF(Paramètres!J19="",0,IF(Paramètres!K19="",NA(),IF(LEFT(TRIM(Paramètres!K19),1)="F",INDEX($F$2705:$F$2757,MATCH(Paramètres!J19,Paramètres!$G$5:$G$57,0)),INDEX($E$2705:$E$2757,MATCH(Paramètres!J19,Paramètres!$G$5:$G$57,0)))+IF(RIGHT(TRIM(Paramètres!K19),3)="Fin",1-$H2719,IF(LEFT(TRIM(Paramètres!K19),1)="F",1,0)))),IF(Paramètres!L19="",0,IF(Paramètres!M19="",NA(),IF(LEFT(TRIM(Paramètres!M19),1)="F",INDEX($F$2705:$F$2757,MATCH(Paramètres!L19,Paramètres!$G$5:$G$57,0)),INDEX($E$2705:$E$2757,MATCH(Paramètres!L19,Paramètres!$G$5:$G$57,0)))+IF(RIGHT(TRIM(Paramètres!M19),3)="Fin",1-$H2719,IF(LEFT(TRIM(Paramètres!M19),1)="F",1,0)))),IF(Paramètres!N19="",0,IF(Paramètres!O19="",NA(),IF(LEFT(TRIM(Paramètres!O19),1)="F",INDEX($F$2705:$F$2757,MATCH(Paramètres!N19,Paramètres!$G$5:$G$57,0)),INDEX($E$2705:$E$2757,MATCH(Paramètres!N19,Paramètres!$G$5:$G$57,0)))+IF(RIGHT(TRIM(Paramètres!O19),3)="Fin",1-$H2719,IF(LEFT(TRIM(Paramètres!O19),1)="F",1,0)))))))</f>
        <v/>
      </c>
      <c r="F2719" s="19">
        <f>IF($A2719="","",E2719+$H2719-1)</f>
        <v/>
      </c>
      <c r="G2719" s="18" t="n"/>
      <c r="H2719" s="18">
        <f>IF($A2719="","",IF(I2719&lt;&gt;"",I2719,Paramètres!B19))</f>
        <v/>
      </c>
      <c r="I2719" s="18" t="n"/>
    </row>
    <row r="2720">
      <c r="A2720" s="18">
        <f>IF(ISNUMBER(Dossiers!$D$54),Dossiers!$A$54&amp;" · "&amp;Dossiers!$B$54,"")</f>
        <v/>
      </c>
      <c r="B2720" s="18">
        <f>IF($A2720="","",Paramètres!G20)</f>
        <v/>
      </c>
      <c r="C2720" s="18">
        <f>IF($A2720="","",IF(Paramètres!H20="","",Paramètres!H20))</f>
        <v/>
      </c>
      <c r="D2720" s="18">
        <f>IF($A2720="","",IF(Paramètres!I20="","",Paramètres!I20))</f>
        <v/>
      </c>
      <c r="E2720" s="19">
        <f>IF($A2720="","",IF(Paramètres!J20&amp;Paramètres!L20&amp;Paramètres!N20="",Dossiers!$D$54,MAX(IF(Paramètres!J20="",0,IF(Paramètres!K20="",NA(),IF(LEFT(TRIM(Paramètres!K20),1)="F",INDEX($F$2705:$F$2757,MATCH(Paramètres!J20,Paramètres!$G$5:$G$57,0)),INDEX($E$2705:$E$2757,MATCH(Paramètres!J20,Paramètres!$G$5:$G$57,0)))+IF(RIGHT(TRIM(Paramètres!K20),3)="Fin",1-$H2720,IF(LEFT(TRIM(Paramètres!K20),1)="F",1,0)))),IF(Paramètres!L20="",0,IF(Paramètres!M20="",NA(),IF(LEFT(TRIM(Paramètres!M20),1)="F",INDEX($F$2705:$F$2757,MATCH(Paramètres!L20,Paramètres!$G$5:$G$57,0)),INDEX($E$2705:$E$2757,MATCH(Paramètres!L20,Paramètres!$G$5:$G$57,0)))+IF(RIGHT(TRIM(Paramètres!M20),3)="Fin",1-$H2720,IF(LEFT(TRIM(Paramètres!M20),1)="F",1,0)))),IF(Paramètres!N20="",0,IF(Paramètres!O20="",NA(),IF(LEFT(TRIM(Paramètres!O20),1)="F",INDEX($F$2705:$F$2757,MATCH(Paramètres!N20,Paramètres!$G$5:$G$57,0)),INDEX($E$2705:$E$2757,MATCH(Paramètres!N20,Paramètres!$G$5:$G$57,0)))+IF(RIGHT(TRIM(Paramètres!O20),3)="Fin",1-$H2720,IF(LEFT(TRIM(Paramètres!O20),1)="F",1,0)))))))</f>
        <v/>
      </c>
      <c r="F2720" s="19">
        <f>IF($A2720="","",E2720+$H2720-1)</f>
        <v/>
      </c>
      <c r="G2720" s="18" t="n"/>
      <c r="H2720" s="18">
        <f>IF($A2720="","",IF(I2720&lt;&gt;"",I2720,Paramètres!B20))</f>
        <v/>
      </c>
      <c r="I2720" s="18" t="n"/>
    </row>
    <row r="2721">
      <c r="A2721" s="18">
        <f>IF(ISNUMBER(Dossiers!$D$54),Dossiers!$A$54&amp;" · "&amp;Dossiers!$B$54,"")</f>
        <v/>
      </c>
      <c r="B2721" s="18">
        <f>IF($A2721="","",Paramètres!G21)</f>
        <v/>
      </c>
      <c r="C2721" s="18">
        <f>IF($A2721="","",IF(Paramètres!H21="","",Paramètres!H21))</f>
        <v/>
      </c>
      <c r="D2721" s="18">
        <f>IF($A2721="","",IF(Paramètres!I21="","",Paramètres!I21))</f>
        <v/>
      </c>
      <c r="E2721" s="19">
        <f>IF($A2721="","",IF(Paramètres!J21&amp;Paramètres!L21&amp;Paramètres!N21="",Dossiers!$D$54,MAX(IF(Paramètres!J21="",0,IF(Paramètres!K21="",NA(),IF(LEFT(TRIM(Paramètres!K21),1)="F",INDEX($F$2705:$F$2757,MATCH(Paramètres!J21,Paramètres!$G$5:$G$57,0)),INDEX($E$2705:$E$2757,MATCH(Paramètres!J21,Paramètres!$G$5:$G$57,0)))+IF(RIGHT(TRIM(Paramètres!K21),3)="Fin",1-$H2721,IF(LEFT(TRIM(Paramètres!K21),1)="F",1,0)))),IF(Paramètres!L21="",0,IF(Paramètres!M21="",NA(),IF(LEFT(TRIM(Paramètres!M21),1)="F",INDEX($F$2705:$F$2757,MATCH(Paramètres!L21,Paramètres!$G$5:$G$57,0)),INDEX($E$2705:$E$2757,MATCH(Paramètres!L21,Paramètres!$G$5:$G$57,0)))+IF(RIGHT(TRIM(Paramètres!M21),3)="Fin",1-$H2721,IF(LEFT(TRIM(Paramètres!M21),1)="F",1,0)))),IF(Paramètres!N21="",0,IF(Paramètres!O21="",NA(),IF(LEFT(TRIM(Paramètres!O21),1)="F",INDEX($F$2705:$F$2757,MATCH(Paramètres!N21,Paramètres!$G$5:$G$57,0)),INDEX($E$2705:$E$2757,MATCH(Paramètres!N21,Paramètres!$G$5:$G$57,0)))+IF(RIGHT(TRIM(Paramètres!O21),3)="Fin",1-$H2721,IF(LEFT(TRIM(Paramètres!O21),1)="F",1,0)))))))</f>
        <v/>
      </c>
      <c r="F2721" s="19">
        <f>IF($A2721="","",E2721+$H2721-1)</f>
        <v/>
      </c>
      <c r="G2721" s="18" t="n"/>
      <c r="H2721" s="18">
        <f>IF($A2721="","",IF(I2721&lt;&gt;"",I2721,Paramètres!B21))</f>
        <v/>
      </c>
      <c r="I2721" s="18" t="n"/>
    </row>
    <row r="2722">
      <c r="A2722" s="18">
        <f>IF(ISNUMBER(Dossiers!$D$54),Dossiers!$A$54&amp;" · "&amp;Dossiers!$B$54,"")</f>
        <v/>
      </c>
      <c r="B2722" s="18">
        <f>IF($A2722="","",Paramètres!G22)</f>
        <v/>
      </c>
      <c r="C2722" s="18">
        <f>IF($A2722="","",IF(Paramètres!H22="","",Paramètres!H22))</f>
        <v/>
      </c>
      <c r="D2722" s="18">
        <f>IF($A2722="","",IF(Paramètres!I22="","",Paramètres!I22))</f>
        <v/>
      </c>
      <c r="E2722" s="19">
        <f>IF($A2722="","",IF(Paramètres!J22&amp;Paramètres!L22&amp;Paramètres!N22="",Dossiers!$D$54,MAX(IF(Paramètres!J22="",0,IF(Paramètres!K22="",NA(),IF(LEFT(TRIM(Paramètres!K22),1)="F",INDEX($F$2705:$F$2757,MATCH(Paramètres!J22,Paramètres!$G$5:$G$57,0)),INDEX($E$2705:$E$2757,MATCH(Paramètres!J22,Paramètres!$G$5:$G$57,0)))+IF(RIGHT(TRIM(Paramètres!K22),3)="Fin",1-$H2722,IF(LEFT(TRIM(Paramètres!K22),1)="F",1,0)))),IF(Paramètres!L22="",0,IF(Paramètres!M22="",NA(),IF(LEFT(TRIM(Paramètres!M22),1)="F",INDEX($F$2705:$F$2757,MATCH(Paramètres!L22,Paramètres!$G$5:$G$57,0)),INDEX($E$2705:$E$2757,MATCH(Paramètres!L22,Paramètres!$G$5:$G$57,0)))+IF(RIGHT(TRIM(Paramètres!M22),3)="Fin",1-$H2722,IF(LEFT(TRIM(Paramètres!M22),1)="F",1,0)))),IF(Paramètres!N22="",0,IF(Paramètres!O22="",NA(),IF(LEFT(TRIM(Paramètres!O22),1)="F",INDEX($F$2705:$F$2757,MATCH(Paramètres!N22,Paramètres!$G$5:$G$57,0)),INDEX($E$2705:$E$2757,MATCH(Paramètres!N22,Paramètres!$G$5:$G$57,0)))+IF(RIGHT(TRIM(Paramètres!O22),3)="Fin",1-$H2722,IF(LEFT(TRIM(Paramètres!O22),1)="F",1,0)))))))</f>
        <v/>
      </c>
      <c r="F2722" s="19">
        <f>IF($A2722="","",E2722+$H2722-1)</f>
        <v/>
      </c>
      <c r="G2722" s="18" t="n"/>
      <c r="H2722" s="18">
        <f>IF($A2722="","",IF(I2722&lt;&gt;"",I2722,Paramètres!B22))</f>
        <v/>
      </c>
      <c r="I2722" s="18" t="n"/>
    </row>
    <row r="2723">
      <c r="A2723" s="18">
        <f>IF(ISNUMBER(Dossiers!$D$54),Dossiers!$A$54&amp;" · "&amp;Dossiers!$B$54,"")</f>
        <v/>
      </c>
      <c r="B2723" s="18">
        <f>IF($A2723="","",Paramètres!G23)</f>
        <v/>
      </c>
      <c r="C2723" s="18">
        <f>IF($A2723="","",IF(Paramètres!H23="","",Paramètres!H23))</f>
        <v/>
      </c>
      <c r="D2723" s="18">
        <f>IF($A2723="","",IF(Paramètres!I23="","",Paramètres!I23))</f>
        <v/>
      </c>
      <c r="E2723" s="19">
        <f>IF($A2723="","",IF(Paramètres!J23&amp;Paramètres!L23&amp;Paramètres!N23="",Dossiers!$D$54,MAX(IF(Paramètres!J23="",0,IF(Paramètres!K23="",NA(),IF(LEFT(TRIM(Paramètres!K23),1)="F",INDEX($F$2705:$F$2757,MATCH(Paramètres!J23,Paramètres!$G$5:$G$57,0)),INDEX($E$2705:$E$2757,MATCH(Paramètres!J23,Paramètres!$G$5:$G$57,0)))+IF(RIGHT(TRIM(Paramètres!K23),3)="Fin",1-$H2723,IF(LEFT(TRIM(Paramètres!K23),1)="F",1,0)))),IF(Paramètres!L23="",0,IF(Paramètres!M23="",NA(),IF(LEFT(TRIM(Paramètres!M23),1)="F",INDEX($F$2705:$F$2757,MATCH(Paramètres!L23,Paramètres!$G$5:$G$57,0)),INDEX($E$2705:$E$2757,MATCH(Paramètres!L23,Paramètres!$G$5:$G$57,0)))+IF(RIGHT(TRIM(Paramètres!M23),3)="Fin",1-$H2723,IF(LEFT(TRIM(Paramètres!M23),1)="F",1,0)))),IF(Paramètres!N23="",0,IF(Paramètres!O23="",NA(),IF(LEFT(TRIM(Paramètres!O23),1)="F",INDEX($F$2705:$F$2757,MATCH(Paramètres!N23,Paramètres!$G$5:$G$57,0)),INDEX($E$2705:$E$2757,MATCH(Paramètres!N23,Paramètres!$G$5:$G$57,0)))+IF(RIGHT(TRIM(Paramètres!O23),3)="Fin",1-$H2723,IF(LEFT(TRIM(Paramètres!O23),1)="F",1,0)))))))</f>
        <v/>
      </c>
      <c r="F2723" s="19">
        <f>IF($A2723="","",E2723+$H2723-1)</f>
        <v/>
      </c>
      <c r="G2723" s="18" t="n"/>
      <c r="H2723" s="18">
        <f>IF($A2723="","",IF(I2723&lt;&gt;"",I2723,Paramètres!B23))</f>
        <v/>
      </c>
      <c r="I2723" s="18" t="n"/>
    </row>
    <row r="2724">
      <c r="A2724" s="18">
        <f>IF(ISNUMBER(Dossiers!$D$54),Dossiers!$A$54&amp;" · "&amp;Dossiers!$B$54,"")</f>
        <v/>
      </c>
      <c r="B2724" s="18">
        <f>IF($A2724="","",Paramètres!G24)</f>
        <v/>
      </c>
      <c r="C2724" s="18">
        <f>IF($A2724="","",IF(Paramètres!H24="","",Paramètres!H24))</f>
        <v/>
      </c>
      <c r="D2724" s="18">
        <f>IF($A2724="","",IF(Paramètres!I24="","",Paramètres!I24))</f>
        <v/>
      </c>
      <c r="E2724" s="19">
        <f>IF($A2724="","",IF(Paramètres!J24&amp;Paramètres!L24&amp;Paramètres!N24="",Dossiers!$D$54,MAX(IF(Paramètres!J24="",0,IF(Paramètres!K24="",NA(),IF(LEFT(TRIM(Paramètres!K24),1)="F",INDEX($F$2705:$F$2757,MATCH(Paramètres!J24,Paramètres!$G$5:$G$57,0)),INDEX($E$2705:$E$2757,MATCH(Paramètres!J24,Paramètres!$G$5:$G$57,0)))+IF(RIGHT(TRIM(Paramètres!K24),3)="Fin",1-$H2724,IF(LEFT(TRIM(Paramètres!K24),1)="F",1,0)))),IF(Paramètres!L24="",0,IF(Paramètres!M24="",NA(),IF(LEFT(TRIM(Paramètres!M24),1)="F",INDEX($F$2705:$F$2757,MATCH(Paramètres!L24,Paramètres!$G$5:$G$57,0)),INDEX($E$2705:$E$2757,MATCH(Paramètres!L24,Paramètres!$G$5:$G$57,0)))+IF(RIGHT(TRIM(Paramètres!M24),3)="Fin",1-$H2724,IF(LEFT(TRIM(Paramètres!M24),1)="F",1,0)))),IF(Paramètres!N24="",0,IF(Paramètres!O24="",NA(),IF(LEFT(TRIM(Paramètres!O24),1)="F",INDEX($F$2705:$F$2757,MATCH(Paramètres!N24,Paramètres!$G$5:$G$57,0)),INDEX($E$2705:$E$2757,MATCH(Paramètres!N24,Paramètres!$G$5:$G$57,0)))+IF(RIGHT(TRIM(Paramètres!O24),3)="Fin",1-$H2724,IF(LEFT(TRIM(Paramètres!O24),1)="F",1,0)))))))</f>
        <v/>
      </c>
      <c r="F2724" s="19">
        <f>IF($A2724="","",E2724+$H2724-1)</f>
        <v/>
      </c>
      <c r="G2724" s="18" t="n"/>
      <c r="H2724" s="18">
        <f>IF($A2724="","",IF(I2724&lt;&gt;"",I2724,Paramètres!B24))</f>
        <v/>
      </c>
      <c r="I2724" s="18" t="n"/>
    </row>
    <row r="2725">
      <c r="A2725" s="18">
        <f>IF(ISNUMBER(Dossiers!$D$54),Dossiers!$A$54&amp;" · "&amp;Dossiers!$B$54,"")</f>
        <v/>
      </c>
      <c r="B2725" s="18">
        <f>IF($A2725="","",Paramètres!G25)</f>
        <v/>
      </c>
      <c r="C2725" s="18">
        <f>IF($A2725="","",IF(Paramètres!H25="","",Paramètres!H25))</f>
        <v/>
      </c>
      <c r="D2725" s="18">
        <f>IF($A2725="","",IF(Paramètres!I25="","",Paramètres!I25))</f>
        <v/>
      </c>
      <c r="E2725" s="19">
        <f>IF($A2725="","",IF(Paramètres!J25&amp;Paramètres!L25&amp;Paramètres!N25="",Dossiers!$D$54,MAX(IF(Paramètres!J25="",0,IF(Paramètres!K25="",NA(),IF(LEFT(TRIM(Paramètres!K25),1)="F",INDEX($F$2705:$F$2757,MATCH(Paramètres!J25,Paramètres!$G$5:$G$57,0)),INDEX($E$2705:$E$2757,MATCH(Paramètres!J25,Paramètres!$G$5:$G$57,0)))+IF(RIGHT(TRIM(Paramètres!K25),3)="Fin",1-$H2725,IF(LEFT(TRIM(Paramètres!K25),1)="F",1,0)))),IF(Paramètres!L25="",0,IF(Paramètres!M25="",NA(),IF(LEFT(TRIM(Paramètres!M25),1)="F",INDEX($F$2705:$F$2757,MATCH(Paramètres!L25,Paramètres!$G$5:$G$57,0)),INDEX($E$2705:$E$2757,MATCH(Paramètres!L25,Paramètres!$G$5:$G$57,0)))+IF(RIGHT(TRIM(Paramètres!M25),3)="Fin",1-$H2725,IF(LEFT(TRIM(Paramètres!M25),1)="F",1,0)))),IF(Paramètres!N25="",0,IF(Paramètres!O25="",NA(),IF(LEFT(TRIM(Paramètres!O25),1)="F",INDEX($F$2705:$F$2757,MATCH(Paramètres!N25,Paramètres!$G$5:$G$57,0)),INDEX($E$2705:$E$2757,MATCH(Paramètres!N25,Paramètres!$G$5:$G$57,0)))+IF(RIGHT(TRIM(Paramètres!O25),3)="Fin",1-$H2725,IF(LEFT(TRIM(Paramètres!O25),1)="F",1,0)))))))</f>
        <v/>
      </c>
      <c r="F2725" s="19">
        <f>IF($A2725="","",E2725+$H2725-1)</f>
        <v/>
      </c>
      <c r="G2725" s="18" t="n"/>
      <c r="H2725" s="18">
        <f>IF($A2725="","",IF(I2725&lt;&gt;"",I2725,Paramètres!B25))</f>
        <v/>
      </c>
      <c r="I2725" s="18" t="n"/>
    </row>
    <row r="2726">
      <c r="A2726" s="18">
        <f>IF(ISNUMBER(Dossiers!$D$54),Dossiers!$A$54&amp;" · "&amp;Dossiers!$B$54,"")</f>
        <v/>
      </c>
      <c r="B2726" s="18">
        <f>IF($A2726="","",Paramètres!G26)</f>
        <v/>
      </c>
      <c r="C2726" s="18">
        <f>IF($A2726="","",IF(Paramètres!H26="","",Paramètres!H26))</f>
        <v/>
      </c>
      <c r="D2726" s="18">
        <f>IF($A2726="","",IF(Paramètres!I26="","",Paramètres!I26))</f>
        <v/>
      </c>
      <c r="E2726" s="19">
        <f>IF($A2726="","",IF(Paramètres!J26&amp;Paramètres!L26&amp;Paramètres!N26="",Dossiers!$D$54,MAX(IF(Paramètres!J26="",0,IF(Paramètres!K26="",NA(),IF(LEFT(TRIM(Paramètres!K26),1)="F",INDEX($F$2705:$F$2757,MATCH(Paramètres!J26,Paramètres!$G$5:$G$57,0)),INDEX($E$2705:$E$2757,MATCH(Paramètres!J26,Paramètres!$G$5:$G$57,0)))+IF(RIGHT(TRIM(Paramètres!K26),3)="Fin",1-$H2726,IF(LEFT(TRIM(Paramètres!K26),1)="F",1,0)))),IF(Paramètres!L26="",0,IF(Paramètres!M26="",NA(),IF(LEFT(TRIM(Paramètres!M26),1)="F",INDEX($F$2705:$F$2757,MATCH(Paramètres!L26,Paramètres!$G$5:$G$57,0)),INDEX($E$2705:$E$2757,MATCH(Paramètres!L26,Paramètres!$G$5:$G$57,0)))+IF(RIGHT(TRIM(Paramètres!M26),3)="Fin",1-$H2726,IF(LEFT(TRIM(Paramètres!M26),1)="F",1,0)))),IF(Paramètres!N26="",0,IF(Paramètres!O26="",NA(),IF(LEFT(TRIM(Paramètres!O26),1)="F",INDEX($F$2705:$F$2757,MATCH(Paramètres!N26,Paramètres!$G$5:$G$57,0)),INDEX($E$2705:$E$2757,MATCH(Paramètres!N26,Paramètres!$G$5:$G$57,0)))+IF(RIGHT(TRIM(Paramètres!O26),3)="Fin",1-$H2726,IF(LEFT(TRIM(Paramètres!O26),1)="F",1,0)))))))</f>
        <v/>
      </c>
      <c r="F2726" s="19">
        <f>IF($A2726="","",E2726+$H2726-1)</f>
        <v/>
      </c>
      <c r="G2726" s="18" t="n"/>
      <c r="H2726" s="18">
        <f>IF($A2726="","",IF(I2726&lt;&gt;"",I2726,Paramètres!B26))</f>
        <v/>
      </c>
      <c r="I2726" s="18" t="n"/>
    </row>
    <row r="2727">
      <c r="A2727" s="18">
        <f>IF(ISNUMBER(Dossiers!$D$54),Dossiers!$A$54&amp;" · "&amp;Dossiers!$B$54,"")</f>
        <v/>
      </c>
      <c r="B2727" s="18">
        <f>IF($A2727="","",Paramètres!G27)</f>
        <v/>
      </c>
      <c r="C2727" s="18">
        <f>IF($A2727="","",IF(Paramètres!H27="","",Paramètres!H27))</f>
        <v/>
      </c>
      <c r="D2727" s="18">
        <f>IF($A2727="","",IF(Paramètres!I27="","",Paramètres!I27))</f>
        <v/>
      </c>
      <c r="E2727" s="19">
        <f>IF($A2727="","",IF(Paramètres!J27&amp;Paramètres!L27&amp;Paramètres!N27="",Dossiers!$D$54,MAX(IF(Paramètres!J27="",0,IF(Paramètres!K27="",NA(),IF(LEFT(TRIM(Paramètres!K27),1)="F",INDEX($F$2705:$F$2757,MATCH(Paramètres!J27,Paramètres!$G$5:$G$57,0)),INDEX($E$2705:$E$2757,MATCH(Paramètres!J27,Paramètres!$G$5:$G$57,0)))+IF(RIGHT(TRIM(Paramètres!K27),3)="Fin",1-$H2727,IF(LEFT(TRIM(Paramètres!K27),1)="F",1,0)))),IF(Paramètres!L27="",0,IF(Paramètres!M27="",NA(),IF(LEFT(TRIM(Paramètres!M27),1)="F",INDEX($F$2705:$F$2757,MATCH(Paramètres!L27,Paramètres!$G$5:$G$57,0)),INDEX($E$2705:$E$2757,MATCH(Paramètres!L27,Paramètres!$G$5:$G$57,0)))+IF(RIGHT(TRIM(Paramètres!M27),3)="Fin",1-$H2727,IF(LEFT(TRIM(Paramètres!M27),1)="F",1,0)))),IF(Paramètres!N27="",0,IF(Paramètres!O27="",NA(),IF(LEFT(TRIM(Paramètres!O27),1)="F",INDEX($F$2705:$F$2757,MATCH(Paramètres!N27,Paramètres!$G$5:$G$57,0)),INDEX($E$2705:$E$2757,MATCH(Paramètres!N27,Paramètres!$G$5:$G$57,0)))+IF(RIGHT(TRIM(Paramètres!O27),3)="Fin",1-$H2727,IF(LEFT(TRIM(Paramètres!O27),1)="F",1,0)))))))</f>
        <v/>
      </c>
      <c r="F2727" s="19">
        <f>IF($A2727="","",E2727+$H2727-1)</f>
        <v/>
      </c>
      <c r="G2727" s="18" t="n"/>
      <c r="H2727" s="18">
        <f>IF($A2727="","",IF(I2727&lt;&gt;"",I2727,Paramètres!B27))</f>
        <v/>
      </c>
      <c r="I2727" s="18" t="n"/>
    </row>
    <row r="2728">
      <c r="A2728" s="18">
        <f>IF(ISNUMBER(Dossiers!$D$54),Dossiers!$A$54&amp;" · "&amp;Dossiers!$B$54,"")</f>
        <v/>
      </c>
      <c r="B2728" s="18">
        <f>IF($A2728="","",Paramètres!G28)</f>
        <v/>
      </c>
      <c r="C2728" s="18">
        <f>IF($A2728="","",IF(Paramètres!H28="","",Paramètres!H28))</f>
        <v/>
      </c>
      <c r="D2728" s="18">
        <f>IF($A2728="","",IF(Paramètres!I28="","",Paramètres!I28))</f>
        <v/>
      </c>
      <c r="E2728" s="19">
        <f>IF($A2728="","",IF(Paramètres!J28&amp;Paramètres!L28&amp;Paramètres!N28="",Dossiers!$D$54,MAX(IF(Paramètres!J28="",0,IF(Paramètres!K28="",NA(),IF(LEFT(TRIM(Paramètres!K28),1)="F",INDEX($F$2705:$F$2757,MATCH(Paramètres!J28,Paramètres!$G$5:$G$57,0)),INDEX($E$2705:$E$2757,MATCH(Paramètres!J28,Paramètres!$G$5:$G$57,0)))+IF(RIGHT(TRIM(Paramètres!K28),3)="Fin",1-$H2728,IF(LEFT(TRIM(Paramètres!K28),1)="F",1,0)))),IF(Paramètres!L28="",0,IF(Paramètres!M28="",NA(),IF(LEFT(TRIM(Paramètres!M28),1)="F",INDEX($F$2705:$F$2757,MATCH(Paramètres!L28,Paramètres!$G$5:$G$57,0)),INDEX($E$2705:$E$2757,MATCH(Paramètres!L28,Paramètres!$G$5:$G$57,0)))+IF(RIGHT(TRIM(Paramètres!M28),3)="Fin",1-$H2728,IF(LEFT(TRIM(Paramètres!M28),1)="F",1,0)))),IF(Paramètres!N28="",0,IF(Paramètres!O28="",NA(),IF(LEFT(TRIM(Paramètres!O28),1)="F",INDEX($F$2705:$F$2757,MATCH(Paramètres!N28,Paramètres!$G$5:$G$57,0)),INDEX($E$2705:$E$2757,MATCH(Paramètres!N28,Paramètres!$G$5:$G$57,0)))+IF(RIGHT(TRIM(Paramètres!O28),3)="Fin",1-$H2728,IF(LEFT(TRIM(Paramètres!O28),1)="F",1,0)))))))</f>
        <v/>
      </c>
      <c r="F2728" s="19">
        <f>IF($A2728="","",E2728+$H2728-1)</f>
        <v/>
      </c>
      <c r="G2728" s="18" t="n"/>
      <c r="H2728" s="18">
        <f>IF($A2728="","",IF(I2728&lt;&gt;"",I2728,Paramètres!B28))</f>
        <v/>
      </c>
      <c r="I2728" s="18" t="n"/>
    </row>
    <row r="2729">
      <c r="A2729" s="18">
        <f>IF(ISNUMBER(Dossiers!$D$54),Dossiers!$A$54&amp;" · "&amp;Dossiers!$B$54,"")</f>
        <v/>
      </c>
      <c r="B2729" s="18">
        <f>IF($A2729="","",Paramètres!G29)</f>
        <v/>
      </c>
      <c r="C2729" s="18">
        <f>IF($A2729="","",IF(Paramètres!H29="","",Paramètres!H29))</f>
        <v/>
      </c>
      <c r="D2729" s="18">
        <f>IF($A2729="","",IF(Paramètres!I29="","",Paramètres!I29))</f>
        <v/>
      </c>
      <c r="E2729" s="19">
        <f>IF($A2729="","",IF(Paramètres!J29&amp;Paramètres!L29&amp;Paramètres!N29="",Dossiers!$D$54,MAX(IF(Paramètres!J29="",0,IF(Paramètres!K29="",NA(),IF(LEFT(TRIM(Paramètres!K29),1)="F",INDEX($F$2705:$F$2757,MATCH(Paramètres!J29,Paramètres!$G$5:$G$57,0)),INDEX($E$2705:$E$2757,MATCH(Paramètres!J29,Paramètres!$G$5:$G$57,0)))+IF(RIGHT(TRIM(Paramètres!K29),3)="Fin",1-$H2729,IF(LEFT(TRIM(Paramètres!K29),1)="F",1,0)))),IF(Paramètres!L29="",0,IF(Paramètres!M29="",NA(),IF(LEFT(TRIM(Paramètres!M29),1)="F",INDEX($F$2705:$F$2757,MATCH(Paramètres!L29,Paramètres!$G$5:$G$57,0)),INDEX($E$2705:$E$2757,MATCH(Paramètres!L29,Paramètres!$G$5:$G$57,0)))+IF(RIGHT(TRIM(Paramètres!M29),3)="Fin",1-$H2729,IF(LEFT(TRIM(Paramètres!M29),1)="F",1,0)))),IF(Paramètres!N29="",0,IF(Paramètres!O29="",NA(),IF(LEFT(TRIM(Paramètres!O29),1)="F",INDEX($F$2705:$F$2757,MATCH(Paramètres!N29,Paramètres!$G$5:$G$57,0)),INDEX($E$2705:$E$2757,MATCH(Paramètres!N29,Paramètres!$G$5:$G$57,0)))+IF(RIGHT(TRIM(Paramètres!O29),3)="Fin",1-$H2729,IF(LEFT(TRIM(Paramètres!O29),1)="F",1,0)))))))</f>
        <v/>
      </c>
      <c r="F2729" s="19">
        <f>IF($A2729="","",E2729+$H2729-1)</f>
        <v/>
      </c>
      <c r="G2729" s="18" t="n"/>
      <c r="H2729" s="18">
        <f>IF($A2729="","",IF(I2729&lt;&gt;"",I2729,Paramètres!B29))</f>
        <v/>
      </c>
      <c r="I2729" s="18" t="n"/>
    </row>
    <row r="2730">
      <c r="A2730" s="18">
        <f>IF(ISNUMBER(Dossiers!$D$54),Dossiers!$A$54&amp;" · "&amp;Dossiers!$B$54,"")</f>
        <v/>
      </c>
      <c r="B2730" s="18">
        <f>IF($A2730="","",Paramètres!G30)</f>
        <v/>
      </c>
      <c r="C2730" s="18">
        <f>IF($A2730="","",IF(Paramètres!H30="","",Paramètres!H30))</f>
        <v/>
      </c>
      <c r="D2730" s="18">
        <f>IF($A2730="","",IF(Paramètres!I30="","",Paramètres!I30))</f>
        <v/>
      </c>
      <c r="E2730" s="19">
        <f>IF($A2730="","",IF(Paramètres!J30&amp;Paramètres!L30&amp;Paramètres!N30="",Dossiers!$D$54,MAX(IF(Paramètres!J30="",0,IF(Paramètres!K30="",NA(),IF(LEFT(TRIM(Paramètres!K30),1)="F",INDEX($F$2705:$F$2757,MATCH(Paramètres!J30,Paramètres!$G$5:$G$57,0)),INDEX($E$2705:$E$2757,MATCH(Paramètres!J30,Paramètres!$G$5:$G$57,0)))+IF(RIGHT(TRIM(Paramètres!K30),3)="Fin",1-$H2730,IF(LEFT(TRIM(Paramètres!K30),1)="F",1,0)))),IF(Paramètres!L30="",0,IF(Paramètres!M30="",NA(),IF(LEFT(TRIM(Paramètres!M30),1)="F",INDEX($F$2705:$F$2757,MATCH(Paramètres!L30,Paramètres!$G$5:$G$57,0)),INDEX($E$2705:$E$2757,MATCH(Paramètres!L30,Paramètres!$G$5:$G$57,0)))+IF(RIGHT(TRIM(Paramètres!M30),3)="Fin",1-$H2730,IF(LEFT(TRIM(Paramètres!M30),1)="F",1,0)))),IF(Paramètres!N30="",0,IF(Paramètres!O30="",NA(),IF(LEFT(TRIM(Paramètres!O30),1)="F",INDEX($F$2705:$F$2757,MATCH(Paramètres!N30,Paramètres!$G$5:$G$57,0)),INDEX($E$2705:$E$2757,MATCH(Paramètres!N30,Paramètres!$G$5:$G$57,0)))+IF(RIGHT(TRIM(Paramètres!O30),3)="Fin",1-$H2730,IF(LEFT(TRIM(Paramètres!O30),1)="F",1,0)))))))</f>
        <v/>
      </c>
      <c r="F2730" s="19">
        <f>IF($A2730="","",E2730+$H2730-1)</f>
        <v/>
      </c>
      <c r="G2730" s="18" t="n"/>
      <c r="H2730" s="18">
        <f>IF($A2730="","",IF(I2730&lt;&gt;"",I2730,Paramètres!B30))</f>
        <v/>
      </c>
      <c r="I2730" s="18" t="n"/>
    </row>
    <row r="2731">
      <c r="A2731" s="18">
        <f>IF(ISNUMBER(Dossiers!$D$54),Dossiers!$A$54&amp;" · "&amp;Dossiers!$B$54,"")</f>
        <v/>
      </c>
      <c r="B2731" s="18">
        <f>IF($A2731="","",Paramètres!G31)</f>
        <v/>
      </c>
      <c r="C2731" s="20">
        <f>IF($A2731="","",IF(Dossiers!$F$54="","",Dossiers!$F$54))</f>
        <v/>
      </c>
      <c r="D2731" s="18">
        <f>IF($A2731="","",IF(Paramètres!I31="","",Paramètres!I31))</f>
        <v/>
      </c>
      <c r="E2731" s="19">
        <f>IF($A2731="","",IF(Paramètres!J31&amp;Paramètres!L31&amp;Paramètres!N31="",Dossiers!$D$54,MAX(IF(Paramètres!J31="",0,IF(Paramètres!K31="",NA(),IF(LEFT(TRIM(Paramètres!K31),1)="F",INDEX($F$2705:$F$2757,MATCH(Paramètres!J31,Paramètres!$G$5:$G$57,0)),INDEX($E$2705:$E$2757,MATCH(Paramètres!J31,Paramètres!$G$5:$G$57,0)))+IF(RIGHT(TRIM(Paramètres!K31),3)="Fin",1-$H2731,IF(LEFT(TRIM(Paramètres!K31),1)="F",1,0)))),IF(Paramètres!L31="",0,IF(Paramètres!M31="",NA(),IF(LEFT(TRIM(Paramètres!M31),1)="F",INDEX($F$2705:$F$2757,MATCH(Paramètres!L31,Paramètres!$G$5:$G$57,0)),INDEX($E$2705:$E$2757,MATCH(Paramètres!L31,Paramètres!$G$5:$G$57,0)))+IF(RIGHT(TRIM(Paramètres!M31),3)="Fin",1-$H2731,IF(LEFT(TRIM(Paramètres!M31),1)="F",1,0)))),IF(Paramètres!N31="",0,IF(Paramètres!O31="",NA(),IF(LEFT(TRIM(Paramètres!O31),1)="F",INDEX($F$2705:$F$2757,MATCH(Paramètres!N31,Paramètres!$G$5:$G$57,0)),INDEX($E$2705:$E$2757,MATCH(Paramètres!N31,Paramètres!$G$5:$G$57,0)))+IF(RIGHT(TRIM(Paramètres!O31),3)="Fin",1-$H2731,IF(LEFT(TRIM(Paramètres!O31),1)="F",1,0)))))))</f>
        <v/>
      </c>
      <c r="F2731" s="19">
        <f>IF($A2731="","",E2731+$H2731-1)</f>
        <v/>
      </c>
      <c r="G2731" s="18" t="n"/>
      <c r="H2731" s="18">
        <f>IF($A2731="","",IF(I2731&lt;&gt;"",I2731,Paramètres!B31))</f>
        <v/>
      </c>
      <c r="I2731" s="18" t="n"/>
    </row>
    <row r="2732">
      <c r="A2732" s="18">
        <f>IF(ISNUMBER(Dossiers!$D$54),Dossiers!$A$54&amp;" · "&amp;Dossiers!$B$54,"")</f>
        <v/>
      </c>
      <c r="B2732" s="18">
        <f>IF($A2732="","",Paramètres!G32)</f>
        <v/>
      </c>
      <c r="C2732" s="18">
        <f>IF($A2732="","",IF(Paramètres!H32="","",Paramètres!H32))</f>
        <v/>
      </c>
      <c r="D2732" s="18">
        <f>IF($A2732="","",IF(Paramètres!I32="","",Paramètres!I32))</f>
        <v/>
      </c>
      <c r="E2732" s="19">
        <f>IF($A2732="","",MIN(E2733:E2736))</f>
        <v/>
      </c>
      <c r="F2732" s="19">
        <f>IF($A2732="","",MAX(F2733:F2736))</f>
        <v/>
      </c>
      <c r="G2732" s="18" t="n"/>
      <c r="H2732" s="18">
        <f>IF($A2732="","",F2732-E2732+1)</f>
        <v/>
      </c>
      <c r="I2732" s="18" t="n"/>
    </row>
    <row r="2733">
      <c r="A2733" s="18">
        <f>IF(ISNUMBER(Dossiers!$D$54),Dossiers!$A$54&amp;" · "&amp;Dossiers!$B$54,"")</f>
        <v/>
      </c>
      <c r="B2733" s="18">
        <f>IF($A2733="","",Paramètres!G33)</f>
        <v/>
      </c>
      <c r="C2733" s="18">
        <f>IF($A2733="","",IF(Paramètres!H33="","",Paramètres!H33))</f>
        <v/>
      </c>
      <c r="D2733" s="18">
        <f>IF($A2733="","",IF(Paramètres!I33="","",Paramètres!I33))</f>
        <v/>
      </c>
      <c r="E2733" s="19">
        <f>IF($A2733="","",IF(Paramètres!J33&amp;Paramètres!L33&amp;Paramètres!N33="",Dossiers!$D$54,MAX(IF(Paramètres!J33="",0,IF(Paramètres!K33="",NA(),IF(LEFT(TRIM(Paramètres!K33),1)="F",INDEX($F$2705:$F$2757,MATCH(Paramètres!J33,Paramètres!$G$5:$G$57,0)),INDEX($E$2705:$E$2757,MATCH(Paramètres!J33,Paramètres!$G$5:$G$57,0)))+IF(RIGHT(TRIM(Paramètres!K33),3)="Fin",1-$H2733,IF(LEFT(TRIM(Paramètres!K33),1)="F",1,0)))),IF(Paramètres!L33="",0,IF(Paramètres!M33="",NA(),IF(LEFT(TRIM(Paramètres!M33),1)="F",INDEX($F$2705:$F$2757,MATCH(Paramètres!L33,Paramètres!$G$5:$G$57,0)),INDEX($E$2705:$E$2757,MATCH(Paramètres!L33,Paramètres!$G$5:$G$57,0)))+IF(RIGHT(TRIM(Paramètres!M33),3)="Fin",1-$H2733,IF(LEFT(TRIM(Paramètres!M33),1)="F",1,0)))),IF(Paramètres!N33="",0,IF(Paramètres!O33="",NA(),IF(LEFT(TRIM(Paramètres!O33),1)="F",INDEX($F$2705:$F$2757,MATCH(Paramètres!N33,Paramètres!$G$5:$G$57,0)),INDEX($E$2705:$E$2757,MATCH(Paramètres!N33,Paramètres!$G$5:$G$57,0)))+IF(RIGHT(TRIM(Paramètres!O33),3)="Fin",1-$H2733,IF(LEFT(TRIM(Paramètres!O33),1)="F",1,0)))))))</f>
        <v/>
      </c>
      <c r="F2733" s="19">
        <f>IF($A2733="","",E2733+$H2733-1)</f>
        <v/>
      </c>
      <c r="G2733" s="18" t="n"/>
      <c r="H2733" s="18">
        <f>IF($A2733="","",IF(I2733&lt;&gt;"",I2733,Paramètres!B33))</f>
        <v/>
      </c>
      <c r="I2733" s="18" t="n"/>
    </row>
    <row r="2734">
      <c r="A2734" s="18">
        <f>IF(ISNUMBER(Dossiers!$D$54),Dossiers!$A$54&amp;" · "&amp;Dossiers!$B$54,"")</f>
        <v/>
      </c>
      <c r="B2734" s="18">
        <f>IF($A2734="","",Paramètres!G34)</f>
        <v/>
      </c>
      <c r="C2734" s="18">
        <f>IF($A2734="","",IF(Paramètres!H34="","",Paramètres!H34))</f>
        <v/>
      </c>
      <c r="D2734" s="18">
        <f>IF($A2734="","",IF(Paramètres!I34="","",Paramètres!I34))</f>
        <v/>
      </c>
      <c r="E2734" s="19">
        <f>IF($A2734="","",IF(Paramètres!J34&amp;Paramètres!L34&amp;Paramètres!N34="",Dossiers!$D$54,MAX(IF(Paramètres!J34="",0,IF(Paramètres!K34="",NA(),IF(LEFT(TRIM(Paramètres!K34),1)="F",INDEX($F$2705:$F$2757,MATCH(Paramètres!J34,Paramètres!$G$5:$G$57,0)),INDEX($E$2705:$E$2757,MATCH(Paramètres!J34,Paramètres!$G$5:$G$57,0)))+IF(RIGHT(TRIM(Paramètres!K34),3)="Fin",1-$H2734,IF(LEFT(TRIM(Paramètres!K34),1)="F",1,0)))),IF(Paramètres!L34="",0,IF(Paramètres!M34="",NA(),IF(LEFT(TRIM(Paramètres!M34),1)="F",INDEX($F$2705:$F$2757,MATCH(Paramètres!L34,Paramètres!$G$5:$G$57,0)),INDEX($E$2705:$E$2757,MATCH(Paramètres!L34,Paramètres!$G$5:$G$57,0)))+IF(RIGHT(TRIM(Paramètres!M34),3)="Fin",1-$H2734,IF(LEFT(TRIM(Paramètres!M34),1)="F",1,0)))),IF(Paramètres!N34="",0,IF(Paramètres!O34="",NA(),IF(LEFT(TRIM(Paramètres!O34),1)="F",INDEX($F$2705:$F$2757,MATCH(Paramètres!N34,Paramètres!$G$5:$G$57,0)),INDEX($E$2705:$E$2757,MATCH(Paramètres!N34,Paramètres!$G$5:$G$57,0)))+IF(RIGHT(TRIM(Paramètres!O34),3)="Fin",1-$H2734,IF(LEFT(TRIM(Paramètres!O34),1)="F",1,0)))))))</f>
        <v/>
      </c>
      <c r="F2734" s="19">
        <f>IF($A2734="","",E2734+$H2734-1)</f>
        <v/>
      </c>
      <c r="G2734" s="18" t="n"/>
      <c r="H2734" s="18">
        <f>IF($A2734="","",IF(I2734&lt;&gt;"",I2734,Paramètres!B34))</f>
        <v/>
      </c>
      <c r="I2734" s="18" t="n"/>
    </row>
    <row r="2735">
      <c r="A2735" s="18">
        <f>IF(ISNUMBER(Dossiers!$D$54),Dossiers!$A$54&amp;" · "&amp;Dossiers!$B$54,"")</f>
        <v/>
      </c>
      <c r="B2735" s="18">
        <f>IF($A2735="","",Paramètres!G35)</f>
        <v/>
      </c>
      <c r="C2735" s="18">
        <f>IF($A2735="","",IF(Paramètres!H35="","",Paramètres!H35))</f>
        <v/>
      </c>
      <c r="D2735" s="18">
        <f>IF($A2735="","",IF(Paramètres!I35="","",Paramètres!I35))</f>
        <v/>
      </c>
      <c r="E2735" s="19">
        <f>IF($A2735="","",IF(Paramètres!J35&amp;Paramètres!L35&amp;Paramètres!N35="",Dossiers!$D$54,MAX(IF(Paramètres!J35="",0,IF(Paramètres!K35="",NA(),IF(LEFT(TRIM(Paramètres!K35),1)="F",INDEX($F$2705:$F$2757,MATCH(Paramètres!J35,Paramètres!$G$5:$G$57,0)),INDEX($E$2705:$E$2757,MATCH(Paramètres!J35,Paramètres!$G$5:$G$57,0)))+IF(RIGHT(TRIM(Paramètres!K35),3)="Fin",1-$H2735,IF(LEFT(TRIM(Paramètres!K35),1)="F",1,0)))),IF(Paramètres!L35="",0,IF(Paramètres!M35="",NA(),IF(LEFT(TRIM(Paramètres!M35),1)="F",INDEX($F$2705:$F$2757,MATCH(Paramètres!L35,Paramètres!$G$5:$G$57,0)),INDEX($E$2705:$E$2757,MATCH(Paramètres!L35,Paramètres!$G$5:$G$57,0)))+IF(RIGHT(TRIM(Paramètres!M35),3)="Fin",1-$H2735,IF(LEFT(TRIM(Paramètres!M35),1)="F",1,0)))),IF(Paramètres!N35="",0,IF(Paramètres!O35="",NA(),IF(LEFT(TRIM(Paramètres!O35),1)="F",INDEX($F$2705:$F$2757,MATCH(Paramètres!N35,Paramètres!$G$5:$G$57,0)),INDEX($E$2705:$E$2757,MATCH(Paramètres!N35,Paramètres!$G$5:$G$57,0)))+IF(RIGHT(TRIM(Paramètres!O35),3)="Fin",1-$H2735,IF(LEFT(TRIM(Paramètres!O35),1)="F",1,0)))))))</f>
        <v/>
      </c>
      <c r="F2735" s="19">
        <f>IF($A2735="","",E2735+$H2735-1)</f>
        <v/>
      </c>
      <c r="G2735" s="18" t="n"/>
      <c r="H2735" s="18">
        <f>IF($A2735="","",IF(I2735&lt;&gt;"",I2735,Paramètres!B35))</f>
        <v/>
      </c>
      <c r="I2735" s="18" t="n"/>
    </row>
    <row r="2736">
      <c r="A2736" s="18">
        <f>IF(ISNUMBER(Dossiers!$D$54),Dossiers!$A$54&amp;" · "&amp;Dossiers!$B$54,"")</f>
        <v/>
      </c>
      <c r="B2736" s="18">
        <f>IF($A2736="","",Paramètres!G36)</f>
        <v/>
      </c>
      <c r="C2736" s="18">
        <f>IF($A2736="","",IF(Paramètres!H36="","",Paramètres!H36))</f>
        <v/>
      </c>
      <c r="D2736" s="18">
        <f>IF($A2736="","",IF(Paramètres!I36="","",Paramètres!I36))</f>
        <v/>
      </c>
      <c r="E2736" s="19">
        <f>IF($A2736="","",IF(Paramètres!J36&amp;Paramètres!L36&amp;Paramètres!N36="",Dossiers!$D$54,MAX(IF(Paramètres!J36="",0,IF(Paramètres!K36="",NA(),IF(LEFT(TRIM(Paramètres!K36),1)="F",INDEX($F$2705:$F$2757,MATCH(Paramètres!J36,Paramètres!$G$5:$G$57,0)),INDEX($E$2705:$E$2757,MATCH(Paramètres!J36,Paramètres!$G$5:$G$57,0)))+IF(RIGHT(TRIM(Paramètres!K36),3)="Fin",1-$H2736,IF(LEFT(TRIM(Paramètres!K36),1)="F",1,0)))),IF(Paramètres!L36="",0,IF(Paramètres!M36="",NA(),IF(LEFT(TRIM(Paramètres!M36),1)="F",INDEX($F$2705:$F$2757,MATCH(Paramètres!L36,Paramètres!$G$5:$G$57,0)),INDEX($E$2705:$E$2757,MATCH(Paramètres!L36,Paramètres!$G$5:$G$57,0)))+IF(RIGHT(TRIM(Paramètres!M36),3)="Fin",1-$H2736,IF(LEFT(TRIM(Paramètres!M36),1)="F",1,0)))),IF(Paramètres!N36="",0,IF(Paramètres!O36="",NA(),IF(LEFT(TRIM(Paramètres!O36),1)="F",INDEX($F$2705:$F$2757,MATCH(Paramètres!N36,Paramètres!$G$5:$G$57,0)),INDEX($E$2705:$E$2757,MATCH(Paramètres!N36,Paramètres!$G$5:$G$57,0)))+IF(RIGHT(TRIM(Paramètres!O36),3)="Fin",1-$H2736,IF(LEFT(TRIM(Paramètres!O36),1)="F",1,0)))))))</f>
        <v/>
      </c>
      <c r="F2736" s="19">
        <f>IF($A2736="","",E2736+$H2736-1)</f>
        <v/>
      </c>
      <c r="G2736" s="18" t="n"/>
      <c r="H2736" s="18">
        <f>IF($A2736="","",IF(I2736&lt;&gt;"",I2736,Paramètres!B36))</f>
        <v/>
      </c>
      <c r="I2736" s="18" t="n"/>
    </row>
    <row r="2737">
      <c r="A2737" s="18">
        <f>IF(ISNUMBER(Dossiers!$D$54),Dossiers!$A$54&amp;" · "&amp;Dossiers!$B$54,"")</f>
        <v/>
      </c>
      <c r="B2737" s="18">
        <f>IF($A2737="","",Paramètres!G37)</f>
        <v/>
      </c>
      <c r="C2737" s="18">
        <f>IF($A2737="","",IF(Paramètres!H37="","",Paramètres!H37))</f>
        <v/>
      </c>
      <c r="D2737" s="18">
        <f>IF($A2737="","",IF(Paramètres!I37="","",Paramètres!I37))</f>
        <v/>
      </c>
      <c r="E2737" s="19">
        <f>IF($A2737="","",MIN(E2738:E2755))</f>
        <v/>
      </c>
      <c r="F2737" s="19">
        <f>IF($A2737="","",MAX(F2738:F2755))</f>
        <v/>
      </c>
      <c r="G2737" s="18" t="n"/>
      <c r="H2737" s="18">
        <f>IF($A2737="","",F2737-E2737+1)</f>
        <v/>
      </c>
      <c r="I2737" s="18" t="n"/>
    </row>
    <row r="2738">
      <c r="A2738" s="18">
        <f>IF(ISNUMBER(Dossiers!$D$54),Dossiers!$A$54&amp;" · "&amp;Dossiers!$B$54,"")</f>
        <v/>
      </c>
      <c r="B2738" s="18">
        <f>IF($A2738="","",Paramètres!G38)</f>
        <v/>
      </c>
      <c r="C2738" s="18">
        <f>IF($A2738="","",IF(Paramètres!H38="","",Paramètres!H38))</f>
        <v/>
      </c>
      <c r="D2738" s="18">
        <f>IF($A2738="","",IF(Paramètres!I38="","",Paramètres!I38))</f>
        <v/>
      </c>
      <c r="E2738" s="19">
        <f>IF($A2738="","",IF(Paramètres!J38&amp;Paramètres!L38&amp;Paramètres!N38="",Dossiers!$D$54,MAX(IF(Paramètres!J38="",0,IF(Paramètres!K38="",NA(),IF(LEFT(TRIM(Paramètres!K38),1)="F",INDEX($F$2705:$F$2757,MATCH(Paramètres!J38,Paramètres!$G$5:$G$57,0)),INDEX($E$2705:$E$2757,MATCH(Paramètres!J38,Paramètres!$G$5:$G$57,0)))+IF(RIGHT(TRIM(Paramètres!K38),3)="Fin",1-$H2738,IF(LEFT(TRIM(Paramètres!K38),1)="F",1,0)))),IF(Paramètres!L38="",0,IF(Paramètres!M38="",NA(),IF(LEFT(TRIM(Paramètres!M38),1)="F",INDEX($F$2705:$F$2757,MATCH(Paramètres!L38,Paramètres!$G$5:$G$57,0)),INDEX($E$2705:$E$2757,MATCH(Paramètres!L38,Paramètres!$G$5:$G$57,0)))+IF(RIGHT(TRIM(Paramètres!M38),3)="Fin",1-$H2738,IF(LEFT(TRIM(Paramètres!M38),1)="F",1,0)))),IF(Paramètres!N38="",0,IF(Paramètres!O38="",NA(),IF(LEFT(TRIM(Paramètres!O38),1)="F",INDEX($F$2705:$F$2757,MATCH(Paramètres!N38,Paramètres!$G$5:$G$57,0)),INDEX($E$2705:$E$2757,MATCH(Paramètres!N38,Paramètres!$G$5:$G$57,0)))+IF(RIGHT(TRIM(Paramètres!O38),3)="Fin",1-$H2738,IF(LEFT(TRIM(Paramètres!O38),1)="F",1,0)))))))</f>
        <v/>
      </c>
      <c r="F2738" s="19">
        <f>IF($A2738="","",E2738+$H2738-1)</f>
        <v/>
      </c>
      <c r="G2738" s="18" t="n"/>
      <c r="H2738" s="18">
        <f>IF($A2738="","",IF(I2738&lt;&gt;"",I2738,Paramètres!B38))</f>
        <v/>
      </c>
      <c r="I2738" s="18" t="n"/>
    </row>
    <row r="2739">
      <c r="A2739" s="18">
        <f>IF(ISNUMBER(Dossiers!$D$54),Dossiers!$A$54&amp;" · "&amp;Dossiers!$B$54,"")</f>
        <v/>
      </c>
      <c r="B2739" s="18">
        <f>IF($A2739="","",Paramètres!G39)</f>
        <v/>
      </c>
      <c r="C2739" s="18">
        <f>IF($A2739="","",IF(Paramètres!H39="","",Paramètres!H39))</f>
        <v/>
      </c>
      <c r="D2739" s="18">
        <f>IF($A2739="","",IF(Paramètres!I39="","",Paramètres!I39))</f>
        <v/>
      </c>
      <c r="E2739" s="19">
        <f>IF($A2739="","",IF(Paramètres!J39&amp;Paramètres!L39&amp;Paramètres!N39="",Dossiers!$D$54,MAX(IF(Paramètres!J39="",0,IF(Paramètres!K39="",NA(),IF(LEFT(TRIM(Paramètres!K39),1)="F",INDEX($F$2705:$F$2757,MATCH(Paramètres!J39,Paramètres!$G$5:$G$57,0)),INDEX($E$2705:$E$2757,MATCH(Paramètres!J39,Paramètres!$G$5:$G$57,0)))+IF(RIGHT(TRIM(Paramètres!K39),3)="Fin",1-$H2739,IF(LEFT(TRIM(Paramètres!K39),1)="F",1,0)))),IF(Paramètres!L39="",0,IF(Paramètres!M39="",NA(),IF(LEFT(TRIM(Paramètres!M39),1)="F",INDEX($F$2705:$F$2757,MATCH(Paramètres!L39,Paramètres!$G$5:$G$57,0)),INDEX($E$2705:$E$2757,MATCH(Paramètres!L39,Paramètres!$G$5:$G$57,0)))+IF(RIGHT(TRIM(Paramètres!M39),3)="Fin",1-$H2739,IF(LEFT(TRIM(Paramètres!M39),1)="F",1,0)))),IF(Paramètres!N39="",0,IF(Paramètres!O39="",NA(),IF(LEFT(TRIM(Paramètres!O39),1)="F",INDEX($F$2705:$F$2757,MATCH(Paramètres!N39,Paramètres!$G$5:$G$57,0)),INDEX($E$2705:$E$2757,MATCH(Paramètres!N39,Paramètres!$G$5:$G$57,0)))+IF(RIGHT(TRIM(Paramètres!O39),3)="Fin",1-$H2739,IF(LEFT(TRIM(Paramètres!O39),1)="F",1,0)))))))</f>
        <v/>
      </c>
      <c r="F2739" s="19">
        <f>IF($A2739="","",E2739+$H2739-1)</f>
        <v/>
      </c>
      <c r="G2739" s="18" t="n"/>
      <c r="H2739" s="18">
        <f>IF($A2739="","",IF(I2739&lt;&gt;"",I2739,Paramètres!B39))</f>
        <v/>
      </c>
      <c r="I2739" s="18" t="n"/>
    </row>
    <row r="2740">
      <c r="A2740" s="18">
        <f>IF(ISNUMBER(Dossiers!$D$54),Dossiers!$A$54&amp;" · "&amp;Dossiers!$B$54,"")</f>
        <v/>
      </c>
      <c r="B2740" s="18">
        <f>IF($A2740="","",Paramètres!G40)</f>
        <v/>
      </c>
      <c r="C2740" s="18">
        <f>IF($A2740="","",IF(Paramètres!H40="","",Paramètres!H40))</f>
        <v/>
      </c>
      <c r="D2740" s="18">
        <f>IF($A2740="","",IF(Paramètres!I40="","",Paramètres!I40))</f>
        <v/>
      </c>
      <c r="E2740" s="19">
        <f>IF($A2740="","",IF(Paramètres!J40&amp;Paramètres!L40&amp;Paramètres!N40="",Dossiers!$D$54,MAX(IF(Paramètres!J40="",0,IF(Paramètres!K40="",NA(),IF(LEFT(TRIM(Paramètres!K40),1)="F",INDEX($F$2705:$F$2757,MATCH(Paramètres!J40,Paramètres!$G$5:$G$57,0)),INDEX($E$2705:$E$2757,MATCH(Paramètres!J40,Paramètres!$G$5:$G$57,0)))+IF(RIGHT(TRIM(Paramètres!K40),3)="Fin",1-$H2740,IF(LEFT(TRIM(Paramètres!K40),1)="F",1,0)))),IF(Paramètres!L40="",0,IF(Paramètres!M40="",NA(),IF(LEFT(TRIM(Paramètres!M40),1)="F",INDEX($F$2705:$F$2757,MATCH(Paramètres!L40,Paramètres!$G$5:$G$57,0)),INDEX($E$2705:$E$2757,MATCH(Paramètres!L40,Paramètres!$G$5:$G$57,0)))+IF(RIGHT(TRIM(Paramètres!M40),3)="Fin",1-$H2740,IF(LEFT(TRIM(Paramètres!M40),1)="F",1,0)))),IF(Paramètres!N40="",0,IF(Paramètres!O40="",NA(),IF(LEFT(TRIM(Paramètres!O40),1)="F",INDEX($F$2705:$F$2757,MATCH(Paramètres!N40,Paramètres!$G$5:$G$57,0)),INDEX($E$2705:$E$2757,MATCH(Paramètres!N40,Paramètres!$G$5:$G$57,0)))+IF(RIGHT(TRIM(Paramètres!O40),3)="Fin",1-$H2740,IF(LEFT(TRIM(Paramètres!O40),1)="F",1,0)))))))</f>
        <v/>
      </c>
      <c r="F2740" s="19">
        <f>IF($A2740="","",E2740+$H2740-1)</f>
        <v/>
      </c>
      <c r="G2740" s="18" t="n"/>
      <c r="H2740" s="18">
        <f>IF($A2740="","",IF(I2740&lt;&gt;"",I2740,Paramètres!B40))</f>
        <v/>
      </c>
      <c r="I2740" s="18" t="n"/>
    </row>
    <row r="2741">
      <c r="A2741" s="18">
        <f>IF(ISNUMBER(Dossiers!$D$54),Dossiers!$A$54&amp;" · "&amp;Dossiers!$B$54,"")</f>
        <v/>
      </c>
      <c r="B2741" s="18">
        <f>IF($A2741="","",Paramètres!G41)</f>
        <v/>
      </c>
      <c r="C2741" s="18">
        <f>IF($A2741="","",IF(Paramètres!H41="","",Paramètres!H41))</f>
        <v/>
      </c>
      <c r="D2741" s="18">
        <f>IF($A2741="","",IF(Paramètres!I41="","",Paramètres!I41))</f>
        <v/>
      </c>
      <c r="E2741" s="19">
        <f>IF($A2741="","",IF(Paramètres!J41&amp;Paramètres!L41&amp;Paramètres!N41="",Dossiers!$D$54,MAX(IF(Paramètres!J41="",0,IF(Paramètres!K41="",NA(),IF(LEFT(TRIM(Paramètres!K41),1)="F",INDEX($F$2705:$F$2757,MATCH(Paramètres!J41,Paramètres!$G$5:$G$57,0)),INDEX($E$2705:$E$2757,MATCH(Paramètres!J41,Paramètres!$G$5:$G$57,0)))+IF(RIGHT(TRIM(Paramètres!K41),3)="Fin",1-$H2741,IF(LEFT(TRIM(Paramètres!K41),1)="F",1,0)))),IF(Paramètres!L41="",0,IF(Paramètres!M41="",NA(),IF(LEFT(TRIM(Paramètres!M41),1)="F",INDEX($F$2705:$F$2757,MATCH(Paramètres!L41,Paramètres!$G$5:$G$57,0)),INDEX($E$2705:$E$2757,MATCH(Paramètres!L41,Paramètres!$G$5:$G$57,0)))+IF(RIGHT(TRIM(Paramètres!M41),3)="Fin",1-$H2741,IF(LEFT(TRIM(Paramètres!M41),1)="F",1,0)))),IF(Paramètres!N41="",0,IF(Paramètres!O41="",NA(),IF(LEFT(TRIM(Paramètres!O41),1)="F",INDEX($F$2705:$F$2757,MATCH(Paramètres!N41,Paramètres!$G$5:$G$57,0)),INDEX($E$2705:$E$2757,MATCH(Paramètres!N41,Paramètres!$G$5:$G$57,0)))+IF(RIGHT(TRIM(Paramètres!O41),3)="Fin",1-$H2741,IF(LEFT(TRIM(Paramètres!O41),1)="F",1,0)))))))</f>
        <v/>
      </c>
      <c r="F2741" s="19">
        <f>IF($A2741="","",E2741+$H2741-1)</f>
        <v/>
      </c>
      <c r="G2741" s="18" t="n"/>
      <c r="H2741" s="18">
        <f>IF($A2741="","",IF(I2741&lt;&gt;"",I2741,Paramètres!B41))</f>
        <v/>
      </c>
      <c r="I2741" s="18" t="n"/>
    </row>
    <row r="2742">
      <c r="A2742" s="18">
        <f>IF(ISNUMBER(Dossiers!$D$54),Dossiers!$A$54&amp;" · "&amp;Dossiers!$B$54,"")</f>
        <v/>
      </c>
      <c r="B2742" s="18">
        <f>IF($A2742="","",Paramètres!G42)</f>
        <v/>
      </c>
      <c r="C2742" s="18">
        <f>IF($A2742="","",IF(Paramètres!H42="","",Paramètres!H42))</f>
        <v/>
      </c>
      <c r="D2742" s="18">
        <f>IF($A2742="","",IF(Paramètres!I42="","",Paramètres!I42))</f>
        <v/>
      </c>
      <c r="E2742" s="19">
        <f>IF($A2742="","",IF(Paramètres!J42&amp;Paramètres!L42&amp;Paramètres!N42="",Dossiers!$D$54,MAX(IF(Paramètres!J42="",0,IF(Paramètres!K42="",NA(),IF(LEFT(TRIM(Paramètres!K42),1)="F",INDEX($F$2705:$F$2757,MATCH(Paramètres!J42,Paramètres!$G$5:$G$57,0)),INDEX($E$2705:$E$2757,MATCH(Paramètres!J42,Paramètres!$G$5:$G$57,0)))+IF(RIGHT(TRIM(Paramètres!K42),3)="Fin",1-$H2742,IF(LEFT(TRIM(Paramètres!K42),1)="F",1,0)))),IF(Paramètres!L42="",0,IF(Paramètres!M42="",NA(),IF(LEFT(TRIM(Paramètres!M42),1)="F",INDEX($F$2705:$F$2757,MATCH(Paramètres!L42,Paramètres!$G$5:$G$57,0)),INDEX($E$2705:$E$2757,MATCH(Paramètres!L42,Paramètres!$G$5:$G$57,0)))+IF(RIGHT(TRIM(Paramètres!M42),3)="Fin",1-$H2742,IF(LEFT(TRIM(Paramètres!M42),1)="F",1,0)))),IF(Paramètres!N42="",0,IF(Paramètres!O42="",NA(),IF(LEFT(TRIM(Paramètres!O42),1)="F",INDEX($F$2705:$F$2757,MATCH(Paramètres!N42,Paramètres!$G$5:$G$57,0)),INDEX($E$2705:$E$2757,MATCH(Paramètres!N42,Paramètres!$G$5:$G$57,0)))+IF(RIGHT(TRIM(Paramètres!O42),3)="Fin",1-$H2742,IF(LEFT(TRIM(Paramètres!O42),1)="F",1,0)))))))</f>
        <v/>
      </c>
      <c r="F2742" s="19">
        <f>IF($A2742="","",E2742+$H2742-1)</f>
        <v/>
      </c>
      <c r="G2742" s="18" t="n"/>
      <c r="H2742" s="18">
        <f>IF($A2742="","",IF(I2742&lt;&gt;"",I2742,Paramètres!B42))</f>
        <v/>
      </c>
      <c r="I2742" s="18" t="n"/>
    </row>
    <row r="2743">
      <c r="A2743" s="18">
        <f>IF(ISNUMBER(Dossiers!$D$54),Dossiers!$A$54&amp;" · "&amp;Dossiers!$B$54,"")</f>
        <v/>
      </c>
      <c r="B2743" s="18">
        <f>IF($A2743="","",Paramètres!G43)</f>
        <v/>
      </c>
      <c r="C2743" s="18">
        <f>IF($A2743="","",IF(Paramètres!H43="","",Paramètres!H43))</f>
        <v/>
      </c>
      <c r="D2743" s="18">
        <f>IF($A2743="","",IF(Paramètres!I43="","",Paramètres!I43))</f>
        <v/>
      </c>
      <c r="E2743" s="19">
        <f>IF($A2743="","",IF(Paramètres!J43&amp;Paramètres!L43&amp;Paramètres!N43="",Dossiers!$D$54,MAX(IF(Paramètres!J43="",0,IF(Paramètres!K43="",NA(),IF(LEFT(TRIM(Paramètres!K43),1)="F",INDEX($F$2705:$F$2757,MATCH(Paramètres!J43,Paramètres!$G$5:$G$57,0)),INDEX($E$2705:$E$2757,MATCH(Paramètres!J43,Paramètres!$G$5:$G$57,0)))+IF(RIGHT(TRIM(Paramètres!K43),3)="Fin",1-$H2743,IF(LEFT(TRIM(Paramètres!K43),1)="F",1,0)))),IF(Paramètres!L43="",0,IF(Paramètres!M43="",NA(),IF(LEFT(TRIM(Paramètres!M43),1)="F",INDEX($F$2705:$F$2757,MATCH(Paramètres!L43,Paramètres!$G$5:$G$57,0)),INDEX($E$2705:$E$2757,MATCH(Paramètres!L43,Paramètres!$G$5:$G$57,0)))+IF(RIGHT(TRIM(Paramètres!M43),3)="Fin",1-$H2743,IF(LEFT(TRIM(Paramètres!M43),1)="F",1,0)))),IF(Paramètres!N43="",0,IF(Paramètres!O43="",NA(),IF(LEFT(TRIM(Paramètres!O43),1)="F",INDEX($F$2705:$F$2757,MATCH(Paramètres!N43,Paramètres!$G$5:$G$57,0)),INDEX($E$2705:$E$2757,MATCH(Paramètres!N43,Paramètres!$G$5:$G$57,0)))+IF(RIGHT(TRIM(Paramètres!O43),3)="Fin",1-$H2743,IF(LEFT(TRIM(Paramètres!O43),1)="F",1,0)))))))</f>
        <v/>
      </c>
      <c r="F2743" s="19">
        <f>IF($A2743="","",E2743+$H2743-1)</f>
        <v/>
      </c>
      <c r="G2743" s="18" t="n"/>
      <c r="H2743" s="18">
        <f>IF($A2743="","",IF(I2743&lt;&gt;"",I2743,Paramètres!B43))</f>
        <v/>
      </c>
      <c r="I2743" s="18" t="n"/>
    </row>
    <row r="2744">
      <c r="A2744" s="18">
        <f>IF(ISNUMBER(Dossiers!$D$54),Dossiers!$A$54&amp;" · "&amp;Dossiers!$B$54,"")</f>
        <v/>
      </c>
      <c r="B2744" s="18">
        <f>IF($A2744="","",Paramètres!G44)</f>
        <v/>
      </c>
      <c r="C2744" s="18">
        <f>IF($A2744="","",IF(Paramètres!H44="","",Paramètres!H44))</f>
        <v/>
      </c>
      <c r="D2744" s="18">
        <f>IF($A2744="","",IF(Paramètres!I44="","",Paramètres!I44))</f>
        <v/>
      </c>
      <c r="E2744" s="19">
        <f>IF($A2744="","",IF(Paramètres!J44&amp;Paramètres!L44&amp;Paramètres!N44="",Dossiers!$D$54,MAX(IF(Paramètres!J44="",0,IF(Paramètres!K44="",NA(),IF(LEFT(TRIM(Paramètres!K44),1)="F",INDEX($F$2705:$F$2757,MATCH(Paramètres!J44,Paramètres!$G$5:$G$57,0)),INDEX($E$2705:$E$2757,MATCH(Paramètres!J44,Paramètres!$G$5:$G$57,0)))+IF(RIGHT(TRIM(Paramètres!K44),3)="Fin",1-$H2744,IF(LEFT(TRIM(Paramètres!K44),1)="F",1,0)))),IF(Paramètres!L44="",0,IF(Paramètres!M44="",NA(),IF(LEFT(TRIM(Paramètres!M44),1)="F",INDEX($F$2705:$F$2757,MATCH(Paramètres!L44,Paramètres!$G$5:$G$57,0)),INDEX($E$2705:$E$2757,MATCH(Paramètres!L44,Paramètres!$G$5:$G$57,0)))+IF(RIGHT(TRIM(Paramètres!M44),3)="Fin",1-$H2744,IF(LEFT(TRIM(Paramètres!M44),1)="F",1,0)))),IF(Paramètres!N44="",0,IF(Paramètres!O44="",NA(),IF(LEFT(TRIM(Paramètres!O44),1)="F",INDEX($F$2705:$F$2757,MATCH(Paramètres!N44,Paramètres!$G$5:$G$57,0)),INDEX($E$2705:$E$2757,MATCH(Paramètres!N44,Paramètres!$G$5:$G$57,0)))+IF(RIGHT(TRIM(Paramètres!O44),3)="Fin",1-$H2744,IF(LEFT(TRIM(Paramètres!O44),1)="F",1,0)))))))</f>
        <v/>
      </c>
      <c r="F2744" s="19">
        <f>IF($A2744="","",E2744+$H2744-1)</f>
        <v/>
      </c>
      <c r="G2744" s="18" t="n"/>
      <c r="H2744" s="18">
        <f>IF($A2744="","",IF(I2744&lt;&gt;"",I2744,Paramètres!B44))</f>
        <v/>
      </c>
      <c r="I2744" s="18" t="n"/>
    </row>
    <row r="2745">
      <c r="A2745" s="18">
        <f>IF(ISNUMBER(Dossiers!$D$54),Dossiers!$A$54&amp;" · "&amp;Dossiers!$B$54,"")</f>
        <v/>
      </c>
      <c r="B2745" s="18">
        <f>IF($A2745="","",Paramètres!G45)</f>
        <v/>
      </c>
      <c r="C2745" s="20">
        <f>IF($A2745="","",IF(Dossiers!$G$54="","",Dossiers!$G$54))</f>
        <v/>
      </c>
      <c r="D2745" s="18">
        <f>IF($A2745="","",IF(Paramètres!I45="","",Paramètres!I45))</f>
        <v/>
      </c>
      <c r="E2745" s="19">
        <f>IF($A2745="","",IF(Paramètres!J45&amp;Paramètres!L45&amp;Paramètres!N45="",Dossiers!$D$54,MAX(IF(Paramètres!J45="",0,IF(Paramètres!K45="",NA(),IF(LEFT(TRIM(Paramètres!K45),1)="F",INDEX($F$2705:$F$2757,MATCH(Paramètres!J45,Paramètres!$G$5:$G$57,0)),INDEX($E$2705:$E$2757,MATCH(Paramètres!J45,Paramètres!$G$5:$G$57,0)))+IF(RIGHT(TRIM(Paramètres!K45),3)="Fin",1-$H2745,IF(LEFT(TRIM(Paramètres!K45),1)="F",1,0)))),IF(Paramètres!L45="",0,IF(Paramètres!M45="",NA(),IF(LEFT(TRIM(Paramètres!M45),1)="F",INDEX($F$2705:$F$2757,MATCH(Paramètres!L45,Paramètres!$G$5:$G$57,0)),INDEX($E$2705:$E$2757,MATCH(Paramètres!L45,Paramètres!$G$5:$G$57,0)))+IF(RIGHT(TRIM(Paramètres!M45),3)="Fin",1-$H2745,IF(LEFT(TRIM(Paramètres!M45),1)="F",1,0)))),IF(Paramètres!N45="",0,IF(Paramètres!O45="",NA(),IF(LEFT(TRIM(Paramètres!O45),1)="F",INDEX($F$2705:$F$2757,MATCH(Paramètres!N45,Paramètres!$G$5:$G$57,0)),INDEX($E$2705:$E$2757,MATCH(Paramètres!N45,Paramètres!$G$5:$G$57,0)))+IF(RIGHT(TRIM(Paramètres!O45),3)="Fin",1-$H2745,IF(LEFT(TRIM(Paramètres!O45),1)="F",1,0)))))))</f>
        <v/>
      </c>
      <c r="F2745" s="19">
        <f>IF($A2745="","",E2745+$H2745-1)</f>
        <v/>
      </c>
      <c r="G2745" s="18" t="n"/>
      <c r="H2745" s="18">
        <f>IF($A2745="","",IF(I2745&lt;&gt;"",I2745,Paramètres!B45))</f>
        <v/>
      </c>
      <c r="I2745" s="18" t="n"/>
    </row>
    <row r="2746">
      <c r="A2746" s="18">
        <f>IF(ISNUMBER(Dossiers!$D$54),Dossiers!$A$54&amp;" · "&amp;Dossiers!$B$54,"")</f>
        <v/>
      </c>
      <c r="B2746" s="18">
        <f>IF($A2746="","",Paramètres!G46)</f>
        <v/>
      </c>
      <c r="C2746" s="18">
        <f>IF($A2746="","",IF(Paramètres!H46="","",Paramètres!H46))</f>
        <v/>
      </c>
      <c r="D2746" s="18">
        <f>IF($A2746="","",IF(Paramètres!I46="","",Paramètres!I46))</f>
        <v/>
      </c>
      <c r="E2746" s="19">
        <f>IF($A2746="","",IF(Paramètres!J46&amp;Paramètres!L46&amp;Paramètres!N46="",Dossiers!$D$54,MAX(IF(Paramètres!J46="",0,IF(Paramètres!K46="",NA(),IF(LEFT(TRIM(Paramètres!K46),1)="F",INDEX($F$2705:$F$2757,MATCH(Paramètres!J46,Paramètres!$G$5:$G$57,0)),INDEX($E$2705:$E$2757,MATCH(Paramètres!J46,Paramètres!$G$5:$G$57,0)))+IF(RIGHT(TRIM(Paramètres!K46),3)="Fin",1-$H2746,IF(LEFT(TRIM(Paramètres!K46),1)="F",1,0)))),IF(Paramètres!L46="",0,IF(Paramètres!M46="",NA(),IF(LEFT(TRIM(Paramètres!M46),1)="F",INDEX($F$2705:$F$2757,MATCH(Paramètres!L46,Paramètres!$G$5:$G$57,0)),INDEX($E$2705:$E$2757,MATCH(Paramètres!L46,Paramètres!$G$5:$G$57,0)))+IF(RIGHT(TRIM(Paramètres!M46),3)="Fin",1-$H2746,IF(LEFT(TRIM(Paramètres!M46),1)="F",1,0)))),IF(Paramètres!N46="",0,IF(Paramètres!O46="",NA(),IF(LEFT(TRIM(Paramètres!O46),1)="F",INDEX($F$2705:$F$2757,MATCH(Paramètres!N46,Paramètres!$G$5:$G$57,0)),INDEX($E$2705:$E$2757,MATCH(Paramètres!N46,Paramètres!$G$5:$G$57,0)))+IF(RIGHT(TRIM(Paramètres!O46),3)="Fin",1-$H2746,IF(LEFT(TRIM(Paramètres!O46),1)="F",1,0)))))))</f>
        <v/>
      </c>
      <c r="F2746" s="19">
        <f>IF($A2746="","",E2746+$H2746-1)</f>
        <v/>
      </c>
      <c r="G2746" s="18" t="n"/>
      <c r="H2746" s="18">
        <f>IF($A2746="","",IF(I2746&lt;&gt;"",I2746,Paramètres!B46))</f>
        <v/>
      </c>
      <c r="I2746" s="18" t="n"/>
    </row>
    <row r="2747">
      <c r="A2747" s="18">
        <f>IF(ISNUMBER(Dossiers!$D$54),Dossiers!$A$54&amp;" · "&amp;Dossiers!$B$54,"")</f>
        <v/>
      </c>
      <c r="B2747" s="18">
        <f>IF($A2747="","",Paramètres!G47)</f>
        <v/>
      </c>
      <c r="C2747" s="18">
        <f>IF($A2747="","",IF(Paramètres!H47="","",Paramètres!H47))</f>
        <v/>
      </c>
      <c r="D2747" s="18">
        <f>IF($A2747="","",IF(Paramètres!I47="","",Paramètres!I47))</f>
        <v/>
      </c>
      <c r="E2747" s="19">
        <f>IF($A2747="","",IF(Paramètres!J47&amp;Paramètres!L47&amp;Paramètres!N47="",Dossiers!$D$54,MAX(IF(Paramètres!J47="",0,IF(Paramètres!K47="",NA(),IF(LEFT(TRIM(Paramètres!K47),1)="F",INDEX($F$2705:$F$2757,MATCH(Paramètres!J47,Paramètres!$G$5:$G$57,0)),INDEX($E$2705:$E$2757,MATCH(Paramètres!J47,Paramètres!$G$5:$G$57,0)))+IF(RIGHT(TRIM(Paramètres!K47),3)="Fin",1-$H2747,IF(LEFT(TRIM(Paramètres!K47),1)="F",1,0)))),IF(Paramètres!L47="",0,IF(Paramètres!M47="",NA(),IF(LEFT(TRIM(Paramètres!M47),1)="F",INDEX($F$2705:$F$2757,MATCH(Paramètres!L47,Paramètres!$G$5:$G$57,0)),INDEX($E$2705:$E$2757,MATCH(Paramètres!L47,Paramètres!$G$5:$G$57,0)))+IF(RIGHT(TRIM(Paramètres!M47),3)="Fin",1-$H2747,IF(LEFT(TRIM(Paramètres!M47),1)="F",1,0)))),IF(Paramètres!N47="",0,IF(Paramètres!O47="",NA(),IF(LEFT(TRIM(Paramètres!O47),1)="F",INDEX($F$2705:$F$2757,MATCH(Paramètres!N47,Paramètres!$G$5:$G$57,0)),INDEX($E$2705:$E$2757,MATCH(Paramètres!N47,Paramètres!$G$5:$G$57,0)))+IF(RIGHT(TRIM(Paramètres!O47),3)="Fin",1-$H2747,IF(LEFT(TRIM(Paramètres!O47),1)="F",1,0)))))))</f>
        <v/>
      </c>
      <c r="F2747" s="19">
        <f>IF($A2747="","",E2747+$H2747-1)</f>
        <v/>
      </c>
      <c r="G2747" s="18" t="n"/>
      <c r="H2747" s="18">
        <f>IF($A2747="","",IF(I2747&lt;&gt;"",I2747,Paramètres!B47))</f>
        <v/>
      </c>
      <c r="I2747" s="18" t="n"/>
    </row>
    <row r="2748">
      <c r="A2748" s="18">
        <f>IF(ISNUMBER(Dossiers!$D$54),Dossiers!$A$54&amp;" · "&amp;Dossiers!$B$54,"")</f>
        <v/>
      </c>
      <c r="B2748" s="18">
        <f>IF($A2748="","",Paramètres!G48)</f>
        <v/>
      </c>
      <c r="C2748" s="18">
        <f>IF($A2748="","",IF(Paramètres!H48="","",Paramètres!H48))</f>
        <v/>
      </c>
      <c r="D2748" s="18">
        <f>IF($A2748="","",IF(Paramètres!I48="","",Paramètres!I48))</f>
        <v/>
      </c>
      <c r="E2748" s="19">
        <f>IF($A2748="","",IF(Paramètres!J48&amp;Paramètres!L48&amp;Paramètres!N48="",Dossiers!$D$54,MAX(IF(Paramètres!J48="",0,IF(Paramètres!K48="",NA(),IF(LEFT(TRIM(Paramètres!K48),1)="F",INDEX($F$2705:$F$2757,MATCH(Paramètres!J48,Paramètres!$G$5:$G$57,0)),INDEX($E$2705:$E$2757,MATCH(Paramètres!J48,Paramètres!$G$5:$G$57,0)))+IF(RIGHT(TRIM(Paramètres!K48),3)="Fin",1-$H2748,IF(LEFT(TRIM(Paramètres!K48),1)="F",1,0)))),IF(Paramètres!L48="",0,IF(Paramètres!M48="",NA(),IF(LEFT(TRIM(Paramètres!M48),1)="F",INDEX($F$2705:$F$2757,MATCH(Paramètres!L48,Paramètres!$G$5:$G$57,0)),INDEX($E$2705:$E$2757,MATCH(Paramètres!L48,Paramètres!$G$5:$G$57,0)))+IF(RIGHT(TRIM(Paramètres!M48),3)="Fin",1-$H2748,IF(LEFT(TRIM(Paramètres!M48),1)="F",1,0)))),IF(Paramètres!N48="",0,IF(Paramètres!O48="",NA(),IF(LEFT(TRIM(Paramètres!O48),1)="F",INDEX($F$2705:$F$2757,MATCH(Paramètres!N48,Paramètres!$G$5:$G$57,0)),INDEX($E$2705:$E$2757,MATCH(Paramètres!N48,Paramètres!$G$5:$G$57,0)))+IF(RIGHT(TRIM(Paramètres!O48),3)="Fin",1-$H2748,IF(LEFT(TRIM(Paramètres!O48),1)="F",1,0)))))))</f>
        <v/>
      </c>
      <c r="F2748" s="19">
        <f>IF($A2748="","",E2748+$H2748-1)</f>
        <v/>
      </c>
      <c r="G2748" s="18" t="n"/>
      <c r="H2748" s="18">
        <f>IF($A2748="","",IF(I2748&lt;&gt;"",I2748,Paramètres!B48))</f>
        <v/>
      </c>
      <c r="I2748" s="18" t="n"/>
    </row>
    <row r="2749">
      <c r="A2749" s="18">
        <f>IF(ISNUMBER(Dossiers!$D$54),Dossiers!$A$54&amp;" · "&amp;Dossiers!$B$54,"")</f>
        <v/>
      </c>
      <c r="B2749" s="18">
        <f>IF($A2749="","",Paramètres!G49)</f>
        <v/>
      </c>
      <c r="C2749" s="18">
        <f>IF($A2749="","",IF(Paramètres!H49="","",Paramètres!H49))</f>
        <v/>
      </c>
      <c r="D2749" s="18">
        <f>IF($A2749="","",IF(Paramètres!I49="","",Paramètres!I49))</f>
        <v/>
      </c>
      <c r="E2749" s="19">
        <f>IF($A2749="","",IF(Paramètres!J49&amp;Paramètres!L49&amp;Paramètres!N49="",Dossiers!$D$54,MAX(IF(Paramètres!J49="",0,IF(Paramètres!K49="",NA(),IF(LEFT(TRIM(Paramètres!K49),1)="F",INDEX($F$2705:$F$2757,MATCH(Paramètres!J49,Paramètres!$G$5:$G$57,0)),INDEX($E$2705:$E$2757,MATCH(Paramètres!J49,Paramètres!$G$5:$G$57,0)))+IF(RIGHT(TRIM(Paramètres!K49),3)="Fin",1-$H2749,IF(LEFT(TRIM(Paramètres!K49),1)="F",1,0)))),IF(Paramètres!L49="",0,IF(Paramètres!M49="",NA(),IF(LEFT(TRIM(Paramètres!M49),1)="F",INDEX($F$2705:$F$2757,MATCH(Paramètres!L49,Paramètres!$G$5:$G$57,0)),INDEX($E$2705:$E$2757,MATCH(Paramètres!L49,Paramètres!$G$5:$G$57,0)))+IF(RIGHT(TRIM(Paramètres!M49),3)="Fin",1-$H2749,IF(LEFT(TRIM(Paramètres!M49),1)="F",1,0)))),IF(Paramètres!N49="",0,IF(Paramètres!O49="",NA(),IF(LEFT(TRIM(Paramètres!O49),1)="F",INDEX($F$2705:$F$2757,MATCH(Paramètres!N49,Paramètres!$G$5:$G$57,0)),INDEX($E$2705:$E$2757,MATCH(Paramètres!N49,Paramètres!$G$5:$G$57,0)))+IF(RIGHT(TRIM(Paramètres!O49),3)="Fin",1-$H2749,IF(LEFT(TRIM(Paramètres!O49),1)="F",1,0)))))))</f>
        <v/>
      </c>
      <c r="F2749" s="19">
        <f>IF($A2749="","",E2749+$H2749-1)</f>
        <v/>
      </c>
      <c r="G2749" s="18" t="n"/>
      <c r="H2749" s="18">
        <f>IF($A2749="","",IF(I2749&lt;&gt;"",I2749,Paramètres!B49))</f>
        <v/>
      </c>
      <c r="I2749" s="18" t="n"/>
    </row>
    <row r="2750">
      <c r="A2750" s="18">
        <f>IF(ISNUMBER(Dossiers!$D$54),Dossiers!$A$54&amp;" · "&amp;Dossiers!$B$54,"")</f>
        <v/>
      </c>
      <c r="B2750" s="18">
        <f>IF($A2750="","",Paramètres!G50)</f>
        <v/>
      </c>
      <c r="C2750" s="18">
        <f>IF($A2750="","",IF(Paramètres!H50="","",Paramètres!H50))</f>
        <v/>
      </c>
      <c r="D2750" s="18">
        <f>IF($A2750="","",IF(Paramètres!I50="","",Paramètres!I50))</f>
        <v/>
      </c>
      <c r="E2750" s="19">
        <f>IF($A2750="","",IF(Paramètres!J50&amp;Paramètres!L50&amp;Paramètres!N50="",Dossiers!$D$54,MAX(IF(Paramètres!J50="",0,IF(Paramètres!K50="",NA(),IF(LEFT(TRIM(Paramètres!K50),1)="F",INDEX($F$2705:$F$2757,MATCH(Paramètres!J50,Paramètres!$G$5:$G$57,0)),INDEX($E$2705:$E$2757,MATCH(Paramètres!J50,Paramètres!$G$5:$G$57,0)))+IF(RIGHT(TRIM(Paramètres!K50),3)="Fin",1-$H2750,IF(LEFT(TRIM(Paramètres!K50),1)="F",1,0)))),IF(Paramètres!L50="",0,IF(Paramètres!M50="",NA(),IF(LEFT(TRIM(Paramètres!M50),1)="F",INDEX($F$2705:$F$2757,MATCH(Paramètres!L50,Paramètres!$G$5:$G$57,0)),INDEX($E$2705:$E$2757,MATCH(Paramètres!L50,Paramètres!$G$5:$G$57,0)))+IF(RIGHT(TRIM(Paramètres!M50),3)="Fin",1-$H2750,IF(LEFT(TRIM(Paramètres!M50),1)="F",1,0)))),IF(Paramètres!N50="",0,IF(Paramètres!O50="",NA(),IF(LEFT(TRIM(Paramètres!O50),1)="F",INDEX($F$2705:$F$2757,MATCH(Paramètres!N50,Paramètres!$G$5:$G$57,0)),INDEX($E$2705:$E$2757,MATCH(Paramètres!N50,Paramètres!$G$5:$G$57,0)))+IF(RIGHT(TRIM(Paramètres!O50),3)="Fin",1-$H2750,IF(LEFT(TRIM(Paramètres!O50),1)="F",1,0)))))))</f>
        <v/>
      </c>
      <c r="F2750" s="19">
        <f>IF($A2750="","",E2750+$H2750-1)</f>
        <v/>
      </c>
      <c r="G2750" s="18" t="n"/>
      <c r="H2750" s="18">
        <f>IF($A2750="","",IF(I2750&lt;&gt;"",I2750,Paramètres!B50))</f>
        <v/>
      </c>
      <c r="I2750" s="18" t="n"/>
    </row>
    <row r="2751">
      <c r="A2751" s="18">
        <f>IF(ISNUMBER(Dossiers!$D$54),Dossiers!$A$54&amp;" · "&amp;Dossiers!$B$54,"")</f>
        <v/>
      </c>
      <c r="B2751" s="18">
        <f>IF($A2751="","",Paramètres!G51)</f>
        <v/>
      </c>
      <c r="C2751" s="18">
        <f>IF($A2751="","",IF(Paramètres!H51="","",Paramètres!H51))</f>
        <v/>
      </c>
      <c r="D2751" s="18">
        <f>IF($A2751="","",IF(Paramètres!I51="","",Paramètres!I51))</f>
        <v/>
      </c>
      <c r="E2751" s="19">
        <f>IF($A2751="","",IF(Paramètres!J51&amp;Paramètres!L51&amp;Paramètres!N51="",Dossiers!$D$54,MAX(IF(Paramètres!J51="",0,IF(Paramètres!K51="",NA(),IF(LEFT(TRIM(Paramètres!K51),1)="F",INDEX($F$2705:$F$2757,MATCH(Paramètres!J51,Paramètres!$G$5:$G$57,0)),INDEX($E$2705:$E$2757,MATCH(Paramètres!J51,Paramètres!$G$5:$G$57,0)))+IF(RIGHT(TRIM(Paramètres!K51),3)="Fin",1-$H2751,IF(LEFT(TRIM(Paramètres!K51),1)="F",1,0)))),IF(Paramètres!L51="",0,IF(Paramètres!M51="",NA(),IF(LEFT(TRIM(Paramètres!M51),1)="F",INDEX($F$2705:$F$2757,MATCH(Paramètres!L51,Paramètres!$G$5:$G$57,0)),INDEX($E$2705:$E$2757,MATCH(Paramètres!L51,Paramètres!$G$5:$G$57,0)))+IF(RIGHT(TRIM(Paramètres!M51),3)="Fin",1-$H2751,IF(LEFT(TRIM(Paramètres!M51),1)="F",1,0)))),IF(Paramètres!N51="",0,IF(Paramètres!O51="",NA(),IF(LEFT(TRIM(Paramètres!O51),1)="F",INDEX($F$2705:$F$2757,MATCH(Paramètres!N51,Paramètres!$G$5:$G$57,0)),INDEX($E$2705:$E$2757,MATCH(Paramètres!N51,Paramètres!$G$5:$G$57,0)))+IF(RIGHT(TRIM(Paramètres!O51),3)="Fin",1-$H2751,IF(LEFT(TRIM(Paramètres!O51),1)="F",1,0)))))))</f>
        <v/>
      </c>
      <c r="F2751" s="19">
        <f>IF($A2751="","",E2751+$H2751-1)</f>
        <v/>
      </c>
      <c r="G2751" s="18" t="n"/>
      <c r="H2751" s="18">
        <f>IF($A2751="","",IF(I2751&lt;&gt;"",I2751,Paramètres!B51))</f>
        <v/>
      </c>
      <c r="I2751" s="18" t="n"/>
    </row>
    <row r="2752">
      <c r="A2752" s="18">
        <f>IF(ISNUMBER(Dossiers!$D$54),Dossiers!$A$54&amp;" · "&amp;Dossiers!$B$54,"")</f>
        <v/>
      </c>
      <c r="B2752" s="18">
        <f>IF($A2752="","",Paramètres!G52)</f>
        <v/>
      </c>
      <c r="C2752" s="18">
        <f>IF($A2752="","",IF(Paramètres!H52="","",Paramètres!H52))</f>
        <v/>
      </c>
      <c r="D2752" s="18">
        <f>IF($A2752="","",IF(Paramètres!I52="","",Paramètres!I52))</f>
        <v/>
      </c>
      <c r="E2752" s="19">
        <f>IF($A2752="","",IF(Paramètres!J52&amp;Paramètres!L52&amp;Paramètres!N52="",Dossiers!$D$54,MAX(IF(Paramètres!J52="",0,IF(Paramètres!K52="",NA(),IF(LEFT(TRIM(Paramètres!K52),1)="F",INDEX($F$2705:$F$2757,MATCH(Paramètres!J52,Paramètres!$G$5:$G$57,0)),INDEX($E$2705:$E$2757,MATCH(Paramètres!J52,Paramètres!$G$5:$G$57,0)))+IF(RIGHT(TRIM(Paramètres!K52),3)="Fin",1-$H2752,IF(LEFT(TRIM(Paramètres!K52),1)="F",1,0)))),IF(Paramètres!L52="",0,IF(Paramètres!M52="",NA(),IF(LEFT(TRIM(Paramètres!M52),1)="F",INDEX($F$2705:$F$2757,MATCH(Paramètres!L52,Paramètres!$G$5:$G$57,0)),INDEX($E$2705:$E$2757,MATCH(Paramètres!L52,Paramètres!$G$5:$G$57,0)))+IF(RIGHT(TRIM(Paramètres!M52),3)="Fin",1-$H2752,IF(LEFT(TRIM(Paramètres!M52),1)="F",1,0)))),IF(Paramètres!N52="",0,IF(Paramètres!O52="",NA(),IF(LEFT(TRIM(Paramètres!O52),1)="F",INDEX($F$2705:$F$2757,MATCH(Paramètres!N52,Paramètres!$G$5:$G$57,0)),INDEX($E$2705:$E$2757,MATCH(Paramètres!N52,Paramètres!$G$5:$G$57,0)))+IF(RIGHT(TRIM(Paramètres!O52),3)="Fin",1-$H2752,IF(LEFT(TRIM(Paramètres!O52),1)="F",1,0)))))))</f>
        <v/>
      </c>
      <c r="F2752" s="19">
        <f>IF($A2752="","",E2752+$H2752-1)</f>
        <v/>
      </c>
      <c r="G2752" s="18" t="n"/>
      <c r="H2752" s="18">
        <f>IF($A2752="","",IF(I2752&lt;&gt;"",I2752,Paramètres!B52))</f>
        <v/>
      </c>
      <c r="I2752" s="18" t="n"/>
    </row>
    <row r="2753">
      <c r="A2753" s="18">
        <f>IF(ISNUMBER(Dossiers!$D$54),Dossiers!$A$54&amp;" · "&amp;Dossiers!$B$54,"")</f>
        <v/>
      </c>
      <c r="B2753" s="18">
        <f>IF($A2753="","",Paramètres!G53)</f>
        <v/>
      </c>
      <c r="C2753" s="18">
        <f>IF($A2753="","",IF(Paramètres!H53="","",Paramètres!H53))</f>
        <v/>
      </c>
      <c r="D2753" s="18">
        <f>IF($A2753="","",IF(Paramètres!I53="","",Paramètres!I53))</f>
        <v/>
      </c>
      <c r="E2753" s="19">
        <f>IF($A2753="","",IF(Paramètres!J53&amp;Paramètres!L53&amp;Paramètres!N53="",Dossiers!$D$54,MAX(IF(Paramètres!J53="",0,IF(Paramètres!K53="",NA(),IF(LEFT(TRIM(Paramètres!K53),1)="F",INDEX($F$2705:$F$2757,MATCH(Paramètres!J53,Paramètres!$G$5:$G$57,0)),INDEX($E$2705:$E$2757,MATCH(Paramètres!J53,Paramètres!$G$5:$G$57,0)))+IF(RIGHT(TRIM(Paramètres!K53),3)="Fin",1-$H2753,IF(LEFT(TRIM(Paramètres!K53),1)="F",1,0)))),IF(Paramètres!L53="",0,IF(Paramètres!M53="",NA(),IF(LEFT(TRIM(Paramètres!M53),1)="F",INDEX($F$2705:$F$2757,MATCH(Paramètres!L53,Paramètres!$G$5:$G$57,0)),INDEX($E$2705:$E$2757,MATCH(Paramètres!L53,Paramètres!$G$5:$G$57,0)))+IF(RIGHT(TRIM(Paramètres!M53),3)="Fin",1-$H2753,IF(LEFT(TRIM(Paramètres!M53),1)="F",1,0)))),IF(Paramètres!N53="",0,IF(Paramètres!O53="",NA(),IF(LEFT(TRIM(Paramètres!O53),1)="F",INDEX($F$2705:$F$2757,MATCH(Paramètres!N53,Paramètres!$G$5:$G$57,0)),INDEX($E$2705:$E$2757,MATCH(Paramètres!N53,Paramètres!$G$5:$G$57,0)))+IF(RIGHT(TRIM(Paramètres!O53),3)="Fin",1-$H2753,IF(LEFT(TRIM(Paramètres!O53),1)="F",1,0)))))))</f>
        <v/>
      </c>
      <c r="F2753" s="19">
        <f>IF($A2753="","",E2753+$H2753-1)</f>
        <v/>
      </c>
      <c r="G2753" s="18" t="n"/>
      <c r="H2753" s="18">
        <f>IF($A2753="","",IF(I2753&lt;&gt;"",I2753,Paramètres!B53))</f>
        <v/>
      </c>
      <c r="I2753" s="18" t="n"/>
    </row>
    <row r="2754">
      <c r="A2754" s="18">
        <f>IF(ISNUMBER(Dossiers!$D$54),Dossiers!$A$54&amp;" · "&amp;Dossiers!$B$54,"")</f>
        <v/>
      </c>
      <c r="B2754" s="18">
        <f>IF($A2754="","",Paramètres!G54)</f>
        <v/>
      </c>
      <c r="C2754" s="18">
        <f>IF($A2754="","",IF(Paramètres!H54="","",Paramètres!H54))</f>
        <v/>
      </c>
      <c r="D2754" s="18">
        <f>IF($A2754="","",IF(Paramètres!I54="","",Paramètres!I54))</f>
        <v/>
      </c>
      <c r="E2754" s="19">
        <f>IF($A2754="","",IF(Paramètres!J54&amp;Paramètres!L54&amp;Paramètres!N54="",Dossiers!$D$54,MAX(IF(Paramètres!J54="",0,IF(Paramètres!K54="",NA(),IF(LEFT(TRIM(Paramètres!K54),1)="F",INDEX($F$2705:$F$2757,MATCH(Paramètres!J54,Paramètres!$G$5:$G$57,0)),INDEX($E$2705:$E$2757,MATCH(Paramètres!J54,Paramètres!$G$5:$G$57,0)))+IF(RIGHT(TRIM(Paramètres!K54),3)="Fin",1-$H2754,IF(LEFT(TRIM(Paramètres!K54),1)="F",1,0)))),IF(Paramètres!L54="",0,IF(Paramètres!M54="",NA(),IF(LEFT(TRIM(Paramètres!M54),1)="F",INDEX($F$2705:$F$2757,MATCH(Paramètres!L54,Paramètres!$G$5:$G$57,0)),INDEX($E$2705:$E$2757,MATCH(Paramètres!L54,Paramètres!$G$5:$G$57,0)))+IF(RIGHT(TRIM(Paramètres!M54),3)="Fin",1-$H2754,IF(LEFT(TRIM(Paramètres!M54),1)="F",1,0)))),IF(Paramètres!N54="",0,IF(Paramètres!O54="",NA(),IF(LEFT(TRIM(Paramètres!O54),1)="F",INDEX($F$2705:$F$2757,MATCH(Paramètres!N54,Paramètres!$G$5:$G$57,0)),INDEX($E$2705:$E$2757,MATCH(Paramètres!N54,Paramètres!$G$5:$G$57,0)))+IF(RIGHT(TRIM(Paramètres!O54),3)="Fin",1-$H2754,IF(LEFT(TRIM(Paramètres!O54),1)="F",1,0)))))))</f>
        <v/>
      </c>
      <c r="F2754" s="19">
        <f>IF($A2754="","",E2754+$H2754-1)</f>
        <v/>
      </c>
      <c r="G2754" s="18" t="n"/>
      <c r="H2754" s="18">
        <f>IF($A2754="","",IF(I2754&lt;&gt;"",I2754,Paramètres!B54))</f>
        <v/>
      </c>
      <c r="I2754" s="18" t="n"/>
    </row>
    <row r="2755">
      <c r="A2755" s="18">
        <f>IF(ISNUMBER(Dossiers!$D$54),Dossiers!$A$54&amp;" · "&amp;Dossiers!$B$54,"")</f>
        <v/>
      </c>
      <c r="B2755" s="18">
        <f>IF($A2755="","",Paramètres!G55)</f>
        <v/>
      </c>
      <c r="C2755" s="18">
        <f>IF($A2755="","",IF(Paramètres!H55="","",Paramètres!H55))</f>
        <v/>
      </c>
      <c r="D2755" s="18">
        <f>IF($A2755="","",IF(Paramètres!I55="","",Paramètres!I55))</f>
        <v/>
      </c>
      <c r="E2755" s="19">
        <f>IF($A2755="","",IF(Paramètres!J55&amp;Paramètres!L55&amp;Paramètres!N55="",Dossiers!$D$54,MAX(IF(Paramètres!J55="",0,IF(Paramètres!K55="",NA(),IF(LEFT(TRIM(Paramètres!K55),1)="F",INDEX($F$2705:$F$2757,MATCH(Paramètres!J55,Paramètres!$G$5:$G$57,0)),INDEX($E$2705:$E$2757,MATCH(Paramètres!J55,Paramètres!$G$5:$G$57,0)))+IF(RIGHT(TRIM(Paramètres!K55),3)="Fin",1-$H2755,IF(LEFT(TRIM(Paramètres!K55),1)="F",1,0)))),IF(Paramètres!L55="",0,IF(Paramètres!M55="",NA(),IF(LEFT(TRIM(Paramètres!M55),1)="F",INDEX($F$2705:$F$2757,MATCH(Paramètres!L55,Paramètres!$G$5:$G$57,0)),INDEX($E$2705:$E$2757,MATCH(Paramètres!L55,Paramètres!$G$5:$G$57,0)))+IF(RIGHT(TRIM(Paramètres!M55),3)="Fin",1-$H2755,IF(LEFT(TRIM(Paramètres!M55),1)="F",1,0)))),IF(Paramètres!N55="",0,IF(Paramètres!O55="",NA(),IF(LEFT(TRIM(Paramètres!O55),1)="F",INDEX($F$2705:$F$2757,MATCH(Paramètres!N55,Paramètres!$G$5:$G$57,0)),INDEX($E$2705:$E$2757,MATCH(Paramètres!N55,Paramètres!$G$5:$G$57,0)))+IF(RIGHT(TRIM(Paramètres!O55),3)="Fin",1-$H2755,IF(LEFT(TRIM(Paramètres!O55),1)="F",1,0)))))))</f>
        <v/>
      </c>
      <c r="F2755" s="19">
        <f>IF($A2755="","",E2755+$H2755-1)</f>
        <v/>
      </c>
      <c r="G2755" s="18" t="n"/>
      <c r="H2755" s="18">
        <f>IF($A2755="","",IF(I2755&lt;&gt;"",I2755,Paramètres!B55))</f>
        <v/>
      </c>
      <c r="I2755" s="18" t="n"/>
    </row>
    <row r="2756">
      <c r="A2756" s="18">
        <f>IF(ISNUMBER(Dossiers!$D$54),Dossiers!$A$54&amp;" · "&amp;Dossiers!$B$54,"")</f>
        <v/>
      </c>
      <c r="B2756" s="18">
        <f>IF($A2756="","",Paramètres!G56)</f>
        <v/>
      </c>
      <c r="C2756" s="18">
        <f>IF($A2756="","",IF(Paramètres!H56="","",Paramètres!H56))</f>
        <v/>
      </c>
      <c r="D2756" s="18">
        <f>IF($A2756="","",IF(Paramètres!I56="","",Paramètres!I56))</f>
        <v/>
      </c>
      <c r="E2756" s="19">
        <f>IF($A2756="","",MIN(E2757:E2757))</f>
        <v/>
      </c>
      <c r="F2756" s="19">
        <f>IF($A2756="","",MAX(F2757:F2757))</f>
        <v/>
      </c>
      <c r="G2756" s="18" t="n"/>
      <c r="H2756" s="18">
        <f>IF($A2756="","",F2756-E2756+1)</f>
        <v/>
      </c>
      <c r="I2756" s="18" t="n"/>
    </row>
    <row r="2757">
      <c r="A2757" s="18">
        <f>IF(ISNUMBER(Dossiers!$D$54),Dossiers!$A$54&amp;" · "&amp;Dossiers!$B$54,"")</f>
        <v/>
      </c>
      <c r="B2757" s="18">
        <f>IF($A2757="","",Paramètres!G57)</f>
        <v/>
      </c>
      <c r="C2757" s="18">
        <f>IF($A2757="","",IF(Paramètres!H57="","",Paramètres!H57))</f>
        <v/>
      </c>
      <c r="D2757" s="18">
        <f>IF($A2757="","",IF(Paramètres!I57="","",Paramètres!I57))</f>
        <v/>
      </c>
      <c r="E2757" s="19">
        <f>IF($A2757="","",IF(Paramètres!J57&amp;Paramètres!L57&amp;Paramètres!N57="",Dossiers!$D$54,MAX(IF(Paramètres!J57="",0,IF(Paramètres!K57="",NA(),IF(LEFT(TRIM(Paramètres!K57),1)="F",INDEX($F$2705:$F$2757,MATCH(Paramètres!J57,Paramètres!$G$5:$G$57,0)),INDEX($E$2705:$E$2757,MATCH(Paramètres!J57,Paramètres!$G$5:$G$57,0)))+IF(RIGHT(TRIM(Paramètres!K57),3)="Fin",1-$H2757,IF(LEFT(TRIM(Paramètres!K57),1)="F",1,0)))),IF(Paramètres!L57="",0,IF(Paramètres!M57="",NA(),IF(LEFT(TRIM(Paramètres!M57),1)="F",INDEX($F$2705:$F$2757,MATCH(Paramètres!L57,Paramètres!$G$5:$G$57,0)),INDEX($E$2705:$E$2757,MATCH(Paramètres!L57,Paramètres!$G$5:$G$57,0)))+IF(RIGHT(TRIM(Paramètres!M57),3)="Fin",1-$H2757,IF(LEFT(TRIM(Paramètres!M57),1)="F",1,0)))),IF(Paramètres!N57="",0,IF(Paramètres!O57="",NA(),IF(LEFT(TRIM(Paramètres!O57),1)="F",INDEX($F$2705:$F$2757,MATCH(Paramètres!N57,Paramètres!$G$5:$G$57,0)),INDEX($E$2705:$E$2757,MATCH(Paramètres!N57,Paramètres!$G$5:$G$57,0)))+IF(RIGHT(TRIM(Paramètres!O57),3)="Fin",1-$H2757,IF(LEFT(TRIM(Paramètres!O57),1)="F",1,0)))))))</f>
        <v/>
      </c>
      <c r="F2757" s="19">
        <f>IF($A2757="","",E2757+$H2757-1)</f>
        <v/>
      </c>
      <c r="G2757" s="18" t="n"/>
      <c r="H2757" s="18">
        <f>IF($A2757="","",IF(I2757&lt;&gt;"",I2757,Paramètres!B57))</f>
        <v/>
      </c>
      <c r="I2757" s="18" t="n"/>
    </row>
    <row r="2758">
      <c r="A2758" s="16">
        <f>IF(ISNUMBER(Dossiers!$D$55),Dossiers!$E$55,"")</f>
        <v/>
      </c>
      <c r="B2758" s="16">
        <f>IF($A2758="","","Identifiant")</f>
        <v/>
      </c>
      <c r="C2758" s="16">
        <f>IF($A2758="","","Macro Etape")</f>
        <v/>
      </c>
      <c r="D2758" s="16">
        <f>IF($A2758="","","Etape")</f>
        <v/>
      </c>
      <c r="E2758" s="17">
        <f>IF($A2758="","","Début le")</f>
        <v/>
      </c>
      <c r="F2758" s="17">
        <f>IF($A2758="","","Fin prévue le")</f>
        <v/>
      </c>
      <c r="G2758" s="16">
        <f>IF($A2758="","","Statut")</f>
        <v/>
      </c>
      <c r="H2758" s="16">
        <f>IF($A2758="","","Durée (jours)")</f>
        <v/>
      </c>
      <c r="I2758" s="16">
        <f>IF($A2758="","","Durée particulière")</f>
        <v/>
      </c>
      <c r="J2758" s="10">
        <f>IF($A2758="","",HYPERLINK("#'Tableau de bord'!A1","↑ Tableau de bord"))</f>
        <v/>
      </c>
    </row>
    <row r="2759">
      <c r="A2759" s="18">
        <f>IF(ISNUMBER(Dossiers!$D$55),Dossiers!$A$55&amp;" · "&amp;Dossiers!$B$55,"")</f>
        <v/>
      </c>
      <c r="B2759" s="18">
        <f>IF($A2759="","",Paramètres!G5)</f>
        <v/>
      </c>
      <c r="C2759" s="18">
        <f>IF($A2759="","",IF(Paramètres!H5="","",Paramètres!H5))</f>
        <v/>
      </c>
      <c r="D2759" s="18">
        <f>IF($A2759="","",IF(Paramètres!I5="","",Paramètres!I5))</f>
        <v/>
      </c>
      <c r="E2759" s="19">
        <f>IF($A2759="","",MIN(E2760:E2763))</f>
        <v/>
      </c>
      <c r="F2759" s="19">
        <f>IF($A2759="","",MAX(F2760:F2763))</f>
        <v/>
      </c>
      <c r="G2759" s="18" t="n"/>
      <c r="H2759" s="18">
        <f>IF($A2759="","",F2759-E2759+1)</f>
        <v/>
      </c>
      <c r="I2759" s="18" t="n"/>
    </row>
    <row r="2760">
      <c r="A2760" s="18">
        <f>IF(ISNUMBER(Dossiers!$D$55),Dossiers!$A$55&amp;" · "&amp;Dossiers!$B$55,"")</f>
        <v/>
      </c>
      <c r="B2760" s="18">
        <f>IF($A2760="","",Paramètres!G6)</f>
        <v/>
      </c>
      <c r="C2760" s="18">
        <f>IF($A2760="","",IF(Paramètres!H6="","",Paramètres!H6))</f>
        <v/>
      </c>
      <c r="D2760" s="18">
        <f>IF($A2760="","",IF(Paramètres!I6="","",Paramètres!I6))</f>
        <v/>
      </c>
      <c r="E2760" s="19">
        <f>IF($A2760="","",IF(Paramètres!J6&amp;Paramètres!L6&amp;Paramètres!N6="",Dossiers!$D$55,MAX(IF(Paramètres!J6="",0,IF(Paramètres!K6="",NA(),IF(LEFT(TRIM(Paramètres!K6),1)="F",INDEX($F$2759:$F$2811,MATCH(Paramètres!J6,Paramètres!$G$5:$G$57,0)),INDEX($E$2759:$E$2811,MATCH(Paramètres!J6,Paramètres!$G$5:$G$57,0)))+IF(RIGHT(TRIM(Paramètres!K6),3)="Fin",1-$H2760,IF(LEFT(TRIM(Paramètres!K6),1)="F",1,0)))),IF(Paramètres!L6="",0,IF(Paramètres!M6="",NA(),IF(LEFT(TRIM(Paramètres!M6),1)="F",INDEX($F$2759:$F$2811,MATCH(Paramètres!L6,Paramètres!$G$5:$G$57,0)),INDEX($E$2759:$E$2811,MATCH(Paramètres!L6,Paramètres!$G$5:$G$57,0)))+IF(RIGHT(TRIM(Paramètres!M6),3)="Fin",1-$H2760,IF(LEFT(TRIM(Paramètres!M6),1)="F",1,0)))),IF(Paramètres!N6="",0,IF(Paramètres!O6="",NA(),IF(LEFT(TRIM(Paramètres!O6),1)="F",INDEX($F$2759:$F$2811,MATCH(Paramètres!N6,Paramètres!$G$5:$G$57,0)),INDEX($E$2759:$E$2811,MATCH(Paramètres!N6,Paramètres!$G$5:$G$57,0)))+IF(RIGHT(TRIM(Paramètres!O6),3)="Fin",1-$H2760,IF(LEFT(TRIM(Paramètres!O6),1)="F",1,0)))))))</f>
        <v/>
      </c>
      <c r="F2760" s="19">
        <f>IF($A2760="","",E2760+$H2760-1)</f>
        <v/>
      </c>
      <c r="G2760" s="18" t="n"/>
      <c r="H2760" s="18">
        <f>IF($A2760="","",IF(I2760&lt;&gt;"",I2760,Paramètres!B6))</f>
        <v/>
      </c>
      <c r="I2760" s="18" t="n"/>
    </row>
    <row r="2761">
      <c r="A2761" s="18">
        <f>IF(ISNUMBER(Dossiers!$D$55),Dossiers!$A$55&amp;" · "&amp;Dossiers!$B$55,"")</f>
        <v/>
      </c>
      <c r="B2761" s="18">
        <f>IF($A2761="","",Paramètres!G7)</f>
        <v/>
      </c>
      <c r="C2761" s="18">
        <f>IF($A2761="","",IF(Paramètres!H7="","",Paramètres!H7))</f>
        <v/>
      </c>
      <c r="D2761" s="18">
        <f>IF($A2761="","",IF(Paramètres!I7="","",Paramètres!I7))</f>
        <v/>
      </c>
      <c r="E2761" s="19">
        <f>IF($A2761="","",IF(Paramètres!J7&amp;Paramètres!L7&amp;Paramètres!N7="",Dossiers!$D$55,MAX(IF(Paramètres!J7="",0,IF(Paramètres!K7="",NA(),IF(LEFT(TRIM(Paramètres!K7),1)="F",INDEX($F$2759:$F$2811,MATCH(Paramètres!J7,Paramètres!$G$5:$G$57,0)),INDEX($E$2759:$E$2811,MATCH(Paramètres!J7,Paramètres!$G$5:$G$57,0)))+IF(RIGHT(TRIM(Paramètres!K7),3)="Fin",1-$H2761,IF(LEFT(TRIM(Paramètres!K7),1)="F",1,0)))),IF(Paramètres!L7="",0,IF(Paramètres!M7="",NA(),IF(LEFT(TRIM(Paramètres!M7),1)="F",INDEX($F$2759:$F$2811,MATCH(Paramètres!L7,Paramètres!$G$5:$G$57,0)),INDEX($E$2759:$E$2811,MATCH(Paramètres!L7,Paramètres!$G$5:$G$57,0)))+IF(RIGHT(TRIM(Paramètres!M7),3)="Fin",1-$H2761,IF(LEFT(TRIM(Paramètres!M7),1)="F",1,0)))),IF(Paramètres!N7="",0,IF(Paramètres!O7="",NA(),IF(LEFT(TRIM(Paramètres!O7),1)="F",INDEX($F$2759:$F$2811,MATCH(Paramètres!N7,Paramètres!$G$5:$G$57,0)),INDEX($E$2759:$E$2811,MATCH(Paramètres!N7,Paramètres!$G$5:$G$57,0)))+IF(RIGHT(TRIM(Paramètres!O7),3)="Fin",1-$H2761,IF(LEFT(TRIM(Paramètres!O7),1)="F",1,0)))))))</f>
        <v/>
      </c>
      <c r="F2761" s="19">
        <f>IF($A2761="","",E2761+$H2761-1)</f>
        <v/>
      </c>
      <c r="G2761" s="18" t="n"/>
      <c r="H2761" s="18">
        <f>IF($A2761="","",IF(I2761&lt;&gt;"",I2761,Paramètres!B7))</f>
        <v/>
      </c>
      <c r="I2761" s="18" t="n"/>
    </row>
    <row r="2762">
      <c r="A2762" s="18">
        <f>IF(ISNUMBER(Dossiers!$D$55),Dossiers!$A$55&amp;" · "&amp;Dossiers!$B$55,"")</f>
        <v/>
      </c>
      <c r="B2762" s="18">
        <f>IF($A2762="","",Paramètres!G8)</f>
        <v/>
      </c>
      <c r="C2762" s="18">
        <f>IF($A2762="","",IF(Paramètres!H8="","",Paramètres!H8))</f>
        <v/>
      </c>
      <c r="D2762" s="18">
        <f>IF($A2762="","",IF(Paramètres!I8="","",Paramètres!I8))</f>
        <v/>
      </c>
      <c r="E2762" s="19">
        <f>IF($A2762="","",IF(Paramètres!J8&amp;Paramètres!L8&amp;Paramètres!N8="",Dossiers!$D$55,MAX(IF(Paramètres!J8="",0,IF(Paramètres!K8="",NA(),IF(LEFT(TRIM(Paramètres!K8),1)="F",INDEX($F$2759:$F$2811,MATCH(Paramètres!J8,Paramètres!$G$5:$G$57,0)),INDEX($E$2759:$E$2811,MATCH(Paramètres!J8,Paramètres!$G$5:$G$57,0)))+IF(RIGHT(TRIM(Paramètres!K8),3)="Fin",1-$H2762,IF(LEFT(TRIM(Paramètres!K8),1)="F",1,0)))),IF(Paramètres!L8="",0,IF(Paramètres!M8="",NA(),IF(LEFT(TRIM(Paramètres!M8),1)="F",INDEX($F$2759:$F$2811,MATCH(Paramètres!L8,Paramètres!$G$5:$G$57,0)),INDEX($E$2759:$E$2811,MATCH(Paramètres!L8,Paramètres!$G$5:$G$57,0)))+IF(RIGHT(TRIM(Paramètres!M8),3)="Fin",1-$H2762,IF(LEFT(TRIM(Paramètres!M8),1)="F",1,0)))),IF(Paramètres!N8="",0,IF(Paramètres!O8="",NA(),IF(LEFT(TRIM(Paramètres!O8),1)="F",INDEX($F$2759:$F$2811,MATCH(Paramètres!N8,Paramètres!$G$5:$G$57,0)),INDEX($E$2759:$E$2811,MATCH(Paramètres!N8,Paramètres!$G$5:$G$57,0)))+IF(RIGHT(TRIM(Paramètres!O8),3)="Fin",1-$H2762,IF(LEFT(TRIM(Paramètres!O8),1)="F",1,0)))))))</f>
        <v/>
      </c>
      <c r="F2762" s="19">
        <f>IF($A2762="","",E2762+$H2762-1)</f>
        <v/>
      </c>
      <c r="G2762" s="18" t="n"/>
      <c r="H2762" s="18">
        <f>IF($A2762="","",IF(I2762&lt;&gt;"",I2762,Paramètres!B8))</f>
        <v/>
      </c>
      <c r="I2762" s="18" t="n"/>
    </row>
    <row r="2763">
      <c r="A2763" s="18">
        <f>IF(ISNUMBER(Dossiers!$D$55),Dossiers!$A$55&amp;" · "&amp;Dossiers!$B$55,"")</f>
        <v/>
      </c>
      <c r="B2763" s="18">
        <f>IF($A2763="","",Paramètres!G9)</f>
        <v/>
      </c>
      <c r="C2763" s="18">
        <f>IF($A2763="","",IF(Paramètres!H9="","",Paramètres!H9))</f>
        <v/>
      </c>
      <c r="D2763" s="18">
        <f>IF($A2763="","",IF(Paramètres!I9="","",Paramètres!I9))</f>
        <v/>
      </c>
      <c r="E2763" s="19">
        <f>IF($A2763="","",IF(Paramètres!J9&amp;Paramètres!L9&amp;Paramètres!N9="",Dossiers!$D$55,MAX(IF(Paramètres!J9="",0,IF(Paramètres!K9="",NA(),IF(LEFT(TRIM(Paramètres!K9),1)="F",INDEX($F$2759:$F$2811,MATCH(Paramètres!J9,Paramètres!$G$5:$G$57,0)),INDEX($E$2759:$E$2811,MATCH(Paramètres!J9,Paramètres!$G$5:$G$57,0)))+IF(RIGHT(TRIM(Paramètres!K9),3)="Fin",1-$H2763,IF(LEFT(TRIM(Paramètres!K9),1)="F",1,0)))),IF(Paramètres!L9="",0,IF(Paramètres!M9="",NA(),IF(LEFT(TRIM(Paramètres!M9),1)="F",INDEX($F$2759:$F$2811,MATCH(Paramètres!L9,Paramètres!$G$5:$G$57,0)),INDEX($E$2759:$E$2811,MATCH(Paramètres!L9,Paramètres!$G$5:$G$57,0)))+IF(RIGHT(TRIM(Paramètres!M9),3)="Fin",1-$H2763,IF(LEFT(TRIM(Paramètres!M9),1)="F",1,0)))),IF(Paramètres!N9="",0,IF(Paramètres!O9="",NA(),IF(LEFT(TRIM(Paramètres!O9),1)="F",INDEX($F$2759:$F$2811,MATCH(Paramètres!N9,Paramètres!$G$5:$G$57,0)),INDEX($E$2759:$E$2811,MATCH(Paramètres!N9,Paramètres!$G$5:$G$57,0)))+IF(RIGHT(TRIM(Paramètres!O9),3)="Fin",1-$H2763,IF(LEFT(TRIM(Paramètres!O9),1)="F",1,0)))))))</f>
        <v/>
      </c>
      <c r="F2763" s="19">
        <f>IF($A2763="","",E2763+$H2763-1)</f>
        <v/>
      </c>
      <c r="G2763" s="18" t="n"/>
      <c r="H2763" s="18">
        <f>IF($A2763="","",IF(I2763&lt;&gt;"",I2763,Paramètres!B9))</f>
        <v/>
      </c>
      <c r="I2763" s="18" t="n"/>
    </row>
    <row r="2764">
      <c r="A2764" s="18">
        <f>IF(ISNUMBER(Dossiers!$D$55),Dossiers!$A$55&amp;" · "&amp;Dossiers!$B$55,"")</f>
        <v/>
      </c>
      <c r="B2764" s="18">
        <f>IF($A2764="","",Paramètres!G10)</f>
        <v/>
      </c>
      <c r="C2764" s="18">
        <f>IF($A2764="","",IF(Paramètres!H10="","",Paramètres!H10))</f>
        <v/>
      </c>
      <c r="D2764" s="18">
        <f>IF($A2764="","",IF(Paramètres!I10="","",Paramètres!I10))</f>
        <v/>
      </c>
      <c r="E2764" s="19">
        <f>IF($A2764="","",MIN(E2765:E2768))</f>
        <v/>
      </c>
      <c r="F2764" s="19">
        <f>IF($A2764="","",MAX(F2765:F2768))</f>
        <v/>
      </c>
      <c r="G2764" s="18" t="n"/>
      <c r="H2764" s="18">
        <f>IF($A2764="","",F2764-E2764+1)</f>
        <v/>
      </c>
      <c r="I2764" s="18" t="n"/>
    </row>
    <row r="2765">
      <c r="A2765" s="18">
        <f>IF(ISNUMBER(Dossiers!$D$55),Dossiers!$A$55&amp;" · "&amp;Dossiers!$B$55,"")</f>
        <v/>
      </c>
      <c r="B2765" s="18">
        <f>IF($A2765="","",Paramètres!G11)</f>
        <v/>
      </c>
      <c r="C2765" s="18">
        <f>IF($A2765="","",IF(Paramètres!H11="","",Paramètres!H11))</f>
        <v/>
      </c>
      <c r="D2765" s="18">
        <f>IF($A2765="","",IF(Paramètres!I11="","",Paramètres!I11))</f>
        <v/>
      </c>
      <c r="E2765" s="19">
        <f>IF($A2765="","",IF(Paramètres!J11&amp;Paramètres!L11&amp;Paramètres!N11="",Dossiers!$D$55,MAX(IF(Paramètres!J11="",0,IF(Paramètres!K11="",NA(),IF(LEFT(TRIM(Paramètres!K11),1)="F",INDEX($F$2759:$F$2811,MATCH(Paramètres!J11,Paramètres!$G$5:$G$57,0)),INDEX($E$2759:$E$2811,MATCH(Paramètres!J11,Paramètres!$G$5:$G$57,0)))+IF(RIGHT(TRIM(Paramètres!K11),3)="Fin",1-$H2765,IF(LEFT(TRIM(Paramètres!K11),1)="F",1,0)))),IF(Paramètres!L11="",0,IF(Paramètres!M11="",NA(),IF(LEFT(TRIM(Paramètres!M11),1)="F",INDEX($F$2759:$F$2811,MATCH(Paramètres!L11,Paramètres!$G$5:$G$57,0)),INDEX($E$2759:$E$2811,MATCH(Paramètres!L11,Paramètres!$G$5:$G$57,0)))+IF(RIGHT(TRIM(Paramètres!M11),3)="Fin",1-$H2765,IF(LEFT(TRIM(Paramètres!M11),1)="F",1,0)))),IF(Paramètres!N11="",0,IF(Paramètres!O11="",NA(),IF(LEFT(TRIM(Paramètres!O11),1)="F",INDEX($F$2759:$F$2811,MATCH(Paramètres!N11,Paramètres!$G$5:$G$57,0)),INDEX($E$2759:$E$2811,MATCH(Paramètres!N11,Paramètres!$G$5:$G$57,0)))+IF(RIGHT(TRIM(Paramètres!O11),3)="Fin",1-$H2765,IF(LEFT(TRIM(Paramètres!O11),1)="F",1,0)))))))</f>
        <v/>
      </c>
      <c r="F2765" s="19">
        <f>IF($A2765="","",E2765+$H2765-1)</f>
        <v/>
      </c>
      <c r="G2765" s="18" t="n"/>
      <c r="H2765" s="18">
        <f>IF($A2765="","",IF(I2765&lt;&gt;"",I2765,Paramètres!B11))</f>
        <v/>
      </c>
      <c r="I2765" s="18" t="n"/>
    </row>
    <row r="2766">
      <c r="A2766" s="18">
        <f>IF(ISNUMBER(Dossiers!$D$55),Dossiers!$A$55&amp;" · "&amp;Dossiers!$B$55,"")</f>
        <v/>
      </c>
      <c r="B2766" s="18">
        <f>IF($A2766="","",Paramètres!G12)</f>
        <v/>
      </c>
      <c r="C2766" s="18">
        <f>IF($A2766="","",IF(Paramètres!H12="","",Paramètres!H12))</f>
        <v/>
      </c>
      <c r="D2766" s="18">
        <f>IF($A2766="","",IF(Paramètres!I12="","",Paramètres!I12))</f>
        <v/>
      </c>
      <c r="E2766" s="19">
        <f>IF($A2766="","",IF(Paramètres!J12&amp;Paramètres!L12&amp;Paramètres!N12="",Dossiers!$D$55,MAX(IF(Paramètres!J12="",0,IF(Paramètres!K12="",NA(),IF(LEFT(TRIM(Paramètres!K12),1)="F",INDEX($F$2759:$F$2811,MATCH(Paramètres!J12,Paramètres!$G$5:$G$57,0)),INDEX($E$2759:$E$2811,MATCH(Paramètres!J12,Paramètres!$G$5:$G$57,0)))+IF(RIGHT(TRIM(Paramètres!K12),3)="Fin",1-$H2766,IF(LEFT(TRIM(Paramètres!K12),1)="F",1,0)))),IF(Paramètres!L12="",0,IF(Paramètres!M12="",NA(),IF(LEFT(TRIM(Paramètres!M12),1)="F",INDEX($F$2759:$F$2811,MATCH(Paramètres!L12,Paramètres!$G$5:$G$57,0)),INDEX($E$2759:$E$2811,MATCH(Paramètres!L12,Paramètres!$G$5:$G$57,0)))+IF(RIGHT(TRIM(Paramètres!M12),3)="Fin",1-$H2766,IF(LEFT(TRIM(Paramètres!M12),1)="F",1,0)))),IF(Paramètres!N12="",0,IF(Paramètres!O12="",NA(),IF(LEFT(TRIM(Paramètres!O12),1)="F",INDEX($F$2759:$F$2811,MATCH(Paramètres!N12,Paramètres!$G$5:$G$57,0)),INDEX($E$2759:$E$2811,MATCH(Paramètres!N12,Paramètres!$G$5:$G$57,0)))+IF(RIGHT(TRIM(Paramètres!O12),3)="Fin",1-$H2766,IF(LEFT(TRIM(Paramètres!O12),1)="F",1,0)))))))</f>
        <v/>
      </c>
      <c r="F2766" s="19">
        <f>IF($A2766="","",E2766+$H2766-1)</f>
        <v/>
      </c>
      <c r="G2766" s="18" t="n"/>
      <c r="H2766" s="18">
        <f>IF($A2766="","",IF(I2766&lt;&gt;"",I2766,Paramètres!B12))</f>
        <v/>
      </c>
      <c r="I2766" s="18" t="n"/>
    </row>
    <row r="2767">
      <c r="A2767" s="18">
        <f>IF(ISNUMBER(Dossiers!$D$55),Dossiers!$A$55&amp;" · "&amp;Dossiers!$B$55,"")</f>
        <v/>
      </c>
      <c r="B2767" s="18">
        <f>IF($A2767="","",Paramètres!G13)</f>
        <v/>
      </c>
      <c r="C2767" s="18">
        <f>IF($A2767="","",IF(Paramètres!H13="","",Paramètres!H13))</f>
        <v/>
      </c>
      <c r="D2767" s="18">
        <f>IF($A2767="","",IF(Paramètres!I13="","",Paramètres!I13))</f>
        <v/>
      </c>
      <c r="E2767" s="19">
        <f>IF($A2767="","",IF(Paramètres!J13&amp;Paramètres!L13&amp;Paramètres!N13="",Dossiers!$D$55,MAX(IF(Paramètres!J13="",0,IF(Paramètres!K13="",NA(),IF(LEFT(TRIM(Paramètres!K13),1)="F",INDEX($F$2759:$F$2811,MATCH(Paramètres!J13,Paramètres!$G$5:$G$57,0)),INDEX($E$2759:$E$2811,MATCH(Paramètres!J13,Paramètres!$G$5:$G$57,0)))+IF(RIGHT(TRIM(Paramètres!K13),3)="Fin",1-$H2767,IF(LEFT(TRIM(Paramètres!K13),1)="F",1,0)))),IF(Paramètres!L13="",0,IF(Paramètres!M13="",NA(),IF(LEFT(TRIM(Paramètres!M13),1)="F",INDEX($F$2759:$F$2811,MATCH(Paramètres!L13,Paramètres!$G$5:$G$57,0)),INDEX($E$2759:$E$2811,MATCH(Paramètres!L13,Paramètres!$G$5:$G$57,0)))+IF(RIGHT(TRIM(Paramètres!M13),3)="Fin",1-$H2767,IF(LEFT(TRIM(Paramètres!M13),1)="F",1,0)))),IF(Paramètres!N13="",0,IF(Paramètres!O13="",NA(),IF(LEFT(TRIM(Paramètres!O13),1)="F",INDEX($F$2759:$F$2811,MATCH(Paramètres!N13,Paramètres!$G$5:$G$57,0)),INDEX($E$2759:$E$2811,MATCH(Paramètres!N13,Paramètres!$G$5:$G$57,0)))+IF(RIGHT(TRIM(Paramètres!O13),3)="Fin",1-$H2767,IF(LEFT(TRIM(Paramètres!O13),1)="F",1,0)))))))</f>
        <v/>
      </c>
      <c r="F2767" s="19">
        <f>IF($A2767="","",E2767+$H2767-1)</f>
        <v/>
      </c>
      <c r="G2767" s="18" t="n"/>
      <c r="H2767" s="18">
        <f>IF($A2767="","",IF(I2767&lt;&gt;"",I2767,Paramètres!B13))</f>
        <v/>
      </c>
      <c r="I2767" s="18" t="n"/>
    </row>
    <row r="2768">
      <c r="A2768" s="18">
        <f>IF(ISNUMBER(Dossiers!$D$55),Dossiers!$A$55&amp;" · "&amp;Dossiers!$B$55,"")</f>
        <v/>
      </c>
      <c r="B2768" s="18">
        <f>IF($A2768="","",Paramètres!G14)</f>
        <v/>
      </c>
      <c r="C2768" s="18">
        <f>IF($A2768="","",IF(Paramètres!H14="","",Paramètres!H14))</f>
        <v/>
      </c>
      <c r="D2768" s="18">
        <f>IF($A2768="","",IF(Paramètres!I14="","",Paramètres!I14))</f>
        <v/>
      </c>
      <c r="E2768" s="19">
        <f>IF($A2768="","",IF(Paramètres!J14&amp;Paramètres!L14&amp;Paramètres!N14="",Dossiers!$D$55,MAX(IF(Paramètres!J14="",0,IF(Paramètres!K14="",NA(),IF(LEFT(TRIM(Paramètres!K14),1)="F",INDEX($F$2759:$F$2811,MATCH(Paramètres!J14,Paramètres!$G$5:$G$57,0)),INDEX($E$2759:$E$2811,MATCH(Paramètres!J14,Paramètres!$G$5:$G$57,0)))+IF(RIGHT(TRIM(Paramètres!K14),3)="Fin",1-$H2768,IF(LEFT(TRIM(Paramètres!K14),1)="F",1,0)))),IF(Paramètres!L14="",0,IF(Paramètres!M14="",NA(),IF(LEFT(TRIM(Paramètres!M14),1)="F",INDEX($F$2759:$F$2811,MATCH(Paramètres!L14,Paramètres!$G$5:$G$57,0)),INDEX($E$2759:$E$2811,MATCH(Paramètres!L14,Paramètres!$G$5:$G$57,0)))+IF(RIGHT(TRIM(Paramètres!M14),3)="Fin",1-$H2768,IF(LEFT(TRIM(Paramètres!M14),1)="F",1,0)))),IF(Paramètres!N14="",0,IF(Paramètres!O14="",NA(),IF(LEFT(TRIM(Paramètres!O14),1)="F",INDEX($F$2759:$F$2811,MATCH(Paramètres!N14,Paramètres!$G$5:$G$57,0)),INDEX($E$2759:$E$2811,MATCH(Paramètres!N14,Paramètres!$G$5:$G$57,0)))+IF(RIGHT(TRIM(Paramètres!O14),3)="Fin",1-$H2768,IF(LEFT(TRIM(Paramètres!O14),1)="F",1,0)))))))</f>
        <v/>
      </c>
      <c r="F2768" s="19">
        <f>IF($A2768="","",E2768+$H2768-1)</f>
        <v/>
      </c>
      <c r="G2768" s="18" t="n"/>
      <c r="H2768" s="18">
        <f>IF($A2768="","",IF(I2768&lt;&gt;"",I2768,Paramètres!B14))</f>
        <v/>
      </c>
      <c r="I2768" s="18" t="n"/>
    </row>
    <row r="2769">
      <c r="A2769" s="18">
        <f>IF(ISNUMBER(Dossiers!$D$55),Dossiers!$A$55&amp;" · "&amp;Dossiers!$B$55,"")</f>
        <v/>
      </c>
      <c r="B2769" s="18">
        <f>IF($A2769="","",Paramètres!G15)</f>
        <v/>
      </c>
      <c r="C2769" s="18">
        <f>IF($A2769="","",IF(Paramètres!H15="","",Paramètres!H15))</f>
        <v/>
      </c>
      <c r="D2769" s="18">
        <f>IF($A2769="","",IF(Paramètres!I15="","",Paramètres!I15))</f>
        <v/>
      </c>
      <c r="E2769" s="19">
        <f>IF($A2769="","",MIN(E2770:E2785))</f>
        <v/>
      </c>
      <c r="F2769" s="19">
        <f>IF($A2769="","",MAX(F2770:F2785))</f>
        <v/>
      </c>
      <c r="G2769" s="18" t="n"/>
      <c r="H2769" s="18">
        <f>IF($A2769="","",F2769-E2769+1)</f>
        <v/>
      </c>
      <c r="I2769" s="18" t="n"/>
    </row>
    <row r="2770">
      <c r="A2770" s="18">
        <f>IF(ISNUMBER(Dossiers!$D$55),Dossiers!$A$55&amp;" · "&amp;Dossiers!$B$55,"")</f>
        <v/>
      </c>
      <c r="B2770" s="18">
        <f>IF($A2770="","",Paramètres!G16)</f>
        <v/>
      </c>
      <c r="C2770" s="18">
        <f>IF($A2770="","",IF(Paramètres!H16="","",Paramètres!H16))</f>
        <v/>
      </c>
      <c r="D2770" s="18">
        <f>IF($A2770="","",IF(Paramètres!I16="","",Paramètres!I16))</f>
        <v/>
      </c>
      <c r="E2770" s="19">
        <f>IF($A2770="","",IF(Paramètres!J16&amp;Paramètres!L16&amp;Paramètres!N16="",Dossiers!$D$55,MAX(IF(Paramètres!J16="",0,IF(Paramètres!K16="",NA(),IF(LEFT(TRIM(Paramètres!K16),1)="F",INDEX($F$2759:$F$2811,MATCH(Paramètres!J16,Paramètres!$G$5:$G$57,0)),INDEX($E$2759:$E$2811,MATCH(Paramètres!J16,Paramètres!$G$5:$G$57,0)))+IF(RIGHT(TRIM(Paramètres!K16),3)="Fin",1-$H2770,IF(LEFT(TRIM(Paramètres!K16),1)="F",1,0)))),IF(Paramètres!L16="",0,IF(Paramètres!M16="",NA(),IF(LEFT(TRIM(Paramètres!M16),1)="F",INDEX($F$2759:$F$2811,MATCH(Paramètres!L16,Paramètres!$G$5:$G$57,0)),INDEX($E$2759:$E$2811,MATCH(Paramètres!L16,Paramètres!$G$5:$G$57,0)))+IF(RIGHT(TRIM(Paramètres!M16),3)="Fin",1-$H2770,IF(LEFT(TRIM(Paramètres!M16),1)="F",1,0)))),IF(Paramètres!N16="",0,IF(Paramètres!O16="",NA(),IF(LEFT(TRIM(Paramètres!O16),1)="F",INDEX($F$2759:$F$2811,MATCH(Paramètres!N16,Paramètres!$G$5:$G$57,0)),INDEX($E$2759:$E$2811,MATCH(Paramètres!N16,Paramètres!$G$5:$G$57,0)))+IF(RIGHT(TRIM(Paramètres!O16),3)="Fin",1-$H2770,IF(LEFT(TRIM(Paramètres!O16),1)="F",1,0)))))))</f>
        <v/>
      </c>
      <c r="F2770" s="19">
        <f>IF($A2770="","",E2770+$H2770-1)</f>
        <v/>
      </c>
      <c r="G2770" s="18" t="n"/>
      <c r="H2770" s="18">
        <f>IF($A2770="","",IF(I2770&lt;&gt;"",I2770,Paramètres!B16))</f>
        <v/>
      </c>
      <c r="I2770" s="18" t="n"/>
    </row>
    <row r="2771">
      <c r="A2771" s="18">
        <f>IF(ISNUMBER(Dossiers!$D$55),Dossiers!$A$55&amp;" · "&amp;Dossiers!$B$55,"")</f>
        <v/>
      </c>
      <c r="B2771" s="18">
        <f>IF($A2771="","",Paramètres!G17)</f>
        <v/>
      </c>
      <c r="C2771" s="18">
        <f>IF($A2771="","",IF(Paramètres!H17="","",Paramètres!H17))</f>
        <v/>
      </c>
      <c r="D2771" s="18">
        <f>IF($A2771="","",IF(Paramètres!I17="","",Paramètres!I17))</f>
        <v/>
      </c>
      <c r="E2771" s="19">
        <f>IF($A2771="","",IF(Paramètres!J17&amp;Paramètres!L17&amp;Paramètres!N17="",Dossiers!$D$55,MAX(IF(Paramètres!J17="",0,IF(Paramètres!K17="",NA(),IF(LEFT(TRIM(Paramètres!K17),1)="F",INDEX($F$2759:$F$2811,MATCH(Paramètres!J17,Paramètres!$G$5:$G$57,0)),INDEX($E$2759:$E$2811,MATCH(Paramètres!J17,Paramètres!$G$5:$G$57,0)))+IF(RIGHT(TRIM(Paramètres!K17),3)="Fin",1-$H2771,IF(LEFT(TRIM(Paramètres!K17),1)="F",1,0)))),IF(Paramètres!L17="",0,IF(Paramètres!M17="",NA(),IF(LEFT(TRIM(Paramètres!M17),1)="F",INDEX($F$2759:$F$2811,MATCH(Paramètres!L17,Paramètres!$G$5:$G$57,0)),INDEX($E$2759:$E$2811,MATCH(Paramètres!L17,Paramètres!$G$5:$G$57,0)))+IF(RIGHT(TRIM(Paramètres!M17),3)="Fin",1-$H2771,IF(LEFT(TRIM(Paramètres!M17),1)="F",1,0)))),IF(Paramètres!N17="",0,IF(Paramètres!O17="",NA(),IF(LEFT(TRIM(Paramètres!O17),1)="F",INDEX($F$2759:$F$2811,MATCH(Paramètres!N17,Paramètres!$G$5:$G$57,0)),INDEX($E$2759:$E$2811,MATCH(Paramètres!N17,Paramètres!$G$5:$G$57,0)))+IF(RIGHT(TRIM(Paramètres!O17),3)="Fin",1-$H2771,IF(LEFT(TRIM(Paramètres!O17),1)="F",1,0)))))))</f>
        <v/>
      </c>
      <c r="F2771" s="19">
        <f>IF($A2771="","",E2771+$H2771-1)</f>
        <v/>
      </c>
      <c r="G2771" s="18" t="n"/>
      <c r="H2771" s="18">
        <f>IF($A2771="","",IF(I2771&lt;&gt;"",I2771,Paramètres!B17))</f>
        <v/>
      </c>
      <c r="I2771" s="18" t="n"/>
    </row>
    <row r="2772">
      <c r="A2772" s="18">
        <f>IF(ISNUMBER(Dossiers!$D$55),Dossiers!$A$55&amp;" · "&amp;Dossiers!$B$55,"")</f>
        <v/>
      </c>
      <c r="B2772" s="18">
        <f>IF($A2772="","",Paramètres!G18)</f>
        <v/>
      </c>
      <c r="C2772" s="18">
        <f>IF($A2772="","",IF(Paramètres!H18="","",Paramètres!H18))</f>
        <v/>
      </c>
      <c r="D2772" s="18">
        <f>IF($A2772="","",IF(Paramètres!I18="","",Paramètres!I18))</f>
        <v/>
      </c>
      <c r="E2772" s="19">
        <f>IF($A2772="","",IF(Paramètres!J18&amp;Paramètres!L18&amp;Paramètres!N18="",Dossiers!$D$55,MAX(IF(Paramètres!J18="",0,IF(Paramètres!K18="",NA(),IF(LEFT(TRIM(Paramètres!K18),1)="F",INDEX($F$2759:$F$2811,MATCH(Paramètres!J18,Paramètres!$G$5:$G$57,0)),INDEX($E$2759:$E$2811,MATCH(Paramètres!J18,Paramètres!$G$5:$G$57,0)))+IF(RIGHT(TRIM(Paramètres!K18),3)="Fin",1-$H2772,IF(LEFT(TRIM(Paramètres!K18),1)="F",1,0)))),IF(Paramètres!L18="",0,IF(Paramètres!M18="",NA(),IF(LEFT(TRIM(Paramètres!M18),1)="F",INDEX($F$2759:$F$2811,MATCH(Paramètres!L18,Paramètres!$G$5:$G$57,0)),INDEX($E$2759:$E$2811,MATCH(Paramètres!L18,Paramètres!$G$5:$G$57,0)))+IF(RIGHT(TRIM(Paramètres!M18),3)="Fin",1-$H2772,IF(LEFT(TRIM(Paramètres!M18),1)="F",1,0)))),IF(Paramètres!N18="",0,IF(Paramètres!O18="",NA(),IF(LEFT(TRIM(Paramètres!O18),1)="F",INDEX($F$2759:$F$2811,MATCH(Paramètres!N18,Paramètres!$G$5:$G$57,0)),INDEX($E$2759:$E$2811,MATCH(Paramètres!N18,Paramètres!$G$5:$G$57,0)))+IF(RIGHT(TRIM(Paramètres!O18),3)="Fin",1-$H2772,IF(LEFT(TRIM(Paramètres!O18),1)="F",1,0)))))))</f>
        <v/>
      </c>
      <c r="F2772" s="19">
        <f>IF($A2772="","",E2772+$H2772-1)</f>
        <v/>
      </c>
      <c r="G2772" s="18" t="n"/>
      <c r="H2772" s="18">
        <f>IF($A2772="","",IF(I2772&lt;&gt;"",I2772,Paramètres!B18))</f>
        <v/>
      </c>
      <c r="I2772" s="18" t="n"/>
    </row>
    <row r="2773">
      <c r="A2773" s="18">
        <f>IF(ISNUMBER(Dossiers!$D$55),Dossiers!$A$55&amp;" · "&amp;Dossiers!$B$55,"")</f>
        <v/>
      </c>
      <c r="B2773" s="18">
        <f>IF($A2773="","",Paramètres!G19)</f>
        <v/>
      </c>
      <c r="C2773" s="18">
        <f>IF($A2773="","",IF(Paramètres!H19="","",Paramètres!H19))</f>
        <v/>
      </c>
      <c r="D2773" s="18">
        <f>IF($A2773="","",IF(Paramètres!I19="","",Paramètres!I19))</f>
        <v/>
      </c>
      <c r="E2773" s="19">
        <f>IF($A2773="","",IF(Paramètres!J19&amp;Paramètres!L19&amp;Paramètres!N19="",Dossiers!$D$55,MAX(IF(Paramètres!J19="",0,IF(Paramètres!K19="",NA(),IF(LEFT(TRIM(Paramètres!K19),1)="F",INDEX($F$2759:$F$2811,MATCH(Paramètres!J19,Paramètres!$G$5:$G$57,0)),INDEX($E$2759:$E$2811,MATCH(Paramètres!J19,Paramètres!$G$5:$G$57,0)))+IF(RIGHT(TRIM(Paramètres!K19),3)="Fin",1-$H2773,IF(LEFT(TRIM(Paramètres!K19),1)="F",1,0)))),IF(Paramètres!L19="",0,IF(Paramètres!M19="",NA(),IF(LEFT(TRIM(Paramètres!M19),1)="F",INDEX($F$2759:$F$2811,MATCH(Paramètres!L19,Paramètres!$G$5:$G$57,0)),INDEX($E$2759:$E$2811,MATCH(Paramètres!L19,Paramètres!$G$5:$G$57,0)))+IF(RIGHT(TRIM(Paramètres!M19),3)="Fin",1-$H2773,IF(LEFT(TRIM(Paramètres!M19),1)="F",1,0)))),IF(Paramètres!N19="",0,IF(Paramètres!O19="",NA(),IF(LEFT(TRIM(Paramètres!O19),1)="F",INDEX($F$2759:$F$2811,MATCH(Paramètres!N19,Paramètres!$G$5:$G$57,0)),INDEX($E$2759:$E$2811,MATCH(Paramètres!N19,Paramètres!$G$5:$G$57,0)))+IF(RIGHT(TRIM(Paramètres!O19),3)="Fin",1-$H2773,IF(LEFT(TRIM(Paramètres!O19),1)="F",1,0)))))))</f>
        <v/>
      </c>
      <c r="F2773" s="19">
        <f>IF($A2773="","",E2773+$H2773-1)</f>
        <v/>
      </c>
      <c r="G2773" s="18" t="n"/>
      <c r="H2773" s="18">
        <f>IF($A2773="","",IF(I2773&lt;&gt;"",I2773,Paramètres!B19))</f>
        <v/>
      </c>
      <c r="I2773" s="18" t="n"/>
    </row>
    <row r="2774">
      <c r="A2774" s="18">
        <f>IF(ISNUMBER(Dossiers!$D$55),Dossiers!$A$55&amp;" · "&amp;Dossiers!$B$55,"")</f>
        <v/>
      </c>
      <c r="B2774" s="18">
        <f>IF($A2774="","",Paramètres!G20)</f>
        <v/>
      </c>
      <c r="C2774" s="18">
        <f>IF($A2774="","",IF(Paramètres!H20="","",Paramètres!H20))</f>
        <v/>
      </c>
      <c r="D2774" s="18">
        <f>IF($A2774="","",IF(Paramètres!I20="","",Paramètres!I20))</f>
        <v/>
      </c>
      <c r="E2774" s="19">
        <f>IF($A2774="","",IF(Paramètres!J20&amp;Paramètres!L20&amp;Paramètres!N20="",Dossiers!$D$55,MAX(IF(Paramètres!J20="",0,IF(Paramètres!K20="",NA(),IF(LEFT(TRIM(Paramètres!K20),1)="F",INDEX($F$2759:$F$2811,MATCH(Paramètres!J20,Paramètres!$G$5:$G$57,0)),INDEX($E$2759:$E$2811,MATCH(Paramètres!J20,Paramètres!$G$5:$G$57,0)))+IF(RIGHT(TRIM(Paramètres!K20),3)="Fin",1-$H2774,IF(LEFT(TRIM(Paramètres!K20),1)="F",1,0)))),IF(Paramètres!L20="",0,IF(Paramètres!M20="",NA(),IF(LEFT(TRIM(Paramètres!M20),1)="F",INDEX($F$2759:$F$2811,MATCH(Paramètres!L20,Paramètres!$G$5:$G$57,0)),INDEX($E$2759:$E$2811,MATCH(Paramètres!L20,Paramètres!$G$5:$G$57,0)))+IF(RIGHT(TRIM(Paramètres!M20),3)="Fin",1-$H2774,IF(LEFT(TRIM(Paramètres!M20),1)="F",1,0)))),IF(Paramètres!N20="",0,IF(Paramètres!O20="",NA(),IF(LEFT(TRIM(Paramètres!O20),1)="F",INDEX($F$2759:$F$2811,MATCH(Paramètres!N20,Paramètres!$G$5:$G$57,0)),INDEX($E$2759:$E$2811,MATCH(Paramètres!N20,Paramètres!$G$5:$G$57,0)))+IF(RIGHT(TRIM(Paramètres!O20),3)="Fin",1-$H2774,IF(LEFT(TRIM(Paramètres!O20),1)="F",1,0)))))))</f>
        <v/>
      </c>
      <c r="F2774" s="19">
        <f>IF($A2774="","",E2774+$H2774-1)</f>
        <v/>
      </c>
      <c r="G2774" s="18" t="n"/>
      <c r="H2774" s="18">
        <f>IF($A2774="","",IF(I2774&lt;&gt;"",I2774,Paramètres!B20))</f>
        <v/>
      </c>
      <c r="I2774" s="18" t="n"/>
    </row>
    <row r="2775">
      <c r="A2775" s="18">
        <f>IF(ISNUMBER(Dossiers!$D$55),Dossiers!$A$55&amp;" · "&amp;Dossiers!$B$55,"")</f>
        <v/>
      </c>
      <c r="B2775" s="18">
        <f>IF($A2775="","",Paramètres!G21)</f>
        <v/>
      </c>
      <c r="C2775" s="18">
        <f>IF($A2775="","",IF(Paramètres!H21="","",Paramètres!H21))</f>
        <v/>
      </c>
      <c r="D2775" s="18">
        <f>IF($A2775="","",IF(Paramètres!I21="","",Paramètres!I21))</f>
        <v/>
      </c>
      <c r="E2775" s="19">
        <f>IF($A2775="","",IF(Paramètres!J21&amp;Paramètres!L21&amp;Paramètres!N21="",Dossiers!$D$55,MAX(IF(Paramètres!J21="",0,IF(Paramètres!K21="",NA(),IF(LEFT(TRIM(Paramètres!K21),1)="F",INDEX($F$2759:$F$2811,MATCH(Paramètres!J21,Paramètres!$G$5:$G$57,0)),INDEX($E$2759:$E$2811,MATCH(Paramètres!J21,Paramètres!$G$5:$G$57,0)))+IF(RIGHT(TRIM(Paramètres!K21),3)="Fin",1-$H2775,IF(LEFT(TRIM(Paramètres!K21),1)="F",1,0)))),IF(Paramètres!L21="",0,IF(Paramètres!M21="",NA(),IF(LEFT(TRIM(Paramètres!M21),1)="F",INDEX($F$2759:$F$2811,MATCH(Paramètres!L21,Paramètres!$G$5:$G$57,0)),INDEX($E$2759:$E$2811,MATCH(Paramètres!L21,Paramètres!$G$5:$G$57,0)))+IF(RIGHT(TRIM(Paramètres!M21),3)="Fin",1-$H2775,IF(LEFT(TRIM(Paramètres!M21),1)="F",1,0)))),IF(Paramètres!N21="",0,IF(Paramètres!O21="",NA(),IF(LEFT(TRIM(Paramètres!O21),1)="F",INDEX($F$2759:$F$2811,MATCH(Paramètres!N21,Paramètres!$G$5:$G$57,0)),INDEX($E$2759:$E$2811,MATCH(Paramètres!N21,Paramètres!$G$5:$G$57,0)))+IF(RIGHT(TRIM(Paramètres!O21),3)="Fin",1-$H2775,IF(LEFT(TRIM(Paramètres!O21),1)="F",1,0)))))))</f>
        <v/>
      </c>
      <c r="F2775" s="19">
        <f>IF($A2775="","",E2775+$H2775-1)</f>
        <v/>
      </c>
      <c r="G2775" s="18" t="n"/>
      <c r="H2775" s="18">
        <f>IF($A2775="","",IF(I2775&lt;&gt;"",I2775,Paramètres!B21))</f>
        <v/>
      </c>
      <c r="I2775" s="18" t="n"/>
    </row>
    <row r="2776">
      <c r="A2776" s="18">
        <f>IF(ISNUMBER(Dossiers!$D$55),Dossiers!$A$55&amp;" · "&amp;Dossiers!$B$55,"")</f>
        <v/>
      </c>
      <c r="B2776" s="18">
        <f>IF($A2776="","",Paramètres!G22)</f>
        <v/>
      </c>
      <c r="C2776" s="18">
        <f>IF($A2776="","",IF(Paramètres!H22="","",Paramètres!H22))</f>
        <v/>
      </c>
      <c r="D2776" s="18">
        <f>IF($A2776="","",IF(Paramètres!I22="","",Paramètres!I22))</f>
        <v/>
      </c>
      <c r="E2776" s="19">
        <f>IF($A2776="","",IF(Paramètres!J22&amp;Paramètres!L22&amp;Paramètres!N22="",Dossiers!$D$55,MAX(IF(Paramètres!J22="",0,IF(Paramètres!K22="",NA(),IF(LEFT(TRIM(Paramètres!K22),1)="F",INDEX($F$2759:$F$2811,MATCH(Paramètres!J22,Paramètres!$G$5:$G$57,0)),INDEX($E$2759:$E$2811,MATCH(Paramètres!J22,Paramètres!$G$5:$G$57,0)))+IF(RIGHT(TRIM(Paramètres!K22),3)="Fin",1-$H2776,IF(LEFT(TRIM(Paramètres!K22),1)="F",1,0)))),IF(Paramètres!L22="",0,IF(Paramètres!M22="",NA(),IF(LEFT(TRIM(Paramètres!M22),1)="F",INDEX($F$2759:$F$2811,MATCH(Paramètres!L22,Paramètres!$G$5:$G$57,0)),INDEX($E$2759:$E$2811,MATCH(Paramètres!L22,Paramètres!$G$5:$G$57,0)))+IF(RIGHT(TRIM(Paramètres!M22),3)="Fin",1-$H2776,IF(LEFT(TRIM(Paramètres!M22),1)="F",1,0)))),IF(Paramètres!N22="",0,IF(Paramètres!O22="",NA(),IF(LEFT(TRIM(Paramètres!O22),1)="F",INDEX($F$2759:$F$2811,MATCH(Paramètres!N22,Paramètres!$G$5:$G$57,0)),INDEX($E$2759:$E$2811,MATCH(Paramètres!N22,Paramètres!$G$5:$G$57,0)))+IF(RIGHT(TRIM(Paramètres!O22),3)="Fin",1-$H2776,IF(LEFT(TRIM(Paramètres!O22),1)="F",1,0)))))))</f>
        <v/>
      </c>
      <c r="F2776" s="19">
        <f>IF($A2776="","",E2776+$H2776-1)</f>
        <v/>
      </c>
      <c r="G2776" s="18" t="n"/>
      <c r="H2776" s="18">
        <f>IF($A2776="","",IF(I2776&lt;&gt;"",I2776,Paramètres!B22))</f>
        <v/>
      </c>
      <c r="I2776" s="18" t="n"/>
    </row>
    <row r="2777">
      <c r="A2777" s="18">
        <f>IF(ISNUMBER(Dossiers!$D$55),Dossiers!$A$55&amp;" · "&amp;Dossiers!$B$55,"")</f>
        <v/>
      </c>
      <c r="B2777" s="18">
        <f>IF($A2777="","",Paramètres!G23)</f>
        <v/>
      </c>
      <c r="C2777" s="18">
        <f>IF($A2777="","",IF(Paramètres!H23="","",Paramètres!H23))</f>
        <v/>
      </c>
      <c r="D2777" s="18">
        <f>IF($A2777="","",IF(Paramètres!I23="","",Paramètres!I23))</f>
        <v/>
      </c>
      <c r="E2777" s="19">
        <f>IF($A2777="","",IF(Paramètres!J23&amp;Paramètres!L23&amp;Paramètres!N23="",Dossiers!$D$55,MAX(IF(Paramètres!J23="",0,IF(Paramètres!K23="",NA(),IF(LEFT(TRIM(Paramètres!K23),1)="F",INDEX($F$2759:$F$2811,MATCH(Paramètres!J23,Paramètres!$G$5:$G$57,0)),INDEX($E$2759:$E$2811,MATCH(Paramètres!J23,Paramètres!$G$5:$G$57,0)))+IF(RIGHT(TRIM(Paramètres!K23),3)="Fin",1-$H2777,IF(LEFT(TRIM(Paramètres!K23),1)="F",1,0)))),IF(Paramètres!L23="",0,IF(Paramètres!M23="",NA(),IF(LEFT(TRIM(Paramètres!M23),1)="F",INDEX($F$2759:$F$2811,MATCH(Paramètres!L23,Paramètres!$G$5:$G$57,0)),INDEX($E$2759:$E$2811,MATCH(Paramètres!L23,Paramètres!$G$5:$G$57,0)))+IF(RIGHT(TRIM(Paramètres!M23),3)="Fin",1-$H2777,IF(LEFT(TRIM(Paramètres!M23),1)="F",1,0)))),IF(Paramètres!N23="",0,IF(Paramètres!O23="",NA(),IF(LEFT(TRIM(Paramètres!O23),1)="F",INDEX($F$2759:$F$2811,MATCH(Paramètres!N23,Paramètres!$G$5:$G$57,0)),INDEX($E$2759:$E$2811,MATCH(Paramètres!N23,Paramètres!$G$5:$G$57,0)))+IF(RIGHT(TRIM(Paramètres!O23),3)="Fin",1-$H2777,IF(LEFT(TRIM(Paramètres!O23),1)="F",1,0)))))))</f>
        <v/>
      </c>
      <c r="F2777" s="19">
        <f>IF($A2777="","",E2777+$H2777-1)</f>
        <v/>
      </c>
      <c r="G2777" s="18" t="n"/>
      <c r="H2777" s="18">
        <f>IF($A2777="","",IF(I2777&lt;&gt;"",I2777,Paramètres!B23))</f>
        <v/>
      </c>
      <c r="I2777" s="18" t="n"/>
    </row>
    <row r="2778">
      <c r="A2778" s="18">
        <f>IF(ISNUMBER(Dossiers!$D$55),Dossiers!$A$55&amp;" · "&amp;Dossiers!$B$55,"")</f>
        <v/>
      </c>
      <c r="B2778" s="18">
        <f>IF($A2778="","",Paramètres!G24)</f>
        <v/>
      </c>
      <c r="C2778" s="18">
        <f>IF($A2778="","",IF(Paramètres!H24="","",Paramètres!H24))</f>
        <v/>
      </c>
      <c r="D2778" s="18">
        <f>IF($A2778="","",IF(Paramètres!I24="","",Paramètres!I24))</f>
        <v/>
      </c>
      <c r="E2778" s="19">
        <f>IF($A2778="","",IF(Paramètres!J24&amp;Paramètres!L24&amp;Paramètres!N24="",Dossiers!$D$55,MAX(IF(Paramètres!J24="",0,IF(Paramètres!K24="",NA(),IF(LEFT(TRIM(Paramètres!K24),1)="F",INDEX($F$2759:$F$2811,MATCH(Paramètres!J24,Paramètres!$G$5:$G$57,0)),INDEX($E$2759:$E$2811,MATCH(Paramètres!J24,Paramètres!$G$5:$G$57,0)))+IF(RIGHT(TRIM(Paramètres!K24),3)="Fin",1-$H2778,IF(LEFT(TRIM(Paramètres!K24),1)="F",1,0)))),IF(Paramètres!L24="",0,IF(Paramètres!M24="",NA(),IF(LEFT(TRIM(Paramètres!M24),1)="F",INDEX($F$2759:$F$2811,MATCH(Paramètres!L24,Paramètres!$G$5:$G$57,0)),INDEX($E$2759:$E$2811,MATCH(Paramètres!L24,Paramètres!$G$5:$G$57,0)))+IF(RIGHT(TRIM(Paramètres!M24),3)="Fin",1-$H2778,IF(LEFT(TRIM(Paramètres!M24),1)="F",1,0)))),IF(Paramètres!N24="",0,IF(Paramètres!O24="",NA(),IF(LEFT(TRIM(Paramètres!O24),1)="F",INDEX($F$2759:$F$2811,MATCH(Paramètres!N24,Paramètres!$G$5:$G$57,0)),INDEX($E$2759:$E$2811,MATCH(Paramètres!N24,Paramètres!$G$5:$G$57,0)))+IF(RIGHT(TRIM(Paramètres!O24),3)="Fin",1-$H2778,IF(LEFT(TRIM(Paramètres!O24),1)="F",1,0)))))))</f>
        <v/>
      </c>
      <c r="F2778" s="19">
        <f>IF($A2778="","",E2778+$H2778-1)</f>
        <v/>
      </c>
      <c r="G2778" s="18" t="n"/>
      <c r="H2778" s="18">
        <f>IF($A2778="","",IF(I2778&lt;&gt;"",I2778,Paramètres!B24))</f>
        <v/>
      </c>
      <c r="I2778" s="18" t="n"/>
    </row>
    <row r="2779">
      <c r="A2779" s="18">
        <f>IF(ISNUMBER(Dossiers!$D$55),Dossiers!$A$55&amp;" · "&amp;Dossiers!$B$55,"")</f>
        <v/>
      </c>
      <c r="B2779" s="18">
        <f>IF($A2779="","",Paramètres!G25)</f>
        <v/>
      </c>
      <c r="C2779" s="18">
        <f>IF($A2779="","",IF(Paramètres!H25="","",Paramètres!H25))</f>
        <v/>
      </c>
      <c r="D2779" s="18">
        <f>IF($A2779="","",IF(Paramètres!I25="","",Paramètres!I25))</f>
        <v/>
      </c>
      <c r="E2779" s="19">
        <f>IF($A2779="","",IF(Paramètres!J25&amp;Paramètres!L25&amp;Paramètres!N25="",Dossiers!$D$55,MAX(IF(Paramètres!J25="",0,IF(Paramètres!K25="",NA(),IF(LEFT(TRIM(Paramètres!K25),1)="F",INDEX($F$2759:$F$2811,MATCH(Paramètres!J25,Paramètres!$G$5:$G$57,0)),INDEX($E$2759:$E$2811,MATCH(Paramètres!J25,Paramètres!$G$5:$G$57,0)))+IF(RIGHT(TRIM(Paramètres!K25),3)="Fin",1-$H2779,IF(LEFT(TRIM(Paramètres!K25),1)="F",1,0)))),IF(Paramètres!L25="",0,IF(Paramètres!M25="",NA(),IF(LEFT(TRIM(Paramètres!M25),1)="F",INDEX($F$2759:$F$2811,MATCH(Paramètres!L25,Paramètres!$G$5:$G$57,0)),INDEX($E$2759:$E$2811,MATCH(Paramètres!L25,Paramètres!$G$5:$G$57,0)))+IF(RIGHT(TRIM(Paramètres!M25),3)="Fin",1-$H2779,IF(LEFT(TRIM(Paramètres!M25),1)="F",1,0)))),IF(Paramètres!N25="",0,IF(Paramètres!O25="",NA(),IF(LEFT(TRIM(Paramètres!O25),1)="F",INDEX($F$2759:$F$2811,MATCH(Paramètres!N25,Paramètres!$G$5:$G$57,0)),INDEX($E$2759:$E$2811,MATCH(Paramètres!N25,Paramètres!$G$5:$G$57,0)))+IF(RIGHT(TRIM(Paramètres!O25),3)="Fin",1-$H2779,IF(LEFT(TRIM(Paramètres!O25),1)="F",1,0)))))))</f>
        <v/>
      </c>
      <c r="F2779" s="19">
        <f>IF($A2779="","",E2779+$H2779-1)</f>
        <v/>
      </c>
      <c r="G2779" s="18" t="n"/>
      <c r="H2779" s="18">
        <f>IF($A2779="","",IF(I2779&lt;&gt;"",I2779,Paramètres!B25))</f>
        <v/>
      </c>
      <c r="I2779" s="18" t="n"/>
    </row>
    <row r="2780">
      <c r="A2780" s="18">
        <f>IF(ISNUMBER(Dossiers!$D$55),Dossiers!$A$55&amp;" · "&amp;Dossiers!$B$55,"")</f>
        <v/>
      </c>
      <c r="B2780" s="18">
        <f>IF($A2780="","",Paramètres!G26)</f>
        <v/>
      </c>
      <c r="C2780" s="18">
        <f>IF($A2780="","",IF(Paramètres!H26="","",Paramètres!H26))</f>
        <v/>
      </c>
      <c r="D2780" s="18">
        <f>IF($A2780="","",IF(Paramètres!I26="","",Paramètres!I26))</f>
        <v/>
      </c>
      <c r="E2780" s="19">
        <f>IF($A2780="","",IF(Paramètres!J26&amp;Paramètres!L26&amp;Paramètres!N26="",Dossiers!$D$55,MAX(IF(Paramètres!J26="",0,IF(Paramètres!K26="",NA(),IF(LEFT(TRIM(Paramètres!K26),1)="F",INDEX($F$2759:$F$2811,MATCH(Paramètres!J26,Paramètres!$G$5:$G$57,0)),INDEX($E$2759:$E$2811,MATCH(Paramètres!J26,Paramètres!$G$5:$G$57,0)))+IF(RIGHT(TRIM(Paramètres!K26),3)="Fin",1-$H2780,IF(LEFT(TRIM(Paramètres!K26),1)="F",1,0)))),IF(Paramètres!L26="",0,IF(Paramètres!M26="",NA(),IF(LEFT(TRIM(Paramètres!M26),1)="F",INDEX($F$2759:$F$2811,MATCH(Paramètres!L26,Paramètres!$G$5:$G$57,0)),INDEX($E$2759:$E$2811,MATCH(Paramètres!L26,Paramètres!$G$5:$G$57,0)))+IF(RIGHT(TRIM(Paramètres!M26),3)="Fin",1-$H2780,IF(LEFT(TRIM(Paramètres!M26),1)="F",1,0)))),IF(Paramètres!N26="",0,IF(Paramètres!O26="",NA(),IF(LEFT(TRIM(Paramètres!O26),1)="F",INDEX($F$2759:$F$2811,MATCH(Paramètres!N26,Paramètres!$G$5:$G$57,0)),INDEX($E$2759:$E$2811,MATCH(Paramètres!N26,Paramètres!$G$5:$G$57,0)))+IF(RIGHT(TRIM(Paramètres!O26),3)="Fin",1-$H2780,IF(LEFT(TRIM(Paramètres!O26),1)="F",1,0)))))))</f>
        <v/>
      </c>
      <c r="F2780" s="19">
        <f>IF($A2780="","",E2780+$H2780-1)</f>
        <v/>
      </c>
      <c r="G2780" s="18" t="n"/>
      <c r="H2780" s="18">
        <f>IF($A2780="","",IF(I2780&lt;&gt;"",I2780,Paramètres!B26))</f>
        <v/>
      </c>
      <c r="I2780" s="18" t="n"/>
    </row>
    <row r="2781">
      <c r="A2781" s="18">
        <f>IF(ISNUMBER(Dossiers!$D$55),Dossiers!$A$55&amp;" · "&amp;Dossiers!$B$55,"")</f>
        <v/>
      </c>
      <c r="B2781" s="18">
        <f>IF($A2781="","",Paramètres!G27)</f>
        <v/>
      </c>
      <c r="C2781" s="18">
        <f>IF($A2781="","",IF(Paramètres!H27="","",Paramètres!H27))</f>
        <v/>
      </c>
      <c r="D2781" s="18">
        <f>IF($A2781="","",IF(Paramètres!I27="","",Paramètres!I27))</f>
        <v/>
      </c>
      <c r="E2781" s="19">
        <f>IF($A2781="","",IF(Paramètres!J27&amp;Paramètres!L27&amp;Paramètres!N27="",Dossiers!$D$55,MAX(IF(Paramètres!J27="",0,IF(Paramètres!K27="",NA(),IF(LEFT(TRIM(Paramètres!K27),1)="F",INDEX($F$2759:$F$2811,MATCH(Paramètres!J27,Paramètres!$G$5:$G$57,0)),INDEX($E$2759:$E$2811,MATCH(Paramètres!J27,Paramètres!$G$5:$G$57,0)))+IF(RIGHT(TRIM(Paramètres!K27),3)="Fin",1-$H2781,IF(LEFT(TRIM(Paramètres!K27),1)="F",1,0)))),IF(Paramètres!L27="",0,IF(Paramètres!M27="",NA(),IF(LEFT(TRIM(Paramètres!M27),1)="F",INDEX($F$2759:$F$2811,MATCH(Paramètres!L27,Paramètres!$G$5:$G$57,0)),INDEX($E$2759:$E$2811,MATCH(Paramètres!L27,Paramètres!$G$5:$G$57,0)))+IF(RIGHT(TRIM(Paramètres!M27),3)="Fin",1-$H2781,IF(LEFT(TRIM(Paramètres!M27),1)="F",1,0)))),IF(Paramètres!N27="",0,IF(Paramètres!O27="",NA(),IF(LEFT(TRIM(Paramètres!O27),1)="F",INDEX($F$2759:$F$2811,MATCH(Paramètres!N27,Paramètres!$G$5:$G$57,0)),INDEX($E$2759:$E$2811,MATCH(Paramètres!N27,Paramètres!$G$5:$G$57,0)))+IF(RIGHT(TRIM(Paramètres!O27),3)="Fin",1-$H2781,IF(LEFT(TRIM(Paramètres!O27),1)="F",1,0)))))))</f>
        <v/>
      </c>
      <c r="F2781" s="19">
        <f>IF($A2781="","",E2781+$H2781-1)</f>
        <v/>
      </c>
      <c r="G2781" s="18" t="n"/>
      <c r="H2781" s="18">
        <f>IF($A2781="","",IF(I2781&lt;&gt;"",I2781,Paramètres!B27))</f>
        <v/>
      </c>
      <c r="I2781" s="18" t="n"/>
    </row>
    <row r="2782">
      <c r="A2782" s="18">
        <f>IF(ISNUMBER(Dossiers!$D$55),Dossiers!$A$55&amp;" · "&amp;Dossiers!$B$55,"")</f>
        <v/>
      </c>
      <c r="B2782" s="18">
        <f>IF($A2782="","",Paramètres!G28)</f>
        <v/>
      </c>
      <c r="C2782" s="18">
        <f>IF($A2782="","",IF(Paramètres!H28="","",Paramètres!H28))</f>
        <v/>
      </c>
      <c r="D2782" s="18">
        <f>IF($A2782="","",IF(Paramètres!I28="","",Paramètres!I28))</f>
        <v/>
      </c>
      <c r="E2782" s="19">
        <f>IF($A2782="","",IF(Paramètres!J28&amp;Paramètres!L28&amp;Paramètres!N28="",Dossiers!$D$55,MAX(IF(Paramètres!J28="",0,IF(Paramètres!K28="",NA(),IF(LEFT(TRIM(Paramètres!K28),1)="F",INDEX($F$2759:$F$2811,MATCH(Paramètres!J28,Paramètres!$G$5:$G$57,0)),INDEX($E$2759:$E$2811,MATCH(Paramètres!J28,Paramètres!$G$5:$G$57,0)))+IF(RIGHT(TRIM(Paramètres!K28),3)="Fin",1-$H2782,IF(LEFT(TRIM(Paramètres!K28),1)="F",1,0)))),IF(Paramètres!L28="",0,IF(Paramètres!M28="",NA(),IF(LEFT(TRIM(Paramètres!M28),1)="F",INDEX($F$2759:$F$2811,MATCH(Paramètres!L28,Paramètres!$G$5:$G$57,0)),INDEX($E$2759:$E$2811,MATCH(Paramètres!L28,Paramètres!$G$5:$G$57,0)))+IF(RIGHT(TRIM(Paramètres!M28),3)="Fin",1-$H2782,IF(LEFT(TRIM(Paramètres!M28),1)="F",1,0)))),IF(Paramètres!N28="",0,IF(Paramètres!O28="",NA(),IF(LEFT(TRIM(Paramètres!O28),1)="F",INDEX($F$2759:$F$2811,MATCH(Paramètres!N28,Paramètres!$G$5:$G$57,0)),INDEX($E$2759:$E$2811,MATCH(Paramètres!N28,Paramètres!$G$5:$G$57,0)))+IF(RIGHT(TRIM(Paramètres!O28),3)="Fin",1-$H2782,IF(LEFT(TRIM(Paramètres!O28),1)="F",1,0)))))))</f>
        <v/>
      </c>
      <c r="F2782" s="19">
        <f>IF($A2782="","",E2782+$H2782-1)</f>
        <v/>
      </c>
      <c r="G2782" s="18" t="n"/>
      <c r="H2782" s="18">
        <f>IF($A2782="","",IF(I2782&lt;&gt;"",I2782,Paramètres!B28))</f>
        <v/>
      </c>
      <c r="I2782" s="18" t="n"/>
    </row>
    <row r="2783">
      <c r="A2783" s="18">
        <f>IF(ISNUMBER(Dossiers!$D$55),Dossiers!$A$55&amp;" · "&amp;Dossiers!$B$55,"")</f>
        <v/>
      </c>
      <c r="B2783" s="18">
        <f>IF($A2783="","",Paramètres!G29)</f>
        <v/>
      </c>
      <c r="C2783" s="18">
        <f>IF($A2783="","",IF(Paramètres!H29="","",Paramètres!H29))</f>
        <v/>
      </c>
      <c r="D2783" s="18">
        <f>IF($A2783="","",IF(Paramètres!I29="","",Paramètres!I29))</f>
        <v/>
      </c>
      <c r="E2783" s="19">
        <f>IF($A2783="","",IF(Paramètres!J29&amp;Paramètres!L29&amp;Paramètres!N29="",Dossiers!$D$55,MAX(IF(Paramètres!J29="",0,IF(Paramètres!K29="",NA(),IF(LEFT(TRIM(Paramètres!K29),1)="F",INDEX($F$2759:$F$2811,MATCH(Paramètres!J29,Paramètres!$G$5:$G$57,0)),INDEX($E$2759:$E$2811,MATCH(Paramètres!J29,Paramètres!$G$5:$G$57,0)))+IF(RIGHT(TRIM(Paramètres!K29),3)="Fin",1-$H2783,IF(LEFT(TRIM(Paramètres!K29),1)="F",1,0)))),IF(Paramètres!L29="",0,IF(Paramètres!M29="",NA(),IF(LEFT(TRIM(Paramètres!M29),1)="F",INDEX($F$2759:$F$2811,MATCH(Paramètres!L29,Paramètres!$G$5:$G$57,0)),INDEX($E$2759:$E$2811,MATCH(Paramètres!L29,Paramètres!$G$5:$G$57,0)))+IF(RIGHT(TRIM(Paramètres!M29),3)="Fin",1-$H2783,IF(LEFT(TRIM(Paramètres!M29),1)="F",1,0)))),IF(Paramètres!N29="",0,IF(Paramètres!O29="",NA(),IF(LEFT(TRIM(Paramètres!O29),1)="F",INDEX($F$2759:$F$2811,MATCH(Paramètres!N29,Paramètres!$G$5:$G$57,0)),INDEX($E$2759:$E$2811,MATCH(Paramètres!N29,Paramètres!$G$5:$G$57,0)))+IF(RIGHT(TRIM(Paramètres!O29),3)="Fin",1-$H2783,IF(LEFT(TRIM(Paramètres!O29),1)="F",1,0)))))))</f>
        <v/>
      </c>
      <c r="F2783" s="19">
        <f>IF($A2783="","",E2783+$H2783-1)</f>
        <v/>
      </c>
      <c r="G2783" s="18" t="n"/>
      <c r="H2783" s="18">
        <f>IF($A2783="","",IF(I2783&lt;&gt;"",I2783,Paramètres!B29))</f>
        <v/>
      </c>
      <c r="I2783" s="18" t="n"/>
    </row>
    <row r="2784">
      <c r="A2784" s="18">
        <f>IF(ISNUMBER(Dossiers!$D$55),Dossiers!$A$55&amp;" · "&amp;Dossiers!$B$55,"")</f>
        <v/>
      </c>
      <c r="B2784" s="18">
        <f>IF($A2784="","",Paramètres!G30)</f>
        <v/>
      </c>
      <c r="C2784" s="18">
        <f>IF($A2784="","",IF(Paramètres!H30="","",Paramètres!H30))</f>
        <v/>
      </c>
      <c r="D2784" s="18">
        <f>IF($A2784="","",IF(Paramètres!I30="","",Paramètres!I30))</f>
        <v/>
      </c>
      <c r="E2784" s="19">
        <f>IF($A2784="","",IF(Paramètres!J30&amp;Paramètres!L30&amp;Paramètres!N30="",Dossiers!$D$55,MAX(IF(Paramètres!J30="",0,IF(Paramètres!K30="",NA(),IF(LEFT(TRIM(Paramètres!K30),1)="F",INDEX($F$2759:$F$2811,MATCH(Paramètres!J30,Paramètres!$G$5:$G$57,0)),INDEX($E$2759:$E$2811,MATCH(Paramètres!J30,Paramètres!$G$5:$G$57,0)))+IF(RIGHT(TRIM(Paramètres!K30),3)="Fin",1-$H2784,IF(LEFT(TRIM(Paramètres!K30),1)="F",1,0)))),IF(Paramètres!L30="",0,IF(Paramètres!M30="",NA(),IF(LEFT(TRIM(Paramètres!M30),1)="F",INDEX($F$2759:$F$2811,MATCH(Paramètres!L30,Paramètres!$G$5:$G$57,0)),INDEX($E$2759:$E$2811,MATCH(Paramètres!L30,Paramètres!$G$5:$G$57,0)))+IF(RIGHT(TRIM(Paramètres!M30),3)="Fin",1-$H2784,IF(LEFT(TRIM(Paramètres!M30),1)="F",1,0)))),IF(Paramètres!N30="",0,IF(Paramètres!O30="",NA(),IF(LEFT(TRIM(Paramètres!O30),1)="F",INDEX($F$2759:$F$2811,MATCH(Paramètres!N30,Paramètres!$G$5:$G$57,0)),INDEX($E$2759:$E$2811,MATCH(Paramètres!N30,Paramètres!$G$5:$G$57,0)))+IF(RIGHT(TRIM(Paramètres!O30),3)="Fin",1-$H2784,IF(LEFT(TRIM(Paramètres!O30),1)="F",1,0)))))))</f>
        <v/>
      </c>
      <c r="F2784" s="19">
        <f>IF($A2784="","",E2784+$H2784-1)</f>
        <v/>
      </c>
      <c r="G2784" s="18" t="n"/>
      <c r="H2784" s="18">
        <f>IF($A2784="","",IF(I2784&lt;&gt;"",I2784,Paramètres!B30))</f>
        <v/>
      </c>
      <c r="I2784" s="18" t="n"/>
    </row>
    <row r="2785">
      <c r="A2785" s="18">
        <f>IF(ISNUMBER(Dossiers!$D$55),Dossiers!$A$55&amp;" · "&amp;Dossiers!$B$55,"")</f>
        <v/>
      </c>
      <c r="B2785" s="18">
        <f>IF($A2785="","",Paramètres!G31)</f>
        <v/>
      </c>
      <c r="C2785" s="20">
        <f>IF($A2785="","",IF(Dossiers!$F$55="","",Dossiers!$F$55))</f>
        <v/>
      </c>
      <c r="D2785" s="18">
        <f>IF($A2785="","",IF(Paramètres!I31="","",Paramètres!I31))</f>
        <v/>
      </c>
      <c r="E2785" s="19">
        <f>IF($A2785="","",IF(Paramètres!J31&amp;Paramètres!L31&amp;Paramètres!N31="",Dossiers!$D$55,MAX(IF(Paramètres!J31="",0,IF(Paramètres!K31="",NA(),IF(LEFT(TRIM(Paramètres!K31),1)="F",INDEX($F$2759:$F$2811,MATCH(Paramètres!J31,Paramètres!$G$5:$G$57,0)),INDEX($E$2759:$E$2811,MATCH(Paramètres!J31,Paramètres!$G$5:$G$57,0)))+IF(RIGHT(TRIM(Paramètres!K31),3)="Fin",1-$H2785,IF(LEFT(TRIM(Paramètres!K31),1)="F",1,0)))),IF(Paramètres!L31="",0,IF(Paramètres!M31="",NA(),IF(LEFT(TRIM(Paramètres!M31),1)="F",INDEX($F$2759:$F$2811,MATCH(Paramètres!L31,Paramètres!$G$5:$G$57,0)),INDEX($E$2759:$E$2811,MATCH(Paramètres!L31,Paramètres!$G$5:$G$57,0)))+IF(RIGHT(TRIM(Paramètres!M31),3)="Fin",1-$H2785,IF(LEFT(TRIM(Paramètres!M31),1)="F",1,0)))),IF(Paramètres!N31="",0,IF(Paramètres!O31="",NA(),IF(LEFT(TRIM(Paramètres!O31),1)="F",INDEX($F$2759:$F$2811,MATCH(Paramètres!N31,Paramètres!$G$5:$G$57,0)),INDEX($E$2759:$E$2811,MATCH(Paramètres!N31,Paramètres!$G$5:$G$57,0)))+IF(RIGHT(TRIM(Paramètres!O31),3)="Fin",1-$H2785,IF(LEFT(TRIM(Paramètres!O31),1)="F",1,0)))))))</f>
        <v/>
      </c>
      <c r="F2785" s="19">
        <f>IF($A2785="","",E2785+$H2785-1)</f>
        <v/>
      </c>
      <c r="G2785" s="18" t="n"/>
      <c r="H2785" s="18">
        <f>IF($A2785="","",IF(I2785&lt;&gt;"",I2785,Paramètres!B31))</f>
        <v/>
      </c>
      <c r="I2785" s="18" t="n"/>
    </row>
    <row r="2786">
      <c r="A2786" s="18">
        <f>IF(ISNUMBER(Dossiers!$D$55),Dossiers!$A$55&amp;" · "&amp;Dossiers!$B$55,"")</f>
        <v/>
      </c>
      <c r="B2786" s="18">
        <f>IF($A2786="","",Paramètres!G32)</f>
        <v/>
      </c>
      <c r="C2786" s="18">
        <f>IF($A2786="","",IF(Paramètres!H32="","",Paramètres!H32))</f>
        <v/>
      </c>
      <c r="D2786" s="18">
        <f>IF($A2786="","",IF(Paramètres!I32="","",Paramètres!I32))</f>
        <v/>
      </c>
      <c r="E2786" s="19">
        <f>IF($A2786="","",MIN(E2787:E2790))</f>
        <v/>
      </c>
      <c r="F2786" s="19">
        <f>IF($A2786="","",MAX(F2787:F2790))</f>
        <v/>
      </c>
      <c r="G2786" s="18" t="n"/>
      <c r="H2786" s="18">
        <f>IF($A2786="","",F2786-E2786+1)</f>
        <v/>
      </c>
      <c r="I2786" s="18" t="n"/>
    </row>
    <row r="2787">
      <c r="A2787" s="18">
        <f>IF(ISNUMBER(Dossiers!$D$55),Dossiers!$A$55&amp;" · "&amp;Dossiers!$B$55,"")</f>
        <v/>
      </c>
      <c r="B2787" s="18">
        <f>IF($A2787="","",Paramètres!G33)</f>
        <v/>
      </c>
      <c r="C2787" s="18">
        <f>IF($A2787="","",IF(Paramètres!H33="","",Paramètres!H33))</f>
        <v/>
      </c>
      <c r="D2787" s="18">
        <f>IF($A2787="","",IF(Paramètres!I33="","",Paramètres!I33))</f>
        <v/>
      </c>
      <c r="E2787" s="19">
        <f>IF($A2787="","",IF(Paramètres!J33&amp;Paramètres!L33&amp;Paramètres!N33="",Dossiers!$D$55,MAX(IF(Paramètres!J33="",0,IF(Paramètres!K33="",NA(),IF(LEFT(TRIM(Paramètres!K33),1)="F",INDEX($F$2759:$F$2811,MATCH(Paramètres!J33,Paramètres!$G$5:$G$57,0)),INDEX($E$2759:$E$2811,MATCH(Paramètres!J33,Paramètres!$G$5:$G$57,0)))+IF(RIGHT(TRIM(Paramètres!K33),3)="Fin",1-$H2787,IF(LEFT(TRIM(Paramètres!K33),1)="F",1,0)))),IF(Paramètres!L33="",0,IF(Paramètres!M33="",NA(),IF(LEFT(TRIM(Paramètres!M33),1)="F",INDEX($F$2759:$F$2811,MATCH(Paramètres!L33,Paramètres!$G$5:$G$57,0)),INDEX($E$2759:$E$2811,MATCH(Paramètres!L33,Paramètres!$G$5:$G$57,0)))+IF(RIGHT(TRIM(Paramètres!M33),3)="Fin",1-$H2787,IF(LEFT(TRIM(Paramètres!M33),1)="F",1,0)))),IF(Paramètres!N33="",0,IF(Paramètres!O33="",NA(),IF(LEFT(TRIM(Paramètres!O33),1)="F",INDEX($F$2759:$F$2811,MATCH(Paramètres!N33,Paramètres!$G$5:$G$57,0)),INDEX($E$2759:$E$2811,MATCH(Paramètres!N33,Paramètres!$G$5:$G$57,0)))+IF(RIGHT(TRIM(Paramètres!O33),3)="Fin",1-$H2787,IF(LEFT(TRIM(Paramètres!O33),1)="F",1,0)))))))</f>
        <v/>
      </c>
      <c r="F2787" s="19">
        <f>IF($A2787="","",E2787+$H2787-1)</f>
        <v/>
      </c>
      <c r="G2787" s="18" t="n"/>
      <c r="H2787" s="18">
        <f>IF($A2787="","",IF(I2787&lt;&gt;"",I2787,Paramètres!B33))</f>
        <v/>
      </c>
      <c r="I2787" s="18" t="n"/>
    </row>
    <row r="2788">
      <c r="A2788" s="18">
        <f>IF(ISNUMBER(Dossiers!$D$55),Dossiers!$A$55&amp;" · "&amp;Dossiers!$B$55,"")</f>
        <v/>
      </c>
      <c r="B2788" s="18">
        <f>IF($A2788="","",Paramètres!G34)</f>
        <v/>
      </c>
      <c r="C2788" s="18">
        <f>IF($A2788="","",IF(Paramètres!H34="","",Paramètres!H34))</f>
        <v/>
      </c>
      <c r="D2788" s="18">
        <f>IF($A2788="","",IF(Paramètres!I34="","",Paramètres!I34))</f>
        <v/>
      </c>
      <c r="E2788" s="19">
        <f>IF($A2788="","",IF(Paramètres!J34&amp;Paramètres!L34&amp;Paramètres!N34="",Dossiers!$D$55,MAX(IF(Paramètres!J34="",0,IF(Paramètres!K34="",NA(),IF(LEFT(TRIM(Paramètres!K34),1)="F",INDEX($F$2759:$F$2811,MATCH(Paramètres!J34,Paramètres!$G$5:$G$57,0)),INDEX($E$2759:$E$2811,MATCH(Paramètres!J34,Paramètres!$G$5:$G$57,0)))+IF(RIGHT(TRIM(Paramètres!K34),3)="Fin",1-$H2788,IF(LEFT(TRIM(Paramètres!K34),1)="F",1,0)))),IF(Paramètres!L34="",0,IF(Paramètres!M34="",NA(),IF(LEFT(TRIM(Paramètres!M34),1)="F",INDEX($F$2759:$F$2811,MATCH(Paramètres!L34,Paramètres!$G$5:$G$57,0)),INDEX($E$2759:$E$2811,MATCH(Paramètres!L34,Paramètres!$G$5:$G$57,0)))+IF(RIGHT(TRIM(Paramètres!M34),3)="Fin",1-$H2788,IF(LEFT(TRIM(Paramètres!M34),1)="F",1,0)))),IF(Paramètres!N34="",0,IF(Paramètres!O34="",NA(),IF(LEFT(TRIM(Paramètres!O34),1)="F",INDEX($F$2759:$F$2811,MATCH(Paramètres!N34,Paramètres!$G$5:$G$57,0)),INDEX($E$2759:$E$2811,MATCH(Paramètres!N34,Paramètres!$G$5:$G$57,0)))+IF(RIGHT(TRIM(Paramètres!O34),3)="Fin",1-$H2788,IF(LEFT(TRIM(Paramètres!O34),1)="F",1,0)))))))</f>
        <v/>
      </c>
      <c r="F2788" s="19">
        <f>IF($A2788="","",E2788+$H2788-1)</f>
        <v/>
      </c>
      <c r="G2788" s="18" t="n"/>
      <c r="H2788" s="18">
        <f>IF($A2788="","",IF(I2788&lt;&gt;"",I2788,Paramètres!B34))</f>
        <v/>
      </c>
      <c r="I2788" s="18" t="n"/>
    </row>
    <row r="2789">
      <c r="A2789" s="18">
        <f>IF(ISNUMBER(Dossiers!$D$55),Dossiers!$A$55&amp;" · "&amp;Dossiers!$B$55,"")</f>
        <v/>
      </c>
      <c r="B2789" s="18">
        <f>IF($A2789="","",Paramètres!G35)</f>
        <v/>
      </c>
      <c r="C2789" s="18">
        <f>IF($A2789="","",IF(Paramètres!H35="","",Paramètres!H35))</f>
        <v/>
      </c>
      <c r="D2789" s="18">
        <f>IF($A2789="","",IF(Paramètres!I35="","",Paramètres!I35))</f>
        <v/>
      </c>
      <c r="E2789" s="19">
        <f>IF($A2789="","",IF(Paramètres!J35&amp;Paramètres!L35&amp;Paramètres!N35="",Dossiers!$D$55,MAX(IF(Paramètres!J35="",0,IF(Paramètres!K35="",NA(),IF(LEFT(TRIM(Paramètres!K35),1)="F",INDEX($F$2759:$F$2811,MATCH(Paramètres!J35,Paramètres!$G$5:$G$57,0)),INDEX($E$2759:$E$2811,MATCH(Paramètres!J35,Paramètres!$G$5:$G$57,0)))+IF(RIGHT(TRIM(Paramètres!K35),3)="Fin",1-$H2789,IF(LEFT(TRIM(Paramètres!K35),1)="F",1,0)))),IF(Paramètres!L35="",0,IF(Paramètres!M35="",NA(),IF(LEFT(TRIM(Paramètres!M35),1)="F",INDEX($F$2759:$F$2811,MATCH(Paramètres!L35,Paramètres!$G$5:$G$57,0)),INDEX($E$2759:$E$2811,MATCH(Paramètres!L35,Paramètres!$G$5:$G$57,0)))+IF(RIGHT(TRIM(Paramètres!M35),3)="Fin",1-$H2789,IF(LEFT(TRIM(Paramètres!M35),1)="F",1,0)))),IF(Paramètres!N35="",0,IF(Paramètres!O35="",NA(),IF(LEFT(TRIM(Paramètres!O35),1)="F",INDEX($F$2759:$F$2811,MATCH(Paramètres!N35,Paramètres!$G$5:$G$57,0)),INDEX($E$2759:$E$2811,MATCH(Paramètres!N35,Paramètres!$G$5:$G$57,0)))+IF(RIGHT(TRIM(Paramètres!O35),3)="Fin",1-$H2789,IF(LEFT(TRIM(Paramètres!O35),1)="F",1,0)))))))</f>
        <v/>
      </c>
      <c r="F2789" s="19">
        <f>IF($A2789="","",E2789+$H2789-1)</f>
        <v/>
      </c>
      <c r="G2789" s="18" t="n"/>
      <c r="H2789" s="18">
        <f>IF($A2789="","",IF(I2789&lt;&gt;"",I2789,Paramètres!B35))</f>
        <v/>
      </c>
      <c r="I2789" s="18" t="n"/>
    </row>
    <row r="2790">
      <c r="A2790" s="18">
        <f>IF(ISNUMBER(Dossiers!$D$55),Dossiers!$A$55&amp;" · "&amp;Dossiers!$B$55,"")</f>
        <v/>
      </c>
      <c r="B2790" s="18">
        <f>IF($A2790="","",Paramètres!G36)</f>
        <v/>
      </c>
      <c r="C2790" s="18">
        <f>IF($A2790="","",IF(Paramètres!H36="","",Paramètres!H36))</f>
        <v/>
      </c>
      <c r="D2790" s="18">
        <f>IF($A2790="","",IF(Paramètres!I36="","",Paramètres!I36))</f>
        <v/>
      </c>
      <c r="E2790" s="19">
        <f>IF($A2790="","",IF(Paramètres!J36&amp;Paramètres!L36&amp;Paramètres!N36="",Dossiers!$D$55,MAX(IF(Paramètres!J36="",0,IF(Paramètres!K36="",NA(),IF(LEFT(TRIM(Paramètres!K36),1)="F",INDEX($F$2759:$F$2811,MATCH(Paramètres!J36,Paramètres!$G$5:$G$57,0)),INDEX($E$2759:$E$2811,MATCH(Paramètres!J36,Paramètres!$G$5:$G$57,0)))+IF(RIGHT(TRIM(Paramètres!K36),3)="Fin",1-$H2790,IF(LEFT(TRIM(Paramètres!K36),1)="F",1,0)))),IF(Paramètres!L36="",0,IF(Paramètres!M36="",NA(),IF(LEFT(TRIM(Paramètres!M36),1)="F",INDEX($F$2759:$F$2811,MATCH(Paramètres!L36,Paramètres!$G$5:$G$57,0)),INDEX($E$2759:$E$2811,MATCH(Paramètres!L36,Paramètres!$G$5:$G$57,0)))+IF(RIGHT(TRIM(Paramètres!M36),3)="Fin",1-$H2790,IF(LEFT(TRIM(Paramètres!M36),1)="F",1,0)))),IF(Paramètres!N36="",0,IF(Paramètres!O36="",NA(),IF(LEFT(TRIM(Paramètres!O36),1)="F",INDEX($F$2759:$F$2811,MATCH(Paramètres!N36,Paramètres!$G$5:$G$57,0)),INDEX($E$2759:$E$2811,MATCH(Paramètres!N36,Paramètres!$G$5:$G$57,0)))+IF(RIGHT(TRIM(Paramètres!O36),3)="Fin",1-$H2790,IF(LEFT(TRIM(Paramètres!O36),1)="F",1,0)))))))</f>
        <v/>
      </c>
      <c r="F2790" s="19">
        <f>IF($A2790="","",E2790+$H2790-1)</f>
        <v/>
      </c>
      <c r="G2790" s="18" t="n"/>
      <c r="H2790" s="18">
        <f>IF($A2790="","",IF(I2790&lt;&gt;"",I2790,Paramètres!B36))</f>
        <v/>
      </c>
      <c r="I2790" s="18" t="n"/>
    </row>
    <row r="2791">
      <c r="A2791" s="18">
        <f>IF(ISNUMBER(Dossiers!$D$55),Dossiers!$A$55&amp;" · "&amp;Dossiers!$B$55,"")</f>
        <v/>
      </c>
      <c r="B2791" s="18">
        <f>IF($A2791="","",Paramètres!G37)</f>
        <v/>
      </c>
      <c r="C2791" s="18">
        <f>IF($A2791="","",IF(Paramètres!H37="","",Paramètres!H37))</f>
        <v/>
      </c>
      <c r="D2791" s="18">
        <f>IF($A2791="","",IF(Paramètres!I37="","",Paramètres!I37))</f>
        <v/>
      </c>
      <c r="E2791" s="19">
        <f>IF($A2791="","",MIN(E2792:E2809))</f>
        <v/>
      </c>
      <c r="F2791" s="19">
        <f>IF($A2791="","",MAX(F2792:F2809))</f>
        <v/>
      </c>
      <c r="G2791" s="18" t="n"/>
      <c r="H2791" s="18">
        <f>IF($A2791="","",F2791-E2791+1)</f>
        <v/>
      </c>
      <c r="I2791" s="18" t="n"/>
    </row>
    <row r="2792">
      <c r="A2792" s="18">
        <f>IF(ISNUMBER(Dossiers!$D$55),Dossiers!$A$55&amp;" · "&amp;Dossiers!$B$55,"")</f>
        <v/>
      </c>
      <c r="B2792" s="18">
        <f>IF($A2792="","",Paramètres!G38)</f>
        <v/>
      </c>
      <c r="C2792" s="18">
        <f>IF($A2792="","",IF(Paramètres!H38="","",Paramètres!H38))</f>
        <v/>
      </c>
      <c r="D2792" s="18">
        <f>IF($A2792="","",IF(Paramètres!I38="","",Paramètres!I38))</f>
        <v/>
      </c>
      <c r="E2792" s="19">
        <f>IF($A2792="","",IF(Paramètres!J38&amp;Paramètres!L38&amp;Paramètres!N38="",Dossiers!$D$55,MAX(IF(Paramètres!J38="",0,IF(Paramètres!K38="",NA(),IF(LEFT(TRIM(Paramètres!K38),1)="F",INDEX($F$2759:$F$2811,MATCH(Paramètres!J38,Paramètres!$G$5:$G$57,0)),INDEX($E$2759:$E$2811,MATCH(Paramètres!J38,Paramètres!$G$5:$G$57,0)))+IF(RIGHT(TRIM(Paramètres!K38),3)="Fin",1-$H2792,IF(LEFT(TRIM(Paramètres!K38),1)="F",1,0)))),IF(Paramètres!L38="",0,IF(Paramètres!M38="",NA(),IF(LEFT(TRIM(Paramètres!M38),1)="F",INDEX($F$2759:$F$2811,MATCH(Paramètres!L38,Paramètres!$G$5:$G$57,0)),INDEX($E$2759:$E$2811,MATCH(Paramètres!L38,Paramètres!$G$5:$G$57,0)))+IF(RIGHT(TRIM(Paramètres!M38),3)="Fin",1-$H2792,IF(LEFT(TRIM(Paramètres!M38),1)="F",1,0)))),IF(Paramètres!N38="",0,IF(Paramètres!O38="",NA(),IF(LEFT(TRIM(Paramètres!O38),1)="F",INDEX($F$2759:$F$2811,MATCH(Paramètres!N38,Paramètres!$G$5:$G$57,0)),INDEX($E$2759:$E$2811,MATCH(Paramètres!N38,Paramètres!$G$5:$G$57,0)))+IF(RIGHT(TRIM(Paramètres!O38),3)="Fin",1-$H2792,IF(LEFT(TRIM(Paramètres!O38),1)="F",1,0)))))))</f>
        <v/>
      </c>
      <c r="F2792" s="19">
        <f>IF($A2792="","",E2792+$H2792-1)</f>
        <v/>
      </c>
      <c r="G2792" s="18" t="n"/>
      <c r="H2792" s="18">
        <f>IF($A2792="","",IF(I2792&lt;&gt;"",I2792,Paramètres!B38))</f>
        <v/>
      </c>
      <c r="I2792" s="18" t="n"/>
    </row>
    <row r="2793">
      <c r="A2793" s="18">
        <f>IF(ISNUMBER(Dossiers!$D$55),Dossiers!$A$55&amp;" · "&amp;Dossiers!$B$55,"")</f>
        <v/>
      </c>
      <c r="B2793" s="18">
        <f>IF($A2793="","",Paramètres!G39)</f>
        <v/>
      </c>
      <c r="C2793" s="18">
        <f>IF($A2793="","",IF(Paramètres!H39="","",Paramètres!H39))</f>
        <v/>
      </c>
      <c r="D2793" s="18">
        <f>IF($A2793="","",IF(Paramètres!I39="","",Paramètres!I39))</f>
        <v/>
      </c>
      <c r="E2793" s="19">
        <f>IF($A2793="","",IF(Paramètres!J39&amp;Paramètres!L39&amp;Paramètres!N39="",Dossiers!$D$55,MAX(IF(Paramètres!J39="",0,IF(Paramètres!K39="",NA(),IF(LEFT(TRIM(Paramètres!K39),1)="F",INDEX($F$2759:$F$2811,MATCH(Paramètres!J39,Paramètres!$G$5:$G$57,0)),INDEX($E$2759:$E$2811,MATCH(Paramètres!J39,Paramètres!$G$5:$G$57,0)))+IF(RIGHT(TRIM(Paramètres!K39),3)="Fin",1-$H2793,IF(LEFT(TRIM(Paramètres!K39),1)="F",1,0)))),IF(Paramètres!L39="",0,IF(Paramètres!M39="",NA(),IF(LEFT(TRIM(Paramètres!M39),1)="F",INDEX($F$2759:$F$2811,MATCH(Paramètres!L39,Paramètres!$G$5:$G$57,0)),INDEX($E$2759:$E$2811,MATCH(Paramètres!L39,Paramètres!$G$5:$G$57,0)))+IF(RIGHT(TRIM(Paramètres!M39),3)="Fin",1-$H2793,IF(LEFT(TRIM(Paramètres!M39),1)="F",1,0)))),IF(Paramètres!N39="",0,IF(Paramètres!O39="",NA(),IF(LEFT(TRIM(Paramètres!O39),1)="F",INDEX($F$2759:$F$2811,MATCH(Paramètres!N39,Paramètres!$G$5:$G$57,0)),INDEX($E$2759:$E$2811,MATCH(Paramètres!N39,Paramètres!$G$5:$G$57,0)))+IF(RIGHT(TRIM(Paramètres!O39),3)="Fin",1-$H2793,IF(LEFT(TRIM(Paramètres!O39),1)="F",1,0)))))))</f>
        <v/>
      </c>
      <c r="F2793" s="19">
        <f>IF($A2793="","",E2793+$H2793-1)</f>
        <v/>
      </c>
      <c r="G2793" s="18" t="n"/>
      <c r="H2793" s="18">
        <f>IF($A2793="","",IF(I2793&lt;&gt;"",I2793,Paramètres!B39))</f>
        <v/>
      </c>
      <c r="I2793" s="18" t="n"/>
    </row>
    <row r="2794">
      <c r="A2794" s="18">
        <f>IF(ISNUMBER(Dossiers!$D$55),Dossiers!$A$55&amp;" · "&amp;Dossiers!$B$55,"")</f>
        <v/>
      </c>
      <c r="B2794" s="18">
        <f>IF($A2794="","",Paramètres!G40)</f>
        <v/>
      </c>
      <c r="C2794" s="18">
        <f>IF($A2794="","",IF(Paramètres!H40="","",Paramètres!H40))</f>
        <v/>
      </c>
      <c r="D2794" s="18">
        <f>IF($A2794="","",IF(Paramètres!I40="","",Paramètres!I40))</f>
        <v/>
      </c>
      <c r="E2794" s="19">
        <f>IF($A2794="","",IF(Paramètres!J40&amp;Paramètres!L40&amp;Paramètres!N40="",Dossiers!$D$55,MAX(IF(Paramètres!J40="",0,IF(Paramètres!K40="",NA(),IF(LEFT(TRIM(Paramètres!K40),1)="F",INDEX($F$2759:$F$2811,MATCH(Paramètres!J40,Paramètres!$G$5:$G$57,0)),INDEX($E$2759:$E$2811,MATCH(Paramètres!J40,Paramètres!$G$5:$G$57,0)))+IF(RIGHT(TRIM(Paramètres!K40),3)="Fin",1-$H2794,IF(LEFT(TRIM(Paramètres!K40),1)="F",1,0)))),IF(Paramètres!L40="",0,IF(Paramètres!M40="",NA(),IF(LEFT(TRIM(Paramètres!M40),1)="F",INDEX($F$2759:$F$2811,MATCH(Paramètres!L40,Paramètres!$G$5:$G$57,0)),INDEX($E$2759:$E$2811,MATCH(Paramètres!L40,Paramètres!$G$5:$G$57,0)))+IF(RIGHT(TRIM(Paramètres!M40),3)="Fin",1-$H2794,IF(LEFT(TRIM(Paramètres!M40),1)="F",1,0)))),IF(Paramètres!N40="",0,IF(Paramètres!O40="",NA(),IF(LEFT(TRIM(Paramètres!O40),1)="F",INDEX($F$2759:$F$2811,MATCH(Paramètres!N40,Paramètres!$G$5:$G$57,0)),INDEX($E$2759:$E$2811,MATCH(Paramètres!N40,Paramètres!$G$5:$G$57,0)))+IF(RIGHT(TRIM(Paramètres!O40),3)="Fin",1-$H2794,IF(LEFT(TRIM(Paramètres!O40),1)="F",1,0)))))))</f>
        <v/>
      </c>
      <c r="F2794" s="19">
        <f>IF($A2794="","",E2794+$H2794-1)</f>
        <v/>
      </c>
      <c r="G2794" s="18" t="n"/>
      <c r="H2794" s="18">
        <f>IF($A2794="","",IF(I2794&lt;&gt;"",I2794,Paramètres!B40))</f>
        <v/>
      </c>
      <c r="I2794" s="18" t="n"/>
    </row>
    <row r="2795">
      <c r="A2795" s="18">
        <f>IF(ISNUMBER(Dossiers!$D$55),Dossiers!$A$55&amp;" · "&amp;Dossiers!$B$55,"")</f>
        <v/>
      </c>
      <c r="B2795" s="18">
        <f>IF($A2795="","",Paramètres!G41)</f>
        <v/>
      </c>
      <c r="C2795" s="18">
        <f>IF($A2795="","",IF(Paramètres!H41="","",Paramètres!H41))</f>
        <v/>
      </c>
      <c r="D2795" s="18">
        <f>IF($A2795="","",IF(Paramètres!I41="","",Paramètres!I41))</f>
        <v/>
      </c>
      <c r="E2795" s="19">
        <f>IF($A2795="","",IF(Paramètres!J41&amp;Paramètres!L41&amp;Paramètres!N41="",Dossiers!$D$55,MAX(IF(Paramètres!J41="",0,IF(Paramètres!K41="",NA(),IF(LEFT(TRIM(Paramètres!K41),1)="F",INDEX($F$2759:$F$2811,MATCH(Paramètres!J41,Paramètres!$G$5:$G$57,0)),INDEX($E$2759:$E$2811,MATCH(Paramètres!J41,Paramètres!$G$5:$G$57,0)))+IF(RIGHT(TRIM(Paramètres!K41),3)="Fin",1-$H2795,IF(LEFT(TRIM(Paramètres!K41),1)="F",1,0)))),IF(Paramètres!L41="",0,IF(Paramètres!M41="",NA(),IF(LEFT(TRIM(Paramètres!M41),1)="F",INDEX($F$2759:$F$2811,MATCH(Paramètres!L41,Paramètres!$G$5:$G$57,0)),INDEX($E$2759:$E$2811,MATCH(Paramètres!L41,Paramètres!$G$5:$G$57,0)))+IF(RIGHT(TRIM(Paramètres!M41),3)="Fin",1-$H2795,IF(LEFT(TRIM(Paramètres!M41),1)="F",1,0)))),IF(Paramètres!N41="",0,IF(Paramètres!O41="",NA(),IF(LEFT(TRIM(Paramètres!O41),1)="F",INDEX($F$2759:$F$2811,MATCH(Paramètres!N41,Paramètres!$G$5:$G$57,0)),INDEX($E$2759:$E$2811,MATCH(Paramètres!N41,Paramètres!$G$5:$G$57,0)))+IF(RIGHT(TRIM(Paramètres!O41),3)="Fin",1-$H2795,IF(LEFT(TRIM(Paramètres!O41),1)="F",1,0)))))))</f>
        <v/>
      </c>
      <c r="F2795" s="19">
        <f>IF($A2795="","",E2795+$H2795-1)</f>
        <v/>
      </c>
      <c r="G2795" s="18" t="n"/>
      <c r="H2795" s="18">
        <f>IF($A2795="","",IF(I2795&lt;&gt;"",I2795,Paramètres!B41))</f>
        <v/>
      </c>
      <c r="I2795" s="18" t="n"/>
    </row>
    <row r="2796">
      <c r="A2796" s="18">
        <f>IF(ISNUMBER(Dossiers!$D$55),Dossiers!$A$55&amp;" · "&amp;Dossiers!$B$55,"")</f>
        <v/>
      </c>
      <c r="B2796" s="18">
        <f>IF($A2796="","",Paramètres!G42)</f>
        <v/>
      </c>
      <c r="C2796" s="18">
        <f>IF($A2796="","",IF(Paramètres!H42="","",Paramètres!H42))</f>
        <v/>
      </c>
      <c r="D2796" s="18">
        <f>IF($A2796="","",IF(Paramètres!I42="","",Paramètres!I42))</f>
        <v/>
      </c>
      <c r="E2796" s="19">
        <f>IF($A2796="","",IF(Paramètres!J42&amp;Paramètres!L42&amp;Paramètres!N42="",Dossiers!$D$55,MAX(IF(Paramètres!J42="",0,IF(Paramètres!K42="",NA(),IF(LEFT(TRIM(Paramètres!K42),1)="F",INDEX($F$2759:$F$2811,MATCH(Paramètres!J42,Paramètres!$G$5:$G$57,0)),INDEX($E$2759:$E$2811,MATCH(Paramètres!J42,Paramètres!$G$5:$G$57,0)))+IF(RIGHT(TRIM(Paramètres!K42),3)="Fin",1-$H2796,IF(LEFT(TRIM(Paramètres!K42),1)="F",1,0)))),IF(Paramètres!L42="",0,IF(Paramètres!M42="",NA(),IF(LEFT(TRIM(Paramètres!M42),1)="F",INDEX($F$2759:$F$2811,MATCH(Paramètres!L42,Paramètres!$G$5:$G$57,0)),INDEX($E$2759:$E$2811,MATCH(Paramètres!L42,Paramètres!$G$5:$G$57,0)))+IF(RIGHT(TRIM(Paramètres!M42),3)="Fin",1-$H2796,IF(LEFT(TRIM(Paramètres!M42),1)="F",1,0)))),IF(Paramètres!N42="",0,IF(Paramètres!O42="",NA(),IF(LEFT(TRIM(Paramètres!O42),1)="F",INDEX($F$2759:$F$2811,MATCH(Paramètres!N42,Paramètres!$G$5:$G$57,0)),INDEX($E$2759:$E$2811,MATCH(Paramètres!N42,Paramètres!$G$5:$G$57,0)))+IF(RIGHT(TRIM(Paramètres!O42),3)="Fin",1-$H2796,IF(LEFT(TRIM(Paramètres!O42),1)="F",1,0)))))))</f>
        <v/>
      </c>
      <c r="F2796" s="19">
        <f>IF($A2796="","",E2796+$H2796-1)</f>
        <v/>
      </c>
      <c r="G2796" s="18" t="n"/>
      <c r="H2796" s="18">
        <f>IF($A2796="","",IF(I2796&lt;&gt;"",I2796,Paramètres!B42))</f>
        <v/>
      </c>
      <c r="I2796" s="18" t="n"/>
    </row>
    <row r="2797">
      <c r="A2797" s="18">
        <f>IF(ISNUMBER(Dossiers!$D$55),Dossiers!$A$55&amp;" · "&amp;Dossiers!$B$55,"")</f>
        <v/>
      </c>
      <c r="B2797" s="18">
        <f>IF($A2797="","",Paramètres!G43)</f>
        <v/>
      </c>
      <c r="C2797" s="18">
        <f>IF($A2797="","",IF(Paramètres!H43="","",Paramètres!H43))</f>
        <v/>
      </c>
      <c r="D2797" s="18">
        <f>IF($A2797="","",IF(Paramètres!I43="","",Paramètres!I43))</f>
        <v/>
      </c>
      <c r="E2797" s="19">
        <f>IF($A2797="","",IF(Paramètres!J43&amp;Paramètres!L43&amp;Paramètres!N43="",Dossiers!$D$55,MAX(IF(Paramètres!J43="",0,IF(Paramètres!K43="",NA(),IF(LEFT(TRIM(Paramètres!K43),1)="F",INDEX($F$2759:$F$2811,MATCH(Paramètres!J43,Paramètres!$G$5:$G$57,0)),INDEX($E$2759:$E$2811,MATCH(Paramètres!J43,Paramètres!$G$5:$G$57,0)))+IF(RIGHT(TRIM(Paramètres!K43),3)="Fin",1-$H2797,IF(LEFT(TRIM(Paramètres!K43),1)="F",1,0)))),IF(Paramètres!L43="",0,IF(Paramètres!M43="",NA(),IF(LEFT(TRIM(Paramètres!M43),1)="F",INDEX($F$2759:$F$2811,MATCH(Paramètres!L43,Paramètres!$G$5:$G$57,0)),INDEX($E$2759:$E$2811,MATCH(Paramètres!L43,Paramètres!$G$5:$G$57,0)))+IF(RIGHT(TRIM(Paramètres!M43),3)="Fin",1-$H2797,IF(LEFT(TRIM(Paramètres!M43),1)="F",1,0)))),IF(Paramètres!N43="",0,IF(Paramètres!O43="",NA(),IF(LEFT(TRIM(Paramètres!O43),1)="F",INDEX($F$2759:$F$2811,MATCH(Paramètres!N43,Paramètres!$G$5:$G$57,0)),INDEX($E$2759:$E$2811,MATCH(Paramètres!N43,Paramètres!$G$5:$G$57,0)))+IF(RIGHT(TRIM(Paramètres!O43),3)="Fin",1-$H2797,IF(LEFT(TRIM(Paramètres!O43),1)="F",1,0)))))))</f>
        <v/>
      </c>
      <c r="F2797" s="19">
        <f>IF($A2797="","",E2797+$H2797-1)</f>
        <v/>
      </c>
      <c r="G2797" s="18" t="n"/>
      <c r="H2797" s="18">
        <f>IF($A2797="","",IF(I2797&lt;&gt;"",I2797,Paramètres!B43))</f>
        <v/>
      </c>
      <c r="I2797" s="18" t="n"/>
    </row>
    <row r="2798">
      <c r="A2798" s="18">
        <f>IF(ISNUMBER(Dossiers!$D$55),Dossiers!$A$55&amp;" · "&amp;Dossiers!$B$55,"")</f>
        <v/>
      </c>
      <c r="B2798" s="18">
        <f>IF($A2798="","",Paramètres!G44)</f>
        <v/>
      </c>
      <c r="C2798" s="18">
        <f>IF($A2798="","",IF(Paramètres!H44="","",Paramètres!H44))</f>
        <v/>
      </c>
      <c r="D2798" s="18">
        <f>IF($A2798="","",IF(Paramètres!I44="","",Paramètres!I44))</f>
        <v/>
      </c>
      <c r="E2798" s="19">
        <f>IF($A2798="","",IF(Paramètres!J44&amp;Paramètres!L44&amp;Paramètres!N44="",Dossiers!$D$55,MAX(IF(Paramètres!J44="",0,IF(Paramètres!K44="",NA(),IF(LEFT(TRIM(Paramètres!K44),1)="F",INDEX($F$2759:$F$2811,MATCH(Paramètres!J44,Paramètres!$G$5:$G$57,0)),INDEX($E$2759:$E$2811,MATCH(Paramètres!J44,Paramètres!$G$5:$G$57,0)))+IF(RIGHT(TRIM(Paramètres!K44),3)="Fin",1-$H2798,IF(LEFT(TRIM(Paramètres!K44),1)="F",1,0)))),IF(Paramètres!L44="",0,IF(Paramètres!M44="",NA(),IF(LEFT(TRIM(Paramètres!M44),1)="F",INDEX($F$2759:$F$2811,MATCH(Paramètres!L44,Paramètres!$G$5:$G$57,0)),INDEX($E$2759:$E$2811,MATCH(Paramètres!L44,Paramètres!$G$5:$G$57,0)))+IF(RIGHT(TRIM(Paramètres!M44),3)="Fin",1-$H2798,IF(LEFT(TRIM(Paramètres!M44),1)="F",1,0)))),IF(Paramètres!N44="",0,IF(Paramètres!O44="",NA(),IF(LEFT(TRIM(Paramètres!O44),1)="F",INDEX($F$2759:$F$2811,MATCH(Paramètres!N44,Paramètres!$G$5:$G$57,0)),INDEX($E$2759:$E$2811,MATCH(Paramètres!N44,Paramètres!$G$5:$G$57,0)))+IF(RIGHT(TRIM(Paramètres!O44),3)="Fin",1-$H2798,IF(LEFT(TRIM(Paramètres!O44),1)="F",1,0)))))))</f>
        <v/>
      </c>
      <c r="F2798" s="19">
        <f>IF($A2798="","",E2798+$H2798-1)</f>
        <v/>
      </c>
      <c r="G2798" s="18" t="n"/>
      <c r="H2798" s="18">
        <f>IF($A2798="","",IF(I2798&lt;&gt;"",I2798,Paramètres!B44))</f>
        <v/>
      </c>
      <c r="I2798" s="18" t="n"/>
    </row>
    <row r="2799">
      <c r="A2799" s="18">
        <f>IF(ISNUMBER(Dossiers!$D$55),Dossiers!$A$55&amp;" · "&amp;Dossiers!$B$55,"")</f>
        <v/>
      </c>
      <c r="B2799" s="18">
        <f>IF($A2799="","",Paramètres!G45)</f>
        <v/>
      </c>
      <c r="C2799" s="20">
        <f>IF($A2799="","",IF(Dossiers!$G$55="","",Dossiers!$G$55))</f>
        <v/>
      </c>
      <c r="D2799" s="18">
        <f>IF($A2799="","",IF(Paramètres!I45="","",Paramètres!I45))</f>
        <v/>
      </c>
      <c r="E2799" s="19">
        <f>IF($A2799="","",IF(Paramètres!J45&amp;Paramètres!L45&amp;Paramètres!N45="",Dossiers!$D$55,MAX(IF(Paramètres!J45="",0,IF(Paramètres!K45="",NA(),IF(LEFT(TRIM(Paramètres!K45),1)="F",INDEX($F$2759:$F$2811,MATCH(Paramètres!J45,Paramètres!$G$5:$G$57,0)),INDEX($E$2759:$E$2811,MATCH(Paramètres!J45,Paramètres!$G$5:$G$57,0)))+IF(RIGHT(TRIM(Paramètres!K45),3)="Fin",1-$H2799,IF(LEFT(TRIM(Paramètres!K45),1)="F",1,0)))),IF(Paramètres!L45="",0,IF(Paramètres!M45="",NA(),IF(LEFT(TRIM(Paramètres!M45),1)="F",INDEX($F$2759:$F$2811,MATCH(Paramètres!L45,Paramètres!$G$5:$G$57,0)),INDEX($E$2759:$E$2811,MATCH(Paramètres!L45,Paramètres!$G$5:$G$57,0)))+IF(RIGHT(TRIM(Paramètres!M45),3)="Fin",1-$H2799,IF(LEFT(TRIM(Paramètres!M45),1)="F",1,0)))),IF(Paramètres!N45="",0,IF(Paramètres!O45="",NA(),IF(LEFT(TRIM(Paramètres!O45),1)="F",INDEX($F$2759:$F$2811,MATCH(Paramètres!N45,Paramètres!$G$5:$G$57,0)),INDEX($E$2759:$E$2811,MATCH(Paramètres!N45,Paramètres!$G$5:$G$57,0)))+IF(RIGHT(TRIM(Paramètres!O45),3)="Fin",1-$H2799,IF(LEFT(TRIM(Paramètres!O45),1)="F",1,0)))))))</f>
        <v/>
      </c>
      <c r="F2799" s="19">
        <f>IF($A2799="","",E2799+$H2799-1)</f>
        <v/>
      </c>
      <c r="G2799" s="18" t="n"/>
      <c r="H2799" s="18">
        <f>IF($A2799="","",IF(I2799&lt;&gt;"",I2799,Paramètres!B45))</f>
        <v/>
      </c>
      <c r="I2799" s="18" t="n"/>
    </row>
    <row r="2800">
      <c r="A2800" s="18">
        <f>IF(ISNUMBER(Dossiers!$D$55),Dossiers!$A$55&amp;" · "&amp;Dossiers!$B$55,"")</f>
        <v/>
      </c>
      <c r="B2800" s="18">
        <f>IF($A2800="","",Paramètres!G46)</f>
        <v/>
      </c>
      <c r="C2800" s="18">
        <f>IF($A2800="","",IF(Paramètres!H46="","",Paramètres!H46))</f>
        <v/>
      </c>
      <c r="D2800" s="18">
        <f>IF($A2800="","",IF(Paramètres!I46="","",Paramètres!I46))</f>
        <v/>
      </c>
      <c r="E2800" s="19">
        <f>IF($A2800="","",IF(Paramètres!J46&amp;Paramètres!L46&amp;Paramètres!N46="",Dossiers!$D$55,MAX(IF(Paramètres!J46="",0,IF(Paramètres!K46="",NA(),IF(LEFT(TRIM(Paramètres!K46),1)="F",INDEX($F$2759:$F$2811,MATCH(Paramètres!J46,Paramètres!$G$5:$G$57,0)),INDEX($E$2759:$E$2811,MATCH(Paramètres!J46,Paramètres!$G$5:$G$57,0)))+IF(RIGHT(TRIM(Paramètres!K46),3)="Fin",1-$H2800,IF(LEFT(TRIM(Paramètres!K46),1)="F",1,0)))),IF(Paramètres!L46="",0,IF(Paramètres!M46="",NA(),IF(LEFT(TRIM(Paramètres!M46),1)="F",INDEX($F$2759:$F$2811,MATCH(Paramètres!L46,Paramètres!$G$5:$G$57,0)),INDEX($E$2759:$E$2811,MATCH(Paramètres!L46,Paramètres!$G$5:$G$57,0)))+IF(RIGHT(TRIM(Paramètres!M46),3)="Fin",1-$H2800,IF(LEFT(TRIM(Paramètres!M46),1)="F",1,0)))),IF(Paramètres!N46="",0,IF(Paramètres!O46="",NA(),IF(LEFT(TRIM(Paramètres!O46),1)="F",INDEX($F$2759:$F$2811,MATCH(Paramètres!N46,Paramètres!$G$5:$G$57,0)),INDEX($E$2759:$E$2811,MATCH(Paramètres!N46,Paramètres!$G$5:$G$57,0)))+IF(RIGHT(TRIM(Paramètres!O46),3)="Fin",1-$H2800,IF(LEFT(TRIM(Paramètres!O46),1)="F",1,0)))))))</f>
        <v/>
      </c>
      <c r="F2800" s="19">
        <f>IF($A2800="","",E2800+$H2800-1)</f>
        <v/>
      </c>
      <c r="G2800" s="18" t="n"/>
      <c r="H2800" s="18">
        <f>IF($A2800="","",IF(I2800&lt;&gt;"",I2800,Paramètres!B46))</f>
        <v/>
      </c>
      <c r="I2800" s="18" t="n"/>
    </row>
    <row r="2801">
      <c r="A2801" s="18">
        <f>IF(ISNUMBER(Dossiers!$D$55),Dossiers!$A$55&amp;" · "&amp;Dossiers!$B$55,"")</f>
        <v/>
      </c>
      <c r="B2801" s="18">
        <f>IF($A2801="","",Paramètres!G47)</f>
        <v/>
      </c>
      <c r="C2801" s="18">
        <f>IF($A2801="","",IF(Paramètres!H47="","",Paramètres!H47))</f>
        <v/>
      </c>
      <c r="D2801" s="18">
        <f>IF($A2801="","",IF(Paramètres!I47="","",Paramètres!I47))</f>
        <v/>
      </c>
      <c r="E2801" s="19">
        <f>IF($A2801="","",IF(Paramètres!J47&amp;Paramètres!L47&amp;Paramètres!N47="",Dossiers!$D$55,MAX(IF(Paramètres!J47="",0,IF(Paramètres!K47="",NA(),IF(LEFT(TRIM(Paramètres!K47),1)="F",INDEX($F$2759:$F$2811,MATCH(Paramètres!J47,Paramètres!$G$5:$G$57,0)),INDEX($E$2759:$E$2811,MATCH(Paramètres!J47,Paramètres!$G$5:$G$57,0)))+IF(RIGHT(TRIM(Paramètres!K47),3)="Fin",1-$H2801,IF(LEFT(TRIM(Paramètres!K47),1)="F",1,0)))),IF(Paramètres!L47="",0,IF(Paramètres!M47="",NA(),IF(LEFT(TRIM(Paramètres!M47),1)="F",INDEX($F$2759:$F$2811,MATCH(Paramètres!L47,Paramètres!$G$5:$G$57,0)),INDEX($E$2759:$E$2811,MATCH(Paramètres!L47,Paramètres!$G$5:$G$57,0)))+IF(RIGHT(TRIM(Paramètres!M47),3)="Fin",1-$H2801,IF(LEFT(TRIM(Paramètres!M47),1)="F",1,0)))),IF(Paramètres!N47="",0,IF(Paramètres!O47="",NA(),IF(LEFT(TRIM(Paramètres!O47),1)="F",INDEX($F$2759:$F$2811,MATCH(Paramètres!N47,Paramètres!$G$5:$G$57,0)),INDEX($E$2759:$E$2811,MATCH(Paramètres!N47,Paramètres!$G$5:$G$57,0)))+IF(RIGHT(TRIM(Paramètres!O47),3)="Fin",1-$H2801,IF(LEFT(TRIM(Paramètres!O47),1)="F",1,0)))))))</f>
        <v/>
      </c>
      <c r="F2801" s="19">
        <f>IF($A2801="","",E2801+$H2801-1)</f>
        <v/>
      </c>
      <c r="G2801" s="18" t="n"/>
      <c r="H2801" s="18">
        <f>IF($A2801="","",IF(I2801&lt;&gt;"",I2801,Paramètres!B47))</f>
        <v/>
      </c>
      <c r="I2801" s="18" t="n"/>
    </row>
    <row r="2802">
      <c r="A2802" s="18">
        <f>IF(ISNUMBER(Dossiers!$D$55),Dossiers!$A$55&amp;" · "&amp;Dossiers!$B$55,"")</f>
        <v/>
      </c>
      <c r="B2802" s="18">
        <f>IF($A2802="","",Paramètres!G48)</f>
        <v/>
      </c>
      <c r="C2802" s="18">
        <f>IF($A2802="","",IF(Paramètres!H48="","",Paramètres!H48))</f>
        <v/>
      </c>
      <c r="D2802" s="18">
        <f>IF($A2802="","",IF(Paramètres!I48="","",Paramètres!I48))</f>
        <v/>
      </c>
      <c r="E2802" s="19">
        <f>IF($A2802="","",IF(Paramètres!J48&amp;Paramètres!L48&amp;Paramètres!N48="",Dossiers!$D$55,MAX(IF(Paramètres!J48="",0,IF(Paramètres!K48="",NA(),IF(LEFT(TRIM(Paramètres!K48),1)="F",INDEX($F$2759:$F$2811,MATCH(Paramètres!J48,Paramètres!$G$5:$G$57,0)),INDEX($E$2759:$E$2811,MATCH(Paramètres!J48,Paramètres!$G$5:$G$57,0)))+IF(RIGHT(TRIM(Paramètres!K48),3)="Fin",1-$H2802,IF(LEFT(TRIM(Paramètres!K48),1)="F",1,0)))),IF(Paramètres!L48="",0,IF(Paramètres!M48="",NA(),IF(LEFT(TRIM(Paramètres!M48),1)="F",INDEX($F$2759:$F$2811,MATCH(Paramètres!L48,Paramètres!$G$5:$G$57,0)),INDEX($E$2759:$E$2811,MATCH(Paramètres!L48,Paramètres!$G$5:$G$57,0)))+IF(RIGHT(TRIM(Paramètres!M48),3)="Fin",1-$H2802,IF(LEFT(TRIM(Paramètres!M48),1)="F",1,0)))),IF(Paramètres!N48="",0,IF(Paramètres!O48="",NA(),IF(LEFT(TRIM(Paramètres!O48),1)="F",INDEX($F$2759:$F$2811,MATCH(Paramètres!N48,Paramètres!$G$5:$G$57,0)),INDEX($E$2759:$E$2811,MATCH(Paramètres!N48,Paramètres!$G$5:$G$57,0)))+IF(RIGHT(TRIM(Paramètres!O48),3)="Fin",1-$H2802,IF(LEFT(TRIM(Paramètres!O48),1)="F",1,0)))))))</f>
        <v/>
      </c>
      <c r="F2802" s="19">
        <f>IF($A2802="","",E2802+$H2802-1)</f>
        <v/>
      </c>
      <c r="G2802" s="18" t="n"/>
      <c r="H2802" s="18">
        <f>IF($A2802="","",IF(I2802&lt;&gt;"",I2802,Paramètres!B48))</f>
        <v/>
      </c>
      <c r="I2802" s="18" t="n"/>
    </row>
    <row r="2803">
      <c r="A2803" s="18">
        <f>IF(ISNUMBER(Dossiers!$D$55),Dossiers!$A$55&amp;" · "&amp;Dossiers!$B$55,"")</f>
        <v/>
      </c>
      <c r="B2803" s="18">
        <f>IF($A2803="","",Paramètres!G49)</f>
        <v/>
      </c>
      <c r="C2803" s="18">
        <f>IF($A2803="","",IF(Paramètres!H49="","",Paramètres!H49))</f>
        <v/>
      </c>
      <c r="D2803" s="18">
        <f>IF($A2803="","",IF(Paramètres!I49="","",Paramètres!I49))</f>
        <v/>
      </c>
      <c r="E2803" s="19">
        <f>IF($A2803="","",IF(Paramètres!J49&amp;Paramètres!L49&amp;Paramètres!N49="",Dossiers!$D$55,MAX(IF(Paramètres!J49="",0,IF(Paramètres!K49="",NA(),IF(LEFT(TRIM(Paramètres!K49),1)="F",INDEX($F$2759:$F$2811,MATCH(Paramètres!J49,Paramètres!$G$5:$G$57,0)),INDEX($E$2759:$E$2811,MATCH(Paramètres!J49,Paramètres!$G$5:$G$57,0)))+IF(RIGHT(TRIM(Paramètres!K49),3)="Fin",1-$H2803,IF(LEFT(TRIM(Paramètres!K49),1)="F",1,0)))),IF(Paramètres!L49="",0,IF(Paramètres!M49="",NA(),IF(LEFT(TRIM(Paramètres!M49),1)="F",INDEX($F$2759:$F$2811,MATCH(Paramètres!L49,Paramètres!$G$5:$G$57,0)),INDEX($E$2759:$E$2811,MATCH(Paramètres!L49,Paramètres!$G$5:$G$57,0)))+IF(RIGHT(TRIM(Paramètres!M49),3)="Fin",1-$H2803,IF(LEFT(TRIM(Paramètres!M49),1)="F",1,0)))),IF(Paramètres!N49="",0,IF(Paramètres!O49="",NA(),IF(LEFT(TRIM(Paramètres!O49),1)="F",INDEX($F$2759:$F$2811,MATCH(Paramètres!N49,Paramètres!$G$5:$G$57,0)),INDEX($E$2759:$E$2811,MATCH(Paramètres!N49,Paramètres!$G$5:$G$57,0)))+IF(RIGHT(TRIM(Paramètres!O49),3)="Fin",1-$H2803,IF(LEFT(TRIM(Paramètres!O49),1)="F",1,0)))))))</f>
        <v/>
      </c>
      <c r="F2803" s="19">
        <f>IF($A2803="","",E2803+$H2803-1)</f>
        <v/>
      </c>
      <c r="G2803" s="18" t="n"/>
      <c r="H2803" s="18">
        <f>IF($A2803="","",IF(I2803&lt;&gt;"",I2803,Paramètres!B49))</f>
        <v/>
      </c>
      <c r="I2803" s="18" t="n"/>
    </row>
    <row r="2804">
      <c r="A2804" s="18">
        <f>IF(ISNUMBER(Dossiers!$D$55),Dossiers!$A$55&amp;" · "&amp;Dossiers!$B$55,"")</f>
        <v/>
      </c>
      <c r="B2804" s="18">
        <f>IF($A2804="","",Paramètres!G50)</f>
        <v/>
      </c>
      <c r="C2804" s="18">
        <f>IF($A2804="","",IF(Paramètres!H50="","",Paramètres!H50))</f>
        <v/>
      </c>
      <c r="D2804" s="18">
        <f>IF($A2804="","",IF(Paramètres!I50="","",Paramètres!I50))</f>
        <v/>
      </c>
      <c r="E2804" s="19">
        <f>IF($A2804="","",IF(Paramètres!J50&amp;Paramètres!L50&amp;Paramètres!N50="",Dossiers!$D$55,MAX(IF(Paramètres!J50="",0,IF(Paramètres!K50="",NA(),IF(LEFT(TRIM(Paramètres!K50),1)="F",INDEX($F$2759:$F$2811,MATCH(Paramètres!J50,Paramètres!$G$5:$G$57,0)),INDEX($E$2759:$E$2811,MATCH(Paramètres!J50,Paramètres!$G$5:$G$57,0)))+IF(RIGHT(TRIM(Paramètres!K50),3)="Fin",1-$H2804,IF(LEFT(TRIM(Paramètres!K50),1)="F",1,0)))),IF(Paramètres!L50="",0,IF(Paramètres!M50="",NA(),IF(LEFT(TRIM(Paramètres!M50),1)="F",INDEX($F$2759:$F$2811,MATCH(Paramètres!L50,Paramètres!$G$5:$G$57,0)),INDEX($E$2759:$E$2811,MATCH(Paramètres!L50,Paramètres!$G$5:$G$57,0)))+IF(RIGHT(TRIM(Paramètres!M50),3)="Fin",1-$H2804,IF(LEFT(TRIM(Paramètres!M50),1)="F",1,0)))),IF(Paramètres!N50="",0,IF(Paramètres!O50="",NA(),IF(LEFT(TRIM(Paramètres!O50),1)="F",INDEX($F$2759:$F$2811,MATCH(Paramètres!N50,Paramètres!$G$5:$G$57,0)),INDEX($E$2759:$E$2811,MATCH(Paramètres!N50,Paramètres!$G$5:$G$57,0)))+IF(RIGHT(TRIM(Paramètres!O50),3)="Fin",1-$H2804,IF(LEFT(TRIM(Paramètres!O50),1)="F",1,0)))))))</f>
        <v/>
      </c>
      <c r="F2804" s="19">
        <f>IF($A2804="","",E2804+$H2804-1)</f>
        <v/>
      </c>
      <c r="G2804" s="18" t="n"/>
      <c r="H2804" s="18">
        <f>IF($A2804="","",IF(I2804&lt;&gt;"",I2804,Paramètres!B50))</f>
        <v/>
      </c>
      <c r="I2804" s="18" t="n"/>
    </row>
    <row r="2805">
      <c r="A2805" s="18">
        <f>IF(ISNUMBER(Dossiers!$D$55),Dossiers!$A$55&amp;" · "&amp;Dossiers!$B$55,"")</f>
        <v/>
      </c>
      <c r="B2805" s="18">
        <f>IF($A2805="","",Paramètres!G51)</f>
        <v/>
      </c>
      <c r="C2805" s="18">
        <f>IF($A2805="","",IF(Paramètres!H51="","",Paramètres!H51))</f>
        <v/>
      </c>
      <c r="D2805" s="18">
        <f>IF($A2805="","",IF(Paramètres!I51="","",Paramètres!I51))</f>
        <v/>
      </c>
      <c r="E2805" s="19">
        <f>IF($A2805="","",IF(Paramètres!J51&amp;Paramètres!L51&amp;Paramètres!N51="",Dossiers!$D$55,MAX(IF(Paramètres!J51="",0,IF(Paramètres!K51="",NA(),IF(LEFT(TRIM(Paramètres!K51),1)="F",INDEX($F$2759:$F$2811,MATCH(Paramètres!J51,Paramètres!$G$5:$G$57,0)),INDEX($E$2759:$E$2811,MATCH(Paramètres!J51,Paramètres!$G$5:$G$57,0)))+IF(RIGHT(TRIM(Paramètres!K51),3)="Fin",1-$H2805,IF(LEFT(TRIM(Paramètres!K51),1)="F",1,0)))),IF(Paramètres!L51="",0,IF(Paramètres!M51="",NA(),IF(LEFT(TRIM(Paramètres!M51),1)="F",INDEX($F$2759:$F$2811,MATCH(Paramètres!L51,Paramètres!$G$5:$G$57,0)),INDEX($E$2759:$E$2811,MATCH(Paramètres!L51,Paramètres!$G$5:$G$57,0)))+IF(RIGHT(TRIM(Paramètres!M51),3)="Fin",1-$H2805,IF(LEFT(TRIM(Paramètres!M51),1)="F",1,0)))),IF(Paramètres!N51="",0,IF(Paramètres!O51="",NA(),IF(LEFT(TRIM(Paramètres!O51),1)="F",INDEX($F$2759:$F$2811,MATCH(Paramètres!N51,Paramètres!$G$5:$G$57,0)),INDEX($E$2759:$E$2811,MATCH(Paramètres!N51,Paramètres!$G$5:$G$57,0)))+IF(RIGHT(TRIM(Paramètres!O51),3)="Fin",1-$H2805,IF(LEFT(TRIM(Paramètres!O51),1)="F",1,0)))))))</f>
        <v/>
      </c>
      <c r="F2805" s="19">
        <f>IF($A2805="","",E2805+$H2805-1)</f>
        <v/>
      </c>
      <c r="G2805" s="18" t="n"/>
      <c r="H2805" s="18">
        <f>IF($A2805="","",IF(I2805&lt;&gt;"",I2805,Paramètres!B51))</f>
        <v/>
      </c>
      <c r="I2805" s="18" t="n"/>
    </row>
    <row r="2806">
      <c r="A2806" s="18">
        <f>IF(ISNUMBER(Dossiers!$D$55),Dossiers!$A$55&amp;" · "&amp;Dossiers!$B$55,"")</f>
        <v/>
      </c>
      <c r="B2806" s="18">
        <f>IF($A2806="","",Paramètres!G52)</f>
        <v/>
      </c>
      <c r="C2806" s="18">
        <f>IF($A2806="","",IF(Paramètres!H52="","",Paramètres!H52))</f>
        <v/>
      </c>
      <c r="D2806" s="18">
        <f>IF($A2806="","",IF(Paramètres!I52="","",Paramètres!I52))</f>
        <v/>
      </c>
      <c r="E2806" s="19">
        <f>IF($A2806="","",IF(Paramètres!J52&amp;Paramètres!L52&amp;Paramètres!N52="",Dossiers!$D$55,MAX(IF(Paramètres!J52="",0,IF(Paramètres!K52="",NA(),IF(LEFT(TRIM(Paramètres!K52),1)="F",INDEX($F$2759:$F$2811,MATCH(Paramètres!J52,Paramètres!$G$5:$G$57,0)),INDEX($E$2759:$E$2811,MATCH(Paramètres!J52,Paramètres!$G$5:$G$57,0)))+IF(RIGHT(TRIM(Paramètres!K52),3)="Fin",1-$H2806,IF(LEFT(TRIM(Paramètres!K52),1)="F",1,0)))),IF(Paramètres!L52="",0,IF(Paramètres!M52="",NA(),IF(LEFT(TRIM(Paramètres!M52),1)="F",INDEX($F$2759:$F$2811,MATCH(Paramètres!L52,Paramètres!$G$5:$G$57,0)),INDEX($E$2759:$E$2811,MATCH(Paramètres!L52,Paramètres!$G$5:$G$57,0)))+IF(RIGHT(TRIM(Paramètres!M52),3)="Fin",1-$H2806,IF(LEFT(TRIM(Paramètres!M52),1)="F",1,0)))),IF(Paramètres!N52="",0,IF(Paramètres!O52="",NA(),IF(LEFT(TRIM(Paramètres!O52),1)="F",INDEX($F$2759:$F$2811,MATCH(Paramètres!N52,Paramètres!$G$5:$G$57,0)),INDEX($E$2759:$E$2811,MATCH(Paramètres!N52,Paramètres!$G$5:$G$57,0)))+IF(RIGHT(TRIM(Paramètres!O52),3)="Fin",1-$H2806,IF(LEFT(TRIM(Paramètres!O52),1)="F",1,0)))))))</f>
        <v/>
      </c>
      <c r="F2806" s="19">
        <f>IF($A2806="","",E2806+$H2806-1)</f>
        <v/>
      </c>
      <c r="G2806" s="18" t="n"/>
      <c r="H2806" s="18">
        <f>IF($A2806="","",IF(I2806&lt;&gt;"",I2806,Paramètres!B52))</f>
        <v/>
      </c>
      <c r="I2806" s="18" t="n"/>
    </row>
    <row r="2807">
      <c r="A2807" s="18">
        <f>IF(ISNUMBER(Dossiers!$D$55),Dossiers!$A$55&amp;" · "&amp;Dossiers!$B$55,"")</f>
        <v/>
      </c>
      <c r="B2807" s="18">
        <f>IF($A2807="","",Paramètres!G53)</f>
        <v/>
      </c>
      <c r="C2807" s="18">
        <f>IF($A2807="","",IF(Paramètres!H53="","",Paramètres!H53))</f>
        <v/>
      </c>
      <c r="D2807" s="18">
        <f>IF($A2807="","",IF(Paramètres!I53="","",Paramètres!I53))</f>
        <v/>
      </c>
      <c r="E2807" s="19">
        <f>IF($A2807="","",IF(Paramètres!J53&amp;Paramètres!L53&amp;Paramètres!N53="",Dossiers!$D$55,MAX(IF(Paramètres!J53="",0,IF(Paramètres!K53="",NA(),IF(LEFT(TRIM(Paramètres!K53),1)="F",INDEX($F$2759:$F$2811,MATCH(Paramètres!J53,Paramètres!$G$5:$G$57,0)),INDEX($E$2759:$E$2811,MATCH(Paramètres!J53,Paramètres!$G$5:$G$57,0)))+IF(RIGHT(TRIM(Paramètres!K53),3)="Fin",1-$H2807,IF(LEFT(TRIM(Paramètres!K53),1)="F",1,0)))),IF(Paramètres!L53="",0,IF(Paramètres!M53="",NA(),IF(LEFT(TRIM(Paramètres!M53),1)="F",INDEX($F$2759:$F$2811,MATCH(Paramètres!L53,Paramètres!$G$5:$G$57,0)),INDEX($E$2759:$E$2811,MATCH(Paramètres!L53,Paramètres!$G$5:$G$57,0)))+IF(RIGHT(TRIM(Paramètres!M53),3)="Fin",1-$H2807,IF(LEFT(TRIM(Paramètres!M53),1)="F",1,0)))),IF(Paramètres!N53="",0,IF(Paramètres!O53="",NA(),IF(LEFT(TRIM(Paramètres!O53),1)="F",INDEX($F$2759:$F$2811,MATCH(Paramètres!N53,Paramètres!$G$5:$G$57,0)),INDEX($E$2759:$E$2811,MATCH(Paramètres!N53,Paramètres!$G$5:$G$57,0)))+IF(RIGHT(TRIM(Paramètres!O53),3)="Fin",1-$H2807,IF(LEFT(TRIM(Paramètres!O53),1)="F",1,0)))))))</f>
        <v/>
      </c>
      <c r="F2807" s="19">
        <f>IF($A2807="","",E2807+$H2807-1)</f>
        <v/>
      </c>
      <c r="G2807" s="18" t="n"/>
      <c r="H2807" s="18">
        <f>IF($A2807="","",IF(I2807&lt;&gt;"",I2807,Paramètres!B53))</f>
        <v/>
      </c>
      <c r="I2807" s="18" t="n"/>
    </row>
    <row r="2808">
      <c r="A2808" s="18">
        <f>IF(ISNUMBER(Dossiers!$D$55),Dossiers!$A$55&amp;" · "&amp;Dossiers!$B$55,"")</f>
        <v/>
      </c>
      <c r="B2808" s="18">
        <f>IF($A2808="","",Paramètres!G54)</f>
        <v/>
      </c>
      <c r="C2808" s="18">
        <f>IF($A2808="","",IF(Paramètres!H54="","",Paramètres!H54))</f>
        <v/>
      </c>
      <c r="D2808" s="18">
        <f>IF($A2808="","",IF(Paramètres!I54="","",Paramètres!I54))</f>
        <v/>
      </c>
      <c r="E2808" s="19">
        <f>IF($A2808="","",IF(Paramètres!J54&amp;Paramètres!L54&amp;Paramètres!N54="",Dossiers!$D$55,MAX(IF(Paramètres!J54="",0,IF(Paramètres!K54="",NA(),IF(LEFT(TRIM(Paramètres!K54),1)="F",INDEX($F$2759:$F$2811,MATCH(Paramètres!J54,Paramètres!$G$5:$G$57,0)),INDEX($E$2759:$E$2811,MATCH(Paramètres!J54,Paramètres!$G$5:$G$57,0)))+IF(RIGHT(TRIM(Paramètres!K54),3)="Fin",1-$H2808,IF(LEFT(TRIM(Paramètres!K54),1)="F",1,0)))),IF(Paramètres!L54="",0,IF(Paramètres!M54="",NA(),IF(LEFT(TRIM(Paramètres!M54),1)="F",INDEX($F$2759:$F$2811,MATCH(Paramètres!L54,Paramètres!$G$5:$G$57,0)),INDEX($E$2759:$E$2811,MATCH(Paramètres!L54,Paramètres!$G$5:$G$57,0)))+IF(RIGHT(TRIM(Paramètres!M54),3)="Fin",1-$H2808,IF(LEFT(TRIM(Paramètres!M54),1)="F",1,0)))),IF(Paramètres!N54="",0,IF(Paramètres!O54="",NA(),IF(LEFT(TRIM(Paramètres!O54),1)="F",INDEX($F$2759:$F$2811,MATCH(Paramètres!N54,Paramètres!$G$5:$G$57,0)),INDEX($E$2759:$E$2811,MATCH(Paramètres!N54,Paramètres!$G$5:$G$57,0)))+IF(RIGHT(TRIM(Paramètres!O54),3)="Fin",1-$H2808,IF(LEFT(TRIM(Paramètres!O54),1)="F",1,0)))))))</f>
        <v/>
      </c>
      <c r="F2808" s="19">
        <f>IF($A2808="","",E2808+$H2808-1)</f>
        <v/>
      </c>
      <c r="G2808" s="18" t="n"/>
      <c r="H2808" s="18">
        <f>IF($A2808="","",IF(I2808&lt;&gt;"",I2808,Paramètres!B54))</f>
        <v/>
      </c>
      <c r="I2808" s="18" t="n"/>
    </row>
    <row r="2809">
      <c r="A2809" s="18">
        <f>IF(ISNUMBER(Dossiers!$D$55),Dossiers!$A$55&amp;" · "&amp;Dossiers!$B$55,"")</f>
        <v/>
      </c>
      <c r="B2809" s="18">
        <f>IF($A2809="","",Paramètres!G55)</f>
        <v/>
      </c>
      <c r="C2809" s="18">
        <f>IF($A2809="","",IF(Paramètres!H55="","",Paramètres!H55))</f>
        <v/>
      </c>
      <c r="D2809" s="18">
        <f>IF($A2809="","",IF(Paramètres!I55="","",Paramètres!I55))</f>
        <v/>
      </c>
      <c r="E2809" s="19">
        <f>IF($A2809="","",IF(Paramètres!J55&amp;Paramètres!L55&amp;Paramètres!N55="",Dossiers!$D$55,MAX(IF(Paramètres!J55="",0,IF(Paramètres!K55="",NA(),IF(LEFT(TRIM(Paramètres!K55),1)="F",INDEX($F$2759:$F$2811,MATCH(Paramètres!J55,Paramètres!$G$5:$G$57,0)),INDEX($E$2759:$E$2811,MATCH(Paramètres!J55,Paramètres!$G$5:$G$57,0)))+IF(RIGHT(TRIM(Paramètres!K55),3)="Fin",1-$H2809,IF(LEFT(TRIM(Paramètres!K55),1)="F",1,0)))),IF(Paramètres!L55="",0,IF(Paramètres!M55="",NA(),IF(LEFT(TRIM(Paramètres!M55),1)="F",INDEX($F$2759:$F$2811,MATCH(Paramètres!L55,Paramètres!$G$5:$G$57,0)),INDEX($E$2759:$E$2811,MATCH(Paramètres!L55,Paramètres!$G$5:$G$57,0)))+IF(RIGHT(TRIM(Paramètres!M55),3)="Fin",1-$H2809,IF(LEFT(TRIM(Paramètres!M55),1)="F",1,0)))),IF(Paramètres!N55="",0,IF(Paramètres!O55="",NA(),IF(LEFT(TRIM(Paramètres!O55),1)="F",INDEX($F$2759:$F$2811,MATCH(Paramètres!N55,Paramètres!$G$5:$G$57,0)),INDEX($E$2759:$E$2811,MATCH(Paramètres!N55,Paramètres!$G$5:$G$57,0)))+IF(RIGHT(TRIM(Paramètres!O55),3)="Fin",1-$H2809,IF(LEFT(TRIM(Paramètres!O55),1)="F",1,0)))))))</f>
        <v/>
      </c>
      <c r="F2809" s="19">
        <f>IF($A2809="","",E2809+$H2809-1)</f>
        <v/>
      </c>
      <c r="G2809" s="18" t="n"/>
      <c r="H2809" s="18">
        <f>IF($A2809="","",IF(I2809&lt;&gt;"",I2809,Paramètres!B55))</f>
        <v/>
      </c>
      <c r="I2809" s="18" t="n"/>
    </row>
    <row r="2810">
      <c r="A2810" s="18">
        <f>IF(ISNUMBER(Dossiers!$D$55),Dossiers!$A$55&amp;" · "&amp;Dossiers!$B$55,"")</f>
        <v/>
      </c>
      <c r="B2810" s="18">
        <f>IF($A2810="","",Paramètres!G56)</f>
        <v/>
      </c>
      <c r="C2810" s="18">
        <f>IF($A2810="","",IF(Paramètres!H56="","",Paramètres!H56))</f>
        <v/>
      </c>
      <c r="D2810" s="18">
        <f>IF($A2810="","",IF(Paramètres!I56="","",Paramètres!I56))</f>
        <v/>
      </c>
      <c r="E2810" s="19">
        <f>IF($A2810="","",MIN(E2811:E2811))</f>
        <v/>
      </c>
      <c r="F2810" s="19">
        <f>IF($A2810="","",MAX(F2811:F2811))</f>
        <v/>
      </c>
      <c r="G2810" s="18" t="n"/>
      <c r="H2810" s="18">
        <f>IF($A2810="","",F2810-E2810+1)</f>
        <v/>
      </c>
      <c r="I2810" s="18" t="n"/>
    </row>
    <row r="2811">
      <c r="A2811" s="18">
        <f>IF(ISNUMBER(Dossiers!$D$55),Dossiers!$A$55&amp;" · "&amp;Dossiers!$B$55,"")</f>
        <v/>
      </c>
      <c r="B2811" s="18">
        <f>IF($A2811="","",Paramètres!G57)</f>
        <v/>
      </c>
      <c r="C2811" s="18">
        <f>IF($A2811="","",IF(Paramètres!H57="","",Paramètres!H57))</f>
        <v/>
      </c>
      <c r="D2811" s="18">
        <f>IF($A2811="","",IF(Paramètres!I57="","",Paramètres!I57))</f>
        <v/>
      </c>
      <c r="E2811" s="19">
        <f>IF($A2811="","",IF(Paramètres!J57&amp;Paramètres!L57&amp;Paramètres!N57="",Dossiers!$D$55,MAX(IF(Paramètres!J57="",0,IF(Paramètres!K57="",NA(),IF(LEFT(TRIM(Paramètres!K57),1)="F",INDEX($F$2759:$F$2811,MATCH(Paramètres!J57,Paramètres!$G$5:$G$57,0)),INDEX($E$2759:$E$2811,MATCH(Paramètres!J57,Paramètres!$G$5:$G$57,0)))+IF(RIGHT(TRIM(Paramètres!K57),3)="Fin",1-$H2811,IF(LEFT(TRIM(Paramètres!K57),1)="F",1,0)))),IF(Paramètres!L57="",0,IF(Paramètres!M57="",NA(),IF(LEFT(TRIM(Paramètres!M57),1)="F",INDEX($F$2759:$F$2811,MATCH(Paramètres!L57,Paramètres!$G$5:$G$57,0)),INDEX($E$2759:$E$2811,MATCH(Paramètres!L57,Paramètres!$G$5:$G$57,0)))+IF(RIGHT(TRIM(Paramètres!M57),3)="Fin",1-$H2811,IF(LEFT(TRIM(Paramètres!M57),1)="F",1,0)))),IF(Paramètres!N57="",0,IF(Paramètres!O57="",NA(),IF(LEFT(TRIM(Paramètres!O57),1)="F",INDEX($F$2759:$F$2811,MATCH(Paramètres!N57,Paramètres!$G$5:$G$57,0)),INDEX($E$2759:$E$2811,MATCH(Paramètres!N57,Paramètres!$G$5:$G$57,0)))+IF(RIGHT(TRIM(Paramètres!O57),3)="Fin",1-$H2811,IF(LEFT(TRIM(Paramètres!O57),1)="F",1,0)))))))</f>
        <v/>
      </c>
      <c r="F2811" s="19">
        <f>IF($A2811="","",E2811+$H2811-1)</f>
        <v/>
      </c>
      <c r="G2811" s="18" t="n"/>
      <c r="H2811" s="18">
        <f>IF($A2811="","",IF(I2811&lt;&gt;"",I2811,Paramètres!B57))</f>
        <v/>
      </c>
      <c r="I2811" s="18" t="n"/>
    </row>
    <row r="2812">
      <c r="A2812" s="16">
        <f>IF(ISNUMBER(Dossiers!$D$56),Dossiers!$E$56,"")</f>
        <v/>
      </c>
      <c r="B2812" s="16">
        <f>IF($A2812="","","Identifiant")</f>
        <v/>
      </c>
      <c r="C2812" s="16">
        <f>IF($A2812="","","Macro Etape")</f>
        <v/>
      </c>
      <c r="D2812" s="16">
        <f>IF($A2812="","","Etape")</f>
        <v/>
      </c>
      <c r="E2812" s="17">
        <f>IF($A2812="","","Début le")</f>
        <v/>
      </c>
      <c r="F2812" s="17">
        <f>IF($A2812="","","Fin prévue le")</f>
        <v/>
      </c>
      <c r="G2812" s="16">
        <f>IF($A2812="","","Statut")</f>
        <v/>
      </c>
      <c r="H2812" s="16">
        <f>IF($A2812="","","Durée (jours)")</f>
        <v/>
      </c>
      <c r="I2812" s="16">
        <f>IF($A2812="","","Durée particulière")</f>
        <v/>
      </c>
      <c r="J2812" s="10">
        <f>IF($A2812="","",HYPERLINK("#'Tableau de bord'!A1","↑ Tableau de bord"))</f>
        <v/>
      </c>
    </row>
    <row r="2813">
      <c r="A2813" s="18">
        <f>IF(ISNUMBER(Dossiers!$D$56),Dossiers!$A$56&amp;" · "&amp;Dossiers!$B$56,"")</f>
        <v/>
      </c>
      <c r="B2813" s="18">
        <f>IF($A2813="","",Paramètres!G5)</f>
        <v/>
      </c>
      <c r="C2813" s="18">
        <f>IF($A2813="","",IF(Paramètres!H5="","",Paramètres!H5))</f>
        <v/>
      </c>
      <c r="D2813" s="18">
        <f>IF($A2813="","",IF(Paramètres!I5="","",Paramètres!I5))</f>
        <v/>
      </c>
      <c r="E2813" s="19">
        <f>IF($A2813="","",MIN(E2814:E2817))</f>
        <v/>
      </c>
      <c r="F2813" s="19">
        <f>IF($A2813="","",MAX(F2814:F2817))</f>
        <v/>
      </c>
      <c r="G2813" s="18" t="n"/>
      <c r="H2813" s="18">
        <f>IF($A2813="","",F2813-E2813+1)</f>
        <v/>
      </c>
      <c r="I2813" s="18" t="n"/>
    </row>
    <row r="2814">
      <c r="A2814" s="18">
        <f>IF(ISNUMBER(Dossiers!$D$56),Dossiers!$A$56&amp;" · "&amp;Dossiers!$B$56,"")</f>
        <v/>
      </c>
      <c r="B2814" s="18">
        <f>IF($A2814="","",Paramètres!G6)</f>
        <v/>
      </c>
      <c r="C2814" s="18">
        <f>IF($A2814="","",IF(Paramètres!H6="","",Paramètres!H6))</f>
        <v/>
      </c>
      <c r="D2814" s="18">
        <f>IF($A2814="","",IF(Paramètres!I6="","",Paramètres!I6))</f>
        <v/>
      </c>
      <c r="E2814" s="19">
        <f>IF($A2814="","",IF(Paramètres!J6&amp;Paramètres!L6&amp;Paramètres!N6="",Dossiers!$D$56,MAX(IF(Paramètres!J6="",0,IF(Paramètres!K6="",NA(),IF(LEFT(TRIM(Paramètres!K6),1)="F",INDEX($F$2813:$F$2865,MATCH(Paramètres!J6,Paramètres!$G$5:$G$57,0)),INDEX($E$2813:$E$2865,MATCH(Paramètres!J6,Paramètres!$G$5:$G$57,0)))+IF(RIGHT(TRIM(Paramètres!K6),3)="Fin",1-$H2814,IF(LEFT(TRIM(Paramètres!K6),1)="F",1,0)))),IF(Paramètres!L6="",0,IF(Paramètres!M6="",NA(),IF(LEFT(TRIM(Paramètres!M6),1)="F",INDEX($F$2813:$F$2865,MATCH(Paramètres!L6,Paramètres!$G$5:$G$57,0)),INDEX($E$2813:$E$2865,MATCH(Paramètres!L6,Paramètres!$G$5:$G$57,0)))+IF(RIGHT(TRIM(Paramètres!M6),3)="Fin",1-$H2814,IF(LEFT(TRIM(Paramètres!M6),1)="F",1,0)))),IF(Paramètres!N6="",0,IF(Paramètres!O6="",NA(),IF(LEFT(TRIM(Paramètres!O6),1)="F",INDEX($F$2813:$F$2865,MATCH(Paramètres!N6,Paramètres!$G$5:$G$57,0)),INDEX($E$2813:$E$2865,MATCH(Paramètres!N6,Paramètres!$G$5:$G$57,0)))+IF(RIGHT(TRIM(Paramètres!O6),3)="Fin",1-$H2814,IF(LEFT(TRIM(Paramètres!O6),1)="F",1,0)))))))</f>
        <v/>
      </c>
      <c r="F2814" s="19">
        <f>IF($A2814="","",E2814+$H2814-1)</f>
        <v/>
      </c>
      <c r="G2814" s="18" t="n"/>
      <c r="H2814" s="18">
        <f>IF($A2814="","",IF(I2814&lt;&gt;"",I2814,Paramètres!B6))</f>
        <v/>
      </c>
      <c r="I2814" s="18" t="n"/>
    </row>
    <row r="2815">
      <c r="A2815" s="18">
        <f>IF(ISNUMBER(Dossiers!$D$56),Dossiers!$A$56&amp;" · "&amp;Dossiers!$B$56,"")</f>
        <v/>
      </c>
      <c r="B2815" s="18">
        <f>IF($A2815="","",Paramètres!G7)</f>
        <v/>
      </c>
      <c r="C2815" s="18">
        <f>IF($A2815="","",IF(Paramètres!H7="","",Paramètres!H7))</f>
        <v/>
      </c>
      <c r="D2815" s="18">
        <f>IF($A2815="","",IF(Paramètres!I7="","",Paramètres!I7))</f>
        <v/>
      </c>
      <c r="E2815" s="19">
        <f>IF($A2815="","",IF(Paramètres!J7&amp;Paramètres!L7&amp;Paramètres!N7="",Dossiers!$D$56,MAX(IF(Paramètres!J7="",0,IF(Paramètres!K7="",NA(),IF(LEFT(TRIM(Paramètres!K7),1)="F",INDEX($F$2813:$F$2865,MATCH(Paramètres!J7,Paramètres!$G$5:$G$57,0)),INDEX($E$2813:$E$2865,MATCH(Paramètres!J7,Paramètres!$G$5:$G$57,0)))+IF(RIGHT(TRIM(Paramètres!K7),3)="Fin",1-$H2815,IF(LEFT(TRIM(Paramètres!K7),1)="F",1,0)))),IF(Paramètres!L7="",0,IF(Paramètres!M7="",NA(),IF(LEFT(TRIM(Paramètres!M7),1)="F",INDEX($F$2813:$F$2865,MATCH(Paramètres!L7,Paramètres!$G$5:$G$57,0)),INDEX($E$2813:$E$2865,MATCH(Paramètres!L7,Paramètres!$G$5:$G$57,0)))+IF(RIGHT(TRIM(Paramètres!M7),3)="Fin",1-$H2815,IF(LEFT(TRIM(Paramètres!M7),1)="F",1,0)))),IF(Paramètres!N7="",0,IF(Paramètres!O7="",NA(),IF(LEFT(TRIM(Paramètres!O7),1)="F",INDEX($F$2813:$F$2865,MATCH(Paramètres!N7,Paramètres!$G$5:$G$57,0)),INDEX($E$2813:$E$2865,MATCH(Paramètres!N7,Paramètres!$G$5:$G$57,0)))+IF(RIGHT(TRIM(Paramètres!O7),3)="Fin",1-$H2815,IF(LEFT(TRIM(Paramètres!O7),1)="F",1,0)))))))</f>
        <v/>
      </c>
      <c r="F2815" s="19">
        <f>IF($A2815="","",E2815+$H2815-1)</f>
        <v/>
      </c>
      <c r="G2815" s="18" t="n"/>
      <c r="H2815" s="18">
        <f>IF($A2815="","",IF(I2815&lt;&gt;"",I2815,Paramètres!B7))</f>
        <v/>
      </c>
      <c r="I2815" s="18" t="n"/>
    </row>
    <row r="2816">
      <c r="A2816" s="18">
        <f>IF(ISNUMBER(Dossiers!$D$56),Dossiers!$A$56&amp;" · "&amp;Dossiers!$B$56,"")</f>
        <v/>
      </c>
      <c r="B2816" s="18">
        <f>IF($A2816="","",Paramètres!G8)</f>
        <v/>
      </c>
      <c r="C2816" s="18">
        <f>IF($A2816="","",IF(Paramètres!H8="","",Paramètres!H8))</f>
        <v/>
      </c>
      <c r="D2816" s="18">
        <f>IF($A2816="","",IF(Paramètres!I8="","",Paramètres!I8))</f>
        <v/>
      </c>
      <c r="E2816" s="19">
        <f>IF($A2816="","",IF(Paramètres!J8&amp;Paramètres!L8&amp;Paramètres!N8="",Dossiers!$D$56,MAX(IF(Paramètres!J8="",0,IF(Paramètres!K8="",NA(),IF(LEFT(TRIM(Paramètres!K8),1)="F",INDEX($F$2813:$F$2865,MATCH(Paramètres!J8,Paramètres!$G$5:$G$57,0)),INDEX($E$2813:$E$2865,MATCH(Paramètres!J8,Paramètres!$G$5:$G$57,0)))+IF(RIGHT(TRIM(Paramètres!K8),3)="Fin",1-$H2816,IF(LEFT(TRIM(Paramètres!K8),1)="F",1,0)))),IF(Paramètres!L8="",0,IF(Paramètres!M8="",NA(),IF(LEFT(TRIM(Paramètres!M8),1)="F",INDEX($F$2813:$F$2865,MATCH(Paramètres!L8,Paramètres!$G$5:$G$57,0)),INDEX($E$2813:$E$2865,MATCH(Paramètres!L8,Paramètres!$G$5:$G$57,0)))+IF(RIGHT(TRIM(Paramètres!M8),3)="Fin",1-$H2816,IF(LEFT(TRIM(Paramètres!M8),1)="F",1,0)))),IF(Paramètres!N8="",0,IF(Paramètres!O8="",NA(),IF(LEFT(TRIM(Paramètres!O8),1)="F",INDEX($F$2813:$F$2865,MATCH(Paramètres!N8,Paramètres!$G$5:$G$57,0)),INDEX($E$2813:$E$2865,MATCH(Paramètres!N8,Paramètres!$G$5:$G$57,0)))+IF(RIGHT(TRIM(Paramètres!O8),3)="Fin",1-$H2816,IF(LEFT(TRIM(Paramètres!O8),1)="F",1,0)))))))</f>
        <v/>
      </c>
      <c r="F2816" s="19">
        <f>IF($A2816="","",E2816+$H2816-1)</f>
        <v/>
      </c>
      <c r="G2816" s="18" t="n"/>
      <c r="H2816" s="18">
        <f>IF($A2816="","",IF(I2816&lt;&gt;"",I2816,Paramètres!B8))</f>
        <v/>
      </c>
      <c r="I2816" s="18" t="n"/>
    </row>
    <row r="2817">
      <c r="A2817" s="18">
        <f>IF(ISNUMBER(Dossiers!$D$56),Dossiers!$A$56&amp;" · "&amp;Dossiers!$B$56,"")</f>
        <v/>
      </c>
      <c r="B2817" s="18">
        <f>IF($A2817="","",Paramètres!G9)</f>
        <v/>
      </c>
      <c r="C2817" s="18">
        <f>IF($A2817="","",IF(Paramètres!H9="","",Paramètres!H9))</f>
        <v/>
      </c>
      <c r="D2817" s="18">
        <f>IF($A2817="","",IF(Paramètres!I9="","",Paramètres!I9))</f>
        <v/>
      </c>
      <c r="E2817" s="19">
        <f>IF($A2817="","",IF(Paramètres!J9&amp;Paramètres!L9&amp;Paramètres!N9="",Dossiers!$D$56,MAX(IF(Paramètres!J9="",0,IF(Paramètres!K9="",NA(),IF(LEFT(TRIM(Paramètres!K9),1)="F",INDEX($F$2813:$F$2865,MATCH(Paramètres!J9,Paramètres!$G$5:$G$57,0)),INDEX($E$2813:$E$2865,MATCH(Paramètres!J9,Paramètres!$G$5:$G$57,0)))+IF(RIGHT(TRIM(Paramètres!K9),3)="Fin",1-$H2817,IF(LEFT(TRIM(Paramètres!K9),1)="F",1,0)))),IF(Paramètres!L9="",0,IF(Paramètres!M9="",NA(),IF(LEFT(TRIM(Paramètres!M9),1)="F",INDEX($F$2813:$F$2865,MATCH(Paramètres!L9,Paramètres!$G$5:$G$57,0)),INDEX($E$2813:$E$2865,MATCH(Paramètres!L9,Paramètres!$G$5:$G$57,0)))+IF(RIGHT(TRIM(Paramètres!M9),3)="Fin",1-$H2817,IF(LEFT(TRIM(Paramètres!M9),1)="F",1,0)))),IF(Paramètres!N9="",0,IF(Paramètres!O9="",NA(),IF(LEFT(TRIM(Paramètres!O9),1)="F",INDEX($F$2813:$F$2865,MATCH(Paramètres!N9,Paramètres!$G$5:$G$57,0)),INDEX($E$2813:$E$2865,MATCH(Paramètres!N9,Paramètres!$G$5:$G$57,0)))+IF(RIGHT(TRIM(Paramètres!O9),3)="Fin",1-$H2817,IF(LEFT(TRIM(Paramètres!O9),1)="F",1,0)))))))</f>
        <v/>
      </c>
      <c r="F2817" s="19">
        <f>IF($A2817="","",E2817+$H2817-1)</f>
        <v/>
      </c>
      <c r="G2817" s="18" t="n"/>
      <c r="H2817" s="18">
        <f>IF($A2817="","",IF(I2817&lt;&gt;"",I2817,Paramètres!B9))</f>
        <v/>
      </c>
      <c r="I2817" s="18" t="n"/>
    </row>
    <row r="2818">
      <c r="A2818" s="18">
        <f>IF(ISNUMBER(Dossiers!$D$56),Dossiers!$A$56&amp;" · "&amp;Dossiers!$B$56,"")</f>
        <v/>
      </c>
      <c r="B2818" s="18">
        <f>IF($A2818="","",Paramètres!G10)</f>
        <v/>
      </c>
      <c r="C2818" s="18">
        <f>IF($A2818="","",IF(Paramètres!H10="","",Paramètres!H10))</f>
        <v/>
      </c>
      <c r="D2818" s="18">
        <f>IF($A2818="","",IF(Paramètres!I10="","",Paramètres!I10))</f>
        <v/>
      </c>
      <c r="E2818" s="19">
        <f>IF($A2818="","",MIN(E2819:E2822))</f>
        <v/>
      </c>
      <c r="F2818" s="19">
        <f>IF($A2818="","",MAX(F2819:F2822))</f>
        <v/>
      </c>
      <c r="G2818" s="18" t="n"/>
      <c r="H2818" s="18">
        <f>IF($A2818="","",F2818-E2818+1)</f>
        <v/>
      </c>
      <c r="I2818" s="18" t="n"/>
    </row>
    <row r="2819">
      <c r="A2819" s="18">
        <f>IF(ISNUMBER(Dossiers!$D$56),Dossiers!$A$56&amp;" · "&amp;Dossiers!$B$56,"")</f>
        <v/>
      </c>
      <c r="B2819" s="18">
        <f>IF($A2819="","",Paramètres!G11)</f>
        <v/>
      </c>
      <c r="C2819" s="18">
        <f>IF($A2819="","",IF(Paramètres!H11="","",Paramètres!H11))</f>
        <v/>
      </c>
      <c r="D2819" s="18">
        <f>IF($A2819="","",IF(Paramètres!I11="","",Paramètres!I11))</f>
        <v/>
      </c>
      <c r="E2819" s="19">
        <f>IF($A2819="","",IF(Paramètres!J11&amp;Paramètres!L11&amp;Paramètres!N11="",Dossiers!$D$56,MAX(IF(Paramètres!J11="",0,IF(Paramètres!K11="",NA(),IF(LEFT(TRIM(Paramètres!K11),1)="F",INDEX($F$2813:$F$2865,MATCH(Paramètres!J11,Paramètres!$G$5:$G$57,0)),INDEX($E$2813:$E$2865,MATCH(Paramètres!J11,Paramètres!$G$5:$G$57,0)))+IF(RIGHT(TRIM(Paramètres!K11),3)="Fin",1-$H2819,IF(LEFT(TRIM(Paramètres!K11),1)="F",1,0)))),IF(Paramètres!L11="",0,IF(Paramètres!M11="",NA(),IF(LEFT(TRIM(Paramètres!M11),1)="F",INDEX($F$2813:$F$2865,MATCH(Paramètres!L11,Paramètres!$G$5:$G$57,0)),INDEX($E$2813:$E$2865,MATCH(Paramètres!L11,Paramètres!$G$5:$G$57,0)))+IF(RIGHT(TRIM(Paramètres!M11),3)="Fin",1-$H2819,IF(LEFT(TRIM(Paramètres!M11),1)="F",1,0)))),IF(Paramètres!N11="",0,IF(Paramètres!O11="",NA(),IF(LEFT(TRIM(Paramètres!O11),1)="F",INDEX($F$2813:$F$2865,MATCH(Paramètres!N11,Paramètres!$G$5:$G$57,0)),INDEX($E$2813:$E$2865,MATCH(Paramètres!N11,Paramètres!$G$5:$G$57,0)))+IF(RIGHT(TRIM(Paramètres!O11),3)="Fin",1-$H2819,IF(LEFT(TRIM(Paramètres!O11),1)="F",1,0)))))))</f>
        <v/>
      </c>
      <c r="F2819" s="19">
        <f>IF($A2819="","",E2819+$H2819-1)</f>
        <v/>
      </c>
      <c r="G2819" s="18" t="n"/>
      <c r="H2819" s="18">
        <f>IF($A2819="","",IF(I2819&lt;&gt;"",I2819,Paramètres!B11))</f>
        <v/>
      </c>
      <c r="I2819" s="18" t="n"/>
    </row>
    <row r="2820">
      <c r="A2820" s="18">
        <f>IF(ISNUMBER(Dossiers!$D$56),Dossiers!$A$56&amp;" · "&amp;Dossiers!$B$56,"")</f>
        <v/>
      </c>
      <c r="B2820" s="18">
        <f>IF($A2820="","",Paramètres!G12)</f>
        <v/>
      </c>
      <c r="C2820" s="18">
        <f>IF($A2820="","",IF(Paramètres!H12="","",Paramètres!H12))</f>
        <v/>
      </c>
      <c r="D2820" s="18">
        <f>IF($A2820="","",IF(Paramètres!I12="","",Paramètres!I12))</f>
        <v/>
      </c>
      <c r="E2820" s="19">
        <f>IF($A2820="","",IF(Paramètres!J12&amp;Paramètres!L12&amp;Paramètres!N12="",Dossiers!$D$56,MAX(IF(Paramètres!J12="",0,IF(Paramètres!K12="",NA(),IF(LEFT(TRIM(Paramètres!K12),1)="F",INDEX($F$2813:$F$2865,MATCH(Paramètres!J12,Paramètres!$G$5:$G$57,0)),INDEX($E$2813:$E$2865,MATCH(Paramètres!J12,Paramètres!$G$5:$G$57,0)))+IF(RIGHT(TRIM(Paramètres!K12),3)="Fin",1-$H2820,IF(LEFT(TRIM(Paramètres!K12),1)="F",1,0)))),IF(Paramètres!L12="",0,IF(Paramètres!M12="",NA(),IF(LEFT(TRIM(Paramètres!M12),1)="F",INDEX($F$2813:$F$2865,MATCH(Paramètres!L12,Paramètres!$G$5:$G$57,0)),INDEX($E$2813:$E$2865,MATCH(Paramètres!L12,Paramètres!$G$5:$G$57,0)))+IF(RIGHT(TRIM(Paramètres!M12),3)="Fin",1-$H2820,IF(LEFT(TRIM(Paramètres!M12),1)="F",1,0)))),IF(Paramètres!N12="",0,IF(Paramètres!O12="",NA(),IF(LEFT(TRIM(Paramètres!O12),1)="F",INDEX($F$2813:$F$2865,MATCH(Paramètres!N12,Paramètres!$G$5:$G$57,0)),INDEX($E$2813:$E$2865,MATCH(Paramètres!N12,Paramètres!$G$5:$G$57,0)))+IF(RIGHT(TRIM(Paramètres!O12),3)="Fin",1-$H2820,IF(LEFT(TRIM(Paramètres!O12),1)="F",1,0)))))))</f>
        <v/>
      </c>
      <c r="F2820" s="19">
        <f>IF($A2820="","",E2820+$H2820-1)</f>
        <v/>
      </c>
      <c r="G2820" s="18" t="n"/>
      <c r="H2820" s="18">
        <f>IF($A2820="","",IF(I2820&lt;&gt;"",I2820,Paramètres!B12))</f>
        <v/>
      </c>
      <c r="I2820" s="18" t="n"/>
    </row>
    <row r="2821">
      <c r="A2821" s="18">
        <f>IF(ISNUMBER(Dossiers!$D$56),Dossiers!$A$56&amp;" · "&amp;Dossiers!$B$56,"")</f>
        <v/>
      </c>
      <c r="B2821" s="18">
        <f>IF($A2821="","",Paramètres!G13)</f>
        <v/>
      </c>
      <c r="C2821" s="18">
        <f>IF($A2821="","",IF(Paramètres!H13="","",Paramètres!H13))</f>
        <v/>
      </c>
      <c r="D2821" s="18">
        <f>IF($A2821="","",IF(Paramètres!I13="","",Paramètres!I13))</f>
        <v/>
      </c>
      <c r="E2821" s="19">
        <f>IF($A2821="","",IF(Paramètres!J13&amp;Paramètres!L13&amp;Paramètres!N13="",Dossiers!$D$56,MAX(IF(Paramètres!J13="",0,IF(Paramètres!K13="",NA(),IF(LEFT(TRIM(Paramètres!K13),1)="F",INDEX($F$2813:$F$2865,MATCH(Paramètres!J13,Paramètres!$G$5:$G$57,0)),INDEX($E$2813:$E$2865,MATCH(Paramètres!J13,Paramètres!$G$5:$G$57,0)))+IF(RIGHT(TRIM(Paramètres!K13),3)="Fin",1-$H2821,IF(LEFT(TRIM(Paramètres!K13),1)="F",1,0)))),IF(Paramètres!L13="",0,IF(Paramètres!M13="",NA(),IF(LEFT(TRIM(Paramètres!M13),1)="F",INDEX($F$2813:$F$2865,MATCH(Paramètres!L13,Paramètres!$G$5:$G$57,0)),INDEX($E$2813:$E$2865,MATCH(Paramètres!L13,Paramètres!$G$5:$G$57,0)))+IF(RIGHT(TRIM(Paramètres!M13),3)="Fin",1-$H2821,IF(LEFT(TRIM(Paramètres!M13),1)="F",1,0)))),IF(Paramètres!N13="",0,IF(Paramètres!O13="",NA(),IF(LEFT(TRIM(Paramètres!O13),1)="F",INDEX($F$2813:$F$2865,MATCH(Paramètres!N13,Paramètres!$G$5:$G$57,0)),INDEX($E$2813:$E$2865,MATCH(Paramètres!N13,Paramètres!$G$5:$G$57,0)))+IF(RIGHT(TRIM(Paramètres!O13),3)="Fin",1-$H2821,IF(LEFT(TRIM(Paramètres!O13),1)="F",1,0)))))))</f>
        <v/>
      </c>
      <c r="F2821" s="19">
        <f>IF($A2821="","",E2821+$H2821-1)</f>
        <v/>
      </c>
      <c r="G2821" s="18" t="n"/>
      <c r="H2821" s="18">
        <f>IF($A2821="","",IF(I2821&lt;&gt;"",I2821,Paramètres!B13))</f>
        <v/>
      </c>
      <c r="I2821" s="18" t="n"/>
    </row>
    <row r="2822">
      <c r="A2822" s="18">
        <f>IF(ISNUMBER(Dossiers!$D$56),Dossiers!$A$56&amp;" · "&amp;Dossiers!$B$56,"")</f>
        <v/>
      </c>
      <c r="B2822" s="18">
        <f>IF($A2822="","",Paramètres!G14)</f>
        <v/>
      </c>
      <c r="C2822" s="18">
        <f>IF($A2822="","",IF(Paramètres!H14="","",Paramètres!H14))</f>
        <v/>
      </c>
      <c r="D2822" s="18">
        <f>IF($A2822="","",IF(Paramètres!I14="","",Paramètres!I14))</f>
        <v/>
      </c>
      <c r="E2822" s="19">
        <f>IF($A2822="","",IF(Paramètres!J14&amp;Paramètres!L14&amp;Paramètres!N14="",Dossiers!$D$56,MAX(IF(Paramètres!J14="",0,IF(Paramètres!K14="",NA(),IF(LEFT(TRIM(Paramètres!K14),1)="F",INDEX($F$2813:$F$2865,MATCH(Paramètres!J14,Paramètres!$G$5:$G$57,0)),INDEX($E$2813:$E$2865,MATCH(Paramètres!J14,Paramètres!$G$5:$G$57,0)))+IF(RIGHT(TRIM(Paramètres!K14),3)="Fin",1-$H2822,IF(LEFT(TRIM(Paramètres!K14),1)="F",1,0)))),IF(Paramètres!L14="",0,IF(Paramètres!M14="",NA(),IF(LEFT(TRIM(Paramètres!M14),1)="F",INDEX($F$2813:$F$2865,MATCH(Paramètres!L14,Paramètres!$G$5:$G$57,0)),INDEX($E$2813:$E$2865,MATCH(Paramètres!L14,Paramètres!$G$5:$G$57,0)))+IF(RIGHT(TRIM(Paramètres!M14),3)="Fin",1-$H2822,IF(LEFT(TRIM(Paramètres!M14),1)="F",1,0)))),IF(Paramètres!N14="",0,IF(Paramètres!O14="",NA(),IF(LEFT(TRIM(Paramètres!O14),1)="F",INDEX($F$2813:$F$2865,MATCH(Paramètres!N14,Paramètres!$G$5:$G$57,0)),INDEX($E$2813:$E$2865,MATCH(Paramètres!N14,Paramètres!$G$5:$G$57,0)))+IF(RIGHT(TRIM(Paramètres!O14),3)="Fin",1-$H2822,IF(LEFT(TRIM(Paramètres!O14),1)="F",1,0)))))))</f>
        <v/>
      </c>
      <c r="F2822" s="19">
        <f>IF($A2822="","",E2822+$H2822-1)</f>
        <v/>
      </c>
      <c r="G2822" s="18" t="n"/>
      <c r="H2822" s="18">
        <f>IF($A2822="","",IF(I2822&lt;&gt;"",I2822,Paramètres!B14))</f>
        <v/>
      </c>
      <c r="I2822" s="18" t="n"/>
    </row>
    <row r="2823">
      <c r="A2823" s="18">
        <f>IF(ISNUMBER(Dossiers!$D$56),Dossiers!$A$56&amp;" · "&amp;Dossiers!$B$56,"")</f>
        <v/>
      </c>
      <c r="B2823" s="18">
        <f>IF($A2823="","",Paramètres!G15)</f>
        <v/>
      </c>
      <c r="C2823" s="18">
        <f>IF($A2823="","",IF(Paramètres!H15="","",Paramètres!H15))</f>
        <v/>
      </c>
      <c r="D2823" s="18">
        <f>IF($A2823="","",IF(Paramètres!I15="","",Paramètres!I15))</f>
        <v/>
      </c>
      <c r="E2823" s="19">
        <f>IF($A2823="","",MIN(E2824:E2839))</f>
        <v/>
      </c>
      <c r="F2823" s="19">
        <f>IF($A2823="","",MAX(F2824:F2839))</f>
        <v/>
      </c>
      <c r="G2823" s="18" t="n"/>
      <c r="H2823" s="18">
        <f>IF($A2823="","",F2823-E2823+1)</f>
        <v/>
      </c>
      <c r="I2823" s="18" t="n"/>
    </row>
    <row r="2824">
      <c r="A2824" s="18">
        <f>IF(ISNUMBER(Dossiers!$D$56),Dossiers!$A$56&amp;" · "&amp;Dossiers!$B$56,"")</f>
        <v/>
      </c>
      <c r="B2824" s="18">
        <f>IF($A2824="","",Paramètres!G16)</f>
        <v/>
      </c>
      <c r="C2824" s="18">
        <f>IF($A2824="","",IF(Paramètres!H16="","",Paramètres!H16))</f>
        <v/>
      </c>
      <c r="D2824" s="18">
        <f>IF($A2824="","",IF(Paramètres!I16="","",Paramètres!I16))</f>
        <v/>
      </c>
      <c r="E2824" s="19">
        <f>IF($A2824="","",IF(Paramètres!J16&amp;Paramètres!L16&amp;Paramètres!N16="",Dossiers!$D$56,MAX(IF(Paramètres!J16="",0,IF(Paramètres!K16="",NA(),IF(LEFT(TRIM(Paramètres!K16),1)="F",INDEX($F$2813:$F$2865,MATCH(Paramètres!J16,Paramètres!$G$5:$G$57,0)),INDEX($E$2813:$E$2865,MATCH(Paramètres!J16,Paramètres!$G$5:$G$57,0)))+IF(RIGHT(TRIM(Paramètres!K16),3)="Fin",1-$H2824,IF(LEFT(TRIM(Paramètres!K16),1)="F",1,0)))),IF(Paramètres!L16="",0,IF(Paramètres!M16="",NA(),IF(LEFT(TRIM(Paramètres!M16),1)="F",INDEX($F$2813:$F$2865,MATCH(Paramètres!L16,Paramètres!$G$5:$G$57,0)),INDEX($E$2813:$E$2865,MATCH(Paramètres!L16,Paramètres!$G$5:$G$57,0)))+IF(RIGHT(TRIM(Paramètres!M16),3)="Fin",1-$H2824,IF(LEFT(TRIM(Paramètres!M16),1)="F",1,0)))),IF(Paramètres!N16="",0,IF(Paramètres!O16="",NA(),IF(LEFT(TRIM(Paramètres!O16),1)="F",INDEX($F$2813:$F$2865,MATCH(Paramètres!N16,Paramètres!$G$5:$G$57,0)),INDEX($E$2813:$E$2865,MATCH(Paramètres!N16,Paramètres!$G$5:$G$57,0)))+IF(RIGHT(TRIM(Paramètres!O16),3)="Fin",1-$H2824,IF(LEFT(TRIM(Paramètres!O16),1)="F",1,0)))))))</f>
        <v/>
      </c>
      <c r="F2824" s="19">
        <f>IF($A2824="","",E2824+$H2824-1)</f>
        <v/>
      </c>
      <c r="G2824" s="18" t="n"/>
      <c r="H2824" s="18">
        <f>IF($A2824="","",IF(I2824&lt;&gt;"",I2824,Paramètres!B16))</f>
        <v/>
      </c>
      <c r="I2824" s="18" t="n"/>
    </row>
    <row r="2825">
      <c r="A2825" s="18">
        <f>IF(ISNUMBER(Dossiers!$D$56),Dossiers!$A$56&amp;" · "&amp;Dossiers!$B$56,"")</f>
        <v/>
      </c>
      <c r="B2825" s="18">
        <f>IF($A2825="","",Paramètres!G17)</f>
        <v/>
      </c>
      <c r="C2825" s="18">
        <f>IF($A2825="","",IF(Paramètres!H17="","",Paramètres!H17))</f>
        <v/>
      </c>
      <c r="D2825" s="18">
        <f>IF($A2825="","",IF(Paramètres!I17="","",Paramètres!I17))</f>
        <v/>
      </c>
      <c r="E2825" s="19">
        <f>IF($A2825="","",IF(Paramètres!J17&amp;Paramètres!L17&amp;Paramètres!N17="",Dossiers!$D$56,MAX(IF(Paramètres!J17="",0,IF(Paramètres!K17="",NA(),IF(LEFT(TRIM(Paramètres!K17),1)="F",INDEX($F$2813:$F$2865,MATCH(Paramètres!J17,Paramètres!$G$5:$G$57,0)),INDEX($E$2813:$E$2865,MATCH(Paramètres!J17,Paramètres!$G$5:$G$57,0)))+IF(RIGHT(TRIM(Paramètres!K17),3)="Fin",1-$H2825,IF(LEFT(TRIM(Paramètres!K17),1)="F",1,0)))),IF(Paramètres!L17="",0,IF(Paramètres!M17="",NA(),IF(LEFT(TRIM(Paramètres!M17),1)="F",INDEX($F$2813:$F$2865,MATCH(Paramètres!L17,Paramètres!$G$5:$G$57,0)),INDEX($E$2813:$E$2865,MATCH(Paramètres!L17,Paramètres!$G$5:$G$57,0)))+IF(RIGHT(TRIM(Paramètres!M17),3)="Fin",1-$H2825,IF(LEFT(TRIM(Paramètres!M17),1)="F",1,0)))),IF(Paramètres!N17="",0,IF(Paramètres!O17="",NA(),IF(LEFT(TRIM(Paramètres!O17),1)="F",INDEX($F$2813:$F$2865,MATCH(Paramètres!N17,Paramètres!$G$5:$G$57,0)),INDEX($E$2813:$E$2865,MATCH(Paramètres!N17,Paramètres!$G$5:$G$57,0)))+IF(RIGHT(TRIM(Paramètres!O17),3)="Fin",1-$H2825,IF(LEFT(TRIM(Paramètres!O17),1)="F",1,0)))))))</f>
        <v/>
      </c>
      <c r="F2825" s="19">
        <f>IF($A2825="","",E2825+$H2825-1)</f>
        <v/>
      </c>
      <c r="G2825" s="18" t="n"/>
      <c r="H2825" s="18">
        <f>IF($A2825="","",IF(I2825&lt;&gt;"",I2825,Paramètres!B17))</f>
        <v/>
      </c>
      <c r="I2825" s="18" t="n"/>
    </row>
    <row r="2826">
      <c r="A2826" s="18">
        <f>IF(ISNUMBER(Dossiers!$D$56),Dossiers!$A$56&amp;" · "&amp;Dossiers!$B$56,"")</f>
        <v/>
      </c>
      <c r="B2826" s="18">
        <f>IF($A2826="","",Paramètres!G18)</f>
        <v/>
      </c>
      <c r="C2826" s="18">
        <f>IF($A2826="","",IF(Paramètres!H18="","",Paramètres!H18))</f>
        <v/>
      </c>
      <c r="D2826" s="18">
        <f>IF($A2826="","",IF(Paramètres!I18="","",Paramètres!I18))</f>
        <v/>
      </c>
      <c r="E2826" s="19">
        <f>IF($A2826="","",IF(Paramètres!J18&amp;Paramètres!L18&amp;Paramètres!N18="",Dossiers!$D$56,MAX(IF(Paramètres!J18="",0,IF(Paramètres!K18="",NA(),IF(LEFT(TRIM(Paramètres!K18),1)="F",INDEX($F$2813:$F$2865,MATCH(Paramètres!J18,Paramètres!$G$5:$G$57,0)),INDEX($E$2813:$E$2865,MATCH(Paramètres!J18,Paramètres!$G$5:$G$57,0)))+IF(RIGHT(TRIM(Paramètres!K18),3)="Fin",1-$H2826,IF(LEFT(TRIM(Paramètres!K18),1)="F",1,0)))),IF(Paramètres!L18="",0,IF(Paramètres!M18="",NA(),IF(LEFT(TRIM(Paramètres!M18),1)="F",INDEX($F$2813:$F$2865,MATCH(Paramètres!L18,Paramètres!$G$5:$G$57,0)),INDEX($E$2813:$E$2865,MATCH(Paramètres!L18,Paramètres!$G$5:$G$57,0)))+IF(RIGHT(TRIM(Paramètres!M18),3)="Fin",1-$H2826,IF(LEFT(TRIM(Paramètres!M18),1)="F",1,0)))),IF(Paramètres!N18="",0,IF(Paramètres!O18="",NA(),IF(LEFT(TRIM(Paramètres!O18),1)="F",INDEX($F$2813:$F$2865,MATCH(Paramètres!N18,Paramètres!$G$5:$G$57,0)),INDEX($E$2813:$E$2865,MATCH(Paramètres!N18,Paramètres!$G$5:$G$57,0)))+IF(RIGHT(TRIM(Paramètres!O18),3)="Fin",1-$H2826,IF(LEFT(TRIM(Paramètres!O18),1)="F",1,0)))))))</f>
        <v/>
      </c>
      <c r="F2826" s="19">
        <f>IF($A2826="","",E2826+$H2826-1)</f>
        <v/>
      </c>
      <c r="G2826" s="18" t="n"/>
      <c r="H2826" s="18">
        <f>IF($A2826="","",IF(I2826&lt;&gt;"",I2826,Paramètres!B18))</f>
        <v/>
      </c>
      <c r="I2826" s="18" t="n"/>
    </row>
    <row r="2827">
      <c r="A2827" s="18">
        <f>IF(ISNUMBER(Dossiers!$D$56),Dossiers!$A$56&amp;" · "&amp;Dossiers!$B$56,"")</f>
        <v/>
      </c>
      <c r="B2827" s="18">
        <f>IF($A2827="","",Paramètres!G19)</f>
        <v/>
      </c>
      <c r="C2827" s="18">
        <f>IF($A2827="","",IF(Paramètres!H19="","",Paramètres!H19))</f>
        <v/>
      </c>
      <c r="D2827" s="18">
        <f>IF($A2827="","",IF(Paramètres!I19="","",Paramètres!I19))</f>
        <v/>
      </c>
      <c r="E2827" s="19">
        <f>IF($A2827="","",IF(Paramètres!J19&amp;Paramètres!L19&amp;Paramètres!N19="",Dossiers!$D$56,MAX(IF(Paramètres!J19="",0,IF(Paramètres!K19="",NA(),IF(LEFT(TRIM(Paramètres!K19),1)="F",INDEX($F$2813:$F$2865,MATCH(Paramètres!J19,Paramètres!$G$5:$G$57,0)),INDEX($E$2813:$E$2865,MATCH(Paramètres!J19,Paramètres!$G$5:$G$57,0)))+IF(RIGHT(TRIM(Paramètres!K19),3)="Fin",1-$H2827,IF(LEFT(TRIM(Paramètres!K19),1)="F",1,0)))),IF(Paramètres!L19="",0,IF(Paramètres!M19="",NA(),IF(LEFT(TRIM(Paramètres!M19),1)="F",INDEX($F$2813:$F$2865,MATCH(Paramètres!L19,Paramètres!$G$5:$G$57,0)),INDEX($E$2813:$E$2865,MATCH(Paramètres!L19,Paramètres!$G$5:$G$57,0)))+IF(RIGHT(TRIM(Paramètres!M19),3)="Fin",1-$H2827,IF(LEFT(TRIM(Paramètres!M19),1)="F",1,0)))),IF(Paramètres!N19="",0,IF(Paramètres!O19="",NA(),IF(LEFT(TRIM(Paramètres!O19),1)="F",INDEX($F$2813:$F$2865,MATCH(Paramètres!N19,Paramètres!$G$5:$G$57,0)),INDEX($E$2813:$E$2865,MATCH(Paramètres!N19,Paramètres!$G$5:$G$57,0)))+IF(RIGHT(TRIM(Paramètres!O19),3)="Fin",1-$H2827,IF(LEFT(TRIM(Paramètres!O19),1)="F",1,0)))))))</f>
        <v/>
      </c>
      <c r="F2827" s="19">
        <f>IF($A2827="","",E2827+$H2827-1)</f>
        <v/>
      </c>
      <c r="G2827" s="18" t="n"/>
      <c r="H2827" s="18">
        <f>IF($A2827="","",IF(I2827&lt;&gt;"",I2827,Paramètres!B19))</f>
        <v/>
      </c>
      <c r="I2827" s="18" t="n"/>
    </row>
    <row r="2828">
      <c r="A2828" s="18">
        <f>IF(ISNUMBER(Dossiers!$D$56),Dossiers!$A$56&amp;" · "&amp;Dossiers!$B$56,"")</f>
        <v/>
      </c>
      <c r="B2828" s="18">
        <f>IF($A2828="","",Paramètres!G20)</f>
        <v/>
      </c>
      <c r="C2828" s="18">
        <f>IF($A2828="","",IF(Paramètres!H20="","",Paramètres!H20))</f>
        <v/>
      </c>
      <c r="D2828" s="18">
        <f>IF($A2828="","",IF(Paramètres!I20="","",Paramètres!I20))</f>
        <v/>
      </c>
      <c r="E2828" s="19">
        <f>IF($A2828="","",IF(Paramètres!J20&amp;Paramètres!L20&amp;Paramètres!N20="",Dossiers!$D$56,MAX(IF(Paramètres!J20="",0,IF(Paramètres!K20="",NA(),IF(LEFT(TRIM(Paramètres!K20),1)="F",INDEX($F$2813:$F$2865,MATCH(Paramètres!J20,Paramètres!$G$5:$G$57,0)),INDEX($E$2813:$E$2865,MATCH(Paramètres!J20,Paramètres!$G$5:$G$57,0)))+IF(RIGHT(TRIM(Paramètres!K20),3)="Fin",1-$H2828,IF(LEFT(TRIM(Paramètres!K20),1)="F",1,0)))),IF(Paramètres!L20="",0,IF(Paramètres!M20="",NA(),IF(LEFT(TRIM(Paramètres!M20),1)="F",INDEX($F$2813:$F$2865,MATCH(Paramètres!L20,Paramètres!$G$5:$G$57,0)),INDEX($E$2813:$E$2865,MATCH(Paramètres!L20,Paramètres!$G$5:$G$57,0)))+IF(RIGHT(TRIM(Paramètres!M20),3)="Fin",1-$H2828,IF(LEFT(TRIM(Paramètres!M20),1)="F",1,0)))),IF(Paramètres!N20="",0,IF(Paramètres!O20="",NA(),IF(LEFT(TRIM(Paramètres!O20),1)="F",INDEX($F$2813:$F$2865,MATCH(Paramètres!N20,Paramètres!$G$5:$G$57,0)),INDEX($E$2813:$E$2865,MATCH(Paramètres!N20,Paramètres!$G$5:$G$57,0)))+IF(RIGHT(TRIM(Paramètres!O20),3)="Fin",1-$H2828,IF(LEFT(TRIM(Paramètres!O20),1)="F",1,0)))))))</f>
        <v/>
      </c>
      <c r="F2828" s="19">
        <f>IF($A2828="","",E2828+$H2828-1)</f>
        <v/>
      </c>
      <c r="G2828" s="18" t="n"/>
      <c r="H2828" s="18">
        <f>IF($A2828="","",IF(I2828&lt;&gt;"",I2828,Paramètres!B20))</f>
        <v/>
      </c>
      <c r="I2828" s="18" t="n"/>
    </row>
    <row r="2829">
      <c r="A2829" s="18">
        <f>IF(ISNUMBER(Dossiers!$D$56),Dossiers!$A$56&amp;" · "&amp;Dossiers!$B$56,"")</f>
        <v/>
      </c>
      <c r="B2829" s="18">
        <f>IF($A2829="","",Paramètres!G21)</f>
        <v/>
      </c>
      <c r="C2829" s="18">
        <f>IF($A2829="","",IF(Paramètres!H21="","",Paramètres!H21))</f>
        <v/>
      </c>
      <c r="D2829" s="18">
        <f>IF($A2829="","",IF(Paramètres!I21="","",Paramètres!I21))</f>
        <v/>
      </c>
      <c r="E2829" s="19">
        <f>IF($A2829="","",IF(Paramètres!J21&amp;Paramètres!L21&amp;Paramètres!N21="",Dossiers!$D$56,MAX(IF(Paramètres!J21="",0,IF(Paramètres!K21="",NA(),IF(LEFT(TRIM(Paramètres!K21),1)="F",INDEX($F$2813:$F$2865,MATCH(Paramètres!J21,Paramètres!$G$5:$G$57,0)),INDEX($E$2813:$E$2865,MATCH(Paramètres!J21,Paramètres!$G$5:$G$57,0)))+IF(RIGHT(TRIM(Paramètres!K21),3)="Fin",1-$H2829,IF(LEFT(TRIM(Paramètres!K21),1)="F",1,0)))),IF(Paramètres!L21="",0,IF(Paramètres!M21="",NA(),IF(LEFT(TRIM(Paramètres!M21),1)="F",INDEX($F$2813:$F$2865,MATCH(Paramètres!L21,Paramètres!$G$5:$G$57,0)),INDEX($E$2813:$E$2865,MATCH(Paramètres!L21,Paramètres!$G$5:$G$57,0)))+IF(RIGHT(TRIM(Paramètres!M21),3)="Fin",1-$H2829,IF(LEFT(TRIM(Paramètres!M21),1)="F",1,0)))),IF(Paramètres!N21="",0,IF(Paramètres!O21="",NA(),IF(LEFT(TRIM(Paramètres!O21),1)="F",INDEX($F$2813:$F$2865,MATCH(Paramètres!N21,Paramètres!$G$5:$G$57,0)),INDEX($E$2813:$E$2865,MATCH(Paramètres!N21,Paramètres!$G$5:$G$57,0)))+IF(RIGHT(TRIM(Paramètres!O21),3)="Fin",1-$H2829,IF(LEFT(TRIM(Paramètres!O21),1)="F",1,0)))))))</f>
        <v/>
      </c>
      <c r="F2829" s="19">
        <f>IF($A2829="","",E2829+$H2829-1)</f>
        <v/>
      </c>
      <c r="G2829" s="18" t="n"/>
      <c r="H2829" s="18">
        <f>IF($A2829="","",IF(I2829&lt;&gt;"",I2829,Paramètres!B21))</f>
        <v/>
      </c>
      <c r="I2829" s="18" t="n"/>
    </row>
    <row r="2830">
      <c r="A2830" s="18">
        <f>IF(ISNUMBER(Dossiers!$D$56),Dossiers!$A$56&amp;" · "&amp;Dossiers!$B$56,"")</f>
        <v/>
      </c>
      <c r="B2830" s="18">
        <f>IF($A2830="","",Paramètres!G22)</f>
        <v/>
      </c>
      <c r="C2830" s="18">
        <f>IF($A2830="","",IF(Paramètres!H22="","",Paramètres!H22))</f>
        <v/>
      </c>
      <c r="D2830" s="18">
        <f>IF($A2830="","",IF(Paramètres!I22="","",Paramètres!I22))</f>
        <v/>
      </c>
      <c r="E2830" s="19">
        <f>IF($A2830="","",IF(Paramètres!J22&amp;Paramètres!L22&amp;Paramètres!N22="",Dossiers!$D$56,MAX(IF(Paramètres!J22="",0,IF(Paramètres!K22="",NA(),IF(LEFT(TRIM(Paramètres!K22),1)="F",INDEX($F$2813:$F$2865,MATCH(Paramètres!J22,Paramètres!$G$5:$G$57,0)),INDEX($E$2813:$E$2865,MATCH(Paramètres!J22,Paramètres!$G$5:$G$57,0)))+IF(RIGHT(TRIM(Paramètres!K22),3)="Fin",1-$H2830,IF(LEFT(TRIM(Paramètres!K22),1)="F",1,0)))),IF(Paramètres!L22="",0,IF(Paramètres!M22="",NA(),IF(LEFT(TRIM(Paramètres!M22),1)="F",INDEX($F$2813:$F$2865,MATCH(Paramètres!L22,Paramètres!$G$5:$G$57,0)),INDEX($E$2813:$E$2865,MATCH(Paramètres!L22,Paramètres!$G$5:$G$57,0)))+IF(RIGHT(TRIM(Paramètres!M22),3)="Fin",1-$H2830,IF(LEFT(TRIM(Paramètres!M22),1)="F",1,0)))),IF(Paramètres!N22="",0,IF(Paramètres!O22="",NA(),IF(LEFT(TRIM(Paramètres!O22),1)="F",INDEX($F$2813:$F$2865,MATCH(Paramètres!N22,Paramètres!$G$5:$G$57,0)),INDEX($E$2813:$E$2865,MATCH(Paramètres!N22,Paramètres!$G$5:$G$57,0)))+IF(RIGHT(TRIM(Paramètres!O22),3)="Fin",1-$H2830,IF(LEFT(TRIM(Paramètres!O22),1)="F",1,0)))))))</f>
        <v/>
      </c>
      <c r="F2830" s="19">
        <f>IF($A2830="","",E2830+$H2830-1)</f>
        <v/>
      </c>
      <c r="G2830" s="18" t="n"/>
      <c r="H2830" s="18">
        <f>IF($A2830="","",IF(I2830&lt;&gt;"",I2830,Paramètres!B22))</f>
        <v/>
      </c>
      <c r="I2830" s="18" t="n"/>
    </row>
    <row r="2831">
      <c r="A2831" s="18">
        <f>IF(ISNUMBER(Dossiers!$D$56),Dossiers!$A$56&amp;" · "&amp;Dossiers!$B$56,"")</f>
        <v/>
      </c>
      <c r="B2831" s="18">
        <f>IF($A2831="","",Paramètres!G23)</f>
        <v/>
      </c>
      <c r="C2831" s="18">
        <f>IF($A2831="","",IF(Paramètres!H23="","",Paramètres!H23))</f>
        <v/>
      </c>
      <c r="D2831" s="18">
        <f>IF($A2831="","",IF(Paramètres!I23="","",Paramètres!I23))</f>
        <v/>
      </c>
      <c r="E2831" s="19">
        <f>IF($A2831="","",IF(Paramètres!J23&amp;Paramètres!L23&amp;Paramètres!N23="",Dossiers!$D$56,MAX(IF(Paramètres!J23="",0,IF(Paramètres!K23="",NA(),IF(LEFT(TRIM(Paramètres!K23),1)="F",INDEX($F$2813:$F$2865,MATCH(Paramètres!J23,Paramètres!$G$5:$G$57,0)),INDEX($E$2813:$E$2865,MATCH(Paramètres!J23,Paramètres!$G$5:$G$57,0)))+IF(RIGHT(TRIM(Paramètres!K23),3)="Fin",1-$H2831,IF(LEFT(TRIM(Paramètres!K23),1)="F",1,0)))),IF(Paramètres!L23="",0,IF(Paramètres!M23="",NA(),IF(LEFT(TRIM(Paramètres!M23),1)="F",INDEX($F$2813:$F$2865,MATCH(Paramètres!L23,Paramètres!$G$5:$G$57,0)),INDEX($E$2813:$E$2865,MATCH(Paramètres!L23,Paramètres!$G$5:$G$57,0)))+IF(RIGHT(TRIM(Paramètres!M23),3)="Fin",1-$H2831,IF(LEFT(TRIM(Paramètres!M23),1)="F",1,0)))),IF(Paramètres!N23="",0,IF(Paramètres!O23="",NA(),IF(LEFT(TRIM(Paramètres!O23),1)="F",INDEX($F$2813:$F$2865,MATCH(Paramètres!N23,Paramètres!$G$5:$G$57,0)),INDEX($E$2813:$E$2865,MATCH(Paramètres!N23,Paramètres!$G$5:$G$57,0)))+IF(RIGHT(TRIM(Paramètres!O23),3)="Fin",1-$H2831,IF(LEFT(TRIM(Paramètres!O23),1)="F",1,0)))))))</f>
        <v/>
      </c>
      <c r="F2831" s="19">
        <f>IF($A2831="","",E2831+$H2831-1)</f>
        <v/>
      </c>
      <c r="G2831" s="18" t="n"/>
      <c r="H2831" s="18">
        <f>IF($A2831="","",IF(I2831&lt;&gt;"",I2831,Paramètres!B23))</f>
        <v/>
      </c>
      <c r="I2831" s="18" t="n"/>
    </row>
    <row r="2832">
      <c r="A2832" s="18">
        <f>IF(ISNUMBER(Dossiers!$D$56),Dossiers!$A$56&amp;" · "&amp;Dossiers!$B$56,"")</f>
        <v/>
      </c>
      <c r="B2832" s="18">
        <f>IF($A2832="","",Paramètres!G24)</f>
        <v/>
      </c>
      <c r="C2832" s="18">
        <f>IF($A2832="","",IF(Paramètres!H24="","",Paramètres!H24))</f>
        <v/>
      </c>
      <c r="D2832" s="18">
        <f>IF($A2832="","",IF(Paramètres!I24="","",Paramètres!I24))</f>
        <v/>
      </c>
      <c r="E2832" s="19">
        <f>IF($A2832="","",IF(Paramètres!J24&amp;Paramètres!L24&amp;Paramètres!N24="",Dossiers!$D$56,MAX(IF(Paramètres!J24="",0,IF(Paramètres!K24="",NA(),IF(LEFT(TRIM(Paramètres!K24),1)="F",INDEX($F$2813:$F$2865,MATCH(Paramètres!J24,Paramètres!$G$5:$G$57,0)),INDEX($E$2813:$E$2865,MATCH(Paramètres!J24,Paramètres!$G$5:$G$57,0)))+IF(RIGHT(TRIM(Paramètres!K24),3)="Fin",1-$H2832,IF(LEFT(TRIM(Paramètres!K24),1)="F",1,0)))),IF(Paramètres!L24="",0,IF(Paramètres!M24="",NA(),IF(LEFT(TRIM(Paramètres!M24),1)="F",INDEX($F$2813:$F$2865,MATCH(Paramètres!L24,Paramètres!$G$5:$G$57,0)),INDEX($E$2813:$E$2865,MATCH(Paramètres!L24,Paramètres!$G$5:$G$57,0)))+IF(RIGHT(TRIM(Paramètres!M24),3)="Fin",1-$H2832,IF(LEFT(TRIM(Paramètres!M24),1)="F",1,0)))),IF(Paramètres!N24="",0,IF(Paramètres!O24="",NA(),IF(LEFT(TRIM(Paramètres!O24),1)="F",INDEX($F$2813:$F$2865,MATCH(Paramètres!N24,Paramètres!$G$5:$G$57,0)),INDEX($E$2813:$E$2865,MATCH(Paramètres!N24,Paramètres!$G$5:$G$57,0)))+IF(RIGHT(TRIM(Paramètres!O24),3)="Fin",1-$H2832,IF(LEFT(TRIM(Paramètres!O24),1)="F",1,0)))))))</f>
        <v/>
      </c>
      <c r="F2832" s="19">
        <f>IF($A2832="","",E2832+$H2832-1)</f>
        <v/>
      </c>
      <c r="G2832" s="18" t="n"/>
      <c r="H2832" s="18">
        <f>IF($A2832="","",IF(I2832&lt;&gt;"",I2832,Paramètres!B24))</f>
        <v/>
      </c>
      <c r="I2832" s="18" t="n"/>
    </row>
    <row r="2833">
      <c r="A2833" s="18">
        <f>IF(ISNUMBER(Dossiers!$D$56),Dossiers!$A$56&amp;" · "&amp;Dossiers!$B$56,"")</f>
        <v/>
      </c>
      <c r="B2833" s="18">
        <f>IF($A2833="","",Paramètres!G25)</f>
        <v/>
      </c>
      <c r="C2833" s="18">
        <f>IF($A2833="","",IF(Paramètres!H25="","",Paramètres!H25))</f>
        <v/>
      </c>
      <c r="D2833" s="18">
        <f>IF($A2833="","",IF(Paramètres!I25="","",Paramètres!I25))</f>
        <v/>
      </c>
      <c r="E2833" s="19">
        <f>IF($A2833="","",IF(Paramètres!J25&amp;Paramètres!L25&amp;Paramètres!N25="",Dossiers!$D$56,MAX(IF(Paramètres!J25="",0,IF(Paramètres!K25="",NA(),IF(LEFT(TRIM(Paramètres!K25),1)="F",INDEX($F$2813:$F$2865,MATCH(Paramètres!J25,Paramètres!$G$5:$G$57,0)),INDEX($E$2813:$E$2865,MATCH(Paramètres!J25,Paramètres!$G$5:$G$57,0)))+IF(RIGHT(TRIM(Paramètres!K25),3)="Fin",1-$H2833,IF(LEFT(TRIM(Paramètres!K25),1)="F",1,0)))),IF(Paramètres!L25="",0,IF(Paramètres!M25="",NA(),IF(LEFT(TRIM(Paramètres!M25),1)="F",INDEX($F$2813:$F$2865,MATCH(Paramètres!L25,Paramètres!$G$5:$G$57,0)),INDEX($E$2813:$E$2865,MATCH(Paramètres!L25,Paramètres!$G$5:$G$57,0)))+IF(RIGHT(TRIM(Paramètres!M25),3)="Fin",1-$H2833,IF(LEFT(TRIM(Paramètres!M25),1)="F",1,0)))),IF(Paramètres!N25="",0,IF(Paramètres!O25="",NA(),IF(LEFT(TRIM(Paramètres!O25),1)="F",INDEX($F$2813:$F$2865,MATCH(Paramètres!N25,Paramètres!$G$5:$G$57,0)),INDEX($E$2813:$E$2865,MATCH(Paramètres!N25,Paramètres!$G$5:$G$57,0)))+IF(RIGHT(TRIM(Paramètres!O25),3)="Fin",1-$H2833,IF(LEFT(TRIM(Paramètres!O25),1)="F",1,0)))))))</f>
        <v/>
      </c>
      <c r="F2833" s="19">
        <f>IF($A2833="","",E2833+$H2833-1)</f>
        <v/>
      </c>
      <c r="G2833" s="18" t="n"/>
      <c r="H2833" s="18">
        <f>IF($A2833="","",IF(I2833&lt;&gt;"",I2833,Paramètres!B25))</f>
        <v/>
      </c>
      <c r="I2833" s="18" t="n"/>
    </row>
    <row r="2834">
      <c r="A2834" s="18">
        <f>IF(ISNUMBER(Dossiers!$D$56),Dossiers!$A$56&amp;" · "&amp;Dossiers!$B$56,"")</f>
        <v/>
      </c>
      <c r="B2834" s="18">
        <f>IF($A2834="","",Paramètres!G26)</f>
        <v/>
      </c>
      <c r="C2834" s="18">
        <f>IF($A2834="","",IF(Paramètres!H26="","",Paramètres!H26))</f>
        <v/>
      </c>
      <c r="D2834" s="18">
        <f>IF($A2834="","",IF(Paramètres!I26="","",Paramètres!I26))</f>
        <v/>
      </c>
      <c r="E2834" s="19">
        <f>IF($A2834="","",IF(Paramètres!J26&amp;Paramètres!L26&amp;Paramètres!N26="",Dossiers!$D$56,MAX(IF(Paramètres!J26="",0,IF(Paramètres!K26="",NA(),IF(LEFT(TRIM(Paramètres!K26),1)="F",INDEX($F$2813:$F$2865,MATCH(Paramètres!J26,Paramètres!$G$5:$G$57,0)),INDEX($E$2813:$E$2865,MATCH(Paramètres!J26,Paramètres!$G$5:$G$57,0)))+IF(RIGHT(TRIM(Paramètres!K26),3)="Fin",1-$H2834,IF(LEFT(TRIM(Paramètres!K26),1)="F",1,0)))),IF(Paramètres!L26="",0,IF(Paramètres!M26="",NA(),IF(LEFT(TRIM(Paramètres!M26),1)="F",INDEX($F$2813:$F$2865,MATCH(Paramètres!L26,Paramètres!$G$5:$G$57,0)),INDEX($E$2813:$E$2865,MATCH(Paramètres!L26,Paramètres!$G$5:$G$57,0)))+IF(RIGHT(TRIM(Paramètres!M26),3)="Fin",1-$H2834,IF(LEFT(TRIM(Paramètres!M26),1)="F",1,0)))),IF(Paramètres!N26="",0,IF(Paramètres!O26="",NA(),IF(LEFT(TRIM(Paramètres!O26),1)="F",INDEX($F$2813:$F$2865,MATCH(Paramètres!N26,Paramètres!$G$5:$G$57,0)),INDEX($E$2813:$E$2865,MATCH(Paramètres!N26,Paramètres!$G$5:$G$57,0)))+IF(RIGHT(TRIM(Paramètres!O26),3)="Fin",1-$H2834,IF(LEFT(TRIM(Paramètres!O26),1)="F",1,0)))))))</f>
        <v/>
      </c>
      <c r="F2834" s="19">
        <f>IF($A2834="","",E2834+$H2834-1)</f>
        <v/>
      </c>
      <c r="G2834" s="18" t="n"/>
      <c r="H2834" s="18">
        <f>IF($A2834="","",IF(I2834&lt;&gt;"",I2834,Paramètres!B26))</f>
        <v/>
      </c>
      <c r="I2834" s="18" t="n"/>
    </row>
    <row r="2835">
      <c r="A2835" s="18">
        <f>IF(ISNUMBER(Dossiers!$D$56),Dossiers!$A$56&amp;" · "&amp;Dossiers!$B$56,"")</f>
        <v/>
      </c>
      <c r="B2835" s="18">
        <f>IF($A2835="","",Paramètres!G27)</f>
        <v/>
      </c>
      <c r="C2835" s="18">
        <f>IF($A2835="","",IF(Paramètres!H27="","",Paramètres!H27))</f>
        <v/>
      </c>
      <c r="D2835" s="18">
        <f>IF($A2835="","",IF(Paramètres!I27="","",Paramètres!I27))</f>
        <v/>
      </c>
      <c r="E2835" s="19">
        <f>IF($A2835="","",IF(Paramètres!J27&amp;Paramètres!L27&amp;Paramètres!N27="",Dossiers!$D$56,MAX(IF(Paramètres!J27="",0,IF(Paramètres!K27="",NA(),IF(LEFT(TRIM(Paramètres!K27),1)="F",INDEX($F$2813:$F$2865,MATCH(Paramètres!J27,Paramètres!$G$5:$G$57,0)),INDEX($E$2813:$E$2865,MATCH(Paramètres!J27,Paramètres!$G$5:$G$57,0)))+IF(RIGHT(TRIM(Paramètres!K27),3)="Fin",1-$H2835,IF(LEFT(TRIM(Paramètres!K27),1)="F",1,0)))),IF(Paramètres!L27="",0,IF(Paramètres!M27="",NA(),IF(LEFT(TRIM(Paramètres!M27),1)="F",INDEX($F$2813:$F$2865,MATCH(Paramètres!L27,Paramètres!$G$5:$G$57,0)),INDEX($E$2813:$E$2865,MATCH(Paramètres!L27,Paramètres!$G$5:$G$57,0)))+IF(RIGHT(TRIM(Paramètres!M27),3)="Fin",1-$H2835,IF(LEFT(TRIM(Paramètres!M27),1)="F",1,0)))),IF(Paramètres!N27="",0,IF(Paramètres!O27="",NA(),IF(LEFT(TRIM(Paramètres!O27),1)="F",INDEX($F$2813:$F$2865,MATCH(Paramètres!N27,Paramètres!$G$5:$G$57,0)),INDEX($E$2813:$E$2865,MATCH(Paramètres!N27,Paramètres!$G$5:$G$57,0)))+IF(RIGHT(TRIM(Paramètres!O27),3)="Fin",1-$H2835,IF(LEFT(TRIM(Paramètres!O27),1)="F",1,0)))))))</f>
        <v/>
      </c>
      <c r="F2835" s="19">
        <f>IF($A2835="","",E2835+$H2835-1)</f>
        <v/>
      </c>
      <c r="G2835" s="18" t="n"/>
      <c r="H2835" s="18">
        <f>IF($A2835="","",IF(I2835&lt;&gt;"",I2835,Paramètres!B27))</f>
        <v/>
      </c>
      <c r="I2835" s="18" t="n"/>
    </row>
    <row r="2836">
      <c r="A2836" s="18">
        <f>IF(ISNUMBER(Dossiers!$D$56),Dossiers!$A$56&amp;" · "&amp;Dossiers!$B$56,"")</f>
        <v/>
      </c>
      <c r="B2836" s="18">
        <f>IF($A2836="","",Paramètres!G28)</f>
        <v/>
      </c>
      <c r="C2836" s="18">
        <f>IF($A2836="","",IF(Paramètres!H28="","",Paramètres!H28))</f>
        <v/>
      </c>
      <c r="D2836" s="18">
        <f>IF($A2836="","",IF(Paramètres!I28="","",Paramètres!I28))</f>
        <v/>
      </c>
      <c r="E2836" s="19">
        <f>IF($A2836="","",IF(Paramètres!J28&amp;Paramètres!L28&amp;Paramètres!N28="",Dossiers!$D$56,MAX(IF(Paramètres!J28="",0,IF(Paramètres!K28="",NA(),IF(LEFT(TRIM(Paramètres!K28),1)="F",INDEX($F$2813:$F$2865,MATCH(Paramètres!J28,Paramètres!$G$5:$G$57,0)),INDEX($E$2813:$E$2865,MATCH(Paramètres!J28,Paramètres!$G$5:$G$57,0)))+IF(RIGHT(TRIM(Paramètres!K28),3)="Fin",1-$H2836,IF(LEFT(TRIM(Paramètres!K28),1)="F",1,0)))),IF(Paramètres!L28="",0,IF(Paramètres!M28="",NA(),IF(LEFT(TRIM(Paramètres!M28),1)="F",INDEX($F$2813:$F$2865,MATCH(Paramètres!L28,Paramètres!$G$5:$G$57,0)),INDEX($E$2813:$E$2865,MATCH(Paramètres!L28,Paramètres!$G$5:$G$57,0)))+IF(RIGHT(TRIM(Paramètres!M28),3)="Fin",1-$H2836,IF(LEFT(TRIM(Paramètres!M28),1)="F",1,0)))),IF(Paramètres!N28="",0,IF(Paramètres!O28="",NA(),IF(LEFT(TRIM(Paramètres!O28),1)="F",INDEX($F$2813:$F$2865,MATCH(Paramètres!N28,Paramètres!$G$5:$G$57,0)),INDEX($E$2813:$E$2865,MATCH(Paramètres!N28,Paramètres!$G$5:$G$57,0)))+IF(RIGHT(TRIM(Paramètres!O28),3)="Fin",1-$H2836,IF(LEFT(TRIM(Paramètres!O28),1)="F",1,0)))))))</f>
        <v/>
      </c>
      <c r="F2836" s="19">
        <f>IF($A2836="","",E2836+$H2836-1)</f>
        <v/>
      </c>
      <c r="G2836" s="18" t="n"/>
      <c r="H2836" s="18">
        <f>IF($A2836="","",IF(I2836&lt;&gt;"",I2836,Paramètres!B28))</f>
        <v/>
      </c>
      <c r="I2836" s="18" t="n"/>
    </row>
    <row r="2837">
      <c r="A2837" s="18">
        <f>IF(ISNUMBER(Dossiers!$D$56),Dossiers!$A$56&amp;" · "&amp;Dossiers!$B$56,"")</f>
        <v/>
      </c>
      <c r="B2837" s="18">
        <f>IF($A2837="","",Paramètres!G29)</f>
        <v/>
      </c>
      <c r="C2837" s="18">
        <f>IF($A2837="","",IF(Paramètres!H29="","",Paramètres!H29))</f>
        <v/>
      </c>
      <c r="D2837" s="18">
        <f>IF($A2837="","",IF(Paramètres!I29="","",Paramètres!I29))</f>
        <v/>
      </c>
      <c r="E2837" s="19">
        <f>IF($A2837="","",IF(Paramètres!J29&amp;Paramètres!L29&amp;Paramètres!N29="",Dossiers!$D$56,MAX(IF(Paramètres!J29="",0,IF(Paramètres!K29="",NA(),IF(LEFT(TRIM(Paramètres!K29),1)="F",INDEX($F$2813:$F$2865,MATCH(Paramètres!J29,Paramètres!$G$5:$G$57,0)),INDEX($E$2813:$E$2865,MATCH(Paramètres!J29,Paramètres!$G$5:$G$57,0)))+IF(RIGHT(TRIM(Paramètres!K29),3)="Fin",1-$H2837,IF(LEFT(TRIM(Paramètres!K29),1)="F",1,0)))),IF(Paramètres!L29="",0,IF(Paramètres!M29="",NA(),IF(LEFT(TRIM(Paramètres!M29),1)="F",INDEX($F$2813:$F$2865,MATCH(Paramètres!L29,Paramètres!$G$5:$G$57,0)),INDEX($E$2813:$E$2865,MATCH(Paramètres!L29,Paramètres!$G$5:$G$57,0)))+IF(RIGHT(TRIM(Paramètres!M29),3)="Fin",1-$H2837,IF(LEFT(TRIM(Paramètres!M29),1)="F",1,0)))),IF(Paramètres!N29="",0,IF(Paramètres!O29="",NA(),IF(LEFT(TRIM(Paramètres!O29),1)="F",INDEX($F$2813:$F$2865,MATCH(Paramètres!N29,Paramètres!$G$5:$G$57,0)),INDEX($E$2813:$E$2865,MATCH(Paramètres!N29,Paramètres!$G$5:$G$57,0)))+IF(RIGHT(TRIM(Paramètres!O29),3)="Fin",1-$H2837,IF(LEFT(TRIM(Paramètres!O29),1)="F",1,0)))))))</f>
        <v/>
      </c>
      <c r="F2837" s="19">
        <f>IF($A2837="","",E2837+$H2837-1)</f>
        <v/>
      </c>
      <c r="G2837" s="18" t="n"/>
      <c r="H2837" s="18">
        <f>IF($A2837="","",IF(I2837&lt;&gt;"",I2837,Paramètres!B29))</f>
        <v/>
      </c>
      <c r="I2837" s="18" t="n"/>
    </row>
    <row r="2838">
      <c r="A2838" s="18">
        <f>IF(ISNUMBER(Dossiers!$D$56),Dossiers!$A$56&amp;" · "&amp;Dossiers!$B$56,"")</f>
        <v/>
      </c>
      <c r="B2838" s="18">
        <f>IF($A2838="","",Paramètres!G30)</f>
        <v/>
      </c>
      <c r="C2838" s="18">
        <f>IF($A2838="","",IF(Paramètres!H30="","",Paramètres!H30))</f>
        <v/>
      </c>
      <c r="D2838" s="18">
        <f>IF($A2838="","",IF(Paramètres!I30="","",Paramètres!I30))</f>
        <v/>
      </c>
      <c r="E2838" s="19">
        <f>IF($A2838="","",IF(Paramètres!J30&amp;Paramètres!L30&amp;Paramètres!N30="",Dossiers!$D$56,MAX(IF(Paramètres!J30="",0,IF(Paramètres!K30="",NA(),IF(LEFT(TRIM(Paramètres!K30),1)="F",INDEX($F$2813:$F$2865,MATCH(Paramètres!J30,Paramètres!$G$5:$G$57,0)),INDEX($E$2813:$E$2865,MATCH(Paramètres!J30,Paramètres!$G$5:$G$57,0)))+IF(RIGHT(TRIM(Paramètres!K30),3)="Fin",1-$H2838,IF(LEFT(TRIM(Paramètres!K30),1)="F",1,0)))),IF(Paramètres!L30="",0,IF(Paramètres!M30="",NA(),IF(LEFT(TRIM(Paramètres!M30),1)="F",INDEX($F$2813:$F$2865,MATCH(Paramètres!L30,Paramètres!$G$5:$G$57,0)),INDEX($E$2813:$E$2865,MATCH(Paramètres!L30,Paramètres!$G$5:$G$57,0)))+IF(RIGHT(TRIM(Paramètres!M30),3)="Fin",1-$H2838,IF(LEFT(TRIM(Paramètres!M30),1)="F",1,0)))),IF(Paramètres!N30="",0,IF(Paramètres!O30="",NA(),IF(LEFT(TRIM(Paramètres!O30),1)="F",INDEX($F$2813:$F$2865,MATCH(Paramètres!N30,Paramètres!$G$5:$G$57,0)),INDEX($E$2813:$E$2865,MATCH(Paramètres!N30,Paramètres!$G$5:$G$57,0)))+IF(RIGHT(TRIM(Paramètres!O30),3)="Fin",1-$H2838,IF(LEFT(TRIM(Paramètres!O30),1)="F",1,0)))))))</f>
        <v/>
      </c>
      <c r="F2838" s="19">
        <f>IF($A2838="","",E2838+$H2838-1)</f>
        <v/>
      </c>
      <c r="G2838" s="18" t="n"/>
      <c r="H2838" s="18">
        <f>IF($A2838="","",IF(I2838&lt;&gt;"",I2838,Paramètres!B30))</f>
        <v/>
      </c>
      <c r="I2838" s="18" t="n"/>
    </row>
    <row r="2839">
      <c r="A2839" s="18">
        <f>IF(ISNUMBER(Dossiers!$D$56),Dossiers!$A$56&amp;" · "&amp;Dossiers!$B$56,"")</f>
        <v/>
      </c>
      <c r="B2839" s="18">
        <f>IF($A2839="","",Paramètres!G31)</f>
        <v/>
      </c>
      <c r="C2839" s="20">
        <f>IF($A2839="","",IF(Dossiers!$F$56="","",Dossiers!$F$56))</f>
        <v/>
      </c>
      <c r="D2839" s="18">
        <f>IF($A2839="","",IF(Paramètres!I31="","",Paramètres!I31))</f>
        <v/>
      </c>
      <c r="E2839" s="19">
        <f>IF($A2839="","",IF(Paramètres!J31&amp;Paramètres!L31&amp;Paramètres!N31="",Dossiers!$D$56,MAX(IF(Paramètres!J31="",0,IF(Paramètres!K31="",NA(),IF(LEFT(TRIM(Paramètres!K31),1)="F",INDEX($F$2813:$F$2865,MATCH(Paramètres!J31,Paramètres!$G$5:$G$57,0)),INDEX($E$2813:$E$2865,MATCH(Paramètres!J31,Paramètres!$G$5:$G$57,0)))+IF(RIGHT(TRIM(Paramètres!K31),3)="Fin",1-$H2839,IF(LEFT(TRIM(Paramètres!K31),1)="F",1,0)))),IF(Paramètres!L31="",0,IF(Paramètres!M31="",NA(),IF(LEFT(TRIM(Paramètres!M31),1)="F",INDEX($F$2813:$F$2865,MATCH(Paramètres!L31,Paramètres!$G$5:$G$57,0)),INDEX($E$2813:$E$2865,MATCH(Paramètres!L31,Paramètres!$G$5:$G$57,0)))+IF(RIGHT(TRIM(Paramètres!M31),3)="Fin",1-$H2839,IF(LEFT(TRIM(Paramètres!M31),1)="F",1,0)))),IF(Paramètres!N31="",0,IF(Paramètres!O31="",NA(),IF(LEFT(TRIM(Paramètres!O31),1)="F",INDEX($F$2813:$F$2865,MATCH(Paramètres!N31,Paramètres!$G$5:$G$57,0)),INDEX($E$2813:$E$2865,MATCH(Paramètres!N31,Paramètres!$G$5:$G$57,0)))+IF(RIGHT(TRIM(Paramètres!O31),3)="Fin",1-$H2839,IF(LEFT(TRIM(Paramètres!O31),1)="F",1,0)))))))</f>
        <v/>
      </c>
      <c r="F2839" s="19">
        <f>IF($A2839="","",E2839+$H2839-1)</f>
        <v/>
      </c>
      <c r="G2839" s="18" t="n"/>
      <c r="H2839" s="18">
        <f>IF($A2839="","",IF(I2839&lt;&gt;"",I2839,Paramètres!B31))</f>
        <v/>
      </c>
      <c r="I2839" s="18" t="n"/>
    </row>
    <row r="2840">
      <c r="A2840" s="18">
        <f>IF(ISNUMBER(Dossiers!$D$56),Dossiers!$A$56&amp;" · "&amp;Dossiers!$B$56,"")</f>
        <v/>
      </c>
      <c r="B2840" s="18">
        <f>IF($A2840="","",Paramètres!G32)</f>
        <v/>
      </c>
      <c r="C2840" s="18">
        <f>IF($A2840="","",IF(Paramètres!H32="","",Paramètres!H32))</f>
        <v/>
      </c>
      <c r="D2840" s="18">
        <f>IF($A2840="","",IF(Paramètres!I32="","",Paramètres!I32))</f>
        <v/>
      </c>
      <c r="E2840" s="19">
        <f>IF($A2840="","",MIN(E2841:E2844))</f>
        <v/>
      </c>
      <c r="F2840" s="19">
        <f>IF($A2840="","",MAX(F2841:F2844))</f>
        <v/>
      </c>
      <c r="G2840" s="18" t="n"/>
      <c r="H2840" s="18">
        <f>IF($A2840="","",F2840-E2840+1)</f>
        <v/>
      </c>
      <c r="I2840" s="18" t="n"/>
    </row>
    <row r="2841">
      <c r="A2841" s="18">
        <f>IF(ISNUMBER(Dossiers!$D$56),Dossiers!$A$56&amp;" · "&amp;Dossiers!$B$56,"")</f>
        <v/>
      </c>
      <c r="B2841" s="18">
        <f>IF($A2841="","",Paramètres!G33)</f>
        <v/>
      </c>
      <c r="C2841" s="18">
        <f>IF($A2841="","",IF(Paramètres!H33="","",Paramètres!H33))</f>
        <v/>
      </c>
      <c r="D2841" s="18">
        <f>IF($A2841="","",IF(Paramètres!I33="","",Paramètres!I33))</f>
        <v/>
      </c>
      <c r="E2841" s="19">
        <f>IF($A2841="","",IF(Paramètres!J33&amp;Paramètres!L33&amp;Paramètres!N33="",Dossiers!$D$56,MAX(IF(Paramètres!J33="",0,IF(Paramètres!K33="",NA(),IF(LEFT(TRIM(Paramètres!K33),1)="F",INDEX($F$2813:$F$2865,MATCH(Paramètres!J33,Paramètres!$G$5:$G$57,0)),INDEX($E$2813:$E$2865,MATCH(Paramètres!J33,Paramètres!$G$5:$G$57,0)))+IF(RIGHT(TRIM(Paramètres!K33),3)="Fin",1-$H2841,IF(LEFT(TRIM(Paramètres!K33),1)="F",1,0)))),IF(Paramètres!L33="",0,IF(Paramètres!M33="",NA(),IF(LEFT(TRIM(Paramètres!M33),1)="F",INDEX($F$2813:$F$2865,MATCH(Paramètres!L33,Paramètres!$G$5:$G$57,0)),INDEX($E$2813:$E$2865,MATCH(Paramètres!L33,Paramètres!$G$5:$G$57,0)))+IF(RIGHT(TRIM(Paramètres!M33),3)="Fin",1-$H2841,IF(LEFT(TRIM(Paramètres!M33),1)="F",1,0)))),IF(Paramètres!N33="",0,IF(Paramètres!O33="",NA(),IF(LEFT(TRIM(Paramètres!O33),1)="F",INDEX($F$2813:$F$2865,MATCH(Paramètres!N33,Paramètres!$G$5:$G$57,0)),INDEX($E$2813:$E$2865,MATCH(Paramètres!N33,Paramètres!$G$5:$G$57,0)))+IF(RIGHT(TRIM(Paramètres!O33),3)="Fin",1-$H2841,IF(LEFT(TRIM(Paramètres!O33),1)="F",1,0)))))))</f>
        <v/>
      </c>
      <c r="F2841" s="19">
        <f>IF($A2841="","",E2841+$H2841-1)</f>
        <v/>
      </c>
      <c r="G2841" s="18" t="n"/>
      <c r="H2841" s="18">
        <f>IF($A2841="","",IF(I2841&lt;&gt;"",I2841,Paramètres!B33))</f>
        <v/>
      </c>
      <c r="I2841" s="18" t="n"/>
    </row>
    <row r="2842">
      <c r="A2842" s="18">
        <f>IF(ISNUMBER(Dossiers!$D$56),Dossiers!$A$56&amp;" · "&amp;Dossiers!$B$56,"")</f>
        <v/>
      </c>
      <c r="B2842" s="18">
        <f>IF($A2842="","",Paramètres!G34)</f>
        <v/>
      </c>
      <c r="C2842" s="18">
        <f>IF($A2842="","",IF(Paramètres!H34="","",Paramètres!H34))</f>
        <v/>
      </c>
      <c r="D2842" s="18">
        <f>IF($A2842="","",IF(Paramètres!I34="","",Paramètres!I34))</f>
        <v/>
      </c>
      <c r="E2842" s="19">
        <f>IF($A2842="","",IF(Paramètres!J34&amp;Paramètres!L34&amp;Paramètres!N34="",Dossiers!$D$56,MAX(IF(Paramètres!J34="",0,IF(Paramètres!K34="",NA(),IF(LEFT(TRIM(Paramètres!K34),1)="F",INDEX($F$2813:$F$2865,MATCH(Paramètres!J34,Paramètres!$G$5:$G$57,0)),INDEX($E$2813:$E$2865,MATCH(Paramètres!J34,Paramètres!$G$5:$G$57,0)))+IF(RIGHT(TRIM(Paramètres!K34),3)="Fin",1-$H2842,IF(LEFT(TRIM(Paramètres!K34),1)="F",1,0)))),IF(Paramètres!L34="",0,IF(Paramètres!M34="",NA(),IF(LEFT(TRIM(Paramètres!M34),1)="F",INDEX($F$2813:$F$2865,MATCH(Paramètres!L34,Paramètres!$G$5:$G$57,0)),INDEX($E$2813:$E$2865,MATCH(Paramètres!L34,Paramètres!$G$5:$G$57,0)))+IF(RIGHT(TRIM(Paramètres!M34),3)="Fin",1-$H2842,IF(LEFT(TRIM(Paramètres!M34),1)="F",1,0)))),IF(Paramètres!N34="",0,IF(Paramètres!O34="",NA(),IF(LEFT(TRIM(Paramètres!O34),1)="F",INDEX($F$2813:$F$2865,MATCH(Paramètres!N34,Paramètres!$G$5:$G$57,0)),INDEX($E$2813:$E$2865,MATCH(Paramètres!N34,Paramètres!$G$5:$G$57,0)))+IF(RIGHT(TRIM(Paramètres!O34),3)="Fin",1-$H2842,IF(LEFT(TRIM(Paramètres!O34),1)="F",1,0)))))))</f>
        <v/>
      </c>
      <c r="F2842" s="19">
        <f>IF($A2842="","",E2842+$H2842-1)</f>
        <v/>
      </c>
      <c r="G2842" s="18" t="n"/>
      <c r="H2842" s="18">
        <f>IF($A2842="","",IF(I2842&lt;&gt;"",I2842,Paramètres!B34))</f>
        <v/>
      </c>
      <c r="I2842" s="18" t="n"/>
    </row>
    <row r="2843">
      <c r="A2843" s="18">
        <f>IF(ISNUMBER(Dossiers!$D$56),Dossiers!$A$56&amp;" · "&amp;Dossiers!$B$56,"")</f>
        <v/>
      </c>
      <c r="B2843" s="18">
        <f>IF($A2843="","",Paramètres!G35)</f>
        <v/>
      </c>
      <c r="C2843" s="18">
        <f>IF($A2843="","",IF(Paramètres!H35="","",Paramètres!H35))</f>
        <v/>
      </c>
      <c r="D2843" s="18">
        <f>IF($A2843="","",IF(Paramètres!I35="","",Paramètres!I35))</f>
        <v/>
      </c>
      <c r="E2843" s="19">
        <f>IF($A2843="","",IF(Paramètres!J35&amp;Paramètres!L35&amp;Paramètres!N35="",Dossiers!$D$56,MAX(IF(Paramètres!J35="",0,IF(Paramètres!K35="",NA(),IF(LEFT(TRIM(Paramètres!K35),1)="F",INDEX($F$2813:$F$2865,MATCH(Paramètres!J35,Paramètres!$G$5:$G$57,0)),INDEX($E$2813:$E$2865,MATCH(Paramètres!J35,Paramètres!$G$5:$G$57,0)))+IF(RIGHT(TRIM(Paramètres!K35),3)="Fin",1-$H2843,IF(LEFT(TRIM(Paramètres!K35),1)="F",1,0)))),IF(Paramètres!L35="",0,IF(Paramètres!M35="",NA(),IF(LEFT(TRIM(Paramètres!M35),1)="F",INDEX($F$2813:$F$2865,MATCH(Paramètres!L35,Paramètres!$G$5:$G$57,0)),INDEX($E$2813:$E$2865,MATCH(Paramètres!L35,Paramètres!$G$5:$G$57,0)))+IF(RIGHT(TRIM(Paramètres!M35),3)="Fin",1-$H2843,IF(LEFT(TRIM(Paramètres!M35),1)="F",1,0)))),IF(Paramètres!N35="",0,IF(Paramètres!O35="",NA(),IF(LEFT(TRIM(Paramètres!O35),1)="F",INDEX($F$2813:$F$2865,MATCH(Paramètres!N35,Paramètres!$G$5:$G$57,0)),INDEX($E$2813:$E$2865,MATCH(Paramètres!N35,Paramètres!$G$5:$G$57,0)))+IF(RIGHT(TRIM(Paramètres!O35),3)="Fin",1-$H2843,IF(LEFT(TRIM(Paramètres!O35),1)="F",1,0)))))))</f>
        <v/>
      </c>
      <c r="F2843" s="19">
        <f>IF($A2843="","",E2843+$H2843-1)</f>
        <v/>
      </c>
      <c r="G2843" s="18" t="n"/>
      <c r="H2843" s="18">
        <f>IF($A2843="","",IF(I2843&lt;&gt;"",I2843,Paramètres!B35))</f>
        <v/>
      </c>
      <c r="I2843" s="18" t="n"/>
    </row>
    <row r="2844">
      <c r="A2844" s="18">
        <f>IF(ISNUMBER(Dossiers!$D$56),Dossiers!$A$56&amp;" · "&amp;Dossiers!$B$56,"")</f>
        <v/>
      </c>
      <c r="B2844" s="18">
        <f>IF($A2844="","",Paramètres!G36)</f>
        <v/>
      </c>
      <c r="C2844" s="18">
        <f>IF($A2844="","",IF(Paramètres!H36="","",Paramètres!H36))</f>
        <v/>
      </c>
      <c r="D2844" s="18">
        <f>IF($A2844="","",IF(Paramètres!I36="","",Paramètres!I36))</f>
        <v/>
      </c>
      <c r="E2844" s="19">
        <f>IF($A2844="","",IF(Paramètres!J36&amp;Paramètres!L36&amp;Paramètres!N36="",Dossiers!$D$56,MAX(IF(Paramètres!J36="",0,IF(Paramètres!K36="",NA(),IF(LEFT(TRIM(Paramètres!K36),1)="F",INDEX($F$2813:$F$2865,MATCH(Paramètres!J36,Paramètres!$G$5:$G$57,0)),INDEX($E$2813:$E$2865,MATCH(Paramètres!J36,Paramètres!$G$5:$G$57,0)))+IF(RIGHT(TRIM(Paramètres!K36),3)="Fin",1-$H2844,IF(LEFT(TRIM(Paramètres!K36),1)="F",1,0)))),IF(Paramètres!L36="",0,IF(Paramètres!M36="",NA(),IF(LEFT(TRIM(Paramètres!M36),1)="F",INDEX($F$2813:$F$2865,MATCH(Paramètres!L36,Paramètres!$G$5:$G$57,0)),INDEX($E$2813:$E$2865,MATCH(Paramètres!L36,Paramètres!$G$5:$G$57,0)))+IF(RIGHT(TRIM(Paramètres!M36),3)="Fin",1-$H2844,IF(LEFT(TRIM(Paramètres!M36),1)="F",1,0)))),IF(Paramètres!N36="",0,IF(Paramètres!O36="",NA(),IF(LEFT(TRIM(Paramètres!O36),1)="F",INDEX($F$2813:$F$2865,MATCH(Paramètres!N36,Paramètres!$G$5:$G$57,0)),INDEX($E$2813:$E$2865,MATCH(Paramètres!N36,Paramètres!$G$5:$G$57,0)))+IF(RIGHT(TRIM(Paramètres!O36),3)="Fin",1-$H2844,IF(LEFT(TRIM(Paramètres!O36),1)="F",1,0)))))))</f>
        <v/>
      </c>
      <c r="F2844" s="19">
        <f>IF($A2844="","",E2844+$H2844-1)</f>
        <v/>
      </c>
      <c r="G2844" s="18" t="n"/>
      <c r="H2844" s="18">
        <f>IF($A2844="","",IF(I2844&lt;&gt;"",I2844,Paramètres!B36))</f>
        <v/>
      </c>
      <c r="I2844" s="18" t="n"/>
    </row>
    <row r="2845">
      <c r="A2845" s="18">
        <f>IF(ISNUMBER(Dossiers!$D$56),Dossiers!$A$56&amp;" · "&amp;Dossiers!$B$56,"")</f>
        <v/>
      </c>
      <c r="B2845" s="18">
        <f>IF($A2845="","",Paramètres!G37)</f>
        <v/>
      </c>
      <c r="C2845" s="18">
        <f>IF($A2845="","",IF(Paramètres!H37="","",Paramètres!H37))</f>
        <v/>
      </c>
      <c r="D2845" s="18">
        <f>IF($A2845="","",IF(Paramètres!I37="","",Paramètres!I37))</f>
        <v/>
      </c>
      <c r="E2845" s="19">
        <f>IF($A2845="","",MIN(E2846:E2863))</f>
        <v/>
      </c>
      <c r="F2845" s="19">
        <f>IF($A2845="","",MAX(F2846:F2863))</f>
        <v/>
      </c>
      <c r="G2845" s="18" t="n"/>
      <c r="H2845" s="18">
        <f>IF($A2845="","",F2845-E2845+1)</f>
        <v/>
      </c>
      <c r="I2845" s="18" t="n"/>
    </row>
    <row r="2846">
      <c r="A2846" s="18">
        <f>IF(ISNUMBER(Dossiers!$D$56),Dossiers!$A$56&amp;" · "&amp;Dossiers!$B$56,"")</f>
        <v/>
      </c>
      <c r="B2846" s="18">
        <f>IF($A2846="","",Paramètres!G38)</f>
        <v/>
      </c>
      <c r="C2846" s="18">
        <f>IF($A2846="","",IF(Paramètres!H38="","",Paramètres!H38))</f>
        <v/>
      </c>
      <c r="D2846" s="18">
        <f>IF($A2846="","",IF(Paramètres!I38="","",Paramètres!I38))</f>
        <v/>
      </c>
      <c r="E2846" s="19">
        <f>IF($A2846="","",IF(Paramètres!J38&amp;Paramètres!L38&amp;Paramètres!N38="",Dossiers!$D$56,MAX(IF(Paramètres!J38="",0,IF(Paramètres!K38="",NA(),IF(LEFT(TRIM(Paramètres!K38),1)="F",INDEX($F$2813:$F$2865,MATCH(Paramètres!J38,Paramètres!$G$5:$G$57,0)),INDEX($E$2813:$E$2865,MATCH(Paramètres!J38,Paramètres!$G$5:$G$57,0)))+IF(RIGHT(TRIM(Paramètres!K38),3)="Fin",1-$H2846,IF(LEFT(TRIM(Paramètres!K38),1)="F",1,0)))),IF(Paramètres!L38="",0,IF(Paramètres!M38="",NA(),IF(LEFT(TRIM(Paramètres!M38),1)="F",INDEX($F$2813:$F$2865,MATCH(Paramètres!L38,Paramètres!$G$5:$G$57,0)),INDEX($E$2813:$E$2865,MATCH(Paramètres!L38,Paramètres!$G$5:$G$57,0)))+IF(RIGHT(TRIM(Paramètres!M38),3)="Fin",1-$H2846,IF(LEFT(TRIM(Paramètres!M38),1)="F",1,0)))),IF(Paramètres!N38="",0,IF(Paramètres!O38="",NA(),IF(LEFT(TRIM(Paramètres!O38),1)="F",INDEX($F$2813:$F$2865,MATCH(Paramètres!N38,Paramètres!$G$5:$G$57,0)),INDEX($E$2813:$E$2865,MATCH(Paramètres!N38,Paramètres!$G$5:$G$57,0)))+IF(RIGHT(TRIM(Paramètres!O38),3)="Fin",1-$H2846,IF(LEFT(TRIM(Paramètres!O38),1)="F",1,0)))))))</f>
        <v/>
      </c>
      <c r="F2846" s="19">
        <f>IF($A2846="","",E2846+$H2846-1)</f>
        <v/>
      </c>
      <c r="G2846" s="18" t="n"/>
      <c r="H2846" s="18">
        <f>IF($A2846="","",IF(I2846&lt;&gt;"",I2846,Paramètres!B38))</f>
        <v/>
      </c>
      <c r="I2846" s="18" t="n"/>
    </row>
    <row r="2847">
      <c r="A2847" s="18">
        <f>IF(ISNUMBER(Dossiers!$D$56),Dossiers!$A$56&amp;" · "&amp;Dossiers!$B$56,"")</f>
        <v/>
      </c>
      <c r="B2847" s="18">
        <f>IF($A2847="","",Paramètres!G39)</f>
        <v/>
      </c>
      <c r="C2847" s="18">
        <f>IF($A2847="","",IF(Paramètres!H39="","",Paramètres!H39))</f>
        <v/>
      </c>
      <c r="D2847" s="18">
        <f>IF($A2847="","",IF(Paramètres!I39="","",Paramètres!I39))</f>
        <v/>
      </c>
      <c r="E2847" s="19">
        <f>IF($A2847="","",IF(Paramètres!J39&amp;Paramètres!L39&amp;Paramètres!N39="",Dossiers!$D$56,MAX(IF(Paramètres!J39="",0,IF(Paramètres!K39="",NA(),IF(LEFT(TRIM(Paramètres!K39),1)="F",INDEX($F$2813:$F$2865,MATCH(Paramètres!J39,Paramètres!$G$5:$G$57,0)),INDEX($E$2813:$E$2865,MATCH(Paramètres!J39,Paramètres!$G$5:$G$57,0)))+IF(RIGHT(TRIM(Paramètres!K39),3)="Fin",1-$H2847,IF(LEFT(TRIM(Paramètres!K39),1)="F",1,0)))),IF(Paramètres!L39="",0,IF(Paramètres!M39="",NA(),IF(LEFT(TRIM(Paramètres!M39),1)="F",INDEX($F$2813:$F$2865,MATCH(Paramètres!L39,Paramètres!$G$5:$G$57,0)),INDEX($E$2813:$E$2865,MATCH(Paramètres!L39,Paramètres!$G$5:$G$57,0)))+IF(RIGHT(TRIM(Paramètres!M39),3)="Fin",1-$H2847,IF(LEFT(TRIM(Paramètres!M39),1)="F",1,0)))),IF(Paramètres!N39="",0,IF(Paramètres!O39="",NA(),IF(LEFT(TRIM(Paramètres!O39),1)="F",INDEX($F$2813:$F$2865,MATCH(Paramètres!N39,Paramètres!$G$5:$G$57,0)),INDEX($E$2813:$E$2865,MATCH(Paramètres!N39,Paramètres!$G$5:$G$57,0)))+IF(RIGHT(TRIM(Paramètres!O39),3)="Fin",1-$H2847,IF(LEFT(TRIM(Paramètres!O39),1)="F",1,0)))))))</f>
        <v/>
      </c>
      <c r="F2847" s="19">
        <f>IF($A2847="","",E2847+$H2847-1)</f>
        <v/>
      </c>
      <c r="G2847" s="18" t="n"/>
      <c r="H2847" s="18">
        <f>IF($A2847="","",IF(I2847&lt;&gt;"",I2847,Paramètres!B39))</f>
        <v/>
      </c>
      <c r="I2847" s="18" t="n"/>
    </row>
    <row r="2848">
      <c r="A2848" s="18">
        <f>IF(ISNUMBER(Dossiers!$D$56),Dossiers!$A$56&amp;" · "&amp;Dossiers!$B$56,"")</f>
        <v/>
      </c>
      <c r="B2848" s="18">
        <f>IF($A2848="","",Paramètres!G40)</f>
        <v/>
      </c>
      <c r="C2848" s="18">
        <f>IF($A2848="","",IF(Paramètres!H40="","",Paramètres!H40))</f>
        <v/>
      </c>
      <c r="D2848" s="18">
        <f>IF($A2848="","",IF(Paramètres!I40="","",Paramètres!I40))</f>
        <v/>
      </c>
      <c r="E2848" s="19">
        <f>IF($A2848="","",IF(Paramètres!J40&amp;Paramètres!L40&amp;Paramètres!N40="",Dossiers!$D$56,MAX(IF(Paramètres!J40="",0,IF(Paramètres!K40="",NA(),IF(LEFT(TRIM(Paramètres!K40),1)="F",INDEX($F$2813:$F$2865,MATCH(Paramètres!J40,Paramètres!$G$5:$G$57,0)),INDEX($E$2813:$E$2865,MATCH(Paramètres!J40,Paramètres!$G$5:$G$57,0)))+IF(RIGHT(TRIM(Paramètres!K40),3)="Fin",1-$H2848,IF(LEFT(TRIM(Paramètres!K40),1)="F",1,0)))),IF(Paramètres!L40="",0,IF(Paramètres!M40="",NA(),IF(LEFT(TRIM(Paramètres!M40),1)="F",INDEX($F$2813:$F$2865,MATCH(Paramètres!L40,Paramètres!$G$5:$G$57,0)),INDEX($E$2813:$E$2865,MATCH(Paramètres!L40,Paramètres!$G$5:$G$57,0)))+IF(RIGHT(TRIM(Paramètres!M40),3)="Fin",1-$H2848,IF(LEFT(TRIM(Paramètres!M40),1)="F",1,0)))),IF(Paramètres!N40="",0,IF(Paramètres!O40="",NA(),IF(LEFT(TRIM(Paramètres!O40),1)="F",INDEX($F$2813:$F$2865,MATCH(Paramètres!N40,Paramètres!$G$5:$G$57,0)),INDEX($E$2813:$E$2865,MATCH(Paramètres!N40,Paramètres!$G$5:$G$57,0)))+IF(RIGHT(TRIM(Paramètres!O40),3)="Fin",1-$H2848,IF(LEFT(TRIM(Paramètres!O40),1)="F",1,0)))))))</f>
        <v/>
      </c>
      <c r="F2848" s="19">
        <f>IF($A2848="","",E2848+$H2848-1)</f>
        <v/>
      </c>
      <c r="G2848" s="18" t="n"/>
      <c r="H2848" s="18">
        <f>IF($A2848="","",IF(I2848&lt;&gt;"",I2848,Paramètres!B40))</f>
        <v/>
      </c>
      <c r="I2848" s="18" t="n"/>
    </row>
    <row r="2849">
      <c r="A2849" s="18">
        <f>IF(ISNUMBER(Dossiers!$D$56),Dossiers!$A$56&amp;" · "&amp;Dossiers!$B$56,"")</f>
        <v/>
      </c>
      <c r="B2849" s="18">
        <f>IF($A2849="","",Paramètres!G41)</f>
        <v/>
      </c>
      <c r="C2849" s="18">
        <f>IF($A2849="","",IF(Paramètres!H41="","",Paramètres!H41))</f>
        <v/>
      </c>
      <c r="D2849" s="18">
        <f>IF($A2849="","",IF(Paramètres!I41="","",Paramètres!I41))</f>
        <v/>
      </c>
      <c r="E2849" s="19">
        <f>IF($A2849="","",IF(Paramètres!J41&amp;Paramètres!L41&amp;Paramètres!N41="",Dossiers!$D$56,MAX(IF(Paramètres!J41="",0,IF(Paramètres!K41="",NA(),IF(LEFT(TRIM(Paramètres!K41),1)="F",INDEX($F$2813:$F$2865,MATCH(Paramètres!J41,Paramètres!$G$5:$G$57,0)),INDEX($E$2813:$E$2865,MATCH(Paramètres!J41,Paramètres!$G$5:$G$57,0)))+IF(RIGHT(TRIM(Paramètres!K41),3)="Fin",1-$H2849,IF(LEFT(TRIM(Paramètres!K41),1)="F",1,0)))),IF(Paramètres!L41="",0,IF(Paramètres!M41="",NA(),IF(LEFT(TRIM(Paramètres!M41),1)="F",INDEX($F$2813:$F$2865,MATCH(Paramètres!L41,Paramètres!$G$5:$G$57,0)),INDEX($E$2813:$E$2865,MATCH(Paramètres!L41,Paramètres!$G$5:$G$57,0)))+IF(RIGHT(TRIM(Paramètres!M41),3)="Fin",1-$H2849,IF(LEFT(TRIM(Paramètres!M41),1)="F",1,0)))),IF(Paramètres!N41="",0,IF(Paramètres!O41="",NA(),IF(LEFT(TRIM(Paramètres!O41),1)="F",INDEX($F$2813:$F$2865,MATCH(Paramètres!N41,Paramètres!$G$5:$G$57,0)),INDEX($E$2813:$E$2865,MATCH(Paramètres!N41,Paramètres!$G$5:$G$57,0)))+IF(RIGHT(TRIM(Paramètres!O41),3)="Fin",1-$H2849,IF(LEFT(TRIM(Paramètres!O41),1)="F",1,0)))))))</f>
        <v/>
      </c>
      <c r="F2849" s="19">
        <f>IF($A2849="","",E2849+$H2849-1)</f>
        <v/>
      </c>
      <c r="G2849" s="18" t="n"/>
      <c r="H2849" s="18">
        <f>IF($A2849="","",IF(I2849&lt;&gt;"",I2849,Paramètres!B41))</f>
        <v/>
      </c>
      <c r="I2849" s="18" t="n"/>
    </row>
    <row r="2850">
      <c r="A2850" s="18">
        <f>IF(ISNUMBER(Dossiers!$D$56),Dossiers!$A$56&amp;" · "&amp;Dossiers!$B$56,"")</f>
        <v/>
      </c>
      <c r="B2850" s="18">
        <f>IF($A2850="","",Paramètres!G42)</f>
        <v/>
      </c>
      <c r="C2850" s="18">
        <f>IF($A2850="","",IF(Paramètres!H42="","",Paramètres!H42))</f>
        <v/>
      </c>
      <c r="D2850" s="18">
        <f>IF($A2850="","",IF(Paramètres!I42="","",Paramètres!I42))</f>
        <v/>
      </c>
      <c r="E2850" s="19">
        <f>IF($A2850="","",IF(Paramètres!J42&amp;Paramètres!L42&amp;Paramètres!N42="",Dossiers!$D$56,MAX(IF(Paramètres!J42="",0,IF(Paramètres!K42="",NA(),IF(LEFT(TRIM(Paramètres!K42),1)="F",INDEX($F$2813:$F$2865,MATCH(Paramètres!J42,Paramètres!$G$5:$G$57,0)),INDEX($E$2813:$E$2865,MATCH(Paramètres!J42,Paramètres!$G$5:$G$57,0)))+IF(RIGHT(TRIM(Paramètres!K42),3)="Fin",1-$H2850,IF(LEFT(TRIM(Paramètres!K42),1)="F",1,0)))),IF(Paramètres!L42="",0,IF(Paramètres!M42="",NA(),IF(LEFT(TRIM(Paramètres!M42),1)="F",INDEX($F$2813:$F$2865,MATCH(Paramètres!L42,Paramètres!$G$5:$G$57,0)),INDEX($E$2813:$E$2865,MATCH(Paramètres!L42,Paramètres!$G$5:$G$57,0)))+IF(RIGHT(TRIM(Paramètres!M42),3)="Fin",1-$H2850,IF(LEFT(TRIM(Paramètres!M42),1)="F",1,0)))),IF(Paramètres!N42="",0,IF(Paramètres!O42="",NA(),IF(LEFT(TRIM(Paramètres!O42),1)="F",INDEX($F$2813:$F$2865,MATCH(Paramètres!N42,Paramètres!$G$5:$G$57,0)),INDEX($E$2813:$E$2865,MATCH(Paramètres!N42,Paramètres!$G$5:$G$57,0)))+IF(RIGHT(TRIM(Paramètres!O42),3)="Fin",1-$H2850,IF(LEFT(TRIM(Paramètres!O42),1)="F",1,0)))))))</f>
        <v/>
      </c>
      <c r="F2850" s="19">
        <f>IF($A2850="","",E2850+$H2850-1)</f>
        <v/>
      </c>
      <c r="G2850" s="18" t="n"/>
      <c r="H2850" s="18">
        <f>IF($A2850="","",IF(I2850&lt;&gt;"",I2850,Paramètres!B42))</f>
        <v/>
      </c>
      <c r="I2850" s="18" t="n"/>
    </row>
    <row r="2851">
      <c r="A2851" s="18">
        <f>IF(ISNUMBER(Dossiers!$D$56),Dossiers!$A$56&amp;" · "&amp;Dossiers!$B$56,"")</f>
        <v/>
      </c>
      <c r="B2851" s="18">
        <f>IF($A2851="","",Paramètres!G43)</f>
        <v/>
      </c>
      <c r="C2851" s="18">
        <f>IF($A2851="","",IF(Paramètres!H43="","",Paramètres!H43))</f>
        <v/>
      </c>
      <c r="D2851" s="18">
        <f>IF($A2851="","",IF(Paramètres!I43="","",Paramètres!I43))</f>
        <v/>
      </c>
      <c r="E2851" s="19">
        <f>IF($A2851="","",IF(Paramètres!J43&amp;Paramètres!L43&amp;Paramètres!N43="",Dossiers!$D$56,MAX(IF(Paramètres!J43="",0,IF(Paramètres!K43="",NA(),IF(LEFT(TRIM(Paramètres!K43),1)="F",INDEX($F$2813:$F$2865,MATCH(Paramètres!J43,Paramètres!$G$5:$G$57,0)),INDEX($E$2813:$E$2865,MATCH(Paramètres!J43,Paramètres!$G$5:$G$57,0)))+IF(RIGHT(TRIM(Paramètres!K43),3)="Fin",1-$H2851,IF(LEFT(TRIM(Paramètres!K43),1)="F",1,0)))),IF(Paramètres!L43="",0,IF(Paramètres!M43="",NA(),IF(LEFT(TRIM(Paramètres!M43),1)="F",INDEX($F$2813:$F$2865,MATCH(Paramètres!L43,Paramètres!$G$5:$G$57,0)),INDEX($E$2813:$E$2865,MATCH(Paramètres!L43,Paramètres!$G$5:$G$57,0)))+IF(RIGHT(TRIM(Paramètres!M43),3)="Fin",1-$H2851,IF(LEFT(TRIM(Paramètres!M43),1)="F",1,0)))),IF(Paramètres!N43="",0,IF(Paramètres!O43="",NA(),IF(LEFT(TRIM(Paramètres!O43),1)="F",INDEX($F$2813:$F$2865,MATCH(Paramètres!N43,Paramètres!$G$5:$G$57,0)),INDEX($E$2813:$E$2865,MATCH(Paramètres!N43,Paramètres!$G$5:$G$57,0)))+IF(RIGHT(TRIM(Paramètres!O43),3)="Fin",1-$H2851,IF(LEFT(TRIM(Paramètres!O43),1)="F",1,0)))))))</f>
        <v/>
      </c>
      <c r="F2851" s="19">
        <f>IF($A2851="","",E2851+$H2851-1)</f>
        <v/>
      </c>
      <c r="G2851" s="18" t="n"/>
      <c r="H2851" s="18">
        <f>IF($A2851="","",IF(I2851&lt;&gt;"",I2851,Paramètres!B43))</f>
        <v/>
      </c>
      <c r="I2851" s="18" t="n"/>
    </row>
    <row r="2852">
      <c r="A2852" s="18">
        <f>IF(ISNUMBER(Dossiers!$D$56),Dossiers!$A$56&amp;" · "&amp;Dossiers!$B$56,"")</f>
        <v/>
      </c>
      <c r="B2852" s="18">
        <f>IF($A2852="","",Paramètres!G44)</f>
        <v/>
      </c>
      <c r="C2852" s="18">
        <f>IF($A2852="","",IF(Paramètres!H44="","",Paramètres!H44))</f>
        <v/>
      </c>
      <c r="D2852" s="18">
        <f>IF($A2852="","",IF(Paramètres!I44="","",Paramètres!I44))</f>
        <v/>
      </c>
      <c r="E2852" s="19">
        <f>IF($A2852="","",IF(Paramètres!J44&amp;Paramètres!L44&amp;Paramètres!N44="",Dossiers!$D$56,MAX(IF(Paramètres!J44="",0,IF(Paramètres!K44="",NA(),IF(LEFT(TRIM(Paramètres!K44),1)="F",INDEX($F$2813:$F$2865,MATCH(Paramètres!J44,Paramètres!$G$5:$G$57,0)),INDEX($E$2813:$E$2865,MATCH(Paramètres!J44,Paramètres!$G$5:$G$57,0)))+IF(RIGHT(TRIM(Paramètres!K44),3)="Fin",1-$H2852,IF(LEFT(TRIM(Paramètres!K44),1)="F",1,0)))),IF(Paramètres!L44="",0,IF(Paramètres!M44="",NA(),IF(LEFT(TRIM(Paramètres!M44),1)="F",INDEX($F$2813:$F$2865,MATCH(Paramètres!L44,Paramètres!$G$5:$G$57,0)),INDEX($E$2813:$E$2865,MATCH(Paramètres!L44,Paramètres!$G$5:$G$57,0)))+IF(RIGHT(TRIM(Paramètres!M44),3)="Fin",1-$H2852,IF(LEFT(TRIM(Paramètres!M44),1)="F",1,0)))),IF(Paramètres!N44="",0,IF(Paramètres!O44="",NA(),IF(LEFT(TRIM(Paramètres!O44),1)="F",INDEX($F$2813:$F$2865,MATCH(Paramètres!N44,Paramètres!$G$5:$G$57,0)),INDEX($E$2813:$E$2865,MATCH(Paramètres!N44,Paramètres!$G$5:$G$57,0)))+IF(RIGHT(TRIM(Paramètres!O44),3)="Fin",1-$H2852,IF(LEFT(TRIM(Paramètres!O44),1)="F",1,0)))))))</f>
        <v/>
      </c>
      <c r="F2852" s="19">
        <f>IF($A2852="","",E2852+$H2852-1)</f>
        <v/>
      </c>
      <c r="G2852" s="18" t="n"/>
      <c r="H2852" s="18">
        <f>IF($A2852="","",IF(I2852&lt;&gt;"",I2852,Paramètres!B44))</f>
        <v/>
      </c>
      <c r="I2852" s="18" t="n"/>
    </row>
    <row r="2853">
      <c r="A2853" s="18">
        <f>IF(ISNUMBER(Dossiers!$D$56),Dossiers!$A$56&amp;" · "&amp;Dossiers!$B$56,"")</f>
        <v/>
      </c>
      <c r="B2853" s="18">
        <f>IF($A2853="","",Paramètres!G45)</f>
        <v/>
      </c>
      <c r="C2853" s="20">
        <f>IF($A2853="","",IF(Dossiers!$G$56="","",Dossiers!$G$56))</f>
        <v/>
      </c>
      <c r="D2853" s="18">
        <f>IF($A2853="","",IF(Paramètres!I45="","",Paramètres!I45))</f>
        <v/>
      </c>
      <c r="E2853" s="19">
        <f>IF($A2853="","",IF(Paramètres!J45&amp;Paramètres!L45&amp;Paramètres!N45="",Dossiers!$D$56,MAX(IF(Paramètres!J45="",0,IF(Paramètres!K45="",NA(),IF(LEFT(TRIM(Paramètres!K45),1)="F",INDEX($F$2813:$F$2865,MATCH(Paramètres!J45,Paramètres!$G$5:$G$57,0)),INDEX($E$2813:$E$2865,MATCH(Paramètres!J45,Paramètres!$G$5:$G$57,0)))+IF(RIGHT(TRIM(Paramètres!K45),3)="Fin",1-$H2853,IF(LEFT(TRIM(Paramètres!K45),1)="F",1,0)))),IF(Paramètres!L45="",0,IF(Paramètres!M45="",NA(),IF(LEFT(TRIM(Paramètres!M45),1)="F",INDEX($F$2813:$F$2865,MATCH(Paramètres!L45,Paramètres!$G$5:$G$57,0)),INDEX($E$2813:$E$2865,MATCH(Paramètres!L45,Paramètres!$G$5:$G$57,0)))+IF(RIGHT(TRIM(Paramètres!M45),3)="Fin",1-$H2853,IF(LEFT(TRIM(Paramètres!M45),1)="F",1,0)))),IF(Paramètres!N45="",0,IF(Paramètres!O45="",NA(),IF(LEFT(TRIM(Paramètres!O45),1)="F",INDEX($F$2813:$F$2865,MATCH(Paramètres!N45,Paramètres!$G$5:$G$57,0)),INDEX($E$2813:$E$2865,MATCH(Paramètres!N45,Paramètres!$G$5:$G$57,0)))+IF(RIGHT(TRIM(Paramètres!O45),3)="Fin",1-$H2853,IF(LEFT(TRIM(Paramètres!O45),1)="F",1,0)))))))</f>
        <v/>
      </c>
      <c r="F2853" s="19">
        <f>IF($A2853="","",E2853+$H2853-1)</f>
        <v/>
      </c>
      <c r="G2853" s="18" t="n"/>
      <c r="H2853" s="18">
        <f>IF($A2853="","",IF(I2853&lt;&gt;"",I2853,Paramètres!B45))</f>
        <v/>
      </c>
      <c r="I2853" s="18" t="n"/>
    </row>
    <row r="2854">
      <c r="A2854" s="18">
        <f>IF(ISNUMBER(Dossiers!$D$56),Dossiers!$A$56&amp;" · "&amp;Dossiers!$B$56,"")</f>
        <v/>
      </c>
      <c r="B2854" s="18">
        <f>IF($A2854="","",Paramètres!G46)</f>
        <v/>
      </c>
      <c r="C2854" s="18">
        <f>IF($A2854="","",IF(Paramètres!H46="","",Paramètres!H46))</f>
        <v/>
      </c>
      <c r="D2854" s="18">
        <f>IF($A2854="","",IF(Paramètres!I46="","",Paramètres!I46))</f>
        <v/>
      </c>
      <c r="E2854" s="19">
        <f>IF($A2854="","",IF(Paramètres!J46&amp;Paramètres!L46&amp;Paramètres!N46="",Dossiers!$D$56,MAX(IF(Paramètres!J46="",0,IF(Paramètres!K46="",NA(),IF(LEFT(TRIM(Paramètres!K46),1)="F",INDEX($F$2813:$F$2865,MATCH(Paramètres!J46,Paramètres!$G$5:$G$57,0)),INDEX($E$2813:$E$2865,MATCH(Paramètres!J46,Paramètres!$G$5:$G$57,0)))+IF(RIGHT(TRIM(Paramètres!K46),3)="Fin",1-$H2854,IF(LEFT(TRIM(Paramètres!K46),1)="F",1,0)))),IF(Paramètres!L46="",0,IF(Paramètres!M46="",NA(),IF(LEFT(TRIM(Paramètres!M46),1)="F",INDEX($F$2813:$F$2865,MATCH(Paramètres!L46,Paramètres!$G$5:$G$57,0)),INDEX($E$2813:$E$2865,MATCH(Paramètres!L46,Paramètres!$G$5:$G$57,0)))+IF(RIGHT(TRIM(Paramètres!M46),3)="Fin",1-$H2854,IF(LEFT(TRIM(Paramètres!M46),1)="F",1,0)))),IF(Paramètres!N46="",0,IF(Paramètres!O46="",NA(),IF(LEFT(TRIM(Paramètres!O46),1)="F",INDEX($F$2813:$F$2865,MATCH(Paramètres!N46,Paramètres!$G$5:$G$57,0)),INDEX($E$2813:$E$2865,MATCH(Paramètres!N46,Paramètres!$G$5:$G$57,0)))+IF(RIGHT(TRIM(Paramètres!O46),3)="Fin",1-$H2854,IF(LEFT(TRIM(Paramètres!O46),1)="F",1,0)))))))</f>
        <v/>
      </c>
      <c r="F2854" s="19">
        <f>IF($A2854="","",E2854+$H2854-1)</f>
        <v/>
      </c>
      <c r="G2854" s="18" t="n"/>
      <c r="H2854" s="18">
        <f>IF($A2854="","",IF(I2854&lt;&gt;"",I2854,Paramètres!B46))</f>
        <v/>
      </c>
      <c r="I2854" s="18" t="n"/>
    </row>
    <row r="2855">
      <c r="A2855" s="18">
        <f>IF(ISNUMBER(Dossiers!$D$56),Dossiers!$A$56&amp;" · "&amp;Dossiers!$B$56,"")</f>
        <v/>
      </c>
      <c r="B2855" s="18">
        <f>IF($A2855="","",Paramètres!G47)</f>
        <v/>
      </c>
      <c r="C2855" s="18">
        <f>IF($A2855="","",IF(Paramètres!H47="","",Paramètres!H47))</f>
        <v/>
      </c>
      <c r="D2855" s="18">
        <f>IF($A2855="","",IF(Paramètres!I47="","",Paramètres!I47))</f>
        <v/>
      </c>
      <c r="E2855" s="19">
        <f>IF($A2855="","",IF(Paramètres!J47&amp;Paramètres!L47&amp;Paramètres!N47="",Dossiers!$D$56,MAX(IF(Paramètres!J47="",0,IF(Paramètres!K47="",NA(),IF(LEFT(TRIM(Paramètres!K47),1)="F",INDEX($F$2813:$F$2865,MATCH(Paramètres!J47,Paramètres!$G$5:$G$57,0)),INDEX($E$2813:$E$2865,MATCH(Paramètres!J47,Paramètres!$G$5:$G$57,0)))+IF(RIGHT(TRIM(Paramètres!K47),3)="Fin",1-$H2855,IF(LEFT(TRIM(Paramètres!K47),1)="F",1,0)))),IF(Paramètres!L47="",0,IF(Paramètres!M47="",NA(),IF(LEFT(TRIM(Paramètres!M47),1)="F",INDEX($F$2813:$F$2865,MATCH(Paramètres!L47,Paramètres!$G$5:$G$57,0)),INDEX($E$2813:$E$2865,MATCH(Paramètres!L47,Paramètres!$G$5:$G$57,0)))+IF(RIGHT(TRIM(Paramètres!M47),3)="Fin",1-$H2855,IF(LEFT(TRIM(Paramètres!M47),1)="F",1,0)))),IF(Paramètres!N47="",0,IF(Paramètres!O47="",NA(),IF(LEFT(TRIM(Paramètres!O47),1)="F",INDEX($F$2813:$F$2865,MATCH(Paramètres!N47,Paramètres!$G$5:$G$57,0)),INDEX($E$2813:$E$2865,MATCH(Paramètres!N47,Paramètres!$G$5:$G$57,0)))+IF(RIGHT(TRIM(Paramètres!O47),3)="Fin",1-$H2855,IF(LEFT(TRIM(Paramètres!O47),1)="F",1,0)))))))</f>
        <v/>
      </c>
      <c r="F2855" s="19">
        <f>IF($A2855="","",E2855+$H2855-1)</f>
        <v/>
      </c>
      <c r="G2855" s="18" t="n"/>
      <c r="H2855" s="18">
        <f>IF($A2855="","",IF(I2855&lt;&gt;"",I2855,Paramètres!B47))</f>
        <v/>
      </c>
      <c r="I2855" s="18" t="n"/>
    </row>
    <row r="2856">
      <c r="A2856" s="18">
        <f>IF(ISNUMBER(Dossiers!$D$56),Dossiers!$A$56&amp;" · "&amp;Dossiers!$B$56,"")</f>
        <v/>
      </c>
      <c r="B2856" s="18">
        <f>IF($A2856="","",Paramètres!G48)</f>
        <v/>
      </c>
      <c r="C2856" s="18">
        <f>IF($A2856="","",IF(Paramètres!H48="","",Paramètres!H48))</f>
        <v/>
      </c>
      <c r="D2856" s="18">
        <f>IF($A2856="","",IF(Paramètres!I48="","",Paramètres!I48))</f>
        <v/>
      </c>
      <c r="E2856" s="19">
        <f>IF($A2856="","",IF(Paramètres!J48&amp;Paramètres!L48&amp;Paramètres!N48="",Dossiers!$D$56,MAX(IF(Paramètres!J48="",0,IF(Paramètres!K48="",NA(),IF(LEFT(TRIM(Paramètres!K48),1)="F",INDEX($F$2813:$F$2865,MATCH(Paramètres!J48,Paramètres!$G$5:$G$57,0)),INDEX($E$2813:$E$2865,MATCH(Paramètres!J48,Paramètres!$G$5:$G$57,0)))+IF(RIGHT(TRIM(Paramètres!K48),3)="Fin",1-$H2856,IF(LEFT(TRIM(Paramètres!K48),1)="F",1,0)))),IF(Paramètres!L48="",0,IF(Paramètres!M48="",NA(),IF(LEFT(TRIM(Paramètres!M48),1)="F",INDEX($F$2813:$F$2865,MATCH(Paramètres!L48,Paramètres!$G$5:$G$57,0)),INDEX($E$2813:$E$2865,MATCH(Paramètres!L48,Paramètres!$G$5:$G$57,0)))+IF(RIGHT(TRIM(Paramètres!M48),3)="Fin",1-$H2856,IF(LEFT(TRIM(Paramètres!M48),1)="F",1,0)))),IF(Paramètres!N48="",0,IF(Paramètres!O48="",NA(),IF(LEFT(TRIM(Paramètres!O48),1)="F",INDEX($F$2813:$F$2865,MATCH(Paramètres!N48,Paramètres!$G$5:$G$57,0)),INDEX($E$2813:$E$2865,MATCH(Paramètres!N48,Paramètres!$G$5:$G$57,0)))+IF(RIGHT(TRIM(Paramètres!O48),3)="Fin",1-$H2856,IF(LEFT(TRIM(Paramètres!O48),1)="F",1,0)))))))</f>
        <v/>
      </c>
      <c r="F2856" s="19">
        <f>IF($A2856="","",E2856+$H2856-1)</f>
        <v/>
      </c>
      <c r="G2856" s="18" t="n"/>
      <c r="H2856" s="18">
        <f>IF($A2856="","",IF(I2856&lt;&gt;"",I2856,Paramètres!B48))</f>
        <v/>
      </c>
      <c r="I2856" s="18" t="n"/>
    </row>
    <row r="2857">
      <c r="A2857" s="18">
        <f>IF(ISNUMBER(Dossiers!$D$56),Dossiers!$A$56&amp;" · "&amp;Dossiers!$B$56,"")</f>
        <v/>
      </c>
      <c r="B2857" s="18">
        <f>IF($A2857="","",Paramètres!G49)</f>
        <v/>
      </c>
      <c r="C2857" s="18">
        <f>IF($A2857="","",IF(Paramètres!H49="","",Paramètres!H49))</f>
        <v/>
      </c>
      <c r="D2857" s="18">
        <f>IF($A2857="","",IF(Paramètres!I49="","",Paramètres!I49))</f>
        <v/>
      </c>
      <c r="E2857" s="19">
        <f>IF($A2857="","",IF(Paramètres!J49&amp;Paramètres!L49&amp;Paramètres!N49="",Dossiers!$D$56,MAX(IF(Paramètres!J49="",0,IF(Paramètres!K49="",NA(),IF(LEFT(TRIM(Paramètres!K49),1)="F",INDEX($F$2813:$F$2865,MATCH(Paramètres!J49,Paramètres!$G$5:$G$57,0)),INDEX($E$2813:$E$2865,MATCH(Paramètres!J49,Paramètres!$G$5:$G$57,0)))+IF(RIGHT(TRIM(Paramètres!K49),3)="Fin",1-$H2857,IF(LEFT(TRIM(Paramètres!K49),1)="F",1,0)))),IF(Paramètres!L49="",0,IF(Paramètres!M49="",NA(),IF(LEFT(TRIM(Paramètres!M49),1)="F",INDEX($F$2813:$F$2865,MATCH(Paramètres!L49,Paramètres!$G$5:$G$57,0)),INDEX($E$2813:$E$2865,MATCH(Paramètres!L49,Paramètres!$G$5:$G$57,0)))+IF(RIGHT(TRIM(Paramètres!M49),3)="Fin",1-$H2857,IF(LEFT(TRIM(Paramètres!M49),1)="F",1,0)))),IF(Paramètres!N49="",0,IF(Paramètres!O49="",NA(),IF(LEFT(TRIM(Paramètres!O49),1)="F",INDEX($F$2813:$F$2865,MATCH(Paramètres!N49,Paramètres!$G$5:$G$57,0)),INDEX($E$2813:$E$2865,MATCH(Paramètres!N49,Paramètres!$G$5:$G$57,0)))+IF(RIGHT(TRIM(Paramètres!O49),3)="Fin",1-$H2857,IF(LEFT(TRIM(Paramètres!O49),1)="F",1,0)))))))</f>
        <v/>
      </c>
      <c r="F2857" s="19">
        <f>IF($A2857="","",E2857+$H2857-1)</f>
        <v/>
      </c>
      <c r="G2857" s="18" t="n"/>
      <c r="H2857" s="18">
        <f>IF($A2857="","",IF(I2857&lt;&gt;"",I2857,Paramètres!B49))</f>
        <v/>
      </c>
      <c r="I2857" s="18" t="n"/>
    </row>
    <row r="2858">
      <c r="A2858" s="18">
        <f>IF(ISNUMBER(Dossiers!$D$56),Dossiers!$A$56&amp;" · "&amp;Dossiers!$B$56,"")</f>
        <v/>
      </c>
      <c r="B2858" s="18">
        <f>IF($A2858="","",Paramètres!G50)</f>
        <v/>
      </c>
      <c r="C2858" s="18">
        <f>IF($A2858="","",IF(Paramètres!H50="","",Paramètres!H50))</f>
        <v/>
      </c>
      <c r="D2858" s="18">
        <f>IF($A2858="","",IF(Paramètres!I50="","",Paramètres!I50))</f>
        <v/>
      </c>
      <c r="E2858" s="19">
        <f>IF($A2858="","",IF(Paramètres!J50&amp;Paramètres!L50&amp;Paramètres!N50="",Dossiers!$D$56,MAX(IF(Paramètres!J50="",0,IF(Paramètres!K50="",NA(),IF(LEFT(TRIM(Paramètres!K50),1)="F",INDEX($F$2813:$F$2865,MATCH(Paramètres!J50,Paramètres!$G$5:$G$57,0)),INDEX($E$2813:$E$2865,MATCH(Paramètres!J50,Paramètres!$G$5:$G$57,0)))+IF(RIGHT(TRIM(Paramètres!K50),3)="Fin",1-$H2858,IF(LEFT(TRIM(Paramètres!K50),1)="F",1,0)))),IF(Paramètres!L50="",0,IF(Paramètres!M50="",NA(),IF(LEFT(TRIM(Paramètres!M50),1)="F",INDEX($F$2813:$F$2865,MATCH(Paramètres!L50,Paramètres!$G$5:$G$57,0)),INDEX($E$2813:$E$2865,MATCH(Paramètres!L50,Paramètres!$G$5:$G$57,0)))+IF(RIGHT(TRIM(Paramètres!M50),3)="Fin",1-$H2858,IF(LEFT(TRIM(Paramètres!M50),1)="F",1,0)))),IF(Paramètres!N50="",0,IF(Paramètres!O50="",NA(),IF(LEFT(TRIM(Paramètres!O50),1)="F",INDEX($F$2813:$F$2865,MATCH(Paramètres!N50,Paramètres!$G$5:$G$57,0)),INDEX($E$2813:$E$2865,MATCH(Paramètres!N50,Paramètres!$G$5:$G$57,0)))+IF(RIGHT(TRIM(Paramètres!O50),3)="Fin",1-$H2858,IF(LEFT(TRIM(Paramètres!O50),1)="F",1,0)))))))</f>
        <v/>
      </c>
      <c r="F2858" s="19">
        <f>IF($A2858="","",E2858+$H2858-1)</f>
        <v/>
      </c>
      <c r="G2858" s="18" t="n"/>
      <c r="H2858" s="18">
        <f>IF($A2858="","",IF(I2858&lt;&gt;"",I2858,Paramètres!B50))</f>
        <v/>
      </c>
      <c r="I2858" s="18" t="n"/>
    </row>
    <row r="2859">
      <c r="A2859" s="18">
        <f>IF(ISNUMBER(Dossiers!$D$56),Dossiers!$A$56&amp;" · "&amp;Dossiers!$B$56,"")</f>
        <v/>
      </c>
      <c r="B2859" s="18">
        <f>IF($A2859="","",Paramètres!G51)</f>
        <v/>
      </c>
      <c r="C2859" s="18">
        <f>IF($A2859="","",IF(Paramètres!H51="","",Paramètres!H51))</f>
        <v/>
      </c>
      <c r="D2859" s="18">
        <f>IF($A2859="","",IF(Paramètres!I51="","",Paramètres!I51))</f>
        <v/>
      </c>
      <c r="E2859" s="19">
        <f>IF($A2859="","",IF(Paramètres!J51&amp;Paramètres!L51&amp;Paramètres!N51="",Dossiers!$D$56,MAX(IF(Paramètres!J51="",0,IF(Paramètres!K51="",NA(),IF(LEFT(TRIM(Paramètres!K51),1)="F",INDEX($F$2813:$F$2865,MATCH(Paramètres!J51,Paramètres!$G$5:$G$57,0)),INDEX($E$2813:$E$2865,MATCH(Paramètres!J51,Paramètres!$G$5:$G$57,0)))+IF(RIGHT(TRIM(Paramètres!K51),3)="Fin",1-$H2859,IF(LEFT(TRIM(Paramètres!K51),1)="F",1,0)))),IF(Paramètres!L51="",0,IF(Paramètres!M51="",NA(),IF(LEFT(TRIM(Paramètres!M51),1)="F",INDEX($F$2813:$F$2865,MATCH(Paramètres!L51,Paramètres!$G$5:$G$57,0)),INDEX($E$2813:$E$2865,MATCH(Paramètres!L51,Paramètres!$G$5:$G$57,0)))+IF(RIGHT(TRIM(Paramètres!M51),3)="Fin",1-$H2859,IF(LEFT(TRIM(Paramètres!M51),1)="F",1,0)))),IF(Paramètres!N51="",0,IF(Paramètres!O51="",NA(),IF(LEFT(TRIM(Paramètres!O51),1)="F",INDEX($F$2813:$F$2865,MATCH(Paramètres!N51,Paramètres!$G$5:$G$57,0)),INDEX($E$2813:$E$2865,MATCH(Paramètres!N51,Paramètres!$G$5:$G$57,0)))+IF(RIGHT(TRIM(Paramètres!O51),3)="Fin",1-$H2859,IF(LEFT(TRIM(Paramètres!O51),1)="F",1,0)))))))</f>
        <v/>
      </c>
      <c r="F2859" s="19">
        <f>IF($A2859="","",E2859+$H2859-1)</f>
        <v/>
      </c>
      <c r="G2859" s="18" t="n"/>
      <c r="H2859" s="18">
        <f>IF($A2859="","",IF(I2859&lt;&gt;"",I2859,Paramètres!B51))</f>
        <v/>
      </c>
      <c r="I2859" s="18" t="n"/>
    </row>
    <row r="2860">
      <c r="A2860" s="18">
        <f>IF(ISNUMBER(Dossiers!$D$56),Dossiers!$A$56&amp;" · "&amp;Dossiers!$B$56,"")</f>
        <v/>
      </c>
      <c r="B2860" s="18">
        <f>IF($A2860="","",Paramètres!G52)</f>
        <v/>
      </c>
      <c r="C2860" s="18">
        <f>IF($A2860="","",IF(Paramètres!H52="","",Paramètres!H52))</f>
        <v/>
      </c>
      <c r="D2860" s="18">
        <f>IF($A2860="","",IF(Paramètres!I52="","",Paramètres!I52))</f>
        <v/>
      </c>
      <c r="E2860" s="19">
        <f>IF($A2860="","",IF(Paramètres!J52&amp;Paramètres!L52&amp;Paramètres!N52="",Dossiers!$D$56,MAX(IF(Paramètres!J52="",0,IF(Paramètres!K52="",NA(),IF(LEFT(TRIM(Paramètres!K52),1)="F",INDEX($F$2813:$F$2865,MATCH(Paramètres!J52,Paramètres!$G$5:$G$57,0)),INDEX($E$2813:$E$2865,MATCH(Paramètres!J52,Paramètres!$G$5:$G$57,0)))+IF(RIGHT(TRIM(Paramètres!K52),3)="Fin",1-$H2860,IF(LEFT(TRIM(Paramètres!K52),1)="F",1,0)))),IF(Paramètres!L52="",0,IF(Paramètres!M52="",NA(),IF(LEFT(TRIM(Paramètres!M52),1)="F",INDEX($F$2813:$F$2865,MATCH(Paramètres!L52,Paramètres!$G$5:$G$57,0)),INDEX($E$2813:$E$2865,MATCH(Paramètres!L52,Paramètres!$G$5:$G$57,0)))+IF(RIGHT(TRIM(Paramètres!M52),3)="Fin",1-$H2860,IF(LEFT(TRIM(Paramètres!M52),1)="F",1,0)))),IF(Paramètres!N52="",0,IF(Paramètres!O52="",NA(),IF(LEFT(TRIM(Paramètres!O52),1)="F",INDEX($F$2813:$F$2865,MATCH(Paramètres!N52,Paramètres!$G$5:$G$57,0)),INDEX($E$2813:$E$2865,MATCH(Paramètres!N52,Paramètres!$G$5:$G$57,0)))+IF(RIGHT(TRIM(Paramètres!O52),3)="Fin",1-$H2860,IF(LEFT(TRIM(Paramètres!O52),1)="F",1,0)))))))</f>
        <v/>
      </c>
      <c r="F2860" s="19">
        <f>IF($A2860="","",E2860+$H2860-1)</f>
        <v/>
      </c>
      <c r="G2860" s="18" t="n"/>
      <c r="H2860" s="18">
        <f>IF($A2860="","",IF(I2860&lt;&gt;"",I2860,Paramètres!B52))</f>
        <v/>
      </c>
      <c r="I2860" s="18" t="n"/>
    </row>
    <row r="2861">
      <c r="A2861" s="18">
        <f>IF(ISNUMBER(Dossiers!$D$56),Dossiers!$A$56&amp;" · "&amp;Dossiers!$B$56,"")</f>
        <v/>
      </c>
      <c r="B2861" s="18">
        <f>IF($A2861="","",Paramètres!G53)</f>
        <v/>
      </c>
      <c r="C2861" s="18">
        <f>IF($A2861="","",IF(Paramètres!H53="","",Paramètres!H53))</f>
        <v/>
      </c>
      <c r="D2861" s="18">
        <f>IF($A2861="","",IF(Paramètres!I53="","",Paramètres!I53))</f>
        <v/>
      </c>
      <c r="E2861" s="19">
        <f>IF($A2861="","",IF(Paramètres!J53&amp;Paramètres!L53&amp;Paramètres!N53="",Dossiers!$D$56,MAX(IF(Paramètres!J53="",0,IF(Paramètres!K53="",NA(),IF(LEFT(TRIM(Paramètres!K53),1)="F",INDEX($F$2813:$F$2865,MATCH(Paramètres!J53,Paramètres!$G$5:$G$57,0)),INDEX($E$2813:$E$2865,MATCH(Paramètres!J53,Paramètres!$G$5:$G$57,0)))+IF(RIGHT(TRIM(Paramètres!K53),3)="Fin",1-$H2861,IF(LEFT(TRIM(Paramètres!K53),1)="F",1,0)))),IF(Paramètres!L53="",0,IF(Paramètres!M53="",NA(),IF(LEFT(TRIM(Paramètres!M53),1)="F",INDEX($F$2813:$F$2865,MATCH(Paramètres!L53,Paramètres!$G$5:$G$57,0)),INDEX($E$2813:$E$2865,MATCH(Paramètres!L53,Paramètres!$G$5:$G$57,0)))+IF(RIGHT(TRIM(Paramètres!M53),3)="Fin",1-$H2861,IF(LEFT(TRIM(Paramètres!M53),1)="F",1,0)))),IF(Paramètres!N53="",0,IF(Paramètres!O53="",NA(),IF(LEFT(TRIM(Paramètres!O53),1)="F",INDEX($F$2813:$F$2865,MATCH(Paramètres!N53,Paramètres!$G$5:$G$57,0)),INDEX($E$2813:$E$2865,MATCH(Paramètres!N53,Paramètres!$G$5:$G$57,0)))+IF(RIGHT(TRIM(Paramètres!O53),3)="Fin",1-$H2861,IF(LEFT(TRIM(Paramètres!O53),1)="F",1,0)))))))</f>
        <v/>
      </c>
      <c r="F2861" s="19">
        <f>IF($A2861="","",E2861+$H2861-1)</f>
        <v/>
      </c>
      <c r="G2861" s="18" t="n"/>
      <c r="H2861" s="18">
        <f>IF($A2861="","",IF(I2861&lt;&gt;"",I2861,Paramètres!B53))</f>
        <v/>
      </c>
      <c r="I2861" s="18" t="n"/>
    </row>
    <row r="2862">
      <c r="A2862" s="18">
        <f>IF(ISNUMBER(Dossiers!$D$56),Dossiers!$A$56&amp;" · "&amp;Dossiers!$B$56,"")</f>
        <v/>
      </c>
      <c r="B2862" s="18">
        <f>IF($A2862="","",Paramètres!G54)</f>
        <v/>
      </c>
      <c r="C2862" s="18">
        <f>IF($A2862="","",IF(Paramètres!H54="","",Paramètres!H54))</f>
        <v/>
      </c>
      <c r="D2862" s="18">
        <f>IF($A2862="","",IF(Paramètres!I54="","",Paramètres!I54))</f>
        <v/>
      </c>
      <c r="E2862" s="19">
        <f>IF($A2862="","",IF(Paramètres!J54&amp;Paramètres!L54&amp;Paramètres!N54="",Dossiers!$D$56,MAX(IF(Paramètres!J54="",0,IF(Paramètres!K54="",NA(),IF(LEFT(TRIM(Paramètres!K54),1)="F",INDEX($F$2813:$F$2865,MATCH(Paramètres!J54,Paramètres!$G$5:$G$57,0)),INDEX($E$2813:$E$2865,MATCH(Paramètres!J54,Paramètres!$G$5:$G$57,0)))+IF(RIGHT(TRIM(Paramètres!K54),3)="Fin",1-$H2862,IF(LEFT(TRIM(Paramètres!K54),1)="F",1,0)))),IF(Paramètres!L54="",0,IF(Paramètres!M54="",NA(),IF(LEFT(TRIM(Paramètres!M54),1)="F",INDEX($F$2813:$F$2865,MATCH(Paramètres!L54,Paramètres!$G$5:$G$57,0)),INDEX($E$2813:$E$2865,MATCH(Paramètres!L54,Paramètres!$G$5:$G$57,0)))+IF(RIGHT(TRIM(Paramètres!M54),3)="Fin",1-$H2862,IF(LEFT(TRIM(Paramètres!M54),1)="F",1,0)))),IF(Paramètres!N54="",0,IF(Paramètres!O54="",NA(),IF(LEFT(TRIM(Paramètres!O54),1)="F",INDEX($F$2813:$F$2865,MATCH(Paramètres!N54,Paramètres!$G$5:$G$57,0)),INDEX($E$2813:$E$2865,MATCH(Paramètres!N54,Paramètres!$G$5:$G$57,0)))+IF(RIGHT(TRIM(Paramètres!O54),3)="Fin",1-$H2862,IF(LEFT(TRIM(Paramètres!O54),1)="F",1,0)))))))</f>
        <v/>
      </c>
      <c r="F2862" s="19">
        <f>IF($A2862="","",E2862+$H2862-1)</f>
        <v/>
      </c>
      <c r="G2862" s="18" t="n"/>
      <c r="H2862" s="18">
        <f>IF($A2862="","",IF(I2862&lt;&gt;"",I2862,Paramètres!B54))</f>
        <v/>
      </c>
      <c r="I2862" s="18" t="n"/>
    </row>
    <row r="2863">
      <c r="A2863" s="18">
        <f>IF(ISNUMBER(Dossiers!$D$56),Dossiers!$A$56&amp;" · "&amp;Dossiers!$B$56,"")</f>
        <v/>
      </c>
      <c r="B2863" s="18">
        <f>IF($A2863="","",Paramètres!G55)</f>
        <v/>
      </c>
      <c r="C2863" s="18">
        <f>IF($A2863="","",IF(Paramètres!H55="","",Paramètres!H55))</f>
        <v/>
      </c>
      <c r="D2863" s="18">
        <f>IF($A2863="","",IF(Paramètres!I55="","",Paramètres!I55))</f>
        <v/>
      </c>
      <c r="E2863" s="19">
        <f>IF($A2863="","",IF(Paramètres!J55&amp;Paramètres!L55&amp;Paramètres!N55="",Dossiers!$D$56,MAX(IF(Paramètres!J55="",0,IF(Paramètres!K55="",NA(),IF(LEFT(TRIM(Paramètres!K55),1)="F",INDEX($F$2813:$F$2865,MATCH(Paramètres!J55,Paramètres!$G$5:$G$57,0)),INDEX($E$2813:$E$2865,MATCH(Paramètres!J55,Paramètres!$G$5:$G$57,0)))+IF(RIGHT(TRIM(Paramètres!K55),3)="Fin",1-$H2863,IF(LEFT(TRIM(Paramètres!K55),1)="F",1,0)))),IF(Paramètres!L55="",0,IF(Paramètres!M55="",NA(),IF(LEFT(TRIM(Paramètres!M55),1)="F",INDEX($F$2813:$F$2865,MATCH(Paramètres!L55,Paramètres!$G$5:$G$57,0)),INDEX($E$2813:$E$2865,MATCH(Paramètres!L55,Paramètres!$G$5:$G$57,0)))+IF(RIGHT(TRIM(Paramètres!M55),3)="Fin",1-$H2863,IF(LEFT(TRIM(Paramètres!M55),1)="F",1,0)))),IF(Paramètres!N55="",0,IF(Paramètres!O55="",NA(),IF(LEFT(TRIM(Paramètres!O55),1)="F",INDEX($F$2813:$F$2865,MATCH(Paramètres!N55,Paramètres!$G$5:$G$57,0)),INDEX($E$2813:$E$2865,MATCH(Paramètres!N55,Paramètres!$G$5:$G$57,0)))+IF(RIGHT(TRIM(Paramètres!O55),3)="Fin",1-$H2863,IF(LEFT(TRIM(Paramètres!O55),1)="F",1,0)))))))</f>
        <v/>
      </c>
      <c r="F2863" s="19">
        <f>IF($A2863="","",E2863+$H2863-1)</f>
        <v/>
      </c>
      <c r="G2863" s="18" t="n"/>
      <c r="H2863" s="18">
        <f>IF($A2863="","",IF(I2863&lt;&gt;"",I2863,Paramètres!B55))</f>
        <v/>
      </c>
      <c r="I2863" s="18" t="n"/>
    </row>
    <row r="2864">
      <c r="A2864" s="18">
        <f>IF(ISNUMBER(Dossiers!$D$56),Dossiers!$A$56&amp;" · "&amp;Dossiers!$B$56,"")</f>
        <v/>
      </c>
      <c r="B2864" s="18">
        <f>IF($A2864="","",Paramètres!G56)</f>
        <v/>
      </c>
      <c r="C2864" s="18">
        <f>IF($A2864="","",IF(Paramètres!H56="","",Paramètres!H56))</f>
        <v/>
      </c>
      <c r="D2864" s="18">
        <f>IF($A2864="","",IF(Paramètres!I56="","",Paramètres!I56))</f>
        <v/>
      </c>
      <c r="E2864" s="19">
        <f>IF($A2864="","",MIN(E2865:E2865))</f>
        <v/>
      </c>
      <c r="F2864" s="19">
        <f>IF($A2864="","",MAX(F2865:F2865))</f>
        <v/>
      </c>
      <c r="G2864" s="18" t="n"/>
      <c r="H2864" s="18">
        <f>IF($A2864="","",F2864-E2864+1)</f>
        <v/>
      </c>
      <c r="I2864" s="18" t="n"/>
    </row>
    <row r="2865">
      <c r="A2865" s="18">
        <f>IF(ISNUMBER(Dossiers!$D$56),Dossiers!$A$56&amp;" · "&amp;Dossiers!$B$56,"")</f>
        <v/>
      </c>
      <c r="B2865" s="18">
        <f>IF($A2865="","",Paramètres!G57)</f>
        <v/>
      </c>
      <c r="C2865" s="18">
        <f>IF($A2865="","",IF(Paramètres!H57="","",Paramètres!H57))</f>
        <v/>
      </c>
      <c r="D2865" s="18">
        <f>IF($A2865="","",IF(Paramètres!I57="","",Paramètres!I57))</f>
        <v/>
      </c>
      <c r="E2865" s="19">
        <f>IF($A2865="","",IF(Paramètres!J57&amp;Paramètres!L57&amp;Paramètres!N57="",Dossiers!$D$56,MAX(IF(Paramètres!J57="",0,IF(Paramètres!K57="",NA(),IF(LEFT(TRIM(Paramètres!K57),1)="F",INDEX($F$2813:$F$2865,MATCH(Paramètres!J57,Paramètres!$G$5:$G$57,0)),INDEX($E$2813:$E$2865,MATCH(Paramètres!J57,Paramètres!$G$5:$G$57,0)))+IF(RIGHT(TRIM(Paramètres!K57),3)="Fin",1-$H2865,IF(LEFT(TRIM(Paramètres!K57),1)="F",1,0)))),IF(Paramètres!L57="",0,IF(Paramètres!M57="",NA(),IF(LEFT(TRIM(Paramètres!M57),1)="F",INDEX($F$2813:$F$2865,MATCH(Paramètres!L57,Paramètres!$G$5:$G$57,0)),INDEX($E$2813:$E$2865,MATCH(Paramètres!L57,Paramètres!$G$5:$G$57,0)))+IF(RIGHT(TRIM(Paramètres!M57),3)="Fin",1-$H2865,IF(LEFT(TRIM(Paramètres!M57),1)="F",1,0)))),IF(Paramètres!N57="",0,IF(Paramètres!O57="",NA(),IF(LEFT(TRIM(Paramètres!O57),1)="F",INDEX($F$2813:$F$2865,MATCH(Paramètres!N57,Paramètres!$G$5:$G$57,0)),INDEX($E$2813:$E$2865,MATCH(Paramètres!N57,Paramètres!$G$5:$G$57,0)))+IF(RIGHT(TRIM(Paramètres!O57),3)="Fin",1-$H2865,IF(LEFT(TRIM(Paramètres!O57),1)="F",1,0)))))))</f>
        <v/>
      </c>
      <c r="F2865" s="19">
        <f>IF($A2865="","",E2865+$H2865-1)</f>
        <v/>
      </c>
      <c r="G2865" s="18" t="n"/>
      <c r="H2865" s="18">
        <f>IF($A2865="","",IF(I2865&lt;&gt;"",I2865,Paramètres!B57))</f>
        <v/>
      </c>
      <c r="I2865" s="18" t="n"/>
    </row>
    <row r="2866">
      <c r="A2866" s="16">
        <f>IF(ISNUMBER(Dossiers!$D$57),Dossiers!$E$57,"")</f>
        <v/>
      </c>
      <c r="B2866" s="16">
        <f>IF($A2866="","","Identifiant")</f>
        <v/>
      </c>
      <c r="C2866" s="16">
        <f>IF($A2866="","","Macro Etape")</f>
        <v/>
      </c>
      <c r="D2866" s="16">
        <f>IF($A2866="","","Etape")</f>
        <v/>
      </c>
      <c r="E2866" s="17">
        <f>IF($A2866="","","Début le")</f>
        <v/>
      </c>
      <c r="F2866" s="17">
        <f>IF($A2866="","","Fin prévue le")</f>
        <v/>
      </c>
      <c r="G2866" s="16">
        <f>IF($A2866="","","Statut")</f>
        <v/>
      </c>
      <c r="H2866" s="16">
        <f>IF($A2866="","","Durée (jours)")</f>
        <v/>
      </c>
      <c r="I2866" s="16">
        <f>IF($A2866="","","Durée particulière")</f>
        <v/>
      </c>
      <c r="J2866" s="10">
        <f>IF($A2866="","",HYPERLINK("#'Tableau de bord'!A1","↑ Tableau de bord"))</f>
        <v/>
      </c>
    </row>
    <row r="2867">
      <c r="A2867" s="18">
        <f>IF(ISNUMBER(Dossiers!$D$57),Dossiers!$A$57&amp;" · "&amp;Dossiers!$B$57,"")</f>
        <v/>
      </c>
      <c r="B2867" s="18">
        <f>IF($A2867="","",Paramètres!G5)</f>
        <v/>
      </c>
      <c r="C2867" s="18">
        <f>IF($A2867="","",IF(Paramètres!H5="","",Paramètres!H5))</f>
        <v/>
      </c>
      <c r="D2867" s="18">
        <f>IF($A2867="","",IF(Paramètres!I5="","",Paramètres!I5))</f>
        <v/>
      </c>
      <c r="E2867" s="19">
        <f>IF($A2867="","",MIN(E2868:E2871))</f>
        <v/>
      </c>
      <c r="F2867" s="19">
        <f>IF($A2867="","",MAX(F2868:F2871))</f>
        <v/>
      </c>
      <c r="G2867" s="18" t="n"/>
      <c r="H2867" s="18">
        <f>IF($A2867="","",F2867-E2867+1)</f>
        <v/>
      </c>
      <c r="I2867" s="18" t="n"/>
    </row>
    <row r="2868">
      <c r="A2868" s="18">
        <f>IF(ISNUMBER(Dossiers!$D$57),Dossiers!$A$57&amp;" · "&amp;Dossiers!$B$57,"")</f>
        <v/>
      </c>
      <c r="B2868" s="18">
        <f>IF($A2868="","",Paramètres!G6)</f>
        <v/>
      </c>
      <c r="C2868" s="18">
        <f>IF($A2868="","",IF(Paramètres!H6="","",Paramètres!H6))</f>
        <v/>
      </c>
      <c r="D2868" s="18">
        <f>IF($A2868="","",IF(Paramètres!I6="","",Paramètres!I6))</f>
        <v/>
      </c>
      <c r="E2868" s="19">
        <f>IF($A2868="","",IF(Paramètres!J6&amp;Paramètres!L6&amp;Paramètres!N6="",Dossiers!$D$57,MAX(IF(Paramètres!J6="",0,IF(Paramètres!K6="",NA(),IF(LEFT(TRIM(Paramètres!K6),1)="F",INDEX($F$2867:$F$2919,MATCH(Paramètres!J6,Paramètres!$G$5:$G$57,0)),INDEX($E$2867:$E$2919,MATCH(Paramètres!J6,Paramètres!$G$5:$G$57,0)))+IF(RIGHT(TRIM(Paramètres!K6),3)="Fin",1-$H2868,IF(LEFT(TRIM(Paramètres!K6),1)="F",1,0)))),IF(Paramètres!L6="",0,IF(Paramètres!M6="",NA(),IF(LEFT(TRIM(Paramètres!M6),1)="F",INDEX($F$2867:$F$2919,MATCH(Paramètres!L6,Paramètres!$G$5:$G$57,0)),INDEX($E$2867:$E$2919,MATCH(Paramètres!L6,Paramètres!$G$5:$G$57,0)))+IF(RIGHT(TRIM(Paramètres!M6),3)="Fin",1-$H2868,IF(LEFT(TRIM(Paramètres!M6),1)="F",1,0)))),IF(Paramètres!N6="",0,IF(Paramètres!O6="",NA(),IF(LEFT(TRIM(Paramètres!O6),1)="F",INDEX($F$2867:$F$2919,MATCH(Paramètres!N6,Paramètres!$G$5:$G$57,0)),INDEX($E$2867:$E$2919,MATCH(Paramètres!N6,Paramètres!$G$5:$G$57,0)))+IF(RIGHT(TRIM(Paramètres!O6),3)="Fin",1-$H2868,IF(LEFT(TRIM(Paramètres!O6),1)="F",1,0)))))))</f>
        <v/>
      </c>
      <c r="F2868" s="19">
        <f>IF($A2868="","",E2868+$H2868-1)</f>
        <v/>
      </c>
      <c r="G2868" s="18" t="n"/>
      <c r="H2868" s="18">
        <f>IF($A2868="","",IF(I2868&lt;&gt;"",I2868,Paramètres!B6))</f>
        <v/>
      </c>
      <c r="I2868" s="18" t="n"/>
    </row>
    <row r="2869">
      <c r="A2869" s="18">
        <f>IF(ISNUMBER(Dossiers!$D$57),Dossiers!$A$57&amp;" · "&amp;Dossiers!$B$57,"")</f>
        <v/>
      </c>
      <c r="B2869" s="18">
        <f>IF($A2869="","",Paramètres!G7)</f>
        <v/>
      </c>
      <c r="C2869" s="18">
        <f>IF($A2869="","",IF(Paramètres!H7="","",Paramètres!H7))</f>
        <v/>
      </c>
      <c r="D2869" s="18">
        <f>IF($A2869="","",IF(Paramètres!I7="","",Paramètres!I7))</f>
        <v/>
      </c>
      <c r="E2869" s="19">
        <f>IF($A2869="","",IF(Paramètres!J7&amp;Paramètres!L7&amp;Paramètres!N7="",Dossiers!$D$57,MAX(IF(Paramètres!J7="",0,IF(Paramètres!K7="",NA(),IF(LEFT(TRIM(Paramètres!K7),1)="F",INDEX($F$2867:$F$2919,MATCH(Paramètres!J7,Paramètres!$G$5:$G$57,0)),INDEX($E$2867:$E$2919,MATCH(Paramètres!J7,Paramètres!$G$5:$G$57,0)))+IF(RIGHT(TRIM(Paramètres!K7),3)="Fin",1-$H2869,IF(LEFT(TRIM(Paramètres!K7),1)="F",1,0)))),IF(Paramètres!L7="",0,IF(Paramètres!M7="",NA(),IF(LEFT(TRIM(Paramètres!M7),1)="F",INDEX($F$2867:$F$2919,MATCH(Paramètres!L7,Paramètres!$G$5:$G$57,0)),INDEX($E$2867:$E$2919,MATCH(Paramètres!L7,Paramètres!$G$5:$G$57,0)))+IF(RIGHT(TRIM(Paramètres!M7),3)="Fin",1-$H2869,IF(LEFT(TRIM(Paramètres!M7),1)="F",1,0)))),IF(Paramètres!N7="",0,IF(Paramètres!O7="",NA(),IF(LEFT(TRIM(Paramètres!O7),1)="F",INDEX($F$2867:$F$2919,MATCH(Paramètres!N7,Paramètres!$G$5:$G$57,0)),INDEX($E$2867:$E$2919,MATCH(Paramètres!N7,Paramètres!$G$5:$G$57,0)))+IF(RIGHT(TRIM(Paramètres!O7),3)="Fin",1-$H2869,IF(LEFT(TRIM(Paramètres!O7),1)="F",1,0)))))))</f>
        <v/>
      </c>
      <c r="F2869" s="19">
        <f>IF($A2869="","",E2869+$H2869-1)</f>
        <v/>
      </c>
      <c r="G2869" s="18" t="n"/>
      <c r="H2869" s="18">
        <f>IF($A2869="","",IF(I2869&lt;&gt;"",I2869,Paramètres!B7))</f>
        <v/>
      </c>
      <c r="I2869" s="18" t="n"/>
    </row>
    <row r="2870">
      <c r="A2870" s="18">
        <f>IF(ISNUMBER(Dossiers!$D$57),Dossiers!$A$57&amp;" · "&amp;Dossiers!$B$57,"")</f>
        <v/>
      </c>
      <c r="B2870" s="18">
        <f>IF($A2870="","",Paramètres!G8)</f>
        <v/>
      </c>
      <c r="C2870" s="18">
        <f>IF($A2870="","",IF(Paramètres!H8="","",Paramètres!H8))</f>
        <v/>
      </c>
      <c r="D2870" s="18">
        <f>IF($A2870="","",IF(Paramètres!I8="","",Paramètres!I8))</f>
        <v/>
      </c>
      <c r="E2870" s="19">
        <f>IF($A2870="","",IF(Paramètres!J8&amp;Paramètres!L8&amp;Paramètres!N8="",Dossiers!$D$57,MAX(IF(Paramètres!J8="",0,IF(Paramètres!K8="",NA(),IF(LEFT(TRIM(Paramètres!K8),1)="F",INDEX($F$2867:$F$2919,MATCH(Paramètres!J8,Paramètres!$G$5:$G$57,0)),INDEX($E$2867:$E$2919,MATCH(Paramètres!J8,Paramètres!$G$5:$G$57,0)))+IF(RIGHT(TRIM(Paramètres!K8),3)="Fin",1-$H2870,IF(LEFT(TRIM(Paramètres!K8),1)="F",1,0)))),IF(Paramètres!L8="",0,IF(Paramètres!M8="",NA(),IF(LEFT(TRIM(Paramètres!M8),1)="F",INDEX($F$2867:$F$2919,MATCH(Paramètres!L8,Paramètres!$G$5:$G$57,0)),INDEX($E$2867:$E$2919,MATCH(Paramètres!L8,Paramètres!$G$5:$G$57,0)))+IF(RIGHT(TRIM(Paramètres!M8),3)="Fin",1-$H2870,IF(LEFT(TRIM(Paramètres!M8),1)="F",1,0)))),IF(Paramètres!N8="",0,IF(Paramètres!O8="",NA(),IF(LEFT(TRIM(Paramètres!O8),1)="F",INDEX($F$2867:$F$2919,MATCH(Paramètres!N8,Paramètres!$G$5:$G$57,0)),INDEX($E$2867:$E$2919,MATCH(Paramètres!N8,Paramètres!$G$5:$G$57,0)))+IF(RIGHT(TRIM(Paramètres!O8),3)="Fin",1-$H2870,IF(LEFT(TRIM(Paramètres!O8),1)="F",1,0)))))))</f>
        <v/>
      </c>
      <c r="F2870" s="19">
        <f>IF($A2870="","",E2870+$H2870-1)</f>
        <v/>
      </c>
      <c r="G2870" s="18" t="n"/>
      <c r="H2870" s="18">
        <f>IF($A2870="","",IF(I2870&lt;&gt;"",I2870,Paramètres!B8))</f>
        <v/>
      </c>
      <c r="I2870" s="18" t="n"/>
    </row>
    <row r="2871">
      <c r="A2871" s="18">
        <f>IF(ISNUMBER(Dossiers!$D$57),Dossiers!$A$57&amp;" · "&amp;Dossiers!$B$57,"")</f>
        <v/>
      </c>
      <c r="B2871" s="18">
        <f>IF($A2871="","",Paramètres!G9)</f>
        <v/>
      </c>
      <c r="C2871" s="18">
        <f>IF($A2871="","",IF(Paramètres!H9="","",Paramètres!H9))</f>
        <v/>
      </c>
      <c r="D2871" s="18">
        <f>IF($A2871="","",IF(Paramètres!I9="","",Paramètres!I9))</f>
        <v/>
      </c>
      <c r="E2871" s="19">
        <f>IF($A2871="","",IF(Paramètres!J9&amp;Paramètres!L9&amp;Paramètres!N9="",Dossiers!$D$57,MAX(IF(Paramètres!J9="",0,IF(Paramètres!K9="",NA(),IF(LEFT(TRIM(Paramètres!K9),1)="F",INDEX($F$2867:$F$2919,MATCH(Paramètres!J9,Paramètres!$G$5:$G$57,0)),INDEX($E$2867:$E$2919,MATCH(Paramètres!J9,Paramètres!$G$5:$G$57,0)))+IF(RIGHT(TRIM(Paramètres!K9),3)="Fin",1-$H2871,IF(LEFT(TRIM(Paramètres!K9),1)="F",1,0)))),IF(Paramètres!L9="",0,IF(Paramètres!M9="",NA(),IF(LEFT(TRIM(Paramètres!M9),1)="F",INDEX($F$2867:$F$2919,MATCH(Paramètres!L9,Paramètres!$G$5:$G$57,0)),INDEX($E$2867:$E$2919,MATCH(Paramètres!L9,Paramètres!$G$5:$G$57,0)))+IF(RIGHT(TRIM(Paramètres!M9),3)="Fin",1-$H2871,IF(LEFT(TRIM(Paramètres!M9),1)="F",1,0)))),IF(Paramètres!N9="",0,IF(Paramètres!O9="",NA(),IF(LEFT(TRIM(Paramètres!O9),1)="F",INDEX($F$2867:$F$2919,MATCH(Paramètres!N9,Paramètres!$G$5:$G$57,0)),INDEX($E$2867:$E$2919,MATCH(Paramètres!N9,Paramètres!$G$5:$G$57,0)))+IF(RIGHT(TRIM(Paramètres!O9),3)="Fin",1-$H2871,IF(LEFT(TRIM(Paramètres!O9),1)="F",1,0)))))))</f>
        <v/>
      </c>
      <c r="F2871" s="19">
        <f>IF($A2871="","",E2871+$H2871-1)</f>
        <v/>
      </c>
      <c r="G2871" s="18" t="n"/>
      <c r="H2871" s="18">
        <f>IF($A2871="","",IF(I2871&lt;&gt;"",I2871,Paramètres!B9))</f>
        <v/>
      </c>
      <c r="I2871" s="18" t="n"/>
    </row>
    <row r="2872">
      <c r="A2872" s="18">
        <f>IF(ISNUMBER(Dossiers!$D$57),Dossiers!$A$57&amp;" · "&amp;Dossiers!$B$57,"")</f>
        <v/>
      </c>
      <c r="B2872" s="18">
        <f>IF($A2872="","",Paramètres!G10)</f>
        <v/>
      </c>
      <c r="C2872" s="18">
        <f>IF($A2872="","",IF(Paramètres!H10="","",Paramètres!H10))</f>
        <v/>
      </c>
      <c r="D2872" s="18">
        <f>IF($A2872="","",IF(Paramètres!I10="","",Paramètres!I10))</f>
        <v/>
      </c>
      <c r="E2872" s="19">
        <f>IF($A2872="","",MIN(E2873:E2876))</f>
        <v/>
      </c>
      <c r="F2872" s="19">
        <f>IF($A2872="","",MAX(F2873:F2876))</f>
        <v/>
      </c>
      <c r="G2872" s="18" t="n"/>
      <c r="H2872" s="18">
        <f>IF($A2872="","",F2872-E2872+1)</f>
        <v/>
      </c>
      <c r="I2872" s="18" t="n"/>
    </row>
    <row r="2873">
      <c r="A2873" s="18">
        <f>IF(ISNUMBER(Dossiers!$D$57),Dossiers!$A$57&amp;" · "&amp;Dossiers!$B$57,"")</f>
        <v/>
      </c>
      <c r="B2873" s="18">
        <f>IF($A2873="","",Paramètres!G11)</f>
        <v/>
      </c>
      <c r="C2873" s="18">
        <f>IF($A2873="","",IF(Paramètres!H11="","",Paramètres!H11))</f>
        <v/>
      </c>
      <c r="D2873" s="18">
        <f>IF($A2873="","",IF(Paramètres!I11="","",Paramètres!I11))</f>
        <v/>
      </c>
      <c r="E2873" s="19">
        <f>IF($A2873="","",IF(Paramètres!J11&amp;Paramètres!L11&amp;Paramètres!N11="",Dossiers!$D$57,MAX(IF(Paramètres!J11="",0,IF(Paramètres!K11="",NA(),IF(LEFT(TRIM(Paramètres!K11),1)="F",INDEX($F$2867:$F$2919,MATCH(Paramètres!J11,Paramètres!$G$5:$G$57,0)),INDEX($E$2867:$E$2919,MATCH(Paramètres!J11,Paramètres!$G$5:$G$57,0)))+IF(RIGHT(TRIM(Paramètres!K11),3)="Fin",1-$H2873,IF(LEFT(TRIM(Paramètres!K11),1)="F",1,0)))),IF(Paramètres!L11="",0,IF(Paramètres!M11="",NA(),IF(LEFT(TRIM(Paramètres!M11),1)="F",INDEX($F$2867:$F$2919,MATCH(Paramètres!L11,Paramètres!$G$5:$G$57,0)),INDEX($E$2867:$E$2919,MATCH(Paramètres!L11,Paramètres!$G$5:$G$57,0)))+IF(RIGHT(TRIM(Paramètres!M11),3)="Fin",1-$H2873,IF(LEFT(TRIM(Paramètres!M11),1)="F",1,0)))),IF(Paramètres!N11="",0,IF(Paramètres!O11="",NA(),IF(LEFT(TRIM(Paramètres!O11),1)="F",INDEX($F$2867:$F$2919,MATCH(Paramètres!N11,Paramètres!$G$5:$G$57,0)),INDEX($E$2867:$E$2919,MATCH(Paramètres!N11,Paramètres!$G$5:$G$57,0)))+IF(RIGHT(TRIM(Paramètres!O11),3)="Fin",1-$H2873,IF(LEFT(TRIM(Paramètres!O11),1)="F",1,0)))))))</f>
        <v/>
      </c>
      <c r="F2873" s="19">
        <f>IF($A2873="","",E2873+$H2873-1)</f>
        <v/>
      </c>
      <c r="G2873" s="18" t="n"/>
      <c r="H2873" s="18">
        <f>IF($A2873="","",IF(I2873&lt;&gt;"",I2873,Paramètres!B11))</f>
        <v/>
      </c>
      <c r="I2873" s="18" t="n"/>
    </row>
    <row r="2874">
      <c r="A2874" s="18">
        <f>IF(ISNUMBER(Dossiers!$D$57),Dossiers!$A$57&amp;" · "&amp;Dossiers!$B$57,"")</f>
        <v/>
      </c>
      <c r="B2874" s="18">
        <f>IF($A2874="","",Paramètres!G12)</f>
        <v/>
      </c>
      <c r="C2874" s="18">
        <f>IF($A2874="","",IF(Paramètres!H12="","",Paramètres!H12))</f>
        <v/>
      </c>
      <c r="D2874" s="18">
        <f>IF($A2874="","",IF(Paramètres!I12="","",Paramètres!I12))</f>
        <v/>
      </c>
      <c r="E2874" s="19">
        <f>IF($A2874="","",IF(Paramètres!J12&amp;Paramètres!L12&amp;Paramètres!N12="",Dossiers!$D$57,MAX(IF(Paramètres!J12="",0,IF(Paramètres!K12="",NA(),IF(LEFT(TRIM(Paramètres!K12),1)="F",INDEX($F$2867:$F$2919,MATCH(Paramètres!J12,Paramètres!$G$5:$G$57,0)),INDEX($E$2867:$E$2919,MATCH(Paramètres!J12,Paramètres!$G$5:$G$57,0)))+IF(RIGHT(TRIM(Paramètres!K12),3)="Fin",1-$H2874,IF(LEFT(TRIM(Paramètres!K12),1)="F",1,0)))),IF(Paramètres!L12="",0,IF(Paramètres!M12="",NA(),IF(LEFT(TRIM(Paramètres!M12),1)="F",INDEX($F$2867:$F$2919,MATCH(Paramètres!L12,Paramètres!$G$5:$G$57,0)),INDEX($E$2867:$E$2919,MATCH(Paramètres!L12,Paramètres!$G$5:$G$57,0)))+IF(RIGHT(TRIM(Paramètres!M12),3)="Fin",1-$H2874,IF(LEFT(TRIM(Paramètres!M12),1)="F",1,0)))),IF(Paramètres!N12="",0,IF(Paramètres!O12="",NA(),IF(LEFT(TRIM(Paramètres!O12),1)="F",INDEX($F$2867:$F$2919,MATCH(Paramètres!N12,Paramètres!$G$5:$G$57,0)),INDEX($E$2867:$E$2919,MATCH(Paramètres!N12,Paramètres!$G$5:$G$57,0)))+IF(RIGHT(TRIM(Paramètres!O12),3)="Fin",1-$H2874,IF(LEFT(TRIM(Paramètres!O12),1)="F",1,0)))))))</f>
        <v/>
      </c>
      <c r="F2874" s="19">
        <f>IF($A2874="","",E2874+$H2874-1)</f>
        <v/>
      </c>
      <c r="G2874" s="18" t="n"/>
      <c r="H2874" s="18">
        <f>IF($A2874="","",IF(I2874&lt;&gt;"",I2874,Paramètres!B12))</f>
        <v/>
      </c>
      <c r="I2874" s="18" t="n"/>
    </row>
    <row r="2875">
      <c r="A2875" s="18">
        <f>IF(ISNUMBER(Dossiers!$D$57),Dossiers!$A$57&amp;" · "&amp;Dossiers!$B$57,"")</f>
        <v/>
      </c>
      <c r="B2875" s="18">
        <f>IF($A2875="","",Paramètres!G13)</f>
        <v/>
      </c>
      <c r="C2875" s="18">
        <f>IF($A2875="","",IF(Paramètres!H13="","",Paramètres!H13))</f>
        <v/>
      </c>
      <c r="D2875" s="18">
        <f>IF($A2875="","",IF(Paramètres!I13="","",Paramètres!I13))</f>
        <v/>
      </c>
      <c r="E2875" s="19">
        <f>IF($A2875="","",IF(Paramètres!J13&amp;Paramètres!L13&amp;Paramètres!N13="",Dossiers!$D$57,MAX(IF(Paramètres!J13="",0,IF(Paramètres!K13="",NA(),IF(LEFT(TRIM(Paramètres!K13),1)="F",INDEX($F$2867:$F$2919,MATCH(Paramètres!J13,Paramètres!$G$5:$G$57,0)),INDEX($E$2867:$E$2919,MATCH(Paramètres!J13,Paramètres!$G$5:$G$57,0)))+IF(RIGHT(TRIM(Paramètres!K13),3)="Fin",1-$H2875,IF(LEFT(TRIM(Paramètres!K13),1)="F",1,0)))),IF(Paramètres!L13="",0,IF(Paramètres!M13="",NA(),IF(LEFT(TRIM(Paramètres!M13),1)="F",INDEX($F$2867:$F$2919,MATCH(Paramètres!L13,Paramètres!$G$5:$G$57,0)),INDEX($E$2867:$E$2919,MATCH(Paramètres!L13,Paramètres!$G$5:$G$57,0)))+IF(RIGHT(TRIM(Paramètres!M13),3)="Fin",1-$H2875,IF(LEFT(TRIM(Paramètres!M13),1)="F",1,0)))),IF(Paramètres!N13="",0,IF(Paramètres!O13="",NA(),IF(LEFT(TRIM(Paramètres!O13),1)="F",INDEX($F$2867:$F$2919,MATCH(Paramètres!N13,Paramètres!$G$5:$G$57,0)),INDEX($E$2867:$E$2919,MATCH(Paramètres!N13,Paramètres!$G$5:$G$57,0)))+IF(RIGHT(TRIM(Paramètres!O13),3)="Fin",1-$H2875,IF(LEFT(TRIM(Paramètres!O13),1)="F",1,0)))))))</f>
        <v/>
      </c>
      <c r="F2875" s="19">
        <f>IF($A2875="","",E2875+$H2875-1)</f>
        <v/>
      </c>
      <c r="G2875" s="18" t="n"/>
      <c r="H2875" s="18">
        <f>IF($A2875="","",IF(I2875&lt;&gt;"",I2875,Paramètres!B13))</f>
        <v/>
      </c>
      <c r="I2875" s="18" t="n"/>
    </row>
    <row r="2876">
      <c r="A2876" s="18">
        <f>IF(ISNUMBER(Dossiers!$D$57),Dossiers!$A$57&amp;" · "&amp;Dossiers!$B$57,"")</f>
        <v/>
      </c>
      <c r="B2876" s="18">
        <f>IF($A2876="","",Paramètres!G14)</f>
        <v/>
      </c>
      <c r="C2876" s="18">
        <f>IF($A2876="","",IF(Paramètres!H14="","",Paramètres!H14))</f>
        <v/>
      </c>
      <c r="D2876" s="18">
        <f>IF($A2876="","",IF(Paramètres!I14="","",Paramètres!I14))</f>
        <v/>
      </c>
      <c r="E2876" s="19">
        <f>IF($A2876="","",IF(Paramètres!J14&amp;Paramètres!L14&amp;Paramètres!N14="",Dossiers!$D$57,MAX(IF(Paramètres!J14="",0,IF(Paramètres!K14="",NA(),IF(LEFT(TRIM(Paramètres!K14),1)="F",INDEX($F$2867:$F$2919,MATCH(Paramètres!J14,Paramètres!$G$5:$G$57,0)),INDEX($E$2867:$E$2919,MATCH(Paramètres!J14,Paramètres!$G$5:$G$57,0)))+IF(RIGHT(TRIM(Paramètres!K14),3)="Fin",1-$H2876,IF(LEFT(TRIM(Paramètres!K14),1)="F",1,0)))),IF(Paramètres!L14="",0,IF(Paramètres!M14="",NA(),IF(LEFT(TRIM(Paramètres!M14),1)="F",INDEX($F$2867:$F$2919,MATCH(Paramètres!L14,Paramètres!$G$5:$G$57,0)),INDEX($E$2867:$E$2919,MATCH(Paramètres!L14,Paramètres!$G$5:$G$57,0)))+IF(RIGHT(TRIM(Paramètres!M14),3)="Fin",1-$H2876,IF(LEFT(TRIM(Paramètres!M14),1)="F",1,0)))),IF(Paramètres!N14="",0,IF(Paramètres!O14="",NA(),IF(LEFT(TRIM(Paramètres!O14),1)="F",INDEX($F$2867:$F$2919,MATCH(Paramètres!N14,Paramètres!$G$5:$G$57,0)),INDEX($E$2867:$E$2919,MATCH(Paramètres!N14,Paramètres!$G$5:$G$57,0)))+IF(RIGHT(TRIM(Paramètres!O14),3)="Fin",1-$H2876,IF(LEFT(TRIM(Paramètres!O14),1)="F",1,0)))))))</f>
        <v/>
      </c>
      <c r="F2876" s="19">
        <f>IF($A2876="","",E2876+$H2876-1)</f>
        <v/>
      </c>
      <c r="G2876" s="18" t="n"/>
      <c r="H2876" s="18">
        <f>IF($A2876="","",IF(I2876&lt;&gt;"",I2876,Paramètres!B14))</f>
        <v/>
      </c>
      <c r="I2876" s="18" t="n"/>
    </row>
    <row r="2877">
      <c r="A2877" s="18">
        <f>IF(ISNUMBER(Dossiers!$D$57),Dossiers!$A$57&amp;" · "&amp;Dossiers!$B$57,"")</f>
        <v/>
      </c>
      <c r="B2877" s="18">
        <f>IF($A2877="","",Paramètres!G15)</f>
        <v/>
      </c>
      <c r="C2877" s="18">
        <f>IF($A2877="","",IF(Paramètres!H15="","",Paramètres!H15))</f>
        <v/>
      </c>
      <c r="D2877" s="18">
        <f>IF($A2877="","",IF(Paramètres!I15="","",Paramètres!I15))</f>
        <v/>
      </c>
      <c r="E2877" s="19">
        <f>IF($A2877="","",MIN(E2878:E2893))</f>
        <v/>
      </c>
      <c r="F2877" s="19">
        <f>IF($A2877="","",MAX(F2878:F2893))</f>
        <v/>
      </c>
      <c r="G2877" s="18" t="n"/>
      <c r="H2877" s="18">
        <f>IF($A2877="","",F2877-E2877+1)</f>
        <v/>
      </c>
      <c r="I2877" s="18" t="n"/>
    </row>
    <row r="2878">
      <c r="A2878" s="18">
        <f>IF(ISNUMBER(Dossiers!$D$57),Dossiers!$A$57&amp;" · "&amp;Dossiers!$B$57,"")</f>
        <v/>
      </c>
      <c r="B2878" s="18">
        <f>IF($A2878="","",Paramètres!G16)</f>
        <v/>
      </c>
      <c r="C2878" s="18">
        <f>IF($A2878="","",IF(Paramètres!H16="","",Paramètres!H16))</f>
        <v/>
      </c>
      <c r="D2878" s="18">
        <f>IF($A2878="","",IF(Paramètres!I16="","",Paramètres!I16))</f>
        <v/>
      </c>
      <c r="E2878" s="19">
        <f>IF($A2878="","",IF(Paramètres!J16&amp;Paramètres!L16&amp;Paramètres!N16="",Dossiers!$D$57,MAX(IF(Paramètres!J16="",0,IF(Paramètres!K16="",NA(),IF(LEFT(TRIM(Paramètres!K16),1)="F",INDEX($F$2867:$F$2919,MATCH(Paramètres!J16,Paramètres!$G$5:$G$57,0)),INDEX($E$2867:$E$2919,MATCH(Paramètres!J16,Paramètres!$G$5:$G$57,0)))+IF(RIGHT(TRIM(Paramètres!K16),3)="Fin",1-$H2878,IF(LEFT(TRIM(Paramètres!K16),1)="F",1,0)))),IF(Paramètres!L16="",0,IF(Paramètres!M16="",NA(),IF(LEFT(TRIM(Paramètres!M16),1)="F",INDEX($F$2867:$F$2919,MATCH(Paramètres!L16,Paramètres!$G$5:$G$57,0)),INDEX($E$2867:$E$2919,MATCH(Paramètres!L16,Paramètres!$G$5:$G$57,0)))+IF(RIGHT(TRIM(Paramètres!M16),3)="Fin",1-$H2878,IF(LEFT(TRIM(Paramètres!M16),1)="F",1,0)))),IF(Paramètres!N16="",0,IF(Paramètres!O16="",NA(),IF(LEFT(TRIM(Paramètres!O16),1)="F",INDEX($F$2867:$F$2919,MATCH(Paramètres!N16,Paramètres!$G$5:$G$57,0)),INDEX($E$2867:$E$2919,MATCH(Paramètres!N16,Paramètres!$G$5:$G$57,0)))+IF(RIGHT(TRIM(Paramètres!O16),3)="Fin",1-$H2878,IF(LEFT(TRIM(Paramètres!O16),1)="F",1,0)))))))</f>
        <v/>
      </c>
      <c r="F2878" s="19">
        <f>IF($A2878="","",E2878+$H2878-1)</f>
        <v/>
      </c>
      <c r="G2878" s="18" t="n"/>
      <c r="H2878" s="18">
        <f>IF($A2878="","",IF(I2878&lt;&gt;"",I2878,Paramètres!B16))</f>
        <v/>
      </c>
      <c r="I2878" s="18" t="n"/>
    </row>
    <row r="2879">
      <c r="A2879" s="18">
        <f>IF(ISNUMBER(Dossiers!$D$57),Dossiers!$A$57&amp;" · "&amp;Dossiers!$B$57,"")</f>
        <v/>
      </c>
      <c r="B2879" s="18">
        <f>IF($A2879="","",Paramètres!G17)</f>
        <v/>
      </c>
      <c r="C2879" s="18">
        <f>IF($A2879="","",IF(Paramètres!H17="","",Paramètres!H17))</f>
        <v/>
      </c>
      <c r="D2879" s="18">
        <f>IF($A2879="","",IF(Paramètres!I17="","",Paramètres!I17))</f>
        <v/>
      </c>
      <c r="E2879" s="19">
        <f>IF($A2879="","",IF(Paramètres!J17&amp;Paramètres!L17&amp;Paramètres!N17="",Dossiers!$D$57,MAX(IF(Paramètres!J17="",0,IF(Paramètres!K17="",NA(),IF(LEFT(TRIM(Paramètres!K17),1)="F",INDEX($F$2867:$F$2919,MATCH(Paramètres!J17,Paramètres!$G$5:$G$57,0)),INDEX($E$2867:$E$2919,MATCH(Paramètres!J17,Paramètres!$G$5:$G$57,0)))+IF(RIGHT(TRIM(Paramètres!K17),3)="Fin",1-$H2879,IF(LEFT(TRIM(Paramètres!K17),1)="F",1,0)))),IF(Paramètres!L17="",0,IF(Paramètres!M17="",NA(),IF(LEFT(TRIM(Paramètres!M17),1)="F",INDEX($F$2867:$F$2919,MATCH(Paramètres!L17,Paramètres!$G$5:$G$57,0)),INDEX($E$2867:$E$2919,MATCH(Paramètres!L17,Paramètres!$G$5:$G$57,0)))+IF(RIGHT(TRIM(Paramètres!M17),3)="Fin",1-$H2879,IF(LEFT(TRIM(Paramètres!M17),1)="F",1,0)))),IF(Paramètres!N17="",0,IF(Paramètres!O17="",NA(),IF(LEFT(TRIM(Paramètres!O17),1)="F",INDEX($F$2867:$F$2919,MATCH(Paramètres!N17,Paramètres!$G$5:$G$57,0)),INDEX($E$2867:$E$2919,MATCH(Paramètres!N17,Paramètres!$G$5:$G$57,0)))+IF(RIGHT(TRIM(Paramètres!O17),3)="Fin",1-$H2879,IF(LEFT(TRIM(Paramètres!O17),1)="F",1,0)))))))</f>
        <v/>
      </c>
      <c r="F2879" s="19">
        <f>IF($A2879="","",E2879+$H2879-1)</f>
        <v/>
      </c>
      <c r="G2879" s="18" t="n"/>
      <c r="H2879" s="18">
        <f>IF($A2879="","",IF(I2879&lt;&gt;"",I2879,Paramètres!B17))</f>
        <v/>
      </c>
      <c r="I2879" s="18" t="n"/>
    </row>
    <row r="2880">
      <c r="A2880" s="18">
        <f>IF(ISNUMBER(Dossiers!$D$57),Dossiers!$A$57&amp;" · "&amp;Dossiers!$B$57,"")</f>
        <v/>
      </c>
      <c r="B2880" s="18">
        <f>IF($A2880="","",Paramètres!G18)</f>
        <v/>
      </c>
      <c r="C2880" s="18">
        <f>IF($A2880="","",IF(Paramètres!H18="","",Paramètres!H18))</f>
        <v/>
      </c>
      <c r="D2880" s="18">
        <f>IF($A2880="","",IF(Paramètres!I18="","",Paramètres!I18))</f>
        <v/>
      </c>
      <c r="E2880" s="19">
        <f>IF($A2880="","",IF(Paramètres!J18&amp;Paramètres!L18&amp;Paramètres!N18="",Dossiers!$D$57,MAX(IF(Paramètres!J18="",0,IF(Paramètres!K18="",NA(),IF(LEFT(TRIM(Paramètres!K18),1)="F",INDEX($F$2867:$F$2919,MATCH(Paramètres!J18,Paramètres!$G$5:$G$57,0)),INDEX($E$2867:$E$2919,MATCH(Paramètres!J18,Paramètres!$G$5:$G$57,0)))+IF(RIGHT(TRIM(Paramètres!K18),3)="Fin",1-$H2880,IF(LEFT(TRIM(Paramètres!K18),1)="F",1,0)))),IF(Paramètres!L18="",0,IF(Paramètres!M18="",NA(),IF(LEFT(TRIM(Paramètres!M18),1)="F",INDEX($F$2867:$F$2919,MATCH(Paramètres!L18,Paramètres!$G$5:$G$57,0)),INDEX($E$2867:$E$2919,MATCH(Paramètres!L18,Paramètres!$G$5:$G$57,0)))+IF(RIGHT(TRIM(Paramètres!M18),3)="Fin",1-$H2880,IF(LEFT(TRIM(Paramètres!M18),1)="F",1,0)))),IF(Paramètres!N18="",0,IF(Paramètres!O18="",NA(),IF(LEFT(TRIM(Paramètres!O18),1)="F",INDEX($F$2867:$F$2919,MATCH(Paramètres!N18,Paramètres!$G$5:$G$57,0)),INDEX($E$2867:$E$2919,MATCH(Paramètres!N18,Paramètres!$G$5:$G$57,0)))+IF(RIGHT(TRIM(Paramètres!O18),3)="Fin",1-$H2880,IF(LEFT(TRIM(Paramètres!O18),1)="F",1,0)))))))</f>
        <v/>
      </c>
      <c r="F2880" s="19">
        <f>IF($A2880="","",E2880+$H2880-1)</f>
        <v/>
      </c>
      <c r="G2880" s="18" t="n"/>
      <c r="H2880" s="18">
        <f>IF($A2880="","",IF(I2880&lt;&gt;"",I2880,Paramètres!B18))</f>
        <v/>
      </c>
      <c r="I2880" s="18" t="n"/>
    </row>
    <row r="2881">
      <c r="A2881" s="18">
        <f>IF(ISNUMBER(Dossiers!$D$57),Dossiers!$A$57&amp;" · "&amp;Dossiers!$B$57,"")</f>
        <v/>
      </c>
      <c r="B2881" s="18">
        <f>IF($A2881="","",Paramètres!G19)</f>
        <v/>
      </c>
      <c r="C2881" s="18">
        <f>IF($A2881="","",IF(Paramètres!H19="","",Paramètres!H19))</f>
        <v/>
      </c>
      <c r="D2881" s="18">
        <f>IF($A2881="","",IF(Paramètres!I19="","",Paramètres!I19))</f>
        <v/>
      </c>
      <c r="E2881" s="19">
        <f>IF($A2881="","",IF(Paramètres!J19&amp;Paramètres!L19&amp;Paramètres!N19="",Dossiers!$D$57,MAX(IF(Paramètres!J19="",0,IF(Paramètres!K19="",NA(),IF(LEFT(TRIM(Paramètres!K19),1)="F",INDEX($F$2867:$F$2919,MATCH(Paramètres!J19,Paramètres!$G$5:$G$57,0)),INDEX($E$2867:$E$2919,MATCH(Paramètres!J19,Paramètres!$G$5:$G$57,0)))+IF(RIGHT(TRIM(Paramètres!K19),3)="Fin",1-$H2881,IF(LEFT(TRIM(Paramètres!K19),1)="F",1,0)))),IF(Paramètres!L19="",0,IF(Paramètres!M19="",NA(),IF(LEFT(TRIM(Paramètres!M19),1)="F",INDEX($F$2867:$F$2919,MATCH(Paramètres!L19,Paramètres!$G$5:$G$57,0)),INDEX($E$2867:$E$2919,MATCH(Paramètres!L19,Paramètres!$G$5:$G$57,0)))+IF(RIGHT(TRIM(Paramètres!M19),3)="Fin",1-$H2881,IF(LEFT(TRIM(Paramètres!M19),1)="F",1,0)))),IF(Paramètres!N19="",0,IF(Paramètres!O19="",NA(),IF(LEFT(TRIM(Paramètres!O19),1)="F",INDEX($F$2867:$F$2919,MATCH(Paramètres!N19,Paramètres!$G$5:$G$57,0)),INDEX($E$2867:$E$2919,MATCH(Paramètres!N19,Paramètres!$G$5:$G$57,0)))+IF(RIGHT(TRIM(Paramètres!O19),3)="Fin",1-$H2881,IF(LEFT(TRIM(Paramètres!O19),1)="F",1,0)))))))</f>
        <v/>
      </c>
      <c r="F2881" s="19">
        <f>IF($A2881="","",E2881+$H2881-1)</f>
        <v/>
      </c>
      <c r="G2881" s="18" t="n"/>
      <c r="H2881" s="18">
        <f>IF($A2881="","",IF(I2881&lt;&gt;"",I2881,Paramètres!B19))</f>
        <v/>
      </c>
      <c r="I2881" s="18" t="n"/>
    </row>
    <row r="2882">
      <c r="A2882" s="18">
        <f>IF(ISNUMBER(Dossiers!$D$57),Dossiers!$A$57&amp;" · "&amp;Dossiers!$B$57,"")</f>
        <v/>
      </c>
      <c r="B2882" s="18">
        <f>IF($A2882="","",Paramètres!G20)</f>
        <v/>
      </c>
      <c r="C2882" s="18">
        <f>IF($A2882="","",IF(Paramètres!H20="","",Paramètres!H20))</f>
        <v/>
      </c>
      <c r="D2882" s="18">
        <f>IF($A2882="","",IF(Paramètres!I20="","",Paramètres!I20))</f>
        <v/>
      </c>
      <c r="E2882" s="19">
        <f>IF($A2882="","",IF(Paramètres!J20&amp;Paramètres!L20&amp;Paramètres!N20="",Dossiers!$D$57,MAX(IF(Paramètres!J20="",0,IF(Paramètres!K20="",NA(),IF(LEFT(TRIM(Paramètres!K20),1)="F",INDEX($F$2867:$F$2919,MATCH(Paramètres!J20,Paramètres!$G$5:$G$57,0)),INDEX($E$2867:$E$2919,MATCH(Paramètres!J20,Paramètres!$G$5:$G$57,0)))+IF(RIGHT(TRIM(Paramètres!K20),3)="Fin",1-$H2882,IF(LEFT(TRIM(Paramètres!K20),1)="F",1,0)))),IF(Paramètres!L20="",0,IF(Paramètres!M20="",NA(),IF(LEFT(TRIM(Paramètres!M20),1)="F",INDEX($F$2867:$F$2919,MATCH(Paramètres!L20,Paramètres!$G$5:$G$57,0)),INDEX($E$2867:$E$2919,MATCH(Paramètres!L20,Paramètres!$G$5:$G$57,0)))+IF(RIGHT(TRIM(Paramètres!M20),3)="Fin",1-$H2882,IF(LEFT(TRIM(Paramètres!M20),1)="F",1,0)))),IF(Paramètres!N20="",0,IF(Paramètres!O20="",NA(),IF(LEFT(TRIM(Paramètres!O20),1)="F",INDEX($F$2867:$F$2919,MATCH(Paramètres!N20,Paramètres!$G$5:$G$57,0)),INDEX($E$2867:$E$2919,MATCH(Paramètres!N20,Paramètres!$G$5:$G$57,0)))+IF(RIGHT(TRIM(Paramètres!O20),3)="Fin",1-$H2882,IF(LEFT(TRIM(Paramètres!O20),1)="F",1,0)))))))</f>
        <v/>
      </c>
      <c r="F2882" s="19">
        <f>IF($A2882="","",E2882+$H2882-1)</f>
        <v/>
      </c>
      <c r="G2882" s="18" t="n"/>
      <c r="H2882" s="18">
        <f>IF($A2882="","",IF(I2882&lt;&gt;"",I2882,Paramètres!B20))</f>
        <v/>
      </c>
      <c r="I2882" s="18" t="n"/>
    </row>
    <row r="2883">
      <c r="A2883" s="18">
        <f>IF(ISNUMBER(Dossiers!$D$57),Dossiers!$A$57&amp;" · "&amp;Dossiers!$B$57,"")</f>
        <v/>
      </c>
      <c r="B2883" s="18">
        <f>IF($A2883="","",Paramètres!G21)</f>
        <v/>
      </c>
      <c r="C2883" s="18">
        <f>IF($A2883="","",IF(Paramètres!H21="","",Paramètres!H21))</f>
        <v/>
      </c>
      <c r="D2883" s="18">
        <f>IF($A2883="","",IF(Paramètres!I21="","",Paramètres!I21))</f>
        <v/>
      </c>
      <c r="E2883" s="19">
        <f>IF($A2883="","",IF(Paramètres!J21&amp;Paramètres!L21&amp;Paramètres!N21="",Dossiers!$D$57,MAX(IF(Paramètres!J21="",0,IF(Paramètres!K21="",NA(),IF(LEFT(TRIM(Paramètres!K21),1)="F",INDEX($F$2867:$F$2919,MATCH(Paramètres!J21,Paramètres!$G$5:$G$57,0)),INDEX($E$2867:$E$2919,MATCH(Paramètres!J21,Paramètres!$G$5:$G$57,0)))+IF(RIGHT(TRIM(Paramètres!K21),3)="Fin",1-$H2883,IF(LEFT(TRIM(Paramètres!K21),1)="F",1,0)))),IF(Paramètres!L21="",0,IF(Paramètres!M21="",NA(),IF(LEFT(TRIM(Paramètres!M21),1)="F",INDEX($F$2867:$F$2919,MATCH(Paramètres!L21,Paramètres!$G$5:$G$57,0)),INDEX($E$2867:$E$2919,MATCH(Paramètres!L21,Paramètres!$G$5:$G$57,0)))+IF(RIGHT(TRIM(Paramètres!M21),3)="Fin",1-$H2883,IF(LEFT(TRIM(Paramètres!M21),1)="F",1,0)))),IF(Paramètres!N21="",0,IF(Paramètres!O21="",NA(),IF(LEFT(TRIM(Paramètres!O21),1)="F",INDEX($F$2867:$F$2919,MATCH(Paramètres!N21,Paramètres!$G$5:$G$57,0)),INDEX($E$2867:$E$2919,MATCH(Paramètres!N21,Paramètres!$G$5:$G$57,0)))+IF(RIGHT(TRIM(Paramètres!O21),3)="Fin",1-$H2883,IF(LEFT(TRIM(Paramètres!O21),1)="F",1,0)))))))</f>
        <v/>
      </c>
      <c r="F2883" s="19">
        <f>IF($A2883="","",E2883+$H2883-1)</f>
        <v/>
      </c>
      <c r="G2883" s="18" t="n"/>
      <c r="H2883" s="18">
        <f>IF($A2883="","",IF(I2883&lt;&gt;"",I2883,Paramètres!B21))</f>
        <v/>
      </c>
      <c r="I2883" s="18" t="n"/>
    </row>
    <row r="2884">
      <c r="A2884" s="18">
        <f>IF(ISNUMBER(Dossiers!$D$57),Dossiers!$A$57&amp;" · "&amp;Dossiers!$B$57,"")</f>
        <v/>
      </c>
      <c r="B2884" s="18">
        <f>IF($A2884="","",Paramètres!G22)</f>
        <v/>
      </c>
      <c r="C2884" s="18">
        <f>IF($A2884="","",IF(Paramètres!H22="","",Paramètres!H22))</f>
        <v/>
      </c>
      <c r="D2884" s="18">
        <f>IF($A2884="","",IF(Paramètres!I22="","",Paramètres!I22))</f>
        <v/>
      </c>
      <c r="E2884" s="19">
        <f>IF($A2884="","",IF(Paramètres!J22&amp;Paramètres!L22&amp;Paramètres!N22="",Dossiers!$D$57,MAX(IF(Paramètres!J22="",0,IF(Paramètres!K22="",NA(),IF(LEFT(TRIM(Paramètres!K22),1)="F",INDEX($F$2867:$F$2919,MATCH(Paramètres!J22,Paramètres!$G$5:$G$57,0)),INDEX($E$2867:$E$2919,MATCH(Paramètres!J22,Paramètres!$G$5:$G$57,0)))+IF(RIGHT(TRIM(Paramètres!K22),3)="Fin",1-$H2884,IF(LEFT(TRIM(Paramètres!K22),1)="F",1,0)))),IF(Paramètres!L22="",0,IF(Paramètres!M22="",NA(),IF(LEFT(TRIM(Paramètres!M22),1)="F",INDEX($F$2867:$F$2919,MATCH(Paramètres!L22,Paramètres!$G$5:$G$57,0)),INDEX($E$2867:$E$2919,MATCH(Paramètres!L22,Paramètres!$G$5:$G$57,0)))+IF(RIGHT(TRIM(Paramètres!M22),3)="Fin",1-$H2884,IF(LEFT(TRIM(Paramètres!M22),1)="F",1,0)))),IF(Paramètres!N22="",0,IF(Paramètres!O22="",NA(),IF(LEFT(TRIM(Paramètres!O22),1)="F",INDEX($F$2867:$F$2919,MATCH(Paramètres!N22,Paramètres!$G$5:$G$57,0)),INDEX($E$2867:$E$2919,MATCH(Paramètres!N22,Paramètres!$G$5:$G$57,0)))+IF(RIGHT(TRIM(Paramètres!O22),3)="Fin",1-$H2884,IF(LEFT(TRIM(Paramètres!O22),1)="F",1,0)))))))</f>
        <v/>
      </c>
      <c r="F2884" s="19">
        <f>IF($A2884="","",E2884+$H2884-1)</f>
        <v/>
      </c>
      <c r="G2884" s="18" t="n"/>
      <c r="H2884" s="18">
        <f>IF($A2884="","",IF(I2884&lt;&gt;"",I2884,Paramètres!B22))</f>
        <v/>
      </c>
      <c r="I2884" s="18" t="n"/>
    </row>
    <row r="2885">
      <c r="A2885" s="18">
        <f>IF(ISNUMBER(Dossiers!$D$57),Dossiers!$A$57&amp;" · "&amp;Dossiers!$B$57,"")</f>
        <v/>
      </c>
      <c r="B2885" s="18">
        <f>IF($A2885="","",Paramètres!G23)</f>
        <v/>
      </c>
      <c r="C2885" s="18">
        <f>IF($A2885="","",IF(Paramètres!H23="","",Paramètres!H23))</f>
        <v/>
      </c>
      <c r="D2885" s="18">
        <f>IF($A2885="","",IF(Paramètres!I23="","",Paramètres!I23))</f>
        <v/>
      </c>
      <c r="E2885" s="19">
        <f>IF($A2885="","",IF(Paramètres!J23&amp;Paramètres!L23&amp;Paramètres!N23="",Dossiers!$D$57,MAX(IF(Paramètres!J23="",0,IF(Paramètres!K23="",NA(),IF(LEFT(TRIM(Paramètres!K23),1)="F",INDEX($F$2867:$F$2919,MATCH(Paramètres!J23,Paramètres!$G$5:$G$57,0)),INDEX($E$2867:$E$2919,MATCH(Paramètres!J23,Paramètres!$G$5:$G$57,0)))+IF(RIGHT(TRIM(Paramètres!K23),3)="Fin",1-$H2885,IF(LEFT(TRIM(Paramètres!K23),1)="F",1,0)))),IF(Paramètres!L23="",0,IF(Paramètres!M23="",NA(),IF(LEFT(TRIM(Paramètres!M23),1)="F",INDEX($F$2867:$F$2919,MATCH(Paramètres!L23,Paramètres!$G$5:$G$57,0)),INDEX($E$2867:$E$2919,MATCH(Paramètres!L23,Paramètres!$G$5:$G$57,0)))+IF(RIGHT(TRIM(Paramètres!M23),3)="Fin",1-$H2885,IF(LEFT(TRIM(Paramètres!M23),1)="F",1,0)))),IF(Paramètres!N23="",0,IF(Paramètres!O23="",NA(),IF(LEFT(TRIM(Paramètres!O23),1)="F",INDEX($F$2867:$F$2919,MATCH(Paramètres!N23,Paramètres!$G$5:$G$57,0)),INDEX($E$2867:$E$2919,MATCH(Paramètres!N23,Paramètres!$G$5:$G$57,0)))+IF(RIGHT(TRIM(Paramètres!O23),3)="Fin",1-$H2885,IF(LEFT(TRIM(Paramètres!O23),1)="F",1,0)))))))</f>
        <v/>
      </c>
      <c r="F2885" s="19">
        <f>IF($A2885="","",E2885+$H2885-1)</f>
        <v/>
      </c>
      <c r="G2885" s="18" t="n"/>
      <c r="H2885" s="18">
        <f>IF($A2885="","",IF(I2885&lt;&gt;"",I2885,Paramètres!B23))</f>
        <v/>
      </c>
      <c r="I2885" s="18" t="n"/>
    </row>
    <row r="2886">
      <c r="A2886" s="18">
        <f>IF(ISNUMBER(Dossiers!$D$57),Dossiers!$A$57&amp;" · "&amp;Dossiers!$B$57,"")</f>
        <v/>
      </c>
      <c r="B2886" s="18">
        <f>IF($A2886="","",Paramètres!G24)</f>
        <v/>
      </c>
      <c r="C2886" s="18">
        <f>IF($A2886="","",IF(Paramètres!H24="","",Paramètres!H24))</f>
        <v/>
      </c>
      <c r="D2886" s="18">
        <f>IF($A2886="","",IF(Paramètres!I24="","",Paramètres!I24))</f>
        <v/>
      </c>
      <c r="E2886" s="19">
        <f>IF($A2886="","",IF(Paramètres!J24&amp;Paramètres!L24&amp;Paramètres!N24="",Dossiers!$D$57,MAX(IF(Paramètres!J24="",0,IF(Paramètres!K24="",NA(),IF(LEFT(TRIM(Paramètres!K24),1)="F",INDEX($F$2867:$F$2919,MATCH(Paramètres!J24,Paramètres!$G$5:$G$57,0)),INDEX($E$2867:$E$2919,MATCH(Paramètres!J24,Paramètres!$G$5:$G$57,0)))+IF(RIGHT(TRIM(Paramètres!K24),3)="Fin",1-$H2886,IF(LEFT(TRIM(Paramètres!K24),1)="F",1,0)))),IF(Paramètres!L24="",0,IF(Paramètres!M24="",NA(),IF(LEFT(TRIM(Paramètres!M24),1)="F",INDEX($F$2867:$F$2919,MATCH(Paramètres!L24,Paramètres!$G$5:$G$57,0)),INDEX($E$2867:$E$2919,MATCH(Paramètres!L24,Paramètres!$G$5:$G$57,0)))+IF(RIGHT(TRIM(Paramètres!M24),3)="Fin",1-$H2886,IF(LEFT(TRIM(Paramètres!M24),1)="F",1,0)))),IF(Paramètres!N24="",0,IF(Paramètres!O24="",NA(),IF(LEFT(TRIM(Paramètres!O24),1)="F",INDEX($F$2867:$F$2919,MATCH(Paramètres!N24,Paramètres!$G$5:$G$57,0)),INDEX($E$2867:$E$2919,MATCH(Paramètres!N24,Paramètres!$G$5:$G$57,0)))+IF(RIGHT(TRIM(Paramètres!O24),3)="Fin",1-$H2886,IF(LEFT(TRIM(Paramètres!O24),1)="F",1,0)))))))</f>
        <v/>
      </c>
      <c r="F2886" s="19">
        <f>IF($A2886="","",E2886+$H2886-1)</f>
        <v/>
      </c>
      <c r="G2886" s="18" t="n"/>
      <c r="H2886" s="18">
        <f>IF($A2886="","",IF(I2886&lt;&gt;"",I2886,Paramètres!B24))</f>
        <v/>
      </c>
      <c r="I2886" s="18" t="n"/>
    </row>
    <row r="2887">
      <c r="A2887" s="18">
        <f>IF(ISNUMBER(Dossiers!$D$57),Dossiers!$A$57&amp;" · "&amp;Dossiers!$B$57,"")</f>
        <v/>
      </c>
      <c r="B2887" s="18">
        <f>IF($A2887="","",Paramètres!G25)</f>
        <v/>
      </c>
      <c r="C2887" s="18">
        <f>IF($A2887="","",IF(Paramètres!H25="","",Paramètres!H25))</f>
        <v/>
      </c>
      <c r="D2887" s="18">
        <f>IF($A2887="","",IF(Paramètres!I25="","",Paramètres!I25))</f>
        <v/>
      </c>
      <c r="E2887" s="19">
        <f>IF($A2887="","",IF(Paramètres!J25&amp;Paramètres!L25&amp;Paramètres!N25="",Dossiers!$D$57,MAX(IF(Paramètres!J25="",0,IF(Paramètres!K25="",NA(),IF(LEFT(TRIM(Paramètres!K25),1)="F",INDEX($F$2867:$F$2919,MATCH(Paramètres!J25,Paramètres!$G$5:$G$57,0)),INDEX($E$2867:$E$2919,MATCH(Paramètres!J25,Paramètres!$G$5:$G$57,0)))+IF(RIGHT(TRIM(Paramètres!K25),3)="Fin",1-$H2887,IF(LEFT(TRIM(Paramètres!K25),1)="F",1,0)))),IF(Paramètres!L25="",0,IF(Paramètres!M25="",NA(),IF(LEFT(TRIM(Paramètres!M25),1)="F",INDEX($F$2867:$F$2919,MATCH(Paramètres!L25,Paramètres!$G$5:$G$57,0)),INDEX($E$2867:$E$2919,MATCH(Paramètres!L25,Paramètres!$G$5:$G$57,0)))+IF(RIGHT(TRIM(Paramètres!M25),3)="Fin",1-$H2887,IF(LEFT(TRIM(Paramètres!M25),1)="F",1,0)))),IF(Paramètres!N25="",0,IF(Paramètres!O25="",NA(),IF(LEFT(TRIM(Paramètres!O25),1)="F",INDEX($F$2867:$F$2919,MATCH(Paramètres!N25,Paramètres!$G$5:$G$57,0)),INDEX($E$2867:$E$2919,MATCH(Paramètres!N25,Paramètres!$G$5:$G$57,0)))+IF(RIGHT(TRIM(Paramètres!O25),3)="Fin",1-$H2887,IF(LEFT(TRIM(Paramètres!O25),1)="F",1,0)))))))</f>
        <v/>
      </c>
      <c r="F2887" s="19">
        <f>IF($A2887="","",E2887+$H2887-1)</f>
        <v/>
      </c>
      <c r="G2887" s="18" t="n"/>
      <c r="H2887" s="18">
        <f>IF($A2887="","",IF(I2887&lt;&gt;"",I2887,Paramètres!B25))</f>
        <v/>
      </c>
      <c r="I2887" s="18" t="n"/>
    </row>
    <row r="2888">
      <c r="A2888" s="18">
        <f>IF(ISNUMBER(Dossiers!$D$57),Dossiers!$A$57&amp;" · "&amp;Dossiers!$B$57,"")</f>
        <v/>
      </c>
      <c r="B2888" s="18">
        <f>IF($A2888="","",Paramètres!G26)</f>
        <v/>
      </c>
      <c r="C2888" s="18">
        <f>IF($A2888="","",IF(Paramètres!H26="","",Paramètres!H26))</f>
        <v/>
      </c>
      <c r="D2888" s="18">
        <f>IF($A2888="","",IF(Paramètres!I26="","",Paramètres!I26))</f>
        <v/>
      </c>
      <c r="E2888" s="19">
        <f>IF($A2888="","",IF(Paramètres!J26&amp;Paramètres!L26&amp;Paramètres!N26="",Dossiers!$D$57,MAX(IF(Paramètres!J26="",0,IF(Paramètres!K26="",NA(),IF(LEFT(TRIM(Paramètres!K26),1)="F",INDEX($F$2867:$F$2919,MATCH(Paramètres!J26,Paramètres!$G$5:$G$57,0)),INDEX($E$2867:$E$2919,MATCH(Paramètres!J26,Paramètres!$G$5:$G$57,0)))+IF(RIGHT(TRIM(Paramètres!K26),3)="Fin",1-$H2888,IF(LEFT(TRIM(Paramètres!K26),1)="F",1,0)))),IF(Paramètres!L26="",0,IF(Paramètres!M26="",NA(),IF(LEFT(TRIM(Paramètres!M26),1)="F",INDEX($F$2867:$F$2919,MATCH(Paramètres!L26,Paramètres!$G$5:$G$57,0)),INDEX($E$2867:$E$2919,MATCH(Paramètres!L26,Paramètres!$G$5:$G$57,0)))+IF(RIGHT(TRIM(Paramètres!M26),3)="Fin",1-$H2888,IF(LEFT(TRIM(Paramètres!M26),1)="F",1,0)))),IF(Paramètres!N26="",0,IF(Paramètres!O26="",NA(),IF(LEFT(TRIM(Paramètres!O26),1)="F",INDEX($F$2867:$F$2919,MATCH(Paramètres!N26,Paramètres!$G$5:$G$57,0)),INDEX($E$2867:$E$2919,MATCH(Paramètres!N26,Paramètres!$G$5:$G$57,0)))+IF(RIGHT(TRIM(Paramètres!O26),3)="Fin",1-$H2888,IF(LEFT(TRIM(Paramètres!O26),1)="F",1,0)))))))</f>
        <v/>
      </c>
      <c r="F2888" s="19">
        <f>IF($A2888="","",E2888+$H2888-1)</f>
        <v/>
      </c>
      <c r="G2888" s="18" t="n"/>
      <c r="H2888" s="18">
        <f>IF($A2888="","",IF(I2888&lt;&gt;"",I2888,Paramètres!B26))</f>
        <v/>
      </c>
      <c r="I2888" s="18" t="n"/>
    </row>
    <row r="2889">
      <c r="A2889" s="18">
        <f>IF(ISNUMBER(Dossiers!$D$57),Dossiers!$A$57&amp;" · "&amp;Dossiers!$B$57,"")</f>
        <v/>
      </c>
      <c r="B2889" s="18">
        <f>IF($A2889="","",Paramètres!G27)</f>
        <v/>
      </c>
      <c r="C2889" s="18">
        <f>IF($A2889="","",IF(Paramètres!H27="","",Paramètres!H27))</f>
        <v/>
      </c>
      <c r="D2889" s="18">
        <f>IF($A2889="","",IF(Paramètres!I27="","",Paramètres!I27))</f>
        <v/>
      </c>
      <c r="E2889" s="19">
        <f>IF($A2889="","",IF(Paramètres!J27&amp;Paramètres!L27&amp;Paramètres!N27="",Dossiers!$D$57,MAX(IF(Paramètres!J27="",0,IF(Paramètres!K27="",NA(),IF(LEFT(TRIM(Paramètres!K27),1)="F",INDEX($F$2867:$F$2919,MATCH(Paramètres!J27,Paramètres!$G$5:$G$57,0)),INDEX($E$2867:$E$2919,MATCH(Paramètres!J27,Paramètres!$G$5:$G$57,0)))+IF(RIGHT(TRIM(Paramètres!K27),3)="Fin",1-$H2889,IF(LEFT(TRIM(Paramètres!K27),1)="F",1,0)))),IF(Paramètres!L27="",0,IF(Paramètres!M27="",NA(),IF(LEFT(TRIM(Paramètres!M27),1)="F",INDEX($F$2867:$F$2919,MATCH(Paramètres!L27,Paramètres!$G$5:$G$57,0)),INDEX($E$2867:$E$2919,MATCH(Paramètres!L27,Paramètres!$G$5:$G$57,0)))+IF(RIGHT(TRIM(Paramètres!M27),3)="Fin",1-$H2889,IF(LEFT(TRIM(Paramètres!M27),1)="F",1,0)))),IF(Paramètres!N27="",0,IF(Paramètres!O27="",NA(),IF(LEFT(TRIM(Paramètres!O27),1)="F",INDEX($F$2867:$F$2919,MATCH(Paramètres!N27,Paramètres!$G$5:$G$57,0)),INDEX($E$2867:$E$2919,MATCH(Paramètres!N27,Paramètres!$G$5:$G$57,0)))+IF(RIGHT(TRIM(Paramètres!O27),3)="Fin",1-$H2889,IF(LEFT(TRIM(Paramètres!O27),1)="F",1,0)))))))</f>
        <v/>
      </c>
      <c r="F2889" s="19">
        <f>IF($A2889="","",E2889+$H2889-1)</f>
        <v/>
      </c>
      <c r="G2889" s="18" t="n"/>
      <c r="H2889" s="18">
        <f>IF($A2889="","",IF(I2889&lt;&gt;"",I2889,Paramètres!B27))</f>
        <v/>
      </c>
      <c r="I2889" s="18" t="n"/>
    </row>
    <row r="2890">
      <c r="A2890" s="18">
        <f>IF(ISNUMBER(Dossiers!$D$57),Dossiers!$A$57&amp;" · "&amp;Dossiers!$B$57,"")</f>
        <v/>
      </c>
      <c r="B2890" s="18">
        <f>IF($A2890="","",Paramètres!G28)</f>
        <v/>
      </c>
      <c r="C2890" s="18">
        <f>IF($A2890="","",IF(Paramètres!H28="","",Paramètres!H28))</f>
        <v/>
      </c>
      <c r="D2890" s="18">
        <f>IF($A2890="","",IF(Paramètres!I28="","",Paramètres!I28))</f>
        <v/>
      </c>
      <c r="E2890" s="19">
        <f>IF($A2890="","",IF(Paramètres!J28&amp;Paramètres!L28&amp;Paramètres!N28="",Dossiers!$D$57,MAX(IF(Paramètres!J28="",0,IF(Paramètres!K28="",NA(),IF(LEFT(TRIM(Paramètres!K28),1)="F",INDEX($F$2867:$F$2919,MATCH(Paramètres!J28,Paramètres!$G$5:$G$57,0)),INDEX($E$2867:$E$2919,MATCH(Paramètres!J28,Paramètres!$G$5:$G$57,0)))+IF(RIGHT(TRIM(Paramètres!K28),3)="Fin",1-$H2890,IF(LEFT(TRIM(Paramètres!K28),1)="F",1,0)))),IF(Paramètres!L28="",0,IF(Paramètres!M28="",NA(),IF(LEFT(TRIM(Paramètres!M28),1)="F",INDEX($F$2867:$F$2919,MATCH(Paramètres!L28,Paramètres!$G$5:$G$57,0)),INDEX($E$2867:$E$2919,MATCH(Paramètres!L28,Paramètres!$G$5:$G$57,0)))+IF(RIGHT(TRIM(Paramètres!M28),3)="Fin",1-$H2890,IF(LEFT(TRIM(Paramètres!M28),1)="F",1,0)))),IF(Paramètres!N28="",0,IF(Paramètres!O28="",NA(),IF(LEFT(TRIM(Paramètres!O28),1)="F",INDEX($F$2867:$F$2919,MATCH(Paramètres!N28,Paramètres!$G$5:$G$57,0)),INDEX($E$2867:$E$2919,MATCH(Paramètres!N28,Paramètres!$G$5:$G$57,0)))+IF(RIGHT(TRIM(Paramètres!O28),3)="Fin",1-$H2890,IF(LEFT(TRIM(Paramètres!O28),1)="F",1,0)))))))</f>
        <v/>
      </c>
      <c r="F2890" s="19">
        <f>IF($A2890="","",E2890+$H2890-1)</f>
        <v/>
      </c>
      <c r="G2890" s="18" t="n"/>
      <c r="H2890" s="18">
        <f>IF($A2890="","",IF(I2890&lt;&gt;"",I2890,Paramètres!B28))</f>
        <v/>
      </c>
      <c r="I2890" s="18" t="n"/>
    </row>
    <row r="2891">
      <c r="A2891" s="18">
        <f>IF(ISNUMBER(Dossiers!$D$57),Dossiers!$A$57&amp;" · "&amp;Dossiers!$B$57,"")</f>
        <v/>
      </c>
      <c r="B2891" s="18">
        <f>IF($A2891="","",Paramètres!G29)</f>
        <v/>
      </c>
      <c r="C2891" s="18">
        <f>IF($A2891="","",IF(Paramètres!H29="","",Paramètres!H29))</f>
        <v/>
      </c>
      <c r="D2891" s="18">
        <f>IF($A2891="","",IF(Paramètres!I29="","",Paramètres!I29))</f>
        <v/>
      </c>
      <c r="E2891" s="19">
        <f>IF($A2891="","",IF(Paramètres!J29&amp;Paramètres!L29&amp;Paramètres!N29="",Dossiers!$D$57,MAX(IF(Paramètres!J29="",0,IF(Paramètres!K29="",NA(),IF(LEFT(TRIM(Paramètres!K29),1)="F",INDEX($F$2867:$F$2919,MATCH(Paramètres!J29,Paramètres!$G$5:$G$57,0)),INDEX($E$2867:$E$2919,MATCH(Paramètres!J29,Paramètres!$G$5:$G$57,0)))+IF(RIGHT(TRIM(Paramètres!K29),3)="Fin",1-$H2891,IF(LEFT(TRIM(Paramètres!K29),1)="F",1,0)))),IF(Paramètres!L29="",0,IF(Paramètres!M29="",NA(),IF(LEFT(TRIM(Paramètres!M29),1)="F",INDEX($F$2867:$F$2919,MATCH(Paramètres!L29,Paramètres!$G$5:$G$57,0)),INDEX($E$2867:$E$2919,MATCH(Paramètres!L29,Paramètres!$G$5:$G$57,0)))+IF(RIGHT(TRIM(Paramètres!M29),3)="Fin",1-$H2891,IF(LEFT(TRIM(Paramètres!M29),1)="F",1,0)))),IF(Paramètres!N29="",0,IF(Paramètres!O29="",NA(),IF(LEFT(TRIM(Paramètres!O29),1)="F",INDEX($F$2867:$F$2919,MATCH(Paramètres!N29,Paramètres!$G$5:$G$57,0)),INDEX($E$2867:$E$2919,MATCH(Paramètres!N29,Paramètres!$G$5:$G$57,0)))+IF(RIGHT(TRIM(Paramètres!O29),3)="Fin",1-$H2891,IF(LEFT(TRIM(Paramètres!O29),1)="F",1,0)))))))</f>
        <v/>
      </c>
      <c r="F2891" s="19">
        <f>IF($A2891="","",E2891+$H2891-1)</f>
        <v/>
      </c>
      <c r="G2891" s="18" t="n"/>
      <c r="H2891" s="18">
        <f>IF($A2891="","",IF(I2891&lt;&gt;"",I2891,Paramètres!B29))</f>
        <v/>
      </c>
      <c r="I2891" s="18" t="n"/>
    </row>
    <row r="2892">
      <c r="A2892" s="18">
        <f>IF(ISNUMBER(Dossiers!$D$57),Dossiers!$A$57&amp;" · "&amp;Dossiers!$B$57,"")</f>
        <v/>
      </c>
      <c r="B2892" s="18">
        <f>IF($A2892="","",Paramètres!G30)</f>
        <v/>
      </c>
      <c r="C2892" s="18">
        <f>IF($A2892="","",IF(Paramètres!H30="","",Paramètres!H30))</f>
        <v/>
      </c>
      <c r="D2892" s="18">
        <f>IF($A2892="","",IF(Paramètres!I30="","",Paramètres!I30))</f>
        <v/>
      </c>
      <c r="E2892" s="19">
        <f>IF($A2892="","",IF(Paramètres!J30&amp;Paramètres!L30&amp;Paramètres!N30="",Dossiers!$D$57,MAX(IF(Paramètres!J30="",0,IF(Paramètres!K30="",NA(),IF(LEFT(TRIM(Paramètres!K30),1)="F",INDEX($F$2867:$F$2919,MATCH(Paramètres!J30,Paramètres!$G$5:$G$57,0)),INDEX($E$2867:$E$2919,MATCH(Paramètres!J30,Paramètres!$G$5:$G$57,0)))+IF(RIGHT(TRIM(Paramètres!K30),3)="Fin",1-$H2892,IF(LEFT(TRIM(Paramètres!K30),1)="F",1,0)))),IF(Paramètres!L30="",0,IF(Paramètres!M30="",NA(),IF(LEFT(TRIM(Paramètres!M30),1)="F",INDEX($F$2867:$F$2919,MATCH(Paramètres!L30,Paramètres!$G$5:$G$57,0)),INDEX($E$2867:$E$2919,MATCH(Paramètres!L30,Paramètres!$G$5:$G$57,0)))+IF(RIGHT(TRIM(Paramètres!M30),3)="Fin",1-$H2892,IF(LEFT(TRIM(Paramètres!M30),1)="F",1,0)))),IF(Paramètres!N30="",0,IF(Paramètres!O30="",NA(),IF(LEFT(TRIM(Paramètres!O30),1)="F",INDEX($F$2867:$F$2919,MATCH(Paramètres!N30,Paramètres!$G$5:$G$57,0)),INDEX($E$2867:$E$2919,MATCH(Paramètres!N30,Paramètres!$G$5:$G$57,0)))+IF(RIGHT(TRIM(Paramètres!O30),3)="Fin",1-$H2892,IF(LEFT(TRIM(Paramètres!O30),1)="F",1,0)))))))</f>
        <v/>
      </c>
      <c r="F2892" s="19">
        <f>IF($A2892="","",E2892+$H2892-1)</f>
        <v/>
      </c>
      <c r="G2892" s="18" t="n"/>
      <c r="H2892" s="18">
        <f>IF($A2892="","",IF(I2892&lt;&gt;"",I2892,Paramètres!B30))</f>
        <v/>
      </c>
      <c r="I2892" s="18" t="n"/>
    </row>
    <row r="2893">
      <c r="A2893" s="18">
        <f>IF(ISNUMBER(Dossiers!$D$57),Dossiers!$A$57&amp;" · "&amp;Dossiers!$B$57,"")</f>
        <v/>
      </c>
      <c r="B2893" s="18">
        <f>IF($A2893="","",Paramètres!G31)</f>
        <v/>
      </c>
      <c r="C2893" s="20">
        <f>IF($A2893="","",IF(Dossiers!$F$57="","",Dossiers!$F$57))</f>
        <v/>
      </c>
      <c r="D2893" s="18">
        <f>IF($A2893="","",IF(Paramètres!I31="","",Paramètres!I31))</f>
        <v/>
      </c>
      <c r="E2893" s="19">
        <f>IF($A2893="","",IF(Paramètres!J31&amp;Paramètres!L31&amp;Paramètres!N31="",Dossiers!$D$57,MAX(IF(Paramètres!J31="",0,IF(Paramètres!K31="",NA(),IF(LEFT(TRIM(Paramètres!K31),1)="F",INDEX($F$2867:$F$2919,MATCH(Paramètres!J31,Paramètres!$G$5:$G$57,0)),INDEX($E$2867:$E$2919,MATCH(Paramètres!J31,Paramètres!$G$5:$G$57,0)))+IF(RIGHT(TRIM(Paramètres!K31),3)="Fin",1-$H2893,IF(LEFT(TRIM(Paramètres!K31),1)="F",1,0)))),IF(Paramètres!L31="",0,IF(Paramètres!M31="",NA(),IF(LEFT(TRIM(Paramètres!M31),1)="F",INDEX($F$2867:$F$2919,MATCH(Paramètres!L31,Paramètres!$G$5:$G$57,0)),INDEX($E$2867:$E$2919,MATCH(Paramètres!L31,Paramètres!$G$5:$G$57,0)))+IF(RIGHT(TRIM(Paramètres!M31),3)="Fin",1-$H2893,IF(LEFT(TRIM(Paramètres!M31),1)="F",1,0)))),IF(Paramètres!N31="",0,IF(Paramètres!O31="",NA(),IF(LEFT(TRIM(Paramètres!O31),1)="F",INDEX($F$2867:$F$2919,MATCH(Paramètres!N31,Paramètres!$G$5:$G$57,0)),INDEX($E$2867:$E$2919,MATCH(Paramètres!N31,Paramètres!$G$5:$G$57,0)))+IF(RIGHT(TRIM(Paramètres!O31),3)="Fin",1-$H2893,IF(LEFT(TRIM(Paramètres!O31),1)="F",1,0)))))))</f>
        <v/>
      </c>
      <c r="F2893" s="19">
        <f>IF($A2893="","",E2893+$H2893-1)</f>
        <v/>
      </c>
      <c r="G2893" s="18" t="n"/>
      <c r="H2893" s="18">
        <f>IF($A2893="","",IF(I2893&lt;&gt;"",I2893,Paramètres!B31))</f>
        <v/>
      </c>
      <c r="I2893" s="18" t="n"/>
    </row>
    <row r="2894">
      <c r="A2894" s="18">
        <f>IF(ISNUMBER(Dossiers!$D$57),Dossiers!$A$57&amp;" · "&amp;Dossiers!$B$57,"")</f>
        <v/>
      </c>
      <c r="B2894" s="18">
        <f>IF($A2894="","",Paramètres!G32)</f>
        <v/>
      </c>
      <c r="C2894" s="18">
        <f>IF($A2894="","",IF(Paramètres!H32="","",Paramètres!H32))</f>
        <v/>
      </c>
      <c r="D2894" s="18">
        <f>IF($A2894="","",IF(Paramètres!I32="","",Paramètres!I32))</f>
        <v/>
      </c>
      <c r="E2894" s="19">
        <f>IF($A2894="","",MIN(E2895:E2898))</f>
        <v/>
      </c>
      <c r="F2894" s="19">
        <f>IF($A2894="","",MAX(F2895:F2898))</f>
        <v/>
      </c>
      <c r="G2894" s="18" t="n"/>
      <c r="H2894" s="18">
        <f>IF($A2894="","",F2894-E2894+1)</f>
        <v/>
      </c>
      <c r="I2894" s="18" t="n"/>
    </row>
    <row r="2895">
      <c r="A2895" s="18">
        <f>IF(ISNUMBER(Dossiers!$D$57),Dossiers!$A$57&amp;" · "&amp;Dossiers!$B$57,"")</f>
        <v/>
      </c>
      <c r="B2895" s="18">
        <f>IF($A2895="","",Paramètres!G33)</f>
        <v/>
      </c>
      <c r="C2895" s="18">
        <f>IF($A2895="","",IF(Paramètres!H33="","",Paramètres!H33))</f>
        <v/>
      </c>
      <c r="D2895" s="18">
        <f>IF($A2895="","",IF(Paramètres!I33="","",Paramètres!I33))</f>
        <v/>
      </c>
      <c r="E2895" s="19">
        <f>IF($A2895="","",IF(Paramètres!J33&amp;Paramètres!L33&amp;Paramètres!N33="",Dossiers!$D$57,MAX(IF(Paramètres!J33="",0,IF(Paramètres!K33="",NA(),IF(LEFT(TRIM(Paramètres!K33),1)="F",INDEX($F$2867:$F$2919,MATCH(Paramètres!J33,Paramètres!$G$5:$G$57,0)),INDEX($E$2867:$E$2919,MATCH(Paramètres!J33,Paramètres!$G$5:$G$57,0)))+IF(RIGHT(TRIM(Paramètres!K33),3)="Fin",1-$H2895,IF(LEFT(TRIM(Paramètres!K33),1)="F",1,0)))),IF(Paramètres!L33="",0,IF(Paramètres!M33="",NA(),IF(LEFT(TRIM(Paramètres!M33),1)="F",INDEX($F$2867:$F$2919,MATCH(Paramètres!L33,Paramètres!$G$5:$G$57,0)),INDEX($E$2867:$E$2919,MATCH(Paramètres!L33,Paramètres!$G$5:$G$57,0)))+IF(RIGHT(TRIM(Paramètres!M33),3)="Fin",1-$H2895,IF(LEFT(TRIM(Paramètres!M33),1)="F",1,0)))),IF(Paramètres!N33="",0,IF(Paramètres!O33="",NA(),IF(LEFT(TRIM(Paramètres!O33),1)="F",INDEX($F$2867:$F$2919,MATCH(Paramètres!N33,Paramètres!$G$5:$G$57,0)),INDEX($E$2867:$E$2919,MATCH(Paramètres!N33,Paramètres!$G$5:$G$57,0)))+IF(RIGHT(TRIM(Paramètres!O33),3)="Fin",1-$H2895,IF(LEFT(TRIM(Paramètres!O33),1)="F",1,0)))))))</f>
        <v/>
      </c>
      <c r="F2895" s="19">
        <f>IF($A2895="","",E2895+$H2895-1)</f>
        <v/>
      </c>
      <c r="G2895" s="18" t="n"/>
      <c r="H2895" s="18">
        <f>IF($A2895="","",IF(I2895&lt;&gt;"",I2895,Paramètres!B33))</f>
        <v/>
      </c>
      <c r="I2895" s="18" t="n"/>
    </row>
    <row r="2896">
      <c r="A2896" s="18">
        <f>IF(ISNUMBER(Dossiers!$D$57),Dossiers!$A$57&amp;" · "&amp;Dossiers!$B$57,"")</f>
        <v/>
      </c>
      <c r="B2896" s="18">
        <f>IF($A2896="","",Paramètres!G34)</f>
        <v/>
      </c>
      <c r="C2896" s="18">
        <f>IF($A2896="","",IF(Paramètres!H34="","",Paramètres!H34))</f>
        <v/>
      </c>
      <c r="D2896" s="18">
        <f>IF($A2896="","",IF(Paramètres!I34="","",Paramètres!I34))</f>
        <v/>
      </c>
      <c r="E2896" s="19">
        <f>IF($A2896="","",IF(Paramètres!J34&amp;Paramètres!L34&amp;Paramètres!N34="",Dossiers!$D$57,MAX(IF(Paramètres!J34="",0,IF(Paramètres!K34="",NA(),IF(LEFT(TRIM(Paramètres!K34),1)="F",INDEX($F$2867:$F$2919,MATCH(Paramètres!J34,Paramètres!$G$5:$G$57,0)),INDEX($E$2867:$E$2919,MATCH(Paramètres!J34,Paramètres!$G$5:$G$57,0)))+IF(RIGHT(TRIM(Paramètres!K34),3)="Fin",1-$H2896,IF(LEFT(TRIM(Paramètres!K34),1)="F",1,0)))),IF(Paramètres!L34="",0,IF(Paramètres!M34="",NA(),IF(LEFT(TRIM(Paramètres!M34),1)="F",INDEX($F$2867:$F$2919,MATCH(Paramètres!L34,Paramètres!$G$5:$G$57,0)),INDEX($E$2867:$E$2919,MATCH(Paramètres!L34,Paramètres!$G$5:$G$57,0)))+IF(RIGHT(TRIM(Paramètres!M34),3)="Fin",1-$H2896,IF(LEFT(TRIM(Paramètres!M34),1)="F",1,0)))),IF(Paramètres!N34="",0,IF(Paramètres!O34="",NA(),IF(LEFT(TRIM(Paramètres!O34),1)="F",INDEX($F$2867:$F$2919,MATCH(Paramètres!N34,Paramètres!$G$5:$G$57,0)),INDEX($E$2867:$E$2919,MATCH(Paramètres!N34,Paramètres!$G$5:$G$57,0)))+IF(RIGHT(TRIM(Paramètres!O34),3)="Fin",1-$H2896,IF(LEFT(TRIM(Paramètres!O34),1)="F",1,0)))))))</f>
        <v/>
      </c>
      <c r="F2896" s="19">
        <f>IF($A2896="","",E2896+$H2896-1)</f>
        <v/>
      </c>
      <c r="G2896" s="18" t="n"/>
      <c r="H2896" s="18">
        <f>IF($A2896="","",IF(I2896&lt;&gt;"",I2896,Paramètres!B34))</f>
        <v/>
      </c>
      <c r="I2896" s="18" t="n"/>
    </row>
    <row r="2897">
      <c r="A2897" s="18">
        <f>IF(ISNUMBER(Dossiers!$D$57),Dossiers!$A$57&amp;" · "&amp;Dossiers!$B$57,"")</f>
        <v/>
      </c>
      <c r="B2897" s="18">
        <f>IF($A2897="","",Paramètres!G35)</f>
        <v/>
      </c>
      <c r="C2897" s="18">
        <f>IF($A2897="","",IF(Paramètres!H35="","",Paramètres!H35))</f>
        <v/>
      </c>
      <c r="D2897" s="18">
        <f>IF($A2897="","",IF(Paramètres!I35="","",Paramètres!I35))</f>
        <v/>
      </c>
      <c r="E2897" s="19">
        <f>IF($A2897="","",IF(Paramètres!J35&amp;Paramètres!L35&amp;Paramètres!N35="",Dossiers!$D$57,MAX(IF(Paramètres!J35="",0,IF(Paramètres!K35="",NA(),IF(LEFT(TRIM(Paramètres!K35),1)="F",INDEX($F$2867:$F$2919,MATCH(Paramètres!J35,Paramètres!$G$5:$G$57,0)),INDEX($E$2867:$E$2919,MATCH(Paramètres!J35,Paramètres!$G$5:$G$57,0)))+IF(RIGHT(TRIM(Paramètres!K35),3)="Fin",1-$H2897,IF(LEFT(TRIM(Paramètres!K35),1)="F",1,0)))),IF(Paramètres!L35="",0,IF(Paramètres!M35="",NA(),IF(LEFT(TRIM(Paramètres!M35),1)="F",INDEX($F$2867:$F$2919,MATCH(Paramètres!L35,Paramètres!$G$5:$G$57,0)),INDEX($E$2867:$E$2919,MATCH(Paramètres!L35,Paramètres!$G$5:$G$57,0)))+IF(RIGHT(TRIM(Paramètres!M35),3)="Fin",1-$H2897,IF(LEFT(TRIM(Paramètres!M35),1)="F",1,0)))),IF(Paramètres!N35="",0,IF(Paramètres!O35="",NA(),IF(LEFT(TRIM(Paramètres!O35),1)="F",INDEX($F$2867:$F$2919,MATCH(Paramètres!N35,Paramètres!$G$5:$G$57,0)),INDEX($E$2867:$E$2919,MATCH(Paramètres!N35,Paramètres!$G$5:$G$57,0)))+IF(RIGHT(TRIM(Paramètres!O35),3)="Fin",1-$H2897,IF(LEFT(TRIM(Paramètres!O35),1)="F",1,0)))))))</f>
        <v/>
      </c>
      <c r="F2897" s="19">
        <f>IF($A2897="","",E2897+$H2897-1)</f>
        <v/>
      </c>
      <c r="G2897" s="18" t="n"/>
      <c r="H2897" s="18">
        <f>IF($A2897="","",IF(I2897&lt;&gt;"",I2897,Paramètres!B35))</f>
        <v/>
      </c>
      <c r="I2897" s="18" t="n"/>
    </row>
    <row r="2898">
      <c r="A2898" s="18">
        <f>IF(ISNUMBER(Dossiers!$D$57),Dossiers!$A$57&amp;" · "&amp;Dossiers!$B$57,"")</f>
        <v/>
      </c>
      <c r="B2898" s="18">
        <f>IF($A2898="","",Paramètres!G36)</f>
        <v/>
      </c>
      <c r="C2898" s="18">
        <f>IF($A2898="","",IF(Paramètres!H36="","",Paramètres!H36))</f>
        <v/>
      </c>
      <c r="D2898" s="18">
        <f>IF($A2898="","",IF(Paramètres!I36="","",Paramètres!I36))</f>
        <v/>
      </c>
      <c r="E2898" s="19">
        <f>IF($A2898="","",IF(Paramètres!J36&amp;Paramètres!L36&amp;Paramètres!N36="",Dossiers!$D$57,MAX(IF(Paramètres!J36="",0,IF(Paramètres!K36="",NA(),IF(LEFT(TRIM(Paramètres!K36),1)="F",INDEX($F$2867:$F$2919,MATCH(Paramètres!J36,Paramètres!$G$5:$G$57,0)),INDEX($E$2867:$E$2919,MATCH(Paramètres!J36,Paramètres!$G$5:$G$57,0)))+IF(RIGHT(TRIM(Paramètres!K36),3)="Fin",1-$H2898,IF(LEFT(TRIM(Paramètres!K36),1)="F",1,0)))),IF(Paramètres!L36="",0,IF(Paramètres!M36="",NA(),IF(LEFT(TRIM(Paramètres!M36),1)="F",INDEX($F$2867:$F$2919,MATCH(Paramètres!L36,Paramètres!$G$5:$G$57,0)),INDEX($E$2867:$E$2919,MATCH(Paramètres!L36,Paramètres!$G$5:$G$57,0)))+IF(RIGHT(TRIM(Paramètres!M36),3)="Fin",1-$H2898,IF(LEFT(TRIM(Paramètres!M36),1)="F",1,0)))),IF(Paramètres!N36="",0,IF(Paramètres!O36="",NA(),IF(LEFT(TRIM(Paramètres!O36),1)="F",INDEX($F$2867:$F$2919,MATCH(Paramètres!N36,Paramètres!$G$5:$G$57,0)),INDEX($E$2867:$E$2919,MATCH(Paramètres!N36,Paramètres!$G$5:$G$57,0)))+IF(RIGHT(TRIM(Paramètres!O36),3)="Fin",1-$H2898,IF(LEFT(TRIM(Paramètres!O36),1)="F",1,0)))))))</f>
        <v/>
      </c>
      <c r="F2898" s="19">
        <f>IF($A2898="","",E2898+$H2898-1)</f>
        <v/>
      </c>
      <c r="G2898" s="18" t="n"/>
      <c r="H2898" s="18">
        <f>IF($A2898="","",IF(I2898&lt;&gt;"",I2898,Paramètres!B36))</f>
        <v/>
      </c>
      <c r="I2898" s="18" t="n"/>
    </row>
    <row r="2899">
      <c r="A2899" s="18">
        <f>IF(ISNUMBER(Dossiers!$D$57),Dossiers!$A$57&amp;" · "&amp;Dossiers!$B$57,"")</f>
        <v/>
      </c>
      <c r="B2899" s="18">
        <f>IF($A2899="","",Paramètres!G37)</f>
        <v/>
      </c>
      <c r="C2899" s="18">
        <f>IF($A2899="","",IF(Paramètres!H37="","",Paramètres!H37))</f>
        <v/>
      </c>
      <c r="D2899" s="18">
        <f>IF($A2899="","",IF(Paramètres!I37="","",Paramètres!I37))</f>
        <v/>
      </c>
      <c r="E2899" s="19">
        <f>IF($A2899="","",MIN(E2900:E2917))</f>
        <v/>
      </c>
      <c r="F2899" s="19">
        <f>IF($A2899="","",MAX(F2900:F2917))</f>
        <v/>
      </c>
      <c r="G2899" s="18" t="n"/>
      <c r="H2899" s="18">
        <f>IF($A2899="","",F2899-E2899+1)</f>
        <v/>
      </c>
      <c r="I2899" s="18" t="n"/>
    </row>
    <row r="2900">
      <c r="A2900" s="18">
        <f>IF(ISNUMBER(Dossiers!$D$57),Dossiers!$A$57&amp;" · "&amp;Dossiers!$B$57,"")</f>
        <v/>
      </c>
      <c r="B2900" s="18">
        <f>IF($A2900="","",Paramètres!G38)</f>
        <v/>
      </c>
      <c r="C2900" s="18">
        <f>IF($A2900="","",IF(Paramètres!H38="","",Paramètres!H38))</f>
        <v/>
      </c>
      <c r="D2900" s="18">
        <f>IF($A2900="","",IF(Paramètres!I38="","",Paramètres!I38))</f>
        <v/>
      </c>
      <c r="E2900" s="19">
        <f>IF($A2900="","",IF(Paramètres!J38&amp;Paramètres!L38&amp;Paramètres!N38="",Dossiers!$D$57,MAX(IF(Paramètres!J38="",0,IF(Paramètres!K38="",NA(),IF(LEFT(TRIM(Paramètres!K38),1)="F",INDEX($F$2867:$F$2919,MATCH(Paramètres!J38,Paramètres!$G$5:$G$57,0)),INDEX($E$2867:$E$2919,MATCH(Paramètres!J38,Paramètres!$G$5:$G$57,0)))+IF(RIGHT(TRIM(Paramètres!K38),3)="Fin",1-$H2900,IF(LEFT(TRIM(Paramètres!K38),1)="F",1,0)))),IF(Paramètres!L38="",0,IF(Paramètres!M38="",NA(),IF(LEFT(TRIM(Paramètres!M38),1)="F",INDEX($F$2867:$F$2919,MATCH(Paramètres!L38,Paramètres!$G$5:$G$57,0)),INDEX($E$2867:$E$2919,MATCH(Paramètres!L38,Paramètres!$G$5:$G$57,0)))+IF(RIGHT(TRIM(Paramètres!M38),3)="Fin",1-$H2900,IF(LEFT(TRIM(Paramètres!M38),1)="F",1,0)))),IF(Paramètres!N38="",0,IF(Paramètres!O38="",NA(),IF(LEFT(TRIM(Paramètres!O38),1)="F",INDEX($F$2867:$F$2919,MATCH(Paramètres!N38,Paramètres!$G$5:$G$57,0)),INDEX($E$2867:$E$2919,MATCH(Paramètres!N38,Paramètres!$G$5:$G$57,0)))+IF(RIGHT(TRIM(Paramètres!O38),3)="Fin",1-$H2900,IF(LEFT(TRIM(Paramètres!O38),1)="F",1,0)))))))</f>
        <v/>
      </c>
      <c r="F2900" s="19">
        <f>IF($A2900="","",E2900+$H2900-1)</f>
        <v/>
      </c>
      <c r="G2900" s="18" t="n"/>
      <c r="H2900" s="18">
        <f>IF($A2900="","",IF(I2900&lt;&gt;"",I2900,Paramètres!B38))</f>
        <v/>
      </c>
      <c r="I2900" s="18" t="n"/>
    </row>
    <row r="2901">
      <c r="A2901" s="18">
        <f>IF(ISNUMBER(Dossiers!$D$57),Dossiers!$A$57&amp;" · "&amp;Dossiers!$B$57,"")</f>
        <v/>
      </c>
      <c r="B2901" s="18">
        <f>IF($A2901="","",Paramètres!G39)</f>
        <v/>
      </c>
      <c r="C2901" s="18">
        <f>IF($A2901="","",IF(Paramètres!H39="","",Paramètres!H39))</f>
        <v/>
      </c>
      <c r="D2901" s="18">
        <f>IF($A2901="","",IF(Paramètres!I39="","",Paramètres!I39))</f>
        <v/>
      </c>
      <c r="E2901" s="19">
        <f>IF($A2901="","",IF(Paramètres!J39&amp;Paramètres!L39&amp;Paramètres!N39="",Dossiers!$D$57,MAX(IF(Paramètres!J39="",0,IF(Paramètres!K39="",NA(),IF(LEFT(TRIM(Paramètres!K39),1)="F",INDEX($F$2867:$F$2919,MATCH(Paramètres!J39,Paramètres!$G$5:$G$57,0)),INDEX($E$2867:$E$2919,MATCH(Paramètres!J39,Paramètres!$G$5:$G$57,0)))+IF(RIGHT(TRIM(Paramètres!K39),3)="Fin",1-$H2901,IF(LEFT(TRIM(Paramètres!K39),1)="F",1,0)))),IF(Paramètres!L39="",0,IF(Paramètres!M39="",NA(),IF(LEFT(TRIM(Paramètres!M39),1)="F",INDEX($F$2867:$F$2919,MATCH(Paramètres!L39,Paramètres!$G$5:$G$57,0)),INDEX($E$2867:$E$2919,MATCH(Paramètres!L39,Paramètres!$G$5:$G$57,0)))+IF(RIGHT(TRIM(Paramètres!M39),3)="Fin",1-$H2901,IF(LEFT(TRIM(Paramètres!M39),1)="F",1,0)))),IF(Paramètres!N39="",0,IF(Paramètres!O39="",NA(),IF(LEFT(TRIM(Paramètres!O39),1)="F",INDEX($F$2867:$F$2919,MATCH(Paramètres!N39,Paramètres!$G$5:$G$57,0)),INDEX($E$2867:$E$2919,MATCH(Paramètres!N39,Paramètres!$G$5:$G$57,0)))+IF(RIGHT(TRIM(Paramètres!O39),3)="Fin",1-$H2901,IF(LEFT(TRIM(Paramètres!O39),1)="F",1,0)))))))</f>
        <v/>
      </c>
      <c r="F2901" s="19">
        <f>IF($A2901="","",E2901+$H2901-1)</f>
        <v/>
      </c>
      <c r="G2901" s="18" t="n"/>
      <c r="H2901" s="18">
        <f>IF($A2901="","",IF(I2901&lt;&gt;"",I2901,Paramètres!B39))</f>
        <v/>
      </c>
      <c r="I2901" s="18" t="n"/>
    </row>
    <row r="2902">
      <c r="A2902" s="18">
        <f>IF(ISNUMBER(Dossiers!$D$57),Dossiers!$A$57&amp;" · "&amp;Dossiers!$B$57,"")</f>
        <v/>
      </c>
      <c r="B2902" s="18">
        <f>IF($A2902="","",Paramètres!G40)</f>
        <v/>
      </c>
      <c r="C2902" s="18">
        <f>IF($A2902="","",IF(Paramètres!H40="","",Paramètres!H40))</f>
        <v/>
      </c>
      <c r="D2902" s="18">
        <f>IF($A2902="","",IF(Paramètres!I40="","",Paramètres!I40))</f>
        <v/>
      </c>
      <c r="E2902" s="19">
        <f>IF($A2902="","",IF(Paramètres!J40&amp;Paramètres!L40&amp;Paramètres!N40="",Dossiers!$D$57,MAX(IF(Paramètres!J40="",0,IF(Paramètres!K40="",NA(),IF(LEFT(TRIM(Paramètres!K40),1)="F",INDEX($F$2867:$F$2919,MATCH(Paramètres!J40,Paramètres!$G$5:$G$57,0)),INDEX($E$2867:$E$2919,MATCH(Paramètres!J40,Paramètres!$G$5:$G$57,0)))+IF(RIGHT(TRIM(Paramètres!K40),3)="Fin",1-$H2902,IF(LEFT(TRIM(Paramètres!K40),1)="F",1,0)))),IF(Paramètres!L40="",0,IF(Paramètres!M40="",NA(),IF(LEFT(TRIM(Paramètres!M40),1)="F",INDEX($F$2867:$F$2919,MATCH(Paramètres!L40,Paramètres!$G$5:$G$57,0)),INDEX($E$2867:$E$2919,MATCH(Paramètres!L40,Paramètres!$G$5:$G$57,0)))+IF(RIGHT(TRIM(Paramètres!M40),3)="Fin",1-$H2902,IF(LEFT(TRIM(Paramètres!M40),1)="F",1,0)))),IF(Paramètres!N40="",0,IF(Paramètres!O40="",NA(),IF(LEFT(TRIM(Paramètres!O40),1)="F",INDEX($F$2867:$F$2919,MATCH(Paramètres!N40,Paramètres!$G$5:$G$57,0)),INDEX($E$2867:$E$2919,MATCH(Paramètres!N40,Paramètres!$G$5:$G$57,0)))+IF(RIGHT(TRIM(Paramètres!O40),3)="Fin",1-$H2902,IF(LEFT(TRIM(Paramètres!O40),1)="F",1,0)))))))</f>
        <v/>
      </c>
      <c r="F2902" s="19">
        <f>IF($A2902="","",E2902+$H2902-1)</f>
        <v/>
      </c>
      <c r="G2902" s="18" t="n"/>
      <c r="H2902" s="18">
        <f>IF($A2902="","",IF(I2902&lt;&gt;"",I2902,Paramètres!B40))</f>
        <v/>
      </c>
      <c r="I2902" s="18" t="n"/>
    </row>
    <row r="2903">
      <c r="A2903" s="18">
        <f>IF(ISNUMBER(Dossiers!$D$57),Dossiers!$A$57&amp;" · "&amp;Dossiers!$B$57,"")</f>
        <v/>
      </c>
      <c r="B2903" s="18">
        <f>IF($A2903="","",Paramètres!G41)</f>
        <v/>
      </c>
      <c r="C2903" s="18">
        <f>IF($A2903="","",IF(Paramètres!H41="","",Paramètres!H41))</f>
        <v/>
      </c>
      <c r="D2903" s="18">
        <f>IF($A2903="","",IF(Paramètres!I41="","",Paramètres!I41))</f>
        <v/>
      </c>
      <c r="E2903" s="19">
        <f>IF($A2903="","",IF(Paramètres!J41&amp;Paramètres!L41&amp;Paramètres!N41="",Dossiers!$D$57,MAX(IF(Paramètres!J41="",0,IF(Paramètres!K41="",NA(),IF(LEFT(TRIM(Paramètres!K41),1)="F",INDEX($F$2867:$F$2919,MATCH(Paramètres!J41,Paramètres!$G$5:$G$57,0)),INDEX($E$2867:$E$2919,MATCH(Paramètres!J41,Paramètres!$G$5:$G$57,0)))+IF(RIGHT(TRIM(Paramètres!K41),3)="Fin",1-$H2903,IF(LEFT(TRIM(Paramètres!K41),1)="F",1,0)))),IF(Paramètres!L41="",0,IF(Paramètres!M41="",NA(),IF(LEFT(TRIM(Paramètres!M41),1)="F",INDEX($F$2867:$F$2919,MATCH(Paramètres!L41,Paramètres!$G$5:$G$57,0)),INDEX($E$2867:$E$2919,MATCH(Paramètres!L41,Paramètres!$G$5:$G$57,0)))+IF(RIGHT(TRIM(Paramètres!M41),3)="Fin",1-$H2903,IF(LEFT(TRIM(Paramètres!M41),1)="F",1,0)))),IF(Paramètres!N41="",0,IF(Paramètres!O41="",NA(),IF(LEFT(TRIM(Paramètres!O41),1)="F",INDEX($F$2867:$F$2919,MATCH(Paramètres!N41,Paramètres!$G$5:$G$57,0)),INDEX($E$2867:$E$2919,MATCH(Paramètres!N41,Paramètres!$G$5:$G$57,0)))+IF(RIGHT(TRIM(Paramètres!O41),3)="Fin",1-$H2903,IF(LEFT(TRIM(Paramètres!O41),1)="F",1,0)))))))</f>
        <v/>
      </c>
      <c r="F2903" s="19">
        <f>IF($A2903="","",E2903+$H2903-1)</f>
        <v/>
      </c>
      <c r="G2903" s="18" t="n"/>
      <c r="H2903" s="18">
        <f>IF($A2903="","",IF(I2903&lt;&gt;"",I2903,Paramètres!B41))</f>
        <v/>
      </c>
      <c r="I2903" s="18" t="n"/>
    </row>
    <row r="2904">
      <c r="A2904" s="18">
        <f>IF(ISNUMBER(Dossiers!$D$57),Dossiers!$A$57&amp;" · "&amp;Dossiers!$B$57,"")</f>
        <v/>
      </c>
      <c r="B2904" s="18">
        <f>IF($A2904="","",Paramètres!G42)</f>
        <v/>
      </c>
      <c r="C2904" s="18">
        <f>IF($A2904="","",IF(Paramètres!H42="","",Paramètres!H42))</f>
        <v/>
      </c>
      <c r="D2904" s="18">
        <f>IF($A2904="","",IF(Paramètres!I42="","",Paramètres!I42))</f>
        <v/>
      </c>
      <c r="E2904" s="19">
        <f>IF($A2904="","",IF(Paramètres!J42&amp;Paramètres!L42&amp;Paramètres!N42="",Dossiers!$D$57,MAX(IF(Paramètres!J42="",0,IF(Paramètres!K42="",NA(),IF(LEFT(TRIM(Paramètres!K42),1)="F",INDEX($F$2867:$F$2919,MATCH(Paramètres!J42,Paramètres!$G$5:$G$57,0)),INDEX($E$2867:$E$2919,MATCH(Paramètres!J42,Paramètres!$G$5:$G$57,0)))+IF(RIGHT(TRIM(Paramètres!K42),3)="Fin",1-$H2904,IF(LEFT(TRIM(Paramètres!K42),1)="F",1,0)))),IF(Paramètres!L42="",0,IF(Paramètres!M42="",NA(),IF(LEFT(TRIM(Paramètres!M42),1)="F",INDEX($F$2867:$F$2919,MATCH(Paramètres!L42,Paramètres!$G$5:$G$57,0)),INDEX($E$2867:$E$2919,MATCH(Paramètres!L42,Paramètres!$G$5:$G$57,0)))+IF(RIGHT(TRIM(Paramètres!M42),3)="Fin",1-$H2904,IF(LEFT(TRIM(Paramètres!M42),1)="F",1,0)))),IF(Paramètres!N42="",0,IF(Paramètres!O42="",NA(),IF(LEFT(TRIM(Paramètres!O42),1)="F",INDEX($F$2867:$F$2919,MATCH(Paramètres!N42,Paramètres!$G$5:$G$57,0)),INDEX($E$2867:$E$2919,MATCH(Paramètres!N42,Paramètres!$G$5:$G$57,0)))+IF(RIGHT(TRIM(Paramètres!O42),3)="Fin",1-$H2904,IF(LEFT(TRIM(Paramètres!O42),1)="F",1,0)))))))</f>
        <v/>
      </c>
      <c r="F2904" s="19">
        <f>IF($A2904="","",E2904+$H2904-1)</f>
        <v/>
      </c>
      <c r="G2904" s="18" t="n"/>
      <c r="H2904" s="18">
        <f>IF($A2904="","",IF(I2904&lt;&gt;"",I2904,Paramètres!B42))</f>
        <v/>
      </c>
      <c r="I2904" s="18" t="n"/>
    </row>
    <row r="2905">
      <c r="A2905" s="18">
        <f>IF(ISNUMBER(Dossiers!$D$57),Dossiers!$A$57&amp;" · "&amp;Dossiers!$B$57,"")</f>
        <v/>
      </c>
      <c r="B2905" s="18">
        <f>IF($A2905="","",Paramètres!G43)</f>
        <v/>
      </c>
      <c r="C2905" s="18">
        <f>IF($A2905="","",IF(Paramètres!H43="","",Paramètres!H43))</f>
        <v/>
      </c>
      <c r="D2905" s="18">
        <f>IF($A2905="","",IF(Paramètres!I43="","",Paramètres!I43))</f>
        <v/>
      </c>
      <c r="E2905" s="19">
        <f>IF($A2905="","",IF(Paramètres!J43&amp;Paramètres!L43&amp;Paramètres!N43="",Dossiers!$D$57,MAX(IF(Paramètres!J43="",0,IF(Paramètres!K43="",NA(),IF(LEFT(TRIM(Paramètres!K43),1)="F",INDEX($F$2867:$F$2919,MATCH(Paramètres!J43,Paramètres!$G$5:$G$57,0)),INDEX($E$2867:$E$2919,MATCH(Paramètres!J43,Paramètres!$G$5:$G$57,0)))+IF(RIGHT(TRIM(Paramètres!K43),3)="Fin",1-$H2905,IF(LEFT(TRIM(Paramètres!K43),1)="F",1,0)))),IF(Paramètres!L43="",0,IF(Paramètres!M43="",NA(),IF(LEFT(TRIM(Paramètres!M43),1)="F",INDEX($F$2867:$F$2919,MATCH(Paramètres!L43,Paramètres!$G$5:$G$57,0)),INDEX($E$2867:$E$2919,MATCH(Paramètres!L43,Paramètres!$G$5:$G$57,0)))+IF(RIGHT(TRIM(Paramètres!M43),3)="Fin",1-$H2905,IF(LEFT(TRIM(Paramètres!M43),1)="F",1,0)))),IF(Paramètres!N43="",0,IF(Paramètres!O43="",NA(),IF(LEFT(TRIM(Paramètres!O43),1)="F",INDEX($F$2867:$F$2919,MATCH(Paramètres!N43,Paramètres!$G$5:$G$57,0)),INDEX($E$2867:$E$2919,MATCH(Paramètres!N43,Paramètres!$G$5:$G$57,0)))+IF(RIGHT(TRIM(Paramètres!O43),3)="Fin",1-$H2905,IF(LEFT(TRIM(Paramètres!O43),1)="F",1,0)))))))</f>
        <v/>
      </c>
      <c r="F2905" s="19">
        <f>IF($A2905="","",E2905+$H2905-1)</f>
        <v/>
      </c>
      <c r="G2905" s="18" t="n"/>
      <c r="H2905" s="18">
        <f>IF($A2905="","",IF(I2905&lt;&gt;"",I2905,Paramètres!B43))</f>
        <v/>
      </c>
      <c r="I2905" s="18" t="n"/>
    </row>
    <row r="2906">
      <c r="A2906" s="18">
        <f>IF(ISNUMBER(Dossiers!$D$57),Dossiers!$A$57&amp;" · "&amp;Dossiers!$B$57,"")</f>
        <v/>
      </c>
      <c r="B2906" s="18">
        <f>IF($A2906="","",Paramètres!G44)</f>
        <v/>
      </c>
      <c r="C2906" s="18">
        <f>IF($A2906="","",IF(Paramètres!H44="","",Paramètres!H44))</f>
        <v/>
      </c>
      <c r="D2906" s="18">
        <f>IF($A2906="","",IF(Paramètres!I44="","",Paramètres!I44))</f>
        <v/>
      </c>
      <c r="E2906" s="19">
        <f>IF($A2906="","",IF(Paramètres!J44&amp;Paramètres!L44&amp;Paramètres!N44="",Dossiers!$D$57,MAX(IF(Paramètres!J44="",0,IF(Paramètres!K44="",NA(),IF(LEFT(TRIM(Paramètres!K44),1)="F",INDEX($F$2867:$F$2919,MATCH(Paramètres!J44,Paramètres!$G$5:$G$57,0)),INDEX($E$2867:$E$2919,MATCH(Paramètres!J44,Paramètres!$G$5:$G$57,0)))+IF(RIGHT(TRIM(Paramètres!K44),3)="Fin",1-$H2906,IF(LEFT(TRIM(Paramètres!K44),1)="F",1,0)))),IF(Paramètres!L44="",0,IF(Paramètres!M44="",NA(),IF(LEFT(TRIM(Paramètres!M44),1)="F",INDEX($F$2867:$F$2919,MATCH(Paramètres!L44,Paramètres!$G$5:$G$57,0)),INDEX($E$2867:$E$2919,MATCH(Paramètres!L44,Paramètres!$G$5:$G$57,0)))+IF(RIGHT(TRIM(Paramètres!M44),3)="Fin",1-$H2906,IF(LEFT(TRIM(Paramètres!M44),1)="F",1,0)))),IF(Paramètres!N44="",0,IF(Paramètres!O44="",NA(),IF(LEFT(TRIM(Paramètres!O44),1)="F",INDEX($F$2867:$F$2919,MATCH(Paramètres!N44,Paramètres!$G$5:$G$57,0)),INDEX($E$2867:$E$2919,MATCH(Paramètres!N44,Paramètres!$G$5:$G$57,0)))+IF(RIGHT(TRIM(Paramètres!O44),3)="Fin",1-$H2906,IF(LEFT(TRIM(Paramètres!O44),1)="F",1,0)))))))</f>
        <v/>
      </c>
      <c r="F2906" s="19">
        <f>IF($A2906="","",E2906+$H2906-1)</f>
        <v/>
      </c>
      <c r="G2906" s="18" t="n"/>
      <c r="H2906" s="18">
        <f>IF($A2906="","",IF(I2906&lt;&gt;"",I2906,Paramètres!B44))</f>
        <v/>
      </c>
      <c r="I2906" s="18" t="n"/>
    </row>
    <row r="2907">
      <c r="A2907" s="18">
        <f>IF(ISNUMBER(Dossiers!$D$57),Dossiers!$A$57&amp;" · "&amp;Dossiers!$B$57,"")</f>
        <v/>
      </c>
      <c r="B2907" s="18">
        <f>IF($A2907="","",Paramètres!G45)</f>
        <v/>
      </c>
      <c r="C2907" s="20">
        <f>IF($A2907="","",IF(Dossiers!$G$57="","",Dossiers!$G$57))</f>
        <v/>
      </c>
      <c r="D2907" s="18">
        <f>IF($A2907="","",IF(Paramètres!I45="","",Paramètres!I45))</f>
        <v/>
      </c>
      <c r="E2907" s="19">
        <f>IF($A2907="","",IF(Paramètres!J45&amp;Paramètres!L45&amp;Paramètres!N45="",Dossiers!$D$57,MAX(IF(Paramètres!J45="",0,IF(Paramètres!K45="",NA(),IF(LEFT(TRIM(Paramètres!K45),1)="F",INDEX($F$2867:$F$2919,MATCH(Paramètres!J45,Paramètres!$G$5:$G$57,0)),INDEX($E$2867:$E$2919,MATCH(Paramètres!J45,Paramètres!$G$5:$G$57,0)))+IF(RIGHT(TRIM(Paramètres!K45),3)="Fin",1-$H2907,IF(LEFT(TRIM(Paramètres!K45),1)="F",1,0)))),IF(Paramètres!L45="",0,IF(Paramètres!M45="",NA(),IF(LEFT(TRIM(Paramètres!M45),1)="F",INDEX($F$2867:$F$2919,MATCH(Paramètres!L45,Paramètres!$G$5:$G$57,0)),INDEX($E$2867:$E$2919,MATCH(Paramètres!L45,Paramètres!$G$5:$G$57,0)))+IF(RIGHT(TRIM(Paramètres!M45),3)="Fin",1-$H2907,IF(LEFT(TRIM(Paramètres!M45),1)="F",1,0)))),IF(Paramètres!N45="",0,IF(Paramètres!O45="",NA(),IF(LEFT(TRIM(Paramètres!O45),1)="F",INDEX($F$2867:$F$2919,MATCH(Paramètres!N45,Paramètres!$G$5:$G$57,0)),INDEX($E$2867:$E$2919,MATCH(Paramètres!N45,Paramètres!$G$5:$G$57,0)))+IF(RIGHT(TRIM(Paramètres!O45),3)="Fin",1-$H2907,IF(LEFT(TRIM(Paramètres!O45),1)="F",1,0)))))))</f>
        <v/>
      </c>
      <c r="F2907" s="19">
        <f>IF($A2907="","",E2907+$H2907-1)</f>
        <v/>
      </c>
      <c r="G2907" s="18" t="n"/>
      <c r="H2907" s="18">
        <f>IF($A2907="","",IF(I2907&lt;&gt;"",I2907,Paramètres!B45))</f>
        <v/>
      </c>
      <c r="I2907" s="18" t="n"/>
    </row>
    <row r="2908">
      <c r="A2908" s="18">
        <f>IF(ISNUMBER(Dossiers!$D$57),Dossiers!$A$57&amp;" · "&amp;Dossiers!$B$57,"")</f>
        <v/>
      </c>
      <c r="B2908" s="18">
        <f>IF($A2908="","",Paramètres!G46)</f>
        <v/>
      </c>
      <c r="C2908" s="18">
        <f>IF($A2908="","",IF(Paramètres!H46="","",Paramètres!H46))</f>
        <v/>
      </c>
      <c r="D2908" s="18">
        <f>IF($A2908="","",IF(Paramètres!I46="","",Paramètres!I46))</f>
        <v/>
      </c>
      <c r="E2908" s="19">
        <f>IF($A2908="","",IF(Paramètres!J46&amp;Paramètres!L46&amp;Paramètres!N46="",Dossiers!$D$57,MAX(IF(Paramètres!J46="",0,IF(Paramètres!K46="",NA(),IF(LEFT(TRIM(Paramètres!K46),1)="F",INDEX($F$2867:$F$2919,MATCH(Paramètres!J46,Paramètres!$G$5:$G$57,0)),INDEX($E$2867:$E$2919,MATCH(Paramètres!J46,Paramètres!$G$5:$G$57,0)))+IF(RIGHT(TRIM(Paramètres!K46),3)="Fin",1-$H2908,IF(LEFT(TRIM(Paramètres!K46),1)="F",1,0)))),IF(Paramètres!L46="",0,IF(Paramètres!M46="",NA(),IF(LEFT(TRIM(Paramètres!M46),1)="F",INDEX($F$2867:$F$2919,MATCH(Paramètres!L46,Paramètres!$G$5:$G$57,0)),INDEX($E$2867:$E$2919,MATCH(Paramètres!L46,Paramètres!$G$5:$G$57,0)))+IF(RIGHT(TRIM(Paramètres!M46),3)="Fin",1-$H2908,IF(LEFT(TRIM(Paramètres!M46),1)="F",1,0)))),IF(Paramètres!N46="",0,IF(Paramètres!O46="",NA(),IF(LEFT(TRIM(Paramètres!O46),1)="F",INDEX($F$2867:$F$2919,MATCH(Paramètres!N46,Paramètres!$G$5:$G$57,0)),INDEX($E$2867:$E$2919,MATCH(Paramètres!N46,Paramètres!$G$5:$G$57,0)))+IF(RIGHT(TRIM(Paramètres!O46),3)="Fin",1-$H2908,IF(LEFT(TRIM(Paramètres!O46),1)="F",1,0)))))))</f>
        <v/>
      </c>
      <c r="F2908" s="19">
        <f>IF($A2908="","",E2908+$H2908-1)</f>
        <v/>
      </c>
      <c r="G2908" s="18" t="n"/>
      <c r="H2908" s="18">
        <f>IF($A2908="","",IF(I2908&lt;&gt;"",I2908,Paramètres!B46))</f>
        <v/>
      </c>
      <c r="I2908" s="18" t="n"/>
    </row>
    <row r="2909">
      <c r="A2909" s="18">
        <f>IF(ISNUMBER(Dossiers!$D$57),Dossiers!$A$57&amp;" · "&amp;Dossiers!$B$57,"")</f>
        <v/>
      </c>
      <c r="B2909" s="18">
        <f>IF($A2909="","",Paramètres!G47)</f>
        <v/>
      </c>
      <c r="C2909" s="18">
        <f>IF($A2909="","",IF(Paramètres!H47="","",Paramètres!H47))</f>
        <v/>
      </c>
      <c r="D2909" s="18">
        <f>IF($A2909="","",IF(Paramètres!I47="","",Paramètres!I47))</f>
        <v/>
      </c>
      <c r="E2909" s="19">
        <f>IF($A2909="","",IF(Paramètres!J47&amp;Paramètres!L47&amp;Paramètres!N47="",Dossiers!$D$57,MAX(IF(Paramètres!J47="",0,IF(Paramètres!K47="",NA(),IF(LEFT(TRIM(Paramètres!K47),1)="F",INDEX($F$2867:$F$2919,MATCH(Paramètres!J47,Paramètres!$G$5:$G$57,0)),INDEX($E$2867:$E$2919,MATCH(Paramètres!J47,Paramètres!$G$5:$G$57,0)))+IF(RIGHT(TRIM(Paramètres!K47),3)="Fin",1-$H2909,IF(LEFT(TRIM(Paramètres!K47),1)="F",1,0)))),IF(Paramètres!L47="",0,IF(Paramètres!M47="",NA(),IF(LEFT(TRIM(Paramètres!M47),1)="F",INDEX($F$2867:$F$2919,MATCH(Paramètres!L47,Paramètres!$G$5:$G$57,0)),INDEX($E$2867:$E$2919,MATCH(Paramètres!L47,Paramètres!$G$5:$G$57,0)))+IF(RIGHT(TRIM(Paramètres!M47),3)="Fin",1-$H2909,IF(LEFT(TRIM(Paramètres!M47),1)="F",1,0)))),IF(Paramètres!N47="",0,IF(Paramètres!O47="",NA(),IF(LEFT(TRIM(Paramètres!O47),1)="F",INDEX($F$2867:$F$2919,MATCH(Paramètres!N47,Paramètres!$G$5:$G$57,0)),INDEX($E$2867:$E$2919,MATCH(Paramètres!N47,Paramètres!$G$5:$G$57,0)))+IF(RIGHT(TRIM(Paramètres!O47),3)="Fin",1-$H2909,IF(LEFT(TRIM(Paramètres!O47),1)="F",1,0)))))))</f>
        <v/>
      </c>
      <c r="F2909" s="19">
        <f>IF($A2909="","",E2909+$H2909-1)</f>
        <v/>
      </c>
      <c r="G2909" s="18" t="n"/>
      <c r="H2909" s="18">
        <f>IF($A2909="","",IF(I2909&lt;&gt;"",I2909,Paramètres!B47))</f>
        <v/>
      </c>
      <c r="I2909" s="18" t="n"/>
    </row>
    <row r="2910">
      <c r="A2910" s="18">
        <f>IF(ISNUMBER(Dossiers!$D$57),Dossiers!$A$57&amp;" · "&amp;Dossiers!$B$57,"")</f>
        <v/>
      </c>
      <c r="B2910" s="18">
        <f>IF($A2910="","",Paramètres!G48)</f>
        <v/>
      </c>
      <c r="C2910" s="18">
        <f>IF($A2910="","",IF(Paramètres!H48="","",Paramètres!H48))</f>
        <v/>
      </c>
      <c r="D2910" s="18">
        <f>IF($A2910="","",IF(Paramètres!I48="","",Paramètres!I48))</f>
        <v/>
      </c>
      <c r="E2910" s="19">
        <f>IF($A2910="","",IF(Paramètres!J48&amp;Paramètres!L48&amp;Paramètres!N48="",Dossiers!$D$57,MAX(IF(Paramètres!J48="",0,IF(Paramètres!K48="",NA(),IF(LEFT(TRIM(Paramètres!K48),1)="F",INDEX($F$2867:$F$2919,MATCH(Paramètres!J48,Paramètres!$G$5:$G$57,0)),INDEX($E$2867:$E$2919,MATCH(Paramètres!J48,Paramètres!$G$5:$G$57,0)))+IF(RIGHT(TRIM(Paramètres!K48),3)="Fin",1-$H2910,IF(LEFT(TRIM(Paramètres!K48),1)="F",1,0)))),IF(Paramètres!L48="",0,IF(Paramètres!M48="",NA(),IF(LEFT(TRIM(Paramètres!M48),1)="F",INDEX($F$2867:$F$2919,MATCH(Paramètres!L48,Paramètres!$G$5:$G$57,0)),INDEX($E$2867:$E$2919,MATCH(Paramètres!L48,Paramètres!$G$5:$G$57,0)))+IF(RIGHT(TRIM(Paramètres!M48),3)="Fin",1-$H2910,IF(LEFT(TRIM(Paramètres!M48),1)="F",1,0)))),IF(Paramètres!N48="",0,IF(Paramètres!O48="",NA(),IF(LEFT(TRIM(Paramètres!O48),1)="F",INDEX($F$2867:$F$2919,MATCH(Paramètres!N48,Paramètres!$G$5:$G$57,0)),INDEX($E$2867:$E$2919,MATCH(Paramètres!N48,Paramètres!$G$5:$G$57,0)))+IF(RIGHT(TRIM(Paramètres!O48),3)="Fin",1-$H2910,IF(LEFT(TRIM(Paramètres!O48),1)="F",1,0)))))))</f>
        <v/>
      </c>
      <c r="F2910" s="19">
        <f>IF($A2910="","",E2910+$H2910-1)</f>
        <v/>
      </c>
      <c r="G2910" s="18" t="n"/>
      <c r="H2910" s="18">
        <f>IF($A2910="","",IF(I2910&lt;&gt;"",I2910,Paramètres!B48))</f>
        <v/>
      </c>
      <c r="I2910" s="18" t="n"/>
    </row>
    <row r="2911">
      <c r="A2911" s="18">
        <f>IF(ISNUMBER(Dossiers!$D$57),Dossiers!$A$57&amp;" · "&amp;Dossiers!$B$57,"")</f>
        <v/>
      </c>
      <c r="B2911" s="18">
        <f>IF($A2911="","",Paramètres!G49)</f>
        <v/>
      </c>
      <c r="C2911" s="18">
        <f>IF($A2911="","",IF(Paramètres!H49="","",Paramètres!H49))</f>
        <v/>
      </c>
      <c r="D2911" s="18">
        <f>IF($A2911="","",IF(Paramètres!I49="","",Paramètres!I49))</f>
        <v/>
      </c>
      <c r="E2911" s="19">
        <f>IF($A2911="","",IF(Paramètres!J49&amp;Paramètres!L49&amp;Paramètres!N49="",Dossiers!$D$57,MAX(IF(Paramètres!J49="",0,IF(Paramètres!K49="",NA(),IF(LEFT(TRIM(Paramètres!K49),1)="F",INDEX($F$2867:$F$2919,MATCH(Paramètres!J49,Paramètres!$G$5:$G$57,0)),INDEX($E$2867:$E$2919,MATCH(Paramètres!J49,Paramètres!$G$5:$G$57,0)))+IF(RIGHT(TRIM(Paramètres!K49),3)="Fin",1-$H2911,IF(LEFT(TRIM(Paramètres!K49),1)="F",1,0)))),IF(Paramètres!L49="",0,IF(Paramètres!M49="",NA(),IF(LEFT(TRIM(Paramètres!M49),1)="F",INDEX($F$2867:$F$2919,MATCH(Paramètres!L49,Paramètres!$G$5:$G$57,0)),INDEX($E$2867:$E$2919,MATCH(Paramètres!L49,Paramètres!$G$5:$G$57,0)))+IF(RIGHT(TRIM(Paramètres!M49),3)="Fin",1-$H2911,IF(LEFT(TRIM(Paramètres!M49),1)="F",1,0)))),IF(Paramètres!N49="",0,IF(Paramètres!O49="",NA(),IF(LEFT(TRIM(Paramètres!O49),1)="F",INDEX($F$2867:$F$2919,MATCH(Paramètres!N49,Paramètres!$G$5:$G$57,0)),INDEX($E$2867:$E$2919,MATCH(Paramètres!N49,Paramètres!$G$5:$G$57,0)))+IF(RIGHT(TRIM(Paramètres!O49),3)="Fin",1-$H2911,IF(LEFT(TRIM(Paramètres!O49),1)="F",1,0)))))))</f>
        <v/>
      </c>
      <c r="F2911" s="19">
        <f>IF($A2911="","",E2911+$H2911-1)</f>
        <v/>
      </c>
      <c r="G2911" s="18" t="n"/>
      <c r="H2911" s="18">
        <f>IF($A2911="","",IF(I2911&lt;&gt;"",I2911,Paramètres!B49))</f>
        <v/>
      </c>
      <c r="I2911" s="18" t="n"/>
    </row>
    <row r="2912">
      <c r="A2912" s="18">
        <f>IF(ISNUMBER(Dossiers!$D$57),Dossiers!$A$57&amp;" · "&amp;Dossiers!$B$57,"")</f>
        <v/>
      </c>
      <c r="B2912" s="18">
        <f>IF($A2912="","",Paramètres!G50)</f>
        <v/>
      </c>
      <c r="C2912" s="18">
        <f>IF($A2912="","",IF(Paramètres!H50="","",Paramètres!H50))</f>
        <v/>
      </c>
      <c r="D2912" s="18">
        <f>IF($A2912="","",IF(Paramètres!I50="","",Paramètres!I50))</f>
        <v/>
      </c>
      <c r="E2912" s="19">
        <f>IF($A2912="","",IF(Paramètres!J50&amp;Paramètres!L50&amp;Paramètres!N50="",Dossiers!$D$57,MAX(IF(Paramètres!J50="",0,IF(Paramètres!K50="",NA(),IF(LEFT(TRIM(Paramètres!K50),1)="F",INDEX($F$2867:$F$2919,MATCH(Paramètres!J50,Paramètres!$G$5:$G$57,0)),INDEX($E$2867:$E$2919,MATCH(Paramètres!J50,Paramètres!$G$5:$G$57,0)))+IF(RIGHT(TRIM(Paramètres!K50),3)="Fin",1-$H2912,IF(LEFT(TRIM(Paramètres!K50),1)="F",1,0)))),IF(Paramètres!L50="",0,IF(Paramètres!M50="",NA(),IF(LEFT(TRIM(Paramètres!M50),1)="F",INDEX($F$2867:$F$2919,MATCH(Paramètres!L50,Paramètres!$G$5:$G$57,0)),INDEX($E$2867:$E$2919,MATCH(Paramètres!L50,Paramètres!$G$5:$G$57,0)))+IF(RIGHT(TRIM(Paramètres!M50),3)="Fin",1-$H2912,IF(LEFT(TRIM(Paramètres!M50),1)="F",1,0)))),IF(Paramètres!N50="",0,IF(Paramètres!O50="",NA(),IF(LEFT(TRIM(Paramètres!O50),1)="F",INDEX($F$2867:$F$2919,MATCH(Paramètres!N50,Paramètres!$G$5:$G$57,0)),INDEX($E$2867:$E$2919,MATCH(Paramètres!N50,Paramètres!$G$5:$G$57,0)))+IF(RIGHT(TRIM(Paramètres!O50),3)="Fin",1-$H2912,IF(LEFT(TRIM(Paramètres!O50),1)="F",1,0)))))))</f>
        <v/>
      </c>
      <c r="F2912" s="19">
        <f>IF($A2912="","",E2912+$H2912-1)</f>
        <v/>
      </c>
      <c r="G2912" s="18" t="n"/>
      <c r="H2912" s="18">
        <f>IF($A2912="","",IF(I2912&lt;&gt;"",I2912,Paramètres!B50))</f>
        <v/>
      </c>
      <c r="I2912" s="18" t="n"/>
    </row>
    <row r="2913">
      <c r="A2913" s="18">
        <f>IF(ISNUMBER(Dossiers!$D$57),Dossiers!$A$57&amp;" · "&amp;Dossiers!$B$57,"")</f>
        <v/>
      </c>
      <c r="B2913" s="18">
        <f>IF($A2913="","",Paramètres!G51)</f>
        <v/>
      </c>
      <c r="C2913" s="18">
        <f>IF($A2913="","",IF(Paramètres!H51="","",Paramètres!H51))</f>
        <v/>
      </c>
      <c r="D2913" s="18">
        <f>IF($A2913="","",IF(Paramètres!I51="","",Paramètres!I51))</f>
        <v/>
      </c>
      <c r="E2913" s="19">
        <f>IF($A2913="","",IF(Paramètres!J51&amp;Paramètres!L51&amp;Paramètres!N51="",Dossiers!$D$57,MAX(IF(Paramètres!J51="",0,IF(Paramètres!K51="",NA(),IF(LEFT(TRIM(Paramètres!K51),1)="F",INDEX($F$2867:$F$2919,MATCH(Paramètres!J51,Paramètres!$G$5:$G$57,0)),INDEX($E$2867:$E$2919,MATCH(Paramètres!J51,Paramètres!$G$5:$G$57,0)))+IF(RIGHT(TRIM(Paramètres!K51),3)="Fin",1-$H2913,IF(LEFT(TRIM(Paramètres!K51),1)="F",1,0)))),IF(Paramètres!L51="",0,IF(Paramètres!M51="",NA(),IF(LEFT(TRIM(Paramètres!M51),1)="F",INDEX($F$2867:$F$2919,MATCH(Paramètres!L51,Paramètres!$G$5:$G$57,0)),INDEX($E$2867:$E$2919,MATCH(Paramètres!L51,Paramètres!$G$5:$G$57,0)))+IF(RIGHT(TRIM(Paramètres!M51),3)="Fin",1-$H2913,IF(LEFT(TRIM(Paramètres!M51),1)="F",1,0)))),IF(Paramètres!N51="",0,IF(Paramètres!O51="",NA(),IF(LEFT(TRIM(Paramètres!O51),1)="F",INDEX($F$2867:$F$2919,MATCH(Paramètres!N51,Paramètres!$G$5:$G$57,0)),INDEX($E$2867:$E$2919,MATCH(Paramètres!N51,Paramètres!$G$5:$G$57,0)))+IF(RIGHT(TRIM(Paramètres!O51),3)="Fin",1-$H2913,IF(LEFT(TRIM(Paramètres!O51),1)="F",1,0)))))))</f>
        <v/>
      </c>
      <c r="F2913" s="19">
        <f>IF($A2913="","",E2913+$H2913-1)</f>
        <v/>
      </c>
      <c r="G2913" s="18" t="n"/>
      <c r="H2913" s="18">
        <f>IF($A2913="","",IF(I2913&lt;&gt;"",I2913,Paramètres!B51))</f>
        <v/>
      </c>
      <c r="I2913" s="18" t="n"/>
    </row>
    <row r="2914">
      <c r="A2914" s="18">
        <f>IF(ISNUMBER(Dossiers!$D$57),Dossiers!$A$57&amp;" · "&amp;Dossiers!$B$57,"")</f>
        <v/>
      </c>
      <c r="B2914" s="18">
        <f>IF($A2914="","",Paramètres!G52)</f>
        <v/>
      </c>
      <c r="C2914" s="18">
        <f>IF($A2914="","",IF(Paramètres!H52="","",Paramètres!H52))</f>
        <v/>
      </c>
      <c r="D2914" s="18">
        <f>IF($A2914="","",IF(Paramètres!I52="","",Paramètres!I52))</f>
        <v/>
      </c>
      <c r="E2914" s="19">
        <f>IF($A2914="","",IF(Paramètres!J52&amp;Paramètres!L52&amp;Paramètres!N52="",Dossiers!$D$57,MAX(IF(Paramètres!J52="",0,IF(Paramètres!K52="",NA(),IF(LEFT(TRIM(Paramètres!K52),1)="F",INDEX($F$2867:$F$2919,MATCH(Paramètres!J52,Paramètres!$G$5:$G$57,0)),INDEX($E$2867:$E$2919,MATCH(Paramètres!J52,Paramètres!$G$5:$G$57,0)))+IF(RIGHT(TRIM(Paramètres!K52),3)="Fin",1-$H2914,IF(LEFT(TRIM(Paramètres!K52),1)="F",1,0)))),IF(Paramètres!L52="",0,IF(Paramètres!M52="",NA(),IF(LEFT(TRIM(Paramètres!M52),1)="F",INDEX($F$2867:$F$2919,MATCH(Paramètres!L52,Paramètres!$G$5:$G$57,0)),INDEX($E$2867:$E$2919,MATCH(Paramètres!L52,Paramètres!$G$5:$G$57,0)))+IF(RIGHT(TRIM(Paramètres!M52),3)="Fin",1-$H2914,IF(LEFT(TRIM(Paramètres!M52),1)="F",1,0)))),IF(Paramètres!N52="",0,IF(Paramètres!O52="",NA(),IF(LEFT(TRIM(Paramètres!O52),1)="F",INDEX($F$2867:$F$2919,MATCH(Paramètres!N52,Paramètres!$G$5:$G$57,0)),INDEX($E$2867:$E$2919,MATCH(Paramètres!N52,Paramètres!$G$5:$G$57,0)))+IF(RIGHT(TRIM(Paramètres!O52),3)="Fin",1-$H2914,IF(LEFT(TRIM(Paramètres!O52),1)="F",1,0)))))))</f>
        <v/>
      </c>
      <c r="F2914" s="19">
        <f>IF($A2914="","",E2914+$H2914-1)</f>
        <v/>
      </c>
      <c r="G2914" s="18" t="n"/>
      <c r="H2914" s="18">
        <f>IF($A2914="","",IF(I2914&lt;&gt;"",I2914,Paramètres!B52))</f>
        <v/>
      </c>
      <c r="I2914" s="18" t="n"/>
    </row>
    <row r="2915">
      <c r="A2915" s="18">
        <f>IF(ISNUMBER(Dossiers!$D$57),Dossiers!$A$57&amp;" · "&amp;Dossiers!$B$57,"")</f>
        <v/>
      </c>
      <c r="B2915" s="18">
        <f>IF($A2915="","",Paramètres!G53)</f>
        <v/>
      </c>
      <c r="C2915" s="18">
        <f>IF($A2915="","",IF(Paramètres!H53="","",Paramètres!H53))</f>
        <v/>
      </c>
      <c r="D2915" s="18">
        <f>IF($A2915="","",IF(Paramètres!I53="","",Paramètres!I53))</f>
        <v/>
      </c>
      <c r="E2915" s="19">
        <f>IF($A2915="","",IF(Paramètres!J53&amp;Paramètres!L53&amp;Paramètres!N53="",Dossiers!$D$57,MAX(IF(Paramètres!J53="",0,IF(Paramètres!K53="",NA(),IF(LEFT(TRIM(Paramètres!K53),1)="F",INDEX($F$2867:$F$2919,MATCH(Paramètres!J53,Paramètres!$G$5:$G$57,0)),INDEX($E$2867:$E$2919,MATCH(Paramètres!J53,Paramètres!$G$5:$G$57,0)))+IF(RIGHT(TRIM(Paramètres!K53),3)="Fin",1-$H2915,IF(LEFT(TRIM(Paramètres!K53),1)="F",1,0)))),IF(Paramètres!L53="",0,IF(Paramètres!M53="",NA(),IF(LEFT(TRIM(Paramètres!M53),1)="F",INDEX($F$2867:$F$2919,MATCH(Paramètres!L53,Paramètres!$G$5:$G$57,0)),INDEX($E$2867:$E$2919,MATCH(Paramètres!L53,Paramètres!$G$5:$G$57,0)))+IF(RIGHT(TRIM(Paramètres!M53),3)="Fin",1-$H2915,IF(LEFT(TRIM(Paramètres!M53),1)="F",1,0)))),IF(Paramètres!N53="",0,IF(Paramètres!O53="",NA(),IF(LEFT(TRIM(Paramètres!O53),1)="F",INDEX($F$2867:$F$2919,MATCH(Paramètres!N53,Paramètres!$G$5:$G$57,0)),INDEX($E$2867:$E$2919,MATCH(Paramètres!N53,Paramètres!$G$5:$G$57,0)))+IF(RIGHT(TRIM(Paramètres!O53),3)="Fin",1-$H2915,IF(LEFT(TRIM(Paramètres!O53),1)="F",1,0)))))))</f>
        <v/>
      </c>
      <c r="F2915" s="19">
        <f>IF($A2915="","",E2915+$H2915-1)</f>
        <v/>
      </c>
      <c r="G2915" s="18" t="n"/>
      <c r="H2915" s="18">
        <f>IF($A2915="","",IF(I2915&lt;&gt;"",I2915,Paramètres!B53))</f>
        <v/>
      </c>
      <c r="I2915" s="18" t="n"/>
    </row>
    <row r="2916">
      <c r="A2916" s="18">
        <f>IF(ISNUMBER(Dossiers!$D$57),Dossiers!$A$57&amp;" · "&amp;Dossiers!$B$57,"")</f>
        <v/>
      </c>
      <c r="B2916" s="18">
        <f>IF($A2916="","",Paramètres!G54)</f>
        <v/>
      </c>
      <c r="C2916" s="18">
        <f>IF($A2916="","",IF(Paramètres!H54="","",Paramètres!H54))</f>
        <v/>
      </c>
      <c r="D2916" s="18">
        <f>IF($A2916="","",IF(Paramètres!I54="","",Paramètres!I54))</f>
        <v/>
      </c>
      <c r="E2916" s="19">
        <f>IF($A2916="","",IF(Paramètres!J54&amp;Paramètres!L54&amp;Paramètres!N54="",Dossiers!$D$57,MAX(IF(Paramètres!J54="",0,IF(Paramètres!K54="",NA(),IF(LEFT(TRIM(Paramètres!K54),1)="F",INDEX($F$2867:$F$2919,MATCH(Paramètres!J54,Paramètres!$G$5:$G$57,0)),INDEX($E$2867:$E$2919,MATCH(Paramètres!J54,Paramètres!$G$5:$G$57,0)))+IF(RIGHT(TRIM(Paramètres!K54),3)="Fin",1-$H2916,IF(LEFT(TRIM(Paramètres!K54),1)="F",1,0)))),IF(Paramètres!L54="",0,IF(Paramètres!M54="",NA(),IF(LEFT(TRIM(Paramètres!M54),1)="F",INDEX($F$2867:$F$2919,MATCH(Paramètres!L54,Paramètres!$G$5:$G$57,0)),INDEX($E$2867:$E$2919,MATCH(Paramètres!L54,Paramètres!$G$5:$G$57,0)))+IF(RIGHT(TRIM(Paramètres!M54),3)="Fin",1-$H2916,IF(LEFT(TRIM(Paramètres!M54),1)="F",1,0)))),IF(Paramètres!N54="",0,IF(Paramètres!O54="",NA(),IF(LEFT(TRIM(Paramètres!O54),1)="F",INDEX($F$2867:$F$2919,MATCH(Paramètres!N54,Paramètres!$G$5:$G$57,0)),INDEX($E$2867:$E$2919,MATCH(Paramètres!N54,Paramètres!$G$5:$G$57,0)))+IF(RIGHT(TRIM(Paramètres!O54),3)="Fin",1-$H2916,IF(LEFT(TRIM(Paramètres!O54),1)="F",1,0)))))))</f>
        <v/>
      </c>
      <c r="F2916" s="19">
        <f>IF($A2916="","",E2916+$H2916-1)</f>
        <v/>
      </c>
      <c r="G2916" s="18" t="n"/>
      <c r="H2916" s="18">
        <f>IF($A2916="","",IF(I2916&lt;&gt;"",I2916,Paramètres!B54))</f>
        <v/>
      </c>
      <c r="I2916" s="18" t="n"/>
    </row>
    <row r="2917">
      <c r="A2917" s="18">
        <f>IF(ISNUMBER(Dossiers!$D$57),Dossiers!$A$57&amp;" · "&amp;Dossiers!$B$57,"")</f>
        <v/>
      </c>
      <c r="B2917" s="18">
        <f>IF($A2917="","",Paramètres!G55)</f>
        <v/>
      </c>
      <c r="C2917" s="18">
        <f>IF($A2917="","",IF(Paramètres!H55="","",Paramètres!H55))</f>
        <v/>
      </c>
      <c r="D2917" s="18">
        <f>IF($A2917="","",IF(Paramètres!I55="","",Paramètres!I55))</f>
        <v/>
      </c>
      <c r="E2917" s="19">
        <f>IF($A2917="","",IF(Paramètres!J55&amp;Paramètres!L55&amp;Paramètres!N55="",Dossiers!$D$57,MAX(IF(Paramètres!J55="",0,IF(Paramètres!K55="",NA(),IF(LEFT(TRIM(Paramètres!K55),1)="F",INDEX($F$2867:$F$2919,MATCH(Paramètres!J55,Paramètres!$G$5:$G$57,0)),INDEX($E$2867:$E$2919,MATCH(Paramètres!J55,Paramètres!$G$5:$G$57,0)))+IF(RIGHT(TRIM(Paramètres!K55),3)="Fin",1-$H2917,IF(LEFT(TRIM(Paramètres!K55),1)="F",1,0)))),IF(Paramètres!L55="",0,IF(Paramètres!M55="",NA(),IF(LEFT(TRIM(Paramètres!M55),1)="F",INDEX($F$2867:$F$2919,MATCH(Paramètres!L55,Paramètres!$G$5:$G$57,0)),INDEX($E$2867:$E$2919,MATCH(Paramètres!L55,Paramètres!$G$5:$G$57,0)))+IF(RIGHT(TRIM(Paramètres!M55),3)="Fin",1-$H2917,IF(LEFT(TRIM(Paramètres!M55),1)="F",1,0)))),IF(Paramètres!N55="",0,IF(Paramètres!O55="",NA(),IF(LEFT(TRIM(Paramètres!O55),1)="F",INDEX($F$2867:$F$2919,MATCH(Paramètres!N55,Paramètres!$G$5:$G$57,0)),INDEX($E$2867:$E$2919,MATCH(Paramètres!N55,Paramètres!$G$5:$G$57,0)))+IF(RIGHT(TRIM(Paramètres!O55),3)="Fin",1-$H2917,IF(LEFT(TRIM(Paramètres!O55),1)="F",1,0)))))))</f>
        <v/>
      </c>
      <c r="F2917" s="19">
        <f>IF($A2917="","",E2917+$H2917-1)</f>
        <v/>
      </c>
      <c r="G2917" s="18" t="n"/>
      <c r="H2917" s="18">
        <f>IF($A2917="","",IF(I2917&lt;&gt;"",I2917,Paramètres!B55))</f>
        <v/>
      </c>
      <c r="I2917" s="18" t="n"/>
    </row>
    <row r="2918">
      <c r="A2918" s="18">
        <f>IF(ISNUMBER(Dossiers!$D$57),Dossiers!$A$57&amp;" · "&amp;Dossiers!$B$57,"")</f>
        <v/>
      </c>
      <c r="B2918" s="18">
        <f>IF($A2918="","",Paramètres!G56)</f>
        <v/>
      </c>
      <c r="C2918" s="18">
        <f>IF($A2918="","",IF(Paramètres!H56="","",Paramètres!H56))</f>
        <v/>
      </c>
      <c r="D2918" s="18">
        <f>IF($A2918="","",IF(Paramètres!I56="","",Paramètres!I56))</f>
        <v/>
      </c>
      <c r="E2918" s="19">
        <f>IF($A2918="","",MIN(E2919:E2919))</f>
        <v/>
      </c>
      <c r="F2918" s="19">
        <f>IF($A2918="","",MAX(F2919:F2919))</f>
        <v/>
      </c>
      <c r="G2918" s="18" t="n"/>
      <c r="H2918" s="18">
        <f>IF($A2918="","",F2918-E2918+1)</f>
        <v/>
      </c>
      <c r="I2918" s="18" t="n"/>
    </row>
    <row r="2919">
      <c r="A2919" s="18">
        <f>IF(ISNUMBER(Dossiers!$D$57),Dossiers!$A$57&amp;" · "&amp;Dossiers!$B$57,"")</f>
        <v/>
      </c>
      <c r="B2919" s="18">
        <f>IF($A2919="","",Paramètres!G57)</f>
        <v/>
      </c>
      <c r="C2919" s="18">
        <f>IF($A2919="","",IF(Paramètres!H57="","",Paramètres!H57))</f>
        <v/>
      </c>
      <c r="D2919" s="18">
        <f>IF($A2919="","",IF(Paramètres!I57="","",Paramètres!I57))</f>
        <v/>
      </c>
      <c r="E2919" s="19">
        <f>IF($A2919="","",IF(Paramètres!J57&amp;Paramètres!L57&amp;Paramètres!N57="",Dossiers!$D$57,MAX(IF(Paramètres!J57="",0,IF(Paramètres!K57="",NA(),IF(LEFT(TRIM(Paramètres!K57),1)="F",INDEX($F$2867:$F$2919,MATCH(Paramètres!J57,Paramètres!$G$5:$G$57,0)),INDEX($E$2867:$E$2919,MATCH(Paramètres!J57,Paramètres!$G$5:$G$57,0)))+IF(RIGHT(TRIM(Paramètres!K57),3)="Fin",1-$H2919,IF(LEFT(TRIM(Paramètres!K57),1)="F",1,0)))),IF(Paramètres!L57="",0,IF(Paramètres!M57="",NA(),IF(LEFT(TRIM(Paramètres!M57),1)="F",INDEX($F$2867:$F$2919,MATCH(Paramètres!L57,Paramètres!$G$5:$G$57,0)),INDEX($E$2867:$E$2919,MATCH(Paramètres!L57,Paramètres!$G$5:$G$57,0)))+IF(RIGHT(TRIM(Paramètres!M57),3)="Fin",1-$H2919,IF(LEFT(TRIM(Paramètres!M57),1)="F",1,0)))),IF(Paramètres!N57="",0,IF(Paramètres!O57="",NA(),IF(LEFT(TRIM(Paramètres!O57),1)="F",INDEX($F$2867:$F$2919,MATCH(Paramètres!N57,Paramètres!$G$5:$G$57,0)),INDEX($E$2867:$E$2919,MATCH(Paramètres!N57,Paramètres!$G$5:$G$57,0)))+IF(RIGHT(TRIM(Paramètres!O57),3)="Fin",1-$H2919,IF(LEFT(TRIM(Paramètres!O57),1)="F",1,0)))))))</f>
        <v/>
      </c>
      <c r="F2919" s="19">
        <f>IF($A2919="","",E2919+$H2919-1)</f>
        <v/>
      </c>
      <c r="G2919" s="18" t="n"/>
      <c r="H2919" s="18">
        <f>IF($A2919="","",IF(I2919&lt;&gt;"",I2919,Paramètres!B57))</f>
        <v/>
      </c>
      <c r="I2919" s="18" t="n"/>
    </row>
    <row r="2920">
      <c r="A2920" s="16">
        <f>IF(ISNUMBER(Dossiers!$D$58),Dossiers!$E$58,"")</f>
        <v/>
      </c>
      <c r="B2920" s="16">
        <f>IF($A2920="","","Identifiant")</f>
        <v/>
      </c>
      <c r="C2920" s="16">
        <f>IF($A2920="","","Macro Etape")</f>
        <v/>
      </c>
      <c r="D2920" s="16">
        <f>IF($A2920="","","Etape")</f>
        <v/>
      </c>
      <c r="E2920" s="17">
        <f>IF($A2920="","","Début le")</f>
        <v/>
      </c>
      <c r="F2920" s="17">
        <f>IF($A2920="","","Fin prévue le")</f>
        <v/>
      </c>
      <c r="G2920" s="16">
        <f>IF($A2920="","","Statut")</f>
        <v/>
      </c>
      <c r="H2920" s="16">
        <f>IF($A2920="","","Durée (jours)")</f>
        <v/>
      </c>
      <c r="I2920" s="16">
        <f>IF($A2920="","","Durée particulière")</f>
        <v/>
      </c>
      <c r="J2920" s="10">
        <f>IF($A2920="","",HYPERLINK("#'Tableau de bord'!A1","↑ Tableau de bord"))</f>
        <v/>
      </c>
    </row>
    <row r="2921">
      <c r="A2921" s="18">
        <f>IF(ISNUMBER(Dossiers!$D$58),Dossiers!$A$58&amp;" · "&amp;Dossiers!$B$58,"")</f>
        <v/>
      </c>
      <c r="B2921" s="18">
        <f>IF($A2921="","",Paramètres!G5)</f>
        <v/>
      </c>
      <c r="C2921" s="18">
        <f>IF($A2921="","",IF(Paramètres!H5="","",Paramètres!H5))</f>
        <v/>
      </c>
      <c r="D2921" s="18">
        <f>IF($A2921="","",IF(Paramètres!I5="","",Paramètres!I5))</f>
        <v/>
      </c>
      <c r="E2921" s="19">
        <f>IF($A2921="","",MIN(E2922:E2925))</f>
        <v/>
      </c>
      <c r="F2921" s="19">
        <f>IF($A2921="","",MAX(F2922:F2925))</f>
        <v/>
      </c>
      <c r="G2921" s="18" t="n"/>
      <c r="H2921" s="18">
        <f>IF($A2921="","",F2921-E2921+1)</f>
        <v/>
      </c>
      <c r="I2921" s="18" t="n"/>
    </row>
    <row r="2922">
      <c r="A2922" s="18">
        <f>IF(ISNUMBER(Dossiers!$D$58),Dossiers!$A$58&amp;" · "&amp;Dossiers!$B$58,"")</f>
        <v/>
      </c>
      <c r="B2922" s="18">
        <f>IF($A2922="","",Paramètres!G6)</f>
        <v/>
      </c>
      <c r="C2922" s="18">
        <f>IF($A2922="","",IF(Paramètres!H6="","",Paramètres!H6))</f>
        <v/>
      </c>
      <c r="D2922" s="18">
        <f>IF($A2922="","",IF(Paramètres!I6="","",Paramètres!I6))</f>
        <v/>
      </c>
      <c r="E2922" s="19">
        <f>IF($A2922="","",IF(Paramètres!J6&amp;Paramètres!L6&amp;Paramètres!N6="",Dossiers!$D$58,MAX(IF(Paramètres!J6="",0,IF(Paramètres!K6="",NA(),IF(LEFT(TRIM(Paramètres!K6),1)="F",INDEX($F$2921:$F$2973,MATCH(Paramètres!J6,Paramètres!$G$5:$G$57,0)),INDEX($E$2921:$E$2973,MATCH(Paramètres!J6,Paramètres!$G$5:$G$57,0)))+IF(RIGHT(TRIM(Paramètres!K6),3)="Fin",1-$H2922,IF(LEFT(TRIM(Paramètres!K6),1)="F",1,0)))),IF(Paramètres!L6="",0,IF(Paramètres!M6="",NA(),IF(LEFT(TRIM(Paramètres!M6),1)="F",INDEX($F$2921:$F$2973,MATCH(Paramètres!L6,Paramètres!$G$5:$G$57,0)),INDEX($E$2921:$E$2973,MATCH(Paramètres!L6,Paramètres!$G$5:$G$57,0)))+IF(RIGHT(TRIM(Paramètres!M6),3)="Fin",1-$H2922,IF(LEFT(TRIM(Paramètres!M6),1)="F",1,0)))),IF(Paramètres!N6="",0,IF(Paramètres!O6="",NA(),IF(LEFT(TRIM(Paramètres!O6),1)="F",INDEX($F$2921:$F$2973,MATCH(Paramètres!N6,Paramètres!$G$5:$G$57,0)),INDEX($E$2921:$E$2973,MATCH(Paramètres!N6,Paramètres!$G$5:$G$57,0)))+IF(RIGHT(TRIM(Paramètres!O6),3)="Fin",1-$H2922,IF(LEFT(TRIM(Paramètres!O6),1)="F",1,0)))))))</f>
        <v/>
      </c>
      <c r="F2922" s="19">
        <f>IF($A2922="","",E2922+$H2922-1)</f>
        <v/>
      </c>
      <c r="G2922" s="18" t="n"/>
      <c r="H2922" s="18">
        <f>IF($A2922="","",IF(I2922&lt;&gt;"",I2922,Paramètres!B6))</f>
        <v/>
      </c>
      <c r="I2922" s="18" t="n"/>
    </row>
    <row r="2923">
      <c r="A2923" s="18">
        <f>IF(ISNUMBER(Dossiers!$D$58),Dossiers!$A$58&amp;" · "&amp;Dossiers!$B$58,"")</f>
        <v/>
      </c>
      <c r="B2923" s="18">
        <f>IF($A2923="","",Paramètres!G7)</f>
        <v/>
      </c>
      <c r="C2923" s="18">
        <f>IF($A2923="","",IF(Paramètres!H7="","",Paramètres!H7))</f>
        <v/>
      </c>
      <c r="D2923" s="18">
        <f>IF($A2923="","",IF(Paramètres!I7="","",Paramètres!I7))</f>
        <v/>
      </c>
      <c r="E2923" s="19">
        <f>IF($A2923="","",IF(Paramètres!J7&amp;Paramètres!L7&amp;Paramètres!N7="",Dossiers!$D$58,MAX(IF(Paramètres!J7="",0,IF(Paramètres!K7="",NA(),IF(LEFT(TRIM(Paramètres!K7),1)="F",INDEX($F$2921:$F$2973,MATCH(Paramètres!J7,Paramètres!$G$5:$G$57,0)),INDEX($E$2921:$E$2973,MATCH(Paramètres!J7,Paramètres!$G$5:$G$57,0)))+IF(RIGHT(TRIM(Paramètres!K7),3)="Fin",1-$H2923,IF(LEFT(TRIM(Paramètres!K7),1)="F",1,0)))),IF(Paramètres!L7="",0,IF(Paramètres!M7="",NA(),IF(LEFT(TRIM(Paramètres!M7),1)="F",INDEX($F$2921:$F$2973,MATCH(Paramètres!L7,Paramètres!$G$5:$G$57,0)),INDEX($E$2921:$E$2973,MATCH(Paramètres!L7,Paramètres!$G$5:$G$57,0)))+IF(RIGHT(TRIM(Paramètres!M7),3)="Fin",1-$H2923,IF(LEFT(TRIM(Paramètres!M7),1)="F",1,0)))),IF(Paramètres!N7="",0,IF(Paramètres!O7="",NA(),IF(LEFT(TRIM(Paramètres!O7),1)="F",INDEX($F$2921:$F$2973,MATCH(Paramètres!N7,Paramètres!$G$5:$G$57,0)),INDEX($E$2921:$E$2973,MATCH(Paramètres!N7,Paramètres!$G$5:$G$57,0)))+IF(RIGHT(TRIM(Paramètres!O7),3)="Fin",1-$H2923,IF(LEFT(TRIM(Paramètres!O7),1)="F",1,0)))))))</f>
        <v/>
      </c>
      <c r="F2923" s="19">
        <f>IF($A2923="","",E2923+$H2923-1)</f>
        <v/>
      </c>
      <c r="G2923" s="18" t="n"/>
      <c r="H2923" s="18">
        <f>IF($A2923="","",IF(I2923&lt;&gt;"",I2923,Paramètres!B7))</f>
        <v/>
      </c>
      <c r="I2923" s="18" t="n"/>
    </row>
    <row r="2924">
      <c r="A2924" s="18">
        <f>IF(ISNUMBER(Dossiers!$D$58),Dossiers!$A$58&amp;" · "&amp;Dossiers!$B$58,"")</f>
        <v/>
      </c>
      <c r="B2924" s="18">
        <f>IF($A2924="","",Paramètres!G8)</f>
        <v/>
      </c>
      <c r="C2924" s="18">
        <f>IF($A2924="","",IF(Paramètres!H8="","",Paramètres!H8))</f>
        <v/>
      </c>
      <c r="D2924" s="18">
        <f>IF($A2924="","",IF(Paramètres!I8="","",Paramètres!I8))</f>
        <v/>
      </c>
      <c r="E2924" s="19">
        <f>IF($A2924="","",IF(Paramètres!J8&amp;Paramètres!L8&amp;Paramètres!N8="",Dossiers!$D$58,MAX(IF(Paramètres!J8="",0,IF(Paramètres!K8="",NA(),IF(LEFT(TRIM(Paramètres!K8),1)="F",INDEX($F$2921:$F$2973,MATCH(Paramètres!J8,Paramètres!$G$5:$G$57,0)),INDEX($E$2921:$E$2973,MATCH(Paramètres!J8,Paramètres!$G$5:$G$57,0)))+IF(RIGHT(TRIM(Paramètres!K8),3)="Fin",1-$H2924,IF(LEFT(TRIM(Paramètres!K8),1)="F",1,0)))),IF(Paramètres!L8="",0,IF(Paramètres!M8="",NA(),IF(LEFT(TRIM(Paramètres!M8),1)="F",INDEX($F$2921:$F$2973,MATCH(Paramètres!L8,Paramètres!$G$5:$G$57,0)),INDEX($E$2921:$E$2973,MATCH(Paramètres!L8,Paramètres!$G$5:$G$57,0)))+IF(RIGHT(TRIM(Paramètres!M8),3)="Fin",1-$H2924,IF(LEFT(TRIM(Paramètres!M8),1)="F",1,0)))),IF(Paramètres!N8="",0,IF(Paramètres!O8="",NA(),IF(LEFT(TRIM(Paramètres!O8),1)="F",INDEX($F$2921:$F$2973,MATCH(Paramètres!N8,Paramètres!$G$5:$G$57,0)),INDEX($E$2921:$E$2973,MATCH(Paramètres!N8,Paramètres!$G$5:$G$57,0)))+IF(RIGHT(TRIM(Paramètres!O8),3)="Fin",1-$H2924,IF(LEFT(TRIM(Paramètres!O8),1)="F",1,0)))))))</f>
        <v/>
      </c>
      <c r="F2924" s="19">
        <f>IF($A2924="","",E2924+$H2924-1)</f>
        <v/>
      </c>
      <c r="G2924" s="18" t="n"/>
      <c r="H2924" s="18">
        <f>IF($A2924="","",IF(I2924&lt;&gt;"",I2924,Paramètres!B8))</f>
        <v/>
      </c>
      <c r="I2924" s="18" t="n"/>
    </row>
    <row r="2925">
      <c r="A2925" s="18">
        <f>IF(ISNUMBER(Dossiers!$D$58),Dossiers!$A$58&amp;" · "&amp;Dossiers!$B$58,"")</f>
        <v/>
      </c>
      <c r="B2925" s="18">
        <f>IF($A2925="","",Paramètres!G9)</f>
        <v/>
      </c>
      <c r="C2925" s="18">
        <f>IF($A2925="","",IF(Paramètres!H9="","",Paramètres!H9))</f>
        <v/>
      </c>
      <c r="D2925" s="18">
        <f>IF($A2925="","",IF(Paramètres!I9="","",Paramètres!I9))</f>
        <v/>
      </c>
      <c r="E2925" s="19">
        <f>IF($A2925="","",IF(Paramètres!J9&amp;Paramètres!L9&amp;Paramètres!N9="",Dossiers!$D$58,MAX(IF(Paramètres!J9="",0,IF(Paramètres!K9="",NA(),IF(LEFT(TRIM(Paramètres!K9),1)="F",INDEX($F$2921:$F$2973,MATCH(Paramètres!J9,Paramètres!$G$5:$G$57,0)),INDEX($E$2921:$E$2973,MATCH(Paramètres!J9,Paramètres!$G$5:$G$57,0)))+IF(RIGHT(TRIM(Paramètres!K9),3)="Fin",1-$H2925,IF(LEFT(TRIM(Paramètres!K9),1)="F",1,0)))),IF(Paramètres!L9="",0,IF(Paramètres!M9="",NA(),IF(LEFT(TRIM(Paramètres!M9),1)="F",INDEX($F$2921:$F$2973,MATCH(Paramètres!L9,Paramètres!$G$5:$G$57,0)),INDEX($E$2921:$E$2973,MATCH(Paramètres!L9,Paramètres!$G$5:$G$57,0)))+IF(RIGHT(TRIM(Paramètres!M9),3)="Fin",1-$H2925,IF(LEFT(TRIM(Paramètres!M9),1)="F",1,0)))),IF(Paramètres!N9="",0,IF(Paramètres!O9="",NA(),IF(LEFT(TRIM(Paramètres!O9),1)="F",INDEX($F$2921:$F$2973,MATCH(Paramètres!N9,Paramètres!$G$5:$G$57,0)),INDEX($E$2921:$E$2973,MATCH(Paramètres!N9,Paramètres!$G$5:$G$57,0)))+IF(RIGHT(TRIM(Paramètres!O9),3)="Fin",1-$H2925,IF(LEFT(TRIM(Paramètres!O9),1)="F",1,0)))))))</f>
        <v/>
      </c>
      <c r="F2925" s="19">
        <f>IF($A2925="","",E2925+$H2925-1)</f>
        <v/>
      </c>
      <c r="G2925" s="18" t="n"/>
      <c r="H2925" s="18">
        <f>IF($A2925="","",IF(I2925&lt;&gt;"",I2925,Paramètres!B9))</f>
        <v/>
      </c>
      <c r="I2925" s="18" t="n"/>
    </row>
    <row r="2926">
      <c r="A2926" s="18">
        <f>IF(ISNUMBER(Dossiers!$D$58),Dossiers!$A$58&amp;" · "&amp;Dossiers!$B$58,"")</f>
        <v/>
      </c>
      <c r="B2926" s="18">
        <f>IF($A2926="","",Paramètres!G10)</f>
        <v/>
      </c>
      <c r="C2926" s="18">
        <f>IF($A2926="","",IF(Paramètres!H10="","",Paramètres!H10))</f>
        <v/>
      </c>
      <c r="D2926" s="18">
        <f>IF($A2926="","",IF(Paramètres!I10="","",Paramètres!I10))</f>
        <v/>
      </c>
      <c r="E2926" s="19">
        <f>IF($A2926="","",MIN(E2927:E2930))</f>
        <v/>
      </c>
      <c r="F2926" s="19">
        <f>IF($A2926="","",MAX(F2927:F2930))</f>
        <v/>
      </c>
      <c r="G2926" s="18" t="n"/>
      <c r="H2926" s="18">
        <f>IF($A2926="","",F2926-E2926+1)</f>
        <v/>
      </c>
      <c r="I2926" s="18" t="n"/>
    </row>
    <row r="2927">
      <c r="A2927" s="18">
        <f>IF(ISNUMBER(Dossiers!$D$58),Dossiers!$A$58&amp;" · "&amp;Dossiers!$B$58,"")</f>
        <v/>
      </c>
      <c r="B2927" s="18">
        <f>IF($A2927="","",Paramètres!G11)</f>
        <v/>
      </c>
      <c r="C2927" s="18">
        <f>IF($A2927="","",IF(Paramètres!H11="","",Paramètres!H11))</f>
        <v/>
      </c>
      <c r="D2927" s="18">
        <f>IF($A2927="","",IF(Paramètres!I11="","",Paramètres!I11))</f>
        <v/>
      </c>
      <c r="E2927" s="19">
        <f>IF($A2927="","",IF(Paramètres!J11&amp;Paramètres!L11&amp;Paramètres!N11="",Dossiers!$D$58,MAX(IF(Paramètres!J11="",0,IF(Paramètres!K11="",NA(),IF(LEFT(TRIM(Paramètres!K11),1)="F",INDEX($F$2921:$F$2973,MATCH(Paramètres!J11,Paramètres!$G$5:$G$57,0)),INDEX($E$2921:$E$2973,MATCH(Paramètres!J11,Paramètres!$G$5:$G$57,0)))+IF(RIGHT(TRIM(Paramètres!K11),3)="Fin",1-$H2927,IF(LEFT(TRIM(Paramètres!K11),1)="F",1,0)))),IF(Paramètres!L11="",0,IF(Paramètres!M11="",NA(),IF(LEFT(TRIM(Paramètres!M11),1)="F",INDEX($F$2921:$F$2973,MATCH(Paramètres!L11,Paramètres!$G$5:$G$57,0)),INDEX($E$2921:$E$2973,MATCH(Paramètres!L11,Paramètres!$G$5:$G$57,0)))+IF(RIGHT(TRIM(Paramètres!M11),3)="Fin",1-$H2927,IF(LEFT(TRIM(Paramètres!M11),1)="F",1,0)))),IF(Paramètres!N11="",0,IF(Paramètres!O11="",NA(),IF(LEFT(TRIM(Paramètres!O11),1)="F",INDEX($F$2921:$F$2973,MATCH(Paramètres!N11,Paramètres!$G$5:$G$57,0)),INDEX($E$2921:$E$2973,MATCH(Paramètres!N11,Paramètres!$G$5:$G$57,0)))+IF(RIGHT(TRIM(Paramètres!O11),3)="Fin",1-$H2927,IF(LEFT(TRIM(Paramètres!O11),1)="F",1,0)))))))</f>
        <v/>
      </c>
      <c r="F2927" s="19">
        <f>IF($A2927="","",E2927+$H2927-1)</f>
        <v/>
      </c>
      <c r="G2927" s="18" t="n"/>
      <c r="H2927" s="18">
        <f>IF($A2927="","",IF(I2927&lt;&gt;"",I2927,Paramètres!B11))</f>
        <v/>
      </c>
      <c r="I2927" s="18" t="n"/>
    </row>
    <row r="2928">
      <c r="A2928" s="18">
        <f>IF(ISNUMBER(Dossiers!$D$58),Dossiers!$A$58&amp;" · "&amp;Dossiers!$B$58,"")</f>
        <v/>
      </c>
      <c r="B2928" s="18">
        <f>IF($A2928="","",Paramètres!G12)</f>
        <v/>
      </c>
      <c r="C2928" s="18">
        <f>IF($A2928="","",IF(Paramètres!H12="","",Paramètres!H12))</f>
        <v/>
      </c>
      <c r="D2928" s="18">
        <f>IF($A2928="","",IF(Paramètres!I12="","",Paramètres!I12))</f>
        <v/>
      </c>
      <c r="E2928" s="19">
        <f>IF($A2928="","",IF(Paramètres!J12&amp;Paramètres!L12&amp;Paramètres!N12="",Dossiers!$D$58,MAX(IF(Paramètres!J12="",0,IF(Paramètres!K12="",NA(),IF(LEFT(TRIM(Paramètres!K12),1)="F",INDEX($F$2921:$F$2973,MATCH(Paramètres!J12,Paramètres!$G$5:$G$57,0)),INDEX($E$2921:$E$2973,MATCH(Paramètres!J12,Paramètres!$G$5:$G$57,0)))+IF(RIGHT(TRIM(Paramètres!K12),3)="Fin",1-$H2928,IF(LEFT(TRIM(Paramètres!K12),1)="F",1,0)))),IF(Paramètres!L12="",0,IF(Paramètres!M12="",NA(),IF(LEFT(TRIM(Paramètres!M12),1)="F",INDEX($F$2921:$F$2973,MATCH(Paramètres!L12,Paramètres!$G$5:$G$57,0)),INDEX($E$2921:$E$2973,MATCH(Paramètres!L12,Paramètres!$G$5:$G$57,0)))+IF(RIGHT(TRIM(Paramètres!M12),3)="Fin",1-$H2928,IF(LEFT(TRIM(Paramètres!M12),1)="F",1,0)))),IF(Paramètres!N12="",0,IF(Paramètres!O12="",NA(),IF(LEFT(TRIM(Paramètres!O12),1)="F",INDEX($F$2921:$F$2973,MATCH(Paramètres!N12,Paramètres!$G$5:$G$57,0)),INDEX($E$2921:$E$2973,MATCH(Paramètres!N12,Paramètres!$G$5:$G$57,0)))+IF(RIGHT(TRIM(Paramètres!O12),3)="Fin",1-$H2928,IF(LEFT(TRIM(Paramètres!O12),1)="F",1,0)))))))</f>
        <v/>
      </c>
      <c r="F2928" s="19">
        <f>IF($A2928="","",E2928+$H2928-1)</f>
        <v/>
      </c>
      <c r="G2928" s="18" t="n"/>
      <c r="H2928" s="18">
        <f>IF($A2928="","",IF(I2928&lt;&gt;"",I2928,Paramètres!B12))</f>
        <v/>
      </c>
      <c r="I2928" s="18" t="n"/>
    </row>
    <row r="2929">
      <c r="A2929" s="18">
        <f>IF(ISNUMBER(Dossiers!$D$58),Dossiers!$A$58&amp;" · "&amp;Dossiers!$B$58,"")</f>
        <v/>
      </c>
      <c r="B2929" s="18">
        <f>IF($A2929="","",Paramètres!G13)</f>
        <v/>
      </c>
      <c r="C2929" s="18">
        <f>IF($A2929="","",IF(Paramètres!H13="","",Paramètres!H13))</f>
        <v/>
      </c>
      <c r="D2929" s="18">
        <f>IF($A2929="","",IF(Paramètres!I13="","",Paramètres!I13))</f>
        <v/>
      </c>
      <c r="E2929" s="19">
        <f>IF($A2929="","",IF(Paramètres!J13&amp;Paramètres!L13&amp;Paramètres!N13="",Dossiers!$D$58,MAX(IF(Paramètres!J13="",0,IF(Paramètres!K13="",NA(),IF(LEFT(TRIM(Paramètres!K13),1)="F",INDEX($F$2921:$F$2973,MATCH(Paramètres!J13,Paramètres!$G$5:$G$57,0)),INDEX($E$2921:$E$2973,MATCH(Paramètres!J13,Paramètres!$G$5:$G$57,0)))+IF(RIGHT(TRIM(Paramètres!K13),3)="Fin",1-$H2929,IF(LEFT(TRIM(Paramètres!K13),1)="F",1,0)))),IF(Paramètres!L13="",0,IF(Paramètres!M13="",NA(),IF(LEFT(TRIM(Paramètres!M13),1)="F",INDEX($F$2921:$F$2973,MATCH(Paramètres!L13,Paramètres!$G$5:$G$57,0)),INDEX($E$2921:$E$2973,MATCH(Paramètres!L13,Paramètres!$G$5:$G$57,0)))+IF(RIGHT(TRIM(Paramètres!M13),3)="Fin",1-$H2929,IF(LEFT(TRIM(Paramètres!M13),1)="F",1,0)))),IF(Paramètres!N13="",0,IF(Paramètres!O13="",NA(),IF(LEFT(TRIM(Paramètres!O13),1)="F",INDEX($F$2921:$F$2973,MATCH(Paramètres!N13,Paramètres!$G$5:$G$57,0)),INDEX($E$2921:$E$2973,MATCH(Paramètres!N13,Paramètres!$G$5:$G$57,0)))+IF(RIGHT(TRIM(Paramètres!O13),3)="Fin",1-$H2929,IF(LEFT(TRIM(Paramètres!O13),1)="F",1,0)))))))</f>
        <v/>
      </c>
      <c r="F2929" s="19">
        <f>IF($A2929="","",E2929+$H2929-1)</f>
        <v/>
      </c>
      <c r="G2929" s="18" t="n"/>
      <c r="H2929" s="18">
        <f>IF($A2929="","",IF(I2929&lt;&gt;"",I2929,Paramètres!B13))</f>
        <v/>
      </c>
      <c r="I2929" s="18" t="n"/>
    </row>
    <row r="2930">
      <c r="A2930" s="18">
        <f>IF(ISNUMBER(Dossiers!$D$58),Dossiers!$A$58&amp;" · "&amp;Dossiers!$B$58,"")</f>
        <v/>
      </c>
      <c r="B2930" s="18">
        <f>IF($A2930="","",Paramètres!G14)</f>
        <v/>
      </c>
      <c r="C2930" s="18">
        <f>IF($A2930="","",IF(Paramètres!H14="","",Paramètres!H14))</f>
        <v/>
      </c>
      <c r="D2930" s="18">
        <f>IF($A2930="","",IF(Paramètres!I14="","",Paramètres!I14))</f>
        <v/>
      </c>
      <c r="E2930" s="19">
        <f>IF($A2930="","",IF(Paramètres!J14&amp;Paramètres!L14&amp;Paramètres!N14="",Dossiers!$D$58,MAX(IF(Paramètres!J14="",0,IF(Paramètres!K14="",NA(),IF(LEFT(TRIM(Paramètres!K14),1)="F",INDEX($F$2921:$F$2973,MATCH(Paramètres!J14,Paramètres!$G$5:$G$57,0)),INDEX($E$2921:$E$2973,MATCH(Paramètres!J14,Paramètres!$G$5:$G$57,0)))+IF(RIGHT(TRIM(Paramètres!K14),3)="Fin",1-$H2930,IF(LEFT(TRIM(Paramètres!K14),1)="F",1,0)))),IF(Paramètres!L14="",0,IF(Paramètres!M14="",NA(),IF(LEFT(TRIM(Paramètres!M14),1)="F",INDEX($F$2921:$F$2973,MATCH(Paramètres!L14,Paramètres!$G$5:$G$57,0)),INDEX($E$2921:$E$2973,MATCH(Paramètres!L14,Paramètres!$G$5:$G$57,0)))+IF(RIGHT(TRIM(Paramètres!M14),3)="Fin",1-$H2930,IF(LEFT(TRIM(Paramètres!M14),1)="F",1,0)))),IF(Paramètres!N14="",0,IF(Paramètres!O14="",NA(),IF(LEFT(TRIM(Paramètres!O14),1)="F",INDEX($F$2921:$F$2973,MATCH(Paramètres!N14,Paramètres!$G$5:$G$57,0)),INDEX($E$2921:$E$2973,MATCH(Paramètres!N14,Paramètres!$G$5:$G$57,0)))+IF(RIGHT(TRIM(Paramètres!O14),3)="Fin",1-$H2930,IF(LEFT(TRIM(Paramètres!O14),1)="F",1,0)))))))</f>
        <v/>
      </c>
      <c r="F2930" s="19">
        <f>IF($A2930="","",E2930+$H2930-1)</f>
        <v/>
      </c>
      <c r="G2930" s="18" t="n"/>
      <c r="H2930" s="18">
        <f>IF($A2930="","",IF(I2930&lt;&gt;"",I2930,Paramètres!B14))</f>
        <v/>
      </c>
      <c r="I2930" s="18" t="n"/>
    </row>
    <row r="2931">
      <c r="A2931" s="18">
        <f>IF(ISNUMBER(Dossiers!$D$58),Dossiers!$A$58&amp;" · "&amp;Dossiers!$B$58,"")</f>
        <v/>
      </c>
      <c r="B2931" s="18">
        <f>IF($A2931="","",Paramètres!G15)</f>
        <v/>
      </c>
      <c r="C2931" s="18">
        <f>IF($A2931="","",IF(Paramètres!H15="","",Paramètres!H15))</f>
        <v/>
      </c>
      <c r="D2931" s="18">
        <f>IF($A2931="","",IF(Paramètres!I15="","",Paramètres!I15))</f>
        <v/>
      </c>
      <c r="E2931" s="19">
        <f>IF($A2931="","",MIN(E2932:E2947))</f>
        <v/>
      </c>
      <c r="F2931" s="19">
        <f>IF($A2931="","",MAX(F2932:F2947))</f>
        <v/>
      </c>
      <c r="G2931" s="18" t="n"/>
      <c r="H2931" s="18">
        <f>IF($A2931="","",F2931-E2931+1)</f>
        <v/>
      </c>
      <c r="I2931" s="18" t="n"/>
    </row>
    <row r="2932">
      <c r="A2932" s="18">
        <f>IF(ISNUMBER(Dossiers!$D$58),Dossiers!$A$58&amp;" · "&amp;Dossiers!$B$58,"")</f>
        <v/>
      </c>
      <c r="B2932" s="18">
        <f>IF($A2932="","",Paramètres!G16)</f>
        <v/>
      </c>
      <c r="C2932" s="18">
        <f>IF($A2932="","",IF(Paramètres!H16="","",Paramètres!H16))</f>
        <v/>
      </c>
      <c r="D2932" s="18">
        <f>IF($A2932="","",IF(Paramètres!I16="","",Paramètres!I16))</f>
        <v/>
      </c>
      <c r="E2932" s="19">
        <f>IF($A2932="","",IF(Paramètres!J16&amp;Paramètres!L16&amp;Paramètres!N16="",Dossiers!$D$58,MAX(IF(Paramètres!J16="",0,IF(Paramètres!K16="",NA(),IF(LEFT(TRIM(Paramètres!K16),1)="F",INDEX($F$2921:$F$2973,MATCH(Paramètres!J16,Paramètres!$G$5:$G$57,0)),INDEX($E$2921:$E$2973,MATCH(Paramètres!J16,Paramètres!$G$5:$G$57,0)))+IF(RIGHT(TRIM(Paramètres!K16),3)="Fin",1-$H2932,IF(LEFT(TRIM(Paramètres!K16),1)="F",1,0)))),IF(Paramètres!L16="",0,IF(Paramètres!M16="",NA(),IF(LEFT(TRIM(Paramètres!M16),1)="F",INDEX($F$2921:$F$2973,MATCH(Paramètres!L16,Paramètres!$G$5:$G$57,0)),INDEX($E$2921:$E$2973,MATCH(Paramètres!L16,Paramètres!$G$5:$G$57,0)))+IF(RIGHT(TRIM(Paramètres!M16),3)="Fin",1-$H2932,IF(LEFT(TRIM(Paramètres!M16),1)="F",1,0)))),IF(Paramètres!N16="",0,IF(Paramètres!O16="",NA(),IF(LEFT(TRIM(Paramètres!O16),1)="F",INDEX($F$2921:$F$2973,MATCH(Paramètres!N16,Paramètres!$G$5:$G$57,0)),INDEX($E$2921:$E$2973,MATCH(Paramètres!N16,Paramètres!$G$5:$G$57,0)))+IF(RIGHT(TRIM(Paramètres!O16),3)="Fin",1-$H2932,IF(LEFT(TRIM(Paramètres!O16),1)="F",1,0)))))))</f>
        <v/>
      </c>
      <c r="F2932" s="19">
        <f>IF($A2932="","",E2932+$H2932-1)</f>
        <v/>
      </c>
      <c r="G2932" s="18" t="n"/>
      <c r="H2932" s="18">
        <f>IF($A2932="","",IF(I2932&lt;&gt;"",I2932,Paramètres!B16))</f>
        <v/>
      </c>
      <c r="I2932" s="18" t="n"/>
    </row>
    <row r="2933">
      <c r="A2933" s="18">
        <f>IF(ISNUMBER(Dossiers!$D$58),Dossiers!$A$58&amp;" · "&amp;Dossiers!$B$58,"")</f>
        <v/>
      </c>
      <c r="B2933" s="18">
        <f>IF($A2933="","",Paramètres!G17)</f>
        <v/>
      </c>
      <c r="C2933" s="18">
        <f>IF($A2933="","",IF(Paramètres!H17="","",Paramètres!H17))</f>
        <v/>
      </c>
      <c r="D2933" s="18">
        <f>IF($A2933="","",IF(Paramètres!I17="","",Paramètres!I17))</f>
        <v/>
      </c>
      <c r="E2933" s="19">
        <f>IF($A2933="","",IF(Paramètres!J17&amp;Paramètres!L17&amp;Paramètres!N17="",Dossiers!$D$58,MAX(IF(Paramètres!J17="",0,IF(Paramètres!K17="",NA(),IF(LEFT(TRIM(Paramètres!K17),1)="F",INDEX($F$2921:$F$2973,MATCH(Paramètres!J17,Paramètres!$G$5:$G$57,0)),INDEX($E$2921:$E$2973,MATCH(Paramètres!J17,Paramètres!$G$5:$G$57,0)))+IF(RIGHT(TRIM(Paramètres!K17),3)="Fin",1-$H2933,IF(LEFT(TRIM(Paramètres!K17),1)="F",1,0)))),IF(Paramètres!L17="",0,IF(Paramètres!M17="",NA(),IF(LEFT(TRIM(Paramètres!M17),1)="F",INDEX($F$2921:$F$2973,MATCH(Paramètres!L17,Paramètres!$G$5:$G$57,0)),INDEX($E$2921:$E$2973,MATCH(Paramètres!L17,Paramètres!$G$5:$G$57,0)))+IF(RIGHT(TRIM(Paramètres!M17),3)="Fin",1-$H2933,IF(LEFT(TRIM(Paramètres!M17),1)="F",1,0)))),IF(Paramètres!N17="",0,IF(Paramètres!O17="",NA(),IF(LEFT(TRIM(Paramètres!O17),1)="F",INDEX($F$2921:$F$2973,MATCH(Paramètres!N17,Paramètres!$G$5:$G$57,0)),INDEX($E$2921:$E$2973,MATCH(Paramètres!N17,Paramètres!$G$5:$G$57,0)))+IF(RIGHT(TRIM(Paramètres!O17),3)="Fin",1-$H2933,IF(LEFT(TRIM(Paramètres!O17),1)="F",1,0)))))))</f>
        <v/>
      </c>
      <c r="F2933" s="19">
        <f>IF($A2933="","",E2933+$H2933-1)</f>
        <v/>
      </c>
      <c r="G2933" s="18" t="n"/>
      <c r="H2933" s="18">
        <f>IF($A2933="","",IF(I2933&lt;&gt;"",I2933,Paramètres!B17))</f>
        <v/>
      </c>
      <c r="I2933" s="18" t="n"/>
    </row>
    <row r="2934">
      <c r="A2934" s="18">
        <f>IF(ISNUMBER(Dossiers!$D$58),Dossiers!$A$58&amp;" · "&amp;Dossiers!$B$58,"")</f>
        <v/>
      </c>
      <c r="B2934" s="18">
        <f>IF($A2934="","",Paramètres!G18)</f>
        <v/>
      </c>
      <c r="C2934" s="18">
        <f>IF($A2934="","",IF(Paramètres!H18="","",Paramètres!H18))</f>
        <v/>
      </c>
      <c r="D2934" s="18">
        <f>IF($A2934="","",IF(Paramètres!I18="","",Paramètres!I18))</f>
        <v/>
      </c>
      <c r="E2934" s="19">
        <f>IF($A2934="","",IF(Paramètres!J18&amp;Paramètres!L18&amp;Paramètres!N18="",Dossiers!$D$58,MAX(IF(Paramètres!J18="",0,IF(Paramètres!K18="",NA(),IF(LEFT(TRIM(Paramètres!K18),1)="F",INDEX($F$2921:$F$2973,MATCH(Paramètres!J18,Paramètres!$G$5:$G$57,0)),INDEX($E$2921:$E$2973,MATCH(Paramètres!J18,Paramètres!$G$5:$G$57,0)))+IF(RIGHT(TRIM(Paramètres!K18),3)="Fin",1-$H2934,IF(LEFT(TRIM(Paramètres!K18),1)="F",1,0)))),IF(Paramètres!L18="",0,IF(Paramètres!M18="",NA(),IF(LEFT(TRIM(Paramètres!M18),1)="F",INDEX($F$2921:$F$2973,MATCH(Paramètres!L18,Paramètres!$G$5:$G$57,0)),INDEX($E$2921:$E$2973,MATCH(Paramètres!L18,Paramètres!$G$5:$G$57,0)))+IF(RIGHT(TRIM(Paramètres!M18),3)="Fin",1-$H2934,IF(LEFT(TRIM(Paramètres!M18),1)="F",1,0)))),IF(Paramètres!N18="",0,IF(Paramètres!O18="",NA(),IF(LEFT(TRIM(Paramètres!O18),1)="F",INDEX($F$2921:$F$2973,MATCH(Paramètres!N18,Paramètres!$G$5:$G$57,0)),INDEX($E$2921:$E$2973,MATCH(Paramètres!N18,Paramètres!$G$5:$G$57,0)))+IF(RIGHT(TRIM(Paramètres!O18),3)="Fin",1-$H2934,IF(LEFT(TRIM(Paramètres!O18),1)="F",1,0)))))))</f>
        <v/>
      </c>
      <c r="F2934" s="19">
        <f>IF($A2934="","",E2934+$H2934-1)</f>
        <v/>
      </c>
      <c r="G2934" s="18" t="n"/>
      <c r="H2934" s="18">
        <f>IF($A2934="","",IF(I2934&lt;&gt;"",I2934,Paramètres!B18))</f>
        <v/>
      </c>
      <c r="I2934" s="18" t="n"/>
    </row>
    <row r="2935">
      <c r="A2935" s="18">
        <f>IF(ISNUMBER(Dossiers!$D$58),Dossiers!$A$58&amp;" · "&amp;Dossiers!$B$58,"")</f>
        <v/>
      </c>
      <c r="B2935" s="18">
        <f>IF($A2935="","",Paramètres!G19)</f>
        <v/>
      </c>
      <c r="C2935" s="18">
        <f>IF($A2935="","",IF(Paramètres!H19="","",Paramètres!H19))</f>
        <v/>
      </c>
      <c r="D2935" s="18">
        <f>IF($A2935="","",IF(Paramètres!I19="","",Paramètres!I19))</f>
        <v/>
      </c>
      <c r="E2935" s="19">
        <f>IF($A2935="","",IF(Paramètres!J19&amp;Paramètres!L19&amp;Paramètres!N19="",Dossiers!$D$58,MAX(IF(Paramètres!J19="",0,IF(Paramètres!K19="",NA(),IF(LEFT(TRIM(Paramètres!K19),1)="F",INDEX($F$2921:$F$2973,MATCH(Paramètres!J19,Paramètres!$G$5:$G$57,0)),INDEX($E$2921:$E$2973,MATCH(Paramètres!J19,Paramètres!$G$5:$G$57,0)))+IF(RIGHT(TRIM(Paramètres!K19),3)="Fin",1-$H2935,IF(LEFT(TRIM(Paramètres!K19),1)="F",1,0)))),IF(Paramètres!L19="",0,IF(Paramètres!M19="",NA(),IF(LEFT(TRIM(Paramètres!M19),1)="F",INDEX($F$2921:$F$2973,MATCH(Paramètres!L19,Paramètres!$G$5:$G$57,0)),INDEX($E$2921:$E$2973,MATCH(Paramètres!L19,Paramètres!$G$5:$G$57,0)))+IF(RIGHT(TRIM(Paramètres!M19),3)="Fin",1-$H2935,IF(LEFT(TRIM(Paramètres!M19),1)="F",1,0)))),IF(Paramètres!N19="",0,IF(Paramètres!O19="",NA(),IF(LEFT(TRIM(Paramètres!O19),1)="F",INDEX($F$2921:$F$2973,MATCH(Paramètres!N19,Paramètres!$G$5:$G$57,0)),INDEX($E$2921:$E$2973,MATCH(Paramètres!N19,Paramètres!$G$5:$G$57,0)))+IF(RIGHT(TRIM(Paramètres!O19),3)="Fin",1-$H2935,IF(LEFT(TRIM(Paramètres!O19),1)="F",1,0)))))))</f>
        <v/>
      </c>
      <c r="F2935" s="19">
        <f>IF($A2935="","",E2935+$H2935-1)</f>
        <v/>
      </c>
      <c r="G2935" s="18" t="n"/>
      <c r="H2935" s="18">
        <f>IF($A2935="","",IF(I2935&lt;&gt;"",I2935,Paramètres!B19))</f>
        <v/>
      </c>
      <c r="I2935" s="18" t="n"/>
    </row>
    <row r="2936">
      <c r="A2936" s="18">
        <f>IF(ISNUMBER(Dossiers!$D$58),Dossiers!$A$58&amp;" · "&amp;Dossiers!$B$58,"")</f>
        <v/>
      </c>
      <c r="B2936" s="18">
        <f>IF($A2936="","",Paramètres!G20)</f>
        <v/>
      </c>
      <c r="C2936" s="18">
        <f>IF($A2936="","",IF(Paramètres!H20="","",Paramètres!H20))</f>
        <v/>
      </c>
      <c r="D2936" s="18">
        <f>IF($A2936="","",IF(Paramètres!I20="","",Paramètres!I20))</f>
        <v/>
      </c>
      <c r="E2936" s="19">
        <f>IF($A2936="","",IF(Paramètres!J20&amp;Paramètres!L20&amp;Paramètres!N20="",Dossiers!$D$58,MAX(IF(Paramètres!J20="",0,IF(Paramètres!K20="",NA(),IF(LEFT(TRIM(Paramètres!K20),1)="F",INDEX($F$2921:$F$2973,MATCH(Paramètres!J20,Paramètres!$G$5:$G$57,0)),INDEX($E$2921:$E$2973,MATCH(Paramètres!J20,Paramètres!$G$5:$G$57,0)))+IF(RIGHT(TRIM(Paramètres!K20),3)="Fin",1-$H2936,IF(LEFT(TRIM(Paramètres!K20),1)="F",1,0)))),IF(Paramètres!L20="",0,IF(Paramètres!M20="",NA(),IF(LEFT(TRIM(Paramètres!M20),1)="F",INDEX($F$2921:$F$2973,MATCH(Paramètres!L20,Paramètres!$G$5:$G$57,0)),INDEX($E$2921:$E$2973,MATCH(Paramètres!L20,Paramètres!$G$5:$G$57,0)))+IF(RIGHT(TRIM(Paramètres!M20),3)="Fin",1-$H2936,IF(LEFT(TRIM(Paramètres!M20),1)="F",1,0)))),IF(Paramètres!N20="",0,IF(Paramètres!O20="",NA(),IF(LEFT(TRIM(Paramètres!O20),1)="F",INDEX($F$2921:$F$2973,MATCH(Paramètres!N20,Paramètres!$G$5:$G$57,0)),INDEX($E$2921:$E$2973,MATCH(Paramètres!N20,Paramètres!$G$5:$G$57,0)))+IF(RIGHT(TRIM(Paramètres!O20),3)="Fin",1-$H2936,IF(LEFT(TRIM(Paramètres!O20),1)="F",1,0)))))))</f>
        <v/>
      </c>
      <c r="F2936" s="19">
        <f>IF($A2936="","",E2936+$H2936-1)</f>
        <v/>
      </c>
      <c r="G2936" s="18" t="n"/>
      <c r="H2936" s="18">
        <f>IF($A2936="","",IF(I2936&lt;&gt;"",I2936,Paramètres!B20))</f>
        <v/>
      </c>
      <c r="I2936" s="18" t="n"/>
    </row>
    <row r="2937">
      <c r="A2937" s="18">
        <f>IF(ISNUMBER(Dossiers!$D$58),Dossiers!$A$58&amp;" · "&amp;Dossiers!$B$58,"")</f>
        <v/>
      </c>
      <c r="B2937" s="18">
        <f>IF($A2937="","",Paramètres!G21)</f>
        <v/>
      </c>
      <c r="C2937" s="18">
        <f>IF($A2937="","",IF(Paramètres!H21="","",Paramètres!H21))</f>
        <v/>
      </c>
      <c r="D2937" s="18">
        <f>IF($A2937="","",IF(Paramètres!I21="","",Paramètres!I21))</f>
        <v/>
      </c>
      <c r="E2937" s="19">
        <f>IF($A2937="","",IF(Paramètres!J21&amp;Paramètres!L21&amp;Paramètres!N21="",Dossiers!$D$58,MAX(IF(Paramètres!J21="",0,IF(Paramètres!K21="",NA(),IF(LEFT(TRIM(Paramètres!K21),1)="F",INDEX($F$2921:$F$2973,MATCH(Paramètres!J21,Paramètres!$G$5:$G$57,0)),INDEX($E$2921:$E$2973,MATCH(Paramètres!J21,Paramètres!$G$5:$G$57,0)))+IF(RIGHT(TRIM(Paramètres!K21),3)="Fin",1-$H2937,IF(LEFT(TRIM(Paramètres!K21),1)="F",1,0)))),IF(Paramètres!L21="",0,IF(Paramètres!M21="",NA(),IF(LEFT(TRIM(Paramètres!M21),1)="F",INDEX($F$2921:$F$2973,MATCH(Paramètres!L21,Paramètres!$G$5:$G$57,0)),INDEX($E$2921:$E$2973,MATCH(Paramètres!L21,Paramètres!$G$5:$G$57,0)))+IF(RIGHT(TRIM(Paramètres!M21),3)="Fin",1-$H2937,IF(LEFT(TRIM(Paramètres!M21),1)="F",1,0)))),IF(Paramètres!N21="",0,IF(Paramètres!O21="",NA(),IF(LEFT(TRIM(Paramètres!O21),1)="F",INDEX($F$2921:$F$2973,MATCH(Paramètres!N21,Paramètres!$G$5:$G$57,0)),INDEX($E$2921:$E$2973,MATCH(Paramètres!N21,Paramètres!$G$5:$G$57,0)))+IF(RIGHT(TRIM(Paramètres!O21),3)="Fin",1-$H2937,IF(LEFT(TRIM(Paramètres!O21),1)="F",1,0)))))))</f>
        <v/>
      </c>
      <c r="F2937" s="19">
        <f>IF($A2937="","",E2937+$H2937-1)</f>
        <v/>
      </c>
      <c r="G2937" s="18" t="n"/>
      <c r="H2937" s="18">
        <f>IF($A2937="","",IF(I2937&lt;&gt;"",I2937,Paramètres!B21))</f>
        <v/>
      </c>
      <c r="I2937" s="18" t="n"/>
    </row>
    <row r="2938">
      <c r="A2938" s="18">
        <f>IF(ISNUMBER(Dossiers!$D$58),Dossiers!$A$58&amp;" · "&amp;Dossiers!$B$58,"")</f>
        <v/>
      </c>
      <c r="B2938" s="18">
        <f>IF($A2938="","",Paramètres!G22)</f>
        <v/>
      </c>
      <c r="C2938" s="18">
        <f>IF($A2938="","",IF(Paramètres!H22="","",Paramètres!H22))</f>
        <v/>
      </c>
      <c r="D2938" s="18">
        <f>IF($A2938="","",IF(Paramètres!I22="","",Paramètres!I22))</f>
        <v/>
      </c>
      <c r="E2938" s="19">
        <f>IF($A2938="","",IF(Paramètres!J22&amp;Paramètres!L22&amp;Paramètres!N22="",Dossiers!$D$58,MAX(IF(Paramètres!J22="",0,IF(Paramètres!K22="",NA(),IF(LEFT(TRIM(Paramètres!K22),1)="F",INDEX($F$2921:$F$2973,MATCH(Paramètres!J22,Paramètres!$G$5:$G$57,0)),INDEX($E$2921:$E$2973,MATCH(Paramètres!J22,Paramètres!$G$5:$G$57,0)))+IF(RIGHT(TRIM(Paramètres!K22),3)="Fin",1-$H2938,IF(LEFT(TRIM(Paramètres!K22),1)="F",1,0)))),IF(Paramètres!L22="",0,IF(Paramètres!M22="",NA(),IF(LEFT(TRIM(Paramètres!M22),1)="F",INDEX($F$2921:$F$2973,MATCH(Paramètres!L22,Paramètres!$G$5:$G$57,0)),INDEX($E$2921:$E$2973,MATCH(Paramètres!L22,Paramètres!$G$5:$G$57,0)))+IF(RIGHT(TRIM(Paramètres!M22),3)="Fin",1-$H2938,IF(LEFT(TRIM(Paramètres!M22),1)="F",1,0)))),IF(Paramètres!N22="",0,IF(Paramètres!O22="",NA(),IF(LEFT(TRIM(Paramètres!O22),1)="F",INDEX($F$2921:$F$2973,MATCH(Paramètres!N22,Paramètres!$G$5:$G$57,0)),INDEX($E$2921:$E$2973,MATCH(Paramètres!N22,Paramètres!$G$5:$G$57,0)))+IF(RIGHT(TRIM(Paramètres!O22),3)="Fin",1-$H2938,IF(LEFT(TRIM(Paramètres!O22),1)="F",1,0)))))))</f>
        <v/>
      </c>
      <c r="F2938" s="19">
        <f>IF($A2938="","",E2938+$H2938-1)</f>
        <v/>
      </c>
      <c r="G2938" s="18" t="n"/>
      <c r="H2938" s="18">
        <f>IF($A2938="","",IF(I2938&lt;&gt;"",I2938,Paramètres!B22))</f>
        <v/>
      </c>
      <c r="I2938" s="18" t="n"/>
    </row>
    <row r="2939">
      <c r="A2939" s="18">
        <f>IF(ISNUMBER(Dossiers!$D$58),Dossiers!$A$58&amp;" · "&amp;Dossiers!$B$58,"")</f>
        <v/>
      </c>
      <c r="B2939" s="18">
        <f>IF($A2939="","",Paramètres!G23)</f>
        <v/>
      </c>
      <c r="C2939" s="18">
        <f>IF($A2939="","",IF(Paramètres!H23="","",Paramètres!H23))</f>
        <v/>
      </c>
      <c r="D2939" s="18">
        <f>IF($A2939="","",IF(Paramètres!I23="","",Paramètres!I23))</f>
        <v/>
      </c>
      <c r="E2939" s="19">
        <f>IF($A2939="","",IF(Paramètres!J23&amp;Paramètres!L23&amp;Paramètres!N23="",Dossiers!$D$58,MAX(IF(Paramètres!J23="",0,IF(Paramètres!K23="",NA(),IF(LEFT(TRIM(Paramètres!K23),1)="F",INDEX($F$2921:$F$2973,MATCH(Paramètres!J23,Paramètres!$G$5:$G$57,0)),INDEX($E$2921:$E$2973,MATCH(Paramètres!J23,Paramètres!$G$5:$G$57,0)))+IF(RIGHT(TRIM(Paramètres!K23),3)="Fin",1-$H2939,IF(LEFT(TRIM(Paramètres!K23),1)="F",1,0)))),IF(Paramètres!L23="",0,IF(Paramètres!M23="",NA(),IF(LEFT(TRIM(Paramètres!M23),1)="F",INDEX($F$2921:$F$2973,MATCH(Paramètres!L23,Paramètres!$G$5:$G$57,0)),INDEX($E$2921:$E$2973,MATCH(Paramètres!L23,Paramètres!$G$5:$G$57,0)))+IF(RIGHT(TRIM(Paramètres!M23),3)="Fin",1-$H2939,IF(LEFT(TRIM(Paramètres!M23),1)="F",1,0)))),IF(Paramètres!N23="",0,IF(Paramètres!O23="",NA(),IF(LEFT(TRIM(Paramètres!O23),1)="F",INDEX($F$2921:$F$2973,MATCH(Paramètres!N23,Paramètres!$G$5:$G$57,0)),INDEX($E$2921:$E$2973,MATCH(Paramètres!N23,Paramètres!$G$5:$G$57,0)))+IF(RIGHT(TRIM(Paramètres!O23),3)="Fin",1-$H2939,IF(LEFT(TRIM(Paramètres!O23),1)="F",1,0)))))))</f>
        <v/>
      </c>
      <c r="F2939" s="19">
        <f>IF($A2939="","",E2939+$H2939-1)</f>
        <v/>
      </c>
      <c r="G2939" s="18" t="n"/>
      <c r="H2939" s="18">
        <f>IF($A2939="","",IF(I2939&lt;&gt;"",I2939,Paramètres!B23))</f>
        <v/>
      </c>
      <c r="I2939" s="18" t="n"/>
    </row>
    <row r="2940">
      <c r="A2940" s="18">
        <f>IF(ISNUMBER(Dossiers!$D$58),Dossiers!$A$58&amp;" · "&amp;Dossiers!$B$58,"")</f>
        <v/>
      </c>
      <c r="B2940" s="18">
        <f>IF($A2940="","",Paramètres!G24)</f>
        <v/>
      </c>
      <c r="C2940" s="18">
        <f>IF($A2940="","",IF(Paramètres!H24="","",Paramètres!H24))</f>
        <v/>
      </c>
      <c r="D2940" s="18">
        <f>IF($A2940="","",IF(Paramètres!I24="","",Paramètres!I24))</f>
        <v/>
      </c>
      <c r="E2940" s="19">
        <f>IF($A2940="","",IF(Paramètres!J24&amp;Paramètres!L24&amp;Paramètres!N24="",Dossiers!$D$58,MAX(IF(Paramètres!J24="",0,IF(Paramètres!K24="",NA(),IF(LEFT(TRIM(Paramètres!K24),1)="F",INDEX($F$2921:$F$2973,MATCH(Paramètres!J24,Paramètres!$G$5:$G$57,0)),INDEX($E$2921:$E$2973,MATCH(Paramètres!J24,Paramètres!$G$5:$G$57,0)))+IF(RIGHT(TRIM(Paramètres!K24),3)="Fin",1-$H2940,IF(LEFT(TRIM(Paramètres!K24),1)="F",1,0)))),IF(Paramètres!L24="",0,IF(Paramètres!M24="",NA(),IF(LEFT(TRIM(Paramètres!M24),1)="F",INDEX($F$2921:$F$2973,MATCH(Paramètres!L24,Paramètres!$G$5:$G$57,0)),INDEX($E$2921:$E$2973,MATCH(Paramètres!L24,Paramètres!$G$5:$G$57,0)))+IF(RIGHT(TRIM(Paramètres!M24),3)="Fin",1-$H2940,IF(LEFT(TRIM(Paramètres!M24),1)="F",1,0)))),IF(Paramètres!N24="",0,IF(Paramètres!O24="",NA(),IF(LEFT(TRIM(Paramètres!O24),1)="F",INDEX($F$2921:$F$2973,MATCH(Paramètres!N24,Paramètres!$G$5:$G$57,0)),INDEX($E$2921:$E$2973,MATCH(Paramètres!N24,Paramètres!$G$5:$G$57,0)))+IF(RIGHT(TRIM(Paramètres!O24),3)="Fin",1-$H2940,IF(LEFT(TRIM(Paramètres!O24),1)="F",1,0)))))))</f>
        <v/>
      </c>
      <c r="F2940" s="19">
        <f>IF($A2940="","",E2940+$H2940-1)</f>
        <v/>
      </c>
      <c r="G2940" s="18" t="n"/>
      <c r="H2940" s="18">
        <f>IF($A2940="","",IF(I2940&lt;&gt;"",I2940,Paramètres!B24))</f>
        <v/>
      </c>
      <c r="I2940" s="18" t="n"/>
    </row>
    <row r="2941">
      <c r="A2941" s="18">
        <f>IF(ISNUMBER(Dossiers!$D$58),Dossiers!$A$58&amp;" · "&amp;Dossiers!$B$58,"")</f>
        <v/>
      </c>
      <c r="B2941" s="18">
        <f>IF($A2941="","",Paramètres!G25)</f>
        <v/>
      </c>
      <c r="C2941" s="18">
        <f>IF($A2941="","",IF(Paramètres!H25="","",Paramètres!H25))</f>
        <v/>
      </c>
      <c r="D2941" s="18">
        <f>IF($A2941="","",IF(Paramètres!I25="","",Paramètres!I25))</f>
        <v/>
      </c>
      <c r="E2941" s="19">
        <f>IF($A2941="","",IF(Paramètres!J25&amp;Paramètres!L25&amp;Paramètres!N25="",Dossiers!$D$58,MAX(IF(Paramètres!J25="",0,IF(Paramètres!K25="",NA(),IF(LEFT(TRIM(Paramètres!K25),1)="F",INDEX($F$2921:$F$2973,MATCH(Paramètres!J25,Paramètres!$G$5:$G$57,0)),INDEX($E$2921:$E$2973,MATCH(Paramètres!J25,Paramètres!$G$5:$G$57,0)))+IF(RIGHT(TRIM(Paramètres!K25),3)="Fin",1-$H2941,IF(LEFT(TRIM(Paramètres!K25),1)="F",1,0)))),IF(Paramètres!L25="",0,IF(Paramètres!M25="",NA(),IF(LEFT(TRIM(Paramètres!M25),1)="F",INDEX($F$2921:$F$2973,MATCH(Paramètres!L25,Paramètres!$G$5:$G$57,0)),INDEX($E$2921:$E$2973,MATCH(Paramètres!L25,Paramètres!$G$5:$G$57,0)))+IF(RIGHT(TRIM(Paramètres!M25),3)="Fin",1-$H2941,IF(LEFT(TRIM(Paramètres!M25),1)="F",1,0)))),IF(Paramètres!N25="",0,IF(Paramètres!O25="",NA(),IF(LEFT(TRIM(Paramètres!O25),1)="F",INDEX($F$2921:$F$2973,MATCH(Paramètres!N25,Paramètres!$G$5:$G$57,0)),INDEX($E$2921:$E$2973,MATCH(Paramètres!N25,Paramètres!$G$5:$G$57,0)))+IF(RIGHT(TRIM(Paramètres!O25),3)="Fin",1-$H2941,IF(LEFT(TRIM(Paramètres!O25),1)="F",1,0)))))))</f>
        <v/>
      </c>
      <c r="F2941" s="19">
        <f>IF($A2941="","",E2941+$H2941-1)</f>
        <v/>
      </c>
      <c r="G2941" s="18" t="n"/>
      <c r="H2941" s="18">
        <f>IF($A2941="","",IF(I2941&lt;&gt;"",I2941,Paramètres!B25))</f>
        <v/>
      </c>
      <c r="I2941" s="18" t="n"/>
    </row>
    <row r="2942">
      <c r="A2942" s="18">
        <f>IF(ISNUMBER(Dossiers!$D$58),Dossiers!$A$58&amp;" · "&amp;Dossiers!$B$58,"")</f>
        <v/>
      </c>
      <c r="B2942" s="18">
        <f>IF($A2942="","",Paramètres!G26)</f>
        <v/>
      </c>
      <c r="C2942" s="18">
        <f>IF($A2942="","",IF(Paramètres!H26="","",Paramètres!H26))</f>
        <v/>
      </c>
      <c r="D2942" s="18">
        <f>IF($A2942="","",IF(Paramètres!I26="","",Paramètres!I26))</f>
        <v/>
      </c>
      <c r="E2942" s="19">
        <f>IF($A2942="","",IF(Paramètres!J26&amp;Paramètres!L26&amp;Paramètres!N26="",Dossiers!$D$58,MAX(IF(Paramètres!J26="",0,IF(Paramètres!K26="",NA(),IF(LEFT(TRIM(Paramètres!K26),1)="F",INDEX($F$2921:$F$2973,MATCH(Paramètres!J26,Paramètres!$G$5:$G$57,0)),INDEX($E$2921:$E$2973,MATCH(Paramètres!J26,Paramètres!$G$5:$G$57,0)))+IF(RIGHT(TRIM(Paramètres!K26),3)="Fin",1-$H2942,IF(LEFT(TRIM(Paramètres!K26),1)="F",1,0)))),IF(Paramètres!L26="",0,IF(Paramètres!M26="",NA(),IF(LEFT(TRIM(Paramètres!M26),1)="F",INDEX($F$2921:$F$2973,MATCH(Paramètres!L26,Paramètres!$G$5:$G$57,0)),INDEX($E$2921:$E$2973,MATCH(Paramètres!L26,Paramètres!$G$5:$G$57,0)))+IF(RIGHT(TRIM(Paramètres!M26),3)="Fin",1-$H2942,IF(LEFT(TRIM(Paramètres!M26),1)="F",1,0)))),IF(Paramètres!N26="",0,IF(Paramètres!O26="",NA(),IF(LEFT(TRIM(Paramètres!O26),1)="F",INDEX($F$2921:$F$2973,MATCH(Paramètres!N26,Paramètres!$G$5:$G$57,0)),INDEX($E$2921:$E$2973,MATCH(Paramètres!N26,Paramètres!$G$5:$G$57,0)))+IF(RIGHT(TRIM(Paramètres!O26),3)="Fin",1-$H2942,IF(LEFT(TRIM(Paramètres!O26),1)="F",1,0)))))))</f>
        <v/>
      </c>
      <c r="F2942" s="19">
        <f>IF($A2942="","",E2942+$H2942-1)</f>
        <v/>
      </c>
      <c r="G2942" s="18" t="n"/>
      <c r="H2942" s="18">
        <f>IF($A2942="","",IF(I2942&lt;&gt;"",I2942,Paramètres!B26))</f>
        <v/>
      </c>
      <c r="I2942" s="18" t="n"/>
    </row>
    <row r="2943">
      <c r="A2943" s="18">
        <f>IF(ISNUMBER(Dossiers!$D$58),Dossiers!$A$58&amp;" · "&amp;Dossiers!$B$58,"")</f>
        <v/>
      </c>
      <c r="B2943" s="18">
        <f>IF($A2943="","",Paramètres!G27)</f>
        <v/>
      </c>
      <c r="C2943" s="18">
        <f>IF($A2943="","",IF(Paramètres!H27="","",Paramètres!H27))</f>
        <v/>
      </c>
      <c r="D2943" s="18">
        <f>IF($A2943="","",IF(Paramètres!I27="","",Paramètres!I27))</f>
        <v/>
      </c>
      <c r="E2943" s="19">
        <f>IF($A2943="","",IF(Paramètres!J27&amp;Paramètres!L27&amp;Paramètres!N27="",Dossiers!$D$58,MAX(IF(Paramètres!J27="",0,IF(Paramètres!K27="",NA(),IF(LEFT(TRIM(Paramètres!K27),1)="F",INDEX($F$2921:$F$2973,MATCH(Paramètres!J27,Paramètres!$G$5:$G$57,0)),INDEX($E$2921:$E$2973,MATCH(Paramètres!J27,Paramètres!$G$5:$G$57,0)))+IF(RIGHT(TRIM(Paramètres!K27),3)="Fin",1-$H2943,IF(LEFT(TRIM(Paramètres!K27),1)="F",1,0)))),IF(Paramètres!L27="",0,IF(Paramètres!M27="",NA(),IF(LEFT(TRIM(Paramètres!M27),1)="F",INDEX($F$2921:$F$2973,MATCH(Paramètres!L27,Paramètres!$G$5:$G$57,0)),INDEX($E$2921:$E$2973,MATCH(Paramètres!L27,Paramètres!$G$5:$G$57,0)))+IF(RIGHT(TRIM(Paramètres!M27),3)="Fin",1-$H2943,IF(LEFT(TRIM(Paramètres!M27),1)="F",1,0)))),IF(Paramètres!N27="",0,IF(Paramètres!O27="",NA(),IF(LEFT(TRIM(Paramètres!O27),1)="F",INDEX($F$2921:$F$2973,MATCH(Paramètres!N27,Paramètres!$G$5:$G$57,0)),INDEX($E$2921:$E$2973,MATCH(Paramètres!N27,Paramètres!$G$5:$G$57,0)))+IF(RIGHT(TRIM(Paramètres!O27),3)="Fin",1-$H2943,IF(LEFT(TRIM(Paramètres!O27),1)="F",1,0)))))))</f>
        <v/>
      </c>
      <c r="F2943" s="19">
        <f>IF($A2943="","",E2943+$H2943-1)</f>
        <v/>
      </c>
      <c r="G2943" s="18" t="n"/>
      <c r="H2943" s="18">
        <f>IF($A2943="","",IF(I2943&lt;&gt;"",I2943,Paramètres!B27))</f>
        <v/>
      </c>
      <c r="I2943" s="18" t="n"/>
    </row>
    <row r="2944">
      <c r="A2944" s="18">
        <f>IF(ISNUMBER(Dossiers!$D$58),Dossiers!$A$58&amp;" · "&amp;Dossiers!$B$58,"")</f>
        <v/>
      </c>
      <c r="B2944" s="18">
        <f>IF($A2944="","",Paramètres!G28)</f>
        <v/>
      </c>
      <c r="C2944" s="18">
        <f>IF($A2944="","",IF(Paramètres!H28="","",Paramètres!H28))</f>
        <v/>
      </c>
      <c r="D2944" s="18">
        <f>IF($A2944="","",IF(Paramètres!I28="","",Paramètres!I28))</f>
        <v/>
      </c>
      <c r="E2944" s="19">
        <f>IF($A2944="","",IF(Paramètres!J28&amp;Paramètres!L28&amp;Paramètres!N28="",Dossiers!$D$58,MAX(IF(Paramètres!J28="",0,IF(Paramètres!K28="",NA(),IF(LEFT(TRIM(Paramètres!K28),1)="F",INDEX($F$2921:$F$2973,MATCH(Paramètres!J28,Paramètres!$G$5:$G$57,0)),INDEX($E$2921:$E$2973,MATCH(Paramètres!J28,Paramètres!$G$5:$G$57,0)))+IF(RIGHT(TRIM(Paramètres!K28),3)="Fin",1-$H2944,IF(LEFT(TRIM(Paramètres!K28),1)="F",1,0)))),IF(Paramètres!L28="",0,IF(Paramètres!M28="",NA(),IF(LEFT(TRIM(Paramètres!M28),1)="F",INDEX($F$2921:$F$2973,MATCH(Paramètres!L28,Paramètres!$G$5:$G$57,0)),INDEX($E$2921:$E$2973,MATCH(Paramètres!L28,Paramètres!$G$5:$G$57,0)))+IF(RIGHT(TRIM(Paramètres!M28),3)="Fin",1-$H2944,IF(LEFT(TRIM(Paramètres!M28),1)="F",1,0)))),IF(Paramètres!N28="",0,IF(Paramètres!O28="",NA(),IF(LEFT(TRIM(Paramètres!O28),1)="F",INDEX($F$2921:$F$2973,MATCH(Paramètres!N28,Paramètres!$G$5:$G$57,0)),INDEX($E$2921:$E$2973,MATCH(Paramètres!N28,Paramètres!$G$5:$G$57,0)))+IF(RIGHT(TRIM(Paramètres!O28),3)="Fin",1-$H2944,IF(LEFT(TRIM(Paramètres!O28),1)="F",1,0)))))))</f>
        <v/>
      </c>
      <c r="F2944" s="19">
        <f>IF($A2944="","",E2944+$H2944-1)</f>
        <v/>
      </c>
      <c r="G2944" s="18" t="n"/>
      <c r="H2944" s="18">
        <f>IF($A2944="","",IF(I2944&lt;&gt;"",I2944,Paramètres!B28))</f>
        <v/>
      </c>
      <c r="I2944" s="18" t="n"/>
    </row>
    <row r="2945">
      <c r="A2945" s="18">
        <f>IF(ISNUMBER(Dossiers!$D$58),Dossiers!$A$58&amp;" · "&amp;Dossiers!$B$58,"")</f>
        <v/>
      </c>
      <c r="B2945" s="18">
        <f>IF($A2945="","",Paramètres!G29)</f>
        <v/>
      </c>
      <c r="C2945" s="18">
        <f>IF($A2945="","",IF(Paramètres!H29="","",Paramètres!H29))</f>
        <v/>
      </c>
      <c r="D2945" s="18">
        <f>IF($A2945="","",IF(Paramètres!I29="","",Paramètres!I29))</f>
        <v/>
      </c>
      <c r="E2945" s="19">
        <f>IF($A2945="","",IF(Paramètres!J29&amp;Paramètres!L29&amp;Paramètres!N29="",Dossiers!$D$58,MAX(IF(Paramètres!J29="",0,IF(Paramètres!K29="",NA(),IF(LEFT(TRIM(Paramètres!K29),1)="F",INDEX($F$2921:$F$2973,MATCH(Paramètres!J29,Paramètres!$G$5:$G$57,0)),INDEX($E$2921:$E$2973,MATCH(Paramètres!J29,Paramètres!$G$5:$G$57,0)))+IF(RIGHT(TRIM(Paramètres!K29),3)="Fin",1-$H2945,IF(LEFT(TRIM(Paramètres!K29),1)="F",1,0)))),IF(Paramètres!L29="",0,IF(Paramètres!M29="",NA(),IF(LEFT(TRIM(Paramètres!M29),1)="F",INDEX($F$2921:$F$2973,MATCH(Paramètres!L29,Paramètres!$G$5:$G$57,0)),INDEX($E$2921:$E$2973,MATCH(Paramètres!L29,Paramètres!$G$5:$G$57,0)))+IF(RIGHT(TRIM(Paramètres!M29),3)="Fin",1-$H2945,IF(LEFT(TRIM(Paramètres!M29),1)="F",1,0)))),IF(Paramètres!N29="",0,IF(Paramètres!O29="",NA(),IF(LEFT(TRIM(Paramètres!O29),1)="F",INDEX($F$2921:$F$2973,MATCH(Paramètres!N29,Paramètres!$G$5:$G$57,0)),INDEX($E$2921:$E$2973,MATCH(Paramètres!N29,Paramètres!$G$5:$G$57,0)))+IF(RIGHT(TRIM(Paramètres!O29),3)="Fin",1-$H2945,IF(LEFT(TRIM(Paramètres!O29),1)="F",1,0)))))))</f>
        <v/>
      </c>
      <c r="F2945" s="19">
        <f>IF($A2945="","",E2945+$H2945-1)</f>
        <v/>
      </c>
      <c r="G2945" s="18" t="n"/>
      <c r="H2945" s="18">
        <f>IF($A2945="","",IF(I2945&lt;&gt;"",I2945,Paramètres!B29))</f>
        <v/>
      </c>
      <c r="I2945" s="18" t="n"/>
    </row>
    <row r="2946">
      <c r="A2946" s="18">
        <f>IF(ISNUMBER(Dossiers!$D$58),Dossiers!$A$58&amp;" · "&amp;Dossiers!$B$58,"")</f>
        <v/>
      </c>
      <c r="B2946" s="18">
        <f>IF($A2946="","",Paramètres!G30)</f>
        <v/>
      </c>
      <c r="C2946" s="18">
        <f>IF($A2946="","",IF(Paramètres!H30="","",Paramètres!H30))</f>
        <v/>
      </c>
      <c r="D2946" s="18">
        <f>IF($A2946="","",IF(Paramètres!I30="","",Paramètres!I30))</f>
        <v/>
      </c>
      <c r="E2946" s="19">
        <f>IF($A2946="","",IF(Paramètres!J30&amp;Paramètres!L30&amp;Paramètres!N30="",Dossiers!$D$58,MAX(IF(Paramètres!J30="",0,IF(Paramètres!K30="",NA(),IF(LEFT(TRIM(Paramètres!K30),1)="F",INDEX($F$2921:$F$2973,MATCH(Paramètres!J30,Paramètres!$G$5:$G$57,0)),INDEX($E$2921:$E$2973,MATCH(Paramètres!J30,Paramètres!$G$5:$G$57,0)))+IF(RIGHT(TRIM(Paramètres!K30),3)="Fin",1-$H2946,IF(LEFT(TRIM(Paramètres!K30),1)="F",1,0)))),IF(Paramètres!L30="",0,IF(Paramètres!M30="",NA(),IF(LEFT(TRIM(Paramètres!M30),1)="F",INDEX($F$2921:$F$2973,MATCH(Paramètres!L30,Paramètres!$G$5:$G$57,0)),INDEX($E$2921:$E$2973,MATCH(Paramètres!L30,Paramètres!$G$5:$G$57,0)))+IF(RIGHT(TRIM(Paramètres!M30),3)="Fin",1-$H2946,IF(LEFT(TRIM(Paramètres!M30),1)="F",1,0)))),IF(Paramètres!N30="",0,IF(Paramètres!O30="",NA(),IF(LEFT(TRIM(Paramètres!O30),1)="F",INDEX($F$2921:$F$2973,MATCH(Paramètres!N30,Paramètres!$G$5:$G$57,0)),INDEX($E$2921:$E$2973,MATCH(Paramètres!N30,Paramètres!$G$5:$G$57,0)))+IF(RIGHT(TRIM(Paramètres!O30),3)="Fin",1-$H2946,IF(LEFT(TRIM(Paramètres!O30),1)="F",1,0)))))))</f>
        <v/>
      </c>
      <c r="F2946" s="19">
        <f>IF($A2946="","",E2946+$H2946-1)</f>
        <v/>
      </c>
      <c r="G2946" s="18" t="n"/>
      <c r="H2946" s="18">
        <f>IF($A2946="","",IF(I2946&lt;&gt;"",I2946,Paramètres!B30))</f>
        <v/>
      </c>
      <c r="I2946" s="18" t="n"/>
    </row>
    <row r="2947">
      <c r="A2947" s="18">
        <f>IF(ISNUMBER(Dossiers!$D$58),Dossiers!$A$58&amp;" · "&amp;Dossiers!$B$58,"")</f>
        <v/>
      </c>
      <c r="B2947" s="18">
        <f>IF($A2947="","",Paramètres!G31)</f>
        <v/>
      </c>
      <c r="C2947" s="20">
        <f>IF($A2947="","",IF(Dossiers!$F$58="","",Dossiers!$F$58))</f>
        <v/>
      </c>
      <c r="D2947" s="18">
        <f>IF($A2947="","",IF(Paramètres!I31="","",Paramètres!I31))</f>
        <v/>
      </c>
      <c r="E2947" s="19">
        <f>IF($A2947="","",IF(Paramètres!J31&amp;Paramètres!L31&amp;Paramètres!N31="",Dossiers!$D$58,MAX(IF(Paramètres!J31="",0,IF(Paramètres!K31="",NA(),IF(LEFT(TRIM(Paramètres!K31),1)="F",INDEX($F$2921:$F$2973,MATCH(Paramètres!J31,Paramètres!$G$5:$G$57,0)),INDEX($E$2921:$E$2973,MATCH(Paramètres!J31,Paramètres!$G$5:$G$57,0)))+IF(RIGHT(TRIM(Paramètres!K31),3)="Fin",1-$H2947,IF(LEFT(TRIM(Paramètres!K31),1)="F",1,0)))),IF(Paramètres!L31="",0,IF(Paramètres!M31="",NA(),IF(LEFT(TRIM(Paramètres!M31),1)="F",INDEX($F$2921:$F$2973,MATCH(Paramètres!L31,Paramètres!$G$5:$G$57,0)),INDEX($E$2921:$E$2973,MATCH(Paramètres!L31,Paramètres!$G$5:$G$57,0)))+IF(RIGHT(TRIM(Paramètres!M31),3)="Fin",1-$H2947,IF(LEFT(TRIM(Paramètres!M31),1)="F",1,0)))),IF(Paramètres!N31="",0,IF(Paramètres!O31="",NA(),IF(LEFT(TRIM(Paramètres!O31),1)="F",INDEX($F$2921:$F$2973,MATCH(Paramètres!N31,Paramètres!$G$5:$G$57,0)),INDEX($E$2921:$E$2973,MATCH(Paramètres!N31,Paramètres!$G$5:$G$57,0)))+IF(RIGHT(TRIM(Paramètres!O31),3)="Fin",1-$H2947,IF(LEFT(TRIM(Paramètres!O31),1)="F",1,0)))))))</f>
        <v/>
      </c>
      <c r="F2947" s="19">
        <f>IF($A2947="","",E2947+$H2947-1)</f>
        <v/>
      </c>
      <c r="G2947" s="18" t="n"/>
      <c r="H2947" s="18">
        <f>IF($A2947="","",IF(I2947&lt;&gt;"",I2947,Paramètres!B31))</f>
        <v/>
      </c>
      <c r="I2947" s="18" t="n"/>
    </row>
    <row r="2948">
      <c r="A2948" s="18">
        <f>IF(ISNUMBER(Dossiers!$D$58),Dossiers!$A$58&amp;" · "&amp;Dossiers!$B$58,"")</f>
        <v/>
      </c>
      <c r="B2948" s="18">
        <f>IF($A2948="","",Paramètres!G32)</f>
        <v/>
      </c>
      <c r="C2948" s="18">
        <f>IF($A2948="","",IF(Paramètres!H32="","",Paramètres!H32))</f>
        <v/>
      </c>
      <c r="D2948" s="18">
        <f>IF($A2948="","",IF(Paramètres!I32="","",Paramètres!I32))</f>
        <v/>
      </c>
      <c r="E2948" s="19">
        <f>IF($A2948="","",MIN(E2949:E2952))</f>
        <v/>
      </c>
      <c r="F2948" s="19">
        <f>IF($A2948="","",MAX(F2949:F2952))</f>
        <v/>
      </c>
      <c r="G2948" s="18" t="n"/>
      <c r="H2948" s="18">
        <f>IF($A2948="","",F2948-E2948+1)</f>
        <v/>
      </c>
      <c r="I2948" s="18" t="n"/>
    </row>
    <row r="2949">
      <c r="A2949" s="18">
        <f>IF(ISNUMBER(Dossiers!$D$58),Dossiers!$A$58&amp;" · "&amp;Dossiers!$B$58,"")</f>
        <v/>
      </c>
      <c r="B2949" s="18">
        <f>IF($A2949="","",Paramètres!G33)</f>
        <v/>
      </c>
      <c r="C2949" s="18">
        <f>IF($A2949="","",IF(Paramètres!H33="","",Paramètres!H33))</f>
        <v/>
      </c>
      <c r="D2949" s="18">
        <f>IF($A2949="","",IF(Paramètres!I33="","",Paramètres!I33))</f>
        <v/>
      </c>
      <c r="E2949" s="19">
        <f>IF($A2949="","",IF(Paramètres!J33&amp;Paramètres!L33&amp;Paramètres!N33="",Dossiers!$D$58,MAX(IF(Paramètres!J33="",0,IF(Paramètres!K33="",NA(),IF(LEFT(TRIM(Paramètres!K33),1)="F",INDEX($F$2921:$F$2973,MATCH(Paramètres!J33,Paramètres!$G$5:$G$57,0)),INDEX($E$2921:$E$2973,MATCH(Paramètres!J33,Paramètres!$G$5:$G$57,0)))+IF(RIGHT(TRIM(Paramètres!K33),3)="Fin",1-$H2949,IF(LEFT(TRIM(Paramètres!K33),1)="F",1,0)))),IF(Paramètres!L33="",0,IF(Paramètres!M33="",NA(),IF(LEFT(TRIM(Paramètres!M33),1)="F",INDEX($F$2921:$F$2973,MATCH(Paramètres!L33,Paramètres!$G$5:$G$57,0)),INDEX($E$2921:$E$2973,MATCH(Paramètres!L33,Paramètres!$G$5:$G$57,0)))+IF(RIGHT(TRIM(Paramètres!M33),3)="Fin",1-$H2949,IF(LEFT(TRIM(Paramètres!M33),1)="F",1,0)))),IF(Paramètres!N33="",0,IF(Paramètres!O33="",NA(),IF(LEFT(TRIM(Paramètres!O33),1)="F",INDEX($F$2921:$F$2973,MATCH(Paramètres!N33,Paramètres!$G$5:$G$57,0)),INDEX($E$2921:$E$2973,MATCH(Paramètres!N33,Paramètres!$G$5:$G$57,0)))+IF(RIGHT(TRIM(Paramètres!O33),3)="Fin",1-$H2949,IF(LEFT(TRIM(Paramètres!O33),1)="F",1,0)))))))</f>
        <v/>
      </c>
      <c r="F2949" s="19">
        <f>IF($A2949="","",E2949+$H2949-1)</f>
        <v/>
      </c>
      <c r="G2949" s="18" t="n"/>
      <c r="H2949" s="18">
        <f>IF($A2949="","",IF(I2949&lt;&gt;"",I2949,Paramètres!B33))</f>
        <v/>
      </c>
      <c r="I2949" s="18" t="n"/>
    </row>
    <row r="2950">
      <c r="A2950" s="18">
        <f>IF(ISNUMBER(Dossiers!$D$58),Dossiers!$A$58&amp;" · "&amp;Dossiers!$B$58,"")</f>
        <v/>
      </c>
      <c r="B2950" s="18">
        <f>IF($A2950="","",Paramètres!G34)</f>
        <v/>
      </c>
      <c r="C2950" s="18">
        <f>IF($A2950="","",IF(Paramètres!H34="","",Paramètres!H34))</f>
        <v/>
      </c>
      <c r="D2950" s="18">
        <f>IF($A2950="","",IF(Paramètres!I34="","",Paramètres!I34))</f>
        <v/>
      </c>
      <c r="E2950" s="19">
        <f>IF($A2950="","",IF(Paramètres!J34&amp;Paramètres!L34&amp;Paramètres!N34="",Dossiers!$D$58,MAX(IF(Paramètres!J34="",0,IF(Paramètres!K34="",NA(),IF(LEFT(TRIM(Paramètres!K34),1)="F",INDEX($F$2921:$F$2973,MATCH(Paramètres!J34,Paramètres!$G$5:$G$57,0)),INDEX($E$2921:$E$2973,MATCH(Paramètres!J34,Paramètres!$G$5:$G$57,0)))+IF(RIGHT(TRIM(Paramètres!K34),3)="Fin",1-$H2950,IF(LEFT(TRIM(Paramètres!K34),1)="F",1,0)))),IF(Paramètres!L34="",0,IF(Paramètres!M34="",NA(),IF(LEFT(TRIM(Paramètres!M34),1)="F",INDEX($F$2921:$F$2973,MATCH(Paramètres!L34,Paramètres!$G$5:$G$57,0)),INDEX($E$2921:$E$2973,MATCH(Paramètres!L34,Paramètres!$G$5:$G$57,0)))+IF(RIGHT(TRIM(Paramètres!M34),3)="Fin",1-$H2950,IF(LEFT(TRIM(Paramètres!M34),1)="F",1,0)))),IF(Paramètres!N34="",0,IF(Paramètres!O34="",NA(),IF(LEFT(TRIM(Paramètres!O34),1)="F",INDEX($F$2921:$F$2973,MATCH(Paramètres!N34,Paramètres!$G$5:$G$57,0)),INDEX($E$2921:$E$2973,MATCH(Paramètres!N34,Paramètres!$G$5:$G$57,0)))+IF(RIGHT(TRIM(Paramètres!O34),3)="Fin",1-$H2950,IF(LEFT(TRIM(Paramètres!O34),1)="F",1,0)))))))</f>
        <v/>
      </c>
      <c r="F2950" s="19">
        <f>IF($A2950="","",E2950+$H2950-1)</f>
        <v/>
      </c>
      <c r="G2950" s="18" t="n"/>
      <c r="H2950" s="18">
        <f>IF($A2950="","",IF(I2950&lt;&gt;"",I2950,Paramètres!B34))</f>
        <v/>
      </c>
      <c r="I2950" s="18" t="n"/>
    </row>
    <row r="2951">
      <c r="A2951" s="18">
        <f>IF(ISNUMBER(Dossiers!$D$58),Dossiers!$A$58&amp;" · "&amp;Dossiers!$B$58,"")</f>
        <v/>
      </c>
      <c r="B2951" s="18">
        <f>IF($A2951="","",Paramètres!G35)</f>
        <v/>
      </c>
      <c r="C2951" s="18">
        <f>IF($A2951="","",IF(Paramètres!H35="","",Paramètres!H35))</f>
        <v/>
      </c>
      <c r="D2951" s="18">
        <f>IF($A2951="","",IF(Paramètres!I35="","",Paramètres!I35))</f>
        <v/>
      </c>
      <c r="E2951" s="19">
        <f>IF($A2951="","",IF(Paramètres!J35&amp;Paramètres!L35&amp;Paramètres!N35="",Dossiers!$D$58,MAX(IF(Paramètres!J35="",0,IF(Paramètres!K35="",NA(),IF(LEFT(TRIM(Paramètres!K35),1)="F",INDEX($F$2921:$F$2973,MATCH(Paramètres!J35,Paramètres!$G$5:$G$57,0)),INDEX($E$2921:$E$2973,MATCH(Paramètres!J35,Paramètres!$G$5:$G$57,0)))+IF(RIGHT(TRIM(Paramètres!K35),3)="Fin",1-$H2951,IF(LEFT(TRIM(Paramètres!K35),1)="F",1,0)))),IF(Paramètres!L35="",0,IF(Paramètres!M35="",NA(),IF(LEFT(TRIM(Paramètres!M35),1)="F",INDEX($F$2921:$F$2973,MATCH(Paramètres!L35,Paramètres!$G$5:$G$57,0)),INDEX($E$2921:$E$2973,MATCH(Paramètres!L35,Paramètres!$G$5:$G$57,0)))+IF(RIGHT(TRIM(Paramètres!M35),3)="Fin",1-$H2951,IF(LEFT(TRIM(Paramètres!M35),1)="F",1,0)))),IF(Paramètres!N35="",0,IF(Paramètres!O35="",NA(),IF(LEFT(TRIM(Paramètres!O35),1)="F",INDEX($F$2921:$F$2973,MATCH(Paramètres!N35,Paramètres!$G$5:$G$57,0)),INDEX($E$2921:$E$2973,MATCH(Paramètres!N35,Paramètres!$G$5:$G$57,0)))+IF(RIGHT(TRIM(Paramètres!O35),3)="Fin",1-$H2951,IF(LEFT(TRIM(Paramètres!O35),1)="F",1,0)))))))</f>
        <v/>
      </c>
      <c r="F2951" s="19">
        <f>IF($A2951="","",E2951+$H2951-1)</f>
        <v/>
      </c>
      <c r="G2951" s="18" t="n"/>
      <c r="H2951" s="18">
        <f>IF($A2951="","",IF(I2951&lt;&gt;"",I2951,Paramètres!B35))</f>
        <v/>
      </c>
      <c r="I2951" s="18" t="n"/>
    </row>
    <row r="2952">
      <c r="A2952" s="18">
        <f>IF(ISNUMBER(Dossiers!$D$58),Dossiers!$A$58&amp;" · "&amp;Dossiers!$B$58,"")</f>
        <v/>
      </c>
      <c r="B2952" s="18">
        <f>IF($A2952="","",Paramètres!G36)</f>
        <v/>
      </c>
      <c r="C2952" s="18">
        <f>IF($A2952="","",IF(Paramètres!H36="","",Paramètres!H36))</f>
        <v/>
      </c>
      <c r="D2952" s="18">
        <f>IF($A2952="","",IF(Paramètres!I36="","",Paramètres!I36))</f>
        <v/>
      </c>
      <c r="E2952" s="19">
        <f>IF($A2952="","",IF(Paramètres!J36&amp;Paramètres!L36&amp;Paramètres!N36="",Dossiers!$D$58,MAX(IF(Paramètres!J36="",0,IF(Paramètres!K36="",NA(),IF(LEFT(TRIM(Paramètres!K36),1)="F",INDEX($F$2921:$F$2973,MATCH(Paramètres!J36,Paramètres!$G$5:$G$57,0)),INDEX($E$2921:$E$2973,MATCH(Paramètres!J36,Paramètres!$G$5:$G$57,0)))+IF(RIGHT(TRIM(Paramètres!K36),3)="Fin",1-$H2952,IF(LEFT(TRIM(Paramètres!K36),1)="F",1,0)))),IF(Paramètres!L36="",0,IF(Paramètres!M36="",NA(),IF(LEFT(TRIM(Paramètres!M36),1)="F",INDEX($F$2921:$F$2973,MATCH(Paramètres!L36,Paramètres!$G$5:$G$57,0)),INDEX($E$2921:$E$2973,MATCH(Paramètres!L36,Paramètres!$G$5:$G$57,0)))+IF(RIGHT(TRIM(Paramètres!M36),3)="Fin",1-$H2952,IF(LEFT(TRIM(Paramètres!M36),1)="F",1,0)))),IF(Paramètres!N36="",0,IF(Paramètres!O36="",NA(),IF(LEFT(TRIM(Paramètres!O36),1)="F",INDEX($F$2921:$F$2973,MATCH(Paramètres!N36,Paramètres!$G$5:$G$57,0)),INDEX($E$2921:$E$2973,MATCH(Paramètres!N36,Paramètres!$G$5:$G$57,0)))+IF(RIGHT(TRIM(Paramètres!O36),3)="Fin",1-$H2952,IF(LEFT(TRIM(Paramètres!O36),1)="F",1,0)))))))</f>
        <v/>
      </c>
      <c r="F2952" s="19">
        <f>IF($A2952="","",E2952+$H2952-1)</f>
        <v/>
      </c>
      <c r="G2952" s="18" t="n"/>
      <c r="H2952" s="18">
        <f>IF($A2952="","",IF(I2952&lt;&gt;"",I2952,Paramètres!B36))</f>
        <v/>
      </c>
      <c r="I2952" s="18" t="n"/>
    </row>
    <row r="2953">
      <c r="A2953" s="18">
        <f>IF(ISNUMBER(Dossiers!$D$58),Dossiers!$A$58&amp;" · "&amp;Dossiers!$B$58,"")</f>
        <v/>
      </c>
      <c r="B2953" s="18">
        <f>IF($A2953="","",Paramètres!G37)</f>
        <v/>
      </c>
      <c r="C2953" s="18">
        <f>IF($A2953="","",IF(Paramètres!H37="","",Paramètres!H37))</f>
        <v/>
      </c>
      <c r="D2953" s="18">
        <f>IF($A2953="","",IF(Paramètres!I37="","",Paramètres!I37))</f>
        <v/>
      </c>
      <c r="E2953" s="19">
        <f>IF($A2953="","",MIN(E2954:E2971))</f>
        <v/>
      </c>
      <c r="F2953" s="19">
        <f>IF($A2953="","",MAX(F2954:F2971))</f>
        <v/>
      </c>
      <c r="G2953" s="18" t="n"/>
      <c r="H2953" s="18">
        <f>IF($A2953="","",F2953-E2953+1)</f>
        <v/>
      </c>
      <c r="I2953" s="18" t="n"/>
    </row>
    <row r="2954">
      <c r="A2954" s="18">
        <f>IF(ISNUMBER(Dossiers!$D$58),Dossiers!$A$58&amp;" · "&amp;Dossiers!$B$58,"")</f>
        <v/>
      </c>
      <c r="B2954" s="18">
        <f>IF($A2954="","",Paramètres!G38)</f>
        <v/>
      </c>
      <c r="C2954" s="18">
        <f>IF($A2954="","",IF(Paramètres!H38="","",Paramètres!H38))</f>
        <v/>
      </c>
      <c r="D2954" s="18">
        <f>IF($A2954="","",IF(Paramètres!I38="","",Paramètres!I38))</f>
        <v/>
      </c>
      <c r="E2954" s="19">
        <f>IF($A2954="","",IF(Paramètres!J38&amp;Paramètres!L38&amp;Paramètres!N38="",Dossiers!$D$58,MAX(IF(Paramètres!J38="",0,IF(Paramètres!K38="",NA(),IF(LEFT(TRIM(Paramètres!K38),1)="F",INDEX($F$2921:$F$2973,MATCH(Paramètres!J38,Paramètres!$G$5:$G$57,0)),INDEX($E$2921:$E$2973,MATCH(Paramètres!J38,Paramètres!$G$5:$G$57,0)))+IF(RIGHT(TRIM(Paramètres!K38),3)="Fin",1-$H2954,IF(LEFT(TRIM(Paramètres!K38),1)="F",1,0)))),IF(Paramètres!L38="",0,IF(Paramètres!M38="",NA(),IF(LEFT(TRIM(Paramètres!M38),1)="F",INDEX($F$2921:$F$2973,MATCH(Paramètres!L38,Paramètres!$G$5:$G$57,0)),INDEX($E$2921:$E$2973,MATCH(Paramètres!L38,Paramètres!$G$5:$G$57,0)))+IF(RIGHT(TRIM(Paramètres!M38),3)="Fin",1-$H2954,IF(LEFT(TRIM(Paramètres!M38),1)="F",1,0)))),IF(Paramètres!N38="",0,IF(Paramètres!O38="",NA(),IF(LEFT(TRIM(Paramètres!O38),1)="F",INDEX($F$2921:$F$2973,MATCH(Paramètres!N38,Paramètres!$G$5:$G$57,0)),INDEX($E$2921:$E$2973,MATCH(Paramètres!N38,Paramètres!$G$5:$G$57,0)))+IF(RIGHT(TRIM(Paramètres!O38),3)="Fin",1-$H2954,IF(LEFT(TRIM(Paramètres!O38),1)="F",1,0)))))))</f>
        <v/>
      </c>
      <c r="F2954" s="19">
        <f>IF($A2954="","",E2954+$H2954-1)</f>
        <v/>
      </c>
      <c r="G2954" s="18" t="n"/>
      <c r="H2954" s="18">
        <f>IF($A2954="","",IF(I2954&lt;&gt;"",I2954,Paramètres!B38))</f>
        <v/>
      </c>
      <c r="I2954" s="18" t="n"/>
    </row>
    <row r="2955">
      <c r="A2955" s="18">
        <f>IF(ISNUMBER(Dossiers!$D$58),Dossiers!$A$58&amp;" · "&amp;Dossiers!$B$58,"")</f>
        <v/>
      </c>
      <c r="B2955" s="18">
        <f>IF($A2955="","",Paramètres!G39)</f>
        <v/>
      </c>
      <c r="C2955" s="18">
        <f>IF($A2955="","",IF(Paramètres!H39="","",Paramètres!H39))</f>
        <v/>
      </c>
      <c r="D2955" s="18">
        <f>IF($A2955="","",IF(Paramètres!I39="","",Paramètres!I39))</f>
        <v/>
      </c>
      <c r="E2955" s="19">
        <f>IF($A2955="","",IF(Paramètres!J39&amp;Paramètres!L39&amp;Paramètres!N39="",Dossiers!$D$58,MAX(IF(Paramètres!J39="",0,IF(Paramètres!K39="",NA(),IF(LEFT(TRIM(Paramètres!K39),1)="F",INDEX($F$2921:$F$2973,MATCH(Paramètres!J39,Paramètres!$G$5:$G$57,0)),INDEX($E$2921:$E$2973,MATCH(Paramètres!J39,Paramètres!$G$5:$G$57,0)))+IF(RIGHT(TRIM(Paramètres!K39),3)="Fin",1-$H2955,IF(LEFT(TRIM(Paramètres!K39),1)="F",1,0)))),IF(Paramètres!L39="",0,IF(Paramètres!M39="",NA(),IF(LEFT(TRIM(Paramètres!M39),1)="F",INDEX($F$2921:$F$2973,MATCH(Paramètres!L39,Paramètres!$G$5:$G$57,0)),INDEX($E$2921:$E$2973,MATCH(Paramètres!L39,Paramètres!$G$5:$G$57,0)))+IF(RIGHT(TRIM(Paramètres!M39),3)="Fin",1-$H2955,IF(LEFT(TRIM(Paramètres!M39),1)="F",1,0)))),IF(Paramètres!N39="",0,IF(Paramètres!O39="",NA(),IF(LEFT(TRIM(Paramètres!O39),1)="F",INDEX($F$2921:$F$2973,MATCH(Paramètres!N39,Paramètres!$G$5:$G$57,0)),INDEX($E$2921:$E$2973,MATCH(Paramètres!N39,Paramètres!$G$5:$G$57,0)))+IF(RIGHT(TRIM(Paramètres!O39),3)="Fin",1-$H2955,IF(LEFT(TRIM(Paramètres!O39),1)="F",1,0)))))))</f>
        <v/>
      </c>
      <c r="F2955" s="19">
        <f>IF($A2955="","",E2955+$H2955-1)</f>
        <v/>
      </c>
      <c r="G2955" s="18" t="n"/>
      <c r="H2955" s="18">
        <f>IF($A2955="","",IF(I2955&lt;&gt;"",I2955,Paramètres!B39))</f>
        <v/>
      </c>
      <c r="I2955" s="18" t="n"/>
    </row>
    <row r="2956">
      <c r="A2956" s="18">
        <f>IF(ISNUMBER(Dossiers!$D$58),Dossiers!$A$58&amp;" · "&amp;Dossiers!$B$58,"")</f>
        <v/>
      </c>
      <c r="B2956" s="18">
        <f>IF($A2956="","",Paramètres!G40)</f>
        <v/>
      </c>
      <c r="C2956" s="18">
        <f>IF($A2956="","",IF(Paramètres!H40="","",Paramètres!H40))</f>
        <v/>
      </c>
      <c r="D2956" s="18">
        <f>IF($A2956="","",IF(Paramètres!I40="","",Paramètres!I40))</f>
        <v/>
      </c>
      <c r="E2956" s="19">
        <f>IF($A2956="","",IF(Paramètres!J40&amp;Paramètres!L40&amp;Paramètres!N40="",Dossiers!$D$58,MAX(IF(Paramètres!J40="",0,IF(Paramètres!K40="",NA(),IF(LEFT(TRIM(Paramètres!K40),1)="F",INDEX($F$2921:$F$2973,MATCH(Paramètres!J40,Paramètres!$G$5:$G$57,0)),INDEX($E$2921:$E$2973,MATCH(Paramètres!J40,Paramètres!$G$5:$G$57,0)))+IF(RIGHT(TRIM(Paramètres!K40),3)="Fin",1-$H2956,IF(LEFT(TRIM(Paramètres!K40),1)="F",1,0)))),IF(Paramètres!L40="",0,IF(Paramètres!M40="",NA(),IF(LEFT(TRIM(Paramètres!M40),1)="F",INDEX($F$2921:$F$2973,MATCH(Paramètres!L40,Paramètres!$G$5:$G$57,0)),INDEX($E$2921:$E$2973,MATCH(Paramètres!L40,Paramètres!$G$5:$G$57,0)))+IF(RIGHT(TRIM(Paramètres!M40),3)="Fin",1-$H2956,IF(LEFT(TRIM(Paramètres!M40),1)="F",1,0)))),IF(Paramètres!N40="",0,IF(Paramètres!O40="",NA(),IF(LEFT(TRIM(Paramètres!O40),1)="F",INDEX($F$2921:$F$2973,MATCH(Paramètres!N40,Paramètres!$G$5:$G$57,0)),INDEX($E$2921:$E$2973,MATCH(Paramètres!N40,Paramètres!$G$5:$G$57,0)))+IF(RIGHT(TRIM(Paramètres!O40),3)="Fin",1-$H2956,IF(LEFT(TRIM(Paramètres!O40),1)="F",1,0)))))))</f>
        <v/>
      </c>
      <c r="F2956" s="19">
        <f>IF($A2956="","",E2956+$H2956-1)</f>
        <v/>
      </c>
      <c r="G2956" s="18" t="n"/>
      <c r="H2956" s="18">
        <f>IF($A2956="","",IF(I2956&lt;&gt;"",I2956,Paramètres!B40))</f>
        <v/>
      </c>
      <c r="I2956" s="18" t="n"/>
    </row>
    <row r="2957">
      <c r="A2957" s="18">
        <f>IF(ISNUMBER(Dossiers!$D$58),Dossiers!$A$58&amp;" · "&amp;Dossiers!$B$58,"")</f>
        <v/>
      </c>
      <c r="B2957" s="18">
        <f>IF($A2957="","",Paramètres!G41)</f>
        <v/>
      </c>
      <c r="C2957" s="18">
        <f>IF($A2957="","",IF(Paramètres!H41="","",Paramètres!H41))</f>
        <v/>
      </c>
      <c r="D2957" s="18">
        <f>IF($A2957="","",IF(Paramètres!I41="","",Paramètres!I41))</f>
        <v/>
      </c>
      <c r="E2957" s="19">
        <f>IF($A2957="","",IF(Paramètres!J41&amp;Paramètres!L41&amp;Paramètres!N41="",Dossiers!$D$58,MAX(IF(Paramètres!J41="",0,IF(Paramètres!K41="",NA(),IF(LEFT(TRIM(Paramètres!K41),1)="F",INDEX($F$2921:$F$2973,MATCH(Paramètres!J41,Paramètres!$G$5:$G$57,0)),INDEX($E$2921:$E$2973,MATCH(Paramètres!J41,Paramètres!$G$5:$G$57,0)))+IF(RIGHT(TRIM(Paramètres!K41),3)="Fin",1-$H2957,IF(LEFT(TRIM(Paramètres!K41),1)="F",1,0)))),IF(Paramètres!L41="",0,IF(Paramètres!M41="",NA(),IF(LEFT(TRIM(Paramètres!M41),1)="F",INDEX($F$2921:$F$2973,MATCH(Paramètres!L41,Paramètres!$G$5:$G$57,0)),INDEX($E$2921:$E$2973,MATCH(Paramètres!L41,Paramètres!$G$5:$G$57,0)))+IF(RIGHT(TRIM(Paramètres!M41),3)="Fin",1-$H2957,IF(LEFT(TRIM(Paramètres!M41),1)="F",1,0)))),IF(Paramètres!N41="",0,IF(Paramètres!O41="",NA(),IF(LEFT(TRIM(Paramètres!O41),1)="F",INDEX($F$2921:$F$2973,MATCH(Paramètres!N41,Paramètres!$G$5:$G$57,0)),INDEX($E$2921:$E$2973,MATCH(Paramètres!N41,Paramètres!$G$5:$G$57,0)))+IF(RIGHT(TRIM(Paramètres!O41),3)="Fin",1-$H2957,IF(LEFT(TRIM(Paramètres!O41),1)="F",1,0)))))))</f>
        <v/>
      </c>
      <c r="F2957" s="19">
        <f>IF($A2957="","",E2957+$H2957-1)</f>
        <v/>
      </c>
      <c r="G2957" s="18" t="n"/>
      <c r="H2957" s="18">
        <f>IF($A2957="","",IF(I2957&lt;&gt;"",I2957,Paramètres!B41))</f>
        <v/>
      </c>
      <c r="I2957" s="18" t="n"/>
    </row>
    <row r="2958">
      <c r="A2958" s="18">
        <f>IF(ISNUMBER(Dossiers!$D$58),Dossiers!$A$58&amp;" · "&amp;Dossiers!$B$58,"")</f>
        <v/>
      </c>
      <c r="B2958" s="18">
        <f>IF($A2958="","",Paramètres!G42)</f>
        <v/>
      </c>
      <c r="C2958" s="18">
        <f>IF($A2958="","",IF(Paramètres!H42="","",Paramètres!H42))</f>
        <v/>
      </c>
      <c r="D2958" s="18">
        <f>IF($A2958="","",IF(Paramètres!I42="","",Paramètres!I42))</f>
        <v/>
      </c>
      <c r="E2958" s="19">
        <f>IF($A2958="","",IF(Paramètres!J42&amp;Paramètres!L42&amp;Paramètres!N42="",Dossiers!$D$58,MAX(IF(Paramètres!J42="",0,IF(Paramètres!K42="",NA(),IF(LEFT(TRIM(Paramètres!K42),1)="F",INDEX($F$2921:$F$2973,MATCH(Paramètres!J42,Paramètres!$G$5:$G$57,0)),INDEX($E$2921:$E$2973,MATCH(Paramètres!J42,Paramètres!$G$5:$G$57,0)))+IF(RIGHT(TRIM(Paramètres!K42),3)="Fin",1-$H2958,IF(LEFT(TRIM(Paramètres!K42),1)="F",1,0)))),IF(Paramètres!L42="",0,IF(Paramètres!M42="",NA(),IF(LEFT(TRIM(Paramètres!M42),1)="F",INDEX($F$2921:$F$2973,MATCH(Paramètres!L42,Paramètres!$G$5:$G$57,0)),INDEX($E$2921:$E$2973,MATCH(Paramètres!L42,Paramètres!$G$5:$G$57,0)))+IF(RIGHT(TRIM(Paramètres!M42),3)="Fin",1-$H2958,IF(LEFT(TRIM(Paramètres!M42),1)="F",1,0)))),IF(Paramètres!N42="",0,IF(Paramètres!O42="",NA(),IF(LEFT(TRIM(Paramètres!O42),1)="F",INDEX($F$2921:$F$2973,MATCH(Paramètres!N42,Paramètres!$G$5:$G$57,0)),INDEX($E$2921:$E$2973,MATCH(Paramètres!N42,Paramètres!$G$5:$G$57,0)))+IF(RIGHT(TRIM(Paramètres!O42),3)="Fin",1-$H2958,IF(LEFT(TRIM(Paramètres!O42),1)="F",1,0)))))))</f>
        <v/>
      </c>
      <c r="F2958" s="19">
        <f>IF($A2958="","",E2958+$H2958-1)</f>
        <v/>
      </c>
      <c r="G2958" s="18" t="n"/>
      <c r="H2958" s="18">
        <f>IF($A2958="","",IF(I2958&lt;&gt;"",I2958,Paramètres!B42))</f>
        <v/>
      </c>
      <c r="I2958" s="18" t="n"/>
    </row>
    <row r="2959">
      <c r="A2959" s="18">
        <f>IF(ISNUMBER(Dossiers!$D$58),Dossiers!$A$58&amp;" · "&amp;Dossiers!$B$58,"")</f>
        <v/>
      </c>
      <c r="B2959" s="18">
        <f>IF($A2959="","",Paramètres!G43)</f>
        <v/>
      </c>
      <c r="C2959" s="18">
        <f>IF($A2959="","",IF(Paramètres!H43="","",Paramètres!H43))</f>
        <v/>
      </c>
      <c r="D2959" s="18">
        <f>IF($A2959="","",IF(Paramètres!I43="","",Paramètres!I43))</f>
        <v/>
      </c>
      <c r="E2959" s="19">
        <f>IF($A2959="","",IF(Paramètres!J43&amp;Paramètres!L43&amp;Paramètres!N43="",Dossiers!$D$58,MAX(IF(Paramètres!J43="",0,IF(Paramètres!K43="",NA(),IF(LEFT(TRIM(Paramètres!K43),1)="F",INDEX($F$2921:$F$2973,MATCH(Paramètres!J43,Paramètres!$G$5:$G$57,0)),INDEX($E$2921:$E$2973,MATCH(Paramètres!J43,Paramètres!$G$5:$G$57,0)))+IF(RIGHT(TRIM(Paramètres!K43),3)="Fin",1-$H2959,IF(LEFT(TRIM(Paramètres!K43),1)="F",1,0)))),IF(Paramètres!L43="",0,IF(Paramètres!M43="",NA(),IF(LEFT(TRIM(Paramètres!M43),1)="F",INDEX($F$2921:$F$2973,MATCH(Paramètres!L43,Paramètres!$G$5:$G$57,0)),INDEX($E$2921:$E$2973,MATCH(Paramètres!L43,Paramètres!$G$5:$G$57,0)))+IF(RIGHT(TRIM(Paramètres!M43),3)="Fin",1-$H2959,IF(LEFT(TRIM(Paramètres!M43),1)="F",1,0)))),IF(Paramètres!N43="",0,IF(Paramètres!O43="",NA(),IF(LEFT(TRIM(Paramètres!O43),1)="F",INDEX($F$2921:$F$2973,MATCH(Paramètres!N43,Paramètres!$G$5:$G$57,0)),INDEX($E$2921:$E$2973,MATCH(Paramètres!N43,Paramètres!$G$5:$G$57,0)))+IF(RIGHT(TRIM(Paramètres!O43),3)="Fin",1-$H2959,IF(LEFT(TRIM(Paramètres!O43),1)="F",1,0)))))))</f>
        <v/>
      </c>
      <c r="F2959" s="19">
        <f>IF($A2959="","",E2959+$H2959-1)</f>
        <v/>
      </c>
      <c r="G2959" s="18" t="n"/>
      <c r="H2959" s="18">
        <f>IF($A2959="","",IF(I2959&lt;&gt;"",I2959,Paramètres!B43))</f>
        <v/>
      </c>
      <c r="I2959" s="18" t="n"/>
    </row>
    <row r="2960">
      <c r="A2960" s="18">
        <f>IF(ISNUMBER(Dossiers!$D$58),Dossiers!$A$58&amp;" · "&amp;Dossiers!$B$58,"")</f>
        <v/>
      </c>
      <c r="B2960" s="18">
        <f>IF($A2960="","",Paramètres!G44)</f>
        <v/>
      </c>
      <c r="C2960" s="18">
        <f>IF($A2960="","",IF(Paramètres!H44="","",Paramètres!H44))</f>
        <v/>
      </c>
      <c r="D2960" s="18">
        <f>IF($A2960="","",IF(Paramètres!I44="","",Paramètres!I44))</f>
        <v/>
      </c>
      <c r="E2960" s="19">
        <f>IF($A2960="","",IF(Paramètres!J44&amp;Paramètres!L44&amp;Paramètres!N44="",Dossiers!$D$58,MAX(IF(Paramètres!J44="",0,IF(Paramètres!K44="",NA(),IF(LEFT(TRIM(Paramètres!K44),1)="F",INDEX($F$2921:$F$2973,MATCH(Paramètres!J44,Paramètres!$G$5:$G$57,0)),INDEX($E$2921:$E$2973,MATCH(Paramètres!J44,Paramètres!$G$5:$G$57,0)))+IF(RIGHT(TRIM(Paramètres!K44),3)="Fin",1-$H2960,IF(LEFT(TRIM(Paramètres!K44),1)="F",1,0)))),IF(Paramètres!L44="",0,IF(Paramètres!M44="",NA(),IF(LEFT(TRIM(Paramètres!M44),1)="F",INDEX($F$2921:$F$2973,MATCH(Paramètres!L44,Paramètres!$G$5:$G$57,0)),INDEX($E$2921:$E$2973,MATCH(Paramètres!L44,Paramètres!$G$5:$G$57,0)))+IF(RIGHT(TRIM(Paramètres!M44),3)="Fin",1-$H2960,IF(LEFT(TRIM(Paramètres!M44),1)="F",1,0)))),IF(Paramètres!N44="",0,IF(Paramètres!O44="",NA(),IF(LEFT(TRIM(Paramètres!O44),1)="F",INDEX($F$2921:$F$2973,MATCH(Paramètres!N44,Paramètres!$G$5:$G$57,0)),INDEX($E$2921:$E$2973,MATCH(Paramètres!N44,Paramètres!$G$5:$G$57,0)))+IF(RIGHT(TRIM(Paramètres!O44),3)="Fin",1-$H2960,IF(LEFT(TRIM(Paramètres!O44),1)="F",1,0)))))))</f>
        <v/>
      </c>
      <c r="F2960" s="19">
        <f>IF($A2960="","",E2960+$H2960-1)</f>
        <v/>
      </c>
      <c r="G2960" s="18" t="n"/>
      <c r="H2960" s="18">
        <f>IF($A2960="","",IF(I2960&lt;&gt;"",I2960,Paramètres!B44))</f>
        <v/>
      </c>
      <c r="I2960" s="18" t="n"/>
    </row>
    <row r="2961">
      <c r="A2961" s="18">
        <f>IF(ISNUMBER(Dossiers!$D$58),Dossiers!$A$58&amp;" · "&amp;Dossiers!$B$58,"")</f>
        <v/>
      </c>
      <c r="B2961" s="18">
        <f>IF($A2961="","",Paramètres!G45)</f>
        <v/>
      </c>
      <c r="C2961" s="20">
        <f>IF($A2961="","",IF(Dossiers!$G$58="","",Dossiers!$G$58))</f>
        <v/>
      </c>
      <c r="D2961" s="18">
        <f>IF($A2961="","",IF(Paramètres!I45="","",Paramètres!I45))</f>
        <v/>
      </c>
      <c r="E2961" s="19">
        <f>IF($A2961="","",IF(Paramètres!J45&amp;Paramètres!L45&amp;Paramètres!N45="",Dossiers!$D$58,MAX(IF(Paramètres!J45="",0,IF(Paramètres!K45="",NA(),IF(LEFT(TRIM(Paramètres!K45),1)="F",INDEX($F$2921:$F$2973,MATCH(Paramètres!J45,Paramètres!$G$5:$G$57,0)),INDEX($E$2921:$E$2973,MATCH(Paramètres!J45,Paramètres!$G$5:$G$57,0)))+IF(RIGHT(TRIM(Paramètres!K45),3)="Fin",1-$H2961,IF(LEFT(TRIM(Paramètres!K45),1)="F",1,0)))),IF(Paramètres!L45="",0,IF(Paramètres!M45="",NA(),IF(LEFT(TRIM(Paramètres!M45),1)="F",INDEX($F$2921:$F$2973,MATCH(Paramètres!L45,Paramètres!$G$5:$G$57,0)),INDEX($E$2921:$E$2973,MATCH(Paramètres!L45,Paramètres!$G$5:$G$57,0)))+IF(RIGHT(TRIM(Paramètres!M45),3)="Fin",1-$H2961,IF(LEFT(TRIM(Paramètres!M45),1)="F",1,0)))),IF(Paramètres!N45="",0,IF(Paramètres!O45="",NA(),IF(LEFT(TRIM(Paramètres!O45),1)="F",INDEX($F$2921:$F$2973,MATCH(Paramètres!N45,Paramètres!$G$5:$G$57,0)),INDEX($E$2921:$E$2973,MATCH(Paramètres!N45,Paramètres!$G$5:$G$57,0)))+IF(RIGHT(TRIM(Paramètres!O45),3)="Fin",1-$H2961,IF(LEFT(TRIM(Paramètres!O45),1)="F",1,0)))))))</f>
        <v/>
      </c>
      <c r="F2961" s="19">
        <f>IF($A2961="","",E2961+$H2961-1)</f>
        <v/>
      </c>
      <c r="G2961" s="18" t="n"/>
      <c r="H2961" s="18">
        <f>IF($A2961="","",IF(I2961&lt;&gt;"",I2961,Paramètres!B45))</f>
        <v/>
      </c>
      <c r="I2961" s="18" t="n"/>
    </row>
    <row r="2962">
      <c r="A2962" s="18">
        <f>IF(ISNUMBER(Dossiers!$D$58),Dossiers!$A$58&amp;" · "&amp;Dossiers!$B$58,"")</f>
        <v/>
      </c>
      <c r="B2962" s="18">
        <f>IF($A2962="","",Paramètres!G46)</f>
        <v/>
      </c>
      <c r="C2962" s="18">
        <f>IF($A2962="","",IF(Paramètres!H46="","",Paramètres!H46))</f>
        <v/>
      </c>
      <c r="D2962" s="18">
        <f>IF($A2962="","",IF(Paramètres!I46="","",Paramètres!I46))</f>
        <v/>
      </c>
      <c r="E2962" s="19">
        <f>IF($A2962="","",IF(Paramètres!J46&amp;Paramètres!L46&amp;Paramètres!N46="",Dossiers!$D$58,MAX(IF(Paramètres!J46="",0,IF(Paramètres!K46="",NA(),IF(LEFT(TRIM(Paramètres!K46),1)="F",INDEX($F$2921:$F$2973,MATCH(Paramètres!J46,Paramètres!$G$5:$G$57,0)),INDEX($E$2921:$E$2973,MATCH(Paramètres!J46,Paramètres!$G$5:$G$57,0)))+IF(RIGHT(TRIM(Paramètres!K46),3)="Fin",1-$H2962,IF(LEFT(TRIM(Paramètres!K46),1)="F",1,0)))),IF(Paramètres!L46="",0,IF(Paramètres!M46="",NA(),IF(LEFT(TRIM(Paramètres!M46),1)="F",INDEX($F$2921:$F$2973,MATCH(Paramètres!L46,Paramètres!$G$5:$G$57,0)),INDEX($E$2921:$E$2973,MATCH(Paramètres!L46,Paramètres!$G$5:$G$57,0)))+IF(RIGHT(TRIM(Paramètres!M46),3)="Fin",1-$H2962,IF(LEFT(TRIM(Paramètres!M46),1)="F",1,0)))),IF(Paramètres!N46="",0,IF(Paramètres!O46="",NA(),IF(LEFT(TRIM(Paramètres!O46),1)="F",INDEX($F$2921:$F$2973,MATCH(Paramètres!N46,Paramètres!$G$5:$G$57,0)),INDEX($E$2921:$E$2973,MATCH(Paramètres!N46,Paramètres!$G$5:$G$57,0)))+IF(RIGHT(TRIM(Paramètres!O46),3)="Fin",1-$H2962,IF(LEFT(TRIM(Paramètres!O46),1)="F",1,0)))))))</f>
        <v/>
      </c>
      <c r="F2962" s="19">
        <f>IF($A2962="","",E2962+$H2962-1)</f>
        <v/>
      </c>
      <c r="G2962" s="18" t="n"/>
      <c r="H2962" s="18">
        <f>IF($A2962="","",IF(I2962&lt;&gt;"",I2962,Paramètres!B46))</f>
        <v/>
      </c>
      <c r="I2962" s="18" t="n"/>
    </row>
    <row r="2963">
      <c r="A2963" s="18">
        <f>IF(ISNUMBER(Dossiers!$D$58),Dossiers!$A$58&amp;" · "&amp;Dossiers!$B$58,"")</f>
        <v/>
      </c>
      <c r="B2963" s="18">
        <f>IF($A2963="","",Paramètres!G47)</f>
        <v/>
      </c>
      <c r="C2963" s="18">
        <f>IF($A2963="","",IF(Paramètres!H47="","",Paramètres!H47))</f>
        <v/>
      </c>
      <c r="D2963" s="18">
        <f>IF($A2963="","",IF(Paramètres!I47="","",Paramètres!I47))</f>
        <v/>
      </c>
      <c r="E2963" s="19">
        <f>IF($A2963="","",IF(Paramètres!J47&amp;Paramètres!L47&amp;Paramètres!N47="",Dossiers!$D$58,MAX(IF(Paramètres!J47="",0,IF(Paramètres!K47="",NA(),IF(LEFT(TRIM(Paramètres!K47),1)="F",INDEX($F$2921:$F$2973,MATCH(Paramètres!J47,Paramètres!$G$5:$G$57,0)),INDEX($E$2921:$E$2973,MATCH(Paramètres!J47,Paramètres!$G$5:$G$57,0)))+IF(RIGHT(TRIM(Paramètres!K47),3)="Fin",1-$H2963,IF(LEFT(TRIM(Paramètres!K47),1)="F",1,0)))),IF(Paramètres!L47="",0,IF(Paramètres!M47="",NA(),IF(LEFT(TRIM(Paramètres!M47),1)="F",INDEX($F$2921:$F$2973,MATCH(Paramètres!L47,Paramètres!$G$5:$G$57,0)),INDEX($E$2921:$E$2973,MATCH(Paramètres!L47,Paramètres!$G$5:$G$57,0)))+IF(RIGHT(TRIM(Paramètres!M47),3)="Fin",1-$H2963,IF(LEFT(TRIM(Paramètres!M47),1)="F",1,0)))),IF(Paramètres!N47="",0,IF(Paramètres!O47="",NA(),IF(LEFT(TRIM(Paramètres!O47),1)="F",INDEX($F$2921:$F$2973,MATCH(Paramètres!N47,Paramètres!$G$5:$G$57,0)),INDEX($E$2921:$E$2973,MATCH(Paramètres!N47,Paramètres!$G$5:$G$57,0)))+IF(RIGHT(TRIM(Paramètres!O47),3)="Fin",1-$H2963,IF(LEFT(TRIM(Paramètres!O47),1)="F",1,0)))))))</f>
        <v/>
      </c>
      <c r="F2963" s="19">
        <f>IF($A2963="","",E2963+$H2963-1)</f>
        <v/>
      </c>
      <c r="G2963" s="18" t="n"/>
      <c r="H2963" s="18">
        <f>IF($A2963="","",IF(I2963&lt;&gt;"",I2963,Paramètres!B47))</f>
        <v/>
      </c>
      <c r="I2963" s="18" t="n"/>
    </row>
    <row r="2964">
      <c r="A2964" s="18">
        <f>IF(ISNUMBER(Dossiers!$D$58),Dossiers!$A$58&amp;" · "&amp;Dossiers!$B$58,"")</f>
        <v/>
      </c>
      <c r="B2964" s="18">
        <f>IF($A2964="","",Paramètres!G48)</f>
        <v/>
      </c>
      <c r="C2964" s="18">
        <f>IF($A2964="","",IF(Paramètres!H48="","",Paramètres!H48))</f>
        <v/>
      </c>
      <c r="D2964" s="18">
        <f>IF($A2964="","",IF(Paramètres!I48="","",Paramètres!I48))</f>
        <v/>
      </c>
      <c r="E2964" s="19">
        <f>IF($A2964="","",IF(Paramètres!J48&amp;Paramètres!L48&amp;Paramètres!N48="",Dossiers!$D$58,MAX(IF(Paramètres!J48="",0,IF(Paramètres!K48="",NA(),IF(LEFT(TRIM(Paramètres!K48),1)="F",INDEX($F$2921:$F$2973,MATCH(Paramètres!J48,Paramètres!$G$5:$G$57,0)),INDEX($E$2921:$E$2973,MATCH(Paramètres!J48,Paramètres!$G$5:$G$57,0)))+IF(RIGHT(TRIM(Paramètres!K48),3)="Fin",1-$H2964,IF(LEFT(TRIM(Paramètres!K48),1)="F",1,0)))),IF(Paramètres!L48="",0,IF(Paramètres!M48="",NA(),IF(LEFT(TRIM(Paramètres!M48),1)="F",INDEX($F$2921:$F$2973,MATCH(Paramètres!L48,Paramètres!$G$5:$G$57,0)),INDEX($E$2921:$E$2973,MATCH(Paramètres!L48,Paramètres!$G$5:$G$57,0)))+IF(RIGHT(TRIM(Paramètres!M48),3)="Fin",1-$H2964,IF(LEFT(TRIM(Paramètres!M48),1)="F",1,0)))),IF(Paramètres!N48="",0,IF(Paramètres!O48="",NA(),IF(LEFT(TRIM(Paramètres!O48),1)="F",INDEX($F$2921:$F$2973,MATCH(Paramètres!N48,Paramètres!$G$5:$G$57,0)),INDEX($E$2921:$E$2973,MATCH(Paramètres!N48,Paramètres!$G$5:$G$57,0)))+IF(RIGHT(TRIM(Paramètres!O48),3)="Fin",1-$H2964,IF(LEFT(TRIM(Paramètres!O48),1)="F",1,0)))))))</f>
        <v/>
      </c>
      <c r="F2964" s="19">
        <f>IF($A2964="","",E2964+$H2964-1)</f>
        <v/>
      </c>
      <c r="G2964" s="18" t="n"/>
      <c r="H2964" s="18">
        <f>IF($A2964="","",IF(I2964&lt;&gt;"",I2964,Paramètres!B48))</f>
        <v/>
      </c>
      <c r="I2964" s="18" t="n"/>
    </row>
    <row r="2965">
      <c r="A2965" s="18">
        <f>IF(ISNUMBER(Dossiers!$D$58),Dossiers!$A$58&amp;" · "&amp;Dossiers!$B$58,"")</f>
        <v/>
      </c>
      <c r="B2965" s="18">
        <f>IF($A2965="","",Paramètres!G49)</f>
        <v/>
      </c>
      <c r="C2965" s="18">
        <f>IF($A2965="","",IF(Paramètres!H49="","",Paramètres!H49))</f>
        <v/>
      </c>
      <c r="D2965" s="18">
        <f>IF($A2965="","",IF(Paramètres!I49="","",Paramètres!I49))</f>
        <v/>
      </c>
      <c r="E2965" s="19">
        <f>IF($A2965="","",IF(Paramètres!J49&amp;Paramètres!L49&amp;Paramètres!N49="",Dossiers!$D$58,MAX(IF(Paramètres!J49="",0,IF(Paramètres!K49="",NA(),IF(LEFT(TRIM(Paramètres!K49),1)="F",INDEX($F$2921:$F$2973,MATCH(Paramètres!J49,Paramètres!$G$5:$G$57,0)),INDEX($E$2921:$E$2973,MATCH(Paramètres!J49,Paramètres!$G$5:$G$57,0)))+IF(RIGHT(TRIM(Paramètres!K49),3)="Fin",1-$H2965,IF(LEFT(TRIM(Paramètres!K49),1)="F",1,0)))),IF(Paramètres!L49="",0,IF(Paramètres!M49="",NA(),IF(LEFT(TRIM(Paramètres!M49),1)="F",INDEX($F$2921:$F$2973,MATCH(Paramètres!L49,Paramètres!$G$5:$G$57,0)),INDEX($E$2921:$E$2973,MATCH(Paramètres!L49,Paramètres!$G$5:$G$57,0)))+IF(RIGHT(TRIM(Paramètres!M49),3)="Fin",1-$H2965,IF(LEFT(TRIM(Paramètres!M49),1)="F",1,0)))),IF(Paramètres!N49="",0,IF(Paramètres!O49="",NA(),IF(LEFT(TRIM(Paramètres!O49),1)="F",INDEX($F$2921:$F$2973,MATCH(Paramètres!N49,Paramètres!$G$5:$G$57,0)),INDEX($E$2921:$E$2973,MATCH(Paramètres!N49,Paramètres!$G$5:$G$57,0)))+IF(RIGHT(TRIM(Paramètres!O49),3)="Fin",1-$H2965,IF(LEFT(TRIM(Paramètres!O49),1)="F",1,0)))))))</f>
        <v/>
      </c>
      <c r="F2965" s="19">
        <f>IF($A2965="","",E2965+$H2965-1)</f>
        <v/>
      </c>
      <c r="G2965" s="18" t="n"/>
      <c r="H2965" s="18">
        <f>IF($A2965="","",IF(I2965&lt;&gt;"",I2965,Paramètres!B49))</f>
        <v/>
      </c>
      <c r="I2965" s="18" t="n"/>
    </row>
    <row r="2966">
      <c r="A2966" s="18">
        <f>IF(ISNUMBER(Dossiers!$D$58),Dossiers!$A$58&amp;" · "&amp;Dossiers!$B$58,"")</f>
        <v/>
      </c>
      <c r="B2966" s="18">
        <f>IF($A2966="","",Paramètres!G50)</f>
        <v/>
      </c>
      <c r="C2966" s="18">
        <f>IF($A2966="","",IF(Paramètres!H50="","",Paramètres!H50))</f>
        <v/>
      </c>
      <c r="D2966" s="18">
        <f>IF($A2966="","",IF(Paramètres!I50="","",Paramètres!I50))</f>
        <v/>
      </c>
      <c r="E2966" s="19">
        <f>IF($A2966="","",IF(Paramètres!J50&amp;Paramètres!L50&amp;Paramètres!N50="",Dossiers!$D$58,MAX(IF(Paramètres!J50="",0,IF(Paramètres!K50="",NA(),IF(LEFT(TRIM(Paramètres!K50),1)="F",INDEX($F$2921:$F$2973,MATCH(Paramètres!J50,Paramètres!$G$5:$G$57,0)),INDEX($E$2921:$E$2973,MATCH(Paramètres!J50,Paramètres!$G$5:$G$57,0)))+IF(RIGHT(TRIM(Paramètres!K50),3)="Fin",1-$H2966,IF(LEFT(TRIM(Paramètres!K50),1)="F",1,0)))),IF(Paramètres!L50="",0,IF(Paramètres!M50="",NA(),IF(LEFT(TRIM(Paramètres!M50),1)="F",INDEX($F$2921:$F$2973,MATCH(Paramètres!L50,Paramètres!$G$5:$G$57,0)),INDEX($E$2921:$E$2973,MATCH(Paramètres!L50,Paramètres!$G$5:$G$57,0)))+IF(RIGHT(TRIM(Paramètres!M50),3)="Fin",1-$H2966,IF(LEFT(TRIM(Paramètres!M50),1)="F",1,0)))),IF(Paramètres!N50="",0,IF(Paramètres!O50="",NA(),IF(LEFT(TRIM(Paramètres!O50),1)="F",INDEX($F$2921:$F$2973,MATCH(Paramètres!N50,Paramètres!$G$5:$G$57,0)),INDEX($E$2921:$E$2973,MATCH(Paramètres!N50,Paramètres!$G$5:$G$57,0)))+IF(RIGHT(TRIM(Paramètres!O50),3)="Fin",1-$H2966,IF(LEFT(TRIM(Paramètres!O50),1)="F",1,0)))))))</f>
        <v/>
      </c>
      <c r="F2966" s="19">
        <f>IF($A2966="","",E2966+$H2966-1)</f>
        <v/>
      </c>
      <c r="G2966" s="18" t="n"/>
      <c r="H2966" s="18">
        <f>IF($A2966="","",IF(I2966&lt;&gt;"",I2966,Paramètres!B50))</f>
        <v/>
      </c>
      <c r="I2966" s="18" t="n"/>
    </row>
    <row r="2967">
      <c r="A2967" s="18">
        <f>IF(ISNUMBER(Dossiers!$D$58),Dossiers!$A$58&amp;" · "&amp;Dossiers!$B$58,"")</f>
        <v/>
      </c>
      <c r="B2967" s="18">
        <f>IF($A2967="","",Paramètres!G51)</f>
        <v/>
      </c>
      <c r="C2967" s="18">
        <f>IF($A2967="","",IF(Paramètres!H51="","",Paramètres!H51))</f>
        <v/>
      </c>
      <c r="D2967" s="18">
        <f>IF($A2967="","",IF(Paramètres!I51="","",Paramètres!I51))</f>
        <v/>
      </c>
      <c r="E2967" s="19">
        <f>IF($A2967="","",IF(Paramètres!J51&amp;Paramètres!L51&amp;Paramètres!N51="",Dossiers!$D$58,MAX(IF(Paramètres!J51="",0,IF(Paramètres!K51="",NA(),IF(LEFT(TRIM(Paramètres!K51),1)="F",INDEX($F$2921:$F$2973,MATCH(Paramètres!J51,Paramètres!$G$5:$G$57,0)),INDEX($E$2921:$E$2973,MATCH(Paramètres!J51,Paramètres!$G$5:$G$57,0)))+IF(RIGHT(TRIM(Paramètres!K51),3)="Fin",1-$H2967,IF(LEFT(TRIM(Paramètres!K51),1)="F",1,0)))),IF(Paramètres!L51="",0,IF(Paramètres!M51="",NA(),IF(LEFT(TRIM(Paramètres!M51),1)="F",INDEX($F$2921:$F$2973,MATCH(Paramètres!L51,Paramètres!$G$5:$G$57,0)),INDEX($E$2921:$E$2973,MATCH(Paramètres!L51,Paramètres!$G$5:$G$57,0)))+IF(RIGHT(TRIM(Paramètres!M51),3)="Fin",1-$H2967,IF(LEFT(TRIM(Paramètres!M51),1)="F",1,0)))),IF(Paramètres!N51="",0,IF(Paramètres!O51="",NA(),IF(LEFT(TRIM(Paramètres!O51),1)="F",INDEX($F$2921:$F$2973,MATCH(Paramètres!N51,Paramètres!$G$5:$G$57,0)),INDEX($E$2921:$E$2973,MATCH(Paramètres!N51,Paramètres!$G$5:$G$57,0)))+IF(RIGHT(TRIM(Paramètres!O51),3)="Fin",1-$H2967,IF(LEFT(TRIM(Paramètres!O51),1)="F",1,0)))))))</f>
        <v/>
      </c>
      <c r="F2967" s="19">
        <f>IF($A2967="","",E2967+$H2967-1)</f>
        <v/>
      </c>
      <c r="G2967" s="18" t="n"/>
      <c r="H2967" s="18">
        <f>IF($A2967="","",IF(I2967&lt;&gt;"",I2967,Paramètres!B51))</f>
        <v/>
      </c>
      <c r="I2967" s="18" t="n"/>
    </row>
    <row r="2968">
      <c r="A2968" s="18">
        <f>IF(ISNUMBER(Dossiers!$D$58),Dossiers!$A$58&amp;" · "&amp;Dossiers!$B$58,"")</f>
        <v/>
      </c>
      <c r="B2968" s="18">
        <f>IF($A2968="","",Paramètres!G52)</f>
        <v/>
      </c>
      <c r="C2968" s="18">
        <f>IF($A2968="","",IF(Paramètres!H52="","",Paramètres!H52))</f>
        <v/>
      </c>
      <c r="D2968" s="18">
        <f>IF($A2968="","",IF(Paramètres!I52="","",Paramètres!I52))</f>
        <v/>
      </c>
      <c r="E2968" s="19">
        <f>IF($A2968="","",IF(Paramètres!J52&amp;Paramètres!L52&amp;Paramètres!N52="",Dossiers!$D$58,MAX(IF(Paramètres!J52="",0,IF(Paramètres!K52="",NA(),IF(LEFT(TRIM(Paramètres!K52),1)="F",INDEX($F$2921:$F$2973,MATCH(Paramètres!J52,Paramètres!$G$5:$G$57,0)),INDEX($E$2921:$E$2973,MATCH(Paramètres!J52,Paramètres!$G$5:$G$57,0)))+IF(RIGHT(TRIM(Paramètres!K52),3)="Fin",1-$H2968,IF(LEFT(TRIM(Paramètres!K52),1)="F",1,0)))),IF(Paramètres!L52="",0,IF(Paramètres!M52="",NA(),IF(LEFT(TRIM(Paramètres!M52),1)="F",INDEX($F$2921:$F$2973,MATCH(Paramètres!L52,Paramètres!$G$5:$G$57,0)),INDEX($E$2921:$E$2973,MATCH(Paramètres!L52,Paramètres!$G$5:$G$57,0)))+IF(RIGHT(TRIM(Paramètres!M52),3)="Fin",1-$H2968,IF(LEFT(TRIM(Paramètres!M52),1)="F",1,0)))),IF(Paramètres!N52="",0,IF(Paramètres!O52="",NA(),IF(LEFT(TRIM(Paramètres!O52),1)="F",INDEX($F$2921:$F$2973,MATCH(Paramètres!N52,Paramètres!$G$5:$G$57,0)),INDEX($E$2921:$E$2973,MATCH(Paramètres!N52,Paramètres!$G$5:$G$57,0)))+IF(RIGHT(TRIM(Paramètres!O52),3)="Fin",1-$H2968,IF(LEFT(TRIM(Paramètres!O52),1)="F",1,0)))))))</f>
        <v/>
      </c>
      <c r="F2968" s="19">
        <f>IF($A2968="","",E2968+$H2968-1)</f>
        <v/>
      </c>
      <c r="G2968" s="18" t="n"/>
      <c r="H2968" s="18">
        <f>IF($A2968="","",IF(I2968&lt;&gt;"",I2968,Paramètres!B52))</f>
        <v/>
      </c>
      <c r="I2968" s="18" t="n"/>
    </row>
    <row r="2969">
      <c r="A2969" s="18">
        <f>IF(ISNUMBER(Dossiers!$D$58),Dossiers!$A$58&amp;" · "&amp;Dossiers!$B$58,"")</f>
        <v/>
      </c>
      <c r="B2969" s="18">
        <f>IF($A2969="","",Paramètres!G53)</f>
        <v/>
      </c>
      <c r="C2969" s="18">
        <f>IF($A2969="","",IF(Paramètres!H53="","",Paramètres!H53))</f>
        <v/>
      </c>
      <c r="D2969" s="18">
        <f>IF($A2969="","",IF(Paramètres!I53="","",Paramètres!I53))</f>
        <v/>
      </c>
      <c r="E2969" s="19">
        <f>IF($A2969="","",IF(Paramètres!J53&amp;Paramètres!L53&amp;Paramètres!N53="",Dossiers!$D$58,MAX(IF(Paramètres!J53="",0,IF(Paramètres!K53="",NA(),IF(LEFT(TRIM(Paramètres!K53),1)="F",INDEX($F$2921:$F$2973,MATCH(Paramètres!J53,Paramètres!$G$5:$G$57,0)),INDEX($E$2921:$E$2973,MATCH(Paramètres!J53,Paramètres!$G$5:$G$57,0)))+IF(RIGHT(TRIM(Paramètres!K53),3)="Fin",1-$H2969,IF(LEFT(TRIM(Paramètres!K53),1)="F",1,0)))),IF(Paramètres!L53="",0,IF(Paramètres!M53="",NA(),IF(LEFT(TRIM(Paramètres!M53),1)="F",INDEX($F$2921:$F$2973,MATCH(Paramètres!L53,Paramètres!$G$5:$G$57,0)),INDEX($E$2921:$E$2973,MATCH(Paramètres!L53,Paramètres!$G$5:$G$57,0)))+IF(RIGHT(TRIM(Paramètres!M53),3)="Fin",1-$H2969,IF(LEFT(TRIM(Paramètres!M53),1)="F",1,0)))),IF(Paramètres!N53="",0,IF(Paramètres!O53="",NA(),IF(LEFT(TRIM(Paramètres!O53),1)="F",INDEX($F$2921:$F$2973,MATCH(Paramètres!N53,Paramètres!$G$5:$G$57,0)),INDEX($E$2921:$E$2973,MATCH(Paramètres!N53,Paramètres!$G$5:$G$57,0)))+IF(RIGHT(TRIM(Paramètres!O53),3)="Fin",1-$H2969,IF(LEFT(TRIM(Paramètres!O53),1)="F",1,0)))))))</f>
        <v/>
      </c>
      <c r="F2969" s="19">
        <f>IF($A2969="","",E2969+$H2969-1)</f>
        <v/>
      </c>
      <c r="G2969" s="18" t="n"/>
      <c r="H2969" s="18">
        <f>IF($A2969="","",IF(I2969&lt;&gt;"",I2969,Paramètres!B53))</f>
        <v/>
      </c>
      <c r="I2969" s="18" t="n"/>
    </row>
    <row r="2970">
      <c r="A2970" s="18">
        <f>IF(ISNUMBER(Dossiers!$D$58),Dossiers!$A$58&amp;" · "&amp;Dossiers!$B$58,"")</f>
        <v/>
      </c>
      <c r="B2970" s="18">
        <f>IF($A2970="","",Paramètres!G54)</f>
        <v/>
      </c>
      <c r="C2970" s="18">
        <f>IF($A2970="","",IF(Paramètres!H54="","",Paramètres!H54))</f>
        <v/>
      </c>
      <c r="D2970" s="18">
        <f>IF($A2970="","",IF(Paramètres!I54="","",Paramètres!I54))</f>
        <v/>
      </c>
      <c r="E2970" s="19">
        <f>IF($A2970="","",IF(Paramètres!J54&amp;Paramètres!L54&amp;Paramètres!N54="",Dossiers!$D$58,MAX(IF(Paramètres!J54="",0,IF(Paramètres!K54="",NA(),IF(LEFT(TRIM(Paramètres!K54),1)="F",INDEX($F$2921:$F$2973,MATCH(Paramètres!J54,Paramètres!$G$5:$G$57,0)),INDEX($E$2921:$E$2973,MATCH(Paramètres!J54,Paramètres!$G$5:$G$57,0)))+IF(RIGHT(TRIM(Paramètres!K54),3)="Fin",1-$H2970,IF(LEFT(TRIM(Paramètres!K54),1)="F",1,0)))),IF(Paramètres!L54="",0,IF(Paramètres!M54="",NA(),IF(LEFT(TRIM(Paramètres!M54),1)="F",INDEX($F$2921:$F$2973,MATCH(Paramètres!L54,Paramètres!$G$5:$G$57,0)),INDEX($E$2921:$E$2973,MATCH(Paramètres!L54,Paramètres!$G$5:$G$57,0)))+IF(RIGHT(TRIM(Paramètres!M54),3)="Fin",1-$H2970,IF(LEFT(TRIM(Paramètres!M54),1)="F",1,0)))),IF(Paramètres!N54="",0,IF(Paramètres!O54="",NA(),IF(LEFT(TRIM(Paramètres!O54),1)="F",INDEX($F$2921:$F$2973,MATCH(Paramètres!N54,Paramètres!$G$5:$G$57,0)),INDEX($E$2921:$E$2973,MATCH(Paramètres!N54,Paramètres!$G$5:$G$57,0)))+IF(RIGHT(TRIM(Paramètres!O54),3)="Fin",1-$H2970,IF(LEFT(TRIM(Paramètres!O54),1)="F",1,0)))))))</f>
        <v/>
      </c>
      <c r="F2970" s="19">
        <f>IF($A2970="","",E2970+$H2970-1)</f>
        <v/>
      </c>
      <c r="G2970" s="18" t="n"/>
      <c r="H2970" s="18">
        <f>IF($A2970="","",IF(I2970&lt;&gt;"",I2970,Paramètres!B54))</f>
        <v/>
      </c>
      <c r="I2970" s="18" t="n"/>
    </row>
    <row r="2971">
      <c r="A2971" s="18">
        <f>IF(ISNUMBER(Dossiers!$D$58),Dossiers!$A$58&amp;" · "&amp;Dossiers!$B$58,"")</f>
        <v/>
      </c>
      <c r="B2971" s="18">
        <f>IF($A2971="","",Paramètres!G55)</f>
        <v/>
      </c>
      <c r="C2971" s="18">
        <f>IF($A2971="","",IF(Paramètres!H55="","",Paramètres!H55))</f>
        <v/>
      </c>
      <c r="D2971" s="18">
        <f>IF($A2971="","",IF(Paramètres!I55="","",Paramètres!I55))</f>
        <v/>
      </c>
      <c r="E2971" s="19">
        <f>IF($A2971="","",IF(Paramètres!J55&amp;Paramètres!L55&amp;Paramètres!N55="",Dossiers!$D$58,MAX(IF(Paramètres!J55="",0,IF(Paramètres!K55="",NA(),IF(LEFT(TRIM(Paramètres!K55),1)="F",INDEX($F$2921:$F$2973,MATCH(Paramètres!J55,Paramètres!$G$5:$G$57,0)),INDEX($E$2921:$E$2973,MATCH(Paramètres!J55,Paramètres!$G$5:$G$57,0)))+IF(RIGHT(TRIM(Paramètres!K55),3)="Fin",1-$H2971,IF(LEFT(TRIM(Paramètres!K55),1)="F",1,0)))),IF(Paramètres!L55="",0,IF(Paramètres!M55="",NA(),IF(LEFT(TRIM(Paramètres!M55),1)="F",INDEX($F$2921:$F$2973,MATCH(Paramètres!L55,Paramètres!$G$5:$G$57,0)),INDEX($E$2921:$E$2973,MATCH(Paramètres!L55,Paramètres!$G$5:$G$57,0)))+IF(RIGHT(TRIM(Paramètres!M55),3)="Fin",1-$H2971,IF(LEFT(TRIM(Paramètres!M55),1)="F",1,0)))),IF(Paramètres!N55="",0,IF(Paramètres!O55="",NA(),IF(LEFT(TRIM(Paramètres!O55),1)="F",INDEX($F$2921:$F$2973,MATCH(Paramètres!N55,Paramètres!$G$5:$G$57,0)),INDEX($E$2921:$E$2973,MATCH(Paramètres!N55,Paramètres!$G$5:$G$57,0)))+IF(RIGHT(TRIM(Paramètres!O55),3)="Fin",1-$H2971,IF(LEFT(TRIM(Paramètres!O55),1)="F",1,0)))))))</f>
        <v/>
      </c>
      <c r="F2971" s="19">
        <f>IF($A2971="","",E2971+$H2971-1)</f>
        <v/>
      </c>
      <c r="G2971" s="18" t="n"/>
      <c r="H2971" s="18">
        <f>IF($A2971="","",IF(I2971&lt;&gt;"",I2971,Paramètres!B55))</f>
        <v/>
      </c>
      <c r="I2971" s="18" t="n"/>
    </row>
    <row r="2972">
      <c r="A2972" s="18">
        <f>IF(ISNUMBER(Dossiers!$D$58),Dossiers!$A$58&amp;" · "&amp;Dossiers!$B$58,"")</f>
        <v/>
      </c>
      <c r="B2972" s="18">
        <f>IF($A2972="","",Paramètres!G56)</f>
        <v/>
      </c>
      <c r="C2972" s="18">
        <f>IF($A2972="","",IF(Paramètres!H56="","",Paramètres!H56))</f>
        <v/>
      </c>
      <c r="D2972" s="18">
        <f>IF($A2972="","",IF(Paramètres!I56="","",Paramètres!I56))</f>
        <v/>
      </c>
      <c r="E2972" s="19">
        <f>IF($A2972="","",MIN(E2973:E2973))</f>
        <v/>
      </c>
      <c r="F2972" s="19">
        <f>IF($A2972="","",MAX(F2973:F2973))</f>
        <v/>
      </c>
      <c r="G2972" s="18" t="n"/>
      <c r="H2972" s="18">
        <f>IF($A2972="","",F2972-E2972+1)</f>
        <v/>
      </c>
      <c r="I2972" s="18" t="n"/>
    </row>
    <row r="2973">
      <c r="A2973" s="18">
        <f>IF(ISNUMBER(Dossiers!$D$58),Dossiers!$A$58&amp;" · "&amp;Dossiers!$B$58,"")</f>
        <v/>
      </c>
      <c r="B2973" s="18">
        <f>IF($A2973="","",Paramètres!G57)</f>
        <v/>
      </c>
      <c r="C2973" s="18">
        <f>IF($A2973="","",IF(Paramètres!H57="","",Paramètres!H57))</f>
        <v/>
      </c>
      <c r="D2973" s="18">
        <f>IF($A2973="","",IF(Paramètres!I57="","",Paramètres!I57))</f>
        <v/>
      </c>
      <c r="E2973" s="19">
        <f>IF($A2973="","",IF(Paramètres!J57&amp;Paramètres!L57&amp;Paramètres!N57="",Dossiers!$D$58,MAX(IF(Paramètres!J57="",0,IF(Paramètres!K57="",NA(),IF(LEFT(TRIM(Paramètres!K57),1)="F",INDEX($F$2921:$F$2973,MATCH(Paramètres!J57,Paramètres!$G$5:$G$57,0)),INDEX($E$2921:$E$2973,MATCH(Paramètres!J57,Paramètres!$G$5:$G$57,0)))+IF(RIGHT(TRIM(Paramètres!K57),3)="Fin",1-$H2973,IF(LEFT(TRIM(Paramètres!K57),1)="F",1,0)))),IF(Paramètres!L57="",0,IF(Paramètres!M57="",NA(),IF(LEFT(TRIM(Paramètres!M57),1)="F",INDEX($F$2921:$F$2973,MATCH(Paramètres!L57,Paramètres!$G$5:$G$57,0)),INDEX($E$2921:$E$2973,MATCH(Paramètres!L57,Paramètres!$G$5:$G$57,0)))+IF(RIGHT(TRIM(Paramètres!M57),3)="Fin",1-$H2973,IF(LEFT(TRIM(Paramètres!M57),1)="F",1,0)))),IF(Paramètres!N57="",0,IF(Paramètres!O57="",NA(),IF(LEFT(TRIM(Paramètres!O57),1)="F",INDEX($F$2921:$F$2973,MATCH(Paramètres!N57,Paramètres!$G$5:$G$57,0)),INDEX($E$2921:$E$2973,MATCH(Paramètres!N57,Paramètres!$G$5:$G$57,0)))+IF(RIGHT(TRIM(Paramètres!O57),3)="Fin",1-$H2973,IF(LEFT(TRIM(Paramètres!O57),1)="F",1,0)))))))</f>
        <v/>
      </c>
      <c r="F2973" s="19">
        <f>IF($A2973="","",E2973+$H2973-1)</f>
        <v/>
      </c>
      <c r="G2973" s="18" t="n"/>
      <c r="H2973" s="18">
        <f>IF($A2973="","",IF(I2973&lt;&gt;"",I2973,Paramètres!B57))</f>
        <v/>
      </c>
      <c r="I2973" s="18" t="n"/>
    </row>
    <row r="2974">
      <c r="A2974" s="16">
        <f>IF(ISNUMBER(Dossiers!$D$59),Dossiers!$E$59,"")</f>
        <v/>
      </c>
      <c r="B2974" s="16">
        <f>IF($A2974="","","Identifiant")</f>
        <v/>
      </c>
      <c r="C2974" s="16">
        <f>IF($A2974="","","Macro Etape")</f>
        <v/>
      </c>
      <c r="D2974" s="16">
        <f>IF($A2974="","","Etape")</f>
        <v/>
      </c>
      <c r="E2974" s="17">
        <f>IF($A2974="","","Début le")</f>
        <v/>
      </c>
      <c r="F2974" s="17">
        <f>IF($A2974="","","Fin prévue le")</f>
        <v/>
      </c>
      <c r="G2974" s="16">
        <f>IF($A2974="","","Statut")</f>
        <v/>
      </c>
      <c r="H2974" s="16">
        <f>IF($A2974="","","Durée (jours)")</f>
        <v/>
      </c>
      <c r="I2974" s="16">
        <f>IF($A2974="","","Durée particulière")</f>
        <v/>
      </c>
      <c r="J2974" s="10">
        <f>IF($A2974="","",HYPERLINK("#'Tableau de bord'!A1","↑ Tableau de bord"))</f>
        <v/>
      </c>
    </row>
    <row r="2975">
      <c r="A2975" s="18">
        <f>IF(ISNUMBER(Dossiers!$D$59),Dossiers!$A$59&amp;" · "&amp;Dossiers!$B$59,"")</f>
        <v/>
      </c>
      <c r="B2975" s="18">
        <f>IF($A2975="","",Paramètres!G5)</f>
        <v/>
      </c>
      <c r="C2975" s="18">
        <f>IF($A2975="","",IF(Paramètres!H5="","",Paramètres!H5))</f>
        <v/>
      </c>
      <c r="D2975" s="18">
        <f>IF($A2975="","",IF(Paramètres!I5="","",Paramètres!I5))</f>
        <v/>
      </c>
      <c r="E2975" s="19">
        <f>IF($A2975="","",MIN(E2976:E2979))</f>
        <v/>
      </c>
      <c r="F2975" s="19">
        <f>IF($A2975="","",MAX(F2976:F2979))</f>
        <v/>
      </c>
      <c r="G2975" s="18" t="n"/>
      <c r="H2975" s="18">
        <f>IF($A2975="","",F2975-E2975+1)</f>
        <v/>
      </c>
      <c r="I2975" s="18" t="n"/>
    </row>
    <row r="2976">
      <c r="A2976" s="18">
        <f>IF(ISNUMBER(Dossiers!$D$59),Dossiers!$A$59&amp;" · "&amp;Dossiers!$B$59,"")</f>
        <v/>
      </c>
      <c r="B2976" s="18">
        <f>IF($A2976="","",Paramètres!G6)</f>
        <v/>
      </c>
      <c r="C2976" s="18">
        <f>IF($A2976="","",IF(Paramètres!H6="","",Paramètres!H6))</f>
        <v/>
      </c>
      <c r="D2976" s="18">
        <f>IF($A2976="","",IF(Paramètres!I6="","",Paramètres!I6))</f>
        <v/>
      </c>
      <c r="E2976" s="19">
        <f>IF($A2976="","",IF(Paramètres!J6&amp;Paramètres!L6&amp;Paramètres!N6="",Dossiers!$D$59,MAX(IF(Paramètres!J6="",0,IF(Paramètres!K6="",NA(),IF(LEFT(TRIM(Paramètres!K6),1)="F",INDEX($F$2975:$F$3027,MATCH(Paramètres!J6,Paramètres!$G$5:$G$57,0)),INDEX($E$2975:$E$3027,MATCH(Paramètres!J6,Paramètres!$G$5:$G$57,0)))+IF(RIGHT(TRIM(Paramètres!K6),3)="Fin",1-$H2976,IF(LEFT(TRIM(Paramètres!K6),1)="F",1,0)))),IF(Paramètres!L6="",0,IF(Paramètres!M6="",NA(),IF(LEFT(TRIM(Paramètres!M6),1)="F",INDEX($F$2975:$F$3027,MATCH(Paramètres!L6,Paramètres!$G$5:$G$57,0)),INDEX($E$2975:$E$3027,MATCH(Paramètres!L6,Paramètres!$G$5:$G$57,0)))+IF(RIGHT(TRIM(Paramètres!M6),3)="Fin",1-$H2976,IF(LEFT(TRIM(Paramètres!M6),1)="F",1,0)))),IF(Paramètres!N6="",0,IF(Paramètres!O6="",NA(),IF(LEFT(TRIM(Paramètres!O6),1)="F",INDEX($F$2975:$F$3027,MATCH(Paramètres!N6,Paramètres!$G$5:$G$57,0)),INDEX($E$2975:$E$3027,MATCH(Paramètres!N6,Paramètres!$G$5:$G$57,0)))+IF(RIGHT(TRIM(Paramètres!O6),3)="Fin",1-$H2976,IF(LEFT(TRIM(Paramètres!O6),1)="F",1,0)))))))</f>
        <v/>
      </c>
      <c r="F2976" s="19">
        <f>IF($A2976="","",E2976+$H2976-1)</f>
        <v/>
      </c>
      <c r="G2976" s="18" t="n"/>
      <c r="H2976" s="18">
        <f>IF($A2976="","",IF(I2976&lt;&gt;"",I2976,Paramètres!B6))</f>
        <v/>
      </c>
      <c r="I2976" s="18" t="n"/>
    </row>
    <row r="2977">
      <c r="A2977" s="18">
        <f>IF(ISNUMBER(Dossiers!$D$59),Dossiers!$A$59&amp;" · "&amp;Dossiers!$B$59,"")</f>
        <v/>
      </c>
      <c r="B2977" s="18">
        <f>IF($A2977="","",Paramètres!G7)</f>
        <v/>
      </c>
      <c r="C2977" s="18">
        <f>IF($A2977="","",IF(Paramètres!H7="","",Paramètres!H7))</f>
        <v/>
      </c>
      <c r="D2977" s="18">
        <f>IF($A2977="","",IF(Paramètres!I7="","",Paramètres!I7))</f>
        <v/>
      </c>
      <c r="E2977" s="19">
        <f>IF($A2977="","",IF(Paramètres!J7&amp;Paramètres!L7&amp;Paramètres!N7="",Dossiers!$D$59,MAX(IF(Paramètres!J7="",0,IF(Paramètres!K7="",NA(),IF(LEFT(TRIM(Paramètres!K7),1)="F",INDEX($F$2975:$F$3027,MATCH(Paramètres!J7,Paramètres!$G$5:$G$57,0)),INDEX($E$2975:$E$3027,MATCH(Paramètres!J7,Paramètres!$G$5:$G$57,0)))+IF(RIGHT(TRIM(Paramètres!K7),3)="Fin",1-$H2977,IF(LEFT(TRIM(Paramètres!K7),1)="F",1,0)))),IF(Paramètres!L7="",0,IF(Paramètres!M7="",NA(),IF(LEFT(TRIM(Paramètres!M7),1)="F",INDEX($F$2975:$F$3027,MATCH(Paramètres!L7,Paramètres!$G$5:$G$57,0)),INDEX($E$2975:$E$3027,MATCH(Paramètres!L7,Paramètres!$G$5:$G$57,0)))+IF(RIGHT(TRIM(Paramètres!M7),3)="Fin",1-$H2977,IF(LEFT(TRIM(Paramètres!M7),1)="F",1,0)))),IF(Paramètres!N7="",0,IF(Paramètres!O7="",NA(),IF(LEFT(TRIM(Paramètres!O7),1)="F",INDEX($F$2975:$F$3027,MATCH(Paramètres!N7,Paramètres!$G$5:$G$57,0)),INDEX($E$2975:$E$3027,MATCH(Paramètres!N7,Paramètres!$G$5:$G$57,0)))+IF(RIGHT(TRIM(Paramètres!O7),3)="Fin",1-$H2977,IF(LEFT(TRIM(Paramètres!O7),1)="F",1,0)))))))</f>
        <v/>
      </c>
      <c r="F2977" s="19">
        <f>IF($A2977="","",E2977+$H2977-1)</f>
        <v/>
      </c>
      <c r="G2977" s="18" t="n"/>
      <c r="H2977" s="18">
        <f>IF($A2977="","",IF(I2977&lt;&gt;"",I2977,Paramètres!B7))</f>
        <v/>
      </c>
      <c r="I2977" s="18" t="n"/>
    </row>
    <row r="2978">
      <c r="A2978" s="18">
        <f>IF(ISNUMBER(Dossiers!$D$59),Dossiers!$A$59&amp;" · "&amp;Dossiers!$B$59,"")</f>
        <v/>
      </c>
      <c r="B2978" s="18">
        <f>IF($A2978="","",Paramètres!G8)</f>
        <v/>
      </c>
      <c r="C2978" s="18">
        <f>IF($A2978="","",IF(Paramètres!H8="","",Paramètres!H8))</f>
        <v/>
      </c>
      <c r="D2978" s="18">
        <f>IF($A2978="","",IF(Paramètres!I8="","",Paramètres!I8))</f>
        <v/>
      </c>
      <c r="E2978" s="19">
        <f>IF($A2978="","",IF(Paramètres!J8&amp;Paramètres!L8&amp;Paramètres!N8="",Dossiers!$D$59,MAX(IF(Paramètres!J8="",0,IF(Paramètres!K8="",NA(),IF(LEFT(TRIM(Paramètres!K8),1)="F",INDEX($F$2975:$F$3027,MATCH(Paramètres!J8,Paramètres!$G$5:$G$57,0)),INDEX($E$2975:$E$3027,MATCH(Paramètres!J8,Paramètres!$G$5:$G$57,0)))+IF(RIGHT(TRIM(Paramètres!K8),3)="Fin",1-$H2978,IF(LEFT(TRIM(Paramètres!K8),1)="F",1,0)))),IF(Paramètres!L8="",0,IF(Paramètres!M8="",NA(),IF(LEFT(TRIM(Paramètres!M8),1)="F",INDEX($F$2975:$F$3027,MATCH(Paramètres!L8,Paramètres!$G$5:$G$57,0)),INDEX($E$2975:$E$3027,MATCH(Paramètres!L8,Paramètres!$G$5:$G$57,0)))+IF(RIGHT(TRIM(Paramètres!M8),3)="Fin",1-$H2978,IF(LEFT(TRIM(Paramètres!M8),1)="F",1,0)))),IF(Paramètres!N8="",0,IF(Paramètres!O8="",NA(),IF(LEFT(TRIM(Paramètres!O8),1)="F",INDEX($F$2975:$F$3027,MATCH(Paramètres!N8,Paramètres!$G$5:$G$57,0)),INDEX($E$2975:$E$3027,MATCH(Paramètres!N8,Paramètres!$G$5:$G$57,0)))+IF(RIGHT(TRIM(Paramètres!O8),3)="Fin",1-$H2978,IF(LEFT(TRIM(Paramètres!O8),1)="F",1,0)))))))</f>
        <v/>
      </c>
      <c r="F2978" s="19">
        <f>IF($A2978="","",E2978+$H2978-1)</f>
        <v/>
      </c>
      <c r="G2978" s="18" t="n"/>
      <c r="H2978" s="18">
        <f>IF($A2978="","",IF(I2978&lt;&gt;"",I2978,Paramètres!B8))</f>
        <v/>
      </c>
      <c r="I2978" s="18" t="n"/>
    </row>
    <row r="2979">
      <c r="A2979" s="18">
        <f>IF(ISNUMBER(Dossiers!$D$59),Dossiers!$A$59&amp;" · "&amp;Dossiers!$B$59,"")</f>
        <v/>
      </c>
      <c r="B2979" s="18">
        <f>IF($A2979="","",Paramètres!G9)</f>
        <v/>
      </c>
      <c r="C2979" s="18">
        <f>IF($A2979="","",IF(Paramètres!H9="","",Paramètres!H9))</f>
        <v/>
      </c>
      <c r="D2979" s="18">
        <f>IF($A2979="","",IF(Paramètres!I9="","",Paramètres!I9))</f>
        <v/>
      </c>
      <c r="E2979" s="19">
        <f>IF($A2979="","",IF(Paramètres!J9&amp;Paramètres!L9&amp;Paramètres!N9="",Dossiers!$D$59,MAX(IF(Paramètres!J9="",0,IF(Paramètres!K9="",NA(),IF(LEFT(TRIM(Paramètres!K9),1)="F",INDEX($F$2975:$F$3027,MATCH(Paramètres!J9,Paramètres!$G$5:$G$57,0)),INDEX($E$2975:$E$3027,MATCH(Paramètres!J9,Paramètres!$G$5:$G$57,0)))+IF(RIGHT(TRIM(Paramètres!K9),3)="Fin",1-$H2979,IF(LEFT(TRIM(Paramètres!K9),1)="F",1,0)))),IF(Paramètres!L9="",0,IF(Paramètres!M9="",NA(),IF(LEFT(TRIM(Paramètres!M9),1)="F",INDEX($F$2975:$F$3027,MATCH(Paramètres!L9,Paramètres!$G$5:$G$57,0)),INDEX($E$2975:$E$3027,MATCH(Paramètres!L9,Paramètres!$G$5:$G$57,0)))+IF(RIGHT(TRIM(Paramètres!M9),3)="Fin",1-$H2979,IF(LEFT(TRIM(Paramètres!M9),1)="F",1,0)))),IF(Paramètres!N9="",0,IF(Paramètres!O9="",NA(),IF(LEFT(TRIM(Paramètres!O9),1)="F",INDEX($F$2975:$F$3027,MATCH(Paramètres!N9,Paramètres!$G$5:$G$57,0)),INDEX($E$2975:$E$3027,MATCH(Paramètres!N9,Paramètres!$G$5:$G$57,0)))+IF(RIGHT(TRIM(Paramètres!O9),3)="Fin",1-$H2979,IF(LEFT(TRIM(Paramètres!O9),1)="F",1,0)))))))</f>
        <v/>
      </c>
      <c r="F2979" s="19">
        <f>IF($A2979="","",E2979+$H2979-1)</f>
        <v/>
      </c>
      <c r="G2979" s="18" t="n"/>
      <c r="H2979" s="18">
        <f>IF($A2979="","",IF(I2979&lt;&gt;"",I2979,Paramètres!B9))</f>
        <v/>
      </c>
      <c r="I2979" s="18" t="n"/>
    </row>
    <row r="2980">
      <c r="A2980" s="18">
        <f>IF(ISNUMBER(Dossiers!$D$59),Dossiers!$A$59&amp;" · "&amp;Dossiers!$B$59,"")</f>
        <v/>
      </c>
      <c r="B2980" s="18">
        <f>IF($A2980="","",Paramètres!G10)</f>
        <v/>
      </c>
      <c r="C2980" s="18">
        <f>IF($A2980="","",IF(Paramètres!H10="","",Paramètres!H10))</f>
        <v/>
      </c>
      <c r="D2980" s="18">
        <f>IF($A2980="","",IF(Paramètres!I10="","",Paramètres!I10))</f>
        <v/>
      </c>
      <c r="E2980" s="19">
        <f>IF($A2980="","",MIN(E2981:E2984))</f>
        <v/>
      </c>
      <c r="F2980" s="19">
        <f>IF($A2980="","",MAX(F2981:F2984))</f>
        <v/>
      </c>
      <c r="G2980" s="18" t="n"/>
      <c r="H2980" s="18">
        <f>IF($A2980="","",F2980-E2980+1)</f>
        <v/>
      </c>
      <c r="I2980" s="18" t="n"/>
    </row>
    <row r="2981">
      <c r="A2981" s="18">
        <f>IF(ISNUMBER(Dossiers!$D$59),Dossiers!$A$59&amp;" · "&amp;Dossiers!$B$59,"")</f>
        <v/>
      </c>
      <c r="B2981" s="18">
        <f>IF($A2981="","",Paramètres!G11)</f>
        <v/>
      </c>
      <c r="C2981" s="18">
        <f>IF($A2981="","",IF(Paramètres!H11="","",Paramètres!H11))</f>
        <v/>
      </c>
      <c r="D2981" s="18">
        <f>IF($A2981="","",IF(Paramètres!I11="","",Paramètres!I11))</f>
        <v/>
      </c>
      <c r="E2981" s="19">
        <f>IF($A2981="","",IF(Paramètres!J11&amp;Paramètres!L11&amp;Paramètres!N11="",Dossiers!$D$59,MAX(IF(Paramètres!J11="",0,IF(Paramètres!K11="",NA(),IF(LEFT(TRIM(Paramètres!K11),1)="F",INDEX($F$2975:$F$3027,MATCH(Paramètres!J11,Paramètres!$G$5:$G$57,0)),INDEX($E$2975:$E$3027,MATCH(Paramètres!J11,Paramètres!$G$5:$G$57,0)))+IF(RIGHT(TRIM(Paramètres!K11),3)="Fin",1-$H2981,IF(LEFT(TRIM(Paramètres!K11),1)="F",1,0)))),IF(Paramètres!L11="",0,IF(Paramètres!M11="",NA(),IF(LEFT(TRIM(Paramètres!M11),1)="F",INDEX($F$2975:$F$3027,MATCH(Paramètres!L11,Paramètres!$G$5:$G$57,0)),INDEX($E$2975:$E$3027,MATCH(Paramètres!L11,Paramètres!$G$5:$G$57,0)))+IF(RIGHT(TRIM(Paramètres!M11),3)="Fin",1-$H2981,IF(LEFT(TRIM(Paramètres!M11),1)="F",1,0)))),IF(Paramètres!N11="",0,IF(Paramètres!O11="",NA(),IF(LEFT(TRIM(Paramètres!O11),1)="F",INDEX($F$2975:$F$3027,MATCH(Paramètres!N11,Paramètres!$G$5:$G$57,0)),INDEX($E$2975:$E$3027,MATCH(Paramètres!N11,Paramètres!$G$5:$G$57,0)))+IF(RIGHT(TRIM(Paramètres!O11),3)="Fin",1-$H2981,IF(LEFT(TRIM(Paramètres!O11),1)="F",1,0)))))))</f>
        <v/>
      </c>
      <c r="F2981" s="19">
        <f>IF($A2981="","",E2981+$H2981-1)</f>
        <v/>
      </c>
      <c r="G2981" s="18" t="n"/>
      <c r="H2981" s="18">
        <f>IF($A2981="","",IF(I2981&lt;&gt;"",I2981,Paramètres!B11))</f>
        <v/>
      </c>
      <c r="I2981" s="18" t="n"/>
    </row>
    <row r="2982">
      <c r="A2982" s="18">
        <f>IF(ISNUMBER(Dossiers!$D$59),Dossiers!$A$59&amp;" · "&amp;Dossiers!$B$59,"")</f>
        <v/>
      </c>
      <c r="B2982" s="18">
        <f>IF($A2982="","",Paramètres!G12)</f>
        <v/>
      </c>
      <c r="C2982" s="18">
        <f>IF($A2982="","",IF(Paramètres!H12="","",Paramètres!H12))</f>
        <v/>
      </c>
      <c r="D2982" s="18">
        <f>IF($A2982="","",IF(Paramètres!I12="","",Paramètres!I12))</f>
        <v/>
      </c>
      <c r="E2982" s="19">
        <f>IF($A2982="","",IF(Paramètres!J12&amp;Paramètres!L12&amp;Paramètres!N12="",Dossiers!$D$59,MAX(IF(Paramètres!J12="",0,IF(Paramètres!K12="",NA(),IF(LEFT(TRIM(Paramètres!K12),1)="F",INDEX($F$2975:$F$3027,MATCH(Paramètres!J12,Paramètres!$G$5:$G$57,0)),INDEX($E$2975:$E$3027,MATCH(Paramètres!J12,Paramètres!$G$5:$G$57,0)))+IF(RIGHT(TRIM(Paramètres!K12),3)="Fin",1-$H2982,IF(LEFT(TRIM(Paramètres!K12),1)="F",1,0)))),IF(Paramètres!L12="",0,IF(Paramètres!M12="",NA(),IF(LEFT(TRIM(Paramètres!M12),1)="F",INDEX($F$2975:$F$3027,MATCH(Paramètres!L12,Paramètres!$G$5:$G$57,0)),INDEX($E$2975:$E$3027,MATCH(Paramètres!L12,Paramètres!$G$5:$G$57,0)))+IF(RIGHT(TRIM(Paramètres!M12),3)="Fin",1-$H2982,IF(LEFT(TRIM(Paramètres!M12),1)="F",1,0)))),IF(Paramètres!N12="",0,IF(Paramètres!O12="",NA(),IF(LEFT(TRIM(Paramètres!O12),1)="F",INDEX($F$2975:$F$3027,MATCH(Paramètres!N12,Paramètres!$G$5:$G$57,0)),INDEX($E$2975:$E$3027,MATCH(Paramètres!N12,Paramètres!$G$5:$G$57,0)))+IF(RIGHT(TRIM(Paramètres!O12),3)="Fin",1-$H2982,IF(LEFT(TRIM(Paramètres!O12),1)="F",1,0)))))))</f>
        <v/>
      </c>
      <c r="F2982" s="19">
        <f>IF($A2982="","",E2982+$H2982-1)</f>
        <v/>
      </c>
      <c r="G2982" s="18" t="n"/>
      <c r="H2982" s="18">
        <f>IF($A2982="","",IF(I2982&lt;&gt;"",I2982,Paramètres!B12))</f>
        <v/>
      </c>
      <c r="I2982" s="18" t="n"/>
    </row>
    <row r="2983">
      <c r="A2983" s="18">
        <f>IF(ISNUMBER(Dossiers!$D$59),Dossiers!$A$59&amp;" · "&amp;Dossiers!$B$59,"")</f>
        <v/>
      </c>
      <c r="B2983" s="18">
        <f>IF($A2983="","",Paramètres!G13)</f>
        <v/>
      </c>
      <c r="C2983" s="18">
        <f>IF($A2983="","",IF(Paramètres!H13="","",Paramètres!H13))</f>
        <v/>
      </c>
      <c r="D2983" s="18">
        <f>IF($A2983="","",IF(Paramètres!I13="","",Paramètres!I13))</f>
        <v/>
      </c>
      <c r="E2983" s="19">
        <f>IF($A2983="","",IF(Paramètres!J13&amp;Paramètres!L13&amp;Paramètres!N13="",Dossiers!$D$59,MAX(IF(Paramètres!J13="",0,IF(Paramètres!K13="",NA(),IF(LEFT(TRIM(Paramètres!K13),1)="F",INDEX($F$2975:$F$3027,MATCH(Paramètres!J13,Paramètres!$G$5:$G$57,0)),INDEX($E$2975:$E$3027,MATCH(Paramètres!J13,Paramètres!$G$5:$G$57,0)))+IF(RIGHT(TRIM(Paramètres!K13),3)="Fin",1-$H2983,IF(LEFT(TRIM(Paramètres!K13),1)="F",1,0)))),IF(Paramètres!L13="",0,IF(Paramètres!M13="",NA(),IF(LEFT(TRIM(Paramètres!M13),1)="F",INDEX($F$2975:$F$3027,MATCH(Paramètres!L13,Paramètres!$G$5:$G$57,0)),INDEX($E$2975:$E$3027,MATCH(Paramètres!L13,Paramètres!$G$5:$G$57,0)))+IF(RIGHT(TRIM(Paramètres!M13),3)="Fin",1-$H2983,IF(LEFT(TRIM(Paramètres!M13),1)="F",1,0)))),IF(Paramètres!N13="",0,IF(Paramètres!O13="",NA(),IF(LEFT(TRIM(Paramètres!O13),1)="F",INDEX($F$2975:$F$3027,MATCH(Paramètres!N13,Paramètres!$G$5:$G$57,0)),INDEX($E$2975:$E$3027,MATCH(Paramètres!N13,Paramètres!$G$5:$G$57,0)))+IF(RIGHT(TRIM(Paramètres!O13),3)="Fin",1-$H2983,IF(LEFT(TRIM(Paramètres!O13),1)="F",1,0)))))))</f>
        <v/>
      </c>
      <c r="F2983" s="19">
        <f>IF($A2983="","",E2983+$H2983-1)</f>
        <v/>
      </c>
      <c r="G2983" s="18" t="n"/>
      <c r="H2983" s="18">
        <f>IF($A2983="","",IF(I2983&lt;&gt;"",I2983,Paramètres!B13))</f>
        <v/>
      </c>
      <c r="I2983" s="18" t="n"/>
    </row>
    <row r="2984">
      <c r="A2984" s="18">
        <f>IF(ISNUMBER(Dossiers!$D$59),Dossiers!$A$59&amp;" · "&amp;Dossiers!$B$59,"")</f>
        <v/>
      </c>
      <c r="B2984" s="18">
        <f>IF($A2984="","",Paramètres!G14)</f>
        <v/>
      </c>
      <c r="C2984" s="18">
        <f>IF($A2984="","",IF(Paramètres!H14="","",Paramètres!H14))</f>
        <v/>
      </c>
      <c r="D2984" s="18">
        <f>IF($A2984="","",IF(Paramètres!I14="","",Paramètres!I14))</f>
        <v/>
      </c>
      <c r="E2984" s="19">
        <f>IF($A2984="","",IF(Paramètres!J14&amp;Paramètres!L14&amp;Paramètres!N14="",Dossiers!$D$59,MAX(IF(Paramètres!J14="",0,IF(Paramètres!K14="",NA(),IF(LEFT(TRIM(Paramètres!K14),1)="F",INDEX($F$2975:$F$3027,MATCH(Paramètres!J14,Paramètres!$G$5:$G$57,0)),INDEX($E$2975:$E$3027,MATCH(Paramètres!J14,Paramètres!$G$5:$G$57,0)))+IF(RIGHT(TRIM(Paramètres!K14),3)="Fin",1-$H2984,IF(LEFT(TRIM(Paramètres!K14),1)="F",1,0)))),IF(Paramètres!L14="",0,IF(Paramètres!M14="",NA(),IF(LEFT(TRIM(Paramètres!M14),1)="F",INDEX($F$2975:$F$3027,MATCH(Paramètres!L14,Paramètres!$G$5:$G$57,0)),INDEX($E$2975:$E$3027,MATCH(Paramètres!L14,Paramètres!$G$5:$G$57,0)))+IF(RIGHT(TRIM(Paramètres!M14),3)="Fin",1-$H2984,IF(LEFT(TRIM(Paramètres!M14),1)="F",1,0)))),IF(Paramètres!N14="",0,IF(Paramètres!O14="",NA(),IF(LEFT(TRIM(Paramètres!O14),1)="F",INDEX($F$2975:$F$3027,MATCH(Paramètres!N14,Paramètres!$G$5:$G$57,0)),INDEX($E$2975:$E$3027,MATCH(Paramètres!N14,Paramètres!$G$5:$G$57,0)))+IF(RIGHT(TRIM(Paramètres!O14),3)="Fin",1-$H2984,IF(LEFT(TRIM(Paramètres!O14),1)="F",1,0)))))))</f>
        <v/>
      </c>
      <c r="F2984" s="19">
        <f>IF($A2984="","",E2984+$H2984-1)</f>
        <v/>
      </c>
      <c r="G2984" s="18" t="n"/>
      <c r="H2984" s="18">
        <f>IF($A2984="","",IF(I2984&lt;&gt;"",I2984,Paramètres!B14))</f>
        <v/>
      </c>
      <c r="I2984" s="18" t="n"/>
    </row>
    <row r="2985">
      <c r="A2985" s="18">
        <f>IF(ISNUMBER(Dossiers!$D$59),Dossiers!$A$59&amp;" · "&amp;Dossiers!$B$59,"")</f>
        <v/>
      </c>
      <c r="B2985" s="18">
        <f>IF($A2985="","",Paramètres!G15)</f>
        <v/>
      </c>
      <c r="C2985" s="18">
        <f>IF($A2985="","",IF(Paramètres!H15="","",Paramètres!H15))</f>
        <v/>
      </c>
      <c r="D2985" s="18">
        <f>IF($A2985="","",IF(Paramètres!I15="","",Paramètres!I15))</f>
        <v/>
      </c>
      <c r="E2985" s="19">
        <f>IF($A2985="","",MIN(E2986:E3001))</f>
        <v/>
      </c>
      <c r="F2985" s="19">
        <f>IF($A2985="","",MAX(F2986:F3001))</f>
        <v/>
      </c>
      <c r="G2985" s="18" t="n"/>
      <c r="H2985" s="18">
        <f>IF($A2985="","",F2985-E2985+1)</f>
        <v/>
      </c>
      <c r="I2985" s="18" t="n"/>
    </row>
    <row r="2986">
      <c r="A2986" s="18">
        <f>IF(ISNUMBER(Dossiers!$D$59),Dossiers!$A$59&amp;" · "&amp;Dossiers!$B$59,"")</f>
        <v/>
      </c>
      <c r="B2986" s="18">
        <f>IF($A2986="","",Paramètres!G16)</f>
        <v/>
      </c>
      <c r="C2986" s="18">
        <f>IF($A2986="","",IF(Paramètres!H16="","",Paramètres!H16))</f>
        <v/>
      </c>
      <c r="D2986" s="18">
        <f>IF($A2986="","",IF(Paramètres!I16="","",Paramètres!I16))</f>
        <v/>
      </c>
      <c r="E2986" s="19">
        <f>IF($A2986="","",IF(Paramètres!J16&amp;Paramètres!L16&amp;Paramètres!N16="",Dossiers!$D$59,MAX(IF(Paramètres!J16="",0,IF(Paramètres!K16="",NA(),IF(LEFT(TRIM(Paramètres!K16),1)="F",INDEX($F$2975:$F$3027,MATCH(Paramètres!J16,Paramètres!$G$5:$G$57,0)),INDEX($E$2975:$E$3027,MATCH(Paramètres!J16,Paramètres!$G$5:$G$57,0)))+IF(RIGHT(TRIM(Paramètres!K16),3)="Fin",1-$H2986,IF(LEFT(TRIM(Paramètres!K16),1)="F",1,0)))),IF(Paramètres!L16="",0,IF(Paramètres!M16="",NA(),IF(LEFT(TRIM(Paramètres!M16),1)="F",INDEX($F$2975:$F$3027,MATCH(Paramètres!L16,Paramètres!$G$5:$G$57,0)),INDEX($E$2975:$E$3027,MATCH(Paramètres!L16,Paramètres!$G$5:$G$57,0)))+IF(RIGHT(TRIM(Paramètres!M16),3)="Fin",1-$H2986,IF(LEFT(TRIM(Paramètres!M16),1)="F",1,0)))),IF(Paramètres!N16="",0,IF(Paramètres!O16="",NA(),IF(LEFT(TRIM(Paramètres!O16),1)="F",INDEX($F$2975:$F$3027,MATCH(Paramètres!N16,Paramètres!$G$5:$G$57,0)),INDEX($E$2975:$E$3027,MATCH(Paramètres!N16,Paramètres!$G$5:$G$57,0)))+IF(RIGHT(TRIM(Paramètres!O16),3)="Fin",1-$H2986,IF(LEFT(TRIM(Paramètres!O16),1)="F",1,0)))))))</f>
        <v/>
      </c>
      <c r="F2986" s="19">
        <f>IF($A2986="","",E2986+$H2986-1)</f>
        <v/>
      </c>
      <c r="G2986" s="18" t="n"/>
      <c r="H2986" s="18">
        <f>IF($A2986="","",IF(I2986&lt;&gt;"",I2986,Paramètres!B16))</f>
        <v/>
      </c>
      <c r="I2986" s="18" t="n"/>
    </row>
    <row r="2987">
      <c r="A2987" s="18">
        <f>IF(ISNUMBER(Dossiers!$D$59),Dossiers!$A$59&amp;" · "&amp;Dossiers!$B$59,"")</f>
        <v/>
      </c>
      <c r="B2987" s="18">
        <f>IF($A2987="","",Paramètres!G17)</f>
        <v/>
      </c>
      <c r="C2987" s="18">
        <f>IF($A2987="","",IF(Paramètres!H17="","",Paramètres!H17))</f>
        <v/>
      </c>
      <c r="D2987" s="18">
        <f>IF($A2987="","",IF(Paramètres!I17="","",Paramètres!I17))</f>
        <v/>
      </c>
      <c r="E2987" s="19">
        <f>IF($A2987="","",IF(Paramètres!J17&amp;Paramètres!L17&amp;Paramètres!N17="",Dossiers!$D$59,MAX(IF(Paramètres!J17="",0,IF(Paramètres!K17="",NA(),IF(LEFT(TRIM(Paramètres!K17),1)="F",INDEX($F$2975:$F$3027,MATCH(Paramètres!J17,Paramètres!$G$5:$G$57,0)),INDEX($E$2975:$E$3027,MATCH(Paramètres!J17,Paramètres!$G$5:$G$57,0)))+IF(RIGHT(TRIM(Paramètres!K17),3)="Fin",1-$H2987,IF(LEFT(TRIM(Paramètres!K17),1)="F",1,0)))),IF(Paramètres!L17="",0,IF(Paramètres!M17="",NA(),IF(LEFT(TRIM(Paramètres!M17),1)="F",INDEX($F$2975:$F$3027,MATCH(Paramètres!L17,Paramètres!$G$5:$G$57,0)),INDEX($E$2975:$E$3027,MATCH(Paramètres!L17,Paramètres!$G$5:$G$57,0)))+IF(RIGHT(TRIM(Paramètres!M17),3)="Fin",1-$H2987,IF(LEFT(TRIM(Paramètres!M17),1)="F",1,0)))),IF(Paramètres!N17="",0,IF(Paramètres!O17="",NA(),IF(LEFT(TRIM(Paramètres!O17),1)="F",INDEX($F$2975:$F$3027,MATCH(Paramètres!N17,Paramètres!$G$5:$G$57,0)),INDEX($E$2975:$E$3027,MATCH(Paramètres!N17,Paramètres!$G$5:$G$57,0)))+IF(RIGHT(TRIM(Paramètres!O17),3)="Fin",1-$H2987,IF(LEFT(TRIM(Paramètres!O17),1)="F",1,0)))))))</f>
        <v/>
      </c>
      <c r="F2987" s="19">
        <f>IF($A2987="","",E2987+$H2987-1)</f>
        <v/>
      </c>
      <c r="G2987" s="18" t="n"/>
      <c r="H2987" s="18">
        <f>IF($A2987="","",IF(I2987&lt;&gt;"",I2987,Paramètres!B17))</f>
        <v/>
      </c>
      <c r="I2987" s="18" t="n"/>
    </row>
    <row r="2988">
      <c r="A2988" s="18">
        <f>IF(ISNUMBER(Dossiers!$D$59),Dossiers!$A$59&amp;" · "&amp;Dossiers!$B$59,"")</f>
        <v/>
      </c>
      <c r="B2988" s="18">
        <f>IF($A2988="","",Paramètres!G18)</f>
        <v/>
      </c>
      <c r="C2988" s="18">
        <f>IF($A2988="","",IF(Paramètres!H18="","",Paramètres!H18))</f>
        <v/>
      </c>
      <c r="D2988" s="18">
        <f>IF($A2988="","",IF(Paramètres!I18="","",Paramètres!I18))</f>
        <v/>
      </c>
      <c r="E2988" s="19">
        <f>IF($A2988="","",IF(Paramètres!J18&amp;Paramètres!L18&amp;Paramètres!N18="",Dossiers!$D$59,MAX(IF(Paramètres!J18="",0,IF(Paramètres!K18="",NA(),IF(LEFT(TRIM(Paramètres!K18),1)="F",INDEX($F$2975:$F$3027,MATCH(Paramètres!J18,Paramètres!$G$5:$G$57,0)),INDEX($E$2975:$E$3027,MATCH(Paramètres!J18,Paramètres!$G$5:$G$57,0)))+IF(RIGHT(TRIM(Paramètres!K18),3)="Fin",1-$H2988,IF(LEFT(TRIM(Paramètres!K18),1)="F",1,0)))),IF(Paramètres!L18="",0,IF(Paramètres!M18="",NA(),IF(LEFT(TRIM(Paramètres!M18),1)="F",INDEX($F$2975:$F$3027,MATCH(Paramètres!L18,Paramètres!$G$5:$G$57,0)),INDEX($E$2975:$E$3027,MATCH(Paramètres!L18,Paramètres!$G$5:$G$57,0)))+IF(RIGHT(TRIM(Paramètres!M18),3)="Fin",1-$H2988,IF(LEFT(TRIM(Paramètres!M18),1)="F",1,0)))),IF(Paramètres!N18="",0,IF(Paramètres!O18="",NA(),IF(LEFT(TRIM(Paramètres!O18),1)="F",INDEX($F$2975:$F$3027,MATCH(Paramètres!N18,Paramètres!$G$5:$G$57,0)),INDEX($E$2975:$E$3027,MATCH(Paramètres!N18,Paramètres!$G$5:$G$57,0)))+IF(RIGHT(TRIM(Paramètres!O18),3)="Fin",1-$H2988,IF(LEFT(TRIM(Paramètres!O18),1)="F",1,0)))))))</f>
        <v/>
      </c>
      <c r="F2988" s="19">
        <f>IF($A2988="","",E2988+$H2988-1)</f>
        <v/>
      </c>
      <c r="G2988" s="18" t="n"/>
      <c r="H2988" s="18">
        <f>IF($A2988="","",IF(I2988&lt;&gt;"",I2988,Paramètres!B18))</f>
        <v/>
      </c>
      <c r="I2988" s="18" t="n"/>
    </row>
    <row r="2989">
      <c r="A2989" s="18">
        <f>IF(ISNUMBER(Dossiers!$D$59),Dossiers!$A$59&amp;" · "&amp;Dossiers!$B$59,"")</f>
        <v/>
      </c>
      <c r="B2989" s="18">
        <f>IF($A2989="","",Paramètres!G19)</f>
        <v/>
      </c>
      <c r="C2989" s="18">
        <f>IF($A2989="","",IF(Paramètres!H19="","",Paramètres!H19))</f>
        <v/>
      </c>
      <c r="D2989" s="18">
        <f>IF($A2989="","",IF(Paramètres!I19="","",Paramètres!I19))</f>
        <v/>
      </c>
      <c r="E2989" s="19">
        <f>IF($A2989="","",IF(Paramètres!J19&amp;Paramètres!L19&amp;Paramètres!N19="",Dossiers!$D$59,MAX(IF(Paramètres!J19="",0,IF(Paramètres!K19="",NA(),IF(LEFT(TRIM(Paramètres!K19),1)="F",INDEX($F$2975:$F$3027,MATCH(Paramètres!J19,Paramètres!$G$5:$G$57,0)),INDEX($E$2975:$E$3027,MATCH(Paramètres!J19,Paramètres!$G$5:$G$57,0)))+IF(RIGHT(TRIM(Paramètres!K19),3)="Fin",1-$H2989,IF(LEFT(TRIM(Paramètres!K19),1)="F",1,0)))),IF(Paramètres!L19="",0,IF(Paramètres!M19="",NA(),IF(LEFT(TRIM(Paramètres!M19),1)="F",INDEX($F$2975:$F$3027,MATCH(Paramètres!L19,Paramètres!$G$5:$G$57,0)),INDEX($E$2975:$E$3027,MATCH(Paramètres!L19,Paramètres!$G$5:$G$57,0)))+IF(RIGHT(TRIM(Paramètres!M19),3)="Fin",1-$H2989,IF(LEFT(TRIM(Paramètres!M19),1)="F",1,0)))),IF(Paramètres!N19="",0,IF(Paramètres!O19="",NA(),IF(LEFT(TRIM(Paramètres!O19),1)="F",INDEX($F$2975:$F$3027,MATCH(Paramètres!N19,Paramètres!$G$5:$G$57,0)),INDEX($E$2975:$E$3027,MATCH(Paramètres!N19,Paramètres!$G$5:$G$57,0)))+IF(RIGHT(TRIM(Paramètres!O19),3)="Fin",1-$H2989,IF(LEFT(TRIM(Paramètres!O19),1)="F",1,0)))))))</f>
        <v/>
      </c>
      <c r="F2989" s="19">
        <f>IF($A2989="","",E2989+$H2989-1)</f>
        <v/>
      </c>
      <c r="G2989" s="18" t="n"/>
      <c r="H2989" s="18">
        <f>IF($A2989="","",IF(I2989&lt;&gt;"",I2989,Paramètres!B19))</f>
        <v/>
      </c>
      <c r="I2989" s="18" t="n"/>
    </row>
    <row r="2990">
      <c r="A2990" s="18">
        <f>IF(ISNUMBER(Dossiers!$D$59),Dossiers!$A$59&amp;" · "&amp;Dossiers!$B$59,"")</f>
        <v/>
      </c>
      <c r="B2990" s="18">
        <f>IF($A2990="","",Paramètres!G20)</f>
        <v/>
      </c>
      <c r="C2990" s="18">
        <f>IF($A2990="","",IF(Paramètres!H20="","",Paramètres!H20))</f>
        <v/>
      </c>
      <c r="D2990" s="18">
        <f>IF($A2990="","",IF(Paramètres!I20="","",Paramètres!I20))</f>
        <v/>
      </c>
      <c r="E2990" s="19">
        <f>IF($A2990="","",IF(Paramètres!J20&amp;Paramètres!L20&amp;Paramètres!N20="",Dossiers!$D$59,MAX(IF(Paramètres!J20="",0,IF(Paramètres!K20="",NA(),IF(LEFT(TRIM(Paramètres!K20),1)="F",INDEX($F$2975:$F$3027,MATCH(Paramètres!J20,Paramètres!$G$5:$G$57,0)),INDEX($E$2975:$E$3027,MATCH(Paramètres!J20,Paramètres!$G$5:$G$57,0)))+IF(RIGHT(TRIM(Paramètres!K20),3)="Fin",1-$H2990,IF(LEFT(TRIM(Paramètres!K20),1)="F",1,0)))),IF(Paramètres!L20="",0,IF(Paramètres!M20="",NA(),IF(LEFT(TRIM(Paramètres!M20),1)="F",INDEX($F$2975:$F$3027,MATCH(Paramètres!L20,Paramètres!$G$5:$G$57,0)),INDEX($E$2975:$E$3027,MATCH(Paramètres!L20,Paramètres!$G$5:$G$57,0)))+IF(RIGHT(TRIM(Paramètres!M20),3)="Fin",1-$H2990,IF(LEFT(TRIM(Paramètres!M20),1)="F",1,0)))),IF(Paramètres!N20="",0,IF(Paramètres!O20="",NA(),IF(LEFT(TRIM(Paramètres!O20),1)="F",INDEX($F$2975:$F$3027,MATCH(Paramètres!N20,Paramètres!$G$5:$G$57,0)),INDEX($E$2975:$E$3027,MATCH(Paramètres!N20,Paramètres!$G$5:$G$57,0)))+IF(RIGHT(TRIM(Paramètres!O20),3)="Fin",1-$H2990,IF(LEFT(TRIM(Paramètres!O20),1)="F",1,0)))))))</f>
        <v/>
      </c>
      <c r="F2990" s="19">
        <f>IF($A2990="","",E2990+$H2990-1)</f>
        <v/>
      </c>
      <c r="G2990" s="18" t="n"/>
      <c r="H2990" s="18">
        <f>IF($A2990="","",IF(I2990&lt;&gt;"",I2990,Paramètres!B20))</f>
        <v/>
      </c>
      <c r="I2990" s="18" t="n"/>
    </row>
    <row r="2991">
      <c r="A2991" s="18">
        <f>IF(ISNUMBER(Dossiers!$D$59),Dossiers!$A$59&amp;" · "&amp;Dossiers!$B$59,"")</f>
        <v/>
      </c>
      <c r="B2991" s="18">
        <f>IF($A2991="","",Paramètres!G21)</f>
        <v/>
      </c>
      <c r="C2991" s="18">
        <f>IF($A2991="","",IF(Paramètres!H21="","",Paramètres!H21))</f>
        <v/>
      </c>
      <c r="D2991" s="18">
        <f>IF($A2991="","",IF(Paramètres!I21="","",Paramètres!I21))</f>
        <v/>
      </c>
      <c r="E2991" s="19">
        <f>IF($A2991="","",IF(Paramètres!J21&amp;Paramètres!L21&amp;Paramètres!N21="",Dossiers!$D$59,MAX(IF(Paramètres!J21="",0,IF(Paramètres!K21="",NA(),IF(LEFT(TRIM(Paramètres!K21),1)="F",INDEX($F$2975:$F$3027,MATCH(Paramètres!J21,Paramètres!$G$5:$G$57,0)),INDEX($E$2975:$E$3027,MATCH(Paramètres!J21,Paramètres!$G$5:$G$57,0)))+IF(RIGHT(TRIM(Paramètres!K21),3)="Fin",1-$H2991,IF(LEFT(TRIM(Paramètres!K21),1)="F",1,0)))),IF(Paramètres!L21="",0,IF(Paramètres!M21="",NA(),IF(LEFT(TRIM(Paramètres!M21),1)="F",INDEX($F$2975:$F$3027,MATCH(Paramètres!L21,Paramètres!$G$5:$G$57,0)),INDEX($E$2975:$E$3027,MATCH(Paramètres!L21,Paramètres!$G$5:$G$57,0)))+IF(RIGHT(TRIM(Paramètres!M21),3)="Fin",1-$H2991,IF(LEFT(TRIM(Paramètres!M21),1)="F",1,0)))),IF(Paramètres!N21="",0,IF(Paramètres!O21="",NA(),IF(LEFT(TRIM(Paramètres!O21),1)="F",INDEX($F$2975:$F$3027,MATCH(Paramètres!N21,Paramètres!$G$5:$G$57,0)),INDEX($E$2975:$E$3027,MATCH(Paramètres!N21,Paramètres!$G$5:$G$57,0)))+IF(RIGHT(TRIM(Paramètres!O21),3)="Fin",1-$H2991,IF(LEFT(TRIM(Paramètres!O21),1)="F",1,0)))))))</f>
        <v/>
      </c>
      <c r="F2991" s="19">
        <f>IF($A2991="","",E2991+$H2991-1)</f>
        <v/>
      </c>
      <c r="G2991" s="18" t="n"/>
      <c r="H2991" s="18">
        <f>IF($A2991="","",IF(I2991&lt;&gt;"",I2991,Paramètres!B21))</f>
        <v/>
      </c>
      <c r="I2991" s="18" t="n"/>
    </row>
    <row r="2992">
      <c r="A2992" s="18">
        <f>IF(ISNUMBER(Dossiers!$D$59),Dossiers!$A$59&amp;" · "&amp;Dossiers!$B$59,"")</f>
        <v/>
      </c>
      <c r="B2992" s="18">
        <f>IF($A2992="","",Paramètres!G22)</f>
        <v/>
      </c>
      <c r="C2992" s="18">
        <f>IF($A2992="","",IF(Paramètres!H22="","",Paramètres!H22))</f>
        <v/>
      </c>
      <c r="D2992" s="18">
        <f>IF($A2992="","",IF(Paramètres!I22="","",Paramètres!I22))</f>
        <v/>
      </c>
      <c r="E2992" s="19">
        <f>IF($A2992="","",IF(Paramètres!J22&amp;Paramètres!L22&amp;Paramètres!N22="",Dossiers!$D$59,MAX(IF(Paramètres!J22="",0,IF(Paramètres!K22="",NA(),IF(LEFT(TRIM(Paramètres!K22),1)="F",INDEX($F$2975:$F$3027,MATCH(Paramètres!J22,Paramètres!$G$5:$G$57,0)),INDEX($E$2975:$E$3027,MATCH(Paramètres!J22,Paramètres!$G$5:$G$57,0)))+IF(RIGHT(TRIM(Paramètres!K22),3)="Fin",1-$H2992,IF(LEFT(TRIM(Paramètres!K22),1)="F",1,0)))),IF(Paramètres!L22="",0,IF(Paramètres!M22="",NA(),IF(LEFT(TRIM(Paramètres!M22),1)="F",INDEX($F$2975:$F$3027,MATCH(Paramètres!L22,Paramètres!$G$5:$G$57,0)),INDEX($E$2975:$E$3027,MATCH(Paramètres!L22,Paramètres!$G$5:$G$57,0)))+IF(RIGHT(TRIM(Paramètres!M22),3)="Fin",1-$H2992,IF(LEFT(TRIM(Paramètres!M22),1)="F",1,0)))),IF(Paramètres!N22="",0,IF(Paramètres!O22="",NA(),IF(LEFT(TRIM(Paramètres!O22),1)="F",INDEX($F$2975:$F$3027,MATCH(Paramètres!N22,Paramètres!$G$5:$G$57,0)),INDEX($E$2975:$E$3027,MATCH(Paramètres!N22,Paramètres!$G$5:$G$57,0)))+IF(RIGHT(TRIM(Paramètres!O22),3)="Fin",1-$H2992,IF(LEFT(TRIM(Paramètres!O22),1)="F",1,0)))))))</f>
        <v/>
      </c>
      <c r="F2992" s="19">
        <f>IF($A2992="","",E2992+$H2992-1)</f>
        <v/>
      </c>
      <c r="G2992" s="18" t="n"/>
      <c r="H2992" s="18">
        <f>IF($A2992="","",IF(I2992&lt;&gt;"",I2992,Paramètres!B22))</f>
        <v/>
      </c>
      <c r="I2992" s="18" t="n"/>
    </row>
    <row r="2993">
      <c r="A2993" s="18">
        <f>IF(ISNUMBER(Dossiers!$D$59),Dossiers!$A$59&amp;" · "&amp;Dossiers!$B$59,"")</f>
        <v/>
      </c>
      <c r="B2993" s="18">
        <f>IF($A2993="","",Paramètres!G23)</f>
        <v/>
      </c>
      <c r="C2993" s="18">
        <f>IF($A2993="","",IF(Paramètres!H23="","",Paramètres!H23))</f>
        <v/>
      </c>
      <c r="D2993" s="18">
        <f>IF($A2993="","",IF(Paramètres!I23="","",Paramètres!I23))</f>
        <v/>
      </c>
      <c r="E2993" s="19">
        <f>IF($A2993="","",IF(Paramètres!J23&amp;Paramètres!L23&amp;Paramètres!N23="",Dossiers!$D$59,MAX(IF(Paramètres!J23="",0,IF(Paramètres!K23="",NA(),IF(LEFT(TRIM(Paramètres!K23),1)="F",INDEX($F$2975:$F$3027,MATCH(Paramètres!J23,Paramètres!$G$5:$G$57,0)),INDEX($E$2975:$E$3027,MATCH(Paramètres!J23,Paramètres!$G$5:$G$57,0)))+IF(RIGHT(TRIM(Paramètres!K23),3)="Fin",1-$H2993,IF(LEFT(TRIM(Paramètres!K23),1)="F",1,0)))),IF(Paramètres!L23="",0,IF(Paramètres!M23="",NA(),IF(LEFT(TRIM(Paramètres!M23),1)="F",INDEX($F$2975:$F$3027,MATCH(Paramètres!L23,Paramètres!$G$5:$G$57,0)),INDEX($E$2975:$E$3027,MATCH(Paramètres!L23,Paramètres!$G$5:$G$57,0)))+IF(RIGHT(TRIM(Paramètres!M23),3)="Fin",1-$H2993,IF(LEFT(TRIM(Paramètres!M23),1)="F",1,0)))),IF(Paramètres!N23="",0,IF(Paramètres!O23="",NA(),IF(LEFT(TRIM(Paramètres!O23),1)="F",INDEX($F$2975:$F$3027,MATCH(Paramètres!N23,Paramètres!$G$5:$G$57,0)),INDEX($E$2975:$E$3027,MATCH(Paramètres!N23,Paramètres!$G$5:$G$57,0)))+IF(RIGHT(TRIM(Paramètres!O23),3)="Fin",1-$H2993,IF(LEFT(TRIM(Paramètres!O23),1)="F",1,0)))))))</f>
        <v/>
      </c>
      <c r="F2993" s="19">
        <f>IF($A2993="","",E2993+$H2993-1)</f>
        <v/>
      </c>
      <c r="G2993" s="18" t="n"/>
      <c r="H2993" s="18">
        <f>IF($A2993="","",IF(I2993&lt;&gt;"",I2993,Paramètres!B23))</f>
        <v/>
      </c>
      <c r="I2993" s="18" t="n"/>
    </row>
    <row r="2994">
      <c r="A2994" s="18">
        <f>IF(ISNUMBER(Dossiers!$D$59),Dossiers!$A$59&amp;" · "&amp;Dossiers!$B$59,"")</f>
        <v/>
      </c>
      <c r="B2994" s="18">
        <f>IF($A2994="","",Paramètres!G24)</f>
        <v/>
      </c>
      <c r="C2994" s="18">
        <f>IF($A2994="","",IF(Paramètres!H24="","",Paramètres!H24))</f>
        <v/>
      </c>
      <c r="D2994" s="18">
        <f>IF($A2994="","",IF(Paramètres!I24="","",Paramètres!I24))</f>
        <v/>
      </c>
      <c r="E2994" s="19">
        <f>IF($A2994="","",IF(Paramètres!J24&amp;Paramètres!L24&amp;Paramètres!N24="",Dossiers!$D$59,MAX(IF(Paramètres!J24="",0,IF(Paramètres!K24="",NA(),IF(LEFT(TRIM(Paramètres!K24),1)="F",INDEX($F$2975:$F$3027,MATCH(Paramètres!J24,Paramètres!$G$5:$G$57,0)),INDEX($E$2975:$E$3027,MATCH(Paramètres!J24,Paramètres!$G$5:$G$57,0)))+IF(RIGHT(TRIM(Paramètres!K24),3)="Fin",1-$H2994,IF(LEFT(TRIM(Paramètres!K24),1)="F",1,0)))),IF(Paramètres!L24="",0,IF(Paramètres!M24="",NA(),IF(LEFT(TRIM(Paramètres!M24),1)="F",INDEX($F$2975:$F$3027,MATCH(Paramètres!L24,Paramètres!$G$5:$G$57,0)),INDEX($E$2975:$E$3027,MATCH(Paramètres!L24,Paramètres!$G$5:$G$57,0)))+IF(RIGHT(TRIM(Paramètres!M24),3)="Fin",1-$H2994,IF(LEFT(TRIM(Paramètres!M24),1)="F",1,0)))),IF(Paramètres!N24="",0,IF(Paramètres!O24="",NA(),IF(LEFT(TRIM(Paramètres!O24),1)="F",INDEX($F$2975:$F$3027,MATCH(Paramètres!N24,Paramètres!$G$5:$G$57,0)),INDEX($E$2975:$E$3027,MATCH(Paramètres!N24,Paramètres!$G$5:$G$57,0)))+IF(RIGHT(TRIM(Paramètres!O24),3)="Fin",1-$H2994,IF(LEFT(TRIM(Paramètres!O24),1)="F",1,0)))))))</f>
        <v/>
      </c>
      <c r="F2994" s="19">
        <f>IF($A2994="","",E2994+$H2994-1)</f>
        <v/>
      </c>
      <c r="G2994" s="18" t="n"/>
      <c r="H2994" s="18">
        <f>IF($A2994="","",IF(I2994&lt;&gt;"",I2994,Paramètres!B24))</f>
        <v/>
      </c>
      <c r="I2994" s="18" t="n"/>
    </row>
    <row r="2995">
      <c r="A2995" s="18">
        <f>IF(ISNUMBER(Dossiers!$D$59),Dossiers!$A$59&amp;" · "&amp;Dossiers!$B$59,"")</f>
        <v/>
      </c>
      <c r="B2995" s="18">
        <f>IF($A2995="","",Paramètres!G25)</f>
        <v/>
      </c>
      <c r="C2995" s="18">
        <f>IF($A2995="","",IF(Paramètres!H25="","",Paramètres!H25))</f>
        <v/>
      </c>
      <c r="D2995" s="18">
        <f>IF($A2995="","",IF(Paramètres!I25="","",Paramètres!I25))</f>
        <v/>
      </c>
      <c r="E2995" s="19">
        <f>IF($A2995="","",IF(Paramètres!J25&amp;Paramètres!L25&amp;Paramètres!N25="",Dossiers!$D$59,MAX(IF(Paramètres!J25="",0,IF(Paramètres!K25="",NA(),IF(LEFT(TRIM(Paramètres!K25),1)="F",INDEX($F$2975:$F$3027,MATCH(Paramètres!J25,Paramètres!$G$5:$G$57,0)),INDEX($E$2975:$E$3027,MATCH(Paramètres!J25,Paramètres!$G$5:$G$57,0)))+IF(RIGHT(TRIM(Paramètres!K25),3)="Fin",1-$H2995,IF(LEFT(TRIM(Paramètres!K25),1)="F",1,0)))),IF(Paramètres!L25="",0,IF(Paramètres!M25="",NA(),IF(LEFT(TRIM(Paramètres!M25),1)="F",INDEX($F$2975:$F$3027,MATCH(Paramètres!L25,Paramètres!$G$5:$G$57,0)),INDEX($E$2975:$E$3027,MATCH(Paramètres!L25,Paramètres!$G$5:$G$57,0)))+IF(RIGHT(TRIM(Paramètres!M25),3)="Fin",1-$H2995,IF(LEFT(TRIM(Paramètres!M25),1)="F",1,0)))),IF(Paramètres!N25="",0,IF(Paramètres!O25="",NA(),IF(LEFT(TRIM(Paramètres!O25),1)="F",INDEX($F$2975:$F$3027,MATCH(Paramètres!N25,Paramètres!$G$5:$G$57,0)),INDEX($E$2975:$E$3027,MATCH(Paramètres!N25,Paramètres!$G$5:$G$57,0)))+IF(RIGHT(TRIM(Paramètres!O25),3)="Fin",1-$H2995,IF(LEFT(TRIM(Paramètres!O25),1)="F",1,0)))))))</f>
        <v/>
      </c>
      <c r="F2995" s="19">
        <f>IF($A2995="","",E2995+$H2995-1)</f>
        <v/>
      </c>
      <c r="G2995" s="18" t="n"/>
      <c r="H2995" s="18">
        <f>IF($A2995="","",IF(I2995&lt;&gt;"",I2995,Paramètres!B25))</f>
        <v/>
      </c>
      <c r="I2995" s="18" t="n"/>
    </row>
    <row r="2996">
      <c r="A2996" s="18">
        <f>IF(ISNUMBER(Dossiers!$D$59),Dossiers!$A$59&amp;" · "&amp;Dossiers!$B$59,"")</f>
        <v/>
      </c>
      <c r="B2996" s="18">
        <f>IF($A2996="","",Paramètres!G26)</f>
        <v/>
      </c>
      <c r="C2996" s="18">
        <f>IF($A2996="","",IF(Paramètres!H26="","",Paramètres!H26))</f>
        <v/>
      </c>
      <c r="D2996" s="18">
        <f>IF($A2996="","",IF(Paramètres!I26="","",Paramètres!I26))</f>
        <v/>
      </c>
      <c r="E2996" s="19">
        <f>IF($A2996="","",IF(Paramètres!J26&amp;Paramètres!L26&amp;Paramètres!N26="",Dossiers!$D$59,MAX(IF(Paramètres!J26="",0,IF(Paramètres!K26="",NA(),IF(LEFT(TRIM(Paramètres!K26),1)="F",INDEX($F$2975:$F$3027,MATCH(Paramètres!J26,Paramètres!$G$5:$G$57,0)),INDEX($E$2975:$E$3027,MATCH(Paramètres!J26,Paramètres!$G$5:$G$57,0)))+IF(RIGHT(TRIM(Paramètres!K26),3)="Fin",1-$H2996,IF(LEFT(TRIM(Paramètres!K26),1)="F",1,0)))),IF(Paramètres!L26="",0,IF(Paramètres!M26="",NA(),IF(LEFT(TRIM(Paramètres!M26),1)="F",INDEX($F$2975:$F$3027,MATCH(Paramètres!L26,Paramètres!$G$5:$G$57,0)),INDEX($E$2975:$E$3027,MATCH(Paramètres!L26,Paramètres!$G$5:$G$57,0)))+IF(RIGHT(TRIM(Paramètres!M26),3)="Fin",1-$H2996,IF(LEFT(TRIM(Paramètres!M26),1)="F",1,0)))),IF(Paramètres!N26="",0,IF(Paramètres!O26="",NA(),IF(LEFT(TRIM(Paramètres!O26),1)="F",INDEX($F$2975:$F$3027,MATCH(Paramètres!N26,Paramètres!$G$5:$G$57,0)),INDEX($E$2975:$E$3027,MATCH(Paramètres!N26,Paramètres!$G$5:$G$57,0)))+IF(RIGHT(TRIM(Paramètres!O26),3)="Fin",1-$H2996,IF(LEFT(TRIM(Paramètres!O26),1)="F",1,0)))))))</f>
        <v/>
      </c>
      <c r="F2996" s="19">
        <f>IF($A2996="","",E2996+$H2996-1)</f>
        <v/>
      </c>
      <c r="G2996" s="18" t="n"/>
      <c r="H2996" s="18">
        <f>IF($A2996="","",IF(I2996&lt;&gt;"",I2996,Paramètres!B26))</f>
        <v/>
      </c>
      <c r="I2996" s="18" t="n"/>
    </row>
    <row r="2997">
      <c r="A2997" s="18">
        <f>IF(ISNUMBER(Dossiers!$D$59),Dossiers!$A$59&amp;" · "&amp;Dossiers!$B$59,"")</f>
        <v/>
      </c>
      <c r="B2997" s="18">
        <f>IF($A2997="","",Paramètres!G27)</f>
        <v/>
      </c>
      <c r="C2997" s="18">
        <f>IF($A2997="","",IF(Paramètres!H27="","",Paramètres!H27))</f>
        <v/>
      </c>
      <c r="D2997" s="18">
        <f>IF($A2997="","",IF(Paramètres!I27="","",Paramètres!I27))</f>
        <v/>
      </c>
      <c r="E2997" s="19">
        <f>IF($A2997="","",IF(Paramètres!J27&amp;Paramètres!L27&amp;Paramètres!N27="",Dossiers!$D$59,MAX(IF(Paramètres!J27="",0,IF(Paramètres!K27="",NA(),IF(LEFT(TRIM(Paramètres!K27),1)="F",INDEX($F$2975:$F$3027,MATCH(Paramètres!J27,Paramètres!$G$5:$G$57,0)),INDEX($E$2975:$E$3027,MATCH(Paramètres!J27,Paramètres!$G$5:$G$57,0)))+IF(RIGHT(TRIM(Paramètres!K27),3)="Fin",1-$H2997,IF(LEFT(TRIM(Paramètres!K27),1)="F",1,0)))),IF(Paramètres!L27="",0,IF(Paramètres!M27="",NA(),IF(LEFT(TRIM(Paramètres!M27),1)="F",INDEX($F$2975:$F$3027,MATCH(Paramètres!L27,Paramètres!$G$5:$G$57,0)),INDEX($E$2975:$E$3027,MATCH(Paramètres!L27,Paramètres!$G$5:$G$57,0)))+IF(RIGHT(TRIM(Paramètres!M27),3)="Fin",1-$H2997,IF(LEFT(TRIM(Paramètres!M27),1)="F",1,0)))),IF(Paramètres!N27="",0,IF(Paramètres!O27="",NA(),IF(LEFT(TRIM(Paramètres!O27),1)="F",INDEX($F$2975:$F$3027,MATCH(Paramètres!N27,Paramètres!$G$5:$G$57,0)),INDEX($E$2975:$E$3027,MATCH(Paramètres!N27,Paramètres!$G$5:$G$57,0)))+IF(RIGHT(TRIM(Paramètres!O27),3)="Fin",1-$H2997,IF(LEFT(TRIM(Paramètres!O27),1)="F",1,0)))))))</f>
        <v/>
      </c>
      <c r="F2997" s="19">
        <f>IF($A2997="","",E2997+$H2997-1)</f>
        <v/>
      </c>
      <c r="G2997" s="18" t="n"/>
      <c r="H2997" s="18">
        <f>IF($A2997="","",IF(I2997&lt;&gt;"",I2997,Paramètres!B27))</f>
        <v/>
      </c>
      <c r="I2997" s="18" t="n"/>
    </row>
    <row r="2998">
      <c r="A2998" s="18">
        <f>IF(ISNUMBER(Dossiers!$D$59),Dossiers!$A$59&amp;" · "&amp;Dossiers!$B$59,"")</f>
        <v/>
      </c>
      <c r="B2998" s="18">
        <f>IF($A2998="","",Paramètres!G28)</f>
        <v/>
      </c>
      <c r="C2998" s="18">
        <f>IF($A2998="","",IF(Paramètres!H28="","",Paramètres!H28))</f>
        <v/>
      </c>
      <c r="D2998" s="18">
        <f>IF($A2998="","",IF(Paramètres!I28="","",Paramètres!I28))</f>
        <v/>
      </c>
      <c r="E2998" s="19">
        <f>IF($A2998="","",IF(Paramètres!J28&amp;Paramètres!L28&amp;Paramètres!N28="",Dossiers!$D$59,MAX(IF(Paramètres!J28="",0,IF(Paramètres!K28="",NA(),IF(LEFT(TRIM(Paramètres!K28),1)="F",INDEX($F$2975:$F$3027,MATCH(Paramètres!J28,Paramètres!$G$5:$G$57,0)),INDEX($E$2975:$E$3027,MATCH(Paramètres!J28,Paramètres!$G$5:$G$57,0)))+IF(RIGHT(TRIM(Paramètres!K28),3)="Fin",1-$H2998,IF(LEFT(TRIM(Paramètres!K28),1)="F",1,0)))),IF(Paramètres!L28="",0,IF(Paramètres!M28="",NA(),IF(LEFT(TRIM(Paramètres!M28),1)="F",INDEX($F$2975:$F$3027,MATCH(Paramètres!L28,Paramètres!$G$5:$G$57,0)),INDEX($E$2975:$E$3027,MATCH(Paramètres!L28,Paramètres!$G$5:$G$57,0)))+IF(RIGHT(TRIM(Paramètres!M28),3)="Fin",1-$H2998,IF(LEFT(TRIM(Paramètres!M28),1)="F",1,0)))),IF(Paramètres!N28="",0,IF(Paramètres!O28="",NA(),IF(LEFT(TRIM(Paramètres!O28),1)="F",INDEX($F$2975:$F$3027,MATCH(Paramètres!N28,Paramètres!$G$5:$G$57,0)),INDEX($E$2975:$E$3027,MATCH(Paramètres!N28,Paramètres!$G$5:$G$57,0)))+IF(RIGHT(TRIM(Paramètres!O28),3)="Fin",1-$H2998,IF(LEFT(TRIM(Paramètres!O28),1)="F",1,0)))))))</f>
        <v/>
      </c>
      <c r="F2998" s="19">
        <f>IF($A2998="","",E2998+$H2998-1)</f>
        <v/>
      </c>
      <c r="G2998" s="18" t="n"/>
      <c r="H2998" s="18">
        <f>IF($A2998="","",IF(I2998&lt;&gt;"",I2998,Paramètres!B28))</f>
        <v/>
      </c>
      <c r="I2998" s="18" t="n"/>
    </row>
    <row r="2999">
      <c r="A2999" s="18">
        <f>IF(ISNUMBER(Dossiers!$D$59),Dossiers!$A$59&amp;" · "&amp;Dossiers!$B$59,"")</f>
        <v/>
      </c>
      <c r="B2999" s="18">
        <f>IF($A2999="","",Paramètres!G29)</f>
        <v/>
      </c>
      <c r="C2999" s="18">
        <f>IF($A2999="","",IF(Paramètres!H29="","",Paramètres!H29))</f>
        <v/>
      </c>
      <c r="D2999" s="18">
        <f>IF($A2999="","",IF(Paramètres!I29="","",Paramètres!I29))</f>
        <v/>
      </c>
      <c r="E2999" s="19">
        <f>IF($A2999="","",IF(Paramètres!J29&amp;Paramètres!L29&amp;Paramètres!N29="",Dossiers!$D$59,MAX(IF(Paramètres!J29="",0,IF(Paramètres!K29="",NA(),IF(LEFT(TRIM(Paramètres!K29),1)="F",INDEX($F$2975:$F$3027,MATCH(Paramètres!J29,Paramètres!$G$5:$G$57,0)),INDEX($E$2975:$E$3027,MATCH(Paramètres!J29,Paramètres!$G$5:$G$57,0)))+IF(RIGHT(TRIM(Paramètres!K29),3)="Fin",1-$H2999,IF(LEFT(TRIM(Paramètres!K29),1)="F",1,0)))),IF(Paramètres!L29="",0,IF(Paramètres!M29="",NA(),IF(LEFT(TRIM(Paramètres!M29),1)="F",INDEX($F$2975:$F$3027,MATCH(Paramètres!L29,Paramètres!$G$5:$G$57,0)),INDEX($E$2975:$E$3027,MATCH(Paramètres!L29,Paramètres!$G$5:$G$57,0)))+IF(RIGHT(TRIM(Paramètres!M29),3)="Fin",1-$H2999,IF(LEFT(TRIM(Paramètres!M29),1)="F",1,0)))),IF(Paramètres!N29="",0,IF(Paramètres!O29="",NA(),IF(LEFT(TRIM(Paramètres!O29),1)="F",INDEX($F$2975:$F$3027,MATCH(Paramètres!N29,Paramètres!$G$5:$G$57,0)),INDEX($E$2975:$E$3027,MATCH(Paramètres!N29,Paramètres!$G$5:$G$57,0)))+IF(RIGHT(TRIM(Paramètres!O29),3)="Fin",1-$H2999,IF(LEFT(TRIM(Paramètres!O29),1)="F",1,0)))))))</f>
        <v/>
      </c>
      <c r="F2999" s="19">
        <f>IF($A2999="","",E2999+$H2999-1)</f>
        <v/>
      </c>
      <c r="G2999" s="18" t="n"/>
      <c r="H2999" s="18">
        <f>IF($A2999="","",IF(I2999&lt;&gt;"",I2999,Paramètres!B29))</f>
        <v/>
      </c>
      <c r="I2999" s="18" t="n"/>
    </row>
    <row r="3000">
      <c r="A3000" s="18">
        <f>IF(ISNUMBER(Dossiers!$D$59),Dossiers!$A$59&amp;" · "&amp;Dossiers!$B$59,"")</f>
        <v/>
      </c>
      <c r="B3000" s="18">
        <f>IF($A3000="","",Paramètres!G30)</f>
        <v/>
      </c>
      <c r="C3000" s="18">
        <f>IF($A3000="","",IF(Paramètres!H30="","",Paramètres!H30))</f>
        <v/>
      </c>
      <c r="D3000" s="18">
        <f>IF($A3000="","",IF(Paramètres!I30="","",Paramètres!I30))</f>
        <v/>
      </c>
      <c r="E3000" s="19">
        <f>IF($A3000="","",IF(Paramètres!J30&amp;Paramètres!L30&amp;Paramètres!N30="",Dossiers!$D$59,MAX(IF(Paramètres!J30="",0,IF(Paramètres!K30="",NA(),IF(LEFT(TRIM(Paramètres!K30),1)="F",INDEX($F$2975:$F$3027,MATCH(Paramètres!J30,Paramètres!$G$5:$G$57,0)),INDEX($E$2975:$E$3027,MATCH(Paramètres!J30,Paramètres!$G$5:$G$57,0)))+IF(RIGHT(TRIM(Paramètres!K30),3)="Fin",1-$H3000,IF(LEFT(TRIM(Paramètres!K30),1)="F",1,0)))),IF(Paramètres!L30="",0,IF(Paramètres!M30="",NA(),IF(LEFT(TRIM(Paramètres!M30),1)="F",INDEX($F$2975:$F$3027,MATCH(Paramètres!L30,Paramètres!$G$5:$G$57,0)),INDEX($E$2975:$E$3027,MATCH(Paramètres!L30,Paramètres!$G$5:$G$57,0)))+IF(RIGHT(TRIM(Paramètres!M30),3)="Fin",1-$H3000,IF(LEFT(TRIM(Paramètres!M30),1)="F",1,0)))),IF(Paramètres!N30="",0,IF(Paramètres!O30="",NA(),IF(LEFT(TRIM(Paramètres!O30),1)="F",INDEX($F$2975:$F$3027,MATCH(Paramètres!N30,Paramètres!$G$5:$G$57,0)),INDEX($E$2975:$E$3027,MATCH(Paramètres!N30,Paramètres!$G$5:$G$57,0)))+IF(RIGHT(TRIM(Paramètres!O30),3)="Fin",1-$H3000,IF(LEFT(TRIM(Paramètres!O30),1)="F",1,0)))))))</f>
        <v/>
      </c>
      <c r="F3000" s="19">
        <f>IF($A3000="","",E3000+$H3000-1)</f>
        <v/>
      </c>
      <c r="G3000" s="18" t="n"/>
      <c r="H3000" s="18">
        <f>IF($A3000="","",IF(I3000&lt;&gt;"",I3000,Paramètres!B30))</f>
        <v/>
      </c>
      <c r="I3000" s="18" t="n"/>
    </row>
    <row r="3001">
      <c r="A3001" s="18">
        <f>IF(ISNUMBER(Dossiers!$D$59),Dossiers!$A$59&amp;" · "&amp;Dossiers!$B$59,"")</f>
        <v/>
      </c>
      <c r="B3001" s="18">
        <f>IF($A3001="","",Paramètres!G31)</f>
        <v/>
      </c>
      <c r="C3001" s="20">
        <f>IF($A3001="","",IF(Dossiers!$F$59="","",Dossiers!$F$59))</f>
        <v/>
      </c>
      <c r="D3001" s="18">
        <f>IF($A3001="","",IF(Paramètres!I31="","",Paramètres!I31))</f>
        <v/>
      </c>
      <c r="E3001" s="19">
        <f>IF($A3001="","",IF(Paramètres!J31&amp;Paramètres!L31&amp;Paramètres!N31="",Dossiers!$D$59,MAX(IF(Paramètres!J31="",0,IF(Paramètres!K31="",NA(),IF(LEFT(TRIM(Paramètres!K31),1)="F",INDEX($F$2975:$F$3027,MATCH(Paramètres!J31,Paramètres!$G$5:$G$57,0)),INDEX($E$2975:$E$3027,MATCH(Paramètres!J31,Paramètres!$G$5:$G$57,0)))+IF(RIGHT(TRIM(Paramètres!K31),3)="Fin",1-$H3001,IF(LEFT(TRIM(Paramètres!K31),1)="F",1,0)))),IF(Paramètres!L31="",0,IF(Paramètres!M31="",NA(),IF(LEFT(TRIM(Paramètres!M31),1)="F",INDEX($F$2975:$F$3027,MATCH(Paramètres!L31,Paramètres!$G$5:$G$57,0)),INDEX($E$2975:$E$3027,MATCH(Paramètres!L31,Paramètres!$G$5:$G$57,0)))+IF(RIGHT(TRIM(Paramètres!M31),3)="Fin",1-$H3001,IF(LEFT(TRIM(Paramètres!M31),1)="F",1,0)))),IF(Paramètres!N31="",0,IF(Paramètres!O31="",NA(),IF(LEFT(TRIM(Paramètres!O31),1)="F",INDEX($F$2975:$F$3027,MATCH(Paramètres!N31,Paramètres!$G$5:$G$57,0)),INDEX($E$2975:$E$3027,MATCH(Paramètres!N31,Paramètres!$G$5:$G$57,0)))+IF(RIGHT(TRIM(Paramètres!O31),3)="Fin",1-$H3001,IF(LEFT(TRIM(Paramètres!O31),1)="F",1,0)))))))</f>
        <v/>
      </c>
      <c r="F3001" s="19">
        <f>IF($A3001="","",E3001+$H3001-1)</f>
        <v/>
      </c>
      <c r="G3001" s="18" t="n"/>
      <c r="H3001" s="18">
        <f>IF($A3001="","",IF(I3001&lt;&gt;"",I3001,Paramètres!B31))</f>
        <v/>
      </c>
      <c r="I3001" s="18" t="n"/>
    </row>
    <row r="3002">
      <c r="A3002" s="18">
        <f>IF(ISNUMBER(Dossiers!$D$59),Dossiers!$A$59&amp;" · "&amp;Dossiers!$B$59,"")</f>
        <v/>
      </c>
      <c r="B3002" s="18">
        <f>IF($A3002="","",Paramètres!G32)</f>
        <v/>
      </c>
      <c r="C3002" s="18">
        <f>IF($A3002="","",IF(Paramètres!H32="","",Paramètres!H32))</f>
        <v/>
      </c>
      <c r="D3002" s="18">
        <f>IF($A3002="","",IF(Paramètres!I32="","",Paramètres!I32))</f>
        <v/>
      </c>
      <c r="E3002" s="19">
        <f>IF($A3002="","",MIN(E3003:E3006))</f>
        <v/>
      </c>
      <c r="F3002" s="19">
        <f>IF($A3002="","",MAX(F3003:F3006))</f>
        <v/>
      </c>
      <c r="G3002" s="18" t="n"/>
      <c r="H3002" s="18">
        <f>IF($A3002="","",F3002-E3002+1)</f>
        <v/>
      </c>
      <c r="I3002" s="18" t="n"/>
    </row>
    <row r="3003">
      <c r="A3003" s="18">
        <f>IF(ISNUMBER(Dossiers!$D$59),Dossiers!$A$59&amp;" · "&amp;Dossiers!$B$59,"")</f>
        <v/>
      </c>
      <c r="B3003" s="18">
        <f>IF($A3003="","",Paramètres!G33)</f>
        <v/>
      </c>
      <c r="C3003" s="18">
        <f>IF($A3003="","",IF(Paramètres!H33="","",Paramètres!H33))</f>
        <v/>
      </c>
      <c r="D3003" s="18">
        <f>IF($A3003="","",IF(Paramètres!I33="","",Paramètres!I33))</f>
        <v/>
      </c>
      <c r="E3003" s="19">
        <f>IF($A3003="","",IF(Paramètres!J33&amp;Paramètres!L33&amp;Paramètres!N33="",Dossiers!$D$59,MAX(IF(Paramètres!J33="",0,IF(Paramètres!K33="",NA(),IF(LEFT(TRIM(Paramètres!K33),1)="F",INDEX($F$2975:$F$3027,MATCH(Paramètres!J33,Paramètres!$G$5:$G$57,0)),INDEX($E$2975:$E$3027,MATCH(Paramètres!J33,Paramètres!$G$5:$G$57,0)))+IF(RIGHT(TRIM(Paramètres!K33),3)="Fin",1-$H3003,IF(LEFT(TRIM(Paramètres!K33),1)="F",1,0)))),IF(Paramètres!L33="",0,IF(Paramètres!M33="",NA(),IF(LEFT(TRIM(Paramètres!M33),1)="F",INDEX($F$2975:$F$3027,MATCH(Paramètres!L33,Paramètres!$G$5:$G$57,0)),INDEX($E$2975:$E$3027,MATCH(Paramètres!L33,Paramètres!$G$5:$G$57,0)))+IF(RIGHT(TRIM(Paramètres!M33),3)="Fin",1-$H3003,IF(LEFT(TRIM(Paramètres!M33),1)="F",1,0)))),IF(Paramètres!N33="",0,IF(Paramètres!O33="",NA(),IF(LEFT(TRIM(Paramètres!O33),1)="F",INDEX($F$2975:$F$3027,MATCH(Paramètres!N33,Paramètres!$G$5:$G$57,0)),INDEX($E$2975:$E$3027,MATCH(Paramètres!N33,Paramètres!$G$5:$G$57,0)))+IF(RIGHT(TRIM(Paramètres!O33),3)="Fin",1-$H3003,IF(LEFT(TRIM(Paramètres!O33),1)="F",1,0)))))))</f>
        <v/>
      </c>
      <c r="F3003" s="19">
        <f>IF($A3003="","",E3003+$H3003-1)</f>
        <v/>
      </c>
      <c r="G3003" s="18" t="n"/>
      <c r="H3003" s="18">
        <f>IF($A3003="","",IF(I3003&lt;&gt;"",I3003,Paramètres!B33))</f>
        <v/>
      </c>
      <c r="I3003" s="18" t="n"/>
    </row>
    <row r="3004">
      <c r="A3004" s="18">
        <f>IF(ISNUMBER(Dossiers!$D$59),Dossiers!$A$59&amp;" · "&amp;Dossiers!$B$59,"")</f>
        <v/>
      </c>
      <c r="B3004" s="18">
        <f>IF($A3004="","",Paramètres!G34)</f>
        <v/>
      </c>
      <c r="C3004" s="18">
        <f>IF($A3004="","",IF(Paramètres!H34="","",Paramètres!H34))</f>
        <v/>
      </c>
      <c r="D3004" s="18">
        <f>IF($A3004="","",IF(Paramètres!I34="","",Paramètres!I34))</f>
        <v/>
      </c>
      <c r="E3004" s="19">
        <f>IF($A3004="","",IF(Paramètres!J34&amp;Paramètres!L34&amp;Paramètres!N34="",Dossiers!$D$59,MAX(IF(Paramètres!J34="",0,IF(Paramètres!K34="",NA(),IF(LEFT(TRIM(Paramètres!K34),1)="F",INDEX($F$2975:$F$3027,MATCH(Paramètres!J34,Paramètres!$G$5:$G$57,0)),INDEX($E$2975:$E$3027,MATCH(Paramètres!J34,Paramètres!$G$5:$G$57,0)))+IF(RIGHT(TRIM(Paramètres!K34),3)="Fin",1-$H3004,IF(LEFT(TRIM(Paramètres!K34),1)="F",1,0)))),IF(Paramètres!L34="",0,IF(Paramètres!M34="",NA(),IF(LEFT(TRIM(Paramètres!M34),1)="F",INDEX($F$2975:$F$3027,MATCH(Paramètres!L34,Paramètres!$G$5:$G$57,0)),INDEX($E$2975:$E$3027,MATCH(Paramètres!L34,Paramètres!$G$5:$G$57,0)))+IF(RIGHT(TRIM(Paramètres!M34),3)="Fin",1-$H3004,IF(LEFT(TRIM(Paramètres!M34),1)="F",1,0)))),IF(Paramètres!N34="",0,IF(Paramètres!O34="",NA(),IF(LEFT(TRIM(Paramètres!O34),1)="F",INDEX($F$2975:$F$3027,MATCH(Paramètres!N34,Paramètres!$G$5:$G$57,0)),INDEX($E$2975:$E$3027,MATCH(Paramètres!N34,Paramètres!$G$5:$G$57,0)))+IF(RIGHT(TRIM(Paramètres!O34),3)="Fin",1-$H3004,IF(LEFT(TRIM(Paramètres!O34),1)="F",1,0)))))))</f>
        <v/>
      </c>
      <c r="F3004" s="19">
        <f>IF($A3004="","",E3004+$H3004-1)</f>
        <v/>
      </c>
      <c r="G3004" s="18" t="n"/>
      <c r="H3004" s="18">
        <f>IF($A3004="","",IF(I3004&lt;&gt;"",I3004,Paramètres!B34))</f>
        <v/>
      </c>
      <c r="I3004" s="18" t="n"/>
    </row>
    <row r="3005">
      <c r="A3005" s="18">
        <f>IF(ISNUMBER(Dossiers!$D$59),Dossiers!$A$59&amp;" · "&amp;Dossiers!$B$59,"")</f>
        <v/>
      </c>
      <c r="B3005" s="18">
        <f>IF($A3005="","",Paramètres!G35)</f>
        <v/>
      </c>
      <c r="C3005" s="18">
        <f>IF($A3005="","",IF(Paramètres!H35="","",Paramètres!H35))</f>
        <v/>
      </c>
      <c r="D3005" s="18">
        <f>IF($A3005="","",IF(Paramètres!I35="","",Paramètres!I35))</f>
        <v/>
      </c>
      <c r="E3005" s="19">
        <f>IF($A3005="","",IF(Paramètres!J35&amp;Paramètres!L35&amp;Paramètres!N35="",Dossiers!$D$59,MAX(IF(Paramètres!J35="",0,IF(Paramètres!K35="",NA(),IF(LEFT(TRIM(Paramètres!K35),1)="F",INDEX($F$2975:$F$3027,MATCH(Paramètres!J35,Paramètres!$G$5:$G$57,0)),INDEX($E$2975:$E$3027,MATCH(Paramètres!J35,Paramètres!$G$5:$G$57,0)))+IF(RIGHT(TRIM(Paramètres!K35),3)="Fin",1-$H3005,IF(LEFT(TRIM(Paramètres!K35),1)="F",1,0)))),IF(Paramètres!L35="",0,IF(Paramètres!M35="",NA(),IF(LEFT(TRIM(Paramètres!M35),1)="F",INDEX($F$2975:$F$3027,MATCH(Paramètres!L35,Paramètres!$G$5:$G$57,0)),INDEX($E$2975:$E$3027,MATCH(Paramètres!L35,Paramètres!$G$5:$G$57,0)))+IF(RIGHT(TRIM(Paramètres!M35),3)="Fin",1-$H3005,IF(LEFT(TRIM(Paramètres!M35),1)="F",1,0)))),IF(Paramètres!N35="",0,IF(Paramètres!O35="",NA(),IF(LEFT(TRIM(Paramètres!O35),1)="F",INDEX($F$2975:$F$3027,MATCH(Paramètres!N35,Paramètres!$G$5:$G$57,0)),INDEX($E$2975:$E$3027,MATCH(Paramètres!N35,Paramètres!$G$5:$G$57,0)))+IF(RIGHT(TRIM(Paramètres!O35),3)="Fin",1-$H3005,IF(LEFT(TRIM(Paramètres!O35),1)="F",1,0)))))))</f>
        <v/>
      </c>
      <c r="F3005" s="19">
        <f>IF($A3005="","",E3005+$H3005-1)</f>
        <v/>
      </c>
      <c r="G3005" s="18" t="n"/>
      <c r="H3005" s="18">
        <f>IF($A3005="","",IF(I3005&lt;&gt;"",I3005,Paramètres!B35))</f>
        <v/>
      </c>
      <c r="I3005" s="18" t="n"/>
    </row>
    <row r="3006">
      <c r="A3006" s="18">
        <f>IF(ISNUMBER(Dossiers!$D$59),Dossiers!$A$59&amp;" · "&amp;Dossiers!$B$59,"")</f>
        <v/>
      </c>
      <c r="B3006" s="18">
        <f>IF($A3006="","",Paramètres!G36)</f>
        <v/>
      </c>
      <c r="C3006" s="18">
        <f>IF($A3006="","",IF(Paramètres!H36="","",Paramètres!H36))</f>
        <v/>
      </c>
      <c r="D3006" s="18">
        <f>IF($A3006="","",IF(Paramètres!I36="","",Paramètres!I36))</f>
        <v/>
      </c>
      <c r="E3006" s="19">
        <f>IF($A3006="","",IF(Paramètres!J36&amp;Paramètres!L36&amp;Paramètres!N36="",Dossiers!$D$59,MAX(IF(Paramètres!J36="",0,IF(Paramètres!K36="",NA(),IF(LEFT(TRIM(Paramètres!K36),1)="F",INDEX($F$2975:$F$3027,MATCH(Paramètres!J36,Paramètres!$G$5:$G$57,0)),INDEX($E$2975:$E$3027,MATCH(Paramètres!J36,Paramètres!$G$5:$G$57,0)))+IF(RIGHT(TRIM(Paramètres!K36),3)="Fin",1-$H3006,IF(LEFT(TRIM(Paramètres!K36),1)="F",1,0)))),IF(Paramètres!L36="",0,IF(Paramètres!M36="",NA(),IF(LEFT(TRIM(Paramètres!M36),1)="F",INDEX($F$2975:$F$3027,MATCH(Paramètres!L36,Paramètres!$G$5:$G$57,0)),INDEX($E$2975:$E$3027,MATCH(Paramètres!L36,Paramètres!$G$5:$G$57,0)))+IF(RIGHT(TRIM(Paramètres!M36),3)="Fin",1-$H3006,IF(LEFT(TRIM(Paramètres!M36),1)="F",1,0)))),IF(Paramètres!N36="",0,IF(Paramètres!O36="",NA(),IF(LEFT(TRIM(Paramètres!O36),1)="F",INDEX($F$2975:$F$3027,MATCH(Paramètres!N36,Paramètres!$G$5:$G$57,0)),INDEX($E$2975:$E$3027,MATCH(Paramètres!N36,Paramètres!$G$5:$G$57,0)))+IF(RIGHT(TRIM(Paramètres!O36),3)="Fin",1-$H3006,IF(LEFT(TRIM(Paramètres!O36),1)="F",1,0)))))))</f>
        <v/>
      </c>
      <c r="F3006" s="19">
        <f>IF($A3006="","",E3006+$H3006-1)</f>
        <v/>
      </c>
      <c r="G3006" s="18" t="n"/>
      <c r="H3006" s="18">
        <f>IF($A3006="","",IF(I3006&lt;&gt;"",I3006,Paramètres!B36))</f>
        <v/>
      </c>
      <c r="I3006" s="18" t="n"/>
    </row>
    <row r="3007">
      <c r="A3007" s="18">
        <f>IF(ISNUMBER(Dossiers!$D$59),Dossiers!$A$59&amp;" · "&amp;Dossiers!$B$59,"")</f>
        <v/>
      </c>
      <c r="B3007" s="18">
        <f>IF($A3007="","",Paramètres!G37)</f>
        <v/>
      </c>
      <c r="C3007" s="18">
        <f>IF($A3007="","",IF(Paramètres!H37="","",Paramètres!H37))</f>
        <v/>
      </c>
      <c r="D3007" s="18">
        <f>IF($A3007="","",IF(Paramètres!I37="","",Paramètres!I37))</f>
        <v/>
      </c>
      <c r="E3007" s="19">
        <f>IF($A3007="","",MIN(E3008:E3025))</f>
        <v/>
      </c>
      <c r="F3007" s="19">
        <f>IF($A3007="","",MAX(F3008:F3025))</f>
        <v/>
      </c>
      <c r="G3007" s="18" t="n"/>
      <c r="H3007" s="18">
        <f>IF($A3007="","",F3007-E3007+1)</f>
        <v/>
      </c>
      <c r="I3007" s="18" t="n"/>
    </row>
    <row r="3008">
      <c r="A3008" s="18">
        <f>IF(ISNUMBER(Dossiers!$D$59),Dossiers!$A$59&amp;" · "&amp;Dossiers!$B$59,"")</f>
        <v/>
      </c>
      <c r="B3008" s="18">
        <f>IF($A3008="","",Paramètres!G38)</f>
        <v/>
      </c>
      <c r="C3008" s="18">
        <f>IF($A3008="","",IF(Paramètres!H38="","",Paramètres!H38))</f>
        <v/>
      </c>
      <c r="D3008" s="18">
        <f>IF($A3008="","",IF(Paramètres!I38="","",Paramètres!I38))</f>
        <v/>
      </c>
      <c r="E3008" s="19">
        <f>IF($A3008="","",IF(Paramètres!J38&amp;Paramètres!L38&amp;Paramètres!N38="",Dossiers!$D$59,MAX(IF(Paramètres!J38="",0,IF(Paramètres!K38="",NA(),IF(LEFT(TRIM(Paramètres!K38),1)="F",INDEX($F$2975:$F$3027,MATCH(Paramètres!J38,Paramètres!$G$5:$G$57,0)),INDEX($E$2975:$E$3027,MATCH(Paramètres!J38,Paramètres!$G$5:$G$57,0)))+IF(RIGHT(TRIM(Paramètres!K38),3)="Fin",1-$H3008,IF(LEFT(TRIM(Paramètres!K38),1)="F",1,0)))),IF(Paramètres!L38="",0,IF(Paramètres!M38="",NA(),IF(LEFT(TRIM(Paramètres!M38),1)="F",INDEX($F$2975:$F$3027,MATCH(Paramètres!L38,Paramètres!$G$5:$G$57,0)),INDEX($E$2975:$E$3027,MATCH(Paramètres!L38,Paramètres!$G$5:$G$57,0)))+IF(RIGHT(TRIM(Paramètres!M38),3)="Fin",1-$H3008,IF(LEFT(TRIM(Paramètres!M38),1)="F",1,0)))),IF(Paramètres!N38="",0,IF(Paramètres!O38="",NA(),IF(LEFT(TRIM(Paramètres!O38),1)="F",INDEX($F$2975:$F$3027,MATCH(Paramètres!N38,Paramètres!$G$5:$G$57,0)),INDEX($E$2975:$E$3027,MATCH(Paramètres!N38,Paramètres!$G$5:$G$57,0)))+IF(RIGHT(TRIM(Paramètres!O38),3)="Fin",1-$H3008,IF(LEFT(TRIM(Paramètres!O38),1)="F",1,0)))))))</f>
        <v/>
      </c>
      <c r="F3008" s="19">
        <f>IF($A3008="","",E3008+$H3008-1)</f>
        <v/>
      </c>
      <c r="G3008" s="18" t="n"/>
      <c r="H3008" s="18">
        <f>IF($A3008="","",IF(I3008&lt;&gt;"",I3008,Paramètres!B38))</f>
        <v/>
      </c>
      <c r="I3008" s="18" t="n"/>
    </row>
    <row r="3009">
      <c r="A3009" s="18">
        <f>IF(ISNUMBER(Dossiers!$D$59),Dossiers!$A$59&amp;" · "&amp;Dossiers!$B$59,"")</f>
        <v/>
      </c>
      <c r="B3009" s="18">
        <f>IF($A3009="","",Paramètres!G39)</f>
        <v/>
      </c>
      <c r="C3009" s="18">
        <f>IF($A3009="","",IF(Paramètres!H39="","",Paramètres!H39))</f>
        <v/>
      </c>
      <c r="D3009" s="18">
        <f>IF($A3009="","",IF(Paramètres!I39="","",Paramètres!I39))</f>
        <v/>
      </c>
      <c r="E3009" s="19">
        <f>IF($A3009="","",IF(Paramètres!J39&amp;Paramètres!L39&amp;Paramètres!N39="",Dossiers!$D$59,MAX(IF(Paramètres!J39="",0,IF(Paramètres!K39="",NA(),IF(LEFT(TRIM(Paramètres!K39),1)="F",INDEX($F$2975:$F$3027,MATCH(Paramètres!J39,Paramètres!$G$5:$G$57,0)),INDEX($E$2975:$E$3027,MATCH(Paramètres!J39,Paramètres!$G$5:$G$57,0)))+IF(RIGHT(TRIM(Paramètres!K39),3)="Fin",1-$H3009,IF(LEFT(TRIM(Paramètres!K39),1)="F",1,0)))),IF(Paramètres!L39="",0,IF(Paramètres!M39="",NA(),IF(LEFT(TRIM(Paramètres!M39),1)="F",INDEX($F$2975:$F$3027,MATCH(Paramètres!L39,Paramètres!$G$5:$G$57,0)),INDEX($E$2975:$E$3027,MATCH(Paramètres!L39,Paramètres!$G$5:$G$57,0)))+IF(RIGHT(TRIM(Paramètres!M39),3)="Fin",1-$H3009,IF(LEFT(TRIM(Paramètres!M39),1)="F",1,0)))),IF(Paramètres!N39="",0,IF(Paramètres!O39="",NA(),IF(LEFT(TRIM(Paramètres!O39),1)="F",INDEX($F$2975:$F$3027,MATCH(Paramètres!N39,Paramètres!$G$5:$G$57,0)),INDEX($E$2975:$E$3027,MATCH(Paramètres!N39,Paramètres!$G$5:$G$57,0)))+IF(RIGHT(TRIM(Paramètres!O39),3)="Fin",1-$H3009,IF(LEFT(TRIM(Paramètres!O39),1)="F",1,0)))))))</f>
        <v/>
      </c>
      <c r="F3009" s="19">
        <f>IF($A3009="","",E3009+$H3009-1)</f>
        <v/>
      </c>
      <c r="G3009" s="18" t="n"/>
      <c r="H3009" s="18">
        <f>IF($A3009="","",IF(I3009&lt;&gt;"",I3009,Paramètres!B39))</f>
        <v/>
      </c>
      <c r="I3009" s="18" t="n"/>
    </row>
    <row r="3010">
      <c r="A3010" s="18">
        <f>IF(ISNUMBER(Dossiers!$D$59),Dossiers!$A$59&amp;" · "&amp;Dossiers!$B$59,"")</f>
        <v/>
      </c>
      <c r="B3010" s="18">
        <f>IF($A3010="","",Paramètres!G40)</f>
        <v/>
      </c>
      <c r="C3010" s="18">
        <f>IF($A3010="","",IF(Paramètres!H40="","",Paramètres!H40))</f>
        <v/>
      </c>
      <c r="D3010" s="18">
        <f>IF($A3010="","",IF(Paramètres!I40="","",Paramètres!I40))</f>
        <v/>
      </c>
      <c r="E3010" s="19">
        <f>IF($A3010="","",IF(Paramètres!J40&amp;Paramètres!L40&amp;Paramètres!N40="",Dossiers!$D$59,MAX(IF(Paramètres!J40="",0,IF(Paramètres!K40="",NA(),IF(LEFT(TRIM(Paramètres!K40),1)="F",INDEX($F$2975:$F$3027,MATCH(Paramètres!J40,Paramètres!$G$5:$G$57,0)),INDEX($E$2975:$E$3027,MATCH(Paramètres!J40,Paramètres!$G$5:$G$57,0)))+IF(RIGHT(TRIM(Paramètres!K40),3)="Fin",1-$H3010,IF(LEFT(TRIM(Paramètres!K40),1)="F",1,0)))),IF(Paramètres!L40="",0,IF(Paramètres!M40="",NA(),IF(LEFT(TRIM(Paramètres!M40),1)="F",INDEX($F$2975:$F$3027,MATCH(Paramètres!L40,Paramètres!$G$5:$G$57,0)),INDEX($E$2975:$E$3027,MATCH(Paramètres!L40,Paramètres!$G$5:$G$57,0)))+IF(RIGHT(TRIM(Paramètres!M40),3)="Fin",1-$H3010,IF(LEFT(TRIM(Paramètres!M40),1)="F",1,0)))),IF(Paramètres!N40="",0,IF(Paramètres!O40="",NA(),IF(LEFT(TRIM(Paramètres!O40),1)="F",INDEX($F$2975:$F$3027,MATCH(Paramètres!N40,Paramètres!$G$5:$G$57,0)),INDEX($E$2975:$E$3027,MATCH(Paramètres!N40,Paramètres!$G$5:$G$57,0)))+IF(RIGHT(TRIM(Paramètres!O40),3)="Fin",1-$H3010,IF(LEFT(TRIM(Paramètres!O40),1)="F",1,0)))))))</f>
        <v/>
      </c>
      <c r="F3010" s="19">
        <f>IF($A3010="","",E3010+$H3010-1)</f>
        <v/>
      </c>
      <c r="G3010" s="18" t="n"/>
      <c r="H3010" s="18">
        <f>IF($A3010="","",IF(I3010&lt;&gt;"",I3010,Paramètres!B40))</f>
        <v/>
      </c>
      <c r="I3010" s="18" t="n"/>
    </row>
    <row r="3011">
      <c r="A3011" s="18">
        <f>IF(ISNUMBER(Dossiers!$D$59),Dossiers!$A$59&amp;" · "&amp;Dossiers!$B$59,"")</f>
        <v/>
      </c>
      <c r="B3011" s="18">
        <f>IF($A3011="","",Paramètres!G41)</f>
        <v/>
      </c>
      <c r="C3011" s="18">
        <f>IF($A3011="","",IF(Paramètres!H41="","",Paramètres!H41))</f>
        <v/>
      </c>
      <c r="D3011" s="18">
        <f>IF($A3011="","",IF(Paramètres!I41="","",Paramètres!I41))</f>
        <v/>
      </c>
      <c r="E3011" s="19">
        <f>IF($A3011="","",IF(Paramètres!J41&amp;Paramètres!L41&amp;Paramètres!N41="",Dossiers!$D$59,MAX(IF(Paramètres!J41="",0,IF(Paramètres!K41="",NA(),IF(LEFT(TRIM(Paramètres!K41),1)="F",INDEX($F$2975:$F$3027,MATCH(Paramètres!J41,Paramètres!$G$5:$G$57,0)),INDEX($E$2975:$E$3027,MATCH(Paramètres!J41,Paramètres!$G$5:$G$57,0)))+IF(RIGHT(TRIM(Paramètres!K41),3)="Fin",1-$H3011,IF(LEFT(TRIM(Paramètres!K41),1)="F",1,0)))),IF(Paramètres!L41="",0,IF(Paramètres!M41="",NA(),IF(LEFT(TRIM(Paramètres!M41),1)="F",INDEX($F$2975:$F$3027,MATCH(Paramètres!L41,Paramètres!$G$5:$G$57,0)),INDEX($E$2975:$E$3027,MATCH(Paramètres!L41,Paramètres!$G$5:$G$57,0)))+IF(RIGHT(TRIM(Paramètres!M41),3)="Fin",1-$H3011,IF(LEFT(TRIM(Paramètres!M41),1)="F",1,0)))),IF(Paramètres!N41="",0,IF(Paramètres!O41="",NA(),IF(LEFT(TRIM(Paramètres!O41),1)="F",INDEX($F$2975:$F$3027,MATCH(Paramètres!N41,Paramètres!$G$5:$G$57,0)),INDEX($E$2975:$E$3027,MATCH(Paramètres!N41,Paramètres!$G$5:$G$57,0)))+IF(RIGHT(TRIM(Paramètres!O41),3)="Fin",1-$H3011,IF(LEFT(TRIM(Paramètres!O41),1)="F",1,0)))))))</f>
        <v/>
      </c>
      <c r="F3011" s="19">
        <f>IF($A3011="","",E3011+$H3011-1)</f>
        <v/>
      </c>
      <c r="G3011" s="18" t="n"/>
      <c r="H3011" s="18">
        <f>IF($A3011="","",IF(I3011&lt;&gt;"",I3011,Paramètres!B41))</f>
        <v/>
      </c>
      <c r="I3011" s="18" t="n"/>
    </row>
    <row r="3012">
      <c r="A3012" s="18">
        <f>IF(ISNUMBER(Dossiers!$D$59),Dossiers!$A$59&amp;" · "&amp;Dossiers!$B$59,"")</f>
        <v/>
      </c>
      <c r="B3012" s="18">
        <f>IF($A3012="","",Paramètres!G42)</f>
        <v/>
      </c>
      <c r="C3012" s="18">
        <f>IF($A3012="","",IF(Paramètres!H42="","",Paramètres!H42))</f>
        <v/>
      </c>
      <c r="D3012" s="18">
        <f>IF($A3012="","",IF(Paramètres!I42="","",Paramètres!I42))</f>
        <v/>
      </c>
      <c r="E3012" s="19">
        <f>IF($A3012="","",IF(Paramètres!J42&amp;Paramètres!L42&amp;Paramètres!N42="",Dossiers!$D$59,MAX(IF(Paramètres!J42="",0,IF(Paramètres!K42="",NA(),IF(LEFT(TRIM(Paramètres!K42),1)="F",INDEX($F$2975:$F$3027,MATCH(Paramètres!J42,Paramètres!$G$5:$G$57,0)),INDEX($E$2975:$E$3027,MATCH(Paramètres!J42,Paramètres!$G$5:$G$57,0)))+IF(RIGHT(TRIM(Paramètres!K42),3)="Fin",1-$H3012,IF(LEFT(TRIM(Paramètres!K42),1)="F",1,0)))),IF(Paramètres!L42="",0,IF(Paramètres!M42="",NA(),IF(LEFT(TRIM(Paramètres!M42),1)="F",INDEX($F$2975:$F$3027,MATCH(Paramètres!L42,Paramètres!$G$5:$G$57,0)),INDEX($E$2975:$E$3027,MATCH(Paramètres!L42,Paramètres!$G$5:$G$57,0)))+IF(RIGHT(TRIM(Paramètres!M42),3)="Fin",1-$H3012,IF(LEFT(TRIM(Paramètres!M42),1)="F",1,0)))),IF(Paramètres!N42="",0,IF(Paramètres!O42="",NA(),IF(LEFT(TRIM(Paramètres!O42),1)="F",INDEX($F$2975:$F$3027,MATCH(Paramètres!N42,Paramètres!$G$5:$G$57,0)),INDEX($E$2975:$E$3027,MATCH(Paramètres!N42,Paramètres!$G$5:$G$57,0)))+IF(RIGHT(TRIM(Paramètres!O42),3)="Fin",1-$H3012,IF(LEFT(TRIM(Paramètres!O42),1)="F",1,0)))))))</f>
        <v/>
      </c>
      <c r="F3012" s="19">
        <f>IF($A3012="","",E3012+$H3012-1)</f>
        <v/>
      </c>
      <c r="G3012" s="18" t="n"/>
      <c r="H3012" s="18">
        <f>IF($A3012="","",IF(I3012&lt;&gt;"",I3012,Paramètres!B42))</f>
        <v/>
      </c>
      <c r="I3012" s="18" t="n"/>
    </row>
    <row r="3013">
      <c r="A3013" s="18">
        <f>IF(ISNUMBER(Dossiers!$D$59),Dossiers!$A$59&amp;" · "&amp;Dossiers!$B$59,"")</f>
        <v/>
      </c>
      <c r="B3013" s="18">
        <f>IF($A3013="","",Paramètres!G43)</f>
        <v/>
      </c>
      <c r="C3013" s="18">
        <f>IF($A3013="","",IF(Paramètres!H43="","",Paramètres!H43))</f>
        <v/>
      </c>
      <c r="D3013" s="18">
        <f>IF($A3013="","",IF(Paramètres!I43="","",Paramètres!I43))</f>
        <v/>
      </c>
      <c r="E3013" s="19">
        <f>IF($A3013="","",IF(Paramètres!J43&amp;Paramètres!L43&amp;Paramètres!N43="",Dossiers!$D$59,MAX(IF(Paramètres!J43="",0,IF(Paramètres!K43="",NA(),IF(LEFT(TRIM(Paramètres!K43),1)="F",INDEX($F$2975:$F$3027,MATCH(Paramètres!J43,Paramètres!$G$5:$G$57,0)),INDEX($E$2975:$E$3027,MATCH(Paramètres!J43,Paramètres!$G$5:$G$57,0)))+IF(RIGHT(TRIM(Paramètres!K43),3)="Fin",1-$H3013,IF(LEFT(TRIM(Paramètres!K43),1)="F",1,0)))),IF(Paramètres!L43="",0,IF(Paramètres!M43="",NA(),IF(LEFT(TRIM(Paramètres!M43),1)="F",INDEX($F$2975:$F$3027,MATCH(Paramètres!L43,Paramètres!$G$5:$G$57,0)),INDEX($E$2975:$E$3027,MATCH(Paramètres!L43,Paramètres!$G$5:$G$57,0)))+IF(RIGHT(TRIM(Paramètres!M43),3)="Fin",1-$H3013,IF(LEFT(TRIM(Paramètres!M43),1)="F",1,0)))),IF(Paramètres!N43="",0,IF(Paramètres!O43="",NA(),IF(LEFT(TRIM(Paramètres!O43),1)="F",INDEX($F$2975:$F$3027,MATCH(Paramètres!N43,Paramètres!$G$5:$G$57,0)),INDEX($E$2975:$E$3027,MATCH(Paramètres!N43,Paramètres!$G$5:$G$57,0)))+IF(RIGHT(TRIM(Paramètres!O43),3)="Fin",1-$H3013,IF(LEFT(TRIM(Paramètres!O43),1)="F",1,0)))))))</f>
        <v/>
      </c>
      <c r="F3013" s="19">
        <f>IF($A3013="","",E3013+$H3013-1)</f>
        <v/>
      </c>
      <c r="G3013" s="18" t="n"/>
      <c r="H3013" s="18">
        <f>IF($A3013="","",IF(I3013&lt;&gt;"",I3013,Paramètres!B43))</f>
        <v/>
      </c>
      <c r="I3013" s="18" t="n"/>
    </row>
    <row r="3014">
      <c r="A3014" s="18">
        <f>IF(ISNUMBER(Dossiers!$D$59),Dossiers!$A$59&amp;" · "&amp;Dossiers!$B$59,"")</f>
        <v/>
      </c>
      <c r="B3014" s="18">
        <f>IF($A3014="","",Paramètres!G44)</f>
        <v/>
      </c>
      <c r="C3014" s="18">
        <f>IF($A3014="","",IF(Paramètres!H44="","",Paramètres!H44))</f>
        <v/>
      </c>
      <c r="D3014" s="18">
        <f>IF($A3014="","",IF(Paramètres!I44="","",Paramètres!I44))</f>
        <v/>
      </c>
      <c r="E3014" s="19">
        <f>IF($A3014="","",IF(Paramètres!J44&amp;Paramètres!L44&amp;Paramètres!N44="",Dossiers!$D$59,MAX(IF(Paramètres!J44="",0,IF(Paramètres!K44="",NA(),IF(LEFT(TRIM(Paramètres!K44),1)="F",INDEX($F$2975:$F$3027,MATCH(Paramètres!J44,Paramètres!$G$5:$G$57,0)),INDEX($E$2975:$E$3027,MATCH(Paramètres!J44,Paramètres!$G$5:$G$57,0)))+IF(RIGHT(TRIM(Paramètres!K44),3)="Fin",1-$H3014,IF(LEFT(TRIM(Paramètres!K44),1)="F",1,0)))),IF(Paramètres!L44="",0,IF(Paramètres!M44="",NA(),IF(LEFT(TRIM(Paramètres!M44),1)="F",INDEX($F$2975:$F$3027,MATCH(Paramètres!L44,Paramètres!$G$5:$G$57,0)),INDEX($E$2975:$E$3027,MATCH(Paramètres!L44,Paramètres!$G$5:$G$57,0)))+IF(RIGHT(TRIM(Paramètres!M44),3)="Fin",1-$H3014,IF(LEFT(TRIM(Paramètres!M44),1)="F",1,0)))),IF(Paramètres!N44="",0,IF(Paramètres!O44="",NA(),IF(LEFT(TRIM(Paramètres!O44),1)="F",INDEX($F$2975:$F$3027,MATCH(Paramètres!N44,Paramètres!$G$5:$G$57,0)),INDEX($E$2975:$E$3027,MATCH(Paramètres!N44,Paramètres!$G$5:$G$57,0)))+IF(RIGHT(TRIM(Paramètres!O44),3)="Fin",1-$H3014,IF(LEFT(TRIM(Paramètres!O44),1)="F",1,0)))))))</f>
        <v/>
      </c>
      <c r="F3014" s="19">
        <f>IF($A3014="","",E3014+$H3014-1)</f>
        <v/>
      </c>
      <c r="G3014" s="18" t="n"/>
      <c r="H3014" s="18">
        <f>IF($A3014="","",IF(I3014&lt;&gt;"",I3014,Paramètres!B44))</f>
        <v/>
      </c>
      <c r="I3014" s="18" t="n"/>
    </row>
    <row r="3015">
      <c r="A3015" s="18">
        <f>IF(ISNUMBER(Dossiers!$D$59),Dossiers!$A$59&amp;" · "&amp;Dossiers!$B$59,"")</f>
        <v/>
      </c>
      <c r="B3015" s="18">
        <f>IF($A3015="","",Paramètres!G45)</f>
        <v/>
      </c>
      <c r="C3015" s="20">
        <f>IF($A3015="","",IF(Dossiers!$G$59="","",Dossiers!$G$59))</f>
        <v/>
      </c>
      <c r="D3015" s="18">
        <f>IF($A3015="","",IF(Paramètres!I45="","",Paramètres!I45))</f>
        <v/>
      </c>
      <c r="E3015" s="19">
        <f>IF($A3015="","",IF(Paramètres!J45&amp;Paramètres!L45&amp;Paramètres!N45="",Dossiers!$D$59,MAX(IF(Paramètres!J45="",0,IF(Paramètres!K45="",NA(),IF(LEFT(TRIM(Paramètres!K45),1)="F",INDEX($F$2975:$F$3027,MATCH(Paramètres!J45,Paramètres!$G$5:$G$57,0)),INDEX($E$2975:$E$3027,MATCH(Paramètres!J45,Paramètres!$G$5:$G$57,0)))+IF(RIGHT(TRIM(Paramètres!K45),3)="Fin",1-$H3015,IF(LEFT(TRIM(Paramètres!K45),1)="F",1,0)))),IF(Paramètres!L45="",0,IF(Paramètres!M45="",NA(),IF(LEFT(TRIM(Paramètres!M45),1)="F",INDEX($F$2975:$F$3027,MATCH(Paramètres!L45,Paramètres!$G$5:$G$57,0)),INDEX($E$2975:$E$3027,MATCH(Paramètres!L45,Paramètres!$G$5:$G$57,0)))+IF(RIGHT(TRIM(Paramètres!M45),3)="Fin",1-$H3015,IF(LEFT(TRIM(Paramètres!M45),1)="F",1,0)))),IF(Paramètres!N45="",0,IF(Paramètres!O45="",NA(),IF(LEFT(TRIM(Paramètres!O45),1)="F",INDEX($F$2975:$F$3027,MATCH(Paramètres!N45,Paramètres!$G$5:$G$57,0)),INDEX($E$2975:$E$3027,MATCH(Paramètres!N45,Paramètres!$G$5:$G$57,0)))+IF(RIGHT(TRIM(Paramètres!O45),3)="Fin",1-$H3015,IF(LEFT(TRIM(Paramètres!O45),1)="F",1,0)))))))</f>
        <v/>
      </c>
      <c r="F3015" s="19">
        <f>IF($A3015="","",E3015+$H3015-1)</f>
        <v/>
      </c>
      <c r="G3015" s="18" t="n"/>
      <c r="H3015" s="18">
        <f>IF($A3015="","",IF(I3015&lt;&gt;"",I3015,Paramètres!B45))</f>
        <v/>
      </c>
      <c r="I3015" s="18" t="n"/>
    </row>
    <row r="3016">
      <c r="A3016" s="18">
        <f>IF(ISNUMBER(Dossiers!$D$59),Dossiers!$A$59&amp;" · "&amp;Dossiers!$B$59,"")</f>
        <v/>
      </c>
      <c r="B3016" s="18">
        <f>IF($A3016="","",Paramètres!G46)</f>
        <v/>
      </c>
      <c r="C3016" s="18">
        <f>IF($A3016="","",IF(Paramètres!H46="","",Paramètres!H46))</f>
        <v/>
      </c>
      <c r="D3016" s="18">
        <f>IF($A3016="","",IF(Paramètres!I46="","",Paramètres!I46))</f>
        <v/>
      </c>
      <c r="E3016" s="19">
        <f>IF($A3016="","",IF(Paramètres!J46&amp;Paramètres!L46&amp;Paramètres!N46="",Dossiers!$D$59,MAX(IF(Paramètres!J46="",0,IF(Paramètres!K46="",NA(),IF(LEFT(TRIM(Paramètres!K46),1)="F",INDEX($F$2975:$F$3027,MATCH(Paramètres!J46,Paramètres!$G$5:$G$57,0)),INDEX($E$2975:$E$3027,MATCH(Paramètres!J46,Paramètres!$G$5:$G$57,0)))+IF(RIGHT(TRIM(Paramètres!K46),3)="Fin",1-$H3016,IF(LEFT(TRIM(Paramètres!K46),1)="F",1,0)))),IF(Paramètres!L46="",0,IF(Paramètres!M46="",NA(),IF(LEFT(TRIM(Paramètres!M46),1)="F",INDEX($F$2975:$F$3027,MATCH(Paramètres!L46,Paramètres!$G$5:$G$57,0)),INDEX($E$2975:$E$3027,MATCH(Paramètres!L46,Paramètres!$G$5:$G$57,0)))+IF(RIGHT(TRIM(Paramètres!M46),3)="Fin",1-$H3016,IF(LEFT(TRIM(Paramètres!M46),1)="F",1,0)))),IF(Paramètres!N46="",0,IF(Paramètres!O46="",NA(),IF(LEFT(TRIM(Paramètres!O46),1)="F",INDEX($F$2975:$F$3027,MATCH(Paramètres!N46,Paramètres!$G$5:$G$57,0)),INDEX($E$2975:$E$3027,MATCH(Paramètres!N46,Paramètres!$G$5:$G$57,0)))+IF(RIGHT(TRIM(Paramètres!O46),3)="Fin",1-$H3016,IF(LEFT(TRIM(Paramètres!O46),1)="F",1,0)))))))</f>
        <v/>
      </c>
      <c r="F3016" s="19">
        <f>IF($A3016="","",E3016+$H3016-1)</f>
        <v/>
      </c>
      <c r="G3016" s="18" t="n"/>
      <c r="H3016" s="18">
        <f>IF($A3016="","",IF(I3016&lt;&gt;"",I3016,Paramètres!B46))</f>
        <v/>
      </c>
      <c r="I3016" s="18" t="n"/>
    </row>
    <row r="3017">
      <c r="A3017" s="18">
        <f>IF(ISNUMBER(Dossiers!$D$59),Dossiers!$A$59&amp;" · "&amp;Dossiers!$B$59,"")</f>
        <v/>
      </c>
      <c r="B3017" s="18">
        <f>IF($A3017="","",Paramètres!G47)</f>
        <v/>
      </c>
      <c r="C3017" s="18">
        <f>IF($A3017="","",IF(Paramètres!H47="","",Paramètres!H47))</f>
        <v/>
      </c>
      <c r="D3017" s="18">
        <f>IF($A3017="","",IF(Paramètres!I47="","",Paramètres!I47))</f>
        <v/>
      </c>
      <c r="E3017" s="19">
        <f>IF($A3017="","",IF(Paramètres!J47&amp;Paramètres!L47&amp;Paramètres!N47="",Dossiers!$D$59,MAX(IF(Paramètres!J47="",0,IF(Paramètres!K47="",NA(),IF(LEFT(TRIM(Paramètres!K47),1)="F",INDEX($F$2975:$F$3027,MATCH(Paramètres!J47,Paramètres!$G$5:$G$57,0)),INDEX($E$2975:$E$3027,MATCH(Paramètres!J47,Paramètres!$G$5:$G$57,0)))+IF(RIGHT(TRIM(Paramètres!K47),3)="Fin",1-$H3017,IF(LEFT(TRIM(Paramètres!K47),1)="F",1,0)))),IF(Paramètres!L47="",0,IF(Paramètres!M47="",NA(),IF(LEFT(TRIM(Paramètres!M47),1)="F",INDEX($F$2975:$F$3027,MATCH(Paramètres!L47,Paramètres!$G$5:$G$57,0)),INDEX($E$2975:$E$3027,MATCH(Paramètres!L47,Paramètres!$G$5:$G$57,0)))+IF(RIGHT(TRIM(Paramètres!M47),3)="Fin",1-$H3017,IF(LEFT(TRIM(Paramètres!M47),1)="F",1,0)))),IF(Paramètres!N47="",0,IF(Paramètres!O47="",NA(),IF(LEFT(TRIM(Paramètres!O47),1)="F",INDEX($F$2975:$F$3027,MATCH(Paramètres!N47,Paramètres!$G$5:$G$57,0)),INDEX($E$2975:$E$3027,MATCH(Paramètres!N47,Paramètres!$G$5:$G$57,0)))+IF(RIGHT(TRIM(Paramètres!O47),3)="Fin",1-$H3017,IF(LEFT(TRIM(Paramètres!O47),1)="F",1,0)))))))</f>
        <v/>
      </c>
      <c r="F3017" s="19">
        <f>IF($A3017="","",E3017+$H3017-1)</f>
        <v/>
      </c>
      <c r="G3017" s="18" t="n"/>
      <c r="H3017" s="18">
        <f>IF($A3017="","",IF(I3017&lt;&gt;"",I3017,Paramètres!B47))</f>
        <v/>
      </c>
      <c r="I3017" s="18" t="n"/>
    </row>
    <row r="3018">
      <c r="A3018" s="18">
        <f>IF(ISNUMBER(Dossiers!$D$59),Dossiers!$A$59&amp;" · "&amp;Dossiers!$B$59,"")</f>
        <v/>
      </c>
      <c r="B3018" s="18">
        <f>IF($A3018="","",Paramètres!G48)</f>
        <v/>
      </c>
      <c r="C3018" s="18">
        <f>IF($A3018="","",IF(Paramètres!H48="","",Paramètres!H48))</f>
        <v/>
      </c>
      <c r="D3018" s="18">
        <f>IF($A3018="","",IF(Paramètres!I48="","",Paramètres!I48))</f>
        <v/>
      </c>
      <c r="E3018" s="19">
        <f>IF($A3018="","",IF(Paramètres!J48&amp;Paramètres!L48&amp;Paramètres!N48="",Dossiers!$D$59,MAX(IF(Paramètres!J48="",0,IF(Paramètres!K48="",NA(),IF(LEFT(TRIM(Paramètres!K48),1)="F",INDEX($F$2975:$F$3027,MATCH(Paramètres!J48,Paramètres!$G$5:$G$57,0)),INDEX($E$2975:$E$3027,MATCH(Paramètres!J48,Paramètres!$G$5:$G$57,0)))+IF(RIGHT(TRIM(Paramètres!K48),3)="Fin",1-$H3018,IF(LEFT(TRIM(Paramètres!K48),1)="F",1,0)))),IF(Paramètres!L48="",0,IF(Paramètres!M48="",NA(),IF(LEFT(TRIM(Paramètres!M48),1)="F",INDEX($F$2975:$F$3027,MATCH(Paramètres!L48,Paramètres!$G$5:$G$57,0)),INDEX($E$2975:$E$3027,MATCH(Paramètres!L48,Paramètres!$G$5:$G$57,0)))+IF(RIGHT(TRIM(Paramètres!M48),3)="Fin",1-$H3018,IF(LEFT(TRIM(Paramètres!M48),1)="F",1,0)))),IF(Paramètres!N48="",0,IF(Paramètres!O48="",NA(),IF(LEFT(TRIM(Paramètres!O48),1)="F",INDEX($F$2975:$F$3027,MATCH(Paramètres!N48,Paramètres!$G$5:$G$57,0)),INDEX($E$2975:$E$3027,MATCH(Paramètres!N48,Paramètres!$G$5:$G$57,0)))+IF(RIGHT(TRIM(Paramètres!O48),3)="Fin",1-$H3018,IF(LEFT(TRIM(Paramètres!O48),1)="F",1,0)))))))</f>
        <v/>
      </c>
      <c r="F3018" s="19">
        <f>IF($A3018="","",E3018+$H3018-1)</f>
        <v/>
      </c>
      <c r="G3018" s="18" t="n"/>
      <c r="H3018" s="18">
        <f>IF($A3018="","",IF(I3018&lt;&gt;"",I3018,Paramètres!B48))</f>
        <v/>
      </c>
      <c r="I3018" s="18" t="n"/>
    </row>
    <row r="3019">
      <c r="A3019" s="18">
        <f>IF(ISNUMBER(Dossiers!$D$59),Dossiers!$A$59&amp;" · "&amp;Dossiers!$B$59,"")</f>
        <v/>
      </c>
      <c r="B3019" s="18">
        <f>IF($A3019="","",Paramètres!G49)</f>
        <v/>
      </c>
      <c r="C3019" s="18">
        <f>IF($A3019="","",IF(Paramètres!H49="","",Paramètres!H49))</f>
        <v/>
      </c>
      <c r="D3019" s="18">
        <f>IF($A3019="","",IF(Paramètres!I49="","",Paramètres!I49))</f>
        <v/>
      </c>
      <c r="E3019" s="19">
        <f>IF($A3019="","",IF(Paramètres!J49&amp;Paramètres!L49&amp;Paramètres!N49="",Dossiers!$D$59,MAX(IF(Paramètres!J49="",0,IF(Paramètres!K49="",NA(),IF(LEFT(TRIM(Paramètres!K49),1)="F",INDEX($F$2975:$F$3027,MATCH(Paramètres!J49,Paramètres!$G$5:$G$57,0)),INDEX($E$2975:$E$3027,MATCH(Paramètres!J49,Paramètres!$G$5:$G$57,0)))+IF(RIGHT(TRIM(Paramètres!K49),3)="Fin",1-$H3019,IF(LEFT(TRIM(Paramètres!K49),1)="F",1,0)))),IF(Paramètres!L49="",0,IF(Paramètres!M49="",NA(),IF(LEFT(TRIM(Paramètres!M49),1)="F",INDEX($F$2975:$F$3027,MATCH(Paramètres!L49,Paramètres!$G$5:$G$57,0)),INDEX($E$2975:$E$3027,MATCH(Paramètres!L49,Paramètres!$G$5:$G$57,0)))+IF(RIGHT(TRIM(Paramètres!M49),3)="Fin",1-$H3019,IF(LEFT(TRIM(Paramètres!M49),1)="F",1,0)))),IF(Paramètres!N49="",0,IF(Paramètres!O49="",NA(),IF(LEFT(TRIM(Paramètres!O49),1)="F",INDEX($F$2975:$F$3027,MATCH(Paramètres!N49,Paramètres!$G$5:$G$57,0)),INDEX($E$2975:$E$3027,MATCH(Paramètres!N49,Paramètres!$G$5:$G$57,0)))+IF(RIGHT(TRIM(Paramètres!O49),3)="Fin",1-$H3019,IF(LEFT(TRIM(Paramètres!O49),1)="F",1,0)))))))</f>
        <v/>
      </c>
      <c r="F3019" s="19">
        <f>IF($A3019="","",E3019+$H3019-1)</f>
        <v/>
      </c>
      <c r="G3019" s="18" t="n"/>
      <c r="H3019" s="18">
        <f>IF($A3019="","",IF(I3019&lt;&gt;"",I3019,Paramètres!B49))</f>
        <v/>
      </c>
      <c r="I3019" s="18" t="n"/>
    </row>
    <row r="3020">
      <c r="A3020" s="18">
        <f>IF(ISNUMBER(Dossiers!$D$59),Dossiers!$A$59&amp;" · "&amp;Dossiers!$B$59,"")</f>
        <v/>
      </c>
      <c r="B3020" s="18">
        <f>IF($A3020="","",Paramètres!G50)</f>
        <v/>
      </c>
      <c r="C3020" s="18">
        <f>IF($A3020="","",IF(Paramètres!H50="","",Paramètres!H50))</f>
        <v/>
      </c>
      <c r="D3020" s="18">
        <f>IF($A3020="","",IF(Paramètres!I50="","",Paramètres!I50))</f>
        <v/>
      </c>
      <c r="E3020" s="19">
        <f>IF($A3020="","",IF(Paramètres!J50&amp;Paramètres!L50&amp;Paramètres!N50="",Dossiers!$D$59,MAX(IF(Paramètres!J50="",0,IF(Paramètres!K50="",NA(),IF(LEFT(TRIM(Paramètres!K50),1)="F",INDEX($F$2975:$F$3027,MATCH(Paramètres!J50,Paramètres!$G$5:$G$57,0)),INDEX($E$2975:$E$3027,MATCH(Paramètres!J50,Paramètres!$G$5:$G$57,0)))+IF(RIGHT(TRIM(Paramètres!K50),3)="Fin",1-$H3020,IF(LEFT(TRIM(Paramètres!K50),1)="F",1,0)))),IF(Paramètres!L50="",0,IF(Paramètres!M50="",NA(),IF(LEFT(TRIM(Paramètres!M50),1)="F",INDEX($F$2975:$F$3027,MATCH(Paramètres!L50,Paramètres!$G$5:$G$57,0)),INDEX($E$2975:$E$3027,MATCH(Paramètres!L50,Paramètres!$G$5:$G$57,0)))+IF(RIGHT(TRIM(Paramètres!M50),3)="Fin",1-$H3020,IF(LEFT(TRIM(Paramètres!M50),1)="F",1,0)))),IF(Paramètres!N50="",0,IF(Paramètres!O50="",NA(),IF(LEFT(TRIM(Paramètres!O50),1)="F",INDEX($F$2975:$F$3027,MATCH(Paramètres!N50,Paramètres!$G$5:$G$57,0)),INDEX($E$2975:$E$3027,MATCH(Paramètres!N50,Paramètres!$G$5:$G$57,0)))+IF(RIGHT(TRIM(Paramètres!O50),3)="Fin",1-$H3020,IF(LEFT(TRIM(Paramètres!O50),1)="F",1,0)))))))</f>
        <v/>
      </c>
      <c r="F3020" s="19">
        <f>IF($A3020="","",E3020+$H3020-1)</f>
        <v/>
      </c>
      <c r="G3020" s="18" t="n"/>
      <c r="H3020" s="18">
        <f>IF($A3020="","",IF(I3020&lt;&gt;"",I3020,Paramètres!B50))</f>
        <v/>
      </c>
      <c r="I3020" s="18" t="n"/>
    </row>
    <row r="3021">
      <c r="A3021" s="18">
        <f>IF(ISNUMBER(Dossiers!$D$59),Dossiers!$A$59&amp;" · "&amp;Dossiers!$B$59,"")</f>
        <v/>
      </c>
      <c r="B3021" s="18">
        <f>IF($A3021="","",Paramètres!G51)</f>
        <v/>
      </c>
      <c r="C3021" s="18">
        <f>IF($A3021="","",IF(Paramètres!H51="","",Paramètres!H51))</f>
        <v/>
      </c>
      <c r="D3021" s="18">
        <f>IF($A3021="","",IF(Paramètres!I51="","",Paramètres!I51))</f>
        <v/>
      </c>
      <c r="E3021" s="19">
        <f>IF($A3021="","",IF(Paramètres!J51&amp;Paramètres!L51&amp;Paramètres!N51="",Dossiers!$D$59,MAX(IF(Paramètres!J51="",0,IF(Paramètres!K51="",NA(),IF(LEFT(TRIM(Paramètres!K51),1)="F",INDEX($F$2975:$F$3027,MATCH(Paramètres!J51,Paramètres!$G$5:$G$57,0)),INDEX($E$2975:$E$3027,MATCH(Paramètres!J51,Paramètres!$G$5:$G$57,0)))+IF(RIGHT(TRIM(Paramètres!K51),3)="Fin",1-$H3021,IF(LEFT(TRIM(Paramètres!K51),1)="F",1,0)))),IF(Paramètres!L51="",0,IF(Paramètres!M51="",NA(),IF(LEFT(TRIM(Paramètres!M51),1)="F",INDEX($F$2975:$F$3027,MATCH(Paramètres!L51,Paramètres!$G$5:$G$57,0)),INDEX($E$2975:$E$3027,MATCH(Paramètres!L51,Paramètres!$G$5:$G$57,0)))+IF(RIGHT(TRIM(Paramètres!M51),3)="Fin",1-$H3021,IF(LEFT(TRIM(Paramètres!M51),1)="F",1,0)))),IF(Paramètres!N51="",0,IF(Paramètres!O51="",NA(),IF(LEFT(TRIM(Paramètres!O51),1)="F",INDEX($F$2975:$F$3027,MATCH(Paramètres!N51,Paramètres!$G$5:$G$57,0)),INDEX($E$2975:$E$3027,MATCH(Paramètres!N51,Paramètres!$G$5:$G$57,0)))+IF(RIGHT(TRIM(Paramètres!O51),3)="Fin",1-$H3021,IF(LEFT(TRIM(Paramètres!O51),1)="F",1,0)))))))</f>
        <v/>
      </c>
      <c r="F3021" s="19">
        <f>IF($A3021="","",E3021+$H3021-1)</f>
        <v/>
      </c>
      <c r="G3021" s="18" t="n"/>
      <c r="H3021" s="18">
        <f>IF($A3021="","",IF(I3021&lt;&gt;"",I3021,Paramètres!B51))</f>
        <v/>
      </c>
      <c r="I3021" s="18" t="n"/>
    </row>
    <row r="3022">
      <c r="A3022" s="18">
        <f>IF(ISNUMBER(Dossiers!$D$59),Dossiers!$A$59&amp;" · "&amp;Dossiers!$B$59,"")</f>
        <v/>
      </c>
      <c r="B3022" s="18">
        <f>IF($A3022="","",Paramètres!G52)</f>
        <v/>
      </c>
      <c r="C3022" s="18">
        <f>IF($A3022="","",IF(Paramètres!H52="","",Paramètres!H52))</f>
        <v/>
      </c>
      <c r="D3022" s="18">
        <f>IF($A3022="","",IF(Paramètres!I52="","",Paramètres!I52))</f>
        <v/>
      </c>
      <c r="E3022" s="19">
        <f>IF($A3022="","",IF(Paramètres!J52&amp;Paramètres!L52&amp;Paramètres!N52="",Dossiers!$D$59,MAX(IF(Paramètres!J52="",0,IF(Paramètres!K52="",NA(),IF(LEFT(TRIM(Paramètres!K52),1)="F",INDEX($F$2975:$F$3027,MATCH(Paramètres!J52,Paramètres!$G$5:$G$57,0)),INDEX($E$2975:$E$3027,MATCH(Paramètres!J52,Paramètres!$G$5:$G$57,0)))+IF(RIGHT(TRIM(Paramètres!K52),3)="Fin",1-$H3022,IF(LEFT(TRIM(Paramètres!K52),1)="F",1,0)))),IF(Paramètres!L52="",0,IF(Paramètres!M52="",NA(),IF(LEFT(TRIM(Paramètres!M52),1)="F",INDEX($F$2975:$F$3027,MATCH(Paramètres!L52,Paramètres!$G$5:$G$57,0)),INDEX($E$2975:$E$3027,MATCH(Paramètres!L52,Paramètres!$G$5:$G$57,0)))+IF(RIGHT(TRIM(Paramètres!M52),3)="Fin",1-$H3022,IF(LEFT(TRIM(Paramètres!M52),1)="F",1,0)))),IF(Paramètres!N52="",0,IF(Paramètres!O52="",NA(),IF(LEFT(TRIM(Paramètres!O52),1)="F",INDEX($F$2975:$F$3027,MATCH(Paramètres!N52,Paramètres!$G$5:$G$57,0)),INDEX($E$2975:$E$3027,MATCH(Paramètres!N52,Paramètres!$G$5:$G$57,0)))+IF(RIGHT(TRIM(Paramètres!O52),3)="Fin",1-$H3022,IF(LEFT(TRIM(Paramètres!O52),1)="F",1,0)))))))</f>
        <v/>
      </c>
      <c r="F3022" s="19">
        <f>IF($A3022="","",E3022+$H3022-1)</f>
        <v/>
      </c>
      <c r="G3022" s="18" t="n"/>
      <c r="H3022" s="18">
        <f>IF($A3022="","",IF(I3022&lt;&gt;"",I3022,Paramètres!B52))</f>
        <v/>
      </c>
      <c r="I3022" s="18" t="n"/>
    </row>
    <row r="3023">
      <c r="A3023" s="18">
        <f>IF(ISNUMBER(Dossiers!$D$59),Dossiers!$A$59&amp;" · "&amp;Dossiers!$B$59,"")</f>
        <v/>
      </c>
      <c r="B3023" s="18">
        <f>IF($A3023="","",Paramètres!G53)</f>
        <v/>
      </c>
      <c r="C3023" s="18">
        <f>IF($A3023="","",IF(Paramètres!H53="","",Paramètres!H53))</f>
        <v/>
      </c>
      <c r="D3023" s="18">
        <f>IF($A3023="","",IF(Paramètres!I53="","",Paramètres!I53))</f>
        <v/>
      </c>
      <c r="E3023" s="19">
        <f>IF($A3023="","",IF(Paramètres!J53&amp;Paramètres!L53&amp;Paramètres!N53="",Dossiers!$D$59,MAX(IF(Paramètres!J53="",0,IF(Paramètres!K53="",NA(),IF(LEFT(TRIM(Paramètres!K53),1)="F",INDEX($F$2975:$F$3027,MATCH(Paramètres!J53,Paramètres!$G$5:$G$57,0)),INDEX($E$2975:$E$3027,MATCH(Paramètres!J53,Paramètres!$G$5:$G$57,0)))+IF(RIGHT(TRIM(Paramètres!K53),3)="Fin",1-$H3023,IF(LEFT(TRIM(Paramètres!K53),1)="F",1,0)))),IF(Paramètres!L53="",0,IF(Paramètres!M53="",NA(),IF(LEFT(TRIM(Paramètres!M53),1)="F",INDEX($F$2975:$F$3027,MATCH(Paramètres!L53,Paramètres!$G$5:$G$57,0)),INDEX($E$2975:$E$3027,MATCH(Paramètres!L53,Paramètres!$G$5:$G$57,0)))+IF(RIGHT(TRIM(Paramètres!M53),3)="Fin",1-$H3023,IF(LEFT(TRIM(Paramètres!M53),1)="F",1,0)))),IF(Paramètres!N53="",0,IF(Paramètres!O53="",NA(),IF(LEFT(TRIM(Paramètres!O53),1)="F",INDEX($F$2975:$F$3027,MATCH(Paramètres!N53,Paramètres!$G$5:$G$57,0)),INDEX($E$2975:$E$3027,MATCH(Paramètres!N53,Paramètres!$G$5:$G$57,0)))+IF(RIGHT(TRIM(Paramètres!O53),3)="Fin",1-$H3023,IF(LEFT(TRIM(Paramètres!O53),1)="F",1,0)))))))</f>
        <v/>
      </c>
      <c r="F3023" s="19">
        <f>IF($A3023="","",E3023+$H3023-1)</f>
        <v/>
      </c>
      <c r="G3023" s="18" t="n"/>
      <c r="H3023" s="18">
        <f>IF($A3023="","",IF(I3023&lt;&gt;"",I3023,Paramètres!B53))</f>
        <v/>
      </c>
      <c r="I3023" s="18" t="n"/>
    </row>
    <row r="3024">
      <c r="A3024" s="18">
        <f>IF(ISNUMBER(Dossiers!$D$59),Dossiers!$A$59&amp;" · "&amp;Dossiers!$B$59,"")</f>
        <v/>
      </c>
      <c r="B3024" s="18">
        <f>IF($A3024="","",Paramètres!G54)</f>
        <v/>
      </c>
      <c r="C3024" s="18">
        <f>IF($A3024="","",IF(Paramètres!H54="","",Paramètres!H54))</f>
        <v/>
      </c>
      <c r="D3024" s="18">
        <f>IF($A3024="","",IF(Paramètres!I54="","",Paramètres!I54))</f>
        <v/>
      </c>
      <c r="E3024" s="19">
        <f>IF($A3024="","",IF(Paramètres!J54&amp;Paramètres!L54&amp;Paramètres!N54="",Dossiers!$D$59,MAX(IF(Paramètres!J54="",0,IF(Paramètres!K54="",NA(),IF(LEFT(TRIM(Paramètres!K54),1)="F",INDEX($F$2975:$F$3027,MATCH(Paramètres!J54,Paramètres!$G$5:$G$57,0)),INDEX($E$2975:$E$3027,MATCH(Paramètres!J54,Paramètres!$G$5:$G$57,0)))+IF(RIGHT(TRIM(Paramètres!K54),3)="Fin",1-$H3024,IF(LEFT(TRIM(Paramètres!K54),1)="F",1,0)))),IF(Paramètres!L54="",0,IF(Paramètres!M54="",NA(),IF(LEFT(TRIM(Paramètres!M54),1)="F",INDEX($F$2975:$F$3027,MATCH(Paramètres!L54,Paramètres!$G$5:$G$57,0)),INDEX($E$2975:$E$3027,MATCH(Paramètres!L54,Paramètres!$G$5:$G$57,0)))+IF(RIGHT(TRIM(Paramètres!M54),3)="Fin",1-$H3024,IF(LEFT(TRIM(Paramètres!M54),1)="F",1,0)))),IF(Paramètres!N54="",0,IF(Paramètres!O54="",NA(),IF(LEFT(TRIM(Paramètres!O54),1)="F",INDEX($F$2975:$F$3027,MATCH(Paramètres!N54,Paramètres!$G$5:$G$57,0)),INDEX($E$2975:$E$3027,MATCH(Paramètres!N54,Paramètres!$G$5:$G$57,0)))+IF(RIGHT(TRIM(Paramètres!O54),3)="Fin",1-$H3024,IF(LEFT(TRIM(Paramètres!O54),1)="F",1,0)))))))</f>
        <v/>
      </c>
      <c r="F3024" s="19">
        <f>IF($A3024="","",E3024+$H3024-1)</f>
        <v/>
      </c>
      <c r="G3024" s="18" t="n"/>
      <c r="H3024" s="18">
        <f>IF($A3024="","",IF(I3024&lt;&gt;"",I3024,Paramètres!B54))</f>
        <v/>
      </c>
      <c r="I3024" s="18" t="n"/>
    </row>
    <row r="3025">
      <c r="A3025" s="18">
        <f>IF(ISNUMBER(Dossiers!$D$59),Dossiers!$A$59&amp;" · "&amp;Dossiers!$B$59,"")</f>
        <v/>
      </c>
      <c r="B3025" s="18">
        <f>IF($A3025="","",Paramètres!G55)</f>
        <v/>
      </c>
      <c r="C3025" s="18">
        <f>IF($A3025="","",IF(Paramètres!H55="","",Paramètres!H55))</f>
        <v/>
      </c>
      <c r="D3025" s="18">
        <f>IF($A3025="","",IF(Paramètres!I55="","",Paramètres!I55))</f>
        <v/>
      </c>
      <c r="E3025" s="19">
        <f>IF($A3025="","",IF(Paramètres!J55&amp;Paramètres!L55&amp;Paramètres!N55="",Dossiers!$D$59,MAX(IF(Paramètres!J55="",0,IF(Paramètres!K55="",NA(),IF(LEFT(TRIM(Paramètres!K55),1)="F",INDEX($F$2975:$F$3027,MATCH(Paramètres!J55,Paramètres!$G$5:$G$57,0)),INDEX($E$2975:$E$3027,MATCH(Paramètres!J55,Paramètres!$G$5:$G$57,0)))+IF(RIGHT(TRIM(Paramètres!K55),3)="Fin",1-$H3025,IF(LEFT(TRIM(Paramètres!K55),1)="F",1,0)))),IF(Paramètres!L55="",0,IF(Paramètres!M55="",NA(),IF(LEFT(TRIM(Paramètres!M55),1)="F",INDEX($F$2975:$F$3027,MATCH(Paramètres!L55,Paramètres!$G$5:$G$57,0)),INDEX($E$2975:$E$3027,MATCH(Paramètres!L55,Paramètres!$G$5:$G$57,0)))+IF(RIGHT(TRIM(Paramètres!M55),3)="Fin",1-$H3025,IF(LEFT(TRIM(Paramètres!M55),1)="F",1,0)))),IF(Paramètres!N55="",0,IF(Paramètres!O55="",NA(),IF(LEFT(TRIM(Paramètres!O55),1)="F",INDEX($F$2975:$F$3027,MATCH(Paramètres!N55,Paramètres!$G$5:$G$57,0)),INDEX($E$2975:$E$3027,MATCH(Paramètres!N55,Paramètres!$G$5:$G$57,0)))+IF(RIGHT(TRIM(Paramètres!O55),3)="Fin",1-$H3025,IF(LEFT(TRIM(Paramètres!O55),1)="F",1,0)))))))</f>
        <v/>
      </c>
      <c r="F3025" s="19">
        <f>IF($A3025="","",E3025+$H3025-1)</f>
        <v/>
      </c>
      <c r="G3025" s="18" t="n"/>
      <c r="H3025" s="18">
        <f>IF($A3025="","",IF(I3025&lt;&gt;"",I3025,Paramètres!B55))</f>
        <v/>
      </c>
      <c r="I3025" s="18" t="n"/>
    </row>
    <row r="3026">
      <c r="A3026" s="18">
        <f>IF(ISNUMBER(Dossiers!$D$59),Dossiers!$A$59&amp;" · "&amp;Dossiers!$B$59,"")</f>
        <v/>
      </c>
      <c r="B3026" s="18">
        <f>IF($A3026="","",Paramètres!G56)</f>
        <v/>
      </c>
      <c r="C3026" s="18">
        <f>IF($A3026="","",IF(Paramètres!H56="","",Paramètres!H56))</f>
        <v/>
      </c>
      <c r="D3026" s="18">
        <f>IF($A3026="","",IF(Paramètres!I56="","",Paramètres!I56))</f>
        <v/>
      </c>
      <c r="E3026" s="19">
        <f>IF($A3026="","",MIN(E3027:E3027))</f>
        <v/>
      </c>
      <c r="F3026" s="19">
        <f>IF($A3026="","",MAX(F3027:F3027))</f>
        <v/>
      </c>
      <c r="G3026" s="18" t="n"/>
      <c r="H3026" s="18">
        <f>IF($A3026="","",F3026-E3026+1)</f>
        <v/>
      </c>
      <c r="I3026" s="18" t="n"/>
    </row>
    <row r="3027">
      <c r="A3027" s="18">
        <f>IF(ISNUMBER(Dossiers!$D$59),Dossiers!$A$59&amp;" · "&amp;Dossiers!$B$59,"")</f>
        <v/>
      </c>
      <c r="B3027" s="18">
        <f>IF($A3027="","",Paramètres!G57)</f>
        <v/>
      </c>
      <c r="C3027" s="18">
        <f>IF($A3027="","",IF(Paramètres!H57="","",Paramètres!H57))</f>
        <v/>
      </c>
      <c r="D3027" s="18">
        <f>IF($A3027="","",IF(Paramètres!I57="","",Paramètres!I57))</f>
        <v/>
      </c>
      <c r="E3027" s="19">
        <f>IF($A3027="","",IF(Paramètres!J57&amp;Paramètres!L57&amp;Paramètres!N57="",Dossiers!$D$59,MAX(IF(Paramètres!J57="",0,IF(Paramètres!K57="",NA(),IF(LEFT(TRIM(Paramètres!K57),1)="F",INDEX($F$2975:$F$3027,MATCH(Paramètres!J57,Paramètres!$G$5:$G$57,0)),INDEX($E$2975:$E$3027,MATCH(Paramètres!J57,Paramètres!$G$5:$G$57,0)))+IF(RIGHT(TRIM(Paramètres!K57),3)="Fin",1-$H3027,IF(LEFT(TRIM(Paramètres!K57),1)="F",1,0)))),IF(Paramètres!L57="",0,IF(Paramètres!M57="",NA(),IF(LEFT(TRIM(Paramètres!M57),1)="F",INDEX($F$2975:$F$3027,MATCH(Paramètres!L57,Paramètres!$G$5:$G$57,0)),INDEX($E$2975:$E$3027,MATCH(Paramètres!L57,Paramètres!$G$5:$G$57,0)))+IF(RIGHT(TRIM(Paramètres!M57),3)="Fin",1-$H3027,IF(LEFT(TRIM(Paramètres!M57),1)="F",1,0)))),IF(Paramètres!N57="",0,IF(Paramètres!O57="",NA(),IF(LEFT(TRIM(Paramètres!O57),1)="F",INDEX($F$2975:$F$3027,MATCH(Paramètres!N57,Paramètres!$G$5:$G$57,0)),INDEX($E$2975:$E$3027,MATCH(Paramètres!N57,Paramètres!$G$5:$G$57,0)))+IF(RIGHT(TRIM(Paramètres!O57),3)="Fin",1-$H3027,IF(LEFT(TRIM(Paramètres!O57),1)="F",1,0)))))))</f>
        <v/>
      </c>
      <c r="F3027" s="19">
        <f>IF($A3027="","",E3027+$H3027-1)</f>
        <v/>
      </c>
      <c r="G3027" s="18" t="n"/>
      <c r="H3027" s="18">
        <f>IF($A3027="","",IF(I3027&lt;&gt;"",I3027,Paramètres!B57))</f>
        <v/>
      </c>
      <c r="I3027" s="18" t="n"/>
    </row>
    <row r="3028">
      <c r="A3028" s="16">
        <f>IF(ISNUMBER(Dossiers!$D$60),Dossiers!$E$60,"")</f>
        <v/>
      </c>
      <c r="B3028" s="16">
        <f>IF($A3028="","","Identifiant")</f>
        <v/>
      </c>
      <c r="C3028" s="16">
        <f>IF($A3028="","","Macro Etape")</f>
        <v/>
      </c>
      <c r="D3028" s="16">
        <f>IF($A3028="","","Etape")</f>
        <v/>
      </c>
      <c r="E3028" s="17">
        <f>IF($A3028="","","Début le")</f>
        <v/>
      </c>
      <c r="F3028" s="17">
        <f>IF($A3028="","","Fin prévue le")</f>
        <v/>
      </c>
      <c r="G3028" s="16">
        <f>IF($A3028="","","Statut")</f>
        <v/>
      </c>
      <c r="H3028" s="16">
        <f>IF($A3028="","","Durée (jours)")</f>
        <v/>
      </c>
      <c r="I3028" s="16">
        <f>IF($A3028="","","Durée particulière")</f>
        <v/>
      </c>
      <c r="J3028" s="10">
        <f>IF($A3028="","",HYPERLINK("#'Tableau de bord'!A1","↑ Tableau de bord"))</f>
        <v/>
      </c>
    </row>
    <row r="3029">
      <c r="A3029" s="18">
        <f>IF(ISNUMBER(Dossiers!$D$60),Dossiers!$A$60&amp;" · "&amp;Dossiers!$B$60,"")</f>
        <v/>
      </c>
      <c r="B3029" s="18">
        <f>IF($A3029="","",Paramètres!G5)</f>
        <v/>
      </c>
      <c r="C3029" s="18">
        <f>IF($A3029="","",IF(Paramètres!H5="","",Paramètres!H5))</f>
        <v/>
      </c>
      <c r="D3029" s="18">
        <f>IF($A3029="","",IF(Paramètres!I5="","",Paramètres!I5))</f>
        <v/>
      </c>
      <c r="E3029" s="19">
        <f>IF($A3029="","",MIN(E3030:E3033))</f>
        <v/>
      </c>
      <c r="F3029" s="19">
        <f>IF($A3029="","",MAX(F3030:F3033))</f>
        <v/>
      </c>
      <c r="G3029" s="18" t="n"/>
      <c r="H3029" s="18">
        <f>IF($A3029="","",F3029-E3029+1)</f>
        <v/>
      </c>
      <c r="I3029" s="18" t="n"/>
    </row>
    <row r="3030">
      <c r="A3030" s="18">
        <f>IF(ISNUMBER(Dossiers!$D$60),Dossiers!$A$60&amp;" · "&amp;Dossiers!$B$60,"")</f>
        <v/>
      </c>
      <c r="B3030" s="18">
        <f>IF($A3030="","",Paramètres!G6)</f>
        <v/>
      </c>
      <c r="C3030" s="18">
        <f>IF($A3030="","",IF(Paramètres!H6="","",Paramètres!H6))</f>
        <v/>
      </c>
      <c r="D3030" s="18">
        <f>IF($A3030="","",IF(Paramètres!I6="","",Paramètres!I6))</f>
        <v/>
      </c>
      <c r="E3030" s="19">
        <f>IF($A3030="","",IF(Paramètres!J6&amp;Paramètres!L6&amp;Paramètres!N6="",Dossiers!$D$60,MAX(IF(Paramètres!J6="",0,IF(Paramètres!K6="",NA(),IF(LEFT(TRIM(Paramètres!K6),1)="F",INDEX($F$3029:$F$3081,MATCH(Paramètres!J6,Paramètres!$G$5:$G$57,0)),INDEX($E$3029:$E$3081,MATCH(Paramètres!J6,Paramètres!$G$5:$G$57,0)))+IF(RIGHT(TRIM(Paramètres!K6),3)="Fin",1-$H3030,IF(LEFT(TRIM(Paramètres!K6),1)="F",1,0)))),IF(Paramètres!L6="",0,IF(Paramètres!M6="",NA(),IF(LEFT(TRIM(Paramètres!M6),1)="F",INDEX($F$3029:$F$3081,MATCH(Paramètres!L6,Paramètres!$G$5:$G$57,0)),INDEX($E$3029:$E$3081,MATCH(Paramètres!L6,Paramètres!$G$5:$G$57,0)))+IF(RIGHT(TRIM(Paramètres!M6),3)="Fin",1-$H3030,IF(LEFT(TRIM(Paramètres!M6),1)="F",1,0)))),IF(Paramètres!N6="",0,IF(Paramètres!O6="",NA(),IF(LEFT(TRIM(Paramètres!O6),1)="F",INDEX($F$3029:$F$3081,MATCH(Paramètres!N6,Paramètres!$G$5:$G$57,0)),INDEX($E$3029:$E$3081,MATCH(Paramètres!N6,Paramètres!$G$5:$G$57,0)))+IF(RIGHT(TRIM(Paramètres!O6),3)="Fin",1-$H3030,IF(LEFT(TRIM(Paramètres!O6),1)="F",1,0)))))))</f>
        <v/>
      </c>
      <c r="F3030" s="19">
        <f>IF($A3030="","",E3030+$H3030-1)</f>
        <v/>
      </c>
      <c r="G3030" s="18" t="n"/>
      <c r="H3030" s="18">
        <f>IF($A3030="","",IF(I3030&lt;&gt;"",I3030,Paramètres!B6))</f>
        <v/>
      </c>
      <c r="I3030" s="18" t="n"/>
    </row>
    <row r="3031">
      <c r="A3031" s="18">
        <f>IF(ISNUMBER(Dossiers!$D$60),Dossiers!$A$60&amp;" · "&amp;Dossiers!$B$60,"")</f>
        <v/>
      </c>
      <c r="B3031" s="18">
        <f>IF($A3031="","",Paramètres!G7)</f>
        <v/>
      </c>
      <c r="C3031" s="18">
        <f>IF($A3031="","",IF(Paramètres!H7="","",Paramètres!H7))</f>
        <v/>
      </c>
      <c r="D3031" s="18">
        <f>IF($A3031="","",IF(Paramètres!I7="","",Paramètres!I7))</f>
        <v/>
      </c>
      <c r="E3031" s="19">
        <f>IF($A3031="","",IF(Paramètres!J7&amp;Paramètres!L7&amp;Paramètres!N7="",Dossiers!$D$60,MAX(IF(Paramètres!J7="",0,IF(Paramètres!K7="",NA(),IF(LEFT(TRIM(Paramètres!K7),1)="F",INDEX($F$3029:$F$3081,MATCH(Paramètres!J7,Paramètres!$G$5:$G$57,0)),INDEX($E$3029:$E$3081,MATCH(Paramètres!J7,Paramètres!$G$5:$G$57,0)))+IF(RIGHT(TRIM(Paramètres!K7),3)="Fin",1-$H3031,IF(LEFT(TRIM(Paramètres!K7),1)="F",1,0)))),IF(Paramètres!L7="",0,IF(Paramètres!M7="",NA(),IF(LEFT(TRIM(Paramètres!M7),1)="F",INDEX($F$3029:$F$3081,MATCH(Paramètres!L7,Paramètres!$G$5:$G$57,0)),INDEX($E$3029:$E$3081,MATCH(Paramètres!L7,Paramètres!$G$5:$G$57,0)))+IF(RIGHT(TRIM(Paramètres!M7),3)="Fin",1-$H3031,IF(LEFT(TRIM(Paramètres!M7),1)="F",1,0)))),IF(Paramètres!N7="",0,IF(Paramètres!O7="",NA(),IF(LEFT(TRIM(Paramètres!O7),1)="F",INDEX($F$3029:$F$3081,MATCH(Paramètres!N7,Paramètres!$G$5:$G$57,0)),INDEX($E$3029:$E$3081,MATCH(Paramètres!N7,Paramètres!$G$5:$G$57,0)))+IF(RIGHT(TRIM(Paramètres!O7),3)="Fin",1-$H3031,IF(LEFT(TRIM(Paramètres!O7),1)="F",1,0)))))))</f>
        <v/>
      </c>
      <c r="F3031" s="19">
        <f>IF($A3031="","",E3031+$H3031-1)</f>
        <v/>
      </c>
      <c r="G3031" s="18" t="n"/>
      <c r="H3031" s="18">
        <f>IF($A3031="","",IF(I3031&lt;&gt;"",I3031,Paramètres!B7))</f>
        <v/>
      </c>
      <c r="I3031" s="18" t="n"/>
    </row>
    <row r="3032">
      <c r="A3032" s="18">
        <f>IF(ISNUMBER(Dossiers!$D$60),Dossiers!$A$60&amp;" · "&amp;Dossiers!$B$60,"")</f>
        <v/>
      </c>
      <c r="B3032" s="18">
        <f>IF($A3032="","",Paramètres!G8)</f>
        <v/>
      </c>
      <c r="C3032" s="18">
        <f>IF($A3032="","",IF(Paramètres!H8="","",Paramètres!H8))</f>
        <v/>
      </c>
      <c r="D3032" s="18">
        <f>IF($A3032="","",IF(Paramètres!I8="","",Paramètres!I8))</f>
        <v/>
      </c>
      <c r="E3032" s="19">
        <f>IF($A3032="","",IF(Paramètres!J8&amp;Paramètres!L8&amp;Paramètres!N8="",Dossiers!$D$60,MAX(IF(Paramètres!J8="",0,IF(Paramètres!K8="",NA(),IF(LEFT(TRIM(Paramètres!K8),1)="F",INDEX($F$3029:$F$3081,MATCH(Paramètres!J8,Paramètres!$G$5:$G$57,0)),INDEX($E$3029:$E$3081,MATCH(Paramètres!J8,Paramètres!$G$5:$G$57,0)))+IF(RIGHT(TRIM(Paramètres!K8),3)="Fin",1-$H3032,IF(LEFT(TRIM(Paramètres!K8),1)="F",1,0)))),IF(Paramètres!L8="",0,IF(Paramètres!M8="",NA(),IF(LEFT(TRIM(Paramètres!M8),1)="F",INDEX($F$3029:$F$3081,MATCH(Paramètres!L8,Paramètres!$G$5:$G$57,0)),INDEX($E$3029:$E$3081,MATCH(Paramètres!L8,Paramètres!$G$5:$G$57,0)))+IF(RIGHT(TRIM(Paramètres!M8),3)="Fin",1-$H3032,IF(LEFT(TRIM(Paramètres!M8),1)="F",1,0)))),IF(Paramètres!N8="",0,IF(Paramètres!O8="",NA(),IF(LEFT(TRIM(Paramètres!O8),1)="F",INDEX($F$3029:$F$3081,MATCH(Paramètres!N8,Paramètres!$G$5:$G$57,0)),INDEX($E$3029:$E$3081,MATCH(Paramètres!N8,Paramètres!$G$5:$G$57,0)))+IF(RIGHT(TRIM(Paramètres!O8),3)="Fin",1-$H3032,IF(LEFT(TRIM(Paramètres!O8),1)="F",1,0)))))))</f>
        <v/>
      </c>
      <c r="F3032" s="19">
        <f>IF($A3032="","",E3032+$H3032-1)</f>
        <v/>
      </c>
      <c r="G3032" s="18" t="n"/>
      <c r="H3032" s="18">
        <f>IF($A3032="","",IF(I3032&lt;&gt;"",I3032,Paramètres!B8))</f>
        <v/>
      </c>
      <c r="I3032" s="18" t="n"/>
    </row>
    <row r="3033">
      <c r="A3033" s="18">
        <f>IF(ISNUMBER(Dossiers!$D$60),Dossiers!$A$60&amp;" · "&amp;Dossiers!$B$60,"")</f>
        <v/>
      </c>
      <c r="B3033" s="18">
        <f>IF($A3033="","",Paramètres!G9)</f>
        <v/>
      </c>
      <c r="C3033" s="18">
        <f>IF($A3033="","",IF(Paramètres!H9="","",Paramètres!H9))</f>
        <v/>
      </c>
      <c r="D3033" s="18">
        <f>IF($A3033="","",IF(Paramètres!I9="","",Paramètres!I9))</f>
        <v/>
      </c>
      <c r="E3033" s="19">
        <f>IF($A3033="","",IF(Paramètres!J9&amp;Paramètres!L9&amp;Paramètres!N9="",Dossiers!$D$60,MAX(IF(Paramètres!J9="",0,IF(Paramètres!K9="",NA(),IF(LEFT(TRIM(Paramètres!K9),1)="F",INDEX($F$3029:$F$3081,MATCH(Paramètres!J9,Paramètres!$G$5:$G$57,0)),INDEX($E$3029:$E$3081,MATCH(Paramètres!J9,Paramètres!$G$5:$G$57,0)))+IF(RIGHT(TRIM(Paramètres!K9),3)="Fin",1-$H3033,IF(LEFT(TRIM(Paramètres!K9),1)="F",1,0)))),IF(Paramètres!L9="",0,IF(Paramètres!M9="",NA(),IF(LEFT(TRIM(Paramètres!M9),1)="F",INDEX($F$3029:$F$3081,MATCH(Paramètres!L9,Paramètres!$G$5:$G$57,0)),INDEX($E$3029:$E$3081,MATCH(Paramètres!L9,Paramètres!$G$5:$G$57,0)))+IF(RIGHT(TRIM(Paramètres!M9),3)="Fin",1-$H3033,IF(LEFT(TRIM(Paramètres!M9),1)="F",1,0)))),IF(Paramètres!N9="",0,IF(Paramètres!O9="",NA(),IF(LEFT(TRIM(Paramètres!O9),1)="F",INDEX($F$3029:$F$3081,MATCH(Paramètres!N9,Paramètres!$G$5:$G$57,0)),INDEX($E$3029:$E$3081,MATCH(Paramètres!N9,Paramètres!$G$5:$G$57,0)))+IF(RIGHT(TRIM(Paramètres!O9),3)="Fin",1-$H3033,IF(LEFT(TRIM(Paramètres!O9),1)="F",1,0)))))))</f>
        <v/>
      </c>
      <c r="F3033" s="19">
        <f>IF($A3033="","",E3033+$H3033-1)</f>
        <v/>
      </c>
      <c r="G3033" s="18" t="n"/>
      <c r="H3033" s="18">
        <f>IF($A3033="","",IF(I3033&lt;&gt;"",I3033,Paramètres!B9))</f>
        <v/>
      </c>
      <c r="I3033" s="18" t="n"/>
    </row>
    <row r="3034">
      <c r="A3034" s="18">
        <f>IF(ISNUMBER(Dossiers!$D$60),Dossiers!$A$60&amp;" · "&amp;Dossiers!$B$60,"")</f>
        <v/>
      </c>
      <c r="B3034" s="18">
        <f>IF($A3034="","",Paramètres!G10)</f>
        <v/>
      </c>
      <c r="C3034" s="18">
        <f>IF($A3034="","",IF(Paramètres!H10="","",Paramètres!H10))</f>
        <v/>
      </c>
      <c r="D3034" s="18">
        <f>IF($A3034="","",IF(Paramètres!I10="","",Paramètres!I10))</f>
        <v/>
      </c>
      <c r="E3034" s="19">
        <f>IF($A3034="","",MIN(E3035:E3038))</f>
        <v/>
      </c>
      <c r="F3034" s="19">
        <f>IF($A3034="","",MAX(F3035:F3038))</f>
        <v/>
      </c>
      <c r="G3034" s="18" t="n"/>
      <c r="H3034" s="18">
        <f>IF($A3034="","",F3034-E3034+1)</f>
        <v/>
      </c>
      <c r="I3034" s="18" t="n"/>
    </row>
    <row r="3035">
      <c r="A3035" s="18">
        <f>IF(ISNUMBER(Dossiers!$D$60),Dossiers!$A$60&amp;" · "&amp;Dossiers!$B$60,"")</f>
        <v/>
      </c>
      <c r="B3035" s="18">
        <f>IF($A3035="","",Paramètres!G11)</f>
        <v/>
      </c>
      <c r="C3035" s="18">
        <f>IF($A3035="","",IF(Paramètres!H11="","",Paramètres!H11))</f>
        <v/>
      </c>
      <c r="D3035" s="18">
        <f>IF($A3035="","",IF(Paramètres!I11="","",Paramètres!I11))</f>
        <v/>
      </c>
      <c r="E3035" s="19">
        <f>IF($A3035="","",IF(Paramètres!J11&amp;Paramètres!L11&amp;Paramètres!N11="",Dossiers!$D$60,MAX(IF(Paramètres!J11="",0,IF(Paramètres!K11="",NA(),IF(LEFT(TRIM(Paramètres!K11),1)="F",INDEX($F$3029:$F$3081,MATCH(Paramètres!J11,Paramètres!$G$5:$G$57,0)),INDEX($E$3029:$E$3081,MATCH(Paramètres!J11,Paramètres!$G$5:$G$57,0)))+IF(RIGHT(TRIM(Paramètres!K11),3)="Fin",1-$H3035,IF(LEFT(TRIM(Paramètres!K11),1)="F",1,0)))),IF(Paramètres!L11="",0,IF(Paramètres!M11="",NA(),IF(LEFT(TRIM(Paramètres!M11),1)="F",INDEX($F$3029:$F$3081,MATCH(Paramètres!L11,Paramètres!$G$5:$G$57,0)),INDEX($E$3029:$E$3081,MATCH(Paramètres!L11,Paramètres!$G$5:$G$57,0)))+IF(RIGHT(TRIM(Paramètres!M11),3)="Fin",1-$H3035,IF(LEFT(TRIM(Paramètres!M11),1)="F",1,0)))),IF(Paramètres!N11="",0,IF(Paramètres!O11="",NA(),IF(LEFT(TRIM(Paramètres!O11),1)="F",INDEX($F$3029:$F$3081,MATCH(Paramètres!N11,Paramètres!$G$5:$G$57,0)),INDEX($E$3029:$E$3081,MATCH(Paramètres!N11,Paramètres!$G$5:$G$57,0)))+IF(RIGHT(TRIM(Paramètres!O11),3)="Fin",1-$H3035,IF(LEFT(TRIM(Paramètres!O11),1)="F",1,0)))))))</f>
        <v/>
      </c>
      <c r="F3035" s="19">
        <f>IF($A3035="","",E3035+$H3035-1)</f>
        <v/>
      </c>
      <c r="G3035" s="18" t="n"/>
      <c r="H3035" s="18">
        <f>IF($A3035="","",IF(I3035&lt;&gt;"",I3035,Paramètres!B11))</f>
        <v/>
      </c>
      <c r="I3035" s="18" t="n"/>
    </row>
    <row r="3036">
      <c r="A3036" s="18">
        <f>IF(ISNUMBER(Dossiers!$D$60),Dossiers!$A$60&amp;" · "&amp;Dossiers!$B$60,"")</f>
        <v/>
      </c>
      <c r="B3036" s="18">
        <f>IF($A3036="","",Paramètres!G12)</f>
        <v/>
      </c>
      <c r="C3036" s="18">
        <f>IF($A3036="","",IF(Paramètres!H12="","",Paramètres!H12))</f>
        <v/>
      </c>
      <c r="D3036" s="18">
        <f>IF($A3036="","",IF(Paramètres!I12="","",Paramètres!I12))</f>
        <v/>
      </c>
      <c r="E3036" s="19">
        <f>IF($A3036="","",IF(Paramètres!J12&amp;Paramètres!L12&amp;Paramètres!N12="",Dossiers!$D$60,MAX(IF(Paramètres!J12="",0,IF(Paramètres!K12="",NA(),IF(LEFT(TRIM(Paramètres!K12),1)="F",INDEX($F$3029:$F$3081,MATCH(Paramètres!J12,Paramètres!$G$5:$G$57,0)),INDEX($E$3029:$E$3081,MATCH(Paramètres!J12,Paramètres!$G$5:$G$57,0)))+IF(RIGHT(TRIM(Paramètres!K12),3)="Fin",1-$H3036,IF(LEFT(TRIM(Paramètres!K12),1)="F",1,0)))),IF(Paramètres!L12="",0,IF(Paramètres!M12="",NA(),IF(LEFT(TRIM(Paramètres!M12),1)="F",INDEX($F$3029:$F$3081,MATCH(Paramètres!L12,Paramètres!$G$5:$G$57,0)),INDEX($E$3029:$E$3081,MATCH(Paramètres!L12,Paramètres!$G$5:$G$57,0)))+IF(RIGHT(TRIM(Paramètres!M12),3)="Fin",1-$H3036,IF(LEFT(TRIM(Paramètres!M12),1)="F",1,0)))),IF(Paramètres!N12="",0,IF(Paramètres!O12="",NA(),IF(LEFT(TRIM(Paramètres!O12),1)="F",INDEX($F$3029:$F$3081,MATCH(Paramètres!N12,Paramètres!$G$5:$G$57,0)),INDEX($E$3029:$E$3081,MATCH(Paramètres!N12,Paramètres!$G$5:$G$57,0)))+IF(RIGHT(TRIM(Paramètres!O12),3)="Fin",1-$H3036,IF(LEFT(TRIM(Paramètres!O12),1)="F",1,0)))))))</f>
        <v/>
      </c>
      <c r="F3036" s="19">
        <f>IF($A3036="","",E3036+$H3036-1)</f>
        <v/>
      </c>
      <c r="G3036" s="18" t="n"/>
      <c r="H3036" s="18">
        <f>IF($A3036="","",IF(I3036&lt;&gt;"",I3036,Paramètres!B12))</f>
        <v/>
      </c>
      <c r="I3036" s="18" t="n"/>
    </row>
    <row r="3037">
      <c r="A3037" s="18">
        <f>IF(ISNUMBER(Dossiers!$D$60),Dossiers!$A$60&amp;" · "&amp;Dossiers!$B$60,"")</f>
        <v/>
      </c>
      <c r="B3037" s="18">
        <f>IF($A3037="","",Paramètres!G13)</f>
        <v/>
      </c>
      <c r="C3037" s="18">
        <f>IF($A3037="","",IF(Paramètres!H13="","",Paramètres!H13))</f>
        <v/>
      </c>
      <c r="D3037" s="18">
        <f>IF($A3037="","",IF(Paramètres!I13="","",Paramètres!I13))</f>
        <v/>
      </c>
      <c r="E3037" s="19">
        <f>IF($A3037="","",IF(Paramètres!J13&amp;Paramètres!L13&amp;Paramètres!N13="",Dossiers!$D$60,MAX(IF(Paramètres!J13="",0,IF(Paramètres!K13="",NA(),IF(LEFT(TRIM(Paramètres!K13),1)="F",INDEX($F$3029:$F$3081,MATCH(Paramètres!J13,Paramètres!$G$5:$G$57,0)),INDEX($E$3029:$E$3081,MATCH(Paramètres!J13,Paramètres!$G$5:$G$57,0)))+IF(RIGHT(TRIM(Paramètres!K13),3)="Fin",1-$H3037,IF(LEFT(TRIM(Paramètres!K13),1)="F",1,0)))),IF(Paramètres!L13="",0,IF(Paramètres!M13="",NA(),IF(LEFT(TRIM(Paramètres!M13),1)="F",INDEX($F$3029:$F$3081,MATCH(Paramètres!L13,Paramètres!$G$5:$G$57,0)),INDEX($E$3029:$E$3081,MATCH(Paramètres!L13,Paramètres!$G$5:$G$57,0)))+IF(RIGHT(TRIM(Paramètres!M13),3)="Fin",1-$H3037,IF(LEFT(TRIM(Paramètres!M13),1)="F",1,0)))),IF(Paramètres!N13="",0,IF(Paramètres!O13="",NA(),IF(LEFT(TRIM(Paramètres!O13),1)="F",INDEX($F$3029:$F$3081,MATCH(Paramètres!N13,Paramètres!$G$5:$G$57,0)),INDEX($E$3029:$E$3081,MATCH(Paramètres!N13,Paramètres!$G$5:$G$57,0)))+IF(RIGHT(TRIM(Paramètres!O13),3)="Fin",1-$H3037,IF(LEFT(TRIM(Paramètres!O13),1)="F",1,0)))))))</f>
        <v/>
      </c>
      <c r="F3037" s="19">
        <f>IF($A3037="","",E3037+$H3037-1)</f>
        <v/>
      </c>
      <c r="G3037" s="18" t="n"/>
      <c r="H3037" s="18">
        <f>IF($A3037="","",IF(I3037&lt;&gt;"",I3037,Paramètres!B13))</f>
        <v/>
      </c>
      <c r="I3037" s="18" t="n"/>
    </row>
    <row r="3038">
      <c r="A3038" s="18">
        <f>IF(ISNUMBER(Dossiers!$D$60),Dossiers!$A$60&amp;" · "&amp;Dossiers!$B$60,"")</f>
        <v/>
      </c>
      <c r="B3038" s="18">
        <f>IF($A3038="","",Paramètres!G14)</f>
        <v/>
      </c>
      <c r="C3038" s="18">
        <f>IF($A3038="","",IF(Paramètres!H14="","",Paramètres!H14))</f>
        <v/>
      </c>
      <c r="D3038" s="18">
        <f>IF($A3038="","",IF(Paramètres!I14="","",Paramètres!I14))</f>
        <v/>
      </c>
      <c r="E3038" s="19">
        <f>IF($A3038="","",IF(Paramètres!J14&amp;Paramètres!L14&amp;Paramètres!N14="",Dossiers!$D$60,MAX(IF(Paramètres!J14="",0,IF(Paramètres!K14="",NA(),IF(LEFT(TRIM(Paramètres!K14),1)="F",INDEX($F$3029:$F$3081,MATCH(Paramètres!J14,Paramètres!$G$5:$G$57,0)),INDEX($E$3029:$E$3081,MATCH(Paramètres!J14,Paramètres!$G$5:$G$57,0)))+IF(RIGHT(TRIM(Paramètres!K14),3)="Fin",1-$H3038,IF(LEFT(TRIM(Paramètres!K14),1)="F",1,0)))),IF(Paramètres!L14="",0,IF(Paramètres!M14="",NA(),IF(LEFT(TRIM(Paramètres!M14),1)="F",INDEX($F$3029:$F$3081,MATCH(Paramètres!L14,Paramètres!$G$5:$G$57,0)),INDEX($E$3029:$E$3081,MATCH(Paramètres!L14,Paramètres!$G$5:$G$57,0)))+IF(RIGHT(TRIM(Paramètres!M14),3)="Fin",1-$H3038,IF(LEFT(TRIM(Paramètres!M14),1)="F",1,0)))),IF(Paramètres!N14="",0,IF(Paramètres!O14="",NA(),IF(LEFT(TRIM(Paramètres!O14),1)="F",INDEX($F$3029:$F$3081,MATCH(Paramètres!N14,Paramètres!$G$5:$G$57,0)),INDEX($E$3029:$E$3081,MATCH(Paramètres!N14,Paramètres!$G$5:$G$57,0)))+IF(RIGHT(TRIM(Paramètres!O14),3)="Fin",1-$H3038,IF(LEFT(TRIM(Paramètres!O14),1)="F",1,0)))))))</f>
        <v/>
      </c>
      <c r="F3038" s="19">
        <f>IF($A3038="","",E3038+$H3038-1)</f>
        <v/>
      </c>
      <c r="G3038" s="18" t="n"/>
      <c r="H3038" s="18">
        <f>IF($A3038="","",IF(I3038&lt;&gt;"",I3038,Paramètres!B14))</f>
        <v/>
      </c>
      <c r="I3038" s="18" t="n"/>
    </row>
    <row r="3039">
      <c r="A3039" s="18">
        <f>IF(ISNUMBER(Dossiers!$D$60),Dossiers!$A$60&amp;" · "&amp;Dossiers!$B$60,"")</f>
        <v/>
      </c>
      <c r="B3039" s="18">
        <f>IF($A3039="","",Paramètres!G15)</f>
        <v/>
      </c>
      <c r="C3039" s="18">
        <f>IF($A3039="","",IF(Paramètres!H15="","",Paramètres!H15))</f>
        <v/>
      </c>
      <c r="D3039" s="18">
        <f>IF($A3039="","",IF(Paramètres!I15="","",Paramètres!I15))</f>
        <v/>
      </c>
      <c r="E3039" s="19">
        <f>IF($A3039="","",MIN(E3040:E3055))</f>
        <v/>
      </c>
      <c r="F3039" s="19">
        <f>IF($A3039="","",MAX(F3040:F3055))</f>
        <v/>
      </c>
      <c r="G3039" s="18" t="n"/>
      <c r="H3039" s="18">
        <f>IF($A3039="","",F3039-E3039+1)</f>
        <v/>
      </c>
      <c r="I3039" s="18" t="n"/>
    </row>
    <row r="3040">
      <c r="A3040" s="18">
        <f>IF(ISNUMBER(Dossiers!$D$60),Dossiers!$A$60&amp;" · "&amp;Dossiers!$B$60,"")</f>
        <v/>
      </c>
      <c r="B3040" s="18">
        <f>IF($A3040="","",Paramètres!G16)</f>
        <v/>
      </c>
      <c r="C3040" s="18">
        <f>IF($A3040="","",IF(Paramètres!H16="","",Paramètres!H16))</f>
        <v/>
      </c>
      <c r="D3040" s="18">
        <f>IF($A3040="","",IF(Paramètres!I16="","",Paramètres!I16))</f>
        <v/>
      </c>
      <c r="E3040" s="19">
        <f>IF($A3040="","",IF(Paramètres!J16&amp;Paramètres!L16&amp;Paramètres!N16="",Dossiers!$D$60,MAX(IF(Paramètres!J16="",0,IF(Paramètres!K16="",NA(),IF(LEFT(TRIM(Paramètres!K16),1)="F",INDEX($F$3029:$F$3081,MATCH(Paramètres!J16,Paramètres!$G$5:$G$57,0)),INDEX($E$3029:$E$3081,MATCH(Paramètres!J16,Paramètres!$G$5:$G$57,0)))+IF(RIGHT(TRIM(Paramètres!K16),3)="Fin",1-$H3040,IF(LEFT(TRIM(Paramètres!K16),1)="F",1,0)))),IF(Paramètres!L16="",0,IF(Paramètres!M16="",NA(),IF(LEFT(TRIM(Paramètres!M16),1)="F",INDEX($F$3029:$F$3081,MATCH(Paramètres!L16,Paramètres!$G$5:$G$57,0)),INDEX($E$3029:$E$3081,MATCH(Paramètres!L16,Paramètres!$G$5:$G$57,0)))+IF(RIGHT(TRIM(Paramètres!M16),3)="Fin",1-$H3040,IF(LEFT(TRIM(Paramètres!M16),1)="F",1,0)))),IF(Paramètres!N16="",0,IF(Paramètres!O16="",NA(),IF(LEFT(TRIM(Paramètres!O16),1)="F",INDEX($F$3029:$F$3081,MATCH(Paramètres!N16,Paramètres!$G$5:$G$57,0)),INDEX($E$3029:$E$3081,MATCH(Paramètres!N16,Paramètres!$G$5:$G$57,0)))+IF(RIGHT(TRIM(Paramètres!O16),3)="Fin",1-$H3040,IF(LEFT(TRIM(Paramètres!O16),1)="F",1,0)))))))</f>
        <v/>
      </c>
      <c r="F3040" s="19">
        <f>IF($A3040="","",E3040+$H3040-1)</f>
        <v/>
      </c>
      <c r="G3040" s="18" t="n"/>
      <c r="H3040" s="18">
        <f>IF($A3040="","",IF(I3040&lt;&gt;"",I3040,Paramètres!B16))</f>
        <v/>
      </c>
      <c r="I3040" s="18" t="n"/>
    </row>
    <row r="3041">
      <c r="A3041" s="18">
        <f>IF(ISNUMBER(Dossiers!$D$60),Dossiers!$A$60&amp;" · "&amp;Dossiers!$B$60,"")</f>
        <v/>
      </c>
      <c r="B3041" s="18">
        <f>IF($A3041="","",Paramètres!G17)</f>
        <v/>
      </c>
      <c r="C3041" s="18">
        <f>IF($A3041="","",IF(Paramètres!H17="","",Paramètres!H17))</f>
        <v/>
      </c>
      <c r="D3041" s="18">
        <f>IF($A3041="","",IF(Paramètres!I17="","",Paramètres!I17))</f>
        <v/>
      </c>
      <c r="E3041" s="19">
        <f>IF($A3041="","",IF(Paramètres!J17&amp;Paramètres!L17&amp;Paramètres!N17="",Dossiers!$D$60,MAX(IF(Paramètres!J17="",0,IF(Paramètres!K17="",NA(),IF(LEFT(TRIM(Paramètres!K17),1)="F",INDEX($F$3029:$F$3081,MATCH(Paramètres!J17,Paramètres!$G$5:$G$57,0)),INDEX($E$3029:$E$3081,MATCH(Paramètres!J17,Paramètres!$G$5:$G$57,0)))+IF(RIGHT(TRIM(Paramètres!K17),3)="Fin",1-$H3041,IF(LEFT(TRIM(Paramètres!K17),1)="F",1,0)))),IF(Paramètres!L17="",0,IF(Paramètres!M17="",NA(),IF(LEFT(TRIM(Paramètres!M17),1)="F",INDEX($F$3029:$F$3081,MATCH(Paramètres!L17,Paramètres!$G$5:$G$57,0)),INDEX($E$3029:$E$3081,MATCH(Paramètres!L17,Paramètres!$G$5:$G$57,0)))+IF(RIGHT(TRIM(Paramètres!M17),3)="Fin",1-$H3041,IF(LEFT(TRIM(Paramètres!M17),1)="F",1,0)))),IF(Paramètres!N17="",0,IF(Paramètres!O17="",NA(),IF(LEFT(TRIM(Paramètres!O17),1)="F",INDEX($F$3029:$F$3081,MATCH(Paramètres!N17,Paramètres!$G$5:$G$57,0)),INDEX($E$3029:$E$3081,MATCH(Paramètres!N17,Paramètres!$G$5:$G$57,0)))+IF(RIGHT(TRIM(Paramètres!O17),3)="Fin",1-$H3041,IF(LEFT(TRIM(Paramètres!O17),1)="F",1,0)))))))</f>
        <v/>
      </c>
      <c r="F3041" s="19">
        <f>IF($A3041="","",E3041+$H3041-1)</f>
        <v/>
      </c>
      <c r="G3041" s="18" t="n"/>
      <c r="H3041" s="18">
        <f>IF($A3041="","",IF(I3041&lt;&gt;"",I3041,Paramètres!B17))</f>
        <v/>
      </c>
      <c r="I3041" s="18" t="n"/>
    </row>
    <row r="3042">
      <c r="A3042" s="18">
        <f>IF(ISNUMBER(Dossiers!$D$60),Dossiers!$A$60&amp;" · "&amp;Dossiers!$B$60,"")</f>
        <v/>
      </c>
      <c r="B3042" s="18">
        <f>IF($A3042="","",Paramètres!G18)</f>
        <v/>
      </c>
      <c r="C3042" s="18">
        <f>IF($A3042="","",IF(Paramètres!H18="","",Paramètres!H18))</f>
        <v/>
      </c>
      <c r="D3042" s="18">
        <f>IF($A3042="","",IF(Paramètres!I18="","",Paramètres!I18))</f>
        <v/>
      </c>
      <c r="E3042" s="19">
        <f>IF($A3042="","",IF(Paramètres!J18&amp;Paramètres!L18&amp;Paramètres!N18="",Dossiers!$D$60,MAX(IF(Paramètres!J18="",0,IF(Paramètres!K18="",NA(),IF(LEFT(TRIM(Paramètres!K18),1)="F",INDEX($F$3029:$F$3081,MATCH(Paramètres!J18,Paramètres!$G$5:$G$57,0)),INDEX($E$3029:$E$3081,MATCH(Paramètres!J18,Paramètres!$G$5:$G$57,0)))+IF(RIGHT(TRIM(Paramètres!K18),3)="Fin",1-$H3042,IF(LEFT(TRIM(Paramètres!K18),1)="F",1,0)))),IF(Paramètres!L18="",0,IF(Paramètres!M18="",NA(),IF(LEFT(TRIM(Paramètres!M18),1)="F",INDEX($F$3029:$F$3081,MATCH(Paramètres!L18,Paramètres!$G$5:$G$57,0)),INDEX($E$3029:$E$3081,MATCH(Paramètres!L18,Paramètres!$G$5:$G$57,0)))+IF(RIGHT(TRIM(Paramètres!M18),3)="Fin",1-$H3042,IF(LEFT(TRIM(Paramètres!M18),1)="F",1,0)))),IF(Paramètres!N18="",0,IF(Paramètres!O18="",NA(),IF(LEFT(TRIM(Paramètres!O18),1)="F",INDEX($F$3029:$F$3081,MATCH(Paramètres!N18,Paramètres!$G$5:$G$57,0)),INDEX($E$3029:$E$3081,MATCH(Paramètres!N18,Paramètres!$G$5:$G$57,0)))+IF(RIGHT(TRIM(Paramètres!O18),3)="Fin",1-$H3042,IF(LEFT(TRIM(Paramètres!O18),1)="F",1,0)))))))</f>
        <v/>
      </c>
      <c r="F3042" s="19">
        <f>IF($A3042="","",E3042+$H3042-1)</f>
        <v/>
      </c>
      <c r="G3042" s="18" t="n"/>
      <c r="H3042" s="18">
        <f>IF($A3042="","",IF(I3042&lt;&gt;"",I3042,Paramètres!B18))</f>
        <v/>
      </c>
      <c r="I3042" s="18" t="n"/>
    </row>
    <row r="3043">
      <c r="A3043" s="18">
        <f>IF(ISNUMBER(Dossiers!$D$60),Dossiers!$A$60&amp;" · "&amp;Dossiers!$B$60,"")</f>
        <v/>
      </c>
      <c r="B3043" s="18">
        <f>IF($A3043="","",Paramètres!G19)</f>
        <v/>
      </c>
      <c r="C3043" s="18">
        <f>IF($A3043="","",IF(Paramètres!H19="","",Paramètres!H19))</f>
        <v/>
      </c>
      <c r="D3043" s="18">
        <f>IF($A3043="","",IF(Paramètres!I19="","",Paramètres!I19))</f>
        <v/>
      </c>
      <c r="E3043" s="19">
        <f>IF($A3043="","",IF(Paramètres!J19&amp;Paramètres!L19&amp;Paramètres!N19="",Dossiers!$D$60,MAX(IF(Paramètres!J19="",0,IF(Paramètres!K19="",NA(),IF(LEFT(TRIM(Paramètres!K19),1)="F",INDEX($F$3029:$F$3081,MATCH(Paramètres!J19,Paramètres!$G$5:$G$57,0)),INDEX($E$3029:$E$3081,MATCH(Paramètres!J19,Paramètres!$G$5:$G$57,0)))+IF(RIGHT(TRIM(Paramètres!K19),3)="Fin",1-$H3043,IF(LEFT(TRIM(Paramètres!K19),1)="F",1,0)))),IF(Paramètres!L19="",0,IF(Paramètres!M19="",NA(),IF(LEFT(TRIM(Paramètres!M19),1)="F",INDEX($F$3029:$F$3081,MATCH(Paramètres!L19,Paramètres!$G$5:$G$57,0)),INDEX($E$3029:$E$3081,MATCH(Paramètres!L19,Paramètres!$G$5:$G$57,0)))+IF(RIGHT(TRIM(Paramètres!M19),3)="Fin",1-$H3043,IF(LEFT(TRIM(Paramètres!M19),1)="F",1,0)))),IF(Paramètres!N19="",0,IF(Paramètres!O19="",NA(),IF(LEFT(TRIM(Paramètres!O19),1)="F",INDEX($F$3029:$F$3081,MATCH(Paramètres!N19,Paramètres!$G$5:$G$57,0)),INDEX($E$3029:$E$3081,MATCH(Paramètres!N19,Paramètres!$G$5:$G$57,0)))+IF(RIGHT(TRIM(Paramètres!O19),3)="Fin",1-$H3043,IF(LEFT(TRIM(Paramètres!O19),1)="F",1,0)))))))</f>
        <v/>
      </c>
      <c r="F3043" s="19">
        <f>IF($A3043="","",E3043+$H3043-1)</f>
        <v/>
      </c>
      <c r="G3043" s="18" t="n"/>
      <c r="H3043" s="18">
        <f>IF($A3043="","",IF(I3043&lt;&gt;"",I3043,Paramètres!B19))</f>
        <v/>
      </c>
      <c r="I3043" s="18" t="n"/>
    </row>
    <row r="3044">
      <c r="A3044" s="18">
        <f>IF(ISNUMBER(Dossiers!$D$60),Dossiers!$A$60&amp;" · "&amp;Dossiers!$B$60,"")</f>
        <v/>
      </c>
      <c r="B3044" s="18">
        <f>IF($A3044="","",Paramètres!G20)</f>
        <v/>
      </c>
      <c r="C3044" s="18">
        <f>IF($A3044="","",IF(Paramètres!H20="","",Paramètres!H20))</f>
        <v/>
      </c>
      <c r="D3044" s="18">
        <f>IF($A3044="","",IF(Paramètres!I20="","",Paramètres!I20))</f>
        <v/>
      </c>
      <c r="E3044" s="19">
        <f>IF($A3044="","",IF(Paramètres!J20&amp;Paramètres!L20&amp;Paramètres!N20="",Dossiers!$D$60,MAX(IF(Paramètres!J20="",0,IF(Paramètres!K20="",NA(),IF(LEFT(TRIM(Paramètres!K20),1)="F",INDEX($F$3029:$F$3081,MATCH(Paramètres!J20,Paramètres!$G$5:$G$57,0)),INDEX($E$3029:$E$3081,MATCH(Paramètres!J20,Paramètres!$G$5:$G$57,0)))+IF(RIGHT(TRIM(Paramètres!K20),3)="Fin",1-$H3044,IF(LEFT(TRIM(Paramètres!K20),1)="F",1,0)))),IF(Paramètres!L20="",0,IF(Paramètres!M20="",NA(),IF(LEFT(TRIM(Paramètres!M20),1)="F",INDEX($F$3029:$F$3081,MATCH(Paramètres!L20,Paramètres!$G$5:$G$57,0)),INDEX($E$3029:$E$3081,MATCH(Paramètres!L20,Paramètres!$G$5:$G$57,0)))+IF(RIGHT(TRIM(Paramètres!M20),3)="Fin",1-$H3044,IF(LEFT(TRIM(Paramètres!M20),1)="F",1,0)))),IF(Paramètres!N20="",0,IF(Paramètres!O20="",NA(),IF(LEFT(TRIM(Paramètres!O20),1)="F",INDEX($F$3029:$F$3081,MATCH(Paramètres!N20,Paramètres!$G$5:$G$57,0)),INDEX($E$3029:$E$3081,MATCH(Paramètres!N20,Paramètres!$G$5:$G$57,0)))+IF(RIGHT(TRIM(Paramètres!O20),3)="Fin",1-$H3044,IF(LEFT(TRIM(Paramètres!O20),1)="F",1,0)))))))</f>
        <v/>
      </c>
      <c r="F3044" s="19">
        <f>IF($A3044="","",E3044+$H3044-1)</f>
        <v/>
      </c>
      <c r="G3044" s="18" t="n"/>
      <c r="H3044" s="18">
        <f>IF($A3044="","",IF(I3044&lt;&gt;"",I3044,Paramètres!B20))</f>
        <v/>
      </c>
      <c r="I3044" s="18" t="n"/>
    </row>
    <row r="3045">
      <c r="A3045" s="18">
        <f>IF(ISNUMBER(Dossiers!$D$60),Dossiers!$A$60&amp;" · "&amp;Dossiers!$B$60,"")</f>
        <v/>
      </c>
      <c r="B3045" s="18">
        <f>IF($A3045="","",Paramètres!G21)</f>
        <v/>
      </c>
      <c r="C3045" s="18">
        <f>IF($A3045="","",IF(Paramètres!H21="","",Paramètres!H21))</f>
        <v/>
      </c>
      <c r="D3045" s="18">
        <f>IF($A3045="","",IF(Paramètres!I21="","",Paramètres!I21))</f>
        <v/>
      </c>
      <c r="E3045" s="19">
        <f>IF($A3045="","",IF(Paramètres!J21&amp;Paramètres!L21&amp;Paramètres!N21="",Dossiers!$D$60,MAX(IF(Paramètres!J21="",0,IF(Paramètres!K21="",NA(),IF(LEFT(TRIM(Paramètres!K21),1)="F",INDEX($F$3029:$F$3081,MATCH(Paramètres!J21,Paramètres!$G$5:$G$57,0)),INDEX($E$3029:$E$3081,MATCH(Paramètres!J21,Paramètres!$G$5:$G$57,0)))+IF(RIGHT(TRIM(Paramètres!K21),3)="Fin",1-$H3045,IF(LEFT(TRIM(Paramètres!K21),1)="F",1,0)))),IF(Paramètres!L21="",0,IF(Paramètres!M21="",NA(),IF(LEFT(TRIM(Paramètres!M21),1)="F",INDEX($F$3029:$F$3081,MATCH(Paramètres!L21,Paramètres!$G$5:$G$57,0)),INDEX($E$3029:$E$3081,MATCH(Paramètres!L21,Paramètres!$G$5:$G$57,0)))+IF(RIGHT(TRIM(Paramètres!M21),3)="Fin",1-$H3045,IF(LEFT(TRIM(Paramètres!M21),1)="F",1,0)))),IF(Paramètres!N21="",0,IF(Paramètres!O21="",NA(),IF(LEFT(TRIM(Paramètres!O21),1)="F",INDEX($F$3029:$F$3081,MATCH(Paramètres!N21,Paramètres!$G$5:$G$57,0)),INDEX($E$3029:$E$3081,MATCH(Paramètres!N21,Paramètres!$G$5:$G$57,0)))+IF(RIGHT(TRIM(Paramètres!O21),3)="Fin",1-$H3045,IF(LEFT(TRIM(Paramètres!O21),1)="F",1,0)))))))</f>
        <v/>
      </c>
      <c r="F3045" s="19">
        <f>IF($A3045="","",E3045+$H3045-1)</f>
        <v/>
      </c>
      <c r="G3045" s="18" t="n"/>
      <c r="H3045" s="18">
        <f>IF($A3045="","",IF(I3045&lt;&gt;"",I3045,Paramètres!B21))</f>
        <v/>
      </c>
      <c r="I3045" s="18" t="n"/>
    </row>
    <row r="3046">
      <c r="A3046" s="18">
        <f>IF(ISNUMBER(Dossiers!$D$60),Dossiers!$A$60&amp;" · "&amp;Dossiers!$B$60,"")</f>
        <v/>
      </c>
      <c r="B3046" s="18">
        <f>IF($A3046="","",Paramètres!G22)</f>
        <v/>
      </c>
      <c r="C3046" s="18">
        <f>IF($A3046="","",IF(Paramètres!H22="","",Paramètres!H22))</f>
        <v/>
      </c>
      <c r="D3046" s="18">
        <f>IF($A3046="","",IF(Paramètres!I22="","",Paramètres!I22))</f>
        <v/>
      </c>
      <c r="E3046" s="19">
        <f>IF($A3046="","",IF(Paramètres!J22&amp;Paramètres!L22&amp;Paramètres!N22="",Dossiers!$D$60,MAX(IF(Paramètres!J22="",0,IF(Paramètres!K22="",NA(),IF(LEFT(TRIM(Paramètres!K22),1)="F",INDEX($F$3029:$F$3081,MATCH(Paramètres!J22,Paramètres!$G$5:$G$57,0)),INDEX($E$3029:$E$3081,MATCH(Paramètres!J22,Paramètres!$G$5:$G$57,0)))+IF(RIGHT(TRIM(Paramètres!K22),3)="Fin",1-$H3046,IF(LEFT(TRIM(Paramètres!K22),1)="F",1,0)))),IF(Paramètres!L22="",0,IF(Paramètres!M22="",NA(),IF(LEFT(TRIM(Paramètres!M22),1)="F",INDEX($F$3029:$F$3081,MATCH(Paramètres!L22,Paramètres!$G$5:$G$57,0)),INDEX($E$3029:$E$3081,MATCH(Paramètres!L22,Paramètres!$G$5:$G$57,0)))+IF(RIGHT(TRIM(Paramètres!M22),3)="Fin",1-$H3046,IF(LEFT(TRIM(Paramètres!M22),1)="F",1,0)))),IF(Paramètres!N22="",0,IF(Paramètres!O22="",NA(),IF(LEFT(TRIM(Paramètres!O22),1)="F",INDEX($F$3029:$F$3081,MATCH(Paramètres!N22,Paramètres!$G$5:$G$57,0)),INDEX($E$3029:$E$3081,MATCH(Paramètres!N22,Paramètres!$G$5:$G$57,0)))+IF(RIGHT(TRIM(Paramètres!O22),3)="Fin",1-$H3046,IF(LEFT(TRIM(Paramètres!O22),1)="F",1,0)))))))</f>
        <v/>
      </c>
      <c r="F3046" s="19">
        <f>IF($A3046="","",E3046+$H3046-1)</f>
        <v/>
      </c>
      <c r="G3046" s="18" t="n"/>
      <c r="H3046" s="18">
        <f>IF($A3046="","",IF(I3046&lt;&gt;"",I3046,Paramètres!B22))</f>
        <v/>
      </c>
      <c r="I3046" s="18" t="n"/>
    </row>
    <row r="3047">
      <c r="A3047" s="18">
        <f>IF(ISNUMBER(Dossiers!$D$60),Dossiers!$A$60&amp;" · "&amp;Dossiers!$B$60,"")</f>
        <v/>
      </c>
      <c r="B3047" s="18">
        <f>IF($A3047="","",Paramètres!G23)</f>
        <v/>
      </c>
      <c r="C3047" s="18">
        <f>IF($A3047="","",IF(Paramètres!H23="","",Paramètres!H23))</f>
        <v/>
      </c>
      <c r="D3047" s="18">
        <f>IF($A3047="","",IF(Paramètres!I23="","",Paramètres!I23))</f>
        <v/>
      </c>
      <c r="E3047" s="19">
        <f>IF($A3047="","",IF(Paramètres!J23&amp;Paramètres!L23&amp;Paramètres!N23="",Dossiers!$D$60,MAX(IF(Paramètres!J23="",0,IF(Paramètres!K23="",NA(),IF(LEFT(TRIM(Paramètres!K23),1)="F",INDEX($F$3029:$F$3081,MATCH(Paramètres!J23,Paramètres!$G$5:$G$57,0)),INDEX($E$3029:$E$3081,MATCH(Paramètres!J23,Paramètres!$G$5:$G$57,0)))+IF(RIGHT(TRIM(Paramètres!K23),3)="Fin",1-$H3047,IF(LEFT(TRIM(Paramètres!K23),1)="F",1,0)))),IF(Paramètres!L23="",0,IF(Paramètres!M23="",NA(),IF(LEFT(TRIM(Paramètres!M23),1)="F",INDEX($F$3029:$F$3081,MATCH(Paramètres!L23,Paramètres!$G$5:$G$57,0)),INDEX($E$3029:$E$3081,MATCH(Paramètres!L23,Paramètres!$G$5:$G$57,0)))+IF(RIGHT(TRIM(Paramètres!M23),3)="Fin",1-$H3047,IF(LEFT(TRIM(Paramètres!M23),1)="F",1,0)))),IF(Paramètres!N23="",0,IF(Paramètres!O23="",NA(),IF(LEFT(TRIM(Paramètres!O23),1)="F",INDEX($F$3029:$F$3081,MATCH(Paramètres!N23,Paramètres!$G$5:$G$57,0)),INDEX($E$3029:$E$3081,MATCH(Paramètres!N23,Paramètres!$G$5:$G$57,0)))+IF(RIGHT(TRIM(Paramètres!O23),3)="Fin",1-$H3047,IF(LEFT(TRIM(Paramètres!O23),1)="F",1,0)))))))</f>
        <v/>
      </c>
      <c r="F3047" s="19">
        <f>IF($A3047="","",E3047+$H3047-1)</f>
        <v/>
      </c>
      <c r="G3047" s="18" t="n"/>
      <c r="H3047" s="18">
        <f>IF($A3047="","",IF(I3047&lt;&gt;"",I3047,Paramètres!B23))</f>
        <v/>
      </c>
      <c r="I3047" s="18" t="n"/>
    </row>
    <row r="3048">
      <c r="A3048" s="18">
        <f>IF(ISNUMBER(Dossiers!$D$60),Dossiers!$A$60&amp;" · "&amp;Dossiers!$B$60,"")</f>
        <v/>
      </c>
      <c r="B3048" s="18">
        <f>IF($A3048="","",Paramètres!G24)</f>
        <v/>
      </c>
      <c r="C3048" s="18">
        <f>IF($A3048="","",IF(Paramètres!H24="","",Paramètres!H24))</f>
        <v/>
      </c>
      <c r="D3048" s="18">
        <f>IF($A3048="","",IF(Paramètres!I24="","",Paramètres!I24))</f>
        <v/>
      </c>
      <c r="E3048" s="19">
        <f>IF($A3048="","",IF(Paramètres!J24&amp;Paramètres!L24&amp;Paramètres!N24="",Dossiers!$D$60,MAX(IF(Paramètres!J24="",0,IF(Paramètres!K24="",NA(),IF(LEFT(TRIM(Paramètres!K24),1)="F",INDEX($F$3029:$F$3081,MATCH(Paramètres!J24,Paramètres!$G$5:$G$57,0)),INDEX($E$3029:$E$3081,MATCH(Paramètres!J24,Paramètres!$G$5:$G$57,0)))+IF(RIGHT(TRIM(Paramètres!K24),3)="Fin",1-$H3048,IF(LEFT(TRIM(Paramètres!K24),1)="F",1,0)))),IF(Paramètres!L24="",0,IF(Paramètres!M24="",NA(),IF(LEFT(TRIM(Paramètres!M24),1)="F",INDEX($F$3029:$F$3081,MATCH(Paramètres!L24,Paramètres!$G$5:$G$57,0)),INDEX($E$3029:$E$3081,MATCH(Paramètres!L24,Paramètres!$G$5:$G$57,0)))+IF(RIGHT(TRIM(Paramètres!M24),3)="Fin",1-$H3048,IF(LEFT(TRIM(Paramètres!M24),1)="F",1,0)))),IF(Paramètres!N24="",0,IF(Paramètres!O24="",NA(),IF(LEFT(TRIM(Paramètres!O24),1)="F",INDEX($F$3029:$F$3081,MATCH(Paramètres!N24,Paramètres!$G$5:$G$57,0)),INDEX($E$3029:$E$3081,MATCH(Paramètres!N24,Paramètres!$G$5:$G$57,0)))+IF(RIGHT(TRIM(Paramètres!O24),3)="Fin",1-$H3048,IF(LEFT(TRIM(Paramètres!O24),1)="F",1,0)))))))</f>
        <v/>
      </c>
      <c r="F3048" s="19">
        <f>IF($A3048="","",E3048+$H3048-1)</f>
        <v/>
      </c>
      <c r="G3048" s="18" t="n"/>
      <c r="H3048" s="18">
        <f>IF($A3048="","",IF(I3048&lt;&gt;"",I3048,Paramètres!B24))</f>
        <v/>
      </c>
      <c r="I3048" s="18" t="n"/>
    </row>
    <row r="3049">
      <c r="A3049" s="18">
        <f>IF(ISNUMBER(Dossiers!$D$60),Dossiers!$A$60&amp;" · "&amp;Dossiers!$B$60,"")</f>
        <v/>
      </c>
      <c r="B3049" s="18">
        <f>IF($A3049="","",Paramètres!G25)</f>
        <v/>
      </c>
      <c r="C3049" s="18">
        <f>IF($A3049="","",IF(Paramètres!H25="","",Paramètres!H25))</f>
        <v/>
      </c>
      <c r="D3049" s="18">
        <f>IF($A3049="","",IF(Paramètres!I25="","",Paramètres!I25))</f>
        <v/>
      </c>
      <c r="E3049" s="19">
        <f>IF($A3049="","",IF(Paramètres!J25&amp;Paramètres!L25&amp;Paramètres!N25="",Dossiers!$D$60,MAX(IF(Paramètres!J25="",0,IF(Paramètres!K25="",NA(),IF(LEFT(TRIM(Paramètres!K25),1)="F",INDEX($F$3029:$F$3081,MATCH(Paramètres!J25,Paramètres!$G$5:$G$57,0)),INDEX($E$3029:$E$3081,MATCH(Paramètres!J25,Paramètres!$G$5:$G$57,0)))+IF(RIGHT(TRIM(Paramètres!K25),3)="Fin",1-$H3049,IF(LEFT(TRIM(Paramètres!K25),1)="F",1,0)))),IF(Paramètres!L25="",0,IF(Paramètres!M25="",NA(),IF(LEFT(TRIM(Paramètres!M25),1)="F",INDEX($F$3029:$F$3081,MATCH(Paramètres!L25,Paramètres!$G$5:$G$57,0)),INDEX($E$3029:$E$3081,MATCH(Paramètres!L25,Paramètres!$G$5:$G$57,0)))+IF(RIGHT(TRIM(Paramètres!M25),3)="Fin",1-$H3049,IF(LEFT(TRIM(Paramètres!M25),1)="F",1,0)))),IF(Paramètres!N25="",0,IF(Paramètres!O25="",NA(),IF(LEFT(TRIM(Paramètres!O25),1)="F",INDEX($F$3029:$F$3081,MATCH(Paramètres!N25,Paramètres!$G$5:$G$57,0)),INDEX($E$3029:$E$3081,MATCH(Paramètres!N25,Paramètres!$G$5:$G$57,0)))+IF(RIGHT(TRIM(Paramètres!O25),3)="Fin",1-$H3049,IF(LEFT(TRIM(Paramètres!O25),1)="F",1,0)))))))</f>
        <v/>
      </c>
      <c r="F3049" s="19">
        <f>IF($A3049="","",E3049+$H3049-1)</f>
        <v/>
      </c>
      <c r="G3049" s="18" t="n"/>
      <c r="H3049" s="18">
        <f>IF($A3049="","",IF(I3049&lt;&gt;"",I3049,Paramètres!B25))</f>
        <v/>
      </c>
      <c r="I3049" s="18" t="n"/>
    </row>
    <row r="3050">
      <c r="A3050" s="18">
        <f>IF(ISNUMBER(Dossiers!$D$60),Dossiers!$A$60&amp;" · "&amp;Dossiers!$B$60,"")</f>
        <v/>
      </c>
      <c r="B3050" s="18">
        <f>IF($A3050="","",Paramètres!G26)</f>
        <v/>
      </c>
      <c r="C3050" s="18">
        <f>IF($A3050="","",IF(Paramètres!H26="","",Paramètres!H26))</f>
        <v/>
      </c>
      <c r="D3050" s="18">
        <f>IF($A3050="","",IF(Paramètres!I26="","",Paramètres!I26))</f>
        <v/>
      </c>
      <c r="E3050" s="19">
        <f>IF($A3050="","",IF(Paramètres!J26&amp;Paramètres!L26&amp;Paramètres!N26="",Dossiers!$D$60,MAX(IF(Paramètres!J26="",0,IF(Paramètres!K26="",NA(),IF(LEFT(TRIM(Paramètres!K26),1)="F",INDEX($F$3029:$F$3081,MATCH(Paramètres!J26,Paramètres!$G$5:$G$57,0)),INDEX($E$3029:$E$3081,MATCH(Paramètres!J26,Paramètres!$G$5:$G$57,0)))+IF(RIGHT(TRIM(Paramètres!K26),3)="Fin",1-$H3050,IF(LEFT(TRIM(Paramètres!K26),1)="F",1,0)))),IF(Paramètres!L26="",0,IF(Paramètres!M26="",NA(),IF(LEFT(TRIM(Paramètres!M26),1)="F",INDEX($F$3029:$F$3081,MATCH(Paramètres!L26,Paramètres!$G$5:$G$57,0)),INDEX($E$3029:$E$3081,MATCH(Paramètres!L26,Paramètres!$G$5:$G$57,0)))+IF(RIGHT(TRIM(Paramètres!M26),3)="Fin",1-$H3050,IF(LEFT(TRIM(Paramètres!M26),1)="F",1,0)))),IF(Paramètres!N26="",0,IF(Paramètres!O26="",NA(),IF(LEFT(TRIM(Paramètres!O26),1)="F",INDEX($F$3029:$F$3081,MATCH(Paramètres!N26,Paramètres!$G$5:$G$57,0)),INDEX($E$3029:$E$3081,MATCH(Paramètres!N26,Paramètres!$G$5:$G$57,0)))+IF(RIGHT(TRIM(Paramètres!O26),3)="Fin",1-$H3050,IF(LEFT(TRIM(Paramètres!O26),1)="F",1,0)))))))</f>
        <v/>
      </c>
      <c r="F3050" s="19">
        <f>IF($A3050="","",E3050+$H3050-1)</f>
        <v/>
      </c>
      <c r="G3050" s="18" t="n"/>
      <c r="H3050" s="18">
        <f>IF($A3050="","",IF(I3050&lt;&gt;"",I3050,Paramètres!B26))</f>
        <v/>
      </c>
      <c r="I3050" s="18" t="n"/>
    </row>
    <row r="3051">
      <c r="A3051" s="18">
        <f>IF(ISNUMBER(Dossiers!$D$60),Dossiers!$A$60&amp;" · "&amp;Dossiers!$B$60,"")</f>
        <v/>
      </c>
      <c r="B3051" s="18">
        <f>IF($A3051="","",Paramètres!G27)</f>
        <v/>
      </c>
      <c r="C3051" s="18">
        <f>IF($A3051="","",IF(Paramètres!H27="","",Paramètres!H27))</f>
        <v/>
      </c>
      <c r="D3051" s="18">
        <f>IF($A3051="","",IF(Paramètres!I27="","",Paramètres!I27))</f>
        <v/>
      </c>
      <c r="E3051" s="19">
        <f>IF($A3051="","",IF(Paramètres!J27&amp;Paramètres!L27&amp;Paramètres!N27="",Dossiers!$D$60,MAX(IF(Paramètres!J27="",0,IF(Paramètres!K27="",NA(),IF(LEFT(TRIM(Paramètres!K27),1)="F",INDEX($F$3029:$F$3081,MATCH(Paramètres!J27,Paramètres!$G$5:$G$57,0)),INDEX($E$3029:$E$3081,MATCH(Paramètres!J27,Paramètres!$G$5:$G$57,0)))+IF(RIGHT(TRIM(Paramètres!K27),3)="Fin",1-$H3051,IF(LEFT(TRIM(Paramètres!K27),1)="F",1,0)))),IF(Paramètres!L27="",0,IF(Paramètres!M27="",NA(),IF(LEFT(TRIM(Paramètres!M27),1)="F",INDEX($F$3029:$F$3081,MATCH(Paramètres!L27,Paramètres!$G$5:$G$57,0)),INDEX($E$3029:$E$3081,MATCH(Paramètres!L27,Paramètres!$G$5:$G$57,0)))+IF(RIGHT(TRIM(Paramètres!M27),3)="Fin",1-$H3051,IF(LEFT(TRIM(Paramètres!M27),1)="F",1,0)))),IF(Paramètres!N27="",0,IF(Paramètres!O27="",NA(),IF(LEFT(TRIM(Paramètres!O27),1)="F",INDEX($F$3029:$F$3081,MATCH(Paramètres!N27,Paramètres!$G$5:$G$57,0)),INDEX($E$3029:$E$3081,MATCH(Paramètres!N27,Paramètres!$G$5:$G$57,0)))+IF(RIGHT(TRIM(Paramètres!O27),3)="Fin",1-$H3051,IF(LEFT(TRIM(Paramètres!O27),1)="F",1,0)))))))</f>
        <v/>
      </c>
      <c r="F3051" s="19">
        <f>IF($A3051="","",E3051+$H3051-1)</f>
        <v/>
      </c>
      <c r="G3051" s="18" t="n"/>
      <c r="H3051" s="18">
        <f>IF($A3051="","",IF(I3051&lt;&gt;"",I3051,Paramètres!B27))</f>
        <v/>
      </c>
      <c r="I3051" s="18" t="n"/>
    </row>
    <row r="3052">
      <c r="A3052" s="18">
        <f>IF(ISNUMBER(Dossiers!$D$60),Dossiers!$A$60&amp;" · "&amp;Dossiers!$B$60,"")</f>
        <v/>
      </c>
      <c r="B3052" s="18">
        <f>IF($A3052="","",Paramètres!G28)</f>
        <v/>
      </c>
      <c r="C3052" s="18">
        <f>IF($A3052="","",IF(Paramètres!H28="","",Paramètres!H28))</f>
        <v/>
      </c>
      <c r="D3052" s="18">
        <f>IF($A3052="","",IF(Paramètres!I28="","",Paramètres!I28))</f>
        <v/>
      </c>
      <c r="E3052" s="19">
        <f>IF($A3052="","",IF(Paramètres!J28&amp;Paramètres!L28&amp;Paramètres!N28="",Dossiers!$D$60,MAX(IF(Paramètres!J28="",0,IF(Paramètres!K28="",NA(),IF(LEFT(TRIM(Paramètres!K28),1)="F",INDEX($F$3029:$F$3081,MATCH(Paramètres!J28,Paramètres!$G$5:$G$57,0)),INDEX($E$3029:$E$3081,MATCH(Paramètres!J28,Paramètres!$G$5:$G$57,0)))+IF(RIGHT(TRIM(Paramètres!K28),3)="Fin",1-$H3052,IF(LEFT(TRIM(Paramètres!K28),1)="F",1,0)))),IF(Paramètres!L28="",0,IF(Paramètres!M28="",NA(),IF(LEFT(TRIM(Paramètres!M28),1)="F",INDEX($F$3029:$F$3081,MATCH(Paramètres!L28,Paramètres!$G$5:$G$57,0)),INDEX($E$3029:$E$3081,MATCH(Paramètres!L28,Paramètres!$G$5:$G$57,0)))+IF(RIGHT(TRIM(Paramètres!M28),3)="Fin",1-$H3052,IF(LEFT(TRIM(Paramètres!M28),1)="F",1,0)))),IF(Paramètres!N28="",0,IF(Paramètres!O28="",NA(),IF(LEFT(TRIM(Paramètres!O28),1)="F",INDEX($F$3029:$F$3081,MATCH(Paramètres!N28,Paramètres!$G$5:$G$57,0)),INDEX($E$3029:$E$3081,MATCH(Paramètres!N28,Paramètres!$G$5:$G$57,0)))+IF(RIGHT(TRIM(Paramètres!O28),3)="Fin",1-$H3052,IF(LEFT(TRIM(Paramètres!O28),1)="F",1,0)))))))</f>
        <v/>
      </c>
      <c r="F3052" s="19">
        <f>IF($A3052="","",E3052+$H3052-1)</f>
        <v/>
      </c>
      <c r="G3052" s="18" t="n"/>
      <c r="H3052" s="18">
        <f>IF($A3052="","",IF(I3052&lt;&gt;"",I3052,Paramètres!B28))</f>
        <v/>
      </c>
      <c r="I3052" s="18" t="n"/>
    </row>
    <row r="3053">
      <c r="A3053" s="18">
        <f>IF(ISNUMBER(Dossiers!$D$60),Dossiers!$A$60&amp;" · "&amp;Dossiers!$B$60,"")</f>
        <v/>
      </c>
      <c r="B3053" s="18">
        <f>IF($A3053="","",Paramètres!G29)</f>
        <v/>
      </c>
      <c r="C3053" s="18">
        <f>IF($A3053="","",IF(Paramètres!H29="","",Paramètres!H29))</f>
        <v/>
      </c>
      <c r="D3053" s="18">
        <f>IF($A3053="","",IF(Paramètres!I29="","",Paramètres!I29))</f>
        <v/>
      </c>
      <c r="E3053" s="19">
        <f>IF($A3053="","",IF(Paramètres!J29&amp;Paramètres!L29&amp;Paramètres!N29="",Dossiers!$D$60,MAX(IF(Paramètres!J29="",0,IF(Paramètres!K29="",NA(),IF(LEFT(TRIM(Paramètres!K29),1)="F",INDEX($F$3029:$F$3081,MATCH(Paramètres!J29,Paramètres!$G$5:$G$57,0)),INDEX($E$3029:$E$3081,MATCH(Paramètres!J29,Paramètres!$G$5:$G$57,0)))+IF(RIGHT(TRIM(Paramètres!K29),3)="Fin",1-$H3053,IF(LEFT(TRIM(Paramètres!K29),1)="F",1,0)))),IF(Paramètres!L29="",0,IF(Paramètres!M29="",NA(),IF(LEFT(TRIM(Paramètres!M29),1)="F",INDEX($F$3029:$F$3081,MATCH(Paramètres!L29,Paramètres!$G$5:$G$57,0)),INDEX($E$3029:$E$3081,MATCH(Paramètres!L29,Paramètres!$G$5:$G$57,0)))+IF(RIGHT(TRIM(Paramètres!M29),3)="Fin",1-$H3053,IF(LEFT(TRIM(Paramètres!M29),1)="F",1,0)))),IF(Paramètres!N29="",0,IF(Paramètres!O29="",NA(),IF(LEFT(TRIM(Paramètres!O29),1)="F",INDEX($F$3029:$F$3081,MATCH(Paramètres!N29,Paramètres!$G$5:$G$57,0)),INDEX($E$3029:$E$3081,MATCH(Paramètres!N29,Paramètres!$G$5:$G$57,0)))+IF(RIGHT(TRIM(Paramètres!O29),3)="Fin",1-$H3053,IF(LEFT(TRIM(Paramètres!O29),1)="F",1,0)))))))</f>
        <v/>
      </c>
      <c r="F3053" s="19">
        <f>IF($A3053="","",E3053+$H3053-1)</f>
        <v/>
      </c>
      <c r="G3053" s="18" t="n"/>
      <c r="H3053" s="18">
        <f>IF($A3053="","",IF(I3053&lt;&gt;"",I3053,Paramètres!B29))</f>
        <v/>
      </c>
      <c r="I3053" s="18" t="n"/>
    </row>
    <row r="3054">
      <c r="A3054" s="18">
        <f>IF(ISNUMBER(Dossiers!$D$60),Dossiers!$A$60&amp;" · "&amp;Dossiers!$B$60,"")</f>
        <v/>
      </c>
      <c r="B3054" s="18">
        <f>IF($A3054="","",Paramètres!G30)</f>
        <v/>
      </c>
      <c r="C3054" s="18">
        <f>IF($A3054="","",IF(Paramètres!H30="","",Paramètres!H30))</f>
        <v/>
      </c>
      <c r="D3054" s="18">
        <f>IF($A3054="","",IF(Paramètres!I30="","",Paramètres!I30))</f>
        <v/>
      </c>
      <c r="E3054" s="19">
        <f>IF($A3054="","",IF(Paramètres!J30&amp;Paramètres!L30&amp;Paramètres!N30="",Dossiers!$D$60,MAX(IF(Paramètres!J30="",0,IF(Paramètres!K30="",NA(),IF(LEFT(TRIM(Paramètres!K30),1)="F",INDEX($F$3029:$F$3081,MATCH(Paramètres!J30,Paramètres!$G$5:$G$57,0)),INDEX($E$3029:$E$3081,MATCH(Paramètres!J30,Paramètres!$G$5:$G$57,0)))+IF(RIGHT(TRIM(Paramètres!K30),3)="Fin",1-$H3054,IF(LEFT(TRIM(Paramètres!K30),1)="F",1,0)))),IF(Paramètres!L30="",0,IF(Paramètres!M30="",NA(),IF(LEFT(TRIM(Paramètres!M30),1)="F",INDEX($F$3029:$F$3081,MATCH(Paramètres!L30,Paramètres!$G$5:$G$57,0)),INDEX($E$3029:$E$3081,MATCH(Paramètres!L30,Paramètres!$G$5:$G$57,0)))+IF(RIGHT(TRIM(Paramètres!M30),3)="Fin",1-$H3054,IF(LEFT(TRIM(Paramètres!M30),1)="F",1,0)))),IF(Paramètres!N30="",0,IF(Paramètres!O30="",NA(),IF(LEFT(TRIM(Paramètres!O30),1)="F",INDEX($F$3029:$F$3081,MATCH(Paramètres!N30,Paramètres!$G$5:$G$57,0)),INDEX($E$3029:$E$3081,MATCH(Paramètres!N30,Paramètres!$G$5:$G$57,0)))+IF(RIGHT(TRIM(Paramètres!O30),3)="Fin",1-$H3054,IF(LEFT(TRIM(Paramètres!O30),1)="F",1,0)))))))</f>
        <v/>
      </c>
      <c r="F3054" s="19">
        <f>IF($A3054="","",E3054+$H3054-1)</f>
        <v/>
      </c>
      <c r="G3054" s="18" t="n"/>
      <c r="H3054" s="18">
        <f>IF($A3054="","",IF(I3054&lt;&gt;"",I3054,Paramètres!B30))</f>
        <v/>
      </c>
      <c r="I3054" s="18" t="n"/>
    </row>
    <row r="3055">
      <c r="A3055" s="18">
        <f>IF(ISNUMBER(Dossiers!$D$60),Dossiers!$A$60&amp;" · "&amp;Dossiers!$B$60,"")</f>
        <v/>
      </c>
      <c r="B3055" s="18">
        <f>IF($A3055="","",Paramètres!G31)</f>
        <v/>
      </c>
      <c r="C3055" s="20">
        <f>IF($A3055="","",IF(Dossiers!$F$60="","",Dossiers!$F$60))</f>
        <v/>
      </c>
      <c r="D3055" s="18">
        <f>IF($A3055="","",IF(Paramètres!I31="","",Paramètres!I31))</f>
        <v/>
      </c>
      <c r="E3055" s="19">
        <f>IF($A3055="","",IF(Paramètres!J31&amp;Paramètres!L31&amp;Paramètres!N31="",Dossiers!$D$60,MAX(IF(Paramètres!J31="",0,IF(Paramètres!K31="",NA(),IF(LEFT(TRIM(Paramètres!K31),1)="F",INDEX($F$3029:$F$3081,MATCH(Paramètres!J31,Paramètres!$G$5:$G$57,0)),INDEX($E$3029:$E$3081,MATCH(Paramètres!J31,Paramètres!$G$5:$G$57,0)))+IF(RIGHT(TRIM(Paramètres!K31),3)="Fin",1-$H3055,IF(LEFT(TRIM(Paramètres!K31),1)="F",1,0)))),IF(Paramètres!L31="",0,IF(Paramètres!M31="",NA(),IF(LEFT(TRIM(Paramètres!M31),1)="F",INDEX($F$3029:$F$3081,MATCH(Paramètres!L31,Paramètres!$G$5:$G$57,0)),INDEX($E$3029:$E$3081,MATCH(Paramètres!L31,Paramètres!$G$5:$G$57,0)))+IF(RIGHT(TRIM(Paramètres!M31),3)="Fin",1-$H3055,IF(LEFT(TRIM(Paramètres!M31),1)="F",1,0)))),IF(Paramètres!N31="",0,IF(Paramètres!O31="",NA(),IF(LEFT(TRIM(Paramètres!O31),1)="F",INDEX($F$3029:$F$3081,MATCH(Paramètres!N31,Paramètres!$G$5:$G$57,0)),INDEX($E$3029:$E$3081,MATCH(Paramètres!N31,Paramètres!$G$5:$G$57,0)))+IF(RIGHT(TRIM(Paramètres!O31),3)="Fin",1-$H3055,IF(LEFT(TRIM(Paramètres!O31),1)="F",1,0)))))))</f>
        <v/>
      </c>
      <c r="F3055" s="19">
        <f>IF($A3055="","",E3055+$H3055-1)</f>
        <v/>
      </c>
      <c r="G3055" s="18" t="n"/>
      <c r="H3055" s="18">
        <f>IF($A3055="","",IF(I3055&lt;&gt;"",I3055,Paramètres!B31))</f>
        <v/>
      </c>
      <c r="I3055" s="18" t="n"/>
    </row>
    <row r="3056">
      <c r="A3056" s="18">
        <f>IF(ISNUMBER(Dossiers!$D$60),Dossiers!$A$60&amp;" · "&amp;Dossiers!$B$60,"")</f>
        <v/>
      </c>
      <c r="B3056" s="18">
        <f>IF($A3056="","",Paramètres!G32)</f>
        <v/>
      </c>
      <c r="C3056" s="18">
        <f>IF($A3056="","",IF(Paramètres!H32="","",Paramètres!H32))</f>
        <v/>
      </c>
      <c r="D3056" s="18">
        <f>IF($A3056="","",IF(Paramètres!I32="","",Paramètres!I32))</f>
        <v/>
      </c>
      <c r="E3056" s="19">
        <f>IF($A3056="","",MIN(E3057:E3060))</f>
        <v/>
      </c>
      <c r="F3056" s="19">
        <f>IF($A3056="","",MAX(F3057:F3060))</f>
        <v/>
      </c>
      <c r="G3056" s="18" t="n"/>
      <c r="H3056" s="18">
        <f>IF($A3056="","",F3056-E3056+1)</f>
        <v/>
      </c>
      <c r="I3056" s="18" t="n"/>
    </row>
    <row r="3057">
      <c r="A3057" s="18">
        <f>IF(ISNUMBER(Dossiers!$D$60),Dossiers!$A$60&amp;" · "&amp;Dossiers!$B$60,"")</f>
        <v/>
      </c>
      <c r="B3057" s="18">
        <f>IF($A3057="","",Paramètres!G33)</f>
        <v/>
      </c>
      <c r="C3057" s="18">
        <f>IF($A3057="","",IF(Paramètres!H33="","",Paramètres!H33))</f>
        <v/>
      </c>
      <c r="D3057" s="18">
        <f>IF($A3057="","",IF(Paramètres!I33="","",Paramètres!I33))</f>
        <v/>
      </c>
      <c r="E3057" s="19">
        <f>IF($A3057="","",IF(Paramètres!J33&amp;Paramètres!L33&amp;Paramètres!N33="",Dossiers!$D$60,MAX(IF(Paramètres!J33="",0,IF(Paramètres!K33="",NA(),IF(LEFT(TRIM(Paramètres!K33),1)="F",INDEX($F$3029:$F$3081,MATCH(Paramètres!J33,Paramètres!$G$5:$G$57,0)),INDEX($E$3029:$E$3081,MATCH(Paramètres!J33,Paramètres!$G$5:$G$57,0)))+IF(RIGHT(TRIM(Paramètres!K33),3)="Fin",1-$H3057,IF(LEFT(TRIM(Paramètres!K33),1)="F",1,0)))),IF(Paramètres!L33="",0,IF(Paramètres!M33="",NA(),IF(LEFT(TRIM(Paramètres!M33),1)="F",INDEX($F$3029:$F$3081,MATCH(Paramètres!L33,Paramètres!$G$5:$G$57,0)),INDEX($E$3029:$E$3081,MATCH(Paramètres!L33,Paramètres!$G$5:$G$57,0)))+IF(RIGHT(TRIM(Paramètres!M33),3)="Fin",1-$H3057,IF(LEFT(TRIM(Paramètres!M33),1)="F",1,0)))),IF(Paramètres!N33="",0,IF(Paramètres!O33="",NA(),IF(LEFT(TRIM(Paramètres!O33),1)="F",INDEX($F$3029:$F$3081,MATCH(Paramètres!N33,Paramètres!$G$5:$G$57,0)),INDEX($E$3029:$E$3081,MATCH(Paramètres!N33,Paramètres!$G$5:$G$57,0)))+IF(RIGHT(TRIM(Paramètres!O33),3)="Fin",1-$H3057,IF(LEFT(TRIM(Paramètres!O33),1)="F",1,0)))))))</f>
        <v/>
      </c>
      <c r="F3057" s="19">
        <f>IF($A3057="","",E3057+$H3057-1)</f>
        <v/>
      </c>
      <c r="G3057" s="18" t="n"/>
      <c r="H3057" s="18">
        <f>IF($A3057="","",IF(I3057&lt;&gt;"",I3057,Paramètres!B33))</f>
        <v/>
      </c>
      <c r="I3057" s="18" t="n"/>
    </row>
    <row r="3058">
      <c r="A3058" s="18">
        <f>IF(ISNUMBER(Dossiers!$D$60),Dossiers!$A$60&amp;" · "&amp;Dossiers!$B$60,"")</f>
        <v/>
      </c>
      <c r="B3058" s="18">
        <f>IF($A3058="","",Paramètres!G34)</f>
        <v/>
      </c>
      <c r="C3058" s="18">
        <f>IF($A3058="","",IF(Paramètres!H34="","",Paramètres!H34))</f>
        <v/>
      </c>
      <c r="D3058" s="18">
        <f>IF($A3058="","",IF(Paramètres!I34="","",Paramètres!I34))</f>
        <v/>
      </c>
      <c r="E3058" s="19">
        <f>IF($A3058="","",IF(Paramètres!J34&amp;Paramètres!L34&amp;Paramètres!N34="",Dossiers!$D$60,MAX(IF(Paramètres!J34="",0,IF(Paramètres!K34="",NA(),IF(LEFT(TRIM(Paramètres!K34),1)="F",INDEX($F$3029:$F$3081,MATCH(Paramètres!J34,Paramètres!$G$5:$G$57,0)),INDEX($E$3029:$E$3081,MATCH(Paramètres!J34,Paramètres!$G$5:$G$57,0)))+IF(RIGHT(TRIM(Paramètres!K34),3)="Fin",1-$H3058,IF(LEFT(TRIM(Paramètres!K34),1)="F",1,0)))),IF(Paramètres!L34="",0,IF(Paramètres!M34="",NA(),IF(LEFT(TRIM(Paramètres!M34),1)="F",INDEX($F$3029:$F$3081,MATCH(Paramètres!L34,Paramètres!$G$5:$G$57,0)),INDEX($E$3029:$E$3081,MATCH(Paramètres!L34,Paramètres!$G$5:$G$57,0)))+IF(RIGHT(TRIM(Paramètres!M34),3)="Fin",1-$H3058,IF(LEFT(TRIM(Paramètres!M34),1)="F",1,0)))),IF(Paramètres!N34="",0,IF(Paramètres!O34="",NA(),IF(LEFT(TRIM(Paramètres!O34),1)="F",INDEX($F$3029:$F$3081,MATCH(Paramètres!N34,Paramètres!$G$5:$G$57,0)),INDEX($E$3029:$E$3081,MATCH(Paramètres!N34,Paramètres!$G$5:$G$57,0)))+IF(RIGHT(TRIM(Paramètres!O34),3)="Fin",1-$H3058,IF(LEFT(TRIM(Paramètres!O34),1)="F",1,0)))))))</f>
        <v/>
      </c>
      <c r="F3058" s="19">
        <f>IF($A3058="","",E3058+$H3058-1)</f>
        <v/>
      </c>
      <c r="G3058" s="18" t="n"/>
      <c r="H3058" s="18">
        <f>IF($A3058="","",IF(I3058&lt;&gt;"",I3058,Paramètres!B34))</f>
        <v/>
      </c>
      <c r="I3058" s="18" t="n"/>
    </row>
    <row r="3059">
      <c r="A3059" s="18">
        <f>IF(ISNUMBER(Dossiers!$D$60),Dossiers!$A$60&amp;" · "&amp;Dossiers!$B$60,"")</f>
        <v/>
      </c>
      <c r="B3059" s="18">
        <f>IF($A3059="","",Paramètres!G35)</f>
        <v/>
      </c>
      <c r="C3059" s="18">
        <f>IF($A3059="","",IF(Paramètres!H35="","",Paramètres!H35))</f>
        <v/>
      </c>
      <c r="D3059" s="18">
        <f>IF($A3059="","",IF(Paramètres!I35="","",Paramètres!I35))</f>
        <v/>
      </c>
      <c r="E3059" s="19">
        <f>IF($A3059="","",IF(Paramètres!J35&amp;Paramètres!L35&amp;Paramètres!N35="",Dossiers!$D$60,MAX(IF(Paramètres!J35="",0,IF(Paramètres!K35="",NA(),IF(LEFT(TRIM(Paramètres!K35),1)="F",INDEX($F$3029:$F$3081,MATCH(Paramètres!J35,Paramètres!$G$5:$G$57,0)),INDEX($E$3029:$E$3081,MATCH(Paramètres!J35,Paramètres!$G$5:$G$57,0)))+IF(RIGHT(TRIM(Paramètres!K35),3)="Fin",1-$H3059,IF(LEFT(TRIM(Paramètres!K35),1)="F",1,0)))),IF(Paramètres!L35="",0,IF(Paramètres!M35="",NA(),IF(LEFT(TRIM(Paramètres!M35),1)="F",INDEX($F$3029:$F$3081,MATCH(Paramètres!L35,Paramètres!$G$5:$G$57,0)),INDEX($E$3029:$E$3081,MATCH(Paramètres!L35,Paramètres!$G$5:$G$57,0)))+IF(RIGHT(TRIM(Paramètres!M35),3)="Fin",1-$H3059,IF(LEFT(TRIM(Paramètres!M35),1)="F",1,0)))),IF(Paramètres!N35="",0,IF(Paramètres!O35="",NA(),IF(LEFT(TRIM(Paramètres!O35),1)="F",INDEX($F$3029:$F$3081,MATCH(Paramètres!N35,Paramètres!$G$5:$G$57,0)),INDEX($E$3029:$E$3081,MATCH(Paramètres!N35,Paramètres!$G$5:$G$57,0)))+IF(RIGHT(TRIM(Paramètres!O35),3)="Fin",1-$H3059,IF(LEFT(TRIM(Paramètres!O35),1)="F",1,0)))))))</f>
        <v/>
      </c>
      <c r="F3059" s="19">
        <f>IF($A3059="","",E3059+$H3059-1)</f>
        <v/>
      </c>
      <c r="G3059" s="18" t="n"/>
      <c r="H3059" s="18">
        <f>IF($A3059="","",IF(I3059&lt;&gt;"",I3059,Paramètres!B35))</f>
        <v/>
      </c>
      <c r="I3059" s="18" t="n"/>
    </row>
    <row r="3060">
      <c r="A3060" s="18">
        <f>IF(ISNUMBER(Dossiers!$D$60),Dossiers!$A$60&amp;" · "&amp;Dossiers!$B$60,"")</f>
        <v/>
      </c>
      <c r="B3060" s="18">
        <f>IF($A3060="","",Paramètres!G36)</f>
        <v/>
      </c>
      <c r="C3060" s="18">
        <f>IF($A3060="","",IF(Paramètres!H36="","",Paramètres!H36))</f>
        <v/>
      </c>
      <c r="D3060" s="18">
        <f>IF($A3060="","",IF(Paramètres!I36="","",Paramètres!I36))</f>
        <v/>
      </c>
      <c r="E3060" s="19">
        <f>IF($A3060="","",IF(Paramètres!J36&amp;Paramètres!L36&amp;Paramètres!N36="",Dossiers!$D$60,MAX(IF(Paramètres!J36="",0,IF(Paramètres!K36="",NA(),IF(LEFT(TRIM(Paramètres!K36),1)="F",INDEX($F$3029:$F$3081,MATCH(Paramètres!J36,Paramètres!$G$5:$G$57,0)),INDEX($E$3029:$E$3081,MATCH(Paramètres!J36,Paramètres!$G$5:$G$57,0)))+IF(RIGHT(TRIM(Paramètres!K36),3)="Fin",1-$H3060,IF(LEFT(TRIM(Paramètres!K36),1)="F",1,0)))),IF(Paramètres!L36="",0,IF(Paramètres!M36="",NA(),IF(LEFT(TRIM(Paramètres!M36),1)="F",INDEX($F$3029:$F$3081,MATCH(Paramètres!L36,Paramètres!$G$5:$G$57,0)),INDEX($E$3029:$E$3081,MATCH(Paramètres!L36,Paramètres!$G$5:$G$57,0)))+IF(RIGHT(TRIM(Paramètres!M36),3)="Fin",1-$H3060,IF(LEFT(TRIM(Paramètres!M36),1)="F",1,0)))),IF(Paramètres!N36="",0,IF(Paramètres!O36="",NA(),IF(LEFT(TRIM(Paramètres!O36),1)="F",INDEX($F$3029:$F$3081,MATCH(Paramètres!N36,Paramètres!$G$5:$G$57,0)),INDEX($E$3029:$E$3081,MATCH(Paramètres!N36,Paramètres!$G$5:$G$57,0)))+IF(RIGHT(TRIM(Paramètres!O36),3)="Fin",1-$H3060,IF(LEFT(TRIM(Paramètres!O36),1)="F",1,0)))))))</f>
        <v/>
      </c>
      <c r="F3060" s="19">
        <f>IF($A3060="","",E3060+$H3060-1)</f>
        <v/>
      </c>
      <c r="G3060" s="18" t="n"/>
      <c r="H3060" s="18">
        <f>IF($A3060="","",IF(I3060&lt;&gt;"",I3060,Paramètres!B36))</f>
        <v/>
      </c>
      <c r="I3060" s="18" t="n"/>
    </row>
    <row r="3061">
      <c r="A3061" s="18">
        <f>IF(ISNUMBER(Dossiers!$D$60),Dossiers!$A$60&amp;" · "&amp;Dossiers!$B$60,"")</f>
        <v/>
      </c>
      <c r="B3061" s="18">
        <f>IF($A3061="","",Paramètres!G37)</f>
        <v/>
      </c>
      <c r="C3061" s="18">
        <f>IF($A3061="","",IF(Paramètres!H37="","",Paramètres!H37))</f>
        <v/>
      </c>
      <c r="D3061" s="18">
        <f>IF($A3061="","",IF(Paramètres!I37="","",Paramètres!I37))</f>
        <v/>
      </c>
      <c r="E3061" s="19">
        <f>IF($A3061="","",MIN(E3062:E3079))</f>
        <v/>
      </c>
      <c r="F3061" s="19">
        <f>IF($A3061="","",MAX(F3062:F3079))</f>
        <v/>
      </c>
      <c r="G3061" s="18" t="n"/>
      <c r="H3061" s="18">
        <f>IF($A3061="","",F3061-E3061+1)</f>
        <v/>
      </c>
      <c r="I3061" s="18" t="n"/>
    </row>
    <row r="3062">
      <c r="A3062" s="18">
        <f>IF(ISNUMBER(Dossiers!$D$60),Dossiers!$A$60&amp;" · "&amp;Dossiers!$B$60,"")</f>
        <v/>
      </c>
      <c r="B3062" s="18">
        <f>IF($A3062="","",Paramètres!G38)</f>
        <v/>
      </c>
      <c r="C3062" s="18">
        <f>IF($A3062="","",IF(Paramètres!H38="","",Paramètres!H38))</f>
        <v/>
      </c>
      <c r="D3062" s="18">
        <f>IF($A3062="","",IF(Paramètres!I38="","",Paramètres!I38))</f>
        <v/>
      </c>
      <c r="E3062" s="19">
        <f>IF($A3062="","",IF(Paramètres!J38&amp;Paramètres!L38&amp;Paramètres!N38="",Dossiers!$D$60,MAX(IF(Paramètres!J38="",0,IF(Paramètres!K38="",NA(),IF(LEFT(TRIM(Paramètres!K38),1)="F",INDEX($F$3029:$F$3081,MATCH(Paramètres!J38,Paramètres!$G$5:$G$57,0)),INDEX($E$3029:$E$3081,MATCH(Paramètres!J38,Paramètres!$G$5:$G$57,0)))+IF(RIGHT(TRIM(Paramètres!K38),3)="Fin",1-$H3062,IF(LEFT(TRIM(Paramètres!K38),1)="F",1,0)))),IF(Paramètres!L38="",0,IF(Paramètres!M38="",NA(),IF(LEFT(TRIM(Paramètres!M38),1)="F",INDEX($F$3029:$F$3081,MATCH(Paramètres!L38,Paramètres!$G$5:$G$57,0)),INDEX($E$3029:$E$3081,MATCH(Paramètres!L38,Paramètres!$G$5:$G$57,0)))+IF(RIGHT(TRIM(Paramètres!M38),3)="Fin",1-$H3062,IF(LEFT(TRIM(Paramètres!M38),1)="F",1,0)))),IF(Paramètres!N38="",0,IF(Paramètres!O38="",NA(),IF(LEFT(TRIM(Paramètres!O38),1)="F",INDEX($F$3029:$F$3081,MATCH(Paramètres!N38,Paramètres!$G$5:$G$57,0)),INDEX($E$3029:$E$3081,MATCH(Paramètres!N38,Paramètres!$G$5:$G$57,0)))+IF(RIGHT(TRIM(Paramètres!O38),3)="Fin",1-$H3062,IF(LEFT(TRIM(Paramètres!O38),1)="F",1,0)))))))</f>
        <v/>
      </c>
      <c r="F3062" s="19">
        <f>IF($A3062="","",E3062+$H3062-1)</f>
        <v/>
      </c>
      <c r="G3062" s="18" t="n"/>
      <c r="H3062" s="18">
        <f>IF($A3062="","",IF(I3062&lt;&gt;"",I3062,Paramètres!B38))</f>
        <v/>
      </c>
      <c r="I3062" s="18" t="n"/>
    </row>
    <row r="3063">
      <c r="A3063" s="18">
        <f>IF(ISNUMBER(Dossiers!$D$60),Dossiers!$A$60&amp;" · "&amp;Dossiers!$B$60,"")</f>
        <v/>
      </c>
      <c r="B3063" s="18">
        <f>IF($A3063="","",Paramètres!G39)</f>
        <v/>
      </c>
      <c r="C3063" s="18">
        <f>IF($A3063="","",IF(Paramètres!H39="","",Paramètres!H39))</f>
        <v/>
      </c>
      <c r="D3063" s="18">
        <f>IF($A3063="","",IF(Paramètres!I39="","",Paramètres!I39))</f>
        <v/>
      </c>
      <c r="E3063" s="19">
        <f>IF($A3063="","",IF(Paramètres!J39&amp;Paramètres!L39&amp;Paramètres!N39="",Dossiers!$D$60,MAX(IF(Paramètres!J39="",0,IF(Paramètres!K39="",NA(),IF(LEFT(TRIM(Paramètres!K39),1)="F",INDEX($F$3029:$F$3081,MATCH(Paramètres!J39,Paramètres!$G$5:$G$57,0)),INDEX($E$3029:$E$3081,MATCH(Paramètres!J39,Paramètres!$G$5:$G$57,0)))+IF(RIGHT(TRIM(Paramètres!K39),3)="Fin",1-$H3063,IF(LEFT(TRIM(Paramètres!K39),1)="F",1,0)))),IF(Paramètres!L39="",0,IF(Paramètres!M39="",NA(),IF(LEFT(TRIM(Paramètres!M39),1)="F",INDEX($F$3029:$F$3081,MATCH(Paramètres!L39,Paramètres!$G$5:$G$57,0)),INDEX($E$3029:$E$3081,MATCH(Paramètres!L39,Paramètres!$G$5:$G$57,0)))+IF(RIGHT(TRIM(Paramètres!M39),3)="Fin",1-$H3063,IF(LEFT(TRIM(Paramètres!M39),1)="F",1,0)))),IF(Paramètres!N39="",0,IF(Paramètres!O39="",NA(),IF(LEFT(TRIM(Paramètres!O39),1)="F",INDEX($F$3029:$F$3081,MATCH(Paramètres!N39,Paramètres!$G$5:$G$57,0)),INDEX($E$3029:$E$3081,MATCH(Paramètres!N39,Paramètres!$G$5:$G$57,0)))+IF(RIGHT(TRIM(Paramètres!O39),3)="Fin",1-$H3063,IF(LEFT(TRIM(Paramètres!O39),1)="F",1,0)))))))</f>
        <v/>
      </c>
      <c r="F3063" s="19">
        <f>IF($A3063="","",E3063+$H3063-1)</f>
        <v/>
      </c>
      <c r="G3063" s="18" t="n"/>
      <c r="H3063" s="18">
        <f>IF($A3063="","",IF(I3063&lt;&gt;"",I3063,Paramètres!B39))</f>
        <v/>
      </c>
      <c r="I3063" s="18" t="n"/>
    </row>
    <row r="3064">
      <c r="A3064" s="18">
        <f>IF(ISNUMBER(Dossiers!$D$60),Dossiers!$A$60&amp;" · "&amp;Dossiers!$B$60,"")</f>
        <v/>
      </c>
      <c r="B3064" s="18">
        <f>IF($A3064="","",Paramètres!G40)</f>
        <v/>
      </c>
      <c r="C3064" s="18">
        <f>IF($A3064="","",IF(Paramètres!H40="","",Paramètres!H40))</f>
        <v/>
      </c>
      <c r="D3064" s="18">
        <f>IF($A3064="","",IF(Paramètres!I40="","",Paramètres!I40))</f>
        <v/>
      </c>
      <c r="E3064" s="19">
        <f>IF($A3064="","",IF(Paramètres!J40&amp;Paramètres!L40&amp;Paramètres!N40="",Dossiers!$D$60,MAX(IF(Paramètres!J40="",0,IF(Paramètres!K40="",NA(),IF(LEFT(TRIM(Paramètres!K40),1)="F",INDEX($F$3029:$F$3081,MATCH(Paramètres!J40,Paramètres!$G$5:$G$57,0)),INDEX($E$3029:$E$3081,MATCH(Paramètres!J40,Paramètres!$G$5:$G$57,0)))+IF(RIGHT(TRIM(Paramètres!K40),3)="Fin",1-$H3064,IF(LEFT(TRIM(Paramètres!K40),1)="F",1,0)))),IF(Paramètres!L40="",0,IF(Paramètres!M40="",NA(),IF(LEFT(TRIM(Paramètres!M40),1)="F",INDEX($F$3029:$F$3081,MATCH(Paramètres!L40,Paramètres!$G$5:$G$57,0)),INDEX($E$3029:$E$3081,MATCH(Paramètres!L40,Paramètres!$G$5:$G$57,0)))+IF(RIGHT(TRIM(Paramètres!M40),3)="Fin",1-$H3064,IF(LEFT(TRIM(Paramètres!M40),1)="F",1,0)))),IF(Paramètres!N40="",0,IF(Paramètres!O40="",NA(),IF(LEFT(TRIM(Paramètres!O40),1)="F",INDEX($F$3029:$F$3081,MATCH(Paramètres!N40,Paramètres!$G$5:$G$57,0)),INDEX($E$3029:$E$3081,MATCH(Paramètres!N40,Paramètres!$G$5:$G$57,0)))+IF(RIGHT(TRIM(Paramètres!O40),3)="Fin",1-$H3064,IF(LEFT(TRIM(Paramètres!O40),1)="F",1,0)))))))</f>
        <v/>
      </c>
      <c r="F3064" s="19">
        <f>IF($A3064="","",E3064+$H3064-1)</f>
        <v/>
      </c>
      <c r="G3064" s="18" t="n"/>
      <c r="H3064" s="18">
        <f>IF($A3064="","",IF(I3064&lt;&gt;"",I3064,Paramètres!B40))</f>
        <v/>
      </c>
      <c r="I3064" s="18" t="n"/>
    </row>
    <row r="3065">
      <c r="A3065" s="18">
        <f>IF(ISNUMBER(Dossiers!$D$60),Dossiers!$A$60&amp;" · "&amp;Dossiers!$B$60,"")</f>
        <v/>
      </c>
      <c r="B3065" s="18">
        <f>IF($A3065="","",Paramètres!G41)</f>
        <v/>
      </c>
      <c r="C3065" s="18">
        <f>IF($A3065="","",IF(Paramètres!H41="","",Paramètres!H41))</f>
        <v/>
      </c>
      <c r="D3065" s="18">
        <f>IF($A3065="","",IF(Paramètres!I41="","",Paramètres!I41))</f>
        <v/>
      </c>
      <c r="E3065" s="19">
        <f>IF($A3065="","",IF(Paramètres!J41&amp;Paramètres!L41&amp;Paramètres!N41="",Dossiers!$D$60,MAX(IF(Paramètres!J41="",0,IF(Paramètres!K41="",NA(),IF(LEFT(TRIM(Paramètres!K41),1)="F",INDEX($F$3029:$F$3081,MATCH(Paramètres!J41,Paramètres!$G$5:$G$57,0)),INDEX($E$3029:$E$3081,MATCH(Paramètres!J41,Paramètres!$G$5:$G$57,0)))+IF(RIGHT(TRIM(Paramètres!K41),3)="Fin",1-$H3065,IF(LEFT(TRIM(Paramètres!K41),1)="F",1,0)))),IF(Paramètres!L41="",0,IF(Paramètres!M41="",NA(),IF(LEFT(TRIM(Paramètres!M41),1)="F",INDEX($F$3029:$F$3081,MATCH(Paramètres!L41,Paramètres!$G$5:$G$57,0)),INDEX($E$3029:$E$3081,MATCH(Paramètres!L41,Paramètres!$G$5:$G$57,0)))+IF(RIGHT(TRIM(Paramètres!M41),3)="Fin",1-$H3065,IF(LEFT(TRIM(Paramètres!M41),1)="F",1,0)))),IF(Paramètres!N41="",0,IF(Paramètres!O41="",NA(),IF(LEFT(TRIM(Paramètres!O41),1)="F",INDEX($F$3029:$F$3081,MATCH(Paramètres!N41,Paramètres!$G$5:$G$57,0)),INDEX($E$3029:$E$3081,MATCH(Paramètres!N41,Paramètres!$G$5:$G$57,0)))+IF(RIGHT(TRIM(Paramètres!O41),3)="Fin",1-$H3065,IF(LEFT(TRIM(Paramètres!O41),1)="F",1,0)))))))</f>
        <v/>
      </c>
      <c r="F3065" s="19">
        <f>IF($A3065="","",E3065+$H3065-1)</f>
        <v/>
      </c>
      <c r="G3065" s="18" t="n"/>
      <c r="H3065" s="18">
        <f>IF($A3065="","",IF(I3065&lt;&gt;"",I3065,Paramètres!B41))</f>
        <v/>
      </c>
      <c r="I3065" s="18" t="n"/>
    </row>
    <row r="3066">
      <c r="A3066" s="18">
        <f>IF(ISNUMBER(Dossiers!$D$60),Dossiers!$A$60&amp;" · "&amp;Dossiers!$B$60,"")</f>
        <v/>
      </c>
      <c r="B3066" s="18">
        <f>IF($A3066="","",Paramètres!G42)</f>
        <v/>
      </c>
      <c r="C3066" s="18">
        <f>IF($A3066="","",IF(Paramètres!H42="","",Paramètres!H42))</f>
        <v/>
      </c>
      <c r="D3066" s="18">
        <f>IF($A3066="","",IF(Paramètres!I42="","",Paramètres!I42))</f>
        <v/>
      </c>
      <c r="E3066" s="19">
        <f>IF($A3066="","",IF(Paramètres!J42&amp;Paramètres!L42&amp;Paramètres!N42="",Dossiers!$D$60,MAX(IF(Paramètres!J42="",0,IF(Paramètres!K42="",NA(),IF(LEFT(TRIM(Paramètres!K42),1)="F",INDEX($F$3029:$F$3081,MATCH(Paramètres!J42,Paramètres!$G$5:$G$57,0)),INDEX($E$3029:$E$3081,MATCH(Paramètres!J42,Paramètres!$G$5:$G$57,0)))+IF(RIGHT(TRIM(Paramètres!K42),3)="Fin",1-$H3066,IF(LEFT(TRIM(Paramètres!K42),1)="F",1,0)))),IF(Paramètres!L42="",0,IF(Paramètres!M42="",NA(),IF(LEFT(TRIM(Paramètres!M42),1)="F",INDEX($F$3029:$F$3081,MATCH(Paramètres!L42,Paramètres!$G$5:$G$57,0)),INDEX($E$3029:$E$3081,MATCH(Paramètres!L42,Paramètres!$G$5:$G$57,0)))+IF(RIGHT(TRIM(Paramètres!M42),3)="Fin",1-$H3066,IF(LEFT(TRIM(Paramètres!M42),1)="F",1,0)))),IF(Paramètres!N42="",0,IF(Paramètres!O42="",NA(),IF(LEFT(TRIM(Paramètres!O42),1)="F",INDEX($F$3029:$F$3081,MATCH(Paramètres!N42,Paramètres!$G$5:$G$57,0)),INDEX($E$3029:$E$3081,MATCH(Paramètres!N42,Paramètres!$G$5:$G$57,0)))+IF(RIGHT(TRIM(Paramètres!O42),3)="Fin",1-$H3066,IF(LEFT(TRIM(Paramètres!O42),1)="F",1,0)))))))</f>
        <v/>
      </c>
      <c r="F3066" s="19">
        <f>IF($A3066="","",E3066+$H3066-1)</f>
        <v/>
      </c>
      <c r="G3066" s="18" t="n"/>
      <c r="H3066" s="18">
        <f>IF($A3066="","",IF(I3066&lt;&gt;"",I3066,Paramètres!B42))</f>
        <v/>
      </c>
      <c r="I3066" s="18" t="n"/>
    </row>
    <row r="3067">
      <c r="A3067" s="18">
        <f>IF(ISNUMBER(Dossiers!$D$60),Dossiers!$A$60&amp;" · "&amp;Dossiers!$B$60,"")</f>
        <v/>
      </c>
      <c r="B3067" s="18">
        <f>IF($A3067="","",Paramètres!G43)</f>
        <v/>
      </c>
      <c r="C3067" s="18">
        <f>IF($A3067="","",IF(Paramètres!H43="","",Paramètres!H43))</f>
        <v/>
      </c>
      <c r="D3067" s="18">
        <f>IF($A3067="","",IF(Paramètres!I43="","",Paramètres!I43))</f>
        <v/>
      </c>
      <c r="E3067" s="19">
        <f>IF($A3067="","",IF(Paramètres!J43&amp;Paramètres!L43&amp;Paramètres!N43="",Dossiers!$D$60,MAX(IF(Paramètres!J43="",0,IF(Paramètres!K43="",NA(),IF(LEFT(TRIM(Paramètres!K43),1)="F",INDEX($F$3029:$F$3081,MATCH(Paramètres!J43,Paramètres!$G$5:$G$57,0)),INDEX($E$3029:$E$3081,MATCH(Paramètres!J43,Paramètres!$G$5:$G$57,0)))+IF(RIGHT(TRIM(Paramètres!K43),3)="Fin",1-$H3067,IF(LEFT(TRIM(Paramètres!K43),1)="F",1,0)))),IF(Paramètres!L43="",0,IF(Paramètres!M43="",NA(),IF(LEFT(TRIM(Paramètres!M43),1)="F",INDEX($F$3029:$F$3081,MATCH(Paramètres!L43,Paramètres!$G$5:$G$57,0)),INDEX($E$3029:$E$3081,MATCH(Paramètres!L43,Paramètres!$G$5:$G$57,0)))+IF(RIGHT(TRIM(Paramètres!M43),3)="Fin",1-$H3067,IF(LEFT(TRIM(Paramètres!M43),1)="F",1,0)))),IF(Paramètres!N43="",0,IF(Paramètres!O43="",NA(),IF(LEFT(TRIM(Paramètres!O43),1)="F",INDEX($F$3029:$F$3081,MATCH(Paramètres!N43,Paramètres!$G$5:$G$57,0)),INDEX($E$3029:$E$3081,MATCH(Paramètres!N43,Paramètres!$G$5:$G$57,0)))+IF(RIGHT(TRIM(Paramètres!O43),3)="Fin",1-$H3067,IF(LEFT(TRIM(Paramètres!O43),1)="F",1,0)))))))</f>
        <v/>
      </c>
      <c r="F3067" s="19">
        <f>IF($A3067="","",E3067+$H3067-1)</f>
        <v/>
      </c>
      <c r="G3067" s="18" t="n"/>
      <c r="H3067" s="18">
        <f>IF($A3067="","",IF(I3067&lt;&gt;"",I3067,Paramètres!B43))</f>
        <v/>
      </c>
      <c r="I3067" s="18" t="n"/>
    </row>
    <row r="3068">
      <c r="A3068" s="18">
        <f>IF(ISNUMBER(Dossiers!$D$60),Dossiers!$A$60&amp;" · "&amp;Dossiers!$B$60,"")</f>
        <v/>
      </c>
      <c r="B3068" s="18">
        <f>IF($A3068="","",Paramètres!G44)</f>
        <v/>
      </c>
      <c r="C3068" s="18">
        <f>IF($A3068="","",IF(Paramètres!H44="","",Paramètres!H44))</f>
        <v/>
      </c>
      <c r="D3068" s="18">
        <f>IF($A3068="","",IF(Paramètres!I44="","",Paramètres!I44))</f>
        <v/>
      </c>
      <c r="E3068" s="19">
        <f>IF($A3068="","",IF(Paramètres!J44&amp;Paramètres!L44&amp;Paramètres!N44="",Dossiers!$D$60,MAX(IF(Paramètres!J44="",0,IF(Paramètres!K44="",NA(),IF(LEFT(TRIM(Paramètres!K44),1)="F",INDEX($F$3029:$F$3081,MATCH(Paramètres!J44,Paramètres!$G$5:$G$57,0)),INDEX($E$3029:$E$3081,MATCH(Paramètres!J44,Paramètres!$G$5:$G$57,0)))+IF(RIGHT(TRIM(Paramètres!K44),3)="Fin",1-$H3068,IF(LEFT(TRIM(Paramètres!K44),1)="F",1,0)))),IF(Paramètres!L44="",0,IF(Paramètres!M44="",NA(),IF(LEFT(TRIM(Paramètres!M44),1)="F",INDEX($F$3029:$F$3081,MATCH(Paramètres!L44,Paramètres!$G$5:$G$57,0)),INDEX($E$3029:$E$3081,MATCH(Paramètres!L44,Paramètres!$G$5:$G$57,0)))+IF(RIGHT(TRIM(Paramètres!M44),3)="Fin",1-$H3068,IF(LEFT(TRIM(Paramètres!M44),1)="F",1,0)))),IF(Paramètres!N44="",0,IF(Paramètres!O44="",NA(),IF(LEFT(TRIM(Paramètres!O44),1)="F",INDEX($F$3029:$F$3081,MATCH(Paramètres!N44,Paramètres!$G$5:$G$57,0)),INDEX($E$3029:$E$3081,MATCH(Paramètres!N44,Paramètres!$G$5:$G$57,0)))+IF(RIGHT(TRIM(Paramètres!O44),3)="Fin",1-$H3068,IF(LEFT(TRIM(Paramètres!O44),1)="F",1,0)))))))</f>
        <v/>
      </c>
      <c r="F3068" s="19">
        <f>IF($A3068="","",E3068+$H3068-1)</f>
        <v/>
      </c>
      <c r="G3068" s="18" t="n"/>
      <c r="H3068" s="18">
        <f>IF($A3068="","",IF(I3068&lt;&gt;"",I3068,Paramètres!B44))</f>
        <v/>
      </c>
      <c r="I3068" s="18" t="n"/>
    </row>
    <row r="3069">
      <c r="A3069" s="18">
        <f>IF(ISNUMBER(Dossiers!$D$60),Dossiers!$A$60&amp;" · "&amp;Dossiers!$B$60,"")</f>
        <v/>
      </c>
      <c r="B3069" s="18">
        <f>IF($A3069="","",Paramètres!G45)</f>
        <v/>
      </c>
      <c r="C3069" s="20">
        <f>IF($A3069="","",IF(Dossiers!$G$60="","",Dossiers!$G$60))</f>
        <v/>
      </c>
      <c r="D3069" s="18">
        <f>IF($A3069="","",IF(Paramètres!I45="","",Paramètres!I45))</f>
        <v/>
      </c>
      <c r="E3069" s="19">
        <f>IF($A3069="","",IF(Paramètres!J45&amp;Paramètres!L45&amp;Paramètres!N45="",Dossiers!$D$60,MAX(IF(Paramètres!J45="",0,IF(Paramètres!K45="",NA(),IF(LEFT(TRIM(Paramètres!K45),1)="F",INDEX($F$3029:$F$3081,MATCH(Paramètres!J45,Paramètres!$G$5:$G$57,0)),INDEX($E$3029:$E$3081,MATCH(Paramètres!J45,Paramètres!$G$5:$G$57,0)))+IF(RIGHT(TRIM(Paramètres!K45),3)="Fin",1-$H3069,IF(LEFT(TRIM(Paramètres!K45),1)="F",1,0)))),IF(Paramètres!L45="",0,IF(Paramètres!M45="",NA(),IF(LEFT(TRIM(Paramètres!M45),1)="F",INDEX($F$3029:$F$3081,MATCH(Paramètres!L45,Paramètres!$G$5:$G$57,0)),INDEX($E$3029:$E$3081,MATCH(Paramètres!L45,Paramètres!$G$5:$G$57,0)))+IF(RIGHT(TRIM(Paramètres!M45),3)="Fin",1-$H3069,IF(LEFT(TRIM(Paramètres!M45),1)="F",1,0)))),IF(Paramètres!N45="",0,IF(Paramètres!O45="",NA(),IF(LEFT(TRIM(Paramètres!O45),1)="F",INDEX($F$3029:$F$3081,MATCH(Paramètres!N45,Paramètres!$G$5:$G$57,0)),INDEX($E$3029:$E$3081,MATCH(Paramètres!N45,Paramètres!$G$5:$G$57,0)))+IF(RIGHT(TRIM(Paramètres!O45),3)="Fin",1-$H3069,IF(LEFT(TRIM(Paramètres!O45),1)="F",1,0)))))))</f>
        <v/>
      </c>
      <c r="F3069" s="19">
        <f>IF($A3069="","",E3069+$H3069-1)</f>
        <v/>
      </c>
      <c r="G3069" s="18" t="n"/>
      <c r="H3069" s="18">
        <f>IF($A3069="","",IF(I3069&lt;&gt;"",I3069,Paramètres!B45))</f>
        <v/>
      </c>
      <c r="I3069" s="18" t="n"/>
    </row>
    <row r="3070">
      <c r="A3070" s="18">
        <f>IF(ISNUMBER(Dossiers!$D$60),Dossiers!$A$60&amp;" · "&amp;Dossiers!$B$60,"")</f>
        <v/>
      </c>
      <c r="B3070" s="18">
        <f>IF($A3070="","",Paramètres!G46)</f>
        <v/>
      </c>
      <c r="C3070" s="18">
        <f>IF($A3070="","",IF(Paramètres!H46="","",Paramètres!H46))</f>
        <v/>
      </c>
      <c r="D3070" s="18">
        <f>IF($A3070="","",IF(Paramètres!I46="","",Paramètres!I46))</f>
        <v/>
      </c>
      <c r="E3070" s="19">
        <f>IF($A3070="","",IF(Paramètres!J46&amp;Paramètres!L46&amp;Paramètres!N46="",Dossiers!$D$60,MAX(IF(Paramètres!J46="",0,IF(Paramètres!K46="",NA(),IF(LEFT(TRIM(Paramètres!K46),1)="F",INDEX($F$3029:$F$3081,MATCH(Paramètres!J46,Paramètres!$G$5:$G$57,0)),INDEX($E$3029:$E$3081,MATCH(Paramètres!J46,Paramètres!$G$5:$G$57,0)))+IF(RIGHT(TRIM(Paramètres!K46),3)="Fin",1-$H3070,IF(LEFT(TRIM(Paramètres!K46),1)="F",1,0)))),IF(Paramètres!L46="",0,IF(Paramètres!M46="",NA(),IF(LEFT(TRIM(Paramètres!M46),1)="F",INDEX($F$3029:$F$3081,MATCH(Paramètres!L46,Paramètres!$G$5:$G$57,0)),INDEX($E$3029:$E$3081,MATCH(Paramètres!L46,Paramètres!$G$5:$G$57,0)))+IF(RIGHT(TRIM(Paramètres!M46),3)="Fin",1-$H3070,IF(LEFT(TRIM(Paramètres!M46),1)="F",1,0)))),IF(Paramètres!N46="",0,IF(Paramètres!O46="",NA(),IF(LEFT(TRIM(Paramètres!O46),1)="F",INDEX($F$3029:$F$3081,MATCH(Paramètres!N46,Paramètres!$G$5:$G$57,0)),INDEX($E$3029:$E$3081,MATCH(Paramètres!N46,Paramètres!$G$5:$G$57,0)))+IF(RIGHT(TRIM(Paramètres!O46),3)="Fin",1-$H3070,IF(LEFT(TRIM(Paramètres!O46),1)="F",1,0)))))))</f>
        <v/>
      </c>
      <c r="F3070" s="19">
        <f>IF($A3070="","",E3070+$H3070-1)</f>
        <v/>
      </c>
      <c r="G3070" s="18" t="n"/>
      <c r="H3070" s="18">
        <f>IF($A3070="","",IF(I3070&lt;&gt;"",I3070,Paramètres!B46))</f>
        <v/>
      </c>
      <c r="I3070" s="18" t="n"/>
    </row>
    <row r="3071">
      <c r="A3071" s="18">
        <f>IF(ISNUMBER(Dossiers!$D$60),Dossiers!$A$60&amp;" · "&amp;Dossiers!$B$60,"")</f>
        <v/>
      </c>
      <c r="B3071" s="18">
        <f>IF($A3071="","",Paramètres!G47)</f>
        <v/>
      </c>
      <c r="C3071" s="18">
        <f>IF($A3071="","",IF(Paramètres!H47="","",Paramètres!H47))</f>
        <v/>
      </c>
      <c r="D3071" s="18">
        <f>IF($A3071="","",IF(Paramètres!I47="","",Paramètres!I47))</f>
        <v/>
      </c>
      <c r="E3071" s="19">
        <f>IF($A3071="","",IF(Paramètres!J47&amp;Paramètres!L47&amp;Paramètres!N47="",Dossiers!$D$60,MAX(IF(Paramètres!J47="",0,IF(Paramètres!K47="",NA(),IF(LEFT(TRIM(Paramètres!K47),1)="F",INDEX($F$3029:$F$3081,MATCH(Paramètres!J47,Paramètres!$G$5:$G$57,0)),INDEX($E$3029:$E$3081,MATCH(Paramètres!J47,Paramètres!$G$5:$G$57,0)))+IF(RIGHT(TRIM(Paramètres!K47),3)="Fin",1-$H3071,IF(LEFT(TRIM(Paramètres!K47),1)="F",1,0)))),IF(Paramètres!L47="",0,IF(Paramètres!M47="",NA(),IF(LEFT(TRIM(Paramètres!M47),1)="F",INDEX($F$3029:$F$3081,MATCH(Paramètres!L47,Paramètres!$G$5:$G$57,0)),INDEX($E$3029:$E$3081,MATCH(Paramètres!L47,Paramètres!$G$5:$G$57,0)))+IF(RIGHT(TRIM(Paramètres!M47),3)="Fin",1-$H3071,IF(LEFT(TRIM(Paramètres!M47),1)="F",1,0)))),IF(Paramètres!N47="",0,IF(Paramètres!O47="",NA(),IF(LEFT(TRIM(Paramètres!O47),1)="F",INDEX($F$3029:$F$3081,MATCH(Paramètres!N47,Paramètres!$G$5:$G$57,0)),INDEX($E$3029:$E$3081,MATCH(Paramètres!N47,Paramètres!$G$5:$G$57,0)))+IF(RIGHT(TRIM(Paramètres!O47),3)="Fin",1-$H3071,IF(LEFT(TRIM(Paramètres!O47),1)="F",1,0)))))))</f>
        <v/>
      </c>
      <c r="F3071" s="19">
        <f>IF($A3071="","",E3071+$H3071-1)</f>
        <v/>
      </c>
      <c r="G3071" s="18" t="n"/>
      <c r="H3071" s="18">
        <f>IF($A3071="","",IF(I3071&lt;&gt;"",I3071,Paramètres!B47))</f>
        <v/>
      </c>
      <c r="I3071" s="18" t="n"/>
    </row>
    <row r="3072">
      <c r="A3072" s="18">
        <f>IF(ISNUMBER(Dossiers!$D$60),Dossiers!$A$60&amp;" · "&amp;Dossiers!$B$60,"")</f>
        <v/>
      </c>
      <c r="B3072" s="18">
        <f>IF($A3072="","",Paramètres!G48)</f>
        <v/>
      </c>
      <c r="C3072" s="18">
        <f>IF($A3072="","",IF(Paramètres!H48="","",Paramètres!H48))</f>
        <v/>
      </c>
      <c r="D3072" s="18">
        <f>IF($A3072="","",IF(Paramètres!I48="","",Paramètres!I48))</f>
        <v/>
      </c>
      <c r="E3072" s="19">
        <f>IF($A3072="","",IF(Paramètres!J48&amp;Paramètres!L48&amp;Paramètres!N48="",Dossiers!$D$60,MAX(IF(Paramètres!J48="",0,IF(Paramètres!K48="",NA(),IF(LEFT(TRIM(Paramètres!K48),1)="F",INDEX($F$3029:$F$3081,MATCH(Paramètres!J48,Paramètres!$G$5:$G$57,0)),INDEX($E$3029:$E$3081,MATCH(Paramètres!J48,Paramètres!$G$5:$G$57,0)))+IF(RIGHT(TRIM(Paramètres!K48),3)="Fin",1-$H3072,IF(LEFT(TRIM(Paramètres!K48),1)="F",1,0)))),IF(Paramètres!L48="",0,IF(Paramètres!M48="",NA(),IF(LEFT(TRIM(Paramètres!M48),1)="F",INDEX($F$3029:$F$3081,MATCH(Paramètres!L48,Paramètres!$G$5:$G$57,0)),INDEX($E$3029:$E$3081,MATCH(Paramètres!L48,Paramètres!$G$5:$G$57,0)))+IF(RIGHT(TRIM(Paramètres!M48),3)="Fin",1-$H3072,IF(LEFT(TRIM(Paramètres!M48),1)="F",1,0)))),IF(Paramètres!N48="",0,IF(Paramètres!O48="",NA(),IF(LEFT(TRIM(Paramètres!O48),1)="F",INDEX($F$3029:$F$3081,MATCH(Paramètres!N48,Paramètres!$G$5:$G$57,0)),INDEX($E$3029:$E$3081,MATCH(Paramètres!N48,Paramètres!$G$5:$G$57,0)))+IF(RIGHT(TRIM(Paramètres!O48),3)="Fin",1-$H3072,IF(LEFT(TRIM(Paramètres!O48),1)="F",1,0)))))))</f>
        <v/>
      </c>
      <c r="F3072" s="19">
        <f>IF($A3072="","",E3072+$H3072-1)</f>
        <v/>
      </c>
      <c r="G3072" s="18" t="n"/>
      <c r="H3072" s="18">
        <f>IF($A3072="","",IF(I3072&lt;&gt;"",I3072,Paramètres!B48))</f>
        <v/>
      </c>
      <c r="I3072" s="18" t="n"/>
    </row>
    <row r="3073">
      <c r="A3073" s="18">
        <f>IF(ISNUMBER(Dossiers!$D$60),Dossiers!$A$60&amp;" · "&amp;Dossiers!$B$60,"")</f>
        <v/>
      </c>
      <c r="B3073" s="18">
        <f>IF($A3073="","",Paramètres!G49)</f>
        <v/>
      </c>
      <c r="C3073" s="18">
        <f>IF($A3073="","",IF(Paramètres!H49="","",Paramètres!H49))</f>
        <v/>
      </c>
      <c r="D3073" s="18">
        <f>IF($A3073="","",IF(Paramètres!I49="","",Paramètres!I49))</f>
        <v/>
      </c>
      <c r="E3073" s="19">
        <f>IF($A3073="","",IF(Paramètres!J49&amp;Paramètres!L49&amp;Paramètres!N49="",Dossiers!$D$60,MAX(IF(Paramètres!J49="",0,IF(Paramètres!K49="",NA(),IF(LEFT(TRIM(Paramètres!K49),1)="F",INDEX($F$3029:$F$3081,MATCH(Paramètres!J49,Paramètres!$G$5:$G$57,0)),INDEX($E$3029:$E$3081,MATCH(Paramètres!J49,Paramètres!$G$5:$G$57,0)))+IF(RIGHT(TRIM(Paramètres!K49),3)="Fin",1-$H3073,IF(LEFT(TRIM(Paramètres!K49),1)="F",1,0)))),IF(Paramètres!L49="",0,IF(Paramètres!M49="",NA(),IF(LEFT(TRIM(Paramètres!M49),1)="F",INDEX($F$3029:$F$3081,MATCH(Paramètres!L49,Paramètres!$G$5:$G$57,0)),INDEX($E$3029:$E$3081,MATCH(Paramètres!L49,Paramètres!$G$5:$G$57,0)))+IF(RIGHT(TRIM(Paramètres!M49),3)="Fin",1-$H3073,IF(LEFT(TRIM(Paramètres!M49),1)="F",1,0)))),IF(Paramètres!N49="",0,IF(Paramètres!O49="",NA(),IF(LEFT(TRIM(Paramètres!O49),1)="F",INDEX($F$3029:$F$3081,MATCH(Paramètres!N49,Paramètres!$G$5:$G$57,0)),INDEX($E$3029:$E$3081,MATCH(Paramètres!N49,Paramètres!$G$5:$G$57,0)))+IF(RIGHT(TRIM(Paramètres!O49),3)="Fin",1-$H3073,IF(LEFT(TRIM(Paramètres!O49),1)="F",1,0)))))))</f>
        <v/>
      </c>
      <c r="F3073" s="19">
        <f>IF($A3073="","",E3073+$H3073-1)</f>
        <v/>
      </c>
      <c r="G3073" s="18" t="n"/>
      <c r="H3073" s="18">
        <f>IF($A3073="","",IF(I3073&lt;&gt;"",I3073,Paramètres!B49))</f>
        <v/>
      </c>
      <c r="I3073" s="18" t="n"/>
    </row>
    <row r="3074">
      <c r="A3074" s="18">
        <f>IF(ISNUMBER(Dossiers!$D$60),Dossiers!$A$60&amp;" · "&amp;Dossiers!$B$60,"")</f>
        <v/>
      </c>
      <c r="B3074" s="18">
        <f>IF($A3074="","",Paramètres!G50)</f>
        <v/>
      </c>
      <c r="C3074" s="18">
        <f>IF($A3074="","",IF(Paramètres!H50="","",Paramètres!H50))</f>
        <v/>
      </c>
      <c r="D3074" s="18">
        <f>IF($A3074="","",IF(Paramètres!I50="","",Paramètres!I50))</f>
        <v/>
      </c>
      <c r="E3074" s="19">
        <f>IF($A3074="","",IF(Paramètres!J50&amp;Paramètres!L50&amp;Paramètres!N50="",Dossiers!$D$60,MAX(IF(Paramètres!J50="",0,IF(Paramètres!K50="",NA(),IF(LEFT(TRIM(Paramètres!K50),1)="F",INDEX($F$3029:$F$3081,MATCH(Paramètres!J50,Paramètres!$G$5:$G$57,0)),INDEX($E$3029:$E$3081,MATCH(Paramètres!J50,Paramètres!$G$5:$G$57,0)))+IF(RIGHT(TRIM(Paramètres!K50),3)="Fin",1-$H3074,IF(LEFT(TRIM(Paramètres!K50),1)="F",1,0)))),IF(Paramètres!L50="",0,IF(Paramètres!M50="",NA(),IF(LEFT(TRIM(Paramètres!M50),1)="F",INDEX($F$3029:$F$3081,MATCH(Paramètres!L50,Paramètres!$G$5:$G$57,0)),INDEX($E$3029:$E$3081,MATCH(Paramètres!L50,Paramètres!$G$5:$G$57,0)))+IF(RIGHT(TRIM(Paramètres!M50),3)="Fin",1-$H3074,IF(LEFT(TRIM(Paramètres!M50),1)="F",1,0)))),IF(Paramètres!N50="",0,IF(Paramètres!O50="",NA(),IF(LEFT(TRIM(Paramètres!O50),1)="F",INDEX($F$3029:$F$3081,MATCH(Paramètres!N50,Paramètres!$G$5:$G$57,0)),INDEX($E$3029:$E$3081,MATCH(Paramètres!N50,Paramètres!$G$5:$G$57,0)))+IF(RIGHT(TRIM(Paramètres!O50),3)="Fin",1-$H3074,IF(LEFT(TRIM(Paramètres!O50),1)="F",1,0)))))))</f>
        <v/>
      </c>
      <c r="F3074" s="19">
        <f>IF($A3074="","",E3074+$H3074-1)</f>
        <v/>
      </c>
      <c r="G3074" s="18" t="n"/>
      <c r="H3074" s="18">
        <f>IF($A3074="","",IF(I3074&lt;&gt;"",I3074,Paramètres!B50))</f>
        <v/>
      </c>
      <c r="I3074" s="18" t="n"/>
    </row>
    <row r="3075">
      <c r="A3075" s="18">
        <f>IF(ISNUMBER(Dossiers!$D$60),Dossiers!$A$60&amp;" · "&amp;Dossiers!$B$60,"")</f>
        <v/>
      </c>
      <c r="B3075" s="18">
        <f>IF($A3075="","",Paramètres!G51)</f>
        <v/>
      </c>
      <c r="C3075" s="18">
        <f>IF($A3075="","",IF(Paramètres!H51="","",Paramètres!H51))</f>
        <v/>
      </c>
      <c r="D3075" s="18">
        <f>IF($A3075="","",IF(Paramètres!I51="","",Paramètres!I51))</f>
        <v/>
      </c>
      <c r="E3075" s="19">
        <f>IF($A3075="","",IF(Paramètres!J51&amp;Paramètres!L51&amp;Paramètres!N51="",Dossiers!$D$60,MAX(IF(Paramètres!J51="",0,IF(Paramètres!K51="",NA(),IF(LEFT(TRIM(Paramètres!K51),1)="F",INDEX($F$3029:$F$3081,MATCH(Paramètres!J51,Paramètres!$G$5:$G$57,0)),INDEX($E$3029:$E$3081,MATCH(Paramètres!J51,Paramètres!$G$5:$G$57,0)))+IF(RIGHT(TRIM(Paramètres!K51),3)="Fin",1-$H3075,IF(LEFT(TRIM(Paramètres!K51),1)="F",1,0)))),IF(Paramètres!L51="",0,IF(Paramètres!M51="",NA(),IF(LEFT(TRIM(Paramètres!M51),1)="F",INDEX($F$3029:$F$3081,MATCH(Paramètres!L51,Paramètres!$G$5:$G$57,0)),INDEX($E$3029:$E$3081,MATCH(Paramètres!L51,Paramètres!$G$5:$G$57,0)))+IF(RIGHT(TRIM(Paramètres!M51),3)="Fin",1-$H3075,IF(LEFT(TRIM(Paramètres!M51),1)="F",1,0)))),IF(Paramètres!N51="",0,IF(Paramètres!O51="",NA(),IF(LEFT(TRIM(Paramètres!O51),1)="F",INDEX($F$3029:$F$3081,MATCH(Paramètres!N51,Paramètres!$G$5:$G$57,0)),INDEX($E$3029:$E$3081,MATCH(Paramètres!N51,Paramètres!$G$5:$G$57,0)))+IF(RIGHT(TRIM(Paramètres!O51),3)="Fin",1-$H3075,IF(LEFT(TRIM(Paramètres!O51),1)="F",1,0)))))))</f>
        <v/>
      </c>
      <c r="F3075" s="19">
        <f>IF($A3075="","",E3075+$H3075-1)</f>
        <v/>
      </c>
      <c r="G3075" s="18" t="n"/>
      <c r="H3075" s="18">
        <f>IF($A3075="","",IF(I3075&lt;&gt;"",I3075,Paramètres!B51))</f>
        <v/>
      </c>
      <c r="I3075" s="18" t="n"/>
    </row>
    <row r="3076">
      <c r="A3076" s="18">
        <f>IF(ISNUMBER(Dossiers!$D$60),Dossiers!$A$60&amp;" · "&amp;Dossiers!$B$60,"")</f>
        <v/>
      </c>
      <c r="B3076" s="18">
        <f>IF($A3076="","",Paramètres!G52)</f>
        <v/>
      </c>
      <c r="C3076" s="18">
        <f>IF($A3076="","",IF(Paramètres!H52="","",Paramètres!H52))</f>
        <v/>
      </c>
      <c r="D3076" s="18">
        <f>IF($A3076="","",IF(Paramètres!I52="","",Paramètres!I52))</f>
        <v/>
      </c>
      <c r="E3076" s="19">
        <f>IF($A3076="","",IF(Paramètres!J52&amp;Paramètres!L52&amp;Paramètres!N52="",Dossiers!$D$60,MAX(IF(Paramètres!J52="",0,IF(Paramètres!K52="",NA(),IF(LEFT(TRIM(Paramètres!K52),1)="F",INDEX($F$3029:$F$3081,MATCH(Paramètres!J52,Paramètres!$G$5:$G$57,0)),INDEX($E$3029:$E$3081,MATCH(Paramètres!J52,Paramètres!$G$5:$G$57,0)))+IF(RIGHT(TRIM(Paramètres!K52),3)="Fin",1-$H3076,IF(LEFT(TRIM(Paramètres!K52),1)="F",1,0)))),IF(Paramètres!L52="",0,IF(Paramètres!M52="",NA(),IF(LEFT(TRIM(Paramètres!M52),1)="F",INDEX($F$3029:$F$3081,MATCH(Paramètres!L52,Paramètres!$G$5:$G$57,0)),INDEX($E$3029:$E$3081,MATCH(Paramètres!L52,Paramètres!$G$5:$G$57,0)))+IF(RIGHT(TRIM(Paramètres!M52),3)="Fin",1-$H3076,IF(LEFT(TRIM(Paramètres!M52),1)="F",1,0)))),IF(Paramètres!N52="",0,IF(Paramètres!O52="",NA(),IF(LEFT(TRIM(Paramètres!O52),1)="F",INDEX($F$3029:$F$3081,MATCH(Paramètres!N52,Paramètres!$G$5:$G$57,0)),INDEX($E$3029:$E$3081,MATCH(Paramètres!N52,Paramètres!$G$5:$G$57,0)))+IF(RIGHT(TRIM(Paramètres!O52),3)="Fin",1-$H3076,IF(LEFT(TRIM(Paramètres!O52),1)="F",1,0)))))))</f>
        <v/>
      </c>
      <c r="F3076" s="19">
        <f>IF($A3076="","",E3076+$H3076-1)</f>
        <v/>
      </c>
      <c r="G3076" s="18" t="n"/>
      <c r="H3076" s="18">
        <f>IF($A3076="","",IF(I3076&lt;&gt;"",I3076,Paramètres!B52))</f>
        <v/>
      </c>
      <c r="I3076" s="18" t="n"/>
    </row>
    <row r="3077">
      <c r="A3077" s="18">
        <f>IF(ISNUMBER(Dossiers!$D$60),Dossiers!$A$60&amp;" · "&amp;Dossiers!$B$60,"")</f>
        <v/>
      </c>
      <c r="B3077" s="18">
        <f>IF($A3077="","",Paramètres!G53)</f>
        <v/>
      </c>
      <c r="C3077" s="18">
        <f>IF($A3077="","",IF(Paramètres!H53="","",Paramètres!H53))</f>
        <v/>
      </c>
      <c r="D3077" s="18">
        <f>IF($A3077="","",IF(Paramètres!I53="","",Paramètres!I53))</f>
        <v/>
      </c>
      <c r="E3077" s="19">
        <f>IF($A3077="","",IF(Paramètres!J53&amp;Paramètres!L53&amp;Paramètres!N53="",Dossiers!$D$60,MAX(IF(Paramètres!J53="",0,IF(Paramètres!K53="",NA(),IF(LEFT(TRIM(Paramètres!K53),1)="F",INDEX($F$3029:$F$3081,MATCH(Paramètres!J53,Paramètres!$G$5:$G$57,0)),INDEX($E$3029:$E$3081,MATCH(Paramètres!J53,Paramètres!$G$5:$G$57,0)))+IF(RIGHT(TRIM(Paramètres!K53),3)="Fin",1-$H3077,IF(LEFT(TRIM(Paramètres!K53),1)="F",1,0)))),IF(Paramètres!L53="",0,IF(Paramètres!M53="",NA(),IF(LEFT(TRIM(Paramètres!M53),1)="F",INDEX($F$3029:$F$3081,MATCH(Paramètres!L53,Paramètres!$G$5:$G$57,0)),INDEX($E$3029:$E$3081,MATCH(Paramètres!L53,Paramètres!$G$5:$G$57,0)))+IF(RIGHT(TRIM(Paramètres!M53),3)="Fin",1-$H3077,IF(LEFT(TRIM(Paramètres!M53),1)="F",1,0)))),IF(Paramètres!N53="",0,IF(Paramètres!O53="",NA(),IF(LEFT(TRIM(Paramètres!O53),1)="F",INDEX($F$3029:$F$3081,MATCH(Paramètres!N53,Paramètres!$G$5:$G$57,0)),INDEX($E$3029:$E$3081,MATCH(Paramètres!N53,Paramètres!$G$5:$G$57,0)))+IF(RIGHT(TRIM(Paramètres!O53),3)="Fin",1-$H3077,IF(LEFT(TRIM(Paramètres!O53),1)="F",1,0)))))))</f>
        <v/>
      </c>
      <c r="F3077" s="19">
        <f>IF($A3077="","",E3077+$H3077-1)</f>
        <v/>
      </c>
      <c r="G3077" s="18" t="n"/>
      <c r="H3077" s="18">
        <f>IF($A3077="","",IF(I3077&lt;&gt;"",I3077,Paramètres!B53))</f>
        <v/>
      </c>
      <c r="I3077" s="18" t="n"/>
    </row>
    <row r="3078">
      <c r="A3078" s="18">
        <f>IF(ISNUMBER(Dossiers!$D$60),Dossiers!$A$60&amp;" · "&amp;Dossiers!$B$60,"")</f>
        <v/>
      </c>
      <c r="B3078" s="18">
        <f>IF($A3078="","",Paramètres!G54)</f>
        <v/>
      </c>
      <c r="C3078" s="18">
        <f>IF($A3078="","",IF(Paramètres!H54="","",Paramètres!H54))</f>
        <v/>
      </c>
      <c r="D3078" s="18">
        <f>IF($A3078="","",IF(Paramètres!I54="","",Paramètres!I54))</f>
        <v/>
      </c>
      <c r="E3078" s="19">
        <f>IF($A3078="","",IF(Paramètres!J54&amp;Paramètres!L54&amp;Paramètres!N54="",Dossiers!$D$60,MAX(IF(Paramètres!J54="",0,IF(Paramètres!K54="",NA(),IF(LEFT(TRIM(Paramètres!K54),1)="F",INDEX($F$3029:$F$3081,MATCH(Paramètres!J54,Paramètres!$G$5:$G$57,0)),INDEX($E$3029:$E$3081,MATCH(Paramètres!J54,Paramètres!$G$5:$G$57,0)))+IF(RIGHT(TRIM(Paramètres!K54),3)="Fin",1-$H3078,IF(LEFT(TRIM(Paramètres!K54),1)="F",1,0)))),IF(Paramètres!L54="",0,IF(Paramètres!M54="",NA(),IF(LEFT(TRIM(Paramètres!M54),1)="F",INDEX($F$3029:$F$3081,MATCH(Paramètres!L54,Paramètres!$G$5:$G$57,0)),INDEX($E$3029:$E$3081,MATCH(Paramètres!L54,Paramètres!$G$5:$G$57,0)))+IF(RIGHT(TRIM(Paramètres!M54),3)="Fin",1-$H3078,IF(LEFT(TRIM(Paramètres!M54),1)="F",1,0)))),IF(Paramètres!N54="",0,IF(Paramètres!O54="",NA(),IF(LEFT(TRIM(Paramètres!O54),1)="F",INDEX($F$3029:$F$3081,MATCH(Paramètres!N54,Paramètres!$G$5:$G$57,0)),INDEX($E$3029:$E$3081,MATCH(Paramètres!N54,Paramètres!$G$5:$G$57,0)))+IF(RIGHT(TRIM(Paramètres!O54),3)="Fin",1-$H3078,IF(LEFT(TRIM(Paramètres!O54),1)="F",1,0)))))))</f>
        <v/>
      </c>
      <c r="F3078" s="19">
        <f>IF($A3078="","",E3078+$H3078-1)</f>
        <v/>
      </c>
      <c r="G3078" s="18" t="n"/>
      <c r="H3078" s="18">
        <f>IF($A3078="","",IF(I3078&lt;&gt;"",I3078,Paramètres!B54))</f>
        <v/>
      </c>
      <c r="I3078" s="18" t="n"/>
    </row>
    <row r="3079">
      <c r="A3079" s="18">
        <f>IF(ISNUMBER(Dossiers!$D$60),Dossiers!$A$60&amp;" · "&amp;Dossiers!$B$60,"")</f>
        <v/>
      </c>
      <c r="B3079" s="18">
        <f>IF($A3079="","",Paramètres!G55)</f>
        <v/>
      </c>
      <c r="C3079" s="18">
        <f>IF($A3079="","",IF(Paramètres!H55="","",Paramètres!H55))</f>
        <v/>
      </c>
      <c r="D3079" s="18">
        <f>IF($A3079="","",IF(Paramètres!I55="","",Paramètres!I55))</f>
        <v/>
      </c>
      <c r="E3079" s="19">
        <f>IF($A3079="","",IF(Paramètres!J55&amp;Paramètres!L55&amp;Paramètres!N55="",Dossiers!$D$60,MAX(IF(Paramètres!J55="",0,IF(Paramètres!K55="",NA(),IF(LEFT(TRIM(Paramètres!K55),1)="F",INDEX($F$3029:$F$3081,MATCH(Paramètres!J55,Paramètres!$G$5:$G$57,0)),INDEX($E$3029:$E$3081,MATCH(Paramètres!J55,Paramètres!$G$5:$G$57,0)))+IF(RIGHT(TRIM(Paramètres!K55),3)="Fin",1-$H3079,IF(LEFT(TRIM(Paramètres!K55),1)="F",1,0)))),IF(Paramètres!L55="",0,IF(Paramètres!M55="",NA(),IF(LEFT(TRIM(Paramètres!M55),1)="F",INDEX($F$3029:$F$3081,MATCH(Paramètres!L55,Paramètres!$G$5:$G$57,0)),INDEX($E$3029:$E$3081,MATCH(Paramètres!L55,Paramètres!$G$5:$G$57,0)))+IF(RIGHT(TRIM(Paramètres!M55),3)="Fin",1-$H3079,IF(LEFT(TRIM(Paramètres!M55),1)="F",1,0)))),IF(Paramètres!N55="",0,IF(Paramètres!O55="",NA(),IF(LEFT(TRIM(Paramètres!O55),1)="F",INDEX($F$3029:$F$3081,MATCH(Paramètres!N55,Paramètres!$G$5:$G$57,0)),INDEX($E$3029:$E$3081,MATCH(Paramètres!N55,Paramètres!$G$5:$G$57,0)))+IF(RIGHT(TRIM(Paramètres!O55),3)="Fin",1-$H3079,IF(LEFT(TRIM(Paramètres!O55),1)="F",1,0)))))))</f>
        <v/>
      </c>
      <c r="F3079" s="19">
        <f>IF($A3079="","",E3079+$H3079-1)</f>
        <v/>
      </c>
      <c r="G3079" s="18" t="n"/>
      <c r="H3079" s="18">
        <f>IF($A3079="","",IF(I3079&lt;&gt;"",I3079,Paramètres!B55))</f>
        <v/>
      </c>
      <c r="I3079" s="18" t="n"/>
    </row>
    <row r="3080">
      <c r="A3080" s="18">
        <f>IF(ISNUMBER(Dossiers!$D$60),Dossiers!$A$60&amp;" · "&amp;Dossiers!$B$60,"")</f>
        <v/>
      </c>
      <c r="B3080" s="18">
        <f>IF($A3080="","",Paramètres!G56)</f>
        <v/>
      </c>
      <c r="C3080" s="18">
        <f>IF($A3080="","",IF(Paramètres!H56="","",Paramètres!H56))</f>
        <v/>
      </c>
      <c r="D3080" s="18">
        <f>IF($A3080="","",IF(Paramètres!I56="","",Paramètres!I56))</f>
        <v/>
      </c>
      <c r="E3080" s="19">
        <f>IF($A3080="","",MIN(E3081:E3081))</f>
        <v/>
      </c>
      <c r="F3080" s="19">
        <f>IF($A3080="","",MAX(F3081:F3081))</f>
        <v/>
      </c>
      <c r="G3080" s="18" t="n"/>
      <c r="H3080" s="18">
        <f>IF($A3080="","",F3080-E3080+1)</f>
        <v/>
      </c>
      <c r="I3080" s="18" t="n"/>
    </row>
    <row r="3081">
      <c r="A3081" s="18">
        <f>IF(ISNUMBER(Dossiers!$D$60),Dossiers!$A$60&amp;" · "&amp;Dossiers!$B$60,"")</f>
        <v/>
      </c>
      <c r="B3081" s="18">
        <f>IF($A3081="","",Paramètres!G57)</f>
        <v/>
      </c>
      <c r="C3081" s="18">
        <f>IF($A3081="","",IF(Paramètres!H57="","",Paramètres!H57))</f>
        <v/>
      </c>
      <c r="D3081" s="18">
        <f>IF($A3081="","",IF(Paramètres!I57="","",Paramètres!I57))</f>
        <v/>
      </c>
      <c r="E3081" s="19">
        <f>IF($A3081="","",IF(Paramètres!J57&amp;Paramètres!L57&amp;Paramètres!N57="",Dossiers!$D$60,MAX(IF(Paramètres!J57="",0,IF(Paramètres!K57="",NA(),IF(LEFT(TRIM(Paramètres!K57),1)="F",INDEX($F$3029:$F$3081,MATCH(Paramètres!J57,Paramètres!$G$5:$G$57,0)),INDEX($E$3029:$E$3081,MATCH(Paramètres!J57,Paramètres!$G$5:$G$57,0)))+IF(RIGHT(TRIM(Paramètres!K57),3)="Fin",1-$H3081,IF(LEFT(TRIM(Paramètres!K57),1)="F",1,0)))),IF(Paramètres!L57="",0,IF(Paramètres!M57="",NA(),IF(LEFT(TRIM(Paramètres!M57),1)="F",INDEX($F$3029:$F$3081,MATCH(Paramètres!L57,Paramètres!$G$5:$G$57,0)),INDEX($E$3029:$E$3081,MATCH(Paramètres!L57,Paramètres!$G$5:$G$57,0)))+IF(RIGHT(TRIM(Paramètres!M57),3)="Fin",1-$H3081,IF(LEFT(TRIM(Paramètres!M57),1)="F",1,0)))),IF(Paramètres!N57="",0,IF(Paramètres!O57="",NA(),IF(LEFT(TRIM(Paramètres!O57),1)="F",INDEX($F$3029:$F$3081,MATCH(Paramètres!N57,Paramètres!$G$5:$G$57,0)),INDEX($E$3029:$E$3081,MATCH(Paramètres!N57,Paramètres!$G$5:$G$57,0)))+IF(RIGHT(TRIM(Paramètres!O57),3)="Fin",1-$H3081,IF(LEFT(TRIM(Paramètres!O57),1)="F",1,0)))))))</f>
        <v/>
      </c>
      <c r="F3081" s="19">
        <f>IF($A3081="","",E3081+$H3081-1)</f>
        <v/>
      </c>
      <c r="G3081" s="18" t="n"/>
      <c r="H3081" s="18">
        <f>IF($A3081="","",IF(I3081&lt;&gt;"",I3081,Paramètres!B57))</f>
        <v/>
      </c>
      <c r="I3081" s="18" t="n"/>
    </row>
    <row r="3082">
      <c r="A3082" s="16">
        <f>IF(ISNUMBER(Dossiers!$D$61),Dossiers!$E$61,"")</f>
        <v/>
      </c>
      <c r="B3082" s="16">
        <f>IF($A3082="","","Identifiant")</f>
        <v/>
      </c>
      <c r="C3082" s="16">
        <f>IF($A3082="","","Macro Etape")</f>
        <v/>
      </c>
      <c r="D3082" s="16">
        <f>IF($A3082="","","Etape")</f>
        <v/>
      </c>
      <c r="E3082" s="17">
        <f>IF($A3082="","","Début le")</f>
        <v/>
      </c>
      <c r="F3082" s="17">
        <f>IF($A3082="","","Fin prévue le")</f>
        <v/>
      </c>
      <c r="G3082" s="16">
        <f>IF($A3082="","","Statut")</f>
        <v/>
      </c>
      <c r="H3082" s="16">
        <f>IF($A3082="","","Durée (jours)")</f>
        <v/>
      </c>
      <c r="I3082" s="16">
        <f>IF($A3082="","","Durée particulière")</f>
        <v/>
      </c>
      <c r="J3082" s="10">
        <f>IF($A3082="","",HYPERLINK("#'Tableau de bord'!A1","↑ Tableau de bord"))</f>
        <v/>
      </c>
    </row>
    <row r="3083">
      <c r="A3083" s="18">
        <f>IF(ISNUMBER(Dossiers!$D$61),Dossiers!$A$61&amp;" · "&amp;Dossiers!$B$61,"")</f>
        <v/>
      </c>
      <c r="B3083" s="18">
        <f>IF($A3083="","",Paramètres!G5)</f>
        <v/>
      </c>
      <c r="C3083" s="18">
        <f>IF($A3083="","",IF(Paramètres!H5="","",Paramètres!H5))</f>
        <v/>
      </c>
      <c r="D3083" s="18">
        <f>IF($A3083="","",IF(Paramètres!I5="","",Paramètres!I5))</f>
        <v/>
      </c>
      <c r="E3083" s="19">
        <f>IF($A3083="","",MIN(E3084:E3087))</f>
        <v/>
      </c>
      <c r="F3083" s="19">
        <f>IF($A3083="","",MAX(F3084:F3087))</f>
        <v/>
      </c>
      <c r="G3083" s="18" t="n"/>
      <c r="H3083" s="18">
        <f>IF($A3083="","",F3083-E3083+1)</f>
        <v/>
      </c>
      <c r="I3083" s="18" t="n"/>
    </row>
    <row r="3084">
      <c r="A3084" s="18">
        <f>IF(ISNUMBER(Dossiers!$D$61),Dossiers!$A$61&amp;" · "&amp;Dossiers!$B$61,"")</f>
        <v/>
      </c>
      <c r="B3084" s="18">
        <f>IF($A3084="","",Paramètres!G6)</f>
        <v/>
      </c>
      <c r="C3084" s="18">
        <f>IF($A3084="","",IF(Paramètres!H6="","",Paramètres!H6))</f>
        <v/>
      </c>
      <c r="D3084" s="18">
        <f>IF($A3084="","",IF(Paramètres!I6="","",Paramètres!I6))</f>
        <v/>
      </c>
      <c r="E3084" s="19">
        <f>IF($A3084="","",IF(Paramètres!J6&amp;Paramètres!L6&amp;Paramètres!N6="",Dossiers!$D$61,MAX(IF(Paramètres!J6="",0,IF(Paramètres!K6="",NA(),IF(LEFT(TRIM(Paramètres!K6),1)="F",INDEX($F$3083:$F$3135,MATCH(Paramètres!J6,Paramètres!$G$5:$G$57,0)),INDEX($E$3083:$E$3135,MATCH(Paramètres!J6,Paramètres!$G$5:$G$57,0)))+IF(RIGHT(TRIM(Paramètres!K6),3)="Fin",1-$H3084,IF(LEFT(TRIM(Paramètres!K6),1)="F",1,0)))),IF(Paramètres!L6="",0,IF(Paramètres!M6="",NA(),IF(LEFT(TRIM(Paramètres!M6),1)="F",INDEX($F$3083:$F$3135,MATCH(Paramètres!L6,Paramètres!$G$5:$G$57,0)),INDEX($E$3083:$E$3135,MATCH(Paramètres!L6,Paramètres!$G$5:$G$57,0)))+IF(RIGHT(TRIM(Paramètres!M6),3)="Fin",1-$H3084,IF(LEFT(TRIM(Paramètres!M6),1)="F",1,0)))),IF(Paramètres!N6="",0,IF(Paramètres!O6="",NA(),IF(LEFT(TRIM(Paramètres!O6),1)="F",INDEX($F$3083:$F$3135,MATCH(Paramètres!N6,Paramètres!$G$5:$G$57,0)),INDEX($E$3083:$E$3135,MATCH(Paramètres!N6,Paramètres!$G$5:$G$57,0)))+IF(RIGHT(TRIM(Paramètres!O6),3)="Fin",1-$H3084,IF(LEFT(TRIM(Paramètres!O6),1)="F",1,0)))))))</f>
        <v/>
      </c>
      <c r="F3084" s="19">
        <f>IF($A3084="","",E3084+$H3084-1)</f>
        <v/>
      </c>
      <c r="G3084" s="18" t="n"/>
      <c r="H3084" s="18">
        <f>IF($A3084="","",IF(I3084&lt;&gt;"",I3084,Paramètres!B6))</f>
        <v/>
      </c>
      <c r="I3084" s="18" t="n"/>
    </row>
    <row r="3085">
      <c r="A3085" s="18">
        <f>IF(ISNUMBER(Dossiers!$D$61),Dossiers!$A$61&amp;" · "&amp;Dossiers!$B$61,"")</f>
        <v/>
      </c>
      <c r="B3085" s="18">
        <f>IF($A3085="","",Paramètres!G7)</f>
        <v/>
      </c>
      <c r="C3085" s="18">
        <f>IF($A3085="","",IF(Paramètres!H7="","",Paramètres!H7))</f>
        <v/>
      </c>
      <c r="D3085" s="18">
        <f>IF($A3085="","",IF(Paramètres!I7="","",Paramètres!I7))</f>
        <v/>
      </c>
      <c r="E3085" s="19">
        <f>IF($A3085="","",IF(Paramètres!J7&amp;Paramètres!L7&amp;Paramètres!N7="",Dossiers!$D$61,MAX(IF(Paramètres!J7="",0,IF(Paramètres!K7="",NA(),IF(LEFT(TRIM(Paramètres!K7),1)="F",INDEX($F$3083:$F$3135,MATCH(Paramètres!J7,Paramètres!$G$5:$G$57,0)),INDEX($E$3083:$E$3135,MATCH(Paramètres!J7,Paramètres!$G$5:$G$57,0)))+IF(RIGHT(TRIM(Paramètres!K7),3)="Fin",1-$H3085,IF(LEFT(TRIM(Paramètres!K7),1)="F",1,0)))),IF(Paramètres!L7="",0,IF(Paramètres!M7="",NA(),IF(LEFT(TRIM(Paramètres!M7),1)="F",INDEX($F$3083:$F$3135,MATCH(Paramètres!L7,Paramètres!$G$5:$G$57,0)),INDEX($E$3083:$E$3135,MATCH(Paramètres!L7,Paramètres!$G$5:$G$57,0)))+IF(RIGHT(TRIM(Paramètres!M7),3)="Fin",1-$H3085,IF(LEFT(TRIM(Paramètres!M7),1)="F",1,0)))),IF(Paramètres!N7="",0,IF(Paramètres!O7="",NA(),IF(LEFT(TRIM(Paramètres!O7),1)="F",INDEX($F$3083:$F$3135,MATCH(Paramètres!N7,Paramètres!$G$5:$G$57,0)),INDEX($E$3083:$E$3135,MATCH(Paramètres!N7,Paramètres!$G$5:$G$57,0)))+IF(RIGHT(TRIM(Paramètres!O7),3)="Fin",1-$H3085,IF(LEFT(TRIM(Paramètres!O7),1)="F",1,0)))))))</f>
        <v/>
      </c>
      <c r="F3085" s="19">
        <f>IF($A3085="","",E3085+$H3085-1)</f>
        <v/>
      </c>
      <c r="G3085" s="18" t="n"/>
      <c r="H3085" s="18">
        <f>IF($A3085="","",IF(I3085&lt;&gt;"",I3085,Paramètres!B7))</f>
        <v/>
      </c>
      <c r="I3085" s="18" t="n"/>
    </row>
    <row r="3086">
      <c r="A3086" s="18">
        <f>IF(ISNUMBER(Dossiers!$D$61),Dossiers!$A$61&amp;" · "&amp;Dossiers!$B$61,"")</f>
        <v/>
      </c>
      <c r="B3086" s="18">
        <f>IF($A3086="","",Paramètres!G8)</f>
        <v/>
      </c>
      <c r="C3086" s="18">
        <f>IF($A3086="","",IF(Paramètres!H8="","",Paramètres!H8))</f>
        <v/>
      </c>
      <c r="D3086" s="18">
        <f>IF($A3086="","",IF(Paramètres!I8="","",Paramètres!I8))</f>
        <v/>
      </c>
      <c r="E3086" s="19">
        <f>IF($A3086="","",IF(Paramètres!J8&amp;Paramètres!L8&amp;Paramètres!N8="",Dossiers!$D$61,MAX(IF(Paramètres!J8="",0,IF(Paramètres!K8="",NA(),IF(LEFT(TRIM(Paramètres!K8),1)="F",INDEX($F$3083:$F$3135,MATCH(Paramètres!J8,Paramètres!$G$5:$G$57,0)),INDEX($E$3083:$E$3135,MATCH(Paramètres!J8,Paramètres!$G$5:$G$57,0)))+IF(RIGHT(TRIM(Paramètres!K8),3)="Fin",1-$H3086,IF(LEFT(TRIM(Paramètres!K8),1)="F",1,0)))),IF(Paramètres!L8="",0,IF(Paramètres!M8="",NA(),IF(LEFT(TRIM(Paramètres!M8),1)="F",INDEX($F$3083:$F$3135,MATCH(Paramètres!L8,Paramètres!$G$5:$G$57,0)),INDEX($E$3083:$E$3135,MATCH(Paramètres!L8,Paramètres!$G$5:$G$57,0)))+IF(RIGHT(TRIM(Paramètres!M8),3)="Fin",1-$H3086,IF(LEFT(TRIM(Paramètres!M8),1)="F",1,0)))),IF(Paramètres!N8="",0,IF(Paramètres!O8="",NA(),IF(LEFT(TRIM(Paramètres!O8),1)="F",INDEX($F$3083:$F$3135,MATCH(Paramètres!N8,Paramètres!$G$5:$G$57,0)),INDEX($E$3083:$E$3135,MATCH(Paramètres!N8,Paramètres!$G$5:$G$57,0)))+IF(RIGHT(TRIM(Paramètres!O8),3)="Fin",1-$H3086,IF(LEFT(TRIM(Paramètres!O8),1)="F",1,0)))))))</f>
        <v/>
      </c>
      <c r="F3086" s="19">
        <f>IF($A3086="","",E3086+$H3086-1)</f>
        <v/>
      </c>
      <c r="G3086" s="18" t="n"/>
      <c r="H3086" s="18">
        <f>IF($A3086="","",IF(I3086&lt;&gt;"",I3086,Paramètres!B8))</f>
        <v/>
      </c>
      <c r="I3086" s="18" t="n"/>
    </row>
    <row r="3087">
      <c r="A3087" s="18">
        <f>IF(ISNUMBER(Dossiers!$D$61),Dossiers!$A$61&amp;" · "&amp;Dossiers!$B$61,"")</f>
        <v/>
      </c>
      <c r="B3087" s="18">
        <f>IF($A3087="","",Paramètres!G9)</f>
        <v/>
      </c>
      <c r="C3087" s="18">
        <f>IF($A3087="","",IF(Paramètres!H9="","",Paramètres!H9))</f>
        <v/>
      </c>
      <c r="D3087" s="18">
        <f>IF($A3087="","",IF(Paramètres!I9="","",Paramètres!I9))</f>
        <v/>
      </c>
      <c r="E3087" s="19">
        <f>IF($A3087="","",IF(Paramètres!J9&amp;Paramètres!L9&amp;Paramètres!N9="",Dossiers!$D$61,MAX(IF(Paramètres!J9="",0,IF(Paramètres!K9="",NA(),IF(LEFT(TRIM(Paramètres!K9),1)="F",INDEX($F$3083:$F$3135,MATCH(Paramètres!J9,Paramètres!$G$5:$G$57,0)),INDEX($E$3083:$E$3135,MATCH(Paramètres!J9,Paramètres!$G$5:$G$57,0)))+IF(RIGHT(TRIM(Paramètres!K9),3)="Fin",1-$H3087,IF(LEFT(TRIM(Paramètres!K9),1)="F",1,0)))),IF(Paramètres!L9="",0,IF(Paramètres!M9="",NA(),IF(LEFT(TRIM(Paramètres!M9),1)="F",INDEX($F$3083:$F$3135,MATCH(Paramètres!L9,Paramètres!$G$5:$G$57,0)),INDEX($E$3083:$E$3135,MATCH(Paramètres!L9,Paramètres!$G$5:$G$57,0)))+IF(RIGHT(TRIM(Paramètres!M9),3)="Fin",1-$H3087,IF(LEFT(TRIM(Paramètres!M9),1)="F",1,0)))),IF(Paramètres!N9="",0,IF(Paramètres!O9="",NA(),IF(LEFT(TRIM(Paramètres!O9),1)="F",INDEX($F$3083:$F$3135,MATCH(Paramètres!N9,Paramètres!$G$5:$G$57,0)),INDEX($E$3083:$E$3135,MATCH(Paramètres!N9,Paramètres!$G$5:$G$57,0)))+IF(RIGHT(TRIM(Paramètres!O9),3)="Fin",1-$H3087,IF(LEFT(TRIM(Paramètres!O9),1)="F",1,0)))))))</f>
        <v/>
      </c>
      <c r="F3087" s="19">
        <f>IF($A3087="","",E3087+$H3087-1)</f>
        <v/>
      </c>
      <c r="G3087" s="18" t="n"/>
      <c r="H3087" s="18">
        <f>IF($A3087="","",IF(I3087&lt;&gt;"",I3087,Paramètres!B9))</f>
        <v/>
      </c>
      <c r="I3087" s="18" t="n"/>
    </row>
    <row r="3088">
      <c r="A3088" s="18">
        <f>IF(ISNUMBER(Dossiers!$D$61),Dossiers!$A$61&amp;" · "&amp;Dossiers!$B$61,"")</f>
        <v/>
      </c>
      <c r="B3088" s="18">
        <f>IF($A3088="","",Paramètres!G10)</f>
        <v/>
      </c>
      <c r="C3088" s="18">
        <f>IF($A3088="","",IF(Paramètres!H10="","",Paramètres!H10))</f>
        <v/>
      </c>
      <c r="D3088" s="18">
        <f>IF($A3088="","",IF(Paramètres!I10="","",Paramètres!I10))</f>
        <v/>
      </c>
      <c r="E3088" s="19">
        <f>IF($A3088="","",MIN(E3089:E3092))</f>
        <v/>
      </c>
      <c r="F3088" s="19">
        <f>IF($A3088="","",MAX(F3089:F3092))</f>
        <v/>
      </c>
      <c r="G3088" s="18" t="n"/>
      <c r="H3088" s="18">
        <f>IF($A3088="","",F3088-E3088+1)</f>
        <v/>
      </c>
      <c r="I3088" s="18" t="n"/>
    </row>
    <row r="3089">
      <c r="A3089" s="18">
        <f>IF(ISNUMBER(Dossiers!$D$61),Dossiers!$A$61&amp;" · "&amp;Dossiers!$B$61,"")</f>
        <v/>
      </c>
      <c r="B3089" s="18">
        <f>IF($A3089="","",Paramètres!G11)</f>
        <v/>
      </c>
      <c r="C3089" s="18">
        <f>IF($A3089="","",IF(Paramètres!H11="","",Paramètres!H11))</f>
        <v/>
      </c>
      <c r="D3089" s="18">
        <f>IF($A3089="","",IF(Paramètres!I11="","",Paramètres!I11))</f>
        <v/>
      </c>
      <c r="E3089" s="19">
        <f>IF($A3089="","",IF(Paramètres!J11&amp;Paramètres!L11&amp;Paramètres!N11="",Dossiers!$D$61,MAX(IF(Paramètres!J11="",0,IF(Paramètres!K11="",NA(),IF(LEFT(TRIM(Paramètres!K11),1)="F",INDEX($F$3083:$F$3135,MATCH(Paramètres!J11,Paramètres!$G$5:$G$57,0)),INDEX($E$3083:$E$3135,MATCH(Paramètres!J11,Paramètres!$G$5:$G$57,0)))+IF(RIGHT(TRIM(Paramètres!K11),3)="Fin",1-$H3089,IF(LEFT(TRIM(Paramètres!K11),1)="F",1,0)))),IF(Paramètres!L11="",0,IF(Paramètres!M11="",NA(),IF(LEFT(TRIM(Paramètres!M11),1)="F",INDEX($F$3083:$F$3135,MATCH(Paramètres!L11,Paramètres!$G$5:$G$57,0)),INDEX($E$3083:$E$3135,MATCH(Paramètres!L11,Paramètres!$G$5:$G$57,0)))+IF(RIGHT(TRIM(Paramètres!M11),3)="Fin",1-$H3089,IF(LEFT(TRIM(Paramètres!M11),1)="F",1,0)))),IF(Paramètres!N11="",0,IF(Paramètres!O11="",NA(),IF(LEFT(TRIM(Paramètres!O11),1)="F",INDEX($F$3083:$F$3135,MATCH(Paramètres!N11,Paramètres!$G$5:$G$57,0)),INDEX($E$3083:$E$3135,MATCH(Paramètres!N11,Paramètres!$G$5:$G$57,0)))+IF(RIGHT(TRIM(Paramètres!O11),3)="Fin",1-$H3089,IF(LEFT(TRIM(Paramètres!O11),1)="F",1,0)))))))</f>
        <v/>
      </c>
      <c r="F3089" s="19">
        <f>IF($A3089="","",E3089+$H3089-1)</f>
        <v/>
      </c>
      <c r="G3089" s="18" t="n"/>
      <c r="H3089" s="18">
        <f>IF($A3089="","",IF(I3089&lt;&gt;"",I3089,Paramètres!B11))</f>
        <v/>
      </c>
      <c r="I3089" s="18" t="n"/>
    </row>
    <row r="3090">
      <c r="A3090" s="18">
        <f>IF(ISNUMBER(Dossiers!$D$61),Dossiers!$A$61&amp;" · "&amp;Dossiers!$B$61,"")</f>
        <v/>
      </c>
      <c r="B3090" s="18">
        <f>IF($A3090="","",Paramètres!G12)</f>
        <v/>
      </c>
      <c r="C3090" s="18">
        <f>IF($A3090="","",IF(Paramètres!H12="","",Paramètres!H12))</f>
        <v/>
      </c>
      <c r="D3090" s="18">
        <f>IF($A3090="","",IF(Paramètres!I12="","",Paramètres!I12))</f>
        <v/>
      </c>
      <c r="E3090" s="19">
        <f>IF($A3090="","",IF(Paramètres!J12&amp;Paramètres!L12&amp;Paramètres!N12="",Dossiers!$D$61,MAX(IF(Paramètres!J12="",0,IF(Paramètres!K12="",NA(),IF(LEFT(TRIM(Paramètres!K12),1)="F",INDEX($F$3083:$F$3135,MATCH(Paramètres!J12,Paramètres!$G$5:$G$57,0)),INDEX($E$3083:$E$3135,MATCH(Paramètres!J12,Paramètres!$G$5:$G$57,0)))+IF(RIGHT(TRIM(Paramètres!K12),3)="Fin",1-$H3090,IF(LEFT(TRIM(Paramètres!K12),1)="F",1,0)))),IF(Paramètres!L12="",0,IF(Paramètres!M12="",NA(),IF(LEFT(TRIM(Paramètres!M12),1)="F",INDEX($F$3083:$F$3135,MATCH(Paramètres!L12,Paramètres!$G$5:$G$57,0)),INDEX($E$3083:$E$3135,MATCH(Paramètres!L12,Paramètres!$G$5:$G$57,0)))+IF(RIGHT(TRIM(Paramètres!M12),3)="Fin",1-$H3090,IF(LEFT(TRIM(Paramètres!M12),1)="F",1,0)))),IF(Paramètres!N12="",0,IF(Paramètres!O12="",NA(),IF(LEFT(TRIM(Paramètres!O12),1)="F",INDEX($F$3083:$F$3135,MATCH(Paramètres!N12,Paramètres!$G$5:$G$57,0)),INDEX($E$3083:$E$3135,MATCH(Paramètres!N12,Paramètres!$G$5:$G$57,0)))+IF(RIGHT(TRIM(Paramètres!O12),3)="Fin",1-$H3090,IF(LEFT(TRIM(Paramètres!O12),1)="F",1,0)))))))</f>
        <v/>
      </c>
      <c r="F3090" s="19">
        <f>IF($A3090="","",E3090+$H3090-1)</f>
        <v/>
      </c>
      <c r="G3090" s="18" t="n"/>
      <c r="H3090" s="18">
        <f>IF($A3090="","",IF(I3090&lt;&gt;"",I3090,Paramètres!B12))</f>
        <v/>
      </c>
      <c r="I3090" s="18" t="n"/>
    </row>
    <row r="3091">
      <c r="A3091" s="18">
        <f>IF(ISNUMBER(Dossiers!$D$61),Dossiers!$A$61&amp;" · "&amp;Dossiers!$B$61,"")</f>
        <v/>
      </c>
      <c r="B3091" s="18">
        <f>IF($A3091="","",Paramètres!G13)</f>
        <v/>
      </c>
      <c r="C3091" s="18">
        <f>IF($A3091="","",IF(Paramètres!H13="","",Paramètres!H13))</f>
        <v/>
      </c>
      <c r="D3091" s="18">
        <f>IF($A3091="","",IF(Paramètres!I13="","",Paramètres!I13))</f>
        <v/>
      </c>
      <c r="E3091" s="19">
        <f>IF($A3091="","",IF(Paramètres!J13&amp;Paramètres!L13&amp;Paramètres!N13="",Dossiers!$D$61,MAX(IF(Paramètres!J13="",0,IF(Paramètres!K13="",NA(),IF(LEFT(TRIM(Paramètres!K13),1)="F",INDEX($F$3083:$F$3135,MATCH(Paramètres!J13,Paramètres!$G$5:$G$57,0)),INDEX($E$3083:$E$3135,MATCH(Paramètres!J13,Paramètres!$G$5:$G$57,0)))+IF(RIGHT(TRIM(Paramètres!K13),3)="Fin",1-$H3091,IF(LEFT(TRIM(Paramètres!K13),1)="F",1,0)))),IF(Paramètres!L13="",0,IF(Paramètres!M13="",NA(),IF(LEFT(TRIM(Paramètres!M13),1)="F",INDEX($F$3083:$F$3135,MATCH(Paramètres!L13,Paramètres!$G$5:$G$57,0)),INDEX($E$3083:$E$3135,MATCH(Paramètres!L13,Paramètres!$G$5:$G$57,0)))+IF(RIGHT(TRIM(Paramètres!M13),3)="Fin",1-$H3091,IF(LEFT(TRIM(Paramètres!M13),1)="F",1,0)))),IF(Paramètres!N13="",0,IF(Paramètres!O13="",NA(),IF(LEFT(TRIM(Paramètres!O13),1)="F",INDEX($F$3083:$F$3135,MATCH(Paramètres!N13,Paramètres!$G$5:$G$57,0)),INDEX($E$3083:$E$3135,MATCH(Paramètres!N13,Paramètres!$G$5:$G$57,0)))+IF(RIGHT(TRIM(Paramètres!O13),3)="Fin",1-$H3091,IF(LEFT(TRIM(Paramètres!O13),1)="F",1,0)))))))</f>
        <v/>
      </c>
      <c r="F3091" s="19">
        <f>IF($A3091="","",E3091+$H3091-1)</f>
        <v/>
      </c>
      <c r="G3091" s="18" t="n"/>
      <c r="H3091" s="18">
        <f>IF($A3091="","",IF(I3091&lt;&gt;"",I3091,Paramètres!B13))</f>
        <v/>
      </c>
      <c r="I3091" s="18" t="n"/>
    </row>
    <row r="3092">
      <c r="A3092" s="18">
        <f>IF(ISNUMBER(Dossiers!$D$61),Dossiers!$A$61&amp;" · "&amp;Dossiers!$B$61,"")</f>
        <v/>
      </c>
      <c r="B3092" s="18">
        <f>IF($A3092="","",Paramètres!G14)</f>
        <v/>
      </c>
      <c r="C3092" s="18">
        <f>IF($A3092="","",IF(Paramètres!H14="","",Paramètres!H14))</f>
        <v/>
      </c>
      <c r="D3092" s="18">
        <f>IF($A3092="","",IF(Paramètres!I14="","",Paramètres!I14))</f>
        <v/>
      </c>
      <c r="E3092" s="19">
        <f>IF($A3092="","",IF(Paramètres!J14&amp;Paramètres!L14&amp;Paramètres!N14="",Dossiers!$D$61,MAX(IF(Paramètres!J14="",0,IF(Paramètres!K14="",NA(),IF(LEFT(TRIM(Paramètres!K14),1)="F",INDEX($F$3083:$F$3135,MATCH(Paramètres!J14,Paramètres!$G$5:$G$57,0)),INDEX($E$3083:$E$3135,MATCH(Paramètres!J14,Paramètres!$G$5:$G$57,0)))+IF(RIGHT(TRIM(Paramètres!K14),3)="Fin",1-$H3092,IF(LEFT(TRIM(Paramètres!K14),1)="F",1,0)))),IF(Paramètres!L14="",0,IF(Paramètres!M14="",NA(),IF(LEFT(TRIM(Paramètres!M14),1)="F",INDEX($F$3083:$F$3135,MATCH(Paramètres!L14,Paramètres!$G$5:$G$57,0)),INDEX($E$3083:$E$3135,MATCH(Paramètres!L14,Paramètres!$G$5:$G$57,0)))+IF(RIGHT(TRIM(Paramètres!M14),3)="Fin",1-$H3092,IF(LEFT(TRIM(Paramètres!M14),1)="F",1,0)))),IF(Paramètres!N14="",0,IF(Paramètres!O14="",NA(),IF(LEFT(TRIM(Paramètres!O14),1)="F",INDEX($F$3083:$F$3135,MATCH(Paramètres!N14,Paramètres!$G$5:$G$57,0)),INDEX($E$3083:$E$3135,MATCH(Paramètres!N14,Paramètres!$G$5:$G$57,0)))+IF(RIGHT(TRIM(Paramètres!O14),3)="Fin",1-$H3092,IF(LEFT(TRIM(Paramètres!O14),1)="F",1,0)))))))</f>
        <v/>
      </c>
      <c r="F3092" s="19">
        <f>IF($A3092="","",E3092+$H3092-1)</f>
        <v/>
      </c>
      <c r="G3092" s="18" t="n"/>
      <c r="H3092" s="18">
        <f>IF($A3092="","",IF(I3092&lt;&gt;"",I3092,Paramètres!B14))</f>
        <v/>
      </c>
      <c r="I3092" s="18" t="n"/>
    </row>
    <row r="3093">
      <c r="A3093" s="18">
        <f>IF(ISNUMBER(Dossiers!$D$61),Dossiers!$A$61&amp;" · "&amp;Dossiers!$B$61,"")</f>
        <v/>
      </c>
      <c r="B3093" s="18">
        <f>IF($A3093="","",Paramètres!G15)</f>
        <v/>
      </c>
      <c r="C3093" s="18">
        <f>IF($A3093="","",IF(Paramètres!H15="","",Paramètres!H15))</f>
        <v/>
      </c>
      <c r="D3093" s="18">
        <f>IF($A3093="","",IF(Paramètres!I15="","",Paramètres!I15))</f>
        <v/>
      </c>
      <c r="E3093" s="19">
        <f>IF($A3093="","",MIN(E3094:E3109))</f>
        <v/>
      </c>
      <c r="F3093" s="19">
        <f>IF($A3093="","",MAX(F3094:F3109))</f>
        <v/>
      </c>
      <c r="G3093" s="18" t="n"/>
      <c r="H3093" s="18">
        <f>IF($A3093="","",F3093-E3093+1)</f>
        <v/>
      </c>
      <c r="I3093" s="18" t="n"/>
    </row>
    <row r="3094">
      <c r="A3094" s="18">
        <f>IF(ISNUMBER(Dossiers!$D$61),Dossiers!$A$61&amp;" · "&amp;Dossiers!$B$61,"")</f>
        <v/>
      </c>
      <c r="B3094" s="18">
        <f>IF($A3094="","",Paramètres!G16)</f>
        <v/>
      </c>
      <c r="C3094" s="18">
        <f>IF($A3094="","",IF(Paramètres!H16="","",Paramètres!H16))</f>
        <v/>
      </c>
      <c r="D3094" s="18">
        <f>IF($A3094="","",IF(Paramètres!I16="","",Paramètres!I16))</f>
        <v/>
      </c>
      <c r="E3094" s="19">
        <f>IF($A3094="","",IF(Paramètres!J16&amp;Paramètres!L16&amp;Paramètres!N16="",Dossiers!$D$61,MAX(IF(Paramètres!J16="",0,IF(Paramètres!K16="",NA(),IF(LEFT(TRIM(Paramètres!K16),1)="F",INDEX($F$3083:$F$3135,MATCH(Paramètres!J16,Paramètres!$G$5:$G$57,0)),INDEX($E$3083:$E$3135,MATCH(Paramètres!J16,Paramètres!$G$5:$G$57,0)))+IF(RIGHT(TRIM(Paramètres!K16),3)="Fin",1-$H3094,IF(LEFT(TRIM(Paramètres!K16),1)="F",1,0)))),IF(Paramètres!L16="",0,IF(Paramètres!M16="",NA(),IF(LEFT(TRIM(Paramètres!M16),1)="F",INDEX($F$3083:$F$3135,MATCH(Paramètres!L16,Paramètres!$G$5:$G$57,0)),INDEX($E$3083:$E$3135,MATCH(Paramètres!L16,Paramètres!$G$5:$G$57,0)))+IF(RIGHT(TRIM(Paramètres!M16),3)="Fin",1-$H3094,IF(LEFT(TRIM(Paramètres!M16),1)="F",1,0)))),IF(Paramètres!N16="",0,IF(Paramètres!O16="",NA(),IF(LEFT(TRIM(Paramètres!O16),1)="F",INDEX($F$3083:$F$3135,MATCH(Paramètres!N16,Paramètres!$G$5:$G$57,0)),INDEX($E$3083:$E$3135,MATCH(Paramètres!N16,Paramètres!$G$5:$G$57,0)))+IF(RIGHT(TRIM(Paramètres!O16),3)="Fin",1-$H3094,IF(LEFT(TRIM(Paramètres!O16),1)="F",1,0)))))))</f>
        <v/>
      </c>
      <c r="F3094" s="19">
        <f>IF($A3094="","",E3094+$H3094-1)</f>
        <v/>
      </c>
      <c r="G3094" s="18" t="n"/>
      <c r="H3094" s="18">
        <f>IF($A3094="","",IF(I3094&lt;&gt;"",I3094,Paramètres!B16))</f>
        <v/>
      </c>
      <c r="I3094" s="18" t="n"/>
    </row>
    <row r="3095">
      <c r="A3095" s="18">
        <f>IF(ISNUMBER(Dossiers!$D$61),Dossiers!$A$61&amp;" · "&amp;Dossiers!$B$61,"")</f>
        <v/>
      </c>
      <c r="B3095" s="18">
        <f>IF($A3095="","",Paramètres!G17)</f>
        <v/>
      </c>
      <c r="C3095" s="18">
        <f>IF($A3095="","",IF(Paramètres!H17="","",Paramètres!H17))</f>
        <v/>
      </c>
      <c r="D3095" s="18">
        <f>IF($A3095="","",IF(Paramètres!I17="","",Paramètres!I17))</f>
        <v/>
      </c>
      <c r="E3095" s="19">
        <f>IF($A3095="","",IF(Paramètres!J17&amp;Paramètres!L17&amp;Paramètres!N17="",Dossiers!$D$61,MAX(IF(Paramètres!J17="",0,IF(Paramètres!K17="",NA(),IF(LEFT(TRIM(Paramètres!K17),1)="F",INDEX($F$3083:$F$3135,MATCH(Paramètres!J17,Paramètres!$G$5:$G$57,0)),INDEX($E$3083:$E$3135,MATCH(Paramètres!J17,Paramètres!$G$5:$G$57,0)))+IF(RIGHT(TRIM(Paramètres!K17),3)="Fin",1-$H3095,IF(LEFT(TRIM(Paramètres!K17),1)="F",1,0)))),IF(Paramètres!L17="",0,IF(Paramètres!M17="",NA(),IF(LEFT(TRIM(Paramètres!M17),1)="F",INDEX($F$3083:$F$3135,MATCH(Paramètres!L17,Paramètres!$G$5:$G$57,0)),INDEX($E$3083:$E$3135,MATCH(Paramètres!L17,Paramètres!$G$5:$G$57,0)))+IF(RIGHT(TRIM(Paramètres!M17),3)="Fin",1-$H3095,IF(LEFT(TRIM(Paramètres!M17),1)="F",1,0)))),IF(Paramètres!N17="",0,IF(Paramètres!O17="",NA(),IF(LEFT(TRIM(Paramètres!O17),1)="F",INDEX($F$3083:$F$3135,MATCH(Paramètres!N17,Paramètres!$G$5:$G$57,0)),INDEX($E$3083:$E$3135,MATCH(Paramètres!N17,Paramètres!$G$5:$G$57,0)))+IF(RIGHT(TRIM(Paramètres!O17),3)="Fin",1-$H3095,IF(LEFT(TRIM(Paramètres!O17),1)="F",1,0)))))))</f>
        <v/>
      </c>
      <c r="F3095" s="19">
        <f>IF($A3095="","",E3095+$H3095-1)</f>
        <v/>
      </c>
      <c r="G3095" s="18" t="n"/>
      <c r="H3095" s="18">
        <f>IF($A3095="","",IF(I3095&lt;&gt;"",I3095,Paramètres!B17))</f>
        <v/>
      </c>
      <c r="I3095" s="18" t="n"/>
    </row>
    <row r="3096">
      <c r="A3096" s="18">
        <f>IF(ISNUMBER(Dossiers!$D$61),Dossiers!$A$61&amp;" · "&amp;Dossiers!$B$61,"")</f>
        <v/>
      </c>
      <c r="B3096" s="18">
        <f>IF($A3096="","",Paramètres!G18)</f>
        <v/>
      </c>
      <c r="C3096" s="18">
        <f>IF($A3096="","",IF(Paramètres!H18="","",Paramètres!H18))</f>
        <v/>
      </c>
      <c r="D3096" s="18">
        <f>IF($A3096="","",IF(Paramètres!I18="","",Paramètres!I18))</f>
        <v/>
      </c>
      <c r="E3096" s="19">
        <f>IF($A3096="","",IF(Paramètres!J18&amp;Paramètres!L18&amp;Paramètres!N18="",Dossiers!$D$61,MAX(IF(Paramètres!J18="",0,IF(Paramètres!K18="",NA(),IF(LEFT(TRIM(Paramètres!K18),1)="F",INDEX($F$3083:$F$3135,MATCH(Paramètres!J18,Paramètres!$G$5:$G$57,0)),INDEX($E$3083:$E$3135,MATCH(Paramètres!J18,Paramètres!$G$5:$G$57,0)))+IF(RIGHT(TRIM(Paramètres!K18),3)="Fin",1-$H3096,IF(LEFT(TRIM(Paramètres!K18),1)="F",1,0)))),IF(Paramètres!L18="",0,IF(Paramètres!M18="",NA(),IF(LEFT(TRIM(Paramètres!M18),1)="F",INDEX($F$3083:$F$3135,MATCH(Paramètres!L18,Paramètres!$G$5:$G$57,0)),INDEX($E$3083:$E$3135,MATCH(Paramètres!L18,Paramètres!$G$5:$G$57,0)))+IF(RIGHT(TRIM(Paramètres!M18),3)="Fin",1-$H3096,IF(LEFT(TRIM(Paramètres!M18),1)="F",1,0)))),IF(Paramètres!N18="",0,IF(Paramètres!O18="",NA(),IF(LEFT(TRIM(Paramètres!O18),1)="F",INDEX($F$3083:$F$3135,MATCH(Paramètres!N18,Paramètres!$G$5:$G$57,0)),INDEX($E$3083:$E$3135,MATCH(Paramètres!N18,Paramètres!$G$5:$G$57,0)))+IF(RIGHT(TRIM(Paramètres!O18),3)="Fin",1-$H3096,IF(LEFT(TRIM(Paramètres!O18),1)="F",1,0)))))))</f>
        <v/>
      </c>
      <c r="F3096" s="19">
        <f>IF($A3096="","",E3096+$H3096-1)</f>
        <v/>
      </c>
      <c r="G3096" s="18" t="n"/>
      <c r="H3096" s="18">
        <f>IF($A3096="","",IF(I3096&lt;&gt;"",I3096,Paramètres!B18))</f>
        <v/>
      </c>
      <c r="I3096" s="18" t="n"/>
    </row>
    <row r="3097">
      <c r="A3097" s="18">
        <f>IF(ISNUMBER(Dossiers!$D$61),Dossiers!$A$61&amp;" · "&amp;Dossiers!$B$61,"")</f>
        <v/>
      </c>
      <c r="B3097" s="18">
        <f>IF($A3097="","",Paramètres!G19)</f>
        <v/>
      </c>
      <c r="C3097" s="18">
        <f>IF($A3097="","",IF(Paramètres!H19="","",Paramètres!H19))</f>
        <v/>
      </c>
      <c r="D3097" s="18">
        <f>IF($A3097="","",IF(Paramètres!I19="","",Paramètres!I19))</f>
        <v/>
      </c>
      <c r="E3097" s="19">
        <f>IF($A3097="","",IF(Paramètres!J19&amp;Paramètres!L19&amp;Paramètres!N19="",Dossiers!$D$61,MAX(IF(Paramètres!J19="",0,IF(Paramètres!K19="",NA(),IF(LEFT(TRIM(Paramètres!K19),1)="F",INDEX($F$3083:$F$3135,MATCH(Paramètres!J19,Paramètres!$G$5:$G$57,0)),INDEX($E$3083:$E$3135,MATCH(Paramètres!J19,Paramètres!$G$5:$G$57,0)))+IF(RIGHT(TRIM(Paramètres!K19),3)="Fin",1-$H3097,IF(LEFT(TRIM(Paramètres!K19),1)="F",1,0)))),IF(Paramètres!L19="",0,IF(Paramètres!M19="",NA(),IF(LEFT(TRIM(Paramètres!M19),1)="F",INDEX($F$3083:$F$3135,MATCH(Paramètres!L19,Paramètres!$G$5:$G$57,0)),INDEX($E$3083:$E$3135,MATCH(Paramètres!L19,Paramètres!$G$5:$G$57,0)))+IF(RIGHT(TRIM(Paramètres!M19),3)="Fin",1-$H3097,IF(LEFT(TRIM(Paramètres!M19),1)="F",1,0)))),IF(Paramètres!N19="",0,IF(Paramètres!O19="",NA(),IF(LEFT(TRIM(Paramètres!O19),1)="F",INDEX($F$3083:$F$3135,MATCH(Paramètres!N19,Paramètres!$G$5:$G$57,0)),INDEX($E$3083:$E$3135,MATCH(Paramètres!N19,Paramètres!$G$5:$G$57,0)))+IF(RIGHT(TRIM(Paramètres!O19),3)="Fin",1-$H3097,IF(LEFT(TRIM(Paramètres!O19),1)="F",1,0)))))))</f>
        <v/>
      </c>
      <c r="F3097" s="19">
        <f>IF($A3097="","",E3097+$H3097-1)</f>
        <v/>
      </c>
      <c r="G3097" s="18" t="n"/>
      <c r="H3097" s="18">
        <f>IF($A3097="","",IF(I3097&lt;&gt;"",I3097,Paramètres!B19))</f>
        <v/>
      </c>
      <c r="I3097" s="18" t="n"/>
    </row>
    <row r="3098">
      <c r="A3098" s="18">
        <f>IF(ISNUMBER(Dossiers!$D$61),Dossiers!$A$61&amp;" · "&amp;Dossiers!$B$61,"")</f>
        <v/>
      </c>
      <c r="B3098" s="18">
        <f>IF($A3098="","",Paramètres!G20)</f>
        <v/>
      </c>
      <c r="C3098" s="18">
        <f>IF($A3098="","",IF(Paramètres!H20="","",Paramètres!H20))</f>
        <v/>
      </c>
      <c r="D3098" s="18">
        <f>IF($A3098="","",IF(Paramètres!I20="","",Paramètres!I20))</f>
        <v/>
      </c>
      <c r="E3098" s="19">
        <f>IF($A3098="","",IF(Paramètres!J20&amp;Paramètres!L20&amp;Paramètres!N20="",Dossiers!$D$61,MAX(IF(Paramètres!J20="",0,IF(Paramètres!K20="",NA(),IF(LEFT(TRIM(Paramètres!K20),1)="F",INDEX($F$3083:$F$3135,MATCH(Paramètres!J20,Paramètres!$G$5:$G$57,0)),INDEX($E$3083:$E$3135,MATCH(Paramètres!J20,Paramètres!$G$5:$G$57,0)))+IF(RIGHT(TRIM(Paramètres!K20),3)="Fin",1-$H3098,IF(LEFT(TRIM(Paramètres!K20),1)="F",1,0)))),IF(Paramètres!L20="",0,IF(Paramètres!M20="",NA(),IF(LEFT(TRIM(Paramètres!M20),1)="F",INDEX($F$3083:$F$3135,MATCH(Paramètres!L20,Paramètres!$G$5:$G$57,0)),INDEX($E$3083:$E$3135,MATCH(Paramètres!L20,Paramètres!$G$5:$G$57,0)))+IF(RIGHT(TRIM(Paramètres!M20),3)="Fin",1-$H3098,IF(LEFT(TRIM(Paramètres!M20),1)="F",1,0)))),IF(Paramètres!N20="",0,IF(Paramètres!O20="",NA(),IF(LEFT(TRIM(Paramètres!O20),1)="F",INDEX($F$3083:$F$3135,MATCH(Paramètres!N20,Paramètres!$G$5:$G$57,0)),INDEX($E$3083:$E$3135,MATCH(Paramètres!N20,Paramètres!$G$5:$G$57,0)))+IF(RIGHT(TRIM(Paramètres!O20),3)="Fin",1-$H3098,IF(LEFT(TRIM(Paramètres!O20),1)="F",1,0)))))))</f>
        <v/>
      </c>
      <c r="F3098" s="19">
        <f>IF($A3098="","",E3098+$H3098-1)</f>
        <v/>
      </c>
      <c r="G3098" s="18" t="n"/>
      <c r="H3098" s="18">
        <f>IF($A3098="","",IF(I3098&lt;&gt;"",I3098,Paramètres!B20))</f>
        <v/>
      </c>
      <c r="I3098" s="18" t="n"/>
    </row>
    <row r="3099">
      <c r="A3099" s="18">
        <f>IF(ISNUMBER(Dossiers!$D$61),Dossiers!$A$61&amp;" · "&amp;Dossiers!$B$61,"")</f>
        <v/>
      </c>
      <c r="B3099" s="18">
        <f>IF($A3099="","",Paramètres!G21)</f>
        <v/>
      </c>
      <c r="C3099" s="18">
        <f>IF($A3099="","",IF(Paramètres!H21="","",Paramètres!H21))</f>
        <v/>
      </c>
      <c r="D3099" s="18">
        <f>IF($A3099="","",IF(Paramètres!I21="","",Paramètres!I21))</f>
        <v/>
      </c>
      <c r="E3099" s="19">
        <f>IF($A3099="","",IF(Paramètres!J21&amp;Paramètres!L21&amp;Paramètres!N21="",Dossiers!$D$61,MAX(IF(Paramètres!J21="",0,IF(Paramètres!K21="",NA(),IF(LEFT(TRIM(Paramètres!K21),1)="F",INDEX($F$3083:$F$3135,MATCH(Paramètres!J21,Paramètres!$G$5:$G$57,0)),INDEX($E$3083:$E$3135,MATCH(Paramètres!J21,Paramètres!$G$5:$G$57,0)))+IF(RIGHT(TRIM(Paramètres!K21),3)="Fin",1-$H3099,IF(LEFT(TRIM(Paramètres!K21),1)="F",1,0)))),IF(Paramètres!L21="",0,IF(Paramètres!M21="",NA(),IF(LEFT(TRIM(Paramètres!M21),1)="F",INDEX($F$3083:$F$3135,MATCH(Paramètres!L21,Paramètres!$G$5:$G$57,0)),INDEX($E$3083:$E$3135,MATCH(Paramètres!L21,Paramètres!$G$5:$G$57,0)))+IF(RIGHT(TRIM(Paramètres!M21),3)="Fin",1-$H3099,IF(LEFT(TRIM(Paramètres!M21),1)="F",1,0)))),IF(Paramètres!N21="",0,IF(Paramètres!O21="",NA(),IF(LEFT(TRIM(Paramètres!O21),1)="F",INDEX($F$3083:$F$3135,MATCH(Paramètres!N21,Paramètres!$G$5:$G$57,0)),INDEX($E$3083:$E$3135,MATCH(Paramètres!N21,Paramètres!$G$5:$G$57,0)))+IF(RIGHT(TRIM(Paramètres!O21),3)="Fin",1-$H3099,IF(LEFT(TRIM(Paramètres!O21),1)="F",1,0)))))))</f>
        <v/>
      </c>
      <c r="F3099" s="19">
        <f>IF($A3099="","",E3099+$H3099-1)</f>
        <v/>
      </c>
      <c r="G3099" s="18" t="n"/>
      <c r="H3099" s="18">
        <f>IF($A3099="","",IF(I3099&lt;&gt;"",I3099,Paramètres!B21))</f>
        <v/>
      </c>
      <c r="I3099" s="18" t="n"/>
    </row>
    <row r="3100">
      <c r="A3100" s="18">
        <f>IF(ISNUMBER(Dossiers!$D$61),Dossiers!$A$61&amp;" · "&amp;Dossiers!$B$61,"")</f>
        <v/>
      </c>
      <c r="B3100" s="18">
        <f>IF($A3100="","",Paramètres!G22)</f>
        <v/>
      </c>
      <c r="C3100" s="18">
        <f>IF($A3100="","",IF(Paramètres!H22="","",Paramètres!H22))</f>
        <v/>
      </c>
      <c r="D3100" s="18">
        <f>IF($A3100="","",IF(Paramètres!I22="","",Paramètres!I22))</f>
        <v/>
      </c>
      <c r="E3100" s="19">
        <f>IF($A3100="","",IF(Paramètres!J22&amp;Paramètres!L22&amp;Paramètres!N22="",Dossiers!$D$61,MAX(IF(Paramètres!J22="",0,IF(Paramètres!K22="",NA(),IF(LEFT(TRIM(Paramètres!K22),1)="F",INDEX($F$3083:$F$3135,MATCH(Paramètres!J22,Paramètres!$G$5:$G$57,0)),INDEX($E$3083:$E$3135,MATCH(Paramètres!J22,Paramètres!$G$5:$G$57,0)))+IF(RIGHT(TRIM(Paramètres!K22),3)="Fin",1-$H3100,IF(LEFT(TRIM(Paramètres!K22),1)="F",1,0)))),IF(Paramètres!L22="",0,IF(Paramètres!M22="",NA(),IF(LEFT(TRIM(Paramètres!M22),1)="F",INDEX($F$3083:$F$3135,MATCH(Paramètres!L22,Paramètres!$G$5:$G$57,0)),INDEX($E$3083:$E$3135,MATCH(Paramètres!L22,Paramètres!$G$5:$G$57,0)))+IF(RIGHT(TRIM(Paramètres!M22),3)="Fin",1-$H3100,IF(LEFT(TRIM(Paramètres!M22),1)="F",1,0)))),IF(Paramètres!N22="",0,IF(Paramètres!O22="",NA(),IF(LEFT(TRIM(Paramètres!O22),1)="F",INDEX($F$3083:$F$3135,MATCH(Paramètres!N22,Paramètres!$G$5:$G$57,0)),INDEX($E$3083:$E$3135,MATCH(Paramètres!N22,Paramètres!$G$5:$G$57,0)))+IF(RIGHT(TRIM(Paramètres!O22),3)="Fin",1-$H3100,IF(LEFT(TRIM(Paramètres!O22),1)="F",1,0)))))))</f>
        <v/>
      </c>
      <c r="F3100" s="19">
        <f>IF($A3100="","",E3100+$H3100-1)</f>
        <v/>
      </c>
      <c r="G3100" s="18" t="n"/>
      <c r="H3100" s="18">
        <f>IF($A3100="","",IF(I3100&lt;&gt;"",I3100,Paramètres!B22))</f>
        <v/>
      </c>
      <c r="I3100" s="18" t="n"/>
    </row>
    <row r="3101">
      <c r="A3101" s="18">
        <f>IF(ISNUMBER(Dossiers!$D$61),Dossiers!$A$61&amp;" · "&amp;Dossiers!$B$61,"")</f>
        <v/>
      </c>
      <c r="B3101" s="18">
        <f>IF($A3101="","",Paramètres!G23)</f>
        <v/>
      </c>
      <c r="C3101" s="18">
        <f>IF($A3101="","",IF(Paramètres!H23="","",Paramètres!H23))</f>
        <v/>
      </c>
      <c r="D3101" s="18">
        <f>IF($A3101="","",IF(Paramètres!I23="","",Paramètres!I23))</f>
        <v/>
      </c>
      <c r="E3101" s="19">
        <f>IF($A3101="","",IF(Paramètres!J23&amp;Paramètres!L23&amp;Paramètres!N23="",Dossiers!$D$61,MAX(IF(Paramètres!J23="",0,IF(Paramètres!K23="",NA(),IF(LEFT(TRIM(Paramètres!K23),1)="F",INDEX($F$3083:$F$3135,MATCH(Paramètres!J23,Paramètres!$G$5:$G$57,0)),INDEX($E$3083:$E$3135,MATCH(Paramètres!J23,Paramètres!$G$5:$G$57,0)))+IF(RIGHT(TRIM(Paramètres!K23),3)="Fin",1-$H3101,IF(LEFT(TRIM(Paramètres!K23),1)="F",1,0)))),IF(Paramètres!L23="",0,IF(Paramètres!M23="",NA(),IF(LEFT(TRIM(Paramètres!M23),1)="F",INDEX($F$3083:$F$3135,MATCH(Paramètres!L23,Paramètres!$G$5:$G$57,0)),INDEX($E$3083:$E$3135,MATCH(Paramètres!L23,Paramètres!$G$5:$G$57,0)))+IF(RIGHT(TRIM(Paramètres!M23),3)="Fin",1-$H3101,IF(LEFT(TRIM(Paramètres!M23),1)="F",1,0)))),IF(Paramètres!N23="",0,IF(Paramètres!O23="",NA(),IF(LEFT(TRIM(Paramètres!O23),1)="F",INDEX($F$3083:$F$3135,MATCH(Paramètres!N23,Paramètres!$G$5:$G$57,0)),INDEX($E$3083:$E$3135,MATCH(Paramètres!N23,Paramètres!$G$5:$G$57,0)))+IF(RIGHT(TRIM(Paramètres!O23),3)="Fin",1-$H3101,IF(LEFT(TRIM(Paramètres!O23),1)="F",1,0)))))))</f>
        <v/>
      </c>
      <c r="F3101" s="19">
        <f>IF($A3101="","",E3101+$H3101-1)</f>
        <v/>
      </c>
      <c r="G3101" s="18" t="n"/>
      <c r="H3101" s="18">
        <f>IF($A3101="","",IF(I3101&lt;&gt;"",I3101,Paramètres!B23))</f>
        <v/>
      </c>
      <c r="I3101" s="18" t="n"/>
    </row>
    <row r="3102">
      <c r="A3102" s="18">
        <f>IF(ISNUMBER(Dossiers!$D$61),Dossiers!$A$61&amp;" · "&amp;Dossiers!$B$61,"")</f>
        <v/>
      </c>
      <c r="B3102" s="18">
        <f>IF($A3102="","",Paramètres!G24)</f>
        <v/>
      </c>
      <c r="C3102" s="18">
        <f>IF($A3102="","",IF(Paramètres!H24="","",Paramètres!H24))</f>
        <v/>
      </c>
      <c r="D3102" s="18">
        <f>IF($A3102="","",IF(Paramètres!I24="","",Paramètres!I24))</f>
        <v/>
      </c>
      <c r="E3102" s="19">
        <f>IF($A3102="","",IF(Paramètres!J24&amp;Paramètres!L24&amp;Paramètres!N24="",Dossiers!$D$61,MAX(IF(Paramètres!J24="",0,IF(Paramètres!K24="",NA(),IF(LEFT(TRIM(Paramètres!K24),1)="F",INDEX($F$3083:$F$3135,MATCH(Paramètres!J24,Paramètres!$G$5:$G$57,0)),INDEX($E$3083:$E$3135,MATCH(Paramètres!J24,Paramètres!$G$5:$G$57,0)))+IF(RIGHT(TRIM(Paramètres!K24),3)="Fin",1-$H3102,IF(LEFT(TRIM(Paramètres!K24),1)="F",1,0)))),IF(Paramètres!L24="",0,IF(Paramètres!M24="",NA(),IF(LEFT(TRIM(Paramètres!M24),1)="F",INDEX($F$3083:$F$3135,MATCH(Paramètres!L24,Paramètres!$G$5:$G$57,0)),INDEX($E$3083:$E$3135,MATCH(Paramètres!L24,Paramètres!$G$5:$G$57,0)))+IF(RIGHT(TRIM(Paramètres!M24),3)="Fin",1-$H3102,IF(LEFT(TRIM(Paramètres!M24),1)="F",1,0)))),IF(Paramètres!N24="",0,IF(Paramètres!O24="",NA(),IF(LEFT(TRIM(Paramètres!O24),1)="F",INDEX($F$3083:$F$3135,MATCH(Paramètres!N24,Paramètres!$G$5:$G$57,0)),INDEX($E$3083:$E$3135,MATCH(Paramètres!N24,Paramètres!$G$5:$G$57,0)))+IF(RIGHT(TRIM(Paramètres!O24),3)="Fin",1-$H3102,IF(LEFT(TRIM(Paramètres!O24),1)="F",1,0)))))))</f>
        <v/>
      </c>
      <c r="F3102" s="19">
        <f>IF($A3102="","",E3102+$H3102-1)</f>
        <v/>
      </c>
      <c r="G3102" s="18" t="n"/>
      <c r="H3102" s="18">
        <f>IF($A3102="","",IF(I3102&lt;&gt;"",I3102,Paramètres!B24))</f>
        <v/>
      </c>
      <c r="I3102" s="18" t="n"/>
    </row>
    <row r="3103">
      <c r="A3103" s="18">
        <f>IF(ISNUMBER(Dossiers!$D$61),Dossiers!$A$61&amp;" · "&amp;Dossiers!$B$61,"")</f>
        <v/>
      </c>
      <c r="B3103" s="18">
        <f>IF($A3103="","",Paramètres!G25)</f>
        <v/>
      </c>
      <c r="C3103" s="18">
        <f>IF($A3103="","",IF(Paramètres!H25="","",Paramètres!H25))</f>
        <v/>
      </c>
      <c r="D3103" s="18">
        <f>IF($A3103="","",IF(Paramètres!I25="","",Paramètres!I25))</f>
        <v/>
      </c>
      <c r="E3103" s="19">
        <f>IF($A3103="","",IF(Paramètres!J25&amp;Paramètres!L25&amp;Paramètres!N25="",Dossiers!$D$61,MAX(IF(Paramètres!J25="",0,IF(Paramètres!K25="",NA(),IF(LEFT(TRIM(Paramètres!K25),1)="F",INDEX($F$3083:$F$3135,MATCH(Paramètres!J25,Paramètres!$G$5:$G$57,0)),INDEX($E$3083:$E$3135,MATCH(Paramètres!J25,Paramètres!$G$5:$G$57,0)))+IF(RIGHT(TRIM(Paramètres!K25),3)="Fin",1-$H3103,IF(LEFT(TRIM(Paramètres!K25),1)="F",1,0)))),IF(Paramètres!L25="",0,IF(Paramètres!M25="",NA(),IF(LEFT(TRIM(Paramètres!M25),1)="F",INDEX($F$3083:$F$3135,MATCH(Paramètres!L25,Paramètres!$G$5:$G$57,0)),INDEX($E$3083:$E$3135,MATCH(Paramètres!L25,Paramètres!$G$5:$G$57,0)))+IF(RIGHT(TRIM(Paramètres!M25),3)="Fin",1-$H3103,IF(LEFT(TRIM(Paramètres!M25),1)="F",1,0)))),IF(Paramètres!N25="",0,IF(Paramètres!O25="",NA(),IF(LEFT(TRIM(Paramètres!O25),1)="F",INDEX($F$3083:$F$3135,MATCH(Paramètres!N25,Paramètres!$G$5:$G$57,0)),INDEX($E$3083:$E$3135,MATCH(Paramètres!N25,Paramètres!$G$5:$G$57,0)))+IF(RIGHT(TRIM(Paramètres!O25),3)="Fin",1-$H3103,IF(LEFT(TRIM(Paramètres!O25),1)="F",1,0)))))))</f>
        <v/>
      </c>
      <c r="F3103" s="19">
        <f>IF($A3103="","",E3103+$H3103-1)</f>
        <v/>
      </c>
      <c r="G3103" s="18" t="n"/>
      <c r="H3103" s="18">
        <f>IF($A3103="","",IF(I3103&lt;&gt;"",I3103,Paramètres!B25))</f>
        <v/>
      </c>
      <c r="I3103" s="18" t="n"/>
    </row>
    <row r="3104">
      <c r="A3104" s="18">
        <f>IF(ISNUMBER(Dossiers!$D$61),Dossiers!$A$61&amp;" · "&amp;Dossiers!$B$61,"")</f>
        <v/>
      </c>
      <c r="B3104" s="18">
        <f>IF($A3104="","",Paramètres!G26)</f>
        <v/>
      </c>
      <c r="C3104" s="18">
        <f>IF($A3104="","",IF(Paramètres!H26="","",Paramètres!H26))</f>
        <v/>
      </c>
      <c r="D3104" s="18">
        <f>IF($A3104="","",IF(Paramètres!I26="","",Paramètres!I26))</f>
        <v/>
      </c>
      <c r="E3104" s="19">
        <f>IF($A3104="","",IF(Paramètres!J26&amp;Paramètres!L26&amp;Paramètres!N26="",Dossiers!$D$61,MAX(IF(Paramètres!J26="",0,IF(Paramètres!K26="",NA(),IF(LEFT(TRIM(Paramètres!K26),1)="F",INDEX($F$3083:$F$3135,MATCH(Paramètres!J26,Paramètres!$G$5:$G$57,0)),INDEX($E$3083:$E$3135,MATCH(Paramètres!J26,Paramètres!$G$5:$G$57,0)))+IF(RIGHT(TRIM(Paramètres!K26),3)="Fin",1-$H3104,IF(LEFT(TRIM(Paramètres!K26),1)="F",1,0)))),IF(Paramètres!L26="",0,IF(Paramètres!M26="",NA(),IF(LEFT(TRIM(Paramètres!M26),1)="F",INDEX($F$3083:$F$3135,MATCH(Paramètres!L26,Paramètres!$G$5:$G$57,0)),INDEX($E$3083:$E$3135,MATCH(Paramètres!L26,Paramètres!$G$5:$G$57,0)))+IF(RIGHT(TRIM(Paramètres!M26),3)="Fin",1-$H3104,IF(LEFT(TRIM(Paramètres!M26),1)="F",1,0)))),IF(Paramètres!N26="",0,IF(Paramètres!O26="",NA(),IF(LEFT(TRIM(Paramètres!O26),1)="F",INDEX($F$3083:$F$3135,MATCH(Paramètres!N26,Paramètres!$G$5:$G$57,0)),INDEX($E$3083:$E$3135,MATCH(Paramètres!N26,Paramètres!$G$5:$G$57,0)))+IF(RIGHT(TRIM(Paramètres!O26),3)="Fin",1-$H3104,IF(LEFT(TRIM(Paramètres!O26),1)="F",1,0)))))))</f>
        <v/>
      </c>
      <c r="F3104" s="19">
        <f>IF($A3104="","",E3104+$H3104-1)</f>
        <v/>
      </c>
      <c r="G3104" s="18" t="n"/>
      <c r="H3104" s="18">
        <f>IF($A3104="","",IF(I3104&lt;&gt;"",I3104,Paramètres!B26))</f>
        <v/>
      </c>
      <c r="I3104" s="18" t="n"/>
    </row>
    <row r="3105">
      <c r="A3105" s="18">
        <f>IF(ISNUMBER(Dossiers!$D$61),Dossiers!$A$61&amp;" · "&amp;Dossiers!$B$61,"")</f>
        <v/>
      </c>
      <c r="B3105" s="18">
        <f>IF($A3105="","",Paramètres!G27)</f>
        <v/>
      </c>
      <c r="C3105" s="18">
        <f>IF($A3105="","",IF(Paramètres!H27="","",Paramètres!H27))</f>
        <v/>
      </c>
      <c r="D3105" s="18">
        <f>IF($A3105="","",IF(Paramètres!I27="","",Paramètres!I27))</f>
        <v/>
      </c>
      <c r="E3105" s="19">
        <f>IF($A3105="","",IF(Paramètres!J27&amp;Paramètres!L27&amp;Paramètres!N27="",Dossiers!$D$61,MAX(IF(Paramètres!J27="",0,IF(Paramètres!K27="",NA(),IF(LEFT(TRIM(Paramètres!K27),1)="F",INDEX($F$3083:$F$3135,MATCH(Paramètres!J27,Paramètres!$G$5:$G$57,0)),INDEX($E$3083:$E$3135,MATCH(Paramètres!J27,Paramètres!$G$5:$G$57,0)))+IF(RIGHT(TRIM(Paramètres!K27),3)="Fin",1-$H3105,IF(LEFT(TRIM(Paramètres!K27),1)="F",1,0)))),IF(Paramètres!L27="",0,IF(Paramètres!M27="",NA(),IF(LEFT(TRIM(Paramètres!M27),1)="F",INDEX($F$3083:$F$3135,MATCH(Paramètres!L27,Paramètres!$G$5:$G$57,0)),INDEX($E$3083:$E$3135,MATCH(Paramètres!L27,Paramètres!$G$5:$G$57,0)))+IF(RIGHT(TRIM(Paramètres!M27),3)="Fin",1-$H3105,IF(LEFT(TRIM(Paramètres!M27),1)="F",1,0)))),IF(Paramètres!N27="",0,IF(Paramètres!O27="",NA(),IF(LEFT(TRIM(Paramètres!O27),1)="F",INDEX($F$3083:$F$3135,MATCH(Paramètres!N27,Paramètres!$G$5:$G$57,0)),INDEX($E$3083:$E$3135,MATCH(Paramètres!N27,Paramètres!$G$5:$G$57,0)))+IF(RIGHT(TRIM(Paramètres!O27),3)="Fin",1-$H3105,IF(LEFT(TRIM(Paramètres!O27),1)="F",1,0)))))))</f>
        <v/>
      </c>
      <c r="F3105" s="19">
        <f>IF($A3105="","",E3105+$H3105-1)</f>
        <v/>
      </c>
      <c r="G3105" s="18" t="n"/>
      <c r="H3105" s="18">
        <f>IF($A3105="","",IF(I3105&lt;&gt;"",I3105,Paramètres!B27))</f>
        <v/>
      </c>
      <c r="I3105" s="18" t="n"/>
    </row>
    <row r="3106">
      <c r="A3106" s="18">
        <f>IF(ISNUMBER(Dossiers!$D$61),Dossiers!$A$61&amp;" · "&amp;Dossiers!$B$61,"")</f>
        <v/>
      </c>
      <c r="B3106" s="18">
        <f>IF($A3106="","",Paramètres!G28)</f>
        <v/>
      </c>
      <c r="C3106" s="18">
        <f>IF($A3106="","",IF(Paramètres!H28="","",Paramètres!H28))</f>
        <v/>
      </c>
      <c r="D3106" s="18">
        <f>IF($A3106="","",IF(Paramètres!I28="","",Paramètres!I28))</f>
        <v/>
      </c>
      <c r="E3106" s="19">
        <f>IF($A3106="","",IF(Paramètres!J28&amp;Paramètres!L28&amp;Paramètres!N28="",Dossiers!$D$61,MAX(IF(Paramètres!J28="",0,IF(Paramètres!K28="",NA(),IF(LEFT(TRIM(Paramètres!K28),1)="F",INDEX($F$3083:$F$3135,MATCH(Paramètres!J28,Paramètres!$G$5:$G$57,0)),INDEX($E$3083:$E$3135,MATCH(Paramètres!J28,Paramètres!$G$5:$G$57,0)))+IF(RIGHT(TRIM(Paramètres!K28),3)="Fin",1-$H3106,IF(LEFT(TRIM(Paramètres!K28),1)="F",1,0)))),IF(Paramètres!L28="",0,IF(Paramètres!M28="",NA(),IF(LEFT(TRIM(Paramètres!M28),1)="F",INDEX($F$3083:$F$3135,MATCH(Paramètres!L28,Paramètres!$G$5:$G$57,0)),INDEX($E$3083:$E$3135,MATCH(Paramètres!L28,Paramètres!$G$5:$G$57,0)))+IF(RIGHT(TRIM(Paramètres!M28),3)="Fin",1-$H3106,IF(LEFT(TRIM(Paramètres!M28),1)="F",1,0)))),IF(Paramètres!N28="",0,IF(Paramètres!O28="",NA(),IF(LEFT(TRIM(Paramètres!O28),1)="F",INDEX($F$3083:$F$3135,MATCH(Paramètres!N28,Paramètres!$G$5:$G$57,0)),INDEX($E$3083:$E$3135,MATCH(Paramètres!N28,Paramètres!$G$5:$G$57,0)))+IF(RIGHT(TRIM(Paramètres!O28),3)="Fin",1-$H3106,IF(LEFT(TRIM(Paramètres!O28),1)="F",1,0)))))))</f>
        <v/>
      </c>
      <c r="F3106" s="19">
        <f>IF($A3106="","",E3106+$H3106-1)</f>
        <v/>
      </c>
      <c r="G3106" s="18" t="n"/>
      <c r="H3106" s="18">
        <f>IF($A3106="","",IF(I3106&lt;&gt;"",I3106,Paramètres!B28))</f>
        <v/>
      </c>
      <c r="I3106" s="18" t="n"/>
    </row>
    <row r="3107">
      <c r="A3107" s="18">
        <f>IF(ISNUMBER(Dossiers!$D$61),Dossiers!$A$61&amp;" · "&amp;Dossiers!$B$61,"")</f>
        <v/>
      </c>
      <c r="B3107" s="18">
        <f>IF($A3107="","",Paramètres!G29)</f>
        <v/>
      </c>
      <c r="C3107" s="18">
        <f>IF($A3107="","",IF(Paramètres!H29="","",Paramètres!H29))</f>
        <v/>
      </c>
      <c r="D3107" s="18">
        <f>IF($A3107="","",IF(Paramètres!I29="","",Paramètres!I29))</f>
        <v/>
      </c>
      <c r="E3107" s="19">
        <f>IF($A3107="","",IF(Paramètres!J29&amp;Paramètres!L29&amp;Paramètres!N29="",Dossiers!$D$61,MAX(IF(Paramètres!J29="",0,IF(Paramètres!K29="",NA(),IF(LEFT(TRIM(Paramètres!K29),1)="F",INDEX($F$3083:$F$3135,MATCH(Paramètres!J29,Paramètres!$G$5:$G$57,0)),INDEX($E$3083:$E$3135,MATCH(Paramètres!J29,Paramètres!$G$5:$G$57,0)))+IF(RIGHT(TRIM(Paramètres!K29),3)="Fin",1-$H3107,IF(LEFT(TRIM(Paramètres!K29),1)="F",1,0)))),IF(Paramètres!L29="",0,IF(Paramètres!M29="",NA(),IF(LEFT(TRIM(Paramètres!M29),1)="F",INDEX($F$3083:$F$3135,MATCH(Paramètres!L29,Paramètres!$G$5:$G$57,0)),INDEX($E$3083:$E$3135,MATCH(Paramètres!L29,Paramètres!$G$5:$G$57,0)))+IF(RIGHT(TRIM(Paramètres!M29),3)="Fin",1-$H3107,IF(LEFT(TRIM(Paramètres!M29),1)="F",1,0)))),IF(Paramètres!N29="",0,IF(Paramètres!O29="",NA(),IF(LEFT(TRIM(Paramètres!O29),1)="F",INDEX($F$3083:$F$3135,MATCH(Paramètres!N29,Paramètres!$G$5:$G$57,0)),INDEX($E$3083:$E$3135,MATCH(Paramètres!N29,Paramètres!$G$5:$G$57,0)))+IF(RIGHT(TRIM(Paramètres!O29),3)="Fin",1-$H3107,IF(LEFT(TRIM(Paramètres!O29),1)="F",1,0)))))))</f>
        <v/>
      </c>
      <c r="F3107" s="19">
        <f>IF($A3107="","",E3107+$H3107-1)</f>
        <v/>
      </c>
      <c r="G3107" s="18" t="n"/>
      <c r="H3107" s="18">
        <f>IF($A3107="","",IF(I3107&lt;&gt;"",I3107,Paramètres!B29))</f>
        <v/>
      </c>
      <c r="I3107" s="18" t="n"/>
    </row>
    <row r="3108">
      <c r="A3108" s="18">
        <f>IF(ISNUMBER(Dossiers!$D$61),Dossiers!$A$61&amp;" · "&amp;Dossiers!$B$61,"")</f>
        <v/>
      </c>
      <c r="B3108" s="18">
        <f>IF($A3108="","",Paramètres!G30)</f>
        <v/>
      </c>
      <c r="C3108" s="18">
        <f>IF($A3108="","",IF(Paramètres!H30="","",Paramètres!H30))</f>
        <v/>
      </c>
      <c r="D3108" s="18">
        <f>IF($A3108="","",IF(Paramètres!I30="","",Paramètres!I30))</f>
        <v/>
      </c>
      <c r="E3108" s="19">
        <f>IF($A3108="","",IF(Paramètres!J30&amp;Paramètres!L30&amp;Paramètres!N30="",Dossiers!$D$61,MAX(IF(Paramètres!J30="",0,IF(Paramètres!K30="",NA(),IF(LEFT(TRIM(Paramètres!K30),1)="F",INDEX($F$3083:$F$3135,MATCH(Paramètres!J30,Paramètres!$G$5:$G$57,0)),INDEX($E$3083:$E$3135,MATCH(Paramètres!J30,Paramètres!$G$5:$G$57,0)))+IF(RIGHT(TRIM(Paramètres!K30),3)="Fin",1-$H3108,IF(LEFT(TRIM(Paramètres!K30),1)="F",1,0)))),IF(Paramètres!L30="",0,IF(Paramètres!M30="",NA(),IF(LEFT(TRIM(Paramètres!M30),1)="F",INDEX($F$3083:$F$3135,MATCH(Paramètres!L30,Paramètres!$G$5:$G$57,0)),INDEX($E$3083:$E$3135,MATCH(Paramètres!L30,Paramètres!$G$5:$G$57,0)))+IF(RIGHT(TRIM(Paramètres!M30),3)="Fin",1-$H3108,IF(LEFT(TRIM(Paramètres!M30),1)="F",1,0)))),IF(Paramètres!N30="",0,IF(Paramètres!O30="",NA(),IF(LEFT(TRIM(Paramètres!O30),1)="F",INDEX($F$3083:$F$3135,MATCH(Paramètres!N30,Paramètres!$G$5:$G$57,0)),INDEX($E$3083:$E$3135,MATCH(Paramètres!N30,Paramètres!$G$5:$G$57,0)))+IF(RIGHT(TRIM(Paramètres!O30),3)="Fin",1-$H3108,IF(LEFT(TRIM(Paramètres!O30),1)="F",1,0)))))))</f>
        <v/>
      </c>
      <c r="F3108" s="19">
        <f>IF($A3108="","",E3108+$H3108-1)</f>
        <v/>
      </c>
      <c r="G3108" s="18" t="n"/>
      <c r="H3108" s="18">
        <f>IF($A3108="","",IF(I3108&lt;&gt;"",I3108,Paramètres!B30))</f>
        <v/>
      </c>
      <c r="I3108" s="18" t="n"/>
    </row>
    <row r="3109">
      <c r="A3109" s="18">
        <f>IF(ISNUMBER(Dossiers!$D$61),Dossiers!$A$61&amp;" · "&amp;Dossiers!$B$61,"")</f>
        <v/>
      </c>
      <c r="B3109" s="18">
        <f>IF($A3109="","",Paramètres!G31)</f>
        <v/>
      </c>
      <c r="C3109" s="20">
        <f>IF($A3109="","",IF(Dossiers!$F$61="","",Dossiers!$F$61))</f>
        <v/>
      </c>
      <c r="D3109" s="18">
        <f>IF($A3109="","",IF(Paramètres!I31="","",Paramètres!I31))</f>
        <v/>
      </c>
      <c r="E3109" s="19">
        <f>IF($A3109="","",IF(Paramètres!J31&amp;Paramètres!L31&amp;Paramètres!N31="",Dossiers!$D$61,MAX(IF(Paramètres!J31="",0,IF(Paramètres!K31="",NA(),IF(LEFT(TRIM(Paramètres!K31),1)="F",INDEX($F$3083:$F$3135,MATCH(Paramètres!J31,Paramètres!$G$5:$G$57,0)),INDEX($E$3083:$E$3135,MATCH(Paramètres!J31,Paramètres!$G$5:$G$57,0)))+IF(RIGHT(TRIM(Paramètres!K31),3)="Fin",1-$H3109,IF(LEFT(TRIM(Paramètres!K31),1)="F",1,0)))),IF(Paramètres!L31="",0,IF(Paramètres!M31="",NA(),IF(LEFT(TRIM(Paramètres!M31),1)="F",INDEX($F$3083:$F$3135,MATCH(Paramètres!L31,Paramètres!$G$5:$G$57,0)),INDEX($E$3083:$E$3135,MATCH(Paramètres!L31,Paramètres!$G$5:$G$57,0)))+IF(RIGHT(TRIM(Paramètres!M31),3)="Fin",1-$H3109,IF(LEFT(TRIM(Paramètres!M31),1)="F",1,0)))),IF(Paramètres!N31="",0,IF(Paramètres!O31="",NA(),IF(LEFT(TRIM(Paramètres!O31),1)="F",INDEX($F$3083:$F$3135,MATCH(Paramètres!N31,Paramètres!$G$5:$G$57,0)),INDEX($E$3083:$E$3135,MATCH(Paramètres!N31,Paramètres!$G$5:$G$57,0)))+IF(RIGHT(TRIM(Paramètres!O31),3)="Fin",1-$H3109,IF(LEFT(TRIM(Paramètres!O31),1)="F",1,0)))))))</f>
        <v/>
      </c>
      <c r="F3109" s="19">
        <f>IF($A3109="","",E3109+$H3109-1)</f>
        <v/>
      </c>
      <c r="G3109" s="18" t="n"/>
      <c r="H3109" s="18">
        <f>IF($A3109="","",IF(I3109&lt;&gt;"",I3109,Paramètres!B31))</f>
        <v/>
      </c>
      <c r="I3109" s="18" t="n"/>
    </row>
    <row r="3110">
      <c r="A3110" s="18">
        <f>IF(ISNUMBER(Dossiers!$D$61),Dossiers!$A$61&amp;" · "&amp;Dossiers!$B$61,"")</f>
        <v/>
      </c>
      <c r="B3110" s="18">
        <f>IF($A3110="","",Paramètres!G32)</f>
        <v/>
      </c>
      <c r="C3110" s="18">
        <f>IF($A3110="","",IF(Paramètres!H32="","",Paramètres!H32))</f>
        <v/>
      </c>
      <c r="D3110" s="18">
        <f>IF($A3110="","",IF(Paramètres!I32="","",Paramètres!I32))</f>
        <v/>
      </c>
      <c r="E3110" s="19">
        <f>IF($A3110="","",MIN(E3111:E3114))</f>
        <v/>
      </c>
      <c r="F3110" s="19">
        <f>IF($A3110="","",MAX(F3111:F3114))</f>
        <v/>
      </c>
      <c r="G3110" s="18" t="n"/>
      <c r="H3110" s="18">
        <f>IF($A3110="","",F3110-E3110+1)</f>
        <v/>
      </c>
      <c r="I3110" s="18" t="n"/>
    </row>
    <row r="3111">
      <c r="A3111" s="18">
        <f>IF(ISNUMBER(Dossiers!$D$61),Dossiers!$A$61&amp;" · "&amp;Dossiers!$B$61,"")</f>
        <v/>
      </c>
      <c r="B3111" s="18">
        <f>IF($A3111="","",Paramètres!G33)</f>
        <v/>
      </c>
      <c r="C3111" s="18">
        <f>IF($A3111="","",IF(Paramètres!H33="","",Paramètres!H33))</f>
        <v/>
      </c>
      <c r="D3111" s="18">
        <f>IF($A3111="","",IF(Paramètres!I33="","",Paramètres!I33))</f>
        <v/>
      </c>
      <c r="E3111" s="19">
        <f>IF($A3111="","",IF(Paramètres!J33&amp;Paramètres!L33&amp;Paramètres!N33="",Dossiers!$D$61,MAX(IF(Paramètres!J33="",0,IF(Paramètres!K33="",NA(),IF(LEFT(TRIM(Paramètres!K33),1)="F",INDEX($F$3083:$F$3135,MATCH(Paramètres!J33,Paramètres!$G$5:$G$57,0)),INDEX($E$3083:$E$3135,MATCH(Paramètres!J33,Paramètres!$G$5:$G$57,0)))+IF(RIGHT(TRIM(Paramètres!K33),3)="Fin",1-$H3111,IF(LEFT(TRIM(Paramètres!K33),1)="F",1,0)))),IF(Paramètres!L33="",0,IF(Paramètres!M33="",NA(),IF(LEFT(TRIM(Paramètres!M33),1)="F",INDEX($F$3083:$F$3135,MATCH(Paramètres!L33,Paramètres!$G$5:$G$57,0)),INDEX($E$3083:$E$3135,MATCH(Paramètres!L33,Paramètres!$G$5:$G$57,0)))+IF(RIGHT(TRIM(Paramètres!M33),3)="Fin",1-$H3111,IF(LEFT(TRIM(Paramètres!M33),1)="F",1,0)))),IF(Paramètres!N33="",0,IF(Paramètres!O33="",NA(),IF(LEFT(TRIM(Paramètres!O33),1)="F",INDEX($F$3083:$F$3135,MATCH(Paramètres!N33,Paramètres!$G$5:$G$57,0)),INDEX($E$3083:$E$3135,MATCH(Paramètres!N33,Paramètres!$G$5:$G$57,0)))+IF(RIGHT(TRIM(Paramètres!O33),3)="Fin",1-$H3111,IF(LEFT(TRIM(Paramètres!O33),1)="F",1,0)))))))</f>
        <v/>
      </c>
      <c r="F3111" s="19">
        <f>IF($A3111="","",E3111+$H3111-1)</f>
        <v/>
      </c>
      <c r="G3111" s="18" t="n"/>
      <c r="H3111" s="18">
        <f>IF($A3111="","",IF(I3111&lt;&gt;"",I3111,Paramètres!B33))</f>
        <v/>
      </c>
      <c r="I3111" s="18" t="n"/>
    </row>
    <row r="3112">
      <c r="A3112" s="18">
        <f>IF(ISNUMBER(Dossiers!$D$61),Dossiers!$A$61&amp;" · "&amp;Dossiers!$B$61,"")</f>
        <v/>
      </c>
      <c r="B3112" s="18">
        <f>IF($A3112="","",Paramètres!G34)</f>
        <v/>
      </c>
      <c r="C3112" s="18">
        <f>IF($A3112="","",IF(Paramètres!H34="","",Paramètres!H34))</f>
        <v/>
      </c>
      <c r="D3112" s="18">
        <f>IF($A3112="","",IF(Paramètres!I34="","",Paramètres!I34))</f>
        <v/>
      </c>
      <c r="E3112" s="19">
        <f>IF($A3112="","",IF(Paramètres!J34&amp;Paramètres!L34&amp;Paramètres!N34="",Dossiers!$D$61,MAX(IF(Paramètres!J34="",0,IF(Paramètres!K34="",NA(),IF(LEFT(TRIM(Paramètres!K34),1)="F",INDEX($F$3083:$F$3135,MATCH(Paramètres!J34,Paramètres!$G$5:$G$57,0)),INDEX($E$3083:$E$3135,MATCH(Paramètres!J34,Paramètres!$G$5:$G$57,0)))+IF(RIGHT(TRIM(Paramètres!K34),3)="Fin",1-$H3112,IF(LEFT(TRIM(Paramètres!K34),1)="F",1,0)))),IF(Paramètres!L34="",0,IF(Paramètres!M34="",NA(),IF(LEFT(TRIM(Paramètres!M34),1)="F",INDEX($F$3083:$F$3135,MATCH(Paramètres!L34,Paramètres!$G$5:$G$57,0)),INDEX($E$3083:$E$3135,MATCH(Paramètres!L34,Paramètres!$G$5:$G$57,0)))+IF(RIGHT(TRIM(Paramètres!M34),3)="Fin",1-$H3112,IF(LEFT(TRIM(Paramètres!M34),1)="F",1,0)))),IF(Paramètres!N34="",0,IF(Paramètres!O34="",NA(),IF(LEFT(TRIM(Paramètres!O34),1)="F",INDEX($F$3083:$F$3135,MATCH(Paramètres!N34,Paramètres!$G$5:$G$57,0)),INDEX($E$3083:$E$3135,MATCH(Paramètres!N34,Paramètres!$G$5:$G$57,0)))+IF(RIGHT(TRIM(Paramètres!O34),3)="Fin",1-$H3112,IF(LEFT(TRIM(Paramètres!O34),1)="F",1,0)))))))</f>
        <v/>
      </c>
      <c r="F3112" s="19">
        <f>IF($A3112="","",E3112+$H3112-1)</f>
        <v/>
      </c>
      <c r="G3112" s="18" t="n"/>
      <c r="H3112" s="18">
        <f>IF($A3112="","",IF(I3112&lt;&gt;"",I3112,Paramètres!B34))</f>
        <v/>
      </c>
      <c r="I3112" s="18" t="n"/>
    </row>
    <row r="3113">
      <c r="A3113" s="18">
        <f>IF(ISNUMBER(Dossiers!$D$61),Dossiers!$A$61&amp;" · "&amp;Dossiers!$B$61,"")</f>
        <v/>
      </c>
      <c r="B3113" s="18">
        <f>IF($A3113="","",Paramètres!G35)</f>
        <v/>
      </c>
      <c r="C3113" s="18">
        <f>IF($A3113="","",IF(Paramètres!H35="","",Paramètres!H35))</f>
        <v/>
      </c>
      <c r="D3113" s="18">
        <f>IF($A3113="","",IF(Paramètres!I35="","",Paramètres!I35))</f>
        <v/>
      </c>
      <c r="E3113" s="19">
        <f>IF($A3113="","",IF(Paramètres!J35&amp;Paramètres!L35&amp;Paramètres!N35="",Dossiers!$D$61,MAX(IF(Paramètres!J35="",0,IF(Paramètres!K35="",NA(),IF(LEFT(TRIM(Paramètres!K35),1)="F",INDEX($F$3083:$F$3135,MATCH(Paramètres!J35,Paramètres!$G$5:$G$57,0)),INDEX($E$3083:$E$3135,MATCH(Paramètres!J35,Paramètres!$G$5:$G$57,0)))+IF(RIGHT(TRIM(Paramètres!K35),3)="Fin",1-$H3113,IF(LEFT(TRIM(Paramètres!K35),1)="F",1,0)))),IF(Paramètres!L35="",0,IF(Paramètres!M35="",NA(),IF(LEFT(TRIM(Paramètres!M35),1)="F",INDEX($F$3083:$F$3135,MATCH(Paramètres!L35,Paramètres!$G$5:$G$57,0)),INDEX($E$3083:$E$3135,MATCH(Paramètres!L35,Paramètres!$G$5:$G$57,0)))+IF(RIGHT(TRIM(Paramètres!M35),3)="Fin",1-$H3113,IF(LEFT(TRIM(Paramètres!M35),1)="F",1,0)))),IF(Paramètres!N35="",0,IF(Paramètres!O35="",NA(),IF(LEFT(TRIM(Paramètres!O35),1)="F",INDEX($F$3083:$F$3135,MATCH(Paramètres!N35,Paramètres!$G$5:$G$57,0)),INDEX($E$3083:$E$3135,MATCH(Paramètres!N35,Paramètres!$G$5:$G$57,0)))+IF(RIGHT(TRIM(Paramètres!O35),3)="Fin",1-$H3113,IF(LEFT(TRIM(Paramètres!O35),1)="F",1,0)))))))</f>
        <v/>
      </c>
      <c r="F3113" s="19">
        <f>IF($A3113="","",E3113+$H3113-1)</f>
        <v/>
      </c>
      <c r="G3113" s="18" t="n"/>
      <c r="H3113" s="18">
        <f>IF($A3113="","",IF(I3113&lt;&gt;"",I3113,Paramètres!B35))</f>
        <v/>
      </c>
      <c r="I3113" s="18" t="n"/>
    </row>
    <row r="3114">
      <c r="A3114" s="18">
        <f>IF(ISNUMBER(Dossiers!$D$61),Dossiers!$A$61&amp;" · "&amp;Dossiers!$B$61,"")</f>
        <v/>
      </c>
      <c r="B3114" s="18">
        <f>IF($A3114="","",Paramètres!G36)</f>
        <v/>
      </c>
      <c r="C3114" s="18">
        <f>IF($A3114="","",IF(Paramètres!H36="","",Paramètres!H36))</f>
        <v/>
      </c>
      <c r="D3114" s="18">
        <f>IF($A3114="","",IF(Paramètres!I36="","",Paramètres!I36))</f>
        <v/>
      </c>
      <c r="E3114" s="19">
        <f>IF($A3114="","",IF(Paramètres!J36&amp;Paramètres!L36&amp;Paramètres!N36="",Dossiers!$D$61,MAX(IF(Paramètres!J36="",0,IF(Paramètres!K36="",NA(),IF(LEFT(TRIM(Paramètres!K36),1)="F",INDEX($F$3083:$F$3135,MATCH(Paramètres!J36,Paramètres!$G$5:$G$57,0)),INDEX($E$3083:$E$3135,MATCH(Paramètres!J36,Paramètres!$G$5:$G$57,0)))+IF(RIGHT(TRIM(Paramètres!K36),3)="Fin",1-$H3114,IF(LEFT(TRIM(Paramètres!K36),1)="F",1,0)))),IF(Paramètres!L36="",0,IF(Paramètres!M36="",NA(),IF(LEFT(TRIM(Paramètres!M36),1)="F",INDEX($F$3083:$F$3135,MATCH(Paramètres!L36,Paramètres!$G$5:$G$57,0)),INDEX($E$3083:$E$3135,MATCH(Paramètres!L36,Paramètres!$G$5:$G$57,0)))+IF(RIGHT(TRIM(Paramètres!M36),3)="Fin",1-$H3114,IF(LEFT(TRIM(Paramètres!M36),1)="F",1,0)))),IF(Paramètres!N36="",0,IF(Paramètres!O36="",NA(),IF(LEFT(TRIM(Paramètres!O36),1)="F",INDEX($F$3083:$F$3135,MATCH(Paramètres!N36,Paramètres!$G$5:$G$57,0)),INDEX($E$3083:$E$3135,MATCH(Paramètres!N36,Paramètres!$G$5:$G$57,0)))+IF(RIGHT(TRIM(Paramètres!O36),3)="Fin",1-$H3114,IF(LEFT(TRIM(Paramètres!O36),1)="F",1,0)))))))</f>
        <v/>
      </c>
      <c r="F3114" s="19">
        <f>IF($A3114="","",E3114+$H3114-1)</f>
        <v/>
      </c>
      <c r="G3114" s="18" t="n"/>
      <c r="H3114" s="18">
        <f>IF($A3114="","",IF(I3114&lt;&gt;"",I3114,Paramètres!B36))</f>
        <v/>
      </c>
      <c r="I3114" s="18" t="n"/>
    </row>
    <row r="3115">
      <c r="A3115" s="18">
        <f>IF(ISNUMBER(Dossiers!$D$61),Dossiers!$A$61&amp;" · "&amp;Dossiers!$B$61,"")</f>
        <v/>
      </c>
      <c r="B3115" s="18">
        <f>IF($A3115="","",Paramètres!G37)</f>
        <v/>
      </c>
      <c r="C3115" s="18">
        <f>IF($A3115="","",IF(Paramètres!H37="","",Paramètres!H37))</f>
        <v/>
      </c>
      <c r="D3115" s="18">
        <f>IF($A3115="","",IF(Paramètres!I37="","",Paramètres!I37))</f>
        <v/>
      </c>
      <c r="E3115" s="19">
        <f>IF($A3115="","",MIN(E3116:E3133))</f>
        <v/>
      </c>
      <c r="F3115" s="19">
        <f>IF($A3115="","",MAX(F3116:F3133))</f>
        <v/>
      </c>
      <c r="G3115" s="18" t="n"/>
      <c r="H3115" s="18">
        <f>IF($A3115="","",F3115-E3115+1)</f>
        <v/>
      </c>
      <c r="I3115" s="18" t="n"/>
    </row>
    <row r="3116">
      <c r="A3116" s="18">
        <f>IF(ISNUMBER(Dossiers!$D$61),Dossiers!$A$61&amp;" · "&amp;Dossiers!$B$61,"")</f>
        <v/>
      </c>
      <c r="B3116" s="18">
        <f>IF($A3116="","",Paramètres!G38)</f>
        <v/>
      </c>
      <c r="C3116" s="18">
        <f>IF($A3116="","",IF(Paramètres!H38="","",Paramètres!H38))</f>
        <v/>
      </c>
      <c r="D3116" s="18">
        <f>IF($A3116="","",IF(Paramètres!I38="","",Paramètres!I38))</f>
        <v/>
      </c>
      <c r="E3116" s="19">
        <f>IF($A3116="","",IF(Paramètres!J38&amp;Paramètres!L38&amp;Paramètres!N38="",Dossiers!$D$61,MAX(IF(Paramètres!J38="",0,IF(Paramètres!K38="",NA(),IF(LEFT(TRIM(Paramètres!K38),1)="F",INDEX($F$3083:$F$3135,MATCH(Paramètres!J38,Paramètres!$G$5:$G$57,0)),INDEX($E$3083:$E$3135,MATCH(Paramètres!J38,Paramètres!$G$5:$G$57,0)))+IF(RIGHT(TRIM(Paramètres!K38),3)="Fin",1-$H3116,IF(LEFT(TRIM(Paramètres!K38),1)="F",1,0)))),IF(Paramètres!L38="",0,IF(Paramètres!M38="",NA(),IF(LEFT(TRIM(Paramètres!M38),1)="F",INDEX($F$3083:$F$3135,MATCH(Paramètres!L38,Paramètres!$G$5:$G$57,0)),INDEX($E$3083:$E$3135,MATCH(Paramètres!L38,Paramètres!$G$5:$G$57,0)))+IF(RIGHT(TRIM(Paramètres!M38),3)="Fin",1-$H3116,IF(LEFT(TRIM(Paramètres!M38),1)="F",1,0)))),IF(Paramètres!N38="",0,IF(Paramètres!O38="",NA(),IF(LEFT(TRIM(Paramètres!O38),1)="F",INDEX($F$3083:$F$3135,MATCH(Paramètres!N38,Paramètres!$G$5:$G$57,0)),INDEX($E$3083:$E$3135,MATCH(Paramètres!N38,Paramètres!$G$5:$G$57,0)))+IF(RIGHT(TRIM(Paramètres!O38),3)="Fin",1-$H3116,IF(LEFT(TRIM(Paramètres!O38),1)="F",1,0)))))))</f>
        <v/>
      </c>
      <c r="F3116" s="19">
        <f>IF($A3116="","",E3116+$H3116-1)</f>
        <v/>
      </c>
      <c r="G3116" s="18" t="n"/>
      <c r="H3116" s="18">
        <f>IF($A3116="","",IF(I3116&lt;&gt;"",I3116,Paramètres!B38))</f>
        <v/>
      </c>
      <c r="I3116" s="18" t="n"/>
    </row>
    <row r="3117">
      <c r="A3117" s="18">
        <f>IF(ISNUMBER(Dossiers!$D$61),Dossiers!$A$61&amp;" · "&amp;Dossiers!$B$61,"")</f>
        <v/>
      </c>
      <c r="B3117" s="18">
        <f>IF($A3117="","",Paramètres!G39)</f>
        <v/>
      </c>
      <c r="C3117" s="18">
        <f>IF($A3117="","",IF(Paramètres!H39="","",Paramètres!H39))</f>
        <v/>
      </c>
      <c r="D3117" s="18">
        <f>IF($A3117="","",IF(Paramètres!I39="","",Paramètres!I39))</f>
        <v/>
      </c>
      <c r="E3117" s="19">
        <f>IF($A3117="","",IF(Paramètres!J39&amp;Paramètres!L39&amp;Paramètres!N39="",Dossiers!$D$61,MAX(IF(Paramètres!J39="",0,IF(Paramètres!K39="",NA(),IF(LEFT(TRIM(Paramètres!K39),1)="F",INDEX($F$3083:$F$3135,MATCH(Paramètres!J39,Paramètres!$G$5:$G$57,0)),INDEX($E$3083:$E$3135,MATCH(Paramètres!J39,Paramètres!$G$5:$G$57,0)))+IF(RIGHT(TRIM(Paramètres!K39),3)="Fin",1-$H3117,IF(LEFT(TRIM(Paramètres!K39),1)="F",1,0)))),IF(Paramètres!L39="",0,IF(Paramètres!M39="",NA(),IF(LEFT(TRIM(Paramètres!M39),1)="F",INDEX($F$3083:$F$3135,MATCH(Paramètres!L39,Paramètres!$G$5:$G$57,0)),INDEX($E$3083:$E$3135,MATCH(Paramètres!L39,Paramètres!$G$5:$G$57,0)))+IF(RIGHT(TRIM(Paramètres!M39),3)="Fin",1-$H3117,IF(LEFT(TRIM(Paramètres!M39),1)="F",1,0)))),IF(Paramètres!N39="",0,IF(Paramètres!O39="",NA(),IF(LEFT(TRIM(Paramètres!O39),1)="F",INDEX($F$3083:$F$3135,MATCH(Paramètres!N39,Paramètres!$G$5:$G$57,0)),INDEX($E$3083:$E$3135,MATCH(Paramètres!N39,Paramètres!$G$5:$G$57,0)))+IF(RIGHT(TRIM(Paramètres!O39),3)="Fin",1-$H3117,IF(LEFT(TRIM(Paramètres!O39),1)="F",1,0)))))))</f>
        <v/>
      </c>
      <c r="F3117" s="19">
        <f>IF($A3117="","",E3117+$H3117-1)</f>
        <v/>
      </c>
      <c r="G3117" s="18" t="n"/>
      <c r="H3117" s="18">
        <f>IF($A3117="","",IF(I3117&lt;&gt;"",I3117,Paramètres!B39))</f>
        <v/>
      </c>
      <c r="I3117" s="18" t="n"/>
    </row>
    <row r="3118">
      <c r="A3118" s="18">
        <f>IF(ISNUMBER(Dossiers!$D$61),Dossiers!$A$61&amp;" · "&amp;Dossiers!$B$61,"")</f>
        <v/>
      </c>
      <c r="B3118" s="18">
        <f>IF($A3118="","",Paramètres!G40)</f>
        <v/>
      </c>
      <c r="C3118" s="18">
        <f>IF($A3118="","",IF(Paramètres!H40="","",Paramètres!H40))</f>
        <v/>
      </c>
      <c r="D3118" s="18">
        <f>IF($A3118="","",IF(Paramètres!I40="","",Paramètres!I40))</f>
        <v/>
      </c>
      <c r="E3118" s="19">
        <f>IF($A3118="","",IF(Paramètres!J40&amp;Paramètres!L40&amp;Paramètres!N40="",Dossiers!$D$61,MAX(IF(Paramètres!J40="",0,IF(Paramètres!K40="",NA(),IF(LEFT(TRIM(Paramètres!K40),1)="F",INDEX($F$3083:$F$3135,MATCH(Paramètres!J40,Paramètres!$G$5:$G$57,0)),INDEX($E$3083:$E$3135,MATCH(Paramètres!J40,Paramètres!$G$5:$G$57,0)))+IF(RIGHT(TRIM(Paramètres!K40),3)="Fin",1-$H3118,IF(LEFT(TRIM(Paramètres!K40),1)="F",1,0)))),IF(Paramètres!L40="",0,IF(Paramètres!M40="",NA(),IF(LEFT(TRIM(Paramètres!M40),1)="F",INDEX($F$3083:$F$3135,MATCH(Paramètres!L40,Paramètres!$G$5:$G$57,0)),INDEX($E$3083:$E$3135,MATCH(Paramètres!L40,Paramètres!$G$5:$G$57,0)))+IF(RIGHT(TRIM(Paramètres!M40),3)="Fin",1-$H3118,IF(LEFT(TRIM(Paramètres!M40),1)="F",1,0)))),IF(Paramètres!N40="",0,IF(Paramètres!O40="",NA(),IF(LEFT(TRIM(Paramètres!O40),1)="F",INDEX($F$3083:$F$3135,MATCH(Paramètres!N40,Paramètres!$G$5:$G$57,0)),INDEX($E$3083:$E$3135,MATCH(Paramètres!N40,Paramètres!$G$5:$G$57,0)))+IF(RIGHT(TRIM(Paramètres!O40),3)="Fin",1-$H3118,IF(LEFT(TRIM(Paramètres!O40),1)="F",1,0)))))))</f>
        <v/>
      </c>
      <c r="F3118" s="19">
        <f>IF($A3118="","",E3118+$H3118-1)</f>
        <v/>
      </c>
      <c r="G3118" s="18" t="n"/>
      <c r="H3118" s="18">
        <f>IF($A3118="","",IF(I3118&lt;&gt;"",I3118,Paramètres!B40))</f>
        <v/>
      </c>
      <c r="I3118" s="18" t="n"/>
    </row>
    <row r="3119">
      <c r="A3119" s="18">
        <f>IF(ISNUMBER(Dossiers!$D$61),Dossiers!$A$61&amp;" · "&amp;Dossiers!$B$61,"")</f>
        <v/>
      </c>
      <c r="B3119" s="18">
        <f>IF($A3119="","",Paramètres!G41)</f>
        <v/>
      </c>
      <c r="C3119" s="18">
        <f>IF($A3119="","",IF(Paramètres!H41="","",Paramètres!H41))</f>
        <v/>
      </c>
      <c r="D3119" s="18">
        <f>IF($A3119="","",IF(Paramètres!I41="","",Paramètres!I41))</f>
        <v/>
      </c>
      <c r="E3119" s="19">
        <f>IF($A3119="","",IF(Paramètres!J41&amp;Paramètres!L41&amp;Paramètres!N41="",Dossiers!$D$61,MAX(IF(Paramètres!J41="",0,IF(Paramètres!K41="",NA(),IF(LEFT(TRIM(Paramètres!K41),1)="F",INDEX($F$3083:$F$3135,MATCH(Paramètres!J41,Paramètres!$G$5:$G$57,0)),INDEX($E$3083:$E$3135,MATCH(Paramètres!J41,Paramètres!$G$5:$G$57,0)))+IF(RIGHT(TRIM(Paramètres!K41),3)="Fin",1-$H3119,IF(LEFT(TRIM(Paramètres!K41),1)="F",1,0)))),IF(Paramètres!L41="",0,IF(Paramètres!M41="",NA(),IF(LEFT(TRIM(Paramètres!M41),1)="F",INDEX($F$3083:$F$3135,MATCH(Paramètres!L41,Paramètres!$G$5:$G$57,0)),INDEX($E$3083:$E$3135,MATCH(Paramètres!L41,Paramètres!$G$5:$G$57,0)))+IF(RIGHT(TRIM(Paramètres!M41),3)="Fin",1-$H3119,IF(LEFT(TRIM(Paramètres!M41),1)="F",1,0)))),IF(Paramètres!N41="",0,IF(Paramètres!O41="",NA(),IF(LEFT(TRIM(Paramètres!O41),1)="F",INDEX($F$3083:$F$3135,MATCH(Paramètres!N41,Paramètres!$G$5:$G$57,0)),INDEX($E$3083:$E$3135,MATCH(Paramètres!N41,Paramètres!$G$5:$G$57,0)))+IF(RIGHT(TRIM(Paramètres!O41),3)="Fin",1-$H3119,IF(LEFT(TRIM(Paramètres!O41),1)="F",1,0)))))))</f>
        <v/>
      </c>
      <c r="F3119" s="19">
        <f>IF($A3119="","",E3119+$H3119-1)</f>
        <v/>
      </c>
      <c r="G3119" s="18" t="n"/>
      <c r="H3119" s="18">
        <f>IF($A3119="","",IF(I3119&lt;&gt;"",I3119,Paramètres!B41))</f>
        <v/>
      </c>
      <c r="I3119" s="18" t="n"/>
    </row>
    <row r="3120">
      <c r="A3120" s="18">
        <f>IF(ISNUMBER(Dossiers!$D$61),Dossiers!$A$61&amp;" · "&amp;Dossiers!$B$61,"")</f>
        <v/>
      </c>
      <c r="B3120" s="18">
        <f>IF($A3120="","",Paramètres!G42)</f>
        <v/>
      </c>
      <c r="C3120" s="18">
        <f>IF($A3120="","",IF(Paramètres!H42="","",Paramètres!H42))</f>
        <v/>
      </c>
      <c r="D3120" s="18">
        <f>IF($A3120="","",IF(Paramètres!I42="","",Paramètres!I42))</f>
        <v/>
      </c>
      <c r="E3120" s="19">
        <f>IF($A3120="","",IF(Paramètres!J42&amp;Paramètres!L42&amp;Paramètres!N42="",Dossiers!$D$61,MAX(IF(Paramètres!J42="",0,IF(Paramètres!K42="",NA(),IF(LEFT(TRIM(Paramètres!K42),1)="F",INDEX($F$3083:$F$3135,MATCH(Paramètres!J42,Paramètres!$G$5:$G$57,0)),INDEX($E$3083:$E$3135,MATCH(Paramètres!J42,Paramètres!$G$5:$G$57,0)))+IF(RIGHT(TRIM(Paramètres!K42),3)="Fin",1-$H3120,IF(LEFT(TRIM(Paramètres!K42),1)="F",1,0)))),IF(Paramètres!L42="",0,IF(Paramètres!M42="",NA(),IF(LEFT(TRIM(Paramètres!M42),1)="F",INDEX($F$3083:$F$3135,MATCH(Paramètres!L42,Paramètres!$G$5:$G$57,0)),INDEX($E$3083:$E$3135,MATCH(Paramètres!L42,Paramètres!$G$5:$G$57,0)))+IF(RIGHT(TRIM(Paramètres!M42),3)="Fin",1-$H3120,IF(LEFT(TRIM(Paramètres!M42),1)="F",1,0)))),IF(Paramètres!N42="",0,IF(Paramètres!O42="",NA(),IF(LEFT(TRIM(Paramètres!O42),1)="F",INDEX($F$3083:$F$3135,MATCH(Paramètres!N42,Paramètres!$G$5:$G$57,0)),INDEX($E$3083:$E$3135,MATCH(Paramètres!N42,Paramètres!$G$5:$G$57,0)))+IF(RIGHT(TRIM(Paramètres!O42),3)="Fin",1-$H3120,IF(LEFT(TRIM(Paramètres!O42),1)="F",1,0)))))))</f>
        <v/>
      </c>
      <c r="F3120" s="19">
        <f>IF($A3120="","",E3120+$H3120-1)</f>
        <v/>
      </c>
      <c r="G3120" s="18" t="n"/>
      <c r="H3120" s="18">
        <f>IF($A3120="","",IF(I3120&lt;&gt;"",I3120,Paramètres!B42))</f>
        <v/>
      </c>
      <c r="I3120" s="18" t="n"/>
    </row>
    <row r="3121">
      <c r="A3121" s="18">
        <f>IF(ISNUMBER(Dossiers!$D$61),Dossiers!$A$61&amp;" · "&amp;Dossiers!$B$61,"")</f>
        <v/>
      </c>
      <c r="B3121" s="18">
        <f>IF($A3121="","",Paramètres!G43)</f>
        <v/>
      </c>
      <c r="C3121" s="18">
        <f>IF($A3121="","",IF(Paramètres!H43="","",Paramètres!H43))</f>
        <v/>
      </c>
      <c r="D3121" s="18">
        <f>IF($A3121="","",IF(Paramètres!I43="","",Paramètres!I43))</f>
        <v/>
      </c>
      <c r="E3121" s="19">
        <f>IF($A3121="","",IF(Paramètres!J43&amp;Paramètres!L43&amp;Paramètres!N43="",Dossiers!$D$61,MAX(IF(Paramètres!J43="",0,IF(Paramètres!K43="",NA(),IF(LEFT(TRIM(Paramètres!K43),1)="F",INDEX($F$3083:$F$3135,MATCH(Paramètres!J43,Paramètres!$G$5:$G$57,0)),INDEX($E$3083:$E$3135,MATCH(Paramètres!J43,Paramètres!$G$5:$G$57,0)))+IF(RIGHT(TRIM(Paramètres!K43),3)="Fin",1-$H3121,IF(LEFT(TRIM(Paramètres!K43),1)="F",1,0)))),IF(Paramètres!L43="",0,IF(Paramètres!M43="",NA(),IF(LEFT(TRIM(Paramètres!M43),1)="F",INDEX($F$3083:$F$3135,MATCH(Paramètres!L43,Paramètres!$G$5:$G$57,0)),INDEX($E$3083:$E$3135,MATCH(Paramètres!L43,Paramètres!$G$5:$G$57,0)))+IF(RIGHT(TRIM(Paramètres!M43),3)="Fin",1-$H3121,IF(LEFT(TRIM(Paramètres!M43),1)="F",1,0)))),IF(Paramètres!N43="",0,IF(Paramètres!O43="",NA(),IF(LEFT(TRIM(Paramètres!O43),1)="F",INDEX($F$3083:$F$3135,MATCH(Paramètres!N43,Paramètres!$G$5:$G$57,0)),INDEX($E$3083:$E$3135,MATCH(Paramètres!N43,Paramètres!$G$5:$G$57,0)))+IF(RIGHT(TRIM(Paramètres!O43),3)="Fin",1-$H3121,IF(LEFT(TRIM(Paramètres!O43),1)="F",1,0)))))))</f>
        <v/>
      </c>
      <c r="F3121" s="19">
        <f>IF($A3121="","",E3121+$H3121-1)</f>
        <v/>
      </c>
      <c r="G3121" s="18" t="n"/>
      <c r="H3121" s="18">
        <f>IF($A3121="","",IF(I3121&lt;&gt;"",I3121,Paramètres!B43))</f>
        <v/>
      </c>
      <c r="I3121" s="18" t="n"/>
    </row>
    <row r="3122">
      <c r="A3122" s="18">
        <f>IF(ISNUMBER(Dossiers!$D$61),Dossiers!$A$61&amp;" · "&amp;Dossiers!$B$61,"")</f>
        <v/>
      </c>
      <c r="B3122" s="18">
        <f>IF($A3122="","",Paramètres!G44)</f>
        <v/>
      </c>
      <c r="C3122" s="18">
        <f>IF($A3122="","",IF(Paramètres!H44="","",Paramètres!H44))</f>
        <v/>
      </c>
      <c r="D3122" s="18">
        <f>IF($A3122="","",IF(Paramètres!I44="","",Paramètres!I44))</f>
        <v/>
      </c>
      <c r="E3122" s="19">
        <f>IF($A3122="","",IF(Paramètres!J44&amp;Paramètres!L44&amp;Paramètres!N44="",Dossiers!$D$61,MAX(IF(Paramètres!J44="",0,IF(Paramètres!K44="",NA(),IF(LEFT(TRIM(Paramètres!K44),1)="F",INDEX($F$3083:$F$3135,MATCH(Paramètres!J44,Paramètres!$G$5:$G$57,0)),INDEX($E$3083:$E$3135,MATCH(Paramètres!J44,Paramètres!$G$5:$G$57,0)))+IF(RIGHT(TRIM(Paramètres!K44),3)="Fin",1-$H3122,IF(LEFT(TRIM(Paramètres!K44),1)="F",1,0)))),IF(Paramètres!L44="",0,IF(Paramètres!M44="",NA(),IF(LEFT(TRIM(Paramètres!M44),1)="F",INDEX($F$3083:$F$3135,MATCH(Paramètres!L44,Paramètres!$G$5:$G$57,0)),INDEX($E$3083:$E$3135,MATCH(Paramètres!L44,Paramètres!$G$5:$G$57,0)))+IF(RIGHT(TRIM(Paramètres!M44),3)="Fin",1-$H3122,IF(LEFT(TRIM(Paramètres!M44),1)="F",1,0)))),IF(Paramètres!N44="",0,IF(Paramètres!O44="",NA(),IF(LEFT(TRIM(Paramètres!O44),1)="F",INDEX($F$3083:$F$3135,MATCH(Paramètres!N44,Paramètres!$G$5:$G$57,0)),INDEX($E$3083:$E$3135,MATCH(Paramètres!N44,Paramètres!$G$5:$G$57,0)))+IF(RIGHT(TRIM(Paramètres!O44),3)="Fin",1-$H3122,IF(LEFT(TRIM(Paramètres!O44),1)="F",1,0)))))))</f>
        <v/>
      </c>
      <c r="F3122" s="19">
        <f>IF($A3122="","",E3122+$H3122-1)</f>
        <v/>
      </c>
      <c r="G3122" s="18" t="n"/>
      <c r="H3122" s="18">
        <f>IF($A3122="","",IF(I3122&lt;&gt;"",I3122,Paramètres!B44))</f>
        <v/>
      </c>
      <c r="I3122" s="18" t="n"/>
    </row>
    <row r="3123">
      <c r="A3123" s="18">
        <f>IF(ISNUMBER(Dossiers!$D$61),Dossiers!$A$61&amp;" · "&amp;Dossiers!$B$61,"")</f>
        <v/>
      </c>
      <c r="B3123" s="18">
        <f>IF($A3123="","",Paramètres!G45)</f>
        <v/>
      </c>
      <c r="C3123" s="20">
        <f>IF($A3123="","",IF(Dossiers!$G$61="","",Dossiers!$G$61))</f>
        <v/>
      </c>
      <c r="D3123" s="18">
        <f>IF($A3123="","",IF(Paramètres!I45="","",Paramètres!I45))</f>
        <v/>
      </c>
      <c r="E3123" s="19">
        <f>IF($A3123="","",IF(Paramètres!J45&amp;Paramètres!L45&amp;Paramètres!N45="",Dossiers!$D$61,MAX(IF(Paramètres!J45="",0,IF(Paramètres!K45="",NA(),IF(LEFT(TRIM(Paramètres!K45),1)="F",INDEX($F$3083:$F$3135,MATCH(Paramètres!J45,Paramètres!$G$5:$G$57,0)),INDEX($E$3083:$E$3135,MATCH(Paramètres!J45,Paramètres!$G$5:$G$57,0)))+IF(RIGHT(TRIM(Paramètres!K45),3)="Fin",1-$H3123,IF(LEFT(TRIM(Paramètres!K45),1)="F",1,0)))),IF(Paramètres!L45="",0,IF(Paramètres!M45="",NA(),IF(LEFT(TRIM(Paramètres!M45),1)="F",INDEX($F$3083:$F$3135,MATCH(Paramètres!L45,Paramètres!$G$5:$G$57,0)),INDEX($E$3083:$E$3135,MATCH(Paramètres!L45,Paramètres!$G$5:$G$57,0)))+IF(RIGHT(TRIM(Paramètres!M45),3)="Fin",1-$H3123,IF(LEFT(TRIM(Paramètres!M45),1)="F",1,0)))),IF(Paramètres!N45="",0,IF(Paramètres!O45="",NA(),IF(LEFT(TRIM(Paramètres!O45),1)="F",INDEX($F$3083:$F$3135,MATCH(Paramètres!N45,Paramètres!$G$5:$G$57,0)),INDEX($E$3083:$E$3135,MATCH(Paramètres!N45,Paramètres!$G$5:$G$57,0)))+IF(RIGHT(TRIM(Paramètres!O45),3)="Fin",1-$H3123,IF(LEFT(TRIM(Paramètres!O45),1)="F",1,0)))))))</f>
        <v/>
      </c>
      <c r="F3123" s="19">
        <f>IF($A3123="","",E3123+$H3123-1)</f>
        <v/>
      </c>
      <c r="G3123" s="18" t="n"/>
      <c r="H3123" s="18">
        <f>IF($A3123="","",IF(I3123&lt;&gt;"",I3123,Paramètres!B45))</f>
        <v/>
      </c>
      <c r="I3123" s="18" t="n"/>
    </row>
    <row r="3124">
      <c r="A3124" s="18">
        <f>IF(ISNUMBER(Dossiers!$D$61),Dossiers!$A$61&amp;" · "&amp;Dossiers!$B$61,"")</f>
        <v/>
      </c>
      <c r="B3124" s="18">
        <f>IF($A3124="","",Paramètres!G46)</f>
        <v/>
      </c>
      <c r="C3124" s="18">
        <f>IF($A3124="","",IF(Paramètres!H46="","",Paramètres!H46))</f>
        <v/>
      </c>
      <c r="D3124" s="18">
        <f>IF($A3124="","",IF(Paramètres!I46="","",Paramètres!I46))</f>
        <v/>
      </c>
      <c r="E3124" s="19">
        <f>IF($A3124="","",IF(Paramètres!J46&amp;Paramètres!L46&amp;Paramètres!N46="",Dossiers!$D$61,MAX(IF(Paramètres!J46="",0,IF(Paramètres!K46="",NA(),IF(LEFT(TRIM(Paramètres!K46),1)="F",INDEX($F$3083:$F$3135,MATCH(Paramètres!J46,Paramètres!$G$5:$G$57,0)),INDEX($E$3083:$E$3135,MATCH(Paramètres!J46,Paramètres!$G$5:$G$57,0)))+IF(RIGHT(TRIM(Paramètres!K46),3)="Fin",1-$H3124,IF(LEFT(TRIM(Paramètres!K46),1)="F",1,0)))),IF(Paramètres!L46="",0,IF(Paramètres!M46="",NA(),IF(LEFT(TRIM(Paramètres!M46),1)="F",INDEX($F$3083:$F$3135,MATCH(Paramètres!L46,Paramètres!$G$5:$G$57,0)),INDEX($E$3083:$E$3135,MATCH(Paramètres!L46,Paramètres!$G$5:$G$57,0)))+IF(RIGHT(TRIM(Paramètres!M46),3)="Fin",1-$H3124,IF(LEFT(TRIM(Paramètres!M46),1)="F",1,0)))),IF(Paramètres!N46="",0,IF(Paramètres!O46="",NA(),IF(LEFT(TRIM(Paramètres!O46),1)="F",INDEX($F$3083:$F$3135,MATCH(Paramètres!N46,Paramètres!$G$5:$G$57,0)),INDEX($E$3083:$E$3135,MATCH(Paramètres!N46,Paramètres!$G$5:$G$57,0)))+IF(RIGHT(TRIM(Paramètres!O46),3)="Fin",1-$H3124,IF(LEFT(TRIM(Paramètres!O46),1)="F",1,0)))))))</f>
        <v/>
      </c>
      <c r="F3124" s="19">
        <f>IF($A3124="","",E3124+$H3124-1)</f>
        <v/>
      </c>
      <c r="G3124" s="18" t="n"/>
      <c r="H3124" s="18">
        <f>IF($A3124="","",IF(I3124&lt;&gt;"",I3124,Paramètres!B46))</f>
        <v/>
      </c>
      <c r="I3124" s="18" t="n"/>
    </row>
    <row r="3125">
      <c r="A3125" s="18">
        <f>IF(ISNUMBER(Dossiers!$D$61),Dossiers!$A$61&amp;" · "&amp;Dossiers!$B$61,"")</f>
        <v/>
      </c>
      <c r="B3125" s="18">
        <f>IF($A3125="","",Paramètres!G47)</f>
        <v/>
      </c>
      <c r="C3125" s="18">
        <f>IF($A3125="","",IF(Paramètres!H47="","",Paramètres!H47))</f>
        <v/>
      </c>
      <c r="D3125" s="18">
        <f>IF($A3125="","",IF(Paramètres!I47="","",Paramètres!I47))</f>
        <v/>
      </c>
      <c r="E3125" s="19">
        <f>IF($A3125="","",IF(Paramètres!J47&amp;Paramètres!L47&amp;Paramètres!N47="",Dossiers!$D$61,MAX(IF(Paramètres!J47="",0,IF(Paramètres!K47="",NA(),IF(LEFT(TRIM(Paramètres!K47),1)="F",INDEX($F$3083:$F$3135,MATCH(Paramètres!J47,Paramètres!$G$5:$G$57,0)),INDEX($E$3083:$E$3135,MATCH(Paramètres!J47,Paramètres!$G$5:$G$57,0)))+IF(RIGHT(TRIM(Paramètres!K47),3)="Fin",1-$H3125,IF(LEFT(TRIM(Paramètres!K47),1)="F",1,0)))),IF(Paramètres!L47="",0,IF(Paramètres!M47="",NA(),IF(LEFT(TRIM(Paramètres!M47),1)="F",INDEX($F$3083:$F$3135,MATCH(Paramètres!L47,Paramètres!$G$5:$G$57,0)),INDEX($E$3083:$E$3135,MATCH(Paramètres!L47,Paramètres!$G$5:$G$57,0)))+IF(RIGHT(TRIM(Paramètres!M47),3)="Fin",1-$H3125,IF(LEFT(TRIM(Paramètres!M47),1)="F",1,0)))),IF(Paramètres!N47="",0,IF(Paramètres!O47="",NA(),IF(LEFT(TRIM(Paramètres!O47),1)="F",INDEX($F$3083:$F$3135,MATCH(Paramètres!N47,Paramètres!$G$5:$G$57,0)),INDEX($E$3083:$E$3135,MATCH(Paramètres!N47,Paramètres!$G$5:$G$57,0)))+IF(RIGHT(TRIM(Paramètres!O47),3)="Fin",1-$H3125,IF(LEFT(TRIM(Paramètres!O47),1)="F",1,0)))))))</f>
        <v/>
      </c>
      <c r="F3125" s="19">
        <f>IF($A3125="","",E3125+$H3125-1)</f>
        <v/>
      </c>
      <c r="G3125" s="18" t="n"/>
      <c r="H3125" s="18">
        <f>IF($A3125="","",IF(I3125&lt;&gt;"",I3125,Paramètres!B47))</f>
        <v/>
      </c>
      <c r="I3125" s="18" t="n"/>
    </row>
    <row r="3126">
      <c r="A3126" s="18">
        <f>IF(ISNUMBER(Dossiers!$D$61),Dossiers!$A$61&amp;" · "&amp;Dossiers!$B$61,"")</f>
        <v/>
      </c>
      <c r="B3126" s="18">
        <f>IF($A3126="","",Paramètres!G48)</f>
        <v/>
      </c>
      <c r="C3126" s="18">
        <f>IF($A3126="","",IF(Paramètres!H48="","",Paramètres!H48))</f>
        <v/>
      </c>
      <c r="D3126" s="18">
        <f>IF($A3126="","",IF(Paramètres!I48="","",Paramètres!I48))</f>
        <v/>
      </c>
      <c r="E3126" s="19">
        <f>IF($A3126="","",IF(Paramètres!J48&amp;Paramètres!L48&amp;Paramètres!N48="",Dossiers!$D$61,MAX(IF(Paramètres!J48="",0,IF(Paramètres!K48="",NA(),IF(LEFT(TRIM(Paramètres!K48),1)="F",INDEX($F$3083:$F$3135,MATCH(Paramètres!J48,Paramètres!$G$5:$G$57,0)),INDEX($E$3083:$E$3135,MATCH(Paramètres!J48,Paramètres!$G$5:$G$57,0)))+IF(RIGHT(TRIM(Paramètres!K48),3)="Fin",1-$H3126,IF(LEFT(TRIM(Paramètres!K48),1)="F",1,0)))),IF(Paramètres!L48="",0,IF(Paramètres!M48="",NA(),IF(LEFT(TRIM(Paramètres!M48),1)="F",INDEX($F$3083:$F$3135,MATCH(Paramètres!L48,Paramètres!$G$5:$G$57,0)),INDEX($E$3083:$E$3135,MATCH(Paramètres!L48,Paramètres!$G$5:$G$57,0)))+IF(RIGHT(TRIM(Paramètres!M48),3)="Fin",1-$H3126,IF(LEFT(TRIM(Paramètres!M48),1)="F",1,0)))),IF(Paramètres!N48="",0,IF(Paramètres!O48="",NA(),IF(LEFT(TRIM(Paramètres!O48),1)="F",INDEX($F$3083:$F$3135,MATCH(Paramètres!N48,Paramètres!$G$5:$G$57,0)),INDEX($E$3083:$E$3135,MATCH(Paramètres!N48,Paramètres!$G$5:$G$57,0)))+IF(RIGHT(TRIM(Paramètres!O48),3)="Fin",1-$H3126,IF(LEFT(TRIM(Paramètres!O48),1)="F",1,0)))))))</f>
        <v/>
      </c>
      <c r="F3126" s="19">
        <f>IF($A3126="","",E3126+$H3126-1)</f>
        <v/>
      </c>
      <c r="G3126" s="18" t="n"/>
      <c r="H3126" s="18">
        <f>IF($A3126="","",IF(I3126&lt;&gt;"",I3126,Paramètres!B48))</f>
        <v/>
      </c>
      <c r="I3126" s="18" t="n"/>
    </row>
    <row r="3127">
      <c r="A3127" s="18">
        <f>IF(ISNUMBER(Dossiers!$D$61),Dossiers!$A$61&amp;" · "&amp;Dossiers!$B$61,"")</f>
        <v/>
      </c>
      <c r="B3127" s="18">
        <f>IF($A3127="","",Paramètres!G49)</f>
        <v/>
      </c>
      <c r="C3127" s="18">
        <f>IF($A3127="","",IF(Paramètres!H49="","",Paramètres!H49))</f>
        <v/>
      </c>
      <c r="D3127" s="18">
        <f>IF($A3127="","",IF(Paramètres!I49="","",Paramètres!I49))</f>
        <v/>
      </c>
      <c r="E3127" s="19">
        <f>IF($A3127="","",IF(Paramètres!J49&amp;Paramètres!L49&amp;Paramètres!N49="",Dossiers!$D$61,MAX(IF(Paramètres!J49="",0,IF(Paramètres!K49="",NA(),IF(LEFT(TRIM(Paramètres!K49),1)="F",INDEX($F$3083:$F$3135,MATCH(Paramètres!J49,Paramètres!$G$5:$G$57,0)),INDEX($E$3083:$E$3135,MATCH(Paramètres!J49,Paramètres!$G$5:$G$57,0)))+IF(RIGHT(TRIM(Paramètres!K49),3)="Fin",1-$H3127,IF(LEFT(TRIM(Paramètres!K49),1)="F",1,0)))),IF(Paramètres!L49="",0,IF(Paramètres!M49="",NA(),IF(LEFT(TRIM(Paramètres!M49),1)="F",INDEX($F$3083:$F$3135,MATCH(Paramètres!L49,Paramètres!$G$5:$G$57,0)),INDEX($E$3083:$E$3135,MATCH(Paramètres!L49,Paramètres!$G$5:$G$57,0)))+IF(RIGHT(TRIM(Paramètres!M49),3)="Fin",1-$H3127,IF(LEFT(TRIM(Paramètres!M49),1)="F",1,0)))),IF(Paramètres!N49="",0,IF(Paramètres!O49="",NA(),IF(LEFT(TRIM(Paramètres!O49),1)="F",INDEX($F$3083:$F$3135,MATCH(Paramètres!N49,Paramètres!$G$5:$G$57,0)),INDEX($E$3083:$E$3135,MATCH(Paramètres!N49,Paramètres!$G$5:$G$57,0)))+IF(RIGHT(TRIM(Paramètres!O49),3)="Fin",1-$H3127,IF(LEFT(TRIM(Paramètres!O49),1)="F",1,0)))))))</f>
        <v/>
      </c>
      <c r="F3127" s="19">
        <f>IF($A3127="","",E3127+$H3127-1)</f>
        <v/>
      </c>
      <c r="G3127" s="18" t="n"/>
      <c r="H3127" s="18">
        <f>IF($A3127="","",IF(I3127&lt;&gt;"",I3127,Paramètres!B49))</f>
        <v/>
      </c>
      <c r="I3127" s="18" t="n"/>
    </row>
    <row r="3128">
      <c r="A3128" s="18">
        <f>IF(ISNUMBER(Dossiers!$D$61),Dossiers!$A$61&amp;" · "&amp;Dossiers!$B$61,"")</f>
        <v/>
      </c>
      <c r="B3128" s="18">
        <f>IF($A3128="","",Paramètres!G50)</f>
        <v/>
      </c>
      <c r="C3128" s="18">
        <f>IF($A3128="","",IF(Paramètres!H50="","",Paramètres!H50))</f>
        <v/>
      </c>
      <c r="D3128" s="18">
        <f>IF($A3128="","",IF(Paramètres!I50="","",Paramètres!I50))</f>
        <v/>
      </c>
      <c r="E3128" s="19">
        <f>IF($A3128="","",IF(Paramètres!J50&amp;Paramètres!L50&amp;Paramètres!N50="",Dossiers!$D$61,MAX(IF(Paramètres!J50="",0,IF(Paramètres!K50="",NA(),IF(LEFT(TRIM(Paramètres!K50),1)="F",INDEX($F$3083:$F$3135,MATCH(Paramètres!J50,Paramètres!$G$5:$G$57,0)),INDEX($E$3083:$E$3135,MATCH(Paramètres!J50,Paramètres!$G$5:$G$57,0)))+IF(RIGHT(TRIM(Paramètres!K50),3)="Fin",1-$H3128,IF(LEFT(TRIM(Paramètres!K50),1)="F",1,0)))),IF(Paramètres!L50="",0,IF(Paramètres!M50="",NA(),IF(LEFT(TRIM(Paramètres!M50),1)="F",INDEX($F$3083:$F$3135,MATCH(Paramètres!L50,Paramètres!$G$5:$G$57,0)),INDEX($E$3083:$E$3135,MATCH(Paramètres!L50,Paramètres!$G$5:$G$57,0)))+IF(RIGHT(TRIM(Paramètres!M50),3)="Fin",1-$H3128,IF(LEFT(TRIM(Paramètres!M50),1)="F",1,0)))),IF(Paramètres!N50="",0,IF(Paramètres!O50="",NA(),IF(LEFT(TRIM(Paramètres!O50),1)="F",INDEX($F$3083:$F$3135,MATCH(Paramètres!N50,Paramètres!$G$5:$G$57,0)),INDEX($E$3083:$E$3135,MATCH(Paramètres!N50,Paramètres!$G$5:$G$57,0)))+IF(RIGHT(TRIM(Paramètres!O50),3)="Fin",1-$H3128,IF(LEFT(TRIM(Paramètres!O50),1)="F",1,0)))))))</f>
        <v/>
      </c>
      <c r="F3128" s="19">
        <f>IF($A3128="","",E3128+$H3128-1)</f>
        <v/>
      </c>
      <c r="G3128" s="18" t="n"/>
      <c r="H3128" s="18">
        <f>IF($A3128="","",IF(I3128&lt;&gt;"",I3128,Paramètres!B50))</f>
        <v/>
      </c>
      <c r="I3128" s="18" t="n"/>
    </row>
    <row r="3129">
      <c r="A3129" s="18">
        <f>IF(ISNUMBER(Dossiers!$D$61),Dossiers!$A$61&amp;" · "&amp;Dossiers!$B$61,"")</f>
        <v/>
      </c>
      <c r="B3129" s="18">
        <f>IF($A3129="","",Paramètres!G51)</f>
        <v/>
      </c>
      <c r="C3129" s="18">
        <f>IF($A3129="","",IF(Paramètres!H51="","",Paramètres!H51))</f>
        <v/>
      </c>
      <c r="D3129" s="18">
        <f>IF($A3129="","",IF(Paramètres!I51="","",Paramètres!I51))</f>
        <v/>
      </c>
      <c r="E3129" s="19">
        <f>IF($A3129="","",IF(Paramètres!J51&amp;Paramètres!L51&amp;Paramètres!N51="",Dossiers!$D$61,MAX(IF(Paramètres!J51="",0,IF(Paramètres!K51="",NA(),IF(LEFT(TRIM(Paramètres!K51),1)="F",INDEX($F$3083:$F$3135,MATCH(Paramètres!J51,Paramètres!$G$5:$G$57,0)),INDEX($E$3083:$E$3135,MATCH(Paramètres!J51,Paramètres!$G$5:$G$57,0)))+IF(RIGHT(TRIM(Paramètres!K51),3)="Fin",1-$H3129,IF(LEFT(TRIM(Paramètres!K51),1)="F",1,0)))),IF(Paramètres!L51="",0,IF(Paramètres!M51="",NA(),IF(LEFT(TRIM(Paramètres!M51),1)="F",INDEX($F$3083:$F$3135,MATCH(Paramètres!L51,Paramètres!$G$5:$G$57,0)),INDEX($E$3083:$E$3135,MATCH(Paramètres!L51,Paramètres!$G$5:$G$57,0)))+IF(RIGHT(TRIM(Paramètres!M51),3)="Fin",1-$H3129,IF(LEFT(TRIM(Paramètres!M51),1)="F",1,0)))),IF(Paramètres!N51="",0,IF(Paramètres!O51="",NA(),IF(LEFT(TRIM(Paramètres!O51),1)="F",INDEX($F$3083:$F$3135,MATCH(Paramètres!N51,Paramètres!$G$5:$G$57,0)),INDEX($E$3083:$E$3135,MATCH(Paramètres!N51,Paramètres!$G$5:$G$57,0)))+IF(RIGHT(TRIM(Paramètres!O51),3)="Fin",1-$H3129,IF(LEFT(TRIM(Paramètres!O51),1)="F",1,0)))))))</f>
        <v/>
      </c>
      <c r="F3129" s="19">
        <f>IF($A3129="","",E3129+$H3129-1)</f>
        <v/>
      </c>
      <c r="G3129" s="18" t="n"/>
      <c r="H3129" s="18">
        <f>IF($A3129="","",IF(I3129&lt;&gt;"",I3129,Paramètres!B51))</f>
        <v/>
      </c>
      <c r="I3129" s="18" t="n"/>
    </row>
    <row r="3130">
      <c r="A3130" s="18">
        <f>IF(ISNUMBER(Dossiers!$D$61),Dossiers!$A$61&amp;" · "&amp;Dossiers!$B$61,"")</f>
        <v/>
      </c>
      <c r="B3130" s="18">
        <f>IF($A3130="","",Paramètres!G52)</f>
        <v/>
      </c>
      <c r="C3130" s="18">
        <f>IF($A3130="","",IF(Paramètres!H52="","",Paramètres!H52))</f>
        <v/>
      </c>
      <c r="D3130" s="18">
        <f>IF($A3130="","",IF(Paramètres!I52="","",Paramètres!I52))</f>
        <v/>
      </c>
      <c r="E3130" s="19">
        <f>IF($A3130="","",IF(Paramètres!J52&amp;Paramètres!L52&amp;Paramètres!N52="",Dossiers!$D$61,MAX(IF(Paramètres!J52="",0,IF(Paramètres!K52="",NA(),IF(LEFT(TRIM(Paramètres!K52),1)="F",INDEX($F$3083:$F$3135,MATCH(Paramètres!J52,Paramètres!$G$5:$G$57,0)),INDEX($E$3083:$E$3135,MATCH(Paramètres!J52,Paramètres!$G$5:$G$57,0)))+IF(RIGHT(TRIM(Paramètres!K52),3)="Fin",1-$H3130,IF(LEFT(TRIM(Paramètres!K52),1)="F",1,0)))),IF(Paramètres!L52="",0,IF(Paramètres!M52="",NA(),IF(LEFT(TRIM(Paramètres!M52),1)="F",INDEX($F$3083:$F$3135,MATCH(Paramètres!L52,Paramètres!$G$5:$G$57,0)),INDEX($E$3083:$E$3135,MATCH(Paramètres!L52,Paramètres!$G$5:$G$57,0)))+IF(RIGHT(TRIM(Paramètres!M52),3)="Fin",1-$H3130,IF(LEFT(TRIM(Paramètres!M52),1)="F",1,0)))),IF(Paramètres!N52="",0,IF(Paramètres!O52="",NA(),IF(LEFT(TRIM(Paramètres!O52),1)="F",INDEX($F$3083:$F$3135,MATCH(Paramètres!N52,Paramètres!$G$5:$G$57,0)),INDEX($E$3083:$E$3135,MATCH(Paramètres!N52,Paramètres!$G$5:$G$57,0)))+IF(RIGHT(TRIM(Paramètres!O52),3)="Fin",1-$H3130,IF(LEFT(TRIM(Paramètres!O52),1)="F",1,0)))))))</f>
        <v/>
      </c>
      <c r="F3130" s="19">
        <f>IF($A3130="","",E3130+$H3130-1)</f>
        <v/>
      </c>
      <c r="G3130" s="18" t="n"/>
      <c r="H3130" s="18">
        <f>IF($A3130="","",IF(I3130&lt;&gt;"",I3130,Paramètres!B52))</f>
        <v/>
      </c>
      <c r="I3130" s="18" t="n"/>
    </row>
    <row r="3131">
      <c r="A3131" s="18">
        <f>IF(ISNUMBER(Dossiers!$D$61),Dossiers!$A$61&amp;" · "&amp;Dossiers!$B$61,"")</f>
        <v/>
      </c>
      <c r="B3131" s="18">
        <f>IF($A3131="","",Paramètres!G53)</f>
        <v/>
      </c>
      <c r="C3131" s="18">
        <f>IF($A3131="","",IF(Paramètres!H53="","",Paramètres!H53))</f>
        <v/>
      </c>
      <c r="D3131" s="18">
        <f>IF($A3131="","",IF(Paramètres!I53="","",Paramètres!I53))</f>
        <v/>
      </c>
      <c r="E3131" s="19">
        <f>IF($A3131="","",IF(Paramètres!J53&amp;Paramètres!L53&amp;Paramètres!N53="",Dossiers!$D$61,MAX(IF(Paramètres!J53="",0,IF(Paramètres!K53="",NA(),IF(LEFT(TRIM(Paramètres!K53),1)="F",INDEX($F$3083:$F$3135,MATCH(Paramètres!J53,Paramètres!$G$5:$G$57,0)),INDEX($E$3083:$E$3135,MATCH(Paramètres!J53,Paramètres!$G$5:$G$57,0)))+IF(RIGHT(TRIM(Paramètres!K53),3)="Fin",1-$H3131,IF(LEFT(TRIM(Paramètres!K53),1)="F",1,0)))),IF(Paramètres!L53="",0,IF(Paramètres!M53="",NA(),IF(LEFT(TRIM(Paramètres!M53),1)="F",INDEX($F$3083:$F$3135,MATCH(Paramètres!L53,Paramètres!$G$5:$G$57,0)),INDEX($E$3083:$E$3135,MATCH(Paramètres!L53,Paramètres!$G$5:$G$57,0)))+IF(RIGHT(TRIM(Paramètres!M53),3)="Fin",1-$H3131,IF(LEFT(TRIM(Paramètres!M53),1)="F",1,0)))),IF(Paramètres!N53="",0,IF(Paramètres!O53="",NA(),IF(LEFT(TRIM(Paramètres!O53),1)="F",INDEX($F$3083:$F$3135,MATCH(Paramètres!N53,Paramètres!$G$5:$G$57,0)),INDEX($E$3083:$E$3135,MATCH(Paramètres!N53,Paramètres!$G$5:$G$57,0)))+IF(RIGHT(TRIM(Paramètres!O53),3)="Fin",1-$H3131,IF(LEFT(TRIM(Paramètres!O53),1)="F",1,0)))))))</f>
        <v/>
      </c>
      <c r="F3131" s="19">
        <f>IF($A3131="","",E3131+$H3131-1)</f>
        <v/>
      </c>
      <c r="G3131" s="18" t="n"/>
      <c r="H3131" s="18">
        <f>IF($A3131="","",IF(I3131&lt;&gt;"",I3131,Paramètres!B53))</f>
        <v/>
      </c>
      <c r="I3131" s="18" t="n"/>
    </row>
    <row r="3132">
      <c r="A3132" s="18">
        <f>IF(ISNUMBER(Dossiers!$D$61),Dossiers!$A$61&amp;" · "&amp;Dossiers!$B$61,"")</f>
        <v/>
      </c>
      <c r="B3132" s="18">
        <f>IF($A3132="","",Paramètres!G54)</f>
        <v/>
      </c>
      <c r="C3132" s="18">
        <f>IF($A3132="","",IF(Paramètres!H54="","",Paramètres!H54))</f>
        <v/>
      </c>
      <c r="D3132" s="18">
        <f>IF($A3132="","",IF(Paramètres!I54="","",Paramètres!I54))</f>
        <v/>
      </c>
      <c r="E3132" s="19">
        <f>IF($A3132="","",IF(Paramètres!J54&amp;Paramètres!L54&amp;Paramètres!N54="",Dossiers!$D$61,MAX(IF(Paramètres!J54="",0,IF(Paramètres!K54="",NA(),IF(LEFT(TRIM(Paramètres!K54),1)="F",INDEX($F$3083:$F$3135,MATCH(Paramètres!J54,Paramètres!$G$5:$G$57,0)),INDEX($E$3083:$E$3135,MATCH(Paramètres!J54,Paramètres!$G$5:$G$57,0)))+IF(RIGHT(TRIM(Paramètres!K54),3)="Fin",1-$H3132,IF(LEFT(TRIM(Paramètres!K54),1)="F",1,0)))),IF(Paramètres!L54="",0,IF(Paramètres!M54="",NA(),IF(LEFT(TRIM(Paramètres!M54),1)="F",INDEX($F$3083:$F$3135,MATCH(Paramètres!L54,Paramètres!$G$5:$G$57,0)),INDEX($E$3083:$E$3135,MATCH(Paramètres!L54,Paramètres!$G$5:$G$57,0)))+IF(RIGHT(TRIM(Paramètres!M54),3)="Fin",1-$H3132,IF(LEFT(TRIM(Paramètres!M54),1)="F",1,0)))),IF(Paramètres!N54="",0,IF(Paramètres!O54="",NA(),IF(LEFT(TRIM(Paramètres!O54),1)="F",INDEX($F$3083:$F$3135,MATCH(Paramètres!N54,Paramètres!$G$5:$G$57,0)),INDEX($E$3083:$E$3135,MATCH(Paramètres!N54,Paramètres!$G$5:$G$57,0)))+IF(RIGHT(TRIM(Paramètres!O54),3)="Fin",1-$H3132,IF(LEFT(TRIM(Paramètres!O54),1)="F",1,0)))))))</f>
        <v/>
      </c>
      <c r="F3132" s="19">
        <f>IF($A3132="","",E3132+$H3132-1)</f>
        <v/>
      </c>
      <c r="G3132" s="18" t="n"/>
      <c r="H3132" s="18">
        <f>IF($A3132="","",IF(I3132&lt;&gt;"",I3132,Paramètres!B54))</f>
        <v/>
      </c>
      <c r="I3132" s="18" t="n"/>
    </row>
    <row r="3133">
      <c r="A3133" s="18">
        <f>IF(ISNUMBER(Dossiers!$D$61),Dossiers!$A$61&amp;" · "&amp;Dossiers!$B$61,"")</f>
        <v/>
      </c>
      <c r="B3133" s="18">
        <f>IF($A3133="","",Paramètres!G55)</f>
        <v/>
      </c>
      <c r="C3133" s="18">
        <f>IF($A3133="","",IF(Paramètres!H55="","",Paramètres!H55))</f>
        <v/>
      </c>
      <c r="D3133" s="18">
        <f>IF($A3133="","",IF(Paramètres!I55="","",Paramètres!I55))</f>
        <v/>
      </c>
      <c r="E3133" s="19">
        <f>IF($A3133="","",IF(Paramètres!J55&amp;Paramètres!L55&amp;Paramètres!N55="",Dossiers!$D$61,MAX(IF(Paramètres!J55="",0,IF(Paramètres!K55="",NA(),IF(LEFT(TRIM(Paramètres!K55),1)="F",INDEX($F$3083:$F$3135,MATCH(Paramètres!J55,Paramètres!$G$5:$G$57,0)),INDEX($E$3083:$E$3135,MATCH(Paramètres!J55,Paramètres!$G$5:$G$57,0)))+IF(RIGHT(TRIM(Paramètres!K55),3)="Fin",1-$H3133,IF(LEFT(TRIM(Paramètres!K55),1)="F",1,0)))),IF(Paramètres!L55="",0,IF(Paramètres!M55="",NA(),IF(LEFT(TRIM(Paramètres!M55),1)="F",INDEX($F$3083:$F$3135,MATCH(Paramètres!L55,Paramètres!$G$5:$G$57,0)),INDEX($E$3083:$E$3135,MATCH(Paramètres!L55,Paramètres!$G$5:$G$57,0)))+IF(RIGHT(TRIM(Paramètres!M55),3)="Fin",1-$H3133,IF(LEFT(TRIM(Paramètres!M55),1)="F",1,0)))),IF(Paramètres!N55="",0,IF(Paramètres!O55="",NA(),IF(LEFT(TRIM(Paramètres!O55),1)="F",INDEX($F$3083:$F$3135,MATCH(Paramètres!N55,Paramètres!$G$5:$G$57,0)),INDEX($E$3083:$E$3135,MATCH(Paramètres!N55,Paramètres!$G$5:$G$57,0)))+IF(RIGHT(TRIM(Paramètres!O55),3)="Fin",1-$H3133,IF(LEFT(TRIM(Paramètres!O55),1)="F",1,0)))))))</f>
        <v/>
      </c>
      <c r="F3133" s="19">
        <f>IF($A3133="","",E3133+$H3133-1)</f>
        <v/>
      </c>
      <c r="G3133" s="18" t="n"/>
      <c r="H3133" s="18">
        <f>IF($A3133="","",IF(I3133&lt;&gt;"",I3133,Paramètres!B55))</f>
        <v/>
      </c>
      <c r="I3133" s="18" t="n"/>
    </row>
    <row r="3134">
      <c r="A3134" s="18">
        <f>IF(ISNUMBER(Dossiers!$D$61),Dossiers!$A$61&amp;" · "&amp;Dossiers!$B$61,"")</f>
        <v/>
      </c>
      <c r="B3134" s="18">
        <f>IF($A3134="","",Paramètres!G56)</f>
        <v/>
      </c>
      <c r="C3134" s="18">
        <f>IF($A3134="","",IF(Paramètres!H56="","",Paramètres!H56))</f>
        <v/>
      </c>
      <c r="D3134" s="18">
        <f>IF($A3134="","",IF(Paramètres!I56="","",Paramètres!I56))</f>
        <v/>
      </c>
      <c r="E3134" s="19">
        <f>IF($A3134="","",MIN(E3135:E3135))</f>
        <v/>
      </c>
      <c r="F3134" s="19">
        <f>IF($A3134="","",MAX(F3135:F3135))</f>
        <v/>
      </c>
      <c r="G3134" s="18" t="n"/>
      <c r="H3134" s="18">
        <f>IF($A3134="","",F3134-E3134+1)</f>
        <v/>
      </c>
      <c r="I3134" s="18" t="n"/>
    </row>
    <row r="3135">
      <c r="A3135" s="18">
        <f>IF(ISNUMBER(Dossiers!$D$61),Dossiers!$A$61&amp;" · "&amp;Dossiers!$B$61,"")</f>
        <v/>
      </c>
      <c r="B3135" s="18">
        <f>IF($A3135="","",Paramètres!G57)</f>
        <v/>
      </c>
      <c r="C3135" s="18">
        <f>IF($A3135="","",IF(Paramètres!H57="","",Paramètres!H57))</f>
        <v/>
      </c>
      <c r="D3135" s="18">
        <f>IF($A3135="","",IF(Paramètres!I57="","",Paramètres!I57))</f>
        <v/>
      </c>
      <c r="E3135" s="19">
        <f>IF($A3135="","",IF(Paramètres!J57&amp;Paramètres!L57&amp;Paramètres!N57="",Dossiers!$D$61,MAX(IF(Paramètres!J57="",0,IF(Paramètres!K57="",NA(),IF(LEFT(TRIM(Paramètres!K57),1)="F",INDEX($F$3083:$F$3135,MATCH(Paramètres!J57,Paramètres!$G$5:$G$57,0)),INDEX($E$3083:$E$3135,MATCH(Paramètres!J57,Paramètres!$G$5:$G$57,0)))+IF(RIGHT(TRIM(Paramètres!K57),3)="Fin",1-$H3135,IF(LEFT(TRIM(Paramètres!K57),1)="F",1,0)))),IF(Paramètres!L57="",0,IF(Paramètres!M57="",NA(),IF(LEFT(TRIM(Paramètres!M57),1)="F",INDEX($F$3083:$F$3135,MATCH(Paramètres!L57,Paramètres!$G$5:$G$57,0)),INDEX($E$3083:$E$3135,MATCH(Paramètres!L57,Paramètres!$G$5:$G$57,0)))+IF(RIGHT(TRIM(Paramètres!M57),3)="Fin",1-$H3135,IF(LEFT(TRIM(Paramètres!M57),1)="F",1,0)))),IF(Paramètres!N57="",0,IF(Paramètres!O57="",NA(),IF(LEFT(TRIM(Paramètres!O57),1)="F",INDEX($F$3083:$F$3135,MATCH(Paramètres!N57,Paramètres!$G$5:$G$57,0)),INDEX($E$3083:$E$3135,MATCH(Paramètres!N57,Paramètres!$G$5:$G$57,0)))+IF(RIGHT(TRIM(Paramètres!O57),3)="Fin",1-$H3135,IF(LEFT(TRIM(Paramètres!O57),1)="F",1,0)))))))</f>
        <v/>
      </c>
      <c r="F3135" s="19">
        <f>IF($A3135="","",E3135+$H3135-1)</f>
        <v/>
      </c>
      <c r="G3135" s="18" t="n"/>
      <c r="H3135" s="18">
        <f>IF($A3135="","",IF(I3135&lt;&gt;"",I3135,Paramètres!B57))</f>
        <v/>
      </c>
      <c r="I3135" s="18" t="n"/>
    </row>
    <row r="3136">
      <c r="A3136" s="16">
        <f>IF(ISNUMBER(Dossiers!$D$62),Dossiers!$E$62,"")</f>
        <v/>
      </c>
      <c r="B3136" s="16">
        <f>IF($A3136="","","Identifiant")</f>
        <v/>
      </c>
      <c r="C3136" s="16">
        <f>IF($A3136="","","Macro Etape")</f>
        <v/>
      </c>
      <c r="D3136" s="16">
        <f>IF($A3136="","","Etape")</f>
        <v/>
      </c>
      <c r="E3136" s="17">
        <f>IF($A3136="","","Début le")</f>
        <v/>
      </c>
      <c r="F3136" s="17">
        <f>IF($A3136="","","Fin prévue le")</f>
        <v/>
      </c>
      <c r="G3136" s="16">
        <f>IF($A3136="","","Statut")</f>
        <v/>
      </c>
      <c r="H3136" s="16">
        <f>IF($A3136="","","Durée (jours)")</f>
        <v/>
      </c>
      <c r="I3136" s="16">
        <f>IF($A3136="","","Durée particulière")</f>
        <v/>
      </c>
      <c r="J3136" s="10">
        <f>IF($A3136="","",HYPERLINK("#'Tableau de bord'!A1","↑ Tableau de bord"))</f>
        <v/>
      </c>
    </row>
    <row r="3137">
      <c r="A3137" s="18">
        <f>IF(ISNUMBER(Dossiers!$D$62),Dossiers!$A$62&amp;" · "&amp;Dossiers!$B$62,"")</f>
        <v/>
      </c>
      <c r="B3137" s="18">
        <f>IF($A3137="","",Paramètres!G5)</f>
        <v/>
      </c>
      <c r="C3137" s="18">
        <f>IF($A3137="","",IF(Paramètres!H5="","",Paramètres!H5))</f>
        <v/>
      </c>
      <c r="D3137" s="18">
        <f>IF($A3137="","",IF(Paramètres!I5="","",Paramètres!I5))</f>
        <v/>
      </c>
      <c r="E3137" s="19">
        <f>IF($A3137="","",MIN(E3138:E3141))</f>
        <v/>
      </c>
      <c r="F3137" s="19">
        <f>IF($A3137="","",MAX(F3138:F3141))</f>
        <v/>
      </c>
      <c r="G3137" s="18" t="n"/>
      <c r="H3137" s="18">
        <f>IF($A3137="","",F3137-E3137+1)</f>
        <v/>
      </c>
      <c r="I3137" s="18" t="n"/>
    </row>
    <row r="3138">
      <c r="A3138" s="18">
        <f>IF(ISNUMBER(Dossiers!$D$62),Dossiers!$A$62&amp;" · "&amp;Dossiers!$B$62,"")</f>
        <v/>
      </c>
      <c r="B3138" s="18">
        <f>IF($A3138="","",Paramètres!G6)</f>
        <v/>
      </c>
      <c r="C3138" s="18">
        <f>IF($A3138="","",IF(Paramètres!H6="","",Paramètres!H6))</f>
        <v/>
      </c>
      <c r="D3138" s="18">
        <f>IF($A3138="","",IF(Paramètres!I6="","",Paramètres!I6))</f>
        <v/>
      </c>
      <c r="E3138" s="19">
        <f>IF($A3138="","",IF(Paramètres!J6&amp;Paramètres!L6&amp;Paramètres!N6="",Dossiers!$D$62,MAX(IF(Paramètres!J6="",0,IF(Paramètres!K6="",NA(),IF(LEFT(TRIM(Paramètres!K6),1)="F",INDEX($F$3137:$F$3189,MATCH(Paramètres!J6,Paramètres!$G$5:$G$57,0)),INDEX($E$3137:$E$3189,MATCH(Paramètres!J6,Paramètres!$G$5:$G$57,0)))+IF(RIGHT(TRIM(Paramètres!K6),3)="Fin",1-$H3138,IF(LEFT(TRIM(Paramètres!K6),1)="F",1,0)))),IF(Paramètres!L6="",0,IF(Paramètres!M6="",NA(),IF(LEFT(TRIM(Paramètres!M6),1)="F",INDEX($F$3137:$F$3189,MATCH(Paramètres!L6,Paramètres!$G$5:$G$57,0)),INDEX($E$3137:$E$3189,MATCH(Paramètres!L6,Paramètres!$G$5:$G$57,0)))+IF(RIGHT(TRIM(Paramètres!M6),3)="Fin",1-$H3138,IF(LEFT(TRIM(Paramètres!M6),1)="F",1,0)))),IF(Paramètres!N6="",0,IF(Paramètres!O6="",NA(),IF(LEFT(TRIM(Paramètres!O6),1)="F",INDEX($F$3137:$F$3189,MATCH(Paramètres!N6,Paramètres!$G$5:$G$57,0)),INDEX($E$3137:$E$3189,MATCH(Paramètres!N6,Paramètres!$G$5:$G$57,0)))+IF(RIGHT(TRIM(Paramètres!O6),3)="Fin",1-$H3138,IF(LEFT(TRIM(Paramètres!O6),1)="F",1,0)))))))</f>
        <v/>
      </c>
      <c r="F3138" s="19">
        <f>IF($A3138="","",E3138+$H3138-1)</f>
        <v/>
      </c>
      <c r="G3138" s="18" t="n"/>
      <c r="H3138" s="18">
        <f>IF($A3138="","",IF(I3138&lt;&gt;"",I3138,Paramètres!B6))</f>
        <v/>
      </c>
      <c r="I3138" s="18" t="n"/>
    </row>
    <row r="3139">
      <c r="A3139" s="18">
        <f>IF(ISNUMBER(Dossiers!$D$62),Dossiers!$A$62&amp;" · "&amp;Dossiers!$B$62,"")</f>
        <v/>
      </c>
      <c r="B3139" s="18">
        <f>IF($A3139="","",Paramètres!G7)</f>
        <v/>
      </c>
      <c r="C3139" s="18">
        <f>IF($A3139="","",IF(Paramètres!H7="","",Paramètres!H7))</f>
        <v/>
      </c>
      <c r="D3139" s="18">
        <f>IF($A3139="","",IF(Paramètres!I7="","",Paramètres!I7))</f>
        <v/>
      </c>
      <c r="E3139" s="19">
        <f>IF($A3139="","",IF(Paramètres!J7&amp;Paramètres!L7&amp;Paramètres!N7="",Dossiers!$D$62,MAX(IF(Paramètres!J7="",0,IF(Paramètres!K7="",NA(),IF(LEFT(TRIM(Paramètres!K7),1)="F",INDEX($F$3137:$F$3189,MATCH(Paramètres!J7,Paramètres!$G$5:$G$57,0)),INDEX($E$3137:$E$3189,MATCH(Paramètres!J7,Paramètres!$G$5:$G$57,0)))+IF(RIGHT(TRIM(Paramètres!K7),3)="Fin",1-$H3139,IF(LEFT(TRIM(Paramètres!K7),1)="F",1,0)))),IF(Paramètres!L7="",0,IF(Paramètres!M7="",NA(),IF(LEFT(TRIM(Paramètres!M7),1)="F",INDEX($F$3137:$F$3189,MATCH(Paramètres!L7,Paramètres!$G$5:$G$57,0)),INDEX($E$3137:$E$3189,MATCH(Paramètres!L7,Paramètres!$G$5:$G$57,0)))+IF(RIGHT(TRIM(Paramètres!M7),3)="Fin",1-$H3139,IF(LEFT(TRIM(Paramètres!M7),1)="F",1,0)))),IF(Paramètres!N7="",0,IF(Paramètres!O7="",NA(),IF(LEFT(TRIM(Paramètres!O7),1)="F",INDEX($F$3137:$F$3189,MATCH(Paramètres!N7,Paramètres!$G$5:$G$57,0)),INDEX($E$3137:$E$3189,MATCH(Paramètres!N7,Paramètres!$G$5:$G$57,0)))+IF(RIGHT(TRIM(Paramètres!O7),3)="Fin",1-$H3139,IF(LEFT(TRIM(Paramètres!O7),1)="F",1,0)))))))</f>
        <v/>
      </c>
      <c r="F3139" s="19">
        <f>IF($A3139="","",E3139+$H3139-1)</f>
        <v/>
      </c>
      <c r="G3139" s="18" t="n"/>
      <c r="H3139" s="18">
        <f>IF($A3139="","",IF(I3139&lt;&gt;"",I3139,Paramètres!B7))</f>
        <v/>
      </c>
      <c r="I3139" s="18" t="n"/>
    </row>
    <row r="3140">
      <c r="A3140" s="18">
        <f>IF(ISNUMBER(Dossiers!$D$62),Dossiers!$A$62&amp;" · "&amp;Dossiers!$B$62,"")</f>
        <v/>
      </c>
      <c r="B3140" s="18">
        <f>IF($A3140="","",Paramètres!G8)</f>
        <v/>
      </c>
      <c r="C3140" s="18">
        <f>IF($A3140="","",IF(Paramètres!H8="","",Paramètres!H8))</f>
        <v/>
      </c>
      <c r="D3140" s="18">
        <f>IF($A3140="","",IF(Paramètres!I8="","",Paramètres!I8))</f>
        <v/>
      </c>
      <c r="E3140" s="19">
        <f>IF($A3140="","",IF(Paramètres!J8&amp;Paramètres!L8&amp;Paramètres!N8="",Dossiers!$D$62,MAX(IF(Paramètres!J8="",0,IF(Paramètres!K8="",NA(),IF(LEFT(TRIM(Paramètres!K8),1)="F",INDEX($F$3137:$F$3189,MATCH(Paramètres!J8,Paramètres!$G$5:$G$57,0)),INDEX($E$3137:$E$3189,MATCH(Paramètres!J8,Paramètres!$G$5:$G$57,0)))+IF(RIGHT(TRIM(Paramètres!K8),3)="Fin",1-$H3140,IF(LEFT(TRIM(Paramètres!K8),1)="F",1,0)))),IF(Paramètres!L8="",0,IF(Paramètres!M8="",NA(),IF(LEFT(TRIM(Paramètres!M8),1)="F",INDEX($F$3137:$F$3189,MATCH(Paramètres!L8,Paramètres!$G$5:$G$57,0)),INDEX($E$3137:$E$3189,MATCH(Paramètres!L8,Paramètres!$G$5:$G$57,0)))+IF(RIGHT(TRIM(Paramètres!M8),3)="Fin",1-$H3140,IF(LEFT(TRIM(Paramètres!M8),1)="F",1,0)))),IF(Paramètres!N8="",0,IF(Paramètres!O8="",NA(),IF(LEFT(TRIM(Paramètres!O8),1)="F",INDEX($F$3137:$F$3189,MATCH(Paramètres!N8,Paramètres!$G$5:$G$57,0)),INDEX($E$3137:$E$3189,MATCH(Paramètres!N8,Paramètres!$G$5:$G$57,0)))+IF(RIGHT(TRIM(Paramètres!O8),3)="Fin",1-$H3140,IF(LEFT(TRIM(Paramètres!O8),1)="F",1,0)))))))</f>
        <v/>
      </c>
      <c r="F3140" s="19">
        <f>IF($A3140="","",E3140+$H3140-1)</f>
        <v/>
      </c>
      <c r="G3140" s="18" t="n"/>
      <c r="H3140" s="18">
        <f>IF($A3140="","",IF(I3140&lt;&gt;"",I3140,Paramètres!B8))</f>
        <v/>
      </c>
      <c r="I3140" s="18" t="n"/>
    </row>
    <row r="3141">
      <c r="A3141" s="18">
        <f>IF(ISNUMBER(Dossiers!$D$62),Dossiers!$A$62&amp;" · "&amp;Dossiers!$B$62,"")</f>
        <v/>
      </c>
      <c r="B3141" s="18">
        <f>IF($A3141="","",Paramètres!G9)</f>
        <v/>
      </c>
      <c r="C3141" s="18">
        <f>IF($A3141="","",IF(Paramètres!H9="","",Paramètres!H9))</f>
        <v/>
      </c>
      <c r="D3141" s="18">
        <f>IF($A3141="","",IF(Paramètres!I9="","",Paramètres!I9))</f>
        <v/>
      </c>
      <c r="E3141" s="19">
        <f>IF($A3141="","",IF(Paramètres!J9&amp;Paramètres!L9&amp;Paramètres!N9="",Dossiers!$D$62,MAX(IF(Paramètres!J9="",0,IF(Paramètres!K9="",NA(),IF(LEFT(TRIM(Paramètres!K9),1)="F",INDEX($F$3137:$F$3189,MATCH(Paramètres!J9,Paramètres!$G$5:$G$57,0)),INDEX($E$3137:$E$3189,MATCH(Paramètres!J9,Paramètres!$G$5:$G$57,0)))+IF(RIGHT(TRIM(Paramètres!K9),3)="Fin",1-$H3141,IF(LEFT(TRIM(Paramètres!K9),1)="F",1,0)))),IF(Paramètres!L9="",0,IF(Paramètres!M9="",NA(),IF(LEFT(TRIM(Paramètres!M9),1)="F",INDEX($F$3137:$F$3189,MATCH(Paramètres!L9,Paramètres!$G$5:$G$57,0)),INDEX($E$3137:$E$3189,MATCH(Paramètres!L9,Paramètres!$G$5:$G$57,0)))+IF(RIGHT(TRIM(Paramètres!M9),3)="Fin",1-$H3141,IF(LEFT(TRIM(Paramètres!M9),1)="F",1,0)))),IF(Paramètres!N9="",0,IF(Paramètres!O9="",NA(),IF(LEFT(TRIM(Paramètres!O9),1)="F",INDEX($F$3137:$F$3189,MATCH(Paramètres!N9,Paramètres!$G$5:$G$57,0)),INDEX($E$3137:$E$3189,MATCH(Paramètres!N9,Paramètres!$G$5:$G$57,0)))+IF(RIGHT(TRIM(Paramètres!O9),3)="Fin",1-$H3141,IF(LEFT(TRIM(Paramètres!O9),1)="F",1,0)))))))</f>
        <v/>
      </c>
      <c r="F3141" s="19">
        <f>IF($A3141="","",E3141+$H3141-1)</f>
        <v/>
      </c>
      <c r="G3141" s="18" t="n"/>
      <c r="H3141" s="18">
        <f>IF($A3141="","",IF(I3141&lt;&gt;"",I3141,Paramètres!B9))</f>
        <v/>
      </c>
      <c r="I3141" s="18" t="n"/>
    </row>
    <row r="3142">
      <c r="A3142" s="18">
        <f>IF(ISNUMBER(Dossiers!$D$62),Dossiers!$A$62&amp;" · "&amp;Dossiers!$B$62,"")</f>
        <v/>
      </c>
      <c r="B3142" s="18">
        <f>IF($A3142="","",Paramètres!G10)</f>
        <v/>
      </c>
      <c r="C3142" s="18">
        <f>IF($A3142="","",IF(Paramètres!H10="","",Paramètres!H10))</f>
        <v/>
      </c>
      <c r="D3142" s="18">
        <f>IF($A3142="","",IF(Paramètres!I10="","",Paramètres!I10))</f>
        <v/>
      </c>
      <c r="E3142" s="19">
        <f>IF($A3142="","",MIN(E3143:E3146))</f>
        <v/>
      </c>
      <c r="F3142" s="19">
        <f>IF($A3142="","",MAX(F3143:F3146))</f>
        <v/>
      </c>
      <c r="G3142" s="18" t="n"/>
      <c r="H3142" s="18">
        <f>IF($A3142="","",F3142-E3142+1)</f>
        <v/>
      </c>
      <c r="I3142" s="18" t="n"/>
    </row>
    <row r="3143">
      <c r="A3143" s="18">
        <f>IF(ISNUMBER(Dossiers!$D$62),Dossiers!$A$62&amp;" · "&amp;Dossiers!$B$62,"")</f>
        <v/>
      </c>
      <c r="B3143" s="18">
        <f>IF($A3143="","",Paramètres!G11)</f>
        <v/>
      </c>
      <c r="C3143" s="18">
        <f>IF($A3143="","",IF(Paramètres!H11="","",Paramètres!H11))</f>
        <v/>
      </c>
      <c r="D3143" s="18">
        <f>IF($A3143="","",IF(Paramètres!I11="","",Paramètres!I11))</f>
        <v/>
      </c>
      <c r="E3143" s="19">
        <f>IF($A3143="","",IF(Paramètres!J11&amp;Paramètres!L11&amp;Paramètres!N11="",Dossiers!$D$62,MAX(IF(Paramètres!J11="",0,IF(Paramètres!K11="",NA(),IF(LEFT(TRIM(Paramètres!K11),1)="F",INDEX($F$3137:$F$3189,MATCH(Paramètres!J11,Paramètres!$G$5:$G$57,0)),INDEX($E$3137:$E$3189,MATCH(Paramètres!J11,Paramètres!$G$5:$G$57,0)))+IF(RIGHT(TRIM(Paramètres!K11),3)="Fin",1-$H3143,IF(LEFT(TRIM(Paramètres!K11),1)="F",1,0)))),IF(Paramètres!L11="",0,IF(Paramètres!M11="",NA(),IF(LEFT(TRIM(Paramètres!M11),1)="F",INDEX($F$3137:$F$3189,MATCH(Paramètres!L11,Paramètres!$G$5:$G$57,0)),INDEX($E$3137:$E$3189,MATCH(Paramètres!L11,Paramètres!$G$5:$G$57,0)))+IF(RIGHT(TRIM(Paramètres!M11),3)="Fin",1-$H3143,IF(LEFT(TRIM(Paramètres!M11),1)="F",1,0)))),IF(Paramètres!N11="",0,IF(Paramètres!O11="",NA(),IF(LEFT(TRIM(Paramètres!O11),1)="F",INDEX($F$3137:$F$3189,MATCH(Paramètres!N11,Paramètres!$G$5:$G$57,0)),INDEX($E$3137:$E$3189,MATCH(Paramètres!N11,Paramètres!$G$5:$G$57,0)))+IF(RIGHT(TRIM(Paramètres!O11),3)="Fin",1-$H3143,IF(LEFT(TRIM(Paramètres!O11),1)="F",1,0)))))))</f>
        <v/>
      </c>
      <c r="F3143" s="19">
        <f>IF($A3143="","",E3143+$H3143-1)</f>
        <v/>
      </c>
      <c r="G3143" s="18" t="n"/>
      <c r="H3143" s="18">
        <f>IF($A3143="","",IF(I3143&lt;&gt;"",I3143,Paramètres!B11))</f>
        <v/>
      </c>
      <c r="I3143" s="18" t="n"/>
    </row>
    <row r="3144">
      <c r="A3144" s="18">
        <f>IF(ISNUMBER(Dossiers!$D$62),Dossiers!$A$62&amp;" · "&amp;Dossiers!$B$62,"")</f>
        <v/>
      </c>
      <c r="B3144" s="18">
        <f>IF($A3144="","",Paramètres!G12)</f>
        <v/>
      </c>
      <c r="C3144" s="18">
        <f>IF($A3144="","",IF(Paramètres!H12="","",Paramètres!H12))</f>
        <v/>
      </c>
      <c r="D3144" s="18">
        <f>IF($A3144="","",IF(Paramètres!I12="","",Paramètres!I12))</f>
        <v/>
      </c>
      <c r="E3144" s="19">
        <f>IF($A3144="","",IF(Paramètres!J12&amp;Paramètres!L12&amp;Paramètres!N12="",Dossiers!$D$62,MAX(IF(Paramètres!J12="",0,IF(Paramètres!K12="",NA(),IF(LEFT(TRIM(Paramètres!K12),1)="F",INDEX($F$3137:$F$3189,MATCH(Paramètres!J12,Paramètres!$G$5:$G$57,0)),INDEX($E$3137:$E$3189,MATCH(Paramètres!J12,Paramètres!$G$5:$G$57,0)))+IF(RIGHT(TRIM(Paramètres!K12),3)="Fin",1-$H3144,IF(LEFT(TRIM(Paramètres!K12),1)="F",1,0)))),IF(Paramètres!L12="",0,IF(Paramètres!M12="",NA(),IF(LEFT(TRIM(Paramètres!M12),1)="F",INDEX($F$3137:$F$3189,MATCH(Paramètres!L12,Paramètres!$G$5:$G$57,0)),INDEX($E$3137:$E$3189,MATCH(Paramètres!L12,Paramètres!$G$5:$G$57,0)))+IF(RIGHT(TRIM(Paramètres!M12),3)="Fin",1-$H3144,IF(LEFT(TRIM(Paramètres!M12),1)="F",1,0)))),IF(Paramètres!N12="",0,IF(Paramètres!O12="",NA(),IF(LEFT(TRIM(Paramètres!O12),1)="F",INDEX($F$3137:$F$3189,MATCH(Paramètres!N12,Paramètres!$G$5:$G$57,0)),INDEX($E$3137:$E$3189,MATCH(Paramètres!N12,Paramètres!$G$5:$G$57,0)))+IF(RIGHT(TRIM(Paramètres!O12),3)="Fin",1-$H3144,IF(LEFT(TRIM(Paramètres!O12),1)="F",1,0)))))))</f>
        <v/>
      </c>
      <c r="F3144" s="19">
        <f>IF($A3144="","",E3144+$H3144-1)</f>
        <v/>
      </c>
      <c r="G3144" s="18" t="n"/>
      <c r="H3144" s="18">
        <f>IF($A3144="","",IF(I3144&lt;&gt;"",I3144,Paramètres!B12))</f>
        <v/>
      </c>
      <c r="I3144" s="18" t="n"/>
    </row>
    <row r="3145">
      <c r="A3145" s="18">
        <f>IF(ISNUMBER(Dossiers!$D$62),Dossiers!$A$62&amp;" · "&amp;Dossiers!$B$62,"")</f>
        <v/>
      </c>
      <c r="B3145" s="18">
        <f>IF($A3145="","",Paramètres!G13)</f>
        <v/>
      </c>
      <c r="C3145" s="18">
        <f>IF($A3145="","",IF(Paramètres!H13="","",Paramètres!H13))</f>
        <v/>
      </c>
      <c r="D3145" s="18">
        <f>IF($A3145="","",IF(Paramètres!I13="","",Paramètres!I13))</f>
        <v/>
      </c>
      <c r="E3145" s="19">
        <f>IF($A3145="","",IF(Paramètres!J13&amp;Paramètres!L13&amp;Paramètres!N13="",Dossiers!$D$62,MAX(IF(Paramètres!J13="",0,IF(Paramètres!K13="",NA(),IF(LEFT(TRIM(Paramètres!K13),1)="F",INDEX($F$3137:$F$3189,MATCH(Paramètres!J13,Paramètres!$G$5:$G$57,0)),INDEX($E$3137:$E$3189,MATCH(Paramètres!J13,Paramètres!$G$5:$G$57,0)))+IF(RIGHT(TRIM(Paramètres!K13),3)="Fin",1-$H3145,IF(LEFT(TRIM(Paramètres!K13),1)="F",1,0)))),IF(Paramètres!L13="",0,IF(Paramètres!M13="",NA(),IF(LEFT(TRIM(Paramètres!M13),1)="F",INDEX($F$3137:$F$3189,MATCH(Paramètres!L13,Paramètres!$G$5:$G$57,0)),INDEX($E$3137:$E$3189,MATCH(Paramètres!L13,Paramètres!$G$5:$G$57,0)))+IF(RIGHT(TRIM(Paramètres!M13),3)="Fin",1-$H3145,IF(LEFT(TRIM(Paramètres!M13),1)="F",1,0)))),IF(Paramètres!N13="",0,IF(Paramètres!O13="",NA(),IF(LEFT(TRIM(Paramètres!O13),1)="F",INDEX($F$3137:$F$3189,MATCH(Paramètres!N13,Paramètres!$G$5:$G$57,0)),INDEX($E$3137:$E$3189,MATCH(Paramètres!N13,Paramètres!$G$5:$G$57,0)))+IF(RIGHT(TRIM(Paramètres!O13),3)="Fin",1-$H3145,IF(LEFT(TRIM(Paramètres!O13),1)="F",1,0)))))))</f>
        <v/>
      </c>
      <c r="F3145" s="19">
        <f>IF($A3145="","",E3145+$H3145-1)</f>
        <v/>
      </c>
      <c r="G3145" s="18" t="n"/>
      <c r="H3145" s="18">
        <f>IF($A3145="","",IF(I3145&lt;&gt;"",I3145,Paramètres!B13))</f>
        <v/>
      </c>
      <c r="I3145" s="18" t="n"/>
    </row>
    <row r="3146">
      <c r="A3146" s="18">
        <f>IF(ISNUMBER(Dossiers!$D$62),Dossiers!$A$62&amp;" · "&amp;Dossiers!$B$62,"")</f>
        <v/>
      </c>
      <c r="B3146" s="18">
        <f>IF($A3146="","",Paramètres!G14)</f>
        <v/>
      </c>
      <c r="C3146" s="18">
        <f>IF($A3146="","",IF(Paramètres!H14="","",Paramètres!H14))</f>
        <v/>
      </c>
      <c r="D3146" s="18">
        <f>IF($A3146="","",IF(Paramètres!I14="","",Paramètres!I14))</f>
        <v/>
      </c>
      <c r="E3146" s="19">
        <f>IF($A3146="","",IF(Paramètres!J14&amp;Paramètres!L14&amp;Paramètres!N14="",Dossiers!$D$62,MAX(IF(Paramètres!J14="",0,IF(Paramètres!K14="",NA(),IF(LEFT(TRIM(Paramètres!K14),1)="F",INDEX($F$3137:$F$3189,MATCH(Paramètres!J14,Paramètres!$G$5:$G$57,0)),INDEX($E$3137:$E$3189,MATCH(Paramètres!J14,Paramètres!$G$5:$G$57,0)))+IF(RIGHT(TRIM(Paramètres!K14),3)="Fin",1-$H3146,IF(LEFT(TRIM(Paramètres!K14),1)="F",1,0)))),IF(Paramètres!L14="",0,IF(Paramètres!M14="",NA(),IF(LEFT(TRIM(Paramètres!M14),1)="F",INDEX($F$3137:$F$3189,MATCH(Paramètres!L14,Paramètres!$G$5:$G$57,0)),INDEX($E$3137:$E$3189,MATCH(Paramètres!L14,Paramètres!$G$5:$G$57,0)))+IF(RIGHT(TRIM(Paramètres!M14),3)="Fin",1-$H3146,IF(LEFT(TRIM(Paramètres!M14),1)="F",1,0)))),IF(Paramètres!N14="",0,IF(Paramètres!O14="",NA(),IF(LEFT(TRIM(Paramètres!O14),1)="F",INDEX($F$3137:$F$3189,MATCH(Paramètres!N14,Paramètres!$G$5:$G$57,0)),INDEX($E$3137:$E$3189,MATCH(Paramètres!N14,Paramètres!$G$5:$G$57,0)))+IF(RIGHT(TRIM(Paramètres!O14),3)="Fin",1-$H3146,IF(LEFT(TRIM(Paramètres!O14),1)="F",1,0)))))))</f>
        <v/>
      </c>
      <c r="F3146" s="19">
        <f>IF($A3146="","",E3146+$H3146-1)</f>
        <v/>
      </c>
      <c r="G3146" s="18" t="n"/>
      <c r="H3146" s="18">
        <f>IF($A3146="","",IF(I3146&lt;&gt;"",I3146,Paramètres!B14))</f>
        <v/>
      </c>
      <c r="I3146" s="18" t="n"/>
    </row>
    <row r="3147">
      <c r="A3147" s="18">
        <f>IF(ISNUMBER(Dossiers!$D$62),Dossiers!$A$62&amp;" · "&amp;Dossiers!$B$62,"")</f>
        <v/>
      </c>
      <c r="B3147" s="18">
        <f>IF($A3147="","",Paramètres!G15)</f>
        <v/>
      </c>
      <c r="C3147" s="18">
        <f>IF($A3147="","",IF(Paramètres!H15="","",Paramètres!H15))</f>
        <v/>
      </c>
      <c r="D3147" s="18">
        <f>IF($A3147="","",IF(Paramètres!I15="","",Paramètres!I15))</f>
        <v/>
      </c>
      <c r="E3147" s="19">
        <f>IF($A3147="","",MIN(E3148:E3163))</f>
        <v/>
      </c>
      <c r="F3147" s="19">
        <f>IF($A3147="","",MAX(F3148:F3163))</f>
        <v/>
      </c>
      <c r="G3147" s="18" t="n"/>
      <c r="H3147" s="18">
        <f>IF($A3147="","",F3147-E3147+1)</f>
        <v/>
      </c>
      <c r="I3147" s="18" t="n"/>
    </row>
    <row r="3148">
      <c r="A3148" s="18">
        <f>IF(ISNUMBER(Dossiers!$D$62),Dossiers!$A$62&amp;" · "&amp;Dossiers!$B$62,"")</f>
        <v/>
      </c>
      <c r="B3148" s="18">
        <f>IF($A3148="","",Paramètres!G16)</f>
        <v/>
      </c>
      <c r="C3148" s="18">
        <f>IF($A3148="","",IF(Paramètres!H16="","",Paramètres!H16))</f>
        <v/>
      </c>
      <c r="D3148" s="18">
        <f>IF($A3148="","",IF(Paramètres!I16="","",Paramètres!I16))</f>
        <v/>
      </c>
      <c r="E3148" s="19">
        <f>IF($A3148="","",IF(Paramètres!J16&amp;Paramètres!L16&amp;Paramètres!N16="",Dossiers!$D$62,MAX(IF(Paramètres!J16="",0,IF(Paramètres!K16="",NA(),IF(LEFT(TRIM(Paramètres!K16),1)="F",INDEX($F$3137:$F$3189,MATCH(Paramètres!J16,Paramètres!$G$5:$G$57,0)),INDEX($E$3137:$E$3189,MATCH(Paramètres!J16,Paramètres!$G$5:$G$57,0)))+IF(RIGHT(TRIM(Paramètres!K16),3)="Fin",1-$H3148,IF(LEFT(TRIM(Paramètres!K16),1)="F",1,0)))),IF(Paramètres!L16="",0,IF(Paramètres!M16="",NA(),IF(LEFT(TRIM(Paramètres!M16),1)="F",INDEX($F$3137:$F$3189,MATCH(Paramètres!L16,Paramètres!$G$5:$G$57,0)),INDEX($E$3137:$E$3189,MATCH(Paramètres!L16,Paramètres!$G$5:$G$57,0)))+IF(RIGHT(TRIM(Paramètres!M16),3)="Fin",1-$H3148,IF(LEFT(TRIM(Paramètres!M16),1)="F",1,0)))),IF(Paramètres!N16="",0,IF(Paramètres!O16="",NA(),IF(LEFT(TRIM(Paramètres!O16),1)="F",INDEX($F$3137:$F$3189,MATCH(Paramètres!N16,Paramètres!$G$5:$G$57,0)),INDEX($E$3137:$E$3189,MATCH(Paramètres!N16,Paramètres!$G$5:$G$57,0)))+IF(RIGHT(TRIM(Paramètres!O16),3)="Fin",1-$H3148,IF(LEFT(TRIM(Paramètres!O16),1)="F",1,0)))))))</f>
        <v/>
      </c>
      <c r="F3148" s="19">
        <f>IF($A3148="","",E3148+$H3148-1)</f>
        <v/>
      </c>
      <c r="G3148" s="18" t="n"/>
      <c r="H3148" s="18">
        <f>IF($A3148="","",IF(I3148&lt;&gt;"",I3148,Paramètres!B16))</f>
        <v/>
      </c>
      <c r="I3148" s="18" t="n"/>
    </row>
    <row r="3149">
      <c r="A3149" s="18">
        <f>IF(ISNUMBER(Dossiers!$D$62),Dossiers!$A$62&amp;" · "&amp;Dossiers!$B$62,"")</f>
        <v/>
      </c>
      <c r="B3149" s="18">
        <f>IF($A3149="","",Paramètres!G17)</f>
        <v/>
      </c>
      <c r="C3149" s="18">
        <f>IF($A3149="","",IF(Paramètres!H17="","",Paramètres!H17))</f>
        <v/>
      </c>
      <c r="D3149" s="18">
        <f>IF($A3149="","",IF(Paramètres!I17="","",Paramètres!I17))</f>
        <v/>
      </c>
      <c r="E3149" s="19">
        <f>IF($A3149="","",IF(Paramètres!J17&amp;Paramètres!L17&amp;Paramètres!N17="",Dossiers!$D$62,MAX(IF(Paramètres!J17="",0,IF(Paramètres!K17="",NA(),IF(LEFT(TRIM(Paramètres!K17),1)="F",INDEX($F$3137:$F$3189,MATCH(Paramètres!J17,Paramètres!$G$5:$G$57,0)),INDEX($E$3137:$E$3189,MATCH(Paramètres!J17,Paramètres!$G$5:$G$57,0)))+IF(RIGHT(TRIM(Paramètres!K17),3)="Fin",1-$H3149,IF(LEFT(TRIM(Paramètres!K17),1)="F",1,0)))),IF(Paramètres!L17="",0,IF(Paramètres!M17="",NA(),IF(LEFT(TRIM(Paramètres!M17),1)="F",INDEX($F$3137:$F$3189,MATCH(Paramètres!L17,Paramètres!$G$5:$G$57,0)),INDEX($E$3137:$E$3189,MATCH(Paramètres!L17,Paramètres!$G$5:$G$57,0)))+IF(RIGHT(TRIM(Paramètres!M17),3)="Fin",1-$H3149,IF(LEFT(TRIM(Paramètres!M17),1)="F",1,0)))),IF(Paramètres!N17="",0,IF(Paramètres!O17="",NA(),IF(LEFT(TRIM(Paramètres!O17),1)="F",INDEX($F$3137:$F$3189,MATCH(Paramètres!N17,Paramètres!$G$5:$G$57,0)),INDEX($E$3137:$E$3189,MATCH(Paramètres!N17,Paramètres!$G$5:$G$57,0)))+IF(RIGHT(TRIM(Paramètres!O17),3)="Fin",1-$H3149,IF(LEFT(TRIM(Paramètres!O17),1)="F",1,0)))))))</f>
        <v/>
      </c>
      <c r="F3149" s="19">
        <f>IF($A3149="","",E3149+$H3149-1)</f>
        <v/>
      </c>
      <c r="G3149" s="18" t="n"/>
      <c r="H3149" s="18">
        <f>IF($A3149="","",IF(I3149&lt;&gt;"",I3149,Paramètres!B17))</f>
        <v/>
      </c>
      <c r="I3149" s="18" t="n"/>
    </row>
    <row r="3150">
      <c r="A3150" s="18">
        <f>IF(ISNUMBER(Dossiers!$D$62),Dossiers!$A$62&amp;" · "&amp;Dossiers!$B$62,"")</f>
        <v/>
      </c>
      <c r="B3150" s="18">
        <f>IF($A3150="","",Paramètres!G18)</f>
        <v/>
      </c>
      <c r="C3150" s="18">
        <f>IF($A3150="","",IF(Paramètres!H18="","",Paramètres!H18))</f>
        <v/>
      </c>
      <c r="D3150" s="18">
        <f>IF($A3150="","",IF(Paramètres!I18="","",Paramètres!I18))</f>
        <v/>
      </c>
      <c r="E3150" s="19">
        <f>IF($A3150="","",IF(Paramètres!J18&amp;Paramètres!L18&amp;Paramètres!N18="",Dossiers!$D$62,MAX(IF(Paramètres!J18="",0,IF(Paramètres!K18="",NA(),IF(LEFT(TRIM(Paramètres!K18),1)="F",INDEX($F$3137:$F$3189,MATCH(Paramètres!J18,Paramètres!$G$5:$G$57,0)),INDEX($E$3137:$E$3189,MATCH(Paramètres!J18,Paramètres!$G$5:$G$57,0)))+IF(RIGHT(TRIM(Paramètres!K18),3)="Fin",1-$H3150,IF(LEFT(TRIM(Paramètres!K18),1)="F",1,0)))),IF(Paramètres!L18="",0,IF(Paramètres!M18="",NA(),IF(LEFT(TRIM(Paramètres!M18),1)="F",INDEX($F$3137:$F$3189,MATCH(Paramètres!L18,Paramètres!$G$5:$G$57,0)),INDEX($E$3137:$E$3189,MATCH(Paramètres!L18,Paramètres!$G$5:$G$57,0)))+IF(RIGHT(TRIM(Paramètres!M18),3)="Fin",1-$H3150,IF(LEFT(TRIM(Paramètres!M18),1)="F",1,0)))),IF(Paramètres!N18="",0,IF(Paramètres!O18="",NA(),IF(LEFT(TRIM(Paramètres!O18),1)="F",INDEX($F$3137:$F$3189,MATCH(Paramètres!N18,Paramètres!$G$5:$G$57,0)),INDEX($E$3137:$E$3189,MATCH(Paramètres!N18,Paramètres!$G$5:$G$57,0)))+IF(RIGHT(TRIM(Paramètres!O18),3)="Fin",1-$H3150,IF(LEFT(TRIM(Paramètres!O18),1)="F",1,0)))))))</f>
        <v/>
      </c>
      <c r="F3150" s="19">
        <f>IF($A3150="","",E3150+$H3150-1)</f>
        <v/>
      </c>
      <c r="G3150" s="18" t="n"/>
      <c r="H3150" s="18">
        <f>IF($A3150="","",IF(I3150&lt;&gt;"",I3150,Paramètres!B18))</f>
        <v/>
      </c>
      <c r="I3150" s="18" t="n"/>
    </row>
    <row r="3151">
      <c r="A3151" s="18">
        <f>IF(ISNUMBER(Dossiers!$D$62),Dossiers!$A$62&amp;" · "&amp;Dossiers!$B$62,"")</f>
        <v/>
      </c>
      <c r="B3151" s="18">
        <f>IF($A3151="","",Paramètres!G19)</f>
        <v/>
      </c>
      <c r="C3151" s="18">
        <f>IF($A3151="","",IF(Paramètres!H19="","",Paramètres!H19))</f>
        <v/>
      </c>
      <c r="D3151" s="18">
        <f>IF($A3151="","",IF(Paramètres!I19="","",Paramètres!I19))</f>
        <v/>
      </c>
      <c r="E3151" s="19">
        <f>IF($A3151="","",IF(Paramètres!J19&amp;Paramètres!L19&amp;Paramètres!N19="",Dossiers!$D$62,MAX(IF(Paramètres!J19="",0,IF(Paramètres!K19="",NA(),IF(LEFT(TRIM(Paramètres!K19),1)="F",INDEX($F$3137:$F$3189,MATCH(Paramètres!J19,Paramètres!$G$5:$G$57,0)),INDEX($E$3137:$E$3189,MATCH(Paramètres!J19,Paramètres!$G$5:$G$57,0)))+IF(RIGHT(TRIM(Paramètres!K19),3)="Fin",1-$H3151,IF(LEFT(TRIM(Paramètres!K19),1)="F",1,0)))),IF(Paramètres!L19="",0,IF(Paramètres!M19="",NA(),IF(LEFT(TRIM(Paramètres!M19),1)="F",INDEX($F$3137:$F$3189,MATCH(Paramètres!L19,Paramètres!$G$5:$G$57,0)),INDEX($E$3137:$E$3189,MATCH(Paramètres!L19,Paramètres!$G$5:$G$57,0)))+IF(RIGHT(TRIM(Paramètres!M19),3)="Fin",1-$H3151,IF(LEFT(TRIM(Paramètres!M19),1)="F",1,0)))),IF(Paramètres!N19="",0,IF(Paramètres!O19="",NA(),IF(LEFT(TRIM(Paramètres!O19),1)="F",INDEX($F$3137:$F$3189,MATCH(Paramètres!N19,Paramètres!$G$5:$G$57,0)),INDEX($E$3137:$E$3189,MATCH(Paramètres!N19,Paramètres!$G$5:$G$57,0)))+IF(RIGHT(TRIM(Paramètres!O19),3)="Fin",1-$H3151,IF(LEFT(TRIM(Paramètres!O19),1)="F",1,0)))))))</f>
        <v/>
      </c>
      <c r="F3151" s="19">
        <f>IF($A3151="","",E3151+$H3151-1)</f>
        <v/>
      </c>
      <c r="G3151" s="18" t="n"/>
      <c r="H3151" s="18">
        <f>IF($A3151="","",IF(I3151&lt;&gt;"",I3151,Paramètres!B19))</f>
        <v/>
      </c>
      <c r="I3151" s="18" t="n"/>
    </row>
    <row r="3152">
      <c r="A3152" s="18">
        <f>IF(ISNUMBER(Dossiers!$D$62),Dossiers!$A$62&amp;" · "&amp;Dossiers!$B$62,"")</f>
        <v/>
      </c>
      <c r="B3152" s="18">
        <f>IF($A3152="","",Paramètres!G20)</f>
        <v/>
      </c>
      <c r="C3152" s="18">
        <f>IF($A3152="","",IF(Paramètres!H20="","",Paramètres!H20))</f>
        <v/>
      </c>
      <c r="D3152" s="18">
        <f>IF($A3152="","",IF(Paramètres!I20="","",Paramètres!I20))</f>
        <v/>
      </c>
      <c r="E3152" s="19">
        <f>IF($A3152="","",IF(Paramètres!J20&amp;Paramètres!L20&amp;Paramètres!N20="",Dossiers!$D$62,MAX(IF(Paramètres!J20="",0,IF(Paramètres!K20="",NA(),IF(LEFT(TRIM(Paramètres!K20),1)="F",INDEX($F$3137:$F$3189,MATCH(Paramètres!J20,Paramètres!$G$5:$G$57,0)),INDEX($E$3137:$E$3189,MATCH(Paramètres!J20,Paramètres!$G$5:$G$57,0)))+IF(RIGHT(TRIM(Paramètres!K20),3)="Fin",1-$H3152,IF(LEFT(TRIM(Paramètres!K20),1)="F",1,0)))),IF(Paramètres!L20="",0,IF(Paramètres!M20="",NA(),IF(LEFT(TRIM(Paramètres!M20),1)="F",INDEX($F$3137:$F$3189,MATCH(Paramètres!L20,Paramètres!$G$5:$G$57,0)),INDEX($E$3137:$E$3189,MATCH(Paramètres!L20,Paramètres!$G$5:$G$57,0)))+IF(RIGHT(TRIM(Paramètres!M20),3)="Fin",1-$H3152,IF(LEFT(TRIM(Paramètres!M20),1)="F",1,0)))),IF(Paramètres!N20="",0,IF(Paramètres!O20="",NA(),IF(LEFT(TRIM(Paramètres!O20),1)="F",INDEX($F$3137:$F$3189,MATCH(Paramètres!N20,Paramètres!$G$5:$G$57,0)),INDEX($E$3137:$E$3189,MATCH(Paramètres!N20,Paramètres!$G$5:$G$57,0)))+IF(RIGHT(TRIM(Paramètres!O20),3)="Fin",1-$H3152,IF(LEFT(TRIM(Paramètres!O20),1)="F",1,0)))))))</f>
        <v/>
      </c>
      <c r="F3152" s="19">
        <f>IF($A3152="","",E3152+$H3152-1)</f>
        <v/>
      </c>
      <c r="G3152" s="18" t="n"/>
      <c r="H3152" s="18">
        <f>IF($A3152="","",IF(I3152&lt;&gt;"",I3152,Paramètres!B20))</f>
        <v/>
      </c>
      <c r="I3152" s="18" t="n"/>
    </row>
    <row r="3153">
      <c r="A3153" s="18">
        <f>IF(ISNUMBER(Dossiers!$D$62),Dossiers!$A$62&amp;" · "&amp;Dossiers!$B$62,"")</f>
        <v/>
      </c>
      <c r="B3153" s="18">
        <f>IF($A3153="","",Paramètres!G21)</f>
        <v/>
      </c>
      <c r="C3153" s="18">
        <f>IF($A3153="","",IF(Paramètres!H21="","",Paramètres!H21))</f>
        <v/>
      </c>
      <c r="D3153" s="18">
        <f>IF($A3153="","",IF(Paramètres!I21="","",Paramètres!I21))</f>
        <v/>
      </c>
      <c r="E3153" s="19">
        <f>IF($A3153="","",IF(Paramètres!J21&amp;Paramètres!L21&amp;Paramètres!N21="",Dossiers!$D$62,MAX(IF(Paramètres!J21="",0,IF(Paramètres!K21="",NA(),IF(LEFT(TRIM(Paramètres!K21),1)="F",INDEX($F$3137:$F$3189,MATCH(Paramètres!J21,Paramètres!$G$5:$G$57,0)),INDEX($E$3137:$E$3189,MATCH(Paramètres!J21,Paramètres!$G$5:$G$57,0)))+IF(RIGHT(TRIM(Paramètres!K21),3)="Fin",1-$H3153,IF(LEFT(TRIM(Paramètres!K21),1)="F",1,0)))),IF(Paramètres!L21="",0,IF(Paramètres!M21="",NA(),IF(LEFT(TRIM(Paramètres!M21),1)="F",INDEX($F$3137:$F$3189,MATCH(Paramètres!L21,Paramètres!$G$5:$G$57,0)),INDEX($E$3137:$E$3189,MATCH(Paramètres!L21,Paramètres!$G$5:$G$57,0)))+IF(RIGHT(TRIM(Paramètres!M21),3)="Fin",1-$H3153,IF(LEFT(TRIM(Paramètres!M21),1)="F",1,0)))),IF(Paramètres!N21="",0,IF(Paramètres!O21="",NA(),IF(LEFT(TRIM(Paramètres!O21),1)="F",INDEX($F$3137:$F$3189,MATCH(Paramètres!N21,Paramètres!$G$5:$G$57,0)),INDEX($E$3137:$E$3189,MATCH(Paramètres!N21,Paramètres!$G$5:$G$57,0)))+IF(RIGHT(TRIM(Paramètres!O21),3)="Fin",1-$H3153,IF(LEFT(TRIM(Paramètres!O21),1)="F",1,0)))))))</f>
        <v/>
      </c>
      <c r="F3153" s="19">
        <f>IF($A3153="","",E3153+$H3153-1)</f>
        <v/>
      </c>
      <c r="G3153" s="18" t="n"/>
      <c r="H3153" s="18">
        <f>IF($A3153="","",IF(I3153&lt;&gt;"",I3153,Paramètres!B21))</f>
        <v/>
      </c>
      <c r="I3153" s="18" t="n"/>
    </row>
    <row r="3154">
      <c r="A3154" s="18">
        <f>IF(ISNUMBER(Dossiers!$D$62),Dossiers!$A$62&amp;" · "&amp;Dossiers!$B$62,"")</f>
        <v/>
      </c>
      <c r="B3154" s="18">
        <f>IF($A3154="","",Paramètres!G22)</f>
        <v/>
      </c>
      <c r="C3154" s="18">
        <f>IF($A3154="","",IF(Paramètres!H22="","",Paramètres!H22))</f>
        <v/>
      </c>
      <c r="D3154" s="18">
        <f>IF($A3154="","",IF(Paramètres!I22="","",Paramètres!I22))</f>
        <v/>
      </c>
      <c r="E3154" s="19">
        <f>IF($A3154="","",IF(Paramètres!J22&amp;Paramètres!L22&amp;Paramètres!N22="",Dossiers!$D$62,MAX(IF(Paramètres!J22="",0,IF(Paramètres!K22="",NA(),IF(LEFT(TRIM(Paramètres!K22),1)="F",INDEX($F$3137:$F$3189,MATCH(Paramètres!J22,Paramètres!$G$5:$G$57,0)),INDEX($E$3137:$E$3189,MATCH(Paramètres!J22,Paramètres!$G$5:$G$57,0)))+IF(RIGHT(TRIM(Paramètres!K22),3)="Fin",1-$H3154,IF(LEFT(TRIM(Paramètres!K22),1)="F",1,0)))),IF(Paramètres!L22="",0,IF(Paramètres!M22="",NA(),IF(LEFT(TRIM(Paramètres!M22),1)="F",INDEX($F$3137:$F$3189,MATCH(Paramètres!L22,Paramètres!$G$5:$G$57,0)),INDEX($E$3137:$E$3189,MATCH(Paramètres!L22,Paramètres!$G$5:$G$57,0)))+IF(RIGHT(TRIM(Paramètres!M22),3)="Fin",1-$H3154,IF(LEFT(TRIM(Paramètres!M22),1)="F",1,0)))),IF(Paramètres!N22="",0,IF(Paramètres!O22="",NA(),IF(LEFT(TRIM(Paramètres!O22),1)="F",INDEX($F$3137:$F$3189,MATCH(Paramètres!N22,Paramètres!$G$5:$G$57,0)),INDEX($E$3137:$E$3189,MATCH(Paramètres!N22,Paramètres!$G$5:$G$57,0)))+IF(RIGHT(TRIM(Paramètres!O22),3)="Fin",1-$H3154,IF(LEFT(TRIM(Paramètres!O22),1)="F",1,0)))))))</f>
        <v/>
      </c>
      <c r="F3154" s="19">
        <f>IF($A3154="","",E3154+$H3154-1)</f>
        <v/>
      </c>
      <c r="G3154" s="18" t="n"/>
      <c r="H3154" s="18">
        <f>IF($A3154="","",IF(I3154&lt;&gt;"",I3154,Paramètres!B22))</f>
        <v/>
      </c>
      <c r="I3154" s="18" t="n"/>
    </row>
    <row r="3155">
      <c r="A3155" s="18">
        <f>IF(ISNUMBER(Dossiers!$D$62),Dossiers!$A$62&amp;" · "&amp;Dossiers!$B$62,"")</f>
        <v/>
      </c>
      <c r="B3155" s="18">
        <f>IF($A3155="","",Paramètres!G23)</f>
        <v/>
      </c>
      <c r="C3155" s="18">
        <f>IF($A3155="","",IF(Paramètres!H23="","",Paramètres!H23))</f>
        <v/>
      </c>
      <c r="D3155" s="18">
        <f>IF($A3155="","",IF(Paramètres!I23="","",Paramètres!I23))</f>
        <v/>
      </c>
      <c r="E3155" s="19">
        <f>IF($A3155="","",IF(Paramètres!J23&amp;Paramètres!L23&amp;Paramètres!N23="",Dossiers!$D$62,MAX(IF(Paramètres!J23="",0,IF(Paramètres!K23="",NA(),IF(LEFT(TRIM(Paramètres!K23),1)="F",INDEX($F$3137:$F$3189,MATCH(Paramètres!J23,Paramètres!$G$5:$G$57,0)),INDEX($E$3137:$E$3189,MATCH(Paramètres!J23,Paramètres!$G$5:$G$57,0)))+IF(RIGHT(TRIM(Paramètres!K23),3)="Fin",1-$H3155,IF(LEFT(TRIM(Paramètres!K23),1)="F",1,0)))),IF(Paramètres!L23="",0,IF(Paramètres!M23="",NA(),IF(LEFT(TRIM(Paramètres!M23),1)="F",INDEX($F$3137:$F$3189,MATCH(Paramètres!L23,Paramètres!$G$5:$G$57,0)),INDEX($E$3137:$E$3189,MATCH(Paramètres!L23,Paramètres!$G$5:$G$57,0)))+IF(RIGHT(TRIM(Paramètres!M23),3)="Fin",1-$H3155,IF(LEFT(TRIM(Paramètres!M23),1)="F",1,0)))),IF(Paramètres!N23="",0,IF(Paramètres!O23="",NA(),IF(LEFT(TRIM(Paramètres!O23),1)="F",INDEX($F$3137:$F$3189,MATCH(Paramètres!N23,Paramètres!$G$5:$G$57,0)),INDEX($E$3137:$E$3189,MATCH(Paramètres!N23,Paramètres!$G$5:$G$57,0)))+IF(RIGHT(TRIM(Paramètres!O23),3)="Fin",1-$H3155,IF(LEFT(TRIM(Paramètres!O23),1)="F",1,0)))))))</f>
        <v/>
      </c>
      <c r="F3155" s="19">
        <f>IF($A3155="","",E3155+$H3155-1)</f>
        <v/>
      </c>
      <c r="G3155" s="18" t="n"/>
      <c r="H3155" s="18">
        <f>IF($A3155="","",IF(I3155&lt;&gt;"",I3155,Paramètres!B23))</f>
        <v/>
      </c>
      <c r="I3155" s="18" t="n"/>
    </row>
    <row r="3156">
      <c r="A3156" s="18">
        <f>IF(ISNUMBER(Dossiers!$D$62),Dossiers!$A$62&amp;" · "&amp;Dossiers!$B$62,"")</f>
        <v/>
      </c>
      <c r="B3156" s="18">
        <f>IF($A3156="","",Paramètres!G24)</f>
        <v/>
      </c>
      <c r="C3156" s="18">
        <f>IF($A3156="","",IF(Paramètres!H24="","",Paramètres!H24))</f>
        <v/>
      </c>
      <c r="D3156" s="18">
        <f>IF($A3156="","",IF(Paramètres!I24="","",Paramètres!I24))</f>
        <v/>
      </c>
      <c r="E3156" s="19">
        <f>IF($A3156="","",IF(Paramètres!J24&amp;Paramètres!L24&amp;Paramètres!N24="",Dossiers!$D$62,MAX(IF(Paramètres!J24="",0,IF(Paramètres!K24="",NA(),IF(LEFT(TRIM(Paramètres!K24),1)="F",INDEX($F$3137:$F$3189,MATCH(Paramètres!J24,Paramètres!$G$5:$G$57,0)),INDEX($E$3137:$E$3189,MATCH(Paramètres!J24,Paramètres!$G$5:$G$57,0)))+IF(RIGHT(TRIM(Paramètres!K24),3)="Fin",1-$H3156,IF(LEFT(TRIM(Paramètres!K24),1)="F",1,0)))),IF(Paramètres!L24="",0,IF(Paramètres!M24="",NA(),IF(LEFT(TRIM(Paramètres!M24),1)="F",INDEX($F$3137:$F$3189,MATCH(Paramètres!L24,Paramètres!$G$5:$G$57,0)),INDEX($E$3137:$E$3189,MATCH(Paramètres!L24,Paramètres!$G$5:$G$57,0)))+IF(RIGHT(TRIM(Paramètres!M24),3)="Fin",1-$H3156,IF(LEFT(TRIM(Paramètres!M24),1)="F",1,0)))),IF(Paramètres!N24="",0,IF(Paramètres!O24="",NA(),IF(LEFT(TRIM(Paramètres!O24),1)="F",INDEX($F$3137:$F$3189,MATCH(Paramètres!N24,Paramètres!$G$5:$G$57,0)),INDEX($E$3137:$E$3189,MATCH(Paramètres!N24,Paramètres!$G$5:$G$57,0)))+IF(RIGHT(TRIM(Paramètres!O24),3)="Fin",1-$H3156,IF(LEFT(TRIM(Paramètres!O24),1)="F",1,0)))))))</f>
        <v/>
      </c>
      <c r="F3156" s="19">
        <f>IF($A3156="","",E3156+$H3156-1)</f>
        <v/>
      </c>
      <c r="G3156" s="18" t="n"/>
      <c r="H3156" s="18">
        <f>IF($A3156="","",IF(I3156&lt;&gt;"",I3156,Paramètres!B24))</f>
        <v/>
      </c>
      <c r="I3156" s="18" t="n"/>
    </row>
    <row r="3157">
      <c r="A3157" s="18">
        <f>IF(ISNUMBER(Dossiers!$D$62),Dossiers!$A$62&amp;" · "&amp;Dossiers!$B$62,"")</f>
        <v/>
      </c>
      <c r="B3157" s="18">
        <f>IF($A3157="","",Paramètres!G25)</f>
        <v/>
      </c>
      <c r="C3157" s="18">
        <f>IF($A3157="","",IF(Paramètres!H25="","",Paramètres!H25))</f>
        <v/>
      </c>
      <c r="D3157" s="18">
        <f>IF($A3157="","",IF(Paramètres!I25="","",Paramètres!I25))</f>
        <v/>
      </c>
      <c r="E3157" s="19">
        <f>IF($A3157="","",IF(Paramètres!J25&amp;Paramètres!L25&amp;Paramètres!N25="",Dossiers!$D$62,MAX(IF(Paramètres!J25="",0,IF(Paramètres!K25="",NA(),IF(LEFT(TRIM(Paramètres!K25),1)="F",INDEX($F$3137:$F$3189,MATCH(Paramètres!J25,Paramètres!$G$5:$G$57,0)),INDEX($E$3137:$E$3189,MATCH(Paramètres!J25,Paramètres!$G$5:$G$57,0)))+IF(RIGHT(TRIM(Paramètres!K25),3)="Fin",1-$H3157,IF(LEFT(TRIM(Paramètres!K25),1)="F",1,0)))),IF(Paramètres!L25="",0,IF(Paramètres!M25="",NA(),IF(LEFT(TRIM(Paramètres!M25),1)="F",INDEX($F$3137:$F$3189,MATCH(Paramètres!L25,Paramètres!$G$5:$G$57,0)),INDEX($E$3137:$E$3189,MATCH(Paramètres!L25,Paramètres!$G$5:$G$57,0)))+IF(RIGHT(TRIM(Paramètres!M25),3)="Fin",1-$H3157,IF(LEFT(TRIM(Paramètres!M25),1)="F",1,0)))),IF(Paramètres!N25="",0,IF(Paramètres!O25="",NA(),IF(LEFT(TRIM(Paramètres!O25),1)="F",INDEX($F$3137:$F$3189,MATCH(Paramètres!N25,Paramètres!$G$5:$G$57,0)),INDEX($E$3137:$E$3189,MATCH(Paramètres!N25,Paramètres!$G$5:$G$57,0)))+IF(RIGHT(TRIM(Paramètres!O25),3)="Fin",1-$H3157,IF(LEFT(TRIM(Paramètres!O25),1)="F",1,0)))))))</f>
        <v/>
      </c>
      <c r="F3157" s="19">
        <f>IF($A3157="","",E3157+$H3157-1)</f>
        <v/>
      </c>
      <c r="G3157" s="18" t="n"/>
      <c r="H3157" s="18">
        <f>IF($A3157="","",IF(I3157&lt;&gt;"",I3157,Paramètres!B25))</f>
        <v/>
      </c>
      <c r="I3157" s="18" t="n"/>
    </row>
    <row r="3158">
      <c r="A3158" s="18">
        <f>IF(ISNUMBER(Dossiers!$D$62),Dossiers!$A$62&amp;" · "&amp;Dossiers!$B$62,"")</f>
        <v/>
      </c>
      <c r="B3158" s="18">
        <f>IF($A3158="","",Paramètres!G26)</f>
        <v/>
      </c>
      <c r="C3158" s="18">
        <f>IF($A3158="","",IF(Paramètres!H26="","",Paramètres!H26))</f>
        <v/>
      </c>
      <c r="D3158" s="18">
        <f>IF($A3158="","",IF(Paramètres!I26="","",Paramètres!I26))</f>
        <v/>
      </c>
      <c r="E3158" s="19">
        <f>IF($A3158="","",IF(Paramètres!J26&amp;Paramètres!L26&amp;Paramètres!N26="",Dossiers!$D$62,MAX(IF(Paramètres!J26="",0,IF(Paramètres!K26="",NA(),IF(LEFT(TRIM(Paramètres!K26),1)="F",INDEX($F$3137:$F$3189,MATCH(Paramètres!J26,Paramètres!$G$5:$G$57,0)),INDEX($E$3137:$E$3189,MATCH(Paramètres!J26,Paramètres!$G$5:$G$57,0)))+IF(RIGHT(TRIM(Paramètres!K26),3)="Fin",1-$H3158,IF(LEFT(TRIM(Paramètres!K26),1)="F",1,0)))),IF(Paramètres!L26="",0,IF(Paramètres!M26="",NA(),IF(LEFT(TRIM(Paramètres!M26),1)="F",INDEX($F$3137:$F$3189,MATCH(Paramètres!L26,Paramètres!$G$5:$G$57,0)),INDEX($E$3137:$E$3189,MATCH(Paramètres!L26,Paramètres!$G$5:$G$57,0)))+IF(RIGHT(TRIM(Paramètres!M26),3)="Fin",1-$H3158,IF(LEFT(TRIM(Paramètres!M26),1)="F",1,0)))),IF(Paramètres!N26="",0,IF(Paramètres!O26="",NA(),IF(LEFT(TRIM(Paramètres!O26),1)="F",INDEX($F$3137:$F$3189,MATCH(Paramètres!N26,Paramètres!$G$5:$G$57,0)),INDEX($E$3137:$E$3189,MATCH(Paramètres!N26,Paramètres!$G$5:$G$57,0)))+IF(RIGHT(TRIM(Paramètres!O26),3)="Fin",1-$H3158,IF(LEFT(TRIM(Paramètres!O26),1)="F",1,0)))))))</f>
        <v/>
      </c>
      <c r="F3158" s="19">
        <f>IF($A3158="","",E3158+$H3158-1)</f>
        <v/>
      </c>
      <c r="G3158" s="18" t="n"/>
      <c r="H3158" s="18">
        <f>IF($A3158="","",IF(I3158&lt;&gt;"",I3158,Paramètres!B26))</f>
        <v/>
      </c>
      <c r="I3158" s="18" t="n"/>
    </row>
    <row r="3159">
      <c r="A3159" s="18">
        <f>IF(ISNUMBER(Dossiers!$D$62),Dossiers!$A$62&amp;" · "&amp;Dossiers!$B$62,"")</f>
        <v/>
      </c>
      <c r="B3159" s="18">
        <f>IF($A3159="","",Paramètres!G27)</f>
        <v/>
      </c>
      <c r="C3159" s="18">
        <f>IF($A3159="","",IF(Paramètres!H27="","",Paramètres!H27))</f>
        <v/>
      </c>
      <c r="D3159" s="18">
        <f>IF($A3159="","",IF(Paramètres!I27="","",Paramètres!I27))</f>
        <v/>
      </c>
      <c r="E3159" s="19">
        <f>IF($A3159="","",IF(Paramètres!J27&amp;Paramètres!L27&amp;Paramètres!N27="",Dossiers!$D$62,MAX(IF(Paramètres!J27="",0,IF(Paramètres!K27="",NA(),IF(LEFT(TRIM(Paramètres!K27),1)="F",INDEX($F$3137:$F$3189,MATCH(Paramètres!J27,Paramètres!$G$5:$G$57,0)),INDEX($E$3137:$E$3189,MATCH(Paramètres!J27,Paramètres!$G$5:$G$57,0)))+IF(RIGHT(TRIM(Paramètres!K27),3)="Fin",1-$H3159,IF(LEFT(TRIM(Paramètres!K27),1)="F",1,0)))),IF(Paramètres!L27="",0,IF(Paramètres!M27="",NA(),IF(LEFT(TRIM(Paramètres!M27),1)="F",INDEX($F$3137:$F$3189,MATCH(Paramètres!L27,Paramètres!$G$5:$G$57,0)),INDEX($E$3137:$E$3189,MATCH(Paramètres!L27,Paramètres!$G$5:$G$57,0)))+IF(RIGHT(TRIM(Paramètres!M27),3)="Fin",1-$H3159,IF(LEFT(TRIM(Paramètres!M27),1)="F",1,0)))),IF(Paramètres!N27="",0,IF(Paramètres!O27="",NA(),IF(LEFT(TRIM(Paramètres!O27),1)="F",INDEX($F$3137:$F$3189,MATCH(Paramètres!N27,Paramètres!$G$5:$G$57,0)),INDEX($E$3137:$E$3189,MATCH(Paramètres!N27,Paramètres!$G$5:$G$57,0)))+IF(RIGHT(TRIM(Paramètres!O27),3)="Fin",1-$H3159,IF(LEFT(TRIM(Paramètres!O27),1)="F",1,0)))))))</f>
        <v/>
      </c>
      <c r="F3159" s="19">
        <f>IF($A3159="","",E3159+$H3159-1)</f>
        <v/>
      </c>
      <c r="G3159" s="18" t="n"/>
      <c r="H3159" s="18">
        <f>IF($A3159="","",IF(I3159&lt;&gt;"",I3159,Paramètres!B27))</f>
        <v/>
      </c>
      <c r="I3159" s="18" t="n"/>
    </row>
    <row r="3160">
      <c r="A3160" s="18">
        <f>IF(ISNUMBER(Dossiers!$D$62),Dossiers!$A$62&amp;" · "&amp;Dossiers!$B$62,"")</f>
        <v/>
      </c>
      <c r="B3160" s="18">
        <f>IF($A3160="","",Paramètres!G28)</f>
        <v/>
      </c>
      <c r="C3160" s="18">
        <f>IF($A3160="","",IF(Paramètres!H28="","",Paramètres!H28))</f>
        <v/>
      </c>
      <c r="D3160" s="18">
        <f>IF($A3160="","",IF(Paramètres!I28="","",Paramètres!I28))</f>
        <v/>
      </c>
      <c r="E3160" s="19">
        <f>IF($A3160="","",IF(Paramètres!J28&amp;Paramètres!L28&amp;Paramètres!N28="",Dossiers!$D$62,MAX(IF(Paramètres!J28="",0,IF(Paramètres!K28="",NA(),IF(LEFT(TRIM(Paramètres!K28),1)="F",INDEX($F$3137:$F$3189,MATCH(Paramètres!J28,Paramètres!$G$5:$G$57,0)),INDEX($E$3137:$E$3189,MATCH(Paramètres!J28,Paramètres!$G$5:$G$57,0)))+IF(RIGHT(TRIM(Paramètres!K28),3)="Fin",1-$H3160,IF(LEFT(TRIM(Paramètres!K28),1)="F",1,0)))),IF(Paramètres!L28="",0,IF(Paramètres!M28="",NA(),IF(LEFT(TRIM(Paramètres!M28),1)="F",INDEX($F$3137:$F$3189,MATCH(Paramètres!L28,Paramètres!$G$5:$G$57,0)),INDEX($E$3137:$E$3189,MATCH(Paramètres!L28,Paramètres!$G$5:$G$57,0)))+IF(RIGHT(TRIM(Paramètres!M28),3)="Fin",1-$H3160,IF(LEFT(TRIM(Paramètres!M28),1)="F",1,0)))),IF(Paramètres!N28="",0,IF(Paramètres!O28="",NA(),IF(LEFT(TRIM(Paramètres!O28),1)="F",INDEX($F$3137:$F$3189,MATCH(Paramètres!N28,Paramètres!$G$5:$G$57,0)),INDEX($E$3137:$E$3189,MATCH(Paramètres!N28,Paramètres!$G$5:$G$57,0)))+IF(RIGHT(TRIM(Paramètres!O28),3)="Fin",1-$H3160,IF(LEFT(TRIM(Paramètres!O28),1)="F",1,0)))))))</f>
        <v/>
      </c>
      <c r="F3160" s="19">
        <f>IF($A3160="","",E3160+$H3160-1)</f>
        <v/>
      </c>
      <c r="G3160" s="18" t="n"/>
      <c r="H3160" s="18">
        <f>IF($A3160="","",IF(I3160&lt;&gt;"",I3160,Paramètres!B28))</f>
        <v/>
      </c>
      <c r="I3160" s="18" t="n"/>
    </row>
    <row r="3161">
      <c r="A3161" s="18">
        <f>IF(ISNUMBER(Dossiers!$D$62),Dossiers!$A$62&amp;" · "&amp;Dossiers!$B$62,"")</f>
        <v/>
      </c>
      <c r="B3161" s="18">
        <f>IF($A3161="","",Paramètres!G29)</f>
        <v/>
      </c>
      <c r="C3161" s="18">
        <f>IF($A3161="","",IF(Paramètres!H29="","",Paramètres!H29))</f>
        <v/>
      </c>
      <c r="D3161" s="18">
        <f>IF($A3161="","",IF(Paramètres!I29="","",Paramètres!I29))</f>
        <v/>
      </c>
      <c r="E3161" s="19">
        <f>IF($A3161="","",IF(Paramètres!J29&amp;Paramètres!L29&amp;Paramètres!N29="",Dossiers!$D$62,MAX(IF(Paramètres!J29="",0,IF(Paramètres!K29="",NA(),IF(LEFT(TRIM(Paramètres!K29),1)="F",INDEX($F$3137:$F$3189,MATCH(Paramètres!J29,Paramètres!$G$5:$G$57,0)),INDEX($E$3137:$E$3189,MATCH(Paramètres!J29,Paramètres!$G$5:$G$57,0)))+IF(RIGHT(TRIM(Paramètres!K29),3)="Fin",1-$H3161,IF(LEFT(TRIM(Paramètres!K29),1)="F",1,0)))),IF(Paramètres!L29="",0,IF(Paramètres!M29="",NA(),IF(LEFT(TRIM(Paramètres!M29),1)="F",INDEX($F$3137:$F$3189,MATCH(Paramètres!L29,Paramètres!$G$5:$G$57,0)),INDEX($E$3137:$E$3189,MATCH(Paramètres!L29,Paramètres!$G$5:$G$57,0)))+IF(RIGHT(TRIM(Paramètres!M29),3)="Fin",1-$H3161,IF(LEFT(TRIM(Paramètres!M29),1)="F",1,0)))),IF(Paramètres!N29="",0,IF(Paramètres!O29="",NA(),IF(LEFT(TRIM(Paramètres!O29),1)="F",INDEX($F$3137:$F$3189,MATCH(Paramètres!N29,Paramètres!$G$5:$G$57,0)),INDEX($E$3137:$E$3189,MATCH(Paramètres!N29,Paramètres!$G$5:$G$57,0)))+IF(RIGHT(TRIM(Paramètres!O29),3)="Fin",1-$H3161,IF(LEFT(TRIM(Paramètres!O29),1)="F",1,0)))))))</f>
        <v/>
      </c>
      <c r="F3161" s="19">
        <f>IF($A3161="","",E3161+$H3161-1)</f>
        <v/>
      </c>
      <c r="G3161" s="18" t="n"/>
      <c r="H3161" s="18">
        <f>IF($A3161="","",IF(I3161&lt;&gt;"",I3161,Paramètres!B29))</f>
        <v/>
      </c>
      <c r="I3161" s="18" t="n"/>
    </row>
    <row r="3162">
      <c r="A3162" s="18">
        <f>IF(ISNUMBER(Dossiers!$D$62),Dossiers!$A$62&amp;" · "&amp;Dossiers!$B$62,"")</f>
        <v/>
      </c>
      <c r="B3162" s="18">
        <f>IF($A3162="","",Paramètres!G30)</f>
        <v/>
      </c>
      <c r="C3162" s="18">
        <f>IF($A3162="","",IF(Paramètres!H30="","",Paramètres!H30))</f>
        <v/>
      </c>
      <c r="D3162" s="18">
        <f>IF($A3162="","",IF(Paramètres!I30="","",Paramètres!I30))</f>
        <v/>
      </c>
      <c r="E3162" s="19">
        <f>IF($A3162="","",IF(Paramètres!J30&amp;Paramètres!L30&amp;Paramètres!N30="",Dossiers!$D$62,MAX(IF(Paramètres!J30="",0,IF(Paramètres!K30="",NA(),IF(LEFT(TRIM(Paramètres!K30),1)="F",INDEX($F$3137:$F$3189,MATCH(Paramètres!J30,Paramètres!$G$5:$G$57,0)),INDEX($E$3137:$E$3189,MATCH(Paramètres!J30,Paramètres!$G$5:$G$57,0)))+IF(RIGHT(TRIM(Paramètres!K30),3)="Fin",1-$H3162,IF(LEFT(TRIM(Paramètres!K30),1)="F",1,0)))),IF(Paramètres!L30="",0,IF(Paramètres!M30="",NA(),IF(LEFT(TRIM(Paramètres!M30),1)="F",INDEX($F$3137:$F$3189,MATCH(Paramètres!L30,Paramètres!$G$5:$G$57,0)),INDEX($E$3137:$E$3189,MATCH(Paramètres!L30,Paramètres!$G$5:$G$57,0)))+IF(RIGHT(TRIM(Paramètres!M30),3)="Fin",1-$H3162,IF(LEFT(TRIM(Paramètres!M30),1)="F",1,0)))),IF(Paramètres!N30="",0,IF(Paramètres!O30="",NA(),IF(LEFT(TRIM(Paramètres!O30),1)="F",INDEX($F$3137:$F$3189,MATCH(Paramètres!N30,Paramètres!$G$5:$G$57,0)),INDEX($E$3137:$E$3189,MATCH(Paramètres!N30,Paramètres!$G$5:$G$57,0)))+IF(RIGHT(TRIM(Paramètres!O30),3)="Fin",1-$H3162,IF(LEFT(TRIM(Paramètres!O30),1)="F",1,0)))))))</f>
        <v/>
      </c>
      <c r="F3162" s="19">
        <f>IF($A3162="","",E3162+$H3162-1)</f>
        <v/>
      </c>
      <c r="G3162" s="18" t="n"/>
      <c r="H3162" s="18">
        <f>IF($A3162="","",IF(I3162&lt;&gt;"",I3162,Paramètres!B30))</f>
        <v/>
      </c>
      <c r="I3162" s="18" t="n"/>
    </row>
    <row r="3163">
      <c r="A3163" s="18">
        <f>IF(ISNUMBER(Dossiers!$D$62),Dossiers!$A$62&amp;" · "&amp;Dossiers!$B$62,"")</f>
        <v/>
      </c>
      <c r="B3163" s="18">
        <f>IF($A3163="","",Paramètres!G31)</f>
        <v/>
      </c>
      <c r="C3163" s="20">
        <f>IF($A3163="","",IF(Dossiers!$F$62="","",Dossiers!$F$62))</f>
        <v/>
      </c>
      <c r="D3163" s="18">
        <f>IF($A3163="","",IF(Paramètres!I31="","",Paramètres!I31))</f>
        <v/>
      </c>
      <c r="E3163" s="19">
        <f>IF($A3163="","",IF(Paramètres!J31&amp;Paramètres!L31&amp;Paramètres!N31="",Dossiers!$D$62,MAX(IF(Paramètres!J31="",0,IF(Paramètres!K31="",NA(),IF(LEFT(TRIM(Paramètres!K31),1)="F",INDEX($F$3137:$F$3189,MATCH(Paramètres!J31,Paramètres!$G$5:$G$57,0)),INDEX($E$3137:$E$3189,MATCH(Paramètres!J31,Paramètres!$G$5:$G$57,0)))+IF(RIGHT(TRIM(Paramètres!K31),3)="Fin",1-$H3163,IF(LEFT(TRIM(Paramètres!K31),1)="F",1,0)))),IF(Paramètres!L31="",0,IF(Paramètres!M31="",NA(),IF(LEFT(TRIM(Paramètres!M31),1)="F",INDEX($F$3137:$F$3189,MATCH(Paramètres!L31,Paramètres!$G$5:$G$57,0)),INDEX($E$3137:$E$3189,MATCH(Paramètres!L31,Paramètres!$G$5:$G$57,0)))+IF(RIGHT(TRIM(Paramètres!M31),3)="Fin",1-$H3163,IF(LEFT(TRIM(Paramètres!M31),1)="F",1,0)))),IF(Paramètres!N31="",0,IF(Paramètres!O31="",NA(),IF(LEFT(TRIM(Paramètres!O31),1)="F",INDEX($F$3137:$F$3189,MATCH(Paramètres!N31,Paramètres!$G$5:$G$57,0)),INDEX($E$3137:$E$3189,MATCH(Paramètres!N31,Paramètres!$G$5:$G$57,0)))+IF(RIGHT(TRIM(Paramètres!O31),3)="Fin",1-$H3163,IF(LEFT(TRIM(Paramètres!O31),1)="F",1,0)))))))</f>
        <v/>
      </c>
      <c r="F3163" s="19">
        <f>IF($A3163="","",E3163+$H3163-1)</f>
        <v/>
      </c>
      <c r="G3163" s="18" t="n"/>
      <c r="H3163" s="18">
        <f>IF($A3163="","",IF(I3163&lt;&gt;"",I3163,Paramètres!B31))</f>
        <v/>
      </c>
      <c r="I3163" s="18" t="n"/>
    </row>
    <row r="3164">
      <c r="A3164" s="18">
        <f>IF(ISNUMBER(Dossiers!$D$62),Dossiers!$A$62&amp;" · "&amp;Dossiers!$B$62,"")</f>
        <v/>
      </c>
      <c r="B3164" s="18">
        <f>IF($A3164="","",Paramètres!G32)</f>
        <v/>
      </c>
      <c r="C3164" s="18">
        <f>IF($A3164="","",IF(Paramètres!H32="","",Paramètres!H32))</f>
        <v/>
      </c>
      <c r="D3164" s="18">
        <f>IF($A3164="","",IF(Paramètres!I32="","",Paramètres!I32))</f>
        <v/>
      </c>
      <c r="E3164" s="19">
        <f>IF($A3164="","",MIN(E3165:E3168))</f>
        <v/>
      </c>
      <c r="F3164" s="19">
        <f>IF($A3164="","",MAX(F3165:F3168))</f>
        <v/>
      </c>
      <c r="G3164" s="18" t="n"/>
      <c r="H3164" s="18">
        <f>IF($A3164="","",F3164-E3164+1)</f>
        <v/>
      </c>
      <c r="I3164" s="18" t="n"/>
    </row>
    <row r="3165">
      <c r="A3165" s="18">
        <f>IF(ISNUMBER(Dossiers!$D$62),Dossiers!$A$62&amp;" · "&amp;Dossiers!$B$62,"")</f>
        <v/>
      </c>
      <c r="B3165" s="18">
        <f>IF($A3165="","",Paramètres!G33)</f>
        <v/>
      </c>
      <c r="C3165" s="18">
        <f>IF($A3165="","",IF(Paramètres!H33="","",Paramètres!H33))</f>
        <v/>
      </c>
      <c r="D3165" s="18">
        <f>IF($A3165="","",IF(Paramètres!I33="","",Paramètres!I33))</f>
        <v/>
      </c>
      <c r="E3165" s="19">
        <f>IF($A3165="","",IF(Paramètres!J33&amp;Paramètres!L33&amp;Paramètres!N33="",Dossiers!$D$62,MAX(IF(Paramètres!J33="",0,IF(Paramètres!K33="",NA(),IF(LEFT(TRIM(Paramètres!K33),1)="F",INDEX($F$3137:$F$3189,MATCH(Paramètres!J33,Paramètres!$G$5:$G$57,0)),INDEX($E$3137:$E$3189,MATCH(Paramètres!J33,Paramètres!$G$5:$G$57,0)))+IF(RIGHT(TRIM(Paramètres!K33),3)="Fin",1-$H3165,IF(LEFT(TRIM(Paramètres!K33),1)="F",1,0)))),IF(Paramètres!L33="",0,IF(Paramètres!M33="",NA(),IF(LEFT(TRIM(Paramètres!M33),1)="F",INDEX($F$3137:$F$3189,MATCH(Paramètres!L33,Paramètres!$G$5:$G$57,0)),INDEX($E$3137:$E$3189,MATCH(Paramètres!L33,Paramètres!$G$5:$G$57,0)))+IF(RIGHT(TRIM(Paramètres!M33),3)="Fin",1-$H3165,IF(LEFT(TRIM(Paramètres!M33),1)="F",1,0)))),IF(Paramètres!N33="",0,IF(Paramètres!O33="",NA(),IF(LEFT(TRIM(Paramètres!O33),1)="F",INDEX($F$3137:$F$3189,MATCH(Paramètres!N33,Paramètres!$G$5:$G$57,0)),INDEX($E$3137:$E$3189,MATCH(Paramètres!N33,Paramètres!$G$5:$G$57,0)))+IF(RIGHT(TRIM(Paramètres!O33),3)="Fin",1-$H3165,IF(LEFT(TRIM(Paramètres!O33),1)="F",1,0)))))))</f>
        <v/>
      </c>
      <c r="F3165" s="19">
        <f>IF($A3165="","",E3165+$H3165-1)</f>
        <v/>
      </c>
      <c r="G3165" s="18" t="n"/>
      <c r="H3165" s="18">
        <f>IF($A3165="","",IF(I3165&lt;&gt;"",I3165,Paramètres!B33))</f>
        <v/>
      </c>
      <c r="I3165" s="18" t="n"/>
    </row>
    <row r="3166">
      <c r="A3166" s="18">
        <f>IF(ISNUMBER(Dossiers!$D$62),Dossiers!$A$62&amp;" · "&amp;Dossiers!$B$62,"")</f>
        <v/>
      </c>
      <c r="B3166" s="18">
        <f>IF($A3166="","",Paramètres!G34)</f>
        <v/>
      </c>
      <c r="C3166" s="18">
        <f>IF($A3166="","",IF(Paramètres!H34="","",Paramètres!H34))</f>
        <v/>
      </c>
      <c r="D3166" s="18">
        <f>IF($A3166="","",IF(Paramètres!I34="","",Paramètres!I34))</f>
        <v/>
      </c>
      <c r="E3166" s="19">
        <f>IF($A3166="","",IF(Paramètres!J34&amp;Paramètres!L34&amp;Paramètres!N34="",Dossiers!$D$62,MAX(IF(Paramètres!J34="",0,IF(Paramètres!K34="",NA(),IF(LEFT(TRIM(Paramètres!K34),1)="F",INDEX($F$3137:$F$3189,MATCH(Paramètres!J34,Paramètres!$G$5:$G$57,0)),INDEX($E$3137:$E$3189,MATCH(Paramètres!J34,Paramètres!$G$5:$G$57,0)))+IF(RIGHT(TRIM(Paramètres!K34),3)="Fin",1-$H3166,IF(LEFT(TRIM(Paramètres!K34),1)="F",1,0)))),IF(Paramètres!L34="",0,IF(Paramètres!M34="",NA(),IF(LEFT(TRIM(Paramètres!M34),1)="F",INDEX($F$3137:$F$3189,MATCH(Paramètres!L34,Paramètres!$G$5:$G$57,0)),INDEX($E$3137:$E$3189,MATCH(Paramètres!L34,Paramètres!$G$5:$G$57,0)))+IF(RIGHT(TRIM(Paramètres!M34),3)="Fin",1-$H3166,IF(LEFT(TRIM(Paramètres!M34),1)="F",1,0)))),IF(Paramètres!N34="",0,IF(Paramètres!O34="",NA(),IF(LEFT(TRIM(Paramètres!O34),1)="F",INDEX($F$3137:$F$3189,MATCH(Paramètres!N34,Paramètres!$G$5:$G$57,0)),INDEX($E$3137:$E$3189,MATCH(Paramètres!N34,Paramètres!$G$5:$G$57,0)))+IF(RIGHT(TRIM(Paramètres!O34),3)="Fin",1-$H3166,IF(LEFT(TRIM(Paramètres!O34),1)="F",1,0)))))))</f>
        <v/>
      </c>
      <c r="F3166" s="19">
        <f>IF($A3166="","",E3166+$H3166-1)</f>
        <v/>
      </c>
      <c r="G3166" s="18" t="n"/>
      <c r="H3166" s="18">
        <f>IF($A3166="","",IF(I3166&lt;&gt;"",I3166,Paramètres!B34))</f>
        <v/>
      </c>
      <c r="I3166" s="18" t="n"/>
    </row>
    <row r="3167">
      <c r="A3167" s="18">
        <f>IF(ISNUMBER(Dossiers!$D$62),Dossiers!$A$62&amp;" · "&amp;Dossiers!$B$62,"")</f>
        <v/>
      </c>
      <c r="B3167" s="18">
        <f>IF($A3167="","",Paramètres!G35)</f>
        <v/>
      </c>
      <c r="C3167" s="18">
        <f>IF($A3167="","",IF(Paramètres!H35="","",Paramètres!H35))</f>
        <v/>
      </c>
      <c r="D3167" s="18">
        <f>IF($A3167="","",IF(Paramètres!I35="","",Paramètres!I35))</f>
        <v/>
      </c>
      <c r="E3167" s="19">
        <f>IF($A3167="","",IF(Paramètres!J35&amp;Paramètres!L35&amp;Paramètres!N35="",Dossiers!$D$62,MAX(IF(Paramètres!J35="",0,IF(Paramètres!K35="",NA(),IF(LEFT(TRIM(Paramètres!K35),1)="F",INDEX($F$3137:$F$3189,MATCH(Paramètres!J35,Paramètres!$G$5:$G$57,0)),INDEX($E$3137:$E$3189,MATCH(Paramètres!J35,Paramètres!$G$5:$G$57,0)))+IF(RIGHT(TRIM(Paramètres!K35),3)="Fin",1-$H3167,IF(LEFT(TRIM(Paramètres!K35),1)="F",1,0)))),IF(Paramètres!L35="",0,IF(Paramètres!M35="",NA(),IF(LEFT(TRIM(Paramètres!M35),1)="F",INDEX($F$3137:$F$3189,MATCH(Paramètres!L35,Paramètres!$G$5:$G$57,0)),INDEX($E$3137:$E$3189,MATCH(Paramètres!L35,Paramètres!$G$5:$G$57,0)))+IF(RIGHT(TRIM(Paramètres!M35),3)="Fin",1-$H3167,IF(LEFT(TRIM(Paramètres!M35),1)="F",1,0)))),IF(Paramètres!N35="",0,IF(Paramètres!O35="",NA(),IF(LEFT(TRIM(Paramètres!O35),1)="F",INDEX($F$3137:$F$3189,MATCH(Paramètres!N35,Paramètres!$G$5:$G$57,0)),INDEX($E$3137:$E$3189,MATCH(Paramètres!N35,Paramètres!$G$5:$G$57,0)))+IF(RIGHT(TRIM(Paramètres!O35),3)="Fin",1-$H3167,IF(LEFT(TRIM(Paramètres!O35),1)="F",1,0)))))))</f>
        <v/>
      </c>
      <c r="F3167" s="19">
        <f>IF($A3167="","",E3167+$H3167-1)</f>
        <v/>
      </c>
      <c r="G3167" s="18" t="n"/>
      <c r="H3167" s="18">
        <f>IF($A3167="","",IF(I3167&lt;&gt;"",I3167,Paramètres!B35))</f>
        <v/>
      </c>
      <c r="I3167" s="18" t="n"/>
    </row>
    <row r="3168">
      <c r="A3168" s="18">
        <f>IF(ISNUMBER(Dossiers!$D$62),Dossiers!$A$62&amp;" · "&amp;Dossiers!$B$62,"")</f>
        <v/>
      </c>
      <c r="B3168" s="18">
        <f>IF($A3168="","",Paramètres!G36)</f>
        <v/>
      </c>
      <c r="C3168" s="18">
        <f>IF($A3168="","",IF(Paramètres!H36="","",Paramètres!H36))</f>
        <v/>
      </c>
      <c r="D3168" s="18">
        <f>IF($A3168="","",IF(Paramètres!I36="","",Paramètres!I36))</f>
        <v/>
      </c>
      <c r="E3168" s="19">
        <f>IF($A3168="","",IF(Paramètres!J36&amp;Paramètres!L36&amp;Paramètres!N36="",Dossiers!$D$62,MAX(IF(Paramètres!J36="",0,IF(Paramètres!K36="",NA(),IF(LEFT(TRIM(Paramètres!K36),1)="F",INDEX($F$3137:$F$3189,MATCH(Paramètres!J36,Paramètres!$G$5:$G$57,0)),INDEX($E$3137:$E$3189,MATCH(Paramètres!J36,Paramètres!$G$5:$G$57,0)))+IF(RIGHT(TRIM(Paramètres!K36),3)="Fin",1-$H3168,IF(LEFT(TRIM(Paramètres!K36),1)="F",1,0)))),IF(Paramètres!L36="",0,IF(Paramètres!M36="",NA(),IF(LEFT(TRIM(Paramètres!M36),1)="F",INDEX($F$3137:$F$3189,MATCH(Paramètres!L36,Paramètres!$G$5:$G$57,0)),INDEX($E$3137:$E$3189,MATCH(Paramètres!L36,Paramètres!$G$5:$G$57,0)))+IF(RIGHT(TRIM(Paramètres!M36),3)="Fin",1-$H3168,IF(LEFT(TRIM(Paramètres!M36),1)="F",1,0)))),IF(Paramètres!N36="",0,IF(Paramètres!O36="",NA(),IF(LEFT(TRIM(Paramètres!O36),1)="F",INDEX($F$3137:$F$3189,MATCH(Paramètres!N36,Paramètres!$G$5:$G$57,0)),INDEX($E$3137:$E$3189,MATCH(Paramètres!N36,Paramètres!$G$5:$G$57,0)))+IF(RIGHT(TRIM(Paramètres!O36),3)="Fin",1-$H3168,IF(LEFT(TRIM(Paramètres!O36),1)="F",1,0)))))))</f>
        <v/>
      </c>
      <c r="F3168" s="19">
        <f>IF($A3168="","",E3168+$H3168-1)</f>
        <v/>
      </c>
      <c r="G3168" s="18" t="n"/>
      <c r="H3168" s="18">
        <f>IF($A3168="","",IF(I3168&lt;&gt;"",I3168,Paramètres!B36))</f>
        <v/>
      </c>
      <c r="I3168" s="18" t="n"/>
    </row>
    <row r="3169">
      <c r="A3169" s="18">
        <f>IF(ISNUMBER(Dossiers!$D$62),Dossiers!$A$62&amp;" · "&amp;Dossiers!$B$62,"")</f>
        <v/>
      </c>
      <c r="B3169" s="18">
        <f>IF($A3169="","",Paramètres!G37)</f>
        <v/>
      </c>
      <c r="C3169" s="18">
        <f>IF($A3169="","",IF(Paramètres!H37="","",Paramètres!H37))</f>
        <v/>
      </c>
      <c r="D3169" s="18">
        <f>IF($A3169="","",IF(Paramètres!I37="","",Paramètres!I37))</f>
        <v/>
      </c>
      <c r="E3169" s="19">
        <f>IF($A3169="","",MIN(E3170:E3187))</f>
        <v/>
      </c>
      <c r="F3169" s="19">
        <f>IF($A3169="","",MAX(F3170:F3187))</f>
        <v/>
      </c>
      <c r="G3169" s="18" t="n"/>
      <c r="H3169" s="18">
        <f>IF($A3169="","",F3169-E3169+1)</f>
        <v/>
      </c>
      <c r="I3169" s="18" t="n"/>
    </row>
    <row r="3170">
      <c r="A3170" s="18">
        <f>IF(ISNUMBER(Dossiers!$D$62),Dossiers!$A$62&amp;" · "&amp;Dossiers!$B$62,"")</f>
        <v/>
      </c>
      <c r="B3170" s="18">
        <f>IF($A3170="","",Paramètres!G38)</f>
        <v/>
      </c>
      <c r="C3170" s="18">
        <f>IF($A3170="","",IF(Paramètres!H38="","",Paramètres!H38))</f>
        <v/>
      </c>
      <c r="D3170" s="18">
        <f>IF($A3170="","",IF(Paramètres!I38="","",Paramètres!I38))</f>
        <v/>
      </c>
      <c r="E3170" s="19">
        <f>IF($A3170="","",IF(Paramètres!J38&amp;Paramètres!L38&amp;Paramètres!N38="",Dossiers!$D$62,MAX(IF(Paramètres!J38="",0,IF(Paramètres!K38="",NA(),IF(LEFT(TRIM(Paramètres!K38),1)="F",INDEX($F$3137:$F$3189,MATCH(Paramètres!J38,Paramètres!$G$5:$G$57,0)),INDEX($E$3137:$E$3189,MATCH(Paramètres!J38,Paramètres!$G$5:$G$57,0)))+IF(RIGHT(TRIM(Paramètres!K38),3)="Fin",1-$H3170,IF(LEFT(TRIM(Paramètres!K38),1)="F",1,0)))),IF(Paramètres!L38="",0,IF(Paramètres!M38="",NA(),IF(LEFT(TRIM(Paramètres!M38),1)="F",INDEX($F$3137:$F$3189,MATCH(Paramètres!L38,Paramètres!$G$5:$G$57,0)),INDEX($E$3137:$E$3189,MATCH(Paramètres!L38,Paramètres!$G$5:$G$57,0)))+IF(RIGHT(TRIM(Paramètres!M38),3)="Fin",1-$H3170,IF(LEFT(TRIM(Paramètres!M38),1)="F",1,0)))),IF(Paramètres!N38="",0,IF(Paramètres!O38="",NA(),IF(LEFT(TRIM(Paramètres!O38),1)="F",INDEX($F$3137:$F$3189,MATCH(Paramètres!N38,Paramètres!$G$5:$G$57,0)),INDEX($E$3137:$E$3189,MATCH(Paramètres!N38,Paramètres!$G$5:$G$57,0)))+IF(RIGHT(TRIM(Paramètres!O38),3)="Fin",1-$H3170,IF(LEFT(TRIM(Paramètres!O38),1)="F",1,0)))))))</f>
        <v/>
      </c>
      <c r="F3170" s="19">
        <f>IF($A3170="","",E3170+$H3170-1)</f>
        <v/>
      </c>
      <c r="G3170" s="18" t="n"/>
      <c r="H3170" s="18">
        <f>IF($A3170="","",IF(I3170&lt;&gt;"",I3170,Paramètres!B38))</f>
        <v/>
      </c>
      <c r="I3170" s="18" t="n"/>
    </row>
    <row r="3171">
      <c r="A3171" s="18">
        <f>IF(ISNUMBER(Dossiers!$D$62),Dossiers!$A$62&amp;" · "&amp;Dossiers!$B$62,"")</f>
        <v/>
      </c>
      <c r="B3171" s="18">
        <f>IF($A3171="","",Paramètres!G39)</f>
        <v/>
      </c>
      <c r="C3171" s="18">
        <f>IF($A3171="","",IF(Paramètres!H39="","",Paramètres!H39))</f>
        <v/>
      </c>
      <c r="D3171" s="18">
        <f>IF($A3171="","",IF(Paramètres!I39="","",Paramètres!I39))</f>
        <v/>
      </c>
      <c r="E3171" s="19">
        <f>IF($A3171="","",IF(Paramètres!J39&amp;Paramètres!L39&amp;Paramètres!N39="",Dossiers!$D$62,MAX(IF(Paramètres!J39="",0,IF(Paramètres!K39="",NA(),IF(LEFT(TRIM(Paramètres!K39),1)="F",INDEX($F$3137:$F$3189,MATCH(Paramètres!J39,Paramètres!$G$5:$G$57,0)),INDEX($E$3137:$E$3189,MATCH(Paramètres!J39,Paramètres!$G$5:$G$57,0)))+IF(RIGHT(TRIM(Paramètres!K39),3)="Fin",1-$H3171,IF(LEFT(TRIM(Paramètres!K39),1)="F",1,0)))),IF(Paramètres!L39="",0,IF(Paramètres!M39="",NA(),IF(LEFT(TRIM(Paramètres!M39),1)="F",INDEX($F$3137:$F$3189,MATCH(Paramètres!L39,Paramètres!$G$5:$G$57,0)),INDEX($E$3137:$E$3189,MATCH(Paramètres!L39,Paramètres!$G$5:$G$57,0)))+IF(RIGHT(TRIM(Paramètres!M39),3)="Fin",1-$H3171,IF(LEFT(TRIM(Paramètres!M39),1)="F",1,0)))),IF(Paramètres!N39="",0,IF(Paramètres!O39="",NA(),IF(LEFT(TRIM(Paramètres!O39),1)="F",INDEX($F$3137:$F$3189,MATCH(Paramètres!N39,Paramètres!$G$5:$G$57,0)),INDEX($E$3137:$E$3189,MATCH(Paramètres!N39,Paramètres!$G$5:$G$57,0)))+IF(RIGHT(TRIM(Paramètres!O39),3)="Fin",1-$H3171,IF(LEFT(TRIM(Paramètres!O39),1)="F",1,0)))))))</f>
        <v/>
      </c>
      <c r="F3171" s="19">
        <f>IF($A3171="","",E3171+$H3171-1)</f>
        <v/>
      </c>
      <c r="G3171" s="18" t="n"/>
      <c r="H3171" s="18">
        <f>IF($A3171="","",IF(I3171&lt;&gt;"",I3171,Paramètres!B39))</f>
        <v/>
      </c>
      <c r="I3171" s="18" t="n"/>
    </row>
    <row r="3172">
      <c r="A3172" s="18">
        <f>IF(ISNUMBER(Dossiers!$D$62),Dossiers!$A$62&amp;" · "&amp;Dossiers!$B$62,"")</f>
        <v/>
      </c>
      <c r="B3172" s="18">
        <f>IF($A3172="","",Paramètres!G40)</f>
        <v/>
      </c>
      <c r="C3172" s="18">
        <f>IF($A3172="","",IF(Paramètres!H40="","",Paramètres!H40))</f>
        <v/>
      </c>
      <c r="D3172" s="18">
        <f>IF($A3172="","",IF(Paramètres!I40="","",Paramètres!I40))</f>
        <v/>
      </c>
      <c r="E3172" s="19">
        <f>IF($A3172="","",IF(Paramètres!J40&amp;Paramètres!L40&amp;Paramètres!N40="",Dossiers!$D$62,MAX(IF(Paramètres!J40="",0,IF(Paramètres!K40="",NA(),IF(LEFT(TRIM(Paramètres!K40),1)="F",INDEX($F$3137:$F$3189,MATCH(Paramètres!J40,Paramètres!$G$5:$G$57,0)),INDEX($E$3137:$E$3189,MATCH(Paramètres!J40,Paramètres!$G$5:$G$57,0)))+IF(RIGHT(TRIM(Paramètres!K40),3)="Fin",1-$H3172,IF(LEFT(TRIM(Paramètres!K40),1)="F",1,0)))),IF(Paramètres!L40="",0,IF(Paramètres!M40="",NA(),IF(LEFT(TRIM(Paramètres!M40),1)="F",INDEX($F$3137:$F$3189,MATCH(Paramètres!L40,Paramètres!$G$5:$G$57,0)),INDEX($E$3137:$E$3189,MATCH(Paramètres!L40,Paramètres!$G$5:$G$57,0)))+IF(RIGHT(TRIM(Paramètres!M40),3)="Fin",1-$H3172,IF(LEFT(TRIM(Paramètres!M40),1)="F",1,0)))),IF(Paramètres!N40="",0,IF(Paramètres!O40="",NA(),IF(LEFT(TRIM(Paramètres!O40),1)="F",INDEX($F$3137:$F$3189,MATCH(Paramètres!N40,Paramètres!$G$5:$G$57,0)),INDEX($E$3137:$E$3189,MATCH(Paramètres!N40,Paramètres!$G$5:$G$57,0)))+IF(RIGHT(TRIM(Paramètres!O40),3)="Fin",1-$H3172,IF(LEFT(TRIM(Paramètres!O40),1)="F",1,0)))))))</f>
        <v/>
      </c>
      <c r="F3172" s="19">
        <f>IF($A3172="","",E3172+$H3172-1)</f>
        <v/>
      </c>
      <c r="G3172" s="18" t="n"/>
      <c r="H3172" s="18">
        <f>IF($A3172="","",IF(I3172&lt;&gt;"",I3172,Paramètres!B40))</f>
        <v/>
      </c>
      <c r="I3172" s="18" t="n"/>
    </row>
    <row r="3173">
      <c r="A3173" s="18">
        <f>IF(ISNUMBER(Dossiers!$D$62),Dossiers!$A$62&amp;" · "&amp;Dossiers!$B$62,"")</f>
        <v/>
      </c>
      <c r="B3173" s="18">
        <f>IF($A3173="","",Paramètres!G41)</f>
        <v/>
      </c>
      <c r="C3173" s="18">
        <f>IF($A3173="","",IF(Paramètres!H41="","",Paramètres!H41))</f>
        <v/>
      </c>
      <c r="D3173" s="18">
        <f>IF($A3173="","",IF(Paramètres!I41="","",Paramètres!I41))</f>
        <v/>
      </c>
      <c r="E3173" s="19">
        <f>IF($A3173="","",IF(Paramètres!J41&amp;Paramètres!L41&amp;Paramètres!N41="",Dossiers!$D$62,MAX(IF(Paramètres!J41="",0,IF(Paramètres!K41="",NA(),IF(LEFT(TRIM(Paramètres!K41),1)="F",INDEX($F$3137:$F$3189,MATCH(Paramètres!J41,Paramètres!$G$5:$G$57,0)),INDEX($E$3137:$E$3189,MATCH(Paramètres!J41,Paramètres!$G$5:$G$57,0)))+IF(RIGHT(TRIM(Paramètres!K41),3)="Fin",1-$H3173,IF(LEFT(TRIM(Paramètres!K41),1)="F",1,0)))),IF(Paramètres!L41="",0,IF(Paramètres!M41="",NA(),IF(LEFT(TRIM(Paramètres!M41),1)="F",INDEX($F$3137:$F$3189,MATCH(Paramètres!L41,Paramètres!$G$5:$G$57,0)),INDEX($E$3137:$E$3189,MATCH(Paramètres!L41,Paramètres!$G$5:$G$57,0)))+IF(RIGHT(TRIM(Paramètres!M41),3)="Fin",1-$H3173,IF(LEFT(TRIM(Paramètres!M41),1)="F",1,0)))),IF(Paramètres!N41="",0,IF(Paramètres!O41="",NA(),IF(LEFT(TRIM(Paramètres!O41),1)="F",INDEX($F$3137:$F$3189,MATCH(Paramètres!N41,Paramètres!$G$5:$G$57,0)),INDEX($E$3137:$E$3189,MATCH(Paramètres!N41,Paramètres!$G$5:$G$57,0)))+IF(RIGHT(TRIM(Paramètres!O41),3)="Fin",1-$H3173,IF(LEFT(TRIM(Paramètres!O41),1)="F",1,0)))))))</f>
        <v/>
      </c>
      <c r="F3173" s="19">
        <f>IF($A3173="","",E3173+$H3173-1)</f>
        <v/>
      </c>
      <c r="G3173" s="18" t="n"/>
      <c r="H3173" s="18">
        <f>IF($A3173="","",IF(I3173&lt;&gt;"",I3173,Paramètres!B41))</f>
        <v/>
      </c>
      <c r="I3173" s="18" t="n"/>
    </row>
    <row r="3174">
      <c r="A3174" s="18">
        <f>IF(ISNUMBER(Dossiers!$D$62),Dossiers!$A$62&amp;" · "&amp;Dossiers!$B$62,"")</f>
        <v/>
      </c>
      <c r="B3174" s="18">
        <f>IF($A3174="","",Paramètres!G42)</f>
        <v/>
      </c>
      <c r="C3174" s="18">
        <f>IF($A3174="","",IF(Paramètres!H42="","",Paramètres!H42))</f>
        <v/>
      </c>
      <c r="D3174" s="18">
        <f>IF($A3174="","",IF(Paramètres!I42="","",Paramètres!I42))</f>
        <v/>
      </c>
      <c r="E3174" s="19">
        <f>IF($A3174="","",IF(Paramètres!J42&amp;Paramètres!L42&amp;Paramètres!N42="",Dossiers!$D$62,MAX(IF(Paramètres!J42="",0,IF(Paramètres!K42="",NA(),IF(LEFT(TRIM(Paramètres!K42),1)="F",INDEX($F$3137:$F$3189,MATCH(Paramètres!J42,Paramètres!$G$5:$G$57,0)),INDEX($E$3137:$E$3189,MATCH(Paramètres!J42,Paramètres!$G$5:$G$57,0)))+IF(RIGHT(TRIM(Paramètres!K42),3)="Fin",1-$H3174,IF(LEFT(TRIM(Paramètres!K42),1)="F",1,0)))),IF(Paramètres!L42="",0,IF(Paramètres!M42="",NA(),IF(LEFT(TRIM(Paramètres!M42),1)="F",INDEX($F$3137:$F$3189,MATCH(Paramètres!L42,Paramètres!$G$5:$G$57,0)),INDEX($E$3137:$E$3189,MATCH(Paramètres!L42,Paramètres!$G$5:$G$57,0)))+IF(RIGHT(TRIM(Paramètres!M42),3)="Fin",1-$H3174,IF(LEFT(TRIM(Paramètres!M42),1)="F",1,0)))),IF(Paramètres!N42="",0,IF(Paramètres!O42="",NA(),IF(LEFT(TRIM(Paramètres!O42),1)="F",INDEX($F$3137:$F$3189,MATCH(Paramètres!N42,Paramètres!$G$5:$G$57,0)),INDEX($E$3137:$E$3189,MATCH(Paramètres!N42,Paramètres!$G$5:$G$57,0)))+IF(RIGHT(TRIM(Paramètres!O42),3)="Fin",1-$H3174,IF(LEFT(TRIM(Paramètres!O42),1)="F",1,0)))))))</f>
        <v/>
      </c>
      <c r="F3174" s="19">
        <f>IF($A3174="","",E3174+$H3174-1)</f>
        <v/>
      </c>
      <c r="G3174" s="18" t="n"/>
      <c r="H3174" s="18">
        <f>IF($A3174="","",IF(I3174&lt;&gt;"",I3174,Paramètres!B42))</f>
        <v/>
      </c>
      <c r="I3174" s="18" t="n"/>
    </row>
    <row r="3175">
      <c r="A3175" s="18">
        <f>IF(ISNUMBER(Dossiers!$D$62),Dossiers!$A$62&amp;" · "&amp;Dossiers!$B$62,"")</f>
        <v/>
      </c>
      <c r="B3175" s="18">
        <f>IF($A3175="","",Paramètres!G43)</f>
        <v/>
      </c>
      <c r="C3175" s="18">
        <f>IF($A3175="","",IF(Paramètres!H43="","",Paramètres!H43))</f>
        <v/>
      </c>
      <c r="D3175" s="18">
        <f>IF($A3175="","",IF(Paramètres!I43="","",Paramètres!I43))</f>
        <v/>
      </c>
      <c r="E3175" s="19">
        <f>IF($A3175="","",IF(Paramètres!J43&amp;Paramètres!L43&amp;Paramètres!N43="",Dossiers!$D$62,MAX(IF(Paramètres!J43="",0,IF(Paramètres!K43="",NA(),IF(LEFT(TRIM(Paramètres!K43),1)="F",INDEX($F$3137:$F$3189,MATCH(Paramètres!J43,Paramètres!$G$5:$G$57,0)),INDEX($E$3137:$E$3189,MATCH(Paramètres!J43,Paramètres!$G$5:$G$57,0)))+IF(RIGHT(TRIM(Paramètres!K43),3)="Fin",1-$H3175,IF(LEFT(TRIM(Paramètres!K43),1)="F",1,0)))),IF(Paramètres!L43="",0,IF(Paramètres!M43="",NA(),IF(LEFT(TRIM(Paramètres!M43),1)="F",INDEX($F$3137:$F$3189,MATCH(Paramètres!L43,Paramètres!$G$5:$G$57,0)),INDEX($E$3137:$E$3189,MATCH(Paramètres!L43,Paramètres!$G$5:$G$57,0)))+IF(RIGHT(TRIM(Paramètres!M43),3)="Fin",1-$H3175,IF(LEFT(TRIM(Paramètres!M43),1)="F",1,0)))),IF(Paramètres!N43="",0,IF(Paramètres!O43="",NA(),IF(LEFT(TRIM(Paramètres!O43),1)="F",INDEX($F$3137:$F$3189,MATCH(Paramètres!N43,Paramètres!$G$5:$G$57,0)),INDEX($E$3137:$E$3189,MATCH(Paramètres!N43,Paramètres!$G$5:$G$57,0)))+IF(RIGHT(TRIM(Paramètres!O43),3)="Fin",1-$H3175,IF(LEFT(TRIM(Paramètres!O43),1)="F",1,0)))))))</f>
        <v/>
      </c>
      <c r="F3175" s="19">
        <f>IF($A3175="","",E3175+$H3175-1)</f>
        <v/>
      </c>
      <c r="G3175" s="18" t="n"/>
      <c r="H3175" s="18">
        <f>IF($A3175="","",IF(I3175&lt;&gt;"",I3175,Paramètres!B43))</f>
        <v/>
      </c>
      <c r="I3175" s="18" t="n"/>
    </row>
    <row r="3176">
      <c r="A3176" s="18">
        <f>IF(ISNUMBER(Dossiers!$D$62),Dossiers!$A$62&amp;" · "&amp;Dossiers!$B$62,"")</f>
        <v/>
      </c>
      <c r="B3176" s="18">
        <f>IF($A3176="","",Paramètres!G44)</f>
        <v/>
      </c>
      <c r="C3176" s="18">
        <f>IF($A3176="","",IF(Paramètres!H44="","",Paramètres!H44))</f>
        <v/>
      </c>
      <c r="D3176" s="18">
        <f>IF($A3176="","",IF(Paramètres!I44="","",Paramètres!I44))</f>
        <v/>
      </c>
      <c r="E3176" s="19">
        <f>IF($A3176="","",IF(Paramètres!J44&amp;Paramètres!L44&amp;Paramètres!N44="",Dossiers!$D$62,MAX(IF(Paramètres!J44="",0,IF(Paramètres!K44="",NA(),IF(LEFT(TRIM(Paramètres!K44),1)="F",INDEX($F$3137:$F$3189,MATCH(Paramètres!J44,Paramètres!$G$5:$G$57,0)),INDEX($E$3137:$E$3189,MATCH(Paramètres!J44,Paramètres!$G$5:$G$57,0)))+IF(RIGHT(TRIM(Paramètres!K44),3)="Fin",1-$H3176,IF(LEFT(TRIM(Paramètres!K44),1)="F",1,0)))),IF(Paramètres!L44="",0,IF(Paramètres!M44="",NA(),IF(LEFT(TRIM(Paramètres!M44),1)="F",INDEX($F$3137:$F$3189,MATCH(Paramètres!L44,Paramètres!$G$5:$G$57,0)),INDEX($E$3137:$E$3189,MATCH(Paramètres!L44,Paramètres!$G$5:$G$57,0)))+IF(RIGHT(TRIM(Paramètres!M44),3)="Fin",1-$H3176,IF(LEFT(TRIM(Paramètres!M44),1)="F",1,0)))),IF(Paramètres!N44="",0,IF(Paramètres!O44="",NA(),IF(LEFT(TRIM(Paramètres!O44),1)="F",INDEX($F$3137:$F$3189,MATCH(Paramètres!N44,Paramètres!$G$5:$G$57,0)),INDEX($E$3137:$E$3189,MATCH(Paramètres!N44,Paramètres!$G$5:$G$57,0)))+IF(RIGHT(TRIM(Paramètres!O44),3)="Fin",1-$H3176,IF(LEFT(TRIM(Paramètres!O44),1)="F",1,0)))))))</f>
        <v/>
      </c>
      <c r="F3176" s="19">
        <f>IF($A3176="","",E3176+$H3176-1)</f>
        <v/>
      </c>
      <c r="G3176" s="18" t="n"/>
      <c r="H3176" s="18">
        <f>IF($A3176="","",IF(I3176&lt;&gt;"",I3176,Paramètres!B44))</f>
        <v/>
      </c>
      <c r="I3176" s="18" t="n"/>
    </row>
    <row r="3177">
      <c r="A3177" s="18">
        <f>IF(ISNUMBER(Dossiers!$D$62),Dossiers!$A$62&amp;" · "&amp;Dossiers!$B$62,"")</f>
        <v/>
      </c>
      <c r="B3177" s="18">
        <f>IF($A3177="","",Paramètres!G45)</f>
        <v/>
      </c>
      <c r="C3177" s="20">
        <f>IF($A3177="","",IF(Dossiers!$G$62="","",Dossiers!$G$62))</f>
        <v/>
      </c>
      <c r="D3177" s="18">
        <f>IF($A3177="","",IF(Paramètres!I45="","",Paramètres!I45))</f>
        <v/>
      </c>
      <c r="E3177" s="19">
        <f>IF($A3177="","",IF(Paramètres!J45&amp;Paramètres!L45&amp;Paramètres!N45="",Dossiers!$D$62,MAX(IF(Paramètres!J45="",0,IF(Paramètres!K45="",NA(),IF(LEFT(TRIM(Paramètres!K45),1)="F",INDEX($F$3137:$F$3189,MATCH(Paramètres!J45,Paramètres!$G$5:$G$57,0)),INDEX($E$3137:$E$3189,MATCH(Paramètres!J45,Paramètres!$G$5:$G$57,0)))+IF(RIGHT(TRIM(Paramètres!K45),3)="Fin",1-$H3177,IF(LEFT(TRIM(Paramètres!K45),1)="F",1,0)))),IF(Paramètres!L45="",0,IF(Paramètres!M45="",NA(),IF(LEFT(TRIM(Paramètres!M45),1)="F",INDEX($F$3137:$F$3189,MATCH(Paramètres!L45,Paramètres!$G$5:$G$57,0)),INDEX($E$3137:$E$3189,MATCH(Paramètres!L45,Paramètres!$G$5:$G$57,0)))+IF(RIGHT(TRIM(Paramètres!M45),3)="Fin",1-$H3177,IF(LEFT(TRIM(Paramètres!M45),1)="F",1,0)))),IF(Paramètres!N45="",0,IF(Paramètres!O45="",NA(),IF(LEFT(TRIM(Paramètres!O45),1)="F",INDEX($F$3137:$F$3189,MATCH(Paramètres!N45,Paramètres!$G$5:$G$57,0)),INDEX($E$3137:$E$3189,MATCH(Paramètres!N45,Paramètres!$G$5:$G$57,0)))+IF(RIGHT(TRIM(Paramètres!O45),3)="Fin",1-$H3177,IF(LEFT(TRIM(Paramètres!O45),1)="F",1,0)))))))</f>
        <v/>
      </c>
      <c r="F3177" s="19">
        <f>IF($A3177="","",E3177+$H3177-1)</f>
        <v/>
      </c>
      <c r="G3177" s="18" t="n"/>
      <c r="H3177" s="18">
        <f>IF($A3177="","",IF(I3177&lt;&gt;"",I3177,Paramètres!B45))</f>
        <v/>
      </c>
      <c r="I3177" s="18" t="n"/>
    </row>
    <row r="3178">
      <c r="A3178" s="18">
        <f>IF(ISNUMBER(Dossiers!$D$62),Dossiers!$A$62&amp;" · "&amp;Dossiers!$B$62,"")</f>
        <v/>
      </c>
      <c r="B3178" s="18">
        <f>IF($A3178="","",Paramètres!G46)</f>
        <v/>
      </c>
      <c r="C3178" s="18">
        <f>IF($A3178="","",IF(Paramètres!H46="","",Paramètres!H46))</f>
        <v/>
      </c>
      <c r="D3178" s="18">
        <f>IF($A3178="","",IF(Paramètres!I46="","",Paramètres!I46))</f>
        <v/>
      </c>
      <c r="E3178" s="19">
        <f>IF($A3178="","",IF(Paramètres!J46&amp;Paramètres!L46&amp;Paramètres!N46="",Dossiers!$D$62,MAX(IF(Paramètres!J46="",0,IF(Paramètres!K46="",NA(),IF(LEFT(TRIM(Paramètres!K46),1)="F",INDEX($F$3137:$F$3189,MATCH(Paramètres!J46,Paramètres!$G$5:$G$57,0)),INDEX($E$3137:$E$3189,MATCH(Paramètres!J46,Paramètres!$G$5:$G$57,0)))+IF(RIGHT(TRIM(Paramètres!K46),3)="Fin",1-$H3178,IF(LEFT(TRIM(Paramètres!K46),1)="F",1,0)))),IF(Paramètres!L46="",0,IF(Paramètres!M46="",NA(),IF(LEFT(TRIM(Paramètres!M46),1)="F",INDEX($F$3137:$F$3189,MATCH(Paramètres!L46,Paramètres!$G$5:$G$57,0)),INDEX($E$3137:$E$3189,MATCH(Paramètres!L46,Paramètres!$G$5:$G$57,0)))+IF(RIGHT(TRIM(Paramètres!M46),3)="Fin",1-$H3178,IF(LEFT(TRIM(Paramètres!M46),1)="F",1,0)))),IF(Paramètres!N46="",0,IF(Paramètres!O46="",NA(),IF(LEFT(TRIM(Paramètres!O46),1)="F",INDEX($F$3137:$F$3189,MATCH(Paramètres!N46,Paramètres!$G$5:$G$57,0)),INDEX($E$3137:$E$3189,MATCH(Paramètres!N46,Paramètres!$G$5:$G$57,0)))+IF(RIGHT(TRIM(Paramètres!O46),3)="Fin",1-$H3178,IF(LEFT(TRIM(Paramètres!O46),1)="F",1,0)))))))</f>
        <v/>
      </c>
      <c r="F3178" s="19">
        <f>IF($A3178="","",E3178+$H3178-1)</f>
        <v/>
      </c>
      <c r="G3178" s="18" t="n"/>
      <c r="H3178" s="18">
        <f>IF($A3178="","",IF(I3178&lt;&gt;"",I3178,Paramètres!B46))</f>
        <v/>
      </c>
      <c r="I3178" s="18" t="n"/>
    </row>
    <row r="3179">
      <c r="A3179" s="18">
        <f>IF(ISNUMBER(Dossiers!$D$62),Dossiers!$A$62&amp;" · "&amp;Dossiers!$B$62,"")</f>
        <v/>
      </c>
      <c r="B3179" s="18">
        <f>IF($A3179="","",Paramètres!G47)</f>
        <v/>
      </c>
      <c r="C3179" s="18">
        <f>IF($A3179="","",IF(Paramètres!H47="","",Paramètres!H47))</f>
        <v/>
      </c>
      <c r="D3179" s="18">
        <f>IF($A3179="","",IF(Paramètres!I47="","",Paramètres!I47))</f>
        <v/>
      </c>
      <c r="E3179" s="19">
        <f>IF($A3179="","",IF(Paramètres!J47&amp;Paramètres!L47&amp;Paramètres!N47="",Dossiers!$D$62,MAX(IF(Paramètres!J47="",0,IF(Paramètres!K47="",NA(),IF(LEFT(TRIM(Paramètres!K47),1)="F",INDEX($F$3137:$F$3189,MATCH(Paramètres!J47,Paramètres!$G$5:$G$57,0)),INDEX($E$3137:$E$3189,MATCH(Paramètres!J47,Paramètres!$G$5:$G$57,0)))+IF(RIGHT(TRIM(Paramètres!K47),3)="Fin",1-$H3179,IF(LEFT(TRIM(Paramètres!K47),1)="F",1,0)))),IF(Paramètres!L47="",0,IF(Paramètres!M47="",NA(),IF(LEFT(TRIM(Paramètres!M47),1)="F",INDEX($F$3137:$F$3189,MATCH(Paramètres!L47,Paramètres!$G$5:$G$57,0)),INDEX($E$3137:$E$3189,MATCH(Paramètres!L47,Paramètres!$G$5:$G$57,0)))+IF(RIGHT(TRIM(Paramètres!M47),3)="Fin",1-$H3179,IF(LEFT(TRIM(Paramètres!M47),1)="F",1,0)))),IF(Paramètres!N47="",0,IF(Paramètres!O47="",NA(),IF(LEFT(TRIM(Paramètres!O47),1)="F",INDEX($F$3137:$F$3189,MATCH(Paramètres!N47,Paramètres!$G$5:$G$57,0)),INDEX($E$3137:$E$3189,MATCH(Paramètres!N47,Paramètres!$G$5:$G$57,0)))+IF(RIGHT(TRIM(Paramètres!O47),3)="Fin",1-$H3179,IF(LEFT(TRIM(Paramètres!O47),1)="F",1,0)))))))</f>
        <v/>
      </c>
      <c r="F3179" s="19">
        <f>IF($A3179="","",E3179+$H3179-1)</f>
        <v/>
      </c>
      <c r="G3179" s="18" t="n"/>
      <c r="H3179" s="18">
        <f>IF($A3179="","",IF(I3179&lt;&gt;"",I3179,Paramètres!B47))</f>
        <v/>
      </c>
      <c r="I3179" s="18" t="n"/>
    </row>
    <row r="3180">
      <c r="A3180" s="18">
        <f>IF(ISNUMBER(Dossiers!$D$62),Dossiers!$A$62&amp;" · "&amp;Dossiers!$B$62,"")</f>
        <v/>
      </c>
      <c r="B3180" s="18">
        <f>IF($A3180="","",Paramètres!G48)</f>
        <v/>
      </c>
      <c r="C3180" s="18">
        <f>IF($A3180="","",IF(Paramètres!H48="","",Paramètres!H48))</f>
        <v/>
      </c>
      <c r="D3180" s="18">
        <f>IF($A3180="","",IF(Paramètres!I48="","",Paramètres!I48))</f>
        <v/>
      </c>
      <c r="E3180" s="19">
        <f>IF($A3180="","",IF(Paramètres!J48&amp;Paramètres!L48&amp;Paramètres!N48="",Dossiers!$D$62,MAX(IF(Paramètres!J48="",0,IF(Paramètres!K48="",NA(),IF(LEFT(TRIM(Paramètres!K48),1)="F",INDEX($F$3137:$F$3189,MATCH(Paramètres!J48,Paramètres!$G$5:$G$57,0)),INDEX($E$3137:$E$3189,MATCH(Paramètres!J48,Paramètres!$G$5:$G$57,0)))+IF(RIGHT(TRIM(Paramètres!K48),3)="Fin",1-$H3180,IF(LEFT(TRIM(Paramètres!K48),1)="F",1,0)))),IF(Paramètres!L48="",0,IF(Paramètres!M48="",NA(),IF(LEFT(TRIM(Paramètres!M48),1)="F",INDEX($F$3137:$F$3189,MATCH(Paramètres!L48,Paramètres!$G$5:$G$57,0)),INDEX($E$3137:$E$3189,MATCH(Paramètres!L48,Paramètres!$G$5:$G$57,0)))+IF(RIGHT(TRIM(Paramètres!M48),3)="Fin",1-$H3180,IF(LEFT(TRIM(Paramètres!M48),1)="F",1,0)))),IF(Paramètres!N48="",0,IF(Paramètres!O48="",NA(),IF(LEFT(TRIM(Paramètres!O48),1)="F",INDEX($F$3137:$F$3189,MATCH(Paramètres!N48,Paramètres!$G$5:$G$57,0)),INDEX($E$3137:$E$3189,MATCH(Paramètres!N48,Paramètres!$G$5:$G$57,0)))+IF(RIGHT(TRIM(Paramètres!O48),3)="Fin",1-$H3180,IF(LEFT(TRIM(Paramètres!O48),1)="F",1,0)))))))</f>
        <v/>
      </c>
      <c r="F3180" s="19">
        <f>IF($A3180="","",E3180+$H3180-1)</f>
        <v/>
      </c>
      <c r="G3180" s="18" t="n"/>
      <c r="H3180" s="18">
        <f>IF($A3180="","",IF(I3180&lt;&gt;"",I3180,Paramètres!B48))</f>
        <v/>
      </c>
      <c r="I3180" s="18" t="n"/>
    </row>
    <row r="3181">
      <c r="A3181" s="18">
        <f>IF(ISNUMBER(Dossiers!$D$62),Dossiers!$A$62&amp;" · "&amp;Dossiers!$B$62,"")</f>
        <v/>
      </c>
      <c r="B3181" s="18">
        <f>IF($A3181="","",Paramètres!G49)</f>
        <v/>
      </c>
      <c r="C3181" s="18">
        <f>IF($A3181="","",IF(Paramètres!H49="","",Paramètres!H49))</f>
        <v/>
      </c>
      <c r="D3181" s="18">
        <f>IF($A3181="","",IF(Paramètres!I49="","",Paramètres!I49))</f>
        <v/>
      </c>
      <c r="E3181" s="19">
        <f>IF($A3181="","",IF(Paramètres!J49&amp;Paramètres!L49&amp;Paramètres!N49="",Dossiers!$D$62,MAX(IF(Paramètres!J49="",0,IF(Paramètres!K49="",NA(),IF(LEFT(TRIM(Paramètres!K49),1)="F",INDEX($F$3137:$F$3189,MATCH(Paramètres!J49,Paramètres!$G$5:$G$57,0)),INDEX($E$3137:$E$3189,MATCH(Paramètres!J49,Paramètres!$G$5:$G$57,0)))+IF(RIGHT(TRIM(Paramètres!K49),3)="Fin",1-$H3181,IF(LEFT(TRIM(Paramètres!K49),1)="F",1,0)))),IF(Paramètres!L49="",0,IF(Paramètres!M49="",NA(),IF(LEFT(TRIM(Paramètres!M49),1)="F",INDEX($F$3137:$F$3189,MATCH(Paramètres!L49,Paramètres!$G$5:$G$57,0)),INDEX($E$3137:$E$3189,MATCH(Paramètres!L49,Paramètres!$G$5:$G$57,0)))+IF(RIGHT(TRIM(Paramètres!M49),3)="Fin",1-$H3181,IF(LEFT(TRIM(Paramètres!M49),1)="F",1,0)))),IF(Paramètres!N49="",0,IF(Paramètres!O49="",NA(),IF(LEFT(TRIM(Paramètres!O49),1)="F",INDEX($F$3137:$F$3189,MATCH(Paramètres!N49,Paramètres!$G$5:$G$57,0)),INDEX($E$3137:$E$3189,MATCH(Paramètres!N49,Paramètres!$G$5:$G$57,0)))+IF(RIGHT(TRIM(Paramètres!O49),3)="Fin",1-$H3181,IF(LEFT(TRIM(Paramètres!O49),1)="F",1,0)))))))</f>
        <v/>
      </c>
      <c r="F3181" s="19">
        <f>IF($A3181="","",E3181+$H3181-1)</f>
        <v/>
      </c>
      <c r="G3181" s="18" t="n"/>
      <c r="H3181" s="18">
        <f>IF($A3181="","",IF(I3181&lt;&gt;"",I3181,Paramètres!B49))</f>
        <v/>
      </c>
      <c r="I3181" s="18" t="n"/>
    </row>
    <row r="3182">
      <c r="A3182" s="18">
        <f>IF(ISNUMBER(Dossiers!$D$62),Dossiers!$A$62&amp;" · "&amp;Dossiers!$B$62,"")</f>
        <v/>
      </c>
      <c r="B3182" s="18">
        <f>IF($A3182="","",Paramètres!G50)</f>
        <v/>
      </c>
      <c r="C3182" s="18">
        <f>IF($A3182="","",IF(Paramètres!H50="","",Paramètres!H50))</f>
        <v/>
      </c>
      <c r="D3182" s="18">
        <f>IF($A3182="","",IF(Paramètres!I50="","",Paramètres!I50))</f>
        <v/>
      </c>
      <c r="E3182" s="19">
        <f>IF($A3182="","",IF(Paramètres!J50&amp;Paramètres!L50&amp;Paramètres!N50="",Dossiers!$D$62,MAX(IF(Paramètres!J50="",0,IF(Paramètres!K50="",NA(),IF(LEFT(TRIM(Paramètres!K50),1)="F",INDEX($F$3137:$F$3189,MATCH(Paramètres!J50,Paramètres!$G$5:$G$57,0)),INDEX($E$3137:$E$3189,MATCH(Paramètres!J50,Paramètres!$G$5:$G$57,0)))+IF(RIGHT(TRIM(Paramètres!K50),3)="Fin",1-$H3182,IF(LEFT(TRIM(Paramètres!K50),1)="F",1,0)))),IF(Paramètres!L50="",0,IF(Paramètres!M50="",NA(),IF(LEFT(TRIM(Paramètres!M50),1)="F",INDEX($F$3137:$F$3189,MATCH(Paramètres!L50,Paramètres!$G$5:$G$57,0)),INDEX($E$3137:$E$3189,MATCH(Paramètres!L50,Paramètres!$G$5:$G$57,0)))+IF(RIGHT(TRIM(Paramètres!M50),3)="Fin",1-$H3182,IF(LEFT(TRIM(Paramètres!M50),1)="F",1,0)))),IF(Paramètres!N50="",0,IF(Paramètres!O50="",NA(),IF(LEFT(TRIM(Paramètres!O50),1)="F",INDEX($F$3137:$F$3189,MATCH(Paramètres!N50,Paramètres!$G$5:$G$57,0)),INDEX($E$3137:$E$3189,MATCH(Paramètres!N50,Paramètres!$G$5:$G$57,0)))+IF(RIGHT(TRIM(Paramètres!O50),3)="Fin",1-$H3182,IF(LEFT(TRIM(Paramètres!O50),1)="F",1,0)))))))</f>
        <v/>
      </c>
      <c r="F3182" s="19">
        <f>IF($A3182="","",E3182+$H3182-1)</f>
        <v/>
      </c>
      <c r="G3182" s="18" t="n"/>
      <c r="H3182" s="18">
        <f>IF($A3182="","",IF(I3182&lt;&gt;"",I3182,Paramètres!B50))</f>
        <v/>
      </c>
      <c r="I3182" s="18" t="n"/>
    </row>
    <row r="3183">
      <c r="A3183" s="18">
        <f>IF(ISNUMBER(Dossiers!$D$62),Dossiers!$A$62&amp;" · "&amp;Dossiers!$B$62,"")</f>
        <v/>
      </c>
      <c r="B3183" s="18">
        <f>IF($A3183="","",Paramètres!G51)</f>
        <v/>
      </c>
      <c r="C3183" s="18">
        <f>IF($A3183="","",IF(Paramètres!H51="","",Paramètres!H51))</f>
        <v/>
      </c>
      <c r="D3183" s="18">
        <f>IF($A3183="","",IF(Paramètres!I51="","",Paramètres!I51))</f>
        <v/>
      </c>
      <c r="E3183" s="19">
        <f>IF($A3183="","",IF(Paramètres!J51&amp;Paramètres!L51&amp;Paramètres!N51="",Dossiers!$D$62,MAX(IF(Paramètres!J51="",0,IF(Paramètres!K51="",NA(),IF(LEFT(TRIM(Paramètres!K51),1)="F",INDEX($F$3137:$F$3189,MATCH(Paramètres!J51,Paramètres!$G$5:$G$57,0)),INDEX($E$3137:$E$3189,MATCH(Paramètres!J51,Paramètres!$G$5:$G$57,0)))+IF(RIGHT(TRIM(Paramètres!K51),3)="Fin",1-$H3183,IF(LEFT(TRIM(Paramètres!K51),1)="F",1,0)))),IF(Paramètres!L51="",0,IF(Paramètres!M51="",NA(),IF(LEFT(TRIM(Paramètres!M51),1)="F",INDEX($F$3137:$F$3189,MATCH(Paramètres!L51,Paramètres!$G$5:$G$57,0)),INDEX($E$3137:$E$3189,MATCH(Paramètres!L51,Paramètres!$G$5:$G$57,0)))+IF(RIGHT(TRIM(Paramètres!M51),3)="Fin",1-$H3183,IF(LEFT(TRIM(Paramètres!M51),1)="F",1,0)))),IF(Paramètres!N51="",0,IF(Paramètres!O51="",NA(),IF(LEFT(TRIM(Paramètres!O51),1)="F",INDEX($F$3137:$F$3189,MATCH(Paramètres!N51,Paramètres!$G$5:$G$57,0)),INDEX($E$3137:$E$3189,MATCH(Paramètres!N51,Paramètres!$G$5:$G$57,0)))+IF(RIGHT(TRIM(Paramètres!O51),3)="Fin",1-$H3183,IF(LEFT(TRIM(Paramètres!O51),1)="F",1,0)))))))</f>
        <v/>
      </c>
      <c r="F3183" s="19">
        <f>IF($A3183="","",E3183+$H3183-1)</f>
        <v/>
      </c>
      <c r="G3183" s="18" t="n"/>
      <c r="H3183" s="18">
        <f>IF($A3183="","",IF(I3183&lt;&gt;"",I3183,Paramètres!B51))</f>
        <v/>
      </c>
      <c r="I3183" s="18" t="n"/>
    </row>
    <row r="3184">
      <c r="A3184" s="18">
        <f>IF(ISNUMBER(Dossiers!$D$62),Dossiers!$A$62&amp;" · "&amp;Dossiers!$B$62,"")</f>
        <v/>
      </c>
      <c r="B3184" s="18">
        <f>IF($A3184="","",Paramètres!G52)</f>
        <v/>
      </c>
      <c r="C3184" s="18">
        <f>IF($A3184="","",IF(Paramètres!H52="","",Paramètres!H52))</f>
        <v/>
      </c>
      <c r="D3184" s="18">
        <f>IF($A3184="","",IF(Paramètres!I52="","",Paramètres!I52))</f>
        <v/>
      </c>
      <c r="E3184" s="19">
        <f>IF($A3184="","",IF(Paramètres!J52&amp;Paramètres!L52&amp;Paramètres!N52="",Dossiers!$D$62,MAX(IF(Paramètres!J52="",0,IF(Paramètres!K52="",NA(),IF(LEFT(TRIM(Paramètres!K52),1)="F",INDEX($F$3137:$F$3189,MATCH(Paramètres!J52,Paramètres!$G$5:$G$57,0)),INDEX($E$3137:$E$3189,MATCH(Paramètres!J52,Paramètres!$G$5:$G$57,0)))+IF(RIGHT(TRIM(Paramètres!K52),3)="Fin",1-$H3184,IF(LEFT(TRIM(Paramètres!K52),1)="F",1,0)))),IF(Paramètres!L52="",0,IF(Paramètres!M52="",NA(),IF(LEFT(TRIM(Paramètres!M52),1)="F",INDEX($F$3137:$F$3189,MATCH(Paramètres!L52,Paramètres!$G$5:$G$57,0)),INDEX($E$3137:$E$3189,MATCH(Paramètres!L52,Paramètres!$G$5:$G$57,0)))+IF(RIGHT(TRIM(Paramètres!M52),3)="Fin",1-$H3184,IF(LEFT(TRIM(Paramètres!M52),1)="F",1,0)))),IF(Paramètres!N52="",0,IF(Paramètres!O52="",NA(),IF(LEFT(TRIM(Paramètres!O52),1)="F",INDEX($F$3137:$F$3189,MATCH(Paramètres!N52,Paramètres!$G$5:$G$57,0)),INDEX($E$3137:$E$3189,MATCH(Paramètres!N52,Paramètres!$G$5:$G$57,0)))+IF(RIGHT(TRIM(Paramètres!O52),3)="Fin",1-$H3184,IF(LEFT(TRIM(Paramètres!O52),1)="F",1,0)))))))</f>
        <v/>
      </c>
      <c r="F3184" s="19">
        <f>IF($A3184="","",E3184+$H3184-1)</f>
        <v/>
      </c>
      <c r="G3184" s="18" t="n"/>
      <c r="H3184" s="18">
        <f>IF($A3184="","",IF(I3184&lt;&gt;"",I3184,Paramètres!B52))</f>
        <v/>
      </c>
      <c r="I3184" s="18" t="n"/>
    </row>
    <row r="3185">
      <c r="A3185" s="18">
        <f>IF(ISNUMBER(Dossiers!$D$62),Dossiers!$A$62&amp;" · "&amp;Dossiers!$B$62,"")</f>
        <v/>
      </c>
      <c r="B3185" s="18">
        <f>IF($A3185="","",Paramètres!G53)</f>
        <v/>
      </c>
      <c r="C3185" s="18">
        <f>IF($A3185="","",IF(Paramètres!H53="","",Paramètres!H53))</f>
        <v/>
      </c>
      <c r="D3185" s="18">
        <f>IF($A3185="","",IF(Paramètres!I53="","",Paramètres!I53))</f>
        <v/>
      </c>
      <c r="E3185" s="19">
        <f>IF($A3185="","",IF(Paramètres!J53&amp;Paramètres!L53&amp;Paramètres!N53="",Dossiers!$D$62,MAX(IF(Paramètres!J53="",0,IF(Paramètres!K53="",NA(),IF(LEFT(TRIM(Paramètres!K53),1)="F",INDEX($F$3137:$F$3189,MATCH(Paramètres!J53,Paramètres!$G$5:$G$57,0)),INDEX($E$3137:$E$3189,MATCH(Paramètres!J53,Paramètres!$G$5:$G$57,0)))+IF(RIGHT(TRIM(Paramètres!K53),3)="Fin",1-$H3185,IF(LEFT(TRIM(Paramètres!K53),1)="F",1,0)))),IF(Paramètres!L53="",0,IF(Paramètres!M53="",NA(),IF(LEFT(TRIM(Paramètres!M53),1)="F",INDEX($F$3137:$F$3189,MATCH(Paramètres!L53,Paramètres!$G$5:$G$57,0)),INDEX($E$3137:$E$3189,MATCH(Paramètres!L53,Paramètres!$G$5:$G$57,0)))+IF(RIGHT(TRIM(Paramètres!M53),3)="Fin",1-$H3185,IF(LEFT(TRIM(Paramètres!M53),1)="F",1,0)))),IF(Paramètres!N53="",0,IF(Paramètres!O53="",NA(),IF(LEFT(TRIM(Paramètres!O53),1)="F",INDEX($F$3137:$F$3189,MATCH(Paramètres!N53,Paramètres!$G$5:$G$57,0)),INDEX($E$3137:$E$3189,MATCH(Paramètres!N53,Paramètres!$G$5:$G$57,0)))+IF(RIGHT(TRIM(Paramètres!O53),3)="Fin",1-$H3185,IF(LEFT(TRIM(Paramètres!O53),1)="F",1,0)))))))</f>
        <v/>
      </c>
      <c r="F3185" s="19">
        <f>IF($A3185="","",E3185+$H3185-1)</f>
        <v/>
      </c>
      <c r="G3185" s="18" t="n"/>
      <c r="H3185" s="18">
        <f>IF($A3185="","",IF(I3185&lt;&gt;"",I3185,Paramètres!B53))</f>
        <v/>
      </c>
      <c r="I3185" s="18" t="n"/>
    </row>
    <row r="3186">
      <c r="A3186" s="18">
        <f>IF(ISNUMBER(Dossiers!$D$62),Dossiers!$A$62&amp;" · "&amp;Dossiers!$B$62,"")</f>
        <v/>
      </c>
      <c r="B3186" s="18">
        <f>IF($A3186="","",Paramètres!G54)</f>
        <v/>
      </c>
      <c r="C3186" s="18">
        <f>IF($A3186="","",IF(Paramètres!H54="","",Paramètres!H54))</f>
        <v/>
      </c>
      <c r="D3186" s="18">
        <f>IF($A3186="","",IF(Paramètres!I54="","",Paramètres!I54))</f>
        <v/>
      </c>
      <c r="E3186" s="19">
        <f>IF($A3186="","",IF(Paramètres!J54&amp;Paramètres!L54&amp;Paramètres!N54="",Dossiers!$D$62,MAX(IF(Paramètres!J54="",0,IF(Paramètres!K54="",NA(),IF(LEFT(TRIM(Paramètres!K54),1)="F",INDEX($F$3137:$F$3189,MATCH(Paramètres!J54,Paramètres!$G$5:$G$57,0)),INDEX($E$3137:$E$3189,MATCH(Paramètres!J54,Paramètres!$G$5:$G$57,0)))+IF(RIGHT(TRIM(Paramètres!K54),3)="Fin",1-$H3186,IF(LEFT(TRIM(Paramètres!K54),1)="F",1,0)))),IF(Paramètres!L54="",0,IF(Paramètres!M54="",NA(),IF(LEFT(TRIM(Paramètres!M54),1)="F",INDEX($F$3137:$F$3189,MATCH(Paramètres!L54,Paramètres!$G$5:$G$57,0)),INDEX($E$3137:$E$3189,MATCH(Paramètres!L54,Paramètres!$G$5:$G$57,0)))+IF(RIGHT(TRIM(Paramètres!M54),3)="Fin",1-$H3186,IF(LEFT(TRIM(Paramètres!M54),1)="F",1,0)))),IF(Paramètres!N54="",0,IF(Paramètres!O54="",NA(),IF(LEFT(TRIM(Paramètres!O54),1)="F",INDEX($F$3137:$F$3189,MATCH(Paramètres!N54,Paramètres!$G$5:$G$57,0)),INDEX($E$3137:$E$3189,MATCH(Paramètres!N54,Paramètres!$G$5:$G$57,0)))+IF(RIGHT(TRIM(Paramètres!O54),3)="Fin",1-$H3186,IF(LEFT(TRIM(Paramètres!O54),1)="F",1,0)))))))</f>
        <v/>
      </c>
      <c r="F3186" s="19">
        <f>IF($A3186="","",E3186+$H3186-1)</f>
        <v/>
      </c>
      <c r="G3186" s="18" t="n"/>
      <c r="H3186" s="18">
        <f>IF($A3186="","",IF(I3186&lt;&gt;"",I3186,Paramètres!B54))</f>
        <v/>
      </c>
      <c r="I3186" s="18" t="n"/>
    </row>
    <row r="3187">
      <c r="A3187" s="18">
        <f>IF(ISNUMBER(Dossiers!$D$62),Dossiers!$A$62&amp;" · "&amp;Dossiers!$B$62,"")</f>
        <v/>
      </c>
      <c r="B3187" s="18">
        <f>IF($A3187="","",Paramètres!G55)</f>
        <v/>
      </c>
      <c r="C3187" s="18">
        <f>IF($A3187="","",IF(Paramètres!H55="","",Paramètres!H55))</f>
        <v/>
      </c>
      <c r="D3187" s="18">
        <f>IF($A3187="","",IF(Paramètres!I55="","",Paramètres!I55))</f>
        <v/>
      </c>
      <c r="E3187" s="19">
        <f>IF($A3187="","",IF(Paramètres!J55&amp;Paramètres!L55&amp;Paramètres!N55="",Dossiers!$D$62,MAX(IF(Paramètres!J55="",0,IF(Paramètres!K55="",NA(),IF(LEFT(TRIM(Paramètres!K55),1)="F",INDEX($F$3137:$F$3189,MATCH(Paramètres!J55,Paramètres!$G$5:$G$57,0)),INDEX($E$3137:$E$3189,MATCH(Paramètres!J55,Paramètres!$G$5:$G$57,0)))+IF(RIGHT(TRIM(Paramètres!K55),3)="Fin",1-$H3187,IF(LEFT(TRIM(Paramètres!K55),1)="F",1,0)))),IF(Paramètres!L55="",0,IF(Paramètres!M55="",NA(),IF(LEFT(TRIM(Paramètres!M55),1)="F",INDEX($F$3137:$F$3189,MATCH(Paramètres!L55,Paramètres!$G$5:$G$57,0)),INDEX($E$3137:$E$3189,MATCH(Paramètres!L55,Paramètres!$G$5:$G$57,0)))+IF(RIGHT(TRIM(Paramètres!M55),3)="Fin",1-$H3187,IF(LEFT(TRIM(Paramètres!M55),1)="F",1,0)))),IF(Paramètres!N55="",0,IF(Paramètres!O55="",NA(),IF(LEFT(TRIM(Paramètres!O55),1)="F",INDEX($F$3137:$F$3189,MATCH(Paramètres!N55,Paramètres!$G$5:$G$57,0)),INDEX($E$3137:$E$3189,MATCH(Paramètres!N55,Paramètres!$G$5:$G$57,0)))+IF(RIGHT(TRIM(Paramètres!O55),3)="Fin",1-$H3187,IF(LEFT(TRIM(Paramètres!O55),1)="F",1,0)))))))</f>
        <v/>
      </c>
      <c r="F3187" s="19">
        <f>IF($A3187="","",E3187+$H3187-1)</f>
        <v/>
      </c>
      <c r="G3187" s="18" t="n"/>
      <c r="H3187" s="18">
        <f>IF($A3187="","",IF(I3187&lt;&gt;"",I3187,Paramètres!B55))</f>
        <v/>
      </c>
      <c r="I3187" s="18" t="n"/>
    </row>
    <row r="3188">
      <c r="A3188" s="18">
        <f>IF(ISNUMBER(Dossiers!$D$62),Dossiers!$A$62&amp;" · "&amp;Dossiers!$B$62,"")</f>
        <v/>
      </c>
      <c r="B3188" s="18">
        <f>IF($A3188="","",Paramètres!G56)</f>
        <v/>
      </c>
      <c r="C3188" s="18">
        <f>IF($A3188="","",IF(Paramètres!H56="","",Paramètres!H56))</f>
        <v/>
      </c>
      <c r="D3188" s="18">
        <f>IF($A3188="","",IF(Paramètres!I56="","",Paramètres!I56))</f>
        <v/>
      </c>
      <c r="E3188" s="19">
        <f>IF($A3188="","",MIN(E3189:E3189))</f>
        <v/>
      </c>
      <c r="F3188" s="19">
        <f>IF($A3188="","",MAX(F3189:F3189))</f>
        <v/>
      </c>
      <c r="G3188" s="18" t="n"/>
      <c r="H3188" s="18">
        <f>IF($A3188="","",F3188-E3188+1)</f>
        <v/>
      </c>
      <c r="I3188" s="18" t="n"/>
    </row>
    <row r="3189">
      <c r="A3189" s="18">
        <f>IF(ISNUMBER(Dossiers!$D$62),Dossiers!$A$62&amp;" · "&amp;Dossiers!$B$62,"")</f>
        <v/>
      </c>
      <c r="B3189" s="18">
        <f>IF($A3189="","",Paramètres!G57)</f>
        <v/>
      </c>
      <c r="C3189" s="18">
        <f>IF($A3189="","",IF(Paramètres!H57="","",Paramètres!H57))</f>
        <v/>
      </c>
      <c r="D3189" s="18">
        <f>IF($A3189="","",IF(Paramètres!I57="","",Paramètres!I57))</f>
        <v/>
      </c>
      <c r="E3189" s="19">
        <f>IF($A3189="","",IF(Paramètres!J57&amp;Paramètres!L57&amp;Paramètres!N57="",Dossiers!$D$62,MAX(IF(Paramètres!J57="",0,IF(Paramètres!K57="",NA(),IF(LEFT(TRIM(Paramètres!K57),1)="F",INDEX($F$3137:$F$3189,MATCH(Paramètres!J57,Paramètres!$G$5:$G$57,0)),INDEX($E$3137:$E$3189,MATCH(Paramètres!J57,Paramètres!$G$5:$G$57,0)))+IF(RIGHT(TRIM(Paramètres!K57),3)="Fin",1-$H3189,IF(LEFT(TRIM(Paramètres!K57),1)="F",1,0)))),IF(Paramètres!L57="",0,IF(Paramètres!M57="",NA(),IF(LEFT(TRIM(Paramètres!M57),1)="F",INDEX($F$3137:$F$3189,MATCH(Paramètres!L57,Paramètres!$G$5:$G$57,0)),INDEX($E$3137:$E$3189,MATCH(Paramètres!L57,Paramètres!$G$5:$G$57,0)))+IF(RIGHT(TRIM(Paramètres!M57),3)="Fin",1-$H3189,IF(LEFT(TRIM(Paramètres!M57),1)="F",1,0)))),IF(Paramètres!N57="",0,IF(Paramètres!O57="",NA(),IF(LEFT(TRIM(Paramètres!O57),1)="F",INDEX($F$3137:$F$3189,MATCH(Paramètres!N57,Paramètres!$G$5:$G$57,0)),INDEX($E$3137:$E$3189,MATCH(Paramètres!N57,Paramètres!$G$5:$G$57,0)))+IF(RIGHT(TRIM(Paramètres!O57),3)="Fin",1-$H3189,IF(LEFT(TRIM(Paramètres!O57),1)="F",1,0)))))))</f>
        <v/>
      </c>
      <c r="F3189" s="19">
        <f>IF($A3189="","",E3189+$H3189-1)</f>
        <v/>
      </c>
      <c r="G3189" s="18" t="n"/>
      <c r="H3189" s="18">
        <f>IF($A3189="","",IF(I3189&lt;&gt;"",I3189,Paramètres!B57))</f>
        <v/>
      </c>
      <c r="I3189" s="18" t="n"/>
    </row>
    <row r="3190">
      <c r="A3190" s="16">
        <f>IF(ISNUMBER(Dossiers!$D$63),Dossiers!$E$63,"")</f>
        <v/>
      </c>
      <c r="B3190" s="16">
        <f>IF($A3190="","","Identifiant")</f>
        <v/>
      </c>
      <c r="C3190" s="16">
        <f>IF($A3190="","","Macro Etape")</f>
        <v/>
      </c>
      <c r="D3190" s="16">
        <f>IF($A3190="","","Etape")</f>
        <v/>
      </c>
      <c r="E3190" s="17">
        <f>IF($A3190="","","Début le")</f>
        <v/>
      </c>
      <c r="F3190" s="17">
        <f>IF($A3190="","","Fin prévue le")</f>
        <v/>
      </c>
      <c r="G3190" s="16">
        <f>IF($A3190="","","Statut")</f>
        <v/>
      </c>
      <c r="H3190" s="16">
        <f>IF($A3190="","","Durée (jours)")</f>
        <v/>
      </c>
      <c r="I3190" s="16">
        <f>IF($A3190="","","Durée particulière")</f>
        <v/>
      </c>
      <c r="J3190" s="10">
        <f>IF($A3190="","",HYPERLINK("#'Tableau de bord'!A1","↑ Tableau de bord"))</f>
        <v/>
      </c>
    </row>
    <row r="3191">
      <c r="A3191" s="18">
        <f>IF(ISNUMBER(Dossiers!$D$63),Dossiers!$A$63&amp;" · "&amp;Dossiers!$B$63,"")</f>
        <v/>
      </c>
      <c r="B3191" s="18">
        <f>IF($A3191="","",Paramètres!G5)</f>
        <v/>
      </c>
      <c r="C3191" s="18">
        <f>IF($A3191="","",IF(Paramètres!H5="","",Paramètres!H5))</f>
        <v/>
      </c>
      <c r="D3191" s="18">
        <f>IF($A3191="","",IF(Paramètres!I5="","",Paramètres!I5))</f>
        <v/>
      </c>
      <c r="E3191" s="19">
        <f>IF($A3191="","",MIN(E3192:E3195))</f>
        <v/>
      </c>
      <c r="F3191" s="19">
        <f>IF($A3191="","",MAX(F3192:F3195))</f>
        <v/>
      </c>
      <c r="G3191" s="18" t="n"/>
      <c r="H3191" s="18">
        <f>IF($A3191="","",F3191-E3191+1)</f>
        <v/>
      </c>
      <c r="I3191" s="18" t="n"/>
    </row>
    <row r="3192">
      <c r="A3192" s="18">
        <f>IF(ISNUMBER(Dossiers!$D$63),Dossiers!$A$63&amp;" · "&amp;Dossiers!$B$63,"")</f>
        <v/>
      </c>
      <c r="B3192" s="18">
        <f>IF($A3192="","",Paramètres!G6)</f>
        <v/>
      </c>
      <c r="C3192" s="18">
        <f>IF($A3192="","",IF(Paramètres!H6="","",Paramètres!H6))</f>
        <v/>
      </c>
      <c r="D3192" s="18">
        <f>IF($A3192="","",IF(Paramètres!I6="","",Paramètres!I6))</f>
        <v/>
      </c>
      <c r="E3192" s="19">
        <f>IF($A3192="","",IF(Paramètres!J6&amp;Paramètres!L6&amp;Paramètres!N6="",Dossiers!$D$63,MAX(IF(Paramètres!J6="",0,IF(Paramètres!K6="",NA(),IF(LEFT(TRIM(Paramètres!K6),1)="F",INDEX($F$3191:$F$3243,MATCH(Paramètres!J6,Paramètres!$G$5:$G$57,0)),INDEX($E$3191:$E$3243,MATCH(Paramètres!J6,Paramètres!$G$5:$G$57,0)))+IF(RIGHT(TRIM(Paramètres!K6),3)="Fin",1-$H3192,IF(LEFT(TRIM(Paramètres!K6),1)="F",1,0)))),IF(Paramètres!L6="",0,IF(Paramètres!M6="",NA(),IF(LEFT(TRIM(Paramètres!M6),1)="F",INDEX($F$3191:$F$3243,MATCH(Paramètres!L6,Paramètres!$G$5:$G$57,0)),INDEX($E$3191:$E$3243,MATCH(Paramètres!L6,Paramètres!$G$5:$G$57,0)))+IF(RIGHT(TRIM(Paramètres!M6),3)="Fin",1-$H3192,IF(LEFT(TRIM(Paramètres!M6),1)="F",1,0)))),IF(Paramètres!N6="",0,IF(Paramètres!O6="",NA(),IF(LEFT(TRIM(Paramètres!O6),1)="F",INDEX($F$3191:$F$3243,MATCH(Paramètres!N6,Paramètres!$G$5:$G$57,0)),INDEX($E$3191:$E$3243,MATCH(Paramètres!N6,Paramètres!$G$5:$G$57,0)))+IF(RIGHT(TRIM(Paramètres!O6),3)="Fin",1-$H3192,IF(LEFT(TRIM(Paramètres!O6),1)="F",1,0)))))))</f>
        <v/>
      </c>
      <c r="F3192" s="19">
        <f>IF($A3192="","",E3192+$H3192-1)</f>
        <v/>
      </c>
      <c r="G3192" s="18" t="n"/>
      <c r="H3192" s="18">
        <f>IF($A3192="","",IF(I3192&lt;&gt;"",I3192,Paramètres!B6))</f>
        <v/>
      </c>
      <c r="I3192" s="18" t="n"/>
    </row>
    <row r="3193">
      <c r="A3193" s="18">
        <f>IF(ISNUMBER(Dossiers!$D$63),Dossiers!$A$63&amp;" · "&amp;Dossiers!$B$63,"")</f>
        <v/>
      </c>
      <c r="B3193" s="18">
        <f>IF($A3193="","",Paramètres!G7)</f>
        <v/>
      </c>
      <c r="C3193" s="18">
        <f>IF($A3193="","",IF(Paramètres!H7="","",Paramètres!H7))</f>
        <v/>
      </c>
      <c r="D3193" s="18">
        <f>IF($A3193="","",IF(Paramètres!I7="","",Paramètres!I7))</f>
        <v/>
      </c>
      <c r="E3193" s="19">
        <f>IF($A3193="","",IF(Paramètres!J7&amp;Paramètres!L7&amp;Paramètres!N7="",Dossiers!$D$63,MAX(IF(Paramètres!J7="",0,IF(Paramètres!K7="",NA(),IF(LEFT(TRIM(Paramètres!K7),1)="F",INDEX($F$3191:$F$3243,MATCH(Paramètres!J7,Paramètres!$G$5:$G$57,0)),INDEX($E$3191:$E$3243,MATCH(Paramètres!J7,Paramètres!$G$5:$G$57,0)))+IF(RIGHT(TRIM(Paramètres!K7),3)="Fin",1-$H3193,IF(LEFT(TRIM(Paramètres!K7),1)="F",1,0)))),IF(Paramètres!L7="",0,IF(Paramètres!M7="",NA(),IF(LEFT(TRIM(Paramètres!M7),1)="F",INDEX($F$3191:$F$3243,MATCH(Paramètres!L7,Paramètres!$G$5:$G$57,0)),INDEX($E$3191:$E$3243,MATCH(Paramètres!L7,Paramètres!$G$5:$G$57,0)))+IF(RIGHT(TRIM(Paramètres!M7),3)="Fin",1-$H3193,IF(LEFT(TRIM(Paramètres!M7),1)="F",1,0)))),IF(Paramètres!N7="",0,IF(Paramètres!O7="",NA(),IF(LEFT(TRIM(Paramètres!O7),1)="F",INDEX($F$3191:$F$3243,MATCH(Paramètres!N7,Paramètres!$G$5:$G$57,0)),INDEX($E$3191:$E$3243,MATCH(Paramètres!N7,Paramètres!$G$5:$G$57,0)))+IF(RIGHT(TRIM(Paramètres!O7),3)="Fin",1-$H3193,IF(LEFT(TRIM(Paramètres!O7),1)="F",1,0)))))))</f>
        <v/>
      </c>
      <c r="F3193" s="19">
        <f>IF($A3193="","",E3193+$H3193-1)</f>
        <v/>
      </c>
      <c r="G3193" s="18" t="n"/>
      <c r="H3193" s="18">
        <f>IF($A3193="","",IF(I3193&lt;&gt;"",I3193,Paramètres!B7))</f>
        <v/>
      </c>
      <c r="I3193" s="18" t="n"/>
    </row>
    <row r="3194">
      <c r="A3194" s="18">
        <f>IF(ISNUMBER(Dossiers!$D$63),Dossiers!$A$63&amp;" · "&amp;Dossiers!$B$63,"")</f>
        <v/>
      </c>
      <c r="B3194" s="18">
        <f>IF($A3194="","",Paramètres!G8)</f>
        <v/>
      </c>
      <c r="C3194" s="18">
        <f>IF($A3194="","",IF(Paramètres!H8="","",Paramètres!H8))</f>
        <v/>
      </c>
      <c r="D3194" s="18">
        <f>IF($A3194="","",IF(Paramètres!I8="","",Paramètres!I8))</f>
        <v/>
      </c>
      <c r="E3194" s="19">
        <f>IF($A3194="","",IF(Paramètres!J8&amp;Paramètres!L8&amp;Paramètres!N8="",Dossiers!$D$63,MAX(IF(Paramètres!J8="",0,IF(Paramètres!K8="",NA(),IF(LEFT(TRIM(Paramètres!K8),1)="F",INDEX($F$3191:$F$3243,MATCH(Paramètres!J8,Paramètres!$G$5:$G$57,0)),INDEX($E$3191:$E$3243,MATCH(Paramètres!J8,Paramètres!$G$5:$G$57,0)))+IF(RIGHT(TRIM(Paramètres!K8),3)="Fin",1-$H3194,IF(LEFT(TRIM(Paramètres!K8),1)="F",1,0)))),IF(Paramètres!L8="",0,IF(Paramètres!M8="",NA(),IF(LEFT(TRIM(Paramètres!M8),1)="F",INDEX($F$3191:$F$3243,MATCH(Paramètres!L8,Paramètres!$G$5:$G$57,0)),INDEX($E$3191:$E$3243,MATCH(Paramètres!L8,Paramètres!$G$5:$G$57,0)))+IF(RIGHT(TRIM(Paramètres!M8),3)="Fin",1-$H3194,IF(LEFT(TRIM(Paramètres!M8),1)="F",1,0)))),IF(Paramètres!N8="",0,IF(Paramètres!O8="",NA(),IF(LEFT(TRIM(Paramètres!O8),1)="F",INDEX($F$3191:$F$3243,MATCH(Paramètres!N8,Paramètres!$G$5:$G$57,0)),INDEX($E$3191:$E$3243,MATCH(Paramètres!N8,Paramètres!$G$5:$G$57,0)))+IF(RIGHT(TRIM(Paramètres!O8),3)="Fin",1-$H3194,IF(LEFT(TRIM(Paramètres!O8),1)="F",1,0)))))))</f>
        <v/>
      </c>
      <c r="F3194" s="19">
        <f>IF($A3194="","",E3194+$H3194-1)</f>
        <v/>
      </c>
      <c r="G3194" s="18" t="n"/>
      <c r="H3194" s="18">
        <f>IF($A3194="","",IF(I3194&lt;&gt;"",I3194,Paramètres!B8))</f>
        <v/>
      </c>
      <c r="I3194" s="18" t="n"/>
    </row>
    <row r="3195">
      <c r="A3195" s="18">
        <f>IF(ISNUMBER(Dossiers!$D$63),Dossiers!$A$63&amp;" · "&amp;Dossiers!$B$63,"")</f>
        <v/>
      </c>
      <c r="B3195" s="18">
        <f>IF($A3195="","",Paramètres!G9)</f>
        <v/>
      </c>
      <c r="C3195" s="18">
        <f>IF($A3195="","",IF(Paramètres!H9="","",Paramètres!H9))</f>
        <v/>
      </c>
      <c r="D3195" s="18">
        <f>IF($A3195="","",IF(Paramètres!I9="","",Paramètres!I9))</f>
        <v/>
      </c>
      <c r="E3195" s="19">
        <f>IF($A3195="","",IF(Paramètres!J9&amp;Paramètres!L9&amp;Paramètres!N9="",Dossiers!$D$63,MAX(IF(Paramètres!J9="",0,IF(Paramètres!K9="",NA(),IF(LEFT(TRIM(Paramètres!K9),1)="F",INDEX($F$3191:$F$3243,MATCH(Paramètres!J9,Paramètres!$G$5:$G$57,0)),INDEX($E$3191:$E$3243,MATCH(Paramètres!J9,Paramètres!$G$5:$G$57,0)))+IF(RIGHT(TRIM(Paramètres!K9),3)="Fin",1-$H3195,IF(LEFT(TRIM(Paramètres!K9),1)="F",1,0)))),IF(Paramètres!L9="",0,IF(Paramètres!M9="",NA(),IF(LEFT(TRIM(Paramètres!M9),1)="F",INDEX($F$3191:$F$3243,MATCH(Paramètres!L9,Paramètres!$G$5:$G$57,0)),INDEX($E$3191:$E$3243,MATCH(Paramètres!L9,Paramètres!$G$5:$G$57,0)))+IF(RIGHT(TRIM(Paramètres!M9),3)="Fin",1-$H3195,IF(LEFT(TRIM(Paramètres!M9),1)="F",1,0)))),IF(Paramètres!N9="",0,IF(Paramètres!O9="",NA(),IF(LEFT(TRIM(Paramètres!O9),1)="F",INDEX($F$3191:$F$3243,MATCH(Paramètres!N9,Paramètres!$G$5:$G$57,0)),INDEX($E$3191:$E$3243,MATCH(Paramètres!N9,Paramètres!$G$5:$G$57,0)))+IF(RIGHT(TRIM(Paramètres!O9),3)="Fin",1-$H3195,IF(LEFT(TRIM(Paramètres!O9),1)="F",1,0)))))))</f>
        <v/>
      </c>
      <c r="F3195" s="19">
        <f>IF($A3195="","",E3195+$H3195-1)</f>
        <v/>
      </c>
      <c r="G3195" s="18" t="n"/>
      <c r="H3195" s="18">
        <f>IF($A3195="","",IF(I3195&lt;&gt;"",I3195,Paramètres!B9))</f>
        <v/>
      </c>
      <c r="I3195" s="18" t="n"/>
    </row>
    <row r="3196">
      <c r="A3196" s="18">
        <f>IF(ISNUMBER(Dossiers!$D$63),Dossiers!$A$63&amp;" · "&amp;Dossiers!$B$63,"")</f>
        <v/>
      </c>
      <c r="B3196" s="18">
        <f>IF($A3196="","",Paramètres!G10)</f>
        <v/>
      </c>
      <c r="C3196" s="18">
        <f>IF($A3196="","",IF(Paramètres!H10="","",Paramètres!H10))</f>
        <v/>
      </c>
      <c r="D3196" s="18">
        <f>IF($A3196="","",IF(Paramètres!I10="","",Paramètres!I10))</f>
        <v/>
      </c>
      <c r="E3196" s="19">
        <f>IF($A3196="","",MIN(E3197:E3200))</f>
        <v/>
      </c>
      <c r="F3196" s="19">
        <f>IF($A3196="","",MAX(F3197:F3200))</f>
        <v/>
      </c>
      <c r="G3196" s="18" t="n"/>
      <c r="H3196" s="18">
        <f>IF($A3196="","",F3196-E3196+1)</f>
        <v/>
      </c>
      <c r="I3196" s="18" t="n"/>
    </row>
    <row r="3197">
      <c r="A3197" s="18">
        <f>IF(ISNUMBER(Dossiers!$D$63),Dossiers!$A$63&amp;" · "&amp;Dossiers!$B$63,"")</f>
        <v/>
      </c>
      <c r="B3197" s="18">
        <f>IF($A3197="","",Paramètres!G11)</f>
        <v/>
      </c>
      <c r="C3197" s="18">
        <f>IF($A3197="","",IF(Paramètres!H11="","",Paramètres!H11))</f>
        <v/>
      </c>
      <c r="D3197" s="18">
        <f>IF($A3197="","",IF(Paramètres!I11="","",Paramètres!I11))</f>
        <v/>
      </c>
      <c r="E3197" s="19">
        <f>IF($A3197="","",IF(Paramètres!J11&amp;Paramètres!L11&amp;Paramètres!N11="",Dossiers!$D$63,MAX(IF(Paramètres!J11="",0,IF(Paramètres!K11="",NA(),IF(LEFT(TRIM(Paramètres!K11),1)="F",INDEX($F$3191:$F$3243,MATCH(Paramètres!J11,Paramètres!$G$5:$G$57,0)),INDEX($E$3191:$E$3243,MATCH(Paramètres!J11,Paramètres!$G$5:$G$57,0)))+IF(RIGHT(TRIM(Paramètres!K11),3)="Fin",1-$H3197,IF(LEFT(TRIM(Paramètres!K11),1)="F",1,0)))),IF(Paramètres!L11="",0,IF(Paramètres!M11="",NA(),IF(LEFT(TRIM(Paramètres!M11),1)="F",INDEX($F$3191:$F$3243,MATCH(Paramètres!L11,Paramètres!$G$5:$G$57,0)),INDEX($E$3191:$E$3243,MATCH(Paramètres!L11,Paramètres!$G$5:$G$57,0)))+IF(RIGHT(TRIM(Paramètres!M11),3)="Fin",1-$H3197,IF(LEFT(TRIM(Paramètres!M11),1)="F",1,0)))),IF(Paramètres!N11="",0,IF(Paramètres!O11="",NA(),IF(LEFT(TRIM(Paramètres!O11),1)="F",INDEX($F$3191:$F$3243,MATCH(Paramètres!N11,Paramètres!$G$5:$G$57,0)),INDEX($E$3191:$E$3243,MATCH(Paramètres!N11,Paramètres!$G$5:$G$57,0)))+IF(RIGHT(TRIM(Paramètres!O11),3)="Fin",1-$H3197,IF(LEFT(TRIM(Paramètres!O11),1)="F",1,0)))))))</f>
        <v/>
      </c>
      <c r="F3197" s="19">
        <f>IF($A3197="","",E3197+$H3197-1)</f>
        <v/>
      </c>
      <c r="G3197" s="18" t="n"/>
      <c r="H3197" s="18">
        <f>IF($A3197="","",IF(I3197&lt;&gt;"",I3197,Paramètres!B11))</f>
        <v/>
      </c>
      <c r="I3197" s="18" t="n"/>
    </row>
    <row r="3198">
      <c r="A3198" s="18">
        <f>IF(ISNUMBER(Dossiers!$D$63),Dossiers!$A$63&amp;" · "&amp;Dossiers!$B$63,"")</f>
        <v/>
      </c>
      <c r="B3198" s="18">
        <f>IF($A3198="","",Paramètres!G12)</f>
        <v/>
      </c>
      <c r="C3198" s="18">
        <f>IF($A3198="","",IF(Paramètres!H12="","",Paramètres!H12))</f>
        <v/>
      </c>
      <c r="D3198" s="18">
        <f>IF($A3198="","",IF(Paramètres!I12="","",Paramètres!I12))</f>
        <v/>
      </c>
      <c r="E3198" s="19">
        <f>IF($A3198="","",IF(Paramètres!J12&amp;Paramètres!L12&amp;Paramètres!N12="",Dossiers!$D$63,MAX(IF(Paramètres!J12="",0,IF(Paramètres!K12="",NA(),IF(LEFT(TRIM(Paramètres!K12),1)="F",INDEX($F$3191:$F$3243,MATCH(Paramètres!J12,Paramètres!$G$5:$G$57,0)),INDEX($E$3191:$E$3243,MATCH(Paramètres!J12,Paramètres!$G$5:$G$57,0)))+IF(RIGHT(TRIM(Paramètres!K12),3)="Fin",1-$H3198,IF(LEFT(TRIM(Paramètres!K12),1)="F",1,0)))),IF(Paramètres!L12="",0,IF(Paramètres!M12="",NA(),IF(LEFT(TRIM(Paramètres!M12),1)="F",INDEX($F$3191:$F$3243,MATCH(Paramètres!L12,Paramètres!$G$5:$G$57,0)),INDEX($E$3191:$E$3243,MATCH(Paramètres!L12,Paramètres!$G$5:$G$57,0)))+IF(RIGHT(TRIM(Paramètres!M12),3)="Fin",1-$H3198,IF(LEFT(TRIM(Paramètres!M12),1)="F",1,0)))),IF(Paramètres!N12="",0,IF(Paramètres!O12="",NA(),IF(LEFT(TRIM(Paramètres!O12),1)="F",INDEX($F$3191:$F$3243,MATCH(Paramètres!N12,Paramètres!$G$5:$G$57,0)),INDEX($E$3191:$E$3243,MATCH(Paramètres!N12,Paramètres!$G$5:$G$57,0)))+IF(RIGHT(TRIM(Paramètres!O12),3)="Fin",1-$H3198,IF(LEFT(TRIM(Paramètres!O12),1)="F",1,0)))))))</f>
        <v/>
      </c>
      <c r="F3198" s="19">
        <f>IF($A3198="","",E3198+$H3198-1)</f>
        <v/>
      </c>
      <c r="G3198" s="18" t="n"/>
      <c r="H3198" s="18">
        <f>IF($A3198="","",IF(I3198&lt;&gt;"",I3198,Paramètres!B12))</f>
        <v/>
      </c>
      <c r="I3198" s="18" t="n"/>
    </row>
    <row r="3199">
      <c r="A3199" s="18">
        <f>IF(ISNUMBER(Dossiers!$D$63),Dossiers!$A$63&amp;" · "&amp;Dossiers!$B$63,"")</f>
        <v/>
      </c>
      <c r="B3199" s="18">
        <f>IF($A3199="","",Paramètres!G13)</f>
        <v/>
      </c>
      <c r="C3199" s="18">
        <f>IF($A3199="","",IF(Paramètres!H13="","",Paramètres!H13))</f>
        <v/>
      </c>
      <c r="D3199" s="18">
        <f>IF($A3199="","",IF(Paramètres!I13="","",Paramètres!I13))</f>
        <v/>
      </c>
      <c r="E3199" s="19">
        <f>IF($A3199="","",IF(Paramètres!J13&amp;Paramètres!L13&amp;Paramètres!N13="",Dossiers!$D$63,MAX(IF(Paramètres!J13="",0,IF(Paramètres!K13="",NA(),IF(LEFT(TRIM(Paramètres!K13),1)="F",INDEX($F$3191:$F$3243,MATCH(Paramètres!J13,Paramètres!$G$5:$G$57,0)),INDEX($E$3191:$E$3243,MATCH(Paramètres!J13,Paramètres!$G$5:$G$57,0)))+IF(RIGHT(TRIM(Paramètres!K13),3)="Fin",1-$H3199,IF(LEFT(TRIM(Paramètres!K13),1)="F",1,0)))),IF(Paramètres!L13="",0,IF(Paramètres!M13="",NA(),IF(LEFT(TRIM(Paramètres!M13),1)="F",INDEX($F$3191:$F$3243,MATCH(Paramètres!L13,Paramètres!$G$5:$G$57,0)),INDEX($E$3191:$E$3243,MATCH(Paramètres!L13,Paramètres!$G$5:$G$57,0)))+IF(RIGHT(TRIM(Paramètres!M13),3)="Fin",1-$H3199,IF(LEFT(TRIM(Paramètres!M13),1)="F",1,0)))),IF(Paramètres!N13="",0,IF(Paramètres!O13="",NA(),IF(LEFT(TRIM(Paramètres!O13),1)="F",INDEX($F$3191:$F$3243,MATCH(Paramètres!N13,Paramètres!$G$5:$G$57,0)),INDEX($E$3191:$E$3243,MATCH(Paramètres!N13,Paramètres!$G$5:$G$57,0)))+IF(RIGHT(TRIM(Paramètres!O13),3)="Fin",1-$H3199,IF(LEFT(TRIM(Paramètres!O13),1)="F",1,0)))))))</f>
        <v/>
      </c>
      <c r="F3199" s="19">
        <f>IF($A3199="","",E3199+$H3199-1)</f>
        <v/>
      </c>
      <c r="G3199" s="18" t="n"/>
      <c r="H3199" s="18">
        <f>IF($A3199="","",IF(I3199&lt;&gt;"",I3199,Paramètres!B13))</f>
        <v/>
      </c>
      <c r="I3199" s="18" t="n"/>
    </row>
    <row r="3200">
      <c r="A3200" s="18">
        <f>IF(ISNUMBER(Dossiers!$D$63),Dossiers!$A$63&amp;" · "&amp;Dossiers!$B$63,"")</f>
        <v/>
      </c>
      <c r="B3200" s="18">
        <f>IF($A3200="","",Paramètres!G14)</f>
        <v/>
      </c>
      <c r="C3200" s="18">
        <f>IF($A3200="","",IF(Paramètres!H14="","",Paramètres!H14))</f>
        <v/>
      </c>
      <c r="D3200" s="18">
        <f>IF($A3200="","",IF(Paramètres!I14="","",Paramètres!I14))</f>
        <v/>
      </c>
      <c r="E3200" s="19">
        <f>IF($A3200="","",IF(Paramètres!J14&amp;Paramètres!L14&amp;Paramètres!N14="",Dossiers!$D$63,MAX(IF(Paramètres!J14="",0,IF(Paramètres!K14="",NA(),IF(LEFT(TRIM(Paramètres!K14),1)="F",INDEX($F$3191:$F$3243,MATCH(Paramètres!J14,Paramètres!$G$5:$G$57,0)),INDEX($E$3191:$E$3243,MATCH(Paramètres!J14,Paramètres!$G$5:$G$57,0)))+IF(RIGHT(TRIM(Paramètres!K14),3)="Fin",1-$H3200,IF(LEFT(TRIM(Paramètres!K14),1)="F",1,0)))),IF(Paramètres!L14="",0,IF(Paramètres!M14="",NA(),IF(LEFT(TRIM(Paramètres!M14),1)="F",INDEX($F$3191:$F$3243,MATCH(Paramètres!L14,Paramètres!$G$5:$G$57,0)),INDEX($E$3191:$E$3243,MATCH(Paramètres!L14,Paramètres!$G$5:$G$57,0)))+IF(RIGHT(TRIM(Paramètres!M14),3)="Fin",1-$H3200,IF(LEFT(TRIM(Paramètres!M14),1)="F",1,0)))),IF(Paramètres!N14="",0,IF(Paramètres!O14="",NA(),IF(LEFT(TRIM(Paramètres!O14),1)="F",INDEX($F$3191:$F$3243,MATCH(Paramètres!N14,Paramètres!$G$5:$G$57,0)),INDEX($E$3191:$E$3243,MATCH(Paramètres!N14,Paramètres!$G$5:$G$57,0)))+IF(RIGHT(TRIM(Paramètres!O14),3)="Fin",1-$H3200,IF(LEFT(TRIM(Paramètres!O14),1)="F",1,0)))))))</f>
        <v/>
      </c>
      <c r="F3200" s="19">
        <f>IF($A3200="","",E3200+$H3200-1)</f>
        <v/>
      </c>
      <c r="G3200" s="18" t="n"/>
      <c r="H3200" s="18">
        <f>IF($A3200="","",IF(I3200&lt;&gt;"",I3200,Paramètres!B14))</f>
        <v/>
      </c>
      <c r="I3200" s="18" t="n"/>
    </row>
    <row r="3201">
      <c r="A3201" s="18">
        <f>IF(ISNUMBER(Dossiers!$D$63),Dossiers!$A$63&amp;" · "&amp;Dossiers!$B$63,"")</f>
        <v/>
      </c>
      <c r="B3201" s="18">
        <f>IF($A3201="","",Paramètres!G15)</f>
        <v/>
      </c>
      <c r="C3201" s="18">
        <f>IF($A3201="","",IF(Paramètres!H15="","",Paramètres!H15))</f>
        <v/>
      </c>
      <c r="D3201" s="18">
        <f>IF($A3201="","",IF(Paramètres!I15="","",Paramètres!I15))</f>
        <v/>
      </c>
      <c r="E3201" s="19">
        <f>IF($A3201="","",MIN(E3202:E3217))</f>
        <v/>
      </c>
      <c r="F3201" s="19">
        <f>IF($A3201="","",MAX(F3202:F3217))</f>
        <v/>
      </c>
      <c r="G3201" s="18" t="n"/>
      <c r="H3201" s="18">
        <f>IF($A3201="","",F3201-E3201+1)</f>
        <v/>
      </c>
      <c r="I3201" s="18" t="n"/>
    </row>
    <row r="3202">
      <c r="A3202" s="18">
        <f>IF(ISNUMBER(Dossiers!$D$63),Dossiers!$A$63&amp;" · "&amp;Dossiers!$B$63,"")</f>
        <v/>
      </c>
      <c r="B3202" s="18">
        <f>IF($A3202="","",Paramètres!G16)</f>
        <v/>
      </c>
      <c r="C3202" s="18">
        <f>IF($A3202="","",IF(Paramètres!H16="","",Paramètres!H16))</f>
        <v/>
      </c>
      <c r="D3202" s="18">
        <f>IF($A3202="","",IF(Paramètres!I16="","",Paramètres!I16))</f>
        <v/>
      </c>
      <c r="E3202" s="19">
        <f>IF($A3202="","",IF(Paramètres!J16&amp;Paramètres!L16&amp;Paramètres!N16="",Dossiers!$D$63,MAX(IF(Paramètres!J16="",0,IF(Paramètres!K16="",NA(),IF(LEFT(TRIM(Paramètres!K16),1)="F",INDEX($F$3191:$F$3243,MATCH(Paramètres!J16,Paramètres!$G$5:$G$57,0)),INDEX($E$3191:$E$3243,MATCH(Paramètres!J16,Paramètres!$G$5:$G$57,0)))+IF(RIGHT(TRIM(Paramètres!K16),3)="Fin",1-$H3202,IF(LEFT(TRIM(Paramètres!K16),1)="F",1,0)))),IF(Paramètres!L16="",0,IF(Paramètres!M16="",NA(),IF(LEFT(TRIM(Paramètres!M16),1)="F",INDEX($F$3191:$F$3243,MATCH(Paramètres!L16,Paramètres!$G$5:$G$57,0)),INDEX($E$3191:$E$3243,MATCH(Paramètres!L16,Paramètres!$G$5:$G$57,0)))+IF(RIGHT(TRIM(Paramètres!M16),3)="Fin",1-$H3202,IF(LEFT(TRIM(Paramètres!M16),1)="F",1,0)))),IF(Paramètres!N16="",0,IF(Paramètres!O16="",NA(),IF(LEFT(TRIM(Paramètres!O16),1)="F",INDEX($F$3191:$F$3243,MATCH(Paramètres!N16,Paramètres!$G$5:$G$57,0)),INDEX($E$3191:$E$3243,MATCH(Paramètres!N16,Paramètres!$G$5:$G$57,0)))+IF(RIGHT(TRIM(Paramètres!O16),3)="Fin",1-$H3202,IF(LEFT(TRIM(Paramètres!O16),1)="F",1,0)))))))</f>
        <v/>
      </c>
      <c r="F3202" s="19">
        <f>IF($A3202="","",E3202+$H3202-1)</f>
        <v/>
      </c>
      <c r="G3202" s="18" t="n"/>
      <c r="H3202" s="18">
        <f>IF($A3202="","",IF(I3202&lt;&gt;"",I3202,Paramètres!B16))</f>
        <v/>
      </c>
      <c r="I3202" s="18" t="n"/>
    </row>
    <row r="3203">
      <c r="A3203" s="18">
        <f>IF(ISNUMBER(Dossiers!$D$63),Dossiers!$A$63&amp;" · "&amp;Dossiers!$B$63,"")</f>
        <v/>
      </c>
      <c r="B3203" s="18">
        <f>IF($A3203="","",Paramètres!G17)</f>
        <v/>
      </c>
      <c r="C3203" s="18">
        <f>IF($A3203="","",IF(Paramètres!H17="","",Paramètres!H17))</f>
        <v/>
      </c>
      <c r="D3203" s="18">
        <f>IF($A3203="","",IF(Paramètres!I17="","",Paramètres!I17))</f>
        <v/>
      </c>
      <c r="E3203" s="19">
        <f>IF($A3203="","",IF(Paramètres!J17&amp;Paramètres!L17&amp;Paramètres!N17="",Dossiers!$D$63,MAX(IF(Paramètres!J17="",0,IF(Paramètres!K17="",NA(),IF(LEFT(TRIM(Paramètres!K17),1)="F",INDEX($F$3191:$F$3243,MATCH(Paramètres!J17,Paramètres!$G$5:$G$57,0)),INDEX($E$3191:$E$3243,MATCH(Paramètres!J17,Paramètres!$G$5:$G$57,0)))+IF(RIGHT(TRIM(Paramètres!K17),3)="Fin",1-$H3203,IF(LEFT(TRIM(Paramètres!K17),1)="F",1,0)))),IF(Paramètres!L17="",0,IF(Paramètres!M17="",NA(),IF(LEFT(TRIM(Paramètres!M17),1)="F",INDEX($F$3191:$F$3243,MATCH(Paramètres!L17,Paramètres!$G$5:$G$57,0)),INDEX($E$3191:$E$3243,MATCH(Paramètres!L17,Paramètres!$G$5:$G$57,0)))+IF(RIGHT(TRIM(Paramètres!M17),3)="Fin",1-$H3203,IF(LEFT(TRIM(Paramètres!M17),1)="F",1,0)))),IF(Paramètres!N17="",0,IF(Paramètres!O17="",NA(),IF(LEFT(TRIM(Paramètres!O17),1)="F",INDEX($F$3191:$F$3243,MATCH(Paramètres!N17,Paramètres!$G$5:$G$57,0)),INDEX($E$3191:$E$3243,MATCH(Paramètres!N17,Paramètres!$G$5:$G$57,0)))+IF(RIGHT(TRIM(Paramètres!O17),3)="Fin",1-$H3203,IF(LEFT(TRIM(Paramètres!O17),1)="F",1,0)))))))</f>
        <v/>
      </c>
      <c r="F3203" s="19">
        <f>IF($A3203="","",E3203+$H3203-1)</f>
        <v/>
      </c>
      <c r="G3203" s="18" t="n"/>
      <c r="H3203" s="18">
        <f>IF($A3203="","",IF(I3203&lt;&gt;"",I3203,Paramètres!B17))</f>
        <v/>
      </c>
      <c r="I3203" s="18" t="n"/>
    </row>
    <row r="3204">
      <c r="A3204" s="18">
        <f>IF(ISNUMBER(Dossiers!$D$63),Dossiers!$A$63&amp;" · "&amp;Dossiers!$B$63,"")</f>
        <v/>
      </c>
      <c r="B3204" s="18">
        <f>IF($A3204="","",Paramètres!G18)</f>
        <v/>
      </c>
      <c r="C3204" s="18">
        <f>IF($A3204="","",IF(Paramètres!H18="","",Paramètres!H18))</f>
        <v/>
      </c>
      <c r="D3204" s="18">
        <f>IF($A3204="","",IF(Paramètres!I18="","",Paramètres!I18))</f>
        <v/>
      </c>
      <c r="E3204" s="19">
        <f>IF($A3204="","",IF(Paramètres!J18&amp;Paramètres!L18&amp;Paramètres!N18="",Dossiers!$D$63,MAX(IF(Paramètres!J18="",0,IF(Paramètres!K18="",NA(),IF(LEFT(TRIM(Paramètres!K18),1)="F",INDEX($F$3191:$F$3243,MATCH(Paramètres!J18,Paramètres!$G$5:$G$57,0)),INDEX($E$3191:$E$3243,MATCH(Paramètres!J18,Paramètres!$G$5:$G$57,0)))+IF(RIGHT(TRIM(Paramètres!K18),3)="Fin",1-$H3204,IF(LEFT(TRIM(Paramètres!K18),1)="F",1,0)))),IF(Paramètres!L18="",0,IF(Paramètres!M18="",NA(),IF(LEFT(TRIM(Paramètres!M18),1)="F",INDEX($F$3191:$F$3243,MATCH(Paramètres!L18,Paramètres!$G$5:$G$57,0)),INDEX($E$3191:$E$3243,MATCH(Paramètres!L18,Paramètres!$G$5:$G$57,0)))+IF(RIGHT(TRIM(Paramètres!M18),3)="Fin",1-$H3204,IF(LEFT(TRIM(Paramètres!M18),1)="F",1,0)))),IF(Paramètres!N18="",0,IF(Paramètres!O18="",NA(),IF(LEFT(TRIM(Paramètres!O18),1)="F",INDEX($F$3191:$F$3243,MATCH(Paramètres!N18,Paramètres!$G$5:$G$57,0)),INDEX($E$3191:$E$3243,MATCH(Paramètres!N18,Paramètres!$G$5:$G$57,0)))+IF(RIGHT(TRIM(Paramètres!O18),3)="Fin",1-$H3204,IF(LEFT(TRIM(Paramètres!O18),1)="F",1,0)))))))</f>
        <v/>
      </c>
      <c r="F3204" s="19">
        <f>IF($A3204="","",E3204+$H3204-1)</f>
        <v/>
      </c>
      <c r="G3204" s="18" t="n"/>
      <c r="H3204" s="18">
        <f>IF($A3204="","",IF(I3204&lt;&gt;"",I3204,Paramètres!B18))</f>
        <v/>
      </c>
      <c r="I3204" s="18" t="n"/>
    </row>
    <row r="3205">
      <c r="A3205" s="18">
        <f>IF(ISNUMBER(Dossiers!$D$63),Dossiers!$A$63&amp;" · "&amp;Dossiers!$B$63,"")</f>
        <v/>
      </c>
      <c r="B3205" s="18">
        <f>IF($A3205="","",Paramètres!G19)</f>
        <v/>
      </c>
      <c r="C3205" s="18">
        <f>IF($A3205="","",IF(Paramètres!H19="","",Paramètres!H19))</f>
        <v/>
      </c>
      <c r="D3205" s="18">
        <f>IF($A3205="","",IF(Paramètres!I19="","",Paramètres!I19))</f>
        <v/>
      </c>
      <c r="E3205" s="19">
        <f>IF($A3205="","",IF(Paramètres!J19&amp;Paramètres!L19&amp;Paramètres!N19="",Dossiers!$D$63,MAX(IF(Paramètres!J19="",0,IF(Paramètres!K19="",NA(),IF(LEFT(TRIM(Paramètres!K19),1)="F",INDEX($F$3191:$F$3243,MATCH(Paramètres!J19,Paramètres!$G$5:$G$57,0)),INDEX($E$3191:$E$3243,MATCH(Paramètres!J19,Paramètres!$G$5:$G$57,0)))+IF(RIGHT(TRIM(Paramètres!K19),3)="Fin",1-$H3205,IF(LEFT(TRIM(Paramètres!K19),1)="F",1,0)))),IF(Paramètres!L19="",0,IF(Paramètres!M19="",NA(),IF(LEFT(TRIM(Paramètres!M19),1)="F",INDEX($F$3191:$F$3243,MATCH(Paramètres!L19,Paramètres!$G$5:$G$57,0)),INDEX($E$3191:$E$3243,MATCH(Paramètres!L19,Paramètres!$G$5:$G$57,0)))+IF(RIGHT(TRIM(Paramètres!M19),3)="Fin",1-$H3205,IF(LEFT(TRIM(Paramètres!M19),1)="F",1,0)))),IF(Paramètres!N19="",0,IF(Paramètres!O19="",NA(),IF(LEFT(TRIM(Paramètres!O19),1)="F",INDEX($F$3191:$F$3243,MATCH(Paramètres!N19,Paramètres!$G$5:$G$57,0)),INDEX($E$3191:$E$3243,MATCH(Paramètres!N19,Paramètres!$G$5:$G$57,0)))+IF(RIGHT(TRIM(Paramètres!O19),3)="Fin",1-$H3205,IF(LEFT(TRIM(Paramètres!O19),1)="F",1,0)))))))</f>
        <v/>
      </c>
      <c r="F3205" s="19">
        <f>IF($A3205="","",E3205+$H3205-1)</f>
        <v/>
      </c>
      <c r="G3205" s="18" t="n"/>
      <c r="H3205" s="18">
        <f>IF($A3205="","",IF(I3205&lt;&gt;"",I3205,Paramètres!B19))</f>
        <v/>
      </c>
      <c r="I3205" s="18" t="n"/>
    </row>
    <row r="3206">
      <c r="A3206" s="18">
        <f>IF(ISNUMBER(Dossiers!$D$63),Dossiers!$A$63&amp;" · "&amp;Dossiers!$B$63,"")</f>
        <v/>
      </c>
      <c r="B3206" s="18">
        <f>IF($A3206="","",Paramètres!G20)</f>
        <v/>
      </c>
      <c r="C3206" s="18">
        <f>IF($A3206="","",IF(Paramètres!H20="","",Paramètres!H20))</f>
        <v/>
      </c>
      <c r="D3206" s="18">
        <f>IF($A3206="","",IF(Paramètres!I20="","",Paramètres!I20))</f>
        <v/>
      </c>
      <c r="E3206" s="19">
        <f>IF($A3206="","",IF(Paramètres!J20&amp;Paramètres!L20&amp;Paramètres!N20="",Dossiers!$D$63,MAX(IF(Paramètres!J20="",0,IF(Paramètres!K20="",NA(),IF(LEFT(TRIM(Paramètres!K20),1)="F",INDEX($F$3191:$F$3243,MATCH(Paramètres!J20,Paramètres!$G$5:$G$57,0)),INDEX($E$3191:$E$3243,MATCH(Paramètres!J20,Paramètres!$G$5:$G$57,0)))+IF(RIGHT(TRIM(Paramètres!K20),3)="Fin",1-$H3206,IF(LEFT(TRIM(Paramètres!K20),1)="F",1,0)))),IF(Paramètres!L20="",0,IF(Paramètres!M20="",NA(),IF(LEFT(TRIM(Paramètres!M20),1)="F",INDEX($F$3191:$F$3243,MATCH(Paramètres!L20,Paramètres!$G$5:$G$57,0)),INDEX($E$3191:$E$3243,MATCH(Paramètres!L20,Paramètres!$G$5:$G$57,0)))+IF(RIGHT(TRIM(Paramètres!M20),3)="Fin",1-$H3206,IF(LEFT(TRIM(Paramètres!M20),1)="F",1,0)))),IF(Paramètres!N20="",0,IF(Paramètres!O20="",NA(),IF(LEFT(TRIM(Paramètres!O20),1)="F",INDEX($F$3191:$F$3243,MATCH(Paramètres!N20,Paramètres!$G$5:$G$57,0)),INDEX($E$3191:$E$3243,MATCH(Paramètres!N20,Paramètres!$G$5:$G$57,0)))+IF(RIGHT(TRIM(Paramètres!O20),3)="Fin",1-$H3206,IF(LEFT(TRIM(Paramètres!O20),1)="F",1,0)))))))</f>
        <v/>
      </c>
      <c r="F3206" s="19">
        <f>IF($A3206="","",E3206+$H3206-1)</f>
        <v/>
      </c>
      <c r="G3206" s="18" t="n"/>
      <c r="H3206" s="18">
        <f>IF($A3206="","",IF(I3206&lt;&gt;"",I3206,Paramètres!B20))</f>
        <v/>
      </c>
      <c r="I3206" s="18" t="n"/>
    </row>
    <row r="3207">
      <c r="A3207" s="18">
        <f>IF(ISNUMBER(Dossiers!$D$63),Dossiers!$A$63&amp;" · "&amp;Dossiers!$B$63,"")</f>
        <v/>
      </c>
      <c r="B3207" s="18">
        <f>IF($A3207="","",Paramètres!G21)</f>
        <v/>
      </c>
      <c r="C3207" s="18">
        <f>IF($A3207="","",IF(Paramètres!H21="","",Paramètres!H21))</f>
        <v/>
      </c>
      <c r="D3207" s="18">
        <f>IF($A3207="","",IF(Paramètres!I21="","",Paramètres!I21))</f>
        <v/>
      </c>
      <c r="E3207" s="19">
        <f>IF($A3207="","",IF(Paramètres!J21&amp;Paramètres!L21&amp;Paramètres!N21="",Dossiers!$D$63,MAX(IF(Paramètres!J21="",0,IF(Paramètres!K21="",NA(),IF(LEFT(TRIM(Paramètres!K21),1)="F",INDEX($F$3191:$F$3243,MATCH(Paramètres!J21,Paramètres!$G$5:$G$57,0)),INDEX($E$3191:$E$3243,MATCH(Paramètres!J21,Paramètres!$G$5:$G$57,0)))+IF(RIGHT(TRIM(Paramètres!K21),3)="Fin",1-$H3207,IF(LEFT(TRIM(Paramètres!K21),1)="F",1,0)))),IF(Paramètres!L21="",0,IF(Paramètres!M21="",NA(),IF(LEFT(TRIM(Paramètres!M21),1)="F",INDEX($F$3191:$F$3243,MATCH(Paramètres!L21,Paramètres!$G$5:$G$57,0)),INDEX($E$3191:$E$3243,MATCH(Paramètres!L21,Paramètres!$G$5:$G$57,0)))+IF(RIGHT(TRIM(Paramètres!M21),3)="Fin",1-$H3207,IF(LEFT(TRIM(Paramètres!M21),1)="F",1,0)))),IF(Paramètres!N21="",0,IF(Paramètres!O21="",NA(),IF(LEFT(TRIM(Paramètres!O21),1)="F",INDEX($F$3191:$F$3243,MATCH(Paramètres!N21,Paramètres!$G$5:$G$57,0)),INDEX($E$3191:$E$3243,MATCH(Paramètres!N21,Paramètres!$G$5:$G$57,0)))+IF(RIGHT(TRIM(Paramètres!O21),3)="Fin",1-$H3207,IF(LEFT(TRIM(Paramètres!O21),1)="F",1,0)))))))</f>
        <v/>
      </c>
      <c r="F3207" s="19">
        <f>IF($A3207="","",E3207+$H3207-1)</f>
        <v/>
      </c>
      <c r="G3207" s="18" t="n"/>
      <c r="H3207" s="18">
        <f>IF($A3207="","",IF(I3207&lt;&gt;"",I3207,Paramètres!B21))</f>
        <v/>
      </c>
      <c r="I3207" s="18" t="n"/>
    </row>
    <row r="3208">
      <c r="A3208" s="18">
        <f>IF(ISNUMBER(Dossiers!$D$63),Dossiers!$A$63&amp;" · "&amp;Dossiers!$B$63,"")</f>
        <v/>
      </c>
      <c r="B3208" s="18">
        <f>IF($A3208="","",Paramètres!G22)</f>
        <v/>
      </c>
      <c r="C3208" s="18">
        <f>IF($A3208="","",IF(Paramètres!H22="","",Paramètres!H22))</f>
        <v/>
      </c>
      <c r="D3208" s="18">
        <f>IF($A3208="","",IF(Paramètres!I22="","",Paramètres!I22))</f>
        <v/>
      </c>
      <c r="E3208" s="19">
        <f>IF($A3208="","",IF(Paramètres!J22&amp;Paramètres!L22&amp;Paramètres!N22="",Dossiers!$D$63,MAX(IF(Paramètres!J22="",0,IF(Paramètres!K22="",NA(),IF(LEFT(TRIM(Paramètres!K22),1)="F",INDEX($F$3191:$F$3243,MATCH(Paramètres!J22,Paramètres!$G$5:$G$57,0)),INDEX($E$3191:$E$3243,MATCH(Paramètres!J22,Paramètres!$G$5:$G$57,0)))+IF(RIGHT(TRIM(Paramètres!K22),3)="Fin",1-$H3208,IF(LEFT(TRIM(Paramètres!K22),1)="F",1,0)))),IF(Paramètres!L22="",0,IF(Paramètres!M22="",NA(),IF(LEFT(TRIM(Paramètres!M22),1)="F",INDEX($F$3191:$F$3243,MATCH(Paramètres!L22,Paramètres!$G$5:$G$57,0)),INDEX($E$3191:$E$3243,MATCH(Paramètres!L22,Paramètres!$G$5:$G$57,0)))+IF(RIGHT(TRIM(Paramètres!M22),3)="Fin",1-$H3208,IF(LEFT(TRIM(Paramètres!M22),1)="F",1,0)))),IF(Paramètres!N22="",0,IF(Paramètres!O22="",NA(),IF(LEFT(TRIM(Paramètres!O22),1)="F",INDEX($F$3191:$F$3243,MATCH(Paramètres!N22,Paramètres!$G$5:$G$57,0)),INDEX($E$3191:$E$3243,MATCH(Paramètres!N22,Paramètres!$G$5:$G$57,0)))+IF(RIGHT(TRIM(Paramètres!O22),3)="Fin",1-$H3208,IF(LEFT(TRIM(Paramètres!O22),1)="F",1,0)))))))</f>
        <v/>
      </c>
      <c r="F3208" s="19">
        <f>IF($A3208="","",E3208+$H3208-1)</f>
        <v/>
      </c>
      <c r="G3208" s="18" t="n"/>
      <c r="H3208" s="18">
        <f>IF($A3208="","",IF(I3208&lt;&gt;"",I3208,Paramètres!B22))</f>
        <v/>
      </c>
      <c r="I3208" s="18" t="n"/>
    </row>
    <row r="3209">
      <c r="A3209" s="18">
        <f>IF(ISNUMBER(Dossiers!$D$63),Dossiers!$A$63&amp;" · "&amp;Dossiers!$B$63,"")</f>
        <v/>
      </c>
      <c r="B3209" s="18">
        <f>IF($A3209="","",Paramètres!G23)</f>
        <v/>
      </c>
      <c r="C3209" s="18">
        <f>IF($A3209="","",IF(Paramètres!H23="","",Paramètres!H23))</f>
        <v/>
      </c>
      <c r="D3209" s="18">
        <f>IF($A3209="","",IF(Paramètres!I23="","",Paramètres!I23))</f>
        <v/>
      </c>
      <c r="E3209" s="19">
        <f>IF($A3209="","",IF(Paramètres!J23&amp;Paramètres!L23&amp;Paramètres!N23="",Dossiers!$D$63,MAX(IF(Paramètres!J23="",0,IF(Paramètres!K23="",NA(),IF(LEFT(TRIM(Paramètres!K23),1)="F",INDEX($F$3191:$F$3243,MATCH(Paramètres!J23,Paramètres!$G$5:$G$57,0)),INDEX($E$3191:$E$3243,MATCH(Paramètres!J23,Paramètres!$G$5:$G$57,0)))+IF(RIGHT(TRIM(Paramètres!K23),3)="Fin",1-$H3209,IF(LEFT(TRIM(Paramètres!K23),1)="F",1,0)))),IF(Paramètres!L23="",0,IF(Paramètres!M23="",NA(),IF(LEFT(TRIM(Paramètres!M23),1)="F",INDEX($F$3191:$F$3243,MATCH(Paramètres!L23,Paramètres!$G$5:$G$57,0)),INDEX($E$3191:$E$3243,MATCH(Paramètres!L23,Paramètres!$G$5:$G$57,0)))+IF(RIGHT(TRIM(Paramètres!M23),3)="Fin",1-$H3209,IF(LEFT(TRIM(Paramètres!M23),1)="F",1,0)))),IF(Paramètres!N23="",0,IF(Paramètres!O23="",NA(),IF(LEFT(TRIM(Paramètres!O23),1)="F",INDEX($F$3191:$F$3243,MATCH(Paramètres!N23,Paramètres!$G$5:$G$57,0)),INDEX($E$3191:$E$3243,MATCH(Paramètres!N23,Paramètres!$G$5:$G$57,0)))+IF(RIGHT(TRIM(Paramètres!O23),3)="Fin",1-$H3209,IF(LEFT(TRIM(Paramètres!O23),1)="F",1,0)))))))</f>
        <v/>
      </c>
      <c r="F3209" s="19">
        <f>IF($A3209="","",E3209+$H3209-1)</f>
        <v/>
      </c>
      <c r="G3209" s="18" t="n"/>
      <c r="H3209" s="18">
        <f>IF($A3209="","",IF(I3209&lt;&gt;"",I3209,Paramètres!B23))</f>
        <v/>
      </c>
      <c r="I3209" s="18" t="n"/>
    </row>
    <row r="3210">
      <c r="A3210" s="18">
        <f>IF(ISNUMBER(Dossiers!$D$63),Dossiers!$A$63&amp;" · "&amp;Dossiers!$B$63,"")</f>
        <v/>
      </c>
      <c r="B3210" s="18">
        <f>IF($A3210="","",Paramètres!G24)</f>
        <v/>
      </c>
      <c r="C3210" s="18">
        <f>IF($A3210="","",IF(Paramètres!H24="","",Paramètres!H24))</f>
        <v/>
      </c>
      <c r="D3210" s="18">
        <f>IF($A3210="","",IF(Paramètres!I24="","",Paramètres!I24))</f>
        <v/>
      </c>
      <c r="E3210" s="19">
        <f>IF($A3210="","",IF(Paramètres!J24&amp;Paramètres!L24&amp;Paramètres!N24="",Dossiers!$D$63,MAX(IF(Paramètres!J24="",0,IF(Paramètres!K24="",NA(),IF(LEFT(TRIM(Paramètres!K24),1)="F",INDEX($F$3191:$F$3243,MATCH(Paramètres!J24,Paramètres!$G$5:$G$57,0)),INDEX($E$3191:$E$3243,MATCH(Paramètres!J24,Paramètres!$G$5:$G$57,0)))+IF(RIGHT(TRIM(Paramètres!K24),3)="Fin",1-$H3210,IF(LEFT(TRIM(Paramètres!K24),1)="F",1,0)))),IF(Paramètres!L24="",0,IF(Paramètres!M24="",NA(),IF(LEFT(TRIM(Paramètres!M24),1)="F",INDEX($F$3191:$F$3243,MATCH(Paramètres!L24,Paramètres!$G$5:$G$57,0)),INDEX($E$3191:$E$3243,MATCH(Paramètres!L24,Paramètres!$G$5:$G$57,0)))+IF(RIGHT(TRIM(Paramètres!M24),3)="Fin",1-$H3210,IF(LEFT(TRIM(Paramètres!M24),1)="F",1,0)))),IF(Paramètres!N24="",0,IF(Paramètres!O24="",NA(),IF(LEFT(TRIM(Paramètres!O24),1)="F",INDEX($F$3191:$F$3243,MATCH(Paramètres!N24,Paramètres!$G$5:$G$57,0)),INDEX($E$3191:$E$3243,MATCH(Paramètres!N24,Paramètres!$G$5:$G$57,0)))+IF(RIGHT(TRIM(Paramètres!O24),3)="Fin",1-$H3210,IF(LEFT(TRIM(Paramètres!O24),1)="F",1,0)))))))</f>
        <v/>
      </c>
      <c r="F3210" s="19">
        <f>IF($A3210="","",E3210+$H3210-1)</f>
        <v/>
      </c>
      <c r="G3210" s="18" t="n"/>
      <c r="H3210" s="18">
        <f>IF($A3210="","",IF(I3210&lt;&gt;"",I3210,Paramètres!B24))</f>
        <v/>
      </c>
      <c r="I3210" s="18" t="n"/>
    </row>
    <row r="3211">
      <c r="A3211" s="18">
        <f>IF(ISNUMBER(Dossiers!$D$63),Dossiers!$A$63&amp;" · "&amp;Dossiers!$B$63,"")</f>
        <v/>
      </c>
      <c r="B3211" s="18">
        <f>IF($A3211="","",Paramètres!G25)</f>
        <v/>
      </c>
      <c r="C3211" s="18">
        <f>IF($A3211="","",IF(Paramètres!H25="","",Paramètres!H25))</f>
        <v/>
      </c>
      <c r="D3211" s="18">
        <f>IF($A3211="","",IF(Paramètres!I25="","",Paramètres!I25))</f>
        <v/>
      </c>
      <c r="E3211" s="19">
        <f>IF($A3211="","",IF(Paramètres!J25&amp;Paramètres!L25&amp;Paramètres!N25="",Dossiers!$D$63,MAX(IF(Paramètres!J25="",0,IF(Paramètres!K25="",NA(),IF(LEFT(TRIM(Paramètres!K25),1)="F",INDEX($F$3191:$F$3243,MATCH(Paramètres!J25,Paramètres!$G$5:$G$57,0)),INDEX($E$3191:$E$3243,MATCH(Paramètres!J25,Paramètres!$G$5:$G$57,0)))+IF(RIGHT(TRIM(Paramètres!K25),3)="Fin",1-$H3211,IF(LEFT(TRIM(Paramètres!K25),1)="F",1,0)))),IF(Paramètres!L25="",0,IF(Paramètres!M25="",NA(),IF(LEFT(TRIM(Paramètres!M25),1)="F",INDEX($F$3191:$F$3243,MATCH(Paramètres!L25,Paramètres!$G$5:$G$57,0)),INDEX($E$3191:$E$3243,MATCH(Paramètres!L25,Paramètres!$G$5:$G$57,0)))+IF(RIGHT(TRIM(Paramètres!M25),3)="Fin",1-$H3211,IF(LEFT(TRIM(Paramètres!M25),1)="F",1,0)))),IF(Paramètres!N25="",0,IF(Paramètres!O25="",NA(),IF(LEFT(TRIM(Paramètres!O25),1)="F",INDEX($F$3191:$F$3243,MATCH(Paramètres!N25,Paramètres!$G$5:$G$57,0)),INDEX($E$3191:$E$3243,MATCH(Paramètres!N25,Paramètres!$G$5:$G$57,0)))+IF(RIGHT(TRIM(Paramètres!O25),3)="Fin",1-$H3211,IF(LEFT(TRIM(Paramètres!O25),1)="F",1,0)))))))</f>
        <v/>
      </c>
      <c r="F3211" s="19">
        <f>IF($A3211="","",E3211+$H3211-1)</f>
        <v/>
      </c>
      <c r="G3211" s="18" t="n"/>
      <c r="H3211" s="18">
        <f>IF($A3211="","",IF(I3211&lt;&gt;"",I3211,Paramètres!B25))</f>
        <v/>
      </c>
      <c r="I3211" s="18" t="n"/>
    </row>
    <row r="3212">
      <c r="A3212" s="18">
        <f>IF(ISNUMBER(Dossiers!$D$63),Dossiers!$A$63&amp;" · "&amp;Dossiers!$B$63,"")</f>
        <v/>
      </c>
      <c r="B3212" s="18">
        <f>IF($A3212="","",Paramètres!G26)</f>
        <v/>
      </c>
      <c r="C3212" s="18">
        <f>IF($A3212="","",IF(Paramètres!H26="","",Paramètres!H26))</f>
        <v/>
      </c>
      <c r="D3212" s="18">
        <f>IF($A3212="","",IF(Paramètres!I26="","",Paramètres!I26))</f>
        <v/>
      </c>
      <c r="E3212" s="19">
        <f>IF($A3212="","",IF(Paramètres!J26&amp;Paramètres!L26&amp;Paramètres!N26="",Dossiers!$D$63,MAX(IF(Paramètres!J26="",0,IF(Paramètres!K26="",NA(),IF(LEFT(TRIM(Paramètres!K26),1)="F",INDEX($F$3191:$F$3243,MATCH(Paramètres!J26,Paramètres!$G$5:$G$57,0)),INDEX($E$3191:$E$3243,MATCH(Paramètres!J26,Paramètres!$G$5:$G$57,0)))+IF(RIGHT(TRIM(Paramètres!K26),3)="Fin",1-$H3212,IF(LEFT(TRIM(Paramètres!K26),1)="F",1,0)))),IF(Paramètres!L26="",0,IF(Paramètres!M26="",NA(),IF(LEFT(TRIM(Paramètres!M26),1)="F",INDEX($F$3191:$F$3243,MATCH(Paramètres!L26,Paramètres!$G$5:$G$57,0)),INDEX($E$3191:$E$3243,MATCH(Paramètres!L26,Paramètres!$G$5:$G$57,0)))+IF(RIGHT(TRIM(Paramètres!M26),3)="Fin",1-$H3212,IF(LEFT(TRIM(Paramètres!M26),1)="F",1,0)))),IF(Paramètres!N26="",0,IF(Paramètres!O26="",NA(),IF(LEFT(TRIM(Paramètres!O26),1)="F",INDEX($F$3191:$F$3243,MATCH(Paramètres!N26,Paramètres!$G$5:$G$57,0)),INDEX($E$3191:$E$3243,MATCH(Paramètres!N26,Paramètres!$G$5:$G$57,0)))+IF(RIGHT(TRIM(Paramètres!O26),3)="Fin",1-$H3212,IF(LEFT(TRIM(Paramètres!O26),1)="F",1,0)))))))</f>
        <v/>
      </c>
      <c r="F3212" s="19">
        <f>IF($A3212="","",E3212+$H3212-1)</f>
        <v/>
      </c>
      <c r="G3212" s="18" t="n"/>
      <c r="H3212" s="18">
        <f>IF($A3212="","",IF(I3212&lt;&gt;"",I3212,Paramètres!B26))</f>
        <v/>
      </c>
      <c r="I3212" s="18" t="n"/>
    </row>
    <row r="3213">
      <c r="A3213" s="18">
        <f>IF(ISNUMBER(Dossiers!$D$63),Dossiers!$A$63&amp;" · "&amp;Dossiers!$B$63,"")</f>
        <v/>
      </c>
      <c r="B3213" s="18">
        <f>IF($A3213="","",Paramètres!G27)</f>
        <v/>
      </c>
      <c r="C3213" s="18">
        <f>IF($A3213="","",IF(Paramètres!H27="","",Paramètres!H27))</f>
        <v/>
      </c>
      <c r="D3213" s="18">
        <f>IF($A3213="","",IF(Paramètres!I27="","",Paramètres!I27))</f>
        <v/>
      </c>
      <c r="E3213" s="19">
        <f>IF($A3213="","",IF(Paramètres!J27&amp;Paramètres!L27&amp;Paramètres!N27="",Dossiers!$D$63,MAX(IF(Paramètres!J27="",0,IF(Paramètres!K27="",NA(),IF(LEFT(TRIM(Paramètres!K27),1)="F",INDEX($F$3191:$F$3243,MATCH(Paramètres!J27,Paramètres!$G$5:$G$57,0)),INDEX($E$3191:$E$3243,MATCH(Paramètres!J27,Paramètres!$G$5:$G$57,0)))+IF(RIGHT(TRIM(Paramètres!K27),3)="Fin",1-$H3213,IF(LEFT(TRIM(Paramètres!K27),1)="F",1,0)))),IF(Paramètres!L27="",0,IF(Paramètres!M27="",NA(),IF(LEFT(TRIM(Paramètres!M27),1)="F",INDEX($F$3191:$F$3243,MATCH(Paramètres!L27,Paramètres!$G$5:$G$57,0)),INDEX($E$3191:$E$3243,MATCH(Paramètres!L27,Paramètres!$G$5:$G$57,0)))+IF(RIGHT(TRIM(Paramètres!M27),3)="Fin",1-$H3213,IF(LEFT(TRIM(Paramètres!M27),1)="F",1,0)))),IF(Paramètres!N27="",0,IF(Paramètres!O27="",NA(),IF(LEFT(TRIM(Paramètres!O27),1)="F",INDEX($F$3191:$F$3243,MATCH(Paramètres!N27,Paramètres!$G$5:$G$57,0)),INDEX($E$3191:$E$3243,MATCH(Paramètres!N27,Paramètres!$G$5:$G$57,0)))+IF(RIGHT(TRIM(Paramètres!O27),3)="Fin",1-$H3213,IF(LEFT(TRIM(Paramètres!O27),1)="F",1,0)))))))</f>
        <v/>
      </c>
      <c r="F3213" s="19">
        <f>IF($A3213="","",E3213+$H3213-1)</f>
        <v/>
      </c>
      <c r="G3213" s="18" t="n"/>
      <c r="H3213" s="18">
        <f>IF($A3213="","",IF(I3213&lt;&gt;"",I3213,Paramètres!B27))</f>
        <v/>
      </c>
      <c r="I3213" s="18" t="n"/>
    </row>
    <row r="3214">
      <c r="A3214" s="18">
        <f>IF(ISNUMBER(Dossiers!$D$63),Dossiers!$A$63&amp;" · "&amp;Dossiers!$B$63,"")</f>
        <v/>
      </c>
      <c r="B3214" s="18">
        <f>IF($A3214="","",Paramètres!G28)</f>
        <v/>
      </c>
      <c r="C3214" s="18">
        <f>IF($A3214="","",IF(Paramètres!H28="","",Paramètres!H28))</f>
        <v/>
      </c>
      <c r="D3214" s="18">
        <f>IF($A3214="","",IF(Paramètres!I28="","",Paramètres!I28))</f>
        <v/>
      </c>
      <c r="E3214" s="19">
        <f>IF($A3214="","",IF(Paramètres!J28&amp;Paramètres!L28&amp;Paramètres!N28="",Dossiers!$D$63,MAX(IF(Paramètres!J28="",0,IF(Paramètres!K28="",NA(),IF(LEFT(TRIM(Paramètres!K28),1)="F",INDEX($F$3191:$F$3243,MATCH(Paramètres!J28,Paramètres!$G$5:$G$57,0)),INDEX($E$3191:$E$3243,MATCH(Paramètres!J28,Paramètres!$G$5:$G$57,0)))+IF(RIGHT(TRIM(Paramètres!K28),3)="Fin",1-$H3214,IF(LEFT(TRIM(Paramètres!K28),1)="F",1,0)))),IF(Paramètres!L28="",0,IF(Paramètres!M28="",NA(),IF(LEFT(TRIM(Paramètres!M28),1)="F",INDEX($F$3191:$F$3243,MATCH(Paramètres!L28,Paramètres!$G$5:$G$57,0)),INDEX($E$3191:$E$3243,MATCH(Paramètres!L28,Paramètres!$G$5:$G$57,0)))+IF(RIGHT(TRIM(Paramètres!M28),3)="Fin",1-$H3214,IF(LEFT(TRIM(Paramètres!M28),1)="F",1,0)))),IF(Paramètres!N28="",0,IF(Paramètres!O28="",NA(),IF(LEFT(TRIM(Paramètres!O28),1)="F",INDEX($F$3191:$F$3243,MATCH(Paramètres!N28,Paramètres!$G$5:$G$57,0)),INDEX($E$3191:$E$3243,MATCH(Paramètres!N28,Paramètres!$G$5:$G$57,0)))+IF(RIGHT(TRIM(Paramètres!O28),3)="Fin",1-$H3214,IF(LEFT(TRIM(Paramètres!O28),1)="F",1,0)))))))</f>
        <v/>
      </c>
      <c r="F3214" s="19">
        <f>IF($A3214="","",E3214+$H3214-1)</f>
        <v/>
      </c>
      <c r="G3214" s="18" t="n"/>
      <c r="H3214" s="18">
        <f>IF($A3214="","",IF(I3214&lt;&gt;"",I3214,Paramètres!B28))</f>
        <v/>
      </c>
      <c r="I3214" s="18" t="n"/>
    </row>
    <row r="3215">
      <c r="A3215" s="18">
        <f>IF(ISNUMBER(Dossiers!$D$63),Dossiers!$A$63&amp;" · "&amp;Dossiers!$B$63,"")</f>
        <v/>
      </c>
      <c r="B3215" s="18">
        <f>IF($A3215="","",Paramètres!G29)</f>
        <v/>
      </c>
      <c r="C3215" s="18">
        <f>IF($A3215="","",IF(Paramètres!H29="","",Paramètres!H29))</f>
        <v/>
      </c>
      <c r="D3215" s="18">
        <f>IF($A3215="","",IF(Paramètres!I29="","",Paramètres!I29))</f>
        <v/>
      </c>
      <c r="E3215" s="19">
        <f>IF($A3215="","",IF(Paramètres!J29&amp;Paramètres!L29&amp;Paramètres!N29="",Dossiers!$D$63,MAX(IF(Paramètres!J29="",0,IF(Paramètres!K29="",NA(),IF(LEFT(TRIM(Paramètres!K29),1)="F",INDEX($F$3191:$F$3243,MATCH(Paramètres!J29,Paramètres!$G$5:$G$57,0)),INDEX($E$3191:$E$3243,MATCH(Paramètres!J29,Paramètres!$G$5:$G$57,0)))+IF(RIGHT(TRIM(Paramètres!K29),3)="Fin",1-$H3215,IF(LEFT(TRIM(Paramètres!K29),1)="F",1,0)))),IF(Paramètres!L29="",0,IF(Paramètres!M29="",NA(),IF(LEFT(TRIM(Paramètres!M29),1)="F",INDEX($F$3191:$F$3243,MATCH(Paramètres!L29,Paramètres!$G$5:$G$57,0)),INDEX($E$3191:$E$3243,MATCH(Paramètres!L29,Paramètres!$G$5:$G$57,0)))+IF(RIGHT(TRIM(Paramètres!M29),3)="Fin",1-$H3215,IF(LEFT(TRIM(Paramètres!M29),1)="F",1,0)))),IF(Paramètres!N29="",0,IF(Paramètres!O29="",NA(),IF(LEFT(TRIM(Paramètres!O29),1)="F",INDEX($F$3191:$F$3243,MATCH(Paramètres!N29,Paramètres!$G$5:$G$57,0)),INDEX($E$3191:$E$3243,MATCH(Paramètres!N29,Paramètres!$G$5:$G$57,0)))+IF(RIGHT(TRIM(Paramètres!O29),3)="Fin",1-$H3215,IF(LEFT(TRIM(Paramètres!O29),1)="F",1,0)))))))</f>
        <v/>
      </c>
      <c r="F3215" s="19">
        <f>IF($A3215="","",E3215+$H3215-1)</f>
        <v/>
      </c>
      <c r="G3215" s="18" t="n"/>
      <c r="H3215" s="18">
        <f>IF($A3215="","",IF(I3215&lt;&gt;"",I3215,Paramètres!B29))</f>
        <v/>
      </c>
      <c r="I3215" s="18" t="n"/>
    </row>
    <row r="3216">
      <c r="A3216" s="18">
        <f>IF(ISNUMBER(Dossiers!$D$63),Dossiers!$A$63&amp;" · "&amp;Dossiers!$B$63,"")</f>
        <v/>
      </c>
      <c r="B3216" s="18">
        <f>IF($A3216="","",Paramètres!G30)</f>
        <v/>
      </c>
      <c r="C3216" s="18">
        <f>IF($A3216="","",IF(Paramètres!H30="","",Paramètres!H30))</f>
        <v/>
      </c>
      <c r="D3216" s="18">
        <f>IF($A3216="","",IF(Paramètres!I30="","",Paramètres!I30))</f>
        <v/>
      </c>
      <c r="E3216" s="19">
        <f>IF($A3216="","",IF(Paramètres!J30&amp;Paramètres!L30&amp;Paramètres!N30="",Dossiers!$D$63,MAX(IF(Paramètres!J30="",0,IF(Paramètres!K30="",NA(),IF(LEFT(TRIM(Paramètres!K30),1)="F",INDEX($F$3191:$F$3243,MATCH(Paramètres!J30,Paramètres!$G$5:$G$57,0)),INDEX($E$3191:$E$3243,MATCH(Paramètres!J30,Paramètres!$G$5:$G$57,0)))+IF(RIGHT(TRIM(Paramètres!K30),3)="Fin",1-$H3216,IF(LEFT(TRIM(Paramètres!K30),1)="F",1,0)))),IF(Paramètres!L30="",0,IF(Paramètres!M30="",NA(),IF(LEFT(TRIM(Paramètres!M30),1)="F",INDEX($F$3191:$F$3243,MATCH(Paramètres!L30,Paramètres!$G$5:$G$57,0)),INDEX($E$3191:$E$3243,MATCH(Paramètres!L30,Paramètres!$G$5:$G$57,0)))+IF(RIGHT(TRIM(Paramètres!M30),3)="Fin",1-$H3216,IF(LEFT(TRIM(Paramètres!M30),1)="F",1,0)))),IF(Paramètres!N30="",0,IF(Paramètres!O30="",NA(),IF(LEFT(TRIM(Paramètres!O30),1)="F",INDEX($F$3191:$F$3243,MATCH(Paramètres!N30,Paramètres!$G$5:$G$57,0)),INDEX($E$3191:$E$3243,MATCH(Paramètres!N30,Paramètres!$G$5:$G$57,0)))+IF(RIGHT(TRIM(Paramètres!O30),3)="Fin",1-$H3216,IF(LEFT(TRIM(Paramètres!O30),1)="F",1,0)))))))</f>
        <v/>
      </c>
      <c r="F3216" s="19">
        <f>IF($A3216="","",E3216+$H3216-1)</f>
        <v/>
      </c>
      <c r="G3216" s="18" t="n"/>
      <c r="H3216" s="18">
        <f>IF($A3216="","",IF(I3216&lt;&gt;"",I3216,Paramètres!B30))</f>
        <v/>
      </c>
      <c r="I3216" s="18" t="n"/>
    </row>
    <row r="3217">
      <c r="A3217" s="18">
        <f>IF(ISNUMBER(Dossiers!$D$63),Dossiers!$A$63&amp;" · "&amp;Dossiers!$B$63,"")</f>
        <v/>
      </c>
      <c r="B3217" s="18">
        <f>IF($A3217="","",Paramètres!G31)</f>
        <v/>
      </c>
      <c r="C3217" s="20">
        <f>IF($A3217="","",IF(Dossiers!$F$63="","",Dossiers!$F$63))</f>
        <v/>
      </c>
      <c r="D3217" s="18">
        <f>IF($A3217="","",IF(Paramètres!I31="","",Paramètres!I31))</f>
        <v/>
      </c>
      <c r="E3217" s="19">
        <f>IF($A3217="","",IF(Paramètres!J31&amp;Paramètres!L31&amp;Paramètres!N31="",Dossiers!$D$63,MAX(IF(Paramètres!J31="",0,IF(Paramètres!K31="",NA(),IF(LEFT(TRIM(Paramètres!K31),1)="F",INDEX($F$3191:$F$3243,MATCH(Paramètres!J31,Paramètres!$G$5:$G$57,0)),INDEX($E$3191:$E$3243,MATCH(Paramètres!J31,Paramètres!$G$5:$G$57,0)))+IF(RIGHT(TRIM(Paramètres!K31),3)="Fin",1-$H3217,IF(LEFT(TRIM(Paramètres!K31),1)="F",1,0)))),IF(Paramètres!L31="",0,IF(Paramètres!M31="",NA(),IF(LEFT(TRIM(Paramètres!M31),1)="F",INDEX($F$3191:$F$3243,MATCH(Paramètres!L31,Paramètres!$G$5:$G$57,0)),INDEX($E$3191:$E$3243,MATCH(Paramètres!L31,Paramètres!$G$5:$G$57,0)))+IF(RIGHT(TRIM(Paramètres!M31),3)="Fin",1-$H3217,IF(LEFT(TRIM(Paramètres!M31),1)="F",1,0)))),IF(Paramètres!N31="",0,IF(Paramètres!O31="",NA(),IF(LEFT(TRIM(Paramètres!O31),1)="F",INDEX($F$3191:$F$3243,MATCH(Paramètres!N31,Paramètres!$G$5:$G$57,0)),INDEX($E$3191:$E$3243,MATCH(Paramètres!N31,Paramètres!$G$5:$G$57,0)))+IF(RIGHT(TRIM(Paramètres!O31),3)="Fin",1-$H3217,IF(LEFT(TRIM(Paramètres!O31),1)="F",1,0)))))))</f>
        <v/>
      </c>
      <c r="F3217" s="19">
        <f>IF($A3217="","",E3217+$H3217-1)</f>
        <v/>
      </c>
      <c r="G3217" s="18" t="n"/>
      <c r="H3217" s="18">
        <f>IF($A3217="","",IF(I3217&lt;&gt;"",I3217,Paramètres!B31))</f>
        <v/>
      </c>
      <c r="I3217" s="18" t="n"/>
    </row>
    <row r="3218">
      <c r="A3218" s="18">
        <f>IF(ISNUMBER(Dossiers!$D$63),Dossiers!$A$63&amp;" · "&amp;Dossiers!$B$63,"")</f>
        <v/>
      </c>
      <c r="B3218" s="18">
        <f>IF($A3218="","",Paramètres!G32)</f>
        <v/>
      </c>
      <c r="C3218" s="18">
        <f>IF($A3218="","",IF(Paramètres!H32="","",Paramètres!H32))</f>
        <v/>
      </c>
      <c r="D3218" s="18">
        <f>IF($A3218="","",IF(Paramètres!I32="","",Paramètres!I32))</f>
        <v/>
      </c>
      <c r="E3218" s="19">
        <f>IF($A3218="","",MIN(E3219:E3222))</f>
        <v/>
      </c>
      <c r="F3218" s="19">
        <f>IF($A3218="","",MAX(F3219:F3222))</f>
        <v/>
      </c>
      <c r="G3218" s="18" t="n"/>
      <c r="H3218" s="18">
        <f>IF($A3218="","",F3218-E3218+1)</f>
        <v/>
      </c>
      <c r="I3218" s="18" t="n"/>
    </row>
    <row r="3219">
      <c r="A3219" s="18">
        <f>IF(ISNUMBER(Dossiers!$D$63),Dossiers!$A$63&amp;" · "&amp;Dossiers!$B$63,"")</f>
        <v/>
      </c>
      <c r="B3219" s="18">
        <f>IF($A3219="","",Paramètres!G33)</f>
        <v/>
      </c>
      <c r="C3219" s="18">
        <f>IF($A3219="","",IF(Paramètres!H33="","",Paramètres!H33))</f>
        <v/>
      </c>
      <c r="D3219" s="18">
        <f>IF($A3219="","",IF(Paramètres!I33="","",Paramètres!I33))</f>
        <v/>
      </c>
      <c r="E3219" s="19">
        <f>IF($A3219="","",IF(Paramètres!J33&amp;Paramètres!L33&amp;Paramètres!N33="",Dossiers!$D$63,MAX(IF(Paramètres!J33="",0,IF(Paramètres!K33="",NA(),IF(LEFT(TRIM(Paramètres!K33),1)="F",INDEX($F$3191:$F$3243,MATCH(Paramètres!J33,Paramètres!$G$5:$G$57,0)),INDEX($E$3191:$E$3243,MATCH(Paramètres!J33,Paramètres!$G$5:$G$57,0)))+IF(RIGHT(TRIM(Paramètres!K33),3)="Fin",1-$H3219,IF(LEFT(TRIM(Paramètres!K33),1)="F",1,0)))),IF(Paramètres!L33="",0,IF(Paramètres!M33="",NA(),IF(LEFT(TRIM(Paramètres!M33),1)="F",INDEX($F$3191:$F$3243,MATCH(Paramètres!L33,Paramètres!$G$5:$G$57,0)),INDEX($E$3191:$E$3243,MATCH(Paramètres!L33,Paramètres!$G$5:$G$57,0)))+IF(RIGHT(TRIM(Paramètres!M33),3)="Fin",1-$H3219,IF(LEFT(TRIM(Paramètres!M33),1)="F",1,0)))),IF(Paramètres!N33="",0,IF(Paramètres!O33="",NA(),IF(LEFT(TRIM(Paramètres!O33),1)="F",INDEX($F$3191:$F$3243,MATCH(Paramètres!N33,Paramètres!$G$5:$G$57,0)),INDEX($E$3191:$E$3243,MATCH(Paramètres!N33,Paramètres!$G$5:$G$57,0)))+IF(RIGHT(TRIM(Paramètres!O33),3)="Fin",1-$H3219,IF(LEFT(TRIM(Paramètres!O33),1)="F",1,0)))))))</f>
        <v/>
      </c>
      <c r="F3219" s="19">
        <f>IF($A3219="","",E3219+$H3219-1)</f>
        <v/>
      </c>
      <c r="G3219" s="18" t="n"/>
      <c r="H3219" s="18">
        <f>IF($A3219="","",IF(I3219&lt;&gt;"",I3219,Paramètres!B33))</f>
        <v/>
      </c>
      <c r="I3219" s="18" t="n"/>
    </row>
    <row r="3220">
      <c r="A3220" s="18">
        <f>IF(ISNUMBER(Dossiers!$D$63),Dossiers!$A$63&amp;" · "&amp;Dossiers!$B$63,"")</f>
        <v/>
      </c>
      <c r="B3220" s="18">
        <f>IF($A3220="","",Paramètres!G34)</f>
        <v/>
      </c>
      <c r="C3220" s="18">
        <f>IF($A3220="","",IF(Paramètres!H34="","",Paramètres!H34))</f>
        <v/>
      </c>
      <c r="D3220" s="18">
        <f>IF($A3220="","",IF(Paramètres!I34="","",Paramètres!I34))</f>
        <v/>
      </c>
      <c r="E3220" s="19">
        <f>IF($A3220="","",IF(Paramètres!J34&amp;Paramètres!L34&amp;Paramètres!N34="",Dossiers!$D$63,MAX(IF(Paramètres!J34="",0,IF(Paramètres!K34="",NA(),IF(LEFT(TRIM(Paramètres!K34),1)="F",INDEX($F$3191:$F$3243,MATCH(Paramètres!J34,Paramètres!$G$5:$G$57,0)),INDEX($E$3191:$E$3243,MATCH(Paramètres!J34,Paramètres!$G$5:$G$57,0)))+IF(RIGHT(TRIM(Paramètres!K34),3)="Fin",1-$H3220,IF(LEFT(TRIM(Paramètres!K34),1)="F",1,0)))),IF(Paramètres!L34="",0,IF(Paramètres!M34="",NA(),IF(LEFT(TRIM(Paramètres!M34),1)="F",INDEX($F$3191:$F$3243,MATCH(Paramètres!L34,Paramètres!$G$5:$G$57,0)),INDEX($E$3191:$E$3243,MATCH(Paramètres!L34,Paramètres!$G$5:$G$57,0)))+IF(RIGHT(TRIM(Paramètres!M34),3)="Fin",1-$H3220,IF(LEFT(TRIM(Paramètres!M34),1)="F",1,0)))),IF(Paramètres!N34="",0,IF(Paramètres!O34="",NA(),IF(LEFT(TRIM(Paramètres!O34),1)="F",INDEX($F$3191:$F$3243,MATCH(Paramètres!N34,Paramètres!$G$5:$G$57,0)),INDEX($E$3191:$E$3243,MATCH(Paramètres!N34,Paramètres!$G$5:$G$57,0)))+IF(RIGHT(TRIM(Paramètres!O34),3)="Fin",1-$H3220,IF(LEFT(TRIM(Paramètres!O34),1)="F",1,0)))))))</f>
        <v/>
      </c>
      <c r="F3220" s="19">
        <f>IF($A3220="","",E3220+$H3220-1)</f>
        <v/>
      </c>
      <c r="G3220" s="18" t="n"/>
      <c r="H3220" s="18">
        <f>IF($A3220="","",IF(I3220&lt;&gt;"",I3220,Paramètres!B34))</f>
        <v/>
      </c>
      <c r="I3220" s="18" t="n"/>
    </row>
    <row r="3221">
      <c r="A3221" s="18">
        <f>IF(ISNUMBER(Dossiers!$D$63),Dossiers!$A$63&amp;" · "&amp;Dossiers!$B$63,"")</f>
        <v/>
      </c>
      <c r="B3221" s="18">
        <f>IF($A3221="","",Paramètres!G35)</f>
        <v/>
      </c>
      <c r="C3221" s="18">
        <f>IF($A3221="","",IF(Paramètres!H35="","",Paramètres!H35))</f>
        <v/>
      </c>
      <c r="D3221" s="18">
        <f>IF($A3221="","",IF(Paramètres!I35="","",Paramètres!I35))</f>
        <v/>
      </c>
      <c r="E3221" s="19">
        <f>IF($A3221="","",IF(Paramètres!J35&amp;Paramètres!L35&amp;Paramètres!N35="",Dossiers!$D$63,MAX(IF(Paramètres!J35="",0,IF(Paramètres!K35="",NA(),IF(LEFT(TRIM(Paramètres!K35),1)="F",INDEX($F$3191:$F$3243,MATCH(Paramètres!J35,Paramètres!$G$5:$G$57,0)),INDEX($E$3191:$E$3243,MATCH(Paramètres!J35,Paramètres!$G$5:$G$57,0)))+IF(RIGHT(TRIM(Paramètres!K35),3)="Fin",1-$H3221,IF(LEFT(TRIM(Paramètres!K35),1)="F",1,0)))),IF(Paramètres!L35="",0,IF(Paramètres!M35="",NA(),IF(LEFT(TRIM(Paramètres!M35),1)="F",INDEX($F$3191:$F$3243,MATCH(Paramètres!L35,Paramètres!$G$5:$G$57,0)),INDEX($E$3191:$E$3243,MATCH(Paramètres!L35,Paramètres!$G$5:$G$57,0)))+IF(RIGHT(TRIM(Paramètres!M35),3)="Fin",1-$H3221,IF(LEFT(TRIM(Paramètres!M35),1)="F",1,0)))),IF(Paramètres!N35="",0,IF(Paramètres!O35="",NA(),IF(LEFT(TRIM(Paramètres!O35),1)="F",INDEX($F$3191:$F$3243,MATCH(Paramètres!N35,Paramètres!$G$5:$G$57,0)),INDEX($E$3191:$E$3243,MATCH(Paramètres!N35,Paramètres!$G$5:$G$57,0)))+IF(RIGHT(TRIM(Paramètres!O35),3)="Fin",1-$H3221,IF(LEFT(TRIM(Paramètres!O35),1)="F",1,0)))))))</f>
        <v/>
      </c>
      <c r="F3221" s="19">
        <f>IF($A3221="","",E3221+$H3221-1)</f>
        <v/>
      </c>
      <c r="G3221" s="18" t="n"/>
      <c r="H3221" s="18">
        <f>IF($A3221="","",IF(I3221&lt;&gt;"",I3221,Paramètres!B35))</f>
        <v/>
      </c>
      <c r="I3221" s="18" t="n"/>
    </row>
    <row r="3222">
      <c r="A3222" s="18">
        <f>IF(ISNUMBER(Dossiers!$D$63),Dossiers!$A$63&amp;" · "&amp;Dossiers!$B$63,"")</f>
        <v/>
      </c>
      <c r="B3222" s="18">
        <f>IF($A3222="","",Paramètres!G36)</f>
        <v/>
      </c>
      <c r="C3222" s="18">
        <f>IF($A3222="","",IF(Paramètres!H36="","",Paramètres!H36))</f>
        <v/>
      </c>
      <c r="D3222" s="18">
        <f>IF($A3222="","",IF(Paramètres!I36="","",Paramètres!I36))</f>
        <v/>
      </c>
      <c r="E3222" s="19">
        <f>IF($A3222="","",IF(Paramètres!J36&amp;Paramètres!L36&amp;Paramètres!N36="",Dossiers!$D$63,MAX(IF(Paramètres!J36="",0,IF(Paramètres!K36="",NA(),IF(LEFT(TRIM(Paramètres!K36),1)="F",INDEX($F$3191:$F$3243,MATCH(Paramètres!J36,Paramètres!$G$5:$G$57,0)),INDEX($E$3191:$E$3243,MATCH(Paramètres!J36,Paramètres!$G$5:$G$57,0)))+IF(RIGHT(TRIM(Paramètres!K36),3)="Fin",1-$H3222,IF(LEFT(TRIM(Paramètres!K36),1)="F",1,0)))),IF(Paramètres!L36="",0,IF(Paramètres!M36="",NA(),IF(LEFT(TRIM(Paramètres!M36),1)="F",INDEX($F$3191:$F$3243,MATCH(Paramètres!L36,Paramètres!$G$5:$G$57,0)),INDEX($E$3191:$E$3243,MATCH(Paramètres!L36,Paramètres!$G$5:$G$57,0)))+IF(RIGHT(TRIM(Paramètres!M36),3)="Fin",1-$H3222,IF(LEFT(TRIM(Paramètres!M36),1)="F",1,0)))),IF(Paramètres!N36="",0,IF(Paramètres!O36="",NA(),IF(LEFT(TRIM(Paramètres!O36),1)="F",INDEX($F$3191:$F$3243,MATCH(Paramètres!N36,Paramètres!$G$5:$G$57,0)),INDEX($E$3191:$E$3243,MATCH(Paramètres!N36,Paramètres!$G$5:$G$57,0)))+IF(RIGHT(TRIM(Paramètres!O36),3)="Fin",1-$H3222,IF(LEFT(TRIM(Paramètres!O36),1)="F",1,0)))))))</f>
        <v/>
      </c>
      <c r="F3222" s="19">
        <f>IF($A3222="","",E3222+$H3222-1)</f>
        <v/>
      </c>
      <c r="G3222" s="18" t="n"/>
      <c r="H3222" s="18">
        <f>IF($A3222="","",IF(I3222&lt;&gt;"",I3222,Paramètres!B36))</f>
        <v/>
      </c>
      <c r="I3222" s="18" t="n"/>
    </row>
    <row r="3223">
      <c r="A3223" s="18">
        <f>IF(ISNUMBER(Dossiers!$D$63),Dossiers!$A$63&amp;" · "&amp;Dossiers!$B$63,"")</f>
        <v/>
      </c>
      <c r="B3223" s="18">
        <f>IF($A3223="","",Paramètres!G37)</f>
        <v/>
      </c>
      <c r="C3223" s="18">
        <f>IF($A3223="","",IF(Paramètres!H37="","",Paramètres!H37))</f>
        <v/>
      </c>
      <c r="D3223" s="18">
        <f>IF($A3223="","",IF(Paramètres!I37="","",Paramètres!I37))</f>
        <v/>
      </c>
      <c r="E3223" s="19">
        <f>IF($A3223="","",MIN(E3224:E3241))</f>
        <v/>
      </c>
      <c r="F3223" s="19">
        <f>IF($A3223="","",MAX(F3224:F3241))</f>
        <v/>
      </c>
      <c r="G3223" s="18" t="n"/>
      <c r="H3223" s="18">
        <f>IF($A3223="","",F3223-E3223+1)</f>
        <v/>
      </c>
      <c r="I3223" s="18" t="n"/>
    </row>
    <row r="3224">
      <c r="A3224" s="18">
        <f>IF(ISNUMBER(Dossiers!$D$63),Dossiers!$A$63&amp;" · "&amp;Dossiers!$B$63,"")</f>
        <v/>
      </c>
      <c r="B3224" s="18">
        <f>IF($A3224="","",Paramètres!G38)</f>
        <v/>
      </c>
      <c r="C3224" s="18">
        <f>IF($A3224="","",IF(Paramètres!H38="","",Paramètres!H38))</f>
        <v/>
      </c>
      <c r="D3224" s="18">
        <f>IF($A3224="","",IF(Paramètres!I38="","",Paramètres!I38))</f>
        <v/>
      </c>
      <c r="E3224" s="19">
        <f>IF($A3224="","",IF(Paramètres!J38&amp;Paramètres!L38&amp;Paramètres!N38="",Dossiers!$D$63,MAX(IF(Paramètres!J38="",0,IF(Paramètres!K38="",NA(),IF(LEFT(TRIM(Paramètres!K38),1)="F",INDEX($F$3191:$F$3243,MATCH(Paramètres!J38,Paramètres!$G$5:$G$57,0)),INDEX($E$3191:$E$3243,MATCH(Paramètres!J38,Paramètres!$G$5:$G$57,0)))+IF(RIGHT(TRIM(Paramètres!K38),3)="Fin",1-$H3224,IF(LEFT(TRIM(Paramètres!K38),1)="F",1,0)))),IF(Paramètres!L38="",0,IF(Paramètres!M38="",NA(),IF(LEFT(TRIM(Paramètres!M38),1)="F",INDEX($F$3191:$F$3243,MATCH(Paramètres!L38,Paramètres!$G$5:$G$57,0)),INDEX($E$3191:$E$3243,MATCH(Paramètres!L38,Paramètres!$G$5:$G$57,0)))+IF(RIGHT(TRIM(Paramètres!M38),3)="Fin",1-$H3224,IF(LEFT(TRIM(Paramètres!M38),1)="F",1,0)))),IF(Paramètres!N38="",0,IF(Paramètres!O38="",NA(),IF(LEFT(TRIM(Paramètres!O38),1)="F",INDEX($F$3191:$F$3243,MATCH(Paramètres!N38,Paramètres!$G$5:$G$57,0)),INDEX($E$3191:$E$3243,MATCH(Paramètres!N38,Paramètres!$G$5:$G$57,0)))+IF(RIGHT(TRIM(Paramètres!O38),3)="Fin",1-$H3224,IF(LEFT(TRIM(Paramètres!O38),1)="F",1,0)))))))</f>
        <v/>
      </c>
      <c r="F3224" s="19">
        <f>IF($A3224="","",E3224+$H3224-1)</f>
        <v/>
      </c>
      <c r="G3224" s="18" t="n"/>
      <c r="H3224" s="18">
        <f>IF($A3224="","",IF(I3224&lt;&gt;"",I3224,Paramètres!B38))</f>
        <v/>
      </c>
      <c r="I3224" s="18" t="n"/>
    </row>
    <row r="3225">
      <c r="A3225" s="18">
        <f>IF(ISNUMBER(Dossiers!$D$63),Dossiers!$A$63&amp;" · "&amp;Dossiers!$B$63,"")</f>
        <v/>
      </c>
      <c r="B3225" s="18">
        <f>IF($A3225="","",Paramètres!G39)</f>
        <v/>
      </c>
      <c r="C3225" s="18">
        <f>IF($A3225="","",IF(Paramètres!H39="","",Paramètres!H39))</f>
        <v/>
      </c>
      <c r="D3225" s="18">
        <f>IF($A3225="","",IF(Paramètres!I39="","",Paramètres!I39))</f>
        <v/>
      </c>
      <c r="E3225" s="19">
        <f>IF($A3225="","",IF(Paramètres!J39&amp;Paramètres!L39&amp;Paramètres!N39="",Dossiers!$D$63,MAX(IF(Paramètres!J39="",0,IF(Paramètres!K39="",NA(),IF(LEFT(TRIM(Paramètres!K39),1)="F",INDEX($F$3191:$F$3243,MATCH(Paramètres!J39,Paramètres!$G$5:$G$57,0)),INDEX($E$3191:$E$3243,MATCH(Paramètres!J39,Paramètres!$G$5:$G$57,0)))+IF(RIGHT(TRIM(Paramètres!K39),3)="Fin",1-$H3225,IF(LEFT(TRIM(Paramètres!K39),1)="F",1,0)))),IF(Paramètres!L39="",0,IF(Paramètres!M39="",NA(),IF(LEFT(TRIM(Paramètres!M39),1)="F",INDEX($F$3191:$F$3243,MATCH(Paramètres!L39,Paramètres!$G$5:$G$57,0)),INDEX($E$3191:$E$3243,MATCH(Paramètres!L39,Paramètres!$G$5:$G$57,0)))+IF(RIGHT(TRIM(Paramètres!M39),3)="Fin",1-$H3225,IF(LEFT(TRIM(Paramètres!M39),1)="F",1,0)))),IF(Paramètres!N39="",0,IF(Paramètres!O39="",NA(),IF(LEFT(TRIM(Paramètres!O39),1)="F",INDEX($F$3191:$F$3243,MATCH(Paramètres!N39,Paramètres!$G$5:$G$57,0)),INDEX($E$3191:$E$3243,MATCH(Paramètres!N39,Paramètres!$G$5:$G$57,0)))+IF(RIGHT(TRIM(Paramètres!O39),3)="Fin",1-$H3225,IF(LEFT(TRIM(Paramètres!O39),1)="F",1,0)))))))</f>
        <v/>
      </c>
      <c r="F3225" s="19">
        <f>IF($A3225="","",E3225+$H3225-1)</f>
        <v/>
      </c>
      <c r="G3225" s="18" t="n"/>
      <c r="H3225" s="18">
        <f>IF($A3225="","",IF(I3225&lt;&gt;"",I3225,Paramètres!B39))</f>
        <v/>
      </c>
      <c r="I3225" s="18" t="n"/>
    </row>
    <row r="3226">
      <c r="A3226" s="18">
        <f>IF(ISNUMBER(Dossiers!$D$63),Dossiers!$A$63&amp;" · "&amp;Dossiers!$B$63,"")</f>
        <v/>
      </c>
      <c r="B3226" s="18">
        <f>IF($A3226="","",Paramètres!G40)</f>
        <v/>
      </c>
      <c r="C3226" s="18">
        <f>IF($A3226="","",IF(Paramètres!H40="","",Paramètres!H40))</f>
        <v/>
      </c>
      <c r="D3226" s="18">
        <f>IF($A3226="","",IF(Paramètres!I40="","",Paramètres!I40))</f>
        <v/>
      </c>
      <c r="E3226" s="19">
        <f>IF($A3226="","",IF(Paramètres!J40&amp;Paramètres!L40&amp;Paramètres!N40="",Dossiers!$D$63,MAX(IF(Paramètres!J40="",0,IF(Paramètres!K40="",NA(),IF(LEFT(TRIM(Paramètres!K40),1)="F",INDEX($F$3191:$F$3243,MATCH(Paramètres!J40,Paramètres!$G$5:$G$57,0)),INDEX($E$3191:$E$3243,MATCH(Paramètres!J40,Paramètres!$G$5:$G$57,0)))+IF(RIGHT(TRIM(Paramètres!K40),3)="Fin",1-$H3226,IF(LEFT(TRIM(Paramètres!K40),1)="F",1,0)))),IF(Paramètres!L40="",0,IF(Paramètres!M40="",NA(),IF(LEFT(TRIM(Paramètres!M40),1)="F",INDEX($F$3191:$F$3243,MATCH(Paramètres!L40,Paramètres!$G$5:$G$57,0)),INDEX($E$3191:$E$3243,MATCH(Paramètres!L40,Paramètres!$G$5:$G$57,0)))+IF(RIGHT(TRIM(Paramètres!M40),3)="Fin",1-$H3226,IF(LEFT(TRIM(Paramètres!M40),1)="F",1,0)))),IF(Paramètres!N40="",0,IF(Paramètres!O40="",NA(),IF(LEFT(TRIM(Paramètres!O40),1)="F",INDEX($F$3191:$F$3243,MATCH(Paramètres!N40,Paramètres!$G$5:$G$57,0)),INDEX($E$3191:$E$3243,MATCH(Paramètres!N40,Paramètres!$G$5:$G$57,0)))+IF(RIGHT(TRIM(Paramètres!O40),3)="Fin",1-$H3226,IF(LEFT(TRIM(Paramètres!O40),1)="F",1,0)))))))</f>
        <v/>
      </c>
      <c r="F3226" s="19">
        <f>IF($A3226="","",E3226+$H3226-1)</f>
        <v/>
      </c>
      <c r="G3226" s="18" t="n"/>
      <c r="H3226" s="18">
        <f>IF($A3226="","",IF(I3226&lt;&gt;"",I3226,Paramètres!B40))</f>
        <v/>
      </c>
      <c r="I3226" s="18" t="n"/>
    </row>
    <row r="3227">
      <c r="A3227" s="18">
        <f>IF(ISNUMBER(Dossiers!$D$63),Dossiers!$A$63&amp;" · "&amp;Dossiers!$B$63,"")</f>
        <v/>
      </c>
      <c r="B3227" s="18">
        <f>IF($A3227="","",Paramètres!G41)</f>
        <v/>
      </c>
      <c r="C3227" s="18">
        <f>IF($A3227="","",IF(Paramètres!H41="","",Paramètres!H41))</f>
        <v/>
      </c>
      <c r="D3227" s="18">
        <f>IF($A3227="","",IF(Paramètres!I41="","",Paramètres!I41))</f>
        <v/>
      </c>
      <c r="E3227" s="19">
        <f>IF($A3227="","",IF(Paramètres!J41&amp;Paramètres!L41&amp;Paramètres!N41="",Dossiers!$D$63,MAX(IF(Paramètres!J41="",0,IF(Paramètres!K41="",NA(),IF(LEFT(TRIM(Paramètres!K41),1)="F",INDEX($F$3191:$F$3243,MATCH(Paramètres!J41,Paramètres!$G$5:$G$57,0)),INDEX($E$3191:$E$3243,MATCH(Paramètres!J41,Paramètres!$G$5:$G$57,0)))+IF(RIGHT(TRIM(Paramètres!K41),3)="Fin",1-$H3227,IF(LEFT(TRIM(Paramètres!K41),1)="F",1,0)))),IF(Paramètres!L41="",0,IF(Paramètres!M41="",NA(),IF(LEFT(TRIM(Paramètres!M41),1)="F",INDEX($F$3191:$F$3243,MATCH(Paramètres!L41,Paramètres!$G$5:$G$57,0)),INDEX($E$3191:$E$3243,MATCH(Paramètres!L41,Paramètres!$G$5:$G$57,0)))+IF(RIGHT(TRIM(Paramètres!M41),3)="Fin",1-$H3227,IF(LEFT(TRIM(Paramètres!M41),1)="F",1,0)))),IF(Paramètres!N41="",0,IF(Paramètres!O41="",NA(),IF(LEFT(TRIM(Paramètres!O41),1)="F",INDEX($F$3191:$F$3243,MATCH(Paramètres!N41,Paramètres!$G$5:$G$57,0)),INDEX($E$3191:$E$3243,MATCH(Paramètres!N41,Paramètres!$G$5:$G$57,0)))+IF(RIGHT(TRIM(Paramètres!O41),3)="Fin",1-$H3227,IF(LEFT(TRIM(Paramètres!O41),1)="F",1,0)))))))</f>
        <v/>
      </c>
      <c r="F3227" s="19">
        <f>IF($A3227="","",E3227+$H3227-1)</f>
        <v/>
      </c>
      <c r="G3227" s="18" t="n"/>
      <c r="H3227" s="18">
        <f>IF($A3227="","",IF(I3227&lt;&gt;"",I3227,Paramètres!B41))</f>
        <v/>
      </c>
      <c r="I3227" s="18" t="n"/>
    </row>
    <row r="3228">
      <c r="A3228" s="18">
        <f>IF(ISNUMBER(Dossiers!$D$63),Dossiers!$A$63&amp;" · "&amp;Dossiers!$B$63,"")</f>
        <v/>
      </c>
      <c r="B3228" s="18">
        <f>IF($A3228="","",Paramètres!G42)</f>
        <v/>
      </c>
      <c r="C3228" s="18">
        <f>IF($A3228="","",IF(Paramètres!H42="","",Paramètres!H42))</f>
        <v/>
      </c>
      <c r="D3228" s="18">
        <f>IF($A3228="","",IF(Paramètres!I42="","",Paramètres!I42))</f>
        <v/>
      </c>
      <c r="E3228" s="19">
        <f>IF($A3228="","",IF(Paramètres!J42&amp;Paramètres!L42&amp;Paramètres!N42="",Dossiers!$D$63,MAX(IF(Paramètres!J42="",0,IF(Paramètres!K42="",NA(),IF(LEFT(TRIM(Paramètres!K42),1)="F",INDEX($F$3191:$F$3243,MATCH(Paramètres!J42,Paramètres!$G$5:$G$57,0)),INDEX($E$3191:$E$3243,MATCH(Paramètres!J42,Paramètres!$G$5:$G$57,0)))+IF(RIGHT(TRIM(Paramètres!K42),3)="Fin",1-$H3228,IF(LEFT(TRIM(Paramètres!K42),1)="F",1,0)))),IF(Paramètres!L42="",0,IF(Paramètres!M42="",NA(),IF(LEFT(TRIM(Paramètres!M42),1)="F",INDEX($F$3191:$F$3243,MATCH(Paramètres!L42,Paramètres!$G$5:$G$57,0)),INDEX($E$3191:$E$3243,MATCH(Paramètres!L42,Paramètres!$G$5:$G$57,0)))+IF(RIGHT(TRIM(Paramètres!M42),3)="Fin",1-$H3228,IF(LEFT(TRIM(Paramètres!M42),1)="F",1,0)))),IF(Paramètres!N42="",0,IF(Paramètres!O42="",NA(),IF(LEFT(TRIM(Paramètres!O42),1)="F",INDEX($F$3191:$F$3243,MATCH(Paramètres!N42,Paramètres!$G$5:$G$57,0)),INDEX($E$3191:$E$3243,MATCH(Paramètres!N42,Paramètres!$G$5:$G$57,0)))+IF(RIGHT(TRIM(Paramètres!O42),3)="Fin",1-$H3228,IF(LEFT(TRIM(Paramètres!O42),1)="F",1,0)))))))</f>
        <v/>
      </c>
      <c r="F3228" s="19">
        <f>IF($A3228="","",E3228+$H3228-1)</f>
        <v/>
      </c>
      <c r="G3228" s="18" t="n"/>
      <c r="H3228" s="18">
        <f>IF($A3228="","",IF(I3228&lt;&gt;"",I3228,Paramètres!B42))</f>
        <v/>
      </c>
      <c r="I3228" s="18" t="n"/>
    </row>
    <row r="3229">
      <c r="A3229" s="18">
        <f>IF(ISNUMBER(Dossiers!$D$63),Dossiers!$A$63&amp;" · "&amp;Dossiers!$B$63,"")</f>
        <v/>
      </c>
      <c r="B3229" s="18">
        <f>IF($A3229="","",Paramètres!G43)</f>
        <v/>
      </c>
      <c r="C3229" s="18">
        <f>IF($A3229="","",IF(Paramètres!H43="","",Paramètres!H43))</f>
        <v/>
      </c>
      <c r="D3229" s="18">
        <f>IF($A3229="","",IF(Paramètres!I43="","",Paramètres!I43))</f>
        <v/>
      </c>
      <c r="E3229" s="19">
        <f>IF($A3229="","",IF(Paramètres!J43&amp;Paramètres!L43&amp;Paramètres!N43="",Dossiers!$D$63,MAX(IF(Paramètres!J43="",0,IF(Paramètres!K43="",NA(),IF(LEFT(TRIM(Paramètres!K43),1)="F",INDEX($F$3191:$F$3243,MATCH(Paramètres!J43,Paramètres!$G$5:$G$57,0)),INDEX($E$3191:$E$3243,MATCH(Paramètres!J43,Paramètres!$G$5:$G$57,0)))+IF(RIGHT(TRIM(Paramètres!K43),3)="Fin",1-$H3229,IF(LEFT(TRIM(Paramètres!K43),1)="F",1,0)))),IF(Paramètres!L43="",0,IF(Paramètres!M43="",NA(),IF(LEFT(TRIM(Paramètres!M43),1)="F",INDEX($F$3191:$F$3243,MATCH(Paramètres!L43,Paramètres!$G$5:$G$57,0)),INDEX($E$3191:$E$3243,MATCH(Paramètres!L43,Paramètres!$G$5:$G$57,0)))+IF(RIGHT(TRIM(Paramètres!M43),3)="Fin",1-$H3229,IF(LEFT(TRIM(Paramètres!M43),1)="F",1,0)))),IF(Paramètres!N43="",0,IF(Paramètres!O43="",NA(),IF(LEFT(TRIM(Paramètres!O43),1)="F",INDEX($F$3191:$F$3243,MATCH(Paramètres!N43,Paramètres!$G$5:$G$57,0)),INDEX($E$3191:$E$3243,MATCH(Paramètres!N43,Paramètres!$G$5:$G$57,0)))+IF(RIGHT(TRIM(Paramètres!O43),3)="Fin",1-$H3229,IF(LEFT(TRIM(Paramètres!O43),1)="F",1,0)))))))</f>
        <v/>
      </c>
      <c r="F3229" s="19">
        <f>IF($A3229="","",E3229+$H3229-1)</f>
        <v/>
      </c>
      <c r="G3229" s="18" t="n"/>
      <c r="H3229" s="18">
        <f>IF($A3229="","",IF(I3229&lt;&gt;"",I3229,Paramètres!B43))</f>
        <v/>
      </c>
      <c r="I3229" s="18" t="n"/>
    </row>
    <row r="3230">
      <c r="A3230" s="18">
        <f>IF(ISNUMBER(Dossiers!$D$63),Dossiers!$A$63&amp;" · "&amp;Dossiers!$B$63,"")</f>
        <v/>
      </c>
      <c r="B3230" s="18">
        <f>IF($A3230="","",Paramètres!G44)</f>
        <v/>
      </c>
      <c r="C3230" s="18">
        <f>IF($A3230="","",IF(Paramètres!H44="","",Paramètres!H44))</f>
        <v/>
      </c>
      <c r="D3230" s="18">
        <f>IF($A3230="","",IF(Paramètres!I44="","",Paramètres!I44))</f>
        <v/>
      </c>
      <c r="E3230" s="19">
        <f>IF($A3230="","",IF(Paramètres!J44&amp;Paramètres!L44&amp;Paramètres!N44="",Dossiers!$D$63,MAX(IF(Paramètres!J44="",0,IF(Paramètres!K44="",NA(),IF(LEFT(TRIM(Paramètres!K44),1)="F",INDEX($F$3191:$F$3243,MATCH(Paramètres!J44,Paramètres!$G$5:$G$57,0)),INDEX($E$3191:$E$3243,MATCH(Paramètres!J44,Paramètres!$G$5:$G$57,0)))+IF(RIGHT(TRIM(Paramètres!K44),3)="Fin",1-$H3230,IF(LEFT(TRIM(Paramètres!K44),1)="F",1,0)))),IF(Paramètres!L44="",0,IF(Paramètres!M44="",NA(),IF(LEFT(TRIM(Paramètres!M44),1)="F",INDEX($F$3191:$F$3243,MATCH(Paramètres!L44,Paramètres!$G$5:$G$57,0)),INDEX($E$3191:$E$3243,MATCH(Paramètres!L44,Paramètres!$G$5:$G$57,0)))+IF(RIGHT(TRIM(Paramètres!M44),3)="Fin",1-$H3230,IF(LEFT(TRIM(Paramètres!M44),1)="F",1,0)))),IF(Paramètres!N44="",0,IF(Paramètres!O44="",NA(),IF(LEFT(TRIM(Paramètres!O44),1)="F",INDEX($F$3191:$F$3243,MATCH(Paramètres!N44,Paramètres!$G$5:$G$57,0)),INDEX($E$3191:$E$3243,MATCH(Paramètres!N44,Paramètres!$G$5:$G$57,0)))+IF(RIGHT(TRIM(Paramètres!O44),3)="Fin",1-$H3230,IF(LEFT(TRIM(Paramètres!O44),1)="F",1,0)))))))</f>
        <v/>
      </c>
      <c r="F3230" s="19">
        <f>IF($A3230="","",E3230+$H3230-1)</f>
        <v/>
      </c>
      <c r="G3230" s="18" t="n"/>
      <c r="H3230" s="18">
        <f>IF($A3230="","",IF(I3230&lt;&gt;"",I3230,Paramètres!B44))</f>
        <v/>
      </c>
      <c r="I3230" s="18" t="n"/>
    </row>
    <row r="3231">
      <c r="A3231" s="18">
        <f>IF(ISNUMBER(Dossiers!$D$63),Dossiers!$A$63&amp;" · "&amp;Dossiers!$B$63,"")</f>
        <v/>
      </c>
      <c r="B3231" s="18">
        <f>IF($A3231="","",Paramètres!G45)</f>
        <v/>
      </c>
      <c r="C3231" s="20">
        <f>IF($A3231="","",IF(Dossiers!$G$63="","",Dossiers!$G$63))</f>
        <v/>
      </c>
      <c r="D3231" s="18">
        <f>IF($A3231="","",IF(Paramètres!I45="","",Paramètres!I45))</f>
        <v/>
      </c>
      <c r="E3231" s="19">
        <f>IF($A3231="","",IF(Paramètres!J45&amp;Paramètres!L45&amp;Paramètres!N45="",Dossiers!$D$63,MAX(IF(Paramètres!J45="",0,IF(Paramètres!K45="",NA(),IF(LEFT(TRIM(Paramètres!K45),1)="F",INDEX($F$3191:$F$3243,MATCH(Paramètres!J45,Paramètres!$G$5:$G$57,0)),INDEX($E$3191:$E$3243,MATCH(Paramètres!J45,Paramètres!$G$5:$G$57,0)))+IF(RIGHT(TRIM(Paramètres!K45),3)="Fin",1-$H3231,IF(LEFT(TRIM(Paramètres!K45),1)="F",1,0)))),IF(Paramètres!L45="",0,IF(Paramètres!M45="",NA(),IF(LEFT(TRIM(Paramètres!M45),1)="F",INDEX($F$3191:$F$3243,MATCH(Paramètres!L45,Paramètres!$G$5:$G$57,0)),INDEX($E$3191:$E$3243,MATCH(Paramètres!L45,Paramètres!$G$5:$G$57,0)))+IF(RIGHT(TRIM(Paramètres!M45),3)="Fin",1-$H3231,IF(LEFT(TRIM(Paramètres!M45),1)="F",1,0)))),IF(Paramètres!N45="",0,IF(Paramètres!O45="",NA(),IF(LEFT(TRIM(Paramètres!O45),1)="F",INDEX($F$3191:$F$3243,MATCH(Paramètres!N45,Paramètres!$G$5:$G$57,0)),INDEX($E$3191:$E$3243,MATCH(Paramètres!N45,Paramètres!$G$5:$G$57,0)))+IF(RIGHT(TRIM(Paramètres!O45),3)="Fin",1-$H3231,IF(LEFT(TRIM(Paramètres!O45),1)="F",1,0)))))))</f>
        <v/>
      </c>
      <c r="F3231" s="19">
        <f>IF($A3231="","",E3231+$H3231-1)</f>
        <v/>
      </c>
      <c r="G3231" s="18" t="n"/>
      <c r="H3231" s="18">
        <f>IF($A3231="","",IF(I3231&lt;&gt;"",I3231,Paramètres!B45))</f>
        <v/>
      </c>
      <c r="I3231" s="18" t="n"/>
    </row>
    <row r="3232">
      <c r="A3232" s="18">
        <f>IF(ISNUMBER(Dossiers!$D$63),Dossiers!$A$63&amp;" · "&amp;Dossiers!$B$63,"")</f>
        <v/>
      </c>
      <c r="B3232" s="18">
        <f>IF($A3232="","",Paramètres!G46)</f>
        <v/>
      </c>
      <c r="C3232" s="18">
        <f>IF($A3232="","",IF(Paramètres!H46="","",Paramètres!H46))</f>
        <v/>
      </c>
      <c r="D3232" s="18">
        <f>IF($A3232="","",IF(Paramètres!I46="","",Paramètres!I46))</f>
        <v/>
      </c>
      <c r="E3232" s="19">
        <f>IF($A3232="","",IF(Paramètres!J46&amp;Paramètres!L46&amp;Paramètres!N46="",Dossiers!$D$63,MAX(IF(Paramètres!J46="",0,IF(Paramètres!K46="",NA(),IF(LEFT(TRIM(Paramètres!K46),1)="F",INDEX($F$3191:$F$3243,MATCH(Paramètres!J46,Paramètres!$G$5:$G$57,0)),INDEX($E$3191:$E$3243,MATCH(Paramètres!J46,Paramètres!$G$5:$G$57,0)))+IF(RIGHT(TRIM(Paramètres!K46),3)="Fin",1-$H3232,IF(LEFT(TRIM(Paramètres!K46),1)="F",1,0)))),IF(Paramètres!L46="",0,IF(Paramètres!M46="",NA(),IF(LEFT(TRIM(Paramètres!M46),1)="F",INDEX($F$3191:$F$3243,MATCH(Paramètres!L46,Paramètres!$G$5:$G$57,0)),INDEX($E$3191:$E$3243,MATCH(Paramètres!L46,Paramètres!$G$5:$G$57,0)))+IF(RIGHT(TRIM(Paramètres!M46),3)="Fin",1-$H3232,IF(LEFT(TRIM(Paramètres!M46),1)="F",1,0)))),IF(Paramètres!N46="",0,IF(Paramètres!O46="",NA(),IF(LEFT(TRIM(Paramètres!O46),1)="F",INDEX($F$3191:$F$3243,MATCH(Paramètres!N46,Paramètres!$G$5:$G$57,0)),INDEX($E$3191:$E$3243,MATCH(Paramètres!N46,Paramètres!$G$5:$G$57,0)))+IF(RIGHT(TRIM(Paramètres!O46),3)="Fin",1-$H3232,IF(LEFT(TRIM(Paramètres!O46),1)="F",1,0)))))))</f>
        <v/>
      </c>
      <c r="F3232" s="19">
        <f>IF($A3232="","",E3232+$H3232-1)</f>
        <v/>
      </c>
      <c r="G3232" s="18" t="n"/>
      <c r="H3232" s="18">
        <f>IF($A3232="","",IF(I3232&lt;&gt;"",I3232,Paramètres!B46))</f>
        <v/>
      </c>
      <c r="I3232" s="18" t="n"/>
    </row>
    <row r="3233">
      <c r="A3233" s="18">
        <f>IF(ISNUMBER(Dossiers!$D$63),Dossiers!$A$63&amp;" · "&amp;Dossiers!$B$63,"")</f>
        <v/>
      </c>
      <c r="B3233" s="18">
        <f>IF($A3233="","",Paramètres!G47)</f>
        <v/>
      </c>
      <c r="C3233" s="18">
        <f>IF($A3233="","",IF(Paramètres!H47="","",Paramètres!H47))</f>
        <v/>
      </c>
      <c r="D3233" s="18">
        <f>IF($A3233="","",IF(Paramètres!I47="","",Paramètres!I47))</f>
        <v/>
      </c>
      <c r="E3233" s="19">
        <f>IF($A3233="","",IF(Paramètres!J47&amp;Paramètres!L47&amp;Paramètres!N47="",Dossiers!$D$63,MAX(IF(Paramètres!J47="",0,IF(Paramètres!K47="",NA(),IF(LEFT(TRIM(Paramètres!K47),1)="F",INDEX($F$3191:$F$3243,MATCH(Paramètres!J47,Paramètres!$G$5:$G$57,0)),INDEX($E$3191:$E$3243,MATCH(Paramètres!J47,Paramètres!$G$5:$G$57,0)))+IF(RIGHT(TRIM(Paramètres!K47),3)="Fin",1-$H3233,IF(LEFT(TRIM(Paramètres!K47),1)="F",1,0)))),IF(Paramètres!L47="",0,IF(Paramètres!M47="",NA(),IF(LEFT(TRIM(Paramètres!M47),1)="F",INDEX($F$3191:$F$3243,MATCH(Paramètres!L47,Paramètres!$G$5:$G$57,0)),INDEX($E$3191:$E$3243,MATCH(Paramètres!L47,Paramètres!$G$5:$G$57,0)))+IF(RIGHT(TRIM(Paramètres!M47),3)="Fin",1-$H3233,IF(LEFT(TRIM(Paramètres!M47),1)="F",1,0)))),IF(Paramètres!N47="",0,IF(Paramètres!O47="",NA(),IF(LEFT(TRIM(Paramètres!O47),1)="F",INDEX($F$3191:$F$3243,MATCH(Paramètres!N47,Paramètres!$G$5:$G$57,0)),INDEX($E$3191:$E$3243,MATCH(Paramètres!N47,Paramètres!$G$5:$G$57,0)))+IF(RIGHT(TRIM(Paramètres!O47),3)="Fin",1-$H3233,IF(LEFT(TRIM(Paramètres!O47),1)="F",1,0)))))))</f>
        <v/>
      </c>
      <c r="F3233" s="19">
        <f>IF($A3233="","",E3233+$H3233-1)</f>
        <v/>
      </c>
      <c r="G3233" s="18" t="n"/>
      <c r="H3233" s="18">
        <f>IF($A3233="","",IF(I3233&lt;&gt;"",I3233,Paramètres!B47))</f>
        <v/>
      </c>
      <c r="I3233" s="18" t="n"/>
    </row>
    <row r="3234">
      <c r="A3234" s="18">
        <f>IF(ISNUMBER(Dossiers!$D$63),Dossiers!$A$63&amp;" · "&amp;Dossiers!$B$63,"")</f>
        <v/>
      </c>
      <c r="B3234" s="18">
        <f>IF($A3234="","",Paramètres!G48)</f>
        <v/>
      </c>
      <c r="C3234" s="18">
        <f>IF($A3234="","",IF(Paramètres!H48="","",Paramètres!H48))</f>
        <v/>
      </c>
      <c r="D3234" s="18">
        <f>IF($A3234="","",IF(Paramètres!I48="","",Paramètres!I48))</f>
        <v/>
      </c>
      <c r="E3234" s="19">
        <f>IF($A3234="","",IF(Paramètres!J48&amp;Paramètres!L48&amp;Paramètres!N48="",Dossiers!$D$63,MAX(IF(Paramètres!J48="",0,IF(Paramètres!K48="",NA(),IF(LEFT(TRIM(Paramètres!K48),1)="F",INDEX($F$3191:$F$3243,MATCH(Paramètres!J48,Paramètres!$G$5:$G$57,0)),INDEX($E$3191:$E$3243,MATCH(Paramètres!J48,Paramètres!$G$5:$G$57,0)))+IF(RIGHT(TRIM(Paramètres!K48),3)="Fin",1-$H3234,IF(LEFT(TRIM(Paramètres!K48),1)="F",1,0)))),IF(Paramètres!L48="",0,IF(Paramètres!M48="",NA(),IF(LEFT(TRIM(Paramètres!M48),1)="F",INDEX($F$3191:$F$3243,MATCH(Paramètres!L48,Paramètres!$G$5:$G$57,0)),INDEX($E$3191:$E$3243,MATCH(Paramètres!L48,Paramètres!$G$5:$G$57,0)))+IF(RIGHT(TRIM(Paramètres!M48),3)="Fin",1-$H3234,IF(LEFT(TRIM(Paramètres!M48),1)="F",1,0)))),IF(Paramètres!N48="",0,IF(Paramètres!O48="",NA(),IF(LEFT(TRIM(Paramètres!O48),1)="F",INDEX($F$3191:$F$3243,MATCH(Paramètres!N48,Paramètres!$G$5:$G$57,0)),INDEX($E$3191:$E$3243,MATCH(Paramètres!N48,Paramètres!$G$5:$G$57,0)))+IF(RIGHT(TRIM(Paramètres!O48),3)="Fin",1-$H3234,IF(LEFT(TRIM(Paramètres!O48),1)="F",1,0)))))))</f>
        <v/>
      </c>
      <c r="F3234" s="19">
        <f>IF($A3234="","",E3234+$H3234-1)</f>
        <v/>
      </c>
      <c r="G3234" s="18" t="n"/>
      <c r="H3234" s="18">
        <f>IF($A3234="","",IF(I3234&lt;&gt;"",I3234,Paramètres!B48))</f>
        <v/>
      </c>
      <c r="I3234" s="18" t="n"/>
    </row>
    <row r="3235">
      <c r="A3235" s="18">
        <f>IF(ISNUMBER(Dossiers!$D$63),Dossiers!$A$63&amp;" · "&amp;Dossiers!$B$63,"")</f>
        <v/>
      </c>
      <c r="B3235" s="18">
        <f>IF($A3235="","",Paramètres!G49)</f>
        <v/>
      </c>
      <c r="C3235" s="18">
        <f>IF($A3235="","",IF(Paramètres!H49="","",Paramètres!H49))</f>
        <v/>
      </c>
      <c r="D3235" s="18">
        <f>IF($A3235="","",IF(Paramètres!I49="","",Paramètres!I49))</f>
        <v/>
      </c>
      <c r="E3235" s="19">
        <f>IF($A3235="","",IF(Paramètres!J49&amp;Paramètres!L49&amp;Paramètres!N49="",Dossiers!$D$63,MAX(IF(Paramètres!J49="",0,IF(Paramètres!K49="",NA(),IF(LEFT(TRIM(Paramètres!K49),1)="F",INDEX($F$3191:$F$3243,MATCH(Paramètres!J49,Paramètres!$G$5:$G$57,0)),INDEX($E$3191:$E$3243,MATCH(Paramètres!J49,Paramètres!$G$5:$G$57,0)))+IF(RIGHT(TRIM(Paramètres!K49),3)="Fin",1-$H3235,IF(LEFT(TRIM(Paramètres!K49),1)="F",1,0)))),IF(Paramètres!L49="",0,IF(Paramètres!M49="",NA(),IF(LEFT(TRIM(Paramètres!M49),1)="F",INDEX($F$3191:$F$3243,MATCH(Paramètres!L49,Paramètres!$G$5:$G$57,0)),INDEX($E$3191:$E$3243,MATCH(Paramètres!L49,Paramètres!$G$5:$G$57,0)))+IF(RIGHT(TRIM(Paramètres!M49),3)="Fin",1-$H3235,IF(LEFT(TRIM(Paramètres!M49),1)="F",1,0)))),IF(Paramètres!N49="",0,IF(Paramètres!O49="",NA(),IF(LEFT(TRIM(Paramètres!O49),1)="F",INDEX($F$3191:$F$3243,MATCH(Paramètres!N49,Paramètres!$G$5:$G$57,0)),INDEX($E$3191:$E$3243,MATCH(Paramètres!N49,Paramètres!$G$5:$G$57,0)))+IF(RIGHT(TRIM(Paramètres!O49),3)="Fin",1-$H3235,IF(LEFT(TRIM(Paramètres!O49),1)="F",1,0)))))))</f>
        <v/>
      </c>
      <c r="F3235" s="19">
        <f>IF($A3235="","",E3235+$H3235-1)</f>
        <v/>
      </c>
      <c r="G3235" s="18" t="n"/>
      <c r="H3235" s="18">
        <f>IF($A3235="","",IF(I3235&lt;&gt;"",I3235,Paramètres!B49))</f>
        <v/>
      </c>
      <c r="I3235" s="18" t="n"/>
    </row>
    <row r="3236">
      <c r="A3236" s="18">
        <f>IF(ISNUMBER(Dossiers!$D$63),Dossiers!$A$63&amp;" · "&amp;Dossiers!$B$63,"")</f>
        <v/>
      </c>
      <c r="B3236" s="18">
        <f>IF($A3236="","",Paramètres!G50)</f>
        <v/>
      </c>
      <c r="C3236" s="18">
        <f>IF($A3236="","",IF(Paramètres!H50="","",Paramètres!H50))</f>
        <v/>
      </c>
      <c r="D3236" s="18">
        <f>IF($A3236="","",IF(Paramètres!I50="","",Paramètres!I50))</f>
        <v/>
      </c>
      <c r="E3236" s="19">
        <f>IF($A3236="","",IF(Paramètres!J50&amp;Paramètres!L50&amp;Paramètres!N50="",Dossiers!$D$63,MAX(IF(Paramètres!J50="",0,IF(Paramètres!K50="",NA(),IF(LEFT(TRIM(Paramètres!K50),1)="F",INDEX($F$3191:$F$3243,MATCH(Paramètres!J50,Paramètres!$G$5:$G$57,0)),INDEX($E$3191:$E$3243,MATCH(Paramètres!J50,Paramètres!$G$5:$G$57,0)))+IF(RIGHT(TRIM(Paramètres!K50),3)="Fin",1-$H3236,IF(LEFT(TRIM(Paramètres!K50),1)="F",1,0)))),IF(Paramètres!L50="",0,IF(Paramètres!M50="",NA(),IF(LEFT(TRIM(Paramètres!M50),1)="F",INDEX($F$3191:$F$3243,MATCH(Paramètres!L50,Paramètres!$G$5:$G$57,0)),INDEX($E$3191:$E$3243,MATCH(Paramètres!L50,Paramètres!$G$5:$G$57,0)))+IF(RIGHT(TRIM(Paramètres!M50),3)="Fin",1-$H3236,IF(LEFT(TRIM(Paramètres!M50),1)="F",1,0)))),IF(Paramètres!N50="",0,IF(Paramètres!O50="",NA(),IF(LEFT(TRIM(Paramètres!O50),1)="F",INDEX($F$3191:$F$3243,MATCH(Paramètres!N50,Paramètres!$G$5:$G$57,0)),INDEX($E$3191:$E$3243,MATCH(Paramètres!N50,Paramètres!$G$5:$G$57,0)))+IF(RIGHT(TRIM(Paramètres!O50),3)="Fin",1-$H3236,IF(LEFT(TRIM(Paramètres!O50),1)="F",1,0)))))))</f>
        <v/>
      </c>
      <c r="F3236" s="19">
        <f>IF($A3236="","",E3236+$H3236-1)</f>
        <v/>
      </c>
      <c r="G3236" s="18" t="n"/>
      <c r="H3236" s="18">
        <f>IF($A3236="","",IF(I3236&lt;&gt;"",I3236,Paramètres!B50))</f>
        <v/>
      </c>
      <c r="I3236" s="18" t="n"/>
    </row>
    <row r="3237">
      <c r="A3237" s="18">
        <f>IF(ISNUMBER(Dossiers!$D$63),Dossiers!$A$63&amp;" · "&amp;Dossiers!$B$63,"")</f>
        <v/>
      </c>
      <c r="B3237" s="18">
        <f>IF($A3237="","",Paramètres!G51)</f>
        <v/>
      </c>
      <c r="C3237" s="18">
        <f>IF($A3237="","",IF(Paramètres!H51="","",Paramètres!H51))</f>
        <v/>
      </c>
      <c r="D3237" s="18">
        <f>IF($A3237="","",IF(Paramètres!I51="","",Paramètres!I51))</f>
        <v/>
      </c>
      <c r="E3237" s="19">
        <f>IF($A3237="","",IF(Paramètres!J51&amp;Paramètres!L51&amp;Paramètres!N51="",Dossiers!$D$63,MAX(IF(Paramètres!J51="",0,IF(Paramètres!K51="",NA(),IF(LEFT(TRIM(Paramètres!K51),1)="F",INDEX($F$3191:$F$3243,MATCH(Paramètres!J51,Paramètres!$G$5:$G$57,0)),INDEX($E$3191:$E$3243,MATCH(Paramètres!J51,Paramètres!$G$5:$G$57,0)))+IF(RIGHT(TRIM(Paramètres!K51),3)="Fin",1-$H3237,IF(LEFT(TRIM(Paramètres!K51),1)="F",1,0)))),IF(Paramètres!L51="",0,IF(Paramètres!M51="",NA(),IF(LEFT(TRIM(Paramètres!M51),1)="F",INDEX($F$3191:$F$3243,MATCH(Paramètres!L51,Paramètres!$G$5:$G$57,0)),INDEX($E$3191:$E$3243,MATCH(Paramètres!L51,Paramètres!$G$5:$G$57,0)))+IF(RIGHT(TRIM(Paramètres!M51),3)="Fin",1-$H3237,IF(LEFT(TRIM(Paramètres!M51),1)="F",1,0)))),IF(Paramètres!N51="",0,IF(Paramètres!O51="",NA(),IF(LEFT(TRIM(Paramètres!O51),1)="F",INDEX($F$3191:$F$3243,MATCH(Paramètres!N51,Paramètres!$G$5:$G$57,0)),INDEX($E$3191:$E$3243,MATCH(Paramètres!N51,Paramètres!$G$5:$G$57,0)))+IF(RIGHT(TRIM(Paramètres!O51),3)="Fin",1-$H3237,IF(LEFT(TRIM(Paramètres!O51),1)="F",1,0)))))))</f>
        <v/>
      </c>
      <c r="F3237" s="19">
        <f>IF($A3237="","",E3237+$H3237-1)</f>
        <v/>
      </c>
      <c r="G3237" s="18" t="n"/>
      <c r="H3237" s="18">
        <f>IF($A3237="","",IF(I3237&lt;&gt;"",I3237,Paramètres!B51))</f>
        <v/>
      </c>
      <c r="I3237" s="18" t="n"/>
    </row>
    <row r="3238">
      <c r="A3238" s="18">
        <f>IF(ISNUMBER(Dossiers!$D$63),Dossiers!$A$63&amp;" · "&amp;Dossiers!$B$63,"")</f>
        <v/>
      </c>
      <c r="B3238" s="18">
        <f>IF($A3238="","",Paramètres!G52)</f>
        <v/>
      </c>
      <c r="C3238" s="18">
        <f>IF($A3238="","",IF(Paramètres!H52="","",Paramètres!H52))</f>
        <v/>
      </c>
      <c r="D3238" s="18">
        <f>IF($A3238="","",IF(Paramètres!I52="","",Paramètres!I52))</f>
        <v/>
      </c>
      <c r="E3238" s="19">
        <f>IF($A3238="","",IF(Paramètres!J52&amp;Paramètres!L52&amp;Paramètres!N52="",Dossiers!$D$63,MAX(IF(Paramètres!J52="",0,IF(Paramètres!K52="",NA(),IF(LEFT(TRIM(Paramètres!K52),1)="F",INDEX($F$3191:$F$3243,MATCH(Paramètres!J52,Paramètres!$G$5:$G$57,0)),INDEX($E$3191:$E$3243,MATCH(Paramètres!J52,Paramètres!$G$5:$G$57,0)))+IF(RIGHT(TRIM(Paramètres!K52),3)="Fin",1-$H3238,IF(LEFT(TRIM(Paramètres!K52),1)="F",1,0)))),IF(Paramètres!L52="",0,IF(Paramètres!M52="",NA(),IF(LEFT(TRIM(Paramètres!M52),1)="F",INDEX($F$3191:$F$3243,MATCH(Paramètres!L52,Paramètres!$G$5:$G$57,0)),INDEX($E$3191:$E$3243,MATCH(Paramètres!L52,Paramètres!$G$5:$G$57,0)))+IF(RIGHT(TRIM(Paramètres!M52),3)="Fin",1-$H3238,IF(LEFT(TRIM(Paramètres!M52),1)="F",1,0)))),IF(Paramètres!N52="",0,IF(Paramètres!O52="",NA(),IF(LEFT(TRIM(Paramètres!O52),1)="F",INDEX($F$3191:$F$3243,MATCH(Paramètres!N52,Paramètres!$G$5:$G$57,0)),INDEX($E$3191:$E$3243,MATCH(Paramètres!N52,Paramètres!$G$5:$G$57,0)))+IF(RIGHT(TRIM(Paramètres!O52),3)="Fin",1-$H3238,IF(LEFT(TRIM(Paramètres!O52),1)="F",1,0)))))))</f>
        <v/>
      </c>
      <c r="F3238" s="19">
        <f>IF($A3238="","",E3238+$H3238-1)</f>
        <v/>
      </c>
      <c r="G3238" s="18" t="n"/>
      <c r="H3238" s="18">
        <f>IF($A3238="","",IF(I3238&lt;&gt;"",I3238,Paramètres!B52))</f>
        <v/>
      </c>
      <c r="I3238" s="18" t="n"/>
    </row>
    <row r="3239">
      <c r="A3239" s="18">
        <f>IF(ISNUMBER(Dossiers!$D$63),Dossiers!$A$63&amp;" · "&amp;Dossiers!$B$63,"")</f>
        <v/>
      </c>
      <c r="B3239" s="18">
        <f>IF($A3239="","",Paramètres!G53)</f>
        <v/>
      </c>
      <c r="C3239" s="18">
        <f>IF($A3239="","",IF(Paramètres!H53="","",Paramètres!H53))</f>
        <v/>
      </c>
      <c r="D3239" s="18">
        <f>IF($A3239="","",IF(Paramètres!I53="","",Paramètres!I53))</f>
        <v/>
      </c>
      <c r="E3239" s="19">
        <f>IF($A3239="","",IF(Paramètres!J53&amp;Paramètres!L53&amp;Paramètres!N53="",Dossiers!$D$63,MAX(IF(Paramètres!J53="",0,IF(Paramètres!K53="",NA(),IF(LEFT(TRIM(Paramètres!K53),1)="F",INDEX($F$3191:$F$3243,MATCH(Paramètres!J53,Paramètres!$G$5:$G$57,0)),INDEX($E$3191:$E$3243,MATCH(Paramètres!J53,Paramètres!$G$5:$G$57,0)))+IF(RIGHT(TRIM(Paramètres!K53),3)="Fin",1-$H3239,IF(LEFT(TRIM(Paramètres!K53),1)="F",1,0)))),IF(Paramètres!L53="",0,IF(Paramètres!M53="",NA(),IF(LEFT(TRIM(Paramètres!M53),1)="F",INDEX($F$3191:$F$3243,MATCH(Paramètres!L53,Paramètres!$G$5:$G$57,0)),INDEX($E$3191:$E$3243,MATCH(Paramètres!L53,Paramètres!$G$5:$G$57,0)))+IF(RIGHT(TRIM(Paramètres!M53),3)="Fin",1-$H3239,IF(LEFT(TRIM(Paramètres!M53),1)="F",1,0)))),IF(Paramètres!N53="",0,IF(Paramètres!O53="",NA(),IF(LEFT(TRIM(Paramètres!O53),1)="F",INDEX($F$3191:$F$3243,MATCH(Paramètres!N53,Paramètres!$G$5:$G$57,0)),INDEX($E$3191:$E$3243,MATCH(Paramètres!N53,Paramètres!$G$5:$G$57,0)))+IF(RIGHT(TRIM(Paramètres!O53),3)="Fin",1-$H3239,IF(LEFT(TRIM(Paramètres!O53),1)="F",1,0)))))))</f>
        <v/>
      </c>
      <c r="F3239" s="19">
        <f>IF($A3239="","",E3239+$H3239-1)</f>
        <v/>
      </c>
      <c r="G3239" s="18" t="n"/>
      <c r="H3239" s="18">
        <f>IF($A3239="","",IF(I3239&lt;&gt;"",I3239,Paramètres!B53))</f>
        <v/>
      </c>
      <c r="I3239" s="18" t="n"/>
    </row>
    <row r="3240">
      <c r="A3240" s="18">
        <f>IF(ISNUMBER(Dossiers!$D$63),Dossiers!$A$63&amp;" · "&amp;Dossiers!$B$63,"")</f>
        <v/>
      </c>
      <c r="B3240" s="18">
        <f>IF($A3240="","",Paramètres!G54)</f>
        <v/>
      </c>
      <c r="C3240" s="18">
        <f>IF($A3240="","",IF(Paramètres!H54="","",Paramètres!H54))</f>
        <v/>
      </c>
      <c r="D3240" s="18">
        <f>IF($A3240="","",IF(Paramètres!I54="","",Paramètres!I54))</f>
        <v/>
      </c>
      <c r="E3240" s="19">
        <f>IF($A3240="","",IF(Paramètres!J54&amp;Paramètres!L54&amp;Paramètres!N54="",Dossiers!$D$63,MAX(IF(Paramètres!J54="",0,IF(Paramètres!K54="",NA(),IF(LEFT(TRIM(Paramètres!K54),1)="F",INDEX($F$3191:$F$3243,MATCH(Paramètres!J54,Paramètres!$G$5:$G$57,0)),INDEX($E$3191:$E$3243,MATCH(Paramètres!J54,Paramètres!$G$5:$G$57,0)))+IF(RIGHT(TRIM(Paramètres!K54),3)="Fin",1-$H3240,IF(LEFT(TRIM(Paramètres!K54),1)="F",1,0)))),IF(Paramètres!L54="",0,IF(Paramètres!M54="",NA(),IF(LEFT(TRIM(Paramètres!M54),1)="F",INDEX($F$3191:$F$3243,MATCH(Paramètres!L54,Paramètres!$G$5:$G$57,0)),INDEX($E$3191:$E$3243,MATCH(Paramètres!L54,Paramètres!$G$5:$G$57,0)))+IF(RIGHT(TRIM(Paramètres!M54),3)="Fin",1-$H3240,IF(LEFT(TRIM(Paramètres!M54),1)="F",1,0)))),IF(Paramètres!N54="",0,IF(Paramètres!O54="",NA(),IF(LEFT(TRIM(Paramètres!O54),1)="F",INDEX($F$3191:$F$3243,MATCH(Paramètres!N54,Paramètres!$G$5:$G$57,0)),INDEX($E$3191:$E$3243,MATCH(Paramètres!N54,Paramètres!$G$5:$G$57,0)))+IF(RIGHT(TRIM(Paramètres!O54),3)="Fin",1-$H3240,IF(LEFT(TRIM(Paramètres!O54),1)="F",1,0)))))))</f>
        <v/>
      </c>
      <c r="F3240" s="19">
        <f>IF($A3240="","",E3240+$H3240-1)</f>
        <v/>
      </c>
      <c r="G3240" s="18" t="n"/>
      <c r="H3240" s="18">
        <f>IF($A3240="","",IF(I3240&lt;&gt;"",I3240,Paramètres!B54))</f>
        <v/>
      </c>
      <c r="I3240" s="18" t="n"/>
    </row>
    <row r="3241">
      <c r="A3241" s="18">
        <f>IF(ISNUMBER(Dossiers!$D$63),Dossiers!$A$63&amp;" · "&amp;Dossiers!$B$63,"")</f>
        <v/>
      </c>
      <c r="B3241" s="18">
        <f>IF($A3241="","",Paramètres!G55)</f>
        <v/>
      </c>
      <c r="C3241" s="18">
        <f>IF($A3241="","",IF(Paramètres!H55="","",Paramètres!H55))</f>
        <v/>
      </c>
      <c r="D3241" s="18">
        <f>IF($A3241="","",IF(Paramètres!I55="","",Paramètres!I55))</f>
        <v/>
      </c>
      <c r="E3241" s="19">
        <f>IF($A3241="","",IF(Paramètres!J55&amp;Paramètres!L55&amp;Paramètres!N55="",Dossiers!$D$63,MAX(IF(Paramètres!J55="",0,IF(Paramètres!K55="",NA(),IF(LEFT(TRIM(Paramètres!K55),1)="F",INDEX($F$3191:$F$3243,MATCH(Paramètres!J55,Paramètres!$G$5:$G$57,0)),INDEX($E$3191:$E$3243,MATCH(Paramètres!J55,Paramètres!$G$5:$G$57,0)))+IF(RIGHT(TRIM(Paramètres!K55),3)="Fin",1-$H3241,IF(LEFT(TRIM(Paramètres!K55),1)="F",1,0)))),IF(Paramètres!L55="",0,IF(Paramètres!M55="",NA(),IF(LEFT(TRIM(Paramètres!M55),1)="F",INDEX($F$3191:$F$3243,MATCH(Paramètres!L55,Paramètres!$G$5:$G$57,0)),INDEX($E$3191:$E$3243,MATCH(Paramètres!L55,Paramètres!$G$5:$G$57,0)))+IF(RIGHT(TRIM(Paramètres!M55),3)="Fin",1-$H3241,IF(LEFT(TRIM(Paramètres!M55),1)="F",1,0)))),IF(Paramètres!N55="",0,IF(Paramètres!O55="",NA(),IF(LEFT(TRIM(Paramètres!O55),1)="F",INDEX($F$3191:$F$3243,MATCH(Paramètres!N55,Paramètres!$G$5:$G$57,0)),INDEX($E$3191:$E$3243,MATCH(Paramètres!N55,Paramètres!$G$5:$G$57,0)))+IF(RIGHT(TRIM(Paramètres!O55),3)="Fin",1-$H3241,IF(LEFT(TRIM(Paramètres!O55),1)="F",1,0)))))))</f>
        <v/>
      </c>
      <c r="F3241" s="19">
        <f>IF($A3241="","",E3241+$H3241-1)</f>
        <v/>
      </c>
      <c r="G3241" s="18" t="n"/>
      <c r="H3241" s="18">
        <f>IF($A3241="","",IF(I3241&lt;&gt;"",I3241,Paramètres!B55))</f>
        <v/>
      </c>
      <c r="I3241" s="18" t="n"/>
    </row>
    <row r="3242">
      <c r="A3242">
        <f>IF(ISNUMBER(Dossiers!$D$63),Dossiers!$A$63&amp;" · "&amp;Dossiers!$B$63,"")</f>
        <v/>
      </c>
      <c r="B3242">
        <f>IF($A3242="","",Paramètres!G56)</f>
        <v/>
      </c>
      <c r="C3242">
        <f>IF($A3242="","",IF(Paramètres!H56="","",Paramètres!H56))</f>
        <v/>
      </c>
      <c r="D3242">
        <f>IF($A3242="","",IF(Paramètres!I56="","",Paramètres!I56))</f>
        <v/>
      </c>
      <c r="E3242" s="5">
        <f>IF($A3242="","",MIN(E3243:E3243))</f>
        <v/>
      </c>
      <c r="F3242" s="5">
        <f>IF($A3242="","",MAX(F3243:F3243))</f>
        <v/>
      </c>
      <c r="H3242">
        <f>IF($A3242="","",F3242-E3242+1)</f>
        <v/>
      </c>
    </row>
    <row r="3243">
      <c r="A3243">
        <f>IF(ISNUMBER(Dossiers!$D$63),Dossiers!$A$63&amp;" · "&amp;Dossiers!$B$63,"")</f>
        <v/>
      </c>
      <c r="B3243">
        <f>IF($A3243="","",Paramètres!G57)</f>
        <v/>
      </c>
      <c r="C3243">
        <f>IF($A3243="","",IF(Paramètres!H57="","",Paramètres!H57))</f>
        <v/>
      </c>
      <c r="D3243">
        <f>IF($A3243="","",IF(Paramètres!I57="","",Paramètres!I57))</f>
        <v/>
      </c>
      <c r="E3243" s="5">
        <f>IF($A3243="","",IF(Paramètres!J57&amp;Paramètres!L57&amp;Paramètres!N57="",Dossiers!$D$63,MAX(IF(Paramètres!J57="",0,IF(Paramètres!K57="",NA(),IF(LEFT(TRIM(Paramètres!K57),1)="F",INDEX($F$3191:$F$3243,MATCH(Paramètres!J57,Paramètres!$G$5:$G$57,0)),INDEX($E$3191:$E$3243,MATCH(Paramètres!J57,Paramètres!$G$5:$G$57,0)))+IF(RIGHT(TRIM(Paramètres!K57),3)="Fin",1-$H3243,IF(LEFT(TRIM(Paramètres!K57),1)="F",1,0)))),IF(Paramètres!L57="",0,IF(Paramètres!M57="",NA(),IF(LEFT(TRIM(Paramètres!M57),1)="F",INDEX($F$3191:$F$3243,MATCH(Paramètres!L57,Paramètres!$G$5:$G$57,0)),INDEX($E$3191:$E$3243,MATCH(Paramètres!L57,Paramètres!$G$5:$G$57,0)))+IF(RIGHT(TRIM(Paramètres!M57),3)="Fin",1-$H3243,IF(LEFT(TRIM(Paramètres!M57),1)="F",1,0)))),IF(Paramètres!N57="",0,IF(Paramètres!O57="",NA(),IF(LEFT(TRIM(Paramètres!O57),1)="F",INDEX($F$3191:$F$3243,MATCH(Paramètres!N57,Paramètres!$G$5:$G$57,0)),INDEX($E$3191:$E$3243,MATCH(Paramètres!N57,Paramètres!$G$5:$G$57,0)))+IF(RIGHT(TRIM(Paramètres!O57),3)="Fin",1-$H3243,IF(LEFT(TRIM(Paramètres!O57),1)="F",1,0)))))))</f>
        <v/>
      </c>
      <c r="F3243" s="5">
        <f>IF($A3243="","",E3243+$H3243-1)</f>
        <v/>
      </c>
      <c r="H3243">
        <f>IF($A3243="","",IF(I3243&lt;&gt;"",I3243,Paramètres!B57))</f>
        <v/>
      </c>
    </row>
  </sheetData>
  <conditionalFormatting sqref="A4:I3243">
    <cfRule type="expression" priority="4" dxfId="7">
      <formula>AND($A4&lt;&gt;"",MOD(ROW()-4,54)=0,MOD(INT((ROW()-4)/54),3)=0)</formula>
    </cfRule>
    <cfRule type="expression" priority="5" dxfId="6">
      <formula>AND($A4&lt;&gt;"",MOD(ROW()-4,54)=0,MOD(INT((ROW()-4)/54),3)=1)</formula>
    </cfRule>
    <cfRule type="expression" priority="6" dxfId="5">
      <formula>AND($A4&lt;&gt;"",MOD(ROW()-4,54)=0,MOD(INT((ROW()-4)/54),3)=2)</formula>
    </cfRule>
    <cfRule type="expression" priority="7" dxfId="4">
      <formula>AND($A4&lt;&gt;"",MOD(ROW()-4,54)&gt;0,MOD(INT((ROW()-4)/54),3)=0)</formula>
    </cfRule>
    <cfRule type="expression" priority="8" dxfId="3">
      <formula>AND($A4&lt;&gt;"",MOD(ROW()-4,54)&gt;0,MOD(INT((ROW()-4)/54),3)=1)</formula>
    </cfRule>
    <cfRule type="expression" priority="9" dxfId="2">
      <formula>AND($A4&lt;&gt;"",MOD(ROW()-4,54)&gt;0,MOD(INT((ROW()-4)/54),3)=2)</formula>
    </cfRule>
  </conditionalFormatting>
  <conditionalFormatting sqref="B4:I3243">
    <cfRule type="expression" priority="3" dxfId="0">
      <formula>AND(ISNUMBER($F4),TODAY()&gt;$F4,$G4&lt;&gt;"Réalisé",$G4&lt;&gt;"Clôturé")</formula>
    </cfRule>
  </conditionalFormatting>
  <conditionalFormatting sqref="G1:G1048576">
    <cfRule type="cellIs" priority="1" operator="equal" dxfId="0">
      <formula>"Alerte retard"</formula>
    </cfRule>
  </conditionalFormatting>
  <dataValidations count="1">
    <dataValidation sqref="I5:I57 I59:I111 I113:I165 I167:I219 I221:I273 I275:I327 I329:I381 I383:I435 I437:I489 I491:I543 I545:I597 I599:I651 I653:I705 I707:I759 I761:I813 I815:I867 I869:I921 I923:I975 I977:I1029 I1031:I1083 I1085:I1137 I1139:I1191 I1193:I1245 I1247:I1299 I1301:I1353 I1355:I1407 I1409:I1461 I1463:I1515 I1517:I1569 I1571:I1623 I1625:I1677 I1679:I1731 I1733:I1785 I1787:I1839 I1841:I1893 I1895:I1947 I1949:I2001 I2003:I2055 I2057:I2109 I2111:I2163 I2165:I2217 I2219:I2271 I2273:I2325 I2327:I2379 I2381:I2433 I2435:I2487 I2489:I2541 I2543:I2595 I2597:I2649 I2651:I2703 I2705:I2757 I2759:I2811 I2813:I2865 I2867:I2919 I2921:I2973 I2975:I3027 I3029:I3081 I3083:I3135 I3137:I3189 I3191:I3243" showDropDown="0" showInputMessage="0" showErrorMessage="0" allowBlank="1" errorTitle="Durée" error="Saisir un nombre entier de jours (0 ou plus)." type="whole" operator="greaterThanOrEqual">
      <formula1>0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zoomScaleNormal="100" workbookViewId="0">
      <selection activeCell="L8" sqref="L8"/>
    </sheetView>
  </sheetViews>
  <sheetFormatPr baseColWidth="10" defaultColWidth="8.88671875" defaultRowHeight="14.4"/>
  <sheetData>
    <row r="1" ht="14.25" customHeight="1">
      <c r="A1" s="15" t="inlineStr">
        <is>
          <t>GANTT MULTI-DOSSIERS - MODE D'EMPLOI</t>
        </is>
      </c>
    </row>
    <row r="3" ht="14.25" customHeight="1">
      <c r="A3" t="inlineStr">
        <is>
          <t>1. Dossiers : une ligne par dossier (référence, nom, date de début). Son bloc apparaît alors dans Suivi.</t>
        </is>
      </c>
    </row>
    <row r="4" ht="14.25" customHeight="1">
      <c r="A4" t="inlineStr">
        <is>
          <t>2. Suivi : chaque dossier a son bloc (en-tête répétée, teinte propre). Saisir le statut en colonne G.</t>
        </is>
      </c>
    </row>
    <row r="5" ht="14.25" customHeight="1">
      <c r="A5" t="inlineStr">
        <is>
          <t>3. Durée particulière : en colonne I, pour une étape qui diffère du modèle sur ce dossier (jours calendaires). Laisser vide sinon.</t>
        </is>
      </c>
    </row>
    <row r="6" ht="14.25" customHeight="1">
      <c r="A6" t="inlineStr">
        <is>
          <t>4. Tableau de bord : réalisation par grande étape. Cliquer sur un dossier pour l'ouvrir, ↑ pour revenir.</t>
        </is>
      </c>
    </row>
    <row r="7" ht="14.25" customHeight="1">
      <c r="A7" t="inlineStr">
        <is>
          <t>5. Paramètres : modèle commun (durées standard, liens). Modifier une durée ici change tous les dossiers qui n'ont pas de durée particulière.</t>
        </is>
      </c>
    </row>
    <row r="8" ht="14.25" customHeight="1">
      <c r="A8" t="inlineStr">
        <is>
          <t>6. Durées en jours calendaires. Une étape passe en rouge si sa fin est dépassée (sauf Réalisé ou Clôturé).</t>
        </is>
      </c>
    </row>
    <row r="9">
      <c r="A9" t="inlineStr">
        <is>
          <t>7. Ne pas insérer ni supprimer de lignes dans Suivi (60 blocs prévus, teintes et calculs liés à leur position).</t>
        </is>
      </c>
    </row>
    <row r="10">
      <c r="A10" t="inlineStr">
        <is>
          <t>8. Pour repartir à vide : effacer Dossiers B4:D6 et les saisies d'exemple en colonnes G et I de Suivi (dossiers 1 et 2).</t>
        </is>
      </c>
    </row>
    <row r="11">
      <c r="A11" t="inlineStr">
        <is>
          <t>9. Les dates CS et Jury saisies dans Dossiers s'affichent en rouge gras dans Suivi, colonne C, sur les lignes 3.16 et 5.8. Elles n'agissent pas sur le calcul des dates.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topLeftCell="A22" zoomScaleNormal="100" workbookViewId="0">
      <selection activeCell="J46" sqref="J46"/>
    </sheetView>
  </sheetViews>
  <sheetFormatPr baseColWidth="10" defaultColWidth="8.88671875" defaultRowHeight="14.4"/>
  <cols>
    <col width="34.5546875" customWidth="1" min="1" max="1"/>
    <col width="18.21875" customWidth="1" min="2" max="2"/>
    <col width="20" customWidth="1" min="3" max="3"/>
    <col width="16" customWidth="1" min="5" max="5"/>
    <col width="9.77734375" customWidth="1" min="7" max="7"/>
    <col width="25.109375" customWidth="1" min="8" max="8"/>
    <col width="28.5546875" customWidth="1" min="9" max="9"/>
    <col width="13" customWidth="1" min="10" max="10"/>
    <col width="16" customWidth="1" min="11" max="11"/>
    <col width="13" customWidth="1" min="12" max="12"/>
    <col width="16" customWidth="1" min="13" max="13"/>
    <col width="13" customWidth="1" min="14" max="14"/>
    <col width="16" customWidth="1" min="15" max="15"/>
  </cols>
  <sheetData>
    <row r="1" ht="14.25" customHeight="1">
      <c r="A1" s="15" t="inlineStr">
        <is>
          <t>MODÈLE DE PROCESSUS</t>
        </is>
      </c>
    </row>
    <row r="2" ht="14.25" customHeight="1">
      <c r="A2" t="inlineStr">
        <is>
          <t>Durées standard en jours calendaires, lues par chaque dossier. Une durée particulière se saisit dans Suivi, colonne I.</t>
        </is>
      </c>
    </row>
    <row r="4" ht="14.25" customHeight="1">
      <c r="A4" s="15" t="inlineStr">
        <is>
          <t>Identifiant</t>
        </is>
      </c>
      <c r="B4" s="15" t="inlineStr">
        <is>
          <t>Durée (jours)</t>
        </is>
      </c>
      <c r="C4" s="15" t="inlineStr">
        <is>
          <t>Status</t>
        </is>
      </c>
      <c r="E4" s="15" t="inlineStr">
        <is>
          <t>Type de lien</t>
        </is>
      </c>
      <c r="G4" s="15" t="inlineStr">
        <is>
          <t>Identifiant</t>
        </is>
      </c>
      <c r="H4" s="15" t="inlineStr">
        <is>
          <t>Macro Etape</t>
        </is>
      </c>
      <c r="I4" s="15" t="inlineStr">
        <is>
          <t>Etape</t>
        </is>
      </c>
      <c r="J4" s="15" t="inlineStr">
        <is>
          <t>Tache 1 liée</t>
        </is>
      </c>
      <c r="K4" s="15" t="inlineStr">
        <is>
          <t>Type lien 1</t>
        </is>
      </c>
      <c r="L4" s="15" t="inlineStr">
        <is>
          <t>Tache 2 liée</t>
        </is>
      </c>
      <c r="M4" s="15" t="inlineStr">
        <is>
          <t>Type lien 2</t>
        </is>
      </c>
      <c r="N4" s="15" t="inlineStr">
        <is>
          <t>Tache 3 liée</t>
        </is>
      </c>
      <c r="O4" s="15" t="inlineStr">
        <is>
          <t>Type lien 3</t>
        </is>
      </c>
    </row>
    <row r="5" ht="14.25" customHeight="1">
      <c r="A5" s="13" t="n">
        <v>1</v>
      </c>
      <c r="B5" s="13" t="n"/>
      <c r="C5">
        <f>FALSE()</f>
        <v/>
      </c>
      <c r="G5" t="n">
        <v>1</v>
      </c>
      <c r="H5" t="inlineStr">
        <is>
          <t>Demande de recrutement</t>
        </is>
      </c>
      <c r="J5" s="13" t="n"/>
      <c r="K5" s="13" t="n"/>
      <c r="L5" s="13" t="n"/>
      <c r="M5" s="13" t="n"/>
      <c r="N5" s="13" t="n"/>
      <c r="O5" s="13" t="n"/>
    </row>
    <row r="6" ht="14.25" customHeight="1">
      <c r="A6" t="inlineStr">
        <is>
          <t>1.1</t>
        </is>
      </c>
      <c r="B6" t="n">
        <v>15</v>
      </c>
      <c r="C6" t="inlineStr">
        <is>
          <t>A prendre en charge</t>
        </is>
      </c>
      <c r="E6" t="inlineStr">
        <is>
          <t>Début → Début</t>
        </is>
      </c>
      <c r="G6" t="inlineStr">
        <is>
          <t>1.1</t>
        </is>
      </c>
      <c r="I6" t="inlineStr">
        <is>
          <t>Go de Sandra</t>
        </is>
      </c>
    </row>
    <row r="7" ht="14.25" customHeight="1">
      <c r="A7" t="inlineStr">
        <is>
          <t>1.2</t>
        </is>
      </c>
      <c r="B7" t="n">
        <v>1</v>
      </c>
      <c r="C7" t="inlineStr">
        <is>
          <t>En cours</t>
        </is>
      </c>
      <c r="E7" t="inlineStr">
        <is>
          <t>Fin → Début</t>
        </is>
      </c>
      <c r="G7" t="inlineStr">
        <is>
          <t>1.2</t>
        </is>
      </c>
      <c r="I7" t="inlineStr">
        <is>
          <t>Transmission Angélique</t>
        </is>
      </c>
      <c r="J7">
        <f>G11</f>
        <v/>
      </c>
      <c r="K7" t="inlineStr">
        <is>
          <t>Fin → Début</t>
        </is>
      </c>
      <c r="L7">
        <f>G12</f>
        <v/>
      </c>
      <c r="M7" t="inlineStr">
        <is>
          <t>Fin → Début</t>
        </is>
      </c>
      <c r="N7">
        <f>G13</f>
        <v/>
      </c>
      <c r="O7" t="inlineStr">
        <is>
          <t>Fin → Début</t>
        </is>
      </c>
    </row>
    <row r="8" ht="14.25" customHeight="1">
      <c r="A8" t="inlineStr">
        <is>
          <t>1.3</t>
        </is>
      </c>
      <c r="B8" t="n">
        <v>1</v>
      </c>
      <c r="C8" t="inlineStr">
        <is>
          <t>En attente</t>
        </is>
      </c>
      <c r="E8" t="inlineStr">
        <is>
          <t>Début → Fin</t>
        </is>
      </c>
      <c r="G8" t="inlineStr">
        <is>
          <t>1.3</t>
        </is>
      </c>
      <c r="I8" t="inlineStr">
        <is>
          <t>Retour Dates Angélique</t>
        </is>
      </c>
      <c r="J8">
        <f>G7</f>
        <v/>
      </c>
      <c r="K8" t="inlineStr">
        <is>
          <t>Fin → Début</t>
        </is>
      </c>
    </row>
    <row r="9" ht="14.25" customHeight="1">
      <c r="A9" t="inlineStr">
        <is>
          <t>1.4</t>
        </is>
      </c>
      <c r="B9" t="n">
        <v>1</v>
      </c>
      <c r="C9" t="inlineStr">
        <is>
          <t>Alerte retard</t>
        </is>
      </c>
      <c r="E9" t="inlineStr">
        <is>
          <t>Fin → Fin</t>
        </is>
      </c>
      <c r="G9" t="inlineStr">
        <is>
          <t>1.4</t>
        </is>
      </c>
      <c r="I9" t="inlineStr">
        <is>
          <t>Retour Membres Angélique</t>
        </is>
      </c>
      <c r="J9">
        <f>G8</f>
        <v/>
      </c>
      <c r="K9" t="inlineStr">
        <is>
          <t>Fin → Fin</t>
        </is>
      </c>
    </row>
    <row r="10" ht="14.25" customHeight="1">
      <c r="A10" s="13" t="n">
        <v>2</v>
      </c>
      <c r="B10" s="13" t="n"/>
      <c r="C10" t="inlineStr">
        <is>
          <t>Réalisé</t>
        </is>
      </c>
      <c r="G10" t="n">
        <v>2</v>
      </c>
      <c r="H10" t="inlineStr">
        <is>
          <t>Publicité</t>
        </is>
      </c>
      <c r="J10" s="13" t="n"/>
      <c r="K10" s="13" t="n"/>
      <c r="L10" s="13" t="n"/>
      <c r="M10" s="13" t="n"/>
      <c r="N10" s="13" t="n"/>
      <c r="O10" s="13" t="n"/>
    </row>
    <row r="11" ht="14.25" customHeight="1">
      <c r="A11" t="inlineStr">
        <is>
          <t>2.1</t>
        </is>
      </c>
      <c r="B11" t="n">
        <v>15</v>
      </c>
      <c r="C11" t="inlineStr">
        <is>
          <t>Clôturé</t>
        </is>
      </c>
      <c r="G11" t="inlineStr">
        <is>
          <t>2.1</t>
        </is>
      </c>
      <c r="I11" t="inlineStr">
        <is>
          <t>Publicité Interne</t>
        </is>
      </c>
      <c r="J11">
        <f>G6</f>
        <v/>
      </c>
      <c r="K11" t="inlineStr">
        <is>
          <t>Fin → Début</t>
        </is>
      </c>
    </row>
    <row r="12" ht="14.25" customHeight="1">
      <c r="A12" t="inlineStr">
        <is>
          <t>2.2</t>
        </is>
      </c>
      <c r="B12" t="n">
        <v>30</v>
      </c>
      <c r="G12" t="inlineStr">
        <is>
          <t>2.2</t>
        </is>
      </c>
      <c r="I12" t="inlineStr">
        <is>
          <t>Publicité externe</t>
        </is>
      </c>
      <c r="J12" t="inlineStr">
        <is>
          <t>1.1</t>
        </is>
      </c>
      <c r="K12" t="inlineStr">
        <is>
          <t>Fin → Début</t>
        </is>
      </c>
    </row>
    <row r="13" ht="14.25" customHeight="1">
      <c r="A13" t="inlineStr">
        <is>
          <t>2.3</t>
        </is>
      </c>
      <c r="B13" t="n">
        <v>0</v>
      </c>
      <c r="G13" t="inlineStr">
        <is>
          <t>2.3</t>
        </is>
      </c>
      <c r="I13" t="inlineStr">
        <is>
          <t>Publicité durée fixée</t>
        </is>
      </c>
      <c r="J13" t="inlineStr">
        <is>
          <t>1.1</t>
        </is>
      </c>
      <c r="K13" t="inlineStr">
        <is>
          <t>Fin → Début</t>
        </is>
      </c>
    </row>
    <row r="14" ht="14.25" customHeight="1">
      <c r="A14" t="inlineStr">
        <is>
          <t>2.4</t>
        </is>
      </c>
      <c r="B14" t="n">
        <v>1</v>
      </c>
      <c r="G14" t="inlineStr">
        <is>
          <t>2.4</t>
        </is>
      </c>
      <c r="I14" t="inlineStr">
        <is>
          <t>Fin de publicité</t>
        </is>
      </c>
      <c r="J14">
        <f>G11</f>
        <v/>
      </c>
      <c r="K14" t="inlineStr">
        <is>
          <t>Fin → Fin</t>
        </is>
      </c>
      <c r="L14">
        <f>G12</f>
        <v/>
      </c>
      <c r="M14" t="inlineStr">
        <is>
          <t>Fin → Fin</t>
        </is>
      </c>
      <c r="N14">
        <f>G13</f>
        <v/>
      </c>
      <c r="O14" t="inlineStr">
        <is>
          <t>Fin → Fin</t>
        </is>
      </c>
    </row>
    <row r="15" ht="14.25" customHeight="1">
      <c r="A15" s="13" t="n">
        <v>3</v>
      </c>
      <c r="B15" s="13" t="n"/>
      <c r="G15" t="n">
        <v>3</v>
      </c>
      <c r="H15" t="inlineStr">
        <is>
          <t>Choix des candidats pour CS</t>
        </is>
      </c>
      <c r="J15" s="13" t="n"/>
      <c r="K15" s="13" t="n"/>
      <c r="L15" s="13" t="n"/>
      <c r="M15" s="13" t="n"/>
      <c r="N15" s="13" t="n"/>
      <c r="O15" s="13" t="n"/>
    </row>
    <row r="16" ht="14.25" customHeight="1">
      <c r="A16" t="inlineStr">
        <is>
          <t>3.1</t>
        </is>
      </c>
      <c r="B16" t="n">
        <v>1</v>
      </c>
      <c r="G16" t="inlineStr">
        <is>
          <t>3.1</t>
        </is>
      </c>
      <c r="I16" t="inlineStr">
        <is>
          <t>Réception des CV</t>
        </is>
      </c>
      <c r="J16">
        <f>G12</f>
        <v/>
      </c>
      <c r="K16" t="inlineStr">
        <is>
          <t>Début → Début</t>
        </is>
      </c>
      <c r="L16">
        <f>G13</f>
        <v/>
      </c>
      <c r="M16" t="inlineStr">
        <is>
          <t>Début → Début</t>
        </is>
      </c>
      <c r="N16">
        <f>G14</f>
        <v/>
      </c>
      <c r="O16" t="inlineStr">
        <is>
          <t>Début → Début</t>
        </is>
      </c>
    </row>
    <row r="17" ht="14.25" customHeight="1">
      <c r="A17" t="inlineStr">
        <is>
          <t>3.2</t>
        </is>
      </c>
      <c r="B17" t="n">
        <v>1</v>
      </c>
      <c r="G17" t="inlineStr">
        <is>
          <t>3.2</t>
        </is>
      </c>
      <c r="I17" t="inlineStr">
        <is>
          <t>Tri des CV</t>
        </is>
      </c>
      <c r="J17">
        <f>G14</f>
        <v/>
      </c>
      <c r="K17" t="inlineStr">
        <is>
          <t>Début → Début</t>
        </is>
      </c>
    </row>
    <row r="18" ht="14.25" customHeight="1">
      <c r="A18" t="inlineStr">
        <is>
          <t>3.3</t>
        </is>
      </c>
      <c r="B18" t="n">
        <v>1</v>
      </c>
      <c r="G18" t="inlineStr">
        <is>
          <t>3.3</t>
        </is>
      </c>
      <c r="I18" t="inlineStr">
        <is>
          <t>Tableau analyse</t>
        </is>
      </c>
      <c r="J18">
        <f>G17</f>
        <v/>
      </c>
      <c r="K18" t="inlineStr">
        <is>
          <t>Début → Début</t>
        </is>
      </c>
    </row>
    <row r="19" ht="14.25" customHeight="1">
      <c r="A19" t="inlineStr">
        <is>
          <t>3.4</t>
        </is>
      </c>
      <c r="B19" t="n">
        <v>1</v>
      </c>
      <c r="G19" t="inlineStr">
        <is>
          <t>3.4</t>
        </is>
      </c>
      <c r="I19" t="inlineStr">
        <is>
          <t>Liste des CV retenus gestionnaire</t>
        </is>
      </c>
      <c r="J19">
        <f>G18</f>
        <v/>
      </c>
      <c r="K19" t="inlineStr">
        <is>
          <t>Fin → Début</t>
        </is>
      </c>
    </row>
    <row r="20" ht="14.25" customHeight="1">
      <c r="A20" t="inlineStr">
        <is>
          <t>3.5</t>
        </is>
      </c>
      <c r="B20" t="n">
        <v>1</v>
      </c>
      <c r="G20" t="inlineStr">
        <is>
          <t>3.5</t>
        </is>
      </c>
      <c r="I20" t="inlineStr">
        <is>
          <t>Transmission Sandra</t>
        </is>
      </c>
      <c r="J20">
        <f>G19</f>
        <v/>
      </c>
      <c r="K20" t="inlineStr">
        <is>
          <t>Fin → Début</t>
        </is>
      </c>
    </row>
    <row r="21" ht="14.25" customHeight="1">
      <c r="A21" t="inlineStr">
        <is>
          <t>3.6</t>
        </is>
      </c>
      <c r="B21" t="n">
        <v>2</v>
      </c>
      <c r="G21" t="inlineStr">
        <is>
          <t>3.6</t>
        </is>
      </c>
      <c r="I21" t="inlineStr">
        <is>
          <t>Validation Sandra</t>
        </is>
      </c>
      <c r="J21">
        <f>G20</f>
        <v/>
      </c>
      <c r="K21" t="inlineStr">
        <is>
          <t>Fin → Début</t>
        </is>
      </c>
    </row>
    <row r="22" ht="14.25" customHeight="1">
      <c r="A22" t="inlineStr">
        <is>
          <t>3.7</t>
        </is>
      </c>
      <c r="B22" t="n">
        <v>1</v>
      </c>
      <c r="G22" t="inlineStr">
        <is>
          <t>3.7</t>
        </is>
      </c>
      <c r="I22" t="inlineStr">
        <is>
          <t>Transmission CDS</t>
        </is>
      </c>
      <c r="J22">
        <f>G21</f>
        <v/>
      </c>
      <c r="K22" t="inlineStr">
        <is>
          <t>Fin → Fin</t>
        </is>
      </c>
    </row>
    <row r="23" ht="14.25" customHeight="1">
      <c r="A23" t="inlineStr">
        <is>
          <t>3.8</t>
        </is>
      </c>
      <c r="B23" t="n">
        <v>5</v>
      </c>
      <c r="G23" t="inlineStr">
        <is>
          <t>3.8</t>
        </is>
      </c>
      <c r="I23" t="inlineStr">
        <is>
          <t>Validation CDS</t>
        </is>
      </c>
      <c r="J23">
        <f>G22</f>
        <v/>
      </c>
      <c r="K23" t="inlineStr">
        <is>
          <t>Fin → Début</t>
        </is>
      </c>
    </row>
    <row r="24" ht="14.25" customHeight="1">
      <c r="A24" t="inlineStr">
        <is>
          <t>3.9</t>
        </is>
      </c>
      <c r="B24" t="n">
        <v>2</v>
      </c>
      <c r="G24" t="inlineStr">
        <is>
          <t>3.9</t>
        </is>
      </c>
      <c r="I24" t="inlineStr">
        <is>
          <t>Validation Sandra</t>
        </is>
      </c>
      <c r="J24">
        <f>G23</f>
        <v/>
      </c>
      <c r="K24" t="inlineStr">
        <is>
          <t>Fin → Fin</t>
        </is>
      </c>
    </row>
    <row r="25" ht="14.25" customHeight="1">
      <c r="A25" t="inlineStr">
        <is>
          <t>3.10</t>
        </is>
      </c>
      <c r="B25" t="n">
        <v>1</v>
      </c>
      <c r="G25" t="inlineStr">
        <is>
          <t>3.10</t>
        </is>
      </c>
      <c r="I25" t="inlineStr">
        <is>
          <t>Liste des candidats retenus</t>
        </is>
      </c>
      <c r="J25" t="inlineStr">
        <is>
          <t>3.8</t>
        </is>
      </c>
      <c r="K25" t="inlineStr">
        <is>
          <t>Fin → Début</t>
        </is>
      </c>
    </row>
    <row r="26" ht="14.25" customHeight="1">
      <c r="A26" t="inlineStr">
        <is>
          <t>3.11</t>
        </is>
      </c>
      <c r="B26" t="n">
        <v>1</v>
      </c>
      <c r="G26" t="inlineStr">
        <is>
          <t>3.11</t>
        </is>
      </c>
      <c r="I26" t="inlineStr">
        <is>
          <t>Vérification si date CS</t>
        </is>
      </c>
      <c r="J26">
        <f>G8</f>
        <v/>
      </c>
      <c r="K26" t="inlineStr">
        <is>
          <t>Fin → Début</t>
        </is>
      </c>
    </row>
    <row r="27" ht="14.25" customHeight="1">
      <c r="A27" t="inlineStr">
        <is>
          <t>3.12</t>
        </is>
      </c>
      <c r="B27" t="n">
        <v>1</v>
      </c>
      <c r="G27" t="inlineStr">
        <is>
          <t>3.12</t>
        </is>
      </c>
      <c r="I27" t="inlineStr">
        <is>
          <t>Convocation Tél + Gestmax</t>
        </is>
      </c>
      <c r="J27">
        <f>G25</f>
        <v/>
      </c>
      <c r="K27" t="inlineStr">
        <is>
          <t>Fin → Début</t>
        </is>
      </c>
    </row>
    <row r="28" ht="14.25" customHeight="1">
      <c r="A28" t="inlineStr">
        <is>
          <t>3.13</t>
        </is>
      </c>
      <c r="B28" t="n">
        <v>3</v>
      </c>
      <c r="G28" t="inlineStr">
        <is>
          <t>3.13</t>
        </is>
      </c>
      <c r="I28" t="inlineStr">
        <is>
          <t>Candidats - validation présence</t>
        </is>
      </c>
      <c r="J28">
        <f>G27</f>
        <v/>
      </c>
      <c r="K28" t="inlineStr">
        <is>
          <t>Début → Début</t>
        </is>
      </c>
    </row>
    <row r="29" ht="14.25" customHeight="1">
      <c r="A29" t="inlineStr">
        <is>
          <t>3.14</t>
        </is>
      </c>
      <c r="B29" t="n">
        <v>1</v>
      </c>
      <c r="G29" t="inlineStr">
        <is>
          <t>3.14</t>
        </is>
      </c>
      <c r="I29" t="inlineStr">
        <is>
          <t>GESTMAX - bascule validation CS</t>
        </is>
      </c>
      <c r="J29">
        <f>G28</f>
        <v/>
      </c>
      <c r="K29" t="inlineStr">
        <is>
          <t>Début → Début</t>
        </is>
      </c>
    </row>
    <row r="30" ht="14.25" customHeight="1">
      <c r="A30" t="inlineStr">
        <is>
          <t>3.15</t>
        </is>
      </c>
      <c r="B30" t="n">
        <v>1</v>
      </c>
      <c r="G30" t="inlineStr">
        <is>
          <t>3.15</t>
        </is>
      </c>
      <c r="I30" t="inlineStr">
        <is>
          <t>Liste des candidats à l'accueil</t>
        </is>
      </c>
      <c r="J30">
        <f>G28</f>
        <v/>
      </c>
      <c r="K30" t="inlineStr">
        <is>
          <t>Début → Début</t>
        </is>
      </c>
      <c r="L30">
        <f>G26</f>
        <v/>
      </c>
      <c r="M30" t="inlineStr">
        <is>
          <t>Fin → Début</t>
        </is>
      </c>
    </row>
    <row r="31" ht="14.25" customHeight="1">
      <c r="A31" t="inlineStr">
        <is>
          <t>3.16</t>
        </is>
      </c>
      <c r="B31" t="n">
        <v>1</v>
      </c>
      <c r="G31" t="inlineStr">
        <is>
          <t>3.16</t>
        </is>
      </c>
      <c r="I31" t="inlineStr">
        <is>
          <t>Tenue des CS</t>
        </is>
      </c>
      <c r="J31">
        <f>G28</f>
        <v/>
      </c>
      <c r="K31" t="inlineStr">
        <is>
          <t>Fin → Début</t>
        </is>
      </c>
    </row>
    <row r="32" ht="14.25" customHeight="1">
      <c r="A32" s="13" t="n">
        <v>4</v>
      </c>
      <c r="B32" s="13" t="n"/>
      <c r="G32" t="n">
        <v>4</v>
      </c>
      <c r="H32" t="inlineStr">
        <is>
          <t>Choix des candidats pour Jury</t>
        </is>
      </c>
      <c r="J32" s="13" t="n"/>
      <c r="K32" s="13" t="n"/>
      <c r="L32" s="13" t="n"/>
      <c r="M32" s="13" t="n"/>
      <c r="N32" s="13" t="n"/>
      <c r="O32" s="13" t="n"/>
    </row>
    <row r="33" ht="14.25" customHeight="1">
      <c r="A33" t="inlineStr">
        <is>
          <t>4.1</t>
        </is>
      </c>
      <c r="B33" t="n">
        <v>2</v>
      </c>
      <c r="G33" t="inlineStr">
        <is>
          <t>4.1</t>
        </is>
      </c>
      <c r="I33" t="inlineStr">
        <is>
          <t>Liste des candidats retenus au CS</t>
        </is>
      </c>
      <c r="J33">
        <f>G31</f>
        <v/>
      </c>
      <c r="K33" t="inlineStr">
        <is>
          <t>Fin → Début</t>
        </is>
      </c>
    </row>
    <row r="34" ht="14.25" customHeight="1">
      <c r="A34" t="inlineStr">
        <is>
          <t>4.2</t>
        </is>
      </c>
      <c r="B34" t="n">
        <v>1</v>
      </c>
      <c r="G34" t="inlineStr">
        <is>
          <t>4.2</t>
        </is>
      </c>
      <c r="I34" t="inlineStr">
        <is>
          <t>Informer les candidats du résultat</t>
        </is>
      </c>
      <c r="J34">
        <f>G33</f>
        <v/>
      </c>
      <c r="K34" t="inlineStr">
        <is>
          <t>Fin → Début</t>
        </is>
      </c>
    </row>
    <row r="35" ht="14.25" customHeight="1">
      <c r="A35" t="inlineStr">
        <is>
          <t>4.3</t>
        </is>
      </c>
      <c r="B35" t="n">
        <v>3</v>
      </c>
      <c r="G35" t="inlineStr">
        <is>
          <t>4.3</t>
        </is>
      </c>
      <c r="I35" t="inlineStr">
        <is>
          <t>Acceptation candidats jury</t>
        </is>
      </c>
      <c r="J35">
        <f>G34</f>
        <v/>
      </c>
      <c r="K35" t="inlineStr">
        <is>
          <t>Début → Début</t>
        </is>
      </c>
    </row>
    <row r="36" ht="14.25" customHeight="1">
      <c r="A36" t="inlineStr">
        <is>
          <t>4.4</t>
        </is>
      </c>
      <c r="B36" t="n">
        <v>1</v>
      </c>
      <c r="G36" t="inlineStr">
        <is>
          <t>4.4</t>
        </is>
      </c>
      <c r="I36" t="inlineStr">
        <is>
          <t>Clôture du CS</t>
        </is>
      </c>
      <c r="J36">
        <f>G35</f>
        <v/>
      </c>
      <c r="K36" t="inlineStr">
        <is>
          <t>Fin → Début</t>
        </is>
      </c>
    </row>
    <row r="37" ht="14.25" customHeight="1">
      <c r="A37" s="13" t="n">
        <v>5</v>
      </c>
      <c r="B37" s="13" t="n"/>
      <c r="G37" t="n">
        <v>5</v>
      </c>
      <c r="H37" t="inlineStr">
        <is>
          <t>Jury</t>
        </is>
      </c>
      <c r="J37" s="13" t="n"/>
      <c r="K37" s="13" t="n"/>
      <c r="L37" s="13" t="n"/>
      <c r="M37" s="13" t="n"/>
      <c r="N37" s="13" t="n"/>
      <c r="O37" s="13" t="n"/>
    </row>
    <row r="38" ht="14.25" customHeight="1">
      <c r="A38" t="inlineStr">
        <is>
          <t>5.1</t>
        </is>
      </c>
      <c r="B38" t="n">
        <v>2</v>
      </c>
      <c r="G38" t="inlineStr">
        <is>
          <t>5.1</t>
        </is>
      </c>
      <c r="H38" s="14" t="n"/>
      <c r="I38" t="inlineStr">
        <is>
          <t>Liste des candidats au jury</t>
        </is>
      </c>
      <c r="J38">
        <f>G35</f>
        <v/>
      </c>
      <c r="K38" t="inlineStr">
        <is>
          <t>Fin → Début</t>
        </is>
      </c>
    </row>
    <row r="39" ht="14.25" customHeight="1">
      <c r="A39" t="inlineStr">
        <is>
          <t>5.2</t>
        </is>
      </c>
      <c r="B39" t="n">
        <v>1</v>
      </c>
      <c r="G39" t="inlineStr">
        <is>
          <t>5.2</t>
        </is>
      </c>
      <c r="I39" t="inlineStr">
        <is>
          <t>Liste des élus présents au jury</t>
        </is>
      </c>
      <c r="J39">
        <f>G9</f>
        <v/>
      </c>
      <c r="K39" t="inlineStr">
        <is>
          <t>Fin → Début</t>
        </is>
      </c>
    </row>
    <row r="40" ht="14.25" customHeight="1">
      <c r="A40" t="inlineStr">
        <is>
          <t>5.3</t>
        </is>
      </c>
      <c r="B40" t="n">
        <v>1</v>
      </c>
      <c r="G40" t="inlineStr">
        <is>
          <t>5.3</t>
        </is>
      </c>
      <c r="I40" t="inlineStr">
        <is>
          <t>Convocation Tél + Gestmax</t>
        </is>
      </c>
      <c r="J40">
        <f>G8</f>
        <v/>
      </c>
      <c r="K40" t="inlineStr">
        <is>
          <t>Fin → Début</t>
        </is>
      </c>
      <c r="L40">
        <f>G38</f>
        <v/>
      </c>
      <c r="M40" t="inlineStr">
        <is>
          <t>Début → Début</t>
        </is>
      </c>
    </row>
    <row r="41" ht="14.25" customHeight="1">
      <c r="A41" t="inlineStr">
        <is>
          <t>5.4</t>
        </is>
      </c>
      <c r="B41" t="n">
        <v>3</v>
      </c>
      <c r="G41" t="inlineStr">
        <is>
          <t>5.4</t>
        </is>
      </c>
      <c r="I41" t="inlineStr">
        <is>
          <t>Candidats - validation présence</t>
        </is>
      </c>
      <c r="J41">
        <f>G40</f>
        <v/>
      </c>
      <c r="K41" t="inlineStr">
        <is>
          <t>Début → Début</t>
        </is>
      </c>
    </row>
    <row r="42" ht="14.25" customHeight="1">
      <c r="A42" t="inlineStr">
        <is>
          <t>5.5</t>
        </is>
      </c>
      <c r="B42" t="n">
        <v>1</v>
      </c>
      <c r="G42" t="inlineStr">
        <is>
          <t>5.5</t>
        </is>
      </c>
      <c r="I42" t="inlineStr">
        <is>
          <t>GESTMAX - bascule validation jury</t>
        </is>
      </c>
      <c r="J42">
        <f>G41</f>
        <v/>
      </c>
      <c r="K42" t="inlineStr">
        <is>
          <t>Début → Fin</t>
        </is>
      </c>
    </row>
    <row r="43" ht="14.25" customHeight="1">
      <c r="A43" t="inlineStr">
        <is>
          <t>5.6</t>
        </is>
      </c>
      <c r="B43" t="n">
        <v>1</v>
      </c>
      <c r="G43" t="inlineStr">
        <is>
          <t>5.6</t>
        </is>
      </c>
      <c r="I43" t="inlineStr">
        <is>
          <t>Dossier papier Jury (CV/LM + PV)</t>
        </is>
      </c>
      <c r="J43">
        <f>G41</f>
        <v/>
      </c>
      <c r="K43" t="inlineStr">
        <is>
          <t>Fin → Début</t>
        </is>
      </c>
      <c r="L43">
        <f>J8</f>
        <v/>
      </c>
      <c r="M43" t="inlineStr">
        <is>
          <t>Fin → Début</t>
        </is>
      </c>
    </row>
    <row r="44" ht="14.25" customHeight="1">
      <c r="A44" t="inlineStr">
        <is>
          <t>5.7</t>
        </is>
      </c>
      <c r="B44" t="n">
        <v>1</v>
      </c>
      <c r="G44" t="inlineStr">
        <is>
          <t>5.7</t>
        </is>
      </c>
      <c r="I44" t="inlineStr">
        <is>
          <t>Liste des candidats à l'accueil</t>
        </is>
      </c>
      <c r="J44">
        <f>G42</f>
        <v/>
      </c>
      <c r="K44" t="inlineStr">
        <is>
          <t>Fin → Début</t>
        </is>
      </c>
    </row>
    <row r="45" ht="14.25" customHeight="1">
      <c r="A45" t="inlineStr">
        <is>
          <t>5.8</t>
        </is>
      </c>
      <c r="B45" t="n">
        <v>1</v>
      </c>
      <c r="G45" t="inlineStr">
        <is>
          <t>5.8</t>
        </is>
      </c>
      <c r="I45" t="inlineStr">
        <is>
          <t>Tenue du Jury</t>
        </is>
      </c>
      <c r="J45">
        <f>G43</f>
        <v/>
      </c>
      <c r="K45" t="inlineStr">
        <is>
          <t>Fin → Début</t>
        </is>
      </c>
    </row>
    <row r="46" ht="14.25" customHeight="1">
      <c r="A46" t="inlineStr">
        <is>
          <t>5.9</t>
        </is>
      </c>
      <c r="B46" t="n">
        <v>1</v>
      </c>
      <c r="G46" t="inlineStr">
        <is>
          <t>5.9</t>
        </is>
      </c>
      <c r="I46" t="inlineStr">
        <is>
          <t>Candidat retenu par le jury</t>
        </is>
      </c>
      <c r="J46">
        <f>G45</f>
        <v/>
      </c>
      <c r="K46" t="inlineStr">
        <is>
          <t>Fin → Début</t>
        </is>
      </c>
    </row>
    <row r="47" ht="14.25" customHeight="1">
      <c r="A47" t="inlineStr">
        <is>
          <t>5.10</t>
        </is>
      </c>
      <c r="B47" t="n">
        <v>2</v>
      </c>
      <c r="G47" t="inlineStr">
        <is>
          <t>5.10</t>
        </is>
      </c>
      <c r="I47" t="inlineStr">
        <is>
          <t>Informer le candidat</t>
        </is>
      </c>
      <c r="J47">
        <f>G46</f>
        <v/>
      </c>
      <c r="K47" t="inlineStr">
        <is>
          <t>Fin → Début</t>
        </is>
      </c>
    </row>
    <row r="48" ht="14.25" customHeight="1">
      <c r="A48" t="inlineStr">
        <is>
          <t>5.11</t>
        </is>
      </c>
      <c r="B48" t="n">
        <v>1</v>
      </c>
      <c r="G48" t="inlineStr">
        <is>
          <t>5.11</t>
        </is>
      </c>
      <c r="I48" t="inlineStr">
        <is>
          <t>information chef de service</t>
        </is>
      </c>
      <c r="J48">
        <f>G47</f>
        <v/>
      </c>
      <c r="K48" t="inlineStr">
        <is>
          <t>Fin → Début</t>
        </is>
      </c>
    </row>
    <row r="49" ht="14.25" customHeight="1">
      <c r="A49" t="inlineStr">
        <is>
          <t>5.12</t>
        </is>
      </c>
      <c r="B49" t="n">
        <v>5</v>
      </c>
      <c r="G49" t="inlineStr">
        <is>
          <t>5.12</t>
        </is>
      </c>
      <c r="I49" t="inlineStr">
        <is>
          <t>Temps réflexion/propo. Salariale</t>
        </is>
      </c>
      <c r="J49">
        <f>G47</f>
        <v/>
      </c>
      <c r="K49" t="inlineStr">
        <is>
          <t>Début → Début</t>
        </is>
      </c>
    </row>
    <row r="50" ht="14.25" customHeight="1">
      <c r="A50" t="inlineStr">
        <is>
          <t>5.13</t>
        </is>
      </c>
      <c r="B50" t="n">
        <v>1</v>
      </c>
      <c r="G50" t="inlineStr">
        <is>
          <t>5.13</t>
        </is>
      </c>
      <c r="I50" t="inlineStr">
        <is>
          <t>Retour du candidat</t>
        </is>
      </c>
      <c r="J50">
        <f>G49</f>
        <v/>
      </c>
      <c r="K50" t="inlineStr">
        <is>
          <t>Fin → Début</t>
        </is>
      </c>
    </row>
    <row r="51" ht="14.25" customHeight="1">
      <c r="A51" t="inlineStr">
        <is>
          <t>5.14</t>
        </is>
      </c>
      <c r="B51" t="n">
        <v>1</v>
      </c>
      <c r="G51" t="inlineStr">
        <is>
          <t>5.14</t>
        </is>
      </c>
      <c r="I51" t="inlineStr">
        <is>
          <t>information chef de service</t>
        </is>
      </c>
      <c r="J51">
        <f>G50</f>
        <v/>
      </c>
      <c r="K51" t="inlineStr">
        <is>
          <t>Fin → Début</t>
        </is>
      </c>
    </row>
    <row r="52" ht="14.25" customHeight="1">
      <c r="A52" t="inlineStr">
        <is>
          <t>5.15</t>
        </is>
      </c>
      <c r="B52" t="n">
        <v>10</v>
      </c>
      <c r="G52" t="inlineStr">
        <is>
          <t>5.15</t>
        </is>
      </c>
      <c r="I52" t="inlineStr">
        <is>
          <t>GESTMAX - valide recrutement</t>
        </is>
      </c>
      <c r="J52">
        <f>G50</f>
        <v/>
      </c>
      <c r="K52" t="inlineStr">
        <is>
          <t>Fin → Début</t>
        </is>
      </c>
    </row>
    <row r="53" ht="14.25" customHeight="1">
      <c r="A53" t="inlineStr">
        <is>
          <t>5.16</t>
        </is>
      </c>
      <c r="B53" t="n">
        <v>1</v>
      </c>
      <c r="G53" t="inlineStr">
        <is>
          <t>5.16</t>
        </is>
      </c>
      <c r="I53" t="inlineStr">
        <is>
          <t>Courrier de recrutement</t>
        </is>
      </c>
      <c r="J53">
        <f>G52</f>
        <v/>
      </c>
      <c r="K53" t="inlineStr">
        <is>
          <t>Début → Début</t>
        </is>
      </c>
    </row>
    <row r="54" ht="14.25" customHeight="1">
      <c r="A54" t="inlineStr">
        <is>
          <t>5.17</t>
        </is>
      </c>
      <c r="B54" t="n">
        <v>1</v>
      </c>
      <c r="G54" t="inlineStr">
        <is>
          <t>5.17</t>
        </is>
      </c>
      <c r="I54" t="inlineStr">
        <is>
          <t>Clôture du jury</t>
        </is>
      </c>
      <c r="J54">
        <f>G50</f>
        <v/>
      </c>
      <c r="K54" t="inlineStr">
        <is>
          <t>Début → Début</t>
        </is>
      </c>
    </row>
    <row r="55" ht="14.25" customHeight="1">
      <c r="A55" t="inlineStr">
        <is>
          <t>5.18</t>
        </is>
      </c>
      <c r="B55" t="n">
        <v>1</v>
      </c>
      <c r="G55" t="inlineStr">
        <is>
          <t>5.18</t>
        </is>
      </c>
      <c r="I55" t="inlineStr">
        <is>
          <t>Clôture avis de recrutement</t>
        </is>
      </c>
      <c r="J55">
        <f>G52</f>
        <v/>
      </c>
      <c r="K55" t="inlineStr">
        <is>
          <t>Début → Début</t>
        </is>
      </c>
    </row>
    <row r="56" ht="14.25" customHeight="1">
      <c r="A56" s="13" t="n">
        <v>6</v>
      </c>
      <c r="B56" s="13" t="n"/>
      <c r="G56" t="n">
        <v>6</v>
      </c>
      <c r="H56" t="inlineStr">
        <is>
          <t>Procédure de recrutement</t>
        </is>
      </c>
      <c r="J56" s="13" t="n"/>
      <c r="K56" s="13" t="n"/>
      <c r="L56" s="13" t="n"/>
      <c r="M56" s="13" t="n"/>
      <c r="N56" s="13" t="n"/>
      <c r="O56" s="13" t="n"/>
    </row>
    <row r="57" ht="14.25" customHeight="1">
      <c r="A57" t="inlineStr">
        <is>
          <t>6.1</t>
        </is>
      </c>
      <c r="B57" t="n">
        <v>1</v>
      </c>
      <c r="G57" t="inlineStr">
        <is>
          <t>6.1</t>
        </is>
      </c>
      <c r="I57" t="inlineStr">
        <is>
          <t>Gestmax - demande pièces admis.</t>
        </is>
      </c>
      <c r="J57">
        <f>G53</f>
        <v/>
      </c>
      <c r="K57" t="inlineStr">
        <is>
          <t>Début → Début</t>
        </is>
      </c>
    </row>
  </sheetData>
  <dataValidations count="1">
    <dataValidation sqref="K5:K57 M5:M57 O5:O57" showDropDown="0" showInputMessage="0" showErrorMessage="0" allowBlank="1" type="list">
      <formula1>$E$6:$E$9</formula1>
      <formula2>0</formula2>
    </dataValidation>
  </dataValidations>
  <pageMargins left="0.75" right="0.75" top="1" bottom="1" header="0.511811023622047" footer="0.511811023622047"/>
  <pageSetup orientation="landscape" paperSize="9" fitToHeight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workbookViewId="0">
      <selection activeCell="A1" sqref="A1"/>
    </sheetView>
  </sheetViews>
  <sheetFormatPr baseColWidth="10" defaultColWidth="8.88671875" defaultRowHeight="14.4"/>
  <sheetData>
    <row r="1" ht="14.25" customHeight="1">
      <c r="A1" t="inlineStr">
        <is>
          <t>Colonne1</t>
        </is>
      </c>
    </row>
    <row r="2" ht="14.25" customHeight="1">
      <c r="A2" t="inlineStr">
        <is>
          <t>Début → Début</t>
        </is>
      </c>
    </row>
    <row r="3" ht="14.25" customHeight="1">
      <c r="A3" t="inlineStr">
        <is>
          <t>Fin → Début</t>
        </is>
      </c>
    </row>
    <row r="4" ht="14.25" customHeight="1">
      <c r="A4" t="inlineStr">
        <is>
          <t>Début → Fin</t>
        </is>
      </c>
    </row>
    <row r="5" ht="14.25" customHeight="1">
      <c r="A5" t="inlineStr">
        <is>
          <t>Fin → Fin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2026-10-11T12:53:05Z</dcterms:created>
  <dcterms:modified xsi:type="dcterms:W3CDTF">2026-10-13T20:15:03Z</dcterms:modified>
  <cp:lastModifiedBy>Guy-Franck FOURCROY</cp:lastModifiedBy>
  <cp:revision>0</cp:revision>
  <cp:lastPrinted>2026-10-11T14:32:02Z</cp:lastPrinted>
</cp:coreProperties>
</file>